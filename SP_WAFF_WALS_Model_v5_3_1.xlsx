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anel" sheetId="1" state="visible" r:id="rId1"/>
    <sheet xmlns:r="http://schemas.openxmlformats.org/officeDocument/2006/relationships" name="BoE Auto-Mapper" sheetId="2" state="visible" r:id="rId2"/>
    <sheet xmlns:r="http://schemas.openxmlformats.org/officeDocument/2006/relationships" name="Loan Tape (BoE Raw)" sheetId="3" state="visible" r:id="rId3"/>
    <sheet xmlns:r="http://schemas.openxmlformats.org/officeDocument/2006/relationships" name="AR Data Dictionary" sheetId="4" state="visible" r:id="rId4"/>
    <sheet xmlns:r="http://schemas.openxmlformats.org/officeDocument/2006/relationships" name="Jurisdiction Parameters" sheetId="5" state="visible" r:id="rId5"/>
    <sheet xmlns:r="http://schemas.openxmlformats.org/officeDocument/2006/relationships" name="Rating Parameters" sheetId="6" state="visible" r:id="rId6"/>
    <sheet xmlns:r="http://schemas.openxmlformats.org/officeDocument/2006/relationships" name="LTV Curve" sheetId="7" state="visible" r:id="rId7"/>
    <sheet xmlns:r="http://schemas.openxmlformats.org/officeDocument/2006/relationships" name="FF Adj Parameters" sheetId="8" state="visible" r:id="rId8"/>
    <sheet xmlns:r="http://schemas.openxmlformats.org/officeDocument/2006/relationships" name="LS Parameters" sheetId="9" state="visible" r:id="rId9"/>
    <sheet xmlns:r="http://schemas.openxmlformats.org/officeDocument/2006/relationships" name="BoE Mapping" sheetId="10" state="visible" r:id="rId10"/>
    <sheet xmlns:r="http://schemas.openxmlformats.org/officeDocument/2006/relationships" name="Loan Tape (BoE)" sheetId="11" state="visible" r:id="rId11"/>
    <sheet xmlns:r="http://schemas.openxmlformats.org/officeDocument/2006/relationships" name="Loan Tape (S&amp;P)" sheetId="12" state="visible" r:id="rId12"/>
    <sheet xmlns:r="http://schemas.openxmlformats.org/officeDocument/2006/relationships" name="FF Calculations" sheetId="13" state="visible" r:id="rId13"/>
    <sheet xmlns:r="http://schemas.openxmlformats.org/officeDocument/2006/relationships" name="LS Calculations" sheetId="14" state="visible" r:id="rId14"/>
    <sheet xmlns:r="http://schemas.openxmlformats.org/officeDocument/2006/relationships" name="Pool Summary" sheetId="15" state="visible" r:id="rId15"/>
    <sheet xmlns:r="http://schemas.openxmlformats.org/officeDocument/2006/relationships" name="Adjustment Overview" sheetId="16" state="visible" r:id="rId16"/>
    <sheet xmlns:r="http://schemas.openxmlformats.org/officeDocument/2006/relationships" name="Rating CE" sheetId="17" state="visible" r:id="rId17"/>
    <sheet xmlns:r="http://schemas.openxmlformats.org/officeDocument/2006/relationships" name="Documentation" sheetId="18" state="visible" r:id="rId18"/>
    <sheet xmlns:r="http://schemas.openxmlformats.org/officeDocument/2006/relationships" name="LTV Curve UK" sheetId="19" state="visible" r:id="rId19"/>
    <sheet xmlns:r="http://schemas.openxmlformats.org/officeDocument/2006/relationships" name="LTV Curve Ireland" sheetId="20" state="visible" r:id="rId20"/>
    <sheet xmlns:r="http://schemas.openxmlformats.org/officeDocument/2006/relationships" name="LTV Curve Netherland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0.0&quot;x&quot;"/>
    <numFmt numFmtId="165" formatCode="0.0000"/>
    <numFmt numFmtId="166" formatCode="£#,##0"/>
    <numFmt numFmtId="167" formatCode="DD-MMM-YYYY"/>
    <numFmt numFmtId="168" formatCode="0.000"/>
    <numFmt numFmtId="169" formatCode="0.000%"/>
    <numFmt numFmtId="170" formatCode="£#,##0,,&quot;M&quot;"/>
    <numFmt numFmtId="171" formatCode="£#,##0,000"/>
    <numFmt numFmtId="172" formatCode="0.00x"/>
    <numFmt numFmtId="173" formatCode="0.0%"/>
    <numFmt numFmtId="174" formatCode="+0.00%;-0.00%;-"/>
    <numFmt numFmtId="175" formatCode="+0.000;-0.000;-"/>
    <numFmt numFmtId="176" formatCode="+0.0%;-0.0%;-"/>
  </numFmts>
  <fonts count="2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i val="1"/>
      <sz val="9"/>
    </font>
    <font>
      <i val="1"/>
      <sz val="8"/>
    </font>
    <font>
      <i val="1"/>
      <color rgb="00FF0000"/>
      <sz val="9"/>
    </font>
    <font>
      <b val="1"/>
      <color rgb="00FFFFFF"/>
      <sz val="14"/>
    </font>
    <font>
      <b val="1"/>
      <sz val="11"/>
    </font>
    <font>
      <sz val="9"/>
    </font>
    <font>
      <b val="1"/>
    </font>
    <font>
      <b val="1"/>
      <color rgb="00FFFFFF"/>
      <sz val="11"/>
    </font>
    <font>
      <b val="1"/>
      <sz val="12"/>
    </font>
    <font>
      <i val="1"/>
      <sz val="10"/>
    </font>
    <font>
      <sz val="10"/>
    </font>
    <font>
      <b val="1"/>
      <sz val="10"/>
    </font>
    <font>
      <i val="1"/>
      <color rgb="00808080"/>
    </font>
    <font>
      <b val="1"/>
      <color rgb="000000FF"/>
    </font>
    <font>
      <b val="1"/>
      <color rgb="000000FF"/>
      <sz val="10"/>
    </font>
    <font>
      <b val="1"/>
      <sz val="9"/>
    </font>
    <font>
      <b val="1"/>
      <color rgb="00000000"/>
    </font>
    <font>
      <color rgb="00999999"/>
    </font>
    <font>
      <b val="1"/>
      <color rgb="00FFFFFF"/>
    </font>
    <font>
      <b val="1"/>
      <color rgb="000000FF"/>
      <sz val="11"/>
    </font>
    <font>
      <i val="1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  <fill>
      <patternFill patternType="solid">
        <fgColor rgb="00C6E0B4"/>
        <bgColor rgb="00C6E0B4"/>
      </patternFill>
    </fill>
    <fill>
      <patternFill patternType="solid">
        <fgColor rgb="00D9E1F2"/>
        <bgColor rgb="00D9E1F2"/>
      </patternFill>
    </fill>
    <fill>
      <patternFill patternType="solid">
        <fgColor rgb="005B9BD5"/>
        <bgColor rgb="005B9BD5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C55A11"/>
        <bgColor rgb="00C55A11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1" pivotButton="0" quotePrefix="0" xfId="0"/>
    <xf numFmtId="0" fontId="0" fillId="3" borderId="1" pivotButton="0" quotePrefix="0" xfId="0"/>
    <xf numFmtId="10" fontId="0" fillId="3" borderId="1" pivotButton="0" quotePrefix="0" xfId="0"/>
    <xf numFmtId="164" fontId="0" fillId="3" borderId="1" pivotButton="0" quotePrefix="0" xfId="0"/>
    <xf numFmtId="9" fontId="0" fillId="3" borderId="1" pivotButton="0" quotePrefix="0" xfId="0"/>
    <xf numFmtId="165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3" fillId="0" borderId="0" applyAlignment="1" pivotButton="0" quotePrefix="0" xfId="0">
      <alignment horizontal="center"/>
    </xf>
    <xf numFmtId="0" fontId="0" fillId="4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0" fillId="5" borderId="1" pivotButton="0" quotePrefix="0" xfId="0"/>
    <xf numFmtId="0" fontId="5" fillId="0" borderId="0" applyAlignment="1" pivotButton="0" quotePrefix="0" xfId="0">
      <alignment horizontal="center"/>
    </xf>
    <xf numFmtId="0" fontId="0" fillId="6" borderId="1" pivotButton="0" quotePrefix="0" xfId="0"/>
    <xf numFmtId="166" fontId="0" fillId="6" borderId="1" pivotButton="0" quotePrefix="0" xfId="0"/>
    <xf numFmtId="167" fontId="0" fillId="6" borderId="1" pivotButton="0" quotePrefix="0" xfId="0"/>
    <xf numFmtId="10" fontId="0" fillId="6" borderId="1" pivotButton="0" quotePrefix="0" xfId="0"/>
    <xf numFmtId="2" fontId="0" fillId="6" borderId="1" pivotButton="0" quotePrefix="0" xfId="0"/>
    <xf numFmtId="165" fontId="0" fillId="6" borderId="1" pivotButton="0" quotePrefix="0" xfId="0"/>
    <xf numFmtId="168" fontId="0" fillId="6" borderId="1" pivotButton="0" quotePrefix="0" xfId="0"/>
    <xf numFmtId="169" fontId="0" fillId="7" borderId="1" pivotButton="0" quotePrefix="0" xfId="0"/>
    <xf numFmtId="0" fontId="6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7" fillId="8" borderId="0" pivotButton="0" quotePrefix="0" xfId="0"/>
    <xf numFmtId="0" fontId="2" fillId="9" borderId="1" pivotButton="0" quotePrefix="0" xfId="0"/>
    <xf numFmtId="0" fontId="0" fillId="7" borderId="1" pivotButton="0" quotePrefix="0" xfId="0"/>
    <xf numFmtId="167" fontId="0" fillId="5" borderId="1" pivotButton="0" quotePrefix="0" xfId="0"/>
    <xf numFmtId="170" fontId="0" fillId="7" borderId="1" pivotButton="0" quotePrefix="0" xfId="0"/>
    <xf numFmtId="10" fontId="0" fillId="7" borderId="1" pivotButton="0" quotePrefix="0" xfId="0"/>
    <xf numFmtId="2" fontId="0" fillId="5" borderId="1" pivotButton="0" quotePrefix="0" xfId="0"/>
    <xf numFmtId="0" fontId="8" fillId="0" borderId="0" applyAlignment="1" pivotButton="0" quotePrefix="0" xfId="0">
      <alignment horizontal="left" vertical="center" wrapText="1"/>
    </xf>
    <xf numFmtId="164" fontId="0" fillId="7" borderId="1" pivotButton="0" quotePrefix="0" xfId="0"/>
    <xf numFmtId="170" fontId="0" fillId="7" borderId="1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10" fontId="0" fillId="0" borderId="1" pivotButton="0" quotePrefix="0" xfId="0"/>
    <xf numFmtId="0" fontId="9" fillId="7" borderId="1" pivotButton="0" quotePrefix="0" xfId="0"/>
    <xf numFmtId="10" fontId="9" fillId="7" borderId="1" pivotButton="0" quotePrefix="0" xfId="0"/>
    <xf numFmtId="166" fontId="0" fillId="0" borderId="1" pivotButton="0" quotePrefix="0" xfId="0"/>
    <xf numFmtId="0" fontId="10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0" fontId="7" fillId="7" borderId="1" pivotButton="0" quotePrefix="0" xfId="0"/>
    <xf numFmtId="171" fontId="0" fillId="7" borderId="1" pivotButton="0" quotePrefix="0" xfId="0"/>
    <xf numFmtId="0" fontId="9" fillId="0" borderId="1" pivotButton="0" quotePrefix="0" xfId="0"/>
    <xf numFmtId="0" fontId="7" fillId="2" borderId="0" pivotButton="0" quotePrefix="0" xfId="0"/>
    <xf numFmtId="0" fontId="7" fillId="9" borderId="0" applyAlignment="1" pivotButton="0" quotePrefix="0" xfId="0">
      <alignment horizontal="center"/>
    </xf>
    <xf numFmtId="2" fontId="0" fillId="0" borderId="1" pivotButton="0" quotePrefix="0" xfId="0"/>
    <xf numFmtId="1" fontId="0" fillId="0" borderId="1" pivotButton="0" quotePrefix="0" xfId="0"/>
    <xf numFmtId="168" fontId="0" fillId="0" borderId="1" pivotButton="0" quotePrefix="0" xfId="0"/>
    <xf numFmtId="0" fontId="9" fillId="0" borderId="0" pivotButton="0" quotePrefix="0" xfId="0"/>
    <xf numFmtId="0" fontId="7" fillId="5" borderId="0" pivotButton="0" quotePrefix="0" xfId="0"/>
    <xf numFmtId="0" fontId="9" fillId="3" borderId="1" pivotButton="0" quotePrefix="0" xfId="0"/>
    <xf numFmtId="10" fontId="0" fillId="5" borderId="1" pivotButton="0" quotePrefix="0" xfId="0"/>
    <xf numFmtId="0" fontId="11" fillId="2" borderId="0" pivotButton="0" quotePrefix="0" xfId="0"/>
    <xf numFmtId="0" fontId="9" fillId="0" borderId="0" applyAlignment="1" pivotButton="0" quotePrefix="0" xfId="0">
      <alignment horizontal="center"/>
    </xf>
    <xf numFmtId="2" fontId="0" fillId="0" borderId="0" pivotButton="0" quotePrefix="0" xfId="0"/>
    <xf numFmtId="10" fontId="0" fillId="0" borderId="0" pivotButton="0" quotePrefix="0" xfId="0"/>
    <xf numFmtId="0" fontId="6" fillId="2" borderId="0" pivotButton="0" quotePrefix="0" xfId="0"/>
    <xf numFmtId="0" fontId="12" fillId="0" borderId="0" pivotButton="0" quotePrefix="0" xfId="0"/>
    <xf numFmtId="0" fontId="9" fillId="8" borderId="0" applyAlignment="1" pivotButton="0" quotePrefix="0" xfId="0">
      <alignment horizontal="center" vertical="center"/>
    </xf>
    <xf numFmtId="0" fontId="7" fillId="0" borderId="0" pivotButton="0" quotePrefix="0" xfId="0"/>
    <xf numFmtId="0" fontId="13" fillId="0" borderId="0" pivotButton="0" quotePrefix="0" xfId="0"/>
    <xf numFmtId="0" fontId="14" fillId="5" borderId="0" applyAlignment="1" pivotButton="0" quotePrefix="0" xfId="0">
      <alignment horizontal="center" wrapText="1"/>
    </xf>
    <xf numFmtId="0" fontId="15" fillId="0" borderId="0" pivotButton="0" quotePrefix="0" xfId="0"/>
    <xf numFmtId="0" fontId="11" fillId="0" borderId="0" pivotButton="0" quotePrefix="0" xfId="0"/>
    <xf numFmtId="0" fontId="6" fillId="10" borderId="0" pivotButton="0" quotePrefix="0" xfId="0"/>
    <xf numFmtId="0" fontId="10" fillId="2" borderId="0" pivotButton="0" quotePrefix="0" xfId="0"/>
    <xf numFmtId="10" fontId="7" fillId="0" borderId="0" pivotButton="0" quotePrefix="0" xfId="0"/>
    <xf numFmtId="172" fontId="7" fillId="0" borderId="0" pivotButton="0" quotePrefix="0" xfId="0"/>
    <xf numFmtId="0" fontId="9" fillId="8" borderId="0" applyAlignment="1" pivotButton="0" quotePrefix="0" xfId="0">
      <alignment horizontal="center"/>
    </xf>
    <xf numFmtId="168" fontId="0" fillId="0" borderId="0" pivotButton="0" quotePrefix="0" xfId="0"/>
    <xf numFmtId="173" fontId="0" fillId="0" borderId="0" pivotButton="0" quotePrefix="0" xfId="0"/>
    <xf numFmtId="0" fontId="9" fillId="5" borderId="0" applyAlignment="1" pivotButton="0" quotePrefix="0" xfId="0">
      <alignment horizontal="center"/>
    </xf>
    <xf numFmtId="174" fontId="0" fillId="0" borderId="0" pivotButton="0" quotePrefix="0" xfId="0"/>
    <xf numFmtId="0" fontId="9" fillId="11" borderId="0" applyAlignment="1" pivotButton="0" quotePrefix="0" xfId="0">
      <alignment horizontal="center"/>
    </xf>
    <xf numFmtId="175" fontId="0" fillId="0" borderId="0" pivotButton="0" quotePrefix="0" xfId="0"/>
    <xf numFmtId="176" fontId="0" fillId="0" borderId="0" pivotButton="0" quotePrefix="0" xfId="0"/>
    <xf numFmtId="0" fontId="0" fillId="0" borderId="0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0" fillId="13" borderId="0" applyAlignment="1" pivotButton="0" quotePrefix="0" xfId="0">
      <alignment horizontal="center" vertical="center"/>
    </xf>
    <xf numFmtId="0" fontId="14" fillId="11" borderId="0" pivotButton="0" quotePrefix="0" xfId="0"/>
    <xf numFmtId="0" fontId="1" fillId="12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2" fontId="16" fillId="0" borderId="0" pivotButton="0" quotePrefix="0" xfId="0"/>
    <xf numFmtId="168" fontId="16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13" borderId="0" applyAlignment="1" pivotButton="0" quotePrefix="0" xfId="0">
      <alignment horizontal="center" vertical="center"/>
    </xf>
    <xf numFmtId="0" fontId="22" fillId="0" borderId="0" pivotButton="0" quotePrefix="0" xfId="0"/>
    <xf numFmtId="0" fontId="8" fillId="0" borderId="0" applyAlignment="1" pivotButton="0" quotePrefix="0" xfId="0">
      <alignment vertical="top" wrapText="1"/>
    </xf>
    <xf numFmtId="0" fontId="18" fillId="1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/>
    </xf>
    <xf numFmtId="0" fontId="14" fillId="8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Adjustment Contributors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'Adjustment Overview'!E12</f>
            </strRef>
          </tx>
          <spPr>
            <a:ln xmlns:a="http://schemas.openxmlformats.org/drawingml/2006/main">
              <a:prstDash val="solid"/>
            </a:ln>
          </spPr>
          <cat>
            <numRef>
              <f>'Adjustment Overview'!$A$13:$A$22</f>
            </numRef>
          </cat>
          <val>
            <numRef>
              <f>'Adjustment Overview'!$E$13:$E$22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Impact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Contribution %</a:t>
            </a:r>
          </a:p>
        </rich>
      </tx>
    </title>
    <plotArea>
      <pieChart>
        <varyColors val="1"/>
        <ser>
          <idx val="0"/>
          <order val="0"/>
          <tx>
            <strRef>
              <f>'Adjustment Overview'!F12</f>
            </strRef>
          </tx>
          <spPr>
            <a:ln xmlns:a="http://schemas.openxmlformats.org/drawingml/2006/main">
              <a:prstDash val="solid"/>
            </a:ln>
          </spPr>
          <cat>
            <numRef>
              <f>'Adjustment Overview'!$A$13:$A$20</f>
            </numRef>
          </cat>
          <val>
            <numRef>
              <f>'Adjustment Overview'!$F$13:$F$20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5" customWidth="1" min="3" max="3"/>
    <col width="2" customWidth="1" min="4" max="4"/>
    <col width="50" customWidth="1" min="5" max="5"/>
    <col width="15" customWidth="1" min="6" max="6"/>
    <col width="20" customWidth="1" min="7" max="7"/>
    <col width="5" customWidth="1" min="8" max="8"/>
  </cols>
  <sheetData>
    <row r="1">
      <c r="A1" s="25" t="inlineStr">
        <is>
          <t>S&amp;P WAFF/WALS MODEL - CONTROL PANEL</t>
        </is>
      </c>
    </row>
    <row r="2">
      <c r="A2" s="11" t="inlineStr">
        <is>
          <t>Version 2.0 - Complete S&amp;P Exclusion Logic | Rating-Driven | BoE Field Mapping</t>
        </is>
      </c>
    </row>
    <row r="3">
      <c r="A3" s="26" t="inlineStr">
        <is>
          <t>Created: 14-Jan-2026 11:40</t>
        </is>
      </c>
    </row>
    <row r="5">
      <c r="A5" s="27" t="inlineStr">
        <is>
          <t>MODEL SETTINGS</t>
        </is>
      </c>
      <c r="E5" s="27" t="inlineStr">
        <is>
          <t>POOL STATISTICS</t>
        </is>
      </c>
    </row>
    <row r="6">
      <c r="A6" s="54" t="inlineStr">
        <is>
          <t>Jurisdiction</t>
        </is>
      </c>
      <c r="B6" s="55" t="inlineStr">
        <is>
          <t>UK</t>
        </is>
      </c>
      <c r="C6" s="2" t="inlineStr">
        <is>
          <t>Select: UK, Ireland, or Netherlands</t>
        </is>
      </c>
    </row>
    <row r="7">
      <c r="A7" s="28" t="inlineStr">
        <is>
          <t>Parameter</t>
        </is>
      </c>
      <c r="B7" s="28" t="inlineStr">
        <is>
          <t>Value</t>
        </is>
      </c>
      <c r="C7" s="28" t="inlineStr">
        <is>
          <t>Description</t>
        </is>
      </c>
      <c r="E7" s="28" t="inlineStr">
        <is>
          <t>Metric</t>
        </is>
      </c>
      <c r="F7" s="28" t="inlineStr">
        <is>
          <t>Value</t>
        </is>
      </c>
      <c r="G7" s="28" t="inlineStr">
        <is>
          <t>Note</t>
        </is>
      </c>
    </row>
    <row r="8">
      <c r="A8" t="inlineStr">
        <is>
          <t>Target Rating Level</t>
        </is>
      </c>
      <c r="B8" s="15" t="inlineStr">
        <is>
          <t>AAA</t>
        </is>
      </c>
      <c r="C8" t="inlineStr">
        <is>
          <t>Drives Base FF, MVD, FSD, Stress Multiple</t>
        </is>
      </c>
      <c r="E8" t="inlineStr">
        <is>
          <t>Loan Count</t>
        </is>
      </c>
      <c r="F8" s="29">
        <f>COUNTA('Loan Tape (S&amp;P)'!A:A)-1</f>
        <v/>
      </c>
      <c r="G8" t="inlineStr">
        <is>
          <t>After BoE conversion</t>
        </is>
      </c>
    </row>
    <row r="9">
      <c r="A9" t="inlineStr">
        <is>
          <t>Analysis Date</t>
        </is>
      </c>
      <c r="B9" s="30" t="n">
        <v>46036.48667008102</v>
      </c>
      <c r="C9" t="inlineStr">
        <is>
          <t>For seasoning and CCJ age calculations</t>
        </is>
      </c>
      <c r="E9" t="inlineStr">
        <is>
          <t>Total Balance</t>
        </is>
      </c>
      <c r="F9" s="36">
        <f>SUM('Loan Tape (S&amp;P)'!B:B)</f>
        <v/>
      </c>
      <c r="G9" t="inlineStr">
        <is>
          <t>£ millions</t>
        </is>
      </c>
    </row>
    <row r="10">
      <c r="A10" t="inlineStr">
        <is>
          <t>Portfolio Cutoff Date</t>
        </is>
      </c>
      <c r="B10" s="30" t="n">
        <v>46036.48667008102</v>
      </c>
      <c r="C10" t="inlineStr">
        <is>
          <t>Loan tape as-of date</t>
        </is>
      </c>
      <c r="E10" t="inlineStr">
        <is>
          <t>Avg S&amp;P LTV</t>
        </is>
      </c>
      <c r="F10" s="32">
        <f>AVERAGE('FF Calculations'!E:E)</f>
        <v/>
      </c>
      <c r="G10" t="inlineStr">
        <is>
          <t>Pool average</t>
        </is>
      </c>
    </row>
    <row r="11">
      <c r="A11" t="inlineStr">
        <is>
          <t>OLTV Weight</t>
        </is>
      </c>
      <c r="B11" s="33" t="n">
        <v>0.8</v>
      </c>
      <c r="C11" t="inlineStr">
        <is>
          <t>S&amp;P LTV: OLTV weight (typically 80%)</t>
        </is>
      </c>
      <c r="E11" t="inlineStr">
        <is>
          <t>Pool WAFF (%)</t>
        </is>
      </c>
      <c r="F11" s="24">
        <f>SUMPRODUCT('FF Calculations'!Z5:Z104,'FF Calculations'!B5:B104)/SUM('FF Calculations'!B5:B104)</f>
        <v/>
      </c>
      <c r="G11" t="inlineStr">
        <is>
          <t>Balance-weighted FF</t>
        </is>
      </c>
    </row>
    <row r="12">
      <c r="A12" t="inlineStr">
        <is>
          <t>CLTV Weight</t>
        </is>
      </c>
      <c r="B12" s="33">
        <f>VLOOKUP($B$6,'Jurisdiction Parameters'!$A:$B,2,FALSE)</f>
        <v/>
      </c>
      <c r="C12" t="inlineStr">
        <is>
          <t>S&amp;P LTV: CLTV weight (typically 20%)</t>
        </is>
      </c>
    </row>
    <row r="13">
      <c r="A13" t="inlineStr">
        <is>
          <t>Originator Adjustment</t>
        </is>
      </c>
      <c r="B13" s="33">
        <f>VLOOKUP($B$6,'Jurisdiction Parameters'!$A:$C,3,FALSE)</f>
        <v/>
      </c>
      <c r="C13" t="inlineStr">
        <is>
          <t>Global originator quality (0.70-1.30)</t>
        </is>
      </c>
    </row>
    <row r="15">
      <c r="A15" s="27" t="inlineStr">
        <is>
          <t>RATING-DRIVEN PARAMETERS (AUTO)</t>
        </is>
      </c>
      <c r="E15" s="27" t="inlineStr">
        <is>
          <t>QUICK START GUIDE</t>
        </is>
      </c>
    </row>
    <row r="17">
      <c r="A17" s="28" t="inlineStr">
        <is>
          <t>Parameter</t>
        </is>
      </c>
      <c r="B17" s="28" t="inlineStr">
        <is>
          <t>Value</t>
        </is>
      </c>
      <c r="C17" s="28" t="inlineStr">
        <is>
          <t>Source</t>
        </is>
      </c>
      <c r="E17" s="34" t="inlineStr">
        <is>
          <t>1. Input loan data in Loan Tape (BoE) using Bank of England codes</t>
        </is>
      </c>
    </row>
    <row r="18">
      <c r="A18" t="inlineStr">
        <is>
          <t>Base FF (%)</t>
        </is>
      </c>
      <c r="B18" s="32">
        <f>VLOOKUP($B$8,'Rating Parameters'!$A$6:$C$17,2,FALSE)</f>
        <v/>
      </c>
      <c r="C18" t="inlineStr">
        <is>
          <t>From Rating Parameters</t>
        </is>
      </c>
      <c r="E18" s="34" t="inlineStr">
        <is>
          <t>2. Data auto-converts to Loan Tape (S&amp;P) format</t>
        </is>
      </c>
    </row>
    <row r="19">
      <c r="A19" t="inlineStr">
        <is>
          <t>MVD (%)</t>
        </is>
      </c>
      <c r="B19" s="32">
        <f>VLOOKUP($B$8,'Rating Parameters'!$A$6:$C$17,3,FALSE)</f>
        <v/>
      </c>
      <c r="C19" t="inlineStr">
        <is>
          <t>Market Value Decline</t>
        </is>
      </c>
      <c r="E19" s="34" t="inlineStr">
        <is>
          <t>3. Select target rating level above (drives FF/MVD/FSD)</t>
        </is>
      </c>
    </row>
    <row r="20">
      <c r="A20" t="inlineStr">
        <is>
          <t>FSD (%)</t>
        </is>
      </c>
      <c r="B20" s="32">
        <f>VLOOKUP($B$8,'Rating Parameters'!$A$6:$D$17,4,FALSE)</f>
        <v/>
      </c>
      <c r="C20" t="inlineStr">
        <is>
          <t>Forced Sale Discount</t>
        </is>
      </c>
      <c r="E20" s="34" t="inlineStr">
        <is>
          <t>4. Set originator adjustment (0.70-1.30, default 1.00)</t>
        </is>
      </c>
    </row>
    <row r="21">
      <c r="A21" t="inlineStr">
        <is>
          <t>Stress Multiple</t>
        </is>
      </c>
      <c r="B21" s="35">
        <f>VLOOKUP($B$8,'Rating Parameters'!$F$6:$G$17,2,FALSE)</f>
        <v/>
      </c>
      <c r="C21" t="inlineStr">
        <is>
          <t>For CE calculation</t>
        </is>
      </c>
      <c r="E21" s="34" t="inlineStr">
        <is>
          <t>5. Review FF Calculations for loan-level results</t>
        </is>
      </c>
    </row>
    <row r="22">
      <c r="E22" s="34" t="inlineStr">
        <is>
          <t>6. Check Pool WAFF in statistics panel</t>
        </is>
      </c>
    </row>
    <row r="23">
      <c r="E23" s="34" t="inlineStr"/>
    </row>
    <row r="24">
      <c r="E24" s="34" t="inlineStr">
        <is>
          <t>CRITICAL NOTES:</t>
        </is>
      </c>
    </row>
    <row r="25">
      <c r="E25" s="34" t="inlineStr">
        <is>
          <t>• BTL identified from BV27 (Occupancy), not BV29 (Payment Method)</t>
        </is>
      </c>
    </row>
    <row r="26">
      <c r="E26" s="34" t="inlineStr">
        <is>
          <t>• All S&amp;P exclusion rules automatically applied</t>
        </is>
      </c>
    </row>
    <row r="27">
      <c r="E27" s="34" t="inlineStr">
        <is>
          <t>• Joint borrower logic uses minimum of joint vs individual</t>
        </is>
      </c>
    </row>
    <row r="28">
      <c r="E28" s="34" t="inlineStr">
        <is>
          <t>• Self-cert vs income: uses higher (not both)</t>
        </is>
      </c>
    </row>
  </sheetData>
  <mergeCells count="6">
    <mergeCell ref="A5:C5"/>
    <mergeCell ref="E5:G5"/>
    <mergeCell ref="A2:H2"/>
    <mergeCell ref="E15:H15"/>
    <mergeCell ref="A1:H1"/>
    <mergeCell ref="A15:C15"/>
  </mergeCells>
  <dataValidations count="2">
    <dataValidation sqref="B8" showDropDown="0" showInputMessage="0" showErrorMessage="0" allowBlank="0" type="list">
      <formula1>"AAA,AA+,AA,AA-,A+,A,A-,BBB+,BBB,BBB-,BB,B"</formula1>
    </dataValidation>
    <dataValidation sqref="B6" showDropDown="0" showInputMessage="0" showErrorMessage="0" allowBlank="0" type="list">
      <formula1>"UK,Ireland,Netherlands"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25" customWidth="1" min="4" max="4"/>
    <col width="12" customWidth="1" min="5" max="5"/>
    <col width="40" customWidth="1" min="6" max="6"/>
  </cols>
  <sheetData>
    <row r="1" ht="25" customHeight="1">
      <c r="A1" s="62" t="inlineStr">
        <is>
          <t>BOE AUTO-MAPPER CONFIGURATION</t>
        </is>
      </c>
    </row>
    <row r="2">
      <c r="A2" s="63" t="inlineStr">
        <is>
          <t>This sheet defines the mapping from Bank of England PRA110 codes to S&amp;P format fields</t>
        </is>
      </c>
    </row>
    <row r="4">
      <c r="A4" s="83" t="inlineStr">
        <is>
          <t>AR Code</t>
        </is>
      </c>
      <c r="B4" s="83" t="inlineStr">
        <is>
          <t>BoE Description</t>
        </is>
      </c>
      <c r="C4" s="83" t="inlineStr">
        <is>
          <t>S&amp;P Column</t>
        </is>
      </c>
      <c r="D4" s="83" t="inlineStr">
        <is>
          <t>S&amp;P Field Name</t>
        </is>
      </c>
      <c r="E4" s="83" t="inlineStr">
        <is>
          <t>Data Type</t>
        </is>
      </c>
      <c r="F4" s="83" t="inlineStr">
        <is>
          <t>Conversion Rule</t>
        </is>
      </c>
    </row>
    <row r="5">
      <c r="A5" s="84" t="inlineStr">
        <is>
          <t>AR1</t>
        </is>
      </c>
      <c r="B5" s="85" t="inlineStr">
        <is>
          <t>Pool Cut-off Date</t>
        </is>
      </c>
      <c r="C5" s="85" t="inlineStr"/>
      <c r="D5" s="85" t="inlineStr">
        <is>
          <t>Pool Cut-off Date</t>
        </is>
      </c>
      <c r="E5" s="85" t="inlineStr">
        <is>
          <t>Date</t>
        </is>
      </c>
      <c r="F5" s="85" t="inlineStr">
        <is>
          <t>Date</t>
        </is>
      </c>
    </row>
    <row r="6">
      <c r="A6" s="84" t="inlineStr">
        <is>
          <t>AR2</t>
        </is>
      </c>
      <c r="B6" s="85" t="inlineStr">
        <is>
          <t>Pool Identifier</t>
        </is>
      </c>
      <c r="C6" s="85" t="inlineStr"/>
      <c r="D6" s="85" t="inlineStr">
        <is>
          <t>Pool Identifier</t>
        </is>
      </c>
      <c r="E6" s="85" t="inlineStr">
        <is>
          <t>Text/Numeric</t>
        </is>
      </c>
      <c r="F6" s="85" t="inlineStr">
        <is>
          <t>Direct</t>
        </is>
      </c>
    </row>
    <row r="7">
      <c r="A7" s="84" t="inlineStr">
        <is>
          <t>AR3</t>
        </is>
      </c>
      <c r="B7" s="85" t="inlineStr">
        <is>
          <t>Loan Identifier</t>
        </is>
      </c>
      <c r="C7" s="85" t="inlineStr">
        <is>
          <t>A</t>
        </is>
      </c>
      <c r="D7" s="85" t="inlineStr">
        <is>
          <t>Loan Identifier</t>
        </is>
      </c>
      <c r="E7" s="85" t="inlineStr">
        <is>
          <t>Text/Numeric</t>
        </is>
      </c>
      <c r="F7" s="85" t="inlineStr">
        <is>
          <t>Direct</t>
        </is>
      </c>
    </row>
    <row r="8">
      <c r="A8" s="84" t="inlineStr">
        <is>
          <t>AR5</t>
        </is>
      </c>
      <c r="B8" s="85" t="inlineStr">
        <is>
          <t>Originator</t>
        </is>
      </c>
      <c r="C8" s="85" t="inlineStr">
        <is>
          <t>B</t>
        </is>
      </c>
      <c r="D8" s="85" t="inlineStr">
        <is>
          <t>Originator</t>
        </is>
      </c>
      <c r="E8" s="85" t="inlineStr">
        <is>
          <t>Text</t>
        </is>
      </c>
      <c r="F8" s="85" t="inlineStr">
        <is>
          <t>Direct</t>
        </is>
      </c>
    </row>
    <row r="9">
      <c r="A9" s="84" t="inlineStr">
        <is>
          <t>AR19</t>
        </is>
      </c>
      <c r="B9" s="85" t="inlineStr">
        <is>
          <t>Number of Debtors</t>
        </is>
      </c>
      <c r="C9" s="85" t="inlineStr">
        <is>
          <t>AA</t>
        </is>
      </c>
      <c r="D9" s="85" t="inlineStr">
        <is>
          <t>Number of Debtors</t>
        </is>
      </c>
      <c r="E9" s="85" t="inlineStr">
        <is>
          <t>Numeric</t>
        </is>
      </c>
      <c r="F9" s="85" t="inlineStr">
        <is>
          <t>Direct</t>
        </is>
      </c>
    </row>
    <row r="10">
      <c r="A10" s="84" t="inlineStr">
        <is>
          <t>AR21</t>
        </is>
      </c>
      <c r="B10" s="85" t="inlineStr">
        <is>
          <t>Borrower's Employment Status</t>
        </is>
      </c>
      <c r="C10" s="85" t="inlineStr">
        <is>
          <t>W</t>
        </is>
      </c>
      <c r="D10" s="85" t="inlineStr">
        <is>
          <t>Employment Status</t>
        </is>
      </c>
      <c r="E10" s="85" t="inlineStr">
        <is>
          <t>List</t>
        </is>
      </c>
      <c r="F10" s="85" t="inlineStr">
        <is>
          <t>Code_Lookup</t>
        </is>
      </c>
    </row>
    <row r="11">
      <c r="A11" s="84" t="inlineStr">
        <is>
          <t>AR22</t>
        </is>
      </c>
      <c r="B11" s="85" t="inlineStr">
        <is>
          <t xml:space="preserve">First-time Buyer </t>
        </is>
      </c>
      <c r="C11" s="85" t="inlineStr">
        <is>
          <t>U</t>
        </is>
      </c>
      <c r="D11" s="85" t="inlineStr">
        <is>
          <t>First Time Buyer</t>
        </is>
      </c>
      <c r="E11" s="85" t="inlineStr">
        <is>
          <t>Y / N / ND</t>
        </is>
      </c>
      <c r="F11" s="85" t="inlineStr">
        <is>
          <t>YN_Convert</t>
        </is>
      </c>
    </row>
    <row r="12">
      <c r="A12" s="84" t="inlineStr">
        <is>
          <t>AR23</t>
        </is>
      </c>
      <c r="B12" s="85" t="inlineStr">
        <is>
          <t>Right to Buy</t>
        </is>
      </c>
      <c r="C12" s="85" t="inlineStr">
        <is>
          <t>V</t>
        </is>
      </c>
      <c r="D12" s="85" t="inlineStr">
        <is>
          <t>Right to Buy</t>
        </is>
      </c>
      <c r="E12" s="85" t="inlineStr">
        <is>
          <t>Y / N / ND</t>
        </is>
      </c>
      <c r="F12" s="85" t="inlineStr">
        <is>
          <t>YN_Convert</t>
        </is>
      </c>
    </row>
    <row r="13">
      <c r="A13" s="84" t="inlineStr">
        <is>
          <t>AR26</t>
        </is>
      </c>
      <c r="B13" s="85" t="inlineStr">
        <is>
          <t>Primary Income</t>
        </is>
      </c>
      <c r="C13" s="85" t="inlineStr">
        <is>
          <t>Y</t>
        </is>
      </c>
      <c r="D13" s="85" t="inlineStr">
        <is>
          <t>Primary Income</t>
        </is>
      </c>
      <c r="E13" s="85" t="inlineStr">
        <is>
          <t>Numeric</t>
        </is>
      </c>
      <c r="F13" s="85" t="inlineStr">
        <is>
          <t>Direct</t>
        </is>
      </c>
    </row>
    <row r="14">
      <c r="A14" s="84" t="inlineStr">
        <is>
          <t>AR27</t>
        </is>
      </c>
      <c r="B14" s="85" t="inlineStr">
        <is>
          <t>Income Verification for Primary Income</t>
        </is>
      </c>
      <c r="C14" s="85" t="inlineStr">
        <is>
          <t>X</t>
        </is>
      </c>
      <c r="D14" s="85" t="inlineStr">
        <is>
          <t>Income Verification</t>
        </is>
      </c>
      <c r="E14" s="85" t="inlineStr">
        <is>
          <t>List</t>
        </is>
      </c>
      <c r="F14" s="85" t="inlineStr">
        <is>
          <t>Code_Lookup</t>
        </is>
      </c>
    </row>
    <row r="15">
      <c r="A15" s="84" t="inlineStr">
        <is>
          <t>AR28</t>
        </is>
      </c>
      <c r="B15" s="85" t="inlineStr">
        <is>
          <t>Secondary Income</t>
        </is>
      </c>
      <c r="C15" s="85" t="inlineStr">
        <is>
          <t>Z</t>
        </is>
      </c>
      <c r="D15" s="85" t="inlineStr">
        <is>
          <t>Secondary Income</t>
        </is>
      </c>
      <c r="E15" s="85" t="inlineStr">
        <is>
          <t>Numeric</t>
        </is>
      </c>
      <c r="F15" s="85" t="inlineStr">
        <is>
          <t>Direct</t>
        </is>
      </c>
    </row>
    <row r="16">
      <c r="A16" s="84" t="inlineStr">
        <is>
          <t>AR31</t>
        </is>
      </c>
      <c r="B16" s="85" t="inlineStr">
        <is>
          <t>Number of County Court Judgements or equivalent  - Satisfied</t>
        </is>
      </c>
      <c r="C16" s="85" t="inlineStr">
        <is>
          <t>AD</t>
        </is>
      </c>
      <c r="D16" s="85" t="inlineStr">
        <is>
          <t>CCJ Satisfied</t>
        </is>
      </c>
      <c r="E16" s="85" t="inlineStr">
        <is>
          <t>Numeric</t>
        </is>
      </c>
      <c r="F16" s="85" t="inlineStr">
        <is>
          <t>Direct</t>
        </is>
      </c>
    </row>
    <row r="17">
      <c r="A17" s="84" t="inlineStr">
        <is>
          <t>AR33</t>
        </is>
      </c>
      <c r="B17" s="85" t="inlineStr">
        <is>
          <t>Number of County Court Judgements or equivalent - Unsatisfied</t>
        </is>
      </c>
      <c r="C17" s="85" t="inlineStr">
        <is>
          <t>AE</t>
        </is>
      </c>
      <c r="D17" s="85" t="inlineStr">
        <is>
          <t>CCJ Unsatisfied</t>
        </is>
      </c>
      <c r="E17" s="85" t="inlineStr">
        <is>
          <t>Numeric</t>
        </is>
      </c>
      <c r="F17" s="85" t="inlineStr">
        <is>
          <t>Direct</t>
        </is>
      </c>
    </row>
    <row r="18">
      <c r="A18" s="84" t="inlineStr">
        <is>
          <t>AR35</t>
        </is>
      </c>
      <c r="B18" s="85" t="inlineStr">
        <is>
          <t>Last County Court Judgements or equivalent – Date</t>
        </is>
      </c>
      <c r="C18" s="85" t="inlineStr">
        <is>
          <t>AF</t>
        </is>
      </c>
      <c r="D18" s="85" t="inlineStr">
        <is>
          <t>Last CCJ Date</t>
        </is>
      </c>
      <c r="E18" s="85" t="inlineStr">
        <is>
          <t>Date / ND</t>
        </is>
      </c>
      <c r="F18" s="85" t="inlineStr">
        <is>
          <t>Date</t>
        </is>
      </c>
    </row>
    <row r="19">
      <c r="A19" s="84" t="inlineStr">
        <is>
          <t>AR36</t>
        </is>
      </c>
      <c r="B19" s="85" t="inlineStr">
        <is>
          <t>Bankruptcy or Individual Voluntary Arrangement Flag</t>
        </is>
      </c>
      <c r="C19" s="85" t="inlineStr">
        <is>
          <t>AH</t>
        </is>
      </c>
      <c r="D19" s="85" t="inlineStr">
        <is>
          <t>Bankruptcy/IVA</t>
        </is>
      </c>
      <c r="E19" s="85" t="inlineStr">
        <is>
          <t>Y / N / ND</t>
        </is>
      </c>
      <c r="F19" s="85" t="inlineStr">
        <is>
          <t>YN_Convert</t>
        </is>
      </c>
    </row>
    <row r="20">
      <c r="A20" s="84" t="inlineStr">
        <is>
          <t>AR47</t>
        </is>
      </c>
      <c r="B20" s="85" t="inlineStr">
        <is>
          <t>Prior Repossessions</t>
        </is>
      </c>
      <c r="C20" s="85" t="inlineStr">
        <is>
          <t>AI</t>
        </is>
      </c>
      <c r="D20" s="85" t="inlineStr">
        <is>
          <t>Prior Repossession</t>
        </is>
      </c>
      <c r="E20" s="85" t="inlineStr">
        <is>
          <t>Y / N / ND</t>
        </is>
      </c>
      <c r="F20" s="85" t="inlineStr">
        <is>
          <t>YN_Convert</t>
        </is>
      </c>
    </row>
    <row r="21">
      <c r="A21" s="84" t="inlineStr">
        <is>
          <t>AR55</t>
        </is>
      </c>
      <c r="B21" s="85" t="inlineStr">
        <is>
          <t>Loan Origination Date</t>
        </is>
      </c>
      <c r="C21" s="85" t="inlineStr">
        <is>
          <t>K</t>
        </is>
      </c>
      <c r="D21" s="85" t="inlineStr">
        <is>
          <t>Origination Date</t>
        </is>
      </c>
      <c r="E21" s="85" t="inlineStr">
        <is>
          <t>Date</t>
        </is>
      </c>
      <c r="F21" s="85" t="inlineStr">
        <is>
          <t>Date</t>
        </is>
      </c>
    </row>
    <row r="22">
      <c r="A22" s="84" t="inlineStr">
        <is>
          <t>AR56</t>
        </is>
      </c>
      <c r="B22" s="85" t="inlineStr">
        <is>
          <t>Date of Loan Maturity</t>
        </is>
      </c>
      <c r="C22" s="85" t="inlineStr">
        <is>
          <t>L</t>
        </is>
      </c>
      <c r="D22" s="85" t="inlineStr">
        <is>
          <t>Maturity Date</t>
        </is>
      </c>
      <c r="E22" s="85" t="inlineStr">
        <is>
          <t>Date</t>
        </is>
      </c>
      <c r="F22" s="85" t="inlineStr">
        <is>
          <t>Date</t>
        </is>
      </c>
    </row>
    <row r="23">
      <c r="A23" s="84" t="inlineStr">
        <is>
          <t>AR59</t>
        </is>
      </c>
      <c r="B23" s="85" t="inlineStr">
        <is>
          <t>Purpose</t>
        </is>
      </c>
      <c r="C23" s="85" t="inlineStr">
        <is>
          <t>R</t>
        </is>
      </c>
      <c r="D23" s="85" t="inlineStr">
        <is>
          <t>Loan Purpose</t>
        </is>
      </c>
      <c r="E23" s="85" t="inlineStr">
        <is>
          <t>List</t>
        </is>
      </c>
      <c r="F23" s="85" t="inlineStr">
        <is>
          <t>Code_Lookup</t>
        </is>
      </c>
    </row>
    <row r="24">
      <c r="A24" s="84" t="inlineStr">
        <is>
          <t>AR60</t>
        </is>
      </c>
      <c r="B24" s="85" t="inlineStr">
        <is>
          <t>Shared Ownership</t>
        </is>
      </c>
      <c r="C24" s="85" t="inlineStr">
        <is>
          <t>S</t>
        </is>
      </c>
      <c r="D24" s="85" t="inlineStr">
        <is>
          <t>Shared Ownership</t>
        </is>
      </c>
      <c r="E24" s="85" t="inlineStr">
        <is>
          <t>List</t>
        </is>
      </c>
      <c r="F24" s="85" t="inlineStr">
        <is>
          <t>Code_Lookup</t>
        </is>
      </c>
    </row>
    <row r="25">
      <c r="A25" s="84" t="inlineStr">
        <is>
          <t>AR66</t>
        </is>
      </c>
      <c r="B25" s="85" t="inlineStr">
        <is>
          <t>Original Balance</t>
        </is>
      </c>
      <c r="C25" s="85" t="inlineStr">
        <is>
          <t>D</t>
        </is>
      </c>
      <c r="D25" s="85" t="inlineStr">
        <is>
          <t>Original Balance</t>
        </is>
      </c>
      <c r="E25" s="85" t="inlineStr">
        <is>
          <t>Numeric</t>
        </is>
      </c>
      <c r="F25" s="85" t="inlineStr">
        <is>
          <t>Direct</t>
        </is>
      </c>
    </row>
    <row r="26">
      <c r="A26" s="84" t="inlineStr">
        <is>
          <t>AR67</t>
        </is>
      </c>
      <c r="B26" s="85" t="inlineStr">
        <is>
          <t>Current Balance</t>
        </is>
      </c>
      <c r="C26" s="85" t="inlineStr">
        <is>
          <t>M</t>
        </is>
      </c>
      <c r="D26" s="85" t="inlineStr">
        <is>
          <t>Current Balance</t>
        </is>
      </c>
      <c r="E26" s="85" t="inlineStr">
        <is>
          <t>Numeric</t>
        </is>
      </c>
      <c r="F26" s="85" t="inlineStr">
        <is>
          <t>Direct</t>
        </is>
      </c>
    </row>
    <row r="27">
      <c r="A27" s="84" t="inlineStr">
        <is>
          <t>AR69</t>
        </is>
      </c>
      <c r="B27" s="85" t="inlineStr">
        <is>
          <t>Repayment Method</t>
        </is>
      </c>
      <c r="C27" s="85" t="inlineStr">
        <is>
          <t>P</t>
        </is>
      </c>
      <c r="D27" s="85" t="inlineStr">
        <is>
          <t>Payment Method</t>
        </is>
      </c>
      <c r="E27" s="85" t="inlineStr">
        <is>
          <t>List</t>
        </is>
      </c>
      <c r="F27" s="85" t="inlineStr">
        <is>
          <t>Code_Lookup</t>
        </is>
      </c>
    </row>
    <row r="28">
      <c r="A28" s="84" t="inlineStr">
        <is>
          <t>AR73</t>
        </is>
      </c>
      <c r="B28" s="85" t="inlineStr">
        <is>
          <t>Debt to Income</t>
        </is>
      </c>
      <c r="C28" s="85" t="inlineStr">
        <is>
          <t>AC</t>
        </is>
      </c>
      <c r="D28" s="85" t="inlineStr">
        <is>
          <t>Debt to Income</t>
        </is>
      </c>
      <c r="E28" s="85" t="inlineStr">
        <is>
          <t>Numeric</t>
        </is>
      </c>
      <c r="F28" s="85" t="inlineStr">
        <is>
          <t>Direct</t>
        </is>
      </c>
    </row>
    <row r="29">
      <c r="A29" s="84" t="inlineStr">
        <is>
          <t>AR84</t>
        </is>
      </c>
      <c r="B29" s="85" t="inlineStr">
        <is>
          <t>Lien</t>
        </is>
      </c>
      <c r="C29" s="85" t="inlineStr">
        <is>
          <t>Q</t>
        </is>
      </c>
      <c r="D29" s="85" t="inlineStr">
        <is>
          <t>Lien Position</t>
        </is>
      </c>
      <c r="E29" s="85" t="inlineStr">
        <is>
          <t>List</t>
        </is>
      </c>
      <c r="F29" s="85" t="inlineStr">
        <is>
          <t>Code_Lookup</t>
        </is>
      </c>
    </row>
    <row r="30">
      <c r="A30" s="84" t="inlineStr">
        <is>
          <t>AR105</t>
        </is>
      </c>
      <c r="B30" s="85" t="inlineStr">
        <is>
          <t>Help to Buy Scheme Type</t>
        </is>
      </c>
      <c r="C30" s="85" t="inlineStr">
        <is>
          <t>T</t>
        </is>
      </c>
      <c r="D30" s="85" t="inlineStr">
        <is>
          <t>Help to Buy</t>
        </is>
      </c>
      <c r="E30" s="85" t="inlineStr">
        <is>
          <t>List</t>
        </is>
      </c>
      <c r="F30" s="85" t="inlineStr">
        <is>
          <t>Code_Lookup</t>
        </is>
      </c>
    </row>
    <row r="31">
      <c r="A31" s="84" t="inlineStr">
        <is>
          <t>AR107</t>
        </is>
      </c>
      <c r="B31" s="85" t="inlineStr">
        <is>
          <t>Interest Rate Type</t>
        </is>
      </c>
      <c r="C31" s="85" t="inlineStr">
        <is>
          <t>AQ</t>
        </is>
      </c>
      <c r="D31" s="85" t="inlineStr">
        <is>
          <t>Interest Rate Type</t>
        </is>
      </c>
      <c r="E31" s="85" t="inlineStr">
        <is>
          <t>List</t>
        </is>
      </c>
      <c r="F31" s="85" t="inlineStr">
        <is>
          <t>Code_Lookup</t>
        </is>
      </c>
    </row>
    <row r="32">
      <c r="A32" s="84" t="inlineStr">
        <is>
          <t>AR109</t>
        </is>
      </c>
      <c r="B32" s="85" t="inlineStr">
        <is>
          <t>Current Interest Rate</t>
        </is>
      </c>
      <c r="C32" s="85" t="inlineStr">
        <is>
          <t>O</t>
        </is>
      </c>
      <c r="D32" s="85" t="inlineStr">
        <is>
          <t>Interest Rate %</t>
        </is>
      </c>
      <c r="E32" s="85" t="inlineStr">
        <is>
          <t>Numeric</t>
        </is>
      </c>
      <c r="F32" s="85" t="inlineStr">
        <is>
          <t>Direct</t>
        </is>
      </c>
    </row>
    <row r="33">
      <c r="A33" s="84" t="inlineStr">
        <is>
          <t>AR128</t>
        </is>
      </c>
      <c r="B33" s="85" t="inlineStr">
        <is>
          <t>Geographic Region</t>
        </is>
      </c>
      <c r="C33" s="85" t="inlineStr">
        <is>
          <t>G</t>
        </is>
      </c>
      <c r="D33" s="85" t="inlineStr">
        <is>
          <t>Geographic Region</t>
        </is>
      </c>
      <c r="E33" s="85" t="inlineStr">
        <is>
          <t>List</t>
        </is>
      </c>
      <c r="F33" s="85" t="inlineStr">
        <is>
          <t>Code_Lookup</t>
        </is>
      </c>
    </row>
    <row r="34">
      <c r="A34" s="84" t="inlineStr">
        <is>
          <t>AR129</t>
        </is>
      </c>
      <c r="B34" s="85" t="inlineStr">
        <is>
          <t xml:space="preserve">Property Postcode </t>
        </is>
      </c>
      <c r="C34" s="85" t="inlineStr">
        <is>
          <t>H</t>
        </is>
      </c>
      <c r="D34" s="85" t="inlineStr">
        <is>
          <t>Property Postcode</t>
        </is>
      </c>
      <c r="E34" s="85" t="inlineStr">
        <is>
          <t>Text</t>
        </is>
      </c>
      <c r="F34" s="85" t="inlineStr">
        <is>
          <t>Direct</t>
        </is>
      </c>
    </row>
    <row r="35">
      <c r="A35" s="84" t="inlineStr">
        <is>
          <t>AR130</t>
        </is>
      </c>
      <c r="B35" s="85" t="inlineStr">
        <is>
          <t>Occupancy Type</t>
        </is>
      </c>
      <c r="C35" s="85" t="inlineStr">
        <is>
          <t>N</t>
        </is>
      </c>
      <c r="D35" s="85" t="inlineStr">
        <is>
          <t>Occupancy Type</t>
        </is>
      </c>
      <c r="E35" s="85" t="inlineStr">
        <is>
          <t>List</t>
        </is>
      </c>
      <c r="F35" s="85" t="inlineStr">
        <is>
          <t>Code_Lookup</t>
        </is>
      </c>
    </row>
    <row r="36">
      <c r="A36" s="84" t="inlineStr">
        <is>
          <t>AR131</t>
        </is>
      </c>
      <c r="B36" s="85" t="inlineStr">
        <is>
          <t>Property Type</t>
        </is>
      </c>
      <c r="C36" s="85" t="inlineStr">
        <is>
          <t>C</t>
        </is>
      </c>
      <c r="D36" s="85" t="inlineStr">
        <is>
          <t>Property Type</t>
        </is>
      </c>
      <c r="E36" s="85" t="inlineStr">
        <is>
          <t>List</t>
        </is>
      </c>
      <c r="F36" s="85" t="inlineStr">
        <is>
          <t>Code_Lookup</t>
        </is>
      </c>
    </row>
    <row r="37">
      <c r="A37" s="84" t="inlineStr">
        <is>
          <t>AR135</t>
        </is>
      </c>
      <c r="B37" s="85" t="inlineStr">
        <is>
          <t>Original Loan to Value</t>
        </is>
      </c>
      <c r="C37" s="85" t="inlineStr">
        <is>
          <t>I</t>
        </is>
      </c>
      <c r="D37" s="85" t="inlineStr">
        <is>
          <t>Original LTV %</t>
        </is>
      </c>
      <c r="E37" s="85" t="inlineStr">
        <is>
          <t>Numeric</t>
        </is>
      </c>
      <c r="F37" s="85" t="inlineStr">
        <is>
          <t>Direct</t>
        </is>
      </c>
    </row>
    <row r="38">
      <c r="A38" s="84" t="inlineStr">
        <is>
          <t>AR136</t>
        </is>
      </c>
      <c r="B38" s="85" t="inlineStr">
        <is>
          <t>Valuation Amount</t>
        </is>
      </c>
      <c r="C38" s="85" t="inlineStr">
        <is>
          <t>E</t>
        </is>
      </c>
      <c r="D38" s="85" t="inlineStr">
        <is>
          <t>Original Property Value</t>
        </is>
      </c>
      <c r="E38" s="85" t="inlineStr">
        <is>
          <t>Numeric</t>
        </is>
      </c>
      <c r="F38" s="85" t="inlineStr">
        <is>
          <t>Direct</t>
        </is>
      </c>
    </row>
    <row r="39">
      <c r="A39" s="84" t="inlineStr">
        <is>
          <t>AR141</t>
        </is>
      </c>
      <c r="B39" s="85" t="inlineStr">
        <is>
          <t>Current Loan to Value</t>
        </is>
      </c>
      <c r="C39" s="85" t="inlineStr">
        <is>
          <t>J</t>
        </is>
      </c>
      <c r="D39" s="85" t="inlineStr">
        <is>
          <t>Current LTV %</t>
        </is>
      </c>
      <c r="E39" s="85" t="inlineStr">
        <is>
          <t>Numeric</t>
        </is>
      </c>
      <c r="F39" s="85" t="inlineStr">
        <is>
          <t>Direct</t>
        </is>
      </c>
    </row>
    <row r="40">
      <c r="A40" s="84" t="inlineStr">
        <is>
          <t>AR143</t>
        </is>
      </c>
      <c r="B40" s="85" t="inlineStr">
        <is>
          <t>Current Valuation Amount</t>
        </is>
      </c>
      <c r="C40" s="85" t="inlineStr">
        <is>
          <t>F</t>
        </is>
      </c>
      <c r="D40" s="85" t="inlineStr">
        <is>
          <t>Current Property Value</t>
        </is>
      </c>
      <c r="E40" s="85" t="inlineStr">
        <is>
          <t xml:space="preserve">Numeric </t>
        </is>
      </c>
      <c r="F40" s="85" t="inlineStr">
        <is>
          <t>Direct</t>
        </is>
      </c>
    </row>
    <row r="41">
      <c r="A41" s="84" t="inlineStr">
        <is>
          <t>AR154</t>
        </is>
      </c>
      <c r="B41" s="85" t="inlineStr">
        <is>
          <t>Gross Annual Rental Income</t>
        </is>
      </c>
      <c r="C41" s="85" t="inlineStr">
        <is>
          <t>AK</t>
        </is>
      </c>
      <c r="D41" s="85" t="inlineStr">
        <is>
          <t>Rental Income</t>
        </is>
      </c>
      <c r="E41" s="85" t="inlineStr">
        <is>
          <t>Numeric</t>
        </is>
      </c>
      <c r="F41" s="85" t="inlineStr">
        <is>
          <t>Direct</t>
        </is>
      </c>
    </row>
    <row r="42">
      <c r="A42" s="84" t="inlineStr">
        <is>
          <t>AR156</t>
        </is>
      </c>
      <c r="B42" s="85" t="inlineStr">
        <is>
          <t>Debt Service Coverage Ratio</t>
        </is>
      </c>
      <c r="C42" s="85" t="inlineStr">
        <is>
          <t>AL</t>
        </is>
      </c>
      <c r="D42" s="85" t="inlineStr">
        <is>
          <t>DSCR</t>
        </is>
      </c>
      <c r="E42" s="85" t="inlineStr">
        <is>
          <t>Text/Numeric</t>
        </is>
      </c>
      <c r="F42" s="85" t="inlineStr">
        <is>
          <t>Direct</t>
        </is>
      </c>
    </row>
    <row r="43">
      <c r="A43" s="84" t="inlineStr">
        <is>
          <t>AR166</t>
        </is>
      </c>
      <c r="B43" s="85" t="inlineStr">
        <is>
          <t>Account Status</t>
        </is>
      </c>
      <c r="C43" s="85" t="inlineStr">
        <is>
          <t>AJ</t>
        </is>
      </c>
      <c r="D43" s="85" t="inlineStr">
        <is>
          <t>Account Status</t>
        </is>
      </c>
      <c r="E43" s="85" t="inlineStr">
        <is>
          <t>List</t>
        </is>
      </c>
      <c r="F43" s="85" t="inlineStr">
        <is>
          <t>Code_Lookup</t>
        </is>
      </c>
    </row>
    <row r="44">
      <c r="A44" s="84" t="inlineStr">
        <is>
          <t>AR167</t>
        </is>
      </c>
      <c r="B44" s="85" t="inlineStr">
        <is>
          <t>Date Last Current</t>
        </is>
      </c>
      <c r="C44" s="85" t="inlineStr">
        <is>
          <t>AO</t>
        </is>
      </c>
      <c r="D44" s="85" t="inlineStr">
        <is>
          <t>Date Last Current</t>
        </is>
      </c>
      <c r="E44" s="85" t="inlineStr">
        <is>
          <t>Date</t>
        </is>
      </c>
      <c r="F44" s="85" t="inlineStr">
        <is>
          <t>Date</t>
        </is>
      </c>
    </row>
    <row r="45">
      <c r="A45" s="84" t="inlineStr">
        <is>
          <t>AR168</t>
        </is>
      </c>
      <c r="B45" s="85" t="inlineStr">
        <is>
          <t>Date Last in Arrears</t>
        </is>
      </c>
      <c r="C45" s="85" t="inlineStr">
        <is>
          <t>AP</t>
        </is>
      </c>
      <c r="D45" s="85" t="inlineStr">
        <is>
          <t>Date Last in Arrears</t>
        </is>
      </c>
      <c r="E45" s="85" t="inlineStr">
        <is>
          <t>Date / ND</t>
        </is>
      </c>
      <c r="F45" s="85" t="inlineStr">
        <is>
          <t>Date</t>
        </is>
      </c>
    </row>
    <row r="46">
      <c r="A46" t="inlineStr">
        <is>
          <t>AR169</t>
        </is>
      </c>
      <c r="B46" t="inlineStr">
        <is>
          <t>Arrears Balance</t>
        </is>
      </c>
      <c r="C46" t="inlineStr">
        <is>
          <t>AM</t>
        </is>
      </c>
      <c r="D46" t="inlineStr">
        <is>
          <t>Arrears Balance</t>
        </is>
      </c>
      <c r="E46" t="inlineStr">
        <is>
          <t>Numeric</t>
        </is>
      </c>
      <c r="F46" t="inlineStr">
        <is>
          <t>Direct</t>
        </is>
      </c>
    </row>
    <row r="47">
      <c r="A47" t="inlineStr">
        <is>
          <t>AR170</t>
        </is>
      </c>
      <c r="B47" t="inlineStr">
        <is>
          <t>Number Months in Arrears</t>
        </is>
      </c>
      <c r="C47" t="inlineStr">
        <is>
          <t>AN</t>
        </is>
      </c>
      <c r="D47" t="inlineStr">
        <is>
          <t>Months in Arrears</t>
        </is>
      </c>
      <c r="E47" t="inlineStr">
        <is>
          <t>Numeric</t>
        </is>
      </c>
      <c r="F47" t="inlineStr">
        <is>
          <t>Direct</t>
        </is>
      </c>
    </row>
    <row r="48">
      <c r="A48" t="inlineStr">
        <is>
          <t>AR173</t>
        </is>
      </c>
      <c r="B48" t="inlineStr">
        <is>
          <t>Performance Arrangement</t>
        </is>
      </c>
      <c r="C48" t="inlineStr">
        <is>
          <t>AR</t>
        </is>
      </c>
      <c r="D48" t="inlineStr">
        <is>
          <t>Performance Arrangement</t>
        </is>
      </c>
      <c r="E48" t="inlineStr">
        <is>
          <t>Date</t>
        </is>
      </c>
      <c r="F48" t="inlineStr">
        <is>
          <t>Date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Y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00" t="inlineStr">
        <is>
          <t>AR1</t>
        </is>
      </c>
      <c r="B1" s="100" t="inlineStr">
        <is>
          <t>AR2</t>
        </is>
      </c>
      <c r="C1" s="100" t="inlineStr">
        <is>
          <t>AR3</t>
        </is>
      </c>
      <c r="D1" s="100" t="inlineStr">
        <is>
          <t>AR4</t>
        </is>
      </c>
      <c r="E1" s="100" t="inlineStr">
        <is>
          <t>AR5</t>
        </is>
      </c>
      <c r="F1" s="100" t="inlineStr">
        <is>
          <t>AR6</t>
        </is>
      </c>
      <c r="G1" s="100" t="inlineStr">
        <is>
          <t>AR7</t>
        </is>
      </c>
      <c r="H1" s="100" t="inlineStr">
        <is>
          <t>AR8</t>
        </is>
      </c>
      <c r="I1" s="100" t="inlineStr">
        <is>
          <t>AR9</t>
        </is>
      </c>
      <c r="J1" s="100" t="inlineStr">
        <is>
          <t>AR10</t>
        </is>
      </c>
      <c r="K1" s="100" t="inlineStr">
        <is>
          <t>AR11</t>
        </is>
      </c>
      <c r="L1" s="100" t="inlineStr">
        <is>
          <t>AR12</t>
        </is>
      </c>
      <c r="M1" s="100" t="inlineStr">
        <is>
          <t>AR13</t>
        </is>
      </c>
      <c r="N1" s="100" t="inlineStr">
        <is>
          <t>AR14</t>
        </is>
      </c>
      <c r="O1" s="100" t="inlineStr">
        <is>
          <t>AR15</t>
        </is>
      </c>
      <c r="P1" s="100" t="inlineStr">
        <is>
          <t>AR16</t>
        </is>
      </c>
      <c r="Q1" s="100" t="inlineStr">
        <is>
          <t>AR17</t>
        </is>
      </c>
      <c r="R1" s="100" t="inlineStr">
        <is>
          <t>AR18</t>
        </is>
      </c>
      <c r="S1" s="100" t="inlineStr">
        <is>
          <t>AR19</t>
        </is>
      </c>
      <c r="T1" s="100" t="inlineStr">
        <is>
          <t>AR20</t>
        </is>
      </c>
      <c r="U1" s="100" t="inlineStr">
        <is>
          <t>AR21</t>
        </is>
      </c>
      <c r="V1" s="100" t="inlineStr">
        <is>
          <t>AR22</t>
        </is>
      </c>
      <c r="W1" s="100" t="inlineStr">
        <is>
          <t>AR23</t>
        </is>
      </c>
      <c r="X1" s="100" t="inlineStr">
        <is>
          <t>AR24</t>
        </is>
      </c>
      <c r="Y1" s="100" t="inlineStr">
        <is>
          <t>AR25</t>
        </is>
      </c>
      <c r="Z1" s="100" t="inlineStr">
        <is>
          <t>AR26</t>
        </is>
      </c>
      <c r="AA1" s="100" t="inlineStr">
        <is>
          <t>AR27</t>
        </is>
      </c>
      <c r="AB1" s="100" t="inlineStr">
        <is>
          <t>AR28</t>
        </is>
      </c>
      <c r="AC1" s="100" t="inlineStr">
        <is>
          <t>AR29</t>
        </is>
      </c>
      <c r="AD1" s="100" t="inlineStr">
        <is>
          <t>AR30</t>
        </is>
      </c>
      <c r="AE1" s="100" t="inlineStr">
        <is>
          <t>AR31</t>
        </is>
      </c>
      <c r="AF1" s="100" t="inlineStr">
        <is>
          <t>AR32</t>
        </is>
      </c>
      <c r="AG1" s="100" t="inlineStr">
        <is>
          <t>AR33</t>
        </is>
      </c>
      <c r="AH1" s="100" t="inlineStr">
        <is>
          <t>AR34</t>
        </is>
      </c>
      <c r="AI1" s="100" t="inlineStr">
        <is>
          <t>AR35</t>
        </is>
      </c>
      <c r="AJ1" s="100" t="inlineStr">
        <is>
          <t>AR36</t>
        </is>
      </c>
      <c r="AK1" s="100" t="inlineStr">
        <is>
          <t>AR37</t>
        </is>
      </c>
      <c r="AL1" s="100" t="inlineStr">
        <is>
          <t>AR38</t>
        </is>
      </c>
      <c r="AM1" s="100" t="inlineStr">
        <is>
          <t>AR39</t>
        </is>
      </c>
      <c r="AN1" s="100" t="inlineStr">
        <is>
          <t>AR40</t>
        </is>
      </c>
      <c r="AO1" s="100" t="inlineStr">
        <is>
          <t>AR41</t>
        </is>
      </c>
      <c r="AP1" s="100" t="inlineStr">
        <is>
          <t>AR42</t>
        </is>
      </c>
      <c r="AQ1" s="100" t="inlineStr">
        <is>
          <t>AR43</t>
        </is>
      </c>
      <c r="AR1" s="100" t="inlineStr">
        <is>
          <t>AR44</t>
        </is>
      </c>
      <c r="AS1" s="100" t="inlineStr">
        <is>
          <t>AR45</t>
        </is>
      </c>
      <c r="AT1" s="100" t="inlineStr">
        <is>
          <t>AR46</t>
        </is>
      </c>
      <c r="AU1" s="100" t="inlineStr">
        <is>
          <t>AR47</t>
        </is>
      </c>
      <c r="AV1" s="100" t="inlineStr">
        <is>
          <t>AR48</t>
        </is>
      </c>
      <c r="AW1" s="100" t="inlineStr">
        <is>
          <t>AR49</t>
        </is>
      </c>
      <c r="AX1" s="100" t="inlineStr">
        <is>
          <t>AR50</t>
        </is>
      </c>
      <c r="AY1" s="100" t="inlineStr">
        <is>
          <t>AR51</t>
        </is>
      </c>
      <c r="AZ1" s="100" t="inlineStr">
        <is>
          <t>AR52</t>
        </is>
      </c>
      <c r="BA1" s="100" t="inlineStr">
        <is>
          <t>AR53</t>
        </is>
      </c>
      <c r="BB1" s="100" t="inlineStr">
        <is>
          <t>AR54</t>
        </is>
      </c>
      <c r="BC1" s="100" t="inlineStr">
        <is>
          <t>AR55</t>
        </is>
      </c>
      <c r="BD1" s="100" t="inlineStr">
        <is>
          <t>AR56</t>
        </is>
      </c>
      <c r="BE1" s="100" t="inlineStr">
        <is>
          <t>AR57</t>
        </is>
      </c>
      <c r="BF1" s="100" t="inlineStr">
        <is>
          <t>AR58</t>
        </is>
      </c>
      <c r="BG1" s="100" t="inlineStr">
        <is>
          <t>AR59</t>
        </is>
      </c>
      <c r="BH1" s="100" t="inlineStr">
        <is>
          <t>AR60</t>
        </is>
      </c>
      <c r="BI1" s="100" t="inlineStr">
        <is>
          <t>AR61</t>
        </is>
      </c>
      <c r="BJ1" s="100" t="inlineStr">
        <is>
          <t>AR62</t>
        </is>
      </c>
      <c r="BK1" s="100" t="inlineStr">
        <is>
          <t>AR63</t>
        </is>
      </c>
      <c r="BL1" s="100" t="inlineStr">
        <is>
          <t>AR64</t>
        </is>
      </c>
      <c r="BM1" s="100" t="inlineStr">
        <is>
          <t>AR65</t>
        </is>
      </c>
      <c r="BN1" s="100" t="inlineStr">
        <is>
          <t>AR66</t>
        </is>
      </c>
      <c r="BO1" s="100" t="inlineStr">
        <is>
          <t>AR67</t>
        </is>
      </c>
      <c r="BP1" s="100" t="inlineStr">
        <is>
          <t>AR68</t>
        </is>
      </c>
      <c r="BQ1" s="100" t="inlineStr">
        <is>
          <t>AR69</t>
        </is>
      </c>
      <c r="BR1" s="100" t="inlineStr">
        <is>
          <t>AR70</t>
        </is>
      </c>
      <c r="BS1" s="100" t="inlineStr">
        <is>
          <t>AR71</t>
        </is>
      </c>
      <c r="BT1" s="100" t="inlineStr">
        <is>
          <t>AR72</t>
        </is>
      </c>
      <c r="BU1" s="100" t="inlineStr">
        <is>
          <t>AR73</t>
        </is>
      </c>
      <c r="BV1" s="100" t="inlineStr">
        <is>
          <t>AR74</t>
        </is>
      </c>
      <c r="BW1" s="100" t="inlineStr">
        <is>
          <t>AR75</t>
        </is>
      </c>
      <c r="BX1" s="100" t="inlineStr">
        <is>
          <t>AR76</t>
        </is>
      </c>
      <c r="BY1" s="100" t="inlineStr">
        <is>
          <t>AR77</t>
        </is>
      </c>
      <c r="BZ1" s="100" t="inlineStr">
        <is>
          <t>AR78</t>
        </is>
      </c>
      <c r="CA1" s="100" t="inlineStr">
        <is>
          <t>AR79</t>
        </is>
      </c>
      <c r="CB1" s="100" t="inlineStr">
        <is>
          <t>AR80</t>
        </is>
      </c>
      <c r="CC1" s="100" t="inlineStr">
        <is>
          <t>AR81</t>
        </is>
      </c>
      <c r="CD1" s="100" t="inlineStr">
        <is>
          <t>AR82</t>
        </is>
      </c>
      <c r="CE1" s="100" t="inlineStr">
        <is>
          <t>AR83</t>
        </is>
      </c>
      <c r="CF1" s="100" t="inlineStr">
        <is>
          <t>AR84</t>
        </is>
      </c>
      <c r="CG1" s="100" t="inlineStr">
        <is>
          <t>AR85</t>
        </is>
      </c>
      <c r="CH1" s="100" t="inlineStr">
        <is>
          <t>AR86</t>
        </is>
      </c>
      <c r="CI1" s="100" t="inlineStr">
        <is>
          <t>AR87</t>
        </is>
      </c>
      <c r="CJ1" s="100" t="inlineStr">
        <is>
          <t>AR88</t>
        </is>
      </c>
      <c r="CK1" s="100" t="inlineStr">
        <is>
          <t>AR89</t>
        </is>
      </c>
      <c r="CL1" s="100" t="inlineStr">
        <is>
          <t>AR90</t>
        </is>
      </c>
      <c r="CM1" s="100" t="inlineStr">
        <is>
          <t>AR91</t>
        </is>
      </c>
      <c r="CN1" s="100" t="inlineStr">
        <is>
          <t>AR92</t>
        </is>
      </c>
      <c r="CO1" s="100" t="inlineStr">
        <is>
          <t>AR93</t>
        </is>
      </c>
      <c r="CP1" s="100" t="inlineStr">
        <is>
          <t>AR94</t>
        </is>
      </c>
      <c r="CQ1" s="100" t="inlineStr">
        <is>
          <t>AR95</t>
        </is>
      </c>
      <c r="CR1" s="100" t="inlineStr">
        <is>
          <t>AR96</t>
        </is>
      </c>
      <c r="CS1" s="100" t="inlineStr">
        <is>
          <t>AR97</t>
        </is>
      </c>
      <c r="CT1" s="100" t="inlineStr">
        <is>
          <t>AR98</t>
        </is>
      </c>
      <c r="CU1" s="100" t="inlineStr">
        <is>
          <t>AR99</t>
        </is>
      </c>
      <c r="CV1" s="100" t="inlineStr">
        <is>
          <t>AR100</t>
        </is>
      </c>
      <c r="CW1" s="100" t="inlineStr">
        <is>
          <t>AR101</t>
        </is>
      </c>
      <c r="CX1" s="100" t="inlineStr">
        <is>
          <t>AR102</t>
        </is>
      </c>
      <c r="CY1" s="100" t="inlineStr">
        <is>
          <t>AR103</t>
        </is>
      </c>
      <c r="CZ1" s="100" t="inlineStr">
        <is>
          <t>AR104</t>
        </is>
      </c>
      <c r="DA1" s="100" t="inlineStr">
        <is>
          <t>AR105</t>
        </is>
      </c>
      <c r="DB1" s="100" t="inlineStr">
        <is>
          <t>AR106</t>
        </is>
      </c>
      <c r="DC1" s="100" t="inlineStr">
        <is>
          <t>AR107</t>
        </is>
      </c>
      <c r="DD1" s="100" t="inlineStr">
        <is>
          <t>AR108</t>
        </is>
      </c>
      <c r="DE1" s="100" t="inlineStr">
        <is>
          <t>AR109</t>
        </is>
      </c>
      <c r="DF1" s="100" t="inlineStr">
        <is>
          <t>AR110</t>
        </is>
      </c>
      <c r="DG1" s="100" t="inlineStr">
        <is>
          <t>AR111</t>
        </is>
      </c>
      <c r="DH1" s="100" t="inlineStr">
        <is>
          <t>AR112</t>
        </is>
      </c>
      <c r="DI1" s="100" t="inlineStr">
        <is>
          <t>AR113</t>
        </is>
      </c>
      <c r="DJ1" s="100" t="inlineStr">
        <is>
          <t>AR114</t>
        </is>
      </c>
      <c r="DK1" s="100" t="inlineStr">
        <is>
          <t>AR115</t>
        </is>
      </c>
      <c r="DL1" s="100" t="inlineStr">
        <is>
          <t>AR116</t>
        </is>
      </c>
      <c r="DM1" s="100" t="inlineStr">
        <is>
          <t>AR117</t>
        </is>
      </c>
      <c r="DN1" s="100" t="inlineStr">
        <is>
          <t>AR118</t>
        </is>
      </c>
      <c r="DO1" s="100" t="inlineStr">
        <is>
          <t>AR119</t>
        </is>
      </c>
      <c r="DP1" s="100" t="inlineStr">
        <is>
          <t>AR120</t>
        </is>
      </c>
      <c r="DQ1" s="100" t="inlineStr">
        <is>
          <t>AR121</t>
        </is>
      </c>
      <c r="DR1" s="100" t="inlineStr">
        <is>
          <t>AR122</t>
        </is>
      </c>
      <c r="DS1" s="100" t="inlineStr">
        <is>
          <t>AR123</t>
        </is>
      </c>
      <c r="DT1" s="100" t="inlineStr">
        <is>
          <t>AR124</t>
        </is>
      </c>
      <c r="DU1" s="100" t="inlineStr">
        <is>
          <t>AR125</t>
        </is>
      </c>
      <c r="DV1" s="100" t="inlineStr">
        <is>
          <t>AR126</t>
        </is>
      </c>
      <c r="DW1" s="100" t="inlineStr">
        <is>
          <t>AR127</t>
        </is>
      </c>
      <c r="DX1" s="100" t="inlineStr">
        <is>
          <t>AR128</t>
        </is>
      </c>
      <c r="DY1" s="100" t="inlineStr">
        <is>
          <t>AR129</t>
        </is>
      </c>
      <c r="DZ1" s="100" t="inlineStr">
        <is>
          <t>AR130</t>
        </is>
      </c>
      <c r="EA1" s="100" t="inlineStr">
        <is>
          <t>AR131</t>
        </is>
      </c>
      <c r="EB1" s="100" t="inlineStr">
        <is>
          <t>AR132</t>
        </is>
      </c>
      <c r="EC1" s="100" t="inlineStr">
        <is>
          <t>AR133</t>
        </is>
      </c>
      <c r="ED1" s="100" t="inlineStr">
        <is>
          <t>AR134</t>
        </is>
      </c>
      <c r="EE1" s="100" t="inlineStr">
        <is>
          <t>AR135</t>
        </is>
      </c>
      <c r="EF1" s="100" t="inlineStr">
        <is>
          <t>AR136</t>
        </is>
      </c>
      <c r="EG1" s="100" t="inlineStr">
        <is>
          <t>AR137</t>
        </is>
      </c>
      <c r="EH1" s="100" t="inlineStr">
        <is>
          <t>AR138</t>
        </is>
      </c>
      <c r="EI1" s="100" t="inlineStr">
        <is>
          <t>AR139</t>
        </is>
      </c>
      <c r="EJ1" s="100" t="inlineStr">
        <is>
          <t>AR140</t>
        </is>
      </c>
      <c r="EK1" s="100" t="inlineStr">
        <is>
          <t>AR141</t>
        </is>
      </c>
      <c r="EL1" s="100" t="inlineStr">
        <is>
          <t>AR142</t>
        </is>
      </c>
      <c r="EM1" s="100" t="inlineStr">
        <is>
          <t>AR143</t>
        </is>
      </c>
      <c r="EN1" s="100" t="inlineStr">
        <is>
          <t>AR144</t>
        </is>
      </c>
      <c r="EO1" s="100" t="inlineStr">
        <is>
          <t>AR145</t>
        </is>
      </c>
      <c r="EP1" s="100" t="inlineStr">
        <is>
          <t>AR146</t>
        </is>
      </c>
      <c r="EQ1" s="100" t="inlineStr">
        <is>
          <t>AR147</t>
        </is>
      </c>
      <c r="ER1" s="100" t="inlineStr">
        <is>
          <t>AR148</t>
        </is>
      </c>
      <c r="ES1" s="100" t="inlineStr">
        <is>
          <t>AR149</t>
        </is>
      </c>
      <c r="ET1" s="100" t="inlineStr">
        <is>
          <t>AR150</t>
        </is>
      </c>
      <c r="EU1" s="100" t="inlineStr">
        <is>
          <t>AR151</t>
        </is>
      </c>
      <c r="EV1" s="100" t="inlineStr">
        <is>
          <t>AR152</t>
        </is>
      </c>
      <c r="EW1" s="100" t="inlineStr">
        <is>
          <t>AR153</t>
        </is>
      </c>
      <c r="EX1" s="100" t="inlineStr">
        <is>
          <t>AR154</t>
        </is>
      </c>
      <c r="EY1" s="100" t="inlineStr">
        <is>
          <t>AR155</t>
        </is>
      </c>
      <c r="EZ1" s="100" t="inlineStr">
        <is>
          <t>AR156</t>
        </is>
      </c>
      <c r="FA1" s="100" t="inlineStr">
        <is>
          <t>AR157</t>
        </is>
      </c>
      <c r="FB1" s="100" t="inlineStr">
        <is>
          <t>AR158</t>
        </is>
      </c>
      <c r="FC1" s="100" t="inlineStr">
        <is>
          <t>AR159</t>
        </is>
      </c>
      <c r="FD1" s="100" t="inlineStr">
        <is>
          <t>AR160</t>
        </is>
      </c>
      <c r="FE1" s="100" t="inlineStr">
        <is>
          <t>AR161</t>
        </is>
      </c>
      <c r="FF1" s="100" t="inlineStr">
        <is>
          <t>AR162</t>
        </is>
      </c>
      <c r="FG1" s="100" t="inlineStr">
        <is>
          <t>AR163</t>
        </is>
      </c>
      <c r="FH1" s="100" t="inlineStr">
        <is>
          <t>AR164</t>
        </is>
      </c>
      <c r="FI1" s="100" t="inlineStr">
        <is>
          <t>AR165</t>
        </is>
      </c>
      <c r="FJ1" s="100" t="inlineStr">
        <is>
          <t>AR166</t>
        </is>
      </c>
      <c r="FK1" s="100" t="inlineStr">
        <is>
          <t>AR167</t>
        </is>
      </c>
      <c r="FL1" s="100" t="inlineStr">
        <is>
          <t>AR168</t>
        </is>
      </c>
      <c r="FM1" s="100" t="inlineStr">
        <is>
          <t>AR169</t>
        </is>
      </c>
      <c r="FN1" s="100" t="inlineStr">
        <is>
          <t>AR170</t>
        </is>
      </c>
      <c r="FO1" s="100" t="inlineStr">
        <is>
          <t>AR171</t>
        </is>
      </c>
      <c r="FP1" s="100" t="inlineStr">
        <is>
          <t>AR172</t>
        </is>
      </c>
      <c r="FQ1" s="100" t="inlineStr">
        <is>
          <t>AR173</t>
        </is>
      </c>
      <c r="FR1" s="100" t="inlineStr">
        <is>
          <t>AR174</t>
        </is>
      </c>
      <c r="FS1" s="100" t="inlineStr">
        <is>
          <t>AR175</t>
        </is>
      </c>
      <c r="FT1" s="100" t="inlineStr">
        <is>
          <t>AR176</t>
        </is>
      </c>
      <c r="FU1" s="100" t="inlineStr">
        <is>
          <t>AR177</t>
        </is>
      </c>
      <c r="FV1" s="100" t="inlineStr">
        <is>
          <t>AR178</t>
        </is>
      </c>
      <c r="FW1" s="100" t="inlineStr">
        <is>
          <t>AR179</t>
        </is>
      </c>
      <c r="FX1" s="100" t="inlineStr">
        <is>
          <t>AR180</t>
        </is>
      </c>
      <c r="FY1" s="100" t="inlineStr">
        <is>
          <t>AR181</t>
        </is>
      </c>
      <c r="FZ1" s="100" t="inlineStr">
        <is>
          <t>AR182</t>
        </is>
      </c>
      <c r="GA1" s="100" t="inlineStr">
        <is>
          <t>AR183</t>
        </is>
      </c>
      <c r="GB1" s="100" t="inlineStr">
        <is>
          <t>AR184</t>
        </is>
      </c>
      <c r="GC1" s="100" t="inlineStr">
        <is>
          <t>AR185</t>
        </is>
      </c>
      <c r="GD1" s="100" t="inlineStr">
        <is>
          <t>AR186</t>
        </is>
      </c>
      <c r="GE1" s="100" t="inlineStr">
        <is>
          <t>AR187</t>
        </is>
      </c>
      <c r="GF1" s="100" t="inlineStr">
        <is>
          <t>AR188</t>
        </is>
      </c>
      <c r="GG1" s="100" t="inlineStr">
        <is>
          <t>AR189</t>
        </is>
      </c>
      <c r="GH1" s="100" t="inlineStr">
        <is>
          <t>AR190</t>
        </is>
      </c>
      <c r="GI1" s="100" t="inlineStr">
        <is>
          <t>AR191</t>
        </is>
      </c>
      <c r="GJ1" s="100" t="inlineStr">
        <is>
          <t>AR192</t>
        </is>
      </c>
      <c r="GK1" s="100" t="inlineStr">
        <is>
          <t>AR193</t>
        </is>
      </c>
      <c r="GL1" s="100" t="inlineStr">
        <is>
          <t>AR194</t>
        </is>
      </c>
      <c r="GM1" s="100" t="inlineStr">
        <is>
          <t>AR195</t>
        </is>
      </c>
      <c r="GN1" s="100" t="inlineStr">
        <is>
          <t>AR196</t>
        </is>
      </c>
      <c r="GO1" s="100" t="inlineStr">
        <is>
          <t>AR197</t>
        </is>
      </c>
      <c r="GP1" s="100" t="inlineStr">
        <is>
          <t>AR198</t>
        </is>
      </c>
      <c r="GQ1" s="100" t="inlineStr">
        <is>
          <t>AR199</t>
        </is>
      </c>
      <c r="GR1" s="100" t="inlineStr">
        <is>
          <t>AR200</t>
        </is>
      </c>
      <c r="GS1" s="100" t="inlineStr">
        <is>
          <t>AR201</t>
        </is>
      </c>
      <c r="GT1" s="100" t="inlineStr">
        <is>
          <t>AR202</t>
        </is>
      </c>
      <c r="GU1" s="100" t="inlineStr">
        <is>
          <t>AR203</t>
        </is>
      </c>
      <c r="GV1" s="100" t="inlineStr">
        <is>
          <t>AR204</t>
        </is>
      </c>
      <c r="GW1" s="100" t="inlineStr">
        <is>
          <t>AR205</t>
        </is>
      </c>
      <c r="GX1" s="100" t="inlineStr">
        <is>
          <t>AR206</t>
        </is>
      </c>
      <c r="GY1" s="100" t="inlineStr">
        <is>
          <t>AR207</t>
        </is>
      </c>
      <c r="GZ1" s="100" t="inlineStr">
        <is>
          <t>AR208</t>
        </is>
      </c>
      <c r="HA1" s="100" t="inlineStr">
        <is>
          <t>AR209</t>
        </is>
      </c>
      <c r="HB1" s="100" t="inlineStr">
        <is>
          <t>AR210</t>
        </is>
      </c>
      <c r="HC1" s="100" t="inlineStr">
        <is>
          <t>AR211</t>
        </is>
      </c>
      <c r="HD1" s="100" t="inlineStr">
        <is>
          <t>AR213</t>
        </is>
      </c>
      <c r="HE1" s="100" t="inlineStr">
        <is>
          <t>AR214</t>
        </is>
      </c>
      <c r="HF1" s="100" t="inlineStr">
        <is>
          <t>AR215</t>
        </is>
      </c>
      <c r="HG1" s="100" t="inlineStr">
        <is>
          <t>AR216</t>
        </is>
      </c>
      <c r="HH1" s="100" t="inlineStr">
        <is>
          <t>AR217</t>
        </is>
      </c>
      <c r="HI1" s="100" t="inlineStr">
        <is>
          <t>AR218</t>
        </is>
      </c>
      <c r="HJ1" s="100" t="inlineStr">
        <is>
          <t>AR220</t>
        </is>
      </c>
      <c r="HK1" s="100" t="inlineStr">
        <is>
          <t>AR221</t>
        </is>
      </c>
      <c r="HL1" s="100" t="inlineStr">
        <is>
          <t>AR222</t>
        </is>
      </c>
      <c r="HM1" s="100" t="inlineStr">
        <is>
          <t>AR223</t>
        </is>
      </c>
      <c r="HN1" s="100" t="inlineStr">
        <is>
          <t>AR224</t>
        </is>
      </c>
      <c r="HO1" s="100" t="inlineStr">
        <is>
          <t>AR225</t>
        </is>
      </c>
      <c r="HP1" s="100" t="inlineStr">
        <is>
          <t>AR226</t>
        </is>
      </c>
      <c r="HQ1" s="100" t="inlineStr">
        <is>
          <t>AR227</t>
        </is>
      </c>
      <c r="HR1" s="100" t="inlineStr">
        <is>
          <t>AR228</t>
        </is>
      </c>
      <c r="HS1" s="100" t="inlineStr">
        <is>
          <t>AR230</t>
        </is>
      </c>
      <c r="HT1" s="100" t="inlineStr">
        <is>
          <t>AR231</t>
        </is>
      </c>
      <c r="HU1" s="100" t="inlineStr">
        <is>
          <t>AR232</t>
        </is>
      </c>
      <c r="HV1" s="100" t="inlineStr">
        <is>
          <t>AR233</t>
        </is>
      </c>
      <c r="HW1" s="100" t="inlineStr">
        <is>
          <t>AR234</t>
        </is>
      </c>
      <c r="HX1" s="100" t="inlineStr">
        <is>
          <t>AR235</t>
        </is>
      </c>
      <c r="HY1" s="100" t="inlineStr">
        <is>
          <t>AR236</t>
        </is>
      </c>
    </row>
    <row r="2" ht="35" customHeight="1">
      <c r="A2" s="106" t="inlineStr">
        <is>
          <t>Pool Cut-off Date</t>
        </is>
      </c>
      <c r="B2" s="106" t="inlineStr">
        <is>
          <t>Pool Identifier</t>
        </is>
      </c>
      <c r="C2" s="106" t="inlineStr">
        <is>
          <t>Loan Identifier</t>
        </is>
      </c>
      <c r="D2" s="106" t="inlineStr">
        <is>
          <t>Regulated Loan</t>
        </is>
      </c>
      <c r="E2" s="106" t="inlineStr">
        <is>
          <t>Originator</t>
        </is>
      </c>
      <c r="F2" s="106" t="inlineStr">
        <is>
          <t>Servicer Identifier</t>
        </is>
      </c>
      <c r="G2" s="106" t="inlineStr">
        <is>
          <t>Borrower Identifier</t>
        </is>
      </c>
      <c r="H2" s="106" t="inlineStr">
        <is>
          <t>Property Identifier</t>
        </is>
      </c>
      <c r="I2" s="106" t="inlineStr">
        <is>
          <t>Blank</t>
        </is>
      </c>
      <c r="J2" s="106" t="inlineStr">
        <is>
          <t>Blank</t>
        </is>
      </c>
      <c r="K2" s="106" t="inlineStr">
        <is>
          <t>Blank</t>
        </is>
      </c>
      <c r="L2" s="106" t="inlineStr">
        <is>
          <t>Blank</t>
        </is>
      </c>
      <c r="M2" s="106" t="inlineStr">
        <is>
          <t>Blank</t>
        </is>
      </c>
      <c r="N2" s="106" t="inlineStr">
        <is>
          <t>Blank</t>
        </is>
      </c>
      <c r="O2" s="106" t="inlineStr">
        <is>
          <t>Borrower Type</t>
        </is>
      </c>
      <c r="P2" s="106" t="inlineStr">
        <is>
          <t>Foreign National</t>
        </is>
      </c>
      <c r="Q2" s="106" t="inlineStr">
        <is>
          <t>Borrower Credit Quality</t>
        </is>
      </c>
      <c r="R2" s="106" t="inlineStr">
        <is>
          <t>Borrower Year of Birth</t>
        </is>
      </c>
      <c r="S2" s="106" t="inlineStr">
        <is>
          <t>Number of Debtors</t>
        </is>
      </c>
      <c r="T2" s="106" t="inlineStr">
        <is>
          <t>Second Applicant Year of Birth</t>
        </is>
      </c>
      <c r="U2" s="106" t="inlineStr">
        <is>
          <t>Borrower's Employment Status</t>
        </is>
      </c>
      <c r="V2" s="106" t="inlineStr">
        <is>
          <t xml:space="preserve">First-time Buyer </t>
        </is>
      </c>
      <c r="W2" s="106" t="inlineStr">
        <is>
          <t>Right to Buy</t>
        </is>
      </c>
      <c r="X2" s="106" t="inlineStr">
        <is>
          <t>Right to Buy Price</t>
        </is>
      </c>
      <c r="Y2" s="106" t="inlineStr">
        <is>
          <t>Class of Borrower</t>
        </is>
      </c>
      <c r="Z2" s="106" t="inlineStr">
        <is>
          <t>Primary Income</t>
        </is>
      </c>
      <c r="AA2" s="106" t="inlineStr">
        <is>
          <t>Income Verification for Primary Income</t>
        </is>
      </c>
      <c r="AB2" s="106" t="inlineStr">
        <is>
          <t>Secondary Income</t>
        </is>
      </c>
      <c r="AC2" s="106" t="inlineStr">
        <is>
          <t>Income Verification for Secondary Income</t>
        </is>
      </c>
      <c r="AD2" s="106" t="inlineStr">
        <is>
          <t>Resident</t>
        </is>
      </c>
      <c r="AE2" s="106" t="inlineStr">
        <is>
          <t>Number of County Court Judgements or equivalent  - Satisfied</t>
        </is>
      </c>
      <c r="AF2" s="106" t="inlineStr">
        <is>
          <t>Value of County Court Judgements or equivalent - Satisfied</t>
        </is>
      </c>
      <c r="AG2" s="106" t="inlineStr">
        <is>
          <t>Number of County Court Judgements or equivalent - Unsatisfied</t>
        </is>
      </c>
      <c r="AH2" s="106" t="inlineStr">
        <is>
          <t>Value of County Court Judgements or equivalent - Unsatisfied</t>
        </is>
      </c>
      <c r="AI2" s="106" t="inlineStr">
        <is>
          <t>Last County Court Judgements or equivalent – Date</t>
        </is>
      </c>
      <c r="AJ2" s="106" t="inlineStr">
        <is>
          <t>Bankruptcy or Individual Voluntary Arrangement Flag</t>
        </is>
      </c>
      <c r="AK2" s="106" t="inlineStr">
        <is>
          <t>Bureau Krediet Registratie 1 to 10 - Credit Type</t>
        </is>
      </c>
      <c r="AL2" s="106" t="inlineStr">
        <is>
          <t>Bureau Krediet Registratie 1 to 10- Registration Date</t>
        </is>
      </c>
      <c r="AM2" s="106" t="inlineStr">
        <is>
          <t>Bureau Krediet Registratie 1 to 10 - Arrears Code</t>
        </is>
      </c>
      <c r="AN2" s="106" t="inlineStr">
        <is>
          <t>Bureau Krediet Registratie 1 to 10 - Credit Amount</t>
        </is>
      </c>
      <c r="AO2" s="106" t="inlineStr">
        <is>
          <t>Bureau Krediet Registratie 1 to 10 - Is Coding Cured?</t>
        </is>
      </c>
      <c r="AP2" s="106" t="inlineStr">
        <is>
          <t>Bureau Krediet Registratie 1 to 10 - Number of Months Since Cured</t>
        </is>
      </c>
      <c r="AQ2" s="106" t="inlineStr">
        <is>
          <t>Bureau Score Provider</t>
        </is>
      </c>
      <c r="AR2" s="106" t="inlineStr">
        <is>
          <t>Bureau Score Type</t>
        </is>
      </c>
      <c r="AS2" s="106" t="inlineStr">
        <is>
          <t>Bureau Score Date</t>
        </is>
      </c>
      <c r="AT2" s="106" t="inlineStr">
        <is>
          <t>Bureau Score Value</t>
        </is>
      </c>
      <c r="AU2" s="106" t="inlineStr">
        <is>
          <t>Prior Repossessions</t>
        </is>
      </c>
      <c r="AV2" s="106" t="inlineStr">
        <is>
          <t>Previous Mortgage Arrears 0-6 Months</t>
        </is>
      </c>
      <c r="AW2" s="106" t="inlineStr">
        <is>
          <t>Previous Mortgage Arrears 6+ Months</t>
        </is>
      </c>
      <c r="AX2" s="106" t="inlineStr">
        <is>
          <t>Internal Rating</t>
        </is>
      </c>
      <c r="AY2" s="106" t="inlineStr">
        <is>
          <t>Blank</t>
        </is>
      </c>
      <c r="AZ2" s="106" t="inlineStr">
        <is>
          <t>Blank</t>
        </is>
      </c>
      <c r="BA2" s="106" t="inlineStr">
        <is>
          <t>Blank</t>
        </is>
      </c>
      <c r="BB2" s="106" t="inlineStr">
        <is>
          <t>Blank</t>
        </is>
      </c>
      <c r="BC2" s="106" t="inlineStr">
        <is>
          <t>Loan Origination Date</t>
        </is>
      </c>
      <c r="BD2" s="106" t="inlineStr">
        <is>
          <t>Date of Loan Maturity</t>
        </is>
      </c>
      <c r="BE2" s="106" t="inlineStr">
        <is>
          <t>Account Status Date</t>
        </is>
      </c>
      <c r="BF2" s="106" t="inlineStr">
        <is>
          <t>Origination Channel / Arranging Bank or Division</t>
        </is>
      </c>
      <c r="BG2" s="106" t="inlineStr">
        <is>
          <t>Purpose</t>
        </is>
      </c>
      <c r="BH2" s="106" t="inlineStr">
        <is>
          <t>Shared Ownership</t>
        </is>
      </c>
      <c r="BI2" s="106" t="inlineStr">
        <is>
          <t>Loan Term</t>
        </is>
      </c>
      <c r="BJ2" s="106" t="inlineStr">
        <is>
          <t>Principal Grace Period</t>
        </is>
      </c>
      <c r="BK2" s="106" t="inlineStr">
        <is>
          <t>Amount Guaranteed</t>
        </is>
      </c>
      <c r="BL2" s="106" t="inlineStr">
        <is>
          <t>Subsidy</t>
        </is>
      </c>
      <c r="BM2" s="106" t="inlineStr">
        <is>
          <t xml:space="preserve">Loan Currency Denomination </t>
        </is>
      </c>
      <c r="BN2" s="106" t="inlineStr">
        <is>
          <t>Original Balance</t>
        </is>
      </c>
      <c r="BO2" s="106" t="inlineStr">
        <is>
          <t>Current Balance</t>
        </is>
      </c>
      <c r="BP2" s="106" t="inlineStr">
        <is>
          <t>Fractioned / Subrogated Loans</t>
        </is>
      </c>
      <c r="BQ2" s="106" t="inlineStr">
        <is>
          <t>Repayment Method</t>
        </is>
      </c>
      <c r="BR2" s="106" t="inlineStr">
        <is>
          <t>Payment Frequency</t>
        </is>
      </c>
      <c r="BS2" s="106" t="inlineStr">
        <is>
          <t>Payment Due</t>
        </is>
      </c>
      <c r="BT2" s="106" t="inlineStr">
        <is>
          <t>Payment Type</t>
        </is>
      </c>
      <c r="BU2" s="106" t="inlineStr">
        <is>
          <t>Debt to Income</t>
        </is>
      </c>
      <c r="BV2" s="106" t="inlineStr">
        <is>
          <t>Type of Guarantee Provider</t>
        </is>
      </c>
      <c r="BW2" s="106" t="inlineStr">
        <is>
          <t>Guarantee Provider</t>
        </is>
      </c>
      <c r="BX2" s="106" t="inlineStr">
        <is>
          <t>Income Guarantor</t>
        </is>
      </c>
      <c r="BY2" s="106" t="inlineStr">
        <is>
          <t>Subsidy Received</t>
        </is>
      </c>
      <c r="BZ2" s="106" t="inlineStr">
        <is>
          <t>Mortgage Indemnity Guarantee Provider</t>
        </is>
      </c>
      <c r="CA2" s="106" t="inlineStr">
        <is>
          <t>Mortgage Indemnity Guarantee Attachment Point</t>
        </is>
      </c>
      <c r="CB2" s="106" t="inlineStr">
        <is>
          <t>Prior Balances</t>
        </is>
      </c>
      <c r="CC2" s="106" t="inlineStr">
        <is>
          <t>Other Prior Balances</t>
        </is>
      </c>
      <c r="CD2" s="106" t="inlineStr">
        <is>
          <t>Pari Passu Loans</t>
        </is>
      </c>
      <c r="CE2" s="106" t="inlineStr">
        <is>
          <t>Subordinated Claims</t>
        </is>
      </c>
      <c r="CF2" s="106" t="inlineStr">
        <is>
          <t>Lien</t>
        </is>
      </c>
      <c r="CG2" s="106" t="inlineStr">
        <is>
          <t>Retained Amount</t>
        </is>
      </c>
      <c r="CH2" s="106" t="inlineStr">
        <is>
          <t>Retained Amount Date</t>
        </is>
      </c>
      <c r="CI2" s="106" t="inlineStr">
        <is>
          <t>Maximum Balance</t>
        </is>
      </c>
      <c r="CJ2" s="106" t="inlineStr">
        <is>
          <t>Further Loan Advance</t>
        </is>
      </c>
      <c r="CK2" s="106" t="inlineStr">
        <is>
          <t>Further Loan Advance Date</t>
        </is>
      </c>
      <c r="CL2" s="106" t="inlineStr">
        <is>
          <t>Flexible Loan Amount</t>
        </is>
      </c>
      <c r="CM2" s="106" t="inlineStr">
        <is>
          <t>Further Advances</t>
        </is>
      </c>
      <c r="CN2" s="106" t="inlineStr">
        <is>
          <t>Length of Payment Holiday</t>
        </is>
      </c>
      <c r="CO2" s="106" t="inlineStr">
        <is>
          <t>Subsidy Period</t>
        </is>
      </c>
      <c r="CP2" s="106" t="inlineStr">
        <is>
          <t>Mortgage Inscription</t>
        </is>
      </c>
      <c r="CQ2" s="106" t="inlineStr">
        <is>
          <t>Mortgage Mandate</t>
        </is>
      </c>
      <c r="CR2" s="106" t="inlineStr">
        <is>
          <t>Deed of Postponement?</t>
        </is>
      </c>
      <c r="CS2" s="106" t="inlineStr">
        <is>
          <t>Pre-payment Amount</t>
        </is>
      </c>
      <c r="CT2" s="106" t="inlineStr">
        <is>
          <t>Pre-payment Date</t>
        </is>
      </c>
      <c r="CU2" s="106" t="inlineStr">
        <is>
          <t>Pre-payment Penalties</t>
        </is>
      </c>
      <c r="CV2" s="106" t="inlineStr">
        <is>
          <t>Cumulative Pre-payments</t>
        </is>
      </c>
      <c r="CW2" s="106" t="inlineStr">
        <is>
          <t>Amount of pre-payments allowed per year</t>
        </is>
      </c>
      <c r="CX2" s="106" t="inlineStr">
        <is>
          <t>Offset Savings Balance</t>
        </is>
      </c>
      <c r="CY2" s="106" t="inlineStr">
        <is>
          <t>Original Percentage Owned</t>
        </is>
      </c>
      <c r="CZ2" s="106" t="inlineStr">
        <is>
          <t>Current Percentage Owned</t>
        </is>
      </c>
      <c r="DA2" s="106" t="inlineStr">
        <is>
          <t>Help to Buy Scheme Type</t>
        </is>
      </c>
      <c r="DB2" s="106" t="inlineStr">
        <is>
          <t>Blank</t>
        </is>
      </c>
      <c r="DC2" s="106" t="inlineStr">
        <is>
          <t>Interest Rate Type</t>
        </is>
      </c>
      <c r="DD2" s="106" t="inlineStr">
        <is>
          <t>Current Interest Rate Index</t>
        </is>
      </c>
      <c r="DE2" s="106" t="inlineStr">
        <is>
          <t>Current Interest Rate</t>
        </is>
      </c>
      <c r="DF2" s="106" t="inlineStr">
        <is>
          <t>Current Interest Rate Margin</t>
        </is>
      </c>
      <c r="DG2" s="106" t="inlineStr">
        <is>
          <t>Interest Rate Reset Interval</t>
        </is>
      </c>
      <c r="DH2" s="106" t="inlineStr">
        <is>
          <t>Interest Cap Rate</t>
        </is>
      </c>
      <c r="DI2" s="106" t="inlineStr">
        <is>
          <t>Interest Revision Date 1</t>
        </is>
      </c>
      <c r="DJ2" s="106" t="inlineStr">
        <is>
          <t>Revision Margin 2</t>
        </is>
      </c>
      <c r="DK2" s="106" t="inlineStr">
        <is>
          <t>Interest Revision Date 2</t>
        </is>
      </c>
      <c r="DL2" s="106" t="inlineStr">
        <is>
          <t>Revision Margin 3</t>
        </is>
      </c>
      <c r="DM2" s="106" t="inlineStr">
        <is>
          <t>Interest Revision Date 3</t>
        </is>
      </c>
      <c r="DN2" s="106" t="inlineStr">
        <is>
          <t>Revised Interest Rate Index</t>
        </is>
      </c>
      <c r="DO2" s="106" t="inlineStr">
        <is>
          <t>Revised Interest Rate Margin</t>
        </is>
      </c>
      <c r="DP2" s="106" t="inlineStr">
        <is>
          <t>Final Margin</t>
        </is>
      </c>
      <c r="DQ2" s="106" t="inlineStr">
        <is>
          <t>Final Step Date</t>
        </is>
      </c>
      <c r="DR2" s="106" t="inlineStr">
        <is>
          <t>Restructuring Arrangement</t>
        </is>
      </c>
      <c r="DS2" s="106" t="inlineStr">
        <is>
          <t>Forbearance Type</t>
        </is>
      </c>
      <c r="DT2" s="106" t="inlineStr">
        <is>
          <t>Blank</t>
        </is>
      </c>
      <c r="DU2" s="106" t="inlineStr">
        <is>
          <t>Blank</t>
        </is>
      </c>
      <c r="DV2" s="106" t="inlineStr">
        <is>
          <t>Blank</t>
        </is>
      </c>
      <c r="DW2" s="106" t="inlineStr">
        <is>
          <t>Blank</t>
        </is>
      </c>
      <c r="DX2" s="106" t="inlineStr">
        <is>
          <t>Geographic Region</t>
        </is>
      </c>
      <c r="DY2" s="106" t="inlineStr">
        <is>
          <t xml:space="preserve">Property Postcode </t>
        </is>
      </c>
      <c r="DZ2" s="106" t="inlineStr">
        <is>
          <t>Occupancy Type</t>
        </is>
      </c>
      <c r="EA2" s="106" t="inlineStr">
        <is>
          <t>Property Type</t>
        </is>
      </c>
      <c r="EB2" s="106" t="inlineStr">
        <is>
          <t>New Property</t>
        </is>
      </c>
      <c r="EC2" s="106" t="inlineStr">
        <is>
          <t>Construction Year</t>
        </is>
      </c>
      <c r="ED2" s="106" t="inlineStr">
        <is>
          <t>Property Rating</t>
        </is>
      </c>
      <c r="EE2" s="106" t="inlineStr">
        <is>
          <t>Original Loan to Value</t>
        </is>
      </c>
      <c r="EF2" s="106" t="inlineStr">
        <is>
          <t>Valuation Amount</t>
        </is>
      </c>
      <c r="EG2" s="106" t="inlineStr">
        <is>
          <t>Original Valuation Type</t>
        </is>
      </c>
      <c r="EH2" s="106" t="inlineStr">
        <is>
          <t xml:space="preserve"> Valuation Date</t>
        </is>
      </c>
      <c r="EI2" s="106" t="inlineStr">
        <is>
          <t>Confidence Interval for Original Automated Valuation Model Valuation</t>
        </is>
      </c>
      <c r="EJ2" s="106" t="inlineStr">
        <is>
          <t>Provider of Original Automated Valuation Model Valuation</t>
        </is>
      </c>
      <c r="EK2" s="106" t="inlineStr">
        <is>
          <t>Current Loan to Value</t>
        </is>
      </c>
      <c r="EL2" s="106" t="inlineStr">
        <is>
          <t>Purchase Price</t>
        </is>
      </c>
      <c r="EM2" s="106" t="inlineStr">
        <is>
          <t>Current Valuation Amount</t>
        </is>
      </c>
      <c r="EN2" s="106" t="inlineStr">
        <is>
          <t>Current Valuation Type</t>
        </is>
      </c>
      <c r="EO2" s="106" t="inlineStr">
        <is>
          <t>Current Valuation Date</t>
        </is>
      </c>
      <c r="EP2" s="106" t="inlineStr">
        <is>
          <t>Confidence Interval for Current Automated Valuation Model Valuation</t>
        </is>
      </c>
      <c r="EQ2" s="106" t="inlineStr">
        <is>
          <t>Provider of Current Automated Valuation Model Valuation</t>
        </is>
      </c>
      <c r="ER2" s="106" t="inlineStr">
        <is>
          <t>Property Value at Time of Latest Loan Advance</t>
        </is>
      </c>
      <c r="ES2" s="106" t="inlineStr">
        <is>
          <t>Indexed Foreclosure Value</t>
        </is>
      </c>
      <c r="ET2" s="106" t="inlineStr">
        <is>
          <t>Ipoteca</t>
        </is>
      </c>
      <c r="EU2" s="106" t="inlineStr">
        <is>
          <t>Date of Sale</t>
        </is>
      </c>
      <c r="EV2" s="106" t="inlineStr">
        <is>
          <t>Additional Collateral</t>
        </is>
      </c>
      <c r="EW2" s="106" t="inlineStr">
        <is>
          <t>Additional Collateral Provider</t>
        </is>
      </c>
      <c r="EX2" s="106" t="inlineStr">
        <is>
          <t>Gross Annual Rental Income</t>
        </is>
      </c>
      <c r="EY2" s="106" t="inlineStr">
        <is>
          <t>Number of Buy to Let Properties</t>
        </is>
      </c>
      <c r="EZ2" s="106" t="inlineStr">
        <is>
          <t>Debt Service Coverage Ratio</t>
        </is>
      </c>
      <c r="FA2" s="106" t="inlineStr">
        <is>
          <t>Additional Collateral Value</t>
        </is>
      </c>
      <c r="FB2" s="106" t="inlineStr">
        <is>
          <t>Real Estate Owned</t>
        </is>
      </c>
      <c r="FC2" s="106" t="inlineStr">
        <is>
          <t>Is Property Transferability Limited</t>
        </is>
      </c>
      <c r="FD2" s="106" t="inlineStr">
        <is>
          <t>Time Until Declassification</t>
        </is>
      </c>
      <c r="FE2" s="106" t="inlineStr">
        <is>
          <t>Blank</t>
        </is>
      </c>
      <c r="FF2" s="106" t="inlineStr">
        <is>
          <t xml:space="preserve">Current Energy Performance Certificate Value </t>
        </is>
      </c>
      <c r="FG2" s="106" t="inlineStr">
        <is>
          <t xml:space="preserve">Potential Energy Performance Certificate Value </t>
        </is>
      </c>
      <c r="FH2" s="106" t="inlineStr">
        <is>
          <t>Exemption from Energy Efficiency Regulation</t>
        </is>
      </c>
      <c r="FI2" s="106" t="inlineStr">
        <is>
          <t>Blank</t>
        </is>
      </c>
      <c r="FJ2" s="106" t="inlineStr">
        <is>
          <t>Account Status</t>
        </is>
      </c>
      <c r="FK2" s="106" t="inlineStr">
        <is>
          <t>Date Last Current</t>
        </is>
      </c>
      <c r="FL2" s="106" t="inlineStr">
        <is>
          <t>Date Last in Arrears</t>
        </is>
      </c>
      <c r="FM2" s="106" t="inlineStr">
        <is>
          <t>Arrears Balance</t>
        </is>
      </c>
      <c r="FN2" s="106" t="inlineStr">
        <is>
          <t>Number Months in Arrears</t>
        </is>
      </c>
      <c r="FO2" s="106" t="inlineStr">
        <is>
          <t>Arrears 1 Month Ago</t>
        </is>
      </c>
      <c r="FP2" s="106" t="inlineStr">
        <is>
          <t>Arrears 2 Months Ago</t>
        </is>
      </c>
      <c r="FQ2" s="106" t="inlineStr">
        <is>
          <t>Performance Arrangement</t>
        </is>
      </c>
      <c r="FR2" s="106" t="inlineStr">
        <is>
          <t>Litigation</t>
        </is>
      </c>
      <c r="FS2" s="106" t="inlineStr">
        <is>
          <t>Redemption Date</t>
        </is>
      </c>
      <c r="FT2" s="106" t="inlineStr">
        <is>
          <t>Months in Arrears Prior</t>
        </is>
      </c>
      <c r="FU2" s="106" t="inlineStr">
        <is>
          <t>Default or Foreclosure</t>
        </is>
      </c>
      <c r="FV2" s="106" t="inlineStr">
        <is>
          <t>Date of Default</t>
        </is>
      </c>
      <c r="FW2" s="106" t="inlineStr">
        <is>
          <t>Sale Price</t>
        </is>
      </c>
      <c r="FX2" s="106" t="inlineStr">
        <is>
          <t>Loss on Sale</t>
        </is>
      </c>
      <c r="FY2" s="106" t="inlineStr">
        <is>
          <t>Cumulative Recoveries</t>
        </is>
      </c>
      <c r="FZ2" s="106" t="inlineStr">
        <is>
          <t>Professional Negligence Recoveries</t>
        </is>
      </c>
      <c r="GA2" s="106" t="inlineStr">
        <is>
          <t>Loan flagged as Contencioso</t>
        </is>
      </c>
      <c r="GB2" s="106" t="inlineStr">
        <is>
          <t>Blank</t>
        </is>
      </c>
      <c r="GC2" s="106" t="inlineStr">
        <is>
          <t>Blank</t>
        </is>
      </c>
      <c r="GD2" s="106" t="inlineStr">
        <is>
          <t>Blank</t>
        </is>
      </c>
      <c r="GE2" s="106" t="inlineStr">
        <is>
          <t>Blank</t>
        </is>
      </c>
      <c r="GF2" s="106" t="inlineStr">
        <is>
          <t>Blank</t>
        </is>
      </c>
      <c r="GG2" s="106" t="inlineStr">
        <is>
          <t>Second Borrower's Employment Status</t>
        </is>
      </c>
      <c r="GH2" s="106" t="inlineStr">
        <is>
          <t>Class of Second Borrower</t>
        </is>
      </c>
      <c r="GI2" s="106" t="inlineStr">
        <is>
          <t>Resident (Second Borrower)</t>
        </is>
      </c>
      <c r="GJ2" s="106" t="inlineStr">
        <is>
          <t>Number of County Court Judgements or equivalent  - Satisfied (Second Borrower)</t>
        </is>
      </c>
      <c r="GK2" s="106" t="inlineStr">
        <is>
          <t>Value of County Court Judgements or equivalent - Satisfied  (Second Borrower)</t>
        </is>
      </c>
      <c r="GL2" s="106" t="inlineStr">
        <is>
          <t>Number of County Court Judgements or equivalent - Unsatisfied  (Second Borrower)</t>
        </is>
      </c>
      <c r="GM2" s="106" t="inlineStr">
        <is>
          <t>Value of County Court Judgements or equivalent - Unsatisfied  (Second Borrower)</t>
        </is>
      </c>
      <c r="GN2" s="106" t="inlineStr">
        <is>
          <t>Last County Court Judgements or equivalent – Date  (Second Borrower)</t>
        </is>
      </c>
      <c r="GO2" s="106" t="inlineStr">
        <is>
          <t>Bankruptcy or Individual Voluntary Arrangement Flag (Second Borrower)</t>
        </is>
      </c>
      <c r="GP2" s="106" t="inlineStr">
        <is>
          <t>Bureau Krediet Registratie 1 to 10 - Credit Type (Second Borrower)</t>
        </is>
      </c>
      <c r="GQ2" s="106" t="inlineStr">
        <is>
          <t>Bureau Krediet Registratie 1 to 10- Registration Date (Second Borrower)</t>
        </is>
      </c>
      <c r="GR2" s="106" t="inlineStr">
        <is>
          <t>Bureau Krediet Registratie 1 to 10 - Arrears Code  (Second Borrower)</t>
        </is>
      </c>
      <c r="GS2" s="106" t="inlineStr">
        <is>
          <t>Bureau Krediet Registratie 1 to 10 - Credit Amount  (Second Borrower)</t>
        </is>
      </c>
      <c r="GT2" s="106" t="inlineStr">
        <is>
          <t>Bureau Krediet Registratie 1 to 10 - Is Coding Cured?  (Second Borrower)</t>
        </is>
      </c>
      <c r="GU2" s="106" t="inlineStr">
        <is>
          <t>Bureau Krediet Registratie 1 to 10 - Number of Months Since Cured  (Second Borrower)</t>
        </is>
      </c>
      <c r="GV2" s="106" t="inlineStr">
        <is>
          <t>Bureau Score Provider  (Second Borrower)</t>
        </is>
      </c>
      <c r="GW2" s="106" t="inlineStr">
        <is>
          <t>Bureau Score Type  (Second Borrower)</t>
        </is>
      </c>
      <c r="GX2" s="106" t="inlineStr">
        <is>
          <t>Bureau Score Date  (Second Borrower)</t>
        </is>
      </c>
      <c r="GY2" s="106" t="inlineStr">
        <is>
          <t>Bureau Score Value  (Second Borrower)</t>
        </is>
      </c>
      <c r="GZ2" s="106" t="inlineStr">
        <is>
          <t>Prior Repossessions (Second Borrower)</t>
        </is>
      </c>
      <c r="HA2" s="106" t="inlineStr">
        <is>
          <t>Previous Mortgage Arrears 0-6 Months (Second Borrower)</t>
        </is>
      </c>
      <c r="HB2" s="106" t="inlineStr">
        <is>
          <t>Previous Mortgage Arrears 6+ Months (Second Borrower)</t>
        </is>
      </c>
      <c r="HC2" s="106" t="inlineStr">
        <is>
          <t>Bureau Krediet Registratie 1 to 10 - Credit Type (Primary Borrower - At Origination)</t>
        </is>
      </c>
      <c r="HD2" s="106" t="inlineStr">
        <is>
          <t>Bureau Krediet Registratie 1 to 10 - Arrears Code (Primary Borrower - At Origination)</t>
        </is>
      </c>
      <c r="HE2" s="106" t="inlineStr">
        <is>
          <t>Bureau Krediet Registratie 1 to 10 - Credit Amount (Primary Borrower - At Origination)</t>
        </is>
      </c>
      <c r="HF2" s="106" t="inlineStr">
        <is>
          <t>Bureau Krediet Registratie 1 to 10 - Is Coding Cured? (Primary Borrower - At Origination)</t>
        </is>
      </c>
      <c r="HG2" s="106" t="inlineStr">
        <is>
          <t>Bureau Krediet Registratie 1 to 10 - Number of Months Since Cured (Primary Borrower - At Origination)</t>
        </is>
      </c>
      <c r="HH2" s="106" t="inlineStr">
        <is>
          <t>Bureau Score Provider (Primary Borrower - At Origination)</t>
        </is>
      </c>
      <c r="HI2" s="106" t="inlineStr">
        <is>
          <t>Bureau Score Type (Primary Borrower - At Origination)</t>
        </is>
      </c>
      <c r="HJ2" s="106" t="inlineStr">
        <is>
          <t>Bureau Score Value (Primary Borrower - At Origination)</t>
        </is>
      </c>
      <c r="HK2" s="106" t="inlineStr">
        <is>
          <t>Bureau Krediet Registratie 1 to 10 - Credit Type (Secondary Borrower - At Origination)</t>
        </is>
      </c>
      <c r="HL2" s="106" t="inlineStr">
        <is>
          <t>Bureau Krediet Registratie 1 to 10- Registration Date (Secondary Borrower - At Origination)</t>
        </is>
      </c>
      <c r="HM2" s="106" t="inlineStr">
        <is>
          <t>Bureau Krediet Registratie 1 to 10 - Arrears Code (Secondary Borrower - At Origination)</t>
        </is>
      </c>
      <c r="HN2" s="106" t="inlineStr">
        <is>
          <t>Bureau Krediet Registratie 1 to 10 - Credit Amount (Secondary Borrower - At Origination)</t>
        </is>
      </c>
      <c r="HO2" s="106" t="inlineStr">
        <is>
          <t>Bureau Krediet Registratie 1 to 10 - Is Coding Cured? (Secondary Borrower - At Origination)</t>
        </is>
      </c>
      <c r="HP2" s="106" t="inlineStr">
        <is>
          <t>Bureau Krediet Registratie 1 to 10 - Number of Months Since Cured (Secondary Borrower - At Origination)</t>
        </is>
      </c>
      <c r="HQ2" s="106" t="inlineStr">
        <is>
          <t>Bureau Score Provider  (Secondary Borrower - At Origination)</t>
        </is>
      </c>
      <c r="HR2" s="106" t="inlineStr">
        <is>
          <t>Bureau Score Type  (Secondary Borrower - At Origination)</t>
        </is>
      </c>
      <c r="HS2" s="106" t="inlineStr">
        <is>
          <t>Bureau Score Value (Secondary Borrower - At Origination)</t>
        </is>
      </c>
      <c r="HT2" s="106" t="inlineStr">
        <is>
          <t>Borrower Type (Secondary Borrower)</t>
        </is>
      </c>
      <c r="HU2" s="106" t="inlineStr">
        <is>
          <t>Foreign National (Secondary Borrower)</t>
        </is>
      </c>
      <c r="HV2" s="106" t="inlineStr">
        <is>
          <t>Borrower Credit Quality (Secondary Borrower)</t>
        </is>
      </c>
      <c r="HW2" s="106" t="inlineStr">
        <is>
          <t>First-time Buyer (Secondary Borrower)</t>
        </is>
      </c>
      <c r="HX2" s="106" t="inlineStr">
        <is>
          <t>Bankruptcy or Individual Voluntary Arrangement Flag</t>
        </is>
      </c>
      <c r="HY2" s="106" t="inlineStr">
        <is>
          <t>Bankruptcy or Individual Voluntary Arrangement Flag (Second Borrower)</t>
        </is>
      </c>
    </row>
    <row r="3">
      <c r="A3" s="66" t="n"/>
    </row>
    <row r="4">
      <c r="A4" s="66" t="n"/>
    </row>
    <row r="5">
      <c r="A5" s="66" t="n"/>
    </row>
    <row r="6">
      <c r="A6" s="66" t="n"/>
    </row>
    <row r="7">
      <c r="A7" s="66" t="n"/>
    </row>
    <row r="8">
      <c r="A8" s="66" t="n"/>
    </row>
    <row r="9">
      <c r="A9" s="65" t="n"/>
    </row>
    <row r="10">
      <c r="A10" s="66" t="inlineStr">
        <is>
          <t>• Do NOT delete or modify the BoE field codes in your headers</t>
        </is>
      </c>
    </row>
    <row r="11">
      <c r="A11" s="66" t="inlineStr">
        <is>
          <t>• Dates should be in a recognizable format (DD/MM/YYYY or Excel date serial)</t>
        </is>
      </c>
    </row>
    <row r="12">
      <c r="A12" s="66" t="inlineStr">
        <is>
          <t>• Numeric codes will be automatically converted to text descriptions</t>
        </is>
      </c>
    </row>
    <row r="13">
      <c r="A13" s="66" t="inlineStr">
        <is>
          <t>• Empty cells are allowed for optional fields</t>
        </is>
      </c>
    </row>
    <row r="16">
      <c r="A16" s="67" t="inlineStr">
        <is>
          <t>BV1 (Loan ID)</t>
        </is>
      </c>
      <c r="B16" s="67" t="inlineStr">
        <is>
          <t>BV5 (Balance)</t>
        </is>
      </c>
      <c r="C16" s="67" t="inlineStr">
        <is>
          <t>BV12 (Property Type)</t>
        </is>
      </c>
      <c r="D16" s="67" t="inlineStr">
        <is>
          <t>BV27 (Occupancy)</t>
        </is>
      </c>
      <c r="E16" s="67" t="inlineStr">
        <is>
          <t>BV29 (Payment)</t>
        </is>
      </c>
      <c r="F16" s="67" t="inlineStr">
        <is>
          <t>BV25 (Rate Type)</t>
        </is>
      </c>
      <c r="G16" s="67" t="inlineStr">
        <is>
          <t>BV48 (Perf Arr)</t>
        </is>
      </c>
      <c r="H16" s="67" t="inlineStr">
        <is>
          <t>BV49 (Perf Date)</t>
        </is>
      </c>
      <c r="I16" s="67" t="inlineStr">
        <is>
          <t>BV50 (Last 90+ Date)</t>
        </is>
      </c>
      <c r="J16" s="67" t="inlineStr">
        <is>
          <t>...more BoE fields...</t>
        </is>
      </c>
    </row>
    <row r="17">
      <c r="A17" s="68" t="inlineStr">
        <is>
          <t>[Paste your loan tape starting here - replace this sample data]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5" customWidth="1" min="3" max="3"/>
    <col width="12" customWidth="1" min="4" max="4"/>
    <col width="12" customWidth="1" min="5" max="5"/>
    <col width="15" customWidth="1" min="6" max="6"/>
  </cols>
  <sheetData>
    <row r="1" ht="25" customHeight="1">
      <c r="A1" s="25" t="inlineStr">
        <is>
          <t>BANK OF ENGLAND AR FIELD DATA DICTIONARY</t>
        </is>
      </c>
    </row>
    <row r="2" ht="18" customHeight="1">
      <c r="A2" s="98" t="inlineStr">
        <is>
          <t>Complete reference for all 175 AR field codes from BoE PRA110 template</t>
        </is>
      </c>
    </row>
    <row r="3" ht="18" customHeight="1">
      <c r="A3" s="99" t="inlineStr">
        <is>
          <t>Total AR Fields: 175 | Mapped in Model: 40 | Unmapped: 135</t>
        </is>
      </c>
    </row>
    <row r="4" ht="20" customHeight="1"/>
    <row r="5">
      <c r="A5" s="100" t="inlineStr">
        <is>
          <t>AR Code</t>
        </is>
      </c>
      <c r="B5" s="100" t="inlineStr">
        <is>
          <t>Field Name</t>
        </is>
      </c>
      <c r="C5" s="100" t="inlineStr">
        <is>
          <t>Category</t>
        </is>
      </c>
      <c r="D5" s="100" t="inlineStr">
        <is>
          <t>Priority</t>
        </is>
      </c>
      <c r="E5" s="100" t="inlineStr">
        <is>
          <t>Tag</t>
        </is>
      </c>
      <c r="F5" s="100" t="inlineStr">
        <is>
          <t>Mapped in Model</t>
        </is>
      </c>
    </row>
    <row r="6">
      <c r="A6" s="101" t="inlineStr">
        <is>
          <t>AR1</t>
        </is>
      </c>
      <c r="B6" s="85" t="inlineStr">
        <is>
          <t>Pool Cut-off Date</t>
        </is>
      </c>
      <c r="C6" s="85" t="inlineStr">
        <is>
          <t>Core</t>
        </is>
      </c>
      <c r="D6" s="85" t="inlineStr">
        <is>
          <t>Mandatory</t>
        </is>
      </c>
      <c r="E6" s="85" t="inlineStr">
        <is>
          <t>dynamic</t>
        </is>
      </c>
      <c r="F6" s="102" t="inlineStr">
        <is>
          <t>NO</t>
        </is>
      </c>
    </row>
    <row r="7">
      <c r="A7" s="101" t="inlineStr">
        <is>
          <t>AR2</t>
        </is>
      </c>
      <c r="B7" s="85" t="inlineStr">
        <is>
          <t>Pool Identifier</t>
        </is>
      </c>
      <c r="C7" s="85" t="inlineStr">
        <is>
          <t>Core</t>
        </is>
      </c>
      <c r="D7" s="85" t="inlineStr">
        <is>
          <t>Mandatory</t>
        </is>
      </c>
      <c r="E7" s="85" t="inlineStr">
        <is>
          <t>static</t>
        </is>
      </c>
      <c r="F7" s="102" t="inlineStr">
        <is>
          <t>NO</t>
        </is>
      </c>
    </row>
    <row r="8">
      <c r="A8" s="95" t="inlineStr">
        <is>
          <t>AR3</t>
        </is>
      </c>
      <c r="B8" s="85" t="inlineStr">
        <is>
          <t>Loan Identifier</t>
        </is>
      </c>
      <c r="C8" s="85" t="inlineStr">
        <is>
          <t>Core</t>
        </is>
      </c>
      <c r="D8" s="85" t="inlineStr">
        <is>
          <t>Mandatory</t>
        </is>
      </c>
      <c r="E8" s="85" t="inlineStr">
        <is>
          <t>static</t>
        </is>
      </c>
      <c r="F8" s="103" t="inlineStr">
        <is>
          <t>YES</t>
        </is>
      </c>
    </row>
    <row r="9">
      <c r="A9" s="101" t="inlineStr">
        <is>
          <t>AR4</t>
        </is>
      </c>
      <c r="B9" s="85" t="inlineStr">
        <is>
          <t>Regulated Loan</t>
        </is>
      </c>
      <c r="C9" s="85" t="inlineStr">
        <is>
          <t>Core</t>
        </is>
      </c>
      <c r="D9" s="85" t="inlineStr">
        <is>
          <t>Optional</t>
        </is>
      </c>
      <c r="E9" s="85" t="inlineStr">
        <is>
          <t>static</t>
        </is>
      </c>
      <c r="F9" s="102" t="inlineStr">
        <is>
          <t>NO</t>
        </is>
      </c>
    </row>
    <row r="10">
      <c r="A10" s="95" t="inlineStr">
        <is>
          <t>AR5</t>
        </is>
      </c>
      <c r="B10" s="85" t="inlineStr">
        <is>
          <t>Originator</t>
        </is>
      </c>
      <c r="C10" s="85" t="inlineStr">
        <is>
          <t>Core</t>
        </is>
      </c>
      <c r="D10" s="85" t="inlineStr">
        <is>
          <t>Mandatory</t>
        </is>
      </c>
      <c r="E10" s="85" t="inlineStr">
        <is>
          <t>static</t>
        </is>
      </c>
      <c r="F10" s="103" t="inlineStr">
        <is>
          <t>YES</t>
        </is>
      </c>
    </row>
    <row r="11">
      <c r="A11" s="101" t="inlineStr">
        <is>
          <t>AR6</t>
        </is>
      </c>
      <c r="B11" s="85" t="inlineStr">
        <is>
          <t>Servicer Identifier</t>
        </is>
      </c>
      <c r="C11" s="85" t="inlineStr">
        <is>
          <t>Core</t>
        </is>
      </c>
      <c r="D11" s="85" t="inlineStr">
        <is>
          <t>Mandatory</t>
        </is>
      </c>
      <c r="E11" s="85" t="inlineStr">
        <is>
          <t>static</t>
        </is>
      </c>
      <c r="F11" s="102" t="inlineStr">
        <is>
          <t>NO</t>
        </is>
      </c>
    </row>
    <row r="12">
      <c r="A12" s="101" t="inlineStr">
        <is>
          <t>AR7</t>
        </is>
      </c>
      <c r="B12" s="85" t="inlineStr">
        <is>
          <t>Borrower Identifier</t>
        </is>
      </c>
      <c r="C12" s="85" t="inlineStr">
        <is>
          <t>Core</t>
        </is>
      </c>
      <c r="D12" s="85" t="inlineStr">
        <is>
          <t>Mandatory</t>
        </is>
      </c>
      <c r="E12" s="85" t="inlineStr">
        <is>
          <t>static</t>
        </is>
      </c>
      <c r="F12" s="102" t="inlineStr">
        <is>
          <t>NO</t>
        </is>
      </c>
    </row>
    <row r="13">
      <c r="A13" s="101" t="inlineStr">
        <is>
          <t>AR8</t>
        </is>
      </c>
      <c r="B13" s="85" t="inlineStr">
        <is>
          <t>Property Identifier</t>
        </is>
      </c>
      <c r="C13" s="85" t="inlineStr">
        <is>
          <t>Core</t>
        </is>
      </c>
      <c r="D13" s="85" t="inlineStr">
        <is>
          <t>Mandatory</t>
        </is>
      </c>
      <c r="E13" s="85" t="inlineStr">
        <is>
          <t>static</t>
        </is>
      </c>
      <c r="F13" s="102" t="inlineStr">
        <is>
          <t>NO</t>
        </is>
      </c>
    </row>
    <row r="14">
      <c r="A14" s="101" t="inlineStr">
        <is>
          <t>AR9</t>
        </is>
      </c>
      <c r="B14" s="85" t="inlineStr">
        <is>
          <t>Blank</t>
        </is>
      </c>
      <c r="C14" s="85" t="inlineStr">
        <is>
          <t>Core</t>
        </is>
      </c>
      <c r="D14" s="85" t="n"/>
      <c r="E14" s="85" t="n"/>
      <c r="F14" s="102" t="inlineStr">
        <is>
          <t>NO</t>
        </is>
      </c>
    </row>
    <row r="15">
      <c r="A15" s="101" t="inlineStr">
        <is>
          <t>AR10</t>
        </is>
      </c>
      <c r="B15" s="85" t="inlineStr">
        <is>
          <t>Blank</t>
        </is>
      </c>
      <c r="C15" s="85" t="inlineStr">
        <is>
          <t>Core</t>
        </is>
      </c>
      <c r="D15" s="85" t="n"/>
      <c r="E15" s="85" t="n"/>
      <c r="F15" s="102" t="inlineStr">
        <is>
          <t>NO</t>
        </is>
      </c>
    </row>
    <row r="16">
      <c r="A16" s="101" t="inlineStr">
        <is>
          <t>AR11</t>
        </is>
      </c>
      <c r="B16" s="85" t="inlineStr">
        <is>
          <t>Blank</t>
        </is>
      </c>
      <c r="C16" s="85" t="inlineStr">
        <is>
          <t>Core</t>
        </is>
      </c>
      <c r="D16" s="85" t="n"/>
      <c r="E16" s="85" t="n"/>
      <c r="F16" s="102" t="inlineStr">
        <is>
          <t>NO</t>
        </is>
      </c>
    </row>
    <row r="17">
      <c r="A17" s="101" t="inlineStr">
        <is>
          <t>AR12</t>
        </is>
      </c>
      <c r="B17" s="85" t="inlineStr">
        <is>
          <t>Blank</t>
        </is>
      </c>
      <c r="C17" s="85" t="inlineStr">
        <is>
          <t>Core</t>
        </is>
      </c>
      <c r="D17" s="85" t="n"/>
      <c r="E17" s="85" t="n"/>
      <c r="F17" s="102" t="inlineStr">
        <is>
          <t>NO</t>
        </is>
      </c>
    </row>
    <row r="18">
      <c r="A18" s="101" t="inlineStr">
        <is>
          <t>AR13</t>
        </is>
      </c>
      <c r="B18" s="85" t="inlineStr">
        <is>
          <t>Blank</t>
        </is>
      </c>
      <c r="C18" s="85" t="inlineStr">
        <is>
          <t>Core</t>
        </is>
      </c>
      <c r="D18" s="85" t="n"/>
      <c r="E18" s="85" t="n"/>
      <c r="F18" s="102" t="inlineStr">
        <is>
          <t>NO</t>
        </is>
      </c>
    </row>
    <row r="19">
      <c r="A19" s="101" t="inlineStr">
        <is>
          <t>AR14</t>
        </is>
      </c>
      <c r="B19" s="85" t="inlineStr">
        <is>
          <t>Blank</t>
        </is>
      </c>
      <c r="C19" s="85" t="inlineStr">
        <is>
          <t>Core</t>
        </is>
      </c>
      <c r="D19" s="85" t="n"/>
      <c r="E19" s="85" t="n"/>
      <c r="F19" s="102" t="inlineStr">
        <is>
          <t>NO</t>
        </is>
      </c>
    </row>
    <row r="20">
      <c r="A20" s="101" t="inlineStr">
        <is>
          <t>AR15</t>
        </is>
      </c>
      <c r="B20" s="85" t="inlineStr">
        <is>
          <t>Borrower Type</t>
        </is>
      </c>
      <c r="C20" s="85" t="inlineStr">
        <is>
          <t>Borrower Information</t>
        </is>
      </c>
      <c r="D20" s="85" t="inlineStr">
        <is>
          <t>Optional</t>
        </is>
      </c>
      <c r="E20" s="85" t="inlineStr">
        <is>
          <t>static</t>
        </is>
      </c>
      <c r="F20" s="102" t="inlineStr">
        <is>
          <t>NO</t>
        </is>
      </c>
    </row>
    <row r="21">
      <c r="A21" s="101" t="inlineStr">
        <is>
          <t>AR16</t>
        </is>
      </c>
      <c r="B21" s="85" t="inlineStr">
        <is>
          <t>Foreign National</t>
        </is>
      </c>
      <c r="C21" s="85" t="inlineStr">
        <is>
          <t>Borrower Information</t>
        </is>
      </c>
      <c r="D21" s="85" t="inlineStr">
        <is>
          <t>Optional</t>
        </is>
      </c>
      <c r="E21" s="85" t="inlineStr">
        <is>
          <t>static</t>
        </is>
      </c>
      <c r="F21" s="102" t="inlineStr">
        <is>
          <t>NO</t>
        </is>
      </c>
    </row>
    <row r="22">
      <c r="A22" s="101" t="inlineStr">
        <is>
          <t>AR17</t>
        </is>
      </c>
      <c r="B22" s="85" t="inlineStr">
        <is>
          <t>Borrower Credit Quality</t>
        </is>
      </c>
      <c r="C22" s="85" t="inlineStr">
        <is>
          <t>Borrower Information</t>
        </is>
      </c>
      <c r="D22" s="85" t="inlineStr">
        <is>
          <t>Optional</t>
        </is>
      </c>
      <c r="E22" s="85" t="inlineStr">
        <is>
          <t>static</t>
        </is>
      </c>
      <c r="F22" s="102" t="inlineStr">
        <is>
          <t>NO</t>
        </is>
      </c>
    </row>
    <row r="23">
      <c r="A23" s="101" t="inlineStr">
        <is>
          <t>AR18</t>
        </is>
      </c>
      <c r="B23" s="85" t="inlineStr">
        <is>
          <t>Borrower Year of Birth</t>
        </is>
      </c>
      <c r="C23" s="85" t="inlineStr">
        <is>
          <t>Borrower Information</t>
        </is>
      </c>
      <c r="D23" s="85" t="inlineStr">
        <is>
          <t>Optional</t>
        </is>
      </c>
      <c r="E23" s="85" t="inlineStr">
        <is>
          <t>static</t>
        </is>
      </c>
      <c r="F23" s="102" t="inlineStr">
        <is>
          <t>NO</t>
        </is>
      </c>
    </row>
    <row r="24">
      <c r="A24" s="101" t="inlineStr">
        <is>
          <t>AR19</t>
        </is>
      </c>
      <c r="B24" s="85" t="inlineStr">
        <is>
          <t>Number of Debtors</t>
        </is>
      </c>
      <c r="C24" s="85" t="inlineStr">
        <is>
          <t>Borrower Information</t>
        </is>
      </c>
      <c r="D24" s="85" t="inlineStr">
        <is>
          <t>Mandatory</t>
        </is>
      </c>
      <c r="E24" s="85" t="inlineStr">
        <is>
          <t>static</t>
        </is>
      </c>
      <c r="F24" s="102" t="inlineStr">
        <is>
          <t>NO</t>
        </is>
      </c>
    </row>
    <row r="25">
      <c r="A25" s="101" t="inlineStr">
        <is>
          <t>AR20</t>
        </is>
      </c>
      <c r="B25" s="85" t="inlineStr">
        <is>
          <t>Second Applicant Year of Birth</t>
        </is>
      </c>
      <c r="C25" s="85" t="inlineStr">
        <is>
          <t>Borrower Information</t>
        </is>
      </c>
      <c r="D25" s="85" t="inlineStr">
        <is>
          <t>Optional</t>
        </is>
      </c>
      <c r="E25" s="85" t="inlineStr">
        <is>
          <t>static</t>
        </is>
      </c>
      <c r="F25" s="102" t="inlineStr">
        <is>
          <t>NO</t>
        </is>
      </c>
    </row>
    <row r="26">
      <c r="A26" s="101" t="inlineStr">
        <is>
          <t>AR21</t>
        </is>
      </c>
      <c r="B26" s="85" t="inlineStr">
        <is>
          <t>Borrower's Employment Status</t>
        </is>
      </c>
      <c r="C26" s="85" t="inlineStr">
        <is>
          <t>Borrower Information</t>
        </is>
      </c>
      <c r="D26" s="85" t="inlineStr">
        <is>
          <t>Mandatory</t>
        </is>
      </c>
      <c r="E26" s="85" t="inlineStr">
        <is>
          <t>static</t>
        </is>
      </c>
      <c r="F26" s="102" t="inlineStr">
        <is>
          <t>NO</t>
        </is>
      </c>
    </row>
    <row r="27">
      <c r="A27" s="95" t="inlineStr">
        <is>
          <t>AR22</t>
        </is>
      </c>
      <c r="B27" s="85" t="inlineStr">
        <is>
          <t xml:space="preserve">First-time Buyer </t>
        </is>
      </c>
      <c r="C27" s="85" t="inlineStr">
        <is>
          <t>Borrower Information</t>
        </is>
      </c>
      <c r="D27" s="85" t="inlineStr">
        <is>
          <t>Optional</t>
        </is>
      </c>
      <c r="E27" s="85" t="inlineStr">
        <is>
          <t>static</t>
        </is>
      </c>
      <c r="F27" s="103" t="inlineStr">
        <is>
          <t>YES</t>
        </is>
      </c>
    </row>
    <row r="28">
      <c r="A28" s="95" t="inlineStr">
        <is>
          <t>AR23</t>
        </is>
      </c>
      <c r="B28" s="85" t="inlineStr">
        <is>
          <t>Right to Buy</t>
        </is>
      </c>
      <c r="C28" s="85" t="inlineStr">
        <is>
          <t>Borrower Information</t>
        </is>
      </c>
      <c r="D28" s="85" t="inlineStr">
        <is>
          <t>Optional</t>
        </is>
      </c>
      <c r="E28" s="85" t="inlineStr">
        <is>
          <t>static</t>
        </is>
      </c>
      <c r="F28" s="103" t="inlineStr">
        <is>
          <t>YES</t>
        </is>
      </c>
    </row>
    <row r="29">
      <c r="A29" s="101" t="inlineStr">
        <is>
          <t>AR24</t>
        </is>
      </c>
      <c r="B29" s="85" t="inlineStr">
        <is>
          <t>Right to Buy Price</t>
        </is>
      </c>
      <c r="C29" s="85" t="inlineStr">
        <is>
          <t>Borrower Information</t>
        </is>
      </c>
      <c r="D29" s="85" t="inlineStr">
        <is>
          <t>Optional</t>
        </is>
      </c>
      <c r="E29" s="85" t="inlineStr">
        <is>
          <t>static</t>
        </is>
      </c>
      <c r="F29" s="102" t="inlineStr">
        <is>
          <t>NO</t>
        </is>
      </c>
    </row>
    <row r="30">
      <c r="A30" s="101" t="inlineStr">
        <is>
          <t>AR25</t>
        </is>
      </c>
      <c r="B30" s="85" t="inlineStr">
        <is>
          <t>Class of Borrower</t>
        </is>
      </c>
      <c r="C30" s="85" t="inlineStr">
        <is>
          <t>Borrower Information</t>
        </is>
      </c>
      <c r="D30" s="85" t="inlineStr">
        <is>
          <t>Optional</t>
        </is>
      </c>
      <c r="E30" s="85" t="inlineStr">
        <is>
          <t>static</t>
        </is>
      </c>
      <c r="F30" s="102" t="inlineStr">
        <is>
          <t>NO</t>
        </is>
      </c>
    </row>
    <row r="31">
      <c r="A31" s="95" t="inlineStr">
        <is>
          <t>AR26</t>
        </is>
      </c>
      <c r="B31" s="85" t="inlineStr">
        <is>
          <t>Primary Income</t>
        </is>
      </c>
      <c r="C31" s="85" t="inlineStr">
        <is>
          <t>Borrower Information</t>
        </is>
      </c>
      <c r="D31" s="85" t="inlineStr">
        <is>
          <t>Mandatory</t>
        </is>
      </c>
      <c r="E31" s="85" t="inlineStr">
        <is>
          <t>static</t>
        </is>
      </c>
      <c r="F31" s="103" t="inlineStr">
        <is>
          <t>YES</t>
        </is>
      </c>
    </row>
    <row r="32">
      <c r="A32" s="95" t="inlineStr">
        <is>
          <t>AR27</t>
        </is>
      </c>
      <c r="B32" s="85" t="inlineStr">
        <is>
          <t>Income Verification for Primary Income</t>
        </is>
      </c>
      <c r="C32" s="85" t="inlineStr">
        <is>
          <t>Borrower Information</t>
        </is>
      </c>
      <c r="D32" s="85" t="inlineStr">
        <is>
          <t>Mandatory</t>
        </is>
      </c>
      <c r="E32" s="85" t="inlineStr">
        <is>
          <t>static</t>
        </is>
      </c>
      <c r="F32" s="103" t="inlineStr">
        <is>
          <t>YES</t>
        </is>
      </c>
    </row>
    <row r="33">
      <c r="A33" s="95" t="inlineStr">
        <is>
          <t>AR28</t>
        </is>
      </c>
      <c r="B33" s="85" t="inlineStr">
        <is>
          <t>Secondary Income</t>
        </is>
      </c>
      <c r="C33" s="85" t="inlineStr">
        <is>
          <t>Borrower Information</t>
        </is>
      </c>
      <c r="D33" s="85" t="inlineStr">
        <is>
          <t>Mandatory</t>
        </is>
      </c>
      <c r="E33" s="85" t="inlineStr">
        <is>
          <t>static</t>
        </is>
      </c>
      <c r="F33" s="103" t="inlineStr">
        <is>
          <t>YES</t>
        </is>
      </c>
    </row>
    <row r="34">
      <c r="A34" s="101" t="inlineStr">
        <is>
          <t>AR29</t>
        </is>
      </c>
      <c r="B34" s="85" t="inlineStr">
        <is>
          <t>Income Verification for Secondary Income</t>
        </is>
      </c>
      <c r="C34" s="85" t="inlineStr">
        <is>
          <t>Borrower Information</t>
        </is>
      </c>
      <c r="D34" s="85" t="inlineStr">
        <is>
          <t>Mandatory</t>
        </is>
      </c>
      <c r="E34" s="85" t="inlineStr">
        <is>
          <t>static</t>
        </is>
      </c>
      <c r="F34" s="102" t="inlineStr">
        <is>
          <t>NO</t>
        </is>
      </c>
    </row>
    <row r="35">
      <c r="A35" s="101" t="inlineStr">
        <is>
          <t>AR30</t>
        </is>
      </c>
      <c r="B35" s="85" t="inlineStr">
        <is>
          <t>Resident</t>
        </is>
      </c>
      <c r="C35" s="85" t="inlineStr">
        <is>
          <t>Borrower Information</t>
        </is>
      </c>
      <c r="D35" s="85" t="inlineStr">
        <is>
          <t>Optional</t>
        </is>
      </c>
      <c r="E35" s="85" t="inlineStr">
        <is>
          <t>static</t>
        </is>
      </c>
      <c r="F35" s="102" t="inlineStr">
        <is>
          <t>NO</t>
        </is>
      </c>
    </row>
    <row r="36">
      <c r="A36" s="95" t="inlineStr">
        <is>
          <t>AR31</t>
        </is>
      </c>
      <c r="B36" s="85" t="inlineStr">
        <is>
          <t>Number of County Court Judgements or equivalent  - Satisfied</t>
        </is>
      </c>
      <c r="C36" s="85" t="inlineStr">
        <is>
          <t>Borrower Information</t>
        </is>
      </c>
      <c r="D36" s="85" t="inlineStr">
        <is>
          <t>Mandatory</t>
        </is>
      </c>
      <c r="E36" s="85" t="inlineStr">
        <is>
          <t>static</t>
        </is>
      </c>
      <c r="F36" s="103" t="inlineStr">
        <is>
          <t>YES</t>
        </is>
      </c>
    </row>
    <row r="37">
      <c r="A37" s="101" t="inlineStr">
        <is>
          <t>AR32</t>
        </is>
      </c>
      <c r="B37" s="85" t="inlineStr">
        <is>
          <t>Value of County Court Judgements or equivalent - Satisfied</t>
        </is>
      </c>
      <c r="C37" s="85" t="inlineStr">
        <is>
          <t>Borrower Information</t>
        </is>
      </c>
      <c r="D37" s="85" t="inlineStr">
        <is>
          <t>Mandatory</t>
        </is>
      </c>
      <c r="E37" s="85" t="inlineStr">
        <is>
          <t>static</t>
        </is>
      </c>
      <c r="F37" s="102" t="inlineStr">
        <is>
          <t>NO</t>
        </is>
      </c>
    </row>
    <row r="38">
      <c r="A38" s="95" t="inlineStr">
        <is>
          <t>AR33</t>
        </is>
      </c>
      <c r="B38" s="85" t="inlineStr">
        <is>
          <t>Number of County Court Judgements or equivalent - Unsatisfied</t>
        </is>
      </c>
      <c r="C38" s="85" t="inlineStr">
        <is>
          <t>Borrower Information</t>
        </is>
      </c>
      <c r="D38" s="85" t="inlineStr">
        <is>
          <t>Mandatory</t>
        </is>
      </c>
      <c r="E38" s="85" t="inlineStr">
        <is>
          <t>static</t>
        </is>
      </c>
      <c r="F38" s="103" t="inlineStr">
        <is>
          <t>YES</t>
        </is>
      </c>
    </row>
    <row r="39">
      <c r="A39" s="101" t="inlineStr">
        <is>
          <t>AR34</t>
        </is>
      </c>
      <c r="B39" s="85" t="inlineStr">
        <is>
          <t>Value of County Court Judgements or equivalent - Unsatisfied</t>
        </is>
      </c>
      <c r="C39" s="85" t="inlineStr">
        <is>
          <t>Borrower Information</t>
        </is>
      </c>
      <c r="D39" s="85" t="inlineStr">
        <is>
          <t>Mandatory</t>
        </is>
      </c>
      <c r="E39" s="85" t="inlineStr">
        <is>
          <t>static</t>
        </is>
      </c>
      <c r="F39" s="102" t="inlineStr">
        <is>
          <t>NO</t>
        </is>
      </c>
    </row>
    <row r="40">
      <c r="A40" s="95" t="inlineStr">
        <is>
          <t>AR35</t>
        </is>
      </c>
      <c r="B40" s="85" t="inlineStr">
        <is>
          <t>Last County Court Judgements or equivalent – Date</t>
        </is>
      </c>
      <c r="C40" s="85" t="inlineStr">
        <is>
          <t>Borrower Information</t>
        </is>
      </c>
      <c r="D40" s="85" t="inlineStr">
        <is>
          <t>Optional</t>
        </is>
      </c>
      <c r="E40" s="85" t="inlineStr">
        <is>
          <t>static</t>
        </is>
      </c>
      <c r="F40" s="103" t="inlineStr">
        <is>
          <t>YES</t>
        </is>
      </c>
    </row>
    <row r="41">
      <c r="A41" s="95" t="inlineStr">
        <is>
          <t>AR36</t>
        </is>
      </c>
      <c r="B41" s="85" t="inlineStr">
        <is>
          <t>Bankruptcy or Individual Voluntary Arrangement Flag</t>
        </is>
      </c>
      <c r="C41" s="85" t="inlineStr">
        <is>
          <t>Borrower Information</t>
        </is>
      </c>
      <c r="D41" s="85" t="inlineStr">
        <is>
          <t>Mandatory</t>
        </is>
      </c>
      <c r="E41" s="85" t="inlineStr">
        <is>
          <t>dynamic</t>
        </is>
      </c>
      <c r="F41" s="103" t="inlineStr">
        <is>
          <t>YES</t>
        </is>
      </c>
    </row>
    <row r="42">
      <c r="A42" s="101" t="inlineStr">
        <is>
          <t>AR37</t>
        </is>
      </c>
      <c r="B42" s="85" t="inlineStr">
        <is>
          <t>Bureau Krediet Registratie 1 to 10 - Credit Type</t>
        </is>
      </c>
      <c r="C42" s="85" t="inlineStr">
        <is>
          <t>Borrower Information</t>
        </is>
      </c>
      <c r="D42" s="85" t="inlineStr">
        <is>
          <t>Optional</t>
        </is>
      </c>
      <c r="E42" s="85" t="inlineStr">
        <is>
          <t>static</t>
        </is>
      </c>
      <c r="F42" s="102" t="inlineStr">
        <is>
          <t>NO</t>
        </is>
      </c>
    </row>
    <row r="43">
      <c r="A43" s="101" t="inlineStr">
        <is>
          <t>AR38</t>
        </is>
      </c>
      <c r="B43" s="85" t="inlineStr">
        <is>
          <t>Bureau Krediet Registratie 1 to 10- Registration Date</t>
        </is>
      </c>
      <c r="C43" s="85" t="inlineStr">
        <is>
          <t>Borrower Information</t>
        </is>
      </c>
      <c r="D43" s="85" t="inlineStr">
        <is>
          <t>Optional</t>
        </is>
      </c>
      <c r="E43" s="85" t="inlineStr">
        <is>
          <t>static</t>
        </is>
      </c>
      <c r="F43" s="102" t="inlineStr">
        <is>
          <t>NO</t>
        </is>
      </c>
    </row>
    <row r="44">
      <c r="A44" s="101" t="inlineStr">
        <is>
          <t>AR39</t>
        </is>
      </c>
      <c r="B44" s="85" t="inlineStr">
        <is>
          <t>Bureau Krediet Registratie 1 to 10 - Arrears Code</t>
        </is>
      </c>
      <c r="C44" s="85" t="inlineStr">
        <is>
          <t>Borrower Information</t>
        </is>
      </c>
      <c r="D44" s="85" t="inlineStr">
        <is>
          <t>Optional</t>
        </is>
      </c>
      <c r="E44" s="85" t="inlineStr">
        <is>
          <t>static</t>
        </is>
      </c>
      <c r="F44" s="102" t="inlineStr">
        <is>
          <t>NO</t>
        </is>
      </c>
    </row>
    <row r="45">
      <c r="A45" s="101" t="inlineStr">
        <is>
          <t>AR40</t>
        </is>
      </c>
      <c r="B45" s="85" t="inlineStr">
        <is>
          <t>Bureau Krediet Registratie 1 to 10 - Credit Amount</t>
        </is>
      </c>
      <c r="C45" s="85" t="inlineStr">
        <is>
          <t>Borrower Information</t>
        </is>
      </c>
      <c r="D45" s="85" t="inlineStr">
        <is>
          <t>Optional</t>
        </is>
      </c>
      <c r="E45" s="85" t="inlineStr">
        <is>
          <t>static</t>
        </is>
      </c>
      <c r="F45" s="102" t="inlineStr">
        <is>
          <t>NO</t>
        </is>
      </c>
    </row>
    <row r="46">
      <c r="A46" s="101" t="inlineStr">
        <is>
          <t>AR41</t>
        </is>
      </c>
      <c r="B46" s="85" t="inlineStr">
        <is>
          <t>Bureau Krediet Registratie 1 to 10 - Is Coding Cured?</t>
        </is>
      </c>
      <c r="C46" s="85" t="inlineStr">
        <is>
          <t>Borrower Information</t>
        </is>
      </c>
      <c r="D46" s="85" t="inlineStr">
        <is>
          <t>Optional</t>
        </is>
      </c>
      <c r="E46" s="85" t="inlineStr">
        <is>
          <t>static</t>
        </is>
      </c>
      <c r="F46" s="102" t="inlineStr">
        <is>
          <t>NO</t>
        </is>
      </c>
    </row>
    <row r="47">
      <c r="A47" s="101" t="inlineStr">
        <is>
          <t>AR42</t>
        </is>
      </c>
      <c r="B47" s="85" t="inlineStr">
        <is>
          <t>Bureau Krediet Registratie 1 to 10 - Number of Months Since Cured</t>
        </is>
      </c>
      <c r="C47" s="85" t="inlineStr">
        <is>
          <t>Borrower Information</t>
        </is>
      </c>
      <c r="D47" s="85" t="inlineStr">
        <is>
          <t>Optional</t>
        </is>
      </c>
      <c r="E47" s="85" t="inlineStr">
        <is>
          <t>static</t>
        </is>
      </c>
      <c r="F47" s="102" t="inlineStr">
        <is>
          <t>NO</t>
        </is>
      </c>
    </row>
    <row r="48">
      <c r="A48" s="101" t="inlineStr">
        <is>
          <t>AR43</t>
        </is>
      </c>
      <c r="B48" s="85" t="inlineStr">
        <is>
          <t>Bureau Score Provider</t>
        </is>
      </c>
      <c r="C48" s="85" t="inlineStr">
        <is>
          <t>Borrower Information</t>
        </is>
      </c>
      <c r="D48" s="85" t="inlineStr">
        <is>
          <t>Mandatory</t>
        </is>
      </c>
      <c r="E48" s="85" t="inlineStr">
        <is>
          <t>dynamic</t>
        </is>
      </c>
      <c r="F48" s="102" t="inlineStr">
        <is>
          <t>NO</t>
        </is>
      </c>
    </row>
    <row r="49">
      <c r="A49" s="101" t="inlineStr">
        <is>
          <t>AR44</t>
        </is>
      </c>
      <c r="B49" s="85" t="inlineStr">
        <is>
          <t>Bureau Score Type</t>
        </is>
      </c>
      <c r="C49" s="85" t="inlineStr">
        <is>
          <t>Borrower Information</t>
        </is>
      </c>
      <c r="D49" s="85" t="inlineStr">
        <is>
          <t>Mandatory</t>
        </is>
      </c>
      <c r="E49" s="85" t="inlineStr">
        <is>
          <t>dynamic</t>
        </is>
      </c>
      <c r="F49" s="102" t="inlineStr">
        <is>
          <t>NO</t>
        </is>
      </c>
    </row>
    <row r="50">
      <c r="A50" s="101" t="inlineStr">
        <is>
          <t>AR45</t>
        </is>
      </c>
      <c r="B50" s="85" t="inlineStr">
        <is>
          <t>Bureau Score Date</t>
        </is>
      </c>
      <c r="C50" s="85" t="inlineStr">
        <is>
          <t>Borrower Information</t>
        </is>
      </c>
      <c r="D50" s="85" t="inlineStr">
        <is>
          <t>Mandatory</t>
        </is>
      </c>
      <c r="E50" s="85" t="inlineStr">
        <is>
          <t>dynamic</t>
        </is>
      </c>
      <c r="F50" s="102" t="inlineStr">
        <is>
          <t>NO</t>
        </is>
      </c>
    </row>
    <row r="51">
      <c r="A51" s="101" t="inlineStr">
        <is>
          <t>AR46</t>
        </is>
      </c>
      <c r="B51" s="85" t="inlineStr">
        <is>
          <t>Bureau Score Value</t>
        </is>
      </c>
      <c r="C51" s="85" t="inlineStr">
        <is>
          <t>Borrower Information</t>
        </is>
      </c>
      <c r="D51" s="85" t="inlineStr">
        <is>
          <t>Mandatory</t>
        </is>
      </c>
      <c r="E51" s="85" t="inlineStr">
        <is>
          <t>dynamic</t>
        </is>
      </c>
      <c r="F51" s="102" t="inlineStr">
        <is>
          <t>NO</t>
        </is>
      </c>
    </row>
    <row r="52">
      <c r="A52" s="95" t="inlineStr">
        <is>
          <t>AR47</t>
        </is>
      </c>
      <c r="B52" s="85" t="inlineStr">
        <is>
          <t>Prior Repossessions</t>
        </is>
      </c>
      <c r="C52" s="85" t="inlineStr">
        <is>
          <t>Borrower Information</t>
        </is>
      </c>
      <c r="D52" s="85" t="inlineStr">
        <is>
          <t>Optional</t>
        </is>
      </c>
      <c r="E52" s="85" t="inlineStr">
        <is>
          <t>static</t>
        </is>
      </c>
      <c r="F52" s="103" t="inlineStr">
        <is>
          <t>YES</t>
        </is>
      </c>
    </row>
    <row r="53">
      <c r="A53" s="101" t="inlineStr">
        <is>
          <t>AR48</t>
        </is>
      </c>
      <c r="B53" s="85" t="inlineStr">
        <is>
          <t>Previous Mortgage Arrears 0-6 Months</t>
        </is>
      </c>
      <c r="C53" s="85" t="inlineStr">
        <is>
          <t>Borrower Information</t>
        </is>
      </c>
      <c r="D53" s="85" t="inlineStr">
        <is>
          <t>Optional</t>
        </is>
      </c>
      <c r="E53" s="85" t="inlineStr">
        <is>
          <t>static</t>
        </is>
      </c>
      <c r="F53" s="102" t="inlineStr">
        <is>
          <t>NO</t>
        </is>
      </c>
    </row>
    <row r="54">
      <c r="A54" s="101" t="inlineStr">
        <is>
          <t>AR49</t>
        </is>
      </c>
      <c r="B54" s="85" t="inlineStr">
        <is>
          <t>Previous Mortgage Arrears 6+ Months</t>
        </is>
      </c>
      <c r="C54" s="85" t="inlineStr">
        <is>
          <t>Borrower Information</t>
        </is>
      </c>
      <c r="D54" s="85" t="inlineStr">
        <is>
          <t>Optional</t>
        </is>
      </c>
      <c r="E54" s="85" t="inlineStr">
        <is>
          <t>static</t>
        </is>
      </c>
      <c r="F54" s="102" t="inlineStr">
        <is>
          <t>NO</t>
        </is>
      </c>
    </row>
    <row r="55">
      <c r="A55" s="101" t="inlineStr">
        <is>
          <t>AR50</t>
        </is>
      </c>
      <c r="B55" s="85" t="inlineStr">
        <is>
          <t>Internal Rating</t>
        </is>
      </c>
      <c r="C55" s="85" t="inlineStr">
        <is>
          <t>Borrower Information</t>
        </is>
      </c>
      <c r="D55" s="85" t="inlineStr">
        <is>
          <t>Optional</t>
        </is>
      </c>
      <c r="E55" s="85" t="inlineStr">
        <is>
          <t>dynamic</t>
        </is>
      </c>
      <c r="F55" s="102" t="inlineStr">
        <is>
          <t>NO</t>
        </is>
      </c>
    </row>
    <row r="56">
      <c r="A56" s="101" t="inlineStr">
        <is>
          <t>AR51</t>
        </is>
      </c>
      <c r="B56" s="85" t="inlineStr">
        <is>
          <t>Blank</t>
        </is>
      </c>
      <c r="C56" s="85" t="inlineStr">
        <is>
          <t>Borrower Information</t>
        </is>
      </c>
      <c r="D56" s="85" t="n"/>
      <c r="E56" s="85" t="n"/>
      <c r="F56" s="102" t="inlineStr">
        <is>
          <t>NO</t>
        </is>
      </c>
    </row>
    <row r="57">
      <c r="A57" s="101" t="inlineStr">
        <is>
          <t>AR52</t>
        </is>
      </c>
      <c r="B57" s="85" t="inlineStr">
        <is>
          <t>Blank</t>
        </is>
      </c>
      <c r="C57" s="85" t="inlineStr">
        <is>
          <t>Borrower Information</t>
        </is>
      </c>
      <c r="D57" s="85" t="n"/>
      <c r="E57" s="85" t="n"/>
      <c r="F57" s="102" t="inlineStr">
        <is>
          <t>NO</t>
        </is>
      </c>
    </row>
    <row r="58">
      <c r="A58" s="101" t="inlineStr">
        <is>
          <t>AR53</t>
        </is>
      </c>
      <c r="B58" s="85" t="inlineStr">
        <is>
          <t>Blank</t>
        </is>
      </c>
      <c r="C58" s="85" t="inlineStr">
        <is>
          <t>Borrower Information</t>
        </is>
      </c>
      <c r="D58" s="85" t="n"/>
      <c r="E58" s="85" t="n"/>
      <c r="F58" s="102" t="inlineStr">
        <is>
          <t>NO</t>
        </is>
      </c>
    </row>
    <row r="59">
      <c r="A59" s="101" t="inlineStr">
        <is>
          <t>AR54</t>
        </is>
      </c>
      <c r="B59" s="85" t="inlineStr">
        <is>
          <t>Blank</t>
        </is>
      </c>
      <c r="C59" s="85" t="inlineStr">
        <is>
          <t>Borrower Information</t>
        </is>
      </c>
      <c r="D59" s="85" t="n"/>
      <c r="E59" s="85" t="n"/>
      <c r="F59" s="102" t="inlineStr">
        <is>
          <t>NO</t>
        </is>
      </c>
    </row>
    <row r="60">
      <c r="A60" s="95" t="inlineStr">
        <is>
          <t>AR55</t>
        </is>
      </c>
      <c r="B60" s="85" t="inlineStr">
        <is>
          <t>Loan Origination Date</t>
        </is>
      </c>
      <c r="C60" s="85" t="inlineStr">
        <is>
          <t>Loan Characteristics</t>
        </is>
      </c>
      <c r="D60" s="85" t="inlineStr">
        <is>
          <t>Mandatory</t>
        </is>
      </c>
      <c r="E60" s="85" t="inlineStr">
        <is>
          <t>static</t>
        </is>
      </c>
      <c r="F60" s="103" t="inlineStr">
        <is>
          <t>YES</t>
        </is>
      </c>
    </row>
    <row r="61">
      <c r="A61" s="95" t="inlineStr">
        <is>
          <t>AR56</t>
        </is>
      </c>
      <c r="B61" s="85" t="inlineStr">
        <is>
          <t>Date of Loan Maturity</t>
        </is>
      </c>
      <c r="C61" s="85" t="inlineStr">
        <is>
          <t>Loan Characteristics</t>
        </is>
      </c>
      <c r="D61" s="85" t="inlineStr">
        <is>
          <t>Mandatory</t>
        </is>
      </c>
      <c r="E61" s="85" t="inlineStr">
        <is>
          <t>dynamic</t>
        </is>
      </c>
      <c r="F61" s="103" t="inlineStr">
        <is>
          <t>YES</t>
        </is>
      </c>
    </row>
    <row r="62">
      <c r="A62" s="101" t="inlineStr">
        <is>
          <t>AR57</t>
        </is>
      </c>
      <c r="B62" s="85" t="inlineStr">
        <is>
          <t>Account Status Date</t>
        </is>
      </c>
      <c r="C62" s="85" t="inlineStr">
        <is>
          <t>Loan Characteristics</t>
        </is>
      </c>
      <c r="D62" s="85" t="inlineStr">
        <is>
          <t>Mandatory</t>
        </is>
      </c>
      <c r="E62" s="85" t="inlineStr">
        <is>
          <t>static</t>
        </is>
      </c>
      <c r="F62" s="102" t="inlineStr">
        <is>
          <t>NO</t>
        </is>
      </c>
    </row>
    <row r="63">
      <c r="A63" s="101" t="inlineStr">
        <is>
          <t>AR58</t>
        </is>
      </c>
      <c r="B63" s="85" t="inlineStr">
        <is>
          <t>Origination Channel / Arranging Bank or Division</t>
        </is>
      </c>
      <c r="C63" s="85" t="inlineStr">
        <is>
          <t>Loan Characteristics</t>
        </is>
      </c>
      <c r="D63" s="85" t="inlineStr">
        <is>
          <t>Mandatory</t>
        </is>
      </c>
      <c r="E63" s="85" t="inlineStr">
        <is>
          <t>static</t>
        </is>
      </c>
      <c r="F63" s="102" t="inlineStr">
        <is>
          <t>NO</t>
        </is>
      </c>
    </row>
    <row r="64">
      <c r="A64" s="95" t="inlineStr">
        <is>
          <t>AR59</t>
        </is>
      </c>
      <c r="B64" s="85" t="inlineStr">
        <is>
          <t>Purpose</t>
        </is>
      </c>
      <c r="C64" s="85" t="inlineStr">
        <is>
          <t>Loan Characteristics</t>
        </is>
      </c>
      <c r="D64" s="85" t="inlineStr">
        <is>
          <t>Mandatory</t>
        </is>
      </c>
      <c r="E64" s="85" t="inlineStr">
        <is>
          <t>static</t>
        </is>
      </c>
      <c r="F64" s="103" t="inlineStr">
        <is>
          <t>YES</t>
        </is>
      </c>
    </row>
    <row r="65">
      <c r="A65" s="95" t="inlineStr">
        <is>
          <t>AR60</t>
        </is>
      </c>
      <c r="B65" s="85" t="inlineStr">
        <is>
          <t>Shared Ownership</t>
        </is>
      </c>
      <c r="C65" s="85" t="inlineStr">
        <is>
          <t>Loan Characteristics</t>
        </is>
      </c>
      <c r="D65" s="85" t="inlineStr">
        <is>
          <t>Mandatory</t>
        </is>
      </c>
      <c r="E65" s="85" t="inlineStr">
        <is>
          <t>static</t>
        </is>
      </c>
      <c r="F65" s="103" t="inlineStr">
        <is>
          <t>YES</t>
        </is>
      </c>
    </row>
    <row r="66">
      <c r="A66" s="101" t="inlineStr">
        <is>
          <t>AR61</t>
        </is>
      </c>
      <c r="B66" s="85" t="inlineStr">
        <is>
          <t>Loan Term</t>
        </is>
      </c>
      <c r="C66" s="85" t="inlineStr">
        <is>
          <t>Loan Characteristics</t>
        </is>
      </c>
      <c r="D66" s="85" t="inlineStr">
        <is>
          <t>Mandatory</t>
        </is>
      </c>
      <c r="E66" s="85" t="inlineStr">
        <is>
          <t>static</t>
        </is>
      </c>
      <c r="F66" s="102" t="inlineStr">
        <is>
          <t>NO</t>
        </is>
      </c>
    </row>
    <row r="67">
      <c r="A67" s="101" t="inlineStr">
        <is>
          <t>AR62</t>
        </is>
      </c>
      <c r="B67" s="85" t="inlineStr">
        <is>
          <t>Principal Grace Period</t>
        </is>
      </c>
      <c r="C67" s="85" t="inlineStr">
        <is>
          <t>Loan Characteristics</t>
        </is>
      </c>
      <c r="D67" s="85" t="inlineStr">
        <is>
          <t>Optional</t>
        </is>
      </c>
      <c r="E67" s="85" t="inlineStr">
        <is>
          <t>static</t>
        </is>
      </c>
      <c r="F67" s="102" t="inlineStr">
        <is>
          <t>NO</t>
        </is>
      </c>
    </row>
    <row r="68">
      <c r="A68" s="101" t="inlineStr">
        <is>
          <t>AR63</t>
        </is>
      </c>
      <c r="B68" s="85" t="inlineStr">
        <is>
          <t>Amount Guaranteed</t>
        </is>
      </c>
      <c r="C68" s="85" t="inlineStr">
        <is>
          <t>Loan Characteristics</t>
        </is>
      </c>
      <c r="D68" s="85" t="inlineStr">
        <is>
          <t>Optional</t>
        </is>
      </c>
      <c r="E68" s="85" t="inlineStr">
        <is>
          <t>static</t>
        </is>
      </c>
      <c r="F68" s="102" t="inlineStr">
        <is>
          <t>NO</t>
        </is>
      </c>
    </row>
    <row r="69">
      <c r="A69" s="101" t="inlineStr">
        <is>
          <t>AR64</t>
        </is>
      </c>
      <c r="B69" s="85" t="inlineStr">
        <is>
          <t>Subsidy</t>
        </is>
      </c>
      <c r="C69" s="85" t="inlineStr">
        <is>
          <t>Loan Characteristics</t>
        </is>
      </c>
      <c r="D69" s="85" t="inlineStr">
        <is>
          <t>Optional</t>
        </is>
      </c>
      <c r="E69" s="85" t="inlineStr">
        <is>
          <t>static</t>
        </is>
      </c>
      <c r="F69" s="102" t="inlineStr">
        <is>
          <t>NO</t>
        </is>
      </c>
    </row>
    <row r="70">
      <c r="A70" s="101" t="inlineStr">
        <is>
          <t>AR65</t>
        </is>
      </c>
      <c r="B70" s="85" t="inlineStr">
        <is>
          <t xml:space="preserve">Loan Currency Denomination </t>
        </is>
      </c>
      <c r="C70" s="85" t="inlineStr">
        <is>
          <t>Loan Characteristics</t>
        </is>
      </c>
      <c r="D70" s="85" t="inlineStr">
        <is>
          <t>Mandatory</t>
        </is>
      </c>
      <c r="E70" s="85" t="inlineStr">
        <is>
          <t>static</t>
        </is>
      </c>
      <c r="F70" s="102" t="inlineStr">
        <is>
          <t>NO</t>
        </is>
      </c>
    </row>
    <row r="71">
      <c r="A71" s="95" t="inlineStr">
        <is>
          <t>AR66</t>
        </is>
      </c>
      <c r="B71" s="85" t="inlineStr">
        <is>
          <t>Original Balance</t>
        </is>
      </c>
      <c r="C71" s="85" t="inlineStr">
        <is>
          <t>Loan Characteristics</t>
        </is>
      </c>
      <c r="D71" s="85" t="inlineStr">
        <is>
          <t>Mandatory</t>
        </is>
      </c>
      <c r="E71" s="85" t="inlineStr">
        <is>
          <t>static</t>
        </is>
      </c>
      <c r="F71" s="103" t="inlineStr">
        <is>
          <t>YES</t>
        </is>
      </c>
    </row>
    <row r="72">
      <c r="A72" s="95" t="inlineStr">
        <is>
          <t>AR67</t>
        </is>
      </c>
      <c r="B72" s="85" t="inlineStr">
        <is>
          <t>Current Balance</t>
        </is>
      </c>
      <c r="C72" s="85" t="inlineStr">
        <is>
          <t>Loan Characteristics</t>
        </is>
      </c>
      <c r="D72" s="85" t="inlineStr">
        <is>
          <t>Mandatory</t>
        </is>
      </c>
      <c r="E72" s="85" t="inlineStr">
        <is>
          <t>dynamic</t>
        </is>
      </c>
      <c r="F72" s="103" t="inlineStr">
        <is>
          <t>YES</t>
        </is>
      </c>
    </row>
    <row r="73">
      <c r="A73" s="101" t="inlineStr">
        <is>
          <t>AR68</t>
        </is>
      </c>
      <c r="B73" s="85" t="inlineStr">
        <is>
          <t>Fractioned / Subrogated Loans</t>
        </is>
      </c>
      <c r="C73" s="85" t="inlineStr">
        <is>
          <t>Loan Characteristics</t>
        </is>
      </c>
      <c r="D73" s="85" t="inlineStr">
        <is>
          <t>Optional</t>
        </is>
      </c>
      <c r="E73" s="85" t="inlineStr">
        <is>
          <t>static</t>
        </is>
      </c>
      <c r="F73" s="102" t="inlineStr">
        <is>
          <t>NO</t>
        </is>
      </c>
    </row>
    <row r="74">
      <c r="A74" s="95" t="inlineStr">
        <is>
          <t>AR69</t>
        </is>
      </c>
      <c r="B74" s="85" t="inlineStr">
        <is>
          <t>Repayment Method</t>
        </is>
      </c>
      <c r="C74" s="85" t="inlineStr">
        <is>
          <t>Loan Characteristics</t>
        </is>
      </c>
      <c r="D74" s="85" t="inlineStr">
        <is>
          <t>Mandatory</t>
        </is>
      </c>
      <c r="E74" s="85" t="inlineStr">
        <is>
          <t>static</t>
        </is>
      </c>
      <c r="F74" s="103" t="inlineStr">
        <is>
          <t>YES</t>
        </is>
      </c>
    </row>
    <row r="75">
      <c r="A75" s="101" t="inlineStr">
        <is>
          <t>AR70</t>
        </is>
      </c>
      <c r="B75" s="85" t="inlineStr">
        <is>
          <t>Payment Frequency</t>
        </is>
      </c>
      <c r="C75" s="85" t="inlineStr">
        <is>
          <t>Loan Characteristics</t>
        </is>
      </c>
      <c r="D75" s="85" t="inlineStr">
        <is>
          <t>Mandatory</t>
        </is>
      </c>
      <c r="E75" s="85" t="inlineStr">
        <is>
          <t>static</t>
        </is>
      </c>
      <c r="F75" s="102" t="inlineStr">
        <is>
          <t>NO</t>
        </is>
      </c>
    </row>
    <row r="76">
      <c r="A76" s="101" t="inlineStr">
        <is>
          <t>AR71</t>
        </is>
      </c>
      <c r="B76" s="85" t="inlineStr">
        <is>
          <t>Payment Due</t>
        </is>
      </c>
      <c r="C76" s="85" t="inlineStr">
        <is>
          <t>Loan Characteristics</t>
        </is>
      </c>
      <c r="D76" s="85" t="inlineStr">
        <is>
          <t>Mandatory</t>
        </is>
      </c>
      <c r="E76" s="85" t="inlineStr">
        <is>
          <t>dynamic</t>
        </is>
      </c>
      <c r="F76" s="102" t="inlineStr">
        <is>
          <t>NO</t>
        </is>
      </c>
    </row>
    <row r="77">
      <c r="A77" s="101" t="inlineStr">
        <is>
          <t>AR72</t>
        </is>
      </c>
      <c r="B77" s="85" t="inlineStr">
        <is>
          <t>Payment Type</t>
        </is>
      </c>
      <c r="C77" s="85" t="inlineStr">
        <is>
          <t>Loan Characteristics</t>
        </is>
      </c>
      <c r="D77" s="85" t="inlineStr">
        <is>
          <t>Mandatory</t>
        </is>
      </c>
      <c r="E77" s="85" t="inlineStr">
        <is>
          <t>static</t>
        </is>
      </c>
      <c r="F77" s="102" t="inlineStr">
        <is>
          <t>NO</t>
        </is>
      </c>
    </row>
    <row r="78">
      <c r="A78" s="95" t="inlineStr">
        <is>
          <t>AR73</t>
        </is>
      </c>
      <c r="B78" s="85" t="inlineStr">
        <is>
          <t>Debt to Income</t>
        </is>
      </c>
      <c r="C78" s="85" t="inlineStr">
        <is>
          <t>Loan Characteristics</t>
        </is>
      </c>
      <c r="D78" s="85" t="inlineStr">
        <is>
          <t>Optional</t>
        </is>
      </c>
      <c r="E78" s="85" t="inlineStr">
        <is>
          <t>static</t>
        </is>
      </c>
      <c r="F78" s="103" t="inlineStr">
        <is>
          <t>YES</t>
        </is>
      </c>
    </row>
    <row r="79">
      <c r="A79" s="101" t="inlineStr">
        <is>
          <t>AR74</t>
        </is>
      </c>
      <c r="B79" s="85" t="inlineStr">
        <is>
          <t>Type of Guarantee Provider</t>
        </is>
      </c>
      <c r="C79" s="85" t="inlineStr">
        <is>
          <t>Loan Characteristics</t>
        </is>
      </c>
      <c r="D79" s="85" t="inlineStr">
        <is>
          <t>Optional</t>
        </is>
      </c>
      <c r="E79" s="85" t="inlineStr">
        <is>
          <t>static</t>
        </is>
      </c>
      <c r="F79" s="102" t="inlineStr">
        <is>
          <t>NO</t>
        </is>
      </c>
    </row>
    <row r="80">
      <c r="A80" s="101" t="inlineStr">
        <is>
          <t>AR75</t>
        </is>
      </c>
      <c r="B80" s="85" t="inlineStr">
        <is>
          <t>Guarantee Provider</t>
        </is>
      </c>
      <c r="C80" s="85" t="inlineStr">
        <is>
          <t>Loan Characteristics</t>
        </is>
      </c>
      <c r="D80" s="85" t="inlineStr">
        <is>
          <t>Optional</t>
        </is>
      </c>
      <c r="E80" s="85" t="inlineStr">
        <is>
          <t>static</t>
        </is>
      </c>
      <c r="F80" s="102" t="inlineStr">
        <is>
          <t>NO</t>
        </is>
      </c>
    </row>
    <row r="81">
      <c r="A81" s="101" t="inlineStr">
        <is>
          <t>AR76</t>
        </is>
      </c>
      <c r="B81" s="85" t="inlineStr">
        <is>
          <t>Income Guarantor</t>
        </is>
      </c>
      <c r="C81" s="85" t="inlineStr">
        <is>
          <t>Loan Characteristics</t>
        </is>
      </c>
      <c r="D81" s="85" t="inlineStr">
        <is>
          <t>Optional</t>
        </is>
      </c>
      <c r="E81" s="85" t="inlineStr">
        <is>
          <t>static</t>
        </is>
      </c>
      <c r="F81" s="102" t="inlineStr">
        <is>
          <t>NO</t>
        </is>
      </c>
    </row>
    <row r="82">
      <c r="A82" s="101" t="inlineStr">
        <is>
          <t>AR77</t>
        </is>
      </c>
      <c r="B82" s="85" t="inlineStr">
        <is>
          <t>Subsidy Received</t>
        </is>
      </c>
      <c r="C82" s="85" t="inlineStr">
        <is>
          <t>Loan Characteristics</t>
        </is>
      </c>
      <c r="D82" s="85" t="inlineStr">
        <is>
          <t>Optional</t>
        </is>
      </c>
      <c r="E82" s="85" t="inlineStr">
        <is>
          <t>dynamic</t>
        </is>
      </c>
      <c r="F82" s="102" t="inlineStr">
        <is>
          <t>NO</t>
        </is>
      </c>
    </row>
    <row r="83">
      <c r="A83" s="101" t="inlineStr">
        <is>
          <t>AR78</t>
        </is>
      </c>
      <c r="B83" s="85" t="inlineStr">
        <is>
          <t>Mortgage Indemnity Guarantee Provider</t>
        </is>
      </c>
      <c r="C83" s="85" t="inlineStr">
        <is>
          <t>Loan Characteristics</t>
        </is>
      </c>
      <c r="D83" s="85" t="inlineStr">
        <is>
          <t>Mandatory</t>
        </is>
      </c>
      <c r="E83" s="85" t="inlineStr">
        <is>
          <t>static</t>
        </is>
      </c>
      <c r="F83" s="102" t="inlineStr">
        <is>
          <t>NO</t>
        </is>
      </c>
    </row>
    <row r="84">
      <c r="A84" s="101" t="inlineStr">
        <is>
          <t>AR79</t>
        </is>
      </c>
      <c r="B84" s="85" t="inlineStr">
        <is>
          <t>Mortgage Indemnity Guarantee Attachment Point</t>
        </is>
      </c>
      <c r="C84" s="85" t="inlineStr">
        <is>
          <t>Loan Characteristics</t>
        </is>
      </c>
      <c r="D84" s="85" t="inlineStr">
        <is>
          <t>Mandatory</t>
        </is>
      </c>
      <c r="E84" s="85" t="inlineStr">
        <is>
          <t>static</t>
        </is>
      </c>
      <c r="F84" s="102" t="inlineStr">
        <is>
          <t>NO</t>
        </is>
      </c>
    </row>
    <row r="85">
      <c r="A85" s="101" t="inlineStr">
        <is>
          <t>AR80</t>
        </is>
      </c>
      <c r="B85" s="85" t="inlineStr">
        <is>
          <t>Prior Balances</t>
        </is>
      </c>
      <c r="C85" s="85" t="inlineStr">
        <is>
          <t>Loan Characteristics</t>
        </is>
      </c>
      <c r="D85" s="85" t="inlineStr">
        <is>
          <t>Optional</t>
        </is>
      </c>
      <c r="E85" s="85" t="inlineStr">
        <is>
          <t>dynamic</t>
        </is>
      </c>
      <c r="F85" s="102" t="inlineStr">
        <is>
          <t>NO</t>
        </is>
      </c>
    </row>
    <row r="86">
      <c r="A86" s="101" t="inlineStr">
        <is>
          <t>AR81</t>
        </is>
      </c>
      <c r="B86" s="85" t="inlineStr">
        <is>
          <t>Other Prior Balances</t>
        </is>
      </c>
      <c r="C86" s="85" t="inlineStr">
        <is>
          <t>Loan Characteristics</t>
        </is>
      </c>
      <c r="D86" s="85" t="inlineStr">
        <is>
          <t>Optional</t>
        </is>
      </c>
      <c r="E86" s="85" t="inlineStr">
        <is>
          <t>dynamic</t>
        </is>
      </c>
      <c r="F86" s="102" t="inlineStr">
        <is>
          <t>NO</t>
        </is>
      </c>
    </row>
    <row r="87">
      <c r="A87" s="101" t="inlineStr">
        <is>
          <t>AR82</t>
        </is>
      </c>
      <c r="B87" s="85" t="inlineStr">
        <is>
          <t>Pari Passu Loans</t>
        </is>
      </c>
      <c r="C87" s="85" t="inlineStr">
        <is>
          <t>Loan Characteristics</t>
        </is>
      </c>
      <c r="D87" s="85" t="inlineStr">
        <is>
          <t>Optional</t>
        </is>
      </c>
      <c r="E87" s="85" t="inlineStr">
        <is>
          <t>dynamic</t>
        </is>
      </c>
      <c r="F87" s="102" t="inlineStr">
        <is>
          <t>NO</t>
        </is>
      </c>
    </row>
    <row r="88">
      <c r="A88" s="101" t="inlineStr">
        <is>
          <t>AR83</t>
        </is>
      </c>
      <c r="B88" s="85" t="inlineStr">
        <is>
          <t>Subordinated Claims</t>
        </is>
      </c>
      <c r="C88" s="85" t="inlineStr">
        <is>
          <t>Loan Characteristics</t>
        </is>
      </c>
      <c r="D88" s="85" t="inlineStr">
        <is>
          <t>Optional</t>
        </is>
      </c>
      <c r="E88" s="85" t="inlineStr">
        <is>
          <t>dynamic</t>
        </is>
      </c>
      <c r="F88" s="102" t="inlineStr">
        <is>
          <t>NO</t>
        </is>
      </c>
    </row>
    <row r="89">
      <c r="A89" s="95" t="inlineStr">
        <is>
          <t>AR84</t>
        </is>
      </c>
      <c r="B89" s="85" t="inlineStr">
        <is>
          <t>Lien</t>
        </is>
      </c>
      <c r="C89" s="85" t="inlineStr">
        <is>
          <t>Loan Characteristics</t>
        </is>
      </c>
      <c r="D89" s="85" t="inlineStr">
        <is>
          <t>Mandatory</t>
        </is>
      </c>
      <c r="E89" s="85" t="inlineStr">
        <is>
          <t>static</t>
        </is>
      </c>
      <c r="F89" s="103" t="inlineStr">
        <is>
          <t>YES</t>
        </is>
      </c>
    </row>
    <row r="90">
      <c r="A90" s="101" t="inlineStr">
        <is>
          <t>AR85</t>
        </is>
      </c>
      <c r="B90" s="85" t="inlineStr">
        <is>
          <t>Retained Amount</t>
        </is>
      </c>
      <c r="C90" s="85" t="inlineStr">
        <is>
          <t>Loan Characteristics</t>
        </is>
      </c>
      <c r="D90" s="85" t="inlineStr">
        <is>
          <t>Optional</t>
        </is>
      </c>
      <c r="E90" s="85" t="inlineStr">
        <is>
          <t>dynamic</t>
        </is>
      </c>
      <c r="F90" s="102" t="inlineStr">
        <is>
          <t>NO</t>
        </is>
      </c>
    </row>
    <row r="91">
      <c r="A91" s="101" t="inlineStr">
        <is>
          <t>AR86</t>
        </is>
      </c>
      <c r="B91" s="85" t="inlineStr">
        <is>
          <t>Retained Amount Date</t>
        </is>
      </c>
      <c r="C91" s="85" t="inlineStr">
        <is>
          <t>Loan Characteristics</t>
        </is>
      </c>
      <c r="D91" s="85" t="inlineStr">
        <is>
          <t>Optional</t>
        </is>
      </c>
      <c r="E91" s="85" t="inlineStr">
        <is>
          <t>dynamic</t>
        </is>
      </c>
      <c r="F91" s="102" t="inlineStr">
        <is>
          <t>NO</t>
        </is>
      </c>
    </row>
    <row r="92">
      <c r="A92" s="101" t="inlineStr">
        <is>
          <t>AR87</t>
        </is>
      </c>
      <c r="B92" s="85" t="inlineStr">
        <is>
          <t>Maximum Balance</t>
        </is>
      </c>
      <c r="C92" s="85" t="inlineStr">
        <is>
          <t>Loan Characteristics</t>
        </is>
      </c>
      <c r="D92" s="85" t="inlineStr">
        <is>
          <t>Mandatory</t>
        </is>
      </c>
      <c r="E92" s="85" t="inlineStr">
        <is>
          <t>dynamic</t>
        </is>
      </c>
      <c r="F92" s="102" t="inlineStr">
        <is>
          <t>NO</t>
        </is>
      </c>
    </row>
    <row r="93">
      <c r="A93" s="101" t="inlineStr">
        <is>
          <t>AR88</t>
        </is>
      </c>
      <c r="B93" s="85" t="inlineStr">
        <is>
          <t>Further Loan Advance</t>
        </is>
      </c>
      <c r="C93" s="85" t="inlineStr">
        <is>
          <t>Loan Characteristics</t>
        </is>
      </c>
      <c r="D93" s="85" t="inlineStr">
        <is>
          <t>Mandatory</t>
        </is>
      </c>
      <c r="E93" s="85" t="inlineStr">
        <is>
          <t>dynamic</t>
        </is>
      </c>
      <c r="F93" s="102" t="inlineStr">
        <is>
          <t>NO</t>
        </is>
      </c>
    </row>
    <row r="94">
      <c r="A94" s="101" t="inlineStr">
        <is>
          <t>AR89</t>
        </is>
      </c>
      <c r="B94" s="85" t="inlineStr">
        <is>
          <t>Further Loan Advance Date</t>
        </is>
      </c>
      <c r="C94" s="85" t="inlineStr">
        <is>
          <t>Loan Characteristics</t>
        </is>
      </c>
      <c r="D94" s="85" t="inlineStr">
        <is>
          <t>Optional</t>
        </is>
      </c>
      <c r="E94" s="85" t="inlineStr">
        <is>
          <t>dynamic</t>
        </is>
      </c>
      <c r="F94" s="102" t="inlineStr">
        <is>
          <t>NO</t>
        </is>
      </c>
    </row>
    <row r="95">
      <c r="A95" s="101" t="inlineStr">
        <is>
          <t>AR90</t>
        </is>
      </c>
      <c r="B95" s="85" t="inlineStr">
        <is>
          <t>Flexible Loan Amount</t>
        </is>
      </c>
      <c r="C95" s="85" t="inlineStr">
        <is>
          <t>Loan Characteristics</t>
        </is>
      </c>
      <c r="D95" s="85" t="inlineStr">
        <is>
          <t>Mandatory</t>
        </is>
      </c>
      <c r="E95" s="85" t="inlineStr">
        <is>
          <t>static</t>
        </is>
      </c>
      <c r="F95" s="102" t="inlineStr">
        <is>
          <t>NO</t>
        </is>
      </c>
    </row>
    <row r="96">
      <c r="A96" s="101" t="inlineStr">
        <is>
          <t>AR91</t>
        </is>
      </c>
      <c r="B96" s="85" t="inlineStr">
        <is>
          <t>Further Advances</t>
        </is>
      </c>
      <c r="C96" s="85" t="inlineStr">
        <is>
          <t>Loan Characteristics</t>
        </is>
      </c>
      <c r="D96" s="85" t="inlineStr">
        <is>
          <t>Mandatory</t>
        </is>
      </c>
      <c r="E96" s="85" t="inlineStr">
        <is>
          <t>static</t>
        </is>
      </c>
      <c r="F96" s="102" t="inlineStr">
        <is>
          <t>NO</t>
        </is>
      </c>
    </row>
    <row r="97">
      <c r="A97" s="101" t="inlineStr">
        <is>
          <t>AR92</t>
        </is>
      </c>
      <c r="B97" s="85" t="inlineStr">
        <is>
          <t>Length of Payment Holiday</t>
        </is>
      </c>
      <c r="C97" s="85" t="inlineStr">
        <is>
          <t>Loan Characteristics</t>
        </is>
      </c>
      <c r="D97" s="85" t="inlineStr">
        <is>
          <t>Optional</t>
        </is>
      </c>
      <c r="E97" s="85" t="inlineStr">
        <is>
          <t>static</t>
        </is>
      </c>
      <c r="F97" s="102" t="inlineStr">
        <is>
          <t>NO</t>
        </is>
      </c>
    </row>
    <row r="98">
      <c r="A98" s="101" t="inlineStr">
        <is>
          <t>AR93</t>
        </is>
      </c>
      <c r="B98" s="85" t="inlineStr">
        <is>
          <t>Subsidy Period</t>
        </is>
      </c>
      <c r="C98" s="85" t="inlineStr">
        <is>
          <t>Loan Characteristics</t>
        </is>
      </c>
      <c r="D98" s="85" t="inlineStr">
        <is>
          <t>Optional</t>
        </is>
      </c>
      <c r="E98" s="85" t="inlineStr">
        <is>
          <t>dynamic</t>
        </is>
      </c>
      <c r="F98" s="102" t="inlineStr">
        <is>
          <t>NO</t>
        </is>
      </c>
    </row>
    <row r="99">
      <c r="A99" s="101" t="inlineStr">
        <is>
          <t>AR94</t>
        </is>
      </c>
      <c r="B99" s="85" t="inlineStr">
        <is>
          <t>Mortgage Inscription</t>
        </is>
      </c>
      <c r="C99" s="85" t="inlineStr">
        <is>
          <t>Loan Characteristics</t>
        </is>
      </c>
      <c r="D99" s="85" t="inlineStr">
        <is>
          <t>Optional</t>
        </is>
      </c>
      <c r="E99" s="85" t="inlineStr">
        <is>
          <t>static</t>
        </is>
      </c>
      <c r="F99" s="102" t="inlineStr">
        <is>
          <t>NO</t>
        </is>
      </c>
    </row>
    <row r="100">
      <c r="A100" s="101" t="inlineStr">
        <is>
          <t>AR95</t>
        </is>
      </c>
      <c r="B100" s="85" t="inlineStr">
        <is>
          <t>Mortgage Mandate</t>
        </is>
      </c>
      <c r="C100" s="85" t="inlineStr">
        <is>
          <t>Loan Characteristics</t>
        </is>
      </c>
      <c r="D100" s="85" t="inlineStr">
        <is>
          <t>Optional</t>
        </is>
      </c>
      <c r="E100" s="85" t="inlineStr">
        <is>
          <t>static</t>
        </is>
      </c>
      <c r="F100" s="102" t="inlineStr">
        <is>
          <t>NO</t>
        </is>
      </c>
    </row>
    <row r="101">
      <c r="A101" s="101" t="inlineStr">
        <is>
          <t>AR96</t>
        </is>
      </c>
      <c r="B101" s="85" t="inlineStr">
        <is>
          <t>Deed of Postponement?</t>
        </is>
      </c>
      <c r="C101" s="85" t="inlineStr">
        <is>
          <t>Loan Characteristics</t>
        </is>
      </c>
      <c r="D101" s="85" t="inlineStr">
        <is>
          <t>Optional</t>
        </is>
      </c>
      <c r="E101" s="85" t="inlineStr">
        <is>
          <t>dynamic</t>
        </is>
      </c>
      <c r="F101" s="102" t="inlineStr">
        <is>
          <t>NO</t>
        </is>
      </c>
    </row>
    <row r="102">
      <c r="A102" s="101" t="inlineStr">
        <is>
          <t>AR97</t>
        </is>
      </c>
      <c r="B102" s="85" t="inlineStr">
        <is>
          <t>Pre-payment Amount</t>
        </is>
      </c>
      <c r="C102" s="85" t="inlineStr">
        <is>
          <t>Loan Characteristics</t>
        </is>
      </c>
      <c r="D102" s="85" t="inlineStr">
        <is>
          <t>Mandatory</t>
        </is>
      </c>
      <c r="E102" s="85" t="inlineStr">
        <is>
          <t>dynamic</t>
        </is>
      </c>
      <c r="F102" s="102" t="inlineStr">
        <is>
          <t>NO</t>
        </is>
      </c>
    </row>
    <row r="103">
      <c r="A103" s="101" t="inlineStr">
        <is>
          <t>AR98</t>
        </is>
      </c>
      <c r="B103" s="85" t="inlineStr">
        <is>
          <t>Pre-payment Date</t>
        </is>
      </c>
      <c r="C103" s="85" t="inlineStr">
        <is>
          <t>Loan Characteristics</t>
        </is>
      </c>
      <c r="D103" s="85" t="inlineStr">
        <is>
          <t>Optional</t>
        </is>
      </c>
      <c r="E103" s="85" t="inlineStr">
        <is>
          <t>dynamic</t>
        </is>
      </c>
      <c r="F103" s="102" t="inlineStr">
        <is>
          <t>NO</t>
        </is>
      </c>
    </row>
    <row r="104">
      <c r="A104" s="101" t="inlineStr">
        <is>
          <t>AR99</t>
        </is>
      </c>
      <c r="B104" s="85" t="inlineStr">
        <is>
          <t>Pre-payment Penalties</t>
        </is>
      </c>
      <c r="C104" s="85" t="inlineStr">
        <is>
          <t>Loan Characteristics</t>
        </is>
      </c>
      <c r="D104" s="85" t="inlineStr">
        <is>
          <t>Optional</t>
        </is>
      </c>
      <c r="E104" s="85" t="inlineStr">
        <is>
          <t>dynamic</t>
        </is>
      </c>
      <c r="F104" s="102" t="inlineStr">
        <is>
          <t>NO</t>
        </is>
      </c>
    </row>
    <row r="105">
      <c r="A105" s="101" t="inlineStr">
        <is>
          <t>AR100</t>
        </is>
      </c>
      <c r="B105" s="85" t="inlineStr">
        <is>
          <t>Cumulative Pre-payments</t>
        </is>
      </c>
      <c r="C105" s="85" t="inlineStr">
        <is>
          <t>Loan Characteristics</t>
        </is>
      </c>
      <c r="D105" s="85" t="inlineStr">
        <is>
          <t>Mandatory</t>
        </is>
      </c>
      <c r="E105" s="85" t="inlineStr">
        <is>
          <t>dynamic</t>
        </is>
      </c>
      <c r="F105" s="102" t="inlineStr">
        <is>
          <t>NO</t>
        </is>
      </c>
    </row>
    <row r="106">
      <c r="A106" s="101" t="inlineStr">
        <is>
          <t>AR101</t>
        </is>
      </c>
      <c r="B106" s="85" t="inlineStr">
        <is>
          <t>Amount of pre-payments allowed per year</t>
        </is>
      </c>
      <c r="C106" s="85" t="inlineStr">
        <is>
          <t>Loan Characteristics</t>
        </is>
      </c>
      <c r="D106" s="85" t="inlineStr">
        <is>
          <t>Optional</t>
        </is>
      </c>
      <c r="E106" s="85" t="inlineStr">
        <is>
          <t>dynamic</t>
        </is>
      </c>
      <c r="F106" s="102" t="inlineStr">
        <is>
          <t>NO</t>
        </is>
      </c>
    </row>
    <row r="107">
      <c r="A107" s="101" t="inlineStr">
        <is>
          <t>AR102</t>
        </is>
      </c>
      <c r="B107" s="85" t="inlineStr">
        <is>
          <t>Offset Savings Balance</t>
        </is>
      </c>
      <c r="C107" s="85" t="inlineStr">
        <is>
          <t>Loan Characteristics</t>
        </is>
      </c>
      <c r="D107" s="85" t="inlineStr">
        <is>
          <t>Mandatory</t>
        </is>
      </c>
      <c r="E107" s="85" t="inlineStr">
        <is>
          <t>dynamic</t>
        </is>
      </c>
      <c r="F107" s="102" t="inlineStr">
        <is>
          <t>NO</t>
        </is>
      </c>
    </row>
    <row r="108">
      <c r="A108" s="101" t="inlineStr">
        <is>
          <t>AR103</t>
        </is>
      </c>
      <c r="B108" s="85" t="inlineStr">
        <is>
          <t>Original Percentage Owned</t>
        </is>
      </c>
      <c r="C108" s="85" t="inlineStr">
        <is>
          <t>Loan Characteristics</t>
        </is>
      </c>
      <c r="D108" s="85" t="inlineStr">
        <is>
          <t>Mandatory</t>
        </is>
      </c>
      <c r="E108" s="85" t="inlineStr">
        <is>
          <t>static</t>
        </is>
      </c>
      <c r="F108" s="102" t="inlineStr">
        <is>
          <t>NO</t>
        </is>
      </c>
    </row>
    <row r="109">
      <c r="A109" s="101" t="inlineStr">
        <is>
          <t>AR104</t>
        </is>
      </c>
      <c r="B109" s="85" t="inlineStr">
        <is>
          <t>Current Percentage Owned</t>
        </is>
      </c>
      <c r="C109" s="85" t="inlineStr">
        <is>
          <t>Loan Characteristics</t>
        </is>
      </c>
      <c r="D109" s="85" t="inlineStr">
        <is>
          <t>Mandatory</t>
        </is>
      </c>
      <c r="E109" s="85" t="inlineStr">
        <is>
          <t>dynamic</t>
        </is>
      </c>
      <c r="F109" s="102" t="inlineStr">
        <is>
          <t>NO</t>
        </is>
      </c>
    </row>
    <row r="110">
      <c r="A110" s="95" t="inlineStr">
        <is>
          <t>AR105</t>
        </is>
      </c>
      <c r="B110" s="85" t="inlineStr">
        <is>
          <t>Help to Buy Scheme Type</t>
        </is>
      </c>
      <c r="C110" s="85" t="inlineStr">
        <is>
          <t>Loan Characteristics</t>
        </is>
      </c>
      <c r="D110" s="85" t="inlineStr">
        <is>
          <t>Mandatory</t>
        </is>
      </c>
      <c r="E110" s="85" t="inlineStr">
        <is>
          <t>static</t>
        </is>
      </c>
      <c r="F110" s="103" t="inlineStr">
        <is>
          <t>YES</t>
        </is>
      </c>
    </row>
    <row r="111">
      <c r="A111" s="101" t="inlineStr">
        <is>
          <t>AR106</t>
        </is>
      </c>
      <c r="B111" s="85" t="inlineStr">
        <is>
          <t>Blank</t>
        </is>
      </c>
      <c r="C111" s="85" t="inlineStr">
        <is>
          <t>Loan Characteristics</t>
        </is>
      </c>
      <c r="D111" s="85" t="n"/>
      <c r="E111" s="85" t="n"/>
      <c r="F111" s="102" t="inlineStr">
        <is>
          <t>NO</t>
        </is>
      </c>
    </row>
    <row r="112">
      <c r="A112" s="95" t="inlineStr">
        <is>
          <t>AR107</t>
        </is>
      </c>
      <c r="B112" s="85" t="inlineStr">
        <is>
          <t>Interest Rate Type</t>
        </is>
      </c>
      <c r="C112" s="85" t="inlineStr">
        <is>
          <t>Interest Rate</t>
        </is>
      </c>
      <c r="D112" s="85" t="inlineStr">
        <is>
          <t>Mandatory</t>
        </is>
      </c>
      <c r="E112" s="85" t="inlineStr">
        <is>
          <t>static</t>
        </is>
      </c>
      <c r="F112" s="103" t="inlineStr">
        <is>
          <t>YES</t>
        </is>
      </c>
    </row>
    <row r="113">
      <c r="A113" s="101" t="inlineStr">
        <is>
          <t>AR108</t>
        </is>
      </c>
      <c r="B113" s="85" t="inlineStr">
        <is>
          <t>Current Interest Rate Index</t>
        </is>
      </c>
      <c r="C113" s="85" t="inlineStr">
        <is>
          <t>Interest Rate</t>
        </is>
      </c>
      <c r="D113" s="85" t="inlineStr">
        <is>
          <t>Mandatory</t>
        </is>
      </c>
      <c r="E113" s="85" t="inlineStr">
        <is>
          <t>dynamic</t>
        </is>
      </c>
      <c r="F113" s="102" t="inlineStr">
        <is>
          <t>NO</t>
        </is>
      </c>
    </row>
    <row r="114">
      <c r="A114" s="95" t="inlineStr">
        <is>
          <t>AR109</t>
        </is>
      </c>
      <c r="B114" s="85" t="inlineStr">
        <is>
          <t>Current Interest Rate</t>
        </is>
      </c>
      <c r="C114" s="85" t="inlineStr">
        <is>
          <t>Interest Rate</t>
        </is>
      </c>
      <c r="D114" s="85" t="inlineStr">
        <is>
          <t>Mandatory</t>
        </is>
      </c>
      <c r="E114" s="85" t="inlineStr">
        <is>
          <t>dynamic</t>
        </is>
      </c>
      <c r="F114" s="103" t="inlineStr">
        <is>
          <t>YES</t>
        </is>
      </c>
    </row>
    <row r="115">
      <c r="A115" s="101" t="inlineStr">
        <is>
          <t>AR110</t>
        </is>
      </c>
      <c r="B115" s="85" t="inlineStr">
        <is>
          <t>Current Interest Rate Margin</t>
        </is>
      </c>
      <c r="C115" s="85" t="inlineStr">
        <is>
          <t>Interest Rate</t>
        </is>
      </c>
      <c r="D115" s="85" t="inlineStr">
        <is>
          <t>Mandatory</t>
        </is>
      </c>
      <c r="E115" s="85" t="inlineStr">
        <is>
          <t>dynamic</t>
        </is>
      </c>
      <c r="F115" s="102" t="inlineStr">
        <is>
          <t>NO</t>
        </is>
      </c>
    </row>
    <row r="116">
      <c r="A116" s="101" t="inlineStr">
        <is>
          <t>AR111</t>
        </is>
      </c>
      <c r="B116" s="85" t="inlineStr">
        <is>
          <t>Interest Rate Reset Interval</t>
        </is>
      </c>
      <c r="C116" s="85" t="inlineStr">
        <is>
          <t>Interest Rate</t>
        </is>
      </c>
      <c r="D116" s="85" t="inlineStr">
        <is>
          <t>Mandatory</t>
        </is>
      </c>
      <c r="E116" s="85" t="inlineStr">
        <is>
          <t>dynamic</t>
        </is>
      </c>
      <c r="F116" s="102" t="inlineStr">
        <is>
          <t>NO</t>
        </is>
      </c>
    </row>
    <row r="117">
      <c r="A117" s="101" t="inlineStr">
        <is>
          <t>AR112</t>
        </is>
      </c>
      <c r="B117" s="85" t="inlineStr">
        <is>
          <t>Interest Cap Rate</t>
        </is>
      </c>
      <c r="C117" s="85" t="inlineStr">
        <is>
          <t>Interest Rate</t>
        </is>
      </c>
      <c r="D117" s="85" t="inlineStr">
        <is>
          <t>Mandatory</t>
        </is>
      </c>
      <c r="E117" s="85" t="inlineStr">
        <is>
          <t>static</t>
        </is>
      </c>
      <c r="F117" s="102" t="inlineStr">
        <is>
          <t>NO</t>
        </is>
      </c>
    </row>
    <row r="118">
      <c r="A118" s="101" t="inlineStr">
        <is>
          <t>AR113</t>
        </is>
      </c>
      <c r="B118" s="85" t="inlineStr">
        <is>
          <t>Interest Revision Date 1</t>
        </is>
      </c>
      <c r="C118" s="85" t="inlineStr">
        <is>
          <t>Interest Rate</t>
        </is>
      </c>
      <c r="D118" s="85" t="inlineStr">
        <is>
          <t>Mandatory</t>
        </is>
      </c>
      <c r="E118" s="85" t="inlineStr">
        <is>
          <t>dynamic</t>
        </is>
      </c>
      <c r="F118" s="102" t="inlineStr">
        <is>
          <t>NO</t>
        </is>
      </c>
    </row>
    <row r="119">
      <c r="A119" s="101" t="inlineStr">
        <is>
          <t>AR114</t>
        </is>
      </c>
      <c r="B119" s="85" t="inlineStr">
        <is>
          <t>Revision Margin 2</t>
        </is>
      </c>
      <c r="C119" s="85" t="inlineStr">
        <is>
          <t>Interest Rate</t>
        </is>
      </c>
      <c r="D119" s="85" t="inlineStr">
        <is>
          <t>Mandatory</t>
        </is>
      </c>
      <c r="E119" s="85" t="inlineStr">
        <is>
          <t>dynamic</t>
        </is>
      </c>
      <c r="F119" s="102" t="inlineStr">
        <is>
          <t>NO</t>
        </is>
      </c>
    </row>
    <row r="120">
      <c r="A120" s="101" t="inlineStr">
        <is>
          <t>AR115</t>
        </is>
      </c>
      <c r="B120" s="85" t="inlineStr">
        <is>
          <t>Interest Revision Date 2</t>
        </is>
      </c>
      <c r="C120" s="85" t="inlineStr">
        <is>
          <t>Interest Rate</t>
        </is>
      </c>
      <c r="D120" s="85" t="inlineStr">
        <is>
          <t>Mandatory</t>
        </is>
      </c>
      <c r="E120" s="85" t="inlineStr">
        <is>
          <t>dynamic</t>
        </is>
      </c>
      <c r="F120" s="102" t="inlineStr">
        <is>
          <t>NO</t>
        </is>
      </c>
    </row>
    <row r="121">
      <c r="A121" s="101" t="inlineStr">
        <is>
          <t>AR116</t>
        </is>
      </c>
      <c r="B121" s="85" t="inlineStr">
        <is>
          <t>Revision Margin 3</t>
        </is>
      </c>
      <c r="C121" s="85" t="inlineStr">
        <is>
          <t>Interest Rate</t>
        </is>
      </c>
      <c r="D121" s="85" t="inlineStr">
        <is>
          <t>Mandatory</t>
        </is>
      </c>
      <c r="E121" s="85" t="inlineStr">
        <is>
          <t>dynamic</t>
        </is>
      </c>
      <c r="F121" s="102" t="inlineStr">
        <is>
          <t>NO</t>
        </is>
      </c>
    </row>
    <row r="122">
      <c r="A122" s="101" t="inlineStr">
        <is>
          <t>AR117</t>
        </is>
      </c>
      <c r="B122" s="85" t="inlineStr">
        <is>
          <t>Interest Revision Date 3</t>
        </is>
      </c>
      <c r="C122" s="85" t="inlineStr">
        <is>
          <t>Interest Rate</t>
        </is>
      </c>
      <c r="D122" s="85" t="inlineStr">
        <is>
          <t>Mandatory</t>
        </is>
      </c>
      <c r="E122" s="85" t="inlineStr">
        <is>
          <t>dynamic</t>
        </is>
      </c>
      <c r="F122" s="102" t="inlineStr">
        <is>
          <t>NO</t>
        </is>
      </c>
    </row>
    <row r="123">
      <c r="A123" s="101" t="inlineStr">
        <is>
          <t>AR118</t>
        </is>
      </c>
      <c r="B123" s="85" t="inlineStr">
        <is>
          <t>Revised Interest Rate Index</t>
        </is>
      </c>
      <c r="C123" s="85" t="inlineStr">
        <is>
          <t>Interest Rate</t>
        </is>
      </c>
      <c r="D123" s="85" t="inlineStr">
        <is>
          <t>Mandatory</t>
        </is>
      </c>
      <c r="E123" s="85" t="inlineStr">
        <is>
          <t>dynamic</t>
        </is>
      </c>
      <c r="F123" s="102" t="inlineStr">
        <is>
          <t>NO</t>
        </is>
      </c>
    </row>
    <row r="124">
      <c r="A124" s="101" t="inlineStr">
        <is>
          <t>AR119</t>
        </is>
      </c>
      <c r="B124" s="85" t="inlineStr">
        <is>
          <t>Revised Interest Rate Margin</t>
        </is>
      </c>
      <c r="C124" s="85" t="inlineStr">
        <is>
          <t>Interest Rate</t>
        </is>
      </c>
      <c r="D124" s="85" t="inlineStr">
        <is>
          <t>Mandatory</t>
        </is>
      </c>
      <c r="E124" s="85" t="inlineStr">
        <is>
          <t>dynamic</t>
        </is>
      </c>
      <c r="F124" s="102" t="inlineStr">
        <is>
          <t>NO</t>
        </is>
      </c>
    </row>
    <row r="125">
      <c r="A125" s="101" t="inlineStr">
        <is>
          <t>AR120</t>
        </is>
      </c>
      <c r="B125" s="85" t="inlineStr">
        <is>
          <t>Final Margin</t>
        </is>
      </c>
      <c r="C125" s="85" t="inlineStr">
        <is>
          <t>Interest Rate</t>
        </is>
      </c>
      <c r="D125" s="85" t="inlineStr">
        <is>
          <t>Mandatory</t>
        </is>
      </c>
      <c r="E125" s="85" t="inlineStr">
        <is>
          <t>static</t>
        </is>
      </c>
      <c r="F125" s="102" t="inlineStr">
        <is>
          <t>NO</t>
        </is>
      </c>
    </row>
    <row r="126">
      <c r="A126" s="101" t="inlineStr">
        <is>
          <t>AR121</t>
        </is>
      </c>
      <c r="B126" s="85" t="inlineStr">
        <is>
          <t>Final Step Date</t>
        </is>
      </c>
      <c r="C126" s="85" t="inlineStr">
        <is>
          <t>Interest Rate</t>
        </is>
      </c>
      <c r="D126" s="85" t="inlineStr">
        <is>
          <t>Mandatory</t>
        </is>
      </c>
      <c r="E126" s="85" t="inlineStr">
        <is>
          <t>static</t>
        </is>
      </c>
      <c r="F126" s="102" t="inlineStr">
        <is>
          <t>NO</t>
        </is>
      </c>
    </row>
    <row r="127">
      <c r="A127" s="101" t="inlineStr">
        <is>
          <t>AR122</t>
        </is>
      </c>
      <c r="B127" s="85" t="inlineStr">
        <is>
          <t>Restructuring Arrangement</t>
        </is>
      </c>
      <c r="C127" s="85" t="inlineStr">
        <is>
          <t>Interest Rate</t>
        </is>
      </c>
      <c r="D127" s="85" t="inlineStr">
        <is>
          <t>Mandatory</t>
        </is>
      </c>
      <c r="E127" s="85" t="inlineStr">
        <is>
          <t>static</t>
        </is>
      </c>
      <c r="F127" s="102" t="inlineStr">
        <is>
          <t>NO</t>
        </is>
      </c>
    </row>
    <row r="128">
      <c r="A128" s="101" t="inlineStr">
        <is>
          <t>AR123</t>
        </is>
      </c>
      <c r="B128" s="85" t="inlineStr">
        <is>
          <t>Forbearance Type</t>
        </is>
      </c>
      <c r="C128" s="85" t="inlineStr">
        <is>
          <t>Interest Rate</t>
        </is>
      </c>
      <c r="D128" s="85" t="inlineStr">
        <is>
          <t>Mandatory</t>
        </is>
      </c>
      <c r="E128" s="85" t="inlineStr">
        <is>
          <t>dynamic</t>
        </is>
      </c>
      <c r="F128" s="102" t="inlineStr">
        <is>
          <t>NO</t>
        </is>
      </c>
    </row>
    <row r="129">
      <c r="A129" s="101" t="inlineStr">
        <is>
          <t>AR124</t>
        </is>
      </c>
      <c r="B129" s="85" t="inlineStr">
        <is>
          <t>Blank</t>
        </is>
      </c>
      <c r="C129" s="85" t="inlineStr">
        <is>
          <t>Interest Rate</t>
        </is>
      </c>
      <c r="D129" s="85" t="n"/>
      <c r="E129" s="85" t="n"/>
      <c r="F129" s="102" t="inlineStr">
        <is>
          <t>NO</t>
        </is>
      </c>
    </row>
    <row r="130">
      <c r="A130" s="101" t="inlineStr">
        <is>
          <t>AR125</t>
        </is>
      </c>
      <c r="B130" s="85" t="inlineStr">
        <is>
          <t>Blank</t>
        </is>
      </c>
      <c r="C130" s="85" t="inlineStr">
        <is>
          <t>Interest Rate</t>
        </is>
      </c>
      <c r="D130" s="85" t="n"/>
      <c r="E130" s="85" t="n"/>
      <c r="F130" s="102" t="inlineStr">
        <is>
          <t>NO</t>
        </is>
      </c>
    </row>
    <row r="131">
      <c r="A131" s="101" t="inlineStr">
        <is>
          <t>AR126</t>
        </is>
      </c>
      <c r="B131" s="85" t="inlineStr">
        <is>
          <t>Blank</t>
        </is>
      </c>
      <c r="C131" s="85" t="inlineStr">
        <is>
          <t>Interest Rate</t>
        </is>
      </c>
      <c r="D131" s="85" t="n"/>
      <c r="E131" s="85" t="n"/>
      <c r="F131" s="102" t="inlineStr">
        <is>
          <t>NO</t>
        </is>
      </c>
    </row>
    <row r="132">
      <c r="A132" s="101" t="inlineStr">
        <is>
          <t>AR127</t>
        </is>
      </c>
      <c r="B132" s="85" t="inlineStr">
        <is>
          <t>Blank</t>
        </is>
      </c>
      <c r="C132" s="85" t="inlineStr">
        <is>
          <t>Interest Rate</t>
        </is>
      </c>
      <c r="D132" s="85" t="n"/>
      <c r="E132" s="85" t="n"/>
      <c r="F132" s="102" t="inlineStr">
        <is>
          <t>NO</t>
        </is>
      </c>
    </row>
    <row r="133">
      <c r="A133" s="95" t="inlineStr">
        <is>
          <t>AR128</t>
        </is>
      </c>
      <c r="B133" s="85" t="inlineStr">
        <is>
          <t>Geographic Region</t>
        </is>
      </c>
      <c r="C133" s="85" t="inlineStr">
        <is>
          <t>Property &amp; Collateral</t>
        </is>
      </c>
      <c r="D133" s="85" t="inlineStr">
        <is>
          <t>Mandatory</t>
        </is>
      </c>
      <c r="E133" s="85" t="inlineStr">
        <is>
          <t>static</t>
        </is>
      </c>
      <c r="F133" s="103" t="inlineStr">
        <is>
          <t>YES</t>
        </is>
      </c>
    </row>
    <row r="134">
      <c r="A134" s="95" t="inlineStr">
        <is>
          <t>AR129</t>
        </is>
      </c>
      <c r="B134" s="85" t="inlineStr">
        <is>
          <t xml:space="preserve">Property Postcode </t>
        </is>
      </c>
      <c r="C134" s="85" t="inlineStr">
        <is>
          <t>Property &amp; Collateral</t>
        </is>
      </c>
      <c r="D134" s="85" t="inlineStr">
        <is>
          <t>Optional</t>
        </is>
      </c>
      <c r="E134" s="85" t="inlineStr">
        <is>
          <t>static</t>
        </is>
      </c>
      <c r="F134" s="103" t="inlineStr">
        <is>
          <t>YES</t>
        </is>
      </c>
    </row>
    <row r="135">
      <c r="A135" s="95" t="inlineStr">
        <is>
          <t>AR130</t>
        </is>
      </c>
      <c r="B135" s="85" t="inlineStr">
        <is>
          <t>Occupancy Type</t>
        </is>
      </c>
      <c r="C135" s="85" t="inlineStr">
        <is>
          <t>Property &amp; Collateral</t>
        </is>
      </c>
      <c r="D135" s="85" t="inlineStr">
        <is>
          <t>Mandatory</t>
        </is>
      </c>
      <c r="E135" s="85" t="inlineStr">
        <is>
          <t>static</t>
        </is>
      </c>
      <c r="F135" s="103" t="inlineStr">
        <is>
          <t>YES</t>
        </is>
      </c>
    </row>
    <row r="136">
      <c r="A136" s="95" t="inlineStr">
        <is>
          <t>AR131</t>
        </is>
      </c>
      <c r="B136" s="85" t="inlineStr">
        <is>
          <t>Property Type</t>
        </is>
      </c>
      <c r="C136" s="85" t="inlineStr">
        <is>
          <t>Property &amp; Collateral</t>
        </is>
      </c>
      <c r="D136" s="85" t="inlineStr">
        <is>
          <t>Mandatory</t>
        </is>
      </c>
      <c r="E136" s="85" t="inlineStr">
        <is>
          <t>static</t>
        </is>
      </c>
      <c r="F136" s="103" t="inlineStr">
        <is>
          <t>YES</t>
        </is>
      </c>
    </row>
    <row r="137">
      <c r="A137" s="101" t="inlineStr">
        <is>
          <t>AR132</t>
        </is>
      </c>
      <c r="B137" s="85" t="inlineStr">
        <is>
          <t>New Property</t>
        </is>
      </c>
      <c r="C137" s="85" t="inlineStr">
        <is>
          <t>Property &amp; Collateral</t>
        </is>
      </c>
      <c r="D137" s="85" t="inlineStr">
        <is>
          <t>Optional</t>
        </is>
      </c>
      <c r="E137" s="85" t="inlineStr">
        <is>
          <t>static</t>
        </is>
      </c>
      <c r="F137" s="102" t="inlineStr">
        <is>
          <t>NO</t>
        </is>
      </c>
    </row>
    <row r="138">
      <c r="A138" s="101" t="inlineStr">
        <is>
          <t>AR133</t>
        </is>
      </c>
      <c r="B138" s="85" t="inlineStr">
        <is>
          <t>Construction Year</t>
        </is>
      </c>
      <c r="C138" s="85" t="inlineStr">
        <is>
          <t>Property &amp; Collateral</t>
        </is>
      </c>
      <c r="D138" s="85" t="inlineStr">
        <is>
          <t>Optional</t>
        </is>
      </c>
      <c r="E138" s="85" t="inlineStr">
        <is>
          <t>static</t>
        </is>
      </c>
      <c r="F138" s="102" t="inlineStr">
        <is>
          <t>NO</t>
        </is>
      </c>
    </row>
    <row r="139">
      <c r="A139" s="101" t="inlineStr">
        <is>
          <t>AR134</t>
        </is>
      </c>
      <c r="B139" s="85" t="inlineStr">
        <is>
          <t>Property Rating</t>
        </is>
      </c>
      <c r="C139" s="85" t="inlineStr">
        <is>
          <t>Property &amp; Collateral</t>
        </is>
      </c>
      <c r="D139" s="85" t="inlineStr">
        <is>
          <t>Optional</t>
        </is>
      </c>
      <c r="E139" s="85" t="inlineStr">
        <is>
          <t>static</t>
        </is>
      </c>
      <c r="F139" s="102" t="inlineStr">
        <is>
          <t>NO</t>
        </is>
      </c>
    </row>
    <row r="140">
      <c r="A140" s="95" t="inlineStr">
        <is>
          <t>AR135</t>
        </is>
      </c>
      <c r="B140" s="85" t="inlineStr">
        <is>
          <t>Original Loan to Value</t>
        </is>
      </c>
      <c r="C140" s="85" t="inlineStr">
        <is>
          <t>Property &amp; Collateral</t>
        </is>
      </c>
      <c r="D140" s="85" t="inlineStr">
        <is>
          <t>Mandatory</t>
        </is>
      </c>
      <c r="E140" s="85" t="inlineStr">
        <is>
          <t>static</t>
        </is>
      </c>
      <c r="F140" s="103" t="inlineStr">
        <is>
          <t>YES</t>
        </is>
      </c>
    </row>
    <row r="141">
      <c r="A141" s="95" t="inlineStr">
        <is>
          <t>AR136</t>
        </is>
      </c>
      <c r="B141" s="85" t="inlineStr">
        <is>
          <t>Valuation Amount</t>
        </is>
      </c>
      <c r="C141" s="85" t="inlineStr">
        <is>
          <t>Property &amp; Collateral</t>
        </is>
      </c>
      <c r="D141" s="85" t="inlineStr">
        <is>
          <t>Mandatory</t>
        </is>
      </c>
      <c r="E141" s="85" t="inlineStr">
        <is>
          <t>static</t>
        </is>
      </c>
      <c r="F141" s="103" t="inlineStr">
        <is>
          <t>YES</t>
        </is>
      </c>
    </row>
    <row r="142">
      <c r="A142" s="101" t="inlineStr">
        <is>
          <t>AR137</t>
        </is>
      </c>
      <c r="B142" s="85" t="inlineStr">
        <is>
          <t>Original Valuation Type</t>
        </is>
      </c>
      <c r="C142" s="85" t="inlineStr">
        <is>
          <t>Property &amp; Collateral</t>
        </is>
      </c>
      <c r="D142" s="85" t="inlineStr">
        <is>
          <t>Mandatory</t>
        </is>
      </c>
      <c r="E142" s="85" t="inlineStr">
        <is>
          <t>static</t>
        </is>
      </c>
      <c r="F142" s="102" t="inlineStr">
        <is>
          <t>NO</t>
        </is>
      </c>
    </row>
    <row r="143">
      <c r="A143" s="101" t="inlineStr">
        <is>
          <t>AR138</t>
        </is>
      </c>
      <c r="B143" s="85" t="inlineStr">
        <is>
          <t xml:space="preserve"> Valuation Date</t>
        </is>
      </c>
      <c r="C143" s="85" t="inlineStr">
        <is>
          <t>Property &amp; Collateral</t>
        </is>
      </c>
      <c r="D143" s="85" t="inlineStr">
        <is>
          <t>Mandatory</t>
        </is>
      </c>
      <c r="E143" s="85" t="inlineStr">
        <is>
          <t>static</t>
        </is>
      </c>
      <c r="F143" s="102" t="inlineStr">
        <is>
          <t>NO</t>
        </is>
      </c>
    </row>
    <row r="144">
      <c r="A144" s="101" t="inlineStr">
        <is>
          <t>AR139</t>
        </is>
      </c>
      <c r="B144" s="85" t="inlineStr">
        <is>
          <t>Confidence Interval for Original Automated Valuation Model Valuation</t>
        </is>
      </c>
      <c r="C144" s="85" t="inlineStr">
        <is>
          <t>Property &amp; Collateral</t>
        </is>
      </c>
      <c r="D144" s="85" t="inlineStr">
        <is>
          <t>Optional</t>
        </is>
      </c>
      <c r="E144" s="85" t="inlineStr">
        <is>
          <t>static</t>
        </is>
      </c>
      <c r="F144" s="102" t="inlineStr">
        <is>
          <t>NO</t>
        </is>
      </c>
    </row>
    <row r="145">
      <c r="A145" s="101" t="inlineStr">
        <is>
          <t>AR140</t>
        </is>
      </c>
      <c r="B145" s="85" t="inlineStr">
        <is>
          <t>Provider of Original Automated Valuation Model Valuation</t>
        </is>
      </c>
      <c r="C145" s="85" t="inlineStr">
        <is>
          <t>Property &amp; Collateral</t>
        </is>
      </c>
      <c r="D145" s="85" t="inlineStr">
        <is>
          <t>Optional</t>
        </is>
      </c>
      <c r="E145" s="85" t="inlineStr">
        <is>
          <t>static</t>
        </is>
      </c>
      <c r="F145" s="102" t="inlineStr">
        <is>
          <t>NO</t>
        </is>
      </c>
    </row>
    <row r="146">
      <c r="A146" s="95" t="inlineStr">
        <is>
          <t>AR141</t>
        </is>
      </c>
      <c r="B146" s="85" t="inlineStr">
        <is>
          <t>Current Loan to Value</t>
        </is>
      </c>
      <c r="C146" s="85" t="inlineStr">
        <is>
          <t>Property &amp; Collateral</t>
        </is>
      </c>
      <c r="D146" s="85" t="inlineStr">
        <is>
          <t>Mandatory</t>
        </is>
      </c>
      <c r="E146" s="85" t="inlineStr">
        <is>
          <t>dynamic</t>
        </is>
      </c>
      <c r="F146" s="103" t="inlineStr">
        <is>
          <t>YES</t>
        </is>
      </c>
    </row>
    <row r="147">
      <c r="A147" s="101" t="inlineStr">
        <is>
          <t>AR142</t>
        </is>
      </c>
      <c r="B147" s="85" t="inlineStr">
        <is>
          <t>Purchase Price</t>
        </is>
      </c>
      <c r="C147" s="85" t="inlineStr">
        <is>
          <t>Property &amp; Collateral</t>
        </is>
      </c>
      <c r="D147" s="85" t="inlineStr">
        <is>
          <t>Optional</t>
        </is>
      </c>
      <c r="E147" s="85" t="inlineStr">
        <is>
          <t>Static</t>
        </is>
      </c>
      <c r="F147" s="102" t="inlineStr">
        <is>
          <t>NO</t>
        </is>
      </c>
    </row>
    <row r="148">
      <c r="A148" s="95" t="inlineStr">
        <is>
          <t>AR143</t>
        </is>
      </c>
      <c r="B148" s="85" t="inlineStr">
        <is>
          <t>Current Valuation Amount</t>
        </is>
      </c>
      <c r="C148" s="85" t="inlineStr">
        <is>
          <t>Property &amp; Collateral</t>
        </is>
      </c>
      <c r="D148" s="85" t="inlineStr">
        <is>
          <t>Mandatory</t>
        </is>
      </c>
      <c r="E148" s="85" t="inlineStr">
        <is>
          <t>dynamic</t>
        </is>
      </c>
      <c r="F148" s="103" t="inlineStr">
        <is>
          <t>YES</t>
        </is>
      </c>
    </row>
    <row r="149">
      <c r="A149" s="101" t="inlineStr">
        <is>
          <t>AR144</t>
        </is>
      </c>
      <c r="B149" s="85" t="inlineStr">
        <is>
          <t>Current Valuation Type</t>
        </is>
      </c>
      <c r="C149" s="85" t="inlineStr">
        <is>
          <t>Property &amp; Collateral</t>
        </is>
      </c>
      <c r="D149" s="85" t="inlineStr">
        <is>
          <t>Mandatory</t>
        </is>
      </c>
      <c r="E149" s="85" t="inlineStr">
        <is>
          <t>dynamic</t>
        </is>
      </c>
      <c r="F149" s="102" t="inlineStr">
        <is>
          <t>NO</t>
        </is>
      </c>
    </row>
    <row r="150">
      <c r="A150" s="101" t="inlineStr">
        <is>
          <t>AR145</t>
        </is>
      </c>
      <c r="B150" s="85" t="inlineStr">
        <is>
          <t>Current Valuation Date</t>
        </is>
      </c>
      <c r="C150" s="85" t="inlineStr">
        <is>
          <t>Property &amp; Collateral</t>
        </is>
      </c>
      <c r="D150" s="85" t="inlineStr">
        <is>
          <t>Mandatory</t>
        </is>
      </c>
      <c r="E150" s="85" t="inlineStr">
        <is>
          <t>dynamic</t>
        </is>
      </c>
      <c r="F150" s="102" t="inlineStr">
        <is>
          <t>NO</t>
        </is>
      </c>
    </row>
    <row r="151">
      <c r="A151" s="101" t="inlineStr">
        <is>
          <t>AR146</t>
        </is>
      </c>
      <c r="B151" s="85" t="inlineStr">
        <is>
          <t>Confidence Interval for Current Automated Valuation Model Valuation</t>
        </is>
      </c>
      <c r="C151" s="85" t="inlineStr">
        <is>
          <t>Property &amp; Collateral</t>
        </is>
      </c>
      <c r="D151" s="85" t="inlineStr">
        <is>
          <t>Optional</t>
        </is>
      </c>
      <c r="E151" s="85" t="inlineStr">
        <is>
          <t>dynamic</t>
        </is>
      </c>
      <c r="F151" s="102" t="inlineStr">
        <is>
          <t>NO</t>
        </is>
      </c>
    </row>
    <row r="152">
      <c r="A152" s="101" t="inlineStr">
        <is>
          <t>AR147</t>
        </is>
      </c>
      <c r="B152" s="85" t="inlineStr">
        <is>
          <t>Provider of Current Automated Valuation Model Valuation</t>
        </is>
      </c>
      <c r="C152" s="85" t="inlineStr">
        <is>
          <t>Property &amp; Collateral</t>
        </is>
      </c>
      <c r="D152" s="85" t="inlineStr">
        <is>
          <t>Optional</t>
        </is>
      </c>
      <c r="E152" s="85" t="inlineStr">
        <is>
          <t>dynamic</t>
        </is>
      </c>
      <c r="F152" s="102" t="inlineStr">
        <is>
          <t>NO</t>
        </is>
      </c>
    </row>
    <row r="153">
      <c r="A153" s="101" t="inlineStr">
        <is>
          <t>AR148</t>
        </is>
      </c>
      <c r="B153" s="85" t="inlineStr">
        <is>
          <t>Property Value at Time of Latest Loan Advance</t>
        </is>
      </c>
      <c r="C153" s="85" t="inlineStr">
        <is>
          <t>Property &amp; Collateral</t>
        </is>
      </c>
      <c r="D153" s="85" t="inlineStr">
        <is>
          <t>Optional</t>
        </is>
      </c>
      <c r="E153" s="85" t="inlineStr">
        <is>
          <t>dynamic</t>
        </is>
      </c>
      <c r="F153" s="102" t="inlineStr">
        <is>
          <t>NO</t>
        </is>
      </c>
    </row>
    <row r="154">
      <c r="A154" s="101" t="inlineStr">
        <is>
          <t>AR149</t>
        </is>
      </c>
      <c r="B154" s="85" t="inlineStr">
        <is>
          <t>Indexed Foreclosure Value</t>
        </is>
      </c>
      <c r="C154" s="85" t="inlineStr">
        <is>
          <t>Property &amp; Collateral</t>
        </is>
      </c>
      <c r="D154" s="85" t="inlineStr">
        <is>
          <t>Optional</t>
        </is>
      </c>
      <c r="E154" s="85" t="inlineStr">
        <is>
          <t>static</t>
        </is>
      </c>
      <c r="F154" s="102" t="inlineStr">
        <is>
          <t>NO</t>
        </is>
      </c>
    </row>
    <row r="155">
      <c r="A155" s="101" t="inlineStr">
        <is>
          <t>AR150</t>
        </is>
      </c>
      <c r="B155" s="85" t="inlineStr">
        <is>
          <t>Ipoteca</t>
        </is>
      </c>
      <c r="C155" s="85" t="inlineStr">
        <is>
          <t>Property &amp; Collateral</t>
        </is>
      </c>
      <c r="D155" s="85" t="inlineStr">
        <is>
          <t>Optional</t>
        </is>
      </c>
      <c r="E155" s="85" t="inlineStr">
        <is>
          <t>static</t>
        </is>
      </c>
      <c r="F155" s="102" t="inlineStr">
        <is>
          <t>NO</t>
        </is>
      </c>
    </row>
    <row r="156">
      <c r="A156" s="101" t="inlineStr">
        <is>
          <t>AR151</t>
        </is>
      </c>
      <c r="B156" s="85" t="inlineStr">
        <is>
          <t>Date of Sale</t>
        </is>
      </c>
      <c r="C156" s="85" t="inlineStr">
        <is>
          <t>Property &amp; Collateral</t>
        </is>
      </c>
      <c r="D156" s="85" t="inlineStr">
        <is>
          <t>Optional</t>
        </is>
      </c>
      <c r="E156" s="85" t="inlineStr">
        <is>
          <t>static</t>
        </is>
      </c>
      <c r="F156" s="102" t="inlineStr">
        <is>
          <t>NO</t>
        </is>
      </c>
    </row>
    <row r="157">
      <c r="A157" s="101" t="inlineStr">
        <is>
          <t>AR152</t>
        </is>
      </c>
      <c r="B157" s="85" t="inlineStr">
        <is>
          <t>Additional Collateral</t>
        </is>
      </c>
      <c r="C157" s="85" t="inlineStr">
        <is>
          <t>Property &amp; Collateral</t>
        </is>
      </c>
      <c r="D157" s="85" t="inlineStr">
        <is>
          <t>Optional</t>
        </is>
      </c>
      <c r="E157" s="85" t="inlineStr">
        <is>
          <t>static</t>
        </is>
      </c>
      <c r="F157" s="102" t="inlineStr">
        <is>
          <t>NO</t>
        </is>
      </c>
    </row>
    <row r="158">
      <c r="A158" s="101" t="inlineStr">
        <is>
          <t>AR153</t>
        </is>
      </c>
      <c r="B158" s="85" t="inlineStr">
        <is>
          <t>Additional Collateral Provider</t>
        </is>
      </c>
      <c r="C158" s="85" t="inlineStr">
        <is>
          <t>Property &amp; Collateral</t>
        </is>
      </c>
      <c r="D158" s="85" t="inlineStr">
        <is>
          <t>Optional</t>
        </is>
      </c>
      <c r="E158" s="85" t="inlineStr">
        <is>
          <t>static</t>
        </is>
      </c>
      <c r="F158" s="102" t="inlineStr">
        <is>
          <t>NO</t>
        </is>
      </c>
    </row>
    <row r="159">
      <c r="A159" s="95" t="inlineStr">
        <is>
          <t>AR154</t>
        </is>
      </c>
      <c r="B159" s="85" t="inlineStr">
        <is>
          <t>Gross Annual Rental Income</t>
        </is>
      </c>
      <c r="C159" s="85" t="inlineStr">
        <is>
          <t>Property &amp; Collateral</t>
        </is>
      </c>
      <c r="D159" s="85" t="inlineStr">
        <is>
          <t>Mandatory</t>
        </is>
      </c>
      <c r="E159" s="85" t="inlineStr">
        <is>
          <t>static</t>
        </is>
      </c>
      <c r="F159" s="103" t="inlineStr">
        <is>
          <t>YES</t>
        </is>
      </c>
    </row>
    <row r="160">
      <c r="A160" s="101" t="inlineStr">
        <is>
          <t>AR155</t>
        </is>
      </c>
      <c r="B160" s="85" t="inlineStr">
        <is>
          <t>Number of Buy to Let Properties</t>
        </is>
      </c>
      <c r="C160" s="85" t="inlineStr">
        <is>
          <t>Property &amp; Collateral</t>
        </is>
      </c>
      <c r="D160" s="85" t="inlineStr">
        <is>
          <t>Mandatory</t>
        </is>
      </c>
      <c r="E160" s="85" t="inlineStr">
        <is>
          <t>static</t>
        </is>
      </c>
      <c r="F160" s="102" t="inlineStr">
        <is>
          <t>NO</t>
        </is>
      </c>
    </row>
    <row r="161">
      <c r="A161" s="95" t="inlineStr">
        <is>
          <t>AR156</t>
        </is>
      </c>
      <c r="B161" s="85" t="inlineStr">
        <is>
          <t>Debt Service Coverage Ratio</t>
        </is>
      </c>
      <c r="C161" s="85" t="inlineStr">
        <is>
          <t>Property &amp; Collateral</t>
        </is>
      </c>
      <c r="D161" s="85" t="inlineStr">
        <is>
          <t>Mandatory</t>
        </is>
      </c>
      <c r="E161" s="85" t="inlineStr">
        <is>
          <t>static</t>
        </is>
      </c>
      <c r="F161" s="103" t="inlineStr">
        <is>
          <t>YES</t>
        </is>
      </c>
    </row>
    <row r="162">
      <c r="A162" s="101" t="inlineStr">
        <is>
          <t>AR157</t>
        </is>
      </c>
      <c r="B162" s="85" t="inlineStr">
        <is>
          <t>Additional Collateral Value</t>
        </is>
      </c>
      <c r="C162" s="85" t="inlineStr">
        <is>
          <t>Property &amp; Collateral</t>
        </is>
      </c>
      <c r="D162" s="85" t="inlineStr">
        <is>
          <t>Optional</t>
        </is>
      </c>
      <c r="E162" s="85" t="inlineStr">
        <is>
          <t>dynamic</t>
        </is>
      </c>
      <c r="F162" s="102" t="inlineStr">
        <is>
          <t>NO</t>
        </is>
      </c>
    </row>
    <row r="163">
      <c r="A163" s="101" t="inlineStr">
        <is>
          <t>AR158</t>
        </is>
      </c>
      <c r="B163" s="85" t="inlineStr">
        <is>
          <t>Real Estate Owned</t>
        </is>
      </c>
      <c r="C163" s="85" t="inlineStr">
        <is>
          <t>Property &amp; Collateral</t>
        </is>
      </c>
      <c r="D163" s="85" t="inlineStr">
        <is>
          <t>Optional</t>
        </is>
      </c>
      <c r="E163" s="85" t="inlineStr">
        <is>
          <t>dynamic</t>
        </is>
      </c>
      <c r="F163" s="102" t="inlineStr">
        <is>
          <t>NO</t>
        </is>
      </c>
    </row>
    <row r="164">
      <c r="A164" s="101" t="inlineStr">
        <is>
          <t>AR159</t>
        </is>
      </c>
      <c r="B164" s="85" t="inlineStr">
        <is>
          <t>Is Property Transferability Limited</t>
        </is>
      </c>
      <c r="C164" s="85" t="inlineStr">
        <is>
          <t>Property &amp; Collateral</t>
        </is>
      </c>
      <c r="D164" s="85" t="inlineStr">
        <is>
          <t>Optional</t>
        </is>
      </c>
      <c r="E164" s="85" t="inlineStr">
        <is>
          <t>static</t>
        </is>
      </c>
      <c r="F164" s="102" t="inlineStr">
        <is>
          <t>NO</t>
        </is>
      </c>
    </row>
    <row r="165">
      <c r="A165" s="101" t="inlineStr">
        <is>
          <t>AR160</t>
        </is>
      </c>
      <c r="B165" s="85" t="inlineStr">
        <is>
          <t>Time Until Declassification</t>
        </is>
      </c>
      <c r="C165" s="85" t="inlineStr">
        <is>
          <t>Property &amp; Collateral</t>
        </is>
      </c>
      <c r="D165" s="85" t="inlineStr">
        <is>
          <t>Optional</t>
        </is>
      </c>
      <c r="E165" s="85" t="inlineStr">
        <is>
          <t>dynamic</t>
        </is>
      </c>
      <c r="F165" s="102" t="inlineStr">
        <is>
          <t>NO</t>
        </is>
      </c>
    </row>
    <row r="166">
      <c r="A166" s="101" t="inlineStr">
        <is>
          <t>AR161</t>
        </is>
      </c>
      <c r="B166" s="85" t="inlineStr">
        <is>
          <t>Blank</t>
        </is>
      </c>
      <c r="C166" s="85" t="inlineStr">
        <is>
          <t>Property &amp; Collateral</t>
        </is>
      </c>
      <c r="D166" s="85" t="n"/>
      <c r="E166" s="85" t="n"/>
      <c r="F166" s="102" t="inlineStr">
        <is>
          <t>NO</t>
        </is>
      </c>
    </row>
    <row r="167">
      <c r="A167" s="101" t="inlineStr">
        <is>
          <t>AR162</t>
        </is>
      </c>
      <c r="B167" s="85" t="inlineStr">
        <is>
          <t xml:space="preserve">Current Energy Performance Certificate Value </t>
        </is>
      </c>
      <c r="C167" s="85" t="inlineStr">
        <is>
          <t>Property &amp; Collateral</t>
        </is>
      </c>
      <c r="D167" s="85" t="inlineStr">
        <is>
          <t>Mandatory</t>
        </is>
      </c>
      <c r="E167" s="85" t="inlineStr">
        <is>
          <t>dynamic</t>
        </is>
      </c>
      <c r="F167" s="102" t="inlineStr">
        <is>
          <t>NO</t>
        </is>
      </c>
    </row>
    <row r="168">
      <c r="A168" s="101" t="inlineStr">
        <is>
          <t>AR163</t>
        </is>
      </c>
      <c r="B168" s="85" t="inlineStr">
        <is>
          <t xml:space="preserve">Potential Energy Performance Certificate Value </t>
        </is>
      </c>
      <c r="C168" s="85" t="inlineStr">
        <is>
          <t>Property &amp; Collateral</t>
        </is>
      </c>
      <c r="D168" s="85" t="inlineStr">
        <is>
          <t>Mandatory</t>
        </is>
      </c>
      <c r="E168" s="85" t="inlineStr">
        <is>
          <t>dynamic</t>
        </is>
      </c>
      <c r="F168" s="102" t="inlineStr">
        <is>
          <t>NO</t>
        </is>
      </c>
    </row>
    <row r="169">
      <c r="A169" s="101" t="inlineStr">
        <is>
          <t>AR164</t>
        </is>
      </c>
      <c r="B169" s="85" t="inlineStr">
        <is>
          <t>Exemption from Energy Efficiency Regulation</t>
        </is>
      </c>
      <c r="C169" s="85" t="inlineStr">
        <is>
          <t>Property &amp; Collateral</t>
        </is>
      </c>
      <c r="D169" s="85" t="inlineStr">
        <is>
          <t>Mandatory</t>
        </is>
      </c>
      <c r="E169" s="85" t="inlineStr">
        <is>
          <t>dynamic</t>
        </is>
      </c>
      <c r="F169" s="102" t="inlineStr">
        <is>
          <t>NO</t>
        </is>
      </c>
    </row>
    <row r="170">
      <c r="A170" s="101" t="inlineStr">
        <is>
          <t>AR165</t>
        </is>
      </c>
      <c r="B170" s="85" t="inlineStr">
        <is>
          <t>Blank</t>
        </is>
      </c>
      <c r="C170" s="85" t="inlineStr">
        <is>
          <t>Property &amp; Collateral</t>
        </is>
      </c>
      <c r="D170" s="85" t="n"/>
      <c r="E170" s="85" t="n"/>
      <c r="F170" s="102" t="inlineStr">
        <is>
          <t>NO</t>
        </is>
      </c>
    </row>
    <row r="171">
      <c r="A171" s="95" t="inlineStr">
        <is>
          <t>AR166</t>
        </is>
      </c>
      <c r="B171" s="85" t="inlineStr">
        <is>
          <t>Account Status</t>
        </is>
      </c>
      <c r="C171" s="85" t="inlineStr">
        <is>
          <t>Performance</t>
        </is>
      </c>
      <c r="D171" s="85" t="inlineStr">
        <is>
          <t>Mandatory</t>
        </is>
      </c>
      <c r="E171" s="85" t="inlineStr">
        <is>
          <t>dynamic</t>
        </is>
      </c>
      <c r="F171" s="103" t="inlineStr">
        <is>
          <t>YES</t>
        </is>
      </c>
    </row>
    <row r="172">
      <c r="A172" s="95" t="inlineStr">
        <is>
          <t>AR167</t>
        </is>
      </c>
      <c r="B172" s="85" t="inlineStr">
        <is>
          <t>Date Last Current</t>
        </is>
      </c>
      <c r="C172" s="85" t="inlineStr">
        <is>
          <t>Performance</t>
        </is>
      </c>
      <c r="D172" s="85" t="inlineStr">
        <is>
          <t>Optional</t>
        </is>
      </c>
      <c r="E172" s="85" t="inlineStr">
        <is>
          <t>dynamic</t>
        </is>
      </c>
      <c r="F172" s="103" t="inlineStr">
        <is>
          <t>YES</t>
        </is>
      </c>
    </row>
    <row r="173">
      <c r="A173" s="95" t="inlineStr">
        <is>
          <t>AR168</t>
        </is>
      </c>
      <c r="B173" s="85" t="inlineStr">
        <is>
          <t>Date Last in Arrears</t>
        </is>
      </c>
      <c r="C173" s="85" t="inlineStr">
        <is>
          <t>Performance</t>
        </is>
      </c>
      <c r="D173" s="85" t="inlineStr">
        <is>
          <t>Optional</t>
        </is>
      </c>
      <c r="E173" s="85" t="inlineStr">
        <is>
          <t>dynamic</t>
        </is>
      </c>
      <c r="F173" s="103" t="inlineStr">
        <is>
          <t>YES</t>
        </is>
      </c>
    </row>
    <row r="174">
      <c r="A174" s="95" t="inlineStr">
        <is>
          <t>AR169</t>
        </is>
      </c>
      <c r="B174" s="85" t="inlineStr">
        <is>
          <t>Arrears Balance</t>
        </is>
      </c>
      <c r="C174" s="85" t="inlineStr">
        <is>
          <t>Performance</t>
        </is>
      </c>
      <c r="D174" s="85" t="inlineStr">
        <is>
          <t>Mandatory</t>
        </is>
      </c>
      <c r="E174" s="85" t="inlineStr">
        <is>
          <t>dynamic</t>
        </is>
      </c>
      <c r="F174" s="103" t="inlineStr">
        <is>
          <t>YES</t>
        </is>
      </c>
    </row>
    <row r="175">
      <c r="A175" s="95" t="inlineStr">
        <is>
          <t>AR170</t>
        </is>
      </c>
      <c r="B175" s="85" t="inlineStr">
        <is>
          <t>Number Months in Arrears</t>
        </is>
      </c>
      <c r="C175" s="85" t="inlineStr">
        <is>
          <t>Performance</t>
        </is>
      </c>
      <c r="D175" s="85" t="inlineStr">
        <is>
          <t>Mandatory</t>
        </is>
      </c>
      <c r="E175" s="85" t="inlineStr">
        <is>
          <t>dynamic</t>
        </is>
      </c>
      <c r="F175" s="103" t="inlineStr">
        <is>
          <t>YES</t>
        </is>
      </c>
    </row>
    <row r="176">
      <c r="A176" s="101" t="inlineStr">
        <is>
          <t>AR171</t>
        </is>
      </c>
      <c r="B176" s="85" t="inlineStr">
        <is>
          <t>Arrears 1 Month Ago</t>
        </is>
      </c>
      <c r="C176" s="85" t="inlineStr">
        <is>
          <t>Performance</t>
        </is>
      </c>
      <c r="D176" s="85" t="inlineStr">
        <is>
          <t>Mandatory</t>
        </is>
      </c>
      <c r="E176" s="85" t="inlineStr">
        <is>
          <t>dynamic</t>
        </is>
      </c>
      <c r="F176" s="102" t="inlineStr">
        <is>
          <t>NO</t>
        </is>
      </c>
    </row>
    <row r="177">
      <c r="A177" s="101" t="inlineStr">
        <is>
          <t>AR172</t>
        </is>
      </c>
      <c r="B177" s="85" t="inlineStr">
        <is>
          <t>Arrears 2 Months Ago</t>
        </is>
      </c>
      <c r="C177" s="85" t="inlineStr">
        <is>
          <t>Performance</t>
        </is>
      </c>
      <c r="D177" s="85" t="inlineStr">
        <is>
          <t>Mandatory</t>
        </is>
      </c>
      <c r="E177" s="85" t="inlineStr">
        <is>
          <t>dynamic</t>
        </is>
      </c>
      <c r="F177" s="102" t="inlineStr">
        <is>
          <t>NO</t>
        </is>
      </c>
    </row>
    <row r="178">
      <c r="A178" s="95" t="inlineStr">
        <is>
          <t>AR173</t>
        </is>
      </c>
      <c r="B178" s="85" t="inlineStr">
        <is>
          <t>Performance Arrangement</t>
        </is>
      </c>
      <c r="C178" s="85" t="inlineStr">
        <is>
          <t>Performance</t>
        </is>
      </c>
      <c r="D178" s="85" t="inlineStr">
        <is>
          <t>Mandatory</t>
        </is>
      </c>
      <c r="E178" s="85" t="inlineStr">
        <is>
          <t>dynamic</t>
        </is>
      </c>
      <c r="F178" s="103" t="inlineStr">
        <is>
          <t>YES</t>
        </is>
      </c>
    </row>
    <row r="179">
      <c r="A179" s="101" t="inlineStr">
        <is>
          <t>AR174</t>
        </is>
      </c>
      <c r="B179" s="85" t="inlineStr">
        <is>
          <t>Litigation</t>
        </is>
      </c>
      <c r="C179" s="85" t="inlineStr">
        <is>
          <t>Performance</t>
        </is>
      </c>
      <c r="D179" s="85" t="inlineStr">
        <is>
          <t>Mandatory</t>
        </is>
      </c>
      <c r="E179" s="85" t="inlineStr">
        <is>
          <t>dynamic</t>
        </is>
      </c>
      <c r="F179" s="102" t="inlineStr">
        <is>
          <t>NO</t>
        </is>
      </c>
    </row>
    <row r="180">
      <c r="A180" s="101" t="inlineStr">
        <is>
          <t>AR175</t>
        </is>
      </c>
      <c r="B180" s="85" t="inlineStr">
        <is>
          <t>Redemption Date</t>
        </is>
      </c>
      <c r="C180" s="85" t="inlineStr">
        <is>
          <t>Performance</t>
        </is>
      </c>
      <c r="D180" s="85" t="inlineStr">
        <is>
          <t>Mandatory</t>
        </is>
      </c>
      <c r="E180" s="85" t="inlineStr">
        <is>
          <t>dynamic</t>
        </is>
      </c>
      <c r="F180" s="102" t="inlineStr">
        <is>
          <t>NO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20" customWidth="1" min="15" max="15"/>
    <col width="15" customWidth="1" min="16" max="16"/>
  </cols>
  <sheetData>
    <row r="1">
      <c r="A1" s="1" t="inlineStr">
        <is>
          <t>JURISDICTION-SPECIFIC PARAMETERS</t>
        </is>
      </c>
    </row>
    <row r="2">
      <c r="A2" s="11" t="inlineStr">
        <is>
          <t>All jurisdiction-specific values - Model references this sheet dynamically</t>
        </is>
      </c>
    </row>
    <row r="4">
      <c r="A4" s="13" t="inlineStr">
        <is>
          <t>Jurisdiction</t>
        </is>
      </c>
      <c r="B4" s="13" t="inlineStr">
        <is>
          <t>OLTV Weight</t>
        </is>
      </c>
      <c r="C4" s="13" t="inlineStr">
        <is>
          <t>CLTV Weight</t>
        </is>
      </c>
      <c r="D4" s="13" t="inlineStr">
        <is>
          <t>Valuation Haircut</t>
        </is>
      </c>
      <c r="E4" s="13" t="inlineStr">
        <is>
          <t>Interest Cost (BTL)</t>
        </is>
      </c>
      <c r="F4" s="13" t="inlineStr">
        <is>
          <t>Seasoning Periods</t>
        </is>
      </c>
      <c r="G4" s="13" t="inlineStr">
        <is>
          <t>Income Mult Threshold 1</t>
        </is>
      </c>
      <c r="H4" s="13" t="inlineStr">
        <is>
          <t>Income Mult Threshold 2</t>
        </is>
      </c>
      <c r="I4" s="13" t="inlineStr">
        <is>
          <t>Income Mult Joint Threshold 1</t>
        </is>
      </c>
      <c r="J4" s="13" t="inlineStr">
        <is>
          <t>Income Mult Joint Threshold 2</t>
        </is>
      </c>
      <c r="K4" s="13" t="inlineStr">
        <is>
          <t>Arrears 1mo Mult</t>
        </is>
      </c>
      <c r="L4" s="13" t="inlineStr">
        <is>
          <t>Arrears 2mo Mult</t>
        </is>
      </c>
      <c r="M4" s="13" t="inlineStr">
        <is>
          <t>Arrears 3mo Mult</t>
        </is>
      </c>
      <c r="N4" s="13" t="inlineStr">
        <is>
          <t>Foreclosure Cost %</t>
        </is>
      </c>
      <c r="O4" s="13" t="inlineStr">
        <is>
          <t>LTV Curve Reference</t>
        </is>
      </c>
      <c r="P4" s="13" t="inlineStr">
        <is>
          <t>Regional Adj Enabled</t>
        </is>
      </c>
      <c r="Q4" t="inlineStr">
        <is>
          <t>Reperform Threshold (Years)</t>
        </is>
      </c>
    </row>
    <row r="5">
      <c r="A5" s="56" t="inlineStr">
        <is>
          <t>UK</t>
        </is>
      </c>
      <c r="B5" s="57" t="n">
        <v>0.8</v>
      </c>
      <c r="C5" s="57" t="n">
        <v>0.2</v>
      </c>
      <c r="D5" s="57" t="n">
        <v>0.05</v>
      </c>
      <c r="E5" s="57" t="n">
        <v>0.055</v>
      </c>
      <c r="F5" s="15" t="n">
        <v>18</v>
      </c>
      <c r="G5" s="33" t="n">
        <v>5</v>
      </c>
      <c r="H5" s="33" t="n">
        <v>3.5</v>
      </c>
      <c r="I5" s="33" t="n">
        <v>3.25</v>
      </c>
      <c r="J5" s="33" t="n">
        <v>2.75</v>
      </c>
      <c r="K5" s="33" t="n">
        <v>2.5</v>
      </c>
      <c r="L5" s="33" t="n">
        <v>5</v>
      </c>
      <c r="M5" s="57" t="n">
        <v>100</v>
      </c>
      <c r="N5" s="15" t="n">
        <v>0.08</v>
      </c>
      <c r="O5" s="15" t="inlineStr">
        <is>
          <t>LTV Curve UK</t>
        </is>
      </c>
      <c r="P5" s="15" t="inlineStr">
        <is>
          <t>Yes</t>
        </is>
      </c>
      <c r="Q5" t="n">
        <v>3</v>
      </c>
    </row>
    <row r="6">
      <c r="A6" s="56" t="inlineStr">
        <is>
          <t>Ireland</t>
        </is>
      </c>
      <c r="B6" s="57" t="n">
        <v>0.75</v>
      </c>
      <c r="C6" s="57" t="n">
        <v>0.25</v>
      </c>
      <c r="D6" s="57" t="n">
        <v>0.07000000000000001</v>
      </c>
      <c r="E6" s="57" t="n">
        <v>0.06</v>
      </c>
      <c r="F6" s="15" t="n">
        <v>24</v>
      </c>
      <c r="G6" s="33" t="n">
        <v>4.5</v>
      </c>
      <c r="H6" s="33" t="n">
        <v>3</v>
      </c>
      <c r="I6" s="33" t="n">
        <v>3</v>
      </c>
      <c r="J6" s="33" t="n">
        <v>2.5</v>
      </c>
      <c r="K6" s="33" t="n">
        <v>3</v>
      </c>
      <c r="L6" s="33" t="n">
        <v>6</v>
      </c>
      <c r="M6" s="57" t="n">
        <v>100</v>
      </c>
      <c r="N6" s="15" t="n">
        <v>0.1</v>
      </c>
      <c r="O6" s="15" t="inlineStr">
        <is>
          <t>LTV Curve Ireland</t>
        </is>
      </c>
      <c r="P6" s="15" t="inlineStr">
        <is>
          <t>Yes</t>
        </is>
      </c>
      <c r="Q6" t="n">
        <v>3</v>
      </c>
    </row>
    <row r="7">
      <c r="A7" s="56" t="inlineStr">
        <is>
          <t>Netherlands</t>
        </is>
      </c>
      <c r="B7" s="57" t="n">
        <v>0.8</v>
      </c>
      <c r="C7" s="57" t="n">
        <v>0.2</v>
      </c>
      <c r="D7" s="57" t="n">
        <v>0.04</v>
      </c>
      <c r="E7" s="57" t="n">
        <v>0.05</v>
      </c>
      <c r="F7" s="15" t="n">
        <v>12</v>
      </c>
      <c r="G7" s="33" t="n">
        <v>6</v>
      </c>
      <c r="H7" s="33" t="n">
        <v>4</v>
      </c>
      <c r="I7" s="33" t="n">
        <v>4</v>
      </c>
      <c r="J7" s="33" t="n">
        <v>3</v>
      </c>
      <c r="K7" s="33" t="n">
        <v>2</v>
      </c>
      <c r="L7" s="33" t="n">
        <v>4</v>
      </c>
      <c r="M7" s="57" t="n">
        <v>100</v>
      </c>
      <c r="N7" s="15" t="n">
        <v>0.07000000000000001</v>
      </c>
      <c r="O7" s="15" t="inlineStr">
        <is>
          <t>LTV Curve Netherlands</t>
        </is>
      </c>
      <c r="P7" s="15" t="inlineStr">
        <is>
          <t>No</t>
        </is>
      </c>
      <c r="Q7" t="n">
        <v>3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35" customWidth="1" min="5" max="5"/>
    <col width="10" customWidth="1" min="6" max="6"/>
    <col width="15" customWidth="1" min="7" max="7"/>
  </cols>
  <sheetData>
    <row r="1">
      <c r="A1" s="1" t="inlineStr">
        <is>
          <t>RATING-DRIVEN PARAMETERS</t>
        </is>
      </c>
    </row>
    <row r="3">
      <c r="A3" s="2" t="inlineStr">
        <is>
          <t>All parameters that vary by target rating level</t>
        </is>
      </c>
    </row>
    <row r="5">
      <c r="A5" s="3" t="inlineStr">
        <is>
          <t>Rating</t>
        </is>
      </c>
      <c r="B5" s="3" t="inlineStr">
        <is>
          <t>Base FF (%)</t>
        </is>
      </c>
      <c r="C5" s="3" t="inlineStr">
        <is>
          <t>MVD (%)</t>
        </is>
      </c>
      <c r="D5" s="3" t="inlineStr">
        <is>
          <t>FSD (%)</t>
        </is>
      </c>
      <c r="E5" s="3" t="inlineStr">
        <is>
          <t>Source</t>
        </is>
      </c>
      <c r="F5" s="3" t="inlineStr">
        <is>
          <t>Rating</t>
        </is>
      </c>
      <c r="G5" s="3" t="inlineStr">
        <is>
          <t>Stress Multiple</t>
        </is>
      </c>
    </row>
    <row r="6">
      <c r="A6" s="4" t="inlineStr">
        <is>
          <t>AAA</t>
        </is>
      </c>
      <c r="B6" s="5" t="n">
        <v>0.12</v>
      </c>
      <c r="C6" s="5" t="n">
        <v>0.45</v>
      </c>
      <c r="D6" s="5" t="n">
        <v>0.15</v>
      </c>
      <c r="E6" s="4" t="inlineStr">
        <is>
          <t>Table 72 / S&amp;P MVD assumptions</t>
        </is>
      </c>
      <c r="F6" s="4" t="inlineStr">
        <is>
          <t>AAA</t>
        </is>
      </c>
      <c r="G6" s="9" t="n">
        <v>14</v>
      </c>
    </row>
    <row r="7">
      <c r="A7" s="4" t="inlineStr">
        <is>
          <t>AA+</t>
        </is>
      </c>
      <c r="B7" s="5" t="n">
        <v>0.105</v>
      </c>
      <c r="C7" s="5" t="n">
        <v>0.42</v>
      </c>
      <c r="D7" s="5" t="n">
        <v>0.14</v>
      </c>
      <c r="E7" s="4" t="inlineStr">
        <is>
          <t>Interpolated</t>
        </is>
      </c>
      <c r="F7" s="4" t="inlineStr">
        <is>
          <t>AA+</t>
        </is>
      </c>
      <c r="G7" s="9" t="n">
        <v>12</v>
      </c>
    </row>
    <row r="8">
      <c r="A8" s="4" t="inlineStr">
        <is>
          <t>AA</t>
        </is>
      </c>
      <c r="B8" s="5" t="n">
        <v>0.08</v>
      </c>
      <c r="C8" s="5" t="n">
        <v>0.4</v>
      </c>
      <c r="D8" s="5" t="n">
        <v>0.13</v>
      </c>
      <c r="E8" s="4" t="inlineStr">
        <is>
          <t>Table 72</t>
        </is>
      </c>
      <c r="F8" s="4" t="inlineStr">
        <is>
          <t>AA</t>
        </is>
      </c>
      <c r="G8" s="9" t="n">
        <v>10.5</v>
      </c>
    </row>
    <row r="9">
      <c r="A9" s="4" t="inlineStr">
        <is>
          <t>AA-</t>
        </is>
      </c>
      <c r="B9" s="5" t="n">
        <v>0.07000000000000001</v>
      </c>
      <c r="C9" s="5" t="n">
        <v>0.37</v>
      </c>
      <c r="D9" s="5" t="n">
        <v>0.12</v>
      </c>
      <c r="E9" s="4" t="inlineStr">
        <is>
          <t>Interpolated</t>
        </is>
      </c>
      <c r="F9" s="4" t="inlineStr">
        <is>
          <t>AA-</t>
        </is>
      </c>
      <c r="G9" s="9" t="n">
        <v>9</v>
      </c>
    </row>
    <row r="10">
      <c r="A10" s="4" t="inlineStr">
        <is>
          <t>A+</t>
        </is>
      </c>
      <c r="B10" s="5" t="n">
        <v>0.065</v>
      </c>
      <c r="C10" s="5" t="n">
        <v>0.34</v>
      </c>
      <c r="D10" s="5" t="n">
        <v>0.11</v>
      </c>
      <c r="E10" s="4" t="inlineStr">
        <is>
          <t>Interpolated</t>
        </is>
      </c>
      <c r="F10" s="4" t="inlineStr">
        <is>
          <t>A+</t>
        </is>
      </c>
      <c r="G10" s="9" t="n">
        <v>7.5</v>
      </c>
    </row>
    <row r="11">
      <c r="A11" s="4" t="inlineStr">
        <is>
          <t>A</t>
        </is>
      </c>
      <c r="B11" s="5" t="n">
        <v>0.06</v>
      </c>
      <c r="C11" s="5" t="n">
        <v>0.32</v>
      </c>
      <c r="D11" s="5" t="n">
        <v>0.1</v>
      </c>
      <c r="E11" s="4" t="inlineStr">
        <is>
          <t>Table 72</t>
        </is>
      </c>
      <c r="F11" s="4" t="inlineStr">
        <is>
          <t>A</t>
        </is>
      </c>
      <c r="G11" s="9" t="n">
        <v>6.5</v>
      </c>
    </row>
    <row r="12">
      <c r="A12" s="4" t="inlineStr">
        <is>
          <t>A-</t>
        </is>
      </c>
      <c r="B12" s="5" t="n">
        <v>0.055</v>
      </c>
      <c r="C12" s="5" t="n">
        <v>0.3</v>
      </c>
      <c r="D12" s="5" t="n">
        <v>0.1</v>
      </c>
      <c r="E12" s="4" t="inlineStr">
        <is>
          <t>Interpolated</t>
        </is>
      </c>
      <c r="F12" s="4" t="inlineStr">
        <is>
          <t>A-</t>
        </is>
      </c>
      <c r="G12" s="9" t="n">
        <v>5.5</v>
      </c>
    </row>
    <row r="13">
      <c r="A13" s="4" t="inlineStr">
        <is>
          <t>BBB+</t>
        </is>
      </c>
      <c r="B13" s="5" t="n">
        <v>0.05</v>
      </c>
      <c r="C13" s="5" t="n">
        <v>0.27</v>
      </c>
      <c r="D13" s="5" t="n">
        <v>0.09</v>
      </c>
      <c r="E13" s="4" t="inlineStr">
        <is>
          <t>Interpolated</t>
        </is>
      </c>
      <c r="F13" s="4" t="inlineStr">
        <is>
          <t>BBB+</t>
        </is>
      </c>
      <c r="G13" s="9" t="n">
        <v>4.5</v>
      </c>
    </row>
    <row r="14">
      <c r="A14" s="4" t="inlineStr">
        <is>
          <t>BBB</t>
        </is>
      </c>
      <c r="B14" s="5" t="n">
        <v>0.04</v>
      </c>
      <c r="C14" s="5" t="n">
        <v>0.25</v>
      </c>
      <c r="D14" s="5" t="n">
        <v>0.08</v>
      </c>
      <c r="E14" s="4" t="inlineStr">
        <is>
          <t>Table 72</t>
        </is>
      </c>
      <c r="F14" s="4" t="inlineStr">
        <is>
          <t>BBB</t>
        </is>
      </c>
      <c r="G14" s="9" t="n">
        <v>4</v>
      </c>
    </row>
    <row r="15">
      <c r="A15" s="4" t="inlineStr">
        <is>
          <t>BBB-</t>
        </is>
      </c>
      <c r="B15" s="5" t="n">
        <v>0.035</v>
      </c>
      <c r="C15" s="5" t="n">
        <v>0.22</v>
      </c>
      <c r="D15" s="5" t="n">
        <v>0.08</v>
      </c>
      <c r="E15" s="4" t="inlineStr">
        <is>
          <t>Interpolated</t>
        </is>
      </c>
      <c r="F15" s="4" t="inlineStr">
        <is>
          <t>BBB-</t>
        </is>
      </c>
      <c r="G15" s="9" t="n">
        <v>3.5</v>
      </c>
    </row>
    <row r="16">
      <c r="A16" s="4" t="inlineStr">
        <is>
          <t>BB</t>
        </is>
      </c>
      <c r="B16" s="5" t="n">
        <v>0.02</v>
      </c>
      <c r="C16" s="5" t="n">
        <v>0.2</v>
      </c>
      <c r="D16" s="5" t="n">
        <v>0.07000000000000001</v>
      </c>
      <c r="E16" s="4" t="inlineStr">
        <is>
          <t>Table 72</t>
        </is>
      </c>
      <c r="F16" s="4" t="inlineStr">
        <is>
          <t>BB</t>
        </is>
      </c>
      <c r="G16" s="9" t="n">
        <v>3</v>
      </c>
    </row>
    <row r="17">
      <c r="A17" s="4" t="inlineStr">
        <is>
          <t>B</t>
        </is>
      </c>
      <c r="B17" s="5" t="n">
        <v>0.015</v>
      </c>
      <c r="C17" s="5" t="n">
        <v>0.18</v>
      </c>
      <c r="D17" s="5" t="n">
        <v>0.07000000000000001</v>
      </c>
      <c r="E17" s="4" t="inlineStr">
        <is>
          <t>Table 72</t>
        </is>
      </c>
      <c r="F17" s="4" t="inlineStr">
        <is>
          <t>B</t>
        </is>
      </c>
      <c r="G17" s="9" t="n">
        <v>2.5</v>
      </c>
    </row>
  </sheetData>
  <mergeCells count="2">
    <mergeCell ref="A3:G3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S&amp;P UK LTV CURVE - TYPE 2 FULL RECOURSE (131 Points)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10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10" t="n">
        <v>0.2907</v>
      </c>
      <c r="C5" s="4" t="inlineStr">
        <is>
          <t>LTV_21</t>
        </is>
      </c>
      <c r="D5" s="4" t="n"/>
    </row>
    <row r="6">
      <c r="A6" s="7" t="n">
        <v>0.22</v>
      </c>
      <c r="B6" s="10" t="n">
        <v>0.2925</v>
      </c>
      <c r="C6" s="4" t="inlineStr">
        <is>
          <t>LTV_22</t>
        </is>
      </c>
      <c r="D6" s="4" t="n"/>
    </row>
    <row r="7">
      <c r="A7" s="7" t="n">
        <v>0.23</v>
      </c>
      <c r="B7" s="10" t="n">
        <v>0.2945</v>
      </c>
      <c r="C7" s="4" t="inlineStr">
        <is>
          <t>LTV_23</t>
        </is>
      </c>
      <c r="D7" s="4" t="n"/>
    </row>
    <row r="8">
      <c r="A8" s="7" t="n">
        <v>0.24</v>
      </c>
      <c r="B8" s="10" t="n">
        <v>0.2966</v>
      </c>
      <c r="C8" s="4" t="inlineStr">
        <is>
          <t>LTV_24</t>
        </is>
      </c>
      <c r="D8" s="4" t="n"/>
    </row>
    <row r="9">
      <c r="A9" s="7" t="n">
        <v>0.25</v>
      </c>
      <c r="B9" s="10" t="n">
        <v>0.2988</v>
      </c>
      <c r="C9" s="4" t="inlineStr">
        <is>
          <t>LTV_25</t>
        </is>
      </c>
      <c r="D9" s="4" t="n"/>
    </row>
    <row r="10">
      <c r="A10" s="7" t="n">
        <v>0.26</v>
      </c>
      <c r="B10" s="10" t="n">
        <v>0.3011</v>
      </c>
      <c r="C10" s="4" t="inlineStr">
        <is>
          <t>LTV_26</t>
        </is>
      </c>
      <c r="D10" s="4" t="n"/>
    </row>
    <row r="11">
      <c r="A11" s="7" t="n">
        <v>0.27</v>
      </c>
      <c r="B11" s="10" t="n">
        <v>0.3037</v>
      </c>
      <c r="C11" s="4" t="inlineStr">
        <is>
          <t>LTV_27</t>
        </is>
      </c>
      <c r="D11" s="4" t="n"/>
    </row>
    <row r="12">
      <c r="A12" s="7" t="n">
        <v>0.28</v>
      </c>
      <c r="B12" s="10" t="n">
        <v>0.3063</v>
      </c>
      <c r="C12" s="4" t="inlineStr">
        <is>
          <t>LTV_28</t>
        </is>
      </c>
      <c r="D12" s="4" t="n"/>
    </row>
    <row r="13">
      <c r="A13" s="7" t="n">
        <v>0.29</v>
      </c>
      <c r="B13" s="10" t="n">
        <v>0.3092</v>
      </c>
      <c r="C13" s="4" t="inlineStr">
        <is>
          <t>LTV_29</t>
        </is>
      </c>
      <c r="D13" s="4" t="n"/>
    </row>
    <row r="14">
      <c r="A14" s="7" t="n">
        <v>0.3</v>
      </c>
      <c r="B14" s="10" t="n">
        <v>0.3122</v>
      </c>
      <c r="C14" s="4" t="inlineStr">
        <is>
          <t>LTV_30</t>
        </is>
      </c>
      <c r="D14" s="4" t="n"/>
    </row>
    <row r="15">
      <c r="A15" s="7" t="n">
        <v>0.31</v>
      </c>
      <c r="B15" s="10" t="n">
        <v>0.3155</v>
      </c>
      <c r="C15" s="4" t="inlineStr">
        <is>
          <t>LTV_31</t>
        </is>
      </c>
      <c r="D15" s="4" t="n"/>
    </row>
    <row r="16">
      <c r="A16" s="7" t="n">
        <v>0.32</v>
      </c>
      <c r="B16" s="10" t="n">
        <v>0.3189</v>
      </c>
      <c r="C16" s="4" t="inlineStr">
        <is>
          <t>LTV_32</t>
        </is>
      </c>
      <c r="D16" s="4" t="n"/>
    </row>
    <row r="17">
      <c r="A17" s="7" t="n">
        <v>0.33</v>
      </c>
      <c r="B17" s="10" t="n">
        <v>0.3226</v>
      </c>
      <c r="C17" s="4" t="inlineStr">
        <is>
          <t>LTV_33</t>
        </is>
      </c>
      <c r="D17" s="4" t="n"/>
    </row>
    <row r="18">
      <c r="A18" s="7" t="n">
        <v>0.34</v>
      </c>
      <c r="B18" s="10" t="n">
        <v>0.3265</v>
      </c>
      <c r="C18" s="4" t="inlineStr">
        <is>
          <t>LTV_34</t>
        </is>
      </c>
      <c r="D18" s="4" t="n"/>
    </row>
    <row r="19">
      <c r="A19" s="7" t="n">
        <v>0.35</v>
      </c>
      <c r="B19" s="10" t="n">
        <v>0.3306</v>
      </c>
      <c r="C19" s="4" t="inlineStr">
        <is>
          <t>LTV_35</t>
        </is>
      </c>
      <c r="D19" s="4" t="n"/>
    </row>
    <row r="20">
      <c r="A20" s="7" t="n">
        <v>0.36</v>
      </c>
      <c r="B20" s="10" t="n">
        <v>0.335</v>
      </c>
      <c r="C20" s="4" t="inlineStr">
        <is>
          <t>LTV_36</t>
        </is>
      </c>
      <c r="D20" s="4" t="n"/>
    </row>
    <row r="21">
      <c r="A21" s="7" t="n">
        <v>0.37</v>
      </c>
      <c r="B21" s="10" t="n">
        <v>0.3398</v>
      </c>
      <c r="C21" s="4" t="inlineStr">
        <is>
          <t>LTV_37</t>
        </is>
      </c>
      <c r="D21" s="4" t="n"/>
    </row>
    <row r="22">
      <c r="A22" s="7" t="n">
        <v>0.38</v>
      </c>
      <c r="B22" s="10" t="n">
        <v>0.3448</v>
      </c>
      <c r="C22" s="4" t="inlineStr">
        <is>
          <t>LTV_38</t>
        </is>
      </c>
      <c r="D22" s="4" t="n"/>
    </row>
    <row r="23">
      <c r="A23" s="7" t="n">
        <v>0.39</v>
      </c>
      <c r="B23" s="10" t="n">
        <v>0.3501</v>
      </c>
      <c r="C23" s="4" t="inlineStr">
        <is>
          <t>LTV_39</t>
        </is>
      </c>
      <c r="D23" s="4" t="n"/>
    </row>
    <row r="24">
      <c r="A24" s="7" t="n">
        <v>0.4</v>
      </c>
      <c r="B24" s="10" t="n">
        <v>0.3558</v>
      </c>
      <c r="C24" s="4" t="inlineStr">
        <is>
          <t>LTV_40</t>
        </is>
      </c>
      <c r="D24" s="4" t="n"/>
    </row>
    <row r="25">
      <c r="A25" s="7" t="n">
        <v>0.41</v>
      </c>
      <c r="B25" s="10" t="n">
        <v>0.3618</v>
      </c>
      <c r="C25" s="4" t="inlineStr">
        <is>
          <t>LTV_41</t>
        </is>
      </c>
      <c r="D25" s="4" t="n"/>
    </row>
    <row r="26">
      <c r="A26" s="7" t="n">
        <v>0.42</v>
      </c>
      <c r="B26" s="10" t="n">
        <v>0.3683</v>
      </c>
      <c r="C26" s="4" t="inlineStr">
        <is>
          <t>LTV_42</t>
        </is>
      </c>
      <c r="D26" s="4" t="n"/>
    </row>
    <row r="27">
      <c r="A27" s="7" t="n">
        <v>0.43</v>
      </c>
      <c r="B27" s="10" t="n">
        <v>0.3751</v>
      </c>
      <c r="C27" s="4" t="inlineStr">
        <is>
          <t>LTV_43</t>
        </is>
      </c>
      <c r="D27" s="4" t="n"/>
    </row>
    <row r="28">
      <c r="A28" s="7" t="n">
        <v>0.44</v>
      </c>
      <c r="B28" s="10" t="n">
        <v>0.3824</v>
      </c>
      <c r="C28" s="4" t="inlineStr">
        <is>
          <t>LTV_44</t>
        </is>
      </c>
      <c r="D28" s="4" t="n"/>
    </row>
    <row r="29">
      <c r="A29" s="7" t="n">
        <v>0.45</v>
      </c>
      <c r="B29" s="10" t="n">
        <v>0.3902</v>
      </c>
      <c r="C29" s="4" t="inlineStr">
        <is>
          <t>LTV_45</t>
        </is>
      </c>
      <c r="D29" s="4" t="n"/>
    </row>
    <row r="30">
      <c r="A30" s="7" t="n">
        <v>0.46</v>
      </c>
      <c r="B30" s="10" t="n">
        <v>0.3984</v>
      </c>
      <c r="C30" s="4" t="inlineStr">
        <is>
          <t>LTV_46</t>
        </is>
      </c>
      <c r="D30" s="4" t="n"/>
    </row>
    <row r="31">
      <c r="A31" s="7" t="n">
        <v>0.47</v>
      </c>
      <c r="B31" s="10" t="n">
        <v>0.4072</v>
      </c>
      <c r="C31" s="4" t="inlineStr">
        <is>
          <t>LTV_47</t>
        </is>
      </c>
      <c r="D31" s="4" t="n"/>
    </row>
    <row r="32">
      <c r="A32" s="7" t="n">
        <v>0.48</v>
      </c>
      <c r="B32" s="10" t="n">
        <v>0.4166</v>
      </c>
      <c r="C32" s="4" t="inlineStr">
        <is>
          <t>LTV_48</t>
        </is>
      </c>
      <c r="D32" s="4" t="n"/>
    </row>
    <row r="33">
      <c r="A33" s="7" t="n">
        <v>0.49</v>
      </c>
      <c r="B33" s="10" t="n">
        <v>0.4266</v>
      </c>
      <c r="C33" s="4" t="inlineStr">
        <is>
          <t>LTV_49</t>
        </is>
      </c>
      <c r="D33" s="4" t="n"/>
    </row>
    <row r="34">
      <c r="A34" s="7" t="n">
        <v>0.5</v>
      </c>
      <c r="B34" s="10" t="n">
        <v>0.4372</v>
      </c>
      <c r="C34" s="4" t="inlineStr">
        <is>
          <t>LTV_50</t>
        </is>
      </c>
      <c r="D34" s="4" t="n"/>
    </row>
    <row r="35">
      <c r="A35" s="7" t="n">
        <v>0.51</v>
      </c>
      <c r="B35" s="10" t="n">
        <v>0.4485</v>
      </c>
      <c r="C35" s="4" t="inlineStr">
        <is>
          <t>LTV_51</t>
        </is>
      </c>
      <c r="D35" s="4" t="n"/>
    </row>
    <row r="36">
      <c r="A36" s="7" t="n">
        <v>0.52</v>
      </c>
      <c r="B36" s="10" t="n">
        <v>0.4605</v>
      </c>
      <c r="C36" s="4" t="inlineStr">
        <is>
          <t>LTV_52</t>
        </is>
      </c>
      <c r="D36" s="4" t="n"/>
    </row>
    <row r="37">
      <c r="A37" s="7" t="n">
        <v>0.53</v>
      </c>
      <c r="B37" s="10" t="n">
        <v>0.4734</v>
      </c>
      <c r="C37" s="4" t="inlineStr">
        <is>
          <t>LTV_53</t>
        </is>
      </c>
      <c r="D37" s="4" t="n"/>
    </row>
    <row r="38">
      <c r="A38" s="7" t="n">
        <v>0.54</v>
      </c>
      <c r="B38" s="10" t="n">
        <v>0.487</v>
      </c>
      <c r="C38" s="4" t="inlineStr">
        <is>
          <t>LTV_54</t>
        </is>
      </c>
      <c r="D38" s="4" t="n"/>
    </row>
    <row r="39">
      <c r="A39" s="7" t="n">
        <v>0.55</v>
      </c>
      <c r="B39" s="10" t="n">
        <v>0.5014999999999999</v>
      </c>
      <c r="C39" s="4" t="inlineStr">
        <is>
          <t>LTV_55</t>
        </is>
      </c>
      <c r="D39" s="4" t="n"/>
    </row>
    <row r="40">
      <c r="A40" s="7" t="n">
        <v>0.5600000000000001</v>
      </c>
      <c r="B40" s="10" t="n">
        <v>0.517</v>
      </c>
      <c r="C40" s="4" t="inlineStr">
        <is>
          <t>LTV_56</t>
        </is>
      </c>
      <c r="D40" s="4" t="n"/>
    </row>
    <row r="41">
      <c r="A41" s="7" t="n">
        <v>0.57</v>
      </c>
      <c r="B41" s="10" t="n">
        <v>0.5334</v>
      </c>
      <c r="C41" s="4" t="inlineStr">
        <is>
          <t>LTV_57</t>
        </is>
      </c>
      <c r="D41" s="4" t="n"/>
    </row>
    <row r="42">
      <c r="A42" s="7" t="n">
        <v>0.58</v>
      </c>
      <c r="B42" s="10" t="n">
        <v>0.5508999999999999</v>
      </c>
      <c r="C42" s="4" t="inlineStr">
        <is>
          <t>LTV_58</t>
        </is>
      </c>
      <c r="D42" s="4" t="n"/>
    </row>
    <row r="43">
      <c r="A43" s="7" t="n">
        <v>0.59</v>
      </c>
      <c r="B43" s="10" t="n">
        <v>0.5696</v>
      </c>
      <c r="C43" s="4" t="inlineStr">
        <is>
          <t>LTV_59</t>
        </is>
      </c>
      <c r="D43" s="4" t="n"/>
    </row>
    <row r="44">
      <c r="A44" s="7" t="n">
        <v>0.6</v>
      </c>
      <c r="B44" s="10" t="n">
        <v>0.5894</v>
      </c>
      <c r="C44" s="4" t="inlineStr">
        <is>
          <t>LTV_60</t>
        </is>
      </c>
      <c r="D44" s="4" t="n"/>
    </row>
    <row r="45">
      <c r="A45" s="7" t="n">
        <v>0.61</v>
      </c>
      <c r="B45" s="10" t="n">
        <v>0.6106</v>
      </c>
      <c r="C45" s="4" t="inlineStr">
        <is>
          <t>LTV_61</t>
        </is>
      </c>
      <c r="D45" s="4" t="n"/>
    </row>
    <row r="46">
      <c r="A46" s="7" t="n">
        <v>0.62</v>
      </c>
      <c r="B46" s="10" t="n">
        <v>0.6331</v>
      </c>
      <c r="C46" s="4" t="inlineStr">
        <is>
          <t>LTV_62</t>
        </is>
      </c>
      <c r="D46" s="4" t="n"/>
    </row>
    <row r="47">
      <c r="A47" s="7" t="n">
        <v>0.63</v>
      </c>
      <c r="B47" s="10" t="n">
        <v>0.657</v>
      </c>
      <c r="C47" s="4" t="inlineStr">
        <is>
          <t>LTV_63</t>
        </is>
      </c>
      <c r="D47" s="4" t="n"/>
    </row>
    <row r="48">
      <c r="A48" s="7" t="n">
        <v>0.64</v>
      </c>
      <c r="B48" s="10" t="n">
        <v>0.6825</v>
      </c>
      <c r="C48" s="4" t="inlineStr">
        <is>
          <t>LTV_64</t>
        </is>
      </c>
      <c r="D48" s="4" t="n"/>
    </row>
    <row r="49">
      <c r="A49" s="7" t="n">
        <v>0.65</v>
      </c>
      <c r="B49" s="10" t="n">
        <v>0.7096</v>
      </c>
      <c r="C49" s="4" t="inlineStr">
        <is>
          <t>LTV_65</t>
        </is>
      </c>
      <c r="D49" s="4" t="n"/>
    </row>
    <row r="50">
      <c r="A50" s="7" t="n">
        <v>0.66</v>
      </c>
      <c r="B50" s="10" t="n">
        <v>0.7385</v>
      </c>
      <c r="C50" s="4" t="inlineStr">
        <is>
          <t>LTV_66</t>
        </is>
      </c>
      <c r="D50" s="4" t="n"/>
    </row>
    <row r="51">
      <c r="A51" s="7" t="n">
        <v>0.67</v>
      </c>
      <c r="B51" s="10" t="n">
        <v>0.7693</v>
      </c>
      <c r="C51" s="4" t="inlineStr">
        <is>
          <t>LTV_67</t>
        </is>
      </c>
      <c r="D51" s="4" t="n"/>
    </row>
    <row r="52">
      <c r="A52" s="7" t="n">
        <v>0.68</v>
      </c>
      <c r="B52" s="10" t="n">
        <v>0.802</v>
      </c>
      <c r="C52" s="4" t="inlineStr">
        <is>
          <t>LTV_68</t>
        </is>
      </c>
      <c r="D52" s="4" t="n"/>
    </row>
    <row r="53">
      <c r="A53" s="7" t="n">
        <v>0.6899999999999999</v>
      </c>
      <c r="B53" s="10" t="n">
        <v>0.8368</v>
      </c>
      <c r="C53" s="4" t="inlineStr">
        <is>
          <t>LTV_69</t>
        </is>
      </c>
      <c r="D53" s="4" t="n"/>
    </row>
    <row r="54">
      <c r="A54" s="7" t="n">
        <v>0.7</v>
      </c>
      <c r="B54" s="10" t="n">
        <v>0.8739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10" t="n">
        <v>0.9134</v>
      </c>
      <c r="C55" s="4" t="inlineStr">
        <is>
          <t>LTV_71</t>
        </is>
      </c>
      <c r="D55" s="4" t="n"/>
    </row>
    <row r="56">
      <c r="A56" s="7" t="n">
        <v>0.72</v>
      </c>
      <c r="B56" s="10" t="n">
        <v>0.9553</v>
      </c>
      <c r="C56" s="4" t="inlineStr">
        <is>
          <t>LTV_72</t>
        </is>
      </c>
      <c r="D56" s="4" t="n"/>
    </row>
    <row r="57">
      <c r="A57" s="7" t="n">
        <v>0.73</v>
      </c>
      <c r="B57" s="10" t="n">
        <v>1</v>
      </c>
      <c r="C57" s="4" t="inlineStr">
        <is>
          <t>LTV_73</t>
        </is>
      </c>
      <c r="D57" s="4" t="n"/>
    </row>
    <row r="58">
      <c r="A58" s="7" t="n">
        <v>0.74</v>
      </c>
      <c r="B58" s="10" t="n">
        <v>1.0475</v>
      </c>
      <c r="C58" s="4" t="inlineStr">
        <is>
          <t>LTV_74</t>
        </is>
      </c>
      <c r="D58" s="4" t="n"/>
    </row>
    <row r="59">
      <c r="A59" s="7" t="n">
        <v>0.75</v>
      </c>
      <c r="B59" s="10" t="n">
        <v>1.098</v>
      </c>
      <c r="C59" s="4" t="inlineStr">
        <is>
          <t>LTV_75</t>
        </is>
      </c>
      <c r="D59" s="4" t="n"/>
    </row>
    <row r="60">
      <c r="A60" s="7" t="n">
        <v>0.76</v>
      </c>
      <c r="B60" s="10" t="n">
        <v>1.1518</v>
      </c>
      <c r="C60" s="4" t="inlineStr">
        <is>
          <t>LTV_76</t>
        </is>
      </c>
      <c r="D60" s="4" t="n"/>
    </row>
    <row r="61">
      <c r="A61" s="7" t="n">
        <v>0.77</v>
      </c>
      <c r="B61" s="10" t="n">
        <v>1.2089</v>
      </c>
      <c r="C61" s="4" t="inlineStr">
        <is>
          <t>LTV_77</t>
        </is>
      </c>
      <c r="D61" s="4" t="n"/>
    </row>
    <row r="62">
      <c r="A62" s="7" t="n">
        <v>0.78</v>
      </c>
      <c r="B62" s="10" t="n">
        <v>1.2696</v>
      </c>
      <c r="C62" s="4" t="inlineStr">
        <is>
          <t>LTV_78</t>
        </is>
      </c>
      <c r="D62" s="4" t="n"/>
    </row>
    <row r="63">
      <c r="A63" s="7" t="n">
        <v>0.79</v>
      </c>
      <c r="B63" s="10" t="n">
        <v>1.3341</v>
      </c>
      <c r="C63" s="4" t="inlineStr">
        <is>
          <t>LTV_79</t>
        </is>
      </c>
      <c r="D63" s="4" t="n"/>
    </row>
    <row r="64">
      <c r="A64" s="7" t="n">
        <v>0.8</v>
      </c>
      <c r="B64" s="10" t="n">
        <v>1.4025</v>
      </c>
      <c r="C64" s="4" t="inlineStr">
        <is>
          <t>LTV_80</t>
        </is>
      </c>
      <c r="D64" s="4" t="n"/>
    </row>
    <row r="65">
      <c r="A65" s="7" t="n">
        <v>0.8100000000000001</v>
      </c>
      <c r="B65" s="10" t="n">
        <v>1.4751</v>
      </c>
      <c r="C65" s="4" t="inlineStr">
        <is>
          <t>LTV_81</t>
        </is>
      </c>
      <c r="D65" s="4" t="n"/>
    </row>
    <row r="66">
      <c r="A66" s="7" t="n">
        <v>0.82</v>
      </c>
      <c r="B66" s="10" t="n">
        <v>1.552</v>
      </c>
      <c r="C66" s="4" t="inlineStr">
        <is>
          <t>LTV_82</t>
        </is>
      </c>
      <c r="D66" s="4" t="n"/>
    </row>
    <row r="67">
      <c r="A67" s="7" t="n">
        <v>0.83</v>
      </c>
      <c r="B67" s="10" t="n">
        <v>1.6334</v>
      </c>
      <c r="C67" s="4" t="inlineStr">
        <is>
          <t>LTV_83</t>
        </is>
      </c>
      <c r="D67" s="4" t="n"/>
    </row>
    <row r="68">
      <c r="A68" s="7" t="n">
        <v>0.84</v>
      </c>
      <c r="B68" s="10" t="n">
        <v>1.7194</v>
      </c>
      <c r="C68" s="4" t="inlineStr">
        <is>
          <t>LTV_84</t>
        </is>
      </c>
      <c r="D68" s="4" t="n"/>
    </row>
    <row r="69">
      <c r="A69" s="7" t="n">
        <v>0.85</v>
      </c>
      <c r="B69" s="10" t="n">
        <v>1.8102</v>
      </c>
      <c r="C69" s="4" t="inlineStr">
        <is>
          <t>LTV_85</t>
        </is>
      </c>
      <c r="D69" s="4" t="n"/>
    </row>
    <row r="70">
      <c r="A70" s="7" t="n">
        <v>0.86</v>
      </c>
      <c r="B70" s="10" t="n">
        <v>1.9058</v>
      </c>
      <c r="C70" s="4" t="inlineStr">
        <is>
          <t>LTV_86</t>
        </is>
      </c>
      <c r="D70" s="4" t="n"/>
    </row>
    <row r="71">
      <c r="A71" s="7" t="n">
        <v>0.87</v>
      </c>
      <c r="B71" s="10" t="n">
        <v>2.0061</v>
      </c>
      <c r="C71" s="4" t="inlineStr">
        <is>
          <t>LTV_87</t>
        </is>
      </c>
      <c r="D71" s="4" t="n"/>
    </row>
    <row r="72">
      <c r="A72" s="7" t="n">
        <v>0.88</v>
      </c>
      <c r="B72" s="10" t="n">
        <v>2.111</v>
      </c>
      <c r="C72" s="4" t="inlineStr">
        <is>
          <t>LTV_88</t>
        </is>
      </c>
      <c r="D72" s="4" t="n"/>
    </row>
    <row r="73">
      <c r="A73" s="7" t="n">
        <v>0.89</v>
      </c>
      <c r="B73" s="10" t="n">
        <v>2.2203</v>
      </c>
      <c r="C73" s="4" t="inlineStr">
        <is>
          <t>LTV_89</t>
        </is>
      </c>
      <c r="D73" s="4" t="n"/>
    </row>
    <row r="74">
      <c r="A74" s="7" t="n">
        <v>0.9</v>
      </c>
      <c r="B74" s="10" t="n">
        <v>2.3336</v>
      </c>
      <c r="C74" s="4" t="inlineStr">
        <is>
          <t>LTV_90</t>
        </is>
      </c>
      <c r="D74" s="4" t="n"/>
    </row>
    <row r="75">
      <c r="A75" s="7" t="n">
        <v>0.91</v>
      </c>
      <c r="B75" s="10" t="n">
        <v>2.4503</v>
      </c>
      <c r="C75" s="4" t="inlineStr">
        <is>
          <t>LTV_91</t>
        </is>
      </c>
      <c r="D75" s="4" t="n"/>
    </row>
    <row r="76">
      <c r="A76" s="7" t="n">
        <v>0.92</v>
      </c>
      <c r="B76" s="10" t="n">
        <v>2.5697</v>
      </c>
      <c r="C76" s="4" t="inlineStr">
        <is>
          <t>LTV_92</t>
        </is>
      </c>
      <c r="D76" s="4" t="n"/>
    </row>
    <row r="77">
      <c r="A77" s="7" t="n">
        <v>0.93</v>
      </c>
      <c r="B77" s="10" t="n">
        <v>2.6907</v>
      </c>
      <c r="C77" s="4" t="inlineStr">
        <is>
          <t>LTV_93</t>
        </is>
      </c>
      <c r="D77" s="4" t="n"/>
    </row>
    <row r="78">
      <c r="A78" s="7" t="n">
        <v>0.9399999999999999</v>
      </c>
      <c r="B78" s="10" t="n">
        <v>2.8121</v>
      </c>
      <c r="C78" s="4" t="inlineStr">
        <is>
          <t>LTV_94</t>
        </is>
      </c>
      <c r="D78" s="4" t="n"/>
    </row>
    <row r="79">
      <c r="A79" s="7" t="n">
        <v>0.95</v>
      </c>
      <c r="B79" s="10" t="n">
        <v>2.9326</v>
      </c>
      <c r="C79" s="4" t="inlineStr">
        <is>
          <t>LTV_95</t>
        </is>
      </c>
      <c r="D79" s="4" t="n"/>
    </row>
    <row r="80">
      <c r="A80" s="7" t="n">
        <v>0.96</v>
      </c>
      <c r="B80" s="10" t="n">
        <v>3.0506</v>
      </c>
      <c r="C80" s="4" t="inlineStr">
        <is>
          <t>LTV_96</t>
        </is>
      </c>
      <c r="D80" s="4" t="n"/>
    </row>
    <row r="81">
      <c r="A81" s="7" t="n">
        <v>0.97</v>
      </c>
      <c r="B81" s="10" t="n">
        <v>3.1645</v>
      </c>
      <c r="C81" s="4" t="inlineStr">
        <is>
          <t>LTV_97</t>
        </is>
      </c>
      <c r="D81" s="4" t="n"/>
    </row>
    <row r="82">
      <c r="A82" s="7" t="n">
        <v>0.98</v>
      </c>
      <c r="B82" s="10" t="n">
        <v>3.2728</v>
      </c>
      <c r="C82" s="4" t="inlineStr">
        <is>
          <t>LTV_98</t>
        </is>
      </c>
      <c r="D82" s="4" t="n"/>
    </row>
    <row r="83">
      <c r="A83" s="7" t="n">
        <v>0.99</v>
      </c>
      <c r="B83" s="10" t="n">
        <v>3.374</v>
      </c>
      <c r="C83" s="4" t="inlineStr">
        <is>
          <t>LTV_99</t>
        </is>
      </c>
      <c r="D83" s="4" t="n"/>
    </row>
    <row r="84">
      <c r="A84" s="7" t="n">
        <v>1</v>
      </c>
      <c r="B84" s="10" t="n">
        <v>3.4672</v>
      </c>
      <c r="C84" s="4" t="inlineStr">
        <is>
          <t>LTV_100</t>
        </is>
      </c>
      <c r="D84" s="4" t="n"/>
    </row>
    <row r="85">
      <c r="A85" s="7" t="n">
        <v>1.01</v>
      </c>
      <c r="B85" s="10" t="n">
        <v>3.5515</v>
      </c>
      <c r="C85" s="4" t="inlineStr">
        <is>
          <t>LTV_101</t>
        </is>
      </c>
      <c r="D85" s="4" t="n"/>
    </row>
    <row r="86">
      <c r="A86" s="7" t="n">
        <v>1.02</v>
      </c>
      <c r="B86" s="10" t="n">
        <v>3.6265</v>
      </c>
      <c r="C86" s="4" t="inlineStr">
        <is>
          <t>LTV_102</t>
        </is>
      </c>
      <c r="D86" s="4" t="n"/>
    </row>
    <row r="87">
      <c r="A87" s="7" t="n">
        <v>1.03</v>
      </c>
      <c r="B87" s="10" t="n">
        <v>3.6922</v>
      </c>
      <c r="C87" s="4" t="inlineStr">
        <is>
          <t>LTV_103</t>
        </is>
      </c>
      <c r="D87" s="4" t="n"/>
    </row>
    <row r="88">
      <c r="A88" s="7" t="n">
        <v>1.04</v>
      </c>
      <c r="B88" s="10" t="n">
        <v>3.749</v>
      </c>
      <c r="C88" s="4" t="inlineStr">
        <is>
          <t>LTV_104</t>
        </is>
      </c>
      <c r="D88" s="4" t="n"/>
    </row>
    <row r="89">
      <c r="A89" s="7" t="n">
        <v>1.05</v>
      </c>
      <c r="B89" s="10" t="n">
        <v>3.7974</v>
      </c>
      <c r="C89" s="4" t="inlineStr">
        <is>
          <t>LTV_105</t>
        </is>
      </c>
      <c r="D89" s="4" t="n"/>
    </row>
    <row r="90">
      <c r="A90" s="7" t="n">
        <v>1.06</v>
      </c>
      <c r="B90" s="10" t="n">
        <v>3.8382</v>
      </c>
      <c r="C90" s="4" t="inlineStr">
        <is>
          <t>LTV_106</t>
        </is>
      </c>
      <c r="D90" s="4" t="n"/>
    </row>
    <row r="91">
      <c r="A91" s="7" t="n">
        <v>1.07</v>
      </c>
      <c r="B91" s="10" t="n">
        <v>3.8722</v>
      </c>
      <c r="C91" s="4" t="inlineStr">
        <is>
          <t>LTV_107</t>
        </is>
      </c>
      <c r="D91" s="4" t="n"/>
    </row>
    <row r="92">
      <c r="A92" s="7" t="n">
        <v>1.08</v>
      </c>
      <c r="B92" s="10" t="n">
        <v>3.9004</v>
      </c>
      <c r="C92" s="4" t="inlineStr">
        <is>
          <t>LTV_108</t>
        </is>
      </c>
      <c r="D92" s="4" t="n"/>
    </row>
    <row r="93">
      <c r="A93" s="7" t="n">
        <v>1.09</v>
      </c>
      <c r="B93" s="10" t="n">
        <v>3.9235</v>
      </c>
      <c r="C93" s="4" t="inlineStr">
        <is>
          <t>LTV_109</t>
        </is>
      </c>
      <c r="D93" s="4" t="n"/>
    </row>
    <row r="94">
      <c r="A94" s="7" t="n">
        <v>1.1</v>
      </c>
      <c r="B94" s="10" t="n">
        <v>3.9424</v>
      </c>
      <c r="C94" s="4" t="inlineStr">
        <is>
          <t>LTV_110</t>
        </is>
      </c>
      <c r="D94" s="4" t="n"/>
    </row>
    <row r="95">
      <c r="A95" s="7" t="n">
        <v>1.11</v>
      </c>
      <c r="B95" s="10" t="n">
        <v>3.9577</v>
      </c>
      <c r="C95" s="4" t="inlineStr">
        <is>
          <t>LTV_111</t>
        </is>
      </c>
      <c r="D95" s="4" t="n"/>
    </row>
    <row r="96">
      <c r="A96" s="7" t="n">
        <v>1.12</v>
      </c>
      <c r="B96" s="10" t="n">
        <v>3.9701</v>
      </c>
      <c r="C96" s="4" t="inlineStr">
        <is>
          <t>LTV_112</t>
        </is>
      </c>
      <c r="D96" s="4" t="n"/>
    </row>
    <row r="97">
      <c r="A97" s="7" t="n">
        <v>1.13</v>
      </c>
      <c r="B97" s="10" t="n">
        <v>3.9801</v>
      </c>
      <c r="C97" s="4" t="inlineStr">
        <is>
          <t>LTV_113</t>
        </is>
      </c>
      <c r="D97" s="4" t="n"/>
    </row>
    <row r="98">
      <c r="A98" s="7" t="n">
        <v>1.14</v>
      </c>
      <c r="B98" s="10" t="n">
        <v>3.9882</v>
      </c>
      <c r="C98" s="4" t="inlineStr">
        <is>
          <t>LTV_114</t>
        </is>
      </c>
      <c r="D98" s="4" t="n"/>
    </row>
    <row r="99">
      <c r="A99" s="7" t="n">
        <v>1.15</v>
      </c>
      <c r="B99" s="10" t="n">
        <v>3.9946</v>
      </c>
      <c r="C99" s="4" t="inlineStr">
        <is>
          <t>LTV_115</t>
        </is>
      </c>
      <c r="D99" s="4" t="n"/>
    </row>
    <row r="100">
      <c r="A100" s="7" t="n">
        <v>1.16</v>
      </c>
      <c r="B100" s="10" t="n">
        <v>3.9997</v>
      </c>
      <c r="C100" s="4" t="inlineStr">
        <is>
          <t>LTV_116</t>
        </is>
      </c>
      <c r="D100" s="4" t="n"/>
    </row>
    <row r="101">
      <c r="A101" s="7" t="n">
        <v>1.17</v>
      </c>
      <c r="B101" s="10" t="n">
        <v>4.0039</v>
      </c>
      <c r="C101" s="4" t="inlineStr">
        <is>
          <t>LTV_117</t>
        </is>
      </c>
      <c r="D101" s="4" t="n"/>
    </row>
    <row r="102">
      <c r="A102" s="7" t="n">
        <v>1.18</v>
      </c>
      <c r="B102" s="10" t="n">
        <v>4.0071</v>
      </c>
      <c r="C102" s="4" t="inlineStr">
        <is>
          <t>LTV_118</t>
        </is>
      </c>
      <c r="D102" s="4" t="n"/>
    </row>
    <row r="103">
      <c r="A103" s="7" t="n">
        <v>1.19</v>
      </c>
      <c r="B103" s="10" t="n">
        <v>4.0098</v>
      </c>
      <c r="C103" s="4" t="inlineStr">
        <is>
          <t>LTV_119</t>
        </is>
      </c>
      <c r="D103" s="4" t="n"/>
    </row>
    <row r="104">
      <c r="A104" s="7" t="n">
        <v>1.2</v>
      </c>
      <c r="B104" s="10" t="n">
        <v>4.0118</v>
      </c>
      <c r="C104" s="4" t="inlineStr">
        <is>
          <t>LTV_120</t>
        </is>
      </c>
      <c r="D104" s="4" t="n"/>
    </row>
    <row r="105">
      <c r="A105" s="7" t="n">
        <v>1.21</v>
      </c>
      <c r="B105" s="10" t="n">
        <v>4.0135</v>
      </c>
      <c r="C105" s="4" t="inlineStr">
        <is>
          <t>LTV_121</t>
        </is>
      </c>
      <c r="D105" s="4" t="n"/>
    </row>
    <row r="106">
      <c r="A106" s="7" t="n">
        <v>1.22</v>
      </c>
      <c r="B106" s="10" t="n">
        <v>4.0148</v>
      </c>
      <c r="C106" s="4" t="inlineStr">
        <is>
          <t>LTV_122</t>
        </is>
      </c>
      <c r="D106" s="4" t="n"/>
    </row>
    <row r="107">
      <c r="A107" s="7" t="n">
        <v>1.23</v>
      </c>
      <c r="B107" s="10" t="n">
        <v>4.0159</v>
      </c>
      <c r="C107" s="4" t="inlineStr">
        <is>
          <t>LTV_123</t>
        </is>
      </c>
      <c r="D107" s="4" t="n"/>
    </row>
    <row r="108">
      <c r="A108" s="7" t="n">
        <v>1.24</v>
      </c>
      <c r="B108" s="10" t="n">
        <v>4.0167</v>
      </c>
      <c r="C108" s="4" t="inlineStr">
        <is>
          <t>LTV_124</t>
        </is>
      </c>
      <c r="D108" s="4" t="n"/>
    </row>
    <row r="109">
      <c r="A109" s="7" t="n">
        <v>1.25</v>
      </c>
      <c r="B109" s="10" t="n">
        <v>4.0174</v>
      </c>
      <c r="C109" s="4" t="inlineStr">
        <is>
          <t>LTV_125</t>
        </is>
      </c>
      <c r="D109" s="4" t="n"/>
    </row>
    <row r="110">
      <c r="A110" s="7" t="n">
        <v>1.26</v>
      </c>
      <c r="B110" s="10" t="n">
        <v>4.0179</v>
      </c>
      <c r="C110" s="4" t="inlineStr">
        <is>
          <t>LTV_126</t>
        </is>
      </c>
      <c r="D110" s="4" t="n"/>
    </row>
    <row r="111">
      <c r="A111" s="7" t="n">
        <v>1.27</v>
      </c>
      <c r="B111" s="10" t="n">
        <v>4.0183</v>
      </c>
      <c r="C111" s="4" t="inlineStr">
        <is>
          <t>LTV_127</t>
        </is>
      </c>
      <c r="D111" s="4" t="n"/>
    </row>
    <row r="112">
      <c r="A112" s="7" t="n">
        <v>1.28</v>
      </c>
      <c r="B112" s="10" t="n">
        <v>4.0187</v>
      </c>
      <c r="C112" s="4" t="inlineStr">
        <is>
          <t>LTV_128</t>
        </is>
      </c>
      <c r="D112" s="4" t="n"/>
    </row>
    <row r="113">
      <c r="A113" s="7" t="n">
        <v>1.29</v>
      </c>
      <c r="B113" s="10" t="n">
        <v>4.0189</v>
      </c>
      <c r="C113" s="4" t="inlineStr">
        <is>
          <t>LTV_129</t>
        </is>
      </c>
      <c r="D113" s="4" t="n"/>
    </row>
    <row r="114">
      <c r="A114" s="7" t="n">
        <v>1.3</v>
      </c>
      <c r="B114" s="10" t="n">
        <v>4.0192</v>
      </c>
      <c r="C114" s="4" t="inlineStr">
        <is>
          <t>LTV_130</t>
        </is>
      </c>
      <c r="D114" s="4" t="n"/>
    </row>
    <row r="115">
      <c r="A115" s="7" t="n">
        <v>1.31</v>
      </c>
      <c r="B115" s="10" t="n">
        <v>4.0193</v>
      </c>
      <c r="C115" s="4" t="inlineStr">
        <is>
          <t>LTV_131</t>
        </is>
      </c>
      <c r="D115" s="4" t="n"/>
    </row>
    <row r="116">
      <c r="A116" s="7" t="n">
        <v>1.32</v>
      </c>
      <c r="B116" s="10" t="n">
        <v>4.0195</v>
      </c>
      <c r="C116" s="4" t="inlineStr">
        <is>
          <t>LTV_132</t>
        </is>
      </c>
      <c r="D116" s="4" t="n"/>
    </row>
    <row r="117">
      <c r="A117" s="7" t="n">
        <v>1.33</v>
      </c>
      <c r="B117" s="10" t="n">
        <v>4.0196</v>
      </c>
      <c r="C117" s="4" t="inlineStr">
        <is>
          <t>LTV_133</t>
        </is>
      </c>
      <c r="D117" s="4" t="n"/>
    </row>
    <row r="118">
      <c r="A118" s="7" t="n">
        <v>1.34</v>
      </c>
      <c r="B118" s="10" t="n">
        <v>4.0196</v>
      </c>
      <c r="C118" s="4" t="inlineStr">
        <is>
          <t>LTV_134</t>
        </is>
      </c>
      <c r="D118" s="4" t="n"/>
    </row>
    <row r="119">
      <c r="A119" s="7" t="n">
        <v>1.35</v>
      </c>
      <c r="B119" s="10" t="n">
        <v>4.0197</v>
      </c>
      <c r="C119" s="4" t="inlineStr">
        <is>
          <t>LTV_135</t>
        </is>
      </c>
      <c r="D119" s="4" t="n"/>
    </row>
    <row r="120">
      <c r="A120" s="7" t="n">
        <v>1.36</v>
      </c>
      <c r="B120" s="10" t="n">
        <v>4.0198</v>
      </c>
      <c r="C120" s="4" t="inlineStr">
        <is>
          <t>LTV_136</t>
        </is>
      </c>
      <c r="D120" s="4" t="n"/>
    </row>
    <row r="121">
      <c r="A121" s="7" t="n">
        <v>1.37</v>
      </c>
      <c r="B121" s="10" t="n">
        <v>4.0198</v>
      </c>
      <c r="C121" s="4" t="inlineStr">
        <is>
          <t>LTV_137</t>
        </is>
      </c>
      <c r="D121" s="4" t="n"/>
    </row>
    <row r="122">
      <c r="A122" s="7" t="n">
        <v>1.38</v>
      </c>
      <c r="B122" s="10" t="n">
        <v>4.0198</v>
      </c>
      <c r="C122" s="4" t="inlineStr">
        <is>
          <t>LTV_138</t>
        </is>
      </c>
      <c r="D122" s="4" t="n"/>
    </row>
    <row r="123">
      <c r="A123" s="7" t="n">
        <v>1.39</v>
      </c>
      <c r="B123" s="10" t="n">
        <v>4.0199</v>
      </c>
      <c r="C123" s="4" t="inlineStr">
        <is>
          <t>LTV_139</t>
        </is>
      </c>
      <c r="D123" s="4" t="n"/>
    </row>
    <row r="124">
      <c r="A124" s="7" t="n">
        <v>1.4</v>
      </c>
      <c r="B124" s="10" t="n">
        <v>4.0199</v>
      </c>
      <c r="C124" s="4" t="inlineStr">
        <is>
          <t>LTV_140</t>
        </is>
      </c>
      <c r="D124" s="4" t="n"/>
    </row>
    <row r="125">
      <c r="A125" s="7" t="n">
        <v>1.41</v>
      </c>
      <c r="B125" s="10" t="n">
        <v>4.0199</v>
      </c>
      <c r="C125" s="4" t="inlineStr">
        <is>
          <t>LTV_141</t>
        </is>
      </c>
      <c r="D125" s="4" t="n"/>
    </row>
    <row r="126">
      <c r="A126" s="7" t="n">
        <v>1.42</v>
      </c>
      <c r="B126" s="10" t="n">
        <v>4.0199</v>
      </c>
      <c r="C126" s="4" t="inlineStr">
        <is>
          <t>LTV_142</t>
        </is>
      </c>
      <c r="D126" s="4" t="n"/>
    </row>
    <row r="127">
      <c r="A127" s="7" t="n">
        <v>1.43</v>
      </c>
      <c r="B127" s="10" t="n">
        <v>4.0199</v>
      </c>
      <c r="C127" s="4" t="inlineStr">
        <is>
          <t>LTV_143</t>
        </is>
      </c>
      <c r="D127" s="4" t="n"/>
    </row>
    <row r="128">
      <c r="A128" s="7" t="n">
        <v>1.44</v>
      </c>
      <c r="B128" s="10" t="n">
        <v>4.0199</v>
      </c>
      <c r="C128" s="4" t="inlineStr">
        <is>
          <t>LTV_144</t>
        </is>
      </c>
      <c r="D128" s="4" t="n"/>
    </row>
    <row r="129">
      <c r="A129" s="7" t="n">
        <v>1.45</v>
      </c>
      <c r="B129" s="10" t="n">
        <v>4.0199</v>
      </c>
      <c r="C129" s="4" t="inlineStr">
        <is>
          <t>LTV_145</t>
        </is>
      </c>
      <c r="D129" s="4" t="n"/>
    </row>
    <row r="130">
      <c r="A130" s="7" t="n">
        <v>1.46</v>
      </c>
      <c r="B130" s="10" t="n">
        <v>4.02</v>
      </c>
      <c r="C130" s="4" t="inlineStr">
        <is>
          <t>LTV_146</t>
        </is>
      </c>
      <c r="D130" s="4" t="n"/>
    </row>
    <row r="131">
      <c r="A131" s="7" t="n">
        <v>1.47</v>
      </c>
      <c r="B131" s="10" t="n">
        <v>4.02</v>
      </c>
      <c r="C131" s="4" t="inlineStr">
        <is>
          <t>LTV_147</t>
        </is>
      </c>
      <c r="D131" s="4" t="n"/>
    </row>
    <row r="132">
      <c r="A132" s="7" t="n">
        <v>1.48</v>
      </c>
      <c r="B132" s="10" t="n">
        <v>4.02</v>
      </c>
      <c r="C132" s="4" t="inlineStr">
        <is>
          <t>LTV_148</t>
        </is>
      </c>
      <c r="D132" s="4" t="n"/>
    </row>
    <row r="133">
      <c r="A133" s="7" t="n">
        <v>1.49</v>
      </c>
      <c r="B133" s="10" t="n">
        <v>4.02</v>
      </c>
      <c r="C133" s="4" t="inlineStr">
        <is>
          <t>LTV_149</t>
        </is>
      </c>
      <c r="D133" s="4" t="n"/>
    </row>
    <row r="134">
      <c r="A134" s="7" t="n">
        <v>1.5</v>
      </c>
      <c r="B134" s="10" t="n">
        <v>4.02</v>
      </c>
      <c r="C134" s="4" t="inlineStr">
        <is>
          <t>LTV_150</t>
        </is>
      </c>
      <c r="D134" s="4" t="inlineStr">
        <is>
          <t>Maximum LTV (cap at 4.02x)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  <col width="20" customWidth="1" min="4" max="4"/>
  </cols>
  <sheetData>
    <row r="1">
      <c r="A1" s="62" t="inlineStr">
        <is>
          <t>FF ADJUSTMENT PARAMETERS - COMPLETE LOOKUP TABLES</t>
        </is>
      </c>
    </row>
    <row r="2"/>
    <row r="3">
      <c r="A3" s="65" t="inlineStr">
        <is>
          <t>SEASONING ADJUSTMENTS</t>
        </is>
      </c>
    </row>
    <row r="4">
      <c r="A4" s="54" t="inlineStr">
        <is>
          <t>Threshold (Years)</t>
        </is>
      </c>
    </row>
    <row r="5">
      <c r="A5" t="n">
        <v>5</v>
      </c>
      <c r="B5" t="n">
        <v>1</v>
      </c>
      <c r="C5" t="inlineStr">
        <is>
          <t>&lt;5 years - No credit</t>
        </is>
      </c>
    </row>
    <row r="6">
      <c r="A6" t="n">
        <v>6</v>
      </c>
      <c r="B6" t="n">
        <v>0.75</v>
      </c>
      <c r="C6" t="inlineStr">
        <is>
          <t>5-6 years - 25% credit</t>
        </is>
      </c>
    </row>
    <row r="7">
      <c r="A7" t="n">
        <v>7</v>
      </c>
      <c r="B7" t="n">
        <v>0.7</v>
      </c>
      <c r="C7" t="inlineStr">
        <is>
          <t>6-7 years - 30% credit</t>
        </is>
      </c>
    </row>
    <row r="8">
      <c r="A8" t="n">
        <v>8</v>
      </c>
      <c r="B8" t="n">
        <v>0.65</v>
      </c>
      <c r="C8" t="inlineStr">
        <is>
          <t>7-8 years - 35% credit</t>
        </is>
      </c>
    </row>
    <row r="9">
      <c r="A9" t="n">
        <v>9</v>
      </c>
      <c r="B9" t="n">
        <v>0.6</v>
      </c>
      <c r="C9" t="inlineStr">
        <is>
          <t>8-9 years - 40% credit</t>
        </is>
      </c>
    </row>
    <row r="10">
      <c r="A10" t="n">
        <v>10</v>
      </c>
    </row>
    <row r="11">
      <c r="A11" t="n">
        <v>999</v>
      </c>
      <c r="B11" t="n">
        <v>0.5</v>
      </c>
      <c r="C11" t="inlineStr">
        <is>
          <t>&gt;10 years - 50% credit</t>
        </is>
      </c>
    </row>
    <row r="13">
      <c r="A13" s="65" t="inlineStr">
        <is>
          <t>INCOME MULTIPLE ADJUSTMENTS</t>
        </is>
      </c>
    </row>
    <row r="14">
      <c r="A14" s="54" t="inlineStr">
        <is>
          <t>Threshold</t>
        </is>
      </c>
      <c r="B14" s="54" t="inlineStr">
        <is>
          <t>Multiplier</t>
        </is>
      </c>
      <c r="C14" s="54" t="inlineStr">
        <is>
          <t>Description</t>
        </is>
      </c>
    </row>
    <row r="15">
      <c r="A15" t="n">
        <v>3.5</v>
      </c>
      <c r="B15" t="n">
        <v>1</v>
      </c>
      <c r="C15" t="inlineStr">
        <is>
          <t>≤3.5 single or ≤2.75 joint</t>
        </is>
      </c>
    </row>
    <row r="16">
      <c r="A16" t="n">
        <v>5</v>
      </c>
      <c r="B16" t="n">
        <v>1.2</v>
      </c>
      <c r="C16" t="inlineStr">
        <is>
          <t>&gt;3.5 to 5.0 single or &gt;2.75 to 3.25 joint</t>
        </is>
      </c>
    </row>
    <row r="17">
      <c r="A17" t="n">
        <v>999</v>
      </c>
      <c r="B17" t="n">
        <v>1.5</v>
      </c>
      <c r="C17" t="inlineStr">
        <is>
          <t>&gt;5.0 single or &gt;3.25 joint</t>
        </is>
      </c>
    </row>
    <row r="18"/>
    <row r="19">
      <c r="A19" s="65" t="inlineStr">
        <is>
          <t>BTL DSCR ADJUSTMENTS</t>
        </is>
      </c>
    </row>
    <row r="20">
      <c r="A20" s="54" t="inlineStr">
        <is>
          <t>DSCR Threshold</t>
        </is>
      </c>
      <c r="B20" s="54" t="inlineStr">
        <is>
          <t>Multiplier</t>
        </is>
      </c>
      <c r="C20" s="54" t="inlineStr">
        <is>
          <t>Description</t>
        </is>
      </c>
    </row>
    <row r="21">
      <c r="A21" t="n">
        <v>0</v>
      </c>
      <c r="B21" t="n">
        <v>1.7</v>
      </c>
      <c r="C21" t="inlineStr">
        <is>
          <t>No rental income</t>
        </is>
      </c>
    </row>
    <row r="22">
      <c r="A22" t="n">
        <v>1</v>
      </c>
      <c r="B22" t="n">
        <v>1.55</v>
      </c>
      <c r="C22" t="inlineStr">
        <is>
          <t>&lt;1.00 - Inadequate</t>
        </is>
      </c>
    </row>
    <row r="23">
      <c r="A23" t="n">
        <v>1.2</v>
      </c>
      <c r="B23" t="n">
        <v>1.45</v>
      </c>
      <c r="C23" t="inlineStr">
        <is>
          <t>1.00-1.20 - Minimal</t>
        </is>
      </c>
    </row>
    <row r="24">
      <c r="A24" t="n">
        <v>1.35</v>
      </c>
    </row>
    <row r="25">
      <c r="A25" t="n">
        <v>999</v>
      </c>
      <c r="B25" t="n">
        <v>1.25</v>
      </c>
      <c r="C25" t="inlineStr">
        <is>
          <t>≥1.35 - Strong</t>
        </is>
      </c>
    </row>
    <row r="27">
      <c r="A27" s="65" t="inlineStr">
        <is>
          <t>INTEREST ONLY ADJUSTMENTS (NON-BTL)</t>
        </is>
      </c>
    </row>
    <row r="28">
      <c r="A28" s="54" t="inlineStr">
        <is>
          <t>Years to Maturity</t>
        </is>
      </c>
      <c r="B28" s="54" t="inlineStr">
        <is>
          <t>Multiplier</t>
        </is>
      </c>
      <c r="C28" s="54" t="inlineStr">
        <is>
          <t>Description</t>
        </is>
      </c>
    </row>
    <row r="29">
      <c r="A29" t="n">
        <v>5</v>
      </c>
      <c r="B29" t="n">
        <v>1.25</v>
      </c>
      <c r="C29" t="inlineStr">
        <is>
          <t>&lt;5 years</t>
        </is>
      </c>
    </row>
    <row r="30">
      <c r="A30" t="n">
        <v>15</v>
      </c>
    </row>
    <row r="31">
      <c r="A31" t="n">
        <v>25</v>
      </c>
      <c r="B31" t="n">
        <v>1.2</v>
      </c>
      <c r="C31" t="inlineStr">
        <is>
          <t>15-25 years</t>
        </is>
      </c>
    </row>
    <row r="32">
      <c r="A32" t="n">
        <v>999</v>
      </c>
      <c r="B32" t="n">
        <v>1.1</v>
      </c>
      <c r="C32" t="inlineStr">
        <is>
          <t>&gt;25 years</t>
        </is>
      </c>
    </row>
    <row r="34">
      <c r="A34" s="65" t="inlineStr">
        <is>
          <t>FIXED ADJUSTMENT MULTIPLIERS</t>
        </is>
      </c>
    </row>
    <row r="35">
      <c r="A35" s="54" t="inlineStr">
        <is>
          <t>Adjustment Type</t>
        </is>
      </c>
      <c r="B35" s="54" t="inlineStr">
        <is>
          <t>Multiplier</t>
        </is>
      </c>
      <c r="C35" s="54" t="inlineStr">
        <is>
          <t>Notes</t>
        </is>
      </c>
    </row>
    <row r="36">
      <c r="A36" t="inlineStr">
        <is>
          <t>First Time Buyer</t>
        </is>
      </c>
      <c r="B36" t="n">
        <v>1.1</v>
      </c>
      <c r="C36" t="inlineStr">
        <is>
          <t>If seasoning &lt;18 months</t>
        </is>
      </c>
    </row>
    <row r="37">
      <c r="A37" t="inlineStr">
        <is>
          <t>Help to Buy</t>
        </is>
      </c>
      <c r="B37" t="n">
        <v>1</v>
      </c>
      <c r="C37" t="inlineStr">
        <is>
          <t>No adjustment per S&amp;P</t>
        </is>
      </c>
    </row>
    <row r="38">
      <c r="A38" t="inlineStr">
        <is>
          <t>Shared Ownership</t>
        </is>
      </c>
      <c r="B38" t="n">
        <v>1.15</v>
      </c>
      <c r="C38" t="inlineStr">
        <is>
          <t>Complexity premium</t>
        </is>
      </c>
    </row>
    <row r="39">
      <c r="A39" t="inlineStr">
        <is>
          <t>Right to Buy</t>
        </is>
      </c>
      <c r="B39" t="n">
        <v>1.2</v>
      </c>
      <c r="C39" t="inlineStr">
        <is>
          <t>Discount unwind risk</t>
        </is>
      </c>
    </row>
    <row r="40">
      <c r="A40" t="inlineStr">
        <is>
          <t>Self-Certification</t>
        </is>
      </c>
    </row>
    <row r="41">
      <c r="A41" t="inlineStr">
        <is>
          <t>Payment Shock</t>
        </is>
      </c>
      <c r="B41" t="n">
        <v>1.1</v>
      </c>
      <c r="C41" t="inlineStr">
        <is>
          <t>Fixed rate &lt;60mo to maturity</t>
        </is>
      </c>
    </row>
    <row r="42">
      <c r="A42" t="inlineStr">
        <is>
          <t>Self-Employed</t>
        </is>
      </c>
      <c r="B42" t="n">
        <v>1.15</v>
      </c>
      <c r="C42" t="inlineStr">
        <is>
          <t>Income stability risk</t>
        </is>
      </c>
    </row>
    <row r="43">
      <c r="A43" t="inlineStr">
        <is>
          <t>Commercial Property</t>
        </is>
      </c>
      <c r="B43" t="n">
        <v>1.85</v>
      </c>
      <c r="C43" t="inlineStr">
        <is>
          <t>Commercial use risk</t>
        </is>
      </c>
    </row>
    <row r="44">
      <c r="A44" t="inlineStr">
        <is>
          <t>CCJ</t>
        </is>
      </c>
      <c r="B44" t="n">
        <v>1.3</v>
      </c>
      <c r="C44" t="inlineStr">
        <is>
          <t>County Court Judgment</t>
        </is>
      </c>
    </row>
    <row r="45">
      <c r="A45" t="inlineStr">
        <is>
          <t>Bankruptcy</t>
        </is>
      </c>
      <c r="B45" t="n">
        <v>4</v>
      </c>
      <c r="C45" t="inlineStr">
        <is>
          <t>Floor at 0.50</t>
        </is>
      </c>
    </row>
    <row r="46">
      <c r="A46" t="inlineStr">
        <is>
          <t>IVA</t>
        </is>
      </c>
      <c r="B46" t="n">
        <v>3.5</v>
      </c>
      <c r="C46" t="inlineStr">
        <is>
          <t>Floor at 0.50</t>
        </is>
      </c>
    </row>
    <row r="47">
      <c r="A47" t="inlineStr">
        <is>
          <t>Repossession</t>
        </is>
      </c>
      <c r="B47" t="n">
        <v>5</v>
      </c>
      <c r="C47" t="inlineStr">
        <is>
          <t>Floor at 0.50</t>
        </is>
      </c>
    </row>
    <row r="48">
      <c r="A48" t="inlineStr">
        <is>
          <t>Lien 1st</t>
        </is>
      </c>
      <c r="B48" t="n">
        <v>1</v>
      </c>
      <c r="C48" t="inlineStr">
        <is>
          <t>First lien baseline</t>
        </is>
      </c>
    </row>
    <row r="49">
      <c r="A49" t="inlineStr">
        <is>
          <t>Lien 2nd</t>
        </is>
      </c>
    </row>
    <row r="50">
      <c r="A50" t="inlineStr">
        <is>
          <t>Lien 3rd+</t>
        </is>
      </c>
      <c r="B50" t="n">
        <v>1.7</v>
      </c>
      <c r="C50" t="inlineStr">
        <is>
          <t>Third+ lien</t>
        </is>
      </c>
    </row>
    <row r="51">
      <c r="A51" t="inlineStr">
        <is>
          <t>Purpose Purchase</t>
        </is>
      </c>
      <c r="B51" t="n">
        <v>1</v>
      </c>
      <c r="C51" t="inlineStr">
        <is>
          <t>Baseline</t>
        </is>
      </c>
    </row>
    <row r="52">
      <c r="A52" t="inlineStr">
        <is>
          <t>Purpose Remortgage</t>
        </is>
      </c>
      <c r="B52" t="n">
        <v>1</v>
      </c>
      <c r="C52" t="inlineStr">
        <is>
          <t>No adjustment</t>
        </is>
      </c>
    </row>
    <row r="53">
      <c r="A53" t="inlineStr">
        <is>
          <t>Purpose Cash-out</t>
        </is>
      </c>
      <c r="B53" t="n">
        <v>1.2</v>
      </c>
      <c r="C53" t="inlineStr">
        <is>
          <t>Increased risk</t>
        </is>
      </c>
    </row>
    <row r="54">
      <c r="A54" t="inlineStr">
        <is>
          <t>Arrears Current</t>
        </is>
      </c>
      <c r="B54" t="n">
        <v>1</v>
      </c>
      <c r="C54" t="inlineStr">
        <is>
          <t>No arrears</t>
        </is>
      </c>
    </row>
    <row r="55">
      <c r="A55" t="inlineStr">
        <is>
          <t>Arrears 1-2 months</t>
        </is>
      </c>
      <c r="B55" t="n">
        <v>1.15</v>
      </c>
      <c r="C55" t="inlineStr">
        <is>
          <t>Minor arrears</t>
        </is>
      </c>
    </row>
    <row r="56">
      <c r="A56" t="inlineStr">
        <is>
          <t>Arrears 3+ months</t>
        </is>
      </c>
    </row>
    <row r="60"/>
    <row r="70"/>
    <row r="78"/>
    <row r="84"/>
    <row r="87">
      <c r="A87" s="86" t="inlineStr">
        <is>
          <t>PROPERTY TYPE CODES</t>
        </is>
      </c>
    </row>
    <row r="88">
      <c r="A88" s="87" t="inlineStr">
        <is>
          <t>Code</t>
        </is>
      </c>
      <c r="B88" s="87" t="inlineStr">
        <is>
          <t>Description</t>
        </is>
      </c>
    </row>
    <row r="89">
      <c r="A89" t="n">
        <v>1</v>
      </c>
      <c r="B89" t="inlineStr">
        <is>
          <t>House</t>
        </is>
      </c>
    </row>
    <row r="90">
      <c r="A90" t="n">
        <v>2</v>
      </c>
      <c r="B90" t="inlineStr">
        <is>
          <t>Flat</t>
        </is>
      </c>
    </row>
    <row r="91">
      <c r="A91" t="n">
        <v>3</v>
      </c>
      <c r="B91" t="inlineStr">
        <is>
          <t>Bungalow</t>
        </is>
      </c>
    </row>
    <row r="92">
      <c r="A92" t="n">
        <v>4</v>
      </c>
      <c r="B92" t="inlineStr">
        <is>
          <t>Maisonette</t>
        </is>
      </c>
    </row>
    <row r="94">
      <c r="A94" s="86" t="inlineStr">
        <is>
          <t>OCCUPANCY TYPE CODES</t>
        </is>
      </c>
    </row>
    <row r="95">
      <c r="A95" s="87" t="inlineStr">
        <is>
          <t>Code</t>
        </is>
      </c>
      <c r="B95" s="87" t="inlineStr">
        <is>
          <t>Description</t>
        </is>
      </c>
    </row>
    <row r="96">
      <c r="A96" t="n">
        <v>1</v>
      </c>
      <c r="B96" t="inlineStr">
        <is>
          <t>Owner Occupied</t>
        </is>
      </c>
    </row>
    <row r="97">
      <c r="A97" t="n">
        <v>2</v>
      </c>
      <c r="B97" t="inlineStr">
        <is>
          <t>Buy to Let</t>
        </is>
      </c>
    </row>
    <row r="98">
      <c r="A98" t="n">
        <v>3</v>
      </c>
      <c r="B98" t="inlineStr">
        <is>
          <t>Second Home</t>
        </is>
      </c>
    </row>
    <row r="99">
      <c r="A99" t="n">
        <v>4</v>
      </c>
      <c r="B99" t="inlineStr">
        <is>
          <t>Investment</t>
        </is>
      </c>
    </row>
    <row r="101">
      <c r="A101" s="65" t="inlineStr">
        <is>
          <t>INTEREST RATE TYPE CODES</t>
        </is>
      </c>
    </row>
    <row r="102">
      <c r="A102" s="54" t="inlineStr">
        <is>
          <t>Code</t>
        </is>
      </c>
      <c r="B102" s="54" t="inlineStr">
        <is>
          <t>Description</t>
        </is>
      </c>
    </row>
    <row r="103">
      <c r="A103" t="n">
        <v>1</v>
      </c>
      <c r="B103" t="inlineStr">
        <is>
          <t>Fixed</t>
        </is>
      </c>
    </row>
    <row r="104">
      <c r="A104" t="n">
        <v>2</v>
      </c>
      <c r="B104" t="inlineStr">
        <is>
          <t>Variable</t>
        </is>
      </c>
    </row>
    <row r="105">
      <c r="A105" t="n">
        <v>3</v>
      </c>
      <c r="B105" t="inlineStr">
        <is>
          <t>Tracker</t>
        </is>
      </c>
    </row>
    <row r="107">
      <c r="A107" s="65" t="inlineStr">
        <is>
          <t>PAYMENT METHOD CODES</t>
        </is>
      </c>
    </row>
    <row r="108">
      <c r="A108" s="54" t="inlineStr">
        <is>
          <t>Code</t>
        </is>
      </c>
      <c r="B108" s="54" t="inlineStr">
        <is>
          <t>Description</t>
        </is>
      </c>
    </row>
    <row r="109">
      <c r="A109" t="n">
        <v>1</v>
      </c>
      <c r="B109" t="inlineStr">
        <is>
          <t>Repayment</t>
        </is>
      </c>
    </row>
    <row r="110">
      <c r="A110" t="n">
        <v>2</v>
      </c>
      <c r="B110" t="inlineStr">
        <is>
          <t>Interest Only</t>
        </is>
      </c>
    </row>
    <row r="111">
      <c r="A111" t="n">
        <v>3</v>
      </c>
      <c r="B111" t="inlineStr">
        <is>
          <t>Part and Part</t>
        </is>
      </c>
    </row>
    <row r="113">
      <c r="A113" s="65" t="inlineStr">
        <is>
          <t>VALUATION TYPE CODES</t>
        </is>
      </c>
    </row>
    <row r="114">
      <c r="A114" s="54" t="inlineStr">
        <is>
          <t>Code</t>
        </is>
      </c>
      <c r="B114" s="54" t="inlineStr">
        <is>
          <t>Description</t>
        </is>
      </c>
    </row>
    <row r="115">
      <c r="A115" t="n">
        <v>1</v>
      </c>
      <c r="B115" t="inlineStr">
        <is>
          <t>Full</t>
        </is>
      </c>
    </row>
    <row r="116">
      <c r="A116" t="n">
        <v>2</v>
      </c>
      <c r="B116" t="inlineStr">
        <is>
          <t>Desktop</t>
        </is>
      </c>
    </row>
    <row r="117">
      <c r="A117" t="n">
        <v>3</v>
      </c>
      <c r="B117" t="inlineStr">
        <is>
          <t>Drive-by</t>
        </is>
      </c>
    </row>
    <row r="118">
      <c r="A118" t="n">
        <v>4</v>
      </c>
      <c r="B118" t="inlineStr">
        <is>
          <t>AVM</t>
        </is>
      </c>
    </row>
    <row r="124">
      <c r="A124" s="54" t="inlineStr">
        <is>
          <t>FTB Seasoning Threshold (months)</t>
        </is>
      </c>
      <c r="B124" t="n">
        <v>18</v>
      </c>
    </row>
    <row r="125">
      <c r="A125" s="54" t="inlineStr">
        <is>
          <t>Payment Shock Months Threshold</t>
        </is>
      </c>
      <c r="B125" t="n">
        <v>60</v>
      </c>
    </row>
    <row r="126">
      <c r="A126" s="54" t="inlineStr">
        <is>
          <t>Bankruptcy Floor Multiplier</t>
        </is>
      </c>
      <c r="B126" t="n">
        <v>0.5</v>
      </c>
    </row>
    <row r="129">
      <c r="A129" s="88" t="inlineStr">
        <is>
          <t>BASE FORECLOSURE FREQUENCY BY RATING LEVEL</t>
        </is>
      </c>
    </row>
    <row r="130">
      <c r="A130" s="89" t="inlineStr">
        <is>
          <t>Rating Level</t>
        </is>
      </c>
      <c r="B130" s="89" t="inlineStr">
        <is>
          <t>Base FF (%)</t>
        </is>
      </c>
    </row>
    <row r="131">
      <c r="A131" s="90" t="inlineStr">
        <is>
          <t>AAA</t>
        </is>
      </c>
      <c r="B131" s="91" t="n">
        <v>0.36</v>
      </c>
    </row>
    <row r="132">
      <c r="A132" s="90" t="inlineStr">
        <is>
          <t>AA+</t>
        </is>
      </c>
      <c r="B132" s="91" t="n">
        <v>0.45</v>
      </c>
    </row>
    <row r="133">
      <c r="A133" s="90" t="inlineStr">
        <is>
          <t>AA</t>
        </is>
      </c>
      <c r="B133" s="91" t="n">
        <v>0.57</v>
      </c>
    </row>
    <row r="134">
      <c r="A134" s="90" t="inlineStr">
        <is>
          <t>AA-</t>
        </is>
      </c>
      <c r="B134" s="91" t="n">
        <v>0.71</v>
      </c>
    </row>
    <row r="135">
      <c r="A135" s="90" t="inlineStr">
        <is>
          <t>A+</t>
        </is>
      </c>
      <c r="B135" s="91" t="n">
        <v>0.9</v>
      </c>
    </row>
    <row r="136">
      <c r="A136" s="90" t="inlineStr">
        <is>
          <t>A</t>
        </is>
      </c>
      <c r="B136" s="91" t="n">
        <v>1.13</v>
      </c>
    </row>
    <row r="137">
      <c r="A137" s="90" t="inlineStr">
        <is>
          <t>A-</t>
        </is>
      </c>
      <c r="B137" s="91" t="n">
        <v>1.42</v>
      </c>
    </row>
    <row r="138">
      <c r="A138" s="90" t="inlineStr">
        <is>
          <t>BBB+</t>
        </is>
      </c>
      <c r="B138" s="91" t="n">
        <v>1.78</v>
      </c>
    </row>
    <row r="139">
      <c r="A139" s="90" t="inlineStr">
        <is>
          <t>BBB</t>
        </is>
      </c>
      <c r="B139" s="91" t="n">
        <v>2.24</v>
      </c>
    </row>
    <row r="140">
      <c r="A140" s="90" t="inlineStr">
        <is>
          <t>BBB-</t>
        </is>
      </c>
      <c r="B140" s="91" t="n">
        <v>2.82</v>
      </c>
    </row>
    <row r="141">
      <c r="A141" s="90" t="inlineStr">
        <is>
          <t>BB+</t>
        </is>
      </c>
      <c r="B141" s="91" t="n">
        <v>3.55</v>
      </c>
    </row>
    <row r="142">
      <c r="A142" s="90" t="inlineStr">
        <is>
          <t>BB</t>
        </is>
      </c>
      <c r="B142" s="91" t="n">
        <v>4.47</v>
      </c>
    </row>
    <row r="143">
      <c r="A143" s="90" t="inlineStr">
        <is>
          <t>BB-</t>
        </is>
      </c>
      <c r="B143" s="91" t="n">
        <v>5.62</v>
      </c>
    </row>
    <row r="144">
      <c r="A144" s="90" t="inlineStr">
        <is>
          <t>B+</t>
        </is>
      </c>
      <c r="B144" s="91" t="n">
        <v>7.07</v>
      </c>
    </row>
    <row r="145">
      <c r="A145" s="90" t="inlineStr">
        <is>
          <t>B</t>
        </is>
      </c>
      <c r="B145" s="91" t="n">
        <v>8.9</v>
      </c>
    </row>
    <row r="146">
      <c r="A146" s="90" t="inlineStr">
        <is>
          <t>B-</t>
        </is>
      </c>
      <c r="B146" s="91" t="n">
        <v>11.2</v>
      </c>
    </row>
    <row r="149">
      <c r="A149" s="92" t="inlineStr">
        <is>
          <t>SPECIAL ADJUSTMENT PARAMETERS</t>
        </is>
      </c>
    </row>
    <row r="150">
      <c r="A150" s="66" t="inlineStr">
        <is>
          <t>Occupancy Unknown Adjustment</t>
        </is>
      </c>
      <c r="B150" s="93" t="n">
        <v>1.7</v>
      </c>
    </row>
    <row r="151">
      <c r="A151" s="66" t="inlineStr">
        <is>
          <t>CCJ &gt;6 Years Old Adjustment</t>
        </is>
      </c>
      <c r="B151" s="94" t="n">
        <v>1.075</v>
      </c>
    </row>
  </sheetData>
  <mergeCells count="26">
    <mergeCell ref="A84:C84"/>
    <mergeCell ref="A18:C18"/>
    <mergeCell ref="A56:C56"/>
    <mergeCell ref="A1:E1"/>
    <mergeCell ref="A101:C101"/>
    <mergeCell ref="A19:D19"/>
    <mergeCell ref="A113:C113"/>
    <mergeCell ref="A13:D13"/>
    <mergeCell ref="A34:D34"/>
    <mergeCell ref="A149:B149"/>
    <mergeCell ref="A4:C4"/>
    <mergeCell ref="A10:C10"/>
    <mergeCell ref="A70:D70"/>
    <mergeCell ref="A2:E2"/>
    <mergeCell ref="A129:B129"/>
    <mergeCell ref="A40:C40"/>
    <mergeCell ref="A30:C30"/>
    <mergeCell ref="A24:C24"/>
    <mergeCell ref="A60:C60"/>
    <mergeCell ref="A27:D27"/>
    <mergeCell ref="A49:C49"/>
    <mergeCell ref="A107:C107"/>
    <mergeCell ref="A94:C94"/>
    <mergeCell ref="A3:D3"/>
    <mergeCell ref="A78:C78"/>
    <mergeCell ref="A87:C8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40" customWidth="1" min="3" max="3"/>
  </cols>
  <sheetData>
    <row r="1">
      <c r="A1" s="1" t="inlineStr">
        <is>
          <t>LOSS SEVERITY ADJUSTMENT PARAMETERS</t>
        </is>
      </c>
    </row>
    <row r="2">
      <c r="A2" s="11" t="inlineStr">
        <is>
          <t>S&amp;P Table 78 &amp; 79: Property Type and Regional Adjustments for MVD</t>
        </is>
      </c>
    </row>
    <row r="4">
      <c r="A4" s="37" t="inlineStr">
        <is>
          <t>PROPERTY TYPE MVD ADJUSTMENTS (S&amp;P Table 78)</t>
        </is>
      </c>
    </row>
    <row r="5">
      <c r="A5" s="38" t="inlineStr">
        <is>
          <t>Property Type</t>
        </is>
      </c>
      <c r="B5" s="38" t="inlineStr">
        <is>
          <t>MVD Adjustment</t>
        </is>
      </c>
      <c r="C5" s="38" t="inlineStr">
        <is>
          <t>Notes</t>
        </is>
      </c>
    </row>
    <row r="6">
      <c r="A6" s="39" t="inlineStr">
        <is>
          <t>House</t>
        </is>
      </c>
      <c r="B6" s="40" t="n">
        <v>0</v>
      </c>
      <c r="C6" s="39" t="inlineStr">
        <is>
          <t>Baseline - no adjustment</t>
        </is>
      </c>
    </row>
    <row r="7">
      <c r="A7" s="39" t="inlineStr">
        <is>
          <t>Flat</t>
        </is>
      </c>
      <c r="B7" s="40" t="n">
        <v>0.05</v>
      </c>
      <c r="C7" s="39" t="inlineStr">
        <is>
          <t>+5% MVD for flats (higher volatility)</t>
        </is>
      </c>
    </row>
    <row r="8">
      <c r="A8" s="39" t="inlineStr">
        <is>
          <t>Bungalow</t>
        </is>
      </c>
      <c r="B8" s="40" t="n">
        <v>-0.02</v>
      </c>
      <c r="C8" s="39" t="inlineStr">
        <is>
          <t>-2% MVD for bungalows (stable)</t>
        </is>
      </c>
    </row>
    <row r="9">
      <c r="A9" s="39" t="inlineStr">
        <is>
          <t>Maisonette</t>
        </is>
      </c>
      <c r="B9" s="40" t="n">
        <v>0.03</v>
      </c>
      <c r="C9" s="39" t="inlineStr">
        <is>
          <t>+3% MVD for maisonettes</t>
        </is>
      </c>
    </row>
    <row r="10">
      <c r="A10" s="39" t="inlineStr">
        <is>
          <t>Other</t>
        </is>
      </c>
      <c r="B10" s="40" t="n">
        <v>0.05</v>
      </c>
      <c r="C10" s="39" t="inlineStr">
        <is>
          <t>+5% MVD for other property types</t>
        </is>
      </c>
    </row>
    <row r="12">
      <c r="A12" s="37" t="inlineStr">
        <is>
          <t>REGIONAL MVD ADJUSTMENTS (S&amp;P Table 79 - Optional)</t>
        </is>
      </c>
    </row>
    <row r="13">
      <c r="A13" s="38" t="inlineStr">
        <is>
          <t>Region</t>
        </is>
      </c>
      <c r="B13" s="38" t="inlineStr">
        <is>
          <t>MVD Adjustment</t>
        </is>
      </c>
      <c r="C13" s="38" t="inlineStr">
        <is>
          <t>Notes</t>
        </is>
      </c>
    </row>
    <row r="14">
      <c r="A14" s="39" t="inlineStr">
        <is>
          <t>London</t>
        </is>
      </c>
      <c r="B14" s="40" t="n">
        <v>-0.03</v>
      </c>
      <c r="C14" s="39" t="inlineStr">
        <is>
          <t>-3% MVD (more liquid market)</t>
        </is>
      </c>
    </row>
    <row r="15">
      <c r="A15" s="39" t="inlineStr">
        <is>
          <t>South East</t>
        </is>
      </c>
      <c r="B15" s="40" t="n">
        <v>-0.02</v>
      </c>
      <c r="C15" s="39" t="inlineStr">
        <is>
          <t>-2% MVD</t>
        </is>
      </c>
    </row>
    <row r="16">
      <c r="A16" s="39" t="inlineStr">
        <is>
          <t>East</t>
        </is>
      </c>
      <c r="B16" s="40" t="n">
        <v>-0.01</v>
      </c>
      <c r="C16" s="39" t="inlineStr">
        <is>
          <t>-1% MVD</t>
        </is>
      </c>
    </row>
    <row r="17">
      <c r="A17" s="39" t="inlineStr">
        <is>
          <t>South West</t>
        </is>
      </c>
      <c r="B17" s="40" t="n">
        <v>0</v>
      </c>
      <c r="C17" s="39" t="inlineStr">
        <is>
          <t>Baseline</t>
        </is>
      </c>
    </row>
    <row r="18">
      <c r="A18" s="39" t="inlineStr">
        <is>
          <t>West Midlands</t>
        </is>
      </c>
      <c r="B18" s="40" t="n">
        <v>0.01</v>
      </c>
      <c r="C18" s="39" t="inlineStr">
        <is>
          <t>+1% MVD</t>
        </is>
      </c>
    </row>
    <row r="19">
      <c r="A19" s="39" t="inlineStr">
        <is>
          <t>East Midlands</t>
        </is>
      </c>
      <c r="B19" s="40" t="n">
        <v>0.01</v>
      </c>
      <c r="C19" s="39" t="inlineStr">
        <is>
          <t>+1% MVD</t>
        </is>
      </c>
    </row>
    <row r="20">
      <c r="A20" s="39" t="inlineStr">
        <is>
          <t>North West</t>
        </is>
      </c>
      <c r="B20" s="40" t="n">
        <v>0.02</v>
      </c>
      <c r="C20" s="39" t="inlineStr">
        <is>
          <t>+2% MVD</t>
        </is>
      </c>
    </row>
    <row r="21">
      <c r="A21" s="39" t="inlineStr">
        <is>
          <t>Yorkshire</t>
        </is>
      </c>
      <c r="B21" s="40" t="n">
        <v>0.02</v>
      </c>
      <c r="C21" s="39" t="inlineStr">
        <is>
          <t>+2% MVD</t>
        </is>
      </c>
    </row>
    <row r="22">
      <c r="A22" s="39" t="inlineStr">
        <is>
          <t>North East</t>
        </is>
      </c>
      <c r="B22" s="40" t="n">
        <v>0.03</v>
      </c>
      <c r="C22" s="39" t="inlineStr">
        <is>
          <t>+3% MVD (less liquid)</t>
        </is>
      </c>
    </row>
    <row r="23">
      <c r="A23" s="39" t="inlineStr">
        <is>
          <t>Wales</t>
        </is>
      </c>
      <c r="B23" s="40" t="n">
        <v>0.02</v>
      </c>
      <c r="C23" s="39" t="inlineStr">
        <is>
          <t>+2% MVD</t>
        </is>
      </c>
    </row>
    <row r="24">
      <c r="A24" s="39" t="inlineStr">
        <is>
          <t>Scotland</t>
        </is>
      </c>
      <c r="B24" s="40" t="n">
        <v>0.01</v>
      </c>
      <c r="C24" s="39" t="inlineStr">
        <is>
          <t>+1% MVD</t>
        </is>
      </c>
    </row>
    <row r="25">
      <c r="A25" s="39" t="inlineStr">
        <is>
          <t>Northern Ireland</t>
        </is>
      </c>
      <c r="B25" s="40" t="n">
        <v>0.03</v>
      </c>
      <c r="C25" s="39" t="inlineStr">
        <is>
          <t>+3% MVD</t>
        </is>
      </c>
    </row>
    <row r="28">
      <c r="A28" s="37" t="inlineStr">
        <is>
          <t>FORECLOSURE COSTS</t>
        </is>
      </c>
    </row>
    <row r="29">
      <c r="A29" s="38" t="inlineStr">
        <is>
          <t>Cost Component</t>
        </is>
      </c>
      <c r="B29" s="38" t="inlineStr">
        <is>
          <t>% of Property Value</t>
        </is>
      </c>
      <c r="C29" s="38" t="inlineStr">
        <is>
          <t>Notes</t>
        </is>
      </c>
    </row>
    <row r="30">
      <c r="A30" s="39" t="inlineStr">
        <is>
          <t>Legal &amp; Professional Fees</t>
        </is>
      </c>
      <c r="B30" s="40" t="n">
        <v>0.03</v>
      </c>
      <c r="C30" s="39" t="inlineStr">
        <is>
          <t>Solicitors, surveyors, court costs</t>
        </is>
      </c>
    </row>
    <row r="31">
      <c r="A31" s="39" t="inlineStr">
        <is>
          <t>Maintenance &amp; Repairs</t>
        </is>
      </c>
      <c r="B31" s="40" t="n">
        <v>0.02</v>
      </c>
      <c r="C31" s="39" t="inlineStr">
        <is>
          <t>Property upkeep during foreclosure</t>
        </is>
      </c>
    </row>
    <row r="32">
      <c r="A32" s="39" t="inlineStr">
        <is>
          <t>Sales Costs</t>
        </is>
      </c>
      <c r="B32" s="40" t="n">
        <v>0.02</v>
      </c>
      <c r="C32" s="39" t="inlineStr">
        <is>
          <t>Estate agent, marketing</t>
        </is>
      </c>
    </row>
    <row r="33">
      <c r="A33" s="39" t="inlineStr">
        <is>
          <t>Holding Costs</t>
        </is>
      </c>
      <c r="B33" s="40" t="n">
        <v>0.01</v>
      </c>
      <c r="C33" s="39" t="inlineStr">
        <is>
          <t>Utilities, insurance, security</t>
        </is>
      </c>
    </row>
    <row r="34">
      <c r="A34" s="41" t="inlineStr">
        <is>
          <t>TOTAL Foreclosure Costs</t>
        </is>
      </c>
      <c r="B34" s="42" t="n">
        <v>0.08</v>
      </c>
      <c r="C34" s="41" t="inlineStr">
        <is>
          <t>Sum of all components</t>
        </is>
      </c>
    </row>
  </sheetData>
  <mergeCells count="5">
    <mergeCell ref="A28:C28"/>
    <mergeCell ref="A2:F2"/>
    <mergeCell ref="A1:F1"/>
    <mergeCell ref="A12:C12"/>
    <mergeCell ref="A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45" customWidth="1" min="4" max="4"/>
    <col width="20" customWidth="1" min="5" max="5"/>
    <col width="50" customWidth="1" min="6" max="6"/>
  </cols>
  <sheetData>
    <row r="1">
      <c r="A1" s="83" t="inlineStr">
        <is>
          <t>AR Code</t>
        </is>
      </c>
      <c r="B1" s="83" t="inlineStr">
        <is>
          <t>BoE Field Name</t>
        </is>
      </c>
      <c r="C1" s="83" t="inlineStr">
        <is>
          <t>S&amp;P Field Name</t>
        </is>
      </c>
      <c r="D1" s="83" t="inlineStr">
        <is>
          <t>Conversion Notes</t>
        </is>
      </c>
    </row>
    <row r="2">
      <c r="A2" s="95" t="inlineStr">
        <is>
          <t>AR3</t>
        </is>
      </c>
      <c r="B2" s="85" t="inlineStr">
        <is>
          <t>Loan Identifier</t>
        </is>
      </c>
      <c r="C2" s="85" t="inlineStr">
        <is>
          <t>Loan ID</t>
        </is>
      </c>
      <c r="D2" s="85" t="inlineStr">
        <is>
          <t>Direct mapping</t>
        </is>
      </c>
    </row>
    <row r="3">
      <c r="A3" s="95" t="inlineStr">
        <is>
          <t>AR5</t>
        </is>
      </c>
      <c r="B3" s="85" t="inlineStr">
        <is>
          <t>Originator</t>
        </is>
      </c>
      <c r="C3" s="85" t="inlineStr">
        <is>
          <t>Originator</t>
        </is>
      </c>
      <c r="D3" s="85" t="inlineStr">
        <is>
          <t>Direct mapping</t>
        </is>
      </c>
    </row>
    <row r="4">
      <c r="A4" s="95" t="inlineStr">
        <is>
          <t>AR55</t>
        </is>
      </c>
      <c r="B4" s="85" t="inlineStr">
        <is>
          <t>Loan Origination Date</t>
        </is>
      </c>
      <c r="C4" s="85" t="inlineStr">
        <is>
          <t>Origination Date</t>
        </is>
      </c>
      <c r="D4" s="85" t="inlineStr">
        <is>
          <t>Date format</t>
        </is>
      </c>
    </row>
    <row r="5">
      <c r="A5" s="95" t="inlineStr">
        <is>
          <t>AR56</t>
        </is>
      </c>
      <c r="B5" s="85" t="inlineStr">
        <is>
          <t>Date of Loan Maturity</t>
        </is>
      </c>
      <c r="C5" s="85" t="inlineStr">
        <is>
          <t>Maturity Date</t>
        </is>
      </c>
      <c r="D5" s="85" t="inlineStr">
        <is>
          <t>Date format</t>
        </is>
      </c>
    </row>
    <row r="6">
      <c r="A6" s="95" t="inlineStr">
        <is>
          <t>AR66</t>
        </is>
      </c>
      <c r="B6" s="85" t="inlineStr">
        <is>
          <t>Original Balance</t>
        </is>
      </c>
      <c r="C6" s="85" t="inlineStr">
        <is>
          <t>Original Balance</t>
        </is>
      </c>
      <c r="D6" s="85" t="inlineStr">
        <is>
          <t>Currency</t>
        </is>
      </c>
    </row>
    <row r="7">
      <c r="A7" s="95" t="inlineStr">
        <is>
          <t>AR67</t>
        </is>
      </c>
      <c r="B7" s="85" t="inlineStr">
        <is>
          <t>Current Balance</t>
        </is>
      </c>
      <c r="C7" s="85" t="inlineStr">
        <is>
          <t>Current Balance</t>
        </is>
      </c>
      <c r="D7" s="85" t="inlineStr">
        <is>
          <t>Currency</t>
        </is>
      </c>
    </row>
    <row r="8">
      <c r="A8" s="95" t="inlineStr">
        <is>
          <t>AR131</t>
        </is>
      </c>
      <c r="B8" s="85" t="inlineStr">
        <is>
          <t>Property Type</t>
        </is>
      </c>
      <c r="C8" s="85" t="inlineStr">
        <is>
          <t>Property Type</t>
        </is>
      </c>
      <c r="D8" s="85" t="inlineStr">
        <is>
          <t>Code: 1=House, 2=Flat, 3=Bungalow, 4=Maisonette</t>
        </is>
      </c>
    </row>
    <row r="9">
      <c r="A9" s="95" t="inlineStr">
        <is>
          <t>AR130</t>
        </is>
      </c>
      <c r="B9" s="85" t="inlineStr">
        <is>
          <t>Occupancy Type</t>
        </is>
      </c>
      <c r="C9" s="85" t="inlineStr">
        <is>
          <t>Occupancy Status</t>
        </is>
      </c>
      <c r="D9" s="85" t="inlineStr">
        <is>
          <t>Code: 1=Owner Occ, 2=BTL, 3=Second Home, 4=Investment</t>
        </is>
      </c>
    </row>
    <row r="10">
      <c r="A10" s="95" t="inlineStr">
        <is>
          <t>AR107</t>
        </is>
      </c>
      <c r="B10" s="85" t="inlineStr">
        <is>
          <t>Interest Rate Type</t>
        </is>
      </c>
      <c r="C10" s="85" t="inlineStr">
        <is>
          <t>Interest Rate Type</t>
        </is>
      </c>
      <c r="D10" s="85" t="inlineStr">
        <is>
          <t>Code: 1=Fixed, 2=Variable, 3=Tracker</t>
        </is>
      </c>
    </row>
    <row r="11">
      <c r="A11" s="95" t="inlineStr">
        <is>
          <t>AR109</t>
        </is>
      </c>
      <c r="B11" s="85" t="inlineStr">
        <is>
          <t>Current Interest Rate</t>
        </is>
      </c>
      <c r="C11" s="85" t="inlineStr">
        <is>
          <t>Interest Rate</t>
        </is>
      </c>
      <c r="D11" s="85" t="inlineStr">
        <is>
          <t>Percentage</t>
        </is>
      </c>
    </row>
    <row r="12">
      <c r="A12" s="95" t="inlineStr">
        <is>
          <t>AR69</t>
        </is>
      </c>
      <c r="B12" s="85" t="inlineStr">
        <is>
          <t>Repayment Method</t>
        </is>
      </c>
      <c r="C12" s="85" t="inlineStr">
        <is>
          <t>Payment Method</t>
        </is>
      </c>
      <c r="D12" s="85" t="inlineStr">
        <is>
          <t>Code: 1=Repayment, 2=IO, 3=Part &amp; Part</t>
        </is>
      </c>
    </row>
    <row r="13">
      <c r="A13" s="95" t="inlineStr">
        <is>
          <t>AR84</t>
        </is>
      </c>
      <c r="B13" s="85" t="inlineStr">
        <is>
          <t>Lien</t>
        </is>
      </c>
      <c r="C13" s="85" t="inlineStr">
        <is>
          <t>Lien Position</t>
        </is>
      </c>
      <c r="D13" s="85" t="inlineStr">
        <is>
          <t>Code: 1=First, 2=Second</t>
        </is>
      </c>
    </row>
    <row r="14">
      <c r="A14" s="95" t="inlineStr">
        <is>
          <t>AR135</t>
        </is>
      </c>
      <c r="B14" s="85" t="inlineStr">
        <is>
          <t>Original Loan to Value</t>
        </is>
      </c>
      <c r="C14" s="85" t="inlineStr">
        <is>
          <t>Original LTV</t>
        </is>
      </c>
      <c r="D14" s="85" t="inlineStr">
        <is>
          <t>Percentage</t>
        </is>
      </c>
    </row>
    <row r="15">
      <c r="A15" s="95" t="inlineStr">
        <is>
          <t>AR141</t>
        </is>
      </c>
      <c r="B15" s="85" t="inlineStr">
        <is>
          <t>Current Loan to Value</t>
        </is>
      </c>
      <c r="C15" s="85" t="inlineStr">
        <is>
          <t>Current LTV</t>
        </is>
      </c>
      <c r="D15" s="85" t="inlineStr">
        <is>
          <t>Percentage</t>
        </is>
      </c>
    </row>
    <row r="16">
      <c r="A16" s="95" t="inlineStr">
        <is>
          <t>AR154</t>
        </is>
      </c>
      <c r="B16" s="85" t="inlineStr">
        <is>
          <t>Gross Annual Rental Income</t>
        </is>
      </c>
      <c r="C16" s="85" t="inlineStr">
        <is>
          <t>Rental Income</t>
        </is>
      </c>
      <c r="D16" s="85" t="inlineStr">
        <is>
          <t>Currency</t>
        </is>
      </c>
    </row>
    <row r="17">
      <c r="A17" s="95" t="inlineStr">
        <is>
          <t>AR156</t>
        </is>
      </c>
      <c r="B17" s="85" t="inlineStr">
        <is>
          <t>Debt Service Coverage Ratio</t>
        </is>
      </c>
      <c r="C17" s="85" t="inlineStr">
        <is>
          <t>DSCR</t>
        </is>
      </c>
      <c r="D17" s="85" t="inlineStr">
        <is>
          <t>Decimal</t>
        </is>
      </c>
    </row>
    <row r="18">
      <c r="A18" s="95" t="inlineStr">
        <is>
          <t>AR22</t>
        </is>
      </c>
      <c r="B18" s="85" t="inlineStr">
        <is>
          <t>First-time Buyer</t>
        </is>
      </c>
      <c r="C18" s="85" t="inlineStr">
        <is>
          <t>First Time Buyer</t>
        </is>
      </c>
      <c r="D18" s="85" t="inlineStr">
        <is>
          <t>Code: 1,2=Yes, other=No</t>
        </is>
      </c>
    </row>
    <row r="19">
      <c r="A19" s="95" t="inlineStr">
        <is>
          <t>AR60</t>
        </is>
      </c>
      <c r="B19" s="85" t="inlineStr">
        <is>
          <t>Shared Ownership</t>
        </is>
      </c>
      <c r="C19" s="85" t="inlineStr">
        <is>
          <t>Shared Ownership</t>
        </is>
      </c>
      <c r="D19" s="85" t="inlineStr">
        <is>
          <t>Code: 1,2=Yes, other=No</t>
        </is>
      </c>
    </row>
    <row r="20">
      <c r="A20" s="95" t="inlineStr">
        <is>
          <t>AR105</t>
        </is>
      </c>
      <c r="B20" s="85" t="inlineStr">
        <is>
          <t>Help to Buy Scheme Type</t>
        </is>
      </c>
      <c r="C20" s="85" t="inlineStr">
        <is>
          <t>Help to Buy</t>
        </is>
      </c>
      <c r="D20" s="85" t="inlineStr">
        <is>
          <t>Code: 1-4=Yes, other=No</t>
        </is>
      </c>
    </row>
    <row r="21">
      <c r="A21" s="95" t="inlineStr">
        <is>
          <t>AR23</t>
        </is>
      </c>
      <c r="B21" s="85" t="inlineStr">
        <is>
          <t>Right to Buy</t>
        </is>
      </c>
      <c r="C21" s="85" t="inlineStr">
        <is>
          <t>Right to Buy</t>
        </is>
      </c>
      <c r="D21" s="85" t="inlineStr">
        <is>
          <t>Code: 1=Yes, other=No</t>
        </is>
      </c>
    </row>
    <row r="22">
      <c r="A22" s="95" t="inlineStr">
        <is>
          <t>AR73</t>
        </is>
      </c>
      <c r="B22" s="85" t="inlineStr">
        <is>
          <t>Debt to Income</t>
        </is>
      </c>
      <c r="C22" s="85" t="inlineStr">
        <is>
          <t>Debt to Income</t>
        </is>
      </c>
      <c r="D22" s="85" t="inlineStr">
        <is>
          <t>Decimal ratio</t>
        </is>
      </c>
    </row>
    <row r="23">
      <c r="A23" s="95" t="inlineStr">
        <is>
          <t>AR31</t>
        </is>
      </c>
      <c r="B23" s="85" t="inlineStr">
        <is>
          <t>CCJ Count - Satisfied</t>
        </is>
      </c>
      <c r="C23" s="85" t="inlineStr">
        <is>
          <t>CCJ Satisfied</t>
        </is>
      </c>
      <c r="D23" s="85" t="inlineStr">
        <is>
          <t>Number</t>
        </is>
      </c>
    </row>
    <row r="24">
      <c r="A24" s="95" t="inlineStr">
        <is>
          <t>AR33</t>
        </is>
      </c>
      <c r="B24" s="85" t="inlineStr">
        <is>
          <t>CCJ Count - Unsatisfied</t>
        </is>
      </c>
      <c r="C24" s="85" t="inlineStr">
        <is>
          <t>CCJ Unsatisfied</t>
        </is>
      </c>
      <c r="D24" s="85" t="inlineStr">
        <is>
          <t>Number</t>
        </is>
      </c>
    </row>
    <row r="25">
      <c r="A25" s="95" t="inlineStr">
        <is>
          <t>AR35</t>
        </is>
      </c>
      <c r="B25" s="85" t="inlineStr">
        <is>
          <t>Last CCJ Date</t>
        </is>
      </c>
      <c r="C25" s="85" t="inlineStr">
        <is>
          <t>Last CCJ Date</t>
        </is>
      </c>
      <c r="D25" s="85" t="inlineStr">
        <is>
          <t>Date format</t>
        </is>
      </c>
    </row>
    <row r="26">
      <c r="A26" s="95" t="inlineStr">
        <is>
          <t>AR36</t>
        </is>
      </c>
      <c r="B26" s="85" t="inlineStr">
        <is>
          <t>Bankruptcy/IVA Flag</t>
        </is>
      </c>
      <c r="C26" s="85" t="inlineStr">
        <is>
          <t>Bankruptcy/IVA</t>
        </is>
      </c>
      <c r="D26" s="85" t="inlineStr">
        <is>
          <t>Code: 1,2=Yes, other=No</t>
        </is>
      </c>
    </row>
    <row r="27">
      <c r="A27" s="95" t="inlineStr">
        <is>
          <t>AR166</t>
        </is>
      </c>
      <c r="B27" s="85" t="inlineStr">
        <is>
          <t>Account Status</t>
        </is>
      </c>
      <c r="C27" s="85" t="inlineStr">
        <is>
          <t>Account Status</t>
        </is>
      </c>
      <c r="D27" s="85" t="inlineStr">
        <is>
          <t>Code mapping</t>
        </is>
      </c>
    </row>
    <row r="28">
      <c r="A28" s="95" t="inlineStr">
        <is>
          <t>AR169</t>
        </is>
      </c>
      <c r="B28" s="85" t="inlineStr">
        <is>
          <t>Arrears Balance</t>
        </is>
      </c>
      <c r="C28" s="85" t="inlineStr">
        <is>
          <t>Arrears Balance</t>
        </is>
      </c>
      <c r="D28" s="85" t="inlineStr">
        <is>
          <t>Currency</t>
        </is>
      </c>
    </row>
    <row r="29">
      <c r="A29" s="95" t="inlineStr">
        <is>
          <t>AR170</t>
        </is>
      </c>
      <c r="B29" s="85" t="inlineStr">
        <is>
          <t>Number Months in Arrears</t>
        </is>
      </c>
      <c r="C29" s="85" t="inlineStr">
        <is>
          <t>Months in Arrears</t>
        </is>
      </c>
      <c r="D29" s="85" t="inlineStr">
        <is>
          <t>Number</t>
        </is>
      </c>
    </row>
    <row r="30">
      <c r="A30" s="95" t="inlineStr">
        <is>
          <t>AR173</t>
        </is>
      </c>
      <c r="B30" s="85" t="inlineStr">
        <is>
          <t>Performance Arrangement</t>
        </is>
      </c>
      <c r="C30" s="85" t="inlineStr">
        <is>
          <t>Performance Arrangement</t>
        </is>
      </c>
      <c r="D30" s="85" t="inlineStr">
        <is>
          <t>Code: 1,2=Yes, other=No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LOAN TAPE - BANK OF ENGLAND PRA110 FORMAT (INPUT SHEET)</t>
        </is>
      </c>
    </row>
    <row r="2">
      <c r="A2" s="11" t="inlineStr">
        <is>
          <t>Enter loan data in yellow cells using Bank of England field codes and values</t>
        </is>
      </c>
    </row>
    <row r="3">
      <c r="A3" s="96" t="inlineStr">
        <is>
          <t>AR3</t>
        </is>
      </c>
      <c r="B3" s="96" t="inlineStr">
        <is>
          <t>AR5</t>
        </is>
      </c>
      <c r="C3" s="96" t="inlineStr">
        <is>
          <t>AR131</t>
        </is>
      </c>
      <c r="D3" s="96" t="inlineStr">
        <is>
          <t>AR66</t>
        </is>
      </c>
      <c r="E3" s="96" t="inlineStr">
        <is>
          <t>AR136</t>
        </is>
      </c>
      <c r="F3" s="96" t="inlineStr">
        <is>
          <t>AR143</t>
        </is>
      </c>
      <c r="G3" s="96" t="inlineStr">
        <is>
          <t>AR128</t>
        </is>
      </c>
      <c r="H3" s="96" t="inlineStr">
        <is>
          <t>AR129</t>
        </is>
      </c>
      <c r="I3" s="96" t="inlineStr">
        <is>
          <t>AR135</t>
        </is>
      </c>
      <c r="J3" s="96" t="inlineStr">
        <is>
          <t>AR141</t>
        </is>
      </c>
      <c r="K3" s="96" t="inlineStr">
        <is>
          <t>AR55</t>
        </is>
      </c>
      <c r="L3" s="96" t="inlineStr">
        <is>
          <t>AR56</t>
        </is>
      </c>
      <c r="M3" s="96" t="inlineStr">
        <is>
          <t>AR67</t>
        </is>
      </c>
      <c r="N3" s="96" t="inlineStr">
        <is>
          <t>AR130</t>
        </is>
      </c>
      <c r="O3" s="96" t="inlineStr">
        <is>
          <t>AR109</t>
        </is>
      </c>
      <c r="P3" s="96" t="inlineStr">
        <is>
          <t>AR69</t>
        </is>
      </c>
      <c r="Q3" s="96" t="inlineStr">
        <is>
          <t>AR84</t>
        </is>
      </c>
      <c r="R3" s="96" t="inlineStr">
        <is>
          <t>AR59</t>
        </is>
      </c>
      <c r="S3" s="96" t="inlineStr">
        <is>
          <t>AR60</t>
        </is>
      </c>
      <c r="T3" s="96" t="inlineStr">
        <is>
          <t>AR105</t>
        </is>
      </c>
      <c r="U3" s="96" t="inlineStr">
        <is>
          <t>AR22</t>
        </is>
      </c>
      <c r="V3" s="96" t="inlineStr">
        <is>
          <t>AR23</t>
        </is>
      </c>
      <c r="W3" s="96" t="inlineStr">
        <is>
          <t>AR21</t>
        </is>
      </c>
      <c r="X3" s="96" t="inlineStr">
        <is>
          <t>AR27</t>
        </is>
      </c>
      <c r="Y3" s="96" t="inlineStr">
        <is>
          <t>AR26</t>
        </is>
      </c>
      <c r="Z3" s="96" t="inlineStr">
        <is>
          <t>AR28</t>
        </is>
      </c>
      <c r="AA3" s="96" t="inlineStr">
        <is>
          <t>AR73</t>
        </is>
      </c>
      <c r="AB3" s="96" t="inlineStr">
        <is>
          <t>AR31</t>
        </is>
      </c>
      <c r="AC3" s="96" t="inlineStr">
        <is>
          <t>AR33</t>
        </is>
      </c>
      <c r="AD3" s="96" t="inlineStr">
        <is>
          <t>AR35</t>
        </is>
      </c>
      <c r="AE3" s="96" t="inlineStr">
        <is>
          <t>AR36</t>
        </is>
      </c>
      <c r="AF3" s="96" t="inlineStr">
        <is>
          <t>AR47</t>
        </is>
      </c>
      <c r="AG3" s="96" t="inlineStr">
        <is>
          <t>AR166</t>
        </is>
      </c>
      <c r="AH3" s="96" t="inlineStr">
        <is>
          <t>AR154</t>
        </is>
      </c>
      <c r="AI3" s="96" t="inlineStr">
        <is>
          <t>AR156</t>
        </is>
      </c>
      <c r="AJ3" s="96" t="inlineStr">
        <is>
          <t>AR169</t>
        </is>
      </c>
      <c r="AK3" s="96" t="inlineStr">
        <is>
          <t>AR170</t>
        </is>
      </c>
      <c r="AL3" s="96" t="inlineStr">
        <is>
          <t>AR167</t>
        </is>
      </c>
      <c r="AM3" s="96" t="inlineStr">
        <is>
          <t>AR168</t>
        </is>
      </c>
      <c r="AN3" s="96" t="inlineStr">
        <is>
          <t>AR107</t>
        </is>
      </c>
      <c r="AO3" s="96" t="inlineStr">
        <is>
          <t>AR173</t>
        </is>
      </c>
    </row>
    <row r="4">
      <c r="A4" s="97" t="inlineStr">
        <is>
          <t>Loan ID</t>
        </is>
      </c>
      <c r="B4" s="97" t="inlineStr">
        <is>
          <t>Originator</t>
        </is>
      </c>
      <c r="C4" s="97" t="inlineStr">
        <is>
          <t>Property Type</t>
        </is>
      </c>
      <c r="D4" s="97" t="inlineStr">
        <is>
          <t>Original Balance</t>
        </is>
      </c>
      <c r="E4" s="97" t="inlineStr">
        <is>
          <t>Orig Property Val</t>
        </is>
      </c>
      <c r="F4" s="97" t="inlineStr">
        <is>
          <t>Curr Property Val</t>
        </is>
      </c>
      <c r="G4" s="97" t="inlineStr">
        <is>
          <t>Region</t>
        </is>
      </c>
      <c r="H4" s="97" t="inlineStr">
        <is>
          <t>Postcode</t>
        </is>
      </c>
      <c r="I4" s="97" t="inlineStr">
        <is>
          <t>Orig LTV %</t>
        </is>
      </c>
      <c r="J4" s="97" t="inlineStr">
        <is>
          <t>Curr LTV %</t>
        </is>
      </c>
      <c r="K4" s="97" t="inlineStr">
        <is>
          <t>Orig Date</t>
        </is>
      </c>
      <c r="L4" s="97" t="inlineStr">
        <is>
          <t>Maturity Date</t>
        </is>
      </c>
      <c r="M4" s="97" t="inlineStr">
        <is>
          <t>Current Balance</t>
        </is>
      </c>
      <c r="N4" s="97" t="inlineStr">
        <is>
          <t>Occupancy</t>
        </is>
      </c>
      <c r="O4" s="97" t="inlineStr">
        <is>
          <t>Interest Rate</t>
        </is>
      </c>
      <c r="P4" s="97" t="inlineStr">
        <is>
          <t>Payment Method</t>
        </is>
      </c>
      <c r="Q4" s="97" t="inlineStr">
        <is>
          <t>Lien</t>
        </is>
      </c>
      <c r="R4" s="97" t="inlineStr">
        <is>
          <t>Purpose</t>
        </is>
      </c>
      <c r="S4" s="97" t="inlineStr">
        <is>
          <t>Shared Own</t>
        </is>
      </c>
      <c r="T4" s="97" t="inlineStr">
        <is>
          <t>Help to Buy</t>
        </is>
      </c>
      <c r="U4" s="97" t="inlineStr">
        <is>
          <t>FTB</t>
        </is>
      </c>
      <c r="V4" s="97" t="inlineStr">
        <is>
          <t>Right to Buy</t>
        </is>
      </c>
      <c r="W4" s="97" t="inlineStr">
        <is>
          <t>Employment</t>
        </is>
      </c>
      <c r="X4" s="97" t="inlineStr">
        <is>
          <t>Income Verif</t>
        </is>
      </c>
      <c r="Y4" s="97" t="inlineStr">
        <is>
          <t>Primary Income</t>
        </is>
      </c>
      <c r="Z4" s="97" t="inlineStr">
        <is>
          <t>Secondary Income</t>
        </is>
      </c>
      <c r="AA4" s="97" t="inlineStr">
        <is>
          <t>DTI</t>
        </is>
      </c>
      <c r="AB4" s="97" t="inlineStr">
        <is>
          <t>CCJ Sat</t>
        </is>
      </c>
      <c r="AC4" s="97" t="inlineStr">
        <is>
          <t>CCJ Unsat</t>
        </is>
      </c>
      <c r="AD4" s="97" t="inlineStr">
        <is>
          <t>CCJ Date</t>
        </is>
      </c>
      <c r="AE4" s="97" t="inlineStr">
        <is>
          <t>Bankruptcy</t>
        </is>
      </c>
      <c r="AF4" s="97" t="inlineStr">
        <is>
          <t>Prior Repos</t>
        </is>
      </c>
      <c r="AG4" s="97" t="inlineStr">
        <is>
          <t>Account Status</t>
        </is>
      </c>
      <c r="AH4" s="97" t="inlineStr">
        <is>
          <t>Rental Income</t>
        </is>
      </c>
      <c r="AI4" s="97" t="inlineStr">
        <is>
          <t>DSCR</t>
        </is>
      </c>
      <c r="AJ4" s="97" t="inlineStr">
        <is>
          <t>Arrears Bal</t>
        </is>
      </c>
      <c r="AK4" s="97" t="inlineStr">
        <is>
          <t>Mths Arrears</t>
        </is>
      </c>
      <c r="AL4" s="97" t="inlineStr">
        <is>
          <t>Date Last Curr</t>
        </is>
      </c>
      <c r="AM4" s="97" t="inlineStr">
        <is>
          <t>Date Last Arr</t>
        </is>
      </c>
      <c r="AN4" s="97" t="inlineStr">
        <is>
          <t>Rate Type</t>
        </is>
      </c>
      <c r="AO4" s="97" t="inlineStr">
        <is>
          <t>Perf Arrange</t>
        </is>
      </c>
      <c r="AP4" s="13" t="inlineStr">
        <is>
          <t>BV85</t>
        </is>
      </c>
      <c r="AQ4" s="13" t="inlineStr">
        <is>
          <t>BV90</t>
        </is>
      </c>
      <c r="AR4" s="13" t="inlineStr">
        <is>
          <t>BV91</t>
        </is>
      </c>
    </row>
    <row r="5">
      <c r="A5" s="14" t="inlineStr">
        <is>
          <t>Loan ID</t>
        </is>
      </c>
      <c r="B5" s="14" t="inlineStr">
        <is>
          <t>Current Balance (£)</t>
        </is>
      </c>
      <c r="C5" s="14" t="inlineStr">
        <is>
          <t>Original Balance (£)</t>
        </is>
      </c>
      <c r="D5" s="14" t="inlineStr">
        <is>
          <t>Current Property Value (£)</t>
        </is>
      </c>
      <c r="E5" s="14" t="inlineStr">
        <is>
          <t>Original Property Value (£)</t>
        </is>
      </c>
      <c r="F5" s="14" t="inlineStr">
        <is>
          <t>Origination Date</t>
        </is>
      </c>
      <c r="G5" s="14" t="inlineStr">
        <is>
          <t>Maturity Date</t>
        </is>
      </c>
      <c r="H5" s="14" t="inlineStr">
        <is>
          <t>Current Interest Rate (%)</t>
        </is>
      </c>
      <c r="I5" s="14" t="inlineStr">
        <is>
          <t>Property Type (1-4)</t>
        </is>
      </c>
      <c r="J5" s="14" t="inlineStr">
        <is>
          <t>Region</t>
        </is>
      </c>
      <c r="K5" s="14" t="inlineStr">
        <is>
          <t>Postcode</t>
        </is>
      </c>
      <c r="L5" s="14" t="inlineStr">
        <is>
          <t>Occupancy Status (1-4)</t>
        </is>
      </c>
      <c r="M5" s="14" t="inlineStr">
        <is>
          <t>Loan Purpose (1-4)</t>
        </is>
      </c>
      <c r="N5" s="14" t="inlineStr">
        <is>
          <t>Payment Method (1-3)</t>
        </is>
      </c>
      <c r="O5" s="14" t="inlineStr">
        <is>
          <t>Right to Buy (1-2)</t>
        </is>
      </c>
      <c r="P5" s="14" t="inlineStr">
        <is>
          <t>Shared Ownership (1-2)</t>
        </is>
      </c>
      <c r="Q5" s="14" t="inlineStr">
        <is>
          <t>Help to Buy (1-2)</t>
        </is>
      </c>
      <c r="R5" s="14" t="inlineStr">
        <is>
          <t>Borrower 1 Income (£)</t>
        </is>
      </c>
      <c r="S5" s="14" t="inlineStr">
        <is>
          <t>Borrower 2 Income (£)</t>
        </is>
      </c>
      <c r="T5" s="14" t="inlineStr">
        <is>
          <t>Number of Borrowers (1-2)</t>
        </is>
      </c>
      <c r="U5" s="14" t="inlineStr">
        <is>
          <t>Employ Status Borr1 (1-4)</t>
        </is>
      </c>
      <c r="V5" s="14" t="inlineStr">
        <is>
          <t>Employ Status Borr2 (1-4)</t>
        </is>
      </c>
      <c r="W5" s="14" t="inlineStr">
        <is>
          <t>Credit Score Borr1</t>
        </is>
      </c>
      <c r="X5" s="14" t="inlineStr">
        <is>
          <t>Credit Score Borr2</t>
        </is>
      </c>
      <c r="Y5" s="14" t="inlineStr">
        <is>
          <t>CCJ Count Borr1</t>
        </is>
      </c>
      <c r="Z5" s="14" t="inlineStr">
        <is>
          <t>CCJ Count Borr2</t>
        </is>
      </c>
      <c r="AA5" s="14" t="inlineStr">
        <is>
          <t>CCJ Value Borr1 (£)</t>
        </is>
      </c>
      <c r="AB5" s="14" t="inlineStr">
        <is>
          <t>CCJ Value Borr2 (£)</t>
        </is>
      </c>
      <c r="AC5" s="14" t="inlineStr">
        <is>
          <t>CCJ Date Borr1</t>
        </is>
      </c>
      <c r="AD5" s="14" t="inlineStr">
        <is>
          <t>CCJ Date Borr2</t>
        </is>
      </c>
      <c r="AE5" s="14" t="inlineStr">
        <is>
          <t>Arrears Balance (£)</t>
        </is>
      </c>
      <c r="AF5" s="14" t="inlineStr">
        <is>
          <t>Bankruptcy Flag (1-2)</t>
        </is>
      </c>
      <c r="AG5" s="14" t="inlineStr">
        <is>
          <t>Bankruptcy Date</t>
        </is>
      </c>
      <c r="AH5" s="14" t="inlineStr">
        <is>
          <t>IVA Flag (1-2)</t>
        </is>
      </c>
      <c r="AI5" s="14" t="inlineStr">
        <is>
          <t>Prior Repossession (1-2)</t>
        </is>
      </c>
      <c r="AJ5" s="14" t="inlineStr">
        <is>
          <t>Self-Certified (1-2)</t>
        </is>
      </c>
      <c r="AK5" s="14" t="inlineStr">
        <is>
          <t>First Time Buyer (1-2)</t>
        </is>
      </c>
      <c r="AL5" s="14" t="inlineStr">
        <is>
          <t>Payment Shock (1-2)</t>
        </is>
      </c>
      <c r="AM5" s="14" t="inlineStr">
        <is>
          <t>Reperforming (1-2)</t>
        </is>
      </c>
      <c r="AN5" s="14" t="inlineStr">
        <is>
          <t>Date Last 90+ dpd</t>
        </is>
      </c>
      <c r="AO5" s="14" t="inlineStr">
        <is>
          <t>Lien Position (1/2/3+)</t>
        </is>
      </c>
      <c r="AP5" s="14" t="inlineStr">
        <is>
          <t>Valuation Method (1-3)</t>
        </is>
      </c>
      <c r="AQ5" s="14" t="inlineStr">
        <is>
          <t>Commercial Property (1-2)</t>
        </is>
      </c>
      <c r="AR5" s="14" t="inlineStr">
        <is>
          <t>Rental Income Annual (£)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</row>
  </sheetData>
  <mergeCells count="2">
    <mergeCell ref="A2:AS2"/>
    <mergeCell ref="A1:AS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10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</cols>
  <sheetData>
    <row r="1">
      <c r="A1" s="1" t="inlineStr">
        <is>
          <t>LOAN TAPE - S&amp;P FORMAT (AUTO-CONVERTED FROM BoE)</t>
        </is>
      </c>
    </row>
    <row r="2">
      <c r="A2" s="16" t="inlineStr">
        <is>
          <t>Auto-populated from Loan Tape (BoE) using conversion formulas - DO NOT EDIT</t>
        </is>
      </c>
    </row>
    <row r="3">
      <c r="A3" s="107" t="inlineStr">
        <is>
          <t>AR3</t>
        </is>
      </c>
      <c r="B3" s="107" t="inlineStr">
        <is>
          <t>AR5</t>
        </is>
      </c>
      <c r="C3" s="107" t="inlineStr">
        <is>
          <t>AR131</t>
        </is>
      </c>
      <c r="D3" s="107" t="inlineStr">
        <is>
          <t>AR66</t>
        </is>
      </c>
      <c r="E3" s="107" t="inlineStr">
        <is>
          <t>AR136</t>
        </is>
      </c>
      <c r="F3" s="107" t="inlineStr">
        <is>
          <t>AR143</t>
        </is>
      </c>
      <c r="G3" s="107" t="inlineStr">
        <is>
          <t>AR128</t>
        </is>
      </c>
      <c r="H3" s="107" t="inlineStr">
        <is>
          <t>AR129</t>
        </is>
      </c>
      <c r="I3" s="107" t="inlineStr">
        <is>
          <t>AR135</t>
        </is>
      </c>
      <c r="J3" s="107" t="inlineStr">
        <is>
          <t>AR141</t>
        </is>
      </c>
      <c r="K3" s="107" t="inlineStr">
        <is>
          <t>AR55</t>
        </is>
      </c>
      <c r="L3" s="107" t="inlineStr">
        <is>
          <t>AR56</t>
        </is>
      </c>
      <c r="M3" s="107" t="inlineStr">
        <is>
          <t>AR67</t>
        </is>
      </c>
      <c r="N3" s="107" t="inlineStr">
        <is>
          <t>AR130</t>
        </is>
      </c>
      <c r="O3" s="107" t="inlineStr">
        <is>
          <t>AR109</t>
        </is>
      </c>
      <c r="P3" s="107" t="inlineStr">
        <is>
          <t>AR69</t>
        </is>
      </c>
      <c r="Q3" s="107" t="inlineStr">
        <is>
          <t>AR84</t>
        </is>
      </c>
      <c r="R3" s="107" t="inlineStr">
        <is>
          <t>AR59</t>
        </is>
      </c>
      <c r="S3" s="107" t="inlineStr">
        <is>
          <t>AR60</t>
        </is>
      </c>
      <c r="T3" s="107" t="inlineStr">
        <is>
          <t>AR105</t>
        </is>
      </c>
      <c r="U3" s="107" t="inlineStr">
        <is>
          <t>AR22</t>
        </is>
      </c>
      <c r="V3" s="107" t="inlineStr">
        <is>
          <t>AR23</t>
        </is>
      </c>
      <c r="W3" s="107" t="inlineStr">
        <is>
          <t>AR21</t>
        </is>
      </c>
      <c r="X3" s="107" t="inlineStr">
        <is>
          <t>AR27</t>
        </is>
      </c>
      <c r="Y3" s="107" t="inlineStr">
        <is>
          <t>AR26</t>
        </is>
      </c>
      <c r="Z3" s="107" t="inlineStr">
        <is>
          <t>AR28</t>
        </is>
      </c>
      <c r="AA3" s="107" t="inlineStr">
        <is>
          <t>AR19</t>
        </is>
      </c>
      <c r="AC3" s="107" t="inlineStr">
        <is>
          <t>AR73</t>
        </is>
      </c>
      <c r="AD3" s="107" t="inlineStr">
        <is>
          <t>AR31</t>
        </is>
      </c>
      <c r="AE3" s="107" t="inlineStr">
        <is>
          <t>AR33</t>
        </is>
      </c>
      <c r="AF3" s="107" t="inlineStr">
        <is>
          <t>AR35</t>
        </is>
      </c>
      <c r="AH3" s="107" t="inlineStr">
        <is>
          <t>AR36</t>
        </is>
      </c>
      <c r="AI3" s="107" t="inlineStr">
        <is>
          <t>AR47</t>
        </is>
      </c>
      <c r="AJ3" s="107" t="inlineStr">
        <is>
          <t>AR166</t>
        </is>
      </c>
      <c r="AK3" s="107" t="inlineStr">
        <is>
          <t>AR154</t>
        </is>
      </c>
      <c r="AL3" s="107" t="inlineStr">
        <is>
          <t>AR156</t>
        </is>
      </c>
      <c r="AM3" s="107" t="inlineStr">
        <is>
          <t>AR169</t>
        </is>
      </c>
      <c r="AN3" s="107" t="inlineStr">
        <is>
          <t>AR170</t>
        </is>
      </c>
      <c r="AO3" s="107" t="inlineStr">
        <is>
          <t>AR167</t>
        </is>
      </c>
      <c r="AP3" s="107" t="inlineStr">
        <is>
          <t>AR168</t>
        </is>
      </c>
      <c r="AQ3" s="107" t="inlineStr">
        <is>
          <t>AR107</t>
        </is>
      </c>
      <c r="AR3" s="107" t="inlineStr">
        <is>
          <t>AR173</t>
        </is>
      </c>
    </row>
    <row r="4">
      <c r="A4" s="108" t="inlineStr">
        <is>
          <t>Loan Identifier</t>
        </is>
      </c>
      <c r="B4" s="108" t="inlineStr">
        <is>
          <t>Originator</t>
        </is>
      </c>
      <c r="C4" s="108" t="inlineStr">
        <is>
          <t>Property Type</t>
        </is>
      </c>
      <c r="D4" s="108" t="inlineStr">
        <is>
          <t>Original Balance</t>
        </is>
      </c>
      <c r="E4" s="108" t="inlineStr">
        <is>
          <t>Original Property Value</t>
        </is>
      </c>
      <c r="F4" s="108" t="inlineStr">
        <is>
          <t>Current Property Value</t>
        </is>
      </c>
      <c r="G4" s="108" t="inlineStr">
        <is>
          <t>Geographic Region</t>
        </is>
      </c>
      <c r="H4" s="108" t="inlineStr">
        <is>
          <t>Property Postcode</t>
        </is>
      </c>
      <c r="I4" s="108" t="inlineStr">
        <is>
          <t>Original LTV %</t>
        </is>
      </c>
      <c r="J4" s="108" t="inlineStr">
        <is>
          <t>Current LTV %</t>
        </is>
      </c>
      <c r="K4" s="108" t="inlineStr">
        <is>
          <t>Origination Date</t>
        </is>
      </c>
      <c r="L4" s="108" t="inlineStr">
        <is>
          <t>Maturity Date</t>
        </is>
      </c>
      <c r="M4" s="108" t="inlineStr">
        <is>
          <t>Current Balance</t>
        </is>
      </c>
      <c r="N4" s="108" t="inlineStr">
        <is>
          <t>Occupancy Type</t>
        </is>
      </c>
      <c r="O4" s="108" t="inlineStr">
        <is>
          <t>Interest Rate %</t>
        </is>
      </c>
      <c r="P4" s="108" t="inlineStr">
        <is>
          <t>Payment Method</t>
        </is>
      </c>
      <c r="Q4" s="108" t="inlineStr">
        <is>
          <t>Lien Position</t>
        </is>
      </c>
      <c r="R4" s="108" t="inlineStr">
        <is>
          <t>Loan Purpose</t>
        </is>
      </c>
      <c r="S4" s="108" t="inlineStr">
        <is>
          <t>Shared Ownership</t>
        </is>
      </c>
      <c r="T4" s="108" t="inlineStr">
        <is>
          <t>Help to Buy</t>
        </is>
      </c>
      <c r="U4" s="108" t="inlineStr">
        <is>
          <t>First Time Buyer</t>
        </is>
      </c>
      <c r="V4" s="108" t="inlineStr">
        <is>
          <t>Right to Buy</t>
        </is>
      </c>
      <c r="W4" s="108" t="inlineStr">
        <is>
          <t>Employment Status</t>
        </is>
      </c>
      <c r="X4" s="108" t="inlineStr">
        <is>
          <t>Income Verification</t>
        </is>
      </c>
      <c r="Y4" s="108" t="inlineStr">
        <is>
          <t>Primary Income</t>
        </is>
      </c>
      <c r="Z4" s="108" t="inlineStr">
        <is>
          <t>Secondary Income</t>
        </is>
      </c>
      <c r="AA4" s="108" t="inlineStr">
        <is>
          <t>Number of Debtors</t>
        </is>
      </c>
      <c r="AB4" s="13" t="n"/>
      <c r="AC4" s="108" t="inlineStr">
        <is>
          <t>Debt to Income</t>
        </is>
      </c>
      <c r="AD4" s="108" t="inlineStr">
        <is>
          <t>CCJ Satisfied</t>
        </is>
      </c>
      <c r="AE4" s="108" t="inlineStr">
        <is>
          <t>CCJ Unsatisfied</t>
        </is>
      </c>
      <c r="AF4" s="108" t="inlineStr">
        <is>
          <t>Last CCJ Date</t>
        </is>
      </c>
      <c r="AG4" s="13" t="n"/>
      <c r="AH4" s="108" t="inlineStr">
        <is>
          <t>Bankruptcy/IVA</t>
        </is>
      </c>
      <c r="AI4" s="108" t="inlineStr">
        <is>
          <t>Prior Repossession</t>
        </is>
      </c>
      <c r="AJ4" s="108" t="inlineStr">
        <is>
          <t>Account Status</t>
        </is>
      </c>
      <c r="AK4" s="108" t="inlineStr">
        <is>
          <t>Rental Income</t>
        </is>
      </c>
      <c r="AL4" s="108" t="inlineStr">
        <is>
          <t>DSCR</t>
        </is>
      </c>
      <c r="AM4" s="108" t="inlineStr">
        <is>
          <t>Arrears Balance</t>
        </is>
      </c>
      <c r="AN4" s="108" t="inlineStr">
        <is>
          <t>Months in Arrears</t>
        </is>
      </c>
      <c r="AO4" s="108" t="inlineStr">
        <is>
          <t>Date Last Current</t>
        </is>
      </c>
      <c r="AP4" s="108" t="inlineStr">
        <is>
          <t>Date Last in Arrears</t>
        </is>
      </c>
      <c r="AQ4" s="108" t="inlineStr">
        <is>
          <t>Interest Rate Type</t>
        </is>
      </c>
      <c r="AR4" s="108" t="inlineStr">
        <is>
          <t>Performance Arrangement</t>
        </is>
      </c>
      <c r="AS4" s="13" t="n"/>
      <c r="AT4" s="13" t="n"/>
      <c r="AU4" s="13" t="n"/>
      <c r="AV4" s="13" t="n"/>
      <c r="AW4" s="13" t="n"/>
    </row>
    <row r="5">
      <c r="A5" s="17">
        <f>'Loan Tape (BoE)'!A6</f>
        <v/>
      </c>
      <c r="B5" s="18">
        <f>IFERROR(INDEX('FF Adj Parameters'!$A$89:$B$92,MATCH('Loan Tape (BoE)'!C5,INDEX('FF Adj Parameters'!$A$89:$B$92,,1),0),2),"Unknown")</f>
        <v/>
      </c>
      <c r="C5" s="18">
        <f>'Loan Tape (BoE)'!C6</f>
        <v/>
      </c>
      <c r="D5" s="18">
        <f>'Loan Tape (BoE)'!D6</f>
        <v/>
      </c>
      <c r="E5" s="18">
        <f>'Loan Tape (BoE)'!E6</f>
        <v/>
      </c>
      <c r="F5" s="19">
        <f>'Loan Tape (BoE)'!F6</f>
        <v/>
      </c>
      <c r="G5" s="19">
        <f>'Loan Tape (BoE)'!G6</f>
        <v/>
      </c>
      <c r="H5" s="20">
        <f>'Loan Tape (BoE)'!H6/100</f>
        <v/>
      </c>
      <c r="I5" s="17">
        <f>IFERROR(IFS('Loan Tape (BoE)'!I6=1,"House",'Loan Tape (BoE)'!I6=2,"Flat",'Loan Tape (BoE)'!I6=3,"Bungalow",'Loan Tape (BoE)'!I6=4,"Maisonette"),"")</f>
        <v/>
      </c>
      <c r="J5" s="17">
        <f>'Loan Tape (BoE)'!J6</f>
        <v/>
      </c>
      <c r="K5" s="17">
        <f>'Loan Tape (BoE)'!K6</f>
        <v/>
      </c>
      <c r="L5" s="17">
        <f>IFERROR(IFS('Loan Tape (BoE)'!L6=1,"Owner Occupied",'Loan Tape (BoE)'!L6=2,"BTL",'Loan Tape (BoE)'!L6=3,"Second Home",'Loan Tape (BoE)'!L6=4,"Investment"),"")</f>
        <v/>
      </c>
      <c r="M5" s="17">
        <f>IFERROR(IFS('Loan Tape (BoE)'!M6=1,"Purchase",'Loan Tape (BoE)'!M6=2,"Remortgage",OR('Loan Tape (BoE)'!M6=3,'Loan Tape (BoE)'!M6=4),"Cash-out"),"")</f>
        <v/>
      </c>
      <c r="N5" s="17">
        <f>IFERROR(INDEX('FF Adj Parameters'!$A$96:$B$99,MATCH('Loan Tape (BoE)'!R5,INDEX('FF Adj Parameters'!$A$96:$B$99,,1),0),2),"Unknown")</f>
        <v/>
      </c>
      <c r="O5" s="17">
        <f>IF('Loan Tape (BoE)'!O6=1,"Yes","No")</f>
        <v/>
      </c>
      <c r="P5" s="17">
        <f>IF('Loan Tape (BoE)'!P5=1,"Yes",IF('Loan Tape (BoE)'!P5=0,"No",""))</f>
        <v/>
      </c>
      <c r="Q5" s="17">
        <f>IF('Loan Tape (BoE)'!Q5=1,"Yes",IF('Loan Tape (BoE)'!Q5=0,"No",""))</f>
        <v/>
      </c>
      <c r="R5" s="18">
        <f>IF('Loan Tape (BoE)'!R5=1,"Yes",IF('Loan Tape (BoE)'!R5=0,"No",""))</f>
        <v/>
      </c>
      <c r="S5" s="18">
        <f>IF('Loan Tape (BoE)'!S5=1,"Yes",IF('Loan Tape (BoE)'!S5=0,"No",""))</f>
        <v/>
      </c>
      <c r="T5" s="17">
        <f>IF('Loan Tape (BoE)'!T5=1,"Yes",IF('Loan Tape (BoE)'!T5=0,"No",""))</f>
        <v/>
      </c>
      <c r="U5" s="18">
        <f>R5+S5</f>
        <v/>
      </c>
      <c r="V5" s="17">
        <f>IFERROR(IFS('Loan Tape (BoE)'!U6=1,"Employed",'Loan Tape (BoE)'!U6=2,"Self-Employed",'Loan Tape (BoE)'!U6=3,"Unemployed",'Loan Tape (BoE)'!U6=4,"Retired"),"")</f>
        <v/>
      </c>
      <c r="W5" s="17">
        <f>IFERROR(IFS('Loan Tape (BoE)'!V6=1,"Employed",'Loan Tape (BoE)'!V6=2,"Self-Employed",'Loan Tape (BoE)'!V6=3,"Unemployed",'Loan Tape (BoE)'!V6=4,"Retired"),"")</f>
        <v/>
      </c>
      <c r="X5" s="17">
        <f>IF(OR(V5="Self-Employed",W5="Self-Employed"),"Yes","No")</f>
        <v/>
      </c>
      <c r="Y5" s="17">
        <f>'Loan Tape (BoE)'!W6</f>
        <v/>
      </c>
      <c r="Z5" s="17">
        <f>'Loan Tape (BoE)'!X6</f>
        <v/>
      </c>
      <c r="AA5" s="17">
        <f>IF(T5=1,Y5,MIN(Y5,Z5))</f>
        <v/>
      </c>
      <c r="AB5" s="17">
        <f>'Loan Tape (BoE)'!Y6</f>
        <v/>
      </c>
      <c r="AC5" s="17">
        <f>'Loan Tape (BoE)'!Z6</f>
        <v/>
      </c>
      <c r="AD5" s="17">
        <f>AB5+AC5</f>
        <v/>
      </c>
      <c r="AE5" s="18">
        <f>'Loan Tape (BoE)'!AA6</f>
        <v/>
      </c>
      <c r="AF5" s="18">
        <f>'Loan Tape (BoE)'!AB6</f>
        <v/>
      </c>
      <c r="AG5" s="18">
        <f>AE5+AF5</f>
        <v/>
      </c>
      <c r="AH5" s="19">
        <f>MAX('Loan Tape (BoE)'!AC6,'Loan Tape (BoE)'!AD6)</f>
        <v/>
      </c>
      <c r="AI5" s="18">
        <f>'Loan Tape (BoE)'!AE6</f>
        <v/>
      </c>
      <c r="AJ5" s="18">
        <f>B5*H5/12</f>
        <v/>
      </c>
      <c r="AK5" s="21">
        <f>IF(AJ5&gt;0,AI5/AJ5,0)</f>
        <v/>
      </c>
      <c r="AL5" s="17">
        <f>IF('Loan Tape (BoE)'!AF6=1,"Yes","No")</f>
        <v/>
      </c>
      <c r="AM5" s="17">
        <f>IF('Loan Tape (BoE)'!AH6=1,"Yes","No")</f>
        <v/>
      </c>
      <c r="AN5" s="17">
        <f>IF('Loan Tape (BoE)'!AI6=1,"Yes","No")</f>
        <v/>
      </c>
      <c r="AO5" s="17">
        <f>IF('Loan Tape (BoE)'!AJ6=1,"Yes","No")</f>
        <v/>
      </c>
      <c r="AP5" s="17">
        <f>IF(OR('Loan Tape (BoE)'!AQ5=1,'Loan Tape (BoE)'!AQ5=2),"Yes",IF('Loan Tape (BoE)'!AQ5=0,"No",""))</f>
        <v/>
      </c>
      <c r="AQ5" s="17">
        <f>IF('Loan Tape (BoE)'!BV49_5&lt;&gt;"",'Loan Tape (BoE)'!BV49_5,"")</f>
        <v/>
      </c>
      <c r="AR5" s="17">
        <f>IF('Loan Tape (BoE)'!BV50_5&lt;&gt;"",'Loan Tape (BoE)'!BV50_5,"")</f>
        <v/>
      </c>
      <c r="AS5" s="17">
        <f>IFERROR(INDEX('FF Adj Parameters'!$A$103:$B$105,MATCH('Loan Tape (BoE)'!P5,INDEX('FF Adj Parameters'!$A$103:$B$105,,1),0),2),"Unknown")</f>
        <v/>
      </c>
      <c r="AT5" s="17">
        <f>IF(N5="Interest Only",M5*O5/12,IF(AND(O5&gt;0,ISNUMBER(O5),ISNUMBER(M5)),ABS(PMT(O5/12,AU5,-M5)),0))</f>
        <v/>
      </c>
      <c r="AU5" s="17">
        <f>IF(ISNUMBER(L5),MAX(0,(L5-'Control Panel'!$B$10)*12/365.25),0)</f>
        <v/>
      </c>
      <c r="AV5" s="17">
        <f>IF(ISNUMBER(L5),IF(L5&gt;'Control Panel'!$B$10,"Valid","Past Maturity"),"No Date")</f>
        <v/>
      </c>
      <c r="AW5" s="17">
        <f>IF(ISNUMBER(K5),MAX(0,('Control Panel'!$B$10-K5)*12/365.25),0)</f>
        <v/>
      </c>
    </row>
    <row r="6">
      <c r="A6" s="17">
        <f>'Loan Tape (BoE)'!A7</f>
        <v/>
      </c>
      <c r="B6" s="18">
        <f>IFERROR(INDEX('FF Adj Parameters'!$A$89:$B$92,MATCH('Loan Tape (BoE)'!C6,INDEX('FF Adj Parameters'!$A$89:$B$92,,1),0),2),"Unknown")</f>
        <v/>
      </c>
      <c r="C6" s="18">
        <f>'Loan Tape (BoE)'!C7</f>
        <v/>
      </c>
      <c r="D6" s="18">
        <f>'Loan Tape (BoE)'!D7</f>
        <v/>
      </c>
      <c r="E6" s="18">
        <f>'Loan Tape (BoE)'!E7</f>
        <v/>
      </c>
      <c r="F6" s="19">
        <f>'Loan Tape (BoE)'!F7</f>
        <v/>
      </c>
      <c r="G6" s="19">
        <f>'Loan Tape (BoE)'!G7</f>
        <v/>
      </c>
      <c r="H6" s="20">
        <f>'Loan Tape (BoE)'!H7/100</f>
        <v/>
      </c>
      <c r="I6" s="17">
        <f>IFERROR(IFS('Loan Tape (BoE)'!I7=1,"House",'Loan Tape (BoE)'!I7=2,"Flat",'Loan Tape (BoE)'!I7=3,"Bungalow",'Loan Tape (BoE)'!I7=4,"Maisonette"),"")</f>
        <v/>
      </c>
      <c r="J6" s="17">
        <f>'Loan Tape (BoE)'!J7</f>
        <v/>
      </c>
      <c r="K6" s="17">
        <f>'Loan Tape (BoE)'!K7</f>
        <v/>
      </c>
      <c r="L6" s="17">
        <f>IFERROR(IFS('Loan Tape (BoE)'!L7=1,"Owner Occupied",'Loan Tape (BoE)'!L7=2,"BTL",'Loan Tape (BoE)'!L7=3,"Second Home",'Loan Tape (BoE)'!L7=4,"Investment"),"")</f>
        <v/>
      </c>
      <c r="M6" s="17">
        <f>IFERROR(IFS('Loan Tape (BoE)'!M7=1,"Purchase",'Loan Tape (BoE)'!M7=2,"Remortgage",OR('Loan Tape (BoE)'!M7=3,'Loan Tape (BoE)'!M7=4),"Cash-out"),"")</f>
        <v/>
      </c>
      <c r="N6" s="17">
        <f>IFERROR(INDEX('FF Adj Parameters'!$A$96:$B$99,MATCH('Loan Tape (BoE)'!R6,INDEX('FF Adj Parameters'!$A$96:$B$99,,1),0),2),"Unknown")</f>
        <v/>
      </c>
      <c r="O6" s="17">
        <f>IF('Loan Tape (BoE)'!O7=1,"Yes","No")</f>
        <v/>
      </c>
      <c r="P6" s="17">
        <f>IF('Loan Tape (BoE)'!P6=1,"Yes",IF('Loan Tape (BoE)'!P6=0,"No",""))</f>
        <v/>
      </c>
      <c r="Q6" s="17">
        <f>IF('Loan Tape (BoE)'!Q6=1,"Yes",IF('Loan Tape (BoE)'!Q6=0,"No",""))</f>
        <v/>
      </c>
      <c r="R6" s="18">
        <f>IF('Loan Tape (BoE)'!R6=1,"Yes",IF('Loan Tape (BoE)'!R6=0,"No",""))</f>
        <v/>
      </c>
      <c r="S6" s="18">
        <f>IF('Loan Tape (BoE)'!S6=1,"Yes",IF('Loan Tape (BoE)'!S6=0,"No",""))</f>
        <v/>
      </c>
      <c r="T6" s="17">
        <f>IF('Loan Tape (BoE)'!T6=1,"Yes",IF('Loan Tape (BoE)'!T6=0,"No",""))</f>
        <v/>
      </c>
      <c r="U6" s="18">
        <f>R6+S6</f>
        <v/>
      </c>
      <c r="V6" s="17">
        <f>IFERROR(IFS('Loan Tape (BoE)'!U7=1,"Employed",'Loan Tape (BoE)'!U7=2,"Self-Employed",'Loan Tape (BoE)'!U7=3,"Unemployed",'Loan Tape (BoE)'!U7=4,"Retired"),"")</f>
        <v/>
      </c>
      <c r="W6" s="17">
        <f>IFERROR(IFS('Loan Tape (BoE)'!V7=1,"Employed",'Loan Tape (BoE)'!V7=2,"Self-Employed",'Loan Tape (BoE)'!V7=3,"Unemployed",'Loan Tape (BoE)'!V7=4,"Retired"),"")</f>
        <v/>
      </c>
      <c r="X6" s="17">
        <f>IF(OR(V6="Self-Employed",W6="Self-Employed"),"Yes","No")</f>
        <v/>
      </c>
      <c r="Y6" s="17">
        <f>'Loan Tape (BoE)'!W7</f>
        <v/>
      </c>
      <c r="Z6" s="17">
        <f>'Loan Tape (BoE)'!X7</f>
        <v/>
      </c>
      <c r="AA6" s="17">
        <f>IF(T6=1,Y6,MIN(Y6,Z6))</f>
        <v/>
      </c>
      <c r="AB6" s="17">
        <f>'Loan Tape (BoE)'!Y7</f>
        <v/>
      </c>
      <c r="AC6" s="17">
        <f>'Loan Tape (BoE)'!Z7</f>
        <v/>
      </c>
      <c r="AD6" s="17">
        <f>AB6+AC6</f>
        <v/>
      </c>
      <c r="AE6" s="18">
        <f>'Loan Tape (BoE)'!AA7</f>
        <v/>
      </c>
      <c r="AF6" s="18">
        <f>'Loan Tape (BoE)'!AB7</f>
        <v/>
      </c>
      <c r="AG6" s="18">
        <f>AE6+AF6</f>
        <v/>
      </c>
      <c r="AH6" s="19">
        <f>MAX('Loan Tape (BoE)'!AC7,'Loan Tape (BoE)'!AD7)</f>
        <v/>
      </c>
      <c r="AI6" s="18">
        <f>'Loan Tape (BoE)'!AE7</f>
        <v/>
      </c>
      <c r="AJ6" s="18">
        <f>B6*H6/12</f>
        <v/>
      </c>
      <c r="AK6" s="21">
        <f>IF(AJ6&gt;0,AI6/AJ6,0)</f>
        <v/>
      </c>
      <c r="AL6" s="17">
        <f>IF('Loan Tape (BoE)'!AF7=1,"Yes","No")</f>
        <v/>
      </c>
      <c r="AM6" s="17">
        <f>IF('Loan Tape (BoE)'!AH7=1,"Yes","No")</f>
        <v/>
      </c>
      <c r="AN6" s="17">
        <f>IF('Loan Tape (BoE)'!AI7=1,"Yes","No")</f>
        <v/>
      </c>
      <c r="AO6" s="17">
        <f>IF('Loan Tape (BoE)'!AJ7=1,"Yes","No")</f>
        <v/>
      </c>
      <c r="AP6" s="17">
        <f>IF(OR('Loan Tape (BoE)'!AQ6=1,'Loan Tape (BoE)'!AQ6=2),"Yes",IF('Loan Tape (BoE)'!AQ6=0,"No",""))</f>
        <v/>
      </c>
      <c r="AQ6" s="17">
        <f>IF('Loan Tape (BoE)'!BV49_6&lt;&gt;"",'Loan Tape (BoE)'!BV49_6,"")</f>
        <v/>
      </c>
      <c r="AR6" s="17">
        <f>IF('Loan Tape (BoE)'!BV60_6&lt;&gt;"",'Loan Tape (BoE)'!BV50_6,"")</f>
        <v/>
      </c>
      <c r="AS6" s="17">
        <f>IFERROR(INDEX('FF Adj Parameters'!$A$103:$B$106,MATCH('Loan Tape (BoE)'!P6,INDEX('FF Adj Parameters'!$A$103:$B$106,,1),0),2),"Unknown")</f>
        <v/>
      </c>
      <c r="AT6" s="17">
        <f>IF(N6="Interest Only",M5*O5/12,IF(AND(O5&gt;0,ISNUMBER(O5),ISNUMBER(M5)),ABS(PMT(O5/12,AU5,-M5)),0))</f>
        <v/>
      </c>
      <c r="AU6" s="17">
        <f>IF(ISNUMBER(L6),MAX(0,(L5-'Control Panel'!$B$10)*12/365.25),0)</f>
        <v/>
      </c>
      <c r="AV6" s="17">
        <f>IF(ISNUMBER(L6),IF(L5&gt;'Control Panel'!$B$10,"Valid","Past Maturity"),"No Date")</f>
        <v/>
      </c>
      <c r="AW6" s="17">
        <f>IF(ISNUMBER(K6),MAX(0,('Control Panel'!$B$10-K5)*12/365.25),0)</f>
        <v/>
      </c>
    </row>
    <row r="7">
      <c r="A7" s="17">
        <f>'Loan Tape (BoE)'!A8</f>
        <v/>
      </c>
      <c r="B7" s="18">
        <f>IFERROR(INDEX('FF Adj Parameters'!$A$89:$B$92,MATCH('Loan Tape (BoE)'!C7,INDEX('FF Adj Parameters'!$A$89:$B$92,,1),0),2),"Unknown")</f>
        <v/>
      </c>
      <c r="C7" s="18">
        <f>'Loan Tape (BoE)'!C8</f>
        <v/>
      </c>
      <c r="D7" s="18">
        <f>'Loan Tape (BoE)'!D8</f>
        <v/>
      </c>
      <c r="E7" s="18">
        <f>'Loan Tape (BoE)'!E8</f>
        <v/>
      </c>
      <c r="F7" s="19">
        <f>'Loan Tape (BoE)'!F8</f>
        <v/>
      </c>
      <c r="G7" s="19">
        <f>'Loan Tape (BoE)'!G8</f>
        <v/>
      </c>
      <c r="H7" s="20">
        <f>'Loan Tape (BoE)'!H8/100</f>
        <v/>
      </c>
      <c r="I7" s="17">
        <f>IFERROR(IFS('Loan Tape (BoE)'!I8=1,"House",'Loan Tape (BoE)'!I8=2,"Flat",'Loan Tape (BoE)'!I8=3,"Bungalow",'Loan Tape (BoE)'!I8=4,"Maisonette"),"")</f>
        <v/>
      </c>
      <c r="J7" s="17">
        <f>'Loan Tape (BoE)'!J8</f>
        <v/>
      </c>
      <c r="K7" s="17">
        <f>'Loan Tape (BoE)'!K8</f>
        <v/>
      </c>
      <c r="L7" s="17">
        <f>IFERROR(IFS('Loan Tape (BoE)'!L8=1,"Owner Occupied",'Loan Tape (BoE)'!L8=2,"BTL",'Loan Tape (BoE)'!L8=3,"Second Home",'Loan Tape (BoE)'!L8=4,"Investment"),"")</f>
        <v/>
      </c>
      <c r="M7" s="17">
        <f>IFERROR(IFS('Loan Tape (BoE)'!M8=1,"Purchase",'Loan Tape (BoE)'!M8=2,"Remortgage",OR('Loan Tape (BoE)'!M8=3,'Loan Tape (BoE)'!M8=4),"Cash-out"),"")</f>
        <v/>
      </c>
      <c r="N7" s="17">
        <f>IFERROR(INDEX('FF Adj Parameters'!$A$96:$B$99,MATCH('Loan Tape (BoE)'!R7,INDEX('FF Adj Parameters'!$A$96:$B$99,,1),0),2),"Unknown")</f>
        <v/>
      </c>
      <c r="O7" s="17">
        <f>IF('Loan Tape (BoE)'!O8=1,"Yes","No")</f>
        <v/>
      </c>
      <c r="P7" s="17">
        <f>IF('Loan Tape (BoE)'!P7=1,"Yes",IF('Loan Tape (BoE)'!P7=0,"No",""))</f>
        <v/>
      </c>
      <c r="Q7" s="17">
        <f>IF('Loan Tape (BoE)'!Q7=1,"Yes",IF('Loan Tape (BoE)'!Q7=0,"No",""))</f>
        <v/>
      </c>
      <c r="R7" s="18">
        <f>IF('Loan Tape (BoE)'!R7=1,"Yes",IF('Loan Tape (BoE)'!R7=0,"No",""))</f>
        <v/>
      </c>
      <c r="S7" s="18">
        <f>IF('Loan Tape (BoE)'!S7=1,"Yes",IF('Loan Tape (BoE)'!S7=0,"No",""))</f>
        <v/>
      </c>
      <c r="T7" s="17">
        <f>IF('Loan Tape (BoE)'!T7=1,"Yes",IF('Loan Tape (BoE)'!T7=0,"No",""))</f>
        <v/>
      </c>
      <c r="U7" s="18">
        <f>R7+S7</f>
        <v/>
      </c>
      <c r="V7" s="17">
        <f>IFERROR(IFS('Loan Tape (BoE)'!U8=1,"Employed",'Loan Tape (BoE)'!U8=2,"Self-Employed",'Loan Tape (BoE)'!U8=3,"Unemployed",'Loan Tape (BoE)'!U8=4,"Retired"),"")</f>
        <v/>
      </c>
      <c r="W7" s="17">
        <f>IFERROR(IFS('Loan Tape (BoE)'!V8=1,"Employed",'Loan Tape (BoE)'!V8=2,"Self-Employed",'Loan Tape (BoE)'!V8=3,"Unemployed",'Loan Tape (BoE)'!V8=4,"Retired"),"")</f>
        <v/>
      </c>
      <c r="X7" s="17">
        <f>IF(OR(V7="Self-Employed",W7="Self-Employed"),"Yes","No")</f>
        <v/>
      </c>
      <c r="Y7" s="17">
        <f>'Loan Tape (BoE)'!W8</f>
        <v/>
      </c>
      <c r="Z7" s="17">
        <f>'Loan Tape (BoE)'!X8</f>
        <v/>
      </c>
      <c r="AA7" s="17">
        <f>IF(T7=1,Y7,MIN(Y7,Z7))</f>
        <v/>
      </c>
      <c r="AB7" s="17">
        <f>'Loan Tape (BoE)'!Y8</f>
        <v/>
      </c>
      <c r="AC7" s="17">
        <f>'Loan Tape (BoE)'!Z8</f>
        <v/>
      </c>
      <c r="AD7" s="17">
        <f>AB7+AC7</f>
        <v/>
      </c>
      <c r="AE7" s="18">
        <f>'Loan Tape (BoE)'!AA8</f>
        <v/>
      </c>
      <c r="AF7" s="18">
        <f>'Loan Tape (BoE)'!AB8</f>
        <v/>
      </c>
      <c r="AG7" s="18">
        <f>AE7+AF7</f>
        <v/>
      </c>
      <c r="AH7" s="19">
        <f>MAX('Loan Tape (BoE)'!AC8,'Loan Tape (BoE)'!AD8)</f>
        <v/>
      </c>
      <c r="AI7" s="18">
        <f>'Loan Tape (BoE)'!AE8</f>
        <v/>
      </c>
      <c r="AJ7" s="18">
        <f>B7*H7/12</f>
        <v/>
      </c>
      <c r="AK7" s="21">
        <f>IF(AJ7&gt;0,AI7/AJ7,0)</f>
        <v/>
      </c>
      <c r="AL7" s="17">
        <f>IF('Loan Tape (BoE)'!AF8=1,"Yes","No")</f>
        <v/>
      </c>
      <c r="AM7" s="17">
        <f>IF('Loan Tape (BoE)'!AH8=1,"Yes","No")</f>
        <v/>
      </c>
      <c r="AN7" s="17">
        <f>IF('Loan Tape (BoE)'!AI8=1,"Yes","No")</f>
        <v/>
      </c>
      <c r="AO7" s="17">
        <f>IF('Loan Tape (BoE)'!AJ8=1,"Yes","No")</f>
        <v/>
      </c>
      <c r="AP7" s="17">
        <f>IF(OR('Loan Tape (BoE)'!AQ7=1,'Loan Tape (BoE)'!AQ7=2),"Yes",IF('Loan Tape (BoE)'!AQ7=0,"No",""))</f>
        <v/>
      </c>
      <c r="AQ7" s="17">
        <f>IF('Loan Tape (BoE)'!BV49_7&lt;&gt;"",'Loan Tape (BoE)'!BV49_7,"")</f>
        <v/>
      </c>
      <c r="AR7" s="17">
        <f>IF('Loan Tape (BoE)'!BV70_7&lt;&gt;"",'Loan Tape (BoE)'!BV50_7,"")</f>
        <v/>
      </c>
      <c r="AS7" s="17">
        <f>IFERROR(INDEX('FF Adj Parameters'!$A$103:$B$107,MATCH('Loan Tape (BoE)'!P7,INDEX('FF Adj Parameters'!$A$103:$B$107,,1),0),2),"Unknown")</f>
        <v/>
      </c>
      <c r="AT7" s="17">
        <f>IF(N7="Interest Only",M5*O5/12,IF(AND(O5&gt;0,ISNUMBER(O5),ISNUMBER(M5)),ABS(PMT(O5/12,AU5,-M5)),0))</f>
        <v/>
      </c>
      <c r="AU7" s="17">
        <f>IF(ISNUMBER(L7),MAX(0,(L5-'Control Panel'!$B$10)*12/365.25),0)</f>
        <v/>
      </c>
      <c r="AV7" s="17">
        <f>IF(ISNUMBER(L7),IF(L5&gt;'Control Panel'!$B$10,"Valid","Past Maturity"),"No Date")</f>
        <v/>
      </c>
      <c r="AW7" s="17">
        <f>IF(ISNUMBER(K7),MAX(0,('Control Panel'!$B$10-K5)*12/365.25),0)</f>
        <v/>
      </c>
    </row>
    <row r="8">
      <c r="A8" s="17">
        <f>'Loan Tape (BoE)'!A9</f>
        <v/>
      </c>
      <c r="B8" s="18">
        <f>IFERROR(INDEX('FF Adj Parameters'!$A$89:$B$92,MATCH('Loan Tape (BoE)'!C8,INDEX('FF Adj Parameters'!$A$89:$B$92,,1),0),2),"Unknown")</f>
        <v/>
      </c>
      <c r="C8" s="18">
        <f>'Loan Tape (BoE)'!C9</f>
        <v/>
      </c>
      <c r="D8" s="18">
        <f>'Loan Tape (BoE)'!D9</f>
        <v/>
      </c>
      <c r="E8" s="18">
        <f>'Loan Tape (BoE)'!E9</f>
        <v/>
      </c>
      <c r="F8" s="19">
        <f>'Loan Tape (BoE)'!F9</f>
        <v/>
      </c>
      <c r="G8" s="19">
        <f>'Loan Tape (BoE)'!G9</f>
        <v/>
      </c>
      <c r="H8" s="20">
        <f>'Loan Tape (BoE)'!H9/100</f>
        <v/>
      </c>
      <c r="I8" s="17">
        <f>IFERROR(IFS('Loan Tape (BoE)'!I9=1,"House",'Loan Tape (BoE)'!I9=2,"Flat",'Loan Tape (BoE)'!I9=3,"Bungalow",'Loan Tape (BoE)'!I9=4,"Maisonette"),"")</f>
        <v/>
      </c>
      <c r="J8" s="17">
        <f>'Loan Tape (BoE)'!J9</f>
        <v/>
      </c>
      <c r="K8" s="17">
        <f>'Loan Tape (BoE)'!K9</f>
        <v/>
      </c>
      <c r="L8" s="17">
        <f>IFERROR(IFS('Loan Tape (BoE)'!L9=1,"Owner Occupied",'Loan Tape (BoE)'!L9=2,"BTL",'Loan Tape (BoE)'!L9=3,"Second Home",'Loan Tape (BoE)'!L9=4,"Investment"),"")</f>
        <v/>
      </c>
      <c r="M8" s="17">
        <f>IFERROR(IFS('Loan Tape (BoE)'!M9=1,"Purchase",'Loan Tape (BoE)'!M9=2,"Remortgage",OR('Loan Tape (BoE)'!M9=3,'Loan Tape (BoE)'!M9=4),"Cash-out"),"")</f>
        <v/>
      </c>
      <c r="N8" s="17">
        <f>IFERROR(INDEX('FF Adj Parameters'!$A$96:$B$99,MATCH('Loan Tape (BoE)'!R8,INDEX('FF Adj Parameters'!$A$96:$B$99,,1),0),2),"Unknown")</f>
        <v/>
      </c>
      <c r="O8" s="17">
        <f>IF('Loan Tape (BoE)'!O9=1,"Yes","No")</f>
        <v/>
      </c>
      <c r="P8" s="17">
        <f>IF('Loan Tape (BoE)'!P8=1,"Yes",IF('Loan Tape (BoE)'!P8=0,"No",""))</f>
        <v/>
      </c>
      <c r="Q8" s="17">
        <f>IF('Loan Tape (BoE)'!Q8=1,"Yes",IF('Loan Tape (BoE)'!Q8=0,"No",""))</f>
        <v/>
      </c>
      <c r="R8" s="18">
        <f>IF('Loan Tape (BoE)'!R8=1,"Yes",IF('Loan Tape (BoE)'!R8=0,"No",""))</f>
        <v/>
      </c>
      <c r="S8" s="18">
        <f>IF('Loan Tape (BoE)'!S8=1,"Yes",IF('Loan Tape (BoE)'!S8=0,"No",""))</f>
        <v/>
      </c>
      <c r="T8" s="17">
        <f>IF('Loan Tape (BoE)'!T8=1,"Yes",IF('Loan Tape (BoE)'!T8=0,"No",""))</f>
        <v/>
      </c>
      <c r="U8" s="18">
        <f>R8+S8</f>
        <v/>
      </c>
      <c r="V8" s="17">
        <f>IFERROR(IFS('Loan Tape (BoE)'!U9=1,"Employed",'Loan Tape (BoE)'!U9=2,"Self-Employed",'Loan Tape (BoE)'!U9=3,"Unemployed",'Loan Tape (BoE)'!U9=4,"Retired"),"")</f>
        <v/>
      </c>
      <c r="W8" s="17">
        <f>IFERROR(IFS('Loan Tape (BoE)'!V9=1,"Employed",'Loan Tape (BoE)'!V9=2,"Self-Employed",'Loan Tape (BoE)'!V9=3,"Unemployed",'Loan Tape (BoE)'!V9=4,"Retired"),"")</f>
        <v/>
      </c>
      <c r="X8" s="17">
        <f>IF(OR(V8="Self-Employed",W8="Self-Employed"),"Yes","No")</f>
        <v/>
      </c>
      <c r="Y8" s="17">
        <f>'Loan Tape (BoE)'!W9</f>
        <v/>
      </c>
      <c r="Z8" s="17">
        <f>'Loan Tape (BoE)'!X9</f>
        <v/>
      </c>
      <c r="AA8" s="17">
        <f>IF(T8=1,Y8,MIN(Y8,Z8))</f>
        <v/>
      </c>
      <c r="AB8" s="17">
        <f>'Loan Tape (BoE)'!Y9</f>
        <v/>
      </c>
      <c r="AC8" s="17">
        <f>'Loan Tape (BoE)'!Z9</f>
        <v/>
      </c>
      <c r="AD8" s="17">
        <f>AB8+AC8</f>
        <v/>
      </c>
      <c r="AE8" s="18">
        <f>'Loan Tape (BoE)'!AA9</f>
        <v/>
      </c>
      <c r="AF8" s="18">
        <f>'Loan Tape (BoE)'!AB9</f>
        <v/>
      </c>
      <c r="AG8" s="18">
        <f>AE8+AF8</f>
        <v/>
      </c>
      <c r="AH8" s="19">
        <f>MAX('Loan Tape (BoE)'!AC9,'Loan Tape (BoE)'!AD9)</f>
        <v/>
      </c>
      <c r="AI8" s="18">
        <f>'Loan Tape (BoE)'!AE9</f>
        <v/>
      </c>
      <c r="AJ8" s="18">
        <f>B8*H8/12</f>
        <v/>
      </c>
      <c r="AK8" s="21">
        <f>IF(AJ8&gt;0,AI8/AJ8,0)</f>
        <v/>
      </c>
      <c r="AL8" s="17">
        <f>IF('Loan Tape (BoE)'!AF9=1,"Yes","No")</f>
        <v/>
      </c>
      <c r="AM8" s="17">
        <f>IF('Loan Tape (BoE)'!AH9=1,"Yes","No")</f>
        <v/>
      </c>
      <c r="AN8" s="17">
        <f>IF('Loan Tape (BoE)'!AI9=1,"Yes","No")</f>
        <v/>
      </c>
      <c r="AO8" s="17">
        <f>IF('Loan Tape (BoE)'!AJ9=1,"Yes","No")</f>
        <v/>
      </c>
      <c r="AP8" s="17">
        <f>IF(OR('Loan Tape (BoE)'!AQ8=1,'Loan Tape (BoE)'!AQ8=2),"Yes",IF('Loan Tape (BoE)'!AQ8=0,"No",""))</f>
        <v/>
      </c>
      <c r="AQ8" s="17">
        <f>IF('Loan Tape (BoE)'!BV49_8&lt;&gt;"",'Loan Tape (BoE)'!BV49_8,"")</f>
        <v/>
      </c>
      <c r="AR8" s="17">
        <f>IF('Loan Tape (BoE)'!BV80_8&lt;&gt;"",'Loan Tape (BoE)'!BV50_8,"")</f>
        <v/>
      </c>
      <c r="AS8" s="17">
        <f>IFERROR(INDEX('FF Adj Parameters'!$A$103:$B$108,MATCH('Loan Tape (BoE)'!P8,INDEX('FF Adj Parameters'!$A$103:$B$108,,1),0),2),"Unknown")</f>
        <v/>
      </c>
      <c r="AT8" s="17">
        <f>IF(N8="Interest Only",M5*O5/12,IF(AND(O5&gt;0,ISNUMBER(O5),ISNUMBER(M5)),ABS(PMT(O5/12,AU5,-M5)),0))</f>
        <v/>
      </c>
      <c r="AU8" s="17">
        <f>IF(ISNUMBER(L8),MAX(0,(L5-'Control Panel'!$B$10)*12/365.25),0)</f>
        <v/>
      </c>
      <c r="AV8" s="17">
        <f>IF(ISNUMBER(L8),IF(L5&gt;'Control Panel'!$B$10,"Valid","Past Maturity"),"No Date")</f>
        <v/>
      </c>
      <c r="AW8" s="17">
        <f>IF(ISNUMBER(K8),MAX(0,('Control Panel'!$B$10-K5)*12/365.25),0)</f>
        <v/>
      </c>
    </row>
    <row r="9">
      <c r="A9" s="17">
        <f>'Loan Tape (BoE)'!A10</f>
        <v/>
      </c>
      <c r="B9" s="18">
        <f>IFERROR(INDEX('FF Adj Parameters'!$A$89:$B$92,MATCH('Loan Tape (BoE)'!C9,INDEX('FF Adj Parameters'!$A$89:$B$92,,1),0),2),"Unknown")</f>
        <v/>
      </c>
      <c r="C9" s="18">
        <f>'Loan Tape (BoE)'!C10</f>
        <v/>
      </c>
      <c r="D9" s="18">
        <f>'Loan Tape (BoE)'!D10</f>
        <v/>
      </c>
      <c r="E9" s="18">
        <f>'Loan Tape (BoE)'!E10</f>
        <v/>
      </c>
      <c r="F9" s="19">
        <f>'Loan Tape (BoE)'!F10</f>
        <v/>
      </c>
      <c r="G9" s="19">
        <f>'Loan Tape (BoE)'!G10</f>
        <v/>
      </c>
      <c r="H9" s="20">
        <f>'Loan Tape (BoE)'!H10/100</f>
        <v/>
      </c>
      <c r="I9" s="17">
        <f>IFERROR(IFS('Loan Tape (BoE)'!I10=1,"House",'Loan Tape (BoE)'!I10=2,"Flat",'Loan Tape (BoE)'!I10=3,"Bungalow",'Loan Tape (BoE)'!I10=4,"Maisonette"),"")</f>
        <v/>
      </c>
      <c r="J9" s="17">
        <f>'Loan Tape (BoE)'!J10</f>
        <v/>
      </c>
      <c r="K9" s="17">
        <f>'Loan Tape (BoE)'!K10</f>
        <v/>
      </c>
      <c r="L9" s="17">
        <f>IFERROR(IFS('Loan Tape (BoE)'!L10=1,"Owner Occupied",'Loan Tape (BoE)'!L10=2,"BTL",'Loan Tape (BoE)'!L10=3,"Second Home",'Loan Tape (BoE)'!L10=4,"Investment"),"")</f>
        <v/>
      </c>
      <c r="M9" s="17">
        <f>IFERROR(IFS('Loan Tape (BoE)'!M10=1,"Purchase",'Loan Tape (BoE)'!M10=2,"Remortgage",OR('Loan Tape (BoE)'!M10=3,'Loan Tape (BoE)'!M10=4),"Cash-out"),"")</f>
        <v/>
      </c>
      <c r="N9" s="17">
        <f>IFERROR(INDEX('FF Adj Parameters'!$A$96:$B$99,MATCH('Loan Tape (BoE)'!R9,INDEX('FF Adj Parameters'!$A$96:$B$99,,1),0),2),"Unknown")</f>
        <v/>
      </c>
      <c r="O9" s="17">
        <f>IF('Loan Tape (BoE)'!O10=1,"Yes","No")</f>
        <v/>
      </c>
      <c r="P9" s="17">
        <f>IF('Loan Tape (BoE)'!P9=1,"Yes",IF('Loan Tape (BoE)'!P9=0,"No",""))</f>
        <v/>
      </c>
      <c r="Q9" s="17">
        <f>IF('Loan Tape (BoE)'!Q9=1,"Yes",IF('Loan Tape (BoE)'!Q9=0,"No",""))</f>
        <v/>
      </c>
      <c r="R9" s="18">
        <f>IF('Loan Tape (BoE)'!R9=1,"Yes",IF('Loan Tape (BoE)'!R9=0,"No",""))</f>
        <v/>
      </c>
      <c r="S9" s="18">
        <f>IF('Loan Tape (BoE)'!S9=1,"Yes",IF('Loan Tape (BoE)'!S9=0,"No",""))</f>
        <v/>
      </c>
      <c r="T9" s="17">
        <f>IF('Loan Tape (BoE)'!T9=1,"Yes",IF('Loan Tape (BoE)'!T9=0,"No",""))</f>
        <v/>
      </c>
      <c r="U9" s="18">
        <f>R9+S9</f>
        <v/>
      </c>
      <c r="V9" s="17">
        <f>IFERROR(IFS('Loan Tape (BoE)'!U10=1,"Employed",'Loan Tape (BoE)'!U10=2,"Self-Employed",'Loan Tape (BoE)'!U10=3,"Unemployed",'Loan Tape (BoE)'!U10=4,"Retired"),"")</f>
        <v/>
      </c>
      <c r="W9" s="17">
        <f>IFERROR(IFS('Loan Tape (BoE)'!V10=1,"Employed",'Loan Tape (BoE)'!V10=2,"Self-Employed",'Loan Tape (BoE)'!V10=3,"Unemployed",'Loan Tape (BoE)'!V10=4,"Retired"),"")</f>
        <v/>
      </c>
      <c r="X9" s="17">
        <f>IF(OR(V9="Self-Employed",W9="Self-Employed"),"Yes","No")</f>
        <v/>
      </c>
      <c r="Y9" s="17">
        <f>'Loan Tape (BoE)'!W10</f>
        <v/>
      </c>
      <c r="Z9" s="17">
        <f>'Loan Tape (BoE)'!X10</f>
        <v/>
      </c>
      <c r="AA9" s="17">
        <f>IF(T9=1,Y9,MIN(Y9,Z9))</f>
        <v/>
      </c>
      <c r="AB9" s="17">
        <f>'Loan Tape (BoE)'!Y10</f>
        <v/>
      </c>
      <c r="AC9" s="17">
        <f>'Loan Tape (BoE)'!Z10</f>
        <v/>
      </c>
      <c r="AD9" s="17">
        <f>AB9+AC9</f>
        <v/>
      </c>
      <c r="AE9" s="18">
        <f>'Loan Tape (BoE)'!AA10</f>
        <v/>
      </c>
      <c r="AF9" s="18">
        <f>'Loan Tape (BoE)'!AB10</f>
        <v/>
      </c>
      <c r="AG9" s="18">
        <f>AE9+AF9</f>
        <v/>
      </c>
      <c r="AH9" s="19">
        <f>MAX('Loan Tape (BoE)'!AC10,'Loan Tape (BoE)'!AD10)</f>
        <v/>
      </c>
      <c r="AI9" s="18">
        <f>'Loan Tape (BoE)'!AE10</f>
        <v/>
      </c>
      <c r="AJ9" s="18">
        <f>B9*H9/12</f>
        <v/>
      </c>
      <c r="AK9" s="21">
        <f>IF(AJ9&gt;0,AI9/AJ9,0)</f>
        <v/>
      </c>
      <c r="AL9" s="17">
        <f>IF('Loan Tape (BoE)'!AF10=1,"Yes","No")</f>
        <v/>
      </c>
      <c r="AM9" s="17">
        <f>IF('Loan Tape (BoE)'!AH10=1,"Yes","No")</f>
        <v/>
      </c>
      <c r="AN9" s="17">
        <f>IF('Loan Tape (BoE)'!AI10=1,"Yes","No")</f>
        <v/>
      </c>
      <c r="AO9" s="17">
        <f>IF('Loan Tape (BoE)'!AJ10=1,"Yes","No")</f>
        <v/>
      </c>
      <c r="AP9" s="17">
        <f>IF(OR('Loan Tape (BoE)'!AQ9=1,'Loan Tape (BoE)'!AQ9=2),"Yes",IF('Loan Tape (BoE)'!AQ9=0,"No",""))</f>
        <v/>
      </c>
      <c r="AQ9" s="17">
        <f>IF('Loan Tape (BoE)'!BV49_9&lt;&gt;"",'Loan Tape (BoE)'!BV49_9,"")</f>
        <v/>
      </c>
      <c r="AR9" s="17">
        <f>IF('Loan Tape (BoE)'!BV90_9&lt;&gt;"",'Loan Tape (BoE)'!BV50_9,"")</f>
        <v/>
      </c>
      <c r="AS9" s="17">
        <f>IFERROR(INDEX('FF Adj Parameters'!$A$103:$B$109,MATCH('Loan Tape (BoE)'!P9,INDEX('FF Adj Parameters'!$A$103:$B$109,,1),0),2),"Unknown")</f>
        <v/>
      </c>
      <c r="AT9" s="17">
        <f>IF(N9="Interest Only",M5*O5/12,IF(AND(O5&gt;0,ISNUMBER(O5),ISNUMBER(M5)),ABS(PMT(O5/12,AU5,-M5)),0))</f>
        <v/>
      </c>
      <c r="AU9" s="17">
        <f>IF(ISNUMBER(L9),MAX(0,(L5-'Control Panel'!$B$10)*12/365.25),0)</f>
        <v/>
      </c>
      <c r="AV9" s="17">
        <f>IF(ISNUMBER(L9),IF(L5&gt;'Control Panel'!$B$10,"Valid","Past Maturity"),"No Date")</f>
        <v/>
      </c>
      <c r="AW9" s="17">
        <f>IF(ISNUMBER(K9),MAX(0,('Control Panel'!$B$10-K5)*12/365.25),0)</f>
        <v/>
      </c>
    </row>
    <row r="10">
      <c r="A10" s="17">
        <f>'Loan Tape (BoE)'!A11</f>
        <v/>
      </c>
      <c r="B10" s="18">
        <f>IFERROR(INDEX('FF Adj Parameters'!$A$89:$B$92,MATCH('Loan Tape (BoE)'!C10,INDEX('FF Adj Parameters'!$A$89:$B$92,,1),0),2),"Unknown")</f>
        <v/>
      </c>
      <c r="C10" s="18">
        <f>'Loan Tape (BoE)'!C11</f>
        <v/>
      </c>
      <c r="D10" s="18">
        <f>'Loan Tape (BoE)'!D11</f>
        <v/>
      </c>
      <c r="E10" s="18">
        <f>'Loan Tape (BoE)'!E11</f>
        <v/>
      </c>
      <c r="F10" s="19">
        <f>'Loan Tape (BoE)'!F11</f>
        <v/>
      </c>
      <c r="G10" s="19">
        <f>'Loan Tape (BoE)'!G11</f>
        <v/>
      </c>
      <c r="H10" s="20">
        <f>'Loan Tape (BoE)'!H11/100</f>
        <v/>
      </c>
      <c r="I10" s="17">
        <f>IFERROR(IFS('Loan Tape (BoE)'!I11=1,"House",'Loan Tape (BoE)'!I11=2,"Flat",'Loan Tape (BoE)'!I11=3,"Bungalow",'Loan Tape (BoE)'!I11=4,"Maisonette"),"")</f>
        <v/>
      </c>
      <c r="J10" s="17">
        <f>'Loan Tape (BoE)'!J11</f>
        <v/>
      </c>
      <c r="K10" s="17">
        <f>'Loan Tape (BoE)'!K11</f>
        <v/>
      </c>
      <c r="L10" s="17">
        <f>IFERROR(IFS('Loan Tape (BoE)'!L11=1,"Owner Occupied",'Loan Tape (BoE)'!L11=2,"BTL",'Loan Tape (BoE)'!L11=3,"Second Home",'Loan Tape (BoE)'!L11=4,"Investment"),"")</f>
        <v/>
      </c>
      <c r="M10" s="17">
        <f>IFERROR(IFS('Loan Tape (BoE)'!M11=1,"Purchase",'Loan Tape (BoE)'!M11=2,"Remortgage",OR('Loan Tape (BoE)'!M11=3,'Loan Tape (BoE)'!M11=4),"Cash-out"),"")</f>
        <v/>
      </c>
      <c r="N10" s="17">
        <f>IFERROR(INDEX('FF Adj Parameters'!$A$96:$B$99,MATCH('Loan Tape (BoE)'!R10,INDEX('FF Adj Parameters'!$A$96:$B$99,,1),0),2),"Unknown")</f>
        <v/>
      </c>
      <c r="O10" s="17">
        <f>IF('Loan Tape (BoE)'!O11=1,"Yes","No")</f>
        <v/>
      </c>
      <c r="P10" s="17">
        <f>IF('Loan Tape (BoE)'!P10=1,"Yes",IF('Loan Tape (BoE)'!P10=0,"No",""))</f>
        <v/>
      </c>
      <c r="Q10" s="17">
        <f>IF('Loan Tape (BoE)'!Q10=1,"Yes",IF('Loan Tape (BoE)'!Q10=0,"No",""))</f>
        <v/>
      </c>
      <c r="R10" s="18">
        <f>IF('Loan Tape (BoE)'!R10=1,"Yes",IF('Loan Tape (BoE)'!R10=0,"No",""))</f>
        <v/>
      </c>
      <c r="S10" s="18">
        <f>IF('Loan Tape (BoE)'!S10=1,"Yes",IF('Loan Tape (BoE)'!S10=0,"No",""))</f>
        <v/>
      </c>
      <c r="T10" s="17">
        <f>IF('Loan Tape (BoE)'!T10=1,"Yes",IF('Loan Tape (BoE)'!T10=0,"No",""))</f>
        <v/>
      </c>
      <c r="U10" s="18">
        <f>R10+S10</f>
        <v/>
      </c>
      <c r="V10" s="17">
        <f>IFERROR(IFS('Loan Tape (BoE)'!U11=1,"Employed",'Loan Tape (BoE)'!U11=2,"Self-Employed",'Loan Tape (BoE)'!U11=3,"Unemployed",'Loan Tape (BoE)'!U11=4,"Retired"),"")</f>
        <v/>
      </c>
      <c r="W10" s="17">
        <f>IFERROR(IFS('Loan Tape (BoE)'!V11=1,"Employed",'Loan Tape (BoE)'!V11=2,"Self-Employed",'Loan Tape (BoE)'!V11=3,"Unemployed",'Loan Tape (BoE)'!V11=4,"Retired"),"")</f>
        <v/>
      </c>
      <c r="X10" s="17">
        <f>IF(OR(V10="Self-Employed",W10="Self-Employed"),"Yes","No")</f>
        <v/>
      </c>
      <c r="Y10" s="17">
        <f>'Loan Tape (BoE)'!W11</f>
        <v/>
      </c>
      <c r="Z10" s="17">
        <f>'Loan Tape (BoE)'!X11</f>
        <v/>
      </c>
      <c r="AA10" s="17">
        <f>IF(T10=1,Y10,MIN(Y10,Z10))</f>
        <v/>
      </c>
      <c r="AB10" s="17">
        <f>'Loan Tape (BoE)'!Y11</f>
        <v/>
      </c>
      <c r="AC10" s="17">
        <f>'Loan Tape (BoE)'!Z11</f>
        <v/>
      </c>
      <c r="AD10" s="17">
        <f>AB10+AC10</f>
        <v/>
      </c>
      <c r="AE10" s="18">
        <f>'Loan Tape (BoE)'!AA11</f>
        <v/>
      </c>
      <c r="AF10" s="18">
        <f>'Loan Tape (BoE)'!AB11</f>
        <v/>
      </c>
      <c r="AG10" s="18">
        <f>AE10+AF10</f>
        <v/>
      </c>
      <c r="AH10" s="19">
        <f>MAX('Loan Tape (BoE)'!AC11,'Loan Tape (BoE)'!AD11)</f>
        <v/>
      </c>
      <c r="AI10" s="18">
        <f>'Loan Tape (BoE)'!AE11</f>
        <v/>
      </c>
      <c r="AJ10" s="18">
        <f>B10*H10/12</f>
        <v/>
      </c>
      <c r="AK10" s="21">
        <f>IF(AJ10&gt;0,AI10/AJ10,0)</f>
        <v/>
      </c>
      <c r="AL10" s="17">
        <f>IF('Loan Tape (BoE)'!AF11=1,"Yes","No")</f>
        <v/>
      </c>
      <c r="AM10" s="17">
        <f>IF('Loan Tape (BoE)'!AH11=1,"Yes","No")</f>
        <v/>
      </c>
      <c r="AN10" s="17">
        <f>IF('Loan Tape (BoE)'!AI11=1,"Yes","No")</f>
        <v/>
      </c>
      <c r="AO10" s="17">
        <f>IF('Loan Tape (BoE)'!AJ11=1,"Yes","No")</f>
        <v/>
      </c>
      <c r="AP10" s="17">
        <f>IF(OR('Loan Tape (BoE)'!AQ10=1,'Loan Tape (BoE)'!AQ10=2),"Yes",IF('Loan Tape (BoE)'!AQ10=0,"No",""))</f>
        <v/>
      </c>
      <c r="AQ10" s="17">
        <f>IF('Loan Tape (BoE)'!BV49_10&lt;&gt;"",'Loan Tape (BoE)'!BV49_10,"")</f>
        <v/>
      </c>
      <c r="AR10" s="17">
        <f>IF('Loan Tape (BoE)'!BV100_10&lt;&gt;"",'Loan Tape (BoE)'!BV50_10,"")</f>
        <v/>
      </c>
      <c r="AS10" s="17">
        <f>IFERROR(INDEX('FF Adj Parameters'!$A$103:$B$1010,MATCH('Loan Tape (BoE)'!P10,INDEX('FF Adj Parameters'!$A$103:$B$1010,,1),0),2),"Unknown")</f>
        <v/>
      </c>
      <c r="AT10" s="17">
        <f>IF(N10="Interest Only",M5*O5/12,IF(AND(O5&gt;0,ISNUMBER(O5),ISNUMBER(M5)),ABS(PMT(O5/12,AU5,-M5)),0))</f>
        <v/>
      </c>
      <c r="AU10" s="17">
        <f>IF(ISNUMBER(L10),MAX(0,(L5-'Control Panel'!$B$10)*12/365.25),0)</f>
        <v/>
      </c>
      <c r="AV10" s="17">
        <f>IF(ISNUMBER(L10),IF(L5&gt;'Control Panel'!$B$10,"Valid","Past Maturity"),"No Date")</f>
        <v/>
      </c>
      <c r="AW10" s="17">
        <f>IF(ISNUMBER(K10),MAX(0,('Control Panel'!$B$10-K5)*12/365.25),0)</f>
        <v/>
      </c>
    </row>
    <row r="11">
      <c r="A11" s="17">
        <f>'Loan Tape (BoE)'!A12</f>
        <v/>
      </c>
      <c r="B11" s="18">
        <f>IFERROR(INDEX('FF Adj Parameters'!$A$89:$B$92,MATCH('Loan Tape (BoE)'!C11,INDEX('FF Adj Parameters'!$A$89:$B$92,,1),0),2),"Unknown")</f>
        <v/>
      </c>
      <c r="C11" s="18">
        <f>'Loan Tape (BoE)'!C12</f>
        <v/>
      </c>
      <c r="D11" s="18">
        <f>'Loan Tape (BoE)'!D12</f>
        <v/>
      </c>
      <c r="E11" s="18">
        <f>'Loan Tape (BoE)'!E12</f>
        <v/>
      </c>
      <c r="F11" s="19">
        <f>'Loan Tape (BoE)'!F12</f>
        <v/>
      </c>
      <c r="G11" s="19">
        <f>'Loan Tape (BoE)'!G12</f>
        <v/>
      </c>
      <c r="H11" s="20">
        <f>'Loan Tape (BoE)'!H12/100</f>
        <v/>
      </c>
      <c r="I11" s="17">
        <f>IFERROR(IFS('Loan Tape (BoE)'!I12=1,"House",'Loan Tape (BoE)'!I12=2,"Flat",'Loan Tape (BoE)'!I12=3,"Bungalow",'Loan Tape (BoE)'!I12=4,"Maisonette"),"")</f>
        <v/>
      </c>
      <c r="J11" s="17">
        <f>'Loan Tape (BoE)'!J12</f>
        <v/>
      </c>
      <c r="K11" s="17">
        <f>'Loan Tape (BoE)'!K12</f>
        <v/>
      </c>
      <c r="L11" s="17">
        <f>IFERROR(IFS('Loan Tape (BoE)'!L12=1,"Owner Occupied",'Loan Tape (BoE)'!L12=2,"BTL",'Loan Tape (BoE)'!L12=3,"Second Home",'Loan Tape (BoE)'!L12=4,"Investment"),"")</f>
        <v/>
      </c>
      <c r="M11" s="17">
        <f>IFERROR(IFS('Loan Tape (BoE)'!M12=1,"Purchase",'Loan Tape (BoE)'!M12=2,"Remortgage",OR('Loan Tape (BoE)'!M12=3,'Loan Tape (BoE)'!M12=4),"Cash-out"),"")</f>
        <v/>
      </c>
      <c r="N11" s="17">
        <f>IFERROR(INDEX('FF Adj Parameters'!$A$96:$B$99,MATCH('Loan Tape (BoE)'!R11,INDEX('FF Adj Parameters'!$A$96:$B$99,,1),0),2),"Unknown")</f>
        <v/>
      </c>
      <c r="O11" s="17">
        <f>IF('Loan Tape (BoE)'!O12=1,"Yes","No")</f>
        <v/>
      </c>
      <c r="P11" s="17">
        <f>IF('Loan Tape (BoE)'!P11=1,"Yes",IF('Loan Tape (BoE)'!P11=0,"No",""))</f>
        <v/>
      </c>
      <c r="Q11" s="17">
        <f>IF('Loan Tape (BoE)'!Q11=1,"Yes",IF('Loan Tape (BoE)'!Q11=0,"No",""))</f>
        <v/>
      </c>
      <c r="R11" s="18">
        <f>IF('Loan Tape (BoE)'!R11=1,"Yes",IF('Loan Tape (BoE)'!R11=0,"No",""))</f>
        <v/>
      </c>
      <c r="S11" s="18">
        <f>IF('Loan Tape (BoE)'!S11=1,"Yes",IF('Loan Tape (BoE)'!S11=0,"No",""))</f>
        <v/>
      </c>
      <c r="T11" s="17">
        <f>IF('Loan Tape (BoE)'!T11=1,"Yes",IF('Loan Tape (BoE)'!T11=0,"No",""))</f>
        <v/>
      </c>
      <c r="U11" s="18">
        <f>R11+S11</f>
        <v/>
      </c>
      <c r="V11" s="17">
        <f>IFERROR(IFS('Loan Tape (BoE)'!U12=1,"Employed",'Loan Tape (BoE)'!U12=2,"Self-Employed",'Loan Tape (BoE)'!U12=3,"Unemployed",'Loan Tape (BoE)'!U12=4,"Retired"),"")</f>
        <v/>
      </c>
      <c r="W11" s="17">
        <f>IFERROR(IFS('Loan Tape (BoE)'!V12=1,"Employed",'Loan Tape (BoE)'!V12=2,"Self-Employed",'Loan Tape (BoE)'!V12=3,"Unemployed",'Loan Tape (BoE)'!V12=4,"Retired"),"")</f>
        <v/>
      </c>
      <c r="X11" s="17">
        <f>IF(OR(V11="Self-Employed",W11="Self-Employed"),"Yes","No")</f>
        <v/>
      </c>
      <c r="Y11" s="17">
        <f>'Loan Tape (BoE)'!W12</f>
        <v/>
      </c>
      <c r="Z11" s="17">
        <f>'Loan Tape (BoE)'!X12</f>
        <v/>
      </c>
      <c r="AA11" s="17">
        <f>IF(T11=1,Y11,MIN(Y11,Z11))</f>
        <v/>
      </c>
      <c r="AB11" s="17">
        <f>'Loan Tape (BoE)'!Y12</f>
        <v/>
      </c>
      <c r="AC11" s="17">
        <f>'Loan Tape (BoE)'!Z12</f>
        <v/>
      </c>
      <c r="AD11" s="17">
        <f>AB11+AC11</f>
        <v/>
      </c>
      <c r="AE11" s="18">
        <f>'Loan Tape (BoE)'!AA12</f>
        <v/>
      </c>
      <c r="AF11" s="18">
        <f>'Loan Tape (BoE)'!AB12</f>
        <v/>
      </c>
      <c r="AG11" s="18">
        <f>AE11+AF11</f>
        <v/>
      </c>
      <c r="AH11" s="19">
        <f>MAX('Loan Tape (BoE)'!AC12,'Loan Tape (BoE)'!AD12)</f>
        <v/>
      </c>
      <c r="AI11" s="18">
        <f>'Loan Tape (BoE)'!AE12</f>
        <v/>
      </c>
      <c r="AJ11" s="18">
        <f>B11*H11/12</f>
        <v/>
      </c>
      <c r="AK11" s="21">
        <f>IF(AJ11&gt;0,AI11/AJ11,0)</f>
        <v/>
      </c>
      <c r="AL11" s="17">
        <f>IF('Loan Tape (BoE)'!AF12=1,"Yes","No")</f>
        <v/>
      </c>
      <c r="AM11" s="17">
        <f>IF('Loan Tape (BoE)'!AH12=1,"Yes","No")</f>
        <v/>
      </c>
      <c r="AN11" s="17">
        <f>IF('Loan Tape (BoE)'!AI12=1,"Yes","No")</f>
        <v/>
      </c>
      <c r="AO11" s="17">
        <f>IF('Loan Tape (BoE)'!AJ12=1,"Yes","No")</f>
        <v/>
      </c>
      <c r="AP11" s="17">
        <f>IF(OR('Loan Tape (BoE)'!AQ11=1,'Loan Tape (BoE)'!AQ11=2),"Yes",IF('Loan Tape (BoE)'!AQ11=0,"No",""))</f>
        <v/>
      </c>
      <c r="AQ11" s="17">
        <f>IF('Loan Tape (BoE)'!BV49_11&lt;&gt;"",'Loan Tape (BoE)'!BV49_11,"")</f>
        <v/>
      </c>
      <c r="AR11" s="17">
        <f>IF('Loan Tape (BoE)'!BV110_11&lt;&gt;"",'Loan Tape (BoE)'!BV50_11,"")</f>
        <v/>
      </c>
      <c r="AS11" s="17">
        <f>IFERROR(INDEX('FF Adj Parameters'!$A$103:$B$1011,MATCH('Loan Tape (BoE)'!P11,INDEX('FF Adj Parameters'!$A$103:$B$1011,,1),0),2),"Unknown")</f>
        <v/>
      </c>
      <c r="AT11" s="17">
        <f>IF(N11="Interest Only",M5*O5/12,IF(AND(O5&gt;0,ISNUMBER(O5),ISNUMBER(M5)),ABS(PMT(O5/12,AU5,-M5)),0))</f>
        <v/>
      </c>
      <c r="AU11" s="17">
        <f>IF(ISNUMBER(L11),MAX(0,(L5-'Control Panel'!$B$10)*12/365.25),0)</f>
        <v/>
      </c>
      <c r="AV11" s="17">
        <f>IF(ISNUMBER(L11),IF(L5&gt;'Control Panel'!$B$10,"Valid","Past Maturity"),"No Date")</f>
        <v/>
      </c>
      <c r="AW11" s="17">
        <f>IF(ISNUMBER(K11),MAX(0,('Control Panel'!$B$10-K5)*12/365.25),0)</f>
        <v/>
      </c>
    </row>
    <row r="12">
      <c r="A12" s="17">
        <f>'Loan Tape (BoE)'!A13</f>
        <v/>
      </c>
      <c r="B12" s="18">
        <f>IFERROR(INDEX('FF Adj Parameters'!$A$89:$B$92,MATCH('Loan Tape (BoE)'!C12,INDEX('FF Adj Parameters'!$A$89:$B$92,,1),0),2),"Unknown")</f>
        <v/>
      </c>
      <c r="C12" s="18">
        <f>'Loan Tape (BoE)'!C13</f>
        <v/>
      </c>
      <c r="D12" s="18">
        <f>'Loan Tape (BoE)'!D13</f>
        <v/>
      </c>
      <c r="E12" s="18">
        <f>'Loan Tape (BoE)'!E13</f>
        <v/>
      </c>
      <c r="F12" s="19">
        <f>'Loan Tape (BoE)'!F13</f>
        <v/>
      </c>
      <c r="G12" s="19">
        <f>'Loan Tape (BoE)'!G13</f>
        <v/>
      </c>
      <c r="H12" s="20">
        <f>'Loan Tape (BoE)'!H13/100</f>
        <v/>
      </c>
      <c r="I12" s="17">
        <f>IFERROR(IFS('Loan Tape (BoE)'!I13=1,"House",'Loan Tape (BoE)'!I13=2,"Flat",'Loan Tape (BoE)'!I13=3,"Bungalow",'Loan Tape (BoE)'!I13=4,"Maisonette"),"")</f>
        <v/>
      </c>
      <c r="J12" s="17">
        <f>'Loan Tape (BoE)'!J13</f>
        <v/>
      </c>
      <c r="K12" s="17">
        <f>'Loan Tape (BoE)'!K13</f>
        <v/>
      </c>
      <c r="L12" s="17">
        <f>IFERROR(IFS('Loan Tape (BoE)'!L13=1,"Owner Occupied",'Loan Tape (BoE)'!L13=2,"BTL",'Loan Tape (BoE)'!L13=3,"Second Home",'Loan Tape (BoE)'!L13=4,"Investment"),"")</f>
        <v/>
      </c>
      <c r="M12" s="17">
        <f>IFERROR(IFS('Loan Tape (BoE)'!M13=1,"Purchase",'Loan Tape (BoE)'!M13=2,"Remortgage",OR('Loan Tape (BoE)'!M13=3,'Loan Tape (BoE)'!M13=4),"Cash-out"),"")</f>
        <v/>
      </c>
      <c r="N12" s="17">
        <f>IFERROR(INDEX('FF Adj Parameters'!$A$96:$B$99,MATCH('Loan Tape (BoE)'!R12,INDEX('FF Adj Parameters'!$A$96:$B$99,,1),0),2),"Unknown")</f>
        <v/>
      </c>
      <c r="O12" s="17">
        <f>IF('Loan Tape (BoE)'!O13=1,"Yes","No")</f>
        <v/>
      </c>
      <c r="P12" s="17">
        <f>IF('Loan Tape (BoE)'!P12=1,"Yes",IF('Loan Tape (BoE)'!P12=0,"No",""))</f>
        <v/>
      </c>
      <c r="Q12" s="17">
        <f>IF('Loan Tape (BoE)'!Q12=1,"Yes",IF('Loan Tape (BoE)'!Q12=0,"No",""))</f>
        <v/>
      </c>
      <c r="R12" s="18">
        <f>IF('Loan Tape (BoE)'!R12=1,"Yes",IF('Loan Tape (BoE)'!R12=0,"No",""))</f>
        <v/>
      </c>
      <c r="S12" s="18">
        <f>IF('Loan Tape (BoE)'!S12=1,"Yes",IF('Loan Tape (BoE)'!S12=0,"No",""))</f>
        <v/>
      </c>
      <c r="T12" s="17">
        <f>IF('Loan Tape (BoE)'!T12=1,"Yes",IF('Loan Tape (BoE)'!T12=0,"No",""))</f>
        <v/>
      </c>
      <c r="U12" s="18">
        <f>R12+S12</f>
        <v/>
      </c>
      <c r="V12" s="17">
        <f>IFERROR(IFS('Loan Tape (BoE)'!U13=1,"Employed",'Loan Tape (BoE)'!U13=2,"Self-Employed",'Loan Tape (BoE)'!U13=3,"Unemployed",'Loan Tape (BoE)'!U13=4,"Retired"),"")</f>
        <v/>
      </c>
      <c r="W12" s="17">
        <f>IFERROR(IFS('Loan Tape (BoE)'!V13=1,"Employed",'Loan Tape (BoE)'!V13=2,"Self-Employed",'Loan Tape (BoE)'!V13=3,"Unemployed",'Loan Tape (BoE)'!V13=4,"Retired"),"")</f>
        <v/>
      </c>
      <c r="X12" s="17">
        <f>IF(OR(V12="Self-Employed",W12="Self-Employed"),"Yes","No")</f>
        <v/>
      </c>
      <c r="Y12" s="17">
        <f>'Loan Tape (BoE)'!W13</f>
        <v/>
      </c>
      <c r="Z12" s="17">
        <f>'Loan Tape (BoE)'!X13</f>
        <v/>
      </c>
      <c r="AA12" s="17">
        <f>IF(T12=1,Y12,MIN(Y12,Z12))</f>
        <v/>
      </c>
      <c r="AB12" s="17">
        <f>'Loan Tape (BoE)'!Y13</f>
        <v/>
      </c>
      <c r="AC12" s="17">
        <f>'Loan Tape (BoE)'!Z13</f>
        <v/>
      </c>
      <c r="AD12" s="17">
        <f>AB12+AC12</f>
        <v/>
      </c>
      <c r="AE12" s="18">
        <f>'Loan Tape (BoE)'!AA13</f>
        <v/>
      </c>
      <c r="AF12" s="18">
        <f>'Loan Tape (BoE)'!AB13</f>
        <v/>
      </c>
      <c r="AG12" s="18">
        <f>AE12+AF12</f>
        <v/>
      </c>
      <c r="AH12" s="19">
        <f>MAX('Loan Tape (BoE)'!AC13,'Loan Tape (BoE)'!AD13)</f>
        <v/>
      </c>
      <c r="AI12" s="18">
        <f>'Loan Tape (BoE)'!AE13</f>
        <v/>
      </c>
      <c r="AJ12" s="18">
        <f>B12*H12/12</f>
        <v/>
      </c>
      <c r="AK12" s="21">
        <f>IF(AJ12&gt;0,AI12/AJ12,0)</f>
        <v/>
      </c>
      <c r="AL12" s="17">
        <f>IF('Loan Tape (BoE)'!AF13=1,"Yes","No")</f>
        <v/>
      </c>
      <c r="AM12" s="17">
        <f>IF('Loan Tape (BoE)'!AH13=1,"Yes","No")</f>
        <v/>
      </c>
      <c r="AN12" s="17">
        <f>IF('Loan Tape (BoE)'!AI13=1,"Yes","No")</f>
        <v/>
      </c>
      <c r="AO12" s="17">
        <f>IF('Loan Tape (BoE)'!AJ13=1,"Yes","No")</f>
        <v/>
      </c>
      <c r="AP12" s="17">
        <f>IF(OR('Loan Tape (BoE)'!AQ12=1,'Loan Tape (BoE)'!AQ12=2),"Yes",IF('Loan Tape (BoE)'!AQ12=0,"No",""))</f>
        <v/>
      </c>
      <c r="AQ12" s="17">
        <f>IF('Loan Tape (BoE)'!BV49_12&lt;&gt;"",'Loan Tape (BoE)'!BV49_12,"")</f>
        <v/>
      </c>
      <c r="AR12" s="17">
        <f>IF('Loan Tape (BoE)'!BV120_12&lt;&gt;"",'Loan Tape (BoE)'!BV50_12,"")</f>
        <v/>
      </c>
      <c r="AS12" s="17">
        <f>IFERROR(INDEX('FF Adj Parameters'!$A$103:$B$1012,MATCH('Loan Tape (BoE)'!P12,INDEX('FF Adj Parameters'!$A$103:$B$1012,,1),0),2),"Unknown")</f>
        <v/>
      </c>
      <c r="AT12" s="17">
        <f>IF(N12="Interest Only",M5*O5/12,IF(AND(O5&gt;0,ISNUMBER(O5),ISNUMBER(M5)),ABS(PMT(O5/12,AU5,-M5)),0))</f>
        <v/>
      </c>
      <c r="AU12" s="17">
        <f>IF(ISNUMBER(L12),MAX(0,(L5-'Control Panel'!$B$10)*12/365.25),0)</f>
        <v/>
      </c>
      <c r="AV12" s="17">
        <f>IF(ISNUMBER(L12),IF(L5&gt;'Control Panel'!$B$10,"Valid","Past Maturity"),"No Date")</f>
        <v/>
      </c>
      <c r="AW12" s="17">
        <f>IF(ISNUMBER(K12),MAX(0,('Control Panel'!$B$10-K5)*12/365.25),0)</f>
        <v/>
      </c>
    </row>
    <row r="13">
      <c r="A13" s="17">
        <f>'Loan Tape (BoE)'!A14</f>
        <v/>
      </c>
      <c r="B13" s="18">
        <f>IFERROR(INDEX('FF Adj Parameters'!$A$89:$B$92,MATCH('Loan Tape (BoE)'!C13,INDEX('FF Adj Parameters'!$A$89:$B$92,,1),0),2),"Unknown")</f>
        <v/>
      </c>
      <c r="C13" s="18">
        <f>'Loan Tape (BoE)'!C14</f>
        <v/>
      </c>
      <c r="D13" s="18">
        <f>'Loan Tape (BoE)'!D14</f>
        <v/>
      </c>
      <c r="E13" s="18">
        <f>'Loan Tape (BoE)'!E14</f>
        <v/>
      </c>
      <c r="F13" s="19">
        <f>'Loan Tape (BoE)'!F14</f>
        <v/>
      </c>
      <c r="G13" s="19">
        <f>'Loan Tape (BoE)'!G14</f>
        <v/>
      </c>
      <c r="H13" s="20">
        <f>'Loan Tape (BoE)'!H14/100</f>
        <v/>
      </c>
      <c r="I13" s="17">
        <f>IFERROR(IFS('Loan Tape (BoE)'!I14=1,"House",'Loan Tape (BoE)'!I14=2,"Flat",'Loan Tape (BoE)'!I14=3,"Bungalow",'Loan Tape (BoE)'!I14=4,"Maisonette"),"")</f>
        <v/>
      </c>
      <c r="J13" s="17">
        <f>'Loan Tape (BoE)'!J14</f>
        <v/>
      </c>
      <c r="K13" s="17">
        <f>'Loan Tape (BoE)'!K14</f>
        <v/>
      </c>
      <c r="L13" s="17">
        <f>IFERROR(IFS('Loan Tape (BoE)'!L14=1,"Owner Occupied",'Loan Tape (BoE)'!L14=2,"BTL",'Loan Tape (BoE)'!L14=3,"Second Home",'Loan Tape (BoE)'!L14=4,"Investment"),"")</f>
        <v/>
      </c>
      <c r="M13" s="17">
        <f>IFERROR(IFS('Loan Tape (BoE)'!M14=1,"Purchase",'Loan Tape (BoE)'!M14=2,"Remortgage",OR('Loan Tape (BoE)'!M14=3,'Loan Tape (BoE)'!M14=4),"Cash-out"),"")</f>
        <v/>
      </c>
      <c r="N13" s="17">
        <f>IFERROR(INDEX('FF Adj Parameters'!$A$96:$B$99,MATCH('Loan Tape (BoE)'!R13,INDEX('FF Adj Parameters'!$A$96:$B$99,,1),0),2),"Unknown")</f>
        <v/>
      </c>
      <c r="O13" s="17">
        <f>IF('Loan Tape (BoE)'!O14=1,"Yes","No")</f>
        <v/>
      </c>
      <c r="P13" s="17">
        <f>IF('Loan Tape (BoE)'!P13=1,"Yes",IF('Loan Tape (BoE)'!P13=0,"No",""))</f>
        <v/>
      </c>
      <c r="Q13" s="17">
        <f>IF('Loan Tape (BoE)'!Q13=1,"Yes",IF('Loan Tape (BoE)'!Q13=0,"No",""))</f>
        <v/>
      </c>
      <c r="R13" s="18">
        <f>IF('Loan Tape (BoE)'!R13=1,"Yes",IF('Loan Tape (BoE)'!R13=0,"No",""))</f>
        <v/>
      </c>
      <c r="S13" s="18">
        <f>IF('Loan Tape (BoE)'!S13=1,"Yes",IF('Loan Tape (BoE)'!S13=0,"No",""))</f>
        <v/>
      </c>
      <c r="T13" s="17">
        <f>IF('Loan Tape (BoE)'!T13=1,"Yes",IF('Loan Tape (BoE)'!T13=0,"No",""))</f>
        <v/>
      </c>
      <c r="U13" s="18">
        <f>R13+S13</f>
        <v/>
      </c>
      <c r="V13" s="17">
        <f>IFERROR(IFS('Loan Tape (BoE)'!U14=1,"Employed",'Loan Tape (BoE)'!U14=2,"Self-Employed",'Loan Tape (BoE)'!U14=3,"Unemployed",'Loan Tape (BoE)'!U14=4,"Retired"),"")</f>
        <v/>
      </c>
      <c r="W13" s="17">
        <f>IFERROR(IFS('Loan Tape (BoE)'!V14=1,"Employed",'Loan Tape (BoE)'!V14=2,"Self-Employed",'Loan Tape (BoE)'!V14=3,"Unemployed",'Loan Tape (BoE)'!V14=4,"Retired"),"")</f>
        <v/>
      </c>
      <c r="X13" s="17">
        <f>IF(OR(V13="Self-Employed",W13="Self-Employed"),"Yes","No")</f>
        <v/>
      </c>
      <c r="Y13" s="17">
        <f>'Loan Tape (BoE)'!W14</f>
        <v/>
      </c>
      <c r="Z13" s="17">
        <f>'Loan Tape (BoE)'!X14</f>
        <v/>
      </c>
      <c r="AA13" s="17">
        <f>IF(T13=1,Y13,MIN(Y13,Z13))</f>
        <v/>
      </c>
      <c r="AB13" s="17">
        <f>'Loan Tape (BoE)'!Y14</f>
        <v/>
      </c>
      <c r="AC13" s="17">
        <f>'Loan Tape (BoE)'!Z14</f>
        <v/>
      </c>
      <c r="AD13" s="17">
        <f>AB13+AC13</f>
        <v/>
      </c>
      <c r="AE13" s="18">
        <f>'Loan Tape (BoE)'!AA14</f>
        <v/>
      </c>
      <c r="AF13" s="18">
        <f>'Loan Tape (BoE)'!AB14</f>
        <v/>
      </c>
      <c r="AG13" s="18">
        <f>AE13+AF13</f>
        <v/>
      </c>
      <c r="AH13" s="19">
        <f>MAX('Loan Tape (BoE)'!AC14,'Loan Tape (BoE)'!AD14)</f>
        <v/>
      </c>
      <c r="AI13" s="18">
        <f>'Loan Tape (BoE)'!AE14</f>
        <v/>
      </c>
      <c r="AJ13" s="18">
        <f>B13*H13/12</f>
        <v/>
      </c>
      <c r="AK13" s="21">
        <f>IF(AJ13&gt;0,AI13/AJ13,0)</f>
        <v/>
      </c>
      <c r="AL13" s="17">
        <f>IF('Loan Tape (BoE)'!AF14=1,"Yes","No")</f>
        <v/>
      </c>
      <c r="AM13" s="17">
        <f>IF('Loan Tape (BoE)'!AH14=1,"Yes","No")</f>
        <v/>
      </c>
      <c r="AN13" s="17">
        <f>IF('Loan Tape (BoE)'!AI14=1,"Yes","No")</f>
        <v/>
      </c>
      <c r="AO13" s="17">
        <f>IF('Loan Tape (BoE)'!AJ14=1,"Yes","No")</f>
        <v/>
      </c>
      <c r="AP13" s="17">
        <f>IF(OR('Loan Tape (BoE)'!AQ13=1,'Loan Tape (BoE)'!AQ13=2),"Yes",IF('Loan Tape (BoE)'!AQ13=0,"No",""))</f>
        <v/>
      </c>
      <c r="AQ13" s="17">
        <f>IF('Loan Tape (BoE)'!BV49_13&lt;&gt;"",'Loan Tape (BoE)'!BV49_13,"")</f>
        <v/>
      </c>
      <c r="AR13" s="17">
        <f>IF('Loan Tape (BoE)'!BV130_13&lt;&gt;"",'Loan Tape (BoE)'!BV50_13,"")</f>
        <v/>
      </c>
      <c r="AS13" s="17">
        <f>IFERROR(INDEX('FF Adj Parameters'!$A$103:$B$1013,MATCH('Loan Tape (BoE)'!P13,INDEX('FF Adj Parameters'!$A$103:$B$1013,,1),0),2),"Unknown")</f>
        <v/>
      </c>
      <c r="AT13" s="17">
        <f>IF(N13="Interest Only",M5*O5/12,IF(AND(O5&gt;0,ISNUMBER(O5),ISNUMBER(M5)),ABS(PMT(O5/12,AU5,-M5)),0))</f>
        <v/>
      </c>
      <c r="AU13" s="17">
        <f>IF(ISNUMBER(L13),MAX(0,(L5-'Control Panel'!$B$10)*12/365.25),0)</f>
        <v/>
      </c>
      <c r="AV13" s="17">
        <f>IF(ISNUMBER(L13),IF(L5&gt;'Control Panel'!$B$10,"Valid","Past Maturity"),"No Date")</f>
        <v/>
      </c>
      <c r="AW13" s="17">
        <f>IF(ISNUMBER(K13),MAX(0,('Control Panel'!$B$10-K5)*12/365.25),0)</f>
        <v/>
      </c>
    </row>
    <row r="14">
      <c r="A14" s="17">
        <f>'Loan Tape (BoE)'!A15</f>
        <v/>
      </c>
      <c r="B14" s="18">
        <f>IFERROR(INDEX('FF Adj Parameters'!$A$89:$B$92,MATCH('Loan Tape (BoE)'!C14,INDEX('FF Adj Parameters'!$A$89:$B$92,,1),0),2),"Unknown")</f>
        <v/>
      </c>
      <c r="C14" s="18">
        <f>'Loan Tape (BoE)'!C15</f>
        <v/>
      </c>
      <c r="D14" s="18">
        <f>'Loan Tape (BoE)'!D15</f>
        <v/>
      </c>
      <c r="E14" s="18">
        <f>'Loan Tape (BoE)'!E15</f>
        <v/>
      </c>
      <c r="F14" s="19">
        <f>'Loan Tape (BoE)'!F15</f>
        <v/>
      </c>
      <c r="G14" s="19">
        <f>'Loan Tape (BoE)'!G15</f>
        <v/>
      </c>
      <c r="H14" s="20">
        <f>'Loan Tape (BoE)'!H15/100</f>
        <v/>
      </c>
      <c r="I14" s="17">
        <f>IFERROR(IFS('Loan Tape (BoE)'!I15=1,"House",'Loan Tape (BoE)'!I15=2,"Flat",'Loan Tape (BoE)'!I15=3,"Bungalow",'Loan Tape (BoE)'!I15=4,"Maisonette"),"")</f>
        <v/>
      </c>
      <c r="J14" s="17">
        <f>'Loan Tape (BoE)'!J15</f>
        <v/>
      </c>
      <c r="K14" s="17">
        <f>'Loan Tape (BoE)'!K15</f>
        <v/>
      </c>
      <c r="L14" s="17">
        <f>IFERROR(IFS('Loan Tape (BoE)'!L15=1,"Owner Occupied",'Loan Tape (BoE)'!L15=2,"BTL",'Loan Tape (BoE)'!L15=3,"Second Home",'Loan Tape (BoE)'!L15=4,"Investment"),"")</f>
        <v/>
      </c>
      <c r="M14" s="17">
        <f>IFERROR(IFS('Loan Tape (BoE)'!M15=1,"Purchase",'Loan Tape (BoE)'!M15=2,"Remortgage",OR('Loan Tape (BoE)'!M15=3,'Loan Tape (BoE)'!M15=4),"Cash-out"),"")</f>
        <v/>
      </c>
      <c r="N14" s="17">
        <f>IFERROR(INDEX('FF Adj Parameters'!$A$96:$B$99,MATCH('Loan Tape (BoE)'!R14,INDEX('FF Adj Parameters'!$A$96:$B$99,,1),0),2),"Unknown")</f>
        <v/>
      </c>
      <c r="O14" s="17">
        <f>IF('Loan Tape (BoE)'!O15=1,"Yes","No")</f>
        <v/>
      </c>
      <c r="P14" s="17">
        <f>IF('Loan Tape (BoE)'!P14=1,"Yes",IF('Loan Tape (BoE)'!P14=0,"No",""))</f>
        <v/>
      </c>
      <c r="Q14" s="17">
        <f>IF('Loan Tape (BoE)'!Q14=1,"Yes",IF('Loan Tape (BoE)'!Q14=0,"No",""))</f>
        <v/>
      </c>
      <c r="R14" s="18">
        <f>IF('Loan Tape (BoE)'!R14=1,"Yes",IF('Loan Tape (BoE)'!R14=0,"No",""))</f>
        <v/>
      </c>
      <c r="S14" s="18">
        <f>IF('Loan Tape (BoE)'!S14=1,"Yes",IF('Loan Tape (BoE)'!S14=0,"No",""))</f>
        <v/>
      </c>
      <c r="T14" s="17">
        <f>IF('Loan Tape (BoE)'!T14=1,"Yes",IF('Loan Tape (BoE)'!T14=0,"No",""))</f>
        <v/>
      </c>
      <c r="U14" s="18">
        <f>R14+S14</f>
        <v/>
      </c>
      <c r="V14" s="17">
        <f>IFERROR(IFS('Loan Tape (BoE)'!U15=1,"Employed",'Loan Tape (BoE)'!U15=2,"Self-Employed",'Loan Tape (BoE)'!U15=3,"Unemployed",'Loan Tape (BoE)'!U15=4,"Retired"),"")</f>
        <v/>
      </c>
      <c r="W14" s="17">
        <f>IFERROR(IFS('Loan Tape (BoE)'!V15=1,"Employed",'Loan Tape (BoE)'!V15=2,"Self-Employed",'Loan Tape (BoE)'!V15=3,"Unemployed",'Loan Tape (BoE)'!V15=4,"Retired"),"")</f>
        <v/>
      </c>
      <c r="X14" s="17">
        <f>IF(OR(V14="Self-Employed",W14="Self-Employed"),"Yes","No")</f>
        <v/>
      </c>
      <c r="Y14" s="17">
        <f>'Loan Tape (BoE)'!W15</f>
        <v/>
      </c>
      <c r="Z14" s="17">
        <f>'Loan Tape (BoE)'!X15</f>
        <v/>
      </c>
      <c r="AA14" s="17">
        <f>IF(T14=1,Y14,MIN(Y14,Z14))</f>
        <v/>
      </c>
      <c r="AB14" s="17">
        <f>'Loan Tape (BoE)'!Y15</f>
        <v/>
      </c>
      <c r="AC14" s="17">
        <f>'Loan Tape (BoE)'!Z15</f>
        <v/>
      </c>
      <c r="AD14" s="17">
        <f>AB14+AC14</f>
        <v/>
      </c>
      <c r="AE14" s="18">
        <f>'Loan Tape (BoE)'!AA15</f>
        <v/>
      </c>
      <c r="AF14" s="18">
        <f>'Loan Tape (BoE)'!AB15</f>
        <v/>
      </c>
      <c r="AG14" s="18">
        <f>AE14+AF14</f>
        <v/>
      </c>
      <c r="AH14" s="19">
        <f>MAX('Loan Tape (BoE)'!AC15,'Loan Tape (BoE)'!AD15)</f>
        <v/>
      </c>
      <c r="AI14" s="18">
        <f>'Loan Tape (BoE)'!AE15</f>
        <v/>
      </c>
      <c r="AJ14" s="18">
        <f>B14*H14/12</f>
        <v/>
      </c>
      <c r="AK14" s="21">
        <f>IF(AJ14&gt;0,AI14/AJ14,0)</f>
        <v/>
      </c>
      <c r="AL14" s="17">
        <f>IF('Loan Tape (BoE)'!AF15=1,"Yes","No")</f>
        <v/>
      </c>
      <c r="AM14" s="17">
        <f>IF('Loan Tape (BoE)'!AH15=1,"Yes","No")</f>
        <v/>
      </c>
      <c r="AN14" s="17">
        <f>IF('Loan Tape (BoE)'!AI15=1,"Yes","No")</f>
        <v/>
      </c>
      <c r="AO14" s="17">
        <f>IF('Loan Tape (BoE)'!AJ15=1,"Yes","No")</f>
        <v/>
      </c>
      <c r="AP14" s="17">
        <f>IF(OR('Loan Tape (BoE)'!AQ14=1,'Loan Tape (BoE)'!AQ14=2),"Yes",IF('Loan Tape (BoE)'!AQ14=0,"No",""))</f>
        <v/>
      </c>
      <c r="AQ14" s="17">
        <f>IF('Loan Tape (BoE)'!BV49_14&lt;&gt;"",'Loan Tape (BoE)'!BV49_14,"")</f>
        <v/>
      </c>
      <c r="AR14" s="17">
        <f>IF('Loan Tape (BoE)'!BV140_14&lt;&gt;"",'Loan Tape (BoE)'!BV50_14,"")</f>
        <v/>
      </c>
      <c r="AS14" s="17">
        <f>IFERROR(INDEX('FF Adj Parameters'!$A$103:$B$1014,MATCH('Loan Tape (BoE)'!P14,INDEX('FF Adj Parameters'!$A$103:$B$1014,,1),0),2),"Unknown")</f>
        <v/>
      </c>
      <c r="AT14" s="17">
        <f>IF(N14="Interest Only",M5*O5/12,IF(AND(O5&gt;0,ISNUMBER(O5),ISNUMBER(M5)),ABS(PMT(O5/12,AU5,-M5)),0))</f>
        <v/>
      </c>
      <c r="AU14" s="17">
        <f>IF(ISNUMBER(L14),MAX(0,(L5-'Control Panel'!$B$10)*12/365.25),0)</f>
        <v/>
      </c>
      <c r="AV14" s="17">
        <f>IF(ISNUMBER(L14),IF(L5&gt;'Control Panel'!$B$10,"Valid","Past Maturity"),"No Date")</f>
        <v/>
      </c>
      <c r="AW14" s="17">
        <f>IF(ISNUMBER(K14),MAX(0,('Control Panel'!$B$10-K5)*12/365.25),0)</f>
        <v/>
      </c>
    </row>
    <row r="15">
      <c r="A15" s="17">
        <f>'Loan Tape (BoE)'!A16</f>
        <v/>
      </c>
      <c r="B15" s="18">
        <f>IFERROR(INDEX('FF Adj Parameters'!$A$89:$B$92,MATCH('Loan Tape (BoE)'!C15,INDEX('FF Adj Parameters'!$A$89:$B$92,,1),0),2),"Unknown")</f>
        <v/>
      </c>
      <c r="C15" s="18">
        <f>'Loan Tape (BoE)'!C16</f>
        <v/>
      </c>
      <c r="D15" s="18">
        <f>'Loan Tape (BoE)'!D16</f>
        <v/>
      </c>
      <c r="E15" s="18">
        <f>'Loan Tape (BoE)'!E16</f>
        <v/>
      </c>
      <c r="F15" s="19">
        <f>'Loan Tape (BoE)'!F16</f>
        <v/>
      </c>
      <c r="G15" s="19">
        <f>'Loan Tape (BoE)'!G16</f>
        <v/>
      </c>
      <c r="H15" s="20">
        <f>'Loan Tape (BoE)'!H16/100</f>
        <v/>
      </c>
      <c r="I15" s="17">
        <f>IFERROR(IFS('Loan Tape (BoE)'!I16=1,"House",'Loan Tape (BoE)'!I16=2,"Flat",'Loan Tape (BoE)'!I16=3,"Bungalow",'Loan Tape (BoE)'!I16=4,"Maisonette"),"")</f>
        <v/>
      </c>
      <c r="J15" s="17">
        <f>'Loan Tape (BoE)'!J16</f>
        <v/>
      </c>
      <c r="K15" s="17">
        <f>'Loan Tape (BoE)'!K16</f>
        <v/>
      </c>
      <c r="L15" s="17">
        <f>IFERROR(IFS('Loan Tape (BoE)'!L16=1,"Owner Occupied",'Loan Tape (BoE)'!L16=2,"BTL",'Loan Tape (BoE)'!L16=3,"Second Home",'Loan Tape (BoE)'!L16=4,"Investment"),"")</f>
        <v/>
      </c>
      <c r="M15" s="17">
        <f>IFERROR(IFS('Loan Tape (BoE)'!M16=1,"Purchase",'Loan Tape (BoE)'!M16=2,"Remortgage",OR('Loan Tape (BoE)'!M16=3,'Loan Tape (BoE)'!M16=4),"Cash-out"),"")</f>
        <v/>
      </c>
      <c r="N15" s="17">
        <f>IFERROR(INDEX('FF Adj Parameters'!$A$96:$B$99,MATCH('Loan Tape (BoE)'!R15,INDEX('FF Adj Parameters'!$A$96:$B$99,,1),0),2),"Unknown")</f>
        <v/>
      </c>
      <c r="O15" s="17">
        <f>IF('Loan Tape (BoE)'!O16=1,"Yes","No")</f>
        <v/>
      </c>
      <c r="P15" s="17">
        <f>IF('Loan Tape (BoE)'!P15=1,"Yes",IF('Loan Tape (BoE)'!P15=0,"No",""))</f>
        <v/>
      </c>
      <c r="Q15" s="17">
        <f>IF('Loan Tape (BoE)'!Q15=1,"Yes",IF('Loan Tape (BoE)'!Q15=0,"No",""))</f>
        <v/>
      </c>
      <c r="R15" s="18">
        <f>IF('Loan Tape (BoE)'!R15=1,"Yes",IF('Loan Tape (BoE)'!R15=0,"No",""))</f>
        <v/>
      </c>
      <c r="S15" s="18">
        <f>IF('Loan Tape (BoE)'!S15=1,"Yes",IF('Loan Tape (BoE)'!S15=0,"No",""))</f>
        <v/>
      </c>
      <c r="T15" s="17">
        <f>IF('Loan Tape (BoE)'!T15=1,"Yes",IF('Loan Tape (BoE)'!T15=0,"No",""))</f>
        <v/>
      </c>
      <c r="U15" s="18">
        <f>R15+S15</f>
        <v/>
      </c>
      <c r="V15" s="17">
        <f>IFERROR(IFS('Loan Tape (BoE)'!U16=1,"Employed",'Loan Tape (BoE)'!U16=2,"Self-Employed",'Loan Tape (BoE)'!U16=3,"Unemployed",'Loan Tape (BoE)'!U16=4,"Retired"),"")</f>
        <v/>
      </c>
      <c r="W15" s="17">
        <f>IFERROR(IFS('Loan Tape (BoE)'!V16=1,"Employed",'Loan Tape (BoE)'!V16=2,"Self-Employed",'Loan Tape (BoE)'!V16=3,"Unemployed",'Loan Tape (BoE)'!V16=4,"Retired"),"")</f>
        <v/>
      </c>
      <c r="X15" s="17">
        <f>IF(OR(V15="Self-Employed",W15="Self-Employed"),"Yes","No")</f>
        <v/>
      </c>
      <c r="Y15" s="17">
        <f>'Loan Tape (BoE)'!W16</f>
        <v/>
      </c>
      <c r="Z15" s="17">
        <f>'Loan Tape (BoE)'!X16</f>
        <v/>
      </c>
      <c r="AA15" s="17">
        <f>IF(T15=1,Y15,MIN(Y15,Z15))</f>
        <v/>
      </c>
      <c r="AB15" s="17">
        <f>'Loan Tape (BoE)'!Y16</f>
        <v/>
      </c>
      <c r="AC15" s="17">
        <f>'Loan Tape (BoE)'!Z16</f>
        <v/>
      </c>
      <c r="AD15" s="17">
        <f>AB15+AC15</f>
        <v/>
      </c>
      <c r="AE15" s="18">
        <f>'Loan Tape (BoE)'!AA16</f>
        <v/>
      </c>
      <c r="AF15" s="18">
        <f>'Loan Tape (BoE)'!AB16</f>
        <v/>
      </c>
      <c r="AG15" s="18">
        <f>AE15+AF15</f>
        <v/>
      </c>
      <c r="AH15" s="19">
        <f>MAX('Loan Tape (BoE)'!AC16,'Loan Tape (BoE)'!AD16)</f>
        <v/>
      </c>
      <c r="AI15" s="18">
        <f>'Loan Tape (BoE)'!AE16</f>
        <v/>
      </c>
      <c r="AJ15" s="18">
        <f>B15*H15/12</f>
        <v/>
      </c>
      <c r="AK15" s="21">
        <f>IF(AJ15&gt;0,AI15/AJ15,0)</f>
        <v/>
      </c>
      <c r="AL15" s="17">
        <f>IF('Loan Tape (BoE)'!AF16=1,"Yes","No")</f>
        <v/>
      </c>
      <c r="AM15" s="17">
        <f>IF('Loan Tape (BoE)'!AH16=1,"Yes","No")</f>
        <v/>
      </c>
      <c r="AN15" s="17">
        <f>IF('Loan Tape (BoE)'!AI16=1,"Yes","No")</f>
        <v/>
      </c>
      <c r="AO15" s="17">
        <f>IF('Loan Tape (BoE)'!AJ16=1,"Yes","No")</f>
        <v/>
      </c>
      <c r="AP15" s="17">
        <f>IF(OR('Loan Tape (BoE)'!AQ15=1,'Loan Tape (BoE)'!AQ15=2),"Yes",IF('Loan Tape (BoE)'!AQ15=0,"No",""))</f>
        <v/>
      </c>
      <c r="AQ15" s="17">
        <f>IF('Loan Tape (BoE)'!BV49_115&lt;&gt;"",'Loan Tape (BoE)'!BV49_15,"")</f>
        <v/>
      </c>
      <c r="AR15" s="17">
        <f>IF('Loan Tape (BoE)'!BV150_15&lt;&gt;"",'Loan Tape (BoE)'!BV50_15,"")</f>
        <v/>
      </c>
      <c r="AS15" s="17">
        <f>IFERROR(INDEX('FF Adj Parameters'!$A$103:$B$1015,MATCH('Loan Tape (BoE)'!P15,INDEX('FF Adj Parameters'!$A$103:$B$1015,,1),0),2),"Unknown")</f>
        <v/>
      </c>
      <c r="AT15" s="17">
        <f>IF(N15="Interest Only",M5*O5/12,IF(AND(O5&gt;0,ISNUMBER(O5),ISNUMBER(M5)),ABS(PMT(O5/12,AU5,-M5)),0))</f>
        <v/>
      </c>
      <c r="AU15" s="17">
        <f>IF(ISNUMBER(L15),MAX(0,(L5-'Control Panel'!$B$10)*12/365.25),0)</f>
        <v/>
      </c>
      <c r="AV15" s="17">
        <f>IF(ISNUMBER(L15),IF(L5&gt;'Control Panel'!$B$10,"Valid","Past Maturity"),"No Date")</f>
        <v/>
      </c>
      <c r="AW15" s="17">
        <f>IF(ISNUMBER(K15),MAX(0,('Control Panel'!$B$10-K5)*12/365.25),0)</f>
        <v/>
      </c>
    </row>
    <row r="16">
      <c r="A16" s="17">
        <f>'Loan Tape (BoE)'!A17</f>
        <v/>
      </c>
      <c r="B16" s="18">
        <f>IFERROR(INDEX('FF Adj Parameters'!$A$89:$B$92,MATCH('Loan Tape (BoE)'!C16,INDEX('FF Adj Parameters'!$A$89:$B$92,,1),0),2),"Unknown")</f>
        <v/>
      </c>
      <c r="C16" s="18">
        <f>'Loan Tape (BoE)'!C17</f>
        <v/>
      </c>
      <c r="D16" s="18">
        <f>'Loan Tape (BoE)'!D17</f>
        <v/>
      </c>
      <c r="E16" s="18">
        <f>'Loan Tape (BoE)'!E17</f>
        <v/>
      </c>
      <c r="F16" s="19">
        <f>'Loan Tape (BoE)'!F17</f>
        <v/>
      </c>
      <c r="G16" s="19">
        <f>'Loan Tape (BoE)'!G17</f>
        <v/>
      </c>
      <c r="H16" s="20">
        <f>'Loan Tape (BoE)'!H17/100</f>
        <v/>
      </c>
      <c r="I16" s="17">
        <f>IFERROR(IFS('Loan Tape (BoE)'!I17=1,"House",'Loan Tape (BoE)'!I17=2,"Flat",'Loan Tape (BoE)'!I17=3,"Bungalow",'Loan Tape (BoE)'!I17=4,"Maisonette"),"")</f>
        <v/>
      </c>
      <c r="J16" s="17">
        <f>'Loan Tape (BoE)'!J17</f>
        <v/>
      </c>
      <c r="K16" s="17">
        <f>'Loan Tape (BoE)'!K17</f>
        <v/>
      </c>
      <c r="L16" s="17">
        <f>IFERROR(IFS('Loan Tape (BoE)'!L17=1,"Owner Occupied",'Loan Tape (BoE)'!L17=2,"BTL",'Loan Tape (BoE)'!L17=3,"Second Home",'Loan Tape (BoE)'!L17=4,"Investment"),"")</f>
        <v/>
      </c>
      <c r="M16" s="17">
        <f>IFERROR(IFS('Loan Tape (BoE)'!M17=1,"Purchase",'Loan Tape (BoE)'!M17=2,"Remortgage",OR('Loan Tape (BoE)'!M17=3,'Loan Tape (BoE)'!M17=4),"Cash-out"),"")</f>
        <v/>
      </c>
      <c r="N16" s="17">
        <f>IFERROR(INDEX('FF Adj Parameters'!$A$96:$B$99,MATCH('Loan Tape (BoE)'!R16,INDEX('FF Adj Parameters'!$A$96:$B$99,,1),0),2),"Unknown")</f>
        <v/>
      </c>
      <c r="O16" s="17">
        <f>IF('Loan Tape (BoE)'!O17=1,"Yes","No")</f>
        <v/>
      </c>
      <c r="P16" s="17">
        <f>IF('Loan Tape (BoE)'!P16=1,"Yes",IF('Loan Tape (BoE)'!P16=0,"No",""))</f>
        <v/>
      </c>
      <c r="Q16" s="17">
        <f>IF('Loan Tape (BoE)'!Q16=1,"Yes",IF('Loan Tape (BoE)'!Q16=0,"No",""))</f>
        <v/>
      </c>
      <c r="R16" s="18">
        <f>IF('Loan Tape (BoE)'!R16=1,"Yes",IF('Loan Tape (BoE)'!R16=0,"No",""))</f>
        <v/>
      </c>
      <c r="S16" s="18">
        <f>IF('Loan Tape (BoE)'!S16=1,"Yes",IF('Loan Tape (BoE)'!S16=0,"No",""))</f>
        <v/>
      </c>
      <c r="T16" s="17">
        <f>IF('Loan Tape (BoE)'!T16=1,"Yes",IF('Loan Tape (BoE)'!T16=0,"No",""))</f>
        <v/>
      </c>
      <c r="U16" s="18">
        <f>R16+S16</f>
        <v/>
      </c>
      <c r="V16" s="17">
        <f>IFERROR(IFS('Loan Tape (BoE)'!U17=1,"Employed",'Loan Tape (BoE)'!U17=2,"Self-Employed",'Loan Tape (BoE)'!U17=3,"Unemployed",'Loan Tape (BoE)'!U17=4,"Retired"),"")</f>
        <v/>
      </c>
      <c r="W16" s="17">
        <f>IFERROR(IFS('Loan Tape (BoE)'!V17=1,"Employed",'Loan Tape (BoE)'!V17=2,"Self-Employed",'Loan Tape (BoE)'!V17=3,"Unemployed",'Loan Tape (BoE)'!V17=4,"Retired"),"")</f>
        <v/>
      </c>
      <c r="X16" s="17">
        <f>IF(OR(V16="Self-Employed",W16="Self-Employed"),"Yes","No")</f>
        <v/>
      </c>
      <c r="Y16" s="17">
        <f>'Loan Tape (BoE)'!W17</f>
        <v/>
      </c>
      <c r="Z16" s="17">
        <f>'Loan Tape (BoE)'!X17</f>
        <v/>
      </c>
      <c r="AA16" s="17">
        <f>IF(T16=1,Y16,MIN(Y16,Z16))</f>
        <v/>
      </c>
      <c r="AB16" s="17">
        <f>'Loan Tape (BoE)'!Y17</f>
        <v/>
      </c>
      <c r="AC16" s="17">
        <f>'Loan Tape (BoE)'!Z17</f>
        <v/>
      </c>
      <c r="AD16" s="17">
        <f>AB16+AC16</f>
        <v/>
      </c>
      <c r="AE16" s="18">
        <f>'Loan Tape (BoE)'!AA17</f>
        <v/>
      </c>
      <c r="AF16" s="18">
        <f>'Loan Tape (BoE)'!AB17</f>
        <v/>
      </c>
      <c r="AG16" s="18">
        <f>AE16+AF16</f>
        <v/>
      </c>
      <c r="AH16" s="19">
        <f>MAX('Loan Tape (BoE)'!AC17,'Loan Tape (BoE)'!AD17)</f>
        <v/>
      </c>
      <c r="AI16" s="18">
        <f>'Loan Tape (BoE)'!AE17</f>
        <v/>
      </c>
      <c r="AJ16" s="18">
        <f>B16*H16/12</f>
        <v/>
      </c>
      <c r="AK16" s="21">
        <f>IF(AJ16&gt;0,AI16/AJ16,0)</f>
        <v/>
      </c>
      <c r="AL16" s="17">
        <f>IF('Loan Tape (BoE)'!AF17=1,"Yes","No")</f>
        <v/>
      </c>
      <c r="AM16" s="17">
        <f>IF('Loan Tape (BoE)'!AH17=1,"Yes","No")</f>
        <v/>
      </c>
      <c r="AN16" s="17">
        <f>IF('Loan Tape (BoE)'!AI17=1,"Yes","No")</f>
        <v/>
      </c>
      <c r="AO16" s="17">
        <f>IF('Loan Tape (BoE)'!AJ17=1,"Yes","No")</f>
        <v/>
      </c>
      <c r="AP16" s="17">
        <f>IF(OR('Loan Tape (BoE)'!AQ16=1,'Loan Tape (BoE)'!AQ16=2),"Yes",IF('Loan Tape (BoE)'!AQ16=0,"No",""))</f>
        <v/>
      </c>
      <c r="AQ16" s="17">
        <f>IF('Loan Tape (BoE)'!BV49_16&lt;&gt;"",'Loan Tape (BoE)'!BV49_16,"")</f>
        <v/>
      </c>
      <c r="AR16" s="17">
        <f>IF('Loan Tape (BoE)'!BV160_16&lt;&gt;"",'Loan Tape (BoE)'!BV50_16,"")</f>
        <v/>
      </c>
      <c r="AS16" s="17">
        <f>IFERROR(INDEX('FF Adj Parameters'!$A$103:$B$1016,MATCH('Loan Tape (BoE)'!P16,INDEX('FF Adj Parameters'!$A$103:$B$1016,,1),0),2),"Unknown")</f>
        <v/>
      </c>
      <c r="AT16" s="17">
        <f>IF(N16="Interest Only",M5*O5/12,IF(AND(O5&gt;0,ISNUMBER(O5),ISNUMBER(M5)),ABS(PMT(O5/12,AU5,-M5)),0))</f>
        <v/>
      </c>
      <c r="AU16" s="17">
        <f>IF(ISNUMBER(L16),MAX(0,(L5-'Control Panel'!$B$10)*12/365.25),0)</f>
        <v/>
      </c>
      <c r="AV16" s="17">
        <f>IF(ISNUMBER(L16),IF(L5&gt;'Control Panel'!$B$10,"Valid","Past Maturity"),"No Date")</f>
        <v/>
      </c>
      <c r="AW16" s="17">
        <f>IF(ISNUMBER(K16),MAX(0,('Control Panel'!$B$10-K5)*12/365.25),0)</f>
        <v/>
      </c>
    </row>
    <row r="17">
      <c r="A17" s="17">
        <f>'Loan Tape (BoE)'!A18</f>
        <v/>
      </c>
      <c r="B17" s="18">
        <f>IFERROR(INDEX('FF Adj Parameters'!$A$89:$B$92,MATCH('Loan Tape (BoE)'!C17,INDEX('FF Adj Parameters'!$A$89:$B$92,,1),0),2),"Unknown")</f>
        <v/>
      </c>
      <c r="C17" s="18">
        <f>'Loan Tape (BoE)'!C18</f>
        <v/>
      </c>
      <c r="D17" s="18">
        <f>'Loan Tape (BoE)'!D18</f>
        <v/>
      </c>
      <c r="E17" s="18">
        <f>'Loan Tape (BoE)'!E18</f>
        <v/>
      </c>
      <c r="F17" s="19">
        <f>'Loan Tape (BoE)'!F18</f>
        <v/>
      </c>
      <c r="G17" s="19">
        <f>'Loan Tape (BoE)'!G18</f>
        <v/>
      </c>
      <c r="H17" s="20">
        <f>'Loan Tape (BoE)'!H18/100</f>
        <v/>
      </c>
      <c r="I17" s="17">
        <f>IFERROR(IFS('Loan Tape (BoE)'!I18=1,"House",'Loan Tape (BoE)'!I18=2,"Flat",'Loan Tape (BoE)'!I18=3,"Bungalow",'Loan Tape (BoE)'!I18=4,"Maisonette"),"")</f>
        <v/>
      </c>
      <c r="J17" s="17">
        <f>'Loan Tape (BoE)'!J18</f>
        <v/>
      </c>
      <c r="K17" s="17">
        <f>'Loan Tape (BoE)'!K18</f>
        <v/>
      </c>
      <c r="L17" s="17">
        <f>IFERROR(IFS('Loan Tape (BoE)'!L18=1,"Owner Occupied",'Loan Tape (BoE)'!L18=2,"BTL",'Loan Tape (BoE)'!L18=3,"Second Home",'Loan Tape (BoE)'!L18=4,"Investment"),"")</f>
        <v/>
      </c>
      <c r="M17" s="17">
        <f>IFERROR(IFS('Loan Tape (BoE)'!M18=1,"Purchase",'Loan Tape (BoE)'!M18=2,"Remortgage",OR('Loan Tape (BoE)'!M18=3,'Loan Tape (BoE)'!M18=4),"Cash-out"),"")</f>
        <v/>
      </c>
      <c r="N17" s="17">
        <f>IFERROR(INDEX('FF Adj Parameters'!$A$96:$B$99,MATCH('Loan Tape (BoE)'!R17,INDEX('FF Adj Parameters'!$A$96:$B$99,,1),0),2),"Unknown")</f>
        <v/>
      </c>
      <c r="O17" s="17">
        <f>IF('Loan Tape (BoE)'!O18=1,"Yes","No")</f>
        <v/>
      </c>
      <c r="P17" s="17">
        <f>IF('Loan Tape (BoE)'!P17=1,"Yes",IF('Loan Tape (BoE)'!P17=0,"No",""))</f>
        <v/>
      </c>
      <c r="Q17" s="17">
        <f>IF('Loan Tape (BoE)'!Q17=1,"Yes",IF('Loan Tape (BoE)'!Q17=0,"No",""))</f>
        <v/>
      </c>
      <c r="R17" s="18">
        <f>IF('Loan Tape (BoE)'!R17=1,"Yes",IF('Loan Tape (BoE)'!R17=0,"No",""))</f>
        <v/>
      </c>
      <c r="S17" s="18">
        <f>IF('Loan Tape (BoE)'!S17=1,"Yes",IF('Loan Tape (BoE)'!S17=0,"No",""))</f>
        <v/>
      </c>
      <c r="T17" s="17">
        <f>IF('Loan Tape (BoE)'!T17=1,"Yes",IF('Loan Tape (BoE)'!T17=0,"No",""))</f>
        <v/>
      </c>
      <c r="U17" s="18">
        <f>R17+S17</f>
        <v/>
      </c>
      <c r="V17" s="17">
        <f>IFERROR(IFS('Loan Tape (BoE)'!U18=1,"Employed",'Loan Tape (BoE)'!U18=2,"Self-Employed",'Loan Tape (BoE)'!U18=3,"Unemployed",'Loan Tape (BoE)'!U18=4,"Retired"),"")</f>
        <v/>
      </c>
      <c r="W17" s="17">
        <f>IFERROR(IFS('Loan Tape (BoE)'!V18=1,"Employed",'Loan Tape (BoE)'!V18=2,"Self-Employed",'Loan Tape (BoE)'!V18=3,"Unemployed",'Loan Tape (BoE)'!V18=4,"Retired"),"")</f>
        <v/>
      </c>
      <c r="X17" s="17">
        <f>IF(OR(V17="Self-Employed",W17="Self-Employed"),"Yes","No")</f>
        <v/>
      </c>
      <c r="Y17" s="17">
        <f>'Loan Tape (BoE)'!W18</f>
        <v/>
      </c>
      <c r="Z17" s="17">
        <f>'Loan Tape (BoE)'!X18</f>
        <v/>
      </c>
      <c r="AA17" s="17">
        <f>IF(T17=1,Y17,MIN(Y17,Z17))</f>
        <v/>
      </c>
      <c r="AB17" s="17">
        <f>'Loan Tape (BoE)'!Y18</f>
        <v/>
      </c>
      <c r="AC17" s="17">
        <f>'Loan Tape (BoE)'!Z18</f>
        <v/>
      </c>
      <c r="AD17" s="17">
        <f>AB17+AC17</f>
        <v/>
      </c>
      <c r="AE17" s="18">
        <f>'Loan Tape (BoE)'!AA18</f>
        <v/>
      </c>
      <c r="AF17" s="18">
        <f>'Loan Tape (BoE)'!AB18</f>
        <v/>
      </c>
      <c r="AG17" s="18">
        <f>AE17+AF17</f>
        <v/>
      </c>
      <c r="AH17" s="19">
        <f>MAX('Loan Tape (BoE)'!AC18,'Loan Tape (BoE)'!AD18)</f>
        <v/>
      </c>
      <c r="AI17" s="18">
        <f>'Loan Tape (BoE)'!AE18</f>
        <v/>
      </c>
      <c r="AJ17" s="18">
        <f>B17*H17/12</f>
        <v/>
      </c>
      <c r="AK17" s="21">
        <f>IF(AJ17&gt;0,AI17/AJ17,0)</f>
        <v/>
      </c>
      <c r="AL17" s="17">
        <f>IF('Loan Tape (BoE)'!AF18=1,"Yes","No")</f>
        <v/>
      </c>
      <c r="AM17" s="17">
        <f>IF('Loan Tape (BoE)'!AH18=1,"Yes","No")</f>
        <v/>
      </c>
      <c r="AN17" s="17">
        <f>IF('Loan Tape (BoE)'!AI18=1,"Yes","No")</f>
        <v/>
      </c>
      <c r="AO17" s="17">
        <f>IF('Loan Tape (BoE)'!AJ18=1,"Yes","No")</f>
        <v/>
      </c>
      <c r="AP17" s="17">
        <f>IF(OR('Loan Tape (BoE)'!AQ17=1,'Loan Tape (BoE)'!AQ17=2),"Yes",IF('Loan Tape (BoE)'!AQ17=0,"No",""))</f>
        <v/>
      </c>
      <c r="AQ17" s="17">
        <f>IF('Loan Tape (BoE)'!BV49_17&lt;&gt;"",'Loan Tape (BoE)'!BV49_17,"")</f>
        <v/>
      </c>
      <c r="AR17" s="17">
        <f>IF('Loan Tape (BoE)'!BV170_17&lt;&gt;"",'Loan Tape (BoE)'!BV50_17,"")</f>
        <v/>
      </c>
      <c r="AS17" s="17">
        <f>IFERROR(INDEX('FF Adj Parameters'!$A$103:$B$1017,MATCH('Loan Tape (BoE)'!P17,INDEX('FF Adj Parameters'!$A$103:$B$1017,,1),0),2),"Unknown")</f>
        <v/>
      </c>
      <c r="AT17" s="17">
        <f>IF(N17="Interest Only",M5*O5/12,IF(AND(O5&gt;0,ISNUMBER(O5),ISNUMBER(M5)),ABS(PMT(O5/12,AU5,-M5)),0))</f>
        <v/>
      </c>
      <c r="AU17" s="17">
        <f>IF(ISNUMBER(L17),MAX(0,(L5-'Control Panel'!$B$10)*12/365.25),0)</f>
        <v/>
      </c>
      <c r="AV17" s="17">
        <f>IF(ISNUMBER(L17),IF(L5&gt;'Control Panel'!$B$10,"Valid","Past Maturity"),"No Date")</f>
        <v/>
      </c>
      <c r="AW17" s="17">
        <f>IF(ISNUMBER(K17),MAX(0,('Control Panel'!$B$10-K5)*12/365.25),0)</f>
        <v/>
      </c>
    </row>
    <row r="18">
      <c r="A18" s="17">
        <f>'Loan Tape (BoE)'!A19</f>
        <v/>
      </c>
      <c r="B18" s="18">
        <f>IFERROR(INDEX('FF Adj Parameters'!$A$89:$B$92,MATCH('Loan Tape (BoE)'!C18,INDEX('FF Adj Parameters'!$A$89:$B$92,,1),0),2),"Unknown")</f>
        <v/>
      </c>
      <c r="C18" s="18">
        <f>'Loan Tape (BoE)'!C19</f>
        <v/>
      </c>
      <c r="D18" s="18">
        <f>'Loan Tape (BoE)'!D19</f>
        <v/>
      </c>
      <c r="E18" s="18">
        <f>'Loan Tape (BoE)'!E19</f>
        <v/>
      </c>
      <c r="F18" s="19">
        <f>'Loan Tape (BoE)'!F19</f>
        <v/>
      </c>
      <c r="G18" s="19">
        <f>'Loan Tape (BoE)'!G19</f>
        <v/>
      </c>
      <c r="H18" s="20">
        <f>'Loan Tape (BoE)'!H19/100</f>
        <v/>
      </c>
      <c r="I18" s="17">
        <f>IFERROR(IFS('Loan Tape (BoE)'!I19=1,"House",'Loan Tape (BoE)'!I19=2,"Flat",'Loan Tape (BoE)'!I19=3,"Bungalow",'Loan Tape (BoE)'!I19=4,"Maisonette"),"")</f>
        <v/>
      </c>
      <c r="J18" s="17">
        <f>'Loan Tape (BoE)'!J19</f>
        <v/>
      </c>
      <c r="K18" s="17">
        <f>'Loan Tape (BoE)'!K19</f>
        <v/>
      </c>
      <c r="L18" s="17">
        <f>IFERROR(IFS('Loan Tape (BoE)'!L19=1,"Owner Occupied",'Loan Tape (BoE)'!L19=2,"BTL",'Loan Tape (BoE)'!L19=3,"Second Home",'Loan Tape (BoE)'!L19=4,"Investment"),"")</f>
        <v/>
      </c>
      <c r="M18" s="17">
        <f>IFERROR(IFS('Loan Tape (BoE)'!M19=1,"Purchase",'Loan Tape (BoE)'!M19=2,"Remortgage",OR('Loan Tape (BoE)'!M19=3,'Loan Tape (BoE)'!M19=4),"Cash-out"),"")</f>
        <v/>
      </c>
      <c r="N18" s="17">
        <f>IFERROR(INDEX('FF Adj Parameters'!$A$96:$B$99,MATCH('Loan Tape (BoE)'!R18,INDEX('FF Adj Parameters'!$A$96:$B$99,,1),0),2),"Unknown")</f>
        <v/>
      </c>
      <c r="O18" s="17">
        <f>IF('Loan Tape (BoE)'!O19=1,"Yes","No")</f>
        <v/>
      </c>
      <c r="P18" s="17">
        <f>IF('Loan Tape (BoE)'!P18=1,"Yes",IF('Loan Tape (BoE)'!P18=0,"No",""))</f>
        <v/>
      </c>
      <c r="Q18" s="17">
        <f>IF('Loan Tape (BoE)'!Q18=1,"Yes",IF('Loan Tape (BoE)'!Q18=0,"No",""))</f>
        <v/>
      </c>
      <c r="R18" s="18">
        <f>IF('Loan Tape (BoE)'!R18=1,"Yes",IF('Loan Tape (BoE)'!R18=0,"No",""))</f>
        <v/>
      </c>
      <c r="S18" s="18">
        <f>IF('Loan Tape (BoE)'!S18=1,"Yes",IF('Loan Tape (BoE)'!S18=0,"No",""))</f>
        <v/>
      </c>
      <c r="T18" s="17">
        <f>IF('Loan Tape (BoE)'!T18=1,"Yes",IF('Loan Tape (BoE)'!T18=0,"No",""))</f>
        <v/>
      </c>
      <c r="U18" s="18">
        <f>R18+S18</f>
        <v/>
      </c>
      <c r="V18" s="17">
        <f>IFERROR(IFS('Loan Tape (BoE)'!U19=1,"Employed",'Loan Tape (BoE)'!U19=2,"Self-Employed",'Loan Tape (BoE)'!U19=3,"Unemployed",'Loan Tape (BoE)'!U19=4,"Retired"),"")</f>
        <v/>
      </c>
      <c r="W18" s="17">
        <f>IFERROR(IFS('Loan Tape (BoE)'!V19=1,"Employed",'Loan Tape (BoE)'!V19=2,"Self-Employed",'Loan Tape (BoE)'!V19=3,"Unemployed",'Loan Tape (BoE)'!V19=4,"Retired"),"")</f>
        <v/>
      </c>
      <c r="X18" s="17">
        <f>IF(OR(V18="Self-Employed",W18="Self-Employed"),"Yes","No")</f>
        <v/>
      </c>
      <c r="Y18" s="17">
        <f>'Loan Tape (BoE)'!W19</f>
        <v/>
      </c>
      <c r="Z18" s="17">
        <f>'Loan Tape (BoE)'!X19</f>
        <v/>
      </c>
      <c r="AA18" s="17">
        <f>IF(T18=1,Y18,MIN(Y18,Z18))</f>
        <v/>
      </c>
      <c r="AB18" s="17">
        <f>'Loan Tape (BoE)'!Y19</f>
        <v/>
      </c>
      <c r="AC18" s="17">
        <f>'Loan Tape (BoE)'!Z19</f>
        <v/>
      </c>
      <c r="AD18" s="17">
        <f>AB18+AC18</f>
        <v/>
      </c>
      <c r="AE18" s="18">
        <f>'Loan Tape (BoE)'!AA19</f>
        <v/>
      </c>
      <c r="AF18" s="18">
        <f>'Loan Tape (BoE)'!AB19</f>
        <v/>
      </c>
      <c r="AG18" s="18">
        <f>AE18+AF18</f>
        <v/>
      </c>
      <c r="AH18" s="19">
        <f>MAX('Loan Tape (BoE)'!AC19,'Loan Tape (BoE)'!AD19)</f>
        <v/>
      </c>
      <c r="AI18" s="18">
        <f>'Loan Tape (BoE)'!AE19</f>
        <v/>
      </c>
      <c r="AJ18" s="18">
        <f>B18*H18/12</f>
        <v/>
      </c>
      <c r="AK18" s="21">
        <f>IF(AJ18&gt;0,AI18/AJ18,0)</f>
        <v/>
      </c>
      <c r="AL18" s="17">
        <f>IF('Loan Tape (BoE)'!AF19=1,"Yes","No")</f>
        <v/>
      </c>
      <c r="AM18" s="17">
        <f>IF('Loan Tape (BoE)'!AH19=1,"Yes","No")</f>
        <v/>
      </c>
      <c r="AN18" s="17">
        <f>IF('Loan Tape (BoE)'!AI19=1,"Yes","No")</f>
        <v/>
      </c>
      <c r="AO18" s="17">
        <f>IF('Loan Tape (BoE)'!AJ19=1,"Yes","No")</f>
        <v/>
      </c>
      <c r="AP18" s="17">
        <f>IF(OR('Loan Tape (BoE)'!AQ18=1,'Loan Tape (BoE)'!AQ18=2),"Yes",IF('Loan Tape (BoE)'!AQ18=0,"No",""))</f>
        <v/>
      </c>
      <c r="AQ18" s="17">
        <f>IF('Loan Tape (BoE)'!BV49_18&lt;&gt;"",'Loan Tape (BoE)'!BV49_18,"")</f>
        <v/>
      </c>
      <c r="AR18" s="17">
        <f>IF('Loan Tape (BoE)'!BV180_18&lt;&gt;"",'Loan Tape (BoE)'!BV50_18,"")</f>
        <v/>
      </c>
      <c r="AS18" s="17">
        <f>IFERROR(INDEX('FF Adj Parameters'!$A$103:$B$1018,MATCH('Loan Tape (BoE)'!P18,INDEX('FF Adj Parameters'!$A$103:$B$1018,,1),0),2),"Unknown")</f>
        <v/>
      </c>
      <c r="AT18" s="17">
        <f>IF(N18="Interest Only",M5*O5/12,IF(AND(O5&gt;0,ISNUMBER(O5),ISNUMBER(M5)),ABS(PMT(O5/12,AU5,-M5)),0))</f>
        <v/>
      </c>
      <c r="AU18" s="17">
        <f>IF(ISNUMBER(L18),MAX(0,(L5-'Control Panel'!$B$10)*12/365.25),0)</f>
        <v/>
      </c>
      <c r="AV18" s="17">
        <f>IF(ISNUMBER(L18),IF(L5&gt;'Control Panel'!$B$10,"Valid","Past Maturity"),"No Date")</f>
        <v/>
      </c>
      <c r="AW18" s="17">
        <f>IF(ISNUMBER(K18),MAX(0,('Control Panel'!$B$10-K5)*12/365.25),0)</f>
        <v/>
      </c>
    </row>
    <row r="19">
      <c r="A19" s="17">
        <f>'Loan Tape (BoE)'!A20</f>
        <v/>
      </c>
      <c r="B19" s="18">
        <f>IFERROR(INDEX('FF Adj Parameters'!$A$89:$B$92,MATCH('Loan Tape (BoE)'!C19,INDEX('FF Adj Parameters'!$A$89:$B$92,,1),0),2),"Unknown")</f>
        <v/>
      </c>
      <c r="C19" s="18">
        <f>'Loan Tape (BoE)'!C20</f>
        <v/>
      </c>
      <c r="D19" s="18">
        <f>'Loan Tape (BoE)'!D20</f>
        <v/>
      </c>
      <c r="E19" s="18">
        <f>'Loan Tape (BoE)'!E20</f>
        <v/>
      </c>
      <c r="F19" s="19">
        <f>'Loan Tape (BoE)'!F20</f>
        <v/>
      </c>
      <c r="G19" s="19">
        <f>'Loan Tape (BoE)'!G20</f>
        <v/>
      </c>
      <c r="H19" s="20">
        <f>'Loan Tape (BoE)'!H20/100</f>
        <v/>
      </c>
      <c r="I19" s="17">
        <f>IFERROR(IFS('Loan Tape (BoE)'!I20=1,"House",'Loan Tape (BoE)'!I20=2,"Flat",'Loan Tape (BoE)'!I20=3,"Bungalow",'Loan Tape (BoE)'!I20=4,"Maisonette"),"")</f>
        <v/>
      </c>
      <c r="J19" s="17">
        <f>'Loan Tape (BoE)'!J20</f>
        <v/>
      </c>
      <c r="K19" s="17">
        <f>'Loan Tape (BoE)'!K20</f>
        <v/>
      </c>
      <c r="L19" s="17">
        <f>IFERROR(IFS('Loan Tape (BoE)'!L20=1,"Owner Occupied",'Loan Tape (BoE)'!L20=2,"BTL",'Loan Tape (BoE)'!L20=3,"Second Home",'Loan Tape (BoE)'!L20=4,"Investment"),"")</f>
        <v/>
      </c>
      <c r="M19" s="17">
        <f>IFERROR(IFS('Loan Tape (BoE)'!M20=1,"Purchase",'Loan Tape (BoE)'!M20=2,"Remortgage",OR('Loan Tape (BoE)'!M20=3,'Loan Tape (BoE)'!M20=4),"Cash-out"),"")</f>
        <v/>
      </c>
      <c r="N19" s="17">
        <f>IFERROR(INDEX('FF Adj Parameters'!$A$96:$B$99,MATCH('Loan Tape (BoE)'!R19,INDEX('FF Adj Parameters'!$A$96:$B$99,,1),0),2),"Unknown")</f>
        <v/>
      </c>
      <c r="O19" s="17">
        <f>IF('Loan Tape (BoE)'!O20=1,"Yes","No")</f>
        <v/>
      </c>
      <c r="P19" s="17">
        <f>IF('Loan Tape (BoE)'!P19=1,"Yes",IF('Loan Tape (BoE)'!P19=0,"No",""))</f>
        <v/>
      </c>
      <c r="Q19" s="17">
        <f>IF('Loan Tape (BoE)'!Q19=1,"Yes",IF('Loan Tape (BoE)'!Q19=0,"No",""))</f>
        <v/>
      </c>
      <c r="R19" s="18">
        <f>IF('Loan Tape (BoE)'!R19=1,"Yes",IF('Loan Tape (BoE)'!R19=0,"No",""))</f>
        <v/>
      </c>
      <c r="S19" s="18">
        <f>IF('Loan Tape (BoE)'!S19=1,"Yes",IF('Loan Tape (BoE)'!S19=0,"No",""))</f>
        <v/>
      </c>
      <c r="T19" s="17">
        <f>IF('Loan Tape (BoE)'!T19=1,"Yes",IF('Loan Tape (BoE)'!T19=0,"No",""))</f>
        <v/>
      </c>
      <c r="U19" s="18">
        <f>R19+S19</f>
        <v/>
      </c>
      <c r="V19" s="17">
        <f>IFERROR(IFS('Loan Tape (BoE)'!U20=1,"Employed",'Loan Tape (BoE)'!U20=2,"Self-Employed",'Loan Tape (BoE)'!U20=3,"Unemployed",'Loan Tape (BoE)'!U20=4,"Retired"),"")</f>
        <v/>
      </c>
      <c r="W19" s="17">
        <f>IFERROR(IFS('Loan Tape (BoE)'!V20=1,"Employed",'Loan Tape (BoE)'!V20=2,"Self-Employed",'Loan Tape (BoE)'!V20=3,"Unemployed",'Loan Tape (BoE)'!V20=4,"Retired"),"")</f>
        <v/>
      </c>
      <c r="X19" s="17">
        <f>IF(OR(V19="Self-Employed",W19="Self-Employed"),"Yes","No")</f>
        <v/>
      </c>
      <c r="Y19" s="17">
        <f>'Loan Tape (BoE)'!W20</f>
        <v/>
      </c>
      <c r="Z19" s="17">
        <f>'Loan Tape (BoE)'!X20</f>
        <v/>
      </c>
      <c r="AA19" s="17">
        <f>IF(T19=1,Y19,MIN(Y19,Z19))</f>
        <v/>
      </c>
      <c r="AB19" s="17">
        <f>'Loan Tape (BoE)'!Y20</f>
        <v/>
      </c>
      <c r="AC19" s="17">
        <f>'Loan Tape (BoE)'!Z20</f>
        <v/>
      </c>
      <c r="AD19" s="17">
        <f>AB19+AC19</f>
        <v/>
      </c>
      <c r="AE19" s="18">
        <f>'Loan Tape (BoE)'!AA20</f>
        <v/>
      </c>
      <c r="AF19" s="18">
        <f>'Loan Tape (BoE)'!AB20</f>
        <v/>
      </c>
      <c r="AG19" s="18">
        <f>AE19+AF19</f>
        <v/>
      </c>
      <c r="AH19" s="19">
        <f>MAX('Loan Tape (BoE)'!AC20,'Loan Tape (BoE)'!AD20)</f>
        <v/>
      </c>
      <c r="AI19" s="18">
        <f>'Loan Tape (BoE)'!AE20</f>
        <v/>
      </c>
      <c r="AJ19" s="18">
        <f>B19*H19/12</f>
        <v/>
      </c>
      <c r="AK19" s="21">
        <f>IF(AJ19&gt;0,AI19/AJ19,0)</f>
        <v/>
      </c>
      <c r="AL19" s="17">
        <f>IF('Loan Tape (BoE)'!AF20=1,"Yes","No")</f>
        <v/>
      </c>
      <c r="AM19" s="17">
        <f>IF('Loan Tape (BoE)'!AH20=1,"Yes","No")</f>
        <v/>
      </c>
      <c r="AN19" s="17">
        <f>IF('Loan Tape (BoE)'!AI20=1,"Yes","No")</f>
        <v/>
      </c>
      <c r="AO19" s="17">
        <f>IF('Loan Tape (BoE)'!AJ20=1,"Yes","No")</f>
        <v/>
      </c>
      <c r="AP19" s="17">
        <f>IF(OR('Loan Tape (BoE)'!AQ19=1,'Loan Tape (BoE)'!AQ19=2),"Yes",IF('Loan Tape (BoE)'!AQ19=0,"No",""))</f>
        <v/>
      </c>
      <c r="AQ19" s="17">
        <f>IF('Loan Tape (BoE)'!BV49_19&lt;&gt;"",'Loan Tape (BoE)'!BV49_19,"")</f>
        <v/>
      </c>
      <c r="AR19" s="17">
        <f>IF('Loan Tape (BoE)'!BV190_19&lt;&gt;"",'Loan Tape (BoE)'!BV50_19,"")</f>
        <v/>
      </c>
      <c r="AS19" s="17">
        <f>IFERROR(INDEX('FF Adj Parameters'!$A$103:$B$1019,MATCH('Loan Tape (BoE)'!P19,INDEX('FF Adj Parameters'!$A$103:$B$1019,,1),0),2),"Unknown")</f>
        <v/>
      </c>
      <c r="AT19" s="17">
        <f>IF(N19="Interest Only",M5*O5/12,IF(AND(O5&gt;0,ISNUMBER(O5),ISNUMBER(M5)),ABS(PMT(O5/12,AU5,-M5)),0))</f>
        <v/>
      </c>
      <c r="AU19" s="17">
        <f>IF(ISNUMBER(L19),MAX(0,(L5-'Control Panel'!$B$10)*12/365.25),0)</f>
        <v/>
      </c>
      <c r="AV19" s="17">
        <f>IF(ISNUMBER(L19),IF(L5&gt;'Control Panel'!$B$10,"Valid","Past Maturity"),"No Date")</f>
        <v/>
      </c>
      <c r="AW19" s="17">
        <f>IF(ISNUMBER(K19),MAX(0,('Control Panel'!$B$10-K5)*12/365.25),0)</f>
        <v/>
      </c>
    </row>
    <row r="20">
      <c r="A20" s="17">
        <f>'Loan Tape (BoE)'!A21</f>
        <v/>
      </c>
      <c r="B20" s="18">
        <f>IFERROR(INDEX('FF Adj Parameters'!$A$89:$B$92,MATCH('Loan Tape (BoE)'!C20,INDEX('FF Adj Parameters'!$A$89:$B$92,,1),0),2),"Unknown")</f>
        <v/>
      </c>
      <c r="C20" s="18">
        <f>'Loan Tape (BoE)'!C21</f>
        <v/>
      </c>
      <c r="D20" s="18">
        <f>'Loan Tape (BoE)'!D21</f>
        <v/>
      </c>
      <c r="E20" s="18">
        <f>'Loan Tape (BoE)'!E21</f>
        <v/>
      </c>
      <c r="F20" s="19">
        <f>'Loan Tape (BoE)'!F21</f>
        <v/>
      </c>
      <c r="G20" s="19">
        <f>'Loan Tape (BoE)'!G21</f>
        <v/>
      </c>
      <c r="H20" s="20">
        <f>'Loan Tape (BoE)'!H21/100</f>
        <v/>
      </c>
      <c r="I20" s="17">
        <f>IFERROR(IFS('Loan Tape (BoE)'!I21=1,"House",'Loan Tape (BoE)'!I21=2,"Flat",'Loan Tape (BoE)'!I21=3,"Bungalow",'Loan Tape (BoE)'!I21=4,"Maisonette"),"")</f>
        <v/>
      </c>
      <c r="J20" s="17">
        <f>'Loan Tape (BoE)'!J21</f>
        <v/>
      </c>
      <c r="K20" s="17">
        <f>'Loan Tape (BoE)'!K21</f>
        <v/>
      </c>
      <c r="L20" s="17">
        <f>IFERROR(IFS('Loan Tape (BoE)'!L21=1,"Owner Occupied",'Loan Tape (BoE)'!L21=2,"BTL",'Loan Tape (BoE)'!L21=3,"Second Home",'Loan Tape (BoE)'!L21=4,"Investment"),"")</f>
        <v/>
      </c>
      <c r="M20" s="17">
        <f>IFERROR(IFS('Loan Tape (BoE)'!M21=1,"Purchase",'Loan Tape (BoE)'!M21=2,"Remortgage",OR('Loan Tape (BoE)'!M21=3,'Loan Tape (BoE)'!M21=4),"Cash-out"),"")</f>
        <v/>
      </c>
      <c r="N20" s="17">
        <f>IFERROR(INDEX('FF Adj Parameters'!$A$96:$B$99,MATCH('Loan Tape (BoE)'!R20,INDEX('FF Adj Parameters'!$A$96:$B$99,,1),0),2),"Unknown")</f>
        <v/>
      </c>
      <c r="O20" s="17">
        <f>IF('Loan Tape (BoE)'!O21=1,"Yes","No")</f>
        <v/>
      </c>
      <c r="P20" s="17">
        <f>IF('Loan Tape (BoE)'!P20=1,"Yes",IF('Loan Tape (BoE)'!P20=0,"No",""))</f>
        <v/>
      </c>
      <c r="Q20" s="17">
        <f>IF('Loan Tape (BoE)'!Q20=1,"Yes",IF('Loan Tape (BoE)'!Q20=0,"No",""))</f>
        <v/>
      </c>
      <c r="R20" s="18">
        <f>IF('Loan Tape (BoE)'!R20=1,"Yes",IF('Loan Tape (BoE)'!R20=0,"No",""))</f>
        <v/>
      </c>
      <c r="S20" s="18">
        <f>IF('Loan Tape (BoE)'!S20=1,"Yes",IF('Loan Tape (BoE)'!S20=0,"No",""))</f>
        <v/>
      </c>
      <c r="T20" s="17">
        <f>IF('Loan Tape (BoE)'!T20=1,"Yes",IF('Loan Tape (BoE)'!T20=0,"No",""))</f>
        <v/>
      </c>
      <c r="U20" s="18">
        <f>R20+S20</f>
        <v/>
      </c>
      <c r="V20" s="17">
        <f>IFERROR(IFS('Loan Tape (BoE)'!U21=1,"Employed",'Loan Tape (BoE)'!U21=2,"Self-Employed",'Loan Tape (BoE)'!U21=3,"Unemployed",'Loan Tape (BoE)'!U21=4,"Retired"),"")</f>
        <v/>
      </c>
      <c r="W20" s="17">
        <f>IFERROR(IFS('Loan Tape (BoE)'!V21=1,"Employed",'Loan Tape (BoE)'!V21=2,"Self-Employed",'Loan Tape (BoE)'!V21=3,"Unemployed",'Loan Tape (BoE)'!V21=4,"Retired"),"")</f>
        <v/>
      </c>
      <c r="X20" s="17">
        <f>IF(OR(V20="Self-Employed",W20="Self-Employed"),"Yes","No")</f>
        <v/>
      </c>
      <c r="Y20" s="17">
        <f>'Loan Tape (BoE)'!W21</f>
        <v/>
      </c>
      <c r="Z20" s="17">
        <f>'Loan Tape (BoE)'!X21</f>
        <v/>
      </c>
      <c r="AA20" s="17">
        <f>IF(T20=1,Y20,MIN(Y20,Z20))</f>
        <v/>
      </c>
      <c r="AB20" s="17">
        <f>'Loan Tape (BoE)'!Y21</f>
        <v/>
      </c>
      <c r="AC20" s="17">
        <f>'Loan Tape (BoE)'!Z21</f>
        <v/>
      </c>
      <c r="AD20" s="17">
        <f>AB20+AC20</f>
        <v/>
      </c>
      <c r="AE20" s="18">
        <f>'Loan Tape (BoE)'!AA21</f>
        <v/>
      </c>
      <c r="AF20" s="18">
        <f>'Loan Tape (BoE)'!AB21</f>
        <v/>
      </c>
      <c r="AG20" s="18">
        <f>AE20+AF20</f>
        <v/>
      </c>
      <c r="AH20" s="19">
        <f>MAX('Loan Tape (BoE)'!AC21,'Loan Tape (BoE)'!AD21)</f>
        <v/>
      </c>
      <c r="AI20" s="18">
        <f>'Loan Tape (BoE)'!AE21</f>
        <v/>
      </c>
      <c r="AJ20" s="18">
        <f>B20*H20/12</f>
        <v/>
      </c>
      <c r="AK20" s="21">
        <f>IF(AJ20&gt;0,AI20/AJ20,0)</f>
        <v/>
      </c>
      <c r="AL20" s="17">
        <f>IF('Loan Tape (BoE)'!AF21=1,"Yes","No")</f>
        <v/>
      </c>
      <c r="AM20" s="17">
        <f>IF('Loan Tape (BoE)'!AH21=1,"Yes","No")</f>
        <v/>
      </c>
      <c r="AN20" s="17">
        <f>IF('Loan Tape (BoE)'!AI21=1,"Yes","No")</f>
        <v/>
      </c>
      <c r="AO20" s="17">
        <f>IF('Loan Tape (BoE)'!AJ21=1,"Yes","No")</f>
        <v/>
      </c>
      <c r="AP20" s="17">
        <f>IF(OR('Loan Tape (BoE)'!AQ20=1,'Loan Tape (BoE)'!AQ20=2),"Yes",IF('Loan Tape (BoE)'!AQ20=0,"No",""))</f>
        <v/>
      </c>
      <c r="AQ20" s="17">
        <f>IF('Loan Tape (BoE)'!BV49_20&lt;&gt;"",'Loan Tape (BoE)'!BV49_20,"")</f>
        <v/>
      </c>
      <c r="AR20" s="17">
        <f>IF('Loan Tape (BoE)'!BV200_20&lt;&gt;"",'Loan Tape (BoE)'!BV50_20,"")</f>
        <v/>
      </c>
      <c r="AS20" s="17">
        <f>IFERROR(INDEX('FF Adj Parameters'!$A$103:$B$1020,MATCH('Loan Tape (BoE)'!P20,INDEX('FF Adj Parameters'!$A$103:$B$1020,,1),0),2),"Unknown")</f>
        <v/>
      </c>
      <c r="AT20" s="17">
        <f>IF(N20="Interest Only",M5*O5/12,IF(AND(O5&gt;0,ISNUMBER(O5),ISNUMBER(M5)),ABS(PMT(O5/12,AU5,-M5)),0))</f>
        <v/>
      </c>
      <c r="AU20" s="17">
        <f>IF(ISNUMBER(L20),MAX(0,(L5-'Control Panel'!$B$10)*12/365.25),0)</f>
        <v/>
      </c>
      <c r="AV20" s="17">
        <f>IF(ISNUMBER(L20),IF(L5&gt;'Control Panel'!$B$10,"Valid","Past Maturity"),"No Date")</f>
        <v/>
      </c>
      <c r="AW20" s="17">
        <f>IF(ISNUMBER(K20),MAX(0,('Control Panel'!$B$10-K5)*12/365.25),0)</f>
        <v/>
      </c>
    </row>
    <row r="21">
      <c r="A21" s="17">
        <f>'Loan Tape (BoE)'!A22</f>
        <v/>
      </c>
      <c r="B21" s="18">
        <f>IFERROR(INDEX('FF Adj Parameters'!$A$89:$B$92,MATCH('Loan Tape (BoE)'!C21,INDEX('FF Adj Parameters'!$A$89:$B$92,,1),0),2),"Unknown")</f>
        <v/>
      </c>
      <c r="C21" s="18">
        <f>'Loan Tape (BoE)'!C22</f>
        <v/>
      </c>
      <c r="D21" s="18">
        <f>'Loan Tape (BoE)'!D22</f>
        <v/>
      </c>
      <c r="E21" s="18">
        <f>'Loan Tape (BoE)'!E22</f>
        <v/>
      </c>
      <c r="F21" s="19">
        <f>'Loan Tape (BoE)'!F22</f>
        <v/>
      </c>
      <c r="G21" s="19">
        <f>'Loan Tape (BoE)'!G22</f>
        <v/>
      </c>
      <c r="H21" s="20">
        <f>'Loan Tape (BoE)'!H22/100</f>
        <v/>
      </c>
      <c r="I21" s="17">
        <f>IFERROR(IFS('Loan Tape (BoE)'!I22=1,"House",'Loan Tape (BoE)'!I22=2,"Flat",'Loan Tape (BoE)'!I22=3,"Bungalow",'Loan Tape (BoE)'!I22=4,"Maisonette"),"")</f>
        <v/>
      </c>
      <c r="J21" s="17">
        <f>'Loan Tape (BoE)'!J22</f>
        <v/>
      </c>
      <c r="K21" s="17">
        <f>'Loan Tape (BoE)'!K22</f>
        <v/>
      </c>
      <c r="L21" s="17">
        <f>IFERROR(IFS('Loan Tape (BoE)'!L22=1,"Owner Occupied",'Loan Tape (BoE)'!L22=2,"BTL",'Loan Tape (BoE)'!L22=3,"Second Home",'Loan Tape (BoE)'!L22=4,"Investment"),"")</f>
        <v/>
      </c>
      <c r="M21" s="17">
        <f>IFERROR(IFS('Loan Tape (BoE)'!M22=1,"Purchase",'Loan Tape (BoE)'!M22=2,"Remortgage",OR('Loan Tape (BoE)'!M22=3,'Loan Tape (BoE)'!M22=4),"Cash-out"),"")</f>
        <v/>
      </c>
      <c r="N21" s="17">
        <f>IFERROR(INDEX('FF Adj Parameters'!$A$96:$B$99,MATCH('Loan Tape (BoE)'!R21,INDEX('FF Adj Parameters'!$A$96:$B$99,,1),0),2),"Unknown")</f>
        <v/>
      </c>
      <c r="O21" s="17">
        <f>IF('Loan Tape (BoE)'!O22=1,"Yes","No")</f>
        <v/>
      </c>
      <c r="P21" s="17">
        <f>IF('Loan Tape (BoE)'!P21=1,"Yes",IF('Loan Tape (BoE)'!P21=0,"No",""))</f>
        <v/>
      </c>
      <c r="Q21" s="17">
        <f>IF('Loan Tape (BoE)'!Q21=1,"Yes",IF('Loan Tape (BoE)'!Q21=0,"No",""))</f>
        <v/>
      </c>
      <c r="R21" s="18">
        <f>IF('Loan Tape (BoE)'!R21=1,"Yes",IF('Loan Tape (BoE)'!R21=0,"No",""))</f>
        <v/>
      </c>
      <c r="S21" s="18">
        <f>IF('Loan Tape (BoE)'!S21=1,"Yes",IF('Loan Tape (BoE)'!S21=0,"No",""))</f>
        <v/>
      </c>
      <c r="T21" s="17">
        <f>IF('Loan Tape (BoE)'!T21=1,"Yes",IF('Loan Tape (BoE)'!T21=0,"No",""))</f>
        <v/>
      </c>
      <c r="U21" s="18">
        <f>R21+S21</f>
        <v/>
      </c>
      <c r="V21" s="17">
        <f>IFERROR(IFS('Loan Tape (BoE)'!U22=1,"Employed",'Loan Tape (BoE)'!U22=2,"Self-Employed",'Loan Tape (BoE)'!U22=3,"Unemployed",'Loan Tape (BoE)'!U22=4,"Retired"),"")</f>
        <v/>
      </c>
      <c r="W21" s="17">
        <f>IFERROR(IFS('Loan Tape (BoE)'!V22=1,"Employed",'Loan Tape (BoE)'!V22=2,"Self-Employed",'Loan Tape (BoE)'!V22=3,"Unemployed",'Loan Tape (BoE)'!V22=4,"Retired"),"")</f>
        <v/>
      </c>
      <c r="X21" s="17">
        <f>IF(OR(V21="Self-Employed",W21="Self-Employed"),"Yes","No")</f>
        <v/>
      </c>
      <c r="Y21" s="17">
        <f>'Loan Tape (BoE)'!W22</f>
        <v/>
      </c>
      <c r="Z21" s="17">
        <f>'Loan Tape (BoE)'!X22</f>
        <v/>
      </c>
      <c r="AA21" s="17">
        <f>IF(T21=1,Y21,MIN(Y21,Z21))</f>
        <v/>
      </c>
      <c r="AB21" s="17">
        <f>'Loan Tape (BoE)'!Y22</f>
        <v/>
      </c>
      <c r="AC21" s="17">
        <f>'Loan Tape (BoE)'!Z22</f>
        <v/>
      </c>
      <c r="AD21" s="17">
        <f>AB21+AC21</f>
        <v/>
      </c>
      <c r="AE21" s="18">
        <f>'Loan Tape (BoE)'!AA22</f>
        <v/>
      </c>
      <c r="AF21" s="18">
        <f>'Loan Tape (BoE)'!AB22</f>
        <v/>
      </c>
      <c r="AG21" s="18">
        <f>AE21+AF21</f>
        <v/>
      </c>
      <c r="AH21" s="19">
        <f>MAX('Loan Tape (BoE)'!AC22,'Loan Tape (BoE)'!AD22)</f>
        <v/>
      </c>
      <c r="AI21" s="18">
        <f>'Loan Tape (BoE)'!AE22</f>
        <v/>
      </c>
      <c r="AJ21" s="18">
        <f>B21*H21/12</f>
        <v/>
      </c>
      <c r="AK21" s="21">
        <f>IF(AJ21&gt;0,AI21/AJ21,0)</f>
        <v/>
      </c>
      <c r="AL21" s="17">
        <f>IF('Loan Tape (BoE)'!AF22=1,"Yes","No")</f>
        <v/>
      </c>
      <c r="AM21" s="17">
        <f>IF('Loan Tape (BoE)'!AH22=1,"Yes","No")</f>
        <v/>
      </c>
      <c r="AN21" s="17">
        <f>IF('Loan Tape (BoE)'!AI22=1,"Yes","No")</f>
        <v/>
      </c>
      <c r="AO21" s="17">
        <f>IF('Loan Tape (BoE)'!AJ22=1,"Yes","No")</f>
        <v/>
      </c>
      <c r="AP21" s="17">
        <f>IF(OR('Loan Tape (BoE)'!AQ21=1,'Loan Tape (BoE)'!AQ21=2),"Yes",IF('Loan Tape (BoE)'!AQ21=0,"No",""))</f>
        <v/>
      </c>
      <c r="AQ21" s="17">
        <f>IF('Loan Tape (BoE)'!BV49_21&lt;&gt;"",'Loan Tape (BoE)'!BV49_21,"")</f>
        <v/>
      </c>
      <c r="AR21" s="17">
        <f>IF('Loan Tape (BoE)'!BV210_21&lt;&gt;"",'Loan Tape (BoE)'!BV50_21,"")</f>
        <v/>
      </c>
      <c r="AS21" s="17">
        <f>IFERROR(INDEX('FF Adj Parameters'!$A$103:$B$1021,MATCH('Loan Tape (BoE)'!P21,INDEX('FF Adj Parameters'!$A$103:$B$1021,,1),0),2),"Unknown")</f>
        <v/>
      </c>
      <c r="AT21" s="17">
        <f>IF(N21="Interest Only",M5*O5/12,IF(AND(O5&gt;0,ISNUMBER(O5),ISNUMBER(M5)),ABS(PMT(O5/12,AU5,-M5)),0))</f>
        <v/>
      </c>
      <c r="AU21" s="17">
        <f>IF(ISNUMBER(L21),MAX(0,(L5-'Control Panel'!$B$10)*12/365.25),0)</f>
        <v/>
      </c>
      <c r="AV21" s="17">
        <f>IF(ISNUMBER(L21),IF(L5&gt;'Control Panel'!$B$10,"Valid","Past Maturity"),"No Date")</f>
        <v/>
      </c>
      <c r="AW21" s="17">
        <f>IF(ISNUMBER(K21),MAX(0,('Control Panel'!$B$10-K5)*12/365.25),0)</f>
        <v/>
      </c>
    </row>
    <row r="22">
      <c r="A22" s="17">
        <f>'Loan Tape (BoE)'!A23</f>
        <v/>
      </c>
      <c r="B22" s="18">
        <f>IFERROR(INDEX('FF Adj Parameters'!$A$89:$B$92,MATCH('Loan Tape (BoE)'!C22,INDEX('FF Adj Parameters'!$A$89:$B$92,,1),0),2),"Unknown")</f>
        <v/>
      </c>
      <c r="C22" s="18">
        <f>'Loan Tape (BoE)'!C23</f>
        <v/>
      </c>
      <c r="D22" s="18">
        <f>'Loan Tape (BoE)'!D23</f>
        <v/>
      </c>
      <c r="E22" s="18">
        <f>'Loan Tape (BoE)'!E23</f>
        <v/>
      </c>
      <c r="F22" s="19">
        <f>'Loan Tape (BoE)'!F23</f>
        <v/>
      </c>
      <c r="G22" s="19">
        <f>'Loan Tape (BoE)'!G23</f>
        <v/>
      </c>
      <c r="H22" s="20">
        <f>'Loan Tape (BoE)'!H23/100</f>
        <v/>
      </c>
      <c r="I22" s="17">
        <f>IFERROR(IFS('Loan Tape (BoE)'!I23=1,"House",'Loan Tape (BoE)'!I23=2,"Flat",'Loan Tape (BoE)'!I23=3,"Bungalow",'Loan Tape (BoE)'!I23=4,"Maisonette"),"")</f>
        <v/>
      </c>
      <c r="J22" s="17">
        <f>'Loan Tape (BoE)'!J23</f>
        <v/>
      </c>
      <c r="K22" s="17">
        <f>'Loan Tape (BoE)'!K23</f>
        <v/>
      </c>
      <c r="L22" s="17">
        <f>IFERROR(IFS('Loan Tape (BoE)'!L23=1,"Owner Occupied",'Loan Tape (BoE)'!L23=2,"BTL",'Loan Tape (BoE)'!L23=3,"Second Home",'Loan Tape (BoE)'!L23=4,"Investment"),"")</f>
        <v/>
      </c>
      <c r="M22" s="17">
        <f>IFERROR(IFS('Loan Tape (BoE)'!M23=1,"Purchase",'Loan Tape (BoE)'!M23=2,"Remortgage",OR('Loan Tape (BoE)'!M23=3,'Loan Tape (BoE)'!M23=4),"Cash-out"),"")</f>
        <v/>
      </c>
      <c r="N22" s="17">
        <f>IFERROR(INDEX('FF Adj Parameters'!$A$96:$B$99,MATCH('Loan Tape (BoE)'!R22,INDEX('FF Adj Parameters'!$A$96:$B$99,,1),0),2),"Unknown")</f>
        <v/>
      </c>
      <c r="O22" s="17">
        <f>IF('Loan Tape (BoE)'!O23=1,"Yes","No")</f>
        <v/>
      </c>
      <c r="P22" s="17">
        <f>IF('Loan Tape (BoE)'!P22=1,"Yes",IF('Loan Tape (BoE)'!P22=0,"No",""))</f>
        <v/>
      </c>
      <c r="Q22" s="17">
        <f>IF('Loan Tape (BoE)'!Q22=1,"Yes",IF('Loan Tape (BoE)'!Q22=0,"No",""))</f>
        <v/>
      </c>
      <c r="R22" s="18">
        <f>IF('Loan Tape (BoE)'!R22=1,"Yes",IF('Loan Tape (BoE)'!R22=0,"No",""))</f>
        <v/>
      </c>
      <c r="S22" s="18">
        <f>IF('Loan Tape (BoE)'!S22=1,"Yes",IF('Loan Tape (BoE)'!S22=0,"No",""))</f>
        <v/>
      </c>
      <c r="T22" s="17">
        <f>IF('Loan Tape (BoE)'!T22=1,"Yes",IF('Loan Tape (BoE)'!T22=0,"No",""))</f>
        <v/>
      </c>
      <c r="U22" s="18">
        <f>R22+S22</f>
        <v/>
      </c>
      <c r="V22" s="17">
        <f>IFERROR(IFS('Loan Tape (BoE)'!U23=1,"Employed",'Loan Tape (BoE)'!U23=2,"Self-Employed",'Loan Tape (BoE)'!U23=3,"Unemployed",'Loan Tape (BoE)'!U23=4,"Retired"),"")</f>
        <v/>
      </c>
      <c r="W22" s="17">
        <f>IFERROR(IFS('Loan Tape (BoE)'!V23=1,"Employed",'Loan Tape (BoE)'!V23=2,"Self-Employed",'Loan Tape (BoE)'!V23=3,"Unemployed",'Loan Tape (BoE)'!V23=4,"Retired"),"")</f>
        <v/>
      </c>
      <c r="X22" s="17">
        <f>IF(OR(V22="Self-Employed",W22="Self-Employed"),"Yes","No")</f>
        <v/>
      </c>
      <c r="Y22" s="17">
        <f>'Loan Tape (BoE)'!W23</f>
        <v/>
      </c>
      <c r="Z22" s="17">
        <f>'Loan Tape (BoE)'!X23</f>
        <v/>
      </c>
      <c r="AA22" s="17">
        <f>IF(T22=1,Y22,MIN(Y22,Z22))</f>
        <v/>
      </c>
      <c r="AB22" s="17">
        <f>'Loan Tape (BoE)'!Y23</f>
        <v/>
      </c>
      <c r="AC22" s="17">
        <f>'Loan Tape (BoE)'!Z23</f>
        <v/>
      </c>
      <c r="AD22" s="17">
        <f>AB22+AC22</f>
        <v/>
      </c>
      <c r="AE22" s="18">
        <f>'Loan Tape (BoE)'!AA23</f>
        <v/>
      </c>
      <c r="AF22" s="18">
        <f>'Loan Tape (BoE)'!AB23</f>
        <v/>
      </c>
      <c r="AG22" s="18">
        <f>AE22+AF22</f>
        <v/>
      </c>
      <c r="AH22" s="19">
        <f>MAX('Loan Tape (BoE)'!AC23,'Loan Tape (BoE)'!AD23)</f>
        <v/>
      </c>
      <c r="AI22" s="18">
        <f>'Loan Tape (BoE)'!AE23</f>
        <v/>
      </c>
      <c r="AJ22" s="18">
        <f>B22*H22/12</f>
        <v/>
      </c>
      <c r="AK22" s="21">
        <f>IF(AJ22&gt;0,AI22/AJ22,0)</f>
        <v/>
      </c>
      <c r="AL22" s="17">
        <f>IF('Loan Tape (BoE)'!AF23=1,"Yes","No")</f>
        <v/>
      </c>
      <c r="AM22" s="17">
        <f>IF('Loan Tape (BoE)'!AH23=1,"Yes","No")</f>
        <v/>
      </c>
      <c r="AN22" s="17">
        <f>IF('Loan Tape (BoE)'!AI23=1,"Yes","No")</f>
        <v/>
      </c>
      <c r="AO22" s="17">
        <f>IF('Loan Tape (BoE)'!AJ23=1,"Yes","No")</f>
        <v/>
      </c>
      <c r="AP22" s="17">
        <f>IF(OR('Loan Tape (BoE)'!AQ22=1,'Loan Tape (BoE)'!AQ22=2),"Yes",IF('Loan Tape (BoE)'!AQ22=0,"No",""))</f>
        <v/>
      </c>
      <c r="AQ22" s="17">
        <f>IF('Loan Tape (BoE)'!BV49_22&lt;&gt;"",'Loan Tape (BoE)'!BV49_22,"")</f>
        <v/>
      </c>
      <c r="AR22" s="17">
        <f>IF('Loan Tape (BoE)'!BV220_22&lt;&gt;"",'Loan Tape (BoE)'!BV50_22,"")</f>
        <v/>
      </c>
      <c r="AS22" s="17">
        <f>IFERROR(INDEX('FF Adj Parameters'!$A$103:$B$1022,MATCH('Loan Tape (BoE)'!P22,INDEX('FF Adj Parameters'!$A$103:$B$1022,,1),0),2),"Unknown")</f>
        <v/>
      </c>
      <c r="AT22" s="17">
        <f>IF(N22="Interest Only",M5*O5/12,IF(AND(O5&gt;0,ISNUMBER(O5),ISNUMBER(M5)),ABS(PMT(O5/12,AU5,-M5)),0))</f>
        <v/>
      </c>
      <c r="AU22" s="17">
        <f>IF(ISNUMBER(L22),MAX(0,(L5-'Control Panel'!$B$10)*12/365.25),0)</f>
        <v/>
      </c>
      <c r="AV22" s="17">
        <f>IF(ISNUMBER(L22),IF(L5&gt;'Control Panel'!$B$10,"Valid","Past Maturity"),"No Date")</f>
        <v/>
      </c>
      <c r="AW22" s="17">
        <f>IF(ISNUMBER(K22),MAX(0,('Control Panel'!$B$10-K5)*12/365.25),0)</f>
        <v/>
      </c>
    </row>
    <row r="23">
      <c r="A23" s="17">
        <f>'Loan Tape (BoE)'!A24</f>
        <v/>
      </c>
      <c r="B23" s="18">
        <f>IFERROR(INDEX('FF Adj Parameters'!$A$89:$B$92,MATCH('Loan Tape (BoE)'!C23,INDEX('FF Adj Parameters'!$A$89:$B$92,,1),0),2),"Unknown")</f>
        <v/>
      </c>
      <c r="C23" s="18">
        <f>'Loan Tape (BoE)'!C24</f>
        <v/>
      </c>
      <c r="D23" s="18">
        <f>'Loan Tape (BoE)'!D24</f>
        <v/>
      </c>
      <c r="E23" s="18">
        <f>'Loan Tape (BoE)'!E24</f>
        <v/>
      </c>
      <c r="F23" s="19">
        <f>'Loan Tape (BoE)'!F24</f>
        <v/>
      </c>
      <c r="G23" s="19">
        <f>'Loan Tape (BoE)'!G24</f>
        <v/>
      </c>
      <c r="H23" s="20">
        <f>'Loan Tape (BoE)'!H24/100</f>
        <v/>
      </c>
      <c r="I23" s="17">
        <f>IFERROR(IFS('Loan Tape (BoE)'!I24=1,"House",'Loan Tape (BoE)'!I24=2,"Flat",'Loan Tape (BoE)'!I24=3,"Bungalow",'Loan Tape (BoE)'!I24=4,"Maisonette"),"")</f>
        <v/>
      </c>
      <c r="J23" s="17">
        <f>'Loan Tape (BoE)'!J24</f>
        <v/>
      </c>
      <c r="K23" s="17">
        <f>'Loan Tape (BoE)'!K24</f>
        <v/>
      </c>
      <c r="L23" s="17">
        <f>IFERROR(IFS('Loan Tape (BoE)'!L24=1,"Owner Occupied",'Loan Tape (BoE)'!L24=2,"BTL",'Loan Tape (BoE)'!L24=3,"Second Home",'Loan Tape (BoE)'!L24=4,"Investment"),"")</f>
        <v/>
      </c>
      <c r="M23" s="17">
        <f>IFERROR(IFS('Loan Tape (BoE)'!M24=1,"Purchase",'Loan Tape (BoE)'!M24=2,"Remortgage",OR('Loan Tape (BoE)'!M24=3,'Loan Tape (BoE)'!M24=4),"Cash-out"),"")</f>
        <v/>
      </c>
      <c r="N23" s="17">
        <f>IFERROR(INDEX('FF Adj Parameters'!$A$96:$B$99,MATCH('Loan Tape (BoE)'!R23,INDEX('FF Adj Parameters'!$A$96:$B$99,,1),0),2),"Unknown")</f>
        <v/>
      </c>
      <c r="O23" s="17">
        <f>IF('Loan Tape (BoE)'!O24=1,"Yes","No")</f>
        <v/>
      </c>
      <c r="P23" s="17">
        <f>IF('Loan Tape (BoE)'!P23=1,"Yes",IF('Loan Tape (BoE)'!P23=0,"No",""))</f>
        <v/>
      </c>
      <c r="Q23" s="17">
        <f>IF('Loan Tape (BoE)'!Q23=1,"Yes",IF('Loan Tape (BoE)'!Q23=0,"No",""))</f>
        <v/>
      </c>
      <c r="R23" s="18">
        <f>IF('Loan Tape (BoE)'!R23=1,"Yes",IF('Loan Tape (BoE)'!R23=0,"No",""))</f>
        <v/>
      </c>
      <c r="S23" s="18">
        <f>IF('Loan Tape (BoE)'!S23=1,"Yes",IF('Loan Tape (BoE)'!S23=0,"No",""))</f>
        <v/>
      </c>
      <c r="T23" s="17">
        <f>IF('Loan Tape (BoE)'!T23=1,"Yes",IF('Loan Tape (BoE)'!T23=0,"No",""))</f>
        <v/>
      </c>
      <c r="U23" s="18">
        <f>R23+S23</f>
        <v/>
      </c>
      <c r="V23" s="17">
        <f>IFERROR(IFS('Loan Tape (BoE)'!U24=1,"Employed",'Loan Tape (BoE)'!U24=2,"Self-Employed",'Loan Tape (BoE)'!U24=3,"Unemployed",'Loan Tape (BoE)'!U24=4,"Retired"),"")</f>
        <v/>
      </c>
      <c r="W23" s="17">
        <f>IFERROR(IFS('Loan Tape (BoE)'!V24=1,"Employed",'Loan Tape (BoE)'!V24=2,"Self-Employed",'Loan Tape (BoE)'!V24=3,"Unemployed",'Loan Tape (BoE)'!V24=4,"Retired"),"")</f>
        <v/>
      </c>
      <c r="X23" s="17">
        <f>IF(OR(V23="Self-Employed",W23="Self-Employed"),"Yes","No")</f>
        <v/>
      </c>
      <c r="Y23" s="17">
        <f>'Loan Tape (BoE)'!W24</f>
        <v/>
      </c>
      <c r="Z23" s="17">
        <f>'Loan Tape (BoE)'!X24</f>
        <v/>
      </c>
      <c r="AA23" s="17">
        <f>IF(T23=1,Y23,MIN(Y23,Z23))</f>
        <v/>
      </c>
      <c r="AB23" s="17">
        <f>'Loan Tape (BoE)'!Y24</f>
        <v/>
      </c>
      <c r="AC23" s="17">
        <f>'Loan Tape (BoE)'!Z24</f>
        <v/>
      </c>
      <c r="AD23" s="17">
        <f>AB23+AC23</f>
        <v/>
      </c>
      <c r="AE23" s="18">
        <f>'Loan Tape (BoE)'!AA24</f>
        <v/>
      </c>
      <c r="AF23" s="18">
        <f>'Loan Tape (BoE)'!AB24</f>
        <v/>
      </c>
      <c r="AG23" s="18">
        <f>AE23+AF23</f>
        <v/>
      </c>
      <c r="AH23" s="19">
        <f>MAX('Loan Tape (BoE)'!AC24,'Loan Tape (BoE)'!AD24)</f>
        <v/>
      </c>
      <c r="AI23" s="18">
        <f>'Loan Tape (BoE)'!AE24</f>
        <v/>
      </c>
      <c r="AJ23" s="18">
        <f>B23*H23/12</f>
        <v/>
      </c>
      <c r="AK23" s="21">
        <f>IF(AJ23&gt;0,AI23/AJ23,0)</f>
        <v/>
      </c>
      <c r="AL23" s="17">
        <f>IF('Loan Tape (BoE)'!AF24=1,"Yes","No")</f>
        <v/>
      </c>
      <c r="AM23" s="17">
        <f>IF('Loan Tape (BoE)'!AH24=1,"Yes","No")</f>
        <v/>
      </c>
      <c r="AN23" s="17">
        <f>IF('Loan Tape (BoE)'!AI24=1,"Yes","No")</f>
        <v/>
      </c>
      <c r="AO23" s="17">
        <f>IF('Loan Tape (BoE)'!AJ24=1,"Yes","No")</f>
        <v/>
      </c>
      <c r="AP23" s="17">
        <f>IF(OR('Loan Tape (BoE)'!AQ23=1,'Loan Tape (BoE)'!AQ23=2),"Yes",IF('Loan Tape (BoE)'!AQ23=0,"No",""))</f>
        <v/>
      </c>
      <c r="AQ23" s="17">
        <f>IF('Loan Tape (BoE)'!BV49_23&lt;&gt;"",'Loan Tape (BoE)'!BV49_23,"")</f>
        <v/>
      </c>
      <c r="AR23" s="17">
        <f>IF('Loan Tape (BoE)'!BV230_23&lt;&gt;"",'Loan Tape (BoE)'!BV50_23,"")</f>
        <v/>
      </c>
      <c r="AS23" s="17">
        <f>IFERROR(INDEX('FF Adj Parameters'!$A$103:$B$1023,MATCH('Loan Tape (BoE)'!P23,INDEX('FF Adj Parameters'!$A$103:$B$1023,,1),0),2),"Unknown")</f>
        <v/>
      </c>
      <c r="AT23" s="17">
        <f>IF(N23="Interest Only",M5*O5/12,IF(AND(O5&gt;0,ISNUMBER(O5),ISNUMBER(M5)),ABS(PMT(O5/12,AU5,-M5)),0))</f>
        <v/>
      </c>
      <c r="AU23" s="17">
        <f>IF(ISNUMBER(L23),MAX(0,(L5-'Control Panel'!$B$10)*12/365.25),0)</f>
        <v/>
      </c>
      <c r="AV23" s="17">
        <f>IF(ISNUMBER(L23),IF(L5&gt;'Control Panel'!$B$10,"Valid","Past Maturity"),"No Date")</f>
        <v/>
      </c>
      <c r="AW23" s="17">
        <f>IF(ISNUMBER(K23),MAX(0,('Control Panel'!$B$10-K5)*12/365.25),0)</f>
        <v/>
      </c>
    </row>
    <row r="24">
      <c r="A24" s="17">
        <f>'Loan Tape (BoE)'!A25</f>
        <v/>
      </c>
      <c r="B24" s="18">
        <f>IFERROR(INDEX('FF Adj Parameters'!$A$89:$B$92,MATCH('Loan Tape (BoE)'!C24,INDEX('FF Adj Parameters'!$A$89:$B$92,,1),0),2),"Unknown")</f>
        <v/>
      </c>
      <c r="C24" s="18">
        <f>'Loan Tape (BoE)'!C25</f>
        <v/>
      </c>
      <c r="D24" s="18">
        <f>'Loan Tape (BoE)'!D25</f>
        <v/>
      </c>
      <c r="E24" s="18">
        <f>'Loan Tape (BoE)'!E25</f>
        <v/>
      </c>
      <c r="F24" s="19">
        <f>'Loan Tape (BoE)'!F25</f>
        <v/>
      </c>
      <c r="G24" s="19">
        <f>'Loan Tape (BoE)'!G25</f>
        <v/>
      </c>
      <c r="H24" s="20">
        <f>'Loan Tape (BoE)'!H25/100</f>
        <v/>
      </c>
      <c r="I24" s="17">
        <f>IFERROR(IFS('Loan Tape (BoE)'!I25=1,"House",'Loan Tape (BoE)'!I25=2,"Flat",'Loan Tape (BoE)'!I25=3,"Bungalow",'Loan Tape (BoE)'!I25=4,"Maisonette"),"")</f>
        <v/>
      </c>
      <c r="J24" s="17">
        <f>'Loan Tape (BoE)'!J25</f>
        <v/>
      </c>
      <c r="K24" s="17">
        <f>'Loan Tape (BoE)'!K25</f>
        <v/>
      </c>
      <c r="L24" s="17">
        <f>IFERROR(IFS('Loan Tape (BoE)'!L25=1,"Owner Occupied",'Loan Tape (BoE)'!L25=2,"BTL",'Loan Tape (BoE)'!L25=3,"Second Home",'Loan Tape (BoE)'!L25=4,"Investment"),"")</f>
        <v/>
      </c>
      <c r="M24" s="17">
        <f>IFERROR(IFS('Loan Tape (BoE)'!M25=1,"Purchase",'Loan Tape (BoE)'!M25=2,"Remortgage",OR('Loan Tape (BoE)'!M25=3,'Loan Tape (BoE)'!M25=4),"Cash-out"),"")</f>
        <v/>
      </c>
      <c r="N24" s="17">
        <f>IFERROR(INDEX('FF Adj Parameters'!$A$96:$B$99,MATCH('Loan Tape (BoE)'!R24,INDEX('FF Adj Parameters'!$A$96:$B$99,,1),0),2),"Unknown")</f>
        <v/>
      </c>
      <c r="O24" s="17">
        <f>IF('Loan Tape (BoE)'!O25=1,"Yes","No")</f>
        <v/>
      </c>
      <c r="P24" s="17">
        <f>IF('Loan Tape (BoE)'!P24=1,"Yes",IF('Loan Tape (BoE)'!P24=0,"No",""))</f>
        <v/>
      </c>
      <c r="Q24" s="17">
        <f>IF('Loan Tape (BoE)'!Q24=1,"Yes",IF('Loan Tape (BoE)'!Q24=0,"No",""))</f>
        <v/>
      </c>
      <c r="R24" s="18">
        <f>IF('Loan Tape (BoE)'!R24=1,"Yes",IF('Loan Tape (BoE)'!R24=0,"No",""))</f>
        <v/>
      </c>
      <c r="S24" s="18">
        <f>IF('Loan Tape (BoE)'!S24=1,"Yes",IF('Loan Tape (BoE)'!S24=0,"No",""))</f>
        <v/>
      </c>
      <c r="T24" s="17">
        <f>IF('Loan Tape (BoE)'!T24=1,"Yes",IF('Loan Tape (BoE)'!T24=0,"No",""))</f>
        <v/>
      </c>
      <c r="U24" s="18">
        <f>R24+S24</f>
        <v/>
      </c>
      <c r="V24" s="17">
        <f>IFERROR(IFS('Loan Tape (BoE)'!U25=1,"Employed",'Loan Tape (BoE)'!U25=2,"Self-Employed",'Loan Tape (BoE)'!U25=3,"Unemployed",'Loan Tape (BoE)'!U25=4,"Retired"),"")</f>
        <v/>
      </c>
      <c r="W24" s="17">
        <f>IFERROR(IFS('Loan Tape (BoE)'!V25=1,"Employed",'Loan Tape (BoE)'!V25=2,"Self-Employed",'Loan Tape (BoE)'!V25=3,"Unemployed",'Loan Tape (BoE)'!V25=4,"Retired"),"")</f>
        <v/>
      </c>
      <c r="X24" s="17">
        <f>IF(OR(V24="Self-Employed",W24="Self-Employed"),"Yes","No")</f>
        <v/>
      </c>
      <c r="Y24" s="17">
        <f>'Loan Tape (BoE)'!W25</f>
        <v/>
      </c>
      <c r="Z24" s="17">
        <f>'Loan Tape (BoE)'!X25</f>
        <v/>
      </c>
      <c r="AA24" s="17">
        <f>IF(T24=1,Y24,MIN(Y24,Z24))</f>
        <v/>
      </c>
      <c r="AB24" s="17">
        <f>'Loan Tape (BoE)'!Y25</f>
        <v/>
      </c>
      <c r="AC24" s="17">
        <f>'Loan Tape (BoE)'!Z25</f>
        <v/>
      </c>
      <c r="AD24" s="17">
        <f>AB24+AC24</f>
        <v/>
      </c>
      <c r="AE24" s="18">
        <f>'Loan Tape (BoE)'!AA25</f>
        <v/>
      </c>
      <c r="AF24" s="18">
        <f>'Loan Tape (BoE)'!AB25</f>
        <v/>
      </c>
      <c r="AG24" s="18">
        <f>AE24+AF24</f>
        <v/>
      </c>
      <c r="AH24" s="19">
        <f>MAX('Loan Tape (BoE)'!AC25,'Loan Tape (BoE)'!AD25)</f>
        <v/>
      </c>
      <c r="AI24" s="18">
        <f>'Loan Tape (BoE)'!AE25</f>
        <v/>
      </c>
      <c r="AJ24" s="18">
        <f>B24*H24/12</f>
        <v/>
      </c>
      <c r="AK24" s="21">
        <f>IF(AJ24&gt;0,AI24/AJ24,0)</f>
        <v/>
      </c>
      <c r="AL24" s="17">
        <f>IF('Loan Tape (BoE)'!AF25=1,"Yes","No")</f>
        <v/>
      </c>
      <c r="AM24" s="17">
        <f>IF('Loan Tape (BoE)'!AH25=1,"Yes","No")</f>
        <v/>
      </c>
      <c r="AN24" s="17">
        <f>IF('Loan Tape (BoE)'!AI25=1,"Yes","No")</f>
        <v/>
      </c>
      <c r="AO24" s="17">
        <f>IF('Loan Tape (BoE)'!AJ25=1,"Yes","No")</f>
        <v/>
      </c>
      <c r="AP24" s="17">
        <f>IF(OR('Loan Tape (BoE)'!AQ24=1,'Loan Tape (BoE)'!AQ24=2),"Yes",IF('Loan Tape (BoE)'!AQ24=0,"No",""))</f>
        <v/>
      </c>
      <c r="AQ24" s="17">
        <f>IF('Loan Tape (BoE)'!BV49_24&lt;&gt;"",'Loan Tape (BoE)'!BV49_24,"")</f>
        <v/>
      </c>
      <c r="AR24" s="17">
        <f>IF('Loan Tape (BoE)'!BV240_24&lt;&gt;"",'Loan Tape (BoE)'!BV50_24,"")</f>
        <v/>
      </c>
      <c r="AS24" s="17">
        <f>IFERROR(INDEX('FF Adj Parameters'!$A$103:$B$1024,MATCH('Loan Tape (BoE)'!P24,INDEX('FF Adj Parameters'!$A$103:$B$1024,,1),0),2),"Unknown")</f>
        <v/>
      </c>
      <c r="AT24" s="17">
        <f>IF(N24="Interest Only",M5*O5/12,IF(AND(O5&gt;0,ISNUMBER(O5),ISNUMBER(M5)),ABS(PMT(O5/12,AU5,-M5)),0))</f>
        <v/>
      </c>
      <c r="AU24" s="17">
        <f>IF(ISNUMBER(L24),MAX(0,(L5-'Control Panel'!$B$10)*12/365.25),0)</f>
        <v/>
      </c>
      <c r="AV24" s="17">
        <f>IF(ISNUMBER(L24),IF(L5&gt;'Control Panel'!$B$10,"Valid","Past Maturity"),"No Date")</f>
        <v/>
      </c>
      <c r="AW24" s="17">
        <f>IF(ISNUMBER(K24),MAX(0,('Control Panel'!$B$10-K5)*12/365.25),0)</f>
        <v/>
      </c>
    </row>
    <row r="25">
      <c r="A25" s="17">
        <f>'Loan Tape (BoE)'!A26</f>
        <v/>
      </c>
      <c r="B25" s="18">
        <f>IFERROR(INDEX('FF Adj Parameters'!$A$89:$B$92,MATCH('Loan Tape (BoE)'!C25,INDEX('FF Adj Parameters'!$A$89:$B$92,,1),0),2),"Unknown")</f>
        <v/>
      </c>
      <c r="C25" s="18">
        <f>'Loan Tape (BoE)'!C26</f>
        <v/>
      </c>
      <c r="D25" s="18">
        <f>'Loan Tape (BoE)'!D26</f>
        <v/>
      </c>
      <c r="E25" s="18">
        <f>'Loan Tape (BoE)'!E26</f>
        <v/>
      </c>
      <c r="F25" s="19">
        <f>'Loan Tape (BoE)'!F26</f>
        <v/>
      </c>
      <c r="G25" s="19">
        <f>'Loan Tape (BoE)'!G26</f>
        <v/>
      </c>
      <c r="H25" s="20">
        <f>'Loan Tape (BoE)'!H26/100</f>
        <v/>
      </c>
      <c r="I25" s="17">
        <f>IFERROR(IFS('Loan Tape (BoE)'!I26=1,"House",'Loan Tape (BoE)'!I26=2,"Flat",'Loan Tape (BoE)'!I26=3,"Bungalow",'Loan Tape (BoE)'!I26=4,"Maisonette"),"")</f>
        <v/>
      </c>
      <c r="J25" s="17">
        <f>'Loan Tape (BoE)'!J26</f>
        <v/>
      </c>
      <c r="K25" s="17">
        <f>'Loan Tape (BoE)'!K26</f>
        <v/>
      </c>
      <c r="L25" s="17">
        <f>IFERROR(IFS('Loan Tape (BoE)'!L26=1,"Owner Occupied",'Loan Tape (BoE)'!L26=2,"BTL",'Loan Tape (BoE)'!L26=3,"Second Home",'Loan Tape (BoE)'!L26=4,"Investment"),"")</f>
        <v/>
      </c>
      <c r="M25" s="17">
        <f>IFERROR(IFS('Loan Tape (BoE)'!M26=1,"Purchase",'Loan Tape (BoE)'!M26=2,"Remortgage",OR('Loan Tape (BoE)'!M26=3,'Loan Tape (BoE)'!M26=4),"Cash-out"),"")</f>
        <v/>
      </c>
      <c r="N25" s="17">
        <f>IFERROR(INDEX('FF Adj Parameters'!$A$96:$B$99,MATCH('Loan Tape (BoE)'!R25,INDEX('FF Adj Parameters'!$A$96:$B$99,,1),0),2),"Unknown")</f>
        <v/>
      </c>
      <c r="O25" s="17">
        <f>IF('Loan Tape (BoE)'!O26=1,"Yes","No")</f>
        <v/>
      </c>
      <c r="P25" s="17">
        <f>IF('Loan Tape (BoE)'!P25=1,"Yes",IF('Loan Tape (BoE)'!P25=0,"No",""))</f>
        <v/>
      </c>
      <c r="Q25" s="17">
        <f>IF('Loan Tape (BoE)'!Q25=1,"Yes",IF('Loan Tape (BoE)'!Q25=0,"No",""))</f>
        <v/>
      </c>
      <c r="R25" s="18">
        <f>IF('Loan Tape (BoE)'!R25=1,"Yes",IF('Loan Tape (BoE)'!R25=0,"No",""))</f>
        <v/>
      </c>
      <c r="S25" s="18">
        <f>IF('Loan Tape (BoE)'!S25=1,"Yes",IF('Loan Tape (BoE)'!S25=0,"No",""))</f>
        <v/>
      </c>
      <c r="T25" s="17">
        <f>IF('Loan Tape (BoE)'!T25=1,"Yes",IF('Loan Tape (BoE)'!T25=0,"No",""))</f>
        <v/>
      </c>
      <c r="U25" s="18">
        <f>R25+S25</f>
        <v/>
      </c>
      <c r="V25" s="17">
        <f>IFERROR(IFS('Loan Tape (BoE)'!U26=1,"Employed",'Loan Tape (BoE)'!U26=2,"Self-Employed",'Loan Tape (BoE)'!U26=3,"Unemployed",'Loan Tape (BoE)'!U26=4,"Retired"),"")</f>
        <v/>
      </c>
      <c r="W25" s="17">
        <f>IFERROR(IFS('Loan Tape (BoE)'!V26=1,"Employed",'Loan Tape (BoE)'!V26=2,"Self-Employed",'Loan Tape (BoE)'!V26=3,"Unemployed",'Loan Tape (BoE)'!V26=4,"Retired"),"")</f>
        <v/>
      </c>
      <c r="X25" s="17">
        <f>IF(OR(V25="Self-Employed",W25="Self-Employed"),"Yes","No")</f>
        <v/>
      </c>
      <c r="Y25" s="17">
        <f>'Loan Tape (BoE)'!W26</f>
        <v/>
      </c>
      <c r="Z25" s="17">
        <f>'Loan Tape (BoE)'!X26</f>
        <v/>
      </c>
      <c r="AA25" s="17">
        <f>IF(T25=1,Y25,MIN(Y25,Z25))</f>
        <v/>
      </c>
      <c r="AB25" s="17">
        <f>'Loan Tape (BoE)'!Y26</f>
        <v/>
      </c>
      <c r="AC25" s="17">
        <f>'Loan Tape (BoE)'!Z26</f>
        <v/>
      </c>
      <c r="AD25" s="17">
        <f>AB25+AC25</f>
        <v/>
      </c>
      <c r="AE25" s="18">
        <f>'Loan Tape (BoE)'!AA26</f>
        <v/>
      </c>
      <c r="AF25" s="18">
        <f>'Loan Tape (BoE)'!AB26</f>
        <v/>
      </c>
      <c r="AG25" s="18">
        <f>AE25+AF25</f>
        <v/>
      </c>
      <c r="AH25" s="19">
        <f>MAX('Loan Tape (BoE)'!AC26,'Loan Tape (BoE)'!AD26)</f>
        <v/>
      </c>
      <c r="AI25" s="18">
        <f>'Loan Tape (BoE)'!AE26</f>
        <v/>
      </c>
      <c r="AJ25" s="18">
        <f>B25*H25/12</f>
        <v/>
      </c>
      <c r="AK25" s="21">
        <f>IF(AJ25&gt;0,AI25/AJ25,0)</f>
        <v/>
      </c>
      <c r="AL25" s="17">
        <f>IF('Loan Tape (BoE)'!AF26=1,"Yes","No")</f>
        <v/>
      </c>
      <c r="AM25" s="17">
        <f>IF('Loan Tape (BoE)'!AH26=1,"Yes","No")</f>
        <v/>
      </c>
      <c r="AN25" s="17">
        <f>IF('Loan Tape (BoE)'!AI26=1,"Yes","No")</f>
        <v/>
      </c>
      <c r="AO25" s="17">
        <f>IF('Loan Tape (BoE)'!AJ26=1,"Yes","No")</f>
        <v/>
      </c>
      <c r="AP25" s="17">
        <f>IF(OR('Loan Tape (BoE)'!AQ25=1,'Loan Tape (BoE)'!AQ25=2),"Yes",IF('Loan Tape (BoE)'!AQ25=0,"No",""))</f>
        <v/>
      </c>
      <c r="AQ25" s="17">
        <f>IF('Loan Tape (BoE)'!BV49_225&lt;&gt;"",'Loan Tape (BoE)'!BV49_25,"")</f>
        <v/>
      </c>
      <c r="AR25" s="17">
        <f>IF('Loan Tape (BoE)'!BV250_25&lt;&gt;"",'Loan Tape (BoE)'!BV50_25,"")</f>
        <v/>
      </c>
      <c r="AS25" s="17">
        <f>IFERROR(INDEX('FF Adj Parameters'!$A$103:$B$1025,MATCH('Loan Tape (BoE)'!P25,INDEX('FF Adj Parameters'!$A$103:$B$1025,,1),0),2),"Unknown")</f>
        <v/>
      </c>
      <c r="AT25" s="17">
        <f>IF(N25="Interest Only",M5*O5/12,IF(AND(O5&gt;0,ISNUMBER(O5),ISNUMBER(M5)),ABS(PMT(O5/12,AU5,-M5)),0))</f>
        <v/>
      </c>
      <c r="AU25" s="17">
        <f>IF(ISNUMBER(L25),MAX(0,(L5-'Control Panel'!$B$10)*12/365.25),0)</f>
        <v/>
      </c>
      <c r="AV25" s="17">
        <f>IF(ISNUMBER(L25),IF(L5&gt;'Control Panel'!$B$10,"Valid","Past Maturity"),"No Date")</f>
        <v/>
      </c>
      <c r="AW25" s="17">
        <f>IF(ISNUMBER(K25),MAX(0,('Control Panel'!$B$10-K5)*12/365.25),0)</f>
        <v/>
      </c>
    </row>
    <row r="26">
      <c r="A26" s="17">
        <f>'Loan Tape (BoE)'!A27</f>
        <v/>
      </c>
      <c r="B26" s="18">
        <f>IFERROR(INDEX('FF Adj Parameters'!$A$89:$B$92,MATCH('Loan Tape (BoE)'!C26,INDEX('FF Adj Parameters'!$A$89:$B$92,,1),0),2),"Unknown")</f>
        <v/>
      </c>
      <c r="C26" s="18">
        <f>'Loan Tape (BoE)'!C27</f>
        <v/>
      </c>
      <c r="D26" s="18">
        <f>'Loan Tape (BoE)'!D27</f>
        <v/>
      </c>
      <c r="E26" s="18">
        <f>'Loan Tape (BoE)'!E27</f>
        <v/>
      </c>
      <c r="F26" s="19">
        <f>'Loan Tape (BoE)'!F27</f>
        <v/>
      </c>
      <c r="G26" s="19">
        <f>'Loan Tape (BoE)'!G27</f>
        <v/>
      </c>
      <c r="H26" s="20">
        <f>'Loan Tape (BoE)'!H27/100</f>
        <v/>
      </c>
      <c r="I26" s="17">
        <f>IFERROR(IFS('Loan Tape (BoE)'!I27=1,"House",'Loan Tape (BoE)'!I27=2,"Flat",'Loan Tape (BoE)'!I27=3,"Bungalow",'Loan Tape (BoE)'!I27=4,"Maisonette"),"")</f>
        <v/>
      </c>
      <c r="J26" s="17">
        <f>'Loan Tape (BoE)'!J27</f>
        <v/>
      </c>
      <c r="K26" s="17">
        <f>'Loan Tape (BoE)'!K27</f>
        <v/>
      </c>
      <c r="L26" s="17">
        <f>IFERROR(IFS('Loan Tape (BoE)'!L27=1,"Owner Occupied",'Loan Tape (BoE)'!L27=2,"BTL",'Loan Tape (BoE)'!L27=3,"Second Home",'Loan Tape (BoE)'!L27=4,"Investment"),"")</f>
        <v/>
      </c>
      <c r="M26" s="17">
        <f>IFERROR(IFS('Loan Tape (BoE)'!M27=1,"Purchase",'Loan Tape (BoE)'!M27=2,"Remortgage",OR('Loan Tape (BoE)'!M27=3,'Loan Tape (BoE)'!M27=4),"Cash-out"),"")</f>
        <v/>
      </c>
      <c r="N26" s="17">
        <f>IFERROR(INDEX('FF Adj Parameters'!$A$96:$B$99,MATCH('Loan Tape (BoE)'!R26,INDEX('FF Adj Parameters'!$A$96:$B$99,,1),0),2),"Unknown")</f>
        <v/>
      </c>
      <c r="O26" s="17">
        <f>IF('Loan Tape (BoE)'!O27=1,"Yes","No")</f>
        <v/>
      </c>
      <c r="P26" s="17">
        <f>IF('Loan Tape (BoE)'!P26=1,"Yes",IF('Loan Tape (BoE)'!P26=0,"No",""))</f>
        <v/>
      </c>
      <c r="Q26" s="17">
        <f>IF('Loan Tape (BoE)'!Q26=1,"Yes",IF('Loan Tape (BoE)'!Q26=0,"No",""))</f>
        <v/>
      </c>
      <c r="R26" s="18">
        <f>IF('Loan Tape (BoE)'!R26=1,"Yes",IF('Loan Tape (BoE)'!R26=0,"No",""))</f>
        <v/>
      </c>
      <c r="S26" s="18">
        <f>IF('Loan Tape (BoE)'!S26=1,"Yes",IF('Loan Tape (BoE)'!S26=0,"No",""))</f>
        <v/>
      </c>
      <c r="T26" s="17">
        <f>IF('Loan Tape (BoE)'!T26=1,"Yes",IF('Loan Tape (BoE)'!T26=0,"No",""))</f>
        <v/>
      </c>
      <c r="U26" s="18">
        <f>R26+S26</f>
        <v/>
      </c>
      <c r="V26" s="17">
        <f>IFERROR(IFS('Loan Tape (BoE)'!U27=1,"Employed",'Loan Tape (BoE)'!U27=2,"Self-Employed",'Loan Tape (BoE)'!U27=3,"Unemployed",'Loan Tape (BoE)'!U27=4,"Retired"),"")</f>
        <v/>
      </c>
      <c r="W26" s="17">
        <f>IFERROR(IFS('Loan Tape (BoE)'!V27=1,"Employed",'Loan Tape (BoE)'!V27=2,"Self-Employed",'Loan Tape (BoE)'!V27=3,"Unemployed",'Loan Tape (BoE)'!V27=4,"Retired"),"")</f>
        <v/>
      </c>
      <c r="X26" s="17">
        <f>IF(OR(V26="Self-Employed",W26="Self-Employed"),"Yes","No")</f>
        <v/>
      </c>
      <c r="Y26" s="17">
        <f>'Loan Tape (BoE)'!W27</f>
        <v/>
      </c>
      <c r="Z26" s="17">
        <f>'Loan Tape (BoE)'!X27</f>
        <v/>
      </c>
      <c r="AA26" s="17">
        <f>IF(T26=1,Y26,MIN(Y26,Z26))</f>
        <v/>
      </c>
      <c r="AB26" s="17">
        <f>'Loan Tape (BoE)'!Y27</f>
        <v/>
      </c>
      <c r="AC26" s="17">
        <f>'Loan Tape (BoE)'!Z27</f>
        <v/>
      </c>
      <c r="AD26" s="17">
        <f>AB26+AC26</f>
        <v/>
      </c>
      <c r="AE26" s="18">
        <f>'Loan Tape (BoE)'!AA27</f>
        <v/>
      </c>
      <c r="AF26" s="18">
        <f>'Loan Tape (BoE)'!AB27</f>
        <v/>
      </c>
      <c r="AG26" s="18">
        <f>AE26+AF26</f>
        <v/>
      </c>
      <c r="AH26" s="19">
        <f>MAX('Loan Tape (BoE)'!AC27,'Loan Tape (BoE)'!AD27)</f>
        <v/>
      </c>
      <c r="AI26" s="18">
        <f>'Loan Tape (BoE)'!AE27</f>
        <v/>
      </c>
      <c r="AJ26" s="18">
        <f>B26*H26/12</f>
        <v/>
      </c>
      <c r="AK26" s="21">
        <f>IF(AJ26&gt;0,AI26/AJ26,0)</f>
        <v/>
      </c>
      <c r="AL26" s="17">
        <f>IF('Loan Tape (BoE)'!AF27=1,"Yes","No")</f>
        <v/>
      </c>
      <c r="AM26" s="17">
        <f>IF('Loan Tape (BoE)'!AH27=1,"Yes","No")</f>
        <v/>
      </c>
      <c r="AN26" s="17">
        <f>IF('Loan Tape (BoE)'!AI27=1,"Yes","No")</f>
        <v/>
      </c>
      <c r="AO26" s="17">
        <f>IF('Loan Tape (BoE)'!AJ27=1,"Yes","No")</f>
        <v/>
      </c>
      <c r="AP26" s="17">
        <f>IF(OR('Loan Tape (BoE)'!AQ26=1,'Loan Tape (BoE)'!AQ26=2),"Yes",IF('Loan Tape (BoE)'!AQ26=0,"No",""))</f>
        <v/>
      </c>
      <c r="AQ26" s="17">
        <f>IF('Loan Tape (BoE)'!BV49_26&lt;&gt;"",'Loan Tape (BoE)'!BV49_26,"")</f>
        <v/>
      </c>
      <c r="AR26" s="17">
        <f>IF('Loan Tape (BoE)'!BV260_26&lt;&gt;"",'Loan Tape (BoE)'!BV50_26,"")</f>
        <v/>
      </c>
      <c r="AS26" s="17">
        <f>IFERROR(INDEX('FF Adj Parameters'!$A$103:$B$1026,MATCH('Loan Tape (BoE)'!P26,INDEX('FF Adj Parameters'!$A$103:$B$1026,,1),0),2),"Unknown")</f>
        <v/>
      </c>
      <c r="AT26" s="17">
        <f>IF(N26="Interest Only",M5*O5/12,IF(AND(O5&gt;0,ISNUMBER(O5),ISNUMBER(M5)),ABS(PMT(O5/12,AU5,-M5)),0))</f>
        <v/>
      </c>
      <c r="AU26" s="17">
        <f>IF(ISNUMBER(L26),MAX(0,(L5-'Control Panel'!$B$10)*12/365.25),0)</f>
        <v/>
      </c>
      <c r="AV26" s="17">
        <f>IF(ISNUMBER(L26),IF(L5&gt;'Control Panel'!$B$10,"Valid","Past Maturity"),"No Date")</f>
        <v/>
      </c>
      <c r="AW26" s="17">
        <f>IF(ISNUMBER(K26),MAX(0,('Control Panel'!$B$10-K5)*12/365.25),0)</f>
        <v/>
      </c>
    </row>
    <row r="27">
      <c r="A27" s="17">
        <f>'Loan Tape (BoE)'!A28</f>
        <v/>
      </c>
      <c r="B27" s="18">
        <f>IFERROR(INDEX('FF Adj Parameters'!$A$89:$B$92,MATCH('Loan Tape (BoE)'!C27,INDEX('FF Adj Parameters'!$A$89:$B$92,,1),0),2),"Unknown")</f>
        <v/>
      </c>
      <c r="C27" s="18">
        <f>'Loan Tape (BoE)'!C28</f>
        <v/>
      </c>
      <c r="D27" s="18">
        <f>'Loan Tape (BoE)'!D28</f>
        <v/>
      </c>
      <c r="E27" s="18">
        <f>'Loan Tape (BoE)'!E28</f>
        <v/>
      </c>
      <c r="F27" s="19">
        <f>'Loan Tape (BoE)'!F28</f>
        <v/>
      </c>
      <c r="G27" s="19">
        <f>'Loan Tape (BoE)'!G28</f>
        <v/>
      </c>
      <c r="H27" s="20">
        <f>'Loan Tape (BoE)'!H28/100</f>
        <v/>
      </c>
      <c r="I27" s="17">
        <f>IFERROR(IFS('Loan Tape (BoE)'!I28=1,"House",'Loan Tape (BoE)'!I28=2,"Flat",'Loan Tape (BoE)'!I28=3,"Bungalow",'Loan Tape (BoE)'!I28=4,"Maisonette"),"")</f>
        <v/>
      </c>
      <c r="J27" s="17">
        <f>'Loan Tape (BoE)'!J28</f>
        <v/>
      </c>
      <c r="K27" s="17">
        <f>'Loan Tape (BoE)'!K28</f>
        <v/>
      </c>
      <c r="L27" s="17">
        <f>IFERROR(IFS('Loan Tape (BoE)'!L28=1,"Owner Occupied",'Loan Tape (BoE)'!L28=2,"BTL",'Loan Tape (BoE)'!L28=3,"Second Home",'Loan Tape (BoE)'!L28=4,"Investment"),"")</f>
        <v/>
      </c>
      <c r="M27" s="17">
        <f>IFERROR(IFS('Loan Tape (BoE)'!M28=1,"Purchase",'Loan Tape (BoE)'!M28=2,"Remortgage",OR('Loan Tape (BoE)'!M28=3,'Loan Tape (BoE)'!M28=4),"Cash-out"),"")</f>
        <v/>
      </c>
      <c r="N27" s="17">
        <f>IFERROR(INDEX('FF Adj Parameters'!$A$96:$B$99,MATCH('Loan Tape (BoE)'!R27,INDEX('FF Adj Parameters'!$A$96:$B$99,,1),0),2),"Unknown")</f>
        <v/>
      </c>
      <c r="O27" s="17">
        <f>IF('Loan Tape (BoE)'!O28=1,"Yes","No")</f>
        <v/>
      </c>
      <c r="P27" s="17">
        <f>IF('Loan Tape (BoE)'!P27=1,"Yes",IF('Loan Tape (BoE)'!P27=0,"No",""))</f>
        <v/>
      </c>
      <c r="Q27" s="17">
        <f>IF('Loan Tape (BoE)'!Q27=1,"Yes",IF('Loan Tape (BoE)'!Q27=0,"No",""))</f>
        <v/>
      </c>
      <c r="R27" s="18">
        <f>IF('Loan Tape (BoE)'!R27=1,"Yes",IF('Loan Tape (BoE)'!R27=0,"No",""))</f>
        <v/>
      </c>
      <c r="S27" s="18">
        <f>IF('Loan Tape (BoE)'!S27=1,"Yes",IF('Loan Tape (BoE)'!S27=0,"No",""))</f>
        <v/>
      </c>
      <c r="T27" s="17">
        <f>IF('Loan Tape (BoE)'!T27=1,"Yes",IF('Loan Tape (BoE)'!T27=0,"No",""))</f>
        <v/>
      </c>
      <c r="U27" s="18">
        <f>R27+S27</f>
        <v/>
      </c>
      <c r="V27" s="17">
        <f>IFERROR(IFS('Loan Tape (BoE)'!U28=1,"Employed",'Loan Tape (BoE)'!U28=2,"Self-Employed",'Loan Tape (BoE)'!U28=3,"Unemployed",'Loan Tape (BoE)'!U28=4,"Retired"),"")</f>
        <v/>
      </c>
      <c r="W27" s="17">
        <f>IFERROR(IFS('Loan Tape (BoE)'!V28=1,"Employed",'Loan Tape (BoE)'!V28=2,"Self-Employed",'Loan Tape (BoE)'!V28=3,"Unemployed",'Loan Tape (BoE)'!V28=4,"Retired"),"")</f>
        <v/>
      </c>
      <c r="X27" s="17">
        <f>IF(OR(V27="Self-Employed",W27="Self-Employed"),"Yes","No")</f>
        <v/>
      </c>
      <c r="Y27" s="17">
        <f>'Loan Tape (BoE)'!W28</f>
        <v/>
      </c>
      <c r="Z27" s="17">
        <f>'Loan Tape (BoE)'!X28</f>
        <v/>
      </c>
      <c r="AA27" s="17">
        <f>IF(T27=1,Y27,MIN(Y27,Z27))</f>
        <v/>
      </c>
      <c r="AB27" s="17">
        <f>'Loan Tape (BoE)'!Y28</f>
        <v/>
      </c>
      <c r="AC27" s="17">
        <f>'Loan Tape (BoE)'!Z28</f>
        <v/>
      </c>
      <c r="AD27" s="17">
        <f>AB27+AC27</f>
        <v/>
      </c>
      <c r="AE27" s="18">
        <f>'Loan Tape (BoE)'!AA28</f>
        <v/>
      </c>
      <c r="AF27" s="18">
        <f>'Loan Tape (BoE)'!AB28</f>
        <v/>
      </c>
      <c r="AG27" s="18">
        <f>AE27+AF27</f>
        <v/>
      </c>
      <c r="AH27" s="19">
        <f>MAX('Loan Tape (BoE)'!AC28,'Loan Tape (BoE)'!AD28)</f>
        <v/>
      </c>
      <c r="AI27" s="18">
        <f>'Loan Tape (BoE)'!AE28</f>
        <v/>
      </c>
      <c r="AJ27" s="18">
        <f>B27*H27/12</f>
        <v/>
      </c>
      <c r="AK27" s="21">
        <f>IF(AJ27&gt;0,AI27/AJ27,0)</f>
        <v/>
      </c>
      <c r="AL27" s="17">
        <f>IF('Loan Tape (BoE)'!AF28=1,"Yes","No")</f>
        <v/>
      </c>
      <c r="AM27" s="17">
        <f>IF('Loan Tape (BoE)'!AH28=1,"Yes","No")</f>
        <v/>
      </c>
      <c r="AN27" s="17">
        <f>IF('Loan Tape (BoE)'!AI28=1,"Yes","No")</f>
        <v/>
      </c>
      <c r="AO27" s="17">
        <f>IF('Loan Tape (BoE)'!AJ28=1,"Yes","No")</f>
        <v/>
      </c>
      <c r="AP27" s="17">
        <f>IF(OR('Loan Tape (BoE)'!AQ27=1,'Loan Tape (BoE)'!AQ27=2),"Yes",IF('Loan Tape (BoE)'!AQ27=0,"No",""))</f>
        <v/>
      </c>
      <c r="AQ27" s="17">
        <f>IF('Loan Tape (BoE)'!BV49_27&lt;&gt;"",'Loan Tape (BoE)'!BV49_27,"")</f>
        <v/>
      </c>
      <c r="AR27" s="17">
        <f>IF('Loan Tape (BoE)'!BV270_27&lt;&gt;"",'Loan Tape (BoE)'!BV50_27,"")</f>
        <v/>
      </c>
      <c r="AS27" s="17">
        <f>IFERROR(INDEX('FF Adj Parameters'!$A$103:$B$1027,MATCH('Loan Tape (BoE)'!P27,INDEX('FF Adj Parameters'!$A$103:$B$1027,,1),0),2),"Unknown")</f>
        <v/>
      </c>
      <c r="AT27" s="17">
        <f>IF(N27="Interest Only",M5*O5/12,IF(AND(O5&gt;0,ISNUMBER(O5),ISNUMBER(M5)),ABS(PMT(O5/12,AU5,-M5)),0))</f>
        <v/>
      </c>
      <c r="AU27" s="17">
        <f>IF(ISNUMBER(L27),MAX(0,(L5-'Control Panel'!$B$10)*12/365.25),0)</f>
        <v/>
      </c>
      <c r="AV27" s="17">
        <f>IF(ISNUMBER(L27),IF(L5&gt;'Control Panel'!$B$10,"Valid","Past Maturity"),"No Date")</f>
        <v/>
      </c>
      <c r="AW27" s="17">
        <f>IF(ISNUMBER(K27),MAX(0,('Control Panel'!$B$10-K5)*12/365.25),0)</f>
        <v/>
      </c>
    </row>
    <row r="28">
      <c r="A28" s="17">
        <f>'Loan Tape (BoE)'!A29</f>
        <v/>
      </c>
      <c r="B28" s="18">
        <f>IFERROR(INDEX('FF Adj Parameters'!$A$89:$B$92,MATCH('Loan Tape (BoE)'!C28,INDEX('FF Adj Parameters'!$A$89:$B$92,,1),0),2),"Unknown")</f>
        <v/>
      </c>
      <c r="C28" s="18">
        <f>'Loan Tape (BoE)'!C29</f>
        <v/>
      </c>
      <c r="D28" s="18">
        <f>'Loan Tape (BoE)'!D29</f>
        <v/>
      </c>
      <c r="E28" s="18">
        <f>'Loan Tape (BoE)'!E29</f>
        <v/>
      </c>
      <c r="F28" s="19">
        <f>'Loan Tape (BoE)'!F29</f>
        <v/>
      </c>
      <c r="G28" s="19">
        <f>'Loan Tape (BoE)'!G29</f>
        <v/>
      </c>
      <c r="H28" s="20">
        <f>'Loan Tape (BoE)'!H29/100</f>
        <v/>
      </c>
      <c r="I28" s="17">
        <f>IFERROR(IFS('Loan Tape (BoE)'!I29=1,"House",'Loan Tape (BoE)'!I29=2,"Flat",'Loan Tape (BoE)'!I29=3,"Bungalow",'Loan Tape (BoE)'!I29=4,"Maisonette"),"")</f>
        <v/>
      </c>
      <c r="J28" s="17">
        <f>'Loan Tape (BoE)'!J29</f>
        <v/>
      </c>
      <c r="K28" s="17">
        <f>'Loan Tape (BoE)'!K29</f>
        <v/>
      </c>
      <c r="L28" s="17">
        <f>IFERROR(IFS('Loan Tape (BoE)'!L29=1,"Owner Occupied",'Loan Tape (BoE)'!L29=2,"BTL",'Loan Tape (BoE)'!L29=3,"Second Home",'Loan Tape (BoE)'!L29=4,"Investment"),"")</f>
        <v/>
      </c>
      <c r="M28" s="17">
        <f>IFERROR(IFS('Loan Tape (BoE)'!M29=1,"Purchase",'Loan Tape (BoE)'!M29=2,"Remortgage",OR('Loan Tape (BoE)'!M29=3,'Loan Tape (BoE)'!M29=4),"Cash-out"),"")</f>
        <v/>
      </c>
      <c r="N28" s="17">
        <f>IFERROR(INDEX('FF Adj Parameters'!$A$96:$B$99,MATCH('Loan Tape (BoE)'!R28,INDEX('FF Adj Parameters'!$A$96:$B$99,,1),0),2),"Unknown")</f>
        <v/>
      </c>
      <c r="O28" s="17">
        <f>IF('Loan Tape (BoE)'!O29=1,"Yes","No")</f>
        <v/>
      </c>
      <c r="P28" s="17">
        <f>IF('Loan Tape (BoE)'!P28=1,"Yes",IF('Loan Tape (BoE)'!P28=0,"No",""))</f>
        <v/>
      </c>
      <c r="Q28" s="17">
        <f>IF('Loan Tape (BoE)'!Q28=1,"Yes",IF('Loan Tape (BoE)'!Q28=0,"No",""))</f>
        <v/>
      </c>
      <c r="R28" s="18">
        <f>IF('Loan Tape (BoE)'!R28=1,"Yes",IF('Loan Tape (BoE)'!R28=0,"No",""))</f>
        <v/>
      </c>
      <c r="S28" s="18">
        <f>IF('Loan Tape (BoE)'!S28=1,"Yes",IF('Loan Tape (BoE)'!S28=0,"No",""))</f>
        <v/>
      </c>
      <c r="T28" s="17">
        <f>IF('Loan Tape (BoE)'!T28=1,"Yes",IF('Loan Tape (BoE)'!T28=0,"No",""))</f>
        <v/>
      </c>
      <c r="U28" s="18">
        <f>R28+S28</f>
        <v/>
      </c>
      <c r="V28" s="17">
        <f>IFERROR(IFS('Loan Tape (BoE)'!U29=1,"Employed",'Loan Tape (BoE)'!U29=2,"Self-Employed",'Loan Tape (BoE)'!U29=3,"Unemployed",'Loan Tape (BoE)'!U29=4,"Retired"),"")</f>
        <v/>
      </c>
      <c r="W28" s="17">
        <f>IFERROR(IFS('Loan Tape (BoE)'!V29=1,"Employed",'Loan Tape (BoE)'!V29=2,"Self-Employed",'Loan Tape (BoE)'!V29=3,"Unemployed",'Loan Tape (BoE)'!V29=4,"Retired"),"")</f>
        <v/>
      </c>
      <c r="X28" s="17">
        <f>IF(OR(V28="Self-Employed",W28="Self-Employed"),"Yes","No")</f>
        <v/>
      </c>
      <c r="Y28" s="17">
        <f>'Loan Tape (BoE)'!W29</f>
        <v/>
      </c>
      <c r="Z28" s="17">
        <f>'Loan Tape (BoE)'!X29</f>
        <v/>
      </c>
      <c r="AA28" s="17">
        <f>IF(T28=1,Y28,MIN(Y28,Z28))</f>
        <v/>
      </c>
      <c r="AB28" s="17">
        <f>'Loan Tape (BoE)'!Y29</f>
        <v/>
      </c>
      <c r="AC28" s="17">
        <f>'Loan Tape (BoE)'!Z29</f>
        <v/>
      </c>
      <c r="AD28" s="17">
        <f>AB28+AC28</f>
        <v/>
      </c>
      <c r="AE28" s="18">
        <f>'Loan Tape (BoE)'!AA29</f>
        <v/>
      </c>
      <c r="AF28" s="18">
        <f>'Loan Tape (BoE)'!AB29</f>
        <v/>
      </c>
      <c r="AG28" s="18">
        <f>AE28+AF28</f>
        <v/>
      </c>
      <c r="AH28" s="19">
        <f>MAX('Loan Tape (BoE)'!AC29,'Loan Tape (BoE)'!AD29)</f>
        <v/>
      </c>
      <c r="AI28" s="18">
        <f>'Loan Tape (BoE)'!AE29</f>
        <v/>
      </c>
      <c r="AJ28" s="18">
        <f>B28*H28/12</f>
        <v/>
      </c>
      <c r="AK28" s="21">
        <f>IF(AJ28&gt;0,AI28/AJ28,0)</f>
        <v/>
      </c>
      <c r="AL28" s="17">
        <f>IF('Loan Tape (BoE)'!AF29=1,"Yes","No")</f>
        <v/>
      </c>
      <c r="AM28" s="17">
        <f>IF('Loan Tape (BoE)'!AH29=1,"Yes","No")</f>
        <v/>
      </c>
      <c r="AN28" s="17">
        <f>IF('Loan Tape (BoE)'!AI29=1,"Yes","No")</f>
        <v/>
      </c>
      <c r="AO28" s="17">
        <f>IF('Loan Tape (BoE)'!AJ29=1,"Yes","No")</f>
        <v/>
      </c>
      <c r="AP28" s="17">
        <f>IF(OR('Loan Tape (BoE)'!AQ28=1,'Loan Tape (BoE)'!AQ28=2),"Yes",IF('Loan Tape (BoE)'!AQ28=0,"No",""))</f>
        <v/>
      </c>
      <c r="AQ28" s="17">
        <f>IF('Loan Tape (BoE)'!BV49_28&lt;&gt;"",'Loan Tape (BoE)'!BV49_28,"")</f>
        <v/>
      </c>
      <c r="AR28" s="17">
        <f>IF('Loan Tape (BoE)'!BV280_28&lt;&gt;"",'Loan Tape (BoE)'!BV50_28,"")</f>
        <v/>
      </c>
      <c r="AS28" s="17">
        <f>IFERROR(INDEX('FF Adj Parameters'!$A$103:$B$1028,MATCH('Loan Tape (BoE)'!P28,INDEX('FF Adj Parameters'!$A$103:$B$1028,,1),0),2),"Unknown")</f>
        <v/>
      </c>
      <c r="AT28" s="17">
        <f>IF(N28="Interest Only",M5*O5/12,IF(AND(O5&gt;0,ISNUMBER(O5),ISNUMBER(M5)),ABS(PMT(O5/12,AU5,-M5)),0))</f>
        <v/>
      </c>
      <c r="AU28" s="17">
        <f>IF(ISNUMBER(L28),MAX(0,(L5-'Control Panel'!$B$10)*12/365.25),0)</f>
        <v/>
      </c>
      <c r="AV28" s="17">
        <f>IF(ISNUMBER(L28),IF(L5&gt;'Control Panel'!$B$10,"Valid","Past Maturity"),"No Date")</f>
        <v/>
      </c>
      <c r="AW28" s="17">
        <f>IF(ISNUMBER(K28),MAX(0,('Control Panel'!$B$10-K5)*12/365.25),0)</f>
        <v/>
      </c>
    </row>
    <row r="29">
      <c r="A29" s="17">
        <f>'Loan Tape (BoE)'!A30</f>
        <v/>
      </c>
      <c r="B29" s="18">
        <f>IFERROR(INDEX('FF Adj Parameters'!$A$89:$B$92,MATCH('Loan Tape (BoE)'!C29,INDEX('FF Adj Parameters'!$A$89:$B$92,,1),0),2),"Unknown")</f>
        <v/>
      </c>
      <c r="C29" s="18">
        <f>'Loan Tape (BoE)'!C30</f>
        <v/>
      </c>
      <c r="D29" s="18">
        <f>'Loan Tape (BoE)'!D30</f>
        <v/>
      </c>
      <c r="E29" s="18">
        <f>'Loan Tape (BoE)'!E30</f>
        <v/>
      </c>
      <c r="F29" s="19">
        <f>'Loan Tape (BoE)'!F30</f>
        <v/>
      </c>
      <c r="G29" s="19">
        <f>'Loan Tape (BoE)'!G30</f>
        <v/>
      </c>
      <c r="H29" s="20">
        <f>'Loan Tape (BoE)'!H30/100</f>
        <v/>
      </c>
      <c r="I29" s="17">
        <f>IFERROR(IFS('Loan Tape (BoE)'!I30=1,"House",'Loan Tape (BoE)'!I30=2,"Flat",'Loan Tape (BoE)'!I30=3,"Bungalow",'Loan Tape (BoE)'!I30=4,"Maisonette"),"")</f>
        <v/>
      </c>
      <c r="J29" s="17">
        <f>'Loan Tape (BoE)'!J30</f>
        <v/>
      </c>
      <c r="K29" s="17">
        <f>'Loan Tape (BoE)'!K30</f>
        <v/>
      </c>
      <c r="L29" s="17">
        <f>IFERROR(IFS('Loan Tape (BoE)'!L30=1,"Owner Occupied",'Loan Tape (BoE)'!L30=2,"BTL",'Loan Tape (BoE)'!L30=3,"Second Home",'Loan Tape (BoE)'!L30=4,"Investment"),"")</f>
        <v/>
      </c>
      <c r="M29" s="17">
        <f>IFERROR(IFS('Loan Tape (BoE)'!M30=1,"Purchase",'Loan Tape (BoE)'!M30=2,"Remortgage",OR('Loan Tape (BoE)'!M30=3,'Loan Tape (BoE)'!M30=4),"Cash-out"),"")</f>
        <v/>
      </c>
      <c r="N29" s="17">
        <f>IFERROR(INDEX('FF Adj Parameters'!$A$96:$B$99,MATCH('Loan Tape (BoE)'!R29,INDEX('FF Adj Parameters'!$A$96:$B$99,,1),0),2),"Unknown")</f>
        <v/>
      </c>
      <c r="O29" s="17">
        <f>IF('Loan Tape (BoE)'!O30=1,"Yes","No")</f>
        <v/>
      </c>
      <c r="P29" s="17">
        <f>IF('Loan Tape (BoE)'!P29=1,"Yes",IF('Loan Tape (BoE)'!P29=0,"No",""))</f>
        <v/>
      </c>
      <c r="Q29" s="17">
        <f>IF('Loan Tape (BoE)'!Q29=1,"Yes",IF('Loan Tape (BoE)'!Q29=0,"No",""))</f>
        <v/>
      </c>
      <c r="R29" s="18">
        <f>IF('Loan Tape (BoE)'!R29=1,"Yes",IF('Loan Tape (BoE)'!R29=0,"No",""))</f>
        <v/>
      </c>
      <c r="S29" s="18">
        <f>IF('Loan Tape (BoE)'!S29=1,"Yes",IF('Loan Tape (BoE)'!S29=0,"No",""))</f>
        <v/>
      </c>
      <c r="T29" s="17">
        <f>IF('Loan Tape (BoE)'!T29=1,"Yes",IF('Loan Tape (BoE)'!T29=0,"No",""))</f>
        <v/>
      </c>
      <c r="U29" s="18">
        <f>R29+S29</f>
        <v/>
      </c>
      <c r="V29" s="17">
        <f>IFERROR(IFS('Loan Tape (BoE)'!U30=1,"Employed",'Loan Tape (BoE)'!U30=2,"Self-Employed",'Loan Tape (BoE)'!U30=3,"Unemployed",'Loan Tape (BoE)'!U30=4,"Retired"),"")</f>
        <v/>
      </c>
      <c r="W29" s="17">
        <f>IFERROR(IFS('Loan Tape (BoE)'!V30=1,"Employed",'Loan Tape (BoE)'!V30=2,"Self-Employed",'Loan Tape (BoE)'!V30=3,"Unemployed",'Loan Tape (BoE)'!V30=4,"Retired"),"")</f>
        <v/>
      </c>
      <c r="X29" s="17">
        <f>IF(OR(V29="Self-Employed",W29="Self-Employed"),"Yes","No")</f>
        <v/>
      </c>
      <c r="Y29" s="17">
        <f>'Loan Tape (BoE)'!W30</f>
        <v/>
      </c>
      <c r="Z29" s="17">
        <f>'Loan Tape (BoE)'!X30</f>
        <v/>
      </c>
      <c r="AA29" s="17">
        <f>IF(T29=1,Y29,MIN(Y29,Z29))</f>
        <v/>
      </c>
      <c r="AB29" s="17">
        <f>'Loan Tape (BoE)'!Y30</f>
        <v/>
      </c>
      <c r="AC29" s="17">
        <f>'Loan Tape (BoE)'!Z30</f>
        <v/>
      </c>
      <c r="AD29" s="17">
        <f>AB29+AC29</f>
        <v/>
      </c>
      <c r="AE29" s="18">
        <f>'Loan Tape (BoE)'!AA30</f>
        <v/>
      </c>
      <c r="AF29" s="18">
        <f>'Loan Tape (BoE)'!AB30</f>
        <v/>
      </c>
      <c r="AG29" s="18">
        <f>AE29+AF29</f>
        <v/>
      </c>
      <c r="AH29" s="19">
        <f>MAX('Loan Tape (BoE)'!AC30,'Loan Tape (BoE)'!AD30)</f>
        <v/>
      </c>
      <c r="AI29" s="18">
        <f>'Loan Tape (BoE)'!AE30</f>
        <v/>
      </c>
      <c r="AJ29" s="18">
        <f>B29*H29/12</f>
        <v/>
      </c>
      <c r="AK29" s="21">
        <f>IF(AJ29&gt;0,AI29/AJ29,0)</f>
        <v/>
      </c>
      <c r="AL29" s="17">
        <f>IF('Loan Tape (BoE)'!AF30=1,"Yes","No")</f>
        <v/>
      </c>
      <c r="AM29" s="17">
        <f>IF('Loan Tape (BoE)'!AH30=1,"Yes","No")</f>
        <v/>
      </c>
      <c r="AN29" s="17">
        <f>IF('Loan Tape (BoE)'!AI30=1,"Yes","No")</f>
        <v/>
      </c>
      <c r="AO29" s="17">
        <f>IF('Loan Tape (BoE)'!AJ30=1,"Yes","No")</f>
        <v/>
      </c>
      <c r="AP29" s="17">
        <f>IF(OR('Loan Tape (BoE)'!AQ29=1,'Loan Tape (BoE)'!AQ29=2),"Yes",IF('Loan Tape (BoE)'!AQ29=0,"No",""))</f>
        <v/>
      </c>
      <c r="AQ29" s="17">
        <f>IF('Loan Tape (BoE)'!BV49_29&lt;&gt;"",'Loan Tape (BoE)'!BV49_29,"")</f>
        <v/>
      </c>
      <c r="AR29" s="17">
        <f>IF('Loan Tape (BoE)'!BV290_29&lt;&gt;"",'Loan Tape (BoE)'!BV50_29,"")</f>
        <v/>
      </c>
      <c r="AS29" s="17">
        <f>IFERROR(INDEX('FF Adj Parameters'!$A$103:$B$1029,MATCH('Loan Tape (BoE)'!P29,INDEX('FF Adj Parameters'!$A$103:$B$1029,,1),0),2),"Unknown")</f>
        <v/>
      </c>
      <c r="AT29" s="17">
        <f>IF(N29="Interest Only",M5*O5/12,IF(AND(O5&gt;0,ISNUMBER(O5),ISNUMBER(M5)),ABS(PMT(O5/12,AU5,-M5)),0))</f>
        <v/>
      </c>
      <c r="AU29" s="17">
        <f>IF(ISNUMBER(L29),MAX(0,(L5-'Control Panel'!$B$10)*12/365.25),0)</f>
        <v/>
      </c>
      <c r="AV29" s="17">
        <f>IF(ISNUMBER(L29),IF(L5&gt;'Control Panel'!$B$10,"Valid","Past Maturity"),"No Date")</f>
        <v/>
      </c>
      <c r="AW29" s="17">
        <f>IF(ISNUMBER(K29),MAX(0,('Control Panel'!$B$10-K5)*12/365.25),0)</f>
        <v/>
      </c>
    </row>
    <row r="30">
      <c r="A30" s="17">
        <f>'Loan Tape (BoE)'!A31</f>
        <v/>
      </c>
      <c r="B30" s="18">
        <f>IFERROR(INDEX('FF Adj Parameters'!$A$89:$B$92,MATCH('Loan Tape (BoE)'!C30,INDEX('FF Adj Parameters'!$A$89:$B$92,,1),0),2),"Unknown")</f>
        <v/>
      </c>
      <c r="C30" s="18">
        <f>'Loan Tape (BoE)'!C31</f>
        <v/>
      </c>
      <c r="D30" s="18">
        <f>'Loan Tape (BoE)'!D31</f>
        <v/>
      </c>
      <c r="E30" s="18">
        <f>'Loan Tape (BoE)'!E31</f>
        <v/>
      </c>
      <c r="F30" s="19">
        <f>'Loan Tape (BoE)'!F31</f>
        <v/>
      </c>
      <c r="G30" s="19">
        <f>'Loan Tape (BoE)'!G31</f>
        <v/>
      </c>
      <c r="H30" s="20">
        <f>'Loan Tape (BoE)'!H31/100</f>
        <v/>
      </c>
      <c r="I30" s="17">
        <f>IFERROR(IFS('Loan Tape (BoE)'!I31=1,"House",'Loan Tape (BoE)'!I31=2,"Flat",'Loan Tape (BoE)'!I31=3,"Bungalow",'Loan Tape (BoE)'!I31=4,"Maisonette"),"")</f>
        <v/>
      </c>
      <c r="J30" s="17">
        <f>'Loan Tape (BoE)'!J31</f>
        <v/>
      </c>
      <c r="K30" s="17">
        <f>'Loan Tape (BoE)'!K31</f>
        <v/>
      </c>
      <c r="L30" s="17">
        <f>IFERROR(IFS('Loan Tape (BoE)'!L31=1,"Owner Occupied",'Loan Tape (BoE)'!L31=2,"BTL",'Loan Tape (BoE)'!L31=3,"Second Home",'Loan Tape (BoE)'!L31=4,"Investment"),"")</f>
        <v/>
      </c>
      <c r="M30" s="17">
        <f>IFERROR(IFS('Loan Tape (BoE)'!M31=1,"Purchase",'Loan Tape (BoE)'!M31=2,"Remortgage",OR('Loan Tape (BoE)'!M31=3,'Loan Tape (BoE)'!M31=4),"Cash-out"),"")</f>
        <v/>
      </c>
      <c r="N30" s="17">
        <f>IFERROR(INDEX('FF Adj Parameters'!$A$96:$B$99,MATCH('Loan Tape (BoE)'!R30,INDEX('FF Adj Parameters'!$A$96:$B$99,,1),0),2),"Unknown")</f>
        <v/>
      </c>
      <c r="O30" s="17">
        <f>IF('Loan Tape (BoE)'!O31=1,"Yes","No")</f>
        <v/>
      </c>
      <c r="P30" s="17">
        <f>IF('Loan Tape (BoE)'!P30=1,"Yes",IF('Loan Tape (BoE)'!P30=0,"No",""))</f>
        <v/>
      </c>
      <c r="Q30" s="17">
        <f>IF('Loan Tape (BoE)'!Q30=1,"Yes",IF('Loan Tape (BoE)'!Q30=0,"No",""))</f>
        <v/>
      </c>
      <c r="R30" s="18">
        <f>IF('Loan Tape (BoE)'!R30=1,"Yes",IF('Loan Tape (BoE)'!R30=0,"No",""))</f>
        <v/>
      </c>
      <c r="S30" s="18">
        <f>IF('Loan Tape (BoE)'!S30=1,"Yes",IF('Loan Tape (BoE)'!S30=0,"No",""))</f>
        <v/>
      </c>
      <c r="T30" s="17">
        <f>IF('Loan Tape (BoE)'!T30=1,"Yes",IF('Loan Tape (BoE)'!T30=0,"No",""))</f>
        <v/>
      </c>
      <c r="U30" s="18">
        <f>R30+S30</f>
        <v/>
      </c>
      <c r="V30" s="17">
        <f>IFERROR(IFS('Loan Tape (BoE)'!U31=1,"Employed",'Loan Tape (BoE)'!U31=2,"Self-Employed",'Loan Tape (BoE)'!U31=3,"Unemployed",'Loan Tape (BoE)'!U31=4,"Retired"),"")</f>
        <v/>
      </c>
      <c r="W30" s="17">
        <f>IFERROR(IFS('Loan Tape (BoE)'!V31=1,"Employed",'Loan Tape (BoE)'!V31=2,"Self-Employed",'Loan Tape (BoE)'!V31=3,"Unemployed",'Loan Tape (BoE)'!V31=4,"Retired"),"")</f>
        <v/>
      </c>
      <c r="X30" s="17">
        <f>IF(OR(V30="Self-Employed",W30="Self-Employed"),"Yes","No")</f>
        <v/>
      </c>
      <c r="Y30" s="17">
        <f>'Loan Tape (BoE)'!W31</f>
        <v/>
      </c>
      <c r="Z30" s="17">
        <f>'Loan Tape (BoE)'!X31</f>
        <v/>
      </c>
      <c r="AA30" s="17">
        <f>IF(T30=1,Y30,MIN(Y30,Z30))</f>
        <v/>
      </c>
      <c r="AB30" s="17">
        <f>'Loan Tape (BoE)'!Y31</f>
        <v/>
      </c>
      <c r="AC30" s="17">
        <f>'Loan Tape (BoE)'!Z31</f>
        <v/>
      </c>
      <c r="AD30" s="17">
        <f>AB30+AC30</f>
        <v/>
      </c>
      <c r="AE30" s="18">
        <f>'Loan Tape (BoE)'!AA31</f>
        <v/>
      </c>
      <c r="AF30" s="18">
        <f>'Loan Tape (BoE)'!AB31</f>
        <v/>
      </c>
      <c r="AG30" s="18">
        <f>AE30+AF30</f>
        <v/>
      </c>
      <c r="AH30" s="19">
        <f>MAX('Loan Tape (BoE)'!AC31,'Loan Tape (BoE)'!AD31)</f>
        <v/>
      </c>
      <c r="AI30" s="18">
        <f>'Loan Tape (BoE)'!AE31</f>
        <v/>
      </c>
      <c r="AJ30" s="18">
        <f>B30*H30/12</f>
        <v/>
      </c>
      <c r="AK30" s="21">
        <f>IF(AJ30&gt;0,AI30/AJ30,0)</f>
        <v/>
      </c>
      <c r="AL30" s="17">
        <f>IF('Loan Tape (BoE)'!AF31=1,"Yes","No")</f>
        <v/>
      </c>
      <c r="AM30" s="17">
        <f>IF('Loan Tape (BoE)'!AH31=1,"Yes","No")</f>
        <v/>
      </c>
      <c r="AN30" s="17">
        <f>IF('Loan Tape (BoE)'!AI31=1,"Yes","No")</f>
        <v/>
      </c>
      <c r="AO30" s="17">
        <f>IF('Loan Tape (BoE)'!AJ31=1,"Yes","No")</f>
        <v/>
      </c>
      <c r="AP30" s="17">
        <f>IF(OR('Loan Tape (BoE)'!AQ30=1,'Loan Tape (BoE)'!AQ30=2),"Yes",IF('Loan Tape (BoE)'!AQ30=0,"No",""))</f>
        <v/>
      </c>
      <c r="AQ30" s="17">
        <f>IF('Loan Tape (BoE)'!BV49_30&lt;&gt;"",'Loan Tape (BoE)'!BV49_30,"")</f>
        <v/>
      </c>
      <c r="AR30" s="17">
        <f>IF('Loan Tape (BoE)'!BV300_30&lt;&gt;"",'Loan Tape (BoE)'!BV50_30,"")</f>
        <v/>
      </c>
      <c r="AS30" s="17">
        <f>IFERROR(INDEX('FF Adj Parameters'!$A$103:$B$1030,MATCH('Loan Tape (BoE)'!P30,INDEX('FF Adj Parameters'!$A$103:$B$1030,,1),0),2),"Unknown")</f>
        <v/>
      </c>
      <c r="AT30" s="17">
        <f>IF(N30="Interest Only",M5*O5/12,IF(AND(O5&gt;0,ISNUMBER(O5),ISNUMBER(M5)),ABS(PMT(O5/12,AU5,-M5)),0))</f>
        <v/>
      </c>
      <c r="AU30" s="17">
        <f>IF(ISNUMBER(L30),MAX(0,(L5-'Control Panel'!$B$10)*12/365.25),0)</f>
        <v/>
      </c>
      <c r="AV30" s="17">
        <f>IF(ISNUMBER(L30),IF(L5&gt;'Control Panel'!$B$10,"Valid","Past Maturity"),"No Date")</f>
        <v/>
      </c>
      <c r="AW30" s="17">
        <f>IF(ISNUMBER(K30),MAX(0,('Control Panel'!$B$10-K5)*12/365.25),0)</f>
        <v/>
      </c>
    </row>
    <row r="31">
      <c r="A31" s="17">
        <f>'Loan Tape (BoE)'!A32</f>
        <v/>
      </c>
      <c r="B31" s="18">
        <f>IFERROR(INDEX('FF Adj Parameters'!$A$89:$B$92,MATCH('Loan Tape (BoE)'!C31,INDEX('FF Adj Parameters'!$A$89:$B$92,,1),0),2),"Unknown")</f>
        <v/>
      </c>
      <c r="C31" s="18">
        <f>'Loan Tape (BoE)'!C32</f>
        <v/>
      </c>
      <c r="D31" s="18">
        <f>'Loan Tape (BoE)'!D32</f>
        <v/>
      </c>
      <c r="E31" s="18">
        <f>'Loan Tape (BoE)'!E32</f>
        <v/>
      </c>
      <c r="F31" s="19">
        <f>'Loan Tape (BoE)'!F32</f>
        <v/>
      </c>
      <c r="G31" s="19">
        <f>'Loan Tape (BoE)'!G32</f>
        <v/>
      </c>
      <c r="H31" s="20">
        <f>'Loan Tape (BoE)'!H32/100</f>
        <v/>
      </c>
      <c r="I31" s="17">
        <f>IFERROR(IFS('Loan Tape (BoE)'!I32=1,"House",'Loan Tape (BoE)'!I32=2,"Flat",'Loan Tape (BoE)'!I32=3,"Bungalow",'Loan Tape (BoE)'!I32=4,"Maisonette"),"")</f>
        <v/>
      </c>
      <c r="J31" s="17">
        <f>'Loan Tape (BoE)'!J32</f>
        <v/>
      </c>
      <c r="K31" s="17">
        <f>'Loan Tape (BoE)'!K32</f>
        <v/>
      </c>
      <c r="L31" s="17">
        <f>IFERROR(IFS('Loan Tape (BoE)'!L32=1,"Owner Occupied",'Loan Tape (BoE)'!L32=2,"BTL",'Loan Tape (BoE)'!L32=3,"Second Home",'Loan Tape (BoE)'!L32=4,"Investment"),"")</f>
        <v/>
      </c>
      <c r="M31" s="17">
        <f>IFERROR(IFS('Loan Tape (BoE)'!M32=1,"Purchase",'Loan Tape (BoE)'!M32=2,"Remortgage",OR('Loan Tape (BoE)'!M32=3,'Loan Tape (BoE)'!M32=4),"Cash-out"),"")</f>
        <v/>
      </c>
      <c r="N31" s="17">
        <f>IFERROR(INDEX('FF Adj Parameters'!$A$96:$B$99,MATCH('Loan Tape (BoE)'!R31,INDEX('FF Adj Parameters'!$A$96:$B$99,,1),0),2),"Unknown")</f>
        <v/>
      </c>
      <c r="O31" s="17">
        <f>IF('Loan Tape (BoE)'!O32=1,"Yes","No")</f>
        <v/>
      </c>
      <c r="P31" s="17">
        <f>IF('Loan Tape (BoE)'!P31=1,"Yes",IF('Loan Tape (BoE)'!P31=0,"No",""))</f>
        <v/>
      </c>
      <c r="Q31" s="17">
        <f>IF('Loan Tape (BoE)'!Q31=1,"Yes",IF('Loan Tape (BoE)'!Q31=0,"No",""))</f>
        <v/>
      </c>
      <c r="R31" s="18">
        <f>IF('Loan Tape (BoE)'!R31=1,"Yes",IF('Loan Tape (BoE)'!R31=0,"No",""))</f>
        <v/>
      </c>
      <c r="S31" s="18">
        <f>IF('Loan Tape (BoE)'!S31=1,"Yes",IF('Loan Tape (BoE)'!S31=0,"No",""))</f>
        <v/>
      </c>
      <c r="T31" s="17">
        <f>IF('Loan Tape (BoE)'!T31=1,"Yes",IF('Loan Tape (BoE)'!T31=0,"No",""))</f>
        <v/>
      </c>
      <c r="U31" s="18">
        <f>R31+S31</f>
        <v/>
      </c>
      <c r="V31" s="17">
        <f>IFERROR(IFS('Loan Tape (BoE)'!U32=1,"Employed",'Loan Tape (BoE)'!U32=2,"Self-Employed",'Loan Tape (BoE)'!U32=3,"Unemployed",'Loan Tape (BoE)'!U32=4,"Retired"),"")</f>
        <v/>
      </c>
      <c r="W31" s="17">
        <f>IFERROR(IFS('Loan Tape (BoE)'!V32=1,"Employed",'Loan Tape (BoE)'!V32=2,"Self-Employed",'Loan Tape (BoE)'!V32=3,"Unemployed",'Loan Tape (BoE)'!V32=4,"Retired"),"")</f>
        <v/>
      </c>
      <c r="X31" s="17">
        <f>IF(OR(V31="Self-Employed",W31="Self-Employed"),"Yes","No")</f>
        <v/>
      </c>
      <c r="Y31" s="17">
        <f>'Loan Tape (BoE)'!W32</f>
        <v/>
      </c>
      <c r="Z31" s="17">
        <f>'Loan Tape (BoE)'!X32</f>
        <v/>
      </c>
      <c r="AA31" s="17">
        <f>IF(T31=1,Y31,MIN(Y31,Z31))</f>
        <v/>
      </c>
      <c r="AB31" s="17">
        <f>'Loan Tape (BoE)'!Y32</f>
        <v/>
      </c>
      <c r="AC31" s="17">
        <f>'Loan Tape (BoE)'!Z32</f>
        <v/>
      </c>
      <c r="AD31" s="17">
        <f>AB31+AC31</f>
        <v/>
      </c>
      <c r="AE31" s="18">
        <f>'Loan Tape (BoE)'!AA32</f>
        <v/>
      </c>
      <c r="AF31" s="18">
        <f>'Loan Tape (BoE)'!AB32</f>
        <v/>
      </c>
      <c r="AG31" s="18">
        <f>AE31+AF31</f>
        <v/>
      </c>
      <c r="AH31" s="19">
        <f>MAX('Loan Tape (BoE)'!AC32,'Loan Tape (BoE)'!AD32)</f>
        <v/>
      </c>
      <c r="AI31" s="18">
        <f>'Loan Tape (BoE)'!AE32</f>
        <v/>
      </c>
      <c r="AJ31" s="18">
        <f>B31*H31/12</f>
        <v/>
      </c>
      <c r="AK31" s="21">
        <f>IF(AJ31&gt;0,AI31/AJ31,0)</f>
        <v/>
      </c>
      <c r="AL31" s="17">
        <f>IF('Loan Tape (BoE)'!AF32=1,"Yes","No")</f>
        <v/>
      </c>
      <c r="AM31" s="17">
        <f>IF('Loan Tape (BoE)'!AH32=1,"Yes","No")</f>
        <v/>
      </c>
      <c r="AN31" s="17">
        <f>IF('Loan Tape (BoE)'!AI32=1,"Yes","No")</f>
        <v/>
      </c>
      <c r="AO31" s="17">
        <f>IF('Loan Tape (BoE)'!AJ32=1,"Yes","No")</f>
        <v/>
      </c>
      <c r="AP31" s="17">
        <f>IF(OR('Loan Tape (BoE)'!AQ31=1,'Loan Tape (BoE)'!AQ31=2),"Yes",IF('Loan Tape (BoE)'!AQ31=0,"No",""))</f>
        <v/>
      </c>
      <c r="AQ31" s="17">
        <f>IF('Loan Tape (BoE)'!BV49_31&lt;&gt;"",'Loan Tape (BoE)'!BV49_31,"")</f>
        <v/>
      </c>
      <c r="AR31" s="17">
        <f>IF('Loan Tape (BoE)'!BV310_31&lt;&gt;"",'Loan Tape (BoE)'!BV50_31,"")</f>
        <v/>
      </c>
      <c r="AS31" s="17">
        <f>IFERROR(INDEX('FF Adj Parameters'!$A$103:$B$1031,MATCH('Loan Tape (BoE)'!P31,INDEX('FF Adj Parameters'!$A$103:$B$1031,,1),0),2),"Unknown")</f>
        <v/>
      </c>
      <c r="AT31" s="17">
        <f>IF(N31="Interest Only",M5*O5/12,IF(AND(O5&gt;0,ISNUMBER(O5),ISNUMBER(M5)),ABS(PMT(O5/12,AU5,-M5)),0))</f>
        <v/>
      </c>
      <c r="AU31" s="17">
        <f>IF(ISNUMBER(L31),MAX(0,(L5-'Control Panel'!$B$10)*12/365.25),0)</f>
        <v/>
      </c>
      <c r="AV31" s="17">
        <f>IF(ISNUMBER(L31),IF(L5&gt;'Control Panel'!$B$10,"Valid","Past Maturity"),"No Date")</f>
        <v/>
      </c>
      <c r="AW31" s="17">
        <f>IF(ISNUMBER(K31),MAX(0,('Control Panel'!$B$10-K5)*12/365.25),0)</f>
        <v/>
      </c>
    </row>
    <row r="32">
      <c r="A32" s="17">
        <f>'Loan Tape (BoE)'!A33</f>
        <v/>
      </c>
      <c r="B32" s="18">
        <f>IFERROR(INDEX('FF Adj Parameters'!$A$89:$B$92,MATCH('Loan Tape (BoE)'!C32,INDEX('FF Adj Parameters'!$A$89:$B$92,,1),0),2),"Unknown")</f>
        <v/>
      </c>
      <c r="C32" s="18">
        <f>'Loan Tape (BoE)'!C33</f>
        <v/>
      </c>
      <c r="D32" s="18">
        <f>'Loan Tape (BoE)'!D33</f>
        <v/>
      </c>
      <c r="E32" s="18">
        <f>'Loan Tape (BoE)'!E33</f>
        <v/>
      </c>
      <c r="F32" s="19">
        <f>'Loan Tape (BoE)'!F33</f>
        <v/>
      </c>
      <c r="G32" s="19">
        <f>'Loan Tape (BoE)'!G33</f>
        <v/>
      </c>
      <c r="H32" s="20">
        <f>'Loan Tape (BoE)'!H33/100</f>
        <v/>
      </c>
      <c r="I32" s="17">
        <f>IFERROR(IFS('Loan Tape (BoE)'!I33=1,"House",'Loan Tape (BoE)'!I33=2,"Flat",'Loan Tape (BoE)'!I33=3,"Bungalow",'Loan Tape (BoE)'!I33=4,"Maisonette"),"")</f>
        <v/>
      </c>
      <c r="J32" s="17">
        <f>'Loan Tape (BoE)'!J33</f>
        <v/>
      </c>
      <c r="K32" s="17">
        <f>'Loan Tape (BoE)'!K33</f>
        <v/>
      </c>
      <c r="L32" s="17">
        <f>IFERROR(IFS('Loan Tape (BoE)'!L33=1,"Owner Occupied",'Loan Tape (BoE)'!L33=2,"BTL",'Loan Tape (BoE)'!L33=3,"Second Home",'Loan Tape (BoE)'!L33=4,"Investment"),"")</f>
        <v/>
      </c>
      <c r="M32" s="17">
        <f>IFERROR(IFS('Loan Tape (BoE)'!M33=1,"Purchase",'Loan Tape (BoE)'!M33=2,"Remortgage",OR('Loan Tape (BoE)'!M33=3,'Loan Tape (BoE)'!M33=4),"Cash-out"),"")</f>
        <v/>
      </c>
      <c r="N32" s="17">
        <f>IFERROR(INDEX('FF Adj Parameters'!$A$96:$B$99,MATCH('Loan Tape (BoE)'!R32,INDEX('FF Adj Parameters'!$A$96:$B$99,,1),0),2),"Unknown")</f>
        <v/>
      </c>
      <c r="O32" s="17">
        <f>IF('Loan Tape (BoE)'!O33=1,"Yes","No")</f>
        <v/>
      </c>
      <c r="P32" s="17">
        <f>IF('Loan Tape (BoE)'!P32=1,"Yes",IF('Loan Tape (BoE)'!P32=0,"No",""))</f>
        <v/>
      </c>
      <c r="Q32" s="17">
        <f>IF('Loan Tape (BoE)'!Q32=1,"Yes",IF('Loan Tape (BoE)'!Q32=0,"No",""))</f>
        <v/>
      </c>
      <c r="R32" s="18">
        <f>IF('Loan Tape (BoE)'!R32=1,"Yes",IF('Loan Tape (BoE)'!R32=0,"No",""))</f>
        <v/>
      </c>
      <c r="S32" s="18">
        <f>IF('Loan Tape (BoE)'!S32=1,"Yes",IF('Loan Tape (BoE)'!S32=0,"No",""))</f>
        <v/>
      </c>
      <c r="T32" s="17">
        <f>IF('Loan Tape (BoE)'!T32=1,"Yes",IF('Loan Tape (BoE)'!T32=0,"No",""))</f>
        <v/>
      </c>
      <c r="U32" s="18">
        <f>R32+S32</f>
        <v/>
      </c>
      <c r="V32" s="17">
        <f>IFERROR(IFS('Loan Tape (BoE)'!U33=1,"Employed",'Loan Tape (BoE)'!U33=2,"Self-Employed",'Loan Tape (BoE)'!U33=3,"Unemployed",'Loan Tape (BoE)'!U33=4,"Retired"),"")</f>
        <v/>
      </c>
      <c r="W32" s="17">
        <f>IFERROR(IFS('Loan Tape (BoE)'!V33=1,"Employed",'Loan Tape (BoE)'!V33=2,"Self-Employed",'Loan Tape (BoE)'!V33=3,"Unemployed",'Loan Tape (BoE)'!V33=4,"Retired"),"")</f>
        <v/>
      </c>
      <c r="X32" s="17">
        <f>IF(OR(V32="Self-Employed",W32="Self-Employed"),"Yes","No")</f>
        <v/>
      </c>
      <c r="Y32" s="17">
        <f>'Loan Tape (BoE)'!W33</f>
        <v/>
      </c>
      <c r="Z32" s="17">
        <f>'Loan Tape (BoE)'!X33</f>
        <v/>
      </c>
      <c r="AA32" s="17">
        <f>IF(T32=1,Y32,MIN(Y32,Z32))</f>
        <v/>
      </c>
      <c r="AB32" s="17">
        <f>'Loan Tape (BoE)'!Y33</f>
        <v/>
      </c>
      <c r="AC32" s="17">
        <f>'Loan Tape (BoE)'!Z33</f>
        <v/>
      </c>
      <c r="AD32" s="17">
        <f>AB32+AC32</f>
        <v/>
      </c>
      <c r="AE32" s="18">
        <f>'Loan Tape (BoE)'!AA33</f>
        <v/>
      </c>
      <c r="AF32" s="18">
        <f>'Loan Tape (BoE)'!AB33</f>
        <v/>
      </c>
      <c r="AG32" s="18">
        <f>AE32+AF32</f>
        <v/>
      </c>
      <c r="AH32" s="19">
        <f>MAX('Loan Tape (BoE)'!AC33,'Loan Tape (BoE)'!AD33)</f>
        <v/>
      </c>
      <c r="AI32" s="18">
        <f>'Loan Tape (BoE)'!AE33</f>
        <v/>
      </c>
      <c r="AJ32" s="18">
        <f>B32*H32/12</f>
        <v/>
      </c>
      <c r="AK32" s="21">
        <f>IF(AJ32&gt;0,AI32/AJ32,0)</f>
        <v/>
      </c>
      <c r="AL32" s="17">
        <f>IF('Loan Tape (BoE)'!AF33=1,"Yes","No")</f>
        <v/>
      </c>
      <c r="AM32" s="17">
        <f>IF('Loan Tape (BoE)'!AH33=1,"Yes","No")</f>
        <v/>
      </c>
      <c r="AN32" s="17">
        <f>IF('Loan Tape (BoE)'!AI33=1,"Yes","No")</f>
        <v/>
      </c>
      <c r="AO32" s="17">
        <f>IF('Loan Tape (BoE)'!AJ33=1,"Yes","No")</f>
        <v/>
      </c>
      <c r="AP32" s="17">
        <f>IF(OR('Loan Tape (BoE)'!AQ32=1,'Loan Tape (BoE)'!AQ32=2),"Yes",IF('Loan Tape (BoE)'!AQ32=0,"No",""))</f>
        <v/>
      </c>
      <c r="AQ32" s="17">
        <f>IF('Loan Tape (BoE)'!BV49_32&lt;&gt;"",'Loan Tape (BoE)'!BV49_32,"")</f>
        <v/>
      </c>
      <c r="AR32" s="17">
        <f>IF('Loan Tape (BoE)'!BV320_32&lt;&gt;"",'Loan Tape (BoE)'!BV50_32,"")</f>
        <v/>
      </c>
      <c r="AS32" s="17">
        <f>IFERROR(INDEX('FF Adj Parameters'!$A$103:$B$1032,MATCH('Loan Tape (BoE)'!P32,INDEX('FF Adj Parameters'!$A$103:$B$1032,,1),0),2),"Unknown")</f>
        <v/>
      </c>
      <c r="AT32" s="17">
        <f>IF(N32="Interest Only",M5*O5/12,IF(AND(O5&gt;0,ISNUMBER(O5),ISNUMBER(M5)),ABS(PMT(O5/12,AU5,-M5)),0))</f>
        <v/>
      </c>
      <c r="AU32" s="17">
        <f>IF(ISNUMBER(L32),MAX(0,(L5-'Control Panel'!$B$10)*12/365.25),0)</f>
        <v/>
      </c>
      <c r="AV32" s="17">
        <f>IF(ISNUMBER(L32),IF(L5&gt;'Control Panel'!$B$10,"Valid","Past Maturity"),"No Date")</f>
        <v/>
      </c>
      <c r="AW32" s="17">
        <f>IF(ISNUMBER(K32),MAX(0,('Control Panel'!$B$10-K5)*12/365.25),0)</f>
        <v/>
      </c>
    </row>
    <row r="33">
      <c r="A33" s="17">
        <f>'Loan Tape (BoE)'!A34</f>
        <v/>
      </c>
      <c r="B33" s="18">
        <f>IFERROR(INDEX('FF Adj Parameters'!$A$89:$B$92,MATCH('Loan Tape (BoE)'!C33,INDEX('FF Adj Parameters'!$A$89:$B$92,,1),0),2),"Unknown")</f>
        <v/>
      </c>
      <c r="C33" s="18">
        <f>'Loan Tape (BoE)'!C34</f>
        <v/>
      </c>
      <c r="D33" s="18">
        <f>'Loan Tape (BoE)'!D34</f>
        <v/>
      </c>
      <c r="E33" s="18">
        <f>'Loan Tape (BoE)'!E34</f>
        <v/>
      </c>
      <c r="F33" s="19">
        <f>'Loan Tape (BoE)'!F34</f>
        <v/>
      </c>
      <c r="G33" s="19">
        <f>'Loan Tape (BoE)'!G34</f>
        <v/>
      </c>
      <c r="H33" s="20">
        <f>'Loan Tape (BoE)'!H34/100</f>
        <v/>
      </c>
      <c r="I33" s="17">
        <f>IFERROR(IFS('Loan Tape (BoE)'!I34=1,"House",'Loan Tape (BoE)'!I34=2,"Flat",'Loan Tape (BoE)'!I34=3,"Bungalow",'Loan Tape (BoE)'!I34=4,"Maisonette"),"")</f>
        <v/>
      </c>
      <c r="J33" s="17">
        <f>'Loan Tape (BoE)'!J34</f>
        <v/>
      </c>
      <c r="K33" s="17">
        <f>'Loan Tape (BoE)'!K34</f>
        <v/>
      </c>
      <c r="L33" s="17">
        <f>IFERROR(IFS('Loan Tape (BoE)'!L34=1,"Owner Occupied",'Loan Tape (BoE)'!L34=2,"BTL",'Loan Tape (BoE)'!L34=3,"Second Home",'Loan Tape (BoE)'!L34=4,"Investment"),"")</f>
        <v/>
      </c>
      <c r="M33" s="17">
        <f>IFERROR(IFS('Loan Tape (BoE)'!M34=1,"Purchase",'Loan Tape (BoE)'!M34=2,"Remortgage",OR('Loan Tape (BoE)'!M34=3,'Loan Tape (BoE)'!M34=4),"Cash-out"),"")</f>
        <v/>
      </c>
      <c r="N33" s="17">
        <f>IFERROR(INDEX('FF Adj Parameters'!$A$96:$B$99,MATCH('Loan Tape (BoE)'!R33,INDEX('FF Adj Parameters'!$A$96:$B$99,,1),0),2),"Unknown")</f>
        <v/>
      </c>
      <c r="O33" s="17">
        <f>IF('Loan Tape (BoE)'!O34=1,"Yes","No")</f>
        <v/>
      </c>
      <c r="P33" s="17">
        <f>IF('Loan Tape (BoE)'!P33=1,"Yes",IF('Loan Tape (BoE)'!P33=0,"No",""))</f>
        <v/>
      </c>
      <c r="Q33" s="17">
        <f>IF('Loan Tape (BoE)'!Q33=1,"Yes",IF('Loan Tape (BoE)'!Q33=0,"No",""))</f>
        <v/>
      </c>
      <c r="R33" s="18">
        <f>IF('Loan Tape (BoE)'!R33=1,"Yes",IF('Loan Tape (BoE)'!R33=0,"No",""))</f>
        <v/>
      </c>
      <c r="S33" s="18">
        <f>IF('Loan Tape (BoE)'!S33=1,"Yes",IF('Loan Tape (BoE)'!S33=0,"No",""))</f>
        <v/>
      </c>
      <c r="T33" s="17">
        <f>IF('Loan Tape (BoE)'!T33=1,"Yes",IF('Loan Tape (BoE)'!T33=0,"No",""))</f>
        <v/>
      </c>
      <c r="U33" s="18">
        <f>R33+S33</f>
        <v/>
      </c>
      <c r="V33" s="17">
        <f>IFERROR(IFS('Loan Tape (BoE)'!U34=1,"Employed",'Loan Tape (BoE)'!U34=2,"Self-Employed",'Loan Tape (BoE)'!U34=3,"Unemployed",'Loan Tape (BoE)'!U34=4,"Retired"),"")</f>
        <v/>
      </c>
      <c r="W33" s="17">
        <f>IFERROR(IFS('Loan Tape (BoE)'!V34=1,"Employed",'Loan Tape (BoE)'!V34=2,"Self-Employed",'Loan Tape (BoE)'!V34=3,"Unemployed",'Loan Tape (BoE)'!V34=4,"Retired"),"")</f>
        <v/>
      </c>
      <c r="X33" s="17">
        <f>IF(OR(V33="Self-Employed",W33="Self-Employed"),"Yes","No")</f>
        <v/>
      </c>
      <c r="Y33" s="17">
        <f>'Loan Tape (BoE)'!W34</f>
        <v/>
      </c>
      <c r="Z33" s="17">
        <f>'Loan Tape (BoE)'!X34</f>
        <v/>
      </c>
      <c r="AA33" s="17">
        <f>IF(T33=1,Y33,MIN(Y33,Z33))</f>
        <v/>
      </c>
      <c r="AB33" s="17">
        <f>'Loan Tape (BoE)'!Y34</f>
        <v/>
      </c>
      <c r="AC33" s="17">
        <f>'Loan Tape (BoE)'!Z34</f>
        <v/>
      </c>
      <c r="AD33" s="17">
        <f>AB33+AC33</f>
        <v/>
      </c>
      <c r="AE33" s="18">
        <f>'Loan Tape (BoE)'!AA34</f>
        <v/>
      </c>
      <c r="AF33" s="18">
        <f>'Loan Tape (BoE)'!AB34</f>
        <v/>
      </c>
      <c r="AG33" s="18">
        <f>AE33+AF33</f>
        <v/>
      </c>
      <c r="AH33" s="19">
        <f>MAX('Loan Tape (BoE)'!AC34,'Loan Tape (BoE)'!AD34)</f>
        <v/>
      </c>
      <c r="AI33" s="18">
        <f>'Loan Tape (BoE)'!AE34</f>
        <v/>
      </c>
      <c r="AJ33" s="18">
        <f>B33*H33/12</f>
        <v/>
      </c>
      <c r="AK33" s="21">
        <f>IF(AJ33&gt;0,AI33/AJ33,0)</f>
        <v/>
      </c>
      <c r="AL33" s="17">
        <f>IF('Loan Tape (BoE)'!AF34=1,"Yes","No")</f>
        <v/>
      </c>
      <c r="AM33" s="17">
        <f>IF('Loan Tape (BoE)'!AH34=1,"Yes","No")</f>
        <v/>
      </c>
      <c r="AN33" s="17">
        <f>IF('Loan Tape (BoE)'!AI34=1,"Yes","No")</f>
        <v/>
      </c>
      <c r="AO33" s="17">
        <f>IF('Loan Tape (BoE)'!AJ34=1,"Yes","No")</f>
        <v/>
      </c>
      <c r="AP33" s="17">
        <f>IF(OR('Loan Tape (BoE)'!AQ33=1,'Loan Tape (BoE)'!AQ33=2),"Yes",IF('Loan Tape (BoE)'!AQ33=0,"No",""))</f>
        <v/>
      </c>
      <c r="AQ33" s="17">
        <f>IF('Loan Tape (BoE)'!BV49_33&lt;&gt;"",'Loan Tape (BoE)'!BV49_33,"")</f>
        <v/>
      </c>
      <c r="AR33" s="17">
        <f>IF('Loan Tape (BoE)'!BV330_33&lt;&gt;"",'Loan Tape (BoE)'!BV50_33,"")</f>
        <v/>
      </c>
      <c r="AS33" s="17">
        <f>IFERROR(INDEX('FF Adj Parameters'!$A$103:$B$1033,MATCH('Loan Tape (BoE)'!P33,INDEX('FF Adj Parameters'!$A$103:$B$1033,,1),0),2),"Unknown")</f>
        <v/>
      </c>
      <c r="AT33" s="17">
        <f>IF(N33="Interest Only",M5*O5/12,IF(AND(O5&gt;0,ISNUMBER(O5),ISNUMBER(M5)),ABS(PMT(O5/12,AU5,-M5)),0))</f>
        <v/>
      </c>
      <c r="AU33" s="17">
        <f>IF(ISNUMBER(L33),MAX(0,(L5-'Control Panel'!$B$10)*12/365.25),0)</f>
        <v/>
      </c>
      <c r="AV33" s="17">
        <f>IF(ISNUMBER(L33),IF(L5&gt;'Control Panel'!$B$10,"Valid","Past Maturity"),"No Date")</f>
        <v/>
      </c>
      <c r="AW33" s="17">
        <f>IF(ISNUMBER(K33),MAX(0,('Control Panel'!$B$10-K5)*12/365.25),0)</f>
        <v/>
      </c>
    </row>
    <row r="34">
      <c r="A34" s="17">
        <f>'Loan Tape (BoE)'!A35</f>
        <v/>
      </c>
      <c r="B34" s="18">
        <f>IFERROR(INDEX('FF Adj Parameters'!$A$89:$B$92,MATCH('Loan Tape (BoE)'!C34,INDEX('FF Adj Parameters'!$A$89:$B$92,,1),0),2),"Unknown")</f>
        <v/>
      </c>
      <c r="C34" s="18">
        <f>'Loan Tape (BoE)'!C35</f>
        <v/>
      </c>
      <c r="D34" s="18">
        <f>'Loan Tape (BoE)'!D35</f>
        <v/>
      </c>
      <c r="E34" s="18">
        <f>'Loan Tape (BoE)'!E35</f>
        <v/>
      </c>
      <c r="F34" s="19">
        <f>'Loan Tape (BoE)'!F35</f>
        <v/>
      </c>
      <c r="G34" s="19">
        <f>'Loan Tape (BoE)'!G35</f>
        <v/>
      </c>
      <c r="H34" s="20">
        <f>'Loan Tape (BoE)'!H35/100</f>
        <v/>
      </c>
      <c r="I34" s="17">
        <f>IFERROR(IFS('Loan Tape (BoE)'!I35=1,"House",'Loan Tape (BoE)'!I35=2,"Flat",'Loan Tape (BoE)'!I35=3,"Bungalow",'Loan Tape (BoE)'!I35=4,"Maisonette"),"")</f>
        <v/>
      </c>
      <c r="J34" s="17">
        <f>'Loan Tape (BoE)'!J35</f>
        <v/>
      </c>
      <c r="K34" s="17">
        <f>'Loan Tape (BoE)'!K35</f>
        <v/>
      </c>
      <c r="L34" s="17">
        <f>IFERROR(IFS('Loan Tape (BoE)'!L35=1,"Owner Occupied",'Loan Tape (BoE)'!L35=2,"BTL",'Loan Tape (BoE)'!L35=3,"Second Home",'Loan Tape (BoE)'!L35=4,"Investment"),"")</f>
        <v/>
      </c>
      <c r="M34" s="17">
        <f>IFERROR(IFS('Loan Tape (BoE)'!M35=1,"Purchase",'Loan Tape (BoE)'!M35=2,"Remortgage",OR('Loan Tape (BoE)'!M35=3,'Loan Tape (BoE)'!M35=4),"Cash-out"),"")</f>
        <v/>
      </c>
      <c r="N34" s="17">
        <f>IFERROR(INDEX('FF Adj Parameters'!$A$96:$B$99,MATCH('Loan Tape (BoE)'!R34,INDEX('FF Adj Parameters'!$A$96:$B$99,,1),0),2),"Unknown")</f>
        <v/>
      </c>
      <c r="O34" s="17">
        <f>IF('Loan Tape (BoE)'!O35=1,"Yes","No")</f>
        <v/>
      </c>
      <c r="P34" s="17">
        <f>IF('Loan Tape (BoE)'!P34=1,"Yes",IF('Loan Tape (BoE)'!P34=0,"No",""))</f>
        <v/>
      </c>
      <c r="Q34" s="17">
        <f>IF('Loan Tape (BoE)'!Q34=1,"Yes",IF('Loan Tape (BoE)'!Q34=0,"No",""))</f>
        <v/>
      </c>
      <c r="R34" s="18">
        <f>IF('Loan Tape (BoE)'!R34=1,"Yes",IF('Loan Tape (BoE)'!R34=0,"No",""))</f>
        <v/>
      </c>
      <c r="S34" s="18">
        <f>IF('Loan Tape (BoE)'!S34=1,"Yes",IF('Loan Tape (BoE)'!S34=0,"No",""))</f>
        <v/>
      </c>
      <c r="T34" s="17">
        <f>IF('Loan Tape (BoE)'!T34=1,"Yes",IF('Loan Tape (BoE)'!T34=0,"No",""))</f>
        <v/>
      </c>
      <c r="U34" s="18">
        <f>R34+S34</f>
        <v/>
      </c>
      <c r="V34" s="17">
        <f>IFERROR(IFS('Loan Tape (BoE)'!U35=1,"Employed",'Loan Tape (BoE)'!U35=2,"Self-Employed",'Loan Tape (BoE)'!U35=3,"Unemployed",'Loan Tape (BoE)'!U35=4,"Retired"),"")</f>
        <v/>
      </c>
      <c r="W34" s="17">
        <f>IFERROR(IFS('Loan Tape (BoE)'!V35=1,"Employed",'Loan Tape (BoE)'!V35=2,"Self-Employed",'Loan Tape (BoE)'!V35=3,"Unemployed",'Loan Tape (BoE)'!V35=4,"Retired"),"")</f>
        <v/>
      </c>
      <c r="X34" s="17">
        <f>IF(OR(V34="Self-Employed",W34="Self-Employed"),"Yes","No")</f>
        <v/>
      </c>
      <c r="Y34" s="17">
        <f>'Loan Tape (BoE)'!W35</f>
        <v/>
      </c>
      <c r="Z34" s="17">
        <f>'Loan Tape (BoE)'!X35</f>
        <v/>
      </c>
      <c r="AA34" s="17">
        <f>IF(T34=1,Y34,MIN(Y34,Z34))</f>
        <v/>
      </c>
      <c r="AB34" s="17">
        <f>'Loan Tape (BoE)'!Y35</f>
        <v/>
      </c>
      <c r="AC34" s="17">
        <f>'Loan Tape (BoE)'!Z35</f>
        <v/>
      </c>
      <c r="AD34" s="17">
        <f>AB34+AC34</f>
        <v/>
      </c>
      <c r="AE34" s="18">
        <f>'Loan Tape (BoE)'!AA35</f>
        <v/>
      </c>
      <c r="AF34" s="18">
        <f>'Loan Tape (BoE)'!AB35</f>
        <v/>
      </c>
      <c r="AG34" s="18">
        <f>AE34+AF34</f>
        <v/>
      </c>
      <c r="AH34" s="19">
        <f>MAX('Loan Tape (BoE)'!AC35,'Loan Tape (BoE)'!AD35)</f>
        <v/>
      </c>
      <c r="AI34" s="18">
        <f>'Loan Tape (BoE)'!AE35</f>
        <v/>
      </c>
      <c r="AJ34" s="18">
        <f>B34*H34/12</f>
        <v/>
      </c>
      <c r="AK34" s="21">
        <f>IF(AJ34&gt;0,AI34/AJ34,0)</f>
        <v/>
      </c>
      <c r="AL34" s="17">
        <f>IF('Loan Tape (BoE)'!AF35=1,"Yes","No")</f>
        <v/>
      </c>
      <c r="AM34" s="17">
        <f>IF('Loan Tape (BoE)'!AH35=1,"Yes","No")</f>
        <v/>
      </c>
      <c r="AN34" s="17">
        <f>IF('Loan Tape (BoE)'!AI35=1,"Yes","No")</f>
        <v/>
      </c>
      <c r="AO34" s="17">
        <f>IF('Loan Tape (BoE)'!AJ35=1,"Yes","No")</f>
        <v/>
      </c>
      <c r="AP34" s="17">
        <f>IF(OR('Loan Tape (BoE)'!AQ34=1,'Loan Tape (BoE)'!AQ34=2),"Yes",IF('Loan Tape (BoE)'!AQ34=0,"No",""))</f>
        <v/>
      </c>
      <c r="AQ34" s="17">
        <f>IF('Loan Tape (BoE)'!BV49_34&lt;&gt;"",'Loan Tape (BoE)'!BV49_34,"")</f>
        <v/>
      </c>
      <c r="AR34" s="17">
        <f>IF('Loan Tape (BoE)'!BV340_34&lt;&gt;"",'Loan Tape (BoE)'!BV50_34,"")</f>
        <v/>
      </c>
      <c r="AS34" s="17">
        <f>IFERROR(INDEX('FF Adj Parameters'!$A$103:$B$1034,MATCH('Loan Tape (BoE)'!P34,INDEX('FF Adj Parameters'!$A$103:$B$1034,,1),0),2),"Unknown")</f>
        <v/>
      </c>
      <c r="AT34" s="17">
        <f>IF(N34="Interest Only",M5*O5/12,IF(AND(O5&gt;0,ISNUMBER(O5),ISNUMBER(M5)),ABS(PMT(O5/12,AU5,-M5)),0))</f>
        <v/>
      </c>
      <c r="AU34" s="17">
        <f>IF(ISNUMBER(L34),MAX(0,(L5-'Control Panel'!$B$10)*12/365.25),0)</f>
        <v/>
      </c>
      <c r="AV34" s="17">
        <f>IF(ISNUMBER(L34),IF(L5&gt;'Control Panel'!$B$10,"Valid","Past Maturity"),"No Date")</f>
        <v/>
      </c>
      <c r="AW34" s="17">
        <f>IF(ISNUMBER(K34),MAX(0,('Control Panel'!$B$10-K5)*12/365.25),0)</f>
        <v/>
      </c>
    </row>
    <row r="35">
      <c r="A35" s="17">
        <f>'Loan Tape (BoE)'!A36</f>
        <v/>
      </c>
      <c r="B35" s="18">
        <f>IFERROR(INDEX('FF Adj Parameters'!$A$89:$B$92,MATCH('Loan Tape (BoE)'!C35,INDEX('FF Adj Parameters'!$A$89:$B$92,,1),0),2),"Unknown")</f>
        <v/>
      </c>
      <c r="C35" s="18">
        <f>'Loan Tape (BoE)'!C36</f>
        <v/>
      </c>
      <c r="D35" s="18">
        <f>'Loan Tape (BoE)'!D36</f>
        <v/>
      </c>
      <c r="E35" s="18">
        <f>'Loan Tape (BoE)'!E36</f>
        <v/>
      </c>
      <c r="F35" s="19">
        <f>'Loan Tape (BoE)'!F36</f>
        <v/>
      </c>
      <c r="G35" s="19">
        <f>'Loan Tape (BoE)'!G36</f>
        <v/>
      </c>
      <c r="H35" s="20">
        <f>'Loan Tape (BoE)'!H36/100</f>
        <v/>
      </c>
      <c r="I35" s="17">
        <f>IFERROR(IFS('Loan Tape (BoE)'!I36=1,"House",'Loan Tape (BoE)'!I36=2,"Flat",'Loan Tape (BoE)'!I36=3,"Bungalow",'Loan Tape (BoE)'!I36=4,"Maisonette"),"")</f>
        <v/>
      </c>
      <c r="J35" s="17">
        <f>'Loan Tape (BoE)'!J36</f>
        <v/>
      </c>
      <c r="K35" s="17">
        <f>'Loan Tape (BoE)'!K36</f>
        <v/>
      </c>
      <c r="L35" s="17">
        <f>IFERROR(IFS('Loan Tape (BoE)'!L36=1,"Owner Occupied",'Loan Tape (BoE)'!L36=2,"BTL",'Loan Tape (BoE)'!L36=3,"Second Home",'Loan Tape (BoE)'!L36=4,"Investment"),"")</f>
        <v/>
      </c>
      <c r="M35" s="17">
        <f>IFERROR(IFS('Loan Tape (BoE)'!M36=1,"Purchase",'Loan Tape (BoE)'!M36=2,"Remortgage",OR('Loan Tape (BoE)'!M36=3,'Loan Tape (BoE)'!M36=4),"Cash-out"),"")</f>
        <v/>
      </c>
      <c r="N35" s="17">
        <f>IFERROR(INDEX('FF Adj Parameters'!$A$96:$B$99,MATCH('Loan Tape (BoE)'!R35,INDEX('FF Adj Parameters'!$A$96:$B$99,,1),0),2),"Unknown")</f>
        <v/>
      </c>
      <c r="O35" s="17">
        <f>IF('Loan Tape (BoE)'!O36=1,"Yes","No")</f>
        <v/>
      </c>
      <c r="P35" s="17">
        <f>IF('Loan Tape (BoE)'!P35=1,"Yes",IF('Loan Tape (BoE)'!P35=0,"No",""))</f>
        <v/>
      </c>
      <c r="Q35" s="17">
        <f>IF('Loan Tape (BoE)'!Q35=1,"Yes",IF('Loan Tape (BoE)'!Q35=0,"No",""))</f>
        <v/>
      </c>
      <c r="R35" s="18">
        <f>IF('Loan Tape (BoE)'!R35=1,"Yes",IF('Loan Tape (BoE)'!R35=0,"No",""))</f>
        <v/>
      </c>
      <c r="S35" s="18">
        <f>IF('Loan Tape (BoE)'!S35=1,"Yes",IF('Loan Tape (BoE)'!S35=0,"No",""))</f>
        <v/>
      </c>
      <c r="T35" s="17">
        <f>IF('Loan Tape (BoE)'!T35=1,"Yes",IF('Loan Tape (BoE)'!T35=0,"No",""))</f>
        <v/>
      </c>
      <c r="U35" s="18">
        <f>R35+S35</f>
        <v/>
      </c>
      <c r="V35" s="17">
        <f>IFERROR(IFS('Loan Tape (BoE)'!U36=1,"Employed",'Loan Tape (BoE)'!U36=2,"Self-Employed",'Loan Tape (BoE)'!U36=3,"Unemployed",'Loan Tape (BoE)'!U36=4,"Retired"),"")</f>
        <v/>
      </c>
      <c r="W35" s="17">
        <f>IFERROR(IFS('Loan Tape (BoE)'!V36=1,"Employed",'Loan Tape (BoE)'!V36=2,"Self-Employed",'Loan Tape (BoE)'!V36=3,"Unemployed",'Loan Tape (BoE)'!V36=4,"Retired"),"")</f>
        <v/>
      </c>
      <c r="X35" s="17">
        <f>IF(OR(V35="Self-Employed",W35="Self-Employed"),"Yes","No")</f>
        <v/>
      </c>
      <c r="Y35" s="17">
        <f>'Loan Tape (BoE)'!W36</f>
        <v/>
      </c>
      <c r="Z35" s="17">
        <f>'Loan Tape (BoE)'!X36</f>
        <v/>
      </c>
      <c r="AA35" s="17">
        <f>IF(T35=1,Y35,MIN(Y35,Z35))</f>
        <v/>
      </c>
      <c r="AB35" s="17">
        <f>'Loan Tape (BoE)'!Y36</f>
        <v/>
      </c>
      <c r="AC35" s="17">
        <f>'Loan Tape (BoE)'!Z36</f>
        <v/>
      </c>
      <c r="AD35" s="17">
        <f>AB35+AC35</f>
        <v/>
      </c>
      <c r="AE35" s="18">
        <f>'Loan Tape (BoE)'!AA36</f>
        <v/>
      </c>
      <c r="AF35" s="18">
        <f>'Loan Tape (BoE)'!AB36</f>
        <v/>
      </c>
      <c r="AG35" s="18">
        <f>AE35+AF35</f>
        <v/>
      </c>
      <c r="AH35" s="19">
        <f>MAX('Loan Tape (BoE)'!AC36,'Loan Tape (BoE)'!AD36)</f>
        <v/>
      </c>
      <c r="AI35" s="18">
        <f>'Loan Tape (BoE)'!AE36</f>
        <v/>
      </c>
      <c r="AJ35" s="18">
        <f>B35*H35/12</f>
        <v/>
      </c>
      <c r="AK35" s="21">
        <f>IF(AJ35&gt;0,AI35/AJ35,0)</f>
        <v/>
      </c>
      <c r="AL35" s="17">
        <f>IF('Loan Tape (BoE)'!AF36=1,"Yes","No")</f>
        <v/>
      </c>
      <c r="AM35" s="17">
        <f>IF('Loan Tape (BoE)'!AH36=1,"Yes","No")</f>
        <v/>
      </c>
      <c r="AN35" s="17">
        <f>IF('Loan Tape (BoE)'!AI36=1,"Yes","No")</f>
        <v/>
      </c>
      <c r="AO35" s="17">
        <f>IF('Loan Tape (BoE)'!AJ36=1,"Yes","No")</f>
        <v/>
      </c>
      <c r="AP35" s="17">
        <f>IF(OR('Loan Tape (BoE)'!AQ35=1,'Loan Tape (BoE)'!AQ35=2),"Yes",IF('Loan Tape (BoE)'!AQ35=0,"No",""))</f>
        <v/>
      </c>
      <c r="AQ35" s="17">
        <f>IF('Loan Tape (BoE)'!BV49_335&lt;&gt;"",'Loan Tape (BoE)'!BV49_35,"")</f>
        <v/>
      </c>
      <c r="AR35" s="17">
        <f>IF('Loan Tape (BoE)'!BV350_35&lt;&gt;"",'Loan Tape (BoE)'!BV50_35,"")</f>
        <v/>
      </c>
      <c r="AS35" s="17">
        <f>IFERROR(INDEX('FF Adj Parameters'!$A$103:$B$1035,MATCH('Loan Tape (BoE)'!P35,INDEX('FF Adj Parameters'!$A$103:$B$1035,,1),0),2),"Unknown")</f>
        <v/>
      </c>
      <c r="AT35" s="17">
        <f>IF(N35="Interest Only",M5*O5/12,IF(AND(O5&gt;0,ISNUMBER(O5),ISNUMBER(M5)),ABS(PMT(O5/12,AU5,-M5)),0))</f>
        <v/>
      </c>
      <c r="AU35" s="17">
        <f>IF(ISNUMBER(L35),MAX(0,(L5-'Control Panel'!$B$10)*12/365.25),0)</f>
        <v/>
      </c>
      <c r="AV35" s="17">
        <f>IF(ISNUMBER(L35),IF(L5&gt;'Control Panel'!$B$10,"Valid","Past Maturity"),"No Date")</f>
        <v/>
      </c>
      <c r="AW35" s="17">
        <f>IF(ISNUMBER(K35),MAX(0,('Control Panel'!$B$10-K5)*12/365.25),0)</f>
        <v/>
      </c>
    </row>
    <row r="36">
      <c r="A36" s="17">
        <f>'Loan Tape (BoE)'!A37</f>
        <v/>
      </c>
      <c r="B36" s="18">
        <f>IFERROR(INDEX('FF Adj Parameters'!$A$89:$B$92,MATCH('Loan Tape (BoE)'!C36,INDEX('FF Adj Parameters'!$A$89:$B$92,,1),0),2),"Unknown")</f>
        <v/>
      </c>
      <c r="C36" s="18">
        <f>'Loan Tape (BoE)'!C37</f>
        <v/>
      </c>
      <c r="D36" s="18">
        <f>'Loan Tape (BoE)'!D37</f>
        <v/>
      </c>
      <c r="E36" s="18">
        <f>'Loan Tape (BoE)'!E37</f>
        <v/>
      </c>
      <c r="F36" s="19">
        <f>'Loan Tape (BoE)'!F37</f>
        <v/>
      </c>
      <c r="G36" s="19">
        <f>'Loan Tape (BoE)'!G37</f>
        <v/>
      </c>
      <c r="H36" s="20">
        <f>'Loan Tape (BoE)'!H37/100</f>
        <v/>
      </c>
      <c r="I36" s="17">
        <f>IFERROR(IFS('Loan Tape (BoE)'!I37=1,"House",'Loan Tape (BoE)'!I37=2,"Flat",'Loan Tape (BoE)'!I37=3,"Bungalow",'Loan Tape (BoE)'!I37=4,"Maisonette"),"")</f>
        <v/>
      </c>
      <c r="J36" s="17">
        <f>'Loan Tape (BoE)'!J37</f>
        <v/>
      </c>
      <c r="K36" s="17">
        <f>'Loan Tape (BoE)'!K37</f>
        <v/>
      </c>
      <c r="L36" s="17">
        <f>IFERROR(IFS('Loan Tape (BoE)'!L37=1,"Owner Occupied",'Loan Tape (BoE)'!L37=2,"BTL",'Loan Tape (BoE)'!L37=3,"Second Home",'Loan Tape (BoE)'!L37=4,"Investment"),"")</f>
        <v/>
      </c>
      <c r="M36" s="17">
        <f>IFERROR(IFS('Loan Tape (BoE)'!M37=1,"Purchase",'Loan Tape (BoE)'!M37=2,"Remortgage",OR('Loan Tape (BoE)'!M37=3,'Loan Tape (BoE)'!M37=4),"Cash-out"),"")</f>
        <v/>
      </c>
      <c r="N36" s="17">
        <f>IFERROR(INDEX('FF Adj Parameters'!$A$96:$B$99,MATCH('Loan Tape (BoE)'!R36,INDEX('FF Adj Parameters'!$A$96:$B$99,,1),0),2),"Unknown")</f>
        <v/>
      </c>
      <c r="O36" s="17">
        <f>IF('Loan Tape (BoE)'!O37=1,"Yes","No")</f>
        <v/>
      </c>
      <c r="P36" s="17">
        <f>IF('Loan Tape (BoE)'!P36=1,"Yes",IF('Loan Tape (BoE)'!P36=0,"No",""))</f>
        <v/>
      </c>
      <c r="Q36" s="17">
        <f>IF('Loan Tape (BoE)'!Q36=1,"Yes",IF('Loan Tape (BoE)'!Q36=0,"No",""))</f>
        <v/>
      </c>
      <c r="R36" s="18">
        <f>IF('Loan Tape (BoE)'!R36=1,"Yes",IF('Loan Tape (BoE)'!R36=0,"No",""))</f>
        <v/>
      </c>
      <c r="S36" s="18">
        <f>IF('Loan Tape (BoE)'!S36=1,"Yes",IF('Loan Tape (BoE)'!S36=0,"No",""))</f>
        <v/>
      </c>
      <c r="T36" s="17">
        <f>IF('Loan Tape (BoE)'!T36=1,"Yes",IF('Loan Tape (BoE)'!T36=0,"No",""))</f>
        <v/>
      </c>
      <c r="U36" s="18">
        <f>R36+S36</f>
        <v/>
      </c>
      <c r="V36" s="17">
        <f>IFERROR(IFS('Loan Tape (BoE)'!U37=1,"Employed",'Loan Tape (BoE)'!U37=2,"Self-Employed",'Loan Tape (BoE)'!U37=3,"Unemployed",'Loan Tape (BoE)'!U37=4,"Retired"),"")</f>
        <v/>
      </c>
      <c r="W36" s="17">
        <f>IFERROR(IFS('Loan Tape (BoE)'!V37=1,"Employed",'Loan Tape (BoE)'!V37=2,"Self-Employed",'Loan Tape (BoE)'!V37=3,"Unemployed",'Loan Tape (BoE)'!V37=4,"Retired"),"")</f>
        <v/>
      </c>
      <c r="X36" s="17">
        <f>IF(OR(V36="Self-Employed",W36="Self-Employed"),"Yes","No")</f>
        <v/>
      </c>
      <c r="Y36" s="17">
        <f>'Loan Tape (BoE)'!W37</f>
        <v/>
      </c>
      <c r="Z36" s="17">
        <f>'Loan Tape (BoE)'!X37</f>
        <v/>
      </c>
      <c r="AA36" s="17">
        <f>IF(T36=1,Y36,MIN(Y36,Z36))</f>
        <v/>
      </c>
      <c r="AB36" s="17">
        <f>'Loan Tape (BoE)'!Y37</f>
        <v/>
      </c>
      <c r="AC36" s="17">
        <f>'Loan Tape (BoE)'!Z37</f>
        <v/>
      </c>
      <c r="AD36" s="17">
        <f>AB36+AC36</f>
        <v/>
      </c>
      <c r="AE36" s="18">
        <f>'Loan Tape (BoE)'!AA37</f>
        <v/>
      </c>
      <c r="AF36" s="18">
        <f>'Loan Tape (BoE)'!AB37</f>
        <v/>
      </c>
      <c r="AG36" s="18">
        <f>AE36+AF36</f>
        <v/>
      </c>
      <c r="AH36" s="19">
        <f>MAX('Loan Tape (BoE)'!AC37,'Loan Tape (BoE)'!AD37)</f>
        <v/>
      </c>
      <c r="AI36" s="18">
        <f>'Loan Tape (BoE)'!AE37</f>
        <v/>
      </c>
      <c r="AJ36" s="18">
        <f>B36*H36/12</f>
        <v/>
      </c>
      <c r="AK36" s="21">
        <f>IF(AJ36&gt;0,AI36/AJ36,0)</f>
        <v/>
      </c>
      <c r="AL36" s="17">
        <f>IF('Loan Tape (BoE)'!AF37=1,"Yes","No")</f>
        <v/>
      </c>
      <c r="AM36" s="17">
        <f>IF('Loan Tape (BoE)'!AH37=1,"Yes","No")</f>
        <v/>
      </c>
      <c r="AN36" s="17">
        <f>IF('Loan Tape (BoE)'!AI37=1,"Yes","No")</f>
        <v/>
      </c>
      <c r="AO36" s="17">
        <f>IF('Loan Tape (BoE)'!AJ37=1,"Yes","No")</f>
        <v/>
      </c>
      <c r="AP36" s="17">
        <f>IF(OR('Loan Tape (BoE)'!AQ36=1,'Loan Tape (BoE)'!AQ36=2),"Yes",IF('Loan Tape (BoE)'!AQ36=0,"No",""))</f>
        <v/>
      </c>
      <c r="AQ36" s="17">
        <f>IF('Loan Tape (BoE)'!BV49_36&lt;&gt;"",'Loan Tape (BoE)'!BV49_36,"")</f>
        <v/>
      </c>
      <c r="AR36" s="17">
        <f>IF('Loan Tape (BoE)'!BV360_36&lt;&gt;"",'Loan Tape (BoE)'!BV50_36,"")</f>
        <v/>
      </c>
      <c r="AS36" s="17">
        <f>IFERROR(INDEX('FF Adj Parameters'!$A$103:$B$1036,MATCH('Loan Tape (BoE)'!P36,INDEX('FF Adj Parameters'!$A$103:$B$1036,,1),0),2),"Unknown")</f>
        <v/>
      </c>
      <c r="AT36" s="17">
        <f>IF(N36="Interest Only",M5*O5/12,IF(AND(O5&gt;0,ISNUMBER(O5),ISNUMBER(M5)),ABS(PMT(O5/12,AU5,-M5)),0))</f>
        <v/>
      </c>
      <c r="AU36" s="17">
        <f>IF(ISNUMBER(L36),MAX(0,(L5-'Control Panel'!$B$10)*12/365.25),0)</f>
        <v/>
      </c>
      <c r="AV36" s="17">
        <f>IF(ISNUMBER(L36),IF(L5&gt;'Control Panel'!$B$10,"Valid","Past Maturity"),"No Date")</f>
        <v/>
      </c>
      <c r="AW36" s="17">
        <f>IF(ISNUMBER(K36),MAX(0,('Control Panel'!$B$10-K5)*12/365.25),0)</f>
        <v/>
      </c>
    </row>
    <row r="37">
      <c r="A37" s="17">
        <f>'Loan Tape (BoE)'!A38</f>
        <v/>
      </c>
      <c r="B37" s="18">
        <f>IFERROR(INDEX('FF Adj Parameters'!$A$89:$B$92,MATCH('Loan Tape (BoE)'!C37,INDEX('FF Adj Parameters'!$A$89:$B$92,,1),0),2),"Unknown")</f>
        <v/>
      </c>
      <c r="C37" s="18">
        <f>'Loan Tape (BoE)'!C38</f>
        <v/>
      </c>
      <c r="D37" s="18">
        <f>'Loan Tape (BoE)'!D38</f>
        <v/>
      </c>
      <c r="E37" s="18">
        <f>'Loan Tape (BoE)'!E38</f>
        <v/>
      </c>
      <c r="F37" s="19">
        <f>'Loan Tape (BoE)'!F38</f>
        <v/>
      </c>
      <c r="G37" s="19">
        <f>'Loan Tape (BoE)'!G38</f>
        <v/>
      </c>
      <c r="H37" s="20">
        <f>'Loan Tape (BoE)'!H38/100</f>
        <v/>
      </c>
      <c r="I37" s="17">
        <f>IFERROR(IFS('Loan Tape (BoE)'!I38=1,"House",'Loan Tape (BoE)'!I38=2,"Flat",'Loan Tape (BoE)'!I38=3,"Bungalow",'Loan Tape (BoE)'!I38=4,"Maisonette"),"")</f>
        <v/>
      </c>
      <c r="J37" s="17">
        <f>'Loan Tape (BoE)'!J38</f>
        <v/>
      </c>
      <c r="K37" s="17">
        <f>'Loan Tape (BoE)'!K38</f>
        <v/>
      </c>
      <c r="L37" s="17">
        <f>IFERROR(IFS('Loan Tape (BoE)'!L38=1,"Owner Occupied",'Loan Tape (BoE)'!L38=2,"BTL",'Loan Tape (BoE)'!L38=3,"Second Home",'Loan Tape (BoE)'!L38=4,"Investment"),"")</f>
        <v/>
      </c>
      <c r="M37" s="17">
        <f>IFERROR(IFS('Loan Tape (BoE)'!M38=1,"Purchase",'Loan Tape (BoE)'!M38=2,"Remortgage",OR('Loan Tape (BoE)'!M38=3,'Loan Tape (BoE)'!M38=4),"Cash-out"),"")</f>
        <v/>
      </c>
      <c r="N37" s="17">
        <f>IFERROR(INDEX('FF Adj Parameters'!$A$96:$B$99,MATCH('Loan Tape (BoE)'!R37,INDEX('FF Adj Parameters'!$A$96:$B$99,,1),0),2),"Unknown")</f>
        <v/>
      </c>
      <c r="O37" s="17">
        <f>IF('Loan Tape (BoE)'!O38=1,"Yes","No")</f>
        <v/>
      </c>
      <c r="P37" s="17">
        <f>IF('Loan Tape (BoE)'!P37=1,"Yes",IF('Loan Tape (BoE)'!P37=0,"No",""))</f>
        <v/>
      </c>
      <c r="Q37" s="17">
        <f>IF('Loan Tape (BoE)'!Q37=1,"Yes",IF('Loan Tape (BoE)'!Q37=0,"No",""))</f>
        <v/>
      </c>
      <c r="R37" s="18">
        <f>IF('Loan Tape (BoE)'!R37=1,"Yes",IF('Loan Tape (BoE)'!R37=0,"No",""))</f>
        <v/>
      </c>
      <c r="S37" s="18">
        <f>IF('Loan Tape (BoE)'!S37=1,"Yes",IF('Loan Tape (BoE)'!S37=0,"No",""))</f>
        <v/>
      </c>
      <c r="T37" s="17">
        <f>IF('Loan Tape (BoE)'!T37=1,"Yes",IF('Loan Tape (BoE)'!T37=0,"No",""))</f>
        <v/>
      </c>
      <c r="U37" s="18">
        <f>R37+S37</f>
        <v/>
      </c>
      <c r="V37" s="17">
        <f>IFERROR(IFS('Loan Tape (BoE)'!U38=1,"Employed",'Loan Tape (BoE)'!U38=2,"Self-Employed",'Loan Tape (BoE)'!U38=3,"Unemployed",'Loan Tape (BoE)'!U38=4,"Retired"),"")</f>
        <v/>
      </c>
      <c r="W37" s="17">
        <f>IFERROR(IFS('Loan Tape (BoE)'!V38=1,"Employed",'Loan Tape (BoE)'!V38=2,"Self-Employed",'Loan Tape (BoE)'!V38=3,"Unemployed",'Loan Tape (BoE)'!V38=4,"Retired"),"")</f>
        <v/>
      </c>
      <c r="X37" s="17">
        <f>IF(OR(V37="Self-Employed",W37="Self-Employed"),"Yes","No")</f>
        <v/>
      </c>
      <c r="Y37" s="17">
        <f>'Loan Tape (BoE)'!W38</f>
        <v/>
      </c>
      <c r="Z37" s="17">
        <f>'Loan Tape (BoE)'!X38</f>
        <v/>
      </c>
      <c r="AA37" s="17">
        <f>IF(T37=1,Y37,MIN(Y37,Z37))</f>
        <v/>
      </c>
      <c r="AB37" s="17">
        <f>'Loan Tape (BoE)'!Y38</f>
        <v/>
      </c>
      <c r="AC37" s="17">
        <f>'Loan Tape (BoE)'!Z38</f>
        <v/>
      </c>
      <c r="AD37" s="17">
        <f>AB37+AC37</f>
        <v/>
      </c>
      <c r="AE37" s="18">
        <f>'Loan Tape (BoE)'!AA38</f>
        <v/>
      </c>
      <c r="AF37" s="18">
        <f>'Loan Tape (BoE)'!AB38</f>
        <v/>
      </c>
      <c r="AG37" s="18">
        <f>AE37+AF37</f>
        <v/>
      </c>
      <c r="AH37" s="19">
        <f>MAX('Loan Tape (BoE)'!AC38,'Loan Tape (BoE)'!AD38)</f>
        <v/>
      </c>
      <c r="AI37" s="18">
        <f>'Loan Tape (BoE)'!AE38</f>
        <v/>
      </c>
      <c r="AJ37" s="18">
        <f>B37*H37/12</f>
        <v/>
      </c>
      <c r="AK37" s="21">
        <f>IF(AJ37&gt;0,AI37/AJ37,0)</f>
        <v/>
      </c>
      <c r="AL37" s="17">
        <f>IF('Loan Tape (BoE)'!AF38=1,"Yes","No")</f>
        <v/>
      </c>
      <c r="AM37" s="17">
        <f>IF('Loan Tape (BoE)'!AH38=1,"Yes","No")</f>
        <v/>
      </c>
      <c r="AN37" s="17">
        <f>IF('Loan Tape (BoE)'!AI38=1,"Yes","No")</f>
        <v/>
      </c>
      <c r="AO37" s="17">
        <f>IF('Loan Tape (BoE)'!AJ38=1,"Yes","No")</f>
        <v/>
      </c>
      <c r="AP37" s="17">
        <f>IF(OR('Loan Tape (BoE)'!AQ37=1,'Loan Tape (BoE)'!AQ37=2),"Yes",IF('Loan Tape (BoE)'!AQ37=0,"No",""))</f>
        <v/>
      </c>
      <c r="AQ37" s="17">
        <f>IF('Loan Tape (BoE)'!BV49_37&lt;&gt;"",'Loan Tape (BoE)'!BV49_37,"")</f>
        <v/>
      </c>
      <c r="AR37" s="17">
        <f>IF('Loan Tape (BoE)'!BV370_37&lt;&gt;"",'Loan Tape (BoE)'!BV50_37,"")</f>
        <v/>
      </c>
      <c r="AS37" s="17">
        <f>IFERROR(INDEX('FF Adj Parameters'!$A$103:$B$1037,MATCH('Loan Tape (BoE)'!P37,INDEX('FF Adj Parameters'!$A$103:$B$1037,,1),0),2),"Unknown")</f>
        <v/>
      </c>
      <c r="AT37" s="17">
        <f>IF(N37="Interest Only",M5*O5/12,IF(AND(O5&gt;0,ISNUMBER(O5),ISNUMBER(M5)),ABS(PMT(O5/12,AU5,-M5)),0))</f>
        <v/>
      </c>
      <c r="AU37" s="17">
        <f>IF(ISNUMBER(L37),MAX(0,(L5-'Control Panel'!$B$10)*12/365.25),0)</f>
        <v/>
      </c>
      <c r="AV37" s="17">
        <f>IF(ISNUMBER(L37),IF(L5&gt;'Control Panel'!$B$10,"Valid","Past Maturity"),"No Date")</f>
        <v/>
      </c>
      <c r="AW37" s="17">
        <f>IF(ISNUMBER(K37),MAX(0,('Control Panel'!$B$10-K5)*12/365.25),0)</f>
        <v/>
      </c>
    </row>
    <row r="38">
      <c r="A38" s="17">
        <f>'Loan Tape (BoE)'!A39</f>
        <v/>
      </c>
      <c r="B38" s="18">
        <f>IFERROR(INDEX('FF Adj Parameters'!$A$89:$B$92,MATCH('Loan Tape (BoE)'!C38,INDEX('FF Adj Parameters'!$A$89:$B$92,,1),0),2),"Unknown")</f>
        <v/>
      </c>
      <c r="C38" s="18">
        <f>'Loan Tape (BoE)'!C39</f>
        <v/>
      </c>
      <c r="D38" s="18">
        <f>'Loan Tape (BoE)'!D39</f>
        <v/>
      </c>
      <c r="E38" s="18">
        <f>'Loan Tape (BoE)'!E39</f>
        <v/>
      </c>
      <c r="F38" s="19">
        <f>'Loan Tape (BoE)'!F39</f>
        <v/>
      </c>
      <c r="G38" s="19">
        <f>'Loan Tape (BoE)'!G39</f>
        <v/>
      </c>
      <c r="H38" s="20">
        <f>'Loan Tape (BoE)'!H39/100</f>
        <v/>
      </c>
      <c r="I38" s="17">
        <f>IFERROR(IFS('Loan Tape (BoE)'!I39=1,"House",'Loan Tape (BoE)'!I39=2,"Flat",'Loan Tape (BoE)'!I39=3,"Bungalow",'Loan Tape (BoE)'!I39=4,"Maisonette"),"")</f>
        <v/>
      </c>
      <c r="J38" s="17">
        <f>'Loan Tape (BoE)'!J39</f>
        <v/>
      </c>
      <c r="K38" s="17">
        <f>'Loan Tape (BoE)'!K39</f>
        <v/>
      </c>
      <c r="L38" s="17">
        <f>IFERROR(IFS('Loan Tape (BoE)'!L39=1,"Owner Occupied",'Loan Tape (BoE)'!L39=2,"BTL",'Loan Tape (BoE)'!L39=3,"Second Home",'Loan Tape (BoE)'!L39=4,"Investment"),"")</f>
        <v/>
      </c>
      <c r="M38" s="17">
        <f>IFERROR(IFS('Loan Tape (BoE)'!M39=1,"Purchase",'Loan Tape (BoE)'!M39=2,"Remortgage",OR('Loan Tape (BoE)'!M39=3,'Loan Tape (BoE)'!M39=4),"Cash-out"),"")</f>
        <v/>
      </c>
      <c r="N38" s="17">
        <f>IFERROR(INDEX('FF Adj Parameters'!$A$96:$B$99,MATCH('Loan Tape (BoE)'!R38,INDEX('FF Adj Parameters'!$A$96:$B$99,,1),0),2),"Unknown")</f>
        <v/>
      </c>
      <c r="O38" s="17">
        <f>IF('Loan Tape (BoE)'!O39=1,"Yes","No")</f>
        <v/>
      </c>
      <c r="P38" s="17">
        <f>IF('Loan Tape (BoE)'!P38=1,"Yes",IF('Loan Tape (BoE)'!P38=0,"No",""))</f>
        <v/>
      </c>
      <c r="Q38" s="17">
        <f>IF('Loan Tape (BoE)'!Q38=1,"Yes",IF('Loan Tape (BoE)'!Q38=0,"No",""))</f>
        <v/>
      </c>
      <c r="R38" s="18">
        <f>IF('Loan Tape (BoE)'!R38=1,"Yes",IF('Loan Tape (BoE)'!R38=0,"No",""))</f>
        <v/>
      </c>
      <c r="S38" s="18">
        <f>IF('Loan Tape (BoE)'!S38=1,"Yes",IF('Loan Tape (BoE)'!S38=0,"No",""))</f>
        <v/>
      </c>
      <c r="T38" s="17">
        <f>IF('Loan Tape (BoE)'!T38=1,"Yes",IF('Loan Tape (BoE)'!T38=0,"No",""))</f>
        <v/>
      </c>
      <c r="U38" s="18">
        <f>R38+S38</f>
        <v/>
      </c>
      <c r="V38" s="17">
        <f>IFERROR(IFS('Loan Tape (BoE)'!U39=1,"Employed",'Loan Tape (BoE)'!U39=2,"Self-Employed",'Loan Tape (BoE)'!U39=3,"Unemployed",'Loan Tape (BoE)'!U39=4,"Retired"),"")</f>
        <v/>
      </c>
      <c r="W38" s="17">
        <f>IFERROR(IFS('Loan Tape (BoE)'!V39=1,"Employed",'Loan Tape (BoE)'!V39=2,"Self-Employed",'Loan Tape (BoE)'!V39=3,"Unemployed",'Loan Tape (BoE)'!V39=4,"Retired"),"")</f>
        <v/>
      </c>
      <c r="X38" s="17">
        <f>IF(OR(V38="Self-Employed",W38="Self-Employed"),"Yes","No")</f>
        <v/>
      </c>
      <c r="Y38" s="17">
        <f>'Loan Tape (BoE)'!W39</f>
        <v/>
      </c>
      <c r="Z38" s="17">
        <f>'Loan Tape (BoE)'!X39</f>
        <v/>
      </c>
      <c r="AA38" s="17">
        <f>IF(T38=1,Y38,MIN(Y38,Z38))</f>
        <v/>
      </c>
      <c r="AB38" s="17">
        <f>'Loan Tape (BoE)'!Y39</f>
        <v/>
      </c>
      <c r="AC38" s="17">
        <f>'Loan Tape (BoE)'!Z39</f>
        <v/>
      </c>
      <c r="AD38" s="17">
        <f>AB38+AC38</f>
        <v/>
      </c>
      <c r="AE38" s="18">
        <f>'Loan Tape (BoE)'!AA39</f>
        <v/>
      </c>
      <c r="AF38" s="18">
        <f>'Loan Tape (BoE)'!AB39</f>
        <v/>
      </c>
      <c r="AG38" s="18">
        <f>AE38+AF38</f>
        <v/>
      </c>
      <c r="AH38" s="19">
        <f>MAX('Loan Tape (BoE)'!AC39,'Loan Tape (BoE)'!AD39)</f>
        <v/>
      </c>
      <c r="AI38" s="18">
        <f>'Loan Tape (BoE)'!AE39</f>
        <v/>
      </c>
      <c r="AJ38" s="18">
        <f>B38*H38/12</f>
        <v/>
      </c>
      <c r="AK38" s="21">
        <f>IF(AJ38&gt;0,AI38/AJ38,0)</f>
        <v/>
      </c>
      <c r="AL38" s="17">
        <f>IF('Loan Tape (BoE)'!AF39=1,"Yes","No")</f>
        <v/>
      </c>
      <c r="AM38" s="17">
        <f>IF('Loan Tape (BoE)'!AH39=1,"Yes","No")</f>
        <v/>
      </c>
      <c r="AN38" s="17">
        <f>IF('Loan Tape (BoE)'!AI39=1,"Yes","No")</f>
        <v/>
      </c>
      <c r="AO38" s="17">
        <f>IF('Loan Tape (BoE)'!AJ39=1,"Yes","No")</f>
        <v/>
      </c>
      <c r="AP38" s="17">
        <f>IF(OR('Loan Tape (BoE)'!AQ38=1,'Loan Tape (BoE)'!AQ38=2),"Yes",IF('Loan Tape (BoE)'!AQ38=0,"No",""))</f>
        <v/>
      </c>
      <c r="AQ38" s="17">
        <f>IF('Loan Tape (BoE)'!BV49_38&lt;&gt;"",'Loan Tape (BoE)'!BV49_38,"")</f>
        <v/>
      </c>
      <c r="AR38" s="17">
        <f>IF('Loan Tape (BoE)'!BV380_38&lt;&gt;"",'Loan Tape (BoE)'!BV50_38,"")</f>
        <v/>
      </c>
      <c r="AS38" s="17">
        <f>IFERROR(INDEX('FF Adj Parameters'!$A$103:$B$1038,MATCH('Loan Tape (BoE)'!P38,INDEX('FF Adj Parameters'!$A$103:$B$1038,,1),0),2),"Unknown")</f>
        <v/>
      </c>
      <c r="AT38" s="17">
        <f>IF(N38="Interest Only",M5*O5/12,IF(AND(O5&gt;0,ISNUMBER(O5),ISNUMBER(M5)),ABS(PMT(O5/12,AU5,-M5)),0))</f>
        <v/>
      </c>
      <c r="AU38" s="17">
        <f>IF(ISNUMBER(L38),MAX(0,(L5-'Control Panel'!$B$10)*12/365.25),0)</f>
        <v/>
      </c>
      <c r="AV38" s="17">
        <f>IF(ISNUMBER(L38),IF(L5&gt;'Control Panel'!$B$10,"Valid","Past Maturity"),"No Date")</f>
        <v/>
      </c>
      <c r="AW38" s="17">
        <f>IF(ISNUMBER(K38),MAX(0,('Control Panel'!$B$10-K5)*12/365.25),0)</f>
        <v/>
      </c>
    </row>
    <row r="39">
      <c r="A39" s="17">
        <f>'Loan Tape (BoE)'!A40</f>
        <v/>
      </c>
      <c r="B39" s="18">
        <f>IFERROR(INDEX('FF Adj Parameters'!$A$89:$B$92,MATCH('Loan Tape (BoE)'!C39,INDEX('FF Adj Parameters'!$A$89:$B$92,,1),0),2),"Unknown")</f>
        <v/>
      </c>
      <c r="C39" s="18">
        <f>'Loan Tape (BoE)'!C40</f>
        <v/>
      </c>
      <c r="D39" s="18">
        <f>'Loan Tape (BoE)'!D40</f>
        <v/>
      </c>
      <c r="E39" s="18">
        <f>'Loan Tape (BoE)'!E40</f>
        <v/>
      </c>
      <c r="F39" s="19">
        <f>'Loan Tape (BoE)'!F40</f>
        <v/>
      </c>
      <c r="G39" s="19">
        <f>'Loan Tape (BoE)'!G40</f>
        <v/>
      </c>
      <c r="H39" s="20">
        <f>'Loan Tape (BoE)'!H40/100</f>
        <v/>
      </c>
      <c r="I39" s="17">
        <f>IFERROR(IFS('Loan Tape (BoE)'!I40=1,"House",'Loan Tape (BoE)'!I40=2,"Flat",'Loan Tape (BoE)'!I40=3,"Bungalow",'Loan Tape (BoE)'!I40=4,"Maisonette"),"")</f>
        <v/>
      </c>
      <c r="J39" s="17">
        <f>'Loan Tape (BoE)'!J40</f>
        <v/>
      </c>
      <c r="K39" s="17">
        <f>'Loan Tape (BoE)'!K40</f>
        <v/>
      </c>
      <c r="L39" s="17">
        <f>IFERROR(IFS('Loan Tape (BoE)'!L40=1,"Owner Occupied",'Loan Tape (BoE)'!L40=2,"BTL",'Loan Tape (BoE)'!L40=3,"Second Home",'Loan Tape (BoE)'!L40=4,"Investment"),"")</f>
        <v/>
      </c>
      <c r="M39" s="17">
        <f>IFERROR(IFS('Loan Tape (BoE)'!M40=1,"Purchase",'Loan Tape (BoE)'!M40=2,"Remortgage",OR('Loan Tape (BoE)'!M40=3,'Loan Tape (BoE)'!M40=4),"Cash-out"),"")</f>
        <v/>
      </c>
      <c r="N39" s="17">
        <f>IFERROR(INDEX('FF Adj Parameters'!$A$96:$B$99,MATCH('Loan Tape (BoE)'!R39,INDEX('FF Adj Parameters'!$A$96:$B$99,,1),0),2),"Unknown")</f>
        <v/>
      </c>
      <c r="O39" s="17">
        <f>IF('Loan Tape (BoE)'!O40=1,"Yes","No")</f>
        <v/>
      </c>
      <c r="P39" s="17">
        <f>IF('Loan Tape (BoE)'!P39=1,"Yes",IF('Loan Tape (BoE)'!P39=0,"No",""))</f>
        <v/>
      </c>
      <c r="Q39" s="17">
        <f>IF('Loan Tape (BoE)'!Q39=1,"Yes",IF('Loan Tape (BoE)'!Q39=0,"No",""))</f>
        <v/>
      </c>
      <c r="R39" s="18">
        <f>IF('Loan Tape (BoE)'!R39=1,"Yes",IF('Loan Tape (BoE)'!R39=0,"No",""))</f>
        <v/>
      </c>
      <c r="S39" s="18">
        <f>IF('Loan Tape (BoE)'!S39=1,"Yes",IF('Loan Tape (BoE)'!S39=0,"No",""))</f>
        <v/>
      </c>
      <c r="T39" s="17">
        <f>IF('Loan Tape (BoE)'!T39=1,"Yes",IF('Loan Tape (BoE)'!T39=0,"No",""))</f>
        <v/>
      </c>
      <c r="U39" s="18">
        <f>R39+S39</f>
        <v/>
      </c>
      <c r="V39" s="17">
        <f>IFERROR(IFS('Loan Tape (BoE)'!U40=1,"Employed",'Loan Tape (BoE)'!U40=2,"Self-Employed",'Loan Tape (BoE)'!U40=3,"Unemployed",'Loan Tape (BoE)'!U40=4,"Retired"),"")</f>
        <v/>
      </c>
      <c r="W39" s="17">
        <f>IFERROR(IFS('Loan Tape (BoE)'!V40=1,"Employed",'Loan Tape (BoE)'!V40=2,"Self-Employed",'Loan Tape (BoE)'!V40=3,"Unemployed",'Loan Tape (BoE)'!V40=4,"Retired"),"")</f>
        <v/>
      </c>
      <c r="X39" s="17">
        <f>IF(OR(V39="Self-Employed",W39="Self-Employed"),"Yes","No")</f>
        <v/>
      </c>
      <c r="Y39" s="17">
        <f>'Loan Tape (BoE)'!W40</f>
        <v/>
      </c>
      <c r="Z39" s="17">
        <f>'Loan Tape (BoE)'!X40</f>
        <v/>
      </c>
      <c r="AA39" s="17">
        <f>IF(T39=1,Y39,MIN(Y39,Z39))</f>
        <v/>
      </c>
      <c r="AB39" s="17">
        <f>'Loan Tape (BoE)'!Y40</f>
        <v/>
      </c>
      <c r="AC39" s="17">
        <f>'Loan Tape (BoE)'!Z40</f>
        <v/>
      </c>
      <c r="AD39" s="17">
        <f>AB39+AC39</f>
        <v/>
      </c>
      <c r="AE39" s="18">
        <f>'Loan Tape (BoE)'!AA40</f>
        <v/>
      </c>
      <c r="AF39" s="18">
        <f>'Loan Tape (BoE)'!AB40</f>
        <v/>
      </c>
      <c r="AG39" s="18">
        <f>AE39+AF39</f>
        <v/>
      </c>
      <c r="AH39" s="19">
        <f>MAX('Loan Tape (BoE)'!AC40,'Loan Tape (BoE)'!AD40)</f>
        <v/>
      </c>
      <c r="AI39" s="18">
        <f>'Loan Tape (BoE)'!AE40</f>
        <v/>
      </c>
      <c r="AJ39" s="18">
        <f>B39*H39/12</f>
        <v/>
      </c>
      <c r="AK39" s="21">
        <f>IF(AJ39&gt;0,AI39/AJ39,0)</f>
        <v/>
      </c>
      <c r="AL39" s="17">
        <f>IF('Loan Tape (BoE)'!AF40=1,"Yes","No")</f>
        <v/>
      </c>
      <c r="AM39" s="17">
        <f>IF('Loan Tape (BoE)'!AH40=1,"Yes","No")</f>
        <v/>
      </c>
      <c r="AN39" s="17">
        <f>IF('Loan Tape (BoE)'!AI40=1,"Yes","No")</f>
        <v/>
      </c>
      <c r="AO39" s="17">
        <f>IF('Loan Tape (BoE)'!AJ40=1,"Yes","No")</f>
        <v/>
      </c>
      <c r="AP39" s="17">
        <f>IF(OR('Loan Tape (BoE)'!AQ39=1,'Loan Tape (BoE)'!AQ39=2),"Yes",IF('Loan Tape (BoE)'!AQ39=0,"No",""))</f>
        <v/>
      </c>
      <c r="AQ39" s="17">
        <f>IF('Loan Tape (BoE)'!BV49_39&lt;&gt;"",'Loan Tape (BoE)'!BV49_39,"")</f>
        <v/>
      </c>
      <c r="AR39" s="17">
        <f>IF('Loan Tape (BoE)'!BV390_39&lt;&gt;"",'Loan Tape (BoE)'!BV50_39,"")</f>
        <v/>
      </c>
      <c r="AS39" s="17">
        <f>IFERROR(INDEX('FF Adj Parameters'!$A$103:$B$1039,MATCH('Loan Tape (BoE)'!P39,INDEX('FF Adj Parameters'!$A$103:$B$1039,,1),0),2),"Unknown")</f>
        <v/>
      </c>
      <c r="AT39" s="17">
        <f>IF(N39="Interest Only",M5*O5/12,IF(AND(O5&gt;0,ISNUMBER(O5),ISNUMBER(M5)),ABS(PMT(O5/12,AU5,-M5)),0))</f>
        <v/>
      </c>
      <c r="AU39" s="17">
        <f>IF(ISNUMBER(L39),MAX(0,(L5-'Control Panel'!$B$10)*12/365.25),0)</f>
        <v/>
      </c>
      <c r="AV39" s="17">
        <f>IF(ISNUMBER(L39),IF(L5&gt;'Control Panel'!$B$10,"Valid","Past Maturity"),"No Date")</f>
        <v/>
      </c>
      <c r="AW39" s="17">
        <f>IF(ISNUMBER(K39),MAX(0,('Control Panel'!$B$10-K5)*12/365.25),0)</f>
        <v/>
      </c>
    </row>
    <row r="40">
      <c r="A40" s="17">
        <f>'Loan Tape (BoE)'!A41</f>
        <v/>
      </c>
      <c r="B40" s="18">
        <f>IFERROR(INDEX('FF Adj Parameters'!$A$89:$B$92,MATCH('Loan Tape (BoE)'!C40,INDEX('FF Adj Parameters'!$A$89:$B$92,,1),0),2),"Unknown")</f>
        <v/>
      </c>
      <c r="C40" s="18">
        <f>'Loan Tape (BoE)'!C41</f>
        <v/>
      </c>
      <c r="D40" s="18">
        <f>'Loan Tape (BoE)'!D41</f>
        <v/>
      </c>
      <c r="E40" s="18">
        <f>'Loan Tape (BoE)'!E41</f>
        <v/>
      </c>
      <c r="F40" s="19">
        <f>'Loan Tape (BoE)'!F41</f>
        <v/>
      </c>
      <c r="G40" s="19">
        <f>'Loan Tape (BoE)'!G41</f>
        <v/>
      </c>
      <c r="H40" s="20">
        <f>'Loan Tape (BoE)'!H41/100</f>
        <v/>
      </c>
      <c r="I40" s="17">
        <f>IFERROR(IFS('Loan Tape (BoE)'!I41=1,"House",'Loan Tape (BoE)'!I41=2,"Flat",'Loan Tape (BoE)'!I41=3,"Bungalow",'Loan Tape (BoE)'!I41=4,"Maisonette"),"")</f>
        <v/>
      </c>
      <c r="J40" s="17">
        <f>'Loan Tape (BoE)'!J41</f>
        <v/>
      </c>
      <c r="K40" s="17">
        <f>'Loan Tape (BoE)'!K41</f>
        <v/>
      </c>
      <c r="L40" s="17">
        <f>IFERROR(IFS('Loan Tape (BoE)'!L41=1,"Owner Occupied",'Loan Tape (BoE)'!L41=2,"BTL",'Loan Tape (BoE)'!L41=3,"Second Home",'Loan Tape (BoE)'!L41=4,"Investment"),"")</f>
        <v/>
      </c>
      <c r="M40" s="17">
        <f>IFERROR(IFS('Loan Tape (BoE)'!M41=1,"Purchase",'Loan Tape (BoE)'!M41=2,"Remortgage",OR('Loan Tape (BoE)'!M41=3,'Loan Tape (BoE)'!M41=4),"Cash-out"),"")</f>
        <v/>
      </c>
      <c r="N40" s="17">
        <f>IFERROR(INDEX('FF Adj Parameters'!$A$96:$B$99,MATCH('Loan Tape (BoE)'!R40,INDEX('FF Adj Parameters'!$A$96:$B$99,,1),0),2),"Unknown")</f>
        <v/>
      </c>
      <c r="O40" s="17">
        <f>IF('Loan Tape (BoE)'!O41=1,"Yes","No")</f>
        <v/>
      </c>
      <c r="P40" s="17">
        <f>IF('Loan Tape (BoE)'!P40=1,"Yes",IF('Loan Tape (BoE)'!P40=0,"No",""))</f>
        <v/>
      </c>
      <c r="Q40" s="17">
        <f>IF('Loan Tape (BoE)'!Q40=1,"Yes",IF('Loan Tape (BoE)'!Q40=0,"No",""))</f>
        <v/>
      </c>
      <c r="R40" s="18">
        <f>IF('Loan Tape (BoE)'!R40=1,"Yes",IF('Loan Tape (BoE)'!R40=0,"No",""))</f>
        <v/>
      </c>
      <c r="S40" s="18">
        <f>IF('Loan Tape (BoE)'!S40=1,"Yes",IF('Loan Tape (BoE)'!S40=0,"No",""))</f>
        <v/>
      </c>
      <c r="T40" s="17">
        <f>IF('Loan Tape (BoE)'!T40=1,"Yes",IF('Loan Tape (BoE)'!T40=0,"No",""))</f>
        <v/>
      </c>
      <c r="U40" s="18">
        <f>R40+S40</f>
        <v/>
      </c>
      <c r="V40" s="17">
        <f>IFERROR(IFS('Loan Tape (BoE)'!U41=1,"Employed",'Loan Tape (BoE)'!U41=2,"Self-Employed",'Loan Tape (BoE)'!U41=3,"Unemployed",'Loan Tape (BoE)'!U41=4,"Retired"),"")</f>
        <v/>
      </c>
      <c r="W40" s="17">
        <f>IFERROR(IFS('Loan Tape (BoE)'!V41=1,"Employed",'Loan Tape (BoE)'!V41=2,"Self-Employed",'Loan Tape (BoE)'!V41=3,"Unemployed",'Loan Tape (BoE)'!V41=4,"Retired"),"")</f>
        <v/>
      </c>
      <c r="X40" s="17">
        <f>IF(OR(V40="Self-Employed",W40="Self-Employed"),"Yes","No")</f>
        <v/>
      </c>
      <c r="Y40" s="17">
        <f>'Loan Tape (BoE)'!W41</f>
        <v/>
      </c>
      <c r="Z40" s="17">
        <f>'Loan Tape (BoE)'!X41</f>
        <v/>
      </c>
      <c r="AA40" s="17">
        <f>IF(T40=1,Y40,MIN(Y40,Z40))</f>
        <v/>
      </c>
      <c r="AB40" s="17">
        <f>'Loan Tape (BoE)'!Y41</f>
        <v/>
      </c>
      <c r="AC40" s="17">
        <f>'Loan Tape (BoE)'!Z41</f>
        <v/>
      </c>
      <c r="AD40" s="17">
        <f>AB40+AC40</f>
        <v/>
      </c>
      <c r="AE40" s="18">
        <f>'Loan Tape (BoE)'!AA41</f>
        <v/>
      </c>
      <c r="AF40" s="18">
        <f>'Loan Tape (BoE)'!AB41</f>
        <v/>
      </c>
      <c r="AG40" s="18">
        <f>AE40+AF40</f>
        <v/>
      </c>
      <c r="AH40" s="19">
        <f>MAX('Loan Tape (BoE)'!AC41,'Loan Tape (BoE)'!AD41)</f>
        <v/>
      </c>
      <c r="AI40" s="18">
        <f>'Loan Tape (BoE)'!AE41</f>
        <v/>
      </c>
      <c r="AJ40" s="18">
        <f>B40*H40/12</f>
        <v/>
      </c>
      <c r="AK40" s="21">
        <f>IF(AJ40&gt;0,AI40/AJ40,0)</f>
        <v/>
      </c>
      <c r="AL40" s="17">
        <f>IF('Loan Tape (BoE)'!AF41=1,"Yes","No")</f>
        <v/>
      </c>
      <c r="AM40" s="17">
        <f>IF('Loan Tape (BoE)'!AH41=1,"Yes","No")</f>
        <v/>
      </c>
      <c r="AN40" s="17">
        <f>IF('Loan Tape (BoE)'!AI41=1,"Yes","No")</f>
        <v/>
      </c>
      <c r="AO40" s="17">
        <f>IF('Loan Tape (BoE)'!AJ41=1,"Yes","No")</f>
        <v/>
      </c>
      <c r="AP40" s="17">
        <f>IF(OR('Loan Tape (BoE)'!AQ40=1,'Loan Tape (BoE)'!AQ40=2),"Yes",IF('Loan Tape (BoE)'!AQ40=0,"No",""))</f>
        <v/>
      </c>
      <c r="AQ40" s="17">
        <f>IF('Loan Tape (BoE)'!BV49_40&lt;&gt;"",'Loan Tape (BoE)'!BV49_40,"")</f>
        <v/>
      </c>
      <c r="AR40" s="17">
        <f>IF('Loan Tape (BoE)'!BV400_40&lt;&gt;"",'Loan Tape (BoE)'!BV50_40,"")</f>
        <v/>
      </c>
      <c r="AS40" s="17">
        <f>IFERROR(INDEX('FF Adj Parameters'!$A$103:$B$1040,MATCH('Loan Tape (BoE)'!P40,INDEX('FF Adj Parameters'!$A$103:$B$1040,,1),0),2),"Unknown")</f>
        <v/>
      </c>
      <c r="AT40" s="17">
        <f>IF(N40="Interest Only",M5*O5/12,IF(AND(O5&gt;0,ISNUMBER(O5),ISNUMBER(M5)),ABS(PMT(O5/12,AU5,-M5)),0))</f>
        <v/>
      </c>
      <c r="AU40" s="17">
        <f>IF(ISNUMBER(L40),MAX(0,(L5-'Control Panel'!$B$10)*12/365.25),0)</f>
        <v/>
      </c>
      <c r="AV40" s="17">
        <f>IF(ISNUMBER(L40),IF(L5&gt;'Control Panel'!$B$10,"Valid","Past Maturity"),"No Date")</f>
        <v/>
      </c>
      <c r="AW40" s="17">
        <f>IF(ISNUMBER(K40),MAX(0,('Control Panel'!$B$10-K5)*12/365.25),0)</f>
        <v/>
      </c>
    </row>
    <row r="41">
      <c r="A41" s="17">
        <f>'Loan Tape (BoE)'!A42</f>
        <v/>
      </c>
      <c r="B41" s="18">
        <f>IFERROR(INDEX('FF Adj Parameters'!$A$89:$B$92,MATCH('Loan Tape (BoE)'!C41,INDEX('FF Adj Parameters'!$A$89:$B$92,,1),0),2),"Unknown")</f>
        <v/>
      </c>
      <c r="C41" s="18">
        <f>'Loan Tape (BoE)'!C42</f>
        <v/>
      </c>
      <c r="D41" s="18">
        <f>'Loan Tape (BoE)'!D42</f>
        <v/>
      </c>
      <c r="E41" s="18">
        <f>'Loan Tape (BoE)'!E42</f>
        <v/>
      </c>
      <c r="F41" s="19">
        <f>'Loan Tape (BoE)'!F42</f>
        <v/>
      </c>
      <c r="G41" s="19">
        <f>'Loan Tape (BoE)'!G42</f>
        <v/>
      </c>
      <c r="H41" s="20">
        <f>'Loan Tape (BoE)'!H42/100</f>
        <v/>
      </c>
      <c r="I41" s="17">
        <f>IFERROR(IFS('Loan Tape (BoE)'!I42=1,"House",'Loan Tape (BoE)'!I42=2,"Flat",'Loan Tape (BoE)'!I42=3,"Bungalow",'Loan Tape (BoE)'!I42=4,"Maisonette"),"")</f>
        <v/>
      </c>
      <c r="J41" s="17">
        <f>'Loan Tape (BoE)'!J42</f>
        <v/>
      </c>
      <c r="K41" s="17">
        <f>'Loan Tape (BoE)'!K42</f>
        <v/>
      </c>
      <c r="L41" s="17">
        <f>IFERROR(IFS('Loan Tape (BoE)'!L42=1,"Owner Occupied",'Loan Tape (BoE)'!L42=2,"BTL",'Loan Tape (BoE)'!L42=3,"Second Home",'Loan Tape (BoE)'!L42=4,"Investment"),"")</f>
        <v/>
      </c>
      <c r="M41" s="17">
        <f>IFERROR(IFS('Loan Tape (BoE)'!M42=1,"Purchase",'Loan Tape (BoE)'!M42=2,"Remortgage",OR('Loan Tape (BoE)'!M42=3,'Loan Tape (BoE)'!M42=4),"Cash-out"),"")</f>
        <v/>
      </c>
      <c r="N41" s="17">
        <f>IFERROR(INDEX('FF Adj Parameters'!$A$96:$B$99,MATCH('Loan Tape (BoE)'!R41,INDEX('FF Adj Parameters'!$A$96:$B$99,,1),0),2),"Unknown")</f>
        <v/>
      </c>
      <c r="O41" s="17">
        <f>IF('Loan Tape (BoE)'!O42=1,"Yes","No")</f>
        <v/>
      </c>
      <c r="P41" s="17">
        <f>IF('Loan Tape (BoE)'!P41=1,"Yes",IF('Loan Tape (BoE)'!P41=0,"No",""))</f>
        <v/>
      </c>
      <c r="Q41" s="17">
        <f>IF('Loan Tape (BoE)'!Q41=1,"Yes",IF('Loan Tape (BoE)'!Q41=0,"No",""))</f>
        <v/>
      </c>
      <c r="R41" s="18">
        <f>IF('Loan Tape (BoE)'!R41=1,"Yes",IF('Loan Tape (BoE)'!R41=0,"No",""))</f>
        <v/>
      </c>
      <c r="S41" s="18">
        <f>IF('Loan Tape (BoE)'!S41=1,"Yes",IF('Loan Tape (BoE)'!S41=0,"No",""))</f>
        <v/>
      </c>
      <c r="T41" s="17">
        <f>IF('Loan Tape (BoE)'!T41=1,"Yes",IF('Loan Tape (BoE)'!T41=0,"No",""))</f>
        <v/>
      </c>
      <c r="U41" s="18">
        <f>R41+S41</f>
        <v/>
      </c>
      <c r="V41" s="17">
        <f>IFERROR(IFS('Loan Tape (BoE)'!U42=1,"Employed",'Loan Tape (BoE)'!U42=2,"Self-Employed",'Loan Tape (BoE)'!U42=3,"Unemployed",'Loan Tape (BoE)'!U42=4,"Retired"),"")</f>
        <v/>
      </c>
      <c r="W41" s="17">
        <f>IFERROR(IFS('Loan Tape (BoE)'!V42=1,"Employed",'Loan Tape (BoE)'!V42=2,"Self-Employed",'Loan Tape (BoE)'!V42=3,"Unemployed",'Loan Tape (BoE)'!V42=4,"Retired"),"")</f>
        <v/>
      </c>
      <c r="X41" s="17">
        <f>IF(OR(V41="Self-Employed",W41="Self-Employed"),"Yes","No")</f>
        <v/>
      </c>
      <c r="Y41" s="17">
        <f>'Loan Tape (BoE)'!W42</f>
        <v/>
      </c>
      <c r="Z41" s="17">
        <f>'Loan Tape (BoE)'!X42</f>
        <v/>
      </c>
      <c r="AA41" s="17">
        <f>IF(T41=1,Y41,MIN(Y41,Z41))</f>
        <v/>
      </c>
      <c r="AB41" s="17">
        <f>'Loan Tape (BoE)'!Y42</f>
        <v/>
      </c>
      <c r="AC41" s="17">
        <f>'Loan Tape (BoE)'!Z42</f>
        <v/>
      </c>
      <c r="AD41" s="17">
        <f>AB41+AC41</f>
        <v/>
      </c>
      <c r="AE41" s="18">
        <f>'Loan Tape (BoE)'!AA42</f>
        <v/>
      </c>
      <c r="AF41" s="18">
        <f>'Loan Tape (BoE)'!AB42</f>
        <v/>
      </c>
      <c r="AG41" s="18">
        <f>AE41+AF41</f>
        <v/>
      </c>
      <c r="AH41" s="19">
        <f>MAX('Loan Tape (BoE)'!AC42,'Loan Tape (BoE)'!AD42)</f>
        <v/>
      </c>
      <c r="AI41" s="18">
        <f>'Loan Tape (BoE)'!AE42</f>
        <v/>
      </c>
      <c r="AJ41" s="18">
        <f>B41*H41/12</f>
        <v/>
      </c>
      <c r="AK41" s="21">
        <f>IF(AJ41&gt;0,AI41/AJ41,0)</f>
        <v/>
      </c>
      <c r="AL41" s="17">
        <f>IF('Loan Tape (BoE)'!AF42=1,"Yes","No")</f>
        <v/>
      </c>
      <c r="AM41" s="17">
        <f>IF('Loan Tape (BoE)'!AH42=1,"Yes","No")</f>
        <v/>
      </c>
      <c r="AN41" s="17">
        <f>IF('Loan Tape (BoE)'!AI42=1,"Yes","No")</f>
        <v/>
      </c>
      <c r="AO41" s="17">
        <f>IF('Loan Tape (BoE)'!AJ42=1,"Yes","No")</f>
        <v/>
      </c>
      <c r="AP41" s="17">
        <f>IF(OR('Loan Tape (BoE)'!AQ41=1,'Loan Tape (BoE)'!AQ41=2),"Yes",IF('Loan Tape (BoE)'!AQ41=0,"No",""))</f>
        <v/>
      </c>
      <c r="AQ41" s="17">
        <f>IF('Loan Tape (BoE)'!BV49_41&lt;&gt;"",'Loan Tape (BoE)'!BV49_41,"")</f>
        <v/>
      </c>
      <c r="AR41" s="17">
        <f>IF('Loan Tape (BoE)'!BV410_41&lt;&gt;"",'Loan Tape (BoE)'!BV50_41,"")</f>
        <v/>
      </c>
      <c r="AS41" s="17">
        <f>IFERROR(INDEX('FF Adj Parameters'!$A$103:$B$1041,MATCH('Loan Tape (BoE)'!P41,INDEX('FF Adj Parameters'!$A$103:$B$1041,,1),0),2),"Unknown")</f>
        <v/>
      </c>
      <c r="AT41" s="17">
        <f>IF(N41="Interest Only",M5*O5/12,IF(AND(O5&gt;0,ISNUMBER(O5),ISNUMBER(M5)),ABS(PMT(O5/12,AU5,-M5)),0))</f>
        <v/>
      </c>
      <c r="AU41" s="17">
        <f>IF(ISNUMBER(L41),MAX(0,(L5-'Control Panel'!$B$10)*12/365.25),0)</f>
        <v/>
      </c>
      <c r="AV41" s="17">
        <f>IF(ISNUMBER(L41),IF(L5&gt;'Control Panel'!$B$10,"Valid","Past Maturity"),"No Date")</f>
        <v/>
      </c>
      <c r="AW41" s="17">
        <f>IF(ISNUMBER(K41),MAX(0,('Control Panel'!$B$10-K5)*12/365.25),0)</f>
        <v/>
      </c>
    </row>
    <row r="42">
      <c r="A42" s="17">
        <f>'Loan Tape (BoE)'!A43</f>
        <v/>
      </c>
      <c r="B42" s="18">
        <f>IFERROR(INDEX('FF Adj Parameters'!$A$89:$B$92,MATCH('Loan Tape (BoE)'!C42,INDEX('FF Adj Parameters'!$A$89:$B$92,,1),0),2),"Unknown")</f>
        <v/>
      </c>
      <c r="C42" s="18">
        <f>'Loan Tape (BoE)'!C43</f>
        <v/>
      </c>
      <c r="D42" s="18">
        <f>'Loan Tape (BoE)'!D43</f>
        <v/>
      </c>
      <c r="E42" s="18">
        <f>'Loan Tape (BoE)'!E43</f>
        <v/>
      </c>
      <c r="F42" s="19">
        <f>'Loan Tape (BoE)'!F43</f>
        <v/>
      </c>
      <c r="G42" s="19">
        <f>'Loan Tape (BoE)'!G43</f>
        <v/>
      </c>
      <c r="H42" s="20">
        <f>'Loan Tape (BoE)'!H43/100</f>
        <v/>
      </c>
      <c r="I42" s="17">
        <f>IFERROR(IFS('Loan Tape (BoE)'!I43=1,"House",'Loan Tape (BoE)'!I43=2,"Flat",'Loan Tape (BoE)'!I43=3,"Bungalow",'Loan Tape (BoE)'!I43=4,"Maisonette"),"")</f>
        <v/>
      </c>
      <c r="J42" s="17">
        <f>'Loan Tape (BoE)'!J43</f>
        <v/>
      </c>
      <c r="K42" s="17">
        <f>'Loan Tape (BoE)'!K43</f>
        <v/>
      </c>
      <c r="L42" s="17">
        <f>IFERROR(IFS('Loan Tape (BoE)'!L43=1,"Owner Occupied",'Loan Tape (BoE)'!L43=2,"BTL",'Loan Tape (BoE)'!L43=3,"Second Home",'Loan Tape (BoE)'!L43=4,"Investment"),"")</f>
        <v/>
      </c>
      <c r="M42" s="17">
        <f>IFERROR(IFS('Loan Tape (BoE)'!M43=1,"Purchase",'Loan Tape (BoE)'!M43=2,"Remortgage",OR('Loan Tape (BoE)'!M43=3,'Loan Tape (BoE)'!M43=4),"Cash-out"),"")</f>
        <v/>
      </c>
      <c r="N42" s="17">
        <f>IFERROR(INDEX('FF Adj Parameters'!$A$96:$B$99,MATCH('Loan Tape (BoE)'!R42,INDEX('FF Adj Parameters'!$A$96:$B$99,,1),0),2),"Unknown")</f>
        <v/>
      </c>
      <c r="O42" s="17">
        <f>IF('Loan Tape (BoE)'!O43=1,"Yes","No")</f>
        <v/>
      </c>
      <c r="P42" s="17">
        <f>IF('Loan Tape (BoE)'!P42=1,"Yes",IF('Loan Tape (BoE)'!P42=0,"No",""))</f>
        <v/>
      </c>
      <c r="Q42" s="17">
        <f>IF('Loan Tape (BoE)'!Q42=1,"Yes",IF('Loan Tape (BoE)'!Q42=0,"No",""))</f>
        <v/>
      </c>
      <c r="R42" s="18">
        <f>IF('Loan Tape (BoE)'!R42=1,"Yes",IF('Loan Tape (BoE)'!R42=0,"No",""))</f>
        <v/>
      </c>
      <c r="S42" s="18">
        <f>IF('Loan Tape (BoE)'!S42=1,"Yes",IF('Loan Tape (BoE)'!S42=0,"No",""))</f>
        <v/>
      </c>
      <c r="T42" s="17">
        <f>IF('Loan Tape (BoE)'!T42=1,"Yes",IF('Loan Tape (BoE)'!T42=0,"No",""))</f>
        <v/>
      </c>
      <c r="U42" s="18">
        <f>R42+S42</f>
        <v/>
      </c>
      <c r="V42" s="17">
        <f>IFERROR(IFS('Loan Tape (BoE)'!U43=1,"Employed",'Loan Tape (BoE)'!U43=2,"Self-Employed",'Loan Tape (BoE)'!U43=3,"Unemployed",'Loan Tape (BoE)'!U43=4,"Retired"),"")</f>
        <v/>
      </c>
      <c r="W42" s="17">
        <f>IFERROR(IFS('Loan Tape (BoE)'!V43=1,"Employed",'Loan Tape (BoE)'!V43=2,"Self-Employed",'Loan Tape (BoE)'!V43=3,"Unemployed",'Loan Tape (BoE)'!V43=4,"Retired"),"")</f>
        <v/>
      </c>
      <c r="X42" s="17">
        <f>IF(OR(V42="Self-Employed",W42="Self-Employed"),"Yes","No")</f>
        <v/>
      </c>
      <c r="Y42" s="17">
        <f>'Loan Tape (BoE)'!W43</f>
        <v/>
      </c>
      <c r="Z42" s="17">
        <f>'Loan Tape (BoE)'!X43</f>
        <v/>
      </c>
      <c r="AA42" s="17">
        <f>IF(T42=1,Y42,MIN(Y42,Z42))</f>
        <v/>
      </c>
      <c r="AB42" s="17">
        <f>'Loan Tape (BoE)'!Y43</f>
        <v/>
      </c>
      <c r="AC42" s="17">
        <f>'Loan Tape (BoE)'!Z43</f>
        <v/>
      </c>
      <c r="AD42" s="17">
        <f>AB42+AC42</f>
        <v/>
      </c>
      <c r="AE42" s="18">
        <f>'Loan Tape (BoE)'!AA43</f>
        <v/>
      </c>
      <c r="AF42" s="18">
        <f>'Loan Tape (BoE)'!AB43</f>
        <v/>
      </c>
      <c r="AG42" s="18">
        <f>AE42+AF42</f>
        <v/>
      </c>
      <c r="AH42" s="19">
        <f>MAX('Loan Tape (BoE)'!AC43,'Loan Tape (BoE)'!AD43)</f>
        <v/>
      </c>
      <c r="AI42" s="18">
        <f>'Loan Tape (BoE)'!AE43</f>
        <v/>
      </c>
      <c r="AJ42" s="18">
        <f>B42*H42/12</f>
        <v/>
      </c>
      <c r="AK42" s="21">
        <f>IF(AJ42&gt;0,AI42/AJ42,0)</f>
        <v/>
      </c>
      <c r="AL42" s="17">
        <f>IF('Loan Tape (BoE)'!AF43=1,"Yes","No")</f>
        <v/>
      </c>
      <c r="AM42" s="17">
        <f>IF('Loan Tape (BoE)'!AH43=1,"Yes","No")</f>
        <v/>
      </c>
      <c r="AN42" s="17">
        <f>IF('Loan Tape (BoE)'!AI43=1,"Yes","No")</f>
        <v/>
      </c>
      <c r="AO42" s="17">
        <f>IF('Loan Tape (BoE)'!AJ43=1,"Yes","No")</f>
        <v/>
      </c>
      <c r="AP42" s="17">
        <f>IF(OR('Loan Tape (BoE)'!AQ42=1,'Loan Tape (BoE)'!AQ42=2),"Yes",IF('Loan Tape (BoE)'!AQ42=0,"No",""))</f>
        <v/>
      </c>
      <c r="AQ42" s="17">
        <f>IF('Loan Tape (BoE)'!BV49_42&lt;&gt;"",'Loan Tape (BoE)'!BV49_42,"")</f>
        <v/>
      </c>
      <c r="AR42" s="17">
        <f>IF('Loan Tape (BoE)'!BV420_42&lt;&gt;"",'Loan Tape (BoE)'!BV50_42,"")</f>
        <v/>
      </c>
      <c r="AS42" s="17">
        <f>IFERROR(INDEX('FF Adj Parameters'!$A$103:$B$1042,MATCH('Loan Tape (BoE)'!P42,INDEX('FF Adj Parameters'!$A$103:$B$1042,,1),0),2),"Unknown")</f>
        <v/>
      </c>
      <c r="AT42" s="17">
        <f>IF(N42="Interest Only",M5*O5/12,IF(AND(O5&gt;0,ISNUMBER(O5),ISNUMBER(M5)),ABS(PMT(O5/12,AU5,-M5)),0))</f>
        <v/>
      </c>
      <c r="AU42" s="17">
        <f>IF(ISNUMBER(L42),MAX(0,(L5-'Control Panel'!$B$10)*12/365.25),0)</f>
        <v/>
      </c>
      <c r="AV42" s="17">
        <f>IF(ISNUMBER(L42),IF(L5&gt;'Control Panel'!$B$10,"Valid","Past Maturity"),"No Date")</f>
        <v/>
      </c>
      <c r="AW42" s="17">
        <f>IF(ISNUMBER(K42),MAX(0,('Control Panel'!$B$10-K5)*12/365.25),0)</f>
        <v/>
      </c>
    </row>
    <row r="43">
      <c r="A43" s="17">
        <f>'Loan Tape (BoE)'!A44</f>
        <v/>
      </c>
      <c r="B43" s="18">
        <f>IFERROR(INDEX('FF Adj Parameters'!$A$89:$B$92,MATCH('Loan Tape (BoE)'!C43,INDEX('FF Adj Parameters'!$A$89:$B$92,,1),0),2),"Unknown")</f>
        <v/>
      </c>
      <c r="C43" s="18">
        <f>'Loan Tape (BoE)'!C44</f>
        <v/>
      </c>
      <c r="D43" s="18">
        <f>'Loan Tape (BoE)'!D44</f>
        <v/>
      </c>
      <c r="E43" s="18">
        <f>'Loan Tape (BoE)'!E44</f>
        <v/>
      </c>
      <c r="F43" s="19">
        <f>'Loan Tape (BoE)'!F44</f>
        <v/>
      </c>
      <c r="G43" s="19">
        <f>'Loan Tape (BoE)'!G44</f>
        <v/>
      </c>
      <c r="H43" s="20">
        <f>'Loan Tape (BoE)'!H44/100</f>
        <v/>
      </c>
      <c r="I43" s="17">
        <f>IFERROR(IFS('Loan Tape (BoE)'!I44=1,"House",'Loan Tape (BoE)'!I44=2,"Flat",'Loan Tape (BoE)'!I44=3,"Bungalow",'Loan Tape (BoE)'!I44=4,"Maisonette"),"")</f>
        <v/>
      </c>
      <c r="J43" s="17">
        <f>'Loan Tape (BoE)'!J44</f>
        <v/>
      </c>
      <c r="K43" s="17">
        <f>'Loan Tape (BoE)'!K44</f>
        <v/>
      </c>
      <c r="L43" s="17">
        <f>IFERROR(IFS('Loan Tape (BoE)'!L44=1,"Owner Occupied",'Loan Tape (BoE)'!L44=2,"BTL",'Loan Tape (BoE)'!L44=3,"Second Home",'Loan Tape (BoE)'!L44=4,"Investment"),"")</f>
        <v/>
      </c>
      <c r="M43" s="17">
        <f>IFERROR(IFS('Loan Tape (BoE)'!M44=1,"Purchase",'Loan Tape (BoE)'!M44=2,"Remortgage",OR('Loan Tape (BoE)'!M44=3,'Loan Tape (BoE)'!M44=4),"Cash-out"),"")</f>
        <v/>
      </c>
      <c r="N43" s="17">
        <f>IFERROR(INDEX('FF Adj Parameters'!$A$96:$B$99,MATCH('Loan Tape (BoE)'!R43,INDEX('FF Adj Parameters'!$A$96:$B$99,,1),0),2),"Unknown")</f>
        <v/>
      </c>
      <c r="O43" s="17">
        <f>IF('Loan Tape (BoE)'!O44=1,"Yes","No")</f>
        <v/>
      </c>
      <c r="P43" s="17">
        <f>IF('Loan Tape (BoE)'!P43=1,"Yes",IF('Loan Tape (BoE)'!P43=0,"No",""))</f>
        <v/>
      </c>
      <c r="Q43" s="17">
        <f>IF('Loan Tape (BoE)'!Q43=1,"Yes",IF('Loan Tape (BoE)'!Q43=0,"No",""))</f>
        <v/>
      </c>
      <c r="R43" s="18">
        <f>IF('Loan Tape (BoE)'!R43=1,"Yes",IF('Loan Tape (BoE)'!R43=0,"No",""))</f>
        <v/>
      </c>
      <c r="S43" s="18">
        <f>IF('Loan Tape (BoE)'!S43=1,"Yes",IF('Loan Tape (BoE)'!S43=0,"No",""))</f>
        <v/>
      </c>
      <c r="T43" s="17">
        <f>IF('Loan Tape (BoE)'!T43=1,"Yes",IF('Loan Tape (BoE)'!T43=0,"No",""))</f>
        <v/>
      </c>
      <c r="U43" s="18">
        <f>R43+S43</f>
        <v/>
      </c>
      <c r="V43" s="17">
        <f>IFERROR(IFS('Loan Tape (BoE)'!U44=1,"Employed",'Loan Tape (BoE)'!U44=2,"Self-Employed",'Loan Tape (BoE)'!U44=3,"Unemployed",'Loan Tape (BoE)'!U44=4,"Retired"),"")</f>
        <v/>
      </c>
      <c r="W43" s="17">
        <f>IFERROR(IFS('Loan Tape (BoE)'!V44=1,"Employed",'Loan Tape (BoE)'!V44=2,"Self-Employed",'Loan Tape (BoE)'!V44=3,"Unemployed",'Loan Tape (BoE)'!V44=4,"Retired"),"")</f>
        <v/>
      </c>
      <c r="X43" s="17">
        <f>IF(OR(V43="Self-Employed",W43="Self-Employed"),"Yes","No")</f>
        <v/>
      </c>
      <c r="Y43" s="17">
        <f>'Loan Tape (BoE)'!W44</f>
        <v/>
      </c>
      <c r="Z43" s="17">
        <f>'Loan Tape (BoE)'!X44</f>
        <v/>
      </c>
      <c r="AA43" s="17">
        <f>IF(T43=1,Y43,MIN(Y43,Z43))</f>
        <v/>
      </c>
      <c r="AB43" s="17">
        <f>'Loan Tape (BoE)'!Y44</f>
        <v/>
      </c>
      <c r="AC43" s="17">
        <f>'Loan Tape (BoE)'!Z44</f>
        <v/>
      </c>
      <c r="AD43" s="17">
        <f>AB43+AC43</f>
        <v/>
      </c>
      <c r="AE43" s="18">
        <f>'Loan Tape (BoE)'!AA44</f>
        <v/>
      </c>
      <c r="AF43" s="18">
        <f>'Loan Tape (BoE)'!AB44</f>
        <v/>
      </c>
      <c r="AG43" s="18">
        <f>AE43+AF43</f>
        <v/>
      </c>
      <c r="AH43" s="19">
        <f>MAX('Loan Tape (BoE)'!AC44,'Loan Tape (BoE)'!AD44)</f>
        <v/>
      </c>
      <c r="AI43" s="18">
        <f>'Loan Tape (BoE)'!AE44</f>
        <v/>
      </c>
      <c r="AJ43" s="18">
        <f>B43*H43/12</f>
        <v/>
      </c>
      <c r="AK43" s="21">
        <f>IF(AJ43&gt;0,AI43/AJ43,0)</f>
        <v/>
      </c>
      <c r="AL43" s="17">
        <f>IF('Loan Tape (BoE)'!AF44=1,"Yes","No")</f>
        <v/>
      </c>
      <c r="AM43" s="17">
        <f>IF('Loan Tape (BoE)'!AH44=1,"Yes","No")</f>
        <v/>
      </c>
      <c r="AN43" s="17">
        <f>IF('Loan Tape (BoE)'!AI44=1,"Yes","No")</f>
        <v/>
      </c>
      <c r="AO43" s="17">
        <f>IF('Loan Tape (BoE)'!AJ44=1,"Yes","No")</f>
        <v/>
      </c>
      <c r="AP43" s="17">
        <f>IF(OR('Loan Tape (BoE)'!AQ43=1,'Loan Tape (BoE)'!AQ43=2),"Yes",IF('Loan Tape (BoE)'!AQ43=0,"No",""))</f>
        <v/>
      </c>
      <c r="AQ43" s="17">
        <f>IF('Loan Tape (BoE)'!BV49_43&lt;&gt;"",'Loan Tape (BoE)'!BV49_43,"")</f>
        <v/>
      </c>
      <c r="AR43" s="17">
        <f>IF('Loan Tape (BoE)'!BV430_43&lt;&gt;"",'Loan Tape (BoE)'!BV50_43,"")</f>
        <v/>
      </c>
      <c r="AS43" s="17">
        <f>IFERROR(INDEX('FF Adj Parameters'!$A$103:$B$1043,MATCH('Loan Tape (BoE)'!P43,INDEX('FF Adj Parameters'!$A$103:$B$1043,,1),0),2),"Unknown")</f>
        <v/>
      </c>
      <c r="AT43" s="17">
        <f>IF(N43="Interest Only",M5*O5/12,IF(AND(O5&gt;0,ISNUMBER(O5),ISNUMBER(M5)),ABS(PMT(O5/12,AU5,-M5)),0))</f>
        <v/>
      </c>
      <c r="AU43" s="17">
        <f>IF(ISNUMBER(L43),MAX(0,(L5-'Control Panel'!$B$10)*12/365.25),0)</f>
        <v/>
      </c>
      <c r="AV43" s="17">
        <f>IF(ISNUMBER(L43),IF(L5&gt;'Control Panel'!$B$10,"Valid","Past Maturity"),"No Date")</f>
        <v/>
      </c>
      <c r="AW43" s="17">
        <f>IF(ISNUMBER(K43),MAX(0,('Control Panel'!$B$10-K5)*12/365.25),0)</f>
        <v/>
      </c>
    </row>
    <row r="44">
      <c r="A44" s="17">
        <f>'Loan Tape (BoE)'!A45</f>
        <v/>
      </c>
      <c r="B44" s="18">
        <f>IFERROR(INDEX('FF Adj Parameters'!$A$89:$B$92,MATCH('Loan Tape (BoE)'!C44,INDEX('FF Adj Parameters'!$A$89:$B$92,,1),0),2),"Unknown")</f>
        <v/>
      </c>
      <c r="C44" s="18">
        <f>'Loan Tape (BoE)'!C45</f>
        <v/>
      </c>
      <c r="D44" s="18">
        <f>'Loan Tape (BoE)'!D45</f>
        <v/>
      </c>
      <c r="E44" s="18">
        <f>'Loan Tape (BoE)'!E45</f>
        <v/>
      </c>
      <c r="F44" s="19">
        <f>'Loan Tape (BoE)'!F45</f>
        <v/>
      </c>
      <c r="G44" s="19">
        <f>'Loan Tape (BoE)'!G45</f>
        <v/>
      </c>
      <c r="H44" s="20">
        <f>'Loan Tape (BoE)'!H45/100</f>
        <v/>
      </c>
      <c r="I44" s="17">
        <f>IFERROR(IFS('Loan Tape (BoE)'!I45=1,"House",'Loan Tape (BoE)'!I45=2,"Flat",'Loan Tape (BoE)'!I45=3,"Bungalow",'Loan Tape (BoE)'!I45=4,"Maisonette"),"")</f>
        <v/>
      </c>
      <c r="J44" s="17">
        <f>'Loan Tape (BoE)'!J45</f>
        <v/>
      </c>
      <c r="K44" s="17">
        <f>'Loan Tape (BoE)'!K45</f>
        <v/>
      </c>
      <c r="L44" s="17">
        <f>IFERROR(IFS('Loan Tape (BoE)'!L45=1,"Owner Occupied",'Loan Tape (BoE)'!L45=2,"BTL",'Loan Tape (BoE)'!L45=3,"Second Home",'Loan Tape (BoE)'!L45=4,"Investment"),"")</f>
        <v/>
      </c>
      <c r="M44" s="17">
        <f>IFERROR(IFS('Loan Tape (BoE)'!M45=1,"Purchase",'Loan Tape (BoE)'!M45=2,"Remortgage",OR('Loan Tape (BoE)'!M45=3,'Loan Tape (BoE)'!M45=4),"Cash-out"),"")</f>
        <v/>
      </c>
      <c r="N44" s="17">
        <f>IFERROR(INDEX('FF Adj Parameters'!$A$96:$B$99,MATCH('Loan Tape (BoE)'!R44,INDEX('FF Adj Parameters'!$A$96:$B$99,,1),0),2),"Unknown")</f>
        <v/>
      </c>
      <c r="O44" s="17">
        <f>IF('Loan Tape (BoE)'!O45=1,"Yes","No")</f>
        <v/>
      </c>
      <c r="P44" s="17">
        <f>IF('Loan Tape (BoE)'!P44=1,"Yes",IF('Loan Tape (BoE)'!P44=0,"No",""))</f>
        <v/>
      </c>
      <c r="Q44" s="17">
        <f>IF('Loan Tape (BoE)'!Q44=1,"Yes",IF('Loan Tape (BoE)'!Q44=0,"No",""))</f>
        <v/>
      </c>
      <c r="R44" s="18">
        <f>IF('Loan Tape (BoE)'!R44=1,"Yes",IF('Loan Tape (BoE)'!R44=0,"No",""))</f>
        <v/>
      </c>
      <c r="S44" s="18">
        <f>IF('Loan Tape (BoE)'!S44=1,"Yes",IF('Loan Tape (BoE)'!S44=0,"No",""))</f>
        <v/>
      </c>
      <c r="T44" s="17">
        <f>IF('Loan Tape (BoE)'!T44=1,"Yes",IF('Loan Tape (BoE)'!T44=0,"No",""))</f>
        <v/>
      </c>
      <c r="U44" s="18">
        <f>R44+S44</f>
        <v/>
      </c>
      <c r="V44" s="17">
        <f>IFERROR(IFS('Loan Tape (BoE)'!U45=1,"Employed",'Loan Tape (BoE)'!U45=2,"Self-Employed",'Loan Tape (BoE)'!U45=3,"Unemployed",'Loan Tape (BoE)'!U45=4,"Retired"),"")</f>
        <v/>
      </c>
      <c r="W44" s="17">
        <f>IFERROR(IFS('Loan Tape (BoE)'!V45=1,"Employed",'Loan Tape (BoE)'!V45=2,"Self-Employed",'Loan Tape (BoE)'!V45=3,"Unemployed",'Loan Tape (BoE)'!V45=4,"Retired"),"")</f>
        <v/>
      </c>
      <c r="X44" s="17">
        <f>IF(OR(V44="Self-Employed",W44="Self-Employed"),"Yes","No")</f>
        <v/>
      </c>
      <c r="Y44" s="17">
        <f>'Loan Tape (BoE)'!W45</f>
        <v/>
      </c>
      <c r="Z44" s="17">
        <f>'Loan Tape (BoE)'!X45</f>
        <v/>
      </c>
      <c r="AA44" s="17">
        <f>IF(T44=1,Y44,MIN(Y44,Z44))</f>
        <v/>
      </c>
      <c r="AB44" s="17">
        <f>'Loan Tape (BoE)'!Y45</f>
        <v/>
      </c>
      <c r="AC44" s="17">
        <f>'Loan Tape (BoE)'!Z45</f>
        <v/>
      </c>
      <c r="AD44" s="17">
        <f>AB44+AC44</f>
        <v/>
      </c>
      <c r="AE44" s="18">
        <f>'Loan Tape (BoE)'!AA45</f>
        <v/>
      </c>
      <c r="AF44" s="18">
        <f>'Loan Tape (BoE)'!AB45</f>
        <v/>
      </c>
      <c r="AG44" s="18">
        <f>AE44+AF44</f>
        <v/>
      </c>
      <c r="AH44" s="19">
        <f>MAX('Loan Tape (BoE)'!AC45,'Loan Tape (BoE)'!AD45)</f>
        <v/>
      </c>
      <c r="AI44" s="18">
        <f>'Loan Tape (BoE)'!AE45</f>
        <v/>
      </c>
      <c r="AJ44" s="18">
        <f>B44*H44/12</f>
        <v/>
      </c>
      <c r="AK44" s="21">
        <f>IF(AJ44&gt;0,AI44/AJ44,0)</f>
        <v/>
      </c>
      <c r="AL44" s="17">
        <f>IF('Loan Tape (BoE)'!AF45=1,"Yes","No")</f>
        <v/>
      </c>
      <c r="AM44" s="17">
        <f>IF('Loan Tape (BoE)'!AH45=1,"Yes","No")</f>
        <v/>
      </c>
      <c r="AN44" s="17">
        <f>IF('Loan Tape (BoE)'!AI45=1,"Yes","No")</f>
        <v/>
      </c>
      <c r="AO44" s="17">
        <f>IF('Loan Tape (BoE)'!AJ45=1,"Yes","No")</f>
        <v/>
      </c>
      <c r="AP44" s="17">
        <f>IF(OR('Loan Tape (BoE)'!AQ44=1,'Loan Tape (BoE)'!AQ44=2),"Yes",IF('Loan Tape (BoE)'!AQ44=0,"No",""))</f>
        <v/>
      </c>
      <c r="AQ44" s="17">
        <f>IF('Loan Tape (BoE)'!BV49_44&lt;&gt;"",'Loan Tape (BoE)'!BV49_44,"")</f>
        <v/>
      </c>
      <c r="AR44" s="17">
        <f>IF('Loan Tape (BoE)'!BV440_44&lt;&gt;"",'Loan Tape (BoE)'!BV50_44,"")</f>
        <v/>
      </c>
      <c r="AS44" s="17">
        <f>IFERROR(INDEX('FF Adj Parameters'!$A$103:$B$1044,MATCH('Loan Tape (BoE)'!P44,INDEX('FF Adj Parameters'!$A$103:$B$1044,,1),0),2),"Unknown")</f>
        <v/>
      </c>
      <c r="AT44" s="17">
        <f>IF(N44="Interest Only",M5*O5/12,IF(AND(O5&gt;0,ISNUMBER(O5),ISNUMBER(M5)),ABS(PMT(O5/12,AU5,-M5)),0))</f>
        <v/>
      </c>
      <c r="AU44" s="17">
        <f>IF(ISNUMBER(L44),MAX(0,(L5-'Control Panel'!$B$10)*12/365.25),0)</f>
        <v/>
      </c>
      <c r="AV44" s="17">
        <f>IF(ISNUMBER(L44),IF(L5&gt;'Control Panel'!$B$10,"Valid","Past Maturity"),"No Date")</f>
        <v/>
      </c>
      <c r="AW44" s="17">
        <f>IF(ISNUMBER(K44),MAX(0,('Control Panel'!$B$10-K5)*12/365.25),0)</f>
        <v/>
      </c>
    </row>
    <row r="45">
      <c r="A45" s="17">
        <f>'Loan Tape (BoE)'!A46</f>
        <v/>
      </c>
      <c r="B45" s="18">
        <f>IFERROR(INDEX('FF Adj Parameters'!$A$89:$B$92,MATCH('Loan Tape (BoE)'!C45,INDEX('FF Adj Parameters'!$A$89:$B$92,,1),0),2),"Unknown")</f>
        <v/>
      </c>
      <c r="C45" s="18">
        <f>'Loan Tape (BoE)'!C46</f>
        <v/>
      </c>
      <c r="D45" s="18">
        <f>'Loan Tape (BoE)'!D46</f>
        <v/>
      </c>
      <c r="E45" s="18">
        <f>'Loan Tape (BoE)'!E46</f>
        <v/>
      </c>
      <c r="F45" s="19">
        <f>'Loan Tape (BoE)'!F46</f>
        <v/>
      </c>
      <c r="G45" s="19">
        <f>'Loan Tape (BoE)'!G46</f>
        <v/>
      </c>
      <c r="H45" s="20">
        <f>'Loan Tape (BoE)'!H46/100</f>
        <v/>
      </c>
      <c r="I45" s="17">
        <f>IFERROR(IFS('Loan Tape (BoE)'!I46=1,"House",'Loan Tape (BoE)'!I46=2,"Flat",'Loan Tape (BoE)'!I46=3,"Bungalow",'Loan Tape (BoE)'!I46=4,"Maisonette"),"")</f>
        <v/>
      </c>
      <c r="J45" s="17">
        <f>'Loan Tape (BoE)'!J46</f>
        <v/>
      </c>
      <c r="K45" s="17">
        <f>'Loan Tape (BoE)'!K46</f>
        <v/>
      </c>
      <c r="L45" s="17">
        <f>IFERROR(IFS('Loan Tape (BoE)'!L46=1,"Owner Occupied",'Loan Tape (BoE)'!L46=2,"BTL",'Loan Tape (BoE)'!L46=3,"Second Home",'Loan Tape (BoE)'!L46=4,"Investment"),"")</f>
        <v/>
      </c>
      <c r="M45" s="17">
        <f>IFERROR(IFS('Loan Tape (BoE)'!M46=1,"Purchase",'Loan Tape (BoE)'!M46=2,"Remortgage",OR('Loan Tape (BoE)'!M46=3,'Loan Tape (BoE)'!M46=4),"Cash-out"),"")</f>
        <v/>
      </c>
      <c r="N45" s="17">
        <f>IFERROR(INDEX('FF Adj Parameters'!$A$96:$B$99,MATCH('Loan Tape (BoE)'!R45,INDEX('FF Adj Parameters'!$A$96:$B$99,,1),0),2),"Unknown")</f>
        <v/>
      </c>
      <c r="O45" s="17">
        <f>IF('Loan Tape (BoE)'!O46=1,"Yes","No")</f>
        <v/>
      </c>
      <c r="P45" s="17">
        <f>IF('Loan Tape (BoE)'!P45=1,"Yes",IF('Loan Tape (BoE)'!P45=0,"No",""))</f>
        <v/>
      </c>
      <c r="Q45" s="17">
        <f>IF('Loan Tape (BoE)'!Q45=1,"Yes",IF('Loan Tape (BoE)'!Q45=0,"No",""))</f>
        <v/>
      </c>
      <c r="R45" s="18">
        <f>IF('Loan Tape (BoE)'!R45=1,"Yes",IF('Loan Tape (BoE)'!R45=0,"No",""))</f>
        <v/>
      </c>
      <c r="S45" s="18">
        <f>IF('Loan Tape (BoE)'!S45=1,"Yes",IF('Loan Tape (BoE)'!S45=0,"No",""))</f>
        <v/>
      </c>
      <c r="T45" s="17">
        <f>IF('Loan Tape (BoE)'!T45=1,"Yes",IF('Loan Tape (BoE)'!T45=0,"No",""))</f>
        <v/>
      </c>
      <c r="U45" s="18">
        <f>R45+S45</f>
        <v/>
      </c>
      <c r="V45" s="17">
        <f>IFERROR(IFS('Loan Tape (BoE)'!U46=1,"Employed",'Loan Tape (BoE)'!U46=2,"Self-Employed",'Loan Tape (BoE)'!U46=3,"Unemployed",'Loan Tape (BoE)'!U46=4,"Retired"),"")</f>
        <v/>
      </c>
      <c r="W45" s="17">
        <f>IFERROR(IFS('Loan Tape (BoE)'!V46=1,"Employed",'Loan Tape (BoE)'!V46=2,"Self-Employed",'Loan Tape (BoE)'!V46=3,"Unemployed",'Loan Tape (BoE)'!V46=4,"Retired"),"")</f>
        <v/>
      </c>
      <c r="X45" s="17">
        <f>IF(OR(V45="Self-Employed",W45="Self-Employed"),"Yes","No")</f>
        <v/>
      </c>
      <c r="Y45" s="17">
        <f>'Loan Tape (BoE)'!W46</f>
        <v/>
      </c>
      <c r="Z45" s="17">
        <f>'Loan Tape (BoE)'!X46</f>
        <v/>
      </c>
      <c r="AA45" s="17">
        <f>IF(T45=1,Y45,MIN(Y45,Z45))</f>
        <v/>
      </c>
      <c r="AB45" s="17">
        <f>'Loan Tape (BoE)'!Y46</f>
        <v/>
      </c>
      <c r="AC45" s="17">
        <f>'Loan Tape (BoE)'!Z46</f>
        <v/>
      </c>
      <c r="AD45" s="17">
        <f>AB45+AC45</f>
        <v/>
      </c>
      <c r="AE45" s="18">
        <f>'Loan Tape (BoE)'!AA46</f>
        <v/>
      </c>
      <c r="AF45" s="18">
        <f>'Loan Tape (BoE)'!AB46</f>
        <v/>
      </c>
      <c r="AG45" s="18">
        <f>AE45+AF45</f>
        <v/>
      </c>
      <c r="AH45" s="19">
        <f>MAX('Loan Tape (BoE)'!AC46,'Loan Tape (BoE)'!AD46)</f>
        <v/>
      </c>
      <c r="AI45" s="18">
        <f>'Loan Tape (BoE)'!AE46</f>
        <v/>
      </c>
      <c r="AJ45" s="18">
        <f>B45*H45/12</f>
        <v/>
      </c>
      <c r="AK45" s="21">
        <f>IF(AJ45&gt;0,AI45/AJ45,0)</f>
        <v/>
      </c>
      <c r="AL45" s="17">
        <f>IF('Loan Tape (BoE)'!AF46=1,"Yes","No")</f>
        <v/>
      </c>
      <c r="AM45" s="17">
        <f>IF('Loan Tape (BoE)'!AH46=1,"Yes","No")</f>
        <v/>
      </c>
      <c r="AN45" s="17">
        <f>IF('Loan Tape (BoE)'!AI46=1,"Yes","No")</f>
        <v/>
      </c>
      <c r="AO45" s="17">
        <f>IF('Loan Tape (BoE)'!AJ46=1,"Yes","No")</f>
        <v/>
      </c>
      <c r="AP45" s="17">
        <f>IF(OR('Loan Tape (BoE)'!AQ45=1,'Loan Tape (BoE)'!AQ45=2),"Yes",IF('Loan Tape (BoE)'!AQ45=0,"No",""))</f>
        <v/>
      </c>
      <c r="AQ45" s="17">
        <f>IF('Loan Tape (BoE)'!BV49_445&lt;&gt;"",'Loan Tape (BoE)'!BV49_45,"")</f>
        <v/>
      </c>
      <c r="AR45" s="17">
        <f>IF('Loan Tape (BoE)'!BV450_45&lt;&gt;"",'Loan Tape (BoE)'!BV50_45,"")</f>
        <v/>
      </c>
      <c r="AS45" s="17">
        <f>IFERROR(INDEX('FF Adj Parameters'!$A$103:$B$1045,MATCH('Loan Tape (BoE)'!P45,INDEX('FF Adj Parameters'!$A$103:$B$1045,,1),0),2),"Unknown")</f>
        <v/>
      </c>
      <c r="AT45" s="17">
        <f>IF(N45="Interest Only",M5*O5/12,IF(AND(O5&gt;0,ISNUMBER(O5),ISNUMBER(M5)),ABS(PMT(O5/12,AU5,-M5)),0))</f>
        <v/>
      </c>
      <c r="AU45" s="17">
        <f>IF(ISNUMBER(L45),MAX(0,(L5-'Control Panel'!$B$10)*12/365.25),0)</f>
        <v/>
      </c>
      <c r="AV45" s="17">
        <f>IF(ISNUMBER(L45),IF(L5&gt;'Control Panel'!$B$10,"Valid","Past Maturity"),"No Date")</f>
        <v/>
      </c>
      <c r="AW45" s="17">
        <f>IF(ISNUMBER(K45),MAX(0,('Control Panel'!$B$10-K5)*12/365.25),0)</f>
        <v/>
      </c>
    </row>
    <row r="46">
      <c r="A46" s="17">
        <f>'Loan Tape (BoE)'!A47</f>
        <v/>
      </c>
      <c r="B46" s="18">
        <f>IFERROR(INDEX('FF Adj Parameters'!$A$89:$B$92,MATCH('Loan Tape (BoE)'!C46,INDEX('FF Adj Parameters'!$A$89:$B$92,,1),0),2),"Unknown")</f>
        <v/>
      </c>
      <c r="C46" s="18">
        <f>'Loan Tape (BoE)'!C47</f>
        <v/>
      </c>
      <c r="D46" s="18">
        <f>'Loan Tape (BoE)'!D47</f>
        <v/>
      </c>
      <c r="E46" s="18">
        <f>'Loan Tape (BoE)'!E47</f>
        <v/>
      </c>
      <c r="F46" s="19">
        <f>'Loan Tape (BoE)'!F47</f>
        <v/>
      </c>
      <c r="G46" s="19">
        <f>'Loan Tape (BoE)'!G47</f>
        <v/>
      </c>
      <c r="H46" s="20">
        <f>'Loan Tape (BoE)'!H47/100</f>
        <v/>
      </c>
      <c r="I46" s="17">
        <f>IFERROR(IFS('Loan Tape (BoE)'!I47=1,"House",'Loan Tape (BoE)'!I47=2,"Flat",'Loan Tape (BoE)'!I47=3,"Bungalow",'Loan Tape (BoE)'!I47=4,"Maisonette"),"")</f>
        <v/>
      </c>
      <c r="J46" s="17">
        <f>'Loan Tape (BoE)'!J47</f>
        <v/>
      </c>
      <c r="K46" s="17">
        <f>'Loan Tape (BoE)'!K47</f>
        <v/>
      </c>
      <c r="L46" s="17">
        <f>IFERROR(IFS('Loan Tape (BoE)'!L47=1,"Owner Occupied",'Loan Tape (BoE)'!L47=2,"BTL",'Loan Tape (BoE)'!L47=3,"Second Home",'Loan Tape (BoE)'!L47=4,"Investment"),"")</f>
        <v/>
      </c>
      <c r="M46" s="17">
        <f>IFERROR(IFS('Loan Tape (BoE)'!M47=1,"Purchase",'Loan Tape (BoE)'!M47=2,"Remortgage",OR('Loan Tape (BoE)'!M47=3,'Loan Tape (BoE)'!M47=4),"Cash-out"),"")</f>
        <v/>
      </c>
      <c r="N46" s="17">
        <f>IFERROR(INDEX('FF Adj Parameters'!$A$96:$B$99,MATCH('Loan Tape (BoE)'!R46,INDEX('FF Adj Parameters'!$A$96:$B$99,,1),0),2),"Unknown")</f>
        <v/>
      </c>
      <c r="O46" s="17">
        <f>IF('Loan Tape (BoE)'!O47=1,"Yes","No")</f>
        <v/>
      </c>
      <c r="P46" s="17">
        <f>IF('Loan Tape (BoE)'!P46=1,"Yes",IF('Loan Tape (BoE)'!P46=0,"No",""))</f>
        <v/>
      </c>
      <c r="Q46" s="17">
        <f>IF('Loan Tape (BoE)'!Q46=1,"Yes",IF('Loan Tape (BoE)'!Q46=0,"No",""))</f>
        <v/>
      </c>
      <c r="R46" s="18">
        <f>IF('Loan Tape (BoE)'!R46=1,"Yes",IF('Loan Tape (BoE)'!R46=0,"No",""))</f>
        <v/>
      </c>
      <c r="S46" s="18">
        <f>IF('Loan Tape (BoE)'!S46=1,"Yes",IF('Loan Tape (BoE)'!S46=0,"No",""))</f>
        <v/>
      </c>
      <c r="T46" s="17">
        <f>IF('Loan Tape (BoE)'!T46=1,"Yes",IF('Loan Tape (BoE)'!T46=0,"No",""))</f>
        <v/>
      </c>
      <c r="U46" s="18">
        <f>R46+S46</f>
        <v/>
      </c>
      <c r="V46" s="17">
        <f>IFERROR(IFS('Loan Tape (BoE)'!U47=1,"Employed",'Loan Tape (BoE)'!U47=2,"Self-Employed",'Loan Tape (BoE)'!U47=3,"Unemployed",'Loan Tape (BoE)'!U47=4,"Retired"),"")</f>
        <v/>
      </c>
      <c r="W46" s="17">
        <f>IFERROR(IFS('Loan Tape (BoE)'!V47=1,"Employed",'Loan Tape (BoE)'!V47=2,"Self-Employed",'Loan Tape (BoE)'!V47=3,"Unemployed",'Loan Tape (BoE)'!V47=4,"Retired"),"")</f>
        <v/>
      </c>
      <c r="X46" s="17">
        <f>IF(OR(V46="Self-Employed",W46="Self-Employed"),"Yes","No")</f>
        <v/>
      </c>
      <c r="Y46" s="17">
        <f>'Loan Tape (BoE)'!W47</f>
        <v/>
      </c>
      <c r="Z46" s="17">
        <f>'Loan Tape (BoE)'!X47</f>
        <v/>
      </c>
      <c r="AA46" s="17">
        <f>IF(T46=1,Y46,MIN(Y46,Z46))</f>
        <v/>
      </c>
      <c r="AB46" s="17">
        <f>'Loan Tape (BoE)'!Y47</f>
        <v/>
      </c>
      <c r="AC46" s="17">
        <f>'Loan Tape (BoE)'!Z47</f>
        <v/>
      </c>
      <c r="AD46" s="17">
        <f>AB46+AC46</f>
        <v/>
      </c>
      <c r="AE46" s="18">
        <f>'Loan Tape (BoE)'!AA47</f>
        <v/>
      </c>
      <c r="AF46" s="18">
        <f>'Loan Tape (BoE)'!AB47</f>
        <v/>
      </c>
      <c r="AG46" s="18">
        <f>AE46+AF46</f>
        <v/>
      </c>
      <c r="AH46" s="19">
        <f>MAX('Loan Tape (BoE)'!AC47,'Loan Tape (BoE)'!AD47)</f>
        <v/>
      </c>
      <c r="AI46" s="18">
        <f>'Loan Tape (BoE)'!AE47</f>
        <v/>
      </c>
      <c r="AJ46" s="18">
        <f>B46*H46/12</f>
        <v/>
      </c>
      <c r="AK46" s="21">
        <f>IF(AJ46&gt;0,AI46/AJ46,0)</f>
        <v/>
      </c>
      <c r="AL46" s="17">
        <f>IF('Loan Tape (BoE)'!AF47=1,"Yes","No")</f>
        <v/>
      </c>
      <c r="AM46" s="17">
        <f>IF('Loan Tape (BoE)'!AH47=1,"Yes","No")</f>
        <v/>
      </c>
      <c r="AN46" s="17">
        <f>IF('Loan Tape (BoE)'!AI47=1,"Yes","No")</f>
        <v/>
      </c>
      <c r="AO46" s="17">
        <f>IF('Loan Tape (BoE)'!AJ47=1,"Yes","No")</f>
        <v/>
      </c>
      <c r="AP46" s="17">
        <f>IF(OR('Loan Tape (BoE)'!AQ46=1,'Loan Tape (BoE)'!AQ46=2),"Yes",IF('Loan Tape (BoE)'!AQ46=0,"No",""))</f>
        <v/>
      </c>
      <c r="AQ46" s="17">
        <f>IF('Loan Tape (BoE)'!BV49_46&lt;&gt;"",'Loan Tape (BoE)'!BV49_46,"")</f>
        <v/>
      </c>
      <c r="AR46" s="17">
        <f>IF('Loan Tape (BoE)'!BV460_46&lt;&gt;"",'Loan Tape (BoE)'!BV50_46,"")</f>
        <v/>
      </c>
      <c r="AS46" s="17">
        <f>IFERROR(INDEX('FF Adj Parameters'!$A$103:$B$1046,MATCH('Loan Tape (BoE)'!P46,INDEX('FF Adj Parameters'!$A$103:$B$1046,,1),0),2),"Unknown")</f>
        <v/>
      </c>
      <c r="AT46" s="17">
        <f>IF(N46="Interest Only",M5*O5/12,IF(AND(O5&gt;0,ISNUMBER(O5),ISNUMBER(M5)),ABS(PMT(O5/12,AU5,-M5)),0))</f>
        <v/>
      </c>
      <c r="AU46" s="17">
        <f>IF(ISNUMBER(L46),MAX(0,(L5-'Control Panel'!$B$10)*12/365.25),0)</f>
        <v/>
      </c>
      <c r="AV46" s="17">
        <f>IF(ISNUMBER(L46),IF(L5&gt;'Control Panel'!$B$10,"Valid","Past Maturity"),"No Date")</f>
        <v/>
      </c>
      <c r="AW46" s="17">
        <f>IF(ISNUMBER(K46),MAX(0,('Control Panel'!$B$10-K5)*12/365.25),0)</f>
        <v/>
      </c>
    </row>
    <row r="47">
      <c r="A47" s="17">
        <f>'Loan Tape (BoE)'!A48</f>
        <v/>
      </c>
      <c r="B47" s="18">
        <f>IFERROR(INDEX('FF Adj Parameters'!$A$89:$B$92,MATCH('Loan Tape (BoE)'!C47,INDEX('FF Adj Parameters'!$A$89:$B$92,,1),0),2),"Unknown")</f>
        <v/>
      </c>
      <c r="C47" s="18">
        <f>'Loan Tape (BoE)'!C48</f>
        <v/>
      </c>
      <c r="D47" s="18">
        <f>'Loan Tape (BoE)'!D48</f>
        <v/>
      </c>
      <c r="E47" s="18">
        <f>'Loan Tape (BoE)'!E48</f>
        <v/>
      </c>
      <c r="F47" s="19">
        <f>'Loan Tape (BoE)'!F48</f>
        <v/>
      </c>
      <c r="G47" s="19">
        <f>'Loan Tape (BoE)'!G48</f>
        <v/>
      </c>
      <c r="H47" s="20">
        <f>'Loan Tape (BoE)'!H48/100</f>
        <v/>
      </c>
      <c r="I47" s="17">
        <f>IFERROR(IFS('Loan Tape (BoE)'!I48=1,"House",'Loan Tape (BoE)'!I48=2,"Flat",'Loan Tape (BoE)'!I48=3,"Bungalow",'Loan Tape (BoE)'!I48=4,"Maisonette"),"")</f>
        <v/>
      </c>
      <c r="J47" s="17">
        <f>'Loan Tape (BoE)'!J48</f>
        <v/>
      </c>
      <c r="K47" s="17">
        <f>'Loan Tape (BoE)'!K48</f>
        <v/>
      </c>
      <c r="L47" s="17">
        <f>IFERROR(IFS('Loan Tape (BoE)'!L48=1,"Owner Occupied",'Loan Tape (BoE)'!L48=2,"BTL",'Loan Tape (BoE)'!L48=3,"Second Home",'Loan Tape (BoE)'!L48=4,"Investment"),"")</f>
        <v/>
      </c>
      <c r="M47" s="17">
        <f>IFERROR(IFS('Loan Tape (BoE)'!M48=1,"Purchase",'Loan Tape (BoE)'!M48=2,"Remortgage",OR('Loan Tape (BoE)'!M48=3,'Loan Tape (BoE)'!M48=4),"Cash-out"),"")</f>
        <v/>
      </c>
      <c r="N47" s="17">
        <f>IFERROR(INDEX('FF Adj Parameters'!$A$96:$B$99,MATCH('Loan Tape (BoE)'!R47,INDEX('FF Adj Parameters'!$A$96:$B$99,,1),0),2),"Unknown")</f>
        <v/>
      </c>
      <c r="O47" s="17">
        <f>IF('Loan Tape (BoE)'!O48=1,"Yes","No")</f>
        <v/>
      </c>
      <c r="P47" s="17">
        <f>IF('Loan Tape (BoE)'!P47=1,"Yes",IF('Loan Tape (BoE)'!P47=0,"No",""))</f>
        <v/>
      </c>
      <c r="Q47" s="17">
        <f>IF('Loan Tape (BoE)'!Q47=1,"Yes",IF('Loan Tape (BoE)'!Q47=0,"No",""))</f>
        <v/>
      </c>
      <c r="R47" s="18">
        <f>IF('Loan Tape (BoE)'!R47=1,"Yes",IF('Loan Tape (BoE)'!R47=0,"No",""))</f>
        <v/>
      </c>
      <c r="S47" s="18">
        <f>IF('Loan Tape (BoE)'!S47=1,"Yes",IF('Loan Tape (BoE)'!S47=0,"No",""))</f>
        <v/>
      </c>
      <c r="T47" s="17">
        <f>IF('Loan Tape (BoE)'!T47=1,"Yes",IF('Loan Tape (BoE)'!T47=0,"No",""))</f>
        <v/>
      </c>
      <c r="U47" s="18">
        <f>R47+S47</f>
        <v/>
      </c>
      <c r="V47" s="17">
        <f>IFERROR(IFS('Loan Tape (BoE)'!U48=1,"Employed",'Loan Tape (BoE)'!U48=2,"Self-Employed",'Loan Tape (BoE)'!U48=3,"Unemployed",'Loan Tape (BoE)'!U48=4,"Retired"),"")</f>
        <v/>
      </c>
      <c r="W47" s="17">
        <f>IFERROR(IFS('Loan Tape (BoE)'!V48=1,"Employed",'Loan Tape (BoE)'!V48=2,"Self-Employed",'Loan Tape (BoE)'!V48=3,"Unemployed",'Loan Tape (BoE)'!V48=4,"Retired"),"")</f>
        <v/>
      </c>
      <c r="X47" s="17">
        <f>IF(OR(V47="Self-Employed",W47="Self-Employed"),"Yes","No")</f>
        <v/>
      </c>
      <c r="Y47" s="17">
        <f>'Loan Tape (BoE)'!W48</f>
        <v/>
      </c>
      <c r="Z47" s="17">
        <f>'Loan Tape (BoE)'!X48</f>
        <v/>
      </c>
      <c r="AA47" s="17">
        <f>IF(T47=1,Y47,MIN(Y47,Z47))</f>
        <v/>
      </c>
      <c r="AB47" s="17">
        <f>'Loan Tape (BoE)'!Y48</f>
        <v/>
      </c>
      <c r="AC47" s="17">
        <f>'Loan Tape (BoE)'!Z48</f>
        <v/>
      </c>
      <c r="AD47" s="17">
        <f>AB47+AC47</f>
        <v/>
      </c>
      <c r="AE47" s="18">
        <f>'Loan Tape (BoE)'!AA48</f>
        <v/>
      </c>
      <c r="AF47" s="18">
        <f>'Loan Tape (BoE)'!AB48</f>
        <v/>
      </c>
      <c r="AG47" s="18">
        <f>AE47+AF47</f>
        <v/>
      </c>
      <c r="AH47" s="19">
        <f>MAX('Loan Tape (BoE)'!AC48,'Loan Tape (BoE)'!AD48)</f>
        <v/>
      </c>
      <c r="AI47" s="18">
        <f>'Loan Tape (BoE)'!AE48</f>
        <v/>
      </c>
      <c r="AJ47" s="18">
        <f>B47*H47/12</f>
        <v/>
      </c>
      <c r="AK47" s="21">
        <f>IF(AJ47&gt;0,AI47/AJ47,0)</f>
        <v/>
      </c>
      <c r="AL47" s="17">
        <f>IF('Loan Tape (BoE)'!AF48=1,"Yes","No")</f>
        <v/>
      </c>
      <c r="AM47" s="17">
        <f>IF('Loan Tape (BoE)'!AH48=1,"Yes","No")</f>
        <v/>
      </c>
      <c r="AN47" s="17">
        <f>IF('Loan Tape (BoE)'!AI48=1,"Yes","No")</f>
        <v/>
      </c>
      <c r="AO47" s="17">
        <f>IF('Loan Tape (BoE)'!AJ48=1,"Yes","No")</f>
        <v/>
      </c>
      <c r="AP47" s="17">
        <f>IF(OR('Loan Tape (BoE)'!AQ47=1,'Loan Tape (BoE)'!AQ47=2),"Yes",IF('Loan Tape (BoE)'!AQ47=0,"No",""))</f>
        <v/>
      </c>
      <c r="AQ47" s="17">
        <f>IF('Loan Tape (BoE)'!BV49_47&lt;&gt;"",'Loan Tape (BoE)'!BV49_47,"")</f>
        <v/>
      </c>
      <c r="AR47" s="17">
        <f>IF('Loan Tape (BoE)'!BV470_47&lt;&gt;"",'Loan Tape (BoE)'!BV50_47,"")</f>
        <v/>
      </c>
      <c r="AS47" s="17">
        <f>IFERROR(INDEX('FF Adj Parameters'!$A$103:$B$1047,MATCH('Loan Tape (BoE)'!P47,INDEX('FF Adj Parameters'!$A$103:$B$1047,,1),0),2),"Unknown")</f>
        <v/>
      </c>
      <c r="AT47" s="17">
        <f>IF(N47="Interest Only",M5*O5/12,IF(AND(O5&gt;0,ISNUMBER(O5),ISNUMBER(M5)),ABS(PMT(O5/12,AU5,-M5)),0))</f>
        <v/>
      </c>
      <c r="AU47" s="17">
        <f>IF(ISNUMBER(L47),MAX(0,(L5-'Control Panel'!$B$10)*12/365.25),0)</f>
        <v/>
      </c>
      <c r="AV47" s="17">
        <f>IF(ISNUMBER(L47),IF(L5&gt;'Control Panel'!$B$10,"Valid","Past Maturity"),"No Date")</f>
        <v/>
      </c>
      <c r="AW47" s="17">
        <f>IF(ISNUMBER(K47),MAX(0,('Control Panel'!$B$10-K5)*12/365.25),0)</f>
        <v/>
      </c>
    </row>
    <row r="48">
      <c r="A48" s="17">
        <f>'Loan Tape (BoE)'!A49</f>
        <v/>
      </c>
      <c r="B48" s="18">
        <f>IFERROR(INDEX('FF Adj Parameters'!$A$89:$B$92,MATCH('Loan Tape (BoE)'!C48,INDEX('FF Adj Parameters'!$A$89:$B$92,,1),0),2),"Unknown")</f>
        <v/>
      </c>
      <c r="C48" s="18">
        <f>'Loan Tape (BoE)'!C49</f>
        <v/>
      </c>
      <c r="D48" s="18">
        <f>'Loan Tape (BoE)'!D49</f>
        <v/>
      </c>
      <c r="E48" s="18">
        <f>'Loan Tape (BoE)'!E49</f>
        <v/>
      </c>
      <c r="F48" s="19">
        <f>'Loan Tape (BoE)'!F49</f>
        <v/>
      </c>
      <c r="G48" s="19">
        <f>'Loan Tape (BoE)'!G49</f>
        <v/>
      </c>
      <c r="H48" s="20">
        <f>'Loan Tape (BoE)'!H49/100</f>
        <v/>
      </c>
      <c r="I48" s="17">
        <f>IFERROR(IFS('Loan Tape (BoE)'!I49=1,"House",'Loan Tape (BoE)'!I49=2,"Flat",'Loan Tape (BoE)'!I49=3,"Bungalow",'Loan Tape (BoE)'!I49=4,"Maisonette"),"")</f>
        <v/>
      </c>
      <c r="J48" s="17">
        <f>'Loan Tape (BoE)'!J49</f>
        <v/>
      </c>
      <c r="K48" s="17">
        <f>'Loan Tape (BoE)'!K49</f>
        <v/>
      </c>
      <c r="L48" s="17">
        <f>IFERROR(IFS('Loan Tape (BoE)'!L49=1,"Owner Occupied",'Loan Tape (BoE)'!L49=2,"BTL",'Loan Tape (BoE)'!L49=3,"Second Home",'Loan Tape (BoE)'!L49=4,"Investment"),"")</f>
        <v/>
      </c>
      <c r="M48" s="17">
        <f>IFERROR(IFS('Loan Tape (BoE)'!M49=1,"Purchase",'Loan Tape (BoE)'!M49=2,"Remortgage",OR('Loan Tape (BoE)'!M49=3,'Loan Tape (BoE)'!M49=4),"Cash-out"),"")</f>
        <v/>
      </c>
      <c r="N48" s="17">
        <f>IFERROR(INDEX('FF Adj Parameters'!$A$96:$B$99,MATCH('Loan Tape (BoE)'!R48,INDEX('FF Adj Parameters'!$A$96:$B$99,,1),0),2),"Unknown")</f>
        <v/>
      </c>
      <c r="O48" s="17">
        <f>IF('Loan Tape (BoE)'!O49=1,"Yes","No")</f>
        <v/>
      </c>
      <c r="P48" s="17">
        <f>IF('Loan Tape (BoE)'!P48=1,"Yes",IF('Loan Tape (BoE)'!P48=0,"No",""))</f>
        <v/>
      </c>
      <c r="Q48" s="17">
        <f>IF('Loan Tape (BoE)'!Q48=1,"Yes",IF('Loan Tape (BoE)'!Q48=0,"No",""))</f>
        <v/>
      </c>
      <c r="R48" s="18">
        <f>IF('Loan Tape (BoE)'!R48=1,"Yes",IF('Loan Tape (BoE)'!R48=0,"No",""))</f>
        <v/>
      </c>
      <c r="S48" s="18">
        <f>IF('Loan Tape (BoE)'!S48=1,"Yes",IF('Loan Tape (BoE)'!S48=0,"No",""))</f>
        <v/>
      </c>
      <c r="T48" s="17">
        <f>IF('Loan Tape (BoE)'!T48=1,"Yes",IF('Loan Tape (BoE)'!T48=0,"No",""))</f>
        <v/>
      </c>
      <c r="U48" s="18">
        <f>R48+S48</f>
        <v/>
      </c>
      <c r="V48" s="17">
        <f>IFERROR(IFS('Loan Tape (BoE)'!U49=1,"Employed",'Loan Tape (BoE)'!U49=2,"Self-Employed",'Loan Tape (BoE)'!U49=3,"Unemployed",'Loan Tape (BoE)'!U49=4,"Retired"),"")</f>
        <v/>
      </c>
      <c r="W48" s="17">
        <f>IFERROR(IFS('Loan Tape (BoE)'!V49=1,"Employed",'Loan Tape (BoE)'!V49=2,"Self-Employed",'Loan Tape (BoE)'!V49=3,"Unemployed",'Loan Tape (BoE)'!V49=4,"Retired"),"")</f>
        <v/>
      </c>
      <c r="X48" s="17">
        <f>IF(OR(V48="Self-Employed",W48="Self-Employed"),"Yes","No")</f>
        <v/>
      </c>
      <c r="Y48" s="17">
        <f>'Loan Tape (BoE)'!W49</f>
        <v/>
      </c>
      <c r="Z48" s="17">
        <f>'Loan Tape (BoE)'!X49</f>
        <v/>
      </c>
      <c r="AA48" s="17">
        <f>IF(T48=1,Y48,MIN(Y48,Z48))</f>
        <v/>
      </c>
      <c r="AB48" s="17">
        <f>'Loan Tape (BoE)'!Y49</f>
        <v/>
      </c>
      <c r="AC48" s="17">
        <f>'Loan Tape (BoE)'!Z49</f>
        <v/>
      </c>
      <c r="AD48" s="17">
        <f>AB48+AC48</f>
        <v/>
      </c>
      <c r="AE48" s="18">
        <f>'Loan Tape (BoE)'!AA49</f>
        <v/>
      </c>
      <c r="AF48" s="18">
        <f>'Loan Tape (BoE)'!AB49</f>
        <v/>
      </c>
      <c r="AG48" s="18">
        <f>AE48+AF48</f>
        <v/>
      </c>
      <c r="AH48" s="19">
        <f>MAX('Loan Tape (BoE)'!AC49,'Loan Tape (BoE)'!AD49)</f>
        <v/>
      </c>
      <c r="AI48" s="18">
        <f>'Loan Tape (BoE)'!AE49</f>
        <v/>
      </c>
      <c r="AJ48" s="18">
        <f>B48*H48/12</f>
        <v/>
      </c>
      <c r="AK48" s="21">
        <f>IF(AJ48&gt;0,AI48/AJ48,0)</f>
        <v/>
      </c>
      <c r="AL48" s="17">
        <f>IF('Loan Tape (BoE)'!AF49=1,"Yes","No")</f>
        <v/>
      </c>
      <c r="AM48" s="17">
        <f>IF('Loan Tape (BoE)'!AH49=1,"Yes","No")</f>
        <v/>
      </c>
      <c r="AN48" s="17">
        <f>IF('Loan Tape (BoE)'!AI49=1,"Yes","No")</f>
        <v/>
      </c>
      <c r="AO48" s="17">
        <f>IF('Loan Tape (BoE)'!AJ49=1,"Yes","No")</f>
        <v/>
      </c>
      <c r="AP48" s="17">
        <f>IF(OR('Loan Tape (BoE)'!AQ48=1,'Loan Tape (BoE)'!AQ48=2),"Yes",IF('Loan Tape (BoE)'!AQ48=0,"No",""))</f>
        <v/>
      </c>
      <c r="AQ48" s="17">
        <f>IF('Loan Tape (BoE)'!BV49_48&lt;&gt;"",'Loan Tape (BoE)'!BV49_48,"")</f>
        <v/>
      </c>
      <c r="AR48" s="17">
        <f>IF('Loan Tape (BoE)'!BV480_48&lt;&gt;"",'Loan Tape (BoE)'!BV50_48,"")</f>
        <v/>
      </c>
      <c r="AS48" s="17">
        <f>IFERROR(INDEX('FF Adj Parameters'!$A$103:$B$1048,MATCH('Loan Tape (BoE)'!P48,INDEX('FF Adj Parameters'!$A$103:$B$1048,,1),0),2),"Unknown")</f>
        <v/>
      </c>
      <c r="AT48" s="17">
        <f>IF(N48="Interest Only",M5*O5/12,IF(AND(O5&gt;0,ISNUMBER(O5),ISNUMBER(M5)),ABS(PMT(O5/12,AU5,-M5)),0))</f>
        <v/>
      </c>
      <c r="AU48" s="17">
        <f>IF(ISNUMBER(L48),MAX(0,(L5-'Control Panel'!$B$10)*12/365.25),0)</f>
        <v/>
      </c>
      <c r="AV48" s="17">
        <f>IF(ISNUMBER(L48),IF(L5&gt;'Control Panel'!$B$10,"Valid","Past Maturity"),"No Date")</f>
        <v/>
      </c>
      <c r="AW48" s="17">
        <f>IF(ISNUMBER(K48),MAX(0,('Control Panel'!$B$10-K5)*12/365.25),0)</f>
        <v/>
      </c>
    </row>
    <row r="49">
      <c r="A49" s="17">
        <f>'Loan Tape (BoE)'!A50</f>
        <v/>
      </c>
      <c r="B49" s="18">
        <f>IFERROR(INDEX('FF Adj Parameters'!$A$89:$B$92,MATCH('Loan Tape (BoE)'!C49,INDEX('FF Adj Parameters'!$A$89:$B$92,,1),0),2),"Unknown")</f>
        <v/>
      </c>
      <c r="C49" s="18">
        <f>'Loan Tape (BoE)'!C50</f>
        <v/>
      </c>
      <c r="D49" s="18">
        <f>'Loan Tape (BoE)'!D50</f>
        <v/>
      </c>
      <c r="E49" s="18">
        <f>'Loan Tape (BoE)'!E50</f>
        <v/>
      </c>
      <c r="F49" s="19">
        <f>'Loan Tape (BoE)'!F50</f>
        <v/>
      </c>
      <c r="G49" s="19">
        <f>'Loan Tape (BoE)'!G50</f>
        <v/>
      </c>
      <c r="H49" s="20">
        <f>'Loan Tape (BoE)'!H50/100</f>
        <v/>
      </c>
      <c r="I49" s="17">
        <f>IFERROR(IFS('Loan Tape (BoE)'!I50=1,"House",'Loan Tape (BoE)'!I50=2,"Flat",'Loan Tape (BoE)'!I50=3,"Bungalow",'Loan Tape (BoE)'!I50=4,"Maisonette"),"")</f>
        <v/>
      </c>
      <c r="J49" s="17">
        <f>'Loan Tape (BoE)'!J50</f>
        <v/>
      </c>
      <c r="K49" s="17">
        <f>'Loan Tape (BoE)'!K50</f>
        <v/>
      </c>
      <c r="L49" s="17">
        <f>IFERROR(IFS('Loan Tape (BoE)'!L50=1,"Owner Occupied",'Loan Tape (BoE)'!L50=2,"BTL",'Loan Tape (BoE)'!L50=3,"Second Home",'Loan Tape (BoE)'!L50=4,"Investment"),"")</f>
        <v/>
      </c>
      <c r="M49" s="17">
        <f>IFERROR(IFS('Loan Tape (BoE)'!M50=1,"Purchase",'Loan Tape (BoE)'!M50=2,"Remortgage",OR('Loan Tape (BoE)'!M50=3,'Loan Tape (BoE)'!M50=4),"Cash-out"),"")</f>
        <v/>
      </c>
      <c r="N49" s="17">
        <f>IFERROR(INDEX('FF Adj Parameters'!$A$96:$B$99,MATCH('Loan Tape (BoE)'!R49,INDEX('FF Adj Parameters'!$A$96:$B$99,,1),0),2),"Unknown")</f>
        <v/>
      </c>
      <c r="O49" s="17">
        <f>IF('Loan Tape (BoE)'!O50=1,"Yes","No")</f>
        <v/>
      </c>
      <c r="P49" s="17">
        <f>IF('Loan Tape (BoE)'!P49=1,"Yes",IF('Loan Tape (BoE)'!P49=0,"No",""))</f>
        <v/>
      </c>
      <c r="Q49" s="17">
        <f>IF('Loan Tape (BoE)'!Q49=1,"Yes",IF('Loan Tape (BoE)'!Q49=0,"No",""))</f>
        <v/>
      </c>
      <c r="R49" s="18">
        <f>IF('Loan Tape (BoE)'!R49=1,"Yes",IF('Loan Tape (BoE)'!R49=0,"No",""))</f>
        <v/>
      </c>
      <c r="S49" s="18">
        <f>IF('Loan Tape (BoE)'!S49=1,"Yes",IF('Loan Tape (BoE)'!S49=0,"No",""))</f>
        <v/>
      </c>
      <c r="T49" s="17">
        <f>IF('Loan Tape (BoE)'!T49=1,"Yes",IF('Loan Tape (BoE)'!T49=0,"No",""))</f>
        <v/>
      </c>
      <c r="U49" s="18">
        <f>R49+S49</f>
        <v/>
      </c>
      <c r="V49" s="17">
        <f>IFERROR(IFS('Loan Tape (BoE)'!U50=1,"Employed",'Loan Tape (BoE)'!U50=2,"Self-Employed",'Loan Tape (BoE)'!U50=3,"Unemployed",'Loan Tape (BoE)'!U50=4,"Retired"),"")</f>
        <v/>
      </c>
      <c r="W49" s="17">
        <f>IFERROR(IFS('Loan Tape (BoE)'!V50=1,"Employed",'Loan Tape (BoE)'!V50=2,"Self-Employed",'Loan Tape (BoE)'!V50=3,"Unemployed",'Loan Tape (BoE)'!V50=4,"Retired"),"")</f>
        <v/>
      </c>
      <c r="X49" s="17">
        <f>IF(OR(V49="Self-Employed",W49="Self-Employed"),"Yes","No")</f>
        <v/>
      </c>
      <c r="Y49" s="17">
        <f>'Loan Tape (BoE)'!W50</f>
        <v/>
      </c>
      <c r="Z49" s="17">
        <f>'Loan Tape (BoE)'!X50</f>
        <v/>
      </c>
      <c r="AA49" s="17">
        <f>IF(T49=1,Y49,MIN(Y49,Z49))</f>
        <v/>
      </c>
      <c r="AB49" s="17">
        <f>'Loan Tape (BoE)'!Y50</f>
        <v/>
      </c>
      <c r="AC49" s="17">
        <f>'Loan Tape (BoE)'!Z50</f>
        <v/>
      </c>
      <c r="AD49" s="17">
        <f>AB49+AC49</f>
        <v/>
      </c>
      <c r="AE49" s="18">
        <f>'Loan Tape (BoE)'!AA50</f>
        <v/>
      </c>
      <c r="AF49" s="18">
        <f>'Loan Tape (BoE)'!AB50</f>
        <v/>
      </c>
      <c r="AG49" s="18">
        <f>AE49+AF49</f>
        <v/>
      </c>
      <c r="AH49" s="19">
        <f>MAX('Loan Tape (BoE)'!AC50,'Loan Tape (BoE)'!AD50)</f>
        <v/>
      </c>
      <c r="AI49" s="18">
        <f>'Loan Tape (BoE)'!AE50</f>
        <v/>
      </c>
      <c r="AJ49" s="18">
        <f>B49*H49/12</f>
        <v/>
      </c>
      <c r="AK49" s="21">
        <f>IF(AJ49&gt;0,AI49/AJ49,0)</f>
        <v/>
      </c>
      <c r="AL49" s="17">
        <f>IF('Loan Tape (BoE)'!AF50=1,"Yes","No")</f>
        <v/>
      </c>
      <c r="AM49" s="17">
        <f>IF('Loan Tape (BoE)'!AH50=1,"Yes","No")</f>
        <v/>
      </c>
      <c r="AN49" s="17">
        <f>IF('Loan Tape (BoE)'!AI50=1,"Yes","No")</f>
        <v/>
      </c>
      <c r="AO49" s="17">
        <f>IF('Loan Tape (BoE)'!AJ50=1,"Yes","No")</f>
        <v/>
      </c>
      <c r="AP49" s="17">
        <f>IF(OR('Loan Tape (BoE)'!AQ49=1,'Loan Tape (BoE)'!AQ49=2),"Yes",IF('Loan Tape (BoE)'!AQ49=0,"No",""))</f>
        <v/>
      </c>
      <c r="AQ49" s="17">
        <f>IF('Loan Tape (BoE)'!BV49_49&lt;&gt;"",'Loan Tape (BoE)'!BV49_49,"")</f>
        <v/>
      </c>
      <c r="AR49" s="17">
        <f>IF('Loan Tape (BoE)'!BV490_49&lt;&gt;"",'Loan Tape (BoE)'!BV50_49,"")</f>
        <v/>
      </c>
      <c r="AS49" s="17">
        <f>IFERROR(INDEX('FF Adj Parameters'!$A$103:$B$1049,MATCH('Loan Tape (BoE)'!P49,INDEX('FF Adj Parameters'!$A$103:$B$1049,,1),0),2),"Unknown")</f>
        <v/>
      </c>
      <c r="AT49" s="17">
        <f>IF(N49="Interest Only",M5*O5/12,IF(AND(O5&gt;0,ISNUMBER(O5),ISNUMBER(M5)),ABS(PMT(O5/12,AU5,-M5)),0))</f>
        <v/>
      </c>
      <c r="AU49" s="17">
        <f>IF(ISNUMBER(L49),MAX(0,(L5-'Control Panel'!$B$10)*12/365.25),0)</f>
        <v/>
      </c>
      <c r="AV49" s="17">
        <f>IF(ISNUMBER(L49),IF(L5&gt;'Control Panel'!$B$10,"Valid","Past Maturity"),"No Date")</f>
        <v/>
      </c>
      <c r="AW49" s="17">
        <f>IF(ISNUMBER(K49),MAX(0,('Control Panel'!$B$10-K5)*12/365.25),0)</f>
        <v/>
      </c>
    </row>
    <row r="50">
      <c r="A50" s="17">
        <f>'Loan Tape (BoE)'!A51</f>
        <v/>
      </c>
      <c r="B50" s="18">
        <f>IFERROR(INDEX('FF Adj Parameters'!$A$89:$B$92,MATCH('Loan Tape (BoE)'!C50,INDEX('FF Adj Parameters'!$A$89:$B$92,,1),0),2),"Unknown")</f>
        <v/>
      </c>
      <c r="C50" s="18">
        <f>'Loan Tape (BoE)'!C51</f>
        <v/>
      </c>
      <c r="D50" s="18">
        <f>'Loan Tape (BoE)'!D51</f>
        <v/>
      </c>
      <c r="E50" s="18">
        <f>'Loan Tape (BoE)'!E51</f>
        <v/>
      </c>
      <c r="F50" s="19">
        <f>'Loan Tape (BoE)'!F51</f>
        <v/>
      </c>
      <c r="G50" s="19">
        <f>'Loan Tape (BoE)'!G51</f>
        <v/>
      </c>
      <c r="H50" s="20">
        <f>'Loan Tape (BoE)'!H51/100</f>
        <v/>
      </c>
      <c r="I50" s="17">
        <f>IFERROR(IFS('Loan Tape (BoE)'!I51=1,"House",'Loan Tape (BoE)'!I51=2,"Flat",'Loan Tape (BoE)'!I51=3,"Bungalow",'Loan Tape (BoE)'!I51=4,"Maisonette"),"")</f>
        <v/>
      </c>
      <c r="J50" s="17">
        <f>'Loan Tape (BoE)'!J51</f>
        <v/>
      </c>
      <c r="K50" s="17">
        <f>'Loan Tape (BoE)'!K51</f>
        <v/>
      </c>
      <c r="L50" s="17">
        <f>IFERROR(IFS('Loan Tape (BoE)'!L51=1,"Owner Occupied",'Loan Tape (BoE)'!L51=2,"BTL",'Loan Tape (BoE)'!L51=3,"Second Home",'Loan Tape (BoE)'!L51=4,"Investment"),"")</f>
        <v/>
      </c>
      <c r="M50" s="17">
        <f>IFERROR(IFS('Loan Tape (BoE)'!M51=1,"Purchase",'Loan Tape (BoE)'!M51=2,"Remortgage",OR('Loan Tape (BoE)'!M51=3,'Loan Tape (BoE)'!M51=4),"Cash-out"),"")</f>
        <v/>
      </c>
      <c r="N50" s="17">
        <f>IFERROR(INDEX('FF Adj Parameters'!$A$96:$B$99,MATCH('Loan Tape (BoE)'!R50,INDEX('FF Adj Parameters'!$A$96:$B$99,,1),0),2),"Unknown")</f>
        <v/>
      </c>
      <c r="O50" s="17">
        <f>IF('Loan Tape (BoE)'!O51=1,"Yes","No")</f>
        <v/>
      </c>
      <c r="P50" s="17">
        <f>IF('Loan Tape (BoE)'!P50=1,"Yes",IF('Loan Tape (BoE)'!P50=0,"No",""))</f>
        <v/>
      </c>
      <c r="Q50" s="17">
        <f>IF('Loan Tape (BoE)'!Q50=1,"Yes",IF('Loan Tape (BoE)'!Q50=0,"No",""))</f>
        <v/>
      </c>
      <c r="R50" s="18">
        <f>IF('Loan Tape (BoE)'!R50=1,"Yes",IF('Loan Tape (BoE)'!R50=0,"No",""))</f>
        <v/>
      </c>
      <c r="S50" s="18">
        <f>IF('Loan Tape (BoE)'!S50=1,"Yes",IF('Loan Tape (BoE)'!S50=0,"No",""))</f>
        <v/>
      </c>
      <c r="T50" s="17">
        <f>IF('Loan Tape (BoE)'!T50=1,"Yes",IF('Loan Tape (BoE)'!T50=0,"No",""))</f>
        <v/>
      </c>
      <c r="U50" s="18">
        <f>R50+S50</f>
        <v/>
      </c>
      <c r="V50" s="17">
        <f>IFERROR(IFS('Loan Tape (BoE)'!U51=1,"Employed",'Loan Tape (BoE)'!U51=2,"Self-Employed",'Loan Tape (BoE)'!U51=3,"Unemployed",'Loan Tape (BoE)'!U51=4,"Retired"),"")</f>
        <v/>
      </c>
      <c r="W50" s="17">
        <f>IFERROR(IFS('Loan Tape (BoE)'!V51=1,"Employed",'Loan Tape (BoE)'!V51=2,"Self-Employed",'Loan Tape (BoE)'!V51=3,"Unemployed",'Loan Tape (BoE)'!V51=4,"Retired"),"")</f>
        <v/>
      </c>
      <c r="X50" s="17">
        <f>IF(OR(V50="Self-Employed",W50="Self-Employed"),"Yes","No")</f>
        <v/>
      </c>
      <c r="Y50" s="17">
        <f>'Loan Tape (BoE)'!W51</f>
        <v/>
      </c>
      <c r="Z50" s="17">
        <f>'Loan Tape (BoE)'!X51</f>
        <v/>
      </c>
      <c r="AA50" s="17">
        <f>IF(T50=1,Y50,MIN(Y50,Z50))</f>
        <v/>
      </c>
      <c r="AB50" s="17">
        <f>'Loan Tape (BoE)'!Y51</f>
        <v/>
      </c>
      <c r="AC50" s="17">
        <f>'Loan Tape (BoE)'!Z51</f>
        <v/>
      </c>
      <c r="AD50" s="17">
        <f>AB50+AC50</f>
        <v/>
      </c>
      <c r="AE50" s="18">
        <f>'Loan Tape (BoE)'!AA51</f>
        <v/>
      </c>
      <c r="AF50" s="18">
        <f>'Loan Tape (BoE)'!AB51</f>
        <v/>
      </c>
      <c r="AG50" s="18">
        <f>AE50+AF50</f>
        <v/>
      </c>
      <c r="AH50" s="19">
        <f>MAX('Loan Tape (BoE)'!AC51,'Loan Tape (BoE)'!AD51)</f>
        <v/>
      </c>
      <c r="AI50" s="18">
        <f>'Loan Tape (BoE)'!AE51</f>
        <v/>
      </c>
      <c r="AJ50" s="18">
        <f>B50*H50/12</f>
        <v/>
      </c>
      <c r="AK50" s="21">
        <f>IF(AJ50&gt;0,AI50/AJ50,0)</f>
        <v/>
      </c>
      <c r="AL50" s="17">
        <f>IF('Loan Tape (BoE)'!AF51=1,"Yes","No")</f>
        <v/>
      </c>
      <c r="AM50" s="17">
        <f>IF('Loan Tape (BoE)'!AH51=1,"Yes","No")</f>
        <v/>
      </c>
      <c r="AN50" s="17">
        <f>IF('Loan Tape (BoE)'!AI51=1,"Yes","No")</f>
        <v/>
      </c>
      <c r="AO50" s="17">
        <f>IF('Loan Tape (BoE)'!AJ51=1,"Yes","No")</f>
        <v/>
      </c>
      <c r="AP50" s="17">
        <f>IF(OR('Loan Tape (BoE)'!AQ50=1,'Loan Tape (BoE)'!AQ50=2),"Yes",IF('Loan Tape (BoE)'!AQ50=0,"No",""))</f>
        <v/>
      </c>
      <c r="AQ50" s="17">
        <f>IF('Loan Tape (BoE)'!BV49_500&lt;&gt;"",'Loan Tape (BoE)'!BV49_50,"")</f>
        <v/>
      </c>
      <c r="AR50" s="17">
        <f>IF('Loan Tape (BoE)'!BV500_50&lt;&gt;"",'Loan Tape (BoE)'!BV50_50,"")</f>
        <v/>
      </c>
      <c r="AS50" s="17">
        <f>IFERROR(INDEX('FF Adj Parameters'!$A$103:$B$1050,MATCH('Loan Tape (BoE)'!P50,INDEX('FF Adj Parameters'!$A$103:$B$1050,,1),0),2),"Unknown")</f>
        <v/>
      </c>
      <c r="AT50" s="17">
        <f>IF(N50="Interest Only",M5*O5/12,IF(AND(O5&gt;0,ISNUMBER(O5),ISNUMBER(M5)),ABS(PMT(O5/12,AU5,-M5)),0))</f>
        <v/>
      </c>
      <c r="AU50" s="17">
        <f>IF(ISNUMBER(L50),MAX(0,(L5-'Control Panel'!$B$10)*12/365.25),0)</f>
        <v/>
      </c>
      <c r="AV50" s="17">
        <f>IF(ISNUMBER(L50),IF(L5&gt;'Control Panel'!$B$10,"Valid","Past Maturity"),"No Date")</f>
        <v/>
      </c>
      <c r="AW50" s="17">
        <f>IF(ISNUMBER(K50),MAX(0,('Control Panel'!$B$10-K5)*12/365.25),0)</f>
        <v/>
      </c>
    </row>
    <row r="51">
      <c r="A51" s="17">
        <f>'Loan Tape (BoE)'!A52</f>
        <v/>
      </c>
      <c r="B51" s="18">
        <f>IFERROR(INDEX('FF Adj Parameters'!$A$89:$B$92,MATCH('Loan Tape (BoE)'!C51,INDEX('FF Adj Parameters'!$A$89:$B$92,,1),0),2),"Unknown")</f>
        <v/>
      </c>
      <c r="C51" s="18">
        <f>'Loan Tape (BoE)'!C52</f>
        <v/>
      </c>
      <c r="D51" s="18">
        <f>'Loan Tape (BoE)'!D52</f>
        <v/>
      </c>
      <c r="E51" s="18">
        <f>'Loan Tape (BoE)'!E52</f>
        <v/>
      </c>
      <c r="F51" s="19">
        <f>'Loan Tape (BoE)'!F52</f>
        <v/>
      </c>
      <c r="G51" s="19">
        <f>'Loan Tape (BoE)'!G52</f>
        <v/>
      </c>
      <c r="H51" s="20">
        <f>'Loan Tape (BoE)'!H52/100</f>
        <v/>
      </c>
      <c r="I51" s="17">
        <f>IFERROR(IFS('Loan Tape (BoE)'!I52=1,"House",'Loan Tape (BoE)'!I52=2,"Flat",'Loan Tape (BoE)'!I52=3,"Bungalow",'Loan Tape (BoE)'!I52=4,"Maisonette"),"")</f>
        <v/>
      </c>
      <c r="J51" s="17">
        <f>'Loan Tape (BoE)'!J52</f>
        <v/>
      </c>
      <c r="K51" s="17">
        <f>'Loan Tape (BoE)'!K52</f>
        <v/>
      </c>
      <c r="L51" s="17">
        <f>IFERROR(IFS('Loan Tape (BoE)'!L52=1,"Owner Occupied",'Loan Tape (BoE)'!L52=2,"BTL",'Loan Tape (BoE)'!L52=3,"Second Home",'Loan Tape (BoE)'!L52=4,"Investment"),"")</f>
        <v/>
      </c>
      <c r="M51" s="17">
        <f>IFERROR(IFS('Loan Tape (BoE)'!M52=1,"Purchase",'Loan Tape (BoE)'!M52=2,"Remortgage",OR('Loan Tape (BoE)'!M52=3,'Loan Tape (BoE)'!M52=4),"Cash-out"),"")</f>
        <v/>
      </c>
      <c r="N51" s="17">
        <f>IFERROR(INDEX('FF Adj Parameters'!$A$96:$B$99,MATCH('Loan Tape (BoE)'!R51,INDEX('FF Adj Parameters'!$A$96:$B$99,,1),0),2),"Unknown")</f>
        <v/>
      </c>
      <c r="O51" s="17">
        <f>IF('Loan Tape (BoE)'!O52=1,"Yes","No")</f>
        <v/>
      </c>
      <c r="P51" s="17">
        <f>IF('Loan Tape (BoE)'!P51=1,"Yes",IF('Loan Tape (BoE)'!P51=0,"No",""))</f>
        <v/>
      </c>
      <c r="Q51" s="17">
        <f>IF('Loan Tape (BoE)'!Q51=1,"Yes",IF('Loan Tape (BoE)'!Q51=0,"No",""))</f>
        <v/>
      </c>
      <c r="R51" s="18">
        <f>IF('Loan Tape (BoE)'!R51=1,"Yes",IF('Loan Tape (BoE)'!R51=0,"No",""))</f>
        <v/>
      </c>
      <c r="S51" s="18">
        <f>IF('Loan Tape (BoE)'!S51=1,"Yes",IF('Loan Tape (BoE)'!S51=0,"No",""))</f>
        <v/>
      </c>
      <c r="T51" s="17">
        <f>IF('Loan Tape (BoE)'!T51=1,"Yes",IF('Loan Tape (BoE)'!T51=0,"No",""))</f>
        <v/>
      </c>
      <c r="U51" s="18">
        <f>R51+S51</f>
        <v/>
      </c>
      <c r="V51" s="17">
        <f>IFERROR(IFS('Loan Tape (BoE)'!U52=1,"Employed",'Loan Tape (BoE)'!U52=2,"Self-Employed",'Loan Tape (BoE)'!U52=3,"Unemployed",'Loan Tape (BoE)'!U52=4,"Retired"),"")</f>
        <v/>
      </c>
      <c r="W51" s="17">
        <f>IFERROR(IFS('Loan Tape (BoE)'!V52=1,"Employed",'Loan Tape (BoE)'!V52=2,"Self-Employed",'Loan Tape (BoE)'!V52=3,"Unemployed",'Loan Tape (BoE)'!V52=4,"Retired"),"")</f>
        <v/>
      </c>
      <c r="X51" s="17">
        <f>IF(OR(V51="Self-Employed",W51="Self-Employed"),"Yes","No")</f>
        <v/>
      </c>
      <c r="Y51" s="17">
        <f>'Loan Tape (BoE)'!W52</f>
        <v/>
      </c>
      <c r="Z51" s="17">
        <f>'Loan Tape (BoE)'!X52</f>
        <v/>
      </c>
      <c r="AA51" s="17">
        <f>IF(T51=1,Y51,MIN(Y51,Z51))</f>
        <v/>
      </c>
      <c r="AB51" s="17">
        <f>'Loan Tape (BoE)'!Y52</f>
        <v/>
      </c>
      <c r="AC51" s="17">
        <f>'Loan Tape (BoE)'!Z52</f>
        <v/>
      </c>
      <c r="AD51" s="17">
        <f>AB51+AC51</f>
        <v/>
      </c>
      <c r="AE51" s="18">
        <f>'Loan Tape (BoE)'!AA52</f>
        <v/>
      </c>
      <c r="AF51" s="18">
        <f>'Loan Tape (BoE)'!AB52</f>
        <v/>
      </c>
      <c r="AG51" s="18">
        <f>AE51+AF51</f>
        <v/>
      </c>
      <c r="AH51" s="19">
        <f>MAX('Loan Tape (BoE)'!AC52,'Loan Tape (BoE)'!AD52)</f>
        <v/>
      </c>
      <c r="AI51" s="18">
        <f>'Loan Tape (BoE)'!AE52</f>
        <v/>
      </c>
      <c r="AJ51" s="18">
        <f>B51*H51/12</f>
        <v/>
      </c>
      <c r="AK51" s="21">
        <f>IF(AJ51&gt;0,AI51/AJ51,0)</f>
        <v/>
      </c>
      <c r="AL51" s="17">
        <f>IF('Loan Tape (BoE)'!AF52=1,"Yes","No")</f>
        <v/>
      </c>
      <c r="AM51" s="17">
        <f>IF('Loan Tape (BoE)'!AH52=1,"Yes","No")</f>
        <v/>
      </c>
      <c r="AN51" s="17">
        <f>IF('Loan Tape (BoE)'!AI52=1,"Yes","No")</f>
        <v/>
      </c>
      <c r="AO51" s="17">
        <f>IF('Loan Tape (BoE)'!AJ52=1,"Yes","No")</f>
        <v/>
      </c>
      <c r="AP51" s="17">
        <f>IF(OR('Loan Tape (BoE)'!AQ51=1,'Loan Tape (BoE)'!AQ51=2),"Yes",IF('Loan Tape (BoE)'!AQ51=0,"No",""))</f>
        <v/>
      </c>
      <c r="AQ51" s="17">
        <f>IF('Loan Tape (BoE)'!BV49_511&lt;&gt;"",'Loan Tape (BoE)'!BV49_51,"")</f>
        <v/>
      </c>
      <c r="AR51" s="17">
        <f>IF('Loan Tape (BoE)'!BV510_51&lt;&gt;"",'Loan Tape (BoE)'!BV50_51,"")</f>
        <v/>
      </c>
      <c r="AS51" s="17">
        <f>IFERROR(INDEX('FF Adj Parameters'!$A$103:$B$1051,MATCH('Loan Tape (BoE)'!P51,INDEX('FF Adj Parameters'!$A$103:$B$1051,,1),0),2),"Unknown")</f>
        <v/>
      </c>
      <c r="AT51" s="17">
        <f>IF(N51="Interest Only",M5*O5/12,IF(AND(O5&gt;0,ISNUMBER(O5),ISNUMBER(M5)),ABS(PMT(O5/12,AU5,-M5)),0))</f>
        <v/>
      </c>
      <c r="AU51" s="17">
        <f>IF(ISNUMBER(L51),MAX(0,(L5-'Control Panel'!$B$10)*12/365.25),0)</f>
        <v/>
      </c>
      <c r="AV51" s="17">
        <f>IF(ISNUMBER(L51),IF(L5&gt;'Control Panel'!$B$10,"Valid","Past Maturity"),"No Date")</f>
        <v/>
      </c>
      <c r="AW51" s="17">
        <f>IF(ISNUMBER(K51),MAX(0,('Control Panel'!$B$10-K5)*12/365.25),0)</f>
        <v/>
      </c>
    </row>
    <row r="52">
      <c r="A52" s="17">
        <f>'Loan Tape (BoE)'!A53</f>
        <v/>
      </c>
      <c r="B52" s="18">
        <f>IFERROR(INDEX('FF Adj Parameters'!$A$89:$B$92,MATCH('Loan Tape (BoE)'!C52,INDEX('FF Adj Parameters'!$A$89:$B$92,,1),0),2),"Unknown")</f>
        <v/>
      </c>
      <c r="C52" s="18">
        <f>'Loan Tape (BoE)'!C53</f>
        <v/>
      </c>
      <c r="D52" s="18">
        <f>'Loan Tape (BoE)'!D53</f>
        <v/>
      </c>
      <c r="E52" s="18">
        <f>'Loan Tape (BoE)'!E53</f>
        <v/>
      </c>
      <c r="F52" s="19">
        <f>'Loan Tape (BoE)'!F53</f>
        <v/>
      </c>
      <c r="G52" s="19">
        <f>'Loan Tape (BoE)'!G53</f>
        <v/>
      </c>
      <c r="H52" s="20">
        <f>'Loan Tape (BoE)'!H53/100</f>
        <v/>
      </c>
      <c r="I52" s="17">
        <f>IFERROR(IFS('Loan Tape (BoE)'!I53=1,"House",'Loan Tape (BoE)'!I53=2,"Flat",'Loan Tape (BoE)'!I53=3,"Bungalow",'Loan Tape (BoE)'!I53=4,"Maisonette"),"")</f>
        <v/>
      </c>
      <c r="J52" s="17">
        <f>'Loan Tape (BoE)'!J53</f>
        <v/>
      </c>
      <c r="K52" s="17">
        <f>'Loan Tape (BoE)'!K53</f>
        <v/>
      </c>
      <c r="L52" s="17">
        <f>IFERROR(IFS('Loan Tape (BoE)'!L53=1,"Owner Occupied",'Loan Tape (BoE)'!L53=2,"BTL",'Loan Tape (BoE)'!L53=3,"Second Home",'Loan Tape (BoE)'!L53=4,"Investment"),"")</f>
        <v/>
      </c>
      <c r="M52" s="17">
        <f>IFERROR(IFS('Loan Tape (BoE)'!M53=1,"Purchase",'Loan Tape (BoE)'!M53=2,"Remortgage",OR('Loan Tape (BoE)'!M53=3,'Loan Tape (BoE)'!M53=4),"Cash-out"),"")</f>
        <v/>
      </c>
      <c r="N52" s="17">
        <f>IFERROR(INDEX('FF Adj Parameters'!$A$96:$B$99,MATCH('Loan Tape (BoE)'!R52,INDEX('FF Adj Parameters'!$A$96:$B$99,,1),0),2),"Unknown")</f>
        <v/>
      </c>
      <c r="O52" s="17">
        <f>IF('Loan Tape (BoE)'!O53=1,"Yes","No")</f>
        <v/>
      </c>
      <c r="P52" s="17">
        <f>IF('Loan Tape (BoE)'!P52=1,"Yes",IF('Loan Tape (BoE)'!P52=0,"No",""))</f>
        <v/>
      </c>
      <c r="Q52" s="17">
        <f>IF('Loan Tape (BoE)'!Q52=1,"Yes",IF('Loan Tape (BoE)'!Q52=0,"No",""))</f>
        <v/>
      </c>
      <c r="R52" s="18">
        <f>IF('Loan Tape (BoE)'!R52=1,"Yes",IF('Loan Tape (BoE)'!R52=0,"No",""))</f>
        <v/>
      </c>
      <c r="S52" s="18">
        <f>IF('Loan Tape (BoE)'!S52=1,"Yes",IF('Loan Tape (BoE)'!S52=0,"No",""))</f>
        <v/>
      </c>
      <c r="T52" s="17">
        <f>IF('Loan Tape (BoE)'!T52=1,"Yes",IF('Loan Tape (BoE)'!T52=0,"No",""))</f>
        <v/>
      </c>
      <c r="U52" s="18">
        <f>R52+S52</f>
        <v/>
      </c>
      <c r="V52" s="17">
        <f>IFERROR(IFS('Loan Tape (BoE)'!U53=1,"Employed",'Loan Tape (BoE)'!U53=2,"Self-Employed",'Loan Tape (BoE)'!U53=3,"Unemployed",'Loan Tape (BoE)'!U53=4,"Retired"),"")</f>
        <v/>
      </c>
      <c r="W52" s="17">
        <f>IFERROR(IFS('Loan Tape (BoE)'!V53=1,"Employed",'Loan Tape (BoE)'!V53=2,"Self-Employed",'Loan Tape (BoE)'!V53=3,"Unemployed",'Loan Tape (BoE)'!V53=4,"Retired"),"")</f>
        <v/>
      </c>
      <c r="X52" s="17">
        <f>IF(OR(V52="Self-Employed",W52="Self-Employed"),"Yes","No")</f>
        <v/>
      </c>
      <c r="Y52" s="17">
        <f>'Loan Tape (BoE)'!W53</f>
        <v/>
      </c>
      <c r="Z52" s="17">
        <f>'Loan Tape (BoE)'!X53</f>
        <v/>
      </c>
      <c r="AA52" s="17">
        <f>IF(T52=1,Y52,MIN(Y52,Z52))</f>
        <v/>
      </c>
      <c r="AB52" s="17">
        <f>'Loan Tape (BoE)'!Y53</f>
        <v/>
      </c>
      <c r="AC52" s="17">
        <f>'Loan Tape (BoE)'!Z53</f>
        <v/>
      </c>
      <c r="AD52" s="17">
        <f>AB52+AC52</f>
        <v/>
      </c>
      <c r="AE52" s="18">
        <f>'Loan Tape (BoE)'!AA53</f>
        <v/>
      </c>
      <c r="AF52" s="18">
        <f>'Loan Tape (BoE)'!AB53</f>
        <v/>
      </c>
      <c r="AG52" s="18">
        <f>AE52+AF52</f>
        <v/>
      </c>
      <c r="AH52" s="19">
        <f>MAX('Loan Tape (BoE)'!AC53,'Loan Tape (BoE)'!AD53)</f>
        <v/>
      </c>
      <c r="AI52" s="18">
        <f>'Loan Tape (BoE)'!AE53</f>
        <v/>
      </c>
      <c r="AJ52" s="18">
        <f>B52*H52/12</f>
        <v/>
      </c>
      <c r="AK52" s="21">
        <f>IF(AJ52&gt;0,AI52/AJ52,0)</f>
        <v/>
      </c>
      <c r="AL52" s="17">
        <f>IF('Loan Tape (BoE)'!AF53=1,"Yes","No")</f>
        <v/>
      </c>
      <c r="AM52" s="17">
        <f>IF('Loan Tape (BoE)'!AH53=1,"Yes","No")</f>
        <v/>
      </c>
      <c r="AN52" s="17">
        <f>IF('Loan Tape (BoE)'!AI53=1,"Yes","No")</f>
        <v/>
      </c>
      <c r="AO52" s="17">
        <f>IF('Loan Tape (BoE)'!AJ53=1,"Yes","No")</f>
        <v/>
      </c>
      <c r="AP52" s="17">
        <f>IF(OR('Loan Tape (BoE)'!AQ52=1,'Loan Tape (BoE)'!AQ52=2),"Yes",IF('Loan Tape (BoE)'!AQ52=0,"No",""))</f>
        <v/>
      </c>
      <c r="AQ52" s="17">
        <f>IF('Loan Tape (BoE)'!BV49_522&lt;&gt;"",'Loan Tape (BoE)'!BV49_52,"")</f>
        <v/>
      </c>
      <c r="AR52" s="17">
        <f>IF('Loan Tape (BoE)'!BV520_52&lt;&gt;"",'Loan Tape (BoE)'!BV50_52,"")</f>
        <v/>
      </c>
      <c r="AS52" s="17">
        <f>IFERROR(INDEX('FF Adj Parameters'!$A$103:$B$1052,MATCH('Loan Tape (BoE)'!P52,INDEX('FF Adj Parameters'!$A$103:$B$1052,,1),0),2),"Unknown")</f>
        <v/>
      </c>
      <c r="AT52" s="17">
        <f>IF(N52="Interest Only",M5*O5/12,IF(AND(O5&gt;0,ISNUMBER(O5),ISNUMBER(M5)),ABS(PMT(O5/12,AU5,-M5)),0))</f>
        <v/>
      </c>
      <c r="AU52" s="17">
        <f>IF(ISNUMBER(L52),MAX(0,(L5-'Control Panel'!$B$10)*12/365.25),0)</f>
        <v/>
      </c>
      <c r="AV52" s="17">
        <f>IF(ISNUMBER(L52),IF(L5&gt;'Control Panel'!$B$10,"Valid","Past Maturity"),"No Date")</f>
        <v/>
      </c>
      <c r="AW52" s="17">
        <f>IF(ISNUMBER(K52),MAX(0,('Control Panel'!$B$10-K5)*12/365.25),0)</f>
        <v/>
      </c>
    </row>
    <row r="53">
      <c r="A53" s="17">
        <f>'Loan Tape (BoE)'!A54</f>
        <v/>
      </c>
      <c r="B53" s="18">
        <f>IFERROR(INDEX('FF Adj Parameters'!$A$89:$B$92,MATCH('Loan Tape (BoE)'!C53,INDEX('FF Adj Parameters'!$A$89:$B$92,,1),0),2),"Unknown")</f>
        <v/>
      </c>
      <c r="C53" s="18">
        <f>'Loan Tape (BoE)'!C54</f>
        <v/>
      </c>
      <c r="D53" s="18">
        <f>'Loan Tape (BoE)'!D54</f>
        <v/>
      </c>
      <c r="E53" s="18">
        <f>'Loan Tape (BoE)'!E54</f>
        <v/>
      </c>
      <c r="F53" s="19">
        <f>'Loan Tape (BoE)'!F54</f>
        <v/>
      </c>
      <c r="G53" s="19">
        <f>'Loan Tape (BoE)'!G54</f>
        <v/>
      </c>
      <c r="H53" s="20">
        <f>'Loan Tape (BoE)'!H54/100</f>
        <v/>
      </c>
      <c r="I53" s="17">
        <f>IFERROR(IFS('Loan Tape (BoE)'!I54=1,"House",'Loan Tape (BoE)'!I54=2,"Flat",'Loan Tape (BoE)'!I54=3,"Bungalow",'Loan Tape (BoE)'!I54=4,"Maisonette"),"")</f>
        <v/>
      </c>
      <c r="J53" s="17">
        <f>'Loan Tape (BoE)'!J54</f>
        <v/>
      </c>
      <c r="K53" s="17">
        <f>'Loan Tape (BoE)'!K54</f>
        <v/>
      </c>
      <c r="L53" s="17">
        <f>IFERROR(IFS('Loan Tape (BoE)'!L54=1,"Owner Occupied",'Loan Tape (BoE)'!L54=2,"BTL",'Loan Tape (BoE)'!L54=3,"Second Home",'Loan Tape (BoE)'!L54=4,"Investment"),"")</f>
        <v/>
      </c>
      <c r="M53" s="17">
        <f>IFERROR(IFS('Loan Tape (BoE)'!M54=1,"Purchase",'Loan Tape (BoE)'!M54=2,"Remortgage",OR('Loan Tape (BoE)'!M54=3,'Loan Tape (BoE)'!M54=4),"Cash-out"),"")</f>
        <v/>
      </c>
      <c r="N53" s="17">
        <f>IFERROR(INDEX('FF Adj Parameters'!$A$96:$B$99,MATCH('Loan Tape (BoE)'!R53,INDEX('FF Adj Parameters'!$A$96:$B$99,,1),0),2),"Unknown")</f>
        <v/>
      </c>
      <c r="O53" s="17">
        <f>IF('Loan Tape (BoE)'!O54=1,"Yes","No")</f>
        <v/>
      </c>
      <c r="P53" s="17">
        <f>IF('Loan Tape (BoE)'!P53=1,"Yes",IF('Loan Tape (BoE)'!P53=0,"No",""))</f>
        <v/>
      </c>
      <c r="Q53" s="17">
        <f>IF('Loan Tape (BoE)'!Q53=1,"Yes",IF('Loan Tape (BoE)'!Q53=0,"No",""))</f>
        <v/>
      </c>
      <c r="R53" s="18">
        <f>IF('Loan Tape (BoE)'!R53=1,"Yes",IF('Loan Tape (BoE)'!R53=0,"No",""))</f>
        <v/>
      </c>
      <c r="S53" s="18">
        <f>IF('Loan Tape (BoE)'!S53=1,"Yes",IF('Loan Tape (BoE)'!S53=0,"No",""))</f>
        <v/>
      </c>
      <c r="T53" s="17">
        <f>IF('Loan Tape (BoE)'!T53=1,"Yes",IF('Loan Tape (BoE)'!T53=0,"No",""))</f>
        <v/>
      </c>
      <c r="U53" s="18">
        <f>R53+S53</f>
        <v/>
      </c>
      <c r="V53" s="17">
        <f>IFERROR(IFS('Loan Tape (BoE)'!U54=1,"Employed",'Loan Tape (BoE)'!U54=2,"Self-Employed",'Loan Tape (BoE)'!U54=3,"Unemployed",'Loan Tape (BoE)'!U54=4,"Retired"),"")</f>
        <v/>
      </c>
      <c r="W53" s="17">
        <f>IFERROR(IFS('Loan Tape (BoE)'!V54=1,"Employed",'Loan Tape (BoE)'!V54=2,"Self-Employed",'Loan Tape (BoE)'!V54=3,"Unemployed",'Loan Tape (BoE)'!V54=4,"Retired"),"")</f>
        <v/>
      </c>
      <c r="X53" s="17">
        <f>IF(OR(V53="Self-Employed",W53="Self-Employed"),"Yes","No")</f>
        <v/>
      </c>
      <c r="Y53" s="17">
        <f>'Loan Tape (BoE)'!W54</f>
        <v/>
      </c>
      <c r="Z53" s="17">
        <f>'Loan Tape (BoE)'!X54</f>
        <v/>
      </c>
      <c r="AA53" s="17">
        <f>IF(T53=1,Y53,MIN(Y53,Z53))</f>
        <v/>
      </c>
      <c r="AB53" s="17">
        <f>'Loan Tape (BoE)'!Y54</f>
        <v/>
      </c>
      <c r="AC53" s="17">
        <f>'Loan Tape (BoE)'!Z54</f>
        <v/>
      </c>
      <c r="AD53" s="17">
        <f>AB53+AC53</f>
        <v/>
      </c>
      <c r="AE53" s="18">
        <f>'Loan Tape (BoE)'!AA54</f>
        <v/>
      </c>
      <c r="AF53" s="18">
        <f>'Loan Tape (BoE)'!AB54</f>
        <v/>
      </c>
      <c r="AG53" s="18">
        <f>AE53+AF53</f>
        <v/>
      </c>
      <c r="AH53" s="19">
        <f>MAX('Loan Tape (BoE)'!AC54,'Loan Tape (BoE)'!AD54)</f>
        <v/>
      </c>
      <c r="AI53" s="18">
        <f>'Loan Tape (BoE)'!AE54</f>
        <v/>
      </c>
      <c r="AJ53" s="18">
        <f>B53*H53/12</f>
        <v/>
      </c>
      <c r="AK53" s="21">
        <f>IF(AJ53&gt;0,AI53/AJ53,0)</f>
        <v/>
      </c>
      <c r="AL53" s="17">
        <f>IF('Loan Tape (BoE)'!AF54=1,"Yes","No")</f>
        <v/>
      </c>
      <c r="AM53" s="17">
        <f>IF('Loan Tape (BoE)'!AH54=1,"Yes","No")</f>
        <v/>
      </c>
      <c r="AN53" s="17">
        <f>IF('Loan Tape (BoE)'!AI54=1,"Yes","No")</f>
        <v/>
      </c>
      <c r="AO53" s="17">
        <f>IF('Loan Tape (BoE)'!AJ54=1,"Yes","No")</f>
        <v/>
      </c>
      <c r="AP53" s="17">
        <f>IF(OR('Loan Tape (BoE)'!AQ53=1,'Loan Tape (BoE)'!AQ53=2),"Yes",IF('Loan Tape (BoE)'!AQ53=0,"No",""))</f>
        <v/>
      </c>
      <c r="AQ53" s="17">
        <f>IF('Loan Tape (BoE)'!BV49_533&lt;&gt;"",'Loan Tape (BoE)'!BV49_53,"")</f>
        <v/>
      </c>
      <c r="AR53" s="17">
        <f>IF('Loan Tape (BoE)'!BV530_53&lt;&gt;"",'Loan Tape (BoE)'!BV50_53,"")</f>
        <v/>
      </c>
      <c r="AS53" s="17">
        <f>IFERROR(INDEX('FF Adj Parameters'!$A$103:$B$1053,MATCH('Loan Tape (BoE)'!P53,INDEX('FF Adj Parameters'!$A$103:$B$1053,,1),0),2),"Unknown")</f>
        <v/>
      </c>
      <c r="AT53" s="17">
        <f>IF(N53="Interest Only",M5*O5/12,IF(AND(O5&gt;0,ISNUMBER(O5),ISNUMBER(M5)),ABS(PMT(O5/12,AU5,-M5)),0))</f>
        <v/>
      </c>
      <c r="AU53" s="17">
        <f>IF(ISNUMBER(L53),MAX(0,(L5-'Control Panel'!$B$10)*12/365.25),0)</f>
        <v/>
      </c>
      <c r="AV53" s="17">
        <f>IF(ISNUMBER(L53),IF(L5&gt;'Control Panel'!$B$10,"Valid","Past Maturity"),"No Date")</f>
        <v/>
      </c>
      <c r="AW53" s="17">
        <f>IF(ISNUMBER(K53),MAX(0,('Control Panel'!$B$10-K5)*12/365.25),0)</f>
        <v/>
      </c>
    </row>
    <row r="54">
      <c r="A54" s="17">
        <f>'Loan Tape (BoE)'!A55</f>
        <v/>
      </c>
      <c r="B54" s="18">
        <f>IFERROR(INDEX('FF Adj Parameters'!$A$89:$B$92,MATCH('Loan Tape (BoE)'!C54,INDEX('FF Adj Parameters'!$A$89:$B$92,,1),0),2),"Unknown")</f>
        <v/>
      </c>
      <c r="C54" s="18">
        <f>'Loan Tape (BoE)'!C55</f>
        <v/>
      </c>
      <c r="D54" s="18">
        <f>'Loan Tape (BoE)'!D55</f>
        <v/>
      </c>
      <c r="E54" s="18">
        <f>'Loan Tape (BoE)'!E55</f>
        <v/>
      </c>
      <c r="F54" s="19">
        <f>'Loan Tape (BoE)'!F55</f>
        <v/>
      </c>
      <c r="G54" s="19">
        <f>'Loan Tape (BoE)'!G55</f>
        <v/>
      </c>
      <c r="H54" s="20">
        <f>'Loan Tape (BoE)'!H55/100</f>
        <v/>
      </c>
      <c r="I54" s="17">
        <f>IFERROR(IFS('Loan Tape (BoE)'!I55=1,"House",'Loan Tape (BoE)'!I55=2,"Flat",'Loan Tape (BoE)'!I55=3,"Bungalow",'Loan Tape (BoE)'!I55=4,"Maisonette"),"")</f>
        <v/>
      </c>
      <c r="J54" s="17">
        <f>'Loan Tape (BoE)'!J55</f>
        <v/>
      </c>
      <c r="K54" s="17">
        <f>'Loan Tape (BoE)'!K55</f>
        <v/>
      </c>
      <c r="L54" s="17">
        <f>IFERROR(IFS('Loan Tape (BoE)'!L55=1,"Owner Occupied",'Loan Tape (BoE)'!L55=2,"BTL",'Loan Tape (BoE)'!L55=3,"Second Home",'Loan Tape (BoE)'!L55=4,"Investment"),"")</f>
        <v/>
      </c>
      <c r="M54" s="17">
        <f>IFERROR(IFS('Loan Tape (BoE)'!M55=1,"Purchase",'Loan Tape (BoE)'!M55=2,"Remortgage",OR('Loan Tape (BoE)'!M55=3,'Loan Tape (BoE)'!M55=4),"Cash-out"),"")</f>
        <v/>
      </c>
      <c r="N54" s="17">
        <f>IFERROR(INDEX('FF Adj Parameters'!$A$96:$B$99,MATCH('Loan Tape (BoE)'!R54,INDEX('FF Adj Parameters'!$A$96:$B$99,,1),0),2),"Unknown")</f>
        <v/>
      </c>
      <c r="O54" s="17">
        <f>IF('Loan Tape (BoE)'!O55=1,"Yes","No")</f>
        <v/>
      </c>
      <c r="P54" s="17">
        <f>IF('Loan Tape (BoE)'!P54=1,"Yes",IF('Loan Tape (BoE)'!P54=0,"No",""))</f>
        <v/>
      </c>
      <c r="Q54" s="17">
        <f>IF('Loan Tape (BoE)'!Q54=1,"Yes",IF('Loan Tape (BoE)'!Q54=0,"No",""))</f>
        <v/>
      </c>
      <c r="R54" s="18">
        <f>IF('Loan Tape (BoE)'!R54=1,"Yes",IF('Loan Tape (BoE)'!R54=0,"No",""))</f>
        <v/>
      </c>
      <c r="S54" s="18">
        <f>IF('Loan Tape (BoE)'!S54=1,"Yes",IF('Loan Tape (BoE)'!S54=0,"No",""))</f>
        <v/>
      </c>
      <c r="T54" s="17">
        <f>IF('Loan Tape (BoE)'!T54=1,"Yes",IF('Loan Tape (BoE)'!T54=0,"No",""))</f>
        <v/>
      </c>
      <c r="U54" s="18">
        <f>R54+S54</f>
        <v/>
      </c>
      <c r="V54" s="17">
        <f>IFERROR(IFS('Loan Tape (BoE)'!U55=1,"Employed",'Loan Tape (BoE)'!U55=2,"Self-Employed",'Loan Tape (BoE)'!U55=3,"Unemployed",'Loan Tape (BoE)'!U55=4,"Retired"),"")</f>
        <v/>
      </c>
      <c r="W54" s="17">
        <f>IFERROR(IFS('Loan Tape (BoE)'!V55=1,"Employed",'Loan Tape (BoE)'!V55=2,"Self-Employed",'Loan Tape (BoE)'!V55=3,"Unemployed",'Loan Tape (BoE)'!V55=4,"Retired"),"")</f>
        <v/>
      </c>
      <c r="X54" s="17">
        <f>IF(OR(V54="Self-Employed",W54="Self-Employed"),"Yes","No")</f>
        <v/>
      </c>
      <c r="Y54" s="17">
        <f>'Loan Tape (BoE)'!W55</f>
        <v/>
      </c>
      <c r="Z54" s="17">
        <f>'Loan Tape (BoE)'!X55</f>
        <v/>
      </c>
      <c r="AA54" s="17">
        <f>IF(T54=1,Y54,MIN(Y54,Z54))</f>
        <v/>
      </c>
      <c r="AB54" s="17">
        <f>'Loan Tape (BoE)'!Y55</f>
        <v/>
      </c>
      <c r="AC54" s="17">
        <f>'Loan Tape (BoE)'!Z55</f>
        <v/>
      </c>
      <c r="AD54" s="17">
        <f>AB54+AC54</f>
        <v/>
      </c>
      <c r="AE54" s="18">
        <f>'Loan Tape (BoE)'!AA55</f>
        <v/>
      </c>
      <c r="AF54" s="18">
        <f>'Loan Tape (BoE)'!AB55</f>
        <v/>
      </c>
      <c r="AG54" s="18">
        <f>AE54+AF54</f>
        <v/>
      </c>
      <c r="AH54" s="19">
        <f>MAX('Loan Tape (BoE)'!AC55,'Loan Tape (BoE)'!AD55)</f>
        <v/>
      </c>
      <c r="AI54" s="18">
        <f>'Loan Tape (BoE)'!AE55</f>
        <v/>
      </c>
      <c r="AJ54" s="18">
        <f>B54*H54/12</f>
        <v/>
      </c>
      <c r="AK54" s="21">
        <f>IF(AJ54&gt;0,AI54/AJ54,0)</f>
        <v/>
      </c>
      <c r="AL54" s="17">
        <f>IF('Loan Tape (BoE)'!AF55=1,"Yes","No")</f>
        <v/>
      </c>
      <c r="AM54" s="17">
        <f>IF('Loan Tape (BoE)'!AH55=1,"Yes","No")</f>
        <v/>
      </c>
      <c r="AN54" s="17">
        <f>IF('Loan Tape (BoE)'!AI55=1,"Yes","No")</f>
        <v/>
      </c>
      <c r="AO54" s="17">
        <f>IF('Loan Tape (BoE)'!AJ55=1,"Yes","No")</f>
        <v/>
      </c>
      <c r="AP54" s="17">
        <f>IF(OR('Loan Tape (BoE)'!AQ54=1,'Loan Tape (BoE)'!AQ54=2),"Yes",IF('Loan Tape (BoE)'!AQ54=0,"No",""))</f>
        <v/>
      </c>
      <c r="AQ54" s="17">
        <f>IF('Loan Tape (BoE)'!BV49_544&lt;&gt;"",'Loan Tape (BoE)'!BV49_54,"")</f>
        <v/>
      </c>
      <c r="AR54" s="17">
        <f>IF('Loan Tape (BoE)'!BV540_54&lt;&gt;"",'Loan Tape (BoE)'!BV50_54,"")</f>
        <v/>
      </c>
      <c r="AS54" s="17">
        <f>IFERROR(INDEX('FF Adj Parameters'!$A$103:$B$1054,MATCH('Loan Tape (BoE)'!P54,INDEX('FF Adj Parameters'!$A$103:$B$1054,,1),0),2),"Unknown")</f>
        <v/>
      </c>
      <c r="AT54" s="17">
        <f>IF(N54="Interest Only",M5*O5/12,IF(AND(O5&gt;0,ISNUMBER(O5),ISNUMBER(M5)),ABS(PMT(O5/12,AU5,-M5)),0))</f>
        <v/>
      </c>
      <c r="AU54" s="17">
        <f>IF(ISNUMBER(L54),MAX(0,(L5-'Control Panel'!$B$10)*12/365.25),0)</f>
        <v/>
      </c>
      <c r="AV54" s="17">
        <f>IF(ISNUMBER(L54),IF(L5&gt;'Control Panel'!$B$10,"Valid","Past Maturity"),"No Date")</f>
        <v/>
      </c>
      <c r="AW54" s="17">
        <f>IF(ISNUMBER(K54),MAX(0,('Control Panel'!$B$10-K5)*12/365.25),0)</f>
        <v/>
      </c>
    </row>
    <row r="55">
      <c r="A55" s="17">
        <f>'Loan Tape (BoE)'!A56</f>
        <v/>
      </c>
      <c r="B55" s="18">
        <f>IFERROR(INDEX('FF Adj Parameters'!$A$89:$B$92,MATCH('Loan Tape (BoE)'!C55,INDEX('FF Adj Parameters'!$A$89:$B$92,,1),0),2),"Unknown")</f>
        <v/>
      </c>
      <c r="C55" s="18">
        <f>'Loan Tape (BoE)'!C56</f>
        <v/>
      </c>
      <c r="D55" s="18">
        <f>'Loan Tape (BoE)'!D56</f>
        <v/>
      </c>
      <c r="E55" s="18">
        <f>'Loan Tape (BoE)'!E56</f>
        <v/>
      </c>
      <c r="F55" s="19">
        <f>'Loan Tape (BoE)'!F56</f>
        <v/>
      </c>
      <c r="G55" s="19">
        <f>'Loan Tape (BoE)'!G56</f>
        <v/>
      </c>
      <c r="H55" s="20">
        <f>'Loan Tape (BoE)'!H56/100</f>
        <v/>
      </c>
      <c r="I55" s="17">
        <f>IFERROR(IFS('Loan Tape (BoE)'!I56=1,"House",'Loan Tape (BoE)'!I56=2,"Flat",'Loan Tape (BoE)'!I56=3,"Bungalow",'Loan Tape (BoE)'!I56=4,"Maisonette"),"")</f>
        <v/>
      </c>
      <c r="J55" s="17">
        <f>'Loan Tape (BoE)'!J56</f>
        <v/>
      </c>
      <c r="K55" s="17">
        <f>'Loan Tape (BoE)'!K56</f>
        <v/>
      </c>
      <c r="L55" s="17">
        <f>IFERROR(IFS('Loan Tape (BoE)'!L56=1,"Owner Occupied",'Loan Tape (BoE)'!L56=2,"BTL",'Loan Tape (BoE)'!L56=3,"Second Home",'Loan Tape (BoE)'!L56=4,"Investment"),"")</f>
        <v/>
      </c>
      <c r="M55" s="17">
        <f>IFERROR(IFS('Loan Tape (BoE)'!M56=1,"Purchase",'Loan Tape (BoE)'!M56=2,"Remortgage",OR('Loan Tape (BoE)'!M56=3,'Loan Tape (BoE)'!M56=4),"Cash-out"),"")</f>
        <v/>
      </c>
      <c r="N55" s="17">
        <f>IFERROR(INDEX('FF Adj Parameters'!$A$96:$B$99,MATCH('Loan Tape (BoE)'!R55,INDEX('FF Adj Parameters'!$A$96:$B$99,,1),0),2),"Unknown")</f>
        <v/>
      </c>
      <c r="O55" s="17">
        <f>IF('Loan Tape (BoE)'!O56=1,"Yes","No")</f>
        <v/>
      </c>
      <c r="P55" s="17">
        <f>IF('Loan Tape (BoE)'!P55=1,"Yes",IF('Loan Tape (BoE)'!P55=0,"No",""))</f>
        <v/>
      </c>
      <c r="Q55" s="17">
        <f>IF('Loan Tape (BoE)'!Q55=1,"Yes",IF('Loan Tape (BoE)'!Q55=0,"No",""))</f>
        <v/>
      </c>
      <c r="R55" s="18">
        <f>IF('Loan Tape (BoE)'!R55=1,"Yes",IF('Loan Tape (BoE)'!R55=0,"No",""))</f>
        <v/>
      </c>
      <c r="S55" s="18">
        <f>IF('Loan Tape (BoE)'!S55=1,"Yes",IF('Loan Tape (BoE)'!S55=0,"No",""))</f>
        <v/>
      </c>
      <c r="T55" s="17">
        <f>IF('Loan Tape (BoE)'!T55=1,"Yes",IF('Loan Tape (BoE)'!T55=0,"No",""))</f>
        <v/>
      </c>
      <c r="U55" s="18">
        <f>R55+S55</f>
        <v/>
      </c>
      <c r="V55" s="17">
        <f>IFERROR(IFS('Loan Tape (BoE)'!U56=1,"Employed",'Loan Tape (BoE)'!U56=2,"Self-Employed",'Loan Tape (BoE)'!U56=3,"Unemployed",'Loan Tape (BoE)'!U56=4,"Retired"),"")</f>
        <v/>
      </c>
      <c r="W55" s="17">
        <f>IFERROR(IFS('Loan Tape (BoE)'!V56=1,"Employed",'Loan Tape (BoE)'!V56=2,"Self-Employed",'Loan Tape (BoE)'!V56=3,"Unemployed",'Loan Tape (BoE)'!V56=4,"Retired"),"")</f>
        <v/>
      </c>
      <c r="X55" s="17">
        <f>IF(OR(V55="Self-Employed",W55="Self-Employed"),"Yes","No")</f>
        <v/>
      </c>
      <c r="Y55" s="17">
        <f>'Loan Tape (BoE)'!W56</f>
        <v/>
      </c>
      <c r="Z55" s="17">
        <f>'Loan Tape (BoE)'!X56</f>
        <v/>
      </c>
      <c r="AA55" s="17">
        <f>IF(T55=1,Y55,MIN(Y55,Z55))</f>
        <v/>
      </c>
      <c r="AB55" s="17">
        <f>'Loan Tape (BoE)'!Y56</f>
        <v/>
      </c>
      <c r="AC55" s="17">
        <f>'Loan Tape (BoE)'!Z56</f>
        <v/>
      </c>
      <c r="AD55" s="17">
        <f>AB55+AC55</f>
        <v/>
      </c>
      <c r="AE55" s="18">
        <f>'Loan Tape (BoE)'!AA56</f>
        <v/>
      </c>
      <c r="AF55" s="18">
        <f>'Loan Tape (BoE)'!AB56</f>
        <v/>
      </c>
      <c r="AG55" s="18">
        <f>AE55+AF55</f>
        <v/>
      </c>
      <c r="AH55" s="19">
        <f>MAX('Loan Tape (BoE)'!AC56,'Loan Tape (BoE)'!AD56)</f>
        <v/>
      </c>
      <c r="AI55" s="18">
        <f>'Loan Tape (BoE)'!AE56</f>
        <v/>
      </c>
      <c r="AJ55" s="18">
        <f>B55*H55/12</f>
        <v/>
      </c>
      <c r="AK55" s="21">
        <f>IF(AJ55&gt;0,AI55/AJ55,0)</f>
        <v/>
      </c>
      <c r="AL55" s="17">
        <f>IF('Loan Tape (BoE)'!AF56=1,"Yes","No")</f>
        <v/>
      </c>
      <c r="AM55" s="17">
        <f>IF('Loan Tape (BoE)'!AH56=1,"Yes","No")</f>
        <v/>
      </c>
      <c r="AN55" s="17">
        <f>IF('Loan Tape (BoE)'!AI56=1,"Yes","No")</f>
        <v/>
      </c>
      <c r="AO55" s="17">
        <f>IF('Loan Tape (BoE)'!AJ56=1,"Yes","No")</f>
        <v/>
      </c>
      <c r="AP55" s="17">
        <f>IF(OR('Loan Tape (BoE)'!AQ55=1,'Loan Tape (BoE)'!AQ55=2),"Yes",IF('Loan Tape (BoE)'!AQ55=0,"No",""))</f>
        <v/>
      </c>
      <c r="AQ55" s="17">
        <f>IF('Loan Tape (BoE)'!BV49_555&lt;&gt;"",'Loan Tape (BoE)'!BV49_55,"")</f>
        <v/>
      </c>
      <c r="AR55" s="17">
        <f>IF('Loan Tape (BoE)'!BV550_55&lt;&gt;"",'Loan Tape (BoE)'!BV50_55,"")</f>
        <v/>
      </c>
      <c r="AS55" s="17">
        <f>IFERROR(INDEX('FF Adj Parameters'!$A$103:$B$1055,MATCH('Loan Tape (BoE)'!P55,INDEX('FF Adj Parameters'!$A$103:$B$1055,,1),0),2),"Unknown")</f>
        <v/>
      </c>
      <c r="AT55" s="17">
        <f>IF(N55="Interest Only",M5*O5/12,IF(AND(O5&gt;0,ISNUMBER(O5),ISNUMBER(M5)),ABS(PMT(O5/12,AU5,-M5)),0))</f>
        <v/>
      </c>
      <c r="AU55" s="17">
        <f>IF(ISNUMBER(L55),MAX(0,(L5-'Control Panel'!$B$10)*12/365.25),0)</f>
        <v/>
      </c>
      <c r="AV55" s="17">
        <f>IF(ISNUMBER(L55),IF(L5&gt;'Control Panel'!$B$10,"Valid","Past Maturity"),"No Date")</f>
        <v/>
      </c>
      <c r="AW55" s="17">
        <f>IF(ISNUMBER(K55),MAX(0,('Control Panel'!$B$10-K5)*12/365.25),0)</f>
        <v/>
      </c>
    </row>
    <row r="56">
      <c r="A56" s="17">
        <f>'Loan Tape (BoE)'!A57</f>
        <v/>
      </c>
      <c r="B56" s="18">
        <f>IFERROR(INDEX('FF Adj Parameters'!$A$89:$B$92,MATCH('Loan Tape (BoE)'!C56,INDEX('FF Adj Parameters'!$A$89:$B$92,,1),0),2),"Unknown")</f>
        <v/>
      </c>
      <c r="C56" s="18">
        <f>'Loan Tape (BoE)'!C57</f>
        <v/>
      </c>
      <c r="D56" s="18">
        <f>'Loan Tape (BoE)'!D57</f>
        <v/>
      </c>
      <c r="E56" s="18">
        <f>'Loan Tape (BoE)'!E57</f>
        <v/>
      </c>
      <c r="F56" s="19">
        <f>'Loan Tape (BoE)'!F57</f>
        <v/>
      </c>
      <c r="G56" s="19">
        <f>'Loan Tape (BoE)'!G57</f>
        <v/>
      </c>
      <c r="H56" s="20">
        <f>'Loan Tape (BoE)'!H57/100</f>
        <v/>
      </c>
      <c r="I56" s="17">
        <f>IFERROR(IFS('Loan Tape (BoE)'!I57=1,"House",'Loan Tape (BoE)'!I57=2,"Flat",'Loan Tape (BoE)'!I57=3,"Bungalow",'Loan Tape (BoE)'!I57=4,"Maisonette"),"")</f>
        <v/>
      </c>
      <c r="J56" s="17">
        <f>'Loan Tape (BoE)'!J57</f>
        <v/>
      </c>
      <c r="K56" s="17">
        <f>'Loan Tape (BoE)'!K57</f>
        <v/>
      </c>
      <c r="L56" s="17">
        <f>IFERROR(IFS('Loan Tape (BoE)'!L57=1,"Owner Occupied",'Loan Tape (BoE)'!L57=2,"BTL",'Loan Tape (BoE)'!L57=3,"Second Home",'Loan Tape (BoE)'!L57=4,"Investment"),"")</f>
        <v/>
      </c>
      <c r="M56" s="17">
        <f>IFERROR(IFS('Loan Tape (BoE)'!M57=1,"Purchase",'Loan Tape (BoE)'!M57=2,"Remortgage",OR('Loan Tape (BoE)'!M57=3,'Loan Tape (BoE)'!M57=4),"Cash-out"),"")</f>
        <v/>
      </c>
      <c r="N56" s="17">
        <f>IFERROR(INDEX('FF Adj Parameters'!$A$96:$B$99,MATCH('Loan Tape (BoE)'!R56,INDEX('FF Adj Parameters'!$A$96:$B$99,,1),0),2),"Unknown")</f>
        <v/>
      </c>
      <c r="O56" s="17">
        <f>IF('Loan Tape (BoE)'!O57=1,"Yes","No")</f>
        <v/>
      </c>
      <c r="P56" s="17">
        <f>IF('Loan Tape (BoE)'!P56=1,"Yes",IF('Loan Tape (BoE)'!P56=0,"No",""))</f>
        <v/>
      </c>
      <c r="Q56" s="17">
        <f>IF('Loan Tape (BoE)'!Q56=1,"Yes",IF('Loan Tape (BoE)'!Q56=0,"No",""))</f>
        <v/>
      </c>
      <c r="R56" s="18">
        <f>IF('Loan Tape (BoE)'!R56=1,"Yes",IF('Loan Tape (BoE)'!R56=0,"No",""))</f>
        <v/>
      </c>
      <c r="S56" s="18">
        <f>IF('Loan Tape (BoE)'!S56=1,"Yes",IF('Loan Tape (BoE)'!S56=0,"No",""))</f>
        <v/>
      </c>
      <c r="T56" s="17">
        <f>IF('Loan Tape (BoE)'!T56=1,"Yes",IF('Loan Tape (BoE)'!T56=0,"No",""))</f>
        <v/>
      </c>
      <c r="U56" s="18">
        <f>R56+S56</f>
        <v/>
      </c>
      <c r="V56" s="17">
        <f>IFERROR(IFS('Loan Tape (BoE)'!U57=1,"Employed",'Loan Tape (BoE)'!U57=2,"Self-Employed",'Loan Tape (BoE)'!U57=3,"Unemployed",'Loan Tape (BoE)'!U57=4,"Retired"),"")</f>
        <v/>
      </c>
      <c r="W56" s="17">
        <f>IFERROR(IFS('Loan Tape (BoE)'!V57=1,"Employed",'Loan Tape (BoE)'!V57=2,"Self-Employed",'Loan Tape (BoE)'!V57=3,"Unemployed",'Loan Tape (BoE)'!V57=4,"Retired"),"")</f>
        <v/>
      </c>
      <c r="X56" s="17">
        <f>IF(OR(V56="Self-Employed",W56="Self-Employed"),"Yes","No")</f>
        <v/>
      </c>
      <c r="Y56" s="17">
        <f>'Loan Tape (BoE)'!W57</f>
        <v/>
      </c>
      <c r="Z56" s="17">
        <f>'Loan Tape (BoE)'!X57</f>
        <v/>
      </c>
      <c r="AA56" s="17">
        <f>IF(T56=1,Y56,MIN(Y56,Z56))</f>
        <v/>
      </c>
      <c r="AB56" s="17">
        <f>'Loan Tape (BoE)'!Y57</f>
        <v/>
      </c>
      <c r="AC56" s="17">
        <f>'Loan Tape (BoE)'!Z57</f>
        <v/>
      </c>
      <c r="AD56" s="17">
        <f>AB56+AC56</f>
        <v/>
      </c>
      <c r="AE56" s="18">
        <f>'Loan Tape (BoE)'!AA57</f>
        <v/>
      </c>
      <c r="AF56" s="18">
        <f>'Loan Tape (BoE)'!AB57</f>
        <v/>
      </c>
      <c r="AG56" s="18">
        <f>AE56+AF56</f>
        <v/>
      </c>
      <c r="AH56" s="19">
        <f>MAX('Loan Tape (BoE)'!AC57,'Loan Tape (BoE)'!AD57)</f>
        <v/>
      </c>
      <c r="AI56" s="18">
        <f>'Loan Tape (BoE)'!AE57</f>
        <v/>
      </c>
      <c r="AJ56" s="18">
        <f>B56*H56/12</f>
        <v/>
      </c>
      <c r="AK56" s="21">
        <f>IF(AJ56&gt;0,AI56/AJ56,0)</f>
        <v/>
      </c>
      <c r="AL56" s="17">
        <f>IF('Loan Tape (BoE)'!AF57=1,"Yes","No")</f>
        <v/>
      </c>
      <c r="AM56" s="17">
        <f>IF('Loan Tape (BoE)'!AH57=1,"Yes","No")</f>
        <v/>
      </c>
      <c r="AN56" s="17">
        <f>IF('Loan Tape (BoE)'!AI57=1,"Yes","No")</f>
        <v/>
      </c>
      <c r="AO56" s="17">
        <f>IF('Loan Tape (BoE)'!AJ57=1,"Yes","No")</f>
        <v/>
      </c>
      <c r="AP56" s="17">
        <f>IF(OR('Loan Tape (BoE)'!AQ56=1,'Loan Tape (BoE)'!AQ56=2),"Yes",IF('Loan Tape (BoE)'!AQ56=0,"No",""))</f>
        <v/>
      </c>
      <c r="AQ56" s="17">
        <f>IF('Loan Tape (BoE)'!BV49_566&lt;&gt;"",'Loan Tape (BoE)'!BV49_56,"")</f>
        <v/>
      </c>
      <c r="AR56" s="17">
        <f>IF('Loan Tape (BoE)'!BV560_56&lt;&gt;"",'Loan Tape (BoE)'!BV50_56,"")</f>
        <v/>
      </c>
      <c r="AS56" s="17">
        <f>IFERROR(INDEX('FF Adj Parameters'!$A$103:$B$1056,MATCH('Loan Tape (BoE)'!P56,INDEX('FF Adj Parameters'!$A$103:$B$1056,,1),0),2),"Unknown")</f>
        <v/>
      </c>
      <c r="AT56" s="17">
        <f>IF(N56="Interest Only",M5*O5/12,IF(AND(O5&gt;0,ISNUMBER(O5),ISNUMBER(M5)),ABS(PMT(O5/12,AU5,-M5)),0))</f>
        <v/>
      </c>
      <c r="AU56" s="17">
        <f>IF(ISNUMBER(L56),MAX(0,(L5-'Control Panel'!$B$10)*12/365.25),0)</f>
        <v/>
      </c>
      <c r="AV56" s="17">
        <f>IF(ISNUMBER(L56),IF(L5&gt;'Control Panel'!$B$10,"Valid","Past Maturity"),"No Date")</f>
        <v/>
      </c>
      <c r="AW56" s="17">
        <f>IF(ISNUMBER(K56),MAX(0,('Control Panel'!$B$10-K5)*12/365.25),0)</f>
        <v/>
      </c>
    </row>
    <row r="57">
      <c r="A57" s="17">
        <f>'Loan Tape (BoE)'!A58</f>
        <v/>
      </c>
      <c r="B57" s="18">
        <f>IFERROR(INDEX('FF Adj Parameters'!$A$89:$B$92,MATCH('Loan Tape (BoE)'!C57,INDEX('FF Adj Parameters'!$A$89:$B$92,,1),0),2),"Unknown")</f>
        <v/>
      </c>
      <c r="C57" s="18">
        <f>'Loan Tape (BoE)'!C58</f>
        <v/>
      </c>
      <c r="D57" s="18">
        <f>'Loan Tape (BoE)'!D58</f>
        <v/>
      </c>
      <c r="E57" s="18">
        <f>'Loan Tape (BoE)'!E58</f>
        <v/>
      </c>
      <c r="F57" s="19">
        <f>'Loan Tape (BoE)'!F58</f>
        <v/>
      </c>
      <c r="G57" s="19">
        <f>'Loan Tape (BoE)'!G58</f>
        <v/>
      </c>
      <c r="H57" s="20">
        <f>'Loan Tape (BoE)'!H58/100</f>
        <v/>
      </c>
      <c r="I57" s="17">
        <f>IFERROR(IFS('Loan Tape (BoE)'!I58=1,"House",'Loan Tape (BoE)'!I58=2,"Flat",'Loan Tape (BoE)'!I58=3,"Bungalow",'Loan Tape (BoE)'!I58=4,"Maisonette"),"")</f>
        <v/>
      </c>
      <c r="J57" s="17">
        <f>'Loan Tape (BoE)'!J58</f>
        <v/>
      </c>
      <c r="K57" s="17">
        <f>'Loan Tape (BoE)'!K58</f>
        <v/>
      </c>
      <c r="L57" s="17">
        <f>IFERROR(IFS('Loan Tape (BoE)'!L58=1,"Owner Occupied",'Loan Tape (BoE)'!L58=2,"BTL",'Loan Tape (BoE)'!L58=3,"Second Home",'Loan Tape (BoE)'!L58=4,"Investment"),"")</f>
        <v/>
      </c>
      <c r="M57" s="17">
        <f>IFERROR(IFS('Loan Tape (BoE)'!M58=1,"Purchase",'Loan Tape (BoE)'!M58=2,"Remortgage",OR('Loan Tape (BoE)'!M58=3,'Loan Tape (BoE)'!M58=4),"Cash-out"),"")</f>
        <v/>
      </c>
      <c r="N57" s="17">
        <f>IFERROR(INDEX('FF Adj Parameters'!$A$96:$B$99,MATCH('Loan Tape (BoE)'!R57,INDEX('FF Adj Parameters'!$A$96:$B$99,,1),0),2),"Unknown")</f>
        <v/>
      </c>
      <c r="O57" s="17">
        <f>IF('Loan Tape (BoE)'!O58=1,"Yes","No")</f>
        <v/>
      </c>
      <c r="P57" s="17">
        <f>IF('Loan Tape (BoE)'!P57=1,"Yes",IF('Loan Tape (BoE)'!P57=0,"No",""))</f>
        <v/>
      </c>
      <c r="Q57" s="17">
        <f>IF('Loan Tape (BoE)'!Q57=1,"Yes",IF('Loan Tape (BoE)'!Q57=0,"No",""))</f>
        <v/>
      </c>
      <c r="R57" s="18">
        <f>IF('Loan Tape (BoE)'!R57=1,"Yes",IF('Loan Tape (BoE)'!R57=0,"No",""))</f>
        <v/>
      </c>
      <c r="S57" s="18">
        <f>IF('Loan Tape (BoE)'!S57=1,"Yes",IF('Loan Tape (BoE)'!S57=0,"No",""))</f>
        <v/>
      </c>
      <c r="T57" s="17">
        <f>IF('Loan Tape (BoE)'!T57=1,"Yes",IF('Loan Tape (BoE)'!T57=0,"No",""))</f>
        <v/>
      </c>
      <c r="U57" s="18">
        <f>R57+S57</f>
        <v/>
      </c>
      <c r="V57" s="17">
        <f>IFERROR(IFS('Loan Tape (BoE)'!U58=1,"Employed",'Loan Tape (BoE)'!U58=2,"Self-Employed",'Loan Tape (BoE)'!U58=3,"Unemployed",'Loan Tape (BoE)'!U58=4,"Retired"),"")</f>
        <v/>
      </c>
      <c r="W57" s="17">
        <f>IFERROR(IFS('Loan Tape (BoE)'!V58=1,"Employed",'Loan Tape (BoE)'!V58=2,"Self-Employed",'Loan Tape (BoE)'!V58=3,"Unemployed",'Loan Tape (BoE)'!V58=4,"Retired"),"")</f>
        <v/>
      </c>
      <c r="X57" s="17">
        <f>IF(OR(V57="Self-Employed",W57="Self-Employed"),"Yes","No")</f>
        <v/>
      </c>
      <c r="Y57" s="17">
        <f>'Loan Tape (BoE)'!W58</f>
        <v/>
      </c>
      <c r="Z57" s="17">
        <f>'Loan Tape (BoE)'!X58</f>
        <v/>
      </c>
      <c r="AA57" s="17">
        <f>IF(T57=1,Y57,MIN(Y57,Z57))</f>
        <v/>
      </c>
      <c r="AB57" s="17">
        <f>'Loan Tape (BoE)'!Y58</f>
        <v/>
      </c>
      <c r="AC57" s="17">
        <f>'Loan Tape (BoE)'!Z58</f>
        <v/>
      </c>
      <c r="AD57" s="17">
        <f>AB57+AC57</f>
        <v/>
      </c>
      <c r="AE57" s="18">
        <f>'Loan Tape (BoE)'!AA58</f>
        <v/>
      </c>
      <c r="AF57" s="18">
        <f>'Loan Tape (BoE)'!AB58</f>
        <v/>
      </c>
      <c r="AG57" s="18">
        <f>AE57+AF57</f>
        <v/>
      </c>
      <c r="AH57" s="19">
        <f>MAX('Loan Tape (BoE)'!AC58,'Loan Tape (BoE)'!AD58)</f>
        <v/>
      </c>
      <c r="AI57" s="18">
        <f>'Loan Tape (BoE)'!AE58</f>
        <v/>
      </c>
      <c r="AJ57" s="18">
        <f>B57*H57/12</f>
        <v/>
      </c>
      <c r="AK57" s="21">
        <f>IF(AJ57&gt;0,AI57/AJ57,0)</f>
        <v/>
      </c>
      <c r="AL57" s="17">
        <f>IF('Loan Tape (BoE)'!AF58=1,"Yes","No")</f>
        <v/>
      </c>
      <c r="AM57" s="17">
        <f>IF('Loan Tape (BoE)'!AH58=1,"Yes","No")</f>
        <v/>
      </c>
      <c r="AN57" s="17">
        <f>IF('Loan Tape (BoE)'!AI58=1,"Yes","No")</f>
        <v/>
      </c>
      <c r="AO57" s="17">
        <f>IF('Loan Tape (BoE)'!AJ58=1,"Yes","No")</f>
        <v/>
      </c>
      <c r="AP57" s="17">
        <f>IF(OR('Loan Tape (BoE)'!AQ57=1,'Loan Tape (BoE)'!AQ57=2),"Yes",IF('Loan Tape (BoE)'!AQ57=0,"No",""))</f>
        <v/>
      </c>
      <c r="AQ57" s="17">
        <f>IF('Loan Tape (BoE)'!BV49_577&lt;&gt;"",'Loan Tape (BoE)'!BV49_57,"")</f>
        <v/>
      </c>
      <c r="AR57" s="17">
        <f>IF('Loan Tape (BoE)'!BV570_57&lt;&gt;"",'Loan Tape (BoE)'!BV50_57,"")</f>
        <v/>
      </c>
      <c r="AS57" s="17">
        <f>IFERROR(INDEX('FF Adj Parameters'!$A$103:$B$1057,MATCH('Loan Tape (BoE)'!P57,INDEX('FF Adj Parameters'!$A$103:$B$1057,,1),0),2),"Unknown")</f>
        <v/>
      </c>
      <c r="AT57" s="17">
        <f>IF(N57="Interest Only",M5*O5/12,IF(AND(O5&gt;0,ISNUMBER(O5),ISNUMBER(M5)),ABS(PMT(O5/12,AU5,-M5)),0))</f>
        <v/>
      </c>
      <c r="AU57" s="17">
        <f>IF(ISNUMBER(L57),MAX(0,(L5-'Control Panel'!$B$10)*12/365.25),0)</f>
        <v/>
      </c>
      <c r="AV57" s="17">
        <f>IF(ISNUMBER(L57),IF(L5&gt;'Control Panel'!$B$10,"Valid","Past Maturity"),"No Date")</f>
        <v/>
      </c>
      <c r="AW57" s="17">
        <f>IF(ISNUMBER(K57),MAX(0,('Control Panel'!$B$10-K5)*12/365.25),0)</f>
        <v/>
      </c>
    </row>
    <row r="58">
      <c r="A58" s="17">
        <f>'Loan Tape (BoE)'!A59</f>
        <v/>
      </c>
      <c r="B58" s="18">
        <f>IFERROR(INDEX('FF Adj Parameters'!$A$89:$B$92,MATCH('Loan Tape (BoE)'!C58,INDEX('FF Adj Parameters'!$A$89:$B$92,,1),0),2),"Unknown")</f>
        <v/>
      </c>
      <c r="C58" s="18">
        <f>'Loan Tape (BoE)'!C59</f>
        <v/>
      </c>
      <c r="D58" s="18">
        <f>'Loan Tape (BoE)'!D59</f>
        <v/>
      </c>
      <c r="E58" s="18">
        <f>'Loan Tape (BoE)'!E59</f>
        <v/>
      </c>
      <c r="F58" s="19">
        <f>'Loan Tape (BoE)'!F59</f>
        <v/>
      </c>
      <c r="G58" s="19">
        <f>'Loan Tape (BoE)'!G59</f>
        <v/>
      </c>
      <c r="H58" s="20">
        <f>'Loan Tape (BoE)'!H59/100</f>
        <v/>
      </c>
      <c r="I58" s="17">
        <f>IFERROR(IFS('Loan Tape (BoE)'!I59=1,"House",'Loan Tape (BoE)'!I59=2,"Flat",'Loan Tape (BoE)'!I59=3,"Bungalow",'Loan Tape (BoE)'!I59=4,"Maisonette"),"")</f>
        <v/>
      </c>
      <c r="J58" s="17">
        <f>'Loan Tape (BoE)'!J59</f>
        <v/>
      </c>
      <c r="K58" s="17">
        <f>'Loan Tape (BoE)'!K59</f>
        <v/>
      </c>
      <c r="L58" s="17">
        <f>IFERROR(IFS('Loan Tape (BoE)'!L59=1,"Owner Occupied",'Loan Tape (BoE)'!L59=2,"BTL",'Loan Tape (BoE)'!L59=3,"Second Home",'Loan Tape (BoE)'!L59=4,"Investment"),"")</f>
        <v/>
      </c>
      <c r="M58" s="17">
        <f>IFERROR(IFS('Loan Tape (BoE)'!M59=1,"Purchase",'Loan Tape (BoE)'!M59=2,"Remortgage",OR('Loan Tape (BoE)'!M59=3,'Loan Tape (BoE)'!M59=4),"Cash-out"),"")</f>
        <v/>
      </c>
      <c r="N58" s="17">
        <f>IFERROR(INDEX('FF Adj Parameters'!$A$96:$B$99,MATCH('Loan Tape (BoE)'!R58,INDEX('FF Adj Parameters'!$A$96:$B$99,,1),0),2),"Unknown")</f>
        <v/>
      </c>
      <c r="O58" s="17">
        <f>IF('Loan Tape (BoE)'!O59=1,"Yes","No")</f>
        <v/>
      </c>
      <c r="P58" s="17">
        <f>IF('Loan Tape (BoE)'!P58=1,"Yes",IF('Loan Tape (BoE)'!P58=0,"No",""))</f>
        <v/>
      </c>
      <c r="Q58" s="17">
        <f>IF('Loan Tape (BoE)'!Q58=1,"Yes",IF('Loan Tape (BoE)'!Q58=0,"No",""))</f>
        <v/>
      </c>
      <c r="R58" s="18">
        <f>IF('Loan Tape (BoE)'!R58=1,"Yes",IF('Loan Tape (BoE)'!R58=0,"No",""))</f>
        <v/>
      </c>
      <c r="S58" s="18">
        <f>IF('Loan Tape (BoE)'!S58=1,"Yes",IF('Loan Tape (BoE)'!S58=0,"No",""))</f>
        <v/>
      </c>
      <c r="T58" s="17">
        <f>IF('Loan Tape (BoE)'!T58=1,"Yes",IF('Loan Tape (BoE)'!T58=0,"No",""))</f>
        <v/>
      </c>
      <c r="U58" s="18">
        <f>R58+S58</f>
        <v/>
      </c>
      <c r="V58" s="17">
        <f>IFERROR(IFS('Loan Tape (BoE)'!U59=1,"Employed",'Loan Tape (BoE)'!U59=2,"Self-Employed",'Loan Tape (BoE)'!U59=3,"Unemployed",'Loan Tape (BoE)'!U59=4,"Retired"),"")</f>
        <v/>
      </c>
      <c r="W58" s="17">
        <f>IFERROR(IFS('Loan Tape (BoE)'!V59=1,"Employed",'Loan Tape (BoE)'!V59=2,"Self-Employed",'Loan Tape (BoE)'!V59=3,"Unemployed",'Loan Tape (BoE)'!V59=4,"Retired"),"")</f>
        <v/>
      </c>
      <c r="X58" s="17">
        <f>IF(OR(V58="Self-Employed",W58="Self-Employed"),"Yes","No")</f>
        <v/>
      </c>
      <c r="Y58" s="17">
        <f>'Loan Tape (BoE)'!W59</f>
        <v/>
      </c>
      <c r="Z58" s="17">
        <f>'Loan Tape (BoE)'!X59</f>
        <v/>
      </c>
      <c r="AA58" s="17">
        <f>IF(T58=1,Y58,MIN(Y58,Z58))</f>
        <v/>
      </c>
      <c r="AB58" s="17">
        <f>'Loan Tape (BoE)'!Y59</f>
        <v/>
      </c>
      <c r="AC58" s="17">
        <f>'Loan Tape (BoE)'!Z59</f>
        <v/>
      </c>
      <c r="AD58" s="17">
        <f>AB58+AC58</f>
        <v/>
      </c>
      <c r="AE58" s="18">
        <f>'Loan Tape (BoE)'!AA59</f>
        <v/>
      </c>
      <c r="AF58" s="18">
        <f>'Loan Tape (BoE)'!AB59</f>
        <v/>
      </c>
      <c r="AG58" s="18">
        <f>AE58+AF58</f>
        <v/>
      </c>
      <c r="AH58" s="19">
        <f>MAX('Loan Tape (BoE)'!AC59,'Loan Tape (BoE)'!AD59)</f>
        <v/>
      </c>
      <c r="AI58" s="18">
        <f>'Loan Tape (BoE)'!AE59</f>
        <v/>
      </c>
      <c r="AJ58" s="18">
        <f>B58*H58/12</f>
        <v/>
      </c>
      <c r="AK58" s="21">
        <f>IF(AJ58&gt;0,AI58/AJ58,0)</f>
        <v/>
      </c>
      <c r="AL58" s="17">
        <f>IF('Loan Tape (BoE)'!AF59=1,"Yes","No")</f>
        <v/>
      </c>
      <c r="AM58" s="17">
        <f>IF('Loan Tape (BoE)'!AH59=1,"Yes","No")</f>
        <v/>
      </c>
      <c r="AN58" s="17">
        <f>IF('Loan Tape (BoE)'!AI59=1,"Yes","No")</f>
        <v/>
      </c>
      <c r="AO58" s="17">
        <f>IF('Loan Tape (BoE)'!AJ59=1,"Yes","No")</f>
        <v/>
      </c>
      <c r="AP58" s="17">
        <f>IF(OR('Loan Tape (BoE)'!AQ58=1,'Loan Tape (BoE)'!AQ58=2),"Yes",IF('Loan Tape (BoE)'!AQ58=0,"No",""))</f>
        <v/>
      </c>
      <c r="AQ58" s="17">
        <f>IF('Loan Tape (BoE)'!BV49_588&lt;&gt;"",'Loan Tape (BoE)'!BV49_58,"")</f>
        <v/>
      </c>
      <c r="AR58" s="17">
        <f>IF('Loan Tape (BoE)'!BV580_58&lt;&gt;"",'Loan Tape (BoE)'!BV50_58,"")</f>
        <v/>
      </c>
      <c r="AS58" s="17">
        <f>IFERROR(INDEX('FF Adj Parameters'!$A$103:$B$1058,MATCH('Loan Tape (BoE)'!P58,INDEX('FF Adj Parameters'!$A$103:$B$1058,,1),0),2),"Unknown")</f>
        <v/>
      </c>
      <c r="AT58" s="17">
        <f>IF(N58="Interest Only",M5*O5/12,IF(AND(O5&gt;0,ISNUMBER(O5),ISNUMBER(M5)),ABS(PMT(O5/12,AU5,-M5)),0))</f>
        <v/>
      </c>
      <c r="AU58" s="17">
        <f>IF(ISNUMBER(L58),MAX(0,(L5-'Control Panel'!$B$10)*12/365.25),0)</f>
        <v/>
      </c>
      <c r="AV58" s="17">
        <f>IF(ISNUMBER(L58),IF(L5&gt;'Control Panel'!$B$10,"Valid","Past Maturity"),"No Date")</f>
        <v/>
      </c>
      <c r="AW58" s="17">
        <f>IF(ISNUMBER(K58),MAX(0,('Control Panel'!$B$10-K5)*12/365.25),0)</f>
        <v/>
      </c>
    </row>
    <row r="59">
      <c r="A59" s="17">
        <f>'Loan Tape (BoE)'!A60</f>
        <v/>
      </c>
      <c r="B59" s="18">
        <f>IFERROR(INDEX('FF Adj Parameters'!$A$89:$B$92,MATCH('Loan Tape (BoE)'!C59,INDEX('FF Adj Parameters'!$A$89:$B$92,,1),0),2),"Unknown")</f>
        <v/>
      </c>
      <c r="C59" s="18">
        <f>'Loan Tape (BoE)'!C60</f>
        <v/>
      </c>
      <c r="D59" s="18">
        <f>'Loan Tape (BoE)'!D60</f>
        <v/>
      </c>
      <c r="E59" s="18">
        <f>'Loan Tape (BoE)'!E60</f>
        <v/>
      </c>
      <c r="F59" s="19">
        <f>'Loan Tape (BoE)'!F60</f>
        <v/>
      </c>
      <c r="G59" s="19">
        <f>'Loan Tape (BoE)'!G60</f>
        <v/>
      </c>
      <c r="H59" s="20">
        <f>'Loan Tape (BoE)'!H60/100</f>
        <v/>
      </c>
      <c r="I59" s="17">
        <f>IFERROR(IFS('Loan Tape (BoE)'!I60=1,"House",'Loan Tape (BoE)'!I60=2,"Flat",'Loan Tape (BoE)'!I60=3,"Bungalow",'Loan Tape (BoE)'!I60=4,"Maisonette"),"")</f>
        <v/>
      </c>
      <c r="J59" s="17">
        <f>'Loan Tape (BoE)'!J60</f>
        <v/>
      </c>
      <c r="K59" s="17">
        <f>'Loan Tape (BoE)'!K60</f>
        <v/>
      </c>
      <c r="L59" s="17">
        <f>IFERROR(IFS('Loan Tape (BoE)'!L60=1,"Owner Occupied",'Loan Tape (BoE)'!L60=2,"BTL",'Loan Tape (BoE)'!L60=3,"Second Home",'Loan Tape (BoE)'!L60=4,"Investment"),"")</f>
        <v/>
      </c>
      <c r="M59" s="17">
        <f>IFERROR(IFS('Loan Tape (BoE)'!M60=1,"Purchase",'Loan Tape (BoE)'!M60=2,"Remortgage",OR('Loan Tape (BoE)'!M60=3,'Loan Tape (BoE)'!M60=4),"Cash-out"),"")</f>
        <v/>
      </c>
      <c r="N59" s="17">
        <f>IFERROR(INDEX('FF Adj Parameters'!$A$96:$B$99,MATCH('Loan Tape (BoE)'!R59,INDEX('FF Adj Parameters'!$A$96:$B$99,,1),0),2),"Unknown")</f>
        <v/>
      </c>
      <c r="O59" s="17">
        <f>IF('Loan Tape (BoE)'!O60=1,"Yes","No")</f>
        <v/>
      </c>
      <c r="P59" s="17">
        <f>IF('Loan Tape (BoE)'!P59=1,"Yes",IF('Loan Tape (BoE)'!P59=0,"No",""))</f>
        <v/>
      </c>
      <c r="Q59" s="17">
        <f>IF('Loan Tape (BoE)'!Q59=1,"Yes",IF('Loan Tape (BoE)'!Q59=0,"No",""))</f>
        <v/>
      </c>
      <c r="R59" s="18">
        <f>IF('Loan Tape (BoE)'!R59=1,"Yes",IF('Loan Tape (BoE)'!R59=0,"No",""))</f>
        <v/>
      </c>
      <c r="S59" s="18">
        <f>IF('Loan Tape (BoE)'!S59=1,"Yes",IF('Loan Tape (BoE)'!S59=0,"No",""))</f>
        <v/>
      </c>
      <c r="T59" s="17">
        <f>IF('Loan Tape (BoE)'!T59=1,"Yes",IF('Loan Tape (BoE)'!T59=0,"No",""))</f>
        <v/>
      </c>
      <c r="U59" s="18">
        <f>R59+S59</f>
        <v/>
      </c>
      <c r="V59" s="17">
        <f>IFERROR(IFS('Loan Tape (BoE)'!U60=1,"Employed",'Loan Tape (BoE)'!U60=2,"Self-Employed",'Loan Tape (BoE)'!U60=3,"Unemployed",'Loan Tape (BoE)'!U60=4,"Retired"),"")</f>
        <v/>
      </c>
      <c r="W59" s="17">
        <f>IFERROR(IFS('Loan Tape (BoE)'!V60=1,"Employed",'Loan Tape (BoE)'!V60=2,"Self-Employed",'Loan Tape (BoE)'!V60=3,"Unemployed",'Loan Tape (BoE)'!V60=4,"Retired"),"")</f>
        <v/>
      </c>
      <c r="X59" s="17">
        <f>IF(OR(V59="Self-Employed",W59="Self-Employed"),"Yes","No")</f>
        <v/>
      </c>
      <c r="Y59" s="17">
        <f>'Loan Tape (BoE)'!W60</f>
        <v/>
      </c>
      <c r="Z59" s="17">
        <f>'Loan Tape (BoE)'!X60</f>
        <v/>
      </c>
      <c r="AA59" s="17">
        <f>IF(T59=1,Y59,MIN(Y59,Z59))</f>
        <v/>
      </c>
      <c r="AB59" s="17">
        <f>'Loan Tape (BoE)'!Y60</f>
        <v/>
      </c>
      <c r="AC59" s="17">
        <f>'Loan Tape (BoE)'!Z60</f>
        <v/>
      </c>
      <c r="AD59" s="17">
        <f>AB59+AC59</f>
        <v/>
      </c>
      <c r="AE59" s="18">
        <f>'Loan Tape (BoE)'!AA60</f>
        <v/>
      </c>
      <c r="AF59" s="18">
        <f>'Loan Tape (BoE)'!AB60</f>
        <v/>
      </c>
      <c r="AG59" s="18">
        <f>AE59+AF59</f>
        <v/>
      </c>
      <c r="AH59" s="19">
        <f>MAX('Loan Tape (BoE)'!AC60,'Loan Tape (BoE)'!AD60)</f>
        <v/>
      </c>
      <c r="AI59" s="18">
        <f>'Loan Tape (BoE)'!AE60</f>
        <v/>
      </c>
      <c r="AJ59" s="18">
        <f>B59*H59/12</f>
        <v/>
      </c>
      <c r="AK59" s="21">
        <f>IF(AJ59&gt;0,AI59/AJ59,0)</f>
        <v/>
      </c>
      <c r="AL59" s="17">
        <f>IF('Loan Tape (BoE)'!AF60=1,"Yes","No")</f>
        <v/>
      </c>
      <c r="AM59" s="17">
        <f>IF('Loan Tape (BoE)'!AH60=1,"Yes","No")</f>
        <v/>
      </c>
      <c r="AN59" s="17">
        <f>IF('Loan Tape (BoE)'!AI60=1,"Yes","No")</f>
        <v/>
      </c>
      <c r="AO59" s="17">
        <f>IF('Loan Tape (BoE)'!AJ60=1,"Yes","No")</f>
        <v/>
      </c>
      <c r="AP59" s="17">
        <f>IF(OR('Loan Tape (BoE)'!AQ59=1,'Loan Tape (BoE)'!AQ59=2),"Yes",IF('Loan Tape (BoE)'!AQ59=0,"No",""))</f>
        <v/>
      </c>
      <c r="AQ59" s="17">
        <f>IF('Loan Tape (BoE)'!BV49_599&lt;&gt;"",'Loan Tape (BoE)'!BV49_59,"")</f>
        <v/>
      </c>
      <c r="AR59" s="17">
        <f>IF('Loan Tape (BoE)'!BV590_59&lt;&gt;"",'Loan Tape (BoE)'!BV50_59,"")</f>
        <v/>
      </c>
      <c r="AS59" s="17">
        <f>IFERROR(INDEX('FF Adj Parameters'!$A$103:$B$1059,MATCH('Loan Tape (BoE)'!P59,INDEX('FF Adj Parameters'!$A$103:$B$1059,,1),0),2),"Unknown")</f>
        <v/>
      </c>
      <c r="AT59" s="17">
        <f>IF(N59="Interest Only",M5*O5/12,IF(AND(O5&gt;0,ISNUMBER(O5),ISNUMBER(M5)),ABS(PMT(O5/12,AU5,-M5)),0))</f>
        <v/>
      </c>
      <c r="AU59" s="17">
        <f>IF(ISNUMBER(L59),MAX(0,(L5-'Control Panel'!$B$10)*12/365.25),0)</f>
        <v/>
      </c>
      <c r="AV59" s="17">
        <f>IF(ISNUMBER(L59),IF(L5&gt;'Control Panel'!$B$10,"Valid","Past Maturity"),"No Date")</f>
        <v/>
      </c>
      <c r="AW59" s="17">
        <f>IF(ISNUMBER(K59),MAX(0,('Control Panel'!$B$10-K5)*12/365.25),0)</f>
        <v/>
      </c>
    </row>
    <row r="60">
      <c r="A60" s="17">
        <f>'Loan Tape (BoE)'!A61</f>
        <v/>
      </c>
      <c r="B60" s="18">
        <f>IFERROR(INDEX('FF Adj Parameters'!$A$89:$B$92,MATCH('Loan Tape (BoE)'!C60,INDEX('FF Adj Parameters'!$A$89:$B$92,,1),0),2),"Unknown")</f>
        <v/>
      </c>
      <c r="C60" s="18">
        <f>'Loan Tape (BoE)'!C61</f>
        <v/>
      </c>
      <c r="D60" s="18">
        <f>'Loan Tape (BoE)'!D61</f>
        <v/>
      </c>
      <c r="E60" s="18">
        <f>'Loan Tape (BoE)'!E61</f>
        <v/>
      </c>
      <c r="F60" s="19">
        <f>'Loan Tape (BoE)'!F61</f>
        <v/>
      </c>
      <c r="G60" s="19">
        <f>'Loan Tape (BoE)'!G61</f>
        <v/>
      </c>
      <c r="H60" s="20">
        <f>'Loan Tape (BoE)'!H61/100</f>
        <v/>
      </c>
      <c r="I60" s="17">
        <f>IFERROR(IFS('Loan Tape (BoE)'!I61=1,"House",'Loan Tape (BoE)'!I61=2,"Flat",'Loan Tape (BoE)'!I61=3,"Bungalow",'Loan Tape (BoE)'!I61=4,"Maisonette"),"")</f>
        <v/>
      </c>
      <c r="J60" s="17">
        <f>'Loan Tape (BoE)'!J61</f>
        <v/>
      </c>
      <c r="K60" s="17">
        <f>'Loan Tape (BoE)'!K61</f>
        <v/>
      </c>
      <c r="L60" s="17">
        <f>IFERROR(IFS('Loan Tape (BoE)'!L61=1,"Owner Occupied",'Loan Tape (BoE)'!L61=2,"BTL",'Loan Tape (BoE)'!L61=3,"Second Home",'Loan Tape (BoE)'!L61=4,"Investment"),"")</f>
        <v/>
      </c>
      <c r="M60" s="17">
        <f>IFERROR(IFS('Loan Tape (BoE)'!M61=1,"Purchase",'Loan Tape (BoE)'!M61=2,"Remortgage",OR('Loan Tape (BoE)'!M61=3,'Loan Tape (BoE)'!M61=4),"Cash-out"),"")</f>
        <v/>
      </c>
      <c r="N60" s="17">
        <f>IFERROR(INDEX('FF Adj Parameters'!$A$96:$B$99,MATCH('Loan Tape (BoE)'!R60,INDEX('FF Adj Parameters'!$A$96:$B$99,,1),0),2),"Unknown")</f>
        <v/>
      </c>
      <c r="O60" s="17">
        <f>IF('Loan Tape (BoE)'!O61=1,"Yes","No")</f>
        <v/>
      </c>
      <c r="P60" s="17">
        <f>IF('Loan Tape (BoE)'!P60=1,"Yes",IF('Loan Tape (BoE)'!P60=0,"No",""))</f>
        <v/>
      </c>
      <c r="Q60" s="17">
        <f>IF('Loan Tape (BoE)'!Q60=1,"Yes",IF('Loan Tape (BoE)'!Q60=0,"No",""))</f>
        <v/>
      </c>
      <c r="R60" s="18">
        <f>IF('Loan Tape (BoE)'!R60=1,"Yes",IF('Loan Tape (BoE)'!R60=0,"No",""))</f>
        <v/>
      </c>
      <c r="S60" s="18">
        <f>IF('Loan Tape (BoE)'!S60=1,"Yes",IF('Loan Tape (BoE)'!S60=0,"No",""))</f>
        <v/>
      </c>
      <c r="T60" s="17">
        <f>IF('Loan Tape (BoE)'!T60=1,"Yes",IF('Loan Tape (BoE)'!T60=0,"No",""))</f>
        <v/>
      </c>
      <c r="U60" s="18">
        <f>R60+S60</f>
        <v/>
      </c>
      <c r="V60" s="17">
        <f>IFERROR(IFS('Loan Tape (BoE)'!U61=1,"Employed",'Loan Tape (BoE)'!U61=2,"Self-Employed",'Loan Tape (BoE)'!U61=3,"Unemployed",'Loan Tape (BoE)'!U61=4,"Retired"),"")</f>
        <v/>
      </c>
      <c r="W60" s="17">
        <f>IFERROR(IFS('Loan Tape (BoE)'!V61=1,"Employed",'Loan Tape (BoE)'!V61=2,"Self-Employed",'Loan Tape (BoE)'!V61=3,"Unemployed",'Loan Tape (BoE)'!V61=4,"Retired"),"")</f>
        <v/>
      </c>
      <c r="X60" s="17">
        <f>IF(OR(V60="Self-Employed",W60="Self-Employed"),"Yes","No")</f>
        <v/>
      </c>
      <c r="Y60" s="17">
        <f>'Loan Tape (BoE)'!W61</f>
        <v/>
      </c>
      <c r="Z60" s="17">
        <f>'Loan Tape (BoE)'!X61</f>
        <v/>
      </c>
      <c r="AA60" s="17">
        <f>IF(T60=1,Y60,MIN(Y60,Z60))</f>
        <v/>
      </c>
      <c r="AB60" s="17">
        <f>'Loan Tape (BoE)'!Y61</f>
        <v/>
      </c>
      <c r="AC60" s="17">
        <f>'Loan Tape (BoE)'!Z61</f>
        <v/>
      </c>
      <c r="AD60" s="17">
        <f>AB60+AC60</f>
        <v/>
      </c>
      <c r="AE60" s="18">
        <f>'Loan Tape (BoE)'!AA61</f>
        <v/>
      </c>
      <c r="AF60" s="18">
        <f>'Loan Tape (BoE)'!AB61</f>
        <v/>
      </c>
      <c r="AG60" s="18">
        <f>AE60+AF60</f>
        <v/>
      </c>
      <c r="AH60" s="19">
        <f>MAX('Loan Tape (BoE)'!AC61,'Loan Tape (BoE)'!AD61)</f>
        <v/>
      </c>
      <c r="AI60" s="18">
        <f>'Loan Tape (BoE)'!AE61</f>
        <v/>
      </c>
      <c r="AJ60" s="18">
        <f>B60*H60/12</f>
        <v/>
      </c>
      <c r="AK60" s="21">
        <f>IF(AJ60&gt;0,AI60/AJ60,0)</f>
        <v/>
      </c>
      <c r="AL60" s="17">
        <f>IF('Loan Tape (BoE)'!AF61=1,"Yes","No")</f>
        <v/>
      </c>
      <c r="AM60" s="17">
        <f>IF('Loan Tape (BoE)'!AH61=1,"Yes","No")</f>
        <v/>
      </c>
      <c r="AN60" s="17">
        <f>IF('Loan Tape (BoE)'!AI61=1,"Yes","No")</f>
        <v/>
      </c>
      <c r="AO60" s="17">
        <f>IF('Loan Tape (BoE)'!AJ61=1,"Yes","No")</f>
        <v/>
      </c>
      <c r="AP60" s="17">
        <f>IF(OR('Loan Tape (BoE)'!AQ60=1,'Loan Tape (BoE)'!AQ60=2),"Yes",IF('Loan Tape (BoE)'!AQ60=0,"No",""))</f>
        <v/>
      </c>
      <c r="AQ60" s="17">
        <f>IF('Loan Tape (BoE)'!BV49_60&lt;&gt;"",'Loan Tape (BoE)'!BV49_60,"")</f>
        <v/>
      </c>
      <c r="AR60" s="17">
        <f>IF('Loan Tape (BoE)'!BV600_60&lt;&gt;"",'Loan Tape (BoE)'!BV50_60,"")</f>
        <v/>
      </c>
      <c r="AS60" s="17">
        <f>IFERROR(INDEX('FF Adj Parameters'!$A$103:$B$1060,MATCH('Loan Tape (BoE)'!P60,INDEX('FF Adj Parameters'!$A$103:$B$1060,,1),0),2),"Unknown")</f>
        <v/>
      </c>
      <c r="AT60" s="17">
        <f>IF(N60="Interest Only",M5*O5/12,IF(AND(O5&gt;0,ISNUMBER(O5),ISNUMBER(M5)),ABS(PMT(O5/12,AU5,-M5)),0))</f>
        <v/>
      </c>
      <c r="AU60" s="17">
        <f>IF(ISNUMBER(L60),MAX(0,(L5-'Control Panel'!$B$10)*12/365.25),0)</f>
        <v/>
      </c>
      <c r="AV60" s="17">
        <f>IF(ISNUMBER(L60),IF(L5&gt;'Control Panel'!$B$10,"Valid","Past Maturity"),"No Date")</f>
        <v/>
      </c>
      <c r="AW60" s="17">
        <f>IF(ISNUMBER(K60),MAX(0,('Control Panel'!$B$10-K5)*12/365.25),0)</f>
        <v/>
      </c>
    </row>
    <row r="61">
      <c r="A61" s="17">
        <f>'Loan Tape (BoE)'!A62</f>
        <v/>
      </c>
      <c r="B61" s="18">
        <f>IFERROR(INDEX('FF Adj Parameters'!$A$89:$B$92,MATCH('Loan Tape (BoE)'!C61,INDEX('FF Adj Parameters'!$A$89:$B$92,,1),0),2),"Unknown")</f>
        <v/>
      </c>
      <c r="C61" s="18">
        <f>'Loan Tape (BoE)'!C62</f>
        <v/>
      </c>
      <c r="D61" s="18">
        <f>'Loan Tape (BoE)'!D62</f>
        <v/>
      </c>
      <c r="E61" s="18">
        <f>'Loan Tape (BoE)'!E62</f>
        <v/>
      </c>
      <c r="F61" s="19">
        <f>'Loan Tape (BoE)'!F62</f>
        <v/>
      </c>
      <c r="G61" s="19">
        <f>'Loan Tape (BoE)'!G62</f>
        <v/>
      </c>
      <c r="H61" s="20">
        <f>'Loan Tape (BoE)'!H62/100</f>
        <v/>
      </c>
      <c r="I61" s="17">
        <f>IFERROR(IFS('Loan Tape (BoE)'!I62=1,"House",'Loan Tape (BoE)'!I62=2,"Flat",'Loan Tape (BoE)'!I62=3,"Bungalow",'Loan Tape (BoE)'!I62=4,"Maisonette"),"")</f>
        <v/>
      </c>
      <c r="J61" s="17">
        <f>'Loan Tape (BoE)'!J62</f>
        <v/>
      </c>
      <c r="K61" s="17">
        <f>'Loan Tape (BoE)'!K62</f>
        <v/>
      </c>
      <c r="L61" s="17">
        <f>IFERROR(IFS('Loan Tape (BoE)'!L62=1,"Owner Occupied",'Loan Tape (BoE)'!L62=2,"BTL",'Loan Tape (BoE)'!L62=3,"Second Home",'Loan Tape (BoE)'!L62=4,"Investment"),"")</f>
        <v/>
      </c>
      <c r="M61" s="17">
        <f>IFERROR(IFS('Loan Tape (BoE)'!M62=1,"Purchase",'Loan Tape (BoE)'!M62=2,"Remortgage",OR('Loan Tape (BoE)'!M62=3,'Loan Tape (BoE)'!M62=4),"Cash-out"),"")</f>
        <v/>
      </c>
      <c r="N61" s="17">
        <f>IFERROR(INDEX('FF Adj Parameters'!$A$96:$B$99,MATCH('Loan Tape (BoE)'!R61,INDEX('FF Adj Parameters'!$A$96:$B$99,,1),0),2),"Unknown")</f>
        <v/>
      </c>
      <c r="O61" s="17">
        <f>IF('Loan Tape (BoE)'!O62=1,"Yes","No")</f>
        <v/>
      </c>
      <c r="P61" s="17">
        <f>IF('Loan Tape (BoE)'!P61=1,"Yes",IF('Loan Tape (BoE)'!P61=0,"No",""))</f>
        <v/>
      </c>
      <c r="Q61" s="17">
        <f>IF('Loan Tape (BoE)'!Q61=1,"Yes",IF('Loan Tape (BoE)'!Q61=0,"No",""))</f>
        <v/>
      </c>
      <c r="R61" s="18">
        <f>IF('Loan Tape (BoE)'!R61=1,"Yes",IF('Loan Tape (BoE)'!R61=0,"No",""))</f>
        <v/>
      </c>
      <c r="S61" s="18">
        <f>IF('Loan Tape (BoE)'!S61=1,"Yes",IF('Loan Tape (BoE)'!S61=0,"No",""))</f>
        <v/>
      </c>
      <c r="T61" s="17">
        <f>IF('Loan Tape (BoE)'!T61=1,"Yes",IF('Loan Tape (BoE)'!T61=0,"No",""))</f>
        <v/>
      </c>
      <c r="U61" s="18">
        <f>R61+S61</f>
        <v/>
      </c>
      <c r="V61" s="17">
        <f>IFERROR(IFS('Loan Tape (BoE)'!U62=1,"Employed",'Loan Tape (BoE)'!U62=2,"Self-Employed",'Loan Tape (BoE)'!U62=3,"Unemployed",'Loan Tape (BoE)'!U62=4,"Retired"),"")</f>
        <v/>
      </c>
      <c r="W61" s="17">
        <f>IFERROR(IFS('Loan Tape (BoE)'!V62=1,"Employed",'Loan Tape (BoE)'!V62=2,"Self-Employed",'Loan Tape (BoE)'!V62=3,"Unemployed",'Loan Tape (BoE)'!V62=4,"Retired"),"")</f>
        <v/>
      </c>
      <c r="X61" s="17">
        <f>IF(OR(V61="Self-Employed",W61="Self-Employed"),"Yes","No")</f>
        <v/>
      </c>
      <c r="Y61" s="17">
        <f>'Loan Tape (BoE)'!W62</f>
        <v/>
      </c>
      <c r="Z61" s="17">
        <f>'Loan Tape (BoE)'!X62</f>
        <v/>
      </c>
      <c r="AA61" s="17">
        <f>IF(T61=1,Y61,MIN(Y61,Z61))</f>
        <v/>
      </c>
      <c r="AB61" s="17">
        <f>'Loan Tape (BoE)'!Y62</f>
        <v/>
      </c>
      <c r="AC61" s="17">
        <f>'Loan Tape (BoE)'!Z62</f>
        <v/>
      </c>
      <c r="AD61" s="17">
        <f>AB61+AC61</f>
        <v/>
      </c>
      <c r="AE61" s="18">
        <f>'Loan Tape (BoE)'!AA62</f>
        <v/>
      </c>
      <c r="AF61" s="18">
        <f>'Loan Tape (BoE)'!AB62</f>
        <v/>
      </c>
      <c r="AG61" s="18">
        <f>AE61+AF61</f>
        <v/>
      </c>
      <c r="AH61" s="19">
        <f>MAX('Loan Tape (BoE)'!AC62,'Loan Tape (BoE)'!AD62)</f>
        <v/>
      </c>
      <c r="AI61" s="18">
        <f>'Loan Tape (BoE)'!AE62</f>
        <v/>
      </c>
      <c r="AJ61" s="18">
        <f>B61*H61/12</f>
        <v/>
      </c>
      <c r="AK61" s="21">
        <f>IF(AJ61&gt;0,AI61/AJ61,0)</f>
        <v/>
      </c>
      <c r="AL61" s="17">
        <f>IF('Loan Tape (BoE)'!AF62=1,"Yes","No")</f>
        <v/>
      </c>
      <c r="AM61" s="17">
        <f>IF('Loan Tape (BoE)'!AH62=1,"Yes","No")</f>
        <v/>
      </c>
      <c r="AN61" s="17">
        <f>IF('Loan Tape (BoE)'!AI62=1,"Yes","No")</f>
        <v/>
      </c>
      <c r="AO61" s="17">
        <f>IF('Loan Tape (BoE)'!AJ62=1,"Yes","No")</f>
        <v/>
      </c>
      <c r="AP61" s="17">
        <f>IF(OR('Loan Tape (BoE)'!AQ61=1,'Loan Tape (BoE)'!AQ61=2),"Yes",IF('Loan Tape (BoE)'!AQ61=0,"No",""))</f>
        <v/>
      </c>
      <c r="AQ61" s="17">
        <f>IF('Loan Tape (BoE)'!BV49_61&lt;&gt;"",'Loan Tape (BoE)'!BV49_61,"")</f>
        <v/>
      </c>
      <c r="AR61" s="17">
        <f>IF('Loan Tape (BoE)'!BV610_61&lt;&gt;"",'Loan Tape (BoE)'!BV50_61,"")</f>
        <v/>
      </c>
      <c r="AS61" s="17">
        <f>IFERROR(INDEX('FF Adj Parameters'!$A$103:$B$1061,MATCH('Loan Tape (BoE)'!P61,INDEX('FF Adj Parameters'!$A$103:$B$1061,,1),0),2),"Unknown")</f>
        <v/>
      </c>
      <c r="AT61" s="17">
        <f>IF(N61="Interest Only",M5*O5/12,IF(AND(O5&gt;0,ISNUMBER(O5),ISNUMBER(M5)),ABS(PMT(O5/12,AU5,-M5)),0))</f>
        <v/>
      </c>
      <c r="AU61" s="17">
        <f>IF(ISNUMBER(L61),MAX(0,(L5-'Control Panel'!$B$10)*12/365.25),0)</f>
        <v/>
      </c>
      <c r="AV61" s="17">
        <f>IF(ISNUMBER(L61),IF(L5&gt;'Control Panel'!$B$10,"Valid","Past Maturity"),"No Date")</f>
        <v/>
      </c>
      <c r="AW61" s="17">
        <f>IF(ISNUMBER(K61),MAX(0,('Control Panel'!$B$10-K5)*12/365.25),0)</f>
        <v/>
      </c>
    </row>
    <row r="62">
      <c r="A62" s="17">
        <f>'Loan Tape (BoE)'!A63</f>
        <v/>
      </c>
      <c r="B62" s="18">
        <f>IFERROR(INDEX('FF Adj Parameters'!$A$89:$B$92,MATCH('Loan Tape (BoE)'!C62,INDEX('FF Adj Parameters'!$A$89:$B$92,,1),0),2),"Unknown")</f>
        <v/>
      </c>
      <c r="C62" s="18">
        <f>'Loan Tape (BoE)'!C63</f>
        <v/>
      </c>
      <c r="D62" s="18">
        <f>'Loan Tape (BoE)'!D63</f>
        <v/>
      </c>
      <c r="E62" s="18">
        <f>'Loan Tape (BoE)'!E63</f>
        <v/>
      </c>
      <c r="F62" s="19">
        <f>'Loan Tape (BoE)'!F63</f>
        <v/>
      </c>
      <c r="G62" s="19">
        <f>'Loan Tape (BoE)'!G63</f>
        <v/>
      </c>
      <c r="H62" s="20">
        <f>'Loan Tape (BoE)'!H63/100</f>
        <v/>
      </c>
      <c r="I62" s="17">
        <f>IFERROR(IFS('Loan Tape (BoE)'!I63=1,"House",'Loan Tape (BoE)'!I63=2,"Flat",'Loan Tape (BoE)'!I63=3,"Bungalow",'Loan Tape (BoE)'!I63=4,"Maisonette"),"")</f>
        <v/>
      </c>
      <c r="J62" s="17">
        <f>'Loan Tape (BoE)'!J63</f>
        <v/>
      </c>
      <c r="K62" s="17">
        <f>'Loan Tape (BoE)'!K63</f>
        <v/>
      </c>
      <c r="L62" s="17">
        <f>IFERROR(IFS('Loan Tape (BoE)'!L63=1,"Owner Occupied",'Loan Tape (BoE)'!L63=2,"BTL",'Loan Tape (BoE)'!L63=3,"Second Home",'Loan Tape (BoE)'!L63=4,"Investment"),"")</f>
        <v/>
      </c>
      <c r="M62" s="17">
        <f>IFERROR(IFS('Loan Tape (BoE)'!M63=1,"Purchase",'Loan Tape (BoE)'!M63=2,"Remortgage",OR('Loan Tape (BoE)'!M63=3,'Loan Tape (BoE)'!M63=4),"Cash-out"),"")</f>
        <v/>
      </c>
      <c r="N62" s="17">
        <f>IFERROR(INDEX('FF Adj Parameters'!$A$96:$B$99,MATCH('Loan Tape (BoE)'!R62,INDEX('FF Adj Parameters'!$A$96:$B$99,,1),0),2),"Unknown")</f>
        <v/>
      </c>
      <c r="O62" s="17">
        <f>IF('Loan Tape (BoE)'!O63=1,"Yes","No")</f>
        <v/>
      </c>
      <c r="P62" s="17">
        <f>IF('Loan Tape (BoE)'!P62=1,"Yes",IF('Loan Tape (BoE)'!P62=0,"No",""))</f>
        <v/>
      </c>
      <c r="Q62" s="17">
        <f>IF('Loan Tape (BoE)'!Q62=1,"Yes",IF('Loan Tape (BoE)'!Q62=0,"No",""))</f>
        <v/>
      </c>
      <c r="R62" s="18">
        <f>IF('Loan Tape (BoE)'!R62=1,"Yes",IF('Loan Tape (BoE)'!R62=0,"No",""))</f>
        <v/>
      </c>
      <c r="S62" s="18">
        <f>IF('Loan Tape (BoE)'!S62=1,"Yes",IF('Loan Tape (BoE)'!S62=0,"No",""))</f>
        <v/>
      </c>
      <c r="T62" s="17">
        <f>IF('Loan Tape (BoE)'!T62=1,"Yes",IF('Loan Tape (BoE)'!T62=0,"No",""))</f>
        <v/>
      </c>
      <c r="U62" s="18">
        <f>R62+S62</f>
        <v/>
      </c>
      <c r="V62" s="17">
        <f>IFERROR(IFS('Loan Tape (BoE)'!U63=1,"Employed",'Loan Tape (BoE)'!U63=2,"Self-Employed",'Loan Tape (BoE)'!U63=3,"Unemployed",'Loan Tape (BoE)'!U63=4,"Retired"),"")</f>
        <v/>
      </c>
      <c r="W62" s="17">
        <f>IFERROR(IFS('Loan Tape (BoE)'!V63=1,"Employed",'Loan Tape (BoE)'!V63=2,"Self-Employed",'Loan Tape (BoE)'!V63=3,"Unemployed",'Loan Tape (BoE)'!V63=4,"Retired"),"")</f>
        <v/>
      </c>
      <c r="X62" s="17">
        <f>IF(OR(V62="Self-Employed",W62="Self-Employed"),"Yes","No")</f>
        <v/>
      </c>
      <c r="Y62" s="17">
        <f>'Loan Tape (BoE)'!W63</f>
        <v/>
      </c>
      <c r="Z62" s="17">
        <f>'Loan Tape (BoE)'!X63</f>
        <v/>
      </c>
      <c r="AA62" s="17">
        <f>IF(T62=1,Y62,MIN(Y62,Z62))</f>
        <v/>
      </c>
      <c r="AB62" s="17">
        <f>'Loan Tape (BoE)'!Y63</f>
        <v/>
      </c>
      <c r="AC62" s="17">
        <f>'Loan Tape (BoE)'!Z63</f>
        <v/>
      </c>
      <c r="AD62" s="17">
        <f>AB62+AC62</f>
        <v/>
      </c>
      <c r="AE62" s="18">
        <f>'Loan Tape (BoE)'!AA63</f>
        <v/>
      </c>
      <c r="AF62" s="18">
        <f>'Loan Tape (BoE)'!AB63</f>
        <v/>
      </c>
      <c r="AG62" s="18">
        <f>AE62+AF62</f>
        <v/>
      </c>
      <c r="AH62" s="19">
        <f>MAX('Loan Tape (BoE)'!AC63,'Loan Tape (BoE)'!AD63)</f>
        <v/>
      </c>
      <c r="AI62" s="18">
        <f>'Loan Tape (BoE)'!AE63</f>
        <v/>
      </c>
      <c r="AJ62" s="18">
        <f>B62*H62/12</f>
        <v/>
      </c>
      <c r="AK62" s="21">
        <f>IF(AJ62&gt;0,AI62/AJ62,0)</f>
        <v/>
      </c>
      <c r="AL62" s="17">
        <f>IF('Loan Tape (BoE)'!AF63=1,"Yes","No")</f>
        <v/>
      </c>
      <c r="AM62" s="17">
        <f>IF('Loan Tape (BoE)'!AH63=1,"Yes","No")</f>
        <v/>
      </c>
      <c r="AN62" s="17">
        <f>IF('Loan Tape (BoE)'!AI63=1,"Yes","No")</f>
        <v/>
      </c>
      <c r="AO62" s="17">
        <f>IF('Loan Tape (BoE)'!AJ63=1,"Yes","No")</f>
        <v/>
      </c>
      <c r="AP62" s="17">
        <f>IF(OR('Loan Tape (BoE)'!AQ62=1,'Loan Tape (BoE)'!AQ62=2),"Yes",IF('Loan Tape (BoE)'!AQ62=0,"No",""))</f>
        <v/>
      </c>
      <c r="AQ62" s="17">
        <f>IF('Loan Tape (BoE)'!BV49_62&lt;&gt;"",'Loan Tape (BoE)'!BV49_62,"")</f>
        <v/>
      </c>
      <c r="AR62" s="17">
        <f>IF('Loan Tape (BoE)'!BV620_62&lt;&gt;"",'Loan Tape (BoE)'!BV50_62,"")</f>
        <v/>
      </c>
      <c r="AS62" s="17">
        <f>IFERROR(INDEX('FF Adj Parameters'!$A$103:$B$1062,MATCH('Loan Tape (BoE)'!P62,INDEX('FF Adj Parameters'!$A$103:$B$1062,,1),0),2),"Unknown")</f>
        <v/>
      </c>
      <c r="AT62" s="17">
        <f>IF(N62="Interest Only",M5*O5/12,IF(AND(O5&gt;0,ISNUMBER(O5),ISNUMBER(M5)),ABS(PMT(O5/12,AU5,-M5)),0))</f>
        <v/>
      </c>
      <c r="AU62" s="17">
        <f>IF(ISNUMBER(L62),MAX(0,(L5-'Control Panel'!$B$10)*12/365.25),0)</f>
        <v/>
      </c>
      <c r="AV62" s="17">
        <f>IF(ISNUMBER(L62),IF(L5&gt;'Control Panel'!$B$10,"Valid","Past Maturity"),"No Date")</f>
        <v/>
      </c>
      <c r="AW62" s="17">
        <f>IF(ISNUMBER(K62),MAX(0,('Control Panel'!$B$10-K5)*12/365.25),0)</f>
        <v/>
      </c>
    </row>
    <row r="63">
      <c r="A63" s="17">
        <f>'Loan Tape (BoE)'!A64</f>
        <v/>
      </c>
      <c r="B63" s="18">
        <f>IFERROR(INDEX('FF Adj Parameters'!$A$89:$B$92,MATCH('Loan Tape (BoE)'!C63,INDEX('FF Adj Parameters'!$A$89:$B$92,,1),0),2),"Unknown")</f>
        <v/>
      </c>
      <c r="C63" s="18">
        <f>'Loan Tape (BoE)'!C64</f>
        <v/>
      </c>
      <c r="D63" s="18">
        <f>'Loan Tape (BoE)'!D64</f>
        <v/>
      </c>
      <c r="E63" s="18">
        <f>'Loan Tape (BoE)'!E64</f>
        <v/>
      </c>
      <c r="F63" s="19">
        <f>'Loan Tape (BoE)'!F64</f>
        <v/>
      </c>
      <c r="G63" s="19">
        <f>'Loan Tape (BoE)'!G64</f>
        <v/>
      </c>
      <c r="H63" s="20">
        <f>'Loan Tape (BoE)'!H64/100</f>
        <v/>
      </c>
      <c r="I63" s="17">
        <f>IFERROR(IFS('Loan Tape (BoE)'!I64=1,"House",'Loan Tape (BoE)'!I64=2,"Flat",'Loan Tape (BoE)'!I64=3,"Bungalow",'Loan Tape (BoE)'!I64=4,"Maisonette"),"")</f>
        <v/>
      </c>
      <c r="J63" s="17">
        <f>'Loan Tape (BoE)'!J64</f>
        <v/>
      </c>
      <c r="K63" s="17">
        <f>'Loan Tape (BoE)'!K64</f>
        <v/>
      </c>
      <c r="L63" s="17">
        <f>IFERROR(IFS('Loan Tape (BoE)'!L64=1,"Owner Occupied",'Loan Tape (BoE)'!L64=2,"BTL",'Loan Tape (BoE)'!L64=3,"Second Home",'Loan Tape (BoE)'!L64=4,"Investment"),"")</f>
        <v/>
      </c>
      <c r="M63" s="17">
        <f>IFERROR(IFS('Loan Tape (BoE)'!M64=1,"Purchase",'Loan Tape (BoE)'!M64=2,"Remortgage",OR('Loan Tape (BoE)'!M64=3,'Loan Tape (BoE)'!M64=4),"Cash-out"),"")</f>
        <v/>
      </c>
      <c r="N63" s="17">
        <f>IFERROR(INDEX('FF Adj Parameters'!$A$96:$B$99,MATCH('Loan Tape (BoE)'!R63,INDEX('FF Adj Parameters'!$A$96:$B$99,,1),0),2),"Unknown")</f>
        <v/>
      </c>
      <c r="O63" s="17">
        <f>IF('Loan Tape (BoE)'!O64=1,"Yes","No")</f>
        <v/>
      </c>
      <c r="P63" s="17">
        <f>IF('Loan Tape (BoE)'!P63=1,"Yes",IF('Loan Tape (BoE)'!P63=0,"No",""))</f>
        <v/>
      </c>
      <c r="Q63" s="17">
        <f>IF('Loan Tape (BoE)'!Q63=1,"Yes",IF('Loan Tape (BoE)'!Q63=0,"No",""))</f>
        <v/>
      </c>
      <c r="R63" s="18">
        <f>IF('Loan Tape (BoE)'!R63=1,"Yes",IF('Loan Tape (BoE)'!R63=0,"No",""))</f>
        <v/>
      </c>
      <c r="S63" s="18">
        <f>IF('Loan Tape (BoE)'!S63=1,"Yes",IF('Loan Tape (BoE)'!S63=0,"No",""))</f>
        <v/>
      </c>
      <c r="T63" s="17">
        <f>IF('Loan Tape (BoE)'!T63=1,"Yes",IF('Loan Tape (BoE)'!T63=0,"No",""))</f>
        <v/>
      </c>
      <c r="U63" s="18">
        <f>R63+S63</f>
        <v/>
      </c>
      <c r="V63" s="17">
        <f>IFERROR(IFS('Loan Tape (BoE)'!U64=1,"Employed",'Loan Tape (BoE)'!U64=2,"Self-Employed",'Loan Tape (BoE)'!U64=3,"Unemployed",'Loan Tape (BoE)'!U64=4,"Retired"),"")</f>
        <v/>
      </c>
      <c r="W63" s="17">
        <f>IFERROR(IFS('Loan Tape (BoE)'!V64=1,"Employed",'Loan Tape (BoE)'!V64=2,"Self-Employed",'Loan Tape (BoE)'!V64=3,"Unemployed",'Loan Tape (BoE)'!V64=4,"Retired"),"")</f>
        <v/>
      </c>
      <c r="X63" s="17">
        <f>IF(OR(V63="Self-Employed",W63="Self-Employed"),"Yes","No")</f>
        <v/>
      </c>
      <c r="Y63" s="17">
        <f>'Loan Tape (BoE)'!W64</f>
        <v/>
      </c>
      <c r="Z63" s="17">
        <f>'Loan Tape (BoE)'!X64</f>
        <v/>
      </c>
      <c r="AA63" s="17">
        <f>IF(T63=1,Y63,MIN(Y63,Z63))</f>
        <v/>
      </c>
      <c r="AB63" s="17">
        <f>'Loan Tape (BoE)'!Y64</f>
        <v/>
      </c>
      <c r="AC63" s="17">
        <f>'Loan Tape (BoE)'!Z64</f>
        <v/>
      </c>
      <c r="AD63" s="17">
        <f>AB63+AC63</f>
        <v/>
      </c>
      <c r="AE63" s="18">
        <f>'Loan Tape (BoE)'!AA64</f>
        <v/>
      </c>
      <c r="AF63" s="18">
        <f>'Loan Tape (BoE)'!AB64</f>
        <v/>
      </c>
      <c r="AG63" s="18">
        <f>AE63+AF63</f>
        <v/>
      </c>
      <c r="AH63" s="19">
        <f>MAX('Loan Tape (BoE)'!AC64,'Loan Tape (BoE)'!AD64)</f>
        <v/>
      </c>
      <c r="AI63" s="18">
        <f>'Loan Tape (BoE)'!AE64</f>
        <v/>
      </c>
      <c r="AJ63" s="18">
        <f>B63*H63/12</f>
        <v/>
      </c>
      <c r="AK63" s="21">
        <f>IF(AJ63&gt;0,AI63/AJ63,0)</f>
        <v/>
      </c>
      <c r="AL63" s="17">
        <f>IF('Loan Tape (BoE)'!AF64=1,"Yes","No")</f>
        <v/>
      </c>
      <c r="AM63" s="17">
        <f>IF('Loan Tape (BoE)'!AH64=1,"Yes","No")</f>
        <v/>
      </c>
      <c r="AN63" s="17">
        <f>IF('Loan Tape (BoE)'!AI64=1,"Yes","No")</f>
        <v/>
      </c>
      <c r="AO63" s="17">
        <f>IF('Loan Tape (BoE)'!AJ64=1,"Yes","No")</f>
        <v/>
      </c>
      <c r="AP63" s="17">
        <f>IF(OR('Loan Tape (BoE)'!AQ63=1,'Loan Tape (BoE)'!AQ63=2),"Yes",IF('Loan Tape (BoE)'!AQ63=0,"No",""))</f>
        <v/>
      </c>
      <c r="AQ63" s="17">
        <f>IF('Loan Tape (BoE)'!BV49_63&lt;&gt;"",'Loan Tape (BoE)'!BV49_63,"")</f>
        <v/>
      </c>
      <c r="AR63" s="17">
        <f>IF('Loan Tape (BoE)'!BV630_63&lt;&gt;"",'Loan Tape (BoE)'!BV50_63,"")</f>
        <v/>
      </c>
      <c r="AS63" s="17">
        <f>IFERROR(INDEX('FF Adj Parameters'!$A$103:$B$1063,MATCH('Loan Tape (BoE)'!P63,INDEX('FF Adj Parameters'!$A$103:$B$1063,,1),0),2),"Unknown")</f>
        <v/>
      </c>
      <c r="AT63" s="17">
        <f>IF(N63="Interest Only",M5*O5/12,IF(AND(O5&gt;0,ISNUMBER(O5),ISNUMBER(M5)),ABS(PMT(O5/12,AU5,-M5)),0))</f>
        <v/>
      </c>
      <c r="AU63" s="17">
        <f>IF(ISNUMBER(L63),MAX(0,(L5-'Control Panel'!$B$10)*12/365.25),0)</f>
        <v/>
      </c>
      <c r="AV63" s="17">
        <f>IF(ISNUMBER(L63),IF(L5&gt;'Control Panel'!$B$10,"Valid","Past Maturity"),"No Date")</f>
        <v/>
      </c>
      <c r="AW63" s="17">
        <f>IF(ISNUMBER(K63),MAX(0,('Control Panel'!$B$10-K5)*12/365.25),0)</f>
        <v/>
      </c>
    </row>
    <row r="64">
      <c r="A64" s="17">
        <f>'Loan Tape (BoE)'!A65</f>
        <v/>
      </c>
      <c r="B64" s="18">
        <f>IFERROR(INDEX('FF Adj Parameters'!$A$89:$B$92,MATCH('Loan Tape (BoE)'!C64,INDEX('FF Adj Parameters'!$A$89:$B$92,,1),0),2),"Unknown")</f>
        <v/>
      </c>
      <c r="C64" s="18">
        <f>'Loan Tape (BoE)'!C65</f>
        <v/>
      </c>
      <c r="D64" s="18">
        <f>'Loan Tape (BoE)'!D65</f>
        <v/>
      </c>
      <c r="E64" s="18">
        <f>'Loan Tape (BoE)'!E65</f>
        <v/>
      </c>
      <c r="F64" s="19">
        <f>'Loan Tape (BoE)'!F65</f>
        <v/>
      </c>
      <c r="G64" s="19">
        <f>'Loan Tape (BoE)'!G65</f>
        <v/>
      </c>
      <c r="H64" s="20">
        <f>'Loan Tape (BoE)'!H65/100</f>
        <v/>
      </c>
      <c r="I64" s="17">
        <f>IFERROR(IFS('Loan Tape (BoE)'!I65=1,"House",'Loan Tape (BoE)'!I65=2,"Flat",'Loan Tape (BoE)'!I65=3,"Bungalow",'Loan Tape (BoE)'!I65=4,"Maisonette"),"")</f>
        <v/>
      </c>
      <c r="J64" s="17">
        <f>'Loan Tape (BoE)'!J65</f>
        <v/>
      </c>
      <c r="K64" s="17">
        <f>'Loan Tape (BoE)'!K65</f>
        <v/>
      </c>
      <c r="L64" s="17">
        <f>IFERROR(IFS('Loan Tape (BoE)'!L65=1,"Owner Occupied",'Loan Tape (BoE)'!L65=2,"BTL",'Loan Tape (BoE)'!L65=3,"Second Home",'Loan Tape (BoE)'!L65=4,"Investment"),"")</f>
        <v/>
      </c>
      <c r="M64" s="17">
        <f>IFERROR(IFS('Loan Tape (BoE)'!M65=1,"Purchase",'Loan Tape (BoE)'!M65=2,"Remortgage",OR('Loan Tape (BoE)'!M65=3,'Loan Tape (BoE)'!M65=4),"Cash-out"),"")</f>
        <v/>
      </c>
      <c r="N64" s="17">
        <f>IFERROR(INDEX('FF Adj Parameters'!$A$96:$B$99,MATCH('Loan Tape (BoE)'!R64,INDEX('FF Adj Parameters'!$A$96:$B$99,,1),0),2),"Unknown")</f>
        <v/>
      </c>
      <c r="O64" s="17">
        <f>IF('Loan Tape (BoE)'!O65=1,"Yes","No")</f>
        <v/>
      </c>
      <c r="P64" s="17">
        <f>IF('Loan Tape (BoE)'!P64=1,"Yes",IF('Loan Tape (BoE)'!P64=0,"No",""))</f>
        <v/>
      </c>
      <c r="Q64" s="17">
        <f>IF('Loan Tape (BoE)'!Q64=1,"Yes",IF('Loan Tape (BoE)'!Q64=0,"No",""))</f>
        <v/>
      </c>
      <c r="R64" s="18">
        <f>IF('Loan Tape (BoE)'!R64=1,"Yes",IF('Loan Tape (BoE)'!R64=0,"No",""))</f>
        <v/>
      </c>
      <c r="S64" s="18">
        <f>IF('Loan Tape (BoE)'!S64=1,"Yes",IF('Loan Tape (BoE)'!S64=0,"No",""))</f>
        <v/>
      </c>
      <c r="T64" s="17">
        <f>IF('Loan Tape (BoE)'!T64=1,"Yes",IF('Loan Tape (BoE)'!T64=0,"No",""))</f>
        <v/>
      </c>
      <c r="U64" s="18">
        <f>R64+S64</f>
        <v/>
      </c>
      <c r="V64" s="17">
        <f>IFERROR(IFS('Loan Tape (BoE)'!U65=1,"Employed",'Loan Tape (BoE)'!U65=2,"Self-Employed",'Loan Tape (BoE)'!U65=3,"Unemployed",'Loan Tape (BoE)'!U65=4,"Retired"),"")</f>
        <v/>
      </c>
      <c r="W64" s="17">
        <f>IFERROR(IFS('Loan Tape (BoE)'!V65=1,"Employed",'Loan Tape (BoE)'!V65=2,"Self-Employed",'Loan Tape (BoE)'!V65=3,"Unemployed",'Loan Tape (BoE)'!V65=4,"Retired"),"")</f>
        <v/>
      </c>
      <c r="X64" s="17">
        <f>IF(OR(V64="Self-Employed",W64="Self-Employed"),"Yes","No")</f>
        <v/>
      </c>
      <c r="Y64" s="17">
        <f>'Loan Tape (BoE)'!W65</f>
        <v/>
      </c>
      <c r="Z64" s="17">
        <f>'Loan Tape (BoE)'!X65</f>
        <v/>
      </c>
      <c r="AA64" s="17">
        <f>IF(T64=1,Y64,MIN(Y64,Z64))</f>
        <v/>
      </c>
      <c r="AB64" s="17">
        <f>'Loan Tape (BoE)'!Y65</f>
        <v/>
      </c>
      <c r="AC64" s="17">
        <f>'Loan Tape (BoE)'!Z65</f>
        <v/>
      </c>
      <c r="AD64" s="17">
        <f>AB64+AC64</f>
        <v/>
      </c>
      <c r="AE64" s="18">
        <f>'Loan Tape (BoE)'!AA65</f>
        <v/>
      </c>
      <c r="AF64" s="18">
        <f>'Loan Tape (BoE)'!AB65</f>
        <v/>
      </c>
      <c r="AG64" s="18">
        <f>AE64+AF64</f>
        <v/>
      </c>
      <c r="AH64" s="19">
        <f>MAX('Loan Tape (BoE)'!AC65,'Loan Tape (BoE)'!AD65)</f>
        <v/>
      </c>
      <c r="AI64" s="18">
        <f>'Loan Tape (BoE)'!AE65</f>
        <v/>
      </c>
      <c r="AJ64" s="18">
        <f>B64*H64/12</f>
        <v/>
      </c>
      <c r="AK64" s="21">
        <f>IF(AJ64&gt;0,AI64/AJ64,0)</f>
        <v/>
      </c>
      <c r="AL64" s="17">
        <f>IF('Loan Tape (BoE)'!AF65=1,"Yes","No")</f>
        <v/>
      </c>
      <c r="AM64" s="17">
        <f>IF('Loan Tape (BoE)'!AH65=1,"Yes","No")</f>
        <v/>
      </c>
      <c r="AN64" s="17">
        <f>IF('Loan Tape (BoE)'!AI65=1,"Yes","No")</f>
        <v/>
      </c>
      <c r="AO64" s="17">
        <f>IF('Loan Tape (BoE)'!AJ65=1,"Yes","No")</f>
        <v/>
      </c>
      <c r="AP64" s="17">
        <f>IF(OR('Loan Tape (BoE)'!AQ64=1,'Loan Tape (BoE)'!AQ64=2),"Yes",IF('Loan Tape (BoE)'!AQ64=0,"No",""))</f>
        <v/>
      </c>
      <c r="AQ64" s="17">
        <f>IF('Loan Tape (BoE)'!BV49_64&lt;&gt;"",'Loan Tape (BoE)'!BV49_64,"")</f>
        <v/>
      </c>
      <c r="AR64" s="17">
        <f>IF('Loan Tape (BoE)'!BV640_64&lt;&gt;"",'Loan Tape (BoE)'!BV50_64,"")</f>
        <v/>
      </c>
      <c r="AS64" s="17">
        <f>IFERROR(INDEX('FF Adj Parameters'!$A$103:$B$1064,MATCH('Loan Tape (BoE)'!P64,INDEX('FF Adj Parameters'!$A$103:$B$1064,,1),0),2),"Unknown")</f>
        <v/>
      </c>
      <c r="AT64" s="17">
        <f>IF(N64="Interest Only",M5*O5/12,IF(AND(O5&gt;0,ISNUMBER(O5),ISNUMBER(M5)),ABS(PMT(O5/12,AU5,-M5)),0))</f>
        <v/>
      </c>
      <c r="AU64" s="17">
        <f>IF(ISNUMBER(L64),MAX(0,(L5-'Control Panel'!$B$10)*12/365.25),0)</f>
        <v/>
      </c>
      <c r="AV64" s="17">
        <f>IF(ISNUMBER(L64),IF(L5&gt;'Control Panel'!$B$10,"Valid","Past Maturity"),"No Date")</f>
        <v/>
      </c>
      <c r="AW64" s="17">
        <f>IF(ISNUMBER(K64),MAX(0,('Control Panel'!$B$10-K5)*12/365.25),0)</f>
        <v/>
      </c>
    </row>
    <row r="65">
      <c r="A65" s="17">
        <f>'Loan Tape (BoE)'!A66</f>
        <v/>
      </c>
      <c r="B65" s="18">
        <f>IFERROR(INDEX('FF Adj Parameters'!$A$89:$B$92,MATCH('Loan Tape (BoE)'!C65,INDEX('FF Adj Parameters'!$A$89:$B$92,,1),0),2),"Unknown")</f>
        <v/>
      </c>
      <c r="C65" s="18">
        <f>'Loan Tape (BoE)'!C66</f>
        <v/>
      </c>
      <c r="D65" s="18">
        <f>'Loan Tape (BoE)'!D66</f>
        <v/>
      </c>
      <c r="E65" s="18">
        <f>'Loan Tape (BoE)'!E66</f>
        <v/>
      </c>
      <c r="F65" s="19">
        <f>'Loan Tape (BoE)'!F66</f>
        <v/>
      </c>
      <c r="G65" s="19">
        <f>'Loan Tape (BoE)'!G66</f>
        <v/>
      </c>
      <c r="H65" s="20">
        <f>'Loan Tape (BoE)'!H66/100</f>
        <v/>
      </c>
      <c r="I65" s="17">
        <f>IFERROR(IFS('Loan Tape (BoE)'!I66=1,"House",'Loan Tape (BoE)'!I66=2,"Flat",'Loan Tape (BoE)'!I66=3,"Bungalow",'Loan Tape (BoE)'!I66=4,"Maisonette"),"")</f>
        <v/>
      </c>
      <c r="J65" s="17">
        <f>'Loan Tape (BoE)'!J66</f>
        <v/>
      </c>
      <c r="K65" s="17">
        <f>'Loan Tape (BoE)'!K66</f>
        <v/>
      </c>
      <c r="L65" s="17">
        <f>IFERROR(IFS('Loan Tape (BoE)'!L66=1,"Owner Occupied",'Loan Tape (BoE)'!L66=2,"BTL",'Loan Tape (BoE)'!L66=3,"Second Home",'Loan Tape (BoE)'!L66=4,"Investment"),"")</f>
        <v/>
      </c>
      <c r="M65" s="17">
        <f>IFERROR(IFS('Loan Tape (BoE)'!M66=1,"Purchase",'Loan Tape (BoE)'!M66=2,"Remortgage",OR('Loan Tape (BoE)'!M66=3,'Loan Tape (BoE)'!M66=4),"Cash-out"),"")</f>
        <v/>
      </c>
      <c r="N65" s="17">
        <f>IFERROR(INDEX('FF Adj Parameters'!$A$96:$B$99,MATCH('Loan Tape (BoE)'!R65,INDEX('FF Adj Parameters'!$A$96:$B$99,,1),0),2),"Unknown")</f>
        <v/>
      </c>
      <c r="O65" s="17">
        <f>IF('Loan Tape (BoE)'!O66=1,"Yes","No")</f>
        <v/>
      </c>
      <c r="P65" s="17">
        <f>IF('Loan Tape (BoE)'!P65=1,"Yes",IF('Loan Tape (BoE)'!P65=0,"No",""))</f>
        <v/>
      </c>
      <c r="Q65" s="17">
        <f>IF('Loan Tape (BoE)'!Q65=1,"Yes",IF('Loan Tape (BoE)'!Q65=0,"No",""))</f>
        <v/>
      </c>
      <c r="R65" s="18">
        <f>IF('Loan Tape (BoE)'!R65=1,"Yes",IF('Loan Tape (BoE)'!R65=0,"No",""))</f>
        <v/>
      </c>
      <c r="S65" s="18">
        <f>IF('Loan Tape (BoE)'!S65=1,"Yes",IF('Loan Tape (BoE)'!S65=0,"No",""))</f>
        <v/>
      </c>
      <c r="T65" s="17">
        <f>IF('Loan Tape (BoE)'!T65=1,"Yes",IF('Loan Tape (BoE)'!T65=0,"No",""))</f>
        <v/>
      </c>
      <c r="U65" s="18">
        <f>R65+S65</f>
        <v/>
      </c>
      <c r="V65" s="17">
        <f>IFERROR(IFS('Loan Tape (BoE)'!U66=1,"Employed",'Loan Tape (BoE)'!U66=2,"Self-Employed",'Loan Tape (BoE)'!U66=3,"Unemployed",'Loan Tape (BoE)'!U66=4,"Retired"),"")</f>
        <v/>
      </c>
      <c r="W65" s="17">
        <f>IFERROR(IFS('Loan Tape (BoE)'!V66=1,"Employed",'Loan Tape (BoE)'!V66=2,"Self-Employed",'Loan Tape (BoE)'!V66=3,"Unemployed",'Loan Tape (BoE)'!V66=4,"Retired"),"")</f>
        <v/>
      </c>
      <c r="X65" s="17">
        <f>IF(OR(V65="Self-Employed",W65="Self-Employed"),"Yes","No")</f>
        <v/>
      </c>
      <c r="Y65" s="17">
        <f>'Loan Tape (BoE)'!W66</f>
        <v/>
      </c>
      <c r="Z65" s="17">
        <f>'Loan Tape (BoE)'!X66</f>
        <v/>
      </c>
      <c r="AA65" s="17">
        <f>IF(T65=1,Y65,MIN(Y65,Z65))</f>
        <v/>
      </c>
      <c r="AB65" s="17">
        <f>'Loan Tape (BoE)'!Y66</f>
        <v/>
      </c>
      <c r="AC65" s="17">
        <f>'Loan Tape (BoE)'!Z66</f>
        <v/>
      </c>
      <c r="AD65" s="17">
        <f>AB65+AC65</f>
        <v/>
      </c>
      <c r="AE65" s="18">
        <f>'Loan Tape (BoE)'!AA66</f>
        <v/>
      </c>
      <c r="AF65" s="18">
        <f>'Loan Tape (BoE)'!AB66</f>
        <v/>
      </c>
      <c r="AG65" s="18">
        <f>AE65+AF65</f>
        <v/>
      </c>
      <c r="AH65" s="19">
        <f>MAX('Loan Tape (BoE)'!AC66,'Loan Tape (BoE)'!AD66)</f>
        <v/>
      </c>
      <c r="AI65" s="18">
        <f>'Loan Tape (BoE)'!AE66</f>
        <v/>
      </c>
      <c r="AJ65" s="18">
        <f>B65*H65/12</f>
        <v/>
      </c>
      <c r="AK65" s="21">
        <f>IF(AJ65&gt;0,AI65/AJ65,0)</f>
        <v/>
      </c>
      <c r="AL65" s="17">
        <f>IF('Loan Tape (BoE)'!AF66=1,"Yes","No")</f>
        <v/>
      </c>
      <c r="AM65" s="17">
        <f>IF('Loan Tape (BoE)'!AH66=1,"Yes","No")</f>
        <v/>
      </c>
      <c r="AN65" s="17">
        <f>IF('Loan Tape (BoE)'!AI66=1,"Yes","No")</f>
        <v/>
      </c>
      <c r="AO65" s="17">
        <f>IF('Loan Tape (BoE)'!AJ66=1,"Yes","No")</f>
        <v/>
      </c>
      <c r="AP65" s="17">
        <f>IF(OR('Loan Tape (BoE)'!AQ65=1,'Loan Tape (BoE)'!AQ65=2),"Yes",IF('Loan Tape (BoE)'!AQ65=0,"No",""))</f>
        <v/>
      </c>
      <c r="AQ65" s="17">
        <f>IF('Loan Tape (BoE)'!BV49_665&lt;&gt;"",'Loan Tape (BoE)'!BV49_65,"")</f>
        <v/>
      </c>
      <c r="AR65" s="17">
        <f>IF('Loan Tape (BoE)'!BV650_65&lt;&gt;"",'Loan Tape (BoE)'!BV50_65,"")</f>
        <v/>
      </c>
      <c r="AS65" s="17">
        <f>IFERROR(INDEX('FF Adj Parameters'!$A$103:$B$1065,MATCH('Loan Tape (BoE)'!P65,INDEX('FF Adj Parameters'!$A$103:$B$1065,,1),0),2),"Unknown")</f>
        <v/>
      </c>
      <c r="AT65" s="17">
        <f>IF(N65="Interest Only",M5*O5/12,IF(AND(O5&gt;0,ISNUMBER(O5),ISNUMBER(M5)),ABS(PMT(O5/12,AU5,-M5)),0))</f>
        <v/>
      </c>
      <c r="AU65" s="17">
        <f>IF(ISNUMBER(L65),MAX(0,(L5-'Control Panel'!$B$10)*12/365.25),0)</f>
        <v/>
      </c>
      <c r="AV65" s="17">
        <f>IF(ISNUMBER(L65),IF(L5&gt;'Control Panel'!$B$10,"Valid","Past Maturity"),"No Date")</f>
        <v/>
      </c>
      <c r="AW65" s="17">
        <f>IF(ISNUMBER(K65),MAX(0,('Control Panel'!$B$10-K5)*12/365.25),0)</f>
        <v/>
      </c>
    </row>
    <row r="66">
      <c r="A66" s="17">
        <f>'Loan Tape (BoE)'!A67</f>
        <v/>
      </c>
      <c r="B66" s="18">
        <f>IFERROR(INDEX('FF Adj Parameters'!$A$89:$B$92,MATCH('Loan Tape (BoE)'!C66,INDEX('FF Adj Parameters'!$A$89:$B$92,,1),0),2),"Unknown")</f>
        <v/>
      </c>
      <c r="C66" s="18">
        <f>'Loan Tape (BoE)'!C67</f>
        <v/>
      </c>
      <c r="D66" s="18">
        <f>'Loan Tape (BoE)'!D67</f>
        <v/>
      </c>
      <c r="E66" s="18">
        <f>'Loan Tape (BoE)'!E67</f>
        <v/>
      </c>
      <c r="F66" s="19">
        <f>'Loan Tape (BoE)'!F67</f>
        <v/>
      </c>
      <c r="G66" s="19">
        <f>'Loan Tape (BoE)'!G67</f>
        <v/>
      </c>
      <c r="H66" s="20">
        <f>'Loan Tape (BoE)'!H67/100</f>
        <v/>
      </c>
      <c r="I66" s="17">
        <f>IFERROR(IFS('Loan Tape (BoE)'!I67=1,"House",'Loan Tape (BoE)'!I67=2,"Flat",'Loan Tape (BoE)'!I67=3,"Bungalow",'Loan Tape (BoE)'!I67=4,"Maisonette"),"")</f>
        <v/>
      </c>
      <c r="J66" s="17">
        <f>'Loan Tape (BoE)'!J67</f>
        <v/>
      </c>
      <c r="K66" s="17">
        <f>'Loan Tape (BoE)'!K67</f>
        <v/>
      </c>
      <c r="L66" s="17">
        <f>IFERROR(IFS('Loan Tape (BoE)'!L67=1,"Owner Occupied",'Loan Tape (BoE)'!L67=2,"BTL",'Loan Tape (BoE)'!L67=3,"Second Home",'Loan Tape (BoE)'!L67=4,"Investment"),"")</f>
        <v/>
      </c>
      <c r="M66" s="17">
        <f>IFERROR(IFS('Loan Tape (BoE)'!M67=1,"Purchase",'Loan Tape (BoE)'!M67=2,"Remortgage",OR('Loan Tape (BoE)'!M67=3,'Loan Tape (BoE)'!M67=4),"Cash-out"),"")</f>
        <v/>
      </c>
      <c r="N66" s="17">
        <f>IFERROR(INDEX('FF Adj Parameters'!$A$96:$B$99,MATCH('Loan Tape (BoE)'!R66,INDEX('FF Adj Parameters'!$A$96:$B$99,,1),0),2),"Unknown")</f>
        <v/>
      </c>
      <c r="O66" s="17">
        <f>IF('Loan Tape (BoE)'!O67=1,"Yes","No")</f>
        <v/>
      </c>
      <c r="P66" s="17">
        <f>IF('Loan Tape (BoE)'!P66=1,"Yes",IF('Loan Tape (BoE)'!P66=0,"No",""))</f>
        <v/>
      </c>
      <c r="Q66" s="17">
        <f>IF('Loan Tape (BoE)'!Q66=1,"Yes",IF('Loan Tape (BoE)'!Q66=0,"No",""))</f>
        <v/>
      </c>
      <c r="R66" s="18">
        <f>IF('Loan Tape (BoE)'!R66=1,"Yes",IF('Loan Tape (BoE)'!R66=0,"No",""))</f>
        <v/>
      </c>
      <c r="S66" s="18">
        <f>IF('Loan Tape (BoE)'!S66=1,"Yes",IF('Loan Tape (BoE)'!S66=0,"No",""))</f>
        <v/>
      </c>
      <c r="T66" s="17">
        <f>IF('Loan Tape (BoE)'!T66=1,"Yes",IF('Loan Tape (BoE)'!T66=0,"No",""))</f>
        <v/>
      </c>
      <c r="U66" s="18">
        <f>R66+S66</f>
        <v/>
      </c>
      <c r="V66" s="17">
        <f>IFERROR(IFS('Loan Tape (BoE)'!U67=1,"Employed",'Loan Tape (BoE)'!U67=2,"Self-Employed",'Loan Tape (BoE)'!U67=3,"Unemployed",'Loan Tape (BoE)'!U67=4,"Retired"),"")</f>
        <v/>
      </c>
      <c r="W66" s="17">
        <f>IFERROR(IFS('Loan Tape (BoE)'!V67=1,"Employed",'Loan Tape (BoE)'!V67=2,"Self-Employed",'Loan Tape (BoE)'!V67=3,"Unemployed",'Loan Tape (BoE)'!V67=4,"Retired"),"")</f>
        <v/>
      </c>
      <c r="X66" s="17">
        <f>IF(OR(V66="Self-Employed",W66="Self-Employed"),"Yes","No")</f>
        <v/>
      </c>
      <c r="Y66" s="17">
        <f>'Loan Tape (BoE)'!W67</f>
        <v/>
      </c>
      <c r="Z66" s="17">
        <f>'Loan Tape (BoE)'!X67</f>
        <v/>
      </c>
      <c r="AA66" s="17">
        <f>IF(T66=1,Y66,MIN(Y66,Z66))</f>
        <v/>
      </c>
      <c r="AB66" s="17">
        <f>'Loan Tape (BoE)'!Y67</f>
        <v/>
      </c>
      <c r="AC66" s="17">
        <f>'Loan Tape (BoE)'!Z67</f>
        <v/>
      </c>
      <c r="AD66" s="17">
        <f>AB66+AC66</f>
        <v/>
      </c>
      <c r="AE66" s="18">
        <f>'Loan Tape (BoE)'!AA67</f>
        <v/>
      </c>
      <c r="AF66" s="18">
        <f>'Loan Tape (BoE)'!AB67</f>
        <v/>
      </c>
      <c r="AG66" s="18">
        <f>AE66+AF66</f>
        <v/>
      </c>
      <c r="AH66" s="19">
        <f>MAX('Loan Tape (BoE)'!AC67,'Loan Tape (BoE)'!AD67)</f>
        <v/>
      </c>
      <c r="AI66" s="18">
        <f>'Loan Tape (BoE)'!AE67</f>
        <v/>
      </c>
      <c r="AJ66" s="18">
        <f>B66*H66/12</f>
        <v/>
      </c>
      <c r="AK66" s="21">
        <f>IF(AJ66&gt;0,AI66/AJ66,0)</f>
        <v/>
      </c>
      <c r="AL66" s="17">
        <f>IF('Loan Tape (BoE)'!AF67=1,"Yes","No")</f>
        <v/>
      </c>
      <c r="AM66" s="17">
        <f>IF('Loan Tape (BoE)'!AH67=1,"Yes","No")</f>
        <v/>
      </c>
      <c r="AN66" s="17">
        <f>IF('Loan Tape (BoE)'!AI67=1,"Yes","No")</f>
        <v/>
      </c>
      <c r="AO66" s="17">
        <f>IF('Loan Tape (BoE)'!AJ67=1,"Yes","No")</f>
        <v/>
      </c>
      <c r="AP66" s="17">
        <f>IF(OR('Loan Tape (BoE)'!AQ66=1,'Loan Tape (BoE)'!AQ66=2),"Yes",IF('Loan Tape (BoE)'!AQ66=0,"No",""))</f>
        <v/>
      </c>
      <c r="AQ66" s="17">
        <f>IF('Loan Tape (BoE)'!BV49_66&lt;&gt;"",'Loan Tape (BoE)'!BV49_66,"")</f>
        <v/>
      </c>
      <c r="AR66" s="17">
        <f>IF('Loan Tape (BoE)'!BV660_66&lt;&gt;"",'Loan Tape (BoE)'!BV50_66,"")</f>
        <v/>
      </c>
      <c r="AS66" s="17">
        <f>IFERROR(INDEX('FF Adj Parameters'!$A$103:$B$1066,MATCH('Loan Tape (BoE)'!P66,INDEX('FF Adj Parameters'!$A$103:$B$1066,,1),0),2),"Unknown")</f>
        <v/>
      </c>
      <c r="AT66" s="17">
        <f>IF(N66="Interest Only",M5*O5/12,IF(AND(O5&gt;0,ISNUMBER(O5),ISNUMBER(M5)),ABS(PMT(O5/12,AU5,-M5)),0))</f>
        <v/>
      </c>
      <c r="AU66" s="17">
        <f>IF(ISNUMBER(L66),MAX(0,(L5-'Control Panel'!$B$10)*12/365.25),0)</f>
        <v/>
      </c>
      <c r="AV66" s="17">
        <f>IF(ISNUMBER(L66),IF(L5&gt;'Control Panel'!$B$10,"Valid","Past Maturity"),"No Date")</f>
        <v/>
      </c>
      <c r="AW66" s="17">
        <f>IF(ISNUMBER(K66),MAX(0,('Control Panel'!$B$10-K5)*12/365.25),0)</f>
        <v/>
      </c>
    </row>
    <row r="67">
      <c r="A67" s="17">
        <f>'Loan Tape (BoE)'!A68</f>
        <v/>
      </c>
      <c r="B67" s="18">
        <f>IFERROR(INDEX('FF Adj Parameters'!$A$89:$B$92,MATCH('Loan Tape (BoE)'!C67,INDEX('FF Adj Parameters'!$A$89:$B$92,,1),0),2),"Unknown")</f>
        <v/>
      </c>
      <c r="C67" s="18">
        <f>'Loan Tape (BoE)'!C68</f>
        <v/>
      </c>
      <c r="D67" s="18">
        <f>'Loan Tape (BoE)'!D68</f>
        <v/>
      </c>
      <c r="E67" s="18">
        <f>'Loan Tape (BoE)'!E68</f>
        <v/>
      </c>
      <c r="F67" s="19">
        <f>'Loan Tape (BoE)'!F68</f>
        <v/>
      </c>
      <c r="G67" s="19">
        <f>'Loan Tape (BoE)'!G68</f>
        <v/>
      </c>
      <c r="H67" s="20">
        <f>'Loan Tape (BoE)'!H68/100</f>
        <v/>
      </c>
      <c r="I67" s="17">
        <f>IFERROR(IFS('Loan Tape (BoE)'!I68=1,"House",'Loan Tape (BoE)'!I68=2,"Flat",'Loan Tape (BoE)'!I68=3,"Bungalow",'Loan Tape (BoE)'!I68=4,"Maisonette"),"")</f>
        <v/>
      </c>
      <c r="J67" s="17">
        <f>'Loan Tape (BoE)'!J68</f>
        <v/>
      </c>
      <c r="K67" s="17">
        <f>'Loan Tape (BoE)'!K68</f>
        <v/>
      </c>
      <c r="L67" s="17">
        <f>IFERROR(IFS('Loan Tape (BoE)'!L68=1,"Owner Occupied",'Loan Tape (BoE)'!L68=2,"BTL",'Loan Tape (BoE)'!L68=3,"Second Home",'Loan Tape (BoE)'!L68=4,"Investment"),"")</f>
        <v/>
      </c>
      <c r="M67" s="17">
        <f>IFERROR(IFS('Loan Tape (BoE)'!M68=1,"Purchase",'Loan Tape (BoE)'!M68=2,"Remortgage",OR('Loan Tape (BoE)'!M68=3,'Loan Tape (BoE)'!M68=4),"Cash-out"),"")</f>
        <v/>
      </c>
      <c r="N67" s="17">
        <f>IFERROR(INDEX('FF Adj Parameters'!$A$96:$B$99,MATCH('Loan Tape (BoE)'!R67,INDEX('FF Adj Parameters'!$A$96:$B$99,,1),0),2),"Unknown")</f>
        <v/>
      </c>
      <c r="O67" s="17">
        <f>IF('Loan Tape (BoE)'!O68=1,"Yes","No")</f>
        <v/>
      </c>
      <c r="P67" s="17">
        <f>IF('Loan Tape (BoE)'!P67=1,"Yes",IF('Loan Tape (BoE)'!P67=0,"No",""))</f>
        <v/>
      </c>
      <c r="Q67" s="17">
        <f>IF('Loan Tape (BoE)'!Q67=1,"Yes",IF('Loan Tape (BoE)'!Q67=0,"No",""))</f>
        <v/>
      </c>
      <c r="R67" s="18">
        <f>IF('Loan Tape (BoE)'!R67=1,"Yes",IF('Loan Tape (BoE)'!R67=0,"No",""))</f>
        <v/>
      </c>
      <c r="S67" s="18">
        <f>IF('Loan Tape (BoE)'!S67=1,"Yes",IF('Loan Tape (BoE)'!S67=0,"No",""))</f>
        <v/>
      </c>
      <c r="T67" s="17">
        <f>IF('Loan Tape (BoE)'!T67=1,"Yes",IF('Loan Tape (BoE)'!T67=0,"No",""))</f>
        <v/>
      </c>
      <c r="U67" s="18">
        <f>R67+S67</f>
        <v/>
      </c>
      <c r="V67" s="17">
        <f>IFERROR(IFS('Loan Tape (BoE)'!U68=1,"Employed",'Loan Tape (BoE)'!U68=2,"Self-Employed",'Loan Tape (BoE)'!U68=3,"Unemployed",'Loan Tape (BoE)'!U68=4,"Retired"),"")</f>
        <v/>
      </c>
      <c r="W67" s="17">
        <f>IFERROR(IFS('Loan Tape (BoE)'!V68=1,"Employed",'Loan Tape (BoE)'!V68=2,"Self-Employed",'Loan Tape (BoE)'!V68=3,"Unemployed",'Loan Tape (BoE)'!V68=4,"Retired"),"")</f>
        <v/>
      </c>
      <c r="X67" s="17">
        <f>IF(OR(V67="Self-Employed",W67="Self-Employed"),"Yes","No")</f>
        <v/>
      </c>
      <c r="Y67" s="17">
        <f>'Loan Tape (BoE)'!W68</f>
        <v/>
      </c>
      <c r="Z67" s="17">
        <f>'Loan Tape (BoE)'!X68</f>
        <v/>
      </c>
      <c r="AA67" s="17">
        <f>IF(T67=1,Y67,MIN(Y67,Z67))</f>
        <v/>
      </c>
      <c r="AB67" s="17">
        <f>'Loan Tape (BoE)'!Y68</f>
        <v/>
      </c>
      <c r="AC67" s="17">
        <f>'Loan Tape (BoE)'!Z68</f>
        <v/>
      </c>
      <c r="AD67" s="17">
        <f>AB67+AC67</f>
        <v/>
      </c>
      <c r="AE67" s="18">
        <f>'Loan Tape (BoE)'!AA68</f>
        <v/>
      </c>
      <c r="AF67" s="18">
        <f>'Loan Tape (BoE)'!AB68</f>
        <v/>
      </c>
      <c r="AG67" s="18">
        <f>AE67+AF67</f>
        <v/>
      </c>
      <c r="AH67" s="19">
        <f>MAX('Loan Tape (BoE)'!AC68,'Loan Tape (BoE)'!AD68)</f>
        <v/>
      </c>
      <c r="AI67" s="18">
        <f>'Loan Tape (BoE)'!AE68</f>
        <v/>
      </c>
      <c r="AJ67" s="18">
        <f>B67*H67/12</f>
        <v/>
      </c>
      <c r="AK67" s="21">
        <f>IF(AJ67&gt;0,AI67/AJ67,0)</f>
        <v/>
      </c>
      <c r="AL67" s="17">
        <f>IF('Loan Tape (BoE)'!AF68=1,"Yes","No")</f>
        <v/>
      </c>
      <c r="AM67" s="17">
        <f>IF('Loan Tape (BoE)'!AH68=1,"Yes","No")</f>
        <v/>
      </c>
      <c r="AN67" s="17">
        <f>IF('Loan Tape (BoE)'!AI68=1,"Yes","No")</f>
        <v/>
      </c>
      <c r="AO67" s="17">
        <f>IF('Loan Tape (BoE)'!AJ68=1,"Yes","No")</f>
        <v/>
      </c>
      <c r="AP67" s="17">
        <f>IF(OR('Loan Tape (BoE)'!AQ67=1,'Loan Tape (BoE)'!AQ67=2),"Yes",IF('Loan Tape (BoE)'!AQ67=0,"No",""))</f>
        <v/>
      </c>
      <c r="AQ67" s="17">
        <f>IF('Loan Tape (BoE)'!BV49_67&lt;&gt;"",'Loan Tape (BoE)'!BV49_67,"")</f>
        <v/>
      </c>
      <c r="AR67" s="17">
        <f>IF('Loan Tape (BoE)'!BV670_67&lt;&gt;"",'Loan Tape (BoE)'!BV50_67,"")</f>
        <v/>
      </c>
      <c r="AS67" s="17">
        <f>IFERROR(INDEX('FF Adj Parameters'!$A$103:$B$1067,MATCH('Loan Tape (BoE)'!P67,INDEX('FF Adj Parameters'!$A$103:$B$1067,,1),0),2),"Unknown")</f>
        <v/>
      </c>
      <c r="AT67" s="17">
        <f>IF(N67="Interest Only",M5*O5/12,IF(AND(O5&gt;0,ISNUMBER(O5),ISNUMBER(M5)),ABS(PMT(O5/12,AU5,-M5)),0))</f>
        <v/>
      </c>
      <c r="AU67" s="17">
        <f>IF(ISNUMBER(L67),MAX(0,(L5-'Control Panel'!$B$10)*12/365.25),0)</f>
        <v/>
      </c>
      <c r="AV67" s="17">
        <f>IF(ISNUMBER(L67),IF(L5&gt;'Control Panel'!$B$10,"Valid","Past Maturity"),"No Date")</f>
        <v/>
      </c>
      <c r="AW67" s="17">
        <f>IF(ISNUMBER(K67),MAX(0,('Control Panel'!$B$10-K5)*12/365.25),0)</f>
        <v/>
      </c>
    </row>
    <row r="68">
      <c r="A68" s="17">
        <f>'Loan Tape (BoE)'!A69</f>
        <v/>
      </c>
      <c r="B68" s="18">
        <f>IFERROR(INDEX('FF Adj Parameters'!$A$89:$B$92,MATCH('Loan Tape (BoE)'!C68,INDEX('FF Adj Parameters'!$A$89:$B$92,,1),0),2),"Unknown")</f>
        <v/>
      </c>
      <c r="C68" s="18">
        <f>'Loan Tape (BoE)'!C69</f>
        <v/>
      </c>
      <c r="D68" s="18">
        <f>'Loan Tape (BoE)'!D69</f>
        <v/>
      </c>
      <c r="E68" s="18">
        <f>'Loan Tape (BoE)'!E69</f>
        <v/>
      </c>
      <c r="F68" s="19">
        <f>'Loan Tape (BoE)'!F69</f>
        <v/>
      </c>
      <c r="G68" s="19">
        <f>'Loan Tape (BoE)'!G69</f>
        <v/>
      </c>
      <c r="H68" s="20">
        <f>'Loan Tape (BoE)'!H69/100</f>
        <v/>
      </c>
      <c r="I68" s="17">
        <f>IFERROR(IFS('Loan Tape (BoE)'!I69=1,"House",'Loan Tape (BoE)'!I69=2,"Flat",'Loan Tape (BoE)'!I69=3,"Bungalow",'Loan Tape (BoE)'!I69=4,"Maisonette"),"")</f>
        <v/>
      </c>
      <c r="J68" s="17">
        <f>'Loan Tape (BoE)'!J69</f>
        <v/>
      </c>
      <c r="K68" s="17">
        <f>'Loan Tape (BoE)'!K69</f>
        <v/>
      </c>
      <c r="L68" s="17">
        <f>IFERROR(IFS('Loan Tape (BoE)'!L69=1,"Owner Occupied",'Loan Tape (BoE)'!L69=2,"BTL",'Loan Tape (BoE)'!L69=3,"Second Home",'Loan Tape (BoE)'!L69=4,"Investment"),"")</f>
        <v/>
      </c>
      <c r="M68" s="17">
        <f>IFERROR(IFS('Loan Tape (BoE)'!M69=1,"Purchase",'Loan Tape (BoE)'!M69=2,"Remortgage",OR('Loan Tape (BoE)'!M69=3,'Loan Tape (BoE)'!M69=4),"Cash-out"),"")</f>
        <v/>
      </c>
      <c r="N68" s="17">
        <f>IFERROR(INDEX('FF Adj Parameters'!$A$96:$B$99,MATCH('Loan Tape (BoE)'!R68,INDEX('FF Adj Parameters'!$A$96:$B$99,,1),0),2),"Unknown")</f>
        <v/>
      </c>
      <c r="O68" s="17">
        <f>IF('Loan Tape (BoE)'!O69=1,"Yes","No")</f>
        <v/>
      </c>
      <c r="P68" s="17">
        <f>IF('Loan Tape (BoE)'!P68=1,"Yes",IF('Loan Tape (BoE)'!P68=0,"No",""))</f>
        <v/>
      </c>
      <c r="Q68" s="17">
        <f>IF('Loan Tape (BoE)'!Q68=1,"Yes",IF('Loan Tape (BoE)'!Q68=0,"No",""))</f>
        <v/>
      </c>
      <c r="R68" s="18">
        <f>IF('Loan Tape (BoE)'!R68=1,"Yes",IF('Loan Tape (BoE)'!R68=0,"No",""))</f>
        <v/>
      </c>
      <c r="S68" s="18">
        <f>IF('Loan Tape (BoE)'!S68=1,"Yes",IF('Loan Tape (BoE)'!S68=0,"No",""))</f>
        <v/>
      </c>
      <c r="T68" s="17">
        <f>IF('Loan Tape (BoE)'!T68=1,"Yes",IF('Loan Tape (BoE)'!T68=0,"No",""))</f>
        <v/>
      </c>
      <c r="U68" s="18">
        <f>R68+S68</f>
        <v/>
      </c>
      <c r="V68" s="17">
        <f>IFERROR(IFS('Loan Tape (BoE)'!U69=1,"Employed",'Loan Tape (BoE)'!U69=2,"Self-Employed",'Loan Tape (BoE)'!U69=3,"Unemployed",'Loan Tape (BoE)'!U69=4,"Retired"),"")</f>
        <v/>
      </c>
      <c r="W68" s="17">
        <f>IFERROR(IFS('Loan Tape (BoE)'!V69=1,"Employed",'Loan Tape (BoE)'!V69=2,"Self-Employed",'Loan Tape (BoE)'!V69=3,"Unemployed",'Loan Tape (BoE)'!V69=4,"Retired"),"")</f>
        <v/>
      </c>
      <c r="X68" s="17">
        <f>IF(OR(V68="Self-Employed",W68="Self-Employed"),"Yes","No")</f>
        <v/>
      </c>
      <c r="Y68" s="17">
        <f>'Loan Tape (BoE)'!W69</f>
        <v/>
      </c>
      <c r="Z68" s="17">
        <f>'Loan Tape (BoE)'!X69</f>
        <v/>
      </c>
      <c r="AA68" s="17">
        <f>IF(T68=1,Y68,MIN(Y68,Z68))</f>
        <v/>
      </c>
      <c r="AB68" s="17">
        <f>'Loan Tape (BoE)'!Y69</f>
        <v/>
      </c>
      <c r="AC68" s="17">
        <f>'Loan Tape (BoE)'!Z69</f>
        <v/>
      </c>
      <c r="AD68" s="17">
        <f>AB68+AC68</f>
        <v/>
      </c>
      <c r="AE68" s="18">
        <f>'Loan Tape (BoE)'!AA69</f>
        <v/>
      </c>
      <c r="AF68" s="18">
        <f>'Loan Tape (BoE)'!AB69</f>
        <v/>
      </c>
      <c r="AG68" s="18">
        <f>AE68+AF68</f>
        <v/>
      </c>
      <c r="AH68" s="19">
        <f>MAX('Loan Tape (BoE)'!AC69,'Loan Tape (BoE)'!AD69)</f>
        <v/>
      </c>
      <c r="AI68" s="18">
        <f>'Loan Tape (BoE)'!AE69</f>
        <v/>
      </c>
      <c r="AJ68" s="18">
        <f>B68*H68/12</f>
        <v/>
      </c>
      <c r="AK68" s="21">
        <f>IF(AJ68&gt;0,AI68/AJ68,0)</f>
        <v/>
      </c>
      <c r="AL68" s="17">
        <f>IF('Loan Tape (BoE)'!AF69=1,"Yes","No")</f>
        <v/>
      </c>
      <c r="AM68" s="17">
        <f>IF('Loan Tape (BoE)'!AH69=1,"Yes","No")</f>
        <v/>
      </c>
      <c r="AN68" s="17">
        <f>IF('Loan Tape (BoE)'!AI69=1,"Yes","No")</f>
        <v/>
      </c>
      <c r="AO68" s="17">
        <f>IF('Loan Tape (BoE)'!AJ69=1,"Yes","No")</f>
        <v/>
      </c>
      <c r="AP68" s="17">
        <f>IF(OR('Loan Tape (BoE)'!AQ68=1,'Loan Tape (BoE)'!AQ68=2),"Yes",IF('Loan Tape (BoE)'!AQ68=0,"No",""))</f>
        <v/>
      </c>
      <c r="AQ68" s="17">
        <f>IF('Loan Tape (BoE)'!BV49_68&lt;&gt;"",'Loan Tape (BoE)'!BV49_68,"")</f>
        <v/>
      </c>
      <c r="AR68" s="17">
        <f>IF('Loan Tape (BoE)'!BV680_68&lt;&gt;"",'Loan Tape (BoE)'!BV50_68,"")</f>
        <v/>
      </c>
      <c r="AS68" s="17">
        <f>IFERROR(INDEX('FF Adj Parameters'!$A$103:$B$1068,MATCH('Loan Tape (BoE)'!P68,INDEX('FF Adj Parameters'!$A$103:$B$1068,,1),0),2),"Unknown")</f>
        <v/>
      </c>
      <c r="AT68" s="17">
        <f>IF(N68="Interest Only",M5*O5/12,IF(AND(O5&gt;0,ISNUMBER(O5),ISNUMBER(M5)),ABS(PMT(O5/12,AU5,-M5)),0))</f>
        <v/>
      </c>
      <c r="AU68" s="17">
        <f>IF(ISNUMBER(L68),MAX(0,(L5-'Control Panel'!$B$10)*12/365.25),0)</f>
        <v/>
      </c>
      <c r="AV68" s="17">
        <f>IF(ISNUMBER(L68),IF(L5&gt;'Control Panel'!$B$10,"Valid","Past Maturity"),"No Date")</f>
        <v/>
      </c>
      <c r="AW68" s="17">
        <f>IF(ISNUMBER(K68),MAX(0,('Control Panel'!$B$10-K5)*12/365.25),0)</f>
        <v/>
      </c>
    </row>
    <row r="69">
      <c r="A69" s="17">
        <f>'Loan Tape (BoE)'!A70</f>
        <v/>
      </c>
      <c r="B69" s="18">
        <f>IFERROR(INDEX('FF Adj Parameters'!$A$89:$B$92,MATCH('Loan Tape (BoE)'!C69,INDEX('FF Adj Parameters'!$A$89:$B$92,,1),0),2),"Unknown")</f>
        <v/>
      </c>
      <c r="C69" s="18">
        <f>'Loan Tape (BoE)'!C70</f>
        <v/>
      </c>
      <c r="D69" s="18">
        <f>'Loan Tape (BoE)'!D70</f>
        <v/>
      </c>
      <c r="E69" s="18">
        <f>'Loan Tape (BoE)'!E70</f>
        <v/>
      </c>
      <c r="F69" s="19">
        <f>'Loan Tape (BoE)'!F70</f>
        <v/>
      </c>
      <c r="G69" s="19">
        <f>'Loan Tape (BoE)'!G70</f>
        <v/>
      </c>
      <c r="H69" s="20">
        <f>'Loan Tape (BoE)'!H70/100</f>
        <v/>
      </c>
      <c r="I69" s="17">
        <f>IFERROR(IFS('Loan Tape (BoE)'!I70=1,"House",'Loan Tape (BoE)'!I70=2,"Flat",'Loan Tape (BoE)'!I70=3,"Bungalow",'Loan Tape (BoE)'!I70=4,"Maisonette"),"")</f>
        <v/>
      </c>
      <c r="J69" s="17">
        <f>'Loan Tape (BoE)'!J70</f>
        <v/>
      </c>
      <c r="K69" s="17">
        <f>'Loan Tape (BoE)'!K70</f>
        <v/>
      </c>
      <c r="L69" s="17">
        <f>IFERROR(IFS('Loan Tape (BoE)'!L70=1,"Owner Occupied",'Loan Tape (BoE)'!L70=2,"BTL",'Loan Tape (BoE)'!L70=3,"Second Home",'Loan Tape (BoE)'!L70=4,"Investment"),"")</f>
        <v/>
      </c>
      <c r="M69" s="17">
        <f>IFERROR(IFS('Loan Tape (BoE)'!M70=1,"Purchase",'Loan Tape (BoE)'!M70=2,"Remortgage",OR('Loan Tape (BoE)'!M70=3,'Loan Tape (BoE)'!M70=4),"Cash-out"),"")</f>
        <v/>
      </c>
      <c r="N69" s="17">
        <f>IFERROR(INDEX('FF Adj Parameters'!$A$96:$B$99,MATCH('Loan Tape (BoE)'!R69,INDEX('FF Adj Parameters'!$A$96:$B$99,,1),0),2),"Unknown")</f>
        <v/>
      </c>
      <c r="O69" s="17">
        <f>IF('Loan Tape (BoE)'!O70=1,"Yes","No")</f>
        <v/>
      </c>
      <c r="P69" s="17">
        <f>IF('Loan Tape (BoE)'!P69=1,"Yes",IF('Loan Tape (BoE)'!P69=0,"No",""))</f>
        <v/>
      </c>
      <c r="Q69" s="17">
        <f>IF('Loan Tape (BoE)'!Q69=1,"Yes",IF('Loan Tape (BoE)'!Q69=0,"No",""))</f>
        <v/>
      </c>
      <c r="R69" s="18">
        <f>IF('Loan Tape (BoE)'!R69=1,"Yes",IF('Loan Tape (BoE)'!R69=0,"No",""))</f>
        <v/>
      </c>
      <c r="S69" s="18">
        <f>IF('Loan Tape (BoE)'!S69=1,"Yes",IF('Loan Tape (BoE)'!S69=0,"No",""))</f>
        <v/>
      </c>
      <c r="T69" s="17">
        <f>IF('Loan Tape (BoE)'!T69=1,"Yes",IF('Loan Tape (BoE)'!T69=0,"No",""))</f>
        <v/>
      </c>
      <c r="U69" s="18">
        <f>R69+S69</f>
        <v/>
      </c>
      <c r="V69" s="17">
        <f>IFERROR(IFS('Loan Tape (BoE)'!U70=1,"Employed",'Loan Tape (BoE)'!U70=2,"Self-Employed",'Loan Tape (BoE)'!U70=3,"Unemployed",'Loan Tape (BoE)'!U70=4,"Retired"),"")</f>
        <v/>
      </c>
      <c r="W69" s="17">
        <f>IFERROR(IFS('Loan Tape (BoE)'!V70=1,"Employed",'Loan Tape (BoE)'!V70=2,"Self-Employed",'Loan Tape (BoE)'!V70=3,"Unemployed",'Loan Tape (BoE)'!V70=4,"Retired"),"")</f>
        <v/>
      </c>
      <c r="X69" s="17">
        <f>IF(OR(V69="Self-Employed",W69="Self-Employed"),"Yes","No")</f>
        <v/>
      </c>
      <c r="Y69" s="17">
        <f>'Loan Tape (BoE)'!W70</f>
        <v/>
      </c>
      <c r="Z69" s="17">
        <f>'Loan Tape (BoE)'!X70</f>
        <v/>
      </c>
      <c r="AA69" s="17">
        <f>IF(T69=1,Y69,MIN(Y69,Z69))</f>
        <v/>
      </c>
      <c r="AB69" s="17">
        <f>'Loan Tape (BoE)'!Y70</f>
        <v/>
      </c>
      <c r="AC69" s="17">
        <f>'Loan Tape (BoE)'!Z70</f>
        <v/>
      </c>
      <c r="AD69" s="17">
        <f>AB69+AC69</f>
        <v/>
      </c>
      <c r="AE69" s="18">
        <f>'Loan Tape (BoE)'!AA70</f>
        <v/>
      </c>
      <c r="AF69" s="18">
        <f>'Loan Tape (BoE)'!AB70</f>
        <v/>
      </c>
      <c r="AG69" s="18">
        <f>AE69+AF69</f>
        <v/>
      </c>
      <c r="AH69" s="19">
        <f>MAX('Loan Tape (BoE)'!AC70,'Loan Tape (BoE)'!AD70)</f>
        <v/>
      </c>
      <c r="AI69" s="18">
        <f>'Loan Tape (BoE)'!AE70</f>
        <v/>
      </c>
      <c r="AJ69" s="18">
        <f>B69*H69/12</f>
        <v/>
      </c>
      <c r="AK69" s="21">
        <f>IF(AJ69&gt;0,AI69/AJ69,0)</f>
        <v/>
      </c>
      <c r="AL69" s="17">
        <f>IF('Loan Tape (BoE)'!AF70=1,"Yes","No")</f>
        <v/>
      </c>
      <c r="AM69" s="17">
        <f>IF('Loan Tape (BoE)'!AH70=1,"Yes","No")</f>
        <v/>
      </c>
      <c r="AN69" s="17">
        <f>IF('Loan Tape (BoE)'!AI70=1,"Yes","No")</f>
        <v/>
      </c>
      <c r="AO69" s="17">
        <f>IF('Loan Tape (BoE)'!AJ70=1,"Yes","No")</f>
        <v/>
      </c>
      <c r="AP69" s="17">
        <f>IF(OR('Loan Tape (BoE)'!AQ69=1,'Loan Tape (BoE)'!AQ69=2),"Yes",IF('Loan Tape (BoE)'!AQ69=0,"No",""))</f>
        <v/>
      </c>
      <c r="AQ69" s="17">
        <f>IF('Loan Tape (BoE)'!BV49_69&lt;&gt;"",'Loan Tape (BoE)'!BV49_69,"")</f>
        <v/>
      </c>
      <c r="AR69" s="17">
        <f>IF('Loan Tape (BoE)'!BV690_69&lt;&gt;"",'Loan Tape (BoE)'!BV50_69,"")</f>
        <v/>
      </c>
      <c r="AS69" s="17">
        <f>IFERROR(INDEX('FF Adj Parameters'!$A$103:$B$1069,MATCH('Loan Tape (BoE)'!P69,INDEX('FF Adj Parameters'!$A$103:$B$1069,,1),0),2),"Unknown")</f>
        <v/>
      </c>
      <c r="AT69" s="17">
        <f>IF(N69="Interest Only",M5*O5/12,IF(AND(O5&gt;0,ISNUMBER(O5),ISNUMBER(M5)),ABS(PMT(O5/12,AU5,-M5)),0))</f>
        <v/>
      </c>
      <c r="AU69" s="17">
        <f>IF(ISNUMBER(L69),MAX(0,(L5-'Control Panel'!$B$10)*12/365.25),0)</f>
        <v/>
      </c>
      <c r="AV69" s="17">
        <f>IF(ISNUMBER(L69),IF(L5&gt;'Control Panel'!$B$10,"Valid","Past Maturity"),"No Date")</f>
        <v/>
      </c>
      <c r="AW69" s="17">
        <f>IF(ISNUMBER(K69),MAX(0,('Control Panel'!$B$10-K5)*12/365.25),0)</f>
        <v/>
      </c>
    </row>
    <row r="70">
      <c r="A70" s="17">
        <f>'Loan Tape (BoE)'!A71</f>
        <v/>
      </c>
      <c r="B70" s="18">
        <f>IFERROR(INDEX('FF Adj Parameters'!$A$89:$B$92,MATCH('Loan Tape (BoE)'!C70,INDEX('FF Adj Parameters'!$A$89:$B$92,,1),0),2),"Unknown")</f>
        <v/>
      </c>
      <c r="C70" s="18">
        <f>'Loan Tape (BoE)'!C71</f>
        <v/>
      </c>
      <c r="D70" s="18">
        <f>'Loan Tape (BoE)'!D71</f>
        <v/>
      </c>
      <c r="E70" s="18">
        <f>'Loan Tape (BoE)'!E71</f>
        <v/>
      </c>
      <c r="F70" s="19">
        <f>'Loan Tape (BoE)'!F71</f>
        <v/>
      </c>
      <c r="G70" s="19">
        <f>'Loan Tape (BoE)'!G71</f>
        <v/>
      </c>
      <c r="H70" s="20">
        <f>'Loan Tape (BoE)'!H71/100</f>
        <v/>
      </c>
      <c r="I70" s="17">
        <f>IFERROR(IFS('Loan Tape (BoE)'!I71=1,"House",'Loan Tape (BoE)'!I71=2,"Flat",'Loan Tape (BoE)'!I71=3,"Bungalow",'Loan Tape (BoE)'!I71=4,"Maisonette"),"")</f>
        <v/>
      </c>
      <c r="J70" s="17">
        <f>'Loan Tape (BoE)'!J71</f>
        <v/>
      </c>
      <c r="K70" s="17">
        <f>'Loan Tape (BoE)'!K71</f>
        <v/>
      </c>
      <c r="L70" s="17">
        <f>IFERROR(IFS('Loan Tape (BoE)'!L71=1,"Owner Occupied",'Loan Tape (BoE)'!L71=2,"BTL",'Loan Tape (BoE)'!L71=3,"Second Home",'Loan Tape (BoE)'!L71=4,"Investment"),"")</f>
        <v/>
      </c>
      <c r="M70" s="17">
        <f>IFERROR(IFS('Loan Tape (BoE)'!M71=1,"Purchase",'Loan Tape (BoE)'!M71=2,"Remortgage",OR('Loan Tape (BoE)'!M71=3,'Loan Tape (BoE)'!M71=4),"Cash-out"),"")</f>
        <v/>
      </c>
      <c r="N70" s="17">
        <f>IFERROR(INDEX('FF Adj Parameters'!$A$96:$B$99,MATCH('Loan Tape (BoE)'!R70,INDEX('FF Adj Parameters'!$A$96:$B$99,,1),0),2),"Unknown")</f>
        <v/>
      </c>
      <c r="O70" s="17">
        <f>IF('Loan Tape (BoE)'!O71=1,"Yes","No")</f>
        <v/>
      </c>
      <c r="P70" s="17">
        <f>IF('Loan Tape (BoE)'!P70=1,"Yes",IF('Loan Tape (BoE)'!P70=0,"No",""))</f>
        <v/>
      </c>
      <c r="Q70" s="17">
        <f>IF('Loan Tape (BoE)'!Q70=1,"Yes",IF('Loan Tape (BoE)'!Q70=0,"No",""))</f>
        <v/>
      </c>
      <c r="R70" s="18">
        <f>IF('Loan Tape (BoE)'!R70=1,"Yes",IF('Loan Tape (BoE)'!R70=0,"No",""))</f>
        <v/>
      </c>
      <c r="S70" s="18">
        <f>IF('Loan Tape (BoE)'!S70=1,"Yes",IF('Loan Tape (BoE)'!S70=0,"No",""))</f>
        <v/>
      </c>
      <c r="T70" s="17">
        <f>IF('Loan Tape (BoE)'!T70=1,"Yes",IF('Loan Tape (BoE)'!T70=0,"No",""))</f>
        <v/>
      </c>
      <c r="U70" s="18">
        <f>R70+S70</f>
        <v/>
      </c>
      <c r="V70" s="17">
        <f>IFERROR(IFS('Loan Tape (BoE)'!U71=1,"Employed",'Loan Tape (BoE)'!U71=2,"Self-Employed",'Loan Tape (BoE)'!U71=3,"Unemployed",'Loan Tape (BoE)'!U71=4,"Retired"),"")</f>
        <v/>
      </c>
      <c r="W70" s="17">
        <f>IFERROR(IFS('Loan Tape (BoE)'!V71=1,"Employed",'Loan Tape (BoE)'!V71=2,"Self-Employed",'Loan Tape (BoE)'!V71=3,"Unemployed",'Loan Tape (BoE)'!V71=4,"Retired"),"")</f>
        <v/>
      </c>
      <c r="X70" s="17">
        <f>IF(OR(V70="Self-Employed",W70="Self-Employed"),"Yes","No")</f>
        <v/>
      </c>
      <c r="Y70" s="17">
        <f>'Loan Tape (BoE)'!W71</f>
        <v/>
      </c>
      <c r="Z70" s="17">
        <f>'Loan Tape (BoE)'!X71</f>
        <v/>
      </c>
      <c r="AA70" s="17">
        <f>IF(T70=1,Y70,MIN(Y70,Z70))</f>
        <v/>
      </c>
      <c r="AB70" s="17">
        <f>'Loan Tape (BoE)'!Y71</f>
        <v/>
      </c>
      <c r="AC70" s="17">
        <f>'Loan Tape (BoE)'!Z71</f>
        <v/>
      </c>
      <c r="AD70" s="17">
        <f>AB70+AC70</f>
        <v/>
      </c>
      <c r="AE70" s="18">
        <f>'Loan Tape (BoE)'!AA71</f>
        <v/>
      </c>
      <c r="AF70" s="18">
        <f>'Loan Tape (BoE)'!AB71</f>
        <v/>
      </c>
      <c r="AG70" s="18">
        <f>AE70+AF70</f>
        <v/>
      </c>
      <c r="AH70" s="19">
        <f>MAX('Loan Tape (BoE)'!AC71,'Loan Tape (BoE)'!AD71)</f>
        <v/>
      </c>
      <c r="AI70" s="18">
        <f>'Loan Tape (BoE)'!AE71</f>
        <v/>
      </c>
      <c r="AJ70" s="18">
        <f>B70*H70/12</f>
        <v/>
      </c>
      <c r="AK70" s="21">
        <f>IF(AJ70&gt;0,AI70/AJ70,0)</f>
        <v/>
      </c>
      <c r="AL70" s="17">
        <f>IF('Loan Tape (BoE)'!AF71=1,"Yes","No")</f>
        <v/>
      </c>
      <c r="AM70" s="17">
        <f>IF('Loan Tape (BoE)'!AH71=1,"Yes","No")</f>
        <v/>
      </c>
      <c r="AN70" s="17">
        <f>IF('Loan Tape (BoE)'!AI71=1,"Yes","No")</f>
        <v/>
      </c>
      <c r="AO70" s="17">
        <f>IF('Loan Tape (BoE)'!AJ71=1,"Yes","No")</f>
        <v/>
      </c>
      <c r="AP70" s="17">
        <f>IF(OR('Loan Tape (BoE)'!AQ70=1,'Loan Tape (BoE)'!AQ70=2),"Yes",IF('Loan Tape (BoE)'!AQ70=0,"No",""))</f>
        <v/>
      </c>
      <c r="AQ70" s="17">
        <f>IF('Loan Tape (BoE)'!BV49_70&lt;&gt;"",'Loan Tape (BoE)'!BV49_70,"")</f>
        <v/>
      </c>
      <c r="AR70" s="17">
        <f>IF('Loan Tape (BoE)'!BV700_70&lt;&gt;"",'Loan Tape (BoE)'!BV50_70,"")</f>
        <v/>
      </c>
      <c r="AS70" s="17">
        <f>IFERROR(INDEX('FF Adj Parameters'!$A$103:$B$1070,MATCH('Loan Tape (BoE)'!P70,INDEX('FF Adj Parameters'!$A$103:$B$1070,,1),0),2),"Unknown")</f>
        <v/>
      </c>
      <c r="AT70" s="17">
        <f>IF(N70="Interest Only",M5*O5/12,IF(AND(O5&gt;0,ISNUMBER(O5),ISNUMBER(M5)),ABS(PMT(O5/12,AU5,-M5)),0))</f>
        <v/>
      </c>
      <c r="AU70" s="17">
        <f>IF(ISNUMBER(L70),MAX(0,(L5-'Control Panel'!$B$10)*12/365.25),0)</f>
        <v/>
      </c>
      <c r="AV70" s="17">
        <f>IF(ISNUMBER(L70),IF(L5&gt;'Control Panel'!$B$10,"Valid","Past Maturity"),"No Date")</f>
        <v/>
      </c>
      <c r="AW70" s="17">
        <f>IF(ISNUMBER(K70),MAX(0,('Control Panel'!$B$10-K5)*12/365.25),0)</f>
        <v/>
      </c>
    </row>
    <row r="71">
      <c r="A71" s="17">
        <f>'Loan Tape (BoE)'!A72</f>
        <v/>
      </c>
      <c r="B71" s="18">
        <f>IFERROR(INDEX('FF Adj Parameters'!$A$89:$B$92,MATCH('Loan Tape (BoE)'!C71,INDEX('FF Adj Parameters'!$A$89:$B$92,,1),0),2),"Unknown")</f>
        <v/>
      </c>
      <c r="C71" s="18">
        <f>'Loan Tape (BoE)'!C72</f>
        <v/>
      </c>
      <c r="D71" s="18">
        <f>'Loan Tape (BoE)'!D72</f>
        <v/>
      </c>
      <c r="E71" s="18">
        <f>'Loan Tape (BoE)'!E72</f>
        <v/>
      </c>
      <c r="F71" s="19">
        <f>'Loan Tape (BoE)'!F72</f>
        <v/>
      </c>
      <c r="G71" s="19">
        <f>'Loan Tape (BoE)'!G72</f>
        <v/>
      </c>
      <c r="H71" s="20">
        <f>'Loan Tape (BoE)'!H72/100</f>
        <v/>
      </c>
      <c r="I71" s="17">
        <f>IFERROR(IFS('Loan Tape (BoE)'!I72=1,"House",'Loan Tape (BoE)'!I72=2,"Flat",'Loan Tape (BoE)'!I72=3,"Bungalow",'Loan Tape (BoE)'!I72=4,"Maisonette"),"")</f>
        <v/>
      </c>
      <c r="J71" s="17">
        <f>'Loan Tape (BoE)'!J72</f>
        <v/>
      </c>
      <c r="K71" s="17">
        <f>'Loan Tape (BoE)'!K72</f>
        <v/>
      </c>
      <c r="L71" s="17">
        <f>IFERROR(IFS('Loan Tape (BoE)'!L72=1,"Owner Occupied",'Loan Tape (BoE)'!L72=2,"BTL",'Loan Tape (BoE)'!L72=3,"Second Home",'Loan Tape (BoE)'!L72=4,"Investment"),"")</f>
        <v/>
      </c>
      <c r="M71" s="17">
        <f>IFERROR(IFS('Loan Tape (BoE)'!M72=1,"Purchase",'Loan Tape (BoE)'!M72=2,"Remortgage",OR('Loan Tape (BoE)'!M72=3,'Loan Tape (BoE)'!M72=4),"Cash-out"),"")</f>
        <v/>
      </c>
      <c r="N71" s="17">
        <f>IFERROR(INDEX('FF Adj Parameters'!$A$96:$B$99,MATCH('Loan Tape (BoE)'!R71,INDEX('FF Adj Parameters'!$A$96:$B$99,,1),0),2),"Unknown")</f>
        <v/>
      </c>
      <c r="O71" s="17">
        <f>IF('Loan Tape (BoE)'!O72=1,"Yes","No")</f>
        <v/>
      </c>
      <c r="P71" s="17">
        <f>IF('Loan Tape (BoE)'!P71=1,"Yes",IF('Loan Tape (BoE)'!P71=0,"No",""))</f>
        <v/>
      </c>
      <c r="Q71" s="17">
        <f>IF('Loan Tape (BoE)'!Q71=1,"Yes",IF('Loan Tape (BoE)'!Q71=0,"No",""))</f>
        <v/>
      </c>
      <c r="R71" s="18">
        <f>IF('Loan Tape (BoE)'!R71=1,"Yes",IF('Loan Tape (BoE)'!R71=0,"No",""))</f>
        <v/>
      </c>
      <c r="S71" s="18">
        <f>IF('Loan Tape (BoE)'!S71=1,"Yes",IF('Loan Tape (BoE)'!S71=0,"No",""))</f>
        <v/>
      </c>
      <c r="T71" s="17">
        <f>IF('Loan Tape (BoE)'!T71=1,"Yes",IF('Loan Tape (BoE)'!T71=0,"No",""))</f>
        <v/>
      </c>
      <c r="U71" s="18">
        <f>R71+S71</f>
        <v/>
      </c>
      <c r="V71" s="17">
        <f>IFERROR(IFS('Loan Tape (BoE)'!U72=1,"Employed",'Loan Tape (BoE)'!U72=2,"Self-Employed",'Loan Tape (BoE)'!U72=3,"Unemployed",'Loan Tape (BoE)'!U72=4,"Retired"),"")</f>
        <v/>
      </c>
      <c r="W71" s="17">
        <f>IFERROR(IFS('Loan Tape (BoE)'!V72=1,"Employed",'Loan Tape (BoE)'!V72=2,"Self-Employed",'Loan Tape (BoE)'!V72=3,"Unemployed",'Loan Tape (BoE)'!V72=4,"Retired"),"")</f>
        <v/>
      </c>
      <c r="X71" s="17">
        <f>IF(OR(V71="Self-Employed",W71="Self-Employed"),"Yes","No")</f>
        <v/>
      </c>
      <c r="Y71" s="17">
        <f>'Loan Tape (BoE)'!W72</f>
        <v/>
      </c>
      <c r="Z71" s="17">
        <f>'Loan Tape (BoE)'!X72</f>
        <v/>
      </c>
      <c r="AA71" s="17">
        <f>IF(T71=1,Y71,MIN(Y71,Z71))</f>
        <v/>
      </c>
      <c r="AB71" s="17">
        <f>'Loan Tape (BoE)'!Y72</f>
        <v/>
      </c>
      <c r="AC71" s="17">
        <f>'Loan Tape (BoE)'!Z72</f>
        <v/>
      </c>
      <c r="AD71" s="17">
        <f>AB71+AC71</f>
        <v/>
      </c>
      <c r="AE71" s="18">
        <f>'Loan Tape (BoE)'!AA72</f>
        <v/>
      </c>
      <c r="AF71" s="18">
        <f>'Loan Tape (BoE)'!AB72</f>
        <v/>
      </c>
      <c r="AG71" s="18">
        <f>AE71+AF71</f>
        <v/>
      </c>
      <c r="AH71" s="19">
        <f>MAX('Loan Tape (BoE)'!AC72,'Loan Tape (BoE)'!AD72)</f>
        <v/>
      </c>
      <c r="AI71" s="18">
        <f>'Loan Tape (BoE)'!AE72</f>
        <v/>
      </c>
      <c r="AJ71" s="18">
        <f>B71*H71/12</f>
        <v/>
      </c>
      <c r="AK71" s="21">
        <f>IF(AJ71&gt;0,AI71/AJ71,0)</f>
        <v/>
      </c>
      <c r="AL71" s="17">
        <f>IF('Loan Tape (BoE)'!AF72=1,"Yes","No")</f>
        <v/>
      </c>
      <c r="AM71" s="17">
        <f>IF('Loan Tape (BoE)'!AH72=1,"Yes","No")</f>
        <v/>
      </c>
      <c r="AN71" s="17">
        <f>IF('Loan Tape (BoE)'!AI72=1,"Yes","No")</f>
        <v/>
      </c>
      <c r="AO71" s="17">
        <f>IF('Loan Tape (BoE)'!AJ72=1,"Yes","No")</f>
        <v/>
      </c>
      <c r="AP71" s="17">
        <f>IF(OR('Loan Tape (BoE)'!AQ71=1,'Loan Tape (BoE)'!AQ71=2),"Yes",IF('Loan Tape (BoE)'!AQ71=0,"No",""))</f>
        <v/>
      </c>
      <c r="AQ71" s="17">
        <f>IF('Loan Tape (BoE)'!BV49_71&lt;&gt;"",'Loan Tape (BoE)'!BV49_71,"")</f>
        <v/>
      </c>
      <c r="AR71" s="17">
        <f>IF('Loan Tape (BoE)'!BV710_71&lt;&gt;"",'Loan Tape (BoE)'!BV50_71,"")</f>
        <v/>
      </c>
      <c r="AS71" s="17">
        <f>IFERROR(INDEX('FF Adj Parameters'!$A$103:$B$1071,MATCH('Loan Tape (BoE)'!P71,INDEX('FF Adj Parameters'!$A$103:$B$1071,,1),0),2),"Unknown")</f>
        <v/>
      </c>
      <c r="AT71" s="17">
        <f>IF(N71="Interest Only",M5*O5/12,IF(AND(O5&gt;0,ISNUMBER(O5),ISNUMBER(M5)),ABS(PMT(O5/12,AU5,-M5)),0))</f>
        <v/>
      </c>
      <c r="AU71" s="17">
        <f>IF(ISNUMBER(L71),MAX(0,(L5-'Control Panel'!$B$10)*12/365.25),0)</f>
        <v/>
      </c>
      <c r="AV71" s="17">
        <f>IF(ISNUMBER(L71),IF(L5&gt;'Control Panel'!$B$10,"Valid","Past Maturity"),"No Date")</f>
        <v/>
      </c>
      <c r="AW71" s="17">
        <f>IF(ISNUMBER(K71),MAX(0,('Control Panel'!$B$10-K5)*12/365.25),0)</f>
        <v/>
      </c>
    </row>
    <row r="72">
      <c r="A72" s="17">
        <f>'Loan Tape (BoE)'!A73</f>
        <v/>
      </c>
      <c r="B72" s="18">
        <f>IFERROR(INDEX('FF Adj Parameters'!$A$89:$B$92,MATCH('Loan Tape (BoE)'!C72,INDEX('FF Adj Parameters'!$A$89:$B$92,,1),0),2),"Unknown")</f>
        <v/>
      </c>
      <c r="C72" s="18">
        <f>'Loan Tape (BoE)'!C73</f>
        <v/>
      </c>
      <c r="D72" s="18">
        <f>'Loan Tape (BoE)'!D73</f>
        <v/>
      </c>
      <c r="E72" s="18">
        <f>'Loan Tape (BoE)'!E73</f>
        <v/>
      </c>
      <c r="F72" s="19">
        <f>'Loan Tape (BoE)'!F73</f>
        <v/>
      </c>
      <c r="G72" s="19">
        <f>'Loan Tape (BoE)'!G73</f>
        <v/>
      </c>
      <c r="H72" s="20">
        <f>'Loan Tape (BoE)'!H73/100</f>
        <v/>
      </c>
      <c r="I72" s="17">
        <f>IFERROR(IFS('Loan Tape (BoE)'!I73=1,"House",'Loan Tape (BoE)'!I73=2,"Flat",'Loan Tape (BoE)'!I73=3,"Bungalow",'Loan Tape (BoE)'!I73=4,"Maisonette"),"")</f>
        <v/>
      </c>
      <c r="J72" s="17">
        <f>'Loan Tape (BoE)'!J73</f>
        <v/>
      </c>
      <c r="K72" s="17">
        <f>'Loan Tape (BoE)'!K73</f>
        <v/>
      </c>
      <c r="L72" s="17">
        <f>IFERROR(IFS('Loan Tape (BoE)'!L73=1,"Owner Occupied",'Loan Tape (BoE)'!L73=2,"BTL",'Loan Tape (BoE)'!L73=3,"Second Home",'Loan Tape (BoE)'!L73=4,"Investment"),"")</f>
        <v/>
      </c>
      <c r="M72" s="17">
        <f>IFERROR(IFS('Loan Tape (BoE)'!M73=1,"Purchase",'Loan Tape (BoE)'!M73=2,"Remortgage",OR('Loan Tape (BoE)'!M73=3,'Loan Tape (BoE)'!M73=4),"Cash-out"),"")</f>
        <v/>
      </c>
      <c r="N72" s="17">
        <f>IFERROR(INDEX('FF Adj Parameters'!$A$96:$B$99,MATCH('Loan Tape (BoE)'!R72,INDEX('FF Adj Parameters'!$A$96:$B$99,,1),0),2),"Unknown")</f>
        <v/>
      </c>
      <c r="O72" s="17">
        <f>IF('Loan Tape (BoE)'!O73=1,"Yes","No")</f>
        <v/>
      </c>
      <c r="P72" s="17">
        <f>IF('Loan Tape (BoE)'!P72=1,"Yes",IF('Loan Tape (BoE)'!P72=0,"No",""))</f>
        <v/>
      </c>
      <c r="Q72" s="17">
        <f>IF('Loan Tape (BoE)'!Q72=1,"Yes",IF('Loan Tape (BoE)'!Q72=0,"No",""))</f>
        <v/>
      </c>
      <c r="R72" s="18">
        <f>IF('Loan Tape (BoE)'!R72=1,"Yes",IF('Loan Tape (BoE)'!R72=0,"No",""))</f>
        <v/>
      </c>
      <c r="S72" s="18">
        <f>IF('Loan Tape (BoE)'!S72=1,"Yes",IF('Loan Tape (BoE)'!S72=0,"No",""))</f>
        <v/>
      </c>
      <c r="T72" s="17">
        <f>IF('Loan Tape (BoE)'!T72=1,"Yes",IF('Loan Tape (BoE)'!T72=0,"No",""))</f>
        <v/>
      </c>
      <c r="U72" s="18">
        <f>R72+S72</f>
        <v/>
      </c>
      <c r="V72" s="17">
        <f>IFERROR(IFS('Loan Tape (BoE)'!U73=1,"Employed",'Loan Tape (BoE)'!U73=2,"Self-Employed",'Loan Tape (BoE)'!U73=3,"Unemployed",'Loan Tape (BoE)'!U73=4,"Retired"),"")</f>
        <v/>
      </c>
      <c r="W72" s="17">
        <f>IFERROR(IFS('Loan Tape (BoE)'!V73=1,"Employed",'Loan Tape (BoE)'!V73=2,"Self-Employed",'Loan Tape (BoE)'!V73=3,"Unemployed",'Loan Tape (BoE)'!V73=4,"Retired"),"")</f>
        <v/>
      </c>
      <c r="X72" s="17">
        <f>IF(OR(V72="Self-Employed",W72="Self-Employed"),"Yes","No")</f>
        <v/>
      </c>
      <c r="Y72" s="17">
        <f>'Loan Tape (BoE)'!W73</f>
        <v/>
      </c>
      <c r="Z72" s="17">
        <f>'Loan Tape (BoE)'!X73</f>
        <v/>
      </c>
      <c r="AA72" s="17">
        <f>IF(T72=1,Y72,MIN(Y72,Z72))</f>
        <v/>
      </c>
      <c r="AB72" s="17">
        <f>'Loan Tape (BoE)'!Y73</f>
        <v/>
      </c>
      <c r="AC72" s="17">
        <f>'Loan Tape (BoE)'!Z73</f>
        <v/>
      </c>
      <c r="AD72" s="17">
        <f>AB72+AC72</f>
        <v/>
      </c>
      <c r="AE72" s="18">
        <f>'Loan Tape (BoE)'!AA73</f>
        <v/>
      </c>
      <c r="AF72" s="18">
        <f>'Loan Tape (BoE)'!AB73</f>
        <v/>
      </c>
      <c r="AG72" s="18">
        <f>AE72+AF72</f>
        <v/>
      </c>
      <c r="AH72" s="19">
        <f>MAX('Loan Tape (BoE)'!AC73,'Loan Tape (BoE)'!AD73)</f>
        <v/>
      </c>
      <c r="AI72" s="18">
        <f>'Loan Tape (BoE)'!AE73</f>
        <v/>
      </c>
      <c r="AJ72" s="18">
        <f>B72*H72/12</f>
        <v/>
      </c>
      <c r="AK72" s="21">
        <f>IF(AJ72&gt;0,AI72/AJ72,0)</f>
        <v/>
      </c>
      <c r="AL72" s="17">
        <f>IF('Loan Tape (BoE)'!AF73=1,"Yes","No")</f>
        <v/>
      </c>
      <c r="AM72" s="17">
        <f>IF('Loan Tape (BoE)'!AH73=1,"Yes","No")</f>
        <v/>
      </c>
      <c r="AN72" s="17">
        <f>IF('Loan Tape (BoE)'!AI73=1,"Yes","No")</f>
        <v/>
      </c>
      <c r="AO72" s="17">
        <f>IF('Loan Tape (BoE)'!AJ73=1,"Yes","No")</f>
        <v/>
      </c>
      <c r="AP72" s="17">
        <f>IF(OR('Loan Tape (BoE)'!AQ72=1,'Loan Tape (BoE)'!AQ72=2),"Yes",IF('Loan Tape (BoE)'!AQ72=0,"No",""))</f>
        <v/>
      </c>
      <c r="AQ72" s="17">
        <f>IF('Loan Tape (BoE)'!BV49_72&lt;&gt;"",'Loan Tape (BoE)'!BV49_72,"")</f>
        <v/>
      </c>
      <c r="AR72" s="17">
        <f>IF('Loan Tape (BoE)'!BV720_72&lt;&gt;"",'Loan Tape (BoE)'!BV50_72,"")</f>
        <v/>
      </c>
      <c r="AS72" s="17">
        <f>IFERROR(INDEX('FF Adj Parameters'!$A$103:$B$1072,MATCH('Loan Tape (BoE)'!P72,INDEX('FF Adj Parameters'!$A$103:$B$1072,,1),0),2),"Unknown")</f>
        <v/>
      </c>
      <c r="AT72" s="17">
        <f>IF(N72="Interest Only",M5*O5/12,IF(AND(O5&gt;0,ISNUMBER(O5),ISNUMBER(M5)),ABS(PMT(O5/12,AU5,-M5)),0))</f>
        <v/>
      </c>
      <c r="AU72" s="17">
        <f>IF(ISNUMBER(L72),MAX(0,(L5-'Control Panel'!$B$10)*12/365.25),0)</f>
        <v/>
      </c>
      <c r="AV72" s="17">
        <f>IF(ISNUMBER(L72),IF(L5&gt;'Control Panel'!$B$10,"Valid","Past Maturity"),"No Date")</f>
        <v/>
      </c>
      <c r="AW72" s="17">
        <f>IF(ISNUMBER(K72),MAX(0,('Control Panel'!$B$10-K5)*12/365.25),0)</f>
        <v/>
      </c>
    </row>
    <row r="73">
      <c r="A73" s="17">
        <f>'Loan Tape (BoE)'!A74</f>
        <v/>
      </c>
      <c r="B73" s="18">
        <f>IFERROR(INDEX('FF Adj Parameters'!$A$89:$B$92,MATCH('Loan Tape (BoE)'!C73,INDEX('FF Adj Parameters'!$A$89:$B$92,,1),0),2),"Unknown")</f>
        <v/>
      </c>
      <c r="C73" s="18">
        <f>'Loan Tape (BoE)'!C74</f>
        <v/>
      </c>
      <c r="D73" s="18">
        <f>'Loan Tape (BoE)'!D74</f>
        <v/>
      </c>
      <c r="E73" s="18">
        <f>'Loan Tape (BoE)'!E74</f>
        <v/>
      </c>
      <c r="F73" s="19">
        <f>'Loan Tape (BoE)'!F74</f>
        <v/>
      </c>
      <c r="G73" s="19">
        <f>'Loan Tape (BoE)'!G74</f>
        <v/>
      </c>
      <c r="H73" s="20">
        <f>'Loan Tape (BoE)'!H74/100</f>
        <v/>
      </c>
      <c r="I73" s="17">
        <f>IFERROR(IFS('Loan Tape (BoE)'!I74=1,"House",'Loan Tape (BoE)'!I74=2,"Flat",'Loan Tape (BoE)'!I74=3,"Bungalow",'Loan Tape (BoE)'!I74=4,"Maisonette"),"")</f>
        <v/>
      </c>
      <c r="J73" s="17">
        <f>'Loan Tape (BoE)'!J74</f>
        <v/>
      </c>
      <c r="K73" s="17">
        <f>'Loan Tape (BoE)'!K74</f>
        <v/>
      </c>
      <c r="L73" s="17">
        <f>IFERROR(IFS('Loan Tape (BoE)'!L74=1,"Owner Occupied",'Loan Tape (BoE)'!L74=2,"BTL",'Loan Tape (BoE)'!L74=3,"Second Home",'Loan Tape (BoE)'!L74=4,"Investment"),"")</f>
        <v/>
      </c>
      <c r="M73" s="17">
        <f>IFERROR(IFS('Loan Tape (BoE)'!M74=1,"Purchase",'Loan Tape (BoE)'!M74=2,"Remortgage",OR('Loan Tape (BoE)'!M74=3,'Loan Tape (BoE)'!M74=4),"Cash-out"),"")</f>
        <v/>
      </c>
      <c r="N73" s="17">
        <f>IFERROR(INDEX('FF Adj Parameters'!$A$96:$B$99,MATCH('Loan Tape (BoE)'!R73,INDEX('FF Adj Parameters'!$A$96:$B$99,,1),0),2),"Unknown")</f>
        <v/>
      </c>
      <c r="O73" s="17">
        <f>IF('Loan Tape (BoE)'!O74=1,"Yes","No")</f>
        <v/>
      </c>
      <c r="P73" s="17">
        <f>IF('Loan Tape (BoE)'!P73=1,"Yes",IF('Loan Tape (BoE)'!P73=0,"No",""))</f>
        <v/>
      </c>
      <c r="Q73" s="17">
        <f>IF('Loan Tape (BoE)'!Q73=1,"Yes",IF('Loan Tape (BoE)'!Q73=0,"No",""))</f>
        <v/>
      </c>
      <c r="R73" s="18">
        <f>IF('Loan Tape (BoE)'!R73=1,"Yes",IF('Loan Tape (BoE)'!R73=0,"No",""))</f>
        <v/>
      </c>
      <c r="S73" s="18">
        <f>IF('Loan Tape (BoE)'!S73=1,"Yes",IF('Loan Tape (BoE)'!S73=0,"No",""))</f>
        <v/>
      </c>
      <c r="T73" s="17">
        <f>IF('Loan Tape (BoE)'!T73=1,"Yes",IF('Loan Tape (BoE)'!T73=0,"No",""))</f>
        <v/>
      </c>
      <c r="U73" s="18">
        <f>R73+S73</f>
        <v/>
      </c>
      <c r="V73" s="17">
        <f>IFERROR(IFS('Loan Tape (BoE)'!U74=1,"Employed",'Loan Tape (BoE)'!U74=2,"Self-Employed",'Loan Tape (BoE)'!U74=3,"Unemployed",'Loan Tape (BoE)'!U74=4,"Retired"),"")</f>
        <v/>
      </c>
      <c r="W73" s="17">
        <f>IFERROR(IFS('Loan Tape (BoE)'!V74=1,"Employed",'Loan Tape (BoE)'!V74=2,"Self-Employed",'Loan Tape (BoE)'!V74=3,"Unemployed",'Loan Tape (BoE)'!V74=4,"Retired"),"")</f>
        <v/>
      </c>
      <c r="X73" s="17">
        <f>IF(OR(V73="Self-Employed",W73="Self-Employed"),"Yes","No")</f>
        <v/>
      </c>
      <c r="Y73" s="17">
        <f>'Loan Tape (BoE)'!W74</f>
        <v/>
      </c>
      <c r="Z73" s="17">
        <f>'Loan Tape (BoE)'!X74</f>
        <v/>
      </c>
      <c r="AA73" s="17">
        <f>IF(T73=1,Y73,MIN(Y73,Z73))</f>
        <v/>
      </c>
      <c r="AB73" s="17">
        <f>'Loan Tape (BoE)'!Y74</f>
        <v/>
      </c>
      <c r="AC73" s="17">
        <f>'Loan Tape (BoE)'!Z74</f>
        <v/>
      </c>
      <c r="AD73" s="17">
        <f>AB73+AC73</f>
        <v/>
      </c>
      <c r="AE73" s="18">
        <f>'Loan Tape (BoE)'!AA74</f>
        <v/>
      </c>
      <c r="AF73" s="18">
        <f>'Loan Tape (BoE)'!AB74</f>
        <v/>
      </c>
      <c r="AG73" s="18">
        <f>AE73+AF73</f>
        <v/>
      </c>
      <c r="AH73" s="19">
        <f>MAX('Loan Tape (BoE)'!AC74,'Loan Tape (BoE)'!AD74)</f>
        <v/>
      </c>
      <c r="AI73" s="18">
        <f>'Loan Tape (BoE)'!AE74</f>
        <v/>
      </c>
      <c r="AJ73" s="18">
        <f>B73*H73/12</f>
        <v/>
      </c>
      <c r="AK73" s="21">
        <f>IF(AJ73&gt;0,AI73/AJ73,0)</f>
        <v/>
      </c>
      <c r="AL73" s="17">
        <f>IF('Loan Tape (BoE)'!AF74=1,"Yes","No")</f>
        <v/>
      </c>
      <c r="AM73" s="17">
        <f>IF('Loan Tape (BoE)'!AH74=1,"Yes","No")</f>
        <v/>
      </c>
      <c r="AN73" s="17">
        <f>IF('Loan Tape (BoE)'!AI74=1,"Yes","No")</f>
        <v/>
      </c>
      <c r="AO73" s="17">
        <f>IF('Loan Tape (BoE)'!AJ74=1,"Yes","No")</f>
        <v/>
      </c>
      <c r="AP73" s="17">
        <f>IF(OR('Loan Tape (BoE)'!AQ73=1,'Loan Tape (BoE)'!AQ73=2),"Yes",IF('Loan Tape (BoE)'!AQ73=0,"No",""))</f>
        <v/>
      </c>
      <c r="AQ73" s="17">
        <f>IF('Loan Tape (BoE)'!BV49_73&lt;&gt;"",'Loan Tape (BoE)'!BV49_73,"")</f>
        <v/>
      </c>
      <c r="AR73" s="17">
        <f>IF('Loan Tape (BoE)'!BV730_73&lt;&gt;"",'Loan Tape (BoE)'!BV50_73,"")</f>
        <v/>
      </c>
      <c r="AS73" s="17">
        <f>IFERROR(INDEX('FF Adj Parameters'!$A$103:$B$1073,MATCH('Loan Tape (BoE)'!P73,INDEX('FF Adj Parameters'!$A$103:$B$1073,,1),0),2),"Unknown")</f>
        <v/>
      </c>
      <c r="AT73" s="17">
        <f>IF(N73="Interest Only",M5*O5/12,IF(AND(O5&gt;0,ISNUMBER(O5),ISNUMBER(M5)),ABS(PMT(O5/12,AU5,-M5)),0))</f>
        <v/>
      </c>
      <c r="AU73" s="17">
        <f>IF(ISNUMBER(L73),MAX(0,(L5-'Control Panel'!$B$10)*12/365.25),0)</f>
        <v/>
      </c>
      <c r="AV73" s="17">
        <f>IF(ISNUMBER(L73),IF(L5&gt;'Control Panel'!$B$10,"Valid","Past Maturity"),"No Date")</f>
        <v/>
      </c>
      <c r="AW73" s="17">
        <f>IF(ISNUMBER(K73),MAX(0,('Control Panel'!$B$10-K5)*12/365.25),0)</f>
        <v/>
      </c>
    </row>
    <row r="74">
      <c r="A74" s="17">
        <f>'Loan Tape (BoE)'!A75</f>
        <v/>
      </c>
      <c r="B74" s="18">
        <f>IFERROR(INDEX('FF Adj Parameters'!$A$89:$B$92,MATCH('Loan Tape (BoE)'!C74,INDEX('FF Adj Parameters'!$A$89:$B$92,,1),0),2),"Unknown")</f>
        <v/>
      </c>
      <c r="C74" s="18">
        <f>'Loan Tape (BoE)'!C75</f>
        <v/>
      </c>
      <c r="D74" s="18">
        <f>'Loan Tape (BoE)'!D75</f>
        <v/>
      </c>
      <c r="E74" s="18">
        <f>'Loan Tape (BoE)'!E75</f>
        <v/>
      </c>
      <c r="F74" s="19">
        <f>'Loan Tape (BoE)'!F75</f>
        <v/>
      </c>
      <c r="G74" s="19">
        <f>'Loan Tape (BoE)'!G75</f>
        <v/>
      </c>
      <c r="H74" s="20">
        <f>'Loan Tape (BoE)'!H75/100</f>
        <v/>
      </c>
      <c r="I74" s="17">
        <f>IFERROR(IFS('Loan Tape (BoE)'!I75=1,"House",'Loan Tape (BoE)'!I75=2,"Flat",'Loan Tape (BoE)'!I75=3,"Bungalow",'Loan Tape (BoE)'!I75=4,"Maisonette"),"")</f>
        <v/>
      </c>
      <c r="J74" s="17">
        <f>'Loan Tape (BoE)'!J75</f>
        <v/>
      </c>
      <c r="K74" s="17">
        <f>'Loan Tape (BoE)'!K75</f>
        <v/>
      </c>
      <c r="L74" s="17">
        <f>IFERROR(IFS('Loan Tape (BoE)'!L75=1,"Owner Occupied",'Loan Tape (BoE)'!L75=2,"BTL",'Loan Tape (BoE)'!L75=3,"Second Home",'Loan Tape (BoE)'!L75=4,"Investment"),"")</f>
        <v/>
      </c>
      <c r="M74" s="17">
        <f>IFERROR(IFS('Loan Tape (BoE)'!M75=1,"Purchase",'Loan Tape (BoE)'!M75=2,"Remortgage",OR('Loan Tape (BoE)'!M75=3,'Loan Tape (BoE)'!M75=4),"Cash-out"),"")</f>
        <v/>
      </c>
      <c r="N74" s="17">
        <f>IFERROR(INDEX('FF Adj Parameters'!$A$96:$B$99,MATCH('Loan Tape (BoE)'!R74,INDEX('FF Adj Parameters'!$A$96:$B$99,,1),0),2),"Unknown")</f>
        <v/>
      </c>
      <c r="O74" s="17">
        <f>IF('Loan Tape (BoE)'!O75=1,"Yes","No")</f>
        <v/>
      </c>
      <c r="P74" s="17">
        <f>IF('Loan Tape (BoE)'!P74=1,"Yes",IF('Loan Tape (BoE)'!P74=0,"No",""))</f>
        <v/>
      </c>
      <c r="Q74" s="17">
        <f>IF('Loan Tape (BoE)'!Q74=1,"Yes",IF('Loan Tape (BoE)'!Q74=0,"No",""))</f>
        <v/>
      </c>
      <c r="R74" s="18">
        <f>IF('Loan Tape (BoE)'!R74=1,"Yes",IF('Loan Tape (BoE)'!R74=0,"No",""))</f>
        <v/>
      </c>
      <c r="S74" s="18">
        <f>IF('Loan Tape (BoE)'!S74=1,"Yes",IF('Loan Tape (BoE)'!S74=0,"No",""))</f>
        <v/>
      </c>
      <c r="T74" s="17">
        <f>IF('Loan Tape (BoE)'!T74=1,"Yes",IF('Loan Tape (BoE)'!T74=0,"No",""))</f>
        <v/>
      </c>
      <c r="U74" s="18">
        <f>R74+S74</f>
        <v/>
      </c>
      <c r="V74" s="17">
        <f>IFERROR(IFS('Loan Tape (BoE)'!U75=1,"Employed",'Loan Tape (BoE)'!U75=2,"Self-Employed",'Loan Tape (BoE)'!U75=3,"Unemployed",'Loan Tape (BoE)'!U75=4,"Retired"),"")</f>
        <v/>
      </c>
      <c r="W74" s="17">
        <f>IFERROR(IFS('Loan Tape (BoE)'!V75=1,"Employed",'Loan Tape (BoE)'!V75=2,"Self-Employed",'Loan Tape (BoE)'!V75=3,"Unemployed",'Loan Tape (BoE)'!V75=4,"Retired"),"")</f>
        <v/>
      </c>
      <c r="X74" s="17">
        <f>IF(OR(V74="Self-Employed",W74="Self-Employed"),"Yes","No")</f>
        <v/>
      </c>
      <c r="Y74" s="17">
        <f>'Loan Tape (BoE)'!W75</f>
        <v/>
      </c>
      <c r="Z74" s="17">
        <f>'Loan Tape (BoE)'!X75</f>
        <v/>
      </c>
      <c r="AA74" s="17">
        <f>IF(T74=1,Y74,MIN(Y74,Z74))</f>
        <v/>
      </c>
      <c r="AB74" s="17">
        <f>'Loan Tape (BoE)'!Y75</f>
        <v/>
      </c>
      <c r="AC74" s="17">
        <f>'Loan Tape (BoE)'!Z75</f>
        <v/>
      </c>
      <c r="AD74" s="17">
        <f>AB74+AC74</f>
        <v/>
      </c>
      <c r="AE74" s="18">
        <f>'Loan Tape (BoE)'!AA75</f>
        <v/>
      </c>
      <c r="AF74" s="18">
        <f>'Loan Tape (BoE)'!AB75</f>
        <v/>
      </c>
      <c r="AG74" s="18">
        <f>AE74+AF74</f>
        <v/>
      </c>
      <c r="AH74" s="19">
        <f>MAX('Loan Tape (BoE)'!AC75,'Loan Tape (BoE)'!AD75)</f>
        <v/>
      </c>
      <c r="AI74" s="18">
        <f>'Loan Tape (BoE)'!AE75</f>
        <v/>
      </c>
      <c r="AJ74" s="18">
        <f>B74*H74/12</f>
        <v/>
      </c>
      <c r="AK74" s="21">
        <f>IF(AJ74&gt;0,AI74/AJ74,0)</f>
        <v/>
      </c>
      <c r="AL74" s="17">
        <f>IF('Loan Tape (BoE)'!AF75=1,"Yes","No")</f>
        <v/>
      </c>
      <c r="AM74" s="17">
        <f>IF('Loan Tape (BoE)'!AH75=1,"Yes","No")</f>
        <v/>
      </c>
      <c r="AN74" s="17">
        <f>IF('Loan Tape (BoE)'!AI75=1,"Yes","No")</f>
        <v/>
      </c>
      <c r="AO74" s="17">
        <f>IF('Loan Tape (BoE)'!AJ75=1,"Yes","No")</f>
        <v/>
      </c>
      <c r="AP74" s="17">
        <f>IF(OR('Loan Tape (BoE)'!AQ74=1,'Loan Tape (BoE)'!AQ74=2),"Yes",IF('Loan Tape (BoE)'!AQ74=0,"No",""))</f>
        <v/>
      </c>
      <c r="AQ74" s="17">
        <f>IF('Loan Tape (BoE)'!BV49_74&lt;&gt;"",'Loan Tape (BoE)'!BV49_74,"")</f>
        <v/>
      </c>
      <c r="AR74" s="17">
        <f>IF('Loan Tape (BoE)'!BV740_74&lt;&gt;"",'Loan Tape (BoE)'!BV50_74,"")</f>
        <v/>
      </c>
      <c r="AS74" s="17">
        <f>IFERROR(INDEX('FF Adj Parameters'!$A$103:$B$1074,MATCH('Loan Tape (BoE)'!P74,INDEX('FF Adj Parameters'!$A$103:$B$1074,,1),0),2),"Unknown")</f>
        <v/>
      </c>
      <c r="AT74" s="17">
        <f>IF(N74="Interest Only",M5*O5/12,IF(AND(O5&gt;0,ISNUMBER(O5),ISNUMBER(M5)),ABS(PMT(O5/12,AU5,-M5)),0))</f>
        <v/>
      </c>
      <c r="AU74" s="17">
        <f>IF(ISNUMBER(L74),MAX(0,(L5-'Control Panel'!$B$10)*12/365.25),0)</f>
        <v/>
      </c>
      <c r="AV74" s="17">
        <f>IF(ISNUMBER(L74),IF(L5&gt;'Control Panel'!$B$10,"Valid","Past Maturity"),"No Date")</f>
        <v/>
      </c>
      <c r="AW74" s="17">
        <f>IF(ISNUMBER(K74),MAX(0,('Control Panel'!$B$10-K5)*12/365.25),0)</f>
        <v/>
      </c>
    </row>
    <row r="75">
      <c r="A75" s="17">
        <f>'Loan Tape (BoE)'!A76</f>
        <v/>
      </c>
      <c r="B75" s="18">
        <f>IFERROR(INDEX('FF Adj Parameters'!$A$89:$B$92,MATCH('Loan Tape (BoE)'!C75,INDEX('FF Adj Parameters'!$A$89:$B$92,,1),0),2),"Unknown")</f>
        <v/>
      </c>
      <c r="C75" s="18">
        <f>'Loan Tape (BoE)'!C76</f>
        <v/>
      </c>
      <c r="D75" s="18">
        <f>'Loan Tape (BoE)'!D76</f>
        <v/>
      </c>
      <c r="E75" s="18">
        <f>'Loan Tape (BoE)'!E76</f>
        <v/>
      </c>
      <c r="F75" s="19">
        <f>'Loan Tape (BoE)'!F76</f>
        <v/>
      </c>
      <c r="G75" s="19">
        <f>'Loan Tape (BoE)'!G76</f>
        <v/>
      </c>
      <c r="H75" s="20">
        <f>'Loan Tape (BoE)'!H76/100</f>
        <v/>
      </c>
      <c r="I75" s="17">
        <f>IFERROR(IFS('Loan Tape (BoE)'!I76=1,"House",'Loan Tape (BoE)'!I76=2,"Flat",'Loan Tape (BoE)'!I76=3,"Bungalow",'Loan Tape (BoE)'!I76=4,"Maisonette"),"")</f>
        <v/>
      </c>
      <c r="J75" s="17">
        <f>'Loan Tape (BoE)'!J76</f>
        <v/>
      </c>
      <c r="K75" s="17">
        <f>'Loan Tape (BoE)'!K76</f>
        <v/>
      </c>
      <c r="L75" s="17">
        <f>IFERROR(IFS('Loan Tape (BoE)'!L76=1,"Owner Occupied",'Loan Tape (BoE)'!L76=2,"BTL",'Loan Tape (BoE)'!L76=3,"Second Home",'Loan Tape (BoE)'!L76=4,"Investment"),"")</f>
        <v/>
      </c>
      <c r="M75" s="17">
        <f>IFERROR(IFS('Loan Tape (BoE)'!M76=1,"Purchase",'Loan Tape (BoE)'!M76=2,"Remortgage",OR('Loan Tape (BoE)'!M76=3,'Loan Tape (BoE)'!M76=4),"Cash-out"),"")</f>
        <v/>
      </c>
      <c r="N75" s="17">
        <f>IFERROR(INDEX('FF Adj Parameters'!$A$96:$B$99,MATCH('Loan Tape (BoE)'!R75,INDEX('FF Adj Parameters'!$A$96:$B$99,,1),0),2),"Unknown")</f>
        <v/>
      </c>
      <c r="O75" s="17">
        <f>IF('Loan Tape (BoE)'!O76=1,"Yes","No")</f>
        <v/>
      </c>
      <c r="P75" s="17">
        <f>IF('Loan Tape (BoE)'!P75=1,"Yes",IF('Loan Tape (BoE)'!P75=0,"No",""))</f>
        <v/>
      </c>
      <c r="Q75" s="17">
        <f>IF('Loan Tape (BoE)'!Q75=1,"Yes",IF('Loan Tape (BoE)'!Q75=0,"No",""))</f>
        <v/>
      </c>
      <c r="R75" s="18">
        <f>IF('Loan Tape (BoE)'!R75=1,"Yes",IF('Loan Tape (BoE)'!R75=0,"No",""))</f>
        <v/>
      </c>
      <c r="S75" s="18">
        <f>IF('Loan Tape (BoE)'!S75=1,"Yes",IF('Loan Tape (BoE)'!S75=0,"No",""))</f>
        <v/>
      </c>
      <c r="T75" s="17">
        <f>IF('Loan Tape (BoE)'!T75=1,"Yes",IF('Loan Tape (BoE)'!T75=0,"No",""))</f>
        <v/>
      </c>
      <c r="U75" s="18">
        <f>R75+S75</f>
        <v/>
      </c>
      <c r="V75" s="17">
        <f>IFERROR(IFS('Loan Tape (BoE)'!U76=1,"Employed",'Loan Tape (BoE)'!U76=2,"Self-Employed",'Loan Tape (BoE)'!U76=3,"Unemployed",'Loan Tape (BoE)'!U76=4,"Retired"),"")</f>
        <v/>
      </c>
      <c r="W75" s="17">
        <f>IFERROR(IFS('Loan Tape (BoE)'!V76=1,"Employed",'Loan Tape (BoE)'!V76=2,"Self-Employed",'Loan Tape (BoE)'!V76=3,"Unemployed",'Loan Tape (BoE)'!V76=4,"Retired"),"")</f>
        <v/>
      </c>
      <c r="X75" s="17">
        <f>IF(OR(V75="Self-Employed",W75="Self-Employed"),"Yes","No")</f>
        <v/>
      </c>
      <c r="Y75" s="17">
        <f>'Loan Tape (BoE)'!W76</f>
        <v/>
      </c>
      <c r="Z75" s="17">
        <f>'Loan Tape (BoE)'!X76</f>
        <v/>
      </c>
      <c r="AA75" s="17">
        <f>IF(T75=1,Y75,MIN(Y75,Z75))</f>
        <v/>
      </c>
      <c r="AB75" s="17">
        <f>'Loan Tape (BoE)'!Y76</f>
        <v/>
      </c>
      <c r="AC75" s="17">
        <f>'Loan Tape (BoE)'!Z76</f>
        <v/>
      </c>
      <c r="AD75" s="17">
        <f>AB75+AC75</f>
        <v/>
      </c>
      <c r="AE75" s="18">
        <f>'Loan Tape (BoE)'!AA76</f>
        <v/>
      </c>
      <c r="AF75" s="18">
        <f>'Loan Tape (BoE)'!AB76</f>
        <v/>
      </c>
      <c r="AG75" s="18">
        <f>AE75+AF75</f>
        <v/>
      </c>
      <c r="AH75" s="19">
        <f>MAX('Loan Tape (BoE)'!AC76,'Loan Tape (BoE)'!AD76)</f>
        <v/>
      </c>
      <c r="AI75" s="18">
        <f>'Loan Tape (BoE)'!AE76</f>
        <v/>
      </c>
      <c r="AJ75" s="18">
        <f>B75*H75/12</f>
        <v/>
      </c>
      <c r="AK75" s="21">
        <f>IF(AJ75&gt;0,AI75/AJ75,0)</f>
        <v/>
      </c>
      <c r="AL75" s="17">
        <f>IF('Loan Tape (BoE)'!AF76=1,"Yes","No")</f>
        <v/>
      </c>
      <c r="AM75" s="17">
        <f>IF('Loan Tape (BoE)'!AH76=1,"Yes","No")</f>
        <v/>
      </c>
      <c r="AN75" s="17">
        <f>IF('Loan Tape (BoE)'!AI76=1,"Yes","No")</f>
        <v/>
      </c>
      <c r="AO75" s="17">
        <f>IF('Loan Tape (BoE)'!AJ76=1,"Yes","No")</f>
        <v/>
      </c>
      <c r="AP75" s="17">
        <f>IF(OR('Loan Tape (BoE)'!AQ75=1,'Loan Tape (BoE)'!AQ75=2),"Yes",IF('Loan Tape (BoE)'!AQ75=0,"No",""))</f>
        <v/>
      </c>
      <c r="AQ75" s="17">
        <f>IF('Loan Tape (BoE)'!BV49_775&lt;&gt;"",'Loan Tape (BoE)'!BV49_75,"")</f>
        <v/>
      </c>
      <c r="AR75" s="17">
        <f>IF('Loan Tape (BoE)'!BV750_75&lt;&gt;"",'Loan Tape (BoE)'!BV50_75,"")</f>
        <v/>
      </c>
      <c r="AS75" s="17">
        <f>IFERROR(INDEX('FF Adj Parameters'!$A$103:$B$1075,MATCH('Loan Tape (BoE)'!P75,INDEX('FF Adj Parameters'!$A$103:$B$1075,,1),0),2),"Unknown")</f>
        <v/>
      </c>
      <c r="AT75" s="17">
        <f>IF(N75="Interest Only",M5*O5/12,IF(AND(O5&gt;0,ISNUMBER(O5),ISNUMBER(M5)),ABS(PMT(O5/12,AU5,-M5)),0))</f>
        <v/>
      </c>
      <c r="AU75" s="17">
        <f>IF(ISNUMBER(L75),MAX(0,(L5-'Control Panel'!$B$10)*12/365.25),0)</f>
        <v/>
      </c>
      <c r="AV75" s="17">
        <f>IF(ISNUMBER(L75),IF(L5&gt;'Control Panel'!$B$10,"Valid","Past Maturity"),"No Date")</f>
        <v/>
      </c>
      <c r="AW75" s="17">
        <f>IF(ISNUMBER(K75),MAX(0,('Control Panel'!$B$10-K5)*12/365.25),0)</f>
        <v/>
      </c>
    </row>
    <row r="76">
      <c r="A76" s="17">
        <f>'Loan Tape (BoE)'!A77</f>
        <v/>
      </c>
      <c r="B76" s="18">
        <f>IFERROR(INDEX('FF Adj Parameters'!$A$89:$B$92,MATCH('Loan Tape (BoE)'!C76,INDEX('FF Adj Parameters'!$A$89:$B$92,,1),0),2),"Unknown")</f>
        <v/>
      </c>
      <c r="C76" s="18">
        <f>'Loan Tape (BoE)'!C77</f>
        <v/>
      </c>
      <c r="D76" s="18">
        <f>'Loan Tape (BoE)'!D77</f>
        <v/>
      </c>
      <c r="E76" s="18">
        <f>'Loan Tape (BoE)'!E77</f>
        <v/>
      </c>
      <c r="F76" s="19">
        <f>'Loan Tape (BoE)'!F77</f>
        <v/>
      </c>
      <c r="G76" s="19">
        <f>'Loan Tape (BoE)'!G77</f>
        <v/>
      </c>
      <c r="H76" s="20">
        <f>'Loan Tape (BoE)'!H77/100</f>
        <v/>
      </c>
      <c r="I76" s="17">
        <f>IFERROR(IFS('Loan Tape (BoE)'!I77=1,"House",'Loan Tape (BoE)'!I77=2,"Flat",'Loan Tape (BoE)'!I77=3,"Bungalow",'Loan Tape (BoE)'!I77=4,"Maisonette"),"")</f>
        <v/>
      </c>
      <c r="J76" s="17">
        <f>'Loan Tape (BoE)'!J77</f>
        <v/>
      </c>
      <c r="K76" s="17">
        <f>'Loan Tape (BoE)'!K77</f>
        <v/>
      </c>
      <c r="L76" s="17">
        <f>IFERROR(IFS('Loan Tape (BoE)'!L77=1,"Owner Occupied",'Loan Tape (BoE)'!L77=2,"BTL",'Loan Tape (BoE)'!L77=3,"Second Home",'Loan Tape (BoE)'!L77=4,"Investment"),"")</f>
        <v/>
      </c>
      <c r="M76" s="17">
        <f>IFERROR(IFS('Loan Tape (BoE)'!M77=1,"Purchase",'Loan Tape (BoE)'!M77=2,"Remortgage",OR('Loan Tape (BoE)'!M77=3,'Loan Tape (BoE)'!M77=4),"Cash-out"),"")</f>
        <v/>
      </c>
      <c r="N76" s="17">
        <f>IFERROR(INDEX('FF Adj Parameters'!$A$96:$B$99,MATCH('Loan Tape (BoE)'!R76,INDEX('FF Adj Parameters'!$A$96:$B$99,,1),0),2),"Unknown")</f>
        <v/>
      </c>
      <c r="O76" s="17">
        <f>IF('Loan Tape (BoE)'!O77=1,"Yes","No")</f>
        <v/>
      </c>
      <c r="P76" s="17">
        <f>IF('Loan Tape (BoE)'!P76=1,"Yes",IF('Loan Tape (BoE)'!P76=0,"No",""))</f>
        <v/>
      </c>
      <c r="Q76" s="17">
        <f>IF('Loan Tape (BoE)'!Q76=1,"Yes",IF('Loan Tape (BoE)'!Q76=0,"No",""))</f>
        <v/>
      </c>
      <c r="R76" s="18">
        <f>IF('Loan Tape (BoE)'!R76=1,"Yes",IF('Loan Tape (BoE)'!R76=0,"No",""))</f>
        <v/>
      </c>
      <c r="S76" s="18">
        <f>IF('Loan Tape (BoE)'!S76=1,"Yes",IF('Loan Tape (BoE)'!S76=0,"No",""))</f>
        <v/>
      </c>
      <c r="T76" s="17">
        <f>IF('Loan Tape (BoE)'!T76=1,"Yes",IF('Loan Tape (BoE)'!T76=0,"No",""))</f>
        <v/>
      </c>
      <c r="U76" s="18">
        <f>R76+S76</f>
        <v/>
      </c>
      <c r="V76" s="17">
        <f>IFERROR(IFS('Loan Tape (BoE)'!U77=1,"Employed",'Loan Tape (BoE)'!U77=2,"Self-Employed",'Loan Tape (BoE)'!U77=3,"Unemployed",'Loan Tape (BoE)'!U77=4,"Retired"),"")</f>
        <v/>
      </c>
      <c r="W76" s="17">
        <f>IFERROR(IFS('Loan Tape (BoE)'!V77=1,"Employed",'Loan Tape (BoE)'!V77=2,"Self-Employed",'Loan Tape (BoE)'!V77=3,"Unemployed",'Loan Tape (BoE)'!V77=4,"Retired"),"")</f>
        <v/>
      </c>
      <c r="X76" s="17">
        <f>IF(OR(V76="Self-Employed",W76="Self-Employed"),"Yes","No")</f>
        <v/>
      </c>
      <c r="Y76" s="17">
        <f>'Loan Tape (BoE)'!W77</f>
        <v/>
      </c>
      <c r="Z76" s="17">
        <f>'Loan Tape (BoE)'!X77</f>
        <v/>
      </c>
      <c r="AA76" s="17">
        <f>IF(T76=1,Y76,MIN(Y76,Z76))</f>
        <v/>
      </c>
      <c r="AB76" s="17">
        <f>'Loan Tape (BoE)'!Y77</f>
        <v/>
      </c>
      <c r="AC76" s="17">
        <f>'Loan Tape (BoE)'!Z77</f>
        <v/>
      </c>
      <c r="AD76" s="17">
        <f>AB76+AC76</f>
        <v/>
      </c>
      <c r="AE76" s="18">
        <f>'Loan Tape (BoE)'!AA77</f>
        <v/>
      </c>
      <c r="AF76" s="18">
        <f>'Loan Tape (BoE)'!AB77</f>
        <v/>
      </c>
      <c r="AG76" s="18">
        <f>AE76+AF76</f>
        <v/>
      </c>
      <c r="AH76" s="19">
        <f>MAX('Loan Tape (BoE)'!AC77,'Loan Tape (BoE)'!AD77)</f>
        <v/>
      </c>
      <c r="AI76" s="18">
        <f>'Loan Tape (BoE)'!AE77</f>
        <v/>
      </c>
      <c r="AJ76" s="18">
        <f>B76*H76/12</f>
        <v/>
      </c>
      <c r="AK76" s="21">
        <f>IF(AJ76&gt;0,AI76/AJ76,0)</f>
        <v/>
      </c>
      <c r="AL76" s="17">
        <f>IF('Loan Tape (BoE)'!AF77=1,"Yes","No")</f>
        <v/>
      </c>
      <c r="AM76" s="17">
        <f>IF('Loan Tape (BoE)'!AH77=1,"Yes","No")</f>
        <v/>
      </c>
      <c r="AN76" s="17">
        <f>IF('Loan Tape (BoE)'!AI77=1,"Yes","No")</f>
        <v/>
      </c>
      <c r="AO76" s="17">
        <f>IF('Loan Tape (BoE)'!AJ77=1,"Yes","No")</f>
        <v/>
      </c>
      <c r="AP76" s="17">
        <f>IF(OR('Loan Tape (BoE)'!AQ76=1,'Loan Tape (BoE)'!AQ76=2),"Yes",IF('Loan Tape (BoE)'!AQ76=0,"No",""))</f>
        <v/>
      </c>
      <c r="AQ76" s="17">
        <f>IF('Loan Tape (BoE)'!BV49_76&lt;&gt;"",'Loan Tape (BoE)'!BV49_76,"")</f>
        <v/>
      </c>
      <c r="AR76" s="17">
        <f>IF('Loan Tape (BoE)'!BV760_76&lt;&gt;"",'Loan Tape (BoE)'!BV50_76,"")</f>
        <v/>
      </c>
      <c r="AS76" s="17">
        <f>IFERROR(INDEX('FF Adj Parameters'!$A$103:$B$1076,MATCH('Loan Tape (BoE)'!P76,INDEX('FF Adj Parameters'!$A$103:$B$1076,,1),0),2),"Unknown")</f>
        <v/>
      </c>
      <c r="AT76" s="17">
        <f>IF(N76="Interest Only",M5*O5/12,IF(AND(O5&gt;0,ISNUMBER(O5),ISNUMBER(M5)),ABS(PMT(O5/12,AU5,-M5)),0))</f>
        <v/>
      </c>
      <c r="AU76" s="17">
        <f>IF(ISNUMBER(L76),MAX(0,(L5-'Control Panel'!$B$10)*12/365.25),0)</f>
        <v/>
      </c>
      <c r="AV76" s="17">
        <f>IF(ISNUMBER(L76),IF(L5&gt;'Control Panel'!$B$10,"Valid","Past Maturity"),"No Date")</f>
        <v/>
      </c>
      <c r="AW76" s="17">
        <f>IF(ISNUMBER(K76),MAX(0,('Control Panel'!$B$10-K5)*12/365.25),0)</f>
        <v/>
      </c>
    </row>
    <row r="77">
      <c r="A77" s="17">
        <f>'Loan Tape (BoE)'!A78</f>
        <v/>
      </c>
      <c r="B77" s="18">
        <f>IFERROR(INDEX('FF Adj Parameters'!$A$89:$B$92,MATCH('Loan Tape (BoE)'!C77,INDEX('FF Adj Parameters'!$A$89:$B$92,,1),0),2),"Unknown")</f>
        <v/>
      </c>
      <c r="C77" s="18">
        <f>'Loan Tape (BoE)'!C78</f>
        <v/>
      </c>
      <c r="D77" s="18">
        <f>'Loan Tape (BoE)'!D78</f>
        <v/>
      </c>
      <c r="E77" s="18">
        <f>'Loan Tape (BoE)'!E78</f>
        <v/>
      </c>
      <c r="F77" s="19">
        <f>'Loan Tape (BoE)'!F78</f>
        <v/>
      </c>
      <c r="G77" s="19">
        <f>'Loan Tape (BoE)'!G78</f>
        <v/>
      </c>
      <c r="H77" s="20">
        <f>'Loan Tape (BoE)'!H78/100</f>
        <v/>
      </c>
      <c r="I77" s="17">
        <f>IFERROR(IFS('Loan Tape (BoE)'!I78=1,"House",'Loan Tape (BoE)'!I78=2,"Flat",'Loan Tape (BoE)'!I78=3,"Bungalow",'Loan Tape (BoE)'!I78=4,"Maisonette"),"")</f>
        <v/>
      </c>
      <c r="J77" s="17">
        <f>'Loan Tape (BoE)'!J78</f>
        <v/>
      </c>
      <c r="K77" s="17">
        <f>'Loan Tape (BoE)'!K78</f>
        <v/>
      </c>
      <c r="L77" s="17">
        <f>IFERROR(IFS('Loan Tape (BoE)'!L78=1,"Owner Occupied",'Loan Tape (BoE)'!L78=2,"BTL",'Loan Tape (BoE)'!L78=3,"Second Home",'Loan Tape (BoE)'!L78=4,"Investment"),"")</f>
        <v/>
      </c>
      <c r="M77" s="17">
        <f>IFERROR(IFS('Loan Tape (BoE)'!M78=1,"Purchase",'Loan Tape (BoE)'!M78=2,"Remortgage",OR('Loan Tape (BoE)'!M78=3,'Loan Tape (BoE)'!M78=4),"Cash-out"),"")</f>
        <v/>
      </c>
      <c r="N77" s="17">
        <f>IFERROR(INDEX('FF Adj Parameters'!$A$96:$B$99,MATCH('Loan Tape (BoE)'!R77,INDEX('FF Adj Parameters'!$A$96:$B$99,,1),0),2),"Unknown")</f>
        <v/>
      </c>
      <c r="O77" s="17">
        <f>IF('Loan Tape (BoE)'!O78=1,"Yes","No")</f>
        <v/>
      </c>
      <c r="P77" s="17">
        <f>IF('Loan Tape (BoE)'!P77=1,"Yes",IF('Loan Tape (BoE)'!P77=0,"No",""))</f>
        <v/>
      </c>
      <c r="Q77" s="17">
        <f>IF('Loan Tape (BoE)'!Q77=1,"Yes",IF('Loan Tape (BoE)'!Q77=0,"No",""))</f>
        <v/>
      </c>
      <c r="R77" s="18">
        <f>IF('Loan Tape (BoE)'!R77=1,"Yes",IF('Loan Tape (BoE)'!R77=0,"No",""))</f>
        <v/>
      </c>
      <c r="S77" s="18">
        <f>IF('Loan Tape (BoE)'!S77=1,"Yes",IF('Loan Tape (BoE)'!S77=0,"No",""))</f>
        <v/>
      </c>
      <c r="T77" s="17">
        <f>IF('Loan Tape (BoE)'!T77=1,"Yes",IF('Loan Tape (BoE)'!T77=0,"No",""))</f>
        <v/>
      </c>
      <c r="U77" s="18">
        <f>R77+S77</f>
        <v/>
      </c>
      <c r="V77" s="17">
        <f>IFERROR(IFS('Loan Tape (BoE)'!U78=1,"Employed",'Loan Tape (BoE)'!U78=2,"Self-Employed",'Loan Tape (BoE)'!U78=3,"Unemployed",'Loan Tape (BoE)'!U78=4,"Retired"),"")</f>
        <v/>
      </c>
      <c r="W77" s="17">
        <f>IFERROR(IFS('Loan Tape (BoE)'!V78=1,"Employed",'Loan Tape (BoE)'!V78=2,"Self-Employed",'Loan Tape (BoE)'!V78=3,"Unemployed",'Loan Tape (BoE)'!V78=4,"Retired"),"")</f>
        <v/>
      </c>
      <c r="X77" s="17">
        <f>IF(OR(V77="Self-Employed",W77="Self-Employed"),"Yes","No")</f>
        <v/>
      </c>
      <c r="Y77" s="17">
        <f>'Loan Tape (BoE)'!W78</f>
        <v/>
      </c>
      <c r="Z77" s="17">
        <f>'Loan Tape (BoE)'!X78</f>
        <v/>
      </c>
      <c r="AA77" s="17">
        <f>IF(T77=1,Y77,MIN(Y77,Z77))</f>
        <v/>
      </c>
      <c r="AB77" s="17">
        <f>'Loan Tape (BoE)'!Y78</f>
        <v/>
      </c>
      <c r="AC77" s="17">
        <f>'Loan Tape (BoE)'!Z78</f>
        <v/>
      </c>
      <c r="AD77" s="17">
        <f>AB77+AC77</f>
        <v/>
      </c>
      <c r="AE77" s="18">
        <f>'Loan Tape (BoE)'!AA78</f>
        <v/>
      </c>
      <c r="AF77" s="18">
        <f>'Loan Tape (BoE)'!AB78</f>
        <v/>
      </c>
      <c r="AG77" s="18">
        <f>AE77+AF77</f>
        <v/>
      </c>
      <c r="AH77" s="19">
        <f>MAX('Loan Tape (BoE)'!AC78,'Loan Tape (BoE)'!AD78)</f>
        <v/>
      </c>
      <c r="AI77" s="18">
        <f>'Loan Tape (BoE)'!AE78</f>
        <v/>
      </c>
      <c r="AJ77" s="18">
        <f>B77*H77/12</f>
        <v/>
      </c>
      <c r="AK77" s="21">
        <f>IF(AJ77&gt;0,AI77/AJ77,0)</f>
        <v/>
      </c>
      <c r="AL77" s="17">
        <f>IF('Loan Tape (BoE)'!AF78=1,"Yes","No")</f>
        <v/>
      </c>
      <c r="AM77" s="17">
        <f>IF('Loan Tape (BoE)'!AH78=1,"Yes","No")</f>
        <v/>
      </c>
      <c r="AN77" s="17">
        <f>IF('Loan Tape (BoE)'!AI78=1,"Yes","No")</f>
        <v/>
      </c>
      <c r="AO77" s="17">
        <f>IF('Loan Tape (BoE)'!AJ78=1,"Yes","No")</f>
        <v/>
      </c>
      <c r="AP77" s="17">
        <f>IF(OR('Loan Tape (BoE)'!AQ77=1,'Loan Tape (BoE)'!AQ77=2),"Yes",IF('Loan Tape (BoE)'!AQ77=0,"No",""))</f>
        <v/>
      </c>
      <c r="AQ77" s="17">
        <f>IF('Loan Tape (BoE)'!BV49_77&lt;&gt;"",'Loan Tape (BoE)'!BV49_77,"")</f>
        <v/>
      </c>
      <c r="AR77" s="17">
        <f>IF('Loan Tape (BoE)'!BV770_77&lt;&gt;"",'Loan Tape (BoE)'!BV50_77,"")</f>
        <v/>
      </c>
      <c r="AS77" s="17">
        <f>IFERROR(INDEX('FF Adj Parameters'!$A$103:$B$1077,MATCH('Loan Tape (BoE)'!P77,INDEX('FF Adj Parameters'!$A$103:$B$1077,,1),0),2),"Unknown")</f>
        <v/>
      </c>
      <c r="AT77" s="17">
        <f>IF(N77="Interest Only",M5*O5/12,IF(AND(O5&gt;0,ISNUMBER(O5),ISNUMBER(M5)),ABS(PMT(O5/12,AU5,-M5)),0))</f>
        <v/>
      </c>
      <c r="AU77" s="17">
        <f>IF(ISNUMBER(L77),MAX(0,(L5-'Control Panel'!$B$10)*12/365.25),0)</f>
        <v/>
      </c>
      <c r="AV77" s="17">
        <f>IF(ISNUMBER(L77),IF(L5&gt;'Control Panel'!$B$10,"Valid","Past Maturity"),"No Date")</f>
        <v/>
      </c>
      <c r="AW77" s="17">
        <f>IF(ISNUMBER(K77),MAX(0,('Control Panel'!$B$10-K5)*12/365.25),0)</f>
        <v/>
      </c>
    </row>
    <row r="78">
      <c r="A78" s="17">
        <f>'Loan Tape (BoE)'!A79</f>
        <v/>
      </c>
      <c r="B78" s="18">
        <f>IFERROR(INDEX('FF Adj Parameters'!$A$89:$B$92,MATCH('Loan Tape (BoE)'!C78,INDEX('FF Adj Parameters'!$A$89:$B$92,,1),0),2),"Unknown")</f>
        <v/>
      </c>
      <c r="C78" s="18">
        <f>'Loan Tape (BoE)'!C79</f>
        <v/>
      </c>
      <c r="D78" s="18">
        <f>'Loan Tape (BoE)'!D79</f>
        <v/>
      </c>
      <c r="E78" s="18">
        <f>'Loan Tape (BoE)'!E79</f>
        <v/>
      </c>
      <c r="F78" s="19">
        <f>'Loan Tape (BoE)'!F79</f>
        <v/>
      </c>
      <c r="G78" s="19">
        <f>'Loan Tape (BoE)'!G79</f>
        <v/>
      </c>
      <c r="H78" s="20">
        <f>'Loan Tape (BoE)'!H79/100</f>
        <v/>
      </c>
      <c r="I78" s="17">
        <f>IFERROR(IFS('Loan Tape (BoE)'!I79=1,"House",'Loan Tape (BoE)'!I79=2,"Flat",'Loan Tape (BoE)'!I79=3,"Bungalow",'Loan Tape (BoE)'!I79=4,"Maisonette"),"")</f>
        <v/>
      </c>
      <c r="J78" s="17">
        <f>'Loan Tape (BoE)'!J79</f>
        <v/>
      </c>
      <c r="K78" s="17">
        <f>'Loan Tape (BoE)'!K79</f>
        <v/>
      </c>
      <c r="L78" s="17">
        <f>IFERROR(IFS('Loan Tape (BoE)'!L79=1,"Owner Occupied",'Loan Tape (BoE)'!L79=2,"BTL",'Loan Tape (BoE)'!L79=3,"Second Home",'Loan Tape (BoE)'!L79=4,"Investment"),"")</f>
        <v/>
      </c>
      <c r="M78" s="17">
        <f>IFERROR(IFS('Loan Tape (BoE)'!M79=1,"Purchase",'Loan Tape (BoE)'!M79=2,"Remortgage",OR('Loan Tape (BoE)'!M79=3,'Loan Tape (BoE)'!M79=4),"Cash-out"),"")</f>
        <v/>
      </c>
      <c r="N78" s="17">
        <f>IFERROR(INDEX('FF Adj Parameters'!$A$96:$B$99,MATCH('Loan Tape (BoE)'!R78,INDEX('FF Adj Parameters'!$A$96:$B$99,,1),0),2),"Unknown")</f>
        <v/>
      </c>
      <c r="O78" s="17">
        <f>IF('Loan Tape (BoE)'!O79=1,"Yes","No")</f>
        <v/>
      </c>
      <c r="P78" s="17">
        <f>IF('Loan Tape (BoE)'!P78=1,"Yes",IF('Loan Tape (BoE)'!P78=0,"No",""))</f>
        <v/>
      </c>
      <c r="Q78" s="17">
        <f>IF('Loan Tape (BoE)'!Q78=1,"Yes",IF('Loan Tape (BoE)'!Q78=0,"No",""))</f>
        <v/>
      </c>
      <c r="R78" s="18">
        <f>IF('Loan Tape (BoE)'!R78=1,"Yes",IF('Loan Tape (BoE)'!R78=0,"No",""))</f>
        <v/>
      </c>
      <c r="S78" s="18">
        <f>IF('Loan Tape (BoE)'!S78=1,"Yes",IF('Loan Tape (BoE)'!S78=0,"No",""))</f>
        <v/>
      </c>
      <c r="T78" s="17">
        <f>IF('Loan Tape (BoE)'!T78=1,"Yes",IF('Loan Tape (BoE)'!T78=0,"No",""))</f>
        <v/>
      </c>
      <c r="U78" s="18">
        <f>R78+S78</f>
        <v/>
      </c>
      <c r="V78" s="17">
        <f>IFERROR(IFS('Loan Tape (BoE)'!U79=1,"Employed",'Loan Tape (BoE)'!U79=2,"Self-Employed",'Loan Tape (BoE)'!U79=3,"Unemployed",'Loan Tape (BoE)'!U79=4,"Retired"),"")</f>
        <v/>
      </c>
      <c r="W78" s="17">
        <f>IFERROR(IFS('Loan Tape (BoE)'!V79=1,"Employed",'Loan Tape (BoE)'!V79=2,"Self-Employed",'Loan Tape (BoE)'!V79=3,"Unemployed",'Loan Tape (BoE)'!V79=4,"Retired"),"")</f>
        <v/>
      </c>
      <c r="X78" s="17">
        <f>IF(OR(V78="Self-Employed",W78="Self-Employed"),"Yes","No")</f>
        <v/>
      </c>
      <c r="Y78" s="17">
        <f>'Loan Tape (BoE)'!W79</f>
        <v/>
      </c>
      <c r="Z78" s="17">
        <f>'Loan Tape (BoE)'!X79</f>
        <v/>
      </c>
      <c r="AA78" s="17">
        <f>IF(T78=1,Y78,MIN(Y78,Z78))</f>
        <v/>
      </c>
      <c r="AB78" s="17">
        <f>'Loan Tape (BoE)'!Y79</f>
        <v/>
      </c>
      <c r="AC78" s="17">
        <f>'Loan Tape (BoE)'!Z79</f>
        <v/>
      </c>
      <c r="AD78" s="17">
        <f>AB78+AC78</f>
        <v/>
      </c>
      <c r="AE78" s="18">
        <f>'Loan Tape (BoE)'!AA79</f>
        <v/>
      </c>
      <c r="AF78" s="18">
        <f>'Loan Tape (BoE)'!AB79</f>
        <v/>
      </c>
      <c r="AG78" s="18">
        <f>AE78+AF78</f>
        <v/>
      </c>
      <c r="AH78" s="19">
        <f>MAX('Loan Tape (BoE)'!AC79,'Loan Tape (BoE)'!AD79)</f>
        <v/>
      </c>
      <c r="AI78" s="18">
        <f>'Loan Tape (BoE)'!AE79</f>
        <v/>
      </c>
      <c r="AJ78" s="18">
        <f>B78*H78/12</f>
        <v/>
      </c>
      <c r="AK78" s="21">
        <f>IF(AJ78&gt;0,AI78/AJ78,0)</f>
        <v/>
      </c>
      <c r="AL78" s="17">
        <f>IF('Loan Tape (BoE)'!AF79=1,"Yes","No")</f>
        <v/>
      </c>
      <c r="AM78" s="17">
        <f>IF('Loan Tape (BoE)'!AH79=1,"Yes","No")</f>
        <v/>
      </c>
      <c r="AN78" s="17">
        <f>IF('Loan Tape (BoE)'!AI79=1,"Yes","No")</f>
        <v/>
      </c>
      <c r="AO78" s="17">
        <f>IF('Loan Tape (BoE)'!AJ79=1,"Yes","No")</f>
        <v/>
      </c>
      <c r="AP78" s="17">
        <f>IF(OR('Loan Tape (BoE)'!AQ78=1,'Loan Tape (BoE)'!AQ78=2),"Yes",IF('Loan Tape (BoE)'!AQ78=0,"No",""))</f>
        <v/>
      </c>
      <c r="AQ78" s="17">
        <f>IF('Loan Tape (BoE)'!BV49_78&lt;&gt;"",'Loan Tape (BoE)'!BV49_78,"")</f>
        <v/>
      </c>
      <c r="AR78" s="17">
        <f>IF('Loan Tape (BoE)'!BV780_78&lt;&gt;"",'Loan Tape (BoE)'!BV50_78,"")</f>
        <v/>
      </c>
      <c r="AS78" s="17">
        <f>IFERROR(INDEX('FF Adj Parameters'!$A$103:$B$1078,MATCH('Loan Tape (BoE)'!P78,INDEX('FF Adj Parameters'!$A$103:$B$1078,,1),0),2),"Unknown")</f>
        <v/>
      </c>
      <c r="AT78" s="17">
        <f>IF(N78="Interest Only",M5*O5/12,IF(AND(O5&gt;0,ISNUMBER(O5),ISNUMBER(M5)),ABS(PMT(O5/12,AU5,-M5)),0))</f>
        <v/>
      </c>
      <c r="AU78" s="17">
        <f>IF(ISNUMBER(L78),MAX(0,(L5-'Control Panel'!$B$10)*12/365.25),0)</f>
        <v/>
      </c>
      <c r="AV78" s="17">
        <f>IF(ISNUMBER(L78),IF(L5&gt;'Control Panel'!$B$10,"Valid","Past Maturity"),"No Date")</f>
        <v/>
      </c>
      <c r="AW78" s="17">
        <f>IF(ISNUMBER(K78),MAX(0,('Control Panel'!$B$10-K5)*12/365.25),0)</f>
        <v/>
      </c>
    </row>
    <row r="79">
      <c r="A79" s="17">
        <f>'Loan Tape (BoE)'!A80</f>
        <v/>
      </c>
      <c r="B79" s="18">
        <f>IFERROR(INDEX('FF Adj Parameters'!$A$89:$B$92,MATCH('Loan Tape (BoE)'!C79,INDEX('FF Adj Parameters'!$A$89:$B$92,,1),0),2),"Unknown")</f>
        <v/>
      </c>
      <c r="C79" s="18">
        <f>'Loan Tape (BoE)'!C80</f>
        <v/>
      </c>
      <c r="D79" s="18">
        <f>'Loan Tape (BoE)'!D80</f>
        <v/>
      </c>
      <c r="E79" s="18">
        <f>'Loan Tape (BoE)'!E80</f>
        <v/>
      </c>
      <c r="F79" s="19">
        <f>'Loan Tape (BoE)'!F80</f>
        <v/>
      </c>
      <c r="G79" s="19">
        <f>'Loan Tape (BoE)'!G80</f>
        <v/>
      </c>
      <c r="H79" s="20">
        <f>'Loan Tape (BoE)'!H80/100</f>
        <v/>
      </c>
      <c r="I79" s="17">
        <f>IFERROR(IFS('Loan Tape (BoE)'!I80=1,"House",'Loan Tape (BoE)'!I80=2,"Flat",'Loan Tape (BoE)'!I80=3,"Bungalow",'Loan Tape (BoE)'!I80=4,"Maisonette"),"")</f>
        <v/>
      </c>
      <c r="J79" s="17">
        <f>'Loan Tape (BoE)'!J80</f>
        <v/>
      </c>
      <c r="K79" s="17">
        <f>'Loan Tape (BoE)'!K80</f>
        <v/>
      </c>
      <c r="L79" s="17">
        <f>IFERROR(IFS('Loan Tape (BoE)'!L80=1,"Owner Occupied",'Loan Tape (BoE)'!L80=2,"BTL",'Loan Tape (BoE)'!L80=3,"Second Home",'Loan Tape (BoE)'!L80=4,"Investment"),"")</f>
        <v/>
      </c>
      <c r="M79" s="17">
        <f>IFERROR(IFS('Loan Tape (BoE)'!M80=1,"Purchase",'Loan Tape (BoE)'!M80=2,"Remortgage",OR('Loan Tape (BoE)'!M80=3,'Loan Tape (BoE)'!M80=4),"Cash-out"),"")</f>
        <v/>
      </c>
      <c r="N79" s="17">
        <f>IFERROR(INDEX('FF Adj Parameters'!$A$96:$B$99,MATCH('Loan Tape (BoE)'!R79,INDEX('FF Adj Parameters'!$A$96:$B$99,,1),0),2),"Unknown")</f>
        <v/>
      </c>
      <c r="O79" s="17">
        <f>IF('Loan Tape (BoE)'!O80=1,"Yes","No")</f>
        <v/>
      </c>
      <c r="P79" s="17">
        <f>IF('Loan Tape (BoE)'!P79=1,"Yes",IF('Loan Tape (BoE)'!P79=0,"No",""))</f>
        <v/>
      </c>
      <c r="Q79" s="17">
        <f>IF('Loan Tape (BoE)'!Q79=1,"Yes",IF('Loan Tape (BoE)'!Q79=0,"No",""))</f>
        <v/>
      </c>
      <c r="R79" s="18">
        <f>IF('Loan Tape (BoE)'!R79=1,"Yes",IF('Loan Tape (BoE)'!R79=0,"No",""))</f>
        <v/>
      </c>
      <c r="S79" s="18">
        <f>IF('Loan Tape (BoE)'!S79=1,"Yes",IF('Loan Tape (BoE)'!S79=0,"No",""))</f>
        <v/>
      </c>
      <c r="T79" s="17">
        <f>IF('Loan Tape (BoE)'!T79=1,"Yes",IF('Loan Tape (BoE)'!T79=0,"No",""))</f>
        <v/>
      </c>
      <c r="U79" s="18">
        <f>R79+S79</f>
        <v/>
      </c>
      <c r="V79" s="17">
        <f>IFERROR(IFS('Loan Tape (BoE)'!U80=1,"Employed",'Loan Tape (BoE)'!U80=2,"Self-Employed",'Loan Tape (BoE)'!U80=3,"Unemployed",'Loan Tape (BoE)'!U80=4,"Retired"),"")</f>
        <v/>
      </c>
      <c r="W79" s="17">
        <f>IFERROR(IFS('Loan Tape (BoE)'!V80=1,"Employed",'Loan Tape (BoE)'!V80=2,"Self-Employed",'Loan Tape (BoE)'!V80=3,"Unemployed",'Loan Tape (BoE)'!V80=4,"Retired"),"")</f>
        <v/>
      </c>
      <c r="X79" s="17">
        <f>IF(OR(V79="Self-Employed",W79="Self-Employed"),"Yes","No")</f>
        <v/>
      </c>
      <c r="Y79" s="17">
        <f>'Loan Tape (BoE)'!W80</f>
        <v/>
      </c>
      <c r="Z79" s="17">
        <f>'Loan Tape (BoE)'!X80</f>
        <v/>
      </c>
      <c r="AA79" s="17">
        <f>IF(T79=1,Y79,MIN(Y79,Z79))</f>
        <v/>
      </c>
      <c r="AB79" s="17">
        <f>'Loan Tape (BoE)'!Y80</f>
        <v/>
      </c>
      <c r="AC79" s="17">
        <f>'Loan Tape (BoE)'!Z80</f>
        <v/>
      </c>
      <c r="AD79" s="17">
        <f>AB79+AC79</f>
        <v/>
      </c>
      <c r="AE79" s="18">
        <f>'Loan Tape (BoE)'!AA80</f>
        <v/>
      </c>
      <c r="AF79" s="18">
        <f>'Loan Tape (BoE)'!AB80</f>
        <v/>
      </c>
      <c r="AG79" s="18">
        <f>AE79+AF79</f>
        <v/>
      </c>
      <c r="AH79" s="19">
        <f>MAX('Loan Tape (BoE)'!AC80,'Loan Tape (BoE)'!AD80)</f>
        <v/>
      </c>
      <c r="AI79" s="18">
        <f>'Loan Tape (BoE)'!AE80</f>
        <v/>
      </c>
      <c r="AJ79" s="18">
        <f>B79*H79/12</f>
        <v/>
      </c>
      <c r="AK79" s="21">
        <f>IF(AJ79&gt;0,AI79/AJ79,0)</f>
        <v/>
      </c>
      <c r="AL79" s="17">
        <f>IF('Loan Tape (BoE)'!AF80=1,"Yes","No")</f>
        <v/>
      </c>
      <c r="AM79" s="17">
        <f>IF('Loan Tape (BoE)'!AH80=1,"Yes","No")</f>
        <v/>
      </c>
      <c r="AN79" s="17">
        <f>IF('Loan Tape (BoE)'!AI80=1,"Yes","No")</f>
        <v/>
      </c>
      <c r="AO79" s="17">
        <f>IF('Loan Tape (BoE)'!AJ80=1,"Yes","No")</f>
        <v/>
      </c>
      <c r="AP79" s="17">
        <f>IF(OR('Loan Tape (BoE)'!AQ79=1,'Loan Tape (BoE)'!AQ79=2),"Yes",IF('Loan Tape (BoE)'!AQ79=0,"No",""))</f>
        <v/>
      </c>
      <c r="AQ79" s="17">
        <f>IF('Loan Tape (BoE)'!BV49_79&lt;&gt;"",'Loan Tape (BoE)'!BV49_79,"")</f>
        <v/>
      </c>
      <c r="AR79" s="17">
        <f>IF('Loan Tape (BoE)'!BV790_79&lt;&gt;"",'Loan Tape (BoE)'!BV50_79,"")</f>
        <v/>
      </c>
      <c r="AS79" s="17">
        <f>IFERROR(INDEX('FF Adj Parameters'!$A$103:$B$1079,MATCH('Loan Tape (BoE)'!P79,INDEX('FF Adj Parameters'!$A$103:$B$1079,,1),0),2),"Unknown")</f>
        <v/>
      </c>
      <c r="AT79" s="17">
        <f>IF(N79="Interest Only",M5*O5/12,IF(AND(O5&gt;0,ISNUMBER(O5),ISNUMBER(M5)),ABS(PMT(O5/12,AU5,-M5)),0))</f>
        <v/>
      </c>
      <c r="AU79" s="17">
        <f>IF(ISNUMBER(L79),MAX(0,(L5-'Control Panel'!$B$10)*12/365.25),0)</f>
        <v/>
      </c>
      <c r="AV79" s="17">
        <f>IF(ISNUMBER(L79),IF(L5&gt;'Control Panel'!$B$10,"Valid","Past Maturity"),"No Date")</f>
        <v/>
      </c>
      <c r="AW79" s="17">
        <f>IF(ISNUMBER(K79),MAX(0,('Control Panel'!$B$10-K5)*12/365.25),0)</f>
        <v/>
      </c>
    </row>
    <row r="80">
      <c r="A80" s="17">
        <f>'Loan Tape (BoE)'!A81</f>
        <v/>
      </c>
      <c r="B80" s="18">
        <f>IFERROR(INDEX('FF Adj Parameters'!$A$89:$B$92,MATCH('Loan Tape (BoE)'!C80,INDEX('FF Adj Parameters'!$A$89:$B$92,,1),0),2),"Unknown")</f>
        <v/>
      </c>
      <c r="C80" s="18">
        <f>'Loan Tape (BoE)'!C81</f>
        <v/>
      </c>
      <c r="D80" s="18">
        <f>'Loan Tape (BoE)'!D81</f>
        <v/>
      </c>
      <c r="E80" s="18">
        <f>'Loan Tape (BoE)'!E81</f>
        <v/>
      </c>
      <c r="F80" s="19">
        <f>'Loan Tape (BoE)'!F81</f>
        <v/>
      </c>
      <c r="G80" s="19">
        <f>'Loan Tape (BoE)'!G81</f>
        <v/>
      </c>
      <c r="H80" s="20">
        <f>'Loan Tape (BoE)'!H81/100</f>
        <v/>
      </c>
      <c r="I80" s="17">
        <f>IFERROR(IFS('Loan Tape (BoE)'!I81=1,"House",'Loan Tape (BoE)'!I81=2,"Flat",'Loan Tape (BoE)'!I81=3,"Bungalow",'Loan Tape (BoE)'!I81=4,"Maisonette"),"")</f>
        <v/>
      </c>
      <c r="J80" s="17">
        <f>'Loan Tape (BoE)'!J81</f>
        <v/>
      </c>
      <c r="K80" s="17">
        <f>'Loan Tape (BoE)'!K81</f>
        <v/>
      </c>
      <c r="L80" s="17">
        <f>IFERROR(IFS('Loan Tape (BoE)'!L81=1,"Owner Occupied",'Loan Tape (BoE)'!L81=2,"BTL",'Loan Tape (BoE)'!L81=3,"Second Home",'Loan Tape (BoE)'!L81=4,"Investment"),"")</f>
        <v/>
      </c>
      <c r="M80" s="17">
        <f>IFERROR(IFS('Loan Tape (BoE)'!M81=1,"Purchase",'Loan Tape (BoE)'!M81=2,"Remortgage",OR('Loan Tape (BoE)'!M81=3,'Loan Tape (BoE)'!M81=4),"Cash-out"),"")</f>
        <v/>
      </c>
      <c r="N80" s="17">
        <f>IFERROR(INDEX('FF Adj Parameters'!$A$96:$B$99,MATCH('Loan Tape (BoE)'!R80,INDEX('FF Adj Parameters'!$A$96:$B$99,,1),0),2),"Unknown")</f>
        <v/>
      </c>
      <c r="O80" s="17">
        <f>IF('Loan Tape (BoE)'!O81=1,"Yes","No")</f>
        <v/>
      </c>
      <c r="P80" s="17">
        <f>IF('Loan Tape (BoE)'!P80=1,"Yes",IF('Loan Tape (BoE)'!P80=0,"No",""))</f>
        <v/>
      </c>
      <c r="Q80" s="17">
        <f>IF('Loan Tape (BoE)'!Q80=1,"Yes",IF('Loan Tape (BoE)'!Q80=0,"No",""))</f>
        <v/>
      </c>
      <c r="R80" s="18">
        <f>IF('Loan Tape (BoE)'!R80=1,"Yes",IF('Loan Tape (BoE)'!R80=0,"No",""))</f>
        <v/>
      </c>
      <c r="S80" s="18">
        <f>IF('Loan Tape (BoE)'!S80=1,"Yes",IF('Loan Tape (BoE)'!S80=0,"No",""))</f>
        <v/>
      </c>
      <c r="T80" s="17">
        <f>IF('Loan Tape (BoE)'!T80=1,"Yes",IF('Loan Tape (BoE)'!T80=0,"No",""))</f>
        <v/>
      </c>
      <c r="U80" s="18">
        <f>R80+S80</f>
        <v/>
      </c>
      <c r="V80" s="17">
        <f>IFERROR(IFS('Loan Tape (BoE)'!U81=1,"Employed",'Loan Tape (BoE)'!U81=2,"Self-Employed",'Loan Tape (BoE)'!U81=3,"Unemployed",'Loan Tape (BoE)'!U81=4,"Retired"),"")</f>
        <v/>
      </c>
      <c r="W80" s="17">
        <f>IFERROR(IFS('Loan Tape (BoE)'!V81=1,"Employed",'Loan Tape (BoE)'!V81=2,"Self-Employed",'Loan Tape (BoE)'!V81=3,"Unemployed",'Loan Tape (BoE)'!V81=4,"Retired"),"")</f>
        <v/>
      </c>
      <c r="X80" s="17">
        <f>IF(OR(V80="Self-Employed",W80="Self-Employed"),"Yes","No")</f>
        <v/>
      </c>
      <c r="Y80" s="17">
        <f>'Loan Tape (BoE)'!W81</f>
        <v/>
      </c>
      <c r="Z80" s="17">
        <f>'Loan Tape (BoE)'!X81</f>
        <v/>
      </c>
      <c r="AA80" s="17">
        <f>IF(T80=1,Y80,MIN(Y80,Z80))</f>
        <v/>
      </c>
      <c r="AB80" s="17">
        <f>'Loan Tape (BoE)'!Y81</f>
        <v/>
      </c>
      <c r="AC80" s="17">
        <f>'Loan Tape (BoE)'!Z81</f>
        <v/>
      </c>
      <c r="AD80" s="17">
        <f>AB80+AC80</f>
        <v/>
      </c>
      <c r="AE80" s="18">
        <f>'Loan Tape (BoE)'!AA81</f>
        <v/>
      </c>
      <c r="AF80" s="18">
        <f>'Loan Tape (BoE)'!AB81</f>
        <v/>
      </c>
      <c r="AG80" s="18">
        <f>AE80+AF80</f>
        <v/>
      </c>
      <c r="AH80" s="19">
        <f>MAX('Loan Tape (BoE)'!AC81,'Loan Tape (BoE)'!AD81)</f>
        <v/>
      </c>
      <c r="AI80" s="18">
        <f>'Loan Tape (BoE)'!AE81</f>
        <v/>
      </c>
      <c r="AJ80" s="18">
        <f>B80*H80/12</f>
        <v/>
      </c>
      <c r="AK80" s="21">
        <f>IF(AJ80&gt;0,AI80/AJ80,0)</f>
        <v/>
      </c>
      <c r="AL80" s="17">
        <f>IF('Loan Tape (BoE)'!AF81=1,"Yes","No")</f>
        <v/>
      </c>
      <c r="AM80" s="17">
        <f>IF('Loan Tape (BoE)'!AH81=1,"Yes","No")</f>
        <v/>
      </c>
      <c r="AN80" s="17">
        <f>IF('Loan Tape (BoE)'!AI81=1,"Yes","No")</f>
        <v/>
      </c>
      <c r="AO80" s="17">
        <f>IF('Loan Tape (BoE)'!AJ81=1,"Yes","No")</f>
        <v/>
      </c>
      <c r="AP80" s="17">
        <f>IF(OR('Loan Tape (BoE)'!AQ80=1,'Loan Tape (BoE)'!AQ80=2),"Yes",IF('Loan Tape (BoE)'!AQ80=0,"No",""))</f>
        <v/>
      </c>
      <c r="AQ80" s="17">
        <f>IF('Loan Tape (BoE)'!BV49_80&lt;&gt;"",'Loan Tape (BoE)'!BV49_80,"")</f>
        <v/>
      </c>
      <c r="AR80" s="17">
        <f>IF('Loan Tape (BoE)'!BV800_80&lt;&gt;"",'Loan Tape (BoE)'!BV50_80,"")</f>
        <v/>
      </c>
      <c r="AS80" s="17">
        <f>IFERROR(INDEX('FF Adj Parameters'!$A$103:$B$1080,MATCH('Loan Tape (BoE)'!P80,INDEX('FF Adj Parameters'!$A$103:$B$1080,,1),0),2),"Unknown")</f>
        <v/>
      </c>
      <c r="AT80" s="17">
        <f>IF(N80="Interest Only",M5*O5/12,IF(AND(O5&gt;0,ISNUMBER(O5),ISNUMBER(M5)),ABS(PMT(O5/12,AU5,-M5)),0))</f>
        <v/>
      </c>
      <c r="AU80" s="17">
        <f>IF(ISNUMBER(L80),MAX(0,(L5-'Control Panel'!$B$10)*12/365.25),0)</f>
        <v/>
      </c>
      <c r="AV80" s="17">
        <f>IF(ISNUMBER(L80),IF(L5&gt;'Control Panel'!$B$10,"Valid","Past Maturity"),"No Date")</f>
        <v/>
      </c>
      <c r="AW80" s="17">
        <f>IF(ISNUMBER(K80),MAX(0,('Control Panel'!$B$10-K5)*12/365.25),0)</f>
        <v/>
      </c>
    </row>
    <row r="81">
      <c r="A81" s="17">
        <f>'Loan Tape (BoE)'!A82</f>
        <v/>
      </c>
      <c r="B81" s="18">
        <f>IFERROR(INDEX('FF Adj Parameters'!$A$89:$B$92,MATCH('Loan Tape (BoE)'!C81,INDEX('FF Adj Parameters'!$A$89:$B$92,,1),0),2),"Unknown")</f>
        <v/>
      </c>
      <c r="C81" s="18">
        <f>'Loan Tape (BoE)'!C82</f>
        <v/>
      </c>
      <c r="D81" s="18">
        <f>'Loan Tape (BoE)'!D82</f>
        <v/>
      </c>
      <c r="E81" s="18">
        <f>'Loan Tape (BoE)'!E82</f>
        <v/>
      </c>
      <c r="F81" s="19">
        <f>'Loan Tape (BoE)'!F82</f>
        <v/>
      </c>
      <c r="G81" s="19">
        <f>'Loan Tape (BoE)'!G82</f>
        <v/>
      </c>
      <c r="H81" s="20">
        <f>'Loan Tape (BoE)'!H82/100</f>
        <v/>
      </c>
      <c r="I81" s="17">
        <f>IFERROR(IFS('Loan Tape (BoE)'!I82=1,"House",'Loan Tape (BoE)'!I82=2,"Flat",'Loan Tape (BoE)'!I82=3,"Bungalow",'Loan Tape (BoE)'!I82=4,"Maisonette"),"")</f>
        <v/>
      </c>
      <c r="J81" s="17">
        <f>'Loan Tape (BoE)'!J82</f>
        <v/>
      </c>
      <c r="K81" s="17">
        <f>'Loan Tape (BoE)'!K82</f>
        <v/>
      </c>
      <c r="L81" s="17">
        <f>IFERROR(IFS('Loan Tape (BoE)'!L82=1,"Owner Occupied",'Loan Tape (BoE)'!L82=2,"BTL",'Loan Tape (BoE)'!L82=3,"Second Home",'Loan Tape (BoE)'!L82=4,"Investment"),"")</f>
        <v/>
      </c>
      <c r="M81" s="17">
        <f>IFERROR(IFS('Loan Tape (BoE)'!M82=1,"Purchase",'Loan Tape (BoE)'!M82=2,"Remortgage",OR('Loan Tape (BoE)'!M82=3,'Loan Tape (BoE)'!M82=4),"Cash-out"),"")</f>
        <v/>
      </c>
      <c r="N81" s="17">
        <f>IFERROR(INDEX('FF Adj Parameters'!$A$96:$B$99,MATCH('Loan Tape (BoE)'!R81,INDEX('FF Adj Parameters'!$A$96:$B$99,,1),0),2),"Unknown")</f>
        <v/>
      </c>
      <c r="O81" s="17">
        <f>IF('Loan Tape (BoE)'!O82=1,"Yes","No")</f>
        <v/>
      </c>
      <c r="P81" s="17">
        <f>IF('Loan Tape (BoE)'!P81=1,"Yes",IF('Loan Tape (BoE)'!P81=0,"No",""))</f>
        <v/>
      </c>
      <c r="Q81" s="17">
        <f>IF('Loan Tape (BoE)'!Q81=1,"Yes",IF('Loan Tape (BoE)'!Q81=0,"No",""))</f>
        <v/>
      </c>
      <c r="R81" s="18">
        <f>IF('Loan Tape (BoE)'!R81=1,"Yes",IF('Loan Tape (BoE)'!R81=0,"No",""))</f>
        <v/>
      </c>
      <c r="S81" s="18">
        <f>IF('Loan Tape (BoE)'!S81=1,"Yes",IF('Loan Tape (BoE)'!S81=0,"No",""))</f>
        <v/>
      </c>
      <c r="T81" s="17">
        <f>IF('Loan Tape (BoE)'!T81=1,"Yes",IF('Loan Tape (BoE)'!T81=0,"No",""))</f>
        <v/>
      </c>
      <c r="U81" s="18">
        <f>R81+S81</f>
        <v/>
      </c>
      <c r="V81" s="17">
        <f>IFERROR(IFS('Loan Tape (BoE)'!U82=1,"Employed",'Loan Tape (BoE)'!U82=2,"Self-Employed",'Loan Tape (BoE)'!U82=3,"Unemployed",'Loan Tape (BoE)'!U82=4,"Retired"),"")</f>
        <v/>
      </c>
      <c r="W81" s="17">
        <f>IFERROR(IFS('Loan Tape (BoE)'!V82=1,"Employed",'Loan Tape (BoE)'!V82=2,"Self-Employed",'Loan Tape (BoE)'!V82=3,"Unemployed",'Loan Tape (BoE)'!V82=4,"Retired"),"")</f>
        <v/>
      </c>
      <c r="X81" s="17">
        <f>IF(OR(V81="Self-Employed",W81="Self-Employed"),"Yes","No")</f>
        <v/>
      </c>
      <c r="Y81" s="17">
        <f>'Loan Tape (BoE)'!W82</f>
        <v/>
      </c>
      <c r="Z81" s="17">
        <f>'Loan Tape (BoE)'!X82</f>
        <v/>
      </c>
      <c r="AA81" s="17">
        <f>IF(T81=1,Y81,MIN(Y81,Z81))</f>
        <v/>
      </c>
      <c r="AB81" s="17">
        <f>'Loan Tape (BoE)'!Y82</f>
        <v/>
      </c>
      <c r="AC81" s="17">
        <f>'Loan Tape (BoE)'!Z82</f>
        <v/>
      </c>
      <c r="AD81" s="17">
        <f>AB81+AC81</f>
        <v/>
      </c>
      <c r="AE81" s="18">
        <f>'Loan Tape (BoE)'!AA82</f>
        <v/>
      </c>
      <c r="AF81" s="18">
        <f>'Loan Tape (BoE)'!AB82</f>
        <v/>
      </c>
      <c r="AG81" s="18">
        <f>AE81+AF81</f>
        <v/>
      </c>
      <c r="AH81" s="19">
        <f>MAX('Loan Tape (BoE)'!AC82,'Loan Tape (BoE)'!AD82)</f>
        <v/>
      </c>
      <c r="AI81" s="18">
        <f>'Loan Tape (BoE)'!AE82</f>
        <v/>
      </c>
      <c r="AJ81" s="18">
        <f>B81*H81/12</f>
        <v/>
      </c>
      <c r="AK81" s="21">
        <f>IF(AJ81&gt;0,AI81/AJ81,0)</f>
        <v/>
      </c>
      <c r="AL81" s="17">
        <f>IF('Loan Tape (BoE)'!AF82=1,"Yes","No")</f>
        <v/>
      </c>
      <c r="AM81" s="17">
        <f>IF('Loan Tape (BoE)'!AH82=1,"Yes","No")</f>
        <v/>
      </c>
      <c r="AN81" s="17">
        <f>IF('Loan Tape (BoE)'!AI82=1,"Yes","No")</f>
        <v/>
      </c>
      <c r="AO81" s="17">
        <f>IF('Loan Tape (BoE)'!AJ82=1,"Yes","No")</f>
        <v/>
      </c>
      <c r="AP81" s="17">
        <f>IF(OR('Loan Tape (BoE)'!AQ81=1,'Loan Tape (BoE)'!AQ81=2),"Yes",IF('Loan Tape (BoE)'!AQ81=0,"No",""))</f>
        <v/>
      </c>
      <c r="AQ81" s="17">
        <f>IF('Loan Tape (BoE)'!BV49_81&lt;&gt;"",'Loan Tape (BoE)'!BV49_81,"")</f>
        <v/>
      </c>
      <c r="AR81" s="17">
        <f>IF('Loan Tape (BoE)'!BV810_81&lt;&gt;"",'Loan Tape (BoE)'!BV50_81,"")</f>
        <v/>
      </c>
      <c r="AS81" s="17">
        <f>IFERROR(INDEX('FF Adj Parameters'!$A$103:$B$1081,MATCH('Loan Tape (BoE)'!P81,INDEX('FF Adj Parameters'!$A$103:$B$1081,,1),0),2),"Unknown")</f>
        <v/>
      </c>
      <c r="AT81" s="17">
        <f>IF(N81="Interest Only",M5*O5/12,IF(AND(O5&gt;0,ISNUMBER(O5),ISNUMBER(M5)),ABS(PMT(O5/12,AU5,-M5)),0))</f>
        <v/>
      </c>
      <c r="AU81" s="17">
        <f>IF(ISNUMBER(L81),MAX(0,(L5-'Control Panel'!$B$10)*12/365.25),0)</f>
        <v/>
      </c>
      <c r="AV81" s="17">
        <f>IF(ISNUMBER(L81),IF(L5&gt;'Control Panel'!$B$10,"Valid","Past Maturity"),"No Date")</f>
        <v/>
      </c>
      <c r="AW81" s="17">
        <f>IF(ISNUMBER(K81),MAX(0,('Control Panel'!$B$10-K5)*12/365.25),0)</f>
        <v/>
      </c>
    </row>
    <row r="82">
      <c r="A82" s="17">
        <f>'Loan Tape (BoE)'!A83</f>
        <v/>
      </c>
      <c r="B82" s="18">
        <f>IFERROR(INDEX('FF Adj Parameters'!$A$89:$B$92,MATCH('Loan Tape (BoE)'!C82,INDEX('FF Adj Parameters'!$A$89:$B$92,,1),0),2),"Unknown")</f>
        <v/>
      </c>
      <c r="C82" s="18">
        <f>'Loan Tape (BoE)'!C83</f>
        <v/>
      </c>
      <c r="D82" s="18">
        <f>'Loan Tape (BoE)'!D83</f>
        <v/>
      </c>
      <c r="E82" s="18">
        <f>'Loan Tape (BoE)'!E83</f>
        <v/>
      </c>
      <c r="F82" s="19">
        <f>'Loan Tape (BoE)'!F83</f>
        <v/>
      </c>
      <c r="G82" s="19">
        <f>'Loan Tape (BoE)'!G83</f>
        <v/>
      </c>
      <c r="H82" s="20">
        <f>'Loan Tape (BoE)'!H83/100</f>
        <v/>
      </c>
      <c r="I82" s="17">
        <f>IFERROR(IFS('Loan Tape (BoE)'!I83=1,"House",'Loan Tape (BoE)'!I83=2,"Flat",'Loan Tape (BoE)'!I83=3,"Bungalow",'Loan Tape (BoE)'!I83=4,"Maisonette"),"")</f>
        <v/>
      </c>
      <c r="J82" s="17">
        <f>'Loan Tape (BoE)'!J83</f>
        <v/>
      </c>
      <c r="K82" s="17">
        <f>'Loan Tape (BoE)'!K83</f>
        <v/>
      </c>
      <c r="L82" s="17">
        <f>IFERROR(IFS('Loan Tape (BoE)'!L83=1,"Owner Occupied",'Loan Tape (BoE)'!L83=2,"BTL",'Loan Tape (BoE)'!L83=3,"Second Home",'Loan Tape (BoE)'!L83=4,"Investment"),"")</f>
        <v/>
      </c>
      <c r="M82" s="17">
        <f>IFERROR(IFS('Loan Tape (BoE)'!M83=1,"Purchase",'Loan Tape (BoE)'!M83=2,"Remortgage",OR('Loan Tape (BoE)'!M83=3,'Loan Tape (BoE)'!M83=4),"Cash-out"),"")</f>
        <v/>
      </c>
      <c r="N82" s="17">
        <f>IFERROR(INDEX('FF Adj Parameters'!$A$96:$B$99,MATCH('Loan Tape (BoE)'!R82,INDEX('FF Adj Parameters'!$A$96:$B$99,,1),0),2),"Unknown")</f>
        <v/>
      </c>
      <c r="O82" s="17">
        <f>IF('Loan Tape (BoE)'!O83=1,"Yes","No")</f>
        <v/>
      </c>
      <c r="P82" s="17">
        <f>IF('Loan Tape (BoE)'!P82=1,"Yes",IF('Loan Tape (BoE)'!P82=0,"No",""))</f>
        <v/>
      </c>
      <c r="Q82" s="17">
        <f>IF('Loan Tape (BoE)'!Q82=1,"Yes",IF('Loan Tape (BoE)'!Q82=0,"No",""))</f>
        <v/>
      </c>
      <c r="R82" s="18">
        <f>IF('Loan Tape (BoE)'!R82=1,"Yes",IF('Loan Tape (BoE)'!R82=0,"No",""))</f>
        <v/>
      </c>
      <c r="S82" s="18">
        <f>IF('Loan Tape (BoE)'!S82=1,"Yes",IF('Loan Tape (BoE)'!S82=0,"No",""))</f>
        <v/>
      </c>
      <c r="T82" s="17">
        <f>IF('Loan Tape (BoE)'!T82=1,"Yes",IF('Loan Tape (BoE)'!T82=0,"No",""))</f>
        <v/>
      </c>
      <c r="U82" s="18">
        <f>R82+S82</f>
        <v/>
      </c>
      <c r="V82" s="17">
        <f>IFERROR(IFS('Loan Tape (BoE)'!U83=1,"Employed",'Loan Tape (BoE)'!U83=2,"Self-Employed",'Loan Tape (BoE)'!U83=3,"Unemployed",'Loan Tape (BoE)'!U83=4,"Retired"),"")</f>
        <v/>
      </c>
      <c r="W82" s="17">
        <f>IFERROR(IFS('Loan Tape (BoE)'!V83=1,"Employed",'Loan Tape (BoE)'!V83=2,"Self-Employed",'Loan Tape (BoE)'!V83=3,"Unemployed",'Loan Tape (BoE)'!V83=4,"Retired"),"")</f>
        <v/>
      </c>
      <c r="X82" s="17">
        <f>IF(OR(V82="Self-Employed",W82="Self-Employed"),"Yes","No")</f>
        <v/>
      </c>
      <c r="Y82" s="17">
        <f>'Loan Tape (BoE)'!W83</f>
        <v/>
      </c>
      <c r="Z82" s="17">
        <f>'Loan Tape (BoE)'!X83</f>
        <v/>
      </c>
      <c r="AA82" s="17">
        <f>IF(T82=1,Y82,MIN(Y82,Z82))</f>
        <v/>
      </c>
      <c r="AB82" s="17">
        <f>'Loan Tape (BoE)'!Y83</f>
        <v/>
      </c>
      <c r="AC82" s="17">
        <f>'Loan Tape (BoE)'!Z83</f>
        <v/>
      </c>
      <c r="AD82" s="17">
        <f>AB82+AC82</f>
        <v/>
      </c>
      <c r="AE82" s="18">
        <f>'Loan Tape (BoE)'!AA83</f>
        <v/>
      </c>
      <c r="AF82" s="18">
        <f>'Loan Tape (BoE)'!AB83</f>
        <v/>
      </c>
      <c r="AG82" s="18">
        <f>AE82+AF82</f>
        <v/>
      </c>
      <c r="AH82" s="19">
        <f>MAX('Loan Tape (BoE)'!AC83,'Loan Tape (BoE)'!AD83)</f>
        <v/>
      </c>
      <c r="AI82" s="18">
        <f>'Loan Tape (BoE)'!AE83</f>
        <v/>
      </c>
      <c r="AJ82" s="18">
        <f>B82*H82/12</f>
        <v/>
      </c>
      <c r="AK82" s="21">
        <f>IF(AJ82&gt;0,AI82/AJ82,0)</f>
        <v/>
      </c>
      <c r="AL82" s="17">
        <f>IF('Loan Tape (BoE)'!AF83=1,"Yes","No")</f>
        <v/>
      </c>
      <c r="AM82" s="17">
        <f>IF('Loan Tape (BoE)'!AH83=1,"Yes","No")</f>
        <v/>
      </c>
      <c r="AN82" s="17">
        <f>IF('Loan Tape (BoE)'!AI83=1,"Yes","No")</f>
        <v/>
      </c>
      <c r="AO82" s="17">
        <f>IF('Loan Tape (BoE)'!AJ83=1,"Yes","No")</f>
        <v/>
      </c>
      <c r="AP82" s="17">
        <f>IF(OR('Loan Tape (BoE)'!AQ82=1,'Loan Tape (BoE)'!AQ82=2),"Yes",IF('Loan Tape (BoE)'!AQ82=0,"No",""))</f>
        <v/>
      </c>
      <c r="AQ82" s="17">
        <f>IF('Loan Tape (BoE)'!BV49_82&lt;&gt;"",'Loan Tape (BoE)'!BV49_82,"")</f>
        <v/>
      </c>
      <c r="AR82" s="17">
        <f>IF('Loan Tape (BoE)'!BV820_82&lt;&gt;"",'Loan Tape (BoE)'!BV50_82,"")</f>
        <v/>
      </c>
      <c r="AS82" s="17">
        <f>IFERROR(INDEX('FF Adj Parameters'!$A$103:$B$1082,MATCH('Loan Tape (BoE)'!P82,INDEX('FF Adj Parameters'!$A$103:$B$1082,,1),0),2),"Unknown")</f>
        <v/>
      </c>
      <c r="AT82" s="17">
        <f>IF(N82="Interest Only",M5*O5/12,IF(AND(O5&gt;0,ISNUMBER(O5),ISNUMBER(M5)),ABS(PMT(O5/12,AU5,-M5)),0))</f>
        <v/>
      </c>
      <c r="AU82" s="17">
        <f>IF(ISNUMBER(L82),MAX(0,(L5-'Control Panel'!$B$10)*12/365.25),0)</f>
        <v/>
      </c>
      <c r="AV82" s="17">
        <f>IF(ISNUMBER(L82),IF(L5&gt;'Control Panel'!$B$10,"Valid","Past Maturity"),"No Date")</f>
        <v/>
      </c>
      <c r="AW82" s="17">
        <f>IF(ISNUMBER(K82),MAX(0,('Control Panel'!$B$10-K5)*12/365.25),0)</f>
        <v/>
      </c>
    </row>
    <row r="83">
      <c r="A83" s="17">
        <f>'Loan Tape (BoE)'!A84</f>
        <v/>
      </c>
      <c r="B83" s="18">
        <f>IFERROR(INDEX('FF Adj Parameters'!$A$89:$B$92,MATCH('Loan Tape (BoE)'!C83,INDEX('FF Adj Parameters'!$A$89:$B$92,,1),0),2),"Unknown")</f>
        <v/>
      </c>
      <c r="C83" s="18">
        <f>'Loan Tape (BoE)'!C84</f>
        <v/>
      </c>
      <c r="D83" s="18">
        <f>'Loan Tape (BoE)'!D84</f>
        <v/>
      </c>
      <c r="E83" s="18">
        <f>'Loan Tape (BoE)'!E84</f>
        <v/>
      </c>
      <c r="F83" s="19">
        <f>'Loan Tape (BoE)'!F84</f>
        <v/>
      </c>
      <c r="G83" s="19">
        <f>'Loan Tape (BoE)'!G84</f>
        <v/>
      </c>
      <c r="H83" s="20">
        <f>'Loan Tape (BoE)'!H84/100</f>
        <v/>
      </c>
      <c r="I83" s="17">
        <f>IFERROR(IFS('Loan Tape (BoE)'!I84=1,"House",'Loan Tape (BoE)'!I84=2,"Flat",'Loan Tape (BoE)'!I84=3,"Bungalow",'Loan Tape (BoE)'!I84=4,"Maisonette"),"")</f>
        <v/>
      </c>
      <c r="J83" s="17">
        <f>'Loan Tape (BoE)'!J84</f>
        <v/>
      </c>
      <c r="K83" s="17">
        <f>'Loan Tape (BoE)'!K84</f>
        <v/>
      </c>
      <c r="L83" s="17">
        <f>IFERROR(IFS('Loan Tape (BoE)'!L84=1,"Owner Occupied",'Loan Tape (BoE)'!L84=2,"BTL",'Loan Tape (BoE)'!L84=3,"Second Home",'Loan Tape (BoE)'!L84=4,"Investment"),"")</f>
        <v/>
      </c>
      <c r="M83" s="17">
        <f>IFERROR(IFS('Loan Tape (BoE)'!M84=1,"Purchase",'Loan Tape (BoE)'!M84=2,"Remortgage",OR('Loan Tape (BoE)'!M84=3,'Loan Tape (BoE)'!M84=4),"Cash-out"),"")</f>
        <v/>
      </c>
      <c r="N83" s="17">
        <f>IFERROR(INDEX('FF Adj Parameters'!$A$96:$B$99,MATCH('Loan Tape (BoE)'!R83,INDEX('FF Adj Parameters'!$A$96:$B$99,,1),0),2),"Unknown")</f>
        <v/>
      </c>
      <c r="O83" s="17">
        <f>IF('Loan Tape (BoE)'!O84=1,"Yes","No")</f>
        <v/>
      </c>
      <c r="P83" s="17">
        <f>IF('Loan Tape (BoE)'!P83=1,"Yes",IF('Loan Tape (BoE)'!P83=0,"No",""))</f>
        <v/>
      </c>
      <c r="Q83" s="17">
        <f>IF('Loan Tape (BoE)'!Q83=1,"Yes",IF('Loan Tape (BoE)'!Q83=0,"No",""))</f>
        <v/>
      </c>
      <c r="R83" s="18">
        <f>IF('Loan Tape (BoE)'!R83=1,"Yes",IF('Loan Tape (BoE)'!R83=0,"No",""))</f>
        <v/>
      </c>
      <c r="S83" s="18">
        <f>IF('Loan Tape (BoE)'!S83=1,"Yes",IF('Loan Tape (BoE)'!S83=0,"No",""))</f>
        <v/>
      </c>
      <c r="T83" s="17">
        <f>IF('Loan Tape (BoE)'!T83=1,"Yes",IF('Loan Tape (BoE)'!T83=0,"No",""))</f>
        <v/>
      </c>
      <c r="U83" s="18">
        <f>R83+S83</f>
        <v/>
      </c>
      <c r="V83" s="17">
        <f>IFERROR(IFS('Loan Tape (BoE)'!U84=1,"Employed",'Loan Tape (BoE)'!U84=2,"Self-Employed",'Loan Tape (BoE)'!U84=3,"Unemployed",'Loan Tape (BoE)'!U84=4,"Retired"),"")</f>
        <v/>
      </c>
      <c r="W83" s="17">
        <f>IFERROR(IFS('Loan Tape (BoE)'!V84=1,"Employed",'Loan Tape (BoE)'!V84=2,"Self-Employed",'Loan Tape (BoE)'!V84=3,"Unemployed",'Loan Tape (BoE)'!V84=4,"Retired"),"")</f>
        <v/>
      </c>
      <c r="X83" s="17">
        <f>IF(OR(V83="Self-Employed",W83="Self-Employed"),"Yes","No")</f>
        <v/>
      </c>
      <c r="Y83" s="17">
        <f>'Loan Tape (BoE)'!W84</f>
        <v/>
      </c>
      <c r="Z83" s="17">
        <f>'Loan Tape (BoE)'!X84</f>
        <v/>
      </c>
      <c r="AA83" s="17">
        <f>IF(T83=1,Y83,MIN(Y83,Z83))</f>
        <v/>
      </c>
      <c r="AB83" s="17">
        <f>'Loan Tape (BoE)'!Y84</f>
        <v/>
      </c>
      <c r="AC83" s="17">
        <f>'Loan Tape (BoE)'!Z84</f>
        <v/>
      </c>
      <c r="AD83" s="17">
        <f>AB83+AC83</f>
        <v/>
      </c>
      <c r="AE83" s="18">
        <f>'Loan Tape (BoE)'!AA84</f>
        <v/>
      </c>
      <c r="AF83" s="18">
        <f>'Loan Tape (BoE)'!AB84</f>
        <v/>
      </c>
      <c r="AG83" s="18">
        <f>AE83+AF83</f>
        <v/>
      </c>
      <c r="AH83" s="19">
        <f>MAX('Loan Tape (BoE)'!AC84,'Loan Tape (BoE)'!AD84)</f>
        <v/>
      </c>
      <c r="AI83" s="18">
        <f>'Loan Tape (BoE)'!AE84</f>
        <v/>
      </c>
      <c r="AJ83" s="18">
        <f>B83*H83/12</f>
        <v/>
      </c>
      <c r="AK83" s="21">
        <f>IF(AJ83&gt;0,AI83/AJ83,0)</f>
        <v/>
      </c>
      <c r="AL83" s="17">
        <f>IF('Loan Tape (BoE)'!AF84=1,"Yes","No")</f>
        <v/>
      </c>
      <c r="AM83" s="17">
        <f>IF('Loan Tape (BoE)'!AH84=1,"Yes","No")</f>
        <v/>
      </c>
      <c r="AN83" s="17">
        <f>IF('Loan Tape (BoE)'!AI84=1,"Yes","No")</f>
        <v/>
      </c>
      <c r="AO83" s="17">
        <f>IF('Loan Tape (BoE)'!AJ84=1,"Yes","No")</f>
        <v/>
      </c>
      <c r="AP83" s="17">
        <f>IF(OR('Loan Tape (BoE)'!AQ83=1,'Loan Tape (BoE)'!AQ83=2),"Yes",IF('Loan Tape (BoE)'!AQ83=0,"No",""))</f>
        <v/>
      </c>
      <c r="AQ83" s="17">
        <f>IF('Loan Tape (BoE)'!BV49_83&lt;&gt;"",'Loan Tape (BoE)'!BV49_83,"")</f>
        <v/>
      </c>
      <c r="AR83" s="17">
        <f>IF('Loan Tape (BoE)'!BV830_83&lt;&gt;"",'Loan Tape (BoE)'!BV50_83,"")</f>
        <v/>
      </c>
      <c r="AS83" s="17">
        <f>IFERROR(INDEX('FF Adj Parameters'!$A$103:$B$1083,MATCH('Loan Tape (BoE)'!P83,INDEX('FF Adj Parameters'!$A$103:$B$1083,,1),0),2),"Unknown")</f>
        <v/>
      </c>
      <c r="AT83" s="17">
        <f>IF(N83="Interest Only",M5*O5/12,IF(AND(O5&gt;0,ISNUMBER(O5),ISNUMBER(M5)),ABS(PMT(O5/12,AU5,-M5)),0))</f>
        <v/>
      </c>
      <c r="AU83" s="17">
        <f>IF(ISNUMBER(L83),MAX(0,(L5-'Control Panel'!$B$10)*12/365.25),0)</f>
        <v/>
      </c>
      <c r="AV83" s="17">
        <f>IF(ISNUMBER(L83),IF(L5&gt;'Control Panel'!$B$10,"Valid","Past Maturity"),"No Date")</f>
        <v/>
      </c>
      <c r="AW83" s="17">
        <f>IF(ISNUMBER(K83),MAX(0,('Control Panel'!$B$10-K5)*12/365.25),0)</f>
        <v/>
      </c>
    </row>
    <row r="84">
      <c r="A84" s="17">
        <f>'Loan Tape (BoE)'!A85</f>
        <v/>
      </c>
      <c r="B84" s="18">
        <f>IFERROR(INDEX('FF Adj Parameters'!$A$89:$B$92,MATCH('Loan Tape (BoE)'!C84,INDEX('FF Adj Parameters'!$A$89:$B$92,,1),0),2),"Unknown")</f>
        <v/>
      </c>
      <c r="C84" s="18">
        <f>'Loan Tape (BoE)'!C85</f>
        <v/>
      </c>
      <c r="D84" s="18">
        <f>'Loan Tape (BoE)'!D85</f>
        <v/>
      </c>
      <c r="E84" s="18">
        <f>'Loan Tape (BoE)'!E85</f>
        <v/>
      </c>
      <c r="F84" s="19">
        <f>'Loan Tape (BoE)'!F85</f>
        <v/>
      </c>
      <c r="G84" s="19">
        <f>'Loan Tape (BoE)'!G85</f>
        <v/>
      </c>
      <c r="H84" s="20">
        <f>'Loan Tape (BoE)'!H85/100</f>
        <v/>
      </c>
      <c r="I84" s="17">
        <f>IFERROR(IFS('Loan Tape (BoE)'!I85=1,"House",'Loan Tape (BoE)'!I85=2,"Flat",'Loan Tape (BoE)'!I85=3,"Bungalow",'Loan Tape (BoE)'!I85=4,"Maisonette"),"")</f>
        <v/>
      </c>
      <c r="J84" s="17">
        <f>'Loan Tape (BoE)'!J85</f>
        <v/>
      </c>
      <c r="K84" s="17">
        <f>'Loan Tape (BoE)'!K85</f>
        <v/>
      </c>
      <c r="L84" s="17">
        <f>IFERROR(IFS('Loan Tape (BoE)'!L85=1,"Owner Occupied",'Loan Tape (BoE)'!L85=2,"BTL",'Loan Tape (BoE)'!L85=3,"Second Home",'Loan Tape (BoE)'!L85=4,"Investment"),"")</f>
        <v/>
      </c>
      <c r="M84" s="17">
        <f>IFERROR(IFS('Loan Tape (BoE)'!M85=1,"Purchase",'Loan Tape (BoE)'!M85=2,"Remortgage",OR('Loan Tape (BoE)'!M85=3,'Loan Tape (BoE)'!M85=4),"Cash-out"),"")</f>
        <v/>
      </c>
      <c r="N84" s="17">
        <f>IFERROR(INDEX('FF Adj Parameters'!$A$96:$B$99,MATCH('Loan Tape (BoE)'!R84,INDEX('FF Adj Parameters'!$A$96:$B$99,,1),0),2),"Unknown")</f>
        <v/>
      </c>
      <c r="O84" s="17">
        <f>IF('Loan Tape (BoE)'!O85=1,"Yes","No")</f>
        <v/>
      </c>
      <c r="P84" s="17">
        <f>IF('Loan Tape (BoE)'!P84=1,"Yes",IF('Loan Tape (BoE)'!P84=0,"No",""))</f>
        <v/>
      </c>
      <c r="Q84" s="17">
        <f>IF('Loan Tape (BoE)'!Q84=1,"Yes",IF('Loan Tape (BoE)'!Q84=0,"No",""))</f>
        <v/>
      </c>
      <c r="R84" s="18">
        <f>IF('Loan Tape (BoE)'!R84=1,"Yes",IF('Loan Tape (BoE)'!R84=0,"No",""))</f>
        <v/>
      </c>
      <c r="S84" s="18">
        <f>IF('Loan Tape (BoE)'!S84=1,"Yes",IF('Loan Tape (BoE)'!S84=0,"No",""))</f>
        <v/>
      </c>
      <c r="T84" s="17">
        <f>IF('Loan Tape (BoE)'!T84=1,"Yes",IF('Loan Tape (BoE)'!T84=0,"No",""))</f>
        <v/>
      </c>
      <c r="U84" s="18">
        <f>R84+S84</f>
        <v/>
      </c>
      <c r="V84" s="17">
        <f>IFERROR(IFS('Loan Tape (BoE)'!U85=1,"Employed",'Loan Tape (BoE)'!U85=2,"Self-Employed",'Loan Tape (BoE)'!U85=3,"Unemployed",'Loan Tape (BoE)'!U85=4,"Retired"),"")</f>
        <v/>
      </c>
      <c r="W84" s="17">
        <f>IFERROR(IFS('Loan Tape (BoE)'!V85=1,"Employed",'Loan Tape (BoE)'!V85=2,"Self-Employed",'Loan Tape (BoE)'!V85=3,"Unemployed",'Loan Tape (BoE)'!V85=4,"Retired"),"")</f>
        <v/>
      </c>
      <c r="X84" s="17">
        <f>IF(OR(V84="Self-Employed",W84="Self-Employed"),"Yes","No")</f>
        <v/>
      </c>
      <c r="Y84" s="17">
        <f>'Loan Tape (BoE)'!W85</f>
        <v/>
      </c>
      <c r="Z84" s="17">
        <f>'Loan Tape (BoE)'!X85</f>
        <v/>
      </c>
      <c r="AA84" s="17">
        <f>IF(T84=1,Y84,MIN(Y84,Z84))</f>
        <v/>
      </c>
      <c r="AB84" s="17">
        <f>'Loan Tape (BoE)'!Y85</f>
        <v/>
      </c>
      <c r="AC84" s="17">
        <f>'Loan Tape (BoE)'!Z85</f>
        <v/>
      </c>
      <c r="AD84" s="17">
        <f>AB84+AC84</f>
        <v/>
      </c>
      <c r="AE84" s="18">
        <f>'Loan Tape (BoE)'!AA85</f>
        <v/>
      </c>
      <c r="AF84" s="18">
        <f>'Loan Tape (BoE)'!AB85</f>
        <v/>
      </c>
      <c r="AG84" s="18">
        <f>AE84+AF84</f>
        <v/>
      </c>
      <c r="AH84" s="19">
        <f>MAX('Loan Tape (BoE)'!AC85,'Loan Tape (BoE)'!AD85)</f>
        <v/>
      </c>
      <c r="AI84" s="18">
        <f>'Loan Tape (BoE)'!AE85</f>
        <v/>
      </c>
      <c r="AJ84" s="18">
        <f>B84*H84/12</f>
        <v/>
      </c>
      <c r="AK84" s="21">
        <f>IF(AJ84&gt;0,AI84/AJ84,0)</f>
        <v/>
      </c>
      <c r="AL84" s="17">
        <f>IF('Loan Tape (BoE)'!AF85=1,"Yes","No")</f>
        <v/>
      </c>
      <c r="AM84" s="17">
        <f>IF('Loan Tape (BoE)'!AH85=1,"Yes","No")</f>
        <v/>
      </c>
      <c r="AN84" s="17">
        <f>IF('Loan Tape (BoE)'!AI85=1,"Yes","No")</f>
        <v/>
      </c>
      <c r="AO84" s="17">
        <f>IF('Loan Tape (BoE)'!AJ85=1,"Yes","No")</f>
        <v/>
      </c>
      <c r="AP84" s="17">
        <f>IF(OR('Loan Tape (BoE)'!AQ84=1,'Loan Tape (BoE)'!AQ84=2),"Yes",IF('Loan Tape (BoE)'!AQ84=0,"No",""))</f>
        <v/>
      </c>
      <c r="AQ84" s="17">
        <f>IF('Loan Tape (BoE)'!BV49_84&lt;&gt;"",'Loan Tape (BoE)'!BV49_84,"")</f>
        <v/>
      </c>
      <c r="AR84" s="17">
        <f>IF('Loan Tape (BoE)'!BV840_84&lt;&gt;"",'Loan Tape (BoE)'!BV50_84,"")</f>
        <v/>
      </c>
      <c r="AS84" s="17">
        <f>IFERROR(INDEX('FF Adj Parameters'!$A$103:$B$1084,MATCH('Loan Tape (BoE)'!P84,INDEX('FF Adj Parameters'!$A$103:$B$1084,,1),0),2),"Unknown")</f>
        <v/>
      </c>
      <c r="AT84" s="17">
        <f>IF(N84="Interest Only",M5*O5/12,IF(AND(O5&gt;0,ISNUMBER(O5),ISNUMBER(M5)),ABS(PMT(O5/12,AU5,-M5)),0))</f>
        <v/>
      </c>
      <c r="AU84" s="17">
        <f>IF(ISNUMBER(L84),MAX(0,(L5-'Control Panel'!$B$10)*12/365.25),0)</f>
        <v/>
      </c>
      <c r="AV84" s="17">
        <f>IF(ISNUMBER(L84),IF(L5&gt;'Control Panel'!$B$10,"Valid","Past Maturity"),"No Date")</f>
        <v/>
      </c>
      <c r="AW84" s="17">
        <f>IF(ISNUMBER(K84),MAX(0,('Control Panel'!$B$10-K5)*12/365.25),0)</f>
        <v/>
      </c>
    </row>
    <row r="85">
      <c r="A85" s="17">
        <f>'Loan Tape (BoE)'!A86</f>
        <v/>
      </c>
      <c r="B85" s="18">
        <f>IFERROR(INDEX('FF Adj Parameters'!$A$89:$B$92,MATCH('Loan Tape (BoE)'!C85,INDEX('FF Adj Parameters'!$A$89:$B$92,,1),0),2),"Unknown")</f>
        <v/>
      </c>
      <c r="C85" s="18">
        <f>'Loan Tape (BoE)'!C86</f>
        <v/>
      </c>
      <c r="D85" s="18">
        <f>'Loan Tape (BoE)'!D86</f>
        <v/>
      </c>
      <c r="E85" s="18">
        <f>'Loan Tape (BoE)'!E86</f>
        <v/>
      </c>
      <c r="F85" s="19">
        <f>'Loan Tape (BoE)'!F86</f>
        <v/>
      </c>
      <c r="G85" s="19">
        <f>'Loan Tape (BoE)'!G86</f>
        <v/>
      </c>
      <c r="H85" s="20">
        <f>'Loan Tape (BoE)'!H86/100</f>
        <v/>
      </c>
      <c r="I85" s="17">
        <f>IFERROR(IFS('Loan Tape (BoE)'!I86=1,"House",'Loan Tape (BoE)'!I86=2,"Flat",'Loan Tape (BoE)'!I86=3,"Bungalow",'Loan Tape (BoE)'!I86=4,"Maisonette"),"")</f>
        <v/>
      </c>
      <c r="J85" s="17">
        <f>'Loan Tape (BoE)'!J86</f>
        <v/>
      </c>
      <c r="K85" s="17">
        <f>'Loan Tape (BoE)'!K86</f>
        <v/>
      </c>
      <c r="L85" s="17">
        <f>IFERROR(IFS('Loan Tape (BoE)'!L86=1,"Owner Occupied",'Loan Tape (BoE)'!L86=2,"BTL",'Loan Tape (BoE)'!L86=3,"Second Home",'Loan Tape (BoE)'!L86=4,"Investment"),"")</f>
        <v/>
      </c>
      <c r="M85" s="17">
        <f>IFERROR(IFS('Loan Tape (BoE)'!M86=1,"Purchase",'Loan Tape (BoE)'!M86=2,"Remortgage",OR('Loan Tape (BoE)'!M86=3,'Loan Tape (BoE)'!M86=4),"Cash-out"),"")</f>
        <v/>
      </c>
      <c r="N85" s="17">
        <f>IFERROR(INDEX('FF Adj Parameters'!$A$96:$B$99,MATCH('Loan Tape (BoE)'!R85,INDEX('FF Adj Parameters'!$A$96:$B$99,,1),0),2),"Unknown")</f>
        <v/>
      </c>
      <c r="O85" s="17">
        <f>IF('Loan Tape (BoE)'!O86=1,"Yes","No")</f>
        <v/>
      </c>
      <c r="P85" s="17">
        <f>IF('Loan Tape (BoE)'!P85=1,"Yes",IF('Loan Tape (BoE)'!P85=0,"No",""))</f>
        <v/>
      </c>
      <c r="Q85" s="17">
        <f>IF('Loan Tape (BoE)'!Q85=1,"Yes",IF('Loan Tape (BoE)'!Q85=0,"No",""))</f>
        <v/>
      </c>
      <c r="R85" s="18">
        <f>IF('Loan Tape (BoE)'!R85=1,"Yes",IF('Loan Tape (BoE)'!R85=0,"No",""))</f>
        <v/>
      </c>
      <c r="S85" s="18">
        <f>IF('Loan Tape (BoE)'!S85=1,"Yes",IF('Loan Tape (BoE)'!S85=0,"No",""))</f>
        <v/>
      </c>
      <c r="T85" s="17">
        <f>IF('Loan Tape (BoE)'!T85=1,"Yes",IF('Loan Tape (BoE)'!T85=0,"No",""))</f>
        <v/>
      </c>
      <c r="U85" s="18">
        <f>R85+S85</f>
        <v/>
      </c>
      <c r="V85" s="17">
        <f>IFERROR(IFS('Loan Tape (BoE)'!U86=1,"Employed",'Loan Tape (BoE)'!U86=2,"Self-Employed",'Loan Tape (BoE)'!U86=3,"Unemployed",'Loan Tape (BoE)'!U86=4,"Retired"),"")</f>
        <v/>
      </c>
      <c r="W85" s="17">
        <f>IFERROR(IFS('Loan Tape (BoE)'!V86=1,"Employed",'Loan Tape (BoE)'!V86=2,"Self-Employed",'Loan Tape (BoE)'!V86=3,"Unemployed",'Loan Tape (BoE)'!V86=4,"Retired"),"")</f>
        <v/>
      </c>
      <c r="X85" s="17">
        <f>IF(OR(V85="Self-Employed",W85="Self-Employed"),"Yes","No")</f>
        <v/>
      </c>
      <c r="Y85" s="17">
        <f>'Loan Tape (BoE)'!W86</f>
        <v/>
      </c>
      <c r="Z85" s="17">
        <f>'Loan Tape (BoE)'!X86</f>
        <v/>
      </c>
      <c r="AA85" s="17">
        <f>IF(T85=1,Y85,MIN(Y85,Z85))</f>
        <v/>
      </c>
      <c r="AB85" s="17">
        <f>'Loan Tape (BoE)'!Y86</f>
        <v/>
      </c>
      <c r="AC85" s="17">
        <f>'Loan Tape (BoE)'!Z86</f>
        <v/>
      </c>
      <c r="AD85" s="17">
        <f>AB85+AC85</f>
        <v/>
      </c>
      <c r="AE85" s="18">
        <f>'Loan Tape (BoE)'!AA86</f>
        <v/>
      </c>
      <c r="AF85" s="18">
        <f>'Loan Tape (BoE)'!AB86</f>
        <v/>
      </c>
      <c r="AG85" s="18">
        <f>AE85+AF85</f>
        <v/>
      </c>
      <c r="AH85" s="19">
        <f>MAX('Loan Tape (BoE)'!AC86,'Loan Tape (BoE)'!AD86)</f>
        <v/>
      </c>
      <c r="AI85" s="18">
        <f>'Loan Tape (BoE)'!AE86</f>
        <v/>
      </c>
      <c r="AJ85" s="18">
        <f>B85*H85/12</f>
        <v/>
      </c>
      <c r="AK85" s="21">
        <f>IF(AJ85&gt;0,AI85/AJ85,0)</f>
        <v/>
      </c>
      <c r="AL85" s="17">
        <f>IF('Loan Tape (BoE)'!AF86=1,"Yes","No")</f>
        <v/>
      </c>
      <c r="AM85" s="17">
        <f>IF('Loan Tape (BoE)'!AH86=1,"Yes","No")</f>
        <v/>
      </c>
      <c r="AN85" s="17">
        <f>IF('Loan Tape (BoE)'!AI86=1,"Yes","No")</f>
        <v/>
      </c>
      <c r="AO85" s="17">
        <f>IF('Loan Tape (BoE)'!AJ86=1,"Yes","No")</f>
        <v/>
      </c>
      <c r="AP85" s="17">
        <f>IF(OR('Loan Tape (BoE)'!AQ85=1,'Loan Tape (BoE)'!AQ85=2),"Yes",IF('Loan Tape (BoE)'!AQ85=0,"No",""))</f>
        <v/>
      </c>
      <c r="AQ85" s="17">
        <f>IF('Loan Tape (BoE)'!BV49_885&lt;&gt;"",'Loan Tape (BoE)'!BV49_85,"")</f>
        <v/>
      </c>
      <c r="AR85" s="17">
        <f>IF('Loan Tape (BoE)'!BV850_85&lt;&gt;"",'Loan Tape (BoE)'!BV50_85,"")</f>
        <v/>
      </c>
      <c r="AS85" s="17">
        <f>IFERROR(INDEX('FF Adj Parameters'!$A$103:$B$1085,MATCH('Loan Tape (BoE)'!P85,INDEX('FF Adj Parameters'!$A$103:$B$1085,,1),0),2),"Unknown")</f>
        <v/>
      </c>
      <c r="AT85" s="17">
        <f>IF(N85="Interest Only",M5*O5/12,IF(AND(O5&gt;0,ISNUMBER(O5),ISNUMBER(M5)),ABS(PMT(O5/12,AU5,-M5)),0))</f>
        <v/>
      </c>
      <c r="AU85" s="17">
        <f>IF(ISNUMBER(L85),MAX(0,(L5-'Control Panel'!$B$10)*12/365.25),0)</f>
        <v/>
      </c>
      <c r="AV85" s="17">
        <f>IF(ISNUMBER(L85),IF(L5&gt;'Control Panel'!$B$10,"Valid","Past Maturity"),"No Date")</f>
        <v/>
      </c>
      <c r="AW85" s="17">
        <f>IF(ISNUMBER(K85),MAX(0,('Control Panel'!$B$10-K5)*12/365.25),0)</f>
        <v/>
      </c>
    </row>
    <row r="86">
      <c r="A86" s="17">
        <f>'Loan Tape (BoE)'!A87</f>
        <v/>
      </c>
      <c r="B86" s="18">
        <f>IFERROR(INDEX('FF Adj Parameters'!$A$89:$B$92,MATCH('Loan Tape (BoE)'!C86,INDEX('FF Adj Parameters'!$A$89:$B$92,,1),0),2),"Unknown")</f>
        <v/>
      </c>
      <c r="C86" s="18">
        <f>'Loan Tape (BoE)'!C87</f>
        <v/>
      </c>
      <c r="D86" s="18">
        <f>'Loan Tape (BoE)'!D87</f>
        <v/>
      </c>
      <c r="E86" s="18">
        <f>'Loan Tape (BoE)'!E87</f>
        <v/>
      </c>
      <c r="F86" s="19">
        <f>'Loan Tape (BoE)'!F87</f>
        <v/>
      </c>
      <c r="G86" s="19">
        <f>'Loan Tape (BoE)'!G87</f>
        <v/>
      </c>
      <c r="H86" s="20">
        <f>'Loan Tape (BoE)'!H87/100</f>
        <v/>
      </c>
      <c r="I86" s="17">
        <f>IFERROR(IFS('Loan Tape (BoE)'!I87=1,"House",'Loan Tape (BoE)'!I87=2,"Flat",'Loan Tape (BoE)'!I87=3,"Bungalow",'Loan Tape (BoE)'!I87=4,"Maisonette"),"")</f>
        <v/>
      </c>
      <c r="J86" s="17">
        <f>'Loan Tape (BoE)'!J87</f>
        <v/>
      </c>
      <c r="K86" s="17">
        <f>'Loan Tape (BoE)'!K87</f>
        <v/>
      </c>
      <c r="L86" s="17">
        <f>IFERROR(IFS('Loan Tape (BoE)'!L87=1,"Owner Occupied",'Loan Tape (BoE)'!L87=2,"BTL",'Loan Tape (BoE)'!L87=3,"Second Home",'Loan Tape (BoE)'!L87=4,"Investment"),"")</f>
        <v/>
      </c>
      <c r="M86" s="17">
        <f>IFERROR(IFS('Loan Tape (BoE)'!M87=1,"Purchase",'Loan Tape (BoE)'!M87=2,"Remortgage",OR('Loan Tape (BoE)'!M87=3,'Loan Tape (BoE)'!M87=4),"Cash-out"),"")</f>
        <v/>
      </c>
      <c r="N86" s="17">
        <f>IFERROR(INDEX('FF Adj Parameters'!$A$96:$B$99,MATCH('Loan Tape (BoE)'!R86,INDEX('FF Adj Parameters'!$A$96:$B$99,,1),0),2),"Unknown")</f>
        <v/>
      </c>
      <c r="O86" s="17">
        <f>IF('Loan Tape (BoE)'!O87=1,"Yes","No")</f>
        <v/>
      </c>
      <c r="P86" s="17">
        <f>IF('Loan Tape (BoE)'!P86=1,"Yes",IF('Loan Tape (BoE)'!P86=0,"No",""))</f>
        <v/>
      </c>
      <c r="Q86" s="17">
        <f>IF('Loan Tape (BoE)'!Q86=1,"Yes",IF('Loan Tape (BoE)'!Q86=0,"No",""))</f>
        <v/>
      </c>
      <c r="R86" s="18">
        <f>IF('Loan Tape (BoE)'!R86=1,"Yes",IF('Loan Tape (BoE)'!R86=0,"No",""))</f>
        <v/>
      </c>
      <c r="S86" s="18">
        <f>IF('Loan Tape (BoE)'!S86=1,"Yes",IF('Loan Tape (BoE)'!S86=0,"No",""))</f>
        <v/>
      </c>
      <c r="T86" s="17">
        <f>IF('Loan Tape (BoE)'!T86=1,"Yes",IF('Loan Tape (BoE)'!T86=0,"No",""))</f>
        <v/>
      </c>
      <c r="U86" s="18">
        <f>R86+S86</f>
        <v/>
      </c>
      <c r="V86" s="17">
        <f>IFERROR(IFS('Loan Tape (BoE)'!U87=1,"Employed",'Loan Tape (BoE)'!U87=2,"Self-Employed",'Loan Tape (BoE)'!U87=3,"Unemployed",'Loan Tape (BoE)'!U87=4,"Retired"),"")</f>
        <v/>
      </c>
      <c r="W86" s="17">
        <f>IFERROR(IFS('Loan Tape (BoE)'!V87=1,"Employed",'Loan Tape (BoE)'!V87=2,"Self-Employed",'Loan Tape (BoE)'!V87=3,"Unemployed",'Loan Tape (BoE)'!V87=4,"Retired"),"")</f>
        <v/>
      </c>
      <c r="X86" s="17">
        <f>IF(OR(V86="Self-Employed",W86="Self-Employed"),"Yes","No")</f>
        <v/>
      </c>
      <c r="Y86" s="17">
        <f>'Loan Tape (BoE)'!W87</f>
        <v/>
      </c>
      <c r="Z86" s="17">
        <f>'Loan Tape (BoE)'!X87</f>
        <v/>
      </c>
      <c r="AA86" s="17">
        <f>IF(T86=1,Y86,MIN(Y86,Z86))</f>
        <v/>
      </c>
      <c r="AB86" s="17">
        <f>'Loan Tape (BoE)'!Y87</f>
        <v/>
      </c>
      <c r="AC86" s="17">
        <f>'Loan Tape (BoE)'!Z87</f>
        <v/>
      </c>
      <c r="AD86" s="17">
        <f>AB86+AC86</f>
        <v/>
      </c>
      <c r="AE86" s="18">
        <f>'Loan Tape (BoE)'!AA87</f>
        <v/>
      </c>
      <c r="AF86" s="18">
        <f>'Loan Tape (BoE)'!AB87</f>
        <v/>
      </c>
      <c r="AG86" s="18">
        <f>AE86+AF86</f>
        <v/>
      </c>
      <c r="AH86" s="19">
        <f>MAX('Loan Tape (BoE)'!AC87,'Loan Tape (BoE)'!AD87)</f>
        <v/>
      </c>
      <c r="AI86" s="18">
        <f>'Loan Tape (BoE)'!AE87</f>
        <v/>
      </c>
      <c r="AJ86" s="18">
        <f>B86*H86/12</f>
        <v/>
      </c>
      <c r="AK86" s="21">
        <f>IF(AJ86&gt;0,AI86/AJ86,0)</f>
        <v/>
      </c>
      <c r="AL86" s="17">
        <f>IF('Loan Tape (BoE)'!AF87=1,"Yes","No")</f>
        <v/>
      </c>
      <c r="AM86" s="17">
        <f>IF('Loan Tape (BoE)'!AH87=1,"Yes","No")</f>
        <v/>
      </c>
      <c r="AN86" s="17">
        <f>IF('Loan Tape (BoE)'!AI87=1,"Yes","No")</f>
        <v/>
      </c>
      <c r="AO86" s="17">
        <f>IF('Loan Tape (BoE)'!AJ87=1,"Yes","No")</f>
        <v/>
      </c>
      <c r="AP86" s="17">
        <f>IF(OR('Loan Tape (BoE)'!AQ86=1,'Loan Tape (BoE)'!AQ86=2),"Yes",IF('Loan Tape (BoE)'!AQ86=0,"No",""))</f>
        <v/>
      </c>
      <c r="AQ86" s="17">
        <f>IF('Loan Tape (BoE)'!BV49_86&lt;&gt;"",'Loan Tape (BoE)'!BV49_86,"")</f>
        <v/>
      </c>
      <c r="AR86" s="17">
        <f>IF('Loan Tape (BoE)'!BV860_86&lt;&gt;"",'Loan Tape (BoE)'!BV50_86,"")</f>
        <v/>
      </c>
      <c r="AS86" s="17">
        <f>IFERROR(INDEX('FF Adj Parameters'!$A$103:$B$1086,MATCH('Loan Tape (BoE)'!P86,INDEX('FF Adj Parameters'!$A$103:$B$1086,,1),0),2),"Unknown")</f>
        <v/>
      </c>
      <c r="AT86" s="17">
        <f>IF(N86="Interest Only",M5*O5/12,IF(AND(O5&gt;0,ISNUMBER(O5),ISNUMBER(M5)),ABS(PMT(O5/12,AU5,-M5)),0))</f>
        <v/>
      </c>
      <c r="AU86" s="17">
        <f>IF(ISNUMBER(L86),MAX(0,(L5-'Control Panel'!$B$10)*12/365.25),0)</f>
        <v/>
      </c>
      <c r="AV86" s="17">
        <f>IF(ISNUMBER(L86),IF(L5&gt;'Control Panel'!$B$10,"Valid","Past Maturity"),"No Date")</f>
        <v/>
      </c>
      <c r="AW86" s="17">
        <f>IF(ISNUMBER(K86),MAX(0,('Control Panel'!$B$10-K5)*12/365.25),0)</f>
        <v/>
      </c>
    </row>
    <row r="87">
      <c r="A87" s="17">
        <f>'Loan Tape (BoE)'!A88</f>
        <v/>
      </c>
      <c r="B87" s="18">
        <f>IFERROR(INDEX('FF Adj Parameters'!$A$89:$B$92,MATCH('Loan Tape (BoE)'!C87,INDEX('FF Adj Parameters'!$A$89:$B$92,,1),0),2),"Unknown")</f>
        <v/>
      </c>
      <c r="C87" s="18">
        <f>'Loan Tape (BoE)'!C88</f>
        <v/>
      </c>
      <c r="D87" s="18">
        <f>'Loan Tape (BoE)'!D88</f>
        <v/>
      </c>
      <c r="E87" s="18">
        <f>'Loan Tape (BoE)'!E88</f>
        <v/>
      </c>
      <c r="F87" s="19">
        <f>'Loan Tape (BoE)'!F88</f>
        <v/>
      </c>
      <c r="G87" s="19">
        <f>'Loan Tape (BoE)'!G88</f>
        <v/>
      </c>
      <c r="H87" s="20">
        <f>'Loan Tape (BoE)'!H88/100</f>
        <v/>
      </c>
      <c r="I87" s="17">
        <f>IFERROR(IFS('Loan Tape (BoE)'!I88=1,"House",'Loan Tape (BoE)'!I88=2,"Flat",'Loan Tape (BoE)'!I88=3,"Bungalow",'Loan Tape (BoE)'!I88=4,"Maisonette"),"")</f>
        <v/>
      </c>
      <c r="J87" s="17">
        <f>'Loan Tape (BoE)'!J88</f>
        <v/>
      </c>
      <c r="K87" s="17">
        <f>'Loan Tape (BoE)'!K88</f>
        <v/>
      </c>
      <c r="L87" s="17">
        <f>IFERROR(IFS('Loan Tape (BoE)'!L88=1,"Owner Occupied",'Loan Tape (BoE)'!L88=2,"BTL",'Loan Tape (BoE)'!L88=3,"Second Home",'Loan Tape (BoE)'!L88=4,"Investment"),"")</f>
        <v/>
      </c>
      <c r="M87" s="17">
        <f>IFERROR(IFS('Loan Tape (BoE)'!M88=1,"Purchase",'Loan Tape (BoE)'!M88=2,"Remortgage",OR('Loan Tape (BoE)'!M88=3,'Loan Tape (BoE)'!M88=4),"Cash-out"),"")</f>
        <v/>
      </c>
      <c r="N87" s="17">
        <f>IFERROR(INDEX('FF Adj Parameters'!$A$96:$B$99,MATCH('Loan Tape (BoE)'!R87,INDEX('FF Adj Parameters'!$A$96:$B$99,,1),0),2),"Unknown")</f>
        <v/>
      </c>
      <c r="O87" s="17">
        <f>IF('Loan Tape (BoE)'!O88=1,"Yes","No")</f>
        <v/>
      </c>
      <c r="P87" s="17">
        <f>IF('Loan Tape (BoE)'!P87=1,"Yes",IF('Loan Tape (BoE)'!P87=0,"No",""))</f>
        <v/>
      </c>
      <c r="Q87" s="17">
        <f>IF('Loan Tape (BoE)'!Q87=1,"Yes",IF('Loan Tape (BoE)'!Q87=0,"No",""))</f>
        <v/>
      </c>
      <c r="R87" s="18">
        <f>IF('Loan Tape (BoE)'!R87=1,"Yes",IF('Loan Tape (BoE)'!R87=0,"No",""))</f>
        <v/>
      </c>
      <c r="S87" s="18">
        <f>IF('Loan Tape (BoE)'!S87=1,"Yes",IF('Loan Tape (BoE)'!S87=0,"No",""))</f>
        <v/>
      </c>
      <c r="T87" s="17">
        <f>IF('Loan Tape (BoE)'!T87=1,"Yes",IF('Loan Tape (BoE)'!T87=0,"No",""))</f>
        <v/>
      </c>
      <c r="U87" s="18">
        <f>R87+S87</f>
        <v/>
      </c>
      <c r="V87" s="17">
        <f>IFERROR(IFS('Loan Tape (BoE)'!U88=1,"Employed",'Loan Tape (BoE)'!U88=2,"Self-Employed",'Loan Tape (BoE)'!U88=3,"Unemployed",'Loan Tape (BoE)'!U88=4,"Retired"),"")</f>
        <v/>
      </c>
      <c r="W87" s="17">
        <f>IFERROR(IFS('Loan Tape (BoE)'!V88=1,"Employed",'Loan Tape (BoE)'!V88=2,"Self-Employed",'Loan Tape (BoE)'!V88=3,"Unemployed",'Loan Tape (BoE)'!V88=4,"Retired"),"")</f>
        <v/>
      </c>
      <c r="X87" s="17">
        <f>IF(OR(V87="Self-Employed",W87="Self-Employed"),"Yes","No")</f>
        <v/>
      </c>
      <c r="Y87" s="17">
        <f>'Loan Tape (BoE)'!W88</f>
        <v/>
      </c>
      <c r="Z87" s="17">
        <f>'Loan Tape (BoE)'!X88</f>
        <v/>
      </c>
      <c r="AA87" s="17">
        <f>IF(T87=1,Y87,MIN(Y87,Z87))</f>
        <v/>
      </c>
      <c r="AB87" s="17">
        <f>'Loan Tape (BoE)'!Y88</f>
        <v/>
      </c>
      <c r="AC87" s="17">
        <f>'Loan Tape (BoE)'!Z88</f>
        <v/>
      </c>
      <c r="AD87" s="17">
        <f>AB87+AC87</f>
        <v/>
      </c>
      <c r="AE87" s="18">
        <f>'Loan Tape (BoE)'!AA88</f>
        <v/>
      </c>
      <c r="AF87" s="18">
        <f>'Loan Tape (BoE)'!AB88</f>
        <v/>
      </c>
      <c r="AG87" s="18">
        <f>AE87+AF87</f>
        <v/>
      </c>
      <c r="AH87" s="19">
        <f>MAX('Loan Tape (BoE)'!AC88,'Loan Tape (BoE)'!AD88)</f>
        <v/>
      </c>
      <c r="AI87" s="18">
        <f>'Loan Tape (BoE)'!AE88</f>
        <v/>
      </c>
      <c r="AJ87" s="18">
        <f>B87*H87/12</f>
        <v/>
      </c>
      <c r="AK87" s="21">
        <f>IF(AJ87&gt;0,AI87/AJ87,0)</f>
        <v/>
      </c>
      <c r="AL87" s="17">
        <f>IF('Loan Tape (BoE)'!AF88=1,"Yes","No")</f>
        <v/>
      </c>
      <c r="AM87" s="17">
        <f>IF('Loan Tape (BoE)'!AH88=1,"Yes","No")</f>
        <v/>
      </c>
      <c r="AN87" s="17">
        <f>IF('Loan Tape (BoE)'!AI88=1,"Yes","No")</f>
        <v/>
      </c>
      <c r="AO87" s="17">
        <f>IF('Loan Tape (BoE)'!AJ88=1,"Yes","No")</f>
        <v/>
      </c>
      <c r="AP87" s="17">
        <f>IF(OR('Loan Tape (BoE)'!AQ87=1,'Loan Tape (BoE)'!AQ87=2),"Yes",IF('Loan Tape (BoE)'!AQ87=0,"No",""))</f>
        <v/>
      </c>
      <c r="AQ87" s="17">
        <f>IF('Loan Tape (BoE)'!BV49_87&lt;&gt;"",'Loan Tape (BoE)'!BV49_87,"")</f>
        <v/>
      </c>
      <c r="AR87" s="17">
        <f>IF('Loan Tape (BoE)'!BV870_87&lt;&gt;"",'Loan Tape (BoE)'!BV50_87,"")</f>
        <v/>
      </c>
      <c r="AS87" s="17">
        <f>IFERROR(INDEX('FF Adj Parameters'!$A$103:$B$1087,MATCH('Loan Tape (BoE)'!P87,INDEX('FF Adj Parameters'!$A$103:$B$1087,,1),0),2),"Unknown")</f>
        <v/>
      </c>
      <c r="AT87" s="17">
        <f>IF(N87="Interest Only",M5*O5/12,IF(AND(O5&gt;0,ISNUMBER(O5),ISNUMBER(M5)),ABS(PMT(O5/12,AU5,-M5)),0))</f>
        <v/>
      </c>
      <c r="AU87" s="17">
        <f>IF(ISNUMBER(L87),MAX(0,(L5-'Control Panel'!$B$10)*12/365.25),0)</f>
        <v/>
      </c>
      <c r="AV87" s="17">
        <f>IF(ISNUMBER(L87),IF(L5&gt;'Control Panel'!$B$10,"Valid","Past Maturity"),"No Date")</f>
        <v/>
      </c>
      <c r="AW87" s="17">
        <f>IF(ISNUMBER(K87),MAX(0,('Control Panel'!$B$10-K5)*12/365.25),0)</f>
        <v/>
      </c>
    </row>
    <row r="88">
      <c r="A88" s="17">
        <f>'Loan Tape (BoE)'!A89</f>
        <v/>
      </c>
      <c r="B88" s="18">
        <f>IFERROR(INDEX('FF Adj Parameters'!$A$89:$B$92,MATCH('Loan Tape (BoE)'!C88,INDEX('FF Adj Parameters'!$A$89:$B$92,,1),0),2),"Unknown")</f>
        <v/>
      </c>
      <c r="C88" s="18">
        <f>'Loan Tape (BoE)'!C89</f>
        <v/>
      </c>
      <c r="D88" s="18">
        <f>'Loan Tape (BoE)'!D89</f>
        <v/>
      </c>
      <c r="E88" s="18">
        <f>'Loan Tape (BoE)'!E89</f>
        <v/>
      </c>
      <c r="F88" s="19">
        <f>'Loan Tape (BoE)'!F89</f>
        <v/>
      </c>
      <c r="G88" s="19">
        <f>'Loan Tape (BoE)'!G89</f>
        <v/>
      </c>
      <c r="H88" s="20">
        <f>'Loan Tape (BoE)'!H89/100</f>
        <v/>
      </c>
      <c r="I88" s="17">
        <f>IFERROR(IFS('Loan Tape (BoE)'!I89=1,"House",'Loan Tape (BoE)'!I89=2,"Flat",'Loan Tape (BoE)'!I89=3,"Bungalow",'Loan Tape (BoE)'!I89=4,"Maisonette"),"")</f>
        <v/>
      </c>
      <c r="J88" s="17">
        <f>'Loan Tape (BoE)'!J89</f>
        <v/>
      </c>
      <c r="K88" s="17">
        <f>'Loan Tape (BoE)'!K89</f>
        <v/>
      </c>
      <c r="L88" s="17">
        <f>IFERROR(IFS('Loan Tape (BoE)'!L89=1,"Owner Occupied",'Loan Tape (BoE)'!L89=2,"BTL",'Loan Tape (BoE)'!L89=3,"Second Home",'Loan Tape (BoE)'!L89=4,"Investment"),"")</f>
        <v/>
      </c>
      <c r="M88" s="17">
        <f>IFERROR(IFS('Loan Tape (BoE)'!M89=1,"Purchase",'Loan Tape (BoE)'!M89=2,"Remortgage",OR('Loan Tape (BoE)'!M89=3,'Loan Tape (BoE)'!M89=4),"Cash-out"),"")</f>
        <v/>
      </c>
      <c r="N88" s="17">
        <f>IFERROR(INDEX('FF Adj Parameters'!$A$96:$B$99,MATCH('Loan Tape (BoE)'!R88,INDEX('FF Adj Parameters'!$A$96:$B$99,,1),0),2),"Unknown")</f>
        <v/>
      </c>
      <c r="O88" s="17">
        <f>IF('Loan Tape (BoE)'!O89=1,"Yes","No")</f>
        <v/>
      </c>
      <c r="P88" s="17">
        <f>IF('Loan Tape (BoE)'!P88=1,"Yes",IF('Loan Tape (BoE)'!P88=0,"No",""))</f>
        <v/>
      </c>
      <c r="Q88" s="17">
        <f>IF('Loan Tape (BoE)'!Q88=1,"Yes",IF('Loan Tape (BoE)'!Q88=0,"No",""))</f>
        <v/>
      </c>
      <c r="R88" s="18">
        <f>IF('Loan Tape (BoE)'!R88=1,"Yes",IF('Loan Tape (BoE)'!R88=0,"No",""))</f>
        <v/>
      </c>
      <c r="S88" s="18">
        <f>IF('Loan Tape (BoE)'!S88=1,"Yes",IF('Loan Tape (BoE)'!S88=0,"No",""))</f>
        <v/>
      </c>
      <c r="T88" s="17">
        <f>IF('Loan Tape (BoE)'!T88=1,"Yes",IF('Loan Tape (BoE)'!T88=0,"No",""))</f>
        <v/>
      </c>
      <c r="U88" s="18">
        <f>R88+S88</f>
        <v/>
      </c>
      <c r="V88" s="17">
        <f>IFERROR(IFS('Loan Tape (BoE)'!U89=1,"Employed",'Loan Tape (BoE)'!U89=2,"Self-Employed",'Loan Tape (BoE)'!U89=3,"Unemployed",'Loan Tape (BoE)'!U89=4,"Retired"),"")</f>
        <v/>
      </c>
      <c r="W88" s="17">
        <f>IFERROR(IFS('Loan Tape (BoE)'!V89=1,"Employed",'Loan Tape (BoE)'!V89=2,"Self-Employed",'Loan Tape (BoE)'!V89=3,"Unemployed",'Loan Tape (BoE)'!V89=4,"Retired"),"")</f>
        <v/>
      </c>
      <c r="X88" s="17">
        <f>IF(OR(V88="Self-Employed",W88="Self-Employed"),"Yes","No")</f>
        <v/>
      </c>
      <c r="Y88" s="17">
        <f>'Loan Tape (BoE)'!W89</f>
        <v/>
      </c>
      <c r="Z88" s="17">
        <f>'Loan Tape (BoE)'!X89</f>
        <v/>
      </c>
      <c r="AA88" s="17">
        <f>IF(T88=1,Y88,MIN(Y88,Z88))</f>
        <v/>
      </c>
      <c r="AB88" s="17">
        <f>'Loan Tape (BoE)'!Y89</f>
        <v/>
      </c>
      <c r="AC88" s="17">
        <f>'Loan Tape (BoE)'!Z89</f>
        <v/>
      </c>
      <c r="AD88" s="17">
        <f>AB88+AC88</f>
        <v/>
      </c>
      <c r="AE88" s="18">
        <f>'Loan Tape (BoE)'!AA89</f>
        <v/>
      </c>
      <c r="AF88" s="18">
        <f>'Loan Tape (BoE)'!AB89</f>
        <v/>
      </c>
      <c r="AG88" s="18">
        <f>AE88+AF88</f>
        <v/>
      </c>
      <c r="AH88" s="19">
        <f>MAX('Loan Tape (BoE)'!AC89,'Loan Tape (BoE)'!AD89)</f>
        <v/>
      </c>
      <c r="AI88" s="18">
        <f>'Loan Tape (BoE)'!AE89</f>
        <v/>
      </c>
      <c r="AJ88" s="18">
        <f>B88*H88/12</f>
        <v/>
      </c>
      <c r="AK88" s="21">
        <f>IF(AJ88&gt;0,AI88/AJ88,0)</f>
        <v/>
      </c>
      <c r="AL88" s="17">
        <f>IF('Loan Tape (BoE)'!AF89=1,"Yes","No")</f>
        <v/>
      </c>
      <c r="AM88" s="17">
        <f>IF('Loan Tape (BoE)'!AH89=1,"Yes","No")</f>
        <v/>
      </c>
      <c r="AN88" s="17">
        <f>IF('Loan Tape (BoE)'!AI89=1,"Yes","No")</f>
        <v/>
      </c>
      <c r="AO88" s="17">
        <f>IF('Loan Tape (BoE)'!AJ89=1,"Yes","No")</f>
        <v/>
      </c>
      <c r="AP88" s="17">
        <f>IF(OR('Loan Tape (BoE)'!AQ88=1,'Loan Tape (BoE)'!AQ88=2),"Yes",IF('Loan Tape (BoE)'!AQ88=0,"No",""))</f>
        <v/>
      </c>
      <c r="AQ88" s="17">
        <f>IF('Loan Tape (BoE)'!BV49_88&lt;&gt;"",'Loan Tape (BoE)'!BV49_88,"")</f>
        <v/>
      </c>
      <c r="AR88" s="17">
        <f>IF('Loan Tape (BoE)'!BV880_88&lt;&gt;"",'Loan Tape (BoE)'!BV50_88,"")</f>
        <v/>
      </c>
      <c r="AS88" s="17">
        <f>IFERROR(INDEX('FF Adj Parameters'!$A$103:$B$1088,MATCH('Loan Tape (BoE)'!P88,INDEX('FF Adj Parameters'!$A$103:$B$1088,,1),0),2),"Unknown")</f>
        <v/>
      </c>
      <c r="AT88" s="17">
        <f>IF(N88="Interest Only",M5*O5/12,IF(AND(O5&gt;0,ISNUMBER(O5),ISNUMBER(M5)),ABS(PMT(O5/12,AU5,-M5)),0))</f>
        <v/>
      </c>
      <c r="AU88" s="17">
        <f>IF(ISNUMBER(L88),MAX(0,(L5-'Control Panel'!$B$10)*12/365.25),0)</f>
        <v/>
      </c>
      <c r="AV88" s="17">
        <f>IF(ISNUMBER(L88),IF(L5&gt;'Control Panel'!$B$10,"Valid","Past Maturity"),"No Date")</f>
        <v/>
      </c>
      <c r="AW88" s="17">
        <f>IF(ISNUMBER(K88),MAX(0,('Control Panel'!$B$10-K5)*12/365.25),0)</f>
        <v/>
      </c>
    </row>
    <row r="89">
      <c r="A89" s="17">
        <f>'Loan Tape (BoE)'!A90</f>
        <v/>
      </c>
      <c r="B89" s="18">
        <f>IFERROR(INDEX('FF Adj Parameters'!$A$89:$B$92,MATCH('Loan Tape (BoE)'!C89,INDEX('FF Adj Parameters'!$A$89:$B$92,,1),0),2),"Unknown")</f>
        <v/>
      </c>
      <c r="C89" s="18">
        <f>'Loan Tape (BoE)'!C90</f>
        <v/>
      </c>
      <c r="D89" s="18">
        <f>'Loan Tape (BoE)'!D90</f>
        <v/>
      </c>
      <c r="E89" s="18">
        <f>'Loan Tape (BoE)'!E90</f>
        <v/>
      </c>
      <c r="F89" s="19">
        <f>'Loan Tape (BoE)'!F90</f>
        <v/>
      </c>
      <c r="G89" s="19">
        <f>'Loan Tape (BoE)'!G90</f>
        <v/>
      </c>
      <c r="H89" s="20">
        <f>'Loan Tape (BoE)'!H90/100</f>
        <v/>
      </c>
      <c r="I89" s="17">
        <f>IFERROR(IFS('Loan Tape (BoE)'!I90=1,"House",'Loan Tape (BoE)'!I90=2,"Flat",'Loan Tape (BoE)'!I90=3,"Bungalow",'Loan Tape (BoE)'!I90=4,"Maisonette"),"")</f>
        <v/>
      </c>
      <c r="J89" s="17">
        <f>'Loan Tape (BoE)'!J90</f>
        <v/>
      </c>
      <c r="K89" s="17">
        <f>'Loan Tape (BoE)'!K90</f>
        <v/>
      </c>
      <c r="L89" s="17">
        <f>IFERROR(IFS('Loan Tape (BoE)'!L90=1,"Owner Occupied",'Loan Tape (BoE)'!L90=2,"BTL",'Loan Tape (BoE)'!L90=3,"Second Home",'Loan Tape (BoE)'!L90=4,"Investment"),"")</f>
        <v/>
      </c>
      <c r="M89" s="17">
        <f>IFERROR(IFS('Loan Tape (BoE)'!M90=1,"Purchase",'Loan Tape (BoE)'!M90=2,"Remortgage",OR('Loan Tape (BoE)'!M90=3,'Loan Tape (BoE)'!M90=4),"Cash-out"),"")</f>
        <v/>
      </c>
      <c r="N89" s="17">
        <f>IFERROR(INDEX('FF Adj Parameters'!$A$96:$B$99,MATCH('Loan Tape (BoE)'!R89,INDEX('FF Adj Parameters'!$A$96:$B$99,,1),0),2),"Unknown")</f>
        <v/>
      </c>
      <c r="O89" s="17">
        <f>IF('Loan Tape (BoE)'!O90=1,"Yes","No")</f>
        <v/>
      </c>
      <c r="P89" s="17">
        <f>IF('Loan Tape (BoE)'!P89=1,"Yes",IF('Loan Tape (BoE)'!P89=0,"No",""))</f>
        <v/>
      </c>
      <c r="Q89" s="17">
        <f>IF('Loan Tape (BoE)'!Q89=1,"Yes",IF('Loan Tape (BoE)'!Q89=0,"No",""))</f>
        <v/>
      </c>
      <c r="R89" s="18">
        <f>IF('Loan Tape (BoE)'!R89=1,"Yes",IF('Loan Tape (BoE)'!R89=0,"No",""))</f>
        <v/>
      </c>
      <c r="S89" s="18">
        <f>IF('Loan Tape (BoE)'!S89=1,"Yes",IF('Loan Tape (BoE)'!S89=0,"No",""))</f>
        <v/>
      </c>
      <c r="T89" s="17">
        <f>IF('Loan Tape (BoE)'!T89=1,"Yes",IF('Loan Tape (BoE)'!T89=0,"No",""))</f>
        <v/>
      </c>
      <c r="U89" s="18">
        <f>R89+S89</f>
        <v/>
      </c>
      <c r="V89" s="17">
        <f>IFERROR(IFS('Loan Tape (BoE)'!U90=1,"Employed",'Loan Tape (BoE)'!U90=2,"Self-Employed",'Loan Tape (BoE)'!U90=3,"Unemployed",'Loan Tape (BoE)'!U90=4,"Retired"),"")</f>
        <v/>
      </c>
      <c r="W89" s="17">
        <f>IFERROR(IFS('Loan Tape (BoE)'!V90=1,"Employed",'Loan Tape (BoE)'!V90=2,"Self-Employed",'Loan Tape (BoE)'!V90=3,"Unemployed",'Loan Tape (BoE)'!V90=4,"Retired"),"")</f>
        <v/>
      </c>
      <c r="X89" s="17">
        <f>IF(OR(V89="Self-Employed",W89="Self-Employed"),"Yes","No")</f>
        <v/>
      </c>
      <c r="Y89" s="17">
        <f>'Loan Tape (BoE)'!W90</f>
        <v/>
      </c>
      <c r="Z89" s="17">
        <f>'Loan Tape (BoE)'!X90</f>
        <v/>
      </c>
      <c r="AA89" s="17">
        <f>IF(T89=1,Y89,MIN(Y89,Z89))</f>
        <v/>
      </c>
      <c r="AB89" s="17">
        <f>'Loan Tape (BoE)'!Y90</f>
        <v/>
      </c>
      <c r="AC89" s="17">
        <f>'Loan Tape (BoE)'!Z90</f>
        <v/>
      </c>
      <c r="AD89" s="17">
        <f>AB89+AC89</f>
        <v/>
      </c>
      <c r="AE89" s="18">
        <f>'Loan Tape (BoE)'!AA90</f>
        <v/>
      </c>
      <c r="AF89" s="18">
        <f>'Loan Tape (BoE)'!AB90</f>
        <v/>
      </c>
      <c r="AG89" s="18">
        <f>AE89+AF89</f>
        <v/>
      </c>
      <c r="AH89" s="19">
        <f>MAX('Loan Tape (BoE)'!AC90,'Loan Tape (BoE)'!AD90)</f>
        <v/>
      </c>
      <c r="AI89" s="18">
        <f>'Loan Tape (BoE)'!AE90</f>
        <v/>
      </c>
      <c r="AJ89" s="18">
        <f>B89*H89/12</f>
        <v/>
      </c>
      <c r="AK89" s="21">
        <f>IF(AJ89&gt;0,AI89/AJ89,0)</f>
        <v/>
      </c>
      <c r="AL89" s="17">
        <f>IF('Loan Tape (BoE)'!AF90=1,"Yes","No")</f>
        <v/>
      </c>
      <c r="AM89" s="17">
        <f>IF('Loan Tape (BoE)'!AH90=1,"Yes","No")</f>
        <v/>
      </c>
      <c r="AN89" s="17">
        <f>IF('Loan Tape (BoE)'!AI90=1,"Yes","No")</f>
        <v/>
      </c>
      <c r="AO89" s="17">
        <f>IF('Loan Tape (BoE)'!AJ90=1,"Yes","No")</f>
        <v/>
      </c>
      <c r="AP89" s="17">
        <f>IF(OR('Loan Tape (BoE)'!AQ89=1,'Loan Tape (BoE)'!AQ89=2),"Yes",IF('Loan Tape (BoE)'!AQ89=0,"No",""))</f>
        <v/>
      </c>
      <c r="AQ89" s="17">
        <f>IF('Loan Tape (BoE)'!BV49_89&lt;&gt;"",'Loan Tape (BoE)'!BV49_89,"")</f>
        <v/>
      </c>
      <c r="AR89" s="17">
        <f>IF('Loan Tape (BoE)'!BV890_89&lt;&gt;"",'Loan Tape (BoE)'!BV50_89,"")</f>
        <v/>
      </c>
      <c r="AS89" s="17">
        <f>IFERROR(INDEX('FF Adj Parameters'!$A$103:$B$1089,MATCH('Loan Tape (BoE)'!P89,INDEX('FF Adj Parameters'!$A$103:$B$1089,,1),0),2),"Unknown")</f>
        <v/>
      </c>
      <c r="AT89" s="17">
        <f>IF(N89="Interest Only",M5*O5/12,IF(AND(O5&gt;0,ISNUMBER(O5),ISNUMBER(M5)),ABS(PMT(O5/12,AU5,-M5)),0))</f>
        <v/>
      </c>
      <c r="AU89" s="17">
        <f>IF(ISNUMBER(L89),MAX(0,(L5-'Control Panel'!$B$10)*12/365.25),0)</f>
        <v/>
      </c>
      <c r="AV89" s="17">
        <f>IF(ISNUMBER(L89),IF(L5&gt;'Control Panel'!$B$10,"Valid","Past Maturity"),"No Date")</f>
        <v/>
      </c>
      <c r="AW89" s="17">
        <f>IF(ISNUMBER(K89),MAX(0,('Control Panel'!$B$10-K5)*12/365.25),0)</f>
        <v/>
      </c>
    </row>
    <row r="90">
      <c r="A90" s="17">
        <f>'Loan Tape (BoE)'!A91</f>
        <v/>
      </c>
      <c r="B90" s="18">
        <f>IFERROR(INDEX('FF Adj Parameters'!$A$89:$B$92,MATCH('Loan Tape (BoE)'!C90,INDEX('FF Adj Parameters'!$A$89:$B$92,,1),0),2),"Unknown")</f>
        <v/>
      </c>
      <c r="C90" s="18">
        <f>'Loan Tape (BoE)'!C91</f>
        <v/>
      </c>
      <c r="D90" s="18">
        <f>'Loan Tape (BoE)'!D91</f>
        <v/>
      </c>
      <c r="E90" s="18">
        <f>'Loan Tape (BoE)'!E91</f>
        <v/>
      </c>
      <c r="F90" s="19">
        <f>'Loan Tape (BoE)'!F91</f>
        <v/>
      </c>
      <c r="G90" s="19">
        <f>'Loan Tape (BoE)'!G91</f>
        <v/>
      </c>
      <c r="H90" s="20">
        <f>'Loan Tape (BoE)'!H91/100</f>
        <v/>
      </c>
      <c r="I90" s="17">
        <f>IFERROR(IFS('Loan Tape (BoE)'!I91=1,"House",'Loan Tape (BoE)'!I91=2,"Flat",'Loan Tape (BoE)'!I91=3,"Bungalow",'Loan Tape (BoE)'!I91=4,"Maisonette"),"")</f>
        <v/>
      </c>
      <c r="J90" s="17">
        <f>'Loan Tape (BoE)'!J91</f>
        <v/>
      </c>
      <c r="K90" s="17">
        <f>'Loan Tape (BoE)'!K91</f>
        <v/>
      </c>
      <c r="L90" s="17">
        <f>IFERROR(IFS('Loan Tape (BoE)'!L91=1,"Owner Occupied",'Loan Tape (BoE)'!L91=2,"BTL",'Loan Tape (BoE)'!L91=3,"Second Home",'Loan Tape (BoE)'!L91=4,"Investment"),"")</f>
        <v/>
      </c>
      <c r="M90" s="17">
        <f>IFERROR(IFS('Loan Tape (BoE)'!M91=1,"Purchase",'Loan Tape (BoE)'!M91=2,"Remortgage",OR('Loan Tape (BoE)'!M91=3,'Loan Tape (BoE)'!M91=4),"Cash-out"),"")</f>
        <v/>
      </c>
      <c r="N90" s="17">
        <f>IFERROR(INDEX('FF Adj Parameters'!$A$96:$B$99,MATCH('Loan Tape (BoE)'!R90,INDEX('FF Adj Parameters'!$A$96:$B$99,,1),0),2),"Unknown")</f>
        <v/>
      </c>
      <c r="O90" s="17">
        <f>IF('Loan Tape (BoE)'!O91=1,"Yes","No")</f>
        <v/>
      </c>
      <c r="P90" s="17">
        <f>IF('Loan Tape (BoE)'!P90=1,"Yes",IF('Loan Tape (BoE)'!P90=0,"No",""))</f>
        <v/>
      </c>
      <c r="Q90" s="17">
        <f>IF('Loan Tape (BoE)'!Q90=1,"Yes",IF('Loan Tape (BoE)'!Q90=0,"No",""))</f>
        <v/>
      </c>
      <c r="R90" s="18">
        <f>IF('Loan Tape (BoE)'!R90=1,"Yes",IF('Loan Tape (BoE)'!R90=0,"No",""))</f>
        <v/>
      </c>
      <c r="S90" s="18">
        <f>IF('Loan Tape (BoE)'!S90=1,"Yes",IF('Loan Tape (BoE)'!S90=0,"No",""))</f>
        <v/>
      </c>
      <c r="T90" s="17">
        <f>IF('Loan Tape (BoE)'!T90=1,"Yes",IF('Loan Tape (BoE)'!T90=0,"No",""))</f>
        <v/>
      </c>
      <c r="U90" s="18">
        <f>R90+S90</f>
        <v/>
      </c>
      <c r="V90" s="17">
        <f>IFERROR(IFS('Loan Tape (BoE)'!U91=1,"Employed",'Loan Tape (BoE)'!U91=2,"Self-Employed",'Loan Tape (BoE)'!U91=3,"Unemployed",'Loan Tape (BoE)'!U91=4,"Retired"),"")</f>
        <v/>
      </c>
      <c r="W90" s="17">
        <f>IFERROR(IFS('Loan Tape (BoE)'!V91=1,"Employed",'Loan Tape (BoE)'!V91=2,"Self-Employed",'Loan Tape (BoE)'!V91=3,"Unemployed",'Loan Tape (BoE)'!V91=4,"Retired"),"")</f>
        <v/>
      </c>
      <c r="X90" s="17">
        <f>IF(OR(V90="Self-Employed",W90="Self-Employed"),"Yes","No")</f>
        <v/>
      </c>
      <c r="Y90" s="17">
        <f>'Loan Tape (BoE)'!W91</f>
        <v/>
      </c>
      <c r="Z90" s="17">
        <f>'Loan Tape (BoE)'!X91</f>
        <v/>
      </c>
      <c r="AA90" s="17">
        <f>IF(T90=1,Y90,MIN(Y90,Z90))</f>
        <v/>
      </c>
      <c r="AB90" s="17">
        <f>'Loan Tape (BoE)'!Y91</f>
        <v/>
      </c>
      <c r="AC90" s="17">
        <f>'Loan Tape (BoE)'!Z91</f>
        <v/>
      </c>
      <c r="AD90" s="17">
        <f>AB90+AC90</f>
        <v/>
      </c>
      <c r="AE90" s="18">
        <f>'Loan Tape (BoE)'!AA91</f>
        <v/>
      </c>
      <c r="AF90" s="18">
        <f>'Loan Tape (BoE)'!AB91</f>
        <v/>
      </c>
      <c r="AG90" s="18">
        <f>AE90+AF90</f>
        <v/>
      </c>
      <c r="AH90" s="19">
        <f>MAX('Loan Tape (BoE)'!AC91,'Loan Tape (BoE)'!AD91)</f>
        <v/>
      </c>
      <c r="AI90" s="18">
        <f>'Loan Tape (BoE)'!AE91</f>
        <v/>
      </c>
      <c r="AJ90" s="18">
        <f>B90*H90/12</f>
        <v/>
      </c>
      <c r="AK90" s="21">
        <f>IF(AJ90&gt;0,AI90/AJ90,0)</f>
        <v/>
      </c>
      <c r="AL90" s="17">
        <f>IF('Loan Tape (BoE)'!AF91=1,"Yes","No")</f>
        <v/>
      </c>
      <c r="AM90" s="17">
        <f>IF('Loan Tape (BoE)'!AH91=1,"Yes","No")</f>
        <v/>
      </c>
      <c r="AN90" s="17">
        <f>IF('Loan Tape (BoE)'!AI91=1,"Yes","No")</f>
        <v/>
      </c>
      <c r="AO90" s="17">
        <f>IF('Loan Tape (BoE)'!AJ91=1,"Yes","No")</f>
        <v/>
      </c>
      <c r="AP90" s="17">
        <f>IF(OR('Loan Tape (BoE)'!AQ90=1,'Loan Tape (BoE)'!AQ90=2),"Yes",IF('Loan Tape (BoE)'!AQ90=0,"No",""))</f>
        <v/>
      </c>
      <c r="AQ90" s="17">
        <f>IF('Loan Tape (BoE)'!BV49_90&lt;&gt;"",'Loan Tape (BoE)'!BV49_90,"")</f>
        <v/>
      </c>
      <c r="AR90" s="17">
        <f>IF('Loan Tape (BoE)'!BV900_90&lt;&gt;"",'Loan Tape (BoE)'!BV50_90,"")</f>
        <v/>
      </c>
      <c r="AS90" s="17">
        <f>IFERROR(INDEX('FF Adj Parameters'!$A$103:$B$1090,MATCH('Loan Tape (BoE)'!P90,INDEX('FF Adj Parameters'!$A$103:$B$1090,,1),0),2),"Unknown")</f>
        <v/>
      </c>
      <c r="AT90" s="17">
        <f>IF(N90="Interest Only",M5*O5/12,IF(AND(O5&gt;0,ISNUMBER(O5),ISNUMBER(M5)),ABS(PMT(O5/12,AU5,-M5)),0))</f>
        <v/>
      </c>
      <c r="AU90" s="17">
        <f>IF(ISNUMBER(L90),MAX(0,(L5-'Control Panel'!$B$10)*12/365.25),0)</f>
        <v/>
      </c>
      <c r="AV90" s="17">
        <f>IF(ISNUMBER(L90),IF(L5&gt;'Control Panel'!$B$10,"Valid","Past Maturity"),"No Date")</f>
        <v/>
      </c>
      <c r="AW90" s="17">
        <f>IF(ISNUMBER(K90),MAX(0,('Control Panel'!$B$10-K5)*12/365.25),0)</f>
        <v/>
      </c>
    </row>
    <row r="91">
      <c r="A91" s="17">
        <f>'Loan Tape (BoE)'!A92</f>
        <v/>
      </c>
      <c r="B91" s="18">
        <f>IFERROR(INDEX('FF Adj Parameters'!$A$89:$B$92,MATCH('Loan Tape (BoE)'!C91,INDEX('FF Adj Parameters'!$A$89:$B$92,,1),0),2),"Unknown")</f>
        <v/>
      </c>
      <c r="C91" s="18">
        <f>'Loan Tape (BoE)'!C92</f>
        <v/>
      </c>
      <c r="D91" s="18">
        <f>'Loan Tape (BoE)'!D92</f>
        <v/>
      </c>
      <c r="E91" s="18">
        <f>'Loan Tape (BoE)'!E92</f>
        <v/>
      </c>
      <c r="F91" s="19">
        <f>'Loan Tape (BoE)'!F92</f>
        <v/>
      </c>
      <c r="G91" s="19">
        <f>'Loan Tape (BoE)'!G92</f>
        <v/>
      </c>
      <c r="H91" s="20">
        <f>'Loan Tape (BoE)'!H92/100</f>
        <v/>
      </c>
      <c r="I91" s="17">
        <f>IFERROR(IFS('Loan Tape (BoE)'!I92=1,"House",'Loan Tape (BoE)'!I92=2,"Flat",'Loan Tape (BoE)'!I92=3,"Bungalow",'Loan Tape (BoE)'!I92=4,"Maisonette"),"")</f>
        <v/>
      </c>
      <c r="J91" s="17">
        <f>'Loan Tape (BoE)'!J92</f>
        <v/>
      </c>
      <c r="K91" s="17">
        <f>'Loan Tape (BoE)'!K92</f>
        <v/>
      </c>
      <c r="L91" s="17">
        <f>IFERROR(IFS('Loan Tape (BoE)'!L92=1,"Owner Occupied",'Loan Tape (BoE)'!L92=2,"BTL",'Loan Tape (BoE)'!L92=3,"Second Home",'Loan Tape (BoE)'!L92=4,"Investment"),"")</f>
        <v/>
      </c>
      <c r="M91" s="17">
        <f>IFERROR(IFS('Loan Tape (BoE)'!M92=1,"Purchase",'Loan Tape (BoE)'!M92=2,"Remortgage",OR('Loan Tape (BoE)'!M92=3,'Loan Tape (BoE)'!M92=4),"Cash-out"),"")</f>
        <v/>
      </c>
      <c r="N91" s="17">
        <f>IFERROR(INDEX('FF Adj Parameters'!$A$96:$B$99,MATCH('Loan Tape (BoE)'!R91,INDEX('FF Adj Parameters'!$A$96:$B$99,,1),0),2),"Unknown")</f>
        <v/>
      </c>
      <c r="O91" s="17">
        <f>IF('Loan Tape (BoE)'!O92=1,"Yes","No")</f>
        <v/>
      </c>
      <c r="P91" s="17">
        <f>IF('Loan Tape (BoE)'!P91=1,"Yes",IF('Loan Tape (BoE)'!P91=0,"No",""))</f>
        <v/>
      </c>
      <c r="Q91" s="17">
        <f>IF('Loan Tape (BoE)'!Q91=1,"Yes",IF('Loan Tape (BoE)'!Q91=0,"No",""))</f>
        <v/>
      </c>
      <c r="R91" s="18">
        <f>IF('Loan Tape (BoE)'!R91=1,"Yes",IF('Loan Tape (BoE)'!R91=0,"No",""))</f>
        <v/>
      </c>
      <c r="S91" s="18">
        <f>IF('Loan Tape (BoE)'!S91=1,"Yes",IF('Loan Tape (BoE)'!S91=0,"No",""))</f>
        <v/>
      </c>
      <c r="T91" s="17">
        <f>IF('Loan Tape (BoE)'!T91=1,"Yes",IF('Loan Tape (BoE)'!T91=0,"No",""))</f>
        <v/>
      </c>
      <c r="U91" s="18">
        <f>R91+S91</f>
        <v/>
      </c>
      <c r="V91" s="17">
        <f>IFERROR(IFS('Loan Tape (BoE)'!U92=1,"Employed",'Loan Tape (BoE)'!U92=2,"Self-Employed",'Loan Tape (BoE)'!U92=3,"Unemployed",'Loan Tape (BoE)'!U92=4,"Retired"),"")</f>
        <v/>
      </c>
      <c r="W91" s="17">
        <f>IFERROR(IFS('Loan Tape (BoE)'!V92=1,"Employed",'Loan Tape (BoE)'!V92=2,"Self-Employed",'Loan Tape (BoE)'!V92=3,"Unemployed",'Loan Tape (BoE)'!V92=4,"Retired"),"")</f>
        <v/>
      </c>
      <c r="X91" s="17">
        <f>IF(OR(V91="Self-Employed",W91="Self-Employed"),"Yes","No")</f>
        <v/>
      </c>
      <c r="Y91" s="17">
        <f>'Loan Tape (BoE)'!W92</f>
        <v/>
      </c>
      <c r="Z91" s="17">
        <f>'Loan Tape (BoE)'!X92</f>
        <v/>
      </c>
      <c r="AA91" s="17">
        <f>IF(T91=1,Y91,MIN(Y91,Z91))</f>
        <v/>
      </c>
      <c r="AB91" s="17">
        <f>'Loan Tape (BoE)'!Y92</f>
        <v/>
      </c>
      <c r="AC91" s="17">
        <f>'Loan Tape (BoE)'!Z92</f>
        <v/>
      </c>
      <c r="AD91" s="17">
        <f>AB91+AC91</f>
        <v/>
      </c>
      <c r="AE91" s="18">
        <f>'Loan Tape (BoE)'!AA92</f>
        <v/>
      </c>
      <c r="AF91" s="18">
        <f>'Loan Tape (BoE)'!AB92</f>
        <v/>
      </c>
      <c r="AG91" s="18">
        <f>AE91+AF91</f>
        <v/>
      </c>
      <c r="AH91" s="19">
        <f>MAX('Loan Tape (BoE)'!AC92,'Loan Tape (BoE)'!AD92)</f>
        <v/>
      </c>
      <c r="AI91" s="18">
        <f>'Loan Tape (BoE)'!AE92</f>
        <v/>
      </c>
      <c r="AJ91" s="18">
        <f>B91*H91/12</f>
        <v/>
      </c>
      <c r="AK91" s="21">
        <f>IF(AJ91&gt;0,AI91/AJ91,0)</f>
        <v/>
      </c>
      <c r="AL91" s="17">
        <f>IF('Loan Tape (BoE)'!AF92=1,"Yes","No")</f>
        <v/>
      </c>
      <c r="AM91" s="17">
        <f>IF('Loan Tape (BoE)'!AH92=1,"Yes","No")</f>
        <v/>
      </c>
      <c r="AN91" s="17">
        <f>IF('Loan Tape (BoE)'!AI92=1,"Yes","No")</f>
        <v/>
      </c>
      <c r="AO91" s="17">
        <f>IF('Loan Tape (BoE)'!AJ92=1,"Yes","No")</f>
        <v/>
      </c>
      <c r="AP91" s="17">
        <f>IF(OR('Loan Tape (BoE)'!AQ91=1,'Loan Tape (BoE)'!AQ91=2),"Yes",IF('Loan Tape (BoE)'!AQ91=0,"No",""))</f>
        <v/>
      </c>
      <c r="AQ91" s="17">
        <f>IF('Loan Tape (BoE)'!BV49_91&lt;&gt;"",'Loan Tape (BoE)'!BV49_91,"")</f>
        <v/>
      </c>
      <c r="AR91" s="17">
        <f>IF('Loan Tape (BoE)'!BV910_91&lt;&gt;"",'Loan Tape (BoE)'!BV50_91,"")</f>
        <v/>
      </c>
      <c r="AS91" s="17">
        <f>IFERROR(INDEX('FF Adj Parameters'!$A$103:$B$1091,MATCH('Loan Tape (BoE)'!P91,INDEX('FF Adj Parameters'!$A$103:$B$1091,,1),0),2),"Unknown")</f>
        <v/>
      </c>
      <c r="AT91" s="17">
        <f>IF(N91="Interest Only",M5*O5/12,IF(AND(O5&gt;0,ISNUMBER(O5),ISNUMBER(M5)),ABS(PMT(O5/12,AU5,-M5)),0))</f>
        <v/>
      </c>
      <c r="AU91" s="17">
        <f>IF(ISNUMBER(L91),MAX(0,(L5-'Control Panel'!$B$10)*12/365.25),0)</f>
        <v/>
      </c>
      <c r="AV91" s="17">
        <f>IF(ISNUMBER(L91),IF(L5&gt;'Control Panel'!$B$10,"Valid","Past Maturity"),"No Date")</f>
        <v/>
      </c>
      <c r="AW91" s="17">
        <f>IF(ISNUMBER(K91),MAX(0,('Control Panel'!$B$10-K5)*12/365.25),0)</f>
        <v/>
      </c>
    </row>
    <row r="92">
      <c r="A92" s="17">
        <f>'Loan Tape (BoE)'!A93</f>
        <v/>
      </c>
      <c r="B92" s="18">
        <f>IFERROR(INDEX('FF Adj Parameters'!$A$89:$B$92,MATCH('Loan Tape (BoE)'!C92,INDEX('FF Adj Parameters'!$A$89:$B$92,,1),0),2),"Unknown")</f>
        <v/>
      </c>
      <c r="C92" s="18">
        <f>'Loan Tape (BoE)'!C93</f>
        <v/>
      </c>
      <c r="D92" s="18">
        <f>'Loan Tape (BoE)'!D93</f>
        <v/>
      </c>
      <c r="E92" s="18">
        <f>'Loan Tape (BoE)'!E93</f>
        <v/>
      </c>
      <c r="F92" s="19">
        <f>'Loan Tape (BoE)'!F93</f>
        <v/>
      </c>
      <c r="G92" s="19">
        <f>'Loan Tape (BoE)'!G93</f>
        <v/>
      </c>
      <c r="H92" s="20">
        <f>'Loan Tape (BoE)'!H93/100</f>
        <v/>
      </c>
      <c r="I92" s="17">
        <f>IFERROR(IFS('Loan Tape (BoE)'!I93=1,"House",'Loan Tape (BoE)'!I93=2,"Flat",'Loan Tape (BoE)'!I93=3,"Bungalow",'Loan Tape (BoE)'!I93=4,"Maisonette"),"")</f>
        <v/>
      </c>
      <c r="J92" s="17">
        <f>'Loan Tape (BoE)'!J93</f>
        <v/>
      </c>
      <c r="K92" s="17">
        <f>'Loan Tape (BoE)'!K93</f>
        <v/>
      </c>
      <c r="L92" s="17">
        <f>IFERROR(IFS('Loan Tape (BoE)'!L93=1,"Owner Occupied",'Loan Tape (BoE)'!L93=2,"BTL",'Loan Tape (BoE)'!L93=3,"Second Home",'Loan Tape (BoE)'!L93=4,"Investment"),"")</f>
        <v/>
      </c>
      <c r="M92" s="17">
        <f>IFERROR(IFS('Loan Tape (BoE)'!M93=1,"Purchase",'Loan Tape (BoE)'!M93=2,"Remortgage",OR('Loan Tape (BoE)'!M93=3,'Loan Tape (BoE)'!M93=4),"Cash-out"),"")</f>
        <v/>
      </c>
      <c r="N92" s="17">
        <f>IFERROR(INDEX('FF Adj Parameters'!$A$96:$B$99,MATCH('Loan Tape (BoE)'!R92,INDEX('FF Adj Parameters'!$A$96:$B$99,,1),0),2),"Unknown")</f>
        <v/>
      </c>
      <c r="O92" s="17">
        <f>IF('Loan Tape (BoE)'!O93=1,"Yes","No")</f>
        <v/>
      </c>
      <c r="P92" s="17">
        <f>IF('Loan Tape (BoE)'!P92=1,"Yes",IF('Loan Tape (BoE)'!P92=0,"No",""))</f>
        <v/>
      </c>
      <c r="Q92" s="17">
        <f>IF('Loan Tape (BoE)'!Q92=1,"Yes",IF('Loan Tape (BoE)'!Q92=0,"No",""))</f>
        <v/>
      </c>
      <c r="R92" s="18">
        <f>IF('Loan Tape (BoE)'!R92=1,"Yes",IF('Loan Tape (BoE)'!R92=0,"No",""))</f>
        <v/>
      </c>
      <c r="S92" s="18">
        <f>IF('Loan Tape (BoE)'!S92=1,"Yes",IF('Loan Tape (BoE)'!S92=0,"No",""))</f>
        <v/>
      </c>
      <c r="T92" s="17">
        <f>IF('Loan Tape (BoE)'!T92=1,"Yes",IF('Loan Tape (BoE)'!T92=0,"No",""))</f>
        <v/>
      </c>
      <c r="U92" s="18">
        <f>R92+S92</f>
        <v/>
      </c>
      <c r="V92" s="17">
        <f>IFERROR(IFS('Loan Tape (BoE)'!U93=1,"Employed",'Loan Tape (BoE)'!U93=2,"Self-Employed",'Loan Tape (BoE)'!U93=3,"Unemployed",'Loan Tape (BoE)'!U93=4,"Retired"),"")</f>
        <v/>
      </c>
      <c r="W92" s="17">
        <f>IFERROR(IFS('Loan Tape (BoE)'!V93=1,"Employed",'Loan Tape (BoE)'!V93=2,"Self-Employed",'Loan Tape (BoE)'!V93=3,"Unemployed",'Loan Tape (BoE)'!V93=4,"Retired"),"")</f>
        <v/>
      </c>
      <c r="X92" s="17">
        <f>IF(OR(V92="Self-Employed",W92="Self-Employed"),"Yes","No")</f>
        <v/>
      </c>
      <c r="Y92" s="17">
        <f>'Loan Tape (BoE)'!W93</f>
        <v/>
      </c>
      <c r="Z92" s="17">
        <f>'Loan Tape (BoE)'!X93</f>
        <v/>
      </c>
      <c r="AA92" s="17">
        <f>IF(T92=1,Y92,MIN(Y92,Z92))</f>
        <v/>
      </c>
      <c r="AB92" s="17">
        <f>'Loan Tape (BoE)'!Y93</f>
        <v/>
      </c>
      <c r="AC92" s="17">
        <f>'Loan Tape (BoE)'!Z93</f>
        <v/>
      </c>
      <c r="AD92" s="17">
        <f>AB92+AC92</f>
        <v/>
      </c>
      <c r="AE92" s="18">
        <f>'Loan Tape (BoE)'!AA93</f>
        <v/>
      </c>
      <c r="AF92" s="18">
        <f>'Loan Tape (BoE)'!AB93</f>
        <v/>
      </c>
      <c r="AG92" s="18">
        <f>AE92+AF92</f>
        <v/>
      </c>
      <c r="AH92" s="19">
        <f>MAX('Loan Tape (BoE)'!AC93,'Loan Tape (BoE)'!AD93)</f>
        <v/>
      </c>
      <c r="AI92" s="18">
        <f>'Loan Tape (BoE)'!AE93</f>
        <v/>
      </c>
      <c r="AJ92" s="18">
        <f>B92*H92/12</f>
        <v/>
      </c>
      <c r="AK92" s="21">
        <f>IF(AJ92&gt;0,AI92/AJ92,0)</f>
        <v/>
      </c>
      <c r="AL92" s="17">
        <f>IF('Loan Tape (BoE)'!AF93=1,"Yes","No")</f>
        <v/>
      </c>
      <c r="AM92" s="17">
        <f>IF('Loan Tape (BoE)'!AH93=1,"Yes","No")</f>
        <v/>
      </c>
      <c r="AN92" s="17">
        <f>IF('Loan Tape (BoE)'!AI93=1,"Yes","No")</f>
        <v/>
      </c>
      <c r="AO92" s="17">
        <f>IF('Loan Tape (BoE)'!AJ93=1,"Yes","No")</f>
        <v/>
      </c>
      <c r="AP92" s="17">
        <f>IF(OR('Loan Tape (BoE)'!AQ92=1,'Loan Tape (BoE)'!AQ92=2),"Yes",IF('Loan Tape (BoE)'!AQ92=0,"No",""))</f>
        <v/>
      </c>
      <c r="AQ92" s="17">
        <f>IF('Loan Tape (BoE)'!BV49_92&lt;&gt;"",'Loan Tape (BoE)'!BV49_92,"")</f>
        <v/>
      </c>
      <c r="AR92" s="17">
        <f>IF('Loan Tape (BoE)'!BV920_92&lt;&gt;"",'Loan Tape (BoE)'!BV50_92,"")</f>
        <v/>
      </c>
      <c r="AS92" s="17">
        <f>IFERROR(INDEX('FF Adj Parameters'!$A$103:$B$1092,MATCH('Loan Tape (BoE)'!P92,INDEX('FF Adj Parameters'!$A$103:$B$1092,,1),0),2),"Unknown")</f>
        <v/>
      </c>
      <c r="AT92" s="17">
        <f>IF(N92="Interest Only",M5*O5/12,IF(AND(O5&gt;0,ISNUMBER(O5),ISNUMBER(M5)),ABS(PMT(O5/12,AU5,-M5)),0))</f>
        <v/>
      </c>
      <c r="AU92" s="17">
        <f>IF(ISNUMBER(L92),MAX(0,(L5-'Control Panel'!$B$10)*12/365.25),0)</f>
        <v/>
      </c>
      <c r="AV92" s="17">
        <f>IF(ISNUMBER(L92),IF(L5&gt;'Control Panel'!$B$10,"Valid","Past Maturity"),"No Date")</f>
        <v/>
      </c>
      <c r="AW92" s="17">
        <f>IF(ISNUMBER(K92),MAX(0,('Control Panel'!$B$10-K5)*12/365.25),0)</f>
        <v/>
      </c>
    </row>
    <row r="93">
      <c r="A93" s="17">
        <f>'Loan Tape (BoE)'!A94</f>
        <v/>
      </c>
      <c r="B93" s="18">
        <f>IFERROR(INDEX('FF Adj Parameters'!$A$89:$B$92,MATCH('Loan Tape (BoE)'!C93,INDEX('FF Adj Parameters'!$A$89:$B$92,,1),0),2),"Unknown")</f>
        <v/>
      </c>
      <c r="C93" s="18">
        <f>'Loan Tape (BoE)'!C94</f>
        <v/>
      </c>
      <c r="D93" s="18">
        <f>'Loan Tape (BoE)'!D94</f>
        <v/>
      </c>
      <c r="E93" s="18">
        <f>'Loan Tape (BoE)'!E94</f>
        <v/>
      </c>
      <c r="F93" s="19">
        <f>'Loan Tape (BoE)'!F94</f>
        <v/>
      </c>
      <c r="G93" s="19">
        <f>'Loan Tape (BoE)'!G94</f>
        <v/>
      </c>
      <c r="H93" s="20">
        <f>'Loan Tape (BoE)'!H94/100</f>
        <v/>
      </c>
      <c r="I93" s="17">
        <f>IFERROR(IFS('Loan Tape (BoE)'!I94=1,"House",'Loan Tape (BoE)'!I94=2,"Flat",'Loan Tape (BoE)'!I94=3,"Bungalow",'Loan Tape (BoE)'!I94=4,"Maisonette"),"")</f>
        <v/>
      </c>
      <c r="J93" s="17">
        <f>'Loan Tape (BoE)'!J94</f>
        <v/>
      </c>
      <c r="K93" s="17">
        <f>'Loan Tape (BoE)'!K94</f>
        <v/>
      </c>
      <c r="L93" s="17">
        <f>IFERROR(IFS('Loan Tape (BoE)'!L94=1,"Owner Occupied",'Loan Tape (BoE)'!L94=2,"BTL",'Loan Tape (BoE)'!L94=3,"Second Home",'Loan Tape (BoE)'!L94=4,"Investment"),"")</f>
        <v/>
      </c>
      <c r="M93" s="17">
        <f>IFERROR(IFS('Loan Tape (BoE)'!M94=1,"Purchase",'Loan Tape (BoE)'!M94=2,"Remortgage",OR('Loan Tape (BoE)'!M94=3,'Loan Tape (BoE)'!M94=4),"Cash-out"),"")</f>
        <v/>
      </c>
      <c r="N93" s="17">
        <f>IFERROR(INDEX('FF Adj Parameters'!$A$96:$B$99,MATCH('Loan Tape (BoE)'!R93,INDEX('FF Adj Parameters'!$A$96:$B$99,,1),0),2),"Unknown")</f>
        <v/>
      </c>
      <c r="O93" s="17">
        <f>IF('Loan Tape (BoE)'!O94=1,"Yes","No")</f>
        <v/>
      </c>
      <c r="P93" s="17">
        <f>IF('Loan Tape (BoE)'!P93=1,"Yes",IF('Loan Tape (BoE)'!P93=0,"No",""))</f>
        <v/>
      </c>
      <c r="Q93" s="17">
        <f>IF('Loan Tape (BoE)'!Q93=1,"Yes",IF('Loan Tape (BoE)'!Q93=0,"No",""))</f>
        <v/>
      </c>
      <c r="R93" s="18">
        <f>IF('Loan Tape (BoE)'!R93=1,"Yes",IF('Loan Tape (BoE)'!R93=0,"No",""))</f>
        <v/>
      </c>
      <c r="S93" s="18">
        <f>IF('Loan Tape (BoE)'!S93=1,"Yes",IF('Loan Tape (BoE)'!S93=0,"No",""))</f>
        <v/>
      </c>
      <c r="T93" s="17">
        <f>IF('Loan Tape (BoE)'!T93=1,"Yes",IF('Loan Tape (BoE)'!T93=0,"No",""))</f>
        <v/>
      </c>
      <c r="U93" s="18">
        <f>R93+S93</f>
        <v/>
      </c>
      <c r="V93" s="17">
        <f>IFERROR(IFS('Loan Tape (BoE)'!U94=1,"Employed",'Loan Tape (BoE)'!U94=2,"Self-Employed",'Loan Tape (BoE)'!U94=3,"Unemployed",'Loan Tape (BoE)'!U94=4,"Retired"),"")</f>
        <v/>
      </c>
      <c r="W93" s="17">
        <f>IFERROR(IFS('Loan Tape (BoE)'!V94=1,"Employed",'Loan Tape (BoE)'!V94=2,"Self-Employed",'Loan Tape (BoE)'!V94=3,"Unemployed",'Loan Tape (BoE)'!V94=4,"Retired"),"")</f>
        <v/>
      </c>
      <c r="X93" s="17">
        <f>IF(OR(V93="Self-Employed",W93="Self-Employed"),"Yes","No")</f>
        <v/>
      </c>
      <c r="Y93" s="17">
        <f>'Loan Tape (BoE)'!W94</f>
        <v/>
      </c>
      <c r="Z93" s="17">
        <f>'Loan Tape (BoE)'!X94</f>
        <v/>
      </c>
      <c r="AA93" s="17">
        <f>IF(T93=1,Y93,MIN(Y93,Z93))</f>
        <v/>
      </c>
      <c r="AB93" s="17">
        <f>'Loan Tape (BoE)'!Y94</f>
        <v/>
      </c>
      <c r="AC93" s="17">
        <f>'Loan Tape (BoE)'!Z94</f>
        <v/>
      </c>
      <c r="AD93" s="17">
        <f>AB93+AC93</f>
        <v/>
      </c>
      <c r="AE93" s="18">
        <f>'Loan Tape (BoE)'!AA94</f>
        <v/>
      </c>
      <c r="AF93" s="18">
        <f>'Loan Tape (BoE)'!AB94</f>
        <v/>
      </c>
      <c r="AG93" s="18">
        <f>AE93+AF93</f>
        <v/>
      </c>
      <c r="AH93" s="19">
        <f>MAX('Loan Tape (BoE)'!AC94,'Loan Tape (BoE)'!AD94)</f>
        <v/>
      </c>
      <c r="AI93" s="18">
        <f>'Loan Tape (BoE)'!AE94</f>
        <v/>
      </c>
      <c r="AJ93" s="18">
        <f>B93*H93/12</f>
        <v/>
      </c>
      <c r="AK93" s="21">
        <f>IF(AJ93&gt;0,AI93/AJ93,0)</f>
        <v/>
      </c>
      <c r="AL93" s="17">
        <f>IF('Loan Tape (BoE)'!AF94=1,"Yes","No")</f>
        <v/>
      </c>
      <c r="AM93" s="17">
        <f>IF('Loan Tape (BoE)'!AH94=1,"Yes","No")</f>
        <v/>
      </c>
      <c r="AN93" s="17">
        <f>IF('Loan Tape (BoE)'!AI94=1,"Yes","No")</f>
        <v/>
      </c>
      <c r="AO93" s="17">
        <f>IF('Loan Tape (BoE)'!AJ94=1,"Yes","No")</f>
        <v/>
      </c>
      <c r="AP93" s="17">
        <f>IF(OR('Loan Tape (BoE)'!AQ93=1,'Loan Tape (BoE)'!AQ93=2),"Yes",IF('Loan Tape (BoE)'!AQ93=0,"No",""))</f>
        <v/>
      </c>
      <c r="AQ93" s="17">
        <f>IF('Loan Tape (BoE)'!BV49_93&lt;&gt;"",'Loan Tape (BoE)'!BV49_93,"")</f>
        <v/>
      </c>
      <c r="AR93" s="17">
        <f>IF('Loan Tape (BoE)'!BV930_93&lt;&gt;"",'Loan Tape (BoE)'!BV50_93,"")</f>
        <v/>
      </c>
      <c r="AS93" s="17">
        <f>IFERROR(INDEX('FF Adj Parameters'!$A$103:$B$1093,MATCH('Loan Tape (BoE)'!P93,INDEX('FF Adj Parameters'!$A$103:$B$1093,,1),0),2),"Unknown")</f>
        <v/>
      </c>
      <c r="AT93" s="17">
        <f>IF(N93="Interest Only",M5*O5/12,IF(AND(O5&gt;0,ISNUMBER(O5),ISNUMBER(M5)),ABS(PMT(O5/12,AU5,-M5)),0))</f>
        <v/>
      </c>
      <c r="AU93" s="17">
        <f>IF(ISNUMBER(L93),MAX(0,(L5-'Control Panel'!$B$10)*12/365.25),0)</f>
        <v/>
      </c>
      <c r="AV93" s="17">
        <f>IF(ISNUMBER(L93),IF(L5&gt;'Control Panel'!$B$10,"Valid","Past Maturity"),"No Date")</f>
        <v/>
      </c>
      <c r="AW93" s="17">
        <f>IF(ISNUMBER(K93),MAX(0,('Control Panel'!$B$10-K5)*12/365.25),0)</f>
        <v/>
      </c>
    </row>
    <row r="94">
      <c r="A94" s="17">
        <f>'Loan Tape (BoE)'!A95</f>
        <v/>
      </c>
      <c r="B94" s="18">
        <f>IFERROR(INDEX('FF Adj Parameters'!$A$89:$B$92,MATCH('Loan Tape (BoE)'!C94,INDEX('FF Adj Parameters'!$A$89:$B$92,,1),0),2),"Unknown")</f>
        <v/>
      </c>
      <c r="C94" s="18">
        <f>'Loan Tape (BoE)'!C95</f>
        <v/>
      </c>
      <c r="D94" s="18">
        <f>'Loan Tape (BoE)'!D95</f>
        <v/>
      </c>
      <c r="E94" s="18">
        <f>'Loan Tape (BoE)'!E95</f>
        <v/>
      </c>
      <c r="F94" s="19">
        <f>'Loan Tape (BoE)'!F95</f>
        <v/>
      </c>
      <c r="G94" s="19">
        <f>'Loan Tape (BoE)'!G95</f>
        <v/>
      </c>
      <c r="H94" s="20">
        <f>'Loan Tape (BoE)'!H95/100</f>
        <v/>
      </c>
      <c r="I94" s="17">
        <f>IFERROR(IFS('Loan Tape (BoE)'!I95=1,"House",'Loan Tape (BoE)'!I95=2,"Flat",'Loan Tape (BoE)'!I95=3,"Bungalow",'Loan Tape (BoE)'!I95=4,"Maisonette"),"")</f>
        <v/>
      </c>
      <c r="J94" s="17">
        <f>'Loan Tape (BoE)'!J95</f>
        <v/>
      </c>
      <c r="K94" s="17">
        <f>'Loan Tape (BoE)'!K95</f>
        <v/>
      </c>
      <c r="L94" s="17">
        <f>IFERROR(IFS('Loan Tape (BoE)'!L95=1,"Owner Occupied",'Loan Tape (BoE)'!L95=2,"BTL",'Loan Tape (BoE)'!L95=3,"Second Home",'Loan Tape (BoE)'!L95=4,"Investment"),"")</f>
        <v/>
      </c>
      <c r="M94" s="17">
        <f>IFERROR(IFS('Loan Tape (BoE)'!M95=1,"Purchase",'Loan Tape (BoE)'!M95=2,"Remortgage",OR('Loan Tape (BoE)'!M95=3,'Loan Tape (BoE)'!M95=4),"Cash-out"),"")</f>
        <v/>
      </c>
      <c r="N94" s="17">
        <f>IFERROR(INDEX('FF Adj Parameters'!$A$96:$B$99,MATCH('Loan Tape (BoE)'!R94,INDEX('FF Adj Parameters'!$A$96:$B$99,,1),0),2),"Unknown")</f>
        <v/>
      </c>
      <c r="O94" s="17">
        <f>IF('Loan Tape (BoE)'!O95=1,"Yes","No")</f>
        <v/>
      </c>
      <c r="P94" s="17">
        <f>IF('Loan Tape (BoE)'!P94=1,"Yes",IF('Loan Tape (BoE)'!P94=0,"No",""))</f>
        <v/>
      </c>
      <c r="Q94" s="17">
        <f>IF('Loan Tape (BoE)'!Q94=1,"Yes",IF('Loan Tape (BoE)'!Q94=0,"No",""))</f>
        <v/>
      </c>
      <c r="R94" s="18">
        <f>IF('Loan Tape (BoE)'!R94=1,"Yes",IF('Loan Tape (BoE)'!R94=0,"No",""))</f>
        <v/>
      </c>
      <c r="S94" s="18">
        <f>IF('Loan Tape (BoE)'!S94=1,"Yes",IF('Loan Tape (BoE)'!S94=0,"No",""))</f>
        <v/>
      </c>
      <c r="T94" s="17">
        <f>IF('Loan Tape (BoE)'!T94=1,"Yes",IF('Loan Tape (BoE)'!T94=0,"No",""))</f>
        <v/>
      </c>
      <c r="U94" s="18">
        <f>R94+S94</f>
        <v/>
      </c>
      <c r="V94" s="17">
        <f>IFERROR(IFS('Loan Tape (BoE)'!U95=1,"Employed",'Loan Tape (BoE)'!U95=2,"Self-Employed",'Loan Tape (BoE)'!U95=3,"Unemployed",'Loan Tape (BoE)'!U95=4,"Retired"),"")</f>
        <v/>
      </c>
      <c r="W94" s="17">
        <f>IFERROR(IFS('Loan Tape (BoE)'!V95=1,"Employed",'Loan Tape (BoE)'!V95=2,"Self-Employed",'Loan Tape (BoE)'!V95=3,"Unemployed",'Loan Tape (BoE)'!V95=4,"Retired"),"")</f>
        <v/>
      </c>
      <c r="X94" s="17">
        <f>IF(OR(V94="Self-Employed",W94="Self-Employed"),"Yes","No")</f>
        <v/>
      </c>
      <c r="Y94" s="17">
        <f>'Loan Tape (BoE)'!W95</f>
        <v/>
      </c>
      <c r="Z94" s="17">
        <f>'Loan Tape (BoE)'!X95</f>
        <v/>
      </c>
      <c r="AA94" s="17">
        <f>IF(T94=1,Y94,MIN(Y94,Z94))</f>
        <v/>
      </c>
      <c r="AB94" s="17">
        <f>'Loan Tape (BoE)'!Y95</f>
        <v/>
      </c>
      <c r="AC94" s="17">
        <f>'Loan Tape (BoE)'!Z95</f>
        <v/>
      </c>
      <c r="AD94" s="17">
        <f>AB94+AC94</f>
        <v/>
      </c>
      <c r="AE94" s="18">
        <f>'Loan Tape (BoE)'!AA95</f>
        <v/>
      </c>
      <c r="AF94" s="18">
        <f>'Loan Tape (BoE)'!AB95</f>
        <v/>
      </c>
      <c r="AG94" s="18">
        <f>AE94+AF94</f>
        <v/>
      </c>
      <c r="AH94" s="19">
        <f>MAX('Loan Tape (BoE)'!AC95,'Loan Tape (BoE)'!AD95)</f>
        <v/>
      </c>
      <c r="AI94" s="18">
        <f>'Loan Tape (BoE)'!AE95</f>
        <v/>
      </c>
      <c r="AJ94" s="18">
        <f>B94*H94/12</f>
        <v/>
      </c>
      <c r="AK94" s="21">
        <f>IF(AJ94&gt;0,AI94/AJ94,0)</f>
        <v/>
      </c>
      <c r="AL94" s="17">
        <f>IF('Loan Tape (BoE)'!AF95=1,"Yes","No")</f>
        <v/>
      </c>
      <c r="AM94" s="17">
        <f>IF('Loan Tape (BoE)'!AH95=1,"Yes","No")</f>
        <v/>
      </c>
      <c r="AN94" s="17">
        <f>IF('Loan Tape (BoE)'!AI95=1,"Yes","No")</f>
        <v/>
      </c>
      <c r="AO94" s="17">
        <f>IF('Loan Tape (BoE)'!AJ95=1,"Yes","No")</f>
        <v/>
      </c>
      <c r="AP94" s="17">
        <f>IF(OR('Loan Tape (BoE)'!AQ94=1,'Loan Tape (BoE)'!AQ94=2),"Yes",IF('Loan Tape (BoE)'!AQ94=0,"No",""))</f>
        <v/>
      </c>
      <c r="AQ94" s="17">
        <f>IF('Loan Tape (BoE)'!BV49_94&lt;&gt;"",'Loan Tape (BoE)'!BV49_94,"")</f>
        <v/>
      </c>
      <c r="AR94" s="17">
        <f>IF('Loan Tape (BoE)'!BV940_94&lt;&gt;"",'Loan Tape (BoE)'!BV50_94,"")</f>
        <v/>
      </c>
      <c r="AS94" s="17">
        <f>IFERROR(INDEX('FF Adj Parameters'!$A$103:$B$1094,MATCH('Loan Tape (BoE)'!P94,INDEX('FF Adj Parameters'!$A$103:$B$1094,,1),0),2),"Unknown")</f>
        <v/>
      </c>
      <c r="AT94" s="17">
        <f>IF(N94="Interest Only",M5*O5/12,IF(AND(O5&gt;0,ISNUMBER(O5),ISNUMBER(M5)),ABS(PMT(O5/12,AU5,-M5)),0))</f>
        <v/>
      </c>
      <c r="AU94" s="17">
        <f>IF(ISNUMBER(L94),MAX(0,(L5-'Control Panel'!$B$10)*12/365.25),0)</f>
        <v/>
      </c>
      <c r="AV94" s="17">
        <f>IF(ISNUMBER(L94),IF(L5&gt;'Control Panel'!$B$10,"Valid","Past Maturity"),"No Date")</f>
        <v/>
      </c>
      <c r="AW94" s="17">
        <f>IF(ISNUMBER(K94),MAX(0,('Control Panel'!$B$10-K5)*12/365.25),0)</f>
        <v/>
      </c>
    </row>
    <row r="95">
      <c r="A95" s="17">
        <f>'Loan Tape (BoE)'!A96</f>
        <v/>
      </c>
      <c r="B95" s="18">
        <f>IFERROR(INDEX('FF Adj Parameters'!$A$89:$B$92,MATCH('Loan Tape (BoE)'!C95,INDEX('FF Adj Parameters'!$A$89:$B$92,,1),0),2),"Unknown")</f>
        <v/>
      </c>
      <c r="C95" s="18">
        <f>'Loan Tape (BoE)'!C96</f>
        <v/>
      </c>
      <c r="D95" s="18">
        <f>'Loan Tape (BoE)'!D96</f>
        <v/>
      </c>
      <c r="E95" s="18">
        <f>'Loan Tape (BoE)'!E96</f>
        <v/>
      </c>
      <c r="F95" s="19">
        <f>'Loan Tape (BoE)'!F96</f>
        <v/>
      </c>
      <c r="G95" s="19">
        <f>'Loan Tape (BoE)'!G96</f>
        <v/>
      </c>
      <c r="H95" s="20">
        <f>'Loan Tape (BoE)'!H96/100</f>
        <v/>
      </c>
      <c r="I95" s="17">
        <f>IFERROR(IFS('Loan Tape (BoE)'!I96=1,"House",'Loan Tape (BoE)'!I96=2,"Flat",'Loan Tape (BoE)'!I96=3,"Bungalow",'Loan Tape (BoE)'!I96=4,"Maisonette"),"")</f>
        <v/>
      </c>
      <c r="J95" s="17">
        <f>'Loan Tape (BoE)'!J96</f>
        <v/>
      </c>
      <c r="K95" s="17">
        <f>'Loan Tape (BoE)'!K96</f>
        <v/>
      </c>
      <c r="L95" s="17">
        <f>IFERROR(IFS('Loan Tape (BoE)'!L96=1,"Owner Occupied",'Loan Tape (BoE)'!L96=2,"BTL",'Loan Tape (BoE)'!L96=3,"Second Home",'Loan Tape (BoE)'!L96=4,"Investment"),"")</f>
        <v/>
      </c>
      <c r="M95" s="17">
        <f>IFERROR(IFS('Loan Tape (BoE)'!M96=1,"Purchase",'Loan Tape (BoE)'!M96=2,"Remortgage",OR('Loan Tape (BoE)'!M96=3,'Loan Tape (BoE)'!M96=4),"Cash-out"),"")</f>
        <v/>
      </c>
      <c r="N95" s="17">
        <f>IFERROR(INDEX('FF Adj Parameters'!$A$96:$B$99,MATCH('Loan Tape (BoE)'!R95,INDEX('FF Adj Parameters'!$A$96:$B$99,,1),0),2),"Unknown")</f>
        <v/>
      </c>
      <c r="O95" s="17">
        <f>IF('Loan Tape (BoE)'!O96=1,"Yes","No")</f>
        <v/>
      </c>
      <c r="P95" s="17">
        <f>IF('Loan Tape (BoE)'!P95=1,"Yes",IF('Loan Tape (BoE)'!P95=0,"No",""))</f>
        <v/>
      </c>
      <c r="Q95" s="17">
        <f>IF('Loan Tape (BoE)'!Q95=1,"Yes",IF('Loan Tape (BoE)'!Q95=0,"No",""))</f>
        <v/>
      </c>
      <c r="R95" s="18">
        <f>IF('Loan Tape (BoE)'!R95=1,"Yes",IF('Loan Tape (BoE)'!R95=0,"No",""))</f>
        <v/>
      </c>
      <c r="S95" s="18">
        <f>IF('Loan Tape (BoE)'!S95=1,"Yes",IF('Loan Tape (BoE)'!S95=0,"No",""))</f>
        <v/>
      </c>
      <c r="T95" s="17">
        <f>IF('Loan Tape (BoE)'!T95=1,"Yes",IF('Loan Tape (BoE)'!T95=0,"No",""))</f>
        <v/>
      </c>
      <c r="U95" s="18">
        <f>R95+S95</f>
        <v/>
      </c>
      <c r="V95" s="17">
        <f>IFERROR(IFS('Loan Tape (BoE)'!U96=1,"Employed",'Loan Tape (BoE)'!U96=2,"Self-Employed",'Loan Tape (BoE)'!U96=3,"Unemployed",'Loan Tape (BoE)'!U96=4,"Retired"),"")</f>
        <v/>
      </c>
      <c r="W95" s="17">
        <f>IFERROR(IFS('Loan Tape (BoE)'!V96=1,"Employed",'Loan Tape (BoE)'!V96=2,"Self-Employed",'Loan Tape (BoE)'!V96=3,"Unemployed",'Loan Tape (BoE)'!V96=4,"Retired"),"")</f>
        <v/>
      </c>
      <c r="X95" s="17">
        <f>IF(OR(V95="Self-Employed",W95="Self-Employed"),"Yes","No")</f>
        <v/>
      </c>
      <c r="Y95" s="17">
        <f>'Loan Tape (BoE)'!W96</f>
        <v/>
      </c>
      <c r="Z95" s="17">
        <f>'Loan Tape (BoE)'!X96</f>
        <v/>
      </c>
      <c r="AA95" s="17">
        <f>IF(T95=1,Y95,MIN(Y95,Z95))</f>
        <v/>
      </c>
      <c r="AB95" s="17">
        <f>'Loan Tape (BoE)'!Y96</f>
        <v/>
      </c>
      <c r="AC95" s="17">
        <f>'Loan Tape (BoE)'!Z96</f>
        <v/>
      </c>
      <c r="AD95" s="17">
        <f>AB95+AC95</f>
        <v/>
      </c>
      <c r="AE95" s="18">
        <f>'Loan Tape (BoE)'!AA96</f>
        <v/>
      </c>
      <c r="AF95" s="18">
        <f>'Loan Tape (BoE)'!AB96</f>
        <v/>
      </c>
      <c r="AG95" s="18">
        <f>AE95+AF95</f>
        <v/>
      </c>
      <c r="AH95" s="19">
        <f>MAX('Loan Tape (BoE)'!AC96,'Loan Tape (BoE)'!AD96)</f>
        <v/>
      </c>
      <c r="AI95" s="18">
        <f>'Loan Tape (BoE)'!AE96</f>
        <v/>
      </c>
      <c r="AJ95" s="18">
        <f>B95*H95/12</f>
        <v/>
      </c>
      <c r="AK95" s="21">
        <f>IF(AJ95&gt;0,AI95/AJ95,0)</f>
        <v/>
      </c>
      <c r="AL95" s="17">
        <f>IF('Loan Tape (BoE)'!AF96=1,"Yes","No")</f>
        <v/>
      </c>
      <c r="AM95" s="17">
        <f>IF('Loan Tape (BoE)'!AH96=1,"Yes","No")</f>
        <v/>
      </c>
      <c r="AN95" s="17">
        <f>IF('Loan Tape (BoE)'!AI96=1,"Yes","No")</f>
        <v/>
      </c>
      <c r="AO95" s="17">
        <f>IF('Loan Tape (BoE)'!AJ96=1,"Yes","No")</f>
        <v/>
      </c>
      <c r="AP95" s="17">
        <f>IF(OR('Loan Tape (BoE)'!AQ95=1,'Loan Tape (BoE)'!AQ95=2),"Yes",IF('Loan Tape (BoE)'!AQ95=0,"No",""))</f>
        <v/>
      </c>
      <c r="AQ95" s="17">
        <f>IF('Loan Tape (BoE)'!BV49_995&lt;&gt;"",'Loan Tape (BoE)'!BV49_95,"")</f>
        <v/>
      </c>
      <c r="AR95" s="17">
        <f>IF('Loan Tape (BoE)'!BV950_95&lt;&gt;"",'Loan Tape (BoE)'!BV50_95,"")</f>
        <v/>
      </c>
      <c r="AS95" s="17">
        <f>IFERROR(INDEX('FF Adj Parameters'!$A$103:$B$1095,MATCH('Loan Tape (BoE)'!P95,INDEX('FF Adj Parameters'!$A$103:$B$1095,,1),0),2),"Unknown")</f>
        <v/>
      </c>
      <c r="AT95" s="17">
        <f>IF(N95="Interest Only",M5*O5/12,IF(AND(O5&gt;0,ISNUMBER(O5),ISNUMBER(M5)),ABS(PMT(O5/12,AU5,-M5)),0))</f>
        <v/>
      </c>
      <c r="AU95" s="17">
        <f>IF(ISNUMBER(L95),MAX(0,(L5-'Control Panel'!$B$10)*12/365.25),0)</f>
        <v/>
      </c>
      <c r="AV95" s="17">
        <f>IF(ISNUMBER(L95),IF(L5&gt;'Control Panel'!$B$10,"Valid","Past Maturity"),"No Date")</f>
        <v/>
      </c>
      <c r="AW95" s="17">
        <f>IF(ISNUMBER(K95),MAX(0,('Control Panel'!$B$10-K5)*12/365.25),0)</f>
        <v/>
      </c>
    </row>
    <row r="96">
      <c r="A96" s="17">
        <f>'Loan Tape (BoE)'!A97</f>
        <v/>
      </c>
      <c r="B96" s="18">
        <f>IFERROR(INDEX('FF Adj Parameters'!$A$89:$B$92,MATCH('Loan Tape (BoE)'!C96,INDEX('FF Adj Parameters'!$A$89:$B$92,,1),0),2),"Unknown")</f>
        <v/>
      </c>
      <c r="C96" s="18">
        <f>'Loan Tape (BoE)'!C97</f>
        <v/>
      </c>
      <c r="D96" s="18">
        <f>'Loan Tape (BoE)'!D97</f>
        <v/>
      </c>
      <c r="E96" s="18">
        <f>'Loan Tape (BoE)'!E97</f>
        <v/>
      </c>
      <c r="F96" s="19">
        <f>'Loan Tape (BoE)'!F97</f>
        <v/>
      </c>
      <c r="G96" s="19">
        <f>'Loan Tape (BoE)'!G97</f>
        <v/>
      </c>
      <c r="H96" s="20">
        <f>'Loan Tape (BoE)'!H97/100</f>
        <v/>
      </c>
      <c r="I96" s="17">
        <f>IFERROR(IFS('Loan Tape (BoE)'!I97=1,"House",'Loan Tape (BoE)'!I97=2,"Flat",'Loan Tape (BoE)'!I97=3,"Bungalow",'Loan Tape (BoE)'!I97=4,"Maisonette"),"")</f>
        <v/>
      </c>
      <c r="J96" s="17">
        <f>'Loan Tape (BoE)'!J97</f>
        <v/>
      </c>
      <c r="K96" s="17">
        <f>'Loan Tape (BoE)'!K97</f>
        <v/>
      </c>
      <c r="L96" s="17">
        <f>IFERROR(IFS('Loan Tape (BoE)'!L97=1,"Owner Occupied",'Loan Tape (BoE)'!L97=2,"BTL",'Loan Tape (BoE)'!L97=3,"Second Home",'Loan Tape (BoE)'!L97=4,"Investment"),"")</f>
        <v/>
      </c>
      <c r="M96" s="17">
        <f>IFERROR(IFS('Loan Tape (BoE)'!M97=1,"Purchase",'Loan Tape (BoE)'!M97=2,"Remortgage",OR('Loan Tape (BoE)'!M97=3,'Loan Tape (BoE)'!M97=4),"Cash-out"),"")</f>
        <v/>
      </c>
      <c r="N96" s="17">
        <f>IFERROR(INDEX('FF Adj Parameters'!$A$96:$B$99,MATCH('Loan Tape (BoE)'!R96,INDEX('FF Adj Parameters'!$A$96:$B$99,,1),0),2),"Unknown")</f>
        <v/>
      </c>
      <c r="O96" s="17">
        <f>IF('Loan Tape (BoE)'!O97=1,"Yes","No")</f>
        <v/>
      </c>
      <c r="P96" s="17">
        <f>IF('Loan Tape (BoE)'!P96=1,"Yes",IF('Loan Tape (BoE)'!P96=0,"No",""))</f>
        <v/>
      </c>
      <c r="Q96" s="17">
        <f>IF('Loan Tape (BoE)'!Q96=1,"Yes",IF('Loan Tape (BoE)'!Q96=0,"No",""))</f>
        <v/>
      </c>
      <c r="R96" s="18">
        <f>IF('Loan Tape (BoE)'!R96=1,"Yes",IF('Loan Tape (BoE)'!R96=0,"No",""))</f>
        <v/>
      </c>
      <c r="S96" s="18">
        <f>IF('Loan Tape (BoE)'!S96=1,"Yes",IF('Loan Tape (BoE)'!S96=0,"No",""))</f>
        <v/>
      </c>
      <c r="T96" s="17">
        <f>IF('Loan Tape (BoE)'!T96=1,"Yes",IF('Loan Tape (BoE)'!T96=0,"No",""))</f>
        <v/>
      </c>
      <c r="U96" s="18">
        <f>R96+S96</f>
        <v/>
      </c>
      <c r="V96" s="17">
        <f>IFERROR(IFS('Loan Tape (BoE)'!U97=1,"Employed",'Loan Tape (BoE)'!U97=2,"Self-Employed",'Loan Tape (BoE)'!U97=3,"Unemployed",'Loan Tape (BoE)'!U97=4,"Retired"),"")</f>
        <v/>
      </c>
      <c r="W96" s="17">
        <f>IFERROR(IFS('Loan Tape (BoE)'!V97=1,"Employed",'Loan Tape (BoE)'!V97=2,"Self-Employed",'Loan Tape (BoE)'!V97=3,"Unemployed",'Loan Tape (BoE)'!V97=4,"Retired"),"")</f>
        <v/>
      </c>
      <c r="X96" s="17">
        <f>IF(OR(V96="Self-Employed",W96="Self-Employed"),"Yes","No")</f>
        <v/>
      </c>
      <c r="Y96" s="17">
        <f>'Loan Tape (BoE)'!W97</f>
        <v/>
      </c>
      <c r="Z96" s="17">
        <f>'Loan Tape (BoE)'!X97</f>
        <v/>
      </c>
      <c r="AA96" s="17">
        <f>IF(T96=1,Y96,MIN(Y96,Z96))</f>
        <v/>
      </c>
      <c r="AB96" s="17">
        <f>'Loan Tape (BoE)'!Y97</f>
        <v/>
      </c>
      <c r="AC96" s="17">
        <f>'Loan Tape (BoE)'!Z97</f>
        <v/>
      </c>
      <c r="AD96" s="17">
        <f>AB96+AC96</f>
        <v/>
      </c>
      <c r="AE96" s="18">
        <f>'Loan Tape (BoE)'!AA97</f>
        <v/>
      </c>
      <c r="AF96" s="18">
        <f>'Loan Tape (BoE)'!AB97</f>
        <v/>
      </c>
      <c r="AG96" s="18">
        <f>AE96+AF96</f>
        <v/>
      </c>
      <c r="AH96" s="19">
        <f>MAX('Loan Tape (BoE)'!AC97,'Loan Tape (BoE)'!AD97)</f>
        <v/>
      </c>
      <c r="AI96" s="18">
        <f>'Loan Tape (BoE)'!AE97</f>
        <v/>
      </c>
      <c r="AJ96" s="18">
        <f>B96*H96/12</f>
        <v/>
      </c>
      <c r="AK96" s="21">
        <f>IF(AJ96&gt;0,AI96/AJ96,0)</f>
        <v/>
      </c>
      <c r="AL96" s="17">
        <f>IF('Loan Tape (BoE)'!AF97=1,"Yes","No")</f>
        <v/>
      </c>
      <c r="AM96" s="17">
        <f>IF('Loan Tape (BoE)'!AH97=1,"Yes","No")</f>
        <v/>
      </c>
      <c r="AN96" s="17">
        <f>IF('Loan Tape (BoE)'!AI97=1,"Yes","No")</f>
        <v/>
      </c>
      <c r="AO96" s="17">
        <f>IF('Loan Tape (BoE)'!AJ97=1,"Yes","No")</f>
        <v/>
      </c>
      <c r="AP96" s="17">
        <f>IF(OR('Loan Tape (BoE)'!AQ96=1,'Loan Tape (BoE)'!AQ96=2),"Yes",IF('Loan Tape (BoE)'!AQ96=0,"No",""))</f>
        <v/>
      </c>
      <c r="AQ96" s="17">
        <f>IF('Loan Tape (BoE)'!BV49_96&lt;&gt;"",'Loan Tape (BoE)'!BV49_96,"")</f>
        <v/>
      </c>
      <c r="AR96" s="17">
        <f>IF('Loan Tape (BoE)'!BV960_96&lt;&gt;"",'Loan Tape (BoE)'!BV50_96,"")</f>
        <v/>
      </c>
      <c r="AS96" s="17">
        <f>IFERROR(INDEX('FF Adj Parameters'!$A$103:$B$1096,MATCH('Loan Tape (BoE)'!P96,INDEX('FF Adj Parameters'!$A$103:$B$1096,,1),0),2),"Unknown")</f>
        <v/>
      </c>
      <c r="AT96" s="17">
        <f>IF(N96="Interest Only",M5*O5/12,IF(AND(O5&gt;0,ISNUMBER(O5),ISNUMBER(M5)),ABS(PMT(O5/12,AU5,-M5)),0))</f>
        <v/>
      </c>
      <c r="AU96" s="17">
        <f>IF(ISNUMBER(L96),MAX(0,(L5-'Control Panel'!$B$10)*12/365.25),0)</f>
        <v/>
      </c>
      <c r="AV96" s="17">
        <f>IF(ISNUMBER(L96),IF(L5&gt;'Control Panel'!$B$10,"Valid","Past Maturity"),"No Date")</f>
        <v/>
      </c>
      <c r="AW96" s="17">
        <f>IF(ISNUMBER(K96),MAX(0,('Control Panel'!$B$10-K5)*12/365.25),0)</f>
        <v/>
      </c>
    </row>
    <row r="97">
      <c r="A97" s="17">
        <f>'Loan Tape (BoE)'!A98</f>
        <v/>
      </c>
      <c r="B97" s="18">
        <f>IFERROR(INDEX('FF Adj Parameters'!$A$89:$B$92,MATCH('Loan Tape (BoE)'!C97,INDEX('FF Adj Parameters'!$A$89:$B$92,,1),0),2),"Unknown")</f>
        <v/>
      </c>
      <c r="C97" s="18">
        <f>'Loan Tape (BoE)'!C98</f>
        <v/>
      </c>
      <c r="D97" s="18">
        <f>'Loan Tape (BoE)'!D98</f>
        <v/>
      </c>
      <c r="E97" s="18">
        <f>'Loan Tape (BoE)'!E98</f>
        <v/>
      </c>
      <c r="F97" s="19">
        <f>'Loan Tape (BoE)'!F98</f>
        <v/>
      </c>
      <c r="G97" s="19">
        <f>'Loan Tape (BoE)'!G98</f>
        <v/>
      </c>
      <c r="H97" s="20">
        <f>'Loan Tape (BoE)'!H98/100</f>
        <v/>
      </c>
      <c r="I97" s="17">
        <f>IFERROR(IFS('Loan Tape (BoE)'!I98=1,"House",'Loan Tape (BoE)'!I98=2,"Flat",'Loan Tape (BoE)'!I98=3,"Bungalow",'Loan Tape (BoE)'!I98=4,"Maisonette"),"")</f>
        <v/>
      </c>
      <c r="J97" s="17">
        <f>'Loan Tape (BoE)'!J98</f>
        <v/>
      </c>
      <c r="K97" s="17">
        <f>'Loan Tape (BoE)'!K98</f>
        <v/>
      </c>
      <c r="L97" s="17">
        <f>IFERROR(IFS('Loan Tape (BoE)'!L98=1,"Owner Occupied",'Loan Tape (BoE)'!L98=2,"BTL",'Loan Tape (BoE)'!L98=3,"Second Home",'Loan Tape (BoE)'!L98=4,"Investment"),"")</f>
        <v/>
      </c>
      <c r="M97" s="17">
        <f>IFERROR(IFS('Loan Tape (BoE)'!M98=1,"Purchase",'Loan Tape (BoE)'!M98=2,"Remortgage",OR('Loan Tape (BoE)'!M98=3,'Loan Tape (BoE)'!M98=4),"Cash-out"),"")</f>
        <v/>
      </c>
      <c r="N97" s="17">
        <f>IFERROR(INDEX('FF Adj Parameters'!$A$96:$B$99,MATCH('Loan Tape (BoE)'!R97,INDEX('FF Adj Parameters'!$A$96:$B$99,,1),0),2),"Unknown")</f>
        <v/>
      </c>
      <c r="O97" s="17">
        <f>IF('Loan Tape (BoE)'!O98=1,"Yes","No")</f>
        <v/>
      </c>
      <c r="P97" s="17">
        <f>IF('Loan Tape (BoE)'!P97=1,"Yes",IF('Loan Tape (BoE)'!P97=0,"No",""))</f>
        <v/>
      </c>
      <c r="Q97" s="17">
        <f>IF('Loan Tape (BoE)'!Q97=1,"Yes",IF('Loan Tape (BoE)'!Q97=0,"No",""))</f>
        <v/>
      </c>
      <c r="R97" s="18">
        <f>IF('Loan Tape (BoE)'!R97=1,"Yes",IF('Loan Tape (BoE)'!R97=0,"No",""))</f>
        <v/>
      </c>
      <c r="S97" s="18">
        <f>IF('Loan Tape (BoE)'!S97=1,"Yes",IF('Loan Tape (BoE)'!S97=0,"No",""))</f>
        <v/>
      </c>
      <c r="T97" s="17">
        <f>IF('Loan Tape (BoE)'!T97=1,"Yes",IF('Loan Tape (BoE)'!T97=0,"No",""))</f>
        <v/>
      </c>
      <c r="U97" s="18">
        <f>R97+S97</f>
        <v/>
      </c>
      <c r="V97" s="17">
        <f>IFERROR(IFS('Loan Tape (BoE)'!U98=1,"Employed",'Loan Tape (BoE)'!U98=2,"Self-Employed",'Loan Tape (BoE)'!U98=3,"Unemployed",'Loan Tape (BoE)'!U98=4,"Retired"),"")</f>
        <v/>
      </c>
      <c r="W97" s="17">
        <f>IFERROR(IFS('Loan Tape (BoE)'!V98=1,"Employed",'Loan Tape (BoE)'!V98=2,"Self-Employed",'Loan Tape (BoE)'!V98=3,"Unemployed",'Loan Tape (BoE)'!V98=4,"Retired"),"")</f>
        <v/>
      </c>
      <c r="X97" s="17">
        <f>IF(OR(V97="Self-Employed",W97="Self-Employed"),"Yes","No")</f>
        <v/>
      </c>
      <c r="Y97" s="17">
        <f>'Loan Tape (BoE)'!W98</f>
        <v/>
      </c>
      <c r="Z97" s="17">
        <f>'Loan Tape (BoE)'!X98</f>
        <v/>
      </c>
      <c r="AA97" s="17">
        <f>IF(T97=1,Y97,MIN(Y97,Z97))</f>
        <v/>
      </c>
      <c r="AB97" s="17">
        <f>'Loan Tape (BoE)'!Y98</f>
        <v/>
      </c>
      <c r="AC97" s="17">
        <f>'Loan Tape (BoE)'!Z98</f>
        <v/>
      </c>
      <c r="AD97" s="17">
        <f>AB97+AC97</f>
        <v/>
      </c>
      <c r="AE97" s="18">
        <f>'Loan Tape (BoE)'!AA98</f>
        <v/>
      </c>
      <c r="AF97" s="18">
        <f>'Loan Tape (BoE)'!AB98</f>
        <v/>
      </c>
      <c r="AG97" s="18">
        <f>AE97+AF97</f>
        <v/>
      </c>
      <c r="AH97" s="19">
        <f>MAX('Loan Tape (BoE)'!AC98,'Loan Tape (BoE)'!AD98)</f>
        <v/>
      </c>
      <c r="AI97" s="18">
        <f>'Loan Tape (BoE)'!AE98</f>
        <v/>
      </c>
      <c r="AJ97" s="18">
        <f>B97*H97/12</f>
        <v/>
      </c>
      <c r="AK97" s="21">
        <f>IF(AJ97&gt;0,AI97/AJ97,0)</f>
        <v/>
      </c>
      <c r="AL97" s="17">
        <f>IF('Loan Tape (BoE)'!AF98=1,"Yes","No")</f>
        <v/>
      </c>
      <c r="AM97" s="17">
        <f>IF('Loan Tape (BoE)'!AH98=1,"Yes","No")</f>
        <v/>
      </c>
      <c r="AN97" s="17">
        <f>IF('Loan Tape (BoE)'!AI98=1,"Yes","No")</f>
        <v/>
      </c>
      <c r="AO97" s="17">
        <f>IF('Loan Tape (BoE)'!AJ98=1,"Yes","No")</f>
        <v/>
      </c>
      <c r="AP97" s="17">
        <f>IF(OR('Loan Tape (BoE)'!AQ97=1,'Loan Tape (BoE)'!AQ97=2),"Yes",IF('Loan Tape (BoE)'!AQ97=0,"No",""))</f>
        <v/>
      </c>
      <c r="AQ97" s="17">
        <f>IF('Loan Tape (BoE)'!BV49_97&lt;&gt;"",'Loan Tape (BoE)'!BV49_97,"")</f>
        <v/>
      </c>
      <c r="AR97" s="17">
        <f>IF('Loan Tape (BoE)'!BV970_97&lt;&gt;"",'Loan Tape (BoE)'!BV50_97,"")</f>
        <v/>
      </c>
      <c r="AS97" s="17">
        <f>IFERROR(INDEX('FF Adj Parameters'!$A$103:$B$1097,MATCH('Loan Tape (BoE)'!P97,INDEX('FF Adj Parameters'!$A$103:$B$1097,,1),0),2),"Unknown")</f>
        <v/>
      </c>
      <c r="AT97" s="17">
        <f>IF(N97="Interest Only",M5*O5/12,IF(AND(O5&gt;0,ISNUMBER(O5),ISNUMBER(M5)),ABS(PMT(O5/12,AU5,-M5)),0))</f>
        <v/>
      </c>
      <c r="AU97" s="17">
        <f>IF(ISNUMBER(L97),MAX(0,(L5-'Control Panel'!$B$10)*12/365.25),0)</f>
        <v/>
      </c>
      <c r="AV97" s="17">
        <f>IF(ISNUMBER(L97),IF(L5&gt;'Control Panel'!$B$10,"Valid","Past Maturity"),"No Date")</f>
        <v/>
      </c>
      <c r="AW97" s="17">
        <f>IF(ISNUMBER(K97),MAX(0,('Control Panel'!$B$10-K5)*12/365.25),0)</f>
        <v/>
      </c>
    </row>
    <row r="98">
      <c r="A98" s="17">
        <f>'Loan Tape (BoE)'!A99</f>
        <v/>
      </c>
      <c r="B98" s="18">
        <f>IFERROR(INDEX('FF Adj Parameters'!$A$89:$B$92,MATCH('Loan Tape (BoE)'!C98,INDEX('FF Adj Parameters'!$A$89:$B$92,,1),0),2),"Unknown")</f>
        <v/>
      </c>
      <c r="C98" s="18">
        <f>'Loan Tape (BoE)'!C99</f>
        <v/>
      </c>
      <c r="D98" s="18">
        <f>'Loan Tape (BoE)'!D99</f>
        <v/>
      </c>
      <c r="E98" s="18">
        <f>'Loan Tape (BoE)'!E99</f>
        <v/>
      </c>
      <c r="F98" s="19">
        <f>'Loan Tape (BoE)'!F99</f>
        <v/>
      </c>
      <c r="G98" s="19">
        <f>'Loan Tape (BoE)'!G99</f>
        <v/>
      </c>
      <c r="H98" s="20">
        <f>'Loan Tape (BoE)'!H99/100</f>
        <v/>
      </c>
      <c r="I98" s="17">
        <f>IFERROR(IFS('Loan Tape (BoE)'!I99=1,"House",'Loan Tape (BoE)'!I99=2,"Flat",'Loan Tape (BoE)'!I99=3,"Bungalow",'Loan Tape (BoE)'!I99=4,"Maisonette"),"")</f>
        <v/>
      </c>
      <c r="J98" s="17">
        <f>'Loan Tape (BoE)'!J99</f>
        <v/>
      </c>
      <c r="K98" s="17">
        <f>'Loan Tape (BoE)'!K99</f>
        <v/>
      </c>
      <c r="L98" s="17">
        <f>IFERROR(IFS('Loan Tape (BoE)'!L99=1,"Owner Occupied",'Loan Tape (BoE)'!L99=2,"BTL",'Loan Tape (BoE)'!L99=3,"Second Home",'Loan Tape (BoE)'!L99=4,"Investment"),"")</f>
        <v/>
      </c>
      <c r="M98" s="17">
        <f>IFERROR(IFS('Loan Tape (BoE)'!M99=1,"Purchase",'Loan Tape (BoE)'!M99=2,"Remortgage",OR('Loan Tape (BoE)'!M99=3,'Loan Tape (BoE)'!M99=4),"Cash-out"),"")</f>
        <v/>
      </c>
      <c r="N98" s="17">
        <f>IFERROR(INDEX('FF Adj Parameters'!$A$96:$B$99,MATCH('Loan Tape (BoE)'!R98,INDEX('FF Adj Parameters'!$A$96:$B$99,,1),0),2),"Unknown")</f>
        <v/>
      </c>
      <c r="O98" s="17">
        <f>IF('Loan Tape (BoE)'!O99=1,"Yes","No")</f>
        <v/>
      </c>
      <c r="P98" s="17">
        <f>IF('Loan Tape (BoE)'!P98=1,"Yes",IF('Loan Tape (BoE)'!P98=0,"No",""))</f>
        <v/>
      </c>
      <c r="Q98" s="17">
        <f>IF('Loan Tape (BoE)'!Q98=1,"Yes",IF('Loan Tape (BoE)'!Q98=0,"No",""))</f>
        <v/>
      </c>
      <c r="R98" s="18">
        <f>IF('Loan Tape (BoE)'!R98=1,"Yes",IF('Loan Tape (BoE)'!R98=0,"No",""))</f>
        <v/>
      </c>
      <c r="S98" s="18">
        <f>IF('Loan Tape (BoE)'!S98=1,"Yes",IF('Loan Tape (BoE)'!S98=0,"No",""))</f>
        <v/>
      </c>
      <c r="T98" s="17">
        <f>IF('Loan Tape (BoE)'!T98=1,"Yes",IF('Loan Tape (BoE)'!T98=0,"No",""))</f>
        <v/>
      </c>
      <c r="U98" s="18">
        <f>R98+S98</f>
        <v/>
      </c>
      <c r="V98" s="17">
        <f>IFERROR(IFS('Loan Tape (BoE)'!U99=1,"Employed",'Loan Tape (BoE)'!U99=2,"Self-Employed",'Loan Tape (BoE)'!U99=3,"Unemployed",'Loan Tape (BoE)'!U99=4,"Retired"),"")</f>
        <v/>
      </c>
      <c r="W98" s="17">
        <f>IFERROR(IFS('Loan Tape (BoE)'!V99=1,"Employed",'Loan Tape (BoE)'!V99=2,"Self-Employed",'Loan Tape (BoE)'!V99=3,"Unemployed",'Loan Tape (BoE)'!V99=4,"Retired"),"")</f>
        <v/>
      </c>
      <c r="X98" s="17">
        <f>IF(OR(V98="Self-Employed",W98="Self-Employed"),"Yes","No")</f>
        <v/>
      </c>
      <c r="Y98" s="17">
        <f>'Loan Tape (BoE)'!W99</f>
        <v/>
      </c>
      <c r="Z98" s="17">
        <f>'Loan Tape (BoE)'!X99</f>
        <v/>
      </c>
      <c r="AA98" s="17">
        <f>IF(T98=1,Y98,MIN(Y98,Z98))</f>
        <v/>
      </c>
      <c r="AB98" s="17">
        <f>'Loan Tape (BoE)'!Y99</f>
        <v/>
      </c>
      <c r="AC98" s="17">
        <f>'Loan Tape (BoE)'!Z99</f>
        <v/>
      </c>
      <c r="AD98" s="17">
        <f>AB98+AC98</f>
        <v/>
      </c>
      <c r="AE98" s="18">
        <f>'Loan Tape (BoE)'!AA99</f>
        <v/>
      </c>
      <c r="AF98" s="18">
        <f>'Loan Tape (BoE)'!AB99</f>
        <v/>
      </c>
      <c r="AG98" s="18">
        <f>AE98+AF98</f>
        <v/>
      </c>
      <c r="AH98" s="19">
        <f>MAX('Loan Tape (BoE)'!AC99,'Loan Tape (BoE)'!AD99)</f>
        <v/>
      </c>
      <c r="AI98" s="18">
        <f>'Loan Tape (BoE)'!AE99</f>
        <v/>
      </c>
      <c r="AJ98" s="18">
        <f>B98*H98/12</f>
        <v/>
      </c>
      <c r="AK98" s="21">
        <f>IF(AJ98&gt;0,AI98/AJ98,0)</f>
        <v/>
      </c>
      <c r="AL98" s="17">
        <f>IF('Loan Tape (BoE)'!AF99=1,"Yes","No")</f>
        <v/>
      </c>
      <c r="AM98" s="17">
        <f>IF('Loan Tape (BoE)'!AH99=1,"Yes","No")</f>
        <v/>
      </c>
      <c r="AN98" s="17">
        <f>IF('Loan Tape (BoE)'!AI99=1,"Yes","No")</f>
        <v/>
      </c>
      <c r="AO98" s="17">
        <f>IF('Loan Tape (BoE)'!AJ99=1,"Yes","No")</f>
        <v/>
      </c>
      <c r="AP98" s="17">
        <f>IF(OR('Loan Tape (BoE)'!AQ98=1,'Loan Tape (BoE)'!AQ98=2),"Yes",IF('Loan Tape (BoE)'!AQ98=0,"No",""))</f>
        <v/>
      </c>
      <c r="AQ98" s="17">
        <f>IF('Loan Tape (BoE)'!BV49_98&lt;&gt;"",'Loan Tape (BoE)'!BV49_98,"")</f>
        <v/>
      </c>
      <c r="AR98" s="17">
        <f>IF('Loan Tape (BoE)'!BV980_98&lt;&gt;"",'Loan Tape (BoE)'!BV50_98,"")</f>
        <v/>
      </c>
      <c r="AS98" s="17">
        <f>IFERROR(INDEX('FF Adj Parameters'!$A$103:$B$1098,MATCH('Loan Tape (BoE)'!P98,INDEX('FF Adj Parameters'!$A$103:$B$1098,,1),0),2),"Unknown")</f>
        <v/>
      </c>
      <c r="AT98" s="17">
        <f>IF(N98="Interest Only",M5*O5/12,IF(AND(O5&gt;0,ISNUMBER(O5),ISNUMBER(M5)),ABS(PMT(O5/12,AU5,-M5)),0))</f>
        <v/>
      </c>
      <c r="AU98" s="17">
        <f>IF(ISNUMBER(L98),MAX(0,(L5-'Control Panel'!$B$10)*12/365.25),0)</f>
        <v/>
      </c>
      <c r="AV98" s="17">
        <f>IF(ISNUMBER(L98),IF(L5&gt;'Control Panel'!$B$10,"Valid","Past Maturity"),"No Date")</f>
        <v/>
      </c>
      <c r="AW98" s="17">
        <f>IF(ISNUMBER(K98),MAX(0,('Control Panel'!$B$10-K5)*12/365.25),0)</f>
        <v/>
      </c>
    </row>
    <row r="99">
      <c r="A99" s="17">
        <f>'Loan Tape (BoE)'!A100</f>
        <v/>
      </c>
      <c r="B99" s="18">
        <f>IFERROR(INDEX('FF Adj Parameters'!$A$89:$B$92,MATCH('Loan Tape (BoE)'!C99,INDEX('FF Adj Parameters'!$A$89:$B$92,,1),0),2),"Unknown")</f>
        <v/>
      </c>
      <c r="C99" s="18">
        <f>'Loan Tape (BoE)'!C100</f>
        <v/>
      </c>
      <c r="D99" s="18">
        <f>'Loan Tape (BoE)'!D100</f>
        <v/>
      </c>
      <c r="E99" s="18">
        <f>'Loan Tape (BoE)'!E100</f>
        <v/>
      </c>
      <c r="F99" s="19">
        <f>'Loan Tape (BoE)'!F100</f>
        <v/>
      </c>
      <c r="G99" s="19">
        <f>'Loan Tape (BoE)'!G100</f>
        <v/>
      </c>
      <c r="H99" s="20">
        <f>'Loan Tape (BoE)'!H100/100</f>
        <v/>
      </c>
      <c r="I99" s="17">
        <f>IFERROR(IFS('Loan Tape (BoE)'!I100=1,"House",'Loan Tape (BoE)'!I100=2,"Flat",'Loan Tape (BoE)'!I100=3,"Bungalow",'Loan Tape (BoE)'!I100=4,"Maisonette"),"")</f>
        <v/>
      </c>
      <c r="J99" s="17">
        <f>'Loan Tape (BoE)'!J100</f>
        <v/>
      </c>
      <c r="K99" s="17">
        <f>'Loan Tape (BoE)'!K100</f>
        <v/>
      </c>
      <c r="L99" s="17">
        <f>IFERROR(IFS('Loan Tape (BoE)'!L100=1,"Owner Occupied",'Loan Tape (BoE)'!L100=2,"BTL",'Loan Tape (BoE)'!L100=3,"Second Home",'Loan Tape (BoE)'!L100=4,"Investment"),"")</f>
        <v/>
      </c>
      <c r="M99" s="17">
        <f>IFERROR(IFS('Loan Tape (BoE)'!M100=1,"Purchase",'Loan Tape (BoE)'!M100=2,"Remortgage",OR('Loan Tape (BoE)'!M100=3,'Loan Tape (BoE)'!M100=4),"Cash-out"),"")</f>
        <v/>
      </c>
      <c r="N99" s="17">
        <f>IFERROR(INDEX('FF Adj Parameters'!$A$96:$B$99,MATCH('Loan Tape (BoE)'!R99,INDEX('FF Adj Parameters'!$A$96:$B$99,,1),0),2),"Unknown")</f>
        <v/>
      </c>
      <c r="O99" s="17">
        <f>IF('Loan Tape (BoE)'!O100=1,"Yes","No")</f>
        <v/>
      </c>
      <c r="P99" s="17">
        <f>IF('Loan Tape (BoE)'!P99=1,"Yes",IF('Loan Tape (BoE)'!P99=0,"No",""))</f>
        <v/>
      </c>
      <c r="Q99" s="17">
        <f>IF('Loan Tape (BoE)'!Q99=1,"Yes",IF('Loan Tape (BoE)'!Q99=0,"No",""))</f>
        <v/>
      </c>
      <c r="R99" s="18">
        <f>IF('Loan Tape (BoE)'!R99=1,"Yes",IF('Loan Tape (BoE)'!R99=0,"No",""))</f>
        <v/>
      </c>
      <c r="S99" s="18">
        <f>IF('Loan Tape (BoE)'!S99=1,"Yes",IF('Loan Tape (BoE)'!S99=0,"No",""))</f>
        <v/>
      </c>
      <c r="T99" s="17">
        <f>IF('Loan Tape (BoE)'!T99=1,"Yes",IF('Loan Tape (BoE)'!T99=0,"No",""))</f>
        <v/>
      </c>
      <c r="U99" s="18">
        <f>R99+S99</f>
        <v/>
      </c>
      <c r="V99" s="17">
        <f>IFERROR(IFS('Loan Tape (BoE)'!U100=1,"Employed",'Loan Tape (BoE)'!U100=2,"Self-Employed",'Loan Tape (BoE)'!U100=3,"Unemployed",'Loan Tape (BoE)'!U100=4,"Retired"),"")</f>
        <v/>
      </c>
      <c r="W99" s="17">
        <f>IFERROR(IFS('Loan Tape (BoE)'!V100=1,"Employed",'Loan Tape (BoE)'!V100=2,"Self-Employed",'Loan Tape (BoE)'!V100=3,"Unemployed",'Loan Tape (BoE)'!V100=4,"Retired"),"")</f>
        <v/>
      </c>
      <c r="X99" s="17">
        <f>IF(OR(V99="Self-Employed",W99="Self-Employed"),"Yes","No")</f>
        <v/>
      </c>
      <c r="Y99" s="17">
        <f>'Loan Tape (BoE)'!W100</f>
        <v/>
      </c>
      <c r="Z99" s="17">
        <f>'Loan Tape (BoE)'!X100</f>
        <v/>
      </c>
      <c r="AA99" s="17">
        <f>IF(T99=1,Y99,MIN(Y99,Z99))</f>
        <v/>
      </c>
      <c r="AB99" s="17">
        <f>'Loan Tape (BoE)'!Y100</f>
        <v/>
      </c>
      <c r="AC99" s="17">
        <f>'Loan Tape (BoE)'!Z100</f>
        <v/>
      </c>
      <c r="AD99" s="17">
        <f>AB99+AC99</f>
        <v/>
      </c>
      <c r="AE99" s="18">
        <f>'Loan Tape (BoE)'!AA100</f>
        <v/>
      </c>
      <c r="AF99" s="18">
        <f>'Loan Tape (BoE)'!AB100</f>
        <v/>
      </c>
      <c r="AG99" s="18">
        <f>AE99+AF99</f>
        <v/>
      </c>
      <c r="AH99" s="19">
        <f>MAX('Loan Tape (BoE)'!AC100,'Loan Tape (BoE)'!AD100)</f>
        <v/>
      </c>
      <c r="AI99" s="18">
        <f>'Loan Tape (BoE)'!AE100</f>
        <v/>
      </c>
      <c r="AJ99" s="18">
        <f>B99*H99/12</f>
        <v/>
      </c>
      <c r="AK99" s="21">
        <f>IF(AJ99&gt;0,AI99/AJ99,0)</f>
        <v/>
      </c>
      <c r="AL99" s="17">
        <f>IF('Loan Tape (BoE)'!AF100=1,"Yes","No")</f>
        <v/>
      </c>
      <c r="AM99" s="17">
        <f>IF('Loan Tape (BoE)'!AH100=1,"Yes","No")</f>
        <v/>
      </c>
      <c r="AN99" s="17">
        <f>IF('Loan Tape (BoE)'!AI100=1,"Yes","No")</f>
        <v/>
      </c>
      <c r="AO99" s="17">
        <f>IF('Loan Tape (BoE)'!AJ100=1,"Yes","No")</f>
        <v/>
      </c>
      <c r="AP99" s="17">
        <f>IF(OR('Loan Tape (BoE)'!AQ99=1,'Loan Tape (BoE)'!AQ99=2),"Yes",IF('Loan Tape (BoE)'!AQ99=0,"No",""))</f>
        <v/>
      </c>
      <c r="AQ99" s="17">
        <f>IF('Loan Tape (BoE)'!BV49_99&lt;&gt;"",'Loan Tape (BoE)'!BV49_99,"")</f>
        <v/>
      </c>
      <c r="AR99" s="17">
        <f>IF('Loan Tape (BoE)'!BV990_99&lt;&gt;"",'Loan Tape (BoE)'!BV50_99,"")</f>
        <v/>
      </c>
      <c r="AS99" s="17">
        <f>IFERROR(INDEX('FF Adj Parameters'!$A$103:$B$1099,MATCH('Loan Tape (BoE)'!P99,INDEX('FF Adj Parameters'!$A$103:$B$1099,,1),0),2),"Unknown")</f>
        <v/>
      </c>
      <c r="AT99" s="17">
        <f>IF(N99="Interest Only",M5*O5/12,IF(AND(O5&gt;0,ISNUMBER(O5),ISNUMBER(M5)),ABS(PMT(O5/12,AU5,-M5)),0))</f>
        <v/>
      </c>
      <c r="AU99" s="17">
        <f>IF(ISNUMBER(L99),MAX(0,(L5-'Control Panel'!$B$10)*12/365.25),0)</f>
        <v/>
      </c>
      <c r="AV99" s="17">
        <f>IF(ISNUMBER(L99),IF(L5&gt;'Control Panel'!$B$10,"Valid","Past Maturity"),"No Date")</f>
        <v/>
      </c>
      <c r="AW99" s="17">
        <f>IF(ISNUMBER(K99),MAX(0,('Control Panel'!$B$10-K5)*12/365.25),0)</f>
        <v/>
      </c>
    </row>
    <row r="100">
      <c r="A100" s="17">
        <f>'Loan Tape (BoE)'!A101</f>
        <v/>
      </c>
      <c r="B100" s="18">
        <f>IFERROR(INDEX('FF Adj Parameters'!$A$89:$B$92,MATCH('Loan Tape (BoE)'!C100,INDEX('FF Adj Parameters'!$A$89:$B$92,,1),0),2),"Unknown")</f>
        <v/>
      </c>
      <c r="C100" s="18">
        <f>'Loan Tape (BoE)'!C101</f>
        <v/>
      </c>
      <c r="D100" s="18">
        <f>'Loan Tape (BoE)'!D101</f>
        <v/>
      </c>
      <c r="E100" s="18">
        <f>'Loan Tape (BoE)'!E101</f>
        <v/>
      </c>
      <c r="F100" s="19">
        <f>'Loan Tape (BoE)'!F101</f>
        <v/>
      </c>
      <c r="G100" s="19">
        <f>'Loan Tape (BoE)'!G101</f>
        <v/>
      </c>
      <c r="H100" s="20">
        <f>'Loan Tape (BoE)'!H101/100</f>
        <v/>
      </c>
      <c r="I100" s="17">
        <f>IFERROR(IFS('Loan Tape (BoE)'!I101=1,"House",'Loan Tape (BoE)'!I101=2,"Flat",'Loan Tape (BoE)'!I101=3,"Bungalow",'Loan Tape (BoE)'!I101=4,"Maisonette"),"")</f>
        <v/>
      </c>
      <c r="J100" s="17">
        <f>'Loan Tape (BoE)'!J101</f>
        <v/>
      </c>
      <c r="K100" s="17">
        <f>'Loan Tape (BoE)'!K101</f>
        <v/>
      </c>
      <c r="L100" s="17">
        <f>IFERROR(IFS('Loan Tape (BoE)'!L101=1,"Owner Occupied",'Loan Tape (BoE)'!L101=2,"BTL",'Loan Tape (BoE)'!L101=3,"Second Home",'Loan Tape (BoE)'!L101=4,"Investment"),"")</f>
        <v/>
      </c>
      <c r="M100" s="17">
        <f>IFERROR(IFS('Loan Tape (BoE)'!M101=1,"Purchase",'Loan Tape (BoE)'!M101=2,"Remortgage",OR('Loan Tape (BoE)'!M101=3,'Loan Tape (BoE)'!M101=4),"Cash-out"),"")</f>
        <v/>
      </c>
      <c r="N100" s="17">
        <f>IFERROR(INDEX('FF Adj Parameters'!$A$96:$B$99,MATCH('Loan Tape (BoE)'!R100,INDEX('FF Adj Parameters'!$A$96:$B$99,,1),0),2),"Unknown")</f>
        <v/>
      </c>
      <c r="O100" s="17">
        <f>IF('Loan Tape (BoE)'!O101=1,"Yes","No")</f>
        <v/>
      </c>
      <c r="P100" s="17">
        <f>IF('Loan Tape (BoE)'!P100=1,"Yes",IF('Loan Tape (BoE)'!P100=0,"No",""))</f>
        <v/>
      </c>
      <c r="Q100" s="17">
        <f>IF('Loan Tape (BoE)'!Q100=1,"Yes",IF('Loan Tape (BoE)'!Q100=0,"No",""))</f>
        <v/>
      </c>
      <c r="R100" s="18">
        <f>IF('Loan Tape (BoE)'!R100=1,"Yes",IF('Loan Tape (BoE)'!R100=0,"No",""))</f>
        <v/>
      </c>
      <c r="S100" s="18">
        <f>IF('Loan Tape (BoE)'!S100=1,"Yes",IF('Loan Tape (BoE)'!S100=0,"No",""))</f>
        <v/>
      </c>
      <c r="T100" s="17">
        <f>IF('Loan Tape (BoE)'!T100=1,"Yes",IF('Loan Tape (BoE)'!T100=0,"No",""))</f>
        <v/>
      </c>
      <c r="U100" s="18">
        <f>R100+S100</f>
        <v/>
      </c>
      <c r="V100" s="17">
        <f>IFERROR(IFS('Loan Tape (BoE)'!U101=1,"Employed",'Loan Tape (BoE)'!U101=2,"Self-Employed",'Loan Tape (BoE)'!U101=3,"Unemployed",'Loan Tape (BoE)'!U101=4,"Retired"),"")</f>
        <v/>
      </c>
      <c r="W100" s="17">
        <f>IFERROR(IFS('Loan Tape (BoE)'!V101=1,"Employed",'Loan Tape (BoE)'!V101=2,"Self-Employed",'Loan Tape (BoE)'!V101=3,"Unemployed",'Loan Tape (BoE)'!V101=4,"Retired"),"")</f>
        <v/>
      </c>
      <c r="X100" s="17">
        <f>IF(OR(V100="Self-Employed",W100="Self-Employed"),"Yes","No")</f>
        <v/>
      </c>
      <c r="Y100" s="17">
        <f>'Loan Tape (BoE)'!W101</f>
        <v/>
      </c>
      <c r="Z100" s="17">
        <f>'Loan Tape (BoE)'!X101</f>
        <v/>
      </c>
      <c r="AA100" s="17">
        <f>IF(T100=1,Y100,MIN(Y100,Z100))</f>
        <v/>
      </c>
      <c r="AB100" s="17">
        <f>'Loan Tape (BoE)'!Y101</f>
        <v/>
      </c>
      <c r="AC100" s="17">
        <f>'Loan Tape (BoE)'!Z101</f>
        <v/>
      </c>
      <c r="AD100" s="17">
        <f>AB100+AC100</f>
        <v/>
      </c>
      <c r="AE100" s="18">
        <f>'Loan Tape (BoE)'!AA101</f>
        <v/>
      </c>
      <c r="AF100" s="18">
        <f>'Loan Tape (BoE)'!AB101</f>
        <v/>
      </c>
      <c r="AG100" s="18">
        <f>AE100+AF100</f>
        <v/>
      </c>
      <c r="AH100" s="19">
        <f>MAX('Loan Tape (BoE)'!AC101,'Loan Tape (BoE)'!AD101)</f>
        <v/>
      </c>
      <c r="AI100" s="18">
        <f>'Loan Tape (BoE)'!AE101</f>
        <v/>
      </c>
      <c r="AJ100" s="18">
        <f>B100*H100/12</f>
        <v/>
      </c>
      <c r="AK100" s="21">
        <f>IF(AJ100&gt;0,AI100/AJ100,0)</f>
        <v/>
      </c>
      <c r="AL100" s="17">
        <f>IF('Loan Tape (BoE)'!AF101=1,"Yes","No")</f>
        <v/>
      </c>
      <c r="AM100" s="17">
        <f>IF('Loan Tape (BoE)'!AH101=1,"Yes","No")</f>
        <v/>
      </c>
      <c r="AN100" s="17">
        <f>IF('Loan Tape (BoE)'!AI101=1,"Yes","No")</f>
        <v/>
      </c>
      <c r="AO100" s="17">
        <f>IF('Loan Tape (BoE)'!AJ101=1,"Yes","No")</f>
        <v/>
      </c>
      <c r="AP100" s="17">
        <f>IF(OR('Loan Tape (BoE)'!AQ100=1,'Loan Tape (BoE)'!AQ100=2),"Yes",IF('Loan Tape (BoE)'!AQ100=0,"No",""))</f>
        <v/>
      </c>
      <c r="AQ100" s="17">
        <f>IF('Loan Tape (BoE)'!BV49_100&lt;&gt;"",'Loan Tape (BoE)'!BV49_100,"")</f>
        <v/>
      </c>
      <c r="AR100" s="17">
        <f>IF('Loan Tape (BoE)'!BV1000_100&lt;&gt;"",'Loan Tape (BoE)'!BV50_100,"")</f>
        <v/>
      </c>
      <c r="AS100" s="17">
        <f>IFERROR(INDEX('FF Adj Parameters'!$A$103:$B$10100,MATCH('Loan Tape (BoE)'!P100,INDEX('FF Adj Parameters'!$A$103:$B$10100,,1),0),2),"Unknown")</f>
        <v/>
      </c>
      <c r="AT100" s="17">
        <f>IF(N100="Interest Only",M5*O5/12,IF(AND(O5&gt;0,ISNUMBER(O5),ISNUMBER(M5)),ABS(PMT(O5/12,AU5,-M5)),0))</f>
        <v/>
      </c>
      <c r="AU100" s="17">
        <f>IF(ISNUMBER(L100),MAX(0,(L5-'Control Panel'!$B$10)*12/365.25),0)</f>
        <v/>
      </c>
      <c r="AV100" s="17">
        <f>IF(ISNUMBER(L100),IF(L5&gt;'Control Panel'!$B$10,"Valid","Past Maturity"),"No Date")</f>
        <v/>
      </c>
      <c r="AW100" s="17">
        <f>IF(ISNUMBER(K100),MAX(0,('Control Panel'!$B$10-K5)*12/365.25),0)</f>
        <v/>
      </c>
    </row>
    <row r="101">
      <c r="A101" s="17">
        <f>'Loan Tape (BoE)'!A102</f>
        <v/>
      </c>
      <c r="B101" s="18">
        <f>IFERROR(INDEX('FF Adj Parameters'!$A$89:$B$92,MATCH('Loan Tape (BoE)'!C101,INDEX('FF Adj Parameters'!$A$89:$B$92,,1),0),2),"Unknown")</f>
        <v/>
      </c>
      <c r="C101" s="18">
        <f>'Loan Tape (BoE)'!C102</f>
        <v/>
      </c>
      <c r="D101" s="18">
        <f>'Loan Tape (BoE)'!D102</f>
        <v/>
      </c>
      <c r="E101" s="18">
        <f>'Loan Tape (BoE)'!E102</f>
        <v/>
      </c>
      <c r="F101" s="19">
        <f>'Loan Tape (BoE)'!F102</f>
        <v/>
      </c>
      <c r="G101" s="19">
        <f>'Loan Tape (BoE)'!G102</f>
        <v/>
      </c>
      <c r="H101" s="20">
        <f>'Loan Tape (BoE)'!H102/100</f>
        <v/>
      </c>
      <c r="I101" s="17">
        <f>IFERROR(IFS('Loan Tape (BoE)'!I102=1,"House",'Loan Tape (BoE)'!I102=2,"Flat",'Loan Tape (BoE)'!I102=3,"Bungalow",'Loan Tape (BoE)'!I102=4,"Maisonette"),"")</f>
        <v/>
      </c>
      <c r="J101" s="17">
        <f>'Loan Tape (BoE)'!J102</f>
        <v/>
      </c>
      <c r="K101" s="17">
        <f>'Loan Tape (BoE)'!K102</f>
        <v/>
      </c>
      <c r="L101" s="17">
        <f>IFERROR(IFS('Loan Tape (BoE)'!L102=1,"Owner Occupied",'Loan Tape (BoE)'!L102=2,"BTL",'Loan Tape (BoE)'!L102=3,"Second Home",'Loan Tape (BoE)'!L102=4,"Investment"),"")</f>
        <v/>
      </c>
      <c r="M101" s="17">
        <f>IFERROR(IFS('Loan Tape (BoE)'!M102=1,"Purchase",'Loan Tape (BoE)'!M102=2,"Remortgage",OR('Loan Tape (BoE)'!M102=3,'Loan Tape (BoE)'!M102=4),"Cash-out"),"")</f>
        <v/>
      </c>
      <c r="N101" s="17">
        <f>IFERROR(INDEX('FF Adj Parameters'!$A$96:$B$99,MATCH('Loan Tape (BoE)'!R101,INDEX('FF Adj Parameters'!$A$96:$B$99,,1),0),2),"Unknown")</f>
        <v/>
      </c>
      <c r="O101" s="17">
        <f>IF('Loan Tape (BoE)'!O102=1,"Yes","No")</f>
        <v/>
      </c>
      <c r="P101" s="17">
        <f>IF('Loan Tape (BoE)'!P101=1,"Yes",IF('Loan Tape (BoE)'!P101=0,"No",""))</f>
        <v/>
      </c>
      <c r="Q101" s="17">
        <f>IF('Loan Tape (BoE)'!Q101=1,"Yes",IF('Loan Tape (BoE)'!Q101=0,"No",""))</f>
        <v/>
      </c>
      <c r="R101" s="18">
        <f>IF('Loan Tape (BoE)'!R101=1,"Yes",IF('Loan Tape (BoE)'!R101=0,"No",""))</f>
        <v/>
      </c>
      <c r="S101" s="18">
        <f>IF('Loan Tape (BoE)'!S101=1,"Yes",IF('Loan Tape (BoE)'!S101=0,"No",""))</f>
        <v/>
      </c>
      <c r="T101" s="17">
        <f>IF('Loan Tape (BoE)'!T101=1,"Yes",IF('Loan Tape (BoE)'!T101=0,"No",""))</f>
        <v/>
      </c>
      <c r="U101" s="18">
        <f>R101+S101</f>
        <v/>
      </c>
      <c r="V101" s="17">
        <f>IFERROR(IFS('Loan Tape (BoE)'!U102=1,"Employed",'Loan Tape (BoE)'!U102=2,"Self-Employed",'Loan Tape (BoE)'!U102=3,"Unemployed",'Loan Tape (BoE)'!U102=4,"Retired"),"")</f>
        <v/>
      </c>
      <c r="W101" s="17">
        <f>IFERROR(IFS('Loan Tape (BoE)'!V102=1,"Employed",'Loan Tape (BoE)'!V102=2,"Self-Employed",'Loan Tape (BoE)'!V102=3,"Unemployed",'Loan Tape (BoE)'!V102=4,"Retired"),"")</f>
        <v/>
      </c>
      <c r="X101" s="17">
        <f>IF(OR(V101="Self-Employed",W101="Self-Employed"),"Yes","No")</f>
        <v/>
      </c>
      <c r="Y101" s="17">
        <f>'Loan Tape (BoE)'!W102</f>
        <v/>
      </c>
      <c r="Z101" s="17">
        <f>'Loan Tape (BoE)'!X102</f>
        <v/>
      </c>
      <c r="AA101" s="17">
        <f>IF(T101=1,Y101,MIN(Y101,Z101))</f>
        <v/>
      </c>
      <c r="AB101" s="17">
        <f>'Loan Tape (BoE)'!Y102</f>
        <v/>
      </c>
      <c r="AC101" s="17">
        <f>'Loan Tape (BoE)'!Z102</f>
        <v/>
      </c>
      <c r="AD101" s="17">
        <f>AB101+AC101</f>
        <v/>
      </c>
      <c r="AE101" s="18">
        <f>'Loan Tape (BoE)'!AA102</f>
        <v/>
      </c>
      <c r="AF101" s="18">
        <f>'Loan Tape (BoE)'!AB102</f>
        <v/>
      </c>
      <c r="AG101" s="18">
        <f>AE101+AF101</f>
        <v/>
      </c>
      <c r="AH101" s="19">
        <f>MAX('Loan Tape (BoE)'!AC102,'Loan Tape (BoE)'!AD102)</f>
        <v/>
      </c>
      <c r="AI101" s="18">
        <f>'Loan Tape (BoE)'!AE102</f>
        <v/>
      </c>
      <c r="AJ101" s="18">
        <f>B101*H101/12</f>
        <v/>
      </c>
      <c r="AK101" s="21">
        <f>IF(AJ101&gt;0,AI101/AJ101,0)</f>
        <v/>
      </c>
      <c r="AL101" s="17">
        <f>IF('Loan Tape (BoE)'!AF102=1,"Yes","No")</f>
        <v/>
      </c>
      <c r="AM101" s="17">
        <f>IF('Loan Tape (BoE)'!AH102=1,"Yes","No")</f>
        <v/>
      </c>
      <c r="AN101" s="17">
        <f>IF('Loan Tape (BoE)'!AI102=1,"Yes","No")</f>
        <v/>
      </c>
      <c r="AO101" s="17">
        <f>IF('Loan Tape (BoE)'!AJ102=1,"Yes","No")</f>
        <v/>
      </c>
      <c r="AP101" s="17">
        <f>IF(OR('Loan Tape (BoE)'!AQ101=1,'Loan Tape (BoE)'!AQ101=2),"Yes",IF('Loan Tape (BoE)'!AQ101=0,"No",""))</f>
        <v/>
      </c>
      <c r="AQ101" s="17">
        <f>IF('Loan Tape (BoE)'!BV49_101&lt;&gt;"",'Loan Tape (BoE)'!BV49_101,"")</f>
        <v/>
      </c>
      <c r="AR101" s="17">
        <f>IF('Loan Tape (BoE)'!BV1010_101&lt;&gt;"",'Loan Tape (BoE)'!BV50_101,"")</f>
        <v/>
      </c>
      <c r="AS101" s="17">
        <f>IFERROR(INDEX('FF Adj Parameters'!$A$103:$B$10101,MATCH('Loan Tape (BoE)'!P101,INDEX('FF Adj Parameters'!$A$103:$B$10101,,1),0),2),"Unknown")</f>
        <v/>
      </c>
      <c r="AT101" s="17">
        <f>IF(N101="Interest Only",M5*O5/12,IF(AND(O5&gt;0,ISNUMBER(O5),ISNUMBER(M5)),ABS(PMT(O5/12,AU5,-M5)),0))</f>
        <v/>
      </c>
      <c r="AU101" s="17">
        <f>IF(ISNUMBER(L101),MAX(0,(L5-'Control Panel'!$B$10)*12/365.25),0)</f>
        <v/>
      </c>
      <c r="AV101" s="17">
        <f>IF(ISNUMBER(L101),IF(L5&gt;'Control Panel'!$B$10,"Valid","Past Maturity"),"No Date")</f>
        <v/>
      </c>
      <c r="AW101" s="17">
        <f>IF(ISNUMBER(K101),MAX(0,('Control Panel'!$B$10-K5)*12/365.25),0)</f>
        <v/>
      </c>
    </row>
    <row r="102">
      <c r="A102" s="17">
        <f>'Loan Tape (BoE)'!A103</f>
        <v/>
      </c>
      <c r="B102" s="18">
        <f>IFERROR(INDEX('FF Adj Parameters'!$A$89:$B$92,MATCH('Loan Tape (BoE)'!C102,INDEX('FF Adj Parameters'!$A$89:$B$92,,1),0),2),"Unknown")</f>
        <v/>
      </c>
      <c r="C102" s="18">
        <f>'Loan Tape (BoE)'!C103</f>
        <v/>
      </c>
      <c r="D102" s="18">
        <f>'Loan Tape (BoE)'!D103</f>
        <v/>
      </c>
      <c r="E102" s="18">
        <f>'Loan Tape (BoE)'!E103</f>
        <v/>
      </c>
      <c r="F102" s="19">
        <f>'Loan Tape (BoE)'!F103</f>
        <v/>
      </c>
      <c r="G102" s="19">
        <f>'Loan Tape (BoE)'!G103</f>
        <v/>
      </c>
      <c r="H102" s="20">
        <f>'Loan Tape (BoE)'!H103/100</f>
        <v/>
      </c>
      <c r="I102" s="17">
        <f>IFERROR(IFS('Loan Tape (BoE)'!I103=1,"House",'Loan Tape (BoE)'!I103=2,"Flat",'Loan Tape (BoE)'!I103=3,"Bungalow",'Loan Tape (BoE)'!I103=4,"Maisonette"),"")</f>
        <v/>
      </c>
      <c r="J102" s="17">
        <f>'Loan Tape (BoE)'!J103</f>
        <v/>
      </c>
      <c r="K102" s="17">
        <f>'Loan Tape (BoE)'!K103</f>
        <v/>
      </c>
      <c r="L102" s="17">
        <f>IFERROR(IFS('Loan Tape (BoE)'!L103=1,"Owner Occupied",'Loan Tape (BoE)'!L103=2,"BTL",'Loan Tape (BoE)'!L103=3,"Second Home",'Loan Tape (BoE)'!L103=4,"Investment"),"")</f>
        <v/>
      </c>
      <c r="M102" s="17">
        <f>IFERROR(IFS('Loan Tape (BoE)'!M103=1,"Purchase",'Loan Tape (BoE)'!M103=2,"Remortgage",OR('Loan Tape (BoE)'!M103=3,'Loan Tape (BoE)'!M103=4),"Cash-out"),"")</f>
        <v/>
      </c>
      <c r="N102" s="17">
        <f>IFERROR(INDEX('FF Adj Parameters'!$A$96:$B$99,MATCH('Loan Tape (BoE)'!R102,INDEX('FF Adj Parameters'!$A$96:$B$99,,1),0),2),"Unknown")</f>
        <v/>
      </c>
      <c r="O102" s="17">
        <f>IF('Loan Tape (BoE)'!O103=1,"Yes","No")</f>
        <v/>
      </c>
      <c r="P102" s="17">
        <f>IF('Loan Tape (BoE)'!P102=1,"Yes",IF('Loan Tape (BoE)'!P102=0,"No",""))</f>
        <v/>
      </c>
      <c r="Q102" s="17">
        <f>IF('Loan Tape (BoE)'!Q102=1,"Yes",IF('Loan Tape (BoE)'!Q102=0,"No",""))</f>
        <v/>
      </c>
      <c r="R102" s="18">
        <f>IF('Loan Tape (BoE)'!R102=1,"Yes",IF('Loan Tape (BoE)'!R102=0,"No",""))</f>
        <v/>
      </c>
      <c r="S102" s="18">
        <f>IF('Loan Tape (BoE)'!S102=1,"Yes",IF('Loan Tape (BoE)'!S102=0,"No",""))</f>
        <v/>
      </c>
      <c r="T102" s="17">
        <f>IF('Loan Tape (BoE)'!T102=1,"Yes",IF('Loan Tape (BoE)'!T102=0,"No",""))</f>
        <v/>
      </c>
      <c r="U102" s="18">
        <f>R102+S102</f>
        <v/>
      </c>
      <c r="V102" s="17">
        <f>IFERROR(IFS('Loan Tape (BoE)'!U103=1,"Employed",'Loan Tape (BoE)'!U103=2,"Self-Employed",'Loan Tape (BoE)'!U103=3,"Unemployed",'Loan Tape (BoE)'!U103=4,"Retired"),"")</f>
        <v/>
      </c>
      <c r="W102" s="17">
        <f>IFERROR(IFS('Loan Tape (BoE)'!V103=1,"Employed",'Loan Tape (BoE)'!V103=2,"Self-Employed",'Loan Tape (BoE)'!V103=3,"Unemployed",'Loan Tape (BoE)'!V103=4,"Retired"),"")</f>
        <v/>
      </c>
      <c r="X102" s="17">
        <f>IF(OR(V102="Self-Employed",W102="Self-Employed"),"Yes","No")</f>
        <v/>
      </c>
      <c r="Y102" s="17">
        <f>'Loan Tape (BoE)'!W103</f>
        <v/>
      </c>
      <c r="Z102" s="17">
        <f>'Loan Tape (BoE)'!X103</f>
        <v/>
      </c>
      <c r="AA102" s="17">
        <f>IF(T102=1,Y102,MIN(Y102,Z102))</f>
        <v/>
      </c>
      <c r="AB102" s="17">
        <f>'Loan Tape (BoE)'!Y103</f>
        <v/>
      </c>
      <c r="AC102" s="17">
        <f>'Loan Tape (BoE)'!Z103</f>
        <v/>
      </c>
      <c r="AD102" s="17">
        <f>AB102+AC102</f>
        <v/>
      </c>
      <c r="AE102" s="18">
        <f>'Loan Tape (BoE)'!AA103</f>
        <v/>
      </c>
      <c r="AF102" s="18">
        <f>'Loan Tape (BoE)'!AB103</f>
        <v/>
      </c>
      <c r="AG102" s="18">
        <f>AE102+AF102</f>
        <v/>
      </c>
      <c r="AH102" s="19">
        <f>MAX('Loan Tape (BoE)'!AC103,'Loan Tape (BoE)'!AD103)</f>
        <v/>
      </c>
      <c r="AI102" s="18">
        <f>'Loan Tape (BoE)'!AE103</f>
        <v/>
      </c>
      <c r="AJ102" s="18">
        <f>B102*H102/12</f>
        <v/>
      </c>
      <c r="AK102" s="21">
        <f>IF(AJ102&gt;0,AI102/AJ102,0)</f>
        <v/>
      </c>
      <c r="AL102" s="17">
        <f>IF('Loan Tape (BoE)'!AF103=1,"Yes","No")</f>
        <v/>
      </c>
      <c r="AM102" s="17">
        <f>IF('Loan Tape (BoE)'!AH103=1,"Yes","No")</f>
        <v/>
      </c>
      <c r="AN102" s="17">
        <f>IF('Loan Tape (BoE)'!AI103=1,"Yes","No")</f>
        <v/>
      </c>
      <c r="AO102" s="17">
        <f>IF('Loan Tape (BoE)'!AJ103=1,"Yes","No")</f>
        <v/>
      </c>
      <c r="AP102" s="17">
        <f>IF(OR('Loan Tape (BoE)'!AQ102=1,'Loan Tape (BoE)'!AQ102=2),"Yes",IF('Loan Tape (BoE)'!AQ102=0,"No",""))</f>
        <v/>
      </c>
      <c r="AQ102" s="17">
        <f>IF('Loan Tape (BoE)'!BV49_102&lt;&gt;"",'Loan Tape (BoE)'!BV49_102,"")</f>
        <v/>
      </c>
      <c r="AR102" s="17">
        <f>IF('Loan Tape (BoE)'!BV1020_102&lt;&gt;"",'Loan Tape (BoE)'!BV50_102,"")</f>
        <v/>
      </c>
      <c r="AS102" s="17">
        <f>IFERROR(INDEX('FF Adj Parameters'!$A$103:$B$10102,MATCH('Loan Tape (BoE)'!P102,INDEX('FF Adj Parameters'!$A$103:$B$10102,,1),0),2),"Unknown")</f>
        <v/>
      </c>
      <c r="AT102" s="17">
        <f>IF(N102="Interest Only",M5*O5/12,IF(AND(O5&gt;0,ISNUMBER(O5),ISNUMBER(M5)),ABS(PMT(O5/12,AU5,-M5)),0))</f>
        <v/>
      </c>
      <c r="AU102" s="17">
        <f>IF(ISNUMBER(L102),MAX(0,(L5-'Control Panel'!$B$10)*12/365.25),0)</f>
        <v/>
      </c>
      <c r="AV102" s="17">
        <f>IF(ISNUMBER(L102),IF(L5&gt;'Control Panel'!$B$10,"Valid","Past Maturity"),"No Date")</f>
        <v/>
      </c>
      <c r="AW102" s="17">
        <f>IF(ISNUMBER(K102),MAX(0,('Control Panel'!$B$10-K5)*12/365.25),0)</f>
        <v/>
      </c>
    </row>
    <row r="103">
      <c r="A103" s="17">
        <f>'Loan Tape (BoE)'!A104</f>
        <v/>
      </c>
      <c r="B103" s="18">
        <f>IFERROR(INDEX('FF Adj Parameters'!$A$89:$B$92,MATCH('Loan Tape (BoE)'!C103,INDEX('FF Adj Parameters'!$A$89:$B$92,,1),0),2),"Unknown")</f>
        <v/>
      </c>
      <c r="C103" s="18">
        <f>'Loan Tape (BoE)'!C104</f>
        <v/>
      </c>
      <c r="D103" s="18">
        <f>'Loan Tape (BoE)'!D104</f>
        <v/>
      </c>
      <c r="E103" s="18">
        <f>'Loan Tape (BoE)'!E104</f>
        <v/>
      </c>
      <c r="F103" s="19">
        <f>'Loan Tape (BoE)'!F104</f>
        <v/>
      </c>
      <c r="G103" s="19">
        <f>'Loan Tape (BoE)'!G104</f>
        <v/>
      </c>
      <c r="H103" s="20">
        <f>'Loan Tape (BoE)'!H104/100</f>
        <v/>
      </c>
      <c r="I103" s="17">
        <f>IFERROR(IFS('Loan Tape (BoE)'!I104=1,"House",'Loan Tape (BoE)'!I104=2,"Flat",'Loan Tape (BoE)'!I104=3,"Bungalow",'Loan Tape (BoE)'!I104=4,"Maisonette"),"")</f>
        <v/>
      </c>
      <c r="J103" s="17">
        <f>'Loan Tape (BoE)'!J104</f>
        <v/>
      </c>
      <c r="K103" s="17">
        <f>'Loan Tape (BoE)'!K104</f>
        <v/>
      </c>
      <c r="L103" s="17">
        <f>IFERROR(IFS('Loan Tape (BoE)'!L104=1,"Owner Occupied",'Loan Tape (BoE)'!L104=2,"BTL",'Loan Tape (BoE)'!L104=3,"Second Home",'Loan Tape (BoE)'!L104=4,"Investment"),"")</f>
        <v/>
      </c>
      <c r="M103" s="17">
        <f>IFERROR(IFS('Loan Tape (BoE)'!M104=1,"Purchase",'Loan Tape (BoE)'!M104=2,"Remortgage",OR('Loan Tape (BoE)'!M104=3,'Loan Tape (BoE)'!M104=4),"Cash-out"),"")</f>
        <v/>
      </c>
      <c r="N103" s="17">
        <f>IFERROR(INDEX('FF Adj Parameters'!$A$96:$B$99,MATCH('Loan Tape (BoE)'!R103,INDEX('FF Adj Parameters'!$A$96:$B$99,,1),0),2),"Unknown")</f>
        <v/>
      </c>
      <c r="O103" s="17">
        <f>IF('Loan Tape (BoE)'!O104=1,"Yes","No")</f>
        <v/>
      </c>
      <c r="P103" s="17">
        <f>IF('Loan Tape (BoE)'!P103=1,"Yes",IF('Loan Tape (BoE)'!P103=0,"No",""))</f>
        <v/>
      </c>
      <c r="Q103" s="17">
        <f>IF('Loan Tape (BoE)'!Q103=1,"Yes",IF('Loan Tape (BoE)'!Q103=0,"No",""))</f>
        <v/>
      </c>
      <c r="R103" s="18">
        <f>IF('Loan Tape (BoE)'!R103=1,"Yes",IF('Loan Tape (BoE)'!R103=0,"No",""))</f>
        <v/>
      </c>
      <c r="S103" s="18">
        <f>IF('Loan Tape (BoE)'!S103=1,"Yes",IF('Loan Tape (BoE)'!S103=0,"No",""))</f>
        <v/>
      </c>
      <c r="T103" s="17">
        <f>IF('Loan Tape (BoE)'!T103=1,"Yes",IF('Loan Tape (BoE)'!T103=0,"No",""))</f>
        <v/>
      </c>
      <c r="U103" s="18">
        <f>R103+S103</f>
        <v/>
      </c>
      <c r="V103" s="17">
        <f>IFERROR(IFS('Loan Tape (BoE)'!U104=1,"Employed",'Loan Tape (BoE)'!U104=2,"Self-Employed",'Loan Tape (BoE)'!U104=3,"Unemployed",'Loan Tape (BoE)'!U104=4,"Retired"),"")</f>
        <v/>
      </c>
      <c r="W103" s="17">
        <f>IFERROR(IFS('Loan Tape (BoE)'!V104=1,"Employed",'Loan Tape (BoE)'!V104=2,"Self-Employed",'Loan Tape (BoE)'!V104=3,"Unemployed",'Loan Tape (BoE)'!V104=4,"Retired"),"")</f>
        <v/>
      </c>
      <c r="X103" s="17">
        <f>IF(OR(V103="Self-Employed",W103="Self-Employed"),"Yes","No")</f>
        <v/>
      </c>
      <c r="Y103" s="17">
        <f>'Loan Tape (BoE)'!W104</f>
        <v/>
      </c>
      <c r="Z103" s="17">
        <f>'Loan Tape (BoE)'!X104</f>
        <v/>
      </c>
      <c r="AA103" s="17">
        <f>IF(T103=1,Y103,MIN(Y103,Z103))</f>
        <v/>
      </c>
      <c r="AB103" s="17">
        <f>'Loan Tape (BoE)'!Y104</f>
        <v/>
      </c>
      <c r="AC103" s="17">
        <f>'Loan Tape (BoE)'!Z104</f>
        <v/>
      </c>
      <c r="AD103" s="17">
        <f>AB103+AC103</f>
        <v/>
      </c>
      <c r="AE103" s="18">
        <f>'Loan Tape (BoE)'!AA104</f>
        <v/>
      </c>
      <c r="AF103" s="18">
        <f>'Loan Tape (BoE)'!AB104</f>
        <v/>
      </c>
      <c r="AG103" s="18">
        <f>AE103+AF103</f>
        <v/>
      </c>
      <c r="AH103" s="19">
        <f>MAX('Loan Tape (BoE)'!AC104,'Loan Tape (BoE)'!AD104)</f>
        <v/>
      </c>
      <c r="AI103" s="18">
        <f>'Loan Tape (BoE)'!AE104</f>
        <v/>
      </c>
      <c r="AJ103" s="18">
        <f>B103*H103/12</f>
        <v/>
      </c>
      <c r="AK103" s="21">
        <f>IF(AJ103&gt;0,AI103/AJ103,0)</f>
        <v/>
      </c>
      <c r="AL103" s="17">
        <f>IF('Loan Tape (BoE)'!AF104=1,"Yes","No")</f>
        <v/>
      </c>
      <c r="AM103" s="17">
        <f>IF('Loan Tape (BoE)'!AH104=1,"Yes","No")</f>
        <v/>
      </c>
      <c r="AN103" s="17">
        <f>IF('Loan Tape (BoE)'!AI104=1,"Yes","No")</f>
        <v/>
      </c>
      <c r="AO103" s="17">
        <f>IF('Loan Tape (BoE)'!AJ104=1,"Yes","No")</f>
        <v/>
      </c>
      <c r="AP103" s="17">
        <f>IF(OR('Loan Tape (BoE)'!AQ103=1,'Loan Tape (BoE)'!AQ103=2),"Yes",IF('Loan Tape (BoE)'!AQ103=0,"No",""))</f>
        <v/>
      </c>
      <c r="AQ103" s="17">
        <f>IF('Loan Tape (BoE)'!BV49_103&lt;&gt;"",'Loan Tape (BoE)'!BV49_103,"")</f>
        <v/>
      </c>
      <c r="AR103" s="17">
        <f>IF('Loan Tape (BoE)'!BV1030_103&lt;&gt;"",'Loan Tape (BoE)'!BV50_103,"")</f>
        <v/>
      </c>
      <c r="AS103" s="17">
        <f>IFERROR(INDEX('FF Adj Parameters'!$A$103:$B$10103,MATCH('Loan Tape (BoE)'!P103,INDEX('FF Adj Parameters'!$A$103:$B$10103,,1),0),2),"Unknown")</f>
        <v/>
      </c>
      <c r="AT103" s="17">
        <f>IF(N103="Interest Only",M5*O5/12,IF(AND(O5&gt;0,ISNUMBER(O5),ISNUMBER(M5)),ABS(PMT(O5/12,AU5,-M5)),0))</f>
        <v/>
      </c>
      <c r="AU103" s="17">
        <f>IF(ISNUMBER(L103),MAX(0,(L5-'Control Panel'!$B$10)*12/365.25),0)</f>
        <v/>
      </c>
      <c r="AV103" s="17">
        <f>IF(ISNUMBER(L103),IF(L5&gt;'Control Panel'!$B$10,"Valid","Past Maturity"),"No Date")</f>
        <v/>
      </c>
      <c r="AW103" s="17">
        <f>IF(ISNUMBER(K103),MAX(0,('Control Panel'!$B$10-K5)*12/365.25),0)</f>
        <v/>
      </c>
    </row>
    <row r="104">
      <c r="A104" s="17">
        <f>'Loan Tape (BoE)'!A105</f>
        <v/>
      </c>
      <c r="B104" s="18">
        <f>IFERROR(INDEX('FF Adj Parameters'!$A$89:$B$92,MATCH('Loan Tape (BoE)'!C104,INDEX('FF Adj Parameters'!$A$89:$B$92,,1),0),2),"Unknown")</f>
        <v/>
      </c>
      <c r="C104" s="18">
        <f>'Loan Tape (BoE)'!C105</f>
        <v/>
      </c>
      <c r="D104" s="18">
        <f>'Loan Tape (BoE)'!D105</f>
        <v/>
      </c>
      <c r="E104" s="18">
        <f>'Loan Tape (BoE)'!E105</f>
        <v/>
      </c>
      <c r="F104" s="19">
        <f>'Loan Tape (BoE)'!F105</f>
        <v/>
      </c>
      <c r="G104" s="19">
        <f>'Loan Tape (BoE)'!G105</f>
        <v/>
      </c>
      <c r="H104" s="20">
        <f>'Loan Tape (BoE)'!H105/100</f>
        <v/>
      </c>
      <c r="I104" s="17">
        <f>IFERROR(IFS('Loan Tape (BoE)'!I105=1,"House",'Loan Tape (BoE)'!I105=2,"Flat",'Loan Tape (BoE)'!I105=3,"Bungalow",'Loan Tape (BoE)'!I105=4,"Maisonette"),"")</f>
        <v/>
      </c>
      <c r="J104" s="17">
        <f>'Loan Tape (BoE)'!J105</f>
        <v/>
      </c>
      <c r="K104" s="17">
        <f>'Loan Tape (BoE)'!K105</f>
        <v/>
      </c>
      <c r="L104" s="17">
        <f>IFERROR(IFS('Loan Tape (BoE)'!L105=1,"Owner Occupied",'Loan Tape (BoE)'!L105=2,"BTL",'Loan Tape (BoE)'!L105=3,"Second Home",'Loan Tape (BoE)'!L105=4,"Investment"),"")</f>
        <v/>
      </c>
      <c r="M104" s="17">
        <f>IFERROR(IFS('Loan Tape (BoE)'!M105=1,"Purchase",'Loan Tape (BoE)'!M105=2,"Remortgage",OR('Loan Tape (BoE)'!M105=3,'Loan Tape (BoE)'!M105=4),"Cash-out"),"")</f>
        <v/>
      </c>
      <c r="N104" s="17">
        <f>IFERROR(INDEX('FF Adj Parameters'!$A$96:$B$99,MATCH('Loan Tape (BoE)'!R104,INDEX('FF Adj Parameters'!$A$96:$B$99,,1),0),2),"Unknown")</f>
        <v/>
      </c>
      <c r="O104" s="17">
        <f>IF('Loan Tape (BoE)'!O105=1,"Yes","No")</f>
        <v/>
      </c>
      <c r="P104" s="17">
        <f>IF('Loan Tape (BoE)'!P104=1,"Yes",IF('Loan Tape (BoE)'!P104=0,"No",""))</f>
        <v/>
      </c>
      <c r="Q104" s="17">
        <f>IF('Loan Tape (BoE)'!Q104=1,"Yes",IF('Loan Tape (BoE)'!Q104=0,"No",""))</f>
        <v/>
      </c>
      <c r="R104" s="18">
        <f>IF('Loan Tape (BoE)'!R104=1,"Yes",IF('Loan Tape (BoE)'!R104=0,"No",""))</f>
        <v/>
      </c>
      <c r="S104" s="18">
        <f>IF('Loan Tape (BoE)'!S104=1,"Yes",IF('Loan Tape (BoE)'!S104=0,"No",""))</f>
        <v/>
      </c>
      <c r="T104" s="17">
        <f>IF('Loan Tape (BoE)'!T104=1,"Yes",IF('Loan Tape (BoE)'!T104=0,"No",""))</f>
        <v/>
      </c>
      <c r="U104" s="18">
        <f>R104+S104</f>
        <v/>
      </c>
      <c r="V104" s="17">
        <f>IFERROR(IFS('Loan Tape (BoE)'!U105=1,"Employed",'Loan Tape (BoE)'!U105=2,"Self-Employed",'Loan Tape (BoE)'!U105=3,"Unemployed",'Loan Tape (BoE)'!U105=4,"Retired"),"")</f>
        <v/>
      </c>
      <c r="W104" s="17">
        <f>IFERROR(IFS('Loan Tape (BoE)'!V105=1,"Employed",'Loan Tape (BoE)'!V105=2,"Self-Employed",'Loan Tape (BoE)'!V105=3,"Unemployed",'Loan Tape (BoE)'!V105=4,"Retired"),"")</f>
        <v/>
      </c>
      <c r="X104" s="17">
        <f>IF(OR(V104="Self-Employed",W104="Self-Employed"),"Yes","No")</f>
        <v/>
      </c>
      <c r="Y104" s="17">
        <f>'Loan Tape (BoE)'!W105</f>
        <v/>
      </c>
      <c r="Z104" s="17">
        <f>'Loan Tape (BoE)'!X105</f>
        <v/>
      </c>
      <c r="AA104" s="17">
        <f>IF(T104=1,Y104,MIN(Y104,Z104))</f>
        <v/>
      </c>
      <c r="AB104" s="17">
        <f>'Loan Tape (BoE)'!Y105</f>
        <v/>
      </c>
      <c r="AC104" s="17">
        <f>'Loan Tape (BoE)'!Z105</f>
        <v/>
      </c>
      <c r="AD104" s="17">
        <f>AB104+AC104</f>
        <v/>
      </c>
      <c r="AE104" s="18">
        <f>'Loan Tape (BoE)'!AA105</f>
        <v/>
      </c>
      <c r="AF104" s="18">
        <f>'Loan Tape (BoE)'!AB105</f>
        <v/>
      </c>
      <c r="AG104" s="18">
        <f>AE104+AF104</f>
        <v/>
      </c>
      <c r="AH104" s="19">
        <f>MAX('Loan Tape (BoE)'!AC105,'Loan Tape (BoE)'!AD105)</f>
        <v/>
      </c>
      <c r="AI104" s="18">
        <f>'Loan Tape (BoE)'!AE105</f>
        <v/>
      </c>
      <c r="AJ104" s="18">
        <f>B104*H104/12</f>
        <v/>
      </c>
      <c r="AK104" s="21">
        <f>IF(AJ104&gt;0,AI104/AJ104,0)</f>
        <v/>
      </c>
      <c r="AL104" s="17">
        <f>IF('Loan Tape (BoE)'!AF105=1,"Yes","No")</f>
        <v/>
      </c>
      <c r="AM104" s="17">
        <f>IF('Loan Tape (BoE)'!AH105=1,"Yes","No")</f>
        <v/>
      </c>
      <c r="AN104" s="17">
        <f>IF('Loan Tape (BoE)'!AI105=1,"Yes","No")</f>
        <v/>
      </c>
      <c r="AO104" s="17">
        <f>IF('Loan Tape (BoE)'!AJ105=1,"Yes","No")</f>
        <v/>
      </c>
      <c r="AP104" s="17">
        <f>IF(OR('Loan Tape (BoE)'!AQ104=1,'Loan Tape (BoE)'!AQ104=2),"Yes",IF('Loan Tape (BoE)'!AQ104=0,"No",""))</f>
        <v/>
      </c>
      <c r="AQ104" s="17">
        <f>IF('Loan Tape (BoE)'!BV49_104&lt;&gt;"",'Loan Tape (BoE)'!BV49_104,"")</f>
        <v/>
      </c>
      <c r="AR104" s="17">
        <f>IF('Loan Tape (BoE)'!BV1040_104&lt;&gt;"",'Loan Tape (BoE)'!BV50_104,"")</f>
        <v/>
      </c>
      <c r="AS104" s="17">
        <f>IFERROR(INDEX('FF Adj Parameters'!$A$103:$B$10104,MATCH('Loan Tape (BoE)'!P104,INDEX('FF Adj Parameters'!$A$103:$B$10104,,1),0),2),"Unknown")</f>
        <v/>
      </c>
      <c r="AT104" s="17">
        <f>IF(N104="Interest Only",M5*O5/12,IF(AND(O5&gt;0,ISNUMBER(O5),ISNUMBER(M5)),ABS(PMT(O5/12,AU5,-M5)),0))</f>
        <v/>
      </c>
      <c r="AU104" s="17">
        <f>IF(ISNUMBER(L104),MAX(0,(L5-'Control Panel'!$B$10)*12/365.25),0)</f>
        <v/>
      </c>
      <c r="AV104" s="17">
        <f>IF(ISNUMBER(L104),IF(L5&gt;'Control Panel'!$B$10,"Valid","Past Maturity"),"No Date")</f>
        <v/>
      </c>
      <c r="AW104" s="17">
        <f>IF(ISNUMBER(K104),MAX(0,('Control Panel'!$B$10-K5)*12/365.25),0)</f>
        <v/>
      </c>
    </row>
  </sheetData>
  <mergeCells count="2">
    <mergeCell ref="A2:AO2"/>
    <mergeCell ref="A1:AO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Z100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FORECLOSURE FREQUENCY CALCULATIONS - FULL S&amp;P METHODOLOGY</t>
        </is>
      </c>
    </row>
    <row r="2">
      <c r="A2" s="11" t="inlineStr">
        <is>
          <t>Complete adjustment sequence with all S&amp;P exclusion rules applied</t>
        </is>
      </c>
    </row>
    <row r="4">
      <c r="A4" s="13" t="inlineStr">
        <is>
          <t>Loan ID</t>
        </is>
      </c>
      <c r="B4" s="13" t="inlineStr">
        <is>
          <t>Balance</t>
        </is>
      </c>
      <c r="C4" s="13" t="inlineStr">
        <is>
          <t>OLTV %</t>
        </is>
      </c>
      <c r="D4" s="13" t="inlineStr">
        <is>
          <t>CLTV %</t>
        </is>
      </c>
      <c r="E4" s="13" t="inlineStr">
        <is>
          <t>S&amp;P LTV %</t>
        </is>
      </c>
      <c r="F4" s="13" t="inlineStr">
        <is>
          <t>LTV Mult</t>
        </is>
      </c>
      <c r="G4" s="13" t="inlineStr">
        <is>
          <t>Orig Adj</t>
        </is>
      </c>
      <c r="H4" s="13" t="inlineStr">
        <is>
          <t>Income Mult Adj</t>
        </is>
      </c>
      <c r="I4" s="13" t="inlineStr">
        <is>
          <t>BTL/DSCR Adj</t>
        </is>
      </c>
      <c r="J4" s="13" t="inlineStr">
        <is>
          <t>Lien Adj</t>
        </is>
      </c>
      <c r="K4" s="13" t="inlineStr">
        <is>
          <t>Purpose Adj</t>
        </is>
      </c>
      <c r="L4" s="13" t="inlineStr">
        <is>
          <t>Arrears Adj</t>
        </is>
      </c>
      <c r="M4" s="13" t="inlineStr">
        <is>
          <t>Seasoning Adj</t>
        </is>
      </c>
      <c r="N4" s="13" t="inlineStr">
        <is>
          <t>FTB Adj</t>
        </is>
      </c>
      <c r="O4" s="13" t="inlineStr">
        <is>
          <t>HTB Adj</t>
        </is>
      </c>
      <c r="P4" s="13" t="inlineStr">
        <is>
          <t>Shared Own Adj</t>
        </is>
      </c>
      <c r="Q4" s="13" t="inlineStr">
        <is>
          <t>RTB Adj</t>
        </is>
      </c>
      <c r="R4" s="13" t="inlineStr">
        <is>
          <t>Self-Cert Adj</t>
        </is>
      </c>
      <c r="S4" s="13" t="inlineStr">
        <is>
          <t>Payment Shock Adj</t>
        </is>
      </c>
      <c r="T4" s="13" t="inlineStr">
        <is>
          <t>IO Adj</t>
        </is>
      </c>
      <c r="U4" s="13" t="inlineStr">
        <is>
          <t>Self-Emp Adj</t>
        </is>
      </c>
      <c r="V4" s="13" t="inlineStr">
        <is>
          <t>Commercial Adj</t>
        </is>
      </c>
      <c r="W4" s="13" t="inlineStr">
        <is>
          <t>CCJ Adj</t>
        </is>
      </c>
      <c r="X4" s="13" t="inlineStr">
        <is>
          <t>Bankruptcy Adj</t>
        </is>
      </c>
      <c r="Y4" s="13" t="inlineStr">
        <is>
          <t>Reperform Adj</t>
        </is>
      </c>
      <c r="Z4" s="13" t="inlineStr">
        <is>
          <t>Adjusted FF %</t>
        </is>
      </c>
    </row>
    <row r="5">
      <c r="A5" s="17">
        <f>'Loan Tape (S&amp;P)'!A5</f>
        <v/>
      </c>
      <c r="B5" s="18">
        <f>'Loan Tape (S&amp;P)'!B5</f>
        <v/>
      </c>
      <c r="C5" s="20">
        <f>IFERROR('Loan Tape (S&amp;P)'!C5/'Loan Tape (S&amp;P)'!E5,0)</f>
        <v/>
      </c>
      <c r="D5" s="20">
        <f>IFERROR(
        'Loan Tape (S&amp;P)'!B5/
        ('Loan Tape (S&amp;P)'!D5*
        (1-IF('Loan Tape (S&amp;P)'!AT5&lt;&gt;"Full",
            VLOOKUP('Control Panel'!$B$6,'Jurisdiction Parameters'!$A:$D,4,FALSE),
        0))),
    0)</f>
        <v/>
      </c>
      <c r="E5" s="20">
        <f>('Control Panel'!$B$12*C5)+('Control Panel'!$B$13*D5)</f>
        <v/>
      </c>
      <c r="F5" s="22">
        <f>IFERROR(
        LET(
            juris,'Control Panel'!$B$6,
            ltv_val,E5,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" s="21">
        <f>'Control Panel'!$B$14</f>
        <v/>
      </c>
      <c r="H5" s="21">
        <f>LET(
    income_mult,'Loan Tape (S&amp;P)'!Z5,
    IF(income_mult=0,1.00,
        IFERROR(
            INDEX('FF Adj Parameters'!$A$15:$B$17,
                MATCH(income_mult,INDEX('FF Adj Parameters'!$A$15:$B$17,,1),1),2),
            1.50))
)</f>
        <v/>
      </c>
      <c r="I5" s="21">
        <f>IF('Loan Tape (S&amp;P)'!N5&lt;&gt;"Buy to Let",1.00,
    LET(
        dscr,'Loan Tape (S&amp;P)'!AA5,
        IF(dscr=0,INDEX('FF Adj Parameters'!$A$21:$B$25,1,2),
            IFERROR(
                INDEX('FF Adj Parameters'!$A$21:$B$25,
                    MATCH(dscr,INDEX('FF Adj Parameters'!$A$21:$B$25,,1),1),2),
                'FF Adj Parameters'!$B$21)))
)</f>
        <v/>
      </c>
      <c r="J5" s="21">
        <f>LET(
    lien,'Loan Tape (S&amp;P)'!Q5,
    IF(lien="First",1.00,
        IF(lien="Second",1.50,
            1.70)))</f>
        <v/>
      </c>
      <c r="K5" s="21">
        <f>LET(
    purpose,'Loan Tape (S&amp;P)'!R5,
    IF(purpose="Purchase",1.00,
        IF(purpose="Remortgage",1.00,
            1.20)))</f>
        <v/>
      </c>
      <c r="L5" s="21">
        <f>LET(
    arrears_months,'Loan Tape (S&amp;P)'!AN5,
    IF(arrears_months=0,1.00,
    IF(arrears_months=1,3.00,
    IF(arrears_months=2,5.00,
    IF(arrears_months=3,8.00,
    IF(arrears_months=4,10.00,
    IF(arrears_months=5,12.00,15.00)))))))</f>
        <v/>
      </c>
      <c r="M5" s="21">
        <f>LET(
    seasoning_years,DATEDIF('Loan Tape (S&amp;P)'!K5,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" s="21">
        <f>IF(AND('Loan Tape (S&amp;P)'!U5="Yes",
        'Loan Tape (S&amp;P)'!T5&lt;&gt;"Yes",
        DATEDIF('Loan Tape (S&amp;P)'!K5, TODAY(), "M")&lt;18),
    1.10,
    1.00)</f>
        <v/>
      </c>
      <c r="O5" s="21">
        <f>IF('Loan Tape (S&amp;P)'!T5="Yes",
    1.35,
    1.00)</f>
        <v/>
      </c>
      <c r="P5" s="21">
        <f>IF('Loan Tape (S&amp;P)'!S5="Yes",
    1.15,
    1.00)</f>
        <v/>
      </c>
      <c r="Q5" s="21">
        <f>IF('Loan Tape (S&amp;P)'!V5="Yes",
    1.20,
    1.00)</f>
        <v/>
      </c>
      <c r="R5" s="21">
        <f>IF('Loan Tape (S&amp;P)'!T5="Yes",
    'FF Adj Parameters'!$B$40,
    1.00)</f>
        <v/>
      </c>
      <c r="S5" s="21">
        <f>LET(
    is_htb,'Loan Tape (S&amp;P)'!Q5="Yes",
    rate_type,'Loan Tape (S&amp;P)'!AS5,
    months_to_mat,'Loan Tape (S&amp;P)'!AU5,
    threshold,'FF Adj Parameters'!$B$125,
    has_shock,AND(rate_type="Fixed",months_to_mat&lt;=threshold),
    IF(is_htb,1.00,IF(has_shock,'FF Adj Parameters'!$B$41,1.00))
)</f>
        <v/>
      </c>
      <c r="T5" s="21">
        <f>LET(
    payment_method,'Loan Tape (S&amp;P)'!P5,
    occupancy,'Loan Tape (S&amp;P)'!N5,
    maturity_date,'Loan Tape (S&amp;P)'!L5,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5" s="21">
        <f>IF(AND('Loan Tape (S&amp;P)'!V5="Yes",'Loan Tape (S&amp;P)'!N5&lt;&gt;"Buy to Let"),
    'FF Adj Parameters'!$B$42,
    1.00)</f>
        <v/>
      </c>
      <c r="V5" s="21">
        <f>IF('Loan Tape (S&amp;P)'!AV5="Yes",
    'FF Adj Parameters'!$B$43,
    1.00)</f>
        <v/>
      </c>
      <c r="W5" s="23">
        <f>IF('Loan Tape (S&amp;P)'!AC5&gt;0,
    'FF Adj Parameters'!$B$44,
    1.00)</f>
        <v/>
      </c>
      <c r="X5" s="21">
        <f>LET(
    has_bankruptcy,'Loan Tape (S&amp;P)'!AE5="Yes",
    has_iva,'Loan Tape (S&amp;P)'!AF5="Yes",
    has_repo,'Loan Tape (S&amp;P)'!AI5="Yes",
    mult,IF(has_repo,'FF Adj Parameters'!$B$47,
            IF(has_bankruptcy,'FF Adj Parameters'!$B$45,
                IF(has_iva,'FF Adj Parameters'!$B$46,
                    1.00))),
    MAX(mult,0.50)
)</f>
        <v/>
      </c>
      <c r="Y5" s="21">
        <f>LET(
    has_perf_arr,'Loan Tape (S&amp;P)'!AP5="Yes",
    perf_arr_date,'Loan Tape (S&amp;P)'!AQ5,
    last_90_date,'Loan Tape (S&amp;P)'!AR5,
    threshold_years,VLOOKUP('Control Panel'!$B$6,'Jurisdiction Parameters'!$A:$Q,17,FALSE),
    relevant_date,MAX(perf_arr_date,last_90_date),
    years_since,('Control Panel'!$B$10-relevant_date)/365.25,
    IF(NOT(has_perf_arr),1.00,
        IF(years_since&gt;threshold_years,1.00,
            IF(years_since&lt;=1,INDEX('FF Adj Parameters'!$C$47:$C$50,1),
                IF(years_since&lt;=2,INDEX('FF Adj Parameters'!$C$47:$C$50,2),
                    IF(years_since&lt;=3,INDEX('FF Adj Parameters'!$C$47:$C$50,3),
                        INDEX('FF Adj Parameters'!$C$47:$C$50,4))))))
)</f>
        <v/>
      </c>
      <c r="Z5" s="24">
        <f>IFERROR(
        IF(L5&gt;=100,1.00,
            'Control Panel'!$B$18*F5*G5*MAX(H5,R5)*I5*J5*K5*L5*M5*N5*O5*P5*Q5*S5*T5*U5*V5*W5*X5*Y5
        ),
    0)</f>
        <v/>
      </c>
    </row>
    <row r="6">
      <c r="A6" s="17">
        <f>'Loan Tape (S&amp;P)'!A6</f>
        <v/>
      </c>
      <c r="B6" s="18">
        <f>'Loan Tape (S&amp;P)'!B6</f>
        <v/>
      </c>
      <c r="C6" s="20">
        <f>IFERROR('Loan Tape (S&amp;P)'!C6/'Loan Tape (S&amp;P)'!E6,0)</f>
        <v/>
      </c>
      <c r="D6" s="20">
        <f>IFERROR(
        'Loan Tape (S&amp;P)'!B6/
        ('Loan Tape (S&amp;P)'!D6*
        (1-IF('Loan Tape (S&amp;P)'!AT6&lt;&gt;"Full",
            VLOOKUP('Control Panel'!$B$6,'Jurisdiction Parameters'!$A:$D,4,FALSE),
        0))),
    0)</f>
        <v/>
      </c>
      <c r="E6" s="20">
        <f>('Control Panel'!$B$12*C6)+('Control Panel'!$B$13*D6)</f>
        <v/>
      </c>
      <c r="F6" s="22">
        <f>IFERROR(
        LET(
            juris,'Control Panel'!$B$6,
            ltv_val,E6,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" s="21">
        <f>'Control Panel'!$B$14</f>
        <v/>
      </c>
      <c r="H6" s="21">
        <f>LET(
    income_mult,'Loan Tape (S&amp;P)'!Z6,
    IF(income_mult=0,1.00,
        IFERROR(
            INDEX('FF Adj Parameters'!$A$16:$B$17,
                MATCH(income_mult,INDEX('FF Adj Parameters'!$A$16:$B$17,,1),1),2),
            1.60))
)</f>
        <v/>
      </c>
      <c r="I6" s="21">
        <f>IF('Loan Tape (S&amp;P)'!N6&lt;&gt;"Buy to Let",1.00,
    LET(
        dscr,'Loan Tape (S&amp;P)'!AA6,
        IF(dscr=0,INDEX('FF Adj Parameters'!$A$21:$B$26,1,2),
            IFERROR(
                INDEX('FF Adj Parameters'!$A$21:$B$26,
                    MATCH(dscr,INDEX('FF Adj Parameters'!$A$21:$B$26,,1),1),2),
                'FF Adj Parameters'!$B$21)))
)</f>
        <v/>
      </c>
      <c r="J6" s="21">
        <f>LET(
    lien,'Loan Tape (S&amp;P)'!Q6,
    IF(lien="First",1.00,
        IF(lien="Second",1.50,
            1.70)))</f>
        <v/>
      </c>
      <c r="K6" s="21">
        <f>LET(
    purpose,'Loan Tape (S&amp;P)'!R6,
    IF(purpose="Purchase",1.00,
        IF(purpose="Remortgage",1.00,
            1.20)))</f>
        <v/>
      </c>
      <c r="L6" s="21">
        <f>LET(
    arrears_months,'Loan Tape (S&amp;P)'!AN6,
    IF(arrears_months=0,1.00,
    IF(arrears_months=1,3.00,
    IF(arrears_months=2,5.00,
    IF(arrears_months=3,8.00,
    IF(arrears_months=4,10.00,
    IF(arrears_months=5,12.00,15.00)))))))</f>
        <v/>
      </c>
      <c r="M6" s="21">
        <f>LET(
    seasoning_years,DATEDIF('Loan Tape (S&amp;P)'!K6,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" s="21">
        <f>IF(AND('Loan Tape (S&amp;P)'!U6="Yes",
        'Loan Tape (S&amp;P)'!T6&lt;&gt;"Yes",
        DATEDIF('Loan Tape (S&amp;P)'!K6, TODAY(), "M")&lt;18),
    1.10,
    1.00)</f>
        <v/>
      </c>
      <c r="O6" s="21">
        <f>IF('Loan Tape (S&amp;P)'!T6="Yes",
    1.35,
    1.00)</f>
        <v/>
      </c>
      <c r="P6" s="21">
        <f>IF('Loan Tape (S&amp;P)'!S6="Yes",
    1.15,
    1.00)</f>
        <v/>
      </c>
      <c r="Q6" s="21">
        <f>IF('Loan Tape (S&amp;P)'!V6="Yes",
    1.20,
    1.00)</f>
        <v/>
      </c>
      <c r="R6" s="21">
        <f>IF('Loan Tape (S&amp;P)'!T6="Yes",
    'FF Adj Parameters'!$B$40,
    1.00)</f>
        <v/>
      </c>
      <c r="S6" s="21">
        <f>LET(
    is_htb,'Loan Tape (S&amp;P)'!Q6="Yes",
    rate_type,'Loan Tape (S&amp;P)'!AS6,
    months_to_mat,'Loan Tape (S&amp;P)'!AU6,
    threshold,'FF Adj Parameters'!$B$126,
    has_shock,AND(rate_type="Fixed",months_to_mat&lt;=threshold),
    IF(is_htb,1.00,IF(has_shock,'FF Adj Parameters'!$B$41,1.00))
)</f>
        <v/>
      </c>
      <c r="T6" s="21">
        <f>LET(
    payment_method,'Loan Tape (S&amp;P)'!P6,
    occupancy,'Loan Tape (S&amp;P)'!N6,
    maturity_date,'Loan Tape (S&amp;P)'!L6,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6" s="21">
        <f>IF(AND('Loan Tape (S&amp;P)'!V6="Yes",'Loan Tape (S&amp;P)'!N6&lt;&gt;"Buy to Let"),
    'FF Adj Parameters'!$B$42,
    1.00)</f>
        <v/>
      </c>
      <c r="V6" s="21">
        <f>IF('Loan Tape (S&amp;P)'!AV6="Yes",
    'FF Adj Parameters'!$B$43,
    1.00)</f>
        <v/>
      </c>
      <c r="W6" s="23">
        <f>IF('Loan Tape (S&amp;P)'!AC6&gt;0,
    'FF Adj Parameters'!$B$44,
    1.00)</f>
        <v/>
      </c>
      <c r="X6" s="21">
        <f>LET(
    has_bankruptcy,'Loan Tape (S&amp;P)'!AE6="Yes",
    has_iva,'Loan Tape (S&amp;P)'!AF6="Yes",
    has_repo,'Loan Tape (S&amp;P)'!AI6="Yes",
    mult,IF(has_repo,'FF Adj Parameters'!$B$47,
            IF(has_bankruptcy,'FF Adj Parameters'!$B$46,
                IF(has_iva,'FF Adj Parameters'!$B$46,
                    1.00))),
    MAX(mult,0.60)
)</f>
        <v/>
      </c>
      <c r="Y6" s="21">
        <f>LET(
    has_perf_arr,'Loan Tape (S&amp;P)'!AP6="Yes",
    perf_arr_date,'Loan Tape (S&amp;P)'!AQ6,
    last_90_date,'Loan Tape (S&amp;P)'!AR6,
    threshold_years,VLOOKUP('Control Panel'!$B$6,'Jurisdiction Parameters'!$A:$Q,17,FALSE),
    relevant_date,MAX(perf_arr_date,last_90_date),
    years_since,('Control Panel'!$B$10-relevant_date)/366.26,
    IF(NOT(has_perf_arr),1.00,
        IF(years_since&gt;threshold_years,1.00,
            IF(years_since&lt;=1,INDEX('FF Adj Parameters'!$C$47:$C$60,1),
                IF(years_since&lt;=2,INDEX('FF Adj Parameters'!$C$47:$C$60,2),
                    IF(years_since&lt;=3,INDEX('FF Adj Parameters'!$C$47:$C$60,3),
                        INDEX('FF Adj Parameters'!$C$47:$C$60,4))))))
)</f>
        <v/>
      </c>
      <c r="Z6" s="24">
        <f>IFERROR(
        IF(L6&gt;=100,1.00,
            'Control Panel'!$B$18*F6*G6*MAX(H6,R6)*I6*J6*K6*L6*M6*N6*O6*P6*Q6*S6*T6*U6*V6*W6*X6*Y6
        ),
    0)</f>
        <v/>
      </c>
    </row>
    <row r="7">
      <c r="A7" s="17">
        <f>'Loan Tape (S&amp;P)'!A7</f>
        <v/>
      </c>
      <c r="B7" s="18">
        <f>'Loan Tape (S&amp;P)'!B7</f>
        <v/>
      </c>
      <c r="C7" s="20">
        <f>IFERROR('Loan Tape (S&amp;P)'!C7/'Loan Tape (S&amp;P)'!E7,0)</f>
        <v/>
      </c>
      <c r="D7" s="20">
        <f>IFERROR(
        'Loan Tape (S&amp;P)'!B7/
        ('Loan Tape (S&amp;P)'!D7*
        (1-IF('Loan Tape (S&amp;P)'!AT7&lt;&gt;"Full",
            VLOOKUP('Control Panel'!$B$6,'Jurisdiction Parameters'!$A:$D,4,FALSE),
        0))),
    0)</f>
        <v/>
      </c>
      <c r="E7" s="20">
        <f>('Control Panel'!$B$12*C7)+('Control Panel'!$B$13*D7)</f>
        <v/>
      </c>
      <c r="F7" s="22">
        <f>IFERROR(
        LET(
            juris,'Control Panel'!$B$6,
            ltv_val,E7,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" s="21">
        <f>'Control Panel'!$B$14</f>
        <v/>
      </c>
      <c r="H7" s="21">
        <f>LET(
    income_mult,'Loan Tape (S&amp;P)'!Z7,
    IF(income_mult=0,1.00,
        IFERROR(
            INDEX('FF Adj Parameters'!$A$17:$B$17,
                MATCH(income_mult,INDEX('FF Adj Parameters'!$A$17:$B$17,,1),1),2),
            1.70))
)</f>
        <v/>
      </c>
      <c r="I7" s="21">
        <f>IF('Loan Tape (S&amp;P)'!N7&lt;&gt;"Buy to Let",1.00,
    LET(
        dscr,'Loan Tape (S&amp;P)'!AA7,
        IF(dscr=0,INDEX('FF Adj Parameters'!$A$21:$B$27,1,2),
            IFERROR(
                INDEX('FF Adj Parameters'!$A$21:$B$27,
                    MATCH(dscr,INDEX('FF Adj Parameters'!$A$21:$B$27,,1),1),2),
                'FF Adj Parameters'!$B$21)))
)</f>
        <v/>
      </c>
      <c r="J7" s="21">
        <f>LET(
    lien,'Loan Tape (S&amp;P)'!Q7,
    IF(lien="First",1.00,
        IF(lien="Second",1.50,
            1.70)))</f>
        <v/>
      </c>
      <c r="K7" s="21">
        <f>LET(
    purpose,'Loan Tape (S&amp;P)'!R7,
    IF(purpose="Purchase",1.00,
        IF(purpose="Remortgage",1.00,
            1.20)))</f>
        <v/>
      </c>
      <c r="L7" s="21">
        <f>LET(
    arrears_months,'Loan Tape (S&amp;P)'!AN7,
    IF(arrears_months=0,1.00,
    IF(arrears_months=1,3.00,
    IF(arrears_months=2,5.00,
    IF(arrears_months=3,8.00,
    IF(arrears_months=4,10.00,
    IF(arrears_months=5,12.00,15.00)))))))</f>
        <v/>
      </c>
      <c r="M7" s="21">
        <f>LET(
    seasoning_years,DATEDIF('Loan Tape (S&amp;P)'!K7,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" s="21">
        <f>IF(AND('Loan Tape (S&amp;P)'!U7="Yes",
        'Loan Tape (S&amp;P)'!T7&lt;&gt;"Yes",
        DATEDIF('Loan Tape (S&amp;P)'!K7, TODAY(), "M")&lt;18),
    1.10,
    1.00)</f>
        <v/>
      </c>
      <c r="O7" s="21">
        <f>IF('Loan Tape (S&amp;P)'!T7="Yes",
    1.35,
    1.00)</f>
        <v/>
      </c>
      <c r="P7" s="21">
        <f>IF('Loan Tape (S&amp;P)'!S7="Yes",
    1.15,
    1.00)</f>
        <v/>
      </c>
      <c r="Q7" s="21">
        <f>IF('Loan Tape (S&amp;P)'!V7="Yes",
    1.20,
    1.00)</f>
        <v/>
      </c>
      <c r="R7" s="21">
        <f>IF('Loan Tape (S&amp;P)'!T7="Yes",
    'FF Adj Parameters'!$B$40,
    1.00)</f>
        <v/>
      </c>
      <c r="S7" s="21">
        <f>LET(
    is_htb,'Loan Tape (S&amp;P)'!Q7="Yes",
    rate_type,'Loan Tape (S&amp;P)'!AS7,
    months_to_mat,'Loan Tape (S&amp;P)'!AU7,
    threshold,'FF Adj Parameters'!$B$127,
    has_shock,AND(rate_type="Fixed",months_to_mat&lt;=threshold),
    IF(is_htb,1.00,IF(has_shock,'FF Adj Parameters'!$B$41,1.00))
)</f>
        <v/>
      </c>
      <c r="T7" s="21">
        <f>LET(
    payment_method,'Loan Tape (S&amp;P)'!P7,
    occupancy,'Loan Tape (S&amp;P)'!N7,
    maturity_date,'Loan Tape (S&amp;P)'!L7,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7" s="21">
        <f>IF(AND('Loan Tape (S&amp;P)'!V7="Yes",'Loan Tape (S&amp;P)'!N7&lt;&gt;"Buy to Let"),
    'FF Adj Parameters'!$B$42,
    1.00)</f>
        <v/>
      </c>
      <c r="V7" s="21">
        <f>IF('Loan Tape (S&amp;P)'!AV7="Yes",
    'FF Adj Parameters'!$B$43,
    1.00)</f>
        <v/>
      </c>
      <c r="W7" s="23">
        <f>IF('Loan Tape (S&amp;P)'!AC7&gt;0,
    'FF Adj Parameters'!$B$44,
    1.00)</f>
        <v/>
      </c>
      <c r="X7" s="21">
        <f>LET(
    has_bankruptcy,'Loan Tape (S&amp;P)'!AE7="Yes",
    has_iva,'Loan Tape (S&amp;P)'!AF7="Yes",
    has_repo,'Loan Tape (S&amp;P)'!AI7="Yes",
    mult,IF(has_repo,'FF Adj Parameters'!$B$47,
            IF(has_bankruptcy,'FF Adj Parameters'!$B$47,
                IF(has_iva,'FF Adj Parameters'!$B$46,
                    1.00))),
    MAX(mult,0.70)
)</f>
        <v/>
      </c>
      <c r="Y7" s="21">
        <f>LET(
    has_perf_arr,'Loan Tape (S&amp;P)'!AP7="Yes",
    perf_arr_date,'Loan Tape (S&amp;P)'!AQ7,
    last_90_date,'Loan Tape (S&amp;P)'!AR7,
    threshold_years,VLOOKUP('Control Panel'!$B$6,'Jurisdiction Parameters'!$A:$Q,17,FALSE),
    relevant_date,MAX(perf_arr_date,last_90_date),
    years_since,('Control Panel'!$B$10-relevant_date)/367.27,
    IF(NOT(has_perf_arr),1.00,
        IF(years_since&gt;threshold_years,1.00,
            IF(years_since&lt;=1,INDEX('FF Adj Parameters'!$C$47:$C$70,1),
                IF(years_since&lt;=2,INDEX('FF Adj Parameters'!$C$47:$C$70,2),
                    IF(years_since&lt;=3,INDEX('FF Adj Parameters'!$C$47:$C$70,3),
                        INDEX('FF Adj Parameters'!$C$47:$C$70,4))))))
)</f>
        <v/>
      </c>
      <c r="Z7" s="24">
        <f>IFERROR(
        IF(L7&gt;=100,1.00,
            'Control Panel'!$B$18*F7*G7*MAX(H7,R7)*I7*J7*K7*L7*M7*N7*O7*P7*Q7*S7*T7*U7*V7*W7*X7*Y7
        ),
    0)</f>
        <v/>
      </c>
    </row>
    <row r="8">
      <c r="A8" s="17">
        <f>'Loan Tape (S&amp;P)'!A8</f>
        <v/>
      </c>
      <c r="B8" s="18">
        <f>'Loan Tape (S&amp;P)'!B8</f>
        <v/>
      </c>
      <c r="C8" s="20">
        <f>IFERROR('Loan Tape (S&amp;P)'!C8/'Loan Tape (S&amp;P)'!E8,0)</f>
        <v/>
      </c>
      <c r="D8" s="20">
        <f>IFERROR(
        'Loan Tape (S&amp;P)'!B8/
        ('Loan Tape (S&amp;P)'!D8*
        (1-IF('Loan Tape (S&amp;P)'!AT8&lt;&gt;"Full",
            VLOOKUP('Control Panel'!$B$6,'Jurisdiction Parameters'!$A:$D,4,FALSE),
        0))),
    0)</f>
        <v/>
      </c>
      <c r="E8" s="20">
        <f>('Control Panel'!$B$12*C8)+('Control Panel'!$B$13*D8)</f>
        <v/>
      </c>
      <c r="F8" s="22">
        <f>IFERROR(
        LET(
            juris,'Control Panel'!$B$6,
            ltv_val,E8,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" s="21">
        <f>'Control Panel'!$B$14</f>
        <v/>
      </c>
      <c r="H8" s="21">
        <f>LET(
    income_mult,'Loan Tape (S&amp;P)'!Z8,
    IF(income_mult=0,1.00,
        IFERROR(
            INDEX('FF Adj Parameters'!$A$18:$B$17,
                MATCH(income_mult,INDEX('FF Adj Parameters'!$A$18:$B$17,,1),1),2),
            1.80))
)</f>
        <v/>
      </c>
      <c r="I8" s="21">
        <f>IF('Loan Tape (S&amp;P)'!N8&lt;&gt;"Buy to Let",1.00,
    LET(
        dscr,'Loan Tape (S&amp;P)'!AA8,
        IF(dscr=0,INDEX('FF Adj Parameters'!$A$21:$B$28,1,2),
            IFERROR(
                INDEX('FF Adj Parameters'!$A$21:$B$28,
                    MATCH(dscr,INDEX('FF Adj Parameters'!$A$21:$B$28,,1),1),2),
                'FF Adj Parameters'!$B$21)))
)</f>
        <v/>
      </c>
      <c r="J8" s="21">
        <f>LET(
    lien,'Loan Tape (S&amp;P)'!Q8,
    IF(lien="First",1.00,
        IF(lien="Second",1.50,
            1.70)))</f>
        <v/>
      </c>
      <c r="K8" s="21">
        <f>LET(
    purpose,'Loan Tape (S&amp;P)'!R8,
    IF(purpose="Purchase",1.00,
        IF(purpose="Remortgage",1.00,
            1.20)))</f>
        <v/>
      </c>
      <c r="L8" s="21">
        <f>LET(
    arrears_months,'Loan Tape (S&amp;P)'!AN8,
    IF(arrears_months=0,1.00,
    IF(arrears_months=1,3.00,
    IF(arrears_months=2,5.00,
    IF(arrears_months=3,8.00,
    IF(arrears_months=4,10.00,
    IF(arrears_months=5,12.00,15.00)))))))</f>
        <v/>
      </c>
      <c r="M8" s="21">
        <f>LET(
    seasoning_years,DATEDIF('Loan Tape (S&amp;P)'!K8,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" s="21">
        <f>IF(AND('Loan Tape (S&amp;P)'!U8="Yes",
        'Loan Tape (S&amp;P)'!T8&lt;&gt;"Yes",
        DATEDIF('Loan Tape (S&amp;P)'!K8, TODAY(), "M")&lt;18),
    1.10,
    1.00)</f>
        <v/>
      </c>
      <c r="O8" s="21">
        <f>IF('Loan Tape (S&amp;P)'!T8="Yes",
    1.35,
    1.00)</f>
        <v/>
      </c>
      <c r="P8" s="21">
        <f>IF('Loan Tape (S&amp;P)'!S8="Yes",
    1.15,
    1.00)</f>
        <v/>
      </c>
      <c r="Q8" s="21">
        <f>IF('Loan Tape (S&amp;P)'!V8="Yes",
    1.20,
    1.00)</f>
        <v/>
      </c>
      <c r="R8" s="21">
        <f>IF('Loan Tape (S&amp;P)'!T8="Yes",
    'FF Adj Parameters'!$B$40,
    1.00)</f>
        <v/>
      </c>
      <c r="S8" s="21">
        <f>LET(
    is_htb,'Loan Tape (S&amp;P)'!Q8="Yes",
    rate_type,'Loan Tape (S&amp;P)'!AS8,
    months_to_mat,'Loan Tape (S&amp;P)'!AU8,
    threshold,'FF Adj Parameters'!$B$128,
    has_shock,AND(rate_type="Fixed",months_to_mat&lt;=threshold),
    IF(is_htb,1.00,IF(has_shock,'FF Adj Parameters'!$B$41,1.00))
)</f>
        <v/>
      </c>
      <c r="T8" s="21">
        <f>LET(
    payment_method,'Loan Tape (S&amp;P)'!P8,
    occupancy,'Loan Tape (S&amp;P)'!N8,
    maturity_date,'Loan Tape (S&amp;P)'!L8,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8" s="21">
        <f>IF(AND('Loan Tape (S&amp;P)'!V8="Yes",'Loan Tape (S&amp;P)'!N8&lt;&gt;"Buy to Let"),
    'FF Adj Parameters'!$B$42,
    1.00)</f>
        <v/>
      </c>
      <c r="V8" s="21">
        <f>IF('Loan Tape (S&amp;P)'!AV8="Yes",
    'FF Adj Parameters'!$B$43,
    1.00)</f>
        <v/>
      </c>
      <c r="W8" s="23">
        <f>IF('Loan Tape (S&amp;P)'!AC8&gt;0,
    'FF Adj Parameters'!$B$44,
    1.00)</f>
        <v/>
      </c>
      <c r="X8" s="21">
        <f>LET(
    has_bankruptcy,'Loan Tape (S&amp;P)'!AE8="Yes",
    has_iva,'Loan Tape (S&amp;P)'!AF8="Yes",
    has_repo,'Loan Tape (S&amp;P)'!AI8="Yes",
    mult,IF(has_repo,'FF Adj Parameters'!$B$47,
            IF(has_bankruptcy,'FF Adj Parameters'!$B$48,
                IF(has_iva,'FF Adj Parameters'!$B$46,
                    1.00))),
    MAX(mult,0.80)
)</f>
        <v/>
      </c>
      <c r="Y8" s="21">
        <f>LET(
    has_perf_arr,'Loan Tape (S&amp;P)'!AP8="Yes",
    perf_arr_date,'Loan Tape (S&amp;P)'!AQ8,
    last_90_date,'Loan Tape (S&amp;P)'!AR8,
    threshold_years,VLOOKUP('Control Panel'!$B$6,'Jurisdiction Parameters'!$A:$Q,17,FALSE),
    relevant_date,MAX(perf_arr_date,last_90_date),
    years_since,('Control Panel'!$B$10-relevant_date)/368.28,
    IF(NOT(has_perf_arr),1.00,
        IF(years_since&gt;threshold_years,1.00,
            IF(years_since&lt;=1,INDEX('FF Adj Parameters'!$C$47:$C$80,1),
                IF(years_since&lt;=2,INDEX('FF Adj Parameters'!$C$47:$C$80,2),
                    IF(years_since&lt;=3,INDEX('FF Adj Parameters'!$C$47:$C$80,3),
                        INDEX('FF Adj Parameters'!$C$47:$C$80,4))))))
)</f>
        <v/>
      </c>
      <c r="Z8" s="24">
        <f>IFERROR(
        IF(L8&gt;=100,1.00,
            'Control Panel'!$B$18*F8*G8*MAX(H8,R8)*I8*J8*K8*L8*M8*N8*O8*P8*Q8*S8*T8*U8*V8*W8*X8*Y8
        ),
    0)</f>
        <v/>
      </c>
    </row>
    <row r="9">
      <c r="A9" s="17">
        <f>'Loan Tape (S&amp;P)'!A9</f>
        <v/>
      </c>
      <c r="B9" s="18">
        <f>'Loan Tape (S&amp;P)'!B9</f>
        <v/>
      </c>
      <c r="C9" s="20">
        <f>IFERROR('Loan Tape (S&amp;P)'!C9/'Loan Tape (S&amp;P)'!E9,0)</f>
        <v/>
      </c>
      <c r="D9" s="20">
        <f>IFERROR(
        'Loan Tape (S&amp;P)'!B9/
        ('Loan Tape (S&amp;P)'!D9*
        (1-IF('Loan Tape (S&amp;P)'!AT9&lt;&gt;"Full",
            VLOOKUP('Control Panel'!$B$6,'Jurisdiction Parameters'!$A:$D,4,FALSE),
        0))),
    0)</f>
        <v/>
      </c>
      <c r="E9" s="20">
        <f>('Control Panel'!$B$12*C9)+('Control Panel'!$B$13*D9)</f>
        <v/>
      </c>
      <c r="F9" s="22">
        <f>IFERROR(
        LET(
            juris,'Control Panel'!$B$6,
            ltv_val,E9,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" s="21">
        <f>'Control Panel'!$B$14</f>
        <v/>
      </c>
      <c r="H9" s="21">
        <f>LET(
    income_mult,'Loan Tape (S&amp;P)'!Z9,
    IF(income_mult=0,1.00,
        IFERROR(
            INDEX('FF Adj Parameters'!$A$19:$B$17,
                MATCH(income_mult,INDEX('FF Adj Parameters'!$A$19:$B$17,,1),1),2),
            1.90))
)</f>
        <v/>
      </c>
      <c r="I9" s="21">
        <f>IF('Loan Tape (S&amp;P)'!N9&lt;&gt;"Buy to Let",1.00,
    LET(
        dscr,'Loan Tape (S&amp;P)'!AA9,
        IF(dscr=0,INDEX('FF Adj Parameters'!$A$21:$B$29,1,2),
            IFERROR(
                INDEX('FF Adj Parameters'!$A$21:$B$29,
                    MATCH(dscr,INDEX('FF Adj Parameters'!$A$21:$B$29,,1),1),2),
                'FF Adj Parameters'!$B$21)))
)</f>
        <v/>
      </c>
      <c r="J9" s="21">
        <f>LET(
    lien,'Loan Tape (S&amp;P)'!Q9,
    IF(lien="First",1.00,
        IF(lien="Second",1.50,
            1.70)))</f>
        <v/>
      </c>
      <c r="K9" s="21">
        <f>LET(
    purpose,'Loan Tape (S&amp;P)'!R9,
    IF(purpose="Purchase",1.00,
        IF(purpose="Remortgage",1.00,
            1.20)))</f>
        <v/>
      </c>
      <c r="L9" s="21">
        <f>LET(
    arrears_months,'Loan Tape (S&amp;P)'!AN9,
    IF(arrears_months=0,1.00,
    IF(arrears_months=1,3.00,
    IF(arrears_months=2,5.00,
    IF(arrears_months=3,8.00,
    IF(arrears_months=4,10.00,
    IF(arrears_months=5,12.00,15.00)))))))</f>
        <v/>
      </c>
      <c r="M9" s="21">
        <f>LET(
    seasoning_years,DATEDIF('Loan Tape (S&amp;P)'!K9,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" s="21">
        <f>IF(AND('Loan Tape (S&amp;P)'!U9="Yes",
        'Loan Tape (S&amp;P)'!T9&lt;&gt;"Yes",
        DATEDIF('Loan Tape (S&amp;P)'!K9, TODAY(), "M")&lt;18),
    1.10,
    1.00)</f>
        <v/>
      </c>
      <c r="O9" s="21">
        <f>IF('Loan Tape (S&amp;P)'!T9="Yes",
    1.35,
    1.00)</f>
        <v/>
      </c>
      <c r="P9" s="21">
        <f>IF('Loan Tape (S&amp;P)'!S9="Yes",
    1.15,
    1.00)</f>
        <v/>
      </c>
      <c r="Q9" s="21">
        <f>IF('Loan Tape (S&amp;P)'!V9="Yes",
    1.20,
    1.00)</f>
        <v/>
      </c>
      <c r="R9" s="21">
        <f>IF('Loan Tape (S&amp;P)'!T9="Yes",
    'FF Adj Parameters'!$B$40,
    1.00)</f>
        <v/>
      </c>
      <c r="S9" s="21">
        <f>LET(
    is_htb,'Loan Tape (S&amp;P)'!Q9="Yes",
    rate_type,'Loan Tape (S&amp;P)'!AS9,
    months_to_mat,'Loan Tape (S&amp;P)'!AU9,
    threshold,'FF Adj Parameters'!$B$129,
    has_shock,AND(rate_type="Fixed",months_to_mat&lt;=threshold),
    IF(is_htb,1.00,IF(has_shock,'FF Adj Parameters'!$B$41,1.00))
)</f>
        <v/>
      </c>
      <c r="T9" s="21">
        <f>LET(
    payment_method,'Loan Tape (S&amp;P)'!P9,
    occupancy,'Loan Tape (S&amp;P)'!N9,
    maturity_date,'Loan Tape (S&amp;P)'!L9,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9" s="21">
        <f>IF(AND('Loan Tape (S&amp;P)'!V9="Yes",'Loan Tape (S&amp;P)'!N9&lt;&gt;"Buy to Let"),
    'FF Adj Parameters'!$B$42,
    1.00)</f>
        <v/>
      </c>
      <c r="V9" s="21">
        <f>IF('Loan Tape (S&amp;P)'!AV9="Yes",
    'FF Adj Parameters'!$B$43,
    1.00)</f>
        <v/>
      </c>
      <c r="W9" s="23">
        <f>IF('Loan Tape (S&amp;P)'!AC9&gt;0,
    'FF Adj Parameters'!$B$44,
    1.00)</f>
        <v/>
      </c>
      <c r="X9" s="21">
        <f>LET(
    has_bankruptcy,'Loan Tape (S&amp;P)'!AE9="Yes",
    has_iva,'Loan Tape (S&amp;P)'!AF9="Yes",
    has_repo,'Loan Tape (S&amp;P)'!AI9="Yes",
    mult,IF(has_repo,'FF Adj Parameters'!$B$47,
            IF(has_bankruptcy,'FF Adj Parameters'!$B$49,
                IF(has_iva,'FF Adj Parameters'!$B$46,
                    1.00))),
    MAX(mult,0.90)
)</f>
        <v/>
      </c>
      <c r="Y9" s="21">
        <f>LET(
    has_perf_arr,'Loan Tape (S&amp;P)'!AP9="Yes",
    perf_arr_date,'Loan Tape (S&amp;P)'!AQ9,
    last_90_date,'Loan Tape (S&amp;P)'!AR9,
    threshold_years,VLOOKUP('Control Panel'!$B$6,'Jurisdiction Parameters'!$A:$Q,17,FALSE),
    relevant_date,MAX(perf_arr_date,last_90_date),
    years_since,('Control Panel'!$B$10-relevant_date)/369.29,
    IF(NOT(has_perf_arr),1.00,
        IF(years_since&gt;threshold_years,1.00,
            IF(years_since&lt;=1,INDEX('FF Adj Parameters'!$C$47:$C$90,1),
                IF(years_since&lt;=2,INDEX('FF Adj Parameters'!$C$47:$C$90,2),
                    IF(years_since&lt;=3,INDEX('FF Adj Parameters'!$C$47:$C$90,3),
                        INDEX('FF Adj Parameters'!$C$47:$C$90,4))))))
)</f>
        <v/>
      </c>
      <c r="Z9" s="24">
        <f>IFERROR(
        IF(L9&gt;=100,1.00,
            'Control Panel'!$B$18*F9*G9*MAX(H9,R9)*I9*J9*K9*L9*M9*N9*O9*P9*Q9*S9*T9*U9*V9*W9*X9*Y9
        ),
    0)</f>
        <v/>
      </c>
    </row>
    <row r="10">
      <c r="A10" s="17">
        <f>'Loan Tape (S&amp;P)'!A10</f>
        <v/>
      </c>
      <c r="B10" s="18">
        <f>'Loan Tape (S&amp;P)'!B10</f>
        <v/>
      </c>
      <c r="C10" s="20">
        <f>IFERROR('Loan Tape (S&amp;P)'!C10/'Loan Tape (S&amp;P)'!E10,0)</f>
        <v/>
      </c>
      <c r="D10" s="20">
        <f>IFERROR(
        'Loan Tape (S&amp;P)'!B10/
        ('Loan Tape (S&amp;P)'!D10*
        (1-IF('Loan Tape (S&amp;P)'!AT10&lt;&gt;"Full",
            VLOOKUP('Control Panel'!$B$6,'Jurisdiction Parameters'!$A:$D,4,FALSE),
        0))),
    0)</f>
        <v/>
      </c>
      <c r="E10" s="20">
        <f>('Control Panel'!$B$12*C10)+('Control Panel'!$B$13*D10)</f>
        <v/>
      </c>
      <c r="F10" s="22">
        <f>IFERROR(
        LET(
            juris,'Control Panel'!$B$6,
            ltv_val,E10,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" s="21">
        <f>'Control Panel'!$B$14</f>
        <v/>
      </c>
      <c r="H10" s="21">
        <f>LET(
    income_mult,'Loan Tape (S&amp;P)'!Z10,
    IF(income_mult=0,1.00,
        IFERROR(
            INDEX('FF Adj Parameters'!$A$110:$B$17,
                MATCH(income_mult,INDEX('FF Adj Parameters'!$A$110:$B$17,,1),1),2),
            1.100))
)</f>
        <v/>
      </c>
      <c r="I10" s="21">
        <f>IF('Loan Tape (S&amp;P)'!N10&lt;&gt;"Buy to Let",1.00,
    LET(
        dscr,'Loan Tape (S&amp;P)'!AA10,
        IF(dscr=0,INDEX('FF Adj Parameters'!$A$21:$B$210,1,2),
            IFERROR(
                INDEX('FF Adj Parameters'!$A$21:$B$210,
                    MATCH(dscr,INDEX('FF Adj Parameters'!$A$21:$B$210,,1),1),2),
                'FF Adj Parameters'!$B$21)))
)</f>
        <v/>
      </c>
      <c r="J10" s="21">
        <f>LET(
    lien,'Loan Tape (S&amp;P)'!Q10,
    IF(lien="First",1.00,
        IF(lien="Second",1.50,
            1.70)))</f>
        <v/>
      </c>
      <c r="K10" s="21">
        <f>LET(
    purpose,'Loan Tape (S&amp;P)'!R10,
    IF(purpose="Purchase",1.00,
        IF(purpose="Remortgage",1.00,
            1.20)))</f>
        <v/>
      </c>
      <c r="L10" s="21">
        <f>LET(
    arrears_months,'Loan Tape (S&amp;P)'!AN10,
    IF(arrears_months=0,1.00,
    IF(arrears_months=1,3.00,
    IF(arrears_months=2,5.00,
    IF(arrears_months=3,8.00,
    IF(arrears_months=4,10.00,
    IF(arrears_months=5,12.00,15.00)))))))</f>
        <v/>
      </c>
      <c r="M10" s="21">
        <f>LET(
    seasoning_years,DATEDIF('Loan Tape (S&amp;P)'!K10,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" s="21">
        <f>IF(AND('Loan Tape (S&amp;P)'!U10="Yes",
        'Loan Tape (S&amp;P)'!T10&lt;&gt;"Yes",
        DATEDIF('Loan Tape (S&amp;P)'!K10, TODAY(), "M")&lt;18),
    1.10,
    1.00)</f>
        <v/>
      </c>
      <c r="O10" s="21">
        <f>IF('Loan Tape (S&amp;P)'!T10="Yes",
    1.35,
    1.00)</f>
        <v/>
      </c>
      <c r="P10" s="21">
        <f>IF('Loan Tape (S&amp;P)'!S10="Yes",
    1.15,
    1.00)</f>
        <v/>
      </c>
      <c r="Q10" s="21">
        <f>IF('Loan Tape (S&amp;P)'!V10="Yes",
    1.20,
    1.00)</f>
        <v/>
      </c>
      <c r="R10" s="21">
        <f>IF('Loan Tape (S&amp;P)'!T10="Yes",
    'FF Adj Parameters'!$B$40,
    1.00)</f>
        <v/>
      </c>
      <c r="S10" s="21">
        <f>LET(
    is_htb,'Loan Tape (S&amp;P)'!Q10="Yes",
    rate_type,'Loan Tape (S&amp;P)'!AS10,
    months_to_mat,'Loan Tape (S&amp;P)'!AU10,
    threshold,'FF Adj Parameters'!$B$1210,
    has_shock,AND(rate_type="Fixed",months_to_mat&lt;=threshold),
    IF(is_htb,1.00,IF(has_shock,'FF Adj Parameters'!$B$41,1.00))
)</f>
        <v/>
      </c>
      <c r="T10" s="21">
        <f>LET(
    payment_method,'Loan Tape (S&amp;P)'!P10,
    occupancy,'Loan Tape (S&amp;P)'!N10,
    maturity_date,'Loan Tape (S&amp;P)'!L10,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10" s="21">
        <f>IF(AND('Loan Tape (S&amp;P)'!V10="Yes",'Loan Tape (S&amp;P)'!N10&lt;&gt;"Buy to Let"),
    'FF Adj Parameters'!$B$42,
    1.00)</f>
        <v/>
      </c>
      <c r="V10" s="21">
        <f>IF('Loan Tape (S&amp;P)'!AV10="Yes",
    'FF Adj Parameters'!$B$43,
    1.00)</f>
        <v/>
      </c>
      <c r="W10" s="23">
        <f>IF('Loan Tape (S&amp;P)'!AC10&gt;0,
    'FF Adj Parameters'!$B$44,
    1.00)</f>
        <v/>
      </c>
      <c r="X10" s="21">
        <f>LET(
    has_bankruptcy,'Loan Tape (S&amp;P)'!AE10="Yes",
    has_iva,'Loan Tape (S&amp;P)'!AF10="Yes",
    has_repo,'Loan Tape (S&amp;P)'!AI10="Yes",
    mult,IF(has_repo,'FF Adj Parameters'!$B$47,
            IF(has_bankruptcy,'FF Adj Parameters'!$B$410,
                IF(has_iva,'FF Adj Parameters'!$B$46,
                    1.00))),
    MAX(mult,0.100)
)</f>
        <v/>
      </c>
      <c r="Y10" s="21">
        <f>LET(
    has_perf_arr,'Loan Tape (S&amp;P)'!AP10="Yes",
    perf_arr_date,'Loan Tape (S&amp;P)'!AQ10,
    last_90_date,'Loan Tape (S&amp;P)'!AR10,
    threshold_years,VLOOKUP('Control Panel'!$B$6,'Jurisdiction Parameters'!$A:$Q,17,FALSE),
    relevant_date,MAX(perf_arr_date,last_90_date),
    years_since,('Control Panel'!$B$10-relevant_date)/3610.210,
    IF(NOT(has_perf_arr),1.00,
        IF(years_since&gt;threshold_years,1.00,
            IF(years_since&lt;=1,INDEX('FF Adj Parameters'!$C$47:$C$100,1),
                IF(years_since&lt;=2,INDEX('FF Adj Parameters'!$C$47:$C$100,2),
                    IF(years_since&lt;=3,INDEX('FF Adj Parameters'!$C$47:$C$100,3),
                        INDEX('FF Adj Parameters'!$C$47:$C$100,4))))))
)</f>
        <v/>
      </c>
      <c r="Z10" s="24">
        <f>IFERROR(
        IF(L10&gt;=100,1.00,
            'Control Panel'!$B$18*F10*G10*MAX(H10,R10)*I10*J10*K10*L10*M10*N10*O10*P10*Q10*S10*T10*U10*V10*W10*X10*Y10
        ),
    0)</f>
        <v/>
      </c>
    </row>
    <row r="11">
      <c r="A11" s="17">
        <f>'Loan Tape (S&amp;P)'!A11</f>
        <v/>
      </c>
      <c r="B11" s="18">
        <f>'Loan Tape (S&amp;P)'!B11</f>
        <v/>
      </c>
      <c r="C11" s="20">
        <f>IFERROR('Loan Tape (S&amp;P)'!C11/'Loan Tape (S&amp;P)'!E11,0)</f>
        <v/>
      </c>
      <c r="D11" s="20">
        <f>IFERROR(
        'Loan Tape (S&amp;P)'!B11/
        ('Loan Tape (S&amp;P)'!D11*
        (1-IF('Loan Tape (S&amp;P)'!AT11&lt;&gt;"Full",
            VLOOKUP('Control Panel'!$B$6,'Jurisdiction Parameters'!$A:$D,4,FALSE),
        0))),
    0)</f>
        <v/>
      </c>
      <c r="E11" s="20">
        <f>('Control Panel'!$B$12*C11)+('Control Panel'!$B$13*D11)</f>
        <v/>
      </c>
      <c r="F11" s="22">
        <f>IFERROR(
        LET(
            juris,'Control Panel'!$B$6,
            ltv_val,E11,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1" s="21">
        <f>'Control Panel'!$B$14</f>
        <v/>
      </c>
      <c r="H11" s="21">
        <f>LET(
    income_mult,'Loan Tape (S&amp;P)'!Z11,
    IF(income_mult=0,1.00,
        IFERROR(
            INDEX('FF Adj Parameters'!$A$111:$B$17,
                MATCH(income_mult,INDEX('FF Adj Parameters'!$A$111:$B$17,,1),1),2),
            1.110))
)</f>
        <v/>
      </c>
      <c r="I11" s="21">
        <f>IF('Loan Tape (S&amp;P)'!N11&lt;&gt;"Buy to Let",1.00,
    LET(
        dscr,'Loan Tape (S&amp;P)'!AA11,
        IF(dscr=0,INDEX('FF Adj Parameters'!$A$21:$B$211,1,2),
            IFERROR(
                INDEX('FF Adj Parameters'!$A$21:$B$211,
                    MATCH(dscr,INDEX('FF Adj Parameters'!$A$21:$B$211,,1),1),2),
                'FF Adj Parameters'!$B$21)))
)</f>
        <v/>
      </c>
      <c r="J11" s="21">
        <f>LET(
    lien,'Loan Tape (S&amp;P)'!Q11,
    IF(lien="First",1.00,
        IF(lien="Second",1.50,
            1.70)))</f>
        <v/>
      </c>
      <c r="K11" s="21">
        <f>LET(
    purpose,'Loan Tape (S&amp;P)'!R11,
    IF(purpose="Purchase",1.00,
        IF(purpose="Remortgage",1.00,
            1.20)))</f>
        <v/>
      </c>
      <c r="L11" s="21">
        <f>LET(
    arrears_months,'Loan Tape (S&amp;P)'!AN11,
    IF(arrears_months=0,1.00,
    IF(arrears_months=1,3.00,
    IF(arrears_months=2,5.00,
    IF(arrears_months=3,8.00,
    IF(arrears_months=4,10.00,
    IF(arrears_months=5,12.00,15.00)))))))</f>
        <v/>
      </c>
      <c r="M11" s="21">
        <f>LET(
    seasoning_years,DATEDIF('Loan Tape (S&amp;P)'!K11,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" s="21">
        <f>IF(AND('Loan Tape (S&amp;P)'!U11="Yes",
        'Loan Tape (S&amp;P)'!T11&lt;&gt;"Yes",
        DATEDIF('Loan Tape (S&amp;P)'!K11, TODAY(), "M")&lt;18),
    1.10,
    1.00)</f>
        <v/>
      </c>
      <c r="O11" s="21">
        <f>IF('Loan Tape (S&amp;P)'!T11="Yes",
    1.35,
    1.00)</f>
        <v/>
      </c>
      <c r="P11" s="21">
        <f>IF('Loan Tape (S&amp;P)'!S11="Yes",
    1.15,
    1.00)</f>
        <v/>
      </c>
      <c r="Q11" s="21">
        <f>IF('Loan Tape (S&amp;P)'!V11="Yes",
    1.20,
    1.00)</f>
        <v/>
      </c>
      <c r="R11" s="21">
        <f>IF('Loan Tape (S&amp;P)'!T11="Yes",
    'FF Adj Parameters'!$B$40,
    1.00)</f>
        <v/>
      </c>
      <c r="S11" s="21">
        <f>LET(
    is_htb,'Loan Tape (S&amp;P)'!Q11="Yes",
    rate_type,'Loan Tape (S&amp;P)'!AS11,
    months_to_mat,'Loan Tape (S&amp;P)'!AU11,
    threshold,'FF Adj Parameters'!$B$1211,
    has_shock,AND(rate_type="Fixed",months_to_mat&lt;=threshold),
    IF(is_htb,1.00,IF(has_shock,'FF Adj Parameters'!$B$41,1.00))
)</f>
        <v/>
      </c>
      <c r="T11" s="21">
        <f>LET(
    payment_method,'Loan Tape (S&amp;P)'!P11,
    occupancy,'Loan Tape (S&amp;P)'!N11,
    maturity_date,'Loan Tape (S&amp;P)'!L11,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11" s="21">
        <f>IF(AND('Loan Tape (S&amp;P)'!V11="Yes",'Loan Tape (S&amp;P)'!N11&lt;&gt;"Buy to Let"),
    'FF Adj Parameters'!$B$42,
    1.00)</f>
        <v/>
      </c>
      <c r="V11" s="21">
        <f>IF('Loan Tape (S&amp;P)'!AV11="Yes",
    'FF Adj Parameters'!$B$43,
    1.00)</f>
        <v/>
      </c>
      <c r="W11" s="23">
        <f>IF('Loan Tape (S&amp;P)'!AC11&gt;0,
    'FF Adj Parameters'!$B$44,
    1.00)</f>
        <v/>
      </c>
      <c r="X11" s="21">
        <f>LET(
    has_bankruptcy,'Loan Tape (S&amp;P)'!AE11="Yes",
    has_iva,'Loan Tape (S&amp;P)'!AF11="Yes",
    has_repo,'Loan Tape (S&amp;P)'!AI11="Yes",
    mult,IF(has_repo,'FF Adj Parameters'!$B$47,
            IF(has_bankruptcy,'FF Adj Parameters'!$B$411,
                IF(has_iva,'FF Adj Parameters'!$B$46,
                    1.00))),
    MAX(mult,0.110)
)</f>
        <v/>
      </c>
      <c r="Y11" s="21">
        <f>LET(
    has_perf_arr,'Loan Tape (S&amp;P)'!AP11="Yes",
    perf_arr_date,'Loan Tape (S&amp;P)'!AQ11,
    last_90_date,'Loan Tape (S&amp;P)'!AR11,
    threshold_years,VLOOKUP('Control Panel'!$B$6,'Jurisdiction Parameters'!$A:$Q,17,FALSE),
    relevant_date,MAX(perf_arr_date,last_90_date),
    years_since,('Control Panel'!$B$10-relevant_date)/3611.211,
    IF(NOT(has_perf_arr),1.00,
        IF(years_since&gt;threshold_years,1.00,
            IF(years_since&lt;=1,INDEX('FF Adj Parameters'!$C$47:$C$110,1),
                IF(years_since&lt;=2,INDEX('FF Adj Parameters'!$C$47:$C$110,2),
                    IF(years_since&lt;=3,INDEX('FF Adj Parameters'!$C$47:$C$110,3),
                        INDEX('FF Adj Parameters'!$C$47:$C$110,4))))))
)</f>
        <v/>
      </c>
      <c r="Z11" s="24">
        <f>IFERROR(
        IF(L11&gt;=100,1.00,
            'Control Panel'!$B$18*F11*G11*MAX(H11,R11)*I11*J11*K11*L11*M11*N11*O11*P11*Q11*S11*T11*U11*V11*W11*X11*Y11
        ),
    0)</f>
        <v/>
      </c>
    </row>
    <row r="12">
      <c r="A12" s="17">
        <f>'Loan Tape (S&amp;P)'!A12</f>
        <v/>
      </c>
      <c r="B12" s="18">
        <f>'Loan Tape (S&amp;P)'!B12</f>
        <v/>
      </c>
      <c r="C12" s="20">
        <f>IFERROR('Loan Tape (S&amp;P)'!C12/'Loan Tape (S&amp;P)'!E12,0)</f>
        <v/>
      </c>
      <c r="D12" s="20">
        <f>IFERROR(
        'Loan Tape (S&amp;P)'!B12/
        ('Loan Tape (S&amp;P)'!D12*
        (1-IF('Loan Tape (S&amp;P)'!AT12&lt;&gt;"Full",
            VLOOKUP('Control Panel'!$B$6,'Jurisdiction Parameters'!$A:$D,4,FALSE),
        0))),
    0)</f>
        <v/>
      </c>
      <c r="E12" s="20">
        <f>('Control Panel'!$B$12*C12)+('Control Panel'!$B$13*D12)</f>
        <v/>
      </c>
      <c r="F12" s="22">
        <f>IFERROR(
        LET(
            juris,'Control Panel'!$B$6,
            ltv_val,E12,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2" s="21">
        <f>'Control Panel'!$B$14</f>
        <v/>
      </c>
      <c r="H12" s="21">
        <f>LET(
    income_mult,'Loan Tape (S&amp;P)'!Z12,
    IF(income_mult=0,1.00,
        IFERROR(
            INDEX('FF Adj Parameters'!$A$112:$B$17,
                MATCH(income_mult,INDEX('FF Adj Parameters'!$A$112:$B$17,,1),1),2),
            1.120))
)</f>
        <v/>
      </c>
      <c r="I12" s="21">
        <f>IF('Loan Tape (S&amp;P)'!N12&lt;&gt;"Buy to Let",1.00,
    LET(
        dscr,'Loan Tape (S&amp;P)'!AA12,
        IF(dscr=0,INDEX('FF Adj Parameters'!$A$21:$B$212,1,2),
            IFERROR(
                INDEX('FF Adj Parameters'!$A$21:$B$212,
                    MATCH(dscr,INDEX('FF Adj Parameters'!$A$21:$B$212,,1),1),2),
                'FF Adj Parameters'!$B$21)))
)</f>
        <v/>
      </c>
      <c r="J12" s="21">
        <f>LET(
    lien,'Loan Tape (S&amp;P)'!Q12,
    IF(lien="First",1.00,
        IF(lien="Second",1.50,
            1.70)))</f>
        <v/>
      </c>
      <c r="K12" s="21">
        <f>LET(
    purpose,'Loan Tape (S&amp;P)'!R12,
    IF(purpose="Purchase",1.00,
        IF(purpose="Remortgage",1.00,
            1.20)))</f>
        <v/>
      </c>
      <c r="L12" s="21">
        <f>LET(
    arrears_months,'Loan Tape (S&amp;P)'!AN12,
    IF(arrears_months=0,1.00,
    IF(arrears_months=1,3.00,
    IF(arrears_months=2,5.00,
    IF(arrears_months=3,8.00,
    IF(arrears_months=4,10.00,
    IF(arrears_months=5,12.00,15.00)))))))</f>
        <v/>
      </c>
      <c r="M12" s="21">
        <f>LET(
    seasoning_years,DATEDIF('Loan Tape (S&amp;P)'!K12,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" s="21">
        <f>IF(AND('Loan Tape (S&amp;P)'!U12="Yes",
        'Loan Tape (S&amp;P)'!T12&lt;&gt;"Yes",
        DATEDIF('Loan Tape (S&amp;P)'!K12, TODAY(), "M")&lt;18),
    1.10,
    1.00)</f>
        <v/>
      </c>
      <c r="O12" s="21">
        <f>IF('Loan Tape (S&amp;P)'!T12="Yes",
    1.35,
    1.00)</f>
        <v/>
      </c>
      <c r="P12" s="21">
        <f>IF('Loan Tape (S&amp;P)'!S12="Yes",
    1.15,
    1.00)</f>
        <v/>
      </c>
      <c r="Q12" s="21">
        <f>IF('Loan Tape (S&amp;P)'!V12="Yes",
    1.20,
    1.00)</f>
        <v/>
      </c>
      <c r="R12" s="21">
        <f>IF('Loan Tape (S&amp;P)'!T12="Yes",
    'FF Adj Parameters'!$B$40,
    1.00)</f>
        <v/>
      </c>
      <c r="S12" s="21">
        <f>LET(
    is_htb,'Loan Tape (S&amp;P)'!Q12="Yes",
    rate_type,'Loan Tape (S&amp;P)'!AS12,
    months_to_mat,'Loan Tape (S&amp;P)'!AU12,
    threshold,'FF Adj Parameters'!$B$1212,
    has_shock,AND(rate_type="Fixed",months_to_mat&lt;=threshold),
    IF(is_htb,1.00,IF(has_shock,'FF Adj Parameters'!$B$41,1.00))
)</f>
        <v/>
      </c>
      <c r="T12" s="21">
        <f>LET(
    payment_method,'Loan Tape (S&amp;P)'!P12,
    occupancy,'Loan Tape (S&amp;P)'!N12,
    maturity_date,'Loan Tape (S&amp;P)'!L12,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12" s="21">
        <f>IF(AND('Loan Tape (S&amp;P)'!V12="Yes",'Loan Tape (S&amp;P)'!N12&lt;&gt;"Buy to Let"),
    'FF Adj Parameters'!$B$42,
    1.00)</f>
        <v/>
      </c>
      <c r="V12" s="21">
        <f>IF('Loan Tape (S&amp;P)'!AV12="Yes",
    'FF Adj Parameters'!$B$43,
    1.00)</f>
        <v/>
      </c>
      <c r="W12" s="23">
        <f>IF('Loan Tape (S&amp;P)'!AC12&gt;0,
    'FF Adj Parameters'!$B$44,
    1.00)</f>
        <v/>
      </c>
      <c r="X12" s="21">
        <f>LET(
    has_bankruptcy,'Loan Tape (S&amp;P)'!AE12="Yes",
    has_iva,'Loan Tape (S&amp;P)'!AF12="Yes",
    has_repo,'Loan Tape (S&amp;P)'!AI12="Yes",
    mult,IF(has_repo,'FF Adj Parameters'!$B$47,
            IF(has_bankruptcy,'FF Adj Parameters'!$B$412,
                IF(has_iva,'FF Adj Parameters'!$B$46,
                    1.00))),
    MAX(mult,0.120)
)</f>
        <v/>
      </c>
      <c r="Y12" s="21">
        <f>LET(
    has_perf_arr,'Loan Tape (S&amp;P)'!AP12="Yes",
    perf_arr_date,'Loan Tape (S&amp;P)'!AQ12,
    last_90_date,'Loan Tape (S&amp;P)'!AR12,
    threshold_years,VLOOKUP('Control Panel'!$B$6,'Jurisdiction Parameters'!$A:$Q,17,FALSE),
    relevant_date,MAX(perf_arr_date,last_90_date),
    years_since,('Control Panel'!$B$10-relevant_date)/3612.212,
    IF(NOT(has_perf_arr),1.00,
        IF(years_since&gt;threshold_years,1.00,
            IF(years_since&lt;=1,INDEX('FF Adj Parameters'!$C$47:$C$120,1),
                IF(years_since&lt;=2,INDEX('FF Adj Parameters'!$C$47:$C$120,2),
                    IF(years_since&lt;=3,INDEX('FF Adj Parameters'!$C$47:$C$120,3),
                        INDEX('FF Adj Parameters'!$C$47:$C$120,4))))))
)</f>
        <v/>
      </c>
      <c r="Z12" s="24">
        <f>IFERROR(
        IF(L12&gt;=100,1.00,
            'Control Panel'!$B$18*F12*G12*MAX(H12,R12)*I12*J12*K12*L12*M12*N12*O12*P12*Q12*S12*T12*U12*V12*W12*X12*Y12
        ),
    0)</f>
        <v/>
      </c>
    </row>
    <row r="13">
      <c r="A13" s="17">
        <f>'Loan Tape (S&amp;P)'!A13</f>
        <v/>
      </c>
      <c r="B13" s="18">
        <f>'Loan Tape (S&amp;P)'!B13</f>
        <v/>
      </c>
      <c r="C13" s="20">
        <f>IFERROR('Loan Tape (S&amp;P)'!C13/'Loan Tape (S&amp;P)'!E13,0)</f>
        <v/>
      </c>
      <c r="D13" s="20">
        <f>IFERROR(
        'Loan Tape (S&amp;P)'!B13/
        ('Loan Tape (S&amp;P)'!D13*
        (1-IF('Loan Tape (S&amp;P)'!AT13&lt;&gt;"Full",
            VLOOKUP('Control Panel'!$B$6,'Jurisdiction Parameters'!$A:$D,4,FALSE),
        0))),
    0)</f>
        <v/>
      </c>
      <c r="E13" s="20">
        <f>('Control Panel'!$B$12*C13)+('Control Panel'!$B$13*D13)</f>
        <v/>
      </c>
      <c r="F13" s="22">
        <f>IFERROR(
        LET(
            juris,'Control Panel'!$B$6,
            ltv_val,E13,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3" s="21">
        <f>'Control Panel'!$B$14</f>
        <v/>
      </c>
      <c r="H13" s="21">
        <f>LET(
    income_mult,'Loan Tape (S&amp;P)'!Z13,
    IF(income_mult=0,1.00,
        IFERROR(
            INDEX('FF Adj Parameters'!$A$113:$B$17,
                MATCH(income_mult,INDEX('FF Adj Parameters'!$A$113:$B$17,,1),1),2),
            1.130))
)</f>
        <v/>
      </c>
      <c r="I13" s="21">
        <f>IF('Loan Tape (S&amp;P)'!N13&lt;&gt;"Buy to Let",1.00,
    LET(
        dscr,'Loan Tape (S&amp;P)'!AA13,
        IF(dscr=0,INDEX('FF Adj Parameters'!$A$21:$B$213,1,2),
            IFERROR(
                INDEX('FF Adj Parameters'!$A$21:$B$213,
                    MATCH(dscr,INDEX('FF Adj Parameters'!$A$21:$B$213,,1),1),2),
                'FF Adj Parameters'!$B$21)))
)</f>
        <v/>
      </c>
      <c r="J13" s="21">
        <f>LET(
    lien,'Loan Tape (S&amp;P)'!Q13,
    IF(lien="First",1.00,
        IF(lien="Second",1.50,
            1.70)))</f>
        <v/>
      </c>
      <c r="K13" s="21">
        <f>LET(
    purpose,'Loan Tape (S&amp;P)'!R13,
    IF(purpose="Purchase",1.00,
        IF(purpose="Remortgage",1.00,
            1.20)))</f>
        <v/>
      </c>
      <c r="L13" s="21">
        <f>LET(
    arrears_months,'Loan Tape (S&amp;P)'!AN13,
    IF(arrears_months=0,1.00,
    IF(arrears_months=1,3.00,
    IF(arrears_months=2,5.00,
    IF(arrears_months=3,8.00,
    IF(arrears_months=4,10.00,
    IF(arrears_months=5,12.00,15.00)))))))</f>
        <v/>
      </c>
      <c r="M13" s="21">
        <f>LET(
    seasoning_years,DATEDIF('Loan Tape (S&amp;P)'!K13,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" s="21">
        <f>IF(AND('Loan Tape (S&amp;P)'!U13="Yes",
        'Loan Tape (S&amp;P)'!T13&lt;&gt;"Yes",
        DATEDIF('Loan Tape (S&amp;P)'!K13, TODAY(), "M")&lt;18),
    1.10,
    1.00)</f>
        <v/>
      </c>
      <c r="O13" s="21">
        <f>IF('Loan Tape (S&amp;P)'!T13="Yes",
    1.35,
    1.00)</f>
        <v/>
      </c>
      <c r="P13" s="21">
        <f>IF('Loan Tape (S&amp;P)'!S13="Yes",
    1.15,
    1.00)</f>
        <v/>
      </c>
      <c r="Q13" s="21">
        <f>IF('Loan Tape (S&amp;P)'!V13="Yes",
    1.20,
    1.00)</f>
        <v/>
      </c>
      <c r="R13" s="21">
        <f>IF('Loan Tape (S&amp;P)'!T13="Yes",
    'FF Adj Parameters'!$B$40,
    1.00)</f>
        <v/>
      </c>
      <c r="S13" s="21">
        <f>LET(
    is_htb,'Loan Tape (S&amp;P)'!Q13="Yes",
    rate_type,'Loan Tape (S&amp;P)'!AS13,
    months_to_mat,'Loan Tape (S&amp;P)'!AU13,
    threshold,'FF Adj Parameters'!$B$1213,
    has_shock,AND(rate_type="Fixed",months_to_mat&lt;=threshold),
    IF(is_htb,1.00,IF(has_shock,'FF Adj Parameters'!$B$41,1.00))
)</f>
        <v/>
      </c>
      <c r="T13" s="21">
        <f>LET(
    payment_method,'Loan Tape (S&amp;P)'!P13,
    occupancy,'Loan Tape (S&amp;P)'!N13,
    maturity_date,'Loan Tape (S&amp;P)'!L13,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13" s="21">
        <f>IF(AND('Loan Tape (S&amp;P)'!V13="Yes",'Loan Tape (S&amp;P)'!N13&lt;&gt;"Buy to Let"),
    'FF Adj Parameters'!$B$42,
    1.00)</f>
        <v/>
      </c>
      <c r="V13" s="21">
        <f>IF('Loan Tape (S&amp;P)'!AV13="Yes",
    'FF Adj Parameters'!$B$43,
    1.00)</f>
        <v/>
      </c>
      <c r="W13" s="23">
        <f>IF('Loan Tape (S&amp;P)'!AC13&gt;0,
    'FF Adj Parameters'!$B$44,
    1.00)</f>
        <v/>
      </c>
      <c r="X13" s="21">
        <f>LET(
    has_bankruptcy,'Loan Tape (S&amp;P)'!AE13="Yes",
    has_iva,'Loan Tape (S&amp;P)'!AF13="Yes",
    has_repo,'Loan Tape (S&amp;P)'!AI13="Yes",
    mult,IF(has_repo,'FF Adj Parameters'!$B$47,
            IF(has_bankruptcy,'FF Adj Parameters'!$B$413,
                IF(has_iva,'FF Adj Parameters'!$B$46,
                    1.00))),
    MAX(mult,0.130)
)</f>
        <v/>
      </c>
      <c r="Y13" s="21">
        <f>LET(
    has_perf_arr,'Loan Tape (S&amp;P)'!AP13="Yes",
    perf_arr_date,'Loan Tape (S&amp;P)'!AQ13,
    last_90_date,'Loan Tape (S&amp;P)'!AR13,
    threshold_years,VLOOKUP('Control Panel'!$B$6,'Jurisdiction Parameters'!$A:$Q,17,FALSE),
    relevant_date,MAX(perf_arr_date,last_90_date),
    years_since,('Control Panel'!$B$10-relevant_date)/3613.213,
    IF(NOT(has_perf_arr),1.00,
        IF(years_since&gt;threshold_years,1.00,
            IF(years_since&lt;=1,INDEX('FF Adj Parameters'!$C$47:$C$130,1),
                IF(years_since&lt;=2,INDEX('FF Adj Parameters'!$C$47:$C$130,2),
                    IF(years_since&lt;=3,INDEX('FF Adj Parameters'!$C$47:$C$130,3),
                        INDEX('FF Adj Parameters'!$C$47:$C$130,4))))))
)</f>
        <v/>
      </c>
      <c r="Z13" s="24">
        <f>IFERROR(
        IF(L13&gt;=100,1.00,
            'Control Panel'!$B$18*F13*G13*MAX(H13,R13)*I13*J13*K13*L13*M13*N13*O13*P13*Q13*S13*T13*U13*V13*W13*X13*Y13
        ),
    0)</f>
        <v/>
      </c>
    </row>
    <row r="14">
      <c r="A14" s="17">
        <f>'Loan Tape (S&amp;P)'!A14</f>
        <v/>
      </c>
      <c r="B14" s="18">
        <f>'Loan Tape (S&amp;P)'!B14</f>
        <v/>
      </c>
      <c r="C14" s="20">
        <f>IFERROR('Loan Tape (S&amp;P)'!C14/'Loan Tape (S&amp;P)'!E14,0)</f>
        <v/>
      </c>
      <c r="D14" s="20">
        <f>IFERROR(
        'Loan Tape (S&amp;P)'!B14/
        ('Loan Tape (S&amp;P)'!D14*
        (1-IF('Loan Tape (S&amp;P)'!AT14&lt;&gt;"Full",
            VLOOKUP('Control Panel'!$B$6,'Jurisdiction Parameters'!$A:$D,4,FALSE),
        0))),
    0)</f>
        <v/>
      </c>
      <c r="E14" s="20">
        <f>('Control Panel'!$B$12*C14)+('Control Panel'!$B$13*D14)</f>
        <v/>
      </c>
      <c r="F14" s="22">
        <f>IFERROR(
        LET(
            juris,'Control Panel'!$B$6,
            ltv_val,E14,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4" s="21">
        <f>'Control Panel'!$B$14</f>
        <v/>
      </c>
      <c r="H14" s="21">
        <f>LET(
    income_mult,'Loan Tape (S&amp;P)'!Z14,
    IF(income_mult=0,1.00,
        IFERROR(
            INDEX('FF Adj Parameters'!$A$114:$B$17,
                MATCH(income_mult,INDEX('FF Adj Parameters'!$A$114:$B$17,,1),1),2),
            1.140))
)</f>
        <v/>
      </c>
      <c r="I14" s="21">
        <f>IF('Loan Tape (S&amp;P)'!N14&lt;&gt;"Buy to Let",1.00,
    LET(
        dscr,'Loan Tape (S&amp;P)'!AA14,
        IF(dscr=0,INDEX('FF Adj Parameters'!$A$21:$B$214,1,2),
            IFERROR(
                INDEX('FF Adj Parameters'!$A$21:$B$214,
                    MATCH(dscr,INDEX('FF Adj Parameters'!$A$21:$B$214,,1),1),2),
                'FF Adj Parameters'!$B$21)))
)</f>
        <v/>
      </c>
      <c r="J14" s="21">
        <f>LET(
    lien,'Loan Tape (S&amp;P)'!Q14,
    IF(lien="First",1.00,
        IF(lien="Second",1.50,
            1.70)))</f>
        <v/>
      </c>
      <c r="K14" s="21">
        <f>LET(
    purpose,'Loan Tape (S&amp;P)'!R14,
    IF(purpose="Purchase",1.00,
        IF(purpose="Remortgage",1.00,
            1.20)))</f>
        <v/>
      </c>
      <c r="L14" s="21">
        <f>LET(
    arrears_months,'Loan Tape (S&amp;P)'!AN14,
    IF(arrears_months=0,1.00,
    IF(arrears_months=1,3.00,
    IF(arrears_months=2,5.00,
    IF(arrears_months=3,8.00,
    IF(arrears_months=4,10.00,
    IF(arrears_months=5,12.00,15.00)))))))</f>
        <v/>
      </c>
      <c r="M14" s="21">
        <f>LET(
    seasoning_years,DATEDIF('Loan Tape (S&amp;P)'!K14,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" s="21">
        <f>IF(AND('Loan Tape (S&amp;P)'!U14="Yes",
        'Loan Tape (S&amp;P)'!T14&lt;&gt;"Yes",
        DATEDIF('Loan Tape (S&amp;P)'!K14, TODAY(), "M")&lt;18),
    1.10,
    1.00)</f>
        <v/>
      </c>
      <c r="O14" s="21">
        <f>IF('Loan Tape (S&amp;P)'!T14="Yes",
    1.35,
    1.00)</f>
        <v/>
      </c>
      <c r="P14" s="21">
        <f>IF('Loan Tape (S&amp;P)'!S14="Yes",
    1.15,
    1.00)</f>
        <v/>
      </c>
      <c r="Q14" s="21">
        <f>IF('Loan Tape (S&amp;P)'!V14="Yes",
    1.20,
    1.00)</f>
        <v/>
      </c>
      <c r="R14" s="21">
        <f>IF('Loan Tape (S&amp;P)'!T14="Yes",
    'FF Adj Parameters'!$B$40,
    1.00)</f>
        <v/>
      </c>
      <c r="S14" s="21">
        <f>LET(
    is_htb,'Loan Tape (S&amp;P)'!Q14="Yes",
    rate_type,'Loan Tape (S&amp;P)'!AS14,
    months_to_mat,'Loan Tape (S&amp;P)'!AU14,
    threshold,'FF Adj Parameters'!$B$1214,
    has_shock,AND(rate_type="Fixed",months_to_mat&lt;=threshold),
    IF(is_htb,1.00,IF(has_shock,'FF Adj Parameters'!$B$41,1.00))
)</f>
        <v/>
      </c>
      <c r="T14" s="21">
        <f>LET(
    payment_method,'Loan Tape (S&amp;P)'!P14,
    occupancy,'Loan Tape (S&amp;P)'!N14,
    maturity_date,'Loan Tape (S&amp;P)'!L14,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14" s="21">
        <f>IF(AND('Loan Tape (S&amp;P)'!V14="Yes",'Loan Tape (S&amp;P)'!N14&lt;&gt;"Buy to Let"),
    'FF Adj Parameters'!$B$42,
    1.00)</f>
        <v/>
      </c>
      <c r="V14" s="21">
        <f>IF('Loan Tape (S&amp;P)'!AV14="Yes",
    'FF Adj Parameters'!$B$43,
    1.00)</f>
        <v/>
      </c>
      <c r="W14" s="23">
        <f>IF('Loan Tape (S&amp;P)'!AC14&gt;0,
    'FF Adj Parameters'!$B$44,
    1.00)</f>
        <v/>
      </c>
      <c r="X14" s="21">
        <f>LET(
    has_bankruptcy,'Loan Tape (S&amp;P)'!AE14="Yes",
    has_iva,'Loan Tape (S&amp;P)'!AF14="Yes",
    has_repo,'Loan Tape (S&amp;P)'!AI14="Yes",
    mult,IF(has_repo,'FF Adj Parameters'!$B$47,
            IF(has_bankruptcy,'FF Adj Parameters'!$B$414,
                IF(has_iva,'FF Adj Parameters'!$B$46,
                    1.00))),
    MAX(mult,0.140)
)</f>
        <v/>
      </c>
      <c r="Y14" s="21">
        <f>LET(
    has_perf_arr,'Loan Tape (S&amp;P)'!AP14="Yes",
    perf_arr_date,'Loan Tape (S&amp;P)'!AQ14,
    last_90_date,'Loan Tape (S&amp;P)'!AR14,
    threshold_years,VLOOKUP('Control Panel'!$B$6,'Jurisdiction Parameters'!$A:$Q,17,FALSE),
    relevant_date,MAX(perf_arr_date,last_90_date),
    years_since,('Control Panel'!$B$10-relevant_date)/3614.214,
    IF(NOT(has_perf_arr),1.00,
        IF(years_since&gt;threshold_years,1.00,
            IF(years_since&lt;=1,INDEX('FF Adj Parameters'!$C$47:$C$140,1),
                IF(years_since&lt;=2,INDEX('FF Adj Parameters'!$C$47:$C$140,2),
                    IF(years_since&lt;=3,INDEX('FF Adj Parameters'!$C$47:$C$140,3),
                        INDEX('FF Adj Parameters'!$C$47:$C$140,4))))))
)</f>
        <v/>
      </c>
      <c r="Z14" s="24">
        <f>IFERROR(
        IF(L14&gt;=100,1.00,
            'Control Panel'!$B$18*F14*G14*MAX(H14,R14)*I14*J14*K14*L14*M14*N14*O14*P14*Q14*S14*T14*U14*V14*W14*X14*Y14
        ),
    0)</f>
        <v/>
      </c>
    </row>
    <row r="15">
      <c r="A15" s="17">
        <f>'Loan Tape (S&amp;P)'!A15</f>
        <v/>
      </c>
      <c r="B15" s="18">
        <f>'Loan Tape (S&amp;P)'!B15</f>
        <v/>
      </c>
      <c r="C15" s="20">
        <f>IFERROR('Loan Tape (S&amp;P)'!C15/'Loan Tape (S&amp;P)'!E15,0)</f>
        <v/>
      </c>
      <c r="D15" s="20">
        <f>IFERROR(
        'Loan Tape (S&amp;P)'!B15/
        ('Loan Tape (S&amp;P)'!D15*
        (1-IF('Loan Tape (S&amp;P)'!AT15&lt;&gt;"Full",
            VLOOKUP('Control Panel'!$B$6,'Jurisdiction Parameters'!$A:$D,4,FALSE),
        0))),
    0)</f>
        <v/>
      </c>
      <c r="E15" s="20">
        <f>('Control Panel'!$B$12*C15)+('Control Panel'!$B$13*D15)</f>
        <v/>
      </c>
      <c r="F15" s="22">
        <f>IFERROR(
        LET(
            juris,'Control Panel'!$B$6,
            ltv_val,E15,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5" s="21">
        <f>'Control Panel'!$B$14</f>
        <v/>
      </c>
      <c r="H15" s="21">
        <f>LET(
    income_mult,'Loan Tape (S&amp;P)'!Z15,
    IF(income_mult=0,1.00,
        IFERROR(
            INDEX('FF Adj Parameters'!$A$115:$B$17,
                MATCH(income_mult,INDEX('FF Adj Parameters'!$A$115:$B$17,,1),1),2),
            1.150))
)</f>
        <v/>
      </c>
      <c r="I15" s="21">
        <f>IF('Loan Tape (S&amp;P)'!N15&lt;&gt;"Buy to Let",1.00,
    LET(
        dscr,'Loan Tape (S&amp;P)'!AA15,
        IF(dscr=0,INDEX('FF Adj Parameters'!$A$21:$B$215,1,2),
            IFERROR(
                INDEX('FF Adj Parameters'!$A$21:$B$215,
                    MATCH(dscr,INDEX('FF Adj Parameters'!$A$21:$B$215,,1),1),2),
                'FF Adj Parameters'!$B$21)))
)</f>
        <v/>
      </c>
      <c r="J15" s="21">
        <f>LET(
    lien,'Loan Tape (S&amp;P)'!Q15,
    IF(lien="First",1.00,
        IF(lien="Second",1.50,
            1.70)))</f>
        <v/>
      </c>
      <c r="K15" s="21">
        <f>LET(
    purpose,'Loan Tape (S&amp;P)'!R15,
    IF(purpose="Purchase",1.00,
        IF(purpose="Remortgage",1.00,
            1.20)))</f>
        <v/>
      </c>
      <c r="L15" s="21">
        <f>LET(
    arrears_months,'Loan Tape (S&amp;P)'!AN15,
    IF(arrears_months=0,1.00,
    IF(arrears_months=1,3.00,
    IF(arrears_months=2,5.00,
    IF(arrears_months=3,8.00,
    IF(arrears_months=4,10.00,
    IF(arrears_months=5,12.00,15.00)))))))</f>
        <v/>
      </c>
      <c r="M15" s="21">
        <f>LET(
    seasoning_years,DATEDIF('Loan Tape (S&amp;P)'!K15,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" s="21">
        <f>IF(AND('Loan Tape (S&amp;P)'!U15="Yes",
        'Loan Tape (S&amp;P)'!T15&lt;&gt;"Yes",
        DATEDIF('Loan Tape (S&amp;P)'!K15, TODAY(), "M")&lt;18),
    1.10,
    1.00)</f>
        <v/>
      </c>
      <c r="O15" s="21">
        <f>IF('Loan Tape (S&amp;P)'!T15="Yes",
    1.35,
    1.00)</f>
        <v/>
      </c>
      <c r="P15" s="21">
        <f>IF('Loan Tape (S&amp;P)'!S15="Yes",
    1.15,
    1.00)</f>
        <v/>
      </c>
      <c r="Q15" s="21">
        <f>IF('Loan Tape (S&amp;P)'!V15="Yes",
    1.20,
    1.00)</f>
        <v/>
      </c>
      <c r="R15" s="21">
        <f>IF('Loan Tape (S&amp;P)'!T15="Yes",
    'FF Adj Parameters'!$B$40,
    1.00)</f>
        <v/>
      </c>
      <c r="S15" s="21">
        <f>LET(
    is_htb,'Loan Tape (S&amp;P)'!Q15="Yes",
    rate_type,'Loan Tape (S&amp;P)'!AS15,
    months_to_mat,'Loan Tape (S&amp;P)'!AU15,
    threshold,'FF Adj Parameters'!$B$1215,
    has_shock,AND(rate_type="Fixed",months_to_mat&lt;=threshold),
    IF(is_htb,1.00,IF(has_shock,'FF Adj Parameters'!$B$41,1.00))
)</f>
        <v/>
      </c>
      <c r="T15" s="21">
        <f>LET(
    payment_method,'Loan Tape (S&amp;P)'!P15,
    occupancy,'Loan Tape (S&amp;P)'!N15,
    maturity_date,'Loan Tape (S&amp;P)'!L15,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15" s="21">
        <f>IF(AND('Loan Tape (S&amp;P)'!V15="Yes",'Loan Tape (S&amp;P)'!N15&lt;&gt;"Buy to Let"),
    'FF Adj Parameters'!$B$42,
    1.00)</f>
        <v/>
      </c>
      <c r="V15" s="21">
        <f>IF('Loan Tape (S&amp;P)'!AV15="Yes",
    'FF Adj Parameters'!$B$43,
    1.00)</f>
        <v/>
      </c>
      <c r="W15" s="23">
        <f>IF('Loan Tape (S&amp;P)'!AC15&gt;0,
    'FF Adj Parameters'!$B$44,
    1.00)</f>
        <v/>
      </c>
      <c r="X15" s="21">
        <f>LET(
    has_bankruptcy,'Loan Tape (S&amp;P)'!AE15="Yes",
    has_iva,'Loan Tape (S&amp;P)'!AF15="Yes",
    has_repo,'Loan Tape (S&amp;P)'!AI15="Yes",
    mult,IF(has_repo,'FF Adj Parameters'!$B$47,
            IF(has_bankruptcy,'FF Adj Parameters'!$B$415,
                IF(has_iva,'FF Adj Parameters'!$B$46,
                    1.00))),
    MAX(mult,0.150)
)</f>
        <v/>
      </c>
      <c r="Y15" s="21">
        <f>LET(
    has_perf_arr,'Loan Tape (S&amp;P)'!AP15="Yes",
    perf_arr_date,'Loan Tape (S&amp;P)'!AQ15,
    last_90_date,'Loan Tape (S&amp;P)'!AR15,
    threshold_years,VLOOKUP('Control Panel'!$B$6,'Jurisdiction Parameters'!$A:$Q,17,FALSE),
    relevant_date,MAX(perf_arr_date,last_90_date),
    years_since,('Control Panel'!$B$10-relevant_date)/3615.215,
    IF(NOT(has_perf_arr),1.00,
        IF(years_since&gt;threshold_years,1.00,
            IF(years_since&lt;=1,INDEX('FF Adj Parameters'!$C$47:$C$150,1),
                IF(years_since&lt;=2,INDEX('FF Adj Parameters'!$C$47:$C$150,2),
                    IF(years_since&lt;=3,INDEX('FF Adj Parameters'!$C$47:$C$150,3),
                        INDEX('FF Adj Parameters'!$C$47:$C$150,4))))))
)</f>
        <v/>
      </c>
      <c r="Z15" s="24">
        <f>IFERROR(
        IF(L15&gt;=100,1.00,
            'Control Panel'!$B$18*F15*G15*MAX(H15,R15)*I15*J15*K15*L15*M15*N15*O15*P15*Q15*S15*T15*U15*V15*W15*X15*Y15
        ),
    0)</f>
        <v/>
      </c>
    </row>
    <row r="16">
      <c r="A16" s="17">
        <f>'Loan Tape (S&amp;P)'!A16</f>
        <v/>
      </c>
      <c r="B16" s="18">
        <f>'Loan Tape (S&amp;P)'!B16</f>
        <v/>
      </c>
      <c r="C16" s="20">
        <f>IFERROR('Loan Tape (S&amp;P)'!C16/'Loan Tape (S&amp;P)'!E16,0)</f>
        <v/>
      </c>
      <c r="D16" s="20">
        <f>IFERROR(
        'Loan Tape (S&amp;P)'!B16/
        ('Loan Tape (S&amp;P)'!D16*
        (1-IF('Loan Tape (S&amp;P)'!AT16&lt;&gt;"Full",
            VLOOKUP('Control Panel'!$B$6,'Jurisdiction Parameters'!$A:$D,4,FALSE),
        0))),
    0)</f>
        <v/>
      </c>
      <c r="E16" s="20">
        <f>('Control Panel'!$B$12*C16)+('Control Panel'!$B$13*D16)</f>
        <v/>
      </c>
      <c r="F16" s="22">
        <f>IFERROR(
        LET(
            juris,'Control Panel'!$B$6,
            ltv_val,E16,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6" s="21">
        <f>'Control Panel'!$B$14</f>
        <v/>
      </c>
      <c r="H16" s="21">
        <f>LET(
    income_mult,'Loan Tape (S&amp;P)'!Z16,
    IF(income_mult=0,1.00,
        IFERROR(
            INDEX('FF Adj Parameters'!$A$116:$B$17,
                MATCH(income_mult,INDEX('FF Adj Parameters'!$A$116:$B$17,,1),1),2),
            1.160))
)</f>
        <v/>
      </c>
      <c r="I16" s="21">
        <f>IF('Loan Tape (S&amp;P)'!N16&lt;&gt;"Buy to Let",1.00,
    LET(
        dscr,'Loan Tape (S&amp;P)'!AA16,
        IF(dscr=0,INDEX('FF Adj Parameters'!$A$21:$B$216,1,2),
            IFERROR(
                INDEX('FF Adj Parameters'!$A$21:$B$216,
                    MATCH(dscr,INDEX('FF Adj Parameters'!$A$21:$B$216,,1),1),2),
                'FF Adj Parameters'!$B$21)))
)</f>
        <v/>
      </c>
      <c r="J16" s="21">
        <f>LET(
    lien,'Loan Tape (S&amp;P)'!Q16,
    IF(lien="First",1.00,
        IF(lien="Second",1.50,
            1.70)))</f>
        <v/>
      </c>
      <c r="K16" s="21">
        <f>LET(
    purpose,'Loan Tape (S&amp;P)'!R16,
    IF(purpose="Purchase",1.00,
        IF(purpose="Remortgage",1.00,
            1.20)))</f>
        <v/>
      </c>
      <c r="L16" s="21">
        <f>LET(
    arrears_months,'Loan Tape (S&amp;P)'!AN16,
    IF(arrears_months=0,1.00,
    IF(arrears_months=1,3.00,
    IF(arrears_months=2,5.00,
    IF(arrears_months=3,8.00,
    IF(arrears_months=4,10.00,
    IF(arrears_months=5,12.00,15.00)))))))</f>
        <v/>
      </c>
      <c r="M16" s="21">
        <f>LET(
    seasoning_years,DATEDIF('Loan Tape (S&amp;P)'!K16,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" s="21">
        <f>IF(AND('Loan Tape (S&amp;P)'!U16="Yes",
        'Loan Tape (S&amp;P)'!T16&lt;&gt;"Yes",
        DATEDIF('Loan Tape (S&amp;P)'!K16, TODAY(), "M")&lt;18),
    1.10,
    1.00)</f>
        <v/>
      </c>
      <c r="O16" s="21">
        <f>IF('Loan Tape (S&amp;P)'!T16="Yes",
    1.35,
    1.00)</f>
        <v/>
      </c>
      <c r="P16" s="21">
        <f>IF('Loan Tape (S&amp;P)'!S16="Yes",
    1.15,
    1.00)</f>
        <v/>
      </c>
      <c r="Q16" s="21">
        <f>IF('Loan Tape (S&amp;P)'!V16="Yes",
    1.20,
    1.00)</f>
        <v/>
      </c>
      <c r="R16" s="21">
        <f>IF('Loan Tape (S&amp;P)'!T16="Yes",
    'FF Adj Parameters'!$B$40,
    1.00)</f>
        <v/>
      </c>
      <c r="S16" s="21">
        <f>LET(
    is_htb,'Loan Tape (S&amp;P)'!Q16="Yes",
    rate_type,'Loan Tape (S&amp;P)'!AS16,
    months_to_mat,'Loan Tape (S&amp;P)'!AU16,
    threshold,'FF Adj Parameters'!$B$1216,
    has_shock,AND(rate_type="Fixed",months_to_mat&lt;=threshold),
    IF(is_htb,1.00,IF(has_shock,'FF Adj Parameters'!$B$41,1.00))
)</f>
        <v/>
      </c>
      <c r="T16" s="21">
        <f>LET(
    payment_method,'Loan Tape (S&amp;P)'!P16,
    occupancy,'Loan Tape (S&amp;P)'!N16,
    maturity_date,'Loan Tape (S&amp;P)'!L16,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16" s="21">
        <f>IF(AND('Loan Tape (S&amp;P)'!V16="Yes",'Loan Tape (S&amp;P)'!N16&lt;&gt;"Buy to Let"),
    'FF Adj Parameters'!$B$42,
    1.00)</f>
        <v/>
      </c>
      <c r="V16" s="21">
        <f>IF('Loan Tape (S&amp;P)'!AV16="Yes",
    'FF Adj Parameters'!$B$43,
    1.00)</f>
        <v/>
      </c>
      <c r="W16" s="23">
        <f>IF('Loan Tape (S&amp;P)'!AC16&gt;0,
    'FF Adj Parameters'!$B$44,
    1.00)</f>
        <v/>
      </c>
      <c r="X16" s="21">
        <f>LET(
    has_bankruptcy,'Loan Tape (S&amp;P)'!AE16="Yes",
    has_iva,'Loan Tape (S&amp;P)'!AF16="Yes",
    has_repo,'Loan Tape (S&amp;P)'!AI16="Yes",
    mult,IF(has_repo,'FF Adj Parameters'!$B$47,
            IF(has_bankruptcy,'FF Adj Parameters'!$B$416,
                IF(has_iva,'FF Adj Parameters'!$B$46,
                    1.00))),
    MAX(mult,0.160)
)</f>
        <v/>
      </c>
      <c r="Y16" s="21">
        <f>LET(
    has_perf_arr,'Loan Tape (S&amp;P)'!AP16="Yes",
    perf_arr_date,'Loan Tape (S&amp;P)'!AQ16,
    last_90_date,'Loan Tape (S&amp;P)'!AR16,
    threshold_years,VLOOKUP('Control Panel'!$B$6,'Jurisdiction Parameters'!$A:$Q,17,FALSE),
    relevant_date,MAX(perf_arr_date,last_90_date),
    years_since,('Control Panel'!$B$10-relevant_date)/3616.216,
    IF(NOT(has_perf_arr),1.00,
        IF(years_since&gt;threshold_years,1.00,
            IF(years_since&lt;=1,INDEX('FF Adj Parameters'!$C$47:$C$160,1),
                IF(years_since&lt;=2,INDEX('FF Adj Parameters'!$C$47:$C$160,2),
                    IF(years_since&lt;=3,INDEX('FF Adj Parameters'!$C$47:$C$160,3),
                        INDEX('FF Adj Parameters'!$C$47:$C$160,4))))))
)</f>
        <v/>
      </c>
      <c r="Z16" s="24">
        <f>IFERROR(
        IF(L16&gt;=100,1.00,
            'Control Panel'!$B$18*F16*G16*MAX(H16,R16)*I16*J16*K16*L16*M16*N16*O16*P16*Q16*S16*T16*U16*V16*W16*X16*Y16
        ),
    0)</f>
        <v/>
      </c>
    </row>
    <row r="17">
      <c r="A17" s="17">
        <f>'Loan Tape (S&amp;P)'!A17</f>
        <v/>
      </c>
      <c r="B17" s="18">
        <f>'Loan Tape (S&amp;P)'!B17</f>
        <v/>
      </c>
      <c r="C17" s="20">
        <f>IFERROR('Loan Tape (S&amp;P)'!C17/'Loan Tape (S&amp;P)'!E17,0)</f>
        <v/>
      </c>
      <c r="D17" s="20">
        <f>IFERROR(
        'Loan Tape (S&amp;P)'!B17/
        ('Loan Tape (S&amp;P)'!D17*
        (1-IF('Loan Tape (S&amp;P)'!AT17&lt;&gt;"Full",
            VLOOKUP('Control Panel'!$B$6,'Jurisdiction Parameters'!$A:$D,4,FALSE),
        0))),
    0)</f>
        <v/>
      </c>
      <c r="E17" s="20">
        <f>('Control Panel'!$B$12*C17)+('Control Panel'!$B$13*D17)</f>
        <v/>
      </c>
      <c r="F17" s="22">
        <f>IFERROR(
        LET(
            juris,'Control Panel'!$B$6,
            ltv_val,E17,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7" s="21">
        <f>'Control Panel'!$B$14</f>
        <v/>
      </c>
      <c r="H17" s="21">
        <f>LET(
    income_mult,'Loan Tape (S&amp;P)'!Z17,
    IF(income_mult=0,1.00,
        IFERROR(
            INDEX('FF Adj Parameters'!$A$117:$B$17,
                MATCH(income_mult,INDEX('FF Adj Parameters'!$A$117:$B$17,,1),1),2),
            1.170))
)</f>
        <v/>
      </c>
      <c r="I17" s="21">
        <f>IF('Loan Tape (S&amp;P)'!N17&lt;&gt;"Buy to Let",1.00,
    LET(
        dscr,'Loan Tape (S&amp;P)'!AA17,
        IF(dscr=0,INDEX('FF Adj Parameters'!$A$21:$B$217,1,2),
            IFERROR(
                INDEX('FF Adj Parameters'!$A$21:$B$217,
                    MATCH(dscr,INDEX('FF Adj Parameters'!$A$21:$B$217,,1),1),2),
                'FF Adj Parameters'!$B$21)))
)</f>
        <v/>
      </c>
      <c r="J17" s="21">
        <f>LET(
    lien,'Loan Tape (S&amp;P)'!Q17,
    IF(lien="First",1.00,
        IF(lien="Second",1.50,
            1.70)))</f>
        <v/>
      </c>
      <c r="K17" s="21">
        <f>LET(
    purpose,'Loan Tape (S&amp;P)'!R17,
    IF(purpose="Purchase",1.00,
        IF(purpose="Remortgage",1.00,
            1.20)))</f>
        <v/>
      </c>
      <c r="L17" s="21">
        <f>LET(
    arrears_months,'Loan Tape (S&amp;P)'!AN17,
    IF(arrears_months=0,1.00,
    IF(arrears_months=1,3.00,
    IF(arrears_months=2,5.00,
    IF(arrears_months=3,8.00,
    IF(arrears_months=4,10.00,
    IF(arrears_months=5,12.00,15.00)))))))</f>
        <v/>
      </c>
      <c r="M17" s="21">
        <f>LET(
    seasoning_years,DATEDIF('Loan Tape (S&amp;P)'!K17,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" s="21">
        <f>IF(AND('Loan Tape (S&amp;P)'!U17="Yes",
        'Loan Tape (S&amp;P)'!T17&lt;&gt;"Yes",
        DATEDIF('Loan Tape (S&amp;P)'!K17, TODAY(), "M")&lt;18),
    1.10,
    1.00)</f>
        <v/>
      </c>
      <c r="O17" s="21">
        <f>IF('Loan Tape (S&amp;P)'!T17="Yes",
    1.35,
    1.00)</f>
        <v/>
      </c>
      <c r="P17" s="21">
        <f>IF('Loan Tape (S&amp;P)'!S17="Yes",
    1.15,
    1.00)</f>
        <v/>
      </c>
      <c r="Q17" s="21">
        <f>IF('Loan Tape (S&amp;P)'!V17="Yes",
    1.20,
    1.00)</f>
        <v/>
      </c>
      <c r="R17" s="21">
        <f>IF('Loan Tape (S&amp;P)'!T17="Yes",
    'FF Adj Parameters'!$B$40,
    1.00)</f>
        <v/>
      </c>
      <c r="S17" s="21">
        <f>LET(
    is_htb,'Loan Tape (S&amp;P)'!Q17="Yes",
    rate_type,'Loan Tape (S&amp;P)'!AS17,
    months_to_mat,'Loan Tape (S&amp;P)'!AU17,
    threshold,'FF Adj Parameters'!$B$1217,
    has_shock,AND(rate_type="Fixed",months_to_mat&lt;=threshold),
    IF(is_htb,1.00,IF(has_shock,'FF Adj Parameters'!$B$41,1.00))
)</f>
        <v/>
      </c>
      <c r="T17" s="21">
        <f>LET(
    payment_method,'Loan Tape (S&amp;P)'!P17,
    occupancy,'Loan Tape (S&amp;P)'!N17,
    maturity_date,'Loan Tape (S&amp;P)'!L17,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17" s="21">
        <f>IF(AND('Loan Tape (S&amp;P)'!V17="Yes",'Loan Tape (S&amp;P)'!N17&lt;&gt;"Buy to Let"),
    'FF Adj Parameters'!$B$42,
    1.00)</f>
        <v/>
      </c>
      <c r="V17" s="21">
        <f>IF('Loan Tape (S&amp;P)'!AV17="Yes",
    'FF Adj Parameters'!$B$43,
    1.00)</f>
        <v/>
      </c>
      <c r="W17" s="23">
        <f>IF('Loan Tape (S&amp;P)'!AC17&gt;0,
    'FF Adj Parameters'!$B$44,
    1.00)</f>
        <v/>
      </c>
      <c r="X17" s="21">
        <f>LET(
    has_bankruptcy,'Loan Tape (S&amp;P)'!AE17="Yes",
    has_iva,'Loan Tape (S&amp;P)'!AF17="Yes",
    has_repo,'Loan Tape (S&amp;P)'!AI17="Yes",
    mult,IF(has_repo,'FF Adj Parameters'!$B$47,
            IF(has_bankruptcy,'FF Adj Parameters'!$B$417,
                IF(has_iva,'FF Adj Parameters'!$B$46,
                    1.00))),
    MAX(mult,0.170)
)</f>
        <v/>
      </c>
      <c r="Y17" s="21">
        <f>LET(
    has_perf_arr,'Loan Tape (S&amp;P)'!AP17="Yes",
    perf_arr_date,'Loan Tape (S&amp;P)'!AQ17,
    last_90_date,'Loan Tape (S&amp;P)'!AR17,
    threshold_years,VLOOKUP('Control Panel'!$B$6,'Jurisdiction Parameters'!$A:$Q,17,FALSE),
    relevant_date,MAX(perf_arr_date,last_90_date),
    years_since,('Control Panel'!$B$10-relevant_date)/3617.217,
    IF(NOT(has_perf_arr),1.00,
        IF(years_since&gt;threshold_years,1.00,
            IF(years_since&lt;=1,INDEX('FF Adj Parameters'!$C$47:$C$170,1),
                IF(years_since&lt;=2,INDEX('FF Adj Parameters'!$C$47:$C$170,2),
                    IF(years_since&lt;=3,INDEX('FF Adj Parameters'!$C$47:$C$170,3),
                        INDEX('FF Adj Parameters'!$C$47:$C$170,4))))))
)</f>
        <v/>
      </c>
      <c r="Z17" s="24">
        <f>IFERROR(
        IF(L17&gt;=100,1.00,
            'Control Panel'!$B$18*F17*G17*MAX(H17,R17)*I17*J17*K17*L17*M17*N17*O17*P17*Q17*S17*T17*U17*V17*W17*X17*Y17
        ),
    0)</f>
        <v/>
      </c>
    </row>
    <row r="18">
      <c r="A18" s="17">
        <f>'Loan Tape (S&amp;P)'!A18</f>
        <v/>
      </c>
      <c r="B18" s="18">
        <f>'Loan Tape (S&amp;P)'!B18</f>
        <v/>
      </c>
      <c r="C18" s="20">
        <f>IFERROR('Loan Tape (S&amp;P)'!C18/'Loan Tape (S&amp;P)'!E18,0)</f>
        <v/>
      </c>
      <c r="D18" s="20">
        <f>IFERROR(
        'Loan Tape (S&amp;P)'!B18/
        ('Loan Tape (S&amp;P)'!D18*
        (1-IF('Loan Tape (S&amp;P)'!AT18&lt;&gt;"Full",
            VLOOKUP('Control Panel'!$B$6,'Jurisdiction Parameters'!$A:$D,4,FALSE),
        0))),
    0)</f>
        <v/>
      </c>
      <c r="E18" s="20">
        <f>('Control Panel'!$B$12*C18)+('Control Panel'!$B$13*D18)</f>
        <v/>
      </c>
      <c r="F18" s="22">
        <f>IFERROR(
        LET(
            juris,'Control Panel'!$B$6,
            ltv_val,E18,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8" s="21">
        <f>'Control Panel'!$B$14</f>
        <v/>
      </c>
      <c r="H18" s="21">
        <f>LET(
    income_mult,'Loan Tape (S&amp;P)'!Z18,
    IF(income_mult=0,1.00,
        IFERROR(
            INDEX('FF Adj Parameters'!$A$118:$B$17,
                MATCH(income_mult,INDEX('FF Adj Parameters'!$A$118:$B$17,,1),1),2),
            1.180))
)</f>
        <v/>
      </c>
      <c r="I18" s="21">
        <f>IF('Loan Tape (S&amp;P)'!N18&lt;&gt;"Buy to Let",1.00,
    LET(
        dscr,'Loan Tape (S&amp;P)'!AA18,
        IF(dscr=0,INDEX('FF Adj Parameters'!$A$21:$B$218,1,2),
            IFERROR(
                INDEX('FF Adj Parameters'!$A$21:$B$218,
                    MATCH(dscr,INDEX('FF Adj Parameters'!$A$21:$B$218,,1),1),2),
                'FF Adj Parameters'!$B$21)))
)</f>
        <v/>
      </c>
      <c r="J18" s="21">
        <f>LET(
    lien,'Loan Tape (S&amp;P)'!Q18,
    IF(lien="First",1.00,
        IF(lien="Second",1.50,
            1.70)))</f>
        <v/>
      </c>
      <c r="K18" s="21">
        <f>LET(
    purpose,'Loan Tape (S&amp;P)'!R18,
    IF(purpose="Purchase",1.00,
        IF(purpose="Remortgage",1.00,
            1.20)))</f>
        <v/>
      </c>
      <c r="L18" s="21">
        <f>LET(
    arrears_months,'Loan Tape (S&amp;P)'!AN18,
    IF(arrears_months=0,1.00,
    IF(arrears_months=1,3.00,
    IF(arrears_months=2,5.00,
    IF(arrears_months=3,8.00,
    IF(arrears_months=4,10.00,
    IF(arrears_months=5,12.00,15.00)))))))</f>
        <v/>
      </c>
      <c r="M18" s="21">
        <f>LET(
    seasoning_years,DATEDIF('Loan Tape (S&amp;P)'!K18,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" s="21">
        <f>IF(AND('Loan Tape (S&amp;P)'!U18="Yes",
        'Loan Tape (S&amp;P)'!T18&lt;&gt;"Yes",
        DATEDIF('Loan Tape (S&amp;P)'!K18, TODAY(), "M")&lt;18),
    1.10,
    1.00)</f>
        <v/>
      </c>
      <c r="O18" s="21">
        <f>IF('Loan Tape (S&amp;P)'!T18="Yes",
    1.35,
    1.00)</f>
        <v/>
      </c>
      <c r="P18" s="21">
        <f>IF('Loan Tape (S&amp;P)'!S18="Yes",
    1.15,
    1.00)</f>
        <v/>
      </c>
      <c r="Q18" s="21">
        <f>IF('Loan Tape (S&amp;P)'!V18="Yes",
    1.20,
    1.00)</f>
        <v/>
      </c>
      <c r="R18" s="21">
        <f>IF('Loan Tape (S&amp;P)'!T18="Yes",
    'FF Adj Parameters'!$B$40,
    1.00)</f>
        <v/>
      </c>
      <c r="S18" s="21">
        <f>LET(
    is_htb,'Loan Tape (S&amp;P)'!Q18="Yes",
    rate_type,'Loan Tape (S&amp;P)'!AS18,
    months_to_mat,'Loan Tape (S&amp;P)'!AU18,
    threshold,'FF Adj Parameters'!$B$1218,
    has_shock,AND(rate_type="Fixed",months_to_mat&lt;=threshold),
    IF(is_htb,1.00,IF(has_shock,'FF Adj Parameters'!$B$41,1.00))
)</f>
        <v/>
      </c>
      <c r="T18" s="21">
        <f>LET(
    payment_method,'Loan Tape (S&amp;P)'!P18,
    occupancy,'Loan Tape (S&amp;P)'!N18,
    maturity_date,'Loan Tape (S&amp;P)'!L18,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18" s="21">
        <f>IF(AND('Loan Tape (S&amp;P)'!V18="Yes",'Loan Tape (S&amp;P)'!N18&lt;&gt;"Buy to Let"),
    'FF Adj Parameters'!$B$42,
    1.00)</f>
        <v/>
      </c>
      <c r="V18" s="21">
        <f>IF('Loan Tape (S&amp;P)'!AV18="Yes",
    'FF Adj Parameters'!$B$43,
    1.00)</f>
        <v/>
      </c>
      <c r="W18" s="23">
        <f>IF('Loan Tape (S&amp;P)'!AC18&gt;0,
    'FF Adj Parameters'!$B$44,
    1.00)</f>
        <v/>
      </c>
      <c r="X18" s="21">
        <f>LET(
    has_bankruptcy,'Loan Tape (S&amp;P)'!AE18="Yes",
    has_iva,'Loan Tape (S&amp;P)'!AF18="Yes",
    has_repo,'Loan Tape (S&amp;P)'!AI18="Yes",
    mult,IF(has_repo,'FF Adj Parameters'!$B$47,
            IF(has_bankruptcy,'FF Adj Parameters'!$B$418,
                IF(has_iva,'FF Adj Parameters'!$B$46,
                    1.00))),
    MAX(mult,0.180)
)</f>
        <v/>
      </c>
      <c r="Y18" s="21">
        <f>LET(
    has_perf_arr,'Loan Tape (S&amp;P)'!AP18="Yes",
    perf_arr_date,'Loan Tape (S&amp;P)'!AQ18,
    last_90_date,'Loan Tape (S&amp;P)'!AR18,
    threshold_years,VLOOKUP('Control Panel'!$B$6,'Jurisdiction Parameters'!$A:$Q,17,FALSE),
    relevant_date,MAX(perf_arr_date,last_90_date),
    years_since,('Control Panel'!$B$10-relevant_date)/3618.218,
    IF(NOT(has_perf_arr),1.00,
        IF(years_since&gt;threshold_years,1.00,
            IF(years_since&lt;=1,INDEX('FF Adj Parameters'!$C$47:$C$180,1),
                IF(years_since&lt;=2,INDEX('FF Adj Parameters'!$C$47:$C$180,2),
                    IF(years_since&lt;=3,INDEX('FF Adj Parameters'!$C$47:$C$180,3),
                        INDEX('FF Adj Parameters'!$C$47:$C$180,4))))))
)</f>
        <v/>
      </c>
      <c r="Z18" s="24">
        <f>IFERROR(
        IF(L18&gt;=100,1.00,
            'Control Panel'!$B$18*F18*G18*MAX(H18,R18)*I18*J18*K18*L18*M18*N18*O18*P18*Q18*S18*T18*U18*V18*W18*X18*Y18
        ),
    0)</f>
        <v/>
      </c>
    </row>
    <row r="19">
      <c r="A19" s="17">
        <f>'Loan Tape (S&amp;P)'!A19</f>
        <v/>
      </c>
      <c r="B19" s="18">
        <f>'Loan Tape (S&amp;P)'!B19</f>
        <v/>
      </c>
      <c r="C19" s="20">
        <f>IFERROR('Loan Tape (S&amp;P)'!C19/'Loan Tape (S&amp;P)'!E19,0)</f>
        <v/>
      </c>
      <c r="D19" s="20">
        <f>IFERROR(
        'Loan Tape (S&amp;P)'!B19/
        ('Loan Tape (S&amp;P)'!D19*
        (1-IF('Loan Tape (S&amp;P)'!AT19&lt;&gt;"Full",
            VLOOKUP('Control Panel'!$B$6,'Jurisdiction Parameters'!$A:$D,4,FALSE),
        0))),
    0)</f>
        <v/>
      </c>
      <c r="E19" s="20">
        <f>('Control Panel'!$B$12*C19)+('Control Panel'!$B$13*D19)</f>
        <v/>
      </c>
      <c r="F19" s="22">
        <f>IFERROR(
        LET(
            juris,'Control Panel'!$B$6,
            ltv_val,E19,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9" s="21">
        <f>'Control Panel'!$B$14</f>
        <v/>
      </c>
      <c r="H19" s="21">
        <f>LET(
    income_mult,'Loan Tape (S&amp;P)'!Z19,
    IF(income_mult=0,1.00,
        IFERROR(
            INDEX('FF Adj Parameters'!$A$119:$B$17,
                MATCH(income_mult,INDEX('FF Adj Parameters'!$A$119:$B$17,,1),1),2),
            1.190))
)</f>
        <v/>
      </c>
      <c r="I19" s="21">
        <f>IF('Loan Tape (S&amp;P)'!N19&lt;&gt;"Buy to Let",1.00,
    LET(
        dscr,'Loan Tape (S&amp;P)'!AA19,
        IF(dscr=0,INDEX('FF Adj Parameters'!$A$21:$B$219,1,2),
            IFERROR(
                INDEX('FF Adj Parameters'!$A$21:$B$219,
                    MATCH(dscr,INDEX('FF Adj Parameters'!$A$21:$B$219,,1),1),2),
                'FF Adj Parameters'!$B$21)))
)</f>
        <v/>
      </c>
      <c r="J19" s="21">
        <f>LET(
    lien,'Loan Tape (S&amp;P)'!Q19,
    IF(lien="First",1.00,
        IF(lien="Second",1.50,
            1.70)))</f>
        <v/>
      </c>
      <c r="K19" s="21">
        <f>LET(
    purpose,'Loan Tape (S&amp;P)'!R19,
    IF(purpose="Purchase",1.00,
        IF(purpose="Remortgage",1.00,
            1.20)))</f>
        <v/>
      </c>
      <c r="L19" s="21">
        <f>LET(
    arrears_months,'Loan Tape (S&amp;P)'!AN19,
    IF(arrears_months=0,1.00,
    IF(arrears_months=1,3.00,
    IF(arrears_months=2,5.00,
    IF(arrears_months=3,8.00,
    IF(arrears_months=4,10.00,
    IF(arrears_months=5,12.00,15.00)))))))</f>
        <v/>
      </c>
      <c r="M19" s="21">
        <f>LET(
    seasoning_years,DATEDIF('Loan Tape (S&amp;P)'!K19,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" s="21">
        <f>IF(AND('Loan Tape (S&amp;P)'!U19="Yes",
        'Loan Tape (S&amp;P)'!T19&lt;&gt;"Yes",
        DATEDIF('Loan Tape (S&amp;P)'!K19, TODAY(), "M")&lt;18),
    1.10,
    1.00)</f>
        <v/>
      </c>
      <c r="O19" s="21">
        <f>IF('Loan Tape (S&amp;P)'!T19="Yes",
    1.35,
    1.00)</f>
        <v/>
      </c>
      <c r="P19" s="21">
        <f>IF('Loan Tape (S&amp;P)'!S19="Yes",
    1.15,
    1.00)</f>
        <v/>
      </c>
      <c r="Q19" s="21">
        <f>IF('Loan Tape (S&amp;P)'!V19="Yes",
    1.20,
    1.00)</f>
        <v/>
      </c>
      <c r="R19" s="21">
        <f>IF('Loan Tape (S&amp;P)'!T19="Yes",
    'FF Adj Parameters'!$B$40,
    1.00)</f>
        <v/>
      </c>
      <c r="S19" s="21">
        <f>LET(
    is_htb,'Loan Tape (S&amp;P)'!Q19="Yes",
    rate_type,'Loan Tape (S&amp;P)'!AS19,
    months_to_mat,'Loan Tape (S&amp;P)'!AU19,
    threshold,'FF Adj Parameters'!$B$1219,
    has_shock,AND(rate_type="Fixed",months_to_mat&lt;=threshold),
    IF(is_htb,1.00,IF(has_shock,'FF Adj Parameters'!$B$41,1.00))
)</f>
        <v/>
      </c>
      <c r="T19" s="21">
        <f>LET(
    payment_method,'Loan Tape (S&amp;P)'!P19,
    occupancy,'Loan Tape (S&amp;P)'!N19,
    maturity_date,'Loan Tape (S&amp;P)'!L19,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19" s="21">
        <f>IF(AND('Loan Tape (S&amp;P)'!V19="Yes",'Loan Tape (S&amp;P)'!N19&lt;&gt;"Buy to Let"),
    'FF Adj Parameters'!$B$42,
    1.00)</f>
        <v/>
      </c>
      <c r="V19" s="21">
        <f>IF('Loan Tape (S&amp;P)'!AV19="Yes",
    'FF Adj Parameters'!$B$43,
    1.00)</f>
        <v/>
      </c>
      <c r="W19" s="23">
        <f>IF('Loan Tape (S&amp;P)'!AC19&gt;0,
    'FF Adj Parameters'!$B$44,
    1.00)</f>
        <v/>
      </c>
      <c r="X19" s="21">
        <f>LET(
    has_bankruptcy,'Loan Tape (S&amp;P)'!AE19="Yes",
    has_iva,'Loan Tape (S&amp;P)'!AF19="Yes",
    has_repo,'Loan Tape (S&amp;P)'!AI19="Yes",
    mult,IF(has_repo,'FF Adj Parameters'!$B$47,
            IF(has_bankruptcy,'FF Adj Parameters'!$B$419,
                IF(has_iva,'FF Adj Parameters'!$B$46,
                    1.00))),
    MAX(mult,0.190)
)</f>
        <v/>
      </c>
      <c r="Y19" s="21">
        <f>LET(
    has_perf_arr,'Loan Tape (S&amp;P)'!AP19="Yes",
    perf_arr_date,'Loan Tape (S&amp;P)'!AQ19,
    last_90_date,'Loan Tape (S&amp;P)'!AR19,
    threshold_years,VLOOKUP('Control Panel'!$B$6,'Jurisdiction Parameters'!$A:$Q,17,FALSE),
    relevant_date,MAX(perf_arr_date,last_90_date),
    years_since,('Control Panel'!$B$10-relevant_date)/3619.219,
    IF(NOT(has_perf_arr),1.00,
        IF(years_since&gt;threshold_years,1.00,
            IF(years_since&lt;=1,INDEX('FF Adj Parameters'!$C$47:$C$190,1),
                IF(years_since&lt;=2,INDEX('FF Adj Parameters'!$C$47:$C$190,2),
                    IF(years_since&lt;=3,INDEX('FF Adj Parameters'!$C$47:$C$190,3),
                        INDEX('FF Adj Parameters'!$C$47:$C$190,4))))))
)</f>
        <v/>
      </c>
      <c r="Z19" s="24">
        <f>IFERROR(
        IF(L19&gt;=100,1.00,
            'Control Panel'!$B$18*F19*G19*MAX(H19,R19)*I19*J19*K19*L19*M19*N19*O19*P19*Q19*S19*T19*U19*V19*W19*X19*Y19
        ),
    0)</f>
        <v/>
      </c>
    </row>
    <row r="20">
      <c r="A20" s="17">
        <f>'Loan Tape (S&amp;P)'!A20</f>
        <v/>
      </c>
      <c r="B20" s="18">
        <f>'Loan Tape (S&amp;P)'!B20</f>
        <v/>
      </c>
      <c r="C20" s="20">
        <f>IFERROR('Loan Tape (S&amp;P)'!C20/'Loan Tape (S&amp;P)'!E20,0)</f>
        <v/>
      </c>
      <c r="D20" s="20">
        <f>IFERROR(
        'Loan Tape (S&amp;P)'!B20/
        ('Loan Tape (S&amp;P)'!D20*
        (1-IF('Loan Tape (S&amp;P)'!AT20&lt;&gt;"Full",
            VLOOKUP('Control Panel'!$B$6,'Jurisdiction Parameters'!$A:$D,4,FALSE),
        0))),
    0)</f>
        <v/>
      </c>
      <c r="E20" s="20">
        <f>('Control Panel'!$B$12*C20)+('Control Panel'!$B$13*D20)</f>
        <v/>
      </c>
      <c r="F20" s="22">
        <f>IFERROR(
        LET(
            juris,'Control Panel'!$B$6,
            ltv_val,E20,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0" s="21">
        <f>'Control Panel'!$B$14</f>
        <v/>
      </c>
      <c r="H20" s="21">
        <f>LET(
    income_mult,'Loan Tape (S&amp;P)'!Z20,
    IF(income_mult=0,1.00,
        IFERROR(
            INDEX('FF Adj Parameters'!$A$120:$B$17,
                MATCH(income_mult,INDEX('FF Adj Parameters'!$A$120:$B$17,,1),1),2),
            1.200))
)</f>
        <v/>
      </c>
      <c r="I20" s="21">
        <f>IF('Loan Tape (S&amp;P)'!N20&lt;&gt;"Buy to Let",1.00,
    LET(
        dscr,'Loan Tape (S&amp;P)'!AA20,
        IF(dscr=0,INDEX('FF Adj Parameters'!$A$21:$B$220,1,2),
            IFERROR(
                INDEX('FF Adj Parameters'!$A$21:$B$220,
                    MATCH(dscr,INDEX('FF Adj Parameters'!$A$21:$B$220,,1),1),2),
                'FF Adj Parameters'!$B$21)))
)</f>
        <v/>
      </c>
      <c r="J20" s="21">
        <f>LET(
    lien,'Loan Tape (S&amp;P)'!Q20,
    IF(lien="First",1.00,
        IF(lien="Second",1.50,
            1.70)))</f>
        <v/>
      </c>
      <c r="K20" s="21">
        <f>LET(
    purpose,'Loan Tape (S&amp;P)'!R20,
    IF(purpose="Purchase",1.00,
        IF(purpose="Remortgage",1.00,
            1.20)))</f>
        <v/>
      </c>
      <c r="L20" s="21">
        <f>LET(
    arrears_months,'Loan Tape (S&amp;P)'!AN20,
    IF(arrears_months=0,1.00,
    IF(arrears_months=1,3.00,
    IF(arrears_months=2,5.00,
    IF(arrears_months=3,8.00,
    IF(arrears_months=4,10.00,
    IF(arrears_months=5,12.00,15.00)))))))</f>
        <v/>
      </c>
      <c r="M20" s="21">
        <f>LET(
    seasoning_years,DATEDIF('Loan Tape (S&amp;P)'!K20,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" s="21">
        <f>IF(AND('Loan Tape (S&amp;P)'!U20="Yes",
        'Loan Tape (S&amp;P)'!T20&lt;&gt;"Yes",
        DATEDIF('Loan Tape (S&amp;P)'!K20, TODAY(), "M")&lt;18),
    1.10,
    1.00)</f>
        <v/>
      </c>
      <c r="O20" s="21">
        <f>IF('Loan Tape (S&amp;P)'!T20="Yes",
    1.35,
    1.00)</f>
        <v/>
      </c>
      <c r="P20" s="21">
        <f>IF('Loan Tape (S&amp;P)'!S20="Yes",
    1.15,
    1.00)</f>
        <v/>
      </c>
      <c r="Q20" s="21">
        <f>IF('Loan Tape (S&amp;P)'!V20="Yes",
    1.20,
    1.00)</f>
        <v/>
      </c>
      <c r="R20" s="21">
        <f>IF('Loan Tape (S&amp;P)'!T20="Yes",
    'FF Adj Parameters'!$B$40,
    1.00)</f>
        <v/>
      </c>
      <c r="S20" s="21">
        <f>LET(
    is_htb,'Loan Tape (S&amp;P)'!Q20="Yes",
    rate_type,'Loan Tape (S&amp;P)'!AS20,
    months_to_mat,'Loan Tape (S&amp;P)'!AU20,
    threshold,'FF Adj Parameters'!$B$1220,
    has_shock,AND(rate_type="Fixed",months_to_mat&lt;=threshold),
    IF(is_htb,1.00,IF(has_shock,'FF Adj Parameters'!$B$41,1.00))
)</f>
        <v/>
      </c>
      <c r="T20" s="21">
        <f>LET(
    payment_method,'Loan Tape (S&amp;P)'!P20,
    occupancy,'Loan Tape (S&amp;P)'!N20,
    maturity_date,'Loan Tape (S&amp;P)'!L20,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20" s="21">
        <f>IF(AND('Loan Tape (S&amp;P)'!V20="Yes",'Loan Tape (S&amp;P)'!N20&lt;&gt;"Buy to Let"),
    'FF Adj Parameters'!$B$42,
    1.00)</f>
        <v/>
      </c>
      <c r="V20" s="21">
        <f>IF('Loan Tape (S&amp;P)'!AV20="Yes",
    'FF Adj Parameters'!$B$43,
    1.00)</f>
        <v/>
      </c>
      <c r="W20" s="23">
        <f>IF('Loan Tape (S&amp;P)'!AC20&gt;0,
    'FF Adj Parameters'!$B$44,
    1.00)</f>
        <v/>
      </c>
      <c r="X20" s="21">
        <f>LET(
    has_bankruptcy,'Loan Tape (S&amp;P)'!AE20="Yes",
    has_iva,'Loan Tape (S&amp;P)'!AF20="Yes",
    has_repo,'Loan Tape (S&amp;P)'!AI20="Yes",
    mult,IF(has_repo,'FF Adj Parameters'!$B$47,
            IF(has_bankruptcy,'FF Adj Parameters'!$B$420,
                IF(has_iva,'FF Adj Parameters'!$B$46,
                    1.00))),
    MAX(mult,0.200)
)</f>
        <v/>
      </c>
      <c r="Y20" s="21">
        <f>LET(
    has_perf_arr,'Loan Tape (S&amp;P)'!AP20="Yes",
    perf_arr_date,'Loan Tape (S&amp;P)'!AQ20,
    last_90_date,'Loan Tape (S&amp;P)'!AR20,
    threshold_years,VLOOKUP('Control Panel'!$B$6,'Jurisdiction Parameters'!$A:$Q,17,FALSE),
    relevant_date,MAX(perf_arr_date,last_90_date),
    years_since,('Control Panel'!$B$10-relevant_date)/3620.220,
    IF(NOT(has_perf_arr),1.00,
        IF(years_since&gt;threshold_years,1.00,
            IF(years_since&lt;=1,INDEX('FF Adj Parameters'!$C$47:$C$200,1),
                IF(years_since&lt;=2,INDEX('FF Adj Parameters'!$C$47:$C$200,2),
                    IF(years_since&lt;=3,INDEX('FF Adj Parameters'!$C$47:$C$200,3),
                        INDEX('FF Adj Parameters'!$C$47:$C$200,4))))))
)</f>
        <v/>
      </c>
      <c r="Z20" s="24">
        <f>IFERROR(
        IF(L20&gt;=100,1.00,
            'Control Panel'!$B$18*F20*G20*MAX(H20,R20)*I20*J20*K20*L20*M20*N20*O20*P20*Q20*S20*T20*U20*V20*W20*X20*Y20
        ),
    0)</f>
        <v/>
      </c>
    </row>
    <row r="21">
      <c r="A21" s="17">
        <f>'Loan Tape (S&amp;P)'!A21</f>
        <v/>
      </c>
      <c r="B21" s="18">
        <f>'Loan Tape (S&amp;P)'!B21</f>
        <v/>
      </c>
      <c r="C21" s="20">
        <f>IFERROR('Loan Tape (S&amp;P)'!C21/'Loan Tape (S&amp;P)'!E21,0)</f>
        <v/>
      </c>
      <c r="D21" s="20">
        <f>IFERROR(
        'Loan Tape (S&amp;P)'!B21/
        ('Loan Tape (S&amp;P)'!D21*
        (1-IF('Loan Tape (S&amp;P)'!AT21&lt;&gt;"Full",
            VLOOKUP('Control Panel'!$B$6,'Jurisdiction Parameters'!$A:$D,4,FALSE),
        0))),
    0)</f>
        <v/>
      </c>
      <c r="E21" s="20">
        <f>('Control Panel'!$B$12*C21)+('Control Panel'!$B$13*D21)</f>
        <v/>
      </c>
      <c r="F21" s="22">
        <f>IFERROR(
        LET(
            juris,'Control Panel'!$B$6,
            ltv_val,E21,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1" s="21">
        <f>'Control Panel'!$B$14</f>
        <v/>
      </c>
      <c r="H21" s="21">
        <f>LET(
    income_mult,'Loan Tape (S&amp;P)'!Z21,
    IF(income_mult=0,1.00,
        IFERROR(
            INDEX('FF Adj Parameters'!$A$121:$B$17,
                MATCH(income_mult,INDEX('FF Adj Parameters'!$A$121:$B$17,,1),1),2),
            1.210))
)</f>
        <v/>
      </c>
      <c r="I21" s="21">
        <f>IF('Loan Tape (S&amp;P)'!N21&lt;&gt;"Buy to Let",1.00,
    LET(
        dscr,'Loan Tape (S&amp;P)'!AA21,
        IF(dscr=0,INDEX('FF Adj Parameters'!$A$21:$B$221,1,2),
            IFERROR(
                INDEX('FF Adj Parameters'!$A$21:$B$221,
                    MATCH(dscr,INDEX('FF Adj Parameters'!$A$21:$B$221,,1),1),2),
                'FF Adj Parameters'!$B$21)))
)</f>
        <v/>
      </c>
      <c r="J21" s="21">
        <f>LET(
    lien,'Loan Tape (S&amp;P)'!Q21,
    IF(lien="First",1.00,
        IF(lien="Second",1.50,
            1.70)))</f>
        <v/>
      </c>
      <c r="K21" s="21">
        <f>LET(
    purpose,'Loan Tape (S&amp;P)'!R21,
    IF(purpose="Purchase",1.00,
        IF(purpose="Remortgage",1.00,
            1.20)))</f>
        <v/>
      </c>
      <c r="L21" s="21">
        <f>LET(
    arrears_months,'Loan Tape (S&amp;P)'!AN21,
    IF(arrears_months=0,1.00,
    IF(arrears_months=1,3.00,
    IF(arrears_months=2,5.00,
    IF(arrears_months=3,8.00,
    IF(arrears_months=4,10.00,
    IF(arrears_months=5,12.00,15.00)))))))</f>
        <v/>
      </c>
      <c r="M21" s="21">
        <f>LET(
    seasoning_years,DATEDIF('Loan Tape (S&amp;P)'!K21,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" s="21">
        <f>IF(AND('Loan Tape (S&amp;P)'!U21="Yes",
        'Loan Tape (S&amp;P)'!T21&lt;&gt;"Yes",
        DATEDIF('Loan Tape (S&amp;P)'!K21, TODAY(), "M")&lt;18),
    1.10,
    1.00)</f>
        <v/>
      </c>
      <c r="O21" s="21">
        <f>IF('Loan Tape (S&amp;P)'!T21="Yes",
    1.35,
    1.00)</f>
        <v/>
      </c>
      <c r="P21" s="21">
        <f>IF('Loan Tape (S&amp;P)'!S21="Yes",
    1.15,
    1.00)</f>
        <v/>
      </c>
      <c r="Q21" s="21">
        <f>IF('Loan Tape (S&amp;P)'!V21="Yes",
    1.20,
    1.00)</f>
        <v/>
      </c>
      <c r="R21" s="21">
        <f>IF('Loan Tape (S&amp;P)'!T21="Yes",
    'FF Adj Parameters'!$B$40,
    1.00)</f>
        <v/>
      </c>
      <c r="S21" s="21">
        <f>LET(
    is_htb,'Loan Tape (S&amp;P)'!Q21="Yes",
    rate_type,'Loan Tape (S&amp;P)'!AS21,
    months_to_mat,'Loan Tape (S&amp;P)'!AU21,
    threshold,'FF Adj Parameters'!$B$1221,
    has_shock,AND(rate_type="Fixed",months_to_mat&lt;=threshold),
    IF(is_htb,1.00,IF(has_shock,'FF Adj Parameters'!$B$41,1.00))
)</f>
        <v/>
      </c>
      <c r="T21" s="21">
        <f>LET(
    payment_method,'Loan Tape (S&amp;P)'!P21,
    occupancy,'Loan Tape (S&amp;P)'!N21,
    maturity_date,'Loan Tape (S&amp;P)'!L21,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21" s="21">
        <f>IF(AND('Loan Tape (S&amp;P)'!V21="Yes",'Loan Tape (S&amp;P)'!N21&lt;&gt;"Buy to Let"),
    'FF Adj Parameters'!$B$42,
    1.00)</f>
        <v/>
      </c>
      <c r="V21" s="21">
        <f>IF('Loan Tape (S&amp;P)'!AV21="Yes",
    'FF Adj Parameters'!$B$43,
    1.00)</f>
        <v/>
      </c>
      <c r="W21" s="23">
        <f>IF('Loan Tape (S&amp;P)'!AC21&gt;0,
    'FF Adj Parameters'!$B$44,
    1.00)</f>
        <v/>
      </c>
      <c r="X21" s="21">
        <f>LET(
    has_bankruptcy,'Loan Tape (S&amp;P)'!AE21="Yes",
    has_iva,'Loan Tape (S&amp;P)'!AF21="Yes",
    has_repo,'Loan Tape (S&amp;P)'!AI21="Yes",
    mult,IF(has_repo,'FF Adj Parameters'!$B$47,
            IF(has_bankruptcy,'FF Adj Parameters'!$B$421,
                IF(has_iva,'FF Adj Parameters'!$B$46,
                    1.00))),
    MAX(mult,0.210)
)</f>
        <v/>
      </c>
      <c r="Y21" s="21">
        <f>LET(
    has_perf_arr,'Loan Tape (S&amp;P)'!AP21="Yes",
    perf_arr_date,'Loan Tape (S&amp;P)'!AQ21,
    last_90_date,'Loan Tape (S&amp;P)'!AR21,
    threshold_years,VLOOKUP('Control Panel'!$B$6,'Jurisdiction Parameters'!$A:$Q,17,FALSE),
    relevant_date,MAX(perf_arr_date,last_90_date),
    years_since,('Control Panel'!$B$10-relevant_date)/3621.221,
    IF(NOT(has_perf_arr),1.00,
        IF(years_since&gt;threshold_years,1.00,
            IF(years_since&lt;=1,INDEX('FF Adj Parameters'!$C$47:$C$210,1),
                IF(years_since&lt;=2,INDEX('FF Adj Parameters'!$C$47:$C$210,2),
                    IF(years_since&lt;=3,INDEX('FF Adj Parameters'!$C$47:$C$210,3),
                        INDEX('FF Adj Parameters'!$C$47:$C$210,4))))))
)</f>
        <v/>
      </c>
      <c r="Z21" s="24">
        <f>IFERROR(
        IF(L21&gt;=100,1.00,
            'Control Panel'!$B$18*F21*G21*MAX(H21,R21)*I21*J21*K21*L21*M21*N21*O21*P21*Q21*S21*T21*U21*V21*W21*X21*Y21
        ),
    0)</f>
        <v/>
      </c>
    </row>
    <row r="22">
      <c r="A22" s="17">
        <f>'Loan Tape (S&amp;P)'!A22</f>
        <v/>
      </c>
      <c r="B22" s="18">
        <f>'Loan Tape (S&amp;P)'!B22</f>
        <v/>
      </c>
      <c r="C22" s="20">
        <f>IFERROR('Loan Tape (S&amp;P)'!C22/'Loan Tape (S&amp;P)'!E22,0)</f>
        <v/>
      </c>
      <c r="D22" s="20">
        <f>IFERROR(
        'Loan Tape (S&amp;P)'!B22/
        ('Loan Tape (S&amp;P)'!D22*
        (1-IF('Loan Tape (S&amp;P)'!AT22&lt;&gt;"Full",
            VLOOKUP('Control Panel'!$B$6,'Jurisdiction Parameters'!$A:$D,4,FALSE),
        0))),
    0)</f>
        <v/>
      </c>
      <c r="E22" s="20">
        <f>('Control Panel'!$B$12*C22)+('Control Panel'!$B$13*D22)</f>
        <v/>
      </c>
      <c r="F22" s="22">
        <f>IFERROR(
        LET(
            juris,'Control Panel'!$B$6,
            ltv_val,E22,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2" s="21">
        <f>'Control Panel'!$B$14</f>
        <v/>
      </c>
      <c r="H22" s="21">
        <f>LET(
    income_mult,'Loan Tape (S&amp;P)'!Z22,
    IF(income_mult=0,1.00,
        IFERROR(
            INDEX('FF Adj Parameters'!$A$122:$B$17,
                MATCH(income_mult,INDEX('FF Adj Parameters'!$A$122:$B$17,,1),1),2),
            1.220))
)</f>
        <v/>
      </c>
      <c r="I22" s="21">
        <f>IF('Loan Tape (S&amp;P)'!N22&lt;&gt;"Buy to Let",1.00,
    LET(
        dscr,'Loan Tape (S&amp;P)'!AA22,
        IF(dscr=0,INDEX('FF Adj Parameters'!$A$21:$B$222,1,2),
            IFERROR(
                INDEX('FF Adj Parameters'!$A$21:$B$222,
                    MATCH(dscr,INDEX('FF Adj Parameters'!$A$21:$B$222,,1),1),2),
                'FF Adj Parameters'!$B$21)))
)</f>
        <v/>
      </c>
      <c r="J22" s="21">
        <f>LET(
    lien,'Loan Tape (S&amp;P)'!Q22,
    IF(lien="First",1.00,
        IF(lien="Second",1.50,
            1.70)))</f>
        <v/>
      </c>
      <c r="K22" s="21">
        <f>LET(
    purpose,'Loan Tape (S&amp;P)'!R22,
    IF(purpose="Purchase",1.00,
        IF(purpose="Remortgage",1.00,
            1.20)))</f>
        <v/>
      </c>
      <c r="L22" s="21">
        <f>LET(
    arrears_months,'Loan Tape (S&amp;P)'!AN22,
    IF(arrears_months=0,1.00,
    IF(arrears_months=1,3.00,
    IF(arrears_months=2,5.00,
    IF(arrears_months=3,8.00,
    IF(arrears_months=4,10.00,
    IF(arrears_months=5,12.00,15.00)))))))</f>
        <v/>
      </c>
      <c r="M22" s="21">
        <f>LET(
    seasoning_years,DATEDIF('Loan Tape (S&amp;P)'!K22,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" s="21">
        <f>IF(AND('Loan Tape (S&amp;P)'!U22="Yes",
        'Loan Tape (S&amp;P)'!T22&lt;&gt;"Yes",
        DATEDIF('Loan Tape (S&amp;P)'!K22, TODAY(), "M")&lt;18),
    1.10,
    1.00)</f>
        <v/>
      </c>
      <c r="O22" s="21">
        <f>IF('Loan Tape (S&amp;P)'!T22="Yes",
    1.35,
    1.00)</f>
        <v/>
      </c>
      <c r="P22" s="21">
        <f>IF('Loan Tape (S&amp;P)'!S22="Yes",
    1.15,
    1.00)</f>
        <v/>
      </c>
      <c r="Q22" s="21">
        <f>IF('Loan Tape (S&amp;P)'!V22="Yes",
    1.20,
    1.00)</f>
        <v/>
      </c>
      <c r="R22" s="21">
        <f>IF('Loan Tape (S&amp;P)'!T22="Yes",
    'FF Adj Parameters'!$B$40,
    1.00)</f>
        <v/>
      </c>
      <c r="S22" s="21">
        <f>LET(
    is_htb,'Loan Tape (S&amp;P)'!Q22="Yes",
    rate_type,'Loan Tape (S&amp;P)'!AS22,
    months_to_mat,'Loan Tape (S&amp;P)'!AU22,
    threshold,'FF Adj Parameters'!$B$1222,
    has_shock,AND(rate_type="Fixed",months_to_mat&lt;=threshold),
    IF(is_htb,1.00,IF(has_shock,'FF Adj Parameters'!$B$41,1.00))
)</f>
        <v/>
      </c>
      <c r="T22" s="21">
        <f>LET(
    payment_method,'Loan Tape (S&amp;P)'!P22,
    occupancy,'Loan Tape (S&amp;P)'!N22,
    maturity_date,'Loan Tape (S&amp;P)'!L22,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22" s="21">
        <f>IF(AND('Loan Tape (S&amp;P)'!V22="Yes",'Loan Tape (S&amp;P)'!N22&lt;&gt;"Buy to Let"),
    'FF Adj Parameters'!$B$42,
    1.00)</f>
        <v/>
      </c>
      <c r="V22" s="21">
        <f>IF('Loan Tape (S&amp;P)'!AV22="Yes",
    'FF Adj Parameters'!$B$43,
    1.00)</f>
        <v/>
      </c>
      <c r="W22" s="23">
        <f>IF('Loan Tape (S&amp;P)'!AC22&gt;0,
    'FF Adj Parameters'!$B$44,
    1.00)</f>
        <v/>
      </c>
      <c r="X22" s="21">
        <f>LET(
    has_bankruptcy,'Loan Tape (S&amp;P)'!AE22="Yes",
    has_iva,'Loan Tape (S&amp;P)'!AF22="Yes",
    has_repo,'Loan Tape (S&amp;P)'!AI22="Yes",
    mult,IF(has_repo,'FF Adj Parameters'!$B$47,
            IF(has_bankruptcy,'FF Adj Parameters'!$B$422,
                IF(has_iva,'FF Adj Parameters'!$B$46,
                    1.00))),
    MAX(mult,0.220)
)</f>
        <v/>
      </c>
      <c r="Y22" s="21">
        <f>LET(
    has_perf_arr,'Loan Tape (S&amp;P)'!AP22="Yes",
    perf_arr_date,'Loan Tape (S&amp;P)'!AQ22,
    last_90_date,'Loan Tape (S&amp;P)'!AR22,
    threshold_years,VLOOKUP('Control Panel'!$B$6,'Jurisdiction Parameters'!$A:$Q,17,FALSE),
    relevant_date,MAX(perf_arr_date,last_90_date),
    years_since,('Control Panel'!$B$10-relevant_date)/3622.222,
    IF(NOT(has_perf_arr),1.00,
        IF(years_since&gt;threshold_years,1.00,
            IF(years_since&lt;=1,INDEX('FF Adj Parameters'!$C$47:$C$220,1),
                IF(years_since&lt;=2,INDEX('FF Adj Parameters'!$C$47:$C$220,2),
                    IF(years_since&lt;=3,INDEX('FF Adj Parameters'!$C$47:$C$220,3),
                        INDEX('FF Adj Parameters'!$C$47:$C$220,4))))))
)</f>
        <v/>
      </c>
      <c r="Z22" s="24">
        <f>IFERROR(
        IF(L22&gt;=100,1.00,
            'Control Panel'!$B$18*F22*G22*MAX(H22,R22)*I22*J22*K22*L22*M22*N22*O22*P22*Q22*S22*T22*U22*V22*W22*X22*Y22
        ),
    0)</f>
        <v/>
      </c>
    </row>
    <row r="23">
      <c r="A23" s="17">
        <f>'Loan Tape (S&amp;P)'!A23</f>
        <v/>
      </c>
      <c r="B23" s="18">
        <f>'Loan Tape (S&amp;P)'!B23</f>
        <v/>
      </c>
      <c r="C23" s="20">
        <f>IFERROR('Loan Tape (S&amp;P)'!C23/'Loan Tape (S&amp;P)'!E23,0)</f>
        <v/>
      </c>
      <c r="D23" s="20">
        <f>IFERROR(
        'Loan Tape (S&amp;P)'!B23/
        ('Loan Tape (S&amp;P)'!D23*
        (1-IF('Loan Tape (S&amp;P)'!AT23&lt;&gt;"Full",
            VLOOKUP('Control Panel'!$B$6,'Jurisdiction Parameters'!$A:$D,4,FALSE),
        0))),
    0)</f>
        <v/>
      </c>
      <c r="E23" s="20">
        <f>('Control Panel'!$B$12*C23)+('Control Panel'!$B$13*D23)</f>
        <v/>
      </c>
      <c r="F23" s="22">
        <f>IFERROR(
        LET(
            juris,'Control Panel'!$B$6,
            ltv_val,E23,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3" s="21">
        <f>'Control Panel'!$B$14</f>
        <v/>
      </c>
      <c r="H23" s="21">
        <f>LET(
    income_mult,'Loan Tape (S&amp;P)'!Z23,
    IF(income_mult=0,1.00,
        IFERROR(
            INDEX('FF Adj Parameters'!$A$123:$B$17,
                MATCH(income_mult,INDEX('FF Adj Parameters'!$A$123:$B$17,,1),1),2),
            1.230))
)</f>
        <v/>
      </c>
      <c r="I23" s="21">
        <f>IF('Loan Tape (S&amp;P)'!N23&lt;&gt;"Buy to Let",1.00,
    LET(
        dscr,'Loan Tape (S&amp;P)'!AA23,
        IF(dscr=0,INDEX('FF Adj Parameters'!$A$21:$B$223,1,2),
            IFERROR(
                INDEX('FF Adj Parameters'!$A$21:$B$223,
                    MATCH(dscr,INDEX('FF Adj Parameters'!$A$21:$B$223,,1),1),2),
                'FF Adj Parameters'!$B$21)))
)</f>
        <v/>
      </c>
      <c r="J23" s="21">
        <f>LET(
    lien,'Loan Tape (S&amp;P)'!Q23,
    IF(lien="First",1.00,
        IF(lien="Second",1.50,
            1.70)))</f>
        <v/>
      </c>
      <c r="K23" s="21">
        <f>LET(
    purpose,'Loan Tape (S&amp;P)'!R23,
    IF(purpose="Purchase",1.00,
        IF(purpose="Remortgage",1.00,
            1.20)))</f>
        <v/>
      </c>
      <c r="L23" s="21">
        <f>LET(
    arrears_months,'Loan Tape (S&amp;P)'!AN23,
    IF(arrears_months=0,1.00,
    IF(arrears_months=1,3.00,
    IF(arrears_months=2,5.00,
    IF(arrears_months=3,8.00,
    IF(arrears_months=4,10.00,
    IF(arrears_months=5,12.00,15.00)))))))</f>
        <v/>
      </c>
      <c r="M23" s="21">
        <f>LET(
    seasoning_years,DATEDIF('Loan Tape (S&amp;P)'!K23,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" s="21">
        <f>IF(AND('Loan Tape (S&amp;P)'!U23="Yes",
        'Loan Tape (S&amp;P)'!T23&lt;&gt;"Yes",
        DATEDIF('Loan Tape (S&amp;P)'!K23, TODAY(), "M")&lt;18),
    1.10,
    1.00)</f>
        <v/>
      </c>
      <c r="O23" s="21">
        <f>IF('Loan Tape (S&amp;P)'!T23="Yes",
    1.35,
    1.00)</f>
        <v/>
      </c>
      <c r="P23" s="21">
        <f>IF('Loan Tape (S&amp;P)'!S23="Yes",
    1.15,
    1.00)</f>
        <v/>
      </c>
      <c r="Q23" s="21">
        <f>IF('Loan Tape (S&amp;P)'!V23="Yes",
    1.20,
    1.00)</f>
        <v/>
      </c>
      <c r="R23" s="21">
        <f>IF('Loan Tape (S&amp;P)'!T23="Yes",
    'FF Adj Parameters'!$B$40,
    1.00)</f>
        <v/>
      </c>
      <c r="S23" s="21">
        <f>LET(
    is_htb,'Loan Tape (S&amp;P)'!Q23="Yes",
    rate_type,'Loan Tape (S&amp;P)'!AS23,
    months_to_mat,'Loan Tape (S&amp;P)'!AU23,
    threshold,'FF Adj Parameters'!$B$1223,
    has_shock,AND(rate_type="Fixed",months_to_mat&lt;=threshold),
    IF(is_htb,1.00,IF(has_shock,'FF Adj Parameters'!$B$41,1.00))
)</f>
        <v/>
      </c>
      <c r="T23" s="21">
        <f>LET(
    payment_method,'Loan Tape (S&amp;P)'!P23,
    occupancy,'Loan Tape (S&amp;P)'!N23,
    maturity_date,'Loan Tape (S&amp;P)'!L23,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23" s="21">
        <f>IF(AND('Loan Tape (S&amp;P)'!V23="Yes",'Loan Tape (S&amp;P)'!N23&lt;&gt;"Buy to Let"),
    'FF Adj Parameters'!$B$42,
    1.00)</f>
        <v/>
      </c>
      <c r="V23" s="21">
        <f>IF('Loan Tape (S&amp;P)'!AV23="Yes",
    'FF Adj Parameters'!$B$43,
    1.00)</f>
        <v/>
      </c>
      <c r="W23" s="23">
        <f>IF('Loan Tape (S&amp;P)'!AC23&gt;0,
    'FF Adj Parameters'!$B$44,
    1.00)</f>
        <v/>
      </c>
      <c r="X23" s="21">
        <f>LET(
    has_bankruptcy,'Loan Tape (S&amp;P)'!AE23="Yes",
    has_iva,'Loan Tape (S&amp;P)'!AF23="Yes",
    has_repo,'Loan Tape (S&amp;P)'!AI23="Yes",
    mult,IF(has_repo,'FF Adj Parameters'!$B$47,
            IF(has_bankruptcy,'FF Adj Parameters'!$B$423,
                IF(has_iva,'FF Adj Parameters'!$B$46,
                    1.00))),
    MAX(mult,0.230)
)</f>
        <v/>
      </c>
      <c r="Y23" s="21">
        <f>LET(
    has_perf_arr,'Loan Tape (S&amp;P)'!AP23="Yes",
    perf_arr_date,'Loan Tape (S&amp;P)'!AQ23,
    last_90_date,'Loan Tape (S&amp;P)'!AR23,
    threshold_years,VLOOKUP('Control Panel'!$B$6,'Jurisdiction Parameters'!$A:$Q,17,FALSE),
    relevant_date,MAX(perf_arr_date,last_90_date),
    years_since,('Control Panel'!$B$10-relevant_date)/3623.223,
    IF(NOT(has_perf_arr),1.00,
        IF(years_since&gt;threshold_years,1.00,
            IF(years_since&lt;=1,INDEX('FF Adj Parameters'!$C$47:$C$230,1),
                IF(years_since&lt;=2,INDEX('FF Adj Parameters'!$C$47:$C$230,2),
                    IF(years_since&lt;=3,INDEX('FF Adj Parameters'!$C$47:$C$230,3),
                        INDEX('FF Adj Parameters'!$C$47:$C$230,4))))))
)</f>
        <v/>
      </c>
      <c r="Z23" s="24">
        <f>IFERROR(
        IF(L23&gt;=100,1.00,
            'Control Panel'!$B$18*F23*G23*MAX(H23,R23)*I23*J23*K23*L23*M23*N23*O23*P23*Q23*S23*T23*U23*V23*W23*X23*Y23
        ),
    0)</f>
        <v/>
      </c>
    </row>
    <row r="24">
      <c r="A24" s="17">
        <f>'Loan Tape (S&amp;P)'!A24</f>
        <v/>
      </c>
      <c r="B24" s="18">
        <f>'Loan Tape (S&amp;P)'!B24</f>
        <v/>
      </c>
      <c r="C24" s="20">
        <f>IFERROR('Loan Tape (S&amp;P)'!C24/'Loan Tape (S&amp;P)'!E24,0)</f>
        <v/>
      </c>
      <c r="D24" s="20">
        <f>IFERROR(
        'Loan Tape (S&amp;P)'!B24/
        ('Loan Tape (S&amp;P)'!D24*
        (1-IF('Loan Tape (S&amp;P)'!AT24&lt;&gt;"Full",
            VLOOKUP('Control Panel'!$B$6,'Jurisdiction Parameters'!$A:$D,4,FALSE),
        0))),
    0)</f>
        <v/>
      </c>
      <c r="E24" s="20">
        <f>('Control Panel'!$B$12*C24)+('Control Panel'!$B$13*D24)</f>
        <v/>
      </c>
      <c r="F24" s="22">
        <f>IFERROR(
        LET(
            juris,'Control Panel'!$B$6,
            ltv_val,E24,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4" s="21">
        <f>'Control Panel'!$B$14</f>
        <v/>
      </c>
      <c r="H24" s="21">
        <f>LET(
    income_mult,'Loan Tape (S&amp;P)'!Z24,
    IF(income_mult=0,1.00,
        IFERROR(
            INDEX('FF Adj Parameters'!$A$124:$B$17,
                MATCH(income_mult,INDEX('FF Adj Parameters'!$A$124:$B$17,,1),1),2),
            1.240))
)</f>
        <v/>
      </c>
      <c r="I24" s="21">
        <f>IF('Loan Tape (S&amp;P)'!N24&lt;&gt;"Buy to Let",1.00,
    LET(
        dscr,'Loan Tape (S&amp;P)'!AA24,
        IF(dscr=0,INDEX('FF Adj Parameters'!$A$21:$B$224,1,2),
            IFERROR(
                INDEX('FF Adj Parameters'!$A$21:$B$224,
                    MATCH(dscr,INDEX('FF Adj Parameters'!$A$21:$B$224,,1),1),2),
                'FF Adj Parameters'!$B$21)))
)</f>
        <v/>
      </c>
      <c r="J24" s="21">
        <f>LET(
    lien,'Loan Tape (S&amp;P)'!Q24,
    IF(lien="First",1.00,
        IF(lien="Second",1.50,
            1.70)))</f>
        <v/>
      </c>
      <c r="K24" s="21">
        <f>LET(
    purpose,'Loan Tape (S&amp;P)'!R24,
    IF(purpose="Purchase",1.00,
        IF(purpose="Remortgage",1.00,
            1.20)))</f>
        <v/>
      </c>
      <c r="L24" s="21">
        <f>LET(
    arrears_months,'Loan Tape (S&amp;P)'!AN24,
    IF(arrears_months=0,1.00,
    IF(arrears_months=1,3.00,
    IF(arrears_months=2,5.00,
    IF(arrears_months=3,8.00,
    IF(arrears_months=4,10.00,
    IF(arrears_months=5,12.00,15.00)))))))</f>
        <v/>
      </c>
      <c r="M24" s="21">
        <f>LET(
    seasoning_years,DATEDIF('Loan Tape (S&amp;P)'!K24,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" s="21">
        <f>IF(AND('Loan Tape (S&amp;P)'!U24="Yes",
        'Loan Tape (S&amp;P)'!T24&lt;&gt;"Yes",
        DATEDIF('Loan Tape (S&amp;P)'!K24, TODAY(), "M")&lt;18),
    1.10,
    1.00)</f>
        <v/>
      </c>
      <c r="O24" s="21">
        <f>IF('Loan Tape (S&amp;P)'!T24="Yes",
    1.35,
    1.00)</f>
        <v/>
      </c>
      <c r="P24" s="21">
        <f>IF('Loan Tape (S&amp;P)'!S24="Yes",
    1.15,
    1.00)</f>
        <v/>
      </c>
      <c r="Q24" s="21">
        <f>IF('Loan Tape (S&amp;P)'!V24="Yes",
    1.20,
    1.00)</f>
        <v/>
      </c>
      <c r="R24" s="21">
        <f>IF('Loan Tape (S&amp;P)'!T24="Yes",
    'FF Adj Parameters'!$B$40,
    1.00)</f>
        <v/>
      </c>
      <c r="S24" s="21">
        <f>LET(
    is_htb,'Loan Tape (S&amp;P)'!Q24="Yes",
    rate_type,'Loan Tape (S&amp;P)'!AS24,
    months_to_mat,'Loan Tape (S&amp;P)'!AU24,
    threshold,'FF Adj Parameters'!$B$1224,
    has_shock,AND(rate_type="Fixed",months_to_mat&lt;=threshold),
    IF(is_htb,1.00,IF(has_shock,'FF Adj Parameters'!$B$41,1.00))
)</f>
        <v/>
      </c>
      <c r="T24" s="21">
        <f>LET(
    payment_method,'Loan Tape (S&amp;P)'!P24,
    occupancy,'Loan Tape (S&amp;P)'!N24,
    maturity_date,'Loan Tape (S&amp;P)'!L24,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24" s="21">
        <f>IF(AND('Loan Tape (S&amp;P)'!V24="Yes",'Loan Tape (S&amp;P)'!N24&lt;&gt;"Buy to Let"),
    'FF Adj Parameters'!$B$42,
    1.00)</f>
        <v/>
      </c>
      <c r="V24" s="21">
        <f>IF('Loan Tape (S&amp;P)'!AV24="Yes",
    'FF Adj Parameters'!$B$43,
    1.00)</f>
        <v/>
      </c>
      <c r="W24" s="23">
        <f>IF('Loan Tape (S&amp;P)'!AC24&gt;0,
    'FF Adj Parameters'!$B$44,
    1.00)</f>
        <v/>
      </c>
      <c r="X24" s="21">
        <f>LET(
    has_bankruptcy,'Loan Tape (S&amp;P)'!AE24="Yes",
    has_iva,'Loan Tape (S&amp;P)'!AF24="Yes",
    has_repo,'Loan Tape (S&amp;P)'!AI24="Yes",
    mult,IF(has_repo,'FF Adj Parameters'!$B$47,
            IF(has_bankruptcy,'FF Adj Parameters'!$B$424,
                IF(has_iva,'FF Adj Parameters'!$B$46,
                    1.00))),
    MAX(mult,0.240)
)</f>
        <v/>
      </c>
      <c r="Y24" s="21">
        <f>LET(
    has_perf_arr,'Loan Tape (S&amp;P)'!AP24="Yes",
    perf_arr_date,'Loan Tape (S&amp;P)'!AQ24,
    last_90_date,'Loan Tape (S&amp;P)'!AR24,
    threshold_years,VLOOKUP('Control Panel'!$B$6,'Jurisdiction Parameters'!$A:$Q,17,FALSE),
    relevant_date,MAX(perf_arr_date,last_90_date),
    years_since,('Control Panel'!$B$10-relevant_date)/3624.224,
    IF(NOT(has_perf_arr),1.00,
        IF(years_since&gt;threshold_years,1.00,
            IF(years_since&lt;=1,INDEX('FF Adj Parameters'!$C$47:$C$240,1),
                IF(years_since&lt;=2,INDEX('FF Adj Parameters'!$C$47:$C$240,2),
                    IF(years_since&lt;=3,INDEX('FF Adj Parameters'!$C$47:$C$240,3),
                        INDEX('FF Adj Parameters'!$C$47:$C$240,4))))))
)</f>
        <v/>
      </c>
      <c r="Z24" s="24">
        <f>IFERROR(
        IF(L24&gt;=100,1.00,
            'Control Panel'!$B$18*F24*G24*MAX(H24,R24)*I24*J24*K24*L24*M24*N24*O24*P24*Q24*S24*T24*U24*V24*W24*X24*Y24
        ),
    0)</f>
        <v/>
      </c>
    </row>
    <row r="25">
      <c r="A25" s="17">
        <f>'Loan Tape (S&amp;P)'!A25</f>
        <v/>
      </c>
      <c r="B25" s="18">
        <f>'Loan Tape (S&amp;P)'!B25</f>
        <v/>
      </c>
      <c r="C25" s="20">
        <f>IFERROR('Loan Tape (S&amp;P)'!C25/'Loan Tape (S&amp;P)'!E25,0)</f>
        <v/>
      </c>
      <c r="D25" s="20">
        <f>IFERROR(
        'Loan Tape (S&amp;P)'!B25/
        ('Loan Tape (S&amp;P)'!D25*
        (1-IF('Loan Tape (S&amp;P)'!AT25&lt;&gt;"Full",
            VLOOKUP('Control Panel'!$B$6,'Jurisdiction Parameters'!$A:$D,4,FALSE),
        0))),
    0)</f>
        <v/>
      </c>
      <c r="E25" s="20">
        <f>('Control Panel'!$B$12*C25)+('Control Panel'!$B$13*D25)</f>
        <v/>
      </c>
      <c r="F25" s="22">
        <f>IFERROR(
        LET(
            juris,'Control Panel'!$B$6,
            ltv_val,E25,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5" s="21">
        <f>'Control Panel'!$B$14</f>
        <v/>
      </c>
      <c r="H25" s="21">
        <f>LET(
    income_mult,'Loan Tape (S&amp;P)'!Z25,
    IF(income_mult=0,1.00,
        IFERROR(
            INDEX('FF Adj Parameters'!$A$125:$B$17,
                MATCH(income_mult,INDEX('FF Adj Parameters'!$A$125:$B$17,,1),1),2),
            1.250))
)</f>
        <v/>
      </c>
      <c r="I25" s="21">
        <f>IF('Loan Tape (S&amp;P)'!N25&lt;&gt;"Buy to Let",1.00,
    LET(
        dscr,'Loan Tape (S&amp;P)'!AA25,
        IF(dscr=0,INDEX('FF Adj Parameters'!$A$21:$B$225,1,2),
            IFERROR(
                INDEX('FF Adj Parameters'!$A$21:$B$225,
                    MATCH(dscr,INDEX('FF Adj Parameters'!$A$21:$B$225,,1),1),2),
                'FF Adj Parameters'!$B$21)))
)</f>
        <v/>
      </c>
      <c r="J25" s="21">
        <f>LET(
    lien,'Loan Tape (S&amp;P)'!Q25,
    IF(lien="First",1.00,
        IF(lien="Second",1.50,
            1.70)))</f>
        <v/>
      </c>
      <c r="K25" s="21">
        <f>LET(
    purpose,'Loan Tape (S&amp;P)'!R25,
    IF(purpose="Purchase",1.00,
        IF(purpose="Remortgage",1.00,
            1.20)))</f>
        <v/>
      </c>
      <c r="L25" s="21">
        <f>LET(
    arrears_months,'Loan Tape (S&amp;P)'!AN25,
    IF(arrears_months=0,1.00,
    IF(arrears_months=1,3.00,
    IF(arrears_months=2,5.00,
    IF(arrears_months=3,8.00,
    IF(arrears_months=4,10.00,
    IF(arrears_months=5,12.00,15.00)))))))</f>
        <v/>
      </c>
      <c r="M25" s="21">
        <f>LET(
    seasoning_years,DATEDIF('Loan Tape (S&amp;P)'!K25,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" s="21">
        <f>IF(AND('Loan Tape (S&amp;P)'!U25="Yes",
        'Loan Tape (S&amp;P)'!T25&lt;&gt;"Yes",
        DATEDIF('Loan Tape (S&amp;P)'!K25, TODAY(), "M")&lt;18),
    1.10,
    1.00)</f>
        <v/>
      </c>
      <c r="O25" s="21">
        <f>IF('Loan Tape (S&amp;P)'!T25="Yes",
    1.35,
    1.00)</f>
        <v/>
      </c>
      <c r="P25" s="21">
        <f>IF('Loan Tape (S&amp;P)'!S25="Yes",
    1.15,
    1.00)</f>
        <v/>
      </c>
      <c r="Q25" s="21">
        <f>IF('Loan Tape (S&amp;P)'!V25="Yes",
    1.20,
    1.00)</f>
        <v/>
      </c>
      <c r="R25" s="21">
        <f>IF('Loan Tape (S&amp;P)'!T25="Yes",
    'FF Adj Parameters'!$B$40,
    1.00)</f>
        <v/>
      </c>
      <c r="S25" s="21">
        <f>LET(
    is_htb,'Loan Tape (S&amp;P)'!Q25="Yes",
    rate_type,'Loan Tape (S&amp;P)'!AS25,
    months_to_mat,'Loan Tape (S&amp;P)'!AU25,
    threshold,'FF Adj Parameters'!$B$1225,
    has_shock,AND(rate_type="Fixed",months_to_mat&lt;=threshold),
    IF(is_htb,1.00,IF(has_shock,'FF Adj Parameters'!$B$41,1.00))
)</f>
        <v/>
      </c>
      <c r="T25" s="21">
        <f>LET(
    payment_method,'Loan Tape (S&amp;P)'!P25,
    occupancy,'Loan Tape (S&amp;P)'!N25,
    maturity_date,'Loan Tape (S&amp;P)'!L25,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25" s="21">
        <f>IF(AND('Loan Tape (S&amp;P)'!V25="Yes",'Loan Tape (S&amp;P)'!N25&lt;&gt;"Buy to Let"),
    'FF Adj Parameters'!$B$42,
    1.00)</f>
        <v/>
      </c>
      <c r="V25" s="21">
        <f>IF('Loan Tape (S&amp;P)'!AV25="Yes",
    'FF Adj Parameters'!$B$43,
    1.00)</f>
        <v/>
      </c>
      <c r="W25" s="23">
        <f>IF('Loan Tape (S&amp;P)'!AC25&gt;0,
    'FF Adj Parameters'!$B$44,
    1.00)</f>
        <v/>
      </c>
      <c r="X25" s="21">
        <f>LET(
    has_bankruptcy,'Loan Tape (S&amp;P)'!AE25="Yes",
    has_iva,'Loan Tape (S&amp;P)'!AF25="Yes",
    has_repo,'Loan Tape (S&amp;P)'!AI25="Yes",
    mult,IF(has_repo,'FF Adj Parameters'!$B$47,
            IF(has_bankruptcy,'FF Adj Parameters'!$B$425,
                IF(has_iva,'FF Adj Parameters'!$B$46,
                    1.00))),
    MAX(mult,0.250)
)</f>
        <v/>
      </c>
      <c r="Y25" s="21">
        <f>LET(
    has_perf_arr,'Loan Tape (S&amp;P)'!AP25="Yes",
    perf_arr_date,'Loan Tape (S&amp;P)'!AQ25,
    last_90_date,'Loan Tape (S&amp;P)'!AR25,
    threshold_years,VLOOKUP('Control Panel'!$B$6,'Jurisdiction Parameters'!$A:$Q,17,FALSE),
    relevant_date,MAX(perf_arr_date,last_90_date),
    years_since,('Control Panel'!$B$10-relevant_date)/3625.225,
    IF(NOT(has_perf_arr),1.00,
        IF(years_since&gt;threshold_years,1.00,
            IF(years_since&lt;=1,INDEX('FF Adj Parameters'!$C$47:$C$250,1),
                IF(years_since&lt;=2,INDEX('FF Adj Parameters'!$C$47:$C$250,2),
                    IF(years_since&lt;=3,INDEX('FF Adj Parameters'!$C$47:$C$250,3),
                        INDEX('FF Adj Parameters'!$C$47:$C$250,4))))))
)</f>
        <v/>
      </c>
      <c r="Z25" s="24">
        <f>IFERROR(
        IF(L25&gt;=100,1.00,
            'Control Panel'!$B$18*F25*G25*MAX(H25,R25)*I25*J25*K25*L25*M25*N25*O25*P25*Q25*S25*T25*U25*V25*W25*X25*Y25
        ),
    0)</f>
        <v/>
      </c>
    </row>
    <row r="26">
      <c r="A26" s="17">
        <f>'Loan Tape (S&amp;P)'!A26</f>
        <v/>
      </c>
      <c r="B26" s="18">
        <f>'Loan Tape (S&amp;P)'!B26</f>
        <v/>
      </c>
      <c r="C26" s="20">
        <f>IFERROR('Loan Tape (S&amp;P)'!C26/'Loan Tape (S&amp;P)'!E26,0)</f>
        <v/>
      </c>
      <c r="D26" s="20">
        <f>IFERROR(
        'Loan Tape (S&amp;P)'!B26/
        ('Loan Tape (S&amp;P)'!D26*
        (1-IF('Loan Tape (S&amp;P)'!AT26&lt;&gt;"Full",
            VLOOKUP('Control Panel'!$B$6,'Jurisdiction Parameters'!$A:$D,4,FALSE),
        0))),
    0)</f>
        <v/>
      </c>
      <c r="E26" s="20">
        <f>('Control Panel'!$B$12*C26)+('Control Panel'!$B$13*D26)</f>
        <v/>
      </c>
      <c r="F26" s="22">
        <f>IFERROR(
        LET(
            juris,'Control Panel'!$B$6,
            ltv_val,E26,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6" s="21">
        <f>'Control Panel'!$B$14</f>
        <v/>
      </c>
      <c r="H26" s="21">
        <f>LET(
    income_mult,'Loan Tape (S&amp;P)'!Z26,
    IF(income_mult=0,1.00,
        IFERROR(
            INDEX('FF Adj Parameters'!$A$126:$B$17,
                MATCH(income_mult,INDEX('FF Adj Parameters'!$A$126:$B$17,,1),1),2),
            1.260))
)</f>
        <v/>
      </c>
      <c r="I26" s="21">
        <f>IF('Loan Tape (S&amp;P)'!N26&lt;&gt;"Buy to Let",1.00,
    LET(
        dscr,'Loan Tape (S&amp;P)'!AA26,
        IF(dscr=0,INDEX('FF Adj Parameters'!$A$21:$B$226,1,2),
            IFERROR(
                INDEX('FF Adj Parameters'!$A$21:$B$226,
                    MATCH(dscr,INDEX('FF Adj Parameters'!$A$21:$B$226,,1),1),2),
                'FF Adj Parameters'!$B$21)))
)</f>
        <v/>
      </c>
      <c r="J26" s="21">
        <f>LET(
    lien,'Loan Tape (S&amp;P)'!Q26,
    IF(lien="First",1.00,
        IF(lien="Second",1.50,
            1.70)))</f>
        <v/>
      </c>
      <c r="K26" s="21">
        <f>LET(
    purpose,'Loan Tape (S&amp;P)'!R26,
    IF(purpose="Purchase",1.00,
        IF(purpose="Remortgage",1.00,
            1.20)))</f>
        <v/>
      </c>
      <c r="L26" s="21">
        <f>LET(
    arrears_months,'Loan Tape (S&amp;P)'!AN26,
    IF(arrears_months=0,1.00,
    IF(arrears_months=1,3.00,
    IF(arrears_months=2,5.00,
    IF(arrears_months=3,8.00,
    IF(arrears_months=4,10.00,
    IF(arrears_months=5,12.00,15.00)))))))</f>
        <v/>
      </c>
      <c r="M26" s="21">
        <f>LET(
    seasoning_years,DATEDIF('Loan Tape (S&amp;P)'!K26,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" s="21">
        <f>IF(AND('Loan Tape (S&amp;P)'!U26="Yes",
        'Loan Tape (S&amp;P)'!T26&lt;&gt;"Yes",
        DATEDIF('Loan Tape (S&amp;P)'!K26, TODAY(), "M")&lt;18),
    1.10,
    1.00)</f>
        <v/>
      </c>
      <c r="O26" s="21">
        <f>IF('Loan Tape (S&amp;P)'!T26="Yes",
    1.35,
    1.00)</f>
        <v/>
      </c>
      <c r="P26" s="21">
        <f>IF('Loan Tape (S&amp;P)'!S26="Yes",
    1.15,
    1.00)</f>
        <v/>
      </c>
      <c r="Q26" s="21">
        <f>IF('Loan Tape (S&amp;P)'!V26="Yes",
    1.20,
    1.00)</f>
        <v/>
      </c>
      <c r="R26" s="21">
        <f>IF('Loan Tape (S&amp;P)'!T26="Yes",
    'FF Adj Parameters'!$B$40,
    1.00)</f>
        <v/>
      </c>
      <c r="S26" s="21">
        <f>LET(
    is_htb,'Loan Tape (S&amp;P)'!Q26="Yes",
    rate_type,'Loan Tape (S&amp;P)'!AS26,
    months_to_mat,'Loan Tape (S&amp;P)'!AU26,
    threshold,'FF Adj Parameters'!$B$1226,
    has_shock,AND(rate_type="Fixed",months_to_mat&lt;=threshold),
    IF(is_htb,1.00,IF(has_shock,'FF Adj Parameters'!$B$41,1.00))
)</f>
        <v/>
      </c>
      <c r="T26" s="21">
        <f>LET(
    payment_method,'Loan Tape (S&amp;P)'!P26,
    occupancy,'Loan Tape (S&amp;P)'!N26,
    maturity_date,'Loan Tape (S&amp;P)'!L26,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26" s="21">
        <f>IF(AND('Loan Tape (S&amp;P)'!V26="Yes",'Loan Tape (S&amp;P)'!N26&lt;&gt;"Buy to Let"),
    'FF Adj Parameters'!$B$42,
    1.00)</f>
        <v/>
      </c>
      <c r="V26" s="21">
        <f>IF('Loan Tape (S&amp;P)'!AV26="Yes",
    'FF Adj Parameters'!$B$43,
    1.00)</f>
        <v/>
      </c>
      <c r="W26" s="23">
        <f>IF('Loan Tape (S&amp;P)'!AC26&gt;0,
    'FF Adj Parameters'!$B$44,
    1.00)</f>
        <v/>
      </c>
      <c r="X26" s="21">
        <f>LET(
    has_bankruptcy,'Loan Tape (S&amp;P)'!AE26="Yes",
    has_iva,'Loan Tape (S&amp;P)'!AF26="Yes",
    has_repo,'Loan Tape (S&amp;P)'!AI26="Yes",
    mult,IF(has_repo,'FF Adj Parameters'!$B$47,
            IF(has_bankruptcy,'FF Adj Parameters'!$B$426,
                IF(has_iva,'FF Adj Parameters'!$B$46,
                    1.00))),
    MAX(mult,0.260)
)</f>
        <v/>
      </c>
      <c r="Y26" s="21">
        <f>LET(
    has_perf_arr,'Loan Tape (S&amp;P)'!AP26="Yes",
    perf_arr_date,'Loan Tape (S&amp;P)'!AQ26,
    last_90_date,'Loan Tape (S&amp;P)'!AR26,
    threshold_years,VLOOKUP('Control Panel'!$B$6,'Jurisdiction Parameters'!$A:$Q,17,FALSE),
    relevant_date,MAX(perf_arr_date,last_90_date),
    years_since,('Control Panel'!$B$10-relevant_date)/3626.226,
    IF(NOT(has_perf_arr),1.00,
        IF(years_since&gt;threshold_years,1.00,
            IF(years_since&lt;=1,INDEX('FF Adj Parameters'!$C$47:$C$260,1),
                IF(years_since&lt;=2,INDEX('FF Adj Parameters'!$C$47:$C$260,2),
                    IF(years_since&lt;=3,INDEX('FF Adj Parameters'!$C$47:$C$260,3),
                        INDEX('FF Adj Parameters'!$C$47:$C$260,4))))))
)</f>
        <v/>
      </c>
      <c r="Z26" s="24">
        <f>IFERROR(
        IF(L26&gt;=100,1.00,
            'Control Panel'!$B$18*F26*G26*MAX(H26,R26)*I26*J26*K26*L26*M26*N26*O26*P26*Q26*S26*T26*U26*V26*W26*X26*Y26
        ),
    0)</f>
        <v/>
      </c>
    </row>
    <row r="27">
      <c r="A27" s="17">
        <f>'Loan Tape (S&amp;P)'!A27</f>
        <v/>
      </c>
      <c r="B27" s="18">
        <f>'Loan Tape (S&amp;P)'!B27</f>
        <v/>
      </c>
      <c r="C27" s="20">
        <f>IFERROR('Loan Tape (S&amp;P)'!C27/'Loan Tape (S&amp;P)'!E27,0)</f>
        <v/>
      </c>
      <c r="D27" s="20">
        <f>IFERROR(
        'Loan Tape (S&amp;P)'!B27/
        ('Loan Tape (S&amp;P)'!D27*
        (1-IF('Loan Tape (S&amp;P)'!AT27&lt;&gt;"Full",
            VLOOKUP('Control Panel'!$B$6,'Jurisdiction Parameters'!$A:$D,4,FALSE),
        0))),
    0)</f>
        <v/>
      </c>
      <c r="E27" s="20">
        <f>('Control Panel'!$B$12*C27)+('Control Panel'!$B$13*D27)</f>
        <v/>
      </c>
      <c r="F27" s="22">
        <f>IFERROR(
        LET(
            juris,'Control Panel'!$B$6,
            ltv_val,E27,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7" s="21">
        <f>'Control Panel'!$B$14</f>
        <v/>
      </c>
      <c r="H27" s="21">
        <f>LET(
    income_mult,'Loan Tape (S&amp;P)'!Z27,
    IF(income_mult=0,1.00,
        IFERROR(
            INDEX('FF Adj Parameters'!$A$127:$B$17,
                MATCH(income_mult,INDEX('FF Adj Parameters'!$A$127:$B$17,,1),1),2),
            1.270))
)</f>
        <v/>
      </c>
      <c r="I27" s="21">
        <f>IF('Loan Tape (S&amp;P)'!N27&lt;&gt;"Buy to Let",1.00,
    LET(
        dscr,'Loan Tape (S&amp;P)'!AA27,
        IF(dscr=0,INDEX('FF Adj Parameters'!$A$21:$B$227,1,2),
            IFERROR(
                INDEX('FF Adj Parameters'!$A$21:$B$227,
                    MATCH(dscr,INDEX('FF Adj Parameters'!$A$21:$B$227,,1),1),2),
                'FF Adj Parameters'!$B$21)))
)</f>
        <v/>
      </c>
      <c r="J27" s="21">
        <f>LET(
    lien,'Loan Tape (S&amp;P)'!Q27,
    IF(lien="First",1.00,
        IF(lien="Second",1.50,
            1.70)))</f>
        <v/>
      </c>
      <c r="K27" s="21">
        <f>LET(
    purpose,'Loan Tape (S&amp;P)'!R27,
    IF(purpose="Purchase",1.00,
        IF(purpose="Remortgage",1.00,
            1.20)))</f>
        <v/>
      </c>
      <c r="L27" s="21">
        <f>LET(
    arrears_months,'Loan Tape (S&amp;P)'!AN27,
    IF(arrears_months=0,1.00,
    IF(arrears_months=1,3.00,
    IF(arrears_months=2,5.00,
    IF(arrears_months=3,8.00,
    IF(arrears_months=4,10.00,
    IF(arrears_months=5,12.00,15.00)))))))</f>
        <v/>
      </c>
      <c r="M27" s="21">
        <f>LET(
    seasoning_years,DATEDIF('Loan Tape (S&amp;P)'!K27,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" s="21">
        <f>IF(AND('Loan Tape (S&amp;P)'!U27="Yes",
        'Loan Tape (S&amp;P)'!T27&lt;&gt;"Yes",
        DATEDIF('Loan Tape (S&amp;P)'!K27, TODAY(), "M")&lt;18),
    1.10,
    1.00)</f>
        <v/>
      </c>
      <c r="O27" s="21">
        <f>IF('Loan Tape (S&amp;P)'!T27="Yes",
    1.35,
    1.00)</f>
        <v/>
      </c>
      <c r="P27" s="21">
        <f>IF('Loan Tape (S&amp;P)'!S27="Yes",
    1.15,
    1.00)</f>
        <v/>
      </c>
      <c r="Q27" s="21">
        <f>IF('Loan Tape (S&amp;P)'!V27="Yes",
    1.20,
    1.00)</f>
        <v/>
      </c>
      <c r="R27" s="21">
        <f>IF('Loan Tape (S&amp;P)'!T27="Yes",
    'FF Adj Parameters'!$B$40,
    1.00)</f>
        <v/>
      </c>
      <c r="S27" s="21">
        <f>LET(
    is_htb,'Loan Tape (S&amp;P)'!Q27="Yes",
    rate_type,'Loan Tape (S&amp;P)'!AS27,
    months_to_mat,'Loan Tape (S&amp;P)'!AU27,
    threshold,'FF Adj Parameters'!$B$1227,
    has_shock,AND(rate_type="Fixed",months_to_mat&lt;=threshold),
    IF(is_htb,1.00,IF(has_shock,'FF Adj Parameters'!$B$41,1.00))
)</f>
        <v/>
      </c>
      <c r="T27" s="21">
        <f>LET(
    payment_method,'Loan Tape (S&amp;P)'!P27,
    occupancy,'Loan Tape (S&amp;P)'!N27,
    maturity_date,'Loan Tape (S&amp;P)'!L27,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27" s="21">
        <f>IF(AND('Loan Tape (S&amp;P)'!V27="Yes",'Loan Tape (S&amp;P)'!N27&lt;&gt;"Buy to Let"),
    'FF Adj Parameters'!$B$42,
    1.00)</f>
        <v/>
      </c>
      <c r="V27" s="21">
        <f>IF('Loan Tape (S&amp;P)'!AV27="Yes",
    'FF Adj Parameters'!$B$43,
    1.00)</f>
        <v/>
      </c>
      <c r="W27" s="23">
        <f>IF('Loan Tape (S&amp;P)'!AC27&gt;0,
    'FF Adj Parameters'!$B$44,
    1.00)</f>
        <v/>
      </c>
      <c r="X27" s="21">
        <f>LET(
    has_bankruptcy,'Loan Tape (S&amp;P)'!AE27="Yes",
    has_iva,'Loan Tape (S&amp;P)'!AF27="Yes",
    has_repo,'Loan Tape (S&amp;P)'!AI27="Yes",
    mult,IF(has_repo,'FF Adj Parameters'!$B$47,
            IF(has_bankruptcy,'FF Adj Parameters'!$B$427,
                IF(has_iva,'FF Adj Parameters'!$B$46,
                    1.00))),
    MAX(mult,0.270)
)</f>
        <v/>
      </c>
      <c r="Y27" s="21">
        <f>LET(
    has_perf_arr,'Loan Tape (S&amp;P)'!AP27="Yes",
    perf_arr_date,'Loan Tape (S&amp;P)'!AQ27,
    last_90_date,'Loan Tape (S&amp;P)'!AR27,
    threshold_years,VLOOKUP('Control Panel'!$B$6,'Jurisdiction Parameters'!$A:$Q,17,FALSE),
    relevant_date,MAX(perf_arr_date,last_90_date),
    years_since,('Control Panel'!$B$10-relevant_date)/3627.227,
    IF(NOT(has_perf_arr),1.00,
        IF(years_since&gt;threshold_years,1.00,
            IF(years_since&lt;=1,INDEX('FF Adj Parameters'!$C$47:$C$270,1),
                IF(years_since&lt;=2,INDEX('FF Adj Parameters'!$C$47:$C$270,2),
                    IF(years_since&lt;=3,INDEX('FF Adj Parameters'!$C$47:$C$270,3),
                        INDEX('FF Adj Parameters'!$C$47:$C$270,4))))))
)</f>
        <v/>
      </c>
      <c r="Z27" s="24">
        <f>IFERROR(
        IF(L27&gt;=100,1.00,
            'Control Panel'!$B$18*F27*G27*MAX(H27,R27)*I27*J27*K27*L27*M27*N27*O27*P27*Q27*S27*T27*U27*V27*W27*X27*Y27
        ),
    0)</f>
        <v/>
      </c>
    </row>
    <row r="28">
      <c r="A28" s="17">
        <f>'Loan Tape (S&amp;P)'!A28</f>
        <v/>
      </c>
      <c r="B28" s="18">
        <f>'Loan Tape (S&amp;P)'!B28</f>
        <v/>
      </c>
      <c r="C28" s="20">
        <f>IFERROR('Loan Tape (S&amp;P)'!C28/'Loan Tape (S&amp;P)'!E28,0)</f>
        <v/>
      </c>
      <c r="D28" s="20">
        <f>IFERROR(
        'Loan Tape (S&amp;P)'!B28/
        ('Loan Tape (S&amp;P)'!D28*
        (1-IF('Loan Tape (S&amp;P)'!AT28&lt;&gt;"Full",
            VLOOKUP('Control Panel'!$B$6,'Jurisdiction Parameters'!$A:$D,4,FALSE),
        0))),
    0)</f>
        <v/>
      </c>
      <c r="E28" s="20">
        <f>('Control Panel'!$B$12*C28)+('Control Panel'!$B$13*D28)</f>
        <v/>
      </c>
      <c r="F28" s="22">
        <f>IFERROR(
        LET(
            juris,'Control Panel'!$B$6,
            ltv_val,E28,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8" s="21">
        <f>'Control Panel'!$B$14</f>
        <v/>
      </c>
      <c r="H28" s="21">
        <f>LET(
    income_mult,'Loan Tape (S&amp;P)'!Z28,
    IF(income_mult=0,1.00,
        IFERROR(
            INDEX('FF Adj Parameters'!$A$128:$B$17,
                MATCH(income_mult,INDEX('FF Adj Parameters'!$A$128:$B$17,,1),1),2),
            1.280))
)</f>
        <v/>
      </c>
      <c r="I28" s="21">
        <f>IF('Loan Tape (S&amp;P)'!N28&lt;&gt;"Buy to Let",1.00,
    LET(
        dscr,'Loan Tape (S&amp;P)'!AA28,
        IF(dscr=0,INDEX('FF Adj Parameters'!$A$21:$B$228,1,2),
            IFERROR(
                INDEX('FF Adj Parameters'!$A$21:$B$228,
                    MATCH(dscr,INDEX('FF Adj Parameters'!$A$21:$B$228,,1),1),2),
                'FF Adj Parameters'!$B$21)))
)</f>
        <v/>
      </c>
      <c r="J28" s="21">
        <f>LET(
    lien,'Loan Tape (S&amp;P)'!Q28,
    IF(lien="First",1.00,
        IF(lien="Second",1.50,
            1.70)))</f>
        <v/>
      </c>
      <c r="K28" s="21">
        <f>LET(
    purpose,'Loan Tape (S&amp;P)'!R28,
    IF(purpose="Purchase",1.00,
        IF(purpose="Remortgage",1.00,
            1.20)))</f>
        <v/>
      </c>
      <c r="L28" s="21">
        <f>LET(
    arrears_months,'Loan Tape (S&amp;P)'!AN28,
    IF(arrears_months=0,1.00,
    IF(arrears_months=1,3.00,
    IF(arrears_months=2,5.00,
    IF(arrears_months=3,8.00,
    IF(arrears_months=4,10.00,
    IF(arrears_months=5,12.00,15.00)))))))</f>
        <v/>
      </c>
      <c r="M28" s="21">
        <f>LET(
    seasoning_years,DATEDIF('Loan Tape (S&amp;P)'!K28,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" s="21">
        <f>IF(AND('Loan Tape (S&amp;P)'!U28="Yes",
        'Loan Tape (S&amp;P)'!T28&lt;&gt;"Yes",
        DATEDIF('Loan Tape (S&amp;P)'!K28, TODAY(), "M")&lt;18),
    1.10,
    1.00)</f>
        <v/>
      </c>
      <c r="O28" s="21">
        <f>IF('Loan Tape (S&amp;P)'!T28="Yes",
    1.35,
    1.00)</f>
        <v/>
      </c>
      <c r="P28" s="21">
        <f>IF('Loan Tape (S&amp;P)'!S28="Yes",
    1.15,
    1.00)</f>
        <v/>
      </c>
      <c r="Q28" s="21">
        <f>IF('Loan Tape (S&amp;P)'!V28="Yes",
    1.20,
    1.00)</f>
        <v/>
      </c>
      <c r="R28" s="21">
        <f>IF('Loan Tape (S&amp;P)'!T28="Yes",
    'FF Adj Parameters'!$B$40,
    1.00)</f>
        <v/>
      </c>
      <c r="S28" s="21">
        <f>LET(
    is_htb,'Loan Tape (S&amp;P)'!Q28="Yes",
    rate_type,'Loan Tape (S&amp;P)'!AS28,
    months_to_mat,'Loan Tape (S&amp;P)'!AU28,
    threshold,'FF Adj Parameters'!$B$1228,
    has_shock,AND(rate_type="Fixed",months_to_mat&lt;=threshold),
    IF(is_htb,1.00,IF(has_shock,'FF Adj Parameters'!$B$41,1.00))
)</f>
        <v/>
      </c>
      <c r="T28" s="21">
        <f>LET(
    payment_method,'Loan Tape (S&amp;P)'!P28,
    occupancy,'Loan Tape (S&amp;P)'!N28,
    maturity_date,'Loan Tape (S&amp;P)'!L28,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28" s="21">
        <f>IF(AND('Loan Tape (S&amp;P)'!V28="Yes",'Loan Tape (S&amp;P)'!N28&lt;&gt;"Buy to Let"),
    'FF Adj Parameters'!$B$42,
    1.00)</f>
        <v/>
      </c>
      <c r="V28" s="21">
        <f>IF('Loan Tape (S&amp;P)'!AV28="Yes",
    'FF Adj Parameters'!$B$43,
    1.00)</f>
        <v/>
      </c>
      <c r="W28" s="23">
        <f>IF('Loan Tape (S&amp;P)'!AC28&gt;0,
    'FF Adj Parameters'!$B$44,
    1.00)</f>
        <v/>
      </c>
      <c r="X28" s="21">
        <f>LET(
    has_bankruptcy,'Loan Tape (S&amp;P)'!AE28="Yes",
    has_iva,'Loan Tape (S&amp;P)'!AF28="Yes",
    has_repo,'Loan Tape (S&amp;P)'!AI28="Yes",
    mult,IF(has_repo,'FF Adj Parameters'!$B$47,
            IF(has_bankruptcy,'FF Adj Parameters'!$B$428,
                IF(has_iva,'FF Adj Parameters'!$B$46,
                    1.00))),
    MAX(mult,0.280)
)</f>
        <v/>
      </c>
      <c r="Y28" s="21">
        <f>LET(
    has_perf_arr,'Loan Tape (S&amp;P)'!AP28="Yes",
    perf_arr_date,'Loan Tape (S&amp;P)'!AQ28,
    last_90_date,'Loan Tape (S&amp;P)'!AR28,
    threshold_years,VLOOKUP('Control Panel'!$B$6,'Jurisdiction Parameters'!$A:$Q,17,FALSE),
    relevant_date,MAX(perf_arr_date,last_90_date),
    years_since,('Control Panel'!$B$10-relevant_date)/3628.228,
    IF(NOT(has_perf_arr),1.00,
        IF(years_since&gt;threshold_years,1.00,
            IF(years_since&lt;=1,INDEX('FF Adj Parameters'!$C$47:$C$280,1),
                IF(years_since&lt;=2,INDEX('FF Adj Parameters'!$C$47:$C$280,2),
                    IF(years_since&lt;=3,INDEX('FF Adj Parameters'!$C$47:$C$280,3),
                        INDEX('FF Adj Parameters'!$C$47:$C$280,4))))))
)</f>
        <v/>
      </c>
      <c r="Z28" s="24">
        <f>IFERROR(
        IF(L28&gt;=100,1.00,
            'Control Panel'!$B$18*F28*G28*MAX(H28,R28)*I28*J28*K28*L28*M28*N28*O28*P28*Q28*S28*T28*U28*V28*W28*X28*Y28
        ),
    0)</f>
        <v/>
      </c>
    </row>
    <row r="29">
      <c r="A29" s="17">
        <f>'Loan Tape (S&amp;P)'!A29</f>
        <v/>
      </c>
      <c r="B29" s="18">
        <f>'Loan Tape (S&amp;P)'!B29</f>
        <v/>
      </c>
      <c r="C29" s="20">
        <f>IFERROR('Loan Tape (S&amp;P)'!C29/'Loan Tape (S&amp;P)'!E29,0)</f>
        <v/>
      </c>
      <c r="D29" s="20">
        <f>IFERROR(
        'Loan Tape (S&amp;P)'!B29/
        ('Loan Tape (S&amp;P)'!D29*
        (1-IF('Loan Tape (S&amp;P)'!AT29&lt;&gt;"Full",
            VLOOKUP('Control Panel'!$B$6,'Jurisdiction Parameters'!$A:$D,4,FALSE),
        0))),
    0)</f>
        <v/>
      </c>
      <c r="E29" s="20">
        <f>('Control Panel'!$B$12*C29)+('Control Panel'!$B$13*D29)</f>
        <v/>
      </c>
      <c r="F29" s="22">
        <f>IFERROR(
        LET(
            juris,'Control Panel'!$B$6,
            ltv_val,E29,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9" s="21">
        <f>'Control Panel'!$B$14</f>
        <v/>
      </c>
      <c r="H29" s="21">
        <f>LET(
    income_mult,'Loan Tape (S&amp;P)'!Z29,
    IF(income_mult=0,1.00,
        IFERROR(
            INDEX('FF Adj Parameters'!$A$129:$B$17,
                MATCH(income_mult,INDEX('FF Adj Parameters'!$A$129:$B$17,,1),1),2),
            1.290))
)</f>
        <v/>
      </c>
      <c r="I29" s="21">
        <f>IF('Loan Tape (S&amp;P)'!N29&lt;&gt;"Buy to Let",1.00,
    LET(
        dscr,'Loan Tape (S&amp;P)'!AA29,
        IF(dscr=0,INDEX('FF Adj Parameters'!$A$21:$B$229,1,2),
            IFERROR(
                INDEX('FF Adj Parameters'!$A$21:$B$229,
                    MATCH(dscr,INDEX('FF Adj Parameters'!$A$21:$B$229,,1),1),2),
                'FF Adj Parameters'!$B$21)))
)</f>
        <v/>
      </c>
      <c r="J29" s="21">
        <f>LET(
    lien,'Loan Tape (S&amp;P)'!Q29,
    IF(lien="First",1.00,
        IF(lien="Second",1.50,
            1.70)))</f>
        <v/>
      </c>
      <c r="K29" s="21">
        <f>LET(
    purpose,'Loan Tape (S&amp;P)'!R29,
    IF(purpose="Purchase",1.00,
        IF(purpose="Remortgage",1.00,
            1.20)))</f>
        <v/>
      </c>
      <c r="L29" s="21">
        <f>LET(
    arrears_months,'Loan Tape (S&amp;P)'!AN29,
    IF(arrears_months=0,1.00,
    IF(arrears_months=1,3.00,
    IF(arrears_months=2,5.00,
    IF(arrears_months=3,8.00,
    IF(arrears_months=4,10.00,
    IF(arrears_months=5,12.00,15.00)))))))</f>
        <v/>
      </c>
      <c r="M29" s="21">
        <f>LET(
    seasoning_years,DATEDIF('Loan Tape (S&amp;P)'!K29,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" s="21">
        <f>IF(AND('Loan Tape (S&amp;P)'!U29="Yes",
        'Loan Tape (S&amp;P)'!T29&lt;&gt;"Yes",
        DATEDIF('Loan Tape (S&amp;P)'!K29, TODAY(), "M")&lt;18),
    1.10,
    1.00)</f>
        <v/>
      </c>
      <c r="O29" s="21">
        <f>IF('Loan Tape (S&amp;P)'!T29="Yes",
    1.35,
    1.00)</f>
        <v/>
      </c>
      <c r="P29" s="21">
        <f>IF('Loan Tape (S&amp;P)'!S29="Yes",
    1.15,
    1.00)</f>
        <v/>
      </c>
      <c r="Q29" s="21">
        <f>IF('Loan Tape (S&amp;P)'!V29="Yes",
    1.20,
    1.00)</f>
        <v/>
      </c>
      <c r="R29" s="21">
        <f>IF('Loan Tape (S&amp;P)'!T29="Yes",
    'FF Adj Parameters'!$B$40,
    1.00)</f>
        <v/>
      </c>
      <c r="S29" s="21">
        <f>LET(
    is_htb,'Loan Tape (S&amp;P)'!Q29="Yes",
    rate_type,'Loan Tape (S&amp;P)'!AS29,
    months_to_mat,'Loan Tape (S&amp;P)'!AU29,
    threshold,'FF Adj Parameters'!$B$1229,
    has_shock,AND(rate_type="Fixed",months_to_mat&lt;=threshold),
    IF(is_htb,1.00,IF(has_shock,'FF Adj Parameters'!$B$41,1.00))
)</f>
        <v/>
      </c>
      <c r="T29" s="21">
        <f>LET(
    payment_method,'Loan Tape (S&amp;P)'!P29,
    occupancy,'Loan Tape (S&amp;P)'!N29,
    maturity_date,'Loan Tape (S&amp;P)'!L29,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29" s="21">
        <f>IF(AND('Loan Tape (S&amp;P)'!V29="Yes",'Loan Tape (S&amp;P)'!N29&lt;&gt;"Buy to Let"),
    'FF Adj Parameters'!$B$42,
    1.00)</f>
        <v/>
      </c>
      <c r="V29" s="21">
        <f>IF('Loan Tape (S&amp;P)'!AV29="Yes",
    'FF Adj Parameters'!$B$43,
    1.00)</f>
        <v/>
      </c>
      <c r="W29" s="23">
        <f>IF('Loan Tape (S&amp;P)'!AC29&gt;0,
    'FF Adj Parameters'!$B$44,
    1.00)</f>
        <v/>
      </c>
      <c r="X29" s="21">
        <f>LET(
    has_bankruptcy,'Loan Tape (S&amp;P)'!AE29="Yes",
    has_iva,'Loan Tape (S&amp;P)'!AF29="Yes",
    has_repo,'Loan Tape (S&amp;P)'!AI29="Yes",
    mult,IF(has_repo,'FF Adj Parameters'!$B$47,
            IF(has_bankruptcy,'FF Adj Parameters'!$B$429,
                IF(has_iva,'FF Adj Parameters'!$B$46,
                    1.00))),
    MAX(mult,0.290)
)</f>
        <v/>
      </c>
      <c r="Y29" s="21">
        <f>LET(
    has_perf_arr,'Loan Tape (S&amp;P)'!AP29="Yes",
    perf_arr_date,'Loan Tape (S&amp;P)'!AQ29,
    last_90_date,'Loan Tape (S&amp;P)'!AR29,
    threshold_years,VLOOKUP('Control Panel'!$B$6,'Jurisdiction Parameters'!$A:$Q,17,FALSE),
    relevant_date,MAX(perf_arr_date,last_90_date),
    years_since,('Control Panel'!$B$10-relevant_date)/3629.229,
    IF(NOT(has_perf_arr),1.00,
        IF(years_since&gt;threshold_years,1.00,
            IF(years_since&lt;=1,INDEX('FF Adj Parameters'!$C$47:$C$290,1),
                IF(years_since&lt;=2,INDEX('FF Adj Parameters'!$C$47:$C$290,2),
                    IF(years_since&lt;=3,INDEX('FF Adj Parameters'!$C$47:$C$290,3),
                        INDEX('FF Adj Parameters'!$C$47:$C$290,4))))))
)</f>
        <v/>
      </c>
      <c r="Z29" s="24">
        <f>IFERROR(
        IF(L29&gt;=100,1.00,
            'Control Panel'!$B$18*F29*G29*MAX(H29,R29)*I29*J29*K29*L29*M29*N29*O29*P29*Q29*S29*T29*U29*V29*W29*X29*Y29
        ),
    0)</f>
        <v/>
      </c>
    </row>
    <row r="30">
      <c r="A30" s="17">
        <f>'Loan Tape (S&amp;P)'!A30</f>
        <v/>
      </c>
      <c r="B30" s="18">
        <f>'Loan Tape (S&amp;P)'!B30</f>
        <v/>
      </c>
      <c r="C30" s="20">
        <f>IFERROR('Loan Tape (S&amp;P)'!C30/'Loan Tape (S&amp;P)'!E30,0)</f>
        <v/>
      </c>
      <c r="D30" s="20">
        <f>IFERROR(
        'Loan Tape (S&amp;P)'!B30/
        ('Loan Tape (S&amp;P)'!D30*
        (1-IF('Loan Tape (S&amp;P)'!AT30&lt;&gt;"Full",
            VLOOKUP('Control Panel'!$B$6,'Jurisdiction Parameters'!$A:$D,4,FALSE),
        0))),
    0)</f>
        <v/>
      </c>
      <c r="E30" s="20">
        <f>('Control Panel'!$B$12*C30)+('Control Panel'!$B$13*D30)</f>
        <v/>
      </c>
      <c r="F30" s="22">
        <f>IFERROR(
        LET(
            juris,'Control Panel'!$B$6,
            ltv_val,E30,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0" s="21">
        <f>'Control Panel'!$B$14</f>
        <v/>
      </c>
      <c r="H30" s="21">
        <f>LET(
    income_mult,'Loan Tape (S&amp;P)'!Z30,
    IF(income_mult=0,1.00,
        IFERROR(
            INDEX('FF Adj Parameters'!$A$130:$B$17,
                MATCH(income_mult,INDEX('FF Adj Parameters'!$A$130:$B$17,,1),1),2),
            1.300))
)</f>
        <v/>
      </c>
      <c r="I30" s="21">
        <f>IF('Loan Tape (S&amp;P)'!N30&lt;&gt;"Buy to Let",1.00,
    LET(
        dscr,'Loan Tape (S&amp;P)'!AA30,
        IF(dscr=0,INDEX('FF Adj Parameters'!$A$21:$B$230,1,2),
            IFERROR(
                INDEX('FF Adj Parameters'!$A$21:$B$230,
                    MATCH(dscr,INDEX('FF Adj Parameters'!$A$21:$B$230,,1),1),2),
                'FF Adj Parameters'!$B$21)))
)</f>
        <v/>
      </c>
      <c r="J30" s="21">
        <f>LET(
    lien,'Loan Tape (S&amp;P)'!Q30,
    IF(lien="First",1.00,
        IF(lien="Second",1.50,
            1.70)))</f>
        <v/>
      </c>
      <c r="K30" s="21">
        <f>LET(
    purpose,'Loan Tape (S&amp;P)'!R30,
    IF(purpose="Purchase",1.00,
        IF(purpose="Remortgage",1.00,
            1.20)))</f>
        <v/>
      </c>
      <c r="L30" s="21">
        <f>LET(
    arrears_months,'Loan Tape (S&amp;P)'!AN30,
    IF(arrears_months=0,1.00,
    IF(arrears_months=1,3.00,
    IF(arrears_months=2,5.00,
    IF(arrears_months=3,8.00,
    IF(arrears_months=4,10.00,
    IF(arrears_months=5,12.00,15.00)))))))</f>
        <v/>
      </c>
      <c r="M30" s="21">
        <f>LET(
    seasoning_years,DATEDIF('Loan Tape (S&amp;P)'!K30,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" s="21">
        <f>IF(AND('Loan Tape (S&amp;P)'!U30="Yes",
        'Loan Tape (S&amp;P)'!T30&lt;&gt;"Yes",
        DATEDIF('Loan Tape (S&amp;P)'!K30, TODAY(), "M")&lt;18),
    1.10,
    1.00)</f>
        <v/>
      </c>
      <c r="O30" s="21">
        <f>IF('Loan Tape (S&amp;P)'!T30="Yes",
    1.35,
    1.00)</f>
        <v/>
      </c>
      <c r="P30" s="21">
        <f>IF('Loan Tape (S&amp;P)'!S30="Yes",
    1.15,
    1.00)</f>
        <v/>
      </c>
      <c r="Q30" s="21">
        <f>IF('Loan Tape (S&amp;P)'!V30="Yes",
    1.20,
    1.00)</f>
        <v/>
      </c>
      <c r="R30" s="21">
        <f>IF('Loan Tape (S&amp;P)'!T30="Yes",
    'FF Adj Parameters'!$B$40,
    1.00)</f>
        <v/>
      </c>
      <c r="S30" s="21">
        <f>LET(
    is_htb,'Loan Tape (S&amp;P)'!Q30="Yes",
    rate_type,'Loan Tape (S&amp;P)'!AS30,
    months_to_mat,'Loan Tape (S&amp;P)'!AU30,
    threshold,'FF Adj Parameters'!$B$1230,
    has_shock,AND(rate_type="Fixed",months_to_mat&lt;=threshold),
    IF(is_htb,1.00,IF(has_shock,'FF Adj Parameters'!$B$41,1.00))
)</f>
        <v/>
      </c>
      <c r="T30" s="21">
        <f>LET(
    payment_method,'Loan Tape (S&amp;P)'!P30,
    occupancy,'Loan Tape (S&amp;P)'!N30,
    maturity_date,'Loan Tape (S&amp;P)'!L30,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30" s="21">
        <f>IF(AND('Loan Tape (S&amp;P)'!V30="Yes",'Loan Tape (S&amp;P)'!N30&lt;&gt;"Buy to Let"),
    'FF Adj Parameters'!$B$42,
    1.00)</f>
        <v/>
      </c>
      <c r="V30" s="21">
        <f>IF('Loan Tape (S&amp;P)'!AV30="Yes",
    'FF Adj Parameters'!$B$43,
    1.00)</f>
        <v/>
      </c>
      <c r="W30" s="23">
        <f>IF('Loan Tape (S&amp;P)'!AC30&gt;0,
    'FF Adj Parameters'!$B$44,
    1.00)</f>
        <v/>
      </c>
      <c r="X30" s="21">
        <f>LET(
    has_bankruptcy,'Loan Tape (S&amp;P)'!AE30="Yes",
    has_iva,'Loan Tape (S&amp;P)'!AF30="Yes",
    has_repo,'Loan Tape (S&amp;P)'!AI30="Yes",
    mult,IF(has_repo,'FF Adj Parameters'!$B$47,
            IF(has_bankruptcy,'FF Adj Parameters'!$B$430,
                IF(has_iva,'FF Adj Parameters'!$B$46,
                    1.00))),
    MAX(mult,0.300)
)</f>
        <v/>
      </c>
      <c r="Y30" s="21">
        <f>LET(
    has_perf_arr,'Loan Tape (S&amp;P)'!AP30="Yes",
    perf_arr_date,'Loan Tape (S&amp;P)'!AQ30,
    last_90_date,'Loan Tape (S&amp;P)'!AR30,
    threshold_years,VLOOKUP('Control Panel'!$B$6,'Jurisdiction Parameters'!$A:$Q,17,FALSE),
    relevant_date,MAX(perf_arr_date,last_90_date),
    years_since,('Control Panel'!$B$10-relevant_date)/3630.230,
    IF(NOT(has_perf_arr),1.00,
        IF(years_since&gt;threshold_years,1.00,
            IF(years_since&lt;=1,INDEX('FF Adj Parameters'!$C$47:$C$300,1),
                IF(years_since&lt;=2,INDEX('FF Adj Parameters'!$C$47:$C$300,2),
                    IF(years_since&lt;=3,INDEX('FF Adj Parameters'!$C$47:$C$300,3),
                        INDEX('FF Adj Parameters'!$C$47:$C$300,4))))))
)</f>
        <v/>
      </c>
      <c r="Z30" s="24">
        <f>IFERROR(
        IF(L30&gt;=100,1.00,
            'Control Panel'!$B$18*F30*G30*MAX(H30,R30)*I30*J30*K30*L30*M30*N30*O30*P30*Q30*S30*T30*U30*V30*W30*X30*Y30
        ),
    0)</f>
        <v/>
      </c>
    </row>
    <row r="31">
      <c r="A31" s="17">
        <f>'Loan Tape (S&amp;P)'!A31</f>
        <v/>
      </c>
      <c r="B31" s="18">
        <f>'Loan Tape (S&amp;P)'!B31</f>
        <v/>
      </c>
      <c r="C31" s="20">
        <f>IFERROR('Loan Tape (S&amp;P)'!C31/'Loan Tape (S&amp;P)'!E31,0)</f>
        <v/>
      </c>
      <c r="D31" s="20">
        <f>IFERROR(
        'Loan Tape (S&amp;P)'!B31/
        ('Loan Tape (S&amp;P)'!D31*
        (1-IF('Loan Tape (S&amp;P)'!AT31&lt;&gt;"Full",
            VLOOKUP('Control Panel'!$B$6,'Jurisdiction Parameters'!$A:$D,4,FALSE),
        0))),
    0)</f>
        <v/>
      </c>
      <c r="E31" s="20">
        <f>('Control Panel'!$B$12*C31)+('Control Panel'!$B$13*D31)</f>
        <v/>
      </c>
      <c r="F31" s="22">
        <f>IFERROR(
        LET(
            juris,'Control Panel'!$B$6,
            ltv_val,E31,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1" s="21">
        <f>'Control Panel'!$B$14</f>
        <v/>
      </c>
      <c r="H31" s="21">
        <f>LET(
    income_mult,'Loan Tape (S&amp;P)'!Z31,
    IF(income_mult=0,1.00,
        IFERROR(
            INDEX('FF Adj Parameters'!$A$131:$B$17,
                MATCH(income_mult,INDEX('FF Adj Parameters'!$A$131:$B$17,,1),1),2),
            1.310))
)</f>
        <v/>
      </c>
      <c r="I31" s="21">
        <f>IF('Loan Tape (S&amp;P)'!N31&lt;&gt;"Buy to Let",1.00,
    LET(
        dscr,'Loan Tape (S&amp;P)'!AA31,
        IF(dscr=0,INDEX('FF Adj Parameters'!$A$21:$B$231,1,2),
            IFERROR(
                INDEX('FF Adj Parameters'!$A$21:$B$231,
                    MATCH(dscr,INDEX('FF Adj Parameters'!$A$21:$B$231,,1),1),2),
                'FF Adj Parameters'!$B$21)))
)</f>
        <v/>
      </c>
      <c r="J31" s="21">
        <f>LET(
    lien,'Loan Tape (S&amp;P)'!Q31,
    IF(lien="First",1.00,
        IF(lien="Second",1.50,
            1.70)))</f>
        <v/>
      </c>
      <c r="K31" s="21">
        <f>LET(
    purpose,'Loan Tape (S&amp;P)'!R31,
    IF(purpose="Purchase",1.00,
        IF(purpose="Remortgage",1.00,
            1.20)))</f>
        <v/>
      </c>
      <c r="L31" s="21">
        <f>LET(
    arrears_months,'Loan Tape (S&amp;P)'!AN31,
    IF(arrears_months=0,1.00,
    IF(arrears_months=1,3.00,
    IF(arrears_months=2,5.00,
    IF(arrears_months=3,8.00,
    IF(arrears_months=4,10.00,
    IF(arrears_months=5,12.00,15.00)))))))</f>
        <v/>
      </c>
      <c r="M31" s="21">
        <f>LET(
    seasoning_years,DATEDIF('Loan Tape (S&amp;P)'!K31,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" s="21">
        <f>IF(AND('Loan Tape (S&amp;P)'!U31="Yes",
        'Loan Tape (S&amp;P)'!T31&lt;&gt;"Yes",
        DATEDIF('Loan Tape (S&amp;P)'!K31, TODAY(), "M")&lt;18),
    1.10,
    1.00)</f>
        <v/>
      </c>
      <c r="O31" s="21">
        <f>IF('Loan Tape (S&amp;P)'!T31="Yes",
    1.35,
    1.00)</f>
        <v/>
      </c>
      <c r="P31" s="21">
        <f>IF('Loan Tape (S&amp;P)'!S31="Yes",
    1.15,
    1.00)</f>
        <v/>
      </c>
      <c r="Q31" s="21">
        <f>IF('Loan Tape (S&amp;P)'!V31="Yes",
    1.20,
    1.00)</f>
        <v/>
      </c>
      <c r="R31" s="21">
        <f>IF('Loan Tape (S&amp;P)'!T31="Yes",
    'FF Adj Parameters'!$B$40,
    1.00)</f>
        <v/>
      </c>
      <c r="S31" s="21">
        <f>LET(
    is_htb,'Loan Tape (S&amp;P)'!Q31="Yes",
    rate_type,'Loan Tape (S&amp;P)'!AS31,
    months_to_mat,'Loan Tape (S&amp;P)'!AU31,
    threshold,'FF Adj Parameters'!$B$1231,
    has_shock,AND(rate_type="Fixed",months_to_mat&lt;=threshold),
    IF(is_htb,1.00,IF(has_shock,'FF Adj Parameters'!$B$41,1.00))
)</f>
        <v/>
      </c>
      <c r="T31" s="21">
        <f>LET(
    payment_method,'Loan Tape (S&amp;P)'!P31,
    occupancy,'Loan Tape (S&amp;P)'!N31,
    maturity_date,'Loan Tape (S&amp;P)'!L31,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31" s="21">
        <f>IF(AND('Loan Tape (S&amp;P)'!V31="Yes",'Loan Tape (S&amp;P)'!N31&lt;&gt;"Buy to Let"),
    'FF Adj Parameters'!$B$42,
    1.00)</f>
        <v/>
      </c>
      <c r="V31" s="21">
        <f>IF('Loan Tape (S&amp;P)'!AV31="Yes",
    'FF Adj Parameters'!$B$43,
    1.00)</f>
        <v/>
      </c>
      <c r="W31" s="23">
        <f>IF('Loan Tape (S&amp;P)'!AC31&gt;0,
    'FF Adj Parameters'!$B$44,
    1.00)</f>
        <v/>
      </c>
      <c r="X31" s="21">
        <f>LET(
    has_bankruptcy,'Loan Tape (S&amp;P)'!AE31="Yes",
    has_iva,'Loan Tape (S&amp;P)'!AF31="Yes",
    has_repo,'Loan Tape (S&amp;P)'!AI31="Yes",
    mult,IF(has_repo,'FF Adj Parameters'!$B$47,
            IF(has_bankruptcy,'FF Adj Parameters'!$B$431,
                IF(has_iva,'FF Adj Parameters'!$B$46,
                    1.00))),
    MAX(mult,0.310)
)</f>
        <v/>
      </c>
      <c r="Y31" s="21">
        <f>LET(
    has_perf_arr,'Loan Tape (S&amp;P)'!AP31="Yes",
    perf_arr_date,'Loan Tape (S&amp;P)'!AQ31,
    last_90_date,'Loan Tape (S&amp;P)'!AR31,
    threshold_years,VLOOKUP('Control Panel'!$B$6,'Jurisdiction Parameters'!$A:$Q,17,FALSE),
    relevant_date,MAX(perf_arr_date,last_90_date),
    years_since,('Control Panel'!$B$10-relevant_date)/3631.231,
    IF(NOT(has_perf_arr),1.00,
        IF(years_since&gt;threshold_years,1.00,
            IF(years_since&lt;=1,INDEX('FF Adj Parameters'!$C$47:$C$310,1),
                IF(years_since&lt;=2,INDEX('FF Adj Parameters'!$C$47:$C$310,2),
                    IF(years_since&lt;=3,INDEX('FF Adj Parameters'!$C$47:$C$310,3),
                        INDEX('FF Adj Parameters'!$C$47:$C$310,4))))))
)</f>
        <v/>
      </c>
      <c r="Z31" s="24">
        <f>IFERROR(
        IF(L31&gt;=100,1.00,
            'Control Panel'!$B$18*F31*G31*MAX(H31,R31)*I31*J31*K31*L31*M31*N31*O31*P31*Q31*S31*T31*U31*V31*W31*X31*Y31
        ),
    0)</f>
        <v/>
      </c>
    </row>
    <row r="32">
      <c r="A32" s="17">
        <f>'Loan Tape (S&amp;P)'!A32</f>
        <v/>
      </c>
      <c r="B32" s="18">
        <f>'Loan Tape (S&amp;P)'!B32</f>
        <v/>
      </c>
      <c r="C32" s="20">
        <f>IFERROR('Loan Tape (S&amp;P)'!C32/'Loan Tape (S&amp;P)'!E32,0)</f>
        <v/>
      </c>
      <c r="D32" s="20">
        <f>IFERROR(
        'Loan Tape (S&amp;P)'!B32/
        ('Loan Tape (S&amp;P)'!D32*
        (1-IF('Loan Tape (S&amp;P)'!AT32&lt;&gt;"Full",
            VLOOKUP('Control Panel'!$B$6,'Jurisdiction Parameters'!$A:$D,4,FALSE),
        0))),
    0)</f>
        <v/>
      </c>
      <c r="E32" s="20">
        <f>('Control Panel'!$B$12*C32)+('Control Panel'!$B$13*D32)</f>
        <v/>
      </c>
      <c r="F32" s="22">
        <f>IFERROR(
        LET(
            juris,'Control Panel'!$B$6,
            ltv_val,E32,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2" s="21">
        <f>'Control Panel'!$B$14</f>
        <v/>
      </c>
      <c r="H32" s="21">
        <f>LET(
    income_mult,'Loan Tape (S&amp;P)'!Z32,
    IF(income_mult=0,1.00,
        IFERROR(
            INDEX('FF Adj Parameters'!$A$132:$B$17,
                MATCH(income_mult,INDEX('FF Adj Parameters'!$A$132:$B$17,,1),1),2),
            1.320))
)</f>
        <v/>
      </c>
      <c r="I32" s="21">
        <f>IF('Loan Tape (S&amp;P)'!N32&lt;&gt;"Buy to Let",1.00,
    LET(
        dscr,'Loan Tape (S&amp;P)'!AA32,
        IF(dscr=0,INDEX('FF Adj Parameters'!$A$21:$B$232,1,2),
            IFERROR(
                INDEX('FF Adj Parameters'!$A$21:$B$232,
                    MATCH(dscr,INDEX('FF Adj Parameters'!$A$21:$B$232,,1),1),2),
                'FF Adj Parameters'!$B$21)))
)</f>
        <v/>
      </c>
      <c r="J32" s="21">
        <f>LET(
    lien,'Loan Tape (S&amp;P)'!Q32,
    IF(lien="First",1.00,
        IF(lien="Second",1.50,
            1.70)))</f>
        <v/>
      </c>
      <c r="K32" s="21">
        <f>LET(
    purpose,'Loan Tape (S&amp;P)'!R32,
    IF(purpose="Purchase",1.00,
        IF(purpose="Remortgage",1.00,
            1.20)))</f>
        <v/>
      </c>
      <c r="L32" s="21">
        <f>LET(
    arrears_months,'Loan Tape (S&amp;P)'!AN32,
    IF(arrears_months=0,1.00,
    IF(arrears_months=1,3.00,
    IF(arrears_months=2,5.00,
    IF(arrears_months=3,8.00,
    IF(arrears_months=4,10.00,
    IF(arrears_months=5,12.00,15.00)))))))</f>
        <v/>
      </c>
      <c r="M32" s="21">
        <f>LET(
    seasoning_years,DATEDIF('Loan Tape (S&amp;P)'!K32,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" s="21">
        <f>IF(AND('Loan Tape (S&amp;P)'!U32="Yes",
        'Loan Tape (S&amp;P)'!T32&lt;&gt;"Yes",
        DATEDIF('Loan Tape (S&amp;P)'!K32, TODAY(), "M")&lt;18),
    1.10,
    1.00)</f>
        <v/>
      </c>
      <c r="O32" s="21">
        <f>IF('Loan Tape (S&amp;P)'!T32="Yes",
    1.35,
    1.00)</f>
        <v/>
      </c>
      <c r="P32" s="21">
        <f>IF('Loan Tape (S&amp;P)'!S32="Yes",
    1.15,
    1.00)</f>
        <v/>
      </c>
      <c r="Q32" s="21">
        <f>IF('Loan Tape (S&amp;P)'!V32="Yes",
    1.20,
    1.00)</f>
        <v/>
      </c>
      <c r="R32" s="21">
        <f>IF('Loan Tape (S&amp;P)'!T32="Yes",
    'FF Adj Parameters'!$B$40,
    1.00)</f>
        <v/>
      </c>
      <c r="S32" s="21">
        <f>LET(
    is_htb,'Loan Tape (S&amp;P)'!Q32="Yes",
    rate_type,'Loan Tape (S&amp;P)'!AS32,
    months_to_mat,'Loan Tape (S&amp;P)'!AU32,
    threshold,'FF Adj Parameters'!$B$1232,
    has_shock,AND(rate_type="Fixed",months_to_mat&lt;=threshold),
    IF(is_htb,1.00,IF(has_shock,'FF Adj Parameters'!$B$41,1.00))
)</f>
        <v/>
      </c>
      <c r="T32" s="21">
        <f>LET(
    payment_method,'Loan Tape (S&amp;P)'!P32,
    occupancy,'Loan Tape (S&amp;P)'!N32,
    maturity_date,'Loan Tape (S&amp;P)'!L32,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32" s="21">
        <f>IF(AND('Loan Tape (S&amp;P)'!V32="Yes",'Loan Tape (S&amp;P)'!N32&lt;&gt;"Buy to Let"),
    'FF Adj Parameters'!$B$42,
    1.00)</f>
        <v/>
      </c>
      <c r="V32" s="21">
        <f>IF('Loan Tape (S&amp;P)'!AV32="Yes",
    'FF Adj Parameters'!$B$43,
    1.00)</f>
        <v/>
      </c>
      <c r="W32" s="23">
        <f>IF('Loan Tape (S&amp;P)'!AC32&gt;0,
    'FF Adj Parameters'!$B$44,
    1.00)</f>
        <v/>
      </c>
      <c r="X32" s="21">
        <f>LET(
    has_bankruptcy,'Loan Tape (S&amp;P)'!AE32="Yes",
    has_iva,'Loan Tape (S&amp;P)'!AF32="Yes",
    has_repo,'Loan Tape (S&amp;P)'!AI32="Yes",
    mult,IF(has_repo,'FF Adj Parameters'!$B$47,
            IF(has_bankruptcy,'FF Adj Parameters'!$B$432,
                IF(has_iva,'FF Adj Parameters'!$B$46,
                    1.00))),
    MAX(mult,0.320)
)</f>
        <v/>
      </c>
      <c r="Y32" s="21">
        <f>LET(
    has_perf_arr,'Loan Tape (S&amp;P)'!AP32="Yes",
    perf_arr_date,'Loan Tape (S&amp;P)'!AQ32,
    last_90_date,'Loan Tape (S&amp;P)'!AR32,
    threshold_years,VLOOKUP('Control Panel'!$B$6,'Jurisdiction Parameters'!$A:$Q,17,FALSE),
    relevant_date,MAX(perf_arr_date,last_90_date),
    years_since,('Control Panel'!$B$10-relevant_date)/3632.232,
    IF(NOT(has_perf_arr),1.00,
        IF(years_since&gt;threshold_years,1.00,
            IF(years_since&lt;=1,INDEX('FF Adj Parameters'!$C$47:$C$320,1),
                IF(years_since&lt;=2,INDEX('FF Adj Parameters'!$C$47:$C$320,2),
                    IF(years_since&lt;=3,INDEX('FF Adj Parameters'!$C$47:$C$320,3),
                        INDEX('FF Adj Parameters'!$C$47:$C$320,4))))))
)</f>
        <v/>
      </c>
      <c r="Z32" s="24">
        <f>IFERROR(
        IF(L32&gt;=100,1.00,
            'Control Panel'!$B$18*F32*G32*MAX(H32,R32)*I32*J32*K32*L32*M32*N32*O32*P32*Q32*S32*T32*U32*V32*W32*X32*Y32
        ),
    0)</f>
        <v/>
      </c>
    </row>
    <row r="33">
      <c r="A33" s="17">
        <f>'Loan Tape (S&amp;P)'!A33</f>
        <v/>
      </c>
      <c r="B33" s="18">
        <f>'Loan Tape (S&amp;P)'!B33</f>
        <v/>
      </c>
      <c r="C33" s="20">
        <f>IFERROR('Loan Tape (S&amp;P)'!C33/'Loan Tape (S&amp;P)'!E33,0)</f>
        <v/>
      </c>
      <c r="D33" s="20">
        <f>IFERROR(
        'Loan Tape (S&amp;P)'!B33/
        ('Loan Tape (S&amp;P)'!D33*
        (1-IF('Loan Tape (S&amp;P)'!AT33&lt;&gt;"Full",
            VLOOKUP('Control Panel'!$B$6,'Jurisdiction Parameters'!$A:$D,4,FALSE),
        0))),
    0)</f>
        <v/>
      </c>
      <c r="E33" s="20">
        <f>('Control Panel'!$B$12*C33)+('Control Panel'!$B$13*D33)</f>
        <v/>
      </c>
      <c r="F33" s="22">
        <f>IFERROR(
        LET(
            juris,'Control Panel'!$B$6,
            ltv_val,E33,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3" s="21">
        <f>'Control Panel'!$B$14</f>
        <v/>
      </c>
      <c r="H33" s="21">
        <f>LET(
    income_mult,'Loan Tape (S&amp;P)'!Z33,
    IF(income_mult=0,1.00,
        IFERROR(
            INDEX('FF Adj Parameters'!$A$133:$B$17,
                MATCH(income_mult,INDEX('FF Adj Parameters'!$A$133:$B$17,,1),1),2),
            1.330))
)</f>
        <v/>
      </c>
      <c r="I33" s="21">
        <f>IF('Loan Tape (S&amp;P)'!N33&lt;&gt;"Buy to Let",1.00,
    LET(
        dscr,'Loan Tape (S&amp;P)'!AA33,
        IF(dscr=0,INDEX('FF Adj Parameters'!$A$21:$B$233,1,2),
            IFERROR(
                INDEX('FF Adj Parameters'!$A$21:$B$233,
                    MATCH(dscr,INDEX('FF Adj Parameters'!$A$21:$B$233,,1),1),2),
                'FF Adj Parameters'!$B$21)))
)</f>
        <v/>
      </c>
      <c r="J33" s="21">
        <f>LET(
    lien,'Loan Tape (S&amp;P)'!Q33,
    IF(lien="First",1.00,
        IF(lien="Second",1.50,
            1.70)))</f>
        <v/>
      </c>
      <c r="K33" s="21">
        <f>LET(
    purpose,'Loan Tape (S&amp;P)'!R33,
    IF(purpose="Purchase",1.00,
        IF(purpose="Remortgage",1.00,
            1.20)))</f>
        <v/>
      </c>
      <c r="L33" s="21">
        <f>LET(
    arrears_months,'Loan Tape (S&amp;P)'!AN33,
    IF(arrears_months=0,1.00,
    IF(arrears_months=1,3.00,
    IF(arrears_months=2,5.00,
    IF(arrears_months=3,8.00,
    IF(arrears_months=4,10.00,
    IF(arrears_months=5,12.00,15.00)))))))</f>
        <v/>
      </c>
      <c r="M33" s="21">
        <f>LET(
    seasoning_years,DATEDIF('Loan Tape (S&amp;P)'!K33,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" s="21">
        <f>IF(AND('Loan Tape (S&amp;P)'!U33="Yes",
        'Loan Tape (S&amp;P)'!T33&lt;&gt;"Yes",
        DATEDIF('Loan Tape (S&amp;P)'!K33, TODAY(), "M")&lt;18),
    1.10,
    1.00)</f>
        <v/>
      </c>
      <c r="O33" s="21">
        <f>IF('Loan Tape (S&amp;P)'!T33="Yes",
    1.35,
    1.00)</f>
        <v/>
      </c>
      <c r="P33" s="21">
        <f>IF('Loan Tape (S&amp;P)'!S33="Yes",
    1.15,
    1.00)</f>
        <v/>
      </c>
      <c r="Q33" s="21">
        <f>IF('Loan Tape (S&amp;P)'!V33="Yes",
    1.20,
    1.00)</f>
        <v/>
      </c>
      <c r="R33" s="21">
        <f>IF('Loan Tape (S&amp;P)'!T33="Yes",
    'FF Adj Parameters'!$B$40,
    1.00)</f>
        <v/>
      </c>
      <c r="S33" s="21">
        <f>LET(
    is_htb,'Loan Tape (S&amp;P)'!Q33="Yes",
    rate_type,'Loan Tape (S&amp;P)'!AS33,
    months_to_mat,'Loan Tape (S&amp;P)'!AU33,
    threshold,'FF Adj Parameters'!$B$1233,
    has_shock,AND(rate_type="Fixed",months_to_mat&lt;=threshold),
    IF(is_htb,1.00,IF(has_shock,'FF Adj Parameters'!$B$41,1.00))
)</f>
        <v/>
      </c>
      <c r="T33" s="21">
        <f>LET(
    payment_method,'Loan Tape (S&amp;P)'!P33,
    occupancy,'Loan Tape (S&amp;P)'!N33,
    maturity_date,'Loan Tape (S&amp;P)'!L33,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33" s="21">
        <f>IF(AND('Loan Tape (S&amp;P)'!V33="Yes",'Loan Tape (S&amp;P)'!N33&lt;&gt;"Buy to Let"),
    'FF Adj Parameters'!$B$42,
    1.00)</f>
        <v/>
      </c>
      <c r="V33" s="21">
        <f>IF('Loan Tape (S&amp;P)'!AV33="Yes",
    'FF Adj Parameters'!$B$43,
    1.00)</f>
        <v/>
      </c>
      <c r="W33" s="23">
        <f>IF('Loan Tape (S&amp;P)'!AC33&gt;0,
    'FF Adj Parameters'!$B$44,
    1.00)</f>
        <v/>
      </c>
      <c r="X33" s="21">
        <f>LET(
    has_bankruptcy,'Loan Tape (S&amp;P)'!AE33="Yes",
    has_iva,'Loan Tape (S&amp;P)'!AF33="Yes",
    has_repo,'Loan Tape (S&amp;P)'!AI33="Yes",
    mult,IF(has_repo,'FF Adj Parameters'!$B$47,
            IF(has_bankruptcy,'FF Adj Parameters'!$B$433,
                IF(has_iva,'FF Adj Parameters'!$B$46,
                    1.00))),
    MAX(mult,0.330)
)</f>
        <v/>
      </c>
      <c r="Y33" s="21">
        <f>LET(
    has_perf_arr,'Loan Tape (S&amp;P)'!AP33="Yes",
    perf_arr_date,'Loan Tape (S&amp;P)'!AQ33,
    last_90_date,'Loan Tape (S&amp;P)'!AR33,
    threshold_years,VLOOKUP('Control Panel'!$B$6,'Jurisdiction Parameters'!$A:$Q,17,FALSE),
    relevant_date,MAX(perf_arr_date,last_90_date),
    years_since,('Control Panel'!$B$10-relevant_date)/3633.233,
    IF(NOT(has_perf_arr),1.00,
        IF(years_since&gt;threshold_years,1.00,
            IF(years_since&lt;=1,INDEX('FF Adj Parameters'!$C$47:$C$330,1),
                IF(years_since&lt;=2,INDEX('FF Adj Parameters'!$C$47:$C$330,2),
                    IF(years_since&lt;=3,INDEX('FF Adj Parameters'!$C$47:$C$330,3),
                        INDEX('FF Adj Parameters'!$C$47:$C$330,4))))))
)</f>
        <v/>
      </c>
      <c r="Z33" s="24">
        <f>IFERROR(
        IF(L33&gt;=100,1.00,
            'Control Panel'!$B$18*F33*G33*MAX(H33,R33)*I33*J33*K33*L33*M33*N33*O33*P33*Q33*S33*T33*U33*V33*W33*X33*Y33
        ),
    0)</f>
        <v/>
      </c>
    </row>
    <row r="34">
      <c r="A34" s="17">
        <f>'Loan Tape (S&amp;P)'!A34</f>
        <v/>
      </c>
      <c r="B34" s="18">
        <f>'Loan Tape (S&amp;P)'!B34</f>
        <v/>
      </c>
      <c r="C34" s="20">
        <f>IFERROR('Loan Tape (S&amp;P)'!C34/'Loan Tape (S&amp;P)'!E34,0)</f>
        <v/>
      </c>
      <c r="D34" s="20">
        <f>IFERROR(
        'Loan Tape (S&amp;P)'!B34/
        ('Loan Tape (S&amp;P)'!D34*
        (1-IF('Loan Tape (S&amp;P)'!AT34&lt;&gt;"Full",
            VLOOKUP('Control Panel'!$B$6,'Jurisdiction Parameters'!$A:$D,4,FALSE),
        0))),
    0)</f>
        <v/>
      </c>
      <c r="E34" s="20">
        <f>('Control Panel'!$B$12*C34)+('Control Panel'!$B$13*D34)</f>
        <v/>
      </c>
      <c r="F34" s="22">
        <f>IFERROR(
        LET(
            juris,'Control Panel'!$B$6,
            ltv_val,E34,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4" s="21">
        <f>'Control Panel'!$B$14</f>
        <v/>
      </c>
      <c r="H34" s="21">
        <f>LET(
    income_mult,'Loan Tape (S&amp;P)'!Z34,
    IF(income_mult=0,1.00,
        IFERROR(
            INDEX('FF Adj Parameters'!$A$134:$B$17,
                MATCH(income_mult,INDEX('FF Adj Parameters'!$A$134:$B$17,,1),1),2),
            1.340))
)</f>
        <v/>
      </c>
      <c r="I34" s="21">
        <f>IF('Loan Tape (S&amp;P)'!N34&lt;&gt;"Buy to Let",1.00,
    LET(
        dscr,'Loan Tape (S&amp;P)'!AA34,
        IF(dscr=0,INDEX('FF Adj Parameters'!$A$21:$B$234,1,2),
            IFERROR(
                INDEX('FF Adj Parameters'!$A$21:$B$234,
                    MATCH(dscr,INDEX('FF Adj Parameters'!$A$21:$B$234,,1),1),2),
                'FF Adj Parameters'!$B$21)))
)</f>
        <v/>
      </c>
      <c r="J34" s="21">
        <f>LET(
    lien,'Loan Tape (S&amp;P)'!Q34,
    IF(lien="First",1.00,
        IF(lien="Second",1.50,
            1.70)))</f>
        <v/>
      </c>
      <c r="K34" s="21">
        <f>LET(
    purpose,'Loan Tape (S&amp;P)'!R34,
    IF(purpose="Purchase",1.00,
        IF(purpose="Remortgage",1.00,
            1.20)))</f>
        <v/>
      </c>
      <c r="L34" s="21">
        <f>LET(
    arrears_months,'Loan Tape (S&amp;P)'!AN34,
    IF(arrears_months=0,1.00,
    IF(arrears_months=1,3.00,
    IF(arrears_months=2,5.00,
    IF(arrears_months=3,8.00,
    IF(arrears_months=4,10.00,
    IF(arrears_months=5,12.00,15.00)))))))</f>
        <v/>
      </c>
      <c r="M34" s="21">
        <f>LET(
    seasoning_years,DATEDIF('Loan Tape (S&amp;P)'!K34,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" s="21">
        <f>IF(AND('Loan Tape (S&amp;P)'!U34="Yes",
        'Loan Tape (S&amp;P)'!T34&lt;&gt;"Yes",
        DATEDIF('Loan Tape (S&amp;P)'!K34, TODAY(), "M")&lt;18),
    1.10,
    1.00)</f>
        <v/>
      </c>
      <c r="O34" s="21">
        <f>IF('Loan Tape (S&amp;P)'!T34="Yes",
    1.35,
    1.00)</f>
        <v/>
      </c>
      <c r="P34" s="21">
        <f>IF('Loan Tape (S&amp;P)'!S34="Yes",
    1.15,
    1.00)</f>
        <v/>
      </c>
      <c r="Q34" s="21">
        <f>IF('Loan Tape (S&amp;P)'!V34="Yes",
    1.20,
    1.00)</f>
        <v/>
      </c>
      <c r="R34" s="21">
        <f>IF('Loan Tape (S&amp;P)'!T34="Yes",
    'FF Adj Parameters'!$B$40,
    1.00)</f>
        <v/>
      </c>
      <c r="S34" s="21">
        <f>LET(
    is_htb,'Loan Tape (S&amp;P)'!Q34="Yes",
    rate_type,'Loan Tape (S&amp;P)'!AS34,
    months_to_mat,'Loan Tape (S&amp;P)'!AU34,
    threshold,'FF Adj Parameters'!$B$1234,
    has_shock,AND(rate_type="Fixed",months_to_mat&lt;=threshold),
    IF(is_htb,1.00,IF(has_shock,'FF Adj Parameters'!$B$41,1.00))
)</f>
        <v/>
      </c>
      <c r="T34" s="21">
        <f>LET(
    payment_method,'Loan Tape (S&amp;P)'!P34,
    occupancy,'Loan Tape (S&amp;P)'!N34,
    maturity_date,'Loan Tape (S&amp;P)'!L34,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34" s="21">
        <f>IF(AND('Loan Tape (S&amp;P)'!V34="Yes",'Loan Tape (S&amp;P)'!N34&lt;&gt;"Buy to Let"),
    'FF Adj Parameters'!$B$42,
    1.00)</f>
        <v/>
      </c>
      <c r="V34" s="21">
        <f>IF('Loan Tape (S&amp;P)'!AV34="Yes",
    'FF Adj Parameters'!$B$43,
    1.00)</f>
        <v/>
      </c>
      <c r="W34" s="23">
        <f>IF('Loan Tape (S&amp;P)'!AC34&gt;0,
    'FF Adj Parameters'!$B$44,
    1.00)</f>
        <v/>
      </c>
      <c r="X34" s="21">
        <f>LET(
    has_bankruptcy,'Loan Tape (S&amp;P)'!AE34="Yes",
    has_iva,'Loan Tape (S&amp;P)'!AF34="Yes",
    has_repo,'Loan Tape (S&amp;P)'!AI34="Yes",
    mult,IF(has_repo,'FF Adj Parameters'!$B$47,
            IF(has_bankruptcy,'FF Adj Parameters'!$B$434,
                IF(has_iva,'FF Adj Parameters'!$B$46,
                    1.00))),
    MAX(mult,0.340)
)</f>
        <v/>
      </c>
      <c r="Y34" s="21">
        <f>LET(
    has_perf_arr,'Loan Tape (S&amp;P)'!AP34="Yes",
    perf_arr_date,'Loan Tape (S&amp;P)'!AQ34,
    last_90_date,'Loan Tape (S&amp;P)'!AR34,
    threshold_years,VLOOKUP('Control Panel'!$B$6,'Jurisdiction Parameters'!$A:$Q,17,FALSE),
    relevant_date,MAX(perf_arr_date,last_90_date),
    years_since,('Control Panel'!$B$10-relevant_date)/3634.234,
    IF(NOT(has_perf_arr),1.00,
        IF(years_since&gt;threshold_years,1.00,
            IF(years_since&lt;=1,INDEX('FF Adj Parameters'!$C$47:$C$340,1),
                IF(years_since&lt;=2,INDEX('FF Adj Parameters'!$C$47:$C$340,2),
                    IF(years_since&lt;=3,INDEX('FF Adj Parameters'!$C$47:$C$340,3),
                        INDEX('FF Adj Parameters'!$C$47:$C$340,4))))))
)</f>
        <v/>
      </c>
      <c r="Z34" s="24">
        <f>IFERROR(
        IF(L34&gt;=100,1.00,
            'Control Panel'!$B$18*F34*G34*MAX(H34,R34)*I34*J34*K34*L34*M34*N34*O34*P34*Q34*S34*T34*U34*V34*W34*X34*Y34
        ),
    0)</f>
        <v/>
      </c>
    </row>
    <row r="35">
      <c r="A35" s="17">
        <f>'Loan Tape (S&amp;P)'!A35</f>
        <v/>
      </c>
      <c r="B35" s="18">
        <f>'Loan Tape (S&amp;P)'!B35</f>
        <v/>
      </c>
      <c r="C35" s="20">
        <f>IFERROR('Loan Tape (S&amp;P)'!C35/'Loan Tape (S&amp;P)'!E35,0)</f>
        <v/>
      </c>
      <c r="D35" s="20">
        <f>IFERROR(
        'Loan Tape (S&amp;P)'!B35/
        ('Loan Tape (S&amp;P)'!D35*
        (1-IF('Loan Tape (S&amp;P)'!AT35&lt;&gt;"Full",
            VLOOKUP('Control Panel'!$B$6,'Jurisdiction Parameters'!$A:$D,4,FALSE),
        0))),
    0)</f>
        <v/>
      </c>
      <c r="E35" s="20">
        <f>('Control Panel'!$B$12*C35)+('Control Panel'!$B$13*D35)</f>
        <v/>
      </c>
      <c r="F35" s="22">
        <f>IFERROR(
        LET(
            juris,'Control Panel'!$B$6,
            ltv_val,E35,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5" s="21">
        <f>'Control Panel'!$B$14</f>
        <v/>
      </c>
      <c r="H35" s="21">
        <f>LET(
    income_mult,'Loan Tape (S&amp;P)'!Z35,
    IF(income_mult=0,1.00,
        IFERROR(
            INDEX('FF Adj Parameters'!$A$135:$B$17,
                MATCH(income_mult,INDEX('FF Adj Parameters'!$A$135:$B$17,,1),1),2),
            1.350))
)</f>
        <v/>
      </c>
      <c r="I35" s="21">
        <f>IF('Loan Tape (S&amp;P)'!N35&lt;&gt;"Buy to Let",1.00,
    LET(
        dscr,'Loan Tape (S&amp;P)'!AA35,
        IF(dscr=0,INDEX('FF Adj Parameters'!$A$21:$B$235,1,2),
            IFERROR(
                INDEX('FF Adj Parameters'!$A$21:$B$235,
                    MATCH(dscr,INDEX('FF Adj Parameters'!$A$21:$B$235,,1),1),2),
                'FF Adj Parameters'!$B$21)))
)</f>
        <v/>
      </c>
      <c r="J35" s="21">
        <f>LET(
    lien,'Loan Tape (S&amp;P)'!Q35,
    IF(lien="First",1.00,
        IF(lien="Second",1.50,
            1.70)))</f>
        <v/>
      </c>
      <c r="K35" s="21">
        <f>LET(
    purpose,'Loan Tape (S&amp;P)'!R35,
    IF(purpose="Purchase",1.00,
        IF(purpose="Remortgage",1.00,
            1.20)))</f>
        <v/>
      </c>
      <c r="L35" s="21">
        <f>LET(
    arrears_months,'Loan Tape (S&amp;P)'!AN35,
    IF(arrears_months=0,1.00,
    IF(arrears_months=1,3.00,
    IF(arrears_months=2,5.00,
    IF(arrears_months=3,8.00,
    IF(arrears_months=4,10.00,
    IF(arrears_months=5,12.00,15.00)))))))</f>
        <v/>
      </c>
      <c r="M35" s="21">
        <f>LET(
    seasoning_years,DATEDIF('Loan Tape (S&amp;P)'!K35,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" s="21">
        <f>IF(AND('Loan Tape (S&amp;P)'!U35="Yes",
        'Loan Tape (S&amp;P)'!T35&lt;&gt;"Yes",
        DATEDIF('Loan Tape (S&amp;P)'!K35, TODAY(), "M")&lt;18),
    1.10,
    1.00)</f>
        <v/>
      </c>
      <c r="O35" s="21">
        <f>IF('Loan Tape (S&amp;P)'!T35="Yes",
    1.35,
    1.00)</f>
        <v/>
      </c>
      <c r="P35" s="21">
        <f>IF('Loan Tape (S&amp;P)'!S35="Yes",
    1.15,
    1.00)</f>
        <v/>
      </c>
      <c r="Q35" s="21">
        <f>IF('Loan Tape (S&amp;P)'!V35="Yes",
    1.20,
    1.00)</f>
        <v/>
      </c>
      <c r="R35" s="21">
        <f>IF('Loan Tape (S&amp;P)'!T35="Yes",
    'FF Adj Parameters'!$B$40,
    1.00)</f>
        <v/>
      </c>
      <c r="S35" s="21">
        <f>LET(
    is_htb,'Loan Tape (S&amp;P)'!Q35="Yes",
    rate_type,'Loan Tape (S&amp;P)'!AS35,
    months_to_mat,'Loan Tape (S&amp;P)'!AU35,
    threshold,'FF Adj Parameters'!$B$1235,
    has_shock,AND(rate_type="Fixed",months_to_mat&lt;=threshold),
    IF(is_htb,1.00,IF(has_shock,'FF Adj Parameters'!$B$41,1.00))
)</f>
        <v/>
      </c>
      <c r="T35" s="21">
        <f>LET(
    payment_method,'Loan Tape (S&amp;P)'!P35,
    occupancy,'Loan Tape (S&amp;P)'!N35,
    maturity_date,'Loan Tape (S&amp;P)'!L35,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35" s="21">
        <f>IF(AND('Loan Tape (S&amp;P)'!V35="Yes",'Loan Tape (S&amp;P)'!N35&lt;&gt;"Buy to Let"),
    'FF Adj Parameters'!$B$42,
    1.00)</f>
        <v/>
      </c>
      <c r="V35" s="21">
        <f>IF('Loan Tape (S&amp;P)'!AV35="Yes",
    'FF Adj Parameters'!$B$43,
    1.00)</f>
        <v/>
      </c>
      <c r="W35" s="23">
        <f>IF('Loan Tape (S&amp;P)'!AC35&gt;0,
    'FF Adj Parameters'!$B$44,
    1.00)</f>
        <v/>
      </c>
      <c r="X35" s="21">
        <f>LET(
    has_bankruptcy,'Loan Tape (S&amp;P)'!AE35="Yes",
    has_iva,'Loan Tape (S&amp;P)'!AF35="Yes",
    has_repo,'Loan Tape (S&amp;P)'!AI35="Yes",
    mult,IF(has_repo,'FF Adj Parameters'!$B$47,
            IF(has_bankruptcy,'FF Adj Parameters'!$B$435,
                IF(has_iva,'FF Adj Parameters'!$B$46,
                    1.00))),
    MAX(mult,0.350)
)</f>
        <v/>
      </c>
      <c r="Y35" s="21">
        <f>LET(
    has_perf_arr,'Loan Tape (S&amp;P)'!AP35="Yes",
    perf_arr_date,'Loan Tape (S&amp;P)'!AQ35,
    last_90_date,'Loan Tape (S&amp;P)'!AR35,
    threshold_years,VLOOKUP('Control Panel'!$B$6,'Jurisdiction Parameters'!$A:$Q,17,FALSE),
    relevant_date,MAX(perf_arr_date,last_90_date),
    years_since,('Control Panel'!$B$10-relevant_date)/3635.235,
    IF(NOT(has_perf_arr),1.00,
        IF(years_since&gt;threshold_years,1.00,
            IF(years_since&lt;=1,INDEX('FF Adj Parameters'!$C$47:$C$350,1),
                IF(years_since&lt;=2,INDEX('FF Adj Parameters'!$C$47:$C$350,2),
                    IF(years_since&lt;=3,INDEX('FF Adj Parameters'!$C$47:$C$350,3),
                        INDEX('FF Adj Parameters'!$C$47:$C$350,4))))))
)</f>
        <v/>
      </c>
      <c r="Z35" s="24">
        <f>IFERROR(
        IF(L35&gt;=100,1.00,
            'Control Panel'!$B$18*F35*G35*MAX(H35,R35)*I35*J35*K35*L35*M35*N35*O35*P35*Q35*S35*T35*U35*V35*W35*X35*Y35
        ),
    0)</f>
        <v/>
      </c>
    </row>
    <row r="36">
      <c r="A36" s="17">
        <f>'Loan Tape (S&amp;P)'!A36</f>
        <v/>
      </c>
      <c r="B36" s="18">
        <f>'Loan Tape (S&amp;P)'!B36</f>
        <v/>
      </c>
      <c r="C36" s="20">
        <f>IFERROR('Loan Tape (S&amp;P)'!C36/'Loan Tape (S&amp;P)'!E36,0)</f>
        <v/>
      </c>
      <c r="D36" s="20">
        <f>IFERROR(
        'Loan Tape (S&amp;P)'!B36/
        ('Loan Tape (S&amp;P)'!D36*
        (1-IF('Loan Tape (S&amp;P)'!AT36&lt;&gt;"Full",
            VLOOKUP('Control Panel'!$B$6,'Jurisdiction Parameters'!$A:$D,4,FALSE),
        0))),
    0)</f>
        <v/>
      </c>
      <c r="E36" s="20">
        <f>('Control Panel'!$B$12*C36)+('Control Panel'!$B$13*D36)</f>
        <v/>
      </c>
      <c r="F36" s="22">
        <f>IFERROR(
        LET(
            juris,'Control Panel'!$B$6,
            ltv_val,E36,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6" s="21">
        <f>'Control Panel'!$B$14</f>
        <v/>
      </c>
      <c r="H36" s="21">
        <f>LET(
    income_mult,'Loan Tape (S&amp;P)'!Z36,
    IF(income_mult=0,1.00,
        IFERROR(
            INDEX('FF Adj Parameters'!$A$136:$B$17,
                MATCH(income_mult,INDEX('FF Adj Parameters'!$A$136:$B$17,,1),1),2),
            1.360))
)</f>
        <v/>
      </c>
      <c r="I36" s="21">
        <f>IF('Loan Tape (S&amp;P)'!N36&lt;&gt;"Buy to Let",1.00,
    LET(
        dscr,'Loan Tape (S&amp;P)'!AA36,
        IF(dscr=0,INDEX('FF Adj Parameters'!$A$21:$B$236,1,2),
            IFERROR(
                INDEX('FF Adj Parameters'!$A$21:$B$236,
                    MATCH(dscr,INDEX('FF Adj Parameters'!$A$21:$B$236,,1),1),2),
                'FF Adj Parameters'!$B$21)))
)</f>
        <v/>
      </c>
      <c r="J36" s="21">
        <f>LET(
    lien,'Loan Tape (S&amp;P)'!Q36,
    IF(lien="First",1.00,
        IF(lien="Second",1.50,
            1.70)))</f>
        <v/>
      </c>
      <c r="K36" s="21">
        <f>LET(
    purpose,'Loan Tape (S&amp;P)'!R36,
    IF(purpose="Purchase",1.00,
        IF(purpose="Remortgage",1.00,
            1.20)))</f>
        <v/>
      </c>
      <c r="L36" s="21">
        <f>LET(
    arrears_months,'Loan Tape (S&amp;P)'!AN36,
    IF(arrears_months=0,1.00,
    IF(arrears_months=1,3.00,
    IF(arrears_months=2,5.00,
    IF(arrears_months=3,8.00,
    IF(arrears_months=4,10.00,
    IF(arrears_months=5,12.00,15.00)))))))</f>
        <v/>
      </c>
      <c r="M36" s="21">
        <f>LET(
    seasoning_years,DATEDIF('Loan Tape (S&amp;P)'!K36,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" s="21">
        <f>IF(AND('Loan Tape (S&amp;P)'!U36="Yes",
        'Loan Tape (S&amp;P)'!T36&lt;&gt;"Yes",
        DATEDIF('Loan Tape (S&amp;P)'!K36, TODAY(), "M")&lt;18),
    1.10,
    1.00)</f>
        <v/>
      </c>
      <c r="O36" s="21">
        <f>IF('Loan Tape (S&amp;P)'!T36="Yes",
    1.35,
    1.00)</f>
        <v/>
      </c>
      <c r="P36" s="21">
        <f>IF('Loan Tape (S&amp;P)'!S36="Yes",
    1.15,
    1.00)</f>
        <v/>
      </c>
      <c r="Q36" s="21">
        <f>IF('Loan Tape (S&amp;P)'!V36="Yes",
    1.20,
    1.00)</f>
        <v/>
      </c>
      <c r="R36" s="21">
        <f>IF('Loan Tape (S&amp;P)'!T36="Yes",
    'FF Adj Parameters'!$B$40,
    1.00)</f>
        <v/>
      </c>
      <c r="S36" s="21">
        <f>LET(
    is_htb,'Loan Tape (S&amp;P)'!Q36="Yes",
    rate_type,'Loan Tape (S&amp;P)'!AS36,
    months_to_mat,'Loan Tape (S&amp;P)'!AU36,
    threshold,'FF Adj Parameters'!$B$1236,
    has_shock,AND(rate_type="Fixed",months_to_mat&lt;=threshold),
    IF(is_htb,1.00,IF(has_shock,'FF Adj Parameters'!$B$41,1.00))
)</f>
        <v/>
      </c>
      <c r="T36" s="21">
        <f>LET(
    payment_method,'Loan Tape (S&amp;P)'!P36,
    occupancy,'Loan Tape (S&amp;P)'!N36,
    maturity_date,'Loan Tape (S&amp;P)'!L36,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36" s="21">
        <f>IF(AND('Loan Tape (S&amp;P)'!V36="Yes",'Loan Tape (S&amp;P)'!N36&lt;&gt;"Buy to Let"),
    'FF Adj Parameters'!$B$42,
    1.00)</f>
        <v/>
      </c>
      <c r="V36" s="21">
        <f>IF('Loan Tape (S&amp;P)'!AV36="Yes",
    'FF Adj Parameters'!$B$43,
    1.00)</f>
        <v/>
      </c>
      <c r="W36" s="23">
        <f>IF('Loan Tape (S&amp;P)'!AC36&gt;0,
    'FF Adj Parameters'!$B$44,
    1.00)</f>
        <v/>
      </c>
      <c r="X36" s="21">
        <f>LET(
    has_bankruptcy,'Loan Tape (S&amp;P)'!AE36="Yes",
    has_iva,'Loan Tape (S&amp;P)'!AF36="Yes",
    has_repo,'Loan Tape (S&amp;P)'!AI36="Yes",
    mult,IF(has_repo,'FF Adj Parameters'!$B$47,
            IF(has_bankruptcy,'FF Adj Parameters'!$B$436,
                IF(has_iva,'FF Adj Parameters'!$B$46,
                    1.00))),
    MAX(mult,0.360)
)</f>
        <v/>
      </c>
      <c r="Y36" s="21">
        <f>LET(
    has_perf_arr,'Loan Tape (S&amp;P)'!AP36="Yes",
    perf_arr_date,'Loan Tape (S&amp;P)'!AQ36,
    last_90_date,'Loan Tape (S&amp;P)'!AR36,
    threshold_years,VLOOKUP('Control Panel'!$B$6,'Jurisdiction Parameters'!$A:$Q,17,FALSE),
    relevant_date,MAX(perf_arr_date,last_90_date),
    years_since,('Control Panel'!$B$10-relevant_date)/3636.236,
    IF(NOT(has_perf_arr),1.00,
        IF(years_since&gt;threshold_years,1.00,
            IF(years_since&lt;=1,INDEX('FF Adj Parameters'!$C$47:$C$360,1),
                IF(years_since&lt;=2,INDEX('FF Adj Parameters'!$C$47:$C$360,2),
                    IF(years_since&lt;=3,INDEX('FF Adj Parameters'!$C$47:$C$360,3),
                        INDEX('FF Adj Parameters'!$C$47:$C$360,4))))))
)</f>
        <v/>
      </c>
      <c r="Z36" s="24">
        <f>IFERROR(
        IF(L36&gt;=100,1.00,
            'Control Panel'!$B$18*F36*G36*MAX(H36,R36)*I36*J36*K36*L36*M36*N36*O36*P36*Q36*S36*T36*U36*V36*W36*X36*Y36
        ),
    0)</f>
        <v/>
      </c>
    </row>
    <row r="37">
      <c r="A37" s="17">
        <f>'Loan Tape (S&amp;P)'!A37</f>
        <v/>
      </c>
      <c r="B37" s="18">
        <f>'Loan Tape (S&amp;P)'!B37</f>
        <v/>
      </c>
      <c r="C37" s="20">
        <f>IFERROR('Loan Tape (S&amp;P)'!C37/'Loan Tape (S&amp;P)'!E37,0)</f>
        <v/>
      </c>
      <c r="D37" s="20">
        <f>IFERROR(
        'Loan Tape (S&amp;P)'!B37/
        ('Loan Tape (S&amp;P)'!D37*
        (1-IF('Loan Tape (S&amp;P)'!AT37&lt;&gt;"Full",
            VLOOKUP('Control Panel'!$B$6,'Jurisdiction Parameters'!$A:$D,4,FALSE),
        0))),
    0)</f>
        <v/>
      </c>
      <c r="E37" s="20">
        <f>('Control Panel'!$B$12*C37)+('Control Panel'!$B$13*D37)</f>
        <v/>
      </c>
      <c r="F37" s="22">
        <f>IFERROR(
        LET(
            juris,'Control Panel'!$B$6,
            ltv_val,E37,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7" s="21">
        <f>'Control Panel'!$B$14</f>
        <v/>
      </c>
      <c r="H37" s="21">
        <f>LET(
    income_mult,'Loan Tape (S&amp;P)'!Z37,
    IF(income_mult=0,1.00,
        IFERROR(
            INDEX('FF Adj Parameters'!$A$137:$B$17,
                MATCH(income_mult,INDEX('FF Adj Parameters'!$A$137:$B$17,,1),1),2),
            1.370))
)</f>
        <v/>
      </c>
      <c r="I37" s="21">
        <f>IF('Loan Tape (S&amp;P)'!N37&lt;&gt;"Buy to Let",1.00,
    LET(
        dscr,'Loan Tape (S&amp;P)'!AA37,
        IF(dscr=0,INDEX('FF Adj Parameters'!$A$21:$B$237,1,2),
            IFERROR(
                INDEX('FF Adj Parameters'!$A$21:$B$237,
                    MATCH(dscr,INDEX('FF Adj Parameters'!$A$21:$B$237,,1),1),2),
                'FF Adj Parameters'!$B$21)))
)</f>
        <v/>
      </c>
      <c r="J37" s="21">
        <f>LET(
    lien,'Loan Tape (S&amp;P)'!Q37,
    IF(lien="First",1.00,
        IF(lien="Second",1.50,
            1.70)))</f>
        <v/>
      </c>
      <c r="K37" s="21">
        <f>LET(
    purpose,'Loan Tape (S&amp;P)'!R37,
    IF(purpose="Purchase",1.00,
        IF(purpose="Remortgage",1.00,
            1.20)))</f>
        <v/>
      </c>
      <c r="L37" s="21">
        <f>LET(
    arrears_months,'Loan Tape (S&amp;P)'!AN37,
    IF(arrears_months=0,1.00,
    IF(arrears_months=1,3.00,
    IF(arrears_months=2,5.00,
    IF(arrears_months=3,8.00,
    IF(arrears_months=4,10.00,
    IF(arrears_months=5,12.00,15.00)))))))</f>
        <v/>
      </c>
      <c r="M37" s="21">
        <f>LET(
    seasoning_years,DATEDIF('Loan Tape (S&amp;P)'!K37,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" s="21">
        <f>IF(AND('Loan Tape (S&amp;P)'!U37="Yes",
        'Loan Tape (S&amp;P)'!T37&lt;&gt;"Yes",
        DATEDIF('Loan Tape (S&amp;P)'!K37, TODAY(), "M")&lt;18),
    1.10,
    1.00)</f>
        <v/>
      </c>
      <c r="O37" s="21">
        <f>IF('Loan Tape (S&amp;P)'!T37="Yes",
    1.35,
    1.00)</f>
        <v/>
      </c>
      <c r="P37" s="21">
        <f>IF('Loan Tape (S&amp;P)'!S37="Yes",
    1.15,
    1.00)</f>
        <v/>
      </c>
      <c r="Q37" s="21">
        <f>IF('Loan Tape (S&amp;P)'!V37="Yes",
    1.20,
    1.00)</f>
        <v/>
      </c>
      <c r="R37" s="21">
        <f>IF('Loan Tape (S&amp;P)'!T37="Yes",
    'FF Adj Parameters'!$B$40,
    1.00)</f>
        <v/>
      </c>
      <c r="S37" s="21">
        <f>LET(
    is_htb,'Loan Tape (S&amp;P)'!Q37="Yes",
    rate_type,'Loan Tape (S&amp;P)'!AS37,
    months_to_mat,'Loan Tape (S&amp;P)'!AU37,
    threshold,'FF Adj Parameters'!$B$1237,
    has_shock,AND(rate_type="Fixed",months_to_mat&lt;=threshold),
    IF(is_htb,1.00,IF(has_shock,'FF Adj Parameters'!$B$41,1.00))
)</f>
        <v/>
      </c>
      <c r="T37" s="21">
        <f>LET(
    payment_method,'Loan Tape (S&amp;P)'!P37,
    occupancy,'Loan Tape (S&amp;P)'!N37,
    maturity_date,'Loan Tape (S&amp;P)'!L37,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37" s="21">
        <f>IF(AND('Loan Tape (S&amp;P)'!V37="Yes",'Loan Tape (S&amp;P)'!N37&lt;&gt;"Buy to Let"),
    'FF Adj Parameters'!$B$42,
    1.00)</f>
        <v/>
      </c>
      <c r="V37" s="21">
        <f>IF('Loan Tape (S&amp;P)'!AV37="Yes",
    'FF Adj Parameters'!$B$43,
    1.00)</f>
        <v/>
      </c>
      <c r="W37" s="23">
        <f>IF('Loan Tape (S&amp;P)'!AC37&gt;0,
    'FF Adj Parameters'!$B$44,
    1.00)</f>
        <v/>
      </c>
      <c r="X37" s="21">
        <f>LET(
    has_bankruptcy,'Loan Tape (S&amp;P)'!AE37="Yes",
    has_iva,'Loan Tape (S&amp;P)'!AF37="Yes",
    has_repo,'Loan Tape (S&amp;P)'!AI37="Yes",
    mult,IF(has_repo,'FF Adj Parameters'!$B$47,
            IF(has_bankruptcy,'FF Adj Parameters'!$B$437,
                IF(has_iva,'FF Adj Parameters'!$B$46,
                    1.00))),
    MAX(mult,0.370)
)</f>
        <v/>
      </c>
      <c r="Y37" s="21">
        <f>LET(
    has_perf_arr,'Loan Tape (S&amp;P)'!AP37="Yes",
    perf_arr_date,'Loan Tape (S&amp;P)'!AQ37,
    last_90_date,'Loan Tape (S&amp;P)'!AR37,
    threshold_years,VLOOKUP('Control Panel'!$B$6,'Jurisdiction Parameters'!$A:$Q,17,FALSE),
    relevant_date,MAX(perf_arr_date,last_90_date),
    years_since,('Control Panel'!$B$10-relevant_date)/3637.237,
    IF(NOT(has_perf_arr),1.00,
        IF(years_since&gt;threshold_years,1.00,
            IF(years_since&lt;=1,INDEX('FF Adj Parameters'!$C$47:$C$370,1),
                IF(years_since&lt;=2,INDEX('FF Adj Parameters'!$C$47:$C$370,2),
                    IF(years_since&lt;=3,INDEX('FF Adj Parameters'!$C$47:$C$370,3),
                        INDEX('FF Adj Parameters'!$C$47:$C$370,4))))))
)</f>
        <v/>
      </c>
      <c r="Z37" s="24">
        <f>IFERROR(
        IF(L37&gt;=100,1.00,
            'Control Panel'!$B$18*F37*G37*MAX(H37,R37)*I37*J37*K37*L37*M37*N37*O37*P37*Q37*S37*T37*U37*V37*W37*X37*Y37
        ),
    0)</f>
        <v/>
      </c>
    </row>
    <row r="38">
      <c r="A38" s="17">
        <f>'Loan Tape (S&amp;P)'!A38</f>
        <v/>
      </c>
      <c r="B38" s="18">
        <f>'Loan Tape (S&amp;P)'!B38</f>
        <v/>
      </c>
      <c r="C38" s="20">
        <f>IFERROR('Loan Tape (S&amp;P)'!C38/'Loan Tape (S&amp;P)'!E38,0)</f>
        <v/>
      </c>
      <c r="D38" s="20">
        <f>IFERROR(
        'Loan Tape (S&amp;P)'!B38/
        ('Loan Tape (S&amp;P)'!D38*
        (1-IF('Loan Tape (S&amp;P)'!AT38&lt;&gt;"Full",
            VLOOKUP('Control Panel'!$B$6,'Jurisdiction Parameters'!$A:$D,4,FALSE),
        0))),
    0)</f>
        <v/>
      </c>
      <c r="E38" s="20">
        <f>('Control Panel'!$B$12*C38)+('Control Panel'!$B$13*D38)</f>
        <v/>
      </c>
      <c r="F38" s="22">
        <f>IFERROR(
        LET(
            juris,'Control Panel'!$B$6,
            ltv_val,E38,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8" s="21">
        <f>'Control Panel'!$B$14</f>
        <v/>
      </c>
      <c r="H38" s="21">
        <f>LET(
    income_mult,'Loan Tape (S&amp;P)'!Z38,
    IF(income_mult=0,1.00,
        IFERROR(
            INDEX('FF Adj Parameters'!$A$138:$B$17,
                MATCH(income_mult,INDEX('FF Adj Parameters'!$A$138:$B$17,,1),1),2),
            1.380))
)</f>
        <v/>
      </c>
      <c r="I38" s="21">
        <f>IF('Loan Tape (S&amp;P)'!N38&lt;&gt;"Buy to Let",1.00,
    LET(
        dscr,'Loan Tape (S&amp;P)'!AA38,
        IF(dscr=0,INDEX('FF Adj Parameters'!$A$21:$B$238,1,2),
            IFERROR(
                INDEX('FF Adj Parameters'!$A$21:$B$238,
                    MATCH(dscr,INDEX('FF Adj Parameters'!$A$21:$B$238,,1),1),2),
                'FF Adj Parameters'!$B$21)))
)</f>
        <v/>
      </c>
      <c r="J38" s="21">
        <f>LET(
    lien,'Loan Tape (S&amp;P)'!Q38,
    IF(lien="First",1.00,
        IF(lien="Second",1.50,
            1.70)))</f>
        <v/>
      </c>
      <c r="K38" s="21">
        <f>LET(
    purpose,'Loan Tape (S&amp;P)'!R38,
    IF(purpose="Purchase",1.00,
        IF(purpose="Remortgage",1.00,
            1.20)))</f>
        <v/>
      </c>
      <c r="L38" s="21">
        <f>LET(
    arrears_months,'Loan Tape (S&amp;P)'!AN38,
    IF(arrears_months=0,1.00,
    IF(arrears_months=1,3.00,
    IF(arrears_months=2,5.00,
    IF(arrears_months=3,8.00,
    IF(arrears_months=4,10.00,
    IF(arrears_months=5,12.00,15.00)))))))</f>
        <v/>
      </c>
      <c r="M38" s="21">
        <f>LET(
    seasoning_years,DATEDIF('Loan Tape (S&amp;P)'!K38,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" s="21">
        <f>IF(AND('Loan Tape (S&amp;P)'!U38="Yes",
        'Loan Tape (S&amp;P)'!T38&lt;&gt;"Yes",
        DATEDIF('Loan Tape (S&amp;P)'!K38, TODAY(), "M")&lt;18),
    1.10,
    1.00)</f>
        <v/>
      </c>
      <c r="O38" s="21">
        <f>IF('Loan Tape (S&amp;P)'!T38="Yes",
    1.35,
    1.00)</f>
        <v/>
      </c>
      <c r="P38" s="21">
        <f>IF('Loan Tape (S&amp;P)'!S38="Yes",
    1.15,
    1.00)</f>
        <v/>
      </c>
      <c r="Q38" s="21">
        <f>IF('Loan Tape (S&amp;P)'!V38="Yes",
    1.20,
    1.00)</f>
        <v/>
      </c>
      <c r="R38" s="21">
        <f>IF('Loan Tape (S&amp;P)'!T38="Yes",
    'FF Adj Parameters'!$B$40,
    1.00)</f>
        <v/>
      </c>
      <c r="S38" s="21">
        <f>LET(
    is_htb,'Loan Tape (S&amp;P)'!Q38="Yes",
    rate_type,'Loan Tape (S&amp;P)'!AS38,
    months_to_mat,'Loan Tape (S&amp;P)'!AU38,
    threshold,'FF Adj Parameters'!$B$1238,
    has_shock,AND(rate_type="Fixed",months_to_mat&lt;=threshold),
    IF(is_htb,1.00,IF(has_shock,'FF Adj Parameters'!$B$41,1.00))
)</f>
        <v/>
      </c>
      <c r="T38" s="21">
        <f>LET(
    payment_method,'Loan Tape (S&amp;P)'!P38,
    occupancy,'Loan Tape (S&amp;P)'!N38,
    maturity_date,'Loan Tape (S&amp;P)'!L38,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38" s="21">
        <f>IF(AND('Loan Tape (S&amp;P)'!V38="Yes",'Loan Tape (S&amp;P)'!N38&lt;&gt;"Buy to Let"),
    'FF Adj Parameters'!$B$42,
    1.00)</f>
        <v/>
      </c>
      <c r="V38" s="21">
        <f>IF('Loan Tape (S&amp;P)'!AV38="Yes",
    'FF Adj Parameters'!$B$43,
    1.00)</f>
        <v/>
      </c>
      <c r="W38" s="23">
        <f>IF('Loan Tape (S&amp;P)'!AC38&gt;0,
    'FF Adj Parameters'!$B$44,
    1.00)</f>
        <v/>
      </c>
      <c r="X38" s="21">
        <f>LET(
    has_bankruptcy,'Loan Tape (S&amp;P)'!AE38="Yes",
    has_iva,'Loan Tape (S&amp;P)'!AF38="Yes",
    has_repo,'Loan Tape (S&amp;P)'!AI38="Yes",
    mult,IF(has_repo,'FF Adj Parameters'!$B$47,
            IF(has_bankruptcy,'FF Adj Parameters'!$B$438,
                IF(has_iva,'FF Adj Parameters'!$B$46,
                    1.00))),
    MAX(mult,0.380)
)</f>
        <v/>
      </c>
      <c r="Y38" s="21">
        <f>LET(
    has_perf_arr,'Loan Tape (S&amp;P)'!AP38="Yes",
    perf_arr_date,'Loan Tape (S&amp;P)'!AQ38,
    last_90_date,'Loan Tape (S&amp;P)'!AR38,
    threshold_years,VLOOKUP('Control Panel'!$B$6,'Jurisdiction Parameters'!$A:$Q,17,FALSE),
    relevant_date,MAX(perf_arr_date,last_90_date),
    years_since,('Control Panel'!$B$10-relevant_date)/3638.238,
    IF(NOT(has_perf_arr),1.00,
        IF(years_since&gt;threshold_years,1.00,
            IF(years_since&lt;=1,INDEX('FF Adj Parameters'!$C$47:$C$380,1),
                IF(years_since&lt;=2,INDEX('FF Adj Parameters'!$C$47:$C$380,2),
                    IF(years_since&lt;=3,INDEX('FF Adj Parameters'!$C$47:$C$380,3),
                        INDEX('FF Adj Parameters'!$C$47:$C$380,4))))))
)</f>
        <v/>
      </c>
      <c r="Z38" s="24">
        <f>IFERROR(
        IF(L38&gt;=100,1.00,
            'Control Panel'!$B$18*F38*G38*MAX(H38,R38)*I38*J38*K38*L38*M38*N38*O38*P38*Q38*S38*T38*U38*V38*W38*X38*Y38
        ),
    0)</f>
        <v/>
      </c>
    </row>
    <row r="39">
      <c r="A39" s="17">
        <f>'Loan Tape (S&amp;P)'!A39</f>
        <v/>
      </c>
      <c r="B39" s="18">
        <f>'Loan Tape (S&amp;P)'!B39</f>
        <v/>
      </c>
      <c r="C39" s="20">
        <f>IFERROR('Loan Tape (S&amp;P)'!C39/'Loan Tape (S&amp;P)'!E39,0)</f>
        <v/>
      </c>
      <c r="D39" s="20">
        <f>IFERROR(
        'Loan Tape (S&amp;P)'!B39/
        ('Loan Tape (S&amp;P)'!D39*
        (1-IF('Loan Tape (S&amp;P)'!AT39&lt;&gt;"Full",
            VLOOKUP('Control Panel'!$B$6,'Jurisdiction Parameters'!$A:$D,4,FALSE),
        0))),
    0)</f>
        <v/>
      </c>
      <c r="E39" s="20">
        <f>('Control Panel'!$B$12*C39)+('Control Panel'!$B$13*D39)</f>
        <v/>
      </c>
      <c r="F39" s="22">
        <f>IFERROR(
        LET(
            juris,'Control Panel'!$B$6,
            ltv_val,E39,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9" s="21">
        <f>'Control Panel'!$B$14</f>
        <v/>
      </c>
      <c r="H39" s="21">
        <f>LET(
    income_mult,'Loan Tape (S&amp;P)'!Z39,
    IF(income_mult=0,1.00,
        IFERROR(
            INDEX('FF Adj Parameters'!$A$139:$B$17,
                MATCH(income_mult,INDEX('FF Adj Parameters'!$A$139:$B$17,,1),1),2),
            1.390))
)</f>
        <v/>
      </c>
      <c r="I39" s="21">
        <f>IF('Loan Tape (S&amp;P)'!N39&lt;&gt;"Buy to Let",1.00,
    LET(
        dscr,'Loan Tape (S&amp;P)'!AA39,
        IF(dscr=0,INDEX('FF Adj Parameters'!$A$21:$B$239,1,2),
            IFERROR(
                INDEX('FF Adj Parameters'!$A$21:$B$239,
                    MATCH(dscr,INDEX('FF Adj Parameters'!$A$21:$B$239,,1),1),2),
                'FF Adj Parameters'!$B$21)))
)</f>
        <v/>
      </c>
      <c r="J39" s="21">
        <f>LET(
    lien,'Loan Tape (S&amp;P)'!Q39,
    IF(lien="First",1.00,
        IF(lien="Second",1.50,
            1.70)))</f>
        <v/>
      </c>
      <c r="K39" s="21">
        <f>LET(
    purpose,'Loan Tape (S&amp;P)'!R39,
    IF(purpose="Purchase",1.00,
        IF(purpose="Remortgage",1.00,
            1.20)))</f>
        <v/>
      </c>
      <c r="L39" s="21">
        <f>LET(
    arrears_months,'Loan Tape (S&amp;P)'!AN39,
    IF(arrears_months=0,1.00,
    IF(arrears_months=1,3.00,
    IF(arrears_months=2,5.00,
    IF(arrears_months=3,8.00,
    IF(arrears_months=4,10.00,
    IF(arrears_months=5,12.00,15.00)))))))</f>
        <v/>
      </c>
      <c r="M39" s="21">
        <f>LET(
    seasoning_years,DATEDIF('Loan Tape (S&amp;P)'!K39,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" s="21">
        <f>IF(AND('Loan Tape (S&amp;P)'!U39="Yes",
        'Loan Tape (S&amp;P)'!T39&lt;&gt;"Yes",
        DATEDIF('Loan Tape (S&amp;P)'!K39, TODAY(), "M")&lt;18),
    1.10,
    1.00)</f>
        <v/>
      </c>
      <c r="O39" s="21">
        <f>IF('Loan Tape (S&amp;P)'!T39="Yes",
    1.35,
    1.00)</f>
        <v/>
      </c>
      <c r="P39" s="21">
        <f>IF('Loan Tape (S&amp;P)'!S39="Yes",
    1.15,
    1.00)</f>
        <v/>
      </c>
      <c r="Q39" s="21">
        <f>IF('Loan Tape (S&amp;P)'!V39="Yes",
    1.20,
    1.00)</f>
        <v/>
      </c>
      <c r="R39" s="21">
        <f>IF('Loan Tape (S&amp;P)'!T39="Yes",
    'FF Adj Parameters'!$B$40,
    1.00)</f>
        <v/>
      </c>
      <c r="S39" s="21">
        <f>LET(
    is_htb,'Loan Tape (S&amp;P)'!Q39="Yes",
    rate_type,'Loan Tape (S&amp;P)'!AS39,
    months_to_mat,'Loan Tape (S&amp;P)'!AU39,
    threshold,'FF Adj Parameters'!$B$1239,
    has_shock,AND(rate_type="Fixed",months_to_mat&lt;=threshold),
    IF(is_htb,1.00,IF(has_shock,'FF Adj Parameters'!$B$41,1.00))
)</f>
        <v/>
      </c>
      <c r="T39" s="21">
        <f>LET(
    payment_method,'Loan Tape (S&amp;P)'!P39,
    occupancy,'Loan Tape (S&amp;P)'!N39,
    maturity_date,'Loan Tape (S&amp;P)'!L39,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39" s="21">
        <f>IF(AND('Loan Tape (S&amp;P)'!V39="Yes",'Loan Tape (S&amp;P)'!N39&lt;&gt;"Buy to Let"),
    'FF Adj Parameters'!$B$42,
    1.00)</f>
        <v/>
      </c>
      <c r="V39" s="21">
        <f>IF('Loan Tape (S&amp;P)'!AV39="Yes",
    'FF Adj Parameters'!$B$43,
    1.00)</f>
        <v/>
      </c>
      <c r="W39" s="23">
        <f>IF('Loan Tape (S&amp;P)'!AC39&gt;0,
    'FF Adj Parameters'!$B$44,
    1.00)</f>
        <v/>
      </c>
      <c r="X39" s="21">
        <f>LET(
    has_bankruptcy,'Loan Tape (S&amp;P)'!AE39="Yes",
    has_iva,'Loan Tape (S&amp;P)'!AF39="Yes",
    has_repo,'Loan Tape (S&amp;P)'!AI39="Yes",
    mult,IF(has_repo,'FF Adj Parameters'!$B$47,
            IF(has_bankruptcy,'FF Adj Parameters'!$B$439,
                IF(has_iva,'FF Adj Parameters'!$B$46,
                    1.00))),
    MAX(mult,0.390)
)</f>
        <v/>
      </c>
      <c r="Y39" s="21">
        <f>LET(
    has_perf_arr,'Loan Tape (S&amp;P)'!AP39="Yes",
    perf_arr_date,'Loan Tape (S&amp;P)'!AQ39,
    last_90_date,'Loan Tape (S&amp;P)'!AR39,
    threshold_years,VLOOKUP('Control Panel'!$B$6,'Jurisdiction Parameters'!$A:$Q,17,FALSE),
    relevant_date,MAX(perf_arr_date,last_90_date),
    years_since,('Control Panel'!$B$10-relevant_date)/3639.239,
    IF(NOT(has_perf_arr),1.00,
        IF(years_since&gt;threshold_years,1.00,
            IF(years_since&lt;=1,INDEX('FF Adj Parameters'!$C$47:$C$390,1),
                IF(years_since&lt;=2,INDEX('FF Adj Parameters'!$C$47:$C$390,2),
                    IF(years_since&lt;=3,INDEX('FF Adj Parameters'!$C$47:$C$390,3),
                        INDEX('FF Adj Parameters'!$C$47:$C$390,4))))))
)</f>
        <v/>
      </c>
      <c r="Z39" s="24">
        <f>IFERROR(
        IF(L39&gt;=100,1.00,
            'Control Panel'!$B$18*F39*G39*MAX(H39,R39)*I39*J39*K39*L39*M39*N39*O39*P39*Q39*S39*T39*U39*V39*W39*X39*Y39
        ),
    0)</f>
        <v/>
      </c>
    </row>
    <row r="40">
      <c r="A40" s="17">
        <f>'Loan Tape (S&amp;P)'!A40</f>
        <v/>
      </c>
      <c r="B40" s="18">
        <f>'Loan Tape (S&amp;P)'!B40</f>
        <v/>
      </c>
      <c r="C40" s="20">
        <f>IFERROR('Loan Tape (S&amp;P)'!C40/'Loan Tape (S&amp;P)'!E40,0)</f>
        <v/>
      </c>
      <c r="D40" s="20">
        <f>IFERROR(
        'Loan Tape (S&amp;P)'!B40/
        ('Loan Tape (S&amp;P)'!D40*
        (1-IF('Loan Tape (S&amp;P)'!AT40&lt;&gt;"Full",
            VLOOKUP('Control Panel'!$B$6,'Jurisdiction Parameters'!$A:$D,4,FALSE),
        0))),
    0)</f>
        <v/>
      </c>
      <c r="E40" s="20">
        <f>('Control Panel'!$B$12*C40)+('Control Panel'!$B$13*D40)</f>
        <v/>
      </c>
      <c r="F40" s="22">
        <f>IFERROR(
        LET(
            juris,'Control Panel'!$B$6,
            ltv_val,E40,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0" s="21">
        <f>'Control Panel'!$B$14</f>
        <v/>
      </c>
      <c r="H40" s="21">
        <f>LET(
    income_mult,'Loan Tape (S&amp;P)'!Z40,
    IF(income_mult=0,1.00,
        IFERROR(
            INDEX('FF Adj Parameters'!$A$140:$B$17,
                MATCH(income_mult,INDEX('FF Adj Parameters'!$A$140:$B$17,,1),1),2),
            1.400))
)</f>
        <v/>
      </c>
      <c r="I40" s="21">
        <f>IF('Loan Tape (S&amp;P)'!N40&lt;&gt;"Buy to Let",1.00,
    LET(
        dscr,'Loan Tape (S&amp;P)'!AA40,
        IF(dscr=0,INDEX('FF Adj Parameters'!$A$21:$B$240,1,2),
            IFERROR(
                INDEX('FF Adj Parameters'!$A$21:$B$240,
                    MATCH(dscr,INDEX('FF Adj Parameters'!$A$21:$B$240,,1),1),2),
                'FF Adj Parameters'!$B$21)))
)</f>
        <v/>
      </c>
      <c r="J40" s="21">
        <f>LET(
    lien,'Loan Tape (S&amp;P)'!Q40,
    IF(lien="First",1.00,
        IF(lien="Second",1.50,
            1.70)))</f>
        <v/>
      </c>
      <c r="K40" s="21">
        <f>LET(
    purpose,'Loan Tape (S&amp;P)'!R40,
    IF(purpose="Purchase",1.00,
        IF(purpose="Remortgage",1.00,
            1.20)))</f>
        <v/>
      </c>
      <c r="L40" s="21">
        <f>LET(
    arrears_months,'Loan Tape (S&amp;P)'!AN40,
    IF(arrears_months=0,1.00,
    IF(arrears_months=1,3.00,
    IF(arrears_months=2,5.00,
    IF(arrears_months=3,8.00,
    IF(arrears_months=4,10.00,
    IF(arrears_months=5,12.00,15.00)))))))</f>
        <v/>
      </c>
      <c r="M40" s="21">
        <f>LET(
    seasoning_years,DATEDIF('Loan Tape (S&amp;P)'!K40,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" s="21">
        <f>IF(AND('Loan Tape (S&amp;P)'!U40="Yes",
        'Loan Tape (S&amp;P)'!T40&lt;&gt;"Yes",
        DATEDIF('Loan Tape (S&amp;P)'!K40, TODAY(), "M")&lt;18),
    1.10,
    1.00)</f>
        <v/>
      </c>
      <c r="O40" s="21">
        <f>IF('Loan Tape (S&amp;P)'!T40="Yes",
    1.35,
    1.00)</f>
        <v/>
      </c>
      <c r="P40" s="21">
        <f>IF('Loan Tape (S&amp;P)'!S40="Yes",
    1.15,
    1.00)</f>
        <v/>
      </c>
      <c r="Q40" s="21">
        <f>IF('Loan Tape (S&amp;P)'!V40="Yes",
    1.20,
    1.00)</f>
        <v/>
      </c>
      <c r="R40" s="21">
        <f>IF('Loan Tape (S&amp;P)'!T40="Yes",
    'FF Adj Parameters'!$B$40,
    1.00)</f>
        <v/>
      </c>
      <c r="S40" s="21">
        <f>LET(
    is_htb,'Loan Tape (S&amp;P)'!Q40="Yes",
    rate_type,'Loan Tape (S&amp;P)'!AS40,
    months_to_mat,'Loan Tape (S&amp;P)'!AU40,
    threshold,'FF Adj Parameters'!$B$1240,
    has_shock,AND(rate_type="Fixed",months_to_mat&lt;=threshold),
    IF(is_htb,1.00,IF(has_shock,'FF Adj Parameters'!$B$41,1.00))
)</f>
        <v/>
      </c>
      <c r="T40" s="21">
        <f>LET(
    payment_method,'Loan Tape (S&amp;P)'!P40,
    occupancy,'Loan Tape (S&amp;P)'!N40,
    maturity_date,'Loan Tape (S&amp;P)'!L40,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40" s="21">
        <f>IF(AND('Loan Tape (S&amp;P)'!V40="Yes",'Loan Tape (S&amp;P)'!N40&lt;&gt;"Buy to Let"),
    'FF Adj Parameters'!$B$42,
    1.00)</f>
        <v/>
      </c>
      <c r="V40" s="21">
        <f>IF('Loan Tape (S&amp;P)'!AV40="Yes",
    'FF Adj Parameters'!$B$43,
    1.00)</f>
        <v/>
      </c>
      <c r="W40" s="23">
        <f>IF('Loan Tape (S&amp;P)'!AC40&gt;0,
    'FF Adj Parameters'!$B$44,
    1.00)</f>
        <v/>
      </c>
      <c r="X40" s="21">
        <f>LET(
    has_bankruptcy,'Loan Tape (S&amp;P)'!AE40="Yes",
    has_iva,'Loan Tape (S&amp;P)'!AF40="Yes",
    has_repo,'Loan Tape (S&amp;P)'!AI40="Yes",
    mult,IF(has_repo,'FF Adj Parameters'!$B$47,
            IF(has_bankruptcy,'FF Adj Parameters'!$B$440,
                IF(has_iva,'FF Adj Parameters'!$B$46,
                    1.00))),
    MAX(mult,0.400)
)</f>
        <v/>
      </c>
      <c r="Y40" s="21">
        <f>LET(
    has_perf_arr,'Loan Tape (S&amp;P)'!AP40="Yes",
    perf_arr_date,'Loan Tape (S&amp;P)'!AQ40,
    last_90_date,'Loan Tape (S&amp;P)'!AR40,
    threshold_years,VLOOKUP('Control Panel'!$B$6,'Jurisdiction Parameters'!$A:$Q,17,FALSE),
    relevant_date,MAX(perf_arr_date,last_90_date),
    years_since,('Control Panel'!$B$10-relevant_date)/3640.240,
    IF(NOT(has_perf_arr),1.00,
        IF(years_since&gt;threshold_years,1.00,
            IF(years_since&lt;=1,INDEX('FF Adj Parameters'!$C$47:$C$400,1),
                IF(years_since&lt;=2,INDEX('FF Adj Parameters'!$C$47:$C$400,2),
                    IF(years_since&lt;=3,INDEX('FF Adj Parameters'!$C$47:$C$400,3),
                        INDEX('FF Adj Parameters'!$C$47:$C$400,4))))))
)</f>
        <v/>
      </c>
      <c r="Z40" s="24">
        <f>IFERROR(
        IF(L40&gt;=100,1.00,
            'Control Panel'!$B$18*F40*G40*MAX(H40,R40)*I40*J40*K40*L40*M40*N40*O40*P40*Q40*S40*T40*U40*V40*W40*X40*Y40
        ),
    0)</f>
        <v/>
      </c>
    </row>
    <row r="41">
      <c r="A41" s="17">
        <f>'Loan Tape (S&amp;P)'!A41</f>
        <v/>
      </c>
      <c r="B41" s="18">
        <f>'Loan Tape (S&amp;P)'!B41</f>
        <v/>
      </c>
      <c r="C41" s="20">
        <f>IFERROR('Loan Tape (S&amp;P)'!C41/'Loan Tape (S&amp;P)'!E41,0)</f>
        <v/>
      </c>
      <c r="D41" s="20">
        <f>IFERROR(
        'Loan Tape (S&amp;P)'!B41/
        ('Loan Tape (S&amp;P)'!D41*
        (1-IF('Loan Tape (S&amp;P)'!AT41&lt;&gt;"Full",
            VLOOKUP('Control Panel'!$B$6,'Jurisdiction Parameters'!$A:$D,4,FALSE),
        0))),
    0)</f>
        <v/>
      </c>
      <c r="E41" s="20">
        <f>('Control Panel'!$B$12*C41)+('Control Panel'!$B$13*D41)</f>
        <v/>
      </c>
      <c r="F41" s="22">
        <f>IFERROR(
        LET(
            juris,'Control Panel'!$B$6,
            ltv_val,E41,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1" s="21">
        <f>'Control Panel'!$B$14</f>
        <v/>
      </c>
      <c r="H41" s="21">
        <f>LET(
    income_mult,'Loan Tape (S&amp;P)'!Z41,
    IF(income_mult=0,1.00,
        IFERROR(
            INDEX('FF Adj Parameters'!$A$141:$B$17,
                MATCH(income_mult,INDEX('FF Adj Parameters'!$A$141:$B$17,,1),1),2),
            1.410))
)</f>
        <v/>
      </c>
      <c r="I41" s="21">
        <f>IF('Loan Tape (S&amp;P)'!N41&lt;&gt;"Buy to Let",1.00,
    LET(
        dscr,'Loan Tape (S&amp;P)'!AA41,
        IF(dscr=0,INDEX('FF Adj Parameters'!$A$21:$B$241,1,2),
            IFERROR(
                INDEX('FF Adj Parameters'!$A$21:$B$241,
                    MATCH(dscr,INDEX('FF Adj Parameters'!$A$21:$B$241,,1),1),2),
                'FF Adj Parameters'!$B$21)))
)</f>
        <v/>
      </c>
      <c r="J41" s="21">
        <f>LET(
    lien,'Loan Tape (S&amp;P)'!Q41,
    IF(lien="First",1.00,
        IF(lien="Second",1.50,
            1.70)))</f>
        <v/>
      </c>
      <c r="K41" s="21">
        <f>LET(
    purpose,'Loan Tape (S&amp;P)'!R41,
    IF(purpose="Purchase",1.00,
        IF(purpose="Remortgage",1.00,
            1.20)))</f>
        <v/>
      </c>
      <c r="L41" s="21">
        <f>LET(
    arrears_months,'Loan Tape (S&amp;P)'!AN41,
    IF(arrears_months=0,1.00,
    IF(arrears_months=1,3.00,
    IF(arrears_months=2,5.00,
    IF(arrears_months=3,8.00,
    IF(arrears_months=4,10.00,
    IF(arrears_months=5,12.00,15.00)))))))</f>
        <v/>
      </c>
      <c r="M41" s="21">
        <f>LET(
    seasoning_years,DATEDIF('Loan Tape (S&amp;P)'!K41,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" s="21">
        <f>IF(AND('Loan Tape (S&amp;P)'!U41="Yes",
        'Loan Tape (S&amp;P)'!T41&lt;&gt;"Yes",
        DATEDIF('Loan Tape (S&amp;P)'!K41, TODAY(), "M")&lt;18),
    1.10,
    1.00)</f>
        <v/>
      </c>
      <c r="O41" s="21">
        <f>IF('Loan Tape (S&amp;P)'!T41="Yes",
    1.35,
    1.00)</f>
        <v/>
      </c>
      <c r="P41" s="21">
        <f>IF('Loan Tape (S&amp;P)'!S41="Yes",
    1.15,
    1.00)</f>
        <v/>
      </c>
      <c r="Q41" s="21">
        <f>IF('Loan Tape (S&amp;P)'!V41="Yes",
    1.20,
    1.00)</f>
        <v/>
      </c>
      <c r="R41" s="21">
        <f>IF('Loan Tape (S&amp;P)'!T41="Yes",
    'FF Adj Parameters'!$B$40,
    1.00)</f>
        <v/>
      </c>
      <c r="S41" s="21">
        <f>LET(
    is_htb,'Loan Tape (S&amp;P)'!Q41="Yes",
    rate_type,'Loan Tape (S&amp;P)'!AS41,
    months_to_mat,'Loan Tape (S&amp;P)'!AU41,
    threshold,'FF Adj Parameters'!$B$1241,
    has_shock,AND(rate_type="Fixed",months_to_mat&lt;=threshold),
    IF(is_htb,1.00,IF(has_shock,'FF Adj Parameters'!$B$41,1.00))
)</f>
        <v/>
      </c>
      <c r="T41" s="21">
        <f>LET(
    payment_method,'Loan Tape (S&amp;P)'!P41,
    occupancy,'Loan Tape (S&amp;P)'!N41,
    maturity_date,'Loan Tape (S&amp;P)'!L41,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41" s="21">
        <f>IF(AND('Loan Tape (S&amp;P)'!V41="Yes",'Loan Tape (S&amp;P)'!N41&lt;&gt;"Buy to Let"),
    'FF Adj Parameters'!$B$42,
    1.00)</f>
        <v/>
      </c>
      <c r="V41" s="21">
        <f>IF('Loan Tape (S&amp;P)'!AV41="Yes",
    'FF Adj Parameters'!$B$43,
    1.00)</f>
        <v/>
      </c>
      <c r="W41" s="23">
        <f>IF('Loan Tape (S&amp;P)'!AC41&gt;0,
    'FF Adj Parameters'!$B$44,
    1.00)</f>
        <v/>
      </c>
      <c r="X41" s="21">
        <f>LET(
    has_bankruptcy,'Loan Tape (S&amp;P)'!AE41="Yes",
    has_iva,'Loan Tape (S&amp;P)'!AF41="Yes",
    has_repo,'Loan Tape (S&amp;P)'!AI41="Yes",
    mult,IF(has_repo,'FF Adj Parameters'!$B$47,
            IF(has_bankruptcy,'FF Adj Parameters'!$B$441,
                IF(has_iva,'FF Adj Parameters'!$B$46,
                    1.00))),
    MAX(mult,0.410)
)</f>
        <v/>
      </c>
      <c r="Y41" s="21">
        <f>LET(
    has_perf_arr,'Loan Tape (S&amp;P)'!AP41="Yes",
    perf_arr_date,'Loan Tape (S&amp;P)'!AQ41,
    last_90_date,'Loan Tape (S&amp;P)'!AR41,
    threshold_years,VLOOKUP('Control Panel'!$B$6,'Jurisdiction Parameters'!$A:$Q,17,FALSE),
    relevant_date,MAX(perf_arr_date,last_90_date),
    years_since,('Control Panel'!$B$10-relevant_date)/3641.241,
    IF(NOT(has_perf_arr),1.00,
        IF(years_since&gt;threshold_years,1.00,
            IF(years_since&lt;=1,INDEX('FF Adj Parameters'!$C$47:$C$410,1),
                IF(years_since&lt;=2,INDEX('FF Adj Parameters'!$C$47:$C$410,2),
                    IF(years_since&lt;=3,INDEX('FF Adj Parameters'!$C$47:$C$410,3),
                        INDEX('FF Adj Parameters'!$C$47:$C$410,4))))))
)</f>
        <v/>
      </c>
      <c r="Z41" s="24">
        <f>IFERROR(
        IF(L41&gt;=100,1.00,
            'Control Panel'!$B$18*F41*G41*MAX(H41,R41)*I41*J41*K41*L41*M41*N41*O41*P41*Q41*S41*T41*U41*V41*W41*X41*Y41
        ),
    0)</f>
        <v/>
      </c>
    </row>
    <row r="42">
      <c r="A42" s="17">
        <f>'Loan Tape (S&amp;P)'!A42</f>
        <v/>
      </c>
      <c r="B42" s="18">
        <f>'Loan Tape (S&amp;P)'!B42</f>
        <v/>
      </c>
      <c r="C42" s="20">
        <f>IFERROR('Loan Tape (S&amp;P)'!C42/'Loan Tape (S&amp;P)'!E42,0)</f>
        <v/>
      </c>
      <c r="D42" s="20">
        <f>IFERROR(
        'Loan Tape (S&amp;P)'!B42/
        ('Loan Tape (S&amp;P)'!D42*
        (1-IF('Loan Tape (S&amp;P)'!AT42&lt;&gt;"Full",
            VLOOKUP('Control Panel'!$B$6,'Jurisdiction Parameters'!$A:$D,4,FALSE),
        0))),
    0)</f>
        <v/>
      </c>
      <c r="E42" s="20">
        <f>('Control Panel'!$B$12*C42)+('Control Panel'!$B$13*D42)</f>
        <v/>
      </c>
      <c r="F42" s="22">
        <f>IFERROR(
        LET(
            juris,'Control Panel'!$B$6,
            ltv_val,E42,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2" s="21">
        <f>'Control Panel'!$B$14</f>
        <v/>
      </c>
      <c r="H42" s="21">
        <f>LET(
    income_mult,'Loan Tape (S&amp;P)'!Z42,
    IF(income_mult=0,1.00,
        IFERROR(
            INDEX('FF Adj Parameters'!$A$142:$B$17,
                MATCH(income_mult,INDEX('FF Adj Parameters'!$A$142:$B$17,,1),1),2),
            1.420))
)</f>
        <v/>
      </c>
      <c r="I42" s="21">
        <f>IF('Loan Tape (S&amp;P)'!N42&lt;&gt;"Buy to Let",1.00,
    LET(
        dscr,'Loan Tape (S&amp;P)'!AA42,
        IF(dscr=0,INDEX('FF Adj Parameters'!$A$21:$B$242,1,2),
            IFERROR(
                INDEX('FF Adj Parameters'!$A$21:$B$242,
                    MATCH(dscr,INDEX('FF Adj Parameters'!$A$21:$B$242,,1),1),2),
                'FF Adj Parameters'!$B$21)))
)</f>
        <v/>
      </c>
      <c r="J42" s="21">
        <f>LET(
    lien,'Loan Tape (S&amp;P)'!Q42,
    IF(lien="First",1.00,
        IF(lien="Second",1.50,
            1.70)))</f>
        <v/>
      </c>
      <c r="K42" s="21">
        <f>LET(
    purpose,'Loan Tape (S&amp;P)'!R42,
    IF(purpose="Purchase",1.00,
        IF(purpose="Remortgage",1.00,
            1.20)))</f>
        <v/>
      </c>
      <c r="L42" s="21">
        <f>LET(
    arrears_months,'Loan Tape (S&amp;P)'!AN42,
    IF(arrears_months=0,1.00,
    IF(arrears_months=1,3.00,
    IF(arrears_months=2,5.00,
    IF(arrears_months=3,8.00,
    IF(arrears_months=4,10.00,
    IF(arrears_months=5,12.00,15.00)))))))</f>
        <v/>
      </c>
      <c r="M42" s="21">
        <f>LET(
    seasoning_years,DATEDIF('Loan Tape (S&amp;P)'!K42,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" s="21">
        <f>IF(AND('Loan Tape (S&amp;P)'!U42="Yes",
        'Loan Tape (S&amp;P)'!T42&lt;&gt;"Yes",
        DATEDIF('Loan Tape (S&amp;P)'!K42, TODAY(), "M")&lt;18),
    1.10,
    1.00)</f>
        <v/>
      </c>
      <c r="O42" s="21">
        <f>IF('Loan Tape (S&amp;P)'!T42="Yes",
    1.35,
    1.00)</f>
        <v/>
      </c>
      <c r="P42" s="21">
        <f>IF('Loan Tape (S&amp;P)'!S42="Yes",
    1.15,
    1.00)</f>
        <v/>
      </c>
      <c r="Q42" s="21">
        <f>IF('Loan Tape (S&amp;P)'!V42="Yes",
    1.20,
    1.00)</f>
        <v/>
      </c>
      <c r="R42" s="21">
        <f>IF('Loan Tape (S&amp;P)'!T42="Yes",
    'FF Adj Parameters'!$B$40,
    1.00)</f>
        <v/>
      </c>
      <c r="S42" s="21">
        <f>LET(
    is_htb,'Loan Tape (S&amp;P)'!Q42="Yes",
    rate_type,'Loan Tape (S&amp;P)'!AS42,
    months_to_mat,'Loan Tape (S&amp;P)'!AU42,
    threshold,'FF Adj Parameters'!$B$1242,
    has_shock,AND(rate_type="Fixed",months_to_mat&lt;=threshold),
    IF(is_htb,1.00,IF(has_shock,'FF Adj Parameters'!$B$41,1.00))
)</f>
        <v/>
      </c>
      <c r="T42" s="21">
        <f>LET(
    payment_method,'Loan Tape (S&amp;P)'!P42,
    occupancy,'Loan Tape (S&amp;P)'!N42,
    maturity_date,'Loan Tape (S&amp;P)'!L42,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42" s="21">
        <f>IF(AND('Loan Tape (S&amp;P)'!V42="Yes",'Loan Tape (S&amp;P)'!N42&lt;&gt;"Buy to Let"),
    'FF Adj Parameters'!$B$42,
    1.00)</f>
        <v/>
      </c>
      <c r="V42" s="21">
        <f>IF('Loan Tape (S&amp;P)'!AV42="Yes",
    'FF Adj Parameters'!$B$43,
    1.00)</f>
        <v/>
      </c>
      <c r="W42" s="23">
        <f>IF('Loan Tape (S&amp;P)'!AC42&gt;0,
    'FF Adj Parameters'!$B$44,
    1.00)</f>
        <v/>
      </c>
      <c r="X42" s="21">
        <f>LET(
    has_bankruptcy,'Loan Tape (S&amp;P)'!AE42="Yes",
    has_iva,'Loan Tape (S&amp;P)'!AF42="Yes",
    has_repo,'Loan Tape (S&amp;P)'!AI42="Yes",
    mult,IF(has_repo,'FF Adj Parameters'!$B$47,
            IF(has_bankruptcy,'FF Adj Parameters'!$B$442,
                IF(has_iva,'FF Adj Parameters'!$B$46,
                    1.00))),
    MAX(mult,0.420)
)</f>
        <v/>
      </c>
      <c r="Y42" s="21">
        <f>LET(
    has_perf_arr,'Loan Tape (S&amp;P)'!AP42="Yes",
    perf_arr_date,'Loan Tape (S&amp;P)'!AQ42,
    last_90_date,'Loan Tape (S&amp;P)'!AR42,
    threshold_years,VLOOKUP('Control Panel'!$B$6,'Jurisdiction Parameters'!$A:$Q,17,FALSE),
    relevant_date,MAX(perf_arr_date,last_90_date),
    years_since,('Control Panel'!$B$10-relevant_date)/3642.242,
    IF(NOT(has_perf_arr),1.00,
        IF(years_since&gt;threshold_years,1.00,
            IF(years_since&lt;=1,INDEX('FF Adj Parameters'!$C$47:$C$420,1),
                IF(years_since&lt;=2,INDEX('FF Adj Parameters'!$C$47:$C$420,2),
                    IF(years_since&lt;=3,INDEX('FF Adj Parameters'!$C$47:$C$420,3),
                        INDEX('FF Adj Parameters'!$C$47:$C$420,4))))))
)</f>
        <v/>
      </c>
      <c r="Z42" s="24">
        <f>IFERROR(
        IF(L42&gt;=100,1.00,
            'Control Panel'!$B$18*F42*G42*MAX(H42,R42)*I42*J42*K42*L42*M42*N42*O42*P42*Q42*S42*T42*U42*V42*W42*X42*Y42
        ),
    0)</f>
        <v/>
      </c>
    </row>
    <row r="43">
      <c r="A43" s="17">
        <f>'Loan Tape (S&amp;P)'!A43</f>
        <v/>
      </c>
      <c r="B43" s="18">
        <f>'Loan Tape (S&amp;P)'!B43</f>
        <v/>
      </c>
      <c r="C43" s="20">
        <f>IFERROR('Loan Tape (S&amp;P)'!C43/'Loan Tape (S&amp;P)'!E43,0)</f>
        <v/>
      </c>
      <c r="D43" s="20">
        <f>IFERROR(
        'Loan Tape (S&amp;P)'!B43/
        ('Loan Tape (S&amp;P)'!D43*
        (1-IF('Loan Tape (S&amp;P)'!AT43&lt;&gt;"Full",
            VLOOKUP('Control Panel'!$B$6,'Jurisdiction Parameters'!$A:$D,4,FALSE),
        0))),
    0)</f>
        <v/>
      </c>
      <c r="E43" s="20">
        <f>('Control Panel'!$B$12*C43)+('Control Panel'!$B$13*D43)</f>
        <v/>
      </c>
      <c r="F43" s="22">
        <f>IFERROR(
        LET(
            juris,'Control Panel'!$B$6,
            ltv_val,E43,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3" s="21">
        <f>'Control Panel'!$B$14</f>
        <v/>
      </c>
      <c r="H43" s="21">
        <f>LET(
    income_mult,'Loan Tape (S&amp;P)'!Z43,
    IF(income_mult=0,1.00,
        IFERROR(
            INDEX('FF Adj Parameters'!$A$143:$B$17,
                MATCH(income_mult,INDEX('FF Adj Parameters'!$A$143:$B$17,,1),1),2),
            1.430))
)</f>
        <v/>
      </c>
      <c r="I43" s="21">
        <f>IF('Loan Tape (S&amp;P)'!N43&lt;&gt;"Buy to Let",1.00,
    LET(
        dscr,'Loan Tape (S&amp;P)'!AA43,
        IF(dscr=0,INDEX('FF Adj Parameters'!$A$21:$B$243,1,2),
            IFERROR(
                INDEX('FF Adj Parameters'!$A$21:$B$243,
                    MATCH(dscr,INDEX('FF Adj Parameters'!$A$21:$B$243,,1),1),2),
                'FF Adj Parameters'!$B$21)))
)</f>
        <v/>
      </c>
      <c r="J43" s="21">
        <f>LET(
    lien,'Loan Tape (S&amp;P)'!Q43,
    IF(lien="First",1.00,
        IF(lien="Second",1.50,
            1.70)))</f>
        <v/>
      </c>
      <c r="K43" s="21">
        <f>LET(
    purpose,'Loan Tape (S&amp;P)'!R43,
    IF(purpose="Purchase",1.00,
        IF(purpose="Remortgage",1.00,
            1.20)))</f>
        <v/>
      </c>
      <c r="L43" s="21">
        <f>LET(
    arrears_months,'Loan Tape (S&amp;P)'!AN43,
    IF(arrears_months=0,1.00,
    IF(arrears_months=1,3.00,
    IF(arrears_months=2,5.00,
    IF(arrears_months=3,8.00,
    IF(arrears_months=4,10.00,
    IF(arrears_months=5,12.00,15.00)))))))</f>
        <v/>
      </c>
      <c r="M43" s="21">
        <f>LET(
    seasoning_years,DATEDIF('Loan Tape (S&amp;P)'!K43,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" s="21">
        <f>IF(AND('Loan Tape (S&amp;P)'!U43="Yes",
        'Loan Tape (S&amp;P)'!T43&lt;&gt;"Yes",
        DATEDIF('Loan Tape (S&amp;P)'!K43, TODAY(), "M")&lt;18),
    1.10,
    1.00)</f>
        <v/>
      </c>
      <c r="O43" s="21">
        <f>IF('Loan Tape (S&amp;P)'!T43="Yes",
    1.35,
    1.00)</f>
        <v/>
      </c>
      <c r="P43" s="21">
        <f>IF('Loan Tape (S&amp;P)'!S43="Yes",
    1.15,
    1.00)</f>
        <v/>
      </c>
      <c r="Q43" s="21">
        <f>IF('Loan Tape (S&amp;P)'!V43="Yes",
    1.20,
    1.00)</f>
        <v/>
      </c>
      <c r="R43" s="21">
        <f>IF('Loan Tape (S&amp;P)'!T43="Yes",
    'FF Adj Parameters'!$B$40,
    1.00)</f>
        <v/>
      </c>
      <c r="S43" s="21">
        <f>LET(
    is_htb,'Loan Tape (S&amp;P)'!Q43="Yes",
    rate_type,'Loan Tape (S&amp;P)'!AS43,
    months_to_mat,'Loan Tape (S&amp;P)'!AU43,
    threshold,'FF Adj Parameters'!$B$1243,
    has_shock,AND(rate_type="Fixed",months_to_mat&lt;=threshold),
    IF(is_htb,1.00,IF(has_shock,'FF Adj Parameters'!$B$41,1.00))
)</f>
        <v/>
      </c>
      <c r="T43" s="21">
        <f>LET(
    payment_method,'Loan Tape (S&amp;P)'!P43,
    occupancy,'Loan Tape (S&amp;P)'!N43,
    maturity_date,'Loan Tape (S&amp;P)'!L43,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43" s="21">
        <f>IF(AND('Loan Tape (S&amp;P)'!V43="Yes",'Loan Tape (S&amp;P)'!N43&lt;&gt;"Buy to Let"),
    'FF Adj Parameters'!$B$42,
    1.00)</f>
        <v/>
      </c>
      <c r="V43" s="21">
        <f>IF('Loan Tape (S&amp;P)'!AV43="Yes",
    'FF Adj Parameters'!$B$43,
    1.00)</f>
        <v/>
      </c>
      <c r="W43" s="23">
        <f>IF('Loan Tape (S&amp;P)'!AC43&gt;0,
    'FF Adj Parameters'!$B$44,
    1.00)</f>
        <v/>
      </c>
      <c r="X43" s="21">
        <f>LET(
    has_bankruptcy,'Loan Tape (S&amp;P)'!AE43="Yes",
    has_iva,'Loan Tape (S&amp;P)'!AF43="Yes",
    has_repo,'Loan Tape (S&amp;P)'!AI43="Yes",
    mult,IF(has_repo,'FF Adj Parameters'!$B$47,
            IF(has_bankruptcy,'FF Adj Parameters'!$B$443,
                IF(has_iva,'FF Adj Parameters'!$B$46,
                    1.00))),
    MAX(mult,0.430)
)</f>
        <v/>
      </c>
      <c r="Y43" s="21">
        <f>LET(
    has_perf_arr,'Loan Tape (S&amp;P)'!AP43="Yes",
    perf_arr_date,'Loan Tape (S&amp;P)'!AQ43,
    last_90_date,'Loan Tape (S&amp;P)'!AR43,
    threshold_years,VLOOKUP('Control Panel'!$B$6,'Jurisdiction Parameters'!$A:$Q,17,FALSE),
    relevant_date,MAX(perf_arr_date,last_90_date),
    years_since,('Control Panel'!$B$10-relevant_date)/3643.243,
    IF(NOT(has_perf_arr),1.00,
        IF(years_since&gt;threshold_years,1.00,
            IF(years_since&lt;=1,INDEX('FF Adj Parameters'!$C$47:$C$430,1),
                IF(years_since&lt;=2,INDEX('FF Adj Parameters'!$C$47:$C$430,2),
                    IF(years_since&lt;=3,INDEX('FF Adj Parameters'!$C$47:$C$430,3),
                        INDEX('FF Adj Parameters'!$C$47:$C$430,4))))))
)</f>
        <v/>
      </c>
      <c r="Z43" s="24">
        <f>IFERROR(
        IF(L43&gt;=100,1.00,
            'Control Panel'!$B$18*F43*G43*MAX(H43,R43)*I43*J43*K43*L43*M43*N43*O43*P43*Q43*S43*T43*U43*V43*W43*X43*Y43
        ),
    0)</f>
        <v/>
      </c>
    </row>
    <row r="44">
      <c r="A44" s="17">
        <f>'Loan Tape (S&amp;P)'!A44</f>
        <v/>
      </c>
      <c r="B44" s="18">
        <f>'Loan Tape (S&amp;P)'!B44</f>
        <v/>
      </c>
      <c r="C44" s="20">
        <f>IFERROR('Loan Tape (S&amp;P)'!C44/'Loan Tape (S&amp;P)'!E44,0)</f>
        <v/>
      </c>
      <c r="D44" s="20">
        <f>IFERROR(
        'Loan Tape (S&amp;P)'!B44/
        ('Loan Tape (S&amp;P)'!D44*
        (1-IF('Loan Tape (S&amp;P)'!AT44&lt;&gt;"Full",
            VLOOKUP('Control Panel'!$B$6,'Jurisdiction Parameters'!$A:$D,4,FALSE),
        0))),
    0)</f>
        <v/>
      </c>
      <c r="E44" s="20">
        <f>('Control Panel'!$B$12*C44)+('Control Panel'!$B$13*D44)</f>
        <v/>
      </c>
      <c r="F44" s="22">
        <f>IFERROR(
        LET(
            juris,'Control Panel'!$B$6,
            ltv_val,E44,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4" s="21">
        <f>'Control Panel'!$B$14</f>
        <v/>
      </c>
      <c r="H44" s="21">
        <f>LET(
    income_mult,'Loan Tape (S&amp;P)'!Z44,
    IF(income_mult=0,1.00,
        IFERROR(
            INDEX('FF Adj Parameters'!$A$144:$B$17,
                MATCH(income_mult,INDEX('FF Adj Parameters'!$A$144:$B$17,,1),1),2),
            1.440))
)</f>
        <v/>
      </c>
      <c r="I44" s="21">
        <f>IF('Loan Tape (S&amp;P)'!N44&lt;&gt;"Buy to Let",1.00,
    LET(
        dscr,'Loan Tape (S&amp;P)'!AA44,
        IF(dscr=0,INDEX('FF Adj Parameters'!$A$21:$B$244,1,2),
            IFERROR(
                INDEX('FF Adj Parameters'!$A$21:$B$244,
                    MATCH(dscr,INDEX('FF Adj Parameters'!$A$21:$B$244,,1),1),2),
                'FF Adj Parameters'!$B$21)))
)</f>
        <v/>
      </c>
      <c r="J44" s="21">
        <f>LET(
    lien,'Loan Tape (S&amp;P)'!Q44,
    IF(lien="First",1.00,
        IF(lien="Second",1.50,
            1.70)))</f>
        <v/>
      </c>
      <c r="K44" s="21">
        <f>LET(
    purpose,'Loan Tape (S&amp;P)'!R44,
    IF(purpose="Purchase",1.00,
        IF(purpose="Remortgage",1.00,
            1.20)))</f>
        <v/>
      </c>
      <c r="L44" s="21">
        <f>LET(
    arrears_months,'Loan Tape (S&amp;P)'!AN44,
    IF(arrears_months=0,1.00,
    IF(arrears_months=1,3.00,
    IF(arrears_months=2,5.00,
    IF(arrears_months=3,8.00,
    IF(arrears_months=4,10.00,
    IF(arrears_months=5,12.00,15.00)))))))</f>
        <v/>
      </c>
      <c r="M44" s="21">
        <f>LET(
    seasoning_years,DATEDIF('Loan Tape (S&amp;P)'!K44,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" s="21">
        <f>IF(AND('Loan Tape (S&amp;P)'!U44="Yes",
        'Loan Tape (S&amp;P)'!T44&lt;&gt;"Yes",
        DATEDIF('Loan Tape (S&amp;P)'!K44, TODAY(), "M")&lt;18),
    1.10,
    1.00)</f>
        <v/>
      </c>
      <c r="O44" s="21">
        <f>IF('Loan Tape (S&amp;P)'!T44="Yes",
    1.35,
    1.00)</f>
        <v/>
      </c>
      <c r="P44" s="21">
        <f>IF('Loan Tape (S&amp;P)'!S44="Yes",
    1.15,
    1.00)</f>
        <v/>
      </c>
      <c r="Q44" s="21">
        <f>IF('Loan Tape (S&amp;P)'!V44="Yes",
    1.20,
    1.00)</f>
        <v/>
      </c>
      <c r="R44" s="21">
        <f>IF('Loan Tape (S&amp;P)'!T44="Yes",
    'FF Adj Parameters'!$B$40,
    1.00)</f>
        <v/>
      </c>
      <c r="S44" s="21">
        <f>LET(
    is_htb,'Loan Tape (S&amp;P)'!Q44="Yes",
    rate_type,'Loan Tape (S&amp;P)'!AS44,
    months_to_mat,'Loan Tape (S&amp;P)'!AU44,
    threshold,'FF Adj Parameters'!$B$1244,
    has_shock,AND(rate_type="Fixed",months_to_mat&lt;=threshold),
    IF(is_htb,1.00,IF(has_shock,'FF Adj Parameters'!$B$41,1.00))
)</f>
        <v/>
      </c>
      <c r="T44" s="21">
        <f>LET(
    payment_method,'Loan Tape (S&amp;P)'!P44,
    occupancy,'Loan Tape (S&amp;P)'!N44,
    maturity_date,'Loan Tape (S&amp;P)'!L44,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44" s="21">
        <f>IF(AND('Loan Tape (S&amp;P)'!V44="Yes",'Loan Tape (S&amp;P)'!N44&lt;&gt;"Buy to Let"),
    'FF Adj Parameters'!$B$42,
    1.00)</f>
        <v/>
      </c>
      <c r="V44" s="21">
        <f>IF('Loan Tape (S&amp;P)'!AV44="Yes",
    'FF Adj Parameters'!$B$43,
    1.00)</f>
        <v/>
      </c>
      <c r="W44" s="23">
        <f>IF('Loan Tape (S&amp;P)'!AC44&gt;0,
    'FF Adj Parameters'!$B$44,
    1.00)</f>
        <v/>
      </c>
      <c r="X44" s="21">
        <f>LET(
    has_bankruptcy,'Loan Tape (S&amp;P)'!AE44="Yes",
    has_iva,'Loan Tape (S&amp;P)'!AF44="Yes",
    has_repo,'Loan Tape (S&amp;P)'!AI44="Yes",
    mult,IF(has_repo,'FF Adj Parameters'!$B$47,
            IF(has_bankruptcy,'FF Adj Parameters'!$B$444,
                IF(has_iva,'FF Adj Parameters'!$B$46,
                    1.00))),
    MAX(mult,0.440)
)</f>
        <v/>
      </c>
      <c r="Y44" s="21">
        <f>LET(
    has_perf_arr,'Loan Tape (S&amp;P)'!AP44="Yes",
    perf_arr_date,'Loan Tape (S&amp;P)'!AQ44,
    last_90_date,'Loan Tape (S&amp;P)'!AR44,
    threshold_years,VLOOKUP('Control Panel'!$B$6,'Jurisdiction Parameters'!$A:$Q,17,FALSE),
    relevant_date,MAX(perf_arr_date,last_90_date),
    years_since,('Control Panel'!$B$10-relevant_date)/3644.244,
    IF(NOT(has_perf_arr),1.00,
        IF(years_since&gt;threshold_years,1.00,
            IF(years_since&lt;=1,INDEX('FF Adj Parameters'!$C$47:$C$440,1),
                IF(years_since&lt;=2,INDEX('FF Adj Parameters'!$C$47:$C$440,2),
                    IF(years_since&lt;=3,INDEX('FF Adj Parameters'!$C$47:$C$440,3),
                        INDEX('FF Adj Parameters'!$C$47:$C$440,4))))))
)</f>
        <v/>
      </c>
      <c r="Z44" s="24">
        <f>IFERROR(
        IF(L44&gt;=100,1.00,
            'Control Panel'!$B$18*F44*G44*MAX(H44,R44)*I44*J44*K44*L44*M44*N44*O44*P44*Q44*S44*T44*U44*V44*W44*X44*Y44
        ),
    0)</f>
        <v/>
      </c>
    </row>
    <row r="45">
      <c r="A45" s="17">
        <f>'Loan Tape (S&amp;P)'!A45</f>
        <v/>
      </c>
      <c r="B45" s="18">
        <f>'Loan Tape (S&amp;P)'!B45</f>
        <v/>
      </c>
      <c r="C45" s="20">
        <f>IFERROR('Loan Tape (S&amp;P)'!C45/'Loan Tape (S&amp;P)'!E45,0)</f>
        <v/>
      </c>
      <c r="D45" s="20">
        <f>IFERROR(
        'Loan Tape (S&amp;P)'!B45/
        ('Loan Tape (S&amp;P)'!D45*
        (1-IF('Loan Tape (S&amp;P)'!AT45&lt;&gt;"Full",
            VLOOKUP('Control Panel'!$B$6,'Jurisdiction Parameters'!$A:$D,4,FALSE),
        0))),
    0)</f>
        <v/>
      </c>
      <c r="E45" s="20">
        <f>('Control Panel'!$B$12*C45)+('Control Panel'!$B$13*D45)</f>
        <v/>
      </c>
      <c r="F45" s="22">
        <f>IFERROR(
        LET(
            juris,'Control Panel'!$B$6,
            ltv_val,E45,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5" s="21">
        <f>'Control Panel'!$B$14</f>
        <v/>
      </c>
      <c r="H45" s="21">
        <f>LET(
    income_mult,'Loan Tape (S&amp;P)'!Z45,
    IF(income_mult=0,1.00,
        IFERROR(
            INDEX('FF Adj Parameters'!$A$145:$B$17,
                MATCH(income_mult,INDEX('FF Adj Parameters'!$A$145:$B$17,,1),1),2),
            1.450))
)</f>
        <v/>
      </c>
      <c r="I45" s="21">
        <f>IF('Loan Tape (S&amp;P)'!N45&lt;&gt;"Buy to Let",1.00,
    LET(
        dscr,'Loan Tape (S&amp;P)'!AA45,
        IF(dscr=0,INDEX('FF Adj Parameters'!$A$21:$B$245,1,2),
            IFERROR(
                INDEX('FF Adj Parameters'!$A$21:$B$245,
                    MATCH(dscr,INDEX('FF Adj Parameters'!$A$21:$B$245,,1),1),2),
                'FF Adj Parameters'!$B$21)))
)</f>
        <v/>
      </c>
      <c r="J45" s="21">
        <f>LET(
    lien,'Loan Tape (S&amp;P)'!Q45,
    IF(lien="First",1.00,
        IF(lien="Second",1.50,
            1.70)))</f>
        <v/>
      </c>
      <c r="K45" s="21">
        <f>LET(
    purpose,'Loan Tape (S&amp;P)'!R45,
    IF(purpose="Purchase",1.00,
        IF(purpose="Remortgage",1.00,
            1.20)))</f>
        <v/>
      </c>
      <c r="L45" s="21">
        <f>LET(
    arrears_months,'Loan Tape (S&amp;P)'!AN45,
    IF(arrears_months=0,1.00,
    IF(arrears_months=1,3.00,
    IF(arrears_months=2,5.00,
    IF(arrears_months=3,8.00,
    IF(arrears_months=4,10.00,
    IF(arrears_months=5,12.00,15.00)))))))</f>
        <v/>
      </c>
      <c r="M45" s="21">
        <f>LET(
    seasoning_years,DATEDIF('Loan Tape (S&amp;P)'!K45,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" s="21">
        <f>IF(AND('Loan Tape (S&amp;P)'!U45="Yes",
        'Loan Tape (S&amp;P)'!T45&lt;&gt;"Yes",
        DATEDIF('Loan Tape (S&amp;P)'!K45, TODAY(), "M")&lt;18),
    1.10,
    1.00)</f>
        <v/>
      </c>
      <c r="O45" s="21">
        <f>IF('Loan Tape (S&amp;P)'!T45="Yes",
    1.35,
    1.00)</f>
        <v/>
      </c>
      <c r="P45" s="21">
        <f>IF('Loan Tape (S&amp;P)'!S45="Yes",
    1.15,
    1.00)</f>
        <v/>
      </c>
      <c r="Q45" s="21">
        <f>IF('Loan Tape (S&amp;P)'!V45="Yes",
    1.20,
    1.00)</f>
        <v/>
      </c>
      <c r="R45" s="21">
        <f>IF('Loan Tape (S&amp;P)'!T45="Yes",
    'FF Adj Parameters'!$B$40,
    1.00)</f>
        <v/>
      </c>
      <c r="S45" s="21">
        <f>LET(
    is_htb,'Loan Tape (S&amp;P)'!Q45="Yes",
    rate_type,'Loan Tape (S&amp;P)'!AS45,
    months_to_mat,'Loan Tape (S&amp;P)'!AU45,
    threshold,'FF Adj Parameters'!$B$1245,
    has_shock,AND(rate_type="Fixed",months_to_mat&lt;=threshold),
    IF(is_htb,1.00,IF(has_shock,'FF Adj Parameters'!$B$41,1.00))
)</f>
        <v/>
      </c>
      <c r="T45" s="21">
        <f>LET(
    payment_method,'Loan Tape (S&amp;P)'!P45,
    occupancy,'Loan Tape (S&amp;P)'!N45,
    maturity_date,'Loan Tape (S&amp;P)'!L45,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45" s="21">
        <f>IF(AND('Loan Tape (S&amp;P)'!V45="Yes",'Loan Tape (S&amp;P)'!N45&lt;&gt;"Buy to Let"),
    'FF Adj Parameters'!$B$42,
    1.00)</f>
        <v/>
      </c>
      <c r="V45" s="21">
        <f>IF('Loan Tape (S&amp;P)'!AV45="Yes",
    'FF Adj Parameters'!$B$43,
    1.00)</f>
        <v/>
      </c>
      <c r="W45" s="23">
        <f>IF('Loan Tape (S&amp;P)'!AC45&gt;0,
    'FF Adj Parameters'!$B$44,
    1.00)</f>
        <v/>
      </c>
      <c r="X45" s="21">
        <f>LET(
    has_bankruptcy,'Loan Tape (S&amp;P)'!AE45="Yes",
    has_iva,'Loan Tape (S&amp;P)'!AF45="Yes",
    has_repo,'Loan Tape (S&amp;P)'!AI45="Yes",
    mult,IF(has_repo,'FF Adj Parameters'!$B$47,
            IF(has_bankruptcy,'FF Adj Parameters'!$B$445,
                IF(has_iva,'FF Adj Parameters'!$B$46,
                    1.00))),
    MAX(mult,0.450)
)</f>
        <v/>
      </c>
      <c r="Y45" s="21">
        <f>LET(
    has_perf_arr,'Loan Tape (S&amp;P)'!AP45="Yes",
    perf_arr_date,'Loan Tape (S&amp;P)'!AQ45,
    last_90_date,'Loan Tape (S&amp;P)'!AR45,
    threshold_years,VLOOKUP('Control Panel'!$B$6,'Jurisdiction Parameters'!$A:$Q,17,FALSE),
    relevant_date,MAX(perf_arr_date,last_90_date),
    years_since,('Control Panel'!$B$10-relevant_date)/3645.245,
    IF(NOT(has_perf_arr),1.00,
        IF(years_since&gt;threshold_years,1.00,
            IF(years_since&lt;=1,INDEX('FF Adj Parameters'!$C$47:$C$450,1),
                IF(years_since&lt;=2,INDEX('FF Adj Parameters'!$C$47:$C$450,2),
                    IF(years_since&lt;=3,INDEX('FF Adj Parameters'!$C$47:$C$450,3),
                        INDEX('FF Adj Parameters'!$C$47:$C$450,4))))))
)</f>
        <v/>
      </c>
      <c r="Z45" s="24">
        <f>IFERROR(
        IF(L45&gt;=100,1.00,
            'Control Panel'!$B$18*F45*G45*MAX(H45,R45)*I45*J45*K45*L45*M45*N45*O45*P45*Q45*S45*T45*U45*V45*W45*X45*Y45
        ),
    0)</f>
        <v/>
      </c>
    </row>
    <row r="46">
      <c r="A46" s="17">
        <f>'Loan Tape (S&amp;P)'!A46</f>
        <v/>
      </c>
      <c r="B46" s="18">
        <f>'Loan Tape (S&amp;P)'!B46</f>
        <v/>
      </c>
      <c r="C46" s="20">
        <f>IFERROR('Loan Tape (S&amp;P)'!C46/'Loan Tape (S&amp;P)'!E46,0)</f>
        <v/>
      </c>
      <c r="D46" s="20">
        <f>IFERROR(
        'Loan Tape (S&amp;P)'!B46/
        ('Loan Tape (S&amp;P)'!D46*
        (1-IF('Loan Tape (S&amp;P)'!AT46&lt;&gt;"Full",
            VLOOKUP('Control Panel'!$B$6,'Jurisdiction Parameters'!$A:$D,4,FALSE),
        0))),
    0)</f>
        <v/>
      </c>
      <c r="E46" s="20">
        <f>('Control Panel'!$B$12*C46)+('Control Panel'!$B$13*D46)</f>
        <v/>
      </c>
      <c r="F46" s="22">
        <f>IFERROR(
        LET(
            juris,'Control Panel'!$B$6,
            ltv_val,E46,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6" s="21">
        <f>'Control Panel'!$B$14</f>
        <v/>
      </c>
      <c r="H46" s="21">
        <f>LET(
    income_mult,'Loan Tape (S&amp;P)'!Z46,
    IF(income_mult=0,1.00,
        IFERROR(
            INDEX('FF Adj Parameters'!$A$146:$B$17,
                MATCH(income_mult,INDEX('FF Adj Parameters'!$A$146:$B$17,,1),1),2),
            1.460))
)</f>
        <v/>
      </c>
      <c r="I46" s="21">
        <f>IF('Loan Tape (S&amp;P)'!N46&lt;&gt;"Buy to Let",1.00,
    LET(
        dscr,'Loan Tape (S&amp;P)'!AA46,
        IF(dscr=0,INDEX('FF Adj Parameters'!$A$21:$B$246,1,2),
            IFERROR(
                INDEX('FF Adj Parameters'!$A$21:$B$246,
                    MATCH(dscr,INDEX('FF Adj Parameters'!$A$21:$B$246,,1),1),2),
                'FF Adj Parameters'!$B$21)))
)</f>
        <v/>
      </c>
      <c r="J46" s="21">
        <f>LET(
    lien,'Loan Tape (S&amp;P)'!Q46,
    IF(lien="First",1.00,
        IF(lien="Second",1.50,
            1.70)))</f>
        <v/>
      </c>
      <c r="K46" s="21">
        <f>LET(
    purpose,'Loan Tape (S&amp;P)'!R46,
    IF(purpose="Purchase",1.00,
        IF(purpose="Remortgage",1.00,
            1.20)))</f>
        <v/>
      </c>
      <c r="L46" s="21">
        <f>LET(
    arrears_months,'Loan Tape (S&amp;P)'!AN46,
    IF(arrears_months=0,1.00,
    IF(arrears_months=1,3.00,
    IF(arrears_months=2,5.00,
    IF(arrears_months=3,8.00,
    IF(arrears_months=4,10.00,
    IF(arrears_months=5,12.00,15.00)))))))</f>
        <v/>
      </c>
      <c r="M46" s="21">
        <f>LET(
    seasoning_years,DATEDIF('Loan Tape (S&amp;P)'!K46,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" s="21">
        <f>IF(AND('Loan Tape (S&amp;P)'!U46="Yes",
        'Loan Tape (S&amp;P)'!T46&lt;&gt;"Yes",
        DATEDIF('Loan Tape (S&amp;P)'!K46, TODAY(), "M")&lt;18),
    1.10,
    1.00)</f>
        <v/>
      </c>
      <c r="O46" s="21">
        <f>IF('Loan Tape (S&amp;P)'!T46="Yes",
    1.35,
    1.00)</f>
        <v/>
      </c>
      <c r="P46" s="21">
        <f>IF('Loan Tape (S&amp;P)'!S46="Yes",
    1.15,
    1.00)</f>
        <v/>
      </c>
      <c r="Q46" s="21">
        <f>IF('Loan Tape (S&amp;P)'!V46="Yes",
    1.20,
    1.00)</f>
        <v/>
      </c>
      <c r="R46" s="21">
        <f>IF('Loan Tape (S&amp;P)'!T46="Yes",
    'FF Adj Parameters'!$B$40,
    1.00)</f>
        <v/>
      </c>
      <c r="S46" s="21">
        <f>LET(
    is_htb,'Loan Tape (S&amp;P)'!Q46="Yes",
    rate_type,'Loan Tape (S&amp;P)'!AS46,
    months_to_mat,'Loan Tape (S&amp;P)'!AU46,
    threshold,'FF Adj Parameters'!$B$1246,
    has_shock,AND(rate_type="Fixed",months_to_mat&lt;=threshold),
    IF(is_htb,1.00,IF(has_shock,'FF Adj Parameters'!$B$41,1.00))
)</f>
        <v/>
      </c>
      <c r="T46" s="21">
        <f>LET(
    payment_method,'Loan Tape (S&amp;P)'!P46,
    occupancy,'Loan Tape (S&amp;P)'!N46,
    maturity_date,'Loan Tape (S&amp;P)'!L46,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46" s="21">
        <f>IF(AND('Loan Tape (S&amp;P)'!V46="Yes",'Loan Tape (S&amp;P)'!N46&lt;&gt;"Buy to Let"),
    'FF Adj Parameters'!$B$42,
    1.00)</f>
        <v/>
      </c>
      <c r="V46" s="21">
        <f>IF('Loan Tape (S&amp;P)'!AV46="Yes",
    'FF Adj Parameters'!$B$43,
    1.00)</f>
        <v/>
      </c>
      <c r="W46" s="23">
        <f>IF('Loan Tape (S&amp;P)'!AC46&gt;0,
    'FF Adj Parameters'!$B$44,
    1.00)</f>
        <v/>
      </c>
      <c r="X46" s="21">
        <f>LET(
    has_bankruptcy,'Loan Tape (S&amp;P)'!AE46="Yes",
    has_iva,'Loan Tape (S&amp;P)'!AF46="Yes",
    has_repo,'Loan Tape (S&amp;P)'!AI46="Yes",
    mult,IF(has_repo,'FF Adj Parameters'!$B$47,
            IF(has_bankruptcy,'FF Adj Parameters'!$B$446,
                IF(has_iva,'FF Adj Parameters'!$B$46,
                    1.00))),
    MAX(mult,0.460)
)</f>
        <v/>
      </c>
      <c r="Y46" s="21">
        <f>LET(
    has_perf_arr,'Loan Tape (S&amp;P)'!AP46="Yes",
    perf_arr_date,'Loan Tape (S&amp;P)'!AQ46,
    last_90_date,'Loan Tape (S&amp;P)'!AR46,
    threshold_years,VLOOKUP('Control Panel'!$B$6,'Jurisdiction Parameters'!$A:$Q,17,FALSE),
    relevant_date,MAX(perf_arr_date,last_90_date),
    years_since,('Control Panel'!$B$10-relevant_date)/3646.246,
    IF(NOT(has_perf_arr),1.00,
        IF(years_since&gt;threshold_years,1.00,
            IF(years_since&lt;=1,INDEX('FF Adj Parameters'!$C$47:$C$460,1),
                IF(years_since&lt;=2,INDEX('FF Adj Parameters'!$C$47:$C$460,2),
                    IF(years_since&lt;=3,INDEX('FF Adj Parameters'!$C$47:$C$460,3),
                        INDEX('FF Adj Parameters'!$C$47:$C$460,4))))))
)</f>
        <v/>
      </c>
      <c r="Z46" s="24">
        <f>IFERROR(
        IF(L46&gt;=100,1.00,
            'Control Panel'!$B$18*F46*G46*MAX(H46,R46)*I46*J46*K46*L46*M46*N46*O46*P46*Q46*S46*T46*U46*V46*W46*X46*Y46
        ),
    0)</f>
        <v/>
      </c>
    </row>
    <row r="47">
      <c r="A47" s="17">
        <f>'Loan Tape (S&amp;P)'!A47</f>
        <v/>
      </c>
      <c r="B47" s="18">
        <f>'Loan Tape (S&amp;P)'!B47</f>
        <v/>
      </c>
      <c r="C47" s="20">
        <f>IFERROR('Loan Tape (S&amp;P)'!C47/'Loan Tape (S&amp;P)'!E47,0)</f>
        <v/>
      </c>
      <c r="D47" s="20">
        <f>IFERROR(
        'Loan Tape (S&amp;P)'!B47/
        ('Loan Tape (S&amp;P)'!D47*
        (1-IF('Loan Tape (S&amp;P)'!AT47&lt;&gt;"Full",
            VLOOKUP('Control Panel'!$B$6,'Jurisdiction Parameters'!$A:$D,4,FALSE),
        0))),
    0)</f>
        <v/>
      </c>
      <c r="E47" s="20">
        <f>('Control Panel'!$B$12*C47)+('Control Panel'!$B$13*D47)</f>
        <v/>
      </c>
      <c r="F47" s="22">
        <f>IFERROR(
        LET(
            juris,'Control Panel'!$B$6,
            ltv_val,E47,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7" s="21">
        <f>'Control Panel'!$B$14</f>
        <v/>
      </c>
      <c r="H47" s="21">
        <f>LET(
    income_mult,'Loan Tape (S&amp;P)'!Z47,
    IF(income_mult=0,1.00,
        IFERROR(
            INDEX('FF Adj Parameters'!$A$147:$B$17,
                MATCH(income_mult,INDEX('FF Adj Parameters'!$A$147:$B$17,,1),1),2),
            1.470))
)</f>
        <v/>
      </c>
      <c r="I47" s="21">
        <f>IF('Loan Tape (S&amp;P)'!N47&lt;&gt;"Buy to Let",1.00,
    LET(
        dscr,'Loan Tape (S&amp;P)'!AA47,
        IF(dscr=0,INDEX('FF Adj Parameters'!$A$21:$B$247,1,2),
            IFERROR(
                INDEX('FF Adj Parameters'!$A$21:$B$247,
                    MATCH(dscr,INDEX('FF Adj Parameters'!$A$21:$B$247,,1),1),2),
                'FF Adj Parameters'!$B$21)))
)</f>
        <v/>
      </c>
      <c r="J47" s="21">
        <f>LET(
    lien,'Loan Tape (S&amp;P)'!Q47,
    IF(lien="First",1.00,
        IF(lien="Second",1.50,
            1.70)))</f>
        <v/>
      </c>
      <c r="K47" s="21">
        <f>LET(
    purpose,'Loan Tape (S&amp;P)'!R47,
    IF(purpose="Purchase",1.00,
        IF(purpose="Remortgage",1.00,
            1.20)))</f>
        <v/>
      </c>
      <c r="L47" s="21">
        <f>LET(
    arrears_months,'Loan Tape (S&amp;P)'!AN47,
    IF(arrears_months=0,1.00,
    IF(arrears_months=1,3.00,
    IF(arrears_months=2,5.00,
    IF(arrears_months=3,8.00,
    IF(arrears_months=4,10.00,
    IF(arrears_months=5,12.00,15.00)))))))</f>
        <v/>
      </c>
      <c r="M47" s="21">
        <f>LET(
    seasoning_years,DATEDIF('Loan Tape (S&amp;P)'!K47,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" s="21">
        <f>IF(AND('Loan Tape (S&amp;P)'!U47="Yes",
        'Loan Tape (S&amp;P)'!T47&lt;&gt;"Yes",
        DATEDIF('Loan Tape (S&amp;P)'!K47, TODAY(), "M")&lt;18),
    1.10,
    1.00)</f>
        <v/>
      </c>
      <c r="O47" s="21">
        <f>IF('Loan Tape (S&amp;P)'!T47="Yes",
    1.35,
    1.00)</f>
        <v/>
      </c>
      <c r="P47" s="21">
        <f>IF('Loan Tape (S&amp;P)'!S47="Yes",
    1.15,
    1.00)</f>
        <v/>
      </c>
      <c r="Q47" s="21">
        <f>IF('Loan Tape (S&amp;P)'!V47="Yes",
    1.20,
    1.00)</f>
        <v/>
      </c>
      <c r="R47" s="21">
        <f>IF('Loan Tape (S&amp;P)'!T47="Yes",
    'FF Adj Parameters'!$B$40,
    1.00)</f>
        <v/>
      </c>
      <c r="S47" s="21">
        <f>LET(
    is_htb,'Loan Tape (S&amp;P)'!Q47="Yes",
    rate_type,'Loan Tape (S&amp;P)'!AS47,
    months_to_mat,'Loan Tape (S&amp;P)'!AU47,
    threshold,'FF Adj Parameters'!$B$1247,
    has_shock,AND(rate_type="Fixed",months_to_mat&lt;=threshold),
    IF(is_htb,1.00,IF(has_shock,'FF Adj Parameters'!$B$41,1.00))
)</f>
        <v/>
      </c>
      <c r="T47" s="21">
        <f>LET(
    payment_method,'Loan Tape (S&amp;P)'!P47,
    occupancy,'Loan Tape (S&amp;P)'!N47,
    maturity_date,'Loan Tape (S&amp;P)'!L47,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47" s="21">
        <f>IF(AND('Loan Tape (S&amp;P)'!V47="Yes",'Loan Tape (S&amp;P)'!N47&lt;&gt;"Buy to Let"),
    'FF Adj Parameters'!$B$42,
    1.00)</f>
        <v/>
      </c>
      <c r="V47" s="21">
        <f>IF('Loan Tape (S&amp;P)'!AV47="Yes",
    'FF Adj Parameters'!$B$43,
    1.00)</f>
        <v/>
      </c>
      <c r="W47" s="23">
        <f>IF('Loan Tape (S&amp;P)'!AC47&gt;0,
    'FF Adj Parameters'!$B$44,
    1.00)</f>
        <v/>
      </c>
      <c r="X47" s="21">
        <f>LET(
    has_bankruptcy,'Loan Tape (S&amp;P)'!AE47="Yes",
    has_iva,'Loan Tape (S&amp;P)'!AF47="Yes",
    has_repo,'Loan Tape (S&amp;P)'!AI47="Yes",
    mult,IF(has_repo,'FF Adj Parameters'!$B$47,
            IF(has_bankruptcy,'FF Adj Parameters'!$B$447,
                IF(has_iva,'FF Adj Parameters'!$B$46,
                    1.00))),
    MAX(mult,0.470)
)</f>
        <v/>
      </c>
      <c r="Y47" s="21">
        <f>LET(
    has_perf_arr,'Loan Tape (S&amp;P)'!AP47="Yes",
    perf_arr_date,'Loan Tape (S&amp;P)'!AQ47,
    last_90_date,'Loan Tape (S&amp;P)'!AR47,
    threshold_years,VLOOKUP('Control Panel'!$B$6,'Jurisdiction Parameters'!$A:$Q,17,FALSE),
    relevant_date,MAX(perf_arr_date,last_90_date),
    years_since,('Control Panel'!$B$10-relevant_date)/3647.247,
    IF(NOT(has_perf_arr),1.00,
        IF(years_since&gt;threshold_years,1.00,
            IF(years_since&lt;=1,INDEX('FF Adj Parameters'!$C$47:$C$470,1),
                IF(years_since&lt;=2,INDEX('FF Adj Parameters'!$C$47:$C$470,2),
                    IF(years_since&lt;=3,INDEX('FF Adj Parameters'!$C$47:$C$470,3),
                        INDEX('FF Adj Parameters'!$C$47:$C$470,4))))))
)</f>
        <v/>
      </c>
      <c r="Z47" s="24">
        <f>IFERROR(
        IF(L47&gt;=100,1.00,
            'Control Panel'!$B$18*F47*G47*MAX(H47,R47)*I47*J47*K47*L47*M47*N47*O47*P47*Q47*S47*T47*U47*V47*W47*X47*Y47
        ),
    0)</f>
        <v/>
      </c>
    </row>
    <row r="48">
      <c r="A48" s="17">
        <f>'Loan Tape (S&amp;P)'!A48</f>
        <v/>
      </c>
      <c r="B48" s="18">
        <f>'Loan Tape (S&amp;P)'!B48</f>
        <v/>
      </c>
      <c r="C48" s="20">
        <f>IFERROR('Loan Tape (S&amp;P)'!C48/'Loan Tape (S&amp;P)'!E48,0)</f>
        <v/>
      </c>
      <c r="D48" s="20">
        <f>IFERROR(
        'Loan Tape (S&amp;P)'!B48/
        ('Loan Tape (S&amp;P)'!D48*
        (1-IF('Loan Tape (S&amp;P)'!AT48&lt;&gt;"Full",
            VLOOKUP('Control Panel'!$B$6,'Jurisdiction Parameters'!$A:$D,4,FALSE),
        0))),
    0)</f>
        <v/>
      </c>
      <c r="E48" s="20">
        <f>('Control Panel'!$B$12*C48)+('Control Panel'!$B$13*D48)</f>
        <v/>
      </c>
      <c r="F48" s="22">
        <f>IFERROR(
        LET(
            juris,'Control Panel'!$B$6,
            ltv_val,E48,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8" s="21">
        <f>'Control Panel'!$B$14</f>
        <v/>
      </c>
      <c r="H48" s="21">
        <f>LET(
    income_mult,'Loan Tape (S&amp;P)'!Z48,
    IF(income_mult=0,1.00,
        IFERROR(
            INDEX('FF Adj Parameters'!$A$148:$B$17,
                MATCH(income_mult,INDEX('FF Adj Parameters'!$A$148:$B$17,,1),1),2),
            1.480))
)</f>
        <v/>
      </c>
      <c r="I48" s="21">
        <f>IF('Loan Tape (S&amp;P)'!N48&lt;&gt;"Buy to Let",1.00,
    LET(
        dscr,'Loan Tape (S&amp;P)'!AA48,
        IF(dscr=0,INDEX('FF Adj Parameters'!$A$21:$B$248,1,2),
            IFERROR(
                INDEX('FF Adj Parameters'!$A$21:$B$248,
                    MATCH(dscr,INDEX('FF Adj Parameters'!$A$21:$B$248,,1),1),2),
                'FF Adj Parameters'!$B$21)))
)</f>
        <v/>
      </c>
      <c r="J48" s="21">
        <f>LET(
    lien,'Loan Tape (S&amp;P)'!Q48,
    IF(lien="First",1.00,
        IF(lien="Second",1.50,
            1.70)))</f>
        <v/>
      </c>
      <c r="K48" s="21">
        <f>LET(
    purpose,'Loan Tape (S&amp;P)'!R48,
    IF(purpose="Purchase",1.00,
        IF(purpose="Remortgage",1.00,
            1.20)))</f>
        <v/>
      </c>
      <c r="L48" s="21">
        <f>LET(
    arrears_months,'Loan Tape (S&amp;P)'!AN48,
    IF(arrears_months=0,1.00,
    IF(arrears_months=1,3.00,
    IF(arrears_months=2,5.00,
    IF(arrears_months=3,8.00,
    IF(arrears_months=4,10.00,
    IF(arrears_months=5,12.00,15.00)))))))</f>
        <v/>
      </c>
      <c r="M48" s="21">
        <f>LET(
    seasoning_years,DATEDIF('Loan Tape (S&amp;P)'!K48,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" s="21">
        <f>IF(AND('Loan Tape (S&amp;P)'!U48="Yes",
        'Loan Tape (S&amp;P)'!T48&lt;&gt;"Yes",
        DATEDIF('Loan Tape (S&amp;P)'!K48, TODAY(), "M")&lt;18),
    1.10,
    1.00)</f>
        <v/>
      </c>
      <c r="O48" s="21">
        <f>IF('Loan Tape (S&amp;P)'!T48="Yes",
    1.35,
    1.00)</f>
        <v/>
      </c>
      <c r="P48" s="21">
        <f>IF('Loan Tape (S&amp;P)'!S48="Yes",
    1.15,
    1.00)</f>
        <v/>
      </c>
      <c r="Q48" s="21">
        <f>IF('Loan Tape (S&amp;P)'!V48="Yes",
    1.20,
    1.00)</f>
        <v/>
      </c>
      <c r="R48" s="21">
        <f>IF('Loan Tape (S&amp;P)'!T48="Yes",
    'FF Adj Parameters'!$B$40,
    1.00)</f>
        <v/>
      </c>
      <c r="S48" s="21">
        <f>LET(
    is_htb,'Loan Tape (S&amp;P)'!Q48="Yes",
    rate_type,'Loan Tape (S&amp;P)'!AS48,
    months_to_mat,'Loan Tape (S&amp;P)'!AU48,
    threshold,'FF Adj Parameters'!$B$1248,
    has_shock,AND(rate_type="Fixed",months_to_mat&lt;=threshold),
    IF(is_htb,1.00,IF(has_shock,'FF Adj Parameters'!$B$41,1.00))
)</f>
        <v/>
      </c>
      <c r="T48" s="21">
        <f>LET(
    payment_method,'Loan Tape (S&amp;P)'!P48,
    occupancy,'Loan Tape (S&amp;P)'!N48,
    maturity_date,'Loan Tape (S&amp;P)'!L48,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48" s="21">
        <f>IF(AND('Loan Tape (S&amp;P)'!V48="Yes",'Loan Tape (S&amp;P)'!N48&lt;&gt;"Buy to Let"),
    'FF Adj Parameters'!$B$42,
    1.00)</f>
        <v/>
      </c>
      <c r="V48" s="21">
        <f>IF('Loan Tape (S&amp;P)'!AV48="Yes",
    'FF Adj Parameters'!$B$43,
    1.00)</f>
        <v/>
      </c>
      <c r="W48" s="23">
        <f>IF('Loan Tape (S&amp;P)'!AC48&gt;0,
    'FF Adj Parameters'!$B$44,
    1.00)</f>
        <v/>
      </c>
      <c r="X48" s="21">
        <f>LET(
    has_bankruptcy,'Loan Tape (S&amp;P)'!AE48="Yes",
    has_iva,'Loan Tape (S&amp;P)'!AF48="Yes",
    has_repo,'Loan Tape (S&amp;P)'!AI48="Yes",
    mult,IF(has_repo,'FF Adj Parameters'!$B$47,
            IF(has_bankruptcy,'FF Adj Parameters'!$B$448,
                IF(has_iva,'FF Adj Parameters'!$B$46,
                    1.00))),
    MAX(mult,0.480)
)</f>
        <v/>
      </c>
      <c r="Y48" s="21">
        <f>LET(
    has_perf_arr,'Loan Tape (S&amp;P)'!AP48="Yes",
    perf_arr_date,'Loan Tape (S&amp;P)'!AQ48,
    last_90_date,'Loan Tape (S&amp;P)'!AR48,
    threshold_years,VLOOKUP('Control Panel'!$B$6,'Jurisdiction Parameters'!$A:$Q,17,FALSE),
    relevant_date,MAX(perf_arr_date,last_90_date),
    years_since,('Control Panel'!$B$10-relevant_date)/3648.248,
    IF(NOT(has_perf_arr),1.00,
        IF(years_since&gt;threshold_years,1.00,
            IF(years_since&lt;=1,INDEX('FF Adj Parameters'!$C$47:$C$480,1),
                IF(years_since&lt;=2,INDEX('FF Adj Parameters'!$C$47:$C$480,2),
                    IF(years_since&lt;=3,INDEX('FF Adj Parameters'!$C$47:$C$480,3),
                        INDEX('FF Adj Parameters'!$C$47:$C$480,4))))))
)</f>
        <v/>
      </c>
      <c r="Z48" s="24">
        <f>IFERROR(
        IF(L48&gt;=100,1.00,
            'Control Panel'!$B$18*F48*G48*MAX(H48,R48)*I48*J48*K48*L48*M48*N48*O48*P48*Q48*S48*T48*U48*V48*W48*X48*Y48
        ),
    0)</f>
        <v/>
      </c>
    </row>
    <row r="49">
      <c r="A49" s="17">
        <f>'Loan Tape (S&amp;P)'!A49</f>
        <v/>
      </c>
      <c r="B49" s="18">
        <f>'Loan Tape (S&amp;P)'!B49</f>
        <v/>
      </c>
      <c r="C49" s="20">
        <f>IFERROR('Loan Tape (S&amp;P)'!C49/'Loan Tape (S&amp;P)'!E49,0)</f>
        <v/>
      </c>
      <c r="D49" s="20">
        <f>IFERROR(
        'Loan Tape (S&amp;P)'!B49/
        ('Loan Tape (S&amp;P)'!D49*
        (1-IF('Loan Tape (S&amp;P)'!AT49&lt;&gt;"Full",
            VLOOKUP('Control Panel'!$B$6,'Jurisdiction Parameters'!$A:$D,4,FALSE),
        0))),
    0)</f>
        <v/>
      </c>
      <c r="E49" s="20">
        <f>('Control Panel'!$B$12*C49)+('Control Panel'!$B$13*D49)</f>
        <v/>
      </c>
      <c r="F49" s="22">
        <f>IFERROR(
        LET(
            juris,'Control Panel'!$B$6,
            ltv_val,E49,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9" s="21">
        <f>'Control Panel'!$B$14</f>
        <v/>
      </c>
      <c r="H49" s="21">
        <f>LET(
    income_mult,'Loan Tape (S&amp;P)'!Z49,
    IF(income_mult=0,1.00,
        IFERROR(
            INDEX('FF Adj Parameters'!$A$149:$B$17,
                MATCH(income_mult,INDEX('FF Adj Parameters'!$A$149:$B$17,,1),1),2),
            1.490))
)</f>
        <v/>
      </c>
      <c r="I49" s="21">
        <f>IF('Loan Tape (S&amp;P)'!N49&lt;&gt;"Buy to Let",1.00,
    LET(
        dscr,'Loan Tape (S&amp;P)'!AA49,
        IF(dscr=0,INDEX('FF Adj Parameters'!$A$21:$B$249,1,2),
            IFERROR(
                INDEX('FF Adj Parameters'!$A$21:$B$249,
                    MATCH(dscr,INDEX('FF Adj Parameters'!$A$21:$B$249,,1),1),2),
                'FF Adj Parameters'!$B$21)))
)</f>
        <v/>
      </c>
      <c r="J49" s="21">
        <f>LET(
    lien,'Loan Tape (S&amp;P)'!Q49,
    IF(lien="First",1.00,
        IF(lien="Second",1.50,
            1.70)))</f>
        <v/>
      </c>
      <c r="K49" s="21">
        <f>LET(
    purpose,'Loan Tape (S&amp;P)'!R49,
    IF(purpose="Purchase",1.00,
        IF(purpose="Remortgage",1.00,
            1.20)))</f>
        <v/>
      </c>
      <c r="L49" s="21">
        <f>LET(
    arrears_months,'Loan Tape (S&amp;P)'!AN49,
    IF(arrears_months=0,1.00,
    IF(arrears_months=1,3.00,
    IF(arrears_months=2,5.00,
    IF(arrears_months=3,8.00,
    IF(arrears_months=4,10.00,
    IF(arrears_months=5,12.00,15.00)))))))</f>
        <v/>
      </c>
      <c r="M49" s="21">
        <f>LET(
    seasoning_years,DATEDIF('Loan Tape (S&amp;P)'!K49,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" s="21">
        <f>IF(AND('Loan Tape (S&amp;P)'!U49="Yes",
        'Loan Tape (S&amp;P)'!T49&lt;&gt;"Yes",
        DATEDIF('Loan Tape (S&amp;P)'!K49, TODAY(), "M")&lt;18),
    1.10,
    1.00)</f>
        <v/>
      </c>
      <c r="O49" s="21">
        <f>IF('Loan Tape (S&amp;P)'!T49="Yes",
    1.35,
    1.00)</f>
        <v/>
      </c>
      <c r="P49" s="21">
        <f>IF('Loan Tape (S&amp;P)'!S49="Yes",
    1.15,
    1.00)</f>
        <v/>
      </c>
      <c r="Q49" s="21">
        <f>IF('Loan Tape (S&amp;P)'!V49="Yes",
    1.20,
    1.00)</f>
        <v/>
      </c>
      <c r="R49" s="21">
        <f>IF('Loan Tape (S&amp;P)'!T49="Yes",
    'FF Adj Parameters'!$B$40,
    1.00)</f>
        <v/>
      </c>
      <c r="S49" s="21">
        <f>LET(
    is_htb,'Loan Tape (S&amp;P)'!Q49="Yes",
    rate_type,'Loan Tape (S&amp;P)'!AS49,
    months_to_mat,'Loan Tape (S&amp;P)'!AU49,
    threshold,'FF Adj Parameters'!$B$1249,
    has_shock,AND(rate_type="Fixed",months_to_mat&lt;=threshold),
    IF(is_htb,1.00,IF(has_shock,'FF Adj Parameters'!$B$41,1.00))
)</f>
        <v/>
      </c>
      <c r="T49" s="21">
        <f>LET(
    payment_method,'Loan Tape (S&amp;P)'!P49,
    occupancy,'Loan Tape (S&amp;P)'!N49,
    maturity_date,'Loan Tape (S&amp;P)'!L49,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49" s="21">
        <f>IF(AND('Loan Tape (S&amp;P)'!V49="Yes",'Loan Tape (S&amp;P)'!N49&lt;&gt;"Buy to Let"),
    'FF Adj Parameters'!$B$42,
    1.00)</f>
        <v/>
      </c>
      <c r="V49" s="21">
        <f>IF('Loan Tape (S&amp;P)'!AV49="Yes",
    'FF Adj Parameters'!$B$43,
    1.00)</f>
        <v/>
      </c>
      <c r="W49" s="23">
        <f>IF('Loan Tape (S&amp;P)'!AC49&gt;0,
    'FF Adj Parameters'!$B$44,
    1.00)</f>
        <v/>
      </c>
      <c r="X49" s="21">
        <f>LET(
    has_bankruptcy,'Loan Tape (S&amp;P)'!AE49="Yes",
    has_iva,'Loan Tape (S&amp;P)'!AF49="Yes",
    has_repo,'Loan Tape (S&amp;P)'!AI49="Yes",
    mult,IF(has_repo,'FF Adj Parameters'!$B$47,
            IF(has_bankruptcy,'FF Adj Parameters'!$B$449,
                IF(has_iva,'FF Adj Parameters'!$B$46,
                    1.00))),
    MAX(mult,0.490)
)</f>
        <v/>
      </c>
      <c r="Y49" s="21">
        <f>LET(
    has_perf_arr,'Loan Tape (S&amp;P)'!AP49="Yes",
    perf_arr_date,'Loan Tape (S&amp;P)'!AQ49,
    last_90_date,'Loan Tape (S&amp;P)'!AR49,
    threshold_years,VLOOKUP('Control Panel'!$B$6,'Jurisdiction Parameters'!$A:$Q,17,FALSE),
    relevant_date,MAX(perf_arr_date,last_90_date),
    years_since,('Control Panel'!$B$10-relevant_date)/3649.249,
    IF(NOT(has_perf_arr),1.00,
        IF(years_since&gt;threshold_years,1.00,
            IF(years_since&lt;=1,INDEX('FF Adj Parameters'!$C$47:$C$490,1),
                IF(years_since&lt;=2,INDEX('FF Adj Parameters'!$C$47:$C$490,2),
                    IF(years_since&lt;=3,INDEX('FF Adj Parameters'!$C$47:$C$490,3),
                        INDEX('FF Adj Parameters'!$C$47:$C$490,4))))))
)</f>
        <v/>
      </c>
      <c r="Z49" s="24">
        <f>IFERROR(
        IF(L49&gt;=100,1.00,
            'Control Panel'!$B$18*F49*G49*MAX(H49,R49)*I49*J49*K49*L49*M49*N49*O49*P49*Q49*S49*T49*U49*V49*W49*X49*Y49
        ),
    0)</f>
        <v/>
      </c>
    </row>
    <row r="50">
      <c r="A50" s="17">
        <f>'Loan Tape (S&amp;P)'!A50</f>
        <v/>
      </c>
      <c r="B50" s="18">
        <f>'Loan Tape (S&amp;P)'!B50</f>
        <v/>
      </c>
      <c r="C50" s="20">
        <f>IFERROR('Loan Tape (S&amp;P)'!C50/'Loan Tape (S&amp;P)'!E50,0)</f>
        <v/>
      </c>
      <c r="D50" s="20">
        <f>IFERROR(
        'Loan Tape (S&amp;P)'!B50/
        ('Loan Tape (S&amp;P)'!D50*
        (1-IF('Loan Tape (S&amp;P)'!AT50&lt;&gt;"Full",
            VLOOKUP('Control Panel'!$B$6,'Jurisdiction Parameters'!$A:$D,4,FALSE),
        0))),
    0)</f>
        <v/>
      </c>
      <c r="E50" s="20">
        <f>('Control Panel'!$B$12*C50)+('Control Panel'!$B$13*D50)</f>
        <v/>
      </c>
      <c r="F50" s="22">
        <f>IFERROR(
        LET(
            juris,'Control Panel'!$B$6,
            ltv_val,E50,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0" s="21">
        <f>'Control Panel'!$B$14</f>
        <v/>
      </c>
      <c r="H50" s="21">
        <f>LET(
    income_mult,'Loan Tape (S&amp;P)'!Z50,
    IF(income_mult=0,1.00,
        IFERROR(
            INDEX('FF Adj Parameters'!$A$150:$B$17,
                MATCH(income_mult,INDEX('FF Adj Parameters'!$A$150:$B$17,,1),1),2),
            1.500))
)</f>
        <v/>
      </c>
      <c r="I50" s="21">
        <f>IF('Loan Tape (S&amp;P)'!N50&lt;&gt;"Buy to Let",1.00,
    LET(
        dscr,'Loan Tape (S&amp;P)'!AA50,
        IF(dscr=0,INDEX('FF Adj Parameters'!$A$21:$B$250,1,2),
            IFERROR(
                INDEX('FF Adj Parameters'!$A$21:$B$250,
                    MATCH(dscr,INDEX('FF Adj Parameters'!$A$21:$B$250,,1),1),2),
                'FF Adj Parameters'!$B$21)))
)</f>
        <v/>
      </c>
      <c r="J50" s="21">
        <f>LET(
    lien,'Loan Tape (S&amp;P)'!Q50,
    IF(lien="First",1.00,
        IF(lien="Second",1.50,
            1.70)))</f>
        <v/>
      </c>
      <c r="K50" s="21">
        <f>LET(
    purpose,'Loan Tape (S&amp;P)'!R50,
    IF(purpose="Purchase",1.00,
        IF(purpose="Remortgage",1.00,
            1.20)))</f>
        <v/>
      </c>
      <c r="L50" s="21">
        <f>LET(
    arrears_months,'Loan Tape (S&amp;P)'!AN50,
    IF(arrears_months=0,1.00,
    IF(arrears_months=1,3.00,
    IF(arrears_months=2,5.00,
    IF(arrears_months=3,8.00,
    IF(arrears_months=4,10.00,
    IF(arrears_months=5,12.00,15.00)))))))</f>
        <v/>
      </c>
      <c r="M50" s="21">
        <f>LET(
    seasoning_years,DATEDIF('Loan Tape (S&amp;P)'!K50,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" s="21">
        <f>IF(AND('Loan Tape (S&amp;P)'!U50="Yes",
        'Loan Tape (S&amp;P)'!T50&lt;&gt;"Yes",
        DATEDIF('Loan Tape (S&amp;P)'!K50, TODAY(), "M")&lt;18),
    1.10,
    1.00)</f>
        <v/>
      </c>
      <c r="O50" s="21">
        <f>IF('Loan Tape (S&amp;P)'!T50="Yes",
    1.35,
    1.00)</f>
        <v/>
      </c>
      <c r="P50" s="21">
        <f>IF('Loan Tape (S&amp;P)'!S50="Yes",
    1.15,
    1.00)</f>
        <v/>
      </c>
      <c r="Q50" s="21">
        <f>IF('Loan Tape (S&amp;P)'!V50="Yes",
    1.20,
    1.00)</f>
        <v/>
      </c>
      <c r="R50" s="21">
        <f>IF('Loan Tape (S&amp;P)'!T50="Yes",
    'FF Adj Parameters'!$B$40,
    1.00)</f>
        <v/>
      </c>
      <c r="S50" s="21">
        <f>LET(
    is_htb,'Loan Tape (S&amp;P)'!Q50="Yes",
    rate_type,'Loan Tape (S&amp;P)'!AS50,
    months_to_mat,'Loan Tape (S&amp;P)'!AU50,
    threshold,'FF Adj Parameters'!$B$1250,
    has_shock,AND(rate_type="Fixed",months_to_mat&lt;=threshold),
    IF(is_htb,1.00,IF(has_shock,'FF Adj Parameters'!$B$41,1.00))
)</f>
        <v/>
      </c>
      <c r="T50" s="21">
        <f>LET(
    payment_method,'Loan Tape (S&amp;P)'!P50,
    occupancy,'Loan Tape (S&amp;P)'!N50,
    maturity_date,'Loan Tape (S&amp;P)'!L50,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50" s="21">
        <f>IF(AND('Loan Tape (S&amp;P)'!V50="Yes",'Loan Tape (S&amp;P)'!N50&lt;&gt;"Buy to Let"),
    'FF Adj Parameters'!$B$42,
    1.00)</f>
        <v/>
      </c>
      <c r="V50" s="21">
        <f>IF('Loan Tape (S&amp;P)'!AV50="Yes",
    'FF Adj Parameters'!$B$43,
    1.00)</f>
        <v/>
      </c>
      <c r="W50" s="23">
        <f>IF('Loan Tape (S&amp;P)'!AC50&gt;0,
    'FF Adj Parameters'!$B$44,
    1.00)</f>
        <v/>
      </c>
      <c r="X50" s="21">
        <f>LET(
    has_bankruptcy,'Loan Tape (S&amp;P)'!AE50="Yes",
    has_iva,'Loan Tape (S&amp;P)'!AF50="Yes",
    has_repo,'Loan Tape (S&amp;P)'!AI50="Yes",
    mult,IF(has_repo,'FF Adj Parameters'!$B$47,
            IF(has_bankruptcy,'FF Adj Parameters'!$B$450,
                IF(has_iva,'FF Adj Parameters'!$B$46,
                    1.00))),
    MAX(mult,0.500)
)</f>
        <v/>
      </c>
      <c r="Y50" s="21">
        <f>LET(
    has_perf_arr,'Loan Tape (S&amp;P)'!AP50="Yes",
    perf_arr_date,'Loan Tape (S&amp;P)'!AQ50,
    last_90_date,'Loan Tape (S&amp;P)'!AR50,
    threshold_years,VLOOKUP('Control Panel'!$B$6,'Jurisdiction Parameters'!$A:$Q,17,FALSE),
    relevant_date,MAX(perf_arr_date,last_90_date),
    years_since,('Control Panel'!$B$10-relevant_date)/3650.250,
    IF(NOT(has_perf_arr),1.00,
        IF(years_since&gt;threshold_years,1.00,
            IF(years_since&lt;=1,INDEX('FF Adj Parameters'!$C$47:$C$500,1),
                IF(years_since&lt;=2,INDEX('FF Adj Parameters'!$C$47:$C$500,2),
                    IF(years_since&lt;=3,INDEX('FF Adj Parameters'!$C$47:$C$500,3),
                        INDEX('FF Adj Parameters'!$C$47:$C$500,4))))))
)</f>
        <v/>
      </c>
      <c r="Z50" s="24">
        <f>IFERROR(
        IF(L50&gt;=100,1.00,
            'Control Panel'!$B$18*F50*G50*MAX(H50,R50)*I50*J50*K50*L50*M50*N50*O50*P50*Q50*S50*T50*U50*V50*W50*X50*Y50
        ),
    0)</f>
        <v/>
      </c>
    </row>
    <row r="51">
      <c r="A51" s="17">
        <f>'Loan Tape (S&amp;P)'!A51</f>
        <v/>
      </c>
      <c r="B51" s="18">
        <f>'Loan Tape (S&amp;P)'!B51</f>
        <v/>
      </c>
      <c r="C51" s="20">
        <f>IFERROR('Loan Tape (S&amp;P)'!C51/'Loan Tape (S&amp;P)'!E51,0)</f>
        <v/>
      </c>
      <c r="D51" s="20">
        <f>IFERROR(
        'Loan Tape (S&amp;P)'!B51/
        ('Loan Tape (S&amp;P)'!D51*
        (1-IF('Loan Tape (S&amp;P)'!AT51&lt;&gt;"Full",
            VLOOKUP('Control Panel'!$B$6,'Jurisdiction Parameters'!$A:$D,4,FALSE),
        0))),
    0)</f>
        <v/>
      </c>
      <c r="E51" s="20">
        <f>('Control Panel'!$B$12*C51)+('Control Panel'!$B$13*D51)</f>
        <v/>
      </c>
      <c r="F51" s="22">
        <f>IFERROR(
        LET(
            juris,'Control Panel'!$B$6,
            ltv_val,E51,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1" s="21">
        <f>'Control Panel'!$B$14</f>
        <v/>
      </c>
      <c r="H51" s="21">
        <f>LET(
    income_mult,'Loan Tape (S&amp;P)'!Z51,
    IF(income_mult=0,1.00,
        IFERROR(
            INDEX('FF Adj Parameters'!$A$151:$B$17,
                MATCH(income_mult,INDEX('FF Adj Parameters'!$A$151:$B$17,,1),1),2),
            1.510))
)</f>
        <v/>
      </c>
      <c r="I51" s="21">
        <f>IF('Loan Tape (S&amp;P)'!N51&lt;&gt;"Buy to Let",1.00,
    LET(
        dscr,'Loan Tape (S&amp;P)'!AA51,
        IF(dscr=0,INDEX('FF Adj Parameters'!$A$21:$B$251,1,2),
            IFERROR(
                INDEX('FF Adj Parameters'!$A$21:$B$251,
                    MATCH(dscr,INDEX('FF Adj Parameters'!$A$21:$B$251,,1),1),2),
                'FF Adj Parameters'!$B$21)))
)</f>
        <v/>
      </c>
      <c r="J51" s="21">
        <f>LET(
    lien,'Loan Tape (S&amp;P)'!Q51,
    IF(lien="First",1.00,
        IF(lien="Second",1.50,
            1.70)))</f>
        <v/>
      </c>
      <c r="K51" s="21">
        <f>LET(
    purpose,'Loan Tape (S&amp;P)'!R51,
    IF(purpose="Purchase",1.00,
        IF(purpose="Remortgage",1.00,
            1.20)))</f>
        <v/>
      </c>
      <c r="L51" s="21">
        <f>LET(
    arrears_months,'Loan Tape (S&amp;P)'!AN51,
    IF(arrears_months=0,1.00,
    IF(arrears_months=1,3.00,
    IF(arrears_months=2,5.00,
    IF(arrears_months=3,8.00,
    IF(arrears_months=4,10.00,
    IF(arrears_months=5,12.00,15.00)))))))</f>
        <v/>
      </c>
      <c r="M51" s="21">
        <f>LET(
    seasoning_years,DATEDIF('Loan Tape (S&amp;P)'!K51,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" s="21">
        <f>IF(AND('Loan Tape (S&amp;P)'!U51="Yes",
        'Loan Tape (S&amp;P)'!T51&lt;&gt;"Yes",
        DATEDIF('Loan Tape (S&amp;P)'!K51, TODAY(), "M")&lt;18),
    1.10,
    1.00)</f>
        <v/>
      </c>
      <c r="O51" s="21">
        <f>IF('Loan Tape (S&amp;P)'!T51="Yes",
    1.35,
    1.00)</f>
        <v/>
      </c>
      <c r="P51" s="21">
        <f>IF('Loan Tape (S&amp;P)'!S51="Yes",
    1.15,
    1.00)</f>
        <v/>
      </c>
      <c r="Q51" s="21">
        <f>IF('Loan Tape (S&amp;P)'!V51="Yes",
    1.20,
    1.00)</f>
        <v/>
      </c>
      <c r="R51" s="21">
        <f>IF('Loan Tape (S&amp;P)'!T51="Yes",
    'FF Adj Parameters'!$B$40,
    1.00)</f>
        <v/>
      </c>
      <c r="S51" s="21">
        <f>LET(
    is_htb,'Loan Tape (S&amp;P)'!Q51="Yes",
    rate_type,'Loan Tape (S&amp;P)'!AS51,
    months_to_mat,'Loan Tape (S&amp;P)'!AU51,
    threshold,'FF Adj Parameters'!$B$1251,
    has_shock,AND(rate_type="Fixed",months_to_mat&lt;=threshold),
    IF(is_htb,1.00,IF(has_shock,'FF Adj Parameters'!$B$41,1.00))
)</f>
        <v/>
      </c>
      <c r="T51" s="21">
        <f>LET(
    payment_method,'Loan Tape (S&amp;P)'!P51,
    occupancy,'Loan Tape (S&amp;P)'!N51,
    maturity_date,'Loan Tape (S&amp;P)'!L51,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51" s="21">
        <f>IF(AND('Loan Tape (S&amp;P)'!V51="Yes",'Loan Tape (S&amp;P)'!N51&lt;&gt;"Buy to Let"),
    'FF Adj Parameters'!$B$42,
    1.00)</f>
        <v/>
      </c>
      <c r="V51" s="21">
        <f>IF('Loan Tape (S&amp;P)'!AV51="Yes",
    'FF Adj Parameters'!$B$43,
    1.00)</f>
        <v/>
      </c>
      <c r="W51" s="23">
        <f>IF('Loan Tape (S&amp;P)'!AC51&gt;0,
    'FF Adj Parameters'!$B$44,
    1.00)</f>
        <v/>
      </c>
      <c r="X51" s="21">
        <f>LET(
    has_bankruptcy,'Loan Tape (S&amp;P)'!AE51="Yes",
    has_iva,'Loan Tape (S&amp;P)'!AF51="Yes",
    has_repo,'Loan Tape (S&amp;P)'!AI51="Yes",
    mult,IF(has_repo,'FF Adj Parameters'!$B$47,
            IF(has_bankruptcy,'FF Adj Parameters'!$B$451,
                IF(has_iva,'FF Adj Parameters'!$B$46,
                    1.00))),
    MAX(mult,0.510)
)</f>
        <v/>
      </c>
      <c r="Y51" s="21">
        <f>LET(
    has_perf_arr,'Loan Tape (S&amp;P)'!AP51="Yes",
    perf_arr_date,'Loan Tape (S&amp;P)'!AQ51,
    last_90_date,'Loan Tape (S&amp;P)'!AR51,
    threshold_years,VLOOKUP('Control Panel'!$B$6,'Jurisdiction Parameters'!$A:$Q,17,FALSE),
    relevant_date,MAX(perf_arr_date,last_90_date),
    years_since,('Control Panel'!$B$10-relevant_date)/3651.251,
    IF(NOT(has_perf_arr),1.00,
        IF(years_since&gt;threshold_years,1.00,
            IF(years_since&lt;=1,INDEX('FF Adj Parameters'!$C$47:$C$510,1),
                IF(years_since&lt;=2,INDEX('FF Adj Parameters'!$C$47:$C$510,2),
                    IF(years_since&lt;=3,INDEX('FF Adj Parameters'!$C$47:$C$510,3),
                        INDEX('FF Adj Parameters'!$C$47:$C$510,4))))))
)</f>
        <v/>
      </c>
      <c r="Z51" s="24">
        <f>IFERROR(
        IF(L51&gt;=100,1.00,
            'Control Panel'!$B$18*F51*G51*MAX(H51,R51)*I51*J51*K51*L51*M51*N51*O51*P51*Q51*S51*T51*U51*V51*W51*X51*Y51
        ),
    0)</f>
        <v/>
      </c>
    </row>
    <row r="52">
      <c r="A52" s="17">
        <f>'Loan Tape (S&amp;P)'!A52</f>
        <v/>
      </c>
      <c r="B52" s="18">
        <f>'Loan Tape (S&amp;P)'!B52</f>
        <v/>
      </c>
      <c r="C52" s="20">
        <f>IFERROR('Loan Tape (S&amp;P)'!C52/'Loan Tape (S&amp;P)'!E52,0)</f>
        <v/>
      </c>
      <c r="D52" s="20">
        <f>IFERROR(
        'Loan Tape (S&amp;P)'!B52/
        ('Loan Tape (S&amp;P)'!D52*
        (1-IF('Loan Tape (S&amp;P)'!AT52&lt;&gt;"Full",
            VLOOKUP('Control Panel'!$B$6,'Jurisdiction Parameters'!$A:$D,4,FALSE),
        0))),
    0)</f>
        <v/>
      </c>
      <c r="E52" s="20">
        <f>('Control Panel'!$B$12*C52)+('Control Panel'!$B$13*D52)</f>
        <v/>
      </c>
      <c r="F52" s="22">
        <f>IFERROR(
        LET(
            juris,'Control Panel'!$B$6,
            ltv_val,E52,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2" s="21">
        <f>'Control Panel'!$B$14</f>
        <v/>
      </c>
      <c r="H52" s="21">
        <f>LET(
    income_mult,'Loan Tape (S&amp;P)'!Z52,
    IF(income_mult=0,1.00,
        IFERROR(
            INDEX('FF Adj Parameters'!$A$152:$B$17,
                MATCH(income_mult,INDEX('FF Adj Parameters'!$A$152:$B$17,,1),1),2),
            1.520))
)</f>
        <v/>
      </c>
      <c r="I52" s="21">
        <f>IF('Loan Tape (S&amp;P)'!N52&lt;&gt;"Buy to Let",1.00,
    LET(
        dscr,'Loan Tape (S&amp;P)'!AA52,
        IF(dscr=0,INDEX('FF Adj Parameters'!$A$21:$B$252,1,2),
            IFERROR(
                INDEX('FF Adj Parameters'!$A$21:$B$252,
                    MATCH(dscr,INDEX('FF Adj Parameters'!$A$21:$B$252,,1),1),2),
                'FF Adj Parameters'!$B$21)))
)</f>
        <v/>
      </c>
      <c r="J52" s="21">
        <f>LET(
    lien,'Loan Tape (S&amp;P)'!Q52,
    IF(lien="First",1.00,
        IF(lien="Second",1.50,
            1.70)))</f>
        <v/>
      </c>
      <c r="K52" s="21">
        <f>LET(
    purpose,'Loan Tape (S&amp;P)'!R52,
    IF(purpose="Purchase",1.00,
        IF(purpose="Remortgage",1.00,
            1.20)))</f>
        <v/>
      </c>
      <c r="L52" s="21">
        <f>LET(
    arrears_months,'Loan Tape (S&amp;P)'!AN52,
    IF(arrears_months=0,1.00,
    IF(arrears_months=1,3.00,
    IF(arrears_months=2,5.00,
    IF(arrears_months=3,8.00,
    IF(arrears_months=4,10.00,
    IF(arrears_months=5,12.00,15.00)))))))</f>
        <v/>
      </c>
      <c r="M52" s="21">
        <f>LET(
    seasoning_years,DATEDIF('Loan Tape (S&amp;P)'!K52,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" s="21">
        <f>IF(AND('Loan Tape (S&amp;P)'!U52="Yes",
        'Loan Tape (S&amp;P)'!T52&lt;&gt;"Yes",
        DATEDIF('Loan Tape (S&amp;P)'!K52, TODAY(), "M")&lt;18),
    1.10,
    1.00)</f>
        <v/>
      </c>
      <c r="O52" s="21">
        <f>IF('Loan Tape (S&amp;P)'!T52="Yes",
    1.35,
    1.00)</f>
        <v/>
      </c>
      <c r="P52" s="21">
        <f>IF('Loan Tape (S&amp;P)'!S52="Yes",
    1.15,
    1.00)</f>
        <v/>
      </c>
      <c r="Q52" s="21">
        <f>IF('Loan Tape (S&amp;P)'!V52="Yes",
    1.20,
    1.00)</f>
        <v/>
      </c>
      <c r="R52" s="21">
        <f>IF('Loan Tape (S&amp;P)'!T52="Yes",
    'FF Adj Parameters'!$B$40,
    1.00)</f>
        <v/>
      </c>
      <c r="S52" s="21">
        <f>LET(
    is_htb,'Loan Tape (S&amp;P)'!Q52="Yes",
    rate_type,'Loan Tape (S&amp;P)'!AS52,
    months_to_mat,'Loan Tape (S&amp;P)'!AU52,
    threshold,'FF Adj Parameters'!$B$1252,
    has_shock,AND(rate_type="Fixed",months_to_mat&lt;=threshold),
    IF(is_htb,1.00,IF(has_shock,'FF Adj Parameters'!$B$41,1.00))
)</f>
        <v/>
      </c>
      <c r="T52" s="21">
        <f>LET(
    payment_method,'Loan Tape (S&amp;P)'!P52,
    occupancy,'Loan Tape (S&amp;P)'!N52,
    maturity_date,'Loan Tape (S&amp;P)'!L52,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52" s="21">
        <f>IF(AND('Loan Tape (S&amp;P)'!V52="Yes",'Loan Tape (S&amp;P)'!N52&lt;&gt;"Buy to Let"),
    'FF Adj Parameters'!$B$42,
    1.00)</f>
        <v/>
      </c>
      <c r="V52" s="21">
        <f>IF('Loan Tape (S&amp;P)'!AV52="Yes",
    'FF Adj Parameters'!$B$43,
    1.00)</f>
        <v/>
      </c>
      <c r="W52" s="23">
        <f>IF('Loan Tape (S&amp;P)'!AC52&gt;0,
    'FF Adj Parameters'!$B$44,
    1.00)</f>
        <v/>
      </c>
      <c r="X52" s="21">
        <f>LET(
    has_bankruptcy,'Loan Tape (S&amp;P)'!AE52="Yes",
    has_iva,'Loan Tape (S&amp;P)'!AF52="Yes",
    has_repo,'Loan Tape (S&amp;P)'!AI52="Yes",
    mult,IF(has_repo,'FF Adj Parameters'!$B$47,
            IF(has_bankruptcy,'FF Adj Parameters'!$B$452,
                IF(has_iva,'FF Adj Parameters'!$B$46,
                    1.00))),
    MAX(mult,0.520)
)</f>
        <v/>
      </c>
      <c r="Y52" s="21">
        <f>LET(
    has_perf_arr,'Loan Tape (S&amp;P)'!AP52="Yes",
    perf_arr_date,'Loan Tape (S&amp;P)'!AQ52,
    last_90_date,'Loan Tape (S&amp;P)'!AR52,
    threshold_years,VLOOKUP('Control Panel'!$B$6,'Jurisdiction Parameters'!$A:$Q,17,FALSE),
    relevant_date,MAX(perf_arr_date,last_90_date),
    years_since,('Control Panel'!$B$10-relevant_date)/3652.252,
    IF(NOT(has_perf_arr),1.00,
        IF(years_since&gt;threshold_years,1.00,
            IF(years_since&lt;=1,INDEX('FF Adj Parameters'!$C$47:$C$520,1),
                IF(years_since&lt;=2,INDEX('FF Adj Parameters'!$C$47:$C$520,2),
                    IF(years_since&lt;=3,INDEX('FF Adj Parameters'!$C$47:$C$520,3),
                        INDEX('FF Adj Parameters'!$C$47:$C$520,4))))))
)</f>
        <v/>
      </c>
      <c r="Z52" s="24">
        <f>IFERROR(
        IF(L52&gt;=100,1.00,
            'Control Panel'!$B$18*F52*G52*MAX(H52,R52)*I52*J52*K52*L52*M52*N52*O52*P52*Q52*S52*T52*U52*V52*W52*X52*Y52
        ),
    0)</f>
        <v/>
      </c>
    </row>
    <row r="53">
      <c r="A53" s="17">
        <f>'Loan Tape (S&amp;P)'!A53</f>
        <v/>
      </c>
      <c r="B53" s="18">
        <f>'Loan Tape (S&amp;P)'!B53</f>
        <v/>
      </c>
      <c r="C53" s="20">
        <f>IFERROR('Loan Tape (S&amp;P)'!C53/'Loan Tape (S&amp;P)'!E53,0)</f>
        <v/>
      </c>
      <c r="D53" s="20">
        <f>IFERROR(
        'Loan Tape (S&amp;P)'!B53/
        ('Loan Tape (S&amp;P)'!D53*
        (1-IF('Loan Tape (S&amp;P)'!AT53&lt;&gt;"Full",
            VLOOKUP('Control Panel'!$B$6,'Jurisdiction Parameters'!$A:$D,4,FALSE),
        0))),
    0)</f>
        <v/>
      </c>
      <c r="E53" s="20">
        <f>('Control Panel'!$B$12*C53)+('Control Panel'!$B$13*D53)</f>
        <v/>
      </c>
      <c r="F53" s="22">
        <f>IFERROR(
        LET(
            juris,'Control Panel'!$B$6,
            ltv_val,E53,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3" s="21">
        <f>'Control Panel'!$B$14</f>
        <v/>
      </c>
      <c r="H53" s="21">
        <f>LET(
    income_mult,'Loan Tape (S&amp;P)'!Z53,
    IF(income_mult=0,1.00,
        IFERROR(
            INDEX('FF Adj Parameters'!$A$153:$B$17,
                MATCH(income_mult,INDEX('FF Adj Parameters'!$A$153:$B$17,,1),1),2),
            1.530))
)</f>
        <v/>
      </c>
      <c r="I53" s="21">
        <f>IF('Loan Tape (S&amp;P)'!N53&lt;&gt;"Buy to Let",1.00,
    LET(
        dscr,'Loan Tape (S&amp;P)'!AA53,
        IF(dscr=0,INDEX('FF Adj Parameters'!$A$21:$B$253,1,2),
            IFERROR(
                INDEX('FF Adj Parameters'!$A$21:$B$253,
                    MATCH(dscr,INDEX('FF Adj Parameters'!$A$21:$B$253,,1),1),2),
                'FF Adj Parameters'!$B$21)))
)</f>
        <v/>
      </c>
      <c r="J53" s="21">
        <f>LET(
    lien,'Loan Tape (S&amp;P)'!Q53,
    IF(lien="First",1.00,
        IF(lien="Second",1.50,
            1.70)))</f>
        <v/>
      </c>
      <c r="K53" s="21">
        <f>LET(
    purpose,'Loan Tape (S&amp;P)'!R53,
    IF(purpose="Purchase",1.00,
        IF(purpose="Remortgage",1.00,
            1.20)))</f>
        <v/>
      </c>
      <c r="L53" s="21">
        <f>LET(
    arrears_months,'Loan Tape (S&amp;P)'!AN53,
    IF(arrears_months=0,1.00,
    IF(arrears_months=1,3.00,
    IF(arrears_months=2,5.00,
    IF(arrears_months=3,8.00,
    IF(arrears_months=4,10.00,
    IF(arrears_months=5,12.00,15.00)))))))</f>
        <v/>
      </c>
      <c r="M53" s="21">
        <f>LET(
    seasoning_years,DATEDIF('Loan Tape (S&amp;P)'!K53,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" s="21">
        <f>IF(AND('Loan Tape (S&amp;P)'!U53="Yes",
        'Loan Tape (S&amp;P)'!T53&lt;&gt;"Yes",
        DATEDIF('Loan Tape (S&amp;P)'!K53, TODAY(), "M")&lt;18),
    1.10,
    1.00)</f>
        <v/>
      </c>
      <c r="O53" s="21">
        <f>IF('Loan Tape (S&amp;P)'!T53="Yes",
    1.35,
    1.00)</f>
        <v/>
      </c>
      <c r="P53" s="21">
        <f>IF('Loan Tape (S&amp;P)'!S53="Yes",
    1.15,
    1.00)</f>
        <v/>
      </c>
      <c r="Q53" s="21">
        <f>IF('Loan Tape (S&amp;P)'!V53="Yes",
    1.20,
    1.00)</f>
        <v/>
      </c>
      <c r="R53" s="21">
        <f>IF('Loan Tape (S&amp;P)'!T53="Yes",
    'FF Adj Parameters'!$B$40,
    1.00)</f>
        <v/>
      </c>
      <c r="S53" s="21">
        <f>LET(
    is_htb,'Loan Tape (S&amp;P)'!Q53="Yes",
    rate_type,'Loan Tape (S&amp;P)'!AS53,
    months_to_mat,'Loan Tape (S&amp;P)'!AU53,
    threshold,'FF Adj Parameters'!$B$1253,
    has_shock,AND(rate_type="Fixed",months_to_mat&lt;=threshold),
    IF(is_htb,1.00,IF(has_shock,'FF Adj Parameters'!$B$41,1.00))
)</f>
        <v/>
      </c>
      <c r="T53" s="21">
        <f>LET(
    payment_method,'Loan Tape (S&amp;P)'!P53,
    occupancy,'Loan Tape (S&amp;P)'!N53,
    maturity_date,'Loan Tape (S&amp;P)'!L53,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53" s="21">
        <f>IF(AND('Loan Tape (S&amp;P)'!V53="Yes",'Loan Tape (S&amp;P)'!N53&lt;&gt;"Buy to Let"),
    'FF Adj Parameters'!$B$42,
    1.00)</f>
        <v/>
      </c>
      <c r="V53" s="21">
        <f>IF('Loan Tape (S&amp;P)'!AV53="Yes",
    'FF Adj Parameters'!$B$43,
    1.00)</f>
        <v/>
      </c>
      <c r="W53" s="23">
        <f>IF('Loan Tape (S&amp;P)'!AC53&gt;0,
    'FF Adj Parameters'!$B$44,
    1.00)</f>
        <v/>
      </c>
      <c r="X53" s="21">
        <f>LET(
    has_bankruptcy,'Loan Tape (S&amp;P)'!AE53="Yes",
    has_iva,'Loan Tape (S&amp;P)'!AF53="Yes",
    has_repo,'Loan Tape (S&amp;P)'!AI53="Yes",
    mult,IF(has_repo,'FF Adj Parameters'!$B$47,
            IF(has_bankruptcy,'FF Adj Parameters'!$B$453,
                IF(has_iva,'FF Adj Parameters'!$B$46,
                    1.00))),
    MAX(mult,0.530)
)</f>
        <v/>
      </c>
      <c r="Y53" s="21">
        <f>LET(
    has_perf_arr,'Loan Tape (S&amp;P)'!AP53="Yes",
    perf_arr_date,'Loan Tape (S&amp;P)'!AQ53,
    last_90_date,'Loan Tape (S&amp;P)'!AR53,
    threshold_years,VLOOKUP('Control Panel'!$B$6,'Jurisdiction Parameters'!$A:$Q,17,FALSE),
    relevant_date,MAX(perf_arr_date,last_90_date),
    years_since,('Control Panel'!$B$10-relevant_date)/3653.253,
    IF(NOT(has_perf_arr),1.00,
        IF(years_since&gt;threshold_years,1.00,
            IF(years_since&lt;=1,INDEX('FF Adj Parameters'!$C$47:$C$530,1),
                IF(years_since&lt;=2,INDEX('FF Adj Parameters'!$C$47:$C$530,2),
                    IF(years_since&lt;=3,INDEX('FF Adj Parameters'!$C$47:$C$530,3),
                        INDEX('FF Adj Parameters'!$C$47:$C$530,4))))))
)</f>
        <v/>
      </c>
      <c r="Z53" s="24">
        <f>IFERROR(
        IF(L53&gt;=100,1.00,
            'Control Panel'!$B$18*F53*G53*MAX(H53,R53)*I53*J53*K53*L53*M53*N53*O53*P53*Q53*S53*T53*U53*V53*W53*X53*Y53
        ),
    0)</f>
        <v/>
      </c>
    </row>
    <row r="54">
      <c r="A54" s="17">
        <f>'Loan Tape (S&amp;P)'!A54</f>
        <v/>
      </c>
      <c r="B54" s="18">
        <f>'Loan Tape (S&amp;P)'!B54</f>
        <v/>
      </c>
      <c r="C54" s="20">
        <f>IFERROR('Loan Tape (S&amp;P)'!C54/'Loan Tape (S&amp;P)'!E54,0)</f>
        <v/>
      </c>
      <c r="D54" s="20">
        <f>IFERROR(
        'Loan Tape (S&amp;P)'!B54/
        ('Loan Tape (S&amp;P)'!D54*
        (1-IF('Loan Tape (S&amp;P)'!AT54&lt;&gt;"Full",
            VLOOKUP('Control Panel'!$B$6,'Jurisdiction Parameters'!$A:$D,4,FALSE),
        0))),
    0)</f>
        <v/>
      </c>
      <c r="E54" s="20">
        <f>('Control Panel'!$B$12*C54)+('Control Panel'!$B$13*D54)</f>
        <v/>
      </c>
      <c r="F54" s="22">
        <f>IFERROR(
        LET(
            juris,'Control Panel'!$B$6,
            ltv_val,E54,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4" s="21">
        <f>'Control Panel'!$B$14</f>
        <v/>
      </c>
      <c r="H54" s="21">
        <f>LET(
    income_mult,'Loan Tape (S&amp;P)'!Z54,
    IF(income_mult=0,1.00,
        IFERROR(
            INDEX('FF Adj Parameters'!$A$154:$B$17,
                MATCH(income_mult,INDEX('FF Adj Parameters'!$A$154:$B$17,,1),1),2),
            1.540))
)</f>
        <v/>
      </c>
      <c r="I54" s="21">
        <f>IF('Loan Tape (S&amp;P)'!N54&lt;&gt;"Buy to Let",1.00,
    LET(
        dscr,'Loan Tape (S&amp;P)'!AA54,
        IF(dscr=0,INDEX('FF Adj Parameters'!$A$21:$B$254,1,2),
            IFERROR(
                INDEX('FF Adj Parameters'!$A$21:$B$254,
                    MATCH(dscr,INDEX('FF Adj Parameters'!$A$21:$B$254,,1),1),2),
                'FF Adj Parameters'!$B$21)))
)</f>
        <v/>
      </c>
      <c r="J54" s="21">
        <f>LET(
    lien,'Loan Tape (S&amp;P)'!Q54,
    IF(lien="First",1.00,
        IF(lien="Second",1.50,
            1.70)))</f>
        <v/>
      </c>
      <c r="K54" s="21">
        <f>LET(
    purpose,'Loan Tape (S&amp;P)'!R54,
    IF(purpose="Purchase",1.00,
        IF(purpose="Remortgage",1.00,
            1.20)))</f>
        <v/>
      </c>
      <c r="L54" s="21">
        <f>LET(
    arrears_months,'Loan Tape (S&amp;P)'!AN54,
    IF(arrears_months=0,1.00,
    IF(arrears_months=1,3.00,
    IF(arrears_months=2,5.00,
    IF(arrears_months=3,8.00,
    IF(arrears_months=4,10.00,
    IF(arrears_months=5,12.00,15.00)))))))</f>
        <v/>
      </c>
      <c r="M54" s="21">
        <f>LET(
    seasoning_years,DATEDIF('Loan Tape (S&amp;P)'!K54,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" s="21">
        <f>IF(AND('Loan Tape (S&amp;P)'!U54="Yes",
        'Loan Tape (S&amp;P)'!T54&lt;&gt;"Yes",
        DATEDIF('Loan Tape (S&amp;P)'!K54, TODAY(), "M")&lt;18),
    1.10,
    1.00)</f>
        <v/>
      </c>
      <c r="O54" s="21">
        <f>IF('Loan Tape (S&amp;P)'!T54="Yes",
    1.35,
    1.00)</f>
        <v/>
      </c>
      <c r="P54" s="21">
        <f>IF('Loan Tape (S&amp;P)'!S54="Yes",
    1.15,
    1.00)</f>
        <v/>
      </c>
      <c r="Q54" s="21">
        <f>IF('Loan Tape (S&amp;P)'!V54="Yes",
    1.20,
    1.00)</f>
        <v/>
      </c>
      <c r="R54" s="21">
        <f>IF('Loan Tape (S&amp;P)'!T54="Yes",
    'FF Adj Parameters'!$B$40,
    1.00)</f>
        <v/>
      </c>
      <c r="S54" s="21">
        <f>LET(
    is_htb,'Loan Tape (S&amp;P)'!Q54="Yes",
    rate_type,'Loan Tape (S&amp;P)'!AS54,
    months_to_mat,'Loan Tape (S&amp;P)'!AU54,
    threshold,'FF Adj Parameters'!$B$1254,
    has_shock,AND(rate_type="Fixed",months_to_mat&lt;=threshold),
    IF(is_htb,1.00,IF(has_shock,'FF Adj Parameters'!$B$41,1.00))
)</f>
        <v/>
      </c>
      <c r="T54" s="21">
        <f>LET(
    payment_method,'Loan Tape (S&amp;P)'!P54,
    occupancy,'Loan Tape (S&amp;P)'!N54,
    maturity_date,'Loan Tape (S&amp;P)'!L54,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54" s="21">
        <f>IF(AND('Loan Tape (S&amp;P)'!V54="Yes",'Loan Tape (S&amp;P)'!N54&lt;&gt;"Buy to Let"),
    'FF Adj Parameters'!$B$42,
    1.00)</f>
        <v/>
      </c>
      <c r="V54" s="21">
        <f>IF('Loan Tape (S&amp;P)'!AV54="Yes",
    'FF Adj Parameters'!$B$43,
    1.00)</f>
        <v/>
      </c>
      <c r="W54" s="23">
        <f>IF('Loan Tape (S&amp;P)'!AC54&gt;0,
    'FF Adj Parameters'!$B$44,
    1.00)</f>
        <v/>
      </c>
      <c r="X54" s="21">
        <f>LET(
    has_bankruptcy,'Loan Tape (S&amp;P)'!AE54="Yes",
    has_iva,'Loan Tape (S&amp;P)'!AF54="Yes",
    has_repo,'Loan Tape (S&amp;P)'!AI54="Yes",
    mult,IF(has_repo,'FF Adj Parameters'!$B$47,
            IF(has_bankruptcy,'FF Adj Parameters'!$B$454,
                IF(has_iva,'FF Adj Parameters'!$B$46,
                    1.00))),
    MAX(mult,0.540)
)</f>
        <v/>
      </c>
      <c r="Y54" s="21">
        <f>LET(
    has_perf_arr,'Loan Tape (S&amp;P)'!AP54="Yes",
    perf_arr_date,'Loan Tape (S&amp;P)'!AQ54,
    last_90_date,'Loan Tape (S&amp;P)'!AR54,
    threshold_years,VLOOKUP('Control Panel'!$B$6,'Jurisdiction Parameters'!$A:$Q,17,FALSE),
    relevant_date,MAX(perf_arr_date,last_90_date),
    years_since,('Control Panel'!$B$10-relevant_date)/3654.254,
    IF(NOT(has_perf_arr),1.00,
        IF(years_since&gt;threshold_years,1.00,
            IF(years_since&lt;=1,INDEX('FF Adj Parameters'!$C$47:$C$540,1),
                IF(years_since&lt;=2,INDEX('FF Adj Parameters'!$C$47:$C$540,2),
                    IF(years_since&lt;=3,INDEX('FF Adj Parameters'!$C$47:$C$540,3),
                        INDEX('FF Adj Parameters'!$C$47:$C$540,4))))))
)</f>
        <v/>
      </c>
      <c r="Z54" s="24">
        <f>IFERROR(
        IF(L54&gt;=100,1.00,
            'Control Panel'!$B$18*F54*G54*MAX(H54,R54)*I54*J54*K54*L54*M54*N54*O54*P54*Q54*S54*T54*U54*V54*W54*X54*Y54
        ),
    0)</f>
        <v/>
      </c>
    </row>
    <row r="55">
      <c r="A55" s="17">
        <f>'Loan Tape (S&amp;P)'!A55</f>
        <v/>
      </c>
      <c r="B55" s="18">
        <f>'Loan Tape (S&amp;P)'!B55</f>
        <v/>
      </c>
      <c r="C55" s="20">
        <f>IFERROR('Loan Tape (S&amp;P)'!C55/'Loan Tape (S&amp;P)'!E55,0)</f>
        <v/>
      </c>
      <c r="D55" s="20">
        <f>IFERROR(
        'Loan Tape (S&amp;P)'!B55/
        ('Loan Tape (S&amp;P)'!D55*
        (1-IF('Loan Tape (S&amp;P)'!AT55&lt;&gt;"Full",
            VLOOKUP('Control Panel'!$B$6,'Jurisdiction Parameters'!$A:$D,4,FALSE),
        0))),
    0)</f>
        <v/>
      </c>
      <c r="E55" s="20">
        <f>('Control Panel'!$B$12*C55)+('Control Panel'!$B$13*D55)</f>
        <v/>
      </c>
      <c r="F55" s="22">
        <f>IFERROR(
        LET(
            juris,'Control Panel'!$B$6,
            ltv_val,E55,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5" s="21">
        <f>'Control Panel'!$B$14</f>
        <v/>
      </c>
      <c r="H55" s="21">
        <f>LET(
    income_mult,'Loan Tape (S&amp;P)'!Z55,
    IF(income_mult=0,1.00,
        IFERROR(
            INDEX('FF Adj Parameters'!$A$155:$B$17,
                MATCH(income_mult,INDEX('FF Adj Parameters'!$A$155:$B$17,,1),1),2),
            1.550))
)</f>
        <v/>
      </c>
      <c r="I55" s="21">
        <f>IF('Loan Tape (S&amp;P)'!N55&lt;&gt;"Buy to Let",1.00,
    LET(
        dscr,'Loan Tape (S&amp;P)'!AA55,
        IF(dscr=0,INDEX('FF Adj Parameters'!$A$21:$B$255,1,2),
            IFERROR(
                INDEX('FF Adj Parameters'!$A$21:$B$255,
                    MATCH(dscr,INDEX('FF Adj Parameters'!$A$21:$B$255,,1),1),2),
                'FF Adj Parameters'!$B$21)))
)</f>
        <v/>
      </c>
      <c r="J55" s="21">
        <f>LET(
    lien,'Loan Tape (S&amp;P)'!Q55,
    IF(lien="First",1.00,
        IF(lien="Second",1.50,
            1.70)))</f>
        <v/>
      </c>
      <c r="K55" s="21">
        <f>LET(
    purpose,'Loan Tape (S&amp;P)'!R55,
    IF(purpose="Purchase",1.00,
        IF(purpose="Remortgage",1.00,
            1.20)))</f>
        <v/>
      </c>
      <c r="L55" s="21">
        <f>LET(
    arrears_months,'Loan Tape (S&amp;P)'!AN55,
    IF(arrears_months=0,1.00,
    IF(arrears_months=1,3.00,
    IF(arrears_months=2,5.00,
    IF(arrears_months=3,8.00,
    IF(arrears_months=4,10.00,
    IF(arrears_months=5,12.00,15.00)))))))</f>
        <v/>
      </c>
      <c r="M55" s="21">
        <f>LET(
    seasoning_years,DATEDIF('Loan Tape (S&amp;P)'!K55,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" s="21">
        <f>IF(AND('Loan Tape (S&amp;P)'!U55="Yes",
        'Loan Tape (S&amp;P)'!T55&lt;&gt;"Yes",
        DATEDIF('Loan Tape (S&amp;P)'!K55, TODAY(), "M")&lt;18),
    1.10,
    1.00)</f>
        <v/>
      </c>
      <c r="O55" s="21">
        <f>IF('Loan Tape (S&amp;P)'!T55="Yes",
    1.35,
    1.00)</f>
        <v/>
      </c>
      <c r="P55" s="21">
        <f>IF('Loan Tape (S&amp;P)'!S55="Yes",
    1.15,
    1.00)</f>
        <v/>
      </c>
      <c r="Q55" s="21">
        <f>IF('Loan Tape (S&amp;P)'!V55="Yes",
    1.20,
    1.00)</f>
        <v/>
      </c>
      <c r="R55" s="21">
        <f>IF('Loan Tape (S&amp;P)'!T55="Yes",
    'FF Adj Parameters'!$B$40,
    1.00)</f>
        <v/>
      </c>
      <c r="S55" s="21">
        <f>LET(
    is_htb,'Loan Tape (S&amp;P)'!Q55="Yes",
    rate_type,'Loan Tape (S&amp;P)'!AS55,
    months_to_mat,'Loan Tape (S&amp;P)'!AU55,
    threshold,'FF Adj Parameters'!$B$1255,
    has_shock,AND(rate_type="Fixed",months_to_mat&lt;=threshold),
    IF(is_htb,1.00,IF(has_shock,'FF Adj Parameters'!$B$41,1.00))
)</f>
        <v/>
      </c>
      <c r="T55" s="21">
        <f>LET(
    payment_method,'Loan Tape (S&amp;P)'!P55,
    occupancy,'Loan Tape (S&amp;P)'!N55,
    maturity_date,'Loan Tape (S&amp;P)'!L55,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55" s="21">
        <f>IF(AND('Loan Tape (S&amp;P)'!V55="Yes",'Loan Tape (S&amp;P)'!N55&lt;&gt;"Buy to Let"),
    'FF Adj Parameters'!$B$42,
    1.00)</f>
        <v/>
      </c>
      <c r="V55" s="21">
        <f>IF('Loan Tape (S&amp;P)'!AV55="Yes",
    'FF Adj Parameters'!$B$43,
    1.00)</f>
        <v/>
      </c>
      <c r="W55" s="23">
        <f>IF('Loan Tape (S&amp;P)'!AC55&gt;0,
    'FF Adj Parameters'!$B$44,
    1.00)</f>
        <v/>
      </c>
      <c r="X55" s="21">
        <f>LET(
    has_bankruptcy,'Loan Tape (S&amp;P)'!AE55="Yes",
    has_iva,'Loan Tape (S&amp;P)'!AF55="Yes",
    has_repo,'Loan Tape (S&amp;P)'!AI55="Yes",
    mult,IF(has_repo,'FF Adj Parameters'!$B$47,
            IF(has_bankruptcy,'FF Adj Parameters'!$B$455,
                IF(has_iva,'FF Adj Parameters'!$B$46,
                    1.00))),
    MAX(mult,0.550)
)</f>
        <v/>
      </c>
      <c r="Y55" s="21">
        <f>LET(
    has_perf_arr,'Loan Tape (S&amp;P)'!AP55="Yes",
    perf_arr_date,'Loan Tape (S&amp;P)'!AQ55,
    last_90_date,'Loan Tape (S&amp;P)'!AR55,
    threshold_years,VLOOKUP('Control Panel'!$B$6,'Jurisdiction Parameters'!$A:$Q,17,FALSE),
    relevant_date,MAX(perf_arr_date,last_90_date),
    years_since,('Control Panel'!$B$10-relevant_date)/3655.255,
    IF(NOT(has_perf_arr),1.00,
        IF(years_since&gt;threshold_years,1.00,
            IF(years_since&lt;=1,INDEX('FF Adj Parameters'!$C$47:$C$550,1),
                IF(years_since&lt;=2,INDEX('FF Adj Parameters'!$C$47:$C$550,2),
                    IF(years_since&lt;=3,INDEX('FF Adj Parameters'!$C$47:$C$550,3),
                        INDEX('FF Adj Parameters'!$C$47:$C$550,4))))))
)</f>
        <v/>
      </c>
      <c r="Z55" s="24">
        <f>IFERROR(
        IF(L55&gt;=100,1.00,
            'Control Panel'!$B$18*F55*G55*MAX(H55,R55)*I55*J55*K55*L55*M55*N55*O55*P55*Q55*S55*T55*U55*V55*W55*X55*Y55
        ),
    0)</f>
        <v/>
      </c>
    </row>
    <row r="56">
      <c r="A56" s="17">
        <f>'Loan Tape (S&amp;P)'!A56</f>
        <v/>
      </c>
      <c r="B56" s="18">
        <f>'Loan Tape (S&amp;P)'!B56</f>
        <v/>
      </c>
      <c r="C56" s="20">
        <f>IFERROR('Loan Tape (S&amp;P)'!C56/'Loan Tape (S&amp;P)'!E56,0)</f>
        <v/>
      </c>
      <c r="D56" s="20">
        <f>IFERROR(
        'Loan Tape (S&amp;P)'!B56/
        ('Loan Tape (S&amp;P)'!D56*
        (1-IF('Loan Tape (S&amp;P)'!AT56&lt;&gt;"Full",
            VLOOKUP('Control Panel'!$B$6,'Jurisdiction Parameters'!$A:$D,4,FALSE),
        0))),
    0)</f>
        <v/>
      </c>
      <c r="E56" s="20">
        <f>('Control Panel'!$B$12*C56)+('Control Panel'!$B$13*D56)</f>
        <v/>
      </c>
      <c r="F56" s="22">
        <f>IFERROR(
        LET(
            juris,'Control Panel'!$B$6,
            ltv_val,E56,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6" s="21">
        <f>'Control Panel'!$B$14</f>
        <v/>
      </c>
      <c r="H56" s="21">
        <f>LET(
    income_mult,'Loan Tape (S&amp;P)'!Z56,
    IF(income_mult=0,1.00,
        IFERROR(
            INDEX('FF Adj Parameters'!$A$156:$B$17,
                MATCH(income_mult,INDEX('FF Adj Parameters'!$A$156:$B$17,,1),1),2),
            1.560))
)</f>
        <v/>
      </c>
      <c r="I56" s="21">
        <f>IF('Loan Tape (S&amp;P)'!N56&lt;&gt;"Buy to Let",1.00,
    LET(
        dscr,'Loan Tape (S&amp;P)'!AA56,
        IF(dscr=0,INDEX('FF Adj Parameters'!$A$21:$B$256,1,2),
            IFERROR(
                INDEX('FF Adj Parameters'!$A$21:$B$256,
                    MATCH(dscr,INDEX('FF Adj Parameters'!$A$21:$B$256,,1),1),2),
                'FF Adj Parameters'!$B$21)))
)</f>
        <v/>
      </c>
      <c r="J56" s="21">
        <f>LET(
    lien,'Loan Tape (S&amp;P)'!Q56,
    IF(lien="First",1.00,
        IF(lien="Second",1.50,
            1.70)))</f>
        <v/>
      </c>
      <c r="K56" s="21">
        <f>LET(
    purpose,'Loan Tape (S&amp;P)'!R56,
    IF(purpose="Purchase",1.00,
        IF(purpose="Remortgage",1.00,
            1.20)))</f>
        <v/>
      </c>
      <c r="L56" s="21">
        <f>LET(
    arrears_months,'Loan Tape (S&amp;P)'!AN56,
    IF(arrears_months=0,1.00,
    IF(arrears_months=1,3.00,
    IF(arrears_months=2,5.00,
    IF(arrears_months=3,8.00,
    IF(arrears_months=4,10.00,
    IF(arrears_months=5,12.00,15.00)))))))</f>
        <v/>
      </c>
      <c r="M56" s="21">
        <f>LET(
    seasoning_years,DATEDIF('Loan Tape (S&amp;P)'!K56,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" s="21">
        <f>IF(AND('Loan Tape (S&amp;P)'!U56="Yes",
        'Loan Tape (S&amp;P)'!T56&lt;&gt;"Yes",
        DATEDIF('Loan Tape (S&amp;P)'!K56, TODAY(), "M")&lt;18),
    1.10,
    1.00)</f>
        <v/>
      </c>
      <c r="O56" s="21">
        <f>IF('Loan Tape (S&amp;P)'!T56="Yes",
    1.35,
    1.00)</f>
        <v/>
      </c>
      <c r="P56" s="21">
        <f>IF('Loan Tape (S&amp;P)'!S56="Yes",
    1.15,
    1.00)</f>
        <v/>
      </c>
      <c r="Q56" s="21">
        <f>IF('Loan Tape (S&amp;P)'!V56="Yes",
    1.20,
    1.00)</f>
        <v/>
      </c>
      <c r="R56" s="21">
        <f>IF('Loan Tape (S&amp;P)'!T56="Yes",
    'FF Adj Parameters'!$B$40,
    1.00)</f>
        <v/>
      </c>
      <c r="S56" s="21">
        <f>LET(
    is_htb,'Loan Tape (S&amp;P)'!Q56="Yes",
    rate_type,'Loan Tape (S&amp;P)'!AS56,
    months_to_mat,'Loan Tape (S&amp;P)'!AU56,
    threshold,'FF Adj Parameters'!$B$1256,
    has_shock,AND(rate_type="Fixed",months_to_mat&lt;=threshold),
    IF(is_htb,1.00,IF(has_shock,'FF Adj Parameters'!$B$41,1.00))
)</f>
        <v/>
      </c>
      <c r="T56" s="21">
        <f>LET(
    payment_method,'Loan Tape (S&amp;P)'!P56,
    occupancy,'Loan Tape (S&amp;P)'!N56,
    maturity_date,'Loan Tape (S&amp;P)'!L56,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56" s="21">
        <f>IF(AND('Loan Tape (S&amp;P)'!V56="Yes",'Loan Tape (S&amp;P)'!N56&lt;&gt;"Buy to Let"),
    'FF Adj Parameters'!$B$42,
    1.00)</f>
        <v/>
      </c>
      <c r="V56" s="21">
        <f>IF('Loan Tape (S&amp;P)'!AV56="Yes",
    'FF Adj Parameters'!$B$43,
    1.00)</f>
        <v/>
      </c>
      <c r="W56" s="23">
        <f>IF('Loan Tape (S&amp;P)'!AC56&gt;0,
    'FF Adj Parameters'!$B$44,
    1.00)</f>
        <v/>
      </c>
      <c r="X56" s="21">
        <f>LET(
    has_bankruptcy,'Loan Tape (S&amp;P)'!AE56="Yes",
    has_iva,'Loan Tape (S&amp;P)'!AF56="Yes",
    has_repo,'Loan Tape (S&amp;P)'!AI56="Yes",
    mult,IF(has_repo,'FF Adj Parameters'!$B$47,
            IF(has_bankruptcy,'FF Adj Parameters'!$B$456,
                IF(has_iva,'FF Adj Parameters'!$B$46,
                    1.00))),
    MAX(mult,0.560)
)</f>
        <v/>
      </c>
      <c r="Y56" s="21">
        <f>LET(
    has_perf_arr,'Loan Tape (S&amp;P)'!AP56="Yes",
    perf_arr_date,'Loan Tape (S&amp;P)'!AQ56,
    last_90_date,'Loan Tape (S&amp;P)'!AR56,
    threshold_years,VLOOKUP('Control Panel'!$B$6,'Jurisdiction Parameters'!$A:$Q,17,FALSE),
    relevant_date,MAX(perf_arr_date,last_90_date),
    years_since,('Control Panel'!$B$10-relevant_date)/3656.256,
    IF(NOT(has_perf_arr),1.00,
        IF(years_since&gt;threshold_years,1.00,
            IF(years_since&lt;=1,INDEX('FF Adj Parameters'!$C$47:$C$560,1),
                IF(years_since&lt;=2,INDEX('FF Adj Parameters'!$C$47:$C$560,2),
                    IF(years_since&lt;=3,INDEX('FF Adj Parameters'!$C$47:$C$560,3),
                        INDEX('FF Adj Parameters'!$C$47:$C$560,4))))))
)</f>
        <v/>
      </c>
      <c r="Z56" s="24">
        <f>IFERROR(
        IF(L56&gt;=100,1.00,
            'Control Panel'!$B$18*F56*G56*MAX(H56,R56)*I56*J56*K56*L56*M56*N56*O56*P56*Q56*S56*T56*U56*V56*W56*X56*Y56
        ),
    0)</f>
        <v/>
      </c>
    </row>
    <row r="57">
      <c r="A57" s="17">
        <f>'Loan Tape (S&amp;P)'!A57</f>
        <v/>
      </c>
      <c r="B57" s="18">
        <f>'Loan Tape (S&amp;P)'!B57</f>
        <v/>
      </c>
      <c r="C57" s="20">
        <f>IFERROR('Loan Tape (S&amp;P)'!C57/'Loan Tape (S&amp;P)'!E57,0)</f>
        <v/>
      </c>
      <c r="D57" s="20">
        <f>IFERROR(
        'Loan Tape (S&amp;P)'!B57/
        ('Loan Tape (S&amp;P)'!D57*
        (1-IF('Loan Tape (S&amp;P)'!AT57&lt;&gt;"Full",
            VLOOKUP('Control Panel'!$B$6,'Jurisdiction Parameters'!$A:$D,4,FALSE),
        0))),
    0)</f>
        <v/>
      </c>
      <c r="E57" s="20">
        <f>('Control Panel'!$B$12*C57)+('Control Panel'!$B$13*D57)</f>
        <v/>
      </c>
      <c r="F57" s="22">
        <f>IFERROR(
        LET(
            juris,'Control Panel'!$B$6,
            ltv_val,E57,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7" s="21">
        <f>'Control Panel'!$B$14</f>
        <v/>
      </c>
      <c r="H57" s="21">
        <f>LET(
    income_mult,'Loan Tape (S&amp;P)'!Z57,
    IF(income_mult=0,1.00,
        IFERROR(
            INDEX('FF Adj Parameters'!$A$157:$B$17,
                MATCH(income_mult,INDEX('FF Adj Parameters'!$A$157:$B$17,,1),1),2),
            1.570))
)</f>
        <v/>
      </c>
      <c r="I57" s="21">
        <f>IF('Loan Tape (S&amp;P)'!N57&lt;&gt;"Buy to Let",1.00,
    LET(
        dscr,'Loan Tape (S&amp;P)'!AA57,
        IF(dscr=0,INDEX('FF Adj Parameters'!$A$21:$B$257,1,2),
            IFERROR(
                INDEX('FF Adj Parameters'!$A$21:$B$257,
                    MATCH(dscr,INDEX('FF Adj Parameters'!$A$21:$B$257,,1),1),2),
                'FF Adj Parameters'!$B$21)))
)</f>
        <v/>
      </c>
      <c r="J57" s="21">
        <f>LET(
    lien,'Loan Tape (S&amp;P)'!Q57,
    IF(lien="First",1.00,
        IF(lien="Second",1.50,
            1.70)))</f>
        <v/>
      </c>
      <c r="K57" s="21">
        <f>LET(
    purpose,'Loan Tape (S&amp;P)'!R57,
    IF(purpose="Purchase",1.00,
        IF(purpose="Remortgage",1.00,
            1.20)))</f>
        <v/>
      </c>
      <c r="L57" s="21">
        <f>LET(
    arrears_months,'Loan Tape (S&amp;P)'!AN57,
    IF(arrears_months=0,1.00,
    IF(arrears_months=1,3.00,
    IF(arrears_months=2,5.00,
    IF(arrears_months=3,8.00,
    IF(arrears_months=4,10.00,
    IF(arrears_months=5,12.00,15.00)))))))</f>
        <v/>
      </c>
      <c r="M57" s="21">
        <f>LET(
    seasoning_years,DATEDIF('Loan Tape (S&amp;P)'!K57,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" s="21">
        <f>IF(AND('Loan Tape (S&amp;P)'!U57="Yes",
        'Loan Tape (S&amp;P)'!T57&lt;&gt;"Yes",
        DATEDIF('Loan Tape (S&amp;P)'!K57, TODAY(), "M")&lt;18),
    1.10,
    1.00)</f>
        <v/>
      </c>
      <c r="O57" s="21">
        <f>IF('Loan Tape (S&amp;P)'!T57="Yes",
    1.35,
    1.00)</f>
        <v/>
      </c>
      <c r="P57" s="21">
        <f>IF('Loan Tape (S&amp;P)'!S57="Yes",
    1.15,
    1.00)</f>
        <v/>
      </c>
      <c r="Q57" s="21">
        <f>IF('Loan Tape (S&amp;P)'!V57="Yes",
    1.20,
    1.00)</f>
        <v/>
      </c>
      <c r="R57" s="21">
        <f>IF('Loan Tape (S&amp;P)'!T57="Yes",
    'FF Adj Parameters'!$B$40,
    1.00)</f>
        <v/>
      </c>
      <c r="S57" s="21">
        <f>LET(
    is_htb,'Loan Tape (S&amp;P)'!Q57="Yes",
    rate_type,'Loan Tape (S&amp;P)'!AS57,
    months_to_mat,'Loan Tape (S&amp;P)'!AU57,
    threshold,'FF Adj Parameters'!$B$1257,
    has_shock,AND(rate_type="Fixed",months_to_mat&lt;=threshold),
    IF(is_htb,1.00,IF(has_shock,'FF Adj Parameters'!$B$41,1.00))
)</f>
        <v/>
      </c>
      <c r="T57" s="21">
        <f>LET(
    payment_method,'Loan Tape (S&amp;P)'!P57,
    occupancy,'Loan Tape (S&amp;P)'!N57,
    maturity_date,'Loan Tape (S&amp;P)'!L57,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57" s="21">
        <f>IF(AND('Loan Tape (S&amp;P)'!V57="Yes",'Loan Tape (S&amp;P)'!N57&lt;&gt;"Buy to Let"),
    'FF Adj Parameters'!$B$42,
    1.00)</f>
        <v/>
      </c>
      <c r="V57" s="21">
        <f>IF('Loan Tape (S&amp;P)'!AV57="Yes",
    'FF Adj Parameters'!$B$43,
    1.00)</f>
        <v/>
      </c>
      <c r="W57" s="23">
        <f>IF('Loan Tape (S&amp;P)'!AC57&gt;0,
    'FF Adj Parameters'!$B$44,
    1.00)</f>
        <v/>
      </c>
      <c r="X57" s="21">
        <f>LET(
    has_bankruptcy,'Loan Tape (S&amp;P)'!AE57="Yes",
    has_iva,'Loan Tape (S&amp;P)'!AF57="Yes",
    has_repo,'Loan Tape (S&amp;P)'!AI57="Yes",
    mult,IF(has_repo,'FF Adj Parameters'!$B$47,
            IF(has_bankruptcy,'FF Adj Parameters'!$B$457,
                IF(has_iva,'FF Adj Parameters'!$B$46,
                    1.00))),
    MAX(mult,0.570)
)</f>
        <v/>
      </c>
      <c r="Y57" s="21">
        <f>LET(
    has_perf_arr,'Loan Tape (S&amp;P)'!AP57="Yes",
    perf_arr_date,'Loan Tape (S&amp;P)'!AQ57,
    last_90_date,'Loan Tape (S&amp;P)'!AR57,
    threshold_years,VLOOKUP('Control Panel'!$B$6,'Jurisdiction Parameters'!$A:$Q,17,FALSE),
    relevant_date,MAX(perf_arr_date,last_90_date),
    years_since,('Control Panel'!$B$10-relevant_date)/3657.257,
    IF(NOT(has_perf_arr),1.00,
        IF(years_since&gt;threshold_years,1.00,
            IF(years_since&lt;=1,INDEX('FF Adj Parameters'!$C$47:$C$570,1),
                IF(years_since&lt;=2,INDEX('FF Adj Parameters'!$C$47:$C$570,2),
                    IF(years_since&lt;=3,INDEX('FF Adj Parameters'!$C$47:$C$570,3),
                        INDEX('FF Adj Parameters'!$C$47:$C$570,4))))))
)</f>
        <v/>
      </c>
      <c r="Z57" s="24">
        <f>IFERROR(
        IF(L57&gt;=100,1.00,
            'Control Panel'!$B$18*F57*G57*MAX(H57,R57)*I57*J57*K57*L57*M57*N57*O57*P57*Q57*S57*T57*U57*V57*W57*X57*Y57
        ),
    0)</f>
        <v/>
      </c>
    </row>
    <row r="58">
      <c r="A58" s="17">
        <f>'Loan Tape (S&amp;P)'!A58</f>
        <v/>
      </c>
      <c r="B58" s="18">
        <f>'Loan Tape (S&amp;P)'!B58</f>
        <v/>
      </c>
      <c r="C58" s="20">
        <f>IFERROR('Loan Tape (S&amp;P)'!C58/'Loan Tape (S&amp;P)'!E58,0)</f>
        <v/>
      </c>
      <c r="D58" s="20">
        <f>IFERROR(
        'Loan Tape (S&amp;P)'!B58/
        ('Loan Tape (S&amp;P)'!D58*
        (1-IF('Loan Tape (S&amp;P)'!AT58&lt;&gt;"Full",
            VLOOKUP('Control Panel'!$B$6,'Jurisdiction Parameters'!$A:$D,4,FALSE),
        0))),
    0)</f>
        <v/>
      </c>
      <c r="E58" s="20">
        <f>('Control Panel'!$B$12*C58)+('Control Panel'!$B$13*D58)</f>
        <v/>
      </c>
      <c r="F58" s="22">
        <f>IFERROR(
        LET(
            juris,'Control Panel'!$B$6,
            ltv_val,E58,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8" s="21">
        <f>'Control Panel'!$B$14</f>
        <v/>
      </c>
      <c r="H58" s="21">
        <f>LET(
    income_mult,'Loan Tape (S&amp;P)'!Z58,
    IF(income_mult=0,1.00,
        IFERROR(
            INDEX('FF Adj Parameters'!$A$158:$B$17,
                MATCH(income_mult,INDEX('FF Adj Parameters'!$A$158:$B$17,,1),1),2),
            1.580))
)</f>
        <v/>
      </c>
      <c r="I58" s="21">
        <f>IF('Loan Tape (S&amp;P)'!N58&lt;&gt;"Buy to Let",1.00,
    LET(
        dscr,'Loan Tape (S&amp;P)'!AA58,
        IF(dscr=0,INDEX('FF Adj Parameters'!$A$21:$B$258,1,2),
            IFERROR(
                INDEX('FF Adj Parameters'!$A$21:$B$258,
                    MATCH(dscr,INDEX('FF Adj Parameters'!$A$21:$B$258,,1),1),2),
                'FF Adj Parameters'!$B$21)))
)</f>
        <v/>
      </c>
      <c r="J58" s="21">
        <f>LET(
    lien,'Loan Tape (S&amp;P)'!Q58,
    IF(lien="First",1.00,
        IF(lien="Second",1.50,
            1.70)))</f>
        <v/>
      </c>
      <c r="K58" s="21">
        <f>LET(
    purpose,'Loan Tape (S&amp;P)'!R58,
    IF(purpose="Purchase",1.00,
        IF(purpose="Remortgage",1.00,
            1.20)))</f>
        <v/>
      </c>
      <c r="L58" s="21">
        <f>LET(
    arrears_months,'Loan Tape (S&amp;P)'!AN58,
    IF(arrears_months=0,1.00,
    IF(arrears_months=1,3.00,
    IF(arrears_months=2,5.00,
    IF(arrears_months=3,8.00,
    IF(arrears_months=4,10.00,
    IF(arrears_months=5,12.00,15.00)))))))</f>
        <v/>
      </c>
      <c r="M58" s="21">
        <f>LET(
    seasoning_years,DATEDIF('Loan Tape (S&amp;P)'!K58,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" s="21">
        <f>IF(AND('Loan Tape (S&amp;P)'!U58="Yes",
        'Loan Tape (S&amp;P)'!T58&lt;&gt;"Yes",
        DATEDIF('Loan Tape (S&amp;P)'!K58, TODAY(), "M")&lt;18),
    1.10,
    1.00)</f>
        <v/>
      </c>
      <c r="O58" s="21">
        <f>IF('Loan Tape (S&amp;P)'!T58="Yes",
    1.35,
    1.00)</f>
        <v/>
      </c>
      <c r="P58" s="21">
        <f>IF('Loan Tape (S&amp;P)'!S58="Yes",
    1.15,
    1.00)</f>
        <v/>
      </c>
      <c r="Q58" s="21">
        <f>IF('Loan Tape (S&amp;P)'!V58="Yes",
    1.20,
    1.00)</f>
        <v/>
      </c>
      <c r="R58" s="21">
        <f>IF('Loan Tape (S&amp;P)'!T58="Yes",
    'FF Adj Parameters'!$B$40,
    1.00)</f>
        <v/>
      </c>
      <c r="S58" s="21">
        <f>LET(
    is_htb,'Loan Tape (S&amp;P)'!Q58="Yes",
    rate_type,'Loan Tape (S&amp;P)'!AS58,
    months_to_mat,'Loan Tape (S&amp;P)'!AU58,
    threshold,'FF Adj Parameters'!$B$1258,
    has_shock,AND(rate_type="Fixed",months_to_mat&lt;=threshold),
    IF(is_htb,1.00,IF(has_shock,'FF Adj Parameters'!$B$41,1.00))
)</f>
        <v/>
      </c>
      <c r="T58" s="21">
        <f>LET(
    payment_method,'Loan Tape (S&amp;P)'!P58,
    occupancy,'Loan Tape (S&amp;P)'!N58,
    maturity_date,'Loan Tape (S&amp;P)'!L58,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58" s="21">
        <f>IF(AND('Loan Tape (S&amp;P)'!V58="Yes",'Loan Tape (S&amp;P)'!N58&lt;&gt;"Buy to Let"),
    'FF Adj Parameters'!$B$42,
    1.00)</f>
        <v/>
      </c>
      <c r="V58" s="21">
        <f>IF('Loan Tape (S&amp;P)'!AV58="Yes",
    'FF Adj Parameters'!$B$43,
    1.00)</f>
        <v/>
      </c>
      <c r="W58" s="23">
        <f>IF('Loan Tape (S&amp;P)'!AC58&gt;0,
    'FF Adj Parameters'!$B$44,
    1.00)</f>
        <v/>
      </c>
      <c r="X58" s="21">
        <f>LET(
    has_bankruptcy,'Loan Tape (S&amp;P)'!AE58="Yes",
    has_iva,'Loan Tape (S&amp;P)'!AF58="Yes",
    has_repo,'Loan Tape (S&amp;P)'!AI58="Yes",
    mult,IF(has_repo,'FF Adj Parameters'!$B$47,
            IF(has_bankruptcy,'FF Adj Parameters'!$B$458,
                IF(has_iva,'FF Adj Parameters'!$B$46,
                    1.00))),
    MAX(mult,0.580)
)</f>
        <v/>
      </c>
      <c r="Y58" s="21">
        <f>LET(
    has_perf_arr,'Loan Tape (S&amp;P)'!AP58="Yes",
    perf_arr_date,'Loan Tape (S&amp;P)'!AQ58,
    last_90_date,'Loan Tape (S&amp;P)'!AR58,
    threshold_years,VLOOKUP('Control Panel'!$B$6,'Jurisdiction Parameters'!$A:$Q,17,FALSE),
    relevant_date,MAX(perf_arr_date,last_90_date),
    years_since,('Control Panel'!$B$10-relevant_date)/3658.258,
    IF(NOT(has_perf_arr),1.00,
        IF(years_since&gt;threshold_years,1.00,
            IF(years_since&lt;=1,INDEX('FF Adj Parameters'!$C$47:$C$580,1),
                IF(years_since&lt;=2,INDEX('FF Adj Parameters'!$C$47:$C$580,2),
                    IF(years_since&lt;=3,INDEX('FF Adj Parameters'!$C$47:$C$580,3),
                        INDEX('FF Adj Parameters'!$C$47:$C$580,4))))))
)</f>
        <v/>
      </c>
      <c r="Z58" s="24">
        <f>IFERROR(
        IF(L58&gt;=100,1.00,
            'Control Panel'!$B$18*F58*G58*MAX(H58,R58)*I58*J58*K58*L58*M58*N58*O58*P58*Q58*S58*T58*U58*V58*W58*X58*Y58
        ),
    0)</f>
        <v/>
      </c>
    </row>
    <row r="59">
      <c r="A59" s="17">
        <f>'Loan Tape (S&amp;P)'!A59</f>
        <v/>
      </c>
      <c r="B59" s="18">
        <f>'Loan Tape (S&amp;P)'!B59</f>
        <v/>
      </c>
      <c r="C59" s="20">
        <f>IFERROR('Loan Tape (S&amp;P)'!C59/'Loan Tape (S&amp;P)'!E59,0)</f>
        <v/>
      </c>
      <c r="D59" s="20">
        <f>IFERROR(
        'Loan Tape (S&amp;P)'!B59/
        ('Loan Tape (S&amp;P)'!D59*
        (1-IF('Loan Tape (S&amp;P)'!AT59&lt;&gt;"Full",
            VLOOKUP('Control Panel'!$B$6,'Jurisdiction Parameters'!$A:$D,4,FALSE),
        0))),
    0)</f>
        <v/>
      </c>
      <c r="E59" s="20">
        <f>('Control Panel'!$B$12*C59)+('Control Panel'!$B$13*D59)</f>
        <v/>
      </c>
      <c r="F59" s="22">
        <f>IFERROR(
        LET(
            juris,'Control Panel'!$B$6,
            ltv_val,E59,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9" s="21">
        <f>'Control Panel'!$B$14</f>
        <v/>
      </c>
      <c r="H59" s="21">
        <f>LET(
    income_mult,'Loan Tape (S&amp;P)'!Z59,
    IF(income_mult=0,1.00,
        IFERROR(
            INDEX('FF Adj Parameters'!$A$159:$B$17,
                MATCH(income_mult,INDEX('FF Adj Parameters'!$A$159:$B$17,,1),1),2),
            1.590))
)</f>
        <v/>
      </c>
      <c r="I59" s="21">
        <f>IF('Loan Tape (S&amp;P)'!N59&lt;&gt;"Buy to Let",1.00,
    LET(
        dscr,'Loan Tape (S&amp;P)'!AA59,
        IF(dscr=0,INDEX('FF Adj Parameters'!$A$21:$B$259,1,2),
            IFERROR(
                INDEX('FF Adj Parameters'!$A$21:$B$259,
                    MATCH(dscr,INDEX('FF Adj Parameters'!$A$21:$B$259,,1),1),2),
                'FF Adj Parameters'!$B$21)))
)</f>
        <v/>
      </c>
      <c r="J59" s="21">
        <f>LET(
    lien,'Loan Tape (S&amp;P)'!Q59,
    IF(lien="First",1.00,
        IF(lien="Second",1.50,
            1.70)))</f>
        <v/>
      </c>
      <c r="K59" s="21">
        <f>LET(
    purpose,'Loan Tape (S&amp;P)'!R59,
    IF(purpose="Purchase",1.00,
        IF(purpose="Remortgage",1.00,
            1.20)))</f>
        <v/>
      </c>
      <c r="L59" s="21">
        <f>LET(
    arrears_months,'Loan Tape (S&amp;P)'!AN59,
    IF(arrears_months=0,1.00,
    IF(arrears_months=1,3.00,
    IF(arrears_months=2,5.00,
    IF(arrears_months=3,8.00,
    IF(arrears_months=4,10.00,
    IF(arrears_months=5,12.00,15.00)))))))</f>
        <v/>
      </c>
      <c r="M59" s="21">
        <f>LET(
    seasoning_years,DATEDIF('Loan Tape (S&amp;P)'!K59,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" s="21">
        <f>IF(AND('Loan Tape (S&amp;P)'!U59="Yes",
        'Loan Tape (S&amp;P)'!T59&lt;&gt;"Yes",
        DATEDIF('Loan Tape (S&amp;P)'!K59, TODAY(), "M")&lt;18),
    1.10,
    1.00)</f>
        <v/>
      </c>
      <c r="O59" s="21">
        <f>IF('Loan Tape (S&amp;P)'!T59="Yes",
    1.35,
    1.00)</f>
        <v/>
      </c>
      <c r="P59" s="21">
        <f>IF('Loan Tape (S&amp;P)'!S59="Yes",
    1.15,
    1.00)</f>
        <v/>
      </c>
      <c r="Q59" s="21">
        <f>IF('Loan Tape (S&amp;P)'!V59="Yes",
    1.20,
    1.00)</f>
        <v/>
      </c>
      <c r="R59" s="21">
        <f>IF('Loan Tape (S&amp;P)'!T59="Yes",
    'FF Adj Parameters'!$B$40,
    1.00)</f>
        <v/>
      </c>
      <c r="S59" s="21">
        <f>LET(
    is_htb,'Loan Tape (S&amp;P)'!Q59="Yes",
    rate_type,'Loan Tape (S&amp;P)'!AS59,
    months_to_mat,'Loan Tape (S&amp;P)'!AU59,
    threshold,'FF Adj Parameters'!$B$1259,
    has_shock,AND(rate_type="Fixed",months_to_mat&lt;=threshold),
    IF(is_htb,1.00,IF(has_shock,'FF Adj Parameters'!$B$41,1.00))
)</f>
        <v/>
      </c>
      <c r="T59" s="21">
        <f>LET(
    payment_method,'Loan Tape (S&amp;P)'!P59,
    occupancy,'Loan Tape (S&amp;P)'!N59,
    maturity_date,'Loan Tape (S&amp;P)'!L59,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59" s="21">
        <f>IF(AND('Loan Tape (S&amp;P)'!V59="Yes",'Loan Tape (S&amp;P)'!N59&lt;&gt;"Buy to Let"),
    'FF Adj Parameters'!$B$42,
    1.00)</f>
        <v/>
      </c>
      <c r="V59" s="21">
        <f>IF('Loan Tape (S&amp;P)'!AV59="Yes",
    'FF Adj Parameters'!$B$43,
    1.00)</f>
        <v/>
      </c>
      <c r="W59" s="23">
        <f>IF('Loan Tape (S&amp;P)'!AC59&gt;0,
    'FF Adj Parameters'!$B$44,
    1.00)</f>
        <v/>
      </c>
      <c r="X59" s="21">
        <f>LET(
    has_bankruptcy,'Loan Tape (S&amp;P)'!AE59="Yes",
    has_iva,'Loan Tape (S&amp;P)'!AF59="Yes",
    has_repo,'Loan Tape (S&amp;P)'!AI59="Yes",
    mult,IF(has_repo,'FF Adj Parameters'!$B$47,
            IF(has_bankruptcy,'FF Adj Parameters'!$B$459,
                IF(has_iva,'FF Adj Parameters'!$B$46,
                    1.00))),
    MAX(mult,0.590)
)</f>
        <v/>
      </c>
      <c r="Y59" s="21">
        <f>LET(
    has_perf_arr,'Loan Tape (S&amp;P)'!AP59="Yes",
    perf_arr_date,'Loan Tape (S&amp;P)'!AQ59,
    last_90_date,'Loan Tape (S&amp;P)'!AR59,
    threshold_years,VLOOKUP('Control Panel'!$B$6,'Jurisdiction Parameters'!$A:$Q,17,FALSE),
    relevant_date,MAX(perf_arr_date,last_90_date),
    years_since,('Control Panel'!$B$10-relevant_date)/3659.259,
    IF(NOT(has_perf_arr),1.00,
        IF(years_since&gt;threshold_years,1.00,
            IF(years_since&lt;=1,INDEX('FF Adj Parameters'!$C$47:$C$590,1),
                IF(years_since&lt;=2,INDEX('FF Adj Parameters'!$C$47:$C$590,2),
                    IF(years_since&lt;=3,INDEX('FF Adj Parameters'!$C$47:$C$590,3),
                        INDEX('FF Adj Parameters'!$C$47:$C$590,4))))))
)</f>
        <v/>
      </c>
      <c r="Z59" s="24">
        <f>IFERROR(
        IF(L59&gt;=100,1.00,
            'Control Panel'!$B$18*F59*G59*MAX(H59,R59)*I59*J59*K59*L59*M59*N59*O59*P59*Q59*S59*T59*U59*V59*W59*X59*Y59
        ),
    0)</f>
        <v/>
      </c>
    </row>
    <row r="60">
      <c r="A60" s="17">
        <f>'Loan Tape (S&amp;P)'!A60</f>
        <v/>
      </c>
      <c r="B60" s="18">
        <f>'Loan Tape (S&amp;P)'!B60</f>
        <v/>
      </c>
      <c r="C60" s="20">
        <f>IFERROR('Loan Tape (S&amp;P)'!C60/'Loan Tape (S&amp;P)'!E60,0)</f>
        <v/>
      </c>
      <c r="D60" s="20">
        <f>IFERROR(
        'Loan Tape (S&amp;P)'!B60/
        ('Loan Tape (S&amp;P)'!D60*
        (1-IF('Loan Tape (S&amp;P)'!AT60&lt;&gt;"Full",
            VLOOKUP('Control Panel'!$B$6,'Jurisdiction Parameters'!$A:$D,4,FALSE),
        0))),
    0)</f>
        <v/>
      </c>
      <c r="E60" s="20">
        <f>('Control Panel'!$B$12*C60)+('Control Panel'!$B$13*D60)</f>
        <v/>
      </c>
      <c r="F60" s="22">
        <f>IFERROR(
        LET(
            juris,'Control Panel'!$B$6,
            ltv_val,E60,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0" s="21">
        <f>'Control Panel'!$B$14</f>
        <v/>
      </c>
      <c r="H60" s="21">
        <f>LET(
    income_mult,'Loan Tape (S&amp;P)'!Z60,
    IF(income_mult=0,1.00,
        IFERROR(
            INDEX('FF Adj Parameters'!$A$160:$B$17,
                MATCH(income_mult,INDEX('FF Adj Parameters'!$A$160:$B$17,,1),1),2),
            1.600))
)</f>
        <v/>
      </c>
      <c r="I60" s="21">
        <f>IF('Loan Tape (S&amp;P)'!N60&lt;&gt;"Buy to Let",1.00,
    LET(
        dscr,'Loan Tape (S&amp;P)'!AA60,
        IF(dscr=0,INDEX('FF Adj Parameters'!$A$21:$B$260,1,2),
            IFERROR(
                INDEX('FF Adj Parameters'!$A$21:$B$260,
                    MATCH(dscr,INDEX('FF Adj Parameters'!$A$21:$B$260,,1),1),2),
                'FF Adj Parameters'!$B$21)))
)</f>
        <v/>
      </c>
      <c r="J60" s="21">
        <f>LET(
    lien,'Loan Tape (S&amp;P)'!Q60,
    IF(lien="First",1.00,
        IF(lien="Second",1.50,
            1.70)))</f>
        <v/>
      </c>
      <c r="K60" s="21">
        <f>LET(
    purpose,'Loan Tape (S&amp;P)'!R60,
    IF(purpose="Purchase",1.00,
        IF(purpose="Remortgage",1.00,
            1.20)))</f>
        <v/>
      </c>
      <c r="L60" s="21">
        <f>LET(
    arrears_months,'Loan Tape (S&amp;P)'!AN60,
    IF(arrears_months=0,1.00,
    IF(arrears_months=1,3.00,
    IF(arrears_months=2,5.00,
    IF(arrears_months=3,8.00,
    IF(arrears_months=4,10.00,
    IF(arrears_months=5,12.00,15.00)))))))</f>
        <v/>
      </c>
      <c r="M60" s="21">
        <f>LET(
    seasoning_years,DATEDIF('Loan Tape (S&amp;P)'!K60,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" s="21">
        <f>IF(AND('Loan Tape (S&amp;P)'!U60="Yes",
        'Loan Tape (S&amp;P)'!T60&lt;&gt;"Yes",
        DATEDIF('Loan Tape (S&amp;P)'!K60, TODAY(), "M")&lt;18),
    1.10,
    1.00)</f>
        <v/>
      </c>
      <c r="O60" s="21">
        <f>IF('Loan Tape (S&amp;P)'!T60="Yes",
    1.35,
    1.00)</f>
        <v/>
      </c>
      <c r="P60" s="21">
        <f>IF('Loan Tape (S&amp;P)'!S60="Yes",
    1.15,
    1.00)</f>
        <v/>
      </c>
      <c r="Q60" s="21">
        <f>IF('Loan Tape (S&amp;P)'!V60="Yes",
    1.20,
    1.00)</f>
        <v/>
      </c>
      <c r="R60" s="21">
        <f>IF('Loan Tape (S&amp;P)'!T60="Yes",
    'FF Adj Parameters'!$B$40,
    1.00)</f>
        <v/>
      </c>
      <c r="S60" s="21">
        <f>LET(
    is_htb,'Loan Tape (S&amp;P)'!Q60="Yes",
    rate_type,'Loan Tape (S&amp;P)'!AS60,
    months_to_mat,'Loan Tape (S&amp;P)'!AU60,
    threshold,'FF Adj Parameters'!$B$1260,
    has_shock,AND(rate_type="Fixed",months_to_mat&lt;=threshold),
    IF(is_htb,1.00,IF(has_shock,'FF Adj Parameters'!$B$41,1.00))
)</f>
        <v/>
      </c>
      <c r="T60" s="21">
        <f>LET(
    payment_method,'Loan Tape (S&amp;P)'!P60,
    occupancy,'Loan Tape (S&amp;P)'!N60,
    maturity_date,'Loan Tape (S&amp;P)'!L60,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60" s="21">
        <f>IF(AND('Loan Tape (S&amp;P)'!V60="Yes",'Loan Tape (S&amp;P)'!N60&lt;&gt;"Buy to Let"),
    'FF Adj Parameters'!$B$42,
    1.00)</f>
        <v/>
      </c>
      <c r="V60" s="21">
        <f>IF('Loan Tape (S&amp;P)'!AV60="Yes",
    'FF Adj Parameters'!$B$43,
    1.00)</f>
        <v/>
      </c>
      <c r="W60" s="23">
        <f>IF('Loan Tape (S&amp;P)'!AC60&gt;0,
    'FF Adj Parameters'!$B$44,
    1.00)</f>
        <v/>
      </c>
      <c r="X60" s="21">
        <f>LET(
    has_bankruptcy,'Loan Tape (S&amp;P)'!AE60="Yes",
    has_iva,'Loan Tape (S&amp;P)'!AF60="Yes",
    has_repo,'Loan Tape (S&amp;P)'!AI60="Yes",
    mult,IF(has_repo,'FF Adj Parameters'!$B$47,
            IF(has_bankruptcy,'FF Adj Parameters'!$B$460,
                IF(has_iva,'FF Adj Parameters'!$B$46,
                    1.00))),
    MAX(mult,0.600)
)</f>
        <v/>
      </c>
      <c r="Y60" s="21">
        <f>LET(
    has_perf_arr,'Loan Tape (S&amp;P)'!AP60="Yes",
    perf_arr_date,'Loan Tape (S&amp;P)'!AQ60,
    last_90_date,'Loan Tape (S&amp;P)'!AR60,
    threshold_years,VLOOKUP('Control Panel'!$B$6,'Jurisdiction Parameters'!$A:$Q,17,FALSE),
    relevant_date,MAX(perf_arr_date,last_90_date),
    years_since,('Control Panel'!$B$10-relevant_date)/3660.260,
    IF(NOT(has_perf_arr),1.00,
        IF(years_since&gt;threshold_years,1.00,
            IF(years_since&lt;=1,INDEX('FF Adj Parameters'!$C$47:$C$600,1),
                IF(years_since&lt;=2,INDEX('FF Adj Parameters'!$C$47:$C$600,2),
                    IF(years_since&lt;=3,INDEX('FF Adj Parameters'!$C$47:$C$600,3),
                        INDEX('FF Adj Parameters'!$C$47:$C$600,4))))))
)</f>
        <v/>
      </c>
      <c r="Z60" s="24">
        <f>IFERROR(
        IF(L60&gt;=100,1.00,
            'Control Panel'!$B$18*F60*G60*MAX(H60,R60)*I60*J60*K60*L60*M60*N60*O60*P60*Q60*S60*T60*U60*V60*W60*X60*Y60
        ),
    0)</f>
        <v/>
      </c>
    </row>
    <row r="61">
      <c r="A61" s="17">
        <f>'Loan Tape (S&amp;P)'!A61</f>
        <v/>
      </c>
      <c r="B61" s="18">
        <f>'Loan Tape (S&amp;P)'!B61</f>
        <v/>
      </c>
      <c r="C61" s="20">
        <f>IFERROR('Loan Tape (S&amp;P)'!C61/'Loan Tape (S&amp;P)'!E61,0)</f>
        <v/>
      </c>
      <c r="D61" s="20">
        <f>IFERROR(
        'Loan Tape (S&amp;P)'!B61/
        ('Loan Tape (S&amp;P)'!D61*
        (1-IF('Loan Tape (S&amp;P)'!AT61&lt;&gt;"Full",
            VLOOKUP('Control Panel'!$B$6,'Jurisdiction Parameters'!$A:$D,4,FALSE),
        0))),
    0)</f>
        <v/>
      </c>
      <c r="E61" s="20">
        <f>('Control Panel'!$B$12*C61)+('Control Panel'!$B$13*D61)</f>
        <v/>
      </c>
      <c r="F61" s="22">
        <f>IFERROR(
        LET(
            juris,'Control Panel'!$B$6,
            ltv_val,E61,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1" s="21">
        <f>'Control Panel'!$B$14</f>
        <v/>
      </c>
      <c r="H61" s="21">
        <f>LET(
    income_mult,'Loan Tape (S&amp;P)'!Z61,
    IF(income_mult=0,1.00,
        IFERROR(
            INDEX('FF Adj Parameters'!$A$161:$B$17,
                MATCH(income_mult,INDEX('FF Adj Parameters'!$A$161:$B$17,,1),1),2),
            1.610))
)</f>
        <v/>
      </c>
      <c r="I61" s="21">
        <f>IF('Loan Tape (S&amp;P)'!N61&lt;&gt;"Buy to Let",1.00,
    LET(
        dscr,'Loan Tape (S&amp;P)'!AA61,
        IF(dscr=0,INDEX('FF Adj Parameters'!$A$21:$B$261,1,2),
            IFERROR(
                INDEX('FF Adj Parameters'!$A$21:$B$261,
                    MATCH(dscr,INDEX('FF Adj Parameters'!$A$21:$B$261,,1),1),2),
                'FF Adj Parameters'!$B$21)))
)</f>
        <v/>
      </c>
      <c r="J61" s="21">
        <f>LET(
    lien,'Loan Tape (S&amp;P)'!Q61,
    IF(lien="First",1.00,
        IF(lien="Second",1.50,
            1.70)))</f>
        <v/>
      </c>
      <c r="K61" s="21">
        <f>LET(
    purpose,'Loan Tape (S&amp;P)'!R61,
    IF(purpose="Purchase",1.00,
        IF(purpose="Remortgage",1.00,
            1.20)))</f>
        <v/>
      </c>
      <c r="L61" s="21">
        <f>LET(
    arrears_months,'Loan Tape (S&amp;P)'!AN61,
    IF(arrears_months=0,1.00,
    IF(arrears_months=1,3.00,
    IF(arrears_months=2,5.00,
    IF(arrears_months=3,8.00,
    IF(arrears_months=4,10.00,
    IF(arrears_months=5,12.00,15.00)))))))</f>
        <v/>
      </c>
      <c r="M61" s="21">
        <f>LET(
    seasoning_years,DATEDIF('Loan Tape (S&amp;P)'!K61,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" s="21">
        <f>IF(AND('Loan Tape (S&amp;P)'!U61="Yes",
        'Loan Tape (S&amp;P)'!T61&lt;&gt;"Yes",
        DATEDIF('Loan Tape (S&amp;P)'!K61, TODAY(), "M")&lt;18),
    1.10,
    1.00)</f>
        <v/>
      </c>
      <c r="O61" s="21">
        <f>IF('Loan Tape (S&amp;P)'!T61="Yes",
    1.35,
    1.00)</f>
        <v/>
      </c>
      <c r="P61" s="21">
        <f>IF('Loan Tape (S&amp;P)'!S61="Yes",
    1.15,
    1.00)</f>
        <v/>
      </c>
      <c r="Q61" s="21">
        <f>IF('Loan Tape (S&amp;P)'!V61="Yes",
    1.20,
    1.00)</f>
        <v/>
      </c>
      <c r="R61" s="21">
        <f>IF('Loan Tape (S&amp;P)'!T61="Yes",
    'FF Adj Parameters'!$B$40,
    1.00)</f>
        <v/>
      </c>
      <c r="S61" s="21">
        <f>LET(
    is_htb,'Loan Tape (S&amp;P)'!Q61="Yes",
    rate_type,'Loan Tape (S&amp;P)'!AS61,
    months_to_mat,'Loan Tape (S&amp;P)'!AU61,
    threshold,'FF Adj Parameters'!$B$1261,
    has_shock,AND(rate_type="Fixed",months_to_mat&lt;=threshold),
    IF(is_htb,1.00,IF(has_shock,'FF Adj Parameters'!$B$41,1.00))
)</f>
        <v/>
      </c>
      <c r="T61" s="21">
        <f>LET(
    payment_method,'Loan Tape (S&amp;P)'!P61,
    occupancy,'Loan Tape (S&amp;P)'!N61,
    maturity_date,'Loan Tape (S&amp;P)'!L61,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61" s="21">
        <f>IF(AND('Loan Tape (S&amp;P)'!V61="Yes",'Loan Tape (S&amp;P)'!N61&lt;&gt;"Buy to Let"),
    'FF Adj Parameters'!$B$42,
    1.00)</f>
        <v/>
      </c>
      <c r="V61" s="21">
        <f>IF('Loan Tape (S&amp;P)'!AV61="Yes",
    'FF Adj Parameters'!$B$43,
    1.00)</f>
        <v/>
      </c>
      <c r="W61" s="23">
        <f>IF('Loan Tape (S&amp;P)'!AC61&gt;0,
    'FF Adj Parameters'!$B$44,
    1.00)</f>
        <v/>
      </c>
      <c r="X61" s="21">
        <f>LET(
    has_bankruptcy,'Loan Tape (S&amp;P)'!AE61="Yes",
    has_iva,'Loan Tape (S&amp;P)'!AF61="Yes",
    has_repo,'Loan Tape (S&amp;P)'!AI61="Yes",
    mult,IF(has_repo,'FF Adj Parameters'!$B$47,
            IF(has_bankruptcy,'FF Adj Parameters'!$B$461,
                IF(has_iva,'FF Adj Parameters'!$B$46,
                    1.00))),
    MAX(mult,0.610)
)</f>
        <v/>
      </c>
      <c r="Y61" s="21">
        <f>LET(
    has_perf_arr,'Loan Tape (S&amp;P)'!AP61="Yes",
    perf_arr_date,'Loan Tape (S&amp;P)'!AQ61,
    last_90_date,'Loan Tape (S&amp;P)'!AR61,
    threshold_years,VLOOKUP('Control Panel'!$B$6,'Jurisdiction Parameters'!$A:$Q,17,FALSE),
    relevant_date,MAX(perf_arr_date,last_90_date),
    years_since,('Control Panel'!$B$10-relevant_date)/3661.261,
    IF(NOT(has_perf_arr),1.00,
        IF(years_since&gt;threshold_years,1.00,
            IF(years_since&lt;=1,INDEX('FF Adj Parameters'!$C$47:$C$610,1),
                IF(years_since&lt;=2,INDEX('FF Adj Parameters'!$C$47:$C$610,2),
                    IF(years_since&lt;=3,INDEX('FF Adj Parameters'!$C$47:$C$610,3),
                        INDEX('FF Adj Parameters'!$C$47:$C$610,4))))))
)</f>
        <v/>
      </c>
      <c r="Z61" s="24">
        <f>IFERROR(
        IF(L61&gt;=100,1.00,
            'Control Panel'!$B$18*F61*G61*MAX(H61,R61)*I61*J61*K61*L61*M61*N61*O61*P61*Q61*S61*T61*U61*V61*W61*X61*Y61
        ),
    0)</f>
        <v/>
      </c>
    </row>
    <row r="62">
      <c r="A62" s="17">
        <f>'Loan Tape (S&amp;P)'!A62</f>
        <v/>
      </c>
      <c r="B62" s="18">
        <f>'Loan Tape (S&amp;P)'!B62</f>
        <v/>
      </c>
      <c r="C62" s="20">
        <f>IFERROR('Loan Tape (S&amp;P)'!C62/'Loan Tape (S&amp;P)'!E62,0)</f>
        <v/>
      </c>
      <c r="D62" s="20">
        <f>IFERROR(
        'Loan Tape (S&amp;P)'!B62/
        ('Loan Tape (S&amp;P)'!D62*
        (1-IF('Loan Tape (S&amp;P)'!AT62&lt;&gt;"Full",
            VLOOKUP('Control Panel'!$B$6,'Jurisdiction Parameters'!$A:$D,4,FALSE),
        0))),
    0)</f>
        <v/>
      </c>
      <c r="E62" s="20">
        <f>('Control Panel'!$B$12*C62)+('Control Panel'!$B$13*D62)</f>
        <v/>
      </c>
      <c r="F62" s="22">
        <f>IFERROR(
        LET(
            juris,'Control Panel'!$B$6,
            ltv_val,E62,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2" s="21">
        <f>'Control Panel'!$B$14</f>
        <v/>
      </c>
      <c r="H62" s="21">
        <f>LET(
    income_mult,'Loan Tape (S&amp;P)'!Z62,
    IF(income_mult=0,1.00,
        IFERROR(
            INDEX('FF Adj Parameters'!$A$162:$B$17,
                MATCH(income_mult,INDEX('FF Adj Parameters'!$A$162:$B$17,,1),1),2),
            1.620))
)</f>
        <v/>
      </c>
      <c r="I62" s="21">
        <f>IF('Loan Tape (S&amp;P)'!N62&lt;&gt;"Buy to Let",1.00,
    LET(
        dscr,'Loan Tape (S&amp;P)'!AA62,
        IF(dscr=0,INDEX('FF Adj Parameters'!$A$21:$B$262,1,2),
            IFERROR(
                INDEX('FF Adj Parameters'!$A$21:$B$262,
                    MATCH(dscr,INDEX('FF Adj Parameters'!$A$21:$B$262,,1),1),2),
                'FF Adj Parameters'!$B$21)))
)</f>
        <v/>
      </c>
      <c r="J62" s="21">
        <f>LET(
    lien,'Loan Tape (S&amp;P)'!Q62,
    IF(lien="First",1.00,
        IF(lien="Second",1.50,
            1.70)))</f>
        <v/>
      </c>
      <c r="K62" s="21">
        <f>LET(
    purpose,'Loan Tape (S&amp;P)'!R62,
    IF(purpose="Purchase",1.00,
        IF(purpose="Remortgage",1.00,
            1.20)))</f>
        <v/>
      </c>
      <c r="L62" s="21">
        <f>LET(
    arrears_months,'Loan Tape (S&amp;P)'!AN62,
    IF(arrears_months=0,1.00,
    IF(arrears_months=1,3.00,
    IF(arrears_months=2,5.00,
    IF(arrears_months=3,8.00,
    IF(arrears_months=4,10.00,
    IF(arrears_months=5,12.00,15.00)))))))</f>
        <v/>
      </c>
      <c r="M62" s="21">
        <f>LET(
    seasoning_years,DATEDIF('Loan Tape (S&amp;P)'!K62,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" s="21">
        <f>IF(AND('Loan Tape (S&amp;P)'!U62="Yes",
        'Loan Tape (S&amp;P)'!T62&lt;&gt;"Yes",
        DATEDIF('Loan Tape (S&amp;P)'!K62, TODAY(), "M")&lt;18),
    1.10,
    1.00)</f>
        <v/>
      </c>
      <c r="O62" s="21">
        <f>IF('Loan Tape (S&amp;P)'!T62="Yes",
    1.35,
    1.00)</f>
        <v/>
      </c>
      <c r="P62" s="21">
        <f>IF('Loan Tape (S&amp;P)'!S62="Yes",
    1.15,
    1.00)</f>
        <v/>
      </c>
      <c r="Q62" s="21">
        <f>IF('Loan Tape (S&amp;P)'!V62="Yes",
    1.20,
    1.00)</f>
        <v/>
      </c>
      <c r="R62" s="21">
        <f>IF('Loan Tape (S&amp;P)'!T62="Yes",
    'FF Adj Parameters'!$B$40,
    1.00)</f>
        <v/>
      </c>
      <c r="S62" s="21">
        <f>LET(
    is_htb,'Loan Tape (S&amp;P)'!Q62="Yes",
    rate_type,'Loan Tape (S&amp;P)'!AS62,
    months_to_mat,'Loan Tape (S&amp;P)'!AU62,
    threshold,'FF Adj Parameters'!$B$1262,
    has_shock,AND(rate_type="Fixed",months_to_mat&lt;=threshold),
    IF(is_htb,1.00,IF(has_shock,'FF Adj Parameters'!$B$41,1.00))
)</f>
        <v/>
      </c>
      <c r="T62" s="21">
        <f>LET(
    payment_method,'Loan Tape (S&amp;P)'!P62,
    occupancy,'Loan Tape (S&amp;P)'!N62,
    maturity_date,'Loan Tape (S&amp;P)'!L62,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62" s="21">
        <f>IF(AND('Loan Tape (S&amp;P)'!V62="Yes",'Loan Tape (S&amp;P)'!N62&lt;&gt;"Buy to Let"),
    'FF Adj Parameters'!$B$42,
    1.00)</f>
        <v/>
      </c>
      <c r="V62" s="21">
        <f>IF('Loan Tape (S&amp;P)'!AV62="Yes",
    'FF Adj Parameters'!$B$43,
    1.00)</f>
        <v/>
      </c>
      <c r="W62" s="23">
        <f>IF('Loan Tape (S&amp;P)'!AC62&gt;0,
    'FF Adj Parameters'!$B$44,
    1.00)</f>
        <v/>
      </c>
      <c r="X62" s="21">
        <f>LET(
    has_bankruptcy,'Loan Tape (S&amp;P)'!AE62="Yes",
    has_iva,'Loan Tape (S&amp;P)'!AF62="Yes",
    has_repo,'Loan Tape (S&amp;P)'!AI62="Yes",
    mult,IF(has_repo,'FF Adj Parameters'!$B$47,
            IF(has_bankruptcy,'FF Adj Parameters'!$B$462,
                IF(has_iva,'FF Adj Parameters'!$B$46,
                    1.00))),
    MAX(mult,0.620)
)</f>
        <v/>
      </c>
      <c r="Y62" s="21">
        <f>LET(
    has_perf_arr,'Loan Tape (S&amp;P)'!AP62="Yes",
    perf_arr_date,'Loan Tape (S&amp;P)'!AQ62,
    last_90_date,'Loan Tape (S&amp;P)'!AR62,
    threshold_years,VLOOKUP('Control Panel'!$B$6,'Jurisdiction Parameters'!$A:$Q,17,FALSE),
    relevant_date,MAX(perf_arr_date,last_90_date),
    years_since,('Control Panel'!$B$10-relevant_date)/3662.262,
    IF(NOT(has_perf_arr),1.00,
        IF(years_since&gt;threshold_years,1.00,
            IF(years_since&lt;=1,INDEX('FF Adj Parameters'!$C$47:$C$620,1),
                IF(years_since&lt;=2,INDEX('FF Adj Parameters'!$C$47:$C$620,2),
                    IF(years_since&lt;=3,INDEX('FF Adj Parameters'!$C$47:$C$620,3),
                        INDEX('FF Adj Parameters'!$C$47:$C$620,4))))))
)</f>
        <v/>
      </c>
      <c r="Z62" s="24">
        <f>IFERROR(
        IF(L62&gt;=100,1.00,
            'Control Panel'!$B$18*F62*G62*MAX(H62,R62)*I62*J62*K62*L62*M62*N62*O62*P62*Q62*S62*T62*U62*V62*W62*X62*Y62
        ),
    0)</f>
        <v/>
      </c>
    </row>
    <row r="63">
      <c r="A63" s="17">
        <f>'Loan Tape (S&amp;P)'!A63</f>
        <v/>
      </c>
      <c r="B63" s="18">
        <f>'Loan Tape (S&amp;P)'!B63</f>
        <v/>
      </c>
      <c r="C63" s="20">
        <f>IFERROR('Loan Tape (S&amp;P)'!C63/'Loan Tape (S&amp;P)'!E63,0)</f>
        <v/>
      </c>
      <c r="D63" s="20">
        <f>IFERROR(
        'Loan Tape (S&amp;P)'!B63/
        ('Loan Tape (S&amp;P)'!D63*
        (1-IF('Loan Tape (S&amp;P)'!AT63&lt;&gt;"Full",
            VLOOKUP('Control Panel'!$B$6,'Jurisdiction Parameters'!$A:$D,4,FALSE),
        0))),
    0)</f>
        <v/>
      </c>
      <c r="E63" s="20">
        <f>('Control Panel'!$B$12*C63)+('Control Panel'!$B$13*D63)</f>
        <v/>
      </c>
      <c r="F63" s="22">
        <f>IFERROR(
        LET(
            juris,'Control Panel'!$B$6,
            ltv_val,E63,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3" s="21">
        <f>'Control Panel'!$B$14</f>
        <v/>
      </c>
      <c r="H63" s="21">
        <f>LET(
    income_mult,'Loan Tape (S&amp;P)'!Z63,
    IF(income_mult=0,1.00,
        IFERROR(
            INDEX('FF Adj Parameters'!$A$163:$B$17,
                MATCH(income_mult,INDEX('FF Adj Parameters'!$A$163:$B$17,,1),1),2),
            1.630))
)</f>
        <v/>
      </c>
      <c r="I63" s="21">
        <f>IF('Loan Tape (S&amp;P)'!N63&lt;&gt;"Buy to Let",1.00,
    LET(
        dscr,'Loan Tape (S&amp;P)'!AA63,
        IF(dscr=0,INDEX('FF Adj Parameters'!$A$21:$B$263,1,2),
            IFERROR(
                INDEX('FF Adj Parameters'!$A$21:$B$263,
                    MATCH(dscr,INDEX('FF Adj Parameters'!$A$21:$B$263,,1),1),2),
                'FF Adj Parameters'!$B$21)))
)</f>
        <v/>
      </c>
      <c r="J63" s="21">
        <f>LET(
    lien,'Loan Tape (S&amp;P)'!Q63,
    IF(lien="First",1.00,
        IF(lien="Second",1.50,
            1.70)))</f>
        <v/>
      </c>
      <c r="K63" s="21">
        <f>LET(
    purpose,'Loan Tape (S&amp;P)'!R63,
    IF(purpose="Purchase",1.00,
        IF(purpose="Remortgage",1.00,
            1.20)))</f>
        <v/>
      </c>
      <c r="L63" s="21">
        <f>LET(
    arrears_months,'Loan Tape (S&amp;P)'!AN63,
    IF(arrears_months=0,1.00,
    IF(arrears_months=1,3.00,
    IF(arrears_months=2,5.00,
    IF(arrears_months=3,8.00,
    IF(arrears_months=4,10.00,
    IF(arrears_months=5,12.00,15.00)))))))</f>
        <v/>
      </c>
      <c r="M63" s="21">
        <f>LET(
    seasoning_years,DATEDIF('Loan Tape (S&amp;P)'!K63,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" s="21">
        <f>IF(AND('Loan Tape (S&amp;P)'!U63="Yes",
        'Loan Tape (S&amp;P)'!T63&lt;&gt;"Yes",
        DATEDIF('Loan Tape (S&amp;P)'!K63, TODAY(), "M")&lt;18),
    1.10,
    1.00)</f>
        <v/>
      </c>
      <c r="O63" s="21">
        <f>IF('Loan Tape (S&amp;P)'!T63="Yes",
    1.35,
    1.00)</f>
        <v/>
      </c>
      <c r="P63" s="21">
        <f>IF('Loan Tape (S&amp;P)'!S63="Yes",
    1.15,
    1.00)</f>
        <v/>
      </c>
      <c r="Q63" s="21">
        <f>IF('Loan Tape (S&amp;P)'!V63="Yes",
    1.20,
    1.00)</f>
        <v/>
      </c>
      <c r="R63" s="21">
        <f>IF('Loan Tape (S&amp;P)'!T63="Yes",
    'FF Adj Parameters'!$B$40,
    1.00)</f>
        <v/>
      </c>
      <c r="S63" s="21">
        <f>LET(
    is_htb,'Loan Tape (S&amp;P)'!Q63="Yes",
    rate_type,'Loan Tape (S&amp;P)'!AS63,
    months_to_mat,'Loan Tape (S&amp;P)'!AU63,
    threshold,'FF Adj Parameters'!$B$1263,
    has_shock,AND(rate_type="Fixed",months_to_mat&lt;=threshold),
    IF(is_htb,1.00,IF(has_shock,'FF Adj Parameters'!$B$41,1.00))
)</f>
        <v/>
      </c>
      <c r="T63" s="21">
        <f>LET(
    payment_method,'Loan Tape (S&amp;P)'!P63,
    occupancy,'Loan Tape (S&amp;P)'!N63,
    maturity_date,'Loan Tape (S&amp;P)'!L63,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63" s="21">
        <f>IF(AND('Loan Tape (S&amp;P)'!V63="Yes",'Loan Tape (S&amp;P)'!N63&lt;&gt;"Buy to Let"),
    'FF Adj Parameters'!$B$42,
    1.00)</f>
        <v/>
      </c>
      <c r="V63" s="21">
        <f>IF('Loan Tape (S&amp;P)'!AV63="Yes",
    'FF Adj Parameters'!$B$43,
    1.00)</f>
        <v/>
      </c>
      <c r="W63" s="23">
        <f>IF('Loan Tape (S&amp;P)'!AC63&gt;0,
    'FF Adj Parameters'!$B$44,
    1.00)</f>
        <v/>
      </c>
      <c r="X63" s="21">
        <f>LET(
    has_bankruptcy,'Loan Tape (S&amp;P)'!AE63="Yes",
    has_iva,'Loan Tape (S&amp;P)'!AF63="Yes",
    has_repo,'Loan Tape (S&amp;P)'!AI63="Yes",
    mult,IF(has_repo,'FF Adj Parameters'!$B$47,
            IF(has_bankruptcy,'FF Adj Parameters'!$B$463,
                IF(has_iva,'FF Adj Parameters'!$B$46,
                    1.00))),
    MAX(mult,0.630)
)</f>
        <v/>
      </c>
      <c r="Y63" s="21">
        <f>LET(
    has_perf_arr,'Loan Tape (S&amp;P)'!AP63="Yes",
    perf_arr_date,'Loan Tape (S&amp;P)'!AQ63,
    last_90_date,'Loan Tape (S&amp;P)'!AR63,
    threshold_years,VLOOKUP('Control Panel'!$B$6,'Jurisdiction Parameters'!$A:$Q,17,FALSE),
    relevant_date,MAX(perf_arr_date,last_90_date),
    years_since,('Control Panel'!$B$10-relevant_date)/3663.263,
    IF(NOT(has_perf_arr),1.00,
        IF(years_since&gt;threshold_years,1.00,
            IF(years_since&lt;=1,INDEX('FF Adj Parameters'!$C$47:$C$630,1),
                IF(years_since&lt;=2,INDEX('FF Adj Parameters'!$C$47:$C$630,2),
                    IF(years_since&lt;=3,INDEX('FF Adj Parameters'!$C$47:$C$630,3),
                        INDEX('FF Adj Parameters'!$C$47:$C$630,4))))))
)</f>
        <v/>
      </c>
      <c r="Z63" s="24">
        <f>IFERROR(
        IF(L63&gt;=100,1.00,
            'Control Panel'!$B$18*F63*G63*MAX(H63,R63)*I63*J63*K63*L63*M63*N63*O63*P63*Q63*S63*T63*U63*V63*W63*X63*Y63
        ),
    0)</f>
        <v/>
      </c>
    </row>
    <row r="64">
      <c r="A64" s="17">
        <f>'Loan Tape (S&amp;P)'!A64</f>
        <v/>
      </c>
      <c r="B64" s="18">
        <f>'Loan Tape (S&amp;P)'!B64</f>
        <v/>
      </c>
      <c r="C64" s="20">
        <f>IFERROR('Loan Tape (S&amp;P)'!C64/'Loan Tape (S&amp;P)'!E64,0)</f>
        <v/>
      </c>
      <c r="D64" s="20">
        <f>IFERROR(
        'Loan Tape (S&amp;P)'!B64/
        ('Loan Tape (S&amp;P)'!D64*
        (1-IF('Loan Tape (S&amp;P)'!AT64&lt;&gt;"Full",
            VLOOKUP('Control Panel'!$B$6,'Jurisdiction Parameters'!$A:$D,4,FALSE),
        0))),
    0)</f>
        <v/>
      </c>
      <c r="E64" s="20">
        <f>('Control Panel'!$B$12*C64)+('Control Panel'!$B$13*D64)</f>
        <v/>
      </c>
      <c r="F64" s="22">
        <f>IFERROR(
        LET(
            juris,'Control Panel'!$B$6,
            ltv_val,E64,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4" s="21">
        <f>'Control Panel'!$B$14</f>
        <v/>
      </c>
      <c r="H64" s="21">
        <f>LET(
    income_mult,'Loan Tape (S&amp;P)'!Z64,
    IF(income_mult=0,1.00,
        IFERROR(
            INDEX('FF Adj Parameters'!$A$164:$B$17,
                MATCH(income_mult,INDEX('FF Adj Parameters'!$A$164:$B$17,,1),1),2),
            1.640))
)</f>
        <v/>
      </c>
      <c r="I64" s="21">
        <f>IF('Loan Tape (S&amp;P)'!N64&lt;&gt;"Buy to Let",1.00,
    LET(
        dscr,'Loan Tape (S&amp;P)'!AA64,
        IF(dscr=0,INDEX('FF Adj Parameters'!$A$21:$B$264,1,2),
            IFERROR(
                INDEX('FF Adj Parameters'!$A$21:$B$264,
                    MATCH(dscr,INDEX('FF Adj Parameters'!$A$21:$B$264,,1),1),2),
                'FF Adj Parameters'!$B$21)))
)</f>
        <v/>
      </c>
      <c r="J64" s="21">
        <f>LET(
    lien,'Loan Tape (S&amp;P)'!Q64,
    IF(lien="First",1.00,
        IF(lien="Second",1.50,
            1.70)))</f>
        <v/>
      </c>
      <c r="K64" s="21">
        <f>LET(
    purpose,'Loan Tape (S&amp;P)'!R64,
    IF(purpose="Purchase",1.00,
        IF(purpose="Remortgage",1.00,
            1.20)))</f>
        <v/>
      </c>
      <c r="L64" s="21">
        <f>LET(
    arrears_months,'Loan Tape (S&amp;P)'!AN64,
    IF(arrears_months=0,1.00,
    IF(arrears_months=1,3.00,
    IF(arrears_months=2,5.00,
    IF(arrears_months=3,8.00,
    IF(arrears_months=4,10.00,
    IF(arrears_months=5,12.00,15.00)))))))</f>
        <v/>
      </c>
      <c r="M64" s="21">
        <f>LET(
    seasoning_years,DATEDIF('Loan Tape (S&amp;P)'!K64,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" s="21">
        <f>IF(AND('Loan Tape (S&amp;P)'!U64="Yes",
        'Loan Tape (S&amp;P)'!T64&lt;&gt;"Yes",
        DATEDIF('Loan Tape (S&amp;P)'!K64, TODAY(), "M")&lt;18),
    1.10,
    1.00)</f>
        <v/>
      </c>
      <c r="O64" s="21">
        <f>IF('Loan Tape (S&amp;P)'!T64="Yes",
    1.35,
    1.00)</f>
        <v/>
      </c>
      <c r="P64" s="21">
        <f>IF('Loan Tape (S&amp;P)'!S64="Yes",
    1.15,
    1.00)</f>
        <v/>
      </c>
      <c r="Q64" s="21">
        <f>IF('Loan Tape (S&amp;P)'!V64="Yes",
    1.20,
    1.00)</f>
        <v/>
      </c>
      <c r="R64" s="21">
        <f>IF('Loan Tape (S&amp;P)'!T64="Yes",
    'FF Adj Parameters'!$B$40,
    1.00)</f>
        <v/>
      </c>
      <c r="S64" s="21">
        <f>LET(
    is_htb,'Loan Tape (S&amp;P)'!Q64="Yes",
    rate_type,'Loan Tape (S&amp;P)'!AS64,
    months_to_mat,'Loan Tape (S&amp;P)'!AU64,
    threshold,'FF Adj Parameters'!$B$1264,
    has_shock,AND(rate_type="Fixed",months_to_mat&lt;=threshold),
    IF(is_htb,1.00,IF(has_shock,'FF Adj Parameters'!$B$41,1.00))
)</f>
        <v/>
      </c>
      <c r="T64" s="21">
        <f>LET(
    payment_method,'Loan Tape (S&amp;P)'!P64,
    occupancy,'Loan Tape (S&amp;P)'!N64,
    maturity_date,'Loan Tape (S&amp;P)'!L64,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64" s="21">
        <f>IF(AND('Loan Tape (S&amp;P)'!V64="Yes",'Loan Tape (S&amp;P)'!N64&lt;&gt;"Buy to Let"),
    'FF Adj Parameters'!$B$42,
    1.00)</f>
        <v/>
      </c>
      <c r="V64" s="21">
        <f>IF('Loan Tape (S&amp;P)'!AV64="Yes",
    'FF Adj Parameters'!$B$43,
    1.00)</f>
        <v/>
      </c>
      <c r="W64" s="23">
        <f>IF('Loan Tape (S&amp;P)'!AC64&gt;0,
    'FF Adj Parameters'!$B$44,
    1.00)</f>
        <v/>
      </c>
      <c r="X64" s="21">
        <f>LET(
    has_bankruptcy,'Loan Tape (S&amp;P)'!AE64="Yes",
    has_iva,'Loan Tape (S&amp;P)'!AF64="Yes",
    has_repo,'Loan Tape (S&amp;P)'!AI64="Yes",
    mult,IF(has_repo,'FF Adj Parameters'!$B$47,
            IF(has_bankruptcy,'FF Adj Parameters'!$B$464,
                IF(has_iva,'FF Adj Parameters'!$B$46,
                    1.00))),
    MAX(mult,0.640)
)</f>
        <v/>
      </c>
      <c r="Y64" s="21">
        <f>LET(
    has_perf_arr,'Loan Tape (S&amp;P)'!AP64="Yes",
    perf_arr_date,'Loan Tape (S&amp;P)'!AQ64,
    last_90_date,'Loan Tape (S&amp;P)'!AR64,
    threshold_years,VLOOKUP('Control Panel'!$B$6,'Jurisdiction Parameters'!$A:$Q,17,FALSE),
    relevant_date,MAX(perf_arr_date,last_90_date),
    years_since,('Control Panel'!$B$10-relevant_date)/3664.264,
    IF(NOT(has_perf_arr),1.00,
        IF(years_since&gt;threshold_years,1.00,
            IF(years_since&lt;=1,INDEX('FF Adj Parameters'!$C$47:$C$640,1),
                IF(years_since&lt;=2,INDEX('FF Adj Parameters'!$C$47:$C$640,2),
                    IF(years_since&lt;=3,INDEX('FF Adj Parameters'!$C$47:$C$640,3),
                        INDEX('FF Adj Parameters'!$C$47:$C$640,4))))))
)</f>
        <v/>
      </c>
      <c r="Z64" s="24">
        <f>IFERROR(
        IF(L64&gt;=100,1.00,
            'Control Panel'!$B$18*F64*G64*MAX(H64,R64)*I64*J64*K64*L64*M64*N64*O64*P64*Q64*S64*T64*U64*V64*W64*X64*Y64
        ),
    0)</f>
        <v/>
      </c>
    </row>
    <row r="65">
      <c r="A65" s="17">
        <f>'Loan Tape (S&amp;P)'!A65</f>
        <v/>
      </c>
      <c r="B65" s="18">
        <f>'Loan Tape (S&amp;P)'!B65</f>
        <v/>
      </c>
      <c r="C65" s="20">
        <f>IFERROR('Loan Tape (S&amp;P)'!C65/'Loan Tape (S&amp;P)'!E65,0)</f>
        <v/>
      </c>
      <c r="D65" s="20">
        <f>IFERROR(
        'Loan Tape (S&amp;P)'!B65/
        ('Loan Tape (S&amp;P)'!D65*
        (1-IF('Loan Tape (S&amp;P)'!AT65&lt;&gt;"Full",
            VLOOKUP('Control Panel'!$B$6,'Jurisdiction Parameters'!$A:$D,4,FALSE),
        0))),
    0)</f>
        <v/>
      </c>
      <c r="E65" s="20">
        <f>('Control Panel'!$B$12*C65)+('Control Panel'!$B$13*D65)</f>
        <v/>
      </c>
      <c r="F65" s="22">
        <f>IFERROR(
        LET(
            juris,'Control Panel'!$B$6,
            ltv_val,E65,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5" s="21">
        <f>'Control Panel'!$B$14</f>
        <v/>
      </c>
      <c r="H65" s="21">
        <f>LET(
    income_mult,'Loan Tape (S&amp;P)'!Z65,
    IF(income_mult=0,1.00,
        IFERROR(
            INDEX('FF Adj Parameters'!$A$165:$B$17,
                MATCH(income_mult,INDEX('FF Adj Parameters'!$A$165:$B$17,,1),1),2),
            1.650))
)</f>
        <v/>
      </c>
      <c r="I65" s="21">
        <f>IF('Loan Tape (S&amp;P)'!N65&lt;&gt;"Buy to Let",1.00,
    LET(
        dscr,'Loan Tape (S&amp;P)'!AA65,
        IF(dscr=0,INDEX('FF Adj Parameters'!$A$21:$B$265,1,2),
            IFERROR(
                INDEX('FF Adj Parameters'!$A$21:$B$265,
                    MATCH(dscr,INDEX('FF Adj Parameters'!$A$21:$B$265,,1),1),2),
                'FF Adj Parameters'!$B$21)))
)</f>
        <v/>
      </c>
      <c r="J65" s="21">
        <f>LET(
    lien,'Loan Tape (S&amp;P)'!Q65,
    IF(lien="First",1.00,
        IF(lien="Second",1.50,
            1.70)))</f>
        <v/>
      </c>
      <c r="K65" s="21">
        <f>LET(
    purpose,'Loan Tape (S&amp;P)'!R65,
    IF(purpose="Purchase",1.00,
        IF(purpose="Remortgage",1.00,
            1.20)))</f>
        <v/>
      </c>
      <c r="L65" s="21">
        <f>LET(
    arrears_months,'Loan Tape (S&amp;P)'!AN65,
    IF(arrears_months=0,1.00,
    IF(arrears_months=1,3.00,
    IF(arrears_months=2,5.00,
    IF(arrears_months=3,8.00,
    IF(arrears_months=4,10.00,
    IF(arrears_months=5,12.00,15.00)))))))</f>
        <v/>
      </c>
      <c r="M65" s="21">
        <f>LET(
    seasoning_years,DATEDIF('Loan Tape (S&amp;P)'!K65,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" s="21">
        <f>IF(AND('Loan Tape (S&amp;P)'!U65="Yes",
        'Loan Tape (S&amp;P)'!T65&lt;&gt;"Yes",
        DATEDIF('Loan Tape (S&amp;P)'!K65, TODAY(), "M")&lt;18),
    1.10,
    1.00)</f>
        <v/>
      </c>
      <c r="O65" s="21">
        <f>IF('Loan Tape (S&amp;P)'!T65="Yes",
    1.35,
    1.00)</f>
        <v/>
      </c>
      <c r="P65" s="21">
        <f>IF('Loan Tape (S&amp;P)'!S65="Yes",
    1.15,
    1.00)</f>
        <v/>
      </c>
      <c r="Q65" s="21">
        <f>IF('Loan Tape (S&amp;P)'!V65="Yes",
    1.20,
    1.00)</f>
        <v/>
      </c>
      <c r="R65" s="21">
        <f>IF('Loan Tape (S&amp;P)'!T65="Yes",
    'FF Adj Parameters'!$B$40,
    1.00)</f>
        <v/>
      </c>
      <c r="S65" s="21">
        <f>LET(
    is_htb,'Loan Tape (S&amp;P)'!Q65="Yes",
    rate_type,'Loan Tape (S&amp;P)'!AS65,
    months_to_mat,'Loan Tape (S&amp;P)'!AU65,
    threshold,'FF Adj Parameters'!$B$1265,
    has_shock,AND(rate_type="Fixed",months_to_mat&lt;=threshold),
    IF(is_htb,1.00,IF(has_shock,'FF Adj Parameters'!$B$41,1.00))
)</f>
        <v/>
      </c>
      <c r="T65" s="21">
        <f>LET(
    payment_method,'Loan Tape (S&amp;P)'!P65,
    occupancy,'Loan Tape (S&amp;P)'!N65,
    maturity_date,'Loan Tape (S&amp;P)'!L65,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65" s="21">
        <f>IF(AND('Loan Tape (S&amp;P)'!V65="Yes",'Loan Tape (S&amp;P)'!N65&lt;&gt;"Buy to Let"),
    'FF Adj Parameters'!$B$42,
    1.00)</f>
        <v/>
      </c>
      <c r="V65" s="21">
        <f>IF('Loan Tape (S&amp;P)'!AV65="Yes",
    'FF Adj Parameters'!$B$43,
    1.00)</f>
        <v/>
      </c>
      <c r="W65" s="23">
        <f>IF('Loan Tape (S&amp;P)'!AC65&gt;0,
    'FF Adj Parameters'!$B$44,
    1.00)</f>
        <v/>
      </c>
      <c r="X65" s="21">
        <f>LET(
    has_bankruptcy,'Loan Tape (S&amp;P)'!AE65="Yes",
    has_iva,'Loan Tape (S&amp;P)'!AF65="Yes",
    has_repo,'Loan Tape (S&amp;P)'!AI65="Yes",
    mult,IF(has_repo,'FF Adj Parameters'!$B$47,
            IF(has_bankruptcy,'FF Adj Parameters'!$B$465,
                IF(has_iva,'FF Adj Parameters'!$B$46,
                    1.00))),
    MAX(mult,0.650)
)</f>
        <v/>
      </c>
      <c r="Y65" s="21">
        <f>LET(
    has_perf_arr,'Loan Tape (S&amp;P)'!AP65="Yes",
    perf_arr_date,'Loan Tape (S&amp;P)'!AQ65,
    last_90_date,'Loan Tape (S&amp;P)'!AR65,
    threshold_years,VLOOKUP('Control Panel'!$B$6,'Jurisdiction Parameters'!$A:$Q,17,FALSE),
    relevant_date,MAX(perf_arr_date,last_90_date),
    years_since,('Control Panel'!$B$10-relevant_date)/3665.265,
    IF(NOT(has_perf_arr),1.00,
        IF(years_since&gt;threshold_years,1.00,
            IF(years_since&lt;=1,INDEX('FF Adj Parameters'!$C$47:$C$650,1),
                IF(years_since&lt;=2,INDEX('FF Adj Parameters'!$C$47:$C$650,2),
                    IF(years_since&lt;=3,INDEX('FF Adj Parameters'!$C$47:$C$650,3),
                        INDEX('FF Adj Parameters'!$C$47:$C$650,4))))))
)</f>
        <v/>
      </c>
      <c r="Z65" s="24">
        <f>IFERROR(
        IF(L65&gt;=100,1.00,
            'Control Panel'!$B$18*F65*G65*MAX(H65,R65)*I65*J65*K65*L65*M65*N65*O65*P65*Q65*S65*T65*U65*V65*W65*X65*Y65
        ),
    0)</f>
        <v/>
      </c>
    </row>
    <row r="66">
      <c r="A66" s="17">
        <f>'Loan Tape (S&amp;P)'!A66</f>
        <v/>
      </c>
      <c r="B66" s="18">
        <f>'Loan Tape (S&amp;P)'!B66</f>
        <v/>
      </c>
      <c r="C66" s="20">
        <f>IFERROR('Loan Tape (S&amp;P)'!C66/'Loan Tape (S&amp;P)'!E66,0)</f>
        <v/>
      </c>
      <c r="D66" s="20">
        <f>IFERROR(
        'Loan Tape (S&amp;P)'!B66/
        ('Loan Tape (S&amp;P)'!D66*
        (1-IF('Loan Tape (S&amp;P)'!AT66&lt;&gt;"Full",
            VLOOKUP('Control Panel'!$B$6,'Jurisdiction Parameters'!$A:$D,4,FALSE),
        0))),
    0)</f>
        <v/>
      </c>
      <c r="E66" s="20">
        <f>('Control Panel'!$B$12*C66)+('Control Panel'!$B$13*D66)</f>
        <v/>
      </c>
      <c r="F66" s="22">
        <f>IFERROR(
        LET(
            juris,'Control Panel'!$B$6,
            ltv_val,E66,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6" s="21">
        <f>'Control Panel'!$B$14</f>
        <v/>
      </c>
      <c r="H66" s="21">
        <f>LET(
    income_mult,'Loan Tape (S&amp;P)'!Z66,
    IF(income_mult=0,1.00,
        IFERROR(
            INDEX('FF Adj Parameters'!$A$166:$B$17,
                MATCH(income_mult,INDEX('FF Adj Parameters'!$A$166:$B$17,,1),1),2),
            1.660))
)</f>
        <v/>
      </c>
      <c r="I66" s="21">
        <f>IF('Loan Tape (S&amp;P)'!N66&lt;&gt;"Buy to Let",1.00,
    LET(
        dscr,'Loan Tape (S&amp;P)'!AA66,
        IF(dscr=0,INDEX('FF Adj Parameters'!$A$21:$B$266,1,2),
            IFERROR(
                INDEX('FF Adj Parameters'!$A$21:$B$266,
                    MATCH(dscr,INDEX('FF Adj Parameters'!$A$21:$B$266,,1),1),2),
                'FF Adj Parameters'!$B$21)))
)</f>
        <v/>
      </c>
      <c r="J66" s="21">
        <f>LET(
    lien,'Loan Tape (S&amp;P)'!Q66,
    IF(lien="First",1.00,
        IF(lien="Second",1.50,
            1.70)))</f>
        <v/>
      </c>
      <c r="K66" s="21">
        <f>LET(
    purpose,'Loan Tape (S&amp;P)'!R66,
    IF(purpose="Purchase",1.00,
        IF(purpose="Remortgage",1.00,
            1.20)))</f>
        <v/>
      </c>
      <c r="L66" s="21">
        <f>LET(
    arrears_months,'Loan Tape (S&amp;P)'!AN66,
    IF(arrears_months=0,1.00,
    IF(arrears_months=1,3.00,
    IF(arrears_months=2,5.00,
    IF(arrears_months=3,8.00,
    IF(arrears_months=4,10.00,
    IF(arrears_months=5,12.00,15.00)))))))</f>
        <v/>
      </c>
      <c r="M66" s="21">
        <f>LET(
    seasoning_years,DATEDIF('Loan Tape (S&amp;P)'!K66,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" s="21">
        <f>IF(AND('Loan Tape (S&amp;P)'!U66="Yes",
        'Loan Tape (S&amp;P)'!T66&lt;&gt;"Yes",
        DATEDIF('Loan Tape (S&amp;P)'!K66, TODAY(), "M")&lt;18),
    1.10,
    1.00)</f>
        <v/>
      </c>
      <c r="O66" s="21">
        <f>IF('Loan Tape (S&amp;P)'!T66="Yes",
    1.35,
    1.00)</f>
        <v/>
      </c>
      <c r="P66" s="21">
        <f>IF('Loan Tape (S&amp;P)'!S66="Yes",
    1.15,
    1.00)</f>
        <v/>
      </c>
      <c r="Q66" s="21">
        <f>IF('Loan Tape (S&amp;P)'!V66="Yes",
    1.20,
    1.00)</f>
        <v/>
      </c>
      <c r="R66" s="21">
        <f>IF('Loan Tape (S&amp;P)'!T66="Yes",
    'FF Adj Parameters'!$B$40,
    1.00)</f>
        <v/>
      </c>
      <c r="S66" s="21">
        <f>LET(
    is_htb,'Loan Tape (S&amp;P)'!Q66="Yes",
    rate_type,'Loan Tape (S&amp;P)'!AS66,
    months_to_mat,'Loan Tape (S&amp;P)'!AU66,
    threshold,'FF Adj Parameters'!$B$1266,
    has_shock,AND(rate_type="Fixed",months_to_mat&lt;=threshold),
    IF(is_htb,1.00,IF(has_shock,'FF Adj Parameters'!$B$41,1.00))
)</f>
        <v/>
      </c>
      <c r="T66" s="21">
        <f>LET(
    payment_method,'Loan Tape (S&amp;P)'!P66,
    occupancy,'Loan Tape (S&amp;P)'!N66,
    maturity_date,'Loan Tape (S&amp;P)'!L66,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66" s="21">
        <f>IF(AND('Loan Tape (S&amp;P)'!V66="Yes",'Loan Tape (S&amp;P)'!N66&lt;&gt;"Buy to Let"),
    'FF Adj Parameters'!$B$42,
    1.00)</f>
        <v/>
      </c>
      <c r="V66" s="21">
        <f>IF('Loan Tape (S&amp;P)'!AV66="Yes",
    'FF Adj Parameters'!$B$43,
    1.00)</f>
        <v/>
      </c>
      <c r="W66" s="23">
        <f>IF('Loan Tape (S&amp;P)'!AC66&gt;0,
    'FF Adj Parameters'!$B$44,
    1.00)</f>
        <v/>
      </c>
      <c r="X66" s="21">
        <f>LET(
    has_bankruptcy,'Loan Tape (S&amp;P)'!AE66="Yes",
    has_iva,'Loan Tape (S&amp;P)'!AF66="Yes",
    has_repo,'Loan Tape (S&amp;P)'!AI66="Yes",
    mult,IF(has_repo,'FF Adj Parameters'!$B$47,
            IF(has_bankruptcy,'FF Adj Parameters'!$B$466,
                IF(has_iva,'FF Adj Parameters'!$B$46,
                    1.00))),
    MAX(mult,0.660)
)</f>
        <v/>
      </c>
      <c r="Y66" s="21">
        <f>LET(
    has_perf_arr,'Loan Tape (S&amp;P)'!AP66="Yes",
    perf_arr_date,'Loan Tape (S&amp;P)'!AQ66,
    last_90_date,'Loan Tape (S&amp;P)'!AR66,
    threshold_years,VLOOKUP('Control Panel'!$B$6,'Jurisdiction Parameters'!$A:$Q,17,FALSE),
    relevant_date,MAX(perf_arr_date,last_90_date),
    years_since,('Control Panel'!$B$10-relevant_date)/3666.266,
    IF(NOT(has_perf_arr),1.00,
        IF(years_since&gt;threshold_years,1.00,
            IF(years_since&lt;=1,INDEX('FF Adj Parameters'!$C$47:$C$660,1),
                IF(years_since&lt;=2,INDEX('FF Adj Parameters'!$C$47:$C$660,2),
                    IF(years_since&lt;=3,INDEX('FF Adj Parameters'!$C$47:$C$660,3),
                        INDEX('FF Adj Parameters'!$C$47:$C$660,4))))))
)</f>
        <v/>
      </c>
      <c r="Z66" s="24">
        <f>IFERROR(
        IF(L66&gt;=100,1.00,
            'Control Panel'!$B$18*F66*G66*MAX(H66,R66)*I66*J66*K66*L66*M66*N66*O66*P66*Q66*S66*T66*U66*V66*W66*X66*Y66
        ),
    0)</f>
        <v/>
      </c>
    </row>
    <row r="67">
      <c r="A67" s="17">
        <f>'Loan Tape (S&amp;P)'!A67</f>
        <v/>
      </c>
      <c r="B67" s="18">
        <f>'Loan Tape (S&amp;P)'!B67</f>
        <v/>
      </c>
      <c r="C67" s="20">
        <f>IFERROR('Loan Tape (S&amp;P)'!C67/'Loan Tape (S&amp;P)'!E67,0)</f>
        <v/>
      </c>
      <c r="D67" s="20">
        <f>IFERROR(
        'Loan Tape (S&amp;P)'!B67/
        ('Loan Tape (S&amp;P)'!D67*
        (1-IF('Loan Tape (S&amp;P)'!AT67&lt;&gt;"Full",
            VLOOKUP('Control Panel'!$B$6,'Jurisdiction Parameters'!$A:$D,4,FALSE),
        0))),
    0)</f>
        <v/>
      </c>
      <c r="E67" s="20">
        <f>('Control Panel'!$B$12*C67)+('Control Panel'!$B$13*D67)</f>
        <v/>
      </c>
      <c r="F67" s="22">
        <f>IFERROR(
        LET(
            juris,'Control Panel'!$B$6,
            ltv_val,E67,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7" s="21">
        <f>'Control Panel'!$B$14</f>
        <v/>
      </c>
      <c r="H67" s="21">
        <f>LET(
    income_mult,'Loan Tape (S&amp;P)'!Z67,
    IF(income_mult=0,1.00,
        IFERROR(
            INDEX('FF Adj Parameters'!$A$167:$B$17,
                MATCH(income_mult,INDEX('FF Adj Parameters'!$A$167:$B$17,,1),1),2),
            1.670))
)</f>
        <v/>
      </c>
      <c r="I67" s="21">
        <f>IF('Loan Tape (S&amp;P)'!N67&lt;&gt;"Buy to Let",1.00,
    LET(
        dscr,'Loan Tape (S&amp;P)'!AA67,
        IF(dscr=0,INDEX('FF Adj Parameters'!$A$21:$B$267,1,2),
            IFERROR(
                INDEX('FF Adj Parameters'!$A$21:$B$267,
                    MATCH(dscr,INDEX('FF Adj Parameters'!$A$21:$B$267,,1),1),2),
                'FF Adj Parameters'!$B$21)))
)</f>
        <v/>
      </c>
      <c r="J67" s="21">
        <f>LET(
    lien,'Loan Tape (S&amp;P)'!Q67,
    IF(lien="First",1.00,
        IF(lien="Second",1.50,
            1.70)))</f>
        <v/>
      </c>
      <c r="K67" s="21">
        <f>LET(
    purpose,'Loan Tape (S&amp;P)'!R67,
    IF(purpose="Purchase",1.00,
        IF(purpose="Remortgage",1.00,
            1.20)))</f>
        <v/>
      </c>
      <c r="L67" s="21">
        <f>LET(
    arrears_months,'Loan Tape (S&amp;P)'!AN67,
    IF(arrears_months=0,1.00,
    IF(arrears_months=1,3.00,
    IF(arrears_months=2,5.00,
    IF(arrears_months=3,8.00,
    IF(arrears_months=4,10.00,
    IF(arrears_months=5,12.00,15.00)))))))</f>
        <v/>
      </c>
      <c r="M67" s="21">
        <f>LET(
    seasoning_years,DATEDIF('Loan Tape (S&amp;P)'!K67,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" s="21">
        <f>IF(AND('Loan Tape (S&amp;P)'!U67="Yes",
        'Loan Tape (S&amp;P)'!T67&lt;&gt;"Yes",
        DATEDIF('Loan Tape (S&amp;P)'!K67, TODAY(), "M")&lt;18),
    1.10,
    1.00)</f>
        <v/>
      </c>
      <c r="O67" s="21">
        <f>IF('Loan Tape (S&amp;P)'!T67="Yes",
    1.35,
    1.00)</f>
        <v/>
      </c>
      <c r="P67" s="21">
        <f>IF('Loan Tape (S&amp;P)'!S67="Yes",
    1.15,
    1.00)</f>
        <v/>
      </c>
      <c r="Q67" s="21">
        <f>IF('Loan Tape (S&amp;P)'!V67="Yes",
    1.20,
    1.00)</f>
        <v/>
      </c>
      <c r="R67" s="21">
        <f>IF('Loan Tape (S&amp;P)'!T67="Yes",
    'FF Adj Parameters'!$B$40,
    1.00)</f>
        <v/>
      </c>
      <c r="S67" s="21">
        <f>LET(
    is_htb,'Loan Tape (S&amp;P)'!Q67="Yes",
    rate_type,'Loan Tape (S&amp;P)'!AS67,
    months_to_mat,'Loan Tape (S&amp;P)'!AU67,
    threshold,'FF Adj Parameters'!$B$1267,
    has_shock,AND(rate_type="Fixed",months_to_mat&lt;=threshold),
    IF(is_htb,1.00,IF(has_shock,'FF Adj Parameters'!$B$41,1.00))
)</f>
        <v/>
      </c>
      <c r="T67" s="21">
        <f>LET(
    payment_method,'Loan Tape (S&amp;P)'!P67,
    occupancy,'Loan Tape (S&amp;P)'!N67,
    maturity_date,'Loan Tape (S&amp;P)'!L67,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67" s="21">
        <f>IF(AND('Loan Tape (S&amp;P)'!V67="Yes",'Loan Tape (S&amp;P)'!N67&lt;&gt;"Buy to Let"),
    'FF Adj Parameters'!$B$42,
    1.00)</f>
        <v/>
      </c>
      <c r="V67" s="21">
        <f>IF('Loan Tape (S&amp;P)'!AV67="Yes",
    'FF Adj Parameters'!$B$43,
    1.00)</f>
        <v/>
      </c>
      <c r="W67" s="23">
        <f>IF('Loan Tape (S&amp;P)'!AC67&gt;0,
    'FF Adj Parameters'!$B$44,
    1.00)</f>
        <v/>
      </c>
      <c r="X67" s="21">
        <f>LET(
    has_bankruptcy,'Loan Tape (S&amp;P)'!AE67="Yes",
    has_iva,'Loan Tape (S&amp;P)'!AF67="Yes",
    has_repo,'Loan Tape (S&amp;P)'!AI67="Yes",
    mult,IF(has_repo,'FF Adj Parameters'!$B$47,
            IF(has_bankruptcy,'FF Adj Parameters'!$B$467,
                IF(has_iva,'FF Adj Parameters'!$B$46,
                    1.00))),
    MAX(mult,0.670)
)</f>
        <v/>
      </c>
      <c r="Y67" s="21">
        <f>LET(
    has_perf_arr,'Loan Tape (S&amp;P)'!AP67="Yes",
    perf_arr_date,'Loan Tape (S&amp;P)'!AQ67,
    last_90_date,'Loan Tape (S&amp;P)'!AR67,
    threshold_years,VLOOKUP('Control Panel'!$B$6,'Jurisdiction Parameters'!$A:$Q,17,FALSE),
    relevant_date,MAX(perf_arr_date,last_90_date),
    years_since,('Control Panel'!$B$10-relevant_date)/3667.267,
    IF(NOT(has_perf_arr),1.00,
        IF(years_since&gt;threshold_years,1.00,
            IF(years_since&lt;=1,INDEX('FF Adj Parameters'!$C$47:$C$670,1),
                IF(years_since&lt;=2,INDEX('FF Adj Parameters'!$C$47:$C$670,2),
                    IF(years_since&lt;=3,INDEX('FF Adj Parameters'!$C$47:$C$670,3),
                        INDEX('FF Adj Parameters'!$C$47:$C$670,4))))))
)</f>
        <v/>
      </c>
      <c r="Z67" s="24">
        <f>IFERROR(
        IF(L67&gt;=100,1.00,
            'Control Panel'!$B$18*F67*G67*MAX(H67,R67)*I67*J67*K67*L67*M67*N67*O67*P67*Q67*S67*T67*U67*V67*W67*X67*Y67
        ),
    0)</f>
        <v/>
      </c>
    </row>
    <row r="68">
      <c r="A68" s="17">
        <f>'Loan Tape (S&amp;P)'!A68</f>
        <v/>
      </c>
      <c r="B68" s="18">
        <f>'Loan Tape (S&amp;P)'!B68</f>
        <v/>
      </c>
      <c r="C68" s="20">
        <f>IFERROR('Loan Tape (S&amp;P)'!C68/'Loan Tape (S&amp;P)'!E68,0)</f>
        <v/>
      </c>
      <c r="D68" s="20">
        <f>IFERROR(
        'Loan Tape (S&amp;P)'!B68/
        ('Loan Tape (S&amp;P)'!D68*
        (1-IF('Loan Tape (S&amp;P)'!AT68&lt;&gt;"Full",
            VLOOKUP('Control Panel'!$B$6,'Jurisdiction Parameters'!$A:$D,4,FALSE),
        0))),
    0)</f>
        <v/>
      </c>
      <c r="E68" s="20">
        <f>('Control Panel'!$B$12*C68)+('Control Panel'!$B$13*D68)</f>
        <v/>
      </c>
      <c r="F68" s="22">
        <f>IFERROR(
        LET(
            juris,'Control Panel'!$B$6,
            ltv_val,E68,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8" s="21">
        <f>'Control Panel'!$B$14</f>
        <v/>
      </c>
      <c r="H68" s="21">
        <f>LET(
    income_mult,'Loan Tape (S&amp;P)'!Z68,
    IF(income_mult=0,1.00,
        IFERROR(
            INDEX('FF Adj Parameters'!$A$168:$B$17,
                MATCH(income_mult,INDEX('FF Adj Parameters'!$A$168:$B$17,,1),1),2),
            1.680))
)</f>
        <v/>
      </c>
      <c r="I68" s="21">
        <f>IF('Loan Tape (S&amp;P)'!N68&lt;&gt;"Buy to Let",1.00,
    LET(
        dscr,'Loan Tape (S&amp;P)'!AA68,
        IF(dscr=0,INDEX('FF Adj Parameters'!$A$21:$B$268,1,2),
            IFERROR(
                INDEX('FF Adj Parameters'!$A$21:$B$268,
                    MATCH(dscr,INDEX('FF Adj Parameters'!$A$21:$B$268,,1),1),2),
                'FF Adj Parameters'!$B$21)))
)</f>
        <v/>
      </c>
      <c r="J68" s="21">
        <f>LET(
    lien,'Loan Tape (S&amp;P)'!Q68,
    IF(lien="First",1.00,
        IF(lien="Second",1.50,
            1.70)))</f>
        <v/>
      </c>
      <c r="K68" s="21">
        <f>LET(
    purpose,'Loan Tape (S&amp;P)'!R68,
    IF(purpose="Purchase",1.00,
        IF(purpose="Remortgage",1.00,
            1.20)))</f>
        <v/>
      </c>
      <c r="L68" s="21">
        <f>LET(
    arrears_months,'Loan Tape (S&amp;P)'!AN68,
    IF(arrears_months=0,1.00,
    IF(arrears_months=1,3.00,
    IF(arrears_months=2,5.00,
    IF(arrears_months=3,8.00,
    IF(arrears_months=4,10.00,
    IF(arrears_months=5,12.00,15.00)))))))</f>
        <v/>
      </c>
      <c r="M68" s="21">
        <f>LET(
    seasoning_years,DATEDIF('Loan Tape (S&amp;P)'!K68,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" s="21">
        <f>IF(AND('Loan Tape (S&amp;P)'!U68="Yes",
        'Loan Tape (S&amp;P)'!T68&lt;&gt;"Yes",
        DATEDIF('Loan Tape (S&amp;P)'!K68, TODAY(), "M")&lt;18),
    1.10,
    1.00)</f>
        <v/>
      </c>
      <c r="O68" s="21">
        <f>IF('Loan Tape (S&amp;P)'!T68="Yes",
    1.35,
    1.00)</f>
        <v/>
      </c>
      <c r="P68" s="21">
        <f>IF('Loan Tape (S&amp;P)'!S68="Yes",
    1.15,
    1.00)</f>
        <v/>
      </c>
      <c r="Q68" s="21">
        <f>IF('Loan Tape (S&amp;P)'!V68="Yes",
    1.20,
    1.00)</f>
        <v/>
      </c>
      <c r="R68" s="21">
        <f>IF('Loan Tape (S&amp;P)'!T68="Yes",
    'FF Adj Parameters'!$B$40,
    1.00)</f>
        <v/>
      </c>
      <c r="S68" s="21">
        <f>LET(
    is_htb,'Loan Tape (S&amp;P)'!Q68="Yes",
    rate_type,'Loan Tape (S&amp;P)'!AS68,
    months_to_mat,'Loan Tape (S&amp;P)'!AU68,
    threshold,'FF Adj Parameters'!$B$1268,
    has_shock,AND(rate_type="Fixed",months_to_mat&lt;=threshold),
    IF(is_htb,1.00,IF(has_shock,'FF Adj Parameters'!$B$41,1.00))
)</f>
        <v/>
      </c>
      <c r="T68" s="21">
        <f>LET(
    payment_method,'Loan Tape (S&amp;P)'!P68,
    occupancy,'Loan Tape (S&amp;P)'!N68,
    maturity_date,'Loan Tape (S&amp;P)'!L68,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68" s="21">
        <f>IF(AND('Loan Tape (S&amp;P)'!V68="Yes",'Loan Tape (S&amp;P)'!N68&lt;&gt;"Buy to Let"),
    'FF Adj Parameters'!$B$42,
    1.00)</f>
        <v/>
      </c>
      <c r="V68" s="21">
        <f>IF('Loan Tape (S&amp;P)'!AV68="Yes",
    'FF Adj Parameters'!$B$43,
    1.00)</f>
        <v/>
      </c>
      <c r="W68" s="23">
        <f>IF('Loan Tape (S&amp;P)'!AC68&gt;0,
    'FF Adj Parameters'!$B$44,
    1.00)</f>
        <v/>
      </c>
      <c r="X68" s="21">
        <f>LET(
    has_bankruptcy,'Loan Tape (S&amp;P)'!AE68="Yes",
    has_iva,'Loan Tape (S&amp;P)'!AF68="Yes",
    has_repo,'Loan Tape (S&amp;P)'!AI68="Yes",
    mult,IF(has_repo,'FF Adj Parameters'!$B$47,
            IF(has_bankruptcy,'FF Adj Parameters'!$B$468,
                IF(has_iva,'FF Adj Parameters'!$B$46,
                    1.00))),
    MAX(mult,0.680)
)</f>
        <v/>
      </c>
      <c r="Y68" s="21">
        <f>LET(
    has_perf_arr,'Loan Tape (S&amp;P)'!AP68="Yes",
    perf_arr_date,'Loan Tape (S&amp;P)'!AQ68,
    last_90_date,'Loan Tape (S&amp;P)'!AR68,
    threshold_years,VLOOKUP('Control Panel'!$B$6,'Jurisdiction Parameters'!$A:$Q,17,FALSE),
    relevant_date,MAX(perf_arr_date,last_90_date),
    years_since,('Control Panel'!$B$10-relevant_date)/3668.268,
    IF(NOT(has_perf_arr),1.00,
        IF(years_since&gt;threshold_years,1.00,
            IF(years_since&lt;=1,INDEX('FF Adj Parameters'!$C$47:$C$680,1),
                IF(years_since&lt;=2,INDEX('FF Adj Parameters'!$C$47:$C$680,2),
                    IF(years_since&lt;=3,INDEX('FF Adj Parameters'!$C$47:$C$680,3),
                        INDEX('FF Adj Parameters'!$C$47:$C$680,4))))))
)</f>
        <v/>
      </c>
      <c r="Z68" s="24">
        <f>IFERROR(
        IF(L68&gt;=100,1.00,
            'Control Panel'!$B$18*F68*G68*MAX(H68,R68)*I68*J68*K68*L68*M68*N68*O68*P68*Q68*S68*T68*U68*V68*W68*X68*Y68
        ),
    0)</f>
        <v/>
      </c>
    </row>
    <row r="69">
      <c r="A69" s="17">
        <f>'Loan Tape (S&amp;P)'!A69</f>
        <v/>
      </c>
      <c r="B69" s="18">
        <f>'Loan Tape (S&amp;P)'!B69</f>
        <v/>
      </c>
      <c r="C69" s="20">
        <f>IFERROR('Loan Tape (S&amp;P)'!C69/'Loan Tape (S&amp;P)'!E69,0)</f>
        <v/>
      </c>
      <c r="D69" s="20">
        <f>IFERROR(
        'Loan Tape (S&amp;P)'!B69/
        ('Loan Tape (S&amp;P)'!D69*
        (1-IF('Loan Tape (S&amp;P)'!AT69&lt;&gt;"Full",
            VLOOKUP('Control Panel'!$B$6,'Jurisdiction Parameters'!$A:$D,4,FALSE),
        0))),
    0)</f>
        <v/>
      </c>
      <c r="E69" s="20">
        <f>('Control Panel'!$B$12*C69)+('Control Panel'!$B$13*D69)</f>
        <v/>
      </c>
      <c r="F69" s="22">
        <f>IFERROR(
        LET(
            juris,'Control Panel'!$B$6,
            ltv_val,E69,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9" s="21">
        <f>'Control Panel'!$B$14</f>
        <v/>
      </c>
      <c r="H69" s="21">
        <f>LET(
    income_mult,'Loan Tape (S&amp;P)'!Z69,
    IF(income_mult=0,1.00,
        IFERROR(
            INDEX('FF Adj Parameters'!$A$169:$B$17,
                MATCH(income_mult,INDEX('FF Adj Parameters'!$A$169:$B$17,,1),1),2),
            1.690))
)</f>
        <v/>
      </c>
      <c r="I69" s="21">
        <f>IF('Loan Tape (S&amp;P)'!N69&lt;&gt;"Buy to Let",1.00,
    LET(
        dscr,'Loan Tape (S&amp;P)'!AA69,
        IF(dscr=0,INDEX('FF Adj Parameters'!$A$21:$B$269,1,2),
            IFERROR(
                INDEX('FF Adj Parameters'!$A$21:$B$269,
                    MATCH(dscr,INDEX('FF Adj Parameters'!$A$21:$B$269,,1),1),2),
                'FF Adj Parameters'!$B$21)))
)</f>
        <v/>
      </c>
      <c r="J69" s="21">
        <f>LET(
    lien,'Loan Tape (S&amp;P)'!Q69,
    IF(lien="First",1.00,
        IF(lien="Second",1.50,
            1.70)))</f>
        <v/>
      </c>
      <c r="K69" s="21">
        <f>LET(
    purpose,'Loan Tape (S&amp;P)'!R69,
    IF(purpose="Purchase",1.00,
        IF(purpose="Remortgage",1.00,
            1.20)))</f>
        <v/>
      </c>
      <c r="L69" s="21">
        <f>LET(
    arrears_months,'Loan Tape (S&amp;P)'!AN69,
    IF(arrears_months=0,1.00,
    IF(arrears_months=1,3.00,
    IF(arrears_months=2,5.00,
    IF(arrears_months=3,8.00,
    IF(arrears_months=4,10.00,
    IF(arrears_months=5,12.00,15.00)))))))</f>
        <v/>
      </c>
      <c r="M69" s="21">
        <f>LET(
    seasoning_years,DATEDIF('Loan Tape (S&amp;P)'!K69,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" s="21">
        <f>IF(AND('Loan Tape (S&amp;P)'!U69="Yes",
        'Loan Tape (S&amp;P)'!T69&lt;&gt;"Yes",
        DATEDIF('Loan Tape (S&amp;P)'!K69, TODAY(), "M")&lt;18),
    1.10,
    1.00)</f>
        <v/>
      </c>
      <c r="O69" s="21">
        <f>IF('Loan Tape (S&amp;P)'!T69="Yes",
    1.35,
    1.00)</f>
        <v/>
      </c>
      <c r="P69" s="21">
        <f>IF('Loan Tape (S&amp;P)'!S69="Yes",
    1.15,
    1.00)</f>
        <v/>
      </c>
      <c r="Q69" s="21">
        <f>IF('Loan Tape (S&amp;P)'!V69="Yes",
    1.20,
    1.00)</f>
        <v/>
      </c>
      <c r="R69" s="21">
        <f>IF('Loan Tape (S&amp;P)'!T69="Yes",
    'FF Adj Parameters'!$B$40,
    1.00)</f>
        <v/>
      </c>
      <c r="S69" s="21">
        <f>LET(
    is_htb,'Loan Tape (S&amp;P)'!Q69="Yes",
    rate_type,'Loan Tape (S&amp;P)'!AS69,
    months_to_mat,'Loan Tape (S&amp;P)'!AU69,
    threshold,'FF Adj Parameters'!$B$1269,
    has_shock,AND(rate_type="Fixed",months_to_mat&lt;=threshold),
    IF(is_htb,1.00,IF(has_shock,'FF Adj Parameters'!$B$41,1.00))
)</f>
        <v/>
      </c>
      <c r="T69" s="21">
        <f>LET(
    payment_method,'Loan Tape (S&amp;P)'!P69,
    occupancy,'Loan Tape (S&amp;P)'!N69,
    maturity_date,'Loan Tape (S&amp;P)'!L69,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69" s="21">
        <f>IF(AND('Loan Tape (S&amp;P)'!V69="Yes",'Loan Tape (S&amp;P)'!N69&lt;&gt;"Buy to Let"),
    'FF Adj Parameters'!$B$42,
    1.00)</f>
        <v/>
      </c>
      <c r="V69" s="21">
        <f>IF('Loan Tape (S&amp;P)'!AV69="Yes",
    'FF Adj Parameters'!$B$43,
    1.00)</f>
        <v/>
      </c>
      <c r="W69" s="23">
        <f>IF('Loan Tape (S&amp;P)'!AC69&gt;0,
    'FF Adj Parameters'!$B$44,
    1.00)</f>
        <v/>
      </c>
      <c r="X69" s="21">
        <f>LET(
    has_bankruptcy,'Loan Tape (S&amp;P)'!AE69="Yes",
    has_iva,'Loan Tape (S&amp;P)'!AF69="Yes",
    has_repo,'Loan Tape (S&amp;P)'!AI69="Yes",
    mult,IF(has_repo,'FF Adj Parameters'!$B$47,
            IF(has_bankruptcy,'FF Adj Parameters'!$B$469,
                IF(has_iva,'FF Adj Parameters'!$B$46,
                    1.00))),
    MAX(mult,0.690)
)</f>
        <v/>
      </c>
      <c r="Y69" s="21">
        <f>LET(
    has_perf_arr,'Loan Tape (S&amp;P)'!AP69="Yes",
    perf_arr_date,'Loan Tape (S&amp;P)'!AQ69,
    last_90_date,'Loan Tape (S&amp;P)'!AR69,
    threshold_years,VLOOKUP('Control Panel'!$B$6,'Jurisdiction Parameters'!$A:$Q,17,FALSE),
    relevant_date,MAX(perf_arr_date,last_90_date),
    years_since,('Control Panel'!$B$10-relevant_date)/3669.269,
    IF(NOT(has_perf_arr),1.00,
        IF(years_since&gt;threshold_years,1.00,
            IF(years_since&lt;=1,INDEX('FF Adj Parameters'!$C$47:$C$690,1),
                IF(years_since&lt;=2,INDEX('FF Adj Parameters'!$C$47:$C$690,2),
                    IF(years_since&lt;=3,INDEX('FF Adj Parameters'!$C$47:$C$690,3),
                        INDEX('FF Adj Parameters'!$C$47:$C$690,4))))))
)</f>
        <v/>
      </c>
      <c r="Z69" s="24">
        <f>IFERROR(
        IF(L69&gt;=100,1.00,
            'Control Panel'!$B$18*F69*G69*MAX(H69,R69)*I69*J69*K69*L69*M69*N69*O69*P69*Q69*S69*T69*U69*V69*W69*X69*Y69
        ),
    0)</f>
        <v/>
      </c>
    </row>
    <row r="70">
      <c r="A70" s="17">
        <f>'Loan Tape (S&amp;P)'!A70</f>
        <v/>
      </c>
      <c r="B70" s="18">
        <f>'Loan Tape (S&amp;P)'!B70</f>
        <v/>
      </c>
      <c r="C70" s="20">
        <f>IFERROR('Loan Tape (S&amp;P)'!C70/'Loan Tape (S&amp;P)'!E70,0)</f>
        <v/>
      </c>
      <c r="D70" s="20">
        <f>IFERROR(
        'Loan Tape (S&amp;P)'!B70/
        ('Loan Tape (S&amp;P)'!D70*
        (1-IF('Loan Tape (S&amp;P)'!AT70&lt;&gt;"Full",
            VLOOKUP('Control Panel'!$B$6,'Jurisdiction Parameters'!$A:$D,4,FALSE),
        0))),
    0)</f>
        <v/>
      </c>
      <c r="E70" s="20">
        <f>('Control Panel'!$B$12*C70)+('Control Panel'!$B$13*D70)</f>
        <v/>
      </c>
      <c r="F70" s="22">
        <f>IFERROR(
        LET(
            juris,'Control Panel'!$B$6,
            ltv_val,E70,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0" s="21">
        <f>'Control Panel'!$B$14</f>
        <v/>
      </c>
      <c r="H70" s="21">
        <f>LET(
    income_mult,'Loan Tape (S&amp;P)'!Z70,
    IF(income_mult=0,1.00,
        IFERROR(
            INDEX('FF Adj Parameters'!$A$170:$B$17,
                MATCH(income_mult,INDEX('FF Adj Parameters'!$A$170:$B$17,,1),1),2),
            1.700))
)</f>
        <v/>
      </c>
      <c r="I70" s="21">
        <f>IF('Loan Tape (S&amp;P)'!N70&lt;&gt;"Buy to Let",1.00,
    LET(
        dscr,'Loan Tape (S&amp;P)'!AA70,
        IF(dscr=0,INDEX('FF Adj Parameters'!$A$21:$B$270,1,2),
            IFERROR(
                INDEX('FF Adj Parameters'!$A$21:$B$270,
                    MATCH(dscr,INDEX('FF Adj Parameters'!$A$21:$B$270,,1),1),2),
                'FF Adj Parameters'!$B$21)))
)</f>
        <v/>
      </c>
      <c r="J70" s="21">
        <f>LET(
    lien,'Loan Tape (S&amp;P)'!Q70,
    IF(lien="First",1.00,
        IF(lien="Second",1.50,
            1.70)))</f>
        <v/>
      </c>
      <c r="K70" s="21">
        <f>LET(
    purpose,'Loan Tape (S&amp;P)'!R70,
    IF(purpose="Purchase",1.00,
        IF(purpose="Remortgage",1.00,
            1.20)))</f>
        <v/>
      </c>
      <c r="L70" s="21">
        <f>LET(
    arrears_months,'Loan Tape (S&amp;P)'!AN70,
    IF(arrears_months=0,1.00,
    IF(arrears_months=1,3.00,
    IF(arrears_months=2,5.00,
    IF(arrears_months=3,8.00,
    IF(arrears_months=4,10.00,
    IF(arrears_months=5,12.00,15.00)))))))</f>
        <v/>
      </c>
      <c r="M70" s="21">
        <f>LET(
    seasoning_years,DATEDIF('Loan Tape (S&amp;P)'!K70,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" s="21">
        <f>IF(AND('Loan Tape (S&amp;P)'!U70="Yes",
        'Loan Tape (S&amp;P)'!T70&lt;&gt;"Yes",
        DATEDIF('Loan Tape (S&amp;P)'!K70, TODAY(), "M")&lt;18),
    1.10,
    1.00)</f>
        <v/>
      </c>
      <c r="O70" s="21">
        <f>IF('Loan Tape (S&amp;P)'!T70="Yes",
    1.35,
    1.00)</f>
        <v/>
      </c>
      <c r="P70" s="21">
        <f>IF('Loan Tape (S&amp;P)'!S70="Yes",
    1.15,
    1.00)</f>
        <v/>
      </c>
      <c r="Q70" s="21">
        <f>IF('Loan Tape (S&amp;P)'!V70="Yes",
    1.20,
    1.00)</f>
        <v/>
      </c>
      <c r="R70" s="21">
        <f>IF('Loan Tape (S&amp;P)'!T70="Yes",
    'FF Adj Parameters'!$B$40,
    1.00)</f>
        <v/>
      </c>
      <c r="S70" s="21">
        <f>LET(
    is_htb,'Loan Tape (S&amp;P)'!Q70="Yes",
    rate_type,'Loan Tape (S&amp;P)'!AS70,
    months_to_mat,'Loan Tape (S&amp;P)'!AU70,
    threshold,'FF Adj Parameters'!$B$1270,
    has_shock,AND(rate_type="Fixed",months_to_mat&lt;=threshold),
    IF(is_htb,1.00,IF(has_shock,'FF Adj Parameters'!$B$41,1.00))
)</f>
        <v/>
      </c>
      <c r="T70" s="21">
        <f>LET(
    payment_method,'Loan Tape (S&amp;P)'!P70,
    occupancy,'Loan Tape (S&amp;P)'!N70,
    maturity_date,'Loan Tape (S&amp;P)'!L70,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70" s="21">
        <f>IF(AND('Loan Tape (S&amp;P)'!V70="Yes",'Loan Tape (S&amp;P)'!N70&lt;&gt;"Buy to Let"),
    'FF Adj Parameters'!$B$42,
    1.00)</f>
        <v/>
      </c>
      <c r="V70" s="21">
        <f>IF('Loan Tape (S&amp;P)'!AV70="Yes",
    'FF Adj Parameters'!$B$43,
    1.00)</f>
        <v/>
      </c>
      <c r="W70" s="23">
        <f>IF('Loan Tape (S&amp;P)'!AC70&gt;0,
    'FF Adj Parameters'!$B$44,
    1.00)</f>
        <v/>
      </c>
      <c r="X70" s="21">
        <f>LET(
    has_bankruptcy,'Loan Tape (S&amp;P)'!AE70="Yes",
    has_iva,'Loan Tape (S&amp;P)'!AF70="Yes",
    has_repo,'Loan Tape (S&amp;P)'!AI70="Yes",
    mult,IF(has_repo,'FF Adj Parameters'!$B$47,
            IF(has_bankruptcy,'FF Adj Parameters'!$B$470,
                IF(has_iva,'FF Adj Parameters'!$B$46,
                    1.00))),
    MAX(mult,0.700)
)</f>
        <v/>
      </c>
      <c r="Y70" s="21">
        <f>LET(
    has_perf_arr,'Loan Tape (S&amp;P)'!AP70="Yes",
    perf_arr_date,'Loan Tape (S&amp;P)'!AQ70,
    last_90_date,'Loan Tape (S&amp;P)'!AR70,
    threshold_years,VLOOKUP('Control Panel'!$B$6,'Jurisdiction Parameters'!$A:$Q,17,FALSE),
    relevant_date,MAX(perf_arr_date,last_90_date),
    years_since,('Control Panel'!$B$10-relevant_date)/3670.270,
    IF(NOT(has_perf_arr),1.00,
        IF(years_since&gt;threshold_years,1.00,
            IF(years_since&lt;=1,INDEX('FF Adj Parameters'!$C$47:$C$700,1),
                IF(years_since&lt;=2,INDEX('FF Adj Parameters'!$C$47:$C$700,2),
                    IF(years_since&lt;=3,INDEX('FF Adj Parameters'!$C$47:$C$700,3),
                        INDEX('FF Adj Parameters'!$C$47:$C$700,4))))))
)</f>
        <v/>
      </c>
      <c r="Z70" s="24">
        <f>IFERROR(
        IF(L70&gt;=100,1.00,
            'Control Panel'!$B$18*F70*G70*MAX(H70,R70)*I70*J70*K70*L70*M70*N70*O70*P70*Q70*S70*T70*U70*V70*W70*X70*Y70
        ),
    0)</f>
        <v/>
      </c>
    </row>
    <row r="71">
      <c r="A71" s="17">
        <f>'Loan Tape (S&amp;P)'!A71</f>
        <v/>
      </c>
      <c r="B71" s="18">
        <f>'Loan Tape (S&amp;P)'!B71</f>
        <v/>
      </c>
      <c r="C71" s="20">
        <f>IFERROR('Loan Tape (S&amp;P)'!C71/'Loan Tape (S&amp;P)'!E71,0)</f>
        <v/>
      </c>
      <c r="D71" s="20">
        <f>IFERROR(
        'Loan Tape (S&amp;P)'!B71/
        ('Loan Tape (S&amp;P)'!D71*
        (1-IF('Loan Tape (S&amp;P)'!AT71&lt;&gt;"Full",
            VLOOKUP('Control Panel'!$B$6,'Jurisdiction Parameters'!$A:$D,4,FALSE),
        0))),
    0)</f>
        <v/>
      </c>
      <c r="E71" s="20">
        <f>('Control Panel'!$B$12*C71)+('Control Panel'!$B$13*D71)</f>
        <v/>
      </c>
      <c r="F71" s="22">
        <f>IFERROR(
        LET(
            juris,'Control Panel'!$B$6,
            ltv_val,E71,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1" s="21">
        <f>'Control Panel'!$B$14</f>
        <v/>
      </c>
      <c r="H71" s="21">
        <f>LET(
    income_mult,'Loan Tape (S&amp;P)'!Z71,
    IF(income_mult=0,1.00,
        IFERROR(
            INDEX('FF Adj Parameters'!$A$171:$B$17,
                MATCH(income_mult,INDEX('FF Adj Parameters'!$A$171:$B$17,,1),1),2),
            1.710))
)</f>
        <v/>
      </c>
      <c r="I71" s="21">
        <f>IF('Loan Tape (S&amp;P)'!N71&lt;&gt;"Buy to Let",1.00,
    LET(
        dscr,'Loan Tape (S&amp;P)'!AA71,
        IF(dscr=0,INDEX('FF Adj Parameters'!$A$21:$B$271,1,2),
            IFERROR(
                INDEX('FF Adj Parameters'!$A$21:$B$271,
                    MATCH(dscr,INDEX('FF Adj Parameters'!$A$21:$B$271,,1),1),2),
                'FF Adj Parameters'!$B$21)))
)</f>
        <v/>
      </c>
      <c r="J71" s="21">
        <f>LET(
    lien,'Loan Tape (S&amp;P)'!Q71,
    IF(lien="First",1.00,
        IF(lien="Second",1.50,
            1.70)))</f>
        <v/>
      </c>
      <c r="K71" s="21">
        <f>LET(
    purpose,'Loan Tape (S&amp;P)'!R71,
    IF(purpose="Purchase",1.00,
        IF(purpose="Remortgage",1.00,
            1.20)))</f>
        <v/>
      </c>
      <c r="L71" s="21">
        <f>LET(
    arrears_months,'Loan Tape (S&amp;P)'!AN71,
    IF(arrears_months=0,1.00,
    IF(arrears_months=1,3.00,
    IF(arrears_months=2,5.00,
    IF(arrears_months=3,8.00,
    IF(arrears_months=4,10.00,
    IF(arrears_months=5,12.00,15.00)))))))</f>
        <v/>
      </c>
      <c r="M71" s="21">
        <f>LET(
    seasoning_years,DATEDIF('Loan Tape (S&amp;P)'!K71,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" s="21">
        <f>IF(AND('Loan Tape (S&amp;P)'!U71="Yes",
        'Loan Tape (S&amp;P)'!T71&lt;&gt;"Yes",
        DATEDIF('Loan Tape (S&amp;P)'!K71, TODAY(), "M")&lt;18),
    1.10,
    1.00)</f>
        <v/>
      </c>
      <c r="O71" s="21">
        <f>IF('Loan Tape (S&amp;P)'!T71="Yes",
    1.35,
    1.00)</f>
        <v/>
      </c>
      <c r="P71" s="21">
        <f>IF('Loan Tape (S&amp;P)'!S71="Yes",
    1.15,
    1.00)</f>
        <v/>
      </c>
      <c r="Q71" s="21">
        <f>IF('Loan Tape (S&amp;P)'!V71="Yes",
    1.20,
    1.00)</f>
        <v/>
      </c>
      <c r="R71" s="21">
        <f>IF('Loan Tape (S&amp;P)'!T71="Yes",
    'FF Adj Parameters'!$B$40,
    1.00)</f>
        <v/>
      </c>
      <c r="S71" s="21">
        <f>LET(
    is_htb,'Loan Tape (S&amp;P)'!Q71="Yes",
    rate_type,'Loan Tape (S&amp;P)'!AS71,
    months_to_mat,'Loan Tape (S&amp;P)'!AU71,
    threshold,'FF Adj Parameters'!$B$1271,
    has_shock,AND(rate_type="Fixed",months_to_mat&lt;=threshold),
    IF(is_htb,1.00,IF(has_shock,'FF Adj Parameters'!$B$41,1.00))
)</f>
        <v/>
      </c>
      <c r="T71" s="21">
        <f>LET(
    payment_method,'Loan Tape (S&amp;P)'!P71,
    occupancy,'Loan Tape (S&amp;P)'!N71,
    maturity_date,'Loan Tape (S&amp;P)'!L71,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71" s="21">
        <f>IF(AND('Loan Tape (S&amp;P)'!V71="Yes",'Loan Tape (S&amp;P)'!N71&lt;&gt;"Buy to Let"),
    'FF Adj Parameters'!$B$42,
    1.00)</f>
        <v/>
      </c>
      <c r="V71" s="21">
        <f>IF('Loan Tape (S&amp;P)'!AV71="Yes",
    'FF Adj Parameters'!$B$43,
    1.00)</f>
        <v/>
      </c>
      <c r="W71" s="23">
        <f>IF('Loan Tape (S&amp;P)'!AC71&gt;0,
    'FF Adj Parameters'!$B$44,
    1.00)</f>
        <v/>
      </c>
      <c r="X71" s="21">
        <f>LET(
    has_bankruptcy,'Loan Tape (S&amp;P)'!AE71="Yes",
    has_iva,'Loan Tape (S&amp;P)'!AF71="Yes",
    has_repo,'Loan Tape (S&amp;P)'!AI71="Yes",
    mult,IF(has_repo,'FF Adj Parameters'!$B$47,
            IF(has_bankruptcy,'FF Adj Parameters'!$B$471,
                IF(has_iva,'FF Adj Parameters'!$B$46,
                    1.00))),
    MAX(mult,0.710)
)</f>
        <v/>
      </c>
      <c r="Y71" s="21">
        <f>LET(
    has_perf_arr,'Loan Tape (S&amp;P)'!AP71="Yes",
    perf_arr_date,'Loan Tape (S&amp;P)'!AQ71,
    last_90_date,'Loan Tape (S&amp;P)'!AR71,
    threshold_years,VLOOKUP('Control Panel'!$B$6,'Jurisdiction Parameters'!$A:$Q,17,FALSE),
    relevant_date,MAX(perf_arr_date,last_90_date),
    years_since,('Control Panel'!$B$10-relevant_date)/3671.271,
    IF(NOT(has_perf_arr),1.00,
        IF(years_since&gt;threshold_years,1.00,
            IF(years_since&lt;=1,INDEX('FF Adj Parameters'!$C$47:$C$710,1),
                IF(years_since&lt;=2,INDEX('FF Adj Parameters'!$C$47:$C$710,2),
                    IF(years_since&lt;=3,INDEX('FF Adj Parameters'!$C$47:$C$710,3),
                        INDEX('FF Adj Parameters'!$C$47:$C$710,4))))))
)</f>
        <v/>
      </c>
      <c r="Z71" s="24">
        <f>IFERROR(
        IF(L71&gt;=100,1.00,
            'Control Panel'!$B$18*F71*G71*MAX(H71,R71)*I71*J71*K71*L71*M71*N71*O71*P71*Q71*S71*T71*U71*V71*W71*X71*Y71
        ),
    0)</f>
        <v/>
      </c>
    </row>
    <row r="72">
      <c r="A72" s="17">
        <f>'Loan Tape (S&amp;P)'!A72</f>
        <v/>
      </c>
      <c r="B72" s="18">
        <f>'Loan Tape (S&amp;P)'!B72</f>
        <v/>
      </c>
      <c r="C72" s="20">
        <f>IFERROR('Loan Tape (S&amp;P)'!C72/'Loan Tape (S&amp;P)'!E72,0)</f>
        <v/>
      </c>
      <c r="D72" s="20">
        <f>IFERROR(
        'Loan Tape (S&amp;P)'!B72/
        ('Loan Tape (S&amp;P)'!D72*
        (1-IF('Loan Tape (S&amp;P)'!AT72&lt;&gt;"Full",
            VLOOKUP('Control Panel'!$B$6,'Jurisdiction Parameters'!$A:$D,4,FALSE),
        0))),
    0)</f>
        <v/>
      </c>
      <c r="E72" s="20">
        <f>('Control Panel'!$B$12*C72)+('Control Panel'!$B$13*D72)</f>
        <v/>
      </c>
      <c r="F72" s="22">
        <f>IFERROR(
        LET(
            juris,'Control Panel'!$B$6,
            ltv_val,E72,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2" s="21">
        <f>'Control Panel'!$B$14</f>
        <v/>
      </c>
      <c r="H72" s="21">
        <f>LET(
    income_mult,'Loan Tape (S&amp;P)'!Z72,
    IF(income_mult=0,1.00,
        IFERROR(
            INDEX('FF Adj Parameters'!$A$172:$B$17,
                MATCH(income_mult,INDEX('FF Adj Parameters'!$A$172:$B$17,,1),1),2),
            1.720))
)</f>
        <v/>
      </c>
      <c r="I72" s="21">
        <f>IF('Loan Tape (S&amp;P)'!N72&lt;&gt;"Buy to Let",1.00,
    LET(
        dscr,'Loan Tape (S&amp;P)'!AA72,
        IF(dscr=0,INDEX('FF Adj Parameters'!$A$21:$B$272,1,2),
            IFERROR(
                INDEX('FF Adj Parameters'!$A$21:$B$272,
                    MATCH(dscr,INDEX('FF Adj Parameters'!$A$21:$B$272,,1),1),2),
                'FF Adj Parameters'!$B$21)))
)</f>
        <v/>
      </c>
      <c r="J72" s="21">
        <f>LET(
    lien,'Loan Tape (S&amp;P)'!Q72,
    IF(lien="First",1.00,
        IF(lien="Second",1.50,
            1.70)))</f>
        <v/>
      </c>
      <c r="K72" s="21">
        <f>LET(
    purpose,'Loan Tape (S&amp;P)'!R72,
    IF(purpose="Purchase",1.00,
        IF(purpose="Remortgage",1.00,
            1.20)))</f>
        <v/>
      </c>
      <c r="L72" s="21">
        <f>LET(
    arrears_months,'Loan Tape (S&amp;P)'!AN72,
    IF(arrears_months=0,1.00,
    IF(arrears_months=1,3.00,
    IF(arrears_months=2,5.00,
    IF(arrears_months=3,8.00,
    IF(arrears_months=4,10.00,
    IF(arrears_months=5,12.00,15.00)))))))</f>
        <v/>
      </c>
      <c r="M72" s="21">
        <f>LET(
    seasoning_years,DATEDIF('Loan Tape (S&amp;P)'!K72,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" s="21">
        <f>IF(AND('Loan Tape (S&amp;P)'!U72="Yes",
        'Loan Tape (S&amp;P)'!T72&lt;&gt;"Yes",
        DATEDIF('Loan Tape (S&amp;P)'!K72, TODAY(), "M")&lt;18),
    1.10,
    1.00)</f>
        <v/>
      </c>
      <c r="O72" s="21">
        <f>IF('Loan Tape (S&amp;P)'!T72="Yes",
    1.35,
    1.00)</f>
        <v/>
      </c>
      <c r="P72" s="21">
        <f>IF('Loan Tape (S&amp;P)'!S72="Yes",
    1.15,
    1.00)</f>
        <v/>
      </c>
      <c r="Q72" s="21">
        <f>IF('Loan Tape (S&amp;P)'!V72="Yes",
    1.20,
    1.00)</f>
        <v/>
      </c>
      <c r="R72" s="21">
        <f>IF('Loan Tape (S&amp;P)'!T72="Yes",
    'FF Adj Parameters'!$B$40,
    1.00)</f>
        <v/>
      </c>
      <c r="S72" s="21">
        <f>LET(
    is_htb,'Loan Tape (S&amp;P)'!Q72="Yes",
    rate_type,'Loan Tape (S&amp;P)'!AS72,
    months_to_mat,'Loan Tape (S&amp;P)'!AU72,
    threshold,'FF Adj Parameters'!$B$1272,
    has_shock,AND(rate_type="Fixed",months_to_mat&lt;=threshold),
    IF(is_htb,1.00,IF(has_shock,'FF Adj Parameters'!$B$41,1.00))
)</f>
        <v/>
      </c>
      <c r="T72" s="21">
        <f>LET(
    payment_method,'Loan Tape (S&amp;P)'!P72,
    occupancy,'Loan Tape (S&amp;P)'!N72,
    maturity_date,'Loan Tape (S&amp;P)'!L72,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72" s="21">
        <f>IF(AND('Loan Tape (S&amp;P)'!V72="Yes",'Loan Tape (S&amp;P)'!N72&lt;&gt;"Buy to Let"),
    'FF Adj Parameters'!$B$42,
    1.00)</f>
        <v/>
      </c>
      <c r="V72" s="21">
        <f>IF('Loan Tape (S&amp;P)'!AV72="Yes",
    'FF Adj Parameters'!$B$43,
    1.00)</f>
        <v/>
      </c>
      <c r="W72" s="23">
        <f>IF('Loan Tape (S&amp;P)'!AC72&gt;0,
    'FF Adj Parameters'!$B$44,
    1.00)</f>
        <v/>
      </c>
      <c r="X72" s="21">
        <f>LET(
    has_bankruptcy,'Loan Tape (S&amp;P)'!AE72="Yes",
    has_iva,'Loan Tape (S&amp;P)'!AF72="Yes",
    has_repo,'Loan Tape (S&amp;P)'!AI72="Yes",
    mult,IF(has_repo,'FF Adj Parameters'!$B$47,
            IF(has_bankruptcy,'FF Adj Parameters'!$B$472,
                IF(has_iva,'FF Adj Parameters'!$B$46,
                    1.00))),
    MAX(mult,0.720)
)</f>
        <v/>
      </c>
      <c r="Y72" s="21">
        <f>LET(
    has_perf_arr,'Loan Tape (S&amp;P)'!AP72="Yes",
    perf_arr_date,'Loan Tape (S&amp;P)'!AQ72,
    last_90_date,'Loan Tape (S&amp;P)'!AR72,
    threshold_years,VLOOKUP('Control Panel'!$B$6,'Jurisdiction Parameters'!$A:$Q,17,FALSE),
    relevant_date,MAX(perf_arr_date,last_90_date),
    years_since,('Control Panel'!$B$10-relevant_date)/3672.272,
    IF(NOT(has_perf_arr),1.00,
        IF(years_since&gt;threshold_years,1.00,
            IF(years_since&lt;=1,INDEX('FF Adj Parameters'!$C$47:$C$720,1),
                IF(years_since&lt;=2,INDEX('FF Adj Parameters'!$C$47:$C$720,2),
                    IF(years_since&lt;=3,INDEX('FF Adj Parameters'!$C$47:$C$720,3),
                        INDEX('FF Adj Parameters'!$C$47:$C$720,4))))))
)</f>
        <v/>
      </c>
      <c r="Z72" s="24">
        <f>IFERROR(
        IF(L72&gt;=100,1.00,
            'Control Panel'!$B$18*F72*G72*MAX(H72,R72)*I72*J72*K72*L72*M72*N72*O72*P72*Q72*S72*T72*U72*V72*W72*X72*Y72
        ),
    0)</f>
        <v/>
      </c>
    </row>
    <row r="73">
      <c r="A73" s="17">
        <f>'Loan Tape (S&amp;P)'!A73</f>
        <v/>
      </c>
      <c r="B73" s="18">
        <f>'Loan Tape (S&amp;P)'!B73</f>
        <v/>
      </c>
      <c r="C73" s="20">
        <f>IFERROR('Loan Tape (S&amp;P)'!C73/'Loan Tape (S&amp;P)'!E73,0)</f>
        <v/>
      </c>
      <c r="D73" s="20">
        <f>IFERROR(
        'Loan Tape (S&amp;P)'!B73/
        ('Loan Tape (S&amp;P)'!D73*
        (1-IF('Loan Tape (S&amp;P)'!AT73&lt;&gt;"Full",
            VLOOKUP('Control Panel'!$B$6,'Jurisdiction Parameters'!$A:$D,4,FALSE),
        0))),
    0)</f>
        <v/>
      </c>
      <c r="E73" s="20">
        <f>('Control Panel'!$B$12*C73)+('Control Panel'!$B$13*D73)</f>
        <v/>
      </c>
      <c r="F73" s="22">
        <f>IFERROR(
        LET(
            juris,'Control Panel'!$B$6,
            ltv_val,E73,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3" s="21">
        <f>'Control Panel'!$B$14</f>
        <v/>
      </c>
      <c r="H73" s="21">
        <f>LET(
    income_mult,'Loan Tape (S&amp;P)'!Z73,
    IF(income_mult=0,1.00,
        IFERROR(
            INDEX('FF Adj Parameters'!$A$173:$B$17,
                MATCH(income_mult,INDEX('FF Adj Parameters'!$A$173:$B$17,,1),1),2),
            1.730))
)</f>
        <v/>
      </c>
      <c r="I73" s="21">
        <f>IF('Loan Tape (S&amp;P)'!N73&lt;&gt;"Buy to Let",1.00,
    LET(
        dscr,'Loan Tape (S&amp;P)'!AA73,
        IF(dscr=0,INDEX('FF Adj Parameters'!$A$21:$B$273,1,2),
            IFERROR(
                INDEX('FF Adj Parameters'!$A$21:$B$273,
                    MATCH(dscr,INDEX('FF Adj Parameters'!$A$21:$B$273,,1),1),2),
                'FF Adj Parameters'!$B$21)))
)</f>
        <v/>
      </c>
      <c r="J73" s="21">
        <f>LET(
    lien,'Loan Tape (S&amp;P)'!Q73,
    IF(lien="First",1.00,
        IF(lien="Second",1.50,
            1.70)))</f>
        <v/>
      </c>
      <c r="K73" s="21">
        <f>LET(
    purpose,'Loan Tape (S&amp;P)'!R73,
    IF(purpose="Purchase",1.00,
        IF(purpose="Remortgage",1.00,
            1.20)))</f>
        <v/>
      </c>
      <c r="L73" s="21">
        <f>LET(
    arrears_months,'Loan Tape (S&amp;P)'!AN73,
    IF(arrears_months=0,1.00,
    IF(arrears_months=1,3.00,
    IF(arrears_months=2,5.00,
    IF(arrears_months=3,8.00,
    IF(arrears_months=4,10.00,
    IF(arrears_months=5,12.00,15.00)))))))</f>
        <v/>
      </c>
      <c r="M73" s="21">
        <f>LET(
    seasoning_years,DATEDIF('Loan Tape (S&amp;P)'!K73,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" s="21">
        <f>IF(AND('Loan Tape (S&amp;P)'!U73="Yes",
        'Loan Tape (S&amp;P)'!T73&lt;&gt;"Yes",
        DATEDIF('Loan Tape (S&amp;P)'!K73, TODAY(), "M")&lt;18),
    1.10,
    1.00)</f>
        <v/>
      </c>
      <c r="O73" s="21">
        <f>IF('Loan Tape (S&amp;P)'!T73="Yes",
    1.35,
    1.00)</f>
        <v/>
      </c>
      <c r="P73" s="21">
        <f>IF('Loan Tape (S&amp;P)'!S73="Yes",
    1.15,
    1.00)</f>
        <v/>
      </c>
      <c r="Q73" s="21">
        <f>IF('Loan Tape (S&amp;P)'!V73="Yes",
    1.20,
    1.00)</f>
        <v/>
      </c>
      <c r="R73" s="21">
        <f>IF('Loan Tape (S&amp;P)'!T73="Yes",
    'FF Adj Parameters'!$B$40,
    1.00)</f>
        <v/>
      </c>
      <c r="S73" s="21">
        <f>LET(
    is_htb,'Loan Tape (S&amp;P)'!Q73="Yes",
    rate_type,'Loan Tape (S&amp;P)'!AS73,
    months_to_mat,'Loan Tape (S&amp;P)'!AU73,
    threshold,'FF Adj Parameters'!$B$1273,
    has_shock,AND(rate_type="Fixed",months_to_mat&lt;=threshold),
    IF(is_htb,1.00,IF(has_shock,'FF Adj Parameters'!$B$41,1.00))
)</f>
        <v/>
      </c>
      <c r="T73" s="21">
        <f>LET(
    payment_method,'Loan Tape (S&amp;P)'!P73,
    occupancy,'Loan Tape (S&amp;P)'!N73,
    maturity_date,'Loan Tape (S&amp;P)'!L73,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73" s="21">
        <f>IF(AND('Loan Tape (S&amp;P)'!V73="Yes",'Loan Tape (S&amp;P)'!N73&lt;&gt;"Buy to Let"),
    'FF Adj Parameters'!$B$42,
    1.00)</f>
        <v/>
      </c>
      <c r="V73" s="21">
        <f>IF('Loan Tape (S&amp;P)'!AV73="Yes",
    'FF Adj Parameters'!$B$43,
    1.00)</f>
        <v/>
      </c>
      <c r="W73" s="23">
        <f>IF('Loan Tape (S&amp;P)'!AC73&gt;0,
    'FF Adj Parameters'!$B$44,
    1.00)</f>
        <v/>
      </c>
      <c r="X73" s="21">
        <f>LET(
    has_bankruptcy,'Loan Tape (S&amp;P)'!AE73="Yes",
    has_iva,'Loan Tape (S&amp;P)'!AF73="Yes",
    has_repo,'Loan Tape (S&amp;P)'!AI73="Yes",
    mult,IF(has_repo,'FF Adj Parameters'!$B$47,
            IF(has_bankruptcy,'FF Adj Parameters'!$B$473,
                IF(has_iva,'FF Adj Parameters'!$B$46,
                    1.00))),
    MAX(mult,0.730)
)</f>
        <v/>
      </c>
      <c r="Y73" s="21">
        <f>LET(
    has_perf_arr,'Loan Tape (S&amp;P)'!AP73="Yes",
    perf_arr_date,'Loan Tape (S&amp;P)'!AQ73,
    last_90_date,'Loan Tape (S&amp;P)'!AR73,
    threshold_years,VLOOKUP('Control Panel'!$B$6,'Jurisdiction Parameters'!$A:$Q,17,FALSE),
    relevant_date,MAX(perf_arr_date,last_90_date),
    years_since,('Control Panel'!$B$10-relevant_date)/3673.273,
    IF(NOT(has_perf_arr),1.00,
        IF(years_since&gt;threshold_years,1.00,
            IF(years_since&lt;=1,INDEX('FF Adj Parameters'!$C$47:$C$730,1),
                IF(years_since&lt;=2,INDEX('FF Adj Parameters'!$C$47:$C$730,2),
                    IF(years_since&lt;=3,INDEX('FF Adj Parameters'!$C$47:$C$730,3),
                        INDEX('FF Adj Parameters'!$C$47:$C$730,4))))))
)</f>
        <v/>
      </c>
      <c r="Z73" s="24">
        <f>IFERROR(
        IF(L73&gt;=100,1.00,
            'Control Panel'!$B$18*F73*G73*MAX(H73,R73)*I73*J73*K73*L73*M73*N73*O73*P73*Q73*S73*T73*U73*V73*W73*X73*Y73
        ),
    0)</f>
        <v/>
      </c>
    </row>
    <row r="74">
      <c r="A74" s="17">
        <f>'Loan Tape (S&amp;P)'!A74</f>
        <v/>
      </c>
      <c r="B74" s="18">
        <f>'Loan Tape (S&amp;P)'!B74</f>
        <v/>
      </c>
      <c r="C74" s="20">
        <f>IFERROR('Loan Tape (S&amp;P)'!C74/'Loan Tape (S&amp;P)'!E74,0)</f>
        <v/>
      </c>
      <c r="D74" s="20">
        <f>IFERROR(
        'Loan Tape (S&amp;P)'!B74/
        ('Loan Tape (S&amp;P)'!D74*
        (1-IF('Loan Tape (S&amp;P)'!AT74&lt;&gt;"Full",
            VLOOKUP('Control Panel'!$B$6,'Jurisdiction Parameters'!$A:$D,4,FALSE),
        0))),
    0)</f>
        <v/>
      </c>
      <c r="E74" s="20">
        <f>('Control Panel'!$B$12*C74)+('Control Panel'!$B$13*D74)</f>
        <v/>
      </c>
      <c r="F74" s="22">
        <f>IFERROR(
        LET(
            juris,'Control Panel'!$B$6,
            ltv_val,E74,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4" s="21">
        <f>'Control Panel'!$B$14</f>
        <v/>
      </c>
      <c r="H74" s="21">
        <f>LET(
    income_mult,'Loan Tape (S&amp;P)'!Z74,
    IF(income_mult=0,1.00,
        IFERROR(
            INDEX('FF Adj Parameters'!$A$174:$B$17,
                MATCH(income_mult,INDEX('FF Adj Parameters'!$A$174:$B$17,,1),1),2),
            1.740))
)</f>
        <v/>
      </c>
      <c r="I74" s="21">
        <f>IF('Loan Tape (S&amp;P)'!N74&lt;&gt;"Buy to Let",1.00,
    LET(
        dscr,'Loan Tape (S&amp;P)'!AA74,
        IF(dscr=0,INDEX('FF Adj Parameters'!$A$21:$B$274,1,2),
            IFERROR(
                INDEX('FF Adj Parameters'!$A$21:$B$274,
                    MATCH(dscr,INDEX('FF Adj Parameters'!$A$21:$B$274,,1),1),2),
                'FF Adj Parameters'!$B$21)))
)</f>
        <v/>
      </c>
      <c r="J74" s="21">
        <f>LET(
    lien,'Loan Tape (S&amp;P)'!Q74,
    IF(lien="First",1.00,
        IF(lien="Second",1.50,
            1.70)))</f>
        <v/>
      </c>
      <c r="K74" s="21">
        <f>LET(
    purpose,'Loan Tape (S&amp;P)'!R74,
    IF(purpose="Purchase",1.00,
        IF(purpose="Remortgage",1.00,
            1.20)))</f>
        <v/>
      </c>
      <c r="L74" s="21">
        <f>LET(
    arrears_months,'Loan Tape (S&amp;P)'!AN74,
    IF(arrears_months=0,1.00,
    IF(arrears_months=1,3.00,
    IF(arrears_months=2,5.00,
    IF(arrears_months=3,8.00,
    IF(arrears_months=4,10.00,
    IF(arrears_months=5,12.00,15.00)))))))</f>
        <v/>
      </c>
      <c r="M74" s="21">
        <f>LET(
    seasoning_years,DATEDIF('Loan Tape (S&amp;P)'!K74,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" s="21">
        <f>IF(AND('Loan Tape (S&amp;P)'!U74="Yes",
        'Loan Tape (S&amp;P)'!T74&lt;&gt;"Yes",
        DATEDIF('Loan Tape (S&amp;P)'!K74, TODAY(), "M")&lt;18),
    1.10,
    1.00)</f>
        <v/>
      </c>
      <c r="O74" s="21">
        <f>IF('Loan Tape (S&amp;P)'!T74="Yes",
    1.35,
    1.00)</f>
        <v/>
      </c>
      <c r="P74" s="21">
        <f>IF('Loan Tape (S&amp;P)'!S74="Yes",
    1.15,
    1.00)</f>
        <v/>
      </c>
      <c r="Q74" s="21">
        <f>IF('Loan Tape (S&amp;P)'!V74="Yes",
    1.20,
    1.00)</f>
        <v/>
      </c>
      <c r="R74" s="21">
        <f>IF('Loan Tape (S&amp;P)'!T74="Yes",
    'FF Adj Parameters'!$B$40,
    1.00)</f>
        <v/>
      </c>
      <c r="S74" s="21">
        <f>LET(
    is_htb,'Loan Tape (S&amp;P)'!Q74="Yes",
    rate_type,'Loan Tape (S&amp;P)'!AS74,
    months_to_mat,'Loan Tape (S&amp;P)'!AU74,
    threshold,'FF Adj Parameters'!$B$1274,
    has_shock,AND(rate_type="Fixed",months_to_mat&lt;=threshold),
    IF(is_htb,1.00,IF(has_shock,'FF Adj Parameters'!$B$41,1.00))
)</f>
        <v/>
      </c>
      <c r="T74" s="21">
        <f>LET(
    payment_method,'Loan Tape (S&amp;P)'!P74,
    occupancy,'Loan Tape (S&amp;P)'!N74,
    maturity_date,'Loan Tape (S&amp;P)'!L74,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74" s="21">
        <f>IF(AND('Loan Tape (S&amp;P)'!V74="Yes",'Loan Tape (S&amp;P)'!N74&lt;&gt;"Buy to Let"),
    'FF Adj Parameters'!$B$42,
    1.00)</f>
        <v/>
      </c>
      <c r="V74" s="21">
        <f>IF('Loan Tape (S&amp;P)'!AV74="Yes",
    'FF Adj Parameters'!$B$43,
    1.00)</f>
        <v/>
      </c>
      <c r="W74" s="23">
        <f>IF('Loan Tape (S&amp;P)'!AC74&gt;0,
    'FF Adj Parameters'!$B$44,
    1.00)</f>
        <v/>
      </c>
      <c r="X74" s="21">
        <f>LET(
    has_bankruptcy,'Loan Tape (S&amp;P)'!AE74="Yes",
    has_iva,'Loan Tape (S&amp;P)'!AF74="Yes",
    has_repo,'Loan Tape (S&amp;P)'!AI74="Yes",
    mult,IF(has_repo,'FF Adj Parameters'!$B$47,
            IF(has_bankruptcy,'FF Adj Parameters'!$B$474,
                IF(has_iva,'FF Adj Parameters'!$B$46,
                    1.00))),
    MAX(mult,0.740)
)</f>
        <v/>
      </c>
      <c r="Y74" s="21">
        <f>LET(
    has_perf_arr,'Loan Tape (S&amp;P)'!AP74="Yes",
    perf_arr_date,'Loan Tape (S&amp;P)'!AQ74,
    last_90_date,'Loan Tape (S&amp;P)'!AR74,
    threshold_years,VLOOKUP('Control Panel'!$B$6,'Jurisdiction Parameters'!$A:$Q,17,FALSE),
    relevant_date,MAX(perf_arr_date,last_90_date),
    years_since,('Control Panel'!$B$10-relevant_date)/3674.274,
    IF(NOT(has_perf_arr),1.00,
        IF(years_since&gt;threshold_years,1.00,
            IF(years_since&lt;=1,INDEX('FF Adj Parameters'!$C$47:$C$740,1),
                IF(years_since&lt;=2,INDEX('FF Adj Parameters'!$C$47:$C$740,2),
                    IF(years_since&lt;=3,INDEX('FF Adj Parameters'!$C$47:$C$740,3),
                        INDEX('FF Adj Parameters'!$C$47:$C$740,4))))))
)</f>
        <v/>
      </c>
      <c r="Z74" s="24">
        <f>IFERROR(
        IF(L74&gt;=100,1.00,
            'Control Panel'!$B$18*F74*G74*MAX(H74,R74)*I74*J74*K74*L74*M74*N74*O74*P74*Q74*S74*T74*U74*V74*W74*X74*Y74
        ),
    0)</f>
        <v/>
      </c>
    </row>
    <row r="75">
      <c r="A75" s="17">
        <f>'Loan Tape (S&amp;P)'!A75</f>
        <v/>
      </c>
      <c r="B75" s="18">
        <f>'Loan Tape (S&amp;P)'!B75</f>
        <v/>
      </c>
      <c r="C75" s="20">
        <f>IFERROR('Loan Tape (S&amp;P)'!C75/'Loan Tape (S&amp;P)'!E75,0)</f>
        <v/>
      </c>
      <c r="D75" s="20">
        <f>IFERROR(
        'Loan Tape (S&amp;P)'!B75/
        ('Loan Tape (S&amp;P)'!D75*
        (1-IF('Loan Tape (S&amp;P)'!AT75&lt;&gt;"Full",
            VLOOKUP('Control Panel'!$B$6,'Jurisdiction Parameters'!$A:$D,4,FALSE),
        0))),
    0)</f>
        <v/>
      </c>
      <c r="E75" s="20">
        <f>('Control Panel'!$B$12*C75)+('Control Panel'!$B$13*D75)</f>
        <v/>
      </c>
      <c r="F75" s="22">
        <f>IFERROR(
        LET(
            juris,'Control Panel'!$B$6,
            ltv_val,E75,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5" s="21">
        <f>'Control Panel'!$B$14</f>
        <v/>
      </c>
      <c r="H75" s="21">
        <f>LET(
    income_mult,'Loan Tape (S&amp;P)'!Z75,
    IF(income_mult=0,1.00,
        IFERROR(
            INDEX('FF Adj Parameters'!$A$175:$B$17,
                MATCH(income_mult,INDEX('FF Adj Parameters'!$A$175:$B$17,,1),1),2),
            1.750))
)</f>
        <v/>
      </c>
      <c r="I75" s="21">
        <f>IF('Loan Tape (S&amp;P)'!N75&lt;&gt;"Buy to Let",1.00,
    LET(
        dscr,'Loan Tape (S&amp;P)'!AA75,
        IF(dscr=0,INDEX('FF Adj Parameters'!$A$21:$B$275,1,2),
            IFERROR(
                INDEX('FF Adj Parameters'!$A$21:$B$275,
                    MATCH(dscr,INDEX('FF Adj Parameters'!$A$21:$B$275,,1),1),2),
                'FF Adj Parameters'!$B$21)))
)</f>
        <v/>
      </c>
      <c r="J75" s="21">
        <f>LET(
    lien,'Loan Tape (S&amp;P)'!Q75,
    IF(lien="First",1.00,
        IF(lien="Second",1.50,
            1.70)))</f>
        <v/>
      </c>
      <c r="K75" s="21">
        <f>LET(
    purpose,'Loan Tape (S&amp;P)'!R75,
    IF(purpose="Purchase",1.00,
        IF(purpose="Remortgage",1.00,
            1.20)))</f>
        <v/>
      </c>
      <c r="L75" s="21">
        <f>LET(
    arrears_months,'Loan Tape (S&amp;P)'!AN75,
    IF(arrears_months=0,1.00,
    IF(arrears_months=1,3.00,
    IF(arrears_months=2,5.00,
    IF(arrears_months=3,8.00,
    IF(arrears_months=4,10.00,
    IF(arrears_months=5,12.00,15.00)))))))</f>
        <v/>
      </c>
      <c r="M75" s="21">
        <f>LET(
    seasoning_years,DATEDIF('Loan Tape (S&amp;P)'!K75,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" s="21">
        <f>IF(AND('Loan Tape (S&amp;P)'!U75="Yes",
        'Loan Tape (S&amp;P)'!T75&lt;&gt;"Yes",
        DATEDIF('Loan Tape (S&amp;P)'!K75, TODAY(), "M")&lt;18),
    1.10,
    1.00)</f>
        <v/>
      </c>
      <c r="O75" s="21">
        <f>IF('Loan Tape (S&amp;P)'!T75="Yes",
    1.35,
    1.00)</f>
        <v/>
      </c>
      <c r="P75" s="21">
        <f>IF('Loan Tape (S&amp;P)'!S75="Yes",
    1.15,
    1.00)</f>
        <v/>
      </c>
      <c r="Q75" s="21">
        <f>IF('Loan Tape (S&amp;P)'!V75="Yes",
    1.20,
    1.00)</f>
        <v/>
      </c>
      <c r="R75" s="21">
        <f>IF('Loan Tape (S&amp;P)'!T75="Yes",
    'FF Adj Parameters'!$B$40,
    1.00)</f>
        <v/>
      </c>
      <c r="S75" s="21">
        <f>LET(
    is_htb,'Loan Tape (S&amp;P)'!Q75="Yes",
    rate_type,'Loan Tape (S&amp;P)'!AS75,
    months_to_mat,'Loan Tape (S&amp;P)'!AU75,
    threshold,'FF Adj Parameters'!$B$1275,
    has_shock,AND(rate_type="Fixed",months_to_mat&lt;=threshold),
    IF(is_htb,1.00,IF(has_shock,'FF Adj Parameters'!$B$41,1.00))
)</f>
        <v/>
      </c>
      <c r="T75" s="21">
        <f>LET(
    payment_method,'Loan Tape (S&amp;P)'!P75,
    occupancy,'Loan Tape (S&amp;P)'!N75,
    maturity_date,'Loan Tape (S&amp;P)'!L75,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75" s="21">
        <f>IF(AND('Loan Tape (S&amp;P)'!V75="Yes",'Loan Tape (S&amp;P)'!N75&lt;&gt;"Buy to Let"),
    'FF Adj Parameters'!$B$42,
    1.00)</f>
        <v/>
      </c>
      <c r="V75" s="21">
        <f>IF('Loan Tape (S&amp;P)'!AV75="Yes",
    'FF Adj Parameters'!$B$43,
    1.00)</f>
        <v/>
      </c>
      <c r="W75" s="23">
        <f>IF('Loan Tape (S&amp;P)'!AC75&gt;0,
    'FF Adj Parameters'!$B$44,
    1.00)</f>
        <v/>
      </c>
      <c r="X75" s="21">
        <f>LET(
    has_bankruptcy,'Loan Tape (S&amp;P)'!AE75="Yes",
    has_iva,'Loan Tape (S&amp;P)'!AF75="Yes",
    has_repo,'Loan Tape (S&amp;P)'!AI75="Yes",
    mult,IF(has_repo,'FF Adj Parameters'!$B$47,
            IF(has_bankruptcy,'FF Adj Parameters'!$B$475,
                IF(has_iva,'FF Adj Parameters'!$B$46,
                    1.00))),
    MAX(mult,0.750)
)</f>
        <v/>
      </c>
      <c r="Y75" s="21">
        <f>LET(
    has_perf_arr,'Loan Tape (S&amp;P)'!AP75="Yes",
    perf_arr_date,'Loan Tape (S&amp;P)'!AQ75,
    last_90_date,'Loan Tape (S&amp;P)'!AR75,
    threshold_years,VLOOKUP('Control Panel'!$B$6,'Jurisdiction Parameters'!$A:$Q,17,FALSE),
    relevant_date,MAX(perf_arr_date,last_90_date),
    years_since,('Control Panel'!$B$10-relevant_date)/3675.275,
    IF(NOT(has_perf_arr),1.00,
        IF(years_since&gt;threshold_years,1.00,
            IF(years_since&lt;=1,INDEX('FF Adj Parameters'!$C$47:$C$750,1),
                IF(years_since&lt;=2,INDEX('FF Adj Parameters'!$C$47:$C$750,2),
                    IF(years_since&lt;=3,INDEX('FF Adj Parameters'!$C$47:$C$750,3),
                        INDEX('FF Adj Parameters'!$C$47:$C$750,4))))))
)</f>
        <v/>
      </c>
      <c r="Z75" s="24">
        <f>IFERROR(
        IF(L75&gt;=100,1.00,
            'Control Panel'!$B$18*F75*G75*MAX(H75,R75)*I75*J75*K75*L75*M75*N75*O75*P75*Q75*S75*T75*U75*V75*W75*X75*Y75
        ),
    0)</f>
        <v/>
      </c>
    </row>
    <row r="76">
      <c r="A76" s="17">
        <f>'Loan Tape (S&amp;P)'!A76</f>
        <v/>
      </c>
      <c r="B76" s="18">
        <f>'Loan Tape (S&amp;P)'!B76</f>
        <v/>
      </c>
      <c r="C76" s="20">
        <f>IFERROR('Loan Tape (S&amp;P)'!C76/'Loan Tape (S&amp;P)'!E76,0)</f>
        <v/>
      </c>
      <c r="D76" s="20">
        <f>IFERROR(
        'Loan Tape (S&amp;P)'!B76/
        ('Loan Tape (S&amp;P)'!D76*
        (1-IF('Loan Tape (S&amp;P)'!AT76&lt;&gt;"Full",
            VLOOKUP('Control Panel'!$B$6,'Jurisdiction Parameters'!$A:$D,4,FALSE),
        0))),
    0)</f>
        <v/>
      </c>
      <c r="E76" s="20">
        <f>('Control Panel'!$B$12*C76)+('Control Panel'!$B$13*D76)</f>
        <v/>
      </c>
      <c r="F76" s="22">
        <f>IFERROR(
        LET(
            juris,'Control Panel'!$B$6,
            ltv_val,E76,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6" s="21">
        <f>'Control Panel'!$B$14</f>
        <v/>
      </c>
      <c r="H76" s="21">
        <f>LET(
    income_mult,'Loan Tape (S&amp;P)'!Z76,
    IF(income_mult=0,1.00,
        IFERROR(
            INDEX('FF Adj Parameters'!$A$176:$B$17,
                MATCH(income_mult,INDEX('FF Adj Parameters'!$A$176:$B$17,,1),1),2),
            1.760))
)</f>
        <v/>
      </c>
      <c r="I76" s="21">
        <f>IF('Loan Tape (S&amp;P)'!N76&lt;&gt;"Buy to Let",1.00,
    LET(
        dscr,'Loan Tape (S&amp;P)'!AA76,
        IF(dscr=0,INDEX('FF Adj Parameters'!$A$21:$B$276,1,2),
            IFERROR(
                INDEX('FF Adj Parameters'!$A$21:$B$276,
                    MATCH(dscr,INDEX('FF Adj Parameters'!$A$21:$B$276,,1),1),2),
                'FF Adj Parameters'!$B$21)))
)</f>
        <v/>
      </c>
      <c r="J76" s="21">
        <f>LET(
    lien,'Loan Tape (S&amp;P)'!Q76,
    IF(lien="First",1.00,
        IF(lien="Second",1.50,
            1.70)))</f>
        <v/>
      </c>
      <c r="K76" s="21">
        <f>LET(
    purpose,'Loan Tape (S&amp;P)'!R76,
    IF(purpose="Purchase",1.00,
        IF(purpose="Remortgage",1.00,
            1.20)))</f>
        <v/>
      </c>
      <c r="L76" s="21">
        <f>LET(
    arrears_months,'Loan Tape (S&amp;P)'!AN76,
    IF(arrears_months=0,1.00,
    IF(arrears_months=1,3.00,
    IF(arrears_months=2,5.00,
    IF(arrears_months=3,8.00,
    IF(arrears_months=4,10.00,
    IF(arrears_months=5,12.00,15.00)))))))</f>
        <v/>
      </c>
      <c r="M76" s="21">
        <f>LET(
    seasoning_years,DATEDIF('Loan Tape (S&amp;P)'!K76,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" s="21">
        <f>IF(AND('Loan Tape (S&amp;P)'!U76="Yes",
        'Loan Tape (S&amp;P)'!T76&lt;&gt;"Yes",
        DATEDIF('Loan Tape (S&amp;P)'!K76, TODAY(), "M")&lt;18),
    1.10,
    1.00)</f>
        <v/>
      </c>
      <c r="O76" s="21">
        <f>IF('Loan Tape (S&amp;P)'!T76="Yes",
    1.35,
    1.00)</f>
        <v/>
      </c>
      <c r="P76" s="21">
        <f>IF('Loan Tape (S&amp;P)'!S76="Yes",
    1.15,
    1.00)</f>
        <v/>
      </c>
      <c r="Q76" s="21">
        <f>IF('Loan Tape (S&amp;P)'!V76="Yes",
    1.20,
    1.00)</f>
        <v/>
      </c>
      <c r="R76" s="21">
        <f>IF('Loan Tape (S&amp;P)'!T76="Yes",
    'FF Adj Parameters'!$B$40,
    1.00)</f>
        <v/>
      </c>
      <c r="S76" s="21">
        <f>LET(
    is_htb,'Loan Tape (S&amp;P)'!Q76="Yes",
    rate_type,'Loan Tape (S&amp;P)'!AS76,
    months_to_mat,'Loan Tape (S&amp;P)'!AU76,
    threshold,'FF Adj Parameters'!$B$1276,
    has_shock,AND(rate_type="Fixed",months_to_mat&lt;=threshold),
    IF(is_htb,1.00,IF(has_shock,'FF Adj Parameters'!$B$41,1.00))
)</f>
        <v/>
      </c>
      <c r="T76" s="21">
        <f>LET(
    payment_method,'Loan Tape (S&amp;P)'!P76,
    occupancy,'Loan Tape (S&amp;P)'!N76,
    maturity_date,'Loan Tape (S&amp;P)'!L76,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76" s="21">
        <f>IF(AND('Loan Tape (S&amp;P)'!V76="Yes",'Loan Tape (S&amp;P)'!N76&lt;&gt;"Buy to Let"),
    'FF Adj Parameters'!$B$42,
    1.00)</f>
        <v/>
      </c>
      <c r="V76" s="21">
        <f>IF('Loan Tape (S&amp;P)'!AV76="Yes",
    'FF Adj Parameters'!$B$43,
    1.00)</f>
        <v/>
      </c>
      <c r="W76" s="23">
        <f>IF('Loan Tape (S&amp;P)'!AC76&gt;0,
    'FF Adj Parameters'!$B$44,
    1.00)</f>
        <v/>
      </c>
      <c r="X76" s="21">
        <f>LET(
    has_bankruptcy,'Loan Tape (S&amp;P)'!AE76="Yes",
    has_iva,'Loan Tape (S&amp;P)'!AF76="Yes",
    has_repo,'Loan Tape (S&amp;P)'!AI76="Yes",
    mult,IF(has_repo,'FF Adj Parameters'!$B$47,
            IF(has_bankruptcy,'FF Adj Parameters'!$B$476,
                IF(has_iva,'FF Adj Parameters'!$B$46,
                    1.00))),
    MAX(mult,0.760)
)</f>
        <v/>
      </c>
      <c r="Y76" s="21">
        <f>LET(
    has_perf_arr,'Loan Tape (S&amp;P)'!AP76="Yes",
    perf_arr_date,'Loan Tape (S&amp;P)'!AQ76,
    last_90_date,'Loan Tape (S&amp;P)'!AR76,
    threshold_years,VLOOKUP('Control Panel'!$B$6,'Jurisdiction Parameters'!$A:$Q,17,FALSE),
    relevant_date,MAX(perf_arr_date,last_90_date),
    years_since,('Control Panel'!$B$10-relevant_date)/3676.276,
    IF(NOT(has_perf_arr),1.00,
        IF(years_since&gt;threshold_years,1.00,
            IF(years_since&lt;=1,INDEX('FF Adj Parameters'!$C$47:$C$760,1),
                IF(years_since&lt;=2,INDEX('FF Adj Parameters'!$C$47:$C$760,2),
                    IF(years_since&lt;=3,INDEX('FF Adj Parameters'!$C$47:$C$760,3),
                        INDEX('FF Adj Parameters'!$C$47:$C$760,4))))))
)</f>
        <v/>
      </c>
      <c r="Z76" s="24">
        <f>IFERROR(
        IF(L76&gt;=100,1.00,
            'Control Panel'!$B$18*F76*G76*MAX(H76,R76)*I76*J76*K76*L76*M76*N76*O76*P76*Q76*S76*T76*U76*V76*W76*X76*Y76
        ),
    0)</f>
        <v/>
      </c>
    </row>
    <row r="77">
      <c r="A77" s="17">
        <f>'Loan Tape (S&amp;P)'!A77</f>
        <v/>
      </c>
      <c r="B77" s="18">
        <f>'Loan Tape (S&amp;P)'!B77</f>
        <v/>
      </c>
      <c r="C77" s="20">
        <f>IFERROR('Loan Tape (S&amp;P)'!C77/'Loan Tape (S&amp;P)'!E77,0)</f>
        <v/>
      </c>
      <c r="D77" s="20">
        <f>IFERROR(
        'Loan Tape (S&amp;P)'!B77/
        ('Loan Tape (S&amp;P)'!D77*
        (1-IF('Loan Tape (S&amp;P)'!AT77&lt;&gt;"Full",
            VLOOKUP('Control Panel'!$B$6,'Jurisdiction Parameters'!$A:$D,4,FALSE),
        0))),
    0)</f>
        <v/>
      </c>
      <c r="E77" s="20">
        <f>('Control Panel'!$B$12*C77)+('Control Panel'!$B$13*D77)</f>
        <v/>
      </c>
      <c r="F77" s="22">
        <f>IFERROR(
        LET(
            juris,'Control Panel'!$B$6,
            ltv_val,E77,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7" s="21">
        <f>'Control Panel'!$B$14</f>
        <v/>
      </c>
      <c r="H77" s="21">
        <f>LET(
    income_mult,'Loan Tape (S&amp;P)'!Z77,
    IF(income_mult=0,1.00,
        IFERROR(
            INDEX('FF Adj Parameters'!$A$177:$B$17,
                MATCH(income_mult,INDEX('FF Adj Parameters'!$A$177:$B$17,,1),1),2),
            1.770))
)</f>
        <v/>
      </c>
      <c r="I77" s="21">
        <f>IF('Loan Tape (S&amp;P)'!N77&lt;&gt;"Buy to Let",1.00,
    LET(
        dscr,'Loan Tape (S&amp;P)'!AA77,
        IF(dscr=0,INDEX('FF Adj Parameters'!$A$21:$B$277,1,2),
            IFERROR(
                INDEX('FF Adj Parameters'!$A$21:$B$277,
                    MATCH(dscr,INDEX('FF Adj Parameters'!$A$21:$B$277,,1),1),2),
                'FF Adj Parameters'!$B$21)))
)</f>
        <v/>
      </c>
      <c r="J77" s="21">
        <f>LET(
    lien,'Loan Tape (S&amp;P)'!Q77,
    IF(lien="First",1.00,
        IF(lien="Second",1.50,
            1.70)))</f>
        <v/>
      </c>
      <c r="K77" s="21">
        <f>LET(
    purpose,'Loan Tape (S&amp;P)'!R77,
    IF(purpose="Purchase",1.00,
        IF(purpose="Remortgage",1.00,
            1.20)))</f>
        <v/>
      </c>
      <c r="L77" s="21">
        <f>LET(
    arrears_months,'Loan Tape (S&amp;P)'!AN77,
    IF(arrears_months=0,1.00,
    IF(arrears_months=1,3.00,
    IF(arrears_months=2,5.00,
    IF(arrears_months=3,8.00,
    IF(arrears_months=4,10.00,
    IF(arrears_months=5,12.00,15.00)))))))</f>
        <v/>
      </c>
      <c r="M77" s="21">
        <f>LET(
    seasoning_years,DATEDIF('Loan Tape (S&amp;P)'!K77,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" s="21">
        <f>IF(AND('Loan Tape (S&amp;P)'!U77="Yes",
        'Loan Tape (S&amp;P)'!T77&lt;&gt;"Yes",
        DATEDIF('Loan Tape (S&amp;P)'!K77, TODAY(), "M")&lt;18),
    1.10,
    1.00)</f>
        <v/>
      </c>
      <c r="O77" s="21">
        <f>IF('Loan Tape (S&amp;P)'!T77="Yes",
    1.35,
    1.00)</f>
        <v/>
      </c>
      <c r="P77" s="21">
        <f>IF('Loan Tape (S&amp;P)'!S77="Yes",
    1.15,
    1.00)</f>
        <v/>
      </c>
      <c r="Q77" s="21">
        <f>IF('Loan Tape (S&amp;P)'!V77="Yes",
    1.20,
    1.00)</f>
        <v/>
      </c>
      <c r="R77" s="21">
        <f>IF('Loan Tape (S&amp;P)'!T77="Yes",
    'FF Adj Parameters'!$B$40,
    1.00)</f>
        <v/>
      </c>
      <c r="S77" s="21">
        <f>LET(
    is_htb,'Loan Tape (S&amp;P)'!Q77="Yes",
    rate_type,'Loan Tape (S&amp;P)'!AS77,
    months_to_mat,'Loan Tape (S&amp;P)'!AU77,
    threshold,'FF Adj Parameters'!$B$1277,
    has_shock,AND(rate_type="Fixed",months_to_mat&lt;=threshold),
    IF(is_htb,1.00,IF(has_shock,'FF Adj Parameters'!$B$41,1.00))
)</f>
        <v/>
      </c>
      <c r="T77" s="21">
        <f>LET(
    payment_method,'Loan Tape (S&amp;P)'!P77,
    occupancy,'Loan Tape (S&amp;P)'!N77,
    maturity_date,'Loan Tape (S&amp;P)'!L77,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77" s="21">
        <f>IF(AND('Loan Tape (S&amp;P)'!V77="Yes",'Loan Tape (S&amp;P)'!N77&lt;&gt;"Buy to Let"),
    'FF Adj Parameters'!$B$42,
    1.00)</f>
        <v/>
      </c>
      <c r="V77" s="21">
        <f>IF('Loan Tape (S&amp;P)'!AV77="Yes",
    'FF Adj Parameters'!$B$43,
    1.00)</f>
        <v/>
      </c>
      <c r="W77" s="23">
        <f>IF('Loan Tape (S&amp;P)'!AC77&gt;0,
    'FF Adj Parameters'!$B$44,
    1.00)</f>
        <v/>
      </c>
      <c r="X77" s="21">
        <f>LET(
    has_bankruptcy,'Loan Tape (S&amp;P)'!AE77="Yes",
    has_iva,'Loan Tape (S&amp;P)'!AF77="Yes",
    has_repo,'Loan Tape (S&amp;P)'!AI77="Yes",
    mult,IF(has_repo,'FF Adj Parameters'!$B$47,
            IF(has_bankruptcy,'FF Adj Parameters'!$B$477,
                IF(has_iva,'FF Adj Parameters'!$B$46,
                    1.00))),
    MAX(mult,0.770)
)</f>
        <v/>
      </c>
      <c r="Y77" s="21">
        <f>LET(
    has_perf_arr,'Loan Tape (S&amp;P)'!AP77="Yes",
    perf_arr_date,'Loan Tape (S&amp;P)'!AQ77,
    last_90_date,'Loan Tape (S&amp;P)'!AR77,
    threshold_years,VLOOKUP('Control Panel'!$B$6,'Jurisdiction Parameters'!$A:$Q,17,FALSE),
    relevant_date,MAX(perf_arr_date,last_90_date),
    years_since,('Control Panel'!$B$10-relevant_date)/3677.277,
    IF(NOT(has_perf_arr),1.00,
        IF(years_since&gt;threshold_years,1.00,
            IF(years_since&lt;=1,INDEX('FF Adj Parameters'!$C$47:$C$770,1),
                IF(years_since&lt;=2,INDEX('FF Adj Parameters'!$C$47:$C$770,2),
                    IF(years_since&lt;=3,INDEX('FF Adj Parameters'!$C$47:$C$770,3),
                        INDEX('FF Adj Parameters'!$C$47:$C$770,4))))))
)</f>
        <v/>
      </c>
      <c r="Z77" s="24">
        <f>IFERROR(
        IF(L77&gt;=100,1.00,
            'Control Panel'!$B$18*F77*G77*MAX(H77,R77)*I77*J77*K77*L77*M77*N77*O77*P77*Q77*S77*T77*U77*V77*W77*X77*Y77
        ),
    0)</f>
        <v/>
      </c>
    </row>
    <row r="78">
      <c r="A78" s="17">
        <f>'Loan Tape (S&amp;P)'!A78</f>
        <v/>
      </c>
      <c r="B78" s="18">
        <f>'Loan Tape (S&amp;P)'!B78</f>
        <v/>
      </c>
      <c r="C78" s="20">
        <f>IFERROR('Loan Tape (S&amp;P)'!C78/'Loan Tape (S&amp;P)'!E78,0)</f>
        <v/>
      </c>
      <c r="D78" s="20">
        <f>IFERROR(
        'Loan Tape (S&amp;P)'!B78/
        ('Loan Tape (S&amp;P)'!D78*
        (1-IF('Loan Tape (S&amp;P)'!AT78&lt;&gt;"Full",
            VLOOKUP('Control Panel'!$B$6,'Jurisdiction Parameters'!$A:$D,4,FALSE),
        0))),
    0)</f>
        <v/>
      </c>
      <c r="E78" s="20">
        <f>('Control Panel'!$B$12*C78)+('Control Panel'!$B$13*D78)</f>
        <v/>
      </c>
      <c r="F78" s="22">
        <f>IFERROR(
        LET(
            juris,'Control Panel'!$B$6,
            ltv_val,E78,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8" s="21">
        <f>'Control Panel'!$B$14</f>
        <v/>
      </c>
      <c r="H78" s="21">
        <f>LET(
    income_mult,'Loan Tape (S&amp;P)'!Z78,
    IF(income_mult=0,1.00,
        IFERROR(
            INDEX('FF Adj Parameters'!$A$178:$B$17,
                MATCH(income_mult,INDEX('FF Adj Parameters'!$A$178:$B$17,,1),1),2),
            1.780))
)</f>
        <v/>
      </c>
      <c r="I78" s="21">
        <f>IF('Loan Tape (S&amp;P)'!N78&lt;&gt;"Buy to Let",1.00,
    LET(
        dscr,'Loan Tape (S&amp;P)'!AA78,
        IF(dscr=0,INDEX('FF Adj Parameters'!$A$21:$B$278,1,2),
            IFERROR(
                INDEX('FF Adj Parameters'!$A$21:$B$278,
                    MATCH(dscr,INDEX('FF Adj Parameters'!$A$21:$B$278,,1),1),2),
                'FF Adj Parameters'!$B$21)))
)</f>
        <v/>
      </c>
      <c r="J78" s="21">
        <f>LET(
    lien,'Loan Tape (S&amp;P)'!Q78,
    IF(lien="First",1.00,
        IF(lien="Second",1.50,
            1.70)))</f>
        <v/>
      </c>
      <c r="K78" s="21">
        <f>LET(
    purpose,'Loan Tape (S&amp;P)'!R78,
    IF(purpose="Purchase",1.00,
        IF(purpose="Remortgage",1.00,
            1.20)))</f>
        <v/>
      </c>
      <c r="L78" s="21">
        <f>LET(
    arrears_months,'Loan Tape (S&amp;P)'!AN78,
    IF(arrears_months=0,1.00,
    IF(arrears_months=1,3.00,
    IF(arrears_months=2,5.00,
    IF(arrears_months=3,8.00,
    IF(arrears_months=4,10.00,
    IF(arrears_months=5,12.00,15.00)))))))</f>
        <v/>
      </c>
      <c r="M78" s="21">
        <f>LET(
    seasoning_years,DATEDIF('Loan Tape (S&amp;P)'!K78,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" s="21">
        <f>IF(AND('Loan Tape (S&amp;P)'!U78="Yes",
        'Loan Tape (S&amp;P)'!T78&lt;&gt;"Yes",
        DATEDIF('Loan Tape (S&amp;P)'!K78, TODAY(), "M")&lt;18),
    1.10,
    1.00)</f>
        <v/>
      </c>
      <c r="O78" s="21">
        <f>IF('Loan Tape (S&amp;P)'!T78="Yes",
    1.35,
    1.00)</f>
        <v/>
      </c>
      <c r="P78" s="21">
        <f>IF('Loan Tape (S&amp;P)'!S78="Yes",
    1.15,
    1.00)</f>
        <v/>
      </c>
      <c r="Q78" s="21">
        <f>IF('Loan Tape (S&amp;P)'!V78="Yes",
    1.20,
    1.00)</f>
        <v/>
      </c>
      <c r="R78" s="21">
        <f>IF('Loan Tape (S&amp;P)'!T78="Yes",
    'FF Adj Parameters'!$B$40,
    1.00)</f>
        <v/>
      </c>
      <c r="S78" s="21">
        <f>LET(
    is_htb,'Loan Tape (S&amp;P)'!Q78="Yes",
    rate_type,'Loan Tape (S&amp;P)'!AS78,
    months_to_mat,'Loan Tape (S&amp;P)'!AU78,
    threshold,'FF Adj Parameters'!$B$1278,
    has_shock,AND(rate_type="Fixed",months_to_mat&lt;=threshold),
    IF(is_htb,1.00,IF(has_shock,'FF Adj Parameters'!$B$41,1.00))
)</f>
        <v/>
      </c>
      <c r="T78" s="21">
        <f>LET(
    payment_method,'Loan Tape (S&amp;P)'!P78,
    occupancy,'Loan Tape (S&amp;P)'!N78,
    maturity_date,'Loan Tape (S&amp;P)'!L78,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78" s="21">
        <f>IF(AND('Loan Tape (S&amp;P)'!V78="Yes",'Loan Tape (S&amp;P)'!N78&lt;&gt;"Buy to Let"),
    'FF Adj Parameters'!$B$42,
    1.00)</f>
        <v/>
      </c>
      <c r="V78" s="21">
        <f>IF('Loan Tape (S&amp;P)'!AV78="Yes",
    'FF Adj Parameters'!$B$43,
    1.00)</f>
        <v/>
      </c>
      <c r="W78" s="23">
        <f>IF('Loan Tape (S&amp;P)'!AC78&gt;0,
    'FF Adj Parameters'!$B$44,
    1.00)</f>
        <v/>
      </c>
      <c r="X78" s="21">
        <f>LET(
    has_bankruptcy,'Loan Tape (S&amp;P)'!AE78="Yes",
    has_iva,'Loan Tape (S&amp;P)'!AF78="Yes",
    has_repo,'Loan Tape (S&amp;P)'!AI78="Yes",
    mult,IF(has_repo,'FF Adj Parameters'!$B$47,
            IF(has_bankruptcy,'FF Adj Parameters'!$B$478,
                IF(has_iva,'FF Adj Parameters'!$B$46,
                    1.00))),
    MAX(mult,0.780)
)</f>
        <v/>
      </c>
      <c r="Y78" s="21">
        <f>LET(
    has_perf_arr,'Loan Tape (S&amp;P)'!AP78="Yes",
    perf_arr_date,'Loan Tape (S&amp;P)'!AQ78,
    last_90_date,'Loan Tape (S&amp;P)'!AR78,
    threshold_years,VLOOKUP('Control Panel'!$B$6,'Jurisdiction Parameters'!$A:$Q,17,FALSE),
    relevant_date,MAX(perf_arr_date,last_90_date),
    years_since,('Control Panel'!$B$10-relevant_date)/3678.278,
    IF(NOT(has_perf_arr),1.00,
        IF(years_since&gt;threshold_years,1.00,
            IF(years_since&lt;=1,INDEX('FF Adj Parameters'!$C$47:$C$780,1),
                IF(years_since&lt;=2,INDEX('FF Adj Parameters'!$C$47:$C$780,2),
                    IF(years_since&lt;=3,INDEX('FF Adj Parameters'!$C$47:$C$780,3),
                        INDEX('FF Adj Parameters'!$C$47:$C$780,4))))))
)</f>
        <v/>
      </c>
      <c r="Z78" s="24">
        <f>IFERROR(
        IF(L78&gt;=100,1.00,
            'Control Panel'!$B$18*F78*G78*MAX(H78,R78)*I78*J78*K78*L78*M78*N78*O78*P78*Q78*S78*T78*U78*V78*W78*X78*Y78
        ),
    0)</f>
        <v/>
      </c>
    </row>
    <row r="79">
      <c r="A79" s="17">
        <f>'Loan Tape (S&amp;P)'!A79</f>
        <v/>
      </c>
      <c r="B79" s="18">
        <f>'Loan Tape (S&amp;P)'!B79</f>
        <v/>
      </c>
      <c r="C79" s="20">
        <f>IFERROR('Loan Tape (S&amp;P)'!C79/'Loan Tape (S&amp;P)'!E79,0)</f>
        <v/>
      </c>
      <c r="D79" s="20">
        <f>IFERROR(
        'Loan Tape (S&amp;P)'!B79/
        ('Loan Tape (S&amp;P)'!D79*
        (1-IF('Loan Tape (S&amp;P)'!AT79&lt;&gt;"Full",
            VLOOKUP('Control Panel'!$B$6,'Jurisdiction Parameters'!$A:$D,4,FALSE),
        0))),
    0)</f>
        <v/>
      </c>
      <c r="E79" s="20">
        <f>('Control Panel'!$B$12*C79)+('Control Panel'!$B$13*D79)</f>
        <v/>
      </c>
      <c r="F79" s="22">
        <f>IFERROR(
        LET(
            juris,'Control Panel'!$B$6,
            ltv_val,E79,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9" s="21">
        <f>'Control Panel'!$B$14</f>
        <v/>
      </c>
      <c r="H79" s="21">
        <f>LET(
    income_mult,'Loan Tape (S&amp;P)'!Z79,
    IF(income_mult=0,1.00,
        IFERROR(
            INDEX('FF Adj Parameters'!$A$179:$B$17,
                MATCH(income_mult,INDEX('FF Adj Parameters'!$A$179:$B$17,,1),1),2),
            1.790))
)</f>
        <v/>
      </c>
      <c r="I79" s="21">
        <f>IF('Loan Tape (S&amp;P)'!N79&lt;&gt;"Buy to Let",1.00,
    LET(
        dscr,'Loan Tape (S&amp;P)'!AA79,
        IF(dscr=0,INDEX('FF Adj Parameters'!$A$21:$B$279,1,2),
            IFERROR(
                INDEX('FF Adj Parameters'!$A$21:$B$279,
                    MATCH(dscr,INDEX('FF Adj Parameters'!$A$21:$B$279,,1),1),2),
                'FF Adj Parameters'!$B$21)))
)</f>
        <v/>
      </c>
      <c r="J79" s="21">
        <f>LET(
    lien,'Loan Tape (S&amp;P)'!Q79,
    IF(lien="First",1.00,
        IF(lien="Second",1.50,
            1.70)))</f>
        <v/>
      </c>
      <c r="K79" s="21">
        <f>LET(
    purpose,'Loan Tape (S&amp;P)'!R79,
    IF(purpose="Purchase",1.00,
        IF(purpose="Remortgage",1.00,
            1.20)))</f>
        <v/>
      </c>
      <c r="L79" s="21">
        <f>LET(
    arrears_months,'Loan Tape (S&amp;P)'!AN79,
    IF(arrears_months=0,1.00,
    IF(arrears_months=1,3.00,
    IF(arrears_months=2,5.00,
    IF(arrears_months=3,8.00,
    IF(arrears_months=4,10.00,
    IF(arrears_months=5,12.00,15.00)))))))</f>
        <v/>
      </c>
      <c r="M79" s="21">
        <f>LET(
    seasoning_years,DATEDIF('Loan Tape (S&amp;P)'!K79,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" s="21">
        <f>IF(AND('Loan Tape (S&amp;P)'!U79="Yes",
        'Loan Tape (S&amp;P)'!T79&lt;&gt;"Yes",
        DATEDIF('Loan Tape (S&amp;P)'!K79, TODAY(), "M")&lt;18),
    1.10,
    1.00)</f>
        <v/>
      </c>
      <c r="O79" s="21">
        <f>IF('Loan Tape (S&amp;P)'!T79="Yes",
    1.35,
    1.00)</f>
        <v/>
      </c>
      <c r="P79" s="21">
        <f>IF('Loan Tape (S&amp;P)'!S79="Yes",
    1.15,
    1.00)</f>
        <v/>
      </c>
      <c r="Q79" s="21">
        <f>IF('Loan Tape (S&amp;P)'!V79="Yes",
    1.20,
    1.00)</f>
        <v/>
      </c>
      <c r="R79" s="21">
        <f>IF('Loan Tape (S&amp;P)'!T79="Yes",
    'FF Adj Parameters'!$B$40,
    1.00)</f>
        <v/>
      </c>
      <c r="S79" s="21">
        <f>LET(
    is_htb,'Loan Tape (S&amp;P)'!Q79="Yes",
    rate_type,'Loan Tape (S&amp;P)'!AS79,
    months_to_mat,'Loan Tape (S&amp;P)'!AU79,
    threshold,'FF Adj Parameters'!$B$1279,
    has_shock,AND(rate_type="Fixed",months_to_mat&lt;=threshold),
    IF(is_htb,1.00,IF(has_shock,'FF Adj Parameters'!$B$41,1.00))
)</f>
        <v/>
      </c>
      <c r="T79" s="21">
        <f>LET(
    payment_method,'Loan Tape (S&amp;P)'!P79,
    occupancy,'Loan Tape (S&amp;P)'!N79,
    maturity_date,'Loan Tape (S&amp;P)'!L79,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79" s="21">
        <f>IF(AND('Loan Tape (S&amp;P)'!V79="Yes",'Loan Tape (S&amp;P)'!N79&lt;&gt;"Buy to Let"),
    'FF Adj Parameters'!$B$42,
    1.00)</f>
        <v/>
      </c>
      <c r="V79" s="21">
        <f>IF('Loan Tape (S&amp;P)'!AV79="Yes",
    'FF Adj Parameters'!$B$43,
    1.00)</f>
        <v/>
      </c>
      <c r="W79" s="23">
        <f>IF('Loan Tape (S&amp;P)'!AC79&gt;0,
    'FF Adj Parameters'!$B$44,
    1.00)</f>
        <v/>
      </c>
      <c r="X79" s="21">
        <f>LET(
    has_bankruptcy,'Loan Tape (S&amp;P)'!AE79="Yes",
    has_iva,'Loan Tape (S&amp;P)'!AF79="Yes",
    has_repo,'Loan Tape (S&amp;P)'!AI79="Yes",
    mult,IF(has_repo,'FF Adj Parameters'!$B$47,
            IF(has_bankruptcy,'FF Adj Parameters'!$B$479,
                IF(has_iva,'FF Adj Parameters'!$B$46,
                    1.00))),
    MAX(mult,0.790)
)</f>
        <v/>
      </c>
      <c r="Y79" s="21">
        <f>LET(
    has_perf_arr,'Loan Tape (S&amp;P)'!AP79="Yes",
    perf_arr_date,'Loan Tape (S&amp;P)'!AQ79,
    last_90_date,'Loan Tape (S&amp;P)'!AR79,
    threshold_years,VLOOKUP('Control Panel'!$B$6,'Jurisdiction Parameters'!$A:$Q,17,FALSE),
    relevant_date,MAX(perf_arr_date,last_90_date),
    years_since,('Control Panel'!$B$10-relevant_date)/3679.279,
    IF(NOT(has_perf_arr),1.00,
        IF(years_since&gt;threshold_years,1.00,
            IF(years_since&lt;=1,INDEX('FF Adj Parameters'!$C$47:$C$790,1),
                IF(years_since&lt;=2,INDEX('FF Adj Parameters'!$C$47:$C$790,2),
                    IF(years_since&lt;=3,INDEX('FF Adj Parameters'!$C$47:$C$790,3),
                        INDEX('FF Adj Parameters'!$C$47:$C$790,4))))))
)</f>
        <v/>
      </c>
      <c r="Z79" s="24">
        <f>IFERROR(
        IF(L79&gt;=100,1.00,
            'Control Panel'!$B$18*F79*G79*MAX(H79,R79)*I79*J79*K79*L79*M79*N79*O79*P79*Q79*S79*T79*U79*V79*W79*X79*Y79
        ),
    0)</f>
        <v/>
      </c>
    </row>
    <row r="80">
      <c r="A80" s="17">
        <f>'Loan Tape (S&amp;P)'!A80</f>
        <v/>
      </c>
      <c r="B80" s="18">
        <f>'Loan Tape (S&amp;P)'!B80</f>
        <v/>
      </c>
      <c r="C80" s="20">
        <f>IFERROR('Loan Tape (S&amp;P)'!C80/'Loan Tape (S&amp;P)'!E80,0)</f>
        <v/>
      </c>
      <c r="D80" s="20">
        <f>IFERROR(
        'Loan Tape (S&amp;P)'!B80/
        ('Loan Tape (S&amp;P)'!D80*
        (1-IF('Loan Tape (S&amp;P)'!AT80&lt;&gt;"Full",
            VLOOKUP('Control Panel'!$B$6,'Jurisdiction Parameters'!$A:$D,4,FALSE),
        0))),
    0)</f>
        <v/>
      </c>
      <c r="E80" s="20">
        <f>('Control Panel'!$B$12*C80)+('Control Panel'!$B$13*D80)</f>
        <v/>
      </c>
      <c r="F80" s="22">
        <f>IFERROR(
        LET(
            juris,'Control Panel'!$B$6,
            ltv_val,E80,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0" s="21">
        <f>'Control Panel'!$B$14</f>
        <v/>
      </c>
      <c r="H80" s="21">
        <f>LET(
    income_mult,'Loan Tape (S&amp;P)'!Z80,
    IF(income_mult=0,1.00,
        IFERROR(
            INDEX('FF Adj Parameters'!$A$180:$B$17,
                MATCH(income_mult,INDEX('FF Adj Parameters'!$A$180:$B$17,,1),1),2),
            1.800))
)</f>
        <v/>
      </c>
      <c r="I80" s="21">
        <f>IF('Loan Tape (S&amp;P)'!N80&lt;&gt;"Buy to Let",1.00,
    LET(
        dscr,'Loan Tape (S&amp;P)'!AA80,
        IF(dscr=0,INDEX('FF Adj Parameters'!$A$21:$B$280,1,2),
            IFERROR(
                INDEX('FF Adj Parameters'!$A$21:$B$280,
                    MATCH(dscr,INDEX('FF Adj Parameters'!$A$21:$B$280,,1),1),2),
                'FF Adj Parameters'!$B$21)))
)</f>
        <v/>
      </c>
      <c r="J80" s="21">
        <f>LET(
    lien,'Loan Tape (S&amp;P)'!Q80,
    IF(lien="First",1.00,
        IF(lien="Second",1.50,
            1.70)))</f>
        <v/>
      </c>
      <c r="K80" s="21">
        <f>LET(
    purpose,'Loan Tape (S&amp;P)'!R80,
    IF(purpose="Purchase",1.00,
        IF(purpose="Remortgage",1.00,
            1.20)))</f>
        <v/>
      </c>
      <c r="L80" s="21">
        <f>LET(
    arrears_months,'Loan Tape (S&amp;P)'!AN80,
    IF(arrears_months=0,1.00,
    IF(arrears_months=1,3.00,
    IF(arrears_months=2,5.00,
    IF(arrears_months=3,8.00,
    IF(arrears_months=4,10.00,
    IF(arrears_months=5,12.00,15.00)))))))</f>
        <v/>
      </c>
      <c r="M80" s="21">
        <f>LET(
    seasoning_years,DATEDIF('Loan Tape (S&amp;P)'!K80,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" s="21">
        <f>IF(AND('Loan Tape (S&amp;P)'!U80="Yes",
        'Loan Tape (S&amp;P)'!T80&lt;&gt;"Yes",
        DATEDIF('Loan Tape (S&amp;P)'!K80, TODAY(), "M")&lt;18),
    1.10,
    1.00)</f>
        <v/>
      </c>
      <c r="O80" s="21">
        <f>IF('Loan Tape (S&amp;P)'!T80="Yes",
    1.35,
    1.00)</f>
        <v/>
      </c>
      <c r="P80" s="21">
        <f>IF('Loan Tape (S&amp;P)'!S80="Yes",
    1.15,
    1.00)</f>
        <v/>
      </c>
      <c r="Q80" s="21">
        <f>IF('Loan Tape (S&amp;P)'!V80="Yes",
    1.20,
    1.00)</f>
        <v/>
      </c>
      <c r="R80" s="21">
        <f>IF('Loan Tape (S&amp;P)'!T80="Yes",
    'FF Adj Parameters'!$B$40,
    1.00)</f>
        <v/>
      </c>
      <c r="S80" s="21">
        <f>LET(
    is_htb,'Loan Tape (S&amp;P)'!Q80="Yes",
    rate_type,'Loan Tape (S&amp;P)'!AS80,
    months_to_mat,'Loan Tape (S&amp;P)'!AU80,
    threshold,'FF Adj Parameters'!$B$1280,
    has_shock,AND(rate_type="Fixed",months_to_mat&lt;=threshold),
    IF(is_htb,1.00,IF(has_shock,'FF Adj Parameters'!$B$41,1.00))
)</f>
        <v/>
      </c>
      <c r="T80" s="21">
        <f>LET(
    payment_method,'Loan Tape (S&amp;P)'!P80,
    occupancy,'Loan Tape (S&amp;P)'!N80,
    maturity_date,'Loan Tape (S&amp;P)'!L80,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80" s="21">
        <f>IF(AND('Loan Tape (S&amp;P)'!V80="Yes",'Loan Tape (S&amp;P)'!N80&lt;&gt;"Buy to Let"),
    'FF Adj Parameters'!$B$42,
    1.00)</f>
        <v/>
      </c>
      <c r="V80" s="21">
        <f>IF('Loan Tape (S&amp;P)'!AV80="Yes",
    'FF Adj Parameters'!$B$43,
    1.00)</f>
        <v/>
      </c>
      <c r="W80" s="23">
        <f>IF('Loan Tape (S&amp;P)'!AC80&gt;0,
    'FF Adj Parameters'!$B$44,
    1.00)</f>
        <v/>
      </c>
      <c r="X80" s="21">
        <f>LET(
    has_bankruptcy,'Loan Tape (S&amp;P)'!AE80="Yes",
    has_iva,'Loan Tape (S&amp;P)'!AF80="Yes",
    has_repo,'Loan Tape (S&amp;P)'!AI80="Yes",
    mult,IF(has_repo,'FF Adj Parameters'!$B$47,
            IF(has_bankruptcy,'FF Adj Parameters'!$B$480,
                IF(has_iva,'FF Adj Parameters'!$B$46,
                    1.00))),
    MAX(mult,0.800)
)</f>
        <v/>
      </c>
      <c r="Y80" s="21">
        <f>LET(
    has_perf_arr,'Loan Tape (S&amp;P)'!AP80="Yes",
    perf_arr_date,'Loan Tape (S&amp;P)'!AQ80,
    last_90_date,'Loan Tape (S&amp;P)'!AR80,
    threshold_years,VLOOKUP('Control Panel'!$B$6,'Jurisdiction Parameters'!$A:$Q,17,FALSE),
    relevant_date,MAX(perf_arr_date,last_90_date),
    years_since,('Control Panel'!$B$10-relevant_date)/3680.280,
    IF(NOT(has_perf_arr),1.00,
        IF(years_since&gt;threshold_years,1.00,
            IF(years_since&lt;=1,INDEX('FF Adj Parameters'!$C$47:$C$800,1),
                IF(years_since&lt;=2,INDEX('FF Adj Parameters'!$C$47:$C$800,2),
                    IF(years_since&lt;=3,INDEX('FF Adj Parameters'!$C$47:$C$800,3),
                        INDEX('FF Adj Parameters'!$C$47:$C$800,4))))))
)</f>
        <v/>
      </c>
      <c r="Z80" s="24">
        <f>IFERROR(
        IF(L80&gt;=100,1.00,
            'Control Panel'!$B$18*F80*G80*MAX(H80,R80)*I80*J80*K80*L80*M80*N80*O80*P80*Q80*S80*T80*U80*V80*W80*X80*Y80
        ),
    0)</f>
        <v/>
      </c>
    </row>
    <row r="81">
      <c r="A81" s="17">
        <f>'Loan Tape (S&amp;P)'!A81</f>
        <v/>
      </c>
      <c r="B81" s="18">
        <f>'Loan Tape (S&amp;P)'!B81</f>
        <v/>
      </c>
      <c r="C81" s="20">
        <f>IFERROR('Loan Tape (S&amp;P)'!C81/'Loan Tape (S&amp;P)'!E81,0)</f>
        <v/>
      </c>
      <c r="D81" s="20">
        <f>IFERROR(
        'Loan Tape (S&amp;P)'!B81/
        ('Loan Tape (S&amp;P)'!D81*
        (1-IF('Loan Tape (S&amp;P)'!AT81&lt;&gt;"Full",
            VLOOKUP('Control Panel'!$B$6,'Jurisdiction Parameters'!$A:$D,4,FALSE),
        0))),
    0)</f>
        <v/>
      </c>
      <c r="E81" s="20">
        <f>('Control Panel'!$B$12*C81)+('Control Panel'!$B$13*D81)</f>
        <v/>
      </c>
      <c r="F81" s="22">
        <f>IFERROR(
        LET(
            juris,'Control Panel'!$B$6,
            ltv_val,E81,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1" s="21">
        <f>'Control Panel'!$B$14</f>
        <v/>
      </c>
      <c r="H81" s="21">
        <f>LET(
    income_mult,'Loan Tape (S&amp;P)'!Z81,
    IF(income_mult=0,1.00,
        IFERROR(
            INDEX('FF Adj Parameters'!$A$181:$B$17,
                MATCH(income_mult,INDEX('FF Adj Parameters'!$A$181:$B$17,,1),1),2),
            1.810))
)</f>
        <v/>
      </c>
      <c r="I81" s="21">
        <f>IF('Loan Tape (S&amp;P)'!N81&lt;&gt;"Buy to Let",1.00,
    LET(
        dscr,'Loan Tape (S&amp;P)'!AA81,
        IF(dscr=0,INDEX('FF Adj Parameters'!$A$21:$B$281,1,2),
            IFERROR(
                INDEX('FF Adj Parameters'!$A$21:$B$281,
                    MATCH(dscr,INDEX('FF Adj Parameters'!$A$21:$B$281,,1),1),2),
                'FF Adj Parameters'!$B$21)))
)</f>
        <v/>
      </c>
      <c r="J81" s="21">
        <f>LET(
    lien,'Loan Tape (S&amp;P)'!Q81,
    IF(lien="First",1.00,
        IF(lien="Second",1.50,
            1.70)))</f>
        <v/>
      </c>
      <c r="K81" s="21">
        <f>LET(
    purpose,'Loan Tape (S&amp;P)'!R81,
    IF(purpose="Purchase",1.00,
        IF(purpose="Remortgage",1.00,
            1.20)))</f>
        <v/>
      </c>
      <c r="L81" s="21">
        <f>LET(
    arrears_months,'Loan Tape (S&amp;P)'!AN81,
    IF(arrears_months=0,1.00,
    IF(arrears_months=1,3.00,
    IF(arrears_months=2,5.00,
    IF(arrears_months=3,8.00,
    IF(arrears_months=4,10.00,
    IF(arrears_months=5,12.00,15.00)))))))</f>
        <v/>
      </c>
      <c r="M81" s="21">
        <f>LET(
    seasoning_years,DATEDIF('Loan Tape (S&amp;P)'!K81,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" s="21">
        <f>IF(AND('Loan Tape (S&amp;P)'!U81="Yes",
        'Loan Tape (S&amp;P)'!T81&lt;&gt;"Yes",
        DATEDIF('Loan Tape (S&amp;P)'!K81, TODAY(), "M")&lt;18),
    1.10,
    1.00)</f>
        <v/>
      </c>
      <c r="O81" s="21">
        <f>IF('Loan Tape (S&amp;P)'!T81="Yes",
    1.35,
    1.00)</f>
        <v/>
      </c>
      <c r="P81" s="21">
        <f>IF('Loan Tape (S&amp;P)'!S81="Yes",
    1.15,
    1.00)</f>
        <v/>
      </c>
      <c r="Q81" s="21">
        <f>IF('Loan Tape (S&amp;P)'!V81="Yes",
    1.20,
    1.00)</f>
        <v/>
      </c>
      <c r="R81" s="21">
        <f>IF('Loan Tape (S&amp;P)'!T81="Yes",
    'FF Adj Parameters'!$B$40,
    1.00)</f>
        <v/>
      </c>
      <c r="S81" s="21">
        <f>LET(
    is_htb,'Loan Tape (S&amp;P)'!Q81="Yes",
    rate_type,'Loan Tape (S&amp;P)'!AS81,
    months_to_mat,'Loan Tape (S&amp;P)'!AU81,
    threshold,'FF Adj Parameters'!$B$1281,
    has_shock,AND(rate_type="Fixed",months_to_mat&lt;=threshold),
    IF(is_htb,1.00,IF(has_shock,'FF Adj Parameters'!$B$41,1.00))
)</f>
        <v/>
      </c>
      <c r="T81" s="21">
        <f>LET(
    payment_method,'Loan Tape (S&amp;P)'!P81,
    occupancy,'Loan Tape (S&amp;P)'!N81,
    maturity_date,'Loan Tape (S&amp;P)'!L81,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81" s="21">
        <f>IF(AND('Loan Tape (S&amp;P)'!V81="Yes",'Loan Tape (S&amp;P)'!N81&lt;&gt;"Buy to Let"),
    'FF Adj Parameters'!$B$42,
    1.00)</f>
        <v/>
      </c>
      <c r="V81" s="21">
        <f>IF('Loan Tape (S&amp;P)'!AV81="Yes",
    'FF Adj Parameters'!$B$43,
    1.00)</f>
        <v/>
      </c>
      <c r="W81" s="23">
        <f>IF('Loan Tape (S&amp;P)'!AC81&gt;0,
    'FF Adj Parameters'!$B$44,
    1.00)</f>
        <v/>
      </c>
      <c r="X81" s="21">
        <f>LET(
    has_bankruptcy,'Loan Tape (S&amp;P)'!AE81="Yes",
    has_iva,'Loan Tape (S&amp;P)'!AF81="Yes",
    has_repo,'Loan Tape (S&amp;P)'!AI81="Yes",
    mult,IF(has_repo,'FF Adj Parameters'!$B$47,
            IF(has_bankruptcy,'FF Adj Parameters'!$B$481,
                IF(has_iva,'FF Adj Parameters'!$B$46,
                    1.00))),
    MAX(mult,0.810)
)</f>
        <v/>
      </c>
      <c r="Y81" s="21">
        <f>LET(
    has_perf_arr,'Loan Tape (S&amp;P)'!AP81="Yes",
    perf_arr_date,'Loan Tape (S&amp;P)'!AQ81,
    last_90_date,'Loan Tape (S&amp;P)'!AR81,
    threshold_years,VLOOKUP('Control Panel'!$B$6,'Jurisdiction Parameters'!$A:$Q,17,FALSE),
    relevant_date,MAX(perf_arr_date,last_90_date),
    years_since,('Control Panel'!$B$10-relevant_date)/3681.281,
    IF(NOT(has_perf_arr),1.00,
        IF(years_since&gt;threshold_years,1.00,
            IF(years_since&lt;=1,INDEX('FF Adj Parameters'!$C$47:$C$810,1),
                IF(years_since&lt;=2,INDEX('FF Adj Parameters'!$C$47:$C$810,2),
                    IF(years_since&lt;=3,INDEX('FF Adj Parameters'!$C$47:$C$810,3),
                        INDEX('FF Adj Parameters'!$C$47:$C$810,4))))))
)</f>
        <v/>
      </c>
      <c r="Z81" s="24">
        <f>IFERROR(
        IF(L81&gt;=100,1.00,
            'Control Panel'!$B$18*F81*G81*MAX(H81,R81)*I81*J81*K81*L81*M81*N81*O81*P81*Q81*S81*T81*U81*V81*W81*X81*Y81
        ),
    0)</f>
        <v/>
      </c>
    </row>
    <row r="82">
      <c r="A82" s="17">
        <f>'Loan Tape (S&amp;P)'!A82</f>
        <v/>
      </c>
      <c r="B82" s="18">
        <f>'Loan Tape (S&amp;P)'!B82</f>
        <v/>
      </c>
      <c r="C82" s="20">
        <f>IFERROR('Loan Tape (S&amp;P)'!C82/'Loan Tape (S&amp;P)'!E82,0)</f>
        <v/>
      </c>
      <c r="D82" s="20">
        <f>IFERROR(
        'Loan Tape (S&amp;P)'!B82/
        ('Loan Tape (S&amp;P)'!D82*
        (1-IF('Loan Tape (S&amp;P)'!AT82&lt;&gt;"Full",
            VLOOKUP('Control Panel'!$B$6,'Jurisdiction Parameters'!$A:$D,4,FALSE),
        0))),
    0)</f>
        <v/>
      </c>
      <c r="E82" s="20">
        <f>('Control Panel'!$B$12*C82)+('Control Panel'!$B$13*D82)</f>
        <v/>
      </c>
      <c r="F82" s="22">
        <f>IFERROR(
        LET(
            juris,'Control Panel'!$B$6,
            ltv_val,E82,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2" s="21">
        <f>'Control Panel'!$B$14</f>
        <v/>
      </c>
      <c r="H82" s="21">
        <f>LET(
    income_mult,'Loan Tape (S&amp;P)'!Z82,
    IF(income_mult=0,1.00,
        IFERROR(
            INDEX('FF Adj Parameters'!$A$182:$B$17,
                MATCH(income_mult,INDEX('FF Adj Parameters'!$A$182:$B$17,,1),1),2),
            1.820))
)</f>
        <v/>
      </c>
      <c r="I82" s="21">
        <f>IF('Loan Tape (S&amp;P)'!N82&lt;&gt;"Buy to Let",1.00,
    LET(
        dscr,'Loan Tape (S&amp;P)'!AA82,
        IF(dscr=0,INDEX('FF Adj Parameters'!$A$21:$B$282,1,2),
            IFERROR(
                INDEX('FF Adj Parameters'!$A$21:$B$282,
                    MATCH(dscr,INDEX('FF Adj Parameters'!$A$21:$B$282,,1),1),2),
                'FF Adj Parameters'!$B$21)))
)</f>
        <v/>
      </c>
      <c r="J82" s="21">
        <f>LET(
    lien,'Loan Tape (S&amp;P)'!Q82,
    IF(lien="First",1.00,
        IF(lien="Second",1.50,
            1.70)))</f>
        <v/>
      </c>
      <c r="K82" s="21">
        <f>LET(
    purpose,'Loan Tape (S&amp;P)'!R82,
    IF(purpose="Purchase",1.00,
        IF(purpose="Remortgage",1.00,
            1.20)))</f>
        <v/>
      </c>
      <c r="L82" s="21">
        <f>LET(
    arrears_months,'Loan Tape (S&amp;P)'!AN82,
    IF(arrears_months=0,1.00,
    IF(arrears_months=1,3.00,
    IF(arrears_months=2,5.00,
    IF(arrears_months=3,8.00,
    IF(arrears_months=4,10.00,
    IF(arrears_months=5,12.00,15.00)))))))</f>
        <v/>
      </c>
      <c r="M82" s="21">
        <f>LET(
    seasoning_years,DATEDIF('Loan Tape (S&amp;P)'!K82,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" s="21">
        <f>IF(AND('Loan Tape (S&amp;P)'!U82="Yes",
        'Loan Tape (S&amp;P)'!T82&lt;&gt;"Yes",
        DATEDIF('Loan Tape (S&amp;P)'!K82, TODAY(), "M")&lt;18),
    1.10,
    1.00)</f>
        <v/>
      </c>
      <c r="O82" s="21">
        <f>IF('Loan Tape (S&amp;P)'!T82="Yes",
    1.35,
    1.00)</f>
        <v/>
      </c>
      <c r="P82" s="21">
        <f>IF('Loan Tape (S&amp;P)'!S82="Yes",
    1.15,
    1.00)</f>
        <v/>
      </c>
      <c r="Q82" s="21">
        <f>IF('Loan Tape (S&amp;P)'!V82="Yes",
    1.20,
    1.00)</f>
        <v/>
      </c>
      <c r="R82" s="21">
        <f>IF('Loan Tape (S&amp;P)'!T82="Yes",
    'FF Adj Parameters'!$B$40,
    1.00)</f>
        <v/>
      </c>
      <c r="S82" s="21">
        <f>LET(
    is_htb,'Loan Tape (S&amp;P)'!Q82="Yes",
    rate_type,'Loan Tape (S&amp;P)'!AS82,
    months_to_mat,'Loan Tape (S&amp;P)'!AU82,
    threshold,'FF Adj Parameters'!$B$1282,
    has_shock,AND(rate_type="Fixed",months_to_mat&lt;=threshold),
    IF(is_htb,1.00,IF(has_shock,'FF Adj Parameters'!$B$41,1.00))
)</f>
        <v/>
      </c>
      <c r="T82" s="21">
        <f>LET(
    payment_method,'Loan Tape (S&amp;P)'!P82,
    occupancy,'Loan Tape (S&amp;P)'!N82,
    maturity_date,'Loan Tape (S&amp;P)'!L82,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82" s="21">
        <f>IF(AND('Loan Tape (S&amp;P)'!V82="Yes",'Loan Tape (S&amp;P)'!N82&lt;&gt;"Buy to Let"),
    'FF Adj Parameters'!$B$42,
    1.00)</f>
        <v/>
      </c>
      <c r="V82" s="21">
        <f>IF('Loan Tape (S&amp;P)'!AV82="Yes",
    'FF Adj Parameters'!$B$43,
    1.00)</f>
        <v/>
      </c>
      <c r="W82" s="23">
        <f>IF('Loan Tape (S&amp;P)'!AC82&gt;0,
    'FF Adj Parameters'!$B$44,
    1.00)</f>
        <v/>
      </c>
      <c r="X82" s="21">
        <f>LET(
    has_bankruptcy,'Loan Tape (S&amp;P)'!AE82="Yes",
    has_iva,'Loan Tape (S&amp;P)'!AF82="Yes",
    has_repo,'Loan Tape (S&amp;P)'!AI82="Yes",
    mult,IF(has_repo,'FF Adj Parameters'!$B$47,
            IF(has_bankruptcy,'FF Adj Parameters'!$B$482,
                IF(has_iva,'FF Adj Parameters'!$B$46,
                    1.00))),
    MAX(mult,0.820)
)</f>
        <v/>
      </c>
      <c r="Y82" s="21">
        <f>LET(
    has_perf_arr,'Loan Tape (S&amp;P)'!AP82="Yes",
    perf_arr_date,'Loan Tape (S&amp;P)'!AQ82,
    last_90_date,'Loan Tape (S&amp;P)'!AR82,
    threshold_years,VLOOKUP('Control Panel'!$B$6,'Jurisdiction Parameters'!$A:$Q,17,FALSE),
    relevant_date,MAX(perf_arr_date,last_90_date),
    years_since,('Control Panel'!$B$10-relevant_date)/3682.282,
    IF(NOT(has_perf_arr),1.00,
        IF(years_since&gt;threshold_years,1.00,
            IF(years_since&lt;=1,INDEX('FF Adj Parameters'!$C$47:$C$820,1),
                IF(years_since&lt;=2,INDEX('FF Adj Parameters'!$C$47:$C$820,2),
                    IF(years_since&lt;=3,INDEX('FF Adj Parameters'!$C$47:$C$820,3),
                        INDEX('FF Adj Parameters'!$C$47:$C$820,4))))))
)</f>
        <v/>
      </c>
      <c r="Z82" s="24">
        <f>IFERROR(
        IF(L82&gt;=100,1.00,
            'Control Panel'!$B$18*F82*G82*MAX(H82,R82)*I82*J82*K82*L82*M82*N82*O82*P82*Q82*S82*T82*U82*V82*W82*X82*Y82
        ),
    0)</f>
        <v/>
      </c>
    </row>
    <row r="83">
      <c r="A83" s="17">
        <f>'Loan Tape (S&amp;P)'!A83</f>
        <v/>
      </c>
      <c r="B83" s="18">
        <f>'Loan Tape (S&amp;P)'!B83</f>
        <v/>
      </c>
      <c r="C83" s="20">
        <f>IFERROR('Loan Tape (S&amp;P)'!C83/'Loan Tape (S&amp;P)'!E83,0)</f>
        <v/>
      </c>
      <c r="D83" s="20">
        <f>IFERROR(
        'Loan Tape (S&amp;P)'!B83/
        ('Loan Tape (S&amp;P)'!D83*
        (1-IF('Loan Tape (S&amp;P)'!AT83&lt;&gt;"Full",
            VLOOKUP('Control Panel'!$B$6,'Jurisdiction Parameters'!$A:$D,4,FALSE),
        0))),
    0)</f>
        <v/>
      </c>
      <c r="E83" s="20">
        <f>('Control Panel'!$B$12*C83)+('Control Panel'!$B$13*D83)</f>
        <v/>
      </c>
      <c r="F83" s="22">
        <f>IFERROR(
        LET(
            juris,'Control Panel'!$B$6,
            ltv_val,E83,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3" s="21">
        <f>'Control Panel'!$B$14</f>
        <v/>
      </c>
      <c r="H83" s="21">
        <f>LET(
    income_mult,'Loan Tape (S&amp;P)'!Z83,
    IF(income_mult=0,1.00,
        IFERROR(
            INDEX('FF Adj Parameters'!$A$183:$B$17,
                MATCH(income_mult,INDEX('FF Adj Parameters'!$A$183:$B$17,,1),1),2),
            1.830))
)</f>
        <v/>
      </c>
      <c r="I83" s="21">
        <f>IF('Loan Tape (S&amp;P)'!N83&lt;&gt;"Buy to Let",1.00,
    LET(
        dscr,'Loan Tape (S&amp;P)'!AA83,
        IF(dscr=0,INDEX('FF Adj Parameters'!$A$21:$B$283,1,2),
            IFERROR(
                INDEX('FF Adj Parameters'!$A$21:$B$283,
                    MATCH(dscr,INDEX('FF Adj Parameters'!$A$21:$B$283,,1),1),2),
                'FF Adj Parameters'!$B$21)))
)</f>
        <v/>
      </c>
      <c r="J83" s="21">
        <f>LET(
    lien,'Loan Tape (S&amp;P)'!Q83,
    IF(lien="First",1.00,
        IF(lien="Second",1.50,
            1.70)))</f>
        <v/>
      </c>
      <c r="K83" s="21">
        <f>LET(
    purpose,'Loan Tape (S&amp;P)'!R83,
    IF(purpose="Purchase",1.00,
        IF(purpose="Remortgage",1.00,
            1.20)))</f>
        <v/>
      </c>
      <c r="L83" s="21">
        <f>LET(
    arrears_months,'Loan Tape (S&amp;P)'!AN83,
    IF(arrears_months=0,1.00,
    IF(arrears_months=1,3.00,
    IF(arrears_months=2,5.00,
    IF(arrears_months=3,8.00,
    IF(arrears_months=4,10.00,
    IF(arrears_months=5,12.00,15.00)))))))</f>
        <v/>
      </c>
      <c r="M83" s="21">
        <f>LET(
    seasoning_years,DATEDIF('Loan Tape (S&amp;P)'!K83,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" s="21">
        <f>IF(AND('Loan Tape (S&amp;P)'!U83="Yes",
        'Loan Tape (S&amp;P)'!T83&lt;&gt;"Yes",
        DATEDIF('Loan Tape (S&amp;P)'!K83, TODAY(), "M")&lt;18),
    1.10,
    1.00)</f>
        <v/>
      </c>
      <c r="O83" s="21">
        <f>IF('Loan Tape (S&amp;P)'!T83="Yes",
    1.35,
    1.00)</f>
        <v/>
      </c>
      <c r="P83" s="21">
        <f>IF('Loan Tape (S&amp;P)'!S83="Yes",
    1.15,
    1.00)</f>
        <v/>
      </c>
      <c r="Q83" s="21">
        <f>IF('Loan Tape (S&amp;P)'!V83="Yes",
    1.20,
    1.00)</f>
        <v/>
      </c>
      <c r="R83" s="21">
        <f>IF('Loan Tape (S&amp;P)'!T83="Yes",
    'FF Adj Parameters'!$B$40,
    1.00)</f>
        <v/>
      </c>
      <c r="S83" s="21">
        <f>LET(
    is_htb,'Loan Tape (S&amp;P)'!Q83="Yes",
    rate_type,'Loan Tape (S&amp;P)'!AS83,
    months_to_mat,'Loan Tape (S&amp;P)'!AU83,
    threshold,'FF Adj Parameters'!$B$1283,
    has_shock,AND(rate_type="Fixed",months_to_mat&lt;=threshold),
    IF(is_htb,1.00,IF(has_shock,'FF Adj Parameters'!$B$41,1.00))
)</f>
        <v/>
      </c>
      <c r="T83" s="21">
        <f>LET(
    payment_method,'Loan Tape (S&amp;P)'!P83,
    occupancy,'Loan Tape (S&amp;P)'!N83,
    maturity_date,'Loan Tape (S&amp;P)'!L83,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83" s="21">
        <f>IF(AND('Loan Tape (S&amp;P)'!V83="Yes",'Loan Tape (S&amp;P)'!N83&lt;&gt;"Buy to Let"),
    'FF Adj Parameters'!$B$42,
    1.00)</f>
        <v/>
      </c>
      <c r="V83" s="21">
        <f>IF('Loan Tape (S&amp;P)'!AV83="Yes",
    'FF Adj Parameters'!$B$43,
    1.00)</f>
        <v/>
      </c>
      <c r="W83" s="23">
        <f>IF('Loan Tape (S&amp;P)'!AC83&gt;0,
    'FF Adj Parameters'!$B$44,
    1.00)</f>
        <v/>
      </c>
      <c r="X83" s="21">
        <f>LET(
    has_bankruptcy,'Loan Tape (S&amp;P)'!AE83="Yes",
    has_iva,'Loan Tape (S&amp;P)'!AF83="Yes",
    has_repo,'Loan Tape (S&amp;P)'!AI83="Yes",
    mult,IF(has_repo,'FF Adj Parameters'!$B$47,
            IF(has_bankruptcy,'FF Adj Parameters'!$B$483,
                IF(has_iva,'FF Adj Parameters'!$B$46,
                    1.00))),
    MAX(mult,0.830)
)</f>
        <v/>
      </c>
      <c r="Y83" s="21">
        <f>LET(
    has_perf_arr,'Loan Tape (S&amp;P)'!AP83="Yes",
    perf_arr_date,'Loan Tape (S&amp;P)'!AQ83,
    last_90_date,'Loan Tape (S&amp;P)'!AR83,
    threshold_years,VLOOKUP('Control Panel'!$B$6,'Jurisdiction Parameters'!$A:$Q,17,FALSE),
    relevant_date,MAX(perf_arr_date,last_90_date),
    years_since,('Control Panel'!$B$10-relevant_date)/3683.283,
    IF(NOT(has_perf_arr),1.00,
        IF(years_since&gt;threshold_years,1.00,
            IF(years_since&lt;=1,INDEX('FF Adj Parameters'!$C$47:$C$830,1),
                IF(years_since&lt;=2,INDEX('FF Adj Parameters'!$C$47:$C$830,2),
                    IF(years_since&lt;=3,INDEX('FF Adj Parameters'!$C$47:$C$830,3),
                        INDEX('FF Adj Parameters'!$C$47:$C$830,4))))))
)</f>
        <v/>
      </c>
      <c r="Z83" s="24">
        <f>IFERROR(
        IF(L83&gt;=100,1.00,
            'Control Panel'!$B$18*F83*G83*MAX(H83,R83)*I83*J83*K83*L83*M83*N83*O83*P83*Q83*S83*T83*U83*V83*W83*X83*Y83
        ),
    0)</f>
        <v/>
      </c>
    </row>
    <row r="84">
      <c r="A84" s="17">
        <f>'Loan Tape (S&amp;P)'!A84</f>
        <v/>
      </c>
      <c r="B84" s="18">
        <f>'Loan Tape (S&amp;P)'!B84</f>
        <v/>
      </c>
      <c r="C84" s="20">
        <f>IFERROR('Loan Tape (S&amp;P)'!C84/'Loan Tape (S&amp;P)'!E84,0)</f>
        <v/>
      </c>
      <c r="D84" s="20">
        <f>IFERROR(
        'Loan Tape (S&amp;P)'!B84/
        ('Loan Tape (S&amp;P)'!D84*
        (1-IF('Loan Tape (S&amp;P)'!AT84&lt;&gt;"Full",
            VLOOKUP('Control Panel'!$B$6,'Jurisdiction Parameters'!$A:$D,4,FALSE),
        0))),
    0)</f>
        <v/>
      </c>
      <c r="E84" s="20">
        <f>('Control Panel'!$B$12*C84)+('Control Panel'!$B$13*D84)</f>
        <v/>
      </c>
      <c r="F84" s="22">
        <f>IFERROR(
        LET(
            juris,'Control Panel'!$B$6,
            ltv_val,E84,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4" s="21">
        <f>'Control Panel'!$B$14</f>
        <v/>
      </c>
      <c r="H84" s="21">
        <f>LET(
    income_mult,'Loan Tape (S&amp;P)'!Z84,
    IF(income_mult=0,1.00,
        IFERROR(
            INDEX('FF Adj Parameters'!$A$184:$B$17,
                MATCH(income_mult,INDEX('FF Adj Parameters'!$A$184:$B$17,,1),1),2),
            1.840))
)</f>
        <v/>
      </c>
      <c r="I84" s="21">
        <f>IF('Loan Tape (S&amp;P)'!N84&lt;&gt;"Buy to Let",1.00,
    LET(
        dscr,'Loan Tape (S&amp;P)'!AA84,
        IF(dscr=0,INDEX('FF Adj Parameters'!$A$21:$B$284,1,2),
            IFERROR(
                INDEX('FF Adj Parameters'!$A$21:$B$284,
                    MATCH(dscr,INDEX('FF Adj Parameters'!$A$21:$B$284,,1),1),2),
                'FF Adj Parameters'!$B$21)))
)</f>
        <v/>
      </c>
      <c r="J84" s="21">
        <f>LET(
    lien,'Loan Tape (S&amp;P)'!Q84,
    IF(lien="First",1.00,
        IF(lien="Second",1.50,
            1.70)))</f>
        <v/>
      </c>
      <c r="K84" s="21">
        <f>LET(
    purpose,'Loan Tape (S&amp;P)'!R84,
    IF(purpose="Purchase",1.00,
        IF(purpose="Remortgage",1.00,
            1.20)))</f>
        <v/>
      </c>
      <c r="L84" s="21">
        <f>LET(
    arrears_months,'Loan Tape (S&amp;P)'!AN84,
    IF(arrears_months=0,1.00,
    IF(arrears_months=1,3.00,
    IF(arrears_months=2,5.00,
    IF(arrears_months=3,8.00,
    IF(arrears_months=4,10.00,
    IF(arrears_months=5,12.00,15.00)))))))</f>
        <v/>
      </c>
      <c r="M84" s="21">
        <f>LET(
    seasoning_years,DATEDIF('Loan Tape (S&amp;P)'!K84,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" s="21">
        <f>IF(AND('Loan Tape (S&amp;P)'!U84="Yes",
        'Loan Tape (S&amp;P)'!T84&lt;&gt;"Yes",
        DATEDIF('Loan Tape (S&amp;P)'!K84, TODAY(), "M")&lt;18),
    1.10,
    1.00)</f>
        <v/>
      </c>
      <c r="O84" s="21">
        <f>IF('Loan Tape (S&amp;P)'!T84="Yes",
    1.35,
    1.00)</f>
        <v/>
      </c>
      <c r="P84" s="21">
        <f>IF('Loan Tape (S&amp;P)'!S84="Yes",
    1.15,
    1.00)</f>
        <v/>
      </c>
      <c r="Q84" s="21">
        <f>IF('Loan Tape (S&amp;P)'!V84="Yes",
    1.20,
    1.00)</f>
        <v/>
      </c>
      <c r="R84" s="21">
        <f>IF('Loan Tape (S&amp;P)'!T84="Yes",
    'FF Adj Parameters'!$B$40,
    1.00)</f>
        <v/>
      </c>
      <c r="S84" s="21">
        <f>LET(
    is_htb,'Loan Tape (S&amp;P)'!Q84="Yes",
    rate_type,'Loan Tape (S&amp;P)'!AS84,
    months_to_mat,'Loan Tape (S&amp;P)'!AU84,
    threshold,'FF Adj Parameters'!$B$1284,
    has_shock,AND(rate_type="Fixed",months_to_mat&lt;=threshold),
    IF(is_htb,1.00,IF(has_shock,'FF Adj Parameters'!$B$41,1.00))
)</f>
        <v/>
      </c>
      <c r="T84" s="21">
        <f>LET(
    payment_method,'Loan Tape (S&amp;P)'!P84,
    occupancy,'Loan Tape (S&amp;P)'!N84,
    maturity_date,'Loan Tape (S&amp;P)'!L84,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84" s="21">
        <f>IF(AND('Loan Tape (S&amp;P)'!V84="Yes",'Loan Tape (S&amp;P)'!N84&lt;&gt;"Buy to Let"),
    'FF Adj Parameters'!$B$42,
    1.00)</f>
        <v/>
      </c>
      <c r="V84" s="21">
        <f>IF('Loan Tape (S&amp;P)'!AV84="Yes",
    'FF Adj Parameters'!$B$43,
    1.00)</f>
        <v/>
      </c>
      <c r="W84" s="23">
        <f>IF('Loan Tape (S&amp;P)'!AC84&gt;0,
    'FF Adj Parameters'!$B$44,
    1.00)</f>
        <v/>
      </c>
      <c r="X84" s="21">
        <f>LET(
    has_bankruptcy,'Loan Tape (S&amp;P)'!AE84="Yes",
    has_iva,'Loan Tape (S&amp;P)'!AF84="Yes",
    has_repo,'Loan Tape (S&amp;P)'!AI84="Yes",
    mult,IF(has_repo,'FF Adj Parameters'!$B$47,
            IF(has_bankruptcy,'FF Adj Parameters'!$B$484,
                IF(has_iva,'FF Adj Parameters'!$B$46,
                    1.00))),
    MAX(mult,0.840)
)</f>
        <v/>
      </c>
      <c r="Y84" s="21">
        <f>LET(
    has_perf_arr,'Loan Tape (S&amp;P)'!AP84="Yes",
    perf_arr_date,'Loan Tape (S&amp;P)'!AQ84,
    last_90_date,'Loan Tape (S&amp;P)'!AR84,
    threshold_years,VLOOKUP('Control Panel'!$B$6,'Jurisdiction Parameters'!$A:$Q,17,FALSE),
    relevant_date,MAX(perf_arr_date,last_90_date),
    years_since,('Control Panel'!$B$10-relevant_date)/3684.284,
    IF(NOT(has_perf_arr),1.00,
        IF(years_since&gt;threshold_years,1.00,
            IF(years_since&lt;=1,INDEX('FF Adj Parameters'!$C$47:$C$840,1),
                IF(years_since&lt;=2,INDEX('FF Adj Parameters'!$C$47:$C$840,2),
                    IF(years_since&lt;=3,INDEX('FF Adj Parameters'!$C$47:$C$840,3),
                        INDEX('FF Adj Parameters'!$C$47:$C$840,4))))))
)</f>
        <v/>
      </c>
      <c r="Z84" s="24">
        <f>IFERROR(
        IF(L84&gt;=100,1.00,
            'Control Panel'!$B$18*F84*G84*MAX(H84,R84)*I84*J84*K84*L84*M84*N84*O84*P84*Q84*S84*T84*U84*V84*W84*X84*Y84
        ),
    0)</f>
        <v/>
      </c>
    </row>
    <row r="85">
      <c r="A85" s="17">
        <f>'Loan Tape (S&amp;P)'!A85</f>
        <v/>
      </c>
      <c r="B85" s="18">
        <f>'Loan Tape (S&amp;P)'!B85</f>
        <v/>
      </c>
      <c r="C85" s="20">
        <f>IFERROR('Loan Tape (S&amp;P)'!C85/'Loan Tape (S&amp;P)'!E85,0)</f>
        <v/>
      </c>
      <c r="D85" s="20">
        <f>IFERROR(
        'Loan Tape (S&amp;P)'!B85/
        ('Loan Tape (S&amp;P)'!D85*
        (1-IF('Loan Tape (S&amp;P)'!AT85&lt;&gt;"Full",
            VLOOKUP('Control Panel'!$B$6,'Jurisdiction Parameters'!$A:$D,4,FALSE),
        0))),
    0)</f>
        <v/>
      </c>
      <c r="E85" s="20">
        <f>('Control Panel'!$B$12*C85)+('Control Panel'!$B$13*D85)</f>
        <v/>
      </c>
      <c r="F85" s="22">
        <f>IFERROR(
        LET(
            juris,'Control Panel'!$B$6,
            ltv_val,E85,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5" s="21">
        <f>'Control Panel'!$B$14</f>
        <v/>
      </c>
      <c r="H85" s="21">
        <f>LET(
    income_mult,'Loan Tape (S&amp;P)'!Z85,
    IF(income_mult=0,1.00,
        IFERROR(
            INDEX('FF Adj Parameters'!$A$185:$B$17,
                MATCH(income_mult,INDEX('FF Adj Parameters'!$A$185:$B$17,,1),1),2),
            1.850))
)</f>
        <v/>
      </c>
      <c r="I85" s="21">
        <f>IF('Loan Tape (S&amp;P)'!N85&lt;&gt;"Buy to Let",1.00,
    LET(
        dscr,'Loan Tape (S&amp;P)'!AA85,
        IF(dscr=0,INDEX('FF Adj Parameters'!$A$21:$B$285,1,2),
            IFERROR(
                INDEX('FF Adj Parameters'!$A$21:$B$285,
                    MATCH(dscr,INDEX('FF Adj Parameters'!$A$21:$B$285,,1),1),2),
                'FF Adj Parameters'!$B$21)))
)</f>
        <v/>
      </c>
      <c r="J85" s="21">
        <f>LET(
    lien,'Loan Tape (S&amp;P)'!Q85,
    IF(lien="First",1.00,
        IF(lien="Second",1.50,
            1.70)))</f>
        <v/>
      </c>
      <c r="K85" s="21">
        <f>LET(
    purpose,'Loan Tape (S&amp;P)'!R85,
    IF(purpose="Purchase",1.00,
        IF(purpose="Remortgage",1.00,
            1.20)))</f>
        <v/>
      </c>
      <c r="L85" s="21">
        <f>LET(
    arrears_months,'Loan Tape (S&amp;P)'!AN85,
    IF(arrears_months=0,1.00,
    IF(arrears_months=1,3.00,
    IF(arrears_months=2,5.00,
    IF(arrears_months=3,8.00,
    IF(arrears_months=4,10.00,
    IF(arrears_months=5,12.00,15.00)))))))</f>
        <v/>
      </c>
      <c r="M85" s="21">
        <f>LET(
    seasoning_years,DATEDIF('Loan Tape (S&amp;P)'!K85,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" s="21">
        <f>IF(AND('Loan Tape (S&amp;P)'!U85="Yes",
        'Loan Tape (S&amp;P)'!T85&lt;&gt;"Yes",
        DATEDIF('Loan Tape (S&amp;P)'!K85, TODAY(), "M")&lt;18),
    1.10,
    1.00)</f>
        <v/>
      </c>
      <c r="O85" s="21">
        <f>IF('Loan Tape (S&amp;P)'!T85="Yes",
    1.35,
    1.00)</f>
        <v/>
      </c>
      <c r="P85" s="21">
        <f>IF('Loan Tape (S&amp;P)'!S85="Yes",
    1.15,
    1.00)</f>
        <v/>
      </c>
      <c r="Q85" s="21">
        <f>IF('Loan Tape (S&amp;P)'!V85="Yes",
    1.20,
    1.00)</f>
        <v/>
      </c>
      <c r="R85" s="21">
        <f>IF('Loan Tape (S&amp;P)'!T85="Yes",
    'FF Adj Parameters'!$B$40,
    1.00)</f>
        <v/>
      </c>
      <c r="S85" s="21">
        <f>LET(
    is_htb,'Loan Tape (S&amp;P)'!Q85="Yes",
    rate_type,'Loan Tape (S&amp;P)'!AS85,
    months_to_mat,'Loan Tape (S&amp;P)'!AU85,
    threshold,'FF Adj Parameters'!$B$1285,
    has_shock,AND(rate_type="Fixed",months_to_mat&lt;=threshold),
    IF(is_htb,1.00,IF(has_shock,'FF Adj Parameters'!$B$41,1.00))
)</f>
        <v/>
      </c>
      <c r="T85" s="21">
        <f>LET(
    payment_method,'Loan Tape (S&amp;P)'!P85,
    occupancy,'Loan Tape (S&amp;P)'!N85,
    maturity_date,'Loan Tape (S&amp;P)'!L85,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85" s="21">
        <f>IF(AND('Loan Tape (S&amp;P)'!V85="Yes",'Loan Tape (S&amp;P)'!N85&lt;&gt;"Buy to Let"),
    'FF Adj Parameters'!$B$42,
    1.00)</f>
        <v/>
      </c>
      <c r="V85" s="21">
        <f>IF('Loan Tape (S&amp;P)'!AV85="Yes",
    'FF Adj Parameters'!$B$43,
    1.00)</f>
        <v/>
      </c>
      <c r="W85" s="23">
        <f>IF('Loan Tape (S&amp;P)'!AC85&gt;0,
    'FF Adj Parameters'!$B$44,
    1.00)</f>
        <v/>
      </c>
      <c r="X85" s="21">
        <f>LET(
    has_bankruptcy,'Loan Tape (S&amp;P)'!AE85="Yes",
    has_iva,'Loan Tape (S&amp;P)'!AF85="Yes",
    has_repo,'Loan Tape (S&amp;P)'!AI85="Yes",
    mult,IF(has_repo,'FF Adj Parameters'!$B$47,
            IF(has_bankruptcy,'FF Adj Parameters'!$B$485,
                IF(has_iva,'FF Adj Parameters'!$B$46,
                    1.00))),
    MAX(mult,0.850)
)</f>
        <v/>
      </c>
      <c r="Y85" s="21">
        <f>LET(
    has_perf_arr,'Loan Tape (S&amp;P)'!AP85="Yes",
    perf_arr_date,'Loan Tape (S&amp;P)'!AQ85,
    last_90_date,'Loan Tape (S&amp;P)'!AR85,
    threshold_years,VLOOKUP('Control Panel'!$B$6,'Jurisdiction Parameters'!$A:$Q,17,FALSE),
    relevant_date,MAX(perf_arr_date,last_90_date),
    years_since,('Control Panel'!$B$10-relevant_date)/3685.285,
    IF(NOT(has_perf_arr),1.00,
        IF(years_since&gt;threshold_years,1.00,
            IF(years_since&lt;=1,INDEX('FF Adj Parameters'!$C$47:$C$850,1),
                IF(years_since&lt;=2,INDEX('FF Adj Parameters'!$C$47:$C$850,2),
                    IF(years_since&lt;=3,INDEX('FF Adj Parameters'!$C$47:$C$850,3),
                        INDEX('FF Adj Parameters'!$C$47:$C$850,4))))))
)</f>
        <v/>
      </c>
      <c r="Z85" s="24">
        <f>IFERROR(
        IF(L85&gt;=100,1.00,
            'Control Panel'!$B$18*F85*G85*MAX(H85,R85)*I85*J85*K85*L85*M85*N85*O85*P85*Q85*S85*T85*U85*V85*W85*X85*Y85
        ),
    0)</f>
        <v/>
      </c>
    </row>
    <row r="86">
      <c r="A86" s="17">
        <f>'Loan Tape (S&amp;P)'!A86</f>
        <v/>
      </c>
      <c r="B86" s="18">
        <f>'Loan Tape (S&amp;P)'!B86</f>
        <v/>
      </c>
      <c r="C86" s="20">
        <f>IFERROR('Loan Tape (S&amp;P)'!C86/'Loan Tape (S&amp;P)'!E86,0)</f>
        <v/>
      </c>
      <c r="D86" s="20">
        <f>IFERROR(
        'Loan Tape (S&amp;P)'!B86/
        ('Loan Tape (S&amp;P)'!D86*
        (1-IF('Loan Tape (S&amp;P)'!AT86&lt;&gt;"Full",
            VLOOKUP('Control Panel'!$B$6,'Jurisdiction Parameters'!$A:$D,4,FALSE),
        0))),
    0)</f>
        <v/>
      </c>
      <c r="E86" s="20">
        <f>('Control Panel'!$B$12*C86)+('Control Panel'!$B$13*D86)</f>
        <v/>
      </c>
      <c r="F86" s="22">
        <f>IFERROR(
        LET(
            juris,'Control Panel'!$B$6,
            ltv_val,E86,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6" s="21">
        <f>'Control Panel'!$B$14</f>
        <v/>
      </c>
      <c r="H86" s="21">
        <f>LET(
    income_mult,'Loan Tape (S&amp;P)'!Z86,
    IF(income_mult=0,1.00,
        IFERROR(
            INDEX('FF Adj Parameters'!$A$186:$B$17,
                MATCH(income_mult,INDEX('FF Adj Parameters'!$A$186:$B$17,,1),1),2),
            1.860))
)</f>
        <v/>
      </c>
      <c r="I86" s="21">
        <f>IF('Loan Tape (S&amp;P)'!N86&lt;&gt;"Buy to Let",1.00,
    LET(
        dscr,'Loan Tape (S&amp;P)'!AA86,
        IF(dscr=0,INDEX('FF Adj Parameters'!$A$21:$B$286,1,2),
            IFERROR(
                INDEX('FF Adj Parameters'!$A$21:$B$286,
                    MATCH(dscr,INDEX('FF Adj Parameters'!$A$21:$B$286,,1),1),2),
                'FF Adj Parameters'!$B$21)))
)</f>
        <v/>
      </c>
      <c r="J86" s="21">
        <f>LET(
    lien,'Loan Tape (S&amp;P)'!Q86,
    IF(lien="First",1.00,
        IF(lien="Second",1.50,
            1.70)))</f>
        <v/>
      </c>
      <c r="K86" s="21">
        <f>LET(
    purpose,'Loan Tape (S&amp;P)'!R86,
    IF(purpose="Purchase",1.00,
        IF(purpose="Remortgage",1.00,
            1.20)))</f>
        <v/>
      </c>
      <c r="L86" s="21">
        <f>LET(
    arrears_months,'Loan Tape (S&amp;P)'!AN86,
    IF(arrears_months=0,1.00,
    IF(arrears_months=1,3.00,
    IF(arrears_months=2,5.00,
    IF(arrears_months=3,8.00,
    IF(arrears_months=4,10.00,
    IF(arrears_months=5,12.00,15.00)))))))</f>
        <v/>
      </c>
      <c r="M86" s="21">
        <f>LET(
    seasoning_years,DATEDIF('Loan Tape (S&amp;P)'!K86,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" s="21">
        <f>IF(AND('Loan Tape (S&amp;P)'!U86="Yes",
        'Loan Tape (S&amp;P)'!T86&lt;&gt;"Yes",
        DATEDIF('Loan Tape (S&amp;P)'!K86, TODAY(), "M")&lt;18),
    1.10,
    1.00)</f>
        <v/>
      </c>
      <c r="O86" s="21">
        <f>IF('Loan Tape (S&amp;P)'!T86="Yes",
    1.35,
    1.00)</f>
        <v/>
      </c>
      <c r="P86" s="21">
        <f>IF('Loan Tape (S&amp;P)'!S86="Yes",
    1.15,
    1.00)</f>
        <v/>
      </c>
      <c r="Q86" s="21">
        <f>IF('Loan Tape (S&amp;P)'!V86="Yes",
    1.20,
    1.00)</f>
        <v/>
      </c>
      <c r="R86" s="21">
        <f>IF('Loan Tape (S&amp;P)'!T86="Yes",
    'FF Adj Parameters'!$B$40,
    1.00)</f>
        <v/>
      </c>
      <c r="S86" s="21">
        <f>LET(
    is_htb,'Loan Tape (S&amp;P)'!Q86="Yes",
    rate_type,'Loan Tape (S&amp;P)'!AS86,
    months_to_mat,'Loan Tape (S&amp;P)'!AU86,
    threshold,'FF Adj Parameters'!$B$1286,
    has_shock,AND(rate_type="Fixed",months_to_mat&lt;=threshold),
    IF(is_htb,1.00,IF(has_shock,'FF Adj Parameters'!$B$41,1.00))
)</f>
        <v/>
      </c>
      <c r="T86" s="21">
        <f>LET(
    payment_method,'Loan Tape (S&amp;P)'!P86,
    occupancy,'Loan Tape (S&amp;P)'!N86,
    maturity_date,'Loan Tape (S&amp;P)'!L86,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86" s="21">
        <f>IF(AND('Loan Tape (S&amp;P)'!V86="Yes",'Loan Tape (S&amp;P)'!N86&lt;&gt;"Buy to Let"),
    'FF Adj Parameters'!$B$42,
    1.00)</f>
        <v/>
      </c>
      <c r="V86" s="21">
        <f>IF('Loan Tape (S&amp;P)'!AV86="Yes",
    'FF Adj Parameters'!$B$43,
    1.00)</f>
        <v/>
      </c>
      <c r="W86" s="23">
        <f>IF('Loan Tape (S&amp;P)'!AC86&gt;0,
    'FF Adj Parameters'!$B$44,
    1.00)</f>
        <v/>
      </c>
      <c r="X86" s="21">
        <f>LET(
    has_bankruptcy,'Loan Tape (S&amp;P)'!AE86="Yes",
    has_iva,'Loan Tape (S&amp;P)'!AF86="Yes",
    has_repo,'Loan Tape (S&amp;P)'!AI86="Yes",
    mult,IF(has_repo,'FF Adj Parameters'!$B$47,
            IF(has_bankruptcy,'FF Adj Parameters'!$B$486,
                IF(has_iva,'FF Adj Parameters'!$B$46,
                    1.00))),
    MAX(mult,0.860)
)</f>
        <v/>
      </c>
      <c r="Y86" s="21">
        <f>LET(
    has_perf_arr,'Loan Tape (S&amp;P)'!AP86="Yes",
    perf_arr_date,'Loan Tape (S&amp;P)'!AQ86,
    last_90_date,'Loan Tape (S&amp;P)'!AR86,
    threshold_years,VLOOKUP('Control Panel'!$B$6,'Jurisdiction Parameters'!$A:$Q,17,FALSE),
    relevant_date,MAX(perf_arr_date,last_90_date),
    years_since,('Control Panel'!$B$10-relevant_date)/3686.286,
    IF(NOT(has_perf_arr),1.00,
        IF(years_since&gt;threshold_years,1.00,
            IF(years_since&lt;=1,INDEX('FF Adj Parameters'!$C$47:$C$860,1),
                IF(years_since&lt;=2,INDEX('FF Adj Parameters'!$C$47:$C$860,2),
                    IF(years_since&lt;=3,INDEX('FF Adj Parameters'!$C$47:$C$860,3),
                        INDEX('FF Adj Parameters'!$C$47:$C$860,4))))))
)</f>
        <v/>
      </c>
      <c r="Z86" s="24">
        <f>IFERROR(
        IF(L86&gt;=100,1.00,
            'Control Panel'!$B$18*F86*G86*MAX(H86,R86)*I86*J86*K86*L86*M86*N86*O86*P86*Q86*S86*T86*U86*V86*W86*X86*Y86
        ),
    0)</f>
        <v/>
      </c>
    </row>
    <row r="87">
      <c r="A87" s="17">
        <f>'Loan Tape (S&amp;P)'!A87</f>
        <v/>
      </c>
      <c r="B87" s="18">
        <f>'Loan Tape (S&amp;P)'!B87</f>
        <v/>
      </c>
      <c r="C87" s="20">
        <f>IFERROR('Loan Tape (S&amp;P)'!C87/'Loan Tape (S&amp;P)'!E87,0)</f>
        <v/>
      </c>
      <c r="D87" s="20">
        <f>IFERROR(
        'Loan Tape (S&amp;P)'!B87/
        ('Loan Tape (S&amp;P)'!D87*
        (1-IF('Loan Tape (S&amp;P)'!AT87&lt;&gt;"Full",
            VLOOKUP('Control Panel'!$B$6,'Jurisdiction Parameters'!$A:$D,4,FALSE),
        0))),
    0)</f>
        <v/>
      </c>
      <c r="E87" s="20">
        <f>('Control Panel'!$B$12*C87)+('Control Panel'!$B$13*D87)</f>
        <v/>
      </c>
      <c r="F87" s="22">
        <f>IFERROR(
        LET(
            juris,'Control Panel'!$B$6,
            ltv_val,E87,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7" s="21">
        <f>'Control Panel'!$B$14</f>
        <v/>
      </c>
      <c r="H87" s="21">
        <f>LET(
    income_mult,'Loan Tape (S&amp;P)'!Z87,
    IF(income_mult=0,1.00,
        IFERROR(
            INDEX('FF Adj Parameters'!$A$187:$B$17,
                MATCH(income_mult,INDEX('FF Adj Parameters'!$A$187:$B$17,,1),1),2),
            1.870))
)</f>
        <v/>
      </c>
      <c r="I87" s="21">
        <f>IF('Loan Tape (S&amp;P)'!N87&lt;&gt;"Buy to Let",1.00,
    LET(
        dscr,'Loan Tape (S&amp;P)'!AA87,
        IF(dscr=0,INDEX('FF Adj Parameters'!$A$21:$B$287,1,2),
            IFERROR(
                INDEX('FF Adj Parameters'!$A$21:$B$287,
                    MATCH(dscr,INDEX('FF Adj Parameters'!$A$21:$B$287,,1),1),2),
                'FF Adj Parameters'!$B$21)))
)</f>
        <v/>
      </c>
      <c r="J87" s="21">
        <f>LET(
    lien,'Loan Tape (S&amp;P)'!Q87,
    IF(lien="First",1.00,
        IF(lien="Second",1.50,
            1.70)))</f>
        <v/>
      </c>
      <c r="K87" s="21">
        <f>LET(
    purpose,'Loan Tape (S&amp;P)'!R87,
    IF(purpose="Purchase",1.00,
        IF(purpose="Remortgage",1.00,
            1.20)))</f>
        <v/>
      </c>
      <c r="L87" s="21">
        <f>LET(
    arrears_months,'Loan Tape (S&amp;P)'!AN87,
    IF(arrears_months=0,1.00,
    IF(arrears_months=1,3.00,
    IF(arrears_months=2,5.00,
    IF(arrears_months=3,8.00,
    IF(arrears_months=4,10.00,
    IF(arrears_months=5,12.00,15.00)))))))</f>
        <v/>
      </c>
      <c r="M87" s="21">
        <f>LET(
    seasoning_years,DATEDIF('Loan Tape (S&amp;P)'!K87,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" s="21">
        <f>IF(AND('Loan Tape (S&amp;P)'!U87="Yes",
        'Loan Tape (S&amp;P)'!T87&lt;&gt;"Yes",
        DATEDIF('Loan Tape (S&amp;P)'!K87, TODAY(), "M")&lt;18),
    1.10,
    1.00)</f>
        <v/>
      </c>
      <c r="O87" s="21">
        <f>IF('Loan Tape (S&amp;P)'!T87="Yes",
    1.35,
    1.00)</f>
        <v/>
      </c>
      <c r="P87" s="21">
        <f>IF('Loan Tape (S&amp;P)'!S87="Yes",
    1.15,
    1.00)</f>
        <v/>
      </c>
      <c r="Q87" s="21">
        <f>IF('Loan Tape (S&amp;P)'!V87="Yes",
    1.20,
    1.00)</f>
        <v/>
      </c>
      <c r="R87" s="21">
        <f>IF('Loan Tape (S&amp;P)'!T87="Yes",
    'FF Adj Parameters'!$B$40,
    1.00)</f>
        <v/>
      </c>
      <c r="S87" s="21">
        <f>LET(
    is_htb,'Loan Tape (S&amp;P)'!Q87="Yes",
    rate_type,'Loan Tape (S&amp;P)'!AS87,
    months_to_mat,'Loan Tape (S&amp;P)'!AU87,
    threshold,'FF Adj Parameters'!$B$1287,
    has_shock,AND(rate_type="Fixed",months_to_mat&lt;=threshold),
    IF(is_htb,1.00,IF(has_shock,'FF Adj Parameters'!$B$41,1.00))
)</f>
        <v/>
      </c>
      <c r="T87" s="21">
        <f>LET(
    payment_method,'Loan Tape (S&amp;P)'!P87,
    occupancy,'Loan Tape (S&amp;P)'!N87,
    maturity_date,'Loan Tape (S&amp;P)'!L87,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87" s="21">
        <f>IF(AND('Loan Tape (S&amp;P)'!V87="Yes",'Loan Tape (S&amp;P)'!N87&lt;&gt;"Buy to Let"),
    'FF Adj Parameters'!$B$42,
    1.00)</f>
        <v/>
      </c>
      <c r="V87" s="21">
        <f>IF('Loan Tape (S&amp;P)'!AV87="Yes",
    'FF Adj Parameters'!$B$43,
    1.00)</f>
        <v/>
      </c>
      <c r="W87" s="23">
        <f>IF('Loan Tape (S&amp;P)'!AC87&gt;0,
    'FF Adj Parameters'!$B$44,
    1.00)</f>
        <v/>
      </c>
      <c r="X87" s="21">
        <f>LET(
    has_bankruptcy,'Loan Tape (S&amp;P)'!AE87="Yes",
    has_iva,'Loan Tape (S&amp;P)'!AF87="Yes",
    has_repo,'Loan Tape (S&amp;P)'!AI87="Yes",
    mult,IF(has_repo,'FF Adj Parameters'!$B$47,
            IF(has_bankruptcy,'FF Adj Parameters'!$B$487,
                IF(has_iva,'FF Adj Parameters'!$B$46,
                    1.00))),
    MAX(mult,0.870)
)</f>
        <v/>
      </c>
      <c r="Y87" s="21">
        <f>LET(
    has_perf_arr,'Loan Tape (S&amp;P)'!AP87="Yes",
    perf_arr_date,'Loan Tape (S&amp;P)'!AQ87,
    last_90_date,'Loan Tape (S&amp;P)'!AR87,
    threshold_years,VLOOKUP('Control Panel'!$B$6,'Jurisdiction Parameters'!$A:$Q,17,FALSE),
    relevant_date,MAX(perf_arr_date,last_90_date),
    years_since,('Control Panel'!$B$10-relevant_date)/3687.287,
    IF(NOT(has_perf_arr),1.00,
        IF(years_since&gt;threshold_years,1.00,
            IF(years_since&lt;=1,INDEX('FF Adj Parameters'!$C$47:$C$870,1),
                IF(years_since&lt;=2,INDEX('FF Adj Parameters'!$C$47:$C$870,2),
                    IF(years_since&lt;=3,INDEX('FF Adj Parameters'!$C$47:$C$870,3),
                        INDEX('FF Adj Parameters'!$C$47:$C$870,4))))))
)</f>
        <v/>
      </c>
      <c r="Z87" s="24">
        <f>IFERROR(
        IF(L87&gt;=100,1.00,
            'Control Panel'!$B$18*F87*G87*MAX(H87,R87)*I87*J87*K87*L87*M87*N87*O87*P87*Q87*S87*T87*U87*V87*W87*X87*Y87
        ),
    0)</f>
        <v/>
      </c>
    </row>
    <row r="88">
      <c r="A88" s="17">
        <f>'Loan Tape (S&amp;P)'!A88</f>
        <v/>
      </c>
      <c r="B88" s="18">
        <f>'Loan Tape (S&amp;P)'!B88</f>
        <v/>
      </c>
      <c r="C88" s="20">
        <f>IFERROR('Loan Tape (S&amp;P)'!C88/'Loan Tape (S&amp;P)'!E88,0)</f>
        <v/>
      </c>
      <c r="D88" s="20">
        <f>IFERROR(
        'Loan Tape (S&amp;P)'!B88/
        ('Loan Tape (S&amp;P)'!D88*
        (1-IF('Loan Tape (S&amp;P)'!AT88&lt;&gt;"Full",
            VLOOKUP('Control Panel'!$B$6,'Jurisdiction Parameters'!$A:$D,4,FALSE),
        0))),
    0)</f>
        <v/>
      </c>
      <c r="E88" s="20">
        <f>('Control Panel'!$B$12*C88)+('Control Panel'!$B$13*D88)</f>
        <v/>
      </c>
      <c r="F88" s="22">
        <f>IFERROR(
        LET(
            juris,'Control Panel'!$B$6,
            ltv_val,E88,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8" s="21">
        <f>'Control Panel'!$B$14</f>
        <v/>
      </c>
      <c r="H88" s="21">
        <f>LET(
    income_mult,'Loan Tape (S&amp;P)'!Z88,
    IF(income_mult=0,1.00,
        IFERROR(
            INDEX('FF Adj Parameters'!$A$188:$B$17,
                MATCH(income_mult,INDEX('FF Adj Parameters'!$A$188:$B$17,,1),1),2),
            1.880))
)</f>
        <v/>
      </c>
      <c r="I88" s="21">
        <f>IF('Loan Tape (S&amp;P)'!N88&lt;&gt;"Buy to Let",1.00,
    LET(
        dscr,'Loan Tape (S&amp;P)'!AA88,
        IF(dscr=0,INDEX('FF Adj Parameters'!$A$21:$B$288,1,2),
            IFERROR(
                INDEX('FF Adj Parameters'!$A$21:$B$288,
                    MATCH(dscr,INDEX('FF Adj Parameters'!$A$21:$B$288,,1),1),2),
                'FF Adj Parameters'!$B$21)))
)</f>
        <v/>
      </c>
      <c r="J88" s="21">
        <f>LET(
    lien,'Loan Tape (S&amp;P)'!Q88,
    IF(lien="First",1.00,
        IF(lien="Second",1.50,
            1.70)))</f>
        <v/>
      </c>
      <c r="K88" s="21">
        <f>LET(
    purpose,'Loan Tape (S&amp;P)'!R88,
    IF(purpose="Purchase",1.00,
        IF(purpose="Remortgage",1.00,
            1.20)))</f>
        <v/>
      </c>
      <c r="L88" s="21">
        <f>LET(
    arrears_months,'Loan Tape (S&amp;P)'!AN88,
    IF(arrears_months=0,1.00,
    IF(arrears_months=1,3.00,
    IF(arrears_months=2,5.00,
    IF(arrears_months=3,8.00,
    IF(arrears_months=4,10.00,
    IF(arrears_months=5,12.00,15.00)))))))</f>
        <v/>
      </c>
      <c r="M88" s="21">
        <f>LET(
    seasoning_years,DATEDIF('Loan Tape (S&amp;P)'!K88,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" s="21">
        <f>IF(AND('Loan Tape (S&amp;P)'!U88="Yes",
        'Loan Tape (S&amp;P)'!T88&lt;&gt;"Yes",
        DATEDIF('Loan Tape (S&amp;P)'!K88, TODAY(), "M")&lt;18),
    1.10,
    1.00)</f>
        <v/>
      </c>
      <c r="O88" s="21">
        <f>IF('Loan Tape (S&amp;P)'!T88="Yes",
    1.35,
    1.00)</f>
        <v/>
      </c>
      <c r="P88" s="21">
        <f>IF('Loan Tape (S&amp;P)'!S88="Yes",
    1.15,
    1.00)</f>
        <v/>
      </c>
      <c r="Q88" s="21">
        <f>IF('Loan Tape (S&amp;P)'!V88="Yes",
    1.20,
    1.00)</f>
        <v/>
      </c>
      <c r="R88" s="21">
        <f>IF('Loan Tape (S&amp;P)'!T88="Yes",
    'FF Adj Parameters'!$B$40,
    1.00)</f>
        <v/>
      </c>
      <c r="S88" s="21">
        <f>LET(
    is_htb,'Loan Tape (S&amp;P)'!Q88="Yes",
    rate_type,'Loan Tape (S&amp;P)'!AS88,
    months_to_mat,'Loan Tape (S&amp;P)'!AU88,
    threshold,'FF Adj Parameters'!$B$1288,
    has_shock,AND(rate_type="Fixed",months_to_mat&lt;=threshold),
    IF(is_htb,1.00,IF(has_shock,'FF Adj Parameters'!$B$41,1.00))
)</f>
        <v/>
      </c>
      <c r="T88" s="21">
        <f>LET(
    payment_method,'Loan Tape (S&amp;P)'!P88,
    occupancy,'Loan Tape (S&amp;P)'!N88,
    maturity_date,'Loan Tape (S&amp;P)'!L88,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88" s="21">
        <f>IF(AND('Loan Tape (S&amp;P)'!V88="Yes",'Loan Tape (S&amp;P)'!N88&lt;&gt;"Buy to Let"),
    'FF Adj Parameters'!$B$42,
    1.00)</f>
        <v/>
      </c>
      <c r="V88" s="21">
        <f>IF('Loan Tape (S&amp;P)'!AV88="Yes",
    'FF Adj Parameters'!$B$43,
    1.00)</f>
        <v/>
      </c>
      <c r="W88" s="23">
        <f>IF('Loan Tape (S&amp;P)'!AC88&gt;0,
    'FF Adj Parameters'!$B$44,
    1.00)</f>
        <v/>
      </c>
      <c r="X88" s="21">
        <f>LET(
    has_bankruptcy,'Loan Tape (S&amp;P)'!AE88="Yes",
    has_iva,'Loan Tape (S&amp;P)'!AF88="Yes",
    has_repo,'Loan Tape (S&amp;P)'!AI88="Yes",
    mult,IF(has_repo,'FF Adj Parameters'!$B$47,
            IF(has_bankruptcy,'FF Adj Parameters'!$B$488,
                IF(has_iva,'FF Adj Parameters'!$B$46,
                    1.00))),
    MAX(mult,0.880)
)</f>
        <v/>
      </c>
      <c r="Y88" s="21">
        <f>LET(
    has_perf_arr,'Loan Tape (S&amp;P)'!AP88="Yes",
    perf_arr_date,'Loan Tape (S&amp;P)'!AQ88,
    last_90_date,'Loan Tape (S&amp;P)'!AR88,
    threshold_years,VLOOKUP('Control Panel'!$B$6,'Jurisdiction Parameters'!$A:$Q,17,FALSE),
    relevant_date,MAX(perf_arr_date,last_90_date),
    years_since,('Control Panel'!$B$10-relevant_date)/3688.288,
    IF(NOT(has_perf_arr),1.00,
        IF(years_since&gt;threshold_years,1.00,
            IF(years_since&lt;=1,INDEX('FF Adj Parameters'!$C$47:$C$880,1),
                IF(years_since&lt;=2,INDEX('FF Adj Parameters'!$C$47:$C$880,2),
                    IF(years_since&lt;=3,INDEX('FF Adj Parameters'!$C$47:$C$880,3),
                        INDEX('FF Adj Parameters'!$C$47:$C$880,4))))))
)</f>
        <v/>
      </c>
      <c r="Z88" s="24">
        <f>IFERROR(
        IF(L88&gt;=100,1.00,
            'Control Panel'!$B$18*F88*G88*MAX(H88,R88)*I88*J88*K88*L88*M88*N88*O88*P88*Q88*S88*T88*U88*V88*W88*X88*Y88
        ),
    0)</f>
        <v/>
      </c>
    </row>
    <row r="89">
      <c r="A89" s="17">
        <f>'Loan Tape (S&amp;P)'!A89</f>
        <v/>
      </c>
      <c r="B89" s="18">
        <f>'Loan Tape (S&amp;P)'!B89</f>
        <v/>
      </c>
      <c r="C89" s="20">
        <f>IFERROR('Loan Tape (S&amp;P)'!C89/'Loan Tape (S&amp;P)'!E89,0)</f>
        <v/>
      </c>
      <c r="D89" s="20">
        <f>IFERROR(
        'Loan Tape (S&amp;P)'!B89/
        ('Loan Tape (S&amp;P)'!D89*
        (1-IF('Loan Tape (S&amp;P)'!AT89&lt;&gt;"Full",
            VLOOKUP('Control Panel'!$B$6,'Jurisdiction Parameters'!$A:$D,4,FALSE),
        0))),
    0)</f>
        <v/>
      </c>
      <c r="E89" s="20">
        <f>('Control Panel'!$B$12*C89)+('Control Panel'!$B$13*D89)</f>
        <v/>
      </c>
      <c r="F89" s="22">
        <f>IFERROR(
        LET(
            juris,'Control Panel'!$B$6,
            ltv_val,E89,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9" s="21">
        <f>'Control Panel'!$B$14</f>
        <v/>
      </c>
      <c r="H89" s="21">
        <f>LET(
    income_mult,'Loan Tape (S&amp;P)'!Z89,
    IF(income_mult=0,1.00,
        IFERROR(
            INDEX('FF Adj Parameters'!$A$189:$B$17,
                MATCH(income_mult,INDEX('FF Adj Parameters'!$A$189:$B$17,,1),1),2),
            1.890))
)</f>
        <v/>
      </c>
      <c r="I89" s="21">
        <f>IF('Loan Tape (S&amp;P)'!N89&lt;&gt;"Buy to Let",1.00,
    LET(
        dscr,'Loan Tape (S&amp;P)'!AA89,
        IF(dscr=0,INDEX('FF Adj Parameters'!$A$21:$B$289,1,2),
            IFERROR(
                INDEX('FF Adj Parameters'!$A$21:$B$289,
                    MATCH(dscr,INDEX('FF Adj Parameters'!$A$21:$B$289,,1),1),2),
                'FF Adj Parameters'!$B$21)))
)</f>
        <v/>
      </c>
      <c r="J89" s="21">
        <f>LET(
    lien,'Loan Tape (S&amp;P)'!Q89,
    IF(lien="First",1.00,
        IF(lien="Second",1.50,
            1.70)))</f>
        <v/>
      </c>
      <c r="K89" s="21">
        <f>LET(
    purpose,'Loan Tape (S&amp;P)'!R89,
    IF(purpose="Purchase",1.00,
        IF(purpose="Remortgage",1.00,
            1.20)))</f>
        <v/>
      </c>
      <c r="L89" s="21">
        <f>LET(
    arrears_months,'Loan Tape (S&amp;P)'!AN89,
    IF(arrears_months=0,1.00,
    IF(arrears_months=1,3.00,
    IF(arrears_months=2,5.00,
    IF(arrears_months=3,8.00,
    IF(arrears_months=4,10.00,
    IF(arrears_months=5,12.00,15.00)))))))</f>
        <v/>
      </c>
      <c r="M89" s="21">
        <f>LET(
    seasoning_years,DATEDIF('Loan Tape (S&amp;P)'!K89,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" s="21">
        <f>IF(AND('Loan Tape (S&amp;P)'!U89="Yes",
        'Loan Tape (S&amp;P)'!T89&lt;&gt;"Yes",
        DATEDIF('Loan Tape (S&amp;P)'!K89, TODAY(), "M")&lt;18),
    1.10,
    1.00)</f>
        <v/>
      </c>
      <c r="O89" s="21">
        <f>IF('Loan Tape (S&amp;P)'!T89="Yes",
    1.35,
    1.00)</f>
        <v/>
      </c>
      <c r="P89" s="21">
        <f>IF('Loan Tape (S&amp;P)'!S89="Yes",
    1.15,
    1.00)</f>
        <v/>
      </c>
      <c r="Q89" s="21">
        <f>IF('Loan Tape (S&amp;P)'!V89="Yes",
    1.20,
    1.00)</f>
        <v/>
      </c>
      <c r="R89" s="21">
        <f>IF('Loan Tape (S&amp;P)'!T89="Yes",
    'FF Adj Parameters'!$B$40,
    1.00)</f>
        <v/>
      </c>
      <c r="S89" s="21">
        <f>LET(
    is_htb,'Loan Tape (S&amp;P)'!Q89="Yes",
    rate_type,'Loan Tape (S&amp;P)'!AS89,
    months_to_mat,'Loan Tape (S&amp;P)'!AU89,
    threshold,'FF Adj Parameters'!$B$1289,
    has_shock,AND(rate_type="Fixed",months_to_mat&lt;=threshold),
    IF(is_htb,1.00,IF(has_shock,'FF Adj Parameters'!$B$41,1.00))
)</f>
        <v/>
      </c>
      <c r="T89" s="21">
        <f>LET(
    payment_method,'Loan Tape (S&amp;P)'!P89,
    occupancy,'Loan Tape (S&amp;P)'!N89,
    maturity_date,'Loan Tape (S&amp;P)'!L89,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89" s="21">
        <f>IF(AND('Loan Tape (S&amp;P)'!V89="Yes",'Loan Tape (S&amp;P)'!N89&lt;&gt;"Buy to Let"),
    'FF Adj Parameters'!$B$42,
    1.00)</f>
        <v/>
      </c>
      <c r="V89" s="21">
        <f>IF('Loan Tape (S&amp;P)'!AV89="Yes",
    'FF Adj Parameters'!$B$43,
    1.00)</f>
        <v/>
      </c>
      <c r="W89" s="23">
        <f>IF('Loan Tape (S&amp;P)'!AC89&gt;0,
    'FF Adj Parameters'!$B$44,
    1.00)</f>
        <v/>
      </c>
      <c r="X89" s="21">
        <f>LET(
    has_bankruptcy,'Loan Tape (S&amp;P)'!AE89="Yes",
    has_iva,'Loan Tape (S&amp;P)'!AF89="Yes",
    has_repo,'Loan Tape (S&amp;P)'!AI89="Yes",
    mult,IF(has_repo,'FF Adj Parameters'!$B$47,
            IF(has_bankruptcy,'FF Adj Parameters'!$B$489,
                IF(has_iva,'FF Adj Parameters'!$B$46,
                    1.00))),
    MAX(mult,0.890)
)</f>
        <v/>
      </c>
      <c r="Y89" s="21">
        <f>LET(
    has_perf_arr,'Loan Tape (S&amp;P)'!AP89="Yes",
    perf_arr_date,'Loan Tape (S&amp;P)'!AQ89,
    last_90_date,'Loan Tape (S&amp;P)'!AR89,
    threshold_years,VLOOKUP('Control Panel'!$B$6,'Jurisdiction Parameters'!$A:$Q,17,FALSE),
    relevant_date,MAX(perf_arr_date,last_90_date),
    years_since,('Control Panel'!$B$10-relevant_date)/3689.289,
    IF(NOT(has_perf_arr),1.00,
        IF(years_since&gt;threshold_years,1.00,
            IF(years_since&lt;=1,INDEX('FF Adj Parameters'!$C$47:$C$890,1),
                IF(years_since&lt;=2,INDEX('FF Adj Parameters'!$C$47:$C$890,2),
                    IF(years_since&lt;=3,INDEX('FF Adj Parameters'!$C$47:$C$890,3),
                        INDEX('FF Adj Parameters'!$C$47:$C$890,4))))))
)</f>
        <v/>
      </c>
      <c r="Z89" s="24">
        <f>IFERROR(
        IF(L89&gt;=100,1.00,
            'Control Panel'!$B$18*F89*G89*MAX(H89,R89)*I89*J89*K89*L89*M89*N89*O89*P89*Q89*S89*T89*U89*V89*W89*X89*Y89
        ),
    0)</f>
        <v/>
      </c>
    </row>
    <row r="90">
      <c r="A90" s="17">
        <f>'Loan Tape (S&amp;P)'!A90</f>
        <v/>
      </c>
      <c r="B90" s="18">
        <f>'Loan Tape (S&amp;P)'!B90</f>
        <v/>
      </c>
      <c r="C90" s="20">
        <f>IFERROR('Loan Tape (S&amp;P)'!C90/'Loan Tape (S&amp;P)'!E90,0)</f>
        <v/>
      </c>
      <c r="D90" s="20">
        <f>IFERROR(
        'Loan Tape (S&amp;P)'!B90/
        ('Loan Tape (S&amp;P)'!D90*
        (1-IF('Loan Tape (S&amp;P)'!AT90&lt;&gt;"Full",
            VLOOKUP('Control Panel'!$B$6,'Jurisdiction Parameters'!$A:$D,4,FALSE),
        0))),
    0)</f>
        <v/>
      </c>
      <c r="E90" s="20">
        <f>('Control Panel'!$B$12*C90)+('Control Panel'!$B$13*D90)</f>
        <v/>
      </c>
      <c r="F90" s="22">
        <f>IFERROR(
        LET(
            juris,'Control Panel'!$B$6,
            ltv_val,E90,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0" s="21">
        <f>'Control Panel'!$B$14</f>
        <v/>
      </c>
      <c r="H90" s="21">
        <f>LET(
    income_mult,'Loan Tape (S&amp;P)'!Z90,
    IF(income_mult=0,1.00,
        IFERROR(
            INDEX('FF Adj Parameters'!$A$190:$B$17,
                MATCH(income_mult,INDEX('FF Adj Parameters'!$A$190:$B$17,,1),1),2),
            1.900))
)</f>
        <v/>
      </c>
      <c r="I90" s="21">
        <f>IF('Loan Tape (S&amp;P)'!N90&lt;&gt;"Buy to Let",1.00,
    LET(
        dscr,'Loan Tape (S&amp;P)'!AA90,
        IF(dscr=0,INDEX('FF Adj Parameters'!$A$21:$B$290,1,2),
            IFERROR(
                INDEX('FF Adj Parameters'!$A$21:$B$290,
                    MATCH(dscr,INDEX('FF Adj Parameters'!$A$21:$B$290,,1),1),2),
                'FF Adj Parameters'!$B$21)))
)</f>
        <v/>
      </c>
      <c r="J90" s="21">
        <f>LET(
    lien,'Loan Tape (S&amp;P)'!Q90,
    IF(lien="First",1.00,
        IF(lien="Second",1.50,
            1.70)))</f>
        <v/>
      </c>
      <c r="K90" s="21">
        <f>LET(
    purpose,'Loan Tape (S&amp;P)'!R90,
    IF(purpose="Purchase",1.00,
        IF(purpose="Remortgage",1.00,
            1.20)))</f>
        <v/>
      </c>
      <c r="L90" s="21">
        <f>LET(
    arrears_months,'Loan Tape (S&amp;P)'!AN90,
    IF(arrears_months=0,1.00,
    IF(arrears_months=1,3.00,
    IF(arrears_months=2,5.00,
    IF(arrears_months=3,8.00,
    IF(arrears_months=4,10.00,
    IF(arrears_months=5,12.00,15.00)))))))</f>
        <v/>
      </c>
      <c r="M90" s="21">
        <f>LET(
    seasoning_years,DATEDIF('Loan Tape (S&amp;P)'!K90,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" s="21">
        <f>IF(AND('Loan Tape (S&amp;P)'!U90="Yes",
        'Loan Tape (S&amp;P)'!T90&lt;&gt;"Yes",
        DATEDIF('Loan Tape (S&amp;P)'!K90, TODAY(), "M")&lt;18),
    1.10,
    1.00)</f>
        <v/>
      </c>
      <c r="O90" s="21">
        <f>IF('Loan Tape (S&amp;P)'!T90="Yes",
    1.35,
    1.00)</f>
        <v/>
      </c>
      <c r="P90" s="21">
        <f>IF('Loan Tape (S&amp;P)'!S90="Yes",
    1.15,
    1.00)</f>
        <v/>
      </c>
      <c r="Q90" s="21">
        <f>IF('Loan Tape (S&amp;P)'!V90="Yes",
    1.20,
    1.00)</f>
        <v/>
      </c>
      <c r="R90" s="21">
        <f>IF('Loan Tape (S&amp;P)'!T90="Yes",
    'FF Adj Parameters'!$B$40,
    1.00)</f>
        <v/>
      </c>
      <c r="S90" s="21">
        <f>LET(
    is_htb,'Loan Tape (S&amp;P)'!Q90="Yes",
    rate_type,'Loan Tape (S&amp;P)'!AS90,
    months_to_mat,'Loan Tape (S&amp;P)'!AU90,
    threshold,'FF Adj Parameters'!$B$1290,
    has_shock,AND(rate_type="Fixed",months_to_mat&lt;=threshold),
    IF(is_htb,1.00,IF(has_shock,'FF Adj Parameters'!$B$41,1.00))
)</f>
        <v/>
      </c>
      <c r="T90" s="21">
        <f>LET(
    payment_method,'Loan Tape (S&amp;P)'!P90,
    occupancy,'Loan Tape (S&amp;P)'!N90,
    maturity_date,'Loan Tape (S&amp;P)'!L90,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90" s="21">
        <f>IF(AND('Loan Tape (S&amp;P)'!V90="Yes",'Loan Tape (S&amp;P)'!N90&lt;&gt;"Buy to Let"),
    'FF Adj Parameters'!$B$42,
    1.00)</f>
        <v/>
      </c>
      <c r="V90" s="21">
        <f>IF('Loan Tape (S&amp;P)'!AV90="Yes",
    'FF Adj Parameters'!$B$43,
    1.00)</f>
        <v/>
      </c>
      <c r="W90" s="23">
        <f>IF('Loan Tape (S&amp;P)'!AC90&gt;0,
    'FF Adj Parameters'!$B$44,
    1.00)</f>
        <v/>
      </c>
      <c r="X90" s="21">
        <f>LET(
    has_bankruptcy,'Loan Tape (S&amp;P)'!AE90="Yes",
    has_iva,'Loan Tape (S&amp;P)'!AF90="Yes",
    has_repo,'Loan Tape (S&amp;P)'!AI90="Yes",
    mult,IF(has_repo,'FF Adj Parameters'!$B$47,
            IF(has_bankruptcy,'FF Adj Parameters'!$B$490,
                IF(has_iva,'FF Adj Parameters'!$B$46,
                    1.00))),
    MAX(mult,0.900)
)</f>
        <v/>
      </c>
      <c r="Y90" s="21">
        <f>LET(
    has_perf_arr,'Loan Tape (S&amp;P)'!AP90="Yes",
    perf_arr_date,'Loan Tape (S&amp;P)'!AQ90,
    last_90_date,'Loan Tape (S&amp;P)'!AR90,
    threshold_years,VLOOKUP('Control Panel'!$B$6,'Jurisdiction Parameters'!$A:$Q,17,FALSE),
    relevant_date,MAX(perf_arr_date,last_90_date),
    years_since,('Control Panel'!$B$10-relevant_date)/3690.290,
    IF(NOT(has_perf_arr),1.00,
        IF(years_since&gt;threshold_years,1.00,
            IF(years_since&lt;=1,INDEX('FF Adj Parameters'!$C$47:$C$900,1),
                IF(years_since&lt;=2,INDEX('FF Adj Parameters'!$C$47:$C$900,2),
                    IF(years_since&lt;=3,INDEX('FF Adj Parameters'!$C$47:$C$900,3),
                        INDEX('FF Adj Parameters'!$C$47:$C$900,4))))))
)</f>
        <v/>
      </c>
      <c r="Z90" s="24">
        <f>IFERROR(
        IF(L90&gt;=100,1.00,
            'Control Panel'!$B$18*F90*G90*MAX(H90,R90)*I90*J90*K90*L90*M90*N90*O90*P90*Q90*S90*T90*U90*V90*W90*X90*Y90
        ),
    0)</f>
        <v/>
      </c>
    </row>
    <row r="91">
      <c r="A91" s="17">
        <f>'Loan Tape (S&amp;P)'!A91</f>
        <v/>
      </c>
      <c r="B91" s="18">
        <f>'Loan Tape (S&amp;P)'!B91</f>
        <v/>
      </c>
      <c r="C91" s="20">
        <f>IFERROR('Loan Tape (S&amp;P)'!C91/'Loan Tape (S&amp;P)'!E91,0)</f>
        <v/>
      </c>
      <c r="D91" s="20">
        <f>IFERROR(
        'Loan Tape (S&amp;P)'!B91/
        ('Loan Tape (S&amp;P)'!D91*
        (1-IF('Loan Tape (S&amp;P)'!AT91&lt;&gt;"Full",
            VLOOKUP('Control Panel'!$B$6,'Jurisdiction Parameters'!$A:$D,4,FALSE),
        0))),
    0)</f>
        <v/>
      </c>
      <c r="E91" s="20">
        <f>('Control Panel'!$B$12*C91)+('Control Panel'!$B$13*D91)</f>
        <v/>
      </c>
      <c r="F91" s="22">
        <f>IFERROR(
        LET(
            juris,'Control Panel'!$B$6,
            ltv_val,E91,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1" s="21">
        <f>'Control Panel'!$B$14</f>
        <v/>
      </c>
      <c r="H91" s="21">
        <f>LET(
    income_mult,'Loan Tape (S&amp;P)'!Z91,
    IF(income_mult=0,1.00,
        IFERROR(
            INDEX('FF Adj Parameters'!$A$191:$B$17,
                MATCH(income_mult,INDEX('FF Adj Parameters'!$A$191:$B$17,,1),1),2),
            1.910))
)</f>
        <v/>
      </c>
      <c r="I91" s="21">
        <f>IF('Loan Tape (S&amp;P)'!N91&lt;&gt;"Buy to Let",1.00,
    LET(
        dscr,'Loan Tape (S&amp;P)'!AA91,
        IF(dscr=0,INDEX('FF Adj Parameters'!$A$21:$B$291,1,2),
            IFERROR(
                INDEX('FF Adj Parameters'!$A$21:$B$291,
                    MATCH(dscr,INDEX('FF Adj Parameters'!$A$21:$B$291,,1),1),2),
                'FF Adj Parameters'!$B$21)))
)</f>
        <v/>
      </c>
      <c r="J91" s="21">
        <f>LET(
    lien,'Loan Tape (S&amp;P)'!Q91,
    IF(lien="First",1.00,
        IF(lien="Second",1.50,
            1.70)))</f>
        <v/>
      </c>
      <c r="K91" s="21">
        <f>LET(
    purpose,'Loan Tape (S&amp;P)'!R91,
    IF(purpose="Purchase",1.00,
        IF(purpose="Remortgage",1.00,
            1.20)))</f>
        <v/>
      </c>
      <c r="L91" s="21">
        <f>LET(
    arrears_months,'Loan Tape (S&amp;P)'!AN91,
    IF(arrears_months=0,1.00,
    IF(arrears_months=1,3.00,
    IF(arrears_months=2,5.00,
    IF(arrears_months=3,8.00,
    IF(arrears_months=4,10.00,
    IF(arrears_months=5,12.00,15.00)))))))</f>
        <v/>
      </c>
      <c r="M91" s="21">
        <f>LET(
    seasoning_years,DATEDIF('Loan Tape (S&amp;P)'!K91,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" s="21">
        <f>IF(AND('Loan Tape (S&amp;P)'!U91="Yes",
        'Loan Tape (S&amp;P)'!T91&lt;&gt;"Yes",
        DATEDIF('Loan Tape (S&amp;P)'!K91, TODAY(), "M")&lt;18),
    1.10,
    1.00)</f>
        <v/>
      </c>
      <c r="O91" s="21">
        <f>IF('Loan Tape (S&amp;P)'!T91="Yes",
    1.35,
    1.00)</f>
        <v/>
      </c>
      <c r="P91" s="21">
        <f>IF('Loan Tape (S&amp;P)'!S91="Yes",
    1.15,
    1.00)</f>
        <v/>
      </c>
      <c r="Q91" s="21">
        <f>IF('Loan Tape (S&amp;P)'!V91="Yes",
    1.20,
    1.00)</f>
        <v/>
      </c>
      <c r="R91" s="21">
        <f>IF('Loan Tape (S&amp;P)'!T91="Yes",
    'FF Adj Parameters'!$B$40,
    1.00)</f>
        <v/>
      </c>
      <c r="S91" s="21">
        <f>LET(
    is_htb,'Loan Tape (S&amp;P)'!Q91="Yes",
    rate_type,'Loan Tape (S&amp;P)'!AS91,
    months_to_mat,'Loan Tape (S&amp;P)'!AU91,
    threshold,'FF Adj Parameters'!$B$1291,
    has_shock,AND(rate_type="Fixed",months_to_mat&lt;=threshold),
    IF(is_htb,1.00,IF(has_shock,'FF Adj Parameters'!$B$41,1.00))
)</f>
        <v/>
      </c>
      <c r="T91" s="21">
        <f>LET(
    payment_method,'Loan Tape (S&amp;P)'!P91,
    occupancy,'Loan Tape (S&amp;P)'!N91,
    maturity_date,'Loan Tape (S&amp;P)'!L91,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91" s="21">
        <f>IF(AND('Loan Tape (S&amp;P)'!V91="Yes",'Loan Tape (S&amp;P)'!N91&lt;&gt;"Buy to Let"),
    'FF Adj Parameters'!$B$42,
    1.00)</f>
        <v/>
      </c>
      <c r="V91" s="21">
        <f>IF('Loan Tape (S&amp;P)'!AV91="Yes",
    'FF Adj Parameters'!$B$43,
    1.00)</f>
        <v/>
      </c>
      <c r="W91" s="23">
        <f>IF('Loan Tape (S&amp;P)'!AC91&gt;0,
    'FF Adj Parameters'!$B$44,
    1.00)</f>
        <v/>
      </c>
      <c r="X91" s="21">
        <f>LET(
    has_bankruptcy,'Loan Tape (S&amp;P)'!AE91="Yes",
    has_iva,'Loan Tape (S&amp;P)'!AF91="Yes",
    has_repo,'Loan Tape (S&amp;P)'!AI91="Yes",
    mult,IF(has_repo,'FF Adj Parameters'!$B$47,
            IF(has_bankruptcy,'FF Adj Parameters'!$B$491,
                IF(has_iva,'FF Adj Parameters'!$B$46,
                    1.00))),
    MAX(mult,0.910)
)</f>
        <v/>
      </c>
      <c r="Y91" s="21">
        <f>LET(
    has_perf_arr,'Loan Tape (S&amp;P)'!AP91="Yes",
    perf_arr_date,'Loan Tape (S&amp;P)'!AQ91,
    last_90_date,'Loan Tape (S&amp;P)'!AR91,
    threshold_years,VLOOKUP('Control Panel'!$B$6,'Jurisdiction Parameters'!$A:$Q,17,FALSE),
    relevant_date,MAX(perf_arr_date,last_90_date),
    years_since,('Control Panel'!$B$10-relevant_date)/3691.291,
    IF(NOT(has_perf_arr),1.00,
        IF(years_since&gt;threshold_years,1.00,
            IF(years_since&lt;=1,INDEX('FF Adj Parameters'!$C$47:$C$910,1),
                IF(years_since&lt;=2,INDEX('FF Adj Parameters'!$C$47:$C$910,2),
                    IF(years_since&lt;=3,INDEX('FF Adj Parameters'!$C$47:$C$910,3),
                        INDEX('FF Adj Parameters'!$C$47:$C$910,4))))))
)</f>
        <v/>
      </c>
      <c r="Z91" s="24">
        <f>IFERROR(
        IF(L91&gt;=100,1.00,
            'Control Panel'!$B$18*F91*G91*MAX(H91,R91)*I91*J91*K91*L91*M91*N91*O91*P91*Q91*S91*T91*U91*V91*W91*X91*Y91
        ),
    0)</f>
        <v/>
      </c>
    </row>
    <row r="92">
      <c r="A92" s="17">
        <f>'Loan Tape (S&amp;P)'!A92</f>
        <v/>
      </c>
      <c r="B92" s="18">
        <f>'Loan Tape (S&amp;P)'!B92</f>
        <v/>
      </c>
      <c r="C92" s="20">
        <f>IFERROR('Loan Tape (S&amp;P)'!C92/'Loan Tape (S&amp;P)'!E92,0)</f>
        <v/>
      </c>
      <c r="D92" s="20">
        <f>IFERROR(
        'Loan Tape (S&amp;P)'!B92/
        ('Loan Tape (S&amp;P)'!D92*
        (1-IF('Loan Tape (S&amp;P)'!AT92&lt;&gt;"Full",
            VLOOKUP('Control Panel'!$B$6,'Jurisdiction Parameters'!$A:$D,4,FALSE),
        0))),
    0)</f>
        <v/>
      </c>
      <c r="E92" s="20">
        <f>('Control Panel'!$B$12*C92)+('Control Panel'!$B$13*D92)</f>
        <v/>
      </c>
      <c r="F92" s="22">
        <f>IFERROR(
        LET(
            juris,'Control Panel'!$B$6,
            ltv_val,E92,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2" s="21">
        <f>'Control Panel'!$B$14</f>
        <v/>
      </c>
      <c r="H92" s="21">
        <f>LET(
    income_mult,'Loan Tape (S&amp;P)'!Z92,
    IF(income_mult=0,1.00,
        IFERROR(
            INDEX('FF Adj Parameters'!$A$192:$B$17,
                MATCH(income_mult,INDEX('FF Adj Parameters'!$A$192:$B$17,,1),1),2),
            1.920))
)</f>
        <v/>
      </c>
      <c r="I92" s="21">
        <f>IF('Loan Tape (S&amp;P)'!N92&lt;&gt;"Buy to Let",1.00,
    LET(
        dscr,'Loan Tape (S&amp;P)'!AA92,
        IF(dscr=0,INDEX('FF Adj Parameters'!$A$21:$B$292,1,2),
            IFERROR(
                INDEX('FF Adj Parameters'!$A$21:$B$292,
                    MATCH(dscr,INDEX('FF Adj Parameters'!$A$21:$B$292,,1),1),2),
                'FF Adj Parameters'!$B$21)))
)</f>
        <v/>
      </c>
      <c r="J92" s="21">
        <f>LET(
    lien,'Loan Tape (S&amp;P)'!Q92,
    IF(lien="First",1.00,
        IF(lien="Second",1.50,
            1.70)))</f>
        <v/>
      </c>
      <c r="K92" s="21">
        <f>LET(
    purpose,'Loan Tape (S&amp;P)'!R92,
    IF(purpose="Purchase",1.00,
        IF(purpose="Remortgage",1.00,
            1.20)))</f>
        <v/>
      </c>
      <c r="L92" s="21">
        <f>LET(
    arrears_months,'Loan Tape (S&amp;P)'!AN92,
    IF(arrears_months=0,1.00,
    IF(arrears_months=1,3.00,
    IF(arrears_months=2,5.00,
    IF(arrears_months=3,8.00,
    IF(arrears_months=4,10.00,
    IF(arrears_months=5,12.00,15.00)))))))</f>
        <v/>
      </c>
      <c r="M92" s="21">
        <f>LET(
    seasoning_years,DATEDIF('Loan Tape (S&amp;P)'!K92,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" s="21">
        <f>IF(AND('Loan Tape (S&amp;P)'!U92="Yes",
        'Loan Tape (S&amp;P)'!T92&lt;&gt;"Yes",
        DATEDIF('Loan Tape (S&amp;P)'!K92, TODAY(), "M")&lt;18),
    1.10,
    1.00)</f>
        <v/>
      </c>
      <c r="O92" s="21">
        <f>IF('Loan Tape (S&amp;P)'!T92="Yes",
    1.35,
    1.00)</f>
        <v/>
      </c>
      <c r="P92" s="21">
        <f>IF('Loan Tape (S&amp;P)'!S92="Yes",
    1.15,
    1.00)</f>
        <v/>
      </c>
      <c r="Q92" s="21">
        <f>IF('Loan Tape (S&amp;P)'!V92="Yes",
    1.20,
    1.00)</f>
        <v/>
      </c>
      <c r="R92" s="21">
        <f>IF('Loan Tape (S&amp;P)'!T92="Yes",
    'FF Adj Parameters'!$B$40,
    1.00)</f>
        <v/>
      </c>
      <c r="S92" s="21">
        <f>LET(
    is_htb,'Loan Tape (S&amp;P)'!Q92="Yes",
    rate_type,'Loan Tape (S&amp;P)'!AS92,
    months_to_mat,'Loan Tape (S&amp;P)'!AU92,
    threshold,'FF Adj Parameters'!$B$1292,
    has_shock,AND(rate_type="Fixed",months_to_mat&lt;=threshold),
    IF(is_htb,1.00,IF(has_shock,'FF Adj Parameters'!$B$41,1.00))
)</f>
        <v/>
      </c>
      <c r="T92" s="21">
        <f>LET(
    payment_method,'Loan Tape (S&amp;P)'!P92,
    occupancy,'Loan Tape (S&amp;P)'!N92,
    maturity_date,'Loan Tape (S&amp;P)'!L92,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92" s="21">
        <f>IF(AND('Loan Tape (S&amp;P)'!V92="Yes",'Loan Tape (S&amp;P)'!N92&lt;&gt;"Buy to Let"),
    'FF Adj Parameters'!$B$42,
    1.00)</f>
        <v/>
      </c>
      <c r="V92" s="21">
        <f>IF('Loan Tape (S&amp;P)'!AV92="Yes",
    'FF Adj Parameters'!$B$43,
    1.00)</f>
        <v/>
      </c>
      <c r="W92" s="23">
        <f>IF('Loan Tape (S&amp;P)'!AC92&gt;0,
    'FF Adj Parameters'!$B$44,
    1.00)</f>
        <v/>
      </c>
      <c r="X92" s="21">
        <f>LET(
    has_bankruptcy,'Loan Tape (S&amp;P)'!AE92="Yes",
    has_iva,'Loan Tape (S&amp;P)'!AF92="Yes",
    has_repo,'Loan Tape (S&amp;P)'!AI92="Yes",
    mult,IF(has_repo,'FF Adj Parameters'!$B$47,
            IF(has_bankruptcy,'FF Adj Parameters'!$B$492,
                IF(has_iva,'FF Adj Parameters'!$B$46,
                    1.00))),
    MAX(mult,0.920)
)</f>
        <v/>
      </c>
      <c r="Y92" s="21">
        <f>LET(
    has_perf_arr,'Loan Tape (S&amp;P)'!AP92="Yes",
    perf_arr_date,'Loan Tape (S&amp;P)'!AQ92,
    last_90_date,'Loan Tape (S&amp;P)'!AR92,
    threshold_years,VLOOKUP('Control Panel'!$B$6,'Jurisdiction Parameters'!$A:$Q,17,FALSE),
    relevant_date,MAX(perf_arr_date,last_90_date),
    years_since,('Control Panel'!$B$10-relevant_date)/3692.292,
    IF(NOT(has_perf_arr),1.00,
        IF(years_since&gt;threshold_years,1.00,
            IF(years_since&lt;=1,INDEX('FF Adj Parameters'!$C$47:$C$920,1),
                IF(years_since&lt;=2,INDEX('FF Adj Parameters'!$C$47:$C$920,2),
                    IF(years_since&lt;=3,INDEX('FF Adj Parameters'!$C$47:$C$920,3),
                        INDEX('FF Adj Parameters'!$C$47:$C$920,4))))))
)</f>
        <v/>
      </c>
      <c r="Z92" s="24">
        <f>IFERROR(
        IF(L92&gt;=100,1.00,
            'Control Panel'!$B$18*F92*G92*MAX(H92,R92)*I92*J92*K92*L92*M92*N92*O92*P92*Q92*S92*T92*U92*V92*W92*X92*Y92
        ),
    0)</f>
        <v/>
      </c>
    </row>
    <row r="93">
      <c r="A93" s="17">
        <f>'Loan Tape (S&amp;P)'!A93</f>
        <v/>
      </c>
      <c r="B93" s="18">
        <f>'Loan Tape (S&amp;P)'!B93</f>
        <v/>
      </c>
      <c r="C93" s="20">
        <f>IFERROR('Loan Tape (S&amp;P)'!C93/'Loan Tape (S&amp;P)'!E93,0)</f>
        <v/>
      </c>
      <c r="D93" s="20">
        <f>IFERROR(
        'Loan Tape (S&amp;P)'!B93/
        ('Loan Tape (S&amp;P)'!D93*
        (1-IF('Loan Tape (S&amp;P)'!AT93&lt;&gt;"Full",
            VLOOKUP('Control Panel'!$B$6,'Jurisdiction Parameters'!$A:$D,4,FALSE),
        0))),
    0)</f>
        <v/>
      </c>
      <c r="E93" s="20">
        <f>('Control Panel'!$B$12*C93)+('Control Panel'!$B$13*D93)</f>
        <v/>
      </c>
      <c r="F93" s="22">
        <f>IFERROR(
        LET(
            juris,'Control Panel'!$B$6,
            ltv_val,E93,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3" s="21">
        <f>'Control Panel'!$B$14</f>
        <v/>
      </c>
      <c r="H93" s="21">
        <f>LET(
    income_mult,'Loan Tape (S&amp;P)'!Z93,
    IF(income_mult=0,1.00,
        IFERROR(
            INDEX('FF Adj Parameters'!$A$193:$B$17,
                MATCH(income_mult,INDEX('FF Adj Parameters'!$A$193:$B$17,,1),1),2),
            1.930))
)</f>
        <v/>
      </c>
      <c r="I93" s="21">
        <f>IF('Loan Tape (S&amp;P)'!N93&lt;&gt;"Buy to Let",1.00,
    LET(
        dscr,'Loan Tape (S&amp;P)'!AA93,
        IF(dscr=0,INDEX('FF Adj Parameters'!$A$21:$B$293,1,2),
            IFERROR(
                INDEX('FF Adj Parameters'!$A$21:$B$293,
                    MATCH(dscr,INDEX('FF Adj Parameters'!$A$21:$B$293,,1),1),2),
                'FF Adj Parameters'!$B$21)))
)</f>
        <v/>
      </c>
      <c r="J93" s="21">
        <f>LET(
    lien,'Loan Tape (S&amp;P)'!Q93,
    IF(lien="First",1.00,
        IF(lien="Second",1.50,
            1.70)))</f>
        <v/>
      </c>
      <c r="K93" s="21">
        <f>LET(
    purpose,'Loan Tape (S&amp;P)'!R93,
    IF(purpose="Purchase",1.00,
        IF(purpose="Remortgage",1.00,
            1.20)))</f>
        <v/>
      </c>
      <c r="L93" s="21">
        <f>LET(
    arrears_months,'Loan Tape (S&amp;P)'!AN93,
    IF(arrears_months=0,1.00,
    IF(arrears_months=1,3.00,
    IF(arrears_months=2,5.00,
    IF(arrears_months=3,8.00,
    IF(arrears_months=4,10.00,
    IF(arrears_months=5,12.00,15.00)))))))</f>
        <v/>
      </c>
      <c r="M93" s="21">
        <f>LET(
    seasoning_years,DATEDIF('Loan Tape (S&amp;P)'!K93,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" s="21">
        <f>IF(AND('Loan Tape (S&amp;P)'!U93="Yes",
        'Loan Tape (S&amp;P)'!T93&lt;&gt;"Yes",
        DATEDIF('Loan Tape (S&amp;P)'!K93, TODAY(), "M")&lt;18),
    1.10,
    1.00)</f>
        <v/>
      </c>
      <c r="O93" s="21">
        <f>IF('Loan Tape (S&amp;P)'!T93="Yes",
    1.35,
    1.00)</f>
        <v/>
      </c>
      <c r="P93" s="21">
        <f>IF('Loan Tape (S&amp;P)'!S93="Yes",
    1.15,
    1.00)</f>
        <v/>
      </c>
      <c r="Q93" s="21">
        <f>IF('Loan Tape (S&amp;P)'!V93="Yes",
    1.20,
    1.00)</f>
        <v/>
      </c>
      <c r="R93" s="21">
        <f>IF('Loan Tape (S&amp;P)'!T93="Yes",
    'FF Adj Parameters'!$B$40,
    1.00)</f>
        <v/>
      </c>
      <c r="S93" s="21">
        <f>LET(
    is_htb,'Loan Tape (S&amp;P)'!Q93="Yes",
    rate_type,'Loan Tape (S&amp;P)'!AS93,
    months_to_mat,'Loan Tape (S&amp;P)'!AU93,
    threshold,'FF Adj Parameters'!$B$1293,
    has_shock,AND(rate_type="Fixed",months_to_mat&lt;=threshold),
    IF(is_htb,1.00,IF(has_shock,'FF Adj Parameters'!$B$41,1.00))
)</f>
        <v/>
      </c>
      <c r="T93" s="21">
        <f>LET(
    payment_method,'Loan Tape (S&amp;P)'!P93,
    occupancy,'Loan Tape (S&amp;P)'!N93,
    maturity_date,'Loan Tape (S&amp;P)'!L93,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93" s="21">
        <f>IF(AND('Loan Tape (S&amp;P)'!V93="Yes",'Loan Tape (S&amp;P)'!N93&lt;&gt;"Buy to Let"),
    'FF Adj Parameters'!$B$42,
    1.00)</f>
        <v/>
      </c>
      <c r="V93" s="21">
        <f>IF('Loan Tape (S&amp;P)'!AV93="Yes",
    'FF Adj Parameters'!$B$43,
    1.00)</f>
        <v/>
      </c>
      <c r="W93" s="23">
        <f>IF('Loan Tape (S&amp;P)'!AC93&gt;0,
    'FF Adj Parameters'!$B$44,
    1.00)</f>
        <v/>
      </c>
      <c r="X93" s="21">
        <f>LET(
    has_bankruptcy,'Loan Tape (S&amp;P)'!AE93="Yes",
    has_iva,'Loan Tape (S&amp;P)'!AF93="Yes",
    has_repo,'Loan Tape (S&amp;P)'!AI93="Yes",
    mult,IF(has_repo,'FF Adj Parameters'!$B$47,
            IF(has_bankruptcy,'FF Adj Parameters'!$B$493,
                IF(has_iva,'FF Adj Parameters'!$B$46,
                    1.00))),
    MAX(mult,0.930)
)</f>
        <v/>
      </c>
      <c r="Y93" s="21">
        <f>LET(
    has_perf_arr,'Loan Tape (S&amp;P)'!AP93="Yes",
    perf_arr_date,'Loan Tape (S&amp;P)'!AQ93,
    last_90_date,'Loan Tape (S&amp;P)'!AR93,
    threshold_years,VLOOKUP('Control Panel'!$B$6,'Jurisdiction Parameters'!$A:$Q,17,FALSE),
    relevant_date,MAX(perf_arr_date,last_90_date),
    years_since,('Control Panel'!$B$10-relevant_date)/3693.293,
    IF(NOT(has_perf_arr),1.00,
        IF(years_since&gt;threshold_years,1.00,
            IF(years_since&lt;=1,INDEX('FF Adj Parameters'!$C$47:$C$930,1),
                IF(years_since&lt;=2,INDEX('FF Adj Parameters'!$C$47:$C$930,2),
                    IF(years_since&lt;=3,INDEX('FF Adj Parameters'!$C$47:$C$930,3),
                        INDEX('FF Adj Parameters'!$C$47:$C$930,4))))))
)</f>
        <v/>
      </c>
      <c r="Z93" s="24">
        <f>IFERROR(
        IF(L93&gt;=100,1.00,
            'Control Panel'!$B$18*F93*G93*MAX(H93,R93)*I93*J93*K93*L93*M93*N93*O93*P93*Q93*S93*T93*U93*V93*W93*X93*Y93
        ),
    0)</f>
        <v/>
      </c>
    </row>
    <row r="94">
      <c r="A94" s="17">
        <f>'Loan Tape (S&amp;P)'!A94</f>
        <v/>
      </c>
      <c r="B94" s="18">
        <f>'Loan Tape (S&amp;P)'!B94</f>
        <v/>
      </c>
      <c r="C94" s="20">
        <f>IFERROR('Loan Tape (S&amp;P)'!C94/'Loan Tape (S&amp;P)'!E94,0)</f>
        <v/>
      </c>
      <c r="D94" s="20">
        <f>IFERROR(
        'Loan Tape (S&amp;P)'!B94/
        ('Loan Tape (S&amp;P)'!D94*
        (1-IF('Loan Tape (S&amp;P)'!AT94&lt;&gt;"Full",
            VLOOKUP('Control Panel'!$B$6,'Jurisdiction Parameters'!$A:$D,4,FALSE),
        0))),
    0)</f>
        <v/>
      </c>
      <c r="E94" s="20">
        <f>('Control Panel'!$B$12*C94)+('Control Panel'!$B$13*D94)</f>
        <v/>
      </c>
      <c r="F94" s="22">
        <f>IFERROR(
        LET(
            juris,'Control Panel'!$B$6,
            ltv_val,E94,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4" s="21">
        <f>'Control Panel'!$B$14</f>
        <v/>
      </c>
      <c r="H94" s="21">
        <f>LET(
    income_mult,'Loan Tape (S&amp;P)'!Z94,
    IF(income_mult=0,1.00,
        IFERROR(
            INDEX('FF Adj Parameters'!$A$194:$B$17,
                MATCH(income_mult,INDEX('FF Adj Parameters'!$A$194:$B$17,,1),1),2),
            1.940))
)</f>
        <v/>
      </c>
      <c r="I94" s="21">
        <f>IF('Loan Tape (S&amp;P)'!N94&lt;&gt;"Buy to Let",1.00,
    LET(
        dscr,'Loan Tape (S&amp;P)'!AA94,
        IF(dscr=0,INDEX('FF Adj Parameters'!$A$21:$B$294,1,2),
            IFERROR(
                INDEX('FF Adj Parameters'!$A$21:$B$294,
                    MATCH(dscr,INDEX('FF Adj Parameters'!$A$21:$B$294,,1),1),2),
                'FF Adj Parameters'!$B$21)))
)</f>
        <v/>
      </c>
      <c r="J94" s="21">
        <f>LET(
    lien,'Loan Tape (S&amp;P)'!Q94,
    IF(lien="First",1.00,
        IF(lien="Second",1.50,
            1.70)))</f>
        <v/>
      </c>
      <c r="K94" s="21">
        <f>LET(
    purpose,'Loan Tape (S&amp;P)'!R94,
    IF(purpose="Purchase",1.00,
        IF(purpose="Remortgage",1.00,
            1.20)))</f>
        <v/>
      </c>
      <c r="L94" s="21">
        <f>LET(
    arrears_months,'Loan Tape (S&amp;P)'!AN94,
    IF(arrears_months=0,1.00,
    IF(arrears_months=1,3.00,
    IF(arrears_months=2,5.00,
    IF(arrears_months=3,8.00,
    IF(arrears_months=4,10.00,
    IF(arrears_months=5,12.00,15.00)))))))</f>
        <v/>
      </c>
      <c r="M94" s="21">
        <f>LET(
    seasoning_years,DATEDIF('Loan Tape (S&amp;P)'!K94,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" s="21">
        <f>IF(AND('Loan Tape (S&amp;P)'!U94="Yes",
        'Loan Tape (S&amp;P)'!T94&lt;&gt;"Yes",
        DATEDIF('Loan Tape (S&amp;P)'!K94, TODAY(), "M")&lt;18),
    1.10,
    1.00)</f>
        <v/>
      </c>
      <c r="O94" s="21">
        <f>IF('Loan Tape (S&amp;P)'!T94="Yes",
    1.35,
    1.00)</f>
        <v/>
      </c>
      <c r="P94" s="21">
        <f>IF('Loan Tape (S&amp;P)'!S94="Yes",
    1.15,
    1.00)</f>
        <v/>
      </c>
      <c r="Q94" s="21">
        <f>IF('Loan Tape (S&amp;P)'!V94="Yes",
    1.20,
    1.00)</f>
        <v/>
      </c>
      <c r="R94" s="21">
        <f>IF('Loan Tape (S&amp;P)'!T94="Yes",
    'FF Adj Parameters'!$B$40,
    1.00)</f>
        <v/>
      </c>
      <c r="S94" s="21">
        <f>LET(
    is_htb,'Loan Tape (S&amp;P)'!Q94="Yes",
    rate_type,'Loan Tape (S&amp;P)'!AS94,
    months_to_mat,'Loan Tape (S&amp;P)'!AU94,
    threshold,'FF Adj Parameters'!$B$1294,
    has_shock,AND(rate_type="Fixed",months_to_mat&lt;=threshold),
    IF(is_htb,1.00,IF(has_shock,'FF Adj Parameters'!$B$41,1.00))
)</f>
        <v/>
      </c>
      <c r="T94" s="21">
        <f>LET(
    payment_method,'Loan Tape (S&amp;P)'!P94,
    occupancy,'Loan Tape (S&amp;P)'!N94,
    maturity_date,'Loan Tape (S&amp;P)'!L94,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94" s="21">
        <f>IF(AND('Loan Tape (S&amp;P)'!V94="Yes",'Loan Tape (S&amp;P)'!N94&lt;&gt;"Buy to Let"),
    'FF Adj Parameters'!$B$42,
    1.00)</f>
        <v/>
      </c>
      <c r="V94" s="21">
        <f>IF('Loan Tape (S&amp;P)'!AV94="Yes",
    'FF Adj Parameters'!$B$43,
    1.00)</f>
        <v/>
      </c>
      <c r="W94" s="23">
        <f>IF('Loan Tape (S&amp;P)'!AC94&gt;0,
    'FF Adj Parameters'!$B$44,
    1.00)</f>
        <v/>
      </c>
      <c r="X94" s="21">
        <f>LET(
    has_bankruptcy,'Loan Tape (S&amp;P)'!AE94="Yes",
    has_iva,'Loan Tape (S&amp;P)'!AF94="Yes",
    has_repo,'Loan Tape (S&amp;P)'!AI94="Yes",
    mult,IF(has_repo,'FF Adj Parameters'!$B$47,
            IF(has_bankruptcy,'FF Adj Parameters'!$B$494,
                IF(has_iva,'FF Adj Parameters'!$B$46,
                    1.00))),
    MAX(mult,0.940)
)</f>
        <v/>
      </c>
      <c r="Y94" s="21">
        <f>LET(
    has_perf_arr,'Loan Tape (S&amp;P)'!AP94="Yes",
    perf_arr_date,'Loan Tape (S&amp;P)'!AQ94,
    last_90_date,'Loan Tape (S&amp;P)'!AR94,
    threshold_years,VLOOKUP('Control Panel'!$B$6,'Jurisdiction Parameters'!$A:$Q,17,FALSE),
    relevant_date,MAX(perf_arr_date,last_90_date),
    years_since,('Control Panel'!$B$10-relevant_date)/3694.294,
    IF(NOT(has_perf_arr),1.00,
        IF(years_since&gt;threshold_years,1.00,
            IF(years_since&lt;=1,INDEX('FF Adj Parameters'!$C$47:$C$940,1),
                IF(years_since&lt;=2,INDEX('FF Adj Parameters'!$C$47:$C$940,2),
                    IF(years_since&lt;=3,INDEX('FF Adj Parameters'!$C$47:$C$940,3),
                        INDEX('FF Adj Parameters'!$C$47:$C$940,4))))))
)</f>
        <v/>
      </c>
      <c r="Z94" s="24">
        <f>IFERROR(
        IF(L94&gt;=100,1.00,
            'Control Panel'!$B$18*F94*G94*MAX(H94,R94)*I94*J94*K94*L94*M94*N94*O94*P94*Q94*S94*T94*U94*V94*W94*X94*Y94
        ),
    0)</f>
        <v/>
      </c>
    </row>
    <row r="95">
      <c r="A95" s="17">
        <f>'Loan Tape (S&amp;P)'!A95</f>
        <v/>
      </c>
      <c r="B95" s="18">
        <f>'Loan Tape (S&amp;P)'!B95</f>
        <v/>
      </c>
      <c r="C95" s="20">
        <f>IFERROR('Loan Tape (S&amp;P)'!C95/'Loan Tape (S&amp;P)'!E95,0)</f>
        <v/>
      </c>
      <c r="D95" s="20">
        <f>IFERROR(
        'Loan Tape (S&amp;P)'!B95/
        ('Loan Tape (S&amp;P)'!D95*
        (1-IF('Loan Tape (S&amp;P)'!AT95&lt;&gt;"Full",
            VLOOKUP('Control Panel'!$B$6,'Jurisdiction Parameters'!$A:$D,4,FALSE),
        0))),
    0)</f>
        <v/>
      </c>
      <c r="E95" s="20">
        <f>('Control Panel'!$B$12*C95)+('Control Panel'!$B$13*D95)</f>
        <v/>
      </c>
      <c r="F95" s="22">
        <f>IFERROR(
        LET(
            juris,'Control Panel'!$B$6,
            ltv_val,E95,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5" s="21">
        <f>'Control Panel'!$B$14</f>
        <v/>
      </c>
      <c r="H95" s="21">
        <f>LET(
    income_mult,'Loan Tape (S&amp;P)'!Z95,
    IF(income_mult=0,1.00,
        IFERROR(
            INDEX('FF Adj Parameters'!$A$195:$B$17,
                MATCH(income_mult,INDEX('FF Adj Parameters'!$A$195:$B$17,,1),1),2),
            1.950))
)</f>
        <v/>
      </c>
      <c r="I95" s="21">
        <f>IF('Loan Tape (S&amp;P)'!N95&lt;&gt;"Buy to Let",1.00,
    LET(
        dscr,'Loan Tape (S&amp;P)'!AA95,
        IF(dscr=0,INDEX('FF Adj Parameters'!$A$21:$B$295,1,2),
            IFERROR(
                INDEX('FF Adj Parameters'!$A$21:$B$295,
                    MATCH(dscr,INDEX('FF Adj Parameters'!$A$21:$B$295,,1),1),2),
                'FF Adj Parameters'!$B$21)))
)</f>
        <v/>
      </c>
      <c r="J95" s="21">
        <f>LET(
    lien,'Loan Tape (S&amp;P)'!Q95,
    IF(lien="First",1.00,
        IF(lien="Second",1.50,
            1.70)))</f>
        <v/>
      </c>
      <c r="K95" s="21">
        <f>LET(
    purpose,'Loan Tape (S&amp;P)'!R95,
    IF(purpose="Purchase",1.00,
        IF(purpose="Remortgage",1.00,
            1.20)))</f>
        <v/>
      </c>
      <c r="L95" s="21">
        <f>LET(
    arrears_months,'Loan Tape (S&amp;P)'!AN95,
    IF(arrears_months=0,1.00,
    IF(arrears_months=1,3.00,
    IF(arrears_months=2,5.00,
    IF(arrears_months=3,8.00,
    IF(arrears_months=4,10.00,
    IF(arrears_months=5,12.00,15.00)))))))</f>
        <v/>
      </c>
      <c r="M95" s="21">
        <f>LET(
    seasoning_years,DATEDIF('Loan Tape (S&amp;P)'!K95,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" s="21">
        <f>IF(AND('Loan Tape (S&amp;P)'!U95="Yes",
        'Loan Tape (S&amp;P)'!T95&lt;&gt;"Yes",
        DATEDIF('Loan Tape (S&amp;P)'!K95, TODAY(), "M")&lt;18),
    1.10,
    1.00)</f>
        <v/>
      </c>
      <c r="O95" s="21">
        <f>IF('Loan Tape (S&amp;P)'!T95="Yes",
    1.35,
    1.00)</f>
        <v/>
      </c>
      <c r="P95" s="21">
        <f>IF('Loan Tape (S&amp;P)'!S95="Yes",
    1.15,
    1.00)</f>
        <v/>
      </c>
      <c r="Q95" s="21">
        <f>IF('Loan Tape (S&amp;P)'!V95="Yes",
    1.20,
    1.00)</f>
        <v/>
      </c>
      <c r="R95" s="21">
        <f>IF('Loan Tape (S&amp;P)'!T95="Yes",
    'FF Adj Parameters'!$B$40,
    1.00)</f>
        <v/>
      </c>
      <c r="S95" s="21">
        <f>LET(
    is_htb,'Loan Tape (S&amp;P)'!Q95="Yes",
    rate_type,'Loan Tape (S&amp;P)'!AS95,
    months_to_mat,'Loan Tape (S&amp;P)'!AU95,
    threshold,'FF Adj Parameters'!$B$1295,
    has_shock,AND(rate_type="Fixed",months_to_mat&lt;=threshold),
    IF(is_htb,1.00,IF(has_shock,'FF Adj Parameters'!$B$41,1.00))
)</f>
        <v/>
      </c>
      <c r="T95" s="21">
        <f>LET(
    payment_method,'Loan Tape (S&amp;P)'!P95,
    occupancy,'Loan Tape (S&amp;P)'!N95,
    maturity_date,'Loan Tape (S&amp;P)'!L95,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95" s="21">
        <f>IF(AND('Loan Tape (S&amp;P)'!V95="Yes",'Loan Tape (S&amp;P)'!N95&lt;&gt;"Buy to Let"),
    'FF Adj Parameters'!$B$42,
    1.00)</f>
        <v/>
      </c>
      <c r="V95" s="21">
        <f>IF('Loan Tape (S&amp;P)'!AV95="Yes",
    'FF Adj Parameters'!$B$43,
    1.00)</f>
        <v/>
      </c>
      <c r="W95" s="23">
        <f>IF('Loan Tape (S&amp;P)'!AC95&gt;0,
    'FF Adj Parameters'!$B$44,
    1.00)</f>
        <v/>
      </c>
      <c r="X95" s="21">
        <f>LET(
    has_bankruptcy,'Loan Tape (S&amp;P)'!AE95="Yes",
    has_iva,'Loan Tape (S&amp;P)'!AF95="Yes",
    has_repo,'Loan Tape (S&amp;P)'!AI95="Yes",
    mult,IF(has_repo,'FF Adj Parameters'!$B$47,
            IF(has_bankruptcy,'FF Adj Parameters'!$B$495,
                IF(has_iva,'FF Adj Parameters'!$B$46,
                    1.00))),
    MAX(mult,0.950)
)</f>
        <v/>
      </c>
      <c r="Y95" s="21">
        <f>LET(
    has_perf_arr,'Loan Tape (S&amp;P)'!AP95="Yes",
    perf_arr_date,'Loan Tape (S&amp;P)'!AQ95,
    last_90_date,'Loan Tape (S&amp;P)'!AR95,
    threshold_years,VLOOKUP('Control Panel'!$B$6,'Jurisdiction Parameters'!$A:$Q,17,FALSE),
    relevant_date,MAX(perf_arr_date,last_90_date),
    years_since,('Control Panel'!$B$10-relevant_date)/3695.295,
    IF(NOT(has_perf_arr),1.00,
        IF(years_since&gt;threshold_years,1.00,
            IF(years_since&lt;=1,INDEX('FF Adj Parameters'!$C$47:$C$950,1),
                IF(years_since&lt;=2,INDEX('FF Adj Parameters'!$C$47:$C$950,2),
                    IF(years_since&lt;=3,INDEX('FF Adj Parameters'!$C$47:$C$950,3),
                        INDEX('FF Adj Parameters'!$C$47:$C$950,4))))))
)</f>
        <v/>
      </c>
      <c r="Z95" s="24">
        <f>IFERROR(
        IF(L95&gt;=100,1.00,
            'Control Panel'!$B$18*F95*G95*MAX(H95,R95)*I95*J95*K95*L95*M95*N95*O95*P95*Q95*S95*T95*U95*V95*W95*X95*Y95
        ),
    0)</f>
        <v/>
      </c>
    </row>
    <row r="96">
      <c r="A96" s="17">
        <f>'Loan Tape (S&amp;P)'!A96</f>
        <v/>
      </c>
      <c r="B96" s="18">
        <f>'Loan Tape (S&amp;P)'!B96</f>
        <v/>
      </c>
      <c r="C96" s="20">
        <f>IFERROR('Loan Tape (S&amp;P)'!C96/'Loan Tape (S&amp;P)'!E96,0)</f>
        <v/>
      </c>
      <c r="D96" s="20">
        <f>IFERROR(
        'Loan Tape (S&amp;P)'!B96/
        ('Loan Tape (S&amp;P)'!D96*
        (1-IF('Loan Tape (S&amp;P)'!AT96&lt;&gt;"Full",
            VLOOKUP('Control Panel'!$B$6,'Jurisdiction Parameters'!$A:$D,4,FALSE),
        0))),
    0)</f>
        <v/>
      </c>
      <c r="E96" s="20">
        <f>('Control Panel'!$B$12*C96)+('Control Panel'!$B$13*D96)</f>
        <v/>
      </c>
      <c r="F96" s="22">
        <f>IFERROR(
        LET(
            juris,'Control Panel'!$B$6,
            ltv_val,E96,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6" s="21">
        <f>'Control Panel'!$B$14</f>
        <v/>
      </c>
      <c r="H96" s="21">
        <f>LET(
    income_mult,'Loan Tape (S&amp;P)'!Z96,
    IF(income_mult=0,1.00,
        IFERROR(
            INDEX('FF Adj Parameters'!$A$196:$B$17,
                MATCH(income_mult,INDEX('FF Adj Parameters'!$A$196:$B$17,,1),1),2),
            1.960))
)</f>
        <v/>
      </c>
      <c r="I96" s="21">
        <f>IF('Loan Tape (S&amp;P)'!N96&lt;&gt;"Buy to Let",1.00,
    LET(
        dscr,'Loan Tape (S&amp;P)'!AA96,
        IF(dscr=0,INDEX('FF Adj Parameters'!$A$21:$B$296,1,2),
            IFERROR(
                INDEX('FF Adj Parameters'!$A$21:$B$296,
                    MATCH(dscr,INDEX('FF Adj Parameters'!$A$21:$B$296,,1),1),2),
                'FF Adj Parameters'!$B$21)))
)</f>
        <v/>
      </c>
      <c r="J96" s="21">
        <f>LET(
    lien,'Loan Tape (S&amp;P)'!Q96,
    IF(lien="First",1.00,
        IF(lien="Second",1.50,
            1.70)))</f>
        <v/>
      </c>
      <c r="K96" s="21">
        <f>LET(
    purpose,'Loan Tape (S&amp;P)'!R96,
    IF(purpose="Purchase",1.00,
        IF(purpose="Remortgage",1.00,
            1.20)))</f>
        <v/>
      </c>
      <c r="L96" s="21">
        <f>LET(
    arrears_months,'Loan Tape (S&amp;P)'!AN96,
    IF(arrears_months=0,1.00,
    IF(arrears_months=1,3.00,
    IF(arrears_months=2,5.00,
    IF(arrears_months=3,8.00,
    IF(arrears_months=4,10.00,
    IF(arrears_months=5,12.00,15.00)))))))</f>
        <v/>
      </c>
      <c r="M96" s="21">
        <f>LET(
    seasoning_years,DATEDIF('Loan Tape (S&amp;P)'!K96,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" s="21">
        <f>IF(AND('Loan Tape (S&amp;P)'!U96="Yes",
        'Loan Tape (S&amp;P)'!T96&lt;&gt;"Yes",
        DATEDIF('Loan Tape (S&amp;P)'!K96, TODAY(), "M")&lt;18),
    1.10,
    1.00)</f>
        <v/>
      </c>
      <c r="O96" s="21">
        <f>IF('Loan Tape (S&amp;P)'!T96="Yes",
    1.35,
    1.00)</f>
        <v/>
      </c>
      <c r="P96" s="21">
        <f>IF('Loan Tape (S&amp;P)'!S96="Yes",
    1.15,
    1.00)</f>
        <v/>
      </c>
      <c r="Q96" s="21">
        <f>IF('Loan Tape (S&amp;P)'!V96="Yes",
    1.20,
    1.00)</f>
        <v/>
      </c>
      <c r="R96" s="21">
        <f>IF('Loan Tape (S&amp;P)'!T96="Yes",
    'FF Adj Parameters'!$B$40,
    1.00)</f>
        <v/>
      </c>
      <c r="S96" s="21">
        <f>LET(
    is_htb,'Loan Tape (S&amp;P)'!Q96="Yes",
    rate_type,'Loan Tape (S&amp;P)'!AS96,
    months_to_mat,'Loan Tape (S&amp;P)'!AU96,
    threshold,'FF Adj Parameters'!$B$1296,
    has_shock,AND(rate_type="Fixed",months_to_mat&lt;=threshold),
    IF(is_htb,1.00,IF(has_shock,'FF Adj Parameters'!$B$41,1.00))
)</f>
        <v/>
      </c>
      <c r="T96" s="21">
        <f>LET(
    payment_method,'Loan Tape (S&amp;P)'!P96,
    occupancy,'Loan Tape (S&amp;P)'!N96,
    maturity_date,'Loan Tape (S&amp;P)'!L96,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96" s="21">
        <f>IF(AND('Loan Tape (S&amp;P)'!V96="Yes",'Loan Tape (S&amp;P)'!N96&lt;&gt;"Buy to Let"),
    'FF Adj Parameters'!$B$42,
    1.00)</f>
        <v/>
      </c>
      <c r="V96" s="21">
        <f>IF('Loan Tape (S&amp;P)'!AV96="Yes",
    'FF Adj Parameters'!$B$43,
    1.00)</f>
        <v/>
      </c>
      <c r="W96" s="23">
        <f>IF('Loan Tape (S&amp;P)'!AC96&gt;0,
    'FF Adj Parameters'!$B$44,
    1.00)</f>
        <v/>
      </c>
      <c r="X96" s="21">
        <f>LET(
    has_bankruptcy,'Loan Tape (S&amp;P)'!AE96="Yes",
    has_iva,'Loan Tape (S&amp;P)'!AF96="Yes",
    has_repo,'Loan Tape (S&amp;P)'!AI96="Yes",
    mult,IF(has_repo,'FF Adj Parameters'!$B$47,
            IF(has_bankruptcy,'FF Adj Parameters'!$B$496,
                IF(has_iva,'FF Adj Parameters'!$B$46,
                    1.00))),
    MAX(mult,0.960)
)</f>
        <v/>
      </c>
      <c r="Y96" s="21">
        <f>LET(
    has_perf_arr,'Loan Tape (S&amp;P)'!AP96="Yes",
    perf_arr_date,'Loan Tape (S&amp;P)'!AQ96,
    last_90_date,'Loan Tape (S&amp;P)'!AR96,
    threshold_years,VLOOKUP('Control Panel'!$B$6,'Jurisdiction Parameters'!$A:$Q,17,FALSE),
    relevant_date,MAX(perf_arr_date,last_90_date),
    years_since,('Control Panel'!$B$10-relevant_date)/3696.296,
    IF(NOT(has_perf_arr),1.00,
        IF(years_since&gt;threshold_years,1.00,
            IF(years_since&lt;=1,INDEX('FF Adj Parameters'!$C$47:$C$960,1),
                IF(years_since&lt;=2,INDEX('FF Adj Parameters'!$C$47:$C$960,2),
                    IF(years_since&lt;=3,INDEX('FF Adj Parameters'!$C$47:$C$960,3),
                        INDEX('FF Adj Parameters'!$C$47:$C$960,4))))))
)</f>
        <v/>
      </c>
      <c r="Z96" s="24">
        <f>IFERROR(
        IF(L96&gt;=100,1.00,
            'Control Panel'!$B$18*F96*G96*MAX(H96,R96)*I96*J96*K96*L96*M96*N96*O96*P96*Q96*S96*T96*U96*V96*W96*X96*Y96
        ),
    0)</f>
        <v/>
      </c>
    </row>
    <row r="97">
      <c r="A97" s="17">
        <f>'Loan Tape (S&amp;P)'!A97</f>
        <v/>
      </c>
      <c r="B97" s="18">
        <f>'Loan Tape (S&amp;P)'!B97</f>
        <v/>
      </c>
      <c r="C97" s="20">
        <f>IFERROR('Loan Tape (S&amp;P)'!C97/'Loan Tape (S&amp;P)'!E97,0)</f>
        <v/>
      </c>
      <c r="D97" s="20">
        <f>IFERROR(
        'Loan Tape (S&amp;P)'!B97/
        ('Loan Tape (S&amp;P)'!D97*
        (1-IF('Loan Tape (S&amp;P)'!AT97&lt;&gt;"Full",
            VLOOKUP('Control Panel'!$B$6,'Jurisdiction Parameters'!$A:$D,4,FALSE),
        0))),
    0)</f>
        <v/>
      </c>
      <c r="E97" s="20">
        <f>('Control Panel'!$B$12*C97)+('Control Panel'!$B$13*D97)</f>
        <v/>
      </c>
      <c r="F97" s="22">
        <f>IFERROR(
        LET(
            juris,'Control Panel'!$B$6,
            ltv_val,E97,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7" s="21">
        <f>'Control Panel'!$B$14</f>
        <v/>
      </c>
      <c r="H97" s="21">
        <f>LET(
    income_mult,'Loan Tape (S&amp;P)'!Z97,
    IF(income_mult=0,1.00,
        IFERROR(
            INDEX('FF Adj Parameters'!$A$197:$B$17,
                MATCH(income_mult,INDEX('FF Adj Parameters'!$A$197:$B$17,,1),1),2),
            1.970))
)</f>
        <v/>
      </c>
      <c r="I97" s="21">
        <f>IF('Loan Tape (S&amp;P)'!N97&lt;&gt;"Buy to Let",1.00,
    LET(
        dscr,'Loan Tape (S&amp;P)'!AA97,
        IF(dscr=0,INDEX('FF Adj Parameters'!$A$21:$B$297,1,2),
            IFERROR(
                INDEX('FF Adj Parameters'!$A$21:$B$297,
                    MATCH(dscr,INDEX('FF Adj Parameters'!$A$21:$B$297,,1),1),2),
                'FF Adj Parameters'!$B$21)))
)</f>
        <v/>
      </c>
      <c r="J97" s="21">
        <f>LET(
    lien,'Loan Tape (S&amp;P)'!Q97,
    IF(lien="First",1.00,
        IF(lien="Second",1.50,
            1.70)))</f>
        <v/>
      </c>
      <c r="K97" s="21">
        <f>LET(
    purpose,'Loan Tape (S&amp;P)'!R97,
    IF(purpose="Purchase",1.00,
        IF(purpose="Remortgage",1.00,
            1.20)))</f>
        <v/>
      </c>
      <c r="L97" s="21">
        <f>LET(
    arrears_months,'Loan Tape (S&amp;P)'!AN97,
    IF(arrears_months=0,1.00,
    IF(arrears_months=1,3.00,
    IF(arrears_months=2,5.00,
    IF(arrears_months=3,8.00,
    IF(arrears_months=4,10.00,
    IF(arrears_months=5,12.00,15.00)))))))</f>
        <v/>
      </c>
      <c r="M97" s="21">
        <f>LET(
    seasoning_years,DATEDIF('Loan Tape (S&amp;P)'!K97,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" s="21">
        <f>IF(AND('Loan Tape (S&amp;P)'!U97="Yes",
        'Loan Tape (S&amp;P)'!T97&lt;&gt;"Yes",
        DATEDIF('Loan Tape (S&amp;P)'!K97, TODAY(), "M")&lt;18),
    1.10,
    1.00)</f>
        <v/>
      </c>
      <c r="O97" s="21">
        <f>IF('Loan Tape (S&amp;P)'!T97="Yes",
    1.35,
    1.00)</f>
        <v/>
      </c>
      <c r="P97" s="21">
        <f>IF('Loan Tape (S&amp;P)'!S97="Yes",
    1.15,
    1.00)</f>
        <v/>
      </c>
      <c r="Q97" s="21">
        <f>IF('Loan Tape (S&amp;P)'!V97="Yes",
    1.20,
    1.00)</f>
        <v/>
      </c>
      <c r="R97" s="21">
        <f>IF('Loan Tape (S&amp;P)'!T97="Yes",
    'FF Adj Parameters'!$B$40,
    1.00)</f>
        <v/>
      </c>
      <c r="S97" s="21">
        <f>LET(
    is_htb,'Loan Tape (S&amp;P)'!Q97="Yes",
    rate_type,'Loan Tape (S&amp;P)'!AS97,
    months_to_mat,'Loan Tape (S&amp;P)'!AU97,
    threshold,'FF Adj Parameters'!$B$1297,
    has_shock,AND(rate_type="Fixed",months_to_mat&lt;=threshold),
    IF(is_htb,1.00,IF(has_shock,'FF Adj Parameters'!$B$41,1.00))
)</f>
        <v/>
      </c>
      <c r="T97" s="21">
        <f>LET(
    payment_method,'Loan Tape (S&amp;P)'!P97,
    occupancy,'Loan Tape (S&amp;P)'!N97,
    maturity_date,'Loan Tape (S&amp;P)'!L97,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97" s="21">
        <f>IF(AND('Loan Tape (S&amp;P)'!V97="Yes",'Loan Tape (S&amp;P)'!N97&lt;&gt;"Buy to Let"),
    'FF Adj Parameters'!$B$42,
    1.00)</f>
        <v/>
      </c>
      <c r="V97" s="21">
        <f>IF('Loan Tape (S&amp;P)'!AV97="Yes",
    'FF Adj Parameters'!$B$43,
    1.00)</f>
        <v/>
      </c>
      <c r="W97" s="23">
        <f>IF('Loan Tape (S&amp;P)'!AC97&gt;0,
    'FF Adj Parameters'!$B$44,
    1.00)</f>
        <v/>
      </c>
      <c r="X97" s="21">
        <f>LET(
    has_bankruptcy,'Loan Tape (S&amp;P)'!AE97="Yes",
    has_iva,'Loan Tape (S&amp;P)'!AF97="Yes",
    has_repo,'Loan Tape (S&amp;P)'!AI97="Yes",
    mult,IF(has_repo,'FF Adj Parameters'!$B$47,
            IF(has_bankruptcy,'FF Adj Parameters'!$B$497,
                IF(has_iva,'FF Adj Parameters'!$B$46,
                    1.00))),
    MAX(mult,0.970)
)</f>
        <v/>
      </c>
      <c r="Y97" s="21">
        <f>LET(
    has_perf_arr,'Loan Tape (S&amp;P)'!AP97="Yes",
    perf_arr_date,'Loan Tape (S&amp;P)'!AQ97,
    last_90_date,'Loan Tape (S&amp;P)'!AR97,
    threshold_years,VLOOKUP('Control Panel'!$B$6,'Jurisdiction Parameters'!$A:$Q,17,FALSE),
    relevant_date,MAX(perf_arr_date,last_90_date),
    years_since,('Control Panel'!$B$10-relevant_date)/3697.297,
    IF(NOT(has_perf_arr),1.00,
        IF(years_since&gt;threshold_years,1.00,
            IF(years_since&lt;=1,INDEX('FF Adj Parameters'!$C$47:$C$970,1),
                IF(years_since&lt;=2,INDEX('FF Adj Parameters'!$C$47:$C$970,2),
                    IF(years_since&lt;=3,INDEX('FF Adj Parameters'!$C$47:$C$970,3),
                        INDEX('FF Adj Parameters'!$C$47:$C$970,4))))))
)</f>
        <v/>
      </c>
      <c r="Z97" s="24">
        <f>IFERROR(
        IF(L97&gt;=100,1.00,
            'Control Panel'!$B$18*F97*G97*MAX(H97,R97)*I97*J97*K97*L97*M97*N97*O97*P97*Q97*S97*T97*U97*V97*W97*X97*Y97
        ),
    0)</f>
        <v/>
      </c>
    </row>
    <row r="98">
      <c r="A98" s="17">
        <f>'Loan Tape (S&amp;P)'!A98</f>
        <v/>
      </c>
      <c r="B98" s="18">
        <f>'Loan Tape (S&amp;P)'!B98</f>
        <v/>
      </c>
      <c r="C98" s="20">
        <f>IFERROR('Loan Tape (S&amp;P)'!C98/'Loan Tape (S&amp;P)'!E98,0)</f>
        <v/>
      </c>
      <c r="D98" s="20">
        <f>IFERROR(
        'Loan Tape (S&amp;P)'!B98/
        ('Loan Tape (S&amp;P)'!D98*
        (1-IF('Loan Tape (S&amp;P)'!AT98&lt;&gt;"Full",
            VLOOKUP('Control Panel'!$B$6,'Jurisdiction Parameters'!$A:$D,4,FALSE),
        0))),
    0)</f>
        <v/>
      </c>
      <c r="E98" s="20">
        <f>('Control Panel'!$B$12*C98)+('Control Panel'!$B$13*D98)</f>
        <v/>
      </c>
      <c r="F98" s="22">
        <f>IFERROR(
        LET(
            juris,'Control Panel'!$B$6,
            ltv_val,E98,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8" s="21">
        <f>'Control Panel'!$B$14</f>
        <v/>
      </c>
      <c r="H98" s="21">
        <f>LET(
    income_mult,'Loan Tape (S&amp;P)'!Z98,
    IF(income_mult=0,1.00,
        IFERROR(
            INDEX('FF Adj Parameters'!$A$198:$B$17,
                MATCH(income_mult,INDEX('FF Adj Parameters'!$A$198:$B$17,,1),1),2),
            1.980))
)</f>
        <v/>
      </c>
      <c r="I98" s="21">
        <f>IF('Loan Tape (S&amp;P)'!N98&lt;&gt;"Buy to Let",1.00,
    LET(
        dscr,'Loan Tape (S&amp;P)'!AA98,
        IF(dscr=0,INDEX('FF Adj Parameters'!$A$21:$B$298,1,2),
            IFERROR(
                INDEX('FF Adj Parameters'!$A$21:$B$298,
                    MATCH(dscr,INDEX('FF Adj Parameters'!$A$21:$B$298,,1),1),2),
                'FF Adj Parameters'!$B$21)))
)</f>
        <v/>
      </c>
      <c r="J98" s="21">
        <f>LET(
    lien,'Loan Tape (S&amp;P)'!Q98,
    IF(lien="First",1.00,
        IF(lien="Second",1.50,
            1.70)))</f>
        <v/>
      </c>
      <c r="K98" s="21">
        <f>LET(
    purpose,'Loan Tape (S&amp;P)'!R98,
    IF(purpose="Purchase",1.00,
        IF(purpose="Remortgage",1.00,
            1.20)))</f>
        <v/>
      </c>
      <c r="L98" s="21">
        <f>LET(
    arrears_months,'Loan Tape (S&amp;P)'!AN98,
    IF(arrears_months=0,1.00,
    IF(arrears_months=1,3.00,
    IF(arrears_months=2,5.00,
    IF(arrears_months=3,8.00,
    IF(arrears_months=4,10.00,
    IF(arrears_months=5,12.00,15.00)))))))</f>
        <v/>
      </c>
      <c r="M98" s="21">
        <f>LET(
    seasoning_years,DATEDIF('Loan Tape (S&amp;P)'!K98,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" s="21">
        <f>IF(AND('Loan Tape (S&amp;P)'!U98="Yes",
        'Loan Tape (S&amp;P)'!T98&lt;&gt;"Yes",
        DATEDIF('Loan Tape (S&amp;P)'!K98, TODAY(), "M")&lt;18),
    1.10,
    1.00)</f>
        <v/>
      </c>
      <c r="O98" s="21">
        <f>IF('Loan Tape (S&amp;P)'!T98="Yes",
    1.35,
    1.00)</f>
        <v/>
      </c>
      <c r="P98" s="21">
        <f>IF('Loan Tape (S&amp;P)'!S98="Yes",
    1.15,
    1.00)</f>
        <v/>
      </c>
      <c r="Q98" s="21">
        <f>IF('Loan Tape (S&amp;P)'!V98="Yes",
    1.20,
    1.00)</f>
        <v/>
      </c>
      <c r="R98" s="21">
        <f>IF('Loan Tape (S&amp;P)'!T98="Yes",
    'FF Adj Parameters'!$B$40,
    1.00)</f>
        <v/>
      </c>
      <c r="S98" s="21">
        <f>LET(
    is_htb,'Loan Tape (S&amp;P)'!Q98="Yes",
    rate_type,'Loan Tape (S&amp;P)'!AS98,
    months_to_mat,'Loan Tape (S&amp;P)'!AU98,
    threshold,'FF Adj Parameters'!$B$1298,
    has_shock,AND(rate_type="Fixed",months_to_mat&lt;=threshold),
    IF(is_htb,1.00,IF(has_shock,'FF Adj Parameters'!$B$41,1.00))
)</f>
        <v/>
      </c>
      <c r="T98" s="21">
        <f>LET(
    payment_method,'Loan Tape (S&amp;P)'!P98,
    occupancy,'Loan Tape (S&amp;P)'!N98,
    maturity_date,'Loan Tape (S&amp;P)'!L98,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98" s="21">
        <f>IF(AND('Loan Tape (S&amp;P)'!V98="Yes",'Loan Tape (S&amp;P)'!N98&lt;&gt;"Buy to Let"),
    'FF Adj Parameters'!$B$42,
    1.00)</f>
        <v/>
      </c>
      <c r="V98" s="21">
        <f>IF('Loan Tape (S&amp;P)'!AV98="Yes",
    'FF Adj Parameters'!$B$43,
    1.00)</f>
        <v/>
      </c>
      <c r="W98" s="23">
        <f>IF('Loan Tape (S&amp;P)'!AC98&gt;0,
    'FF Adj Parameters'!$B$44,
    1.00)</f>
        <v/>
      </c>
      <c r="X98" s="21">
        <f>LET(
    has_bankruptcy,'Loan Tape (S&amp;P)'!AE98="Yes",
    has_iva,'Loan Tape (S&amp;P)'!AF98="Yes",
    has_repo,'Loan Tape (S&amp;P)'!AI98="Yes",
    mult,IF(has_repo,'FF Adj Parameters'!$B$47,
            IF(has_bankruptcy,'FF Adj Parameters'!$B$498,
                IF(has_iva,'FF Adj Parameters'!$B$46,
                    1.00))),
    MAX(mult,0.980)
)</f>
        <v/>
      </c>
      <c r="Y98" s="21">
        <f>LET(
    has_perf_arr,'Loan Tape (S&amp;P)'!AP98="Yes",
    perf_arr_date,'Loan Tape (S&amp;P)'!AQ98,
    last_90_date,'Loan Tape (S&amp;P)'!AR98,
    threshold_years,VLOOKUP('Control Panel'!$B$6,'Jurisdiction Parameters'!$A:$Q,17,FALSE),
    relevant_date,MAX(perf_arr_date,last_90_date),
    years_since,('Control Panel'!$B$10-relevant_date)/3698.298,
    IF(NOT(has_perf_arr),1.00,
        IF(years_since&gt;threshold_years,1.00,
            IF(years_since&lt;=1,INDEX('FF Adj Parameters'!$C$47:$C$980,1),
                IF(years_since&lt;=2,INDEX('FF Adj Parameters'!$C$47:$C$980,2),
                    IF(years_since&lt;=3,INDEX('FF Adj Parameters'!$C$47:$C$980,3),
                        INDEX('FF Adj Parameters'!$C$47:$C$980,4))))))
)</f>
        <v/>
      </c>
      <c r="Z98" s="24">
        <f>IFERROR(
        IF(L98&gt;=100,1.00,
            'Control Panel'!$B$18*F98*G98*MAX(H98,R98)*I98*J98*K98*L98*M98*N98*O98*P98*Q98*S98*T98*U98*V98*W98*X98*Y98
        ),
    0)</f>
        <v/>
      </c>
    </row>
    <row r="99">
      <c r="A99" s="17">
        <f>'Loan Tape (S&amp;P)'!A99</f>
        <v/>
      </c>
      <c r="B99" s="18">
        <f>'Loan Tape (S&amp;P)'!B99</f>
        <v/>
      </c>
      <c r="C99" s="20">
        <f>IFERROR('Loan Tape (S&amp;P)'!C99/'Loan Tape (S&amp;P)'!E99,0)</f>
        <v/>
      </c>
      <c r="D99" s="20">
        <f>IFERROR(
        'Loan Tape (S&amp;P)'!B99/
        ('Loan Tape (S&amp;P)'!D99*
        (1-IF('Loan Tape (S&amp;P)'!AT99&lt;&gt;"Full",
            VLOOKUP('Control Panel'!$B$6,'Jurisdiction Parameters'!$A:$D,4,FALSE),
        0))),
    0)</f>
        <v/>
      </c>
      <c r="E99" s="20">
        <f>('Control Panel'!$B$12*C99)+('Control Panel'!$B$13*D99)</f>
        <v/>
      </c>
      <c r="F99" s="22">
        <f>IFERROR(
        LET(
            juris,'Control Panel'!$B$6,
            ltv_val,E99,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9" s="21">
        <f>'Control Panel'!$B$14</f>
        <v/>
      </c>
      <c r="H99" s="21">
        <f>LET(
    income_mult,'Loan Tape (S&amp;P)'!Z99,
    IF(income_mult=0,1.00,
        IFERROR(
            INDEX('FF Adj Parameters'!$A$199:$B$17,
                MATCH(income_mult,INDEX('FF Adj Parameters'!$A$199:$B$17,,1),1),2),
            1.990))
)</f>
        <v/>
      </c>
      <c r="I99" s="21">
        <f>IF('Loan Tape (S&amp;P)'!N99&lt;&gt;"Buy to Let",1.00,
    LET(
        dscr,'Loan Tape (S&amp;P)'!AA99,
        IF(dscr=0,INDEX('FF Adj Parameters'!$A$21:$B$299,1,2),
            IFERROR(
                INDEX('FF Adj Parameters'!$A$21:$B$299,
                    MATCH(dscr,INDEX('FF Adj Parameters'!$A$21:$B$299,,1),1),2),
                'FF Adj Parameters'!$B$21)))
)</f>
        <v/>
      </c>
      <c r="J99" s="21">
        <f>LET(
    lien,'Loan Tape (S&amp;P)'!Q99,
    IF(lien="First",1.00,
        IF(lien="Second",1.50,
            1.70)))</f>
        <v/>
      </c>
      <c r="K99" s="21">
        <f>LET(
    purpose,'Loan Tape (S&amp;P)'!R99,
    IF(purpose="Purchase",1.00,
        IF(purpose="Remortgage",1.00,
            1.20)))</f>
        <v/>
      </c>
      <c r="L99" s="21">
        <f>LET(
    arrears_months,'Loan Tape (S&amp;P)'!AN99,
    IF(arrears_months=0,1.00,
    IF(arrears_months=1,3.00,
    IF(arrears_months=2,5.00,
    IF(arrears_months=3,8.00,
    IF(arrears_months=4,10.00,
    IF(arrears_months=5,12.00,15.00)))))))</f>
        <v/>
      </c>
      <c r="M99" s="21">
        <f>LET(
    seasoning_years,DATEDIF('Loan Tape (S&amp;P)'!K99,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" s="21">
        <f>IF(AND('Loan Tape (S&amp;P)'!U99="Yes",
        'Loan Tape (S&amp;P)'!T99&lt;&gt;"Yes",
        DATEDIF('Loan Tape (S&amp;P)'!K99, TODAY(), "M")&lt;18),
    1.10,
    1.00)</f>
        <v/>
      </c>
      <c r="O99" s="21">
        <f>IF('Loan Tape (S&amp;P)'!T99="Yes",
    1.35,
    1.00)</f>
        <v/>
      </c>
      <c r="P99" s="21">
        <f>IF('Loan Tape (S&amp;P)'!S99="Yes",
    1.15,
    1.00)</f>
        <v/>
      </c>
      <c r="Q99" s="21">
        <f>IF('Loan Tape (S&amp;P)'!V99="Yes",
    1.20,
    1.00)</f>
        <v/>
      </c>
      <c r="R99" s="21">
        <f>IF('Loan Tape (S&amp;P)'!T99="Yes",
    'FF Adj Parameters'!$B$40,
    1.00)</f>
        <v/>
      </c>
      <c r="S99" s="21">
        <f>LET(
    is_htb,'Loan Tape (S&amp;P)'!Q99="Yes",
    rate_type,'Loan Tape (S&amp;P)'!AS99,
    months_to_mat,'Loan Tape (S&amp;P)'!AU99,
    threshold,'FF Adj Parameters'!$B$1299,
    has_shock,AND(rate_type="Fixed",months_to_mat&lt;=threshold),
    IF(is_htb,1.00,IF(has_shock,'FF Adj Parameters'!$B$41,1.00))
)</f>
        <v/>
      </c>
      <c r="T99" s="21">
        <f>LET(
    payment_method,'Loan Tape (S&amp;P)'!P99,
    occupancy,'Loan Tape (S&amp;P)'!N99,
    maturity_date,'Loan Tape (S&amp;P)'!L99,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99" s="21">
        <f>IF(AND('Loan Tape (S&amp;P)'!V99="Yes",'Loan Tape (S&amp;P)'!N99&lt;&gt;"Buy to Let"),
    'FF Adj Parameters'!$B$42,
    1.00)</f>
        <v/>
      </c>
      <c r="V99" s="21">
        <f>IF('Loan Tape (S&amp;P)'!AV99="Yes",
    'FF Adj Parameters'!$B$43,
    1.00)</f>
        <v/>
      </c>
      <c r="W99" s="23">
        <f>IF('Loan Tape (S&amp;P)'!AC99&gt;0,
    'FF Adj Parameters'!$B$44,
    1.00)</f>
        <v/>
      </c>
      <c r="X99" s="21">
        <f>LET(
    has_bankruptcy,'Loan Tape (S&amp;P)'!AE99="Yes",
    has_iva,'Loan Tape (S&amp;P)'!AF99="Yes",
    has_repo,'Loan Tape (S&amp;P)'!AI99="Yes",
    mult,IF(has_repo,'FF Adj Parameters'!$B$47,
            IF(has_bankruptcy,'FF Adj Parameters'!$B$499,
                IF(has_iva,'FF Adj Parameters'!$B$46,
                    1.00))),
    MAX(mult,0.990)
)</f>
        <v/>
      </c>
      <c r="Y99" s="21">
        <f>LET(
    has_perf_arr,'Loan Tape (S&amp;P)'!AP99="Yes",
    perf_arr_date,'Loan Tape (S&amp;P)'!AQ99,
    last_90_date,'Loan Tape (S&amp;P)'!AR99,
    threshold_years,VLOOKUP('Control Panel'!$B$6,'Jurisdiction Parameters'!$A:$Q,17,FALSE),
    relevant_date,MAX(perf_arr_date,last_90_date),
    years_since,('Control Panel'!$B$10-relevant_date)/3699.299,
    IF(NOT(has_perf_arr),1.00,
        IF(years_since&gt;threshold_years,1.00,
            IF(years_since&lt;=1,INDEX('FF Adj Parameters'!$C$47:$C$990,1),
                IF(years_since&lt;=2,INDEX('FF Adj Parameters'!$C$47:$C$990,2),
                    IF(years_since&lt;=3,INDEX('FF Adj Parameters'!$C$47:$C$990,3),
                        INDEX('FF Adj Parameters'!$C$47:$C$990,4))))))
)</f>
        <v/>
      </c>
      <c r="Z99" s="24">
        <f>IFERROR(
        IF(L99&gt;=100,1.00,
            'Control Panel'!$B$18*F99*G99*MAX(H99,R99)*I99*J99*K99*L99*M99*N99*O99*P99*Q99*S99*T99*U99*V99*W99*X99*Y99
        ),
    0)</f>
        <v/>
      </c>
    </row>
    <row r="100">
      <c r="A100" s="17">
        <f>'Loan Tape (S&amp;P)'!A100</f>
        <v/>
      </c>
      <c r="B100" s="18">
        <f>'Loan Tape (S&amp;P)'!B100</f>
        <v/>
      </c>
      <c r="C100" s="20">
        <f>IFERROR('Loan Tape (S&amp;P)'!C100/'Loan Tape (S&amp;P)'!E100,0)</f>
        <v/>
      </c>
      <c r="D100" s="20">
        <f>IFERROR(
        'Loan Tape (S&amp;P)'!B100/
        ('Loan Tape (S&amp;P)'!D100*
        (1-IF('Loan Tape (S&amp;P)'!AT100&lt;&gt;"Full",
            VLOOKUP('Control Panel'!$B$6,'Jurisdiction Parameters'!$A:$D,4,FALSE),
        0))),
    0)</f>
        <v/>
      </c>
      <c r="E100" s="20">
        <f>('Control Panel'!$B$12*C100)+('Control Panel'!$B$13*D100)</f>
        <v/>
      </c>
      <c r="F100" s="22">
        <f>IFERROR(
        LET(
            juris,'Control Panel'!$B$6,
            ltv_val,E100,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0" s="21">
        <f>'Control Panel'!$B$14</f>
        <v/>
      </c>
      <c r="H100" s="21">
        <f>LET(
    income_mult,'Loan Tape (S&amp;P)'!Z100,
    IF(income_mult=0,1.00,
        IFERROR(
            INDEX('FF Adj Parameters'!$A$1100:$B$17,
                MATCH(income_mult,INDEX('FF Adj Parameters'!$A$1100:$B$17,,1),1),2),
            1.1000))
)</f>
        <v/>
      </c>
      <c r="I100" s="21">
        <f>IF('Loan Tape (S&amp;P)'!N100&lt;&gt;"Buy to Let",1.00,
    LET(
        dscr,'Loan Tape (S&amp;P)'!AA100,
        IF(dscr=0,INDEX('FF Adj Parameters'!$A$21:$B$2100,1,2),
            IFERROR(
                INDEX('FF Adj Parameters'!$A$21:$B$2100,
                    MATCH(dscr,INDEX('FF Adj Parameters'!$A$21:$B$2100,,1),1),2),
                'FF Adj Parameters'!$B$21)))
)</f>
        <v/>
      </c>
      <c r="J100" s="21">
        <f>LET(
    lien,'Loan Tape (S&amp;P)'!Q100,
    IF(lien="First",1.00,
        IF(lien="Second",1.50,
            1.70)))</f>
        <v/>
      </c>
      <c r="K100" s="21">
        <f>LET(
    purpose,'Loan Tape (S&amp;P)'!R100,
    IF(purpose="Purchase",1.00,
        IF(purpose="Remortgage",1.00,
            1.20)))</f>
        <v/>
      </c>
      <c r="L100" s="21">
        <f>LET(
    arrears_months,'Loan Tape (S&amp;P)'!AN100,
    IF(arrears_months=0,1.00,
    IF(arrears_months=1,3.00,
    IF(arrears_months=2,5.00,
    IF(arrears_months=3,8.00,
    IF(arrears_months=4,10.00,
    IF(arrears_months=5,12.00,15.00)))))))</f>
        <v/>
      </c>
      <c r="M100" s="21">
        <f>LET(
    seasoning_years,DATEDIF('Loan Tape (S&amp;P)'!K100,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0" s="21">
        <f>IF(AND('Loan Tape (S&amp;P)'!U100="Yes",
        'Loan Tape (S&amp;P)'!T100&lt;&gt;"Yes",
        DATEDIF('Loan Tape (S&amp;P)'!K100, TODAY(), "M")&lt;18),
    1.10,
    1.00)</f>
        <v/>
      </c>
      <c r="O100" s="21">
        <f>IF('Loan Tape (S&amp;P)'!T100="Yes",
    1.35,
    1.00)</f>
        <v/>
      </c>
      <c r="P100" s="21">
        <f>IF('Loan Tape (S&amp;P)'!S100="Yes",
    1.15,
    1.00)</f>
        <v/>
      </c>
      <c r="Q100" s="21">
        <f>IF('Loan Tape (S&amp;P)'!V100="Yes",
    1.20,
    1.00)</f>
        <v/>
      </c>
      <c r="R100" s="21">
        <f>IF('Loan Tape (S&amp;P)'!T100="Yes",
    'FF Adj Parameters'!$B$40,
    1.00)</f>
        <v/>
      </c>
      <c r="S100" s="21">
        <f>LET(
    is_htb,'Loan Tape (S&amp;P)'!Q100="Yes",
    rate_type,'Loan Tape (S&amp;P)'!AS100,
    months_to_mat,'Loan Tape (S&amp;P)'!AU100,
    threshold,'FF Adj Parameters'!$B$12100,
    has_shock,AND(rate_type="Fixed",months_to_mat&lt;=threshold),
    IF(is_htb,1.00,IF(has_shock,'FF Adj Parameters'!$B$41,1.00))
)</f>
        <v/>
      </c>
      <c r="T100" s="21">
        <f>LET(
    payment_method,'Loan Tape (S&amp;P)'!P100,
    occupancy,'Loan Tape (S&amp;P)'!N100,
    maturity_date,'Loan Tape (S&amp;P)'!L100,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100" s="21">
        <f>IF(AND('Loan Tape (S&amp;P)'!V100="Yes",'Loan Tape (S&amp;P)'!N100&lt;&gt;"Buy to Let"),
    'FF Adj Parameters'!$B$42,
    1.00)</f>
        <v/>
      </c>
      <c r="V100" s="21">
        <f>IF('Loan Tape (S&amp;P)'!AV100="Yes",
    'FF Adj Parameters'!$B$43,
    1.00)</f>
        <v/>
      </c>
      <c r="W100" s="23">
        <f>IF('Loan Tape (S&amp;P)'!AC100&gt;0,
    'FF Adj Parameters'!$B$44,
    1.00)</f>
        <v/>
      </c>
      <c r="X100" s="21">
        <f>LET(
    has_bankruptcy,'Loan Tape (S&amp;P)'!AE100="Yes",
    has_iva,'Loan Tape (S&amp;P)'!AF100="Yes",
    has_repo,'Loan Tape (S&amp;P)'!AI100="Yes",
    mult,IF(has_repo,'FF Adj Parameters'!$B$47,
            IF(has_bankruptcy,'FF Adj Parameters'!$B$4100,
                IF(has_iva,'FF Adj Parameters'!$B$46,
                    1.00))),
    MAX(mult,0.1000)
)</f>
        <v/>
      </c>
      <c r="Y100" s="21">
        <f>LET(
    has_perf_arr,'Loan Tape (S&amp;P)'!AP100="Yes",
    perf_arr_date,'Loan Tape (S&amp;P)'!AQ100,
    last_90_date,'Loan Tape (S&amp;P)'!AR100,
    threshold_years,VLOOKUP('Control Panel'!$B$6,'Jurisdiction Parameters'!$A:$Q,17,FALSE),
    relevant_date,MAX(perf_arr_date,last_90_date),
    years_since,('Control Panel'!$B$10-relevant_date)/36100.2100,
    IF(NOT(has_perf_arr),1.00,
        IF(years_since&gt;threshold_years,1.00,
            IF(years_since&lt;=1,INDEX('FF Adj Parameters'!$C$47:$C$1000,1),
                IF(years_since&lt;=2,INDEX('FF Adj Parameters'!$C$47:$C$1000,2),
                    IF(years_since&lt;=3,INDEX('FF Adj Parameters'!$C$47:$C$1000,3),
                        INDEX('FF Adj Parameters'!$C$47:$C$1000,4))))))
)</f>
        <v/>
      </c>
      <c r="Z100" s="24">
        <f>IFERROR(
        IF(L100&gt;=100,1.00,
            'Control Panel'!$B$18*F100*G100*MAX(H100,R100)*I100*J100*K100*L100*M100*N100*O100*P100*Q100*S100*T100*U100*V100*W100*X100*Y100
        ),
    0)</f>
        <v/>
      </c>
    </row>
    <row r="101">
      <c r="A101" s="17">
        <f>'Loan Tape (S&amp;P)'!A101</f>
        <v/>
      </c>
      <c r="B101" s="18">
        <f>'Loan Tape (S&amp;P)'!B101</f>
        <v/>
      </c>
      <c r="C101" s="20">
        <f>IFERROR('Loan Tape (S&amp;P)'!C101/'Loan Tape (S&amp;P)'!E101,0)</f>
        <v/>
      </c>
      <c r="D101" s="20">
        <f>IFERROR(
        'Loan Tape (S&amp;P)'!B101/
        ('Loan Tape (S&amp;P)'!D101*
        (1-IF('Loan Tape (S&amp;P)'!AT101&lt;&gt;"Full",
            VLOOKUP('Control Panel'!$B$6,'Jurisdiction Parameters'!$A:$D,4,FALSE),
        0))),
    0)</f>
        <v/>
      </c>
      <c r="E101" s="20">
        <f>('Control Panel'!$B$12*C101)+('Control Panel'!$B$13*D101)</f>
        <v/>
      </c>
      <c r="F101" s="22">
        <f>IFERROR(
        LET(
            juris,'Control Panel'!$B$6,
            ltv_val,E101,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1" s="21">
        <f>'Control Panel'!$B$14</f>
        <v/>
      </c>
      <c r="H101" s="21">
        <f>LET(
    income_mult,'Loan Tape (S&amp;P)'!Z101,
    IF(income_mult=0,1.00,
        IFERROR(
            INDEX('FF Adj Parameters'!$A$1101:$B$17,
                MATCH(income_mult,INDEX('FF Adj Parameters'!$A$1101:$B$17,,1),1),2),
            1.1010))
)</f>
        <v/>
      </c>
      <c r="I101" s="21">
        <f>IF('Loan Tape (S&amp;P)'!N101&lt;&gt;"Buy to Let",1.00,
    LET(
        dscr,'Loan Tape (S&amp;P)'!AA101,
        IF(dscr=0,INDEX('FF Adj Parameters'!$A$21:$B$2101,1,2),
            IFERROR(
                INDEX('FF Adj Parameters'!$A$21:$B$2101,
                    MATCH(dscr,INDEX('FF Adj Parameters'!$A$21:$B$2101,,1),1),2),
                'FF Adj Parameters'!$B$21)))
)</f>
        <v/>
      </c>
      <c r="J101" s="21">
        <f>LET(
    lien,'Loan Tape (S&amp;P)'!Q101,
    IF(lien="First",1.00,
        IF(lien="Second",1.50,
            1.70)))</f>
        <v/>
      </c>
      <c r="K101" s="21">
        <f>LET(
    purpose,'Loan Tape (S&amp;P)'!R101,
    IF(purpose="Purchase",1.00,
        IF(purpose="Remortgage",1.00,
            1.20)))</f>
        <v/>
      </c>
      <c r="L101" s="21">
        <f>LET(
    arrears_months,'Loan Tape (S&amp;P)'!AN101,
    IF(arrears_months=0,1.00,
    IF(arrears_months=1,3.00,
    IF(arrears_months=2,5.00,
    IF(arrears_months=3,8.00,
    IF(arrears_months=4,10.00,
    IF(arrears_months=5,12.00,15.00)))))))</f>
        <v/>
      </c>
      <c r="M101" s="21">
        <f>LET(
    seasoning_years,DATEDIF('Loan Tape (S&amp;P)'!K101,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1" s="21">
        <f>IF(AND('Loan Tape (S&amp;P)'!U101="Yes",
        'Loan Tape (S&amp;P)'!T101&lt;&gt;"Yes",
        DATEDIF('Loan Tape (S&amp;P)'!K101, TODAY(), "M")&lt;18),
    1.10,
    1.00)</f>
        <v/>
      </c>
      <c r="O101" s="21">
        <f>IF('Loan Tape (S&amp;P)'!T101="Yes",
    1.35,
    1.00)</f>
        <v/>
      </c>
      <c r="P101" s="21">
        <f>IF('Loan Tape (S&amp;P)'!S101="Yes",
    1.15,
    1.00)</f>
        <v/>
      </c>
      <c r="Q101" s="21">
        <f>IF('Loan Tape (S&amp;P)'!V101="Yes",
    1.20,
    1.00)</f>
        <v/>
      </c>
      <c r="R101" s="21">
        <f>IF('Loan Tape (S&amp;P)'!T101="Yes",
    'FF Adj Parameters'!$B$40,
    1.00)</f>
        <v/>
      </c>
      <c r="S101" s="21">
        <f>LET(
    is_htb,'Loan Tape (S&amp;P)'!Q101="Yes",
    rate_type,'Loan Tape (S&amp;P)'!AS101,
    months_to_mat,'Loan Tape (S&amp;P)'!AU101,
    threshold,'FF Adj Parameters'!$B$12101,
    has_shock,AND(rate_type="Fixed",months_to_mat&lt;=threshold),
    IF(is_htb,1.00,IF(has_shock,'FF Adj Parameters'!$B$41,1.00))
)</f>
        <v/>
      </c>
      <c r="T101" s="21">
        <f>LET(
    payment_method,'Loan Tape (S&amp;P)'!P101,
    occupancy,'Loan Tape (S&amp;P)'!N101,
    maturity_date,'Loan Tape (S&amp;P)'!L101,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101" s="21">
        <f>IF(AND('Loan Tape (S&amp;P)'!V101="Yes",'Loan Tape (S&amp;P)'!N101&lt;&gt;"Buy to Let"),
    'FF Adj Parameters'!$B$42,
    1.00)</f>
        <v/>
      </c>
      <c r="V101" s="21">
        <f>IF('Loan Tape (S&amp;P)'!AV101="Yes",
    'FF Adj Parameters'!$B$43,
    1.00)</f>
        <v/>
      </c>
      <c r="W101" s="23">
        <f>IF('Loan Tape (S&amp;P)'!AC101&gt;0,
    'FF Adj Parameters'!$B$44,
    1.00)</f>
        <v/>
      </c>
      <c r="X101" s="21">
        <f>LET(
    has_bankruptcy,'Loan Tape (S&amp;P)'!AE101="Yes",
    has_iva,'Loan Tape (S&amp;P)'!AF101="Yes",
    has_repo,'Loan Tape (S&amp;P)'!AI101="Yes",
    mult,IF(has_repo,'FF Adj Parameters'!$B$47,
            IF(has_bankruptcy,'FF Adj Parameters'!$B$4101,
                IF(has_iva,'FF Adj Parameters'!$B$46,
                    1.00))),
    MAX(mult,0.1010)
)</f>
        <v/>
      </c>
      <c r="Y101" s="21">
        <f>LET(
    has_perf_arr,'Loan Tape (S&amp;P)'!AP101="Yes",
    perf_arr_date,'Loan Tape (S&amp;P)'!AQ101,
    last_90_date,'Loan Tape (S&amp;P)'!AR101,
    threshold_years,VLOOKUP('Control Panel'!$B$6,'Jurisdiction Parameters'!$A:$Q,17,FALSE),
    relevant_date,MAX(perf_arr_date,last_90_date),
    years_since,('Control Panel'!$B$10-relevant_date)/36101.2101,
    IF(NOT(has_perf_arr),1.00,
        IF(years_since&gt;threshold_years,1.00,
            IF(years_since&lt;=1,INDEX('FF Adj Parameters'!$C$47:$C$1010,1),
                IF(years_since&lt;=2,INDEX('FF Adj Parameters'!$C$47:$C$1010,2),
                    IF(years_since&lt;=3,INDEX('FF Adj Parameters'!$C$47:$C$1010,3),
                        INDEX('FF Adj Parameters'!$C$47:$C$1010,4))))))
)</f>
        <v/>
      </c>
      <c r="Z101" s="24">
        <f>IFERROR(
        IF(L101&gt;=100,1.00,
            'Control Panel'!$B$18*F101*G101*MAX(H101,R101)*I101*J101*K101*L101*M101*N101*O101*P101*Q101*S101*T101*U101*V101*W101*X101*Y101
        ),
    0)</f>
        <v/>
      </c>
    </row>
    <row r="102">
      <c r="A102" s="17">
        <f>'Loan Tape (S&amp;P)'!A102</f>
        <v/>
      </c>
      <c r="B102" s="18">
        <f>'Loan Tape (S&amp;P)'!B102</f>
        <v/>
      </c>
      <c r="C102" s="20">
        <f>IFERROR('Loan Tape (S&amp;P)'!C102/'Loan Tape (S&amp;P)'!E102,0)</f>
        <v/>
      </c>
      <c r="D102" s="20">
        <f>IFERROR(
        'Loan Tape (S&amp;P)'!B102/
        ('Loan Tape (S&amp;P)'!D102*
        (1-IF('Loan Tape (S&amp;P)'!AT102&lt;&gt;"Full",
            VLOOKUP('Control Panel'!$B$6,'Jurisdiction Parameters'!$A:$D,4,FALSE),
        0))),
    0)</f>
        <v/>
      </c>
      <c r="E102" s="20">
        <f>('Control Panel'!$B$12*C102)+('Control Panel'!$B$13*D102)</f>
        <v/>
      </c>
      <c r="F102" s="22">
        <f>IFERROR(
        LET(
            juris,'Control Panel'!$B$6,
            ltv_val,E102,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2" s="21">
        <f>'Control Panel'!$B$14</f>
        <v/>
      </c>
      <c r="H102" s="21">
        <f>LET(
    income_mult,'Loan Tape (S&amp;P)'!Z102,
    IF(income_mult=0,1.00,
        IFERROR(
            INDEX('FF Adj Parameters'!$A$1102:$B$17,
                MATCH(income_mult,INDEX('FF Adj Parameters'!$A$1102:$B$17,,1),1),2),
            1.1020))
)</f>
        <v/>
      </c>
      <c r="I102" s="21">
        <f>IF('Loan Tape (S&amp;P)'!N102&lt;&gt;"Buy to Let",1.00,
    LET(
        dscr,'Loan Tape (S&amp;P)'!AA102,
        IF(dscr=0,INDEX('FF Adj Parameters'!$A$21:$B$2102,1,2),
            IFERROR(
                INDEX('FF Adj Parameters'!$A$21:$B$2102,
                    MATCH(dscr,INDEX('FF Adj Parameters'!$A$21:$B$2102,,1),1),2),
                'FF Adj Parameters'!$B$21)))
)</f>
        <v/>
      </c>
      <c r="J102" s="21">
        <f>LET(
    lien,'Loan Tape (S&amp;P)'!Q102,
    IF(lien="First",1.00,
        IF(lien="Second",1.50,
            1.70)))</f>
        <v/>
      </c>
      <c r="K102" s="21">
        <f>LET(
    purpose,'Loan Tape (S&amp;P)'!R102,
    IF(purpose="Purchase",1.00,
        IF(purpose="Remortgage",1.00,
            1.20)))</f>
        <v/>
      </c>
      <c r="L102" s="21">
        <f>LET(
    arrears_months,'Loan Tape (S&amp;P)'!AN102,
    IF(arrears_months=0,1.00,
    IF(arrears_months=1,3.00,
    IF(arrears_months=2,5.00,
    IF(arrears_months=3,8.00,
    IF(arrears_months=4,10.00,
    IF(arrears_months=5,12.00,15.00)))))))</f>
        <v/>
      </c>
      <c r="M102" s="21">
        <f>LET(
    seasoning_years,DATEDIF('Loan Tape (S&amp;P)'!K102,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2" s="21">
        <f>IF(AND('Loan Tape (S&amp;P)'!U102="Yes",
        'Loan Tape (S&amp;P)'!T102&lt;&gt;"Yes",
        DATEDIF('Loan Tape (S&amp;P)'!K102, TODAY(), "M")&lt;18),
    1.10,
    1.00)</f>
        <v/>
      </c>
      <c r="O102" s="21">
        <f>IF('Loan Tape (S&amp;P)'!T102="Yes",
    1.35,
    1.00)</f>
        <v/>
      </c>
      <c r="P102" s="21">
        <f>IF('Loan Tape (S&amp;P)'!S102="Yes",
    1.15,
    1.00)</f>
        <v/>
      </c>
      <c r="Q102" s="21">
        <f>IF('Loan Tape (S&amp;P)'!V102="Yes",
    1.20,
    1.00)</f>
        <v/>
      </c>
      <c r="R102" s="21">
        <f>IF('Loan Tape (S&amp;P)'!T102="Yes",
    'FF Adj Parameters'!$B$40,
    1.00)</f>
        <v/>
      </c>
      <c r="S102" s="21">
        <f>LET(
    is_htb,'Loan Tape (S&amp;P)'!Q102="Yes",
    rate_type,'Loan Tape (S&amp;P)'!AS102,
    months_to_mat,'Loan Tape (S&amp;P)'!AU102,
    threshold,'FF Adj Parameters'!$B$12102,
    has_shock,AND(rate_type="Fixed",months_to_mat&lt;=threshold),
    IF(is_htb,1.00,IF(has_shock,'FF Adj Parameters'!$B$41,1.00))
)</f>
        <v/>
      </c>
      <c r="T102" s="21">
        <f>LET(
    payment_method,'Loan Tape (S&amp;P)'!P102,
    occupancy,'Loan Tape (S&amp;P)'!N102,
    maturity_date,'Loan Tape (S&amp;P)'!L102,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102" s="21">
        <f>IF(AND('Loan Tape (S&amp;P)'!V102="Yes",'Loan Tape (S&amp;P)'!N102&lt;&gt;"Buy to Let"),
    'FF Adj Parameters'!$B$42,
    1.00)</f>
        <v/>
      </c>
      <c r="V102" s="21">
        <f>IF('Loan Tape (S&amp;P)'!AV102="Yes",
    'FF Adj Parameters'!$B$43,
    1.00)</f>
        <v/>
      </c>
      <c r="W102" s="23">
        <f>IF('Loan Tape (S&amp;P)'!AC102&gt;0,
    'FF Adj Parameters'!$B$44,
    1.00)</f>
        <v/>
      </c>
      <c r="X102" s="21">
        <f>LET(
    has_bankruptcy,'Loan Tape (S&amp;P)'!AE102="Yes",
    has_iva,'Loan Tape (S&amp;P)'!AF102="Yes",
    has_repo,'Loan Tape (S&amp;P)'!AI102="Yes",
    mult,IF(has_repo,'FF Adj Parameters'!$B$47,
            IF(has_bankruptcy,'FF Adj Parameters'!$B$4102,
                IF(has_iva,'FF Adj Parameters'!$B$46,
                    1.00))),
    MAX(mult,0.1020)
)</f>
        <v/>
      </c>
      <c r="Y102" s="21">
        <f>LET(
    has_perf_arr,'Loan Tape (S&amp;P)'!AP102="Yes",
    perf_arr_date,'Loan Tape (S&amp;P)'!AQ102,
    last_90_date,'Loan Tape (S&amp;P)'!AR102,
    threshold_years,VLOOKUP('Control Panel'!$B$6,'Jurisdiction Parameters'!$A:$Q,17,FALSE),
    relevant_date,MAX(perf_arr_date,last_90_date),
    years_since,('Control Panel'!$B$10-relevant_date)/36102.2102,
    IF(NOT(has_perf_arr),1.00,
        IF(years_since&gt;threshold_years,1.00,
            IF(years_since&lt;=1,INDEX('FF Adj Parameters'!$C$47:$C$1020,1),
                IF(years_since&lt;=2,INDEX('FF Adj Parameters'!$C$47:$C$1020,2),
                    IF(years_since&lt;=3,INDEX('FF Adj Parameters'!$C$47:$C$1020,3),
                        INDEX('FF Adj Parameters'!$C$47:$C$1020,4))))))
)</f>
        <v/>
      </c>
      <c r="Z102" s="24">
        <f>IFERROR(
        IF(L102&gt;=100,1.00,
            'Control Panel'!$B$18*F102*G102*MAX(H102,R102)*I102*J102*K102*L102*M102*N102*O102*P102*Q102*S102*T102*U102*V102*W102*X102*Y102
        ),
    0)</f>
        <v/>
      </c>
    </row>
    <row r="103">
      <c r="A103" s="17">
        <f>'Loan Tape (S&amp;P)'!A103</f>
        <v/>
      </c>
      <c r="B103" s="18">
        <f>'Loan Tape (S&amp;P)'!B103</f>
        <v/>
      </c>
      <c r="C103" s="20">
        <f>IFERROR('Loan Tape (S&amp;P)'!C103/'Loan Tape (S&amp;P)'!E103,0)</f>
        <v/>
      </c>
      <c r="D103" s="20">
        <f>IFERROR(
        'Loan Tape (S&amp;P)'!B103/
        ('Loan Tape (S&amp;P)'!D103*
        (1-IF('Loan Tape (S&amp;P)'!AT103&lt;&gt;"Full",
            VLOOKUP('Control Panel'!$B$6,'Jurisdiction Parameters'!$A:$D,4,FALSE),
        0))),
    0)</f>
        <v/>
      </c>
      <c r="E103" s="20">
        <f>('Control Panel'!$B$12*C103)+('Control Panel'!$B$13*D103)</f>
        <v/>
      </c>
      <c r="F103" s="22">
        <f>IFERROR(
        LET(
            juris,'Control Panel'!$B$6,
            ltv_val,E103,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3" s="21">
        <f>'Control Panel'!$B$14</f>
        <v/>
      </c>
      <c r="H103" s="21">
        <f>LET(
    income_mult,'Loan Tape (S&amp;P)'!Z103,
    IF(income_mult=0,1.00,
        IFERROR(
            INDEX('FF Adj Parameters'!$A$1103:$B$17,
                MATCH(income_mult,INDEX('FF Adj Parameters'!$A$1103:$B$17,,1),1),2),
            1.1030))
)</f>
        <v/>
      </c>
      <c r="I103" s="21">
        <f>IF('Loan Tape (S&amp;P)'!N103&lt;&gt;"Buy to Let",1.00,
    LET(
        dscr,'Loan Tape (S&amp;P)'!AA103,
        IF(dscr=0,INDEX('FF Adj Parameters'!$A$21:$B$2103,1,2),
            IFERROR(
                INDEX('FF Adj Parameters'!$A$21:$B$2103,
                    MATCH(dscr,INDEX('FF Adj Parameters'!$A$21:$B$2103,,1),1),2),
                'FF Adj Parameters'!$B$21)))
)</f>
        <v/>
      </c>
      <c r="J103" s="21">
        <f>LET(
    lien,'Loan Tape (S&amp;P)'!Q103,
    IF(lien="First",1.00,
        IF(lien="Second",1.50,
            1.70)))</f>
        <v/>
      </c>
      <c r="K103" s="21">
        <f>LET(
    purpose,'Loan Tape (S&amp;P)'!R103,
    IF(purpose="Purchase",1.00,
        IF(purpose="Remortgage",1.00,
            1.20)))</f>
        <v/>
      </c>
      <c r="L103" s="21">
        <f>LET(
    arrears_months,'Loan Tape (S&amp;P)'!AN103,
    IF(arrears_months=0,1.00,
    IF(arrears_months=1,3.00,
    IF(arrears_months=2,5.00,
    IF(arrears_months=3,8.00,
    IF(arrears_months=4,10.00,
    IF(arrears_months=5,12.00,15.00)))))))</f>
        <v/>
      </c>
      <c r="M103" s="21">
        <f>LET(
    seasoning_years,DATEDIF('Loan Tape (S&amp;P)'!K103,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3" s="21">
        <f>IF(AND('Loan Tape (S&amp;P)'!U103="Yes",
        'Loan Tape (S&amp;P)'!T103&lt;&gt;"Yes",
        DATEDIF('Loan Tape (S&amp;P)'!K103, TODAY(), "M")&lt;18),
    1.10,
    1.00)</f>
        <v/>
      </c>
      <c r="O103" s="21">
        <f>IF('Loan Tape (S&amp;P)'!T103="Yes",
    1.35,
    1.00)</f>
        <v/>
      </c>
      <c r="P103" s="21">
        <f>IF('Loan Tape (S&amp;P)'!S103="Yes",
    1.15,
    1.00)</f>
        <v/>
      </c>
      <c r="Q103" s="21">
        <f>IF('Loan Tape (S&amp;P)'!V103="Yes",
    1.20,
    1.00)</f>
        <v/>
      </c>
      <c r="R103" s="21">
        <f>IF('Loan Tape (S&amp;P)'!T103="Yes",
    'FF Adj Parameters'!$B$40,
    1.00)</f>
        <v/>
      </c>
      <c r="S103" s="21">
        <f>LET(
    is_htb,'Loan Tape (S&amp;P)'!Q103="Yes",
    rate_type,'Loan Tape (S&amp;P)'!AS103,
    months_to_mat,'Loan Tape (S&amp;P)'!AU103,
    threshold,'FF Adj Parameters'!$B$12103,
    has_shock,AND(rate_type="Fixed",months_to_mat&lt;=threshold),
    IF(is_htb,1.00,IF(has_shock,'FF Adj Parameters'!$B$41,1.00))
)</f>
        <v/>
      </c>
      <c r="T103" s="21">
        <f>LET(
    payment_method,'Loan Tape (S&amp;P)'!P103,
    occupancy,'Loan Tape (S&amp;P)'!N103,
    maturity_date,'Loan Tape (S&amp;P)'!L103,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103" s="21">
        <f>IF(AND('Loan Tape (S&amp;P)'!V103="Yes",'Loan Tape (S&amp;P)'!N103&lt;&gt;"Buy to Let"),
    'FF Adj Parameters'!$B$42,
    1.00)</f>
        <v/>
      </c>
      <c r="V103" s="21">
        <f>IF('Loan Tape (S&amp;P)'!AV103="Yes",
    'FF Adj Parameters'!$B$43,
    1.00)</f>
        <v/>
      </c>
      <c r="W103" s="23">
        <f>IF('Loan Tape (S&amp;P)'!AC103&gt;0,
    'FF Adj Parameters'!$B$44,
    1.00)</f>
        <v/>
      </c>
      <c r="X103" s="21">
        <f>LET(
    has_bankruptcy,'Loan Tape (S&amp;P)'!AE103="Yes",
    has_iva,'Loan Tape (S&amp;P)'!AF103="Yes",
    has_repo,'Loan Tape (S&amp;P)'!AI103="Yes",
    mult,IF(has_repo,'FF Adj Parameters'!$B$47,
            IF(has_bankruptcy,'FF Adj Parameters'!$B$4103,
                IF(has_iva,'FF Adj Parameters'!$B$46,
                    1.00))),
    MAX(mult,0.1030)
)</f>
        <v/>
      </c>
      <c r="Y103" s="21">
        <f>LET(
    has_perf_arr,'Loan Tape (S&amp;P)'!AP103="Yes",
    perf_arr_date,'Loan Tape (S&amp;P)'!AQ103,
    last_90_date,'Loan Tape (S&amp;P)'!AR103,
    threshold_years,VLOOKUP('Control Panel'!$B$6,'Jurisdiction Parameters'!$A:$Q,17,FALSE),
    relevant_date,MAX(perf_arr_date,last_90_date),
    years_since,('Control Panel'!$B$10-relevant_date)/36103.2103,
    IF(NOT(has_perf_arr),1.00,
        IF(years_since&gt;threshold_years,1.00,
            IF(years_since&lt;=1,INDEX('FF Adj Parameters'!$C$47:$C$1030,1),
                IF(years_since&lt;=2,INDEX('FF Adj Parameters'!$C$47:$C$1030,2),
                    IF(years_since&lt;=3,INDEX('FF Adj Parameters'!$C$47:$C$1030,3),
                        INDEX('FF Adj Parameters'!$C$47:$C$1030,4))))))
)</f>
        <v/>
      </c>
      <c r="Z103" s="24">
        <f>IFERROR(
        IF(L103&gt;=100,1.00,
            'Control Panel'!$B$18*F103*G103*MAX(H103,R103)*I103*J103*K103*L103*M103*N103*O103*P103*Q103*S103*T103*U103*V103*W103*X103*Y103
        ),
    0)</f>
        <v/>
      </c>
    </row>
    <row r="104">
      <c r="A104" s="17">
        <f>'Loan Tape (S&amp;P)'!A104</f>
        <v/>
      </c>
      <c r="B104" s="18">
        <f>'Loan Tape (S&amp;P)'!B104</f>
        <v/>
      </c>
      <c r="C104" s="20">
        <f>IFERROR('Loan Tape (S&amp;P)'!C104/'Loan Tape (S&amp;P)'!E104,0)</f>
        <v/>
      </c>
      <c r="D104" s="20">
        <f>IFERROR(
        'Loan Tape (S&amp;P)'!B104/
        ('Loan Tape (S&amp;P)'!D104*
        (1-IF('Loan Tape (S&amp;P)'!AT104&lt;&gt;"Full",
            VLOOKUP('Control Panel'!$B$6,'Jurisdiction Parameters'!$A:$D,4,FALSE),
        0))),
    0)</f>
        <v/>
      </c>
      <c r="E104" s="20">
        <f>('Control Panel'!$B$12*C104)+('Control Panel'!$B$13*D104)</f>
        <v/>
      </c>
      <c r="F104" s="22">
        <f>IFERROR(
        LET(
            juris,'Control Panel'!$B$6,
            ltv_val,E104,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4" s="21">
        <f>'Control Panel'!$B$14</f>
        <v/>
      </c>
      <c r="H104" s="21">
        <f>LET(
    income_mult,'Loan Tape (S&amp;P)'!Z104,
    IF(income_mult=0,1.00,
        IFERROR(
            INDEX('FF Adj Parameters'!$A$1104:$B$17,
                MATCH(income_mult,INDEX('FF Adj Parameters'!$A$1104:$B$17,,1),1),2),
            1.1040))
)</f>
        <v/>
      </c>
      <c r="I104" s="21">
        <f>IF('Loan Tape (S&amp;P)'!N104&lt;&gt;"Buy to Let",1.00,
    LET(
        dscr,'Loan Tape (S&amp;P)'!AA104,
        IF(dscr=0,INDEX('FF Adj Parameters'!$A$21:$B$2104,1,2),
            IFERROR(
                INDEX('FF Adj Parameters'!$A$21:$B$2104,
                    MATCH(dscr,INDEX('FF Adj Parameters'!$A$21:$B$2104,,1),1),2),
                'FF Adj Parameters'!$B$21)))
)</f>
        <v/>
      </c>
      <c r="J104" s="21">
        <f>LET(
    lien,'Loan Tape (S&amp;P)'!Q104,
    IF(lien="First",1.00,
        IF(lien="Second",1.50,
            1.70)))</f>
        <v/>
      </c>
      <c r="K104" s="21">
        <f>LET(
    purpose,'Loan Tape (S&amp;P)'!R104,
    IF(purpose="Purchase",1.00,
        IF(purpose="Remortgage",1.00,
            1.20)))</f>
        <v/>
      </c>
      <c r="L104" s="21">
        <f>LET(
    arrears_months,'Loan Tape (S&amp;P)'!AN104,
    IF(arrears_months=0,1.00,
    IF(arrears_months=1,3.00,
    IF(arrears_months=2,5.00,
    IF(arrears_months=3,8.00,
    IF(arrears_months=4,10.00,
    IF(arrears_months=5,12.00,15.00)))))))</f>
        <v/>
      </c>
      <c r="M104" s="21">
        <f>LET(
    seasoning_years,DATEDIF('Loan Tape (S&amp;P)'!K104,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4" s="21">
        <f>IF(AND('Loan Tape (S&amp;P)'!U104="Yes",
        'Loan Tape (S&amp;P)'!T104&lt;&gt;"Yes",
        DATEDIF('Loan Tape (S&amp;P)'!K104, TODAY(), "M")&lt;18),
    1.10,
    1.00)</f>
        <v/>
      </c>
      <c r="O104" s="21">
        <f>IF('Loan Tape (S&amp;P)'!T104="Yes",
    1.35,
    1.00)</f>
        <v/>
      </c>
      <c r="P104" s="21">
        <f>IF('Loan Tape (S&amp;P)'!S104="Yes",
    1.15,
    1.00)</f>
        <v/>
      </c>
      <c r="Q104" s="21">
        <f>IF('Loan Tape (S&amp;P)'!V104="Yes",
    1.20,
    1.00)</f>
        <v/>
      </c>
      <c r="R104" s="21">
        <f>IF('Loan Tape (S&amp;P)'!T104="Yes",
    'FF Adj Parameters'!$B$40,
    1.00)</f>
        <v/>
      </c>
      <c r="S104" s="21">
        <f>LET(
    is_htb,'Loan Tape (S&amp;P)'!Q104="Yes",
    rate_type,'Loan Tape (S&amp;P)'!AS104,
    months_to_mat,'Loan Tape (S&amp;P)'!AU104,
    threshold,'FF Adj Parameters'!$B$12104,
    has_shock,AND(rate_type="Fixed",months_to_mat&lt;=threshold),
    IF(is_htb,1.00,IF(has_shock,'FF Adj Parameters'!$B$41,1.00))
)</f>
        <v/>
      </c>
      <c r="T104" s="21">
        <f>LET(
    payment_method,'Loan Tape (S&amp;P)'!P104,
    occupancy,'Loan Tape (S&amp;P)'!N104,
    maturity_date,'Loan Tape (S&amp;P)'!L104,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  <c r="U104" s="21">
        <f>IF(AND('Loan Tape (S&amp;P)'!V104="Yes",'Loan Tape (S&amp;P)'!N104&lt;&gt;"Buy to Let"),
    'FF Adj Parameters'!$B$42,
    1.00)</f>
        <v/>
      </c>
      <c r="V104" s="21">
        <f>IF('Loan Tape (S&amp;P)'!AV104="Yes",
    'FF Adj Parameters'!$B$43,
    1.00)</f>
        <v/>
      </c>
      <c r="W104" s="23">
        <f>IF('Loan Tape (S&amp;P)'!AC104&gt;0,
    'FF Adj Parameters'!$B$44,
    1.00)</f>
        <v/>
      </c>
      <c r="X104" s="21">
        <f>LET(
    has_bankruptcy,'Loan Tape (S&amp;P)'!AE104="Yes",
    has_iva,'Loan Tape (S&amp;P)'!AF104="Yes",
    has_repo,'Loan Tape (S&amp;P)'!AI104="Yes",
    mult,IF(has_repo,'FF Adj Parameters'!$B$47,
            IF(has_bankruptcy,'FF Adj Parameters'!$B$4104,
                IF(has_iva,'FF Adj Parameters'!$B$46,
                    1.00))),
    MAX(mult,0.1040)
)</f>
        <v/>
      </c>
      <c r="Y104" s="21">
        <f>LET(
    has_perf_arr,'Loan Tape (S&amp;P)'!AP104="Yes",
    perf_arr_date,'Loan Tape (S&amp;P)'!AQ104,
    last_90_date,'Loan Tape (S&amp;P)'!AR104,
    threshold_years,VLOOKUP('Control Panel'!$B$6,'Jurisdiction Parameters'!$A:$Q,17,FALSE),
    relevant_date,MAX(perf_arr_date,last_90_date),
    years_since,('Control Panel'!$B$10-relevant_date)/36104.2104,
    IF(NOT(has_perf_arr),1.00,
        IF(years_since&gt;threshold_years,1.00,
            IF(years_since&lt;=1,INDEX('FF Adj Parameters'!$C$47:$C$1040,1),
                IF(years_since&lt;=2,INDEX('FF Adj Parameters'!$C$47:$C$1040,2),
                    IF(years_since&lt;=3,INDEX('FF Adj Parameters'!$C$47:$C$1040,3),
                        INDEX('FF Adj Parameters'!$C$47:$C$1040,4))))))
)</f>
        <v/>
      </c>
      <c r="Z104" s="24">
        <f>IFERROR(
        IF(L104&gt;=100,1.00,
            'Control Panel'!$B$18*F104*G104*MAX(H104,R104)*I104*J104*K104*L104*M104*N104*O104*P104*Q104*S104*T104*U104*V104*W104*X104*Y104
        ),
    0)</f>
        <v/>
      </c>
    </row>
    <row r="105">
      <c r="J105">
        <f>LET(
    lien,'Loan Tape (S&amp;P)'!Q105,
    IF(lien="First",1.00,
        IF(lien="Second",1.50,
            1.70)))</f>
        <v/>
      </c>
      <c r="K105">
        <f>LET(
    purpose,'Loan Tape (S&amp;P)'!R105,
    IF(purpose="Purchase",1.00,
        IF(purpose="Remortgage",1.00,
            1.20)))</f>
        <v/>
      </c>
      <c r="L105">
        <f>LET(
    arrears_months,'Loan Tape (S&amp;P)'!AN105,
    IF(arrears_months=0,1.00,
    IF(arrears_months=1,3.00,
    IF(arrears_months=2,5.00,
    IF(arrears_months=3,8.00,
    IF(arrears_months=4,10.00,
    IF(arrears_months=5,12.00,15.00)))))))</f>
        <v/>
      </c>
      <c r="M105">
        <f>LET(
    seasoning_years,DATEDIF('Loan Tape (S&amp;P)'!K105,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5">
        <f>IF(AND('Loan Tape (S&amp;P)'!U105="Yes",
        'Loan Tape (S&amp;P)'!T105&lt;&gt;"Yes",
        DATEDIF('Loan Tape (S&amp;P)'!K105, TODAY(), "M")&lt;18),
    1.10,
    1.00)</f>
        <v/>
      </c>
      <c r="O105">
        <f>IF('Loan Tape (S&amp;P)'!T105="Yes",
    1.35,
    1.00)</f>
        <v/>
      </c>
      <c r="P105">
        <f>IF('Loan Tape (S&amp;P)'!S105="Yes",
    1.15,
    1.00)</f>
        <v/>
      </c>
      <c r="Q105">
        <f>IF('Loan Tape (S&amp;P)'!V105="Yes",
    1.20,
    1.00)</f>
        <v/>
      </c>
      <c r="T105">
        <f>LET(
    payment_method,'Loan Tape (S&amp;P)'!P105,
    occupancy,'Loan Tape (S&amp;P)'!N105,
    maturity_date,'Loan Tape (S&amp;P)'!L105,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6">
      <c r="J106">
        <f>LET(
    lien,'Loan Tape (S&amp;P)'!Q106,
    IF(lien="First",1.00,
        IF(lien="Second",1.50,
            1.70)))</f>
        <v/>
      </c>
      <c r="K106">
        <f>LET(
    purpose,'Loan Tape (S&amp;P)'!R106,
    IF(purpose="Purchase",1.00,
        IF(purpose="Remortgage",1.00,
            1.20)))</f>
        <v/>
      </c>
      <c r="L106">
        <f>LET(
    arrears_months,'Loan Tape (S&amp;P)'!AN106,
    IF(arrears_months=0,1.00,
    IF(arrears_months=1,3.00,
    IF(arrears_months=2,5.00,
    IF(arrears_months=3,8.00,
    IF(arrears_months=4,10.00,
    IF(arrears_months=5,12.00,15.00)))))))</f>
        <v/>
      </c>
      <c r="M106">
        <f>LET(
    seasoning_years,DATEDIF('Loan Tape (S&amp;P)'!K106,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6">
        <f>IF(AND('Loan Tape (S&amp;P)'!U106="Yes",
        'Loan Tape (S&amp;P)'!T106&lt;&gt;"Yes",
        DATEDIF('Loan Tape (S&amp;P)'!K106, TODAY(), "M")&lt;18),
    1.10,
    1.00)</f>
        <v/>
      </c>
      <c r="O106">
        <f>IF('Loan Tape (S&amp;P)'!T106="Yes",
    1.35,
    1.00)</f>
        <v/>
      </c>
      <c r="P106">
        <f>IF('Loan Tape (S&amp;P)'!S106="Yes",
    1.15,
    1.00)</f>
        <v/>
      </c>
      <c r="Q106">
        <f>IF('Loan Tape (S&amp;P)'!V106="Yes",
    1.20,
    1.00)</f>
        <v/>
      </c>
      <c r="T106">
        <f>LET(
    payment_method,'Loan Tape (S&amp;P)'!P106,
    occupancy,'Loan Tape (S&amp;P)'!N106,
    maturity_date,'Loan Tape (S&amp;P)'!L106,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7">
      <c r="J107">
        <f>LET(
    lien,'Loan Tape (S&amp;P)'!Q107,
    IF(lien="First",1.00,
        IF(lien="Second",1.50,
            1.70)))</f>
        <v/>
      </c>
      <c r="K107">
        <f>LET(
    purpose,'Loan Tape (S&amp;P)'!R107,
    IF(purpose="Purchase",1.00,
        IF(purpose="Remortgage",1.00,
            1.20)))</f>
        <v/>
      </c>
      <c r="L107">
        <f>LET(
    arrears_months,'Loan Tape (S&amp;P)'!AN107,
    IF(arrears_months=0,1.00,
    IF(arrears_months=1,3.00,
    IF(arrears_months=2,5.00,
    IF(arrears_months=3,8.00,
    IF(arrears_months=4,10.00,
    IF(arrears_months=5,12.00,15.00)))))))</f>
        <v/>
      </c>
      <c r="M107">
        <f>LET(
    seasoning_years,DATEDIF('Loan Tape (S&amp;P)'!K107,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7">
        <f>IF(AND('Loan Tape (S&amp;P)'!U107="Yes",
        'Loan Tape (S&amp;P)'!T107&lt;&gt;"Yes",
        DATEDIF('Loan Tape (S&amp;P)'!K107, TODAY(), "M")&lt;18),
    1.10,
    1.00)</f>
        <v/>
      </c>
      <c r="O107">
        <f>IF('Loan Tape (S&amp;P)'!T107="Yes",
    1.35,
    1.00)</f>
        <v/>
      </c>
      <c r="P107">
        <f>IF('Loan Tape (S&amp;P)'!S107="Yes",
    1.15,
    1.00)</f>
        <v/>
      </c>
      <c r="Q107">
        <f>IF('Loan Tape (S&amp;P)'!V107="Yes",
    1.20,
    1.00)</f>
        <v/>
      </c>
      <c r="T107">
        <f>LET(
    payment_method,'Loan Tape (S&amp;P)'!P107,
    occupancy,'Loan Tape (S&amp;P)'!N107,
    maturity_date,'Loan Tape (S&amp;P)'!L107,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8">
      <c r="J108">
        <f>LET(
    lien,'Loan Tape (S&amp;P)'!Q108,
    IF(lien="First",1.00,
        IF(lien="Second",1.50,
            1.70)))</f>
        <v/>
      </c>
      <c r="K108">
        <f>LET(
    purpose,'Loan Tape (S&amp;P)'!R108,
    IF(purpose="Purchase",1.00,
        IF(purpose="Remortgage",1.00,
            1.20)))</f>
        <v/>
      </c>
      <c r="L108">
        <f>LET(
    arrears_months,'Loan Tape (S&amp;P)'!AN108,
    IF(arrears_months=0,1.00,
    IF(arrears_months=1,3.00,
    IF(arrears_months=2,5.00,
    IF(arrears_months=3,8.00,
    IF(arrears_months=4,10.00,
    IF(arrears_months=5,12.00,15.00)))))))</f>
        <v/>
      </c>
      <c r="M108">
        <f>LET(
    seasoning_years,DATEDIF('Loan Tape (S&amp;P)'!K108,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8">
        <f>IF(AND('Loan Tape (S&amp;P)'!U108="Yes",
        'Loan Tape (S&amp;P)'!T108&lt;&gt;"Yes",
        DATEDIF('Loan Tape (S&amp;P)'!K108, TODAY(), "M")&lt;18),
    1.10,
    1.00)</f>
        <v/>
      </c>
      <c r="O108">
        <f>IF('Loan Tape (S&amp;P)'!T108="Yes",
    1.35,
    1.00)</f>
        <v/>
      </c>
      <c r="P108">
        <f>IF('Loan Tape (S&amp;P)'!S108="Yes",
    1.15,
    1.00)</f>
        <v/>
      </c>
      <c r="Q108">
        <f>IF('Loan Tape (S&amp;P)'!V108="Yes",
    1.20,
    1.00)</f>
        <v/>
      </c>
      <c r="T108">
        <f>LET(
    payment_method,'Loan Tape (S&amp;P)'!P108,
    occupancy,'Loan Tape (S&amp;P)'!N108,
    maturity_date,'Loan Tape (S&amp;P)'!L108,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9">
      <c r="J109">
        <f>LET(
    lien,'Loan Tape (S&amp;P)'!Q109,
    IF(lien="First",1.00,
        IF(lien="Second",1.50,
            1.70)))</f>
        <v/>
      </c>
      <c r="K109">
        <f>LET(
    purpose,'Loan Tape (S&amp;P)'!R109,
    IF(purpose="Purchase",1.00,
        IF(purpose="Remortgage",1.00,
            1.20)))</f>
        <v/>
      </c>
      <c r="L109">
        <f>LET(
    arrears_months,'Loan Tape (S&amp;P)'!AN109,
    IF(arrears_months=0,1.00,
    IF(arrears_months=1,3.00,
    IF(arrears_months=2,5.00,
    IF(arrears_months=3,8.00,
    IF(arrears_months=4,10.00,
    IF(arrears_months=5,12.00,15.00)))))))</f>
        <v/>
      </c>
      <c r="M109">
        <f>LET(
    seasoning_years,DATEDIF('Loan Tape (S&amp;P)'!K109,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9">
        <f>IF(AND('Loan Tape (S&amp;P)'!U109="Yes",
        'Loan Tape (S&amp;P)'!T109&lt;&gt;"Yes",
        DATEDIF('Loan Tape (S&amp;P)'!K109, TODAY(), "M")&lt;18),
    1.10,
    1.00)</f>
        <v/>
      </c>
      <c r="O109">
        <f>IF('Loan Tape (S&amp;P)'!T109="Yes",
    1.35,
    1.00)</f>
        <v/>
      </c>
      <c r="P109">
        <f>IF('Loan Tape (S&amp;P)'!S109="Yes",
    1.15,
    1.00)</f>
        <v/>
      </c>
      <c r="Q109">
        <f>IF('Loan Tape (S&amp;P)'!V109="Yes",
    1.20,
    1.00)</f>
        <v/>
      </c>
      <c r="T109">
        <f>LET(
    payment_method,'Loan Tape (S&amp;P)'!P109,
    occupancy,'Loan Tape (S&amp;P)'!N109,
    maturity_date,'Loan Tape (S&amp;P)'!L109,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0">
      <c r="J110">
        <f>LET(
    lien,'Loan Tape (S&amp;P)'!Q110,
    IF(lien="First",1.00,
        IF(lien="Second",1.50,
            1.70)))</f>
        <v/>
      </c>
      <c r="K110">
        <f>LET(
    purpose,'Loan Tape (S&amp;P)'!R110,
    IF(purpose="Purchase",1.00,
        IF(purpose="Remortgage",1.00,
            1.20)))</f>
        <v/>
      </c>
      <c r="L110">
        <f>LET(
    arrears_months,'Loan Tape (S&amp;P)'!AN110,
    IF(arrears_months=0,1.00,
    IF(arrears_months=1,3.00,
    IF(arrears_months=2,5.00,
    IF(arrears_months=3,8.00,
    IF(arrears_months=4,10.00,
    IF(arrears_months=5,12.00,15.00)))))))</f>
        <v/>
      </c>
      <c r="M110">
        <f>LET(
    seasoning_years,DATEDIF('Loan Tape (S&amp;P)'!K110,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0">
        <f>IF(AND('Loan Tape (S&amp;P)'!U110="Yes",
        'Loan Tape (S&amp;P)'!T110&lt;&gt;"Yes",
        DATEDIF('Loan Tape (S&amp;P)'!K110, TODAY(), "M")&lt;18),
    1.10,
    1.00)</f>
        <v/>
      </c>
      <c r="O110">
        <f>IF('Loan Tape (S&amp;P)'!T110="Yes",
    1.35,
    1.00)</f>
        <v/>
      </c>
      <c r="P110">
        <f>IF('Loan Tape (S&amp;P)'!S110="Yes",
    1.15,
    1.00)</f>
        <v/>
      </c>
      <c r="Q110">
        <f>IF('Loan Tape (S&amp;P)'!V110="Yes",
    1.20,
    1.00)</f>
        <v/>
      </c>
      <c r="T110">
        <f>LET(
    payment_method,'Loan Tape (S&amp;P)'!P110,
    occupancy,'Loan Tape (S&amp;P)'!N110,
    maturity_date,'Loan Tape (S&amp;P)'!L110,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1">
      <c r="J111">
        <f>LET(
    lien,'Loan Tape (S&amp;P)'!Q111,
    IF(lien="First",1.00,
        IF(lien="Second",1.50,
            1.70)))</f>
        <v/>
      </c>
      <c r="K111">
        <f>LET(
    purpose,'Loan Tape (S&amp;P)'!R111,
    IF(purpose="Purchase",1.00,
        IF(purpose="Remortgage",1.00,
            1.20)))</f>
        <v/>
      </c>
      <c r="L111">
        <f>LET(
    arrears_months,'Loan Tape (S&amp;P)'!AN111,
    IF(arrears_months=0,1.00,
    IF(arrears_months=1,3.00,
    IF(arrears_months=2,5.00,
    IF(arrears_months=3,8.00,
    IF(arrears_months=4,10.00,
    IF(arrears_months=5,12.00,15.00)))))))</f>
        <v/>
      </c>
      <c r="M111">
        <f>LET(
    seasoning_years,DATEDIF('Loan Tape (S&amp;P)'!K111,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1">
        <f>IF(AND('Loan Tape (S&amp;P)'!U111="Yes",
        'Loan Tape (S&amp;P)'!T111&lt;&gt;"Yes",
        DATEDIF('Loan Tape (S&amp;P)'!K111, TODAY(), "M")&lt;18),
    1.10,
    1.00)</f>
        <v/>
      </c>
      <c r="O111">
        <f>IF('Loan Tape (S&amp;P)'!T111="Yes",
    1.35,
    1.00)</f>
        <v/>
      </c>
      <c r="P111">
        <f>IF('Loan Tape (S&amp;P)'!S111="Yes",
    1.15,
    1.00)</f>
        <v/>
      </c>
      <c r="Q111">
        <f>IF('Loan Tape (S&amp;P)'!V111="Yes",
    1.20,
    1.00)</f>
        <v/>
      </c>
      <c r="T111">
        <f>LET(
    payment_method,'Loan Tape (S&amp;P)'!P111,
    occupancy,'Loan Tape (S&amp;P)'!N111,
    maturity_date,'Loan Tape (S&amp;P)'!L111,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2">
      <c r="J112">
        <f>LET(
    lien,'Loan Tape (S&amp;P)'!Q112,
    IF(lien="First",1.00,
        IF(lien="Second",1.50,
            1.70)))</f>
        <v/>
      </c>
      <c r="K112">
        <f>LET(
    purpose,'Loan Tape (S&amp;P)'!R112,
    IF(purpose="Purchase",1.00,
        IF(purpose="Remortgage",1.00,
            1.20)))</f>
        <v/>
      </c>
      <c r="L112">
        <f>LET(
    arrears_months,'Loan Tape (S&amp;P)'!AN112,
    IF(arrears_months=0,1.00,
    IF(arrears_months=1,3.00,
    IF(arrears_months=2,5.00,
    IF(arrears_months=3,8.00,
    IF(arrears_months=4,10.00,
    IF(arrears_months=5,12.00,15.00)))))))</f>
        <v/>
      </c>
      <c r="M112">
        <f>LET(
    seasoning_years,DATEDIF('Loan Tape (S&amp;P)'!K112,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2">
        <f>IF(AND('Loan Tape (S&amp;P)'!U112="Yes",
        'Loan Tape (S&amp;P)'!T112&lt;&gt;"Yes",
        DATEDIF('Loan Tape (S&amp;P)'!K112, TODAY(), "M")&lt;18),
    1.10,
    1.00)</f>
        <v/>
      </c>
      <c r="O112">
        <f>IF('Loan Tape (S&amp;P)'!T112="Yes",
    1.35,
    1.00)</f>
        <v/>
      </c>
      <c r="P112">
        <f>IF('Loan Tape (S&amp;P)'!S112="Yes",
    1.15,
    1.00)</f>
        <v/>
      </c>
      <c r="Q112">
        <f>IF('Loan Tape (S&amp;P)'!V112="Yes",
    1.20,
    1.00)</f>
        <v/>
      </c>
      <c r="T112">
        <f>LET(
    payment_method,'Loan Tape (S&amp;P)'!P112,
    occupancy,'Loan Tape (S&amp;P)'!N112,
    maturity_date,'Loan Tape (S&amp;P)'!L112,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3">
      <c r="J113">
        <f>LET(
    lien,'Loan Tape (S&amp;P)'!Q113,
    IF(lien="First",1.00,
        IF(lien="Second",1.50,
            1.70)))</f>
        <v/>
      </c>
      <c r="K113">
        <f>LET(
    purpose,'Loan Tape (S&amp;P)'!R113,
    IF(purpose="Purchase",1.00,
        IF(purpose="Remortgage",1.00,
            1.20)))</f>
        <v/>
      </c>
      <c r="L113">
        <f>LET(
    arrears_months,'Loan Tape (S&amp;P)'!AN113,
    IF(arrears_months=0,1.00,
    IF(arrears_months=1,3.00,
    IF(arrears_months=2,5.00,
    IF(arrears_months=3,8.00,
    IF(arrears_months=4,10.00,
    IF(arrears_months=5,12.00,15.00)))))))</f>
        <v/>
      </c>
      <c r="M113">
        <f>LET(
    seasoning_years,DATEDIF('Loan Tape (S&amp;P)'!K113,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3">
        <f>IF(AND('Loan Tape (S&amp;P)'!U113="Yes",
        'Loan Tape (S&amp;P)'!T113&lt;&gt;"Yes",
        DATEDIF('Loan Tape (S&amp;P)'!K113, TODAY(), "M")&lt;18),
    1.10,
    1.00)</f>
        <v/>
      </c>
      <c r="O113">
        <f>IF('Loan Tape (S&amp;P)'!T113="Yes",
    1.35,
    1.00)</f>
        <v/>
      </c>
      <c r="P113">
        <f>IF('Loan Tape (S&amp;P)'!S113="Yes",
    1.15,
    1.00)</f>
        <v/>
      </c>
      <c r="Q113">
        <f>IF('Loan Tape (S&amp;P)'!V113="Yes",
    1.20,
    1.00)</f>
        <v/>
      </c>
      <c r="T113">
        <f>LET(
    payment_method,'Loan Tape (S&amp;P)'!P113,
    occupancy,'Loan Tape (S&amp;P)'!N113,
    maturity_date,'Loan Tape (S&amp;P)'!L113,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4">
      <c r="J114">
        <f>LET(
    lien,'Loan Tape (S&amp;P)'!Q114,
    IF(lien="First",1.00,
        IF(lien="Second",1.50,
            1.70)))</f>
        <v/>
      </c>
      <c r="K114">
        <f>LET(
    purpose,'Loan Tape (S&amp;P)'!R114,
    IF(purpose="Purchase",1.00,
        IF(purpose="Remortgage",1.00,
            1.20)))</f>
        <v/>
      </c>
      <c r="L114">
        <f>LET(
    arrears_months,'Loan Tape (S&amp;P)'!AN114,
    IF(arrears_months=0,1.00,
    IF(arrears_months=1,3.00,
    IF(arrears_months=2,5.00,
    IF(arrears_months=3,8.00,
    IF(arrears_months=4,10.00,
    IF(arrears_months=5,12.00,15.00)))))))</f>
        <v/>
      </c>
      <c r="M114">
        <f>LET(
    seasoning_years,DATEDIF('Loan Tape (S&amp;P)'!K114,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4">
        <f>IF(AND('Loan Tape (S&amp;P)'!U114="Yes",
        'Loan Tape (S&amp;P)'!T114&lt;&gt;"Yes",
        DATEDIF('Loan Tape (S&amp;P)'!K114, TODAY(), "M")&lt;18),
    1.10,
    1.00)</f>
        <v/>
      </c>
      <c r="O114">
        <f>IF('Loan Tape (S&amp;P)'!T114="Yes",
    1.35,
    1.00)</f>
        <v/>
      </c>
      <c r="P114">
        <f>IF('Loan Tape (S&amp;P)'!S114="Yes",
    1.15,
    1.00)</f>
        <v/>
      </c>
      <c r="Q114">
        <f>IF('Loan Tape (S&amp;P)'!V114="Yes",
    1.20,
    1.00)</f>
        <v/>
      </c>
      <c r="T114">
        <f>LET(
    payment_method,'Loan Tape (S&amp;P)'!P114,
    occupancy,'Loan Tape (S&amp;P)'!N114,
    maturity_date,'Loan Tape (S&amp;P)'!L114,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5">
      <c r="J115">
        <f>LET(
    lien,'Loan Tape (S&amp;P)'!Q115,
    IF(lien="First",1.00,
        IF(lien="Second",1.50,
            1.70)))</f>
        <v/>
      </c>
      <c r="K115">
        <f>LET(
    purpose,'Loan Tape (S&amp;P)'!R115,
    IF(purpose="Purchase",1.00,
        IF(purpose="Remortgage",1.00,
            1.20)))</f>
        <v/>
      </c>
      <c r="L115">
        <f>LET(
    arrears_months,'Loan Tape (S&amp;P)'!AN115,
    IF(arrears_months=0,1.00,
    IF(arrears_months=1,3.00,
    IF(arrears_months=2,5.00,
    IF(arrears_months=3,8.00,
    IF(arrears_months=4,10.00,
    IF(arrears_months=5,12.00,15.00)))))))</f>
        <v/>
      </c>
      <c r="M115">
        <f>LET(
    seasoning_years,DATEDIF('Loan Tape (S&amp;P)'!K115,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5">
        <f>IF(AND('Loan Tape (S&amp;P)'!U115="Yes",
        'Loan Tape (S&amp;P)'!T115&lt;&gt;"Yes",
        DATEDIF('Loan Tape (S&amp;P)'!K115, TODAY(), "M")&lt;18),
    1.10,
    1.00)</f>
        <v/>
      </c>
      <c r="O115">
        <f>IF('Loan Tape (S&amp;P)'!T115="Yes",
    1.35,
    1.00)</f>
        <v/>
      </c>
      <c r="P115">
        <f>IF('Loan Tape (S&amp;P)'!S115="Yes",
    1.15,
    1.00)</f>
        <v/>
      </c>
      <c r="Q115">
        <f>IF('Loan Tape (S&amp;P)'!V115="Yes",
    1.20,
    1.00)</f>
        <v/>
      </c>
      <c r="T115">
        <f>LET(
    payment_method,'Loan Tape (S&amp;P)'!P115,
    occupancy,'Loan Tape (S&amp;P)'!N115,
    maturity_date,'Loan Tape (S&amp;P)'!L115,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6">
      <c r="J116">
        <f>LET(
    lien,'Loan Tape (S&amp;P)'!Q116,
    IF(lien="First",1.00,
        IF(lien="Second",1.50,
            1.70)))</f>
        <v/>
      </c>
      <c r="K116">
        <f>LET(
    purpose,'Loan Tape (S&amp;P)'!R116,
    IF(purpose="Purchase",1.00,
        IF(purpose="Remortgage",1.00,
            1.20)))</f>
        <v/>
      </c>
      <c r="L116">
        <f>LET(
    arrears_months,'Loan Tape (S&amp;P)'!AN116,
    IF(arrears_months=0,1.00,
    IF(arrears_months=1,3.00,
    IF(arrears_months=2,5.00,
    IF(arrears_months=3,8.00,
    IF(arrears_months=4,10.00,
    IF(arrears_months=5,12.00,15.00)))))))</f>
        <v/>
      </c>
      <c r="M116">
        <f>LET(
    seasoning_years,DATEDIF('Loan Tape (S&amp;P)'!K116,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6">
        <f>IF(AND('Loan Tape (S&amp;P)'!U116="Yes",
        'Loan Tape (S&amp;P)'!T116&lt;&gt;"Yes",
        DATEDIF('Loan Tape (S&amp;P)'!K116, TODAY(), "M")&lt;18),
    1.10,
    1.00)</f>
        <v/>
      </c>
      <c r="O116">
        <f>IF('Loan Tape (S&amp;P)'!T116="Yes",
    1.35,
    1.00)</f>
        <v/>
      </c>
      <c r="P116">
        <f>IF('Loan Tape (S&amp;P)'!S116="Yes",
    1.15,
    1.00)</f>
        <v/>
      </c>
      <c r="Q116">
        <f>IF('Loan Tape (S&amp;P)'!V116="Yes",
    1.20,
    1.00)</f>
        <v/>
      </c>
      <c r="T116">
        <f>LET(
    payment_method,'Loan Tape (S&amp;P)'!P116,
    occupancy,'Loan Tape (S&amp;P)'!N116,
    maturity_date,'Loan Tape (S&amp;P)'!L116,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7">
      <c r="J117">
        <f>LET(
    lien,'Loan Tape (S&amp;P)'!Q117,
    IF(lien="First",1.00,
        IF(lien="Second",1.50,
            1.70)))</f>
        <v/>
      </c>
      <c r="K117">
        <f>LET(
    purpose,'Loan Tape (S&amp;P)'!R117,
    IF(purpose="Purchase",1.00,
        IF(purpose="Remortgage",1.00,
            1.20)))</f>
        <v/>
      </c>
      <c r="L117">
        <f>LET(
    arrears_months,'Loan Tape (S&amp;P)'!AN117,
    IF(arrears_months=0,1.00,
    IF(arrears_months=1,3.00,
    IF(arrears_months=2,5.00,
    IF(arrears_months=3,8.00,
    IF(arrears_months=4,10.00,
    IF(arrears_months=5,12.00,15.00)))))))</f>
        <v/>
      </c>
      <c r="M117">
        <f>LET(
    seasoning_years,DATEDIF('Loan Tape (S&amp;P)'!K117,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7">
        <f>IF(AND('Loan Tape (S&amp;P)'!U117="Yes",
        'Loan Tape (S&amp;P)'!T117&lt;&gt;"Yes",
        DATEDIF('Loan Tape (S&amp;P)'!K117, TODAY(), "M")&lt;18),
    1.10,
    1.00)</f>
        <v/>
      </c>
      <c r="O117">
        <f>IF('Loan Tape (S&amp;P)'!T117="Yes",
    1.35,
    1.00)</f>
        <v/>
      </c>
      <c r="P117">
        <f>IF('Loan Tape (S&amp;P)'!S117="Yes",
    1.15,
    1.00)</f>
        <v/>
      </c>
      <c r="Q117">
        <f>IF('Loan Tape (S&amp;P)'!V117="Yes",
    1.20,
    1.00)</f>
        <v/>
      </c>
      <c r="T117">
        <f>LET(
    payment_method,'Loan Tape (S&amp;P)'!P117,
    occupancy,'Loan Tape (S&amp;P)'!N117,
    maturity_date,'Loan Tape (S&amp;P)'!L117,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8">
      <c r="J118">
        <f>LET(
    lien,'Loan Tape (S&amp;P)'!Q118,
    IF(lien="First",1.00,
        IF(lien="Second",1.50,
            1.70)))</f>
        <v/>
      </c>
      <c r="K118">
        <f>LET(
    purpose,'Loan Tape (S&amp;P)'!R118,
    IF(purpose="Purchase",1.00,
        IF(purpose="Remortgage",1.00,
            1.20)))</f>
        <v/>
      </c>
      <c r="L118">
        <f>LET(
    arrears_months,'Loan Tape (S&amp;P)'!AN118,
    IF(arrears_months=0,1.00,
    IF(arrears_months=1,3.00,
    IF(arrears_months=2,5.00,
    IF(arrears_months=3,8.00,
    IF(arrears_months=4,10.00,
    IF(arrears_months=5,12.00,15.00)))))))</f>
        <v/>
      </c>
      <c r="M118">
        <f>LET(
    seasoning_years,DATEDIF('Loan Tape (S&amp;P)'!K118,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8">
        <f>IF(AND('Loan Tape (S&amp;P)'!U118="Yes",
        'Loan Tape (S&amp;P)'!T118&lt;&gt;"Yes",
        DATEDIF('Loan Tape (S&amp;P)'!K118, TODAY(), "M")&lt;18),
    1.10,
    1.00)</f>
        <v/>
      </c>
      <c r="O118">
        <f>IF('Loan Tape (S&amp;P)'!T118="Yes",
    1.35,
    1.00)</f>
        <v/>
      </c>
      <c r="P118">
        <f>IF('Loan Tape (S&amp;P)'!S118="Yes",
    1.15,
    1.00)</f>
        <v/>
      </c>
      <c r="Q118">
        <f>IF('Loan Tape (S&amp;P)'!V118="Yes",
    1.20,
    1.00)</f>
        <v/>
      </c>
      <c r="T118">
        <f>LET(
    payment_method,'Loan Tape (S&amp;P)'!P118,
    occupancy,'Loan Tape (S&amp;P)'!N118,
    maturity_date,'Loan Tape (S&amp;P)'!L118,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9">
      <c r="J119">
        <f>LET(
    lien,'Loan Tape (S&amp;P)'!Q119,
    IF(lien="First",1.00,
        IF(lien="Second",1.50,
            1.70)))</f>
        <v/>
      </c>
      <c r="K119">
        <f>LET(
    purpose,'Loan Tape (S&amp;P)'!R119,
    IF(purpose="Purchase",1.00,
        IF(purpose="Remortgage",1.00,
            1.20)))</f>
        <v/>
      </c>
      <c r="L119">
        <f>LET(
    arrears_months,'Loan Tape (S&amp;P)'!AN119,
    IF(arrears_months=0,1.00,
    IF(arrears_months=1,3.00,
    IF(arrears_months=2,5.00,
    IF(arrears_months=3,8.00,
    IF(arrears_months=4,10.00,
    IF(arrears_months=5,12.00,15.00)))))))</f>
        <v/>
      </c>
      <c r="M119">
        <f>LET(
    seasoning_years,DATEDIF('Loan Tape (S&amp;P)'!K119,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9">
        <f>IF(AND('Loan Tape (S&amp;P)'!U119="Yes",
        'Loan Tape (S&amp;P)'!T119&lt;&gt;"Yes",
        DATEDIF('Loan Tape (S&amp;P)'!K119, TODAY(), "M")&lt;18),
    1.10,
    1.00)</f>
        <v/>
      </c>
      <c r="O119">
        <f>IF('Loan Tape (S&amp;P)'!T119="Yes",
    1.35,
    1.00)</f>
        <v/>
      </c>
      <c r="P119">
        <f>IF('Loan Tape (S&amp;P)'!S119="Yes",
    1.15,
    1.00)</f>
        <v/>
      </c>
      <c r="Q119">
        <f>IF('Loan Tape (S&amp;P)'!V119="Yes",
    1.20,
    1.00)</f>
        <v/>
      </c>
      <c r="T119">
        <f>LET(
    payment_method,'Loan Tape (S&amp;P)'!P119,
    occupancy,'Loan Tape (S&amp;P)'!N119,
    maturity_date,'Loan Tape (S&amp;P)'!L119,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0">
      <c r="J120">
        <f>LET(
    lien,'Loan Tape (S&amp;P)'!Q120,
    IF(lien="First",1.00,
        IF(lien="Second",1.50,
            1.70)))</f>
        <v/>
      </c>
      <c r="K120">
        <f>LET(
    purpose,'Loan Tape (S&amp;P)'!R120,
    IF(purpose="Purchase",1.00,
        IF(purpose="Remortgage",1.00,
            1.20)))</f>
        <v/>
      </c>
      <c r="L120">
        <f>LET(
    arrears_months,'Loan Tape (S&amp;P)'!AN120,
    IF(arrears_months=0,1.00,
    IF(arrears_months=1,3.00,
    IF(arrears_months=2,5.00,
    IF(arrears_months=3,8.00,
    IF(arrears_months=4,10.00,
    IF(arrears_months=5,12.00,15.00)))))))</f>
        <v/>
      </c>
      <c r="M120">
        <f>LET(
    seasoning_years,DATEDIF('Loan Tape (S&amp;P)'!K120,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0">
        <f>IF(AND('Loan Tape (S&amp;P)'!U120="Yes",
        'Loan Tape (S&amp;P)'!T120&lt;&gt;"Yes",
        DATEDIF('Loan Tape (S&amp;P)'!K120, TODAY(), "M")&lt;18),
    1.10,
    1.00)</f>
        <v/>
      </c>
      <c r="O120">
        <f>IF('Loan Tape (S&amp;P)'!T120="Yes",
    1.35,
    1.00)</f>
        <v/>
      </c>
      <c r="P120">
        <f>IF('Loan Tape (S&amp;P)'!S120="Yes",
    1.15,
    1.00)</f>
        <v/>
      </c>
      <c r="Q120">
        <f>IF('Loan Tape (S&amp;P)'!V120="Yes",
    1.20,
    1.00)</f>
        <v/>
      </c>
      <c r="T120">
        <f>LET(
    payment_method,'Loan Tape (S&amp;P)'!P120,
    occupancy,'Loan Tape (S&amp;P)'!N120,
    maturity_date,'Loan Tape (S&amp;P)'!L120,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1">
      <c r="J121">
        <f>LET(
    lien,'Loan Tape (S&amp;P)'!Q121,
    IF(lien="First",1.00,
        IF(lien="Second",1.50,
            1.70)))</f>
        <v/>
      </c>
      <c r="K121">
        <f>LET(
    purpose,'Loan Tape (S&amp;P)'!R121,
    IF(purpose="Purchase",1.00,
        IF(purpose="Remortgage",1.00,
            1.20)))</f>
        <v/>
      </c>
      <c r="L121">
        <f>LET(
    arrears_months,'Loan Tape (S&amp;P)'!AN121,
    IF(arrears_months=0,1.00,
    IF(arrears_months=1,3.00,
    IF(arrears_months=2,5.00,
    IF(arrears_months=3,8.00,
    IF(arrears_months=4,10.00,
    IF(arrears_months=5,12.00,15.00)))))))</f>
        <v/>
      </c>
      <c r="M121">
        <f>LET(
    seasoning_years,DATEDIF('Loan Tape (S&amp;P)'!K121,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1">
        <f>IF(AND('Loan Tape (S&amp;P)'!U121="Yes",
        'Loan Tape (S&amp;P)'!T121&lt;&gt;"Yes",
        DATEDIF('Loan Tape (S&amp;P)'!K121, TODAY(), "M")&lt;18),
    1.10,
    1.00)</f>
        <v/>
      </c>
      <c r="O121">
        <f>IF('Loan Tape (S&amp;P)'!T121="Yes",
    1.35,
    1.00)</f>
        <v/>
      </c>
      <c r="P121">
        <f>IF('Loan Tape (S&amp;P)'!S121="Yes",
    1.15,
    1.00)</f>
        <v/>
      </c>
      <c r="Q121">
        <f>IF('Loan Tape (S&amp;P)'!V121="Yes",
    1.20,
    1.00)</f>
        <v/>
      </c>
      <c r="T121">
        <f>LET(
    payment_method,'Loan Tape (S&amp;P)'!P121,
    occupancy,'Loan Tape (S&amp;P)'!N121,
    maturity_date,'Loan Tape (S&amp;P)'!L121,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2">
      <c r="J122">
        <f>LET(
    lien,'Loan Tape (S&amp;P)'!Q122,
    IF(lien="First",1.00,
        IF(lien="Second",1.50,
            1.70)))</f>
        <v/>
      </c>
      <c r="K122">
        <f>LET(
    purpose,'Loan Tape (S&amp;P)'!R122,
    IF(purpose="Purchase",1.00,
        IF(purpose="Remortgage",1.00,
            1.20)))</f>
        <v/>
      </c>
      <c r="L122">
        <f>LET(
    arrears_months,'Loan Tape (S&amp;P)'!AN122,
    IF(arrears_months=0,1.00,
    IF(arrears_months=1,3.00,
    IF(arrears_months=2,5.00,
    IF(arrears_months=3,8.00,
    IF(arrears_months=4,10.00,
    IF(arrears_months=5,12.00,15.00)))))))</f>
        <v/>
      </c>
      <c r="M122">
        <f>LET(
    seasoning_years,DATEDIF('Loan Tape (S&amp;P)'!K122,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2">
        <f>IF(AND('Loan Tape (S&amp;P)'!U122="Yes",
        'Loan Tape (S&amp;P)'!T122&lt;&gt;"Yes",
        DATEDIF('Loan Tape (S&amp;P)'!K122, TODAY(), "M")&lt;18),
    1.10,
    1.00)</f>
        <v/>
      </c>
      <c r="O122">
        <f>IF('Loan Tape (S&amp;P)'!T122="Yes",
    1.35,
    1.00)</f>
        <v/>
      </c>
      <c r="P122">
        <f>IF('Loan Tape (S&amp;P)'!S122="Yes",
    1.15,
    1.00)</f>
        <v/>
      </c>
      <c r="Q122">
        <f>IF('Loan Tape (S&amp;P)'!V122="Yes",
    1.20,
    1.00)</f>
        <v/>
      </c>
      <c r="T122">
        <f>LET(
    payment_method,'Loan Tape (S&amp;P)'!P122,
    occupancy,'Loan Tape (S&amp;P)'!N122,
    maturity_date,'Loan Tape (S&amp;P)'!L122,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3">
      <c r="J123">
        <f>LET(
    lien,'Loan Tape (S&amp;P)'!Q123,
    IF(lien="First",1.00,
        IF(lien="Second",1.50,
            1.70)))</f>
        <v/>
      </c>
      <c r="K123">
        <f>LET(
    purpose,'Loan Tape (S&amp;P)'!R123,
    IF(purpose="Purchase",1.00,
        IF(purpose="Remortgage",1.00,
            1.20)))</f>
        <v/>
      </c>
      <c r="L123">
        <f>LET(
    arrears_months,'Loan Tape (S&amp;P)'!AN123,
    IF(arrears_months=0,1.00,
    IF(arrears_months=1,3.00,
    IF(arrears_months=2,5.00,
    IF(arrears_months=3,8.00,
    IF(arrears_months=4,10.00,
    IF(arrears_months=5,12.00,15.00)))))))</f>
        <v/>
      </c>
      <c r="M123">
        <f>LET(
    seasoning_years,DATEDIF('Loan Tape (S&amp;P)'!K123,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3">
        <f>IF(AND('Loan Tape (S&amp;P)'!U123="Yes",
        'Loan Tape (S&amp;P)'!T123&lt;&gt;"Yes",
        DATEDIF('Loan Tape (S&amp;P)'!K123, TODAY(), "M")&lt;18),
    1.10,
    1.00)</f>
        <v/>
      </c>
      <c r="O123">
        <f>IF('Loan Tape (S&amp;P)'!T123="Yes",
    1.35,
    1.00)</f>
        <v/>
      </c>
      <c r="P123">
        <f>IF('Loan Tape (S&amp;P)'!S123="Yes",
    1.15,
    1.00)</f>
        <v/>
      </c>
      <c r="Q123">
        <f>IF('Loan Tape (S&amp;P)'!V123="Yes",
    1.20,
    1.00)</f>
        <v/>
      </c>
      <c r="T123">
        <f>LET(
    payment_method,'Loan Tape (S&amp;P)'!P123,
    occupancy,'Loan Tape (S&amp;P)'!N123,
    maturity_date,'Loan Tape (S&amp;P)'!L123,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4">
      <c r="J124">
        <f>LET(
    lien,'Loan Tape (S&amp;P)'!Q124,
    IF(lien="First",1.00,
        IF(lien="Second",1.50,
            1.70)))</f>
        <v/>
      </c>
      <c r="K124">
        <f>LET(
    purpose,'Loan Tape (S&amp;P)'!R124,
    IF(purpose="Purchase",1.00,
        IF(purpose="Remortgage",1.00,
            1.20)))</f>
        <v/>
      </c>
      <c r="L124">
        <f>LET(
    arrears_months,'Loan Tape (S&amp;P)'!AN124,
    IF(arrears_months=0,1.00,
    IF(arrears_months=1,3.00,
    IF(arrears_months=2,5.00,
    IF(arrears_months=3,8.00,
    IF(arrears_months=4,10.00,
    IF(arrears_months=5,12.00,15.00)))))))</f>
        <v/>
      </c>
      <c r="M124">
        <f>LET(
    seasoning_years,DATEDIF('Loan Tape (S&amp;P)'!K124,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4">
        <f>IF(AND('Loan Tape (S&amp;P)'!U124="Yes",
        'Loan Tape (S&amp;P)'!T124&lt;&gt;"Yes",
        DATEDIF('Loan Tape (S&amp;P)'!K124, TODAY(), "M")&lt;18),
    1.10,
    1.00)</f>
        <v/>
      </c>
      <c r="O124">
        <f>IF('Loan Tape (S&amp;P)'!T124="Yes",
    1.35,
    1.00)</f>
        <v/>
      </c>
      <c r="P124">
        <f>IF('Loan Tape (S&amp;P)'!S124="Yes",
    1.15,
    1.00)</f>
        <v/>
      </c>
      <c r="Q124">
        <f>IF('Loan Tape (S&amp;P)'!V124="Yes",
    1.20,
    1.00)</f>
        <v/>
      </c>
      <c r="T124">
        <f>LET(
    payment_method,'Loan Tape (S&amp;P)'!P124,
    occupancy,'Loan Tape (S&amp;P)'!N124,
    maturity_date,'Loan Tape (S&amp;P)'!L124,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5">
      <c r="J125">
        <f>LET(
    lien,'Loan Tape (S&amp;P)'!Q125,
    IF(lien="First",1.00,
        IF(lien="Second",1.50,
            1.70)))</f>
        <v/>
      </c>
      <c r="K125">
        <f>LET(
    purpose,'Loan Tape (S&amp;P)'!R125,
    IF(purpose="Purchase",1.00,
        IF(purpose="Remortgage",1.00,
            1.20)))</f>
        <v/>
      </c>
      <c r="L125">
        <f>LET(
    arrears_months,'Loan Tape (S&amp;P)'!AN125,
    IF(arrears_months=0,1.00,
    IF(arrears_months=1,3.00,
    IF(arrears_months=2,5.00,
    IF(arrears_months=3,8.00,
    IF(arrears_months=4,10.00,
    IF(arrears_months=5,12.00,15.00)))))))</f>
        <v/>
      </c>
      <c r="M125">
        <f>LET(
    seasoning_years,DATEDIF('Loan Tape (S&amp;P)'!K125,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5">
        <f>IF(AND('Loan Tape (S&amp;P)'!U125="Yes",
        'Loan Tape (S&amp;P)'!T125&lt;&gt;"Yes",
        DATEDIF('Loan Tape (S&amp;P)'!K125, TODAY(), "M")&lt;18),
    1.10,
    1.00)</f>
        <v/>
      </c>
      <c r="O125">
        <f>IF('Loan Tape (S&amp;P)'!T125="Yes",
    1.35,
    1.00)</f>
        <v/>
      </c>
      <c r="P125">
        <f>IF('Loan Tape (S&amp;P)'!S125="Yes",
    1.15,
    1.00)</f>
        <v/>
      </c>
      <c r="Q125">
        <f>IF('Loan Tape (S&amp;P)'!V125="Yes",
    1.20,
    1.00)</f>
        <v/>
      </c>
      <c r="T125">
        <f>LET(
    payment_method,'Loan Tape (S&amp;P)'!P125,
    occupancy,'Loan Tape (S&amp;P)'!N125,
    maturity_date,'Loan Tape (S&amp;P)'!L125,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6">
      <c r="J126">
        <f>LET(
    lien,'Loan Tape (S&amp;P)'!Q126,
    IF(lien="First",1.00,
        IF(lien="Second",1.50,
            1.70)))</f>
        <v/>
      </c>
      <c r="K126">
        <f>LET(
    purpose,'Loan Tape (S&amp;P)'!R126,
    IF(purpose="Purchase",1.00,
        IF(purpose="Remortgage",1.00,
            1.20)))</f>
        <v/>
      </c>
      <c r="L126">
        <f>LET(
    arrears_months,'Loan Tape (S&amp;P)'!AN126,
    IF(arrears_months=0,1.00,
    IF(arrears_months=1,3.00,
    IF(arrears_months=2,5.00,
    IF(arrears_months=3,8.00,
    IF(arrears_months=4,10.00,
    IF(arrears_months=5,12.00,15.00)))))))</f>
        <v/>
      </c>
      <c r="M126">
        <f>LET(
    seasoning_years,DATEDIF('Loan Tape (S&amp;P)'!K126,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6">
        <f>IF(AND('Loan Tape (S&amp;P)'!U126="Yes",
        'Loan Tape (S&amp;P)'!T126&lt;&gt;"Yes",
        DATEDIF('Loan Tape (S&amp;P)'!K126, TODAY(), "M")&lt;18),
    1.10,
    1.00)</f>
        <v/>
      </c>
      <c r="O126">
        <f>IF('Loan Tape (S&amp;P)'!T126="Yes",
    1.35,
    1.00)</f>
        <v/>
      </c>
      <c r="P126">
        <f>IF('Loan Tape (S&amp;P)'!S126="Yes",
    1.15,
    1.00)</f>
        <v/>
      </c>
      <c r="Q126">
        <f>IF('Loan Tape (S&amp;P)'!V126="Yes",
    1.20,
    1.00)</f>
        <v/>
      </c>
      <c r="T126">
        <f>LET(
    payment_method,'Loan Tape (S&amp;P)'!P126,
    occupancy,'Loan Tape (S&amp;P)'!N126,
    maturity_date,'Loan Tape (S&amp;P)'!L126,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7">
      <c r="J127">
        <f>LET(
    lien,'Loan Tape (S&amp;P)'!Q127,
    IF(lien="First",1.00,
        IF(lien="Second",1.50,
            1.70)))</f>
        <v/>
      </c>
      <c r="K127">
        <f>LET(
    purpose,'Loan Tape (S&amp;P)'!R127,
    IF(purpose="Purchase",1.00,
        IF(purpose="Remortgage",1.00,
            1.20)))</f>
        <v/>
      </c>
      <c r="L127">
        <f>LET(
    arrears_months,'Loan Tape (S&amp;P)'!AN127,
    IF(arrears_months=0,1.00,
    IF(arrears_months=1,3.00,
    IF(arrears_months=2,5.00,
    IF(arrears_months=3,8.00,
    IF(arrears_months=4,10.00,
    IF(arrears_months=5,12.00,15.00)))))))</f>
        <v/>
      </c>
      <c r="M127">
        <f>LET(
    seasoning_years,DATEDIF('Loan Tape (S&amp;P)'!K127,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7">
        <f>IF(AND('Loan Tape (S&amp;P)'!U127="Yes",
        'Loan Tape (S&amp;P)'!T127&lt;&gt;"Yes",
        DATEDIF('Loan Tape (S&amp;P)'!K127, TODAY(), "M")&lt;18),
    1.10,
    1.00)</f>
        <v/>
      </c>
      <c r="O127">
        <f>IF('Loan Tape (S&amp;P)'!T127="Yes",
    1.35,
    1.00)</f>
        <v/>
      </c>
      <c r="P127">
        <f>IF('Loan Tape (S&amp;P)'!S127="Yes",
    1.15,
    1.00)</f>
        <v/>
      </c>
      <c r="Q127">
        <f>IF('Loan Tape (S&amp;P)'!V127="Yes",
    1.20,
    1.00)</f>
        <v/>
      </c>
      <c r="T127">
        <f>LET(
    payment_method,'Loan Tape (S&amp;P)'!P127,
    occupancy,'Loan Tape (S&amp;P)'!N127,
    maturity_date,'Loan Tape (S&amp;P)'!L127,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8">
      <c r="J128">
        <f>LET(
    lien,'Loan Tape (S&amp;P)'!Q128,
    IF(lien="First",1.00,
        IF(lien="Second",1.50,
            1.70)))</f>
        <v/>
      </c>
      <c r="K128">
        <f>LET(
    purpose,'Loan Tape (S&amp;P)'!R128,
    IF(purpose="Purchase",1.00,
        IF(purpose="Remortgage",1.00,
            1.20)))</f>
        <v/>
      </c>
      <c r="L128">
        <f>LET(
    arrears_months,'Loan Tape (S&amp;P)'!AN128,
    IF(arrears_months=0,1.00,
    IF(arrears_months=1,3.00,
    IF(arrears_months=2,5.00,
    IF(arrears_months=3,8.00,
    IF(arrears_months=4,10.00,
    IF(arrears_months=5,12.00,15.00)))))))</f>
        <v/>
      </c>
      <c r="M128">
        <f>LET(
    seasoning_years,DATEDIF('Loan Tape (S&amp;P)'!K128,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8">
        <f>IF(AND('Loan Tape (S&amp;P)'!U128="Yes",
        'Loan Tape (S&amp;P)'!T128&lt;&gt;"Yes",
        DATEDIF('Loan Tape (S&amp;P)'!K128, TODAY(), "M")&lt;18),
    1.10,
    1.00)</f>
        <v/>
      </c>
      <c r="O128">
        <f>IF('Loan Tape (S&amp;P)'!T128="Yes",
    1.35,
    1.00)</f>
        <v/>
      </c>
      <c r="P128">
        <f>IF('Loan Tape (S&amp;P)'!S128="Yes",
    1.15,
    1.00)</f>
        <v/>
      </c>
      <c r="Q128">
        <f>IF('Loan Tape (S&amp;P)'!V128="Yes",
    1.20,
    1.00)</f>
        <v/>
      </c>
      <c r="T128">
        <f>LET(
    payment_method,'Loan Tape (S&amp;P)'!P128,
    occupancy,'Loan Tape (S&amp;P)'!N128,
    maturity_date,'Loan Tape (S&amp;P)'!L128,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9">
      <c r="J129">
        <f>LET(
    lien,'Loan Tape (S&amp;P)'!Q129,
    IF(lien="First",1.00,
        IF(lien="Second",1.50,
            1.70)))</f>
        <v/>
      </c>
      <c r="K129">
        <f>LET(
    purpose,'Loan Tape (S&amp;P)'!R129,
    IF(purpose="Purchase",1.00,
        IF(purpose="Remortgage",1.00,
            1.20)))</f>
        <v/>
      </c>
      <c r="L129">
        <f>LET(
    arrears_months,'Loan Tape (S&amp;P)'!AN129,
    IF(arrears_months=0,1.00,
    IF(arrears_months=1,3.00,
    IF(arrears_months=2,5.00,
    IF(arrears_months=3,8.00,
    IF(arrears_months=4,10.00,
    IF(arrears_months=5,12.00,15.00)))))))</f>
        <v/>
      </c>
      <c r="M129">
        <f>LET(
    seasoning_years,DATEDIF('Loan Tape (S&amp;P)'!K129,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9">
        <f>IF(AND('Loan Tape (S&amp;P)'!U129="Yes",
        'Loan Tape (S&amp;P)'!T129&lt;&gt;"Yes",
        DATEDIF('Loan Tape (S&amp;P)'!K129, TODAY(), "M")&lt;18),
    1.10,
    1.00)</f>
        <v/>
      </c>
      <c r="O129">
        <f>IF('Loan Tape (S&amp;P)'!T129="Yes",
    1.35,
    1.00)</f>
        <v/>
      </c>
      <c r="P129">
        <f>IF('Loan Tape (S&amp;P)'!S129="Yes",
    1.15,
    1.00)</f>
        <v/>
      </c>
      <c r="Q129">
        <f>IF('Loan Tape (S&amp;P)'!V129="Yes",
    1.20,
    1.00)</f>
        <v/>
      </c>
      <c r="T129">
        <f>LET(
    payment_method,'Loan Tape (S&amp;P)'!P129,
    occupancy,'Loan Tape (S&amp;P)'!N129,
    maturity_date,'Loan Tape (S&amp;P)'!L129,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0">
      <c r="J130">
        <f>LET(
    lien,'Loan Tape (S&amp;P)'!Q130,
    IF(lien="First",1.00,
        IF(lien="Second",1.50,
            1.70)))</f>
        <v/>
      </c>
      <c r="K130">
        <f>LET(
    purpose,'Loan Tape (S&amp;P)'!R130,
    IF(purpose="Purchase",1.00,
        IF(purpose="Remortgage",1.00,
            1.20)))</f>
        <v/>
      </c>
      <c r="L130">
        <f>LET(
    arrears_months,'Loan Tape (S&amp;P)'!AN130,
    IF(arrears_months=0,1.00,
    IF(arrears_months=1,3.00,
    IF(arrears_months=2,5.00,
    IF(arrears_months=3,8.00,
    IF(arrears_months=4,10.00,
    IF(arrears_months=5,12.00,15.00)))))))</f>
        <v/>
      </c>
      <c r="M130">
        <f>LET(
    seasoning_years,DATEDIF('Loan Tape (S&amp;P)'!K130,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0">
        <f>IF(AND('Loan Tape (S&amp;P)'!U130="Yes",
        'Loan Tape (S&amp;P)'!T130&lt;&gt;"Yes",
        DATEDIF('Loan Tape (S&amp;P)'!K130, TODAY(), "M")&lt;18),
    1.10,
    1.00)</f>
        <v/>
      </c>
      <c r="O130">
        <f>IF('Loan Tape (S&amp;P)'!T130="Yes",
    1.35,
    1.00)</f>
        <v/>
      </c>
      <c r="P130">
        <f>IF('Loan Tape (S&amp;P)'!S130="Yes",
    1.15,
    1.00)</f>
        <v/>
      </c>
      <c r="Q130">
        <f>IF('Loan Tape (S&amp;P)'!V130="Yes",
    1.20,
    1.00)</f>
        <v/>
      </c>
      <c r="T130">
        <f>LET(
    payment_method,'Loan Tape (S&amp;P)'!P130,
    occupancy,'Loan Tape (S&amp;P)'!N130,
    maturity_date,'Loan Tape (S&amp;P)'!L130,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1">
      <c r="J131">
        <f>LET(
    lien,'Loan Tape (S&amp;P)'!Q131,
    IF(lien="First",1.00,
        IF(lien="Second",1.50,
            1.70)))</f>
        <v/>
      </c>
      <c r="K131">
        <f>LET(
    purpose,'Loan Tape (S&amp;P)'!R131,
    IF(purpose="Purchase",1.00,
        IF(purpose="Remortgage",1.00,
            1.20)))</f>
        <v/>
      </c>
      <c r="L131">
        <f>LET(
    arrears_months,'Loan Tape (S&amp;P)'!AN131,
    IF(arrears_months=0,1.00,
    IF(arrears_months=1,3.00,
    IF(arrears_months=2,5.00,
    IF(arrears_months=3,8.00,
    IF(arrears_months=4,10.00,
    IF(arrears_months=5,12.00,15.00)))))))</f>
        <v/>
      </c>
      <c r="M131">
        <f>LET(
    seasoning_years,DATEDIF('Loan Tape (S&amp;P)'!K131,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1">
        <f>IF(AND('Loan Tape (S&amp;P)'!U131="Yes",
        'Loan Tape (S&amp;P)'!T131&lt;&gt;"Yes",
        DATEDIF('Loan Tape (S&amp;P)'!K131, TODAY(), "M")&lt;18),
    1.10,
    1.00)</f>
        <v/>
      </c>
      <c r="O131">
        <f>IF('Loan Tape (S&amp;P)'!T131="Yes",
    1.35,
    1.00)</f>
        <v/>
      </c>
      <c r="P131">
        <f>IF('Loan Tape (S&amp;P)'!S131="Yes",
    1.15,
    1.00)</f>
        <v/>
      </c>
      <c r="Q131">
        <f>IF('Loan Tape (S&amp;P)'!V131="Yes",
    1.20,
    1.00)</f>
        <v/>
      </c>
      <c r="T131">
        <f>LET(
    payment_method,'Loan Tape (S&amp;P)'!P131,
    occupancy,'Loan Tape (S&amp;P)'!N131,
    maturity_date,'Loan Tape (S&amp;P)'!L131,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2">
      <c r="J132">
        <f>LET(
    lien,'Loan Tape (S&amp;P)'!Q132,
    IF(lien="First",1.00,
        IF(lien="Second",1.50,
            1.70)))</f>
        <v/>
      </c>
      <c r="K132">
        <f>LET(
    purpose,'Loan Tape (S&amp;P)'!R132,
    IF(purpose="Purchase",1.00,
        IF(purpose="Remortgage",1.00,
            1.20)))</f>
        <v/>
      </c>
      <c r="L132">
        <f>LET(
    arrears_months,'Loan Tape (S&amp;P)'!AN132,
    IF(arrears_months=0,1.00,
    IF(arrears_months=1,3.00,
    IF(arrears_months=2,5.00,
    IF(arrears_months=3,8.00,
    IF(arrears_months=4,10.00,
    IF(arrears_months=5,12.00,15.00)))))))</f>
        <v/>
      </c>
      <c r="M132">
        <f>LET(
    seasoning_years,DATEDIF('Loan Tape (S&amp;P)'!K132,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2">
        <f>IF(AND('Loan Tape (S&amp;P)'!U132="Yes",
        'Loan Tape (S&amp;P)'!T132&lt;&gt;"Yes",
        DATEDIF('Loan Tape (S&amp;P)'!K132, TODAY(), "M")&lt;18),
    1.10,
    1.00)</f>
        <v/>
      </c>
      <c r="O132">
        <f>IF('Loan Tape (S&amp;P)'!T132="Yes",
    1.35,
    1.00)</f>
        <v/>
      </c>
      <c r="P132">
        <f>IF('Loan Tape (S&amp;P)'!S132="Yes",
    1.15,
    1.00)</f>
        <v/>
      </c>
      <c r="Q132">
        <f>IF('Loan Tape (S&amp;P)'!V132="Yes",
    1.20,
    1.00)</f>
        <v/>
      </c>
      <c r="T132">
        <f>LET(
    payment_method,'Loan Tape (S&amp;P)'!P132,
    occupancy,'Loan Tape (S&amp;P)'!N132,
    maturity_date,'Loan Tape (S&amp;P)'!L132,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3">
      <c r="J133">
        <f>LET(
    lien,'Loan Tape (S&amp;P)'!Q133,
    IF(lien="First",1.00,
        IF(lien="Second",1.50,
            1.70)))</f>
        <v/>
      </c>
      <c r="K133">
        <f>LET(
    purpose,'Loan Tape (S&amp;P)'!R133,
    IF(purpose="Purchase",1.00,
        IF(purpose="Remortgage",1.00,
            1.20)))</f>
        <v/>
      </c>
      <c r="L133">
        <f>LET(
    arrears_months,'Loan Tape (S&amp;P)'!AN133,
    IF(arrears_months=0,1.00,
    IF(arrears_months=1,3.00,
    IF(arrears_months=2,5.00,
    IF(arrears_months=3,8.00,
    IF(arrears_months=4,10.00,
    IF(arrears_months=5,12.00,15.00)))))))</f>
        <v/>
      </c>
      <c r="M133">
        <f>LET(
    seasoning_years,DATEDIF('Loan Tape (S&amp;P)'!K133,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3">
        <f>IF(AND('Loan Tape (S&amp;P)'!U133="Yes",
        'Loan Tape (S&amp;P)'!T133&lt;&gt;"Yes",
        DATEDIF('Loan Tape (S&amp;P)'!K133, TODAY(), "M")&lt;18),
    1.10,
    1.00)</f>
        <v/>
      </c>
      <c r="O133">
        <f>IF('Loan Tape (S&amp;P)'!T133="Yes",
    1.35,
    1.00)</f>
        <v/>
      </c>
      <c r="P133">
        <f>IF('Loan Tape (S&amp;P)'!S133="Yes",
    1.15,
    1.00)</f>
        <v/>
      </c>
      <c r="Q133">
        <f>IF('Loan Tape (S&amp;P)'!V133="Yes",
    1.20,
    1.00)</f>
        <v/>
      </c>
      <c r="T133">
        <f>LET(
    payment_method,'Loan Tape (S&amp;P)'!P133,
    occupancy,'Loan Tape (S&amp;P)'!N133,
    maturity_date,'Loan Tape (S&amp;P)'!L133,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4">
      <c r="J134">
        <f>LET(
    lien,'Loan Tape (S&amp;P)'!Q134,
    IF(lien="First",1.00,
        IF(lien="Second",1.50,
            1.70)))</f>
        <v/>
      </c>
      <c r="K134">
        <f>LET(
    purpose,'Loan Tape (S&amp;P)'!R134,
    IF(purpose="Purchase",1.00,
        IF(purpose="Remortgage",1.00,
            1.20)))</f>
        <v/>
      </c>
      <c r="L134">
        <f>LET(
    arrears_months,'Loan Tape (S&amp;P)'!AN134,
    IF(arrears_months=0,1.00,
    IF(arrears_months=1,3.00,
    IF(arrears_months=2,5.00,
    IF(arrears_months=3,8.00,
    IF(arrears_months=4,10.00,
    IF(arrears_months=5,12.00,15.00)))))))</f>
        <v/>
      </c>
      <c r="M134">
        <f>LET(
    seasoning_years,DATEDIF('Loan Tape (S&amp;P)'!K134,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4">
        <f>IF(AND('Loan Tape (S&amp;P)'!U134="Yes",
        'Loan Tape (S&amp;P)'!T134&lt;&gt;"Yes",
        DATEDIF('Loan Tape (S&amp;P)'!K134, TODAY(), "M")&lt;18),
    1.10,
    1.00)</f>
        <v/>
      </c>
      <c r="O134">
        <f>IF('Loan Tape (S&amp;P)'!T134="Yes",
    1.35,
    1.00)</f>
        <v/>
      </c>
      <c r="P134">
        <f>IF('Loan Tape (S&amp;P)'!S134="Yes",
    1.15,
    1.00)</f>
        <v/>
      </c>
      <c r="Q134">
        <f>IF('Loan Tape (S&amp;P)'!V134="Yes",
    1.20,
    1.00)</f>
        <v/>
      </c>
      <c r="T134">
        <f>LET(
    payment_method,'Loan Tape (S&amp;P)'!P134,
    occupancy,'Loan Tape (S&amp;P)'!N134,
    maturity_date,'Loan Tape (S&amp;P)'!L134,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5">
      <c r="J135">
        <f>LET(
    lien,'Loan Tape (S&amp;P)'!Q135,
    IF(lien="First",1.00,
        IF(lien="Second",1.50,
            1.70)))</f>
        <v/>
      </c>
      <c r="K135">
        <f>LET(
    purpose,'Loan Tape (S&amp;P)'!R135,
    IF(purpose="Purchase",1.00,
        IF(purpose="Remortgage",1.00,
            1.20)))</f>
        <v/>
      </c>
      <c r="L135">
        <f>LET(
    arrears_months,'Loan Tape (S&amp;P)'!AN135,
    IF(arrears_months=0,1.00,
    IF(arrears_months=1,3.00,
    IF(arrears_months=2,5.00,
    IF(arrears_months=3,8.00,
    IF(arrears_months=4,10.00,
    IF(arrears_months=5,12.00,15.00)))))))</f>
        <v/>
      </c>
      <c r="M135">
        <f>LET(
    seasoning_years,DATEDIF('Loan Tape (S&amp;P)'!K135,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5">
        <f>IF(AND('Loan Tape (S&amp;P)'!U135="Yes",
        'Loan Tape (S&amp;P)'!T135&lt;&gt;"Yes",
        DATEDIF('Loan Tape (S&amp;P)'!K135, TODAY(), "M")&lt;18),
    1.10,
    1.00)</f>
        <v/>
      </c>
      <c r="O135">
        <f>IF('Loan Tape (S&amp;P)'!T135="Yes",
    1.35,
    1.00)</f>
        <v/>
      </c>
      <c r="P135">
        <f>IF('Loan Tape (S&amp;P)'!S135="Yes",
    1.15,
    1.00)</f>
        <v/>
      </c>
      <c r="Q135">
        <f>IF('Loan Tape (S&amp;P)'!V135="Yes",
    1.20,
    1.00)</f>
        <v/>
      </c>
      <c r="T135">
        <f>LET(
    payment_method,'Loan Tape (S&amp;P)'!P135,
    occupancy,'Loan Tape (S&amp;P)'!N135,
    maturity_date,'Loan Tape (S&amp;P)'!L135,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6">
      <c r="J136">
        <f>LET(
    lien,'Loan Tape (S&amp;P)'!Q136,
    IF(lien="First",1.00,
        IF(lien="Second",1.50,
            1.70)))</f>
        <v/>
      </c>
      <c r="K136">
        <f>LET(
    purpose,'Loan Tape (S&amp;P)'!R136,
    IF(purpose="Purchase",1.00,
        IF(purpose="Remortgage",1.00,
            1.20)))</f>
        <v/>
      </c>
      <c r="L136">
        <f>LET(
    arrears_months,'Loan Tape (S&amp;P)'!AN136,
    IF(arrears_months=0,1.00,
    IF(arrears_months=1,3.00,
    IF(arrears_months=2,5.00,
    IF(arrears_months=3,8.00,
    IF(arrears_months=4,10.00,
    IF(arrears_months=5,12.00,15.00)))))))</f>
        <v/>
      </c>
      <c r="M136">
        <f>LET(
    seasoning_years,DATEDIF('Loan Tape (S&amp;P)'!K136,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6">
        <f>IF(AND('Loan Tape (S&amp;P)'!U136="Yes",
        'Loan Tape (S&amp;P)'!T136&lt;&gt;"Yes",
        DATEDIF('Loan Tape (S&amp;P)'!K136, TODAY(), "M")&lt;18),
    1.10,
    1.00)</f>
        <v/>
      </c>
      <c r="O136">
        <f>IF('Loan Tape (S&amp;P)'!T136="Yes",
    1.35,
    1.00)</f>
        <v/>
      </c>
      <c r="P136">
        <f>IF('Loan Tape (S&amp;P)'!S136="Yes",
    1.15,
    1.00)</f>
        <v/>
      </c>
      <c r="Q136">
        <f>IF('Loan Tape (S&amp;P)'!V136="Yes",
    1.20,
    1.00)</f>
        <v/>
      </c>
      <c r="T136">
        <f>LET(
    payment_method,'Loan Tape (S&amp;P)'!P136,
    occupancy,'Loan Tape (S&amp;P)'!N136,
    maturity_date,'Loan Tape (S&amp;P)'!L136,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7">
      <c r="J137">
        <f>LET(
    lien,'Loan Tape (S&amp;P)'!Q137,
    IF(lien="First",1.00,
        IF(lien="Second",1.50,
            1.70)))</f>
        <v/>
      </c>
      <c r="K137">
        <f>LET(
    purpose,'Loan Tape (S&amp;P)'!R137,
    IF(purpose="Purchase",1.00,
        IF(purpose="Remortgage",1.00,
            1.20)))</f>
        <v/>
      </c>
      <c r="L137">
        <f>LET(
    arrears_months,'Loan Tape (S&amp;P)'!AN137,
    IF(arrears_months=0,1.00,
    IF(arrears_months=1,3.00,
    IF(arrears_months=2,5.00,
    IF(arrears_months=3,8.00,
    IF(arrears_months=4,10.00,
    IF(arrears_months=5,12.00,15.00)))))))</f>
        <v/>
      </c>
      <c r="M137">
        <f>LET(
    seasoning_years,DATEDIF('Loan Tape (S&amp;P)'!K137,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7">
        <f>IF(AND('Loan Tape (S&amp;P)'!U137="Yes",
        'Loan Tape (S&amp;P)'!T137&lt;&gt;"Yes",
        DATEDIF('Loan Tape (S&amp;P)'!K137, TODAY(), "M")&lt;18),
    1.10,
    1.00)</f>
        <v/>
      </c>
      <c r="O137">
        <f>IF('Loan Tape (S&amp;P)'!T137="Yes",
    1.35,
    1.00)</f>
        <v/>
      </c>
      <c r="P137">
        <f>IF('Loan Tape (S&amp;P)'!S137="Yes",
    1.15,
    1.00)</f>
        <v/>
      </c>
      <c r="Q137">
        <f>IF('Loan Tape (S&amp;P)'!V137="Yes",
    1.20,
    1.00)</f>
        <v/>
      </c>
      <c r="T137">
        <f>LET(
    payment_method,'Loan Tape (S&amp;P)'!P137,
    occupancy,'Loan Tape (S&amp;P)'!N137,
    maturity_date,'Loan Tape (S&amp;P)'!L137,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8">
      <c r="J138">
        <f>LET(
    lien,'Loan Tape (S&amp;P)'!Q138,
    IF(lien="First",1.00,
        IF(lien="Second",1.50,
            1.70)))</f>
        <v/>
      </c>
      <c r="K138">
        <f>LET(
    purpose,'Loan Tape (S&amp;P)'!R138,
    IF(purpose="Purchase",1.00,
        IF(purpose="Remortgage",1.00,
            1.20)))</f>
        <v/>
      </c>
      <c r="L138">
        <f>LET(
    arrears_months,'Loan Tape (S&amp;P)'!AN138,
    IF(arrears_months=0,1.00,
    IF(arrears_months=1,3.00,
    IF(arrears_months=2,5.00,
    IF(arrears_months=3,8.00,
    IF(arrears_months=4,10.00,
    IF(arrears_months=5,12.00,15.00)))))))</f>
        <v/>
      </c>
      <c r="M138">
        <f>LET(
    seasoning_years,DATEDIF('Loan Tape (S&amp;P)'!K138,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8">
        <f>IF(AND('Loan Tape (S&amp;P)'!U138="Yes",
        'Loan Tape (S&amp;P)'!T138&lt;&gt;"Yes",
        DATEDIF('Loan Tape (S&amp;P)'!K138, TODAY(), "M")&lt;18),
    1.10,
    1.00)</f>
        <v/>
      </c>
      <c r="O138">
        <f>IF('Loan Tape (S&amp;P)'!T138="Yes",
    1.35,
    1.00)</f>
        <v/>
      </c>
      <c r="P138">
        <f>IF('Loan Tape (S&amp;P)'!S138="Yes",
    1.15,
    1.00)</f>
        <v/>
      </c>
      <c r="Q138">
        <f>IF('Loan Tape (S&amp;P)'!V138="Yes",
    1.20,
    1.00)</f>
        <v/>
      </c>
      <c r="T138">
        <f>LET(
    payment_method,'Loan Tape (S&amp;P)'!P138,
    occupancy,'Loan Tape (S&amp;P)'!N138,
    maturity_date,'Loan Tape (S&amp;P)'!L138,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9">
      <c r="J139">
        <f>LET(
    lien,'Loan Tape (S&amp;P)'!Q139,
    IF(lien="First",1.00,
        IF(lien="Second",1.50,
            1.70)))</f>
        <v/>
      </c>
      <c r="K139">
        <f>LET(
    purpose,'Loan Tape (S&amp;P)'!R139,
    IF(purpose="Purchase",1.00,
        IF(purpose="Remortgage",1.00,
            1.20)))</f>
        <v/>
      </c>
      <c r="L139">
        <f>LET(
    arrears_months,'Loan Tape (S&amp;P)'!AN139,
    IF(arrears_months=0,1.00,
    IF(arrears_months=1,3.00,
    IF(arrears_months=2,5.00,
    IF(arrears_months=3,8.00,
    IF(arrears_months=4,10.00,
    IF(arrears_months=5,12.00,15.00)))))))</f>
        <v/>
      </c>
      <c r="M139">
        <f>LET(
    seasoning_years,DATEDIF('Loan Tape (S&amp;P)'!K139,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9">
        <f>IF(AND('Loan Tape (S&amp;P)'!U139="Yes",
        'Loan Tape (S&amp;P)'!T139&lt;&gt;"Yes",
        DATEDIF('Loan Tape (S&amp;P)'!K139, TODAY(), "M")&lt;18),
    1.10,
    1.00)</f>
        <v/>
      </c>
      <c r="O139">
        <f>IF('Loan Tape (S&amp;P)'!T139="Yes",
    1.35,
    1.00)</f>
        <v/>
      </c>
      <c r="P139">
        <f>IF('Loan Tape (S&amp;P)'!S139="Yes",
    1.15,
    1.00)</f>
        <v/>
      </c>
      <c r="Q139">
        <f>IF('Loan Tape (S&amp;P)'!V139="Yes",
    1.20,
    1.00)</f>
        <v/>
      </c>
      <c r="T139">
        <f>LET(
    payment_method,'Loan Tape (S&amp;P)'!P139,
    occupancy,'Loan Tape (S&amp;P)'!N139,
    maturity_date,'Loan Tape (S&amp;P)'!L139,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0">
      <c r="J140">
        <f>LET(
    lien,'Loan Tape (S&amp;P)'!Q140,
    IF(lien="First",1.00,
        IF(lien="Second",1.50,
            1.70)))</f>
        <v/>
      </c>
      <c r="K140">
        <f>LET(
    purpose,'Loan Tape (S&amp;P)'!R140,
    IF(purpose="Purchase",1.00,
        IF(purpose="Remortgage",1.00,
            1.20)))</f>
        <v/>
      </c>
      <c r="L140">
        <f>LET(
    arrears_months,'Loan Tape (S&amp;P)'!AN140,
    IF(arrears_months=0,1.00,
    IF(arrears_months=1,3.00,
    IF(arrears_months=2,5.00,
    IF(arrears_months=3,8.00,
    IF(arrears_months=4,10.00,
    IF(arrears_months=5,12.00,15.00)))))))</f>
        <v/>
      </c>
      <c r="M140">
        <f>LET(
    seasoning_years,DATEDIF('Loan Tape (S&amp;P)'!K140,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0">
        <f>IF(AND('Loan Tape (S&amp;P)'!U140="Yes",
        'Loan Tape (S&amp;P)'!T140&lt;&gt;"Yes",
        DATEDIF('Loan Tape (S&amp;P)'!K140, TODAY(), "M")&lt;18),
    1.10,
    1.00)</f>
        <v/>
      </c>
      <c r="O140">
        <f>IF('Loan Tape (S&amp;P)'!T140="Yes",
    1.35,
    1.00)</f>
        <v/>
      </c>
      <c r="P140">
        <f>IF('Loan Tape (S&amp;P)'!S140="Yes",
    1.15,
    1.00)</f>
        <v/>
      </c>
      <c r="Q140">
        <f>IF('Loan Tape (S&amp;P)'!V140="Yes",
    1.20,
    1.00)</f>
        <v/>
      </c>
      <c r="T140">
        <f>LET(
    payment_method,'Loan Tape (S&amp;P)'!P140,
    occupancy,'Loan Tape (S&amp;P)'!N140,
    maturity_date,'Loan Tape (S&amp;P)'!L140,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1">
      <c r="J141">
        <f>LET(
    lien,'Loan Tape (S&amp;P)'!Q141,
    IF(lien="First",1.00,
        IF(lien="Second",1.50,
            1.70)))</f>
        <v/>
      </c>
      <c r="K141">
        <f>LET(
    purpose,'Loan Tape (S&amp;P)'!R141,
    IF(purpose="Purchase",1.00,
        IF(purpose="Remortgage",1.00,
            1.20)))</f>
        <v/>
      </c>
      <c r="L141">
        <f>LET(
    arrears_months,'Loan Tape (S&amp;P)'!AN141,
    IF(arrears_months=0,1.00,
    IF(arrears_months=1,3.00,
    IF(arrears_months=2,5.00,
    IF(arrears_months=3,8.00,
    IF(arrears_months=4,10.00,
    IF(arrears_months=5,12.00,15.00)))))))</f>
        <v/>
      </c>
      <c r="M141">
        <f>LET(
    seasoning_years,DATEDIF('Loan Tape (S&amp;P)'!K141,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1">
        <f>IF(AND('Loan Tape (S&amp;P)'!U141="Yes",
        'Loan Tape (S&amp;P)'!T141&lt;&gt;"Yes",
        DATEDIF('Loan Tape (S&amp;P)'!K141, TODAY(), "M")&lt;18),
    1.10,
    1.00)</f>
        <v/>
      </c>
      <c r="O141">
        <f>IF('Loan Tape (S&amp;P)'!T141="Yes",
    1.35,
    1.00)</f>
        <v/>
      </c>
      <c r="P141">
        <f>IF('Loan Tape (S&amp;P)'!S141="Yes",
    1.15,
    1.00)</f>
        <v/>
      </c>
      <c r="Q141">
        <f>IF('Loan Tape (S&amp;P)'!V141="Yes",
    1.20,
    1.00)</f>
        <v/>
      </c>
      <c r="T141">
        <f>LET(
    payment_method,'Loan Tape (S&amp;P)'!P141,
    occupancy,'Loan Tape (S&amp;P)'!N141,
    maturity_date,'Loan Tape (S&amp;P)'!L141,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2">
      <c r="J142">
        <f>LET(
    lien,'Loan Tape (S&amp;P)'!Q142,
    IF(lien="First",1.00,
        IF(lien="Second",1.50,
            1.70)))</f>
        <v/>
      </c>
      <c r="K142">
        <f>LET(
    purpose,'Loan Tape (S&amp;P)'!R142,
    IF(purpose="Purchase",1.00,
        IF(purpose="Remortgage",1.00,
            1.20)))</f>
        <v/>
      </c>
      <c r="L142">
        <f>LET(
    arrears_months,'Loan Tape (S&amp;P)'!AN142,
    IF(arrears_months=0,1.00,
    IF(arrears_months=1,3.00,
    IF(arrears_months=2,5.00,
    IF(arrears_months=3,8.00,
    IF(arrears_months=4,10.00,
    IF(arrears_months=5,12.00,15.00)))))))</f>
        <v/>
      </c>
      <c r="M142">
        <f>LET(
    seasoning_years,DATEDIF('Loan Tape (S&amp;P)'!K142,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2">
        <f>IF(AND('Loan Tape (S&amp;P)'!U142="Yes",
        'Loan Tape (S&amp;P)'!T142&lt;&gt;"Yes",
        DATEDIF('Loan Tape (S&amp;P)'!K142, TODAY(), "M")&lt;18),
    1.10,
    1.00)</f>
        <v/>
      </c>
      <c r="O142">
        <f>IF('Loan Tape (S&amp;P)'!T142="Yes",
    1.35,
    1.00)</f>
        <v/>
      </c>
      <c r="P142">
        <f>IF('Loan Tape (S&amp;P)'!S142="Yes",
    1.15,
    1.00)</f>
        <v/>
      </c>
      <c r="Q142">
        <f>IF('Loan Tape (S&amp;P)'!V142="Yes",
    1.20,
    1.00)</f>
        <v/>
      </c>
      <c r="T142">
        <f>LET(
    payment_method,'Loan Tape (S&amp;P)'!P142,
    occupancy,'Loan Tape (S&amp;P)'!N142,
    maturity_date,'Loan Tape (S&amp;P)'!L142,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3">
      <c r="J143">
        <f>LET(
    lien,'Loan Tape (S&amp;P)'!Q143,
    IF(lien="First",1.00,
        IF(lien="Second",1.50,
            1.70)))</f>
        <v/>
      </c>
      <c r="K143">
        <f>LET(
    purpose,'Loan Tape (S&amp;P)'!R143,
    IF(purpose="Purchase",1.00,
        IF(purpose="Remortgage",1.00,
            1.20)))</f>
        <v/>
      </c>
      <c r="L143">
        <f>LET(
    arrears_months,'Loan Tape (S&amp;P)'!AN143,
    IF(arrears_months=0,1.00,
    IF(arrears_months=1,3.00,
    IF(arrears_months=2,5.00,
    IF(arrears_months=3,8.00,
    IF(arrears_months=4,10.00,
    IF(arrears_months=5,12.00,15.00)))))))</f>
        <v/>
      </c>
      <c r="M143">
        <f>LET(
    seasoning_years,DATEDIF('Loan Tape (S&amp;P)'!K143,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3">
        <f>IF(AND('Loan Tape (S&amp;P)'!U143="Yes",
        'Loan Tape (S&amp;P)'!T143&lt;&gt;"Yes",
        DATEDIF('Loan Tape (S&amp;P)'!K143, TODAY(), "M")&lt;18),
    1.10,
    1.00)</f>
        <v/>
      </c>
      <c r="O143">
        <f>IF('Loan Tape (S&amp;P)'!T143="Yes",
    1.35,
    1.00)</f>
        <v/>
      </c>
      <c r="P143">
        <f>IF('Loan Tape (S&amp;P)'!S143="Yes",
    1.15,
    1.00)</f>
        <v/>
      </c>
      <c r="Q143">
        <f>IF('Loan Tape (S&amp;P)'!V143="Yes",
    1.20,
    1.00)</f>
        <v/>
      </c>
      <c r="T143">
        <f>LET(
    payment_method,'Loan Tape (S&amp;P)'!P143,
    occupancy,'Loan Tape (S&amp;P)'!N143,
    maturity_date,'Loan Tape (S&amp;P)'!L143,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4">
      <c r="J144">
        <f>LET(
    lien,'Loan Tape (S&amp;P)'!Q144,
    IF(lien="First",1.00,
        IF(lien="Second",1.50,
            1.70)))</f>
        <v/>
      </c>
      <c r="K144">
        <f>LET(
    purpose,'Loan Tape (S&amp;P)'!R144,
    IF(purpose="Purchase",1.00,
        IF(purpose="Remortgage",1.00,
            1.20)))</f>
        <v/>
      </c>
      <c r="L144">
        <f>LET(
    arrears_months,'Loan Tape (S&amp;P)'!AN144,
    IF(arrears_months=0,1.00,
    IF(arrears_months=1,3.00,
    IF(arrears_months=2,5.00,
    IF(arrears_months=3,8.00,
    IF(arrears_months=4,10.00,
    IF(arrears_months=5,12.00,15.00)))))))</f>
        <v/>
      </c>
      <c r="M144">
        <f>LET(
    seasoning_years,DATEDIF('Loan Tape (S&amp;P)'!K144,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4">
        <f>IF(AND('Loan Tape (S&amp;P)'!U144="Yes",
        'Loan Tape (S&amp;P)'!T144&lt;&gt;"Yes",
        DATEDIF('Loan Tape (S&amp;P)'!K144, TODAY(), "M")&lt;18),
    1.10,
    1.00)</f>
        <v/>
      </c>
      <c r="O144">
        <f>IF('Loan Tape (S&amp;P)'!T144="Yes",
    1.35,
    1.00)</f>
        <v/>
      </c>
      <c r="P144">
        <f>IF('Loan Tape (S&amp;P)'!S144="Yes",
    1.15,
    1.00)</f>
        <v/>
      </c>
      <c r="Q144">
        <f>IF('Loan Tape (S&amp;P)'!V144="Yes",
    1.20,
    1.00)</f>
        <v/>
      </c>
      <c r="T144">
        <f>LET(
    payment_method,'Loan Tape (S&amp;P)'!P144,
    occupancy,'Loan Tape (S&amp;P)'!N144,
    maturity_date,'Loan Tape (S&amp;P)'!L144,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5">
      <c r="J145">
        <f>LET(
    lien,'Loan Tape (S&amp;P)'!Q145,
    IF(lien="First",1.00,
        IF(lien="Second",1.50,
            1.70)))</f>
        <v/>
      </c>
      <c r="K145">
        <f>LET(
    purpose,'Loan Tape (S&amp;P)'!R145,
    IF(purpose="Purchase",1.00,
        IF(purpose="Remortgage",1.00,
            1.20)))</f>
        <v/>
      </c>
      <c r="L145">
        <f>LET(
    arrears_months,'Loan Tape (S&amp;P)'!AN145,
    IF(arrears_months=0,1.00,
    IF(arrears_months=1,3.00,
    IF(arrears_months=2,5.00,
    IF(arrears_months=3,8.00,
    IF(arrears_months=4,10.00,
    IF(arrears_months=5,12.00,15.00)))))))</f>
        <v/>
      </c>
      <c r="M145">
        <f>LET(
    seasoning_years,DATEDIF('Loan Tape (S&amp;P)'!K145,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5">
        <f>IF(AND('Loan Tape (S&amp;P)'!U145="Yes",
        'Loan Tape (S&amp;P)'!T145&lt;&gt;"Yes",
        DATEDIF('Loan Tape (S&amp;P)'!K145, TODAY(), "M")&lt;18),
    1.10,
    1.00)</f>
        <v/>
      </c>
      <c r="O145">
        <f>IF('Loan Tape (S&amp;P)'!T145="Yes",
    1.35,
    1.00)</f>
        <v/>
      </c>
      <c r="P145">
        <f>IF('Loan Tape (S&amp;P)'!S145="Yes",
    1.15,
    1.00)</f>
        <v/>
      </c>
      <c r="Q145">
        <f>IF('Loan Tape (S&amp;P)'!V145="Yes",
    1.20,
    1.00)</f>
        <v/>
      </c>
      <c r="T145">
        <f>LET(
    payment_method,'Loan Tape (S&amp;P)'!P145,
    occupancy,'Loan Tape (S&amp;P)'!N145,
    maturity_date,'Loan Tape (S&amp;P)'!L145,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6">
      <c r="J146">
        <f>LET(
    lien,'Loan Tape (S&amp;P)'!Q146,
    IF(lien="First",1.00,
        IF(lien="Second",1.50,
            1.70)))</f>
        <v/>
      </c>
      <c r="K146">
        <f>LET(
    purpose,'Loan Tape (S&amp;P)'!R146,
    IF(purpose="Purchase",1.00,
        IF(purpose="Remortgage",1.00,
            1.20)))</f>
        <v/>
      </c>
      <c r="L146">
        <f>LET(
    arrears_months,'Loan Tape (S&amp;P)'!AN146,
    IF(arrears_months=0,1.00,
    IF(arrears_months=1,3.00,
    IF(arrears_months=2,5.00,
    IF(arrears_months=3,8.00,
    IF(arrears_months=4,10.00,
    IF(arrears_months=5,12.00,15.00)))))))</f>
        <v/>
      </c>
      <c r="M146">
        <f>LET(
    seasoning_years,DATEDIF('Loan Tape (S&amp;P)'!K146,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6">
        <f>IF(AND('Loan Tape (S&amp;P)'!U146="Yes",
        'Loan Tape (S&amp;P)'!T146&lt;&gt;"Yes",
        DATEDIF('Loan Tape (S&amp;P)'!K146, TODAY(), "M")&lt;18),
    1.10,
    1.00)</f>
        <v/>
      </c>
      <c r="O146">
        <f>IF('Loan Tape (S&amp;P)'!T146="Yes",
    1.35,
    1.00)</f>
        <v/>
      </c>
      <c r="P146">
        <f>IF('Loan Tape (S&amp;P)'!S146="Yes",
    1.15,
    1.00)</f>
        <v/>
      </c>
      <c r="Q146">
        <f>IF('Loan Tape (S&amp;P)'!V146="Yes",
    1.20,
    1.00)</f>
        <v/>
      </c>
      <c r="T146">
        <f>LET(
    payment_method,'Loan Tape (S&amp;P)'!P146,
    occupancy,'Loan Tape (S&amp;P)'!N146,
    maturity_date,'Loan Tape (S&amp;P)'!L146,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7">
      <c r="J147">
        <f>LET(
    lien,'Loan Tape (S&amp;P)'!Q147,
    IF(lien="First",1.00,
        IF(lien="Second",1.50,
            1.70)))</f>
        <v/>
      </c>
      <c r="K147">
        <f>LET(
    purpose,'Loan Tape (S&amp;P)'!R147,
    IF(purpose="Purchase",1.00,
        IF(purpose="Remortgage",1.00,
            1.20)))</f>
        <v/>
      </c>
      <c r="L147">
        <f>LET(
    arrears_months,'Loan Tape (S&amp;P)'!AN147,
    IF(arrears_months=0,1.00,
    IF(arrears_months=1,3.00,
    IF(arrears_months=2,5.00,
    IF(arrears_months=3,8.00,
    IF(arrears_months=4,10.00,
    IF(arrears_months=5,12.00,15.00)))))))</f>
        <v/>
      </c>
      <c r="M147">
        <f>LET(
    seasoning_years,DATEDIF('Loan Tape (S&amp;P)'!K147,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7">
        <f>IF(AND('Loan Tape (S&amp;P)'!U147="Yes",
        'Loan Tape (S&amp;P)'!T147&lt;&gt;"Yes",
        DATEDIF('Loan Tape (S&amp;P)'!K147, TODAY(), "M")&lt;18),
    1.10,
    1.00)</f>
        <v/>
      </c>
      <c r="O147">
        <f>IF('Loan Tape (S&amp;P)'!T147="Yes",
    1.35,
    1.00)</f>
        <v/>
      </c>
      <c r="P147">
        <f>IF('Loan Tape (S&amp;P)'!S147="Yes",
    1.15,
    1.00)</f>
        <v/>
      </c>
      <c r="Q147">
        <f>IF('Loan Tape (S&amp;P)'!V147="Yes",
    1.20,
    1.00)</f>
        <v/>
      </c>
      <c r="T147">
        <f>LET(
    payment_method,'Loan Tape (S&amp;P)'!P147,
    occupancy,'Loan Tape (S&amp;P)'!N147,
    maturity_date,'Loan Tape (S&amp;P)'!L147,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8">
      <c r="J148">
        <f>LET(
    lien,'Loan Tape (S&amp;P)'!Q148,
    IF(lien="First",1.00,
        IF(lien="Second",1.50,
            1.70)))</f>
        <v/>
      </c>
      <c r="K148">
        <f>LET(
    purpose,'Loan Tape (S&amp;P)'!R148,
    IF(purpose="Purchase",1.00,
        IF(purpose="Remortgage",1.00,
            1.20)))</f>
        <v/>
      </c>
      <c r="L148">
        <f>LET(
    arrears_months,'Loan Tape (S&amp;P)'!AN148,
    IF(arrears_months=0,1.00,
    IF(arrears_months=1,3.00,
    IF(arrears_months=2,5.00,
    IF(arrears_months=3,8.00,
    IF(arrears_months=4,10.00,
    IF(arrears_months=5,12.00,15.00)))))))</f>
        <v/>
      </c>
      <c r="M148">
        <f>LET(
    seasoning_years,DATEDIF('Loan Tape (S&amp;P)'!K148,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8">
        <f>IF(AND('Loan Tape (S&amp;P)'!U148="Yes",
        'Loan Tape (S&amp;P)'!T148&lt;&gt;"Yes",
        DATEDIF('Loan Tape (S&amp;P)'!K148, TODAY(), "M")&lt;18),
    1.10,
    1.00)</f>
        <v/>
      </c>
      <c r="O148">
        <f>IF('Loan Tape (S&amp;P)'!T148="Yes",
    1.35,
    1.00)</f>
        <v/>
      </c>
      <c r="P148">
        <f>IF('Loan Tape (S&amp;P)'!S148="Yes",
    1.15,
    1.00)</f>
        <v/>
      </c>
      <c r="Q148">
        <f>IF('Loan Tape (S&amp;P)'!V148="Yes",
    1.20,
    1.00)</f>
        <v/>
      </c>
      <c r="T148">
        <f>LET(
    payment_method,'Loan Tape (S&amp;P)'!P148,
    occupancy,'Loan Tape (S&amp;P)'!N148,
    maturity_date,'Loan Tape (S&amp;P)'!L148,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9">
      <c r="J149">
        <f>LET(
    lien,'Loan Tape (S&amp;P)'!Q149,
    IF(lien="First",1.00,
        IF(lien="Second",1.50,
            1.70)))</f>
        <v/>
      </c>
      <c r="K149">
        <f>LET(
    purpose,'Loan Tape (S&amp;P)'!R149,
    IF(purpose="Purchase",1.00,
        IF(purpose="Remortgage",1.00,
            1.20)))</f>
        <v/>
      </c>
      <c r="L149">
        <f>LET(
    arrears_months,'Loan Tape (S&amp;P)'!AN149,
    IF(arrears_months=0,1.00,
    IF(arrears_months=1,3.00,
    IF(arrears_months=2,5.00,
    IF(arrears_months=3,8.00,
    IF(arrears_months=4,10.00,
    IF(arrears_months=5,12.00,15.00)))))))</f>
        <v/>
      </c>
      <c r="M149">
        <f>LET(
    seasoning_years,DATEDIF('Loan Tape (S&amp;P)'!K149,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9">
        <f>IF(AND('Loan Tape (S&amp;P)'!U149="Yes",
        'Loan Tape (S&amp;P)'!T149&lt;&gt;"Yes",
        DATEDIF('Loan Tape (S&amp;P)'!K149, TODAY(), "M")&lt;18),
    1.10,
    1.00)</f>
        <v/>
      </c>
      <c r="O149">
        <f>IF('Loan Tape (S&amp;P)'!T149="Yes",
    1.35,
    1.00)</f>
        <v/>
      </c>
      <c r="P149">
        <f>IF('Loan Tape (S&amp;P)'!S149="Yes",
    1.15,
    1.00)</f>
        <v/>
      </c>
      <c r="Q149">
        <f>IF('Loan Tape (S&amp;P)'!V149="Yes",
    1.20,
    1.00)</f>
        <v/>
      </c>
      <c r="T149">
        <f>LET(
    payment_method,'Loan Tape (S&amp;P)'!P149,
    occupancy,'Loan Tape (S&amp;P)'!N149,
    maturity_date,'Loan Tape (S&amp;P)'!L149,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0">
      <c r="J150">
        <f>LET(
    lien,'Loan Tape (S&amp;P)'!Q150,
    IF(lien="First",1.00,
        IF(lien="Second",1.50,
            1.70)))</f>
        <v/>
      </c>
      <c r="K150">
        <f>LET(
    purpose,'Loan Tape (S&amp;P)'!R150,
    IF(purpose="Purchase",1.00,
        IF(purpose="Remortgage",1.00,
            1.20)))</f>
        <v/>
      </c>
      <c r="L150">
        <f>LET(
    arrears_months,'Loan Tape (S&amp;P)'!AN150,
    IF(arrears_months=0,1.00,
    IF(arrears_months=1,3.00,
    IF(arrears_months=2,5.00,
    IF(arrears_months=3,8.00,
    IF(arrears_months=4,10.00,
    IF(arrears_months=5,12.00,15.00)))))))</f>
        <v/>
      </c>
      <c r="M150">
        <f>LET(
    seasoning_years,DATEDIF('Loan Tape (S&amp;P)'!K150,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0">
        <f>IF(AND('Loan Tape (S&amp;P)'!U150="Yes",
        'Loan Tape (S&amp;P)'!T150&lt;&gt;"Yes",
        DATEDIF('Loan Tape (S&amp;P)'!K150, TODAY(), "M")&lt;18),
    1.10,
    1.00)</f>
        <v/>
      </c>
      <c r="O150">
        <f>IF('Loan Tape (S&amp;P)'!T150="Yes",
    1.35,
    1.00)</f>
        <v/>
      </c>
      <c r="P150">
        <f>IF('Loan Tape (S&amp;P)'!S150="Yes",
    1.15,
    1.00)</f>
        <v/>
      </c>
      <c r="Q150">
        <f>IF('Loan Tape (S&amp;P)'!V150="Yes",
    1.20,
    1.00)</f>
        <v/>
      </c>
      <c r="T150">
        <f>LET(
    payment_method,'Loan Tape (S&amp;P)'!P150,
    occupancy,'Loan Tape (S&amp;P)'!N150,
    maturity_date,'Loan Tape (S&amp;P)'!L150,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1">
      <c r="J151">
        <f>LET(
    lien,'Loan Tape (S&amp;P)'!Q151,
    IF(lien="First",1.00,
        IF(lien="Second",1.50,
            1.70)))</f>
        <v/>
      </c>
      <c r="K151">
        <f>LET(
    purpose,'Loan Tape (S&amp;P)'!R151,
    IF(purpose="Purchase",1.00,
        IF(purpose="Remortgage",1.00,
            1.20)))</f>
        <v/>
      </c>
      <c r="L151">
        <f>LET(
    arrears_months,'Loan Tape (S&amp;P)'!AN151,
    IF(arrears_months=0,1.00,
    IF(arrears_months=1,3.00,
    IF(arrears_months=2,5.00,
    IF(arrears_months=3,8.00,
    IF(arrears_months=4,10.00,
    IF(arrears_months=5,12.00,15.00)))))))</f>
        <v/>
      </c>
      <c r="M151">
        <f>LET(
    seasoning_years,DATEDIF('Loan Tape (S&amp;P)'!K151,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1">
        <f>IF(AND('Loan Tape (S&amp;P)'!U151="Yes",
        'Loan Tape (S&amp;P)'!T151&lt;&gt;"Yes",
        DATEDIF('Loan Tape (S&amp;P)'!K151, TODAY(), "M")&lt;18),
    1.10,
    1.00)</f>
        <v/>
      </c>
      <c r="O151">
        <f>IF('Loan Tape (S&amp;P)'!T151="Yes",
    1.35,
    1.00)</f>
        <v/>
      </c>
      <c r="P151">
        <f>IF('Loan Tape (S&amp;P)'!S151="Yes",
    1.15,
    1.00)</f>
        <v/>
      </c>
      <c r="Q151">
        <f>IF('Loan Tape (S&amp;P)'!V151="Yes",
    1.20,
    1.00)</f>
        <v/>
      </c>
      <c r="T151">
        <f>LET(
    payment_method,'Loan Tape (S&amp;P)'!P151,
    occupancy,'Loan Tape (S&amp;P)'!N151,
    maturity_date,'Loan Tape (S&amp;P)'!L151,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2">
      <c r="J152">
        <f>LET(
    lien,'Loan Tape (S&amp;P)'!Q152,
    IF(lien="First",1.00,
        IF(lien="Second",1.50,
            1.70)))</f>
        <v/>
      </c>
      <c r="K152">
        <f>LET(
    purpose,'Loan Tape (S&amp;P)'!R152,
    IF(purpose="Purchase",1.00,
        IF(purpose="Remortgage",1.00,
            1.20)))</f>
        <v/>
      </c>
      <c r="L152">
        <f>LET(
    arrears_months,'Loan Tape (S&amp;P)'!AN152,
    IF(arrears_months=0,1.00,
    IF(arrears_months=1,3.00,
    IF(arrears_months=2,5.00,
    IF(arrears_months=3,8.00,
    IF(arrears_months=4,10.00,
    IF(arrears_months=5,12.00,15.00)))))))</f>
        <v/>
      </c>
      <c r="M152">
        <f>LET(
    seasoning_years,DATEDIF('Loan Tape (S&amp;P)'!K152,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2">
        <f>IF(AND('Loan Tape (S&amp;P)'!U152="Yes",
        'Loan Tape (S&amp;P)'!T152&lt;&gt;"Yes",
        DATEDIF('Loan Tape (S&amp;P)'!K152, TODAY(), "M")&lt;18),
    1.10,
    1.00)</f>
        <v/>
      </c>
      <c r="O152">
        <f>IF('Loan Tape (S&amp;P)'!T152="Yes",
    1.35,
    1.00)</f>
        <v/>
      </c>
      <c r="P152">
        <f>IF('Loan Tape (S&amp;P)'!S152="Yes",
    1.15,
    1.00)</f>
        <v/>
      </c>
      <c r="Q152">
        <f>IF('Loan Tape (S&amp;P)'!V152="Yes",
    1.20,
    1.00)</f>
        <v/>
      </c>
      <c r="T152">
        <f>LET(
    payment_method,'Loan Tape (S&amp;P)'!P152,
    occupancy,'Loan Tape (S&amp;P)'!N152,
    maturity_date,'Loan Tape (S&amp;P)'!L152,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3">
      <c r="J153">
        <f>LET(
    lien,'Loan Tape (S&amp;P)'!Q153,
    IF(lien="First",1.00,
        IF(lien="Second",1.50,
            1.70)))</f>
        <v/>
      </c>
      <c r="K153">
        <f>LET(
    purpose,'Loan Tape (S&amp;P)'!R153,
    IF(purpose="Purchase",1.00,
        IF(purpose="Remortgage",1.00,
            1.20)))</f>
        <v/>
      </c>
      <c r="L153">
        <f>LET(
    arrears_months,'Loan Tape (S&amp;P)'!AN153,
    IF(arrears_months=0,1.00,
    IF(arrears_months=1,3.00,
    IF(arrears_months=2,5.00,
    IF(arrears_months=3,8.00,
    IF(arrears_months=4,10.00,
    IF(arrears_months=5,12.00,15.00)))))))</f>
        <v/>
      </c>
      <c r="M153">
        <f>LET(
    seasoning_years,DATEDIF('Loan Tape (S&amp;P)'!K153,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3">
        <f>IF(AND('Loan Tape (S&amp;P)'!U153="Yes",
        'Loan Tape (S&amp;P)'!T153&lt;&gt;"Yes",
        DATEDIF('Loan Tape (S&amp;P)'!K153, TODAY(), "M")&lt;18),
    1.10,
    1.00)</f>
        <v/>
      </c>
      <c r="O153">
        <f>IF('Loan Tape (S&amp;P)'!T153="Yes",
    1.35,
    1.00)</f>
        <v/>
      </c>
      <c r="P153">
        <f>IF('Loan Tape (S&amp;P)'!S153="Yes",
    1.15,
    1.00)</f>
        <v/>
      </c>
      <c r="Q153">
        <f>IF('Loan Tape (S&amp;P)'!V153="Yes",
    1.20,
    1.00)</f>
        <v/>
      </c>
      <c r="T153">
        <f>LET(
    payment_method,'Loan Tape (S&amp;P)'!P153,
    occupancy,'Loan Tape (S&amp;P)'!N153,
    maturity_date,'Loan Tape (S&amp;P)'!L153,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4">
      <c r="J154">
        <f>LET(
    lien,'Loan Tape (S&amp;P)'!Q154,
    IF(lien="First",1.00,
        IF(lien="Second",1.50,
            1.70)))</f>
        <v/>
      </c>
      <c r="K154">
        <f>LET(
    purpose,'Loan Tape (S&amp;P)'!R154,
    IF(purpose="Purchase",1.00,
        IF(purpose="Remortgage",1.00,
            1.20)))</f>
        <v/>
      </c>
      <c r="L154">
        <f>LET(
    arrears_months,'Loan Tape (S&amp;P)'!AN154,
    IF(arrears_months=0,1.00,
    IF(arrears_months=1,3.00,
    IF(arrears_months=2,5.00,
    IF(arrears_months=3,8.00,
    IF(arrears_months=4,10.00,
    IF(arrears_months=5,12.00,15.00)))))))</f>
        <v/>
      </c>
      <c r="M154">
        <f>LET(
    seasoning_years,DATEDIF('Loan Tape (S&amp;P)'!K154,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4">
        <f>IF(AND('Loan Tape (S&amp;P)'!U154="Yes",
        'Loan Tape (S&amp;P)'!T154&lt;&gt;"Yes",
        DATEDIF('Loan Tape (S&amp;P)'!K154, TODAY(), "M")&lt;18),
    1.10,
    1.00)</f>
        <v/>
      </c>
      <c r="O154">
        <f>IF('Loan Tape (S&amp;P)'!T154="Yes",
    1.35,
    1.00)</f>
        <v/>
      </c>
      <c r="P154">
        <f>IF('Loan Tape (S&amp;P)'!S154="Yes",
    1.15,
    1.00)</f>
        <v/>
      </c>
      <c r="Q154">
        <f>IF('Loan Tape (S&amp;P)'!V154="Yes",
    1.20,
    1.00)</f>
        <v/>
      </c>
      <c r="T154">
        <f>LET(
    payment_method,'Loan Tape (S&amp;P)'!P154,
    occupancy,'Loan Tape (S&amp;P)'!N154,
    maturity_date,'Loan Tape (S&amp;P)'!L154,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5">
      <c r="J155">
        <f>LET(
    lien,'Loan Tape (S&amp;P)'!Q155,
    IF(lien="First",1.00,
        IF(lien="Second",1.50,
            1.70)))</f>
        <v/>
      </c>
      <c r="K155">
        <f>LET(
    purpose,'Loan Tape (S&amp;P)'!R155,
    IF(purpose="Purchase",1.00,
        IF(purpose="Remortgage",1.00,
            1.20)))</f>
        <v/>
      </c>
      <c r="L155">
        <f>LET(
    arrears_months,'Loan Tape (S&amp;P)'!AN155,
    IF(arrears_months=0,1.00,
    IF(arrears_months=1,3.00,
    IF(arrears_months=2,5.00,
    IF(arrears_months=3,8.00,
    IF(arrears_months=4,10.00,
    IF(arrears_months=5,12.00,15.00)))))))</f>
        <v/>
      </c>
      <c r="M155">
        <f>LET(
    seasoning_years,DATEDIF('Loan Tape (S&amp;P)'!K155,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5">
        <f>IF(AND('Loan Tape (S&amp;P)'!U155="Yes",
        'Loan Tape (S&amp;P)'!T155&lt;&gt;"Yes",
        DATEDIF('Loan Tape (S&amp;P)'!K155, TODAY(), "M")&lt;18),
    1.10,
    1.00)</f>
        <v/>
      </c>
      <c r="O155">
        <f>IF('Loan Tape (S&amp;P)'!T155="Yes",
    1.35,
    1.00)</f>
        <v/>
      </c>
      <c r="P155">
        <f>IF('Loan Tape (S&amp;P)'!S155="Yes",
    1.15,
    1.00)</f>
        <v/>
      </c>
      <c r="Q155">
        <f>IF('Loan Tape (S&amp;P)'!V155="Yes",
    1.20,
    1.00)</f>
        <v/>
      </c>
      <c r="T155">
        <f>LET(
    payment_method,'Loan Tape (S&amp;P)'!P155,
    occupancy,'Loan Tape (S&amp;P)'!N155,
    maturity_date,'Loan Tape (S&amp;P)'!L155,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6">
      <c r="J156">
        <f>LET(
    lien,'Loan Tape (S&amp;P)'!Q156,
    IF(lien="First",1.00,
        IF(lien="Second",1.50,
            1.70)))</f>
        <v/>
      </c>
      <c r="K156">
        <f>LET(
    purpose,'Loan Tape (S&amp;P)'!R156,
    IF(purpose="Purchase",1.00,
        IF(purpose="Remortgage",1.00,
            1.20)))</f>
        <v/>
      </c>
      <c r="L156">
        <f>LET(
    arrears_months,'Loan Tape (S&amp;P)'!AN156,
    IF(arrears_months=0,1.00,
    IF(arrears_months=1,3.00,
    IF(arrears_months=2,5.00,
    IF(arrears_months=3,8.00,
    IF(arrears_months=4,10.00,
    IF(arrears_months=5,12.00,15.00)))))))</f>
        <v/>
      </c>
      <c r="M156">
        <f>LET(
    seasoning_years,DATEDIF('Loan Tape (S&amp;P)'!K156,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6">
        <f>IF(AND('Loan Tape (S&amp;P)'!U156="Yes",
        'Loan Tape (S&amp;P)'!T156&lt;&gt;"Yes",
        DATEDIF('Loan Tape (S&amp;P)'!K156, TODAY(), "M")&lt;18),
    1.10,
    1.00)</f>
        <v/>
      </c>
      <c r="O156">
        <f>IF('Loan Tape (S&amp;P)'!T156="Yes",
    1.35,
    1.00)</f>
        <v/>
      </c>
      <c r="P156">
        <f>IF('Loan Tape (S&amp;P)'!S156="Yes",
    1.15,
    1.00)</f>
        <v/>
      </c>
      <c r="Q156">
        <f>IF('Loan Tape (S&amp;P)'!V156="Yes",
    1.20,
    1.00)</f>
        <v/>
      </c>
      <c r="T156">
        <f>LET(
    payment_method,'Loan Tape (S&amp;P)'!P156,
    occupancy,'Loan Tape (S&amp;P)'!N156,
    maturity_date,'Loan Tape (S&amp;P)'!L156,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7">
      <c r="J157">
        <f>LET(
    lien,'Loan Tape (S&amp;P)'!Q157,
    IF(lien="First",1.00,
        IF(lien="Second",1.50,
            1.70)))</f>
        <v/>
      </c>
      <c r="K157">
        <f>LET(
    purpose,'Loan Tape (S&amp;P)'!R157,
    IF(purpose="Purchase",1.00,
        IF(purpose="Remortgage",1.00,
            1.20)))</f>
        <v/>
      </c>
      <c r="L157">
        <f>LET(
    arrears_months,'Loan Tape (S&amp;P)'!AN157,
    IF(arrears_months=0,1.00,
    IF(arrears_months=1,3.00,
    IF(arrears_months=2,5.00,
    IF(arrears_months=3,8.00,
    IF(arrears_months=4,10.00,
    IF(arrears_months=5,12.00,15.00)))))))</f>
        <v/>
      </c>
      <c r="M157">
        <f>LET(
    seasoning_years,DATEDIF('Loan Tape (S&amp;P)'!K157,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7">
        <f>IF(AND('Loan Tape (S&amp;P)'!U157="Yes",
        'Loan Tape (S&amp;P)'!T157&lt;&gt;"Yes",
        DATEDIF('Loan Tape (S&amp;P)'!K157, TODAY(), "M")&lt;18),
    1.10,
    1.00)</f>
        <v/>
      </c>
      <c r="O157">
        <f>IF('Loan Tape (S&amp;P)'!T157="Yes",
    1.35,
    1.00)</f>
        <v/>
      </c>
      <c r="P157">
        <f>IF('Loan Tape (S&amp;P)'!S157="Yes",
    1.15,
    1.00)</f>
        <v/>
      </c>
      <c r="Q157">
        <f>IF('Loan Tape (S&amp;P)'!V157="Yes",
    1.20,
    1.00)</f>
        <v/>
      </c>
      <c r="T157">
        <f>LET(
    payment_method,'Loan Tape (S&amp;P)'!P157,
    occupancy,'Loan Tape (S&amp;P)'!N157,
    maturity_date,'Loan Tape (S&amp;P)'!L157,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8">
      <c r="J158">
        <f>LET(
    lien,'Loan Tape (S&amp;P)'!Q158,
    IF(lien="First",1.00,
        IF(lien="Second",1.50,
            1.70)))</f>
        <v/>
      </c>
      <c r="K158">
        <f>LET(
    purpose,'Loan Tape (S&amp;P)'!R158,
    IF(purpose="Purchase",1.00,
        IF(purpose="Remortgage",1.00,
            1.20)))</f>
        <v/>
      </c>
      <c r="L158">
        <f>LET(
    arrears_months,'Loan Tape (S&amp;P)'!AN158,
    IF(arrears_months=0,1.00,
    IF(arrears_months=1,3.00,
    IF(arrears_months=2,5.00,
    IF(arrears_months=3,8.00,
    IF(arrears_months=4,10.00,
    IF(arrears_months=5,12.00,15.00)))))))</f>
        <v/>
      </c>
      <c r="M158">
        <f>LET(
    seasoning_years,DATEDIF('Loan Tape (S&amp;P)'!K158,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8">
        <f>IF(AND('Loan Tape (S&amp;P)'!U158="Yes",
        'Loan Tape (S&amp;P)'!T158&lt;&gt;"Yes",
        DATEDIF('Loan Tape (S&amp;P)'!K158, TODAY(), "M")&lt;18),
    1.10,
    1.00)</f>
        <v/>
      </c>
      <c r="O158">
        <f>IF('Loan Tape (S&amp;P)'!T158="Yes",
    1.35,
    1.00)</f>
        <v/>
      </c>
      <c r="P158">
        <f>IF('Loan Tape (S&amp;P)'!S158="Yes",
    1.15,
    1.00)</f>
        <v/>
      </c>
      <c r="Q158">
        <f>IF('Loan Tape (S&amp;P)'!V158="Yes",
    1.20,
    1.00)</f>
        <v/>
      </c>
      <c r="T158">
        <f>LET(
    payment_method,'Loan Tape (S&amp;P)'!P158,
    occupancy,'Loan Tape (S&amp;P)'!N158,
    maturity_date,'Loan Tape (S&amp;P)'!L158,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9">
      <c r="J159">
        <f>LET(
    lien,'Loan Tape (S&amp;P)'!Q159,
    IF(lien="First",1.00,
        IF(lien="Second",1.50,
            1.70)))</f>
        <v/>
      </c>
      <c r="K159">
        <f>LET(
    purpose,'Loan Tape (S&amp;P)'!R159,
    IF(purpose="Purchase",1.00,
        IF(purpose="Remortgage",1.00,
            1.20)))</f>
        <v/>
      </c>
      <c r="L159">
        <f>LET(
    arrears_months,'Loan Tape (S&amp;P)'!AN159,
    IF(arrears_months=0,1.00,
    IF(arrears_months=1,3.00,
    IF(arrears_months=2,5.00,
    IF(arrears_months=3,8.00,
    IF(arrears_months=4,10.00,
    IF(arrears_months=5,12.00,15.00)))))))</f>
        <v/>
      </c>
      <c r="M159">
        <f>LET(
    seasoning_years,DATEDIF('Loan Tape (S&amp;P)'!K159,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9">
        <f>IF(AND('Loan Tape (S&amp;P)'!U159="Yes",
        'Loan Tape (S&amp;P)'!T159&lt;&gt;"Yes",
        DATEDIF('Loan Tape (S&amp;P)'!K159, TODAY(), "M")&lt;18),
    1.10,
    1.00)</f>
        <v/>
      </c>
      <c r="O159">
        <f>IF('Loan Tape (S&amp;P)'!T159="Yes",
    1.35,
    1.00)</f>
        <v/>
      </c>
      <c r="P159">
        <f>IF('Loan Tape (S&amp;P)'!S159="Yes",
    1.15,
    1.00)</f>
        <v/>
      </c>
      <c r="Q159">
        <f>IF('Loan Tape (S&amp;P)'!V159="Yes",
    1.20,
    1.00)</f>
        <v/>
      </c>
      <c r="T159">
        <f>LET(
    payment_method,'Loan Tape (S&amp;P)'!P159,
    occupancy,'Loan Tape (S&amp;P)'!N159,
    maturity_date,'Loan Tape (S&amp;P)'!L159,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0">
      <c r="J160">
        <f>LET(
    lien,'Loan Tape (S&amp;P)'!Q160,
    IF(lien="First",1.00,
        IF(lien="Second",1.50,
            1.70)))</f>
        <v/>
      </c>
      <c r="K160">
        <f>LET(
    purpose,'Loan Tape (S&amp;P)'!R160,
    IF(purpose="Purchase",1.00,
        IF(purpose="Remortgage",1.00,
            1.20)))</f>
        <v/>
      </c>
      <c r="L160">
        <f>LET(
    arrears_months,'Loan Tape (S&amp;P)'!AN160,
    IF(arrears_months=0,1.00,
    IF(arrears_months=1,3.00,
    IF(arrears_months=2,5.00,
    IF(arrears_months=3,8.00,
    IF(arrears_months=4,10.00,
    IF(arrears_months=5,12.00,15.00)))))))</f>
        <v/>
      </c>
      <c r="M160">
        <f>LET(
    seasoning_years,DATEDIF('Loan Tape (S&amp;P)'!K160,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0">
        <f>IF(AND('Loan Tape (S&amp;P)'!U160="Yes",
        'Loan Tape (S&amp;P)'!T160&lt;&gt;"Yes",
        DATEDIF('Loan Tape (S&amp;P)'!K160, TODAY(), "M")&lt;18),
    1.10,
    1.00)</f>
        <v/>
      </c>
      <c r="O160">
        <f>IF('Loan Tape (S&amp;P)'!T160="Yes",
    1.35,
    1.00)</f>
        <v/>
      </c>
      <c r="P160">
        <f>IF('Loan Tape (S&amp;P)'!S160="Yes",
    1.15,
    1.00)</f>
        <v/>
      </c>
      <c r="Q160">
        <f>IF('Loan Tape (S&amp;P)'!V160="Yes",
    1.20,
    1.00)</f>
        <v/>
      </c>
      <c r="T160">
        <f>LET(
    payment_method,'Loan Tape (S&amp;P)'!P160,
    occupancy,'Loan Tape (S&amp;P)'!N160,
    maturity_date,'Loan Tape (S&amp;P)'!L160,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1">
      <c r="J161">
        <f>LET(
    lien,'Loan Tape (S&amp;P)'!Q161,
    IF(lien="First",1.00,
        IF(lien="Second",1.50,
            1.70)))</f>
        <v/>
      </c>
      <c r="K161">
        <f>LET(
    purpose,'Loan Tape (S&amp;P)'!R161,
    IF(purpose="Purchase",1.00,
        IF(purpose="Remortgage",1.00,
            1.20)))</f>
        <v/>
      </c>
      <c r="L161">
        <f>LET(
    arrears_months,'Loan Tape (S&amp;P)'!AN161,
    IF(arrears_months=0,1.00,
    IF(arrears_months=1,3.00,
    IF(arrears_months=2,5.00,
    IF(arrears_months=3,8.00,
    IF(arrears_months=4,10.00,
    IF(arrears_months=5,12.00,15.00)))))))</f>
        <v/>
      </c>
      <c r="M161">
        <f>LET(
    seasoning_years,DATEDIF('Loan Tape (S&amp;P)'!K161,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1">
        <f>IF(AND('Loan Tape (S&amp;P)'!U161="Yes",
        'Loan Tape (S&amp;P)'!T161&lt;&gt;"Yes",
        DATEDIF('Loan Tape (S&amp;P)'!K161, TODAY(), "M")&lt;18),
    1.10,
    1.00)</f>
        <v/>
      </c>
      <c r="O161">
        <f>IF('Loan Tape (S&amp;P)'!T161="Yes",
    1.35,
    1.00)</f>
        <v/>
      </c>
      <c r="P161">
        <f>IF('Loan Tape (S&amp;P)'!S161="Yes",
    1.15,
    1.00)</f>
        <v/>
      </c>
      <c r="Q161">
        <f>IF('Loan Tape (S&amp;P)'!V161="Yes",
    1.20,
    1.00)</f>
        <v/>
      </c>
      <c r="T161">
        <f>LET(
    payment_method,'Loan Tape (S&amp;P)'!P161,
    occupancy,'Loan Tape (S&amp;P)'!N161,
    maturity_date,'Loan Tape (S&amp;P)'!L161,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2">
      <c r="J162">
        <f>LET(
    lien,'Loan Tape (S&amp;P)'!Q162,
    IF(lien="First",1.00,
        IF(lien="Second",1.50,
            1.70)))</f>
        <v/>
      </c>
      <c r="K162">
        <f>LET(
    purpose,'Loan Tape (S&amp;P)'!R162,
    IF(purpose="Purchase",1.00,
        IF(purpose="Remortgage",1.00,
            1.20)))</f>
        <v/>
      </c>
      <c r="L162">
        <f>LET(
    arrears_months,'Loan Tape (S&amp;P)'!AN162,
    IF(arrears_months=0,1.00,
    IF(arrears_months=1,3.00,
    IF(arrears_months=2,5.00,
    IF(arrears_months=3,8.00,
    IF(arrears_months=4,10.00,
    IF(arrears_months=5,12.00,15.00)))))))</f>
        <v/>
      </c>
      <c r="M162">
        <f>LET(
    seasoning_years,DATEDIF('Loan Tape (S&amp;P)'!K162,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2">
        <f>IF(AND('Loan Tape (S&amp;P)'!U162="Yes",
        'Loan Tape (S&amp;P)'!T162&lt;&gt;"Yes",
        DATEDIF('Loan Tape (S&amp;P)'!K162, TODAY(), "M")&lt;18),
    1.10,
    1.00)</f>
        <v/>
      </c>
      <c r="O162">
        <f>IF('Loan Tape (S&amp;P)'!T162="Yes",
    1.35,
    1.00)</f>
        <v/>
      </c>
      <c r="P162">
        <f>IF('Loan Tape (S&amp;P)'!S162="Yes",
    1.15,
    1.00)</f>
        <v/>
      </c>
      <c r="Q162">
        <f>IF('Loan Tape (S&amp;P)'!V162="Yes",
    1.20,
    1.00)</f>
        <v/>
      </c>
      <c r="T162">
        <f>LET(
    payment_method,'Loan Tape (S&amp;P)'!P162,
    occupancy,'Loan Tape (S&amp;P)'!N162,
    maturity_date,'Loan Tape (S&amp;P)'!L162,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3">
      <c r="J163">
        <f>LET(
    lien,'Loan Tape (S&amp;P)'!Q163,
    IF(lien="First",1.00,
        IF(lien="Second",1.50,
            1.70)))</f>
        <v/>
      </c>
      <c r="K163">
        <f>LET(
    purpose,'Loan Tape (S&amp;P)'!R163,
    IF(purpose="Purchase",1.00,
        IF(purpose="Remortgage",1.00,
            1.20)))</f>
        <v/>
      </c>
      <c r="L163">
        <f>LET(
    arrears_months,'Loan Tape (S&amp;P)'!AN163,
    IF(arrears_months=0,1.00,
    IF(arrears_months=1,3.00,
    IF(arrears_months=2,5.00,
    IF(arrears_months=3,8.00,
    IF(arrears_months=4,10.00,
    IF(arrears_months=5,12.00,15.00)))))))</f>
        <v/>
      </c>
      <c r="M163">
        <f>LET(
    seasoning_years,DATEDIF('Loan Tape (S&amp;P)'!K163,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3">
        <f>IF(AND('Loan Tape (S&amp;P)'!U163="Yes",
        'Loan Tape (S&amp;P)'!T163&lt;&gt;"Yes",
        DATEDIF('Loan Tape (S&amp;P)'!K163, TODAY(), "M")&lt;18),
    1.10,
    1.00)</f>
        <v/>
      </c>
      <c r="O163">
        <f>IF('Loan Tape (S&amp;P)'!T163="Yes",
    1.35,
    1.00)</f>
        <v/>
      </c>
      <c r="P163">
        <f>IF('Loan Tape (S&amp;P)'!S163="Yes",
    1.15,
    1.00)</f>
        <v/>
      </c>
      <c r="Q163">
        <f>IF('Loan Tape (S&amp;P)'!V163="Yes",
    1.20,
    1.00)</f>
        <v/>
      </c>
      <c r="T163">
        <f>LET(
    payment_method,'Loan Tape (S&amp;P)'!P163,
    occupancy,'Loan Tape (S&amp;P)'!N163,
    maturity_date,'Loan Tape (S&amp;P)'!L163,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4">
      <c r="J164">
        <f>LET(
    lien,'Loan Tape (S&amp;P)'!Q164,
    IF(lien="First",1.00,
        IF(lien="Second",1.50,
            1.70)))</f>
        <v/>
      </c>
      <c r="K164">
        <f>LET(
    purpose,'Loan Tape (S&amp;P)'!R164,
    IF(purpose="Purchase",1.00,
        IF(purpose="Remortgage",1.00,
            1.20)))</f>
        <v/>
      </c>
      <c r="L164">
        <f>LET(
    arrears_months,'Loan Tape (S&amp;P)'!AN164,
    IF(arrears_months=0,1.00,
    IF(arrears_months=1,3.00,
    IF(arrears_months=2,5.00,
    IF(arrears_months=3,8.00,
    IF(arrears_months=4,10.00,
    IF(arrears_months=5,12.00,15.00)))))))</f>
        <v/>
      </c>
      <c r="M164">
        <f>LET(
    seasoning_years,DATEDIF('Loan Tape (S&amp;P)'!K164,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4">
        <f>IF(AND('Loan Tape (S&amp;P)'!U164="Yes",
        'Loan Tape (S&amp;P)'!T164&lt;&gt;"Yes",
        DATEDIF('Loan Tape (S&amp;P)'!K164, TODAY(), "M")&lt;18),
    1.10,
    1.00)</f>
        <v/>
      </c>
      <c r="O164">
        <f>IF('Loan Tape (S&amp;P)'!T164="Yes",
    1.35,
    1.00)</f>
        <v/>
      </c>
      <c r="P164">
        <f>IF('Loan Tape (S&amp;P)'!S164="Yes",
    1.15,
    1.00)</f>
        <v/>
      </c>
      <c r="Q164">
        <f>IF('Loan Tape (S&amp;P)'!V164="Yes",
    1.20,
    1.00)</f>
        <v/>
      </c>
      <c r="T164">
        <f>LET(
    payment_method,'Loan Tape (S&amp;P)'!P164,
    occupancy,'Loan Tape (S&amp;P)'!N164,
    maturity_date,'Loan Tape (S&amp;P)'!L164,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5">
      <c r="J165">
        <f>LET(
    lien,'Loan Tape (S&amp;P)'!Q165,
    IF(lien="First",1.00,
        IF(lien="Second",1.50,
            1.70)))</f>
        <v/>
      </c>
      <c r="K165">
        <f>LET(
    purpose,'Loan Tape (S&amp;P)'!R165,
    IF(purpose="Purchase",1.00,
        IF(purpose="Remortgage",1.00,
            1.20)))</f>
        <v/>
      </c>
      <c r="L165">
        <f>LET(
    arrears_months,'Loan Tape (S&amp;P)'!AN165,
    IF(arrears_months=0,1.00,
    IF(arrears_months=1,3.00,
    IF(arrears_months=2,5.00,
    IF(arrears_months=3,8.00,
    IF(arrears_months=4,10.00,
    IF(arrears_months=5,12.00,15.00)))))))</f>
        <v/>
      </c>
      <c r="M165">
        <f>LET(
    seasoning_years,DATEDIF('Loan Tape (S&amp;P)'!K165,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5">
        <f>IF(AND('Loan Tape (S&amp;P)'!U165="Yes",
        'Loan Tape (S&amp;P)'!T165&lt;&gt;"Yes",
        DATEDIF('Loan Tape (S&amp;P)'!K165, TODAY(), "M")&lt;18),
    1.10,
    1.00)</f>
        <v/>
      </c>
      <c r="O165">
        <f>IF('Loan Tape (S&amp;P)'!T165="Yes",
    1.35,
    1.00)</f>
        <v/>
      </c>
      <c r="P165">
        <f>IF('Loan Tape (S&amp;P)'!S165="Yes",
    1.15,
    1.00)</f>
        <v/>
      </c>
      <c r="Q165">
        <f>IF('Loan Tape (S&amp;P)'!V165="Yes",
    1.20,
    1.00)</f>
        <v/>
      </c>
      <c r="T165">
        <f>LET(
    payment_method,'Loan Tape (S&amp;P)'!P165,
    occupancy,'Loan Tape (S&amp;P)'!N165,
    maturity_date,'Loan Tape (S&amp;P)'!L165,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6">
      <c r="J166">
        <f>LET(
    lien,'Loan Tape (S&amp;P)'!Q166,
    IF(lien="First",1.00,
        IF(lien="Second",1.50,
            1.70)))</f>
        <v/>
      </c>
      <c r="K166">
        <f>LET(
    purpose,'Loan Tape (S&amp;P)'!R166,
    IF(purpose="Purchase",1.00,
        IF(purpose="Remortgage",1.00,
            1.20)))</f>
        <v/>
      </c>
      <c r="L166">
        <f>LET(
    arrears_months,'Loan Tape (S&amp;P)'!AN166,
    IF(arrears_months=0,1.00,
    IF(arrears_months=1,3.00,
    IF(arrears_months=2,5.00,
    IF(arrears_months=3,8.00,
    IF(arrears_months=4,10.00,
    IF(arrears_months=5,12.00,15.00)))))))</f>
        <v/>
      </c>
      <c r="M166">
        <f>LET(
    seasoning_years,DATEDIF('Loan Tape (S&amp;P)'!K166,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6">
        <f>IF(AND('Loan Tape (S&amp;P)'!U166="Yes",
        'Loan Tape (S&amp;P)'!T166&lt;&gt;"Yes",
        DATEDIF('Loan Tape (S&amp;P)'!K166, TODAY(), "M")&lt;18),
    1.10,
    1.00)</f>
        <v/>
      </c>
      <c r="O166">
        <f>IF('Loan Tape (S&amp;P)'!T166="Yes",
    1.35,
    1.00)</f>
        <v/>
      </c>
      <c r="P166">
        <f>IF('Loan Tape (S&amp;P)'!S166="Yes",
    1.15,
    1.00)</f>
        <v/>
      </c>
      <c r="Q166">
        <f>IF('Loan Tape (S&amp;P)'!V166="Yes",
    1.20,
    1.00)</f>
        <v/>
      </c>
      <c r="T166">
        <f>LET(
    payment_method,'Loan Tape (S&amp;P)'!P166,
    occupancy,'Loan Tape (S&amp;P)'!N166,
    maturity_date,'Loan Tape (S&amp;P)'!L166,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7">
      <c r="J167">
        <f>LET(
    lien,'Loan Tape (S&amp;P)'!Q167,
    IF(lien="First",1.00,
        IF(lien="Second",1.50,
            1.70)))</f>
        <v/>
      </c>
      <c r="K167">
        <f>LET(
    purpose,'Loan Tape (S&amp;P)'!R167,
    IF(purpose="Purchase",1.00,
        IF(purpose="Remortgage",1.00,
            1.20)))</f>
        <v/>
      </c>
      <c r="L167">
        <f>LET(
    arrears_months,'Loan Tape (S&amp;P)'!AN167,
    IF(arrears_months=0,1.00,
    IF(arrears_months=1,3.00,
    IF(arrears_months=2,5.00,
    IF(arrears_months=3,8.00,
    IF(arrears_months=4,10.00,
    IF(arrears_months=5,12.00,15.00)))))))</f>
        <v/>
      </c>
      <c r="M167">
        <f>LET(
    seasoning_years,DATEDIF('Loan Tape (S&amp;P)'!K167,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7">
        <f>IF(AND('Loan Tape (S&amp;P)'!U167="Yes",
        'Loan Tape (S&amp;P)'!T167&lt;&gt;"Yes",
        DATEDIF('Loan Tape (S&amp;P)'!K167, TODAY(), "M")&lt;18),
    1.10,
    1.00)</f>
        <v/>
      </c>
      <c r="O167">
        <f>IF('Loan Tape (S&amp;P)'!T167="Yes",
    1.35,
    1.00)</f>
        <v/>
      </c>
      <c r="P167">
        <f>IF('Loan Tape (S&amp;P)'!S167="Yes",
    1.15,
    1.00)</f>
        <v/>
      </c>
      <c r="Q167">
        <f>IF('Loan Tape (S&amp;P)'!V167="Yes",
    1.20,
    1.00)</f>
        <v/>
      </c>
      <c r="T167">
        <f>LET(
    payment_method,'Loan Tape (S&amp;P)'!P167,
    occupancy,'Loan Tape (S&amp;P)'!N167,
    maturity_date,'Loan Tape (S&amp;P)'!L167,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8">
      <c r="J168">
        <f>LET(
    lien,'Loan Tape (S&amp;P)'!Q168,
    IF(lien="First",1.00,
        IF(lien="Second",1.50,
            1.70)))</f>
        <v/>
      </c>
      <c r="K168">
        <f>LET(
    purpose,'Loan Tape (S&amp;P)'!R168,
    IF(purpose="Purchase",1.00,
        IF(purpose="Remortgage",1.00,
            1.20)))</f>
        <v/>
      </c>
      <c r="L168">
        <f>LET(
    arrears_months,'Loan Tape (S&amp;P)'!AN168,
    IF(arrears_months=0,1.00,
    IF(arrears_months=1,3.00,
    IF(arrears_months=2,5.00,
    IF(arrears_months=3,8.00,
    IF(arrears_months=4,10.00,
    IF(arrears_months=5,12.00,15.00)))))))</f>
        <v/>
      </c>
      <c r="M168">
        <f>LET(
    seasoning_years,DATEDIF('Loan Tape (S&amp;P)'!K168,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8">
        <f>IF(AND('Loan Tape (S&amp;P)'!U168="Yes",
        'Loan Tape (S&amp;P)'!T168&lt;&gt;"Yes",
        DATEDIF('Loan Tape (S&amp;P)'!K168, TODAY(), "M")&lt;18),
    1.10,
    1.00)</f>
        <v/>
      </c>
      <c r="O168">
        <f>IF('Loan Tape (S&amp;P)'!T168="Yes",
    1.35,
    1.00)</f>
        <v/>
      </c>
      <c r="P168">
        <f>IF('Loan Tape (S&amp;P)'!S168="Yes",
    1.15,
    1.00)</f>
        <v/>
      </c>
      <c r="Q168">
        <f>IF('Loan Tape (S&amp;P)'!V168="Yes",
    1.20,
    1.00)</f>
        <v/>
      </c>
      <c r="T168">
        <f>LET(
    payment_method,'Loan Tape (S&amp;P)'!P168,
    occupancy,'Loan Tape (S&amp;P)'!N168,
    maturity_date,'Loan Tape (S&amp;P)'!L168,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9">
      <c r="J169">
        <f>LET(
    lien,'Loan Tape (S&amp;P)'!Q169,
    IF(lien="First",1.00,
        IF(lien="Second",1.50,
            1.70)))</f>
        <v/>
      </c>
      <c r="K169">
        <f>LET(
    purpose,'Loan Tape (S&amp;P)'!R169,
    IF(purpose="Purchase",1.00,
        IF(purpose="Remortgage",1.00,
            1.20)))</f>
        <v/>
      </c>
      <c r="L169">
        <f>LET(
    arrears_months,'Loan Tape (S&amp;P)'!AN169,
    IF(arrears_months=0,1.00,
    IF(arrears_months=1,3.00,
    IF(arrears_months=2,5.00,
    IF(arrears_months=3,8.00,
    IF(arrears_months=4,10.00,
    IF(arrears_months=5,12.00,15.00)))))))</f>
        <v/>
      </c>
      <c r="M169">
        <f>LET(
    seasoning_years,DATEDIF('Loan Tape (S&amp;P)'!K169,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9">
        <f>IF(AND('Loan Tape (S&amp;P)'!U169="Yes",
        'Loan Tape (S&amp;P)'!T169&lt;&gt;"Yes",
        DATEDIF('Loan Tape (S&amp;P)'!K169, TODAY(), "M")&lt;18),
    1.10,
    1.00)</f>
        <v/>
      </c>
      <c r="O169">
        <f>IF('Loan Tape (S&amp;P)'!T169="Yes",
    1.35,
    1.00)</f>
        <v/>
      </c>
      <c r="P169">
        <f>IF('Loan Tape (S&amp;P)'!S169="Yes",
    1.15,
    1.00)</f>
        <v/>
      </c>
      <c r="Q169">
        <f>IF('Loan Tape (S&amp;P)'!V169="Yes",
    1.20,
    1.00)</f>
        <v/>
      </c>
      <c r="T169">
        <f>LET(
    payment_method,'Loan Tape (S&amp;P)'!P169,
    occupancy,'Loan Tape (S&amp;P)'!N169,
    maturity_date,'Loan Tape (S&amp;P)'!L169,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0">
      <c r="J170">
        <f>LET(
    lien,'Loan Tape (S&amp;P)'!Q170,
    IF(lien="First",1.00,
        IF(lien="Second",1.50,
            1.70)))</f>
        <v/>
      </c>
      <c r="K170">
        <f>LET(
    purpose,'Loan Tape (S&amp;P)'!R170,
    IF(purpose="Purchase",1.00,
        IF(purpose="Remortgage",1.00,
            1.20)))</f>
        <v/>
      </c>
      <c r="L170">
        <f>LET(
    arrears_months,'Loan Tape (S&amp;P)'!AN170,
    IF(arrears_months=0,1.00,
    IF(arrears_months=1,3.00,
    IF(arrears_months=2,5.00,
    IF(arrears_months=3,8.00,
    IF(arrears_months=4,10.00,
    IF(arrears_months=5,12.00,15.00)))))))</f>
        <v/>
      </c>
      <c r="M170">
        <f>LET(
    seasoning_years,DATEDIF('Loan Tape (S&amp;P)'!K170,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0">
        <f>IF(AND('Loan Tape (S&amp;P)'!U170="Yes",
        'Loan Tape (S&amp;P)'!T170&lt;&gt;"Yes",
        DATEDIF('Loan Tape (S&amp;P)'!K170, TODAY(), "M")&lt;18),
    1.10,
    1.00)</f>
        <v/>
      </c>
      <c r="O170">
        <f>IF('Loan Tape (S&amp;P)'!T170="Yes",
    1.35,
    1.00)</f>
        <v/>
      </c>
      <c r="P170">
        <f>IF('Loan Tape (S&amp;P)'!S170="Yes",
    1.15,
    1.00)</f>
        <v/>
      </c>
      <c r="Q170">
        <f>IF('Loan Tape (S&amp;P)'!V170="Yes",
    1.20,
    1.00)</f>
        <v/>
      </c>
      <c r="T170">
        <f>LET(
    payment_method,'Loan Tape (S&amp;P)'!P170,
    occupancy,'Loan Tape (S&amp;P)'!N170,
    maturity_date,'Loan Tape (S&amp;P)'!L170,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1">
      <c r="J171">
        <f>LET(
    lien,'Loan Tape (S&amp;P)'!Q171,
    IF(lien="First",1.00,
        IF(lien="Second",1.50,
            1.70)))</f>
        <v/>
      </c>
      <c r="K171">
        <f>LET(
    purpose,'Loan Tape (S&amp;P)'!R171,
    IF(purpose="Purchase",1.00,
        IF(purpose="Remortgage",1.00,
            1.20)))</f>
        <v/>
      </c>
      <c r="L171">
        <f>LET(
    arrears_months,'Loan Tape (S&amp;P)'!AN171,
    IF(arrears_months=0,1.00,
    IF(arrears_months=1,3.00,
    IF(arrears_months=2,5.00,
    IF(arrears_months=3,8.00,
    IF(arrears_months=4,10.00,
    IF(arrears_months=5,12.00,15.00)))))))</f>
        <v/>
      </c>
      <c r="M171">
        <f>LET(
    seasoning_years,DATEDIF('Loan Tape (S&amp;P)'!K171,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1">
        <f>IF(AND('Loan Tape (S&amp;P)'!U171="Yes",
        'Loan Tape (S&amp;P)'!T171&lt;&gt;"Yes",
        DATEDIF('Loan Tape (S&amp;P)'!K171, TODAY(), "M")&lt;18),
    1.10,
    1.00)</f>
        <v/>
      </c>
      <c r="O171">
        <f>IF('Loan Tape (S&amp;P)'!T171="Yes",
    1.35,
    1.00)</f>
        <v/>
      </c>
      <c r="P171">
        <f>IF('Loan Tape (S&amp;P)'!S171="Yes",
    1.15,
    1.00)</f>
        <v/>
      </c>
      <c r="Q171">
        <f>IF('Loan Tape (S&amp;P)'!V171="Yes",
    1.20,
    1.00)</f>
        <v/>
      </c>
      <c r="T171">
        <f>LET(
    payment_method,'Loan Tape (S&amp;P)'!P171,
    occupancy,'Loan Tape (S&amp;P)'!N171,
    maturity_date,'Loan Tape (S&amp;P)'!L171,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2">
      <c r="J172">
        <f>LET(
    lien,'Loan Tape (S&amp;P)'!Q172,
    IF(lien="First",1.00,
        IF(lien="Second",1.50,
            1.70)))</f>
        <v/>
      </c>
      <c r="K172">
        <f>LET(
    purpose,'Loan Tape (S&amp;P)'!R172,
    IF(purpose="Purchase",1.00,
        IF(purpose="Remortgage",1.00,
            1.20)))</f>
        <v/>
      </c>
      <c r="L172">
        <f>LET(
    arrears_months,'Loan Tape (S&amp;P)'!AN172,
    IF(arrears_months=0,1.00,
    IF(arrears_months=1,3.00,
    IF(arrears_months=2,5.00,
    IF(arrears_months=3,8.00,
    IF(arrears_months=4,10.00,
    IF(arrears_months=5,12.00,15.00)))))))</f>
        <v/>
      </c>
      <c r="M172">
        <f>LET(
    seasoning_years,DATEDIF('Loan Tape (S&amp;P)'!K172,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2">
        <f>IF(AND('Loan Tape (S&amp;P)'!U172="Yes",
        'Loan Tape (S&amp;P)'!T172&lt;&gt;"Yes",
        DATEDIF('Loan Tape (S&amp;P)'!K172, TODAY(), "M")&lt;18),
    1.10,
    1.00)</f>
        <v/>
      </c>
      <c r="O172">
        <f>IF('Loan Tape (S&amp;P)'!T172="Yes",
    1.35,
    1.00)</f>
        <v/>
      </c>
      <c r="P172">
        <f>IF('Loan Tape (S&amp;P)'!S172="Yes",
    1.15,
    1.00)</f>
        <v/>
      </c>
      <c r="Q172">
        <f>IF('Loan Tape (S&amp;P)'!V172="Yes",
    1.20,
    1.00)</f>
        <v/>
      </c>
      <c r="T172">
        <f>LET(
    payment_method,'Loan Tape (S&amp;P)'!P172,
    occupancy,'Loan Tape (S&amp;P)'!N172,
    maturity_date,'Loan Tape (S&amp;P)'!L172,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3">
      <c r="J173">
        <f>LET(
    lien,'Loan Tape (S&amp;P)'!Q173,
    IF(lien="First",1.00,
        IF(lien="Second",1.50,
            1.70)))</f>
        <v/>
      </c>
      <c r="K173">
        <f>LET(
    purpose,'Loan Tape (S&amp;P)'!R173,
    IF(purpose="Purchase",1.00,
        IF(purpose="Remortgage",1.00,
            1.20)))</f>
        <v/>
      </c>
      <c r="L173">
        <f>LET(
    arrears_months,'Loan Tape (S&amp;P)'!AN173,
    IF(arrears_months=0,1.00,
    IF(arrears_months=1,3.00,
    IF(arrears_months=2,5.00,
    IF(arrears_months=3,8.00,
    IF(arrears_months=4,10.00,
    IF(arrears_months=5,12.00,15.00)))))))</f>
        <v/>
      </c>
      <c r="M173">
        <f>LET(
    seasoning_years,DATEDIF('Loan Tape (S&amp;P)'!K173,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3">
        <f>IF(AND('Loan Tape (S&amp;P)'!U173="Yes",
        'Loan Tape (S&amp;P)'!T173&lt;&gt;"Yes",
        DATEDIF('Loan Tape (S&amp;P)'!K173, TODAY(), "M")&lt;18),
    1.10,
    1.00)</f>
        <v/>
      </c>
      <c r="O173">
        <f>IF('Loan Tape (S&amp;P)'!T173="Yes",
    1.35,
    1.00)</f>
        <v/>
      </c>
      <c r="P173">
        <f>IF('Loan Tape (S&amp;P)'!S173="Yes",
    1.15,
    1.00)</f>
        <v/>
      </c>
      <c r="Q173">
        <f>IF('Loan Tape (S&amp;P)'!V173="Yes",
    1.20,
    1.00)</f>
        <v/>
      </c>
      <c r="T173">
        <f>LET(
    payment_method,'Loan Tape (S&amp;P)'!P173,
    occupancy,'Loan Tape (S&amp;P)'!N173,
    maturity_date,'Loan Tape (S&amp;P)'!L173,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4">
      <c r="J174">
        <f>LET(
    lien,'Loan Tape (S&amp;P)'!Q174,
    IF(lien="First",1.00,
        IF(lien="Second",1.50,
            1.70)))</f>
        <v/>
      </c>
      <c r="K174">
        <f>LET(
    purpose,'Loan Tape (S&amp;P)'!R174,
    IF(purpose="Purchase",1.00,
        IF(purpose="Remortgage",1.00,
            1.20)))</f>
        <v/>
      </c>
      <c r="L174">
        <f>LET(
    arrears_months,'Loan Tape (S&amp;P)'!AN174,
    IF(arrears_months=0,1.00,
    IF(arrears_months=1,3.00,
    IF(arrears_months=2,5.00,
    IF(arrears_months=3,8.00,
    IF(arrears_months=4,10.00,
    IF(arrears_months=5,12.00,15.00)))))))</f>
        <v/>
      </c>
      <c r="M174">
        <f>LET(
    seasoning_years,DATEDIF('Loan Tape (S&amp;P)'!K174,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4">
        <f>IF(AND('Loan Tape (S&amp;P)'!U174="Yes",
        'Loan Tape (S&amp;P)'!T174&lt;&gt;"Yes",
        DATEDIF('Loan Tape (S&amp;P)'!K174, TODAY(), "M")&lt;18),
    1.10,
    1.00)</f>
        <v/>
      </c>
      <c r="O174">
        <f>IF('Loan Tape (S&amp;P)'!T174="Yes",
    1.35,
    1.00)</f>
        <v/>
      </c>
      <c r="P174">
        <f>IF('Loan Tape (S&amp;P)'!S174="Yes",
    1.15,
    1.00)</f>
        <v/>
      </c>
      <c r="Q174">
        <f>IF('Loan Tape (S&amp;P)'!V174="Yes",
    1.20,
    1.00)</f>
        <v/>
      </c>
      <c r="T174">
        <f>LET(
    payment_method,'Loan Tape (S&amp;P)'!P174,
    occupancy,'Loan Tape (S&amp;P)'!N174,
    maturity_date,'Loan Tape (S&amp;P)'!L174,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5">
      <c r="J175">
        <f>LET(
    lien,'Loan Tape (S&amp;P)'!Q175,
    IF(lien="First",1.00,
        IF(lien="Second",1.50,
            1.70)))</f>
        <v/>
      </c>
      <c r="K175">
        <f>LET(
    purpose,'Loan Tape (S&amp;P)'!R175,
    IF(purpose="Purchase",1.00,
        IF(purpose="Remortgage",1.00,
            1.20)))</f>
        <v/>
      </c>
      <c r="L175">
        <f>LET(
    arrears_months,'Loan Tape (S&amp;P)'!AN175,
    IF(arrears_months=0,1.00,
    IF(arrears_months=1,3.00,
    IF(arrears_months=2,5.00,
    IF(arrears_months=3,8.00,
    IF(arrears_months=4,10.00,
    IF(arrears_months=5,12.00,15.00)))))))</f>
        <v/>
      </c>
      <c r="M175">
        <f>LET(
    seasoning_years,DATEDIF('Loan Tape (S&amp;P)'!K175,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5">
        <f>IF(AND('Loan Tape (S&amp;P)'!U175="Yes",
        'Loan Tape (S&amp;P)'!T175&lt;&gt;"Yes",
        DATEDIF('Loan Tape (S&amp;P)'!K175, TODAY(), "M")&lt;18),
    1.10,
    1.00)</f>
        <v/>
      </c>
      <c r="O175">
        <f>IF('Loan Tape (S&amp;P)'!T175="Yes",
    1.35,
    1.00)</f>
        <v/>
      </c>
      <c r="P175">
        <f>IF('Loan Tape (S&amp;P)'!S175="Yes",
    1.15,
    1.00)</f>
        <v/>
      </c>
      <c r="Q175">
        <f>IF('Loan Tape (S&amp;P)'!V175="Yes",
    1.20,
    1.00)</f>
        <v/>
      </c>
      <c r="T175">
        <f>LET(
    payment_method,'Loan Tape (S&amp;P)'!P175,
    occupancy,'Loan Tape (S&amp;P)'!N175,
    maturity_date,'Loan Tape (S&amp;P)'!L175,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6">
      <c r="J176">
        <f>LET(
    lien,'Loan Tape (S&amp;P)'!Q176,
    IF(lien="First",1.00,
        IF(lien="Second",1.50,
            1.70)))</f>
        <v/>
      </c>
      <c r="K176">
        <f>LET(
    purpose,'Loan Tape (S&amp;P)'!R176,
    IF(purpose="Purchase",1.00,
        IF(purpose="Remortgage",1.00,
            1.20)))</f>
        <v/>
      </c>
      <c r="L176">
        <f>LET(
    arrears_months,'Loan Tape (S&amp;P)'!AN176,
    IF(arrears_months=0,1.00,
    IF(arrears_months=1,3.00,
    IF(arrears_months=2,5.00,
    IF(arrears_months=3,8.00,
    IF(arrears_months=4,10.00,
    IF(arrears_months=5,12.00,15.00)))))))</f>
        <v/>
      </c>
      <c r="M176">
        <f>LET(
    seasoning_years,DATEDIF('Loan Tape (S&amp;P)'!K176,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6">
        <f>IF(AND('Loan Tape (S&amp;P)'!U176="Yes",
        'Loan Tape (S&amp;P)'!T176&lt;&gt;"Yes",
        DATEDIF('Loan Tape (S&amp;P)'!K176, TODAY(), "M")&lt;18),
    1.10,
    1.00)</f>
        <v/>
      </c>
      <c r="O176">
        <f>IF('Loan Tape (S&amp;P)'!T176="Yes",
    1.35,
    1.00)</f>
        <v/>
      </c>
      <c r="P176">
        <f>IF('Loan Tape (S&amp;P)'!S176="Yes",
    1.15,
    1.00)</f>
        <v/>
      </c>
      <c r="Q176">
        <f>IF('Loan Tape (S&amp;P)'!V176="Yes",
    1.20,
    1.00)</f>
        <v/>
      </c>
      <c r="T176">
        <f>LET(
    payment_method,'Loan Tape (S&amp;P)'!P176,
    occupancy,'Loan Tape (S&amp;P)'!N176,
    maturity_date,'Loan Tape (S&amp;P)'!L176,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7">
      <c r="J177">
        <f>LET(
    lien,'Loan Tape (S&amp;P)'!Q177,
    IF(lien="First",1.00,
        IF(lien="Second",1.50,
            1.70)))</f>
        <v/>
      </c>
      <c r="K177">
        <f>LET(
    purpose,'Loan Tape (S&amp;P)'!R177,
    IF(purpose="Purchase",1.00,
        IF(purpose="Remortgage",1.00,
            1.20)))</f>
        <v/>
      </c>
      <c r="L177">
        <f>LET(
    arrears_months,'Loan Tape (S&amp;P)'!AN177,
    IF(arrears_months=0,1.00,
    IF(arrears_months=1,3.00,
    IF(arrears_months=2,5.00,
    IF(arrears_months=3,8.00,
    IF(arrears_months=4,10.00,
    IF(arrears_months=5,12.00,15.00)))))))</f>
        <v/>
      </c>
      <c r="M177">
        <f>LET(
    seasoning_years,DATEDIF('Loan Tape (S&amp;P)'!K177,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7">
        <f>IF(AND('Loan Tape (S&amp;P)'!U177="Yes",
        'Loan Tape (S&amp;P)'!T177&lt;&gt;"Yes",
        DATEDIF('Loan Tape (S&amp;P)'!K177, TODAY(), "M")&lt;18),
    1.10,
    1.00)</f>
        <v/>
      </c>
      <c r="O177">
        <f>IF('Loan Tape (S&amp;P)'!T177="Yes",
    1.35,
    1.00)</f>
        <v/>
      </c>
      <c r="P177">
        <f>IF('Loan Tape (S&amp;P)'!S177="Yes",
    1.15,
    1.00)</f>
        <v/>
      </c>
      <c r="Q177">
        <f>IF('Loan Tape (S&amp;P)'!V177="Yes",
    1.20,
    1.00)</f>
        <v/>
      </c>
      <c r="T177">
        <f>LET(
    payment_method,'Loan Tape (S&amp;P)'!P177,
    occupancy,'Loan Tape (S&amp;P)'!N177,
    maturity_date,'Loan Tape (S&amp;P)'!L177,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8">
      <c r="J178">
        <f>LET(
    lien,'Loan Tape (S&amp;P)'!Q178,
    IF(lien="First",1.00,
        IF(lien="Second",1.50,
            1.70)))</f>
        <v/>
      </c>
      <c r="K178">
        <f>LET(
    purpose,'Loan Tape (S&amp;P)'!R178,
    IF(purpose="Purchase",1.00,
        IF(purpose="Remortgage",1.00,
            1.20)))</f>
        <v/>
      </c>
      <c r="L178">
        <f>LET(
    arrears_months,'Loan Tape (S&amp;P)'!AN178,
    IF(arrears_months=0,1.00,
    IF(arrears_months=1,3.00,
    IF(arrears_months=2,5.00,
    IF(arrears_months=3,8.00,
    IF(arrears_months=4,10.00,
    IF(arrears_months=5,12.00,15.00)))))))</f>
        <v/>
      </c>
      <c r="M178">
        <f>LET(
    seasoning_years,DATEDIF('Loan Tape (S&amp;P)'!K178,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8">
        <f>IF(AND('Loan Tape (S&amp;P)'!U178="Yes",
        'Loan Tape (S&amp;P)'!T178&lt;&gt;"Yes",
        DATEDIF('Loan Tape (S&amp;P)'!K178, TODAY(), "M")&lt;18),
    1.10,
    1.00)</f>
        <v/>
      </c>
      <c r="O178">
        <f>IF('Loan Tape (S&amp;P)'!T178="Yes",
    1.35,
    1.00)</f>
        <v/>
      </c>
      <c r="P178">
        <f>IF('Loan Tape (S&amp;P)'!S178="Yes",
    1.15,
    1.00)</f>
        <v/>
      </c>
      <c r="Q178">
        <f>IF('Loan Tape (S&amp;P)'!V178="Yes",
    1.20,
    1.00)</f>
        <v/>
      </c>
      <c r="T178">
        <f>LET(
    payment_method,'Loan Tape (S&amp;P)'!P178,
    occupancy,'Loan Tape (S&amp;P)'!N178,
    maturity_date,'Loan Tape (S&amp;P)'!L178,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9">
      <c r="J179">
        <f>LET(
    lien,'Loan Tape (S&amp;P)'!Q179,
    IF(lien="First",1.00,
        IF(lien="Second",1.50,
            1.70)))</f>
        <v/>
      </c>
      <c r="K179">
        <f>LET(
    purpose,'Loan Tape (S&amp;P)'!R179,
    IF(purpose="Purchase",1.00,
        IF(purpose="Remortgage",1.00,
            1.20)))</f>
        <v/>
      </c>
      <c r="L179">
        <f>LET(
    arrears_months,'Loan Tape (S&amp;P)'!AN179,
    IF(arrears_months=0,1.00,
    IF(arrears_months=1,3.00,
    IF(arrears_months=2,5.00,
    IF(arrears_months=3,8.00,
    IF(arrears_months=4,10.00,
    IF(arrears_months=5,12.00,15.00)))))))</f>
        <v/>
      </c>
      <c r="M179">
        <f>LET(
    seasoning_years,DATEDIF('Loan Tape (S&amp;P)'!K179,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9">
        <f>IF(AND('Loan Tape (S&amp;P)'!U179="Yes",
        'Loan Tape (S&amp;P)'!T179&lt;&gt;"Yes",
        DATEDIF('Loan Tape (S&amp;P)'!K179, TODAY(), "M")&lt;18),
    1.10,
    1.00)</f>
        <v/>
      </c>
      <c r="O179">
        <f>IF('Loan Tape (S&amp;P)'!T179="Yes",
    1.35,
    1.00)</f>
        <v/>
      </c>
      <c r="P179">
        <f>IF('Loan Tape (S&amp;P)'!S179="Yes",
    1.15,
    1.00)</f>
        <v/>
      </c>
      <c r="Q179">
        <f>IF('Loan Tape (S&amp;P)'!V179="Yes",
    1.20,
    1.00)</f>
        <v/>
      </c>
      <c r="T179">
        <f>LET(
    payment_method,'Loan Tape (S&amp;P)'!P179,
    occupancy,'Loan Tape (S&amp;P)'!N179,
    maturity_date,'Loan Tape (S&amp;P)'!L179,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0">
      <c r="J180">
        <f>LET(
    lien,'Loan Tape (S&amp;P)'!Q180,
    IF(lien="First",1.00,
        IF(lien="Second",1.50,
            1.70)))</f>
        <v/>
      </c>
      <c r="K180">
        <f>LET(
    purpose,'Loan Tape (S&amp;P)'!R180,
    IF(purpose="Purchase",1.00,
        IF(purpose="Remortgage",1.00,
            1.20)))</f>
        <v/>
      </c>
      <c r="L180">
        <f>LET(
    arrears_months,'Loan Tape (S&amp;P)'!AN180,
    IF(arrears_months=0,1.00,
    IF(arrears_months=1,3.00,
    IF(arrears_months=2,5.00,
    IF(arrears_months=3,8.00,
    IF(arrears_months=4,10.00,
    IF(arrears_months=5,12.00,15.00)))))))</f>
        <v/>
      </c>
      <c r="M180">
        <f>LET(
    seasoning_years,DATEDIF('Loan Tape (S&amp;P)'!K180,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0">
        <f>IF(AND('Loan Tape (S&amp;P)'!U180="Yes",
        'Loan Tape (S&amp;P)'!T180&lt;&gt;"Yes",
        DATEDIF('Loan Tape (S&amp;P)'!K180, TODAY(), "M")&lt;18),
    1.10,
    1.00)</f>
        <v/>
      </c>
      <c r="O180">
        <f>IF('Loan Tape (S&amp;P)'!T180="Yes",
    1.35,
    1.00)</f>
        <v/>
      </c>
      <c r="P180">
        <f>IF('Loan Tape (S&amp;P)'!S180="Yes",
    1.15,
    1.00)</f>
        <v/>
      </c>
      <c r="Q180">
        <f>IF('Loan Tape (S&amp;P)'!V180="Yes",
    1.20,
    1.00)</f>
        <v/>
      </c>
      <c r="T180">
        <f>LET(
    payment_method,'Loan Tape (S&amp;P)'!P180,
    occupancy,'Loan Tape (S&amp;P)'!N180,
    maturity_date,'Loan Tape (S&amp;P)'!L180,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1">
      <c r="J181">
        <f>LET(
    lien,'Loan Tape (S&amp;P)'!Q181,
    IF(lien="First",1.00,
        IF(lien="Second",1.50,
            1.70)))</f>
        <v/>
      </c>
      <c r="K181">
        <f>LET(
    purpose,'Loan Tape (S&amp;P)'!R181,
    IF(purpose="Purchase",1.00,
        IF(purpose="Remortgage",1.00,
            1.20)))</f>
        <v/>
      </c>
      <c r="L181">
        <f>LET(
    arrears_months,'Loan Tape (S&amp;P)'!AN181,
    IF(arrears_months=0,1.00,
    IF(arrears_months=1,3.00,
    IF(arrears_months=2,5.00,
    IF(arrears_months=3,8.00,
    IF(arrears_months=4,10.00,
    IF(arrears_months=5,12.00,15.00)))))))</f>
        <v/>
      </c>
      <c r="M181">
        <f>LET(
    seasoning_years,DATEDIF('Loan Tape (S&amp;P)'!K181,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1">
        <f>IF(AND('Loan Tape (S&amp;P)'!U181="Yes",
        'Loan Tape (S&amp;P)'!T181&lt;&gt;"Yes",
        DATEDIF('Loan Tape (S&amp;P)'!K181, TODAY(), "M")&lt;18),
    1.10,
    1.00)</f>
        <v/>
      </c>
      <c r="O181">
        <f>IF('Loan Tape (S&amp;P)'!T181="Yes",
    1.35,
    1.00)</f>
        <v/>
      </c>
      <c r="P181">
        <f>IF('Loan Tape (S&amp;P)'!S181="Yes",
    1.15,
    1.00)</f>
        <v/>
      </c>
      <c r="Q181">
        <f>IF('Loan Tape (S&amp;P)'!V181="Yes",
    1.20,
    1.00)</f>
        <v/>
      </c>
      <c r="T181">
        <f>LET(
    payment_method,'Loan Tape (S&amp;P)'!P181,
    occupancy,'Loan Tape (S&amp;P)'!N181,
    maturity_date,'Loan Tape (S&amp;P)'!L181,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2">
      <c r="J182">
        <f>LET(
    lien,'Loan Tape (S&amp;P)'!Q182,
    IF(lien="First",1.00,
        IF(lien="Second",1.50,
            1.70)))</f>
        <v/>
      </c>
      <c r="K182">
        <f>LET(
    purpose,'Loan Tape (S&amp;P)'!R182,
    IF(purpose="Purchase",1.00,
        IF(purpose="Remortgage",1.00,
            1.20)))</f>
        <v/>
      </c>
      <c r="L182">
        <f>LET(
    arrears_months,'Loan Tape (S&amp;P)'!AN182,
    IF(arrears_months=0,1.00,
    IF(arrears_months=1,3.00,
    IF(arrears_months=2,5.00,
    IF(arrears_months=3,8.00,
    IF(arrears_months=4,10.00,
    IF(arrears_months=5,12.00,15.00)))))))</f>
        <v/>
      </c>
      <c r="M182">
        <f>LET(
    seasoning_years,DATEDIF('Loan Tape (S&amp;P)'!K182,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2">
        <f>IF(AND('Loan Tape (S&amp;P)'!U182="Yes",
        'Loan Tape (S&amp;P)'!T182&lt;&gt;"Yes",
        DATEDIF('Loan Tape (S&amp;P)'!K182, TODAY(), "M")&lt;18),
    1.10,
    1.00)</f>
        <v/>
      </c>
      <c r="O182">
        <f>IF('Loan Tape (S&amp;P)'!T182="Yes",
    1.35,
    1.00)</f>
        <v/>
      </c>
      <c r="P182">
        <f>IF('Loan Tape (S&amp;P)'!S182="Yes",
    1.15,
    1.00)</f>
        <v/>
      </c>
      <c r="Q182">
        <f>IF('Loan Tape (S&amp;P)'!V182="Yes",
    1.20,
    1.00)</f>
        <v/>
      </c>
      <c r="T182">
        <f>LET(
    payment_method,'Loan Tape (S&amp;P)'!P182,
    occupancy,'Loan Tape (S&amp;P)'!N182,
    maturity_date,'Loan Tape (S&amp;P)'!L182,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3">
      <c r="J183">
        <f>LET(
    lien,'Loan Tape (S&amp;P)'!Q183,
    IF(lien="First",1.00,
        IF(lien="Second",1.50,
            1.70)))</f>
        <v/>
      </c>
      <c r="K183">
        <f>LET(
    purpose,'Loan Tape (S&amp;P)'!R183,
    IF(purpose="Purchase",1.00,
        IF(purpose="Remortgage",1.00,
            1.20)))</f>
        <v/>
      </c>
      <c r="L183">
        <f>LET(
    arrears_months,'Loan Tape (S&amp;P)'!AN183,
    IF(arrears_months=0,1.00,
    IF(arrears_months=1,3.00,
    IF(arrears_months=2,5.00,
    IF(arrears_months=3,8.00,
    IF(arrears_months=4,10.00,
    IF(arrears_months=5,12.00,15.00)))))))</f>
        <v/>
      </c>
      <c r="M183">
        <f>LET(
    seasoning_years,DATEDIF('Loan Tape (S&amp;P)'!K183,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3">
        <f>IF(AND('Loan Tape (S&amp;P)'!U183="Yes",
        'Loan Tape (S&amp;P)'!T183&lt;&gt;"Yes",
        DATEDIF('Loan Tape (S&amp;P)'!K183, TODAY(), "M")&lt;18),
    1.10,
    1.00)</f>
        <v/>
      </c>
      <c r="O183">
        <f>IF('Loan Tape (S&amp;P)'!T183="Yes",
    1.35,
    1.00)</f>
        <v/>
      </c>
      <c r="P183">
        <f>IF('Loan Tape (S&amp;P)'!S183="Yes",
    1.15,
    1.00)</f>
        <v/>
      </c>
      <c r="Q183">
        <f>IF('Loan Tape (S&amp;P)'!V183="Yes",
    1.20,
    1.00)</f>
        <v/>
      </c>
      <c r="T183">
        <f>LET(
    payment_method,'Loan Tape (S&amp;P)'!P183,
    occupancy,'Loan Tape (S&amp;P)'!N183,
    maturity_date,'Loan Tape (S&amp;P)'!L183,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4">
      <c r="J184">
        <f>LET(
    lien,'Loan Tape (S&amp;P)'!Q184,
    IF(lien="First",1.00,
        IF(lien="Second",1.50,
            1.70)))</f>
        <v/>
      </c>
      <c r="K184">
        <f>LET(
    purpose,'Loan Tape (S&amp;P)'!R184,
    IF(purpose="Purchase",1.00,
        IF(purpose="Remortgage",1.00,
            1.20)))</f>
        <v/>
      </c>
      <c r="L184">
        <f>LET(
    arrears_months,'Loan Tape (S&amp;P)'!AN184,
    IF(arrears_months=0,1.00,
    IF(arrears_months=1,3.00,
    IF(arrears_months=2,5.00,
    IF(arrears_months=3,8.00,
    IF(arrears_months=4,10.00,
    IF(arrears_months=5,12.00,15.00)))))))</f>
        <v/>
      </c>
      <c r="M184">
        <f>LET(
    seasoning_years,DATEDIF('Loan Tape (S&amp;P)'!K184,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4">
        <f>IF(AND('Loan Tape (S&amp;P)'!U184="Yes",
        'Loan Tape (S&amp;P)'!T184&lt;&gt;"Yes",
        DATEDIF('Loan Tape (S&amp;P)'!K184, TODAY(), "M")&lt;18),
    1.10,
    1.00)</f>
        <v/>
      </c>
      <c r="O184">
        <f>IF('Loan Tape (S&amp;P)'!T184="Yes",
    1.35,
    1.00)</f>
        <v/>
      </c>
      <c r="P184">
        <f>IF('Loan Tape (S&amp;P)'!S184="Yes",
    1.15,
    1.00)</f>
        <v/>
      </c>
      <c r="Q184">
        <f>IF('Loan Tape (S&amp;P)'!V184="Yes",
    1.20,
    1.00)</f>
        <v/>
      </c>
      <c r="T184">
        <f>LET(
    payment_method,'Loan Tape (S&amp;P)'!P184,
    occupancy,'Loan Tape (S&amp;P)'!N184,
    maturity_date,'Loan Tape (S&amp;P)'!L184,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5">
      <c r="J185">
        <f>LET(
    lien,'Loan Tape (S&amp;P)'!Q185,
    IF(lien="First",1.00,
        IF(lien="Second",1.50,
            1.70)))</f>
        <v/>
      </c>
      <c r="K185">
        <f>LET(
    purpose,'Loan Tape (S&amp;P)'!R185,
    IF(purpose="Purchase",1.00,
        IF(purpose="Remortgage",1.00,
            1.20)))</f>
        <v/>
      </c>
      <c r="L185">
        <f>LET(
    arrears_months,'Loan Tape (S&amp;P)'!AN185,
    IF(arrears_months=0,1.00,
    IF(arrears_months=1,3.00,
    IF(arrears_months=2,5.00,
    IF(arrears_months=3,8.00,
    IF(arrears_months=4,10.00,
    IF(arrears_months=5,12.00,15.00)))))))</f>
        <v/>
      </c>
      <c r="M185">
        <f>LET(
    seasoning_years,DATEDIF('Loan Tape (S&amp;P)'!K185,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5">
        <f>IF(AND('Loan Tape (S&amp;P)'!U185="Yes",
        'Loan Tape (S&amp;P)'!T185&lt;&gt;"Yes",
        DATEDIF('Loan Tape (S&amp;P)'!K185, TODAY(), "M")&lt;18),
    1.10,
    1.00)</f>
        <v/>
      </c>
      <c r="O185">
        <f>IF('Loan Tape (S&amp;P)'!T185="Yes",
    1.35,
    1.00)</f>
        <v/>
      </c>
      <c r="P185">
        <f>IF('Loan Tape (S&amp;P)'!S185="Yes",
    1.15,
    1.00)</f>
        <v/>
      </c>
      <c r="Q185">
        <f>IF('Loan Tape (S&amp;P)'!V185="Yes",
    1.20,
    1.00)</f>
        <v/>
      </c>
      <c r="T185">
        <f>LET(
    payment_method,'Loan Tape (S&amp;P)'!P185,
    occupancy,'Loan Tape (S&amp;P)'!N185,
    maturity_date,'Loan Tape (S&amp;P)'!L185,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6">
      <c r="J186">
        <f>LET(
    lien,'Loan Tape (S&amp;P)'!Q186,
    IF(lien="First",1.00,
        IF(lien="Second",1.50,
            1.70)))</f>
        <v/>
      </c>
      <c r="K186">
        <f>LET(
    purpose,'Loan Tape (S&amp;P)'!R186,
    IF(purpose="Purchase",1.00,
        IF(purpose="Remortgage",1.00,
            1.20)))</f>
        <v/>
      </c>
      <c r="L186">
        <f>LET(
    arrears_months,'Loan Tape (S&amp;P)'!AN186,
    IF(arrears_months=0,1.00,
    IF(arrears_months=1,3.00,
    IF(arrears_months=2,5.00,
    IF(arrears_months=3,8.00,
    IF(arrears_months=4,10.00,
    IF(arrears_months=5,12.00,15.00)))))))</f>
        <v/>
      </c>
      <c r="M186">
        <f>LET(
    seasoning_years,DATEDIF('Loan Tape (S&amp;P)'!K186,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6">
        <f>IF(AND('Loan Tape (S&amp;P)'!U186="Yes",
        'Loan Tape (S&amp;P)'!T186&lt;&gt;"Yes",
        DATEDIF('Loan Tape (S&amp;P)'!K186, TODAY(), "M")&lt;18),
    1.10,
    1.00)</f>
        <v/>
      </c>
      <c r="O186">
        <f>IF('Loan Tape (S&amp;P)'!T186="Yes",
    1.35,
    1.00)</f>
        <v/>
      </c>
      <c r="P186">
        <f>IF('Loan Tape (S&amp;P)'!S186="Yes",
    1.15,
    1.00)</f>
        <v/>
      </c>
      <c r="Q186">
        <f>IF('Loan Tape (S&amp;P)'!V186="Yes",
    1.20,
    1.00)</f>
        <v/>
      </c>
      <c r="T186">
        <f>LET(
    payment_method,'Loan Tape (S&amp;P)'!P186,
    occupancy,'Loan Tape (S&amp;P)'!N186,
    maturity_date,'Loan Tape (S&amp;P)'!L186,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7">
      <c r="J187">
        <f>LET(
    lien,'Loan Tape (S&amp;P)'!Q187,
    IF(lien="First",1.00,
        IF(lien="Second",1.50,
            1.70)))</f>
        <v/>
      </c>
      <c r="K187">
        <f>LET(
    purpose,'Loan Tape (S&amp;P)'!R187,
    IF(purpose="Purchase",1.00,
        IF(purpose="Remortgage",1.00,
            1.20)))</f>
        <v/>
      </c>
      <c r="L187">
        <f>LET(
    arrears_months,'Loan Tape (S&amp;P)'!AN187,
    IF(arrears_months=0,1.00,
    IF(arrears_months=1,3.00,
    IF(arrears_months=2,5.00,
    IF(arrears_months=3,8.00,
    IF(arrears_months=4,10.00,
    IF(arrears_months=5,12.00,15.00)))))))</f>
        <v/>
      </c>
      <c r="M187">
        <f>LET(
    seasoning_years,DATEDIF('Loan Tape (S&amp;P)'!K187,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7">
        <f>IF(AND('Loan Tape (S&amp;P)'!U187="Yes",
        'Loan Tape (S&amp;P)'!T187&lt;&gt;"Yes",
        DATEDIF('Loan Tape (S&amp;P)'!K187, TODAY(), "M")&lt;18),
    1.10,
    1.00)</f>
        <v/>
      </c>
      <c r="O187">
        <f>IF('Loan Tape (S&amp;P)'!T187="Yes",
    1.35,
    1.00)</f>
        <v/>
      </c>
      <c r="P187">
        <f>IF('Loan Tape (S&amp;P)'!S187="Yes",
    1.15,
    1.00)</f>
        <v/>
      </c>
      <c r="Q187">
        <f>IF('Loan Tape (S&amp;P)'!V187="Yes",
    1.20,
    1.00)</f>
        <v/>
      </c>
      <c r="T187">
        <f>LET(
    payment_method,'Loan Tape (S&amp;P)'!P187,
    occupancy,'Loan Tape (S&amp;P)'!N187,
    maturity_date,'Loan Tape (S&amp;P)'!L187,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8">
      <c r="J188">
        <f>LET(
    lien,'Loan Tape (S&amp;P)'!Q188,
    IF(lien="First",1.00,
        IF(lien="Second",1.50,
            1.70)))</f>
        <v/>
      </c>
      <c r="K188">
        <f>LET(
    purpose,'Loan Tape (S&amp;P)'!R188,
    IF(purpose="Purchase",1.00,
        IF(purpose="Remortgage",1.00,
            1.20)))</f>
        <v/>
      </c>
      <c r="L188">
        <f>LET(
    arrears_months,'Loan Tape (S&amp;P)'!AN188,
    IF(arrears_months=0,1.00,
    IF(arrears_months=1,3.00,
    IF(arrears_months=2,5.00,
    IF(arrears_months=3,8.00,
    IF(arrears_months=4,10.00,
    IF(arrears_months=5,12.00,15.00)))))))</f>
        <v/>
      </c>
      <c r="M188">
        <f>LET(
    seasoning_years,DATEDIF('Loan Tape (S&amp;P)'!K188,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8">
        <f>IF(AND('Loan Tape (S&amp;P)'!U188="Yes",
        'Loan Tape (S&amp;P)'!T188&lt;&gt;"Yes",
        DATEDIF('Loan Tape (S&amp;P)'!K188, TODAY(), "M")&lt;18),
    1.10,
    1.00)</f>
        <v/>
      </c>
      <c r="O188">
        <f>IF('Loan Tape (S&amp;P)'!T188="Yes",
    1.35,
    1.00)</f>
        <v/>
      </c>
      <c r="P188">
        <f>IF('Loan Tape (S&amp;P)'!S188="Yes",
    1.15,
    1.00)</f>
        <v/>
      </c>
      <c r="Q188">
        <f>IF('Loan Tape (S&amp;P)'!V188="Yes",
    1.20,
    1.00)</f>
        <v/>
      </c>
      <c r="T188">
        <f>LET(
    payment_method,'Loan Tape (S&amp;P)'!P188,
    occupancy,'Loan Tape (S&amp;P)'!N188,
    maturity_date,'Loan Tape (S&amp;P)'!L188,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9">
      <c r="J189">
        <f>LET(
    lien,'Loan Tape (S&amp;P)'!Q189,
    IF(lien="First",1.00,
        IF(lien="Second",1.50,
            1.70)))</f>
        <v/>
      </c>
      <c r="K189">
        <f>LET(
    purpose,'Loan Tape (S&amp;P)'!R189,
    IF(purpose="Purchase",1.00,
        IF(purpose="Remortgage",1.00,
            1.20)))</f>
        <v/>
      </c>
      <c r="L189">
        <f>LET(
    arrears_months,'Loan Tape (S&amp;P)'!AN189,
    IF(arrears_months=0,1.00,
    IF(arrears_months=1,3.00,
    IF(arrears_months=2,5.00,
    IF(arrears_months=3,8.00,
    IF(arrears_months=4,10.00,
    IF(arrears_months=5,12.00,15.00)))))))</f>
        <v/>
      </c>
      <c r="M189">
        <f>LET(
    seasoning_years,DATEDIF('Loan Tape (S&amp;P)'!K189,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9">
        <f>IF(AND('Loan Tape (S&amp;P)'!U189="Yes",
        'Loan Tape (S&amp;P)'!T189&lt;&gt;"Yes",
        DATEDIF('Loan Tape (S&amp;P)'!K189, TODAY(), "M")&lt;18),
    1.10,
    1.00)</f>
        <v/>
      </c>
      <c r="O189">
        <f>IF('Loan Tape (S&amp;P)'!T189="Yes",
    1.35,
    1.00)</f>
        <v/>
      </c>
      <c r="P189">
        <f>IF('Loan Tape (S&amp;P)'!S189="Yes",
    1.15,
    1.00)</f>
        <v/>
      </c>
      <c r="Q189">
        <f>IF('Loan Tape (S&amp;P)'!V189="Yes",
    1.20,
    1.00)</f>
        <v/>
      </c>
      <c r="T189">
        <f>LET(
    payment_method,'Loan Tape (S&amp;P)'!P189,
    occupancy,'Loan Tape (S&amp;P)'!N189,
    maturity_date,'Loan Tape (S&amp;P)'!L189,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0">
      <c r="J190">
        <f>LET(
    lien,'Loan Tape (S&amp;P)'!Q190,
    IF(lien="First",1.00,
        IF(lien="Second",1.50,
            1.70)))</f>
        <v/>
      </c>
      <c r="K190">
        <f>LET(
    purpose,'Loan Tape (S&amp;P)'!R190,
    IF(purpose="Purchase",1.00,
        IF(purpose="Remortgage",1.00,
            1.20)))</f>
        <v/>
      </c>
      <c r="L190">
        <f>LET(
    arrears_months,'Loan Tape (S&amp;P)'!AN190,
    IF(arrears_months=0,1.00,
    IF(arrears_months=1,3.00,
    IF(arrears_months=2,5.00,
    IF(arrears_months=3,8.00,
    IF(arrears_months=4,10.00,
    IF(arrears_months=5,12.00,15.00)))))))</f>
        <v/>
      </c>
      <c r="M190">
        <f>LET(
    seasoning_years,DATEDIF('Loan Tape (S&amp;P)'!K190,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0">
        <f>IF(AND('Loan Tape (S&amp;P)'!U190="Yes",
        'Loan Tape (S&amp;P)'!T190&lt;&gt;"Yes",
        DATEDIF('Loan Tape (S&amp;P)'!K190, TODAY(), "M")&lt;18),
    1.10,
    1.00)</f>
        <v/>
      </c>
      <c r="O190">
        <f>IF('Loan Tape (S&amp;P)'!T190="Yes",
    1.35,
    1.00)</f>
        <v/>
      </c>
      <c r="P190">
        <f>IF('Loan Tape (S&amp;P)'!S190="Yes",
    1.15,
    1.00)</f>
        <v/>
      </c>
      <c r="Q190">
        <f>IF('Loan Tape (S&amp;P)'!V190="Yes",
    1.20,
    1.00)</f>
        <v/>
      </c>
      <c r="T190">
        <f>LET(
    payment_method,'Loan Tape (S&amp;P)'!P190,
    occupancy,'Loan Tape (S&amp;P)'!N190,
    maturity_date,'Loan Tape (S&amp;P)'!L190,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1">
      <c r="J191">
        <f>LET(
    lien,'Loan Tape (S&amp;P)'!Q191,
    IF(lien="First",1.00,
        IF(lien="Second",1.50,
            1.70)))</f>
        <v/>
      </c>
      <c r="K191">
        <f>LET(
    purpose,'Loan Tape (S&amp;P)'!R191,
    IF(purpose="Purchase",1.00,
        IF(purpose="Remortgage",1.00,
            1.20)))</f>
        <v/>
      </c>
      <c r="L191">
        <f>LET(
    arrears_months,'Loan Tape (S&amp;P)'!AN191,
    IF(arrears_months=0,1.00,
    IF(arrears_months=1,3.00,
    IF(arrears_months=2,5.00,
    IF(arrears_months=3,8.00,
    IF(arrears_months=4,10.00,
    IF(arrears_months=5,12.00,15.00)))))))</f>
        <v/>
      </c>
      <c r="M191">
        <f>LET(
    seasoning_years,DATEDIF('Loan Tape (S&amp;P)'!K191,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1">
        <f>IF(AND('Loan Tape (S&amp;P)'!U191="Yes",
        'Loan Tape (S&amp;P)'!T191&lt;&gt;"Yes",
        DATEDIF('Loan Tape (S&amp;P)'!K191, TODAY(), "M")&lt;18),
    1.10,
    1.00)</f>
        <v/>
      </c>
      <c r="O191">
        <f>IF('Loan Tape (S&amp;P)'!T191="Yes",
    1.35,
    1.00)</f>
        <v/>
      </c>
      <c r="P191">
        <f>IF('Loan Tape (S&amp;P)'!S191="Yes",
    1.15,
    1.00)</f>
        <v/>
      </c>
      <c r="Q191">
        <f>IF('Loan Tape (S&amp;P)'!V191="Yes",
    1.20,
    1.00)</f>
        <v/>
      </c>
      <c r="T191">
        <f>LET(
    payment_method,'Loan Tape (S&amp;P)'!P191,
    occupancy,'Loan Tape (S&amp;P)'!N191,
    maturity_date,'Loan Tape (S&amp;P)'!L191,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2">
      <c r="J192">
        <f>LET(
    lien,'Loan Tape (S&amp;P)'!Q192,
    IF(lien="First",1.00,
        IF(lien="Second",1.50,
            1.70)))</f>
        <v/>
      </c>
      <c r="K192">
        <f>LET(
    purpose,'Loan Tape (S&amp;P)'!R192,
    IF(purpose="Purchase",1.00,
        IF(purpose="Remortgage",1.00,
            1.20)))</f>
        <v/>
      </c>
      <c r="L192">
        <f>LET(
    arrears_months,'Loan Tape (S&amp;P)'!AN192,
    IF(arrears_months=0,1.00,
    IF(arrears_months=1,3.00,
    IF(arrears_months=2,5.00,
    IF(arrears_months=3,8.00,
    IF(arrears_months=4,10.00,
    IF(arrears_months=5,12.00,15.00)))))))</f>
        <v/>
      </c>
      <c r="M192">
        <f>LET(
    seasoning_years,DATEDIF('Loan Tape (S&amp;P)'!K192,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2">
        <f>IF(AND('Loan Tape (S&amp;P)'!U192="Yes",
        'Loan Tape (S&amp;P)'!T192&lt;&gt;"Yes",
        DATEDIF('Loan Tape (S&amp;P)'!K192, TODAY(), "M")&lt;18),
    1.10,
    1.00)</f>
        <v/>
      </c>
      <c r="O192">
        <f>IF('Loan Tape (S&amp;P)'!T192="Yes",
    1.35,
    1.00)</f>
        <v/>
      </c>
      <c r="P192">
        <f>IF('Loan Tape (S&amp;P)'!S192="Yes",
    1.15,
    1.00)</f>
        <v/>
      </c>
      <c r="Q192">
        <f>IF('Loan Tape (S&amp;P)'!V192="Yes",
    1.20,
    1.00)</f>
        <v/>
      </c>
      <c r="T192">
        <f>LET(
    payment_method,'Loan Tape (S&amp;P)'!P192,
    occupancy,'Loan Tape (S&amp;P)'!N192,
    maturity_date,'Loan Tape (S&amp;P)'!L192,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3">
      <c r="J193">
        <f>LET(
    lien,'Loan Tape (S&amp;P)'!Q193,
    IF(lien="First",1.00,
        IF(lien="Second",1.50,
            1.70)))</f>
        <v/>
      </c>
      <c r="K193">
        <f>LET(
    purpose,'Loan Tape (S&amp;P)'!R193,
    IF(purpose="Purchase",1.00,
        IF(purpose="Remortgage",1.00,
            1.20)))</f>
        <v/>
      </c>
      <c r="L193">
        <f>LET(
    arrears_months,'Loan Tape (S&amp;P)'!AN193,
    IF(arrears_months=0,1.00,
    IF(arrears_months=1,3.00,
    IF(arrears_months=2,5.00,
    IF(arrears_months=3,8.00,
    IF(arrears_months=4,10.00,
    IF(arrears_months=5,12.00,15.00)))))))</f>
        <v/>
      </c>
      <c r="M193">
        <f>LET(
    seasoning_years,DATEDIF('Loan Tape (S&amp;P)'!K193,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3">
        <f>IF(AND('Loan Tape (S&amp;P)'!U193="Yes",
        'Loan Tape (S&amp;P)'!T193&lt;&gt;"Yes",
        DATEDIF('Loan Tape (S&amp;P)'!K193, TODAY(), "M")&lt;18),
    1.10,
    1.00)</f>
        <v/>
      </c>
      <c r="O193">
        <f>IF('Loan Tape (S&amp;P)'!T193="Yes",
    1.35,
    1.00)</f>
        <v/>
      </c>
      <c r="P193">
        <f>IF('Loan Tape (S&amp;P)'!S193="Yes",
    1.15,
    1.00)</f>
        <v/>
      </c>
      <c r="Q193">
        <f>IF('Loan Tape (S&amp;P)'!V193="Yes",
    1.20,
    1.00)</f>
        <v/>
      </c>
      <c r="T193">
        <f>LET(
    payment_method,'Loan Tape (S&amp;P)'!P193,
    occupancy,'Loan Tape (S&amp;P)'!N193,
    maturity_date,'Loan Tape (S&amp;P)'!L193,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4">
      <c r="J194">
        <f>LET(
    lien,'Loan Tape (S&amp;P)'!Q194,
    IF(lien="First",1.00,
        IF(lien="Second",1.50,
            1.70)))</f>
        <v/>
      </c>
      <c r="K194">
        <f>LET(
    purpose,'Loan Tape (S&amp;P)'!R194,
    IF(purpose="Purchase",1.00,
        IF(purpose="Remortgage",1.00,
            1.20)))</f>
        <v/>
      </c>
      <c r="L194">
        <f>LET(
    arrears_months,'Loan Tape (S&amp;P)'!AN194,
    IF(arrears_months=0,1.00,
    IF(arrears_months=1,3.00,
    IF(arrears_months=2,5.00,
    IF(arrears_months=3,8.00,
    IF(arrears_months=4,10.00,
    IF(arrears_months=5,12.00,15.00)))))))</f>
        <v/>
      </c>
      <c r="M194">
        <f>LET(
    seasoning_years,DATEDIF('Loan Tape (S&amp;P)'!K194,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4">
        <f>IF(AND('Loan Tape (S&amp;P)'!U194="Yes",
        'Loan Tape (S&amp;P)'!T194&lt;&gt;"Yes",
        DATEDIF('Loan Tape (S&amp;P)'!K194, TODAY(), "M")&lt;18),
    1.10,
    1.00)</f>
        <v/>
      </c>
      <c r="O194">
        <f>IF('Loan Tape (S&amp;P)'!T194="Yes",
    1.35,
    1.00)</f>
        <v/>
      </c>
      <c r="P194">
        <f>IF('Loan Tape (S&amp;P)'!S194="Yes",
    1.15,
    1.00)</f>
        <v/>
      </c>
      <c r="Q194">
        <f>IF('Loan Tape (S&amp;P)'!V194="Yes",
    1.20,
    1.00)</f>
        <v/>
      </c>
      <c r="T194">
        <f>LET(
    payment_method,'Loan Tape (S&amp;P)'!P194,
    occupancy,'Loan Tape (S&amp;P)'!N194,
    maturity_date,'Loan Tape (S&amp;P)'!L194,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5">
      <c r="J195">
        <f>LET(
    lien,'Loan Tape (S&amp;P)'!Q195,
    IF(lien="First",1.00,
        IF(lien="Second",1.50,
            1.70)))</f>
        <v/>
      </c>
      <c r="K195">
        <f>LET(
    purpose,'Loan Tape (S&amp;P)'!R195,
    IF(purpose="Purchase",1.00,
        IF(purpose="Remortgage",1.00,
            1.20)))</f>
        <v/>
      </c>
      <c r="L195">
        <f>LET(
    arrears_months,'Loan Tape (S&amp;P)'!AN195,
    IF(arrears_months=0,1.00,
    IF(arrears_months=1,3.00,
    IF(arrears_months=2,5.00,
    IF(arrears_months=3,8.00,
    IF(arrears_months=4,10.00,
    IF(arrears_months=5,12.00,15.00)))))))</f>
        <v/>
      </c>
      <c r="M195">
        <f>LET(
    seasoning_years,DATEDIF('Loan Tape (S&amp;P)'!K195,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5">
        <f>IF(AND('Loan Tape (S&amp;P)'!U195="Yes",
        'Loan Tape (S&amp;P)'!T195&lt;&gt;"Yes",
        DATEDIF('Loan Tape (S&amp;P)'!K195, TODAY(), "M")&lt;18),
    1.10,
    1.00)</f>
        <v/>
      </c>
      <c r="O195">
        <f>IF('Loan Tape (S&amp;P)'!T195="Yes",
    1.35,
    1.00)</f>
        <v/>
      </c>
      <c r="P195">
        <f>IF('Loan Tape (S&amp;P)'!S195="Yes",
    1.15,
    1.00)</f>
        <v/>
      </c>
      <c r="Q195">
        <f>IF('Loan Tape (S&amp;P)'!V195="Yes",
    1.20,
    1.00)</f>
        <v/>
      </c>
      <c r="T195">
        <f>LET(
    payment_method,'Loan Tape (S&amp;P)'!P195,
    occupancy,'Loan Tape (S&amp;P)'!N195,
    maturity_date,'Loan Tape (S&amp;P)'!L195,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6">
      <c r="J196">
        <f>LET(
    lien,'Loan Tape (S&amp;P)'!Q196,
    IF(lien="First",1.00,
        IF(lien="Second",1.50,
            1.70)))</f>
        <v/>
      </c>
      <c r="K196">
        <f>LET(
    purpose,'Loan Tape (S&amp;P)'!R196,
    IF(purpose="Purchase",1.00,
        IF(purpose="Remortgage",1.00,
            1.20)))</f>
        <v/>
      </c>
      <c r="L196">
        <f>LET(
    arrears_months,'Loan Tape (S&amp;P)'!AN196,
    IF(arrears_months=0,1.00,
    IF(arrears_months=1,3.00,
    IF(arrears_months=2,5.00,
    IF(arrears_months=3,8.00,
    IF(arrears_months=4,10.00,
    IF(arrears_months=5,12.00,15.00)))))))</f>
        <v/>
      </c>
      <c r="M196">
        <f>LET(
    seasoning_years,DATEDIF('Loan Tape (S&amp;P)'!K196,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6">
        <f>IF(AND('Loan Tape (S&amp;P)'!U196="Yes",
        'Loan Tape (S&amp;P)'!T196&lt;&gt;"Yes",
        DATEDIF('Loan Tape (S&amp;P)'!K196, TODAY(), "M")&lt;18),
    1.10,
    1.00)</f>
        <v/>
      </c>
      <c r="O196">
        <f>IF('Loan Tape (S&amp;P)'!T196="Yes",
    1.35,
    1.00)</f>
        <v/>
      </c>
      <c r="P196">
        <f>IF('Loan Tape (S&amp;P)'!S196="Yes",
    1.15,
    1.00)</f>
        <v/>
      </c>
      <c r="Q196">
        <f>IF('Loan Tape (S&amp;P)'!V196="Yes",
    1.20,
    1.00)</f>
        <v/>
      </c>
      <c r="T196">
        <f>LET(
    payment_method,'Loan Tape (S&amp;P)'!P196,
    occupancy,'Loan Tape (S&amp;P)'!N196,
    maturity_date,'Loan Tape (S&amp;P)'!L196,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7">
      <c r="J197">
        <f>LET(
    lien,'Loan Tape (S&amp;P)'!Q197,
    IF(lien="First",1.00,
        IF(lien="Second",1.50,
            1.70)))</f>
        <v/>
      </c>
      <c r="K197">
        <f>LET(
    purpose,'Loan Tape (S&amp;P)'!R197,
    IF(purpose="Purchase",1.00,
        IF(purpose="Remortgage",1.00,
            1.20)))</f>
        <v/>
      </c>
      <c r="L197">
        <f>LET(
    arrears_months,'Loan Tape (S&amp;P)'!AN197,
    IF(arrears_months=0,1.00,
    IF(arrears_months=1,3.00,
    IF(arrears_months=2,5.00,
    IF(arrears_months=3,8.00,
    IF(arrears_months=4,10.00,
    IF(arrears_months=5,12.00,15.00)))))))</f>
        <v/>
      </c>
      <c r="M197">
        <f>LET(
    seasoning_years,DATEDIF('Loan Tape (S&amp;P)'!K197,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7">
        <f>IF(AND('Loan Tape (S&amp;P)'!U197="Yes",
        'Loan Tape (S&amp;P)'!T197&lt;&gt;"Yes",
        DATEDIF('Loan Tape (S&amp;P)'!K197, TODAY(), "M")&lt;18),
    1.10,
    1.00)</f>
        <v/>
      </c>
      <c r="O197">
        <f>IF('Loan Tape (S&amp;P)'!T197="Yes",
    1.35,
    1.00)</f>
        <v/>
      </c>
      <c r="P197">
        <f>IF('Loan Tape (S&amp;P)'!S197="Yes",
    1.15,
    1.00)</f>
        <v/>
      </c>
      <c r="Q197">
        <f>IF('Loan Tape (S&amp;P)'!V197="Yes",
    1.20,
    1.00)</f>
        <v/>
      </c>
      <c r="T197">
        <f>LET(
    payment_method,'Loan Tape (S&amp;P)'!P197,
    occupancy,'Loan Tape (S&amp;P)'!N197,
    maturity_date,'Loan Tape (S&amp;P)'!L197,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8">
      <c r="J198">
        <f>LET(
    lien,'Loan Tape (S&amp;P)'!Q198,
    IF(lien="First",1.00,
        IF(lien="Second",1.50,
            1.70)))</f>
        <v/>
      </c>
      <c r="K198">
        <f>LET(
    purpose,'Loan Tape (S&amp;P)'!R198,
    IF(purpose="Purchase",1.00,
        IF(purpose="Remortgage",1.00,
            1.20)))</f>
        <v/>
      </c>
      <c r="L198">
        <f>LET(
    arrears_months,'Loan Tape (S&amp;P)'!AN198,
    IF(arrears_months=0,1.00,
    IF(arrears_months=1,3.00,
    IF(arrears_months=2,5.00,
    IF(arrears_months=3,8.00,
    IF(arrears_months=4,10.00,
    IF(arrears_months=5,12.00,15.00)))))))</f>
        <v/>
      </c>
      <c r="M198">
        <f>LET(
    seasoning_years,DATEDIF('Loan Tape (S&amp;P)'!K198,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8">
        <f>IF(AND('Loan Tape (S&amp;P)'!U198="Yes",
        'Loan Tape (S&amp;P)'!T198&lt;&gt;"Yes",
        DATEDIF('Loan Tape (S&amp;P)'!K198, TODAY(), "M")&lt;18),
    1.10,
    1.00)</f>
        <v/>
      </c>
      <c r="O198">
        <f>IF('Loan Tape (S&amp;P)'!T198="Yes",
    1.35,
    1.00)</f>
        <v/>
      </c>
      <c r="P198">
        <f>IF('Loan Tape (S&amp;P)'!S198="Yes",
    1.15,
    1.00)</f>
        <v/>
      </c>
      <c r="Q198">
        <f>IF('Loan Tape (S&amp;P)'!V198="Yes",
    1.20,
    1.00)</f>
        <v/>
      </c>
      <c r="T198">
        <f>LET(
    payment_method,'Loan Tape (S&amp;P)'!P198,
    occupancy,'Loan Tape (S&amp;P)'!N198,
    maturity_date,'Loan Tape (S&amp;P)'!L198,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9">
      <c r="J199">
        <f>LET(
    lien,'Loan Tape (S&amp;P)'!Q199,
    IF(lien="First",1.00,
        IF(lien="Second",1.50,
            1.70)))</f>
        <v/>
      </c>
      <c r="K199">
        <f>LET(
    purpose,'Loan Tape (S&amp;P)'!R199,
    IF(purpose="Purchase",1.00,
        IF(purpose="Remortgage",1.00,
            1.20)))</f>
        <v/>
      </c>
      <c r="L199">
        <f>LET(
    arrears_months,'Loan Tape (S&amp;P)'!AN199,
    IF(arrears_months=0,1.00,
    IF(arrears_months=1,3.00,
    IF(arrears_months=2,5.00,
    IF(arrears_months=3,8.00,
    IF(arrears_months=4,10.00,
    IF(arrears_months=5,12.00,15.00)))))))</f>
        <v/>
      </c>
      <c r="M199">
        <f>LET(
    seasoning_years,DATEDIF('Loan Tape (S&amp;P)'!K199,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9">
        <f>IF(AND('Loan Tape (S&amp;P)'!U199="Yes",
        'Loan Tape (S&amp;P)'!T199&lt;&gt;"Yes",
        DATEDIF('Loan Tape (S&amp;P)'!K199, TODAY(), "M")&lt;18),
    1.10,
    1.00)</f>
        <v/>
      </c>
      <c r="O199">
        <f>IF('Loan Tape (S&amp;P)'!T199="Yes",
    1.35,
    1.00)</f>
        <v/>
      </c>
      <c r="P199">
        <f>IF('Loan Tape (S&amp;P)'!S199="Yes",
    1.15,
    1.00)</f>
        <v/>
      </c>
      <c r="Q199">
        <f>IF('Loan Tape (S&amp;P)'!V199="Yes",
    1.20,
    1.00)</f>
        <v/>
      </c>
      <c r="T199">
        <f>LET(
    payment_method,'Loan Tape (S&amp;P)'!P199,
    occupancy,'Loan Tape (S&amp;P)'!N199,
    maturity_date,'Loan Tape (S&amp;P)'!L199,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0">
      <c r="J200">
        <f>LET(
    lien,'Loan Tape (S&amp;P)'!Q200,
    IF(lien="First",1.00,
        IF(lien="Second",1.50,
            1.70)))</f>
        <v/>
      </c>
      <c r="K200">
        <f>LET(
    purpose,'Loan Tape (S&amp;P)'!R200,
    IF(purpose="Purchase",1.00,
        IF(purpose="Remortgage",1.00,
            1.20)))</f>
        <v/>
      </c>
      <c r="L200">
        <f>LET(
    arrears_months,'Loan Tape (S&amp;P)'!AN200,
    IF(arrears_months=0,1.00,
    IF(arrears_months=1,3.00,
    IF(arrears_months=2,5.00,
    IF(arrears_months=3,8.00,
    IF(arrears_months=4,10.00,
    IF(arrears_months=5,12.00,15.00)))))))</f>
        <v/>
      </c>
      <c r="M200">
        <f>LET(
    seasoning_years,DATEDIF('Loan Tape (S&amp;P)'!K200,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0">
        <f>IF(AND('Loan Tape (S&amp;P)'!U200="Yes",
        'Loan Tape (S&amp;P)'!T200&lt;&gt;"Yes",
        DATEDIF('Loan Tape (S&amp;P)'!K200, TODAY(), "M")&lt;18),
    1.10,
    1.00)</f>
        <v/>
      </c>
      <c r="O200">
        <f>IF('Loan Tape (S&amp;P)'!T200="Yes",
    1.35,
    1.00)</f>
        <v/>
      </c>
      <c r="P200">
        <f>IF('Loan Tape (S&amp;P)'!S200="Yes",
    1.15,
    1.00)</f>
        <v/>
      </c>
      <c r="Q200">
        <f>IF('Loan Tape (S&amp;P)'!V200="Yes",
    1.20,
    1.00)</f>
        <v/>
      </c>
      <c r="T200">
        <f>LET(
    payment_method,'Loan Tape (S&amp;P)'!P200,
    occupancy,'Loan Tape (S&amp;P)'!N200,
    maturity_date,'Loan Tape (S&amp;P)'!L200,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1">
      <c r="J201">
        <f>LET(
    lien,'Loan Tape (S&amp;P)'!Q201,
    IF(lien="First",1.00,
        IF(lien="Second",1.50,
            1.70)))</f>
        <v/>
      </c>
      <c r="K201">
        <f>LET(
    purpose,'Loan Tape (S&amp;P)'!R201,
    IF(purpose="Purchase",1.00,
        IF(purpose="Remortgage",1.00,
            1.20)))</f>
        <v/>
      </c>
      <c r="L201">
        <f>LET(
    arrears_months,'Loan Tape (S&amp;P)'!AN201,
    IF(arrears_months=0,1.00,
    IF(arrears_months=1,3.00,
    IF(arrears_months=2,5.00,
    IF(arrears_months=3,8.00,
    IF(arrears_months=4,10.00,
    IF(arrears_months=5,12.00,15.00)))))))</f>
        <v/>
      </c>
      <c r="M201">
        <f>LET(
    seasoning_years,DATEDIF('Loan Tape (S&amp;P)'!K201,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1">
        <f>IF(AND('Loan Tape (S&amp;P)'!U201="Yes",
        'Loan Tape (S&amp;P)'!T201&lt;&gt;"Yes",
        DATEDIF('Loan Tape (S&amp;P)'!K201, TODAY(), "M")&lt;18),
    1.10,
    1.00)</f>
        <v/>
      </c>
      <c r="O201">
        <f>IF('Loan Tape (S&amp;P)'!T201="Yes",
    1.35,
    1.00)</f>
        <v/>
      </c>
      <c r="P201">
        <f>IF('Loan Tape (S&amp;P)'!S201="Yes",
    1.15,
    1.00)</f>
        <v/>
      </c>
      <c r="Q201">
        <f>IF('Loan Tape (S&amp;P)'!V201="Yes",
    1.20,
    1.00)</f>
        <v/>
      </c>
      <c r="T201">
        <f>LET(
    payment_method,'Loan Tape (S&amp;P)'!P201,
    occupancy,'Loan Tape (S&amp;P)'!N201,
    maturity_date,'Loan Tape (S&amp;P)'!L201,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2">
      <c r="J202">
        <f>LET(
    lien,'Loan Tape (S&amp;P)'!Q202,
    IF(lien="First",1.00,
        IF(lien="Second",1.50,
            1.70)))</f>
        <v/>
      </c>
      <c r="K202">
        <f>LET(
    purpose,'Loan Tape (S&amp;P)'!R202,
    IF(purpose="Purchase",1.00,
        IF(purpose="Remortgage",1.00,
            1.20)))</f>
        <v/>
      </c>
      <c r="L202">
        <f>LET(
    arrears_months,'Loan Tape (S&amp;P)'!AN202,
    IF(arrears_months=0,1.00,
    IF(arrears_months=1,3.00,
    IF(arrears_months=2,5.00,
    IF(arrears_months=3,8.00,
    IF(arrears_months=4,10.00,
    IF(arrears_months=5,12.00,15.00)))))))</f>
        <v/>
      </c>
      <c r="M202">
        <f>LET(
    seasoning_years,DATEDIF('Loan Tape (S&amp;P)'!K202,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2">
        <f>IF(AND('Loan Tape (S&amp;P)'!U202="Yes",
        'Loan Tape (S&amp;P)'!T202&lt;&gt;"Yes",
        DATEDIF('Loan Tape (S&amp;P)'!K202, TODAY(), "M")&lt;18),
    1.10,
    1.00)</f>
        <v/>
      </c>
      <c r="O202">
        <f>IF('Loan Tape (S&amp;P)'!T202="Yes",
    1.35,
    1.00)</f>
        <v/>
      </c>
      <c r="P202">
        <f>IF('Loan Tape (S&amp;P)'!S202="Yes",
    1.15,
    1.00)</f>
        <v/>
      </c>
      <c r="Q202">
        <f>IF('Loan Tape (S&amp;P)'!V202="Yes",
    1.20,
    1.00)</f>
        <v/>
      </c>
      <c r="T202">
        <f>LET(
    payment_method,'Loan Tape (S&amp;P)'!P202,
    occupancy,'Loan Tape (S&amp;P)'!N202,
    maturity_date,'Loan Tape (S&amp;P)'!L202,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3">
      <c r="J203">
        <f>LET(
    lien,'Loan Tape (S&amp;P)'!Q203,
    IF(lien="First",1.00,
        IF(lien="Second",1.50,
            1.70)))</f>
        <v/>
      </c>
      <c r="K203">
        <f>LET(
    purpose,'Loan Tape (S&amp;P)'!R203,
    IF(purpose="Purchase",1.00,
        IF(purpose="Remortgage",1.00,
            1.20)))</f>
        <v/>
      </c>
      <c r="L203">
        <f>LET(
    arrears_months,'Loan Tape (S&amp;P)'!AN203,
    IF(arrears_months=0,1.00,
    IF(arrears_months=1,3.00,
    IF(arrears_months=2,5.00,
    IF(arrears_months=3,8.00,
    IF(arrears_months=4,10.00,
    IF(arrears_months=5,12.00,15.00)))))))</f>
        <v/>
      </c>
      <c r="M203">
        <f>LET(
    seasoning_years,DATEDIF('Loan Tape (S&amp;P)'!K203,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3">
        <f>IF(AND('Loan Tape (S&amp;P)'!U203="Yes",
        'Loan Tape (S&amp;P)'!T203&lt;&gt;"Yes",
        DATEDIF('Loan Tape (S&amp;P)'!K203, TODAY(), "M")&lt;18),
    1.10,
    1.00)</f>
        <v/>
      </c>
      <c r="O203">
        <f>IF('Loan Tape (S&amp;P)'!T203="Yes",
    1.35,
    1.00)</f>
        <v/>
      </c>
      <c r="P203">
        <f>IF('Loan Tape (S&amp;P)'!S203="Yes",
    1.15,
    1.00)</f>
        <v/>
      </c>
      <c r="Q203">
        <f>IF('Loan Tape (S&amp;P)'!V203="Yes",
    1.20,
    1.00)</f>
        <v/>
      </c>
      <c r="T203">
        <f>LET(
    payment_method,'Loan Tape (S&amp;P)'!P203,
    occupancy,'Loan Tape (S&amp;P)'!N203,
    maturity_date,'Loan Tape (S&amp;P)'!L203,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4">
      <c r="J204">
        <f>LET(
    lien,'Loan Tape (S&amp;P)'!Q204,
    IF(lien="First",1.00,
        IF(lien="Second",1.50,
            1.70)))</f>
        <v/>
      </c>
      <c r="K204">
        <f>LET(
    purpose,'Loan Tape (S&amp;P)'!R204,
    IF(purpose="Purchase",1.00,
        IF(purpose="Remortgage",1.00,
            1.20)))</f>
        <v/>
      </c>
      <c r="L204">
        <f>LET(
    arrears_months,'Loan Tape (S&amp;P)'!AN204,
    IF(arrears_months=0,1.00,
    IF(arrears_months=1,3.00,
    IF(arrears_months=2,5.00,
    IF(arrears_months=3,8.00,
    IF(arrears_months=4,10.00,
    IF(arrears_months=5,12.00,15.00)))))))</f>
        <v/>
      </c>
      <c r="M204">
        <f>LET(
    seasoning_years,DATEDIF('Loan Tape (S&amp;P)'!K204,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4">
        <f>IF(AND('Loan Tape (S&amp;P)'!U204="Yes",
        'Loan Tape (S&amp;P)'!T204&lt;&gt;"Yes",
        DATEDIF('Loan Tape (S&amp;P)'!K204, TODAY(), "M")&lt;18),
    1.10,
    1.00)</f>
        <v/>
      </c>
      <c r="O204">
        <f>IF('Loan Tape (S&amp;P)'!T204="Yes",
    1.35,
    1.00)</f>
        <v/>
      </c>
      <c r="P204">
        <f>IF('Loan Tape (S&amp;P)'!S204="Yes",
    1.15,
    1.00)</f>
        <v/>
      </c>
      <c r="Q204">
        <f>IF('Loan Tape (S&amp;P)'!V204="Yes",
    1.20,
    1.00)</f>
        <v/>
      </c>
      <c r="T204">
        <f>LET(
    payment_method,'Loan Tape (S&amp;P)'!P204,
    occupancy,'Loan Tape (S&amp;P)'!N204,
    maturity_date,'Loan Tape (S&amp;P)'!L204,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5">
      <c r="J205">
        <f>LET(
    lien,'Loan Tape (S&amp;P)'!Q205,
    IF(lien="First",1.00,
        IF(lien="Second",1.50,
            1.70)))</f>
        <v/>
      </c>
      <c r="K205">
        <f>LET(
    purpose,'Loan Tape (S&amp;P)'!R205,
    IF(purpose="Purchase",1.00,
        IF(purpose="Remortgage",1.00,
            1.20)))</f>
        <v/>
      </c>
      <c r="L205">
        <f>LET(
    arrears_months,'Loan Tape (S&amp;P)'!AN205,
    IF(arrears_months=0,1.00,
    IF(arrears_months=1,3.00,
    IF(arrears_months=2,5.00,
    IF(arrears_months=3,8.00,
    IF(arrears_months=4,10.00,
    IF(arrears_months=5,12.00,15.00)))))))</f>
        <v/>
      </c>
      <c r="M205">
        <f>LET(
    seasoning_years,DATEDIF('Loan Tape (S&amp;P)'!K205,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5">
        <f>IF(AND('Loan Tape (S&amp;P)'!U205="Yes",
        'Loan Tape (S&amp;P)'!T205&lt;&gt;"Yes",
        DATEDIF('Loan Tape (S&amp;P)'!K205, TODAY(), "M")&lt;18),
    1.10,
    1.00)</f>
        <v/>
      </c>
      <c r="O205">
        <f>IF('Loan Tape (S&amp;P)'!T205="Yes",
    1.35,
    1.00)</f>
        <v/>
      </c>
      <c r="P205">
        <f>IF('Loan Tape (S&amp;P)'!S205="Yes",
    1.15,
    1.00)</f>
        <v/>
      </c>
      <c r="Q205">
        <f>IF('Loan Tape (S&amp;P)'!V205="Yes",
    1.20,
    1.00)</f>
        <v/>
      </c>
      <c r="T205">
        <f>LET(
    payment_method,'Loan Tape (S&amp;P)'!P205,
    occupancy,'Loan Tape (S&amp;P)'!N205,
    maturity_date,'Loan Tape (S&amp;P)'!L205,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6">
      <c r="J206">
        <f>LET(
    lien,'Loan Tape (S&amp;P)'!Q206,
    IF(lien="First",1.00,
        IF(lien="Second",1.50,
            1.70)))</f>
        <v/>
      </c>
      <c r="K206">
        <f>LET(
    purpose,'Loan Tape (S&amp;P)'!R206,
    IF(purpose="Purchase",1.00,
        IF(purpose="Remortgage",1.00,
            1.20)))</f>
        <v/>
      </c>
      <c r="L206">
        <f>LET(
    arrears_months,'Loan Tape (S&amp;P)'!AN206,
    IF(arrears_months=0,1.00,
    IF(arrears_months=1,3.00,
    IF(arrears_months=2,5.00,
    IF(arrears_months=3,8.00,
    IF(arrears_months=4,10.00,
    IF(arrears_months=5,12.00,15.00)))))))</f>
        <v/>
      </c>
      <c r="M206">
        <f>LET(
    seasoning_years,DATEDIF('Loan Tape (S&amp;P)'!K206,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6">
        <f>IF(AND('Loan Tape (S&amp;P)'!U206="Yes",
        'Loan Tape (S&amp;P)'!T206&lt;&gt;"Yes",
        DATEDIF('Loan Tape (S&amp;P)'!K206, TODAY(), "M")&lt;18),
    1.10,
    1.00)</f>
        <v/>
      </c>
      <c r="O206">
        <f>IF('Loan Tape (S&amp;P)'!T206="Yes",
    1.35,
    1.00)</f>
        <v/>
      </c>
      <c r="P206">
        <f>IF('Loan Tape (S&amp;P)'!S206="Yes",
    1.15,
    1.00)</f>
        <v/>
      </c>
      <c r="Q206">
        <f>IF('Loan Tape (S&amp;P)'!V206="Yes",
    1.20,
    1.00)</f>
        <v/>
      </c>
      <c r="T206">
        <f>LET(
    payment_method,'Loan Tape (S&amp;P)'!P206,
    occupancy,'Loan Tape (S&amp;P)'!N206,
    maturity_date,'Loan Tape (S&amp;P)'!L206,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7">
      <c r="J207">
        <f>LET(
    lien,'Loan Tape (S&amp;P)'!Q207,
    IF(lien="First",1.00,
        IF(lien="Second",1.50,
            1.70)))</f>
        <v/>
      </c>
      <c r="K207">
        <f>LET(
    purpose,'Loan Tape (S&amp;P)'!R207,
    IF(purpose="Purchase",1.00,
        IF(purpose="Remortgage",1.00,
            1.20)))</f>
        <v/>
      </c>
      <c r="L207">
        <f>LET(
    arrears_months,'Loan Tape (S&amp;P)'!AN207,
    IF(arrears_months=0,1.00,
    IF(arrears_months=1,3.00,
    IF(arrears_months=2,5.00,
    IF(arrears_months=3,8.00,
    IF(arrears_months=4,10.00,
    IF(arrears_months=5,12.00,15.00)))))))</f>
        <v/>
      </c>
      <c r="M207">
        <f>LET(
    seasoning_years,DATEDIF('Loan Tape (S&amp;P)'!K207,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7">
        <f>IF(AND('Loan Tape (S&amp;P)'!U207="Yes",
        'Loan Tape (S&amp;P)'!T207&lt;&gt;"Yes",
        DATEDIF('Loan Tape (S&amp;P)'!K207, TODAY(), "M")&lt;18),
    1.10,
    1.00)</f>
        <v/>
      </c>
      <c r="O207">
        <f>IF('Loan Tape (S&amp;P)'!T207="Yes",
    1.35,
    1.00)</f>
        <v/>
      </c>
      <c r="P207">
        <f>IF('Loan Tape (S&amp;P)'!S207="Yes",
    1.15,
    1.00)</f>
        <v/>
      </c>
      <c r="Q207">
        <f>IF('Loan Tape (S&amp;P)'!V207="Yes",
    1.20,
    1.00)</f>
        <v/>
      </c>
      <c r="T207">
        <f>LET(
    payment_method,'Loan Tape (S&amp;P)'!P207,
    occupancy,'Loan Tape (S&amp;P)'!N207,
    maturity_date,'Loan Tape (S&amp;P)'!L207,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8">
      <c r="J208">
        <f>LET(
    lien,'Loan Tape (S&amp;P)'!Q208,
    IF(lien="First",1.00,
        IF(lien="Second",1.50,
            1.70)))</f>
        <v/>
      </c>
      <c r="K208">
        <f>LET(
    purpose,'Loan Tape (S&amp;P)'!R208,
    IF(purpose="Purchase",1.00,
        IF(purpose="Remortgage",1.00,
            1.20)))</f>
        <v/>
      </c>
      <c r="L208">
        <f>LET(
    arrears_months,'Loan Tape (S&amp;P)'!AN208,
    IF(arrears_months=0,1.00,
    IF(arrears_months=1,3.00,
    IF(arrears_months=2,5.00,
    IF(arrears_months=3,8.00,
    IF(arrears_months=4,10.00,
    IF(arrears_months=5,12.00,15.00)))))))</f>
        <v/>
      </c>
      <c r="M208">
        <f>LET(
    seasoning_years,DATEDIF('Loan Tape (S&amp;P)'!K208,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8">
        <f>IF(AND('Loan Tape (S&amp;P)'!U208="Yes",
        'Loan Tape (S&amp;P)'!T208&lt;&gt;"Yes",
        DATEDIF('Loan Tape (S&amp;P)'!K208, TODAY(), "M")&lt;18),
    1.10,
    1.00)</f>
        <v/>
      </c>
      <c r="O208">
        <f>IF('Loan Tape (S&amp;P)'!T208="Yes",
    1.35,
    1.00)</f>
        <v/>
      </c>
      <c r="P208">
        <f>IF('Loan Tape (S&amp;P)'!S208="Yes",
    1.15,
    1.00)</f>
        <v/>
      </c>
      <c r="Q208">
        <f>IF('Loan Tape (S&amp;P)'!V208="Yes",
    1.20,
    1.00)</f>
        <v/>
      </c>
      <c r="T208">
        <f>LET(
    payment_method,'Loan Tape (S&amp;P)'!P208,
    occupancy,'Loan Tape (S&amp;P)'!N208,
    maturity_date,'Loan Tape (S&amp;P)'!L208,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9">
      <c r="J209">
        <f>LET(
    lien,'Loan Tape (S&amp;P)'!Q209,
    IF(lien="First",1.00,
        IF(lien="Second",1.50,
            1.70)))</f>
        <v/>
      </c>
      <c r="K209">
        <f>LET(
    purpose,'Loan Tape (S&amp;P)'!R209,
    IF(purpose="Purchase",1.00,
        IF(purpose="Remortgage",1.00,
            1.20)))</f>
        <v/>
      </c>
      <c r="L209">
        <f>LET(
    arrears_months,'Loan Tape (S&amp;P)'!AN209,
    IF(arrears_months=0,1.00,
    IF(arrears_months=1,3.00,
    IF(arrears_months=2,5.00,
    IF(arrears_months=3,8.00,
    IF(arrears_months=4,10.00,
    IF(arrears_months=5,12.00,15.00)))))))</f>
        <v/>
      </c>
      <c r="M209">
        <f>LET(
    seasoning_years,DATEDIF('Loan Tape (S&amp;P)'!K209,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9">
        <f>IF(AND('Loan Tape (S&amp;P)'!U209="Yes",
        'Loan Tape (S&amp;P)'!T209&lt;&gt;"Yes",
        DATEDIF('Loan Tape (S&amp;P)'!K209, TODAY(), "M")&lt;18),
    1.10,
    1.00)</f>
        <v/>
      </c>
      <c r="O209">
        <f>IF('Loan Tape (S&amp;P)'!T209="Yes",
    1.35,
    1.00)</f>
        <v/>
      </c>
      <c r="P209">
        <f>IF('Loan Tape (S&amp;P)'!S209="Yes",
    1.15,
    1.00)</f>
        <v/>
      </c>
      <c r="Q209">
        <f>IF('Loan Tape (S&amp;P)'!V209="Yes",
    1.20,
    1.00)</f>
        <v/>
      </c>
      <c r="T209">
        <f>LET(
    payment_method,'Loan Tape (S&amp;P)'!P209,
    occupancy,'Loan Tape (S&amp;P)'!N209,
    maturity_date,'Loan Tape (S&amp;P)'!L209,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0">
      <c r="J210">
        <f>LET(
    lien,'Loan Tape (S&amp;P)'!Q210,
    IF(lien="First",1.00,
        IF(lien="Second",1.50,
            1.70)))</f>
        <v/>
      </c>
      <c r="K210">
        <f>LET(
    purpose,'Loan Tape (S&amp;P)'!R210,
    IF(purpose="Purchase",1.00,
        IF(purpose="Remortgage",1.00,
            1.20)))</f>
        <v/>
      </c>
      <c r="L210">
        <f>LET(
    arrears_months,'Loan Tape (S&amp;P)'!AN210,
    IF(arrears_months=0,1.00,
    IF(arrears_months=1,3.00,
    IF(arrears_months=2,5.00,
    IF(arrears_months=3,8.00,
    IF(arrears_months=4,10.00,
    IF(arrears_months=5,12.00,15.00)))))))</f>
        <v/>
      </c>
      <c r="M210">
        <f>LET(
    seasoning_years,DATEDIF('Loan Tape (S&amp;P)'!K210,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0">
        <f>IF(AND('Loan Tape (S&amp;P)'!U210="Yes",
        'Loan Tape (S&amp;P)'!T210&lt;&gt;"Yes",
        DATEDIF('Loan Tape (S&amp;P)'!K210, TODAY(), "M")&lt;18),
    1.10,
    1.00)</f>
        <v/>
      </c>
      <c r="O210">
        <f>IF('Loan Tape (S&amp;P)'!T210="Yes",
    1.35,
    1.00)</f>
        <v/>
      </c>
      <c r="P210">
        <f>IF('Loan Tape (S&amp;P)'!S210="Yes",
    1.15,
    1.00)</f>
        <v/>
      </c>
      <c r="Q210">
        <f>IF('Loan Tape (S&amp;P)'!V210="Yes",
    1.20,
    1.00)</f>
        <v/>
      </c>
      <c r="T210">
        <f>LET(
    payment_method,'Loan Tape (S&amp;P)'!P210,
    occupancy,'Loan Tape (S&amp;P)'!N210,
    maturity_date,'Loan Tape (S&amp;P)'!L210,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1">
      <c r="J211">
        <f>LET(
    lien,'Loan Tape (S&amp;P)'!Q211,
    IF(lien="First",1.00,
        IF(lien="Second",1.50,
            1.70)))</f>
        <v/>
      </c>
      <c r="K211">
        <f>LET(
    purpose,'Loan Tape (S&amp;P)'!R211,
    IF(purpose="Purchase",1.00,
        IF(purpose="Remortgage",1.00,
            1.20)))</f>
        <v/>
      </c>
      <c r="L211">
        <f>LET(
    arrears_months,'Loan Tape (S&amp;P)'!AN211,
    IF(arrears_months=0,1.00,
    IF(arrears_months=1,3.00,
    IF(arrears_months=2,5.00,
    IF(arrears_months=3,8.00,
    IF(arrears_months=4,10.00,
    IF(arrears_months=5,12.00,15.00)))))))</f>
        <v/>
      </c>
      <c r="M211">
        <f>LET(
    seasoning_years,DATEDIF('Loan Tape (S&amp;P)'!K211,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1">
        <f>IF(AND('Loan Tape (S&amp;P)'!U211="Yes",
        'Loan Tape (S&amp;P)'!T211&lt;&gt;"Yes",
        DATEDIF('Loan Tape (S&amp;P)'!K211, TODAY(), "M")&lt;18),
    1.10,
    1.00)</f>
        <v/>
      </c>
      <c r="O211">
        <f>IF('Loan Tape (S&amp;P)'!T211="Yes",
    1.35,
    1.00)</f>
        <v/>
      </c>
      <c r="P211">
        <f>IF('Loan Tape (S&amp;P)'!S211="Yes",
    1.15,
    1.00)</f>
        <v/>
      </c>
      <c r="Q211">
        <f>IF('Loan Tape (S&amp;P)'!V211="Yes",
    1.20,
    1.00)</f>
        <v/>
      </c>
      <c r="T211">
        <f>LET(
    payment_method,'Loan Tape (S&amp;P)'!P211,
    occupancy,'Loan Tape (S&amp;P)'!N211,
    maturity_date,'Loan Tape (S&amp;P)'!L211,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2">
      <c r="J212">
        <f>LET(
    lien,'Loan Tape (S&amp;P)'!Q212,
    IF(lien="First",1.00,
        IF(lien="Second",1.50,
            1.70)))</f>
        <v/>
      </c>
      <c r="K212">
        <f>LET(
    purpose,'Loan Tape (S&amp;P)'!R212,
    IF(purpose="Purchase",1.00,
        IF(purpose="Remortgage",1.00,
            1.20)))</f>
        <v/>
      </c>
      <c r="L212">
        <f>LET(
    arrears_months,'Loan Tape (S&amp;P)'!AN212,
    IF(arrears_months=0,1.00,
    IF(arrears_months=1,3.00,
    IF(arrears_months=2,5.00,
    IF(arrears_months=3,8.00,
    IF(arrears_months=4,10.00,
    IF(arrears_months=5,12.00,15.00)))))))</f>
        <v/>
      </c>
      <c r="M212">
        <f>LET(
    seasoning_years,DATEDIF('Loan Tape (S&amp;P)'!K212,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2">
        <f>IF(AND('Loan Tape (S&amp;P)'!U212="Yes",
        'Loan Tape (S&amp;P)'!T212&lt;&gt;"Yes",
        DATEDIF('Loan Tape (S&amp;P)'!K212, TODAY(), "M")&lt;18),
    1.10,
    1.00)</f>
        <v/>
      </c>
      <c r="O212">
        <f>IF('Loan Tape (S&amp;P)'!T212="Yes",
    1.35,
    1.00)</f>
        <v/>
      </c>
      <c r="P212">
        <f>IF('Loan Tape (S&amp;P)'!S212="Yes",
    1.15,
    1.00)</f>
        <v/>
      </c>
      <c r="Q212">
        <f>IF('Loan Tape (S&amp;P)'!V212="Yes",
    1.20,
    1.00)</f>
        <v/>
      </c>
      <c r="T212">
        <f>LET(
    payment_method,'Loan Tape (S&amp;P)'!P212,
    occupancy,'Loan Tape (S&amp;P)'!N212,
    maturity_date,'Loan Tape (S&amp;P)'!L212,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3">
      <c r="J213">
        <f>LET(
    lien,'Loan Tape (S&amp;P)'!Q213,
    IF(lien="First",1.00,
        IF(lien="Second",1.50,
            1.70)))</f>
        <v/>
      </c>
      <c r="K213">
        <f>LET(
    purpose,'Loan Tape (S&amp;P)'!R213,
    IF(purpose="Purchase",1.00,
        IF(purpose="Remortgage",1.00,
            1.20)))</f>
        <v/>
      </c>
      <c r="L213">
        <f>LET(
    arrears_months,'Loan Tape (S&amp;P)'!AN213,
    IF(arrears_months=0,1.00,
    IF(arrears_months=1,3.00,
    IF(arrears_months=2,5.00,
    IF(arrears_months=3,8.00,
    IF(arrears_months=4,10.00,
    IF(arrears_months=5,12.00,15.00)))))))</f>
        <v/>
      </c>
      <c r="M213">
        <f>LET(
    seasoning_years,DATEDIF('Loan Tape (S&amp;P)'!K213,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3">
        <f>IF(AND('Loan Tape (S&amp;P)'!U213="Yes",
        'Loan Tape (S&amp;P)'!T213&lt;&gt;"Yes",
        DATEDIF('Loan Tape (S&amp;P)'!K213, TODAY(), "M")&lt;18),
    1.10,
    1.00)</f>
        <v/>
      </c>
      <c r="O213">
        <f>IF('Loan Tape (S&amp;P)'!T213="Yes",
    1.35,
    1.00)</f>
        <v/>
      </c>
      <c r="P213">
        <f>IF('Loan Tape (S&amp;P)'!S213="Yes",
    1.15,
    1.00)</f>
        <v/>
      </c>
      <c r="Q213">
        <f>IF('Loan Tape (S&amp;P)'!V213="Yes",
    1.20,
    1.00)</f>
        <v/>
      </c>
      <c r="T213">
        <f>LET(
    payment_method,'Loan Tape (S&amp;P)'!P213,
    occupancy,'Loan Tape (S&amp;P)'!N213,
    maturity_date,'Loan Tape (S&amp;P)'!L213,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4">
      <c r="J214">
        <f>LET(
    lien,'Loan Tape (S&amp;P)'!Q214,
    IF(lien="First",1.00,
        IF(lien="Second",1.50,
            1.70)))</f>
        <v/>
      </c>
      <c r="K214">
        <f>LET(
    purpose,'Loan Tape (S&amp;P)'!R214,
    IF(purpose="Purchase",1.00,
        IF(purpose="Remortgage",1.00,
            1.20)))</f>
        <v/>
      </c>
      <c r="L214">
        <f>LET(
    arrears_months,'Loan Tape (S&amp;P)'!AN214,
    IF(arrears_months=0,1.00,
    IF(arrears_months=1,3.00,
    IF(arrears_months=2,5.00,
    IF(arrears_months=3,8.00,
    IF(arrears_months=4,10.00,
    IF(arrears_months=5,12.00,15.00)))))))</f>
        <v/>
      </c>
      <c r="M214">
        <f>LET(
    seasoning_years,DATEDIF('Loan Tape (S&amp;P)'!K214,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4">
        <f>IF(AND('Loan Tape (S&amp;P)'!U214="Yes",
        'Loan Tape (S&amp;P)'!T214&lt;&gt;"Yes",
        DATEDIF('Loan Tape (S&amp;P)'!K214, TODAY(), "M")&lt;18),
    1.10,
    1.00)</f>
        <v/>
      </c>
      <c r="O214">
        <f>IF('Loan Tape (S&amp;P)'!T214="Yes",
    1.35,
    1.00)</f>
        <v/>
      </c>
      <c r="P214">
        <f>IF('Loan Tape (S&amp;P)'!S214="Yes",
    1.15,
    1.00)</f>
        <v/>
      </c>
      <c r="Q214">
        <f>IF('Loan Tape (S&amp;P)'!V214="Yes",
    1.20,
    1.00)</f>
        <v/>
      </c>
      <c r="T214">
        <f>LET(
    payment_method,'Loan Tape (S&amp;P)'!P214,
    occupancy,'Loan Tape (S&amp;P)'!N214,
    maturity_date,'Loan Tape (S&amp;P)'!L214,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5">
      <c r="J215">
        <f>LET(
    lien,'Loan Tape (S&amp;P)'!Q215,
    IF(lien="First",1.00,
        IF(lien="Second",1.50,
            1.70)))</f>
        <v/>
      </c>
      <c r="K215">
        <f>LET(
    purpose,'Loan Tape (S&amp;P)'!R215,
    IF(purpose="Purchase",1.00,
        IF(purpose="Remortgage",1.00,
            1.20)))</f>
        <v/>
      </c>
      <c r="L215">
        <f>LET(
    arrears_months,'Loan Tape (S&amp;P)'!AN215,
    IF(arrears_months=0,1.00,
    IF(arrears_months=1,3.00,
    IF(arrears_months=2,5.00,
    IF(arrears_months=3,8.00,
    IF(arrears_months=4,10.00,
    IF(arrears_months=5,12.00,15.00)))))))</f>
        <v/>
      </c>
      <c r="M215">
        <f>LET(
    seasoning_years,DATEDIF('Loan Tape (S&amp;P)'!K215,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5">
        <f>IF(AND('Loan Tape (S&amp;P)'!U215="Yes",
        'Loan Tape (S&amp;P)'!T215&lt;&gt;"Yes",
        DATEDIF('Loan Tape (S&amp;P)'!K215, TODAY(), "M")&lt;18),
    1.10,
    1.00)</f>
        <v/>
      </c>
      <c r="O215">
        <f>IF('Loan Tape (S&amp;P)'!T215="Yes",
    1.35,
    1.00)</f>
        <v/>
      </c>
      <c r="P215">
        <f>IF('Loan Tape (S&amp;P)'!S215="Yes",
    1.15,
    1.00)</f>
        <v/>
      </c>
      <c r="Q215">
        <f>IF('Loan Tape (S&amp;P)'!V215="Yes",
    1.20,
    1.00)</f>
        <v/>
      </c>
      <c r="T215">
        <f>LET(
    payment_method,'Loan Tape (S&amp;P)'!P215,
    occupancy,'Loan Tape (S&amp;P)'!N215,
    maturity_date,'Loan Tape (S&amp;P)'!L215,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6">
      <c r="J216">
        <f>LET(
    lien,'Loan Tape (S&amp;P)'!Q216,
    IF(lien="First",1.00,
        IF(lien="Second",1.50,
            1.70)))</f>
        <v/>
      </c>
      <c r="K216">
        <f>LET(
    purpose,'Loan Tape (S&amp;P)'!R216,
    IF(purpose="Purchase",1.00,
        IF(purpose="Remortgage",1.00,
            1.20)))</f>
        <v/>
      </c>
      <c r="L216">
        <f>LET(
    arrears_months,'Loan Tape (S&amp;P)'!AN216,
    IF(arrears_months=0,1.00,
    IF(arrears_months=1,3.00,
    IF(arrears_months=2,5.00,
    IF(arrears_months=3,8.00,
    IF(arrears_months=4,10.00,
    IF(arrears_months=5,12.00,15.00)))))))</f>
        <v/>
      </c>
      <c r="M216">
        <f>LET(
    seasoning_years,DATEDIF('Loan Tape (S&amp;P)'!K216,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6">
        <f>IF(AND('Loan Tape (S&amp;P)'!U216="Yes",
        'Loan Tape (S&amp;P)'!T216&lt;&gt;"Yes",
        DATEDIF('Loan Tape (S&amp;P)'!K216, TODAY(), "M")&lt;18),
    1.10,
    1.00)</f>
        <v/>
      </c>
      <c r="O216">
        <f>IF('Loan Tape (S&amp;P)'!T216="Yes",
    1.35,
    1.00)</f>
        <v/>
      </c>
      <c r="P216">
        <f>IF('Loan Tape (S&amp;P)'!S216="Yes",
    1.15,
    1.00)</f>
        <v/>
      </c>
      <c r="Q216">
        <f>IF('Loan Tape (S&amp;P)'!V216="Yes",
    1.20,
    1.00)</f>
        <v/>
      </c>
      <c r="T216">
        <f>LET(
    payment_method,'Loan Tape (S&amp;P)'!P216,
    occupancy,'Loan Tape (S&amp;P)'!N216,
    maturity_date,'Loan Tape (S&amp;P)'!L216,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7">
      <c r="J217">
        <f>LET(
    lien,'Loan Tape (S&amp;P)'!Q217,
    IF(lien="First",1.00,
        IF(lien="Second",1.50,
            1.70)))</f>
        <v/>
      </c>
      <c r="K217">
        <f>LET(
    purpose,'Loan Tape (S&amp;P)'!R217,
    IF(purpose="Purchase",1.00,
        IF(purpose="Remortgage",1.00,
            1.20)))</f>
        <v/>
      </c>
      <c r="L217">
        <f>LET(
    arrears_months,'Loan Tape (S&amp;P)'!AN217,
    IF(arrears_months=0,1.00,
    IF(arrears_months=1,3.00,
    IF(arrears_months=2,5.00,
    IF(arrears_months=3,8.00,
    IF(arrears_months=4,10.00,
    IF(arrears_months=5,12.00,15.00)))))))</f>
        <v/>
      </c>
      <c r="M217">
        <f>LET(
    seasoning_years,DATEDIF('Loan Tape (S&amp;P)'!K217,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7">
        <f>IF(AND('Loan Tape (S&amp;P)'!U217="Yes",
        'Loan Tape (S&amp;P)'!T217&lt;&gt;"Yes",
        DATEDIF('Loan Tape (S&amp;P)'!K217, TODAY(), "M")&lt;18),
    1.10,
    1.00)</f>
        <v/>
      </c>
      <c r="O217">
        <f>IF('Loan Tape (S&amp;P)'!T217="Yes",
    1.35,
    1.00)</f>
        <v/>
      </c>
      <c r="P217">
        <f>IF('Loan Tape (S&amp;P)'!S217="Yes",
    1.15,
    1.00)</f>
        <v/>
      </c>
      <c r="Q217">
        <f>IF('Loan Tape (S&amp;P)'!V217="Yes",
    1.20,
    1.00)</f>
        <v/>
      </c>
      <c r="T217">
        <f>LET(
    payment_method,'Loan Tape (S&amp;P)'!P217,
    occupancy,'Loan Tape (S&amp;P)'!N217,
    maturity_date,'Loan Tape (S&amp;P)'!L217,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8">
      <c r="J218">
        <f>LET(
    lien,'Loan Tape (S&amp;P)'!Q218,
    IF(lien="First",1.00,
        IF(lien="Second",1.50,
            1.70)))</f>
        <v/>
      </c>
      <c r="K218">
        <f>LET(
    purpose,'Loan Tape (S&amp;P)'!R218,
    IF(purpose="Purchase",1.00,
        IF(purpose="Remortgage",1.00,
            1.20)))</f>
        <v/>
      </c>
      <c r="L218">
        <f>LET(
    arrears_months,'Loan Tape (S&amp;P)'!AN218,
    IF(arrears_months=0,1.00,
    IF(arrears_months=1,3.00,
    IF(arrears_months=2,5.00,
    IF(arrears_months=3,8.00,
    IF(arrears_months=4,10.00,
    IF(arrears_months=5,12.00,15.00)))))))</f>
        <v/>
      </c>
      <c r="M218">
        <f>LET(
    seasoning_years,DATEDIF('Loan Tape (S&amp;P)'!K218,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8">
        <f>IF(AND('Loan Tape (S&amp;P)'!U218="Yes",
        'Loan Tape (S&amp;P)'!T218&lt;&gt;"Yes",
        DATEDIF('Loan Tape (S&amp;P)'!K218, TODAY(), "M")&lt;18),
    1.10,
    1.00)</f>
        <v/>
      </c>
      <c r="O218">
        <f>IF('Loan Tape (S&amp;P)'!T218="Yes",
    1.35,
    1.00)</f>
        <v/>
      </c>
      <c r="P218">
        <f>IF('Loan Tape (S&amp;P)'!S218="Yes",
    1.15,
    1.00)</f>
        <v/>
      </c>
      <c r="Q218">
        <f>IF('Loan Tape (S&amp;P)'!V218="Yes",
    1.20,
    1.00)</f>
        <v/>
      </c>
      <c r="T218">
        <f>LET(
    payment_method,'Loan Tape (S&amp;P)'!P218,
    occupancy,'Loan Tape (S&amp;P)'!N218,
    maturity_date,'Loan Tape (S&amp;P)'!L218,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9">
      <c r="J219">
        <f>LET(
    lien,'Loan Tape (S&amp;P)'!Q219,
    IF(lien="First",1.00,
        IF(lien="Second",1.50,
            1.70)))</f>
        <v/>
      </c>
      <c r="K219">
        <f>LET(
    purpose,'Loan Tape (S&amp;P)'!R219,
    IF(purpose="Purchase",1.00,
        IF(purpose="Remortgage",1.00,
            1.20)))</f>
        <v/>
      </c>
      <c r="L219">
        <f>LET(
    arrears_months,'Loan Tape (S&amp;P)'!AN219,
    IF(arrears_months=0,1.00,
    IF(arrears_months=1,3.00,
    IF(arrears_months=2,5.00,
    IF(arrears_months=3,8.00,
    IF(arrears_months=4,10.00,
    IF(arrears_months=5,12.00,15.00)))))))</f>
        <v/>
      </c>
      <c r="M219">
        <f>LET(
    seasoning_years,DATEDIF('Loan Tape (S&amp;P)'!K219,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9">
        <f>IF(AND('Loan Tape (S&amp;P)'!U219="Yes",
        'Loan Tape (S&amp;P)'!T219&lt;&gt;"Yes",
        DATEDIF('Loan Tape (S&amp;P)'!K219, TODAY(), "M")&lt;18),
    1.10,
    1.00)</f>
        <v/>
      </c>
      <c r="O219">
        <f>IF('Loan Tape (S&amp;P)'!T219="Yes",
    1.35,
    1.00)</f>
        <v/>
      </c>
      <c r="P219">
        <f>IF('Loan Tape (S&amp;P)'!S219="Yes",
    1.15,
    1.00)</f>
        <v/>
      </c>
      <c r="Q219">
        <f>IF('Loan Tape (S&amp;P)'!V219="Yes",
    1.20,
    1.00)</f>
        <v/>
      </c>
      <c r="T219">
        <f>LET(
    payment_method,'Loan Tape (S&amp;P)'!P219,
    occupancy,'Loan Tape (S&amp;P)'!N219,
    maturity_date,'Loan Tape (S&amp;P)'!L219,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0">
      <c r="J220">
        <f>LET(
    lien,'Loan Tape (S&amp;P)'!Q220,
    IF(lien="First",1.00,
        IF(lien="Second",1.50,
            1.70)))</f>
        <v/>
      </c>
      <c r="K220">
        <f>LET(
    purpose,'Loan Tape (S&amp;P)'!R220,
    IF(purpose="Purchase",1.00,
        IF(purpose="Remortgage",1.00,
            1.20)))</f>
        <v/>
      </c>
      <c r="L220">
        <f>LET(
    arrears_months,'Loan Tape (S&amp;P)'!AN220,
    IF(arrears_months=0,1.00,
    IF(arrears_months=1,3.00,
    IF(arrears_months=2,5.00,
    IF(arrears_months=3,8.00,
    IF(arrears_months=4,10.00,
    IF(arrears_months=5,12.00,15.00)))))))</f>
        <v/>
      </c>
      <c r="M220">
        <f>LET(
    seasoning_years,DATEDIF('Loan Tape (S&amp;P)'!K220,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0">
        <f>IF(AND('Loan Tape (S&amp;P)'!U220="Yes",
        'Loan Tape (S&amp;P)'!T220&lt;&gt;"Yes",
        DATEDIF('Loan Tape (S&amp;P)'!K220, TODAY(), "M")&lt;18),
    1.10,
    1.00)</f>
        <v/>
      </c>
      <c r="O220">
        <f>IF('Loan Tape (S&amp;P)'!T220="Yes",
    1.35,
    1.00)</f>
        <v/>
      </c>
      <c r="P220">
        <f>IF('Loan Tape (S&amp;P)'!S220="Yes",
    1.15,
    1.00)</f>
        <v/>
      </c>
      <c r="Q220">
        <f>IF('Loan Tape (S&amp;P)'!V220="Yes",
    1.20,
    1.00)</f>
        <v/>
      </c>
      <c r="T220">
        <f>LET(
    payment_method,'Loan Tape (S&amp;P)'!P220,
    occupancy,'Loan Tape (S&amp;P)'!N220,
    maturity_date,'Loan Tape (S&amp;P)'!L220,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1">
      <c r="J221">
        <f>LET(
    lien,'Loan Tape (S&amp;P)'!Q221,
    IF(lien="First",1.00,
        IF(lien="Second",1.50,
            1.70)))</f>
        <v/>
      </c>
      <c r="K221">
        <f>LET(
    purpose,'Loan Tape (S&amp;P)'!R221,
    IF(purpose="Purchase",1.00,
        IF(purpose="Remortgage",1.00,
            1.20)))</f>
        <v/>
      </c>
      <c r="L221">
        <f>LET(
    arrears_months,'Loan Tape (S&amp;P)'!AN221,
    IF(arrears_months=0,1.00,
    IF(arrears_months=1,3.00,
    IF(arrears_months=2,5.00,
    IF(arrears_months=3,8.00,
    IF(arrears_months=4,10.00,
    IF(arrears_months=5,12.00,15.00)))))))</f>
        <v/>
      </c>
      <c r="M221">
        <f>LET(
    seasoning_years,DATEDIF('Loan Tape (S&amp;P)'!K221,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1">
        <f>IF(AND('Loan Tape (S&amp;P)'!U221="Yes",
        'Loan Tape (S&amp;P)'!T221&lt;&gt;"Yes",
        DATEDIF('Loan Tape (S&amp;P)'!K221, TODAY(), "M")&lt;18),
    1.10,
    1.00)</f>
        <v/>
      </c>
      <c r="O221">
        <f>IF('Loan Tape (S&amp;P)'!T221="Yes",
    1.35,
    1.00)</f>
        <v/>
      </c>
      <c r="P221">
        <f>IF('Loan Tape (S&amp;P)'!S221="Yes",
    1.15,
    1.00)</f>
        <v/>
      </c>
      <c r="Q221">
        <f>IF('Loan Tape (S&amp;P)'!V221="Yes",
    1.20,
    1.00)</f>
        <v/>
      </c>
      <c r="T221">
        <f>LET(
    payment_method,'Loan Tape (S&amp;P)'!P221,
    occupancy,'Loan Tape (S&amp;P)'!N221,
    maturity_date,'Loan Tape (S&amp;P)'!L221,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2">
      <c r="J222">
        <f>LET(
    lien,'Loan Tape (S&amp;P)'!Q222,
    IF(lien="First",1.00,
        IF(lien="Second",1.50,
            1.70)))</f>
        <v/>
      </c>
      <c r="K222">
        <f>LET(
    purpose,'Loan Tape (S&amp;P)'!R222,
    IF(purpose="Purchase",1.00,
        IF(purpose="Remortgage",1.00,
            1.20)))</f>
        <v/>
      </c>
      <c r="L222">
        <f>LET(
    arrears_months,'Loan Tape (S&amp;P)'!AN222,
    IF(arrears_months=0,1.00,
    IF(arrears_months=1,3.00,
    IF(arrears_months=2,5.00,
    IF(arrears_months=3,8.00,
    IF(arrears_months=4,10.00,
    IF(arrears_months=5,12.00,15.00)))))))</f>
        <v/>
      </c>
      <c r="M222">
        <f>LET(
    seasoning_years,DATEDIF('Loan Tape (S&amp;P)'!K222,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2">
        <f>IF(AND('Loan Tape (S&amp;P)'!U222="Yes",
        'Loan Tape (S&amp;P)'!T222&lt;&gt;"Yes",
        DATEDIF('Loan Tape (S&amp;P)'!K222, TODAY(), "M")&lt;18),
    1.10,
    1.00)</f>
        <v/>
      </c>
      <c r="O222">
        <f>IF('Loan Tape (S&amp;P)'!T222="Yes",
    1.35,
    1.00)</f>
        <v/>
      </c>
      <c r="P222">
        <f>IF('Loan Tape (S&amp;P)'!S222="Yes",
    1.15,
    1.00)</f>
        <v/>
      </c>
      <c r="Q222">
        <f>IF('Loan Tape (S&amp;P)'!V222="Yes",
    1.20,
    1.00)</f>
        <v/>
      </c>
      <c r="T222">
        <f>LET(
    payment_method,'Loan Tape (S&amp;P)'!P222,
    occupancy,'Loan Tape (S&amp;P)'!N222,
    maturity_date,'Loan Tape (S&amp;P)'!L222,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3">
      <c r="J223">
        <f>LET(
    lien,'Loan Tape (S&amp;P)'!Q223,
    IF(lien="First",1.00,
        IF(lien="Second",1.50,
            1.70)))</f>
        <v/>
      </c>
      <c r="K223">
        <f>LET(
    purpose,'Loan Tape (S&amp;P)'!R223,
    IF(purpose="Purchase",1.00,
        IF(purpose="Remortgage",1.00,
            1.20)))</f>
        <v/>
      </c>
      <c r="L223">
        <f>LET(
    arrears_months,'Loan Tape (S&amp;P)'!AN223,
    IF(arrears_months=0,1.00,
    IF(arrears_months=1,3.00,
    IF(arrears_months=2,5.00,
    IF(arrears_months=3,8.00,
    IF(arrears_months=4,10.00,
    IF(arrears_months=5,12.00,15.00)))))))</f>
        <v/>
      </c>
      <c r="M223">
        <f>LET(
    seasoning_years,DATEDIF('Loan Tape (S&amp;P)'!K223,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3">
        <f>IF(AND('Loan Tape (S&amp;P)'!U223="Yes",
        'Loan Tape (S&amp;P)'!T223&lt;&gt;"Yes",
        DATEDIF('Loan Tape (S&amp;P)'!K223, TODAY(), "M")&lt;18),
    1.10,
    1.00)</f>
        <v/>
      </c>
      <c r="O223">
        <f>IF('Loan Tape (S&amp;P)'!T223="Yes",
    1.35,
    1.00)</f>
        <v/>
      </c>
      <c r="P223">
        <f>IF('Loan Tape (S&amp;P)'!S223="Yes",
    1.15,
    1.00)</f>
        <v/>
      </c>
      <c r="Q223">
        <f>IF('Loan Tape (S&amp;P)'!V223="Yes",
    1.20,
    1.00)</f>
        <v/>
      </c>
      <c r="T223">
        <f>LET(
    payment_method,'Loan Tape (S&amp;P)'!P223,
    occupancy,'Loan Tape (S&amp;P)'!N223,
    maturity_date,'Loan Tape (S&amp;P)'!L223,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4">
      <c r="J224">
        <f>LET(
    lien,'Loan Tape (S&amp;P)'!Q224,
    IF(lien="First",1.00,
        IF(lien="Second",1.50,
            1.70)))</f>
        <v/>
      </c>
      <c r="K224">
        <f>LET(
    purpose,'Loan Tape (S&amp;P)'!R224,
    IF(purpose="Purchase",1.00,
        IF(purpose="Remortgage",1.00,
            1.20)))</f>
        <v/>
      </c>
      <c r="L224">
        <f>LET(
    arrears_months,'Loan Tape (S&amp;P)'!AN224,
    IF(arrears_months=0,1.00,
    IF(arrears_months=1,3.00,
    IF(arrears_months=2,5.00,
    IF(arrears_months=3,8.00,
    IF(arrears_months=4,10.00,
    IF(arrears_months=5,12.00,15.00)))))))</f>
        <v/>
      </c>
      <c r="M224">
        <f>LET(
    seasoning_years,DATEDIF('Loan Tape (S&amp;P)'!K224,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4">
        <f>IF(AND('Loan Tape (S&amp;P)'!U224="Yes",
        'Loan Tape (S&amp;P)'!T224&lt;&gt;"Yes",
        DATEDIF('Loan Tape (S&amp;P)'!K224, TODAY(), "M")&lt;18),
    1.10,
    1.00)</f>
        <v/>
      </c>
      <c r="O224">
        <f>IF('Loan Tape (S&amp;P)'!T224="Yes",
    1.35,
    1.00)</f>
        <v/>
      </c>
      <c r="P224">
        <f>IF('Loan Tape (S&amp;P)'!S224="Yes",
    1.15,
    1.00)</f>
        <v/>
      </c>
      <c r="Q224">
        <f>IF('Loan Tape (S&amp;P)'!V224="Yes",
    1.20,
    1.00)</f>
        <v/>
      </c>
      <c r="T224">
        <f>LET(
    payment_method,'Loan Tape (S&amp;P)'!P224,
    occupancy,'Loan Tape (S&amp;P)'!N224,
    maturity_date,'Loan Tape (S&amp;P)'!L224,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5">
      <c r="J225">
        <f>LET(
    lien,'Loan Tape (S&amp;P)'!Q225,
    IF(lien="First",1.00,
        IF(lien="Second",1.50,
            1.70)))</f>
        <v/>
      </c>
      <c r="K225">
        <f>LET(
    purpose,'Loan Tape (S&amp;P)'!R225,
    IF(purpose="Purchase",1.00,
        IF(purpose="Remortgage",1.00,
            1.20)))</f>
        <v/>
      </c>
      <c r="L225">
        <f>LET(
    arrears_months,'Loan Tape (S&amp;P)'!AN225,
    IF(arrears_months=0,1.00,
    IF(arrears_months=1,3.00,
    IF(arrears_months=2,5.00,
    IF(arrears_months=3,8.00,
    IF(arrears_months=4,10.00,
    IF(arrears_months=5,12.00,15.00)))))))</f>
        <v/>
      </c>
      <c r="M225">
        <f>LET(
    seasoning_years,DATEDIF('Loan Tape (S&amp;P)'!K225,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5">
        <f>IF(AND('Loan Tape (S&amp;P)'!U225="Yes",
        'Loan Tape (S&amp;P)'!T225&lt;&gt;"Yes",
        DATEDIF('Loan Tape (S&amp;P)'!K225, TODAY(), "M")&lt;18),
    1.10,
    1.00)</f>
        <v/>
      </c>
      <c r="O225">
        <f>IF('Loan Tape (S&amp;P)'!T225="Yes",
    1.35,
    1.00)</f>
        <v/>
      </c>
      <c r="P225">
        <f>IF('Loan Tape (S&amp;P)'!S225="Yes",
    1.15,
    1.00)</f>
        <v/>
      </c>
      <c r="Q225">
        <f>IF('Loan Tape (S&amp;P)'!V225="Yes",
    1.20,
    1.00)</f>
        <v/>
      </c>
      <c r="T225">
        <f>LET(
    payment_method,'Loan Tape (S&amp;P)'!P225,
    occupancy,'Loan Tape (S&amp;P)'!N225,
    maturity_date,'Loan Tape (S&amp;P)'!L225,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6">
      <c r="J226">
        <f>LET(
    lien,'Loan Tape (S&amp;P)'!Q226,
    IF(lien="First",1.00,
        IF(lien="Second",1.50,
            1.70)))</f>
        <v/>
      </c>
      <c r="K226">
        <f>LET(
    purpose,'Loan Tape (S&amp;P)'!R226,
    IF(purpose="Purchase",1.00,
        IF(purpose="Remortgage",1.00,
            1.20)))</f>
        <v/>
      </c>
      <c r="L226">
        <f>LET(
    arrears_months,'Loan Tape (S&amp;P)'!AN226,
    IF(arrears_months=0,1.00,
    IF(arrears_months=1,3.00,
    IF(arrears_months=2,5.00,
    IF(arrears_months=3,8.00,
    IF(arrears_months=4,10.00,
    IF(arrears_months=5,12.00,15.00)))))))</f>
        <v/>
      </c>
      <c r="M226">
        <f>LET(
    seasoning_years,DATEDIF('Loan Tape (S&amp;P)'!K226,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6">
        <f>IF(AND('Loan Tape (S&amp;P)'!U226="Yes",
        'Loan Tape (S&amp;P)'!T226&lt;&gt;"Yes",
        DATEDIF('Loan Tape (S&amp;P)'!K226, TODAY(), "M")&lt;18),
    1.10,
    1.00)</f>
        <v/>
      </c>
      <c r="O226">
        <f>IF('Loan Tape (S&amp;P)'!T226="Yes",
    1.35,
    1.00)</f>
        <v/>
      </c>
      <c r="P226">
        <f>IF('Loan Tape (S&amp;P)'!S226="Yes",
    1.15,
    1.00)</f>
        <v/>
      </c>
      <c r="Q226">
        <f>IF('Loan Tape (S&amp;P)'!V226="Yes",
    1.20,
    1.00)</f>
        <v/>
      </c>
      <c r="T226">
        <f>LET(
    payment_method,'Loan Tape (S&amp;P)'!P226,
    occupancy,'Loan Tape (S&amp;P)'!N226,
    maturity_date,'Loan Tape (S&amp;P)'!L226,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7">
      <c r="J227">
        <f>LET(
    lien,'Loan Tape (S&amp;P)'!Q227,
    IF(lien="First",1.00,
        IF(lien="Second",1.50,
            1.70)))</f>
        <v/>
      </c>
      <c r="K227">
        <f>LET(
    purpose,'Loan Tape (S&amp;P)'!R227,
    IF(purpose="Purchase",1.00,
        IF(purpose="Remortgage",1.00,
            1.20)))</f>
        <v/>
      </c>
      <c r="L227">
        <f>LET(
    arrears_months,'Loan Tape (S&amp;P)'!AN227,
    IF(arrears_months=0,1.00,
    IF(arrears_months=1,3.00,
    IF(arrears_months=2,5.00,
    IF(arrears_months=3,8.00,
    IF(arrears_months=4,10.00,
    IF(arrears_months=5,12.00,15.00)))))))</f>
        <v/>
      </c>
      <c r="M227">
        <f>LET(
    seasoning_years,DATEDIF('Loan Tape (S&amp;P)'!K227,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7">
        <f>IF(AND('Loan Tape (S&amp;P)'!U227="Yes",
        'Loan Tape (S&amp;P)'!T227&lt;&gt;"Yes",
        DATEDIF('Loan Tape (S&amp;P)'!K227, TODAY(), "M")&lt;18),
    1.10,
    1.00)</f>
        <v/>
      </c>
      <c r="O227">
        <f>IF('Loan Tape (S&amp;P)'!T227="Yes",
    1.35,
    1.00)</f>
        <v/>
      </c>
      <c r="P227">
        <f>IF('Loan Tape (S&amp;P)'!S227="Yes",
    1.15,
    1.00)</f>
        <v/>
      </c>
      <c r="Q227">
        <f>IF('Loan Tape (S&amp;P)'!V227="Yes",
    1.20,
    1.00)</f>
        <v/>
      </c>
      <c r="T227">
        <f>LET(
    payment_method,'Loan Tape (S&amp;P)'!P227,
    occupancy,'Loan Tape (S&amp;P)'!N227,
    maturity_date,'Loan Tape (S&amp;P)'!L227,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8">
      <c r="J228">
        <f>LET(
    lien,'Loan Tape (S&amp;P)'!Q228,
    IF(lien="First",1.00,
        IF(lien="Second",1.50,
            1.70)))</f>
        <v/>
      </c>
      <c r="K228">
        <f>LET(
    purpose,'Loan Tape (S&amp;P)'!R228,
    IF(purpose="Purchase",1.00,
        IF(purpose="Remortgage",1.00,
            1.20)))</f>
        <v/>
      </c>
      <c r="L228">
        <f>LET(
    arrears_months,'Loan Tape (S&amp;P)'!AN228,
    IF(arrears_months=0,1.00,
    IF(arrears_months=1,3.00,
    IF(arrears_months=2,5.00,
    IF(arrears_months=3,8.00,
    IF(arrears_months=4,10.00,
    IF(arrears_months=5,12.00,15.00)))))))</f>
        <v/>
      </c>
      <c r="M228">
        <f>LET(
    seasoning_years,DATEDIF('Loan Tape (S&amp;P)'!K228,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8">
        <f>IF(AND('Loan Tape (S&amp;P)'!U228="Yes",
        'Loan Tape (S&amp;P)'!T228&lt;&gt;"Yes",
        DATEDIF('Loan Tape (S&amp;P)'!K228, TODAY(), "M")&lt;18),
    1.10,
    1.00)</f>
        <v/>
      </c>
      <c r="O228">
        <f>IF('Loan Tape (S&amp;P)'!T228="Yes",
    1.35,
    1.00)</f>
        <v/>
      </c>
      <c r="P228">
        <f>IF('Loan Tape (S&amp;P)'!S228="Yes",
    1.15,
    1.00)</f>
        <v/>
      </c>
      <c r="Q228">
        <f>IF('Loan Tape (S&amp;P)'!V228="Yes",
    1.20,
    1.00)</f>
        <v/>
      </c>
      <c r="T228">
        <f>LET(
    payment_method,'Loan Tape (S&amp;P)'!P228,
    occupancy,'Loan Tape (S&amp;P)'!N228,
    maturity_date,'Loan Tape (S&amp;P)'!L228,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9">
      <c r="J229">
        <f>LET(
    lien,'Loan Tape (S&amp;P)'!Q229,
    IF(lien="First",1.00,
        IF(lien="Second",1.50,
            1.70)))</f>
        <v/>
      </c>
      <c r="K229">
        <f>LET(
    purpose,'Loan Tape (S&amp;P)'!R229,
    IF(purpose="Purchase",1.00,
        IF(purpose="Remortgage",1.00,
            1.20)))</f>
        <v/>
      </c>
      <c r="L229">
        <f>LET(
    arrears_months,'Loan Tape (S&amp;P)'!AN229,
    IF(arrears_months=0,1.00,
    IF(arrears_months=1,3.00,
    IF(arrears_months=2,5.00,
    IF(arrears_months=3,8.00,
    IF(arrears_months=4,10.00,
    IF(arrears_months=5,12.00,15.00)))))))</f>
        <v/>
      </c>
      <c r="M229">
        <f>LET(
    seasoning_years,DATEDIF('Loan Tape (S&amp;P)'!K229,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9">
        <f>IF(AND('Loan Tape (S&amp;P)'!U229="Yes",
        'Loan Tape (S&amp;P)'!T229&lt;&gt;"Yes",
        DATEDIF('Loan Tape (S&amp;P)'!K229, TODAY(), "M")&lt;18),
    1.10,
    1.00)</f>
        <v/>
      </c>
      <c r="O229">
        <f>IF('Loan Tape (S&amp;P)'!T229="Yes",
    1.35,
    1.00)</f>
        <v/>
      </c>
      <c r="P229">
        <f>IF('Loan Tape (S&amp;P)'!S229="Yes",
    1.15,
    1.00)</f>
        <v/>
      </c>
      <c r="Q229">
        <f>IF('Loan Tape (S&amp;P)'!V229="Yes",
    1.20,
    1.00)</f>
        <v/>
      </c>
      <c r="T229">
        <f>LET(
    payment_method,'Loan Tape (S&amp;P)'!P229,
    occupancy,'Loan Tape (S&amp;P)'!N229,
    maturity_date,'Loan Tape (S&amp;P)'!L229,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0">
      <c r="J230">
        <f>LET(
    lien,'Loan Tape (S&amp;P)'!Q230,
    IF(lien="First",1.00,
        IF(lien="Second",1.50,
            1.70)))</f>
        <v/>
      </c>
      <c r="K230">
        <f>LET(
    purpose,'Loan Tape (S&amp;P)'!R230,
    IF(purpose="Purchase",1.00,
        IF(purpose="Remortgage",1.00,
            1.20)))</f>
        <v/>
      </c>
      <c r="L230">
        <f>LET(
    arrears_months,'Loan Tape (S&amp;P)'!AN230,
    IF(arrears_months=0,1.00,
    IF(arrears_months=1,3.00,
    IF(arrears_months=2,5.00,
    IF(arrears_months=3,8.00,
    IF(arrears_months=4,10.00,
    IF(arrears_months=5,12.00,15.00)))))))</f>
        <v/>
      </c>
      <c r="M230">
        <f>LET(
    seasoning_years,DATEDIF('Loan Tape (S&amp;P)'!K230,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0">
        <f>IF(AND('Loan Tape (S&amp;P)'!U230="Yes",
        'Loan Tape (S&amp;P)'!T230&lt;&gt;"Yes",
        DATEDIF('Loan Tape (S&amp;P)'!K230, TODAY(), "M")&lt;18),
    1.10,
    1.00)</f>
        <v/>
      </c>
      <c r="O230">
        <f>IF('Loan Tape (S&amp;P)'!T230="Yes",
    1.35,
    1.00)</f>
        <v/>
      </c>
      <c r="P230">
        <f>IF('Loan Tape (S&amp;P)'!S230="Yes",
    1.15,
    1.00)</f>
        <v/>
      </c>
      <c r="Q230">
        <f>IF('Loan Tape (S&amp;P)'!V230="Yes",
    1.20,
    1.00)</f>
        <v/>
      </c>
      <c r="T230">
        <f>LET(
    payment_method,'Loan Tape (S&amp;P)'!P230,
    occupancy,'Loan Tape (S&amp;P)'!N230,
    maturity_date,'Loan Tape (S&amp;P)'!L230,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1">
      <c r="J231">
        <f>LET(
    lien,'Loan Tape (S&amp;P)'!Q231,
    IF(lien="First",1.00,
        IF(lien="Second",1.50,
            1.70)))</f>
        <v/>
      </c>
      <c r="K231">
        <f>LET(
    purpose,'Loan Tape (S&amp;P)'!R231,
    IF(purpose="Purchase",1.00,
        IF(purpose="Remortgage",1.00,
            1.20)))</f>
        <v/>
      </c>
      <c r="L231">
        <f>LET(
    arrears_months,'Loan Tape (S&amp;P)'!AN231,
    IF(arrears_months=0,1.00,
    IF(arrears_months=1,3.00,
    IF(arrears_months=2,5.00,
    IF(arrears_months=3,8.00,
    IF(arrears_months=4,10.00,
    IF(arrears_months=5,12.00,15.00)))))))</f>
        <v/>
      </c>
      <c r="M231">
        <f>LET(
    seasoning_years,DATEDIF('Loan Tape (S&amp;P)'!K231,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1">
        <f>IF(AND('Loan Tape (S&amp;P)'!U231="Yes",
        'Loan Tape (S&amp;P)'!T231&lt;&gt;"Yes",
        DATEDIF('Loan Tape (S&amp;P)'!K231, TODAY(), "M")&lt;18),
    1.10,
    1.00)</f>
        <v/>
      </c>
      <c r="O231">
        <f>IF('Loan Tape (S&amp;P)'!T231="Yes",
    1.35,
    1.00)</f>
        <v/>
      </c>
      <c r="P231">
        <f>IF('Loan Tape (S&amp;P)'!S231="Yes",
    1.15,
    1.00)</f>
        <v/>
      </c>
      <c r="Q231">
        <f>IF('Loan Tape (S&amp;P)'!V231="Yes",
    1.20,
    1.00)</f>
        <v/>
      </c>
      <c r="T231">
        <f>LET(
    payment_method,'Loan Tape (S&amp;P)'!P231,
    occupancy,'Loan Tape (S&amp;P)'!N231,
    maturity_date,'Loan Tape (S&amp;P)'!L231,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2">
      <c r="J232">
        <f>LET(
    lien,'Loan Tape (S&amp;P)'!Q232,
    IF(lien="First",1.00,
        IF(lien="Second",1.50,
            1.70)))</f>
        <v/>
      </c>
      <c r="K232">
        <f>LET(
    purpose,'Loan Tape (S&amp;P)'!R232,
    IF(purpose="Purchase",1.00,
        IF(purpose="Remortgage",1.00,
            1.20)))</f>
        <v/>
      </c>
      <c r="L232">
        <f>LET(
    arrears_months,'Loan Tape (S&amp;P)'!AN232,
    IF(arrears_months=0,1.00,
    IF(arrears_months=1,3.00,
    IF(arrears_months=2,5.00,
    IF(arrears_months=3,8.00,
    IF(arrears_months=4,10.00,
    IF(arrears_months=5,12.00,15.00)))))))</f>
        <v/>
      </c>
      <c r="M232">
        <f>LET(
    seasoning_years,DATEDIF('Loan Tape (S&amp;P)'!K232,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2">
        <f>IF(AND('Loan Tape (S&amp;P)'!U232="Yes",
        'Loan Tape (S&amp;P)'!T232&lt;&gt;"Yes",
        DATEDIF('Loan Tape (S&amp;P)'!K232, TODAY(), "M")&lt;18),
    1.10,
    1.00)</f>
        <v/>
      </c>
      <c r="O232">
        <f>IF('Loan Tape (S&amp;P)'!T232="Yes",
    1.35,
    1.00)</f>
        <v/>
      </c>
      <c r="P232">
        <f>IF('Loan Tape (S&amp;P)'!S232="Yes",
    1.15,
    1.00)</f>
        <v/>
      </c>
      <c r="Q232">
        <f>IF('Loan Tape (S&amp;P)'!V232="Yes",
    1.20,
    1.00)</f>
        <v/>
      </c>
      <c r="T232">
        <f>LET(
    payment_method,'Loan Tape (S&amp;P)'!P232,
    occupancy,'Loan Tape (S&amp;P)'!N232,
    maturity_date,'Loan Tape (S&amp;P)'!L232,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3">
      <c r="J233">
        <f>LET(
    lien,'Loan Tape (S&amp;P)'!Q233,
    IF(lien="First",1.00,
        IF(lien="Second",1.50,
            1.70)))</f>
        <v/>
      </c>
      <c r="K233">
        <f>LET(
    purpose,'Loan Tape (S&amp;P)'!R233,
    IF(purpose="Purchase",1.00,
        IF(purpose="Remortgage",1.00,
            1.20)))</f>
        <v/>
      </c>
      <c r="L233">
        <f>LET(
    arrears_months,'Loan Tape (S&amp;P)'!AN233,
    IF(arrears_months=0,1.00,
    IF(arrears_months=1,3.00,
    IF(arrears_months=2,5.00,
    IF(arrears_months=3,8.00,
    IF(arrears_months=4,10.00,
    IF(arrears_months=5,12.00,15.00)))))))</f>
        <v/>
      </c>
      <c r="M233">
        <f>LET(
    seasoning_years,DATEDIF('Loan Tape (S&amp;P)'!K233,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3">
        <f>IF(AND('Loan Tape (S&amp;P)'!U233="Yes",
        'Loan Tape (S&amp;P)'!T233&lt;&gt;"Yes",
        DATEDIF('Loan Tape (S&amp;P)'!K233, TODAY(), "M")&lt;18),
    1.10,
    1.00)</f>
        <v/>
      </c>
      <c r="O233">
        <f>IF('Loan Tape (S&amp;P)'!T233="Yes",
    1.35,
    1.00)</f>
        <v/>
      </c>
      <c r="P233">
        <f>IF('Loan Tape (S&amp;P)'!S233="Yes",
    1.15,
    1.00)</f>
        <v/>
      </c>
      <c r="Q233">
        <f>IF('Loan Tape (S&amp;P)'!V233="Yes",
    1.20,
    1.00)</f>
        <v/>
      </c>
      <c r="T233">
        <f>LET(
    payment_method,'Loan Tape (S&amp;P)'!P233,
    occupancy,'Loan Tape (S&amp;P)'!N233,
    maturity_date,'Loan Tape (S&amp;P)'!L233,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4">
      <c r="J234">
        <f>LET(
    lien,'Loan Tape (S&amp;P)'!Q234,
    IF(lien="First",1.00,
        IF(lien="Second",1.50,
            1.70)))</f>
        <v/>
      </c>
      <c r="K234">
        <f>LET(
    purpose,'Loan Tape (S&amp;P)'!R234,
    IF(purpose="Purchase",1.00,
        IF(purpose="Remortgage",1.00,
            1.20)))</f>
        <v/>
      </c>
      <c r="L234">
        <f>LET(
    arrears_months,'Loan Tape (S&amp;P)'!AN234,
    IF(arrears_months=0,1.00,
    IF(arrears_months=1,3.00,
    IF(arrears_months=2,5.00,
    IF(arrears_months=3,8.00,
    IF(arrears_months=4,10.00,
    IF(arrears_months=5,12.00,15.00)))))))</f>
        <v/>
      </c>
      <c r="M234">
        <f>LET(
    seasoning_years,DATEDIF('Loan Tape (S&amp;P)'!K234,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4">
        <f>IF(AND('Loan Tape (S&amp;P)'!U234="Yes",
        'Loan Tape (S&amp;P)'!T234&lt;&gt;"Yes",
        DATEDIF('Loan Tape (S&amp;P)'!K234, TODAY(), "M")&lt;18),
    1.10,
    1.00)</f>
        <v/>
      </c>
      <c r="O234">
        <f>IF('Loan Tape (S&amp;P)'!T234="Yes",
    1.35,
    1.00)</f>
        <v/>
      </c>
      <c r="P234">
        <f>IF('Loan Tape (S&amp;P)'!S234="Yes",
    1.15,
    1.00)</f>
        <v/>
      </c>
      <c r="Q234">
        <f>IF('Loan Tape (S&amp;P)'!V234="Yes",
    1.20,
    1.00)</f>
        <v/>
      </c>
      <c r="T234">
        <f>LET(
    payment_method,'Loan Tape (S&amp;P)'!P234,
    occupancy,'Loan Tape (S&amp;P)'!N234,
    maturity_date,'Loan Tape (S&amp;P)'!L234,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5">
      <c r="J235">
        <f>LET(
    lien,'Loan Tape (S&amp;P)'!Q235,
    IF(lien="First",1.00,
        IF(lien="Second",1.50,
            1.70)))</f>
        <v/>
      </c>
      <c r="K235">
        <f>LET(
    purpose,'Loan Tape (S&amp;P)'!R235,
    IF(purpose="Purchase",1.00,
        IF(purpose="Remortgage",1.00,
            1.20)))</f>
        <v/>
      </c>
      <c r="L235">
        <f>LET(
    arrears_months,'Loan Tape (S&amp;P)'!AN235,
    IF(arrears_months=0,1.00,
    IF(arrears_months=1,3.00,
    IF(arrears_months=2,5.00,
    IF(arrears_months=3,8.00,
    IF(arrears_months=4,10.00,
    IF(arrears_months=5,12.00,15.00)))))))</f>
        <v/>
      </c>
      <c r="M235">
        <f>LET(
    seasoning_years,DATEDIF('Loan Tape (S&amp;P)'!K235,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5">
        <f>IF(AND('Loan Tape (S&amp;P)'!U235="Yes",
        'Loan Tape (S&amp;P)'!T235&lt;&gt;"Yes",
        DATEDIF('Loan Tape (S&amp;P)'!K235, TODAY(), "M")&lt;18),
    1.10,
    1.00)</f>
        <v/>
      </c>
      <c r="O235">
        <f>IF('Loan Tape (S&amp;P)'!T235="Yes",
    1.35,
    1.00)</f>
        <v/>
      </c>
      <c r="P235">
        <f>IF('Loan Tape (S&amp;P)'!S235="Yes",
    1.15,
    1.00)</f>
        <v/>
      </c>
      <c r="Q235">
        <f>IF('Loan Tape (S&amp;P)'!V235="Yes",
    1.20,
    1.00)</f>
        <v/>
      </c>
      <c r="T235">
        <f>LET(
    payment_method,'Loan Tape (S&amp;P)'!P235,
    occupancy,'Loan Tape (S&amp;P)'!N235,
    maturity_date,'Loan Tape (S&amp;P)'!L235,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6">
      <c r="J236">
        <f>LET(
    lien,'Loan Tape (S&amp;P)'!Q236,
    IF(lien="First",1.00,
        IF(lien="Second",1.50,
            1.70)))</f>
        <v/>
      </c>
      <c r="K236">
        <f>LET(
    purpose,'Loan Tape (S&amp;P)'!R236,
    IF(purpose="Purchase",1.00,
        IF(purpose="Remortgage",1.00,
            1.20)))</f>
        <v/>
      </c>
      <c r="L236">
        <f>LET(
    arrears_months,'Loan Tape (S&amp;P)'!AN236,
    IF(arrears_months=0,1.00,
    IF(arrears_months=1,3.00,
    IF(arrears_months=2,5.00,
    IF(arrears_months=3,8.00,
    IF(arrears_months=4,10.00,
    IF(arrears_months=5,12.00,15.00)))))))</f>
        <v/>
      </c>
      <c r="M236">
        <f>LET(
    seasoning_years,DATEDIF('Loan Tape (S&amp;P)'!K236,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6">
        <f>IF(AND('Loan Tape (S&amp;P)'!U236="Yes",
        'Loan Tape (S&amp;P)'!T236&lt;&gt;"Yes",
        DATEDIF('Loan Tape (S&amp;P)'!K236, TODAY(), "M")&lt;18),
    1.10,
    1.00)</f>
        <v/>
      </c>
      <c r="O236">
        <f>IF('Loan Tape (S&amp;P)'!T236="Yes",
    1.35,
    1.00)</f>
        <v/>
      </c>
      <c r="P236">
        <f>IF('Loan Tape (S&amp;P)'!S236="Yes",
    1.15,
    1.00)</f>
        <v/>
      </c>
      <c r="Q236">
        <f>IF('Loan Tape (S&amp;P)'!V236="Yes",
    1.20,
    1.00)</f>
        <v/>
      </c>
      <c r="T236">
        <f>LET(
    payment_method,'Loan Tape (S&amp;P)'!P236,
    occupancy,'Loan Tape (S&amp;P)'!N236,
    maturity_date,'Loan Tape (S&amp;P)'!L236,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7">
      <c r="J237">
        <f>LET(
    lien,'Loan Tape (S&amp;P)'!Q237,
    IF(lien="First",1.00,
        IF(lien="Second",1.50,
            1.70)))</f>
        <v/>
      </c>
      <c r="K237">
        <f>LET(
    purpose,'Loan Tape (S&amp;P)'!R237,
    IF(purpose="Purchase",1.00,
        IF(purpose="Remortgage",1.00,
            1.20)))</f>
        <v/>
      </c>
      <c r="L237">
        <f>LET(
    arrears_months,'Loan Tape (S&amp;P)'!AN237,
    IF(arrears_months=0,1.00,
    IF(arrears_months=1,3.00,
    IF(arrears_months=2,5.00,
    IF(arrears_months=3,8.00,
    IF(arrears_months=4,10.00,
    IF(arrears_months=5,12.00,15.00)))))))</f>
        <v/>
      </c>
      <c r="M237">
        <f>LET(
    seasoning_years,DATEDIF('Loan Tape (S&amp;P)'!K237,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7">
        <f>IF(AND('Loan Tape (S&amp;P)'!U237="Yes",
        'Loan Tape (S&amp;P)'!T237&lt;&gt;"Yes",
        DATEDIF('Loan Tape (S&amp;P)'!K237, TODAY(), "M")&lt;18),
    1.10,
    1.00)</f>
        <v/>
      </c>
      <c r="O237">
        <f>IF('Loan Tape (S&amp;P)'!T237="Yes",
    1.35,
    1.00)</f>
        <v/>
      </c>
      <c r="P237">
        <f>IF('Loan Tape (S&amp;P)'!S237="Yes",
    1.15,
    1.00)</f>
        <v/>
      </c>
      <c r="Q237">
        <f>IF('Loan Tape (S&amp;P)'!V237="Yes",
    1.20,
    1.00)</f>
        <v/>
      </c>
      <c r="T237">
        <f>LET(
    payment_method,'Loan Tape (S&amp;P)'!P237,
    occupancy,'Loan Tape (S&amp;P)'!N237,
    maturity_date,'Loan Tape (S&amp;P)'!L237,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8">
      <c r="J238">
        <f>LET(
    lien,'Loan Tape (S&amp;P)'!Q238,
    IF(lien="First",1.00,
        IF(lien="Second",1.50,
            1.70)))</f>
        <v/>
      </c>
      <c r="K238">
        <f>LET(
    purpose,'Loan Tape (S&amp;P)'!R238,
    IF(purpose="Purchase",1.00,
        IF(purpose="Remortgage",1.00,
            1.20)))</f>
        <v/>
      </c>
      <c r="L238">
        <f>LET(
    arrears_months,'Loan Tape (S&amp;P)'!AN238,
    IF(arrears_months=0,1.00,
    IF(arrears_months=1,3.00,
    IF(arrears_months=2,5.00,
    IF(arrears_months=3,8.00,
    IF(arrears_months=4,10.00,
    IF(arrears_months=5,12.00,15.00)))))))</f>
        <v/>
      </c>
      <c r="M238">
        <f>LET(
    seasoning_years,DATEDIF('Loan Tape (S&amp;P)'!K238,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8">
        <f>IF(AND('Loan Tape (S&amp;P)'!U238="Yes",
        'Loan Tape (S&amp;P)'!T238&lt;&gt;"Yes",
        DATEDIF('Loan Tape (S&amp;P)'!K238, TODAY(), "M")&lt;18),
    1.10,
    1.00)</f>
        <v/>
      </c>
      <c r="O238">
        <f>IF('Loan Tape (S&amp;P)'!T238="Yes",
    1.35,
    1.00)</f>
        <v/>
      </c>
      <c r="P238">
        <f>IF('Loan Tape (S&amp;P)'!S238="Yes",
    1.15,
    1.00)</f>
        <v/>
      </c>
      <c r="Q238">
        <f>IF('Loan Tape (S&amp;P)'!V238="Yes",
    1.20,
    1.00)</f>
        <v/>
      </c>
      <c r="T238">
        <f>LET(
    payment_method,'Loan Tape (S&amp;P)'!P238,
    occupancy,'Loan Tape (S&amp;P)'!N238,
    maturity_date,'Loan Tape (S&amp;P)'!L238,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9">
      <c r="J239">
        <f>LET(
    lien,'Loan Tape (S&amp;P)'!Q239,
    IF(lien="First",1.00,
        IF(lien="Second",1.50,
            1.70)))</f>
        <v/>
      </c>
      <c r="K239">
        <f>LET(
    purpose,'Loan Tape (S&amp;P)'!R239,
    IF(purpose="Purchase",1.00,
        IF(purpose="Remortgage",1.00,
            1.20)))</f>
        <v/>
      </c>
      <c r="L239">
        <f>LET(
    arrears_months,'Loan Tape (S&amp;P)'!AN239,
    IF(arrears_months=0,1.00,
    IF(arrears_months=1,3.00,
    IF(arrears_months=2,5.00,
    IF(arrears_months=3,8.00,
    IF(arrears_months=4,10.00,
    IF(arrears_months=5,12.00,15.00)))))))</f>
        <v/>
      </c>
      <c r="M239">
        <f>LET(
    seasoning_years,DATEDIF('Loan Tape (S&amp;P)'!K239,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9">
        <f>IF(AND('Loan Tape (S&amp;P)'!U239="Yes",
        'Loan Tape (S&amp;P)'!T239&lt;&gt;"Yes",
        DATEDIF('Loan Tape (S&amp;P)'!K239, TODAY(), "M")&lt;18),
    1.10,
    1.00)</f>
        <v/>
      </c>
      <c r="O239">
        <f>IF('Loan Tape (S&amp;P)'!T239="Yes",
    1.35,
    1.00)</f>
        <v/>
      </c>
      <c r="P239">
        <f>IF('Loan Tape (S&amp;P)'!S239="Yes",
    1.15,
    1.00)</f>
        <v/>
      </c>
      <c r="Q239">
        <f>IF('Loan Tape (S&amp;P)'!V239="Yes",
    1.20,
    1.00)</f>
        <v/>
      </c>
      <c r="T239">
        <f>LET(
    payment_method,'Loan Tape (S&amp;P)'!P239,
    occupancy,'Loan Tape (S&amp;P)'!N239,
    maturity_date,'Loan Tape (S&amp;P)'!L239,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0">
      <c r="J240">
        <f>LET(
    lien,'Loan Tape (S&amp;P)'!Q240,
    IF(lien="First",1.00,
        IF(lien="Second",1.50,
            1.70)))</f>
        <v/>
      </c>
      <c r="K240">
        <f>LET(
    purpose,'Loan Tape (S&amp;P)'!R240,
    IF(purpose="Purchase",1.00,
        IF(purpose="Remortgage",1.00,
            1.20)))</f>
        <v/>
      </c>
      <c r="L240">
        <f>LET(
    arrears_months,'Loan Tape (S&amp;P)'!AN240,
    IF(arrears_months=0,1.00,
    IF(arrears_months=1,3.00,
    IF(arrears_months=2,5.00,
    IF(arrears_months=3,8.00,
    IF(arrears_months=4,10.00,
    IF(arrears_months=5,12.00,15.00)))))))</f>
        <v/>
      </c>
      <c r="M240">
        <f>LET(
    seasoning_years,DATEDIF('Loan Tape (S&amp;P)'!K240,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0">
        <f>IF(AND('Loan Tape (S&amp;P)'!U240="Yes",
        'Loan Tape (S&amp;P)'!T240&lt;&gt;"Yes",
        DATEDIF('Loan Tape (S&amp;P)'!K240, TODAY(), "M")&lt;18),
    1.10,
    1.00)</f>
        <v/>
      </c>
      <c r="O240">
        <f>IF('Loan Tape (S&amp;P)'!T240="Yes",
    1.35,
    1.00)</f>
        <v/>
      </c>
      <c r="P240">
        <f>IF('Loan Tape (S&amp;P)'!S240="Yes",
    1.15,
    1.00)</f>
        <v/>
      </c>
      <c r="Q240">
        <f>IF('Loan Tape (S&amp;P)'!V240="Yes",
    1.20,
    1.00)</f>
        <v/>
      </c>
      <c r="T240">
        <f>LET(
    payment_method,'Loan Tape (S&amp;P)'!P240,
    occupancy,'Loan Tape (S&amp;P)'!N240,
    maturity_date,'Loan Tape (S&amp;P)'!L240,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1">
      <c r="J241">
        <f>LET(
    lien,'Loan Tape (S&amp;P)'!Q241,
    IF(lien="First",1.00,
        IF(lien="Second",1.50,
            1.70)))</f>
        <v/>
      </c>
      <c r="K241">
        <f>LET(
    purpose,'Loan Tape (S&amp;P)'!R241,
    IF(purpose="Purchase",1.00,
        IF(purpose="Remortgage",1.00,
            1.20)))</f>
        <v/>
      </c>
      <c r="L241">
        <f>LET(
    arrears_months,'Loan Tape (S&amp;P)'!AN241,
    IF(arrears_months=0,1.00,
    IF(arrears_months=1,3.00,
    IF(arrears_months=2,5.00,
    IF(arrears_months=3,8.00,
    IF(arrears_months=4,10.00,
    IF(arrears_months=5,12.00,15.00)))))))</f>
        <v/>
      </c>
      <c r="M241">
        <f>LET(
    seasoning_years,DATEDIF('Loan Tape (S&amp;P)'!K241,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1">
        <f>IF(AND('Loan Tape (S&amp;P)'!U241="Yes",
        'Loan Tape (S&amp;P)'!T241&lt;&gt;"Yes",
        DATEDIF('Loan Tape (S&amp;P)'!K241, TODAY(), "M")&lt;18),
    1.10,
    1.00)</f>
        <v/>
      </c>
      <c r="O241">
        <f>IF('Loan Tape (S&amp;P)'!T241="Yes",
    1.35,
    1.00)</f>
        <v/>
      </c>
      <c r="P241">
        <f>IF('Loan Tape (S&amp;P)'!S241="Yes",
    1.15,
    1.00)</f>
        <v/>
      </c>
      <c r="Q241">
        <f>IF('Loan Tape (S&amp;P)'!V241="Yes",
    1.20,
    1.00)</f>
        <v/>
      </c>
      <c r="T241">
        <f>LET(
    payment_method,'Loan Tape (S&amp;P)'!P241,
    occupancy,'Loan Tape (S&amp;P)'!N241,
    maturity_date,'Loan Tape (S&amp;P)'!L241,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2">
      <c r="J242">
        <f>LET(
    lien,'Loan Tape (S&amp;P)'!Q242,
    IF(lien="First",1.00,
        IF(lien="Second",1.50,
            1.70)))</f>
        <v/>
      </c>
      <c r="K242">
        <f>LET(
    purpose,'Loan Tape (S&amp;P)'!R242,
    IF(purpose="Purchase",1.00,
        IF(purpose="Remortgage",1.00,
            1.20)))</f>
        <v/>
      </c>
      <c r="L242">
        <f>LET(
    arrears_months,'Loan Tape (S&amp;P)'!AN242,
    IF(arrears_months=0,1.00,
    IF(arrears_months=1,3.00,
    IF(arrears_months=2,5.00,
    IF(arrears_months=3,8.00,
    IF(arrears_months=4,10.00,
    IF(arrears_months=5,12.00,15.00)))))))</f>
        <v/>
      </c>
      <c r="M242">
        <f>LET(
    seasoning_years,DATEDIF('Loan Tape (S&amp;P)'!K242,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2">
        <f>IF(AND('Loan Tape (S&amp;P)'!U242="Yes",
        'Loan Tape (S&amp;P)'!T242&lt;&gt;"Yes",
        DATEDIF('Loan Tape (S&amp;P)'!K242, TODAY(), "M")&lt;18),
    1.10,
    1.00)</f>
        <v/>
      </c>
      <c r="O242">
        <f>IF('Loan Tape (S&amp;P)'!T242="Yes",
    1.35,
    1.00)</f>
        <v/>
      </c>
      <c r="P242">
        <f>IF('Loan Tape (S&amp;P)'!S242="Yes",
    1.15,
    1.00)</f>
        <v/>
      </c>
      <c r="Q242">
        <f>IF('Loan Tape (S&amp;P)'!V242="Yes",
    1.20,
    1.00)</f>
        <v/>
      </c>
      <c r="T242">
        <f>LET(
    payment_method,'Loan Tape (S&amp;P)'!P242,
    occupancy,'Loan Tape (S&amp;P)'!N242,
    maturity_date,'Loan Tape (S&amp;P)'!L242,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3">
      <c r="J243">
        <f>LET(
    lien,'Loan Tape (S&amp;P)'!Q243,
    IF(lien="First",1.00,
        IF(lien="Second",1.50,
            1.70)))</f>
        <v/>
      </c>
      <c r="K243">
        <f>LET(
    purpose,'Loan Tape (S&amp;P)'!R243,
    IF(purpose="Purchase",1.00,
        IF(purpose="Remortgage",1.00,
            1.20)))</f>
        <v/>
      </c>
      <c r="L243">
        <f>LET(
    arrears_months,'Loan Tape (S&amp;P)'!AN243,
    IF(arrears_months=0,1.00,
    IF(arrears_months=1,3.00,
    IF(arrears_months=2,5.00,
    IF(arrears_months=3,8.00,
    IF(arrears_months=4,10.00,
    IF(arrears_months=5,12.00,15.00)))))))</f>
        <v/>
      </c>
      <c r="M243">
        <f>LET(
    seasoning_years,DATEDIF('Loan Tape (S&amp;P)'!K243,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3">
        <f>IF(AND('Loan Tape (S&amp;P)'!U243="Yes",
        'Loan Tape (S&amp;P)'!T243&lt;&gt;"Yes",
        DATEDIF('Loan Tape (S&amp;P)'!K243, TODAY(), "M")&lt;18),
    1.10,
    1.00)</f>
        <v/>
      </c>
      <c r="O243">
        <f>IF('Loan Tape (S&amp;P)'!T243="Yes",
    1.35,
    1.00)</f>
        <v/>
      </c>
      <c r="P243">
        <f>IF('Loan Tape (S&amp;P)'!S243="Yes",
    1.15,
    1.00)</f>
        <v/>
      </c>
      <c r="Q243">
        <f>IF('Loan Tape (S&amp;P)'!V243="Yes",
    1.20,
    1.00)</f>
        <v/>
      </c>
      <c r="T243">
        <f>LET(
    payment_method,'Loan Tape (S&amp;P)'!P243,
    occupancy,'Loan Tape (S&amp;P)'!N243,
    maturity_date,'Loan Tape (S&amp;P)'!L243,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4">
      <c r="J244">
        <f>LET(
    lien,'Loan Tape (S&amp;P)'!Q244,
    IF(lien="First",1.00,
        IF(lien="Second",1.50,
            1.70)))</f>
        <v/>
      </c>
      <c r="K244">
        <f>LET(
    purpose,'Loan Tape (S&amp;P)'!R244,
    IF(purpose="Purchase",1.00,
        IF(purpose="Remortgage",1.00,
            1.20)))</f>
        <v/>
      </c>
      <c r="L244">
        <f>LET(
    arrears_months,'Loan Tape (S&amp;P)'!AN244,
    IF(arrears_months=0,1.00,
    IF(arrears_months=1,3.00,
    IF(arrears_months=2,5.00,
    IF(arrears_months=3,8.00,
    IF(arrears_months=4,10.00,
    IF(arrears_months=5,12.00,15.00)))))))</f>
        <v/>
      </c>
      <c r="M244">
        <f>LET(
    seasoning_years,DATEDIF('Loan Tape (S&amp;P)'!K244,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4">
        <f>IF(AND('Loan Tape (S&amp;P)'!U244="Yes",
        'Loan Tape (S&amp;P)'!T244&lt;&gt;"Yes",
        DATEDIF('Loan Tape (S&amp;P)'!K244, TODAY(), "M")&lt;18),
    1.10,
    1.00)</f>
        <v/>
      </c>
      <c r="O244">
        <f>IF('Loan Tape (S&amp;P)'!T244="Yes",
    1.35,
    1.00)</f>
        <v/>
      </c>
      <c r="P244">
        <f>IF('Loan Tape (S&amp;P)'!S244="Yes",
    1.15,
    1.00)</f>
        <v/>
      </c>
      <c r="Q244">
        <f>IF('Loan Tape (S&amp;P)'!V244="Yes",
    1.20,
    1.00)</f>
        <v/>
      </c>
      <c r="T244">
        <f>LET(
    payment_method,'Loan Tape (S&amp;P)'!P244,
    occupancy,'Loan Tape (S&amp;P)'!N244,
    maturity_date,'Loan Tape (S&amp;P)'!L244,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5">
      <c r="J245">
        <f>LET(
    lien,'Loan Tape (S&amp;P)'!Q245,
    IF(lien="First",1.00,
        IF(lien="Second",1.50,
            1.70)))</f>
        <v/>
      </c>
      <c r="K245">
        <f>LET(
    purpose,'Loan Tape (S&amp;P)'!R245,
    IF(purpose="Purchase",1.00,
        IF(purpose="Remortgage",1.00,
            1.20)))</f>
        <v/>
      </c>
      <c r="L245">
        <f>LET(
    arrears_months,'Loan Tape (S&amp;P)'!AN245,
    IF(arrears_months=0,1.00,
    IF(arrears_months=1,3.00,
    IF(arrears_months=2,5.00,
    IF(arrears_months=3,8.00,
    IF(arrears_months=4,10.00,
    IF(arrears_months=5,12.00,15.00)))))))</f>
        <v/>
      </c>
      <c r="M245">
        <f>LET(
    seasoning_years,DATEDIF('Loan Tape (S&amp;P)'!K245,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5">
        <f>IF(AND('Loan Tape (S&amp;P)'!U245="Yes",
        'Loan Tape (S&amp;P)'!T245&lt;&gt;"Yes",
        DATEDIF('Loan Tape (S&amp;P)'!K245, TODAY(), "M")&lt;18),
    1.10,
    1.00)</f>
        <v/>
      </c>
      <c r="O245">
        <f>IF('Loan Tape (S&amp;P)'!T245="Yes",
    1.35,
    1.00)</f>
        <v/>
      </c>
      <c r="P245">
        <f>IF('Loan Tape (S&amp;P)'!S245="Yes",
    1.15,
    1.00)</f>
        <v/>
      </c>
      <c r="Q245">
        <f>IF('Loan Tape (S&amp;P)'!V245="Yes",
    1.20,
    1.00)</f>
        <v/>
      </c>
      <c r="T245">
        <f>LET(
    payment_method,'Loan Tape (S&amp;P)'!P245,
    occupancy,'Loan Tape (S&amp;P)'!N245,
    maturity_date,'Loan Tape (S&amp;P)'!L245,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6">
      <c r="J246">
        <f>LET(
    lien,'Loan Tape (S&amp;P)'!Q246,
    IF(lien="First",1.00,
        IF(lien="Second",1.50,
            1.70)))</f>
        <v/>
      </c>
      <c r="K246">
        <f>LET(
    purpose,'Loan Tape (S&amp;P)'!R246,
    IF(purpose="Purchase",1.00,
        IF(purpose="Remortgage",1.00,
            1.20)))</f>
        <v/>
      </c>
      <c r="L246">
        <f>LET(
    arrears_months,'Loan Tape (S&amp;P)'!AN246,
    IF(arrears_months=0,1.00,
    IF(arrears_months=1,3.00,
    IF(arrears_months=2,5.00,
    IF(arrears_months=3,8.00,
    IF(arrears_months=4,10.00,
    IF(arrears_months=5,12.00,15.00)))))))</f>
        <v/>
      </c>
      <c r="M246">
        <f>LET(
    seasoning_years,DATEDIF('Loan Tape (S&amp;P)'!K246,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6">
        <f>IF(AND('Loan Tape (S&amp;P)'!U246="Yes",
        'Loan Tape (S&amp;P)'!T246&lt;&gt;"Yes",
        DATEDIF('Loan Tape (S&amp;P)'!K246, TODAY(), "M")&lt;18),
    1.10,
    1.00)</f>
        <v/>
      </c>
      <c r="O246">
        <f>IF('Loan Tape (S&amp;P)'!T246="Yes",
    1.35,
    1.00)</f>
        <v/>
      </c>
      <c r="P246">
        <f>IF('Loan Tape (S&amp;P)'!S246="Yes",
    1.15,
    1.00)</f>
        <v/>
      </c>
      <c r="Q246">
        <f>IF('Loan Tape (S&amp;P)'!V246="Yes",
    1.20,
    1.00)</f>
        <v/>
      </c>
      <c r="T246">
        <f>LET(
    payment_method,'Loan Tape (S&amp;P)'!P246,
    occupancy,'Loan Tape (S&amp;P)'!N246,
    maturity_date,'Loan Tape (S&amp;P)'!L246,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7">
      <c r="J247">
        <f>LET(
    lien,'Loan Tape (S&amp;P)'!Q247,
    IF(lien="First",1.00,
        IF(lien="Second",1.50,
            1.70)))</f>
        <v/>
      </c>
      <c r="K247">
        <f>LET(
    purpose,'Loan Tape (S&amp;P)'!R247,
    IF(purpose="Purchase",1.00,
        IF(purpose="Remortgage",1.00,
            1.20)))</f>
        <v/>
      </c>
      <c r="L247">
        <f>LET(
    arrears_months,'Loan Tape (S&amp;P)'!AN247,
    IF(arrears_months=0,1.00,
    IF(arrears_months=1,3.00,
    IF(arrears_months=2,5.00,
    IF(arrears_months=3,8.00,
    IF(arrears_months=4,10.00,
    IF(arrears_months=5,12.00,15.00)))))))</f>
        <v/>
      </c>
      <c r="M247">
        <f>LET(
    seasoning_years,DATEDIF('Loan Tape (S&amp;P)'!K247,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7">
        <f>IF(AND('Loan Tape (S&amp;P)'!U247="Yes",
        'Loan Tape (S&amp;P)'!T247&lt;&gt;"Yes",
        DATEDIF('Loan Tape (S&amp;P)'!K247, TODAY(), "M")&lt;18),
    1.10,
    1.00)</f>
        <v/>
      </c>
      <c r="O247">
        <f>IF('Loan Tape (S&amp;P)'!T247="Yes",
    1.35,
    1.00)</f>
        <v/>
      </c>
      <c r="P247">
        <f>IF('Loan Tape (S&amp;P)'!S247="Yes",
    1.15,
    1.00)</f>
        <v/>
      </c>
      <c r="Q247">
        <f>IF('Loan Tape (S&amp;P)'!V247="Yes",
    1.20,
    1.00)</f>
        <v/>
      </c>
      <c r="T247">
        <f>LET(
    payment_method,'Loan Tape (S&amp;P)'!P247,
    occupancy,'Loan Tape (S&amp;P)'!N247,
    maturity_date,'Loan Tape (S&amp;P)'!L247,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8">
      <c r="J248">
        <f>LET(
    lien,'Loan Tape (S&amp;P)'!Q248,
    IF(lien="First",1.00,
        IF(lien="Second",1.50,
            1.70)))</f>
        <v/>
      </c>
      <c r="K248">
        <f>LET(
    purpose,'Loan Tape (S&amp;P)'!R248,
    IF(purpose="Purchase",1.00,
        IF(purpose="Remortgage",1.00,
            1.20)))</f>
        <v/>
      </c>
      <c r="L248">
        <f>LET(
    arrears_months,'Loan Tape (S&amp;P)'!AN248,
    IF(arrears_months=0,1.00,
    IF(arrears_months=1,3.00,
    IF(arrears_months=2,5.00,
    IF(arrears_months=3,8.00,
    IF(arrears_months=4,10.00,
    IF(arrears_months=5,12.00,15.00)))))))</f>
        <v/>
      </c>
      <c r="M248">
        <f>LET(
    seasoning_years,DATEDIF('Loan Tape (S&amp;P)'!K248,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8">
        <f>IF(AND('Loan Tape (S&amp;P)'!U248="Yes",
        'Loan Tape (S&amp;P)'!T248&lt;&gt;"Yes",
        DATEDIF('Loan Tape (S&amp;P)'!K248, TODAY(), "M")&lt;18),
    1.10,
    1.00)</f>
        <v/>
      </c>
      <c r="O248">
        <f>IF('Loan Tape (S&amp;P)'!T248="Yes",
    1.35,
    1.00)</f>
        <v/>
      </c>
      <c r="P248">
        <f>IF('Loan Tape (S&amp;P)'!S248="Yes",
    1.15,
    1.00)</f>
        <v/>
      </c>
      <c r="Q248">
        <f>IF('Loan Tape (S&amp;P)'!V248="Yes",
    1.20,
    1.00)</f>
        <v/>
      </c>
      <c r="T248">
        <f>LET(
    payment_method,'Loan Tape (S&amp;P)'!P248,
    occupancy,'Loan Tape (S&amp;P)'!N248,
    maturity_date,'Loan Tape (S&amp;P)'!L248,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9">
      <c r="J249">
        <f>LET(
    lien,'Loan Tape (S&amp;P)'!Q249,
    IF(lien="First",1.00,
        IF(lien="Second",1.50,
            1.70)))</f>
        <v/>
      </c>
      <c r="K249">
        <f>LET(
    purpose,'Loan Tape (S&amp;P)'!R249,
    IF(purpose="Purchase",1.00,
        IF(purpose="Remortgage",1.00,
            1.20)))</f>
        <v/>
      </c>
      <c r="L249">
        <f>LET(
    arrears_months,'Loan Tape (S&amp;P)'!AN249,
    IF(arrears_months=0,1.00,
    IF(arrears_months=1,3.00,
    IF(arrears_months=2,5.00,
    IF(arrears_months=3,8.00,
    IF(arrears_months=4,10.00,
    IF(arrears_months=5,12.00,15.00)))))))</f>
        <v/>
      </c>
      <c r="M249">
        <f>LET(
    seasoning_years,DATEDIF('Loan Tape (S&amp;P)'!K249,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9">
        <f>IF(AND('Loan Tape (S&amp;P)'!U249="Yes",
        'Loan Tape (S&amp;P)'!T249&lt;&gt;"Yes",
        DATEDIF('Loan Tape (S&amp;P)'!K249, TODAY(), "M")&lt;18),
    1.10,
    1.00)</f>
        <v/>
      </c>
      <c r="O249">
        <f>IF('Loan Tape (S&amp;P)'!T249="Yes",
    1.35,
    1.00)</f>
        <v/>
      </c>
      <c r="P249">
        <f>IF('Loan Tape (S&amp;P)'!S249="Yes",
    1.15,
    1.00)</f>
        <v/>
      </c>
      <c r="Q249">
        <f>IF('Loan Tape (S&amp;P)'!V249="Yes",
    1.20,
    1.00)</f>
        <v/>
      </c>
      <c r="T249">
        <f>LET(
    payment_method,'Loan Tape (S&amp;P)'!P249,
    occupancy,'Loan Tape (S&amp;P)'!N249,
    maturity_date,'Loan Tape (S&amp;P)'!L249,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0">
      <c r="J250">
        <f>LET(
    lien,'Loan Tape (S&amp;P)'!Q250,
    IF(lien="First",1.00,
        IF(lien="Second",1.50,
            1.70)))</f>
        <v/>
      </c>
      <c r="K250">
        <f>LET(
    purpose,'Loan Tape (S&amp;P)'!R250,
    IF(purpose="Purchase",1.00,
        IF(purpose="Remortgage",1.00,
            1.20)))</f>
        <v/>
      </c>
      <c r="L250">
        <f>LET(
    arrears_months,'Loan Tape (S&amp;P)'!AN250,
    IF(arrears_months=0,1.00,
    IF(arrears_months=1,3.00,
    IF(arrears_months=2,5.00,
    IF(arrears_months=3,8.00,
    IF(arrears_months=4,10.00,
    IF(arrears_months=5,12.00,15.00)))))))</f>
        <v/>
      </c>
      <c r="M250">
        <f>LET(
    seasoning_years,DATEDIF('Loan Tape (S&amp;P)'!K250,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0">
        <f>IF(AND('Loan Tape (S&amp;P)'!U250="Yes",
        'Loan Tape (S&amp;P)'!T250&lt;&gt;"Yes",
        DATEDIF('Loan Tape (S&amp;P)'!K250, TODAY(), "M")&lt;18),
    1.10,
    1.00)</f>
        <v/>
      </c>
      <c r="O250">
        <f>IF('Loan Tape (S&amp;P)'!T250="Yes",
    1.35,
    1.00)</f>
        <v/>
      </c>
      <c r="P250">
        <f>IF('Loan Tape (S&amp;P)'!S250="Yes",
    1.15,
    1.00)</f>
        <v/>
      </c>
      <c r="Q250">
        <f>IF('Loan Tape (S&amp;P)'!V250="Yes",
    1.20,
    1.00)</f>
        <v/>
      </c>
      <c r="T250">
        <f>LET(
    payment_method,'Loan Tape (S&amp;P)'!P250,
    occupancy,'Loan Tape (S&amp;P)'!N250,
    maturity_date,'Loan Tape (S&amp;P)'!L250,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1">
      <c r="J251">
        <f>LET(
    lien,'Loan Tape (S&amp;P)'!Q251,
    IF(lien="First",1.00,
        IF(lien="Second",1.50,
            1.70)))</f>
        <v/>
      </c>
      <c r="K251">
        <f>LET(
    purpose,'Loan Tape (S&amp;P)'!R251,
    IF(purpose="Purchase",1.00,
        IF(purpose="Remortgage",1.00,
            1.20)))</f>
        <v/>
      </c>
      <c r="L251">
        <f>LET(
    arrears_months,'Loan Tape (S&amp;P)'!AN251,
    IF(arrears_months=0,1.00,
    IF(arrears_months=1,3.00,
    IF(arrears_months=2,5.00,
    IF(arrears_months=3,8.00,
    IF(arrears_months=4,10.00,
    IF(arrears_months=5,12.00,15.00)))))))</f>
        <v/>
      </c>
      <c r="M251">
        <f>LET(
    seasoning_years,DATEDIF('Loan Tape (S&amp;P)'!K251,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1">
        <f>IF(AND('Loan Tape (S&amp;P)'!U251="Yes",
        'Loan Tape (S&amp;P)'!T251&lt;&gt;"Yes",
        DATEDIF('Loan Tape (S&amp;P)'!K251, TODAY(), "M")&lt;18),
    1.10,
    1.00)</f>
        <v/>
      </c>
      <c r="O251">
        <f>IF('Loan Tape (S&amp;P)'!T251="Yes",
    1.35,
    1.00)</f>
        <v/>
      </c>
      <c r="P251">
        <f>IF('Loan Tape (S&amp;P)'!S251="Yes",
    1.15,
    1.00)</f>
        <v/>
      </c>
      <c r="Q251">
        <f>IF('Loan Tape (S&amp;P)'!V251="Yes",
    1.20,
    1.00)</f>
        <v/>
      </c>
      <c r="T251">
        <f>LET(
    payment_method,'Loan Tape (S&amp;P)'!P251,
    occupancy,'Loan Tape (S&amp;P)'!N251,
    maturity_date,'Loan Tape (S&amp;P)'!L251,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2">
      <c r="J252">
        <f>LET(
    lien,'Loan Tape (S&amp;P)'!Q252,
    IF(lien="First",1.00,
        IF(lien="Second",1.50,
            1.70)))</f>
        <v/>
      </c>
      <c r="K252">
        <f>LET(
    purpose,'Loan Tape (S&amp;P)'!R252,
    IF(purpose="Purchase",1.00,
        IF(purpose="Remortgage",1.00,
            1.20)))</f>
        <v/>
      </c>
      <c r="L252">
        <f>LET(
    arrears_months,'Loan Tape (S&amp;P)'!AN252,
    IF(arrears_months=0,1.00,
    IF(arrears_months=1,3.00,
    IF(arrears_months=2,5.00,
    IF(arrears_months=3,8.00,
    IF(arrears_months=4,10.00,
    IF(arrears_months=5,12.00,15.00)))))))</f>
        <v/>
      </c>
      <c r="M252">
        <f>LET(
    seasoning_years,DATEDIF('Loan Tape (S&amp;P)'!K252,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2">
        <f>IF(AND('Loan Tape (S&amp;P)'!U252="Yes",
        'Loan Tape (S&amp;P)'!T252&lt;&gt;"Yes",
        DATEDIF('Loan Tape (S&amp;P)'!K252, TODAY(), "M")&lt;18),
    1.10,
    1.00)</f>
        <v/>
      </c>
      <c r="O252">
        <f>IF('Loan Tape (S&amp;P)'!T252="Yes",
    1.35,
    1.00)</f>
        <v/>
      </c>
      <c r="P252">
        <f>IF('Loan Tape (S&amp;P)'!S252="Yes",
    1.15,
    1.00)</f>
        <v/>
      </c>
      <c r="Q252">
        <f>IF('Loan Tape (S&amp;P)'!V252="Yes",
    1.20,
    1.00)</f>
        <v/>
      </c>
      <c r="T252">
        <f>LET(
    payment_method,'Loan Tape (S&amp;P)'!P252,
    occupancy,'Loan Tape (S&amp;P)'!N252,
    maturity_date,'Loan Tape (S&amp;P)'!L252,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3">
      <c r="J253">
        <f>LET(
    lien,'Loan Tape (S&amp;P)'!Q253,
    IF(lien="First",1.00,
        IF(lien="Second",1.50,
            1.70)))</f>
        <v/>
      </c>
      <c r="K253">
        <f>LET(
    purpose,'Loan Tape (S&amp;P)'!R253,
    IF(purpose="Purchase",1.00,
        IF(purpose="Remortgage",1.00,
            1.20)))</f>
        <v/>
      </c>
      <c r="L253">
        <f>LET(
    arrears_months,'Loan Tape (S&amp;P)'!AN253,
    IF(arrears_months=0,1.00,
    IF(arrears_months=1,3.00,
    IF(arrears_months=2,5.00,
    IF(arrears_months=3,8.00,
    IF(arrears_months=4,10.00,
    IF(arrears_months=5,12.00,15.00)))))))</f>
        <v/>
      </c>
      <c r="M253">
        <f>LET(
    seasoning_years,DATEDIF('Loan Tape (S&amp;P)'!K253,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3">
        <f>IF(AND('Loan Tape (S&amp;P)'!U253="Yes",
        'Loan Tape (S&amp;P)'!T253&lt;&gt;"Yes",
        DATEDIF('Loan Tape (S&amp;P)'!K253, TODAY(), "M")&lt;18),
    1.10,
    1.00)</f>
        <v/>
      </c>
      <c r="O253">
        <f>IF('Loan Tape (S&amp;P)'!T253="Yes",
    1.35,
    1.00)</f>
        <v/>
      </c>
      <c r="P253">
        <f>IF('Loan Tape (S&amp;P)'!S253="Yes",
    1.15,
    1.00)</f>
        <v/>
      </c>
      <c r="Q253">
        <f>IF('Loan Tape (S&amp;P)'!V253="Yes",
    1.20,
    1.00)</f>
        <v/>
      </c>
      <c r="T253">
        <f>LET(
    payment_method,'Loan Tape (S&amp;P)'!P253,
    occupancy,'Loan Tape (S&amp;P)'!N253,
    maturity_date,'Loan Tape (S&amp;P)'!L253,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4">
      <c r="J254">
        <f>LET(
    lien,'Loan Tape (S&amp;P)'!Q254,
    IF(lien="First",1.00,
        IF(lien="Second",1.50,
            1.70)))</f>
        <v/>
      </c>
      <c r="K254">
        <f>LET(
    purpose,'Loan Tape (S&amp;P)'!R254,
    IF(purpose="Purchase",1.00,
        IF(purpose="Remortgage",1.00,
            1.20)))</f>
        <v/>
      </c>
      <c r="L254">
        <f>LET(
    arrears_months,'Loan Tape (S&amp;P)'!AN254,
    IF(arrears_months=0,1.00,
    IF(arrears_months=1,3.00,
    IF(arrears_months=2,5.00,
    IF(arrears_months=3,8.00,
    IF(arrears_months=4,10.00,
    IF(arrears_months=5,12.00,15.00)))))))</f>
        <v/>
      </c>
      <c r="M254">
        <f>LET(
    seasoning_years,DATEDIF('Loan Tape (S&amp;P)'!K254,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4">
        <f>IF(AND('Loan Tape (S&amp;P)'!U254="Yes",
        'Loan Tape (S&amp;P)'!T254&lt;&gt;"Yes",
        DATEDIF('Loan Tape (S&amp;P)'!K254, TODAY(), "M")&lt;18),
    1.10,
    1.00)</f>
        <v/>
      </c>
      <c r="O254">
        <f>IF('Loan Tape (S&amp;P)'!T254="Yes",
    1.35,
    1.00)</f>
        <v/>
      </c>
      <c r="P254">
        <f>IF('Loan Tape (S&amp;P)'!S254="Yes",
    1.15,
    1.00)</f>
        <v/>
      </c>
      <c r="Q254">
        <f>IF('Loan Tape (S&amp;P)'!V254="Yes",
    1.20,
    1.00)</f>
        <v/>
      </c>
      <c r="T254">
        <f>LET(
    payment_method,'Loan Tape (S&amp;P)'!P254,
    occupancy,'Loan Tape (S&amp;P)'!N254,
    maturity_date,'Loan Tape (S&amp;P)'!L254,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5">
      <c r="J255">
        <f>LET(
    lien,'Loan Tape (S&amp;P)'!Q255,
    IF(lien="First",1.00,
        IF(lien="Second",1.50,
            1.70)))</f>
        <v/>
      </c>
      <c r="K255">
        <f>LET(
    purpose,'Loan Tape (S&amp;P)'!R255,
    IF(purpose="Purchase",1.00,
        IF(purpose="Remortgage",1.00,
            1.20)))</f>
        <v/>
      </c>
      <c r="L255">
        <f>LET(
    arrears_months,'Loan Tape (S&amp;P)'!AN255,
    IF(arrears_months=0,1.00,
    IF(arrears_months=1,3.00,
    IF(arrears_months=2,5.00,
    IF(arrears_months=3,8.00,
    IF(arrears_months=4,10.00,
    IF(arrears_months=5,12.00,15.00)))))))</f>
        <v/>
      </c>
      <c r="M255">
        <f>LET(
    seasoning_years,DATEDIF('Loan Tape (S&amp;P)'!K255,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5">
        <f>IF(AND('Loan Tape (S&amp;P)'!U255="Yes",
        'Loan Tape (S&amp;P)'!T255&lt;&gt;"Yes",
        DATEDIF('Loan Tape (S&amp;P)'!K255, TODAY(), "M")&lt;18),
    1.10,
    1.00)</f>
        <v/>
      </c>
      <c r="O255">
        <f>IF('Loan Tape (S&amp;P)'!T255="Yes",
    1.35,
    1.00)</f>
        <v/>
      </c>
      <c r="P255">
        <f>IF('Loan Tape (S&amp;P)'!S255="Yes",
    1.15,
    1.00)</f>
        <v/>
      </c>
      <c r="Q255">
        <f>IF('Loan Tape (S&amp;P)'!V255="Yes",
    1.20,
    1.00)</f>
        <v/>
      </c>
      <c r="T255">
        <f>LET(
    payment_method,'Loan Tape (S&amp;P)'!P255,
    occupancy,'Loan Tape (S&amp;P)'!N255,
    maturity_date,'Loan Tape (S&amp;P)'!L255,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6">
      <c r="J256">
        <f>LET(
    lien,'Loan Tape (S&amp;P)'!Q256,
    IF(lien="First",1.00,
        IF(lien="Second",1.50,
            1.70)))</f>
        <v/>
      </c>
      <c r="K256">
        <f>LET(
    purpose,'Loan Tape (S&amp;P)'!R256,
    IF(purpose="Purchase",1.00,
        IF(purpose="Remortgage",1.00,
            1.20)))</f>
        <v/>
      </c>
      <c r="L256">
        <f>LET(
    arrears_months,'Loan Tape (S&amp;P)'!AN256,
    IF(arrears_months=0,1.00,
    IF(arrears_months=1,3.00,
    IF(arrears_months=2,5.00,
    IF(arrears_months=3,8.00,
    IF(arrears_months=4,10.00,
    IF(arrears_months=5,12.00,15.00)))))))</f>
        <v/>
      </c>
      <c r="M256">
        <f>LET(
    seasoning_years,DATEDIF('Loan Tape (S&amp;P)'!K256,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6">
        <f>IF(AND('Loan Tape (S&amp;P)'!U256="Yes",
        'Loan Tape (S&amp;P)'!T256&lt;&gt;"Yes",
        DATEDIF('Loan Tape (S&amp;P)'!K256, TODAY(), "M")&lt;18),
    1.10,
    1.00)</f>
        <v/>
      </c>
      <c r="O256">
        <f>IF('Loan Tape (S&amp;P)'!T256="Yes",
    1.35,
    1.00)</f>
        <v/>
      </c>
      <c r="P256">
        <f>IF('Loan Tape (S&amp;P)'!S256="Yes",
    1.15,
    1.00)</f>
        <v/>
      </c>
      <c r="Q256">
        <f>IF('Loan Tape (S&amp;P)'!V256="Yes",
    1.20,
    1.00)</f>
        <v/>
      </c>
      <c r="T256">
        <f>LET(
    payment_method,'Loan Tape (S&amp;P)'!P256,
    occupancy,'Loan Tape (S&amp;P)'!N256,
    maturity_date,'Loan Tape (S&amp;P)'!L256,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7">
      <c r="J257">
        <f>LET(
    lien,'Loan Tape (S&amp;P)'!Q257,
    IF(lien="First",1.00,
        IF(lien="Second",1.50,
            1.70)))</f>
        <v/>
      </c>
      <c r="K257">
        <f>LET(
    purpose,'Loan Tape (S&amp;P)'!R257,
    IF(purpose="Purchase",1.00,
        IF(purpose="Remortgage",1.00,
            1.20)))</f>
        <v/>
      </c>
      <c r="L257">
        <f>LET(
    arrears_months,'Loan Tape (S&amp;P)'!AN257,
    IF(arrears_months=0,1.00,
    IF(arrears_months=1,3.00,
    IF(arrears_months=2,5.00,
    IF(arrears_months=3,8.00,
    IF(arrears_months=4,10.00,
    IF(arrears_months=5,12.00,15.00)))))))</f>
        <v/>
      </c>
      <c r="M257">
        <f>LET(
    seasoning_years,DATEDIF('Loan Tape (S&amp;P)'!K257,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7">
        <f>IF(AND('Loan Tape (S&amp;P)'!U257="Yes",
        'Loan Tape (S&amp;P)'!T257&lt;&gt;"Yes",
        DATEDIF('Loan Tape (S&amp;P)'!K257, TODAY(), "M")&lt;18),
    1.10,
    1.00)</f>
        <v/>
      </c>
      <c r="O257">
        <f>IF('Loan Tape (S&amp;P)'!T257="Yes",
    1.35,
    1.00)</f>
        <v/>
      </c>
      <c r="P257">
        <f>IF('Loan Tape (S&amp;P)'!S257="Yes",
    1.15,
    1.00)</f>
        <v/>
      </c>
      <c r="Q257">
        <f>IF('Loan Tape (S&amp;P)'!V257="Yes",
    1.20,
    1.00)</f>
        <v/>
      </c>
      <c r="T257">
        <f>LET(
    payment_method,'Loan Tape (S&amp;P)'!P257,
    occupancy,'Loan Tape (S&amp;P)'!N257,
    maturity_date,'Loan Tape (S&amp;P)'!L257,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8">
      <c r="J258">
        <f>LET(
    lien,'Loan Tape (S&amp;P)'!Q258,
    IF(lien="First",1.00,
        IF(lien="Second",1.50,
            1.70)))</f>
        <v/>
      </c>
      <c r="K258">
        <f>LET(
    purpose,'Loan Tape (S&amp;P)'!R258,
    IF(purpose="Purchase",1.00,
        IF(purpose="Remortgage",1.00,
            1.20)))</f>
        <v/>
      </c>
      <c r="L258">
        <f>LET(
    arrears_months,'Loan Tape (S&amp;P)'!AN258,
    IF(arrears_months=0,1.00,
    IF(arrears_months=1,3.00,
    IF(arrears_months=2,5.00,
    IF(arrears_months=3,8.00,
    IF(arrears_months=4,10.00,
    IF(arrears_months=5,12.00,15.00)))))))</f>
        <v/>
      </c>
      <c r="M258">
        <f>LET(
    seasoning_years,DATEDIF('Loan Tape (S&amp;P)'!K258,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8">
        <f>IF(AND('Loan Tape (S&amp;P)'!U258="Yes",
        'Loan Tape (S&amp;P)'!T258&lt;&gt;"Yes",
        DATEDIF('Loan Tape (S&amp;P)'!K258, TODAY(), "M")&lt;18),
    1.10,
    1.00)</f>
        <v/>
      </c>
      <c r="O258">
        <f>IF('Loan Tape (S&amp;P)'!T258="Yes",
    1.35,
    1.00)</f>
        <v/>
      </c>
      <c r="P258">
        <f>IF('Loan Tape (S&amp;P)'!S258="Yes",
    1.15,
    1.00)</f>
        <v/>
      </c>
      <c r="Q258">
        <f>IF('Loan Tape (S&amp;P)'!V258="Yes",
    1.20,
    1.00)</f>
        <v/>
      </c>
      <c r="T258">
        <f>LET(
    payment_method,'Loan Tape (S&amp;P)'!P258,
    occupancy,'Loan Tape (S&amp;P)'!N258,
    maturity_date,'Loan Tape (S&amp;P)'!L258,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9">
      <c r="J259">
        <f>LET(
    lien,'Loan Tape (S&amp;P)'!Q259,
    IF(lien="First",1.00,
        IF(lien="Second",1.50,
            1.70)))</f>
        <v/>
      </c>
      <c r="K259">
        <f>LET(
    purpose,'Loan Tape (S&amp;P)'!R259,
    IF(purpose="Purchase",1.00,
        IF(purpose="Remortgage",1.00,
            1.20)))</f>
        <v/>
      </c>
      <c r="L259">
        <f>LET(
    arrears_months,'Loan Tape (S&amp;P)'!AN259,
    IF(arrears_months=0,1.00,
    IF(arrears_months=1,3.00,
    IF(arrears_months=2,5.00,
    IF(arrears_months=3,8.00,
    IF(arrears_months=4,10.00,
    IF(arrears_months=5,12.00,15.00)))))))</f>
        <v/>
      </c>
      <c r="M259">
        <f>LET(
    seasoning_years,DATEDIF('Loan Tape (S&amp;P)'!K259,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9">
        <f>IF(AND('Loan Tape (S&amp;P)'!U259="Yes",
        'Loan Tape (S&amp;P)'!T259&lt;&gt;"Yes",
        DATEDIF('Loan Tape (S&amp;P)'!K259, TODAY(), "M")&lt;18),
    1.10,
    1.00)</f>
        <v/>
      </c>
      <c r="O259">
        <f>IF('Loan Tape (S&amp;P)'!T259="Yes",
    1.35,
    1.00)</f>
        <v/>
      </c>
      <c r="P259">
        <f>IF('Loan Tape (S&amp;P)'!S259="Yes",
    1.15,
    1.00)</f>
        <v/>
      </c>
      <c r="Q259">
        <f>IF('Loan Tape (S&amp;P)'!V259="Yes",
    1.20,
    1.00)</f>
        <v/>
      </c>
      <c r="T259">
        <f>LET(
    payment_method,'Loan Tape (S&amp;P)'!P259,
    occupancy,'Loan Tape (S&amp;P)'!N259,
    maturity_date,'Loan Tape (S&amp;P)'!L259,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0">
      <c r="J260">
        <f>LET(
    lien,'Loan Tape (S&amp;P)'!Q260,
    IF(lien="First",1.00,
        IF(lien="Second",1.50,
            1.70)))</f>
        <v/>
      </c>
      <c r="K260">
        <f>LET(
    purpose,'Loan Tape (S&amp;P)'!R260,
    IF(purpose="Purchase",1.00,
        IF(purpose="Remortgage",1.00,
            1.20)))</f>
        <v/>
      </c>
      <c r="L260">
        <f>LET(
    arrears_months,'Loan Tape (S&amp;P)'!AN260,
    IF(arrears_months=0,1.00,
    IF(arrears_months=1,3.00,
    IF(arrears_months=2,5.00,
    IF(arrears_months=3,8.00,
    IF(arrears_months=4,10.00,
    IF(arrears_months=5,12.00,15.00)))))))</f>
        <v/>
      </c>
      <c r="M260">
        <f>LET(
    seasoning_years,DATEDIF('Loan Tape (S&amp;P)'!K260,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0">
        <f>IF(AND('Loan Tape (S&amp;P)'!U260="Yes",
        'Loan Tape (S&amp;P)'!T260&lt;&gt;"Yes",
        DATEDIF('Loan Tape (S&amp;P)'!K260, TODAY(), "M")&lt;18),
    1.10,
    1.00)</f>
        <v/>
      </c>
      <c r="O260">
        <f>IF('Loan Tape (S&amp;P)'!T260="Yes",
    1.35,
    1.00)</f>
        <v/>
      </c>
      <c r="P260">
        <f>IF('Loan Tape (S&amp;P)'!S260="Yes",
    1.15,
    1.00)</f>
        <v/>
      </c>
      <c r="Q260">
        <f>IF('Loan Tape (S&amp;P)'!V260="Yes",
    1.20,
    1.00)</f>
        <v/>
      </c>
      <c r="T260">
        <f>LET(
    payment_method,'Loan Tape (S&amp;P)'!P260,
    occupancy,'Loan Tape (S&amp;P)'!N260,
    maturity_date,'Loan Tape (S&amp;P)'!L260,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1">
      <c r="J261">
        <f>LET(
    lien,'Loan Tape (S&amp;P)'!Q261,
    IF(lien="First",1.00,
        IF(lien="Second",1.50,
            1.70)))</f>
        <v/>
      </c>
      <c r="K261">
        <f>LET(
    purpose,'Loan Tape (S&amp;P)'!R261,
    IF(purpose="Purchase",1.00,
        IF(purpose="Remortgage",1.00,
            1.20)))</f>
        <v/>
      </c>
      <c r="L261">
        <f>LET(
    arrears_months,'Loan Tape (S&amp;P)'!AN261,
    IF(arrears_months=0,1.00,
    IF(arrears_months=1,3.00,
    IF(arrears_months=2,5.00,
    IF(arrears_months=3,8.00,
    IF(arrears_months=4,10.00,
    IF(arrears_months=5,12.00,15.00)))))))</f>
        <v/>
      </c>
      <c r="M261">
        <f>LET(
    seasoning_years,DATEDIF('Loan Tape (S&amp;P)'!K261,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1">
        <f>IF(AND('Loan Tape (S&amp;P)'!U261="Yes",
        'Loan Tape (S&amp;P)'!T261&lt;&gt;"Yes",
        DATEDIF('Loan Tape (S&amp;P)'!K261, TODAY(), "M")&lt;18),
    1.10,
    1.00)</f>
        <v/>
      </c>
      <c r="O261">
        <f>IF('Loan Tape (S&amp;P)'!T261="Yes",
    1.35,
    1.00)</f>
        <v/>
      </c>
      <c r="P261">
        <f>IF('Loan Tape (S&amp;P)'!S261="Yes",
    1.15,
    1.00)</f>
        <v/>
      </c>
      <c r="Q261">
        <f>IF('Loan Tape (S&amp;P)'!V261="Yes",
    1.20,
    1.00)</f>
        <v/>
      </c>
      <c r="T261">
        <f>LET(
    payment_method,'Loan Tape (S&amp;P)'!P261,
    occupancy,'Loan Tape (S&amp;P)'!N261,
    maturity_date,'Loan Tape (S&amp;P)'!L261,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2">
      <c r="J262">
        <f>LET(
    lien,'Loan Tape (S&amp;P)'!Q262,
    IF(lien="First",1.00,
        IF(lien="Second",1.50,
            1.70)))</f>
        <v/>
      </c>
      <c r="K262">
        <f>LET(
    purpose,'Loan Tape (S&amp;P)'!R262,
    IF(purpose="Purchase",1.00,
        IF(purpose="Remortgage",1.00,
            1.20)))</f>
        <v/>
      </c>
      <c r="L262">
        <f>LET(
    arrears_months,'Loan Tape (S&amp;P)'!AN262,
    IF(arrears_months=0,1.00,
    IF(arrears_months=1,3.00,
    IF(arrears_months=2,5.00,
    IF(arrears_months=3,8.00,
    IF(arrears_months=4,10.00,
    IF(arrears_months=5,12.00,15.00)))))))</f>
        <v/>
      </c>
      <c r="M262">
        <f>LET(
    seasoning_years,DATEDIF('Loan Tape (S&amp;P)'!K262,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2">
        <f>IF(AND('Loan Tape (S&amp;P)'!U262="Yes",
        'Loan Tape (S&amp;P)'!T262&lt;&gt;"Yes",
        DATEDIF('Loan Tape (S&amp;P)'!K262, TODAY(), "M")&lt;18),
    1.10,
    1.00)</f>
        <v/>
      </c>
      <c r="O262">
        <f>IF('Loan Tape (S&amp;P)'!T262="Yes",
    1.35,
    1.00)</f>
        <v/>
      </c>
      <c r="P262">
        <f>IF('Loan Tape (S&amp;P)'!S262="Yes",
    1.15,
    1.00)</f>
        <v/>
      </c>
      <c r="Q262">
        <f>IF('Loan Tape (S&amp;P)'!V262="Yes",
    1.20,
    1.00)</f>
        <v/>
      </c>
      <c r="T262">
        <f>LET(
    payment_method,'Loan Tape (S&amp;P)'!P262,
    occupancy,'Loan Tape (S&amp;P)'!N262,
    maturity_date,'Loan Tape (S&amp;P)'!L262,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3">
      <c r="J263">
        <f>LET(
    lien,'Loan Tape (S&amp;P)'!Q263,
    IF(lien="First",1.00,
        IF(lien="Second",1.50,
            1.70)))</f>
        <v/>
      </c>
      <c r="K263">
        <f>LET(
    purpose,'Loan Tape (S&amp;P)'!R263,
    IF(purpose="Purchase",1.00,
        IF(purpose="Remortgage",1.00,
            1.20)))</f>
        <v/>
      </c>
      <c r="L263">
        <f>LET(
    arrears_months,'Loan Tape (S&amp;P)'!AN263,
    IF(arrears_months=0,1.00,
    IF(arrears_months=1,3.00,
    IF(arrears_months=2,5.00,
    IF(arrears_months=3,8.00,
    IF(arrears_months=4,10.00,
    IF(arrears_months=5,12.00,15.00)))))))</f>
        <v/>
      </c>
      <c r="M263">
        <f>LET(
    seasoning_years,DATEDIF('Loan Tape (S&amp;P)'!K263,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3">
        <f>IF(AND('Loan Tape (S&amp;P)'!U263="Yes",
        'Loan Tape (S&amp;P)'!T263&lt;&gt;"Yes",
        DATEDIF('Loan Tape (S&amp;P)'!K263, TODAY(), "M")&lt;18),
    1.10,
    1.00)</f>
        <v/>
      </c>
      <c r="O263">
        <f>IF('Loan Tape (S&amp;P)'!T263="Yes",
    1.35,
    1.00)</f>
        <v/>
      </c>
      <c r="P263">
        <f>IF('Loan Tape (S&amp;P)'!S263="Yes",
    1.15,
    1.00)</f>
        <v/>
      </c>
      <c r="Q263">
        <f>IF('Loan Tape (S&amp;P)'!V263="Yes",
    1.20,
    1.00)</f>
        <v/>
      </c>
      <c r="T263">
        <f>LET(
    payment_method,'Loan Tape (S&amp;P)'!P263,
    occupancy,'Loan Tape (S&amp;P)'!N263,
    maturity_date,'Loan Tape (S&amp;P)'!L263,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4">
      <c r="J264">
        <f>LET(
    lien,'Loan Tape (S&amp;P)'!Q264,
    IF(lien="First",1.00,
        IF(lien="Second",1.50,
            1.70)))</f>
        <v/>
      </c>
      <c r="K264">
        <f>LET(
    purpose,'Loan Tape (S&amp;P)'!R264,
    IF(purpose="Purchase",1.00,
        IF(purpose="Remortgage",1.00,
            1.20)))</f>
        <v/>
      </c>
      <c r="L264">
        <f>LET(
    arrears_months,'Loan Tape (S&amp;P)'!AN264,
    IF(arrears_months=0,1.00,
    IF(arrears_months=1,3.00,
    IF(arrears_months=2,5.00,
    IF(arrears_months=3,8.00,
    IF(arrears_months=4,10.00,
    IF(arrears_months=5,12.00,15.00)))))))</f>
        <v/>
      </c>
      <c r="M264">
        <f>LET(
    seasoning_years,DATEDIF('Loan Tape (S&amp;P)'!K264,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4">
        <f>IF(AND('Loan Tape (S&amp;P)'!U264="Yes",
        'Loan Tape (S&amp;P)'!T264&lt;&gt;"Yes",
        DATEDIF('Loan Tape (S&amp;P)'!K264, TODAY(), "M")&lt;18),
    1.10,
    1.00)</f>
        <v/>
      </c>
      <c r="O264">
        <f>IF('Loan Tape (S&amp;P)'!T264="Yes",
    1.35,
    1.00)</f>
        <v/>
      </c>
      <c r="P264">
        <f>IF('Loan Tape (S&amp;P)'!S264="Yes",
    1.15,
    1.00)</f>
        <v/>
      </c>
      <c r="Q264">
        <f>IF('Loan Tape (S&amp;P)'!V264="Yes",
    1.20,
    1.00)</f>
        <v/>
      </c>
      <c r="T264">
        <f>LET(
    payment_method,'Loan Tape (S&amp;P)'!P264,
    occupancy,'Loan Tape (S&amp;P)'!N264,
    maturity_date,'Loan Tape (S&amp;P)'!L264,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5">
      <c r="J265">
        <f>LET(
    lien,'Loan Tape (S&amp;P)'!Q265,
    IF(lien="First",1.00,
        IF(lien="Second",1.50,
            1.70)))</f>
        <v/>
      </c>
      <c r="K265">
        <f>LET(
    purpose,'Loan Tape (S&amp;P)'!R265,
    IF(purpose="Purchase",1.00,
        IF(purpose="Remortgage",1.00,
            1.20)))</f>
        <v/>
      </c>
      <c r="L265">
        <f>LET(
    arrears_months,'Loan Tape (S&amp;P)'!AN265,
    IF(arrears_months=0,1.00,
    IF(arrears_months=1,3.00,
    IF(arrears_months=2,5.00,
    IF(arrears_months=3,8.00,
    IF(arrears_months=4,10.00,
    IF(arrears_months=5,12.00,15.00)))))))</f>
        <v/>
      </c>
      <c r="M265">
        <f>LET(
    seasoning_years,DATEDIF('Loan Tape (S&amp;P)'!K265,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5">
        <f>IF(AND('Loan Tape (S&amp;P)'!U265="Yes",
        'Loan Tape (S&amp;P)'!T265&lt;&gt;"Yes",
        DATEDIF('Loan Tape (S&amp;P)'!K265, TODAY(), "M")&lt;18),
    1.10,
    1.00)</f>
        <v/>
      </c>
      <c r="O265">
        <f>IF('Loan Tape (S&amp;P)'!T265="Yes",
    1.35,
    1.00)</f>
        <v/>
      </c>
      <c r="P265">
        <f>IF('Loan Tape (S&amp;P)'!S265="Yes",
    1.15,
    1.00)</f>
        <v/>
      </c>
      <c r="Q265">
        <f>IF('Loan Tape (S&amp;P)'!V265="Yes",
    1.20,
    1.00)</f>
        <v/>
      </c>
      <c r="T265">
        <f>LET(
    payment_method,'Loan Tape (S&amp;P)'!P265,
    occupancy,'Loan Tape (S&amp;P)'!N265,
    maturity_date,'Loan Tape (S&amp;P)'!L265,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6">
      <c r="J266">
        <f>LET(
    lien,'Loan Tape (S&amp;P)'!Q266,
    IF(lien="First",1.00,
        IF(lien="Second",1.50,
            1.70)))</f>
        <v/>
      </c>
      <c r="K266">
        <f>LET(
    purpose,'Loan Tape (S&amp;P)'!R266,
    IF(purpose="Purchase",1.00,
        IF(purpose="Remortgage",1.00,
            1.20)))</f>
        <v/>
      </c>
      <c r="L266">
        <f>LET(
    arrears_months,'Loan Tape (S&amp;P)'!AN266,
    IF(arrears_months=0,1.00,
    IF(arrears_months=1,3.00,
    IF(arrears_months=2,5.00,
    IF(arrears_months=3,8.00,
    IF(arrears_months=4,10.00,
    IF(arrears_months=5,12.00,15.00)))))))</f>
        <v/>
      </c>
      <c r="M266">
        <f>LET(
    seasoning_years,DATEDIF('Loan Tape (S&amp;P)'!K266,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6">
        <f>IF(AND('Loan Tape (S&amp;P)'!U266="Yes",
        'Loan Tape (S&amp;P)'!T266&lt;&gt;"Yes",
        DATEDIF('Loan Tape (S&amp;P)'!K266, TODAY(), "M")&lt;18),
    1.10,
    1.00)</f>
        <v/>
      </c>
      <c r="O266">
        <f>IF('Loan Tape (S&amp;P)'!T266="Yes",
    1.35,
    1.00)</f>
        <v/>
      </c>
      <c r="P266">
        <f>IF('Loan Tape (S&amp;P)'!S266="Yes",
    1.15,
    1.00)</f>
        <v/>
      </c>
      <c r="Q266">
        <f>IF('Loan Tape (S&amp;P)'!V266="Yes",
    1.20,
    1.00)</f>
        <v/>
      </c>
      <c r="T266">
        <f>LET(
    payment_method,'Loan Tape (S&amp;P)'!P266,
    occupancy,'Loan Tape (S&amp;P)'!N266,
    maturity_date,'Loan Tape (S&amp;P)'!L266,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7">
      <c r="J267">
        <f>LET(
    lien,'Loan Tape (S&amp;P)'!Q267,
    IF(lien="First",1.00,
        IF(lien="Second",1.50,
            1.70)))</f>
        <v/>
      </c>
      <c r="K267">
        <f>LET(
    purpose,'Loan Tape (S&amp;P)'!R267,
    IF(purpose="Purchase",1.00,
        IF(purpose="Remortgage",1.00,
            1.20)))</f>
        <v/>
      </c>
      <c r="L267">
        <f>LET(
    arrears_months,'Loan Tape (S&amp;P)'!AN267,
    IF(arrears_months=0,1.00,
    IF(arrears_months=1,3.00,
    IF(arrears_months=2,5.00,
    IF(arrears_months=3,8.00,
    IF(arrears_months=4,10.00,
    IF(arrears_months=5,12.00,15.00)))))))</f>
        <v/>
      </c>
      <c r="M267">
        <f>LET(
    seasoning_years,DATEDIF('Loan Tape (S&amp;P)'!K267,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7">
        <f>IF(AND('Loan Tape (S&amp;P)'!U267="Yes",
        'Loan Tape (S&amp;P)'!T267&lt;&gt;"Yes",
        DATEDIF('Loan Tape (S&amp;P)'!K267, TODAY(), "M")&lt;18),
    1.10,
    1.00)</f>
        <v/>
      </c>
      <c r="O267">
        <f>IF('Loan Tape (S&amp;P)'!T267="Yes",
    1.35,
    1.00)</f>
        <v/>
      </c>
      <c r="P267">
        <f>IF('Loan Tape (S&amp;P)'!S267="Yes",
    1.15,
    1.00)</f>
        <v/>
      </c>
      <c r="Q267">
        <f>IF('Loan Tape (S&amp;P)'!V267="Yes",
    1.20,
    1.00)</f>
        <v/>
      </c>
      <c r="T267">
        <f>LET(
    payment_method,'Loan Tape (S&amp;P)'!P267,
    occupancy,'Loan Tape (S&amp;P)'!N267,
    maturity_date,'Loan Tape (S&amp;P)'!L267,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8">
      <c r="J268">
        <f>LET(
    lien,'Loan Tape (S&amp;P)'!Q268,
    IF(lien="First",1.00,
        IF(lien="Second",1.50,
            1.70)))</f>
        <v/>
      </c>
      <c r="K268">
        <f>LET(
    purpose,'Loan Tape (S&amp;P)'!R268,
    IF(purpose="Purchase",1.00,
        IF(purpose="Remortgage",1.00,
            1.20)))</f>
        <v/>
      </c>
      <c r="L268">
        <f>LET(
    arrears_months,'Loan Tape (S&amp;P)'!AN268,
    IF(arrears_months=0,1.00,
    IF(arrears_months=1,3.00,
    IF(arrears_months=2,5.00,
    IF(arrears_months=3,8.00,
    IF(arrears_months=4,10.00,
    IF(arrears_months=5,12.00,15.00)))))))</f>
        <v/>
      </c>
      <c r="M268">
        <f>LET(
    seasoning_years,DATEDIF('Loan Tape (S&amp;P)'!K268,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8">
        <f>IF(AND('Loan Tape (S&amp;P)'!U268="Yes",
        'Loan Tape (S&amp;P)'!T268&lt;&gt;"Yes",
        DATEDIF('Loan Tape (S&amp;P)'!K268, TODAY(), "M")&lt;18),
    1.10,
    1.00)</f>
        <v/>
      </c>
      <c r="O268">
        <f>IF('Loan Tape (S&amp;P)'!T268="Yes",
    1.35,
    1.00)</f>
        <v/>
      </c>
      <c r="P268">
        <f>IF('Loan Tape (S&amp;P)'!S268="Yes",
    1.15,
    1.00)</f>
        <v/>
      </c>
      <c r="Q268">
        <f>IF('Loan Tape (S&amp;P)'!V268="Yes",
    1.20,
    1.00)</f>
        <v/>
      </c>
      <c r="T268">
        <f>LET(
    payment_method,'Loan Tape (S&amp;P)'!P268,
    occupancy,'Loan Tape (S&amp;P)'!N268,
    maturity_date,'Loan Tape (S&amp;P)'!L268,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9">
      <c r="J269">
        <f>LET(
    lien,'Loan Tape (S&amp;P)'!Q269,
    IF(lien="First",1.00,
        IF(lien="Second",1.50,
            1.70)))</f>
        <v/>
      </c>
      <c r="K269">
        <f>LET(
    purpose,'Loan Tape (S&amp;P)'!R269,
    IF(purpose="Purchase",1.00,
        IF(purpose="Remortgage",1.00,
            1.20)))</f>
        <v/>
      </c>
      <c r="L269">
        <f>LET(
    arrears_months,'Loan Tape (S&amp;P)'!AN269,
    IF(arrears_months=0,1.00,
    IF(arrears_months=1,3.00,
    IF(arrears_months=2,5.00,
    IF(arrears_months=3,8.00,
    IF(arrears_months=4,10.00,
    IF(arrears_months=5,12.00,15.00)))))))</f>
        <v/>
      </c>
      <c r="M269">
        <f>LET(
    seasoning_years,DATEDIF('Loan Tape (S&amp;P)'!K269,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9">
        <f>IF(AND('Loan Tape (S&amp;P)'!U269="Yes",
        'Loan Tape (S&amp;P)'!T269&lt;&gt;"Yes",
        DATEDIF('Loan Tape (S&amp;P)'!K269, TODAY(), "M")&lt;18),
    1.10,
    1.00)</f>
        <v/>
      </c>
      <c r="O269">
        <f>IF('Loan Tape (S&amp;P)'!T269="Yes",
    1.35,
    1.00)</f>
        <v/>
      </c>
      <c r="P269">
        <f>IF('Loan Tape (S&amp;P)'!S269="Yes",
    1.15,
    1.00)</f>
        <v/>
      </c>
      <c r="Q269">
        <f>IF('Loan Tape (S&amp;P)'!V269="Yes",
    1.20,
    1.00)</f>
        <v/>
      </c>
      <c r="T269">
        <f>LET(
    payment_method,'Loan Tape (S&amp;P)'!P269,
    occupancy,'Loan Tape (S&amp;P)'!N269,
    maturity_date,'Loan Tape (S&amp;P)'!L269,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0">
      <c r="J270">
        <f>LET(
    lien,'Loan Tape (S&amp;P)'!Q270,
    IF(lien="First",1.00,
        IF(lien="Second",1.50,
            1.70)))</f>
        <v/>
      </c>
      <c r="K270">
        <f>LET(
    purpose,'Loan Tape (S&amp;P)'!R270,
    IF(purpose="Purchase",1.00,
        IF(purpose="Remortgage",1.00,
            1.20)))</f>
        <v/>
      </c>
      <c r="L270">
        <f>LET(
    arrears_months,'Loan Tape (S&amp;P)'!AN270,
    IF(arrears_months=0,1.00,
    IF(arrears_months=1,3.00,
    IF(arrears_months=2,5.00,
    IF(arrears_months=3,8.00,
    IF(arrears_months=4,10.00,
    IF(arrears_months=5,12.00,15.00)))))))</f>
        <v/>
      </c>
      <c r="M270">
        <f>LET(
    seasoning_years,DATEDIF('Loan Tape (S&amp;P)'!K270,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0">
        <f>IF(AND('Loan Tape (S&amp;P)'!U270="Yes",
        'Loan Tape (S&amp;P)'!T270&lt;&gt;"Yes",
        DATEDIF('Loan Tape (S&amp;P)'!K270, TODAY(), "M")&lt;18),
    1.10,
    1.00)</f>
        <v/>
      </c>
      <c r="O270">
        <f>IF('Loan Tape (S&amp;P)'!T270="Yes",
    1.35,
    1.00)</f>
        <v/>
      </c>
      <c r="P270">
        <f>IF('Loan Tape (S&amp;P)'!S270="Yes",
    1.15,
    1.00)</f>
        <v/>
      </c>
      <c r="Q270">
        <f>IF('Loan Tape (S&amp;P)'!V270="Yes",
    1.20,
    1.00)</f>
        <v/>
      </c>
      <c r="T270">
        <f>LET(
    payment_method,'Loan Tape (S&amp;P)'!P270,
    occupancy,'Loan Tape (S&amp;P)'!N270,
    maturity_date,'Loan Tape (S&amp;P)'!L270,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1">
      <c r="J271">
        <f>LET(
    lien,'Loan Tape (S&amp;P)'!Q271,
    IF(lien="First",1.00,
        IF(lien="Second",1.50,
            1.70)))</f>
        <v/>
      </c>
      <c r="K271">
        <f>LET(
    purpose,'Loan Tape (S&amp;P)'!R271,
    IF(purpose="Purchase",1.00,
        IF(purpose="Remortgage",1.00,
            1.20)))</f>
        <v/>
      </c>
      <c r="L271">
        <f>LET(
    arrears_months,'Loan Tape (S&amp;P)'!AN271,
    IF(arrears_months=0,1.00,
    IF(arrears_months=1,3.00,
    IF(arrears_months=2,5.00,
    IF(arrears_months=3,8.00,
    IF(arrears_months=4,10.00,
    IF(arrears_months=5,12.00,15.00)))))))</f>
        <v/>
      </c>
      <c r="M271">
        <f>LET(
    seasoning_years,DATEDIF('Loan Tape (S&amp;P)'!K271,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1">
        <f>IF(AND('Loan Tape (S&amp;P)'!U271="Yes",
        'Loan Tape (S&amp;P)'!T271&lt;&gt;"Yes",
        DATEDIF('Loan Tape (S&amp;P)'!K271, TODAY(), "M")&lt;18),
    1.10,
    1.00)</f>
        <v/>
      </c>
      <c r="O271">
        <f>IF('Loan Tape (S&amp;P)'!T271="Yes",
    1.35,
    1.00)</f>
        <v/>
      </c>
      <c r="P271">
        <f>IF('Loan Tape (S&amp;P)'!S271="Yes",
    1.15,
    1.00)</f>
        <v/>
      </c>
      <c r="Q271">
        <f>IF('Loan Tape (S&amp;P)'!V271="Yes",
    1.20,
    1.00)</f>
        <v/>
      </c>
      <c r="T271">
        <f>LET(
    payment_method,'Loan Tape (S&amp;P)'!P271,
    occupancy,'Loan Tape (S&amp;P)'!N271,
    maturity_date,'Loan Tape (S&amp;P)'!L271,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2">
      <c r="J272">
        <f>LET(
    lien,'Loan Tape (S&amp;P)'!Q272,
    IF(lien="First",1.00,
        IF(lien="Second",1.50,
            1.70)))</f>
        <v/>
      </c>
      <c r="K272">
        <f>LET(
    purpose,'Loan Tape (S&amp;P)'!R272,
    IF(purpose="Purchase",1.00,
        IF(purpose="Remortgage",1.00,
            1.20)))</f>
        <v/>
      </c>
      <c r="L272">
        <f>LET(
    arrears_months,'Loan Tape (S&amp;P)'!AN272,
    IF(arrears_months=0,1.00,
    IF(arrears_months=1,3.00,
    IF(arrears_months=2,5.00,
    IF(arrears_months=3,8.00,
    IF(arrears_months=4,10.00,
    IF(arrears_months=5,12.00,15.00)))))))</f>
        <v/>
      </c>
      <c r="M272">
        <f>LET(
    seasoning_years,DATEDIF('Loan Tape (S&amp;P)'!K272,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2">
        <f>IF(AND('Loan Tape (S&amp;P)'!U272="Yes",
        'Loan Tape (S&amp;P)'!T272&lt;&gt;"Yes",
        DATEDIF('Loan Tape (S&amp;P)'!K272, TODAY(), "M")&lt;18),
    1.10,
    1.00)</f>
        <v/>
      </c>
      <c r="O272">
        <f>IF('Loan Tape (S&amp;P)'!T272="Yes",
    1.35,
    1.00)</f>
        <v/>
      </c>
      <c r="P272">
        <f>IF('Loan Tape (S&amp;P)'!S272="Yes",
    1.15,
    1.00)</f>
        <v/>
      </c>
      <c r="Q272">
        <f>IF('Loan Tape (S&amp;P)'!V272="Yes",
    1.20,
    1.00)</f>
        <v/>
      </c>
      <c r="T272">
        <f>LET(
    payment_method,'Loan Tape (S&amp;P)'!P272,
    occupancy,'Loan Tape (S&amp;P)'!N272,
    maturity_date,'Loan Tape (S&amp;P)'!L272,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3">
      <c r="J273">
        <f>LET(
    lien,'Loan Tape (S&amp;P)'!Q273,
    IF(lien="First",1.00,
        IF(lien="Second",1.50,
            1.70)))</f>
        <v/>
      </c>
      <c r="K273">
        <f>LET(
    purpose,'Loan Tape (S&amp;P)'!R273,
    IF(purpose="Purchase",1.00,
        IF(purpose="Remortgage",1.00,
            1.20)))</f>
        <v/>
      </c>
      <c r="L273">
        <f>LET(
    arrears_months,'Loan Tape (S&amp;P)'!AN273,
    IF(arrears_months=0,1.00,
    IF(arrears_months=1,3.00,
    IF(arrears_months=2,5.00,
    IF(arrears_months=3,8.00,
    IF(arrears_months=4,10.00,
    IF(arrears_months=5,12.00,15.00)))))))</f>
        <v/>
      </c>
      <c r="M273">
        <f>LET(
    seasoning_years,DATEDIF('Loan Tape (S&amp;P)'!K273,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3">
        <f>IF(AND('Loan Tape (S&amp;P)'!U273="Yes",
        'Loan Tape (S&amp;P)'!T273&lt;&gt;"Yes",
        DATEDIF('Loan Tape (S&amp;P)'!K273, TODAY(), "M")&lt;18),
    1.10,
    1.00)</f>
        <v/>
      </c>
      <c r="O273">
        <f>IF('Loan Tape (S&amp;P)'!T273="Yes",
    1.35,
    1.00)</f>
        <v/>
      </c>
      <c r="P273">
        <f>IF('Loan Tape (S&amp;P)'!S273="Yes",
    1.15,
    1.00)</f>
        <v/>
      </c>
      <c r="Q273">
        <f>IF('Loan Tape (S&amp;P)'!V273="Yes",
    1.20,
    1.00)</f>
        <v/>
      </c>
      <c r="T273">
        <f>LET(
    payment_method,'Loan Tape (S&amp;P)'!P273,
    occupancy,'Loan Tape (S&amp;P)'!N273,
    maturity_date,'Loan Tape (S&amp;P)'!L273,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4">
      <c r="J274">
        <f>LET(
    lien,'Loan Tape (S&amp;P)'!Q274,
    IF(lien="First",1.00,
        IF(lien="Second",1.50,
            1.70)))</f>
        <v/>
      </c>
      <c r="K274">
        <f>LET(
    purpose,'Loan Tape (S&amp;P)'!R274,
    IF(purpose="Purchase",1.00,
        IF(purpose="Remortgage",1.00,
            1.20)))</f>
        <v/>
      </c>
      <c r="L274">
        <f>LET(
    arrears_months,'Loan Tape (S&amp;P)'!AN274,
    IF(arrears_months=0,1.00,
    IF(arrears_months=1,3.00,
    IF(arrears_months=2,5.00,
    IF(arrears_months=3,8.00,
    IF(arrears_months=4,10.00,
    IF(arrears_months=5,12.00,15.00)))))))</f>
        <v/>
      </c>
      <c r="M274">
        <f>LET(
    seasoning_years,DATEDIF('Loan Tape (S&amp;P)'!K274,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4">
        <f>IF(AND('Loan Tape (S&amp;P)'!U274="Yes",
        'Loan Tape (S&amp;P)'!T274&lt;&gt;"Yes",
        DATEDIF('Loan Tape (S&amp;P)'!K274, TODAY(), "M")&lt;18),
    1.10,
    1.00)</f>
        <v/>
      </c>
      <c r="O274">
        <f>IF('Loan Tape (S&amp;P)'!T274="Yes",
    1.35,
    1.00)</f>
        <v/>
      </c>
      <c r="P274">
        <f>IF('Loan Tape (S&amp;P)'!S274="Yes",
    1.15,
    1.00)</f>
        <v/>
      </c>
      <c r="Q274">
        <f>IF('Loan Tape (S&amp;P)'!V274="Yes",
    1.20,
    1.00)</f>
        <v/>
      </c>
      <c r="T274">
        <f>LET(
    payment_method,'Loan Tape (S&amp;P)'!P274,
    occupancy,'Loan Tape (S&amp;P)'!N274,
    maturity_date,'Loan Tape (S&amp;P)'!L274,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5">
      <c r="J275">
        <f>LET(
    lien,'Loan Tape (S&amp;P)'!Q275,
    IF(lien="First",1.00,
        IF(lien="Second",1.50,
            1.70)))</f>
        <v/>
      </c>
      <c r="K275">
        <f>LET(
    purpose,'Loan Tape (S&amp;P)'!R275,
    IF(purpose="Purchase",1.00,
        IF(purpose="Remortgage",1.00,
            1.20)))</f>
        <v/>
      </c>
      <c r="L275">
        <f>LET(
    arrears_months,'Loan Tape (S&amp;P)'!AN275,
    IF(arrears_months=0,1.00,
    IF(arrears_months=1,3.00,
    IF(arrears_months=2,5.00,
    IF(arrears_months=3,8.00,
    IF(arrears_months=4,10.00,
    IF(arrears_months=5,12.00,15.00)))))))</f>
        <v/>
      </c>
      <c r="M275">
        <f>LET(
    seasoning_years,DATEDIF('Loan Tape (S&amp;P)'!K275,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5">
        <f>IF(AND('Loan Tape (S&amp;P)'!U275="Yes",
        'Loan Tape (S&amp;P)'!T275&lt;&gt;"Yes",
        DATEDIF('Loan Tape (S&amp;P)'!K275, TODAY(), "M")&lt;18),
    1.10,
    1.00)</f>
        <v/>
      </c>
      <c r="O275">
        <f>IF('Loan Tape (S&amp;P)'!T275="Yes",
    1.35,
    1.00)</f>
        <v/>
      </c>
      <c r="P275">
        <f>IF('Loan Tape (S&amp;P)'!S275="Yes",
    1.15,
    1.00)</f>
        <v/>
      </c>
      <c r="Q275">
        <f>IF('Loan Tape (S&amp;P)'!V275="Yes",
    1.20,
    1.00)</f>
        <v/>
      </c>
      <c r="T275">
        <f>LET(
    payment_method,'Loan Tape (S&amp;P)'!P275,
    occupancy,'Loan Tape (S&amp;P)'!N275,
    maturity_date,'Loan Tape (S&amp;P)'!L275,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6">
      <c r="J276">
        <f>LET(
    lien,'Loan Tape (S&amp;P)'!Q276,
    IF(lien="First",1.00,
        IF(lien="Second",1.50,
            1.70)))</f>
        <v/>
      </c>
      <c r="K276">
        <f>LET(
    purpose,'Loan Tape (S&amp;P)'!R276,
    IF(purpose="Purchase",1.00,
        IF(purpose="Remortgage",1.00,
            1.20)))</f>
        <v/>
      </c>
      <c r="L276">
        <f>LET(
    arrears_months,'Loan Tape (S&amp;P)'!AN276,
    IF(arrears_months=0,1.00,
    IF(arrears_months=1,3.00,
    IF(arrears_months=2,5.00,
    IF(arrears_months=3,8.00,
    IF(arrears_months=4,10.00,
    IF(arrears_months=5,12.00,15.00)))))))</f>
        <v/>
      </c>
      <c r="M276">
        <f>LET(
    seasoning_years,DATEDIF('Loan Tape (S&amp;P)'!K276,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6">
        <f>IF(AND('Loan Tape (S&amp;P)'!U276="Yes",
        'Loan Tape (S&amp;P)'!T276&lt;&gt;"Yes",
        DATEDIF('Loan Tape (S&amp;P)'!K276, TODAY(), "M")&lt;18),
    1.10,
    1.00)</f>
        <v/>
      </c>
      <c r="O276">
        <f>IF('Loan Tape (S&amp;P)'!T276="Yes",
    1.35,
    1.00)</f>
        <v/>
      </c>
      <c r="P276">
        <f>IF('Loan Tape (S&amp;P)'!S276="Yes",
    1.15,
    1.00)</f>
        <v/>
      </c>
      <c r="Q276">
        <f>IF('Loan Tape (S&amp;P)'!V276="Yes",
    1.20,
    1.00)</f>
        <v/>
      </c>
      <c r="T276">
        <f>LET(
    payment_method,'Loan Tape (S&amp;P)'!P276,
    occupancy,'Loan Tape (S&amp;P)'!N276,
    maturity_date,'Loan Tape (S&amp;P)'!L276,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7">
      <c r="J277">
        <f>LET(
    lien,'Loan Tape (S&amp;P)'!Q277,
    IF(lien="First",1.00,
        IF(lien="Second",1.50,
            1.70)))</f>
        <v/>
      </c>
      <c r="K277">
        <f>LET(
    purpose,'Loan Tape (S&amp;P)'!R277,
    IF(purpose="Purchase",1.00,
        IF(purpose="Remortgage",1.00,
            1.20)))</f>
        <v/>
      </c>
      <c r="L277">
        <f>LET(
    arrears_months,'Loan Tape (S&amp;P)'!AN277,
    IF(arrears_months=0,1.00,
    IF(arrears_months=1,3.00,
    IF(arrears_months=2,5.00,
    IF(arrears_months=3,8.00,
    IF(arrears_months=4,10.00,
    IF(arrears_months=5,12.00,15.00)))))))</f>
        <v/>
      </c>
      <c r="M277">
        <f>LET(
    seasoning_years,DATEDIF('Loan Tape (S&amp;P)'!K277,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7">
        <f>IF(AND('Loan Tape (S&amp;P)'!U277="Yes",
        'Loan Tape (S&amp;P)'!T277&lt;&gt;"Yes",
        DATEDIF('Loan Tape (S&amp;P)'!K277, TODAY(), "M")&lt;18),
    1.10,
    1.00)</f>
        <v/>
      </c>
      <c r="O277">
        <f>IF('Loan Tape (S&amp;P)'!T277="Yes",
    1.35,
    1.00)</f>
        <v/>
      </c>
      <c r="P277">
        <f>IF('Loan Tape (S&amp;P)'!S277="Yes",
    1.15,
    1.00)</f>
        <v/>
      </c>
      <c r="Q277">
        <f>IF('Loan Tape (S&amp;P)'!V277="Yes",
    1.20,
    1.00)</f>
        <v/>
      </c>
      <c r="T277">
        <f>LET(
    payment_method,'Loan Tape (S&amp;P)'!P277,
    occupancy,'Loan Tape (S&amp;P)'!N277,
    maturity_date,'Loan Tape (S&amp;P)'!L277,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8">
      <c r="J278">
        <f>LET(
    lien,'Loan Tape (S&amp;P)'!Q278,
    IF(lien="First",1.00,
        IF(lien="Second",1.50,
            1.70)))</f>
        <v/>
      </c>
      <c r="K278">
        <f>LET(
    purpose,'Loan Tape (S&amp;P)'!R278,
    IF(purpose="Purchase",1.00,
        IF(purpose="Remortgage",1.00,
            1.20)))</f>
        <v/>
      </c>
      <c r="L278">
        <f>LET(
    arrears_months,'Loan Tape (S&amp;P)'!AN278,
    IF(arrears_months=0,1.00,
    IF(arrears_months=1,3.00,
    IF(arrears_months=2,5.00,
    IF(arrears_months=3,8.00,
    IF(arrears_months=4,10.00,
    IF(arrears_months=5,12.00,15.00)))))))</f>
        <v/>
      </c>
      <c r="M278">
        <f>LET(
    seasoning_years,DATEDIF('Loan Tape (S&amp;P)'!K278,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8">
        <f>IF(AND('Loan Tape (S&amp;P)'!U278="Yes",
        'Loan Tape (S&amp;P)'!T278&lt;&gt;"Yes",
        DATEDIF('Loan Tape (S&amp;P)'!K278, TODAY(), "M")&lt;18),
    1.10,
    1.00)</f>
        <v/>
      </c>
      <c r="O278">
        <f>IF('Loan Tape (S&amp;P)'!T278="Yes",
    1.35,
    1.00)</f>
        <v/>
      </c>
      <c r="P278">
        <f>IF('Loan Tape (S&amp;P)'!S278="Yes",
    1.15,
    1.00)</f>
        <v/>
      </c>
      <c r="Q278">
        <f>IF('Loan Tape (S&amp;P)'!V278="Yes",
    1.20,
    1.00)</f>
        <v/>
      </c>
      <c r="T278">
        <f>LET(
    payment_method,'Loan Tape (S&amp;P)'!P278,
    occupancy,'Loan Tape (S&amp;P)'!N278,
    maturity_date,'Loan Tape (S&amp;P)'!L278,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9">
      <c r="J279">
        <f>LET(
    lien,'Loan Tape (S&amp;P)'!Q279,
    IF(lien="First",1.00,
        IF(lien="Second",1.50,
            1.70)))</f>
        <v/>
      </c>
      <c r="K279">
        <f>LET(
    purpose,'Loan Tape (S&amp;P)'!R279,
    IF(purpose="Purchase",1.00,
        IF(purpose="Remortgage",1.00,
            1.20)))</f>
        <v/>
      </c>
      <c r="L279">
        <f>LET(
    arrears_months,'Loan Tape (S&amp;P)'!AN279,
    IF(arrears_months=0,1.00,
    IF(arrears_months=1,3.00,
    IF(arrears_months=2,5.00,
    IF(arrears_months=3,8.00,
    IF(arrears_months=4,10.00,
    IF(arrears_months=5,12.00,15.00)))))))</f>
        <v/>
      </c>
      <c r="M279">
        <f>LET(
    seasoning_years,DATEDIF('Loan Tape (S&amp;P)'!K279,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9">
        <f>IF(AND('Loan Tape (S&amp;P)'!U279="Yes",
        'Loan Tape (S&amp;P)'!T279&lt;&gt;"Yes",
        DATEDIF('Loan Tape (S&amp;P)'!K279, TODAY(), "M")&lt;18),
    1.10,
    1.00)</f>
        <v/>
      </c>
      <c r="O279">
        <f>IF('Loan Tape (S&amp;P)'!T279="Yes",
    1.35,
    1.00)</f>
        <v/>
      </c>
      <c r="P279">
        <f>IF('Loan Tape (S&amp;P)'!S279="Yes",
    1.15,
    1.00)</f>
        <v/>
      </c>
      <c r="Q279">
        <f>IF('Loan Tape (S&amp;P)'!V279="Yes",
    1.20,
    1.00)</f>
        <v/>
      </c>
      <c r="T279">
        <f>LET(
    payment_method,'Loan Tape (S&amp;P)'!P279,
    occupancy,'Loan Tape (S&amp;P)'!N279,
    maturity_date,'Loan Tape (S&amp;P)'!L279,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0">
      <c r="J280">
        <f>LET(
    lien,'Loan Tape (S&amp;P)'!Q280,
    IF(lien="First",1.00,
        IF(lien="Second",1.50,
            1.70)))</f>
        <v/>
      </c>
      <c r="K280">
        <f>LET(
    purpose,'Loan Tape (S&amp;P)'!R280,
    IF(purpose="Purchase",1.00,
        IF(purpose="Remortgage",1.00,
            1.20)))</f>
        <v/>
      </c>
      <c r="L280">
        <f>LET(
    arrears_months,'Loan Tape (S&amp;P)'!AN280,
    IF(arrears_months=0,1.00,
    IF(arrears_months=1,3.00,
    IF(arrears_months=2,5.00,
    IF(arrears_months=3,8.00,
    IF(arrears_months=4,10.00,
    IF(arrears_months=5,12.00,15.00)))))))</f>
        <v/>
      </c>
      <c r="M280">
        <f>LET(
    seasoning_years,DATEDIF('Loan Tape (S&amp;P)'!K280,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0">
        <f>IF(AND('Loan Tape (S&amp;P)'!U280="Yes",
        'Loan Tape (S&amp;P)'!T280&lt;&gt;"Yes",
        DATEDIF('Loan Tape (S&amp;P)'!K280, TODAY(), "M")&lt;18),
    1.10,
    1.00)</f>
        <v/>
      </c>
      <c r="O280">
        <f>IF('Loan Tape (S&amp;P)'!T280="Yes",
    1.35,
    1.00)</f>
        <v/>
      </c>
      <c r="P280">
        <f>IF('Loan Tape (S&amp;P)'!S280="Yes",
    1.15,
    1.00)</f>
        <v/>
      </c>
      <c r="Q280">
        <f>IF('Loan Tape (S&amp;P)'!V280="Yes",
    1.20,
    1.00)</f>
        <v/>
      </c>
      <c r="T280">
        <f>LET(
    payment_method,'Loan Tape (S&amp;P)'!P280,
    occupancy,'Loan Tape (S&amp;P)'!N280,
    maturity_date,'Loan Tape (S&amp;P)'!L280,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1">
      <c r="J281">
        <f>LET(
    lien,'Loan Tape (S&amp;P)'!Q281,
    IF(lien="First",1.00,
        IF(lien="Second",1.50,
            1.70)))</f>
        <v/>
      </c>
      <c r="K281">
        <f>LET(
    purpose,'Loan Tape (S&amp;P)'!R281,
    IF(purpose="Purchase",1.00,
        IF(purpose="Remortgage",1.00,
            1.20)))</f>
        <v/>
      </c>
      <c r="L281">
        <f>LET(
    arrears_months,'Loan Tape (S&amp;P)'!AN281,
    IF(arrears_months=0,1.00,
    IF(arrears_months=1,3.00,
    IF(arrears_months=2,5.00,
    IF(arrears_months=3,8.00,
    IF(arrears_months=4,10.00,
    IF(arrears_months=5,12.00,15.00)))))))</f>
        <v/>
      </c>
      <c r="M281">
        <f>LET(
    seasoning_years,DATEDIF('Loan Tape (S&amp;P)'!K281,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1">
        <f>IF(AND('Loan Tape (S&amp;P)'!U281="Yes",
        'Loan Tape (S&amp;P)'!T281&lt;&gt;"Yes",
        DATEDIF('Loan Tape (S&amp;P)'!K281, TODAY(), "M")&lt;18),
    1.10,
    1.00)</f>
        <v/>
      </c>
      <c r="O281">
        <f>IF('Loan Tape (S&amp;P)'!T281="Yes",
    1.35,
    1.00)</f>
        <v/>
      </c>
      <c r="P281">
        <f>IF('Loan Tape (S&amp;P)'!S281="Yes",
    1.15,
    1.00)</f>
        <v/>
      </c>
      <c r="Q281">
        <f>IF('Loan Tape (S&amp;P)'!V281="Yes",
    1.20,
    1.00)</f>
        <v/>
      </c>
      <c r="T281">
        <f>LET(
    payment_method,'Loan Tape (S&amp;P)'!P281,
    occupancy,'Loan Tape (S&amp;P)'!N281,
    maturity_date,'Loan Tape (S&amp;P)'!L281,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2">
      <c r="J282">
        <f>LET(
    lien,'Loan Tape (S&amp;P)'!Q282,
    IF(lien="First",1.00,
        IF(lien="Second",1.50,
            1.70)))</f>
        <v/>
      </c>
      <c r="K282">
        <f>LET(
    purpose,'Loan Tape (S&amp;P)'!R282,
    IF(purpose="Purchase",1.00,
        IF(purpose="Remortgage",1.00,
            1.20)))</f>
        <v/>
      </c>
      <c r="L282">
        <f>LET(
    arrears_months,'Loan Tape (S&amp;P)'!AN282,
    IF(arrears_months=0,1.00,
    IF(arrears_months=1,3.00,
    IF(arrears_months=2,5.00,
    IF(arrears_months=3,8.00,
    IF(arrears_months=4,10.00,
    IF(arrears_months=5,12.00,15.00)))))))</f>
        <v/>
      </c>
      <c r="M282">
        <f>LET(
    seasoning_years,DATEDIF('Loan Tape (S&amp;P)'!K282,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2">
        <f>IF(AND('Loan Tape (S&amp;P)'!U282="Yes",
        'Loan Tape (S&amp;P)'!T282&lt;&gt;"Yes",
        DATEDIF('Loan Tape (S&amp;P)'!K282, TODAY(), "M")&lt;18),
    1.10,
    1.00)</f>
        <v/>
      </c>
      <c r="O282">
        <f>IF('Loan Tape (S&amp;P)'!T282="Yes",
    1.35,
    1.00)</f>
        <v/>
      </c>
      <c r="P282">
        <f>IF('Loan Tape (S&amp;P)'!S282="Yes",
    1.15,
    1.00)</f>
        <v/>
      </c>
      <c r="Q282">
        <f>IF('Loan Tape (S&amp;P)'!V282="Yes",
    1.20,
    1.00)</f>
        <v/>
      </c>
      <c r="T282">
        <f>LET(
    payment_method,'Loan Tape (S&amp;P)'!P282,
    occupancy,'Loan Tape (S&amp;P)'!N282,
    maturity_date,'Loan Tape (S&amp;P)'!L282,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3">
      <c r="J283">
        <f>LET(
    lien,'Loan Tape (S&amp;P)'!Q283,
    IF(lien="First",1.00,
        IF(lien="Second",1.50,
            1.70)))</f>
        <v/>
      </c>
      <c r="K283">
        <f>LET(
    purpose,'Loan Tape (S&amp;P)'!R283,
    IF(purpose="Purchase",1.00,
        IF(purpose="Remortgage",1.00,
            1.20)))</f>
        <v/>
      </c>
      <c r="L283">
        <f>LET(
    arrears_months,'Loan Tape (S&amp;P)'!AN283,
    IF(arrears_months=0,1.00,
    IF(arrears_months=1,3.00,
    IF(arrears_months=2,5.00,
    IF(arrears_months=3,8.00,
    IF(arrears_months=4,10.00,
    IF(arrears_months=5,12.00,15.00)))))))</f>
        <v/>
      </c>
      <c r="M283">
        <f>LET(
    seasoning_years,DATEDIF('Loan Tape (S&amp;P)'!K283,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3">
        <f>IF(AND('Loan Tape (S&amp;P)'!U283="Yes",
        'Loan Tape (S&amp;P)'!T283&lt;&gt;"Yes",
        DATEDIF('Loan Tape (S&amp;P)'!K283, TODAY(), "M")&lt;18),
    1.10,
    1.00)</f>
        <v/>
      </c>
      <c r="O283">
        <f>IF('Loan Tape (S&amp;P)'!T283="Yes",
    1.35,
    1.00)</f>
        <v/>
      </c>
      <c r="P283">
        <f>IF('Loan Tape (S&amp;P)'!S283="Yes",
    1.15,
    1.00)</f>
        <v/>
      </c>
      <c r="Q283">
        <f>IF('Loan Tape (S&amp;P)'!V283="Yes",
    1.20,
    1.00)</f>
        <v/>
      </c>
      <c r="T283">
        <f>LET(
    payment_method,'Loan Tape (S&amp;P)'!P283,
    occupancy,'Loan Tape (S&amp;P)'!N283,
    maturity_date,'Loan Tape (S&amp;P)'!L283,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4">
      <c r="J284">
        <f>LET(
    lien,'Loan Tape (S&amp;P)'!Q284,
    IF(lien="First",1.00,
        IF(lien="Second",1.50,
            1.70)))</f>
        <v/>
      </c>
      <c r="K284">
        <f>LET(
    purpose,'Loan Tape (S&amp;P)'!R284,
    IF(purpose="Purchase",1.00,
        IF(purpose="Remortgage",1.00,
            1.20)))</f>
        <v/>
      </c>
      <c r="L284">
        <f>LET(
    arrears_months,'Loan Tape (S&amp;P)'!AN284,
    IF(arrears_months=0,1.00,
    IF(arrears_months=1,3.00,
    IF(arrears_months=2,5.00,
    IF(arrears_months=3,8.00,
    IF(arrears_months=4,10.00,
    IF(arrears_months=5,12.00,15.00)))))))</f>
        <v/>
      </c>
      <c r="M284">
        <f>LET(
    seasoning_years,DATEDIF('Loan Tape (S&amp;P)'!K284,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4">
        <f>IF(AND('Loan Tape (S&amp;P)'!U284="Yes",
        'Loan Tape (S&amp;P)'!T284&lt;&gt;"Yes",
        DATEDIF('Loan Tape (S&amp;P)'!K284, TODAY(), "M")&lt;18),
    1.10,
    1.00)</f>
        <v/>
      </c>
      <c r="O284">
        <f>IF('Loan Tape (S&amp;P)'!T284="Yes",
    1.35,
    1.00)</f>
        <v/>
      </c>
      <c r="P284">
        <f>IF('Loan Tape (S&amp;P)'!S284="Yes",
    1.15,
    1.00)</f>
        <v/>
      </c>
      <c r="Q284">
        <f>IF('Loan Tape (S&amp;P)'!V284="Yes",
    1.20,
    1.00)</f>
        <v/>
      </c>
      <c r="T284">
        <f>LET(
    payment_method,'Loan Tape (S&amp;P)'!P284,
    occupancy,'Loan Tape (S&amp;P)'!N284,
    maturity_date,'Loan Tape (S&amp;P)'!L284,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5">
      <c r="J285">
        <f>LET(
    lien,'Loan Tape (S&amp;P)'!Q285,
    IF(lien="First",1.00,
        IF(lien="Second",1.50,
            1.70)))</f>
        <v/>
      </c>
      <c r="K285">
        <f>LET(
    purpose,'Loan Tape (S&amp;P)'!R285,
    IF(purpose="Purchase",1.00,
        IF(purpose="Remortgage",1.00,
            1.20)))</f>
        <v/>
      </c>
      <c r="L285">
        <f>LET(
    arrears_months,'Loan Tape (S&amp;P)'!AN285,
    IF(arrears_months=0,1.00,
    IF(arrears_months=1,3.00,
    IF(arrears_months=2,5.00,
    IF(arrears_months=3,8.00,
    IF(arrears_months=4,10.00,
    IF(arrears_months=5,12.00,15.00)))))))</f>
        <v/>
      </c>
      <c r="M285">
        <f>LET(
    seasoning_years,DATEDIF('Loan Tape (S&amp;P)'!K285,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5">
        <f>IF(AND('Loan Tape (S&amp;P)'!U285="Yes",
        'Loan Tape (S&amp;P)'!T285&lt;&gt;"Yes",
        DATEDIF('Loan Tape (S&amp;P)'!K285, TODAY(), "M")&lt;18),
    1.10,
    1.00)</f>
        <v/>
      </c>
      <c r="O285">
        <f>IF('Loan Tape (S&amp;P)'!T285="Yes",
    1.35,
    1.00)</f>
        <v/>
      </c>
      <c r="P285">
        <f>IF('Loan Tape (S&amp;P)'!S285="Yes",
    1.15,
    1.00)</f>
        <v/>
      </c>
      <c r="Q285">
        <f>IF('Loan Tape (S&amp;P)'!V285="Yes",
    1.20,
    1.00)</f>
        <v/>
      </c>
      <c r="T285">
        <f>LET(
    payment_method,'Loan Tape (S&amp;P)'!P285,
    occupancy,'Loan Tape (S&amp;P)'!N285,
    maturity_date,'Loan Tape (S&amp;P)'!L285,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6">
      <c r="J286">
        <f>LET(
    lien,'Loan Tape (S&amp;P)'!Q286,
    IF(lien="First",1.00,
        IF(lien="Second",1.50,
            1.70)))</f>
        <v/>
      </c>
      <c r="K286">
        <f>LET(
    purpose,'Loan Tape (S&amp;P)'!R286,
    IF(purpose="Purchase",1.00,
        IF(purpose="Remortgage",1.00,
            1.20)))</f>
        <v/>
      </c>
      <c r="L286">
        <f>LET(
    arrears_months,'Loan Tape (S&amp;P)'!AN286,
    IF(arrears_months=0,1.00,
    IF(arrears_months=1,3.00,
    IF(arrears_months=2,5.00,
    IF(arrears_months=3,8.00,
    IF(arrears_months=4,10.00,
    IF(arrears_months=5,12.00,15.00)))))))</f>
        <v/>
      </c>
      <c r="M286">
        <f>LET(
    seasoning_years,DATEDIF('Loan Tape (S&amp;P)'!K286,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6">
        <f>IF(AND('Loan Tape (S&amp;P)'!U286="Yes",
        'Loan Tape (S&amp;P)'!T286&lt;&gt;"Yes",
        DATEDIF('Loan Tape (S&amp;P)'!K286, TODAY(), "M")&lt;18),
    1.10,
    1.00)</f>
        <v/>
      </c>
      <c r="O286">
        <f>IF('Loan Tape (S&amp;P)'!T286="Yes",
    1.35,
    1.00)</f>
        <v/>
      </c>
      <c r="P286">
        <f>IF('Loan Tape (S&amp;P)'!S286="Yes",
    1.15,
    1.00)</f>
        <v/>
      </c>
      <c r="Q286">
        <f>IF('Loan Tape (S&amp;P)'!V286="Yes",
    1.20,
    1.00)</f>
        <v/>
      </c>
      <c r="T286">
        <f>LET(
    payment_method,'Loan Tape (S&amp;P)'!P286,
    occupancy,'Loan Tape (S&amp;P)'!N286,
    maturity_date,'Loan Tape (S&amp;P)'!L286,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7">
      <c r="J287">
        <f>LET(
    lien,'Loan Tape (S&amp;P)'!Q287,
    IF(lien="First",1.00,
        IF(lien="Second",1.50,
            1.70)))</f>
        <v/>
      </c>
      <c r="K287">
        <f>LET(
    purpose,'Loan Tape (S&amp;P)'!R287,
    IF(purpose="Purchase",1.00,
        IF(purpose="Remortgage",1.00,
            1.20)))</f>
        <v/>
      </c>
      <c r="L287">
        <f>LET(
    arrears_months,'Loan Tape (S&amp;P)'!AN287,
    IF(arrears_months=0,1.00,
    IF(arrears_months=1,3.00,
    IF(arrears_months=2,5.00,
    IF(arrears_months=3,8.00,
    IF(arrears_months=4,10.00,
    IF(arrears_months=5,12.00,15.00)))))))</f>
        <v/>
      </c>
      <c r="M287">
        <f>LET(
    seasoning_years,DATEDIF('Loan Tape (S&amp;P)'!K287,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7">
        <f>IF(AND('Loan Tape (S&amp;P)'!U287="Yes",
        'Loan Tape (S&amp;P)'!T287&lt;&gt;"Yes",
        DATEDIF('Loan Tape (S&amp;P)'!K287, TODAY(), "M")&lt;18),
    1.10,
    1.00)</f>
        <v/>
      </c>
      <c r="O287">
        <f>IF('Loan Tape (S&amp;P)'!T287="Yes",
    1.35,
    1.00)</f>
        <v/>
      </c>
      <c r="P287">
        <f>IF('Loan Tape (S&amp;P)'!S287="Yes",
    1.15,
    1.00)</f>
        <v/>
      </c>
      <c r="Q287">
        <f>IF('Loan Tape (S&amp;P)'!V287="Yes",
    1.20,
    1.00)</f>
        <v/>
      </c>
      <c r="T287">
        <f>LET(
    payment_method,'Loan Tape (S&amp;P)'!P287,
    occupancy,'Loan Tape (S&amp;P)'!N287,
    maturity_date,'Loan Tape (S&amp;P)'!L287,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8">
      <c r="J288">
        <f>LET(
    lien,'Loan Tape (S&amp;P)'!Q288,
    IF(lien="First",1.00,
        IF(lien="Second",1.50,
            1.70)))</f>
        <v/>
      </c>
      <c r="K288">
        <f>LET(
    purpose,'Loan Tape (S&amp;P)'!R288,
    IF(purpose="Purchase",1.00,
        IF(purpose="Remortgage",1.00,
            1.20)))</f>
        <v/>
      </c>
      <c r="L288">
        <f>LET(
    arrears_months,'Loan Tape (S&amp;P)'!AN288,
    IF(arrears_months=0,1.00,
    IF(arrears_months=1,3.00,
    IF(arrears_months=2,5.00,
    IF(arrears_months=3,8.00,
    IF(arrears_months=4,10.00,
    IF(arrears_months=5,12.00,15.00)))))))</f>
        <v/>
      </c>
      <c r="M288">
        <f>LET(
    seasoning_years,DATEDIF('Loan Tape (S&amp;P)'!K288,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8">
        <f>IF(AND('Loan Tape (S&amp;P)'!U288="Yes",
        'Loan Tape (S&amp;P)'!T288&lt;&gt;"Yes",
        DATEDIF('Loan Tape (S&amp;P)'!K288, TODAY(), "M")&lt;18),
    1.10,
    1.00)</f>
        <v/>
      </c>
      <c r="O288">
        <f>IF('Loan Tape (S&amp;P)'!T288="Yes",
    1.35,
    1.00)</f>
        <v/>
      </c>
      <c r="P288">
        <f>IF('Loan Tape (S&amp;P)'!S288="Yes",
    1.15,
    1.00)</f>
        <v/>
      </c>
      <c r="Q288">
        <f>IF('Loan Tape (S&amp;P)'!V288="Yes",
    1.20,
    1.00)</f>
        <v/>
      </c>
      <c r="T288">
        <f>LET(
    payment_method,'Loan Tape (S&amp;P)'!P288,
    occupancy,'Loan Tape (S&amp;P)'!N288,
    maturity_date,'Loan Tape (S&amp;P)'!L288,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9">
      <c r="J289">
        <f>LET(
    lien,'Loan Tape (S&amp;P)'!Q289,
    IF(lien="First",1.00,
        IF(lien="Second",1.50,
            1.70)))</f>
        <v/>
      </c>
      <c r="K289">
        <f>LET(
    purpose,'Loan Tape (S&amp;P)'!R289,
    IF(purpose="Purchase",1.00,
        IF(purpose="Remortgage",1.00,
            1.20)))</f>
        <v/>
      </c>
      <c r="L289">
        <f>LET(
    arrears_months,'Loan Tape (S&amp;P)'!AN289,
    IF(arrears_months=0,1.00,
    IF(arrears_months=1,3.00,
    IF(arrears_months=2,5.00,
    IF(arrears_months=3,8.00,
    IF(arrears_months=4,10.00,
    IF(arrears_months=5,12.00,15.00)))))))</f>
        <v/>
      </c>
      <c r="M289">
        <f>LET(
    seasoning_years,DATEDIF('Loan Tape (S&amp;P)'!K289,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9">
        <f>IF(AND('Loan Tape (S&amp;P)'!U289="Yes",
        'Loan Tape (S&amp;P)'!T289&lt;&gt;"Yes",
        DATEDIF('Loan Tape (S&amp;P)'!K289, TODAY(), "M")&lt;18),
    1.10,
    1.00)</f>
        <v/>
      </c>
      <c r="O289">
        <f>IF('Loan Tape (S&amp;P)'!T289="Yes",
    1.35,
    1.00)</f>
        <v/>
      </c>
      <c r="P289">
        <f>IF('Loan Tape (S&amp;P)'!S289="Yes",
    1.15,
    1.00)</f>
        <v/>
      </c>
      <c r="Q289">
        <f>IF('Loan Tape (S&amp;P)'!V289="Yes",
    1.20,
    1.00)</f>
        <v/>
      </c>
      <c r="T289">
        <f>LET(
    payment_method,'Loan Tape (S&amp;P)'!P289,
    occupancy,'Loan Tape (S&amp;P)'!N289,
    maturity_date,'Loan Tape (S&amp;P)'!L289,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0">
      <c r="J290">
        <f>LET(
    lien,'Loan Tape (S&amp;P)'!Q290,
    IF(lien="First",1.00,
        IF(lien="Second",1.50,
            1.70)))</f>
        <v/>
      </c>
      <c r="K290">
        <f>LET(
    purpose,'Loan Tape (S&amp;P)'!R290,
    IF(purpose="Purchase",1.00,
        IF(purpose="Remortgage",1.00,
            1.20)))</f>
        <v/>
      </c>
      <c r="L290">
        <f>LET(
    arrears_months,'Loan Tape (S&amp;P)'!AN290,
    IF(arrears_months=0,1.00,
    IF(arrears_months=1,3.00,
    IF(arrears_months=2,5.00,
    IF(arrears_months=3,8.00,
    IF(arrears_months=4,10.00,
    IF(arrears_months=5,12.00,15.00)))))))</f>
        <v/>
      </c>
      <c r="M290">
        <f>LET(
    seasoning_years,DATEDIF('Loan Tape (S&amp;P)'!K290,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0">
        <f>IF(AND('Loan Tape (S&amp;P)'!U290="Yes",
        'Loan Tape (S&amp;P)'!T290&lt;&gt;"Yes",
        DATEDIF('Loan Tape (S&amp;P)'!K290, TODAY(), "M")&lt;18),
    1.10,
    1.00)</f>
        <v/>
      </c>
      <c r="O290">
        <f>IF('Loan Tape (S&amp;P)'!T290="Yes",
    1.35,
    1.00)</f>
        <v/>
      </c>
      <c r="P290">
        <f>IF('Loan Tape (S&amp;P)'!S290="Yes",
    1.15,
    1.00)</f>
        <v/>
      </c>
      <c r="Q290">
        <f>IF('Loan Tape (S&amp;P)'!V290="Yes",
    1.20,
    1.00)</f>
        <v/>
      </c>
      <c r="T290">
        <f>LET(
    payment_method,'Loan Tape (S&amp;P)'!P290,
    occupancy,'Loan Tape (S&amp;P)'!N290,
    maturity_date,'Loan Tape (S&amp;P)'!L290,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1">
      <c r="J291">
        <f>LET(
    lien,'Loan Tape (S&amp;P)'!Q291,
    IF(lien="First",1.00,
        IF(lien="Second",1.50,
            1.70)))</f>
        <v/>
      </c>
      <c r="K291">
        <f>LET(
    purpose,'Loan Tape (S&amp;P)'!R291,
    IF(purpose="Purchase",1.00,
        IF(purpose="Remortgage",1.00,
            1.20)))</f>
        <v/>
      </c>
      <c r="L291">
        <f>LET(
    arrears_months,'Loan Tape (S&amp;P)'!AN291,
    IF(arrears_months=0,1.00,
    IF(arrears_months=1,3.00,
    IF(arrears_months=2,5.00,
    IF(arrears_months=3,8.00,
    IF(arrears_months=4,10.00,
    IF(arrears_months=5,12.00,15.00)))))))</f>
        <v/>
      </c>
      <c r="M291">
        <f>LET(
    seasoning_years,DATEDIF('Loan Tape (S&amp;P)'!K291,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1">
        <f>IF(AND('Loan Tape (S&amp;P)'!U291="Yes",
        'Loan Tape (S&amp;P)'!T291&lt;&gt;"Yes",
        DATEDIF('Loan Tape (S&amp;P)'!K291, TODAY(), "M")&lt;18),
    1.10,
    1.00)</f>
        <v/>
      </c>
      <c r="O291">
        <f>IF('Loan Tape (S&amp;P)'!T291="Yes",
    1.35,
    1.00)</f>
        <v/>
      </c>
      <c r="P291">
        <f>IF('Loan Tape (S&amp;P)'!S291="Yes",
    1.15,
    1.00)</f>
        <v/>
      </c>
      <c r="Q291">
        <f>IF('Loan Tape (S&amp;P)'!V291="Yes",
    1.20,
    1.00)</f>
        <v/>
      </c>
      <c r="T291">
        <f>LET(
    payment_method,'Loan Tape (S&amp;P)'!P291,
    occupancy,'Loan Tape (S&amp;P)'!N291,
    maturity_date,'Loan Tape (S&amp;P)'!L291,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2">
      <c r="J292">
        <f>LET(
    lien,'Loan Tape (S&amp;P)'!Q292,
    IF(lien="First",1.00,
        IF(lien="Second",1.50,
            1.70)))</f>
        <v/>
      </c>
      <c r="K292">
        <f>LET(
    purpose,'Loan Tape (S&amp;P)'!R292,
    IF(purpose="Purchase",1.00,
        IF(purpose="Remortgage",1.00,
            1.20)))</f>
        <v/>
      </c>
      <c r="L292">
        <f>LET(
    arrears_months,'Loan Tape (S&amp;P)'!AN292,
    IF(arrears_months=0,1.00,
    IF(arrears_months=1,3.00,
    IF(arrears_months=2,5.00,
    IF(arrears_months=3,8.00,
    IF(arrears_months=4,10.00,
    IF(arrears_months=5,12.00,15.00)))))))</f>
        <v/>
      </c>
      <c r="M292">
        <f>LET(
    seasoning_years,DATEDIF('Loan Tape (S&amp;P)'!K292,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2">
        <f>IF(AND('Loan Tape (S&amp;P)'!U292="Yes",
        'Loan Tape (S&amp;P)'!T292&lt;&gt;"Yes",
        DATEDIF('Loan Tape (S&amp;P)'!K292, TODAY(), "M")&lt;18),
    1.10,
    1.00)</f>
        <v/>
      </c>
      <c r="O292">
        <f>IF('Loan Tape (S&amp;P)'!T292="Yes",
    1.35,
    1.00)</f>
        <v/>
      </c>
      <c r="P292">
        <f>IF('Loan Tape (S&amp;P)'!S292="Yes",
    1.15,
    1.00)</f>
        <v/>
      </c>
      <c r="Q292">
        <f>IF('Loan Tape (S&amp;P)'!V292="Yes",
    1.20,
    1.00)</f>
        <v/>
      </c>
      <c r="T292">
        <f>LET(
    payment_method,'Loan Tape (S&amp;P)'!P292,
    occupancy,'Loan Tape (S&amp;P)'!N292,
    maturity_date,'Loan Tape (S&amp;P)'!L292,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3">
      <c r="J293">
        <f>LET(
    lien,'Loan Tape (S&amp;P)'!Q293,
    IF(lien="First",1.00,
        IF(lien="Second",1.50,
            1.70)))</f>
        <v/>
      </c>
      <c r="K293">
        <f>LET(
    purpose,'Loan Tape (S&amp;P)'!R293,
    IF(purpose="Purchase",1.00,
        IF(purpose="Remortgage",1.00,
            1.20)))</f>
        <v/>
      </c>
      <c r="L293">
        <f>LET(
    arrears_months,'Loan Tape (S&amp;P)'!AN293,
    IF(arrears_months=0,1.00,
    IF(arrears_months=1,3.00,
    IF(arrears_months=2,5.00,
    IF(arrears_months=3,8.00,
    IF(arrears_months=4,10.00,
    IF(arrears_months=5,12.00,15.00)))))))</f>
        <v/>
      </c>
      <c r="M293">
        <f>LET(
    seasoning_years,DATEDIF('Loan Tape (S&amp;P)'!K293,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3">
        <f>IF(AND('Loan Tape (S&amp;P)'!U293="Yes",
        'Loan Tape (S&amp;P)'!T293&lt;&gt;"Yes",
        DATEDIF('Loan Tape (S&amp;P)'!K293, TODAY(), "M")&lt;18),
    1.10,
    1.00)</f>
        <v/>
      </c>
      <c r="O293">
        <f>IF('Loan Tape (S&amp;P)'!T293="Yes",
    1.35,
    1.00)</f>
        <v/>
      </c>
      <c r="P293">
        <f>IF('Loan Tape (S&amp;P)'!S293="Yes",
    1.15,
    1.00)</f>
        <v/>
      </c>
      <c r="Q293">
        <f>IF('Loan Tape (S&amp;P)'!V293="Yes",
    1.20,
    1.00)</f>
        <v/>
      </c>
      <c r="T293">
        <f>LET(
    payment_method,'Loan Tape (S&amp;P)'!P293,
    occupancy,'Loan Tape (S&amp;P)'!N293,
    maturity_date,'Loan Tape (S&amp;P)'!L293,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4">
      <c r="J294">
        <f>LET(
    lien,'Loan Tape (S&amp;P)'!Q294,
    IF(lien="First",1.00,
        IF(lien="Second",1.50,
            1.70)))</f>
        <v/>
      </c>
      <c r="K294">
        <f>LET(
    purpose,'Loan Tape (S&amp;P)'!R294,
    IF(purpose="Purchase",1.00,
        IF(purpose="Remortgage",1.00,
            1.20)))</f>
        <v/>
      </c>
      <c r="L294">
        <f>LET(
    arrears_months,'Loan Tape (S&amp;P)'!AN294,
    IF(arrears_months=0,1.00,
    IF(arrears_months=1,3.00,
    IF(arrears_months=2,5.00,
    IF(arrears_months=3,8.00,
    IF(arrears_months=4,10.00,
    IF(arrears_months=5,12.00,15.00)))))))</f>
        <v/>
      </c>
      <c r="M294">
        <f>LET(
    seasoning_years,DATEDIF('Loan Tape (S&amp;P)'!K294,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4">
        <f>IF(AND('Loan Tape (S&amp;P)'!U294="Yes",
        'Loan Tape (S&amp;P)'!T294&lt;&gt;"Yes",
        DATEDIF('Loan Tape (S&amp;P)'!K294, TODAY(), "M")&lt;18),
    1.10,
    1.00)</f>
        <v/>
      </c>
      <c r="O294">
        <f>IF('Loan Tape (S&amp;P)'!T294="Yes",
    1.35,
    1.00)</f>
        <v/>
      </c>
      <c r="P294">
        <f>IF('Loan Tape (S&amp;P)'!S294="Yes",
    1.15,
    1.00)</f>
        <v/>
      </c>
      <c r="Q294">
        <f>IF('Loan Tape (S&amp;P)'!V294="Yes",
    1.20,
    1.00)</f>
        <v/>
      </c>
      <c r="T294">
        <f>LET(
    payment_method,'Loan Tape (S&amp;P)'!P294,
    occupancy,'Loan Tape (S&amp;P)'!N294,
    maturity_date,'Loan Tape (S&amp;P)'!L294,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5">
      <c r="J295">
        <f>LET(
    lien,'Loan Tape (S&amp;P)'!Q295,
    IF(lien="First",1.00,
        IF(lien="Second",1.50,
            1.70)))</f>
        <v/>
      </c>
      <c r="K295">
        <f>LET(
    purpose,'Loan Tape (S&amp;P)'!R295,
    IF(purpose="Purchase",1.00,
        IF(purpose="Remortgage",1.00,
            1.20)))</f>
        <v/>
      </c>
      <c r="L295">
        <f>LET(
    arrears_months,'Loan Tape (S&amp;P)'!AN295,
    IF(arrears_months=0,1.00,
    IF(arrears_months=1,3.00,
    IF(arrears_months=2,5.00,
    IF(arrears_months=3,8.00,
    IF(arrears_months=4,10.00,
    IF(arrears_months=5,12.00,15.00)))))))</f>
        <v/>
      </c>
      <c r="M295">
        <f>LET(
    seasoning_years,DATEDIF('Loan Tape (S&amp;P)'!K295,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5">
        <f>IF(AND('Loan Tape (S&amp;P)'!U295="Yes",
        'Loan Tape (S&amp;P)'!T295&lt;&gt;"Yes",
        DATEDIF('Loan Tape (S&amp;P)'!K295, TODAY(), "M")&lt;18),
    1.10,
    1.00)</f>
        <v/>
      </c>
      <c r="O295">
        <f>IF('Loan Tape (S&amp;P)'!T295="Yes",
    1.35,
    1.00)</f>
        <v/>
      </c>
      <c r="P295">
        <f>IF('Loan Tape (S&amp;P)'!S295="Yes",
    1.15,
    1.00)</f>
        <v/>
      </c>
      <c r="Q295">
        <f>IF('Loan Tape (S&amp;P)'!V295="Yes",
    1.20,
    1.00)</f>
        <v/>
      </c>
      <c r="T295">
        <f>LET(
    payment_method,'Loan Tape (S&amp;P)'!P295,
    occupancy,'Loan Tape (S&amp;P)'!N295,
    maturity_date,'Loan Tape (S&amp;P)'!L295,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6">
      <c r="J296">
        <f>LET(
    lien,'Loan Tape (S&amp;P)'!Q296,
    IF(lien="First",1.00,
        IF(lien="Second",1.50,
            1.70)))</f>
        <v/>
      </c>
      <c r="K296">
        <f>LET(
    purpose,'Loan Tape (S&amp;P)'!R296,
    IF(purpose="Purchase",1.00,
        IF(purpose="Remortgage",1.00,
            1.20)))</f>
        <v/>
      </c>
      <c r="L296">
        <f>LET(
    arrears_months,'Loan Tape (S&amp;P)'!AN296,
    IF(arrears_months=0,1.00,
    IF(arrears_months=1,3.00,
    IF(arrears_months=2,5.00,
    IF(arrears_months=3,8.00,
    IF(arrears_months=4,10.00,
    IF(arrears_months=5,12.00,15.00)))))))</f>
        <v/>
      </c>
      <c r="M296">
        <f>LET(
    seasoning_years,DATEDIF('Loan Tape (S&amp;P)'!K296,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6">
        <f>IF(AND('Loan Tape (S&amp;P)'!U296="Yes",
        'Loan Tape (S&amp;P)'!T296&lt;&gt;"Yes",
        DATEDIF('Loan Tape (S&amp;P)'!K296, TODAY(), "M")&lt;18),
    1.10,
    1.00)</f>
        <v/>
      </c>
      <c r="O296">
        <f>IF('Loan Tape (S&amp;P)'!T296="Yes",
    1.35,
    1.00)</f>
        <v/>
      </c>
      <c r="P296">
        <f>IF('Loan Tape (S&amp;P)'!S296="Yes",
    1.15,
    1.00)</f>
        <v/>
      </c>
      <c r="Q296">
        <f>IF('Loan Tape (S&amp;P)'!V296="Yes",
    1.20,
    1.00)</f>
        <v/>
      </c>
      <c r="T296">
        <f>LET(
    payment_method,'Loan Tape (S&amp;P)'!P296,
    occupancy,'Loan Tape (S&amp;P)'!N296,
    maturity_date,'Loan Tape (S&amp;P)'!L296,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7">
      <c r="J297">
        <f>LET(
    lien,'Loan Tape (S&amp;P)'!Q297,
    IF(lien="First",1.00,
        IF(lien="Second",1.50,
            1.70)))</f>
        <v/>
      </c>
      <c r="K297">
        <f>LET(
    purpose,'Loan Tape (S&amp;P)'!R297,
    IF(purpose="Purchase",1.00,
        IF(purpose="Remortgage",1.00,
            1.20)))</f>
        <v/>
      </c>
      <c r="L297">
        <f>LET(
    arrears_months,'Loan Tape (S&amp;P)'!AN297,
    IF(arrears_months=0,1.00,
    IF(arrears_months=1,3.00,
    IF(arrears_months=2,5.00,
    IF(arrears_months=3,8.00,
    IF(arrears_months=4,10.00,
    IF(arrears_months=5,12.00,15.00)))))))</f>
        <v/>
      </c>
      <c r="M297">
        <f>LET(
    seasoning_years,DATEDIF('Loan Tape (S&amp;P)'!K297,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7">
        <f>IF(AND('Loan Tape (S&amp;P)'!U297="Yes",
        'Loan Tape (S&amp;P)'!T297&lt;&gt;"Yes",
        DATEDIF('Loan Tape (S&amp;P)'!K297, TODAY(), "M")&lt;18),
    1.10,
    1.00)</f>
        <v/>
      </c>
      <c r="O297">
        <f>IF('Loan Tape (S&amp;P)'!T297="Yes",
    1.35,
    1.00)</f>
        <v/>
      </c>
      <c r="P297">
        <f>IF('Loan Tape (S&amp;P)'!S297="Yes",
    1.15,
    1.00)</f>
        <v/>
      </c>
      <c r="Q297">
        <f>IF('Loan Tape (S&amp;P)'!V297="Yes",
    1.20,
    1.00)</f>
        <v/>
      </c>
      <c r="T297">
        <f>LET(
    payment_method,'Loan Tape (S&amp;P)'!P297,
    occupancy,'Loan Tape (S&amp;P)'!N297,
    maturity_date,'Loan Tape (S&amp;P)'!L297,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8">
      <c r="J298">
        <f>LET(
    lien,'Loan Tape (S&amp;P)'!Q298,
    IF(lien="First",1.00,
        IF(lien="Second",1.50,
            1.70)))</f>
        <v/>
      </c>
      <c r="K298">
        <f>LET(
    purpose,'Loan Tape (S&amp;P)'!R298,
    IF(purpose="Purchase",1.00,
        IF(purpose="Remortgage",1.00,
            1.20)))</f>
        <v/>
      </c>
      <c r="L298">
        <f>LET(
    arrears_months,'Loan Tape (S&amp;P)'!AN298,
    IF(arrears_months=0,1.00,
    IF(arrears_months=1,3.00,
    IF(arrears_months=2,5.00,
    IF(arrears_months=3,8.00,
    IF(arrears_months=4,10.00,
    IF(arrears_months=5,12.00,15.00)))))))</f>
        <v/>
      </c>
      <c r="M298">
        <f>LET(
    seasoning_years,DATEDIF('Loan Tape (S&amp;P)'!K298,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8">
        <f>IF(AND('Loan Tape (S&amp;P)'!U298="Yes",
        'Loan Tape (S&amp;P)'!T298&lt;&gt;"Yes",
        DATEDIF('Loan Tape (S&amp;P)'!K298, TODAY(), "M")&lt;18),
    1.10,
    1.00)</f>
        <v/>
      </c>
      <c r="O298">
        <f>IF('Loan Tape (S&amp;P)'!T298="Yes",
    1.35,
    1.00)</f>
        <v/>
      </c>
      <c r="P298">
        <f>IF('Loan Tape (S&amp;P)'!S298="Yes",
    1.15,
    1.00)</f>
        <v/>
      </c>
      <c r="Q298">
        <f>IF('Loan Tape (S&amp;P)'!V298="Yes",
    1.20,
    1.00)</f>
        <v/>
      </c>
      <c r="T298">
        <f>LET(
    payment_method,'Loan Tape (S&amp;P)'!P298,
    occupancy,'Loan Tape (S&amp;P)'!N298,
    maturity_date,'Loan Tape (S&amp;P)'!L298,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9">
      <c r="J299">
        <f>LET(
    lien,'Loan Tape (S&amp;P)'!Q299,
    IF(lien="First",1.00,
        IF(lien="Second",1.50,
            1.70)))</f>
        <v/>
      </c>
      <c r="K299">
        <f>LET(
    purpose,'Loan Tape (S&amp;P)'!R299,
    IF(purpose="Purchase",1.00,
        IF(purpose="Remortgage",1.00,
            1.20)))</f>
        <v/>
      </c>
      <c r="L299">
        <f>LET(
    arrears_months,'Loan Tape (S&amp;P)'!AN299,
    IF(arrears_months=0,1.00,
    IF(arrears_months=1,3.00,
    IF(arrears_months=2,5.00,
    IF(arrears_months=3,8.00,
    IF(arrears_months=4,10.00,
    IF(arrears_months=5,12.00,15.00)))))))</f>
        <v/>
      </c>
      <c r="M299">
        <f>LET(
    seasoning_years,DATEDIF('Loan Tape (S&amp;P)'!K299,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9">
        <f>IF(AND('Loan Tape (S&amp;P)'!U299="Yes",
        'Loan Tape (S&amp;P)'!T299&lt;&gt;"Yes",
        DATEDIF('Loan Tape (S&amp;P)'!K299, TODAY(), "M")&lt;18),
    1.10,
    1.00)</f>
        <v/>
      </c>
      <c r="O299">
        <f>IF('Loan Tape (S&amp;P)'!T299="Yes",
    1.35,
    1.00)</f>
        <v/>
      </c>
      <c r="P299">
        <f>IF('Loan Tape (S&amp;P)'!S299="Yes",
    1.15,
    1.00)</f>
        <v/>
      </c>
      <c r="Q299">
        <f>IF('Loan Tape (S&amp;P)'!V299="Yes",
    1.20,
    1.00)</f>
        <v/>
      </c>
      <c r="T299">
        <f>LET(
    payment_method,'Loan Tape (S&amp;P)'!P299,
    occupancy,'Loan Tape (S&amp;P)'!N299,
    maturity_date,'Loan Tape (S&amp;P)'!L299,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0">
      <c r="J300">
        <f>LET(
    lien,'Loan Tape (S&amp;P)'!Q300,
    IF(lien="First",1.00,
        IF(lien="Second",1.50,
            1.70)))</f>
        <v/>
      </c>
      <c r="K300">
        <f>LET(
    purpose,'Loan Tape (S&amp;P)'!R300,
    IF(purpose="Purchase",1.00,
        IF(purpose="Remortgage",1.00,
            1.20)))</f>
        <v/>
      </c>
      <c r="L300">
        <f>LET(
    arrears_months,'Loan Tape (S&amp;P)'!AN300,
    IF(arrears_months=0,1.00,
    IF(arrears_months=1,3.00,
    IF(arrears_months=2,5.00,
    IF(arrears_months=3,8.00,
    IF(arrears_months=4,10.00,
    IF(arrears_months=5,12.00,15.00)))))))</f>
        <v/>
      </c>
      <c r="M300">
        <f>LET(
    seasoning_years,DATEDIF('Loan Tape (S&amp;P)'!K300,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0">
        <f>IF(AND('Loan Tape (S&amp;P)'!U300="Yes",
        'Loan Tape (S&amp;P)'!T300&lt;&gt;"Yes",
        DATEDIF('Loan Tape (S&amp;P)'!K300, TODAY(), "M")&lt;18),
    1.10,
    1.00)</f>
        <v/>
      </c>
      <c r="O300">
        <f>IF('Loan Tape (S&amp;P)'!T300="Yes",
    1.35,
    1.00)</f>
        <v/>
      </c>
      <c r="P300">
        <f>IF('Loan Tape (S&amp;P)'!S300="Yes",
    1.15,
    1.00)</f>
        <v/>
      </c>
      <c r="Q300">
        <f>IF('Loan Tape (S&amp;P)'!V300="Yes",
    1.20,
    1.00)</f>
        <v/>
      </c>
      <c r="T300">
        <f>LET(
    payment_method,'Loan Tape (S&amp;P)'!P300,
    occupancy,'Loan Tape (S&amp;P)'!N300,
    maturity_date,'Loan Tape (S&amp;P)'!L300,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1">
      <c r="J301">
        <f>LET(
    lien,'Loan Tape (S&amp;P)'!Q301,
    IF(lien="First",1.00,
        IF(lien="Second",1.50,
            1.70)))</f>
        <v/>
      </c>
      <c r="K301">
        <f>LET(
    purpose,'Loan Tape (S&amp;P)'!R301,
    IF(purpose="Purchase",1.00,
        IF(purpose="Remortgage",1.00,
            1.20)))</f>
        <v/>
      </c>
      <c r="L301">
        <f>LET(
    arrears_months,'Loan Tape (S&amp;P)'!AN301,
    IF(arrears_months=0,1.00,
    IF(arrears_months=1,3.00,
    IF(arrears_months=2,5.00,
    IF(arrears_months=3,8.00,
    IF(arrears_months=4,10.00,
    IF(arrears_months=5,12.00,15.00)))))))</f>
        <v/>
      </c>
      <c r="M301">
        <f>LET(
    seasoning_years,DATEDIF('Loan Tape (S&amp;P)'!K301,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1">
        <f>IF(AND('Loan Tape (S&amp;P)'!U301="Yes",
        'Loan Tape (S&amp;P)'!T301&lt;&gt;"Yes",
        DATEDIF('Loan Tape (S&amp;P)'!K301, TODAY(), "M")&lt;18),
    1.10,
    1.00)</f>
        <v/>
      </c>
      <c r="O301">
        <f>IF('Loan Tape (S&amp;P)'!T301="Yes",
    1.35,
    1.00)</f>
        <v/>
      </c>
      <c r="P301">
        <f>IF('Loan Tape (S&amp;P)'!S301="Yes",
    1.15,
    1.00)</f>
        <v/>
      </c>
      <c r="Q301">
        <f>IF('Loan Tape (S&amp;P)'!V301="Yes",
    1.20,
    1.00)</f>
        <v/>
      </c>
      <c r="T301">
        <f>LET(
    payment_method,'Loan Tape (S&amp;P)'!P301,
    occupancy,'Loan Tape (S&amp;P)'!N301,
    maturity_date,'Loan Tape (S&amp;P)'!L301,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2">
      <c r="J302">
        <f>LET(
    lien,'Loan Tape (S&amp;P)'!Q302,
    IF(lien="First",1.00,
        IF(lien="Second",1.50,
            1.70)))</f>
        <v/>
      </c>
      <c r="K302">
        <f>LET(
    purpose,'Loan Tape (S&amp;P)'!R302,
    IF(purpose="Purchase",1.00,
        IF(purpose="Remortgage",1.00,
            1.20)))</f>
        <v/>
      </c>
      <c r="L302">
        <f>LET(
    arrears_months,'Loan Tape (S&amp;P)'!AN302,
    IF(arrears_months=0,1.00,
    IF(arrears_months=1,3.00,
    IF(arrears_months=2,5.00,
    IF(arrears_months=3,8.00,
    IF(arrears_months=4,10.00,
    IF(arrears_months=5,12.00,15.00)))))))</f>
        <v/>
      </c>
      <c r="M302">
        <f>LET(
    seasoning_years,DATEDIF('Loan Tape (S&amp;P)'!K302,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2">
        <f>IF(AND('Loan Tape (S&amp;P)'!U302="Yes",
        'Loan Tape (S&amp;P)'!T302&lt;&gt;"Yes",
        DATEDIF('Loan Tape (S&amp;P)'!K302, TODAY(), "M")&lt;18),
    1.10,
    1.00)</f>
        <v/>
      </c>
      <c r="O302">
        <f>IF('Loan Tape (S&amp;P)'!T302="Yes",
    1.35,
    1.00)</f>
        <v/>
      </c>
      <c r="P302">
        <f>IF('Loan Tape (S&amp;P)'!S302="Yes",
    1.15,
    1.00)</f>
        <v/>
      </c>
      <c r="Q302">
        <f>IF('Loan Tape (S&amp;P)'!V302="Yes",
    1.20,
    1.00)</f>
        <v/>
      </c>
      <c r="T302">
        <f>LET(
    payment_method,'Loan Tape (S&amp;P)'!P302,
    occupancy,'Loan Tape (S&amp;P)'!N302,
    maturity_date,'Loan Tape (S&amp;P)'!L302,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3">
      <c r="J303">
        <f>LET(
    lien,'Loan Tape (S&amp;P)'!Q303,
    IF(lien="First",1.00,
        IF(lien="Second",1.50,
            1.70)))</f>
        <v/>
      </c>
      <c r="K303">
        <f>LET(
    purpose,'Loan Tape (S&amp;P)'!R303,
    IF(purpose="Purchase",1.00,
        IF(purpose="Remortgage",1.00,
            1.20)))</f>
        <v/>
      </c>
      <c r="L303">
        <f>LET(
    arrears_months,'Loan Tape (S&amp;P)'!AN303,
    IF(arrears_months=0,1.00,
    IF(arrears_months=1,3.00,
    IF(arrears_months=2,5.00,
    IF(arrears_months=3,8.00,
    IF(arrears_months=4,10.00,
    IF(arrears_months=5,12.00,15.00)))))))</f>
        <v/>
      </c>
      <c r="M303">
        <f>LET(
    seasoning_years,DATEDIF('Loan Tape (S&amp;P)'!K303,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3">
        <f>IF(AND('Loan Tape (S&amp;P)'!U303="Yes",
        'Loan Tape (S&amp;P)'!T303&lt;&gt;"Yes",
        DATEDIF('Loan Tape (S&amp;P)'!K303, TODAY(), "M")&lt;18),
    1.10,
    1.00)</f>
        <v/>
      </c>
      <c r="O303">
        <f>IF('Loan Tape (S&amp;P)'!T303="Yes",
    1.35,
    1.00)</f>
        <v/>
      </c>
      <c r="P303">
        <f>IF('Loan Tape (S&amp;P)'!S303="Yes",
    1.15,
    1.00)</f>
        <v/>
      </c>
      <c r="Q303">
        <f>IF('Loan Tape (S&amp;P)'!V303="Yes",
    1.20,
    1.00)</f>
        <v/>
      </c>
      <c r="T303">
        <f>LET(
    payment_method,'Loan Tape (S&amp;P)'!P303,
    occupancy,'Loan Tape (S&amp;P)'!N303,
    maturity_date,'Loan Tape (S&amp;P)'!L303,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4">
      <c r="J304">
        <f>LET(
    lien,'Loan Tape (S&amp;P)'!Q304,
    IF(lien="First",1.00,
        IF(lien="Second",1.50,
            1.70)))</f>
        <v/>
      </c>
      <c r="K304">
        <f>LET(
    purpose,'Loan Tape (S&amp;P)'!R304,
    IF(purpose="Purchase",1.00,
        IF(purpose="Remortgage",1.00,
            1.20)))</f>
        <v/>
      </c>
      <c r="L304">
        <f>LET(
    arrears_months,'Loan Tape (S&amp;P)'!AN304,
    IF(arrears_months=0,1.00,
    IF(arrears_months=1,3.00,
    IF(arrears_months=2,5.00,
    IF(arrears_months=3,8.00,
    IF(arrears_months=4,10.00,
    IF(arrears_months=5,12.00,15.00)))))))</f>
        <v/>
      </c>
      <c r="M304">
        <f>LET(
    seasoning_years,DATEDIF('Loan Tape (S&amp;P)'!K304,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4">
        <f>IF(AND('Loan Tape (S&amp;P)'!U304="Yes",
        'Loan Tape (S&amp;P)'!T304&lt;&gt;"Yes",
        DATEDIF('Loan Tape (S&amp;P)'!K304, TODAY(), "M")&lt;18),
    1.10,
    1.00)</f>
        <v/>
      </c>
      <c r="O304">
        <f>IF('Loan Tape (S&amp;P)'!T304="Yes",
    1.35,
    1.00)</f>
        <v/>
      </c>
      <c r="P304">
        <f>IF('Loan Tape (S&amp;P)'!S304="Yes",
    1.15,
    1.00)</f>
        <v/>
      </c>
      <c r="Q304">
        <f>IF('Loan Tape (S&amp;P)'!V304="Yes",
    1.20,
    1.00)</f>
        <v/>
      </c>
      <c r="T304">
        <f>LET(
    payment_method,'Loan Tape (S&amp;P)'!P304,
    occupancy,'Loan Tape (S&amp;P)'!N304,
    maturity_date,'Loan Tape (S&amp;P)'!L304,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5">
      <c r="J305">
        <f>LET(
    lien,'Loan Tape (S&amp;P)'!Q305,
    IF(lien="First",1.00,
        IF(lien="Second",1.50,
            1.70)))</f>
        <v/>
      </c>
      <c r="K305">
        <f>LET(
    purpose,'Loan Tape (S&amp;P)'!R305,
    IF(purpose="Purchase",1.00,
        IF(purpose="Remortgage",1.00,
            1.20)))</f>
        <v/>
      </c>
      <c r="L305">
        <f>LET(
    arrears_months,'Loan Tape (S&amp;P)'!AN305,
    IF(arrears_months=0,1.00,
    IF(arrears_months=1,3.00,
    IF(arrears_months=2,5.00,
    IF(arrears_months=3,8.00,
    IF(arrears_months=4,10.00,
    IF(arrears_months=5,12.00,15.00)))))))</f>
        <v/>
      </c>
      <c r="M305">
        <f>LET(
    seasoning_years,DATEDIF('Loan Tape (S&amp;P)'!K305,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5">
        <f>IF(AND('Loan Tape (S&amp;P)'!U305="Yes",
        'Loan Tape (S&amp;P)'!T305&lt;&gt;"Yes",
        DATEDIF('Loan Tape (S&amp;P)'!K305, TODAY(), "M")&lt;18),
    1.10,
    1.00)</f>
        <v/>
      </c>
      <c r="O305">
        <f>IF('Loan Tape (S&amp;P)'!T305="Yes",
    1.35,
    1.00)</f>
        <v/>
      </c>
      <c r="P305">
        <f>IF('Loan Tape (S&amp;P)'!S305="Yes",
    1.15,
    1.00)</f>
        <v/>
      </c>
      <c r="Q305">
        <f>IF('Loan Tape (S&amp;P)'!V305="Yes",
    1.20,
    1.00)</f>
        <v/>
      </c>
      <c r="T305">
        <f>LET(
    payment_method,'Loan Tape (S&amp;P)'!P305,
    occupancy,'Loan Tape (S&amp;P)'!N305,
    maturity_date,'Loan Tape (S&amp;P)'!L305,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6">
      <c r="J306">
        <f>LET(
    lien,'Loan Tape (S&amp;P)'!Q306,
    IF(lien="First",1.00,
        IF(lien="Second",1.50,
            1.70)))</f>
        <v/>
      </c>
      <c r="K306">
        <f>LET(
    purpose,'Loan Tape (S&amp;P)'!R306,
    IF(purpose="Purchase",1.00,
        IF(purpose="Remortgage",1.00,
            1.20)))</f>
        <v/>
      </c>
      <c r="L306">
        <f>LET(
    arrears_months,'Loan Tape (S&amp;P)'!AN306,
    IF(arrears_months=0,1.00,
    IF(arrears_months=1,3.00,
    IF(arrears_months=2,5.00,
    IF(arrears_months=3,8.00,
    IF(arrears_months=4,10.00,
    IF(arrears_months=5,12.00,15.00)))))))</f>
        <v/>
      </c>
      <c r="M306">
        <f>LET(
    seasoning_years,DATEDIF('Loan Tape (S&amp;P)'!K306,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6">
        <f>IF(AND('Loan Tape (S&amp;P)'!U306="Yes",
        'Loan Tape (S&amp;P)'!T306&lt;&gt;"Yes",
        DATEDIF('Loan Tape (S&amp;P)'!K306, TODAY(), "M")&lt;18),
    1.10,
    1.00)</f>
        <v/>
      </c>
      <c r="O306">
        <f>IF('Loan Tape (S&amp;P)'!T306="Yes",
    1.35,
    1.00)</f>
        <v/>
      </c>
      <c r="P306">
        <f>IF('Loan Tape (S&amp;P)'!S306="Yes",
    1.15,
    1.00)</f>
        <v/>
      </c>
      <c r="Q306">
        <f>IF('Loan Tape (S&amp;P)'!V306="Yes",
    1.20,
    1.00)</f>
        <v/>
      </c>
      <c r="T306">
        <f>LET(
    payment_method,'Loan Tape (S&amp;P)'!P306,
    occupancy,'Loan Tape (S&amp;P)'!N306,
    maturity_date,'Loan Tape (S&amp;P)'!L306,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7">
      <c r="J307">
        <f>LET(
    lien,'Loan Tape (S&amp;P)'!Q307,
    IF(lien="First",1.00,
        IF(lien="Second",1.50,
            1.70)))</f>
        <v/>
      </c>
      <c r="K307">
        <f>LET(
    purpose,'Loan Tape (S&amp;P)'!R307,
    IF(purpose="Purchase",1.00,
        IF(purpose="Remortgage",1.00,
            1.20)))</f>
        <v/>
      </c>
      <c r="L307">
        <f>LET(
    arrears_months,'Loan Tape (S&amp;P)'!AN307,
    IF(arrears_months=0,1.00,
    IF(arrears_months=1,3.00,
    IF(arrears_months=2,5.00,
    IF(arrears_months=3,8.00,
    IF(arrears_months=4,10.00,
    IF(arrears_months=5,12.00,15.00)))))))</f>
        <v/>
      </c>
      <c r="M307">
        <f>LET(
    seasoning_years,DATEDIF('Loan Tape (S&amp;P)'!K307,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7">
        <f>IF(AND('Loan Tape (S&amp;P)'!U307="Yes",
        'Loan Tape (S&amp;P)'!T307&lt;&gt;"Yes",
        DATEDIF('Loan Tape (S&amp;P)'!K307, TODAY(), "M")&lt;18),
    1.10,
    1.00)</f>
        <v/>
      </c>
      <c r="O307">
        <f>IF('Loan Tape (S&amp;P)'!T307="Yes",
    1.35,
    1.00)</f>
        <v/>
      </c>
      <c r="P307">
        <f>IF('Loan Tape (S&amp;P)'!S307="Yes",
    1.15,
    1.00)</f>
        <v/>
      </c>
      <c r="Q307">
        <f>IF('Loan Tape (S&amp;P)'!V307="Yes",
    1.20,
    1.00)</f>
        <v/>
      </c>
      <c r="T307">
        <f>LET(
    payment_method,'Loan Tape (S&amp;P)'!P307,
    occupancy,'Loan Tape (S&amp;P)'!N307,
    maturity_date,'Loan Tape (S&amp;P)'!L307,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8">
      <c r="J308">
        <f>LET(
    lien,'Loan Tape (S&amp;P)'!Q308,
    IF(lien="First",1.00,
        IF(lien="Second",1.50,
            1.70)))</f>
        <v/>
      </c>
      <c r="K308">
        <f>LET(
    purpose,'Loan Tape (S&amp;P)'!R308,
    IF(purpose="Purchase",1.00,
        IF(purpose="Remortgage",1.00,
            1.20)))</f>
        <v/>
      </c>
      <c r="L308">
        <f>LET(
    arrears_months,'Loan Tape (S&amp;P)'!AN308,
    IF(arrears_months=0,1.00,
    IF(arrears_months=1,3.00,
    IF(arrears_months=2,5.00,
    IF(arrears_months=3,8.00,
    IF(arrears_months=4,10.00,
    IF(arrears_months=5,12.00,15.00)))))))</f>
        <v/>
      </c>
      <c r="M308">
        <f>LET(
    seasoning_years,DATEDIF('Loan Tape (S&amp;P)'!K308,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8">
        <f>IF(AND('Loan Tape (S&amp;P)'!U308="Yes",
        'Loan Tape (S&amp;P)'!T308&lt;&gt;"Yes",
        DATEDIF('Loan Tape (S&amp;P)'!K308, TODAY(), "M")&lt;18),
    1.10,
    1.00)</f>
        <v/>
      </c>
      <c r="O308">
        <f>IF('Loan Tape (S&amp;P)'!T308="Yes",
    1.35,
    1.00)</f>
        <v/>
      </c>
      <c r="P308">
        <f>IF('Loan Tape (S&amp;P)'!S308="Yes",
    1.15,
    1.00)</f>
        <v/>
      </c>
      <c r="Q308">
        <f>IF('Loan Tape (S&amp;P)'!V308="Yes",
    1.20,
    1.00)</f>
        <v/>
      </c>
      <c r="T308">
        <f>LET(
    payment_method,'Loan Tape (S&amp;P)'!P308,
    occupancy,'Loan Tape (S&amp;P)'!N308,
    maturity_date,'Loan Tape (S&amp;P)'!L308,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9">
      <c r="J309">
        <f>LET(
    lien,'Loan Tape (S&amp;P)'!Q309,
    IF(lien="First",1.00,
        IF(lien="Second",1.50,
            1.70)))</f>
        <v/>
      </c>
      <c r="K309">
        <f>LET(
    purpose,'Loan Tape (S&amp;P)'!R309,
    IF(purpose="Purchase",1.00,
        IF(purpose="Remortgage",1.00,
            1.20)))</f>
        <v/>
      </c>
      <c r="L309">
        <f>LET(
    arrears_months,'Loan Tape (S&amp;P)'!AN309,
    IF(arrears_months=0,1.00,
    IF(arrears_months=1,3.00,
    IF(arrears_months=2,5.00,
    IF(arrears_months=3,8.00,
    IF(arrears_months=4,10.00,
    IF(arrears_months=5,12.00,15.00)))))))</f>
        <v/>
      </c>
      <c r="M309">
        <f>LET(
    seasoning_years,DATEDIF('Loan Tape (S&amp;P)'!K309,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9">
        <f>IF(AND('Loan Tape (S&amp;P)'!U309="Yes",
        'Loan Tape (S&amp;P)'!T309&lt;&gt;"Yes",
        DATEDIF('Loan Tape (S&amp;P)'!K309, TODAY(), "M")&lt;18),
    1.10,
    1.00)</f>
        <v/>
      </c>
      <c r="O309">
        <f>IF('Loan Tape (S&amp;P)'!T309="Yes",
    1.35,
    1.00)</f>
        <v/>
      </c>
      <c r="P309">
        <f>IF('Loan Tape (S&amp;P)'!S309="Yes",
    1.15,
    1.00)</f>
        <v/>
      </c>
      <c r="Q309">
        <f>IF('Loan Tape (S&amp;P)'!V309="Yes",
    1.20,
    1.00)</f>
        <v/>
      </c>
      <c r="T309">
        <f>LET(
    payment_method,'Loan Tape (S&amp;P)'!P309,
    occupancy,'Loan Tape (S&amp;P)'!N309,
    maturity_date,'Loan Tape (S&amp;P)'!L309,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0">
      <c r="J310">
        <f>LET(
    lien,'Loan Tape (S&amp;P)'!Q310,
    IF(lien="First",1.00,
        IF(lien="Second",1.50,
            1.70)))</f>
        <v/>
      </c>
      <c r="K310">
        <f>LET(
    purpose,'Loan Tape (S&amp;P)'!R310,
    IF(purpose="Purchase",1.00,
        IF(purpose="Remortgage",1.00,
            1.20)))</f>
        <v/>
      </c>
      <c r="L310">
        <f>LET(
    arrears_months,'Loan Tape (S&amp;P)'!AN310,
    IF(arrears_months=0,1.00,
    IF(arrears_months=1,3.00,
    IF(arrears_months=2,5.00,
    IF(arrears_months=3,8.00,
    IF(arrears_months=4,10.00,
    IF(arrears_months=5,12.00,15.00)))))))</f>
        <v/>
      </c>
      <c r="M310">
        <f>LET(
    seasoning_years,DATEDIF('Loan Tape (S&amp;P)'!K310,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0">
        <f>IF(AND('Loan Tape (S&amp;P)'!U310="Yes",
        'Loan Tape (S&amp;P)'!T310&lt;&gt;"Yes",
        DATEDIF('Loan Tape (S&amp;P)'!K310, TODAY(), "M")&lt;18),
    1.10,
    1.00)</f>
        <v/>
      </c>
      <c r="O310">
        <f>IF('Loan Tape (S&amp;P)'!T310="Yes",
    1.35,
    1.00)</f>
        <v/>
      </c>
      <c r="P310">
        <f>IF('Loan Tape (S&amp;P)'!S310="Yes",
    1.15,
    1.00)</f>
        <v/>
      </c>
      <c r="Q310">
        <f>IF('Loan Tape (S&amp;P)'!V310="Yes",
    1.20,
    1.00)</f>
        <v/>
      </c>
      <c r="T310">
        <f>LET(
    payment_method,'Loan Tape (S&amp;P)'!P310,
    occupancy,'Loan Tape (S&amp;P)'!N310,
    maturity_date,'Loan Tape (S&amp;P)'!L310,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1">
      <c r="J311">
        <f>LET(
    lien,'Loan Tape (S&amp;P)'!Q311,
    IF(lien="First",1.00,
        IF(lien="Second",1.50,
            1.70)))</f>
        <v/>
      </c>
      <c r="K311">
        <f>LET(
    purpose,'Loan Tape (S&amp;P)'!R311,
    IF(purpose="Purchase",1.00,
        IF(purpose="Remortgage",1.00,
            1.20)))</f>
        <v/>
      </c>
      <c r="L311">
        <f>LET(
    arrears_months,'Loan Tape (S&amp;P)'!AN311,
    IF(arrears_months=0,1.00,
    IF(arrears_months=1,3.00,
    IF(arrears_months=2,5.00,
    IF(arrears_months=3,8.00,
    IF(arrears_months=4,10.00,
    IF(arrears_months=5,12.00,15.00)))))))</f>
        <v/>
      </c>
      <c r="M311">
        <f>LET(
    seasoning_years,DATEDIF('Loan Tape (S&amp;P)'!K311,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1">
        <f>IF(AND('Loan Tape (S&amp;P)'!U311="Yes",
        'Loan Tape (S&amp;P)'!T311&lt;&gt;"Yes",
        DATEDIF('Loan Tape (S&amp;P)'!K311, TODAY(), "M")&lt;18),
    1.10,
    1.00)</f>
        <v/>
      </c>
      <c r="O311">
        <f>IF('Loan Tape (S&amp;P)'!T311="Yes",
    1.35,
    1.00)</f>
        <v/>
      </c>
      <c r="P311">
        <f>IF('Loan Tape (S&amp;P)'!S311="Yes",
    1.15,
    1.00)</f>
        <v/>
      </c>
      <c r="Q311">
        <f>IF('Loan Tape (S&amp;P)'!V311="Yes",
    1.20,
    1.00)</f>
        <v/>
      </c>
      <c r="T311">
        <f>LET(
    payment_method,'Loan Tape (S&amp;P)'!P311,
    occupancy,'Loan Tape (S&amp;P)'!N311,
    maturity_date,'Loan Tape (S&amp;P)'!L311,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2">
      <c r="J312">
        <f>LET(
    lien,'Loan Tape (S&amp;P)'!Q312,
    IF(lien="First",1.00,
        IF(lien="Second",1.50,
            1.70)))</f>
        <v/>
      </c>
      <c r="K312">
        <f>LET(
    purpose,'Loan Tape (S&amp;P)'!R312,
    IF(purpose="Purchase",1.00,
        IF(purpose="Remortgage",1.00,
            1.20)))</f>
        <v/>
      </c>
      <c r="L312">
        <f>LET(
    arrears_months,'Loan Tape (S&amp;P)'!AN312,
    IF(arrears_months=0,1.00,
    IF(arrears_months=1,3.00,
    IF(arrears_months=2,5.00,
    IF(arrears_months=3,8.00,
    IF(arrears_months=4,10.00,
    IF(arrears_months=5,12.00,15.00)))))))</f>
        <v/>
      </c>
      <c r="M312">
        <f>LET(
    seasoning_years,DATEDIF('Loan Tape (S&amp;P)'!K312,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2">
        <f>IF(AND('Loan Tape (S&amp;P)'!U312="Yes",
        'Loan Tape (S&amp;P)'!T312&lt;&gt;"Yes",
        DATEDIF('Loan Tape (S&amp;P)'!K312, TODAY(), "M")&lt;18),
    1.10,
    1.00)</f>
        <v/>
      </c>
      <c r="O312">
        <f>IF('Loan Tape (S&amp;P)'!T312="Yes",
    1.35,
    1.00)</f>
        <v/>
      </c>
      <c r="P312">
        <f>IF('Loan Tape (S&amp;P)'!S312="Yes",
    1.15,
    1.00)</f>
        <v/>
      </c>
      <c r="Q312">
        <f>IF('Loan Tape (S&amp;P)'!V312="Yes",
    1.20,
    1.00)</f>
        <v/>
      </c>
      <c r="T312">
        <f>LET(
    payment_method,'Loan Tape (S&amp;P)'!P312,
    occupancy,'Loan Tape (S&amp;P)'!N312,
    maturity_date,'Loan Tape (S&amp;P)'!L312,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3">
      <c r="J313">
        <f>LET(
    lien,'Loan Tape (S&amp;P)'!Q313,
    IF(lien="First",1.00,
        IF(lien="Second",1.50,
            1.70)))</f>
        <v/>
      </c>
      <c r="K313">
        <f>LET(
    purpose,'Loan Tape (S&amp;P)'!R313,
    IF(purpose="Purchase",1.00,
        IF(purpose="Remortgage",1.00,
            1.20)))</f>
        <v/>
      </c>
      <c r="L313">
        <f>LET(
    arrears_months,'Loan Tape (S&amp;P)'!AN313,
    IF(arrears_months=0,1.00,
    IF(arrears_months=1,3.00,
    IF(arrears_months=2,5.00,
    IF(arrears_months=3,8.00,
    IF(arrears_months=4,10.00,
    IF(arrears_months=5,12.00,15.00)))))))</f>
        <v/>
      </c>
      <c r="M313">
        <f>LET(
    seasoning_years,DATEDIF('Loan Tape (S&amp;P)'!K313,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3">
        <f>IF(AND('Loan Tape (S&amp;P)'!U313="Yes",
        'Loan Tape (S&amp;P)'!T313&lt;&gt;"Yes",
        DATEDIF('Loan Tape (S&amp;P)'!K313, TODAY(), "M")&lt;18),
    1.10,
    1.00)</f>
        <v/>
      </c>
      <c r="O313">
        <f>IF('Loan Tape (S&amp;P)'!T313="Yes",
    1.35,
    1.00)</f>
        <v/>
      </c>
      <c r="P313">
        <f>IF('Loan Tape (S&amp;P)'!S313="Yes",
    1.15,
    1.00)</f>
        <v/>
      </c>
      <c r="Q313">
        <f>IF('Loan Tape (S&amp;P)'!V313="Yes",
    1.20,
    1.00)</f>
        <v/>
      </c>
      <c r="T313">
        <f>LET(
    payment_method,'Loan Tape (S&amp;P)'!P313,
    occupancy,'Loan Tape (S&amp;P)'!N313,
    maturity_date,'Loan Tape (S&amp;P)'!L313,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4">
      <c r="J314">
        <f>LET(
    lien,'Loan Tape (S&amp;P)'!Q314,
    IF(lien="First",1.00,
        IF(lien="Second",1.50,
            1.70)))</f>
        <v/>
      </c>
      <c r="K314">
        <f>LET(
    purpose,'Loan Tape (S&amp;P)'!R314,
    IF(purpose="Purchase",1.00,
        IF(purpose="Remortgage",1.00,
            1.20)))</f>
        <v/>
      </c>
      <c r="L314">
        <f>LET(
    arrears_months,'Loan Tape (S&amp;P)'!AN314,
    IF(arrears_months=0,1.00,
    IF(arrears_months=1,3.00,
    IF(arrears_months=2,5.00,
    IF(arrears_months=3,8.00,
    IF(arrears_months=4,10.00,
    IF(arrears_months=5,12.00,15.00)))))))</f>
        <v/>
      </c>
      <c r="M314">
        <f>LET(
    seasoning_years,DATEDIF('Loan Tape (S&amp;P)'!K314,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4">
        <f>IF(AND('Loan Tape (S&amp;P)'!U314="Yes",
        'Loan Tape (S&amp;P)'!T314&lt;&gt;"Yes",
        DATEDIF('Loan Tape (S&amp;P)'!K314, TODAY(), "M")&lt;18),
    1.10,
    1.00)</f>
        <v/>
      </c>
      <c r="O314">
        <f>IF('Loan Tape (S&amp;P)'!T314="Yes",
    1.35,
    1.00)</f>
        <v/>
      </c>
      <c r="P314">
        <f>IF('Loan Tape (S&amp;P)'!S314="Yes",
    1.15,
    1.00)</f>
        <v/>
      </c>
      <c r="Q314">
        <f>IF('Loan Tape (S&amp;P)'!V314="Yes",
    1.20,
    1.00)</f>
        <v/>
      </c>
      <c r="T314">
        <f>LET(
    payment_method,'Loan Tape (S&amp;P)'!P314,
    occupancy,'Loan Tape (S&amp;P)'!N314,
    maturity_date,'Loan Tape (S&amp;P)'!L314,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5">
      <c r="J315">
        <f>LET(
    lien,'Loan Tape (S&amp;P)'!Q315,
    IF(lien="First",1.00,
        IF(lien="Second",1.50,
            1.70)))</f>
        <v/>
      </c>
      <c r="K315">
        <f>LET(
    purpose,'Loan Tape (S&amp;P)'!R315,
    IF(purpose="Purchase",1.00,
        IF(purpose="Remortgage",1.00,
            1.20)))</f>
        <v/>
      </c>
      <c r="L315">
        <f>LET(
    arrears_months,'Loan Tape (S&amp;P)'!AN315,
    IF(arrears_months=0,1.00,
    IF(arrears_months=1,3.00,
    IF(arrears_months=2,5.00,
    IF(arrears_months=3,8.00,
    IF(arrears_months=4,10.00,
    IF(arrears_months=5,12.00,15.00)))))))</f>
        <v/>
      </c>
      <c r="M315">
        <f>LET(
    seasoning_years,DATEDIF('Loan Tape (S&amp;P)'!K315,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5">
        <f>IF(AND('Loan Tape (S&amp;P)'!U315="Yes",
        'Loan Tape (S&amp;P)'!T315&lt;&gt;"Yes",
        DATEDIF('Loan Tape (S&amp;P)'!K315, TODAY(), "M")&lt;18),
    1.10,
    1.00)</f>
        <v/>
      </c>
      <c r="O315">
        <f>IF('Loan Tape (S&amp;P)'!T315="Yes",
    1.35,
    1.00)</f>
        <v/>
      </c>
      <c r="P315">
        <f>IF('Loan Tape (S&amp;P)'!S315="Yes",
    1.15,
    1.00)</f>
        <v/>
      </c>
      <c r="Q315">
        <f>IF('Loan Tape (S&amp;P)'!V315="Yes",
    1.20,
    1.00)</f>
        <v/>
      </c>
      <c r="T315">
        <f>LET(
    payment_method,'Loan Tape (S&amp;P)'!P315,
    occupancy,'Loan Tape (S&amp;P)'!N315,
    maturity_date,'Loan Tape (S&amp;P)'!L315,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6">
      <c r="J316">
        <f>LET(
    lien,'Loan Tape (S&amp;P)'!Q316,
    IF(lien="First",1.00,
        IF(lien="Second",1.50,
            1.70)))</f>
        <v/>
      </c>
      <c r="K316">
        <f>LET(
    purpose,'Loan Tape (S&amp;P)'!R316,
    IF(purpose="Purchase",1.00,
        IF(purpose="Remortgage",1.00,
            1.20)))</f>
        <v/>
      </c>
      <c r="L316">
        <f>LET(
    arrears_months,'Loan Tape (S&amp;P)'!AN316,
    IF(arrears_months=0,1.00,
    IF(arrears_months=1,3.00,
    IF(arrears_months=2,5.00,
    IF(arrears_months=3,8.00,
    IF(arrears_months=4,10.00,
    IF(arrears_months=5,12.00,15.00)))))))</f>
        <v/>
      </c>
      <c r="M316">
        <f>LET(
    seasoning_years,DATEDIF('Loan Tape (S&amp;P)'!K316,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6">
        <f>IF(AND('Loan Tape (S&amp;P)'!U316="Yes",
        'Loan Tape (S&amp;P)'!T316&lt;&gt;"Yes",
        DATEDIF('Loan Tape (S&amp;P)'!K316, TODAY(), "M")&lt;18),
    1.10,
    1.00)</f>
        <v/>
      </c>
      <c r="O316">
        <f>IF('Loan Tape (S&amp;P)'!T316="Yes",
    1.35,
    1.00)</f>
        <v/>
      </c>
      <c r="P316">
        <f>IF('Loan Tape (S&amp;P)'!S316="Yes",
    1.15,
    1.00)</f>
        <v/>
      </c>
      <c r="Q316">
        <f>IF('Loan Tape (S&amp;P)'!V316="Yes",
    1.20,
    1.00)</f>
        <v/>
      </c>
      <c r="T316">
        <f>LET(
    payment_method,'Loan Tape (S&amp;P)'!P316,
    occupancy,'Loan Tape (S&amp;P)'!N316,
    maturity_date,'Loan Tape (S&amp;P)'!L316,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7">
      <c r="J317">
        <f>LET(
    lien,'Loan Tape (S&amp;P)'!Q317,
    IF(lien="First",1.00,
        IF(lien="Second",1.50,
            1.70)))</f>
        <v/>
      </c>
      <c r="K317">
        <f>LET(
    purpose,'Loan Tape (S&amp;P)'!R317,
    IF(purpose="Purchase",1.00,
        IF(purpose="Remortgage",1.00,
            1.20)))</f>
        <v/>
      </c>
      <c r="L317">
        <f>LET(
    arrears_months,'Loan Tape (S&amp;P)'!AN317,
    IF(arrears_months=0,1.00,
    IF(arrears_months=1,3.00,
    IF(arrears_months=2,5.00,
    IF(arrears_months=3,8.00,
    IF(arrears_months=4,10.00,
    IF(arrears_months=5,12.00,15.00)))))))</f>
        <v/>
      </c>
      <c r="M317">
        <f>LET(
    seasoning_years,DATEDIF('Loan Tape (S&amp;P)'!K317,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7">
        <f>IF(AND('Loan Tape (S&amp;P)'!U317="Yes",
        'Loan Tape (S&amp;P)'!T317&lt;&gt;"Yes",
        DATEDIF('Loan Tape (S&amp;P)'!K317, TODAY(), "M")&lt;18),
    1.10,
    1.00)</f>
        <v/>
      </c>
      <c r="O317">
        <f>IF('Loan Tape (S&amp;P)'!T317="Yes",
    1.35,
    1.00)</f>
        <v/>
      </c>
      <c r="P317">
        <f>IF('Loan Tape (S&amp;P)'!S317="Yes",
    1.15,
    1.00)</f>
        <v/>
      </c>
      <c r="Q317">
        <f>IF('Loan Tape (S&amp;P)'!V317="Yes",
    1.20,
    1.00)</f>
        <v/>
      </c>
      <c r="T317">
        <f>LET(
    payment_method,'Loan Tape (S&amp;P)'!P317,
    occupancy,'Loan Tape (S&amp;P)'!N317,
    maturity_date,'Loan Tape (S&amp;P)'!L317,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8">
      <c r="J318">
        <f>LET(
    lien,'Loan Tape (S&amp;P)'!Q318,
    IF(lien="First",1.00,
        IF(lien="Second",1.50,
            1.70)))</f>
        <v/>
      </c>
      <c r="K318">
        <f>LET(
    purpose,'Loan Tape (S&amp;P)'!R318,
    IF(purpose="Purchase",1.00,
        IF(purpose="Remortgage",1.00,
            1.20)))</f>
        <v/>
      </c>
      <c r="L318">
        <f>LET(
    arrears_months,'Loan Tape (S&amp;P)'!AN318,
    IF(arrears_months=0,1.00,
    IF(arrears_months=1,3.00,
    IF(arrears_months=2,5.00,
    IF(arrears_months=3,8.00,
    IF(arrears_months=4,10.00,
    IF(arrears_months=5,12.00,15.00)))))))</f>
        <v/>
      </c>
      <c r="M318">
        <f>LET(
    seasoning_years,DATEDIF('Loan Tape (S&amp;P)'!K318,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8">
        <f>IF(AND('Loan Tape (S&amp;P)'!U318="Yes",
        'Loan Tape (S&amp;P)'!T318&lt;&gt;"Yes",
        DATEDIF('Loan Tape (S&amp;P)'!K318, TODAY(), "M")&lt;18),
    1.10,
    1.00)</f>
        <v/>
      </c>
      <c r="O318">
        <f>IF('Loan Tape (S&amp;P)'!T318="Yes",
    1.35,
    1.00)</f>
        <v/>
      </c>
      <c r="P318">
        <f>IF('Loan Tape (S&amp;P)'!S318="Yes",
    1.15,
    1.00)</f>
        <v/>
      </c>
      <c r="Q318">
        <f>IF('Loan Tape (S&amp;P)'!V318="Yes",
    1.20,
    1.00)</f>
        <v/>
      </c>
      <c r="T318">
        <f>LET(
    payment_method,'Loan Tape (S&amp;P)'!P318,
    occupancy,'Loan Tape (S&amp;P)'!N318,
    maturity_date,'Loan Tape (S&amp;P)'!L318,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9">
      <c r="J319">
        <f>LET(
    lien,'Loan Tape (S&amp;P)'!Q319,
    IF(lien="First",1.00,
        IF(lien="Second",1.50,
            1.70)))</f>
        <v/>
      </c>
      <c r="K319">
        <f>LET(
    purpose,'Loan Tape (S&amp;P)'!R319,
    IF(purpose="Purchase",1.00,
        IF(purpose="Remortgage",1.00,
            1.20)))</f>
        <v/>
      </c>
      <c r="L319">
        <f>LET(
    arrears_months,'Loan Tape (S&amp;P)'!AN319,
    IF(arrears_months=0,1.00,
    IF(arrears_months=1,3.00,
    IF(arrears_months=2,5.00,
    IF(arrears_months=3,8.00,
    IF(arrears_months=4,10.00,
    IF(arrears_months=5,12.00,15.00)))))))</f>
        <v/>
      </c>
      <c r="M319">
        <f>LET(
    seasoning_years,DATEDIF('Loan Tape (S&amp;P)'!K319,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9">
        <f>IF(AND('Loan Tape (S&amp;P)'!U319="Yes",
        'Loan Tape (S&amp;P)'!T319&lt;&gt;"Yes",
        DATEDIF('Loan Tape (S&amp;P)'!K319, TODAY(), "M")&lt;18),
    1.10,
    1.00)</f>
        <v/>
      </c>
      <c r="O319">
        <f>IF('Loan Tape (S&amp;P)'!T319="Yes",
    1.35,
    1.00)</f>
        <v/>
      </c>
      <c r="P319">
        <f>IF('Loan Tape (S&amp;P)'!S319="Yes",
    1.15,
    1.00)</f>
        <v/>
      </c>
      <c r="Q319">
        <f>IF('Loan Tape (S&amp;P)'!V319="Yes",
    1.20,
    1.00)</f>
        <v/>
      </c>
      <c r="T319">
        <f>LET(
    payment_method,'Loan Tape (S&amp;P)'!P319,
    occupancy,'Loan Tape (S&amp;P)'!N319,
    maturity_date,'Loan Tape (S&amp;P)'!L319,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0">
      <c r="J320">
        <f>LET(
    lien,'Loan Tape (S&amp;P)'!Q320,
    IF(lien="First",1.00,
        IF(lien="Second",1.50,
            1.70)))</f>
        <v/>
      </c>
      <c r="K320">
        <f>LET(
    purpose,'Loan Tape (S&amp;P)'!R320,
    IF(purpose="Purchase",1.00,
        IF(purpose="Remortgage",1.00,
            1.20)))</f>
        <v/>
      </c>
      <c r="L320">
        <f>LET(
    arrears_months,'Loan Tape (S&amp;P)'!AN320,
    IF(arrears_months=0,1.00,
    IF(arrears_months=1,3.00,
    IF(arrears_months=2,5.00,
    IF(arrears_months=3,8.00,
    IF(arrears_months=4,10.00,
    IF(arrears_months=5,12.00,15.00)))))))</f>
        <v/>
      </c>
      <c r="M320">
        <f>LET(
    seasoning_years,DATEDIF('Loan Tape (S&amp;P)'!K320,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0">
        <f>IF(AND('Loan Tape (S&amp;P)'!U320="Yes",
        'Loan Tape (S&amp;P)'!T320&lt;&gt;"Yes",
        DATEDIF('Loan Tape (S&amp;P)'!K320, TODAY(), "M")&lt;18),
    1.10,
    1.00)</f>
        <v/>
      </c>
      <c r="O320">
        <f>IF('Loan Tape (S&amp;P)'!T320="Yes",
    1.35,
    1.00)</f>
        <v/>
      </c>
      <c r="P320">
        <f>IF('Loan Tape (S&amp;P)'!S320="Yes",
    1.15,
    1.00)</f>
        <v/>
      </c>
      <c r="Q320">
        <f>IF('Loan Tape (S&amp;P)'!V320="Yes",
    1.20,
    1.00)</f>
        <v/>
      </c>
      <c r="T320">
        <f>LET(
    payment_method,'Loan Tape (S&amp;P)'!P320,
    occupancy,'Loan Tape (S&amp;P)'!N320,
    maturity_date,'Loan Tape (S&amp;P)'!L320,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1">
      <c r="J321">
        <f>LET(
    lien,'Loan Tape (S&amp;P)'!Q321,
    IF(lien="First",1.00,
        IF(lien="Second",1.50,
            1.70)))</f>
        <v/>
      </c>
      <c r="K321">
        <f>LET(
    purpose,'Loan Tape (S&amp;P)'!R321,
    IF(purpose="Purchase",1.00,
        IF(purpose="Remortgage",1.00,
            1.20)))</f>
        <v/>
      </c>
      <c r="L321">
        <f>LET(
    arrears_months,'Loan Tape (S&amp;P)'!AN321,
    IF(arrears_months=0,1.00,
    IF(arrears_months=1,3.00,
    IF(arrears_months=2,5.00,
    IF(arrears_months=3,8.00,
    IF(arrears_months=4,10.00,
    IF(arrears_months=5,12.00,15.00)))))))</f>
        <v/>
      </c>
      <c r="M321">
        <f>LET(
    seasoning_years,DATEDIF('Loan Tape (S&amp;P)'!K321,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1">
        <f>IF(AND('Loan Tape (S&amp;P)'!U321="Yes",
        'Loan Tape (S&amp;P)'!T321&lt;&gt;"Yes",
        DATEDIF('Loan Tape (S&amp;P)'!K321, TODAY(), "M")&lt;18),
    1.10,
    1.00)</f>
        <v/>
      </c>
      <c r="O321">
        <f>IF('Loan Tape (S&amp;P)'!T321="Yes",
    1.35,
    1.00)</f>
        <v/>
      </c>
      <c r="P321">
        <f>IF('Loan Tape (S&amp;P)'!S321="Yes",
    1.15,
    1.00)</f>
        <v/>
      </c>
      <c r="Q321">
        <f>IF('Loan Tape (S&amp;P)'!V321="Yes",
    1.20,
    1.00)</f>
        <v/>
      </c>
      <c r="T321">
        <f>LET(
    payment_method,'Loan Tape (S&amp;P)'!P321,
    occupancy,'Loan Tape (S&amp;P)'!N321,
    maturity_date,'Loan Tape (S&amp;P)'!L321,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2">
      <c r="J322">
        <f>LET(
    lien,'Loan Tape (S&amp;P)'!Q322,
    IF(lien="First",1.00,
        IF(lien="Second",1.50,
            1.70)))</f>
        <v/>
      </c>
      <c r="K322">
        <f>LET(
    purpose,'Loan Tape (S&amp;P)'!R322,
    IF(purpose="Purchase",1.00,
        IF(purpose="Remortgage",1.00,
            1.20)))</f>
        <v/>
      </c>
      <c r="L322">
        <f>LET(
    arrears_months,'Loan Tape (S&amp;P)'!AN322,
    IF(arrears_months=0,1.00,
    IF(arrears_months=1,3.00,
    IF(arrears_months=2,5.00,
    IF(arrears_months=3,8.00,
    IF(arrears_months=4,10.00,
    IF(arrears_months=5,12.00,15.00)))))))</f>
        <v/>
      </c>
      <c r="M322">
        <f>LET(
    seasoning_years,DATEDIF('Loan Tape (S&amp;P)'!K322,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2">
        <f>IF(AND('Loan Tape (S&amp;P)'!U322="Yes",
        'Loan Tape (S&amp;P)'!T322&lt;&gt;"Yes",
        DATEDIF('Loan Tape (S&amp;P)'!K322, TODAY(), "M")&lt;18),
    1.10,
    1.00)</f>
        <v/>
      </c>
      <c r="O322">
        <f>IF('Loan Tape (S&amp;P)'!T322="Yes",
    1.35,
    1.00)</f>
        <v/>
      </c>
      <c r="P322">
        <f>IF('Loan Tape (S&amp;P)'!S322="Yes",
    1.15,
    1.00)</f>
        <v/>
      </c>
      <c r="Q322">
        <f>IF('Loan Tape (S&amp;P)'!V322="Yes",
    1.20,
    1.00)</f>
        <v/>
      </c>
      <c r="T322">
        <f>LET(
    payment_method,'Loan Tape (S&amp;P)'!P322,
    occupancy,'Loan Tape (S&amp;P)'!N322,
    maturity_date,'Loan Tape (S&amp;P)'!L322,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3">
      <c r="J323">
        <f>LET(
    lien,'Loan Tape (S&amp;P)'!Q323,
    IF(lien="First",1.00,
        IF(lien="Second",1.50,
            1.70)))</f>
        <v/>
      </c>
      <c r="K323">
        <f>LET(
    purpose,'Loan Tape (S&amp;P)'!R323,
    IF(purpose="Purchase",1.00,
        IF(purpose="Remortgage",1.00,
            1.20)))</f>
        <v/>
      </c>
      <c r="L323">
        <f>LET(
    arrears_months,'Loan Tape (S&amp;P)'!AN323,
    IF(arrears_months=0,1.00,
    IF(arrears_months=1,3.00,
    IF(arrears_months=2,5.00,
    IF(arrears_months=3,8.00,
    IF(arrears_months=4,10.00,
    IF(arrears_months=5,12.00,15.00)))))))</f>
        <v/>
      </c>
      <c r="M323">
        <f>LET(
    seasoning_years,DATEDIF('Loan Tape (S&amp;P)'!K323,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3">
        <f>IF(AND('Loan Tape (S&amp;P)'!U323="Yes",
        'Loan Tape (S&amp;P)'!T323&lt;&gt;"Yes",
        DATEDIF('Loan Tape (S&amp;P)'!K323, TODAY(), "M")&lt;18),
    1.10,
    1.00)</f>
        <v/>
      </c>
      <c r="O323">
        <f>IF('Loan Tape (S&amp;P)'!T323="Yes",
    1.35,
    1.00)</f>
        <v/>
      </c>
      <c r="P323">
        <f>IF('Loan Tape (S&amp;P)'!S323="Yes",
    1.15,
    1.00)</f>
        <v/>
      </c>
      <c r="Q323">
        <f>IF('Loan Tape (S&amp;P)'!V323="Yes",
    1.20,
    1.00)</f>
        <v/>
      </c>
      <c r="T323">
        <f>LET(
    payment_method,'Loan Tape (S&amp;P)'!P323,
    occupancy,'Loan Tape (S&amp;P)'!N323,
    maturity_date,'Loan Tape (S&amp;P)'!L323,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4">
      <c r="J324">
        <f>LET(
    lien,'Loan Tape (S&amp;P)'!Q324,
    IF(lien="First",1.00,
        IF(lien="Second",1.50,
            1.70)))</f>
        <v/>
      </c>
      <c r="K324">
        <f>LET(
    purpose,'Loan Tape (S&amp;P)'!R324,
    IF(purpose="Purchase",1.00,
        IF(purpose="Remortgage",1.00,
            1.20)))</f>
        <v/>
      </c>
      <c r="L324">
        <f>LET(
    arrears_months,'Loan Tape (S&amp;P)'!AN324,
    IF(arrears_months=0,1.00,
    IF(arrears_months=1,3.00,
    IF(arrears_months=2,5.00,
    IF(arrears_months=3,8.00,
    IF(arrears_months=4,10.00,
    IF(arrears_months=5,12.00,15.00)))))))</f>
        <v/>
      </c>
      <c r="M324">
        <f>LET(
    seasoning_years,DATEDIF('Loan Tape (S&amp;P)'!K324,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4">
        <f>IF(AND('Loan Tape (S&amp;P)'!U324="Yes",
        'Loan Tape (S&amp;P)'!T324&lt;&gt;"Yes",
        DATEDIF('Loan Tape (S&amp;P)'!K324, TODAY(), "M")&lt;18),
    1.10,
    1.00)</f>
        <v/>
      </c>
      <c r="O324">
        <f>IF('Loan Tape (S&amp;P)'!T324="Yes",
    1.35,
    1.00)</f>
        <v/>
      </c>
      <c r="P324">
        <f>IF('Loan Tape (S&amp;P)'!S324="Yes",
    1.15,
    1.00)</f>
        <v/>
      </c>
      <c r="Q324">
        <f>IF('Loan Tape (S&amp;P)'!V324="Yes",
    1.20,
    1.00)</f>
        <v/>
      </c>
      <c r="T324">
        <f>LET(
    payment_method,'Loan Tape (S&amp;P)'!P324,
    occupancy,'Loan Tape (S&amp;P)'!N324,
    maturity_date,'Loan Tape (S&amp;P)'!L324,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5">
      <c r="J325">
        <f>LET(
    lien,'Loan Tape (S&amp;P)'!Q325,
    IF(lien="First",1.00,
        IF(lien="Second",1.50,
            1.70)))</f>
        <v/>
      </c>
      <c r="K325">
        <f>LET(
    purpose,'Loan Tape (S&amp;P)'!R325,
    IF(purpose="Purchase",1.00,
        IF(purpose="Remortgage",1.00,
            1.20)))</f>
        <v/>
      </c>
      <c r="L325">
        <f>LET(
    arrears_months,'Loan Tape (S&amp;P)'!AN325,
    IF(arrears_months=0,1.00,
    IF(arrears_months=1,3.00,
    IF(arrears_months=2,5.00,
    IF(arrears_months=3,8.00,
    IF(arrears_months=4,10.00,
    IF(arrears_months=5,12.00,15.00)))))))</f>
        <v/>
      </c>
      <c r="M325">
        <f>LET(
    seasoning_years,DATEDIF('Loan Tape (S&amp;P)'!K325,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5">
        <f>IF(AND('Loan Tape (S&amp;P)'!U325="Yes",
        'Loan Tape (S&amp;P)'!T325&lt;&gt;"Yes",
        DATEDIF('Loan Tape (S&amp;P)'!K325, TODAY(), "M")&lt;18),
    1.10,
    1.00)</f>
        <v/>
      </c>
      <c r="O325">
        <f>IF('Loan Tape (S&amp;P)'!T325="Yes",
    1.35,
    1.00)</f>
        <v/>
      </c>
      <c r="P325">
        <f>IF('Loan Tape (S&amp;P)'!S325="Yes",
    1.15,
    1.00)</f>
        <v/>
      </c>
      <c r="Q325">
        <f>IF('Loan Tape (S&amp;P)'!V325="Yes",
    1.20,
    1.00)</f>
        <v/>
      </c>
      <c r="T325">
        <f>LET(
    payment_method,'Loan Tape (S&amp;P)'!P325,
    occupancy,'Loan Tape (S&amp;P)'!N325,
    maturity_date,'Loan Tape (S&amp;P)'!L325,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6">
      <c r="J326">
        <f>LET(
    lien,'Loan Tape (S&amp;P)'!Q326,
    IF(lien="First",1.00,
        IF(lien="Second",1.50,
            1.70)))</f>
        <v/>
      </c>
      <c r="K326">
        <f>LET(
    purpose,'Loan Tape (S&amp;P)'!R326,
    IF(purpose="Purchase",1.00,
        IF(purpose="Remortgage",1.00,
            1.20)))</f>
        <v/>
      </c>
      <c r="L326">
        <f>LET(
    arrears_months,'Loan Tape (S&amp;P)'!AN326,
    IF(arrears_months=0,1.00,
    IF(arrears_months=1,3.00,
    IF(arrears_months=2,5.00,
    IF(arrears_months=3,8.00,
    IF(arrears_months=4,10.00,
    IF(arrears_months=5,12.00,15.00)))))))</f>
        <v/>
      </c>
      <c r="M326">
        <f>LET(
    seasoning_years,DATEDIF('Loan Tape (S&amp;P)'!K326,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6">
        <f>IF(AND('Loan Tape (S&amp;P)'!U326="Yes",
        'Loan Tape (S&amp;P)'!T326&lt;&gt;"Yes",
        DATEDIF('Loan Tape (S&amp;P)'!K326, TODAY(), "M")&lt;18),
    1.10,
    1.00)</f>
        <v/>
      </c>
      <c r="O326">
        <f>IF('Loan Tape (S&amp;P)'!T326="Yes",
    1.35,
    1.00)</f>
        <v/>
      </c>
      <c r="P326">
        <f>IF('Loan Tape (S&amp;P)'!S326="Yes",
    1.15,
    1.00)</f>
        <v/>
      </c>
      <c r="Q326">
        <f>IF('Loan Tape (S&amp;P)'!V326="Yes",
    1.20,
    1.00)</f>
        <v/>
      </c>
      <c r="T326">
        <f>LET(
    payment_method,'Loan Tape (S&amp;P)'!P326,
    occupancy,'Loan Tape (S&amp;P)'!N326,
    maturity_date,'Loan Tape (S&amp;P)'!L326,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7">
      <c r="J327">
        <f>LET(
    lien,'Loan Tape (S&amp;P)'!Q327,
    IF(lien="First",1.00,
        IF(lien="Second",1.50,
            1.70)))</f>
        <v/>
      </c>
      <c r="K327">
        <f>LET(
    purpose,'Loan Tape (S&amp;P)'!R327,
    IF(purpose="Purchase",1.00,
        IF(purpose="Remortgage",1.00,
            1.20)))</f>
        <v/>
      </c>
      <c r="L327">
        <f>LET(
    arrears_months,'Loan Tape (S&amp;P)'!AN327,
    IF(arrears_months=0,1.00,
    IF(arrears_months=1,3.00,
    IF(arrears_months=2,5.00,
    IF(arrears_months=3,8.00,
    IF(arrears_months=4,10.00,
    IF(arrears_months=5,12.00,15.00)))))))</f>
        <v/>
      </c>
      <c r="M327">
        <f>LET(
    seasoning_years,DATEDIF('Loan Tape (S&amp;P)'!K327,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7">
        <f>IF(AND('Loan Tape (S&amp;P)'!U327="Yes",
        'Loan Tape (S&amp;P)'!T327&lt;&gt;"Yes",
        DATEDIF('Loan Tape (S&amp;P)'!K327, TODAY(), "M")&lt;18),
    1.10,
    1.00)</f>
        <v/>
      </c>
      <c r="O327">
        <f>IF('Loan Tape (S&amp;P)'!T327="Yes",
    1.35,
    1.00)</f>
        <v/>
      </c>
      <c r="P327">
        <f>IF('Loan Tape (S&amp;P)'!S327="Yes",
    1.15,
    1.00)</f>
        <v/>
      </c>
      <c r="Q327">
        <f>IF('Loan Tape (S&amp;P)'!V327="Yes",
    1.20,
    1.00)</f>
        <v/>
      </c>
      <c r="T327">
        <f>LET(
    payment_method,'Loan Tape (S&amp;P)'!P327,
    occupancy,'Loan Tape (S&amp;P)'!N327,
    maturity_date,'Loan Tape (S&amp;P)'!L327,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8">
      <c r="J328">
        <f>LET(
    lien,'Loan Tape (S&amp;P)'!Q328,
    IF(lien="First",1.00,
        IF(lien="Second",1.50,
            1.70)))</f>
        <v/>
      </c>
      <c r="K328">
        <f>LET(
    purpose,'Loan Tape (S&amp;P)'!R328,
    IF(purpose="Purchase",1.00,
        IF(purpose="Remortgage",1.00,
            1.20)))</f>
        <v/>
      </c>
      <c r="L328">
        <f>LET(
    arrears_months,'Loan Tape (S&amp;P)'!AN328,
    IF(arrears_months=0,1.00,
    IF(arrears_months=1,3.00,
    IF(arrears_months=2,5.00,
    IF(arrears_months=3,8.00,
    IF(arrears_months=4,10.00,
    IF(arrears_months=5,12.00,15.00)))))))</f>
        <v/>
      </c>
      <c r="M328">
        <f>LET(
    seasoning_years,DATEDIF('Loan Tape (S&amp;P)'!K328,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8">
        <f>IF(AND('Loan Tape (S&amp;P)'!U328="Yes",
        'Loan Tape (S&amp;P)'!T328&lt;&gt;"Yes",
        DATEDIF('Loan Tape (S&amp;P)'!K328, TODAY(), "M")&lt;18),
    1.10,
    1.00)</f>
        <v/>
      </c>
      <c r="O328">
        <f>IF('Loan Tape (S&amp;P)'!T328="Yes",
    1.35,
    1.00)</f>
        <v/>
      </c>
      <c r="P328">
        <f>IF('Loan Tape (S&amp;P)'!S328="Yes",
    1.15,
    1.00)</f>
        <v/>
      </c>
      <c r="Q328">
        <f>IF('Loan Tape (S&amp;P)'!V328="Yes",
    1.20,
    1.00)</f>
        <v/>
      </c>
      <c r="T328">
        <f>LET(
    payment_method,'Loan Tape (S&amp;P)'!P328,
    occupancy,'Loan Tape (S&amp;P)'!N328,
    maturity_date,'Loan Tape (S&amp;P)'!L328,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9">
      <c r="J329">
        <f>LET(
    lien,'Loan Tape (S&amp;P)'!Q329,
    IF(lien="First",1.00,
        IF(lien="Second",1.50,
            1.70)))</f>
        <v/>
      </c>
      <c r="K329">
        <f>LET(
    purpose,'Loan Tape (S&amp;P)'!R329,
    IF(purpose="Purchase",1.00,
        IF(purpose="Remortgage",1.00,
            1.20)))</f>
        <v/>
      </c>
      <c r="L329">
        <f>LET(
    arrears_months,'Loan Tape (S&amp;P)'!AN329,
    IF(arrears_months=0,1.00,
    IF(arrears_months=1,3.00,
    IF(arrears_months=2,5.00,
    IF(arrears_months=3,8.00,
    IF(arrears_months=4,10.00,
    IF(arrears_months=5,12.00,15.00)))))))</f>
        <v/>
      </c>
      <c r="M329">
        <f>LET(
    seasoning_years,DATEDIF('Loan Tape (S&amp;P)'!K329,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9">
        <f>IF(AND('Loan Tape (S&amp;P)'!U329="Yes",
        'Loan Tape (S&amp;P)'!T329&lt;&gt;"Yes",
        DATEDIF('Loan Tape (S&amp;P)'!K329, TODAY(), "M")&lt;18),
    1.10,
    1.00)</f>
        <v/>
      </c>
      <c r="O329">
        <f>IF('Loan Tape (S&amp;P)'!T329="Yes",
    1.35,
    1.00)</f>
        <v/>
      </c>
      <c r="P329">
        <f>IF('Loan Tape (S&amp;P)'!S329="Yes",
    1.15,
    1.00)</f>
        <v/>
      </c>
      <c r="Q329">
        <f>IF('Loan Tape (S&amp;P)'!V329="Yes",
    1.20,
    1.00)</f>
        <v/>
      </c>
      <c r="T329">
        <f>LET(
    payment_method,'Loan Tape (S&amp;P)'!P329,
    occupancy,'Loan Tape (S&amp;P)'!N329,
    maturity_date,'Loan Tape (S&amp;P)'!L329,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0">
      <c r="J330">
        <f>LET(
    lien,'Loan Tape (S&amp;P)'!Q330,
    IF(lien="First",1.00,
        IF(lien="Second",1.50,
            1.70)))</f>
        <v/>
      </c>
      <c r="K330">
        <f>LET(
    purpose,'Loan Tape (S&amp;P)'!R330,
    IF(purpose="Purchase",1.00,
        IF(purpose="Remortgage",1.00,
            1.20)))</f>
        <v/>
      </c>
      <c r="L330">
        <f>LET(
    arrears_months,'Loan Tape (S&amp;P)'!AN330,
    IF(arrears_months=0,1.00,
    IF(arrears_months=1,3.00,
    IF(arrears_months=2,5.00,
    IF(arrears_months=3,8.00,
    IF(arrears_months=4,10.00,
    IF(arrears_months=5,12.00,15.00)))))))</f>
        <v/>
      </c>
      <c r="M330">
        <f>LET(
    seasoning_years,DATEDIF('Loan Tape (S&amp;P)'!K330,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0">
        <f>IF(AND('Loan Tape (S&amp;P)'!U330="Yes",
        'Loan Tape (S&amp;P)'!T330&lt;&gt;"Yes",
        DATEDIF('Loan Tape (S&amp;P)'!K330, TODAY(), "M")&lt;18),
    1.10,
    1.00)</f>
        <v/>
      </c>
      <c r="O330">
        <f>IF('Loan Tape (S&amp;P)'!T330="Yes",
    1.35,
    1.00)</f>
        <v/>
      </c>
      <c r="P330">
        <f>IF('Loan Tape (S&amp;P)'!S330="Yes",
    1.15,
    1.00)</f>
        <v/>
      </c>
      <c r="Q330">
        <f>IF('Loan Tape (S&amp;P)'!V330="Yes",
    1.20,
    1.00)</f>
        <v/>
      </c>
      <c r="T330">
        <f>LET(
    payment_method,'Loan Tape (S&amp;P)'!P330,
    occupancy,'Loan Tape (S&amp;P)'!N330,
    maturity_date,'Loan Tape (S&amp;P)'!L330,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1">
      <c r="J331">
        <f>LET(
    lien,'Loan Tape (S&amp;P)'!Q331,
    IF(lien="First",1.00,
        IF(lien="Second",1.50,
            1.70)))</f>
        <v/>
      </c>
      <c r="K331">
        <f>LET(
    purpose,'Loan Tape (S&amp;P)'!R331,
    IF(purpose="Purchase",1.00,
        IF(purpose="Remortgage",1.00,
            1.20)))</f>
        <v/>
      </c>
      <c r="L331">
        <f>LET(
    arrears_months,'Loan Tape (S&amp;P)'!AN331,
    IF(arrears_months=0,1.00,
    IF(arrears_months=1,3.00,
    IF(arrears_months=2,5.00,
    IF(arrears_months=3,8.00,
    IF(arrears_months=4,10.00,
    IF(arrears_months=5,12.00,15.00)))))))</f>
        <v/>
      </c>
      <c r="M331">
        <f>LET(
    seasoning_years,DATEDIF('Loan Tape (S&amp;P)'!K331,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1">
        <f>IF(AND('Loan Tape (S&amp;P)'!U331="Yes",
        'Loan Tape (S&amp;P)'!T331&lt;&gt;"Yes",
        DATEDIF('Loan Tape (S&amp;P)'!K331, TODAY(), "M")&lt;18),
    1.10,
    1.00)</f>
        <v/>
      </c>
      <c r="O331">
        <f>IF('Loan Tape (S&amp;P)'!T331="Yes",
    1.35,
    1.00)</f>
        <v/>
      </c>
      <c r="P331">
        <f>IF('Loan Tape (S&amp;P)'!S331="Yes",
    1.15,
    1.00)</f>
        <v/>
      </c>
      <c r="Q331">
        <f>IF('Loan Tape (S&amp;P)'!V331="Yes",
    1.20,
    1.00)</f>
        <v/>
      </c>
      <c r="T331">
        <f>LET(
    payment_method,'Loan Tape (S&amp;P)'!P331,
    occupancy,'Loan Tape (S&amp;P)'!N331,
    maturity_date,'Loan Tape (S&amp;P)'!L331,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2">
      <c r="J332">
        <f>LET(
    lien,'Loan Tape (S&amp;P)'!Q332,
    IF(lien="First",1.00,
        IF(lien="Second",1.50,
            1.70)))</f>
        <v/>
      </c>
      <c r="K332">
        <f>LET(
    purpose,'Loan Tape (S&amp;P)'!R332,
    IF(purpose="Purchase",1.00,
        IF(purpose="Remortgage",1.00,
            1.20)))</f>
        <v/>
      </c>
      <c r="L332">
        <f>LET(
    arrears_months,'Loan Tape (S&amp;P)'!AN332,
    IF(arrears_months=0,1.00,
    IF(arrears_months=1,3.00,
    IF(arrears_months=2,5.00,
    IF(arrears_months=3,8.00,
    IF(arrears_months=4,10.00,
    IF(arrears_months=5,12.00,15.00)))))))</f>
        <v/>
      </c>
      <c r="M332">
        <f>LET(
    seasoning_years,DATEDIF('Loan Tape (S&amp;P)'!K332,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2">
        <f>IF(AND('Loan Tape (S&amp;P)'!U332="Yes",
        'Loan Tape (S&amp;P)'!T332&lt;&gt;"Yes",
        DATEDIF('Loan Tape (S&amp;P)'!K332, TODAY(), "M")&lt;18),
    1.10,
    1.00)</f>
        <v/>
      </c>
      <c r="O332">
        <f>IF('Loan Tape (S&amp;P)'!T332="Yes",
    1.35,
    1.00)</f>
        <v/>
      </c>
      <c r="P332">
        <f>IF('Loan Tape (S&amp;P)'!S332="Yes",
    1.15,
    1.00)</f>
        <v/>
      </c>
      <c r="Q332">
        <f>IF('Loan Tape (S&amp;P)'!V332="Yes",
    1.20,
    1.00)</f>
        <v/>
      </c>
      <c r="T332">
        <f>LET(
    payment_method,'Loan Tape (S&amp;P)'!P332,
    occupancy,'Loan Tape (S&amp;P)'!N332,
    maturity_date,'Loan Tape (S&amp;P)'!L332,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3">
      <c r="J333">
        <f>LET(
    lien,'Loan Tape (S&amp;P)'!Q333,
    IF(lien="First",1.00,
        IF(lien="Second",1.50,
            1.70)))</f>
        <v/>
      </c>
      <c r="K333">
        <f>LET(
    purpose,'Loan Tape (S&amp;P)'!R333,
    IF(purpose="Purchase",1.00,
        IF(purpose="Remortgage",1.00,
            1.20)))</f>
        <v/>
      </c>
      <c r="L333">
        <f>LET(
    arrears_months,'Loan Tape (S&amp;P)'!AN333,
    IF(arrears_months=0,1.00,
    IF(arrears_months=1,3.00,
    IF(arrears_months=2,5.00,
    IF(arrears_months=3,8.00,
    IF(arrears_months=4,10.00,
    IF(arrears_months=5,12.00,15.00)))))))</f>
        <v/>
      </c>
      <c r="M333">
        <f>LET(
    seasoning_years,DATEDIF('Loan Tape (S&amp;P)'!K333,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3">
        <f>IF(AND('Loan Tape (S&amp;P)'!U333="Yes",
        'Loan Tape (S&amp;P)'!T333&lt;&gt;"Yes",
        DATEDIF('Loan Tape (S&amp;P)'!K333, TODAY(), "M")&lt;18),
    1.10,
    1.00)</f>
        <v/>
      </c>
      <c r="O333">
        <f>IF('Loan Tape (S&amp;P)'!T333="Yes",
    1.35,
    1.00)</f>
        <v/>
      </c>
      <c r="P333">
        <f>IF('Loan Tape (S&amp;P)'!S333="Yes",
    1.15,
    1.00)</f>
        <v/>
      </c>
      <c r="Q333">
        <f>IF('Loan Tape (S&amp;P)'!V333="Yes",
    1.20,
    1.00)</f>
        <v/>
      </c>
      <c r="T333">
        <f>LET(
    payment_method,'Loan Tape (S&amp;P)'!P333,
    occupancy,'Loan Tape (S&amp;P)'!N333,
    maturity_date,'Loan Tape (S&amp;P)'!L333,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4">
      <c r="J334">
        <f>LET(
    lien,'Loan Tape (S&amp;P)'!Q334,
    IF(lien="First",1.00,
        IF(lien="Second",1.50,
            1.70)))</f>
        <v/>
      </c>
      <c r="K334">
        <f>LET(
    purpose,'Loan Tape (S&amp;P)'!R334,
    IF(purpose="Purchase",1.00,
        IF(purpose="Remortgage",1.00,
            1.20)))</f>
        <v/>
      </c>
      <c r="L334">
        <f>LET(
    arrears_months,'Loan Tape (S&amp;P)'!AN334,
    IF(arrears_months=0,1.00,
    IF(arrears_months=1,3.00,
    IF(arrears_months=2,5.00,
    IF(arrears_months=3,8.00,
    IF(arrears_months=4,10.00,
    IF(arrears_months=5,12.00,15.00)))))))</f>
        <v/>
      </c>
      <c r="M334">
        <f>LET(
    seasoning_years,DATEDIF('Loan Tape (S&amp;P)'!K334,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4">
        <f>IF(AND('Loan Tape (S&amp;P)'!U334="Yes",
        'Loan Tape (S&amp;P)'!T334&lt;&gt;"Yes",
        DATEDIF('Loan Tape (S&amp;P)'!K334, TODAY(), "M")&lt;18),
    1.10,
    1.00)</f>
        <v/>
      </c>
      <c r="O334">
        <f>IF('Loan Tape (S&amp;P)'!T334="Yes",
    1.35,
    1.00)</f>
        <v/>
      </c>
      <c r="P334">
        <f>IF('Loan Tape (S&amp;P)'!S334="Yes",
    1.15,
    1.00)</f>
        <v/>
      </c>
      <c r="Q334">
        <f>IF('Loan Tape (S&amp;P)'!V334="Yes",
    1.20,
    1.00)</f>
        <v/>
      </c>
      <c r="T334">
        <f>LET(
    payment_method,'Loan Tape (S&amp;P)'!P334,
    occupancy,'Loan Tape (S&amp;P)'!N334,
    maturity_date,'Loan Tape (S&amp;P)'!L334,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5">
      <c r="J335">
        <f>LET(
    lien,'Loan Tape (S&amp;P)'!Q335,
    IF(lien="First",1.00,
        IF(lien="Second",1.50,
            1.70)))</f>
        <v/>
      </c>
      <c r="K335">
        <f>LET(
    purpose,'Loan Tape (S&amp;P)'!R335,
    IF(purpose="Purchase",1.00,
        IF(purpose="Remortgage",1.00,
            1.20)))</f>
        <v/>
      </c>
      <c r="L335">
        <f>LET(
    arrears_months,'Loan Tape (S&amp;P)'!AN335,
    IF(arrears_months=0,1.00,
    IF(arrears_months=1,3.00,
    IF(arrears_months=2,5.00,
    IF(arrears_months=3,8.00,
    IF(arrears_months=4,10.00,
    IF(arrears_months=5,12.00,15.00)))))))</f>
        <v/>
      </c>
      <c r="M335">
        <f>LET(
    seasoning_years,DATEDIF('Loan Tape (S&amp;P)'!K335,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5">
        <f>IF(AND('Loan Tape (S&amp;P)'!U335="Yes",
        'Loan Tape (S&amp;P)'!T335&lt;&gt;"Yes",
        DATEDIF('Loan Tape (S&amp;P)'!K335, TODAY(), "M")&lt;18),
    1.10,
    1.00)</f>
        <v/>
      </c>
      <c r="O335">
        <f>IF('Loan Tape (S&amp;P)'!T335="Yes",
    1.35,
    1.00)</f>
        <v/>
      </c>
      <c r="P335">
        <f>IF('Loan Tape (S&amp;P)'!S335="Yes",
    1.15,
    1.00)</f>
        <v/>
      </c>
      <c r="Q335">
        <f>IF('Loan Tape (S&amp;P)'!V335="Yes",
    1.20,
    1.00)</f>
        <v/>
      </c>
      <c r="T335">
        <f>LET(
    payment_method,'Loan Tape (S&amp;P)'!P335,
    occupancy,'Loan Tape (S&amp;P)'!N335,
    maturity_date,'Loan Tape (S&amp;P)'!L335,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6">
      <c r="J336">
        <f>LET(
    lien,'Loan Tape (S&amp;P)'!Q336,
    IF(lien="First",1.00,
        IF(lien="Second",1.50,
            1.70)))</f>
        <v/>
      </c>
      <c r="K336">
        <f>LET(
    purpose,'Loan Tape (S&amp;P)'!R336,
    IF(purpose="Purchase",1.00,
        IF(purpose="Remortgage",1.00,
            1.20)))</f>
        <v/>
      </c>
      <c r="L336">
        <f>LET(
    arrears_months,'Loan Tape (S&amp;P)'!AN336,
    IF(arrears_months=0,1.00,
    IF(arrears_months=1,3.00,
    IF(arrears_months=2,5.00,
    IF(arrears_months=3,8.00,
    IF(arrears_months=4,10.00,
    IF(arrears_months=5,12.00,15.00)))))))</f>
        <v/>
      </c>
      <c r="M336">
        <f>LET(
    seasoning_years,DATEDIF('Loan Tape (S&amp;P)'!K336,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6">
        <f>IF(AND('Loan Tape (S&amp;P)'!U336="Yes",
        'Loan Tape (S&amp;P)'!T336&lt;&gt;"Yes",
        DATEDIF('Loan Tape (S&amp;P)'!K336, TODAY(), "M")&lt;18),
    1.10,
    1.00)</f>
        <v/>
      </c>
      <c r="O336">
        <f>IF('Loan Tape (S&amp;P)'!T336="Yes",
    1.35,
    1.00)</f>
        <v/>
      </c>
      <c r="P336">
        <f>IF('Loan Tape (S&amp;P)'!S336="Yes",
    1.15,
    1.00)</f>
        <v/>
      </c>
      <c r="Q336">
        <f>IF('Loan Tape (S&amp;P)'!V336="Yes",
    1.20,
    1.00)</f>
        <v/>
      </c>
      <c r="T336">
        <f>LET(
    payment_method,'Loan Tape (S&amp;P)'!P336,
    occupancy,'Loan Tape (S&amp;P)'!N336,
    maturity_date,'Loan Tape (S&amp;P)'!L336,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7">
      <c r="J337">
        <f>LET(
    lien,'Loan Tape (S&amp;P)'!Q337,
    IF(lien="First",1.00,
        IF(lien="Second",1.50,
            1.70)))</f>
        <v/>
      </c>
      <c r="K337">
        <f>LET(
    purpose,'Loan Tape (S&amp;P)'!R337,
    IF(purpose="Purchase",1.00,
        IF(purpose="Remortgage",1.00,
            1.20)))</f>
        <v/>
      </c>
      <c r="L337">
        <f>LET(
    arrears_months,'Loan Tape (S&amp;P)'!AN337,
    IF(arrears_months=0,1.00,
    IF(arrears_months=1,3.00,
    IF(arrears_months=2,5.00,
    IF(arrears_months=3,8.00,
    IF(arrears_months=4,10.00,
    IF(arrears_months=5,12.00,15.00)))))))</f>
        <v/>
      </c>
      <c r="M337">
        <f>LET(
    seasoning_years,DATEDIF('Loan Tape (S&amp;P)'!K337,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7">
        <f>IF(AND('Loan Tape (S&amp;P)'!U337="Yes",
        'Loan Tape (S&amp;P)'!T337&lt;&gt;"Yes",
        DATEDIF('Loan Tape (S&amp;P)'!K337, TODAY(), "M")&lt;18),
    1.10,
    1.00)</f>
        <v/>
      </c>
      <c r="O337">
        <f>IF('Loan Tape (S&amp;P)'!T337="Yes",
    1.35,
    1.00)</f>
        <v/>
      </c>
      <c r="P337">
        <f>IF('Loan Tape (S&amp;P)'!S337="Yes",
    1.15,
    1.00)</f>
        <v/>
      </c>
      <c r="Q337">
        <f>IF('Loan Tape (S&amp;P)'!V337="Yes",
    1.20,
    1.00)</f>
        <v/>
      </c>
      <c r="T337">
        <f>LET(
    payment_method,'Loan Tape (S&amp;P)'!P337,
    occupancy,'Loan Tape (S&amp;P)'!N337,
    maturity_date,'Loan Tape (S&amp;P)'!L337,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8">
      <c r="J338">
        <f>LET(
    lien,'Loan Tape (S&amp;P)'!Q338,
    IF(lien="First",1.00,
        IF(lien="Second",1.50,
            1.70)))</f>
        <v/>
      </c>
      <c r="K338">
        <f>LET(
    purpose,'Loan Tape (S&amp;P)'!R338,
    IF(purpose="Purchase",1.00,
        IF(purpose="Remortgage",1.00,
            1.20)))</f>
        <v/>
      </c>
      <c r="L338">
        <f>LET(
    arrears_months,'Loan Tape (S&amp;P)'!AN338,
    IF(arrears_months=0,1.00,
    IF(arrears_months=1,3.00,
    IF(arrears_months=2,5.00,
    IF(arrears_months=3,8.00,
    IF(arrears_months=4,10.00,
    IF(arrears_months=5,12.00,15.00)))))))</f>
        <v/>
      </c>
      <c r="M338">
        <f>LET(
    seasoning_years,DATEDIF('Loan Tape (S&amp;P)'!K338,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8">
        <f>IF(AND('Loan Tape (S&amp;P)'!U338="Yes",
        'Loan Tape (S&amp;P)'!T338&lt;&gt;"Yes",
        DATEDIF('Loan Tape (S&amp;P)'!K338, TODAY(), "M")&lt;18),
    1.10,
    1.00)</f>
        <v/>
      </c>
      <c r="O338">
        <f>IF('Loan Tape (S&amp;P)'!T338="Yes",
    1.35,
    1.00)</f>
        <v/>
      </c>
      <c r="P338">
        <f>IF('Loan Tape (S&amp;P)'!S338="Yes",
    1.15,
    1.00)</f>
        <v/>
      </c>
      <c r="Q338">
        <f>IF('Loan Tape (S&amp;P)'!V338="Yes",
    1.20,
    1.00)</f>
        <v/>
      </c>
      <c r="T338">
        <f>LET(
    payment_method,'Loan Tape (S&amp;P)'!P338,
    occupancy,'Loan Tape (S&amp;P)'!N338,
    maturity_date,'Loan Tape (S&amp;P)'!L338,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9">
      <c r="J339">
        <f>LET(
    lien,'Loan Tape (S&amp;P)'!Q339,
    IF(lien="First",1.00,
        IF(lien="Second",1.50,
            1.70)))</f>
        <v/>
      </c>
      <c r="K339">
        <f>LET(
    purpose,'Loan Tape (S&amp;P)'!R339,
    IF(purpose="Purchase",1.00,
        IF(purpose="Remortgage",1.00,
            1.20)))</f>
        <v/>
      </c>
      <c r="L339">
        <f>LET(
    arrears_months,'Loan Tape (S&amp;P)'!AN339,
    IF(arrears_months=0,1.00,
    IF(arrears_months=1,3.00,
    IF(arrears_months=2,5.00,
    IF(arrears_months=3,8.00,
    IF(arrears_months=4,10.00,
    IF(arrears_months=5,12.00,15.00)))))))</f>
        <v/>
      </c>
      <c r="M339">
        <f>LET(
    seasoning_years,DATEDIF('Loan Tape (S&amp;P)'!K339,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9">
        <f>IF(AND('Loan Tape (S&amp;P)'!U339="Yes",
        'Loan Tape (S&amp;P)'!T339&lt;&gt;"Yes",
        DATEDIF('Loan Tape (S&amp;P)'!K339, TODAY(), "M")&lt;18),
    1.10,
    1.00)</f>
        <v/>
      </c>
      <c r="O339">
        <f>IF('Loan Tape (S&amp;P)'!T339="Yes",
    1.35,
    1.00)</f>
        <v/>
      </c>
      <c r="P339">
        <f>IF('Loan Tape (S&amp;P)'!S339="Yes",
    1.15,
    1.00)</f>
        <v/>
      </c>
      <c r="Q339">
        <f>IF('Loan Tape (S&amp;P)'!V339="Yes",
    1.20,
    1.00)</f>
        <v/>
      </c>
      <c r="T339">
        <f>LET(
    payment_method,'Loan Tape (S&amp;P)'!P339,
    occupancy,'Loan Tape (S&amp;P)'!N339,
    maturity_date,'Loan Tape (S&amp;P)'!L339,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0">
      <c r="J340">
        <f>LET(
    lien,'Loan Tape (S&amp;P)'!Q340,
    IF(lien="First",1.00,
        IF(lien="Second",1.50,
            1.70)))</f>
        <v/>
      </c>
      <c r="K340">
        <f>LET(
    purpose,'Loan Tape (S&amp;P)'!R340,
    IF(purpose="Purchase",1.00,
        IF(purpose="Remortgage",1.00,
            1.20)))</f>
        <v/>
      </c>
      <c r="L340">
        <f>LET(
    arrears_months,'Loan Tape (S&amp;P)'!AN340,
    IF(arrears_months=0,1.00,
    IF(arrears_months=1,3.00,
    IF(arrears_months=2,5.00,
    IF(arrears_months=3,8.00,
    IF(arrears_months=4,10.00,
    IF(arrears_months=5,12.00,15.00)))))))</f>
        <v/>
      </c>
      <c r="M340">
        <f>LET(
    seasoning_years,DATEDIF('Loan Tape (S&amp;P)'!K340,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0">
        <f>IF(AND('Loan Tape (S&amp;P)'!U340="Yes",
        'Loan Tape (S&amp;P)'!T340&lt;&gt;"Yes",
        DATEDIF('Loan Tape (S&amp;P)'!K340, TODAY(), "M")&lt;18),
    1.10,
    1.00)</f>
        <v/>
      </c>
      <c r="O340">
        <f>IF('Loan Tape (S&amp;P)'!T340="Yes",
    1.35,
    1.00)</f>
        <v/>
      </c>
      <c r="P340">
        <f>IF('Loan Tape (S&amp;P)'!S340="Yes",
    1.15,
    1.00)</f>
        <v/>
      </c>
      <c r="Q340">
        <f>IF('Loan Tape (S&amp;P)'!V340="Yes",
    1.20,
    1.00)</f>
        <v/>
      </c>
      <c r="T340">
        <f>LET(
    payment_method,'Loan Tape (S&amp;P)'!P340,
    occupancy,'Loan Tape (S&amp;P)'!N340,
    maturity_date,'Loan Tape (S&amp;P)'!L340,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1">
      <c r="J341">
        <f>LET(
    lien,'Loan Tape (S&amp;P)'!Q341,
    IF(lien="First",1.00,
        IF(lien="Second",1.50,
            1.70)))</f>
        <v/>
      </c>
      <c r="K341">
        <f>LET(
    purpose,'Loan Tape (S&amp;P)'!R341,
    IF(purpose="Purchase",1.00,
        IF(purpose="Remortgage",1.00,
            1.20)))</f>
        <v/>
      </c>
      <c r="L341">
        <f>LET(
    arrears_months,'Loan Tape (S&amp;P)'!AN341,
    IF(arrears_months=0,1.00,
    IF(arrears_months=1,3.00,
    IF(arrears_months=2,5.00,
    IF(arrears_months=3,8.00,
    IF(arrears_months=4,10.00,
    IF(arrears_months=5,12.00,15.00)))))))</f>
        <v/>
      </c>
      <c r="M341">
        <f>LET(
    seasoning_years,DATEDIF('Loan Tape (S&amp;P)'!K341,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1">
        <f>IF(AND('Loan Tape (S&amp;P)'!U341="Yes",
        'Loan Tape (S&amp;P)'!T341&lt;&gt;"Yes",
        DATEDIF('Loan Tape (S&amp;P)'!K341, TODAY(), "M")&lt;18),
    1.10,
    1.00)</f>
        <v/>
      </c>
      <c r="O341">
        <f>IF('Loan Tape (S&amp;P)'!T341="Yes",
    1.35,
    1.00)</f>
        <v/>
      </c>
      <c r="P341">
        <f>IF('Loan Tape (S&amp;P)'!S341="Yes",
    1.15,
    1.00)</f>
        <v/>
      </c>
      <c r="Q341">
        <f>IF('Loan Tape (S&amp;P)'!V341="Yes",
    1.20,
    1.00)</f>
        <v/>
      </c>
      <c r="T341">
        <f>LET(
    payment_method,'Loan Tape (S&amp;P)'!P341,
    occupancy,'Loan Tape (S&amp;P)'!N341,
    maturity_date,'Loan Tape (S&amp;P)'!L341,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2">
      <c r="J342">
        <f>LET(
    lien,'Loan Tape (S&amp;P)'!Q342,
    IF(lien="First",1.00,
        IF(lien="Second",1.50,
            1.70)))</f>
        <v/>
      </c>
      <c r="K342">
        <f>LET(
    purpose,'Loan Tape (S&amp;P)'!R342,
    IF(purpose="Purchase",1.00,
        IF(purpose="Remortgage",1.00,
            1.20)))</f>
        <v/>
      </c>
      <c r="L342">
        <f>LET(
    arrears_months,'Loan Tape (S&amp;P)'!AN342,
    IF(arrears_months=0,1.00,
    IF(arrears_months=1,3.00,
    IF(arrears_months=2,5.00,
    IF(arrears_months=3,8.00,
    IF(arrears_months=4,10.00,
    IF(arrears_months=5,12.00,15.00)))))))</f>
        <v/>
      </c>
      <c r="M342">
        <f>LET(
    seasoning_years,DATEDIF('Loan Tape (S&amp;P)'!K342,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2">
        <f>IF(AND('Loan Tape (S&amp;P)'!U342="Yes",
        'Loan Tape (S&amp;P)'!T342&lt;&gt;"Yes",
        DATEDIF('Loan Tape (S&amp;P)'!K342, TODAY(), "M")&lt;18),
    1.10,
    1.00)</f>
        <v/>
      </c>
      <c r="O342">
        <f>IF('Loan Tape (S&amp;P)'!T342="Yes",
    1.35,
    1.00)</f>
        <v/>
      </c>
      <c r="P342">
        <f>IF('Loan Tape (S&amp;P)'!S342="Yes",
    1.15,
    1.00)</f>
        <v/>
      </c>
      <c r="Q342">
        <f>IF('Loan Tape (S&amp;P)'!V342="Yes",
    1.20,
    1.00)</f>
        <v/>
      </c>
      <c r="T342">
        <f>LET(
    payment_method,'Loan Tape (S&amp;P)'!P342,
    occupancy,'Loan Tape (S&amp;P)'!N342,
    maturity_date,'Loan Tape (S&amp;P)'!L342,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3">
      <c r="J343">
        <f>LET(
    lien,'Loan Tape (S&amp;P)'!Q343,
    IF(lien="First",1.00,
        IF(lien="Second",1.50,
            1.70)))</f>
        <v/>
      </c>
      <c r="K343">
        <f>LET(
    purpose,'Loan Tape (S&amp;P)'!R343,
    IF(purpose="Purchase",1.00,
        IF(purpose="Remortgage",1.00,
            1.20)))</f>
        <v/>
      </c>
      <c r="L343">
        <f>LET(
    arrears_months,'Loan Tape (S&amp;P)'!AN343,
    IF(arrears_months=0,1.00,
    IF(arrears_months=1,3.00,
    IF(arrears_months=2,5.00,
    IF(arrears_months=3,8.00,
    IF(arrears_months=4,10.00,
    IF(arrears_months=5,12.00,15.00)))))))</f>
        <v/>
      </c>
      <c r="M343">
        <f>LET(
    seasoning_years,DATEDIF('Loan Tape (S&amp;P)'!K343,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3">
        <f>IF(AND('Loan Tape (S&amp;P)'!U343="Yes",
        'Loan Tape (S&amp;P)'!T343&lt;&gt;"Yes",
        DATEDIF('Loan Tape (S&amp;P)'!K343, TODAY(), "M")&lt;18),
    1.10,
    1.00)</f>
        <v/>
      </c>
      <c r="O343">
        <f>IF('Loan Tape (S&amp;P)'!T343="Yes",
    1.35,
    1.00)</f>
        <v/>
      </c>
      <c r="P343">
        <f>IF('Loan Tape (S&amp;P)'!S343="Yes",
    1.15,
    1.00)</f>
        <v/>
      </c>
      <c r="Q343">
        <f>IF('Loan Tape (S&amp;P)'!V343="Yes",
    1.20,
    1.00)</f>
        <v/>
      </c>
      <c r="T343">
        <f>LET(
    payment_method,'Loan Tape (S&amp;P)'!P343,
    occupancy,'Loan Tape (S&amp;P)'!N343,
    maturity_date,'Loan Tape (S&amp;P)'!L343,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4">
      <c r="J344">
        <f>LET(
    lien,'Loan Tape (S&amp;P)'!Q344,
    IF(lien="First",1.00,
        IF(lien="Second",1.50,
            1.70)))</f>
        <v/>
      </c>
      <c r="K344">
        <f>LET(
    purpose,'Loan Tape (S&amp;P)'!R344,
    IF(purpose="Purchase",1.00,
        IF(purpose="Remortgage",1.00,
            1.20)))</f>
        <v/>
      </c>
      <c r="L344">
        <f>LET(
    arrears_months,'Loan Tape (S&amp;P)'!AN344,
    IF(arrears_months=0,1.00,
    IF(arrears_months=1,3.00,
    IF(arrears_months=2,5.00,
    IF(arrears_months=3,8.00,
    IF(arrears_months=4,10.00,
    IF(arrears_months=5,12.00,15.00)))))))</f>
        <v/>
      </c>
      <c r="M344">
        <f>LET(
    seasoning_years,DATEDIF('Loan Tape (S&amp;P)'!K344,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4">
        <f>IF(AND('Loan Tape (S&amp;P)'!U344="Yes",
        'Loan Tape (S&amp;P)'!T344&lt;&gt;"Yes",
        DATEDIF('Loan Tape (S&amp;P)'!K344, TODAY(), "M")&lt;18),
    1.10,
    1.00)</f>
        <v/>
      </c>
      <c r="O344">
        <f>IF('Loan Tape (S&amp;P)'!T344="Yes",
    1.35,
    1.00)</f>
        <v/>
      </c>
      <c r="P344">
        <f>IF('Loan Tape (S&amp;P)'!S344="Yes",
    1.15,
    1.00)</f>
        <v/>
      </c>
      <c r="Q344">
        <f>IF('Loan Tape (S&amp;P)'!V344="Yes",
    1.20,
    1.00)</f>
        <v/>
      </c>
      <c r="T344">
        <f>LET(
    payment_method,'Loan Tape (S&amp;P)'!P344,
    occupancy,'Loan Tape (S&amp;P)'!N344,
    maturity_date,'Loan Tape (S&amp;P)'!L344,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5">
      <c r="J345">
        <f>LET(
    lien,'Loan Tape (S&amp;P)'!Q345,
    IF(lien="First",1.00,
        IF(lien="Second",1.50,
            1.70)))</f>
        <v/>
      </c>
      <c r="K345">
        <f>LET(
    purpose,'Loan Tape (S&amp;P)'!R345,
    IF(purpose="Purchase",1.00,
        IF(purpose="Remortgage",1.00,
            1.20)))</f>
        <v/>
      </c>
      <c r="L345">
        <f>LET(
    arrears_months,'Loan Tape (S&amp;P)'!AN345,
    IF(arrears_months=0,1.00,
    IF(arrears_months=1,3.00,
    IF(arrears_months=2,5.00,
    IF(arrears_months=3,8.00,
    IF(arrears_months=4,10.00,
    IF(arrears_months=5,12.00,15.00)))))))</f>
        <v/>
      </c>
      <c r="M345">
        <f>LET(
    seasoning_years,DATEDIF('Loan Tape (S&amp;P)'!K345,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5">
        <f>IF(AND('Loan Tape (S&amp;P)'!U345="Yes",
        'Loan Tape (S&amp;P)'!T345&lt;&gt;"Yes",
        DATEDIF('Loan Tape (S&amp;P)'!K345, TODAY(), "M")&lt;18),
    1.10,
    1.00)</f>
        <v/>
      </c>
      <c r="O345">
        <f>IF('Loan Tape (S&amp;P)'!T345="Yes",
    1.35,
    1.00)</f>
        <v/>
      </c>
      <c r="P345">
        <f>IF('Loan Tape (S&amp;P)'!S345="Yes",
    1.15,
    1.00)</f>
        <v/>
      </c>
      <c r="Q345">
        <f>IF('Loan Tape (S&amp;P)'!V345="Yes",
    1.20,
    1.00)</f>
        <v/>
      </c>
      <c r="T345">
        <f>LET(
    payment_method,'Loan Tape (S&amp;P)'!P345,
    occupancy,'Loan Tape (S&amp;P)'!N345,
    maturity_date,'Loan Tape (S&amp;P)'!L345,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6">
      <c r="J346">
        <f>LET(
    lien,'Loan Tape (S&amp;P)'!Q346,
    IF(lien="First",1.00,
        IF(lien="Second",1.50,
            1.70)))</f>
        <v/>
      </c>
      <c r="K346">
        <f>LET(
    purpose,'Loan Tape (S&amp;P)'!R346,
    IF(purpose="Purchase",1.00,
        IF(purpose="Remortgage",1.00,
            1.20)))</f>
        <v/>
      </c>
      <c r="L346">
        <f>LET(
    arrears_months,'Loan Tape (S&amp;P)'!AN346,
    IF(arrears_months=0,1.00,
    IF(arrears_months=1,3.00,
    IF(arrears_months=2,5.00,
    IF(arrears_months=3,8.00,
    IF(arrears_months=4,10.00,
    IF(arrears_months=5,12.00,15.00)))))))</f>
        <v/>
      </c>
      <c r="M346">
        <f>LET(
    seasoning_years,DATEDIF('Loan Tape (S&amp;P)'!K346,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6">
        <f>IF(AND('Loan Tape (S&amp;P)'!U346="Yes",
        'Loan Tape (S&amp;P)'!T346&lt;&gt;"Yes",
        DATEDIF('Loan Tape (S&amp;P)'!K346, TODAY(), "M")&lt;18),
    1.10,
    1.00)</f>
        <v/>
      </c>
      <c r="O346">
        <f>IF('Loan Tape (S&amp;P)'!T346="Yes",
    1.35,
    1.00)</f>
        <v/>
      </c>
      <c r="P346">
        <f>IF('Loan Tape (S&amp;P)'!S346="Yes",
    1.15,
    1.00)</f>
        <v/>
      </c>
      <c r="Q346">
        <f>IF('Loan Tape (S&amp;P)'!V346="Yes",
    1.20,
    1.00)</f>
        <v/>
      </c>
      <c r="T346">
        <f>LET(
    payment_method,'Loan Tape (S&amp;P)'!P346,
    occupancy,'Loan Tape (S&amp;P)'!N346,
    maturity_date,'Loan Tape (S&amp;P)'!L346,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7">
      <c r="J347">
        <f>LET(
    lien,'Loan Tape (S&amp;P)'!Q347,
    IF(lien="First",1.00,
        IF(lien="Second",1.50,
            1.70)))</f>
        <v/>
      </c>
      <c r="K347">
        <f>LET(
    purpose,'Loan Tape (S&amp;P)'!R347,
    IF(purpose="Purchase",1.00,
        IF(purpose="Remortgage",1.00,
            1.20)))</f>
        <v/>
      </c>
      <c r="L347">
        <f>LET(
    arrears_months,'Loan Tape (S&amp;P)'!AN347,
    IF(arrears_months=0,1.00,
    IF(arrears_months=1,3.00,
    IF(arrears_months=2,5.00,
    IF(arrears_months=3,8.00,
    IF(arrears_months=4,10.00,
    IF(arrears_months=5,12.00,15.00)))))))</f>
        <v/>
      </c>
      <c r="M347">
        <f>LET(
    seasoning_years,DATEDIF('Loan Tape (S&amp;P)'!K347,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7">
        <f>IF(AND('Loan Tape (S&amp;P)'!U347="Yes",
        'Loan Tape (S&amp;P)'!T347&lt;&gt;"Yes",
        DATEDIF('Loan Tape (S&amp;P)'!K347, TODAY(), "M")&lt;18),
    1.10,
    1.00)</f>
        <v/>
      </c>
      <c r="O347">
        <f>IF('Loan Tape (S&amp;P)'!T347="Yes",
    1.35,
    1.00)</f>
        <v/>
      </c>
      <c r="P347">
        <f>IF('Loan Tape (S&amp;P)'!S347="Yes",
    1.15,
    1.00)</f>
        <v/>
      </c>
      <c r="Q347">
        <f>IF('Loan Tape (S&amp;P)'!V347="Yes",
    1.20,
    1.00)</f>
        <v/>
      </c>
      <c r="T347">
        <f>LET(
    payment_method,'Loan Tape (S&amp;P)'!P347,
    occupancy,'Loan Tape (S&amp;P)'!N347,
    maturity_date,'Loan Tape (S&amp;P)'!L347,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8">
      <c r="J348">
        <f>LET(
    lien,'Loan Tape (S&amp;P)'!Q348,
    IF(lien="First",1.00,
        IF(lien="Second",1.50,
            1.70)))</f>
        <v/>
      </c>
      <c r="K348">
        <f>LET(
    purpose,'Loan Tape (S&amp;P)'!R348,
    IF(purpose="Purchase",1.00,
        IF(purpose="Remortgage",1.00,
            1.20)))</f>
        <v/>
      </c>
      <c r="L348">
        <f>LET(
    arrears_months,'Loan Tape (S&amp;P)'!AN348,
    IF(arrears_months=0,1.00,
    IF(arrears_months=1,3.00,
    IF(arrears_months=2,5.00,
    IF(arrears_months=3,8.00,
    IF(arrears_months=4,10.00,
    IF(arrears_months=5,12.00,15.00)))))))</f>
        <v/>
      </c>
      <c r="M348">
        <f>LET(
    seasoning_years,DATEDIF('Loan Tape (S&amp;P)'!K348,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8">
        <f>IF(AND('Loan Tape (S&amp;P)'!U348="Yes",
        'Loan Tape (S&amp;P)'!T348&lt;&gt;"Yes",
        DATEDIF('Loan Tape (S&amp;P)'!K348, TODAY(), "M")&lt;18),
    1.10,
    1.00)</f>
        <v/>
      </c>
      <c r="O348">
        <f>IF('Loan Tape (S&amp;P)'!T348="Yes",
    1.35,
    1.00)</f>
        <v/>
      </c>
      <c r="P348">
        <f>IF('Loan Tape (S&amp;P)'!S348="Yes",
    1.15,
    1.00)</f>
        <v/>
      </c>
      <c r="Q348">
        <f>IF('Loan Tape (S&amp;P)'!V348="Yes",
    1.20,
    1.00)</f>
        <v/>
      </c>
      <c r="T348">
        <f>LET(
    payment_method,'Loan Tape (S&amp;P)'!P348,
    occupancy,'Loan Tape (S&amp;P)'!N348,
    maturity_date,'Loan Tape (S&amp;P)'!L348,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9">
      <c r="J349">
        <f>LET(
    lien,'Loan Tape (S&amp;P)'!Q349,
    IF(lien="First",1.00,
        IF(lien="Second",1.50,
            1.70)))</f>
        <v/>
      </c>
      <c r="K349">
        <f>LET(
    purpose,'Loan Tape (S&amp;P)'!R349,
    IF(purpose="Purchase",1.00,
        IF(purpose="Remortgage",1.00,
            1.20)))</f>
        <v/>
      </c>
      <c r="L349">
        <f>LET(
    arrears_months,'Loan Tape (S&amp;P)'!AN349,
    IF(arrears_months=0,1.00,
    IF(arrears_months=1,3.00,
    IF(arrears_months=2,5.00,
    IF(arrears_months=3,8.00,
    IF(arrears_months=4,10.00,
    IF(arrears_months=5,12.00,15.00)))))))</f>
        <v/>
      </c>
      <c r="M349">
        <f>LET(
    seasoning_years,DATEDIF('Loan Tape (S&amp;P)'!K349,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9">
        <f>IF(AND('Loan Tape (S&amp;P)'!U349="Yes",
        'Loan Tape (S&amp;P)'!T349&lt;&gt;"Yes",
        DATEDIF('Loan Tape (S&amp;P)'!K349, TODAY(), "M")&lt;18),
    1.10,
    1.00)</f>
        <v/>
      </c>
      <c r="O349">
        <f>IF('Loan Tape (S&amp;P)'!T349="Yes",
    1.35,
    1.00)</f>
        <v/>
      </c>
      <c r="P349">
        <f>IF('Loan Tape (S&amp;P)'!S349="Yes",
    1.15,
    1.00)</f>
        <v/>
      </c>
      <c r="Q349">
        <f>IF('Loan Tape (S&amp;P)'!V349="Yes",
    1.20,
    1.00)</f>
        <v/>
      </c>
      <c r="T349">
        <f>LET(
    payment_method,'Loan Tape (S&amp;P)'!P349,
    occupancy,'Loan Tape (S&amp;P)'!N349,
    maturity_date,'Loan Tape (S&amp;P)'!L349,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0">
      <c r="J350">
        <f>LET(
    lien,'Loan Tape (S&amp;P)'!Q350,
    IF(lien="First",1.00,
        IF(lien="Second",1.50,
            1.70)))</f>
        <v/>
      </c>
      <c r="K350">
        <f>LET(
    purpose,'Loan Tape (S&amp;P)'!R350,
    IF(purpose="Purchase",1.00,
        IF(purpose="Remortgage",1.00,
            1.20)))</f>
        <v/>
      </c>
      <c r="L350">
        <f>LET(
    arrears_months,'Loan Tape (S&amp;P)'!AN350,
    IF(arrears_months=0,1.00,
    IF(arrears_months=1,3.00,
    IF(arrears_months=2,5.00,
    IF(arrears_months=3,8.00,
    IF(arrears_months=4,10.00,
    IF(arrears_months=5,12.00,15.00)))))))</f>
        <v/>
      </c>
      <c r="M350">
        <f>LET(
    seasoning_years,DATEDIF('Loan Tape (S&amp;P)'!K350,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0">
        <f>IF(AND('Loan Tape (S&amp;P)'!U350="Yes",
        'Loan Tape (S&amp;P)'!T350&lt;&gt;"Yes",
        DATEDIF('Loan Tape (S&amp;P)'!K350, TODAY(), "M")&lt;18),
    1.10,
    1.00)</f>
        <v/>
      </c>
      <c r="O350">
        <f>IF('Loan Tape (S&amp;P)'!T350="Yes",
    1.35,
    1.00)</f>
        <v/>
      </c>
      <c r="P350">
        <f>IF('Loan Tape (S&amp;P)'!S350="Yes",
    1.15,
    1.00)</f>
        <v/>
      </c>
      <c r="Q350">
        <f>IF('Loan Tape (S&amp;P)'!V350="Yes",
    1.20,
    1.00)</f>
        <v/>
      </c>
      <c r="T350">
        <f>LET(
    payment_method,'Loan Tape (S&amp;P)'!P350,
    occupancy,'Loan Tape (S&amp;P)'!N350,
    maturity_date,'Loan Tape (S&amp;P)'!L350,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1">
      <c r="J351">
        <f>LET(
    lien,'Loan Tape (S&amp;P)'!Q351,
    IF(lien="First",1.00,
        IF(lien="Second",1.50,
            1.70)))</f>
        <v/>
      </c>
      <c r="K351">
        <f>LET(
    purpose,'Loan Tape (S&amp;P)'!R351,
    IF(purpose="Purchase",1.00,
        IF(purpose="Remortgage",1.00,
            1.20)))</f>
        <v/>
      </c>
      <c r="L351">
        <f>LET(
    arrears_months,'Loan Tape (S&amp;P)'!AN351,
    IF(arrears_months=0,1.00,
    IF(arrears_months=1,3.00,
    IF(arrears_months=2,5.00,
    IF(arrears_months=3,8.00,
    IF(arrears_months=4,10.00,
    IF(arrears_months=5,12.00,15.00)))))))</f>
        <v/>
      </c>
      <c r="M351">
        <f>LET(
    seasoning_years,DATEDIF('Loan Tape (S&amp;P)'!K351,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1">
        <f>IF(AND('Loan Tape (S&amp;P)'!U351="Yes",
        'Loan Tape (S&amp;P)'!T351&lt;&gt;"Yes",
        DATEDIF('Loan Tape (S&amp;P)'!K351, TODAY(), "M")&lt;18),
    1.10,
    1.00)</f>
        <v/>
      </c>
      <c r="O351">
        <f>IF('Loan Tape (S&amp;P)'!T351="Yes",
    1.35,
    1.00)</f>
        <v/>
      </c>
      <c r="P351">
        <f>IF('Loan Tape (S&amp;P)'!S351="Yes",
    1.15,
    1.00)</f>
        <v/>
      </c>
      <c r="Q351">
        <f>IF('Loan Tape (S&amp;P)'!V351="Yes",
    1.20,
    1.00)</f>
        <v/>
      </c>
      <c r="T351">
        <f>LET(
    payment_method,'Loan Tape (S&amp;P)'!P351,
    occupancy,'Loan Tape (S&amp;P)'!N351,
    maturity_date,'Loan Tape (S&amp;P)'!L351,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2">
      <c r="J352">
        <f>LET(
    lien,'Loan Tape (S&amp;P)'!Q352,
    IF(lien="First",1.00,
        IF(lien="Second",1.50,
            1.70)))</f>
        <v/>
      </c>
      <c r="K352">
        <f>LET(
    purpose,'Loan Tape (S&amp;P)'!R352,
    IF(purpose="Purchase",1.00,
        IF(purpose="Remortgage",1.00,
            1.20)))</f>
        <v/>
      </c>
      <c r="L352">
        <f>LET(
    arrears_months,'Loan Tape (S&amp;P)'!AN352,
    IF(arrears_months=0,1.00,
    IF(arrears_months=1,3.00,
    IF(arrears_months=2,5.00,
    IF(arrears_months=3,8.00,
    IF(arrears_months=4,10.00,
    IF(arrears_months=5,12.00,15.00)))))))</f>
        <v/>
      </c>
      <c r="M352">
        <f>LET(
    seasoning_years,DATEDIF('Loan Tape (S&amp;P)'!K352,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2">
        <f>IF(AND('Loan Tape (S&amp;P)'!U352="Yes",
        'Loan Tape (S&amp;P)'!T352&lt;&gt;"Yes",
        DATEDIF('Loan Tape (S&amp;P)'!K352, TODAY(), "M")&lt;18),
    1.10,
    1.00)</f>
        <v/>
      </c>
      <c r="O352">
        <f>IF('Loan Tape (S&amp;P)'!T352="Yes",
    1.35,
    1.00)</f>
        <v/>
      </c>
      <c r="P352">
        <f>IF('Loan Tape (S&amp;P)'!S352="Yes",
    1.15,
    1.00)</f>
        <v/>
      </c>
      <c r="Q352">
        <f>IF('Loan Tape (S&amp;P)'!V352="Yes",
    1.20,
    1.00)</f>
        <v/>
      </c>
      <c r="T352">
        <f>LET(
    payment_method,'Loan Tape (S&amp;P)'!P352,
    occupancy,'Loan Tape (S&amp;P)'!N352,
    maturity_date,'Loan Tape (S&amp;P)'!L352,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3">
      <c r="J353">
        <f>LET(
    lien,'Loan Tape (S&amp;P)'!Q353,
    IF(lien="First",1.00,
        IF(lien="Second",1.50,
            1.70)))</f>
        <v/>
      </c>
      <c r="K353">
        <f>LET(
    purpose,'Loan Tape (S&amp;P)'!R353,
    IF(purpose="Purchase",1.00,
        IF(purpose="Remortgage",1.00,
            1.20)))</f>
        <v/>
      </c>
      <c r="L353">
        <f>LET(
    arrears_months,'Loan Tape (S&amp;P)'!AN353,
    IF(arrears_months=0,1.00,
    IF(arrears_months=1,3.00,
    IF(arrears_months=2,5.00,
    IF(arrears_months=3,8.00,
    IF(arrears_months=4,10.00,
    IF(arrears_months=5,12.00,15.00)))))))</f>
        <v/>
      </c>
      <c r="M353">
        <f>LET(
    seasoning_years,DATEDIF('Loan Tape (S&amp;P)'!K353,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3">
        <f>IF(AND('Loan Tape (S&amp;P)'!U353="Yes",
        'Loan Tape (S&amp;P)'!T353&lt;&gt;"Yes",
        DATEDIF('Loan Tape (S&amp;P)'!K353, TODAY(), "M")&lt;18),
    1.10,
    1.00)</f>
        <v/>
      </c>
      <c r="O353">
        <f>IF('Loan Tape (S&amp;P)'!T353="Yes",
    1.35,
    1.00)</f>
        <v/>
      </c>
      <c r="P353">
        <f>IF('Loan Tape (S&amp;P)'!S353="Yes",
    1.15,
    1.00)</f>
        <v/>
      </c>
      <c r="Q353">
        <f>IF('Loan Tape (S&amp;P)'!V353="Yes",
    1.20,
    1.00)</f>
        <v/>
      </c>
      <c r="T353">
        <f>LET(
    payment_method,'Loan Tape (S&amp;P)'!P353,
    occupancy,'Loan Tape (S&amp;P)'!N353,
    maturity_date,'Loan Tape (S&amp;P)'!L353,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4">
      <c r="J354">
        <f>LET(
    lien,'Loan Tape (S&amp;P)'!Q354,
    IF(lien="First",1.00,
        IF(lien="Second",1.50,
            1.70)))</f>
        <v/>
      </c>
      <c r="K354">
        <f>LET(
    purpose,'Loan Tape (S&amp;P)'!R354,
    IF(purpose="Purchase",1.00,
        IF(purpose="Remortgage",1.00,
            1.20)))</f>
        <v/>
      </c>
      <c r="L354">
        <f>LET(
    arrears_months,'Loan Tape (S&amp;P)'!AN354,
    IF(arrears_months=0,1.00,
    IF(arrears_months=1,3.00,
    IF(arrears_months=2,5.00,
    IF(arrears_months=3,8.00,
    IF(arrears_months=4,10.00,
    IF(arrears_months=5,12.00,15.00)))))))</f>
        <v/>
      </c>
      <c r="M354">
        <f>LET(
    seasoning_years,DATEDIF('Loan Tape (S&amp;P)'!K354,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4">
        <f>IF(AND('Loan Tape (S&amp;P)'!U354="Yes",
        'Loan Tape (S&amp;P)'!T354&lt;&gt;"Yes",
        DATEDIF('Loan Tape (S&amp;P)'!K354, TODAY(), "M")&lt;18),
    1.10,
    1.00)</f>
        <v/>
      </c>
      <c r="O354">
        <f>IF('Loan Tape (S&amp;P)'!T354="Yes",
    1.35,
    1.00)</f>
        <v/>
      </c>
      <c r="P354">
        <f>IF('Loan Tape (S&amp;P)'!S354="Yes",
    1.15,
    1.00)</f>
        <v/>
      </c>
      <c r="Q354">
        <f>IF('Loan Tape (S&amp;P)'!V354="Yes",
    1.20,
    1.00)</f>
        <v/>
      </c>
      <c r="T354">
        <f>LET(
    payment_method,'Loan Tape (S&amp;P)'!P354,
    occupancy,'Loan Tape (S&amp;P)'!N354,
    maturity_date,'Loan Tape (S&amp;P)'!L354,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5">
      <c r="J355">
        <f>LET(
    lien,'Loan Tape (S&amp;P)'!Q355,
    IF(lien="First",1.00,
        IF(lien="Second",1.50,
            1.70)))</f>
        <v/>
      </c>
      <c r="K355">
        <f>LET(
    purpose,'Loan Tape (S&amp;P)'!R355,
    IF(purpose="Purchase",1.00,
        IF(purpose="Remortgage",1.00,
            1.20)))</f>
        <v/>
      </c>
      <c r="L355">
        <f>LET(
    arrears_months,'Loan Tape (S&amp;P)'!AN355,
    IF(arrears_months=0,1.00,
    IF(arrears_months=1,3.00,
    IF(arrears_months=2,5.00,
    IF(arrears_months=3,8.00,
    IF(arrears_months=4,10.00,
    IF(arrears_months=5,12.00,15.00)))))))</f>
        <v/>
      </c>
      <c r="M355">
        <f>LET(
    seasoning_years,DATEDIF('Loan Tape (S&amp;P)'!K355,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5">
        <f>IF(AND('Loan Tape (S&amp;P)'!U355="Yes",
        'Loan Tape (S&amp;P)'!T355&lt;&gt;"Yes",
        DATEDIF('Loan Tape (S&amp;P)'!K355, TODAY(), "M")&lt;18),
    1.10,
    1.00)</f>
        <v/>
      </c>
      <c r="O355">
        <f>IF('Loan Tape (S&amp;P)'!T355="Yes",
    1.35,
    1.00)</f>
        <v/>
      </c>
      <c r="P355">
        <f>IF('Loan Tape (S&amp;P)'!S355="Yes",
    1.15,
    1.00)</f>
        <v/>
      </c>
      <c r="Q355">
        <f>IF('Loan Tape (S&amp;P)'!V355="Yes",
    1.20,
    1.00)</f>
        <v/>
      </c>
      <c r="T355">
        <f>LET(
    payment_method,'Loan Tape (S&amp;P)'!P355,
    occupancy,'Loan Tape (S&amp;P)'!N355,
    maturity_date,'Loan Tape (S&amp;P)'!L355,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6">
      <c r="J356">
        <f>LET(
    lien,'Loan Tape (S&amp;P)'!Q356,
    IF(lien="First",1.00,
        IF(lien="Second",1.50,
            1.70)))</f>
        <v/>
      </c>
      <c r="K356">
        <f>LET(
    purpose,'Loan Tape (S&amp;P)'!R356,
    IF(purpose="Purchase",1.00,
        IF(purpose="Remortgage",1.00,
            1.20)))</f>
        <v/>
      </c>
      <c r="L356">
        <f>LET(
    arrears_months,'Loan Tape (S&amp;P)'!AN356,
    IF(arrears_months=0,1.00,
    IF(arrears_months=1,3.00,
    IF(arrears_months=2,5.00,
    IF(arrears_months=3,8.00,
    IF(arrears_months=4,10.00,
    IF(arrears_months=5,12.00,15.00)))))))</f>
        <v/>
      </c>
      <c r="M356">
        <f>LET(
    seasoning_years,DATEDIF('Loan Tape (S&amp;P)'!K356,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6">
        <f>IF(AND('Loan Tape (S&amp;P)'!U356="Yes",
        'Loan Tape (S&amp;P)'!T356&lt;&gt;"Yes",
        DATEDIF('Loan Tape (S&amp;P)'!K356, TODAY(), "M")&lt;18),
    1.10,
    1.00)</f>
        <v/>
      </c>
      <c r="O356">
        <f>IF('Loan Tape (S&amp;P)'!T356="Yes",
    1.35,
    1.00)</f>
        <v/>
      </c>
      <c r="P356">
        <f>IF('Loan Tape (S&amp;P)'!S356="Yes",
    1.15,
    1.00)</f>
        <v/>
      </c>
      <c r="Q356">
        <f>IF('Loan Tape (S&amp;P)'!V356="Yes",
    1.20,
    1.00)</f>
        <v/>
      </c>
      <c r="T356">
        <f>LET(
    payment_method,'Loan Tape (S&amp;P)'!P356,
    occupancy,'Loan Tape (S&amp;P)'!N356,
    maturity_date,'Loan Tape (S&amp;P)'!L356,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7">
      <c r="J357">
        <f>LET(
    lien,'Loan Tape (S&amp;P)'!Q357,
    IF(lien="First",1.00,
        IF(lien="Second",1.50,
            1.70)))</f>
        <v/>
      </c>
      <c r="K357">
        <f>LET(
    purpose,'Loan Tape (S&amp;P)'!R357,
    IF(purpose="Purchase",1.00,
        IF(purpose="Remortgage",1.00,
            1.20)))</f>
        <v/>
      </c>
      <c r="L357">
        <f>LET(
    arrears_months,'Loan Tape (S&amp;P)'!AN357,
    IF(arrears_months=0,1.00,
    IF(arrears_months=1,3.00,
    IF(arrears_months=2,5.00,
    IF(arrears_months=3,8.00,
    IF(arrears_months=4,10.00,
    IF(arrears_months=5,12.00,15.00)))))))</f>
        <v/>
      </c>
      <c r="M357">
        <f>LET(
    seasoning_years,DATEDIF('Loan Tape (S&amp;P)'!K357,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7">
        <f>IF(AND('Loan Tape (S&amp;P)'!U357="Yes",
        'Loan Tape (S&amp;P)'!T357&lt;&gt;"Yes",
        DATEDIF('Loan Tape (S&amp;P)'!K357, TODAY(), "M")&lt;18),
    1.10,
    1.00)</f>
        <v/>
      </c>
      <c r="O357">
        <f>IF('Loan Tape (S&amp;P)'!T357="Yes",
    1.35,
    1.00)</f>
        <v/>
      </c>
      <c r="P357">
        <f>IF('Loan Tape (S&amp;P)'!S357="Yes",
    1.15,
    1.00)</f>
        <v/>
      </c>
      <c r="Q357">
        <f>IF('Loan Tape (S&amp;P)'!V357="Yes",
    1.20,
    1.00)</f>
        <v/>
      </c>
      <c r="T357">
        <f>LET(
    payment_method,'Loan Tape (S&amp;P)'!P357,
    occupancy,'Loan Tape (S&amp;P)'!N357,
    maturity_date,'Loan Tape (S&amp;P)'!L357,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8">
      <c r="J358">
        <f>LET(
    lien,'Loan Tape (S&amp;P)'!Q358,
    IF(lien="First",1.00,
        IF(lien="Second",1.50,
            1.70)))</f>
        <v/>
      </c>
      <c r="K358">
        <f>LET(
    purpose,'Loan Tape (S&amp;P)'!R358,
    IF(purpose="Purchase",1.00,
        IF(purpose="Remortgage",1.00,
            1.20)))</f>
        <v/>
      </c>
      <c r="L358">
        <f>LET(
    arrears_months,'Loan Tape (S&amp;P)'!AN358,
    IF(arrears_months=0,1.00,
    IF(arrears_months=1,3.00,
    IF(arrears_months=2,5.00,
    IF(arrears_months=3,8.00,
    IF(arrears_months=4,10.00,
    IF(arrears_months=5,12.00,15.00)))))))</f>
        <v/>
      </c>
      <c r="M358">
        <f>LET(
    seasoning_years,DATEDIF('Loan Tape (S&amp;P)'!K358,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8">
        <f>IF(AND('Loan Tape (S&amp;P)'!U358="Yes",
        'Loan Tape (S&amp;P)'!T358&lt;&gt;"Yes",
        DATEDIF('Loan Tape (S&amp;P)'!K358, TODAY(), "M")&lt;18),
    1.10,
    1.00)</f>
        <v/>
      </c>
      <c r="O358">
        <f>IF('Loan Tape (S&amp;P)'!T358="Yes",
    1.35,
    1.00)</f>
        <v/>
      </c>
      <c r="P358">
        <f>IF('Loan Tape (S&amp;P)'!S358="Yes",
    1.15,
    1.00)</f>
        <v/>
      </c>
      <c r="Q358">
        <f>IF('Loan Tape (S&amp;P)'!V358="Yes",
    1.20,
    1.00)</f>
        <v/>
      </c>
      <c r="T358">
        <f>LET(
    payment_method,'Loan Tape (S&amp;P)'!P358,
    occupancy,'Loan Tape (S&amp;P)'!N358,
    maturity_date,'Loan Tape (S&amp;P)'!L358,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9">
      <c r="J359">
        <f>LET(
    lien,'Loan Tape (S&amp;P)'!Q359,
    IF(lien="First",1.00,
        IF(lien="Second",1.50,
            1.70)))</f>
        <v/>
      </c>
      <c r="K359">
        <f>LET(
    purpose,'Loan Tape (S&amp;P)'!R359,
    IF(purpose="Purchase",1.00,
        IF(purpose="Remortgage",1.00,
            1.20)))</f>
        <v/>
      </c>
      <c r="L359">
        <f>LET(
    arrears_months,'Loan Tape (S&amp;P)'!AN359,
    IF(arrears_months=0,1.00,
    IF(arrears_months=1,3.00,
    IF(arrears_months=2,5.00,
    IF(arrears_months=3,8.00,
    IF(arrears_months=4,10.00,
    IF(arrears_months=5,12.00,15.00)))))))</f>
        <v/>
      </c>
      <c r="M359">
        <f>LET(
    seasoning_years,DATEDIF('Loan Tape (S&amp;P)'!K359,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9">
        <f>IF(AND('Loan Tape (S&amp;P)'!U359="Yes",
        'Loan Tape (S&amp;P)'!T359&lt;&gt;"Yes",
        DATEDIF('Loan Tape (S&amp;P)'!K359, TODAY(), "M")&lt;18),
    1.10,
    1.00)</f>
        <v/>
      </c>
      <c r="O359">
        <f>IF('Loan Tape (S&amp;P)'!T359="Yes",
    1.35,
    1.00)</f>
        <v/>
      </c>
      <c r="P359">
        <f>IF('Loan Tape (S&amp;P)'!S359="Yes",
    1.15,
    1.00)</f>
        <v/>
      </c>
      <c r="Q359">
        <f>IF('Loan Tape (S&amp;P)'!V359="Yes",
    1.20,
    1.00)</f>
        <v/>
      </c>
      <c r="T359">
        <f>LET(
    payment_method,'Loan Tape (S&amp;P)'!P359,
    occupancy,'Loan Tape (S&amp;P)'!N359,
    maturity_date,'Loan Tape (S&amp;P)'!L359,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0">
      <c r="J360">
        <f>LET(
    lien,'Loan Tape (S&amp;P)'!Q360,
    IF(lien="First",1.00,
        IF(lien="Second",1.50,
            1.70)))</f>
        <v/>
      </c>
      <c r="K360">
        <f>LET(
    purpose,'Loan Tape (S&amp;P)'!R360,
    IF(purpose="Purchase",1.00,
        IF(purpose="Remortgage",1.00,
            1.20)))</f>
        <v/>
      </c>
      <c r="L360">
        <f>LET(
    arrears_months,'Loan Tape (S&amp;P)'!AN360,
    IF(arrears_months=0,1.00,
    IF(arrears_months=1,3.00,
    IF(arrears_months=2,5.00,
    IF(arrears_months=3,8.00,
    IF(arrears_months=4,10.00,
    IF(arrears_months=5,12.00,15.00)))))))</f>
        <v/>
      </c>
      <c r="M360">
        <f>LET(
    seasoning_years,DATEDIF('Loan Tape (S&amp;P)'!K360,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0">
        <f>IF(AND('Loan Tape (S&amp;P)'!U360="Yes",
        'Loan Tape (S&amp;P)'!T360&lt;&gt;"Yes",
        DATEDIF('Loan Tape (S&amp;P)'!K360, TODAY(), "M")&lt;18),
    1.10,
    1.00)</f>
        <v/>
      </c>
      <c r="O360">
        <f>IF('Loan Tape (S&amp;P)'!T360="Yes",
    1.35,
    1.00)</f>
        <v/>
      </c>
      <c r="P360">
        <f>IF('Loan Tape (S&amp;P)'!S360="Yes",
    1.15,
    1.00)</f>
        <v/>
      </c>
      <c r="Q360">
        <f>IF('Loan Tape (S&amp;P)'!V360="Yes",
    1.20,
    1.00)</f>
        <v/>
      </c>
      <c r="T360">
        <f>LET(
    payment_method,'Loan Tape (S&amp;P)'!P360,
    occupancy,'Loan Tape (S&amp;P)'!N360,
    maturity_date,'Loan Tape (S&amp;P)'!L360,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1">
      <c r="J361">
        <f>LET(
    lien,'Loan Tape (S&amp;P)'!Q361,
    IF(lien="First",1.00,
        IF(lien="Second",1.50,
            1.70)))</f>
        <v/>
      </c>
      <c r="K361">
        <f>LET(
    purpose,'Loan Tape (S&amp;P)'!R361,
    IF(purpose="Purchase",1.00,
        IF(purpose="Remortgage",1.00,
            1.20)))</f>
        <v/>
      </c>
      <c r="L361">
        <f>LET(
    arrears_months,'Loan Tape (S&amp;P)'!AN361,
    IF(arrears_months=0,1.00,
    IF(arrears_months=1,3.00,
    IF(arrears_months=2,5.00,
    IF(arrears_months=3,8.00,
    IF(arrears_months=4,10.00,
    IF(arrears_months=5,12.00,15.00)))))))</f>
        <v/>
      </c>
      <c r="M361">
        <f>LET(
    seasoning_years,DATEDIF('Loan Tape (S&amp;P)'!K361,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1">
        <f>IF(AND('Loan Tape (S&amp;P)'!U361="Yes",
        'Loan Tape (S&amp;P)'!T361&lt;&gt;"Yes",
        DATEDIF('Loan Tape (S&amp;P)'!K361, TODAY(), "M")&lt;18),
    1.10,
    1.00)</f>
        <v/>
      </c>
      <c r="O361">
        <f>IF('Loan Tape (S&amp;P)'!T361="Yes",
    1.35,
    1.00)</f>
        <v/>
      </c>
      <c r="P361">
        <f>IF('Loan Tape (S&amp;P)'!S361="Yes",
    1.15,
    1.00)</f>
        <v/>
      </c>
      <c r="Q361">
        <f>IF('Loan Tape (S&amp;P)'!V361="Yes",
    1.20,
    1.00)</f>
        <v/>
      </c>
      <c r="T361">
        <f>LET(
    payment_method,'Loan Tape (S&amp;P)'!P361,
    occupancy,'Loan Tape (S&amp;P)'!N361,
    maturity_date,'Loan Tape (S&amp;P)'!L361,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2">
      <c r="J362">
        <f>LET(
    lien,'Loan Tape (S&amp;P)'!Q362,
    IF(lien="First",1.00,
        IF(lien="Second",1.50,
            1.70)))</f>
        <v/>
      </c>
      <c r="K362">
        <f>LET(
    purpose,'Loan Tape (S&amp;P)'!R362,
    IF(purpose="Purchase",1.00,
        IF(purpose="Remortgage",1.00,
            1.20)))</f>
        <v/>
      </c>
      <c r="L362">
        <f>LET(
    arrears_months,'Loan Tape (S&amp;P)'!AN362,
    IF(arrears_months=0,1.00,
    IF(arrears_months=1,3.00,
    IF(arrears_months=2,5.00,
    IF(arrears_months=3,8.00,
    IF(arrears_months=4,10.00,
    IF(arrears_months=5,12.00,15.00)))))))</f>
        <v/>
      </c>
      <c r="M362">
        <f>LET(
    seasoning_years,DATEDIF('Loan Tape (S&amp;P)'!K362,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2">
        <f>IF(AND('Loan Tape (S&amp;P)'!U362="Yes",
        'Loan Tape (S&amp;P)'!T362&lt;&gt;"Yes",
        DATEDIF('Loan Tape (S&amp;P)'!K362, TODAY(), "M")&lt;18),
    1.10,
    1.00)</f>
        <v/>
      </c>
      <c r="O362">
        <f>IF('Loan Tape (S&amp;P)'!T362="Yes",
    1.35,
    1.00)</f>
        <v/>
      </c>
      <c r="P362">
        <f>IF('Loan Tape (S&amp;P)'!S362="Yes",
    1.15,
    1.00)</f>
        <v/>
      </c>
      <c r="Q362">
        <f>IF('Loan Tape (S&amp;P)'!V362="Yes",
    1.20,
    1.00)</f>
        <v/>
      </c>
      <c r="T362">
        <f>LET(
    payment_method,'Loan Tape (S&amp;P)'!P362,
    occupancy,'Loan Tape (S&amp;P)'!N362,
    maturity_date,'Loan Tape (S&amp;P)'!L362,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3">
      <c r="J363">
        <f>LET(
    lien,'Loan Tape (S&amp;P)'!Q363,
    IF(lien="First",1.00,
        IF(lien="Second",1.50,
            1.70)))</f>
        <v/>
      </c>
      <c r="K363">
        <f>LET(
    purpose,'Loan Tape (S&amp;P)'!R363,
    IF(purpose="Purchase",1.00,
        IF(purpose="Remortgage",1.00,
            1.20)))</f>
        <v/>
      </c>
      <c r="L363">
        <f>LET(
    arrears_months,'Loan Tape (S&amp;P)'!AN363,
    IF(arrears_months=0,1.00,
    IF(arrears_months=1,3.00,
    IF(arrears_months=2,5.00,
    IF(arrears_months=3,8.00,
    IF(arrears_months=4,10.00,
    IF(arrears_months=5,12.00,15.00)))))))</f>
        <v/>
      </c>
      <c r="M363">
        <f>LET(
    seasoning_years,DATEDIF('Loan Tape (S&amp;P)'!K363,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3">
        <f>IF(AND('Loan Tape (S&amp;P)'!U363="Yes",
        'Loan Tape (S&amp;P)'!T363&lt;&gt;"Yes",
        DATEDIF('Loan Tape (S&amp;P)'!K363, TODAY(), "M")&lt;18),
    1.10,
    1.00)</f>
        <v/>
      </c>
      <c r="O363">
        <f>IF('Loan Tape (S&amp;P)'!T363="Yes",
    1.35,
    1.00)</f>
        <v/>
      </c>
      <c r="P363">
        <f>IF('Loan Tape (S&amp;P)'!S363="Yes",
    1.15,
    1.00)</f>
        <v/>
      </c>
      <c r="Q363">
        <f>IF('Loan Tape (S&amp;P)'!V363="Yes",
    1.20,
    1.00)</f>
        <v/>
      </c>
      <c r="T363">
        <f>LET(
    payment_method,'Loan Tape (S&amp;P)'!P363,
    occupancy,'Loan Tape (S&amp;P)'!N363,
    maturity_date,'Loan Tape (S&amp;P)'!L363,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4">
      <c r="J364">
        <f>LET(
    lien,'Loan Tape (S&amp;P)'!Q364,
    IF(lien="First",1.00,
        IF(lien="Second",1.50,
            1.70)))</f>
        <v/>
      </c>
      <c r="K364">
        <f>LET(
    purpose,'Loan Tape (S&amp;P)'!R364,
    IF(purpose="Purchase",1.00,
        IF(purpose="Remortgage",1.00,
            1.20)))</f>
        <v/>
      </c>
      <c r="L364">
        <f>LET(
    arrears_months,'Loan Tape (S&amp;P)'!AN364,
    IF(arrears_months=0,1.00,
    IF(arrears_months=1,3.00,
    IF(arrears_months=2,5.00,
    IF(arrears_months=3,8.00,
    IF(arrears_months=4,10.00,
    IF(arrears_months=5,12.00,15.00)))))))</f>
        <v/>
      </c>
      <c r="M364">
        <f>LET(
    seasoning_years,DATEDIF('Loan Tape (S&amp;P)'!K364,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4">
        <f>IF(AND('Loan Tape (S&amp;P)'!U364="Yes",
        'Loan Tape (S&amp;P)'!T364&lt;&gt;"Yes",
        DATEDIF('Loan Tape (S&amp;P)'!K364, TODAY(), "M")&lt;18),
    1.10,
    1.00)</f>
        <v/>
      </c>
      <c r="O364">
        <f>IF('Loan Tape (S&amp;P)'!T364="Yes",
    1.35,
    1.00)</f>
        <v/>
      </c>
      <c r="P364">
        <f>IF('Loan Tape (S&amp;P)'!S364="Yes",
    1.15,
    1.00)</f>
        <v/>
      </c>
      <c r="Q364">
        <f>IF('Loan Tape (S&amp;P)'!V364="Yes",
    1.20,
    1.00)</f>
        <v/>
      </c>
      <c r="T364">
        <f>LET(
    payment_method,'Loan Tape (S&amp;P)'!P364,
    occupancy,'Loan Tape (S&amp;P)'!N364,
    maturity_date,'Loan Tape (S&amp;P)'!L364,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5">
      <c r="J365">
        <f>LET(
    lien,'Loan Tape (S&amp;P)'!Q365,
    IF(lien="First",1.00,
        IF(lien="Second",1.50,
            1.70)))</f>
        <v/>
      </c>
      <c r="K365">
        <f>LET(
    purpose,'Loan Tape (S&amp;P)'!R365,
    IF(purpose="Purchase",1.00,
        IF(purpose="Remortgage",1.00,
            1.20)))</f>
        <v/>
      </c>
      <c r="L365">
        <f>LET(
    arrears_months,'Loan Tape (S&amp;P)'!AN365,
    IF(arrears_months=0,1.00,
    IF(arrears_months=1,3.00,
    IF(arrears_months=2,5.00,
    IF(arrears_months=3,8.00,
    IF(arrears_months=4,10.00,
    IF(arrears_months=5,12.00,15.00)))))))</f>
        <v/>
      </c>
      <c r="M365">
        <f>LET(
    seasoning_years,DATEDIF('Loan Tape (S&amp;P)'!K365,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5">
        <f>IF(AND('Loan Tape (S&amp;P)'!U365="Yes",
        'Loan Tape (S&amp;P)'!T365&lt;&gt;"Yes",
        DATEDIF('Loan Tape (S&amp;P)'!K365, TODAY(), "M")&lt;18),
    1.10,
    1.00)</f>
        <v/>
      </c>
      <c r="O365">
        <f>IF('Loan Tape (S&amp;P)'!T365="Yes",
    1.35,
    1.00)</f>
        <v/>
      </c>
      <c r="P365">
        <f>IF('Loan Tape (S&amp;P)'!S365="Yes",
    1.15,
    1.00)</f>
        <v/>
      </c>
      <c r="Q365">
        <f>IF('Loan Tape (S&amp;P)'!V365="Yes",
    1.20,
    1.00)</f>
        <v/>
      </c>
      <c r="T365">
        <f>LET(
    payment_method,'Loan Tape (S&amp;P)'!P365,
    occupancy,'Loan Tape (S&amp;P)'!N365,
    maturity_date,'Loan Tape (S&amp;P)'!L365,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6">
      <c r="J366">
        <f>LET(
    lien,'Loan Tape (S&amp;P)'!Q366,
    IF(lien="First",1.00,
        IF(lien="Second",1.50,
            1.70)))</f>
        <v/>
      </c>
      <c r="K366">
        <f>LET(
    purpose,'Loan Tape (S&amp;P)'!R366,
    IF(purpose="Purchase",1.00,
        IF(purpose="Remortgage",1.00,
            1.20)))</f>
        <v/>
      </c>
      <c r="L366">
        <f>LET(
    arrears_months,'Loan Tape (S&amp;P)'!AN366,
    IF(arrears_months=0,1.00,
    IF(arrears_months=1,3.00,
    IF(arrears_months=2,5.00,
    IF(arrears_months=3,8.00,
    IF(arrears_months=4,10.00,
    IF(arrears_months=5,12.00,15.00)))))))</f>
        <v/>
      </c>
      <c r="M366">
        <f>LET(
    seasoning_years,DATEDIF('Loan Tape (S&amp;P)'!K366,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6">
        <f>IF(AND('Loan Tape (S&amp;P)'!U366="Yes",
        'Loan Tape (S&amp;P)'!T366&lt;&gt;"Yes",
        DATEDIF('Loan Tape (S&amp;P)'!K366, TODAY(), "M")&lt;18),
    1.10,
    1.00)</f>
        <v/>
      </c>
      <c r="O366">
        <f>IF('Loan Tape (S&amp;P)'!T366="Yes",
    1.35,
    1.00)</f>
        <v/>
      </c>
      <c r="P366">
        <f>IF('Loan Tape (S&amp;P)'!S366="Yes",
    1.15,
    1.00)</f>
        <v/>
      </c>
      <c r="Q366">
        <f>IF('Loan Tape (S&amp;P)'!V366="Yes",
    1.20,
    1.00)</f>
        <v/>
      </c>
      <c r="T366">
        <f>LET(
    payment_method,'Loan Tape (S&amp;P)'!P366,
    occupancy,'Loan Tape (S&amp;P)'!N366,
    maturity_date,'Loan Tape (S&amp;P)'!L366,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7">
      <c r="J367">
        <f>LET(
    lien,'Loan Tape (S&amp;P)'!Q367,
    IF(lien="First",1.00,
        IF(lien="Second",1.50,
            1.70)))</f>
        <v/>
      </c>
      <c r="K367">
        <f>LET(
    purpose,'Loan Tape (S&amp;P)'!R367,
    IF(purpose="Purchase",1.00,
        IF(purpose="Remortgage",1.00,
            1.20)))</f>
        <v/>
      </c>
      <c r="L367">
        <f>LET(
    arrears_months,'Loan Tape (S&amp;P)'!AN367,
    IF(arrears_months=0,1.00,
    IF(arrears_months=1,3.00,
    IF(arrears_months=2,5.00,
    IF(arrears_months=3,8.00,
    IF(arrears_months=4,10.00,
    IF(arrears_months=5,12.00,15.00)))))))</f>
        <v/>
      </c>
      <c r="M367">
        <f>LET(
    seasoning_years,DATEDIF('Loan Tape (S&amp;P)'!K367,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7">
        <f>IF(AND('Loan Tape (S&amp;P)'!U367="Yes",
        'Loan Tape (S&amp;P)'!T367&lt;&gt;"Yes",
        DATEDIF('Loan Tape (S&amp;P)'!K367, TODAY(), "M")&lt;18),
    1.10,
    1.00)</f>
        <v/>
      </c>
      <c r="O367">
        <f>IF('Loan Tape (S&amp;P)'!T367="Yes",
    1.35,
    1.00)</f>
        <v/>
      </c>
      <c r="P367">
        <f>IF('Loan Tape (S&amp;P)'!S367="Yes",
    1.15,
    1.00)</f>
        <v/>
      </c>
      <c r="Q367">
        <f>IF('Loan Tape (S&amp;P)'!V367="Yes",
    1.20,
    1.00)</f>
        <v/>
      </c>
      <c r="T367">
        <f>LET(
    payment_method,'Loan Tape (S&amp;P)'!P367,
    occupancy,'Loan Tape (S&amp;P)'!N367,
    maturity_date,'Loan Tape (S&amp;P)'!L367,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8">
      <c r="J368">
        <f>LET(
    lien,'Loan Tape (S&amp;P)'!Q368,
    IF(lien="First",1.00,
        IF(lien="Second",1.50,
            1.70)))</f>
        <v/>
      </c>
      <c r="K368">
        <f>LET(
    purpose,'Loan Tape (S&amp;P)'!R368,
    IF(purpose="Purchase",1.00,
        IF(purpose="Remortgage",1.00,
            1.20)))</f>
        <v/>
      </c>
      <c r="L368">
        <f>LET(
    arrears_months,'Loan Tape (S&amp;P)'!AN368,
    IF(arrears_months=0,1.00,
    IF(arrears_months=1,3.00,
    IF(arrears_months=2,5.00,
    IF(arrears_months=3,8.00,
    IF(arrears_months=4,10.00,
    IF(arrears_months=5,12.00,15.00)))))))</f>
        <v/>
      </c>
      <c r="M368">
        <f>LET(
    seasoning_years,DATEDIF('Loan Tape (S&amp;P)'!K368,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8">
        <f>IF(AND('Loan Tape (S&amp;P)'!U368="Yes",
        'Loan Tape (S&amp;P)'!T368&lt;&gt;"Yes",
        DATEDIF('Loan Tape (S&amp;P)'!K368, TODAY(), "M")&lt;18),
    1.10,
    1.00)</f>
        <v/>
      </c>
      <c r="O368">
        <f>IF('Loan Tape (S&amp;P)'!T368="Yes",
    1.35,
    1.00)</f>
        <v/>
      </c>
      <c r="P368">
        <f>IF('Loan Tape (S&amp;P)'!S368="Yes",
    1.15,
    1.00)</f>
        <v/>
      </c>
      <c r="Q368">
        <f>IF('Loan Tape (S&amp;P)'!V368="Yes",
    1.20,
    1.00)</f>
        <v/>
      </c>
      <c r="T368">
        <f>LET(
    payment_method,'Loan Tape (S&amp;P)'!P368,
    occupancy,'Loan Tape (S&amp;P)'!N368,
    maturity_date,'Loan Tape (S&amp;P)'!L368,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9">
      <c r="J369">
        <f>LET(
    lien,'Loan Tape (S&amp;P)'!Q369,
    IF(lien="First",1.00,
        IF(lien="Second",1.50,
            1.70)))</f>
        <v/>
      </c>
      <c r="K369">
        <f>LET(
    purpose,'Loan Tape (S&amp;P)'!R369,
    IF(purpose="Purchase",1.00,
        IF(purpose="Remortgage",1.00,
            1.20)))</f>
        <v/>
      </c>
      <c r="L369">
        <f>LET(
    arrears_months,'Loan Tape (S&amp;P)'!AN369,
    IF(arrears_months=0,1.00,
    IF(arrears_months=1,3.00,
    IF(arrears_months=2,5.00,
    IF(arrears_months=3,8.00,
    IF(arrears_months=4,10.00,
    IF(arrears_months=5,12.00,15.00)))))))</f>
        <v/>
      </c>
      <c r="M369">
        <f>LET(
    seasoning_years,DATEDIF('Loan Tape (S&amp;P)'!K369,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9">
        <f>IF(AND('Loan Tape (S&amp;P)'!U369="Yes",
        'Loan Tape (S&amp;P)'!T369&lt;&gt;"Yes",
        DATEDIF('Loan Tape (S&amp;P)'!K369, TODAY(), "M")&lt;18),
    1.10,
    1.00)</f>
        <v/>
      </c>
      <c r="O369">
        <f>IF('Loan Tape (S&amp;P)'!T369="Yes",
    1.35,
    1.00)</f>
        <v/>
      </c>
      <c r="P369">
        <f>IF('Loan Tape (S&amp;P)'!S369="Yes",
    1.15,
    1.00)</f>
        <v/>
      </c>
      <c r="Q369">
        <f>IF('Loan Tape (S&amp;P)'!V369="Yes",
    1.20,
    1.00)</f>
        <v/>
      </c>
      <c r="T369">
        <f>LET(
    payment_method,'Loan Tape (S&amp;P)'!P369,
    occupancy,'Loan Tape (S&amp;P)'!N369,
    maturity_date,'Loan Tape (S&amp;P)'!L369,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0">
      <c r="J370">
        <f>LET(
    lien,'Loan Tape (S&amp;P)'!Q370,
    IF(lien="First",1.00,
        IF(lien="Second",1.50,
            1.70)))</f>
        <v/>
      </c>
      <c r="K370">
        <f>LET(
    purpose,'Loan Tape (S&amp;P)'!R370,
    IF(purpose="Purchase",1.00,
        IF(purpose="Remortgage",1.00,
            1.20)))</f>
        <v/>
      </c>
      <c r="L370">
        <f>LET(
    arrears_months,'Loan Tape (S&amp;P)'!AN370,
    IF(arrears_months=0,1.00,
    IF(arrears_months=1,3.00,
    IF(arrears_months=2,5.00,
    IF(arrears_months=3,8.00,
    IF(arrears_months=4,10.00,
    IF(arrears_months=5,12.00,15.00)))))))</f>
        <v/>
      </c>
      <c r="M370">
        <f>LET(
    seasoning_years,DATEDIF('Loan Tape (S&amp;P)'!K370,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0">
        <f>IF(AND('Loan Tape (S&amp;P)'!U370="Yes",
        'Loan Tape (S&amp;P)'!T370&lt;&gt;"Yes",
        DATEDIF('Loan Tape (S&amp;P)'!K370, TODAY(), "M")&lt;18),
    1.10,
    1.00)</f>
        <v/>
      </c>
      <c r="O370">
        <f>IF('Loan Tape (S&amp;P)'!T370="Yes",
    1.35,
    1.00)</f>
        <v/>
      </c>
      <c r="P370">
        <f>IF('Loan Tape (S&amp;P)'!S370="Yes",
    1.15,
    1.00)</f>
        <v/>
      </c>
      <c r="Q370">
        <f>IF('Loan Tape (S&amp;P)'!V370="Yes",
    1.20,
    1.00)</f>
        <v/>
      </c>
      <c r="T370">
        <f>LET(
    payment_method,'Loan Tape (S&amp;P)'!P370,
    occupancy,'Loan Tape (S&amp;P)'!N370,
    maturity_date,'Loan Tape (S&amp;P)'!L370,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1">
      <c r="J371">
        <f>LET(
    lien,'Loan Tape (S&amp;P)'!Q371,
    IF(lien="First",1.00,
        IF(lien="Second",1.50,
            1.70)))</f>
        <v/>
      </c>
      <c r="K371">
        <f>LET(
    purpose,'Loan Tape (S&amp;P)'!R371,
    IF(purpose="Purchase",1.00,
        IF(purpose="Remortgage",1.00,
            1.20)))</f>
        <v/>
      </c>
      <c r="L371">
        <f>LET(
    arrears_months,'Loan Tape (S&amp;P)'!AN371,
    IF(arrears_months=0,1.00,
    IF(arrears_months=1,3.00,
    IF(arrears_months=2,5.00,
    IF(arrears_months=3,8.00,
    IF(arrears_months=4,10.00,
    IF(arrears_months=5,12.00,15.00)))))))</f>
        <v/>
      </c>
      <c r="M371">
        <f>LET(
    seasoning_years,DATEDIF('Loan Tape (S&amp;P)'!K371,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1">
        <f>IF(AND('Loan Tape (S&amp;P)'!U371="Yes",
        'Loan Tape (S&amp;P)'!T371&lt;&gt;"Yes",
        DATEDIF('Loan Tape (S&amp;P)'!K371, TODAY(), "M")&lt;18),
    1.10,
    1.00)</f>
        <v/>
      </c>
      <c r="O371">
        <f>IF('Loan Tape (S&amp;P)'!T371="Yes",
    1.35,
    1.00)</f>
        <v/>
      </c>
      <c r="P371">
        <f>IF('Loan Tape (S&amp;P)'!S371="Yes",
    1.15,
    1.00)</f>
        <v/>
      </c>
      <c r="Q371">
        <f>IF('Loan Tape (S&amp;P)'!V371="Yes",
    1.20,
    1.00)</f>
        <v/>
      </c>
      <c r="T371">
        <f>LET(
    payment_method,'Loan Tape (S&amp;P)'!P371,
    occupancy,'Loan Tape (S&amp;P)'!N371,
    maturity_date,'Loan Tape (S&amp;P)'!L371,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2">
      <c r="J372">
        <f>LET(
    lien,'Loan Tape (S&amp;P)'!Q372,
    IF(lien="First",1.00,
        IF(lien="Second",1.50,
            1.70)))</f>
        <v/>
      </c>
      <c r="K372">
        <f>LET(
    purpose,'Loan Tape (S&amp;P)'!R372,
    IF(purpose="Purchase",1.00,
        IF(purpose="Remortgage",1.00,
            1.20)))</f>
        <v/>
      </c>
      <c r="L372">
        <f>LET(
    arrears_months,'Loan Tape (S&amp;P)'!AN372,
    IF(arrears_months=0,1.00,
    IF(arrears_months=1,3.00,
    IF(arrears_months=2,5.00,
    IF(arrears_months=3,8.00,
    IF(arrears_months=4,10.00,
    IF(arrears_months=5,12.00,15.00)))))))</f>
        <v/>
      </c>
      <c r="M372">
        <f>LET(
    seasoning_years,DATEDIF('Loan Tape (S&amp;P)'!K372,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2">
        <f>IF(AND('Loan Tape (S&amp;P)'!U372="Yes",
        'Loan Tape (S&amp;P)'!T372&lt;&gt;"Yes",
        DATEDIF('Loan Tape (S&amp;P)'!K372, TODAY(), "M")&lt;18),
    1.10,
    1.00)</f>
        <v/>
      </c>
      <c r="O372">
        <f>IF('Loan Tape (S&amp;P)'!T372="Yes",
    1.35,
    1.00)</f>
        <v/>
      </c>
      <c r="P372">
        <f>IF('Loan Tape (S&amp;P)'!S372="Yes",
    1.15,
    1.00)</f>
        <v/>
      </c>
      <c r="Q372">
        <f>IF('Loan Tape (S&amp;P)'!V372="Yes",
    1.20,
    1.00)</f>
        <v/>
      </c>
      <c r="T372">
        <f>LET(
    payment_method,'Loan Tape (S&amp;P)'!P372,
    occupancy,'Loan Tape (S&amp;P)'!N372,
    maturity_date,'Loan Tape (S&amp;P)'!L372,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3">
      <c r="J373">
        <f>LET(
    lien,'Loan Tape (S&amp;P)'!Q373,
    IF(lien="First",1.00,
        IF(lien="Second",1.50,
            1.70)))</f>
        <v/>
      </c>
      <c r="K373">
        <f>LET(
    purpose,'Loan Tape (S&amp;P)'!R373,
    IF(purpose="Purchase",1.00,
        IF(purpose="Remortgage",1.00,
            1.20)))</f>
        <v/>
      </c>
      <c r="L373">
        <f>LET(
    arrears_months,'Loan Tape (S&amp;P)'!AN373,
    IF(arrears_months=0,1.00,
    IF(arrears_months=1,3.00,
    IF(arrears_months=2,5.00,
    IF(arrears_months=3,8.00,
    IF(arrears_months=4,10.00,
    IF(arrears_months=5,12.00,15.00)))))))</f>
        <v/>
      </c>
      <c r="M373">
        <f>LET(
    seasoning_years,DATEDIF('Loan Tape (S&amp;P)'!K373,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3">
        <f>IF(AND('Loan Tape (S&amp;P)'!U373="Yes",
        'Loan Tape (S&amp;P)'!T373&lt;&gt;"Yes",
        DATEDIF('Loan Tape (S&amp;P)'!K373, TODAY(), "M")&lt;18),
    1.10,
    1.00)</f>
        <v/>
      </c>
      <c r="O373">
        <f>IF('Loan Tape (S&amp;P)'!T373="Yes",
    1.35,
    1.00)</f>
        <v/>
      </c>
      <c r="P373">
        <f>IF('Loan Tape (S&amp;P)'!S373="Yes",
    1.15,
    1.00)</f>
        <v/>
      </c>
      <c r="Q373">
        <f>IF('Loan Tape (S&amp;P)'!V373="Yes",
    1.20,
    1.00)</f>
        <v/>
      </c>
      <c r="T373">
        <f>LET(
    payment_method,'Loan Tape (S&amp;P)'!P373,
    occupancy,'Loan Tape (S&amp;P)'!N373,
    maturity_date,'Loan Tape (S&amp;P)'!L373,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4">
      <c r="J374">
        <f>LET(
    lien,'Loan Tape (S&amp;P)'!Q374,
    IF(lien="First",1.00,
        IF(lien="Second",1.50,
            1.70)))</f>
        <v/>
      </c>
      <c r="K374">
        <f>LET(
    purpose,'Loan Tape (S&amp;P)'!R374,
    IF(purpose="Purchase",1.00,
        IF(purpose="Remortgage",1.00,
            1.20)))</f>
        <v/>
      </c>
      <c r="L374">
        <f>LET(
    arrears_months,'Loan Tape (S&amp;P)'!AN374,
    IF(arrears_months=0,1.00,
    IF(arrears_months=1,3.00,
    IF(arrears_months=2,5.00,
    IF(arrears_months=3,8.00,
    IF(arrears_months=4,10.00,
    IF(arrears_months=5,12.00,15.00)))))))</f>
        <v/>
      </c>
      <c r="M374">
        <f>LET(
    seasoning_years,DATEDIF('Loan Tape (S&amp;P)'!K374,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4">
        <f>IF(AND('Loan Tape (S&amp;P)'!U374="Yes",
        'Loan Tape (S&amp;P)'!T374&lt;&gt;"Yes",
        DATEDIF('Loan Tape (S&amp;P)'!K374, TODAY(), "M")&lt;18),
    1.10,
    1.00)</f>
        <v/>
      </c>
      <c r="O374">
        <f>IF('Loan Tape (S&amp;P)'!T374="Yes",
    1.35,
    1.00)</f>
        <v/>
      </c>
      <c r="P374">
        <f>IF('Loan Tape (S&amp;P)'!S374="Yes",
    1.15,
    1.00)</f>
        <v/>
      </c>
      <c r="Q374">
        <f>IF('Loan Tape (S&amp;P)'!V374="Yes",
    1.20,
    1.00)</f>
        <v/>
      </c>
      <c r="T374">
        <f>LET(
    payment_method,'Loan Tape (S&amp;P)'!P374,
    occupancy,'Loan Tape (S&amp;P)'!N374,
    maturity_date,'Loan Tape (S&amp;P)'!L374,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5">
      <c r="J375">
        <f>LET(
    lien,'Loan Tape (S&amp;P)'!Q375,
    IF(lien="First",1.00,
        IF(lien="Second",1.50,
            1.70)))</f>
        <v/>
      </c>
      <c r="K375">
        <f>LET(
    purpose,'Loan Tape (S&amp;P)'!R375,
    IF(purpose="Purchase",1.00,
        IF(purpose="Remortgage",1.00,
            1.20)))</f>
        <v/>
      </c>
      <c r="L375">
        <f>LET(
    arrears_months,'Loan Tape (S&amp;P)'!AN375,
    IF(arrears_months=0,1.00,
    IF(arrears_months=1,3.00,
    IF(arrears_months=2,5.00,
    IF(arrears_months=3,8.00,
    IF(arrears_months=4,10.00,
    IF(arrears_months=5,12.00,15.00)))))))</f>
        <v/>
      </c>
      <c r="M375">
        <f>LET(
    seasoning_years,DATEDIF('Loan Tape (S&amp;P)'!K375,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5">
        <f>IF(AND('Loan Tape (S&amp;P)'!U375="Yes",
        'Loan Tape (S&amp;P)'!T375&lt;&gt;"Yes",
        DATEDIF('Loan Tape (S&amp;P)'!K375, TODAY(), "M")&lt;18),
    1.10,
    1.00)</f>
        <v/>
      </c>
      <c r="O375">
        <f>IF('Loan Tape (S&amp;P)'!T375="Yes",
    1.35,
    1.00)</f>
        <v/>
      </c>
      <c r="P375">
        <f>IF('Loan Tape (S&amp;P)'!S375="Yes",
    1.15,
    1.00)</f>
        <v/>
      </c>
      <c r="Q375">
        <f>IF('Loan Tape (S&amp;P)'!V375="Yes",
    1.20,
    1.00)</f>
        <v/>
      </c>
      <c r="T375">
        <f>LET(
    payment_method,'Loan Tape (S&amp;P)'!P375,
    occupancy,'Loan Tape (S&amp;P)'!N375,
    maturity_date,'Loan Tape (S&amp;P)'!L375,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6">
      <c r="J376">
        <f>LET(
    lien,'Loan Tape (S&amp;P)'!Q376,
    IF(lien="First",1.00,
        IF(lien="Second",1.50,
            1.70)))</f>
        <v/>
      </c>
      <c r="K376">
        <f>LET(
    purpose,'Loan Tape (S&amp;P)'!R376,
    IF(purpose="Purchase",1.00,
        IF(purpose="Remortgage",1.00,
            1.20)))</f>
        <v/>
      </c>
      <c r="L376">
        <f>LET(
    arrears_months,'Loan Tape (S&amp;P)'!AN376,
    IF(arrears_months=0,1.00,
    IF(arrears_months=1,3.00,
    IF(arrears_months=2,5.00,
    IF(arrears_months=3,8.00,
    IF(arrears_months=4,10.00,
    IF(arrears_months=5,12.00,15.00)))))))</f>
        <v/>
      </c>
      <c r="M376">
        <f>LET(
    seasoning_years,DATEDIF('Loan Tape (S&amp;P)'!K376,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6">
        <f>IF(AND('Loan Tape (S&amp;P)'!U376="Yes",
        'Loan Tape (S&amp;P)'!T376&lt;&gt;"Yes",
        DATEDIF('Loan Tape (S&amp;P)'!K376, TODAY(), "M")&lt;18),
    1.10,
    1.00)</f>
        <v/>
      </c>
      <c r="O376">
        <f>IF('Loan Tape (S&amp;P)'!T376="Yes",
    1.35,
    1.00)</f>
        <v/>
      </c>
      <c r="P376">
        <f>IF('Loan Tape (S&amp;P)'!S376="Yes",
    1.15,
    1.00)</f>
        <v/>
      </c>
      <c r="Q376">
        <f>IF('Loan Tape (S&amp;P)'!V376="Yes",
    1.20,
    1.00)</f>
        <v/>
      </c>
      <c r="T376">
        <f>LET(
    payment_method,'Loan Tape (S&amp;P)'!P376,
    occupancy,'Loan Tape (S&amp;P)'!N376,
    maturity_date,'Loan Tape (S&amp;P)'!L376,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7">
      <c r="J377">
        <f>LET(
    lien,'Loan Tape (S&amp;P)'!Q377,
    IF(lien="First",1.00,
        IF(lien="Second",1.50,
            1.70)))</f>
        <v/>
      </c>
      <c r="K377">
        <f>LET(
    purpose,'Loan Tape (S&amp;P)'!R377,
    IF(purpose="Purchase",1.00,
        IF(purpose="Remortgage",1.00,
            1.20)))</f>
        <v/>
      </c>
      <c r="L377">
        <f>LET(
    arrears_months,'Loan Tape (S&amp;P)'!AN377,
    IF(arrears_months=0,1.00,
    IF(arrears_months=1,3.00,
    IF(arrears_months=2,5.00,
    IF(arrears_months=3,8.00,
    IF(arrears_months=4,10.00,
    IF(arrears_months=5,12.00,15.00)))))))</f>
        <v/>
      </c>
      <c r="M377">
        <f>LET(
    seasoning_years,DATEDIF('Loan Tape (S&amp;P)'!K377,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7">
        <f>IF(AND('Loan Tape (S&amp;P)'!U377="Yes",
        'Loan Tape (S&amp;P)'!T377&lt;&gt;"Yes",
        DATEDIF('Loan Tape (S&amp;P)'!K377, TODAY(), "M")&lt;18),
    1.10,
    1.00)</f>
        <v/>
      </c>
      <c r="O377">
        <f>IF('Loan Tape (S&amp;P)'!T377="Yes",
    1.35,
    1.00)</f>
        <v/>
      </c>
      <c r="P377">
        <f>IF('Loan Tape (S&amp;P)'!S377="Yes",
    1.15,
    1.00)</f>
        <v/>
      </c>
      <c r="Q377">
        <f>IF('Loan Tape (S&amp;P)'!V377="Yes",
    1.20,
    1.00)</f>
        <v/>
      </c>
      <c r="T377">
        <f>LET(
    payment_method,'Loan Tape (S&amp;P)'!P377,
    occupancy,'Loan Tape (S&amp;P)'!N377,
    maturity_date,'Loan Tape (S&amp;P)'!L377,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8">
      <c r="J378">
        <f>LET(
    lien,'Loan Tape (S&amp;P)'!Q378,
    IF(lien="First",1.00,
        IF(lien="Second",1.50,
            1.70)))</f>
        <v/>
      </c>
      <c r="K378">
        <f>LET(
    purpose,'Loan Tape (S&amp;P)'!R378,
    IF(purpose="Purchase",1.00,
        IF(purpose="Remortgage",1.00,
            1.20)))</f>
        <v/>
      </c>
      <c r="L378">
        <f>LET(
    arrears_months,'Loan Tape (S&amp;P)'!AN378,
    IF(arrears_months=0,1.00,
    IF(arrears_months=1,3.00,
    IF(arrears_months=2,5.00,
    IF(arrears_months=3,8.00,
    IF(arrears_months=4,10.00,
    IF(arrears_months=5,12.00,15.00)))))))</f>
        <v/>
      </c>
      <c r="M378">
        <f>LET(
    seasoning_years,DATEDIF('Loan Tape (S&amp;P)'!K378,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8">
        <f>IF(AND('Loan Tape (S&amp;P)'!U378="Yes",
        'Loan Tape (S&amp;P)'!T378&lt;&gt;"Yes",
        DATEDIF('Loan Tape (S&amp;P)'!K378, TODAY(), "M")&lt;18),
    1.10,
    1.00)</f>
        <v/>
      </c>
      <c r="O378">
        <f>IF('Loan Tape (S&amp;P)'!T378="Yes",
    1.35,
    1.00)</f>
        <v/>
      </c>
      <c r="P378">
        <f>IF('Loan Tape (S&amp;P)'!S378="Yes",
    1.15,
    1.00)</f>
        <v/>
      </c>
      <c r="Q378">
        <f>IF('Loan Tape (S&amp;P)'!V378="Yes",
    1.20,
    1.00)</f>
        <v/>
      </c>
      <c r="T378">
        <f>LET(
    payment_method,'Loan Tape (S&amp;P)'!P378,
    occupancy,'Loan Tape (S&amp;P)'!N378,
    maturity_date,'Loan Tape (S&amp;P)'!L378,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9">
      <c r="J379">
        <f>LET(
    lien,'Loan Tape (S&amp;P)'!Q379,
    IF(lien="First",1.00,
        IF(lien="Second",1.50,
            1.70)))</f>
        <v/>
      </c>
      <c r="K379">
        <f>LET(
    purpose,'Loan Tape (S&amp;P)'!R379,
    IF(purpose="Purchase",1.00,
        IF(purpose="Remortgage",1.00,
            1.20)))</f>
        <v/>
      </c>
      <c r="L379">
        <f>LET(
    arrears_months,'Loan Tape (S&amp;P)'!AN379,
    IF(arrears_months=0,1.00,
    IF(arrears_months=1,3.00,
    IF(arrears_months=2,5.00,
    IF(arrears_months=3,8.00,
    IF(arrears_months=4,10.00,
    IF(arrears_months=5,12.00,15.00)))))))</f>
        <v/>
      </c>
      <c r="M379">
        <f>LET(
    seasoning_years,DATEDIF('Loan Tape (S&amp;P)'!K379,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9">
        <f>IF(AND('Loan Tape (S&amp;P)'!U379="Yes",
        'Loan Tape (S&amp;P)'!T379&lt;&gt;"Yes",
        DATEDIF('Loan Tape (S&amp;P)'!K379, TODAY(), "M")&lt;18),
    1.10,
    1.00)</f>
        <v/>
      </c>
      <c r="O379">
        <f>IF('Loan Tape (S&amp;P)'!T379="Yes",
    1.35,
    1.00)</f>
        <v/>
      </c>
      <c r="P379">
        <f>IF('Loan Tape (S&amp;P)'!S379="Yes",
    1.15,
    1.00)</f>
        <v/>
      </c>
      <c r="Q379">
        <f>IF('Loan Tape (S&amp;P)'!V379="Yes",
    1.20,
    1.00)</f>
        <v/>
      </c>
      <c r="T379">
        <f>LET(
    payment_method,'Loan Tape (S&amp;P)'!P379,
    occupancy,'Loan Tape (S&amp;P)'!N379,
    maturity_date,'Loan Tape (S&amp;P)'!L379,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0">
      <c r="J380">
        <f>LET(
    lien,'Loan Tape (S&amp;P)'!Q380,
    IF(lien="First",1.00,
        IF(lien="Second",1.50,
            1.70)))</f>
        <v/>
      </c>
      <c r="K380">
        <f>LET(
    purpose,'Loan Tape (S&amp;P)'!R380,
    IF(purpose="Purchase",1.00,
        IF(purpose="Remortgage",1.00,
            1.20)))</f>
        <v/>
      </c>
      <c r="L380">
        <f>LET(
    arrears_months,'Loan Tape (S&amp;P)'!AN380,
    IF(arrears_months=0,1.00,
    IF(arrears_months=1,3.00,
    IF(arrears_months=2,5.00,
    IF(arrears_months=3,8.00,
    IF(arrears_months=4,10.00,
    IF(arrears_months=5,12.00,15.00)))))))</f>
        <v/>
      </c>
      <c r="M380">
        <f>LET(
    seasoning_years,DATEDIF('Loan Tape (S&amp;P)'!K380,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0">
        <f>IF(AND('Loan Tape (S&amp;P)'!U380="Yes",
        'Loan Tape (S&amp;P)'!T380&lt;&gt;"Yes",
        DATEDIF('Loan Tape (S&amp;P)'!K380, TODAY(), "M")&lt;18),
    1.10,
    1.00)</f>
        <v/>
      </c>
      <c r="O380">
        <f>IF('Loan Tape (S&amp;P)'!T380="Yes",
    1.35,
    1.00)</f>
        <v/>
      </c>
      <c r="P380">
        <f>IF('Loan Tape (S&amp;P)'!S380="Yes",
    1.15,
    1.00)</f>
        <v/>
      </c>
      <c r="Q380">
        <f>IF('Loan Tape (S&amp;P)'!V380="Yes",
    1.20,
    1.00)</f>
        <v/>
      </c>
      <c r="T380">
        <f>LET(
    payment_method,'Loan Tape (S&amp;P)'!P380,
    occupancy,'Loan Tape (S&amp;P)'!N380,
    maturity_date,'Loan Tape (S&amp;P)'!L380,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1">
      <c r="J381">
        <f>LET(
    lien,'Loan Tape (S&amp;P)'!Q381,
    IF(lien="First",1.00,
        IF(lien="Second",1.50,
            1.70)))</f>
        <v/>
      </c>
      <c r="K381">
        <f>LET(
    purpose,'Loan Tape (S&amp;P)'!R381,
    IF(purpose="Purchase",1.00,
        IF(purpose="Remortgage",1.00,
            1.20)))</f>
        <v/>
      </c>
      <c r="L381">
        <f>LET(
    arrears_months,'Loan Tape (S&amp;P)'!AN381,
    IF(arrears_months=0,1.00,
    IF(arrears_months=1,3.00,
    IF(arrears_months=2,5.00,
    IF(arrears_months=3,8.00,
    IF(arrears_months=4,10.00,
    IF(arrears_months=5,12.00,15.00)))))))</f>
        <v/>
      </c>
      <c r="M381">
        <f>LET(
    seasoning_years,DATEDIF('Loan Tape (S&amp;P)'!K381,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1">
        <f>IF(AND('Loan Tape (S&amp;P)'!U381="Yes",
        'Loan Tape (S&amp;P)'!T381&lt;&gt;"Yes",
        DATEDIF('Loan Tape (S&amp;P)'!K381, TODAY(), "M")&lt;18),
    1.10,
    1.00)</f>
        <v/>
      </c>
      <c r="O381">
        <f>IF('Loan Tape (S&amp;P)'!T381="Yes",
    1.35,
    1.00)</f>
        <v/>
      </c>
      <c r="P381">
        <f>IF('Loan Tape (S&amp;P)'!S381="Yes",
    1.15,
    1.00)</f>
        <v/>
      </c>
      <c r="Q381">
        <f>IF('Loan Tape (S&amp;P)'!V381="Yes",
    1.20,
    1.00)</f>
        <v/>
      </c>
      <c r="T381">
        <f>LET(
    payment_method,'Loan Tape (S&amp;P)'!P381,
    occupancy,'Loan Tape (S&amp;P)'!N381,
    maturity_date,'Loan Tape (S&amp;P)'!L381,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2">
      <c r="J382">
        <f>LET(
    lien,'Loan Tape (S&amp;P)'!Q382,
    IF(lien="First",1.00,
        IF(lien="Second",1.50,
            1.70)))</f>
        <v/>
      </c>
      <c r="K382">
        <f>LET(
    purpose,'Loan Tape (S&amp;P)'!R382,
    IF(purpose="Purchase",1.00,
        IF(purpose="Remortgage",1.00,
            1.20)))</f>
        <v/>
      </c>
      <c r="L382">
        <f>LET(
    arrears_months,'Loan Tape (S&amp;P)'!AN382,
    IF(arrears_months=0,1.00,
    IF(arrears_months=1,3.00,
    IF(arrears_months=2,5.00,
    IF(arrears_months=3,8.00,
    IF(arrears_months=4,10.00,
    IF(arrears_months=5,12.00,15.00)))))))</f>
        <v/>
      </c>
      <c r="M382">
        <f>LET(
    seasoning_years,DATEDIF('Loan Tape (S&amp;P)'!K382,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2">
        <f>IF(AND('Loan Tape (S&amp;P)'!U382="Yes",
        'Loan Tape (S&amp;P)'!T382&lt;&gt;"Yes",
        DATEDIF('Loan Tape (S&amp;P)'!K382, TODAY(), "M")&lt;18),
    1.10,
    1.00)</f>
        <v/>
      </c>
      <c r="O382">
        <f>IF('Loan Tape (S&amp;P)'!T382="Yes",
    1.35,
    1.00)</f>
        <v/>
      </c>
      <c r="P382">
        <f>IF('Loan Tape (S&amp;P)'!S382="Yes",
    1.15,
    1.00)</f>
        <v/>
      </c>
      <c r="Q382">
        <f>IF('Loan Tape (S&amp;P)'!V382="Yes",
    1.20,
    1.00)</f>
        <v/>
      </c>
      <c r="T382">
        <f>LET(
    payment_method,'Loan Tape (S&amp;P)'!P382,
    occupancy,'Loan Tape (S&amp;P)'!N382,
    maturity_date,'Loan Tape (S&amp;P)'!L382,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3">
      <c r="J383">
        <f>LET(
    lien,'Loan Tape (S&amp;P)'!Q383,
    IF(lien="First",1.00,
        IF(lien="Second",1.50,
            1.70)))</f>
        <v/>
      </c>
      <c r="K383">
        <f>LET(
    purpose,'Loan Tape (S&amp;P)'!R383,
    IF(purpose="Purchase",1.00,
        IF(purpose="Remortgage",1.00,
            1.20)))</f>
        <v/>
      </c>
      <c r="L383">
        <f>LET(
    arrears_months,'Loan Tape (S&amp;P)'!AN383,
    IF(arrears_months=0,1.00,
    IF(arrears_months=1,3.00,
    IF(arrears_months=2,5.00,
    IF(arrears_months=3,8.00,
    IF(arrears_months=4,10.00,
    IF(arrears_months=5,12.00,15.00)))))))</f>
        <v/>
      </c>
      <c r="M383">
        <f>LET(
    seasoning_years,DATEDIF('Loan Tape (S&amp;P)'!K383,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3">
        <f>IF(AND('Loan Tape (S&amp;P)'!U383="Yes",
        'Loan Tape (S&amp;P)'!T383&lt;&gt;"Yes",
        DATEDIF('Loan Tape (S&amp;P)'!K383, TODAY(), "M")&lt;18),
    1.10,
    1.00)</f>
        <v/>
      </c>
      <c r="O383">
        <f>IF('Loan Tape (S&amp;P)'!T383="Yes",
    1.35,
    1.00)</f>
        <v/>
      </c>
      <c r="P383">
        <f>IF('Loan Tape (S&amp;P)'!S383="Yes",
    1.15,
    1.00)</f>
        <v/>
      </c>
      <c r="Q383">
        <f>IF('Loan Tape (S&amp;P)'!V383="Yes",
    1.20,
    1.00)</f>
        <v/>
      </c>
      <c r="T383">
        <f>LET(
    payment_method,'Loan Tape (S&amp;P)'!P383,
    occupancy,'Loan Tape (S&amp;P)'!N383,
    maturity_date,'Loan Tape (S&amp;P)'!L383,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4">
      <c r="J384">
        <f>LET(
    lien,'Loan Tape (S&amp;P)'!Q384,
    IF(lien="First",1.00,
        IF(lien="Second",1.50,
            1.70)))</f>
        <v/>
      </c>
      <c r="K384">
        <f>LET(
    purpose,'Loan Tape (S&amp;P)'!R384,
    IF(purpose="Purchase",1.00,
        IF(purpose="Remortgage",1.00,
            1.20)))</f>
        <v/>
      </c>
      <c r="L384">
        <f>LET(
    arrears_months,'Loan Tape (S&amp;P)'!AN384,
    IF(arrears_months=0,1.00,
    IF(arrears_months=1,3.00,
    IF(arrears_months=2,5.00,
    IF(arrears_months=3,8.00,
    IF(arrears_months=4,10.00,
    IF(arrears_months=5,12.00,15.00)))))))</f>
        <v/>
      </c>
      <c r="M384">
        <f>LET(
    seasoning_years,DATEDIF('Loan Tape (S&amp;P)'!K384,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4">
        <f>IF(AND('Loan Tape (S&amp;P)'!U384="Yes",
        'Loan Tape (S&amp;P)'!T384&lt;&gt;"Yes",
        DATEDIF('Loan Tape (S&amp;P)'!K384, TODAY(), "M")&lt;18),
    1.10,
    1.00)</f>
        <v/>
      </c>
      <c r="O384">
        <f>IF('Loan Tape (S&amp;P)'!T384="Yes",
    1.35,
    1.00)</f>
        <v/>
      </c>
      <c r="P384">
        <f>IF('Loan Tape (S&amp;P)'!S384="Yes",
    1.15,
    1.00)</f>
        <v/>
      </c>
      <c r="Q384">
        <f>IF('Loan Tape (S&amp;P)'!V384="Yes",
    1.20,
    1.00)</f>
        <v/>
      </c>
      <c r="T384">
        <f>LET(
    payment_method,'Loan Tape (S&amp;P)'!P384,
    occupancy,'Loan Tape (S&amp;P)'!N384,
    maturity_date,'Loan Tape (S&amp;P)'!L384,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5">
      <c r="J385">
        <f>LET(
    lien,'Loan Tape (S&amp;P)'!Q385,
    IF(lien="First",1.00,
        IF(lien="Second",1.50,
            1.70)))</f>
        <v/>
      </c>
      <c r="K385">
        <f>LET(
    purpose,'Loan Tape (S&amp;P)'!R385,
    IF(purpose="Purchase",1.00,
        IF(purpose="Remortgage",1.00,
            1.20)))</f>
        <v/>
      </c>
      <c r="L385">
        <f>LET(
    arrears_months,'Loan Tape (S&amp;P)'!AN385,
    IF(arrears_months=0,1.00,
    IF(arrears_months=1,3.00,
    IF(arrears_months=2,5.00,
    IF(arrears_months=3,8.00,
    IF(arrears_months=4,10.00,
    IF(arrears_months=5,12.00,15.00)))))))</f>
        <v/>
      </c>
      <c r="M385">
        <f>LET(
    seasoning_years,DATEDIF('Loan Tape (S&amp;P)'!K385,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5">
        <f>IF(AND('Loan Tape (S&amp;P)'!U385="Yes",
        'Loan Tape (S&amp;P)'!T385&lt;&gt;"Yes",
        DATEDIF('Loan Tape (S&amp;P)'!K385, TODAY(), "M")&lt;18),
    1.10,
    1.00)</f>
        <v/>
      </c>
      <c r="O385">
        <f>IF('Loan Tape (S&amp;P)'!T385="Yes",
    1.35,
    1.00)</f>
        <v/>
      </c>
      <c r="P385">
        <f>IF('Loan Tape (S&amp;P)'!S385="Yes",
    1.15,
    1.00)</f>
        <v/>
      </c>
      <c r="Q385">
        <f>IF('Loan Tape (S&amp;P)'!V385="Yes",
    1.20,
    1.00)</f>
        <v/>
      </c>
      <c r="T385">
        <f>LET(
    payment_method,'Loan Tape (S&amp;P)'!P385,
    occupancy,'Loan Tape (S&amp;P)'!N385,
    maturity_date,'Loan Tape (S&amp;P)'!L385,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6">
      <c r="J386">
        <f>LET(
    lien,'Loan Tape (S&amp;P)'!Q386,
    IF(lien="First",1.00,
        IF(lien="Second",1.50,
            1.70)))</f>
        <v/>
      </c>
      <c r="K386">
        <f>LET(
    purpose,'Loan Tape (S&amp;P)'!R386,
    IF(purpose="Purchase",1.00,
        IF(purpose="Remortgage",1.00,
            1.20)))</f>
        <v/>
      </c>
      <c r="L386">
        <f>LET(
    arrears_months,'Loan Tape (S&amp;P)'!AN386,
    IF(arrears_months=0,1.00,
    IF(arrears_months=1,3.00,
    IF(arrears_months=2,5.00,
    IF(arrears_months=3,8.00,
    IF(arrears_months=4,10.00,
    IF(arrears_months=5,12.00,15.00)))))))</f>
        <v/>
      </c>
      <c r="M386">
        <f>LET(
    seasoning_years,DATEDIF('Loan Tape (S&amp;P)'!K386,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6">
        <f>IF(AND('Loan Tape (S&amp;P)'!U386="Yes",
        'Loan Tape (S&amp;P)'!T386&lt;&gt;"Yes",
        DATEDIF('Loan Tape (S&amp;P)'!K386, TODAY(), "M")&lt;18),
    1.10,
    1.00)</f>
        <v/>
      </c>
      <c r="O386">
        <f>IF('Loan Tape (S&amp;P)'!T386="Yes",
    1.35,
    1.00)</f>
        <v/>
      </c>
      <c r="P386">
        <f>IF('Loan Tape (S&amp;P)'!S386="Yes",
    1.15,
    1.00)</f>
        <v/>
      </c>
      <c r="Q386">
        <f>IF('Loan Tape (S&amp;P)'!V386="Yes",
    1.20,
    1.00)</f>
        <v/>
      </c>
      <c r="T386">
        <f>LET(
    payment_method,'Loan Tape (S&amp;P)'!P386,
    occupancy,'Loan Tape (S&amp;P)'!N386,
    maturity_date,'Loan Tape (S&amp;P)'!L386,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7">
      <c r="J387">
        <f>LET(
    lien,'Loan Tape (S&amp;P)'!Q387,
    IF(lien="First",1.00,
        IF(lien="Second",1.50,
            1.70)))</f>
        <v/>
      </c>
      <c r="K387">
        <f>LET(
    purpose,'Loan Tape (S&amp;P)'!R387,
    IF(purpose="Purchase",1.00,
        IF(purpose="Remortgage",1.00,
            1.20)))</f>
        <v/>
      </c>
      <c r="L387">
        <f>LET(
    arrears_months,'Loan Tape (S&amp;P)'!AN387,
    IF(arrears_months=0,1.00,
    IF(arrears_months=1,3.00,
    IF(arrears_months=2,5.00,
    IF(arrears_months=3,8.00,
    IF(arrears_months=4,10.00,
    IF(arrears_months=5,12.00,15.00)))))))</f>
        <v/>
      </c>
      <c r="M387">
        <f>LET(
    seasoning_years,DATEDIF('Loan Tape (S&amp;P)'!K387,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7">
        <f>IF(AND('Loan Tape (S&amp;P)'!U387="Yes",
        'Loan Tape (S&amp;P)'!T387&lt;&gt;"Yes",
        DATEDIF('Loan Tape (S&amp;P)'!K387, TODAY(), "M")&lt;18),
    1.10,
    1.00)</f>
        <v/>
      </c>
      <c r="O387">
        <f>IF('Loan Tape (S&amp;P)'!T387="Yes",
    1.35,
    1.00)</f>
        <v/>
      </c>
      <c r="P387">
        <f>IF('Loan Tape (S&amp;P)'!S387="Yes",
    1.15,
    1.00)</f>
        <v/>
      </c>
      <c r="Q387">
        <f>IF('Loan Tape (S&amp;P)'!V387="Yes",
    1.20,
    1.00)</f>
        <v/>
      </c>
      <c r="T387">
        <f>LET(
    payment_method,'Loan Tape (S&amp;P)'!P387,
    occupancy,'Loan Tape (S&amp;P)'!N387,
    maturity_date,'Loan Tape (S&amp;P)'!L387,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8">
      <c r="J388">
        <f>LET(
    lien,'Loan Tape (S&amp;P)'!Q388,
    IF(lien="First",1.00,
        IF(lien="Second",1.50,
            1.70)))</f>
        <v/>
      </c>
      <c r="K388">
        <f>LET(
    purpose,'Loan Tape (S&amp;P)'!R388,
    IF(purpose="Purchase",1.00,
        IF(purpose="Remortgage",1.00,
            1.20)))</f>
        <v/>
      </c>
      <c r="L388">
        <f>LET(
    arrears_months,'Loan Tape (S&amp;P)'!AN388,
    IF(arrears_months=0,1.00,
    IF(arrears_months=1,3.00,
    IF(arrears_months=2,5.00,
    IF(arrears_months=3,8.00,
    IF(arrears_months=4,10.00,
    IF(arrears_months=5,12.00,15.00)))))))</f>
        <v/>
      </c>
      <c r="M388">
        <f>LET(
    seasoning_years,DATEDIF('Loan Tape (S&amp;P)'!K388,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8">
        <f>IF(AND('Loan Tape (S&amp;P)'!U388="Yes",
        'Loan Tape (S&amp;P)'!T388&lt;&gt;"Yes",
        DATEDIF('Loan Tape (S&amp;P)'!K388, TODAY(), "M")&lt;18),
    1.10,
    1.00)</f>
        <v/>
      </c>
      <c r="O388">
        <f>IF('Loan Tape (S&amp;P)'!T388="Yes",
    1.35,
    1.00)</f>
        <v/>
      </c>
      <c r="P388">
        <f>IF('Loan Tape (S&amp;P)'!S388="Yes",
    1.15,
    1.00)</f>
        <v/>
      </c>
      <c r="Q388">
        <f>IF('Loan Tape (S&amp;P)'!V388="Yes",
    1.20,
    1.00)</f>
        <v/>
      </c>
      <c r="T388">
        <f>LET(
    payment_method,'Loan Tape (S&amp;P)'!P388,
    occupancy,'Loan Tape (S&amp;P)'!N388,
    maturity_date,'Loan Tape (S&amp;P)'!L388,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9">
      <c r="J389">
        <f>LET(
    lien,'Loan Tape (S&amp;P)'!Q389,
    IF(lien="First",1.00,
        IF(lien="Second",1.50,
            1.70)))</f>
        <v/>
      </c>
      <c r="K389">
        <f>LET(
    purpose,'Loan Tape (S&amp;P)'!R389,
    IF(purpose="Purchase",1.00,
        IF(purpose="Remortgage",1.00,
            1.20)))</f>
        <v/>
      </c>
      <c r="L389">
        <f>LET(
    arrears_months,'Loan Tape (S&amp;P)'!AN389,
    IF(arrears_months=0,1.00,
    IF(arrears_months=1,3.00,
    IF(arrears_months=2,5.00,
    IF(arrears_months=3,8.00,
    IF(arrears_months=4,10.00,
    IF(arrears_months=5,12.00,15.00)))))))</f>
        <v/>
      </c>
      <c r="M389">
        <f>LET(
    seasoning_years,DATEDIF('Loan Tape (S&amp;P)'!K389,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9">
        <f>IF(AND('Loan Tape (S&amp;P)'!U389="Yes",
        'Loan Tape (S&amp;P)'!T389&lt;&gt;"Yes",
        DATEDIF('Loan Tape (S&amp;P)'!K389, TODAY(), "M")&lt;18),
    1.10,
    1.00)</f>
        <v/>
      </c>
      <c r="O389">
        <f>IF('Loan Tape (S&amp;P)'!T389="Yes",
    1.35,
    1.00)</f>
        <v/>
      </c>
      <c r="P389">
        <f>IF('Loan Tape (S&amp;P)'!S389="Yes",
    1.15,
    1.00)</f>
        <v/>
      </c>
      <c r="Q389">
        <f>IF('Loan Tape (S&amp;P)'!V389="Yes",
    1.20,
    1.00)</f>
        <v/>
      </c>
      <c r="T389">
        <f>LET(
    payment_method,'Loan Tape (S&amp;P)'!P389,
    occupancy,'Loan Tape (S&amp;P)'!N389,
    maturity_date,'Loan Tape (S&amp;P)'!L389,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0">
      <c r="J390">
        <f>LET(
    lien,'Loan Tape (S&amp;P)'!Q390,
    IF(lien="First",1.00,
        IF(lien="Second",1.50,
            1.70)))</f>
        <v/>
      </c>
      <c r="K390">
        <f>LET(
    purpose,'Loan Tape (S&amp;P)'!R390,
    IF(purpose="Purchase",1.00,
        IF(purpose="Remortgage",1.00,
            1.20)))</f>
        <v/>
      </c>
      <c r="L390">
        <f>LET(
    arrears_months,'Loan Tape (S&amp;P)'!AN390,
    IF(arrears_months=0,1.00,
    IF(arrears_months=1,3.00,
    IF(arrears_months=2,5.00,
    IF(arrears_months=3,8.00,
    IF(arrears_months=4,10.00,
    IF(arrears_months=5,12.00,15.00)))))))</f>
        <v/>
      </c>
      <c r="M390">
        <f>LET(
    seasoning_years,DATEDIF('Loan Tape (S&amp;P)'!K390,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0">
        <f>IF(AND('Loan Tape (S&amp;P)'!U390="Yes",
        'Loan Tape (S&amp;P)'!T390&lt;&gt;"Yes",
        DATEDIF('Loan Tape (S&amp;P)'!K390, TODAY(), "M")&lt;18),
    1.10,
    1.00)</f>
        <v/>
      </c>
      <c r="O390">
        <f>IF('Loan Tape (S&amp;P)'!T390="Yes",
    1.35,
    1.00)</f>
        <v/>
      </c>
      <c r="P390">
        <f>IF('Loan Tape (S&amp;P)'!S390="Yes",
    1.15,
    1.00)</f>
        <v/>
      </c>
      <c r="Q390">
        <f>IF('Loan Tape (S&amp;P)'!V390="Yes",
    1.20,
    1.00)</f>
        <v/>
      </c>
      <c r="T390">
        <f>LET(
    payment_method,'Loan Tape (S&amp;P)'!P390,
    occupancy,'Loan Tape (S&amp;P)'!N390,
    maturity_date,'Loan Tape (S&amp;P)'!L390,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1">
      <c r="J391">
        <f>LET(
    lien,'Loan Tape (S&amp;P)'!Q391,
    IF(lien="First",1.00,
        IF(lien="Second",1.50,
            1.70)))</f>
        <v/>
      </c>
      <c r="K391">
        <f>LET(
    purpose,'Loan Tape (S&amp;P)'!R391,
    IF(purpose="Purchase",1.00,
        IF(purpose="Remortgage",1.00,
            1.20)))</f>
        <v/>
      </c>
      <c r="L391">
        <f>LET(
    arrears_months,'Loan Tape (S&amp;P)'!AN391,
    IF(arrears_months=0,1.00,
    IF(arrears_months=1,3.00,
    IF(arrears_months=2,5.00,
    IF(arrears_months=3,8.00,
    IF(arrears_months=4,10.00,
    IF(arrears_months=5,12.00,15.00)))))))</f>
        <v/>
      </c>
      <c r="M391">
        <f>LET(
    seasoning_years,DATEDIF('Loan Tape (S&amp;P)'!K391,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1">
        <f>IF(AND('Loan Tape (S&amp;P)'!U391="Yes",
        'Loan Tape (S&amp;P)'!T391&lt;&gt;"Yes",
        DATEDIF('Loan Tape (S&amp;P)'!K391, TODAY(), "M")&lt;18),
    1.10,
    1.00)</f>
        <v/>
      </c>
      <c r="O391">
        <f>IF('Loan Tape (S&amp;P)'!T391="Yes",
    1.35,
    1.00)</f>
        <v/>
      </c>
      <c r="P391">
        <f>IF('Loan Tape (S&amp;P)'!S391="Yes",
    1.15,
    1.00)</f>
        <v/>
      </c>
      <c r="Q391">
        <f>IF('Loan Tape (S&amp;P)'!V391="Yes",
    1.20,
    1.00)</f>
        <v/>
      </c>
      <c r="T391">
        <f>LET(
    payment_method,'Loan Tape (S&amp;P)'!P391,
    occupancy,'Loan Tape (S&amp;P)'!N391,
    maturity_date,'Loan Tape (S&amp;P)'!L391,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2">
      <c r="J392">
        <f>LET(
    lien,'Loan Tape (S&amp;P)'!Q392,
    IF(lien="First",1.00,
        IF(lien="Second",1.50,
            1.70)))</f>
        <v/>
      </c>
      <c r="K392">
        <f>LET(
    purpose,'Loan Tape (S&amp;P)'!R392,
    IF(purpose="Purchase",1.00,
        IF(purpose="Remortgage",1.00,
            1.20)))</f>
        <v/>
      </c>
      <c r="L392">
        <f>LET(
    arrears_months,'Loan Tape (S&amp;P)'!AN392,
    IF(arrears_months=0,1.00,
    IF(arrears_months=1,3.00,
    IF(arrears_months=2,5.00,
    IF(arrears_months=3,8.00,
    IF(arrears_months=4,10.00,
    IF(arrears_months=5,12.00,15.00)))))))</f>
        <v/>
      </c>
      <c r="M392">
        <f>LET(
    seasoning_years,DATEDIF('Loan Tape (S&amp;P)'!K392,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2">
        <f>IF(AND('Loan Tape (S&amp;P)'!U392="Yes",
        'Loan Tape (S&amp;P)'!T392&lt;&gt;"Yes",
        DATEDIF('Loan Tape (S&amp;P)'!K392, TODAY(), "M")&lt;18),
    1.10,
    1.00)</f>
        <v/>
      </c>
      <c r="O392">
        <f>IF('Loan Tape (S&amp;P)'!T392="Yes",
    1.35,
    1.00)</f>
        <v/>
      </c>
      <c r="P392">
        <f>IF('Loan Tape (S&amp;P)'!S392="Yes",
    1.15,
    1.00)</f>
        <v/>
      </c>
      <c r="Q392">
        <f>IF('Loan Tape (S&amp;P)'!V392="Yes",
    1.20,
    1.00)</f>
        <v/>
      </c>
      <c r="T392">
        <f>LET(
    payment_method,'Loan Tape (S&amp;P)'!P392,
    occupancy,'Loan Tape (S&amp;P)'!N392,
    maturity_date,'Loan Tape (S&amp;P)'!L392,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3">
      <c r="J393">
        <f>LET(
    lien,'Loan Tape (S&amp;P)'!Q393,
    IF(lien="First",1.00,
        IF(lien="Second",1.50,
            1.70)))</f>
        <v/>
      </c>
      <c r="K393">
        <f>LET(
    purpose,'Loan Tape (S&amp;P)'!R393,
    IF(purpose="Purchase",1.00,
        IF(purpose="Remortgage",1.00,
            1.20)))</f>
        <v/>
      </c>
      <c r="L393">
        <f>LET(
    arrears_months,'Loan Tape (S&amp;P)'!AN393,
    IF(arrears_months=0,1.00,
    IF(arrears_months=1,3.00,
    IF(arrears_months=2,5.00,
    IF(arrears_months=3,8.00,
    IF(arrears_months=4,10.00,
    IF(arrears_months=5,12.00,15.00)))))))</f>
        <v/>
      </c>
      <c r="M393">
        <f>LET(
    seasoning_years,DATEDIF('Loan Tape (S&amp;P)'!K393,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3">
        <f>IF(AND('Loan Tape (S&amp;P)'!U393="Yes",
        'Loan Tape (S&amp;P)'!T393&lt;&gt;"Yes",
        DATEDIF('Loan Tape (S&amp;P)'!K393, TODAY(), "M")&lt;18),
    1.10,
    1.00)</f>
        <v/>
      </c>
      <c r="O393">
        <f>IF('Loan Tape (S&amp;P)'!T393="Yes",
    1.35,
    1.00)</f>
        <v/>
      </c>
      <c r="P393">
        <f>IF('Loan Tape (S&amp;P)'!S393="Yes",
    1.15,
    1.00)</f>
        <v/>
      </c>
      <c r="Q393">
        <f>IF('Loan Tape (S&amp;P)'!V393="Yes",
    1.20,
    1.00)</f>
        <v/>
      </c>
      <c r="T393">
        <f>LET(
    payment_method,'Loan Tape (S&amp;P)'!P393,
    occupancy,'Loan Tape (S&amp;P)'!N393,
    maturity_date,'Loan Tape (S&amp;P)'!L393,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4">
      <c r="J394">
        <f>LET(
    lien,'Loan Tape (S&amp;P)'!Q394,
    IF(lien="First",1.00,
        IF(lien="Second",1.50,
            1.70)))</f>
        <v/>
      </c>
      <c r="K394">
        <f>LET(
    purpose,'Loan Tape (S&amp;P)'!R394,
    IF(purpose="Purchase",1.00,
        IF(purpose="Remortgage",1.00,
            1.20)))</f>
        <v/>
      </c>
      <c r="L394">
        <f>LET(
    arrears_months,'Loan Tape (S&amp;P)'!AN394,
    IF(arrears_months=0,1.00,
    IF(arrears_months=1,3.00,
    IF(arrears_months=2,5.00,
    IF(arrears_months=3,8.00,
    IF(arrears_months=4,10.00,
    IF(arrears_months=5,12.00,15.00)))))))</f>
        <v/>
      </c>
      <c r="M394">
        <f>LET(
    seasoning_years,DATEDIF('Loan Tape (S&amp;P)'!K394,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4">
        <f>IF(AND('Loan Tape (S&amp;P)'!U394="Yes",
        'Loan Tape (S&amp;P)'!T394&lt;&gt;"Yes",
        DATEDIF('Loan Tape (S&amp;P)'!K394, TODAY(), "M")&lt;18),
    1.10,
    1.00)</f>
        <v/>
      </c>
      <c r="O394">
        <f>IF('Loan Tape (S&amp;P)'!T394="Yes",
    1.35,
    1.00)</f>
        <v/>
      </c>
      <c r="P394">
        <f>IF('Loan Tape (S&amp;P)'!S394="Yes",
    1.15,
    1.00)</f>
        <v/>
      </c>
      <c r="Q394">
        <f>IF('Loan Tape (S&amp;P)'!V394="Yes",
    1.20,
    1.00)</f>
        <v/>
      </c>
      <c r="T394">
        <f>LET(
    payment_method,'Loan Tape (S&amp;P)'!P394,
    occupancy,'Loan Tape (S&amp;P)'!N394,
    maturity_date,'Loan Tape (S&amp;P)'!L394,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5">
      <c r="J395">
        <f>LET(
    lien,'Loan Tape (S&amp;P)'!Q395,
    IF(lien="First",1.00,
        IF(lien="Second",1.50,
            1.70)))</f>
        <v/>
      </c>
      <c r="K395">
        <f>LET(
    purpose,'Loan Tape (S&amp;P)'!R395,
    IF(purpose="Purchase",1.00,
        IF(purpose="Remortgage",1.00,
            1.20)))</f>
        <v/>
      </c>
      <c r="L395">
        <f>LET(
    arrears_months,'Loan Tape (S&amp;P)'!AN395,
    IF(arrears_months=0,1.00,
    IF(arrears_months=1,3.00,
    IF(arrears_months=2,5.00,
    IF(arrears_months=3,8.00,
    IF(arrears_months=4,10.00,
    IF(arrears_months=5,12.00,15.00)))))))</f>
        <v/>
      </c>
      <c r="M395">
        <f>LET(
    seasoning_years,DATEDIF('Loan Tape (S&amp;P)'!K395,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5">
        <f>IF(AND('Loan Tape (S&amp;P)'!U395="Yes",
        'Loan Tape (S&amp;P)'!T395&lt;&gt;"Yes",
        DATEDIF('Loan Tape (S&amp;P)'!K395, TODAY(), "M")&lt;18),
    1.10,
    1.00)</f>
        <v/>
      </c>
      <c r="O395">
        <f>IF('Loan Tape (S&amp;P)'!T395="Yes",
    1.35,
    1.00)</f>
        <v/>
      </c>
      <c r="P395">
        <f>IF('Loan Tape (S&amp;P)'!S395="Yes",
    1.15,
    1.00)</f>
        <v/>
      </c>
      <c r="Q395">
        <f>IF('Loan Tape (S&amp;P)'!V395="Yes",
    1.20,
    1.00)</f>
        <v/>
      </c>
      <c r="T395">
        <f>LET(
    payment_method,'Loan Tape (S&amp;P)'!P395,
    occupancy,'Loan Tape (S&amp;P)'!N395,
    maturity_date,'Loan Tape (S&amp;P)'!L395,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6">
      <c r="J396">
        <f>LET(
    lien,'Loan Tape (S&amp;P)'!Q396,
    IF(lien="First",1.00,
        IF(lien="Second",1.50,
            1.70)))</f>
        <v/>
      </c>
      <c r="K396">
        <f>LET(
    purpose,'Loan Tape (S&amp;P)'!R396,
    IF(purpose="Purchase",1.00,
        IF(purpose="Remortgage",1.00,
            1.20)))</f>
        <v/>
      </c>
      <c r="L396">
        <f>LET(
    arrears_months,'Loan Tape (S&amp;P)'!AN396,
    IF(arrears_months=0,1.00,
    IF(arrears_months=1,3.00,
    IF(arrears_months=2,5.00,
    IF(arrears_months=3,8.00,
    IF(arrears_months=4,10.00,
    IF(arrears_months=5,12.00,15.00)))))))</f>
        <v/>
      </c>
      <c r="M396">
        <f>LET(
    seasoning_years,DATEDIF('Loan Tape (S&amp;P)'!K396,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6">
        <f>IF(AND('Loan Tape (S&amp;P)'!U396="Yes",
        'Loan Tape (S&amp;P)'!T396&lt;&gt;"Yes",
        DATEDIF('Loan Tape (S&amp;P)'!K396, TODAY(), "M")&lt;18),
    1.10,
    1.00)</f>
        <v/>
      </c>
      <c r="O396">
        <f>IF('Loan Tape (S&amp;P)'!T396="Yes",
    1.35,
    1.00)</f>
        <v/>
      </c>
      <c r="P396">
        <f>IF('Loan Tape (S&amp;P)'!S396="Yes",
    1.15,
    1.00)</f>
        <v/>
      </c>
      <c r="Q396">
        <f>IF('Loan Tape (S&amp;P)'!V396="Yes",
    1.20,
    1.00)</f>
        <v/>
      </c>
      <c r="T396">
        <f>LET(
    payment_method,'Loan Tape (S&amp;P)'!P396,
    occupancy,'Loan Tape (S&amp;P)'!N396,
    maturity_date,'Loan Tape (S&amp;P)'!L396,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7">
      <c r="J397">
        <f>LET(
    lien,'Loan Tape (S&amp;P)'!Q397,
    IF(lien="First",1.00,
        IF(lien="Second",1.50,
            1.70)))</f>
        <v/>
      </c>
      <c r="K397">
        <f>LET(
    purpose,'Loan Tape (S&amp;P)'!R397,
    IF(purpose="Purchase",1.00,
        IF(purpose="Remortgage",1.00,
            1.20)))</f>
        <v/>
      </c>
      <c r="L397">
        <f>LET(
    arrears_months,'Loan Tape (S&amp;P)'!AN397,
    IF(arrears_months=0,1.00,
    IF(arrears_months=1,3.00,
    IF(arrears_months=2,5.00,
    IF(arrears_months=3,8.00,
    IF(arrears_months=4,10.00,
    IF(arrears_months=5,12.00,15.00)))))))</f>
        <v/>
      </c>
      <c r="M397">
        <f>LET(
    seasoning_years,DATEDIF('Loan Tape (S&amp;P)'!K397,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7">
        <f>IF(AND('Loan Tape (S&amp;P)'!U397="Yes",
        'Loan Tape (S&amp;P)'!T397&lt;&gt;"Yes",
        DATEDIF('Loan Tape (S&amp;P)'!K397, TODAY(), "M")&lt;18),
    1.10,
    1.00)</f>
        <v/>
      </c>
      <c r="O397">
        <f>IF('Loan Tape (S&amp;P)'!T397="Yes",
    1.35,
    1.00)</f>
        <v/>
      </c>
      <c r="P397">
        <f>IF('Loan Tape (S&amp;P)'!S397="Yes",
    1.15,
    1.00)</f>
        <v/>
      </c>
      <c r="Q397">
        <f>IF('Loan Tape (S&amp;P)'!V397="Yes",
    1.20,
    1.00)</f>
        <v/>
      </c>
      <c r="T397">
        <f>LET(
    payment_method,'Loan Tape (S&amp;P)'!P397,
    occupancy,'Loan Tape (S&amp;P)'!N397,
    maturity_date,'Loan Tape (S&amp;P)'!L397,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8">
      <c r="J398">
        <f>LET(
    lien,'Loan Tape (S&amp;P)'!Q398,
    IF(lien="First",1.00,
        IF(lien="Second",1.50,
            1.70)))</f>
        <v/>
      </c>
      <c r="K398">
        <f>LET(
    purpose,'Loan Tape (S&amp;P)'!R398,
    IF(purpose="Purchase",1.00,
        IF(purpose="Remortgage",1.00,
            1.20)))</f>
        <v/>
      </c>
      <c r="L398">
        <f>LET(
    arrears_months,'Loan Tape (S&amp;P)'!AN398,
    IF(arrears_months=0,1.00,
    IF(arrears_months=1,3.00,
    IF(arrears_months=2,5.00,
    IF(arrears_months=3,8.00,
    IF(arrears_months=4,10.00,
    IF(arrears_months=5,12.00,15.00)))))))</f>
        <v/>
      </c>
      <c r="M398">
        <f>LET(
    seasoning_years,DATEDIF('Loan Tape (S&amp;P)'!K398,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8">
        <f>IF(AND('Loan Tape (S&amp;P)'!U398="Yes",
        'Loan Tape (S&amp;P)'!T398&lt;&gt;"Yes",
        DATEDIF('Loan Tape (S&amp;P)'!K398, TODAY(), "M")&lt;18),
    1.10,
    1.00)</f>
        <v/>
      </c>
      <c r="O398">
        <f>IF('Loan Tape (S&amp;P)'!T398="Yes",
    1.35,
    1.00)</f>
        <v/>
      </c>
      <c r="P398">
        <f>IF('Loan Tape (S&amp;P)'!S398="Yes",
    1.15,
    1.00)</f>
        <v/>
      </c>
      <c r="Q398">
        <f>IF('Loan Tape (S&amp;P)'!V398="Yes",
    1.20,
    1.00)</f>
        <v/>
      </c>
      <c r="T398">
        <f>LET(
    payment_method,'Loan Tape (S&amp;P)'!P398,
    occupancy,'Loan Tape (S&amp;P)'!N398,
    maturity_date,'Loan Tape (S&amp;P)'!L398,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9">
      <c r="J399">
        <f>LET(
    lien,'Loan Tape (S&amp;P)'!Q399,
    IF(lien="First",1.00,
        IF(lien="Second",1.50,
            1.70)))</f>
        <v/>
      </c>
      <c r="K399">
        <f>LET(
    purpose,'Loan Tape (S&amp;P)'!R399,
    IF(purpose="Purchase",1.00,
        IF(purpose="Remortgage",1.00,
            1.20)))</f>
        <v/>
      </c>
      <c r="L399">
        <f>LET(
    arrears_months,'Loan Tape (S&amp;P)'!AN399,
    IF(arrears_months=0,1.00,
    IF(arrears_months=1,3.00,
    IF(arrears_months=2,5.00,
    IF(arrears_months=3,8.00,
    IF(arrears_months=4,10.00,
    IF(arrears_months=5,12.00,15.00)))))))</f>
        <v/>
      </c>
      <c r="M399">
        <f>LET(
    seasoning_years,DATEDIF('Loan Tape (S&amp;P)'!K399,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9">
        <f>IF(AND('Loan Tape (S&amp;P)'!U399="Yes",
        'Loan Tape (S&amp;P)'!T399&lt;&gt;"Yes",
        DATEDIF('Loan Tape (S&amp;P)'!K399, TODAY(), "M")&lt;18),
    1.10,
    1.00)</f>
        <v/>
      </c>
      <c r="O399">
        <f>IF('Loan Tape (S&amp;P)'!T399="Yes",
    1.35,
    1.00)</f>
        <v/>
      </c>
      <c r="P399">
        <f>IF('Loan Tape (S&amp;P)'!S399="Yes",
    1.15,
    1.00)</f>
        <v/>
      </c>
      <c r="Q399">
        <f>IF('Loan Tape (S&amp;P)'!V399="Yes",
    1.20,
    1.00)</f>
        <v/>
      </c>
      <c r="T399">
        <f>LET(
    payment_method,'Loan Tape (S&amp;P)'!P399,
    occupancy,'Loan Tape (S&amp;P)'!N399,
    maturity_date,'Loan Tape (S&amp;P)'!L399,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0">
      <c r="J400">
        <f>LET(
    lien,'Loan Tape (S&amp;P)'!Q400,
    IF(lien="First",1.00,
        IF(lien="Second",1.50,
            1.70)))</f>
        <v/>
      </c>
      <c r="K400">
        <f>LET(
    purpose,'Loan Tape (S&amp;P)'!R400,
    IF(purpose="Purchase",1.00,
        IF(purpose="Remortgage",1.00,
            1.20)))</f>
        <v/>
      </c>
      <c r="L400">
        <f>LET(
    arrears_months,'Loan Tape (S&amp;P)'!AN400,
    IF(arrears_months=0,1.00,
    IF(arrears_months=1,3.00,
    IF(arrears_months=2,5.00,
    IF(arrears_months=3,8.00,
    IF(arrears_months=4,10.00,
    IF(arrears_months=5,12.00,15.00)))))))</f>
        <v/>
      </c>
      <c r="M400">
        <f>LET(
    seasoning_years,DATEDIF('Loan Tape (S&amp;P)'!K400,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0">
        <f>IF(AND('Loan Tape (S&amp;P)'!U400="Yes",
        'Loan Tape (S&amp;P)'!T400&lt;&gt;"Yes",
        DATEDIF('Loan Tape (S&amp;P)'!K400, TODAY(), "M")&lt;18),
    1.10,
    1.00)</f>
        <v/>
      </c>
      <c r="O400">
        <f>IF('Loan Tape (S&amp;P)'!T400="Yes",
    1.35,
    1.00)</f>
        <v/>
      </c>
      <c r="P400">
        <f>IF('Loan Tape (S&amp;P)'!S400="Yes",
    1.15,
    1.00)</f>
        <v/>
      </c>
      <c r="Q400">
        <f>IF('Loan Tape (S&amp;P)'!V400="Yes",
    1.20,
    1.00)</f>
        <v/>
      </c>
      <c r="T400">
        <f>LET(
    payment_method,'Loan Tape (S&amp;P)'!P400,
    occupancy,'Loan Tape (S&amp;P)'!N400,
    maturity_date,'Loan Tape (S&amp;P)'!L400,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1">
      <c r="J401">
        <f>LET(
    lien,'Loan Tape (S&amp;P)'!Q401,
    IF(lien="First",1.00,
        IF(lien="Second",1.50,
            1.70)))</f>
        <v/>
      </c>
      <c r="K401">
        <f>LET(
    purpose,'Loan Tape (S&amp;P)'!R401,
    IF(purpose="Purchase",1.00,
        IF(purpose="Remortgage",1.00,
            1.20)))</f>
        <v/>
      </c>
      <c r="L401">
        <f>LET(
    arrears_months,'Loan Tape (S&amp;P)'!AN401,
    IF(arrears_months=0,1.00,
    IF(arrears_months=1,3.00,
    IF(arrears_months=2,5.00,
    IF(arrears_months=3,8.00,
    IF(arrears_months=4,10.00,
    IF(arrears_months=5,12.00,15.00)))))))</f>
        <v/>
      </c>
      <c r="M401">
        <f>LET(
    seasoning_years,DATEDIF('Loan Tape (S&amp;P)'!K401,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1">
        <f>IF(AND('Loan Tape (S&amp;P)'!U401="Yes",
        'Loan Tape (S&amp;P)'!T401&lt;&gt;"Yes",
        DATEDIF('Loan Tape (S&amp;P)'!K401, TODAY(), "M")&lt;18),
    1.10,
    1.00)</f>
        <v/>
      </c>
      <c r="O401">
        <f>IF('Loan Tape (S&amp;P)'!T401="Yes",
    1.35,
    1.00)</f>
        <v/>
      </c>
      <c r="P401">
        <f>IF('Loan Tape (S&amp;P)'!S401="Yes",
    1.15,
    1.00)</f>
        <v/>
      </c>
      <c r="Q401">
        <f>IF('Loan Tape (S&amp;P)'!V401="Yes",
    1.20,
    1.00)</f>
        <v/>
      </c>
      <c r="T401">
        <f>LET(
    payment_method,'Loan Tape (S&amp;P)'!P401,
    occupancy,'Loan Tape (S&amp;P)'!N401,
    maturity_date,'Loan Tape (S&amp;P)'!L401,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2">
      <c r="J402">
        <f>LET(
    lien,'Loan Tape (S&amp;P)'!Q402,
    IF(lien="First",1.00,
        IF(lien="Second",1.50,
            1.70)))</f>
        <v/>
      </c>
      <c r="K402">
        <f>LET(
    purpose,'Loan Tape (S&amp;P)'!R402,
    IF(purpose="Purchase",1.00,
        IF(purpose="Remortgage",1.00,
            1.20)))</f>
        <v/>
      </c>
      <c r="L402">
        <f>LET(
    arrears_months,'Loan Tape (S&amp;P)'!AN402,
    IF(arrears_months=0,1.00,
    IF(arrears_months=1,3.00,
    IF(arrears_months=2,5.00,
    IF(arrears_months=3,8.00,
    IF(arrears_months=4,10.00,
    IF(arrears_months=5,12.00,15.00)))))))</f>
        <v/>
      </c>
      <c r="M402">
        <f>LET(
    seasoning_years,DATEDIF('Loan Tape (S&amp;P)'!K402,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2">
        <f>IF(AND('Loan Tape (S&amp;P)'!U402="Yes",
        'Loan Tape (S&amp;P)'!T402&lt;&gt;"Yes",
        DATEDIF('Loan Tape (S&amp;P)'!K402, TODAY(), "M")&lt;18),
    1.10,
    1.00)</f>
        <v/>
      </c>
      <c r="O402">
        <f>IF('Loan Tape (S&amp;P)'!T402="Yes",
    1.35,
    1.00)</f>
        <v/>
      </c>
      <c r="P402">
        <f>IF('Loan Tape (S&amp;P)'!S402="Yes",
    1.15,
    1.00)</f>
        <v/>
      </c>
      <c r="Q402">
        <f>IF('Loan Tape (S&amp;P)'!V402="Yes",
    1.20,
    1.00)</f>
        <v/>
      </c>
      <c r="T402">
        <f>LET(
    payment_method,'Loan Tape (S&amp;P)'!P402,
    occupancy,'Loan Tape (S&amp;P)'!N402,
    maturity_date,'Loan Tape (S&amp;P)'!L402,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3">
      <c r="J403">
        <f>LET(
    lien,'Loan Tape (S&amp;P)'!Q403,
    IF(lien="First",1.00,
        IF(lien="Second",1.50,
            1.70)))</f>
        <v/>
      </c>
      <c r="K403">
        <f>LET(
    purpose,'Loan Tape (S&amp;P)'!R403,
    IF(purpose="Purchase",1.00,
        IF(purpose="Remortgage",1.00,
            1.20)))</f>
        <v/>
      </c>
      <c r="L403">
        <f>LET(
    arrears_months,'Loan Tape (S&amp;P)'!AN403,
    IF(arrears_months=0,1.00,
    IF(arrears_months=1,3.00,
    IF(arrears_months=2,5.00,
    IF(arrears_months=3,8.00,
    IF(arrears_months=4,10.00,
    IF(arrears_months=5,12.00,15.00)))))))</f>
        <v/>
      </c>
      <c r="M403">
        <f>LET(
    seasoning_years,DATEDIF('Loan Tape (S&amp;P)'!K403,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3">
        <f>IF(AND('Loan Tape (S&amp;P)'!U403="Yes",
        'Loan Tape (S&amp;P)'!T403&lt;&gt;"Yes",
        DATEDIF('Loan Tape (S&amp;P)'!K403, TODAY(), "M")&lt;18),
    1.10,
    1.00)</f>
        <v/>
      </c>
      <c r="O403">
        <f>IF('Loan Tape (S&amp;P)'!T403="Yes",
    1.35,
    1.00)</f>
        <v/>
      </c>
      <c r="P403">
        <f>IF('Loan Tape (S&amp;P)'!S403="Yes",
    1.15,
    1.00)</f>
        <v/>
      </c>
      <c r="Q403">
        <f>IF('Loan Tape (S&amp;P)'!V403="Yes",
    1.20,
    1.00)</f>
        <v/>
      </c>
      <c r="T403">
        <f>LET(
    payment_method,'Loan Tape (S&amp;P)'!P403,
    occupancy,'Loan Tape (S&amp;P)'!N403,
    maturity_date,'Loan Tape (S&amp;P)'!L403,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4">
      <c r="J404">
        <f>LET(
    lien,'Loan Tape (S&amp;P)'!Q404,
    IF(lien="First",1.00,
        IF(lien="Second",1.50,
            1.70)))</f>
        <v/>
      </c>
      <c r="K404">
        <f>LET(
    purpose,'Loan Tape (S&amp;P)'!R404,
    IF(purpose="Purchase",1.00,
        IF(purpose="Remortgage",1.00,
            1.20)))</f>
        <v/>
      </c>
      <c r="L404">
        <f>LET(
    arrears_months,'Loan Tape (S&amp;P)'!AN404,
    IF(arrears_months=0,1.00,
    IF(arrears_months=1,3.00,
    IF(arrears_months=2,5.00,
    IF(arrears_months=3,8.00,
    IF(arrears_months=4,10.00,
    IF(arrears_months=5,12.00,15.00)))))))</f>
        <v/>
      </c>
      <c r="M404">
        <f>LET(
    seasoning_years,DATEDIF('Loan Tape (S&amp;P)'!K404,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4">
        <f>IF(AND('Loan Tape (S&amp;P)'!U404="Yes",
        'Loan Tape (S&amp;P)'!T404&lt;&gt;"Yes",
        DATEDIF('Loan Tape (S&amp;P)'!K404, TODAY(), "M")&lt;18),
    1.10,
    1.00)</f>
        <v/>
      </c>
      <c r="O404">
        <f>IF('Loan Tape (S&amp;P)'!T404="Yes",
    1.35,
    1.00)</f>
        <v/>
      </c>
      <c r="P404">
        <f>IF('Loan Tape (S&amp;P)'!S404="Yes",
    1.15,
    1.00)</f>
        <v/>
      </c>
      <c r="Q404">
        <f>IF('Loan Tape (S&amp;P)'!V404="Yes",
    1.20,
    1.00)</f>
        <v/>
      </c>
      <c r="T404">
        <f>LET(
    payment_method,'Loan Tape (S&amp;P)'!P404,
    occupancy,'Loan Tape (S&amp;P)'!N404,
    maturity_date,'Loan Tape (S&amp;P)'!L404,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5">
      <c r="J405">
        <f>LET(
    lien,'Loan Tape (S&amp;P)'!Q405,
    IF(lien="First",1.00,
        IF(lien="Second",1.50,
            1.70)))</f>
        <v/>
      </c>
      <c r="K405">
        <f>LET(
    purpose,'Loan Tape (S&amp;P)'!R405,
    IF(purpose="Purchase",1.00,
        IF(purpose="Remortgage",1.00,
            1.20)))</f>
        <v/>
      </c>
      <c r="L405">
        <f>LET(
    arrears_months,'Loan Tape (S&amp;P)'!AN405,
    IF(arrears_months=0,1.00,
    IF(arrears_months=1,3.00,
    IF(arrears_months=2,5.00,
    IF(arrears_months=3,8.00,
    IF(arrears_months=4,10.00,
    IF(arrears_months=5,12.00,15.00)))))))</f>
        <v/>
      </c>
      <c r="M405">
        <f>LET(
    seasoning_years,DATEDIF('Loan Tape (S&amp;P)'!K405,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5">
        <f>IF(AND('Loan Tape (S&amp;P)'!U405="Yes",
        'Loan Tape (S&amp;P)'!T405&lt;&gt;"Yes",
        DATEDIF('Loan Tape (S&amp;P)'!K405, TODAY(), "M")&lt;18),
    1.10,
    1.00)</f>
        <v/>
      </c>
      <c r="O405">
        <f>IF('Loan Tape (S&amp;P)'!T405="Yes",
    1.35,
    1.00)</f>
        <v/>
      </c>
      <c r="P405">
        <f>IF('Loan Tape (S&amp;P)'!S405="Yes",
    1.15,
    1.00)</f>
        <v/>
      </c>
      <c r="Q405">
        <f>IF('Loan Tape (S&amp;P)'!V405="Yes",
    1.20,
    1.00)</f>
        <v/>
      </c>
      <c r="T405">
        <f>LET(
    payment_method,'Loan Tape (S&amp;P)'!P405,
    occupancy,'Loan Tape (S&amp;P)'!N405,
    maturity_date,'Loan Tape (S&amp;P)'!L405,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6">
      <c r="J406">
        <f>LET(
    lien,'Loan Tape (S&amp;P)'!Q406,
    IF(lien="First",1.00,
        IF(lien="Second",1.50,
            1.70)))</f>
        <v/>
      </c>
      <c r="K406">
        <f>LET(
    purpose,'Loan Tape (S&amp;P)'!R406,
    IF(purpose="Purchase",1.00,
        IF(purpose="Remortgage",1.00,
            1.20)))</f>
        <v/>
      </c>
      <c r="L406">
        <f>LET(
    arrears_months,'Loan Tape (S&amp;P)'!AN406,
    IF(arrears_months=0,1.00,
    IF(arrears_months=1,3.00,
    IF(arrears_months=2,5.00,
    IF(arrears_months=3,8.00,
    IF(arrears_months=4,10.00,
    IF(arrears_months=5,12.00,15.00)))))))</f>
        <v/>
      </c>
      <c r="M406">
        <f>LET(
    seasoning_years,DATEDIF('Loan Tape (S&amp;P)'!K406,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6">
        <f>IF(AND('Loan Tape (S&amp;P)'!U406="Yes",
        'Loan Tape (S&amp;P)'!T406&lt;&gt;"Yes",
        DATEDIF('Loan Tape (S&amp;P)'!K406, TODAY(), "M")&lt;18),
    1.10,
    1.00)</f>
        <v/>
      </c>
      <c r="O406">
        <f>IF('Loan Tape (S&amp;P)'!T406="Yes",
    1.35,
    1.00)</f>
        <v/>
      </c>
      <c r="P406">
        <f>IF('Loan Tape (S&amp;P)'!S406="Yes",
    1.15,
    1.00)</f>
        <v/>
      </c>
      <c r="Q406">
        <f>IF('Loan Tape (S&amp;P)'!V406="Yes",
    1.20,
    1.00)</f>
        <v/>
      </c>
      <c r="T406">
        <f>LET(
    payment_method,'Loan Tape (S&amp;P)'!P406,
    occupancy,'Loan Tape (S&amp;P)'!N406,
    maturity_date,'Loan Tape (S&amp;P)'!L406,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7">
      <c r="J407">
        <f>LET(
    lien,'Loan Tape (S&amp;P)'!Q407,
    IF(lien="First",1.00,
        IF(lien="Second",1.50,
            1.70)))</f>
        <v/>
      </c>
      <c r="K407">
        <f>LET(
    purpose,'Loan Tape (S&amp;P)'!R407,
    IF(purpose="Purchase",1.00,
        IF(purpose="Remortgage",1.00,
            1.20)))</f>
        <v/>
      </c>
      <c r="L407">
        <f>LET(
    arrears_months,'Loan Tape (S&amp;P)'!AN407,
    IF(arrears_months=0,1.00,
    IF(arrears_months=1,3.00,
    IF(arrears_months=2,5.00,
    IF(arrears_months=3,8.00,
    IF(arrears_months=4,10.00,
    IF(arrears_months=5,12.00,15.00)))))))</f>
        <v/>
      </c>
      <c r="M407">
        <f>LET(
    seasoning_years,DATEDIF('Loan Tape (S&amp;P)'!K407,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7">
        <f>IF(AND('Loan Tape (S&amp;P)'!U407="Yes",
        'Loan Tape (S&amp;P)'!T407&lt;&gt;"Yes",
        DATEDIF('Loan Tape (S&amp;P)'!K407, TODAY(), "M")&lt;18),
    1.10,
    1.00)</f>
        <v/>
      </c>
      <c r="O407">
        <f>IF('Loan Tape (S&amp;P)'!T407="Yes",
    1.35,
    1.00)</f>
        <v/>
      </c>
      <c r="P407">
        <f>IF('Loan Tape (S&amp;P)'!S407="Yes",
    1.15,
    1.00)</f>
        <v/>
      </c>
      <c r="Q407">
        <f>IF('Loan Tape (S&amp;P)'!V407="Yes",
    1.20,
    1.00)</f>
        <v/>
      </c>
      <c r="T407">
        <f>LET(
    payment_method,'Loan Tape (S&amp;P)'!P407,
    occupancy,'Loan Tape (S&amp;P)'!N407,
    maturity_date,'Loan Tape (S&amp;P)'!L407,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8">
      <c r="J408">
        <f>LET(
    lien,'Loan Tape (S&amp;P)'!Q408,
    IF(lien="First",1.00,
        IF(lien="Second",1.50,
            1.70)))</f>
        <v/>
      </c>
      <c r="K408">
        <f>LET(
    purpose,'Loan Tape (S&amp;P)'!R408,
    IF(purpose="Purchase",1.00,
        IF(purpose="Remortgage",1.00,
            1.20)))</f>
        <v/>
      </c>
      <c r="L408">
        <f>LET(
    arrears_months,'Loan Tape (S&amp;P)'!AN408,
    IF(arrears_months=0,1.00,
    IF(arrears_months=1,3.00,
    IF(arrears_months=2,5.00,
    IF(arrears_months=3,8.00,
    IF(arrears_months=4,10.00,
    IF(arrears_months=5,12.00,15.00)))))))</f>
        <v/>
      </c>
      <c r="M408">
        <f>LET(
    seasoning_years,DATEDIF('Loan Tape (S&amp;P)'!K408,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8">
        <f>IF(AND('Loan Tape (S&amp;P)'!U408="Yes",
        'Loan Tape (S&amp;P)'!T408&lt;&gt;"Yes",
        DATEDIF('Loan Tape (S&amp;P)'!K408, TODAY(), "M")&lt;18),
    1.10,
    1.00)</f>
        <v/>
      </c>
      <c r="O408">
        <f>IF('Loan Tape (S&amp;P)'!T408="Yes",
    1.35,
    1.00)</f>
        <v/>
      </c>
      <c r="P408">
        <f>IF('Loan Tape (S&amp;P)'!S408="Yes",
    1.15,
    1.00)</f>
        <v/>
      </c>
      <c r="Q408">
        <f>IF('Loan Tape (S&amp;P)'!V408="Yes",
    1.20,
    1.00)</f>
        <v/>
      </c>
      <c r="T408">
        <f>LET(
    payment_method,'Loan Tape (S&amp;P)'!P408,
    occupancy,'Loan Tape (S&amp;P)'!N408,
    maturity_date,'Loan Tape (S&amp;P)'!L408,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9">
      <c r="J409">
        <f>LET(
    lien,'Loan Tape (S&amp;P)'!Q409,
    IF(lien="First",1.00,
        IF(lien="Second",1.50,
            1.70)))</f>
        <v/>
      </c>
      <c r="K409">
        <f>LET(
    purpose,'Loan Tape (S&amp;P)'!R409,
    IF(purpose="Purchase",1.00,
        IF(purpose="Remortgage",1.00,
            1.20)))</f>
        <v/>
      </c>
      <c r="L409">
        <f>LET(
    arrears_months,'Loan Tape (S&amp;P)'!AN409,
    IF(arrears_months=0,1.00,
    IF(arrears_months=1,3.00,
    IF(arrears_months=2,5.00,
    IF(arrears_months=3,8.00,
    IF(arrears_months=4,10.00,
    IF(arrears_months=5,12.00,15.00)))))))</f>
        <v/>
      </c>
      <c r="M409">
        <f>LET(
    seasoning_years,DATEDIF('Loan Tape (S&amp;P)'!K409,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9">
        <f>IF(AND('Loan Tape (S&amp;P)'!U409="Yes",
        'Loan Tape (S&amp;P)'!T409&lt;&gt;"Yes",
        DATEDIF('Loan Tape (S&amp;P)'!K409, TODAY(), "M")&lt;18),
    1.10,
    1.00)</f>
        <v/>
      </c>
      <c r="O409">
        <f>IF('Loan Tape (S&amp;P)'!T409="Yes",
    1.35,
    1.00)</f>
        <v/>
      </c>
      <c r="P409">
        <f>IF('Loan Tape (S&amp;P)'!S409="Yes",
    1.15,
    1.00)</f>
        <v/>
      </c>
      <c r="Q409">
        <f>IF('Loan Tape (S&amp;P)'!V409="Yes",
    1.20,
    1.00)</f>
        <v/>
      </c>
      <c r="T409">
        <f>LET(
    payment_method,'Loan Tape (S&amp;P)'!P409,
    occupancy,'Loan Tape (S&amp;P)'!N409,
    maturity_date,'Loan Tape (S&amp;P)'!L409,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0">
      <c r="J410">
        <f>LET(
    lien,'Loan Tape (S&amp;P)'!Q410,
    IF(lien="First",1.00,
        IF(lien="Second",1.50,
            1.70)))</f>
        <v/>
      </c>
      <c r="K410">
        <f>LET(
    purpose,'Loan Tape (S&amp;P)'!R410,
    IF(purpose="Purchase",1.00,
        IF(purpose="Remortgage",1.00,
            1.20)))</f>
        <v/>
      </c>
      <c r="L410">
        <f>LET(
    arrears_months,'Loan Tape (S&amp;P)'!AN410,
    IF(arrears_months=0,1.00,
    IF(arrears_months=1,3.00,
    IF(arrears_months=2,5.00,
    IF(arrears_months=3,8.00,
    IF(arrears_months=4,10.00,
    IF(arrears_months=5,12.00,15.00)))))))</f>
        <v/>
      </c>
      <c r="M410">
        <f>LET(
    seasoning_years,DATEDIF('Loan Tape (S&amp;P)'!K410,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0">
        <f>IF(AND('Loan Tape (S&amp;P)'!U410="Yes",
        'Loan Tape (S&amp;P)'!T410&lt;&gt;"Yes",
        DATEDIF('Loan Tape (S&amp;P)'!K410, TODAY(), "M")&lt;18),
    1.10,
    1.00)</f>
        <v/>
      </c>
      <c r="O410">
        <f>IF('Loan Tape (S&amp;P)'!T410="Yes",
    1.35,
    1.00)</f>
        <v/>
      </c>
      <c r="P410">
        <f>IF('Loan Tape (S&amp;P)'!S410="Yes",
    1.15,
    1.00)</f>
        <v/>
      </c>
      <c r="Q410">
        <f>IF('Loan Tape (S&amp;P)'!V410="Yes",
    1.20,
    1.00)</f>
        <v/>
      </c>
      <c r="T410">
        <f>LET(
    payment_method,'Loan Tape (S&amp;P)'!P410,
    occupancy,'Loan Tape (S&amp;P)'!N410,
    maturity_date,'Loan Tape (S&amp;P)'!L410,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1">
      <c r="J411">
        <f>LET(
    lien,'Loan Tape (S&amp;P)'!Q411,
    IF(lien="First",1.00,
        IF(lien="Second",1.50,
            1.70)))</f>
        <v/>
      </c>
      <c r="K411">
        <f>LET(
    purpose,'Loan Tape (S&amp;P)'!R411,
    IF(purpose="Purchase",1.00,
        IF(purpose="Remortgage",1.00,
            1.20)))</f>
        <v/>
      </c>
      <c r="L411">
        <f>LET(
    arrears_months,'Loan Tape (S&amp;P)'!AN411,
    IF(arrears_months=0,1.00,
    IF(arrears_months=1,3.00,
    IF(arrears_months=2,5.00,
    IF(arrears_months=3,8.00,
    IF(arrears_months=4,10.00,
    IF(arrears_months=5,12.00,15.00)))))))</f>
        <v/>
      </c>
      <c r="M411">
        <f>LET(
    seasoning_years,DATEDIF('Loan Tape (S&amp;P)'!K411,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1">
        <f>IF(AND('Loan Tape (S&amp;P)'!U411="Yes",
        'Loan Tape (S&amp;P)'!T411&lt;&gt;"Yes",
        DATEDIF('Loan Tape (S&amp;P)'!K411, TODAY(), "M")&lt;18),
    1.10,
    1.00)</f>
        <v/>
      </c>
      <c r="O411">
        <f>IF('Loan Tape (S&amp;P)'!T411="Yes",
    1.35,
    1.00)</f>
        <v/>
      </c>
      <c r="P411">
        <f>IF('Loan Tape (S&amp;P)'!S411="Yes",
    1.15,
    1.00)</f>
        <v/>
      </c>
      <c r="Q411">
        <f>IF('Loan Tape (S&amp;P)'!V411="Yes",
    1.20,
    1.00)</f>
        <v/>
      </c>
      <c r="T411">
        <f>LET(
    payment_method,'Loan Tape (S&amp;P)'!P411,
    occupancy,'Loan Tape (S&amp;P)'!N411,
    maturity_date,'Loan Tape (S&amp;P)'!L411,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2">
      <c r="J412">
        <f>LET(
    lien,'Loan Tape (S&amp;P)'!Q412,
    IF(lien="First",1.00,
        IF(lien="Second",1.50,
            1.70)))</f>
        <v/>
      </c>
      <c r="K412">
        <f>LET(
    purpose,'Loan Tape (S&amp;P)'!R412,
    IF(purpose="Purchase",1.00,
        IF(purpose="Remortgage",1.00,
            1.20)))</f>
        <v/>
      </c>
      <c r="L412">
        <f>LET(
    arrears_months,'Loan Tape (S&amp;P)'!AN412,
    IF(arrears_months=0,1.00,
    IF(arrears_months=1,3.00,
    IF(arrears_months=2,5.00,
    IF(arrears_months=3,8.00,
    IF(arrears_months=4,10.00,
    IF(arrears_months=5,12.00,15.00)))))))</f>
        <v/>
      </c>
      <c r="M412">
        <f>LET(
    seasoning_years,DATEDIF('Loan Tape (S&amp;P)'!K412,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2">
        <f>IF(AND('Loan Tape (S&amp;P)'!U412="Yes",
        'Loan Tape (S&amp;P)'!T412&lt;&gt;"Yes",
        DATEDIF('Loan Tape (S&amp;P)'!K412, TODAY(), "M")&lt;18),
    1.10,
    1.00)</f>
        <v/>
      </c>
      <c r="O412">
        <f>IF('Loan Tape (S&amp;P)'!T412="Yes",
    1.35,
    1.00)</f>
        <v/>
      </c>
      <c r="P412">
        <f>IF('Loan Tape (S&amp;P)'!S412="Yes",
    1.15,
    1.00)</f>
        <v/>
      </c>
      <c r="Q412">
        <f>IF('Loan Tape (S&amp;P)'!V412="Yes",
    1.20,
    1.00)</f>
        <v/>
      </c>
      <c r="T412">
        <f>LET(
    payment_method,'Loan Tape (S&amp;P)'!P412,
    occupancy,'Loan Tape (S&amp;P)'!N412,
    maturity_date,'Loan Tape (S&amp;P)'!L412,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3">
      <c r="J413">
        <f>LET(
    lien,'Loan Tape (S&amp;P)'!Q413,
    IF(lien="First",1.00,
        IF(lien="Second",1.50,
            1.70)))</f>
        <v/>
      </c>
      <c r="K413">
        <f>LET(
    purpose,'Loan Tape (S&amp;P)'!R413,
    IF(purpose="Purchase",1.00,
        IF(purpose="Remortgage",1.00,
            1.20)))</f>
        <v/>
      </c>
      <c r="L413">
        <f>LET(
    arrears_months,'Loan Tape (S&amp;P)'!AN413,
    IF(arrears_months=0,1.00,
    IF(arrears_months=1,3.00,
    IF(arrears_months=2,5.00,
    IF(arrears_months=3,8.00,
    IF(arrears_months=4,10.00,
    IF(arrears_months=5,12.00,15.00)))))))</f>
        <v/>
      </c>
      <c r="M413">
        <f>LET(
    seasoning_years,DATEDIF('Loan Tape (S&amp;P)'!K413,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3">
        <f>IF(AND('Loan Tape (S&amp;P)'!U413="Yes",
        'Loan Tape (S&amp;P)'!T413&lt;&gt;"Yes",
        DATEDIF('Loan Tape (S&amp;P)'!K413, TODAY(), "M")&lt;18),
    1.10,
    1.00)</f>
        <v/>
      </c>
      <c r="O413">
        <f>IF('Loan Tape (S&amp;P)'!T413="Yes",
    1.35,
    1.00)</f>
        <v/>
      </c>
      <c r="P413">
        <f>IF('Loan Tape (S&amp;P)'!S413="Yes",
    1.15,
    1.00)</f>
        <v/>
      </c>
      <c r="Q413">
        <f>IF('Loan Tape (S&amp;P)'!V413="Yes",
    1.20,
    1.00)</f>
        <v/>
      </c>
      <c r="T413">
        <f>LET(
    payment_method,'Loan Tape (S&amp;P)'!P413,
    occupancy,'Loan Tape (S&amp;P)'!N413,
    maturity_date,'Loan Tape (S&amp;P)'!L413,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4">
      <c r="J414">
        <f>LET(
    lien,'Loan Tape (S&amp;P)'!Q414,
    IF(lien="First",1.00,
        IF(lien="Second",1.50,
            1.70)))</f>
        <v/>
      </c>
      <c r="K414">
        <f>LET(
    purpose,'Loan Tape (S&amp;P)'!R414,
    IF(purpose="Purchase",1.00,
        IF(purpose="Remortgage",1.00,
            1.20)))</f>
        <v/>
      </c>
      <c r="L414">
        <f>LET(
    arrears_months,'Loan Tape (S&amp;P)'!AN414,
    IF(arrears_months=0,1.00,
    IF(arrears_months=1,3.00,
    IF(arrears_months=2,5.00,
    IF(arrears_months=3,8.00,
    IF(arrears_months=4,10.00,
    IF(arrears_months=5,12.00,15.00)))))))</f>
        <v/>
      </c>
      <c r="M414">
        <f>LET(
    seasoning_years,DATEDIF('Loan Tape (S&amp;P)'!K414,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4">
        <f>IF(AND('Loan Tape (S&amp;P)'!U414="Yes",
        'Loan Tape (S&amp;P)'!T414&lt;&gt;"Yes",
        DATEDIF('Loan Tape (S&amp;P)'!K414, TODAY(), "M")&lt;18),
    1.10,
    1.00)</f>
        <v/>
      </c>
      <c r="O414">
        <f>IF('Loan Tape (S&amp;P)'!T414="Yes",
    1.35,
    1.00)</f>
        <v/>
      </c>
      <c r="P414">
        <f>IF('Loan Tape (S&amp;P)'!S414="Yes",
    1.15,
    1.00)</f>
        <v/>
      </c>
      <c r="Q414">
        <f>IF('Loan Tape (S&amp;P)'!V414="Yes",
    1.20,
    1.00)</f>
        <v/>
      </c>
      <c r="T414">
        <f>LET(
    payment_method,'Loan Tape (S&amp;P)'!P414,
    occupancy,'Loan Tape (S&amp;P)'!N414,
    maturity_date,'Loan Tape (S&amp;P)'!L414,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5">
      <c r="J415">
        <f>LET(
    lien,'Loan Tape (S&amp;P)'!Q415,
    IF(lien="First",1.00,
        IF(lien="Second",1.50,
            1.70)))</f>
        <v/>
      </c>
      <c r="K415">
        <f>LET(
    purpose,'Loan Tape (S&amp;P)'!R415,
    IF(purpose="Purchase",1.00,
        IF(purpose="Remortgage",1.00,
            1.20)))</f>
        <v/>
      </c>
      <c r="L415">
        <f>LET(
    arrears_months,'Loan Tape (S&amp;P)'!AN415,
    IF(arrears_months=0,1.00,
    IF(arrears_months=1,3.00,
    IF(arrears_months=2,5.00,
    IF(arrears_months=3,8.00,
    IF(arrears_months=4,10.00,
    IF(arrears_months=5,12.00,15.00)))))))</f>
        <v/>
      </c>
      <c r="M415">
        <f>LET(
    seasoning_years,DATEDIF('Loan Tape (S&amp;P)'!K415,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5">
        <f>IF(AND('Loan Tape (S&amp;P)'!U415="Yes",
        'Loan Tape (S&amp;P)'!T415&lt;&gt;"Yes",
        DATEDIF('Loan Tape (S&amp;P)'!K415, TODAY(), "M")&lt;18),
    1.10,
    1.00)</f>
        <v/>
      </c>
      <c r="O415">
        <f>IF('Loan Tape (S&amp;P)'!T415="Yes",
    1.35,
    1.00)</f>
        <v/>
      </c>
      <c r="P415">
        <f>IF('Loan Tape (S&amp;P)'!S415="Yes",
    1.15,
    1.00)</f>
        <v/>
      </c>
      <c r="Q415">
        <f>IF('Loan Tape (S&amp;P)'!V415="Yes",
    1.20,
    1.00)</f>
        <v/>
      </c>
      <c r="T415">
        <f>LET(
    payment_method,'Loan Tape (S&amp;P)'!P415,
    occupancy,'Loan Tape (S&amp;P)'!N415,
    maturity_date,'Loan Tape (S&amp;P)'!L415,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6">
      <c r="J416">
        <f>LET(
    lien,'Loan Tape (S&amp;P)'!Q416,
    IF(lien="First",1.00,
        IF(lien="Second",1.50,
            1.70)))</f>
        <v/>
      </c>
      <c r="K416">
        <f>LET(
    purpose,'Loan Tape (S&amp;P)'!R416,
    IF(purpose="Purchase",1.00,
        IF(purpose="Remortgage",1.00,
            1.20)))</f>
        <v/>
      </c>
      <c r="L416">
        <f>LET(
    arrears_months,'Loan Tape (S&amp;P)'!AN416,
    IF(arrears_months=0,1.00,
    IF(arrears_months=1,3.00,
    IF(arrears_months=2,5.00,
    IF(arrears_months=3,8.00,
    IF(arrears_months=4,10.00,
    IF(arrears_months=5,12.00,15.00)))))))</f>
        <v/>
      </c>
      <c r="M416">
        <f>LET(
    seasoning_years,DATEDIF('Loan Tape (S&amp;P)'!K416,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6">
        <f>IF(AND('Loan Tape (S&amp;P)'!U416="Yes",
        'Loan Tape (S&amp;P)'!T416&lt;&gt;"Yes",
        DATEDIF('Loan Tape (S&amp;P)'!K416, TODAY(), "M")&lt;18),
    1.10,
    1.00)</f>
        <v/>
      </c>
      <c r="O416">
        <f>IF('Loan Tape (S&amp;P)'!T416="Yes",
    1.35,
    1.00)</f>
        <v/>
      </c>
      <c r="P416">
        <f>IF('Loan Tape (S&amp;P)'!S416="Yes",
    1.15,
    1.00)</f>
        <v/>
      </c>
      <c r="Q416">
        <f>IF('Loan Tape (S&amp;P)'!V416="Yes",
    1.20,
    1.00)</f>
        <v/>
      </c>
      <c r="T416">
        <f>LET(
    payment_method,'Loan Tape (S&amp;P)'!P416,
    occupancy,'Loan Tape (S&amp;P)'!N416,
    maturity_date,'Loan Tape (S&amp;P)'!L416,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7">
      <c r="J417">
        <f>LET(
    lien,'Loan Tape (S&amp;P)'!Q417,
    IF(lien="First",1.00,
        IF(lien="Second",1.50,
            1.70)))</f>
        <v/>
      </c>
      <c r="K417">
        <f>LET(
    purpose,'Loan Tape (S&amp;P)'!R417,
    IF(purpose="Purchase",1.00,
        IF(purpose="Remortgage",1.00,
            1.20)))</f>
        <v/>
      </c>
      <c r="L417">
        <f>LET(
    arrears_months,'Loan Tape (S&amp;P)'!AN417,
    IF(arrears_months=0,1.00,
    IF(arrears_months=1,3.00,
    IF(arrears_months=2,5.00,
    IF(arrears_months=3,8.00,
    IF(arrears_months=4,10.00,
    IF(arrears_months=5,12.00,15.00)))))))</f>
        <v/>
      </c>
      <c r="M417">
        <f>LET(
    seasoning_years,DATEDIF('Loan Tape (S&amp;P)'!K417,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7">
        <f>IF(AND('Loan Tape (S&amp;P)'!U417="Yes",
        'Loan Tape (S&amp;P)'!T417&lt;&gt;"Yes",
        DATEDIF('Loan Tape (S&amp;P)'!K417, TODAY(), "M")&lt;18),
    1.10,
    1.00)</f>
        <v/>
      </c>
      <c r="O417">
        <f>IF('Loan Tape (S&amp;P)'!T417="Yes",
    1.35,
    1.00)</f>
        <v/>
      </c>
      <c r="P417">
        <f>IF('Loan Tape (S&amp;P)'!S417="Yes",
    1.15,
    1.00)</f>
        <v/>
      </c>
      <c r="Q417">
        <f>IF('Loan Tape (S&amp;P)'!V417="Yes",
    1.20,
    1.00)</f>
        <v/>
      </c>
      <c r="T417">
        <f>LET(
    payment_method,'Loan Tape (S&amp;P)'!P417,
    occupancy,'Loan Tape (S&amp;P)'!N417,
    maturity_date,'Loan Tape (S&amp;P)'!L417,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8">
      <c r="J418">
        <f>LET(
    lien,'Loan Tape (S&amp;P)'!Q418,
    IF(lien="First",1.00,
        IF(lien="Second",1.50,
            1.70)))</f>
        <v/>
      </c>
      <c r="K418">
        <f>LET(
    purpose,'Loan Tape (S&amp;P)'!R418,
    IF(purpose="Purchase",1.00,
        IF(purpose="Remortgage",1.00,
            1.20)))</f>
        <v/>
      </c>
      <c r="L418">
        <f>LET(
    arrears_months,'Loan Tape (S&amp;P)'!AN418,
    IF(arrears_months=0,1.00,
    IF(arrears_months=1,3.00,
    IF(arrears_months=2,5.00,
    IF(arrears_months=3,8.00,
    IF(arrears_months=4,10.00,
    IF(arrears_months=5,12.00,15.00)))))))</f>
        <v/>
      </c>
      <c r="M418">
        <f>LET(
    seasoning_years,DATEDIF('Loan Tape (S&amp;P)'!K418,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8">
        <f>IF(AND('Loan Tape (S&amp;P)'!U418="Yes",
        'Loan Tape (S&amp;P)'!T418&lt;&gt;"Yes",
        DATEDIF('Loan Tape (S&amp;P)'!K418, TODAY(), "M")&lt;18),
    1.10,
    1.00)</f>
        <v/>
      </c>
      <c r="O418">
        <f>IF('Loan Tape (S&amp;P)'!T418="Yes",
    1.35,
    1.00)</f>
        <v/>
      </c>
      <c r="P418">
        <f>IF('Loan Tape (S&amp;P)'!S418="Yes",
    1.15,
    1.00)</f>
        <v/>
      </c>
      <c r="Q418">
        <f>IF('Loan Tape (S&amp;P)'!V418="Yes",
    1.20,
    1.00)</f>
        <v/>
      </c>
      <c r="T418">
        <f>LET(
    payment_method,'Loan Tape (S&amp;P)'!P418,
    occupancy,'Loan Tape (S&amp;P)'!N418,
    maturity_date,'Loan Tape (S&amp;P)'!L418,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9">
      <c r="J419">
        <f>LET(
    lien,'Loan Tape (S&amp;P)'!Q419,
    IF(lien="First",1.00,
        IF(lien="Second",1.50,
            1.70)))</f>
        <v/>
      </c>
      <c r="K419">
        <f>LET(
    purpose,'Loan Tape (S&amp;P)'!R419,
    IF(purpose="Purchase",1.00,
        IF(purpose="Remortgage",1.00,
            1.20)))</f>
        <v/>
      </c>
      <c r="L419">
        <f>LET(
    arrears_months,'Loan Tape (S&amp;P)'!AN419,
    IF(arrears_months=0,1.00,
    IF(arrears_months=1,3.00,
    IF(arrears_months=2,5.00,
    IF(arrears_months=3,8.00,
    IF(arrears_months=4,10.00,
    IF(arrears_months=5,12.00,15.00)))))))</f>
        <v/>
      </c>
      <c r="M419">
        <f>LET(
    seasoning_years,DATEDIF('Loan Tape (S&amp;P)'!K419,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9">
        <f>IF(AND('Loan Tape (S&amp;P)'!U419="Yes",
        'Loan Tape (S&amp;P)'!T419&lt;&gt;"Yes",
        DATEDIF('Loan Tape (S&amp;P)'!K419, TODAY(), "M")&lt;18),
    1.10,
    1.00)</f>
        <v/>
      </c>
      <c r="O419">
        <f>IF('Loan Tape (S&amp;P)'!T419="Yes",
    1.35,
    1.00)</f>
        <v/>
      </c>
      <c r="P419">
        <f>IF('Loan Tape (S&amp;P)'!S419="Yes",
    1.15,
    1.00)</f>
        <v/>
      </c>
      <c r="Q419">
        <f>IF('Loan Tape (S&amp;P)'!V419="Yes",
    1.20,
    1.00)</f>
        <v/>
      </c>
      <c r="T419">
        <f>LET(
    payment_method,'Loan Tape (S&amp;P)'!P419,
    occupancy,'Loan Tape (S&amp;P)'!N419,
    maturity_date,'Loan Tape (S&amp;P)'!L419,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0">
      <c r="J420">
        <f>LET(
    lien,'Loan Tape (S&amp;P)'!Q420,
    IF(lien="First",1.00,
        IF(lien="Second",1.50,
            1.70)))</f>
        <v/>
      </c>
      <c r="K420">
        <f>LET(
    purpose,'Loan Tape (S&amp;P)'!R420,
    IF(purpose="Purchase",1.00,
        IF(purpose="Remortgage",1.00,
            1.20)))</f>
        <v/>
      </c>
      <c r="L420">
        <f>LET(
    arrears_months,'Loan Tape (S&amp;P)'!AN420,
    IF(arrears_months=0,1.00,
    IF(arrears_months=1,3.00,
    IF(arrears_months=2,5.00,
    IF(arrears_months=3,8.00,
    IF(arrears_months=4,10.00,
    IF(arrears_months=5,12.00,15.00)))))))</f>
        <v/>
      </c>
      <c r="M420">
        <f>LET(
    seasoning_years,DATEDIF('Loan Tape (S&amp;P)'!K420,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0">
        <f>IF(AND('Loan Tape (S&amp;P)'!U420="Yes",
        'Loan Tape (S&amp;P)'!T420&lt;&gt;"Yes",
        DATEDIF('Loan Tape (S&amp;P)'!K420, TODAY(), "M")&lt;18),
    1.10,
    1.00)</f>
        <v/>
      </c>
      <c r="O420">
        <f>IF('Loan Tape (S&amp;P)'!T420="Yes",
    1.35,
    1.00)</f>
        <v/>
      </c>
      <c r="P420">
        <f>IF('Loan Tape (S&amp;P)'!S420="Yes",
    1.15,
    1.00)</f>
        <v/>
      </c>
      <c r="Q420">
        <f>IF('Loan Tape (S&amp;P)'!V420="Yes",
    1.20,
    1.00)</f>
        <v/>
      </c>
      <c r="T420">
        <f>LET(
    payment_method,'Loan Tape (S&amp;P)'!P420,
    occupancy,'Loan Tape (S&amp;P)'!N420,
    maturity_date,'Loan Tape (S&amp;P)'!L420,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1">
      <c r="J421">
        <f>LET(
    lien,'Loan Tape (S&amp;P)'!Q421,
    IF(lien="First",1.00,
        IF(lien="Second",1.50,
            1.70)))</f>
        <v/>
      </c>
      <c r="K421">
        <f>LET(
    purpose,'Loan Tape (S&amp;P)'!R421,
    IF(purpose="Purchase",1.00,
        IF(purpose="Remortgage",1.00,
            1.20)))</f>
        <v/>
      </c>
      <c r="L421">
        <f>LET(
    arrears_months,'Loan Tape (S&amp;P)'!AN421,
    IF(arrears_months=0,1.00,
    IF(arrears_months=1,3.00,
    IF(arrears_months=2,5.00,
    IF(arrears_months=3,8.00,
    IF(arrears_months=4,10.00,
    IF(arrears_months=5,12.00,15.00)))))))</f>
        <v/>
      </c>
      <c r="M421">
        <f>LET(
    seasoning_years,DATEDIF('Loan Tape (S&amp;P)'!K421,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1">
        <f>IF(AND('Loan Tape (S&amp;P)'!U421="Yes",
        'Loan Tape (S&amp;P)'!T421&lt;&gt;"Yes",
        DATEDIF('Loan Tape (S&amp;P)'!K421, TODAY(), "M")&lt;18),
    1.10,
    1.00)</f>
        <v/>
      </c>
      <c r="O421">
        <f>IF('Loan Tape (S&amp;P)'!T421="Yes",
    1.35,
    1.00)</f>
        <v/>
      </c>
      <c r="P421">
        <f>IF('Loan Tape (S&amp;P)'!S421="Yes",
    1.15,
    1.00)</f>
        <v/>
      </c>
      <c r="Q421">
        <f>IF('Loan Tape (S&amp;P)'!V421="Yes",
    1.20,
    1.00)</f>
        <v/>
      </c>
      <c r="T421">
        <f>LET(
    payment_method,'Loan Tape (S&amp;P)'!P421,
    occupancy,'Loan Tape (S&amp;P)'!N421,
    maturity_date,'Loan Tape (S&amp;P)'!L421,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2">
      <c r="J422">
        <f>LET(
    lien,'Loan Tape (S&amp;P)'!Q422,
    IF(lien="First",1.00,
        IF(lien="Second",1.50,
            1.70)))</f>
        <v/>
      </c>
      <c r="K422">
        <f>LET(
    purpose,'Loan Tape (S&amp;P)'!R422,
    IF(purpose="Purchase",1.00,
        IF(purpose="Remortgage",1.00,
            1.20)))</f>
        <v/>
      </c>
      <c r="L422">
        <f>LET(
    arrears_months,'Loan Tape (S&amp;P)'!AN422,
    IF(arrears_months=0,1.00,
    IF(arrears_months=1,3.00,
    IF(arrears_months=2,5.00,
    IF(arrears_months=3,8.00,
    IF(arrears_months=4,10.00,
    IF(arrears_months=5,12.00,15.00)))))))</f>
        <v/>
      </c>
      <c r="M422">
        <f>LET(
    seasoning_years,DATEDIF('Loan Tape (S&amp;P)'!K422,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2">
        <f>IF(AND('Loan Tape (S&amp;P)'!U422="Yes",
        'Loan Tape (S&amp;P)'!T422&lt;&gt;"Yes",
        DATEDIF('Loan Tape (S&amp;P)'!K422, TODAY(), "M")&lt;18),
    1.10,
    1.00)</f>
        <v/>
      </c>
      <c r="O422">
        <f>IF('Loan Tape (S&amp;P)'!T422="Yes",
    1.35,
    1.00)</f>
        <v/>
      </c>
      <c r="P422">
        <f>IF('Loan Tape (S&amp;P)'!S422="Yes",
    1.15,
    1.00)</f>
        <v/>
      </c>
      <c r="Q422">
        <f>IF('Loan Tape (S&amp;P)'!V422="Yes",
    1.20,
    1.00)</f>
        <v/>
      </c>
      <c r="T422">
        <f>LET(
    payment_method,'Loan Tape (S&amp;P)'!P422,
    occupancy,'Loan Tape (S&amp;P)'!N422,
    maturity_date,'Loan Tape (S&amp;P)'!L422,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3">
      <c r="J423">
        <f>LET(
    lien,'Loan Tape (S&amp;P)'!Q423,
    IF(lien="First",1.00,
        IF(lien="Second",1.50,
            1.70)))</f>
        <v/>
      </c>
      <c r="K423">
        <f>LET(
    purpose,'Loan Tape (S&amp;P)'!R423,
    IF(purpose="Purchase",1.00,
        IF(purpose="Remortgage",1.00,
            1.20)))</f>
        <v/>
      </c>
      <c r="L423">
        <f>LET(
    arrears_months,'Loan Tape (S&amp;P)'!AN423,
    IF(arrears_months=0,1.00,
    IF(arrears_months=1,3.00,
    IF(arrears_months=2,5.00,
    IF(arrears_months=3,8.00,
    IF(arrears_months=4,10.00,
    IF(arrears_months=5,12.00,15.00)))))))</f>
        <v/>
      </c>
      <c r="M423">
        <f>LET(
    seasoning_years,DATEDIF('Loan Tape (S&amp;P)'!K423,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3">
        <f>IF(AND('Loan Tape (S&amp;P)'!U423="Yes",
        'Loan Tape (S&amp;P)'!T423&lt;&gt;"Yes",
        DATEDIF('Loan Tape (S&amp;P)'!K423, TODAY(), "M")&lt;18),
    1.10,
    1.00)</f>
        <v/>
      </c>
      <c r="O423">
        <f>IF('Loan Tape (S&amp;P)'!T423="Yes",
    1.35,
    1.00)</f>
        <v/>
      </c>
      <c r="P423">
        <f>IF('Loan Tape (S&amp;P)'!S423="Yes",
    1.15,
    1.00)</f>
        <v/>
      </c>
      <c r="Q423">
        <f>IF('Loan Tape (S&amp;P)'!V423="Yes",
    1.20,
    1.00)</f>
        <v/>
      </c>
      <c r="T423">
        <f>LET(
    payment_method,'Loan Tape (S&amp;P)'!P423,
    occupancy,'Loan Tape (S&amp;P)'!N423,
    maturity_date,'Loan Tape (S&amp;P)'!L423,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4">
      <c r="J424">
        <f>LET(
    lien,'Loan Tape (S&amp;P)'!Q424,
    IF(lien="First",1.00,
        IF(lien="Second",1.50,
            1.70)))</f>
        <v/>
      </c>
      <c r="K424">
        <f>LET(
    purpose,'Loan Tape (S&amp;P)'!R424,
    IF(purpose="Purchase",1.00,
        IF(purpose="Remortgage",1.00,
            1.20)))</f>
        <v/>
      </c>
      <c r="L424">
        <f>LET(
    arrears_months,'Loan Tape (S&amp;P)'!AN424,
    IF(arrears_months=0,1.00,
    IF(arrears_months=1,3.00,
    IF(arrears_months=2,5.00,
    IF(arrears_months=3,8.00,
    IF(arrears_months=4,10.00,
    IF(arrears_months=5,12.00,15.00)))))))</f>
        <v/>
      </c>
      <c r="M424">
        <f>LET(
    seasoning_years,DATEDIF('Loan Tape (S&amp;P)'!K424,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4">
        <f>IF(AND('Loan Tape (S&amp;P)'!U424="Yes",
        'Loan Tape (S&amp;P)'!T424&lt;&gt;"Yes",
        DATEDIF('Loan Tape (S&amp;P)'!K424, TODAY(), "M")&lt;18),
    1.10,
    1.00)</f>
        <v/>
      </c>
      <c r="O424">
        <f>IF('Loan Tape (S&amp;P)'!T424="Yes",
    1.35,
    1.00)</f>
        <v/>
      </c>
      <c r="P424">
        <f>IF('Loan Tape (S&amp;P)'!S424="Yes",
    1.15,
    1.00)</f>
        <v/>
      </c>
      <c r="Q424">
        <f>IF('Loan Tape (S&amp;P)'!V424="Yes",
    1.20,
    1.00)</f>
        <v/>
      </c>
      <c r="T424">
        <f>LET(
    payment_method,'Loan Tape (S&amp;P)'!P424,
    occupancy,'Loan Tape (S&amp;P)'!N424,
    maturity_date,'Loan Tape (S&amp;P)'!L424,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5">
      <c r="J425">
        <f>LET(
    lien,'Loan Tape (S&amp;P)'!Q425,
    IF(lien="First",1.00,
        IF(lien="Second",1.50,
            1.70)))</f>
        <v/>
      </c>
      <c r="K425">
        <f>LET(
    purpose,'Loan Tape (S&amp;P)'!R425,
    IF(purpose="Purchase",1.00,
        IF(purpose="Remortgage",1.00,
            1.20)))</f>
        <v/>
      </c>
      <c r="L425">
        <f>LET(
    arrears_months,'Loan Tape (S&amp;P)'!AN425,
    IF(arrears_months=0,1.00,
    IF(arrears_months=1,3.00,
    IF(arrears_months=2,5.00,
    IF(arrears_months=3,8.00,
    IF(arrears_months=4,10.00,
    IF(arrears_months=5,12.00,15.00)))))))</f>
        <v/>
      </c>
      <c r="M425">
        <f>LET(
    seasoning_years,DATEDIF('Loan Tape (S&amp;P)'!K425,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5">
        <f>IF(AND('Loan Tape (S&amp;P)'!U425="Yes",
        'Loan Tape (S&amp;P)'!T425&lt;&gt;"Yes",
        DATEDIF('Loan Tape (S&amp;P)'!K425, TODAY(), "M")&lt;18),
    1.10,
    1.00)</f>
        <v/>
      </c>
      <c r="O425">
        <f>IF('Loan Tape (S&amp;P)'!T425="Yes",
    1.35,
    1.00)</f>
        <v/>
      </c>
      <c r="P425">
        <f>IF('Loan Tape (S&amp;P)'!S425="Yes",
    1.15,
    1.00)</f>
        <v/>
      </c>
      <c r="Q425">
        <f>IF('Loan Tape (S&amp;P)'!V425="Yes",
    1.20,
    1.00)</f>
        <v/>
      </c>
      <c r="T425">
        <f>LET(
    payment_method,'Loan Tape (S&amp;P)'!P425,
    occupancy,'Loan Tape (S&amp;P)'!N425,
    maturity_date,'Loan Tape (S&amp;P)'!L425,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6">
      <c r="J426">
        <f>LET(
    lien,'Loan Tape (S&amp;P)'!Q426,
    IF(lien="First",1.00,
        IF(lien="Second",1.50,
            1.70)))</f>
        <v/>
      </c>
      <c r="K426">
        <f>LET(
    purpose,'Loan Tape (S&amp;P)'!R426,
    IF(purpose="Purchase",1.00,
        IF(purpose="Remortgage",1.00,
            1.20)))</f>
        <v/>
      </c>
      <c r="L426">
        <f>LET(
    arrears_months,'Loan Tape (S&amp;P)'!AN426,
    IF(arrears_months=0,1.00,
    IF(arrears_months=1,3.00,
    IF(arrears_months=2,5.00,
    IF(arrears_months=3,8.00,
    IF(arrears_months=4,10.00,
    IF(arrears_months=5,12.00,15.00)))))))</f>
        <v/>
      </c>
      <c r="M426">
        <f>LET(
    seasoning_years,DATEDIF('Loan Tape (S&amp;P)'!K426,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6">
        <f>IF(AND('Loan Tape (S&amp;P)'!U426="Yes",
        'Loan Tape (S&amp;P)'!T426&lt;&gt;"Yes",
        DATEDIF('Loan Tape (S&amp;P)'!K426, TODAY(), "M")&lt;18),
    1.10,
    1.00)</f>
        <v/>
      </c>
      <c r="O426">
        <f>IF('Loan Tape (S&amp;P)'!T426="Yes",
    1.35,
    1.00)</f>
        <v/>
      </c>
      <c r="P426">
        <f>IF('Loan Tape (S&amp;P)'!S426="Yes",
    1.15,
    1.00)</f>
        <v/>
      </c>
      <c r="Q426">
        <f>IF('Loan Tape (S&amp;P)'!V426="Yes",
    1.20,
    1.00)</f>
        <v/>
      </c>
      <c r="T426">
        <f>LET(
    payment_method,'Loan Tape (S&amp;P)'!P426,
    occupancy,'Loan Tape (S&amp;P)'!N426,
    maturity_date,'Loan Tape (S&amp;P)'!L426,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7">
      <c r="J427">
        <f>LET(
    lien,'Loan Tape (S&amp;P)'!Q427,
    IF(lien="First",1.00,
        IF(lien="Second",1.50,
            1.70)))</f>
        <v/>
      </c>
      <c r="K427">
        <f>LET(
    purpose,'Loan Tape (S&amp;P)'!R427,
    IF(purpose="Purchase",1.00,
        IF(purpose="Remortgage",1.00,
            1.20)))</f>
        <v/>
      </c>
      <c r="L427">
        <f>LET(
    arrears_months,'Loan Tape (S&amp;P)'!AN427,
    IF(arrears_months=0,1.00,
    IF(arrears_months=1,3.00,
    IF(arrears_months=2,5.00,
    IF(arrears_months=3,8.00,
    IF(arrears_months=4,10.00,
    IF(arrears_months=5,12.00,15.00)))))))</f>
        <v/>
      </c>
      <c r="M427">
        <f>LET(
    seasoning_years,DATEDIF('Loan Tape (S&amp;P)'!K427,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7">
        <f>IF(AND('Loan Tape (S&amp;P)'!U427="Yes",
        'Loan Tape (S&amp;P)'!T427&lt;&gt;"Yes",
        DATEDIF('Loan Tape (S&amp;P)'!K427, TODAY(), "M")&lt;18),
    1.10,
    1.00)</f>
        <v/>
      </c>
      <c r="O427">
        <f>IF('Loan Tape (S&amp;P)'!T427="Yes",
    1.35,
    1.00)</f>
        <v/>
      </c>
      <c r="P427">
        <f>IF('Loan Tape (S&amp;P)'!S427="Yes",
    1.15,
    1.00)</f>
        <v/>
      </c>
      <c r="Q427">
        <f>IF('Loan Tape (S&amp;P)'!V427="Yes",
    1.20,
    1.00)</f>
        <v/>
      </c>
      <c r="T427">
        <f>LET(
    payment_method,'Loan Tape (S&amp;P)'!P427,
    occupancy,'Loan Tape (S&amp;P)'!N427,
    maturity_date,'Loan Tape (S&amp;P)'!L427,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8">
      <c r="J428">
        <f>LET(
    lien,'Loan Tape (S&amp;P)'!Q428,
    IF(lien="First",1.00,
        IF(lien="Second",1.50,
            1.70)))</f>
        <v/>
      </c>
      <c r="K428">
        <f>LET(
    purpose,'Loan Tape (S&amp;P)'!R428,
    IF(purpose="Purchase",1.00,
        IF(purpose="Remortgage",1.00,
            1.20)))</f>
        <v/>
      </c>
      <c r="L428">
        <f>LET(
    arrears_months,'Loan Tape (S&amp;P)'!AN428,
    IF(arrears_months=0,1.00,
    IF(arrears_months=1,3.00,
    IF(arrears_months=2,5.00,
    IF(arrears_months=3,8.00,
    IF(arrears_months=4,10.00,
    IF(arrears_months=5,12.00,15.00)))))))</f>
        <v/>
      </c>
      <c r="M428">
        <f>LET(
    seasoning_years,DATEDIF('Loan Tape (S&amp;P)'!K428,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8">
        <f>IF(AND('Loan Tape (S&amp;P)'!U428="Yes",
        'Loan Tape (S&amp;P)'!T428&lt;&gt;"Yes",
        DATEDIF('Loan Tape (S&amp;P)'!K428, TODAY(), "M")&lt;18),
    1.10,
    1.00)</f>
        <v/>
      </c>
      <c r="O428">
        <f>IF('Loan Tape (S&amp;P)'!T428="Yes",
    1.35,
    1.00)</f>
        <v/>
      </c>
      <c r="P428">
        <f>IF('Loan Tape (S&amp;P)'!S428="Yes",
    1.15,
    1.00)</f>
        <v/>
      </c>
      <c r="Q428">
        <f>IF('Loan Tape (S&amp;P)'!V428="Yes",
    1.20,
    1.00)</f>
        <v/>
      </c>
      <c r="T428">
        <f>LET(
    payment_method,'Loan Tape (S&amp;P)'!P428,
    occupancy,'Loan Tape (S&amp;P)'!N428,
    maturity_date,'Loan Tape (S&amp;P)'!L428,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9">
      <c r="J429">
        <f>LET(
    lien,'Loan Tape (S&amp;P)'!Q429,
    IF(lien="First",1.00,
        IF(lien="Second",1.50,
            1.70)))</f>
        <v/>
      </c>
      <c r="K429">
        <f>LET(
    purpose,'Loan Tape (S&amp;P)'!R429,
    IF(purpose="Purchase",1.00,
        IF(purpose="Remortgage",1.00,
            1.20)))</f>
        <v/>
      </c>
      <c r="L429">
        <f>LET(
    arrears_months,'Loan Tape (S&amp;P)'!AN429,
    IF(arrears_months=0,1.00,
    IF(arrears_months=1,3.00,
    IF(arrears_months=2,5.00,
    IF(arrears_months=3,8.00,
    IF(arrears_months=4,10.00,
    IF(arrears_months=5,12.00,15.00)))))))</f>
        <v/>
      </c>
      <c r="M429">
        <f>LET(
    seasoning_years,DATEDIF('Loan Tape (S&amp;P)'!K429,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9">
        <f>IF(AND('Loan Tape (S&amp;P)'!U429="Yes",
        'Loan Tape (S&amp;P)'!T429&lt;&gt;"Yes",
        DATEDIF('Loan Tape (S&amp;P)'!K429, TODAY(), "M")&lt;18),
    1.10,
    1.00)</f>
        <v/>
      </c>
      <c r="O429">
        <f>IF('Loan Tape (S&amp;P)'!T429="Yes",
    1.35,
    1.00)</f>
        <v/>
      </c>
      <c r="P429">
        <f>IF('Loan Tape (S&amp;P)'!S429="Yes",
    1.15,
    1.00)</f>
        <v/>
      </c>
      <c r="Q429">
        <f>IF('Loan Tape (S&amp;P)'!V429="Yes",
    1.20,
    1.00)</f>
        <v/>
      </c>
      <c r="T429">
        <f>LET(
    payment_method,'Loan Tape (S&amp;P)'!P429,
    occupancy,'Loan Tape (S&amp;P)'!N429,
    maturity_date,'Loan Tape (S&amp;P)'!L429,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0">
      <c r="J430">
        <f>LET(
    lien,'Loan Tape (S&amp;P)'!Q430,
    IF(lien="First",1.00,
        IF(lien="Second",1.50,
            1.70)))</f>
        <v/>
      </c>
      <c r="K430">
        <f>LET(
    purpose,'Loan Tape (S&amp;P)'!R430,
    IF(purpose="Purchase",1.00,
        IF(purpose="Remortgage",1.00,
            1.20)))</f>
        <v/>
      </c>
      <c r="L430">
        <f>LET(
    arrears_months,'Loan Tape (S&amp;P)'!AN430,
    IF(arrears_months=0,1.00,
    IF(arrears_months=1,3.00,
    IF(arrears_months=2,5.00,
    IF(arrears_months=3,8.00,
    IF(arrears_months=4,10.00,
    IF(arrears_months=5,12.00,15.00)))))))</f>
        <v/>
      </c>
      <c r="M430">
        <f>LET(
    seasoning_years,DATEDIF('Loan Tape (S&amp;P)'!K430,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0">
        <f>IF(AND('Loan Tape (S&amp;P)'!U430="Yes",
        'Loan Tape (S&amp;P)'!T430&lt;&gt;"Yes",
        DATEDIF('Loan Tape (S&amp;P)'!K430, TODAY(), "M")&lt;18),
    1.10,
    1.00)</f>
        <v/>
      </c>
      <c r="O430">
        <f>IF('Loan Tape (S&amp;P)'!T430="Yes",
    1.35,
    1.00)</f>
        <v/>
      </c>
      <c r="P430">
        <f>IF('Loan Tape (S&amp;P)'!S430="Yes",
    1.15,
    1.00)</f>
        <v/>
      </c>
      <c r="Q430">
        <f>IF('Loan Tape (S&amp;P)'!V430="Yes",
    1.20,
    1.00)</f>
        <v/>
      </c>
      <c r="T430">
        <f>LET(
    payment_method,'Loan Tape (S&amp;P)'!P430,
    occupancy,'Loan Tape (S&amp;P)'!N430,
    maturity_date,'Loan Tape (S&amp;P)'!L430,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1">
      <c r="J431">
        <f>LET(
    lien,'Loan Tape (S&amp;P)'!Q431,
    IF(lien="First",1.00,
        IF(lien="Second",1.50,
            1.70)))</f>
        <v/>
      </c>
      <c r="K431">
        <f>LET(
    purpose,'Loan Tape (S&amp;P)'!R431,
    IF(purpose="Purchase",1.00,
        IF(purpose="Remortgage",1.00,
            1.20)))</f>
        <v/>
      </c>
      <c r="L431">
        <f>LET(
    arrears_months,'Loan Tape (S&amp;P)'!AN431,
    IF(arrears_months=0,1.00,
    IF(arrears_months=1,3.00,
    IF(arrears_months=2,5.00,
    IF(arrears_months=3,8.00,
    IF(arrears_months=4,10.00,
    IF(arrears_months=5,12.00,15.00)))))))</f>
        <v/>
      </c>
      <c r="M431">
        <f>LET(
    seasoning_years,DATEDIF('Loan Tape (S&amp;P)'!K431,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1">
        <f>IF(AND('Loan Tape (S&amp;P)'!U431="Yes",
        'Loan Tape (S&amp;P)'!T431&lt;&gt;"Yes",
        DATEDIF('Loan Tape (S&amp;P)'!K431, TODAY(), "M")&lt;18),
    1.10,
    1.00)</f>
        <v/>
      </c>
      <c r="O431">
        <f>IF('Loan Tape (S&amp;P)'!T431="Yes",
    1.35,
    1.00)</f>
        <v/>
      </c>
      <c r="P431">
        <f>IF('Loan Tape (S&amp;P)'!S431="Yes",
    1.15,
    1.00)</f>
        <v/>
      </c>
      <c r="Q431">
        <f>IF('Loan Tape (S&amp;P)'!V431="Yes",
    1.20,
    1.00)</f>
        <v/>
      </c>
      <c r="T431">
        <f>LET(
    payment_method,'Loan Tape (S&amp;P)'!P431,
    occupancy,'Loan Tape (S&amp;P)'!N431,
    maturity_date,'Loan Tape (S&amp;P)'!L431,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2">
      <c r="J432">
        <f>LET(
    lien,'Loan Tape (S&amp;P)'!Q432,
    IF(lien="First",1.00,
        IF(lien="Second",1.50,
            1.70)))</f>
        <v/>
      </c>
      <c r="K432">
        <f>LET(
    purpose,'Loan Tape (S&amp;P)'!R432,
    IF(purpose="Purchase",1.00,
        IF(purpose="Remortgage",1.00,
            1.20)))</f>
        <v/>
      </c>
      <c r="L432">
        <f>LET(
    arrears_months,'Loan Tape (S&amp;P)'!AN432,
    IF(arrears_months=0,1.00,
    IF(arrears_months=1,3.00,
    IF(arrears_months=2,5.00,
    IF(arrears_months=3,8.00,
    IF(arrears_months=4,10.00,
    IF(arrears_months=5,12.00,15.00)))))))</f>
        <v/>
      </c>
      <c r="M432">
        <f>LET(
    seasoning_years,DATEDIF('Loan Tape (S&amp;P)'!K432,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2">
        <f>IF(AND('Loan Tape (S&amp;P)'!U432="Yes",
        'Loan Tape (S&amp;P)'!T432&lt;&gt;"Yes",
        DATEDIF('Loan Tape (S&amp;P)'!K432, TODAY(), "M")&lt;18),
    1.10,
    1.00)</f>
        <v/>
      </c>
      <c r="O432">
        <f>IF('Loan Tape (S&amp;P)'!T432="Yes",
    1.35,
    1.00)</f>
        <v/>
      </c>
      <c r="P432">
        <f>IF('Loan Tape (S&amp;P)'!S432="Yes",
    1.15,
    1.00)</f>
        <v/>
      </c>
      <c r="Q432">
        <f>IF('Loan Tape (S&amp;P)'!V432="Yes",
    1.20,
    1.00)</f>
        <v/>
      </c>
      <c r="T432">
        <f>LET(
    payment_method,'Loan Tape (S&amp;P)'!P432,
    occupancy,'Loan Tape (S&amp;P)'!N432,
    maturity_date,'Loan Tape (S&amp;P)'!L432,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3">
      <c r="J433">
        <f>LET(
    lien,'Loan Tape (S&amp;P)'!Q433,
    IF(lien="First",1.00,
        IF(lien="Second",1.50,
            1.70)))</f>
        <v/>
      </c>
      <c r="K433">
        <f>LET(
    purpose,'Loan Tape (S&amp;P)'!R433,
    IF(purpose="Purchase",1.00,
        IF(purpose="Remortgage",1.00,
            1.20)))</f>
        <v/>
      </c>
      <c r="L433">
        <f>LET(
    arrears_months,'Loan Tape (S&amp;P)'!AN433,
    IF(arrears_months=0,1.00,
    IF(arrears_months=1,3.00,
    IF(arrears_months=2,5.00,
    IF(arrears_months=3,8.00,
    IF(arrears_months=4,10.00,
    IF(arrears_months=5,12.00,15.00)))))))</f>
        <v/>
      </c>
      <c r="M433">
        <f>LET(
    seasoning_years,DATEDIF('Loan Tape (S&amp;P)'!K433,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3">
        <f>IF(AND('Loan Tape (S&amp;P)'!U433="Yes",
        'Loan Tape (S&amp;P)'!T433&lt;&gt;"Yes",
        DATEDIF('Loan Tape (S&amp;P)'!K433, TODAY(), "M")&lt;18),
    1.10,
    1.00)</f>
        <v/>
      </c>
      <c r="O433">
        <f>IF('Loan Tape (S&amp;P)'!T433="Yes",
    1.35,
    1.00)</f>
        <v/>
      </c>
      <c r="P433">
        <f>IF('Loan Tape (S&amp;P)'!S433="Yes",
    1.15,
    1.00)</f>
        <v/>
      </c>
      <c r="Q433">
        <f>IF('Loan Tape (S&amp;P)'!V433="Yes",
    1.20,
    1.00)</f>
        <v/>
      </c>
      <c r="T433">
        <f>LET(
    payment_method,'Loan Tape (S&amp;P)'!P433,
    occupancy,'Loan Tape (S&amp;P)'!N433,
    maturity_date,'Loan Tape (S&amp;P)'!L433,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4">
      <c r="J434">
        <f>LET(
    lien,'Loan Tape (S&amp;P)'!Q434,
    IF(lien="First",1.00,
        IF(lien="Second",1.50,
            1.70)))</f>
        <v/>
      </c>
      <c r="K434">
        <f>LET(
    purpose,'Loan Tape (S&amp;P)'!R434,
    IF(purpose="Purchase",1.00,
        IF(purpose="Remortgage",1.00,
            1.20)))</f>
        <v/>
      </c>
      <c r="L434">
        <f>LET(
    arrears_months,'Loan Tape (S&amp;P)'!AN434,
    IF(arrears_months=0,1.00,
    IF(arrears_months=1,3.00,
    IF(arrears_months=2,5.00,
    IF(arrears_months=3,8.00,
    IF(arrears_months=4,10.00,
    IF(arrears_months=5,12.00,15.00)))))))</f>
        <v/>
      </c>
      <c r="M434">
        <f>LET(
    seasoning_years,DATEDIF('Loan Tape (S&amp;P)'!K434,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4">
        <f>IF(AND('Loan Tape (S&amp;P)'!U434="Yes",
        'Loan Tape (S&amp;P)'!T434&lt;&gt;"Yes",
        DATEDIF('Loan Tape (S&amp;P)'!K434, TODAY(), "M")&lt;18),
    1.10,
    1.00)</f>
        <v/>
      </c>
      <c r="O434">
        <f>IF('Loan Tape (S&amp;P)'!T434="Yes",
    1.35,
    1.00)</f>
        <v/>
      </c>
      <c r="P434">
        <f>IF('Loan Tape (S&amp;P)'!S434="Yes",
    1.15,
    1.00)</f>
        <v/>
      </c>
      <c r="Q434">
        <f>IF('Loan Tape (S&amp;P)'!V434="Yes",
    1.20,
    1.00)</f>
        <v/>
      </c>
      <c r="T434">
        <f>LET(
    payment_method,'Loan Tape (S&amp;P)'!P434,
    occupancy,'Loan Tape (S&amp;P)'!N434,
    maturity_date,'Loan Tape (S&amp;P)'!L434,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5">
      <c r="J435">
        <f>LET(
    lien,'Loan Tape (S&amp;P)'!Q435,
    IF(lien="First",1.00,
        IF(lien="Second",1.50,
            1.70)))</f>
        <v/>
      </c>
      <c r="K435">
        <f>LET(
    purpose,'Loan Tape (S&amp;P)'!R435,
    IF(purpose="Purchase",1.00,
        IF(purpose="Remortgage",1.00,
            1.20)))</f>
        <v/>
      </c>
      <c r="L435">
        <f>LET(
    arrears_months,'Loan Tape (S&amp;P)'!AN435,
    IF(arrears_months=0,1.00,
    IF(arrears_months=1,3.00,
    IF(arrears_months=2,5.00,
    IF(arrears_months=3,8.00,
    IF(arrears_months=4,10.00,
    IF(arrears_months=5,12.00,15.00)))))))</f>
        <v/>
      </c>
      <c r="M435">
        <f>LET(
    seasoning_years,DATEDIF('Loan Tape (S&amp;P)'!K435,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5">
        <f>IF(AND('Loan Tape (S&amp;P)'!U435="Yes",
        'Loan Tape (S&amp;P)'!T435&lt;&gt;"Yes",
        DATEDIF('Loan Tape (S&amp;P)'!K435, TODAY(), "M")&lt;18),
    1.10,
    1.00)</f>
        <v/>
      </c>
      <c r="O435">
        <f>IF('Loan Tape (S&amp;P)'!T435="Yes",
    1.35,
    1.00)</f>
        <v/>
      </c>
      <c r="P435">
        <f>IF('Loan Tape (S&amp;P)'!S435="Yes",
    1.15,
    1.00)</f>
        <v/>
      </c>
      <c r="Q435">
        <f>IF('Loan Tape (S&amp;P)'!V435="Yes",
    1.20,
    1.00)</f>
        <v/>
      </c>
      <c r="T435">
        <f>LET(
    payment_method,'Loan Tape (S&amp;P)'!P435,
    occupancy,'Loan Tape (S&amp;P)'!N435,
    maturity_date,'Loan Tape (S&amp;P)'!L435,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6">
      <c r="J436">
        <f>LET(
    lien,'Loan Tape (S&amp;P)'!Q436,
    IF(lien="First",1.00,
        IF(lien="Second",1.50,
            1.70)))</f>
        <v/>
      </c>
      <c r="K436">
        <f>LET(
    purpose,'Loan Tape (S&amp;P)'!R436,
    IF(purpose="Purchase",1.00,
        IF(purpose="Remortgage",1.00,
            1.20)))</f>
        <v/>
      </c>
      <c r="L436">
        <f>LET(
    arrears_months,'Loan Tape (S&amp;P)'!AN436,
    IF(arrears_months=0,1.00,
    IF(arrears_months=1,3.00,
    IF(arrears_months=2,5.00,
    IF(arrears_months=3,8.00,
    IF(arrears_months=4,10.00,
    IF(arrears_months=5,12.00,15.00)))))))</f>
        <v/>
      </c>
      <c r="M436">
        <f>LET(
    seasoning_years,DATEDIF('Loan Tape (S&amp;P)'!K436,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6">
        <f>IF(AND('Loan Tape (S&amp;P)'!U436="Yes",
        'Loan Tape (S&amp;P)'!T436&lt;&gt;"Yes",
        DATEDIF('Loan Tape (S&amp;P)'!K436, TODAY(), "M")&lt;18),
    1.10,
    1.00)</f>
        <v/>
      </c>
      <c r="O436">
        <f>IF('Loan Tape (S&amp;P)'!T436="Yes",
    1.35,
    1.00)</f>
        <v/>
      </c>
      <c r="P436">
        <f>IF('Loan Tape (S&amp;P)'!S436="Yes",
    1.15,
    1.00)</f>
        <v/>
      </c>
      <c r="Q436">
        <f>IF('Loan Tape (S&amp;P)'!V436="Yes",
    1.20,
    1.00)</f>
        <v/>
      </c>
      <c r="T436">
        <f>LET(
    payment_method,'Loan Tape (S&amp;P)'!P436,
    occupancy,'Loan Tape (S&amp;P)'!N436,
    maturity_date,'Loan Tape (S&amp;P)'!L436,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7">
      <c r="J437">
        <f>LET(
    lien,'Loan Tape (S&amp;P)'!Q437,
    IF(lien="First",1.00,
        IF(lien="Second",1.50,
            1.70)))</f>
        <v/>
      </c>
      <c r="K437">
        <f>LET(
    purpose,'Loan Tape (S&amp;P)'!R437,
    IF(purpose="Purchase",1.00,
        IF(purpose="Remortgage",1.00,
            1.20)))</f>
        <v/>
      </c>
      <c r="L437">
        <f>LET(
    arrears_months,'Loan Tape (S&amp;P)'!AN437,
    IF(arrears_months=0,1.00,
    IF(arrears_months=1,3.00,
    IF(arrears_months=2,5.00,
    IF(arrears_months=3,8.00,
    IF(arrears_months=4,10.00,
    IF(arrears_months=5,12.00,15.00)))))))</f>
        <v/>
      </c>
      <c r="M437">
        <f>LET(
    seasoning_years,DATEDIF('Loan Tape (S&amp;P)'!K437,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7">
        <f>IF(AND('Loan Tape (S&amp;P)'!U437="Yes",
        'Loan Tape (S&amp;P)'!T437&lt;&gt;"Yes",
        DATEDIF('Loan Tape (S&amp;P)'!K437, TODAY(), "M")&lt;18),
    1.10,
    1.00)</f>
        <v/>
      </c>
      <c r="O437">
        <f>IF('Loan Tape (S&amp;P)'!T437="Yes",
    1.35,
    1.00)</f>
        <v/>
      </c>
      <c r="P437">
        <f>IF('Loan Tape (S&amp;P)'!S437="Yes",
    1.15,
    1.00)</f>
        <v/>
      </c>
      <c r="Q437">
        <f>IF('Loan Tape (S&amp;P)'!V437="Yes",
    1.20,
    1.00)</f>
        <v/>
      </c>
      <c r="T437">
        <f>LET(
    payment_method,'Loan Tape (S&amp;P)'!P437,
    occupancy,'Loan Tape (S&amp;P)'!N437,
    maturity_date,'Loan Tape (S&amp;P)'!L437,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8">
      <c r="J438">
        <f>LET(
    lien,'Loan Tape (S&amp;P)'!Q438,
    IF(lien="First",1.00,
        IF(lien="Second",1.50,
            1.70)))</f>
        <v/>
      </c>
      <c r="K438">
        <f>LET(
    purpose,'Loan Tape (S&amp;P)'!R438,
    IF(purpose="Purchase",1.00,
        IF(purpose="Remortgage",1.00,
            1.20)))</f>
        <v/>
      </c>
      <c r="L438">
        <f>LET(
    arrears_months,'Loan Tape (S&amp;P)'!AN438,
    IF(arrears_months=0,1.00,
    IF(arrears_months=1,3.00,
    IF(arrears_months=2,5.00,
    IF(arrears_months=3,8.00,
    IF(arrears_months=4,10.00,
    IF(arrears_months=5,12.00,15.00)))))))</f>
        <v/>
      </c>
      <c r="M438">
        <f>LET(
    seasoning_years,DATEDIF('Loan Tape (S&amp;P)'!K438,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8">
        <f>IF(AND('Loan Tape (S&amp;P)'!U438="Yes",
        'Loan Tape (S&amp;P)'!T438&lt;&gt;"Yes",
        DATEDIF('Loan Tape (S&amp;P)'!K438, TODAY(), "M")&lt;18),
    1.10,
    1.00)</f>
        <v/>
      </c>
      <c r="O438">
        <f>IF('Loan Tape (S&amp;P)'!T438="Yes",
    1.35,
    1.00)</f>
        <v/>
      </c>
      <c r="P438">
        <f>IF('Loan Tape (S&amp;P)'!S438="Yes",
    1.15,
    1.00)</f>
        <v/>
      </c>
      <c r="Q438">
        <f>IF('Loan Tape (S&amp;P)'!V438="Yes",
    1.20,
    1.00)</f>
        <v/>
      </c>
      <c r="T438">
        <f>LET(
    payment_method,'Loan Tape (S&amp;P)'!P438,
    occupancy,'Loan Tape (S&amp;P)'!N438,
    maturity_date,'Loan Tape (S&amp;P)'!L438,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9">
      <c r="J439">
        <f>LET(
    lien,'Loan Tape (S&amp;P)'!Q439,
    IF(lien="First",1.00,
        IF(lien="Second",1.50,
            1.70)))</f>
        <v/>
      </c>
      <c r="K439">
        <f>LET(
    purpose,'Loan Tape (S&amp;P)'!R439,
    IF(purpose="Purchase",1.00,
        IF(purpose="Remortgage",1.00,
            1.20)))</f>
        <v/>
      </c>
      <c r="L439">
        <f>LET(
    arrears_months,'Loan Tape (S&amp;P)'!AN439,
    IF(arrears_months=0,1.00,
    IF(arrears_months=1,3.00,
    IF(arrears_months=2,5.00,
    IF(arrears_months=3,8.00,
    IF(arrears_months=4,10.00,
    IF(arrears_months=5,12.00,15.00)))))))</f>
        <v/>
      </c>
      <c r="M439">
        <f>LET(
    seasoning_years,DATEDIF('Loan Tape (S&amp;P)'!K439,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9">
        <f>IF(AND('Loan Tape (S&amp;P)'!U439="Yes",
        'Loan Tape (S&amp;P)'!T439&lt;&gt;"Yes",
        DATEDIF('Loan Tape (S&amp;P)'!K439, TODAY(), "M")&lt;18),
    1.10,
    1.00)</f>
        <v/>
      </c>
      <c r="O439">
        <f>IF('Loan Tape (S&amp;P)'!T439="Yes",
    1.35,
    1.00)</f>
        <v/>
      </c>
      <c r="P439">
        <f>IF('Loan Tape (S&amp;P)'!S439="Yes",
    1.15,
    1.00)</f>
        <v/>
      </c>
      <c r="Q439">
        <f>IF('Loan Tape (S&amp;P)'!V439="Yes",
    1.20,
    1.00)</f>
        <v/>
      </c>
      <c r="T439">
        <f>LET(
    payment_method,'Loan Tape (S&amp;P)'!P439,
    occupancy,'Loan Tape (S&amp;P)'!N439,
    maturity_date,'Loan Tape (S&amp;P)'!L439,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0">
      <c r="J440">
        <f>LET(
    lien,'Loan Tape (S&amp;P)'!Q440,
    IF(lien="First",1.00,
        IF(lien="Second",1.50,
            1.70)))</f>
        <v/>
      </c>
      <c r="K440">
        <f>LET(
    purpose,'Loan Tape (S&amp;P)'!R440,
    IF(purpose="Purchase",1.00,
        IF(purpose="Remortgage",1.00,
            1.20)))</f>
        <v/>
      </c>
      <c r="L440">
        <f>LET(
    arrears_months,'Loan Tape (S&amp;P)'!AN440,
    IF(arrears_months=0,1.00,
    IF(arrears_months=1,3.00,
    IF(arrears_months=2,5.00,
    IF(arrears_months=3,8.00,
    IF(arrears_months=4,10.00,
    IF(arrears_months=5,12.00,15.00)))))))</f>
        <v/>
      </c>
      <c r="M440">
        <f>LET(
    seasoning_years,DATEDIF('Loan Tape (S&amp;P)'!K440,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0">
        <f>IF(AND('Loan Tape (S&amp;P)'!U440="Yes",
        'Loan Tape (S&amp;P)'!T440&lt;&gt;"Yes",
        DATEDIF('Loan Tape (S&amp;P)'!K440, TODAY(), "M")&lt;18),
    1.10,
    1.00)</f>
        <v/>
      </c>
      <c r="O440">
        <f>IF('Loan Tape (S&amp;P)'!T440="Yes",
    1.35,
    1.00)</f>
        <v/>
      </c>
      <c r="P440">
        <f>IF('Loan Tape (S&amp;P)'!S440="Yes",
    1.15,
    1.00)</f>
        <v/>
      </c>
      <c r="Q440">
        <f>IF('Loan Tape (S&amp;P)'!V440="Yes",
    1.20,
    1.00)</f>
        <v/>
      </c>
      <c r="T440">
        <f>LET(
    payment_method,'Loan Tape (S&amp;P)'!P440,
    occupancy,'Loan Tape (S&amp;P)'!N440,
    maturity_date,'Loan Tape (S&amp;P)'!L440,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1">
      <c r="J441">
        <f>LET(
    lien,'Loan Tape (S&amp;P)'!Q441,
    IF(lien="First",1.00,
        IF(lien="Second",1.50,
            1.70)))</f>
        <v/>
      </c>
      <c r="K441">
        <f>LET(
    purpose,'Loan Tape (S&amp;P)'!R441,
    IF(purpose="Purchase",1.00,
        IF(purpose="Remortgage",1.00,
            1.20)))</f>
        <v/>
      </c>
      <c r="L441">
        <f>LET(
    arrears_months,'Loan Tape (S&amp;P)'!AN441,
    IF(arrears_months=0,1.00,
    IF(arrears_months=1,3.00,
    IF(arrears_months=2,5.00,
    IF(arrears_months=3,8.00,
    IF(arrears_months=4,10.00,
    IF(arrears_months=5,12.00,15.00)))))))</f>
        <v/>
      </c>
      <c r="M441">
        <f>LET(
    seasoning_years,DATEDIF('Loan Tape (S&amp;P)'!K441,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1">
        <f>IF(AND('Loan Tape (S&amp;P)'!U441="Yes",
        'Loan Tape (S&amp;P)'!T441&lt;&gt;"Yes",
        DATEDIF('Loan Tape (S&amp;P)'!K441, TODAY(), "M")&lt;18),
    1.10,
    1.00)</f>
        <v/>
      </c>
      <c r="O441">
        <f>IF('Loan Tape (S&amp;P)'!T441="Yes",
    1.35,
    1.00)</f>
        <v/>
      </c>
      <c r="P441">
        <f>IF('Loan Tape (S&amp;P)'!S441="Yes",
    1.15,
    1.00)</f>
        <v/>
      </c>
      <c r="Q441">
        <f>IF('Loan Tape (S&amp;P)'!V441="Yes",
    1.20,
    1.00)</f>
        <v/>
      </c>
      <c r="T441">
        <f>LET(
    payment_method,'Loan Tape (S&amp;P)'!P441,
    occupancy,'Loan Tape (S&amp;P)'!N441,
    maturity_date,'Loan Tape (S&amp;P)'!L441,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2">
      <c r="J442">
        <f>LET(
    lien,'Loan Tape (S&amp;P)'!Q442,
    IF(lien="First",1.00,
        IF(lien="Second",1.50,
            1.70)))</f>
        <v/>
      </c>
      <c r="K442">
        <f>LET(
    purpose,'Loan Tape (S&amp;P)'!R442,
    IF(purpose="Purchase",1.00,
        IF(purpose="Remortgage",1.00,
            1.20)))</f>
        <v/>
      </c>
      <c r="L442">
        <f>LET(
    arrears_months,'Loan Tape (S&amp;P)'!AN442,
    IF(arrears_months=0,1.00,
    IF(arrears_months=1,3.00,
    IF(arrears_months=2,5.00,
    IF(arrears_months=3,8.00,
    IF(arrears_months=4,10.00,
    IF(arrears_months=5,12.00,15.00)))))))</f>
        <v/>
      </c>
      <c r="M442">
        <f>LET(
    seasoning_years,DATEDIF('Loan Tape (S&amp;P)'!K442,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2">
        <f>IF(AND('Loan Tape (S&amp;P)'!U442="Yes",
        'Loan Tape (S&amp;P)'!T442&lt;&gt;"Yes",
        DATEDIF('Loan Tape (S&amp;P)'!K442, TODAY(), "M")&lt;18),
    1.10,
    1.00)</f>
        <v/>
      </c>
      <c r="O442">
        <f>IF('Loan Tape (S&amp;P)'!T442="Yes",
    1.35,
    1.00)</f>
        <v/>
      </c>
      <c r="P442">
        <f>IF('Loan Tape (S&amp;P)'!S442="Yes",
    1.15,
    1.00)</f>
        <v/>
      </c>
      <c r="Q442">
        <f>IF('Loan Tape (S&amp;P)'!V442="Yes",
    1.20,
    1.00)</f>
        <v/>
      </c>
      <c r="T442">
        <f>LET(
    payment_method,'Loan Tape (S&amp;P)'!P442,
    occupancy,'Loan Tape (S&amp;P)'!N442,
    maturity_date,'Loan Tape (S&amp;P)'!L442,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3">
      <c r="J443">
        <f>LET(
    lien,'Loan Tape (S&amp;P)'!Q443,
    IF(lien="First",1.00,
        IF(lien="Second",1.50,
            1.70)))</f>
        <v/>
      </c>
      <c r="K443">
        <f>LET(
    purpose,'Loan Tape (S&amp;P)'!R443,
    IF(purpose="Purchase",1.00,
        IF(purpose="Remortgage",1.00,
            1.20)))</f>
        <v/>
      </c>
      <c r="L443">
        <f>LET(
    arrears_months,'Loan Tape (S&amp;P)'!AN443,
    IF(arrears_months=0,1.00,
    IF(arrears_months=1,3.00,
    IF(arrears_months=2,5.00,
    IF(arrears_months=3,8.00,
    IF(arrears_months=4,10.00,
    IF(arrears_months=5,12.00,15.00)))))))</f>
        <v/>
      </c>
      <c r="M443">
        <f>LET(
    seasoning_years,DATEDIF('Loan Tape (S&amp;P)'!K443,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3">
        <f>IF(AND('Loan Tape (S&amp;P)'!U443="Yes",
        'Loan Tape (S&amp;P)'!T443&lt;&gt;"Yes",
        DATEDIF('Loan Tape (S&amp;P)'!K443, TODAY(), "M")&lt;18),
    1.10,
    1.00)</f>
        <v/>
      </c>
      <c r="O443">
        <f>IF('Loan Tape (S&amp;P)'!T443="Yes",
    1.35,
    1.00)</f>
        <v/>
      </c>
      <c r="P443">
        <f>IF('Loan Tape (S&amp;P)'!S443="Yes",
    1.15,
    1.00)</f>
        <v/>
      </c>
      <c r="Q443">
        <f>IF('Loan Tape (S&amp;P)'!V443="Yes",
    1.20,
    1.00)</f>
        <v/>
      </c>
      <c r="T443">
        <f>LET(
    payment_method,'Loan Tape (S&amp;P)'!P443,
    occupancy,'Loan Tape (S&amp;P)'!N443,
    maturity_date,'Loan Tape (S&amp;P)'!L443,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4">
      <c r="J444">
        <f>LET(
    lien,'Loan Tape (S&amp;P)'!Q444,
    IF(lien="First",1.00,
        IF(lien="Second",1.50,
            1.70)))</f>
        <v/>
      </c>
      <c r="K444">
        <f>LET(
    purpose,'Loan Tape (S&amp;P)'!R444,
    IF(purpose="Purchase",1.00,
        IF(purpose="Remortgage",1.00,
            1.20)))</f>
        <v/>
      </c>
      <c r="L444">
        <f>LET(
    arrears_months,'Loan Tape (S&amp;P)'!AN444,
    IF(arrears_months=0,1.00,
    IF(arrears_months=1,3.00,
    IF(arrears_months=2,5.00,
    IF(arrears_months=3,8.00,
    IF(arrears_months=4,10.00,
    IF(arrears_months=5,12.00,15.00)))))))</f>
        <v/>
      </c>
      <c r="M444">
        <f>LET(
    seasoning_years,DATEDIF('Loan Tape (S&amp;P)'!K444,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4">
        <f>IF(AND('Loan Tape (S&amp;P)'!U444="Yes",
        'Loan Tape (S&amp;P)'!T444&lt;&gt;"Yes",
        DATEDIF('Loan Tape (S&amp;P)'!K444, TODAY(), "M")&lt;18),
    1.10,
    1.00)</f>
        <v/>
      </c>
      <c r="O444">
        <f>IF('Loan Tape (S&amp;P)'!T444="Yes",
    1.35,
    1.00)</f>
        <v/>
      </c>
      <c r="P444">
        <f>IF('Loan Tape (S&amp;P)'!S444="Yes",
    1.15,
    1.00)</f>
        <v/>
      </c>
      <c r="Q444">
        <f>IF('Loan Tape (S&amp;P)'!V444="Yes",
    1.20,
    1.00)</f>
        <v/>
      </c>
      <c r="T444">
        <f>LET(
    payment_method,'Loan Tape (S&amp;P)'!P444,
    occupancy,'Loan Tape (S&amp;P)'!N444,
    maturity_date,'Loan Tape (S&amp;P)'!L444,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5">
      <c r="J445">
        <f>LET(
    lien,'Loan Tape (S&amp;P)'!Q445,
    IF(lien="First",1.00,
        IF(lien="Second",1.50,
            1.70)))</f>
        <v/>
      </c>
      <c r="K445">
        <f>LET(
    purpose,'Loan Tape (S&amp;P)'!R445,
    IF(purpose="Purchase",1.00,
        IF(purpose="Remortgage",1.00,
            1.20)))</f>
        <v/>
      </c>
      <c r="L445">
        <f>LET(
    arrears_months,'Loan Tape (S&amp;P)'!AN445,
    IF(arrears_months=0,1.00,
    IF(arrears_months=1,3.00,
    IF(arrears_months=2,5.00,
    IF(arrears_months=3,8.00,
    IF(arrears_months=4,10.00,
    IF(arrears_months=5,12.00,15.00)))))))</f>
        <v/>
      </c>
      <c r="M445">
        <f>LET(
    seasoning_years,DATEDIF('Loan Tape (S&amp;P)'!K445,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5">
        <f>IF(AND('Loan Tape (S&amp;P)'!U445="Yes",
        'Loan Tape (S&amp;P)'!T445&lt;&gt;"Yes",
        DATEDIF('Loan Tape (S&amp;P)'!K445, TODAY(), "M")&lt;18),
    1.10,
    1.00)</f>
        <v/>
      </c>
      <c r="O445">
        <f>IF('Loan Tape (S&amp;P)'!T445="Yes",
    1.35,
    1.00)</f>
        <v/>
      </c>
      <c r="P445">
        <f>IF('Loan Tape (S&amp;P)'!S445="Yes",
    1.15,
    1.00)</f>
        <v/>
      </c>
      <c r="Q445">
        <f>IF('Loan Tape (S&amp;P)'!V445="Yes",
    1.20,
    1.00)</f>
        <v/>
      </c>
      <c r="T445">
        <f>LET(
    payment_method,'Loan Tape (S&amp;P)'!P445,
    occupancy,'Loan Tape (S&amp;P)'!N445,
    maturity_date,'Loan Tape (S&amp;P)'!L445,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6">
      <c r="J446">
        <f>LET(
    lien,'Loan Tape (S&amp;P)'!Q446,
    IF(lien="First",1.00,
        IF(lien="Second",1.50,
            1.70)))</f>
        <v/>
      </c>
      <c r="K446">
        <f>LET(
    purpose,'Loan Tape (S&amp;P)'!R446,
    IF(purpose="Purchase",1.00,
        IF(purpose="Remortgage",1.00,
            1.20)))</f>
        <v/>
      </c>
      <c r="L446">
        <f>LET(
    arrears_months,'Loan Tape (S&amp;P)'!AN446,
    IF(arrears_months=0,1.00,
    IF(arrears_months=1,3.00,
    IF(arrears_months=2,5.00,
    IF(arrears_months=3,8.00,
    IF(arrears_months=4,10.00,
    IF(arrears_months=5,12.00,15.00)))))))</f>
        <v/>
      </c>
      <c r="M446">
        <f>LET(
    seasoning_years,DATEDIF('Loan Tape (S&amp;P)'!K446,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6">
        <f>IF(AND('Loan Tape (S&amp;P)'!U446="Yes",
        'Loan Tape (S&amp;P)'!T446&lt;&gt;"Yes",
        DATEDIF('Loan Tape (S&amp;P)'!K446, TODAY(), "M")&lt;18),
    1.10,
    1.00)</f>
        <v/>
      </c>
      <c r="O446">
        <f>IF('Loan Tape (S&amp;P)'!T446="Yes",
    1.35,
    1.00)</f>
        <v/>
      </c>
      <c r="P446">
        <f>IF('Loan Tape (S&amp;P)'!S446="Yes",
    1.15,
    1.00)</f>
        <v/>
      </c>
      <c r="Q446">
        <f>IF('Loan Tape (S&amp;P)'!V446="Yes",
    1.20,
    1.00)</f>
        <v/>
      </c>
      <c r="T446">
        <f>LET(
    payment_method,'Loan Tape (S&amp;P)'!P446,
    occupancy,'Loan Tape (S&amp;P)'!N446,
    maturity_date,'Loan Tape (S&amp;P)'!L446,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7">
      <c r="J447">
        <f>LET(
    lien,'Loan Tape (S&amp;P)'!Q447,
    IF(lien="First",1.00,
        IF(lien="Second",1.50,
            1.70)))</f>
        <v/>
      </c>
      <c r="K447">
        <f>LET(
    purpose,'Loan Tape (S&amp;P)'!R447,
    IF(purpose="Purchase",1.00,
        IF(purpose="Remortgage",1.00,
            1.20)))</f>
        <v/>
      </c>
      <c r="L447">
        <f>LET(
    arrears_months,'Loan Tape (S&amp;P)'!AN447,
    IF(arrears_months=0,1.00,
    IF(arrears_months=1,3.00,
    IF(arrears_months=2,5.00,
    IF(arrears_months=3,8.00,
    IF(arrears_months=4,10.00,
    IF(arrears_months=5,12.00,15.00)))))))</f>
        <v/>
      </c>
      <c r="M447">
        <f>LET(
    seasoning_years,DATEDIF('Loan Tape (S&amp;P)'!K447,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7">
        <f>IF(AND('Loan Tape (S&amp;P)'!U447="Yes",
        'Loan Tape (S&amp;P)'!T447&lt;&gt;"Yes",
        DATEDIF('Loan Tape (S&amp;P)'!K447, TODAY(), "M")&lt;18),
    1.10,
    1.00)</f>
        <v/>
      </c>
      <c r="O447">
        <f>IF('Loan Tape (S&amp;P)'!T447="Yes",
    1.35,
    1.00)</f>
        <v/>
      </c>
      <c r="P447">
        <f>IF('Loan Tape (S&amp;P)'!S447="Yes",
    1.15,
    1.00)</f>
        <v/>
      </c>
      <c r="Q447">
        <f>IF('Loan Tape (S&amp;P)'!V447="Yes",
    1.20,
    1.00)</f>
        <v/>
      </c>
      <c r="T447">
        <f>LET(
    payment_method,'Loan Tape (S&amp;P)'!P447,
    occupancy,'Loan Tape (S&amp;P)'!N447,
    maturity_date,'Loan Tape (S&amp;P)'!L447,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8">
      <c r="J448">
        <f>LET(
    lien,'Loan Tape (S&amp;P)'!Q448,
    IF(lien="First",1.00,
        IF(lien="Second",1.50,
            1.70)))</f>
        <v/>
      </c>
      <c r="K448">
        <f>LET(
    purpose,'Loan Tape (S&amp;P)'!R448,
    IF(purpose="Purchase",1.00,
        IF(purpose="Remortgage",1.00,
            1.20)))</f>
        <v/>
      </c>
      <c r="L448">
        <f>LET(
    arrears_months,'Loan Tape (S&amp;P)'!AN448,
    IF(arrears_months=0,1.00,
    IF(arrears_months=1,3.00,
    IF(arrears_months=2,5.00,
    IF(arrears_months=3,8.00,
    IF(arrears_months=4,10.00,
    IF(arrears_months=5,12.00,15.00)))))))</f>
        <v/>
      </c>
      <c r="M448">
        <f>LET(
    seasoning_years,DATEDIF('Loan Tape (S&amp;P)'!K448,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8">
        <f>IF(AND('Loan Tape (S&amp;P)'!U448="Yes",
        'Loan Tape (S&amp;P)'!T448&lt;&gt;"Yes",
        DATEDIF('Loan Tape (S&amp;P)'!K448, TODAY(), "M")&lt;18),
    1.10,
    1.00)</f>
        <v/>
      </c>
      <c r="O448">
        <f>IF('Loan Tape (S&amp;P)'!T448="Yes",
    1.35,
    1.00)</f>
        <v/>
      </c>
      <c r="P448">
        <f>IF('Loan Tape (S&amp;P)'!S448="Yes",
    1.15,
    1.00)</f>
        <v/>
      </c>
      <c r="Q448">
        <f>IF('Loan Tape (S&amp;P)'!V448="Yes",
    1.20,
    1.00)</f>
        <v/>
      </c>
      <c r="T448">
        <f>LET(
    payment_method,'Loan Tape (S&amp;P)'!P448,
    occupancy,'Loan Tape (S&amp;P)'!N448,
    maturity_date,'Loan Tape (S&amp;P)'!L448,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9">
      <c r="J449">
        <f>LET(
    lien,'Loan Tape (S&amp;P)'!Q449,
    IF(lien="First",1.00,
        IF(lien="Second",1.50,
            1.70)))</f>
        <v/>
      </c>
      <c r="K449">
        <f>LET(
    purpose,'Loan Tape (S&amp;P)'!R449,
    IF(purpose="Purchase",1.00,
        IF(purpose="Remortgage",1.00,
            1.20)))</f>
        <v/>
      </c>
      <c r="L449">
        <f>LET(
    arrears_months,'Loan Tape (S&amp;P)'!AN449,
    IF(arrears_months=0,1.00,
    IF(arrears_months=1,3.00,
    IF(arrears_months=2,5.00,
    IF(arrears_months=3,8.00,
    IF(arrears_months=4,10.00,
    IF(arrears_months=5,12.00,15.00)))))))</f>
        <v/>
      </c>
      <c r="M449">
        <f>LET(
    seasoning_years,DATEDIF('Loan Tape (S&amp;P)'!K449,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9">
        <f>IF(AND('Loan Tape (S&amp;P)'!U449="Yes",
        'Loan Tape (S&amp;P)'!T449&lt;&gt;"Yes",
        DATEDIF('Loan Tape (S&amp;P)'!K449, TODAY(), "M")&lt;18),
    1.10,
    1.00)</f>
        <v/>
      </c>
      <c r="O449">
        <f>IF('Loan Tape (S&amp;P)'!T449="Yes",
    1.35,
    1.00)</f>
        <v/>
      </c>
      <c r="P449">
        <f>IF('Loan Tape (S&amp;P)'!S449="Yes",
    1.15,
    1.00)</f>
        <v/>
      </c>
      <c r="Q449">
        <f>IF('Loan Tape (S&amp;P)'!V449="Yes",
    1.20,
    1.00)</f>
        <v/>
      </c>
      <c r="T449">
        <f>LET(
    payment_method,'Loan Tape (S&amp;P)'!P449,
    occupancy,'Loan Tape (S&amp;P)'!N449,
    maturity_date,'Loan Tape (S&amp;P)'!L449,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0">
      <c r="J450">
        <f>LET(
    lien,'Loan Tape (S&amp;P)'!Q450,
    IF(lien="First",1.00,
        IF(lien="Second",1.50,
            1.70)))</f>
        <v/>
      </c>
      <c r="K450">
        <f>LET(
    purpose,'Loan Tape (S&amp;P)'!R450,
    IF(purpose="Purchase",1.00,
        IF(purpose="Remortgage",1.00,
            1.20)))</f>
        <v/>
      </c>
      <c r="L450">
        <f>LET(
    arrears_months,'Loan Tape (S&amp;P)'!AN450,
    IF(arrears_months=0,1.00,
    IF(arrears_months=1,3.00,
    IF(arrears_months=2,5.00,
    IF(arrears_months=3,8.00,
    IF(arrears_months=4,10.00,
    IF(arrears_months=5,12.00,15.00)))))))</f>
        <v/>
      </c>
      <c r="M450">
        <f>LET(
    seasoning_years,DATEDIF('Loan Tape (S&amp;P)'!K450,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0">
        <f>IF(AND('Loan Tape (S&amp;P)'!U450="Yes",
        'Loan Tape (S&amp;P)'!T450&lt;&gt;"Yes",
        DATEDIF('Loan Tape (S&amp;P)'!K450, TODAY(), "M")&lt;18),
    1.10,
    1.00)</f>
        <v/>
      </c>
      <c r="O450">
        <f>IF('Loan Tape (S&amp;P)'!T450="Yes",
    1.35,
    1.00)</f>
        <v/>
      </c>
      <c r="P450">
        <f>IF('Loan Tape (S&amp;P)'!S450="Yes",
    1.15,
    1.00)</f>
        <v/>
      </c>
      <c r="Q450">
        <f>IF('Loan Tape (S&amp;P)'!V450="Yes",
    1.20,
    1.00)</f>
        <v/>
      </c>
      <c r="T450">
        <f>LET(
    payment_method,'Loan Tape (S&amp;P)'!P450,
    occupancy,'Loan Tape (S&amp;P)'!N450,
    maturity_date,'Loan Tape (S&amp;P)'!L450,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1">
      <c r="J451">
        <f>LET(
    lien,'Loan Tape (S&amp;P)'!Q451,
    IF(lien="First",1.00,
        IF(lien="Second",1.50,
            1.70)))</f>
        <v/>
      </c>
      <c r="K451">
        <f>LET(
    purpose,'Loan Tape (S&amp;P)'!R451,
    IF(purpose="Purchase",1.00,
        IF(purpose="Remortgage",1.00,
            1.20)))</f>
        <v/>
      </c>
      <c r="L451">
        <f>LET(
    arrears_months,'Loan Tape (S&amp;P)'!AN451,
    IF(arrears_months=0,1.00,
    IF(arrears_months=1,3.00,
    IF(arrears_months=2,5.00,
    IF(arrears_months=3,8.00,
    IF(arrears_months=4,10.00,
    IF(arrears_months=5,12.00,15.00)))))))</f>
        <v/>
      </c>
      <c r="M451">
        <f>LET(
    seasoning_years,DATEDIF('Loan Tape (S&amp;P)'!K451,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1">
        <f>IF(AND('Loan Tape (S&amp;P)'!U451="Yes",
        'Loan Tape (S&amp;P)'!T451&lt;&gt;"Yes",
        DATEDIF('Loan Tape (S&amp;P)'!K451, TODAY(), "M")&lt;18),
    1.10,
    1.00)</f>
        <v/>
      </c>
      <c r="O451">
        <f>IF('Loan Tape (S&amp;P)'!T451="Yes",
    1.35,
    1.00)</f>
        <v/>
      </c>
      <c r="P451">
        <f>IF('Loan Tape (S&amp;P)'!S451="Yes",
    1.15,
    1.00)</f>
        <v/>
      </c>
      <c r="Q451">
        <f>IF('Loan Tape (S&amp;P)'!V451="Yes",
    1.20,
    1.00)</f>
        <v/>
      </c>
      <c r="T451">
        <f>LET(
    payment_method,'Loan Tape (S&amp;P)'!P451,
    occupancy,'Loan Tape (S&amp;P)'!N451,
    maturity_date,'Loan Tape (S&amp;P)'!L451,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2">
      <c r="J452">
        <f>LET(
    lien,'Loan Tape (S&amp;P)'!Q452,
    IF(lien="First",1.00,
        IF(lien="Second",1.50,
            1.70)))</f>
        <v/>
      </c>
      <c r="K452">
        <f>LET(
    purpose,'Loan Tape (S&amp;P)'!R452,
    IF(purpose="Purchase",1.00,
        IF(purpose="Remortgage",1.00,
            1.20)))</f>
        <v/>
      </c>
      <c r="L452">
        <f>LET(
    arrears_months,'Loan Tape (S&amp;P)'!AN452,
    IF(arrears_months=0,1.00,
    IF(arrears_months=1,3.00,
    IF(arrears_months=2,5.00,
    IF(arrears_months=3,8.00,
    IF(arrears_months=4,10.00,
    IF(arrears_months=5,12.00,15.00)))))))</f>
        <v/>
      </c>
      <c r="M452">
        <f>LET(
    seasoning_years,DATEDIF('Loan Tape (S&amp;P)'!K452,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2">
        <f>IF(AND('Loan Tape (S&amp;P)'!U452="Yes",
        'Loan Tape (S&amp;P)'!T452&lt;&gt;"Yes",
        DATEDIF('Loan Tape (S&amp;P)'!K452, TODAY(), "M")&lt;18),
    1.10,
    1.00)</f>
        <v/>
      </c>
      <c r="O452">
        <f>IF('Loan Tape (S&amp;P)'!T452="Yes",
    1.35,
    1.00)</f>
        <v/>
      </c>
      <c r="P452">
        <f>IF('Loan Tape (S&amp;P)'!S452="Yes",
    1.15,
    1.00)</f>
        <v/>
      </c>
      <c r="Q452">
        <f>IF('Loan Tape (S&amp;P)'!V452="Yes",
    1.20,
    1.00)</f>
        <v/>
      </c>
      <c r="T452">
        <f>LET(
    payment_method,'Loan Tape (S&amp;P)'!P452,
    occupancy,'Loan Tape (S&amp;P)'!N452,
    maturity_date,'Loan Tape (S&amp;P)'!L452,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3">
      <c r="J453">
        <f>LET(
    lien,'Loan Tape (S&amp;P)'!Q453,
    IF(lien="First",1.00,
        IF(lien="Second",1.50,
            1.70)))</f>
        <v/>
      </c>
      <c r="K453">
        <f>LET(
    purpose,'Loan Tape (S&amp;P)'!R453,
    IF(purpose="Purchase",1.00,
        IF(purpose="Remortgage",1.00,
            1.20)))</f>
        <v/>
      </c>
      <c r="L453">
        <f>LET(
    arrears_months,'Loan Tape (S&amp;P)'!AN453,
    IF(arrears_months=0,1.00,
    IF(arrears_months=1,3.00,
    IF(arrears_months=2,5.00,
    IF(arrears_months=3,8.00,
    IF(arrears_months=4,10.00,
    IF(arrears_months=5,12.00,15.00)))))))</f>
        <v/>
      </c>
      <c r="M453">
        <f>LET(
    seasoning_years,DATEDIF('Loan Tape (S&amp;P)'!K453,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3">
        <f>IF(AND('Loan Tape (S&amp;P)'!U453="Yes",
        'Loan Tape (S&amp;P)'!T453&lt;&gt;"Yes",
        DATEDIF('Loan Tape (S&amp;P)'!K453, TODAY(), "M")&lt;18),
    1.10,
    1.00)</f>
        <v/>
      </c>
      <c r="O453">
        <f>IF('Loan Tape (S&amp;P)'!T453="Yes",
    1.35,
    1.00)</f>
        <v/>
      </c>
      <c r="P453">
        <f>IF('Loan Tape (S&amp;P)'!S453="Yes",
    1.15,
    1.00)</f>
        <v/>
      </c>
      <c r="Q453">
        <f>IF('Loan Tape (S&amp;P)'!V453="Yes",
    1.20,
    1.00)</f>
        <v/>
      </c>
      <c r="T453">
        <f>LET(
    payment_method,'Loan Tape (S&amp;P)'!P453,
    occupancy,'Loan Tape (S&amp;P)'!N453,
    maturity_date,'Loan Tape (S&amp;P)'!L453,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4">
      <c r="J454">
        <f>LET(
    lien,'Loan Tape (S&amp;P)'!Q454,
    IF(lien="First",1.00,
        IF(lien="Second",1.50,
            1.70)))</f>
        <v/>
      </c>
      <c r="K454">
        <f>LET(
    purpose,'Loan Tape (S&amp;P)'!R454,
    IF(purpose="Purchase",1.00,
        IF(purpose="Remortgage",1.00,
            1.20)))</f>
        <v/>
      </c>
      <c r="L454">
        <f>LET(
    arrears_months,'Loan Tape (S&amp;P)'!AN454,
    IF(arrears_months=0,1.00,
    IF(arrears_months=1,3.00,
    IF(arrears_months=2,5.00,
    IF(arrears_months=3,8.00,
    IF(arrears_months=4,10.00,
    IF(arrears_months=5,12.00,15.00)))))))</f>
        <v/>
      </c>
      <c r="M454">
        <f>LET(
    seasoning_years,DATEDIF('Loan Tape (S&amp;P)'!K454,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4">
        <f>IF(AND('Loan Tape (S&amp;P)'!U454="Yes",
        'Loan Tape (S&amp;P)'!T454&lt;&gt;"Yes",
        DATEDIF('Loan Tape (S&amp;P)'!K454, TODAY(), "M")&lt;18),
    1.10,
    1.00)</f>
        <v/>
      </c>
      <c r="O454">
        <f>IF('Loan Tape (S&amp;P)'!T454="Yes",
    1.35,
    1.00)</f>
        <v/>
      </c>
      <c r="P454">
        <f>IF('Loan Tape (S&amp;P)'!S454="Yes",
    1.15,
    1.00)</f>
        <v/>
      </c>
      <c r="Q454">
        <f>IF('Loan Tape (S&amp;P)'!V454="Yes",
    1.20,
    1.00)</f>
        <v/>
      </c>
      <c r="T454">
        <f>LET(
    payment_method,'Loan Tape (S&amp;P)'!P454,
    occupancy,'Loan Tape (S&amp;P)'!N454,
    maturity_date,'Loan Tape (S&amp;P)'!L454,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5">
      <c r="J455">
        <f>LET(
    lien,'Loan Tape (S&amp;P)'!Q455,
    IF(lien="First",1.00,
        IF(lien="Second",1.50,
            1.70)))</f>
        <v/>
      </c>
      <c r="K455">
        <f>LET(
    purpose,'Loan Tape (S&amp;P)'!R455,
    IF(purpose="Purchase",1.00,
        IF(purpose="Remortgage",1.00,
            1.20)))</f>
        <v/>
      </c>
      <c r="L455">
        <f>LET(
    arrears_months,'Loan Tape (S&amp;P)'!AN455,
    IF(arrears_months=0,1.00,
    IF(arrears_months=1,3.00,
    IF(arrears_months=2,5.00,
    IF(arrears_months=3,8.00,
    IF(arrears_months=4,10.00,
    IF(arrears_months=5,12.00,15.00)))))))</f>
        <v/>
      </c>
      <c r="M455">
        <f>LET(
    seasoning_years,DATEDIF('Loan Tape (S&amp;P)'!K455,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5">
        <f>IF(AND('Loan Tape (S&amp;P)'!U455="Yes",
        'Loan Tape (S&amp;P)'!T455&lt;&gt;"Yes",
        DATEDIF('Loan Tape (S&amp;P)'!K455, TODAY(), "M")&lt;18),
    1.10,
    1.00)</f>
        <v/>
      </c>
      <c r="O455">
        <f>IF('Loan Tape (S&amp;P)'!T455="Yes",
    1.35,
    1.00)</f>
        <v/>
      </c>
      <c r="P455">
        <f>IF('Loan Tape (S&amp;P)'!S455="Yes",
    1.15,
    1.00)</f>
        <v/>
      </c>
      <c r="Q455">
        <f>IF('Loan Tape (S&amp;P)'!V455="Yes",
    1.20,
    1.00)</f>
        <v/>
      </c>
      <c r="T455">
        <f>LET(
    payment_method,'Loan Tape (S&amp;P)'!P455,
    occupancy,'Loan Tape (S&amp;P)'!N455,
    maturity_date,'Loan Tape (S&amp;P)'!L455,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6">
      <c r="J456">
        <f>LET(
    lien,'Loan Tape (S&amp;P)'!Q456,
    IF(lien="First",1.00,
        IF(lien="Second",1.50,
            1.70)))</f>
        <v/>
      </c>
      <c r="K456">
        <f>LET(
    purpose,'Loan Tape (S&amp;P)'!R456,
    IF(purpose="Purchase",1.00,
        IF(purpose="Remortgage",1.00,
            1.20)))</f>
        <v/>
      </c>
      <c r="L456">
        <f>LET(
    arrears_months,'Loan Tape (S&amp;P)'!AN456,
    IF(arrears_months=0,1.00,
    IF(arrears_months=1,3.00,
    IF(arrears_months=2,5.00,
    IF(arrears_months=3,8.00,
    IF(arrears_months=4,10.00,
    IF(arrears_months=5,12.00,15.00)))))))</f>
        <v/>
      </c>
      <c r="M456">
        <f>LET(
    seasoning_years,DATEDIF('Loan Tape (S&amp;P)'!K456,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6">
        <f>IF(AND('Loan Tape (S&amp;P)'!U456="Yes",
        'Loan Tape (S&amp;P)'!T456&lt;&gt;"Yes",
        DATEDIF('Loan Tape (S&amp;P)'!K456, TODAY(), "M")&lt;18),
    1.10,
    1.00)</f>
        <v/>
      </c>
      <c r="O456">
        <f>IF('Loan Tape (S&amp;P)'!T456="Yes",
    1.35,
    1.00)</f>
        <v/>
      </c>
      <c r="P456">
        <f>IF('Loan Tape (S&amp;P)'!S456="Yes",
    1.15,
    1.00)</f>
        <v/>
      </c>
      <c r="Q456">
        <f>IF('Loan Tape (S&amp;P)'!V456="Yes",
    1.20,
    1.00)</f>
        <v/>
      </c>
      <c r="T456">
        <f>LET(
    payment_method,'Loan Tape (S&amp;P)'!P456,
    occupancy,'Loan Tape (S&amp;P)'!N456,
    maturity_date,'Loan Tape (S&amp;P)'!L456,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7">
      <c r="J457">
        <f>LET(
    lien,'Loan Tape (S&amp;P)'!Q457,
    IF(lien="First",1.00,
        IF(lien="Second",1.50,
            1.70)))</f>
        <v/>
      </c>
      <c r="K457">
        <f>LET(
    purpose,'Loan Tape (S&amp;P)'!R457,
    IF(purpose="Purchase",1.00,
        IF(purpose="Remortgage",1.00,
            1.20)))</f>
        <v/>
      </c>
      <c r="L457">
        <f>LET(
    arrears_months,'Loan Tape (S&amp;P)'!AN457,
    IF(arrears_months=0,1.00,
    IF(arrears_months=1,3.00,
    IF(arrears_months=2,5.00,
    IF(arrears_months=3,8.00,
    IF(arrears_months=4,10.00,
    IF(arrears_months=5,12.00,15.00)))))))</f>
        <v/>
      </c>
      <c r="M457">
        <f>LET(
    seasoning_years,DATEDIF('Loan Tape (S&amp;P)'!K457,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7">
        <f>IF(AND('Loan Tape (S&amp;P)'!U457="Yes",
        'Loan Tape (S&amp;P)'!T457&lt;&gt;"Yes",
        DATEDIF('Loan Tape (S&amp;P)'!K457, TODAY(), "M")&lt;18),
    1.10,
    1.00)</f>
        <v/>
      </c>
      <c r="O457">
        <f>IF('Loan Tape (S&amp;P)'!T457="Yes",
    1.35,
    1.00)</f>
        <v/>
      </c>
      <c r="P457">
        <f>IF('Loan Tape (S&amp;P)'!S457="Yes",
    1.15,
    1.00)</f>
        <v/>
      </c>
      <c r="Q457">
        <f>IF('Loan Tape (S&amp;P)'!V457="Yes",
    1.20,
    1.00)</f>
        <v/>
      </c>
      <c r="T457">
        <f>LET(
    payment_method,'Loan Tape (S&amp;P)'!P457,
    occupancy,'Loan Tape (S&amp;P)'!N457,
    maturity_date,'Loan Tape (S&amp;P)'!L457,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8">
      <c r="J458">
        <f>LET(
    lien,'Loan Tape (S&amp;P)'!Q458,
    IF(lien="First",1.00,
        IF(lien="Second",1.50,
            1.70)))</f>
        <v/>
      </c>
      <c r="K458">
        <f>LET(
    purpose,'Loan Tape (S&amp;P)'!R458,
    IF(purpose="Purchase",1.00,
        IF(purpose="Remortgage",1.00,
            1.20)))</f>
        <v/>
      </c>
      <c r="L458">
        <f>LET(
    arrears_months,'Loan Tape (S&amp;P)'!AN458,
    IF(arrears_months=0,1.00,
    IF(arrears_months=1,3.00,
    IF(arrears_months=2,5.00,
    IF(arrears_months=3,8.00,
    IF(arrears_months=4,10.00,
    IF(arrears_months=5,12.00,15.00)))))))</f>
        <v/>
      </c>
      <c r="M458">
        <f>LET(
    seasoning_years,DATEDIF('Loan Tape (S&amp;P)'!K458,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8">
        <f>IF(AND('Loan Tape (S&amp;P)'!U458="Yes",
        'Loan Tape (S&amp;P)'!T458&lt;&gt;"Yes",
        DATEDIF('Loan Tape (S&amp;P)'!K458, TODAY(), "M")&lt;18),
    1.10,
    1.00)</f>
        <v/>
      </c>
      <c r="O458">
        <f>IF('Loan Tape (S&amp;P)'!T458="Yes",
    1.35,
    1.00)</f>
        <v/>
      </c>
      <c r="P458">
        <f>IF('Loan Tape (S&amp;P)'!S458="Yes",
    1.15,
    1.00)</f>
        <v/>
      </c>
      <c r="Q458">
        <f>IF('Loan Tape (S&amp;P)'!V458="Yes",
    1.20,
    1.00)</f>
        <v/>
      </c>
      <c r="T458">
        <f>LET(
    payment_method,'Loan Tape (S&amp;P)'!P458,
    occupancy,'Loan Tape (S&amp;P)'!N458,
    maturity_date,'Loan Tape (S&amp;P)'!L458,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9">
      <c r="J459">
        <f>LET(
    lien,'Loan Tape (S&amp;P)'!Q459,
    IF(lien="First",1.00,
        IF(lien="Second",1.50,
            1.70)))</f>
        <v/>
      </c>
      <c r="K459">
        <f>LET(
    purpose,'Loan Tape (S&amp;P)'!R459,
    IF(purpose="Purchase",1.00,
        IF(purpose="Remortgage",1.00,
            1.20)))</f>
        <v/>
      </c>
      <c r="L459">
        <f>LET(
    arrears_months,'Loan Tape (S&amp;P)'!AN459,
    IF(arrears_months=0,1.00,
    IF(arrears_months=1,3.00,
    IF(arrears_months=2,5.00,
    IF(arrears_months=3,8.00,
    IF(arrears_months=4,10.00,
    IF(arrears_months=5,12.00,15.00)))))))</f>
        <v/>
      </c>
      <c r="M459">
        <f>LET(
    seasoning_years,DATEDIF('Loan Tape (S&amp;P)'!K459,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9">
        <f>IF(AND('Loan Tape (S&amp;P)'!U459="Yes",
        'Loan Tape (S&amp;P)'!T459&lt;&gt;"Yes",
        DATEDIF('Loan Tape (S&amp;P)'!K459, TODAY(), "M")&lt;18),
    1.10,
    1.00)</f>
        <v/>
      </c>
      <c r="O459">
        <f>IF('Loan Tape (S&amp;P)'!T459="Yes",
    1.35,
    1.00)</f>
        <v/>
      </c>
      <c r="P459">
        <f>IF('Loan Tape (S&amp;P)'!S459="Yes",
    1.15,
    1.00)</f>
        <v/>
      </c>
      <c r="Q459">
        <f>IF('Loan Tape (S&amp;P)'!V459="Yes",
    1.20,
    1.00)</f>
        <v/>
      </c>
      <c r="T459">
        <f>LET(
    payment_method,'Loan Tape (S&amp;P)'!P459,
    occupancy,'Loan Tape (S&amp;P)'!N459,
    maturity_date,'Loan Tape (S&amp;P)'!L459,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0">
      <c r="J460">
        <f>LET(
    lien,'Loan Tape (S&amp;P)'!Q460,
    IF(lien="First",1.00,
        IF(lien="Second",1.50,
            1.70)))</f>
        <v/>
      </c>
      <c r="K460">
        <f>LET(
    purpose,'Loan Tape (S&amp;P)'!R460,
    IF(purpose="Purchase",1.00,
        IF(purpose="Remortgage",1.00,
            1.20)))</f>
        <v/>
      </c>
      <c r="L460">
        <f>LET(
    arrears_months,'Loan Tape (S&amp;P)'!AN460,
    IF(arrears_months=0,1.00,
    IF(arrears_months=1,3.00,
    IF(arrears_months=2,5.00,
    IF(arrears_months=3,8.00,
    IF(arrears_months=4,10.00,
    IF(arrears_months=5,12.00,15.00)))))))</f>
        <v/>
      </c>
      <c r="M460">
        <f>LET(
    seasoning_years,DATEDIF('Loan Tape (S&amp;P)'!K460,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0">
        <f>IF(AND('Loan Tape (S&amp;P)'!U460="Yes",
        'Loan Tape (S&amp;P)'!T460&lt;&gt;"Yes",
        DATEDIF('Loan Tape (S&amp;P)'!K460, TODAY(), "M")&lt;18),
    1.10,
    1.00)</f>
        <v/>
      </c>
      <c r="O460">
        <f>IF('Loan Tape (S&amp;P)'!T460="Yes",
    1.35,
    1.00)</f>
        <v/>
      </c>
      <c r="P460">
        <f>IF('Loan Tape (S&amp;P)'!S460="Yes",
    1.15,
    1.00)</f>
        <v/>
      </c>
      <c r="Q460">
        <f>IF('Loan Tape (S&amp;P)'!V460="Yes",
    1.20,
    1.00)</f>
        <v/>
      </c>
      <c r="T460">
        <f>LET(
    payment_method,'Loan Tape (S&amp;P)'!P460,
    occupancy,'Loan Tape (S&amp;P)'!N460,
    maturity_date,'Loan Tape (S&amp;P)'!L460,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1">
      <c r="J461">
        <f>LET(
    lien,'Loan Tape (S&amp;P)'!Q461,
    IF(lien="First",1.00,
        IF(lien="Second",1.50,
            1.70)))</f>
        <v/>
      </c>
      <c r="K461">
        <f>LET(
    purpose,'Loan Tape (S&amp;P)'!R461,
    IF(purpose="Purchase",1.00,
        IF(purpose="Remortgage",1.00,
            1.20)))</f>
        <v/>
      </c>
      <c r="L461">
        <f>LET(
    arrears_months,'Loan Tape (S&amp;P)'!AN461,
    IF(arrears_months=0,1.00,
    IF(arrears_months=1,3.00,
    IF(arrears_months=2,5.00,
    IF(arrears_months=3,8.00,
    IF(arrears_months=4,10.00,
    IF(arrears_months=5,12.00,15.00)))))))</f>
        <v/>
      </c>
      <c r="M461">
        <f>LET(
    seasoning_years,DATEDIF('Loan Tape (S&amp;P)'!K461,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1">
        <f>IF(AND('Loan Tape (S&amp;P)'!U461="Yes",
        'Loan Tape (S&amp;P)'!T461&lt;&gt;"Yes",
        DATEDIF('Loan Tape (S&amp;P)'!K461, TODAY(), "M")&lt;18),
    1.10,
    1.00)</f>
        <v/>
      </c>
      <c r="O461">
        <f>IF('Loan Tape (S&amp;P)'!T461="Yes",
    1.35,
    1.00)</f>
        <v/>
      </c>
      <c r="P461">
        <f>IF('Loan Tape (S&amp;P)'!S461="Yes",
    1.15,
    1.00)</f>
        <v/>
      </c>
      <c r="Q461">
        <f>IF('Loan Tape (S&amp;P)'!V461="Yes",
    1.20,
    1.00)</f>
        <v/>
      </c>
      <c r="T461">
        <f>LET(
    payment_method,'Loan Tape (S&amp;P)'!P461,
    occupancy,'Loan Tape (S&amp;P)'!N461,
    maturity_date,'Loan Tape (S&amp;P)'!L461,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2">
      <c r="J462">
        <f>LET(
    lien,'Loan Tape (S&amp;P)'!Q462,
    IF(lien="First",1.00,
        IF(lien="Second",1.50,
            1.70)))</f>
        <v/>
      </c>
      <c r="K462">
        <f>LET(
    purpose,'Loan Tape (S&amp;P)'!R462,
    IF(purpose="Purchase",1.00,
        IF(purpose="Remortgage",1.00,
            1.20)))</f>
        <v/>
      </c>
      <c r="L462">
        <f>LET(
    arrears_months,'Loan Tape (S&amp;P)'!AN462,
    IF(arrears_months=0,1.00,
    IF(arrears_months=1,3.00,
    IF(arrears_months=2,5.00,
    IF(arrears_months=3,8.00,
    IF(arrears_months=4,10.00,
    IF(arrears_months=5,12.00,15.00)))))))</f>
        <v/>
      </c>
      <c r="M462">
        <f>LET(
    seasoning_years,DATEDIF('Loan Tape (S&amp;P)'!K462,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2">
        <f>IF(AND('Loan Tape (S&amp;P)'!U462="Yes",
        'Loan Tape (S&amp;P)'!T462&lt;&gt;"Yes",
        DATEDIF('Loan Tape (S&amp;P)'!K462, TODAY(), "M")&lt;18),
    1.10,
    1.00)</f>
        <v/>
      </c>
      <c r="O462">
        <f>IF('Loan Tape (S&amp;P)'!T462="Yes",
    1.35,
    1.00)</f>
        <v/>
      </c>
      <c r="P462">
        <f>IF('Loan Tape (S&amp;P)'!S462="Yes",
    1.15,
    1.00)</f>
        <v/>
      </c>
      <c r="Q462">
        <f>IF('Loan Tape (S&amp;P)'!V462="Yes",
    1.20,
    1.00)</f>
        <v/>
      </c>
      <c r="T462">
        <f>LET(
    payment_method,'Loan Tape (S&amp;P)'!P462,
    occupancy,'Loan Tape (S&amp;P)'!N462,
    maturity_date,'Loan Tape (S&amp;P)'!L462,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3">
      <c r="J463">
        <f>LET(
    lien,'Loan Tape (S&amp;P)'!Q463,
    IF(lien="First",1.00,
        IF(lien="Second",1.50,
            1.70)))</f>
        <v/>
      </c>
      <c r="K463">
        <f>LET(
    purpose,'Loan Tape (S&amp;P)'!R463,
    IF(purpose="Purchase",1.00,
        IF(purpose="Remortgage",1.00,
            1.20)))</f>
        <v/>
      </c>
      <c r="L463">
        <f>LET(
    arrears_months,'Loan Tape (S&amp;P)'!AN463,
    IF(arrears_months=0,1.00,
    IF(arrears_months=1,3.00,
    IF(arrears_months=2,5.00,
    IF(arrears_months=3,8.00,
    IF(arrears_months=4,10.00,
    IF(arrears_months=5,12.00,15.00)))))))</f>
        <v/>
      </c>
      <c r="M463">
        <f>LET(
    seasoning_years,DATEDIF('Loan Tape (S&amp;P)'!K463,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3">
        <f>IF(AND('Loan Tape (S&amp;P)'!U463="Yes",
        'Loan Tape (S&amp;P)'!T463&lt;&gt;"Yes",
        DATEDIF('Loan Tape (S&amp;P)'!K463, TODAY(), "M")&lt;18),
    1.10,
    1.00)</f>
        <v/>
      </c>
      <c r="O463">
        <f>IF('Loan Tape (S&amp;P)'!T463="Yes",
    1.35,
    1.00)</f>
        <v/>
      </c>
      <c r="P463">
        <f>IF('Loan Tape (S&amp;P)'!S463="Yes",
    1.15,
    1.00)</f>
        <v/>
      </c>
      <c r="Q463">
        <f>IF('Loan Tape (S&amp;P)'!V463="Yes",
    1.20,
    1.00)</f>
        <v/>
      </c>
      <c r="T463">
        <f>LET(
    payment_method,'Loan Tape (S&amp;P)'!P463,
    occupancy,'Loan Tape (S&amp;P)'!N463,
    maturity_date,'Loan Tape (S&amp;P)'!L463,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4">
      <c r="J464">
        <f>LET(
    lien,'Loan Tape (S&amp;P)'!Q464,
    IF(lien="First",1.00,
        IF(lien="Second",1.50,
            1.70)))</f>
        <v/>
      </c>
      <c r="K464">
        <f>LET(
    purpose,'Loan Tape (S&amp;P)'!R464,
    IF(purpose="Purchase",1.00,
        IF(purpose="Remortgage",1.00,
            1.20)))</f>
        <v/>
      </c>
      <c r="L464">
        <f>LET(
    arrears_months,'Loan Tape (S&amp;P)'!AN464,
    IF(arrears_months=0,1.00,
    IF(arrears_months=1,3.00,
    IF(arrears_months=2,5.00,
    IF(arrears_months=3,8.00,
    IF(arrears_months=4,10.00,
    IF(arrears_months=5,12.00,15.00)))))))</f>
        <v/>
      </c>
      <c r="M464">
        <f>LET(
    seasoning_years,DATEDIF('Loan Tape (S&amp;P)'!K464,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4">
        <f>IF(AND('Loan Tape (S&amp;P)'!U464="Yes",
        'Loan Tape (S&amp;P)'!T464&lt;&gt;"Yes",
        DATEDIF('Loan Tape (S&amp;P)'!K464, TODAY(), "M")&lt;18),
    1.10,
    1.00)</f>
        <v/>
      </c>
      <c r="O464">
        <f>IF('Loan Tape (S&amp;P)'!T464="Yes",
    1.35,
    1.00)</f>
        <v/>
      </c>
      <c r="P464">
        <f>IF('Loan Tape (S&amp;P)'!S464="Yes",
    1.15,
    1.00)</f>
        <v/>
      </c>
      <c r="Q464">
        <f>IF('Loan Tape (S&amp;P)'!V464="Yes",
    1.20,
    1.00)</f>
        <v/>
      </c>
      <c r="T464">
        <f>LET(
    payment_method,'Loan Tape (S&amp;P)'!P464,
    occupancy,'Loan Tape (S&amp;P)'!N464,
    maturity_date,'Loan Tape (S&amp;P)'!L464,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5">
      <c r="J465">
        <f>LET(
    lien,'Loan Tape (S&amp;P)'!Q465,
    IF(lien="First",1.00,
        IF(lien="Second",1.50,
            1.70)))</f>
        <v/>
      </c>
      <c r="K465">
        <f>LET(
    purpose,'Loan Tape (S&amp;P)'!R465,
    IF(purpose="Purchase",1.00,
        IF(purpose="Remortgage",1.00,
            1.20)))</f>
        <v/>
      </c>
      <c r="L465">
        <f>LET(
    arrears_months,'Loan Tape (S&amp;P)'!AN465,
    IF(arrears_months=0,1.00,
    IF(arrears_months=1,3.00,
    IF(arrears_months=2,5.00,
    IF(arrears_months=3,8.00,
    IF(arrears_months=4,10.00,
    IF(arrears_months=5,12.00,15.00)))))))</f>
        <v/>
      </c>
      <c r="M465">
        <f>LET(
    seasoning_years,DATEDIF('Loan Tape (S&amp;P)'!K465,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5">
        <f>IF(AND('Loan Tape (S&amp;P)'!U465="Yes",
        'Loan Tape (S&amp;P)'!T465&lt;&gt;"Yes",
        DATEDIF('Loan Tape (S&amp;P)'!K465, TODAY(), "M")&lt;18),
    1.10,
    1.00)</f>
        <v/>
      </c>
      <c r="O465">
        <f>IF('Loan Tape (S&amp;P)'!T465="Yes",
    1.35,
    1.00)</f>
        <v/>
      </c>
      <c r="P465">
        <f>IF('Loan Tape (S&amp;P)'!S465="Yes",
    1.15,
    1.00)</f>
        <v/>
      </c>
      <c r="Q465">
        <f>IF('Loan Tape (S&amp;P)'!V465="Yes",
    1.20,
    1.00)</f>
        <v/>
      </c>
      <c r="T465">
        <f>LET(
    payment_method,'Loan Tape (S&amp;P)'!P465,
    occupancy,'Loan Tape (S&amp;P)'!N465,
    maturity_date,'Loan Tape (S&amp;P)'!L465,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6">
      <c r="J466">
        <f>LET(
    lien,'Loan Tape (S&amp;P)'!Q466,
    IF(lien="First",1.00,
        IF(lien="Second",1.50,
            1.70)))</f>
        <v/>
      </c>
      <c r="K466">
        <f>LET(
    purpose,'Loan Tape (S&amp;P)'!R466,
    IF(purpose="Purchase",1.00,
        IF(purpose="Remortgage",1.00,
            1.20)))</f>
        <v/>
      </c>
      <c r="L466">
        <f>LET(
    arrears_months,'Loan Tape (S&amp;P)'!AN466,
    IF(arrears_months=0,1.00,
    IF(arrears_months=1,3.00,
    IF(arrears_months=2,5.00,
    IF(arrears_months=3,8.00,
    IF(arrears_months=4,10.00,
    IF(arrears_months=5,12.00,15.00)))))))</f>
        <v/>
      </c>
      <c r="M466">
        <f>LET(
    seasoning_years,DATEDIF('Loan Tape (S&amp;P)'!K466,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6">
        <f>IF(AND('Loan Tape (S&amp;P)'!U466="Yes",
        'Loan Tape (S&amp;P)'!T466&lt;&gt;"Yes",
        DATEDIF('Loan Tape (S&amp;P)'!K466, TODAY(), "M")&lt;18),
    1.10,
    1.00)</f>
        <v/>
      </c>
      <c r="O466">
        <f>IF('Loan Tape (S&amp;P)'!T466="Yes",
    1.35,
    1.00)</f>
        <v/>
      </c>
      <c r="P466">
        <f>IF('Loan Tape (S&amp;P)'!S466="Yes",
    1.15,
    1.00)</f>
        <v/>
      </c>
      <c r="Q466">
        <f>IF('Loan Tape (S&amp;P)'!V466="Yes",
    1.20,
    1.00)</f>
        <v/>
      </c>
      <c r="T466">
        <f>LET(
    payment_method,'Loan Tape (S&amp;P)'!P466,
    occupancy,'Loan Tape (S&amp;P)'!N466,
    maturity_date,'Loan Tape (S&amp;P)'!L466,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7">
      <c r="J467">
        <f>LET(
    lien,'Loan Tape (S&amp;P)'!Q467,
    IF(lien="First",1.00,
        IF(lien="Second",1.50,
            1.70)))</f>
        <v/>
      </c>
      <c r="K467">
        <f>LET(
    purpose,'Loan Tape (S&amp;P)'!R467,
    IF(purpose="Purchase",1.00,
        IF(purpose="Remortgage",1.00,
            1.20)))</f>
        <v/>
      </c>
      <c r="L467">
        <f>LET(
    arrears_months,'Loan Tape (S&amp;P)'!AN467,
    IF(arrears_months=0,1.00,
    IF(arrears_months=1,3.00,
    IF(arrears_months=2,5.00,
    IF(arrears_months=3,8.00,
    IF(arrears_months=4,10.00,
    IF(arrears_months=5,12.00,15.00)))))))</f>
        <v/>
      </c>
      <c r="M467">
        <f>LET(
    seasoning_years,DATEDIF('Loan Tape (S&amp;P)'!K467,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7">
        <f>IF(AND('Loan Tape (S&amp;P)'!U467="Yes",
        'Loan Tape (S&amp;P)'!T467&lt;&gt;"Yes",
        DATEDIF('Loan Tape (S&amp;P)'!K467, TODAY(), "M")&lt;18),
    1.10,
    1.00)</f>
        <v/>
      </c>
      <c r="O467">
        <f>IF('Loan Tape (S&amp;P)'!T467="Yes",
    1.35,
    1.00)</f>
        <v/>
      </c>
      <c r="P467">
        <f>IF('Loan Tape (S&amp;P)'!S467="Yes",
    1.15,
    1.00)</f>
        <v/>
      </c>
      <c r="Q467">
        <f>IF('Loan Tape (S&amp;P)'!V467="Yes",
    1.20,
    1.00)</f>
        <v/>
      </c>
      <c r="T467">
        <f>LET(
    payment_method,'Loan Tape (S&amp;P)'!P467,
    occupancy,'Loan Tape (S&amp;P)'!N467,
    maturity_date,'Loan Tape (S&amp;P)'!L467,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8">
      <c r="J468">
        <f>LET(
    lien,'Loan Tape (S&amp;P)'!Q468,
    IF(lien="First",1.00,
        IF(lien="Second",1.50,
            1.70)))</f>
        <v/>
      </c>
      <c r="K468">
        <f>LET(
    purpose,'Loan Tape (S&amp;P)'!R468,
    IF(purpose="Purchase",1.00,
        IF(purpose="Remortgage",1.00,
            1.20)))</f>
        <v/>
      </c>
      <c r="L468">
        <f>LET(
    arrears_months,'Loan Tape (S&amp;P)'!AN468,
    IF(arrears_months=0,1.00,
    IF(arrears_months=1,3.00,
    IF(arrears_months=2,5.00,
    IF(arrears_months=3,8.00,
    IF(arrears_months=4,10.00,
    IF(arrears_months=5,12.00,15.00)))))))</f>
        <v/>
      </c>
      <c r="M468">
        <f>LET(
    seasoning_years,DATEDIF('Loan Tape (S&amp;P)'!K468,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8">
        <f>IF(AND('Loan Tape (S&amp;P)'!U468="Yes",
        'Loan Tape (S&amp;P)'!T468&lt;&gt;"Yes",
        DATEDIF('Loan Tape (S&amp;P)'!K468, TODAY(), "M")&lt;18),
    1.10,
    1.00)</f>
        <v/>
      </c>
      <c r="O468">
        <f>IF('Loan Tape (S&amp;P)'!T468="Yes",
    1.35,
    1.00)</f>
        <v/>
      </c>
      <c r="P468">
        <f>IF('Loan Tape (S&amp;P)'!S468="Yes",
    1.15,
    1.00)</f>
        <v/>
      </c>
      <c r="Q468">
        <f>IF('Loan Tape (S&amp;P)'!V468="Yes",
    1.20,
    1.00)</f>
        <v/>
      </c>
      <c r="T468">
        <f>LET(
    payment_method,'Loan Tape (S&amp;P)'!P468,
    occupancy,'Loan Tape (S&amp;P)'!N468,
    maturity_date,'Loan Tape (S&amp;P)'!L468,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9">
      <c r="J469">
        <f>LET(
    lien,'Loan Tape (S&amp;P)'!Q469,
    IF(lien="First",1.00,
        IF(lien="Second",1.50,
            1.70)))</f>
        <v/>
      </c>
      <c r="K469">
        <f>LET(
    purpose,'Loan Tape (S&amp;P)'!R469,
    IF(purpose="Purchase",1.00,
        IF(purpose="Remortgage",1.00,
            1.20)))</f>
        <v/>
      </c>
      <c r="L469">
        <f>LET(
    arrears_months,'Loan Tape (S&amp;P)'!AN469,
    IF(arrears_months=0,1.00,
    IF(arrears_months=1,3.00,
    IF(arrears_months=2,5.00,
    IF(arrears_months=3,8.00,
    IF(arrears_months=4,10.00,
    IF(arrears_months=5,12.00,15.00)))))))</f>
        <v/>
      </c>
      <c r="M469">
        <f>LET(
    seasoning_years,DATEDIF('Loan Tape (S&amp;P)'!K469,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9">
        <f>IF(AND('Loan Tape (S&amp;P)'!U469="Yes",
        'Loan Tape (S&amp;P)'!T469&lt;&gt;"Yes",
        DATEDIF('Loan Tape (S&amp;P)'!K469, TODAY(), "M")&lt;18),
    1.10,
    1.00)</f>
        <v/>
      </c>
      <c r="O469">
        <f>IF('Loan Tape (S&amp;P)'!T469="Yes",
    1.35,
    1.00)</f>
        <v/>
      </c>
      <c r="P469">
        <f>IF('Loan Tape (S&amp;P)'!S469="Yes",
    1.15,
    1.00)</f>
        <v/>
      </c>
      <c r="Q469">
        <f>IF('Loan Tape (S&amp;P)'!V469="Yes",
    1.20,
    1.00)</f>
        <v/>
      </c>
      <c r="T469">
        <f>LET(
    payment_method,'Loan Tape (S&amp;P)'!P469,
    occupancy,'Loan Tape (S&amp;P)'!N469,
    maturity_date,'Loan Tape (S&amp;P)'!L469,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0">
      <c r="J470">
        <f>LET(
    lien,'Loan Tape (S&amp;P)'!Q470,
    IF(lien="First",1.00,
        IF(lien="Second",1.50,
            1.70)))</f>
        <v/>
      </c>
      <c r="K470">
        <f>LET(
    purpose,'Loan Tape (S&amp;P)'!R470,
    IF(purpose="Purchase",1.00,
        IF(purpose="Remortgage",1.00,
            1.20)))</f>
        <v/>
      </c>
      <c r="L470">
        <f>LET(
    arrears_months,'Loan Tape (S&amp;P)'!AN470,
    IF(arrears_months=0,1.00,
    IF(arrears_months=1,3.00,
    IF(arrears_months=2,5.00,
    IF(arrears_months=3,8.00,
    IF(arrears_months=4,10.00,
    IF(arrears_months=5,12.00,15.00)))))))</f>
        <v/>
      </c>
      <c r="M470">
        <f>LET(
    seasoning_years,DATEDIF('Loan Tape (S&amp;P)'!K470,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0">
        <f>IF(AND('Loan Tape (S&amp;P)'!U470="Yes",
        'Loan Tape (S&amp;P)'!T470&lt;&gt;"Yes",
        DATEDIF('Loan Tape (S&amp;P)'!K470, TODAY(), "M")&lt;18),
    1.10,
    1.00)</f>
        <v/>
      </c>
      <c r="O470">
        <f>IF('Loan Tape (S&amp;P)'!T470="Yes",
    1.35,
    1.00)</f>
        <v/>
      </c>
      <c r="P470">
        <f>IF('Loan Tape (S&amp;P)'!S470="Yes",
    1.15,
    1.00)</f>
        <v/>
      </c>
      <c r="Q470">
        <f>IF('Loan Tape (S&amp;P)'!V470="Yes",
    1.20,
    1.00)</f>
        <v/>
      </c>
      <c r="T470">
        <f>LET(
    payment_method,'Loan Tape (S&amp;P)'!P470,
    occupancy,'Loan Tape (S&amp;P)'!N470,
    maturity_date,'Loan Tape (S&amp;P)'!L470,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1">
      <c r="J471">
        <f>LET(
    lien,'Loan Tape (S&amp;P)'!Q471,
    IF(lien="First",1.00,
        IF(lien="Second",1.50,
            1.70)))</f>
        <v/>
      </c>
      <c r="K471">
        <f>LET(
    purpose,'Loan Tape (S&amp;P)'!R471,
    IF(purpose="Purchase",1.00,
        IF(purpose="Remortgage",1.00,
            1.20)))</f>
        <v/>
      </c>
      <c r="L471">
        <f>LET(
    arrears_months,'Loan Tape (S&amp;P)'!AN471,
    IF(arrears_months=0,1.00,
    IF(arrears_months=1,3.00,
    IF(arrears_months=2,5.00,
    IF(arrears_months=3,8.00,
    IF(arrears_months=4,10.00,
    IF(arrears_months=5,12.00,15.00)))))))</f>
        <v/>
      </c>
      <c r="M471">
        <f>LET(
    seasoning_years,DATEDIF('Loan Tape (S&amp;P)'!K471,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1">
        <f>IF(AND('Loan Tape (S&amp;P)'!U471="Yes",
        'Loan Tape (S&amp;P)'!T471&lt;&gt;"Yes",
        DATEDIF('Loan Tape (S&amp;P)'!K471, TODAY(), "M")&lt;18),
    1.10,
    1.00)</f>
        <v/>
      </c>
      <c r="O471">
        <f>IF('Loan Tape (S&amp;P)'!T471="Yes",
    1.35,
    1.00)</f>
        <v/>
      </c>
      <c r="P471">
        <f>IF('Loan Tape (S&amp;P)'!S471="Yes",
    1.15,
    1.00)</f>
        <v/>
      </c>
      <c r="Q471">
        <f>IF('Loan Tape (S&amp;P)'!V471="Yes",
    1.20,
    1.00)</f>
        <v/>
      </c>
      <c r="T471">
        <f>LET(
    payment_method,'Loan Tape (S&amp;P)'!P471,
    occupancy,'Loan Tape (S&amp;P)'!N471,
    maturity_date,'Loan Tape (S&amp;P)'!L471,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2">
      <c r="J472">
        <f>LET(
    lien,'Loan Tape (S&amp;P)'!Q472,
    IF(lien="First",1.00,
        IF(lien="Second",1.50,
            1.70)))</f>
        <v/>
      </c>
      <c r="K472">
        <f>LET(
    purpose,'Loan Tape (S&amp;P)'!R472,
    IF(purpose="Purchase",1.00,
        IF(purpose="Remortgage",1.00,
            1.20)))</f>
        <v/>
      </c>
      <c r="L472">
        <f>LET(
    arrears_months,'Loan Tape (S&amp;P)'!AN472,
    IF(arrears_months=0,1.00,
    IF(arrears_months=1,3.00,
    IF(arrears_months=2,5.00,
    IF(arrears_months=3,8.00,
    IF(arrears_months=4,10.00,
    IF(arrears_months=5,12.00,15.00)))))))</f>
        <v/>
      </c>
      <c r="M472">
        <f>LET(
    seasoning_years,DATEDIF('Loan Tape (S&amp;P)'!K472,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2">
        <f>IF(AND('Loan Tape (S&amp;P)'!U472="Yes",
        'Loan Tape (S&amp;P)'!T472&lt;&gt;"Yes",
        DATEDIF('Loan Tape (S&amp;P)'!K472, TODAY(), "M")&lt;18),
    1.10,
    1.00)</f>
        <v/>
      </c>
      <c r="O472">
        <f>IF('Loan Tape (S&amp;P)'!T472="Yes",
    1.35,
    1.00)</f>
        <v/>
      </c>
      <c r="P472">
        <f>IF('Loan Tape (S&amp;P)'!S472="Yes",
    1.15,
    1.00)</f>
        <v/>
      </c>
      <c r="Q472">
        <f>IF('Loan Tape (S&amp;P)'!V472="Yes",
    1.20,
    1.00)</f>
        <v/>
      </c>
      <c r="T472">
        <f>LET(
    payment_method,'Loan Tape (S&amp;P)'!P472,
    occupancy,'Loan Tape (S&amp;P)'!N472,
    maturity_date,'Loan Tape (S&amp;P)'!L472,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3">
      <c r="J473">
        <f>LET(
    lien,'Loan Tape (S&amp;P)'!Q473,
    IF(lien="First",1.00,
        IF(lien="Second",1.50,
            1.70)))</f>
        <v/>
      </c>
      <c r="K473">
        <f>LET(
    purpose,'Loan Tape (S&amp;P)'!R473,
    IF(purpose="Purchase",1.00,
        IF(purpose="Remortgage",1.00,
            1.20)))</f>
        <v/>
      </c>
      <c r="L473">
        <f>LET(
    arrears_months,'Loan Tape (S&amp;P)'!AN473,
    IF(arrears_months=0,1.00,
    IF(arrears_months=1,3.00,
    IF(arrears_months=2,5.00,
    IF(arrears_months=3,8.00,
    IF(arrears_months=4,10.00,
    IF(arrears_months=5,12.00,15.00)))))))</f>
        <v/>
      </c>
      <c r="M473">
        <f>LET(
    seasoning_years,DATEDIF('Loan Tape (S&amp;P)'!K473,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3">
        <f>IF(AND('Loan Tape (S&amp;P)'!U473="Yes",
        'Loan Tape (S&amp;P)'!T473&lt;&gt;"Yes",
        DATEDIF('Loan Tape (S&amp;P)'!K473, TODAY(), "M")&lt;18),
    1.10,
    1.00)</f>
        <v/>
      </c>
      <c r="O473">
        <f>IF('Loan Tape (S&amp;P)'!T473="Yes",
    1.35,
    1.00)</f>
        <v/>
      </c>
      <c r="P473">
        <f>IF('Loan Tape (S&amp;P)'!S473="Yes",
    1.15,
    1.00)</f>
        <v/>
      </c>
      <c r="Q473">
        <f>IF('Loan Tape (S&amp;P)'!V473="Yes",
    1.20,
    1.00)</f>
        <v/>
      </c>
      <c r="T473">
        <f>LET(
    payment_method,'Loan Tape (S&amp;P)'!P473,
    occupancy,'Loan Tape (S&amp;P)'!N473,
    maturity_date,'Loan Tape (S&amp;P)'!L473,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4">
      <c r="J474">
        <f>LET(
    lien,'Loan Tape (S&amp;P)'!Q474,
    IF(lien="First",1.00,
        IF(lien="Second",1.50,
            1.70)))</f>
        <v/>
      </c>
      <c r="K474">
        <f>LET(
    purpose,'Loan Tape (S&amp;P)'!R474,
    IF(purpose="Purchase",1.00,
        IF(purpose="Remortgage",1.00,
            1.20)))</f>
        <v/>
      </c>
      <c r="L474">
        <f>LET(
    arrears_months,'Loan Tape (S&amp;P)'!AN474,
    IF(arrears_months=0,1.00,
    IF(arrears_months=1,3.00,
    IF(arrears_months=2,5.00,
    IF(arrears_months=3,8.00,
    IF(arrears_months=4,10.00,
    IF(arrears_months=5,12.00,15.00)))))))</f>
        <v/>
      </c>
      <c r="M474">
        <f>LET(
    seasoning_years,DATEDIF('Loan Tape (S&amp;P)'!K474,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4">
        <f>IF(AND('Loan Tape (S&amp;P)'!U474="Yes",
        'Loan Tape (S&amp;P)'!T474&lt;&gt;"Yes",
        DATEDIF('Loan Tape (S&amp;P)'!K474, TODAY(), "M")&lt;18),
    1.10,
    1.00)</f>
        <v/>
      </c>
      <c r="O474">
        <f>IF('Loan Tape (S&amp;P)'!T474="Yes",
    1.35,
    1.00)</f>
        <v/>
      </c>
      <c r="P474">
        <f>IF('Loan Tape (S&amp;P)'!S474="Yes",
    1.15,
    1.00)</f>
        <v/>
      </c>
      <c r="Q474">
        <f>IF('Loan Tape (S&amp;P)'!V474="Yes",
    1.20,
    1.00)</f>
        <v/>
      </c>
      <c r="T474">
        <f>LET(
    payment_method,'Loan Tape (S&amp;P)'!P474,
    occupancy,'Loan Tape (S&amp;P)'!N474,
    maturity_date,'Loan Tape (S&amp;P)'!L474,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5">
      <c r="J475">
        <f>LET(
    lien,'Loan Tape (S&amp;P)'!Q475,
    IF(lien="First",1.00,
        IF(lien="Second",1.50,
            1.70)))</f>
        <v/>
      </c>
      <c r="K475">
        <f>LET(
    purpose,'Loan Tape (S&amp;P)'!R475,
    IF(purpose="Purchase",1.00,
        IF(purpose="Remortgage",1.00,
            1.20)))</f>
        <v/>
      </c>
      <c r="L475">
        <f>LET(
    arrears_months,'Loan Tape (S&amp;P)'!AN475,
    IF(arrears_months=0,1.00,
    IF(arrears_months=1,3.00,
    IF(arrears_months=2,5.00,
    IF(arrears_months=3,8.00,
    IF(arrears_months=4,10.00,
    IF(arrears_months=5,12.00,15.00)))))))</f>
        <v/>
      </c>
      <c r="M475">
        <f>LET(
    seasoning_years,DATEDIF('Loan Tape (S&amp;P)'!K475,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5">
        <f>IF(AND('Loan Tape (S&amp;P)'!U475="Yes",
        'Loan Tape (S&amp;P)'!T475&lt;&gt;"Yes",
        DATEDIF('Loan Tape (S&amp;P)'!K475, TODAY(), "M")&lt;18),
    1.10,
    1.00)</f>
        <v/>
      </c>
      <c r="O475">
        <f>IF('Loan Tape (S&amp;P)'!T475="Yes",
    1.35,
    1.00)</f>
        <v/>
      </c>
      <c r="P475">
        <f>IF('Loan Tape (S&amp;P)'!S475="Yes",
    1.15,
    1.00)</f>
        <v/>
      </c>
      <c r="Q475">
        <f>IF('Loan Tape (S&amp;P)'!V475="Yes",
    1.20,
    1.00)</f>
        <v/>
      </c>
      <c r="T475">
        <f>LET(
    payment_method,'Loan Tape (S&amp;P)'!P475,
    occupancy,'Loan Tape (S&amp;P)'!N475,
    maturity_date,'Loan Tape (S&amp;P)'!L475,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6">
      <c r="J476">
        <f>LET(
    lien,'Loan Tape (S&amp;P)'!Q476,
    IF(lien="First",1.00,
        IF(lien="Second",1.50,
            1.70)))</f>
        <v/>
      </c>
      <c r="K476">
        <f>LET(
    purpose,'Loan Tape (S&amp;P)'!R476,
    IF(purpose="Purchase",1.00,
        IF(purpose="Remortgage",1.00,
            1.20)))</f>
        <v/>
      </c>
      <c r="L476">
        <f>LET(
    arrears_months,'Loan Tape (S&amp;P)'!AN476,
    IF(arrears_months=0,1.00,
    IF(arrears_months=1,3.00,
    IF(arrears_months=2,5.00,
    IF(arrears_months=3,8.00,
    IF(arrears_months=4,10.00,
    IF(arrears_months=5,12.00,15.00)))))))</f>
        <v/>
      </c>
      <c r="M476">
        <f>LET(
    seasoning_years,DATEDIF('Loan Tape (S&amp;P)'!K476,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6">
        <f>IF(AND('Loan Tape (S&amp;P)'!U476="Yes",
        'Loan Tape (S&amp;P)'!T476&lt;&gt;"Yes",
        DATEDIF('Loan Tape (S&amp;P)'!K476, TODAY(), "M")&lt;18),
    1.10,
    1.00)</f>
        <v/>
      </c>
      <c r="O476">
        <f>IF('Loan Tape (S&amp;P)'!T476="Yes",
    1.35,
    1.00)</f>
        <v/>
      </c>
      <c r="P476">
        <f>IF('Loan Tape (S&amp;P)'!S476="Yes",
    1.15,
    1.00)</f>
        <v/>
      </c>
      <c r="Q476">
        <f>IF('Loan Tape (S&amp;P)'!V476="Yes",
    1.20,
    1.00)</f>
        <v/>
      </c>
      <c r="T476">
        <f>LET(
    payment_method,'Loan Tape (S&amp;P)'!P476,
    occupancy,'Loan Tape (S&amp;P)'!N476,
    maturity_date,'Loan Tape (S&amp;P)'!L476,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7">
      <c r="J477">
        <f>LET(
    lien,'Loan Tape (S&amp;P)'!Q477,
    IF(lien="First",1.00,
        IF(lien="Second",1.50,
            1.70)))</f>
        <v/>
      </c>
      <c r="K477">
        <f>LET(
    purpose,'Loan Tape (S&amp;P)'!R477,
    IF(purpose="Purchase",1.00,
        IF(purpose="Remortgage",1.00,
            1.20)))</f>
        <v/>
      </c>
      <c r="L477">
        <f>LET(
    arrears_months,'Loan Tape (S&amp;P)'!AN477,
    IF(arrears_months=0,1.00,
    IF(arrears_months=1,3.00,
    IF(arrears_months=2,5.00,
    IF(arrears_months=3,8.00,
    IF(arrears_months=4,10.00,
    IF(arrears_months=5,12.00,15.00)))))))</f>
        <v/>
      </c>
      <c r="M477">
        <f>LET(
    seasoning_years,DATEDIF('Loan Tape (S&amp;P)'!K477,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7">
        <f>IF(AND('Loan Tape (S&amp;P)'!U477="Yes",
        'Loan Tape (S&amp;P)'!T477&lt;&gt;"Yes",
        DATEDIF('Loan Tape (S&amp;P)'!K477, TODAY(), "M")&lt;18),
    1.10,
    1.00)</f>
        <v/>
      </c>
      <c r="O477">
        <f>IF('Loan Tape (S&amp;P)'!T477="Yes",
    1.35,
    1.00)</f>
        <v/>
      </c>
      <c r="P477">
        <f>IF('Loan Tape (S&amp;P)'!S477="Yes",
    1.15,
    1.00)</f>
        <v/>
      </c>
      <c r="Q477">
        <f>IF('Loan Tape (S&amp;P)'!V477="Yes",
    1.20,
    1.00)</f>
        <v/>
      </c>
      <c r="T477">
        <f>LET(
    payment_method,'Loan Tape (S&amp;P)'!P477,
    occupancy,'Loan Tape (S&amp;P)'!N477,
    maturity_date,'Loan Tape (S&amp;P)'!L477,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8">
      <c r="J478">
        <f>LET(
    lien,'Loan Tape (S&amp;P)'!Q478,
    IF(lien="First",1.00,
        IF(lien="Second",1.50,
            1.70)))</f>
        <v/>
      </c>
      <c r="K478">
        <f>LET(
    purpose,'Loan Tape (S&amp;P)'!R478,
    IF(purpose="Purchase",1.00,
        IF(purpose="Remortgage",1.00,
            1.20)))</f>
        <v/>
      </c>
      <c r="L478">
        <f>LET(
    arrears_months,'Loan Tape (S&amp;P)'!AN478,
    IF(arrears_months=0,1.00,
    IF(arrears_months=1,3.00,
    IF(arrears_months=2,5.00,
    IF(arrears_months=3,8.00,
    IF(arrears_months=4,10.00,
    IF(arrears_months=5,12.00,15.00)))))))</f>
        <v/>
      </c>
      <c r="M478">
        <f>LET(
    seasoning_years,DATEDIF('Loan Tape (S&amp;P)'!K478,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8">
        <f>IF(AND('Loan Tape (S&amp;P)'!U478="Yes",
        'Loan Tape (S&amp;P)'!T478&lt;&gt;"Yes",
        DATEDIF('Loan Tape (S&amp;P)'!K478, TODAY(), "M")&lt;18),
    1.10,
    1.00)</f>
        <v/>
      </c>
      <c r="O478">
        <f>IF('Loan Tape (S&amp;P)'!T478="Yes",
    1.35,
    1.00)</f>
        <v/>
      </c>
      <c r="P478">
        <f>IF('Loan Tape (S&amp;P)'!S478="Yes",
    1.15,
    1.00)</f>
        <v/>
      </c>
      <c r="Q478">
        <f>IF('Loan Tape (S&amp;P)'!V478="Yes",
    1.20,
    1.00)</f>
        <v/>
      </c>
      <c r="T478">
        <f>LET(
    payment_method,'Loan Tape (S&amp;P)'!P478,
    occupancy,'Loan Tape (S&amp;P)'!N478,
    maturity_date,'Loan Tape (S&amp;P)'!L478,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9">
      <c r="J479">
        <f>LET(
    lien,'Loan Tape (S&amp;P)'!Q479,
    IF(lien="First",1.00,
        IF(lien="Second",1.50,
            1.70)))</f>
        <v/>
      </c>
      <c r="K479">
        <f>LET(
    purpose,'Loan Tape (S&amp;P)'!R479,
    IF(purpose="Purchase",1.00,
        IF(purpose="Remortgage",1.00,
            1.20)))</f>
        <v/>
      </c>
      <c r="L479">
        <f>LET(
    arrears_months,'Loan Tape (S&amp;P)'!AN479,
    IF(arrears_months=0,1.00,
    IF(arrears_months=1,3.00,
    IF(arrears_months=2,5.00,
    IF(arrears_months=3,8.00,
    IF(arrears_months=4,10.00,
    IF(arrears_months=5,12.00,15.00)))))))</f>
        <v/>
      </c>
      <c r="M479">
        <f>LET(
    seasoning_years,DATEDIF('Loan Tape (S&amp;P)'!K479,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9">
        <f>IF(AND('Loan Tape (S&amp;P)'!U479="Yes",
        'Loan Tape (S&amp;P)'!T479&lt;&gt;"Yes",
        DATEDIF('Loan Tape (S&amp;P)'!K479, TODAY(), "M")&lt;18),
    1.10,
    1.00)</f>
        <v/>
      </c>
      <c r="O479">
        <f>IF('Loan Tape (S&amp;P)'!T479="Yes",
    1.35,
    1.00)</f>
        <v/>
      </c>
      <c r="P479">
        <f>IF('Loan Tape (S&amp;P)'!S479="Yes",
    1.15,
    1.00)</f>
        <v/>
      </c>
      <c r="Q479">
        <f>IF('Loan Tape (S&amp;P)'!V479="Yes",
    1.20,
    1.00)</f>
        <v/>
      </c>
      <c r="T479">
        <f>LET(
    payment_method,'Loan Tape (S&amp;P)'!P479,
    occupancy,'Loan Tape (S&amp;P)'!N479,
    maturity_date,'Loan Tape (S&amp;P)'!L479,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0">
      <c r="J480">
        <f>LET(
    lien,'Loan Tape (S&amp;P)'!Q480,
    IF(lien="First",1.00,
        IF(lien="Second",1.50,
            1.70)))</f>
        <v/>
      </c>
      <c r="K480">
        <f>LET(
    purpose,'Loan Tape (S&amp;P)'!R480,
    IF(purpose="Purchase",1.00,
        IF(purpose="Remortgage",1.00,
            1.20)))</f>
        <v/>
      </c>
      <c r="L480">
        <f>LET(
    arrears_months,'Loan Tape (S&amp;P)'!AN480,
    IF(arrears_months=0,1.00,
    IF(arrears_months=1,3.00,
    IF(arrears_months=2,5.00,
    IF(arrears_months=3,8.00,
    IF(arrears_months=4,10.00,
    IF(arrears_months=5,12.00,15.00)))))))</f>
        <v/>
      </c>
      <c r="M480">
        <f>LET(
    seasoning_years,DATEDIF('Loan Tape (S&amp;P)'!K480,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0">
        <f>IF(AND('Loan Tape (S&amp;P)'!U480="Yes",
        'Loan Tape (S&amp;P)'!T480&lt;&gt;"Yes",
        DATEDIF('Loan Tape (S&amp;P)'!K480, TODAY(), "M")&lt;18),
    1.10,
    1.00)</f>
        <v/>
      </c>
      <c r="O480">
        <f>IF('Loan Tape (S&amp;P)'!T480="Yes",
    1.35,
    1.00)</f>
        <v/>
      </c>
      <c r="P480">
        <f>IF('Loan Tape (S&amp;P)'!S480="Yes",
    1.15,
    1.00)</f>
        <v/>
      </c>
      <c r="Q480">
        <f>IF('Loan Tape (S&amp;P)'!V480="Yes",
    1.20,
    1.00)</f>
        <v/>
      </c>
      <c r="T480">
        <f>LET(
    payment_method,'Loan Tape (S&amp;P)'!P480,
    occupancy,'Loan Tape (S&amp;P)'!N480,
    maturity_date,'Loan Tape (S&amp;P)'!L480,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1">
      <c r="J481">
        <f>LET(
    lien,'Loan Tape (S&amp;P)'!Q481,
    IF(lien="First",1.00,
        IF(lien="Second",1.50,
            1.70)))</f>
        <v/>
      </c>
      <c r="K481">
        <f>LET(
    purpose,'Loan Tape (S&amp;P)'!R481,
    IF(purpose="Purchase",1.00,
        IF(purpose="Remortgage",1.00,
            1.20)))</f>
        <v/>
      </c>
      <c r="L481">
        <f>LET(
    arrears_months,'Loan Tape (S&amp;P)'!AN481,
    IF(arrears_months=0,1.00,
    IF(arrears_months=1,3.00,
    IF(arrears_months=2,5.00,
    IF(arrears_months=3,8.00,
    IF(arrears_months=4,10.00,
    IF(arrears_months=5,12.00,15.00)))))))</f>
        <v/>
      </c>
      <c r="M481">
        <f>LET(
    seasoning_years,DATEDIF('Loan Tape (S&amp;P)'!K481,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1">
        <f>IF(AND('Loan Tape (S&amp;P)'!U481="Yes",
        'Loan Tape (S&amp;P)'!T481&lt;&gt;"Yes",
        DATEDIF('Loan Tape (S&amp;P)'!K481, TODAY(), "M")&lt;18),
    1.10,
    1.00)</f>
        <v/>
      </c>
      <c r="O481">
        <f>IF('Loan Tape (S&amp;P)'!T481="Yes",
    1.35,
    1.00)</f>
        <v/>
      </c>
      <c r="P481">
        <f>IF('Loan Tape (S&amp;P)'!S481="Yes",
    1.15,
    1.00)</f>
        <v/>
      </c>
      <c r="Q481">
        <f>IF('Loan Tape (S&amp;P)'!V481="Yes",
    1.20,
    1.00)</f>
        <v/>
      </c>
      <c r="T481">
        <f>LET(
    payment_method,'Loan Tape (S&amp;P)'!P481,
    occupancy,'Loan Tape (S&amp;P)'!N481,
    maturity_date,'Loan Tape (S&amp;P)'!L481,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2">
      <c r="J482">
        <f>LET(
    lien,'Loan Tape (S&amp;P)'!Q482,
    IF(lien="First",1.00,
        IF(lien="Second",1.50,
            1.70)))</f>
        <v/>
      </c>
      <c r="K482">
        <f>LET(
    purpose,'Loan Tape (S&amp;P)'!R482,
    IF(purpose="Purchase",1.00,
        IF(purpose="Remortgage",1.00,
            1.20)))</f>
        <v/>
      </c>
      <c r="L482">
        <f>LET(
    arrears_months,'Loan Tape (S&amp;P)'!AN482,
    IF(arrears_months=0,1.00,
    IF(arrears_months=1,3.00,
    IF(arrears_months=2,5.00,
    IF(arrears_months=3,8.00,
    IF(arrears_months=4,10.00,
    IF(arrears_months=5,12.00,15.00)))))))</f>
        <v/>
      </c>
      <c r="M482">
        <f>LET(
    seasoning_years,DATEDIF('Loan Tape (S&amp;P)'!K482,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2">
        <f>IF(AND('Loan Tape (S&amp;P)'!U482="Yes",
        'Loan Tape (S&amp;P)'!T482&lt;&gt;"Yes",
        DATEDIF('Loan Tape (S&amp;P)'!K482, TODAY(), "M")&lt;18),
    1.10,
    1.00)</f>
        <v/>
      </c>
      <c r="O482">
        <f>IF('Loan Tape (S&amp;P)'!T482="Yes",
    1.35,
    1.00)</f>
        <v/>
      </c>
      <c r="P482">
        <f>IF('Loan Tape (S&amp;P)'!S482="Yes",
    1.15,
    1.00)</f>
        <v/>
      </c>
      <c r="Q482">
        <f>IF('Loan Tape (S&amp;P)'!V482="Yes",
    1.20,
    1.00)</f>
        <v/>
      </c>
      <c r="T482">
        <f>LET(
    payment_method,'Loan Tape (S&amp;P)'!P482,
    occupancy,'Loan Tape (S&amp;P)'!N482,
    maturity_date,'Loan Tape (S&amp;P)'!L482,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3">
      <c r="J483">
        <f>LET(
    lien,'Loan Tape (S&amp;P)'!Q483,
    IF(lien="First",1.00,
        IF(lien="Second",1.50,
            1.70)))</f>
        <v/>
      </c>
      <c r="K483">
        <f>LET(
    purpose,'Loan Tape (S&amp;P)'!R483,
    IF(purpose="Purchase",1.00,
        IF(purpose="Remortgage",1.00,
            1.20)))</f>
        <v/>
      </c>
      <c r="L483">
        <f>LET(
    arrears_months,'Loan Tape (S&amp;P)'!AN483,
    IF(arrears_months=0,1.00,
    IF(arrears_months=1,3.00,
    IF(arrears_months=2,5.00,
    IF(arrears_months=3,8.00,
    IF(arrears_months=4,10.00,
    IF(arrears_months=5,12.00,15.00)))))))</f>
        <v/>
      </c>
      <c r="M483">
        <f>LET(
    seasoning_years,DATEDIF('Loan Tape (S&amp;P)'!K483,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3">
        <f>IF(AND('Loan Tape (S&amp;P)'!U483="Yes",
        'Loan Tape (S&amp;P)'!T483&lt;&gt;"Yes",
        DATEDIF('Loan Tape (S&amp;P)'!K483, TODAY(), "M")&lt;18),
    1.10,
    1.00)</f>
        <v/>
      </c>
      <c r="O483">
        <f>IF('Loan Tape (S&amp;P)'!T483="Yes",
    1.35,
    1.00)</f>
        <v/>
      </c>
      <c r="P483">
        <f>IF('Loan Tape (S&amp;P)'!S483="Yes",
    1.15,
    1.00)</f>
        <v/>
      </c>
      <c r="Q483">
        <f>IF('Loan Tape (S&amp;P)'!V483="Yes",
    1.20,
    1.00)</f>
        <v/>
      </c>
      <c r="T483">
        <f>LET(
    payment_method,'Loan Tape (S&amp;P)'!P483,
    occupancy,'Loan Tape (S&amp;P)'!N483,
    maturity_date,'Loan Tape (S&amp;P)'!L483,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4">
      <c r="J484">
        <f>LET(
    lien,'Loan Tape (S&amp;P)'!Q484,
    IF(lien="First",1.00,
        IF(lien="Second",1.50,
            1.70)))</f>
        <v/>
      </c>
      <c r="K484">
        <f>LET(
    purpose,'Loan Tape (S&amp;P)'!R484,
    IF(purpose="Purchase",1.00,
        IF(purpose="Remortgage",1.00,
            1.20)))</f>
        <v/>
      </c>
      <c r="L484">
        <f>LET(
    arrears_months,'Loan Tape (S&amp;P)'!AN484,
    IF(arrears_months=0,1.00,
    IF(arrears_months=1,3.00,
    IF(arrears_months=2,5.00,
    IF(arrears_months=3,8.00,
    IF(arrears_months=4,10.00,
    IF(arrears_months=5,12.00,15.00)))))))</f>
        <v/>
      </c>
      <c r="M484">
        <f>LET(
    seasoning_years,DATEDIF('Loan Tape (S&amp;P)'!K484,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4">
        <f>IF(AND('Loan Tape (S&amp;P)'!U484="Yes",
        'Loan Tape (S&amp;P)'!T484&lt;&gt;"Yes",
        DATEDIF('Loan Tape (S&amp;P)'!K484, TODAY(), "M")&lt;18),
    1.10,
    1.00)</f>
        <v/>
      </c>
      <c r="O484">
        <f>IF('Loan Tape (S&amp;P)'!T484="Yes",
    1.35,
    1.00)</f>
        <v/>
      </c>
      <c r="P484">
        <f>IF('Loan Tape (S&amp;P)'!S484="Yes",
    1.15,
    1.00)</f>
        <v/>
      </c>
      <c r="Q484">
        <f>IF('Loan Tape (S&amp;P)'!V484="Yes",
    1.20,
    1.00)</f>
        <v/>
      </c>
      <c r="T484">
        <f>LET(
    payment_method,'Loan Tape (S&amp;P)'!P484,
    occupancy,'Loan Tape (S&amp;P)'!N484,
    maturity_date,'Loan Tape (S&amp;P)'!L484,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5">
      <c r="J485">
        <f>LET(
    lien,'Loan Tape (S&amp;P)'!Q485,
    IF(lien="First",1.00,
        IF(lien="Second",1.50,
            1.70)))</f>
        <v/>
      </c>
      <c r="K485">
        <f>LET(
    purpose,'Loan Tape (S&amp;P)'!R485,
    IF(purpose="Purchase",1.00,
        IF(purpose="Remortgage",1.00,
            1.20)))</f>
        <v/>
      </c>
      <c r="L485">
        <f>LET(
    arrears_months,'Loan Tape (S&amp;P)'!AN485,
    IF(arrears_months=0,1.00,
    IF(arrears_months=1,3.00,
    IF(arrears_months=2,5.00,
    IF(arrears_months=3,8.00,
    IF(arrears_months=4,10.00,
    IF(arrears_months=5,12.00,15.00)))))))</f>
        <v/>
      </c>
      <c r="M485">
        <f>LET(
    seasoning_years,DATEDIF('Loan Tape (S&amp;P)'!K485,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5">
        <f>IF(AND('Loan Tape (S&amp;P)'!U485="Yes",
        'Loan Tape (S&amp;P)'!T485&lt;&gt;"Yes",
        DATEDIF('Loan Tape (S&amp;P)'!K485, TODAY(), "M")&lt;18),
    1.10,
    1.00)</f>
        <v/>
      </c>
      <c r="O485">
        <f>IF('Loan Tape (S&amp;P)'!T485="Yes",
    1.35,
    1.00)</f>
        <v/>
      </c>
      <c r="P485">
        <f>IF('Loan Tape (S&amp;P)'!S485="Yes",
    1.15,
    1.00)</f>
        <v/>
      </c>
      <c r="Q485">
        <f>IF('Loan Tape (S&amp;P)'!V485="Yes",
    1.20,
    1.00)</f>
        <v/>
      </c>
      <c r="T485">
        <f>LET(
    payment_method,'Loan Tape (S&amp;P)'!P485,
    occupancy,'Loan Tape (S&amp;P)'!N485,
    maturity_date,'Loan Tape (S&amp;P)'!L485,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6">
      <c r="J486">
        <f>LET(
    lien,'Loan Tape (S&amp;P)'!Q486,
    IF(lien="First",1.00,
        IF(lien="Second",1.50,
            1.70)))</f>
        <v/>
      </c>
      <c r="K486">
        <f>LET(
    purpose,'Loan Tape (S&amp;P)'!R486,
    IF(purpose="Purchase",1.00,
        IF(purpose="Remortgage",1.00,
            1.20)))</f>
        <v/>
      </c>
      <c r="L486">
        <f>LET(
    arrears_months,'Loan Tape (S&amp;P)'!AN486,
    IF(arrears_months=0,1.00,
    IF(arrears_months=1,3.00,
    IF(arrears_months=2,5.00,
    IF(arrears_months=3,8.00,
    IF(arrears_months=4,10.00,
    IF(arrears_months=5,12.00,15.00)))))))</f>
        <v/>
      </c>
      <c r="M486">
        <f>LET(
    seasoning_years,DATEDIF('Loan Tape (S&amp;P)'!K486,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6">
        <f>IF(AND('Loan Tape (S&amp;P)'!U486="Yes",
        'Loan Tape (S&amp;P)'!T486&lt;&gt;"Yes",
        DATEDIF('Loan Tape (S&amp;P)'!K486, TODAY(), "M")&lt;18),
    1.10,
    1.00)</f>
        <v/>
      </c>
      <c r="O486">
        <f>IF('Loan Tape (S&amp;P)'!T486="Yes",
    1.35,
    1.00)</f>
        <v/>
      </c>
      <c r="P486">
        <f>IF('Loan Tape (S&amp;P)'!S486="Yes",
    1.15,
    1.00)</f>
        <v/>
      </c>
      <c r="Q486">
        <f>IF('Loan Tape (S&amp;P)'!V486="Yes",
    1.20,
    1.00)</f>
        <v/>
      </c>
      <c r="T486">
        <f>LET(
    payment_method,'Loan Tape (S&amp;P)'!P486,
    occupancy,'Loan Tape (S&amp;P)'!N486,
    maturity_date,'Loan Tape (S&amp;P)'!L486,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7">
      <c r="J487">
        <f>LET(
    lien,'Loan Tape (S&amp;P)'!Q487,
    IF(lien="First",1.00,
        IF(lien="Second",1.50,
            1.70)))</f>
        <v/>
      </c>
      <c r="K487">
        <f>LET(
    purpose,'Loan Tape (S&amp;P)'!R487,
    IF(purpose="Purchase",1.00,
        IF(purpose="Remortgage",1.00,
            1.20)))</f>
        <v/>
      </c>
      <c r="L487">
        <f>LET(
    arrears_months,'Loan Tape (S&amp;P)'!AN487,
    IF(arrears_months=0,1.00,
    IF(arrears_months=1,3.00,
    IF(arrears_months=2,5.00,
    IF(arrears_months=3,8.00,
    IF(arrears_months=4,10.00,
    IF(arrears_months=5,12.00,15.00)))))))</f>
        <v/>
      </c>
      <c r="M487">
        <f>LET(
    seasoning_years,DATEDIF('Loan Tape (S&amp;P)'!K487,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7">
        <f>IF(AND('Loan Tape (S&amp;P)'!U487="Yes",
        'Loan Tape (S&amp;P)'!T487&lt;&gt;"Yes",
        DATEDIF('Loan Tape (S&amp;P)'!K487, TODAY(), "M")&lt;18),
    1.10,
    1.00)</f>
        <v/>
      </c>
      <c r="O487">
        <f>IF('Loan Tape (S&amp;P)'!T487="Yes",
    1.35,
    1.00)</f>
        <v/>
      </c>
      <c r="P487">
        <f>IF('Loan Tape (S&amp;P)'!S487="Yes",
    1.15,
    1.00)</f>
        <v/>
      </c>
      <c r="Q487">
        <f>IF('Loan Tape (S&amp;P)'!V487="Yes",
    1.20,
    1.00)</f>
        <v/>
      </c>
      <c r="T487">
        <f>LET(
    payment_method,'Loan Tape (S&amp;P)'!P487,
    occupancy,'Loan Tape (S&amp;P)'!N487,
    maturity_date,'Loan Tape (S&amp;P)'!L487,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8">
      <c r="J488">
        <f>LET(
    lien,'Loan Tape (S&amp;P)'!Q488,
    IF(lien="First",1.00,
        IF(lien="Second",1.50,
            1.70)))</f>
        <v/>
      </c>
      <c r="K488">
        <f>LET(
    purpose,'Loan Tape (S&amp;P)'!R488,
    IF(purpose="Purchase",1.00,
        IF(purpose="Remortgage",1.00,
            1.20)))</f>
        <v/>
      </c>
      <c r="L488">
        <f>LET(
    arrears_months,'Loan Tape (S&amp;P)'!AN488,
    IF(arrears_months=0,1.00,
    IF(arrears_months=1,3.00,
    IF(arrears_months=2,5.00,
    IF(arrears_months=3,8.00,
    IF(arrears_months=4,10.00,
    IF(arrears_months=5,12.00,15.00)))))))</f>
        <v/>
      </c>
      <c r="M488">
        <f>LET(
    seasoning_years,DATEDIF('Loan Tape (S&amp;P)'!K488,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8">
        <f>IF(AND('Loan Tape (S&amp;P)'!U488="Yes",
        'Loan Tape (S&amp;P)'!T488&lt;&gt;"Yes",
        DATEDIF('Loan Tape (S&amp;P)'!K488, TODAY(), "M")&lt;18),
    1.10,
    1.00)</f>
        <v/>
      </c>
      <c r="O488">
        <f>IF('Loan Tape (S&amp;P)'!T488="Yes",
    1.35,
    1.00)</f>
        <v/>
      </c>
      <c r="P488">
        <f>IF('Loan Tape (S&amp;P)'!S488="Yes",
    1.15,
    1.00)</f>
        <v/>
      </c>
      <c r="Q488">
        <f>IF('Loan Tape (S&amp;P)'!V488="Yes",
    1.20,
    1.00)</f>
        <v/>
      </c>
      <c r="T488">
        <f>LET(
    payment_method,'Loan Tape (S&amp;P)'!P488,
    occupancy,'Loan Tape (S&amp;P)'!N488,
    maturity_date,'Loan Tape (S&amp;P)'!L488,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9">
      <c r="J489">
        <f>LET(
    lien,'Loan Tape (S&amp;P)'!Q489,
    IF(lien="First",1.00,
        IF(lien="Second",1.50,
            1.70)))</f>
        <v/>
      </c>
      <c r="K489">
        <f>LET(
    purpose,'Loan Tape (S&amp;P)'!R489,
    IF(purpose="Purchase",1.00,
        IF(purpose="Remortgage",1.00,
            1.20)))</f>
        <v/>
      </c>
      <c r="L489">
        <f>LET(
    arrears_months,'Loan Tape (S&amp;P)'!AN489,
    IF(arrears_months=0,1.00,
    IF(arrears_months=1,3.00,
    IF(arrears_months=2,5.00,
    IF(arrears_months=3,8.00,
    IF(arrears_months=4,10.00,
    IF(arrears_months=5,12.00,15.00)))))))</f>
        <v/>
      </c>
      <c r="M489">
        <f>LET(
    seasoning_years,DATEDIF('Loan Tape (S&amp;P)'!K489,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9">
        <f>IF(AND('Loan Tape (S&amp;P)'!U489="Yes",
        'Loan Tape (S&amp;P)'!T489&lt;&gt;"Yes",
        DATEDIF('Loan Tape (S&amp;P)'!K489, TODAY(), "M")&lt;18),
    1.10,
    1.00)</f>
        <v/>
      </c>
      <c r="O489">
        <f>IF('Loan Tape (S&amp;P)'!T489="Yes",
    1.35,
    1.00)</f>
        <v/>
      </c>
      <c r="P489">
        <f>IF('Loan Tape (S&amp;P)'!S489="Yes",
    1.15,
    1.00)</f>
        <v/>
      </c>
      <c r="Q489">
        <f>IF('Loan Tape (S&amp;P)'!V489="Yes",
    1.20,
    1.00)</f>
        <v/>
      </c>
      <c r="T489">
        <f>LET(
    payment_method,'Loan Tape (S&amp;P)'!P489,
    occupancy,'Loan Tape (S&amp;P)'!N489,
    maturity_date,'Loan Tape (S&amp;P)'!L489,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0">
      <c r="J490">
        <f>LET(
    lien,'Loan Tape (S&amp;P)'!Q490,
    IF(lien="First",1.00,
        IF(lien="Second",1.50,
            1.70)))</f>
        <v/>
      </c>
      <c r="K490">
        <f>LET(
    purpose,'Loan Tape (S&amp;P)'!R490,
    IF(purpose="Purchase",1.00,
        IF(purpose="Remortgage",1.00,
            1.20)))</f>
        <v/>
      </c>
      <c r="L490">
        <f>LET(
    arrears_months,'Loan Tape (S&amp;P)'!AN490,
    IF(arrears_months=0,1.00,
    IF(arrears_months=1,3.00,
    IF(arrears_months=2,5.00,
    IF(arrears_months=3,8.00,
    IF(arrears_months=4,10.00,
    IF(arrears_months=5,12.00,15.00)))))))</f>
        <v/>
      </c>
      <c r="M490">
        <f>LET(
    seasoning_years,DATEDIF('Loan Tape (S&amp;P)'!K490,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0">
        <f>IF(AND('Loan Tape (S&amp;P)'!U490="Yes",
        'Loan Tape (S&amp;P)'!T490&lt;&gt;"Yes",
        DATEDIF('Loan Tape (S&amp;P)'!K490, TODAY(), "M")&lt;18),
    1.10,
    1.00)</f>
        <v/>
      </c>
      <c r="O490">
        <f>IF('Loan Tape (S&amp;P)'!T490="Yes",
    1.35,
    1.00)</f>
        <v/>
      </c>
      <c r="P490">
        <f>IF('Loan Tape (S&amp;P)'!S490="Yes",
    1.15,
    1.00)</f>
        <v/>
      </c>
      <c r="Q490">
        <f>IF('Loan Tape (S&amp;P)'!V490="Yes",
    1.20,
    1.00)</f>
        <v/>
      </c>
      <c r="T490">
        <f>LET(
    payment_method,'Loan Tape (S&amp;P)'!P490,
    occupancy,'Loan Tape (S&amp;P)'!N490,
    maturity_date,'Loan Tape (S&amp;P)'!L490,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1">
      <c r="J491">
        <f>LET(
    lien,'Loan Tape (S&amp;P)'!Q491,
    IF(lien="First",1.00,
        IF(lien="Second",1.50,
            1.70)))</f>
        <v/>
      </c>
      <c r="K491">
        <f>LET(
    purpose,'Loan Tape (S&amp;P)'!R491,
    IF(purpose="Purchase",1.00,
        IF(purpose="Remortgage",1.00,
            1.20)))</f>
        <v/>
      </c>
      <c r="L491">
        <f>LET(
    arrears_months,'Loan Tape (S&amp;P)'!AN491,
    IF(arrears_months=0,1.00,
    IF(arrears_months=1,3.00,
    IF(arrears_months=2,5.00,
    IF(arrears_months=3,8.00,
    IF(arrears_months=4,10.00,
    IF(arrears_months=5,12.00,15.00)))))))</f>
        <v/>
      </c>
      <c r="M491">
        <f>LET(
    seasoning_years,DATEDIF('Loan Tape (S&amp;P)'!K491,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1">
        <f>IF(AND('Loan Tape (S&amp;P)'!U491="Yes",
        'Loan Tape (S&amp;P)'!T491&lt;&gt;"Yes",
        DATEDIF('Loan Tape (S&amp;P)'!K491, TODAY(), "M")&lt;18),
    1.10,
    1.00)</f>
        <v/>
      </c>
      <c r="O491">
        <f>IF('Loan Tape (S&amp;P)'!T491="Yes",
    1.35,
    1.00)</f>
        <v/>
      </c>
      <c r="P491">
        <f>IF('Loan Tape (S&amp;P)'!S491="Yes",
    1.15,
    1.00)</f>
        <v/>
      </c>
      <c r="Q491">
        <f>IF('Loan Tape (S&amp;P)'!V491="Yes",
    1.20,
    1.00)</f>
        <v/>
      </c>
      <c r="T491">
        <f>LET(
    payment_method,'Loan Tape (S&amp;P)'!P491,
    occupancy,'Loan Tape (S&amp;P)'!N491,
    maturity_date,'Loan Tape (S&amp;P)'!L491,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2">
      <c r="J492">
        <f>LET(
    lien,'Loan Tape (S&amp;P)'!Q492,
    IF(lien="First",1.00,
        IF(lien="Second",1.50,
            1.70)))</f>
        <v/>
      </c>
      <c r="K492">
        <f>LET(
    purpose,'Loan Tape (S&amp;P)'!R492,
    IF(purpose="Purchase",1.00,
        IF(purpose="Remortgage",1.00,
            1.20)))</f>
        <v/>
      </c>
      <c r="L492">
        <f>LET(
    arrears_months,'Loan Tape (S&amp;P)'!AN492,
    IF(arrears_months=0,1.00,
    IF(arrears_months=1,3.00,
    IF(arrears_months=2,5.00,
    IF(arrears_months=3,8.00,
    IF(arrears_months=4,10.00,
    IF(arrears_months=5,12.00,15.00)))))))</f>
        <v/>
      </c>
      <c r="M492">
        <f>LET(
    seasoning_years,DATEDIF('Loan Tape (S&amp;P)'!K492,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2">
        <f>IF(AND('Loan Tape (S&amp;P)'!U492="Yes",
        'Loan Tape (S&amp;P)'!T492&lt;&gt;"Yes",
        DATEDIF('Loan Tape (S&amp;P)'!K492, TODAY(), "M")&lt;18),
    1.10,
    1.00)</f>
        <v/>
      </c>
      <c r="O492">
        <f>IF('Loan Tape (S&amp;P)'!T492="Yes",
    1.35,
    1.00)</f>
        <v/>
      </c>
      <c r="P492">
        <f>IF('Loan Tape (S&amp;P)'!S492="Yes",
    1.15,
    1.00)</f>
        <v/>
      </c>
      <c r="Q492">
        <f>IF('Loan Tape (S&amp;P)'!V492="Yes",
    1.20,
    1.00)</f>
        <v/>
      </c>
      <c r="T492">
        <f>LET(
    payment_method,'Loan Tape (S&amp;P)'!P492,
    occupancy,'Loan Tape (S&amp;P)'!N492,
    maturity_date,'Loan Tape (S&amp;P)'!L492,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3">
      <c r="J493">
        <f>LET(
    lien,'Loan Tape (S&amp;P)'!Q493,
    IF(lien="First",1.00,
        IF(lien="Second",1.50,
            1.70)))</f>
        <v/>
      </c>
      <c r="K493">
        <f>LET(
    purpose,'Loan Tape (S&amp;P)'!R493,
    IF(purpose="Purchase",1.00,
        IF(purpose="Remortgage",1.00,
            1.20)))</f>
        <v/>
      </c>
      <c r="L493">
        <f>LET(
    arrears_months,'Loan Tape (S&amp;P)'!AN493,
    IF(arrears_months=0,1.00,
    IF(arrears_months=1,3.00,
    IF(arrears_months=2,5.00,
    IF(arrears_months=3,8.00,
    IF(arrears_months=4,10.00,
    IF(arrears_months=5,12.00,15.00)))))))</f>
        <v/>
      </c>
      <c r="M493">
        <f>LET(
    seasoning_years,DATEDIF('Loan Tape (S&amp;P)'!K493,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3">
        <f>IF(AND('Loan Tape (S&amp;P)'!U493="Yes",
        'Loan Tape (S&amp;P)'!T493&lt;&gt;"Yes",
        DATEDIF('Loan Tape (S&amp;P)'!K493, TODAY(), "M")&lt;18),
    1.10,
    1.00)</f>
        <v/>
      </c>
      <c r="O493">
        <f>IF('Loan Tape (S&amp;P)'!T493="Yes",
    1.35,
    1.00)</f>
        <v/>
      </c>
      <c r="P493">
        <f>IF('Loan Tape (S&amp;P)'!S493="Yes",
    1.15,
    1.00)</f>
        <v/>
      </c>
      <c r="Q493">
        <f>IF('Loan Tape (S&amp;P)'!V493="Yes",
    1.20,
    1.00)</f>
        <v/>
      </c>
      <c r="T493">
        <f>LET(
    payment_method,'Loan Tape (S&amp;P)'!P493,
    occupancy,'Loan Tape (S&amp;P)'!N493,
    maturity_date,'Loan Tape (S&amp;P)'!L493,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4">
      <c r="J494">
        <f>LET(
    lien,'Loan Tape (S&amp;P)'!Q494,
    IF(lien="First",1.00,
        IF(lien="Second",1.50,
            1.70)))</f>
        <v/>
      </c>
      <c r="K494">
        <f>LET(
    purpose,'Loan Tape (S&amp;P)'!R494,
    IF(purpose="Purchase",1.00,
        IF(purpose="Remortgage",1.00,
            1.20)))</f>
        <v/>
      </c>
      <c r="L494">
        <f>LET(
    arrears_months,'Loan Tape (S&amp;P)'!AN494,
    IF(arrears_months=0,1.00,
    IF(arrears_months=1,3.00,
    IF(arrears_months=2,5.00,
    IF(arrears_months=3,8.00,
    IF(arrears_months=4,10.00,
    IF(arrears_months=5,12.00,15.00)))))))</f>
        <v/>
      </c>
      <c r="M494">
        <f>LET(
    seasoning_years,DATEDIF('Loan Tape (S&amp;P)'!K494,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4">
        <f>IF(AND('Loan Tape (S&amp;P)'!U494="Yes",
        'Loan Tape (S&amp;P)'!T494&lt;&gt;"Yes",
        DATEDIF('Loan Tape (S&amp;P)'!K494, TODAY(), "M")&lt;18),
    1.10,
    1.00)</f>
        <v/>
      </c>
      <c r="O494">
        <f>IF('Loan Tape (S&amp;P)'!T494="Yes",
    1.35,
    1.00)</f>
        <v/>
      </c>
      <c r="P494">
        <f>IF('Loan Tape (S&amp;P)'!S494="Yes",
    1.15,
    1.00)</f>
        <v/>
      </c>
      <c r="Q494">
        <f>IF('Loan Tape (S&amp;P)'!V494="Yes",
    1.20,
    1.00)</f>
        <v/>
      </c>
      <c r="T494">
        <f>LET(
    payment_method,'Loan Tape (S&amp;P)'!P494,
    occupancy,'Loan Tape (S&amp;P)'!N494,
    maturity_date,'Loan Tape (S&amp;P)'!L494,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5">
      <c r="J495">
        <f>LET(
    lien,'Loan Tape (S&amp;P)'!Q495,
    IF(lien="First",1.00,
        IF(lien="Second",1.50,
            1.70)))</f>
        <v/>
      </c>
      <c r="K495">
        <f>LET(
    purpose,'Loan Tape (S&amp;P)'!R495,
    IF(purpose="Purchase",1.00,
        IF(purpose="Remortgage",1.00,
            1.20)))</f>
        <v/>
      </c>
      <c r="L495">
        <f>LET(
    arrears_months,'Loan Tape (S&amp;P)'!AN495,
    IF(arrears_months=0,1.00,
    IF(arrears_months=1,3.00,
    IF(arrears_months=2,5.00,
    IF(arrears_months=3,8.00,
    IF(arrears_months=4,10.00,
    IF(arrears_months=5,12.00,15.00)))))))</f>
        <v/>
      </c>
      <c r="M495">
        <f>LET(
    seasoning_years,DATEDIF('Loan Tape (S&amp;P)'!K495,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5">
        <f>IF(AND('Loan Tape (S&amp;P)'!U495="Yes",
        'Loan Tape (S&amp;P)'!T495&lt;&gt;"Yes",
        DATEDIF('Loan Tape (S&amp;P)'!K495, TODAY(), "M")&lt;18),
    1.10,
    1.00)</f>
        <v/>
      </c>
      <c r="O495">
        <f>IF('Loan Tape (S&amp;P)'!T495="Yes",
    1.35,
    1.00)</f>
        <v/>
      </c>
      <c r="P495">
        <f>IF('Loan Tape (S&amp;P)'!S495="Yes",
    1.15,
    1.00)</f>
        <v/>
      </c>
      <c r="Q495">
        <f>IF('Loan Tape (S&amp;P)'!V495="Yes",
    1.20,
    1.00)</f>
        <v/>
      </c>
      <c r="T495">
        <f>LET(
    payment_method,'Loan Tape (S&amp;P)'!P495,
    occupancy,'Loan Tape (S&amp;P)'!N495,
    maturity_date,'Loan Tape (S&amp;P)'!L495,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6">
      <c r="J496">
        <f>LET(
    lien,'Loan Tape (S&amp;P)'!Q496,
    IF(lien="First",1.00,
        IF(lien="Second",1.50,
            1.70)))</f>
        <v/>
      </c>
      <c r="K496">
        <f>LET(
    purpose,'Loan Tape (S&amp;P)'!R496,
    IF(purpose="Purchase",1.00,
        IF(purpose="Remortgage",1.00,
            1.20)))</f>
        <v/>
      </c>
      <c r="L496">
        <f>LET(
    arrears_months,'Loan Tape (S&amp;P)'!AN496,
    IF(arrears_months=0,1.00,
    IF(arrears_months=1,3.00,
    IF(arrears_months=2,5.00,
    IF(arrears_months=3,8.00,
    IF(arrears_months=4,10.00,
    IF(arrears_months=5,12.00,15.00)))))))</f>
        <v/>
      </c>
      <c r="M496">
        <f>LET(
    seasoning_years,DATEDIF('Loan Tape (S&amp;P)'!K496,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6">
        <f>IF(AND('Loan Tape (S&amp;P)'!U496="Yes",
        'Loan Tape (S&amp;P)'!T496&lt;&gt;"Yes",
        DATEDIF('Loan Tape (S&amp;P)'!K496, TODAY(), "M")&lt;18),
    1.10,
    1.00)</f>
        <v/>
      </c>
      <c r="O496">
        <f>IF('Loan Tape (S&amp;P)'!T496="Yes",
    1.35,
    1.00)</f>
        <v/>
      </c>
      <c r="P496">
        <f>IF('Loan Tape (S&amp;P)'!S496="Yes",
    1.15,
    1.00)</f>
        <v/>
      </c>
      <c r="Q496">
        <f>IF('Loan Tape (S&amp;P)'!V496="Yes",
    1.20,
    1.00)</f>
        <v/>
      </c>
      <c r="T496">
        <f>LET(
    payment_method,'Loan Tape (S&amp;P)'!P496,
    occupancy,'Loan Tape (S&amp;P)'!N496,
    maturity_date,'Loan Tape (S&amp;P)'!L496,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7">
      <c r="J497">
        <f>LET(
    lien,'Loan Tape (S&amp;P)'!Q497,
    IF(lien="First",1.00,
        IF(lien="Second",1.50,
            1.70)))</f>
        <v/>
      </c>
      <c r="K497">
        <f>LET(
    purpose,'Loan Tape (S&amp;P)'!R497,
    IF(purpose="Purchase",1.00,
        IF(purpose="Remortgage",1.00,
            1.20)))</f>
        <v/>
      </c>
      <c r="L497">
        <f>LET(
    arrears_months,'Loan Tape (S&amp;P)'!AN497,
    IF(arrears_months=0,1.00,
    IF(arrears_months=1,3.00,
    IF(arrears_months=2,5.00,
    IF(arrears_months=3,8.00,
    IF(arrears_months=4,10.00,
    IF(arrears_months=5,12.00,15.00)))))))</f>
        <v/>
      </c>
      <c r="M497">
        <f>LET(
    seasoning_years,DATEDIF('Loan Tape (S&amp;P)'!K497,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7">
        <f>IF(AND('Loan Tape (S&amp;P)'!U497="Yes",
        'Loan Tape (S&amp;P)'!T497&lt;&gt;"Yes",
        DATEDIF('Loan Tape (S&amp;P)'!K497, TODAY(), "M")&lt;18),
    1.10,
    1.00)</f>
        <v/>
      </c>
      <c r="O497">
        <f>IF('Loan Tape (S&amp;P)'!T497="Yes",
    1.35,
    1.00)</f>
        <v/>
      </c>
      <c r="P497">
        <f>IF('Loan Tape (S&amp;P)'!S497="Yes",
    1.15,
    1.00)</f>
        <v/>
      </c>
      <c r="Q497">
        <f>IF('Loan Tape (S&amp;P)'!V497="Yes",
    1.20,
    1.00)</f>
        <v/>
      </c>
      <c r="T497">
        <f>LET(
    payment_method,'Loan Tape (S&amp;P)'!P497,
    occupancy,'Loan Tape (S&amp;P)'!N497,
    maturity_date,'Loan Tape (S&amp;P)'!L497,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8">
      <c r="J498">
        <f>LET(
    lien,'Loan Tape (S&amp;P)'!Q498,
    IF(lien="First",1.00,
        IF(lien="Second",1.50,
            1.70)))</f>
        <v/>
      </c>
      <c r="K498">
        <f>LET(
    purpose,'Loan Tape (S&amp;P)'!R498,
    IF(purpose="Purchase",1.00,
        IF(purpose="Remortgage",1.00,
            1.20)))</f>
        <v/>
      </c>
      <c r="L498">
        <f>LET(
    arrears_months,'Loan Tape (S&amp;P)'!AN498,
    IF(arrears_months=0,1.00,
    IF(arrears_months=1,3.00,
    IF(arrears_months=2,5.00,
    IF(arrears_months=3,8.00,
    IF(arrears_months=4,10.00,
    IF(arrears_months=5,12.00,15.00)))))))</f>
        <v/>
      </c>
      <c r="M498">
        <f>LET(
    seasoning_years,DATEDIF('Loan Tape (S&amp;P)'!K498,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8">
        <f>IF(AND('Loan Tape (S&amp;P)'!U498="Yes",
        'Loan Tape (S&amp;P)'!T498&lt;&gt;"Yes",
        DATEDIF('Loan Tape (S&amp;P)'!K498, TODAY(), "M")&lt;18),
    1.10,
    1.00)</f>
        <v/>
      </c>
      <c r="O498">
        <f>IF('Loan Tape (S&amp;P)'!T498="Yes",
    1.35,
    1.00)</f>
        <v/>
      </c>
      <c r="P498">
        <f>IF('Loan Tape (S&amp;P)'!S498="Yes",
    1.15,
    1.00)</f>
        <v/>
      </c>
      <c r="Q498">
        <f>IF('Loan Tape (S&amp;P)'!V498="Yes",
    1.20,
    1.00)</f>
        <v/>
      </c>
      <c r="T498">
        <f>LET(
    payment_method,'Loan Tape (S&amp;P)'!P498,
    occupancy,'Loan Tape (S&amp;P)'!N498,
    maturity_date,'Loan Tape (S&amp;P)'!L498,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9">
      <c r="J499">
        <f>LET(
    lien,'Loan Tape (S&amp;P)'!Q499,
    IF(lien="First",1.00,
        IF(lien="Second",1.50,
            1.70)))</f>
        <v/>
      </c>
      <c r="K499">
        <f>LET(
    purpose,'Loan Tape (S&amp;P)'!R499,
    IF(purpose="Purchase",1.00,
        IF(purpose="Remortgage",1.00,
            1.20)))</f>
        <v/>
      </c>
      <c r="L499">
        <f>LET(
    arrears_months,'Loan Tape (S&amp;P)'!AN499,
    IF(arrears_months=0,1.00,
    IF(arrears_months=1,3.00,
    IF(arrears_months=2,5.00,
    IF(arrears_months=3,8.00,
    IF(arrears_months=4,10.00,
    IF(arrears_months=5,12.00,15.00)))))))</f>
        <v/>
      </c>
      <c r="M499">
        <f>LET(
    seasoning_years,DATEDIF('Loan Tape (S&amp;P)'!K499,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9">
        <f>IF(AND('Loan Tape (S&amp;P)'!U499="Yes",
        'Loan Tape (S&amp;P)'!T499&lt;&gt;"Yes",
        DATEDIF('Loan Tape (S&amp;P)'!K499, TODAY(), "M")&lt;18),
    1.10,
    1.00)</f>
        <v/>
      </c>
      <c r="O499">
        <f>IF('Loan Tape (S&amp;P)'!T499="Yes",
    1.35,
    1.00)</f>
        <v/>
      </c>
      <c r="P499">
        <f>IF('Loan Tape (S&amp;P)'!S499="Yes",
    1.15,
    1.00)</f>
        <v/>
      </c>
      <c r="Q499">
        <f>IF('Loan Tape (S&amp;P)'!V499="Yes",
    1.20,
    1.00)</f>
        <v/>
      </c>
      <c r="T499">
        <f>LET(
    payment_method,'Loan Tape (S&amp;P)'!P499,
    occupancy,'Loan Tape (S&amp;P)'!N499,
    maturity_date,'Loan Tape (S&amp;P)'!L499,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0">
      <c r="J500">
        <f>LET(
    lien,'Loan Tape (S&amp;P)'!Q500,
    IF(lien="First",1.00,
        IF(lien="Second",1.50,
            1.70)))</f>
        <v/>
      </c>
      <c r="K500">
        <f>LET(
    purpose,'Loan Tape (S&amp;P)'!R500,
    IF(purpose="Purchase",1.00,
        IF(purpose="Remortgage",1.00,
            1.20)))</f>
        <v/>
      </c>
      <c r="L500">
        <f>LET(
    arrears_months,'Loan Tape (S&amp;P)'!AN500,
    IF(arrears_months=0,1.00,
    IF(arrears_months=1,3.00,
    IF(arrears_months=2,5.00,
    IF(arrears_months=3,8.00,
    IF(arrears_months=4,10.00,
    IF(arrears_months=5,12.00,15.00)))))))</f>
        <v/>
      </c>
      <c r="M500">
        <f>LET(
    seasoning_years,DATEDIF('Loan Tape (S&amp;P)'!K500,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0">
        <f>IF(AND('Loan Tape (S&amp;P)'!U500="Yes",
        'Loan Tape (S&amp;P)'!T500&lt;&gt;"Yes",
        DATEDIF('Loan Tape (S&amp;P)'!K500, TODAY(), "M")&lt;18),
    1.10,
    1.00)</f>
        <v/>
      </c>
      <c r="O500">
        <f>IF('Loan Tape (S&amp;P)'!T500="Yes",
    1.35,
    1.00)</f>
        <v/>
      </c>
      <c r="P500">
        <f>IF('Loan Tape (S&amp;P)'!S500="Yes",
    1.15,
    1.00)</f>
        <v/>
      </c>
      <c r="Q500">
        <f>IF('Loan Tape (S&amp;P)'!V500="Yes",
    1.20,
    1.00)</f>
        <v/>
      </c>
      <c r="T500">
        <f>LET(
    payment_method,'Loan Tape (S&amp;P)'!P500,
    occupancy,'Loan Tape (S&amp;P)'!N500,
    maturity_date,'Loan Tape (S&amp;P)'!L500,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1">
      <c r="J501">
        <f>LET(
    lien,'Loan Tape (S&amp;P)'!Q501,
    IF(lien="First",1.00,
        IF(lien="Second",1.50,
            1.70)))</f>
        <v/>
      </c>
      <c r="K501">
        <f>LET(
    purpose,'Loan Tape (S&amp;P)'!R501,
    IF(purpose="Purchase",1.00,
        IF(purpose="Remortgage",1.00,
            1.20)))</f>
        <v/>
      </c>
      <c r="L501">
        <f>LET(
    arrears_months,'Loan Tape (S&amp;P)'!AN501,
    IF(arrears_months=0,1.00,
    IF(arrears_months=1,3.00,
    IF(arrears_months=2,5.00,
    IF(arrears_months=3,8.00,
    IF(arrears_months=4,10.00,
    IF(arrears_months=5,12.00,15.00)))))))</f>
        <v/>
      </c>
      <c r="M501">
        <f>LET(
    seasoning_years,DATEDIF('Loan Tape (S&amp;P)'!K501,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1">
        <f>IF(AND('Loan Tape (S&amp;P)'!U501="Yes",
        'Loan Tape (S&amp;P)'!T501&lt;&gt;"Yes",
        DATEDIF('Loan Tape (S&amp;P)'!K501, TODAY(), "M")&lt;18),
    1.10,
    1.00)</f>
        <v/>
      </c>
      <c r="O501">
        <f>IF('Loan Tape (S&amp;P)'!T501="Yes",
    1.35,
    1.00)</f>
        <v/>
      </c>
      <c r="P501">
        <f>IF('Loan Tape (S&amp;P)'!S501="Yes",
    1.15,
    1.00)</f>
        <v/>
      </c>
      <c r="Q501">
        <f>IF('Loan Tape (S&amp;P)'!V501="Yes",
    1.20,
    1.00)</f>
        <v/>
      </c>
      <c r="T501">
        <f>LET(
    payment_method,'Loan Tape (S&amp;P)'!P501,
    occupancy,'Loan Tape (S&amp;P)'!N501,
    maturity_date,'Loan Tape (S&amp;P)'!L501,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2">
      <c r="J502">
        <f>LET(
    lien,'Loan Tape (S&amp;P)'!Q502,
    IF(lien="First",1.00,
        IF(lien="Second",1.50,
            1.70)))</f>
        <v/>
      </c>
      <c r="K502">
        <f>LET(
    purpose,'Loan Tape (S&amp;P)'!R502,
    IF(purpose="Purchase",1.00,
        IF(purpose="Remortgage",1.00,
            1.20)))</f>
        <v/>
      </c>
      <c r="L502">
        <f>LET(
    arrears_months,'Loan Tape (S&amp;P)'!AN502,
    IF(arrears_months=0,1.00,
    IF(arrears_months=1,3.00,
    IF(arrears_months=2,5.00,
    IF(arrears_months=3,8.00,
    IF(arrears_months=4,10.00,
    IF(arrears_months=5,12.00,15.00)))))))</f>
        <v/>
      </c>
      <c r="M502">
        <f>LET(
    seasoning_years,DATEDIF('Loan Tape (S&amp;P)'!K502,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2">
        <f>IF(AND('Loan Tape (S&amp;P)'!U502="Yes",
        'Loan Tape (S&amp;P)'!T502&lt;&gt;"Yes",
        DATEDIF('Loan Tape (S&amp;P)'!K502, TODAY(), "M")&lt;18),
    1.10,
    1.00)</f>
        <v/>
      </c>
      <c r="O502">
        <f>IF('Loan Tape (S&amp;P)'!T502="Yes",
    1.35,
    1.00)</f>
        <v/>
      </c>
      <c r="P502">
        <f>IF('Loan Tape (S&amp;P)'!S502="Yes",
    1.15,
    1.00)</f>
        <v/>
      </c>
      <c r="Q502">
        <f>IF('Loan Tape (S&amp;P)'!V502="Yes",
    1.20,
    1.00)</f>
        <v/>
      </c>
      <c r="T502">
        <f>LET(
    payment_method,'Loan Tape (S&amp;P)'!P502,
    occupancy,'Loan Tape (S&amp;P)'!N502,
    maturity_date,'Loan Tape (S&amp;P)'!L502,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3">
      <c r="J503">
        <f>LET(
    lien,'Loan Tape (S&amp;P)'!Q503,
    IF(lien="First",1.00,
        IF(lien="Second",1.50,
            1.70)))</f>
        <v/>
      </c>
      <c r="K503">
        <f>LET(
    purpose,'Loan Tape (S&amp;P)'!R503,
    IF(purpose="Purchase",1.00,
        IF(purpose="Remortgage",1.00,
            1.20)))</f>
        <v/>
      </c>
      <c r="L503">
        <f>LET(
    arrears_months,'Loan Tape (S&amp;P)'!AN503,
    IF(arrears_months=0,1.00,
    IF(arrears_months=1,3.00,
    IF(arrears_months=2,5.00,
    IF(arrears_months=3,8.00,
    IF(arrears_months=4,10.00,
    IF(arrears_months=5,12.00,15.00)))))))</f>
        <v/>
      </c>
      <c r="M503">
        <f>LET(
    seasoning_years,DATEDIF('Loan Tape (S&amp;P)'!K503,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3">
        <f>IF(AND('Loan Tape (S&amp;P)'!U503="Yes",
        'Loan Tape (S&amp;P)'!T503&lt;&gt;"Yes",
        DATEDIF('Loan Tape (S&amp;P)'!K503, TODAY(), "M")&lt;18),
    1.10,
    1.00)</f>
        <v/>
      </c>
      <c r="O503">
        <f>IF('Loan Tape (S&amp;P)'!T503="Yes",
    1.35,
    1.00)</f>
        <v/>
      </c>
      <c r="P503">
        <f>IF('Loan Tape (S&amp;P)'!S503="Yes",
    1.15,
    1.00)</f>
        <v/>
      </c>
      <c r="Q503">
        <f>IF('Loan Tape (S&amp;P)'!V503="Yes",
    1.20,
    1.00)</f>
        <v/>
      </c>
      <c r="T503">
        <f>LET(
    payment_method,'Loan Tape (S&amp;P)'!P503,
    occupancy,'Loan Tape (S&amp;P)'!N503,
    maturity_date,'Loan Tape (S&amp;P)'!L503,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4">
      <c r="J504">
        <f>LET(
    lien,'Loan Tape (S&amp;P)'!Q504,
    IF(lien="First",1.00,
        IF(lien="Second",1.50,
            1.70)))</f>
        <v/>
      </c>
      <c r="K504">
        <f>LET(
    purpose,'Loan Tape (S&amp;P)'!R504,
    IF(purpose="Purchase",1.00,
        IF(purpose="Remortgage",1.00,
            1.20)))</f>
        <v/>
      </c>
      <c r="L504">
        <f>LET(
    arrears_months,'Loan Tape (S&amp;P)'!AN504,
    IF(arrears_months=0,1.00,
    IF(arrears_months=1,3.00,
    IF(arrears_months=2,5.00,
    IF(arrears_months=3,8.00,
    IF(arrears_months=4,10.00,
    IF(arrears_months=5,12.00,15.00)))))))</f>
        <v/>
      </c>
      <c r="M504">
        <f>LET(
    seasoning_years,DATEDIF('Loan Tape (S&amp;P)'!K504,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4">
        <f>IF(AND('Loan Tape (S&amp;P)'!U504="Yes",
        'Loan Tape (S&amp;P)'!T504&lt;&gt;"Yes",
        DATEDIF('Loan Tape (S&amp;P)'!K504, TODAY(), "M")&lt;18),
    1.10,
    1.00)</f>
        <v/>
      </c>
      <c r="O504">
        <f>IF('Loan Tape (S&amp;P)'!T504="Yes",
    1.35,
    1.00)</f>
        <v/>
      </c>
      <c r="P504">
        <f>IF('Loan Tape (S&amp;P)'!S504="Yes",
    1.15,
    1.00)</f>
        <v/>
      </c>
      <c r="Q504">
        <f>IF('Loan Tape (S&amp;P)'!V504="Yes",
    1.20,
    1.00)</f>
        <v/>
      </c>
      <c r="T504">
        <f>LET(
    payment_method,'Loan Tape (S&amp;P)'!P504,
    occupancy,'Loan Tape (S&amp;P)'!N504,
    maturity_date,'Loan Tape (S&amp;P)'!L504,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5">
      <c r="J505">
        <f>LET(
    lien,'Loan Tape (S&amp;P)'!Q505,
    IF(lien="First",1.00,
        IF(lien="Second",1.50,
            1.70)))</f>
        <v/>
      </c>
      <c r="K505">
        <f>LET(
    purpose,'Loan Tape (S&amp;P)'!R505,
    IF(purpose="Purchase",1.00,
        IF(purpose="Remortgage",1.00,
            1.20)))</f>
        <v/>
      </c>
      <c r="L505">
        <f>LET(
    arrears_months,'Loan Tape (S&amp;P)'!AN505,
    IF(arrears_months=0,1.00,
    IF(arrears_months=1,3.00,
    IF(arrears_months=2,5.00,
    IF(arrears_months=3,8.00,
    IF(arrears_months=4,10.00,
    IF(arrears_months=5,12.00,15.00)))))))</f>
        <v/>
      </c>
      <c r="M505">
        <f>LET(
    seasoning_years,DATEDIF('Loan Tape (S&amp;P)'!K505,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5">
        <f>IF(AND('Loan Tape (S&amp;P)'!U505="Yes",
        'Loan Tape (S&amp;P)'!T505&lt;&gt;"Yes",
        DATEDIF('Loan Tape (S&amp;P)'!K505, TODAY(), "M")&lt;18),
    1.10,
    1.00)</f>
        <v/>
      </c>
      <c r="O505">
        <f>IF('Loan Tape (S&amp;P)'!T505="Yes",
    1.35,
    1.00)</f>
        <v/>
      </c>
      <c r="P505">
        <f>IF('Loan Tape (S&amp;P)'!S505="Yes",
    1.15,
    1.00)</f>
        <v/>
      </c>
      <c r="Q505">
        <f>IF('Loan Tape (S&amp;P)'!V505="Yes",
    1.20,
    1.00)</f>
        <v/>
      </c>
      <c r="T505">
        <f>LET(
    payment_method,'Loan Tape (S&amp;P)'!P505,
    occupancy,'Loan Tape (S&amp;P)'!N505,
    maturity_date,'Loan Tape (S&amp;P)'!L505,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6">
      <c r="J506">
        <f>LET(
    lien,'Loan Tape (S&amp;P)'!Q506,
    IF(lien="First",1.00,
        IF(lien="Second",1.50,
            1.70)))</f>
        <v/>
      </c>
      <c r="K506">
        <f>LET(
    purpose,'Loan Tape (S&amp;P)'!R506,
    IF(purpose="Purchase",1.00,
        IF(purpose="Remortgage",1.00,
            1.20)))</f>
        <v/>
      </c>
      <c r="L506">
        <f>LET(
    arrears_months,'Loan Tape (S&amp;P)'!AN506,
    IF(arrears_months=0,1.00,
    IF(arrears_months=1,3.00,
    IF(arrears_months=2,5.00,
    IF(arrears_months=3,8.00,
    IF(arrears_months=4,10.00,
    IF(arrears_months=5,12.00,15.00)))))))</f>
        <v/>
      </c>
      <c r="M506">
        <f>LET(
    seasoning_years,DATEDIF('Loan Tape (S&amp;P)'!K506,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6">
        <f>IF(AND('Loan Tape (S&amp;P)'!U506="Yes",
        'Loan Tape (S&amp;P)'!T506&lt;&gt;"Yes",
        DATEDIF('Loan Tape (S&amp;P)'!K506, TODAY(), "M")&lt;18),
    1.10,
    1.00)</f>
        <v/>
      </c>
      <c r="O506">
        <f>IF('Loan Tape (S&amp;P)'!T506="Yes",
    1.35,
    1.00)</f>
        <v/>
      </c>
      <c r="P506">
        <f>IF('Loan Tape (S&amp;P)'!S506="Yes",
    1.15,
    1.00)</f>
        <v/>
      </c>
      <c r="Q506">
        <f>IF('Loan Tape (S&amp;P)'!V506="Yes",
    1.20,
    1.00)</f>
        <v/>
      </c>
      <c r="T506">
        <f>LET(
    payment_method,'Loan Tape (S&amp;P)'!P506,
    occupancy,'Loan Tape (S&amp;P)'!N506,
    maturity_date,'Loan Tape (S&amp;P)'!L506,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7">
      <c r="J507">
        <f>LET(
    lien,'Loan Tape (S&amp;P)'!Q507,
    IF(lien="First",1.00,
        IF(lien="Second",1.50,
            1.70)))</f>
        <v/>
      </c>
      <c r="K507">
        <f>LET(
    purpose,'Loan Tape (S&amp;P)'!R507,
    IF(purpose="Purchase",1.00,
        IF(purpose="Remortgage",1.00,
            1.20)))</f>
        <v/>
      </c>
      <c r="L507">
        <f>LET(
    arrears_months,'Loan Tape (S&amp;P)'!AN507,
    IF(arrears_months=0,1.00,
    IF(arrears_months=1,3.00,
    IF(arrears_months=2,5.00,
    IF(arrears_months=3,8.00,
    IF(arrears_months=4,10.00,
    IF(arrears_months=5,12.00,15.00)))))))</f>
        <v/>
      </c>
      <c r="M507">
        <f>LET(
    seasoning_years,DATEDIF('Loan Tape (S&amp;P)'!K507,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7">
        <f>IF(AND('Loan Tape (S&amp;P)'!U507="Yes",
        'Loan Tape (S&amp;P)'!T507&lt;&gt;"Yes",
        DATEDIF('Loan Tape (S&amp;P)'!K507, TODAY(), "M")&lt;18),
    1.10,
    1.00)</f>
        <v/>
      </c>
      <c r="O507">
        <f>IF('Loan Tape (S&amp;P)'!T507="Yes",
    1.35,
    1.00)</f>
        <v/>
      </c>
      <c r="P507">
        <f>IF('Loan Tape (S&amp;P)'!S507="Yes",
    1.15,
    1.00)</f>
        <v/>
      </c>
      <c r="Q507">
        <f>IF('Loan Tape (S&amp;P)'!V507="Yes",
    1.20,
    1.00)</f>
        <v/>
      </c>
      <c r="T507">
        <f>LET(
    payment_method,'Loan Tape (S&amp;P)'!P507,
    occupancy,'Loan Tape (S&amp;P)'!N507,
    maturity_date,'Loan Tape (S&amp;P)'!L507,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8">
      <c r="J508">
        <f>LET(
    lien,'Loan Tape (S&amp;P)'!Q508,
    IF(lien="First",1.00,
        IF(lien="Second",1.50,
            1.70)))</f>
        <v/>
      </c>
      <c r="K508">
        <f>LET(
    purpose,'Loan Tape (S&amp;P)'!R508,
    IF(purpose="Purchase",1.00,
        IF(purpose="Remortgage",1.00,
            1.20)))</f>
        <v/>
      </c>
      <c r="L508">
        <f>LET(
    arrears_months,'Loan Tape (S&amp;P)'!AN508,
    IF(arrears_months=0,1.00,
    IF(arrears_months=1,3.00,
    IF(arrears_months=2,5.00,
    IF(arrears_months=3,8.00,
    IF(arrears_months=4,10.00,
    IF(arrears_months=5,12.00,15.00)))))))</f>
        <v/>
      </c>
      <c r="M508">
        <f>LET(
    seasoning_years,DATEDIF('Loan Tape (S&amp;P)'!K508,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8">
        <f>IF(AND('Loan Tape (S&amp;P)'!U508="Yes",
        'Loan Tape (S&amp;P)'!T508&lt;&gt;"Yes",
        DATEDIF('Loan Tape (S&amp;P)'!K508, TODAY(), "M")&lt;18),
    1.10,
    1.00)</f>
        <v/>
      </c>
      <c r="O508">
        <f>IF('Loan Tape (S&amp;P)'!T508="Yes",
    1.35,
    1.00)</f>
        <v/>
      </c>
      <c r="P508">
        <f>IF('Loan Tape (S&amp;P)'!S508="Yes",
    1.15,
    1.00)</f>
        <v/>
      </c>
      <c r="Q508">
        <f>IF('Loan Tape (S&amp;P)'!V508="Yes",
    1.20,
    1.00)</f>
        <v/>
      </c>
      <c r="T508">
        <f>LET(
    payment_method,'Loan Tape (S&amp;P)'!P508,
    occupancy,'Loan Tape (S&amp;P)'!N508,
    maturity_date,'Loan Tape (S&amp;P)'!L508,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9">
      <c r="J509">
        <f>LET(
    lien,'Loan Tape (S&amp;P)'!Q509,
    IF(lien="First",1.00,
        IF(lien="Second",1.50,
            1.70)))</f>
        <v/>
      </c>
      <c r="K509">
        <f>LET(
    purpose,'Loan Tape (S&amp;P)'!R509,
    IF(purpose="Purchase",1.00,
        IF(purpose="Remortgage",1.00,
            1.20)))</f>
        <v/>
      </c>
      <c r="L509">
        <f>LET(
    arrears_months,'Loan Tape (S&amp;P)'!AN509,
    IF(arrears_months=0,1.00,
    IF(arrears_months=1,3.00,
    IF(arrears_months=2,5.00,
    IF(arrears_months=3,8.00,
    IF(arrears_months=4,10.00,
    IF(arrears_months=5,12.00,15.00)))))))</f>
        <v/>
      </c>
      <c r="M509">
        <f>LET(
    seasoning_years,DATEDIF('Loan Tape (S&amp;P)'!K509,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9">
        <f>IF(AND('Loan Tape (S&amp;P)'!U509="Yes",
        'Loan Tape (S&amp;P)'!T509&lt;&gt;"Yes",
        DATEDIF('Loan Tape (S&amp;P)'!K509, TODAY(), "M")&lt;18),
    1.10,
    1.00)</f>
        <v/>
      </c>
      <c r="O509">
        <f>IF('Loan Tape (S&amp;P)'!T509="Yes",
    1.35,
    1.00)</f>
        <v/>
      </c>
      <c r="P509">
        <f>IF('Loan Tape (S&amp;P)'!S509="Yes",
    1.15,
    1.00)</f>
        <v/>
      </c>
      <c r="Q509">
        <f>IF('Loan Tape (S&amp;P)'!V509="Yes",
    1.20,
    1.00)</f>
        <v/>
      </c>
      <c r="T509">
        <f>LET(
    payment_method,'Loan Tape (S&amp;P)'!P509,
    occupancy,'Loan Tape (S&amp;P)'!N509,
    maturity_date,'Loan Tape (S&amp;P)'!L509,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0">
      <c r="J510">
        <f>LET(
    lien,'Loan Tape (S&amp;P)'!Q510,
    IF(lien="First",1.00,
        IF(lien="Second",1.50,
            1.70)))</f>
        <v/>
      </c>
      <c r="K510">
        <f>LET(
    purpose,'Loan Tape (S&amp;P)'!R510,
    IF(purpose="Purchase",1.00,
        IF(purpose="Remortgage",1.00,
            1.20)))</f>
        <v/>
      </c>
      <c r="L510">
        <f>LET(
    arrears_months,'Loan Tape (S&amp;P)'!AN510,
    IF(arrears_months=0,1.00,
    IF(arrears_months=1,3.00,
    IF(arrears_months=2,5.00,
    IF(arrears_months=3,8.00,
    IF(arrears_months=4,10.00,
    IF(arrears_months=5,12.00,15.00)))))))</f>
        <v/>
      </c>
      <c r="M510">
        <f>LET(
    seasoning_years,DATEDIF('Loan Tape (S&amp;P)'!K510,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0">
        <f>IF(AND('Loan Tape (S&amp;P)'!U510="Yes",
        'Loan Tape (S&amp;P)'!T510&lt;&gt;"Yes",
        DATEDIF('Loan Tape (S&amp;P)'!K510, TODAY(), "M")&lt;18),
    1.10,
    1.00)</f>
        <v/>
      </c>
      <c r="O510">
        <f>IF('Loan Tape (S&amp;P)'!T510="Yes",
    1.35,
    1.00)</f>
        <v/>
      </c>
      <c r="P510">
        <f>IF('Loan Tape (S&amp;P)'!S510="Yes",
    1.15,
    1.00)</f>
        <v/>
      </c>
      <c r="Q510">
        <f>IF('Loan Tape (S&amp;P)'!V510="Yes",
    1.20,
    1.00)</f>
        <v/>
      </c>
      <c r="T510">
        <f>LET(
    payment_method,'Loan Tape (S&amp;P)'!P510,
    occupancy,'Loan Tape (S&amp;P)'!N510,
    maturity_date,'Loan Tape (S&amp;P)'!L510,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1">
      <c r="J511">
        <f>LET(
    lien,'Loan Tape (S&amp;P)'!Q511,
    IF(lien="First",1.00,
        IF(lien="Second",1.50,
            1.70)))</f>
        <v/>
      </c>
      <c r="K511">
        <f>LET(
    purpose,'Loan Tape (S&amp;P)'!R511,
    IF(purpose="Purchase",1.00,
        IF(purpose="Remortgage",1.00,
            1.20)))</f>
        <v/>
      </c>
      <c r="L511">
        <f>LET(
    arrears_months,'Loan Tape (S&amp;P)'!AN511,
    IF(arrears_months=0,1.00,
    IF(arrears_months=1,3.00,
    IF(arrears_months=2,5.00,
    IF(arrears_months=3,8.00,
    IF(arrears_months=4,10.00,
    IF(arrears_months=5,12.00,15.00)))))))</f>
        <v/>
      </c>
      <c r="M511">
        <f>LET(
    seasoning_years,DATEDIF('Loan Tape (S&amp;P)'!K511,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1">
        <f>IF(AND('Loan Tape (S&amp;P)'!U511="Yes",
        'Loan Tape (S&amp;P)'!T511&lt;&gt;"Yes",
        DATEDIF('Loan Tape (S&amp;P)'!K511, TODAY(), "M")&lt;18),
    1.10,
    1.00)</f>
        <v/>
      </c>
      <c r="O511">
        <f>IF('Loan Tape (S&amp;P)'!T511="Yes",
    1.35,
    1.00)</f>
        <v/>
      </c>
      <c r="P511">
        <f>IF('Loan Tape (S&amp;P)'!S511="Yes",
    1.15,
    1.00)</f>
        <v/>
      </c>
      <c r="Q511">
        <f>IF('Loan Tape (S&amp;P)'!V511="Yes",
    1.20,
    1.00)</f>
        <v/>
      </c>
      <c r="T511">
        <f>LET(
    payment_method,'Loan Tape (S&amp;P)'!P511,
    occupancy,'Loan Tape (S&amp;P)'!N511,
    maturity_date,'Loan Tape (S&amp;P)'!L511,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2">
      <c r="J512">
        <f>LET(
    lien,'Loan Tape (S&amp;P)'!Q512,
    IF(lien="First",1.00,
        IF(lien="Second",1.50,
            1.70)))</f>
        <v/>
      </c>
      <c r="K512">
        <f>LET(
    purpose,'Loan Tape (S&amp;P)'!R512,
    IF(purpose="Purchase",1.00,
        IF(purpose="Remortgage",1.00,
            1.20)))</f>
        <v/>
      </c>
      <c r="L512">
        <f>LET(
    arrears_months,'Loan Tape (S&amp;P)'!AN512,
    IF(arrears_months=0,1.00,
    IF(arrears_months=1,3.00,
    IF(arrears_months=2,5.00,
    IF(arrears_months=3,8.00,
    IF(arrears_months=4,10.00,
    IF(arrears_months=5,12.00,15.00)))))))</f>
        <v/>
      </c>
      <c r="M512">
        <f>LET(
    seasoning_years,DATEDIF('Loan Tape (S&amp;P)'!K512,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2">
        <f>IF(AND('Loan Tape (S&amp;P)'!U512="Yes",
        'Loan Tape (S&amp;P)'!T512&lt;&gt;"Yes",
        DATEDIF('Loan Tape (S&amp;P)'!K512, TODAY(), "M")&lt;18),
    1.10,
    1.00)</f>
        <v/>
      </c>
      <c r="O512">
        <f>IF('Loan Tape (S&amp;P)'!T512="Yes",
    1.35,
    1.00)</f>
        <v/>
      </c>
      <c r="P512">
        <f>IF('Loan Tape (S&amp;P)'!S512="Yes",
    1.15,
    1.00)</f>
        <v/>
      </c>
      <c r="Q512">
        <f>IF('Loan Tape (S&amp;P)'!V512="Yes",
    1.20,
    1.00)</f>
        <v/>
      </c>
      <c r="T512">
        <f>LET(
    payment_method,'Loan Tape (S&amp;P)'!P512,
    occupancy,'Loan Tape (S&amp;P)'!N512,
    maturity_date,'Loan Tape (S&amp;P)'!L512,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3">
      <c r="J513">
        <f>LET(
    lien,'Loan Tape (S&amp;P)'!Q513,
    IF(lien="First",1.00,
        IF(lien="Second",1.50,
            1.70)))</f>
        <v/>
      </c>
      <c r="K513">
        <f>LET(
    purpose,'Loan Tape (S&amp;P)'!R513,
    IF(purpose="Purchase",1.00,
        IF(purpose="Remortgage",1.00,
            1.20)))</f>
        <v/>
      </c>
      <c r="L513">
        <f>LET(
    arrears_months,'Loan Tape (S&amp;P)'!AN513,
    IF(arrears_months=0,1.00,
    IF(arrears_months=1,3.00,
    IF(arrears_months=2,5.00,
    IF(arrears_months=3,8.00,
    IF(arrears_months=4,10.00,
    IF(arrears_months=5,12.00,15.00)))))))</f>
        <v/>
      </c>
      <c r="M513">
        <f>LET(
    seasoning_years,DATEDIF('Loan Tape (S&amp;P)'!K513,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3">
        <f>IF(AND('Loan Tape (S&amp;P)'!U513="Yes",
        'Loan Tape (S&amp;P)'!T513&lt;&gt;"Yes",
        DATEDIF('Loan Tape (S&amp;P)'!K513, TODAY(), "M")&lt;18),
    1.10,
    1.00)</f>
        <v/>
      </c>
      <c r="O513">
        <f>IF('Loan Tape (S&amp;P)'!T513="Yes",
    1.35,
    1.00)</f>
        <v/>
      </c>
      <c r="P513">
        <f>IF('Loan Tape (S&amp;P)'!S513="Yes",
    1.15,
    1.00)</f>
        <v/>
      </c>
      <c r="Q513">
        <f>IF('Loan Tape (S&amp;P)'!V513="Yes",
    1.20,
    1.00)</f>
        <v/>
      </c>
      <c r="T513">
        <f>LET(
    payment_method,'Loan Tape (S&amp;P)'!P513,
    occupancy,'Loan Tape (S&amp;P)'!N513,
    maturity_date,'Loan Tape (S&amp;P)'!L513,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4">
      <c r="J514">
        <f>LET(
    lien,'Loan Tape (S&amp;P)'!Q514,
    IF(lien="First",1.00,
        IF(lien="Second",1.50,
            1.70)))</f>
        <v/>
      </c>
      <c r="K514">
        <f>LET(
    purpose,'Loan Tape (S&amp;P)'!R514,
    IF(purpose="Purchase",1.00,
        IF(purpose="Remortgage",1.00,
            1.20)))</f>
        <v/>
      </c>
      <c r="L514">
        <f>LET(
    arrears_months,'Loan Tape (S&amp;P)'!AN514,
    IF(arrears_months=0,1.00,
    IF(arrears_months=1,3.00,
    IF(arrears_months=2,5.00,
    IF(arrears_months=3,8.00,
    IF(arrears_months=4,10.00,
    IF(arrears_months=5,12.00,15.00)))))))</f>
        <v/>
      </c>
      <c r="M514">
        <f>LET(
    seasoning_years,DATEDIF('Loan Tape (S&amp;P)'!K514,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4">
        <f>IF(AND('Loan Tape (S&amp;P)'!U514="Yes",
        'Loan Tape (S&amp;P)'!T514&lt;&gt;"Yes",
        DATEDIF('Loan Tape (S&amp;P)'!K514, TODAY(), "M")&lt;18),
    1.10,
    1.00)</f>
        <v/>
      </c>
      <c r="O514">
        <f>IF('Loan Tape (S&amp;P)'!T514="Yes",
    1.35,
    1.00)</f>
        <v/>
      </c>
      <c r="P514">
        <f>IF('Loan Tape (S&amp;P)'!S514="Yes",
    1.15,
    1.00)</f>
        <v/>
      </c>
      <c r="Q514">
        <f>IF('Loan Tape (S&amp;P)'!V514="Yes",
    1.20,
    1.00)</f>
        <v/>
      </c>
      <c r="T514">
        <f>LET(
    payment_method,'Loan Tape (S&amp;P)'!P514,
    occupancy,'Loan Tape (S&amp;P)'!N514,
    maturity_date,'Loan Tape (S&amp;P)'!L514,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5">
      <c r="J515">
        <f>LET(
    lien,'Loan Tape (S&amp;P)'!Q515,
    IF(lien="First",1.00,
        IF(lien="Second",1.50,
            1.70)))</f>
        <v/>
      </c>
      <c r="K515">
        <f>LET(
    purpose,'Loan Tape (S&amp;P)'!R515,
    IF(purpose="Purchase",1.00,
        IF(purpose="Remortgage",1.00,
            1.20)))</f>
        <v/>
      </c>
      <c r="L515">
        <f>LET(
    arrears_months,'Loan Tape (S&amp;P)'!AN515,
    IF(arrears_months=0,1.00,
    IF(arrears_months=1,3.00,
    IF(arrears_months=2,5.00,
    IF(arrears_months=3,8.00,
    IF(arrears_months=4,10.00,
    IF(arrears_months=5,12.00,15.00)))))))</f>
        <v/>
      </c>
      <c r="M515">
        <f>LET(
    seasoning_years,DATEDIF('Loan Tape (S&amp;P)'!K515,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5">
        <f>IF(AND('Loan Tape (S&amp;P)'!U515="Yes",
        'Loan Tape (S&amp;P)'!T515&lt;&gt;"Yes",
        DATEDIF('Loan Tape (S&amp;P)'!K515, TODAY(), "M")&lt;18),
    1.10,
    1.00)</f>
        <v/>
      </c>
      <c r="O515">
        <f>IF('Loan Tape (S&amp;P)'!T515="Yes",
    1.35,
    1.00)</f>
        <v/>
      </c>
      <c r="P515">
        <f>IF('Loan Tape (S&amp;P)'!S515="Yes",
    1.15,
    1.00)</f>
        <v/>
      </c>
      <c r="Q515">
        <f>IF('Loan Tape (S&amp;P)'!V515="Yes",
    1.20,
    1.00)</f>
        <v/>
      </c>
      <c r="T515">
        <f>LET(
    payment_method,'Loan Tape (S&amp;P)'!P515,
    occupancy,'Loan Tape (S&amp;P)'!N515,
    maturity_date,'Loan Tape (S&amp;P)'!L515,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6">
      <c r="J516">
        <f>LET(
    lien,'Loan Tape (S&amp;P)'!Q516,
    IF(lien="First",1.00,
        IF(lien="Second",1.50,
            1.70)))</f>
        <v/>
      </c>
      <c r="K516">
        <f>LET(
    purpose,'Loan Tape (S&amp;P)'!R516,
    IF(purpose="Purchase",1.00,
        IF(purpose="Remortgage",1.00,
            1.20)))</f>
        <v/>
      </c>
      <c r="L516">
        <f>LET(
    arrears_months,'Loan Tape (S&amp;P)'!AN516,
    IF(arrears_months=0,1.00,
    IF(arrears_months=1,3.00,
    IF(arrears_months=2,5.00,
    IF(arrears_months=3,8.00,
    IF(arrears_months=4,10.00,
    IF(arrears_months=5,12.00,15.00)))))))</f>
        <v/>
      </c>
      <c r="M516">
        <f>LET(
    seasoning_years,DATEDIF('Loan Tape (S&amp;P)'!K516,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6">
        <f>IF(AND('Loan Tape (S&amp;P)'!U516="Yes",
        'Loan Tape (S&amp;P)'!T516&lt;&gt;"Yes",
        DATEDIF('Loan Tape (S&amp;P)'!K516, TODAY(), "M")&lt;18),
    1.10,
    1.00)</f>
        <v/>
      </c>
      <c r="O516">
        <f>IF('Loan Tape (S&amp;P)'!T516="Yes",
    1.35,
    1.00)</f>
        <v/>
      </c>
      <c r="P516">
        <f>IF('Loan Tape (S&amp;P)'!S516="Yes",
    1.15,
    1.00)</f>
        <v/>
      </c>
      <c r="Q516">
        <f>IF('Loan Tape (S&amp;P)'!V516="Yes",
    1.20,
    1.00)</f>
        <v/>
      </c>
      <c r="T516">
        <f>LET(
    payment_method,'Loan Tape (S&amp;P)'!P516,
    occupancy,'Loan Tape (S&amp;P)'!N516,
    maturity_date,'Loan Tape (S&amp;P)'!L516,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7">
      <c r="J517">
        <f>LET(
    lien,'Loan Tape (S&amp;P)'!Q517,
    IF(lien="First",1.00,
        IF(lien="Second",1.50,
            1.70)))</f>
        <v/>
      </c>
      <c r="K517">
        <f>LET(
    purpose,'Loan Tape (S&amp;P)'!R517,
    IF(purpose="Purchase",1.00,
        IF(purpose="Remortgage",1.00,
            1.20)))</f>
        <v/>
      </c>
      <c r="L517">
        <f>LET(
    arrears_months,'Loan Tape (S&amp;P)'!AN517,
    IF(arrears_months=0,1.00,
    IF(arrears_months=1,3.00,
    IF(arrears_months=2,5.00,
    IF(arrears_months=3,8.00,
    IF(arrears_months=4,10.00,
    IF(arrears_months=5,12.00,15.00)))))))</f>
        <v/>
      </c>
      <c r="M517">
        <f>LET(
    seasoning_years,DATEDIF('Loan Tape (S&amp;P)'!K517,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7">
        <f>IF(AND('Loan Tape (S&amp;P)'!U517="Yes",
        'Loan Tape (S&amp;P)'!T517&lt;&gt;"Yes",
        DATEDIF('Loan Tape (S&amp;P)'!K517, TODAY(), "M")&lt;18),
    1.10,
    1.00)</f>
        <v/>
      </c>
      <c r="O517">
        <f>IF('Loan Tape (S&amp;P)'!T517="Yes",
    1.35,
    1.00)</f>
        <v/>
      </c>
      <c r="P517">
        <f>IF('Loan Tape (S&amp;P)'!S517="Yes",
    1.15,
    1.00)</f>
        <v/>
      </c>
      <c r="Q517">
        <f>IF('Loan Tape (S&amp;P)'!V517="Yes",
    1.20,
    1.00)</f>
        <v/>
      </c>
      <c r="T517">
        <f>LET(
    payment_method,'Loan Tape (S&amp;P)'!P517,
    occupancy,'Loan Tape (S&amp;P)'!N517,
    maturity_date,'Loan Tape (S&amp;P)'!L517,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8">
      <c r="J518">
        <f>LET(
    lien,'Loan Tape (S&amp;P)'!Q518,
    IF(lien="First",1.00,
        IF(lien="Second",1.50,
            1.70)))</f>
        <v/>
      </c>
      <c r="K518">
        <f>LET(
    purpose,'Loan Tape (S&amp;P)'!R518,
    IF(purpose="Purchase",1.00,
        IF(purpose="Remortgage",1.00,
            1.20)))</f>
        <v/>
      </c>
      <c r="L518">
        <f>LET(
    arrears_months,'Loan Tape (S&amp;P)'!AN518,
    IF(arrears_months=0,1.00,
    IF(arrears_months=1,3.00,
    IF(arrears_months=2,5.00,
    IF(arrears_months=3,8.00,
    IF(arrears_months=4,10.00,
    IF(arrears_months=5,12.00,15.00)))))))</f>
        <v/>
      </c>
      <c r="M518">
        <f>LET(
    seasoning_years,DATEDIF('Loan Tape (S&amp;P)'!K518,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8">
        <f>IF(AND('Loan Tape (S&amp;P)'!U518="Yes",
        'Loan Tape (S&amp;P)'!T518&lt;&gt;"Yes",
        DATEDIF('Loan Tape (S&amp;P)'!K518, TODAY(), "M")&lt;18),
    1.10,
    1.00)</f>
        <v/>
      </c>
      <c r="O518">
        <f>IF('Loan Tape (S&amp;P)'!T518="Yes",
    1.35,
    1.00)</f>
        <v/>
      </c>
      <c r="P518">
        <f>IF('Loan Tape (S&amp;P)'!S518="Yes",
    1.15,
    1.00)</f>
        <v/>
      </c>
      <c r="Q518">
        <f>IF('Loan Tape (S&amp;P)'!V518="Yes",
    1.20,
    1.00)</f>
        <v/>
      </c>
      <c r="T518">
        <f>LET(
    payment_method,'Loan Tape (S&amp;P)'!P518,
    occupancy,'Loan Tape (S&amp;P)'!N518,
    maturity_date,'Loan Tape (S&amp;P)'!L518,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9">
      <c r="J519">
        <f>LET(
    lien,'Loan Tape (S&amp;P)'!Q519,
    IF(lien="First",1.00,
        IF(lien="Second",1.50,
            1.70)))</f>
        <v/>
      </c>
      <c r="K519">
        <f>LET(
    purpose,'Loan Tape (S&amp;P)'!R519,
    IF(purpose="Purchase",1.00,
        IF(purpose="Remortgage",1.00,
            1.20)))</f>
        <v/>
      </c>
      <c r="L519">
        <f>LET(
    arrears_months,'Loan Tape (S&amp;P)'!AN519,
    IF(arrears_months=0,1.00,
    IF(arrears_months=1,3.00,
    IF(arrears_months=2,5.00,
    IF(arrears_months=3,8.00,
    IF(arrears_months=4,10.00,
    IF(arrears_months=5,12.00,15.00)))))))</f>
        <v/>
      </c>
      <c r="M519">
        <f>LET(
    seasoning_years,DATEDIF('Loan Tape (S&amp;P)'!K519,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9">
        <f>IF(AND('Loan Tape (S&amp;P)'!U519="Yes",
        'Loan Tape (S&amp;P)'!T519&lt;&gt;"Yes",
        DATEDIF('Loan Tape (S&amp;P)'!K519, TODAY(), "M")&lt;18),
    1.10,
    1.00)</f>
        <v/>
      </c>
      <c r="O519">
        <f>IF('Loan Tape (S&amp;P)'!T519="Yes",
    1.35,
    1.00)</f>
        <v/>
      </c>
      <c r="P519">
        <f>IF('Loan Tape (S&amp;P)'!S519="Yes",
    1.15,
    1.00)</f>
        <v/>
      </c>
      <c r="Q519">
        <f>IF('Loan Tape (S&amp;P)'!V519="Yes",
    1.20,
    1.00)</f>
        <v/>
      </c>
      <c r="T519">
        <f>LET(
    payment_method,'Loan Tape (S&amp;P)'!P519,
    occupancy,'Loan Tape (S&amp;P)'!N519,
    maturity_date,'Loan Tape (S&amp;P)'!L519,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0">
      <c r="J520">
        <f>LET(
    lien,'Loan Tape (S&amp;P)'!Q520,
    IF(lien="First",1.00,
        IF(lien="Second",1.50,
            1.70)))</f>
        <v/>
      </c>
      <c r="K520">
        <f>LET(
    purpose,'Loan Tape (S&amp;P)'!R520,
    IF(purpose="Purchase",1.00,
        IF(purpose="Remortgage",1.00,
            1.20)))</f>
        <v/>
      </c>
      <c r="L520">
        <f>LET(
    arrears_months,'Loan Tape (S&amp;P)'!AN520,
    IF(arrears_months=0,1.00,
    IF(arrears_months=1,3.00,
    IF(arrears_months=2,5.00,
    IF(arrears_months=3,8.00,
    IF(arrears_months=4,10.00,
    IF(arrears_months=5,12.00,15.00)))))))</f>
        <v/>
      </c>
      <c r="M520">
        <f>LET(
    seasoning_years,DATEDIF('Loan Tape (S&amp;P)'!K520,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0">
        <f>IF(AND('Loan Tape (S&amp;P)'!U520="Yes",
        'Loan Tape (S&amp;P)'!T520&lt;&gt;"Yes",
        DATEDIF('Loan Tape (S&amp;P)'!K520, TODAY(), "M")&lt;18),
    1.10,
    1.00)</f>
        <v/>
      </c>
      <c r="O520">
        <f>IF('Loan Tape (S&amp;P)'!T520="Yes",
    1.35,
    1.00)</f>
        <v/>
      </c>
      <c r="P520">
        <f>IF('Loan Tape (S&amp;P)'!S520="Yes",
    1.15,
    1.00)</f>
        <v/>
      </c>
      <c r="Q520">
        <f>IF('Loan Tape (S&amp;P)'!V520="Yes",
    1.20,
    1.00)</f>
        <v/>
      </c>
      <c r="T520">
        <f>LET(
    payment_method,'Loan Tape (S&amp;P)'!P520,
    occupancy,'Loan Tape (S&amp;P)'!N520,
    maturity_date,'Loan Tape (S&amp;P)'!L520,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1">
      <c r="J521">
        <f>LET(
    lien,'Loan Tape (S&amp;P)'!Q521,
    IF(lien="First",1.00,
        IF(lien="Second",1.50,
            1.70)))</f>
        <v/>
      </c>
      <c r="K521">
        <f>LET(
    purpose,'Loan Tape (S&amp;P)'!R521,
    IF(purpose="Purchase",1.00,
        IF(purpose="Remortgage",1.00,
            1.20)))</f>
        <v/>
      </c>
      <c r="L521">
        <f>LET(
    arrears_months,'Loan Tape (S&amp;P)'!AN521,
    IF(arrears_months=0,1.00,
    IF(arrears_months=1,3.00,
    IF(arrears_months=2,5.00,
    IF(arrears_months=3,8.00,
    IF(arrears_months=4,10.00,
    IF(arrears_months=5,12.00,15.00)))))))</f>
        <v/>
      </c>
      <c r="M521">
        <f>LET(
    seasoning_years,DATEDIF('Loan Tape (S&amp;P)'!K521,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1">
        <f>IF(AND('Loan Tape (S&amp;P)'!U521="Yes",
        'Loan Tape (S&amp;P)'!T521&lt;&gt;"Yes",
        DATEDIF('Loan Tape (S&amp;P)'!K521, TODAY(), "M")&lt;18),
    1.10,
    1.00)</f>
        <v/>
      </c>
      <c r="O521">
        <f>IF('Loan Tape (S&amp;P)'!T521="Yes",
    1.35,
    1.00)</f>
        <v/>
      </c>
      <c r="P521">
        <f>IF('Loan Tape (S&amp;P)'!S521="Yes",
    1.15,
    1.00)</f>
        <v/>
      </c>
      <c r="Q521">
        <f>IF('Loan Tape (S&amp;P)'!V521="Yes",
    1.20,
    1.00)</f>
        <v/>
      </c>
      <c r="T521">
        <f>LET(
    payment_method,'Loan Tape (S&amp;P)'!P521,
    occupancy,'Loan Tape (S&amp;P)'!N521,
    maturity_date,'Loan Tape (S&amp;P)'!L521,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2">
      <c r="J522">
        <f>LET(
    lien,'Loan Tape (S&amp;P)'!Q522,
    IF(lien="First",1.00,
        IF(lien="Second",1.50,
            1.70)))</f>
        <v/>
      </c>
      <c r="K522">
        <f>LET(
    purpose,'Loan Tape (S&amp;P)'!R522,
    IF(purpose="Purchase",1.00,
        IF(purpose="Remortgage",1.00,
            1.20)))</f>
        <v/>
      </c>
      <c r="L522">
        <f>LET(
    arrears_months,'Loan Tape (S&amp;P)'!AN522,
    IF(arrears_months=0,1.00,
    IF(arrears_months=1,3.00,
    IF(arrears_months=2,5.00,
    IF(arrears_months=3,8.00,
    IF(arrears_months=4,10.00,
    IF(arrears_months=5,12.00,15.00)))))))</f>
        <v/>
      </c>
      <c r="M522">
        <f>LET(
    seasoning_years,DATEDIF('Loan Tape (S&amp;P)'!K522,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2">
        <f>IF(AND('Loan Tape (S&amp;P)'!U522="Yes",
        'Loan Tape (S&amp;P)'!T522&lt;&gt;"Yes",
        DATEDIF('Loan Tape (S&amp;P)'!K522, TODAY(), "M")&lt;18),
    1.10,
    1.00)</f>
        <v/>
      </c>
      <c r="O522">
        <f>IF('Loan Tape (S&amp;P)'!T522="Yes",
    1.35,
    1.00)</f>
        <v/>
      </c>
      <c r="P522">
        <f>IF('Loan Tape (S&amp;P)'!S522="Yes",
    1.15,
    1.00)</f>
        <v/>
      </c>
      <c r="Q522">
        <f>IF('Loan Tape (S&amp;P)'!V522="Yes",
    1.20,
    1.00)</f>
        <v/>
      </c>
      <c r="T522">
        <f>LET(
    payment_method,'Loan Tape (S&amp;P)'!P522,
    occupancy,'Loan Tape (S&amp;P)'!N522,
    maturity_date,'Loan Tape (S&amp;P)'!L522,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3">
      <c r="J523">
        <f>LET(
    lien,'Loan Tape (S&amp;P)'!Q523,
    IF(lien="First",1.00,
        IF(lien="Second",1.50,
            1.70)))</f>
        <v/>
      </c>
      <c r="K523">
        <f>LET(
    purpose,'Loan Tape (S&amp;P)'!R523,
    IF(purpose="Purchase",1.00,
        IF(purpose="Remortgage",1.00,
            1.20)))</f>
        <v/>
      </c>
      <c r="L523">
        <f>LET(
    arrears_months,'Loan Tape (S&amp;P)'!AN523,
    IF(arrears_months=0,1.00,
    IF(arrears_months=1,3.00,
    IF(arrears_months=2,5.00,
    IF(arrears_months=3,8.00,
    IF(arrears_months=4,10.00,
    IF(arrears_months=5,12.00,15.00)))))))</f>
        <v/>
      </c>
      <c r="M523">
        <f>LET(
    seasoning_years,DATEDIF('Loan Tape (S&amp;P)'!K523,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3">
        <f>IF(AND('Loan Tape (S&amp;P)'!U523="Yes",
        'Loan Tape (S&amp;P)'!T523&lt;&gt;"Yes",
        DATEDIF('Loan Tape (S&amp;P)'!K523, TODAY(), "M")&lt;18),
    1.10,
    1.00)</f>
        <v/>
      </c>
      <c r="O523">
        <f>IF('Loan Tape (S&amp;P)'!T523="Yes",
    1.35,
    1.00)</f>
        <v/>
      </c>
      <c r="P523">
        <f>IF('Loan Tape (S&amp;P)'!S523="Yes",
    1.15,
    1.00)</f>
        <v/>
      </c>
      <c r="Q523">
        <f>IF('Loan Tape (S&amp;P)'!V523="Yes",
    1.20,
    1.00)</f>
        <v/>
      </c>
      <c r="T523">
        <f>LET(
    payment_method,'Loan Tape (S&amp;P)'!P523,
    occupancy,'Loan Tape (S&amp;P)'!N523,
    maturity_date,'Loan Tape (S&amp;P)'!L523,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4">
      <c r="J524">
        <f>LET(
    lien,'Loan Tape (S&amp;P)'!Q524,
    IF(lien="First",1.00,
        IF(lien="Second",1.50,
            1.70)))</f>
        <v/>
      </c>
      <c r="K524">
        <f>LET(
    purpose,'Loan Tape (S&amp;P)'!R524,
    IF(purpose="Purchase",1.00,
        IF(purpose="Remortgage",1.00,
            1.20)))</f>
        <v/>
      </c>
      <c r="L524">
        <f>LET(
    arrears_months,'Loan Tape (S&amp;P)'!AN524,
    IF(arrears_months=0,1.00,
    IF(arrears_months=1,3.00,
    IF(arrears_months=2,5.00,
    IF(arrears_months=3,8.00,
    IF(arrears_months=4,10.00,
    IF(arrears_months=5,12.00,15.00)))))))</f>
        <v/>
      </c>
      <c r="M524">
        <f>LET(
    seasoning_years,DATEDIF('Loan Tape (S&amp;P)'!K524,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4">
        <f>IF(AND('Loan Tape (S&amp;P)'!U524="Yes",
        'Loan Tape (S&amp;P)'!T524&lt;&gt;"Yes",
        DATEDIF('Loan Tape (S&amp;P)'!K524, TODAY(), "M")&lt;18),
    1.10,
    1.00)</f>
        <v/>
      </c>
      <c r="O524">
        <f>IF('Loan Tape (S&amp;P)'!T524="Yes",
    1.35,
    1.00)</f>
        <v/>
      </c>
      <c r="P524">
        <f>IF('Loan Tape (S&amp;P)'!S524="Yes",
    1.15,
    1.00)</f>
        <v/>
      </c>
      <c r="Q524">
        <f>IF('Loan Tape (S&amp;P)'!V524="Yes",
    1.20,
    1.00)</f>
        <v/>
      </c>
      <c r="T524">
        <f>LET(
    payment_method,'Loan Tape (S&amp;P)'!P524,
    occupancy,'Loan Tape (S&amp;P)'!N524,
    maturity_date,'Loan Tape (S&amp;P)'!L524,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5">
      <c r="J525">
        <f>LET(
    lien,'Loan Tape (S&amp;P)'!Q525,
    IF(lien="First",1.00,
        IF(lien="Second",1.50,
            1.70)))</f>
        <v/>
      </c>
      <c r="K525">
        <f>LET(
    purpose,'Loan Tape (S&amp;P)'!R525,
    IF(purpose="Purchase",1.00,
        IF(purpose="Remortgage",1.00,
            1.20)))</f>
        <v/>
      </c>
      <c r="L525">
        <f>LET(
    arrears_months,'Loan Tape (S&amp;P)'!AN525,
    IF(arrears_months=0,1.00,
    IF(arrears_months=1,3.00,
    IF(arrears_months=2,5.00,
    IF(arrears_months=3,8.00,
    IF(arrears_months=4,10.00,
    IF(arrears_months=5,12.00,15.00)))))))</f>
        <v/>
      </c>
      <c r="M525">
        <f>LET(
    seasoning_years,DATEDIF('Loan Tape (S&amp;P)'!K525,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5">
        <f>IF(AND('Loan Tape (S&amp;P)'!U525="Yes",
        'Loan Tape (S&amp;P)'!T525&lt;&gt;"Yes",
        DATEDIF('Loan Tape (S&amp;P)'!K525, TODAY(), "M")&lt;18),
    1.10,
    1.00)</f>
        <v/>
      </c>
      <c r="O525">
        <f>IF('Loan Tape (S&amp;P)'!T525="Yes",
    1.35,
    1.00)</f>
        <v/>
      </c>
      <c r="P525">
        <f>IF('Loan Tape (S&amp;P)'!S525="Yes",
    1.15,
    1.00)</f>
        <v/>
      </c>
      <c r="Q525">
        <f>IF('Loan Tape (S&amp;P)'!V525="Yes",
    1.20,
    1.00)</f>
        <v/>
      </c>
      <c r="T525">
        <f>LET(
    payment_method,'Loan Tape (S&amp;P)'!P525,
    occupancy,'Loan Tape (S&amp;P)'!N525,
    maturity_date,'Loan Tape (S&amp;P)'!L525,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6">
      <c r="J526">
        <f>LET(
    lien,'Loan Tape (S&amp;P)'!Q526,
    IF(lien="First",1.00,
        IF(lien="Second",1.50,
            1.70)))</f>
        <v/>
      </c>
      <c r="K526">
        <f>LET(
    purpose,'Loan Tape (S&amp;P)'!R526,
    IF(purpose="Purchase",1.00,
        IF(purpose="Remortgage",1.00,
            1.20)))</f>
        <v/>
      </c>
      <c r="L526">
        <f>LET(
    arrears_months,'Loan Tape (S&amp;P)'!AN526,
    IF(arrears_months=0,1.00,
    IF(arrears_months=1,3.00,
    IF(arrears_months=2,5.00,
    IF(arrears_months=3,8.00,
    IF(arrears_months=4,10.00,
    IF(arrears_months=5,12.00,15.00)))))))</f>
        <v/>
      </c>
      <c r="M526">
        <f>LET(
    seasoning_years,DATEDIF('Loan Tape (S&amp;P)'!K526,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6">
        <f>IF(AND('Loan Tape (S&amp;P)'!U526="Yes",
        'Loan Tape (S&amp;P)'!T526&lt;&gt;"Yes",
        DATEDIF('Loan Tape (S&amp;P)'!K526, TODAY(), "M")&lt;18),
    1.10,
    1.00)</f>
        <v/>
      </c>
      <c r="O526">
        <f>IF('Loan Tape (S&amp;P)'!T526="Yes",
    1.35,
    1.00)</f>
        <v/>
      </c>
      <c r="P526">
        <f>IF('Loan Tape (S&amp;P)'!S526="Yes",
    1.15,
    1.00)</f>
        <v/>
      </c>
      <c r="Q526">
        <f>IF('Loan Tape (S&amp;P)'!V526="Yes",
    1.20,
    1.00)</f>
        <v/>
      </c>
      <c r="T526">
        <f>LET(
    payment_method,'Loan Tape (S&amp;P)'!P526,
    occupancy,'Loan Tape (S&amp;P)'!N526,
    maturity_date,'Loan Tape (S&amp;P)'!L526,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7">
      <c r="J527">
        <f>LET(
    lien,'Loan Tape (S&amp;P)'!Q527,
    IF(lien="First",1.00,
        IF(lien="Second",1.50,
            1.70)))</f>
        <v/>
      </c>
      <c r="K527">
        <f>LET(
    purpose,'Loan Tape (S&amp;P)'!R527,
    IF(purpose="Purchase",1.00,
        IF(purpose="Remortgage",1.00,
            1.20)))</f>
        <v/>
      </c>
      <c r="L527">
        <f>LET(
    arrears_months,'Loan Tape (S&amp;P)'!AN527,
    IF(arrears_months=0,1.00,
    IF(arrears_months=1,3.00,
    IF(arrears_months=2,5.00,
    IF(arrears_months=3,8.00,
    IF(arrears_months=4,10.00,
    IF(arrears_months=5,12.00,15.00)))))))</f>
        <v/>
      </c>
      <c r="M527">
        <f>LET(
    seasoning_years,DATEDIF('Loan Tape (S&amp;P)'!K527,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7">
        <f>IF(AND('Loan Tape (S&amp;P)'!U527="Yes",
        'Loan Tape (S&amp;P)'!T527&lt;&gt;"Yes",
        DATEDIF('Loan Tape (S&amp;P)'!K527, TODAY(), "M")&lt;18),
    1.10,
    1.00)</f>
        <v/>
      </c>
      <c r="O527">
        <f>IF('Loan Tape (S&amp;P)'!T527="Yes",
    1.35,
    1.00)</f>
        <v/>
      </c>
      <c r="P527">
        <f>IF('Loan Tape (S&amp;P)'!S527="Yes",
    1.15,
    1.00)</f>
        <v/>
      </c>
      <c r="Q527">
        <f>IF('Loan Tape (S&amp;P)'!V527="Yes",
    1.20,
    1.00)</f>
        <v/>
      </c>
      <c r="T527">
        <f>LET(
    payment_method,'Loan Tape (S&amp;P)'!P527,
    occupancy,'Loan Tape (S&amp;P)'!N527,
    maturity_date,'Loan Tape (S&amp;P)'!L527,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8">
      <c r="J528">
        <f>LET(
    lien,'Loan Tape (S&amp;P)'!Q528,
    IF(lien="First",1.00,
        IF(lien="Second",1.50,
            1.70)))</f>
        <v/>
      </c>
      <c r="K528">
        <f>LET(
    purpose,'Loan Tape (S&amp;P)'!R528,
    IF(purpose="Purchase",1.00,
        IF(purpose="Remortgage",1.00,
            1.20)))</f>
        <v/>
      </c>
      <c r="L528">
        <f>LET(
    arrears_months,'Loan Tape (S&amp;P)'!AN528,
    IF(arrears_months=0,1.00,
    IF(arrears_months=1,3.00,
    IF(arrears_months=2,5.00,
    IF(arrears_months=3,8.00,
    IF(arrears_months=4,10.00,
    IF(arrears_months=5,12.00,15.00)))))))</f>
        <v/>
      </c>
      <c r="M528">
        <f>LET(
    seasoning_years,DATEDIF('Loan Tape (S&amp;P)'!K528,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8">
        <f>IF(AND('Loan Tape (S&amp;P)'!U528="Yes",
        'Loan Tape (S&amp;P)'!T528&lt;&gt;"Yes",
        DATEDIF('Loan Tape (S&amp;P)'!K528, TODAY(), "M")&lt;18),
    1.10,
    1.00)</f>
        <v/>
      </c>
      <c r="O528">
        <f>IF('Loan Tape (S&amp;P)'!T528="Yes",
    1.35,
    1.00)</f>
        <v/>
      </c>
      <c r="P528">
        <f>IF('Loan Tape (S&amp;P)'!S528="Yes",
    1.15,
    1.00)</f>
        <v/>
      </c>
      <c r="Q528">
        <f>IF('Loan Tape (S&amp;P)'!V528="Yes",
    1.20,
    1.00)</f>
        <v/>
      </c>
      <c r="T528">
        <f>LET(
    payment_method,'Loan Tape (S&amp;P)'!P528,
    occupancy,'Loan Tape (S&amp;P)'!N528,
    maturity_date,'Loan Tape (S&amp;P)'!L528,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9">
      <c r="J529">
        <f>LET(
    lien,'Loan Tape (S&amp;P)'!Q529,
    IF(lien="First",1.00,
        IF(lien="Second",1.50,
            1.70)))</f>
        <v/>
      </c>
      <c r="K529">
        <f>LET(
    purpose,'Loan Tape (S&amp;P)'!R529,
    IF(purpose="Purchase",1.00,
        IF(purpose="Remortgage",1.00,
            1.20)))</f>
        <v/>
      </c>
      <c r="L529">
        <f>LET(
    arrears_months,'Loan Tape (S&amp;P)'!AN529,
    IF(arrears_months=0,1.00,
    IF(arrears_months=1,3.00,
    IF(arrears_months=2,5.00,
    IF(arrears_months=3,8.00,
    IF(arrears_months=4,10.00,
    IF(arrears_months=5,12.00,15.00)))))))</f>
        <v/>
      </c>
      <c r="M529">
        <f>LET(
    seasoning_years,DATEDIF('Loan Tape (S&amp;P)'!K529,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9">
        <f>IF(AND('Loan Tape (S&amp;P)'!U529="Yes",
        'Loan Tape (S&amp;P)'!T529&lt;&gt;"Yes",
        DATEDIF('Loan Tape (S&amp;P)'!K529, TODAY(), "M")&lt;18),
    1.10,
    1.00)</f>
        <v/>
      </c>
      <c r="O529">
        <f>IF('Loan Tape (S&amp;P)'!T529="Yes",
    1.35,
    1.00)</f>
        <v/>
      </c>
      <c r="P529">
        <f>IF('Loan Tape (S&amp;P)'!S529="Yes",
    1.15,
    1.00)</f>
        <v/>
      </c>
      <c r="Q529">
        <f>IF('Loan Tape (S&amp;P)'!V529="Yes",
    1.20,
    1.00)</f>
        <v/>
      </c>
      <c r="T529">
        <f>LET(
    payment_method,'Loan Tape (S&amp;P)'!P529,
    occupancy,'Loan Tape (S&amp;P)'!N529,
    maturity_date,'Loan Tape (S&amp;P)'!L529,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0">
      <c r="J530">
        <f>LET(
    lien,'Loan Tape (S&amp;P)'!Q530,
    IF(lien="First",1.00,
        IF(lien="Second",1.50,
            1.70)))</f>
        <v/>
      </c>
      <c r="K530">
        <f>LET(
    purpose,'Loan Tape (S&amp;P)'!R530,
    IF(purpose="Purchase",1.00,
        IF(purpose="Remortgage",1.00,
            1.20)))</f>
        <v/>
      </c>
      <c r="L530">
        <f>LET(
    arrears_months,'Loan Tape (S&amp;P)'!AN530,
    IF(arrears_months=0,1.00,
    IF(arrears_months=1,3.00,
    IF(arrears_months=2,5.00,
    IF(arrears_months=3,8.00,
    IF(arrears_months=4,10.00,
    IF(arrears_months=5,12.00,15.00)))))))</f>
        <v/>
      </c>
      <c r="M530">
        <f>LET(
    seasoning_years,DATEDIF('Loan Tape (S&amp;P)'!K530,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0">
        <f>IF(AND('Loan Tape (S&amp;P)'!U530="Yes",
        'Loan Tape (S&amp;P)'!T530&lt;&gt;"Yes",
        DATEDIF('Loan Tape (S&amp;P)'!K530, TODAY(), "M")&lt;18),
    1.10,
    1.00)</f>
        <v/>
      </c>
      <c r="O530">
        <f>IF('Loan Tape (S&amp;P)'!T530="Yes",
    1.35,
    1.00)</f>
        <v/>
      </c>
      <c r="P530">
        <f>IF('Loan Tape (S&amp;P)'!S530="Yes",
    1.15,
    1.00)</f>
        <v/>
      </c>
      <c r="Q530">
        <f>IF('Loan Tape (S&amp;P)'!V530="Yes",
    1.20,
    1.00)</f>
        <v/>
      </c>
      <c r="T530">
        <f>LET(
    payment_method,'Loan Tape (S&amp;P)'!P530,
    occupancy,'Loan Tape (S&amp;P)'!N530,
    maturity_date,'Loan Tape (S&amp;P)'!L530,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1">
      <c r="J531">
        <f>LET(
    lien,'Loan Tape (S&amp;P)'!Q531,
    IF(lien="First",1.00,
        IF(lien="Second",1.50,
            1.70)))</f>
        <v/>
      </c>
      <c r="K531">
        <f>LET(
    purpose,'Loan Tape (S&amp;P)'!R531,
    IF(purpose="Purchase",1.00,
        IF(purpose="Remortgage",1.00,
            1.20)))</f>
        <v/>
      </c>
      <c r="L531">
        <f>LET(
    arrears_months,'Loan Tape (S&amp;P)'!AN531,
    IF(arrears_months=0,1.00,
    IF(arrears_months=1,3.00,
    IF(arrears_months=2,5.00,
    IF(arrears_months=3,8.00,
    IF(arrears_months=4,10.00,
    IF(arrears_months=5,12.00,15.00)))))))</f>
        <v/>
      </c>
      <c r="M531">
        <f>LET(
    seasoning_years,DATEDIF('Loan Tape (S&amp;P)'!K531,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1">
        <f>IF(AND('Loan Tape (S&amp;P)'!U531="Yes",
        'Loan Tape (S&amp;P)'!T531&lt;&gt;"Yes",
        DATEDIF('Loan Tape (S&amp;P)'!K531, TODAY(), "M")&lt;18),
    1.10,
    1.00)</f>
        <v/>
      </c>
      <c r="O531">
        <f>IF('Loan Tape (S&amp;P)'!T531="Yes",
    1.35,
    1.00)</f>
        <v/>
      </c>
      <c r="P531">
        <f>IF('Loan Tape (S&amp;P)'!S531="Yes",
    1.15,
    1.00)</f>
        <v/>
      </c>
      <c r="Q531">
        <f>IF('Loan Tape (S&amp;P)'!V531="Yes",
    1.20,
    1.00)</f>
        <v/>
      </c>
      <c r="T531">
        <f>LET(
    payment_method,'Loan Tape (S&amp;P)'!P531,
    occupancy,'Loan Tape (S&amp;P)'!N531,
    maturity_date,'Loan Tape (S&amp;P)'!L531,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2">
      <c r="J532">
        <f>LET(
    lien,'Loan Tape (S&amp;P)'!Q532,
    IF(lien="First",1.00,
        IF(lien="Second",1.50,
            1.70)))</f>
        <v/>
      </c>
      <c r="K532">
        <f>LET(
    purpose,'Loan Tape (S&amp;P)'!R532,
    IF(purpose="Purchase",1.00,
        IF(purpose="Remortgage",1.00,
            1.20)))</f>
        <v/>
      </c>
      <c r="L532">
        <f>LET(
    arrears_months,'Loan Tape (S&amp;P)'!AN532,
    IF(arrears_months=0,1.00,
    IF(arrears_months=1,3.00,
    IF(arrears_months=2,5.00,
    IF(arrears_months=3,8.00,
    IF(arrears_months=4,10.00,
    IF(arrears_months=5,12.00,15.00)))))))</f>
        <v/>
      </c>
      <c r="M532">
        <f>LET(
    seasoning_years,DATEDIF('Loan Tape (S&amp;P)'!K532,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2">
        <f>IF(AND('Loan Tape (S&amp;P)'!U532="Yes",
        'Loan Tape (S&amp;P)'!T532&lt;&gt;"Yes",
        DATEDIF('Loan Tape (S&amp;P)'!K532, TODAY(), "M")&lt;18),
    1.10,
    1.00)</f>
        <v/>
      </c>
      <c r="O532">
        <f>IF('Loan Tape (S&amp;P)'!T532="Yes",
    1.35,
    1.00)</f>
        <v/>
      </c>
      <c r="P532">
        <f>IF('Loan Tape (S&amp;P)'!S532="Yes",
    1.15,
    1.00)</f>
        <v/>
      </c>
      <c r="Q532">
        <f>IF('Loan Tape (S&amp;P)'!V532="Yes",
    1.20,
    1.00)</f>
        <v/>
      </c>
      <c r="T532">
        <f>LET(
    payment_method,'Loan Tape (S&amp;P)'!P532,
    occupancy,'Loan Tape (S&amp;P)'!N532,
    maturity_date,'Loan Tape (S&amp;P)'!L532,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3">
      <c r="J533">
        <f>LET(
    lien,'Loan Tape (S&amp;P)'!Q533,
    IF(lien="First",1.00,
        IF(lien="Second",1.50,
            1.70)))</f>
        <v/>
      </c>
      <c r="K533">
        <f>LET(
    purpose,'Loan Tape (S&amp;P)'!R533,
    IF(purpose="Purchase",1.00,
        IF(purpose="Remortgage",1.00,
            1.20)))</f>
        <v/>
      </c>
      <c r="L533">
        <f>LET(
    arrears_months,'Loan Tape (S&amp;P)'!AN533,
    IF(arrears_months=0,1.00,
    IF(arrears_months=1,3.00,
    IF(arrears_months=2,5.00,
    IF(arrears_months=3,8.00,
    IF(arrears_months=4,10.00,
    IF(arrears_months=5,12.00,15.00)))))))</f>
        <v/>
      </c>
      <c r="M533">
        <f>LET(
    seasoning_years,DATEDIF('Loan Tape (S&amp;P)'!K533,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3">
        <f>IF(AND('Loan Tape (S&amp;P)'!U533="Yes",
        'Loan Tape (S&amp;P)'!T533&lt;&gt;"Yes",
        DATEDIF('Loan Tape (S&amp;P)'!K533, TODAY(), "M")&lt;18),
    1.10,
    1.00)</f>
        <v/>
      </c>
      <c r="O533">
        <f>IF('Loan Tape (S&amp;P)'!T533="Yes",
    1.35,
    1.00)</f>
        <v/>
      </c>
      <c r="P533">
        <f>IF('Loan Tape (S&amp;P)'!S533="Yes",
    1.15,
    1.00)</f>
        <v/>
      </c>
      <c r="Q533">
        <f>IF('Loan Tape (S&amp;P)'!V533="Yes",
    1.20,
    1.00)</f>
        <v/>
      </c>
      <c r="T533">
        <f>LET(
    payment_method,'Loan Tape (S&amp;P)'!P533,
    occupancy,'Loan Tape (S&amp;P)'!N533,
    maturity_date,'Loan Tape (S&amp;P)'!L533,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4">
      <c r="J534">
        <f>LET(
    lien,'Loan Tape (S&amp;P)'!Q534,
    IF(lien="First",1.00,
        IF(lien="Second",1.50,
            1.70)))</f>
        <v/>
      </c>
      <c r="K534">
        <f>LET(
    purpose,'Loan Tape (S&amp;P)'!R534,
    IF(purpose="Purchase",1.00,
        IF(purpose="Remortgage",1.00,
            1.20)))</f>
        <v/>
      </c>
      <c r="L534">
        <f>LET(
    arrears_months,'Loan Tape (S&amp;P)'!AN534,
    IF(arrears_months=0,1.00,
    IF(arrears_months=1,3.00,
    IF(arrears_months=2,5.00,
    IF(arrears_months=3,8.00,
    IF(arrears_months=4,10.00,
    IF(arrears_months=5,12.00,15.00)))))))</f>
        <v/>
      </c>
      <c r="M534">
        <f>LET(
    seasoning_years,DATEDIF('Loan Tape (S&amp;P)'!K534,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4">
        <f>IF(AND('Loan Tape (S&amp;P)'!U534="Yes",
        'Loan Tape (S&amp;P)'!T534&lt;&gt;"Yes",
        DATEDIF('Loan Tape (S&amp;P)'!K534, TODAY(), "M")&lt;18),
    1.10,
    1.00)</f>
        <v/>
      </c>
      <c r="O534">
        <f>IF('Loan Tape (S&amp;P)'!T534="Yes",
    1.35,
    1.00)</f>
        <v/>
      </c>
      <c r="P534">
        <f>IF('Loan Tape (S&amp;P)'!S534="Yes",
    1.15,
    1.00)</f>
        <v/>
      </c>
      <c r="Q534">
        <f>IF('Loan Tape (S&amp;P)'!V534="Yes",
    1.20,
    1.00)</f>
        <v/>
      </c>
      <c r="T534">
        <f>LET(
    payment_method,'Loan Tape (S&amp;P)'!P534,
    occupancy,'Loan Tape (S&amp;P)'!N534,
    maturity_date,'Loan Tape (S&amp;P)'!L534,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5">
      <c r="J535">
        <f>LET(
    lien,'Loan Tape (S&amp;P)'!Q535,
    IF(lien="First",1.00,
        IF(lien="Second",1.50,
            1.70)))</f>
        <v/>
      </c>
      <c r="K535">
        <f>LET(
    purpose,'Loan Tape (S&amp;P)'!R535,
    IF(purpose="Purchase",1.00,
        IF(purpose="Remortgage",1.00,
            1.20)))</f>
        <v/>
      </c>
      <c r="L535">
        <f>LET(
    arrears_months,'Loan Tape (S&amp;P)'!AN535,
    IF(arrears_months=0,1.00,
    IF(arrears_months=1,3.00,
    IF(arrears_months=2,5.00,
    IF(arrears_months=3,8.00,
    IF(arrears_months=4,10.00,
    IF(arrears_months=5,12.00,15.00)))))))</f>
        <v/>
      </c>
      <c r="M535">
        <f>LET(
    seasoning_years,DATEDIF('Loan Tape (S&amp;P)'!K535,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5">
        <f>IF(AND('Loan Tape (S&amp;P)'!U535="Yes",
        'Loan Tape (S&amp;P)'!T535&lt;&gt;"Yes",
        DATEDIF('Loan Tape (S&amp;P)'!K535, TODAY(), "M")&lt;18),
    1.10,
    1.00)</f>
        <v/>
      </c>
      <c r="O535">
        <f>IF('Loan Tape (S&amp;P)'!T535="Yes",
    1.35,
    1.00)</f>
        <v/>
      </c>
      <c r="P535">
        <f>IF('Loan Tape (S&amp;P)'!S535="Yes",
    1.15,
    1.00)</f>
        <v/>
      </c>
      <c r="Q535">
        <f>IF('Loan Tape (S&amp;P)'!V535="Yes",
    1.20,
    1.00)</f>
        <v/>
      </c>
      <c r="T535">
        <f>LET(
    payment_method,'Loan Tape (S&amp;P)'!P535,
    occupancy,'Loan Tape (S&amp;P)'!N535,
    maturity_date,'Loan Tape (S&amp;P)'!L535,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6">
      <c r="J536">
        <f>LET(
    lien,'Loan Tape (S&amp;P)'!Q536,
    IF(lien="First",1.00,
        IF(lien="Second",1.50,
            1.70)))</f>
        <v/>
      </c>
      <c r="K536">
        <f>LET(
    purpose,'Loan Tape (S&amp;P)'!R536,
    IF(purpose="Purchase",1.00,
        IF(purpose="Remortgage",1.00,
            1.20)))</f>
        <v/>
      </c>
      <c r="L536">
        <f>LET(
    arrears_months,'Loan Tape (S&amp;P)'!AN536,
    IF(arrears_months=0,1.00,
    IF(arrears_months=1,3.00,
    IF(arrears_months=2,5.00,
    IF(arrears_months=3,8.00,
    IF(arrears_months=4,10.00,
    IF(arrears_months=5,12.00,15.00)))))))</f>
        <v/>
      </c>
      <c r="M536">
        <f>LET(
    seasoning_years,DATEDIF('Loan Tape (S&amp;P)'!K536,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6">
        <f>IF(AND('Loan Tape (S&amp;P)'!U536="Yes",
        'Loan Tape (S&amp;P)'!T536&lt;&gt;"Yes",
        DATEDIF('Loan Tape (S&amp;P)'!K536, TODAY(), "M")&lt;18),
    1.10,
    1.00)</f>
        <v/>
      </c>
      <c r="O536">
        <f>IF('Loan Tape (S&amp;P)'!T536="Yes",
    1.35,
    1.00)</f>
        <v/>
      </c>
      <c r="P536">
        <f>IF('Loan Tape (S&amp;P)'!S536="Yes",
    1.15,
    1.00)</f>
        <v/>
      </c>
      <c r="Q536">
        <f>IF('Loan Tape (S&amp;P)'!V536="Yes",
    1.20,
    1.00)</f>
        <v/>
      </c>
      <c r="T536">
        <f>LET(
    payment_method,'Loan Tape (S&amp;P)'!P536,
    occupancy,'Loan Tape (S&amp;P)'!N536,
    maturity_date,'Loan Tape (S&amp;P)'!L536,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7">
      <c r="J537">
        <f>LET(
    lien,'Loan Tape (S&amp;P)'!Q537,
    IF(lien="First",1.00,
        IF(lien="Second",1.50,
            1.70)))</f>
        <v/>
      </c>
      <c r="K537">
        <f>LET(
    purpose,'Loan Tape (S&amp;P)'!R537,
    IF(purpose="Purchase",1.00,
        IF(purpose="Remortgage",1.00,
            1.20)))</f>
        <v/>
      </c>
      <c r="L537">
        <f>LET(
    arrears_months,'Loan Tape (S&amp;P)'!AN537,
    IF(arrears_months=0,1.00,
    IF(arrears_months=1,3.00,
    IF(arrears_months=2,5.00,
    IF(arrears_months=3,8.00,
    IF(arrears_months=4,10.00,
    IF(arrears_months=5,12.00,15.00)))))))</f>
        <v/>
      </c>
      <c r="M537">
        <f>LET(
    seasoning_years,DATEDIF('Loan Tape (S&amp;P)'!K537,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7">
        <f>IF(AND('Loan Tape (S&amp;P)'!U537="Yes",
        'Loan Tape (S&amp;P)'!T537&lt;&gt;"Yes",
        DATEDIF('Loan Tape (S&amp;P)'!K537, TODAY(), "M")&lt;18),
    1.10,
    1.00)</f>
        <v/>
      </c>
      <c r="O537">
        <f>IF('Loan Tape (S&amp;P)'!T537="Yes",
    1.35,
    1.00)</f>
        <v/>
      </c>
      <c r="P537">
        <f>IF('Loan Tape (S&amp;P)'!S537="Yes",
    1.15,
    1.00)</f>
        <v/>
      </c>
      <c r="Q537">
        <f>IF('Loan Tape (S&amp;P)'!V537="Yes",
    1.20,
    1.00)</f>
        <v/>
      </c>
      <c r="T537">
        <f>LET(
    payment_method,'Loan Tape (S&amp;P)'!P537,
    occupancy,'Loan Tape (S&amp;P)'!N537,
    maturity_date,'Loan Tape (S&amp;P)'!L537,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8">
      <c r="J538">
        <f>LET(
    lien,'Loan Tape (S&amp;P)'!Q538,
    IF(lien="First",1.00,
        IF(lien="Second",1.50,
            1.70)))</f>
        <v/>
      </c>
      <c r="K538">
        <f>LET(
    purpose,'Loan Tape (S&amp;P)'!R538,
    IF(purpose="Purchase",1.00,
        IF(purpose="Remortgage",1.00,
            1.20)))</f>
        <v/>
      </c>
      <c r="L538">
        <f>LET(
    arrears_months,'Loan Tape (S&amp;P)'!AN538,
    IF(arrears_months=0,1.00,
    IF(arrears_months=1,3.00,
    IF(arrears_months=2,5.00,
    IF(arrears_months=3,8.00,
    IF(arrears_months=4,10.00,
    IF(arrears_months=5,12.00,15.00)))))))</f>
        <v/>
      </c>
      <c r="M538">
        <f>LET(
    seasoning_years,DATEDIF('Loan Tape (S&amp;P)'!K538,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8">
        <f>IF(AND('Loan Tape (S&amp;P)'!U538="Yes",
        'Loan Tape (S&amp;P)'!T538&lt;&gt;"Yes",
        DATEDIF('Loan Tape (S&amp;P)'!K538, TODAY(), "M")&lt;18),
    1.10,
    1.00)</f>
        <v/>
      </c>
      <c r="O538">
        <f>IF('Loan Tape (S&amp;P)'!T538="Yes",
    1.35,
    1.00)</f>
        <v/>
      </c>
      <c r="P538">
        <f>IF('Loan Tape (S&amp;P)'!S538="Yes",
    1.15,
    1.00)</f>
        <v/>
      </c>
      <c r="Q538">
        <f>IF('Loan Tape (S&amp;P)'!V538="Yes",
    1.20,
    1.00)</f>
        <v/>
      </c>
      <c r="T538">
        <f>LET(
    payment_method,'Loan Tape (S&amp;P)'!P538,
    occupancy,'Loan Tape (S&amp;P)'!N538,
    maturity_date,'Loan Tape (S&amp;P)'!L538,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9">
      <c r="J539">
        <f>LET(
    lien,'Loan Tape (S&amp;P)'!Q539,
    IF(lien="First",1.00,
        IF(lien="Second",1.50,
            1.70)))</f>
        <v/>
      </c>
      <c r="K539">
        <f>LET(
    purpose,'Loan Tape (S&amp;P)'!R539,
    IF(purpose="Purchase",1.00,
        IF(purpose="Remortgage",1.00,
            1.20)))</f>
        <v/>
      </c>
      <c r="L539">
        <f>LET(
    arrears_months,'Loan Tape (S&amp;P)'!AN539,
    IF(arrears_months=0,1.00,
    IF(arrears_months=1,3.00,
    IF(arrears_months=2,5.00,
    IF(arrears_months=3,8.00,
    IF(arrears_months=4,10.00,
    IF(arrears_months=5,12.00,15.00)))))))</f>
        <v/>
      </c>
      <c r="M539">
        <f>LET(
    seasoning_years,DATEDIF('Loan Tape (S&amp;P)'!K539,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9">
        <f>IF(AND('Loan Tape (S&amp;P)'!U539="Yes",
        'Loan Tape (S&amp;P)'!T539&lt;&gt;"Yes",
        DATEDIF('Loan Tape (S&amp;P)'!K539, TODAY(), "M")&lt;18),
    1.10,
    1.00)</f>
        <v/>
      </c>
      <c r="O539">
        <f>IF('Loan Tape (S&amp;P)'!T539="Yes",
    1.35,
    1.00)</f>
        <v/>
      </c>
      <c r="P539">
        <f>IF('Loan Tape (S&amp;P)'!S539="Yes",
    1.15,
    1.00)</f>
        <v/>
      </c>
      <c r="Q539">
        <f>IF('Loan Tape (S&amp;P)'!V539="Yes",
    1.20,
    1.00)</f>
        <v/>
      </c>
      <c r="T539">
        <f>LET(
    payment_method,'Loan Tape (S&amp;P)'!P539,
    occupancy,'Loan Tape (S&amp;P)'!N539,
    maturity_date,'Loan Tape (S&amp;P)'!L539,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0">
      <c r="J540">
        <f>LET(
    lien,'Loan Tape (S&amp;P)'!Q540,
    IF(lien="First",1.00,
        IF(lien="Second",1.50,
            1.70)))</f>
        <v/>
      </c>
      <c r="K540">
        <f>LET(
    purpose,'Loan Tape (S&amp;P)'!R540,
    IF(purpose="Purchase",1.00,
        IF(purpose="Remortgage",1.00,
            1.20)))</f>
        <v/>
      </c>
      <c r="L540">
        <f>LET(
    arrears_months,'Loan Tape (S&amp;P)'!AN540,
    IF(arrears_months=0,1.00,
    IF(arrears_months=1,3.00,
    IF(arrears_months=2,5.00,
    IF(arrears_months=3,8.00,
    IF(arrears_months=4,10.00,
    IF(arrears_months=5,12.00,15.00)))))))</f>
        <v/>
      </c>
      <c r="M540">
        <f>LET(
    seasoning_years,DATEDIF('Loan Tape (S&amp;P)'!K540,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0">
        <f>IF(AND('Loan Tape (S&amp;P)'!U540="Yes",
        'Loan Tape (S&amp;P)'!T540&lt;&gt;"Yes",
        DATEDIF('Loan Tape (S&amp;P)'!K540, TODAY(), "M")&lt;18),
    1.10,
    1.00)</f>
        <v/>
      </c>
      <c r="O540">
        <f>IF('Loan Tape (S&amp;P)'!T540="Yes",
    1.35,
    1.00)</f>
        <v/>
      </c>
      <c r="P540">
        <f>IF('Loan Tape (S&amp;P)'!S540="Yes",
    1.15,
    1.00)</f>
        <v/>
      </c>
      <c r="Q540">
        <f>IF('Loan Tape (S&amp;P)'!V540="Yes",
    1.20,
    1.00)</f>
        <v/>
      </c>
      <c r="T540">
        <f>LET(
    payment_method,'Loan Tape (S&amp;P)'!P540,
    occupancy,'Loan Tape (S&amp;P)'!N540,
    maturity_date,'Loan Tape (S&amp;P)'!L540,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1">
      <c r="J541">
        <f>LET(
    lien,'Loan Tape (S&amp;P)'!Q541,
    IF(lien="First",1.00,
        IF(lien="Second",1.50,
            1.70)))</f>
        <v/>
      </c>
      <c r="K541">
        <f>LET(
    purpose,'Loan Tape (S&amp;P)'!R541,
    IF(purpose="Purchase",1.00,
        IF(purpose="Remortgage",1.00,
            1.20)))</f>
        <v/>
      </c>
      <c r="L541">
        <f>LET(
    arrears_months,'Loan Tape (S&amp;P)'!AN541,
    IF(arrears_months=0,1.00,
    IF(arrears_months=1,3.00,
    IF(arrears_months=2,5.00,
    IF(arrears_months=3,8.00,
    IF(arrears_months=4,10.00,
    IF(arrears_months=5,12.00,15.00)))))))</f>
        <v/>
      </c>
      <c r="M541">
        <f>LET(
    seasoning_years,DATEDIF('Loan Tape (S&amp;P)'!K541,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1">
        <f>IF(AND('Loan Tape (S&amp;P)'!U541="Yes",
        'Loan Tape (S&amp;P)'!T541&lt;&gt;"Yes",
        DATEDIF('Loan Tape (S&amp;P)'!K541, TODAY(), "M")&lt;18),
    1.10,
    1.00)</f>
        <v/>
      </c>
      <c r="O541">
        <f>IF('Loan Tape (S&amp;P)'!T541="Yes",
    1.35,
    1.00)</f>
        <v/>
      </c>
      <c r="P541">
        <f>IF('Loan Tape (S&amp;P)'!S541="Yes",
    1.15,
    1.00)</f>
        <v/>
      </c>
      <c r="Q541">
        <f>IF('Loan Tape (S&amp;P)'!V541="Yes",
    1.20,
    1.00)</f>
        <v/>
      </c>
      <c r="T541">
        <f>LET(
    payment_method,'Loan Tape (S&amp;P)'!P541,
    occupancy,'Loan Tape (S&amp;P)'!N541,
    maturity_date,'Loan Tape (S&amp;P)'!L541,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2">
      <c r="J542">
        <f>LET(
    lien,'Loan Tape (S&amp;P)'!Q542,
    IF(lien="First",1.00,
        IF(lien="Second",1.50,
            1.70)))</f>
        <v/>
      </c>
      <c r="K542">
        <f>LET(
    purpose,'Loan Tape (S&amp;P)'!R542,
    IF(purpose="Purchase",1.00,
        IF(purpose="Remortgage",1.00,
            1.20)))</f>
        <v/>
      </c>
      <c r="L542">
        <f>LET(
    arrears_months,'Loan Tape (S&amp;P)'!AN542,
    IF(arrears_months=0,1.00,
    IF(arrears_months=1,3.00,
    IF(arrears_months=2,5.00,
    IF(arrears_months=3,8.00,
    IF(arrears_months=4,10.00,
    IF(arrears_months=5,12.00,15.00)))))))</f>
        <v/>
      </c>
      <c r="M542">
        <f>LET(
    seasoning_years,DATEDIF('Loan Tape (S&amp;P)'!K542,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2">
        <f>IF(AND('Loan Tape (S&amp;P)'!U542="Yes",
        'Loan Tape (S&amp;P)'!T542&lt;&gt;"Yes",
        DATEDIF('Loan Tape (S&amp;P)'!K542, TODAY(), "M")&lt;18),
    1.10,
    1.00)</f>
        <v/>
      </c>
      <c r="O542">
        <f>IF('Loan Tape (S&amp;P)'!T542="Yes",
    1.35,
    1.00)</f>
        <v/>
      </c>
      <c r="P542">
        <f>IF('Loan Tape (S&amp;P)'!S542="Yes",
    1.15,
    1.00)</f>
        <v/>
      </c>
      <c r="Q542">
        <f>IF('Loan Tape (S&amp;P)'!V542="Yes",
    1.20,
    1.00)</f>
        <v/>
      </c>
      <c r="T542">
        <f>LET(
    payment_method,'Loan Tape (S&amp;P)'!P542,
    occupancy,'Loan Tape (S&amp;P)'!N542,
    maturity_date,'Loan Tape (S&amp;P)'!L542,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3">
      <c r="J543">
        <f>LET(
    lien,'Loan Tape (S&amp;P)'!Q543,
    IF(lien="First",1.00,
        IF(lien="Second",1.50,
            1.70)))</f>
        <v/>
      </c>
      <c r="K543">
        <f>LET(
    purpose,'Loan Tape (S&amp;P)'!R543,
    IF(purpose="Purchase",1.00,
        IF(purpose="Remortgage",1.00,
            1.20)))</f>
        <v/>
      </c>
      <c r="L543">
        <f>LET(
    arrears_months,'Loan Tape (S&amp;P)'!AN543,
    IF(arrears_months=0,1.00,
    IF(arrears_months=1,3.00,
    IF(arrears_months=2,5.00,
    IF(arrears_months=3,8.00,
    IF(arrears_months=4,10.00,
    IF(arrears_months=5,12.00,15.00)))))))</f>
        <v/>
      </c>
      <c r="M543">
        <f>LET(
    seasoning_years,DATEDIF('Loan Tape (S&amp;P)'!K543,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3">
        <f>IF(AND('Loan Tape (S&amp;P)'!U543="Yes",
        'Loan Tape (S&amp;P)'!T543&lt;&gt;"Yes",
        DATEDIF('Loan Tape (S&amp;P)'!K543, TODAY(), "M")&lt;18),
    1.10,
    1.00)</f>
        <v/>
      </c>
      <c r="O543">
        <f>IF('Loan Tape (S&amp;P)'!T543="Yes",
    1.35,
    1.00)</f>
        <v/>
      </c>
      <c r="P543">
        <f>IF('Loan Tape (S&amp;P)'!S543="Yes",
    1.15,
    1.00)</f>
        <v/>
      </c>
      <c r="Q543">
        <f>IF('Loan Tape (S&amp;P)'!V543="Yes",
    1.20,
    1.00)</f>
        <v/>
      </c>
      <c r="T543">
        <f>LET(
    payment_method,'Loan Tape (S&amp;P)'!P543,
    occupancy,'Loan Tape (S&amp;P)'!N543,
    maturity_date,'Loan Tape (S&amp;P)'!L543,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4">
      <c r="J544">
        <f>LET(
    lien,'Loan Tape (S&amp;P)'!Q544,
    IF(lien="First",1.00,
        IF(lien="Second",1.50,
            1.70)))</f>
        <v/>
      </c>
      <c r="K544">
        <f>LET(
    purpose,'Loan Tape (S&amp;P)'!R544,
    IF(purpose="Purchase",1.00,
        IF(purpose="Remortgage",1.00,
            1.20)))</f>
        <v/>
      </c>
      <c r="L544">
        <f>LET(
    arrears_months,'Loan Tape (S&amp;P)'!AN544,
    IF(arrears_months=0,1.00,
    IF(arrears_months=1,3.00,
    IF(arrears_months=2,5.00,
    IF(arrears_months=3,8.00,
    IF(arrears_months=4,10.00,
    IF(arrears_months=5,12.00,15.00)))))))</f>
        <v/>
      </c>
      <c r="M544">
        <f>LET(
    seasoning_years,DATEDIF('Loan Tape (S&amp;P)'!K544,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4">
        <f>IF(AND('Loan Tape (S&amp;P)'!U544="Yes",
        'Loan Tape (S&amp;P)'!T544&lt;&gt;"Yes",
        DATEDIF('Loan Tape (S&amp;P)'!K544, TODAY(), "M")&lt;18),
    1.10,
    1.00)</f>
        <v/>
      </c>
      <c r="O544">
        <f>IF('Loan Tape (S&amp;P)'!T544="Yes",
    1.35,
    1.00)</f>
        <v/>
      </c>
      <c r="P544">
        <f>IF('Loan Tape (S&amp;P)'!S544="Yes",
    1.15,
    1.00)</f>
        <v/>
      </c>
      <c r="Q544">
        <f>IF('Loan Tape (S&amp;P)'!V544="Yes",
    1.20,
    1.00)</f>
        <v/>
      </c>
      <c r="T544">
        <f>LET(
    payment_method,'Loan Tape (S&amp;P)'!P544,
    occupancy,'Loan Tape (S&amp;P)'!N544,
    maturity_date,'Loan Tape (S&amp;P)'!L544,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5">
      <c r="J545">
        <f>LET(
    lien,'Loan Tape (S&amp;P)'!Q545,
    IF(lien="First",1.00,
        IF(lien="Second",1.50,
            1.70)))</f>
        <v/>
      </c>
      <c r="K545">
        <f>LET(
    purpose,'Loan Tape (S&amp;P)'!R545,
    IF(purpose="Purchase",1.00,
        IF(purpose="Remortgage",1.00,
            1.20)))</f>
        <v/>
      </c>
      <c r="L545">
        <f>LET(
    arrears_months,'Loan Tape (S&amp;P)'!AN545,
    IF(arrears_months=0,1.00,
    IF(arrears_months=1,3.00,
    IF(arrears_months=2,5.00,
    IF(arrears_months=3,8.00,
    IF(arrears_months=4,10.00,
    IF(arrears_months=5,12.00,15.00)))))))</f>
        <v/>
      </c>
      <c r="M545">
        <f>LET(
    seasoning_years,DATEDIF('Loan Tape (S&amp;P)'!K545,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5">
        <f>IF(AND('Loan Tape (S&amp;P)'!U545="Yes",
        'Loan Tape (S&amp;P)'!T545&lt;&gt;"Yes",
        DATEDIF('Loan Tape (S&amp;P)'!K545, TODAY(), "M")&lt;18),
    1.10,
    1.00)</f>
        <v/>
      </c>
      <c r="O545">
        <f>IF('Loan Tape (S&amp;P)'!T545="Yes",
    1.35,
    1.00)</f>
        <v/>
      </c>
      <c r="P545">
        <f>IF('Loan Tape (S&amp;P)'!S545="Yes",
    1.15,
    1.00)</f>
        <v/>
      </c>
      <c r="Q545">
        <f>IF('Loan Tape (S&amp;P)'!V545="Yes",
    1.20,
    1.00)</f>
        <v/>
      </c>
      <c r="T545">
        <f>LET(
    payment_method,'Loan Tape (S&amp;P)'!P545,
    occupancy,'Loan Tape (S&amp;P)'!N545,
    maturity_date,'Loan Tape (S&amp;P)'!L545,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6">
      <c r="J546">
        <f>LET(
    lien,'Loan Tape (S&amp;P)'!Q546,
    IF(lien="First",1.00,
        IF(lien="Second",1.50,
            1.70)))</f>
        <v/>
      </c>
      <c r="K546">
        <f>LET(
    purpose,'Loan Tape (S&amp;P)'!R546,
    IF(purpose="Purchase",1.00,
        IF(purpose="Remortgage",1.00,
            1.20)))</f>
        <v/>
      </c>
      <c r="L546">
        <f>LET(
    arrears_months,'Loan Tape (S&amp;P)'!AN546,
    IF(arrears_months=0,1.00,
    IF(arrears_months=1,3.00,
    IF(arrears_months=2,5.00,
    IF(arrears_months=3,8.00,
    IF(arrears_months=4,10.00,
    IF(arrears_months=5,12.00,15.00)))))))</f>
        <v/>
      </c>
      <c r="M546">
        <f>LET(
    seasoning_years,DATEDIF('Loan Tape (S&amp;P)'!K546,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6">
        <f>IF(AND('Loan Tape (S&amp;P)'!U546="Yes",
        'Loan Tape (S&amp;P)'!T546&lt;&gt;"Yes",
        DATEDIF('Loan Tape (S&amp;P)'!K546, TODAY(), "M")&lt;18),
    1.10,
    1.00)</f>
        <v/>
      </c>
      <c r="O546">
        <f>IF('Loan Tape (S&amp;P)'!T546="Yes",
    1.35,
    1.00)</f>
        <v/>
      </c>
      <c r="P546">
        <f>IF('Loan Tape (S&amp;P)'!S546="Yes",
    1.15,
    1.00)</f>
        <v/>
      </c>
      <c r="Q546">
        <f>IF('Loan Tape (S&amp;P)'!V546="Yes",
    1.20,
    1.00)</f>
        <v/>
      </c>
      <c r="T546">
        <f>LET(
    payment_method,'Loan Tape (S&amp;P)'!P546,
    occupancy,'Loan Tape (S&amp;P)'!N546,
    maturity_date,'Loan Tape (S&amp;P)'!L546,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7">
      <c r="J547">
        <f>LET(
    lien,'Loan Tape (S&amp;P)'!Q547,
    IF(lien="First",1.00,
        IF(lien="Second",1.50,
            1.70)))</f>
        <v/>
      </c>
      <c r="K547">
        <f>LET(
    purpose,'Loan Tape (S&amp;P)'!R547,
    IF(purpose="Purchase",1.00,
        IF(purpose="Remortgage",1.00,
            1.20)))</f>
        <v/>
      </c>
      <c r="L547">
        <f>LET(
    arrears_months,'Loan Tape (S&amp;P)'!AN547,
    IF(arrears_months=0,1.00,
    IF(arrears_months=1,3.00,
    IF(arrears_months=2,5.00,
    IF(arrears_months=3,8.00,
    IF(arrears_months=4,10.00,
    IF(arrears_months=5,12.00,15.00)))))))</f>
        <v/>
      </c>
      <c r="M547">
        <f>LET(
    seasoning_years,DATEDIF('Loan Tape (S&amp;P)'!K547,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7">
        <f>IF(AND('Loan Tape (S&amp;P)'!U547="Yes",
        'Loan Tape (S&amp;P)'!T547&lt;&gt;"Yes",
        DATEDIF('Loan Tape (S&amp;P)'!K547, TODAY(), "M")&lt;18),
    1.10,
    1.00)</f>
        <v/>
      </c>
      <c r="O547">
        <f>IF('Loan Tape (S&amp;P)'!T547="Yes",
    1.35,
    1.00)</f>
        <v/>
      </c>
      <c r="P547">
        <f>IF('Loan Tape (S&amp;P)'!S547="Yes",
    1.15,
    1.00)</f>
        <v/>
      </c>
      <c r="Q547">
        <f>IF('Loan Tape (S&amp;P)'!V547="Yes",
    1.20,
    1.00)</f>
        <v/>
      </c>
      <c r="T547">
        <f>LET(
    payment_method,'Loan Tape (S&amp;P)'!P547,
    occupancy,'Loan Tape (S&amp;P)'!N547,
    maturity_date,'Loan Tape (S&amp;P)'!L547,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8">
      <c r="J548">
        <f>LET(
    lien,'Loan Tape (S&amp;P)'!Q548,
    IF(lien="First",1.00,
        IF(lien="Second",1.50,
            1.70)))</f>
        <v/>
      </c>
      <c r="K548">
        <f>LET(
    purpose,'Loan Tape (S&amp;P)'!R548,
    IF(purpose="Purchase",1.00,
        IF(purpose="Remortgage",1.00,
            1.20)))</f>
        <v/>
      </c>
      <c r="L548">
        <f>LET(
    arrears_months,'Loan Tape (S&amp;P)'!AN548,
    IF(arrears_months=0,1.00,
    IF(arrears_months=1,3.00,
    IF(arrears_months=2,5.00,
    IF(arrears_months=3,8.00,
    IF(arrears_months=4,10.00,
    IF(arrears_months=5,12.00,15.00)))))))</f>
        <v/>
      </c>
      <c r="M548">
        <f>LET(
    seasoning_years,DATEDIF('Loan Tape (S&amp;P)'!K548,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8">
        <f>IF(AND('Loan Tape (S&amp;P)'!U548="Yes",
        'Loan Tape (S&amp;P)'!T548&lt;&gt;"Yes",
        DATEDIF('Loan Tape (S&amp;P)'!K548, TODAY(), "M")&lt;18),
    1.10,
    1.00)</f>
        <v/>
      </c>
      <c r="O548">
        <f>IF('Loan Tape (S&amp;P)'!T548="Yes",
    1.35,
    1.00)</f>
        <v/>
      </c>
      <c r="P548">
        <f>IF('Loan Tape (S&amp;P)'!S548="Yes",
    1.15,
    1.00)</f>
        <v/>
      </c>
      <c r="Q548">
        <f>IF('Loan Tape (S&amp;P)'!V548="Yes",
    1.20,
    1.00)</f>
        <v/>
      </c>
      <c r="T548">
        <f>LET(
    payment_method,'Loan Tape (S&amp;P)'!P548,
    occupancy,'Loan Tape (S&amp;P)'!N548,
    maturity_date,'Loan Tape (S&amp;P)'!L548,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9">
      <c r="J549">
        <f>LET(
    lien,'Loan Tape (S&amp;P)'!Q549,
    IF(lien="First",1.00,
        IF(lien="Second",1.50,
            1.70)))</f>
        <v/>
      </c>
      <c r="K549">
        <f>LET(
    purpose,'Loan Tape (S&amp;P)'!R549,
    IF(purpose="Purchase",1.00,
        IF(purpose="Remortgage",1.00,
            1.20)))</f>
        <v/>
      </c>
      <c r="L549">
        <f>LET(
    arrears_months,'Loan Tape (S&amp;P)'!AN549,
    IF(arrears_months=0,1.00,
    IF(arrears_months=1,3.00,
    IF(arrears_months=2,5.00,
    IF(arrears_months=3,8.00,
    IF(arrears_months=4,10.00,
    IF(arrears_months=5,12.00,15.00)))))))</f>
        <v/>
      </c>
      <c r="M549">
        <f>LET(
    seasoning_years,DATEDIF('Loan Tape (S&amp;P)'!K549,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9">
        <f>IF(AND('Loan Tape (S&amp;P)'!U549="Yes",
        'Loan Tape (S&amp;P)'!T549&lt;&gt;"Yes",
        DATEDIF('Loan Tape (S&amp;P)'!K549, TODAY(), "M")&lt;18),
    1.10,
    1.00)</f>
        <v/>
      </c>
      <c r="O549">
        <f>IF('Loan Tape (S&amp;P)'!T549="Yes",
    1.35,
    1.00)</f>
        <v/>
      </c>
      <c r="P549">
        <f>IF('Loan Tape (S&amp;P)'!S549="Yes",
    1.15,
    1.00)</f>
        <v/>
      </c>
      <c r="Q549">
        <f>IF('Loan Tape (S&amp;P)'!V549="Yes",
    1.20,
    1.00)</f>
        <v/>
      </c>
      <c r="T549">
        <f>LET(
    payment_method,'Loan Tape (S&amp;P)'!P549,
    occupancy,'Loan Tape (S&amp;P)'!N549,
    maturity_date,'Loan Tape (S&amp;P)'!L549,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0">
      <c r="J550">
        <f>LET(
    lien,'Loan Tape (S&amp;P)'!Q550,
    IF(lien="First",1.00,
        IF(lien="Second",1.50,
            1.70)))</f>
        <v/>
      </c>
      <c r="K550">
        <f>LET(
    purpose,'Loan Tape (S&amp;P)'!R550,
    IF(purpose="Purchase",1.00,
        IF(purpose="Remortgage",1.00,
            1.20)))</f>
        <v/>
      </c>
      <c r="L550">
        <f>LET(
    arrears_months,'Loan Tape (S&amp;P)'!AN550,
    IF(arrears_months=0,1.00,
    IF(arrears_months=1,3.00,
    IF(arrears_months=2,5.00,
    IF(arrears_months=3,8.00,
    IF(arrears_months=4,10.00,
    IF(arrears_months=5,12.00,15.00)))))))</f>
        <v/>
      </c>
      <c r="M550">
        <f>LET(
    seasoning_years,DATEDIF('Loan Tape (S&amp;P)'!K550,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0">
        <f>IF(AND('Loan Tape (S&amp;P)'!U550="Yes",
        'Loan Tape (S&amp;P)'!T550&lt;&gt;"Yes",
        DATEDIF('Loan Tape (S&amp;P)'!K550, TODAY(), "M")&lt;18),
    1.10,
    1.00)</f>
        <v/>
      </c>
      <c r="O550">
        <f>IF('Loan Tape (S&amp;P)'!T550="Yes",
    1.35,
    1.00)</f>
        <v/>
      </c>
      <c r="P550">
        <f>IF('Loan Tape (S&amp;P)'!S550="Yes",
    1.15,
    1.00)</f>
        <v/>
      </c>
      <c r="Q550">
        <f>IF('Loan Tape (S&amp;P)'!V550="Yes",
    1.20,
    1.00)</f>
        <v/>
      </c>
      <c r="T550">
        <f>LET(
    payment_method,'Loan Tape (S&amp;P)'!P550,
    occupancy,'Loan Tape (S&amp;P)'!N550,
    maturity_date,'Loan Tape (S&amp;P)'!L550,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1">
      <c r="J551">
        <f>LET(
    lien,'Loan Tape (S&amp;P)'!Q551,
    IF(lien="First",1.00,
        IF(lien="Second",1.50,
            1.70)))</f>
        <v/>
      </c>
      <c r="K551">
        <f>LET(
    purpose,'Loan Tape (S&amp;P)'!R551,
    IF(purpose="Purchase",1.00,
        IF(purpose="Remortgage",1.00,
            1.20)))</f>
        <v/>
      </c>
      <c r="L551">
        <f>LET(
    arrears_months,'Loan Tape (S&amp;P)'!AN551,
    IF(arrears_months=0,1.00,
    IF(arrears_months=1,3.00,
    IF(arrears_months=2,5.00,
    IF(arrears_months=3,8.00,
    IF(arrears_months=4,10.00,
    IF(arrears_months=5,12.00,15.00)))))))</f>
        <v/>
      </c>
      <c r="M551">
        <f>LET(
    seasoning_years,DATEDIF('Loan Tape (S&amp;P)'!K551,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1">
        <f>IF(AND('Loan Tape (S&amp;P)'!U551="Yes",
        'Loan Tape (S&amp;P)'!T551&lt;&gt;"Yes",
        DATEDIF('Loan Tape (S&amp;P)'!K551, TODAY(), "M")&lt;18),
    1.10,
    1.00)</f>
        <v/>
      </c>
      <c r="O551">
        <f>IF('Loan Tape (S&amp;P)'!T551="Yes",
    1.35,
    1.00)</f>
        <v/>
      </c>
      <c r="P551">
        <f>IF('Loan Tape (S&amp;P)'!S551="Yes",
    1.15,
    1.00)</f>
        <v/>
      </c>
      <c r="Q551">
        <f>IF('Loan Tape (S&amp;P)'!V551="Yes",
    1.20,
    1.00)</f>
        <v/>
      </c>
      <c r="T551">
        <f>LET(
    payment_method,'Loan Tape (S&amp;P)'!P551,
    occupancy,'Loan Tape (S&amp;P)'!N551,
    maturity_date,'Loan Tape (S&amp;P)'!L551,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2">
      <c r="J552">
        <f>LET(
    lien,'Loan Tape (S&amp;P)'!Q552,
    IF(lien="First",1.00,
        IF(lien="Second",1.50,
            1.70)))</f>
        <v/>
      </c>
      <c r="K552">
        <f>LET(
    purpose,'Loan Tape (S&amp;P)'!R552,
    IF(purpose="Purchase",1.00,
        IF(purpose="Remortgage",1.00,
            1.20)))</f>
        <v/>
      </c>
      <c r="L552">
        <f>LET(
    arrears_months,'Loan Tape (S&amp;P)'!AN552,
    IF(arrears_months=0,1.00,
    IF(arrears_months=1,3.00,
    IF(arrears_months=2,5.00,
    IF(arrears_months=3,8.00,
    IF(arrears_months=4,10.00,
    IF(arrears_months=5,12.00,15.00)))))))</f>
        <v/>
      </c>
      <c r="M552">
        <f>LET(
    seasoning_years,DATEDIF('Loan Tape (S&amp;P)'!K552,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2">
        <f>IF(AND('Loan Tape (S&amp;P)'!U552="Yes",
        'Loan Tape (S&amp;P)'!T552&lt;&gt;"Yes",
        DATEDIF('Loan Tape (S&amp;P)'!K552, TODAY(), "M")&lt;18),
    1.10,
    1.00)</f>
        <v/>
      </c>
      <c r="O552">
        <f>IF('Loan Tape (S&amp;P)'!T552="Yes",
    1.35,
    1.00)</f>
        <v/>
      </c>
      <c r="P552">
        <f>IF('Loan Tape (S&amp;P)'!S552="Yes",
    1.15,
    1.00)</f>
        <v/>
      </c>
      <c r="Q552">
        <f>IF('Loan Tape (S&amp;P)'!V552="Yes",
    1.20,
    1.00)</f>
        <v/>
      </c>
      <c r="T552">
        <f>LET(
    payment_method,'Loan Tape (S&amp;P)'!P552,
    occupancy,'Loan Tape (S&amp;P)'!N552,
    maturity_date,'Loan Tape (S&amp;P)'!L552,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3">
      <c r="J553">
        <f>LET(
    lien,'Loan Tape (S&amp;P)'!Q553,
    IF(lien="First",1.00,
        IF(lien="Second",1.50,
            1.70)))</f>
        <v/>
      </c>
      <c r="K553">
        <f>LET(
    purpose,'Loan Tape (S&amp;P)'!R553,
    IF(purpose="Purchase",1.00,
        IF(purpose="Remortgage",1.00,
            1.20)))</f>
        <v/>
      </c>
      <c r="L553">
        <f>LET(
    arrears_months,'Loan Tape (S&amp;P)'!AN553,
    IF(arrears_months=0,1.00,
    IF(arrears_months=1,3.00,
    IF(arrears_months=2,5.00,
    IF(arrears_months=3,8.00,
    IF(arrears_months=4,10.00,
    IF(arrears_months=5,12.00,15.00)))))))</f>
        <v/>
      </c>
      <c r="M553">
        <f>LET(
    seasoning_years,DATEDIF('Loan Tape (S&amp;P)'!K553,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3">
        <f>IF(AND('Loan Tape (S&amp;P)'!U553="Yes",
        'Loan Tape (S&amp;P)'!T553&lt;&gt;"Yes",
        DATEDIF('Loan Tape (S&amp;P)'!K553, TODAY(), "M")&lt;18),
    1.10,
    1.00)</f>
        <v/>
      </c>
      <c r="O553">
        <f>IF('Loan Tape (S&amp;P)'!T553="Yes",
    1.35,
    1.00)</f>
        <v/>
      </c>
      <c r="P553">
        <f>IF('Loan Tape (S&amp;P)'!S553="Yes",
    1.15,
    1.00)</f>
        <v/>
      </c>
      <c r="Q553">
        <f>IF('Loan Tape (S&amp;P)'!V553="Yes",
    1.20,
    1.00)</f>
        <v/>
      </c>
      <c r="T553">
        <f>LET(
    payment_method,'Loan Tape (S&amp;P)'!P553,
    occupancy,'Loan Tape (S&amp;P)'!N553,
    maturity_date,'Loan Tape (S&amp;P)'!L553,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4">
      <c r="J554">
        <f>LET(
    lien,'Loan Tape (S&amp;P)'!Q554,
    IF(lien="First",1.00,
        IF(lien="Second",1.50,
            1.70)))</f>
        <v/>
      </c>
      <c r="K554">
        <f>LET(
    purpose,'Loan Tape (S&amp;P)'!R554,
    IF(purpose="Purchase",1.00,
        IF(purpose="Remortgage",1.00,
            1.20)))</f>
        <v/>
      </c>
      <c r="L554">
        <f>LET(
    arrears_months,'Loan Tape (S&amp;P)'!AN554,
    IF(arrears_months=0,1.00,
    IF(arrears_months=1,3.00,
    IF(arrears_months=2,5.00,
    IF(arrears_months=3,8.00,
    IF(arrears_months=4,10.00,
    IF(arrears_months=5,12.00,15.00)))))))</f>
        <v/>
      </c>
      <c r="M554">
        <f>LET(
    seasoning_years,DATEDIF('Loan Tape (S&amp;P)'!K554,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4">
        <f>IF(AND('Loan Tape (S&amp;P)'!U554="Yes",
        'Loan Tape (S&amp;P)'!T554&lt;&gt;"Yes",
        DATEDIF('Loan Tape (S&amp;P)'!K554, TODAY(), "M")&lt;18),
    1.10,
    1.00)</f>
        <v/>
      </c>
      <c r="O554">
        <f>IF('Loan Tape (S&amp;P)'!T554="Yes",
    1.35,
    1.00)</f>
        <v/>
      </c>
      <c r="P554">
        <f>IF('Loan Tape (S&amp;P)'!S554="Yes",
    1.15,
    1.00)</f>
        <v/>
      </c>
      <c r="Q554">
        <f>IF('Loan Tape (S&amp;P)'!V554="Yes",
    1.20,
    1.00)</f>
        <v/>
      </c>
      <c r="T554">
        <f>LET(
    payment_method,'Loan Tape (S&amp;P)'!P554,
    occupancy,'Loan Tape (S&amp;P)'!N554,
    maturity_date,'Loan Tape (S&amp;P)'!L554,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5">
      <c r="J555">
        <f>LET(
    lien,'Loan Tape (S&amp;P)'!Q555,
    IF(lien="First",1.00,
        IF(lien="Second",1.50,
            1.70)))</f>
        <v/>
      </c>
      <c r="K555">
        <f>LET(
    purpose,'Loan Tape (S&amp;P)'!R555,
    IF(purpose="Purchase",1.00,
        IF(purpose="Remortgage",1.00,
            1.20)))</f>
        <v/>
      </c>
      <c r="L555">
        <f>LET(
    arrears_months,'Loan Tape (S&amp;P)'!AN555,
    IF(arrears_months=0,1.00,
    IF(arrears_months=1,3.00,
    IF(arrears_months=2,5.00,
    IF(arrears_months=3,8.00,
    IF(arrears_months=4,10.00,
    IF(arrears_months=5,12.00,15.00)))))))</f>
        <v/>
      </c>
      <c r="M555">
        <f>LET(
    seasoning_years,DATEDIF('Loan Tape (S&amp;P)'!K555,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5">
        <f>IF(AND('Loan Tape (S&amp;P)'!U555="Yes",
        'Loan Tape (S&amp;P)'!T555&lt;&gt;"Yes",
        DATEDIF('Loan Tape (S&amp;P)'!K555, TODAY(), "M")&lt;18),
    1.10,
    1.00)</f>
        <v/>
      </c>
      <c r="O555">
        <f>IF('Loan Tape (S&amp;P)'!T555="Yes",
    1.35,
    1.00)</f>
        <v/>
      </c>
      <c r="P555">
        <f>IF('Loan Tape (S&amp;P)'!S555="Yes",
    1.15,
    1.00)</f>
        <v/>
      </c>
      <c r="Q555">
        <f>IF('Loan Tape (S&amp;P)'!V555="Yes",
    1.20,
    1.00)</f>
        <v/>
      </c>
      <c r="T555">
        <f>LET(
    payment_method,'Loan Tape (S&amp;P)'!P555,
    occupancy,'Loan Tape (S&amp;P)'!N555,
    maturity_date,'Loan Tape (S&amp;P)'!L555,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6">
      <c r="J556">
        <f>LET(
    lien,'Loan Tape (S&amp;P)'!Q556,
    IF(lien="First",1.00,
        IF(lien="Second",1.50,
            1.70)))</f>
        <v/>
      </c>
      <c r="K556">
        <f>LET(
    purpose,'Loan Tape (S&amp;P)'!R556,
    IF(purpose="Purchase",1.00,
        IF(purpose="Remortgage",1.00,
            1.20)))</f>
        <v/>
      </c>
      <c r="L556">
        <f>LET(
    arrears_months,'Loan Tape (S&amp;P)'!AN556,
    IF(arrears_months=0,1.00,
    IF(arrears_months=1,3.00,
    IF(arrears_months=2,5.00,
    IF(arrears_months=3,8.00,
    IF(arrears_months=4,10.00,
    IF(arrears_months=5,12.00,15.00)))))))</f>
        <v/>
      </c>
      <c r="M556">
        <f>LET(
    seasoning_years,DATEDIF('Loan Tape (S&amp;P)'!K556,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6">
        <f>IF(AND('Loan Tape (S&amp;P)'!U556="Yes",
        'Loan Tape (S&amp;P)'!T556&lt;&gt;"Yes",
        DATEDIF('Loan Tape (S&amp;P)'!K556, TODAY(), "M")&lt;18),
    1.10,
    1.00)</f>
        <v/>
      </c>
      <c r="O556">
        <f>IF('Loan Tape (S&amp;P)'!T556="Yes",
    1.35,
    1.00)</f>
        <v/>
      </c>
      <c r="P556">
        <f>IF('Loan Tape (S&amp;P)'!S556="Yes",
    1.15,
    1.00)</f>
        <v/>
      </c>
      <c r="Q556">
        <f>IF('Loan Tape (S&amp;P)'!V556="Yes",
    1.20,
    1.00)</f>
        <v/>
      </c>
      <c r="T556">
        <f>LET(
    payment_method,'Loan Tape (S&amp;P)'!P556,
    occupancy,'Loan Tape (S&amp;P)'!N556,
    maturity_date,'Loan Tape (S&amp;P)'!L556,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7">
      <c r="J557">
        <f>LET(
    lien,'Loan Tape (S&amp;P)'!Q557,
    IF(lien="First",1.00,
        IF(lien="Second",1.50,
            1.70)))</f>
        <v/>
      </c>
      <c r="K557">
        <f>LET(
    purpose,'Loan Tape (S&amp;P)'!R557,
    IF(purpose="Purchase",1.00,
        IF(purpose="Remortgage",1.00,
            1.20)))</f>
        <v/>
      </c>
      <c r="L557">
        <f>LET(
    arrears_months,'Loan Tape (S&amp;P)'!AN557,
    IF(arrears_months=0,1.00,
    IF(arrears_months=1,3.00,
    IF(arrears_months=2,5.00,
    IF(arrears_months=3,8.00,
    IF(arrears_months=4,10.00,
    IF(arrears_months=5,12.00,15.00)))))))</f>
        <v/>
      </c>
      <c r="M557">
        <f>LET(
    seasoning_years,DATEDIF('Loan Tape (S&amp;P)'!K557,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7">
        <f>IF(AND('Loan Tape (S&amp;P)'!U557="Yes",
        'Loan Tape (S&amp;P)'!T557&lt;&gt;"Yes",
        DATEDIF('Loan Tape (S&amp;P)'!K557, TODAY(), "M")&lt;18),
    1.10,
    1.00)</f>
        <v/>
      </c>
      <c r="O557">
        <f>IF('Loan Tape (S&amp;P)'!T557="Yes",
    1.35,
    1.00)</f>
        <v/>
      </c>
      <c r="P557">
        <f>IF('Loan Tape (S&amp;P)'!S557="Yes",
    1.15,
    1.00)</f>
        <v/>
      </c>
      <c r="Q557">
        <f>IF('Loan Tape (S&amp;P)'!V557="Yes",
    1.20,
    1.00)</f>
        <v/>
      </c>
      <c r="T557">
        <f>LET(
    payment_method,'Loan Tape (S&amp;P)'!P557,
    occupancy,'Loan Tape (S&amp;P)'!N557,
    maturity_date,'Loan Tape (S&amp;P)'!L557,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8">
      <c r="J558">
        <f>LET(
    lien,'Loan Tape (S&amp;P)'!Q558,
    IF(lien="First",1.00,
        IF(lien="Second",1.50,
            1.70)))</f>
        <v/>
      </c>
      <c r="K558">
        <f>LET(
    purpose,'Loan Tape (S&amp;P)'!R558,
    IF(purpose="Purchase",1.00,
        IF(purpose="Remortgage",1.00,
            1.20)))</f>
        <v/>
      </c>
      <c r="L558">
        <f>LET(
    arrears_months,'Loan Tape (S&amp;P)'!AN558,
    IF(arrears_months=0,1.00,
    IF(arrears_months=1,3.00,
    IF(arrears_months=2,5.00,
    IF(arrears_months=3,8.00,
    IF(arrears_months=4,10.00,
    IF(arrears_months=5,12.00,15.00)))))))</f>
        <v/>
      </c>
      <c r="M558">
        <f>LET(
    seasoning_years,DATEDIF('Loan Tape (S&amp;P)'!K558,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8">
        <f>IF(AND('Loan Tape (S&amp;P)'!U558="Yes",
        'Loan Tape (S&amp;P)'!T558&lt;&gt;"Yes",
        DATEDIF('Loan Tape (S&amp;P)'!K558, TODAY(), "M")&lt;18),
    1.10,
    1.00)</f>
        <v/>
      </c>
      <c r="O558">
        <f>IF('Loan Tape (S&amp;P)'!T558="Yes",
    1.35,
    1.00)</f>
        <v/>
      </c>
      <c r="P558">
        <f>IF('Loan Tape (S&amp;P)'!S558="Yes",
    1.15,
    1.00)</f>
        <v/>
      </c>
      <c r="Q558">
        <f>IF('Loan Tape (S&amp;P)'!V558="Yes",
    1.20,
    1.00)</f>
        <v/>
      </c>
      <c r="T558">
        <f>LET(
    payment_method,'Loan Tape (S&amp;P)'!P558,
    occupancy,'Loan Tape (S&amp;P)'!N558,
    maturity_date,'Loan Tape (S&amp;P)'!L558,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9">
      <c r="J559">
        <f>LET(
    lien,'Loan Tape (S&amp;P)'!Q559,
    IF(lien="First",1.00,
        IF(lien="Second",1.50,
            1.70)))</f>
        <v/>
      </c>
      <c r="K559">
        <f>LET(
    purpose,'Loan Tape (S&amp;P)'!R559,
    IF(purpose="Purchase",1.00,
        IF(purpose="Remortgage",1.00,
            1.20)))</f>
        <v/>
      </c>
      <c r="L559">
        <f>LET(
    arrears_months,'Loan Tape (S&amp;P)'!AN559,
    IF(arrears_months=0,1.00,
    IF(arrears_months=1,3.00,
    IF(arrears_months=2,5.00,
    IF(arrears_months=3,8.00,
    IF(arrears_months=4,10.00,
    IF(arrears_months=5,12.00,15.00)))))))</f>
        <v/>
      </c>
      <c r="M559">
        <f>LET(
    seasoning_years,DATEDIF('Loan Tape (S&amp;P)'!K559,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9">
        <f>IF(AND('Loan Tape (S&amp;P)'!U559="Yes",
        'Loan Tape (S&amp;P)'!T559&lt;&gt;"Yes",
        DATEDIF('Loan Tape (S&amp;P)'!K559, TODAY(), "M")&lt;18),
    1.10,
    1.00)</f>
        <v/>
      </c>
      <c r="O559">
        <f>IF('Loan Tape (S&amp;P)'!T559="Yes",
    1.35,
    1.00)</f>
        <v/>
      </c>
      <c r="P559">
        <f>IF('Loan Tape (S&amp;P)'!S559="Yes",
    1.15,
    1.00)</f>
        <v/>
      </c>
      <c r="Q559">
        <f>IF('Loan Tape (S&amp;P)'!V559="Yes",
    1.20,
    1.00)</f>
        <v/>
      </c>
      <c r="T559">
        <f>LET(
    payment_method,'Loan Tape (S&amp;P)'!P559,
    occupancy,'Loan Tape (S&amp;P)'!N559,
    maturity_date,'Loan Tape (S&amp;P)'!L559,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0">
      <c r="J560">
        <f>LET(
    lien,'Loan Tape (S&amp;P)'!Q560,
    IF(lien="First",1.00,
        IF(lien="Second",1.50,
            1.70)))</f>
        <v/>
      </c>
      <c r="K560">
        <f>LET(
    purpose,'Loan Tape (S&amp;P)'!R560,
    IF(purpose="Purchase",1.00,
        IF(purpose="Remortgage",1.00,
            1.20)))</f>
        <v/>
      </c>
      <c r="L560">
        <f>LET(
    arrears_months,'Loan Tape (S&amp;P)'!AN560,
    IF(arrears_months=0,1.00,
    IF(arrears_months=1,3.00,
    IF(arrears_months=2,5.00,
    IF(arrears_months=3,8.00,
    IF(arrears_months=4,10.00,
    IF(arrears_months=5,12.00,15.00)))))))</f>
        <v/>
      </c>
      <c r="M560">
        <f>LET(
    seasoning_years,DATEDIF('Loan Tape (S&amp;P)'!K560,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0">
        <f>IF(AND('Loan Tape (S&amp;P)'!U560="Yes",
        'Loan Tape (S&amp;P)'!T560&lt;&gt;"Yes",
        DATEDIF('Loan Tape (S&amp;P)'!K560, TODAY(), "M")&lt;18),
    1.10,
    1.00)</f>
        <v/>
      </c>
      <c r="O560">
        <f>IF('Loan Tape (S&amp;P)'!T560="Yes",
    1.35,
    1.00)</f>
        <v/>
      </c>
      <c r="P560">
        <f>IF('Loan Tape (S&amp;P)'!S560="Yes",
    1.15,
    1.00)</f>
        <v/>
      </c>
      <c r="Q560">
        <f>IF('Loan Tape (S&amp;P)'!V560="Yes",
    1.20,
    1.00)</f>
        <v/>
      </c>
      <c r="T560">
        <f>LET(
    payment_method,'Loan Tape (S&amp;P)'!P560,
    occupancy,'Loan Tape (S&amp;P)'!N560,
    maturity_date,'Loan Tape (S&amp;P)'!L560,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1">
      <c r="J561">
        <f>LET(
    lien,'Loan Tape (S&amp;P)'!Q561,
    IF(lien="First",1.00,
        IF(lien="Second",1.50,
            1.70)))</f>
        <v/>
      </c>
      <c r="K561">
        <f>LET(
    purpose,'Loan Tape (S&amp;P)'!R561,
    IF(purpose="Purchase",1.00,
        IF(purpose="Remortgage",1.00,
            1.20)))</f>
        <v/>
      </c>
      <c r="L561">
        <f>LET(
    arrears_months,'Loan Tape (S&amp;P)'!AN561,
    IF(arrears_months=0,1.00,
    IF(arrears_months=1,3.00,
    IF(arrears_months=2,5.00,
    IF(arrears_months=3,8.00,
    IF(arrears_months=4,10.00,
    IF(arrears_months=5,12.00,15.00)))))))</f>
        <v/>
      </c>
      <c r="M561">
        <f>LET(
    seasoning_years,DATEDIF('Loan Tape (S&amp;P)'!K561,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1">
        <f>IF(AND('Loan Tape (S&amp;P)'!U561="Yes",
        'Loan Tape (S&amp;P)'!T561&lt;&gt;"Yes",
        DATEDIF('Loan Tape (S&amp;P)'!K561, TODAY(), "M")&lt;18),
    1.10,
    1.00)</f>
        <v/>
      </c>
      <c r="O561">
        <f>IF('Loan Tape (S&amp;P)'!T561="Yes",
    1.35,
    1.00)</f>
        <v/>
      </c>
      <c r="P561">
        <f>IF('Loan Tape (S&amp;P)'!S561="Yes",
    1.15,
    1.00)</f>
        <v/>
      </c>
      <c r="Q561">
        <f>IF('Loan Tape (S&amp;P)'!V561="Yes",
    1.20,
    1.00)</f>
        <v/>
      </c>
      <c r="T561">
        <f>LET(
    payment_method,'Loan Tape (S&amp;P)'!P561,
    occupancy,'Loan Tape (S&amp;P)'!N561,
    maturity_date,'Loan Tape (S&amp;P)'!L561,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2">
      <c r="J562">
        <f>LET(
    lien,'Loan Tape (S&amp;P)'!Q562,
    IF(lien="First",1.00,
        IF(lien="Second",1.50,
            1.70)))</f>
        <v/>
      </c>
      <c r="K562">
        <f>LET(
    purpose,'Loan Tape (S&amp;P)'!R562,
    IF(purpose="Purchase",1.00,
        IF(purpose="Remortgage",1.00,
            1.20)))</f>
        <v/>
      </c>
      <c r="L562">
        <f>LET(
    arrears_months,'Loan Tape (S&amp;P)'!AN562,
    IF(arrears_months=0,1.00,
    IF(arrears_months=1,3.00,
    IF(arrears_months=2,5.00,
    IF(arrears_months=3,8.00,
    IF(arrears_months=4,10.00,
    IF(arrears_months=5,12.00,15.00)))))))</f>
        <v/>
      </c>
      <c r="M562">
        <f>LET(
    seasoning_years,DATEDIF('Loan Tape (S&amp;P)'!K562,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2">
        <f>IF(AND('Loan Tape (S&amp;P)'!U562="Yes",
        'Loan Tape (S&amp;P)'!T562&lt;&gt;"Yes",
        DATEDIF('Loan Tape (S&amp;P)'!K562, TODAY(), "M")&lt;18),
    1.10,
    1.00)</f>
        <v/>
      </c>
      <c r="O562">
        <f>IF('Loan Tape (S&amp;P)'!T562="Yes",
    1.35,
    1.00)</f>
        <v/>
      </c>
      <c r="P562">
        <f>IF('Loan Tape (S&amp;P)'!S562="Yes",
    1.15,
    1.00)</f>
        <v/>
      </c>
      <c r="Q562">
        <f>IF('Loan Tape (S&amp;P)'!V562="Yes",
    1.20,
    1.00)</f>
        <v/>
      </c>
      <c r="T562">
        <f>LET(
    payment_method,'Loan Tape (S&amp;P)'!P562,
    occupancy,'Loan Tape (S&amp;P)'!N562,
    maturity_date,'Loan Tape (S&amp;P)'!L562,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3">
      <c r="J563">
        <f>LET(
    lien,'Loan Tape (S&amp;P)'!Q563,
    IF(lien="First",1.00,
        IF(lien="Second",1.50,
            1.70)))</f>
        <v/>
      </c>
      <c r="K563">
        <f>LET(
    purpose,'Loan Tape (S&amp;P)'!R563,
    IF(purpose="Purchase",1.00,
        IF(purpose="Remortgage",1.00,
            1.20)))</f>
        <v/>
      </c>
      <c r="L563">
        <f>LET(
    arrears_months,'Loan Tape (S&amp;P)'!AN563,
    IF(arrears_months=0,1.00,
    IF(arrears_months=1,3.00,
    IF(arrears_months=2,5.00,
    IF(arrears_months=3,8.00,
    IF(arrears_months=4,10.00,
    IF(arrears_months=5,12.00,15.00)))))))</f>
        <v/>
      </c>
      <c r="M563">
        <f>LET(
    seasoning_years,DATEDIF('Loan Tape (S&amp;P)'!K563,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3">
        <f>IF(AND('Loan Tape (S&amp;P)'!U563="Yes",
        'Loan Tape (S&amp;P)'!T563&lt;&gt;"Yes",
        DATEDIF('Loan Tape (S&amp;P)'!K563, TODAY(), "M")&lt;18),
    1.10,
    1.00)</f>
        <v/>
      </c>
      <c r="O563">
        <f>IF('Loan Tape (S&amp;P)'!T563="Yes",
    1.35,
    1.00)</f>
        <v/>
      </c>
      <c r="P563">
        <f>IF('Loan Tape (S&amp;P)'!S563="Yes",
    1.15,
    1.00)</f>
        <v/>
      </c>
      <c r="Q563">
        <f>IF('Loan Tape (S&amp;P)'!V563="Yes",
    1.20,
    1.00)</f>
        <v/>
      </c>
      <c r="T563">
        <f>LET(
    payment_method,'Loan Tape (S&amp;P)'!P563,
    occupancy,'Loan Tape (S&amp;P)'!N563,
    maturity_date,'Loan Tape (S&amp;P)'!L563,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4">
      <c r="J564">
        <f>LET(
    lien,'Loan Tape (S&amp;P)'!Q564,
    IF(lien="First",1.00,
        IF(lien="Second",1.50,
            1.70)))</f>
        <v/>
      </c>
      <c r="K564">
        <f>LET(
    purpose,'Loan Tape (S&amp;P)'!R564,
    IF(purpose="Purchase",1.00,
        IF(purpose="Remortgage",1.00,
            1.20)))</f>
        <v/>
      </c>
      <c r="L564">
        <f>LET(
    arrears_months,'Loan Tape (S&amp;P)'!AN564,
    IF(arrears_months=0,1.00,
    IF(arrears_months=1,3.00,
    IF(arrears_months=2,5.00,
    IF(arrears_months=3,8.00,
    IF(arrears_months=4,10.00,
    IF(arrears_months=5,12.00,15.00)))))))</f>
        <v/>
      </c>
      <c r="M564">
        <f>LET(
    seasoning_years,DATEDIF('Loan Tape (S&amp;P)'!K564,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4">
        <f>IF(AND('Loan Tape (S&amp;P)'!U564="Yes",
        'Loan Tape (S&amp;P)'!T564&lt;&gt;"Yes",
        DATEDIF('Loan Tape (S&amp;P)'!K564, TODAY(), "M")&lt;18),
    1.10,
    1.00)</f>
        <v/>
      </c>
      <c r="O564">
        <f>IF('Loan Tape (S&amp;P)'!T564="Yes",
    1.35,
    1.00)</f>
        <v/>
      </c>
      <c r="P564">
        <f>IF('Loan Tape (S&amp;P)'!S564="Yes",
    1.15,
    1.00)</f>
        <v/>
      </c>
      <c r="Q564">
        <f>IF('Loan Tape (S&amp;P)'!V564="Yes",
    1.20,
    1.00)</f>
        <v/>
      </c>
      <c r="T564">
        <f>LET(
    payment_method,'Loan Tape (S&amp;P)'!P564,
    occupancy,'Loan Tape (S&amp;P)'!N564,
    maturity_date,'Loan Tape (S&amp;P)'!L564,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5">
      <c r="J565">
        <f>LET(
    lien,'Loan Tape (S&amp;P)'!Q565,
    IF(lien="First",1.00,
        IF(lien="Second",1.50,
            1.70)))</f>
        <v/>
      </c>
      <c r="K565">
        <f>LET(
    purpose,'Loan Tape (S&amp;P)'!R565,
    IF(purpose="Purchase",1.00,
        IF(purpose="Remortgage",1.00,
            1.20)))</f>
        <v/>
      </c>
      <c r="L565">
        <f>LET(
    arrears_months,'Loan Tape (S&amp;P)'!AN565,
    IF(arrears_months=0,1.00,
    IF(arrears_months=1,3.00,
    IF(arrears_months=2,5.00,
    IF(arrears_months=3,8.00,
    IF(arrears_months=4,10.00,
    IF(arrears_months=5,12.00,15.00)))))))</f>
        <v/>
      </c>
      <c r="M565">
        <f>LET(
    seasoning_years,DATEDIF('Loan Tape (S&amp;P)'!K565,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5">
        <f>IF(AND('Loan Tape (S&amp;P)'!U565="Yes",
        'Loan Tape (S&amp;P)'!T565&lt;&gt;"Yes",
        DATEDIF('Loan Tape (S&amp;P)'!K565, TODAY(), "M")&lt;18),
    1.10,
    1.00)</f>
        <v/>
      </c>
      <c r="O565">
        <f>IF('Loan Tape (S&amp;P)'!T565="Yes",
    1.35,
    1.00)</f>
        <v/>
      </c>
      <c r="P565">
        <f>IF('Loan Tape (S&amp;P)'!S565="Yes",
    1.15,
    1.00)</f>
        <v/>
      </c>
      <c r="Q565">
        <f>IF('Loan Tape (S&amp;P)'!V565="Yes",
    1.20,
    1.00)</f>
        <v/>
      </c>
      <c r="T565">
        <f>LET(
    payment_method,'Loan Tape (S&amp;P)'!P565,
    occupancy,'Loan Tape (S&amp;P)'!N565,
    maturity_date,'Loan Tape (S&amp;P)'!L565,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6">
      <c r="J566">
        <f>LET(
    lien,'Loan Tape (S&amp;P)'!Q566,
    IF(lien="First",1.00,
        IF(lien="Second",1.50,
            1.70)))</f>
        <v/>
      </c>
      <c r="K566">
        <f>LET(
    purpose,'Loan Tape (S&amp;P)'!R566,
    IF(purpose="Purchase",1.00,
        IF(purpose="Remortgage",1.00,
            1.20)))</f>
        <v/>
      </c>
      <c r="L566">
        <f>LET(
    arrears_months,'Loan Tape (S&amp;P)'!AN566,
    IF(arrears_months=0,1.00,
    IF(arrears_months=1,3.00,
    IF(arrears_months=2,5.00,
    IF(arrears_months=3,8.00,
    IF(arrears_months=4,10.00,
    IF(arrears_months=5,12.00,15.00)))))))</f>
        <v/>
      </c>
      <c r="M566">
        <f>LET(
    seasoning_years,DATEDIF('Loan Tape (S&amp;P)'!K566,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6">
        <f>IF(AND('Loan Tape (S&amp;P)'!U566="Yes",
        'Loan Tape (S&amp;P)'!T566&lt;&gt;"Yes",
        DATEDIF('Loan Tape (S&amp;P)'!K566, TODAY(), "M")&lt;18),
    1.10,
    1.00)</f>
        <v/>
      </c>
      <c r="O566">
        <f>IF('Loan Tape (S&amp;P)'!T566="Yes",
    1.35,
    1.00)</f>
        <v/>
      </c>
      <c r="P566">
        <f>IF('Loan Tape (S&amp;P)'!S566="Yes",
    1.15,
    1.00)</f>
        <v/>
      </c>
      <c r="Q566">
        <f>IF('Loan Tape (S&amp;P)'!V566="Yes",
    1.20,
    1.00)</f>
        <v/>
      </c>
      <c r="T566">
        <f>LET(
    payment_method,'Loan Tape (S&amp;P)'!P566,
    occupancy,'Loan Tape (S&amp;P)'!N566,
    maturity_date,'Loan Tape (S&amp;P)'!L566,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7">
      <c r="J567">
        <f>LET(
    lien,'Loan Tape (S&amp;P)'!Q567,
    IF(lien="First",1.00,
        IF(lien="Second",1.50,
            1.70)))</f>
        <v/>
      </c>
      <c r="K567">
        <f>LET(
    purpose,'Loan Tape (S&amp;P)'!R567,
    IF(purpose="Purchase",1.00,
        IF(purpose="Remortgage",1.00,
            1.20)))</f>
        <v/>
      </c>
      <c r="L567">
        <f>LET(
    arrears_months,'Loan Tape (S&amp;P)'!AN567,
    IF(arrears_months=0,1.00,
    IF(arrears_months=1,3.00,
    IF(arrears_months=2,5.00,
    IF(arrears_months=3,8.00,
    IF(arrears_months=4,10.00,
    IF(arrears_months=5,12.00,15.00)))))))</f>
        <v/>
      </c>
      <c r="M567">
        <f>LET(
    seasoning_years,DATEDIF('Loan Tape (S&amp;P)'!K567,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7">
        <f>IF(AND('Loan Tape (S&amp;P)'!U567="Yes",
        'Loan Tape (S&amp;P)'!T567&lt;&gt;"Yes",
        DATEDIF('Loan Tape (S&amp;P)'!K567, TODAY(), "M")&lt;18),
    1.10,
    1.00)</f>
        <v/>
      </c>
      <c r="O567">
        <f>IF('Loan Tape (S&amp;P)'!T567="Yes",
    1.35,
    1.00)</f>
        <v/>
      </c>
      <c r="P567">
        <f>IF('Loan Tape (S&amp;P)'!S567="Yes",
    1.15,
    1.00)</f>
        <v/>
      </c>
      <c r="Q567">
        <f>IF('Loan Tape (S&amp;P)'!V567="Yes",
    1.20,
    1.00)</f>
        <v/>
      </c>
      <c r="T567">
        <f>LET(
    payment_method,'Loan Tape (S&amp;P)'!P567,
    occupancy,'Loan Tape (S&amp;P)'!N567,
    maturity_date,'Loan Tape (S&amp;P)'!L567,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8">
      <c r="J568">
        <f>LET(
    lien,'Loan Tape (S&amp;P)'!Q568,
    IF(lien="First",1.00,
        IF(lien="Second",1.50,
            1.70)))</f>
        <v/>
      </c>
      <c r="K568">
        <f>LET(
    purpose,'Loan Tape (S&amp;P)'!R568,
    IF(purpose="Purchase",1.00,
        IF(purpose="Remortgage",1.00,
            1.20)))</f>
        <v/>
      </c>
      <c r="L568">
        <f>LET(
    arrears_months,'Loan Tape (S&amp;P)'!AN568,
    IF(arrears_months=0,1.00,
    IF(arrears_months=1,3.00,
    IF(arrears_months=2,5.00,
    IF(arrears_months=3,8.00,
    IF(arrears_months=4,10.00,
    IF(arrears_months=5,12.00,15.00)))))))</f>
        <v/>
      </c>
      <c r="M568">
        <f>LET(
    seasoning_years,DATEDIF('Loan Tape (S&amp;P)'!K568,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8">
        <f>IF(AND('Loan Tape (S&amp;P)'!U568="Yes",
        'Loan Tape (S&amp;P)'!T568&lt;&gt;"Yes",
        DATEDIF('Loan Tape (S&amp;P)'!K568, TODAY(), "M")&lt;18),
    1.10,
    1.00)</f>
        <v/>
      </c>
      <c r="O568">
        <f>IF('Loan Tape (S&amp;P)'!T568="Yes",
    1.35,
    1.00)</f>
        <v/>
      </c>
      <c r="P568">
        <f>IF('Loan Tape (S&amp;P)'!S568="Yes",
    1.15,
    1.00)</f>
        <v/>
      </c>
      <c r="Q568">
        <f>IF('Loan Tape (S&amp;P)'!V568="Yes",
    1.20,
    1.00)</f>
        <v/>
      </c>
      <c r="T568">
        <f>LET(
    payment_method,'Loan Tape (S&amp;P)'!P568,
    occupancy,'Loan Tape (S&amp;P)'!N568,
    maturity_date,'Loan Tape (S&amp;P)'!L568,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9">
      <c r="J569">
        <f>LET(
    lien,'Loan Tape (S&amp;P)'!Q569,
    IF(lien="First",1.00,
        IF(lien="Second",1.50,
            1.70)))</f>
        <v/>
      </c>
      <c r="K569">
        <f>LET(
    purpose,'Loan Tape (S&amp;P)'!R569,
    IF(purpose="Purchase",1.00,
        IF(purpose="Remortgage",1.00,
            1.20)))</f>
        <v/>
      </c>
      <c r="L569">
        <f>LET(
    arrears_months,'Loan Tape (S&amp;P)'!AN569,
    IF(arrears_months=0,1.00,
    IF(arrears_months=1,3.00,
    IF(arrears_months=2,5.00,
    IF(arrears_months=3,8.00,
    IF(arrears_months=4,10.00,
    IF(arrears_months=5,12.00,15.00)))))))</f>
        <v/>
      </c>
      <c r="M569">
        <f>LET(
    seasoning_years,DATEDIF('Loan Tape (S&amp;P)'!K569,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9">
        <f>IF(AND('Loan Tape (S&amp;P)'!U569="Yes",
        'Loan Tape (S&amp;P)'!T569&lt;&gt;"Yes",
        DATEDIF('Loan Tape (S&amp;P)'!K569, TODAY(), "M")&lt;18),
    1.10,
    1.00)</f>
        <v/>
      </c>
      <c r="O569">
        <f>IF('Loan Tape (S&amp;P)'!T569="Yes",
    1.35,
    1.00)</f>
        <v/>
      </c>
      <c r="P569">
        <f>IF('Loan Tape (S&amp;P)'!S569="Yes",
    1.15,
    1.00)</f>
        <v/>
      </c>
      <c r="Q569">
        <f>IF('Loan Tape (S&amp;P)'!V569="Yes",
    1.20,
    1.00)</f>
        <v/>
      </c>
      <c r="T569">
        <f>LET(
    payment_method,'Loan Tape (S&amp;P)'!P569,
    occupancy,'Loan Tape (S&amp;P)'!N569,
    maturity_date,'Loan Tape (S&amp;P)'!L569,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0">
      <c r="J570">
        <f>LET(
    lien,'Loan Tape (S&amp;P)'!Q570,
    IF(lien="First",1.00,
        IF(lien="Second",1.50,
            1.70)))</f>
        <v/>
      </c>
      <c r="K570">
        <f>LET(
    purpose,'Loan Tape (S&amp;P)'!R570,
    IF(purpose="Purchase",1.00,
        IF(purpose="Remortgage",1.00,
            1.20)))</f>
        <v/>
      </c>
      <c r="L570">
        <f>LET(
    arrears_months,'Loan Tape (S&amp;P)'!AN570,
    IF(arrears_months=0,1.00,
    IF(arrears_months=1,3.00,
    IF(arrears_months=2,5.00,
    IF(arrears_months=3,8.00,
    IF(arrears_months=4,10.00,
    IF(arrears_months=5,12.00,15.00)))))))</f>
        <v/>
      </c>
      <c r="M570">
        <f>LET(
    seasoning_years,DATEDIF('Loan Tape (S&amp;P)'!K570,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0">
        <f>IF(AND('Loan Tape (S&amp;P)'!U570="Yes",
        'Loan Tape (S&amp;P)'!T570&lt;&gt;"Yes",
        DATEDIF('Loan Tape (S&amp;P)'!K570, TODAY(), "M")&lt;18),
    1.10,
    1.00)</f>
        <v/>
      </c>
      <c r="O570">
        <f>IF('Loan Tape (S&amp;P)'!T570="Yes",
    1.35,
    1.00)</f>
        <v/>
      </c>
      <c r="P570">
        <f>IF('Loan Tape (S&amp;P)'!S570="Yes",
    1.15,
    1.00)</f>
        <v/>
      </c>
      <c r="Q570">
        <f>IF('Loan Tape (S&amp;P)'!V570="Yes",
    1.20,
    1.00)</f>
        <v/>
      </c>
      <c r="T570">
        <f>LET(
    payment_method,'Loan Tape (S&amp;P)'!P570,
    occupancy,'Loan Tape (S&amp;P)'!N570,
    maturity_date,'Loan Tape (S&amp;P)'!L570,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1">
      <c r="J571">
        <f>LET(
    lien,'Loan Tape (S&amp;P)'!Q571,
    IF(lien="First",1.00,
        IF(lien="Second",1.50,
            1.70)))</f>
        <v/>
      </c>
      <c r="K571">
        <f>LET(
    purpose,'Loan Tape (S&amp;P)'!R571,
    IF(purpose="Purchase",1.00,
        IF(purpose="Remortgage",1.00,
            1.20)))</f>
        <v/>
      </c>
      <c r="L571">
        <f>LET(
    arrears_months,'Loan Tape (S&amp;P)'!AN571,
    IF(arrears_months=0,1.00,
    IF(arrears_months=1,3.00,
    IF(arrears_months=2,5.00,
    IF(arrears_months=3,8.00,
    IF(arrears_months=4,10.00,
    IF(arrears_months=5,12.00,15.00)))))))</f>
        <v/>
      </c>
      <c r="M571">
        <f>LET(
    seasoning_years,DATEDIF('Loan Tape (S&amp;P)'!K571,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1">
        <f>IF(AND('Loan Tape (S&amp;P)'!U571="Yes",
        'Loan Tape (S&amp;P)'!T571&lt;&gt;"Yes",
        DATEDIF('Loan Tape (S&amp;P)'!K571, TODAY(), "M")&lt;18),
    1.10,
    1.00)</f>
        <v/>
      </c>
      <c r="O571">
        <f>IF('Loan Tape (S&amp;P)'!T571="Yes",
    1.35,
    1.00)</f>
        <v/>
      </c>
      <c r="P571">
        <f>IF('Loan Tape (S&amp;P)'!S571="Yes",
    1.15,
    1.00)</f>
        <v/>
      </c>
      <c r="Q571">
        <f>IF('Loan Tape (S&amp;P)'!V571="Yes",
    1.20,
    1.00)</f>
        <v/>
      </c>
      <c r="T571">
        <f>LET(
    payment_method,'Loan Tape (S&amp;P)'!P571,
    occupancy,'Loan Tape (S&amp;P)'!N571,
    maturity_date,'Loan Tape (S&amp;P)'!L571,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2">
      <c r="J572">
        <f>LET(
    lien,'Loan Tape (S&amp;P)'!Q572,
    IF(lien="First",1.00,
        IF(lien="Second",1.50,
            1.70)))</f>
        <v/>
      </c>
      <c r="K572">
        <f>LET(
    purpose,'Loan Tape (S&amp;P)'!R572,
    IF(purpose="Purchase",1.00,
        IF(purpose="Remortgage",1.00,
            1.20)))</f>
        <v/>
      </c>
      <c r="L572">
        <f>LET(
    arrears_months,'Loan Tape (S&amp;P)'!AN572,
    IF(arrears_months=0,1.00,
    IF(arrears_months=1,3.00,
    IF(arrears_months=2,5.00,
    IF(arrears_months=3,8.00,
    IF(arrears_months=4,10.00,
    IF(arrears_months=5,12.00,15.00)))))))</f>
        <v/>
      </c>
      <c r="M572">
        <f>LET(
    seasoning_years,DATEDIF('Loan Tape (S&amp;P)'!K572,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2">
        <f>IF(AND('Loan Tape (S&amp;P)'!U572="Yes",
        'Loan Tape (S&amp;P)'!T572&lt;&gt;"Yes",
        DATEDIF('Loan Tape (S&amp;P)'!K572, TODAY(), "M")&lt;18),
    1.10,
    1.00)</f>
        <v/>
      </c>
      <c r="O572">
        <f>IF('Loan Tape (S&amp;P)'!T572="Yes",
    1.35,
    1.00)</f>
        <v/>
      </c>
      <c r="P572">
        <f>IF('Loan Tape (S&amp;P)'!S572="Yes",
    1.15,
    1.00)</f>
        <v/>
      </c>
      <c r="Q572">
        <f>IF('Loan Tape (S&amp;P)'!V572="Yes",
    1.20,
    1.00)</f>
        <v/>
      </c>
      <c r="T572">
        <f>LET(
    payment_method,'Loan Tape (S&amp;P)'!P572,
    occupancy,'Loan Tape (S&amp;P)'!N572,
    maturity_date,'Loan Tape (S&amp;P)'!L572,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3">
      <c r="J573">
        <f>LET(
    lien,'Loan Tape (S&amp;P)'!Q573,
    IF(lien="First",1.00,
        IF(lien="Second",1.50,
            1.70)))</f>
        <v/>
      </c>
      <c r="K573">
        <f>LET(
    purpose,'Loan Tape (S&amp;P)'!R573,
    IF(purpose="Purchase",1.00,
        IF(purpose="Remortgage",1.00,
            1.20)))</f>
        <v/>
      </c>
      <c r="L573">
        <f>LET(
    arrears_months,'Loan Tape (S&amp;P)'!AN573,
    IF(arrears_months=0,1.00,
    IF(arrears_months=1,3.00,
    IF(arrears_months=2,5.00,
    IF(arrears_months=3,8.00,
    IF(arrears_months=4,10.00,
    IF(arrears_months=5,12.00,15.00)))))))</f>
        <v/>
      </c>
      <c r="M573">
        <f>LET(
    seasoning_years,DATEDIF('Loan Tape (S&amp;P)'!K573,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3">
        <f>IF(AND('Loan Tape (S&amp;P)'!U573="Yes",
        'Loan Tape (S&amp;P)'!T573&lt;&gt;"Yes",
        DATEDIF('Loan Tape (S&amp;P)'!K573, TODAY(), "M")&lt;18),
    1.10,
    1.00)</f>
        <v/>
      </c>
      <c r="O573">
        <f>IF('Loan Tape (S&amp;P)'!T573="Yes",
    1.35,
    1.00)</f>
        <v/>
      </c>
      <c r="P573">
        <f>IF('Loan Tape (S&amp;P)'!S573="Yes",
    1.15,
    1.00)</f>
        <v/>
      </c>
      <c r="Q573">
        <f>IF('Loan Tape (S&amp;P)'!V573="Yes",
    1.20,
    1.00)</f>
        <v/>
      </c>
      <c r="T573">
        <f>LET(
    payment_method,'Loan Tape (S&amp;P)'!P573,
    occupancy,'Loan Tape (S&amp;P)'!N573,
    maturity_date,'Loan Tape (S&amp;P)'!L573,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4">
      <c r="J574">
        <f>LET(
    lien,'Loan Tape (S&amp;P)'!Q574,
    IF(lien="First",1.00,
        IF(lien="Second",1.50,
            1.70)))</f>
        <v/>
      </c>
      <c r="K574">
        <f>LET(
    purpose,'Loan Tape (S&amp;P)'!R574,
    IF(purpose="Purchase",1.00,
        IF(purpose="Remortgage",1.00,
            1.20)))</f>
        <v/>
      </c>
      <c r="L574">
        <f>LET(
    arrears_months,'Loan Tape (S&amp;P)'!AN574,
    IF(arrears_months=0,1.00,
    IF(arrears_months=1,3.00,
    IF(arrears_months=2,5.00,
    IF(arrears_months=3,8.00,
    IF(arrears_months=4,10.00,
    IF(arrears_months=5,12.00,15.00)))))))</f>
        <v/>
      </c>
      <c r="M574">
        <f>LET(
    seasoning_years,DATEDIF('Loan Tape (S&amp;P)'!K574,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4">
        <f>IF(AND('Loan Tape (S&amp;P)'!U574="Yes",
        'Loan Tape (S&amp;P)'!T574&lt;&gt;"Yes",
        DATEDIF('Loan Tape (S&amp;P)'!K574, TODAY(), "M")&lt;18),
    1.10,
    1.00)</f>
        <v/>
      </c>
      <c r="O574">
        <f>IF('Loan Tape (S&amp;P)'!T574="Yes",
    1.35,
    1.00)</f>
        <v/>
      </c>
      <c r="P574">
        <f>IF('Loan Tape (S&amp;P)'!S574="Yes",
    1.15,
    1.00)</f>
        <v/>
      </c>
      <c r="Q574">
        <f>IF('Loan Tape (S&amp;P)'!V574="Yes",
    1.20,
    1.00)</f>
        <v/>
      </c>
      <c r="T574">
        <f>LET(
    payment_method,'Loan Tape (S&amp;P)'!P574,
    occupancy,'Loan Tape (S&amp;P)'!N574,
    maturity_date,'Loan Tape (S&amp;P)'!L574,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5">
      <c r="J575">
        <f>LET(
    lien,'Loan Tape (S&amp;P)'!Q575,
    IF(lien="First",1.00,
        IF(lien="Second",1.50,
            1.70)))</f>
        <v/>
      </c>
      <c r="K575">
        <f>LET(
    purpose,'Loan Tape (S&amp;P)'!R575,
    IF(purpose="Purchase",1.00,
        IF(purpose="Remortgage",1.00,
            1.20)))</f>
        <v/>
      </c>
      <c r="L575">
        <f>LET(
    arrears_months,'Loan Tape (S&amp;P)'!AN575,
    IF(arrears_months=0,1.00,
    IF(arrears_months=1,3.00,
    IF(arrears_months=2,5.00,
    IF(arrears_months=3,8.00,
    IF(arrears_months=4,10.00,
    IF(arrears_months=5,12.00,15.00)))))))</f>
        <v/>
      </c>
      <c r="M575">
        <f>LET(
    seasoning_years,DATEDIF('Loan Tape (S&amp;P)'!K575,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5">
        <f>IF(AND('Loan Tape (S&amp;P)'!U575="Yes",
        'Loan Tape (S&amp;P)'!T575&lt;&gt;"Yes",
        DATEDIF('Loan Tape (S&amp;P)'!K575, TODAY(), "M")&lt;18),
    1.10,
    1.00)</f>
        <v/>
      </c>
      <c r="O575">
        <f>IF('Loan Tape (S&amp;P)'!T575="Yes",
    1.35,
    1.00)</f>
        <v/>
      </c>
      <c r="P575">
        <f>IF('Loan Tape (S&amp;P)'!S575="Yes",
    1.15,
    1.00)</f>
        <v/>
      </c>
      <c r="Q575">
        <f>IF('Loan Tape (S&amp;P)'!V575="Yes",
    1.20,
    1.00)</f>
        <v/>
      </c>
      <c r="T575">
        <f>LET(
    payment_method,'Loan Tape (S&amp;P)'!P575,
    occupancy,'Loan Tape (S&amp;P)'!N575,
    maturity_date,'Loan Tape (S&amp;P)'!L575,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6">
      <c r="J576">
        <f>LET(
    lien,'Loan Tape (S&amp;P)'!Q576,
    IF(lien="First",1.00,
        IF(lien="Second",1.50,
            1.70)))</f>
        <v/>
      </c>
      <c r="K576">
        <f>LET(
    purpose,'Loan Tape (S&amp;P)'!R576,
    IF(purpose="Purchase",1.00,
        IF(purpose="Remortgage",1.00,
            1.20)))</f>
        <v/>
      </c>
      <c r="L576">
        <f>LET(
    arrears_months,'Loan Tape (S&amp;P)'!AN576,
    IF(arrears_months=0,1.00,
    IF(arrears_months=1,3.00,
    IF(arrears_months=2,5.00,
    IF(arrears_months=3,8.00,
    IF(arrears_months=4,10.00,
    IF(arrears_months=5,12.00,15.00)))))))</f>
        <v/>
      </c>
      <c r="M576">
        <f>LET(
    seasoning_years,DATEDIF('Loan Tape (S&amp;P)'!K576,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6">
        <f>IF(AND('Loan Tape (S&amp;P)'!U576="Yes",
        'Loan Tape (S&amp;P)'!T576&lt;&gt;"Yes",
        DATEDIF('Loan Tape (S&amp;P)'!K576, TODAY(), "M")&lt;18),
    1.10,
    1.00)</f>
        <v/>
      </c>
      <c r="O576">
        <f>IF('Loan Tape (S&amp;P)'!T576="Yes",
    1.35,
    1.00)</f>
        <v/>
      </c>
      <c r="P576">
        <f>IF('Loan Tape (S&amp;P)'!S576="Yes",
    1.15,
    1.00)</f>
        <v/>
      </c>
      <c r="Q576">
        <f>IF('Loan Tape (S&amp;P)'!V576="Yes",
    1.20,
    1.00)</f>
        <v/>
      </c>
      <c r="T576">
        <f>LET(
    payment_method,'Loan Tape (S&amp;P)'!P576,
    occupancy,'Loan Tape (S&amp;P)'!N576,
    maturity_date,'Loan Tape (S&amp;P)'!L576,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7">
      <c r="J577">
        <f>LET(
    lien,'Loan Tape (S&amp;P)'!Q577,
    IF(lien="First",1.00,
        IF(lien="Second",1.50,
            1.70)))</f>
        <v/>
      </c>
      <c r="K577">
        <f>LET(
    purpose,'Loan Tape (S&amp;P)'!R577,
    IF(purpose="Purchase",1.00,
        IF(purpose="Remortgage",1.00,
            1.20)))</f>
        <v/>
      </c>
      <c r="L577">
        <f>LET(
    arrears_months,'Loan Tape (S&amp;P)'!AN577,
    IF(arrears_months=0,1.00,
    IF(arrears_months=1,3.00,
    IF(arrears_months=2,5.00,
    IF(arrears_months=3,8.00,
    IF(arrears_months=4,10.00,
    IF(arrears_months=5,12.00,15.00)))))))</f>
        <v/>
      </c>
      <c r="M577">
        <f>LET(
    seasoning_years,DATEDIF('Loan Tape (S&amp;P)'!K577,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7">
        <f>IF(AND('Loan Tape (S&amp;P)'!U577="Yes",
        'Loan Tape (S&amp;P)'!T577&lt;&gt;"Yes",
        DATEDIF('Loan Tape (S&amp;P)'!K577, TODAY(), "M")&lt;18),
    1.10,
    1.00)</f>
        <v/>
      </c>
      <c r="O577">
        <f>IF('Loan Tape (S&amp;P)'!T577="Yes",
    1.35,
    1.00)</f>
        <v/>
      </c>
      <c r="P577">
        <f>IF('Loan Tape (S&amp;P)'!S577="Yes",
    1.15,
    1.00)</f>
        <v/>
      </c>
      <c r="Q577">
        <f>IF('Loan Tape (S&amp;P)'!V577="Yes",
    1.20,
    1.00)</f>
        <v/>
      </c>
      <c r="T577">
        <f>LET(
    payment_method,'Loan Tape (S&amp;P)'!P577,
    occupancy,'Loan Tape (S&amp;P)'!N577,
    maturity_date,'Loan Tape (S&amp;P)'!L577,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8">
      <c r="J578">
        <f>LET(
    lien,'Loan Tape (S&amp;P)'!Q578,
    IF(lien="First",1.00,
        IF(lien="Second",1.50,
            1.70)))</f>
        <v/>
      </c>
      <c r="K578">
        <f>LET(
    purpose,'Loan Tape (S&amp;P)'!R578,
    IF(purpose="Purchase",1.00,
        IF(purpose="Remortgage",1.00,
            1.20)))</f>
        <v/>
      </c>
      <c r="L578">
        <f>LET(
    arrears_months,'Loan Tape (S&amp;P)'!AN578,
    IF(arrears_months=0,1.00,
    IF(arrears_months=1,3.00,
    IF(arrears_months=2,5.00,
    IF(arrears_months=3,8.00,
    IF(arrears_months=4,10.00,
    IF(arrears_months=5,12.00,15.00)))))))</f>
        <v/>
      </c>
      <c r="M578">
        <f>LET(
    seasoning_years,DATEDIF('Loan Tape (S&amp;P)'!K578,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8">
        <f>IF(AND('Loan Tape (S&amp;P)'!U578="Yes",
        'Loan Tape (S&amp;P)'!T578&lt;&gt;"Yes",
        DATEDIF('Loan Tape (S&amp;P)'!K578, TODAY(), "M")&lt;18),
    1.10,
    1.00)</f>
        <v/>
      </c>
      <c r="O578">
        <f>IF('Loan Tape (S&amp;P)'!T578="Yes",
    1.35,
    1.00)</f>
        <v/>
      </c>
      <c r="P578">
        <f>IF('Loan Tape (S&amp;P)'!S578="Yes",
    1.15,
    1.00)</f>
        <v/>
      </c>
      <c r="Q578">
        <f>IF('Loan Tape (S&amp;P)'!V578="Yes",
    1.20,
    1.00)</f>
        <v/>
      </c>
      <c r="T578">
        <f>LET(
    payment_method,'Loan Tape (S&amp;P)'!P578,
    occupancy,'Loan Tape (S&amp;P)'!N578,
    maturity_date,'Loan Tape (S&amp;P)'!L578,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9">
      <c r="J579">
        <f>LET(
    lien,'Loan Tape (S&amp;P)'!Q579,
    IF(lien="First",1.00,
        IF(lien="Second",1.50,
            1.70)))</f>
        <v/>
      </c>
      <c r="K579">
        <f>LET(
    purpose,'Loan Tape (S&amp;P)'!R579,
    IF(purpose="Purchase",1.00,
        IF(purpose="Remortgage",1.00,
            1.20)))</f>
        <v/>
      </c>
      <c r="L579">
        <f>LET(
    arrears_months,'Loan Tape (S&amp;P)'!AN579,
    IF(arrears_months=0,1.00,
    IF(arrears_months=1,3.00,
    IF(arrears_months=2,5.00,
    IF(arrears_months=3,8.00,
    IF(arrears_months=4,10.00,
    IF(arrears_months=5,12.00,15.00)))))))</f>
        <v/>
      </c>
      <c r="M579">
        <f>LET(
    seasoning_years,DATEDIF('Loan Tape (S&amp;P)'!K579,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9">
        <f>IF(AND('Loan Tape (S&amp;P)'!U579="Yes",
        'Loan Tape (S&amp;P)'!T579&lt;&gt;"Yes",
        DATEDIF('Loan Tape (S&amp;P)'!K579, TODAY(), "M")&lt;18),
    1.10,
    1.00)</f>
        <v/>
      </c>
      <c r="O579">
        <f>IF('Loan Tape (S&amp;P)'!T579="Yes",
    1.35,
    1.00)</f>
        <v/>
      </c>
      <c r="P579">
        <f>IF('Loan Tape (S&amp;P)'!S579="Yes",
    1.15,
    1.00)</f>
        <v/>
      </c>
      <c r="Q579">
        <f>IF('Loan Tape (S&amp;P)'!V579="Yes",
    1.20,
    1.00)</f>
        <v/>
      </c>
      <c r="T579">
        <f>LET(
    payment_method,'Loan Tape (S&amp;P)'!P579,
    occupancy,'Loan Tape (S&amp;P)'!N579,
    maturity_date,'Loan Tape (S&amp;P)'!L579,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0">
      <c r="J580">
        <f>LET(
    lien,'Loan Tape (S&amp;P)'!Q580,
    IF(lien="First",1.00,
        IF(lien="Second",1.50,
            1.70)))</f>
        <v/>
      </c>
      <c r="K580">
        <f>LET(
    purpose,'Loan Tape (S&amp;P)'!R580,
    IF(purpose="Purchase",1.00,
        IF(purpose="Remortgage",1.00,
            1.20)))</f>
        <v/>
      </c>
      <c r="L580">
        <f>LET(
    arrears_months,'Loan Tape (S&amp;P)'!AN580,
    IF(arrears_months=0,1.00,
    IF(arrears_months=1,3.00,
    IF(arrears_months=2,5.00,
    IF(arrears_months=3,8.00,
    IF(arrears_months=4,10.00,
    IF(arrears_months=5,12.00,15.00)))))))</f>
        <v/>
      </c>
      <c r="M580">
        <f>LET(
    seasoning_years,DATEDIF('Loan Tape (S&amp;P)'!K580,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0">
        <f>IF(AND('Loan Tape (S&amp;P)'!U580="Yes",
        'Loan Tape (S&amp;P)'!T580&lt;&gt;"Yes",
        DATEDIF('Loan Tape (S&amp;P)'!K580, TODAY(), "M")&lt;18),
    1.10,
    1.00)</f>
        <v/>
      </c>
      <c r="O580">
        <f>IF('Loan Tape (S&amp;P)'!T580="Yes",
    1.35,
    1.00)</f>
        <v/>
      </c>
      <c r="P580">
        <f>IF('Loan Tape (S&amp;P)'!S580="Yes",
    1.15,
    1.00)</f>
        <v/>
      </c>
      <c r="Q580">
        <f>IF('Loan Tape (S&amp;P)'!V580="Yes",
    1.20,
    1.00)</f>
        <v/>
      </c>
      <c r="T580">
        <f>LET(
    payment_method,'Loan Tape (S&amp;P)'!P580,
    occupancy,'Loan Tape (S&amp;P)'!N580,
    maturity_date,'Loan Tape (S&amp;P)'!L580,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1">
      <c r="J581">
        <f>LET(
    lien,'Loan Tape (S&amp;P)'!Q581,
    IF(lien="First",1.00,
        IF(lien="Second",1.50,
            1.70)))</f>
        <v/>
      </c>
      <c r="K581">
        <f>LET(
    purpose,'Loan Tape (S&amp;P)'!R581,
    IF(purpose="Purchase",1.00,
        IF(purpose="Remortgage",1.00,
            1.20)))</f>
        <v/>
      </c>
      <c r="L581">
        <f>LET(
    arrears_months,'Loan Tape (S&amp;P)'!AN581,
    IF(arrears_months=0,1.00,
    IF(arrears_months=1,3.00,
    IF(arrears_months=2,5.00,
    IF(arrears_months=3,8.00,
    IF(arrears_months=4,10.00,
    IF(arrears_months=5,12.00,15.00)))))))</f>
        <v/>
      </c>
      <c r="M581">
        <f>LET(
    seasoning_years,DATEDIF('Loan Tape (S&amp;P)'!K581,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1">
        <f>IF(AND('Loan Tape (S&amp;P)'!U581="Yes",
        'Loan Tape (S&amp;P)'!T581&lt;&gt;"Yes",
        DATEDIF('Loan Tape (S&amp;P)'!K581, TODAY(), "M")&lt;18),
    1.10,
    1.00)</f>
        <v/>
      </c>
      <c r="O581">
        <f>IF('Loan Tape (S&amp;P)'!T581="Yes",
    1.35,
    1.00)</f>
        <v/>
      </c>
      <c r="P581">
        <f>IF('Loan Tape (S&amp;P)'!S581="Yes",
    1.15,
    1.00)</f>
        <v/>
      </c>
      <c r="Q581">
        <f>IF('Loan Tape (S&amp;P)'!V581="Yes",
    1.20,
    1.00)</f>
        <v/>
      </c>
      <c r="T581">
        <f>LET(
    payment_method,'Loan Tape (S&amp;P)'!P581,
    occupancy,'Loan Tape (S&amp;P)'!N581,
    maturity_date,'Loan Tape (S&amp;P)'!L581,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2">
      <c r="J582">
        <f>LET(
    lien,'Loan Tape (S&amp;P)'!Q582,
    IF(lien="First",1.00,
        IF(lien="Second",1.50,
            1.70)))</f>
        <v/>
      </c>
      <c r="K582">
        <f>LET(
    purpose,'Loan Tape (S&amp;P)'!R582,
    IF(purpose="Purchase",1.00,
        IF(purpose="Remortgage",1.00,
            1.20)))</f>
        <v/>
      </c>
      <c r="L582">
        <f>LET(
    arrears_months,'Loan Tape (S&amp;P)'!AN582,
    IF(arrears_months=0,1.00,
    IF(arrears_months=1,3.00,
    IF(arrears_months=2,5.00,
    IF(arrears_months=3,8.00,
    IF(arrears_months=4,10.00,
    IF(arrears_months=5,12.00,15.00)))))))</f>
        <v/>
      </c>
      <c r="M582">
        <f>LET(
    seasoning_years,DATEDIF('Loan Tape (S&amp;P)'!K582,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2">
        <f>IF(AND('Loan Tape (S&amp;P)'!U582="Yes",
        'Loan Tape (S&amp;P)'!T582&lt;&gt;"Yes",
        DATEDIF('Loan Tape (S&amp;P)'!K582, TODAY(), "M")&lt;18),
    1.10,
    1.00)</f>
        <v/>
      </c>
      <c r="O582">
        <f>IF('Loan Tape (S&amp;P)'!T582="Yes",
    1.35,
    1.00)</f>
        <v/>
      </c>
      <c r="P582">
        <f>IF('Loan Tape (S&amp;P)'!S582="Yes",
    1.15,
    1.00)</f>
        <v/>
      </c>
      <c r="Q582">
        <f>IF('Loan Tape (S&amp;P)'!V582="Yes",
    1.20,
    1.00)</f>
        <v/>
      </c>
      <c r="T582">
        <f>LET(
    payment_method,'Loan Tape (S&amp;P)'!P582,
    occupancy,'Loan Tape (S&amp;P)'!N582,
    maturity_date,'Loan Tape (S&amp;P)'!L582,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3">
      <c r="J583">
        <f>LET(
    lien,'Loan Tape (S&amp;P)'!Q583,
    IF(lien="First",1.00,
        IF(lien="Second",1.50,
            1.70)))</f>
        <v/>
      </c>
      <c r="K583">
        <f>LET(
    purpose,'Loan Tape (S&amp;P)'!R583,
    IF(purpose="Purchase",1.00,
        IF(purpose="Remortgage",1.00,
            1.20)))</f>
        <v/>
      </c>
      <c r="L583">
        <f>LET(
    arrears_months,'Loan Tape (S&amp;P)'!AN583,
    IF(arrears_months=0,1.00,
    IF(arrears_months=1,3.00,
    IF(arrears_months=2,5.00,
    IF(arrears_months=3,8.00,
    IF(arrears_months=4,10.00,
    IF(arrears_months=5,12.00,15.00)))))))</f>
        <v/>
      </c>
      <c r="M583">
        <f>LET(
    seasoning_years,DATEDIF('Loan Tape (S&amp;P)'!K583,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3">
        <f>IF(AND('Loan Tape (S&amp;P)'!U583="Yes",
        'Loan Tape (S&amp;P)'!T583&lt;&gt;"Yes",
        DATEDIF('Loan Tape (S&amp;P)'!K583, TODAY(), "M")&lt;18),
    1.10,
    1.00)</f>
        <v/>
      </c>
      <c r="O583">
        <f>IF('Loan Tape (S&amp;P)'!T583="Yes",
    1.35,
    1.00)</f>
        <v/>
      </c>
      <c r="P583">
        <f>IF('Loan Tape (S&amp;P)'!S583="Yes",
    1.15,
    1.00)</f>
        <v/>
      </c>
      <c r="Q583">
        <f>IF('Loan Tape (S&amp;P)'!V583="Yes",
    1.20,
    1.00)</f>
        <v/>
      </c>
      <c r="T583">
        <f>LET(
    payment_method,'Loan Tape (S&amp;P)'!P583,
    occupancy,'Loan Tape (S&amp;P)'!N583,
    maturity_date,'Loan Tape (S&amp;P)'!L583,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4">
      <c r="J584">
        <f>LET(
    lien,'Loan Tape (S&amp;P)'!Q584,
    IF(lien="First",1.00,
        IF(lien="Second",1.50,
            1.70)))</f>
        <v/>
      </c>
      <c r="K584">
        <f>LET(
    purpose,'Loan Tape (S&amp;P)'!R584,
    IF(purpose="Purchase",1.00,
        IF(purpose="Remortgage",1.00,
            1.20)))</f>
        <v/>
      </c>
      <c r="L584">
        <f>LET(
    arrears_months,'Loan Tape (S&amp;P)'!AN584,
    IF(arrears_months=0,1.00,
    IF(arrears_months=1,3.00,
    IF(arrears_months=2,5.00,
    IF(arrears_months=3,8.00,
    IF(arrears_months=4,10.00,
    IF(arrears_months=5,12.00,15.00)))))))</f>
        <v/>
      </c>
      <c r="M584">
        <f>LET(
    seasoning_years,DATEDIF('Loan Tape (S&amp;P)'!K584,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4">
        <f>IF(AND('Loan Tape (S&amp;P)'!U584="Yes",
        'Loan Tape (S&amp;P)'!T584&lt;&gt;"Yes",
        DATEDIF('Loan Tape (S&amp;P)'!K584, TODAY(), "M")&lt;18),
    1.10,
    1.00)</f>
        <v/>
      </c>
      <c r="O584">
        <f>IF('Loan Tape (S&amp;P)'!T584="Yes",
    1.35,
    1.00)</f>
        <v/>
      </c>
      <c r="P584">
        <f>IF('Loan Tape (S&amp;P)'!S584="Yes",
    1.15,
    1.00)</f>
        <v/>
      </c>
      <c r="Q584">
        <f>IF('Loan Tape (S&amp;P)'!V584="Yes",
    1.20,
    1.00)</f>
        <v/>
      </c>
      <c r="T584">
        <f>LET(
    payment_method,'Loan Tape (S&amp;P)'!P584,
    occupancy,'Loan Tape (S&amp;P)'!N584,
    maturity_date,'Loan Tape (S&amp;P)'!L584,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5">
      <c r="J585">
        <f>LET(
    lien,'Loan Tape (S&amp;P)'!Q585,
    IF(lien="First",1.00,
        IF(lien="Second",1.50,
            1.70)))</f>
        <v/>
      </c>
      <c r="K585">
        <f>LET(
    purpose,'Loan Tape (S&amp;P)'!R585,
    IF(purpose="Purchase",1.00,
        IF(purpose="Remortgage",1.00,
            1.20)))</f>
        <v/>
      </c>
      <c r="L585">
        <f>LET(
    arrears_months,'Loan Tape (S&amp;P)'!AN585,
    IF(arrears_months=0,1.00,
    IF(arrears_months=1,3.00,
    IF(arrears_months=2,5.00,
    IF(arrears_months=3,8.00,
    IF(arrears_months=4,10.00,
    IF(arrears_months=5,12.00,15.00)))))))</f>
        <v/>
      </c>
      <c r="M585">
        <f>LET(
    seasoning_years,DATEDIF('Loan Tape (S&amp;P)'!K585,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5">
        <f>IF(AND('Loan Tape (S&amp;P)'!U585="Yes",
        'Loan Tape (S&amp;P)'!T585&lt;&gt;"Yes",
        DATEDIF('Loan Tape (S&amp;P)'!K585, TODAY(), "M")&lt;18),
    1.10,
    1.00)</f>
        <v/>
      </c>
      <c r="O585">
        <f>IF('Loan Tape (S&amp;P)'!T585="Yes",
    1.35,
    1.00)</f>
        <v/>
      </c>
      <c r="P585">
        <f>IF('Loan Tape (S&amp;P)'!S585="Yes",
    1.15,
    1.00)</f>
        <v/>
      </c>
      <c r="Q585">
        <f>IF('Loan Tape (S&amp;P)'!V585="Yes",
    1.20,
    1.00)</f>
        <v/>
      </c>
      <c r="T585">
        <f>LET(
    payment_method,'Loan Tape (S&amp;P)'!P585,
    occupancy,'Loan Tape (S&amp;P)'!N585,
    maturity_date,'Loan Tape (S&amp;P)'!L585,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6">
      <c r="J586">
        <f>LET(
    lien,'Loan Tape (S&amp;P)'!Q586,
    IF(lien="First",1.00,
        IF(lien="Second",1.50,
            1.70)))</f>
        <v/>
      </c>
      <c r="K586">
        <f>LET(
    purpose,'Loan Tape (S&amp;P)'!R586,
    IF(purpose="Purchase",1.00,
        IF(purpose="Remortgage",1.00,
            1.20)))</f>
        <v/>
      </c>
      <c r="L586">
        <f>LET(
    arrears_months,'Loan Tape (S&amp;P)'!AN586,
    IF(arrears_months=0,1.00,
    IF(arrears_months=1,3.00,
    IF(arrears_months=2,5.00,
    IF(arrears_months=3,8.00,
    IF(arrears_months=4,10.00,
    IF(arrears_months=5,12.00,15.00)))))))</f>
        <v/>
      </c>
      <c r="M586">
        <f>LET(
    seasoning_years,DATEDIF('Loan Tape (S&amp;P)'!K586,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6">
        <f>IF(AND('Loan Tape (S&amp;P)'!U586="Yes",
        'Loan Tape (S&amp;P)'!T586&lt;&gt;"Yes",
        DATEDIF('Loan Tape (S&amp;P)'!K586, TODAY(), "M")&lt;18),
    1.10,
    1.00)</f>
        <v/>
      </c>
      <c r="O586">
        <f>IF('Loan Tape (S&amp;P)'!T586="Yes",
    1.35,
    1.00)</f>
        <v/>
      </c>
      <c r="P586">
        <f>IF('Loan Tape (S&amp;P)'!S586="Yes",
    1.15,
    1.00)</f>
        <v/>
      </c>
      <c r="Q586">
        <f>IF('Loan Tape (S&amp;P)'!V586="Yes",
    1.20,
    1.00)</f>
        <v/>
      </c>
      <c r="T586">
        <f>LET(
    payment_method,'Loan Tape (S&amp;P)'!P586,
    occupancy,'Loan Tape (S&amp;P)'!N586,
    maturity_date,'Loan Tape (S&amp;P)'!L586,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7">
      <c r="J587">
        <f>LET(
    lien,'Loan Tape (S&amp;P)'!Q587,
    IF(lien="First",1.00,
        IF(lien="Second",1.50,
            1.70)))</f>
        <v/>
      </c>
      <c r="K587">
        <f>LET(
    purpose,'Loan Tape (S&amp;P)'!R587,
    IF(purpose="Purchase",1.00,
        IF(purpose="Remortgage",1.00,
            1.20)))</f>
        <v/>
      </c>
      <c r="L587">
        <f>LET(
    arrears_months,'Loan Tape (S&amp;P)'!AN587,
    IF(arrears_months=0,1.00,
    IF(arrears_months=1,3.00,
    IF(arrears_months=2,5.00,
    IF(arrears_months=3,8.00,
    IF(arrears_months=4,10.00,
    IF(arrears_months=5,12.00,15.00)))))))</f>
        <v/>
      </c>
      <c r="M587">
        <f>LET(
    seasoning_years,DATEDIF('Loan Tape (S&amp;P)'!K587,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7">
        <f>IF(AND('Loan Tape (S&amp;P)'!U587="Yes",
        'Loan Tape (S&amp;P)'!T587&lt;&gt;"Yes",
        DATEDIF('Loan Tape (S&amp;P)'!K587, TODAY(), "M")&lt;18),
    1.10,
    1.00)</f>
        <v/>
      </c>
      <c r="O587">
        <f>IF('Loan Tape (S&amp;P)'!T587="Yes",
    1.35,
    1.00)</f>
        <v/>
      </c>
      <c r="P587">
        <f>IF('Loan Tape (S&amp;P)'!S587="Yes",
    1.15,
    1.00)</f>
        <v/>
      </c>
      <c r="Q587">
        <f>IF('Loan Tape (S&amp;P)'!V587="Yes",
    1.20,
    1.00)</f>
        <v/>
      </c>
      <c r="T587">
        <f>LET(
    payment_method,'Loan Tape (S&amp;P)'!P587,
    occupancy,'Loan Tape (S&amp;P)'!N587,
    maturity_date,'Loan Tape (S&amp;P)'!L587,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8">
      <c r="J588">
        <f>LET(
    lien,'Loan Tape (S&amp;P)'!Q588,
    IF(lien="First",1.00,
        IF(lien="Second",1.50,
            1.70)))</f>
        <v/>
      </c>
      <c r="K588">
        <f>LET(
    purpose,'Loan Tape (S&amp;P)'!R588,
    IF(purpose="Purchase",1.00,
        IF(purpose="Remortgage",1.00,
            1.20)))</f>
        <v/>
      </c>
      <c r="L588">
        <f>LET(
    arrears_months,'Loan Tape (S&amp;P)'!AN588,
    IF(arrears_months=0,1.00,
    IF(arrears_months=1,3.00,
    IF(arrears_months=2,5.00,
    IF(arrears_months=3,8.00,
    IF(arrears_months=4,10.00,
    IF(arrears_months=5,12.00,15.00)))))))</f>
        <v/>
      </c>
      <c r="M588">
        <f>LET(
    seasoning_years,DATEDIF('Loan Tape (S&amp;P)'!K588,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8">
        <f>IF(AND('Loan Tape (S&amp;P)'!U588="Yes",
        'Loan Tape (S&amp;P)'!T588&lt;&gt;"Yes",
        DATEDIF('Loan Tape (S&amp;P)'!K588, TODAY(), "M")&lt;18),
    1.10,
    1.00)</f>
        <v/>
      </c>
      <c r="O588">
        <f>IF('Loan Tape (S&amp;P)'!T588="Yes",
    1.35,
    1.00)</f>
        <v/>
      </c>
      <c r="P588">
        <f>IF('Loan Tape (S&amp;P)'!S588="Yes",
    1.15,
    1.00)</f>
        <v/>
      </c>
      <c r="Q588">
        <f>IF('Loan Tape (S&amp;P)'!V588="Yes",
    1.20,
    1.00)</f>
        <v/>
      </c>
      <c r="T588">
        <f>LET(
    payment_method,'Loan Tape (S&amp;P)'!P588,
    occupancy,'Loan Tape (S&amp;P)'!N588,
    maturity_date,'Loan Tape (S&amp;P)'!L588,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9">
      <c r="J589">
        <f>LET(
    lien,'Loan Tape (S&amp;P)'!Q589,
    IF(lien="First",1.00,
        IF(lien="Second",1.50,
            1.70)))</f>
        <v/>
      </c>
      <c r="K589">
        <f>LET(
    purpose,'Loan Tape (S&amp;P)'!R589,
    IF(purpose="Purchase",1.00,
        IF(purpose="Remortgage",1.00,
            1.20)))</f>
        <v/>
      </c>
      <c r="L589">
        <f>LET(
    arrears_months,'Loan Tape (S&amp;P)'!AN589,
    IF(arrears_months=0,1.00,
    IF(arrears_months=1,3.00,
    IF(arrears_months=2,5.00,
    IF(arrears_months=3,8.00,
    IF(arrears_months=4,10.00,
    IF(arrears_months=5,12.00,15.00)))))))</f>
        <v/>
      </c>
      <c r="M589">
        <f>LET(
    seasoning_years,DATEDIF('Loan Tape (S&amp;P)'!K589,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9">
        <f>IF(AND('Loan Tape (S&amp;P)'!U589="Yes",
        'Loan Tape (S&amp;P)'!T589&lt;&gt;"Yes",
        DATEDIF('Loan Tape (S&amp;P)'!K589, TODAY(), "M")&lt;18),
    1.10,
    1.00)</f>
        <v/>
      </c>
      <c r="O589">
        <f>IF('Loan Tape (S&amp;P)'!T589="Yes",
    1.35,
    1.00)</f>
        <v/>
      </c>
      <c r="P589">
        <f>IF('Loan Tape (S&amp;P)'!S589="Yes",
    1.15,
    1.00)</f>
        <v/>
      </c>
      <c r="Q589">
        <f>IF('Loan Tape (S&amp;P)'!V589="Yes",
    1.20,
    1.00)</f>
        <v/>
      </c>
      <c r="T589">
        <f>LET(
    payment_method,'Loan Tape (S&amp;P)'!P589,
    occupancy,'Loan Tape (S&amp;P)'!N589,
    maturity_date,'Loan Tape (S&amp;P)'!L589,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0">
      <c r="J590">
        <f>LET(
    lien,'Loan Tape (S&amp;P)'!Q590,
    IF(lien="First",1.00,
        IF(lien="Second",1.50,
            1.70)))</f>
        <v/>
      </c>
      <c r="K590">
        <f>LET(
    purpose,'Loan Tape (S&amp;P)'!R590,
    IF(purpose="Purchase",1.00,
        IF(purpose="Remortgage",1.00,
            1.20)))</f>
        <v/>
      </c>
      <c r="L590">
        <f>LET(
    arrears_months,'Loan Tape (S&amp;P)'!AN590,
    IF(arrears_months=0,1.00,
    IF(arrears_months=1,3.00,
    IF(arrears_months=2,5.00,
    IF(arrears_months=3,8.00,
    IF(arrears_months=4,10.00,
    IF(arrears_months=5,12.00,15.00)))))))</f>
        <v/>
      </c>
      <c r="M590">
        <f>LET(
    seasoning_years,DATEDIF('Loan Tape (S&amp;P)'!K590,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0">
        <f>IF(AND('Loan Tape (S&amp;P)'!U590="Yes",
        'Loan Tape (S&amp;P)'!T590&lt;&gt;"Yes",
        DATEDIF('Loan Tape (S&amp;P)'!K590, TODAY(), "M")&lt;18),
    1.10,
    1.00)</f>
        <v/>
      </c>
      <c r="O590">
        <f>IF('Loan Tape (S&amp;P)'!T590="Yes",
    1.35,
    1.00)</f>
        <v/>
      </c>
      <c r="P590">
        <f>IF('Loan Tape (S&amp;P)'!S590="Yes",
    1.15,
    1.00)</f>
        <v/>
      </c>
      <c r="Q590">
        <f>IF('Loan Tape (S&amp;P)'!V590="Yes",
    1.20,
    1.00)</f>
        <v/>
      </c>
      <c r="T590">
        <f>LET(
    payment_method,'Loan Tape (S&amp;P)'!P590,
    occupancy,'Loan Tape (S&amp;P)'!N590,
    maturity_date,'Loan Tape (S&amp;P)'!L590,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1">
      <c r="J591">
        <f>LET(
    lien,'Loan Tape (S&amp;P)'!Q591,
    IF(lien="First",1.00,
        IF(lien="Second",1.50,
            1.70)))</f>
        <v/>
      </c>
      <c r="K591">
        <f>LET(
    purpose,'Loan Tape (S&amp;P)'!R591,
    IF(purpose="Purchase",1.00,
        IF(purpose="Remortgage",1.00,
            1.20)))</f>
        <v/>
      </c>
      <c r="L591">
        <f>LET(
    arrears_months,'Loan Tape (S&amp;P)'!AN591,
    IF(arrears_months=0,1.00,
    IF(arrears_months=1,3.00,
    IF(arrears_months=2,5.00,
    IF(arrears_months=3,8.00,
    IF(arrears_months=4,10.00,
    IF(arrears_months=5,12.00,15.00)))))))</f>
        <v/>
      </c>
      <c r="M591">
        <f>LET(
    seasoning_years,DATEDIF('Loan Tape (S&amp;P)'!K591,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1">
        <f>IF(AND('Loan Tape (S&amp;P)'!U591="Yes",
        'Loan Tape (S&amp;P)'!T591&lt;&gt;"Yes",
        DATEDIF('Loan Tape (S&amp;P)'!K591, TODAY(), "M")&lt;18),
    1.10,
    1.00)</f>
        <v/>
      </c>
      <c r="O591">
        <f>IF('Loan Tape (S&amp;P)'!T591="Yes",
    1.35,
    1.00)</f>
        <v/>
      </c>
      <c r="P591">
        <f>IF('Loan Tape (S&amp;P)'!S591="Yes",
    1.15,
    1.00)</f>
        <v/>
      </c>
      <c r="Q591">
        <f>IF('Loan Tape (S&amp;P)'!V591="Yes",
    1.20,
    1.00)</f>
        <v/>
      </c>
      <c r="T591">
        <f>LET(
    payment_method,'Loan Tape (S&amp;P)'!P591,
    occupancy,'Loan Tape (S&amp;P)'!N591,
    maturity_date,'Loan Tape (S&amp;P)'!L591,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2">
      <c r="J592">
        <f>LET(
    lien,'Loan Tape (S&amp;P)'!Q592,
    IF(lien="First",1.00,
        IF(lien="Second",1.50,
            1.70)))</f>
        <v/>
      </c>
      <c r="K592">
        <f>LET(
    purpose,'Loan Tape (S&amp;P)'!R592,
    IF(purpose="Purchase",1.00,
        IF(purpose="Remortgage",1.00,
            1.20)))</f>
        <v/>
      </c>
      <c r="L592">
        <f>LET(
    arrears_months,'Loan Tape (S&amp;P)'!AN592,
    IF(arrears_months=0,1.00,
    IF(arrears_months=1,3.00,
    IF(arrears_months=2,5.00,
    IF(arrears_months=3,8.00,
    IF(arrears_months=4,10.00,
    IF(arrears_months=5,12.00,15.00)))))))</f>
        <v/>
      </c>
      <c r="M592">
        <f>LET(
    seasoning_years,DATEDIF('Loan Tape (S&amp;P)'!K592,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2">
        <f>IF(AND('Loan Tape (S&amp;P)'!U592="Yes",
        'Loan Tape (S&amp;P)'!T592&lt;&gt;"Yes",
        DATEDIF('Loan Tape (S&amp;P)'!K592, TODAY(), "M")&lt;18),
    1.10,
    1.00)</f>
        <v/>
      </c>
      <c r="O592">
        <f>IF('Loan Tape (S&amp;P)'!T592="Yes",
    1.35,
    1.00)</f>
        <v/>
      </c>
      <c r="P592">
        <f>IF('Loan Tape (S&amp;P)'!S592="Yes",
    1.15,
    1.00)</f>
        <v/>
      </c>
      <c r="Q592">
        <f>IF('Loan Tape (S&amp;P)'!V592="Yes",
    1.20,
    1.00)</f>
        <v/>
      </c>
      <c r="T592">
        <f>LET(
    payment_method,'Loan Tape (S&amp;P)'!P592,
    occupancy,'Loan Tape (S&amp;P)'!N592,
    maturity_date,'Loan Tape (S&amp;P)'!L592,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3">
      <c r="J593">
        <f>LET(
    lien,'Loan Tape (S&amp;P)'!Q593,
    IF(lien="First",1.00,
        IF(lien="Second",1.50,
            1.70)))</f>
        <v/>
      </c>
      <c r="K593">
        <f>LET(
    purpose,'Loan Tape (S&amp;P)'!R593,
    IF(purpose="Purchase",1.00,
        IF(purpose="Remortgage",1.00,
            1.20)))</f>
        <v/>
      </c>
      <c r="L593">
        <f>LET(
    arrears_months,'Loan Tape (S&amp;P)'!AN593,
    IF(arrears_months=0,1.00,
    IF(arrears_months=1,3.00,
    IF(arrears_months=2,5.00,
    IF(arrears_months=3,8.00,
    IF(arrears_months=4,10.00,
    IF(arrears_months=5,12.00,15.00)))))))</f>
        <v/>
      </c>
      <c r="M593">
        <f>LET(
    seasoning_years,DATEDIF('Loan Tape (S&amp;P)'!K593,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3">
        <f>IF(AND('Loan Tape (S&amp;P)'!U593="Yes",
        'Loan Tape (S&amp;P)'!T593&lt;&gt;"Yes",
        DATEDIF('Loan Tape (S&amp;P)'!K593, TODAY(), "M")&lt;18),
    1.10,
    1.00)</f>
        <v/>
      </c>
      <c r="O593">
        <f>IF('Loan Tape (S&amp;P)'!T593="Yes",
    1.35,
    1.00)</f>
        <v/>
      </c>
      <c r="P593">
        <f>IF('Loan Tape (S&amp;P)'!S593="Yes",
    1.15,
    1.00)</f>
        <v/>
      </c>
      <c r="Q593">
        <f>IF('Loan Tape (S&amp;P)'!V593="Yes",
    1.20,
    1.00)</f>
        <v/>
      </c>
      <c r="T593">
        <f>LET(
    payment_method,'Loan Tape (S&amp;P)'!P593,
    occupancy,'Loan Tape (S&amp;P)'!N593,
    maturity_date,'Loan Tape (S&amp;P)'!L593,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4">
      <c r="J594">
        <f>LET(
    lien,'Loan Tape (S&amp;P)'!Q594,
    IF(lien="First",1.00,
        IF(lien="Second",1.50,
            1.70)))</f>
        <v/>
      </c>
      <c r="K594">
        <f>LET(
    purpose,'Loan Tape (S&amp;P)'!R594,
    IF(purpose="Purchase",1.00,
        IF(purpose="Remortgage",1.00,
            1.20)))</f>
        <v/>
      </c>
      <c r="L594">
        <f>LET(
    arrears_months,'Loan Tape (S&amp;P)'!AN594,
    IF(arrears_months=0,1.00,
    IF(arrears_months=1,3.00,
    IF(arrears_months=2,5.00,
    IF(arrears_months=3,8.00,
    IF(arrears_months=4,10.00,
    IF(arrears_months=5,12.00,15.00)))))))</f>
        <v/>
      </c>
      <c r="M594">
        <f>LET(
    seasoning_years,DATEDIF('Loan Tape (S&amp;P)'!K594,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4">
        <f>IF(AND('Loan Tape (S&amp;P)'!U594="Yes",
        'Loan Tape (S&amp;P)'!T594&lt;&gt;"Yes",
        DATEDIF('Loan Tape (S&amp;P)'!K594, TODAY(), "M")&lt;18),
    1.10,
    1.00)</f>
        <v/>
      </c>
      <c r="O594">
        <f>IF('Loan Tape (S&amp;P)'!T594="Yes",
    1.35,
    1.00)</f>
        <v/>
      </c>
      <c r="P594">
        <f>IF('Loan Tape (S&amp;P)'!S594="Yes",
    1.15,
    1.00)</f>
        <v/>
      </c>
      <c r="Q594">
        <f>IF('Loan Tape (S&amp;P)'!V594="Yes",
    1.20,
    1.00)</f>
        <v/>
      </c>
      <c r="T594">
        <f>LET(
    payment_method,'Loan Tape (S&amp;P)'!P594,
    occupancy,'Loan Tape (S&amp;P)'!N594,
    maturity_date,'Loan Tape (S&amp;P)'!L594,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5">
      <c r="J595">
        <f>LET(
    lien,'Loan Tape (S&amp;P)'!Q595,
    IF(lien="First",1.00,
        IF(lien="Second",1.50,
            1.70)))</f>
        <v/>
      </c>
      <c r="K595">
        <f>LET(
    purpose,'Loan Tape (S&amp;P)'!R595,
    IF(purpose="Purchase",1.00,
        IF(purpose="Remortgage",1.00,
            1.20)))</f>
        <v/>
      </c>
      <c r="L595">
        <f>LET(
    arrears_months,'Loan Tape (S&amp;P)'!AN595,
    IF(arrears_months=0,1.00,
    IF(arrears_months=1,3.00,
    IF(arrears_months=2,5.00,
    IF(arrears_months=3,8.00,
    IF(arrears_months=4,10.00,
    IF(arrears_months=5,12.00,15.00)))))))</f>
        <v/>
      </c>
      <c r="M595">
        <f>LET(
    seasoning_years,DATEDIF('Loan Tape (S&amp;P)'!K595,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5">
        <f>IF(AND('Loan Tape (S&amp;P)'!U595="Yes",
        'Loan Tape (S&amp;P)'!T595&lt;&gt;"Yes",
        DATEDIF('Loan Tape (S&amp;P)'!K595, TODAY(), "M")&lt;18),
    1.10,
    1.00)</f>
        <v/>
      </c>
      <c r="O595">
        <f>IF('Loan Tape (S&amp;P)'!T595="Yes",
    1.35,
    1.00)</f>
        <v/>
      </c>
      <c r="P595">
        <f>IF('Loan Tape (S&amp;P)'!S595="Yes",
    1.15,
    1.00)</f>
        <v/>
      </c>
      <c r="Q595">
        <f>IF('Loan Tape (S&amp;P)'!V595="Yes",
    1.20,
    1.00)</f>
        <v/>
      </c>
      <c r="T595">
        <f>LET(
    payment_method,'Loan Tape (S&amp;P)'!P595,
    occupancy,'Loan Tape (S&amp;P)'!N595,
    maturity_date,'Loan Tape (S&amp;P)'!L595,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6">
      <c r="J596">
        <f>LET(
    lien,'Loan Tape (S&amp;P)'!Q596,
    IF(lien="First",1.00,
        IF(lien="Second",1.50,
            1.70)))</f>
        <v/>
      </c>
      <c r="K596">
        <f>LET(
    purpose,'Loan Tape (S&amp;P)'!R596,
    IF(purpose="Purchase",1.00,
        IF(purpose="Remortgage",1.00,
            1.20)))</f>
        <v/>
      </c>
      <c r="L596">
        <f>LET(
    arrears_months,'Loan Tape (S&amp;P)'!AN596,
    IF(arrears_months=0,1.00,
    IF(arrears_months=1,3.00,
    IF(arrears_months=2,5.00,
    IF(arrears_months=3,8.00,
    IF(arrears_months=4,10.00,
    IF(arrears_months=5,12.00,15.00)))))))</f>
        <v/>
      </c>
      <c r="M596">
        <f>LET(
    seasoning_years,DATEDIF('Loan Tape (S&amp;P)'!K596,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6">
        <f>IF(AND('Loan Tape (S&amp;P)'!U596="Yes",
        'Loan Tape (S&amp;P)'!T596&lt;&gt;"Yes",
        DATEDIF('Loan Tape (S&amp;P)'!K596, TODAY(), "M")&lt;18),
    1.10,
    1.00)</f>
        <v/>
      </c>
      <c r="O596">
        <f>IF('Loan Tape (S&amp;P)'!T596="Yes",
    1.35,
    1.00)</f>
        <v/>
      </c>
      <c r="P596">
        <f>IF('Loan Tape (S&amp;P)'!S596="Yes",
    1.15,
    1.00)</f>
        <v/>
      </c>
      <c r="Q596">
        <f>IF('Loan Tape (S&amp;P)'!V596="Yes",
    1.20,
    1.00)</f>
        <v/>
      </c>
      <c r="T596">
        <f>LET(
    payment_method,'Loan Tape (S&amp;P)'!P596,
    occupancy,'Loan Tape (S&amp;P)'!N596,
    maturity_date,'Loan Tape (S&amp;P)'!L596,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7">
      <c r="J597">
        <f>LET(
    lien,'Loan Tape (S&amp;P)'!Q597,
    IF(lien="First",1.00,
        IF(lien="Second",1.50,
            1.70)))</f>
        <v/>
      </c>
      <c r="K597">
        <f>LET(
    purpose,'Loan Tape (S&amp;P)'!R597,
    IF(purpose="Purchase",1.00,
        IF(purpose="Remortgage",1.00,
            1.20)))</f>
        <v/>
      </c>
      <c r="L597">
        <f>LET(
    arrears_months,'Loan Tape (S&amp;P)'!AN597,
    IF(arrears_months=0,1.00,
    IF(arrears_months=1,3.00,
    IF(arrears_months=2,5.00,
    IF(arrears_months=3,8.00,
    IF(arrears_months=4,10.00,
    IF(arrears_months=5,12.00,15.00)))))))</f>
        <v/>
      </c>
      <c r="M597">
        <f>LET(
    seasoning_years,DATEDIF('Loan Tape (S&amp;P)'!K597,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7">
        <f>IF(AND('Loan Tape (S&amp;P)'!U597="Yes",
        'Loan Tape (S&amp;P)'!T597&lt;&gt;"Yes",
        DATEDIF('Loan Tape (S&amp;P)'!K597, TODAY(), "M")&lt;18),
    1.10,
    1.00)</f>
        <v/>
      </c>
      <c r="O597">
        <f>IF('Loan Tape (S&amp;P)'!T597="Yes",
    1.35,
    1.00)</f>
        <v/>
      </c>
      <c r="P597">
        <f>IF('Loan Tape (S&amp;P)'!S597="Yes",
    1.15,
    1.00)</f>
        <v/>
      </c>
      <c r="Q597">
        <f>IF('Loan Tape (S&amp;P)'!V597="Yes",
    1.20,
    1.00)</f>
        <v/>
      </c>
      <c r="T597">
        <f>LET(
    payment_method,'Loan Tape (S&amp;P)'!P597,
    occupancy,'Loan Tape (S&amp;P)'!N597,
    maturity_date,'Loan Tape (S&amp;P)'!L597,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8">
      <c r="J598">
        <f>LET(
    lien,'Loan Tape (S&amp;P)'!Q598,
    IF(lien="First",1.00,
        IF(lien="Second",1.50,
            1.70)))</f>
        <v/>
      </c>
      <c r="K598">
        <f>LET(
    purpose,'Loan Tape (S&amp;P)'!R598,
    IF(purpose="Purchase",1.00,
        IF(purpose="Remortgage",1.00,
            1.20)))</f>
        <v/>
      </c>
      <c r="L598">
        <f>LET(
    arrears_months,'Loan Tape (S&amp;P)'!AN598,
    IF(arrears_months=0,1.00,
    IF(arrears_months=1,3.00,
    IF(arrears_months=2,5.00,
    IF(arrears_months=3,8.00,
    IF(arrears_months=4,10.00,
    IF(arrears_months=5,12.00,15.00)))))))</f>
        <v/>
      </c>
      <c r="M598">
        <f>LET(
    seasoning_years,DATEDIF('Loan Tape (S&amp;P)'!K598,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8">
        <f>IF(AND('Loan Tape (S&amp;P)'!U598="Yes",
        'Loan Tape (S&amp;P)'!T598&lt;&gt;"Yes",
        DATEDIF('Loan Tape (S&amp;P)'!K598, TODAY(), "M")&lt;18),
    1.10,
    1.00)</f>
        <v/>
      </c>
      <c r="O598">
        <f>IF('Loan Tape (S&amp;P)'!T598="Yes",
    1.35,
    1.00)</f>
        <v/>
      </c>
      <c r="P598">
        <f>IF('Loan Tape (S&amp;P)'!S598="Yes",
    1.15,
    1.00)</f>
        <v/>
      </c>
      <c r="Q598">
        <f>IF('Loan Tape (S&amp;P)'!V598="Yes",
    1.20,
    1.00)</f>
        <v/>
      </c>
      <c r="T598">
        <f>LET(
    payment_method,'Loan Tape (S&amp;P)'!P598,
    occupancy,'Loan Tape (S&amp;P)'!N598,
    maturity_date,'Loan Tape (S&amp;P)'!L598,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9">
      <c r="J599">
        <f>LET(
    lien,'Loan Tape (S&amp;P)'!Q599,
    IF(lien="First",1.00,
        IF(lien="Second",1.50,
            1.70)))</f>
        <v/>
      </c>
      <c r="K599">
        <f>LET(
    purpose,'Loan Tape (S&amp;P)'!R599,
    IF(purpose="Purchase",1.00,
        IF(purpose="Remortgage",1.00,
            1.20)))</f>
        <v/>
      </c>
      <c r="L599">
        <f>LET(
    arrears_months,'Loan Tape (S&amp;P)'!AN599,
    IF(arrears_months=0,1.00,
    IF(arrears_months=1,3.00,
    IF(arrears_months=2,5.00,
    IF(arrears_months=3,8.00,
    IF(arrears_months=4,10.00,
    IF(arrears_months=5,12.00,15.00)))))))</f>
        <v/>
      </c>
      <c r="M599">
        <f>LET(
    seasoning_years,DATEDIF('Loan Tape (S&amp;P)'!K599,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9">
        <f>IF(AND('Loan Tape (S&amp;P)'!U599="Yes",
        'Loan Tape (S&amp;P)'!T599&lt;&gt;"Yes",
        DATEDIF('Loan Tape (S&amp;P)'!K599, TODAY(), "M")&lt;18),
    1.10,
    1.00)</f>
        <v/>
      </c>
      <c r="O599">
        <f>IF('Loan Tape (S&amp;P)'!T599="Yes",
    1.35,
    1.00)</f>
        <v/>
      </c>
      <c r="P599">
        <f>IF('Loan Tape (S&amp;P)'!S599="Yes",
    1.15,
    1.00)</f>
        <v/>
      </c>
      <c r="Q599">
        <f>IF('Loan Tape (S&amp;P)'!V599="Yes",
    1.20,
    1.00)</f>
        <v/>
      </c>
      <c r="T599">
        <f>LET(
    payment_method,'Loan Tape (S&amp;P)'!P599,
    occupancy,'Loan Tape (S&amp;P)'!N599,
    maturity_date,'Loan Tape (S&amp;P)'!L599,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0">
      <c r="J600">
        <f>LET(
    lien,'Loan Tape (S&amp;P)'!Q600,
    IF(lien="First",1.00,
        IF(lien="Second",1.50,
            1.70)))</f>
        <v/>
      </c>
      <c r="K600">
        <f>LET(
    purpose,'Loan Tape (S&amp;P)'!R600,
    IF(purpose="Purchase",1.00,
        IF(purpose="Remortgage",1.00,
            1.20)))</f>
        <v/>
      </c>
      <c r="L600">
        <f>LET(
    arrears_months,'Loan Tape (S&amp;P)'!AN600,
    IF(arrears_months=0,1.00,
    IF(arrears_months=1,3.00,
    IF(arrears_months=2,5.00,
    IF(arrears_months=3,8.00,
    IF(arrears_months=4,10.00,
    IF(arrears_months=5,12.00,15.00)))))))</f>
        <v/>
      </c>
      <c r="M600">
        <f>LET(
    seasoning_years,DATEDIF('Loan Tape (S&amp;P)'!K600,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0">
        <f>IF(AND('Loan Tape (S&amp;P)'!U600="Yes",
        'Loan Tape (S&amp;P)'!T600&lt;&gt;"Yes",
        DATEDIF('Loan Tape (S&amp;P)'!K600, TODAY(), "M")&lt;18),
    1.10,
    1.00)</f>
        <v/>
      </c>
      <c r="O600">
        <f>IF('Loan Tape (S&amp;P)'!T600="Yes",
    1.35,
    1.00)</f>
        <v/>
      </c>
      <c r="P600">
        <f>IF('Loan Tape (S&amp;P)'!S600="Yes",
    1.15,
    1.00)</f>
        <v/>
      </c>
      <c r="Q600">
        <f>IF('Loan Tape (S&amp;P)'!V600="Yes",
    1.20,
    1.00)</f>
        <v/>
      </c>
      <c r="T600">
        <f>LET(
    payment_method,'Loan Tape (S&amp;P)'!P600,
    occupancy,'Loan Tape (S&amp;P)'!N600,
    maturity_date,'Loan Tape (S&amp;P)'!L600,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1">
      <c r="J601">
        <f>LET(
    lien,'Loan Tape (S&amp;P)'!Q601,
    IF(lien="First",1.00,
        IF(lien="Second",1.50,
            1.70)))</f>
        <v/>
      </c>
      <c r="K601">
        <f>LET(
    purpose,'Loan Tape (S&amp;P)'!R601,
    IF(purpose="Purchase",1.00,
        IF(purpose="Remortgage",1.00,
            1.20)))</f>
        <v/>
      </c>
      <c r="L601">
        <f>LET(
    arrears_months,'Loan Tape (S&amp;P)'!AN601,
    IF(arrears_months=0,1.00,
    IF(arrears_months=1,3.00,
    IF(arrears_months=2,5.00,
    IF(arrears_months=3,8.00,
    IF(arrears_months=4,10.00,
    IF(arrears_months=5,12.00,15.00)))))))</f>
        <v/>
      </c>
      <c r="M601">
        <f>LET(
    seasoning_years,DATEDIF('Loan Tape (S&amp;P)'!K601,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1">
        <f>IF(AND('Loan Tape (S&amp;P)'!U601="Yes",
        'Loan Tape (S&amp;P)'!T601&lt;&gt;"Yes",
        DATEDIF('Loan Tape (S&amp;P)'!K601, TODAY(), "M")&lt;18),
    1.10,
    1.00)</f>
        <v/>
      </c>
      <c r="O601">
        <f>IF('Loan Tape (S&amp;P)'!T601="Yes",
    1.35,
    1.00)</f>
        <v/>
      </c>
      <c r="P601">
        <f>IF('Loan Tape (S&amp;P)'!S601="Yes",
    1.15,
    1.00)</f>
        <v/>
      </c>
      <c r="Q601">
        <f>IF('Loan Tape (S&amp;P)'!V601="Yes",
    1.20,
    1.00)</f>
        <v/>
      </c>
      <c r="T601">
        <f>LET(
    payment_method,'Loan Tape (S&amp;P)'!P601,
    occupancy,'Loan Tape (S&amp;P)'!N601,
    maturity_date,'Loan Tape (S&amp;P)'!L601,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2">
      <c r="J602">
        <f>LET(
    lien,'Loan Tape (S&amp;P)'!Q602,
    IF(lien="First",1.00,
        IF(lien="Second",1.50,
            1.70)))</f>
        <v/>
      </c>
      <c r="K602">
        <f>LET(
    purpose,'Loan Tape (S&amp;P)'!R602,
    IF(purpose="Purchase",1.00,
        IF(purpose="Remortgage",1.00,
            1.20)))</f>
        <v/>
      </c>
      <c r="L602">
        <f>LET(
    arrears_months,'Loan Tape (S&amp;P)'!AN602,
    IF(arrears_months=0,1.00,
    IF(arrears_months=1,3.00,
    IF(arrears_months=2,5.00,
    IF(arrears_months=3,8.00,
    IF(arrears_months=4,10.00,
    IF(arrears_months=5,12.00,15.00)))))))</f>
        <v/>
      </c>
      <c r="M602">
        <f>LET(
    seasoning_years,DATEDIF('Loan Tape (S&amp;P)'!K602,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2">
        <f>IF(AND('Loan Tape (S&amp;P)'!U602="Yes",
        'Loan Tape (S&amp;P)'!T602&lt;&gt;"Yes",
        DATEDIF('Loan Tape (S&amp;P)'!K602, TODAY(), "M")&lt;18),
    1.10,
    1.00)</f>
        <v/>
      </c>
      <c r="O602">
        <f>IF('Loan Tape (S&amp;P)'!T602="Yes",
    1.35,
    1.00)</f>
        <v/>
      </c>
      <c r="P602">
        <f>IF('Loan Tape (S&amp;P)'!S602="Yes",
    1.15,
    1.00)</f>
        <v/>
      </c>
      <c r="Q602">
        <f>IF('Loan Tape (S&amp;P)'!V602="Yes",
    1.20,
    1.00)</f>
        <v/>
      </c>
      <c r="T602">
        <f>LET(
    payment_method,'Loan Tape (S&amp;P)'!P602,
    occupancy,'Loan Tape (S&amp;P)'!N602,
    maturity_date,'Loan Tape (S&amp;P)'!L602,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3">
      <c r="J603">
        <f>LET(
    lien,'Loan Tape (S&amp;P)'!Q603,
    IF(lien="First",1.00,
        IF(lien="Second",1.50,
            1.70)))</f>
        <v/>
      </c>
      <c r="K603">
        <f>LET(
    purpose,'Loan Tape (S&amp;P)'!R603,
    IF(purpose="Purchase",1.00,
        IF(purpose="Remortgage",1.00,
            1.20)))</f>
        <v/>
      </c>
      <c r="L603">
        <f>LET(
    arrears_months,'Loan Tape (S&amp;P)'!AN603,
    IF(arrears_months=0,1.00,
    IF(arrears_months=1,3.00,
    IF(arrears_months=2,5.00,
    IF(arrears_months=3,8.00,
    IF(arrears_months=4,10.00,
    IF(arrears_months=5,12.00,15.00)))))))</f>
        <v/>
      </c>
      <c r="M603">
        <f>LET(
    seasoning_years,DATEDIF('Loan Tape (S&amp;P)'!K603,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3">
        <f>IF(AND('Loan Tape (S&amp;P)'!U603="Yes",
        'Loan Tape (S&amp;P)'!T603&lt;&gt;"Yes",
        DATEDIF('Loan Tape (S&amp;P)'!K603, TODAY(), "M")&lt;18),
    1.10,
    1.00)</f>
        <v/>
      </c>
      <c r="O603">
        <f>IF('Loan Tape (S&amp;P)'!T603="Yes",
    1.35,
    1.00)</f>
        <v/>
      </c>
      <c r="P603">
        <f>IF('Loan Tape (S&amp;P)'!S603="Yes",
    1.15,
    1.00)</f>
        <v/>
      </c>
      <c r="Q603">
        <f>IF('Loan Tape (S&amp;P)'!V603="Yes",
    1.20,
    1.00)</f>
        <v/>
      </c>
      <c r="T603">
        <f>LET(
    payment_method,'Loan Tape (S&amp;P)'!P603,
    occupancy,'Loan Tape (S&amp;P)'!N603,
    maturity_date,'Loan Tape (S&amp;P)'!L603,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4">
      <c r="J604">
        <f>LET(
    lien,'Loan Tape (S&amp;P)'!Q604,
    IF(lien="First",1.00,
        IF(lien="Second",1.50,
            1.70)))</f>
        <v/>
      </c>
      <c r="K604">
        <f>LET(
    purpose,'Loan Tape (S&amp;P)'!R604,
    IF(purpose="Purchase",1.00,
        IF(purpose="Remortgage",1.00,
            1.20)))</f>
        <v/>
      </c>
      <c r="L604">
        <f>LET(
    arrears_months,'Loan Tape (S&amp;P)'!AN604,
    IF(arrears_months=0,1.00,
    IF(arrears_months=1,3.00,
    IF(arrears_months=2,5.00,
    IF(arrears_months=3,8.00,
    IF(arrears_months=4,10.00,
    IF(arrears_months=5,12.00,15.00)))))))</f>
        <v/>
      </c>
      <c r="M604">
        <f>LET(
    seasoning_years,DATEDIF('Loan Tape (S&amp;P)'!K604,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4">
        <f>IF(AND('Loan Tape (S&amp;P)'!U604="Yes",
        'Loan Tape (S&amp;P)'!T604&lt;&gt;"Yes",
        DATEDIF('Loan Tape (S&amp;P)'!K604, TODAY(), "M")&lt;18),
    1.10,
    1.00)</f>
        <v/>
      </c>
      <c r="O604">
        <f>IF('Loan Tape (S&amp;P)'!T604="Yes",
    1.35,
    1.00)</f>
        <v/>
      </c>
      <c r="P604">
        <f>IF('Loan Tape (S&amp;P)'!S604="Yes",
    1.15,
    1.00)</f>
        <v/>
      </c>
      <c r="Q604">
        <f>IF('Loan Tape (S&amp;P)'!V604="Yes",
    1.20,
    1.00)</f>
        <v/>
      </c>
      <c r="T604">
        <f>LET(
    payment_method,'Loan Tape (S&amp;P)'!P604,
    occupancy,'Loan Tape (S&amp;P)'!N604,
    maturity_date,'Loan Tape (S&amp;P)'!L604,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5">
      <c r="J605">
        <f>LET(
    lien,'Loan Tape (S&amp;P)'!Q605,
    IF(lien="First",1.00,
        IF(lien="Second",1.50,
            1.70)))</f>
        <v/>
      </c>
      <c r="K605">
        <f>LET(
    purpose,'Loan Tape (S&amp;P)'!R605,
    IF(purpose="Purchase",1.00,
        IF(purpose="Remortgage",1.00,
            1.20)))</f>
        <v/>
      </c>
      <c r="L605">
        <f>LET(
    arrears_months,'Loan Tape (S&amp;P)'!AN605,
    IF(arrears_months=0,1.00,
    IF(arrears_months=1,3.00,
    IF(arrears_months=2,5.00,
    IF(arrears_months=3,8.00,
    IF(arrears_months=4,10.00,
    IF(arrears_months=5,12.00,15.00)))))))</f>
        <v/>
      </c>
      <c r="M605">
        <f>LET(
    seasoning_years,DATEDIF('Loan Tape (S&amp;P)'!K605,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5">
        <f>IF(AND('Loan Tape (S&amp;P)'!U605="Yes",
        'Loan Tape (S&amp;P)'!T605&lt;&gt;"Yes",
        DATEDIF('Loan Tape (S&amp;P)'!K605, TODAY(), "M")&lt;18),
    1.10,
    1.00)</f>
        <v/>
      </c>
      <c r="O605">
        <f>IF('Loan Tape (S&amp;P)'!T605="Yes",
    1.35,
    1.00)</f>
        <v/>
      </c>
      <c r="P605">
        <f>IF('Loan Tape (S&amp;P)'!S605="Yes",
    1.15,
    1.00)</f>
        <v/>
      </c>
      <c r="Q605">
        <f>IF('Loan Tape (S&amp;P)'!V605="Yes",
    1.20,
    1.00)</f>
        <v/>
      </c>
      <c r="T605">
        <f>LET(
    payment_method,'Loan Tape (S&amp;P)'!P605,
    occupancy,'Loan Tape (S&amp;P)'!N605,
    maturity_date,'Loan Tape (S&amp;P)'!L605,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6">
      <c r="J606">
        <f>LET(
    lien,'Loan Tape (S&amp;P)'!Q606,
    IF(lien="First",1.00,
        IF(lien="Second",1.50,
            1.70)))</f>
        <v/>
      </c>
      <c r="K606">
        <f>LET(
    purpose,'Loan Tape (S&amp;P)'!R606,
    IF(purpose="Purchase",1.00,
        IF(purpose="Remortgage",1.00,
            1.20)))</f>
        <v/>
      </c>
      <c r="L606">
        <f>LET(
    arrears_months,'Loan Tape (S&amp;P)'!AN606,
    IF(arrears_months=0,1.00,
    IF(arrears_months=1,3.00,
    IF(arrears_months=2,5.00,
    IF(arrears_months=3,8.00,
    IF(arrears_months=4,10.00,
    IF(arrears_months=5,12.00,15.00)))))))</f>
        <v/>
      </c>
      <c r="M606">
        <f>LET(
    seasoning_years,DATEDIF('Loan Tape (S&amp;P)'!K606,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6">
        <f>IF(AND('Loan Tape (S&amp;P)'!U606="Yes",
        'Loan Tape (S&amp;P)'!T606&lt;&gt;"Yes",
        DATEDIF('Loan Tape (S&amp;P)'!K606, TODAY(), "M")&lt;18),
    1.10,
    1.00)</f>
        <v/>
      </c>
      <c r="O606">
        <f>IF('Loan Tape (S&amp;P)'!T606="Yes",
    1.35,
    1.00)</f>
        <v/>
      </c>
      <c r="P606">
        <f>IF('Loan Tape (S&amp;P)'!S606="Yes",
    1.15,
    1.00)</f>
        <v/>
      </c>
      <c r="Q606">
        <f>IF('Loan Tape (S&amp;P)'!V606="Yes",
    1.20,
    1.00)</f>
        <v/>
      </c>
      <c r="T606">
        <f>LET(
    payment_method,'Loan Tape (S&amp;P)'!P606,
    occupancy,'Loan Tape (S&amp;P)'!N606,
    maturity_date,'Loan Tape (S&amp;P)'!L606,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7">
      <c r="J607">
        <f>LET(
    lien,'Loan Tape (S&amp;P)'!Q607,
    IF(lien="First",1.00,
        IF(lien="Second",1.50,
            1.70)))</f>
        <v/>
      </c>
      <c r="K607">
        <f>LET(
    purpose,'Loan Tape (S&amp;P)'!R607,
    IF(purpose="Purchase",1.00,
        IF(purpose="Remortgage",1.00,
            1.20)))</f>
        <v/>
      </c>
      <c r="L607">
        <f>LET(
    arrears_months,'Loan Tape (S&amp;P)'!AN607,
    IF(arrears_months=0,1.00,
    IF(arrears_months=1,3.00,
    IF(arrears_months=2,5.00,
    IF(arrears_months=3,8.00,
    IF(arrears_months=4,10.00,
    IF(arrears_months=5,12.00,15.00)))))))</f>
        <v/>
      </c>
      <c r="M607">
        <f>LET(
    seasoning_years,DATEDIF('Loan Tape (S&amp;P)'!K607,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7">
        <f>IF(AND('Loan Tape (S&amp;P)'!U607="Yes",
        'Loan Tape (S&amp;P)'!T607&lt;&gt;"Yes",
        DATEDIF('Loan Tape (S&amp;P)'!K607, TODAY(), "M")&lt;18),
    1.10,
    1.00)</f>
        <v/>
      </c>
      <c r="O607">
        <f>IF('Loan Tape (S&amp;P)'!T607="Yes",
    1.35,
    1.00)</f>
        <v/>
      </c>
      <c r="P607">
        <f>IF('Loan Tape (S&amp;P)'!S607="Yes",
    1.15,
    1.00)</f>
        <v/>
      </c>
      <c r="Q607">
        <f>IF('Loan Tape (S&amp;P)'!V607="Yes",
    1.20,
    1.00)</f>
        <v/>
      </c>
      <c r="T607">
        <f>LET(
    payment_method,'Loan Tape (S&amp;P)'!P607,
    occupancy,'Loan Tape (S&amp;P)'!N607,
    maturity_date,'Loan Tape (S&amp;P)'!L607,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8">
      <c r="J608">
        <f>LET(
    lien,'Loan Tape (S&amp;P)'!Q608,
    IF(lien="First",1.00,
        IF(lien="Second",1.50,
            1.70)))</f>
        <v/>
      </c>
      <c r="K608">
        <f>LET(
    purpose,'Loan Tape (S&amp;P)'!R608,
    IF(purpose="Purchase",1.00,
        IF(purpose="Remortgage",1.00,
            1.20)))</f>
        <v/>
      </c>
      <c r="L608">
        <f>LET(
    arrears_months,'Loan Tape (S&amp;P)'!AN608,
    IF(arrears_months=0,1.00,
    IF(arrears_months=1,3.00,
    IF(arrears_months=2,5.00,
    IF(arrears_months=3,8.00,
    IF(arrears_months=4,10.00,
    IF(arrears_months=5,12.00,15.00)))))))</f>
        <v/>
      </c>
      <c r="M608">
        <f>LET(
    seasoning_years,DATEDIF('Loan Tape (S&amp;P)'!K608,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8">
        <f>IF(AND('Loan Tape (S&amp;P)'!U608="Yes",
        'Loan Tape (S&amp;P)'!T608&lt;&gt;"Yes",
        DATEDIF('Loan Tape (S&amp;P)'!K608, TODAY(), "M")&lt;18),
    1.10,
    1.00)</f>
        <v/>
      </c>
      <c r="O608">
        <f>IF('Loan Tape (S&amp;P)'!T608="Yes",
    1.35,
    1.00)</f>
        <v/>
      </c>
      <c r="P608">
        <f>IF('Loan Tape (S&amp;P)'!S608="Yes",
    1.15,
    1.00)</f>
        <v/>
      </c>
      <c r="Q608">
        <f>IF('Loan Tape (S&amp;P)'!V608="Yes",
    1.20,
    1.00)</f>
        <v/>
      </c>
      <c r="T608">
        <f>LET(
    payment_method,'Loan Tape (S&amp;P)'!P608,
    occupancy,'Loan Tape (S&amp;P)'!N608,
    maturity_date,'Loan Tape (S&amp;P)'!L608,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9">
      <c r="J609">
        <f>LET(
    lien,'Loan Tape (S&amp;P)'!Q609,
    IF(lien="First",1.00,
        IF(lien="Second",1.50,
            1.70)))</f>
        <v/>
      </c>
      <c r="K609">
        <f>LET(
    purpose,'Loan Tape (S&amp;P)'!R609,
    IF(purpose="Purchase",1.00,
        IF(purpose="Remortgage",1.00,
            1.20)))</f>
        <v/>
      </c>
      <c r="L609">
        <f>LET(
    arrears_months,'Loan Tape (S&amp;P)'!AN609,
    IF(arrears_months=0,1.00,
    IF(arrears_months=1,3.00,
    IF(arrears_months=2,5.00,
    IF(arrears_months=3,8.00,
    IF(arrears_months=4,10.00,
    IF(arrears_months=5,12.00,15.00)))))))</f>
        <v/>
      </c>
      <c r="M609">
        <f>LET(
    seasoning_years,DATEDIF('Loan Tape (S&amp;P)'!K609,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9">
        <f>IF(AND('Loan Tape (S&amp;P)'!U609="Yes",
        'Loan Tape (S&amp;P)'!T609&lt;&gt;"Yes",
        DATEDIF('Loan Tape (S&amp;P)'!K609, TODAY(), "M")&lt;18),
    1.10,
    1.00)</f>
        <v/>
      </c>
      <c r="O609">
        <f>IF('Loan Tape (S&amp;P)'!T609="Yes",
    1.35,
    1.00)</f>
        <v/>
      </c>
      <c r="P609">
        <f>IF('Loan Tape (S&amp;P)'!S609="Yes",
    1.15,
    1.00)</f>
        <v/>
      </c>
      <c r="Q609">
        <f>IF('Loan Tape (S&amp;P)'!V609="Yes",
    1.20,
    1.00)</f>
        <v/>
      </c>
      <c r="T609">
        <f>LET(
    payment_method,'Loan Tape (S&amp;P)'!P609,
    occupancy,'Loan Tape (S&amp;P)'!N609,
    maturity_date,'Loan Tape (S&amp;P)'!L609,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0">
      <c r="J610">
        <f>LET(
    lien,'Loan Tape (S&amp;P)'!Q610,
    IF(lien="First",1.00,
        IF(lien="Second",1.50,
            1.70)))</f>
        <v/>
      </c>
      <c r="K610">
        <f>LET(
    purpose,'Loan Tape (S&amp;P)'!R610,
    IF(purpose="Purchase",1.00,
        IF(purpose="Remortgage",1.00,
            1.20)))</f>
        <v/>
      </c>
      <c r="L610">
        <f>LET(
    arrears_months,'Loan Tape (S&amp;P)'!AN610,
    IF(arrears_months=0,1.00,
    IF(arrears_months=1,3.00,
    IF(arrears_months=2,5.00,
    IF(arrears_months=3,8.00,
    IF(arrears_months=4,10.00,
    IF(arrears_months=5,12.00,15.00)))))))</f>
        <v/>
      </c>
      <c r="M610">
        <f>LET(
    seasoning_years,DATEDIF('Loan Tape (S&amp;P)'!K610,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0">
        <f>IF(AND('Loan Tape (S&amp;P)'!U610="Yes",
        'Loan Tape (S&amp;P)'!T610&lt;&gt;"Yes",
        DATEDIF('Loan Tape (S&amp;P)'!K610, TODAY(), "M")&lt;18),
    1.10,
    1.00)</f>
        <v/>
      </c>
      <c r="O610">
        <f>IF('Loan Tape (S&amp;P)'!T610="Yes",
    1.35,
    1.00)</f>
        <v/>
      </c>
      <c r="P610">
        <f>IF('Loan Tape (S&amp;P)'!S610="Yes",
    1.15,
    1.00)</f>
        <v/>
      </c>
      <c r="Q610">
        <f>IF('Loan Tape (S&amp;P)'!V610="Yes",
    1.20,
    1.00)</f>
        <v/>
      </c>
      <c r="T610">
        <f>LET(
    payment_method,'Loan Tape (S&amp;P)'!P610,
    occupancy,'Loan Tape (S&amp;P)'!N610,
    maturity_date,'Loan Tape (S&amp;P)'!L610,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1">
      <c r="J611">
        <f>LET(
    lien,'Loan Tape (S&amp;P)'!Q611,
    IF(lien="First",1.00,
        IF(lien="Second",1.50,
            1.70)))</f>
        <v/>
      </c>
      <c r="K611">
        <f>LET(
    purpose,'Loan Tape (S&amp;P)'!R611,
    IF(purpose="Purchase",1.00,
        IF(purpose="Remortgage",1.00,
            1.20)))</f>
        <v/>
      </c>
      <c r="L611">
        <f>LET(
    arrears_months,'Loan Tape (S&amp;P)'!AN611,
    IF(arrears_months=0,1.00,
    IF(arrears_months=1,3.00,
    IF(arrears_months=2,5.00,
    IF(arrears_months=3,8.00,
    IF(arrears_months=4,10.00,
    IF(arrears_months=5,12.00,15.00)))))))</f>
        <v/>
      </c>
      <c r="M611">
        <f>LET(
    seasoning_years,DATEDIF('Loan Tape (S&amp;P)'!K611,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1">
        <f>IF(AND('Loan Tape (S&amp;P)'!U611="Yes",
        'Loan Tape (S&amp;P)'!T611&lt;&gt;"Yes",
        DATEDIF('Loan Tape (S&amp;P)'!K611, TODAY(), "M")&lt;18),
    1.10,
    1.00)</f>
        <v/>
      </c>
      <c r="O611">
        <f>IF('Loan Tape (S&amp;P)'!T611="Yes",
    1.35,
    1.00)</f>
        <v/>
      </c>
      <c r="P611">
        <f>IF('Loan Tape (S&amp;P)'!S611="Yes",
    1.15,
    1.00)</f>
        <v/>
      </c>
      <c r="Q611">
        <f>IF('Loan Tape (S&amp;P)'!V611="Yes",
    1.20,
    1.00)</f>
        <v/>
      </c>
      <c r="T611">
        <f>LET(
    payment_method,'Loan Tape (S&amp;P)'!P611,
    occupancy,'Loan Tape (S&amp;P)'!N611,
    maturity_date,'Loan Tape (S&amp;P)'!L611,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2">
      <c r="J612">
        <f>LET(
    lien,'Loan Tape (S&amp;P)'!Q612,
    IF(lien="First",1.00,
        IF(lien="Second",1.50,
            1.70)))</f>
        <v/>
      </c>
      <c r="K612">
        <f>LET(
    purpose,'Loan Tape (S&amp;P)'!R612,
    IF(purpose="Purchase",1.00,
        IF(purpose="Remortgage",1.00,
            1.20)))</f>
        <v/>
      </c>
      <c r="L612">
        <f>LET(
    arrears_months,'Loan Tape (S&amp;P)'!AN612,
    IF(arrears_months=0,1.00,
    IF(arrears_months=1,3.00,
    IF(arrears_months=2,5.00,
    IF(arrears_months=3,8.00,
    IF(arrears_months=4,10.00,
    IF(arrears_months=5,12.00,15.00)))))))</f>
        <v/>
      </c>
      <c r="M612">
        <f>LET(
    seasoning_years,DATEDIF('Loan Tape (S&amp;P)'!K612,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2">
        <f>IF(AND('Loan Tape (S&amp;P)'!U612="Yes",
        'Loan Tape (S&amp;P)'!T612&lt;&gt;"Yes",
        DATEDIF('Loan Tape (S&amp;P)'!K612, TODAY(), "M")&lt;18),
    1.10,
    1.00)</f>
        <v/>
      </c>
      <c r="O612">
        <f>IF('Loan Tape (S&amp;P)'!T612="Yes",
    1.35,
    1.00)</f>
        <v/>
      </c>
      <c r="P612">
        <f>IF('Loan Tape (S&amp;P)'!S612="Yes",
    1.15,
    1.00)</f>
        <v/>
      </c>
      <c r="Q612">
        <f>IF('Loan Tape (S&amp;P)'!V612="Yes",
    1.20,
    1.00)</f>
        <v/>
      </c>
      <c r="T612">
        <f>LET(
    payment_method,'Loan Tape (S&amp;P)'!P612,
    occupancy,'Loan Tape (S&amp;P)'!N612,
    maturity_date,'Loan Tape (S&amp;P)'!L612,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3">
      <c r="J613">
        <f>LET(
    lien,'Loan Tape (S&amp;P)'!Q613,
    IF(lien="First",1.00,
        IF(lien="Second",1.50,
            1.70)))</f>
        <v/>
      </c>
      <c r="K613">
        <f>LET(
    purpose,'Loan Tape (S&amp;P)'!R613,
    IF(purpose="Purchase",1.00,
        IF(purpose="Remortgage",1.00,
            1.20)))</f>
        <v/>
      </c>
      <c r="L613">
        <f>LET(
    arrears_months,'Loan Tape (S&amp;P)'!AN613,
    IF(arrears_months=0,1.00,
    IF(arrears_months=1,3.00,
    IF(arrears_months=2,5.00,
    IF(arrears_months=3,8.00,
    IF(arrears_months=4,10.00,
    IF(arrears_months=5,12.00,15.00)))))))</f>
        <v/>
      </c>
      <c r="M613">
        <f>LET(
    seasoning_years,DATEDIF('Loan Tape (S&amp;P)'!K613,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3">
        <f>IF(AND('Loan Tape (S&amp;P)'!U613="Yes",
        'Loan Tape (S&amp;P)'!T613&lt;&gt;"Yes",
        DATEDIF('Loan Tape (S&amp;P)'!K613, TODAY(), "M")&lt;18),
    1.10,
    1.00)</f>
        <v/>
      </c>
      <c r="O613">
        <f>IF('Loan Tape (S&amp;P)'!T613="Yes",
    1.35,
    1.00)</f>
        <v/>
      </c>
      <c r="P613">
        <f>IF('Loan Tape (S&amp;P)'!S613="Yes",
    1.15,
    1.00)</f>
        <v/>
      </c>
      <c r="Q613">
        <f>IF('Loan Tape (S&amp;P)'!V613="Yes",
    1.20,
    1.00)</f>
        <v/>
      </c>
      <c r="T613">
        <f>LET(
    payment_method,'Loan Tape (S&amp;P)'!P613,
    occupancy,'Loan Tape (S&amp;P)'!N613,
    maturity_date,'Loan Tape (S&amp;P)'!L613,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4">
      <c r="J614">
        <f>LET(
    lien,'Loan Tape (S&amp;P)'!Q614,
    IF(lien="First",1.00,
        IF(lien="Second",1.50,
            1.70)))</f>
        <v/>
      </c>
      <c r="K614">
        <f>LET(
    purpose,'Loan Tape (S&amp;P)'!R614,
    IF(purpose="Purchase",1.00,
        IF(purpose="Remortgage",1.00,
            1.20)))</f>
        <v/>
      </c>
      <c r="L614">
        <f>LET(
    arrears_months,'Loan Tape (S&amp;P)'!AN614,
    IF(arrears_months=0,1.00,
    IF(arrears_months=1,3.00,
    IF(arrears_months=2,5.00,
    IF(arrears_months=3,8.00,
    IF(arrears_months=4,10.00,
    IF(arrears_months=5,12.00,15.00)))))))</f>
        <v/>
      </c>
      <c r="M614">
        <f>LET(
    seasoning_years,DATEDIF('Loan Tape (S&amp;P)'!K614,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4">
        <f>IF(AND('Loan Tape (S&amp;P)'!U614="Yes",
        'Loan Tape (S&amp;P)'!T614&lt;&gt;"Yes",
        DATEDIF('Loan Tape (S&amp;P)'!K614, TODAY(), "M")&lt;18),
    1.10,
    1.00)</f>
        <v/>
      </c>
      <c r="O614">
        <f>IF('Loan Tape (S&amp;P)'!T614="Yes",
    1.35,
    1.00)</f>
        <v/>
      </c>
      <c r="P614">
        <f>IF('Loan Tape (S&amp;P)'!S614="Yes",
    1.15,
    1.00)</f>
        <v/>
      </c>
      <c r="Q614">
        <f>IF('Loan Tape (S&amp;P)'!V614="Yes",
    1.20,
    1.00)</f>
        <v/>
      </c>
      <c r="T614">
        <f>LET(
    payment_method,'Loan Tape (S&amp;P)'!P614,
    occupancy,'Loan Tape (S&amp;P)'!N614,
    maturity_date,'Loan Tape (S&amp;P)'!L614,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5">
      <c r="J615">
        <f>LET(
    lien,'Loan Tape (S&amp;P)'!Q615,
    IF(lien="First",1.00,
        IF(lien="Second",1.50,
            1.70)))</f>
        <v/>
      </c>
      <c r="K615">
        <f>LET(
    purpose,'Loan Tape (S&amp;P)'!R615,
    IF(purpose="Purchase",1.00,
        IF(purpose="Remortgage",1.00,
            1.20)))</f>
        <v/>
      </c>
      <c r="L615">
        <f>LET(
    arrears_months,'Loan Tape (S&amp;P)'!AN615,
    IF(arrears_months=0,1.00,
    IF(arrears_months=1,3.00,
    IF(arrears_months=2,5.00,
    IF(arrears_months=3,8.00,
    IF(arrears_months=4,10.00,
    IF(arrears_months=5,12.00,15.00)))))))</f>
        <v/>
      </c>
      <c r="M615">
        <f>LET(
    seasoning_years,DATEDIF('Loan Tape (S&amp;P)'!K615,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5">
        <f>IF(AND('Loan Tape (S&amp;P)'!U615="Yes",
        'Loan Tape (S&amp;P)'!T615&lt;&gt;"Yes",
        DATEDIF('Loan Tape (S&amp;P)'!K615, TODAY(), "M")&lt;18),
    1.10,
    1.00)</f>
        <v/>
      </c>
      <c r="O615">
        <f>IF('Loan Tape (S&amp;P)'!T615="Yes",
    1.35,
    1.00)</f>
        <v/>
      </c>
      <c r="P615">
        <f>IF('Loan Tape (S&amp;P)'!S615="Yes",
    1.15,
    1.00)</f>
        <v/>
      </c>
      <c r="Q615">
        <f>IF('Loan Tape (S&amp;P)'!V615="Yes",
    1.20,
    1.00)</f>
        <v/>
      </c>
      <c r="T615">
        <f>LET(
    payment_method,'Loan Tape (S&amp;P)'!P615,
    occupancy,'Loan Tape (S&amp;P)'!N615,
    maturity_date,'Loan Tape (S&amp;P)'!L615,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6">
      <c r="J616">
        <f>LET(
    lien,'Loan Tape (S&amp;P)'!Q616,
    IF(lien="First",1.00,
        IF(lien="Second",1.50,
            1.70)))</f>
        <v/>
      </c>
      <c r="K616">
        <f>LET(
    purpose,'Loan Tape (S&amp;P)'!R616,
    IF(purpose="Purchase",1.00,
        IF(purpose="Remortgage",1.00,
            1.20)))</f>
        <v/>
      </c>
      <c r="L616">
        <f>LET(
    arrears_months,'Loan Tape (S&amp;P)'!AN616,
    IF(arrears_months=0,1.00,
    IF(arrears_months=1,3.00,
    IF(arrears_months=2,5.00,
    IF(arrears_months=3,8.00,
    IF(arrears_months=4,10.00,
    IF(arrears_months=5,12.00,15.00)))))))</f>
        <v/>
      </c>
      <c r="M616">
        <f>LET(
    seasoning_years,DATEDIF('Loan Tape (S&amp;P)'!K616,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6">
        <f>IF(AND('Loan Tape (S&amp;P)'!U616="Yes",
        'Loan Tape (S&amp;P)'!T616&lt;&gt;"Yes",
        DATEDIF('Loan Tape (S&amp;P)'!K616, TODAY(), "M")&lt;18),
    1.10,
    1.00)</f>
        <v/>
      </c>
      <c r="O616">
        <f>IF('Loan Tape (S&amp;P)'!T616="Yes",
    1.35,
    1.00)</f>
        <v/>
      </c>
      <c r="P616">
        <f>IF('Loan Tape (S&amp;P)'!S616="Yes",
    1.15,
    1.00)</f>
        <v/>
      </c>
      <c r="Q616">
        <f>IF('Loan Tape (S&amp;P)'!V616="Yes",
    1.20,
    1.00)</f>
        <v/>
      </c>
      <c r="T616">
        <f>LET(
    payment_method,'Loan Tape (S&amp;P)'!P616,
    occupancy,'Loan Tape (S&amp;P)'!N616,
    maturity_date,'Loan Tape (S&amp;P)'!L616,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7">
      <c r="J617">
        <f>LET(
    lien,'Loan Tape (S&amp;P)'!Q617,
    IF(lien="First",1.00,
        IF(lien="Second",1.50,
            1.70)))</f>
        <v/>
      </c>
      <c r="K617">
        <f>LET(
    purpose,'Loan Tape (S&amp;P)'!R617,
    IF(purpose="Purchase",1.00,
        IF(purpose="Remortgage",1.00,
            1.20)))</f>
        <v/>
      </c>
      <c r="L617">
        <f>LET(
    arrears_months,'Loan Tape (S&amp;P)'!AN617,
    IF(arrears_months=0,1.00,
    IF(arrears_months=1,3.00,
    IF(arrears_months=2,5.00,
    IF(arrears_months=3,8.00,
    IF(arrears_months=4,10.00,
    IF(arrears_months=5,12.00,15.00)))))))</f>
        <v/>
      </c>
      <c r="M617">
        <f>LET(
    seasoning_years,DATEDIF('Loan Tape (S&amp;P)'!K617,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7">
        <f>IF(AND('Loan Tape (S&amp;P)'!U617="Yes",
        'Loan Tape (S&amp;P)'!T617&lt;&gt;"Yes",
        DATEDIF('Loan Tape (S&amp;P)'!K617, TODAY(), "M")&lt;18),
    1.10,
    1.00)</f>
        <v/>
      </c>
      <c r="O617">
        <f>IF('Loan Tape (S&amp;P)'!T617="Yes",
    1.35,
    1.00)</f>
        <v/>
      </c>
      <c r="P617">
        <f>IF('Loan Tape (S&amp;P)'!S617="Yes",
    1.15,
    1.00)</f>
        <v/>
      </c>
      <c r="Q617">
        <f>IF('Loan Tape (S&amp;P)'!V617="Yes",
    1.20,
    1.00)</f>
        <v/>
      </c>
      <c r="T617">
        <f>LET(
    payment_method,'Loan Tape (S&amp;P)'!P617,
    occupancy,'Loan Tape (S&amp;P)'!N617,
    maturity_date,'Loan Tape (S&amp;P)'!L617,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8">
      <c r="J618">
        <f>LET(
    lien,'Loan Tape (S&amp;P)'!Q618,
    IF(lien="First",1.00,
        IF(lien="Second",1.50,
            1.70)))</f>
        <v/>
      </c>
      <c r="K618">
        <f>LET(
    purpose,'Loan Tape (S&amp;P)'!R618,
    IF(purpose="Purchase",1.00,
        IF(purpose="Remortgage",1.00,
            1.20)))</f>
        <v/>
      </c>
      <c r="L618">
        <f>LET(
    arrears_months,'Loan Tape (S&amp;P)'!AN618,
    IF(arrears_months=0,1.00,
    IF(arrears_months=1,3.00,
    IF(arrears_months=2,5.00,
    IF(arrears_months=3,8.00,
    IF(arrears_months=4,10.00,
    IF(arrears_months=5,12.00,15.00)))))))</f>
        <v/>
      </c>
      <c r="M618">
        <f>LET(
    seasoning_years,DATEDIF('Loan Tape (S&amp;P)'!K618,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8">
        <f>IF(AND('Loan Tape (S&amp;P)'!U618="Yes",
        'Loan Tape (S&amp;P)'!T618&lt;&gt;"Yes",
        DATEDIF('Loan Tape (S&amp;P)'!K618, TODAY(), "M")&lt;18),
    1.10,
    1.00)</f>
        <v/>
      </c>
      <c r="O618">
        <f>IF('Loan Tape (S&amp;P)'!T618="Yes",
    1.35,
    1.00)</f>
        <v/>
      </c>
      <c r="P618">
        <f>IF('Loan Tape (S&amp;P)'!S618="Yes",
    1.15,
    1.00)</f>
        <v/>
      </c>
      <c r="Q618">
        <f>IF('Loan Tape (S&amp;P)'!V618="Yes",
    1.20,
    1.00)</f>
        <v/>
      </c>
      <c r="T618">
        <f>LET(
    payment_method,'Loan Tape (S&amp;P)'!P618,
    occupancy,'Loan Tape (S&amp;P)'!N618,
    maturity_date,'Loan Tape (S&amp;P)'!L618,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9">
      <c r="J619">
        <f>LET(
    lien,'Loan Tape (S&amp;P)'!Q619,
    IF(lien="First",1.00,
        IF(lien="Second",1.50,
            1.70)))</f>
        <v/>
      </c>
      <c r="K619">
        <f>LET(
    purpose,'Loan Tape (S&amp;P)'!R619,
    IF(purpose="Purchase",1.00,
        IF(purpose="Remortgage",1.00,
            1.20)))</f>
        <v/>
      </c>
      <c r="L619">
        <f>LET(
    arrears_months,'Loan Tape (S&amp;P)'!AN619,
    IF(arrears_months=0,1.00,
    IF(arrears_months=1,3.00,
    IF(arrears_months=2,5.00,
    IF(arrears_months=3,8.00,
    IF(arrears_months=4,10.00,
    IF(arrears_months=5,12.00,15.00)))))))</f>
        <v/>
      </c>
      <c r="M619">
        <f>LET(
    seasoning_years,DATEDIF('Loan Tape (S&amp;P)'!K619,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9">
        <f>IF(AND('Loan Tape (S&amp;P)'!U619="Yes",
        'Loan Tape (S&amp;P)'!T619&lt;&gt;"Yes",
        DATEDIF('Loan Tape (S&amp;P)'!K619, TODAY(), "M")&lt;18),
    1.10,
    1.00)</f>
        <v/>
      </c>
      <c r="O619">
        <f>IF('Loan Tape (S&amp;P)'!T619="Yes",
    1.35,
    1.00)</f>
        <v/>
      </c>
      <c r="P619">
        <f>IF('Loan Tape (S&amp;P)'!S619="Yes",
    1.15,
    1.00)</f>
        <v/>
      </c>
      <c r="Q619">
        <f>IF('Loan Tape (S&amp;P)'!V619="Yes",
    1.20,
    1.00)</f>
        <v/>
      </c>
      <c r="T619">
        <f>LET(
    payment_method,'Loan Tape (S&amp;P)'!P619,
    occupancy,'Loan Tape (S&amp;P)'!N619,
    maturity_date,'Loan Tape (S&amp;P)'!L619,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0">
      <c r="J620">
        <f>LET(
    lien,'Loan Tape (S&amp;P)'!Q620,
    IF(lien="First",1.00,
        IF(lien="Second",1.50,
            1.70)))</f>
        <v/>
      </c>
      <c r="K620">
        <f>LET(
    purpose,'Loan Tape (S&amp;P)'!R620,
    IF(purpose="Purchase",1.00,
        IF(purpose="Remortgage",1.00,
            1.20)))</f>
        <v/>
      </c>
      <c r="L620">
        <f>LET(
    arrears_months,'Loan Tape (S&amp;P)'!AN620,
    IF(arrears_months=0,1.00,
    IF(arrears_months=1,3.00,
    IF(arrears_months=2,5.00,
    IF(arrears_months=3,8.00,
    IF(arrears_months=4,10.00,
    IF(arrears_months=5,12.00,15.00)))))))</f>
        <v/>
      </c>
      <c r="M620">
        <f>LET(
    seasoning_years,DATEDIF('Loan Tape (S&amp;P)'!K620,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0">
        <f>IF(AND('Loan Tape (S&amp;P)'!U620="Yes",
        'Loan Tape (S&amp;P)'!T620&lt;&gt;"Yes",
        DATEDIF('Loan Tape (S&amp;P)'!K620, TODAY(), "M")&lt;18),
    1.10,
    1.00)</f>
        <v/>
      </c>
      <c r="O620">
        <f>IF('Loan Tape (S&amp;P)'!T620="Yes",
    1.35,
    1.00)</f>
        <v/>
      </c>
      <c r="P620">
        <f>IF('Loan Tape (S&amp;P)'!S620="Yes",
    1.15,
    1.00)</f>
        <v/>
      </c>
      <c r="Q620">
        <f>IF('Loan Tape (S&amp;P)'!V620="Yes",
    1.20,
    1.00)</f>
        <v/>
      </c>
      <c r="T620">
        <f>LET(
    payment_method,'Loan Tape (S&amp;P)'!P620,
    occupancy,'Loan Tape (S&amp;P)'!N620,
    maturity_date,'Loan Tape (S&amp;P)'!L620,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1">
      <c r="J621">
        <f>LET(
    lien,'Loan Tape (S&amp;P)'!Q621,
    IF(lien="First",1.00,
        IF(lien="Second",1.50,
            1.70)))</f>
        <v/>
      </c>
      <c r="K621">
        <f>LET(
    purpose,'Loan Tape (S&amp;P)'!R621,
    IF(purpose="Purchase",1.00,
        IF(purpose="Remortgage",1.00,
            1.20)))</f>
        <v/>
      </c>
      <c r="L621">
        <f>LET(
    arrears_months,'Loan Tape (S&amp;P)'!AN621,
    IF(arrears_months=0,1.00,
    IF(arrears_months=1,3.00,
    IF(arrears_months=2,5.00,
    IF(arrears_months=3,8.00,
    IF(arrears_months=4,10.00,
    IF(arrears_months=5,12.00,15.00)))))))</f>
        <v/>
      </c>
      <c r="M621">
        <f>LET(
    seasoning_years,DATEDIF('Loan Tape (S&amp;P)'!K621,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1">
        <f>IF(AND('Loan Tape (S&amp;P)'!U621="Yes",
        'Loan Tape (S&amp;P)'!T621&lt;&gt;"Yes",
        DATEDIF('Loan Tape (S&amp;P)'!K621, TODAY(), "M")&lt;18),
    1.10,
    1.00)</f>
        <v/>
      </c>
      <c r="O621">
        <f>IF('Loan Tape (S&amp;P)'!T621="Yes",
    1.35,
    1.00)</f>
        <v/>
      </c>
      <c r="P621">
        <f>IF('Loan Tape (S&amp;P)'!S621="Yes",
    1.15,
    1.00)</f>
        <v/>
      </c>
      <c r="Q621">
        <f>IF('Loan Tape (S&amp;P)'!V621="Yes",
    1.20,
    1.00)</f>
        <v/>
      </c>
      <c r="T621">
        <f>LET(
    payment_method,'Loan Tape (S&amp;P)'!P621,
    occupancy,'Loan Tape (S&amp;P)'!N621,
    maturity_date,'Loan Tape (S&amp;P)'!L621,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2">
      <c r="J622">
        <f>LET(
    lien,'Loan Tape (S&amp;P)'!Q622,
    IF(lien="First",1.00,
        IF(lien="Second",1.50,
            1.70)))</f>
        <v/>
      </c>
      <c r="K622">
        <f>LET(
    purpose,'Loan Tape (S&amp;P)'!R622,
    IF(purpose="Purchase",1.00,
        IF(purpose="Remortgage",1.00,
            1.20)))</f>
        <v/>
      </c>
      <c r="L622">
        <f>LET(
    arrears_months,'Loan Tape (S&amp;P)'!AN622,
    IF(arrears_months=0,1.00,
    IF(arrears_months=1,3.00,
    IF(arrears_months=2,5.00,
    IF(arrears_months=3,8.00,
    IF(arrears_months=4,10.00,
    IF(arrears_months=5,12.00,15.00)))))))</f>
        <v/>
      </c>
      <c r="M622">
        <f>LET(
    seasoning_years,DATEDIF('Loan Tape (S&amp;P)'!K622,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2">
        <f>IF(AND('Loan Tape (S&amp;P)'!U622="Yes",
        'Loan Tape (S&amp;P)'!T622&lt;&gt;"Yes",
        DATEDIF('Loan Tape (S&amp;P)'!K622, TODAY(), "M")&lt;18),
    1.10,
    1.00)</f>
        <v/>
      </c>
      <c r="O622">
        <f>IF('Loan Tape (S&amp;P)'!T622="Yes",
    1.35,
    1.00)</f>
        <v/>
      </c>
      <c r="P622">
        <f>IF('Loan Tape (S&amp;P)'!S622="Yes",
    1.15,
    1.00)</f>
        <v/>
      </c>
      <c r="Q622">
        <f>IF('Loan Tape (S&amp;P)'!V622="Yes",
    1.20,
    1.00)</f>
        <v/>
      </c>
      <c r="T622">
        <f>LET(
    payment_method,'Loan Tape (S&amp;P)'!P622,
    occupancy,'Loan Tape (S&amp;P)'!N622,
    maturity_date,'Loan Tape (S&amp;P)'!L622,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3">
      <c r="J623">
        <f>LET(
    lien,'Loan Tape (S&amp;P)'!Q623,
    IF(lien="First",1.00,
        IF(lien="Second",1.50,
            1.70)))</f>
        <v/>
      </c>
      <c r="K623">
        <f>LET(
    purpose,'Loan Tape (S&amp;P)'!R623,
    IF(purpose="Purchase",1.00,
        IF(purpose="Remortgage",1.00,
            1.20)))</f>
        <v/>
      </c>
      <c r="L623">
        <f>LET(
    arrears_months,'Loan Tape (S&amp;P)'!AN623,
    IF(arrears_months=0,1.00,
    IF(arrears_months=1,3.00,
    IF(arrears_months=2,5.00,
    IF(arrears_months=3,8.00,
    IF(arrears_months=4,10.00,
    IF(arrears_months=5,12.00,15.00)))))))</f>
        <v/>
      </c>
      <c r="M623">
        <f>LET(
    seasoning_years,DATEDIF('Loan Tape (S&amp;P)'!K623,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3">
        <f>IF(AND('Loan Tape (S&amp;P)'!U623="Yes",
        'Loan Tape (S&amp;P)'!T623&lt;&gt;"Yes",
        DATEDIF('Loan Tape (S&amp;P)'!K623, TODAY(), "M")&lt;18),
    1.10,
    1.00)</f>
        <v/>
      </c>
      <c r="O623">
        <f>IF('Loan Tape (S&amp;P)'!T623="Yes",
    1.35,
    1.00)</f>
        <v/>
      </c>
      <c r="P623">
        <f>IF('Loan Tape (S&amp;P)'!S623="Yes",
    1.15,
    1.00)</f>
        <v/>
      </c>
      <c r="Q623">
        <f>IF('Loan Tape (S&amp;P)'!V623="Yes",
    1.20,
    1.00)</f>
        <v/>
      </c>
      <c r="T623">
        <f>LET(
    payment_method,'Loan Tape (S&amp;P)'!P623,
    occupancy,'Loan Tape (S&amp;P)'!N623,
    maturity_date,'Loan Tape (S&amp;P)'!L623,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4">
      <c r="J624">
        <f>LET(
    lien,'Loan Tape (S&amp;P)'!Q624,
    IF(lien="First",1.00,
        IF(lien="Second",1.50,
            1.70)))</f>
        <v/>
      </c>
      <c r="K624">
        <f>LET(
    purpose,'Loan Tape (S&amp;P)'!R624,
    IF(purpose="Purchase",1.00,
        IF(purpose="Remortgage",1.00,
            1.20)))</f>
        <v/>
      </c>
      <c r="L624">
        <f>LET(
    arrears_months,'Loan Tape (S&amp;P)'!AN624,
    IF(arrears_months=0,1.00,
    IF(arrears_months=1,3.00,
    IF(arrears_months=2,5.00,
    IF(arrears_months=3,8.00,
    IF(arrears_months=4,10.00,
    IF(arrears_months=5,12.00,15.00)))))))</f>
        <v/>
      </c>
      <c r="M624">
        <f>LET(
    seasoning_years,DATEDIF('Loan Tape (S&amp;P)'!K624,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4">
        <f>IF(AND('Loan Tape (S&amp;P)'!U624="Yes",
        'Loan Tape (S&amp;P)'!T624&lt;&gt;"Yes",
        DATEDIF('Loan Tape (S&amp;P)'!K624, TODAY(), "M")&lt;18),
    1.10,
    1.00)</f>
        <v/>
      </c>
      <c r="O624">
        <f>IF('Loan Tape (S&amp;P)'!T624="Yes",
    1.35,
    1.00)</f>
        <v/>
      </c>
      <c r="P624">
        <f>IF('Loan Tape (S&amp;P)'!S624="Yes",
    1.15,
    1.00)</f>
        <v/>
      </c>
      <c r="Q624">
        <f>IF('Loan Tape (S&amp;P)'!V624="Yes",
    1.20,
    1.00)</f>
        <v/>
      </c>
      <c r="T624">
        <f>LET(
    payment_method,'Loan Tape (S&amp;P)'!P624,
    occupancy,'Loan Tape (S&amp;P)'!N624,
    maturity_date,'Loan Tape (S&amp;P)'!L624,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5">
      <c r="J625">
        <f>LET(
    lien,'Loan Tape (S&amp;P)'!Q625,
    IF(lien="First",1.00,
        IF(lien="Second",1.50,
            1.70)))</f>
        <v/>
      </c>
      <c r="K625">
        <f>LET(
    purpose,'Loan Tape (S&amp;P)'!R625,
    IF(purpose="Purchase",1.00,
        IF(purpose="Remortgage",1.00,
            1.20)))</f>
        <v/>
      </c>
      <c r="L625">
        <f>LET(
    arrears_months,'Loan Tape (S&amp;P)'!AN625,
    IF(arrears_months=0,1.00,
    IF(arrears_months=1,3.00,
    IF(arrears_months=2,5.00,
    IF(arrears_months=3,8.00,
    IF(arrears_months=4,10.00,
    IF(arrears_months=5,12.00,15.00)))))))</f>
        <v/>
      </c>
      <c r="M625">
        <f>LET(
    seasoning_years,DATEDIF('Loan Tape (S&amp;P)'!K625,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5">
        <f>IF(AND('Loan Tape (S&amp;P)'!U625="Yes",
        'Loan Tape (S&amp;P)'!T625&lt;&gt;"Yes",
        DATEDIF('Loan Tape (S&amp;P)'!K625, TODAY(), "M")&lt;18),
    1.10,
    1.00)</f>
        <v/>
      </c>
      <c r="O625">
        <f>IF('Loan Tape (S&amp;P)'!T625="Yes",
    1.35,
    1.00)</f>
        <v/>
      </c>
      <c r="P625">
        <f>IF('Loan Tape (S&amp;P)'!S625="Yes",
    1.15,
    1.00)</f>
        <v/>
      </c>
      <c r="Q625">
        <f>IF('Loan Tape (S&amp;P)'!V625="Yes",
    1.20,
    1.00)</f>
        <v/>
      </c>
      <c r="T625">
        <f>LET(
    payment_method,'Loan Tape (S&amp;P)'!P625,
    occupancy,'Loan Tape (S&amp;P)'!N625,
    maturity_date,'Loan Tape (S&amp;P)'!L625,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6">
      <c r="J626">
        <f>LET(
    lien,'Loan Tape (S&amp;P)'!Q626,
    IF(lien="First",1.00,
        IF(lien="Second",1.50,
            1.70)))</f>
        <v/>
      </c>
      <c r="K626">
        <f>LET(
    purpose,'Loan Tape (S&amp;P)'!R626,
    IF(purpose="Purchase",1.00,
        IF(purpose="Remortgage",1.00,
            1.20)))</f>
        <v/>
      </c>
      <c r="L626">
        <f>LET(
    arrears_months,'Loan Tape (S&amp;P)'!AN626,
    IF(arrears_months=0,1.00,
    IF(arrears_months=1,3.00,
    IF(arrears_months=2,5.00,
    IF(arrears_months=3,8.00,
    IF(arrears_months=4,10.00,
    IF(arrears_months=5,12.00,15.00)))))))</f>
        <v/>
      </c>
      <c r="M626">
        <f>LET(
    seasoning_years,DATEDIF('Loan Tape (S&amp;P)'!K626,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6">
        <f>IF(AND('Loan Tape (S&amp;P)'!U626="Yes",
        'Loan Tape (S&amp;P)'!T626&lt;&gt;"Yes",
        DATEDIF('Loan Tape (S&amp;P)'!K626, TODAY(), "M")&lt;18),
    1.10,
    1.00)</f>
        <v/>
      </c>
      <c r="O626">
        <f>IF('Loan Tape (S&amp;P)'!T626="Yes",
    1.35,
    1.00)</f>
        <v/>
      </c>
      <c r="P626">
        <f>IF('Loan Tape (S&amp;P)'!S626="Yes",
    1.15,
    1.00)</f>
        <v/>
      </c>
      <c r="Q626">
        <f>IF('Loan Tape (S&amp;P)'!V626="Yes",
    1.20,
    1.00)</f>
        <v/>
      </c>
      <c r="T626">
        <f>LET(
    payment_method,'Loan Tape (S&amp;P)'!P626,
    occupancy,'Loan Tape (S&amp;P)'!N626,
    maturity_date,'Loan Tape (S&amp;P)'!L626,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7">
      <c r="J627">
        <f>LET(
    lien,'Loan Tape (S&amp;P)'!Q627,
    IF(lien="First",1.00,
        IF(lien="Second",1.50,
            1.70)))</f>
        <v/>
      </c>
      <c r="K627">
        <f>LET(
    purpose,'Loan Tape (S&amp;P)'!R627,
    IF(purpose="Purchase",1.00,
        IF(purpose="Remortgage",1.00,
            1.20)))</f>
        <v/>
      </c>
      <c r="L627">
        <f>LET(
    arrears_months,'Loan Tape (S&amp;P)'!AN627,
    IF(arrears_months=0,1.00,
    IF(arrears_months=1,3.00,
    IF(arrears_months=2,5.00,
    IF(arrears_months=3,8.00,
    IF(arrears_months=4,10.00,
    IF(arrears_months=5,12.00,15.00)))))))</f>
        <v/>
      </c>
      <c r="M627">
        <f>LET(
    seasoning_years,DATEDIF('Loan Tape (S&amp;P)'!K627,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7">
        <f>IF(AND('Loan Tape (S&amp;P)'!U627="Yes",
        'Loan Tape (S&amp;P)'!T627&lt;&gt;"Yes",
        DATEDIF('Loan Tape (S&amp;P)'!K627, TODAY(), "M")&lt;18),
    1.10,
    1.00)</f>
        <v/>
      </c>
      <c r="O627">
        <f>IF('Loan Tape (S&amp;P)'!T627="Yes",
    1.35,
    1.00)</f>
        <v/>
      </c>
      <c r="P627">
        <f>IF('Loan Tape (S&amp;P)'!S627="Yes",
    1.15,
    1.00)</f>
        <v/>
      </c>
      <c r="Q627">
        <f>IF('Loan Tape (S&amp;P)'!V627="Yes",
    1.20,
    1.00)</f>
        <v/>
      </c>
      <c r="T627">
        <f>LET(
    payment_method,'Loan Tape (S&amp;P)'!P627,
    occupancy,'Loan Tape (S&amp;P)'!N627,
    maturity_date,'Loan Tape (S&amp;P)'!L627,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8">
      <c r="J628">
        <f>LET(
    lien,'Loan Tape (S&amp;P)'!Q628,
    IF(lien="First",1.00,
        IF(lien="Second",1.50,
            1.70)))</f>
        <v/>
      </c>
      <c r="K628">
        <f>LET(
    purpose,'Loan Tape (S&amp;P)'!R628,
    IF(purpose="Purchase",1.00,
        IF(purpose="Remortgage",1.00,
            1.20)))</f>
        <v/>
      </c>
      <c r="L628">
        <f>LET(
    arrears_months,'Loan Tape (S&amp;P)'!AN628,
    IF(arrears_months=0,1.00,
    IF(arrears_months=1,3.00,
    IF(arrears_months=2,5.00,
    IF(arrears_months=3,8.00,
    IF(arrears_months=4,10.00,
    IF(arrears_months=5,12.00,15.00)))))))</f>
        <v/>
      </c>
      <c r="M628">
        <f>LET(
    seasoning_years,DATEDIF('Loan Tape (S&amp;P)'!K628,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8">
        <f>IF(AND('Loan Tape (S&amp;P)'!U628="Yes",
        'Loan Tape (S&amp;P)'!T628&lt;&gt;"Yes",
        DATEDIF('Loan Tape (S&amp;P)'!K628, TODAY(), "M")&lt;18),
    1.10,
    1.00)</f>
        <v/>
      </c>
      <c r="O628">
        <f>IF('Loan Tape (S&amp;P)'!T628="Yes",
    1.35,
    1.00)</f>
        <v/>
      </c>
      <c r="P628">
        <f>IF('Loan Tape (S&amp;P)'!S628="Yes",
    1.15,
    1.00)</f>
        <v/>
      </c>
      <c r="Q628">
        <f>IF('Loan Tape (S&amp;P)'!V628="Yes",
    1.20,
    1.00)</f>
        <v/>
      </c>
      <c r="T628">
        <f>LET(
    payment_method,'Loan Tape (S&amp;P)'!P628,
    occupancy,'Loan Tape (S&amp;P)'!N628,
    maturity_date,'Loan Tape (S&amp;P)'!L628,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9">
      <c r="J629">
        <f>LET(
    lien,'Loan Tape (S&amp;P)'!Q629,
    IF(lien="First",1.00,
        IF(lien="Second",1.50,
            1.70)))</f>
        <v/>
      </c>
      <c r="K629">
        <f>LET(
    purpose,'Loan Tape (S&amp;P)'!R629,
    IF(purpose="Purchase",1.00,
        IF(purpose="Remortgage",1.00,
            1.20)))</f>
        <v/>
      </c>
      <c r="L629">
        <f>LET(
    arrears_months,'Loan Tape (S&amp;P)'!AN629,
    IF(arrears_months=0,1.00,
    IF(arrears_months=1,3.00,
    IF(arrears_months=2,5.00,
    IF(arrears_months=3,8.00,
    IF(arrears_months=4,10.00,
    IF(arrears_months=5,12.00,15.00)))))))</f>
        <v/>
      </c>
      <c r="M629">
        <f>LET(
    seasoning_years,DATEDIF('Loan Tape (S&amp;P)'!K629,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9">
        <f>IF(AND('Loan Tape (S&amp;P)'!U629="Yes",
        'Loan Tape (S&amp;P)'!T629&lt;&gt;"Yes",
        DATEDIF('Loan Tape (S&amp;P)'!K629, TODAY(), "M")&lt;18),
    1.10,
    1.00)</f>
        <v/>
      </c>
      <c r="O629">
        <f>IF('Loan Tape (S&amp;P)'!T629="Yes",
    1.35,
    1.00)</f>
        <v/>
      </c>
      <c r="P629">
        <f>IF('Loan Tape (S&amp;P)'!S629="Yes",
    1.15,
    1.00)</f>
        <v/>
      </c>
      <c r="Q629">
        <f>IF('Loan Tape (S&amp;P)'!V629="Yes",
    1.20,
    1.00)</f>
        <v/>
      </c>
      <c r="T629">
        <f>LET(
    payment_method,'Loan Tape (S&amp;P)'!P629,
    occupancy,'Loan Tape (S&amp;P)'!N629,
    maturity_date,'Loan Tape (S&amp;P)'!L629,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0">
      <c r="J630">
        <f>LET(
    lien,'Loan Tape (S&amp;P)'!Q630,
    IF(lien="First",1.00,
        IF(lien="Second",1.50,
            1.70)))</f>
        <v/>
      </c>
      <c r="K630">
        <f>LET(
    purpose,'Loan Tape (S&amp;P)'!R630,
    IF(purpose="Purchase",1.00,
        IF(purpose="Remortgage",1.00,
            1.20)))</f>
        <v/>
      </c>
      <c r="L630">
        <f>LET(
    arrears_months,'Loan Tape (S&amp;P)'!AN630,
    IF(arrears_months=0,1.00,
    IF(arrears_months=1,3.00,
    IF(arrears_months=2,5.00,
    IF(arrears_months=3,8.00,
    IF(arrears_months=4,10.00,
    IF(arrears_months=5,12.00,15.00)))))))</f>
        <v/>
      </c>
      <c r="M630">
        <f>LET(
    seasoning_years,DATEDIF('Loan Tape (S&amp;P)'!K630,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0">
        <f>IF(AND('Loan Tape (S&amp;P)'!U630="Yes",
        'Loan Tape (S&amp;P)'!T630&lt;&gt;"Yes",
        DATEDIF('Loan Tape (S&amp;P)'!K630, TODAY(), "M")&lt;18),
    1.10,
    1.00)</f>
        <v/>
      </c>
      <c r="O630">
        <f>IF('Loan Tape (S&amp;P)'!T630="Yes",
    1.35,
    1.00)</f>
        <v/>
      </c>
      <c r="P630">
        <f>IF('Loan Tape (S&amp;P)'!S630="Yes",
    1.15,
    1.00)</f>
        <v/>
      </c>
      <c r="Q630">
        <f>IF('Loan Tape (S&amp;P)'!V630="Yes",
    1.20,
    1.00)</f>
        <v/>
      </c>
      <c r="T630">
        <f>LET(
    payment_method,'Loan Tape (S&amp;P)'!P630,
    occupancy,'Loan Tape (S&amp;P)'!N630,
    maturity_date,'Loan Tape (S&amp;P)'!L630,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1">
      <c r="J631">
        <f>LET(
    lien,'Loan Tape (S&amp;P)'!Q631,
    IF(lien="First",1.00,
        IF(lien="Second",1.50,
            1.70)))</f>
        <v/>
      </c>
      <c r="K631">
        <f>LET(
    purpose,'Loan Tape (S&amp;P)'!R631,
    IF(purpose="Purchase",1.00,
        IF(purpose="Remortgage",1.00,
            1.20)))</f>
        <v/>
      </c>
      <c r="L631">
        <f>LET(
    arrears_months,'Loan Tape (S&amp;P)'!AN631,
    IF(arrears_months=0,1.00,
    IF(arrears_months=1,3.00,
    IF(arrears_months=2,5.00,
    IF(arrears_months=3,8.00,
    IF(arrears_months=4,10.00,
    IF(arrears_months=5,12.00,15.00)))))))</f>
        <v/>
      </c>
      <c r="M631">
        <f>LET(
    seasoning_years,DATEDIF('Loan Tape (S&amp;P)'!K631,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1">
        <f>IF(AND('Loan Tape (S&amp;P)'!U631="Yes",
        'Loan Tape (S&amp;P)'!T631&lt;&gt;"Yes",
        DATEDIF('Loan Tape (S&amp;P)'!K631, TODAY(), "M")&lt;18),
    1.10,
    1.00)</f>
        <v/>
      </c>
      <c r="O631">
        <f>IF('Loan Tape (S&amp;P)'!T631="Yes",
    1.35,
    1.00)</f>
        <v/>
      </c>
      <c r="P631">
        <f>IF('Loan Tape (S&amp;P)'!S631="Yes",
    1.15,
    1.00)</f>
        <v/>
      </c>
      <c r="Q631">
        <f>IF('Loan Tape (S&amp;P)'!V631="Yes",
    1.20,
    1.00)</f>
        <v/>
      </c>
      <c r="T631">
        <f>LET(
    payment_method,'Loan Tape (S&amp;P)'!P631,
    occupancy,'Loan Tape (S&amp;P)'!N631,
    maturity_date,'Loan Tape (S&amp;P)'!L631,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2">
      <c r="J632">
        <f>LET(
    lien,'Loan Tape (S&amp;P)'!Q632,
    IF(lien="First",1.00,
        IF(lien="Second",1.50,
            1.70)))</f>
        <v/>
      </c>
      <c r="K632">
        <f>LET(
    purpose,'Loan Tape (S&amp;P)'!R632,
    IF(purpose="Purchase",1.00,
        IF(purpose="Remortgage",1.00,
            1.20)))</f>
        <v/>
      </c>
      <c r="L632">
        <f>LET(
    arrears_months,'Loan Tape (S&amp;P)'!AN632,
    IF(arrears_months=0,1.00,
    IF(arrears_months=1,3.00,
    IF(arrears_months=2,5.00,
    IF(arrears_months=3,8.00,
    IF(arrears_months=4,10.00,
    IF(arrears_months=5,12.00,15.00)))))))</f>
        <v/>
      </c>
      <c r="M632">
        <f>LET(
    seasoning_years,DATEDIF('Loan Tape (S&amp;P)'!K632,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2">
        <f>IF(AND('Loan Tape (S&amp;P)'!U632="Yes",
        'Loan Tape (S&amp;P)'!T632&lt;&gt;"Yes",
        DATEDIF('Loan Tape (S&amp;P)'!K632, TODAY(), "M")&lt;18),
    1.10,
    1.00)</f>
        <v/>
      </c>
      <c r="O632">
        <f>IF('Loan Tape (S&amp;P)'!T632="Yes",
    1.35,
    1.00)</f>
        <v/>
      </c>
      <c r="P632">
        <f>IF('Loan Tape (S&amp;P)'!S632="Yes",
    1.15,
    1.00)</f>
        <v/>
      </c>
      <c r="Q632">
        <f>IF('Loan Tape (S&amp;P)'!V632="Yes",
    1.20,
    1.00)</f>
        <v/>
      </c>
      <c r="T632">
        <f>LET(
    payment_method,'Loan Tape (S&amp;P)'!P632,
    occupancy,'Loan Tape (S&amp;P)'!N632,
    maturity_date,'Loan Tape (S&amp;P)'!L632,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3">
      <c r="J633">
        <f>LET(
    lien,'Loan Tape (S&amp;P)'!Q633,
    IF(lien="First",1.00,
        IF(lien="Second",1.50,
            1.70)))</f>
        <v/>
      </c>
      <c r="K633">
        <f>LET(
    purpose,'Loan Tape (S&amp;P)'!R633,
    IF(purpose="Purchase",1.00,
        IF(purpose="Remortgage",1.00,
            1.20)))</f>
        <v/>
      </c>
      <c r="L633">
        <f>LET(
    arrears_months,'Loan Tape (S&amp;P)'!AN633,
    IF(arrears_months=0,1.00,
    IF(arrears_months=1,3.00,
    IF(arrears_months=2,5.00,
    IF(arrears_months=3,8.00,
    IF(arrears_months=4,10.00,
    IF(arrears_months=5,12.00,15.00)))))))</f>
        <v/>
      </c>
      <c r="M633">
        <f>LET(
    seasoning_years,DATEDIF('Loan Tape (S&amp;P)'!K633,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3">
        <f>IF(AND('Loan Tape (S&amp;P)'!U633="Yes",
        'Loan Tape (S&amp;P)'!T633&lt;&gt;"Yes",
        DATEDIF('Loan Tape (S&amp;P)'!K633, TODAY(), "M")&lt;18),
    1.10,
    1.00)</f>
        <v/>
      </c>
      <c r="O633">
        <f>IF('Loan Tape (S&amp;P)'!T633="Yes",
    1.35,
    1.00)</f>
        <v/>
      </c>
      <c r="P633">
        <f>IF('Loan Tape (S&amp;P)'!S633="Yes",
    1.15,
    1.00)</f>
        <v/>
      </c>
      <c r="Q633">
        <f>IF('Loan Tape (S&amp;P)'!V633="Yes",
    1.20,
    1.00)</f>
        <v/>
      </c>
      <c r="T633">
        <f>LET(
    payment_method,'Loan Tape (S&amp;P)'!P633,
    occupancy,'Loan Tape (S&amp;P)'!N633,
    maturity_date,'Loan Tape (S&amp;P)'!L633,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4">
      <c r="J634">
        <f>LET(
    lien,'Loan Tape (S&amp;P)'!Q634,
    IF(lien="First",1.00,
        IF(lien="Second",1.50,
            1.70)))</f>
        <v/>
      </c>
      <c r="K634">
        <f>LET(
    purpose,'Loan Tape (S&amp;P)'!R634,
    IF(purpose="Purchase",1.00,
        IF(purpose="Remortgage",1.00,
            1.20)))</f>
        <v/>
      </c>
      <c r="L634">
        <f>LET(
    arrears_months,'Loan Tape (S&amp;P)'!AN634,
    IF(arrears_months=0,1.00,
    IF(arrears_months=1,3.00,
    IF(arrears_months=2,5.00,
    IF(arrears_months=3,8.00,
    IF(arrears_months=4,10.00,
    IF(arrears_months=5,12.00,15.00)))))))</f>
        <v/>
      </c>
      <c r="M634">
        <f>LET(
    seasoning_years,DATEDIF('Loan Tape (S&amp;P)'!K634,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4">
        <f>IF(AND('Loan Tape (S&amp;P)'!U634="Yes",
        'Loan Tape (S&amp;P)'!T634&lt;&gt;"Yes",
        DATEDIF('Loan Tape (S&amp;P)'!K634, TODAY(), "M")&lt;18),
    1.10,
    1.00)</f>
        <v/>
      </c>
      <c r="O634">
        <f>IF('Loan Tape (S&amp;P)'!T634="Yes",
    1.35,
    1.00)</f>
        <v/>
      </c>
      <c r="P634">
        <f>IF('Loan Tape (S&amp;P)'!S634="Yes",
    1.15,
    1.00)</f>
        <v/>
      </c>
      <c r="Q634">
        <f>IF('Loan Tape (S&amp;P)'!V634="Yes",
    1.20,
    1.00)</f>
        <v/>
      </c>
      <c r="T634">
        <f>LET(
    payment_method,'Loan Tape (S&amp;P)'!P634,
    occupancy,'Loan Tape (S&amp;P)'!N634,
    maturity_date,'Loan Tape (S&amp;P)'!L634,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5">
      <c r="J635">
        <f>LET(
    lien,'Loan Tape (S&amp;P)'!Q635,
    IF(lien="First",1.00,
        IF(lien="Second",1.50,
            1.70)))</f>
        <v/>
      </c>
      <c r="K635">
        <f>LET(
    purpose,'Loan Tape (S&amp;P)'!R635,
    IF(purpose="Purchase",1.00,
        IF(purpose="Remortgage",1.00,
            1.20)))</f>
        <v/>
      </c>
      <c r="L635">
        <f>LET(
    arrears_months,'Loan Tape (S&amp;P)'!AN635,
    IF(arrears_months=0,1.00,
    IF(arrears_months=1,3.00,
    IF(arrears_months=2,5.00,
    IF(arrears_months=3,8.00,
    IF(arrears_months=4,10.00,
    IF(arrears_months=5,12.00,15.00)))))))</f>
        <v/>
      </c>
      <c r="M635">
        <f>LET(
    seasoning_years,DATEDIF('Loan Tape (S&amp;P)'!K635,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5">
        <f>IF(AND('Loan Tape (S&amp;P)'!U635="Yes",
        'Loan Tape (S&amp;P)'!T635&lt;&gt;"Yes",
        DATEDIF('Loan Tape (S&amp;P)'!K635, TODAY(), "M")&lt;18),
    1.10,
    1.00)</f>
        <v/>
      </c>
      <c r="O635">
        <f>IF('Loan Tape (S&amp;P)'!T635="Yes",
    1.35,
    1.00)</f>
        <v/>
      </c>
      <c r="P635">
        <f>IF('Loan Tape (S&amp;P)'!S635="Yes",
    1.15,
    1.00)</f>
        <v/>
      </c>
      <c r="Q635">
        <f>IF('Loan Tape (S&amp;P)'!V635="Yes",
    1.20,
    1.00)</f>
        <v/>
      </c>
      <c r="T635">
        <f>LET(
    payment_method,'Loan Tape (S&amp;P)'!P635,
    occupancy,'Loan Tape (S&amp;P)'!N635,
    maturity_date,'Loan Tape (S&amp;P)'!L635,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6">
      <c r="J636">
        <f>LET(
    lien,'Loan Tape (S&amp;P)'!Q636,
    IF(lien="First",1.00,
        IF(lien="Second",1.50,
            1.70)))</f>
        <v/>
      </c>
      <c r="K636">
        <f>LET(
    purpose,'Loan Tape (S&amp;P)'!R636,
    IF(purpose="Purchase",1.00,
        IF(purpose="Remortgage",1.00,
            1.20)))</f>
        <v/>
      </c>
      <c r="L636">
        <f>LET(
    arrears_months,'Loan Tape (S&amp;P)'!AN636,
    IF(arrears_months=0,1.00,
    IF(arrears_months=1,3.00,
    IF(arrears_months=2,5.00,
    IF(arrears_months=3,8.00,
    IF(arrears_months=4,10.00,
    IF(arrears_months=5,12.00,15.00)))))))</f>
        <v/>
      </c>
      <c r="M636">
        <f>LET(
    seasoning_years,DATEDIF('Loan Tape (S&amp;P)'!K636,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6">
        <f>IF(AND('Loan Tape (S&amp;P)'!U636="Yes",
        'Loan Tape (S&amp;P)'!T636&lt;&gt;"Yes",
        DATEDIF('Loan Tape (S&amp;P)'!K636, TODAY(), "M")&lt;18),
    1.10,
    1.00)</f>
        <v/>
      </c>
      <c r="O636">
        <f>IF('Loan Tape (S&amp;P)'!T636="Yes",
    1.35,
    1.00)</f>
        <v/>
      </c>
      <c r="P636">
        <f>IF('Loan Tape (S&amp;P)'!S636="Yes",
    1.15,
    1.00)</f>
        <v/>
      </c>
      <c r="Q636">
        <f>IF('Loan Tape (S&amp;P)'!V636="Yes",
    1.20,
    1.00)</f>
        <v/>
      </c>
      <c r="T636">
        <f>LET(
    payment_method,'Loan Tape (S&amp;P)'!P636,
    occupancy,'Loan Tape (S&amp;P)'!N636,
    maturity_date,'Loan Tape (S&amp;P)'!L636,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7">
      <c r="J637">
        <f>LET(
    lien,'Loan Tape (S&amp;P)'!Q637,
    IF(lien="First",1.00,
        IF(lien="Second",1.50,
            1.70)))</f>
        <v/>
      </c>
      <c r="K637">
        <f>LET(
    purpose,'Loan Tape (S&amp;P)'!R637,
    IF(purpose="Purchase",1.00,
        IF(purpose="Remortgage",1.00,
            1.20)))</f>
        <v/>
      </c>
      <c r="L637">
        <f>LET(
    arrears_months,'Loan Tape (S&amp;P)'!AN637,
    IF(arrears_months=0,1.00,
    IF(arrears_months=1,3.00,
    IF(arrears_months=2,5.00,
    IF(arrears_months=3,8.00,
    IF(arrears_months=4,10.00,
    IF(arrears_months=5,12.00,15.00)))))))</f>
        <v/>
      </c>
      <c r="M637">
        <f>LET(
    seasoning_years,DATEDIF('Loan Tape (S&amp;P)'!K637,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7">
        <f>IF(AND('Loan Tape (S&amp;P)'!U637="Yes",
        'Loan Tape (S&amp;P)'!T637&lt;&gt;"Yes",
        DATEDIF('Loan Tape (S&amp;P)'!K637, TODAY(), "M")&lt;18),
    1.10,
    1.00)</f>
        <v/>
      </c>
      <c r="O637">
        <f>IF('Loan Tape (S&amp;P)'!T637="Yes",
    1.35,
    1.00)</f>
        <v/>
      </c>
      <c r="P637">
        <f>IF('Loan Tape (S&amp;P)'!S637="Yes",
    1.15,
    1.00)</f>
        <v/>
      </c>
      <c r="Q637">
        <f>IF('Loan Tape (S&amp;P)'!V637="Yes",
    1.20,
    1.00)</f>
        <v/>
      </c>
      <c r="T637">
        <f>LET(
    payment_method,'Loan Tape (S&amp;P)'!P637,
    occupancy,'Loan Tape (S&amp;P)'!N637,
    maturity_date,'Loan Tape (S&amp;P)'!L637,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8">
      <c r="J638">
        <f>LET(
    lien,'Loan Tape (S&amp;P)'!Q638,
    IF(lien="First",1.00,
        IF(lien="Second",1.50,
            1.70)))</f>
        <v/>
      </c>
      <c r="K638">
        <f>LET(
    purpose,'Loan Tape (S&amp;P)'!R638,
    IF(purpose="Purchase",1.00,
        IF(purpose="Remortgage",1.00,
            1.20)))</f>
        <v/>
      </c>
      <c r="L638">
        <f>LET(
    arrears_months,'Loan Tape (S&amp;P)'!AN638,
    IF(arrears_months=0,1.00,
    IF(arrears_months=1,3.00,
    IF(arrears_months=2,5.00,
    IF(arrears_months=3,8.00,
    IF(arrears_months=4,10.00,
    IF(arrears_months=5,12.00,15.00)))))))</f>
        <v/>
      </c>
      <c r="M638">
        <f>LET(
    seasoning_years,DATEDIF('Loan Tape (S&amp;P)'!K638,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8">
        <f>IF(AND('Loan Tape (S&amp;P)'!U638="Yes",
        'Loan Tape (S&amp;P)'!T638&lt;&gt;"Yes",
        DATEDIF('Loan Tape (S&amp;P)'!K638, TODAY(), "M")&lt;18),
    1.10,
    1.00)</f>
        <v/>
      </c>
      <c r="O638">
        <f>IF('Loan Tape (S&amp;P)'!T638="Yes",
    1.35,
    1.00)</f>
        <v/>
      </c>
      <c r="P638">
        <f>IF('Loan Tape (S&amp;P)'!S638="Yes",
    1.15,
    1.00)</f>
        <v/>
      </c>
      <c r="Q638">
        <f>IF('Loan Tape (S&amp;P)'!V638="Yes",
    1.20,
    1.00)</f>
        <v/>
      </c>
      <c r="T638">
        <f>LET(
    payment_method,'Loan Tape (S&amp;P)'!P638,
    occupancy,'Loan Tape (S&amp;P)'!N638,
    maturity_date,'Loan Tape (S&amp;P)'!L638,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9">
      <c r="J639">
        <f>LET(
    lien,'Loan Tape (S&amp;P)'!Q639,
    IF(lien="First",1.00,
        IF(lien="Second",1.50,
            1.70)))</f>
        <v/>
      </c>
      <c r="K639">
        <f>LET(
    purpose,'Loan Tape (S&amp;P)'!R639,
    IF(purpose="Purchase",1.00,
        IF(purpose="Remortgage",1.00,
            1.20)))</f>
        <v/>
      </c>
      <c r="L639">
        <f>LET(
    arrears_months,'Loan Tape (S&amp;P)'!AN639,
    IF(arrears_months=0,1.00,
    IF(arrears_months=1,3.00,
    IF(arrears_months=2,5.00,
    IF(arrears_months=3,8.00,
    IF(arrears_months=4,10.00,
    IF(arrears_months=5,12.00,15.00)))))))</f>
        <v/>
      </c>
      <c r="M639">
        <f>LET(
    seasoning_years,DATEDIF('Loan Tape (S&amp;P)'!K639,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9">
        <f>IF(AND('Loan Tape (S&amp;P)'!U639="Yes",
        'Loan Tape (S&amp;P)'!T639&lt;&gt;"Yes",
        DATEDIF('Loan Tape (S&amp;P)'!K639, TODAY(), "M")&lt;18),
    1.10,
    1.00)</f>
        <v/>
      </c>
      <c r="O639">
        <f>IF('Loan Tape (S&amp;P)'!T639="Yes",
    1.35,
    1.00)</f>
        <v/>
      </c>
      <c r="P639">
        <f>IF('Loan Tape (S&amp;P)'!S639="Yes",
    1.15,
    1.00)</f>
        <v/>
      </c>
      <c r="Q639">
        <f>IF('Loan Tape (S&amp;P)'!V639="Yes",
    1.20,
    1.00)</f>
        <v/>
      </c>
      <c r="T639">
        <f>LET(
    payment_method,'Loan Tape (S&amp;P)'!P639,
    occupancy,'Loan Tape (S&amp;P)'!N639,
    maturity_date,'Loan Tape (S&amp;P)'!L639,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0">
      <c r="J640">
        <f>LET(
    lien,'Loan Tape (S&amp;P)'!Q640,
    IF(lien="First",1.00,
        IF(lien="Second",1.50,
            1.70)))</f>
        <v/>
      </c>
      <c r="K640">
        <f>LET(
    purpose,'Loan Tape (S&amp;P)'!R640,
    IF(purpose="Purchase",1.00,
        IF(purpose="Remortgage",1.00,
            1.20)))</f>
        <v/>
      </c>
      <c r="L640">
        <f>LET(
    arrears_months,'Loan Tape (S&amp;P)'!AN640,
    IF(arrears_months=0,1.00,
    IF(arrears_months=1,3.00,
    IF(arrears_months=2,5.00,
    IF(arrears_months=3,8.00,
    IF(arrears_months=4,10.00,
    IF(arrears_months=5,12.00,15.00)))))))</f>
        <v/>
      </c>
      <c r="M640">
        <f>LET(
    seasoning_years,DATEDIF('Loan Tape (S&amp;P)'!K640,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0">
        <f>IF(AND('Loan Tape (S&amp;P)'!U640="Yes",
        'Loan Tape (S&amp;P)'!T640&lt;&gt;"Yes",
        DATEDIF('Loan Tape (S&amp;P)'!K640, TODAY(), "M")&lt;18),
    1.10,
    1.00)</f>
        <v/>
      </c>
      <c r="O640">
        <f>IF('Loan Tape (S&amp;P)'!T640="Yes",
    1.35,
    1.00)</f>
        <v/>
      </c>
      <c r="P640">
        <f>IF('Loan Tape (S&amp;P)'!S640="Yes",
    1.15,
    1.00)</f>
        <v/>
      </c>
      <c r="Q640">
        <f>IF('Loan Tape (S&amp;P)'!V640="Yes",
    1.20,
    1.00)</f>
        <v/>
      </c>
      <c r="T640">
        <f>LET(
    payment_method,'Loan Tape (S&amp;P)'!P640,
    occupancy,'Loan Tape (S&amp;P)'!N640,
    maturity_date,'Loan Tape (S&amp;P)'!L640,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1">
      <c r="J641">
        <f>LET(
    lien,'Loan Tape (S&amp;P)'!Q641,
    IF(lien="First",1.00,
        IF(lien="Second",1.50,
            1.70)))</f>
        <v/>
      </c>
      <c r="K641">
        <f>LET(
    purpose,'Loan Tape (S&amp;P)'!R641,
    IF(purpose="Purchase",1.00,
        IF(purpose="Remortgage",1.00,
            1.20)))</f>
        <v/>
      </c>
      <c r="L641">
        <f>LET(
    arrears_months,'Loan Tape (S&amp;P)'!AN641,
    IF(arrears_months=0,1.00,
    IF(arrears_months=1,3.00,
    IF(arrears_months=2,5.00,
    IF(arrears_months=3,8.00,
    IF(arrears_months=4,10.00,
    IF(arrears_months=5,12.00,15.00)))))))</f>
        <v/>
      </c>
      <c r="M641">
        <f>LET(
    seasoning_years,DATEDIF('Loan Tape (S&amp;P)'!K641,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1">
        <f>IF(AND('Loan Tape (S&amp;P)'!U641="Yes",
        'Loan Tape (S&amp;P)'!T641&lt;&gt;"Yes",
        DATEDIF('Loan Tape (S&amp;P)'!K641, TODAY(), "M")&lt;18),
    1.10,
    1.00)</f>
        <v/>
      </c>
      <c r="O641">
        <f>IF('Loan Tape (S&amp;P)'!T641="Yes",
    1.35,
    1.00)</f>
        <v/>
      </c>
      <c r="P641">
        <f>IF('Loan Tape (S&amp;P)'!S641="Yes",
    1.15,
    1.00)</f>
        <v/>
      </c>
      <c r="Q641">
        <f>IF('Loan Tape (S&amp;P)'!V641="Yes",
    1.20,
    1.00)</f>
        <v/>
      </c>
      <c r="T641">
        <f>LET(
    payment_method,'Loan Tape (S&amp;P)'!P641,
    occupancy,'Loan Tape (S&amp;P)'!N641,
    maturity_date,'Loan Tape (S&amp;P)'!L641,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2">
      <c r="J642">
        <f>LET(
    lien,'Loan Tape (S&amp;P)'!Q642,
    IF(lien="First",1.00,
        IF(lien="Second",1.50,
            1.70)))</f>
        <v/>
      </c>
      <c r="K642">
        <f>LET(
    purpose,'Loan Tape (S&amp;P)'!R642,
    IF(purpose="Purchase",1.00,
        IF(purpose="Remortgage",1.00,
            1.20)))</f>
        <v/>
      </c>
      <c r="L642">
        <f>LET(
    arrears_months,'Loan Tape (S&amp;P)'!AN642,
    IF(arrears_months=0,1.00,
    IF(arrears_months=1,3.00,
    IF(arrears_months=2,5.00,
    IF(arrears_months=3,8.00,
    IF(arrears_months=4,10.00,
    IF(arrears_months=5,12.00,15.00)))))))</f>
        <v/>
      </c>
      <c r="M642">
        <f>LET(
    seasoning_years,DATEDIF('Loan Tape (S&amp;P)'!K642,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2">
        <f>IF(AND('Loan Tape (S&amp;P)'!U642="Yes",
        'Loan Tape (S&amp;P)'!T642&lt;&gt;"Yes",
        DATEDIF('Loan Tape (S&amp;P)'!K642, TODAY(), "M")&lt;18),
    1.10,
    1.00)</f>
        <v/>
      </c>
      <c r="O642">
        <f>IF('Loan Tape (S&amp;P)'!T642="Yes",
    1.35,
    1.00)</f>
        <v/>
      </c>
      <c r="P642">
        <f>IF('Loan Tape (S&amp;P)'!S642="Yes",
    1.15,
    1.00)</f>
        <v/>
      </c>
      <c r="Q642">
        <f>IF('Loan Tape (S&amp;P)'!V642="Yes",
    1.20,
    1.00)</f>
        <v/>
      </c>
      <c r="T642">
        <f>LET(
    payment_method,'Loan Tape (S&amp;P)'!P642,
    occupancy,'Loan Tape (S&amp;P)'!N642,
    maturity_date,'Loan Tape (S&amp;P)'!L642,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3">
      <c r="J643">
        <f>LET(
    lien,'Loan Tape (S&amp;P)'!Q643,
    IF(lien="First",1.00,
        IF(lien="Second",1.50,
            1.70)))</f>
        <v/>
      </c>
      <c r="K643">
        <f>LET(
    purpose,'Loan Tape (S&amp;P)'!R643,
    IF(purpose="Purchase",1.00,
        IF(purpose="Remortgage",1.00,
            1.20)))</f>
        <v/>
      </c>
      <c r="L643">
        <f>LET(
    arrears_months,'Loan Tape (S&amp;P)'!AN643,
    IF(arrears_months=0,1.00,
    IF(arrears_months=1,3.00,
    IF(arrears_months=2,5.00,
    IF(arrears_months=3,8.00,
    IF(arrears_months=4,10.00,
    IF(arrears_months=5,12.00,15.00)))))))</f>
        <v/>
      </c>
      <c r="M643">
        <f>LET(
    seasoning_years,DATEDIF('Loan Tape (S&amp;P)'!K643,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3">
        <f>IF(AND('Loan Tape (S&amp;P)'!U643="Yes",
        'Loan Tape (S&amp;P)'!T643&lt;&gt;"Yes",
        DATEDIF('Loan Tape (S&amp;P)'!K643, TODAY(), "M")&lt;18),
    1.10,
    1.00)</f>
        <v/>
      </c>
      <c r="O643">
        <f>IF('Loan Tape (S&amp;P)'!T643="Yes",
    1.35,
    1.00)</f>
        <v/>
      </c>
      <c r="P643">
        <f>IF('Loan Tape (S&amp;P)'!S643="Yes",
    1.15,
    1.00)</f>
        <v/>
      </c>
      <c r="Q643">
        <f>IF('Loan Tape (S&amp;P)'!V643="Yes",
    1.20,
    1.00)</f>
        <v/>
      </c>
      <c r="T643">
        <f>LET(
    payment_method,'Loan Tape (S&amp;P)'!P643,
    occupancy,'Loan Tape (S&amp;P)'!N643,
    maturity_date,'Loan Tape (S&amp;P)'!L643,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4">
      <c r="J644">
        <f>LET(
    lien,'Loan Tape (S&amp;P)'!Q644,
    IF(lien="First",1.00,
        IF(lien="Second",1.50,
            1.70)))</f>
        <v/>
      </c>
      <c r="K644">
        <f>LET(
    purpose,'Loan Tape (S&amp;P)'!R644,
    IF(purpose="Purchase",1.00,
        IF(purpose="Remortgage",1.00,
            1.20)))</f>
        <v/>
      </c>
      <c r="L644">
        <f>LET(
    arrears_months,'Loan Tape (S&amp;P)'!AN644,
    IF(arrears_months=0,1.00,
    IF(arrears_months=1,3.00,
    IF(arrears_months=2,5.00,
    IF(arrears_months=3,8.00,
    IF(arrears_months=4,10.00,
    IF(arrears_months=5,12.00,15.00)))))))</f>
        <v/>
      </c>
      <c r="M644">
        <f>LET(
    seasoning_years,DATEDIF('Loan Tape (S&amp;P)'!K644,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4">
        <f>IF(AND('Loan Tape (S&amp;P)'!U644="Yes",
        'Loan Tape (S&amp;P)'!T644&lt;&gt;"Yes",
        DATEDIF('Loan Tape (S&amp;P)'!K644, TODAY(), "M")&lt;18),
    1.10,
    1.00)</f>
        <v/>
      </c>
      <c r="O644">
        <f>IF('Loan Tape (S&amp;P)'!T644="Yes",
    1.35,
    1.00)</f>
        <v/>
      </c>
      <c r="P644">
        <f>IF('Loan Tape (S&amp;P)'!S644="Yes",
    1.15,
    1.00)</f>
        <v/>
      </c>
      <c r="Q644">
        <f>IF('Loan Tape (S&amp;P)'!V644="Yes",
    1.20,
    1.00)</f>
        <v/>
      </c>
      <c r="T644">
        <f>LET(
    payment_method,'Loan Tape (S&amp;P)'!P644,
    occupancy,'Loan Tape (S&amp;P)'!N644,
    maturity_date,'Loan Tape (S&amp;P)'!L644,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5">
      <c r="J645">
        <f>LET(
    lien,'Loan Tape (S&amp;P)'!Q645,
    IF(lien="First",1.00,
        IF(lien="Second",1.50,
            1.70)))</f>
        <v/>
      </c>
      <c r="K645">
        <f>LET(
    purpose,'Loan Tape (S&amp;P)'!R645,
    IF(purpose="Purchase",1.00,
        IF(purpose="Remortgage",1.00,
            1.20)))</f>
        <v/>
      </c>
      <c r="L645">
        <f>LET(
    arrears_months,'Loan Tape (S&amp;P)'!AN645,
    IF(arrears_months=0,1.00,
    IF(arrears_months=1,3.00,
    IF(arrears_months=2,5.00,
    IF(arrears_months=3,8.00,
    IF(arrears_months=4,10.00,
    IF(arrears_months=5,12.00,15.00)))))))</f>
        <v/>
      </c>
      <c r="M645">
        <f>LET(
    seasoning_years,DATEDIF('Loan Tape (S&amp;P)'!K645,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5">
        <f>IF(AND('Loan Tape (S&amp;P)'!U645="Yes",
        'Loan Tape (S&amp;P)'!T645&lt;&gt;"Yes",
        DATEDIF('Loan Tape (S&amp;P)'!K645, TODAY(), "M")&lt;18),
    1.10,
    1.00)</f>
        <v/>
      </c>
      <c r="O645">
        <f>IF('Loan Tape (S&amp;P)'!T645="Yes",
    1.35,
    1.00)</f>
        <v/>
      </c>
      <c r="P645">
        <f>IF('Loan Tape (S&amp;P)'!S645="Yes",
    1.15,
    1.00)</f>
        <v/>
      </c>
      <c r="Q645">
        <f>IF('Loan Tape (S&amp;P)'!V645="Yes",
    1.20,
    1.00)</f>
        <v/>
      </c>
      <c r="T645">
        <f>LET(
    payment_method,'Loan Tape (S&amp;P)'!P645,
    occupancy,'Loan Tape (S&amp;P)'!N645,
    maturity_date,'Loan Tape (S&amp;P)'!L645,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6">
      <c r="J646">
        <f>LET(
    lien,'Loan Tape (S&amp;P)'!Q646,
    IF(lien="First",1.00,
        IF(lien="Second",1.50,
            1.70)))</f>
        <v/>
      </c>
      <c r="K646">
        <f>LET(
    purpose,'Loan Tape (S&amp;P)'!R646,
    IF(purpose="Purchase",1.00,
        IF(purpose="Remortgage",1.00,
            1.20)))</f>
        <v/>
      </c>
      <c r="L646">
        <f>LET(
    arrears_months,'Loan Tape (S&amp;P)'!AN646,
    IF(arrears_months=0,1.00,
    IF(arrears_months=1,3.00,
    IF(arrears_months=2,5.00,
    IF(arrears_months=3,8.00,
    IF(arrears_months=4,10.00,
    IF(arrears_months=5,12.00,15.00)))))))</f>
        <v/>
      </c>
      <c r="M646">
        <f>LET(
    seasoning_years,DATEDIF('Loan Tape (S&amp;P)'!K646,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6">
        <f>IF(AND('Loan Tape (S&amp;P)'!U646="Yes",
        'Loan Tape (S&amp;P)'!T646&lt;&gt;"Yes",
        DATEDIF('Loan Tape (S&amp;P)'!K646, TODAY(), "M")&lt;18),
    1.10,
    1.00)</f>
        <v/>
      </c>
      <c r="O646">
        <f>IF('Loan Tape (S&amp;P)'!T646="Yes",
    1.35,
    1.00)</f>
        <v/>
      </c>
      <c r="P646">
        <f>IF('Loan Tape (S&amp;P)'!S646="Yes",
    1.15,
    1.00)</f>
        <v/>
      </c>
      <c r="Q646">
        <f>IF('Loan Tape (S&amp;P)'!V646="Yes",
    1.20,
    1.00)</f>
        <v/>
      </c>
      <c r="T646">
        <f>LET(
    payment_method,'Loan Tape (S&amp;P)'!P646,
    occupancy,'Loan Tape (S&amp;P)'!N646,
    maturity_date,'Loan Tape (S&amp;P)'!L646,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7">
      <c r="J647">
        <f>LET(
    lien,'Loan Tape (S&amp;P)'!Q647,
    IF(lien="First",1.00,
        IF(lien="Second",1.50,
            1.70)))</f>
        <v/>
      </c>
      <c r="K647">
        <f>LET(
    purpose,'Loan Tape (S&amp;P)'!R647,
    IF(purpose="Purchase",1.00,
        IF(purpose="Remortgage",1.00,
            1.20)))</f>
        <v/>
      </c>
      <c r="L647">
        <f>LET(
    arrears_months,'Loan Tape (S&amp;P)'!AN647,
    IF(arrears_months=0,1.00,
    IF(arrears_months=1,3.00,
    IF(arrears_months=2,5.00,
    IF(arrears_months=3,8.00,
    IF(arrears_months=4,10.00,
    IF(arrears_months=5,12.00,15.00)))))))</f>
        <v/>
      </c>
      <c r="M647">
        <f>LET(
    seasoning_years,DATEDIF('Loan Tape (S&amp;P)'!K647,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7">
        <f>IF(AND('Loan Tape (S&amp;P)'!U647="Yes",
        'Loan Tape (S&amp;P)'!T647&lt;&gt;"Yes",
        DATEDIF('Loan Tape (S&amp;P)'!K647, TODAY(), "M")&lt;18),
    1.10,
    1.00)</f>
        <v/>
      </c>
      <c r="O647">
        <f>IF('Loan Tape (S&amp;P)'!T647="Yes",
    1.35,
    1.00)</f>
        <v/>
      </c>
      <c r="P647">
        <f>IF('Loan Tape (S&amp;P)'!S647="Yes",
    1.15,
    1.00)</f>
        <v/>
      </c>
      <c r="Q647">
        <f>IF('Loan Tape (S&amp;P)'!V647="Yes",
    1.20,
    1.00)</f>
        <v/>
      </c>
      <c r="T647">
        <f>LET(
    payment_method,'Loan Tape (S&amp;P)'!P647,
    occupancy,'Loan Tape (S&amp;P)'!N647,
    maturity_date,'Loan Tape (S&amp;P)'!L647,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8">
      <c r="J648">
        <f>LET(
    lien,'Loan Tape (S&amp;P)'!Q648,
    IF(lien="First",1.00,
        IF(lien="Second",1.50,
            1.70)))</f>
        <v/>
      </c>
      <c r="K648">
        <f>LET(
    purpose,'Loan Tape (S&amp;P)'!R648,
    IF(purpose="Purchase",1.00,
        IF(purpose="Remortgage",1.00,
            1.20)))</f>
        <v/>
      </c>
      <c r="L648">
        <f>LET(
    arrears_months,'Loan Tape (S&amp;P)'!AN648,
    IF(arrears_months=0,1.00,
    IF(arrears_months=1,3.00,
    IF(arrears_months=2,5.00,
    IF(arrears_months=3,8.00,
    IF(arrears_months=4,10.00,
    IF(arrears_months=5,12.00,15.00)))))))</f>
        <v/>
      </c>
      <c r="M648">
        <f>LET(
    seasoning_years,DATEDIF('Loan Tape (S&amp;P)'!K648,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8">
        <f>IF(AND('Loan Tape (S&amp;P)'!U648="Yes",
        'Loan Tape (S&amp;P)'!T648&lt;&gt;"Yes",
        DATEDIF('Loan Tape (S&amp;P)'!K648, TODAY(), "M")&lt;18),
    1.10,
    1.00)</f>
        <v/>
      </c>
      <c r="O648">
        <f>IF('Loan Tape (S&amp;P)'!T648="Yes",
    1.35,
    1.00)</f>
        <v/>
      </c>
      <c r="P648">
        <f>IF('Loan Tape (S&amp;P)'!S648="Yes",
    1.15,
    1.00)</f>
        <v/>
      </c>
      <c r="Q648">
        <f>IF('Loan Tape (S&amp;P)'!V648="Yes",
    1.20,
    1.00)</f>
        <v/>
      </c>
      <c r="T648">
        <f>LET(
    payment_method,'Loan Tape (S&amp;P)'!P648,
    occupancy,'Loan Tape (S&amp;P)'!N648,
    maturity_date,'Loan Tape (S&amp;P)'!L648,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9">
      <c r="J649">
        <f>LET(
    lien,'Loan Tape (S&amp;P)'!Q649,
    IF(lien="First",1.00,
        IF(lien="Second",1.50,
            1.70)))</f>
        <v/>
      </c>
      <c r="K649">
        <f>LET(
    purpose,'Loan Tape (S&amp;P)'!R649,
    IF(purpose="Purchase",1.00,
        IF(purpose="Remortgage",1.00,
            1.20)))</f>
        <v/>
      </c>
      <c r="L649">
        <f>LET(
    arrears_months,'Loan Tape (S&amp;P)'!AN649,
    IF(arrears_months=0,1.00,
    IF(arrears_months=1,3.00,
    IF(arrears_months=2,5.00,
    IF(arrears_months=3,8.00,
    IF(arrears_months=4,10.00,
    IF(arrears_months=5,12.00,15.00)))))))</f>
        <v/>
      </c>
      <c r="M649">
        <f>LET(
    seasoning_years,DATEDIF('Loan Tape (S&amp;P)'!K649,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9">
        <f>IF(AND('Loan Tape (S&amp;P)'!U649="Yes",
        'Loan Tape (S&amp;P)'!T649&lt;&gt;"Yes",
        DATEDIF('Loan Tape (S&amp;P)'!K649, TODAY(), "M")&lt;18),
    1.10,
    1.00)</f>
        <v/>
      </c>
      <c r="O649">
        <f>IF('Loan Tape (S&amp;P)'!T649="Yes",
    1.35,
    1.00)</f>
        <v/>
      </c>
      <c r="P649">
        <f>IF('Loan Tape (S&amp;P)'!S649="Yes",
    1.15,
    1.00)</f>
        <v/>
      </c>
      <c r="Q649">
        <f>IF('Loan Tape (S&amp;P)'!V649="Yes",
    1.20,
    1.00)</f>
        <v/>
      </c>
      <c r="T649">
        <f>LET(
    payment_method,'Loan Tape (S&amp;P)'!P649,
    occupancy,'Loan Tape (S&amp;P)'!N649,
    maturity_date,'Loan Tape (S&amp;P)'!L649,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0">
      <c r="J650">
        <f>LET(
    lien,'Loan Tape (S&amp;P)'!Q650,
    IF(lien="First",1.00,
        IF(lien="Second",1.50,
            1.70)))</f>
        <v/>
      </c>
      <c r="K650">
        <f>LET(
    purpose,'Loan Tape (S&amp;P)'!R650,
    IF(purpose="Purchase",1.00,
        IF(purpose="Remortgage",1.00,
            1.20)))</f>
        <v/>
      </c>
      <c r="L650">
        <f>LET(
    arrears_months,'Loan Tape (S&amp;P)'!AN650,
    IF(arrears_months=0,1.00,
    IF(arrears_months=1,3.00,
    IF(arrears_months=2,5.00,
    IF(arrears_months=3,8.00,
    IF(arrears_months=4,10.00,
    IF(arrears_months=5,12.00,15.00)))))))</f>
        <v/>
      </c>
      <c r="M650">
        <f>LET(
    seasoning_years,DATEDIF('Loan Tape (S&amp;P)'!K650,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0">
        <f>IF(AND('Loan Tape (S&amp;P)'!U650="Yes",
        'Loan Tape (S&amp;P)'!T650&lt;&gt;"Yes",
        DATEDIF('Loan Tape (S&amp;P)'!K650, TODAY(), "M")&lt;18),
    1.10,
    1.00)</f>
        <v/>
      </c>
      <c r="O650">
        <f>IF('Loan Tape (S&amp;P)'!T650="Yes",
    1.35,
    1.00)</f>
        <v/>
      </c>
      <c r="P650">
        <f>IF('Loan Tape (S&amp;P)'!S650="Yes",
    1.15,
    1.00)</f>
        <v/>
      </c>
      <c r="Q650">
        <f>IF('Loan Tape (S&amp;P)'!V650="Yes",
    1.20,
    1.00)</f>
        <v/>
      </c>
      <c r="T650">
        <f>LET(
    payment_method,'Loan Tape (S&amp;P)'!P650,
    occupancy,'Loan Tape (S&amp;P)'!N650,
    maturity_date,'Loan Tape (S&amp;P)'!L650,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1">
      <c r="J651">
        <f>LET(
    lien,'Loan Tape (S&amp;P)'!Q651,
    IF(lien="First",1.00,
        IF(lien="Second",1.50,
            1.70)))</f>
        <v/>
      </c>
      <c r="K651">
        <f>LET(
    purpose,'Loan Tape (S&amp;P)'!R651,
    IF(purpose="Purchase",1.00,
        IF(purpose="Remortgage",1.00,
            1.20)))</f>
        <v/>
      </c>
      <c r="L651">
        <f>LET(
    arrears_months,'Loan Tape (S&amp;P)'!AN651,
    IF(arrears_months=0,1.00,
    IF(arrears_months=1,3.00,
    IF(arrears_months=2,5.00,
    IF(arrears_months=3,8.00,
    IF(arrears_months=4,10.00,
    IF(arrears_months=5,12.00,15.00)))))))</f>
        <v/>
      </c>
      <c r="M651">
        <f>LET(
    seasoning_years,DATEDIF('Loan Tape (S&amp;P)'!K651,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1">
        <f>IF(AND('Loan Tape (S&amp;P)'!U651="Yes",
        'Loan Tape (S&amp;P)'!T651&lt;&gt;"Yes",
        DATEDIF('Loan Tape (S&amp;P)'!K651, TODAY(), "M")&lt;18),
    1.10,
    1.00)</f>
        <v/>
      </c>
      <c r="O651">
        <f>IF('Loan Tape (S&amp;P)'!T651="Yes",
    1.35,
    1.00)</f>
        <v/>
      </c>
      <c r="P651">
        <f>IF('Loan Tape (S&amp;P)'!S651="Yes",
    1.15,
    1.00)</f>
        <v/>
      </c>
      <c r="Q651">
        <f>IF('Loan Tape (S&amp;P)'!V651="Yes",
    1.20,
    1.00)</f>
        <v/>
      </c>
      <c r="T651">
        <f>LET(
    payment_method,'Loan Tape (S&amp;P)'!P651,
    occupancy,'Loan Tape (S&amp;P)'!N651,
    maturity_date,'Loan Tape (S&amp;P)'!L651,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2">
      <c r="J652">
        <f>LET(
    lien,'Loan Tape (S&amp;P)'!Q652,
    IF(lien="First",1.00,
        IF(lien="Second",1.50,
            1.70)))</f>
        <v/>
      </c>
      <c r="K652">
        <f>LET(
    purpose,'Loan Tape (S&amp;P)'!R652,
    IF(purpose="Purchase",1.00,
        IF(purpose="Remortgage",1.00,
            1.20)))</f>
        <v/>
      </c>
      <c r="L652">
        <f>LET(
    arrears_months,'Loan Tape (S&amp;P)'!AN652,
    IF(arrears_months=0,1.00,
    IF(arrears_months=1,3.00,
    IF(arrears_months=2,5.00,
    IF(arrears_months=3,8.00,
    IF(arrears_months=4,10.00,
    IF(arrears_months=5,12.00,15.00)))))))</f>
        <v/>
      </c>
      <c r="M652">
        <f>LET(
    seasoning_years,DATEDIF('Loan Tape (S&amp;P)'!K652,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2">
        <f>IF(AND('Loan Tape (S&amp;P)'!U652="Yes",
        'Loan Tape (S&amp;P)'!T652&lt;&gt;"Yes",
        DATEDIF('Loan Tape (S&amp;P)'!K652, TODAY(), "M")&lt;18),
    1.10,
    1.00)</f>
        <v/>
      </c>
      <c r="O652">
        <f>IF('Loan Tape (S&amp;P)'!T652="Yes",
    1.35,
    1.00)</f>
        <v/>
      </c>
      <c r="P652">
        <f>IF('Loan Tape (S&amp;P)'!S652="Yes",
    1.15,
    1.00)</f>
        <v/>
      </c>
      <c r="Q652">
        <f>IF('Loan Tape (S&amp;P)'!V652="Yes",
    1.20,
    1.00)</f>
        <v/>
      </c>
      <c r="T652">
        <f>LET(
    payment_method,'Loan Tape (S&amp;P)'!P652,
    occupancy,'Loan Tape (S&amp;P)'!N652,
    maturity_date,'Loan Tape (S&amp;P)'!L652,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3">
      <c r="J653">
        <f>LET(
    lien,'Loan Tape (S&amp;P)'!Q653,
    IF(lien="First",1.00,
        IF(lien="Second",1.50,
            1.70)))</f>
        <v/>
      </c>
      <c r="K653">
        <f>LET(
    purpose,'Loan Tape (S&amp;P)'!R653,
    IF(purpose="Purchase",1.00,
        IF(purpose="Remortgage",1.00,
            1.20)))</f>
        <v/>
      </c>
      <c r="L653">
        <f>LET(
    arrears_months,'Loan Tape (S&amp;P)'!AN653,
    IF(arrears_months=0,1.00,
    IF(arrears_months=1,3.00,
    IF(arrears_months=2,5.00,
    IF(arrears_months=3,8.00,
    IF(arrears_months=4,10.00,
    IF(arrears_months=5,12.00,15.00)))))))</f>
        <v/>
      </c>
      <c r="M653">
        <f>LET(
    seasoning_years,DATEDIF('Loan Tape (S&amp;P)'!K653,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3">
        <f>IF(AND('Loan Tape (S&amp;P)'!U653="Yes",
        'Loan Tape (S&amp;P)'!T653&lt;&gt;"Yes",
        DATEDIF('Loan Tape (S&amp;P)'!K653, TODAY(), "M")&lt;18),
    1.10,
    1.00)</f>
        <v/>
      </c>
      <c r="O653">
        <f>IF('Loan Tape (S&amp;P)'!T653="Yes",
    1.35,
    1.00)</f>
        <v/>
      </c>
      <c r="P653">
        <f>IF('Loan Tape (S&amp;P)'!S653="Yes",
    1.15,
    1.00)</f>
        <v/>
      </c>
      <c r="Q653">
        <f>IF('Loan Tape (S&amp;P)'!V653="Yes",
    1.20,
    1.00)</f>
        <v/>
      </c>
      <c r="T653">
        <f>LET(
    payment_method,'Loan Tape (S&amp;P)'!P653,
    occupancy,'Loan Tape (S&amp;P)'!N653,
    maturity_date,'Loan Tape (S&amp;P)'!L653,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4">
      <c r="J654">
        <f>LET(
    lien,'Loan Tape (S&amp;P)'!Q654,
    IF(lien="First",1.00,
        IF(lien="Second",1.50,
            1.70)))</f>
        <v/>
      </c>
      <c r="K654">
        <f>LET(
    purpose,'Loan Tape (S&amp;P)'!R654,
    IF(purpose="Purchase",1.00,
        IF(purpose="Remortgage",1.00,
            1.20)))</f>
        <v/>
      </c>
      <c r="L654">
        <f>LET(
    arrears_months,'Loan Tape (S&amp;P)'!AN654,
    IF(arrears_months=0,1.00,
    IF(arrears_months=1,3.00,
    IF(arrears_months=2,5.00,
    IF(arrears_months=3,8.00,
    IF(arrears_months=4,10.00,
    IF(arrears_months=5,12.00,15.00)))))))</f>
        <v/>
      </c>
      <c r="M654">
        <f>LET(
    seasoning_years,DATEDIF('Loan Tape (S&amp;P)'!K654,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4">
        <f>IF(AND('Loan Tape (S&amp;P)'!U654="Yes",
        'Loan Tape (S&amp;P)'!T654&lt;&gt;"Yes",
        DATEDIF('Loan Tape (S&amp;P)'!K654, TODAY(), "M")&lt;18),
    1.10,
    1.00)</f>
        <v/>
      </c>
      <c r="O654">
        <f>IF('Loan Tape (S&amp;P)'!T654="Yes",
    1.35,
    1.00)</f>
        <v/>
      </c>
      <c r="P654">
        <f>IF('Loan Tape (S&amp;P)'!S654="Yes",
    1.15,
    1.00)</f>
        <v/>
      </c>
      <c r="Q654">
        <f>IF('Loan Tape (S&amp;P)'!V654="Yes",
    1.20,
    1.00)</f>
        <v/>
      </c>
      <c r="T654">
        <f>LET(
    payment_method,'Loan Tape (S&amp;P)'!P654,
    occupancy,'Loan Tape (S&amp;P)'!N654,
    maturity_date,'Loan Tape (S&amp;P)'!L654,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5">
      <c r="J655">
        <f>LET(
    lien,'Loan Tape (S&amp;P)'!Q655,
    IF(lien="First",1.00,
        IF(lien="Second",1.50,
            1.70)))</f>
        <v/>
      </c>
      <c r="K655">
        <f>LET(
    purpose,'Loan Tape (S&amp;P)'!R655,
    IF(purpose="Purchase",1.00,
        IF(purpose="Remortgage",1.00,
            1.20)))</f>
        <v/>
      </c>
      <c r="L655">
        <f>LET(
    arrears_months,'Loan Tape (S&amp;P)'!AN655,
    IF(arrears_months=0,1.00,
    IF(arrears_months=1,3.00,
    IF(arrears_months=2,5.00,
    IF(arrears_months=3,8.00,
    IF(arrears_months=4,10.00,
    IF(arrears_months=5,12.00,15.00)))))))</f>
        <v/>
      </c>
      <c r="M655">
        <f>LET(
    seasoning_years,DATEDIF('Loan Tape (S&amp;P)'!K655,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5">
        <f>IF(AND('Loan Tape (S&amp;P)'!U655="Yes",
        'Loan Tape (S&amp;P)'!T655&lt;&gt;"Yes",
        DATEDIF('Loan Tape (S&amp;P)'!K655, TODAY(), "M")&lt;18),
    1.10,
    1.00)</f>
        <v/>
      </c>
      <c r="O655">
        <f>IF('Loan Tape (S&amp;P)'!T655="Yes",
    1.35,
    1.00)</f>
        <v/>
      </c>
      <c r="P655">
        <f>IF('Loan Tape (S&amp;P)'!S655="Yes",
    1.15,
    1.00)</f>
        <v/>
      </c>
      <c r="Q655">
        <f>IF('Loan Tape (S&amp;P)'!V655="Yes",
    1.20,
    1.00)</f>
        <v/>
      </c>
      <c r="T655">
        <f>LET(
    payment_method,'Loan Tape (S&amp;P)'!P655,
    occupancy,'Loan Tape (S&amp;P)'!N655,
    maturity_date,'Loan Tape (S&amp;P)'!L655,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6">
      <c r="J656">
        <f>LET(
    lien,'Loan Tape (S&amp;P)'!Q656,
    IF(lien="First",1.00,
        IF(lien="Second",1.50,
            1.70)))</f>
        <v/>
      </c>
      <c r="K656">
        <f>LET(
    purpose,'Loan Tape (S&amp;P)'!R656,
    IF(purpose="Purchase",1.00,
        IF(purpose="Remortgage",1.00,
            1.20)))</f>
        <v/>
      </c>
      <c r="L656">
        <f>LET(
    arrears_months,'Loan Tape (S&amp;P)'!AN656,
    IF(arrears_months=0,1.00,
    IF(arrears_months=1,3.00,
    IF(arrears_months=2,5.00,
    IF(arrears_months=3,8.00,
    IF(arrears_months=4,10.00,
    IF(arrears_months=5,12.00,15.00)))))))</f>
        <v/>
      </c>
      <c r="M656">
        <f>LET(
    seasoning_years,DATEDIF('Loan Tape (S&amp;P)'!K656,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6">
        <f>IF(AND('Loan Tape (S&amp;P)'!U656="Yes",
        'Loan Tape (S&amp;P)'!T656&lt;&gt;"Yes",
        DATEDIF('Loan Tape (S&amp;P)'!K656, TODAY(), "M")&lt;18),
    1.10,
    1.00)</f>
        <v/>
      </c>
      <c r="O656">
        <f>IF('Loan Tape (S&amp;P)'!T656="Yes",
    1.35,
    1.00)</f>
        <v/>
      </c>
      <c r="P656">
        <f>IF('Loan Tape (S&amp;P)'!S656="Yes",
    1.15,
    1.00)</f>
        <v/>
      </c>
      <c r="Q656">
        <f>IF('Loan Tape (S&amp;P)'!V656="Yes",
    1.20,
    1.00)</f>
        <v/>
      </c>
      <c r="T656">
        <f>LET(
    payment_method,'Loan Tape (S&amp;P)'!P656,
    occupancy,'Loan Tape (S&amp;P)'!N656,
    maturity_date,'Loan Tape (S&amp;P)'!L656,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7">
      <c r="J657">
        <f>LET(
    lien,'Loan Tape (S&amp;P)'!Q657,
    IF(lien="First",1.00,
        IF(lien="Second",1.50,
            1.70)))</f>
        <v/>
      </c>
      <c r="K657">
        <f>LET(
    purpose,'Loan Tape (S&amp;P)'!R657,
    IF(purpose="Purchase",1.00,
        IF(purpose="Remortgage",1.00,
            1.20)))</f>
        <v/>
      </c>
      <c r="L657">
        <f>LET(
    arrears_months,'Loan Tape (S&amp;P)'!AN657,
    IF(arrears_months=0,1.00,
    IF(arrears_months=1,3.00,
    IF(arrears_months=2,5.00,
    IF(arrears_months=3,8.00,
    IF(arrears_months=4,10.00,
    IF(arrears_months=5,12.00,15.00)))))))</f>
        <v/>
      </c>
      <c r="M657">
        <f>LET(
    seasoning_years,DATEDIF('Loan Tape (S&amp;P)'!K657,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7">
        <f>IF(AND('Loan Tape (S&amp;P)'!U657="Yes",
        'Loan Tape (S&amp;P)'!T657&lt;&gt;"Yes",
        DATEDIF('Loan Tape (S&amp;P)'!K657, TODAY(), "M")&lt;18),
    1.10,
    1.00)</f>
        <v/>
      </c>
      <c r="O657">
        <f>IF('Loan Tape (S&amp;P)'!T657="Yes",
    1.35,
    1.00)</f>
        <v/>
      </c>
      <c r="P657">
        <f>IF('Loan Tape (S&amp;P)'!S657="Yes",
    1.15,
    1.00)</f>
        <v/>
      </c>
      <c r="Q657">
        <f>IF('Loan Tape (S&amp;P)'!V657="Yes",
    1.20,
    1.00)</f>
        <v/>
      </c>
      <c r="T657">
        <f>LET(
    payment_method,'Loan Tape (S&amp;P)'!P657,
    occupancy,'Loan Tape (S&amp;P)'!N657,
    maturity_date,'Loan Tape (S&amp;P)'!L657,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8">
      <c r="J658">
        <f>LET(
    lien,'Loan Tape (S&amp;P)'!Q658,
    IF(lien="First",1.00,
        IF(lien="Second",1.50,
            1.70)))</f>
        <v/>
      </c>
      <c r="K658">
        <f>LET(
    purpose,'Loan Tape (S&amp;P)'!R658,
    IF(purpose="Purchase",1.00,
        IF(purpose="Remortgage",1.00,
            1.20)))</f>
        <v/>
      </c>
      <c r="L658">
        <f>LET(
    arrears_months,'Loan Tape (S&amp;P)'!AN658,
    IF(arrears_months=0,1.00,
    IF(arrears_months=1,3.00,
    IF(arrears_months=2,5.00,
    IF(arrears_months=3,8.00,
    IF(arrears_months=4,10.00,
    IF(arrears_months=5,12.00,15.00)))))))</f>
        <v/>
      </c>
      <c r="M658">
        <f>LET(
    seasoning_years,DATEDIF('Loan Tape (S&amp;P)'!K658,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8">
        <f>IF(AND('Loan Tape (S&amp;P)'!U658="Yes",
        'Loan Tape (S&amp;P)'!T658&lt;&gt;"Yes",
        DATEDIF('Loan Tape (S&amp;P)'!K658, TODAY(), "M")&lt;18),
    1.10,
    1.00)</f>
        <v/>
      </c>
      <c r="O658">
        <f>IF('Loan Tape (S&amp;P)'!T658="Yes",
    1.35,
    1.00)</f>
        <v/>
      </c>
      <c r="P658">
        <f>IF('Loan Tape (S&amp;P)'!S658="Yes",
    1.15,
    1.00)</f>
        <v/>
      </c>
      <c r="Q658">
        <f>IF('Loan Tape (S&amp;P)'!V658="Yes",
    1.20,
    1.00)</f>
        <v/>
      </c>
      <c r="T658">
        <f>LET(
    payment_method,'Loan Tape (S&amp;P)'!P658,
    occupancy,'Loan Tape (S&amp;P)'!N658,
    maturity_date,'Loan Tape (S&amp;P)'!L658,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9">
      <c r="J659">
        <f>LET(
    lien,'Loan Tape (S&amp;P)'!Q659,
    IF(lien="First",1.00,
        IF(lien="Second",1.50,
            1.70)))</f>
        <v/>
      </c>
      <c r="K659">
        <f>LET(
    purpose,'Loan Tape (S&amp;P)'!R659,
    IF(purpose="Purchase",1.00,
        IF(purpose="Remortgage",1.00,
            1.20)))</f>
        <v/>
      </c>
      <c r="L659">
        <f>LET(
    arrears_months,'Loan Tape (S&amp;P)'!AN659,
    IF(arrears_months=0,1.00,
    IF(arrears_months=1,3.00,
    IF(arrears_months=2,5.00,
    IF(arrears_months=3,8.00,
    IF(arrears_months=4,10.00,
    IF(arrears_months=5,12.00,15.00)))))))</f>
        <v/>
      </c>
      <c r="M659">
        <f>LET(
    seasoning_years,DATEDIF('Loan Tape (S&amp;P)'!K659,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9">
        <f>IF(AND('Loan Tape (S&amp;P)'!U659="Yes",
        'Loan Tape (S&amp;P)'!T659&lt;&gt;"Yes",
        DATEDIF('Loan Tape (S&amp;P)'!K659, TODAY(), "M")&lt;18),
    1.10,
    1.00)</f>
        <v/>
      </c>
      <c r="O659">
        <f>IF('Loan Tape (S&amp;P)'!T659="Yes",
    1.35,
    1.00)</f>
        <v/>
      </c>
      <c r="P659">
        <f>IF('Loan Tape (S&amp;P)'!S659="Yes",
    1.15,
    1.00)</f>
        <v/>
      </c>
      <c r="Q659">
        <f>IF('Loan Tape (S&amp;P)'!V659="Yes",
    1.20,
    1.00)</f>
        <v/>
      </c>
      <c r="T659">
        <f>LET(
    payment_method,'Loan Tape (S&amp;P)'!P659,
    occupancy,'Loan Tape (S&amp;P)'!N659,
    maturity_date,'Loan Tape (S&amp;P)'!L659,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0">
      <c r="J660">
        <f>LET(
    lien,'Loan Tape (S&amp;P)'!Q660,
    IF(lien="First",1.00,
        IF(lien="Second",1.50,
            1.70)))</f>
        <v/>
      </c>
      <c r="K660">
        <f>LET(
    purpose,'Loan Tape (S&amp;P)'!R660,
    IF(purpose="Purchase",1.00,
        IF(purpose="Remortgage",1.00,
            1.20)))</f>
        <v/>
      </c>
      <c r="L660">
        <f>LET(
    arrears_months,'Loan Tape (S&amp;P)'!AN660,
    IF(arrears_months=0,1.00,
    IF(arrears_months=1,3.00,
    IF(arrears_months=2,5.00,
    IF(arrears_months=3,8.00,
    IF(arrears_months=4,10.00,
    IF(arrears_months=5,12.00,15.00)))))))</f>
        <v/>
      </c>
      <c r="M660">
        <f>LET(
    seasoning_years,DATEDIF('Loan Tape (S&amp;P)'!K660,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0">
        <f>IF(AND('Loan Tape (S&amp;P)'!U660="Yes",
        'Loan Tape (S&amp;P)'!T660&lt;&gt;"Yes",
        DATEDIF('Loan Tape (S&amp;P)'!K660, TODAY(), "M")&lt;18),
    1.10,
    1.00)</f>
        <v/>
      </c>
      <c r="O660">
        <f>IF('Loan Tape (S&amp;P)'!T660="Yes",
    1.35,
    1.00)</f>
        <v/>
      </c>
      <c r="P660">
        <f>IF('Loan Tape (S&amp;P)'!S660="Yes",
    1.15,
    1.00)</f>
        <v/>
      </c>
      <c r="Q660">
        <f>IF('Loan Tape (S&amp;P)'!V660="Yes",
    1.20,
    1.00)</f>
        <v/>
      </c>
      <c r="T660">
        <f>LET(
    payment_method,'Loan Tape (S&amp;P)'!P660,
    occupancy,'Loan Tape (S&amp;P)'!N660,
    maturity_date,'Loan Tape (S&amp;P)'!L660,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1">
      <c r="J661">
        <f>LET(
    lien,'Loan Tape (S&amp;P)'!Q661,
    IF(lien="First",1.00,
        IF(lien="Second",1.50,
            1.70)))</f>
        <v/>
      </c>
      <c r="K661">
        <f>LET(
    purpose,'Loan Tape (S&amp;P)'!R661,
    IF(purpose="Purchase",1.00,
        IF(purpose="Remortgage",1.00,
            1.20)))</f>
        <v/>
      </c>
      <c r="L661">
        <f>LET(
    arrears_months,'Loan Tape (S&amp;P)'!AN661,
    IF(arrears_months=0,1.00,
    IF(arrears_months=1,3.00,
    IF(arrears_months=2,5.00,
    IF(arrears_months=3,8.00,
    IF(arrears_months=4,10.00,
    IF(arrears_months=5,12.00,15.00)))))))</f>
        <v/>
      </c>
      <c r="M661">
        <f>LET(
    seasoning_years,DATEDIF('Loan Tape (S&amp;P)'!K661,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1">
        <f>IF(AND('Loan Tape (S&amp;P)'!U661="Yes",
        'Loan Tape (S&amp;P)'!T661&lt;&gt;"Yes",
        DATEDIF('Loan Tape (S&amp;P)'!K661, TODAY(), "M")&lt;18),
    1.10,
    1.00)</f>
        <v/>
      </c>
      <c r="O661">
        <f>IF('Loan Tape (S&amp;P)'!T661="Yes",
    1.35,
    1.00)</f>
        <v/>
      </c>
      <c r="P661">
        <f>IF('Loan Tape (S&amp;P)'!S661="Yes",
    1.15,
    1.00)</f>
        <v/>
      </c>
      <c r="Q661">
        <f>IF('Loan Tape (S&amp;P)'!V661="Yes",
    1.20,
    1.00)</f>
        <v/>
      </c>
      <c r="T661">
        <f>LET(
    payment_method,'Loan Tape (S&amp;P)'!P661,
    occupancy,'Loan Tape (S&amp;P)'!N661,
    maturity_date,'Loan Tape (S&amp;P)'!L661,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2">
      <c r="J662">
        <f>LET(
    lien,'Loan Tape (S&amp;P)'!Q662,
    IF(lien="First",1.00,
        IF(lien="Second",1.50,
            1.70)))</f>
        <v/>
      </c>
      <c r="K662">
        <f>LET(
    purpose,'Loan Tape (S&amp;P)'!R662,
    IF(purpose="Purchase",1.00,
        IF(purpose="Remortgage",1.00,
            1.20)))</f>
        <v/>
      </c>
      <c r="L662">
        <f>LET(
    arrears_months,'Loan Tape (S&amp;P)'!AN662,
    IF(arrears_months=0,1.00,
    IF(arrears_months=1,3.00,
    IF(arrears_months=2,5.00,
    IF(arrears_months=3,8.00,
    IF(arrears_months=4,10.00,
    IF(arrears_months=5,12.00,15.00)))))))</f>
        <v/>
      </c>
      <c r="M662">
        <f>LET(
    seasoning_years,DATEDIF('Loan Tape (S&amp;P)'!K662,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2">
        <f>IF(AND('Loan Tape (S&amp;P)'!U662="Yes",
        'Loan Tape (S&amp;P)'!T662&lt;&gt;"Yes",
        DATEDIF('Loan Tape (S&amp;P)'!K662, TODAY(), "M")&lt;18),
    1.10,
    1.00)</f>
        <v/>
      </c>
      <c r="O662">
        <f>IF('Loan Tape (S&amp;P)'!T662="Yes",
    1.35,
    1.00)</f>
        <v/>
      </c>
      <c r="P662">
        <f>IF('Loan Tape (S&amp;P)'!S662="Yes",
    1.15,
    1.00)</f>
        <v/>
      </c>
      <c r="Q662">
        <f>IF('Loan Tape (S&amp;P)'!V662="Yes",
    1.20,
    1.00)</f>
        <v/>
      </c>
      <c r="T662">
        <f>LET(
    payment_method,'Loan Tape (S&amp;P)'!P662,
    occupancy,'Loan Tape (S&amp;P)'!N662,
    maturity_date,'Loan Tape (S&amp;P)'!L662,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3">
      <c r="J663">
        <f>LET(
    lien,'Loan Tape (S&amp;P)'!Q663,
    IF(lien="First",1.00,
        IF(lien="Second",1.50,
            1.70)))</f>
        <v/>
      </c>
      <c r="K663">
        <f>LET(
    purpose,'Loan Tape (S&amp;P)'!R663,
    IF(purpose="Purchase",1.00,
        IF(purpose="Remortgage",1.00,
            1.20)))</f>
        <v/>
      </c>
      <c r="L663">
        <f>LET(
    arrears_months,'Loan Tape (S&amp;P)'!AN663,
    IF(arrears_months=0,1.00,
    IF(arrears_months=1,3.00,
    IF(arrears_months=2,5.00,
    IF(arrears_months=3,8.00,
    IF(arrears_months=4,10.00,
    IF(arrears_months=5,12.00,15.00)))))))</f>
        <v/>
      </c>
      <c r="M663">
        <f>LET(
    seasoning_years,DATEDIF('Loan Tape (S&amp;P)'!K663,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3">
        <f>IF(AND('Loan Tape (S&amp;P)'!U663="Yes",
        'Loan Tape (S&amp;P)'!T663&lt;&gt;"Yes",
        DATEDIF('Loan Tape (S&amp;P)'!K663, TODAY(), "M")&lt;18),
    1.10,
    1.00)</f>
        <v/>
      </c>
      <c r="O663">
        <f>IF('Loan Tape (S&amp;P)'!T663="Yes",
    1.35,
    1.00)</f>
        <v/>
      </c>
      <c r="P663">
        <f>IF('Loan Tape (S&amp;P)'!S663="Yes",
    1.15,
    1.00)</f>
        <v/>
      </c>
      <c r="Q663">
        <f>IF('Loan Tape (S&amp;P)'!V663="Yes",
    1.20,
    1.00)</f>
        <v/>
      </c>
      <c r="T663">
        <f>LET(
    payment_method,'Loan Tape (S&amp;P)'!P663,
    occupancy,'Loan Tape (S&amp;P)'!N663,
    maturity_date,'Loan Tape (S&amp;P)'!L663,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4">
      <c r="J664">
        <f>LET(
    lien,'Loan Tape (S&amp;P)'!Q664,
    IF(lien="First",1.00,
        IF(lien="Second",1.50,
            1.70)))</f>
        <v/>
      </c>
      <c r="K664">
        <f>LET(
    purpose,'Loan Tape (S&amp;P)'!R664,
    IF(purpose="Purchase",1.00,
        IF(purpose="Remortgage",1.00,
            1.20)))</f>
        <v/>
      </c>
      <c r="L664">
        <f>LET(
    arrears_months,'Loan Tape (S&amp;P)'!AN664,
    IF(arrears_months=0,1.00,
    IF(arrears_months=1,3.00,
    IF(arrears_months=2,5.00,
    IF(arrears_months=3,8.00,
    IF(arrears_months=4,10.00,
    IF(arrears_months=5,12.00,15.00)))))))</f>
        <v/>
      </c>
      <c r="M664">
        <f>LET(
    seasoning_years,DATEDIF('Loan Tape (S&amp;P)'!K664,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4">
        <f>IF(AND('Loan Tape (S&amp;P)'!U664="Yes",
        'Loan Tape (S&amp;P)'!T664&lt;&gt;"Yes",
        DATEDIF('Loan Tape (S&amp;P)'!K664, TODAY(), "M")&lt;18),
    1.10,
    1.00)</f>
        <v/>
      </c>
      <c r="O664">
        <f>IF('Loan Tape (S&amp;P)'!T664="Yes",
    1.35,
    1.00)</f>
        <v/>
      </c>
      <c r="P664">
        <f>IF('Loan Tape (S&amp;P)'!S664="Yes",
    1.15,
    1.00)</f>
        <v/>
      </c>
      <c r="Q664">
        <f>IF('Loan Tape (S&amp;P)'!V664="Yes",
    1.20,
    1.00)</f>
        <v/>
      </c>
      <c r="T664">
        <f>LET(
    payment_method,'Loan Tape (S&amp;P)'!P664,
    occupancy,'Loan Tape (S&amp;P)'!N664,
    maturity_date,'Loan Tape (S&amp;P)'!L664,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5">
      <c r="J665">
        <f>LET(
    lien,'Loan Tape (S&amp;P)'!Q665,
    IF(lien="First",1.00,
        IF(lien="Second",1.50,
            1.70)))</f>
        <v/>
      </c>
      <c r="K665">
        <f>LET(
    purpose,'Loan Tape (S&amp;P)'!R665,
    IF(purpose="Purchase",1.00,
        IF(purpose="Remortgage",1.00,
            1.20)))</f>
        <v/>
      </c>
      <c r="L665">
        <f>LET(
    arrears_months,'Loan Tape (S&amp;P)'!AN665,
    IF(arrears_months=0,1.00,
    IF(arrears_months=1,3.00,
    IF(arrears_months=2,5.00,
    IF(arrears_months=3,8.00,
    IF(arrears_months=4,10.00,
    IF(arrears_months=5,12.00,15.00)))))))</f>
        <v/>
      </c>
      <c r="M665">
        <f>LET(
    seasoning_years,DATEDIF('Loan Tape (S&amp;P)'!K665,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5">
        <f>IF(AND('Loan Tape (S&amp;P)'!U665="Yes",
        'Loan Tape (S&amp;P)'!T665&lt;&gt;"Yes",
        DATEDIF('Loan Tape (S&amp;P)'!K665, TODAY(), "M")&lt;18),
    1.10,
    1.00)</f>
        <v/>
      </c>
      <c r="O665">
        <f>IF('Loan Tape (S&amp;P)'!T665="Yes",
    1.35,
    1.00)</f>
        <v/>
      </c>
      <c r="P665">
        <f>IF('Loan Tape (S&amp;P)'!S665="Yes",
    1.15,
    1.00)</f>
        <v/>
      </c>
      <c r="Q665">
        <f>IF('Loan Tape (S&amp;P)'!V665="Yes",
    1.20,
    1.00)</f>
        <v/>
      </c>
      <c r="T665">
        <f>LET(
    payment_method,'Loan Tape (S&amp;P)'!P665,
    occupancy,'Loan Tape (S&amp;P)'!N665,
    maturity_date,'Loan Tape (S&amp;P)'!L665,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6">
      <c r="J666">
        <f>LET(
    lien,'Loan Tape (S&amp;P)'!Q666,
    IF(lien="First",1.00,
        IF(lien="Second",1.50,
            1.70)))</f>
        <v/>
      </c>
      <c r="K666">
        <f>LET(
    purpose,'Loan Tape (S&amp;P)'!R666,
    IF(purpose="Purchase",1.00,
        IF(purpose="Remortgage",1.00,
            1.20)))</f>
        <v/>
      </c>
      <c r="L666">
        <f>LET(
    arrears_months,'Loan Tape (S&amp;P)'!AN666,
    IF(arrears_months=0,1.00,
    IF(arrears_months=1,3.00,
    IF(arrears_months=2,5.00,
    IF(arrears_months=3,8.00,
    IF(arrears_months=4,10.00,
    IF(arrears_months=5,12.00,15.00)))))))</f>
        <v/>
      </c>
      <c r="M666">
        <f>LET(
    seasoning_years,DATEDIF('Loan Tape (S&amp;P)'!K666,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6">
        <f>IF(AND('Loan Tape (S&amp;P)'!U666="Yes",
        'Loan Tape (S&amp;P)'!T666&lt;&gt;"Yes",
        DATEDIF('Loan Tape (S&amp;P)'!K666, TODAY(), "M")&lt;18),
    1.10,
    1.00)</f>
        <v/>
      </c>
      <c r="O666">
        <f>IF('Loan Tape (S&amp;P)'!T666="Yes",
    1.35,
    1.00)</f>
        <v/>
      </c>
      <c r="P666">
        <f>IF('Loan Tape (S&amp;P)'!S666="Yes",
    1.15,
    1.00)</f>
        <v/>
      </c>
      <c r="Q666">
        <f>IF('Loan Tape (S&amp;P)'!V666="Yes",
    1.20,
    1.00)</f>
        <v/>
      </c>
      <c r="T666">
        <f>LET(
    payment_method,'Loan Tape (S&amp;P)'!P666,
    occupancy,'Loan Tape (S&amp;P)'!N666,
    maturity_date,'Loan Tape (S&amp;P)'!L666,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7">
      <c r="J667">
        <f>LET(
    lien,'Loan Tape (S&amp;P)'!Q667,
    IF(lien="First",1.00,
        IF(lien="Second",1.50,
            1.70)))</f>
        <v/>
      </c>
      <c r="K667">
        <f>LET(
    purpose,'Loan Tape (S&amp;P)'!R667,
    IF(purpose="Purchase",1.00,
        IF(purpose="Remortgage",1.00,
            1.20)))</f>
        <v/>
      </c>
      <c r="L667">
        <f>LET(
    arrears_months,'Loan Tape (S&amp;P)'!AN667,
    IF(arrears_months=0,1.00,
    IF(arrears_months=1,3.00,
    IF(arrears_months=2,5.00,
    IF(arrears_months=3,8.00,
    IF(arrears_months=4,10.00,
    IF(arrears_months=5,12.00,15.00)))))))</f>
        <v/>
      </c>
      <c r="M667">
        <f>LET(
    seasoning_years,DATEDIF('Loan Tape (S&amp;P)'!K667,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7">
        <f>IF(AND('Loan Tape (S&amp;P)'!U667="Yes",
        'Loan Tape (S&amp;P)'!T667&lt;&gt;"Yes",
        DATEDIF('Loan Tape (S&amp;P)'!K667, TODAY(), "M")&lt;18),
    1.10,
    1.00)</f>
        <v/>
      </c>
      <c r="O667">
        <f>IF('Loan Tape (S&amp;P)'!T667="Yes",
    1.35,
    1.00)</f>
        <v/>
      </c>
      <c r="P667">
        <f>IF('Loan Tape (S&amp;P)'!S667="Yes",
    1.15,
    1.00)</f>
        <v/>
      </c>
      <c r="Q667">
        <f>IF('Loan Tape (S&amp;P)'!V667="Yes",
    1.20,
    1.00)</f>
        <v/>
      </c>
      <c r="T667">
        <f>LET(
    payment_method,'Loan Tape (S&amp;P)'!P667,
    occupancy,'Loan Tape (S&amp;P)'!N667,
    maturity_date,'Loan Tape (S&amp;P)'!L667,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8">
      <c r="J668">
        <f>LET(
    lien,'Loan Tape (S&amp;P)'!Q668,
    IF(lien="First",1.00,
        IF(lien="Second",1.50,
            1.70)))</f>
        <v/>
      </c>
      <c r="K668">
        <f>LET(
    purpose,'Loan Tape (S&amp;P)'!R668,
    IF(purpose="Purchase",1.00,
        IF(purpose="Remortgage",1.00,
            1.20)))</f>
        <v/>
      </c>
      <c r="L668">
        <f>LET(
    arrears_months,'Loan Tape (S&amp;P)'!AN668,
    IF(arrears_months=0,1.00,
    IF(arrears_months=1,3.00,
    IF(arrears_months=2,5.00,
    IF(arrears_months=3,8.00,
    IF(arrears_months=4,10.00,
    IF(arrears_months=5,12.00,15.00)))))))</f>
        <v/>
      </c>
      <c r="M668">
        <f>LET(
    seasoning_years,DATEDIF('Loan Tape (S&amp;P)'!K668,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8">
        <f>IF(AND('Loan Tape (S&amp;P)'!U668="Yes",
        'Loan Tape (S&amp;P)'!T668&lt;&gt;"Yes",
        DATEDIF('Loan Tape (S&amp;P)'!K668, TODAY(), "M")&lt;18),
    1.10,
    1.00)</f>
        <v/>
      </c>
      <c r="O668">
        <f>IF('Loan Tape (S&amp;P)'!T668="Yes",
    1.35,
    1.00)</f>
        <v/>
      </c>
      <c r="P668">
        <f>IF('Loan Tape (S&amp;P)'!S668="Yes",
    1.15,
    1.00)</f>
        <v/>
      </c>
      <c r="Q668">
        <f>IF('Loan Tape (S&amp;P)'!V668="Yes",
    1.20,
    1.00)</f>
        <v/>
      </c>
      <c r="T668">
        <f>LET(
    payment_method,'Loan Tape (S&amp;P)'!P668,
    occupancy,'Loan Tape (S&amp;P)'!N668,
    maturity_date,'Loan Tape (S&amp;P)'!L668,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9">
      <c r="J669">
        <f>LET(
    lien,'Loan Tape (S&amp;P)'!Q669,
    IF(lien="First",1.00,
        IF(lien="Second",1.50,
            1.70)))</f>
        <v/>
      </c>
      <c r="K669">
        <f>LET(
    purpose,'Loan Tape (S&amp;P)'!R669,
    IF(purpose="Purchase",1.00,
        IF(purpose="Remortgage",1.00,
            1.20)))</f>
        <v/>
      </c>
      <c r="L669">
        <f>LET(
    arrears_months,'Loan Tape (S&amp;P)'!AN669,
    IF(arrears_months=0,1.00,
    IF(arrears_months=1,3.00,
    IF(arrears_months=2,5.00,
    IF(arrears_months=3,8.00,
    IF(arrears_months=4,10.00,
    IF(arrears_months=5,12.00,15.00)))))))</f>
        <v/>
      </c>
      <c r="M669">
        <f>LET(
    seasoning_years,DATEDIF('Loan Tape (S&amp;P)'!K669,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9">
        <f>IF(AND('Loan Tape (S&amp;P)'!U669="Yes",
        'Loan Tape (S&amp;P)'!T669&lt;&gt;"Yes",
        DATEDIF('Loan Tape (S&amp;P)'!K669, TODAY(), "M")&lt;18),
    1.10,
    1.00)</f>
        <v/>
      </c>
      <c r="O669">
        <f>IF('Loan Tape (S&amp;P)'!T669="Yes",
    1.35,
    1.00)</f>
        <v/>
      </c>
      <c r="P669">
        <f>IF('Loan Tape (S&amp;P)'!S669="Yes",
    1.15,
    1.00)</f>
        <v/>
      </c>
      <c r="Q669">
        <f>IF('Loan Tape (S&amp;P)'!V669="Yes",
    1.20,
    1.00)</f>
        <v/>
      </c>
      <c r="T669">
        <f>LET(
    payment_method,'Loan Tape (S&amp;P)'!P669,
    occupancy,'Loan Tape (S&amp;P)'!N669,
    maturity_date,'Loan Tape (S&amp;P)'!L669,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0">
      <c r="J670">
        <f>LET(
    lien,'Loan Tape (S&amp;P)'!Q670,
    IF(lien="First",1.00,
        IF(lien="Second",1.50,
            1.70)))</f>
        <v/>
      </c>
      <c r="K670">
        <f>LET(
    purpose,'Loan Tape (S&amp;P)'!R670,
    IF(purpose="Purchase",1.00,
        IF(purpose="Remortgage",1.00,
            1.20)))</f>
        <v/>
      </c>
      <c r="L670">
        <f>LET(
    arrears_months,'Loan Tape (S&amp;P)'!AN670,
    IF(arrears_months=0,1.00,
    IF(arrears_months=1,3.00,
    IF(arrears_months=2,5.00,
    IF(arrears_months=3,8.00,
    IF(arrears_months=4,10.00,
    IF(arrears_months=5,12.00,15.00)))))))</f>
        <v/>
      </c>
      <c r="M670">
        <f>LET(
    seasoning_years,DATEDIF('Loan Tape (S&amp;P)'!K670,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0">
        <f>IF(AND('Loan Tape (S&amp;P)'!U670="Yes",
        'Loan Tape (S&amp;P)'!T670&lt;&gt;"Yes",
        DATEDIF('Loan Tape (S&amp;P)'!K670, TODAY(), "M")&lt;18),
    1.10,
    1.00)</f>
        <v/>
      </c>
      <c r="O670">
        <f>IF('Loan Tape (S&amp;P)'!T670="Yes",
    1.35,
    1.00)</f>
        <v/>
      </c>
      <c r="P670">
        <f>IF('Loan Tape (S&amp;P)'!S670="Yes",
    1.15,
    1.00)</f>
        <v/>
      </c>
      <c r="Q670">
        <f>IF('Loan Tape (S&amp;P)'!V670="Yes",
    1.20,
    1.00)</f>
        <v/>
      </c>
      <c r="T670">
        <f>LET(
    payment_method,'Loan Tape (S&amp;P)'!P670,
    occupancy,'Loan Tape (S&amp;P)'!N670,
    maturity_date,'Loan Tape (S&amp;P)'!L670,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1">
      <c r="J671">
        <f>LET(
    lien,'Loan Tape (S&amp;P)'!Q671,
    IF(lien="First",1.00,
        IF(lien="Second",1.50,
            1.70)))</f>
        <v/>
      </c>
      <c r="K671">
        <f>LET(
    purpose,'Loan Tape (S&amp;P)'!R671,
    IF(purpose="Purchase",1.00,
        IF(purpose="Remortgage",1.00,
            1.20)))</f>
        <v/>
      </c>
      <c r="L671">
        <f>LET(
    arrears_months,'Loan Tape (S&amp;P)'!AN671,
    IF(arrears_months=0,1.00,
    IF(arrears_months=1,3.00,
    IF(arrears_months=2,5.00,
    IF(arrears_months=3,8.00,
    IF(arrears_months=4,10.00,
    IF(arrears_months=5,12.00,15.00)))))))</f>
        <v/>
      </c>
      <c r="M671">
        <f>LET(
    seasoning_years,DATEDIF('Loan Tape (S&amp;P)'!K671,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1">
        <f>IF(AND('Loan Tape (S&amp;P)'!U671="Yes",
        'Loan Tape (S&amp;P)'!T671&lt;&gt;"Yes",
        DATEDIF('Loan Tape (S&amp;P)'!K671, TODAY(), "M")&lt;18),
    1.10,
    1.00)</f>
        <v/>
      </c>
      <c r="O671">
        <f>IF('Loan Tape (S&amp;P)'!T671="Yes",
    1.35,
    1.00)</f>
        <v/>
      </c>
      <c r="P671">
        <f>IF('Loan Tape (S&amp;P)'!S671="Yes",
    1.15,
    1.00)</f>
        <v/>
      </c>
      <c r="Q671">
        <f>IF('Loan Tape (S&amp;P)'!V671="Yes",
    1.20,
    1.00)</f>
        <v/>
      </c>
      <c r="T671">
        <f>LET(
    payment_method,'Loan Tape (S&amp;P)'!P671,
    occupancy,'Loan Tape (S&amp;P)'!N671,
    maturity_date,'Loan Tape (S&amp;P)'!L671,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2">
      <c r="J672">
        <f>LET(
    lien,'Loan Tape (S&amp;P)'!Q672,
    IF(lien="First",1.00,
        IF(lien="Second",1.50,
            1.70)))</f>
        <v/>
      </c>
      <c r="K672">
        <f>LET(
    purpose,'Loan Tape (S&amp;P)'!R672,
    IF(purpose="Purchase",1.00,
        IF(purpose="Remortgage",1.00,
            1.20)))</f>
        <v/>
      </c>
      <c r="L672">
        <f>LET(
    arrears_months,'Loan Tape (S&amp;P)'!AN672,
    IF(arrears_months=0,1.00,
    IF(arrears_months=1,3.00,
    IF(arrears_months=2,5.00,
    IF(arrears_months=3,8.00,
    IF(arrears_months=4,10.00,
    IF(arrears_months=5,12.00,15.00)))))))</f>
        <v/>
      </c>
      <c r="M672">
        <f>LET(
    seasoning_years,DATEDIF('Loan Tape (S&amp;P)'!K672,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2">
        <f>IF(AND('Loan Tape (S&amp;P)'!U672="Yes",
        'Loan Tape (S&amp;P)'!T672&lt;&gt;"Yes",
        DATEDIF('Loan Tape (S&amp;P)'!K672, TODAY(), "M")&lt;18),
    1.10,
    1.00)</f>
        <v/>
      </c>
      <c r="O672">
        <f>IF('Loan Tape (S&amp;P)'!T672="Yes",
    1.35,
    1.00)</f>
        <v/>
      </c>
      <c r="P672">
        <f>IF('Loan Tape (S&amp;P)'!S672="Yes",
    1.15,
    1.00)</f>
        <v/>
      </c>
      <c r="Q672">
        <f>IF('Loan Tape (S&amp;P)'!V672="Yes",
    1.20,
    1.00)</f>
        <v/>
      </c>
      <c r="T672">
        <f>LET(
    payment_method,'Loan Tape (S&amp;P)'!P672,
    occupancy,'Loan Tape (S&amp;P)'!N672,
    maturity_date,'Loan Tape (S&amp;P)'!L672,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3">
      <c r="J673">
        <f>LET(
    lien,'Loan Tape (S&amp;P)'!Q673,
    IF(lien="First",1.00,
        IF(lien="Second",1.50,
            1.70)))</f>
        <v/>
      </c>
      <c r="K673">
        <f>LET(
    purpose,'Loan Tape (S&amp;P)'!R673,
    IF(purpose="Purchase",1.00,
        IF(purpose="Remortgage",1.00,
            1.20)))</f>
        <v/>
      </c>
      <c r="L673">
        <f>LET(
    arrears_months,'Loan Tape (S&amp;P)'!AN673,
    IF(arrears_months=0,1.00,
    IF(arrears_months=1,3.00,
    IF(arrears_months=2,5.00,
    IF(arrears_months=3,8.00,
    IF(arrears_months=4,10.00,
    IF(arrears_months=5,12.00,15.00)))))))</f>
        <v/>
      </c>
      <c r="M673">
        <f>LET(
    seasoning_years,DATEDIF('Loan Tape (S&amp;P)'!K673,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3">
        <f>IF(AND('Loan Tape (S&amp;P)'!U673="Yes",
        'Loan Tape (S&amp;P)'!T673&lt;&gt;"Yes",
        DATEDIF('Loan Tape (S&amp;P)'!K673, TODAY(), "M")&lt;18),
    1.10,
    1.00)</f>
        <v/>
      </c>
      <c r="O673">
        <f>IF('Loan Tape (S&amp;P)'!T673="Yes",
    1.35,
    1.00)</f>
        <v/>
      </c>
      <c r="P673">
        <f>IF('Loan Tape (S&amp;P)'!S673="Yes",
    1.15,
    1.00)</f>
        <v/>
      </c>
      <c r="Q673">
        <f>IF('Loan Tape (S&amp;P)'!V673="Yes",
    1.20,
    1.00)</f>
        <v/>
      </c>
      <c r="T673">
        <f>LET(
    payment_method,'Loan Tape (S&amp;P)'!P673,
    occupancy,'Loan Tape (S&amp;P)'!N673,
    maturity_date,'Loan Tape (S&amp;P)'!L673,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4">
      <c r="J674">
        <f>LET(
    lien,'Loan Tape (S&amp;P)'!Q674,
    IF(lien="First",1.00,
        IF(lien="Second",1.50,
            1.70)))</f>
        <v/>
      </c>
      <c r="K674">
        <f>LET(
    purpose,'Loan Tape (S&amp;P)'!R674,
    IF(purpose="Purchase",1.00,
        IF(purpose="Remortgage",1.00,
            1.20)))</f>
        <v/>
      </c>
      <c r="L674">
        <f>LET(
    arrears_months,'Loan Tape (S&amp;P)'!AN674,
    IF(arrears_months=0,1.00,
    IF(arrears_months=1,3.00,
    IF(arrears_months=2,5.00,
    IF(arrears_months=3,8.00,
    IF(arrears_months=4,10.00,
    IF(arrears_months=5,12.00,15.00)))))))</f>
        <v/>
      </c>
      <c r="M674">
        <f>LET(
    seasoning_years,DATEDIF('Loan Tape (S&amp;P)'!K674,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4">
        <f>IF(AND('Loan Tape (S&amp;P)'!U674="Yes",
        'Loan Tape (S&amp;P)'!T674&lt;&gt;"Yes",
        DATEDIF('Loan Tape (S&amp;P)'!K674, TODAY(), "M")&lt;18),
    1.10,
    1.00)</f>
        <v/>
      </c>
      <c r="O674">
        <f>IF('Loan Tape (S&amp;P)'!T674="Yes",
    1.35,
    1.00)</f>
        <v/>
      </c>
      <c r="P674">
        <f>IF('Loan Tape (S&amp;P)'!S674="Yes",
    1.15,
    1.00)</f>
        <v/>
      </c>
      <c r="Q674">
        <f>IF('Loan Tape (S&amp;P)'!V674="Yes",
    1.20,
    1.00)</f>
        <v/>
      </c>
      <c r="T674">
        <f>LET(
    payment_method,'Loan Tape (S&amp;P)'!P674,
    occupancy,'Loan Tape (S&amp;P)'!N674,
    maturity_date,'Loan Tape (S&amp;P)'!L674,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5">
      <c r="J675">
        <f>LET(
    lien,'Loan Tape (S&amp;P)'!Q675,
    IF(lien="First",1.00,
        IF(lien="Second",1.50,
            1.70)))</f>
        <v/>
      </c>
      <c r="K675">
        <f>LET(
    purpose,'Loan Tape (S&amp;P)'!R675,
    IF(purpose="Purchase",1.00,
        IF(purpose="Remortgage",1.00,
            1.20)))</f>
        <v/>
      </c>
      <c r="L675">
        <f>LET(
    arrears_months,'Loan Tape (S&amp;P)'!AN675,
    IF(arrears_months=0,1.00,
    IF(arrears_months=1,3.00,
    IF(arrears_months=2,5.00,
    IF(arrears_months=3,8.00,
    IF(arrears_months=4,10.00,
    IF(arrears_months=5,12.00,15.00)))))))</f>
        <v/>
      </c>
      <c r="M675">
        <f>LET(
    seasoning_years,DATEDIF('Loan Tape (S&amp;P)'!K675,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5">
        <f>IF(AND('Loan Tape (S&amp;P)'!U675="Yes",
        'Loan Tape (S&amp;P)'!T675&lt;&gt;"Yes",
        DATEDIF('Loan Tape (S&amp;P)'!K675, TODAY(), "M")&lt;18),
    1.10,
    1.00)</f>
        <v/>
      </c>
      <c r="O675">
        <f>IF('Loan Tape (S&amp;P)'!T675="Yes",
    1.35,
    1.00)</f>
        <v/>
      </c>
      <c r="P675">
        <f>IF('Loan Tape (S&amp;P)'!S675="Yes",
    1.15,
    1.00)</f>
        <v/>
      </c>
      <c r="Q675">
        <f>IF('Loan Tape (S&amp;P)'!V675="Yes",
    1.20,
    1.00)</f>
        <v/>
      </c>
      <c r="T675">
        <f>LET(
    payment_method,'Loan Tape (S&amp;P)'!P675,
    occupancy,'Loan Tape (S&amp;P)'!N675,
    maturity_date,'Loan Tape (S&amp;P)'!L675,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6">
      <c r="J676">
        <f>LET(
    lien,'Loan Tape (S&amp;P)'!Q676,
    IF(lien="First",1.00,
        IF(lien="Second",1.50,
            1.70)))</f>
        <v/>
      </c>
      <c r="K676">
        <f>LET(
    purpose,'Loan Tape (S&amp;P)'!R676,
    IF(purpose="Purchase",1.00,
        IF(purpose="Remortgage",1.00,
            1.20)))</f>
        <v/>
      </c>
      <c r="L676">
        <f>LET(
    arrears_months,'Loan Tape (S&amp;P)'!AN676,
    IF(arrears_months=0,1.00,
    IF(arrears_months=1,3.00,
    IF(arrears_months=2,5.00,
    IF(arrears_months=3,8.00,
    IF(arrears_months=4,10.00,
    IF(arrears_months=5,12.00,15.00)))))))</f>
        <v/>
      </c>
      <c r="M676">
        <f>LET(
    seasoning_years,DATEDIF('Loan Tape (S&amp;P)'!K676,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6">
        <f>IF(AND('Loan Tape (S&amp;P)'!U676="Yes",
        'Loan Tape (S&amp;P)'!T676&lt;&gt;"Yes",
        DATEDIF('Loan Tape (S&amp;P)'!K676, TODAY(), "M")&lt;18),
    1.10,
    1.00)</f>
        <v/>
      </c>
      <c r="O676">
        <f>IF('Loan Tape (S&amp;P)'!T676="Yes",
    1.35,
    1.00)</f>
        <v/>
      </c>
      <c r="P676">
        <f>IF('Loan Tape (S&amp;P)'!S676="Yes",
    1.15,
    1.00)</f>
        <v/>
      </c>
      <c r="Q676">
        <f>IF('Loan Tape (S&amp;P)'!V676="Yes",
    1.20,
    1.00)</f>
        <v/>
      </c>
      <c r="T676">
        <f>LET(
    payment_method,'Loan Tape (S&amp;P)'!P676,
    occupancy,'Loan Tape (S&amp;P)'!N676,
    maturity_date,'Loan Tape (S&amp;P)'!L676,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7">
      <c r="J677">
        <f>LET(
    lien,'Loan Tape (S&amp;P)'!Q677,
    IF(lien="First",1.00,
        IF(lien="Second",1.50,
            1.70)))</f>
        <v/>
      </c>
      <c r="K677">
        <f>LET(
    purpose,'Loan Tape (S&amp;P)'!R677,
    IF(purpose="Purchase",1.00,
        IF(purpose="Remortgage",1.00,
            1.20)))</f>
        <v/>
      </c>
      <c r="L677">
        <f>LET(
    arrears_months,'Loan Tape (S&amp;P)'!AN677,
    IF(arrears_months=0,1.00,
    IF(arrears_months=1,3.00,
    IF(arrears_months=2,5.00,
    IF(arrears_months=3,8.00,
    IF(arrears_months=4,10.00,
    IF(arrears_months=5,12.00,15.00)))))))</f>
        <v/>
      </c>
      <c r="M677">
        <f>LET(
    seasoning_years,DATEDIF('Loan Tape (S&amp;P)'!K677,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7">
        <f>IF(AND('Loan Tape (S&amp;P)'!U677="Yes",
        'Loan Tape (S&amp;P)'!T677&lt;&gt;"Yes",
        DATEDIF('Loan Tape (S&amp;P)'!K677, TODAY(), "M")&lt;18),
    1.10,
    1.00)</f>
        <v/>
      </c>
      <c r="O677">
        <f>IF('Loan Tape (S&amp;P)'!T677="Yes",
    1.35,
    1.00)</f>
        <v/>
      </c>
      <c r="P677">
        <f>IF('Loan Tape (S&amp;P)'!S677="Yes",
    1.15,
    1.00)</f>
        <v/>
      </c>
      <c r="Q677">
        <f>IF('Loan Tape (S&amp;P)'!V677="Yes",
    1.20,
    1.00)</f>
        <v/>
      </c>
      <c r="T677">
        <f>LET(
    payment_method,'Loan Tape (S&amp;P)'!P677,
    occupancy,'Loan Tape (S&amp;P)'!N677,
    maturity_date,'Loan Tape (S&amp;P)'!L677,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8">
      <c r="J678">
        <f>LET(
    lien,'Loan Tape (S&amp;P)'!Q678,
    IF(lien="First",1.00,
        IF(lien="Second",1.50,
            1.70)))</f>
        <v/>
      </c>
      <c r="K678">
        <f>LET(
    purpose,'Loan Tape (S&amp;P)'!R678,
    IF(purpose="Purchase",1.00,
        IF(purpose="Remortgage",1.00,
            1.20)))</f>
        <v/>
      </c>
      <c r="L678">
        <f>LET(
    arrears_months,'Loan Tape (S&amp;P)'!AN678,
    IF(arrears_months=0,1.00,
    IF(arrears_months=1,3.00,
    IF(arrears_months=2,5.00,
    IF(arrears_months=3,8.00,
    IF(arrears_months=4,10.00,
    IF(arrears_months=5,12.00,15.00)))))))</f>
        <v/>
      </c>
      <c r="M678">
        <f>LET(
    seasoning_years,DATEDIF('Loan Tape (S&amp;P)'!K678,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8">
        <f>IF(AND('Loan Tape (S&amp;P)'!U678="Yes",
        'Loan Tape (S&amp;P)'!T678&lt;&gt;"Yes",
        DATEDIF('Loan Tape (S&amp;P)'!K678, TODAY(), "M")&lt;18),
    1.10,
    1.00)</f>
        <v/>
      </c>
      <c r="O678">
        <f>IF('Loan Tape (S&amp;P)'!T678="Yes",
    1.35,
    1.00)</f>
        <v/>
      </c>
      <c r="P678">
        <f>IF('Loan Tape (S&amp;P)'!S678="Yes",
    1.15,
    1.00)</f>
        <v/>
      </c>
      <c r="Q678">
        <f>IF('Loan Tape (S&amp;P)'!V678="Yes",
    1.20,
    1.00)</f>
        <v/>
      </c>
      <c r="T678">
        <f>LET(
    payment_method,'Loan Tape (S&amp;P)'!P678,
    occupancy,'Loan Tape (S&amp;P)'!N678,
    maturity_date,'Loan Tape (S&amp;P)'!L678,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9">
      <c r="J679">
        <f>LET(
    lien,'Loan Tape (S&amp;P)'!Q679,
    IF(lien="First",1.00,
        IF(lien="Second",1.50,
            1.70)))</f>
        <v/>
      </c>
      <c r="K679">
        <f>LET(
    purpose,'Loan Tape (S&amp;P)'!R679,
    IF(purpose="Purchase",1.00,
        IF(purpose="Remortgage",1.00,
            1.20)))</f>
        <v/>
      </c>
      <c r="L679">
        <f>LET(
    arrears_months,'Loan Tape (S&amp;P)'!AN679,
    IF(arrears_months=0,1.00,
    IF(arrears_months=1,3.00,
    IF(arrears_months=2,5.00,
    IF(arrears_months=3,8.00,
    IF(arrears_months=4,10.00,
    IF(arrears_months=5,12.00,15.00)))))))</f>
        <v/>
      </c>
      <c r="M679">
        <f>LET(
    seasoning_years,DATEDIF('Loan Tape (S&amp;P)'!K679,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9">
        <f>IF(AND('Loan Tape (S&amp;P)'!U679="Yes",
        'Loan Tape (S&amp;P)'!T679&lt;&gt;"Yes",
        DATEDIF('Loan Tape (S&amp;P)'!K679, TODAY(), "M")&lt;18),
    1.10,
    1.00)</f>
        <v/>
      </c>
      <c r="O679">
        <f>IF('Loan Tape (S&amp;P)'!T679="Yes",
    1.35,
    1.00)</f>
        <v/>
      </c>
      <c r="P679">
        <f>IF('Loan Tape (S&amp;P)'!S679="Yes",
    1.15,
    1.00)</f>
        <v/>
      </c>
      <c r="Q679">
        <f>IF('Loan Tape (S&amp;P)'!V679="Yes",
    1.20,
    1.00)</f>
        <v/>
      </c>
      <c r="T679">
        <f>LET(
    payment_method,'Loan Tape (S&amp;P)'!P679,
    occupancy,'Loan Tape (S&amp;P)'!N679,
    maturity_date,'Loan Tape (S&amp;P)'!L679,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0">
      <c r="J680">
        <f>LET(
    lien,'Loan Tape (S&amp;P)'!Q680,
    IF(lien="First",1.00,
        IF(lien="Second",1.50,
            1.70)))</f>
        <v/>
      </c>
      <c r="K680">
        <f>LET(
    purpose,'Loan Tape (S&amp;P)'!R680,
    IF(purpose="Purchase",1.00,
        IF(purpose="Remortgage",1.00,
            1.20)))</f>
        <v/>
      </c>
      <c r="L680">
        <f>LET(
    arrears_months,'Loan Tape (S&amp;P)'!AN680,
    IF(arrears_months=0,1.00,
    IF(arrears_months=1,3.00,
    IF(arrears_months=2,5.00,
    IF(arrears_months=3,8.00,
    IF(arrears_months=4,10.00,
    IF(arrears_months=5,12.00,15.00)))))))</f>
        <v/>
      </c>
      <c r="M680">
        <f>LET(
    seasoning_years,DATEDIF('Loan Tape (S&amp;P)'!K680,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0">
        <f>IF(AND('Loan Tape (S&amp;P)'!U680="Yes",
        'Loan Tape (S&amp;P)'!T680&lt;&gt;"Yes",
        DATEDIF('Loan Tape (S&amp;P)'!K680, TODAY(), "M")&lt;18),
    1.10,
    1.00)</f>
        <v/>
      </c>
      <c r="O680">
        <f>IF('Loan Tape (S&amp;P)'!T680="Yes",
    1.35,
    1.00)</f>
        <v/>
      </c>
      <c r="P680">
        <f>IF('Loan Tape (S&amp;P)'!S680="Yes",
    1.15,
    1.00)</f>
        <v/>
      </c>
      <c r="Q680">
        <f>IF('Loan Tape (S&amp;P)'!V680="Yes",
    1.20,
    1.00)</f>
        <v/>
      </c>
      <c r="T680">
        <f>LET(
    payment_method,'Loan Tape (S&amp;P)'!P680,
    occupancy,'Loan Tape (S&amp;P)'!N680,
    maturity_date,'Loan Tape (S&amp;P)'!L680,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1">
      <c r="J681">
        <f>LET(
    lien,'Loan Tape (S&amp;P)'!Q681,
    IF(lien="First",1.00,
        IF(lien="Second",1.50,
            1.70)))</f>
        <v/>
      </c>
      <c r="K681">
        <f>LET(
    purpose,'Loan Tape (S&amp;P)'!R681,
    IF(purpose="Purchase",1.00,
        IF(purpose="Remortgage",1.00,
            1.20)))</f>
        <v/>
      </c>
      <c r="L681">
        <f>LET(
    arrears_months,'Loan Tape (S&amp;P)'!AN681,
    IF(arrears_months=0,1.00,
    IF(arrears_months=1,3.00,
    IF(arrears_months=2,5.00,
    IF(arrears_months=3,8.00,
    IF(arrears_months=4,10.00,
    IF(arrears_months=5,12.00,15.00)))))))</f>
        <v/>
      </c>
      <c r="M681">
        <f>LET(
    seasoning_years,DATEDIF('Loan Tape (S&amp;P)'!K681,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1">
        <f>IF(AND('Loan Tape (S&amp;P)'!U681="Yes",
        'Loan Tape (S&amp;P)'!T681&lt;&gt;"Yes",
        DATEDIF('Loan Tape (S&amp;P)'!K681, TODAY(), "M")&lt;18),
    1.10,
    1.00)</f>
        <v/>
      </c>
      <c r="O681">
        <f>IF('Loan Tape (S&amp;P)'!T681="Yes",
    1.35,
    1.00)</f>
        <v/>
      </c>
      <c r="P681">
        <f>IF('Loan Tape (S&amp;P)'!S681="Yes",
    1.15,
    1.00)</f>
        <v/>
      </c>
      <c r="Q681">
        <f>IF('Loan Tape (S&amp;P)'!V681="Yes",
    1.20,
    1.00)</f>
        <v/>
      </c>
      <c r="T681">
        <f>LET(
    payment_method,'Loan Tape (S&amp;P)'!P681,
    occupancy,'Loan Tape (S&amp;P)'!N681,
    maturity_date,'Loan Tape (S&amp;P)'!L681,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2">
      <c r="J682">
        <f>LET(
    lien,'Loan Tape (S&amp;P)'!Q682,
    IF(lien="First",1.00,
        IF(lien="Second",1.50,
            1.70)))</f>
        <v/>
      </c>
      <c r="K682">
        <f>LET(
    purpose,'Loan Tape (S&amp;P)'!R682,
    IF(purpose="Purchase",1.00,
        IF(purpose="Remortgage",1.00,
            1.20)))</f>
        <v/>
      </c>
      <c r="L682">
        <f>LET(
    arrears_months,'Loan Tape (S&amp;P)'!AN682,
    IF(arrears_months=0,1.00,
    IF(arrears_months=1,3.00,
    IF(arrears_months=2,5.00,
    IF(arrears_months=3,8.00,
    IF(arrears_months=4,10.00,
    IF(arrears_months=5,12.00,15.00)))))))</f>
        <v/>
      </c>
      <c r="M682">
        <f>LET(
    seasoning_years,DATEDIF('Loan Tape (S&amp;P)'!K682,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2">
        <f>IF(AND('Loan Tape (S&amp;P)'!U682="Yes",
        'Loan Tape (S&amp;P)'!T682&lt;&gt;"Yes",
        DATEDIF('Loan Tape (S&amp;P)'!K682, TODAY(), "M")&lt;18),
    1.10,
    1.00)</f>
        <v/>
      </c>
      <c r="O682">
        <f>IF('Loan Tape (S&amp;P)'!T682="Yes",
    1.35,
    1.00)</f>
        <v/>
      </c>
      <c r="P682">
        <f>IF('Loan Tape (S&amp;P)'!S682="Yes",
    1.15,
    1.00)</f>
        <v/>
      </c>
      <c r="Q682">
        <f>IF('Loan Tape (S&amp;P)'!V682="Yes",
    1.20,
    1.00)</f>
        <v/>
      </c>
      <c r="T682">
        <f>LET(
    payment_method,'Loan Tape (S&amp;P)'!P682,
    occupancy,'Loan Tape (S&amp;P)'!N682,
    maturity_date,'Loan Tape (S&amp;P)'!L682,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3">
      <c r="J683">
        <f>LET(
    lien,'Loan Tape (S&amp;P)'!Q683,
    IF(lien="First",1.00,
        IF(lien="Second",1.50,
            1.70)))</f>
        <v/>
      </c>
      <c r="K683">
        <f>LET(
    purpose,'Loan Tape (S&amp;P)'!R683,
    IF(purpose="Purchase",1.00,
        IF(purpose="Remortgage",1.00,
            1.20)))</f>
        <v/>
      </c>
      <c r="L683">
        <f>LET(
    arrears_months,'Loan Tape (S&amp;P)'!AN683,
    IF(arrears_months=0,1.00,
    IF(arrears_months=1,3.00,
    IF(arrears_months=2,5.00,
    IF(arrears_months=3,8.00,
    IF(arrears_months=4,10.00,
    IF(arrears_months=5,12.00,15.00)))))))</f>
        <v/>
      </c>
      <c r="M683">
        <f>LET(
    seasoning_years,DATEDIF('Loan Tape (S&amp;P)'!K683,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3">
        <f>IF(AND('Loan Tape (S&amp;P)'!U683="Yes",
        'Loan Tape (S&amp;P)'!T683&lt;&gt;"Yes",
        DATEDIF('Loan Tape (S&amp;P)'!K683, TODAY(), "M")&lt;18),
    1.10,
    1.00)</f>
        <v/>
      </c>
      <c r="O683">
        <f>IF('Loan Tape (S&amp;P)'!T683="Yes",
    1.35,
    1.00)</f>
        <v/>
      </c>
      <c r="P683">
        <f>IF('Loan Tape (S&amp;P)'!S683="Yes",
    1.15,
    1.00)</f>
        <v/>
      </c>
      <c r="Q683">
        <f>IF('Loan Tape (S&amp;P)'!V683="Yes",
    1.20,
    1.00)</f>
        <v/>
      </c>
      <c r="T683">
        <f>LET(
    payment_method,'Loan Tape (S&amp;P)'!P683,
    occupancy,'Loan Tape (S&amp;P)'!N683,
    maturity_date,'Loan Tape (S&amp;P)'!L683,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4">
      <c r="J684">
        <f>LET(
    lien,'Loan Tape (S&amp;P)'!Q684,
    IF(lien="First",1.00,
        IF(lien="Second",1.50,
            1.70)))</f>
        <v/>
      </c>
      <c r="K684">
        <f>LET(
    purpose,'Loan Tape (S&amp;P)'!R684,
    IF(purpose="Purchase",1.00,
        IF(purpose="Remortgage",1.00,
            1.20)))</f>
        <v/>
      </c>
      <c r="L684">
        <f>LET(
    arrears_months,'Loan Tape (S&amp;P)'!AN684,
    IF(arrears_months=0,1.00,
    IF(arrears_months=1,3.00,
    IF(arrears_months=2,5.00,
    IF(arrears_months=3,8.00,
    IF(arrears_months=4,10.00,
    IF(arrears_months=5,12.00,15.00)))))))</f>
        <v/>
      </c>
      <c r="M684">
        <f>LET(
    seasoning_years,DATEDIF('Loan Tape (S&amp;P)'!K684,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4">
        <f>IF(AND('Loan Tape (S&amp;P)'!U684="Yes",
        'Loan Tape (S&amp;P)'!T684&lt;&gt;"Yes",
        DATEDIF('Loan Tape (S&amp;P)'!K684, TODAY(), "M")&lt;18),
    1.10,
    1.00)</f>
        <v/>
      </c>
      <c r="O684">
        <f>IF('Loan Tape (S&amp;P)'!T684="Yes",
    1.35,
    1.00)</f>
        <v/>
      </c>
      <c r="P684">
        <f>IF('Loan Tape (S&amp;P)'!S684="Yes",
    1.15,
    1.00)</f>
        <v/>
      </c>
      <c r="Q684">
        <f>IF('Loan Tape (S&amp;P)'!V684="Yes",
    1.20,
    1.00)</f>
        <v/>
      </c>
      <c r="T684">
        <f>LET(
    payment_method,'Loan Tape (S&amp;P)'!P684,
    occupancy,'Loan Tape (S&amp;P)'!N684,
    maturity_date,'Loan Tape (S&amp;P)'!L684,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5">
      <c r="J685">
        <f>LET(
    lien,'Loan Tape (S&amp;P)'!Q685,
    IF(lien="First",1.00,
        IF(lien="Second",1.50,
            1.70)))</f>
        <v/>
      </c>
      <c r="K685">
        <f>LET(
    purpose,'Loan Tape (S&amp;P)'!R685,
    IF(purpose="Purchase",1.00,
        IF(purpose="Remortgage",1.00,
            1.20)))</f>
        <v/>
      </c>
      <c r="L685">
        <f>LET(
    arrears_months,'Loan Tape (S&amp;P)'!AN685,
    IF(arrears_months=0,1.00,
    IF(arrears_months=1,3.00,
    IF(arrears_months=2,5.00,
    IF(arrears_months=3,8.00,
    IF(arrears_months=4,10.00,
    IF(arrears_months=5,12.00,15.00)))))))</f>
        <v/>
      </c>
      <c r="M685">
        <f>LET(
    seasoning_years,DATEDIF('Loan Tape (S&amp;P)'!K685,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5">
        <f>IF(AND('Loan Tape (S&amp;P)'!U685="Yes",
        'Loan Tape (S&amp;P)'!T685&lt;&gt;"Yes",
        DATEDIF('Loan Tape (S&amp;P)'!K685, TODAY(), "M")&lt;18),
    1.10,
    1.00)</f>
        <v/>
      </c>
      <c r="O685">
        <f>IF('Loan Tape (S&amp;P)'!T685="Yes",
    1.35,
    1.00)</f>
        <v/>
      </c>
      <c r="P685">
        <f>IF('Loan Tape (S&amp;P)'!S685="Yes",
    1.15,
    1.00)</f>
        <v/>
      </c>
      <c r="Q685">
        <f>IF('Loan Tape (S&amp;P)'!V685="Yes",
    1.20,
    1.00)</f>
        <v/>
      </c>
      <c r="T685">
        <f>LET(
    payment_method,'Loan Tape (S&amp;P)'!P685,
    occupancy,'Loan Tape (S&amp;P)'!N685,
    maturity_date,'Loan Tape (S&amp;P)'!L685,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6">
      <c r="J686">
        <f>LET(
    lien,'Loan Tape (S&amp;P)'!Q686,
    IF(lien="First",1.00,
        IF(lien="Second",1.50,
            1.70)))</f>
        <v/>
      </c>
      <c r="K686">
        <f>LET(
    purpose,'Loan Tape (S&amp;P)'!R686,
    IF(purpose="Purchase",1.00,
        IF(purpose="Remortgage",1.00,
            1.20)))</f>
        <v/>
      </c>
      <c r="L686">
        <f>LET(
    arrears_months,'Loan Tape (S&amp;P)'!AN686,
    IF(arrears_months=0,1.00,
    IF(arrears_months=1,3.00,
    IF(arrears_months=2,5.00,
    IF(arrears_months=3,8.00,
    IF(arrears_months=4,10.00,
    IF(arrears_months=5,12.00,15.00)))))))</f>
        <v/>
      </c>
      <c r="M686">
        <f>LET(
    seasoning_years,DATEDIF('Loan Tape (S&amp;P)'!K686,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6">
        <f>IF(AND('Loan Tape (S&amp;P)'!U686="Yes",
        'Loan Tape (S&amp;P)'!T686&lt;&gt;"Yes",
        DATEDIF('Loan Tape (S&amp;P)'!K686, TODAY(), "M")&lt;18),
    1.10,
    1.00)</f>
        <v/>
      </c>
      <c r="O686">
        <f>IF('Loan Tape (S&amp;P)'!T686="Yes",
    1.35,
    1.00)</f>
        <v/>
      </c>
      <c r="P686">
        <f>IF('Loan Tape (S&amp;P)'!S686="Yes",
    1.15,
    1.00)</f>
        <v/>
      </c>
      <c r="Q686">
        <f>IF('Loan Tape (S&amp;P)'!V686="Yes",
    1.20,
    1.00)</f>
        <v/>
      </c>
      <c r="T686">
        <f>LET(
    payment_method,'Loan Tape (S&amp;P)'!P686,
    occupancy,'Loan Tape (S&amp;P)'!N686,
    maturity_date,'Loan Tape (S&amp;P)'!L686,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7">
      <c r="J687">
        <f>LET(
    lien,'Loan Tape (S&amp;P)'!Q687,
    IF(lien="First",1.00,
        IF(lien="Second",1.50,
            1.70)))</f>
        <v/>
      </c>
      <c r="K687">
        <f>LET(
    purpose,'Loan Tape (S&amp;P)'!R687,
    IF(purpose="Purchase",1.00,
        IF(purpose="Remortgage",1.00,
            1.20)))</f>
        <v/>
      </c>
      <c r="L687">
        <f>LET(
    arrears_months,'Loan Tape (S&amp;P)'!AN687,
    IF(arrears_months=0,1.00,
    IF(arrears_months=1,3.00,
    IF(arrears_months=2,5.00,
    IF(arrears_months=3,8.00,
    IF(arrears_months=4,10.00,
    IF(arrears_months=5,12.00,15.00)))))))</f>
        <v/>
      </c>
      <c r="M687">
        <f>LET(
    seasoning_years,DATEDIF('Loan Tape (S&amp;P)'!K687,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7">
        <f>IF(AND('Loan Tape (S&amp;P)'!U687="Yes",
        'Loan Tape (S&amp;P)'!T687&lt;&gt;"Yes",
        DATEDIF('Loan Tape (S&amp;P)'!K687, TODAY(), "M")&lt;18),
    1.10,
    1.00)</f>
        <v/>
      </c>
      <c r="O687">
        <f>IF('Loan Tape (S&amp;P)'!T687="Yes",
    1.35,
    1.00)</f>
        <v/>
      </c>
      <c r="P687">
        <f>IF('Loan Tape (S&amp;P)'!S687="Yes",
    1.15,
    1.00)</f>
        <v/>
      </c>
      <c r="Q687">
        <f>IF('Loan Tape (S&amp;P)'!V687="Yes",
    1.20,
    1.00)</f>
        <v/>
      </c>
      <c r="T687">
        <f>LET(
    payment_method,'Loan Tape (S&amp;P)'!P687,
    occupancy,'Loan Tape (S&amp;P)'!N687,
    maturity_date,'Loan Tape (S&amp;P)'!L687,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8">
      <c r="J688">
        <f>LET(
    lien,'Loan Tape (S&amp;P)'!Q688,
    IF(lien="First",1.00,
        IF(lien="Second",1.50,
            1.70)))</f>
        <v/>
      </c>
      <c r="K688">
        <f>LET(
    purpose,'Loan Tape (S&amp;P)'!R688,
    IF(purpose="Purchase",1.00,
        IF(purpose="Remortgage",1.00,
            1.20)))</f>
        <v/>
      </c>
      <c r="L688">
        <f>LET(
    arrears_months,'Loan Tape (S&amp;P)'!AN688,
    IF(arrears_months=0,1.00,
    IF(arrears_months=1,3.00,
    IF(arrears_months=2,5.00,
    IF(arrears_months=3,8.00,
    IF(arrears_months=4,10.00,
    IF(arrears_months=5,12.00,15.00)))))))</f>
        <v/>
      </c>
      <c r="M688">
        <f>LET(
    seasoning_years,DATEDIF('Loan Tape (S&amp;P)'!K688,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8">
        <f>IF(AND('Loan Tape (S&amp;P)'!U688="Yes",
        'Loan Tape (S&amp;P)'!T688&lt;&gt;"Yes",
        DATEDIF('Loan Tape (S&amp;P)'!K688, TODAY(), "M")&lt;18),
    1.10,
    1.00)</f>
        <v/>
      </c>
      <c r="O688">
        <f>IF('Loan Tape (S&amp;P)'!T688="Yes",
    1.35,
    1.00)</f>
        <v/>
      </c>
      <c r="P688">
        <f>IF('Loan Tape (S&amp;P)'!S688="Yes",
    1.15,
    1.00)</f>
        <v/>
      </c>
      <c r="Q688">
        <f>IF('Loan Tape (S&amp;P)'!V688="Yes",
    1.20,
    1.00)</f>
        <v/>
      </c>
      <c r="T688">
        <f>LET(
    payment_method,'Loan Tape (S&amp;P)'!P688,
    occupancy,'Loan Tape (S&amp;P)'!N688,
    maturity_date,'Loan Tape (S&amp;P)'!L688,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9">
      <c r="J689">
        <f>LET(
    lien,'Loan Tape (S&amp;P)'!Q689,
    IF(lien="First",1.00,
        IF(lien="Second",1.50,
            1.70)))</f>
        <v/>
      </c>
      <c r="K689">
        <f>LET(
    purpose,'Loan Tape (S&amp;P)'!R689,
    IF(purpose="Purchase",1.00,
        IF(purpose="Remortgage",1.00,
            1.20)))</f>
        <v/>
      </c>
      <c r="L689">
        <f>LET(
    arrears_months,'Loan Tape (S&amp;P)'!AN689,
    IF(arrears_months=0,1.00,
    IF(arrears_months=1,3.00,
    IF(arrears_months=2,5.00,
    IF(arrears_months=3,8.00,
    IF(arrears_months=4,10.00,
    IF(arrears_months=5,12.00,15.00)))))))</f>
        <v/>
      </c>
      <c r="M689">
        <f>LET(
    seasoning_years,DATEDIF('Loan Tape (S&amp;P)'!K689,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9">
        <f>IF(AND('Loan Tape (S&amp;P)'!U689="Yes",
        'Loan Tape (S&amp;P)'!T689&lt;&gt;"Yes",
        DATEDIF('Loan Tape (S&amp;P)'!K689, TODAY(), "M")&lt;18),
    1.10,
    1.00)</f>
        <v/>
      </c>
      <c r="O689">
        <f>IF('Loan Tape (S&amp;P)'!T689="Yes",
    1.35,
    1.00)</f>
        <v/>
      </c>
      <c r="P689">
        <f>IF('Loan Tape (S&amp;P)'!S689="Yes",
    1.15,
    1.00)</f>
        <v/>
      </c>
      <c r="Q689">
        <f>IF('Loan Tape (S&amp;P)'!V689="Yes",
    1.20,
    1.00)</f>
        <v/>
      </c>
      <c r="T689">
        <f>LET(
    payment_method,'Loan Tape (S&amp;P)'!P689,
    occupancy,'Loan Tape (S&amp;P)'!N689,
    maturity_date,'Loan Tape (S&amp;P)'!L689,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0">
      <c r="J690">
        <f>LET(
    lien,'Loan Tape (S&amp;P)'!Q690,
    IF(lien="First",1.00,
        IF(lien="Second",1.50,
            1.70)))</f>
        <v/>
      </c>
      <c r="K690">
        <f>LET(
    purpose,'Loan Tape (S&amp;P)'!R690,
    IF(purpose="Purchase",1.00,
        IF(purpose="Remortgage",1.00,
            1.20)))</f>
        <v/>
      </c>
      <c r="L690">
        <f>LET(
    arrears_months,'Loan Tape (S&amp;P)'!AN690,
    IF(arrears_months=0,1.00,
    IF(arrears_months=1,3.00,
    IF(arrears_months=2,5.00,
    IF(arrears_months=3,8.00,
    IF(arrears_months=4,10.00,
    IF(arrears_months=5,12.00,15.00)))))))</f>
        <v/>
      </c>
      <c r="M690">
        <f>LET(
    seasoning_years,DATEDIF('Loan Tape (S&amp;P)'!K690,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0">
        <f>IF(AND('Loan Tape (S&amp;P)'!U690="Yes",
        'Loan Tape (S&amp;P)'!T690&lt;&gt;"Yes",
        DATEDIF('Loan Tape (S&amp;P)'!K690, TODAY(), "M")&lt;18),
    1.10,
    1.00)</f>
        <v/>
      </c>
      <c r="O690">
        <f>IF('Loan Tape (S&amp;P)'!T690="Yes",
    1.35,
    1.00)</f>
        <v/>
      </c>
      <c r="P690">
        <f>IF('Loan Tape (S&amp;P)'!S690="Yes",
    1.15,
    1.00)</f>
        <v/>
      </c>
      <c r="Q690">
        <f>IF('Loan Tape (S&amp;P)'!V690="Yes",
    1.20,
    1.00)</f>
        <v/>
      </c>
      <c r="T690">
        <f>LET(
    payment_method,'Loan Tape (S&amp;P)'!P690,
    occupancy,'Loan Tape (S&amp;P)'!N690,
    maturity_date,'Loan Tape (S&amp;P)'!L690,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1">
      <c r="J691">
        <f>LET(
    lien,'Loan Tape (S&amp;P)'!Q691,
    IF(lien="First",1.00,
        IF(lien="Second",1.50,
            1.70)))</f>
        <v/>
      </c>
      <c r="K691">
        <f>LET(
    purpose,'Loan Tape (S&amp;P)'!R691,
    IF(purpose="Purchase",1.00,
        IF(purpose="Remortgage",1.00,
            1.20)))</f>
        <v/>
      </c>
      <c r="L691">
        <f>LET(
    arrears_months,'Loan Tape (S&amp;P)'!AN691,
    IF(arrears_months=0,1.00,
    IF(arrears_months=1,3.00,
    IF(arrears_months=2,5.00,
    IF(arrears_months=3,8.00,
    IF(arrears_months=4,10.00,
    IF(arrears_months=5,12.00,15.00)))))))</f>
        <v/>
      </c>
      <c r="M691">
        <f>LET(
    seasoning_years,DATEDIF('Loan Tape (S&amp;P)'!K691,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1">
        <f>IF(AND('Loan Tape (S&amp;P)'!U691="Yes",
        'Loan Tape (S&amp;P)'!T691&lt;&gt;"Yes",
        DATEDIF('Loan Tape (S&amp;P)'!K691, TODAY(), "M")&lt;18),
    1.10,
    1.00)</f>
        <v/>
      </c>
      <c r="O691">
        <f>IF('Loan Tape (S&amp;P)'!T691="Yes",
    1.35,
    1.00)</f>
        <v/>
      </c>
      <c r="P691">
        <f>IF('Loan Tape (S&amp;P)'!S691="Yes",
    1.15,
    1.00)</f>
        <v/>
      </c>
      <c r="Q691">
        <f>IF('Loan Tape (S&amp;P)'!V691="Yes",
    1.20,
    1.00)</f>
        <v/>
      </c>
      <c r="T691">
        <f>LET(
    payment_method,'Loan Tape (S&amp;P)'!P691,
    occupancy,'Loan Tape (S&amp;P)'!N691,
    maturity_date,'Loan Tape (S&amp;P)'!L691,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2">
      <c r="J692">
        <f>LET(
    lien,'Loan Tape (S&amp;P)'!Q692,
    IF(lien="First",1.00,
        IF(lien="Second",1.50,
            1.70)))</f>
        <v/>
      </c>
      <c r="K692">
        <f>LET(
    purpose,'Loan Tape (S&amp;P)'!R692,
    IF(purpose="Purchase",1.00,
        IF(purpose="Remortgage",1.00,
            1.20)))</f>
        <v/>
      </c>
      <c r="L692">
        <f>LET(
    arrears_months,'Loan Tape (S&amp;P)'!AN692,
    IF(arrears_months=0,1.00,
    IF(arrears_months=1,3.00,
    IF(arrears_months=2,5.00,
    IF(arrears_months=3,8.00,
    IF(arrears_months=4,10.00,
    IF(arrears_months=5,12.00,15.00)))))))</f>
        <v/>
      </c>
      <c r="M692">
        <f>LET(
    seasoning_years,DATEDIF('Loan Tape (S&amp;P)'!K692,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2">
        <f>IF(AND('Loan Tape (S&amp;P)'!U692="Yes",
        'Loan Tape (S&amp;P)'!T692&lt;&gt;"Yes",
        DATEDIF('Loan Tape (S&amp;P)'!K692, TODAY(), "M")&lt;18),
    1.10,
    1.00)</f>
        <v/>
      </c>
      <c r="O692">
        <f>IF('Loan Tape (S&amp;P)'!T692="Yes",
    1.35,
    1.00)</f>
        <v/>
      </c>
      <c r="P692">
        <f>IF('Loan Tape (S&amp;P)'!S692="Yes",
    1.15,
    1.00)</f>
        <v/>
      </c>
      <c r="Q692">
        <f>IF('Loan Tape (S&amp;P)'!V692="Yes",
    1.20,
    1.00)</f>
        <v/>
      </c>
      <c r="T692">
        <f>LET(
    payment_method,'Loan Tape (S&amp;P)'!P692,
    occupancy,'Loan Tape (S&amp;P)'!N692,
    maturity_date,'Loan Tape (S&amp;P)'!L692,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3">
      <c r="J693">
        <f>LET(
    lien,'Loan Tape (S&amp;P)'!Q693,
    IF(lien="First",1.00,
        IF(lien="Second",1.50,
            1.70)))</f>
        <v/>
      </c>
      <c r="K693">
        <f>LET(
    purpose,'Loan Tape (S&amp;P)'!R693,
    IF(purpose="Purchase",1.00,
        IF(purpose="Remortgage",1.00,
            1.20)))</f>
        <v/>
      </c>
      <c r="L693">
        <f>LET(
    arrears_months,'Loan Tape (S&amp;P)'!AN693,
    IF(arrears_months=0,1.00,
    IF(arrears_months=1,3.00,
    IF(arrears_months=2,5.00,
    IF(arrears_months=3,8.00,
    IF(arrears_months=4,10.00,
    IF(arrears_months=5,12.00,15.00)))))))</f>
        <v/>
      </c>
      <c r="M693">
        <f>LET(
    seasoning_years,DATEDIF('Loan Tape (S&amp;P)'!K693,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3">
        <f>IF(AND('Loan Tape (S&amp;P)'!U693="Yes",
        'Loan Tape (S&amp;P)'!T693&lt;&gt;"Yes",
        DATEDIF('Loan Tape (S&amp;P)'!K693, TODAY(), "M")&lt;18),
    1.10,
    1.00)</f>
        <v/>
      </c>
      <c r="O693">
        <f>IF('Loan Tape (S&amp;P)'!T693="Yes",
    1.35,
    1.00)</f>
        <v/>
      </c>
      <c r="P693">
        <f>IF('Loan Tape (S&amp;P)'!S693="Yes",
    1.15,
    1.00)</f>
        <v/>
      </c>
      <c r="Q693">
        <f>IF('Loan Tape (S&amp;P)'!V693="Yes",
    1.20,
    1.00)</f>
        <v/>
      </c>
      <c r="T693">
        <f>LET(
    payment_method,'Loan Tape (S&amp;P)'!P693,
    occupancy,'Loan Tape (S&amp;P)'!N693,
    maturity_date,'Loan Tape (S&amp;P)'!L693,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4">
      <c r="J694">
        <f>LET(
    lien,'Loan Tape (S&amp;P)'!Q694,
    IF(lien="First",1.00,
        IF(lien="Second",1.50,
            1.70)))</f>
        <v/>
      </c>
      <c r="K694">
        <f>LET(
    purpose,'Loan Tape (S&amp;P)'!R694,
    IF(purpose="Purchase",1.00,
        IF(purpose="Remortgage",1.00,
            1.20)))</f>
        <v/>
      </c>
      <c r="L694">
        <f>LET(
    arrears_months,'Loan Tape (S&amp;P)'!AN694,
    IF(arrears_months=0,1.00,
    IF(arrears_months=1,3.00,
    IF(arrears_months=2,5.00,
    IF(arrears_months=3,8.00,
    IF(arrears_months=4,10.00,
    IF(arrears_months=5,12.00,15.00)))))))</f>
        <v/>
      </c>
      <c r="M694">
        <f>LET(
    seasoning_years,DATEDIF('Loan Tape (S&amp;P)'!K694,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4">
        <f>IF(AND('Loan Tape (S&amp;P)'!U694="Yes",
        'Loan Tape (S&amp;P)'!T694&lt;&gt;"Yes",
        DATEDIF('Loan Tape (S&amp;P)'!K694, TODAY(), "M")&lt;18),
    1.10,
    1.00)</f>
        <v/>
      </c>
      <c r="O694">
        <f>IF('Loan Tape (S&amp;P)'!T694="Yes",
    1.35,
    1.00)</f>
        <v/>
      </c>
      <c r="P694">
        <f>IF('Loan Tape (S&amp;P)'!S694="Yes",
    1.15,
    1.00)</f>
        <v/>
      </c>
      <c r="Q694">
        <f>IF('Loan Tape (S&amp;P)'!V694="Yes",
    1.20,
    1.00)</f>
        <v/>
      </c>
      <c r="T694">
        <f>LET(
    payment_method,'Loan Tape (S&amp;P)'!P694,
    occupancy,'Loan Tape (S&amp;P)'!N694,
    maturity_date,'Loan Tape (S&amp;P)'!L694,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5">
      <c r="J695">
        <f>LET(
    lien,'Loan Tape (S&amp;P)'!Q695,
    IF(lien="First",1.00,
        IF(lien="Second",1.50,
            1.70)))</f>
        <v/>
      </c>
      <c r="K695">
        <f>LET(
    purpose,'Loan Tape (S&amp;P)'!R695,
    IF(purpose="Purchase",1.00,
        IF(purpose="Remortgage",1.00,
            1.20)))</f>
        <v/>
      </c>
      <c r="L695">
        <f>LET(
    arrears_months,'Loan Tape (S&amp;P)'!AN695,
    IF(arrears_months=0,1.00,
    IF(arrears_months=1,3.00,
    IF(arrears_months=2,5.00,
    IF(arrears_months=3,8.00,
    IF(arrears_months=4,10.00,
    IF(arrears_months=5,12.00,15.00)))))))</f>
        <v/>
      </c>
      <c r="M695">
        <f>LET(
    seasoning_years,DATEDIF('Loan Tape (S&amp;P)'!K695,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5">
        <f>IF(AND('Loan Tape (S&amp;P)'!U695="Yes",
        'Loan Tape (S&amp;P)'!T695&lt;&gt;"Yes",
        DATEDIF('Loan Tape (S&amp;P)'!K695, TODAY(), "M")&lt;18),
    1.10,
    1.00)</f>
        <v/>
      </c>
      <c r="O695">
        <f>IF('Loan Tape (S&amp;P)'!T695="Yes",
    1.35,
    1.00)</f>
        <v/>
      </c>
      <c r="P695">
        <f>IF('Loan Tape (S&amp;P)'!S695="Yes",
    1.15,
    1.00)</f>
        <v/>
      </c>
      <c r="Q695">
        <f>IF('Loan Tape (S&amp;P)'!V695="Yes",
    1.20,
    1.00)</f>
        <v/>
      </c>
      <c r="T695">
        <f>LET(
    payment_method,'Loan Tape (S&amp;P)'!P695,
    occupancy,'Loan Tape (S&amp;P)'!N695,
    maturity_date,'Loan Tape (S&amp;P)'!L695,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6">
      <c r="J696">
        <f>LET(
    lien,'Loan Tape (S&amp;P)'!Q696,
    IF(lien="First",1.00,
        IF(lien="Second",1.50,
            1.70)))</f>
        <v/>
      </c>
      <c r="K696">
        <f>LET(
    purpose,'Loan Tape (S&amp;P)'!R696,
    IF(purpose="Purchase",1.00,
        IF(purpose="Remortgage",1.00,
            1.20)))</f>
        <v/>
      </c>
      <c r="L696">
        <f>LET(
    arrears_months,'Loan Tape (S&amp;P)'!AN696,
    IF(arrears_months=0,1.00,
    IF(arrears_months=1,3.00,
    IF(arrears_months=2,5.00,
    IF(arrears_months=3,8.00,
    IF(arrears_months=4,10.00,
    IF(arrears_months=5,12.00,15.00)))))))</f>
        <v/>
      </c>
      <c r="M696">
        <f>LET(
    seasoning_years,DATEDIF('Loan Tape (S&amp;P)'!K696,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6">
        <f>IF(AND('Loan Tape (S&amp;P)'!U696="Yes",
        'Loan Tape (S&amp;P)'!T696&lt;&gt;"Yes",
        DATEDIF('Loan Tape (S&amp;P)'!K696, TODAY(), "M")&lt;18),
    1.10,
    1.00)</f>
        <v/>
      </c>
      <c r="O696">
        <f>IF('Loan Tape (S&amp;P)'!T696="Yes",
    1.35,
    1.00)</f>
        <v/>
      </c>
      <c r="P696">
        <f>IF('Loan Tape (S&amp;P)'!S696="Yes",
    1.15,
    1.00)</f>
        <v/>
      </c>
      <c r="Q696">
        <f>IF('Loan Tape (S&amp;P)'!V696="Yes",
    1.20,
    1.00)</f>
        <v/>
      </c>
      <c r="T696">
        <f>LET(
    payment_method,'Loan Tape (S&amp;P)'!P696,
    occupancy,'Loan Tape (S&amp;P)'!N696,
    maturity_date,'Loan Tape (S&amp;P)'!L696,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7">
      <c r="J697">
        <f>LET(
    lien,'Loan Tape (S&amp;P)'!Q697,
    IF(lien="First",1.00,
        IF(lien="Second",1.50,
            1.70)))</f>
        <v/>
      </c>
      <c r="K697">
        <f>LET(
    purpose,'Loan Tape (S&amp;P)'!R697,
    IF(purpose="Purchase",1.00,
        IF(purpose="Remortgage",1.00,
            1.20)))</f>
        <v/>
      </c>
      <c r="L697">
        <f>LET(
    arrears_months,'Loan Tape (S&amp;P)'!AN697,
    IF(arrears_months=0,1.00,
    IF(arrears_months=1,3.00,
    IF(arrears_months=2,5.00,
    IF(arrears_months=3,8.00,
    IF(arrears_months=4,10.00,
    IF(arrears_months=5,12.00,15.00)))))))</f>
        <v/>
      </c>
      <c r="M697">
        <f>LET(
    seasoning_years,DATEDIF('Loan Tape (S&amp;P)'!K697,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7">
        <f>IF(AND('Loan Tape (S&amp;P)'!U697="Yes",
        'Loan Tape (S&amp;P)'!T697&lt;&gt;"Yes",
        DATEDIF('Loan Tape (S&amp;P)'!K697, TODAY(), "M")&lt;18),
    1.10,
    1.00)</f>
        <v/>
      </c>
      <c r="O697">
        <f>IF('Loan Tape (S&amp;P)'!T697="Yes",
    1.35,
    1.00)</f>
        <v/>
      </c>
      <c r="P697">
        <f>IF('Loan Tape (S&amp;P)'!S697="Yes",
    1.15,
    1.00)</f>
        <v/>
      </c>
      <c r="Q697">
        <f>IF('Loan Tape (S&amp;P)'!V697="Yes",
    1.20,
    1.00)</f>
        <v/>
      </c>
      <c r="T697">
        <f>LET(
    payment_method,'Loan Tape (S&amp;P)'!P697,
    occupancy,'Loan Tape (S&amp;P)'!N697,
    maturity_date,'Loan Tape (S&amp;P)'!L697,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8">
      <c r="J698">
        <f>LET(
    lien,'Loan Tape (S&amp;P)'!Q698,
    IF(lien="First",1.00,
        IF(lien="Second",1.50,
            1.70)))</f>
        <v/>
      </c>
      <c r="K698">
        <f>LET(
    purpose,'Loan Tape (S&amp;P)'!R698,
    IF(purpose="Purchase",1.00,
        IF(purpose="Remortgage",1.00,
            1.20)))</f>
        <v/>
      </c>
      <c r="L698">
        <f>LET(
    arrears_months,'Loan Tape (S&amp;P)'!AN698,
    IF(arrears_months=0,1.00,
    IF(arrears_months=1,3.00,
    IF(arrears_months=2,5.00,
    IF(arrears_months=3,8.00,
    IF(arrears_months=4,10.00,
    IF(arrears_months=5,12.00,15.00)))))))</f>
        <v/>
      </c>
      <c r="M698">
        <f>LET(
    seasoning_years,DATEDIF('Loan Tape (S&amp;P)'!K698,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8">
        <f>IF(AND('Loan Tape (S&amp;P)'!U698="Yes",
        'Loan Tape (S&amp;P)'!T698&lt;&gt;"Yes",
        DATEDIF('Loan Tape (S&amp;P)'!K698, TODAY(), "M")&lt;18),
    1.10,
    1.00)</f>
        <v/>
      </c>
      <c r="O698">
        <f>IF('Loan Tape (S&amp;P)'!T698="Yes",
    1.35,
    1.00)</f>
        <v/>
      </c>
      <c r="P698">
        <f>IF('Loan Tape (S&amp;P)'!S698="Yes",
    1.15,
    1.00)</f>
        <v/>
      </c>
      <c r="Q698">
        <f>IF('Loan Tape (S&amp;P)'!V698="Yes",
    1.20,
    1.00)</f>
        <v/>
      </c>
      <c r="T698">
        <f>LET(
    payment_method,'Loan Tape (S&amp;P)'!P698,
    occupancy,'Loan Tape (S&amp;P)'!N698,
    maturity_date,'Loan Tape (S&amp;P)'!L698,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9">
      <c r="J699">
        <f>LET(
    lien,'Loan Tape (S&amp;P)'!Q699,
    IF(lien="First",1.00,
        IF(lien="Second",1.50,
            1.70)))</f>
        <v/>
      </c>
      <c r="K699">
        <f>LET(
    purpose,'Loan Tape (S&amp;P)'!R699,
    IF(purpose="Purchase",1.00,
        IF(purpose="Remortgage",1.00,
            1.20)))</f>
        <v/>
      </c>
      <c r="L699">
        <f>LET(
    arrears_months,'Loan Tape (S&amp;P)'!AN699,
    IF(arrears_months=0,1.00,
    IF(arrears_months=1,3.00,
    IF(arrears_months=2,5.00,
    IF(arrears_months=3,8.00,
    IF(arrears_months=4,10.00,
    IF(arrears_months=5,12.00,15.00)))))))</f>
        <v/>
      </c>
      <c r="M699">
        <f>LET(
    seasoning_years,DATEDIF('Loan Tape (S&amp;P)'!K699,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9">
        <f>IF(AND('Loan Tape (S&amp;P)'!U699="Yes",
        'Loan Tape (S&amp;P)'!T699&lt;&gt;"Yes",
        DATEDIF('Loan Tape (S&amp;P)'!K699, TODAY(), "M")&lt;18),
    1.10,
    1.00)</f>
        <v/>
      </c>
      <c r="O699">
        <f>IF('Loan Tape (S&amp;P)'!T699="Yes",
    1.35,
    1.00)</f>
        <v/>
      </c>
      <c r="P699">
        <f>IF('Loan Tape (S&amp;P)'!S699="Yes",
    1.15,
    1.00)</f>
        <v/>
      </c>
      <c r="Q699">
        <f>IF('Loan Tape (S&amp;P)'!V699="Yes",
    1.20,
    1.00)</f>
        <v/>
      </c>
      <c r="T699">
        <f>LET(
    payment_method,'Loan Tape (S&amp;P)'!P699,
    occupancy,'Loan Tape (S&amp;P)'!N699,
    maturity_date,'Loan Tape (S&amp;P)'!L699,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0">
      <c r="J700">
        <f>LET(
    lien,'Loan Tape (S&amp;P)'!Q700,
    IF(lien="First",1.00,
        IF(lien="Second",1.50,
            1.70)))</f>
        <v/>
      </c>
      <c r="K700">
        <f>LET(
    purpose,'Loan Tape (S&amp;P)'!R700,
    IF(purpose="Purchase",1.00,
        IF(purpose="Remortgage",1.00,
            1.20)))</f>
        <v/>
      </c>
      <c r="L700">
        <f>LET(
    arrears_months,'Loan Tape (S&amp;P)'!AN700,
    IF(arrears_months=0,1.00,
    IF(arrears_months=1,3.00,
    IF(arrears_months=2,5.00,
    IF(arrears_months=3,8.00,
    IF(arrears_months=4,10.00,
    IF(arrears_months=5,12.00,15.00)))))))</f>
        <v/>
      </c>
      <c r="M700">
        <f>LET(
    seasoning_years,DATEDIF('Loan Tape (S&amp;P)'!K700,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0">
        <f>IF(AND('Loan Tape (S&amp;P)'!U700="Yes",
        'Loan Tape (S&amp;P)'!T700&lt;&gt;"Yes",
        DATEDIF('Loan Tape (S&amp;P)'!K700, TODAY(), "M")&lt;18),
    1.10,
    1.00)</f>
        <v/>
      </c>
      <c r="O700">
        <f>IF('Loan Tape (S&amp;P)'!T700="Yes",
    1.35,
    1.00)</f>
        <v/>
      </c>
      <c r="P700">
        <f>IF('Loan Tape (S&amp;P)'!S700="Yes",
    1.15,
    1.00)</f>
        <v/>
      </c>
      <c r="Q700">
        <f>IF('Loan Tape (S&amp;P)'!V700="Yes",
    1.20,
    1.00)</f>
        <v/>
      </c>
      <c r="T700">
        <f>LET(
    payment_method,'Loan Tape (S&amp;P)'!P700,
    occupancy,'Loan Tape (S&amp;P)'!N700,
    maturity_date,'Loan Tape (S&amp;P)'!L700,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1">
      <c r="J701">
        <f>LET(
    lien,'Loan Tape (S&amp;P)'!Q701,
    IF(lien="First",1.00,
        IF(lien="Second",1.50,
            1.70)))</f>
        <v/>
      </c>
      <c r="K701">
        <f>LET(
    purpose,'Loan Tape (S&amp;P)'!R701,
    IF(purpose="Purchase",1.00,
        IF(purpose="Remortgage",1.00,
            1.20)))</f>
        <v/>
      </c>
      <c r="L701">
        <f>LET(
    arrears_months,'Loan Tape (S&amp;P)'!AN701,
    IF(arrears_months=0,1.00,
    IF(arrears_months=1,3.00,
    IF(arrears_months=2,5.00,
    IF(arrears_months=3,8.00,
    IF(arrears_months=4,10.00,
    IF(arrears_months=5,12.00,15.00)))))))</f>
        <v/>
      </c>
      <c r="M701">
        <f>LET(
    seasoning_years,DATEDIF('Loan Tape (S&amp;P)'!K701,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1">
        <f>IF(AND('Loan Tape (S&amp;P)'!U701="Yes",
        'Loan Tape (S&amp;P)'!T701&lt;&gt;"Yes",
        DATEDIF('Loan Tape (S&amp;P)'!K701, TODAY(), "M")&lt;18),
    1.10,
    1.00)</f>
        <v/>
      </c>
      <c r="O701">
        <f>IF('Loan Tape (S&amp;P)'!T701="Yes",
    1.35,
    1.00)</f>
        <v/>
      </c>
      <c r="P701">
        <f>IF('Loan Tape (S&amp;P)'!S701="Yes",
    1.15,
    1.00)</f>
        <v/>
      </c>
      <c r="Q701">
        <f>IF('Loan Tape (S&amp;P)'!V701="Yes",
    1.20,
    1.00)</f>
        <v/>
      </c>
      <c r="T701">
        <f>LET(
    payment_method,'Loan Tape (S&amp;P)'!P701,
    occupancy,'Loan Tape (S&amp;P)'!N701,
    maturity_date,'Loan Tape (S&amp;P)'!L701,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2">
      <c r="J702">
        <f>LET(
    lien,'Loan Tape (S&amp;P)'!Q702,
    IF(lien="First",1.00,
        IF(lien="Second",1.50,
            1.70)))</f>
        <v/>
      </c>
      <c r="K702">
        <f>LET(
    purpose,'Loan Tape (S&amp;P)'!R702,
    IF(purpose="Purchase",1.00,
        IF(purpose="Remortgage",1.00,
            1.20)))</f>
        <v/>
      </c>
      <c r="L702">
        <f>LET(
    arrears_months,'Loan Tape (S&amp;P)'!AN702,
    IF(arrears_months=0,1.00,
    IF(arrears_months=1,3.00,
    IF(arrears_months=2,5.00,
    IF(arrears_months=3,8.00,
    IF(arrears_months=4,10.00,
    IF(arrears_months=5,12.00,15.00)))))))</f>
        <v/>
      </c>
      <c r="M702">
        <f>LET(
    seasoning_years,DATEDIF('Loan Tape (S&amp;P)'!K702,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2">
        <f>IF(AND('Loan Tape (S&amp;P)'!U702="Yes",
        'Loan Tape (S&amp;P)'!T702&lt;&gt;"Yes",
        DATEDIF('Loan Tape (S&amp;P)'!K702, TODAY(), "M")&lt;18),
    1.10,
    1.00)</f>
        <v/>
      </c>
      <c r="O702">
        <f>IF('Loan Tape (S&amp;P)'!T702="Yes",
    1.35,
    1.00)</f>
        <v/>
      </c>
      <c r="P702">
        <f>IF('Loan Tape (S&amp;P)'!S702="Yes",
    1.15,
    1.00)</f>
        <v/>
      </c>
      <c r="Q702">
        <f>IF('Loan Tape (S&amp;P)'!V702="Yes",
    1.20,
    1.00)</f>
        <v/>
      </c>
      <c r="T702">
        <f>LET(
    payment_method,'Loan Tape (S&amp;P)'!P702,
    occupancy,'Loan Tape (S&amp;P)'!N702,
    maturity_date,'Loan Tape (S&amp;P)'!L702,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3">
      <c r="J703">
        <f>LET(
    lien,'Loan Tape (S&amp;P)'!Q703,
    IF(lien="First",1.00,
        IF(lien="Second",1.50,
            1.70)))</f>
        <v/>
      </c>
      <c r="K703">
        <f>LET(
    purpose,'Loan Tape (S&amp;P)'!R703,
    IF(purpose="Purchase",1.00,
        IF(purpose="Remortgage",1.00,
            1.20)))</f>
        <v/>
      </c>
      <c r="L703">
        <f>LET(
    arrears_months,'Loan Tape (S&amp;P)'!AN703,
    IF(arrears_months=0,1.00,
    IF(arrears_months=1,3.00,
    IF(arrears_months=2,5.00,
    IF(arrears_months=3,8.00,
    IF(arrears_months=4,10.00,
    IF(arrears_months=5,12.00,15.00)))))))</f>
        <v/>
      </c>
      <c r="M703">
        <f>LET(
    seasoning_years,DATEDIF('Loan Tape (S&amp;P)'!K703,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3">
        <f>IF(AND('Loan Tape (S&amp;P)'!U703="Yes",
        'Loan Tape (S&amp;P)'!T703&lt;&gt;"Yes",
        DATEDIF('Loan Tape (S&amp;P)'!K703, TODAY(), "M")&lt;18),
    1.10,
    1.00)</f>
        <v/>
      </c>
      <c r="O703">
        <f>IF('Loan Tape (S&amp;P)'!T703="Yes",
    1.35,
    1.00)</f>
        <v/>
      </c>
      <c r="P703">
        <f>IF('Loan Tape (S&amp;P)'!S703="Yes",
    1.15,
    1.00)</f>
        <v/>
      </c>
      <c r="Q703">
        <f>IF('Loan Tape (S&amp;P)'!V703="Yes",
    1.20,
    1.00)</f>
        <v/>
      </c>
      <c r="T703">
        <f>LET(
    payment_method,'Loan Tape (S&amp;P)'!P703,
    occupancy,'Loan Tape (S&amp;P)'!N703,
    maturity_date,'Loan Tape (S&amp;P)'!L703,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4">
      <c r="J704">
        <f>LET(
    lien,'Loan Tape (S&amp;P)'!Q704,
    IF(lien="First",1.00,
        IF(lien="Second",1.50,
            1.70)))</f>
        <v/>
      </c>
      <c r="K704">
        <f>LET(
    purpose,'Loan Tape (S&amp;P)'!R704,
    IF(purpose="Purchase",1.00,
        IF(purpose="Remortgage",1.00,
            1.20)))</f>
        <v/>
      </c>
      <c r="L704">
        <f>LET(
    arrears_months,'Loan Tape (S&amp;P)'!AN704,
    IF(arrears_months=0,1.00,
    IF(arrears_months=1,3.00,
    IF(arrears_months=2,5.00,
    IF(arrears_months=3,8.00,
    IF(arrears_months=4,10.00,
    IF(arrears_months=5,12.00,15.00)))))))</f>
        <v/>
      </c>
      <c r="M704">
        <f>LET(
    seasoning_years,DATEDIF('Loan Tape (S&amp;P)'!K704,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4">
        <f>IF(AND('Loan Tape (S&amp;P)'!U704="Yes",
        'Loan Tape (S&amp;P)'!T704&lt;&gt;"Yes",
        DATEDIF('Loan Tape (S&amp;P)'!K704, TODAY(), "M")&lt;18),
    1.10,
    1.00)</f>
        <v/>
      </c>
      <c r="O704">
        <f>IF('Loan Tape (S&amp;P)'!T704="Yes",
    1.35,
    1.00)</f>
        <v/>
      </c>
      <c r="P704">
        <f>IF('Loan Tape (S&amp;P)'!S704="Yes",
    1.15,
    1.00)</f>
        <v/>
      </c>
      <c r="Q704">
        <f>IF('Loan Tape (S&amp;P)'!V704="Yes",
    1.20,
    1.00)</f>
        <v/>
      </c>
      <c r="T704">
        <f>LET(
    payment_method,'Loan Tape (S&amp;P)'!P704,
    occupancy,'Loan Tape (S&amp;P)'!N704,
    maturity_date,'Loan Tape (S&amp;P)'!L704,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5">
      <c r="J705">
        <f>LET(
    lien,'Loan Tape (S&amp;P)'!Q705,
    IF(lien="First",1.00,
        IF(lien="Second",1.50,
            1.70)))</f>
        <v/>
      </c>
      <c r="K705">
        <f>LET(
    purpose,'Loan Tape (S&amp;P)'!R705,
    IF(purpose="Purchase",1.00,
        IF(purpose="Remortgage",1.00,
            1.20)))</f>
        <v/>
      </c>
      <c r="L705">
        <f>LET(
    arrears_months,'Loan Tape (S&amp;P)'!AN705,
    IF(arrears_months=0,1.00,
    IF(arrears_months=1,3.00,
    IF(arrears_months=2,5.00,
    IF(arrears_months=3,8.00,
    IF(arrears_months=4,10.00,
    IF(arrears_months=5,12.00,15.00)))))))</f>
        <v/>
      </c>
      <c r="M705">
        <f>LET(
    seasoning_years,DATEDIF('Loan Tape (S&amp;P)'!K705,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5">
        <f>IF(AND('Loan Tape (S&amp;P)'!U705="Yes",
        'Loan Tape (S&amp;P)'!T705&lt;&gt;"Yes",
        DATEDIF('Loan Tape (S&amp;P)'!K705, TODAY(), "M")&lt;18),
    1.10,
    1.00)</f>
        <v/>
      </c>
      <c r="O705">
        <f>IF('Loan Tape (S&amp;P)'!T705="Yes",
    1.35,
    1.00)</f>
        <v/>
      </c>
      <c r="P705">
        <f>IF('Loan Tape (S&amp;P)'!S705="Yes",
    1.15,
    1.00)</f>
        <v/>
      </c>
      <c r="Q705">
        <f>IF('Loan Tape (S&amp;P)'!V705="Yes",
    1.20,
    1.00)</f>
        <v/>
      </c>
      <c r="T705">
        <f>LET(
    payment_method,'Loan Tape (S&amp;P)'!P705,
    occupancy,'Loan Tape (S&amp;P)'!N705,
    maturity_date,'Loan Tape (S&amp;P)'!L705,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6">
      <c r="J706">
        <f>LET(
    lien,'Loan Tape (S&amp;P)'!Q706,
    IF(lien="First",1.00,
        IF(lien="Second",1.50,
            1.70)))</f>
        <v/>
      </c>
      <c r="K706">
        <f>LET(
    purpose,'Loan Tape (S&amp;P)'!R706,
    IF(purpose="Purchase",1.00,
        IF(purpose="Remortgage",1.00,
            1.20)))</f>
        <v/>
      </c>
      <c r="L706">
        <f>LET(
    arrears_months,'Loan Tape (S&amp;P)'!AN706,
    IF(arrears_months=0,1.00,
    IF(arrears_months=1,3.00,
    IF(arrears_months=2,5.00,
    IF(arrears_months=3,8.00,
    IF(arrears_months=4,10.00,
    IF(arrears_months=5,12.00,15.00)))))))</f>
        <v/>
      </c>
      <c r="M706">
        <f>LET(
    seasoning_years,DATEDIF('Loan Tape (S&amp;P)'!K706,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6">
        <f>IF(AND('Loan Tape (S&amp;P)'!U706="Yes",
        'Loan Tape (S&amp;P)'!T706&lt;&gt;"Yes",
        DATEDIF('Loan Tape (S&amp;P)'!K706, TODAY(), "M")&lt;18),
    1.10,
    1.00)</f>
        <v/>
      </c>
      <c r="O706">
        <f>IF('Loan Tape (S&amp;P)'!T706="Yes",
    1.35,
    1.00)</f>
        <v/>
      </c>
      <c r="P706">
        <f>IF('Loan Tape (S&amp;P)'!S706="Yes",
    1.15,
    1.00)</f>
        <v/>
      </c>
      <c r="Q706">
        <f>IF('Loan Tape (S&amp;P)'!V706="Yes",
    1.20,
    1.00)</f>
        <v/>
      </c>
      <c r="T706">
        <f>LET(
    payment_method,'Loan Tape (S&amp;P)'!P706,
    occupancy,'Loan Tape (S&amp;P)'!N706,
    maturity_date,'Loan Tape (S&amp;P)'!L706,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7">
      <c r="J707">
        <f>LET(
    lien,'Loan Tape (S&amp;P)'!Q707,
    IF(lien="First",1.00,
        IF(lien="Second",1.50,
            1.70)))</f>
        <v/>
      </c>
      <c r="K707">
        <f>LET(
    purpose,'Loan Tape (S&amp;P)'!R707,
    IF(purpose="Purchase",1.00,
        IF(purpose="Remortgage",1.00,
            1.20)))</f>
        <v/>
      </c>
      <c r="L707">
        <f>LET(
    arrears_months,'Loan Tape (S&amp;P)'!AN707,
    IF(arrears_months=0,1.00,
    IF(arrears_months=1,3.00,
    IF(arrears_months=2,5.00,
    IF(arrears_months=3,8.00,
    IF(arrears_months=4,10.00,
    IF(arrears_months=5,12.00,15.00)))))))</f>
        <v/>
      </c>
      <c r="M707">
        <f>LET(
    seasoning_years,DATEDIF('Loan Tape (S&amp;P)'!K707,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7">
        <f>IF(AND('Loan Tape (S&amp;P)'!U707="Yes",
        'Loan Tape (S&amp;P)'!T707&lt;&gt;"Yes",
        DATEDIF('Loan Tape (S&amp;P)'!K707, TODAY(), "M")&lt;18),
    1.10,
    1.00)</f>
        <v/>
      </c>
      <c r="O707">
        <f>IF('Loan Tape (S&amp;P)'!T707="Yes",
    1.35,
    1.00)</f>
        <v/>
      </c>
      <c r="P707">
        <f>IF('Loan Tape (S&amp;P)'!S707="Yes",
    1.15,
    1.00)</f>
        <v/>
      </c>
      <c r="Q707">
        <f>IF('Loan Tape (S&amp;P)'!V707="Yes",
    1.20,
    1.00)</f>
        <v/>
      </c>
      <c r="T707">
        <f>LET(
    payment_method,'Loan Tape (S&amp;P)'!P707,
    occupancy,'Loan Tape (S&amp;P)'!N707,
    maturity_date,'Loan Tape (S&amp;P)'!L707,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8">
      <c r="J708">
        <f>LET(
    lien,'Loan Tape (S&amp;P)'!Q708,
    IF(lien="First",1.00,
        IF(lien="Second",1.50,
            1.70)))</f>
        <v/>
      </c>
      <c r="K708">
        <f>LET(
    purpose,'Loan Tape (S&amp;P)'!R708,
    IF(purpose="Purchase",1.00,
        IF(purpose="Remortgage",1.00,
            1.20)))</f>
        <v/>
      </c>
      <c r="L708">
        <f>LET(
    arrears_months,'Loan Tape (S&amp;P)'!AN708,
    IF(arrears_months=0,1.00,
    IF(arrears_months=1,3.00,
    IF(arrears_months=2,5.00,
    IF(arrears_months=3,8.00,
    IF(arrears_months=4,10.00,
    IF(arrears_months=5,12.00,15.00)))))))</f>
        <v/>
      </c>
      <c r="M708">
        <f>LET(
    seasoning_years,DATEDIF('Loan Tape (S&amp;P)'!K708,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8">
        <f>IF(AND('Loan Tape (S&amp;P)'!U708="Yes",
        'Loan Tape (S&amp;P)'!T708&lt;&gt;"Yes",
        DATEDIF('Loan Tape (S&amp;P)'!K708, TODAY(), "M")&lt;18),
    1.10,
    1.00)</f>
        <v/>
      </c>
      <c r="O708">
        <f>IF('Loan Tape (S&amp;P)'!T708="Yes",
    1.35,
    1.00)</f>
        <v/>
      </c>
      <c r="P708">
        <f>IF('Loan Tape (S&amp;P)'!S708="Yes",
    1.15,
    1.00)</f>
        <v/>
      </c>
      <c r="Q708">
        <f>IF('Loan Tape (S&amp;P)'!V708="Yes",
    1.20,
    1.00)</f>
        <v/>
      </c>
      <c r="T708">
        <f>LET(
    payment_method,'Loan Tape (S&amp;P)'!P708,
    occupancy,'Loan Tape (S&amp;P)'!N708,
    maturity_date,'Loan Tape (S&amp;P)'!L708,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9">
      <c r="J709">
        <f>LET(
    lien,'Loan Tape (S&amp;P)'!Q709,
    IF(lien="First",1.00,
        IF(lien="Second",1.50,
            1.70)))</f>
        <v/>
      </c>
      <c r="K709">
        <f>LET(
    purpose,'Loan Tape (S&amp;P)'!R709,
    IF(purpose="Purchase",1.00,
        IF(purpose="Remortgage",1.00,
            1.20)))</f>
        <v/>
      </c>
      <c r="L709">
        <f>LET(
    arrears_months,'Loan Tape (S&amp;P)'!AN709,
    IF(arrears_months=0,1.00,
    IF(arrears_months=1,3.00,
    IF(arrears_months=2,5.00,
    IF(arrears_months=3,8.00,
    IF(arrears_months=4,10.00,
    IF(arrears_months=5,12.00,15.00)))))))</f>
        <v/>
      </c>
      <c r="M709">
        <f>LET(
    seasoning_years,DATEDIF('Loan Tape (S&amp;P)'!K709,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9">
        <f>IF(AND('Loan Tape (S&amp;P)'!U709="Yes",
        'Loan Tape (S&amp;P)'!T709&lt;&gt;"Yes",
        DATEDIF('Loan Tape (S&amp;P)'!K709, TODAY(), "M")&lt;18),
    1.10,
    1.00)</f>
        <v/>
      </c>
      <c r="O709">
        <f>IF('Loan Tape (S&amp;P)'!T709="Yes",
    1.35,
    1.00)</f>
        <v/>
      </c>
      <c r="P709">
        <f>IF('Loan Tape (S&amp;P)'!S709="Yes",
    1.15,
    1.00)</f>
        <v/>
      </c>
      <c r="Q709">
        <f>IF('Loan Tape (S&amp;P)'!V709="Yes",
    1.20,
    1.00)</f>
        <v/>
      </c>
      <c r="T709">
        <f>LET(
    payment_method,'Loan Tape (S&amp;P)'!P709,
    occupancy,'Loan Tape (S&amp;P)'!N709,
    maturity_date,'Loan Tape (S&amp;P)'!L709,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0">
      <c r="J710">
        <f>LET(
    lien,'Loan Tape (S&amp;P)'!Q710,
    IF(lien="First",1.00,
        IF(lien="Second",1.50,
            1.70)))</f>
        <v/>
      </c>
      <c r="K710">
        <f>LET(
    purpose,'Loan Tape (S&amp;P)'!R710,
    IF(purpose="Purchase",1.00,
        IF(purpose="Remortgage",1.00,
            1.20)))</f>
        <v/>
      </c>
      <c r="L710">
        <f>LET(
    arrears_months,'Loan Tape (S&amp;P)'!AN710,
    IF(arrears_months=0,1.00,
    IF(arrears_months=1,3.00,
    IF(arrears_months=2,5.00,
    IF(arrears_months=3,8.00,
    IF(arrears_months=4,10.00,
    IF(arrears_months=5,12.00,15.00)))))))</f>
        <v/>
      </c>
      <c r="M710">
        <f>LET(
    seasoning_years,DATEDIF('Loan Tape (S&amp;P)'!K710,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0">
        <f>IF(AND('Loan Tape (S&amp;P)'!U710="Yes",
        'Loan Tape (S&amp;P)'!T710&lt;&gt;"Yes",
        DATEDIF('Loan Tape (S&amp;P)'!K710, TODAY(), "M")&lt;18),
    1.10,
    1.00)</f>
        <v/>
      </c>
      <c r="O710">
        <f>IF('Loan Tape (S&amp;P)'!T710="Yes",
    1.35,
    1.00)</f>
        <v/>
      </c>
      <c r="P710">
        <f>IF('Loan Tape (S&amp;P)'!S710="Yes",
    1.15,
    1.00)</f>
        <v/>
      </c>
      <c r="Q710">
        <f>IF('Loan Tape (S&amp;P)'!V710="Yes",
    1.20,
    1.00)</f>
        <v/>
      </c>
      <c r="T710">
        <f>LET(
    payment_method,'Loan Tape (S&amp;P)'!P710,
    occupancy,'Loan Tape (S&amp;P)'!N710,
    maturity_date,'Loan Tape (S&amp;P)'!L710,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1">
      <c r="J711">
        <f>LET(
    lien,'Loan Tape (S&amp;P)'!Q711,
    IF(lien="First",1.00,
        IF(lien="Second",1.50,
            1.70)))</f>
        <v/>
      </c>
      <c r="K711">
        <f>LET(
    purpose,'Loan Tape (S&amp;P)'!R711,
    IF(purpose="Purchase",1.00,
        IF(purpose="Remortgage",1.00,
            1.20)))</f>
        <v/>
      </c>
      <c r="L711">
        <f>LET(
    arrears_months,'Loan Tape (S&amp;P)'!AN711,
    IF(arrears_months=0,1.00,
    IF(arrears_months=1,3.00,
    IF(arrears_months=2,5.00,
    IF(arrears_months=3,8.00,
    IF(arrears_months=4,10.00,
    IF(arrears_months=5,12.00,15.00)))))))</f>
        <v/>
      </c>
      <c r="M711">
        <f>LET(
    seasoning_years,DATEDIF('Loan Tape (S&amp;P)'!K711,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1">
        <f>IF(AND('Loan Tape (S&amp;P)'!U711="Yes",
        'Loan Tape (S&amp;P)'!T711&lt;&gt;"Yes",
        DATEDIF('Loan Tape (S&amp;P)'!K711, TODAY(), "M")&lt;18),
    1.10,
    1.00)</f>
        <v/>
      </c>
      <c r="O711">
        <f>IF('Loan Tape (S&amp;P)'!T711="Yes",
    1.35,
    1.00)</f>
        <v/>
      </c>
      <c r="P711">
        <f>IF('Loan Tape (S&amp;P)'!S711="Yes",
    1.15,
    1.00)</f>
        <v/>
      </c>
      <c r="Q711">
        <f>IF('Loan Tape (S&amp;P)'!V711="Yes",
    1.20,
    1.00)</f>
        <v/>
      </c>
      <c r="T711">
        <f>LET(
    payment_method,'Loan Tape (S&amp;P)'!P711,
    occupancy,'Loan Tape (S&amp;P)'!N711,
    maturity_date,'Loan Tape (S&amp;P)'!L711,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2">
      <c r="J712">
        <f>LET(
    lien,'Loan Tape (S&amp;P)'!Q712,
    IF(lien="First",1.00,
        IF(lien="Second",1.50,
            1.70)))</f>
        <v/>
      </c>
      <c r="K712">
        <f>LET(
    purpose,'Loan Tape (S&amp;P)'!R712,
    IF(purpose="Purchase",1.00,
        IF(purpose="Remortgage",1.00,
            1.20)))</f>
        <v/>
      </c>
      <c r="L712">
        <f>LET(
    arrears_months,'Loan Tape (S&amp;P)'!AN712,
    IF(arrears_months=0,1.00,
    IF(arrears_months=1,3.00,
    IF(arrears_months=2,5.00,
    IF(arrears_months=3,8.00,
    IF(arrears_months=4,10.00,
    IF(arrears_months=5,12.00,15.00)))))))</f>
        <v/>
      </c>
      <c r="M712">
        <f>LET(
    seasoning_years,DATEDIF('Loan Tape (S&amp;P)'!K712,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2">
        <f>IF(AND('Loan Tape (S&amp;P)'!U712="Yes",
        'Loan Tape (S&amp;P)'!T712&lt;&gt;"Yes",
        DATEDIF('Loan Tape (S&amp;P)'!K712, TODAY(), "M")&lt;18),
    1.10,
    1.00)</f>
        <v/>
      </c>
      <c r="O712">
        <f>IF('Loan Tape (S&amp;P)'!T712="Yes",
    1.35,
    1.00)</f>
        <v/>
      </c>
      <c r="P712">
        <f>IF('Loan Tape (S&amp;P)'!S712="Yes",
    1.15,
    1.00)</f>
        <v/>
      </c>
      <c r="Q712">
        <f>IF('Loan Tape (S&amp;P)'!V712="Yes",
    1.20,
    1.00)</f>
        <v/>
      </c>
      <c r="T712">
        <f>LET(
    payment_method,'Loan Tape (S&amp;P)'!P712,
    occupancy,'Loan Tape (S&amp;P)'!N712,
    maturity_date,'Loan Tape (S&amp;P)'!L712,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3">
      <c r="J713">
        <f>LET(
    lien,'Loan Tape (S&amp;P)'!Q713,
    IF(lien="First",1.00,
        IF(lien="Second",1.50,
            1.70)))</f>
        <v/>
      </c>
      <c r="K713">
        <f>LET(
    purpose,'Loan Tape (S&amp;P)'!R713,
    IF(purpose="Purchase",1.00,
        IF(purpose="Remortgage",1.00,
            1.20)))</f>
        <v/>
      </c>
      <c r="L713">
        <f>LET(
    arrears_months,'Loan Tape (S&amp;P)'!AN713,
    IF(arrears_months=0,1.00,
    IF(arrears_months=1,3.00,
    IF(arrears_months=2,5.00,
    IF(arrears_months=3,8.00,
    IF(arrears_months=4,10.00,
    IF(arrears_months=5,12.00,15.00)))))))</f>
        <v/>
      </c>
      <c r="M713">
        <f>LET(
    seasoning_years,DATEDIF('Loan Tape (S&amp;P)'!K713,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3">
        <f>IF(AND('Loan Tape (S&amp;P)'!U713="Yes",
        'Loan Tape (S&amp;P)'!T713&lt;&gt;"Yes",
        DATEDIF('Loan Tape (S&amp;P)'!K713, TODAY(), "M")&lt;18),
    1.10,
    1.00)</f>
        <v/>
      </c>
      <c r="O713">
        <f>IF('Loan Tape (S&amp;P)'!T713="Yes",
    1.35,
    1.00)</f>
        <v/>
      </c>
      <c r="P713">
        <f>IF('Loan Tape (S&amp;P)'!S713="Yes",
    1.15,
    1.00)</f>
        <v/>
      </c>
      <c r="Q713">
        <f>IF('Loan Tape (S&amp;P)'!V713="Yes",
    1.20,
    1.00)</f>
        <v/>
      </c>
      <c r="T713">
        <f>LET(
    payment_method,'Loan Tape (S&amp;P)'!P713,
    occupancy,'Loan Tape (S&amp;P)'!N713,
    maturity_date,'Loan Tape (S&amp;P)'!L713,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4">
      <c r="J714">
        <f>LET(
    lien,'Loan Tape (S&amp;P)'!Q714,
    IF(lien="First",1.00,
        IF(lien="Second",1.50,
            1.70)))</f>
        <v/>
      </c>
      <c r="K714">
        <f>LET(
    purpose,'Loan Tape (S&amp;P)'!R714,
    IF(purpose="Purchase",1.00,
        IF(purpose="Remortgage",1.00,
            1.20)))</f>
        <v/>
      </c>
      <c r="L714">
        <f>LET(
    arrears_months,'Loan Tape (S&amp;P)'!AN714,
    IF(arrears_months=0,1.00,
    IF(arrears_months=1,3.00,
    IF(arrears_months=2,5.00,
    IF(arrears_months=3,8.00,
    IF(arrears_months=4,10.00,
    IF(arrears_months=5,12.00,15.00)))))))</f>
        <v/>
      </c>
      <c r="M714">
        <f>LET(
    seasoning_years,DATEDIF('Loan Tape (S&amp;P)'!K714,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4">
        <f>IF(AND('Loan Tape (S&amp;P)'!U714="Yes",
        'Loan Tape (S&amp;P)'!T714&lt;&gt;"Yes",
        DATEDIF('Loan Tape (S&amp;P)'!K714, TODAY(), "M")&lt;18),
    1.10,
    1.00)</f>
        <v/>
      </c>
      <c r="O714">
        <f>IF('Loan Tape (S&amp;P)'!T714="Yes",
    1.35,
    1.00)</f>
        <v/>
      </c>
      <c r="P714">
        <f>IF('Loan Tape (S&amp;P)'!S714="Yes",
    1.15,
    1.00)</f>
        <v/>
      </c>
      <c r="Q714">
        <f>IF('Loan Tape (S&amp;P)'!V714="Yes",
    1.20,
    1.00)</f>
        <v/>
      </c>
      <c r="T714">
        <f>LET(
    payment_method,'Loan Tape (S&amp;P)'!P714,
    occupancy,'Loan Tape (S&amp;P)'!N714,
    maturity_date,'Loan Tape (S&amp;P)'!L714,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5">
      <c r="J715">
        <f>LET(
    lien,'Loan Tape (S&amp;P)'!Q715,
    IF(lien="First",1.00,
        IF(lien="Second",1.50,
            1.70)))</f>
        <v/>
      </c>
      <c r="K715">
        <f>LET(
    purpose,'Loan Tape (S&amp;P)'!R715,
    IF(purpose="Purchase",1.00,
        IF(purpose="Remortgage",1.00,
            1.20)))</f>
        <v/>
      </c>
      <c r="L715">
        <f>LET(
    arrears_months,'Loan Tape (S&amp;P)'!AN715,
    IF(arrears_months=0,1.00,
    IF(arrears_months=1,3.00,
    IF(arrears_months=2,5.00,
    IF(arrears_months=3,8.00,
    IF(arrears_months=4,10.00,
    IF(arrears_months=5,12.00,15.00)))))))</f>
        <v/>
      </c>
      <c r="M715">
        <f>LET(
    seasoning_years,DATEDIF('Loan Tape (S&amp;P)'!K715,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5">
        <f>IF(AND('Loan Tape (S&amp;P)'!U715="Yes",
        'Loan Tape (S&amp;P)'!T715&lt;&gt;"Yes",
        DATEDIF('Loan Tape (S&amp;P)'!K715, TODAY(), "M")&lt;18),
    1.10,
    1.00)</f>
        <v/>
      </c>
      <c r="O715">
        <f>IF('Loan Tape (S&amp;P)'!T715="Yes",
    1.35,
    1.00)</f>
        <v/>
      </c>
      <c r="P715">
        <f>IF('Loan Tape (S&amp;P)'!S715="Yes",
    1.15,
    1.00)</f>
        <v/>
      </c>
      <c r="Q715">
        <f>IF('Loan Tape (S&amp;P)'!V715="Yes",
    1.20,
    1.00)</f>
        <v/>
      </c>
      <c r="T715">
        <f>LET(
    payment_method,'Loan Tape (S&amp;P)'!P715,
    occupancy,'Loan Tape (S&amp;P)'!N715,
    maturity_date,'Loan Tape (S&amp;P)'!L715,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6">
      <c r="J716">
        <f>LET(
    lien,'Loan Tape (S&amp;P)'!Q716,
    IF(lien="First",1.00,
        IF(lien="Second",1.50,
            1.70)))</f>
        <v/>
      </c>
      <c r="K716">
        <f>LET(
    purpose,'Loan Tape (S&amp;P)'!R716,
    IF(purpose="Purchase",1.00,
        IF(purpose="Remortgage",1.00,
            1.20)))</f>
        <v/>
      </c>
      <c r="L716">
        <f>LET(
    arrears_months,'Loan Tape (S&amp;P)'!AN716,
    IF(arrears_months=0,1.00,
    IF(arrears_months=1,3.00,
    IF(arrears_months=2,5.00,
    IF(arrears_months=3,8.00,
    IF(arrears_months=4,10.00,
    IF(arrears_months=5,12.00,15.00)))))))</f>
        <v/>
      </c>
      <c r="M716">
        <f>LET(
    seasoning_years,DATEDIF('Loan Tape (S&amp;P)'!K716,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6">
        <f>IF(AND('Loan Tape (S&amp;P)'!U716="Yes",
        'Loan Tape (S&amp;P)'!T716&lt;&gt;"Yes",
        DATEDIF('Loan Tape (S&amp;P)'!K716, TODAY(), "M")&lt;18),
    1.10,
    1.00)</f>
        <v/>
      </c>
      <c r="O716">
        <f>IF('Loan Tape (S&amp;P)'!T716="Yes",
    1.35,
    1.00)</f>
        <v/>
      </c>
      <c r="P716">
        <f>IF('Loan Tape (S&amp;P)'!S716="Yes",
    1.15,
    1.00)</f>
        <v/>
      </c>
      <c r="Q716">
        <f>IF('Loan Tape (S&amp;P)'!V716="Yes",
    1.20,
    1.00)</f>
        <v/>
      </c>
      <c r="T716">
        <f>LET(
    payment_method,'Loan Tape (S&amp;P)'!P716,
    occupancy,'Loan Tape (S&amp;P)'!N716,
    maturity_date,'Loan Tape (S&amp;P)'!L716,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7">
      <c r="J717">
        <f>LET(
    lien,'Loan Tape (S&amp;P)'!Q717,
    IF(lien="First",1.00,
        IF(lien="Second",1.50,
            1.70)))</f>
        <v/>
      </c>
      <c r="K717">
        <f>LET(
    purpose,'Loan Tape (S&amp;P)'!R717,
    IF(purpose="Purchase",1.00,
        IF(purpose="Remortgage",1.00,
            1.20)))</f>
        <v/>
      </c>
      <c r="L717">
        <f>LET(
    arrears_months,'Loan Tape (S&amp;P)'!AN717,
    IF(arrears_months=0,1.00,
    IF(arrears_months=1,3.00,
    IF(arrears_months=2,5.00,
    IF(arrears_months=3,8.00,
    IF(arrears_months=4,10.00,
    IF(arrears_months=5,12.00,15.00)))))))</f>
        <v/>
      </c>
      <c r="M717">
        <f>LET(
    seasoning_years,DATEDIF('Loan Tape (S&amp;P)'!K717,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7">
        <f>IF(AND('Loan Tape (S&amp;P)'!U717="Yes",
        'Loan Tape (S&amp;P)'!T717&lt;&gt;"Yes",
        DATEDIF('Loan Tape (S&amp;P)'!K717, TODAY(), "M")&lt;18),
    1.10,
    1.00)</f>
        <v/>
      </c>
      <c r="O717">
        <f>IF('Loan Tape (S&amp;P)'!T717="Yes",
    1.35,
    1.00)</f>
        <v/>
      </c>
      <c r="P717">
        <f>IF('Loan Tape (S&amp;P)'!S717="Yes",
    1.15,
    1.00)</f>
        <v/>
      </c>
      <c r="Q717">
        <f>IF('Loan Tape (S&amp;P)'!V717="Yes",
    1.20,
    1.00)</f>
        <v/>
      </c>
      <c r="T717">
        <f>LET(
    payment_method,'Loan Tape (S&amp;P)'!P717,
    occupancy,'Loan Tape (S&amp;P)'!N717,
    maturity_date,'Loan Tape (S&amp;P)'!L717,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8">
      <c r="J718">
        <f>LET(
    lien,'Loan Tape (S&amp;P)'!Q718,
    IF(lien="First",1.00,
        IF(lien="Second",1.50,
            1.70)))</f>
        <v/>
      </c>
      <c r="K718">
        <f>LET(
    purpose,'Loan Tape (S&amp;P)'!R718,
    IF(purpose="Purchase",1.00,
        IF(purpose="Remortgage",1.00,
            1.20)))</f>
        <v/>
      </c>
      <c r="L718">
        <f>LET(
    arrears_months,'Loan Tape (S&amp;P)'!AN718,
    IF(arrears_months=0,1.00,
    IF(arrears_months=1,3.00,
    IF(arrears_months=2,5.00,
    IF(arrears_months=3,8.00,
    IF(arrears_months=4,10.00,
    IF(arrears_months=5,12.00,15.00)))))))</f>
        <v/>
      </c>
      <c r="M718">
        <f>LET(
    seasoning_years,DATEDIF('Loan Tape (S&amp;P)'!K718,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8">
        <f>IF(AND('Loan Tape (S&amp;P)'!U718="Yes",
        'Loan Tape (S&amp;P)'!T718&lt;&gt;"Yes",
        DATEDIF('Loan Tape (S&amp;P)'!K718, TODAY(), "M")&lt;18),
    1.10,
    1.00)</f>
        <v/>
      </c>
      <c r="O718">
        <f>IF('Loan Tape (S&amp;P)'!T718="Yes",
    1.35,
    1.00)</f>
        <v/>
      </c>
      <c r="P718">
        <f>IF('Loan Tape (S&amp;P)'!S718="Yes",
    1.15,
    1.00)</f>
        <v/>
      </c>
      <c r="Q718">
        <f>IF('Loan Tape (S&amp;P)'!V718="Yes",
    1.20,
    1.00)</f>
        <v/>
      </c>
      <c r="T718">
        <f>LET(
    payment_method,'Loan Tape (S&amp;P)'!P718,
    occupancy,'Loan Tape (S&amp;P)'!N718,
    maturity_date,'Loan Tape (S&amp;P)'!L718,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9">
      <c r="J719">
        <f>LET(
    lien,'Loan Tape (S&amp;P)'!Q719,
    IF(lien="First",1.00,
        IF(lien="Second",1.50,
            1.70)))</f>
        <v/>
      </c>
      <c r="K719">
        <f>LET(
    purpose,'Loan Tape (S&amp;P)'!R719,
    IF(purpose="Purchase",1.00,
        IF(purpose="Remortgage",1.00,
            1.20)))</f>
        <v/>
      </c>
      <c r="L719">
        <f>LET(
    arrears_months,'Loan Tape (S&amp;P)'!AN719,
    IF(arrears_months=0,1.00,
    IF(arrears_months=1,3.00,
    IF(arrears_months=2,5.00,
    IF(arrears_months=3,8.00,
    IF(arrears_months=4,10.00,
    IF(arrears_months=5,12.00,15.00)))))))</f>
        <v/>
      </c>
      <c r="M719">
        <f>LET(
    seasoning_years,DATEDIF('Loan Tape (S&amp;P)'!K719,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9">
        <f>IF(AND('Loan Tape (S&amp;P)'!U719="Yes",
        'Loan Tape (S&amp;P)'!T719&lt;&gt;"Yes",
        DATEDIF('Loan Tape (S&amp;P)'!K719, TODAY(), "M")&lt;18),
    1.10,
    1.00)</f>
        <v/>
      </c>
      <c r="O719">
        <f>IF('Loan Tape (S&amp;P)'!T719="Yes",
    1.35,
    1.00)</f>
        <v/>
      </c>
      <c r="P719">
        <f>IF('Loan Tape (S&amp;P)'!S719="Yes",
    1.15,
    1.00)</f>
        <v/>
      </c>
      <c r="Q719">
        <f>IF('Loan Tape (S&amp;P)'!V719="Yes",
    1.20,
    1.00)</f>
        <v/>
      </c>
      <c r="T719">
        <f>LET(
    payment_method,'Loan Tape (S&amp;P)'!P719,
    occupancy,'Loan Tape (S&amp;P)'!N719,
    maturity_date,'Loan Tape (S&amp;P)'!L719,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0">
      <c r="J720">
        <f>LET(
    lien,'Loan Tape (S&amp;P)'!Q720,
    IF(lien="First",1.00,
        IF(lien="Second",1.50,
            1.70)))</f>
        <v/>
      </c>
      <c r="K720">
        <f>LET(
    purpose,'Loan Tape (S&amp;P)'!R720,
    IF(purpose="Purchase",1.00,
        IF(purpose="Remortgage",1.00,
            1.20)))</f>
        <v/>
      </c>
      <c r="L720">
        <f>LET(
    arrears_months,'Loan Tape (S&amp;P)'!AN720,
    IF(arrears_months=0,1.00,
    IF(arrears_months=1,3.00,
    IF(arrears_months=2,5.00,
    IF(arrears_months=3,8.00,
    IF(arrears_months=4,10.00,
    IF(arrears_months=5,12.00,15.00)))))))</f>
        <v/>
      </c>
      <c r="M720">
        <f>LET(
    seasoning_years,DATEDIF('Loan Tape (S&amp;P)'!K720,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0">
        <f>IF(AND('Loan Tape (S&amp;P)'!U720="Yes",
        'Loan Tape (S&amp;P)'!T720&lt;&gt;"Yes",
        DATEDIF('Loan Tape (S&amp;P)'!K720, TODAY(), "M")&lt;18),
    1.10,
    1.00)</f>
        <v/>
      </c>
      <c r="O720">
        <f>IF('Loan Tape (S&amp;P)'!T720="Yes",
    1.35,
    1.00)</f>
        <v/>
      </c>
      <c r="P720">
        <f>IF('Loan Tape (S&amp;P)'!S720="Yes",
    1.15,
    1.00)</f>
        <v/>
      </c>
      <c r="Q720">
        <f>IF('Loan Tape (S&amp;P)'!V720="Yes",
    1.20,
    1.00)</f>
        <v/>
      </c>
      <c r="T720">
        <f>LET(
    payment_method,'Loan Tape (S&amp;P)'!P720,
    occupancy,'Loan Tape (S&amp;P)'!N720,
    maturity_date,'Loan Tape (S&amp;P)'!L720,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1">
      <c r="J721">
        <f>LET(
    lien,'Loan Tape (S&amp;P)'!Q721,
    IF(lien="First",1.00,
        IF(lien="Second",1.50,
            1.70)))</f>
        <v/>
      </c>
      <c r="K721">
        <f>LET(
    purpose,'Loan Tape (S&amp;P)'!R721,
    IF(purpose="Purchase",1.00,
        IF(purpose="Remortgage",1.00,
            1.20)))</f>
        <v/>
      </c>
      <c r="L721">
        <f>LET(
    arrears_months,'Loan Tape (S&amp;P)'!AN721,
    IF(arrears_months=0,1.00,
    IF(arrears_months=1,3.00,
    IF(arrears_months=2,5.00,
    IF(arrears_months=3,8.00,
    IF(arrears_months=4,10.00,
    IF(arrears_months=5,12.00,15.00)))))))</f>
        <v/>
      </c>
      <c r="M721">
        <f>LET(
    seasoning_years,DATEDIF('Loan Tape (S&amp;P)'!K721,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1">
        <f>IF(AND('Loan Tape (S&amp;P)'!U721="Yes",
        'Loan Tape (S&amp;P)'!T721&lt;&gt;"Yes",
        DATEDIF('Loan Tape (S&amp;P)'!K721, TODAY(), "M")&lt;18),
    1.10,
    1.00)</f>
        <v/>
      </c>
      <c r="O721">
        <f>IF('Loan Tape (S&amp;P)'!T721="Yes",
    1.35,
    1.00)</f>
        <v/>
      </c>
      <c r="P721">
        <f>IF('Loan Tape (S&amp;P)'!S721="Yes",
    1.15,
    1.00)</f>
        <v/>
      </c>
      <c r="Q721">
        <f>IF('Loan Tape (S&amp;P)'!V721="Yes",
    1.20,
    1.00)</f>
        <v/>
      </c>
      <c r="T721">
        <f>LET(
    payment_method,'Loan Tape (S&amp;P)'!P721,
    occupancy,'Loan Tape (S&amp;P)'!N721,
    maturity_date,'Loan Tape (S&amp;P)'!L721,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2">
      <c r="J722">
        <f>LET(
    lien,'Loan Tape (S&amp;P)'!Q722,
    IF(lien="First",1.00,
        IF(lien="Second",1.50,
            1.70)))</f>
        <v/>
      </c>
      <c r="K722">
        <f>LET(
    purpose,'Loan Tape (S&amp;P)'!R722,
    IF(purpose="Purchase",1.00,
        IF(purpose="Remortgage",1.00,
            1.20)))</f>
        <v/>
      </c>
      <c r="L722">
        <f>LET(
    arrears_months,'Loan Tape (S&amp;P)'!AN722,
    IF(arrears_months=0,1.00,
    IF(arrears_months=1,3.00,
    IF(arrears_months=2,5.00,
    IF(arrears_months=3,8.00,
    IF(arrears_months=4,10.00,
    IF(arrears_months=5,12.00,15.00)))))))</f>
        <v/>
      </c>
      <c r="M722">
        <f>LET(
    seasoning_years,DATEDIF('Loan Tape (S&amp;P)'!K722,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2">
        <f>IF(AND('Loan Tape (S&amp;P)'!U722="Yes",
        'Loan Tape (S&amp;P)'!T722&lt;&gt;"Yes",
        DATEDIF('Loan Tape (S&amp;P)'!K722, TODAY(), "M")&lt;18),
    1.10,
    1.00)</f>
        <v/>
      </c>
      <c r="O722">
        <f>IF('Loan Tape (S&amp;P)'!T722="Yes",
    1.35,
    1.00)</f>
        <v/>
      </c>
      <c r="P722">
        <f>IF('Loan Tape (S&amp;P)'!S722="Yes",
    1.15,
    1.00)</f>
        <v/>
      </c>
      <c r="Q722">
        <f>IF('Loan Tape (S&amp;P)'!V722="Yes",
    1.20,
    1.00)</f>
        <v/>
      </c>
      <c r="T722">
        <f>LET(
    payment_method,'Loan Tape (S&amp;P)'!P722,
    occupancy,'Loan Tape (S&amp;P)'!N722,
    maturity_date,'Loan Tape (S&amp;P)'!L722,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3">
      <c r="J723">
        <f>LET(
    lien,'Loan Tape (S&amp;P)'!Q723,
    IF(lien="First",1.00,
        IF(lien="Second",1.50,
            1.70)))</f>
        <v/>
      </c>
      <c r="K723">
        <f>LET(
    purpose,'Loan Tape (S&amp;P)'!R723,
    IF(purpose="Purchase",1.00,
        IF(purpose="Remortgage",1.00,
            1.20)))</f>
        <v/>
      </c>
      <c r="L723">
        <f>LET(
    arrears_months,'Loan Tape (S&amp;P)'!AN723,
    IF(arrears_months=0,1.00,
    IF(arrears_months=1,3.00,
    IF(arrears_months=2,5.00,
    IF(arrears_months=3,8.00,
    IF(arrears_months=4,10.00,
    IF(arrears_months=5,12.00,15.00)))))))</f>
        <v/>
      </c>
      <c r="M723">
        <f>LET(
    seasoning_years,DATEDIF('Loan Tape (S&amp;P)'!K723,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3">
        <f>IF(AND('Loan Tape (S&amp;P)'!U723="Yes",
        'Loan Tape (S&amp;P)'!T723&lt;&gt;"Yes",
        DATEDIF('Loan Tape (S&amp;P)'!K723, TODAY(), "M")&lt;18),
    1.10,
    1.00)</f>
        <v/>
      </c>
      <c r="O723">
        <f>IF('Loan Tape (S&amp;P)'!T723="Yes",
    1.35,
    1.00)</f>
        <v/>
      </c>
      <c r="P723">
        <f>IF('Loan Tape (S&amp;P)'!S723="Yes",
    1.15,
    1.00)</f>
        <v/>
      </c>
      <c r="Q723">
        <f>IF('Loan Tape (S&amp;P)'!V723="Yes",
    1.20,
    1.00)</f>
        <v/>
      </c>
      <c r="T723">
        <f>LET(
    payment_method,'Loan Tape (S&amp;P)'!P723,
    occupancy,'Loan Tape (S&amp;P)'!N723,
    maturity_date,'Loan Tape (S&amp;P)'!L723,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4">
      <c r="J724">
        <f>LET(
    lien,'Loan Tape (S&amp;P)'!Q724,
    IF(lien="First",1.00,
        IF(lien="Second",1.50,
            1.70)))</f>
        <v/>
      </c>
      <c r="K724">
        <f>LET(
    purpose,'Loan Tape (S&amp;P)'!R724,
    IF(purpose="Purchase",1.00,
        IF(purpose="Remortgage",1.00,
            1.20)))</f>
        <v/>
      </c>
      <c r="L724">
        <f>LET(
    arrears_months,'Loan Tape (S&amp;P)'!AN724,
    IF(arrears_months=0,1.00,
    IF(arrears_months=1,3.00,
    IF(arrears_months=2,5.00,
    IF(arrears_months=3,8.00,
    IF(arrears_months=4,10.00,
    IF(arrears_months=5,12.00,15.00)))))))</f>
        <v/>
      </c>
      <c r="M724">
        <f>LET(
    seasoning_years,DATEDIF('Loan Tape (S&amp;P)'!K724,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4">
        <f>IF(AND('Loan Tape (S&amp;P)'!U724="Yes",
        'Loan Tape (S&amp;P)'!T724&lt;&gt;"Yes",
        DATEDIF('Loan Tape (S&amp;P)'!K724, TODAY(), "M")&lt;18),
    1.10,
    1.00)</f>
        <v/>
      </c>
      <c r="O724">
        <f>IF('Loan Tape (S&amp;P)'!T724="Yes",
    1.35,
    1.00)</f>
        <v/>
      </c>
      <c r="P724">
        <f>IF('Loan Tape (S&amp;P)'!S724="Yes",
    1.15,
    1.00)</f>
        <v/>
      </c>
      <c r="Q724">
        <f>IF('Loan Tape (S&amp;P)'!V724="Yes",
    1.20,
    1.00)</f>
        <v/>
      </c>
      <c r="T724">
        <f>LET(
    payment_method,'Loan Tape (S&amp;P)'!P724,
    occupancy,'Loan Tape (S&amp;P)'!N724,
    maturity_date,'Loan Tape (S&amp;P)'!L724,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5">
      <c r="J725">
        <f>LET(
    lien,'Loan Tape (S&amp;P)'!Q725,
    IF(lien="First",1.00,
        IF(lien="Second",1.50,
            1.70)))</f>
        <v/>
      </c>
      <c r="K725">
        <f>LET(
    purpose,'Loan Tape (S&amp;P)'!R725,
    IF(purpose="Purchase",1.00,
        IF(purpose="Remortgage",1.00,
            1.20)))</f>
        <v/>
      </c>
      <c r="L725">
        <f>LET(
    arrears_months,'Loan Tape (S&amp;P)'!AN725,
    IF(arrears_months=0,1.00,
    IF(arrears_months=1,3.00,
    IF(arrears_months=2,5.00,
    IF(arrears_months=3,8.00,
    IF(arrears_months=4,10.00,
    IF(arrears_months=5,12.00,15.00)))))))</f>
        <v/>
      </c>
      <c r="M725">
        <f>LET(
    seasoning_years,DATEDIF('Loan Tape (S&amp;P)'!K725,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5">
        <f>IF(AND('Loan Tape (S&amp;P)'!U725="Yes",
        'Loan Tape (S&amp;P)'!T725&lt;&gt;"Yes",
        DATEDIF('Loan Tape (S&amp;P)'!K725, TODAY(), "M")&lt;18),
    1.10,
    1.00)</f>
        <v/>
      </c>
      <c r="O725">
        <f>IF('Loan Tape (S&amp;P)'!T725="Yes",
    1.35,
    1.00)</f>
        <v/>
      </c>
      <c r="P725">
        <f>IF('Loan Tape (S&amp;P)'!S725="Yes",
    1.15,
    1.00)</f>
        <v/>
      </c>
      <c r="Q725">
        <f>IF('Loan Tape (S&amp;P)'!V725="Yes",
    1.20,
    1.00)</f>
        <v/>
      </c>
      <c r="T725">
        <f>LET(
    payment_method,'Loan Tape (S&amp;P)'!P725,
    occupancy,'Loan Tape (S&amp;P)'!N725,
    maturity_date,'Loan Tape (S&amp;P)'!L725,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6">
      <c r="J726">
        <f>LET(
    lien,'Loan Tape (S&amp;P)'!Q726,
    IF(lien="First",1.00,
        IF(lien="Second",1.50,
            1.70)))</f>
        <v/>
      </c>
      <c r="K726">
        <f>LET(
    purpose,'Loan Tape (S&amp;P)'!R726,
    IF(purpose="Purchase",1.00,
        IF(purpose="Remortgage",1.00,
            1.20)))</f>
        <v/>
      </c>
      <c r="L726">
        <f>LET(
    arrears_months,'Loan Tape (S&amp;P)'!AN726,
    IF(arrears_months=0,1.00,
    IF(arrears_months=1,3.00,
    IF(arrears_months=2,5.00,
    IF(arrears_months=3,8.00,
    IF(arrears_months=4,10.00,
    IF(arrears_months=5,12.00,15.00)))))))</f>
        <v/>
      </c>
      <c r="M726">
        <f>LET(
    seasoning_years,DATEDIF('Loan Tape (S&amp;P)'!K726,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6">
        <f>IF(AND('Loan Tape (S&amp;P)'!U726="Yes",
        'Loan Tape (S&amp;P)'!T726&lt;&gt;"Yes",
        DATEDIF('Loan Tape (S&amp;P)'!K726, TODAY(), "M")&lt;18),
    1.10,
    1.00)</f>
        <v/>
      </c>
      <c r="O726">
        <f>IF('Loan Tape (S&amp;P)'!T726="Yes",
    1.35,
    1.00)</f>
        <v/>
      </c>
      <c r="P726">
        <f>IF('Loan Tape (S&amp;P)'!S726="Yes",
    1.15,
    1.00)</f>
        <v/>
      </c>
      <c r="Q726">
        <f>IF('Loan Tape (S&amp;P)'!V726="Yes",
    1.20,
    1.00)</f>
        <v/>
      </c>
      <c r="T726">
        <f>LET(
    payment_method,'Loan Tape (S&amp;P)'!P726,
    occupancy,'Loan Tape (S&amp;P)'!N726,
    maturity_date,'Loan Tape (S&amp;P)'!L726,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7">
      <c r="J727">
        <f>LET(
    lien,'Loan Tape (S&amp;P)'!Q727,
    IF(lien="First",1.00,
        IF(lien="Second",1.50,
            1.70)))</f>
        <v/>
      </c>
      <c r="K727">
        <f>LET(
    purpose,'Loan Tape (S&amp;P)'!R727,
    IF(purpose="Purchase",1.00,
        IF(purpose="Remortgage",1.00,
            1.20)))</f>
        <v/>
      </c>
      <c r="L727">
        <f>LET(
    arrears_months,'Loan Tape (S&amp;P)'!AN727,
    IF(arrears_months=0,1.00,
    IF(arrears_months=1,3.00,
    IF(arrears_months=2,5.00,
    IF(arrears_months=3,8.00,
    IF(arrears_months=4,10.00,
    IF(arrears_months=5,12.00,15.00)))))))</f>
        <v/>
      </c>
      <c r="M727">
        <f>LET(
    seasoning_years,DATEDIF('Loan Tape (S&amp;P)'!K727,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7">
        <f>IF(AND('Loan Tape (S&amp;P)'!U727="Yes",
        'Loan Tape (S&amp;P)'!T727&lt;&gt;"Yes",
        DATEDIF('Loan Tape (S&amp;P)'!K727, TODAY(), "M")&lt;18),
    1.10,
    1.00)</f>
        <v/>
      </c>
      <c r="O727">
        <f>IF('Loan Tape (S&amp;P)'!T727="Yes",
    1.35,
    1.00)</f>
        <v/>
      </c>
      <c r="P727">
        <f>IF('Loan Tape (S&amp;P)'!S727="Yes",
    1.15,
    1.00)</f>
        <v/>
      </c>
      <c r="Q727">
        <f>IF('Loan Tape (S&amp;P)'!V727="Yes",
    1.20,
    1.00)</f>
        <v/>
      </c>
      <c r="T727">
        <f>LET(
    payment_method,'Loan Tape (S&amp;P)'!P727,
    occupancy,'Loan Tape (S&amp;P)'!N727,
    maturity_date,'Loan Tape (S&amp;P)'!L727,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8">
      <c r="J728">
        <f>LET(
    lien,'Loan Tape (S&amp;P)'!Q728,
    IF(lien="First",1.00,
        IF(lien="Second",1.50,
            1.70)))</f>
        <v/>
      </c>
      <c r="K728">
        <f>LET(
    purpose,'Loan Tape (S&amp;P)'!R728,
    IF(purpose="Purchase",1.00,
        IF(purpose="Remortgage",1.00,
            1.20)))</f>
        <v/>
      </c>
      <c r="L728">
        <f>LET(
    arrears_months,'Loan Tape (S&amp;P)'!AN728,
    IF(arrears_months=0,1.00,
    IF(arrears_months=1,3.00,
    IF(arrears_months=2,5.00,
    IF(arrears_months=3,8.00,
    IF(arrears_months=4,10.00,
    IF(arrears_months=5,12.00,15.00)))))))</f>
        <v/>
      </c>
      <c r="M728">
        <f>LET(
    seasoning_years,DATEDIF('Loan Tape (S&amp;P)'!K728,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8">
        <f>IF(AND('Loan Tape (S&amp;P)'!U728="Yes",
        'Loan Tape (S&amp;P)'!T728&lt;&gt;"Yes",
        DATEDIF('Loan Tape (S&amp;P)'!K728, TODAY(), "M")&lt;18),
    1.10,
    1.00)</f>
        <v/>
      </c>
      <c r="O728">
        <f>IF('Loan Tape (S&amp;P)'!T728="Yes",
    1.35,
    1.00)</f>
        <v/>
      </c>
      <c r="P728">
        <f>IF('Loan Tape (S&amp;P)'!S728="Yes",
    1.15,
    1.00)</f>
        <v/>
      </c>
      <c r="Q728">
        <f>IF('Loan Tape (S&amp;P)'!V728="Yes",
    1.20,
    1.00)</f>
        <v/>
      </c>
      <c r="T728">
        <f>LET(
    payment_method,'Loan Tape (S&amp;P)'!P728,
    occupancy,'Loan Tape (S&amp;P)'!N728,
    maturity_date,'Loan Tape (S&amp;P)'!L728,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9">
      <c r="J729">
        <f>LET(
    lien,'Loan Tape (S&amp;P)'!Q729,
    IF(lien="First",1.00,
        IF(lien="Second",1.50,
            1.70)))</f>
        <v/>
      </c>
      <c r="K729">
        <f>LET(
    purpose,'Loan Tape (S&amp;P)'!R729,
    IF(purpose="Purchase",1.00,
        IF(purpose="Remortgage",1.00,
            1.20)))</f>
        <v/>
      </c>
      <c r="L729">
        <f>LET(
    arrears_months,'Loan Tape (S&amp;P)'!AN729,
    IF(arrears_months=0,1.00,
    IF(arrears_months=1,3.00,
    IF(arrears_months=2,5.00,
    IF(arrears_months=3,8.00,
    IF(arrears_months=4,10.00,
    IF(arrears_months=5,12.00,15.00)))))))</f>
        <v/>
      </c>
      <c r="M729">
        <f>LET(
    seasoning_years,DATEDIF('Loan Tape (S&amp;P)'!K729,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9">
        <f>IF(AND('Loan Tape (S&amp;P)'!U729="Yes",
        'Loan Tape (S&amp;P)'!T729&lt;&gt;"Yes",
        DATEDIF('Loan Tape (S&amp;P)'!K729, TODAY(), "M")&lt;18),
    1.10,
    1.00)</f>
        <v/>
      </c>
      <c r="O729">
        <f>IF('Loan Tape (S&amp;P)'!T729="Yes",
    1.35,
    1.00)</f>
        <v/>
      </c>
      <c r="P729">
        <f>IF('Loan Tape (S&amp;P)'!S729="Yes",
    1.15,
    1.00)</f>
        <v/>
      </c>
      <c r="Q729">
        <f>IF('Loan Tape (S&amp;P)'!V729="Yes",
    1.20,
    1.00)</f>
        <v/>
      </c>
      <c r="T729">
        <f>LET(
    payment_method,'Loan Tape (S&amp;P)'!P729,
    occupancy,'Loan Tape (S&amp;P)'!N729,
    maturity_date,'Loan Tape (S&amp;P)'!L729,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0">
      <c r="J730">
        <f>LET(
    lien,'Loan Tape (S&amp;P)'!Q730,
    IF(lien="First",1.00,
        IF(lien="Second",1.50,
            1.70)))</f>
        <v/>
      </c>
      <c r="K730">
        <f>LET(
    purpose,'Loan Tape (S&amp;P)'!R730,
    IF(purpose="Purchase",1.00,
        IF(purpose="Remortgage",1.00,
            1.20)))</f>
        <v/>
      </c>
      <c r="L730">
        <f>LET(
    arrears_months,'Loan Tape (S&amp;P)'!AN730,
    IF(arrears_months=0,1.00,
    IF(arrears_months=1,3.00,
    IF(arrears_months=2,5.00,
    IF(arrears_months=3,8.00,
    IF(arrears_months=4,10.00,
    IF(arrears_months=5,12.00,15.00)))))))</f>
        <v/>
      </c>
      <c r="M730">
        <f>LET(
    seasoning_years,DATEDIF('Loan Tape (S&amp;P)'!K730,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0">
        <f>IF(AND('Loan Tape (S&amp;P)'!U730="Yes",
        'Loan Tape (S&amp;P)'!T730&lt;&gt;"Yes",
        DATEDIF('Loan Tape (S&amp;P)'!K730, TODAY(), "M")&lt;18),
    1.10,
    1.00)</f>
        <v/>
      </c>
      <c r="O730">
        <f>IF('Loan Tape (S&amp;P)'!T730="Yes",
    1.35,
    1.00)</f>
        <v/>
      </c>
      <c r="P730">
        <f>IF('Loan Tape (S&amp;P)'!S730="Yes",
    1.15,
    1.00)</f>
        <v/>
      </c>
      <c r="Q730">
        <f>IF('Loan Tape (S&amp;P)'!V730="Yes",
    1.20,
    1.00)</f>
        <v/>
      </c>
      <c r="T730">
        <f>LET(
    payment_method,'Loan Tape (S&amp;P)'!P730,
    occupancy,'Loan Tape (S&amp;P)'!N730,
    maturity_date,'Loan Tape (S&amp;P)'!L730,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1">
      <c r="J731">
        <f>LET(
    lien,'Loan Tape (S&amp;P)'!Q731,
    IF(lien="First",1.00,
        IF(lien="Second",1.50,
            1.70)))</f>
        <v/>
      </c>
      <c r="K731">
        <f>LET(
    purpose,'Loan Tape (S&amp;P)'!R731,
    IF(purpose="Purchase",1.00,
        IF(purpose="Remortgage",1.00,
            1.20)))</f>
        <v/>
      </c>
      <c r="L731">
        <f>LET(
    arrears_months,'Loan Tape (S&amp;P)'!AN731,
    IF(arrears_months=0,1.00,
    IF(arrears_months=1,3.00,
    IF(arrears_months=2,5.00,
    IF(arrears_months=3,8.00,
    IF(arrears_months=4,10.00,
    IF(arrears_months=5,12.00,15.00)))))))</f>
        <v/>
      </c>
      <c r="M731">
        <f>LET(
    seasoning_years,DATEDIF('Loan Tape (S&amp;P)'!K731,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1">
        <f>IF(AND('Loan Tape (S&amp;P)'!U731="Yes",
        'Loan Tape (S&amp;P)'!T731&lt;&gt;"Yes",
        DATEDIF('Loan Tape (S&amp;P)'!K731, TODAY(), "M")&lt;18),
    1.10,
    1.00)</f>
        <v/>
      </c>
      <c r="O731">
        <f>IF('Loan Tape (S&amp;P)'!T731="Yes",
    1.35,
    1.00)</f>
        <v/>
      </c>
      <c r="P731">
        <f>IF('Loan Tape (S&amp;P)'!S731="Yes",
    1.15,
    1.00)</f>
        <v/>
      </c>
      <c r="Q731">
        <f>IF('Loan Tape (S&amp;P)'!V731="Yes",
    1.20,
    1.00)</f>
        <v/>
      </c>
      <c r="T731">
        <f>LET(
    payment_method,'Loan Tape (S&amp;P)'!P731,
    occupancy,'Loan Tape (S&amp;P)'!N731,
    maturity_date,'Loan Tape (S&amp;P)'!L731,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2">
      <c r="J732">
        <f>LET(
    lien,'Loan Tape (S&amp;P)'!Q732,
    IF(lien="First",1.00,
        IF(lien="Second",1.50,
            1.70)))</f>
        <v/>
      </c>
      <c r="K732">
        <f>LET(
    purpose,'Loan Tape (S&amp;P)'!R732,
    IF(purpose="Purchase",1.00,
        IF(purpose="Remortgage",1.00,
            1.20)))</f>
        <v/>
      </c>
      <c r="L732">
        <f>LET(
    arrears_months,'Loan Tape (S&amp;P)'!AN732,
    IF(arrears_months=0,1.00,
    IF(arrears_months=1,3.00,
    IF(arrears_months=2,5.00,
    IF(arrears_months=3,8.00,
    IF(arrears_months=4,10.00,
    IF(arrears_months=5,12.00,15.00)))))))</f>
        <v/>
      </c>
      <c r="M732">
        <f>LET(
    seasoning_years,DATEDIF('Loan Tape (S&amp;P)'!K732,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2">
        <f>IF(AND('Loan Tape (S&amp;P)'!U732="Yes",
        'Loan Tape (S&amp;P)'!T732&lt;&gt;"Yes",
        DATEDIF('Loan Tape (S&amp;P)'!K732, TODAY(), "M")&lt;18),
    1.10,
    1.00)</f>
        <v/>
      </c>
      <c r="O732">
        <f>IF('Loan Tape (S&amp;P)'!T732="Yes",
    1.35,
    1.00)</f>
        <v/>
      </c>
      <c r="P732">
        <f>IF('Loan Tape (S&amp;P)'!S732="Yes",
    1.15,
    1.00)</f>
        <v/>
      </c>
      <c r="Q732">
        <f>IF('Loan Tape (S&amp;P)'!V732="Yes",
    1.20,
    1.00)</f>
        <v/>
      </c>
      <c r="T732">
        <f>LET(
    payment_method,'Loan Tape (S&amp;P)'!P732,
    occupancy,'Loan Tape (S&amp;P)'!N732,
    maturity_date,'Loan Tape (S&amp;P)'!L732,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3">
      <c r="J733">
        <f>LET(
    lien,'Loan Tape (S&amp;P)'!Q733,
    IF(lien="First",1.00,
        IF(lien="Second",1.50,
            1.70)))</f>
        <v/>
      </c>
      <c r="K733">
        <f>LET(
    purpose,'Loan Tape (S&amp;P)'!R733,
    IF(purpose="Purchase",1.00,
        IF(purpose="Remortgage",1.00,
            1.20)))</f>
        <v/>
      </c>
      <c r="L733">
        <f>LET(
    arrears_months,'Loan Tape (S&amp;P)'!AN733,
    IF(arrears_months=0,1.00,
    IF(arrears_months=1,3.00,
    IF(arrears_months=2,5.00,
    IF(arrears_months=3,8.00,
    IF(arrears_months=4,10.00,
    IF(arrears_months=5,12.00,15.00)))))))</f>
        <v/>
      </c>
      <c r="M733">
        <f>LET(
    seasoning_years,DATEDIF('Loan Tape (S&amp;P)'!K733,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3">
        <f>IF(AND('Loan Tape (S&amp;P)'!U733="Yes",
        'Loan Tape (S&amp;P)'!T733&lt;&gt;"Yes",
        DATEDIF('Loan Tape (S&amp;P)'!K733, TODAY(), "M")&lt;18),
    1.10,
    1.00)</f>
        <v/>
      </c>
      <c r="O733">
        <f>IF('Loan Tape (S&amp;P)'!T733="Yes",
    1.35,
    1.00)</f>
        <v/>
      </c>
      <c r="P733">
        <f>IF('Loan Tape (S&amp;P)'!S733="Yes",
    1.15,
    1.00)</f>
        <v/>
      </c>
      <c r="Q733">
        <f>IF('Loan Tape (S&amp;P)'!V733="Yes",
    1.20,
    1.00)</f>
        <v/>
      </c>
      <c r="T733">
        <f>LET(
    payment_method,'Loan Tape (S&amp;P)'!P733,
    occupancy,'Loan Tape (S&amp;P)'!N733,
    maturity_date,'Loan Tape (S&amp;P)'!L733,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4">
      <c r="J734">
        <f>LET(
    lien,'Loan Tape (S&amp;P)'!Q734,
    IF(lien="First",1.00,
        IF(lien="Second",1.50,
            1.70)))</f>
        <v/>
      </c>
      <c r="K734">
        <f>LET(
    purpose,'Loan Tape (S&amp;P)'!R734,
    IF(purpose="Purchase",1.00,
        IF(purpose="Remortgage",1.00,
            1.20)))</f>
        <v/>
      </c>
      <c r="L734">
        <f>LET(
    arrears_months,'Loan Tape (S&amp;P)'!AN734,
    IF(arrears_months=0,1.00,
    IF(arrears_months=1,3.00,
    IF(arrears_months=2,5.00,
    IF(arrears_months=3,8.00,
    IF(arrears_months=4,10.00,
    IF(arrears_months=5,12.00,15.00)))))))</f>
        <v/>
      </c>
      <c r="M734">
        <f>LET(
    seasoning_years,DATEDIF('Loan Tape (S&amp;P)'!K734,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4">
        <f>IF(AND('Loan Tape (S&amp;P)'!U734="Yes",
        'Loan Tape (S&amp;P)'!T734&lt;&gt;"Yes",
        DATEDIF('Loan Tape (S&amp;P)'!K734, TODAY(), "M")&lt;18),
    1.10,
    1.00)</f>
        <v/>
      </c>
      <c r="O734">
        <f>IF('Loan Tape (S&amp;P)'!T734="Yes",
    1.35,
    1.00)</f>
        <v/>
      </c>
      <c r="P734">
        <f>IF('Loan Tape (S&amp;P)'!S734="Yes",
    1.15,
    1.00)</f>
        <v/>
      </c>
      <c r="Q734">
        <f>IF('Loan Tape (S&amp;P)'!V734="Yes",
    1.20,
    1.00)</f>
        <v/>
      </c>
      <c r="T734">
        <f>LET(
    payment_method,'Loan Tape (S&amp;P)'!P734,
    occupancy,'Loan Tape (S&amp;P)'!N734,
    maturity_date,'Loan Tape (S&amp;P)'!L734,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5">
      <c r="J735">
        <f>LET(
    lien,'Loan Tape (S&amp;P)'!Q735,
    IF(lien="First",1.00,
        IF(lien="Second",1.50,
            1.70)))</f>
        <v/>
      </c>
      <c r="K735">
        <f>LET(
    purpose,'Loan Tape (S&amp;P)'!R735,
    IF(purpose="Purchase",1.00,
        IF(purpose="Remortgage",1.00,
            1.20)))</f>
        <v/>
      </c>
      <c r="L735">
        <f>LET(
    arrears_months,'Loan Tape (S&amp;P)'!AN735,
    IF(arrears_months=0,1.00,
    IF(arrears_months=1,3.00,
    IF(arrears_months=2,5.00,
    IF(arrears_months=3,8.00,
    IF(arrears_months=4,10.00,
    IF(arrears_months=5,12.00,15.00)))))))</f>
        <v/>
      </c>
      <c r="M735">
        <f>LET(
    seasoning_years,DATEDIF('Loan Tape (S&amp;P)'!K735,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5">
        <f>IF(AND('Loan Tape (S&amp;P)'!U735="Yes",
        'Loan Tape (S&amp;P)'!T735&lt;&gt;"Yes",
        DATEDIF('Loan Tape (S&amp;P)'!K735, TODAY(), "M")&lt;18),
    1.10,
    1.00)</f>
        <v/>
      </c>
      <c r="O735">
        <f>IF('Loan Tape (S&amp;P)'!T735="Yes",
    1.35,
    1.00)</f>
        <v/>
      </c>
      <c r="P735">
        <f>IF('Loan Tape (S&amp;P)'!S735="Yes",
    1.15,
    1.00)</f>
        <v/>
      </c>
      <c r="Q735">
        <f>IF('Loan Tape (S&amp;P)'!V735="Yes",
    1.20,
    1.00)</f>
        <v/>
      </c>
      <c r="T735">
        <f>LET(
    payment_method,'Loan Tape (S&amp;P)'!P735,
    occupancy,'Loan Tape (S&amp;P)'!N735,
    maturity_date,'Loan Tape (S&amp;P)'!L735,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6">
      <c r="J736">
        <f>LET(
    lien,'Loan Tape (S&amp;P)'!Q736,
    IF(lien="First",1.00,
        IF(lien="Second",1.50,
            1.70)))</f>
        <v/>
      </c>
      <c r="K736">
        <f>LET(
    purpose,'Loan Tape (S&amp;P)'!R736,
    IF(purpose="Purchase",1.00,
        IF(purpose="Remortgage",1.00,
            1.20)))</f>
        <v/>
      </c>
      <c r="L736">
        <f>LET(
    arrears_months,'Loan Tape (S&amp;P)'!AN736,
    IF(arrears_months=0,1.00,
    IF(arrears_months=1,3.00,
    IF(arrears_months=2,5.00,
    IF(arrears_months=3,8.00,
    IF(arrears_months=4,10.00,
    IF(arrears_months=5,12.00,15.00)))))))</f>
        <v/>
      </c>
      <c r="M736">
        <f>LET(
    seasoning_years,DATEDIF('Loan Tape (S&amp;P)'!K736,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6">
        <f>IF(AND('Loan Tape (S&amp;P)'!U736="Yes",
        'Loan Tape (S&amp;P)'!T736&lt;&gt;"Yes",
        DATEDIF('Loan Tape (S&amp;P)'!K736, TODAY(), "M")&lt;18),
    1.10,
    1.00)</f>
        <v/>
      </c>
      <c r="O736">
        <f>IF('Loan Tape (S&amp;P)'!T736="Yes",
    1.35,
    1.00)</f>
        <v/>
      </c>
      <c r="P736">
        <f>IF('Loan Tape (S&amp;P)'!S736="Yes",
    1.15,
    1.00)</f>
        <v/>
      </c>
      <c r="Q736">
        <f>IF('Loan Tape (S&amp;P)'!V736="Yes",
    1.20,
    1.00)</f>
        <v/>
      </c>
      <c r="T736">
        <f>LET(
    payment_method,'Loan Tape (S&amp;P)'!P736,
    occupancy,'Loan Tape (S&amp;P)'!N736,
    maturity_date,'Loan Tape (S&amp;P)'!L736,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7">
      <c r="J737">
        <f>LET(
    lien,'Loan Tape (S&amp;P)'!Q737,
    IF(lien="First",1.00,
        IF(lien="Second",1.50,
            1.70)))</f>
        <v/>
      </c>
      <c r="K737">
        <f>LET(
    purpose,'Loan Tape (S&amp;P)'!R737,
    IF(purpose="Purchase",1.00,
        IF(purpose="Remortgage",1.00,
            1.20)))</f>
        <v/>
      </c>
      <c r="L737">
        <f>LET(
    arrears_months,'Loan Tape (S&amp;P)'!AN737,
    IF(arrears_months=0,1.00,
    IF(arrears_months=1,3.00,
    IF(arrears_months=2,5.00,
    IF(arrears_months=3,8.00,
    IF(arrears_months=4,10.00,
    IF(arrears_months=5,12.00,15.00)))))))</f>
        <v/>
      </c>
      <c r="M737">
        <f>LET(
    seasoning_years,DATEDIF('Loan Tape (S&amp;P)'!K737,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7">
        <f>IF(AND('Loan Tape (S&amp;P)'!U737="Yes",
        'Loan Tape (S&amp;P)'!T737&lt;&gt;"Yes",
        DATEDIF('Loan Tape (S&amp;P)'!K737, TODAY(), "M")&lt;18),
    1.10,
    1.00)</f>
        <v/>
      </c>
      <c r="O737">
        <f>IF('Loan Tape (S&amp;P)'!T737="Yes",
    1.35,
    1.00)</f>
        <v/>
      </c>
      <c r="P737">
        <f>IF('Loan Tape (S&amp;P)'!S737="Yes",
    1.15,
    1.00)</f>
        <v/>
      </c>
      <c r="Q737">
        <f>IF('Loan Tape (S&amp;P)'!V737="Yes",
    1.20,
    1.00)</f>
        <v/>
      </c>
      <c r="T737">
        <f>LET(
    payment_method,'Loan Tape (S&amp;P)'!P737,
    occupancy,'Loan Tape (S&amp;P)'!N737,
    maturity_date,'Loan Tape (S&amp;P)'!L737,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8">
      <c r="J738">
        <f>LET(
    lien,'Loan Tape (S&amp;P)'!Q738,
    IF(lien="First",1.00,
        IF(lien="Second",1.50,
            1.70)))</f>
        <v/>
      </c>
      <c r="K738">
        <f>LET(
    purpose,'Loan Tape (S&amp;P)'!R738,
    IF(purpose="Purchase",1.00,
        IF(purpose="Remortgage",1.00,
            1.20)))</f>
        <v/>
      </c>
      <c r="L738">
        <f>LET(
    arrears_months,'Loan Tape (S&amp;P)'!AN738,
    IF(arrears_months=0,1.00,
    IF(arrears_months=1,3.00,
    IF(arrears_months=2,5.00,
    IF(arrears_months=3,8.00,
    IF(arrears_months=4,10.00,
    IF(arrears_months=5,12.00,15.00)))))))</f>
        <v/>
      </c>
      <c r="M738">
        <f>LET(
    seasoning_years,DATEDIF('Loan Tape (S&amp;P)'!K738,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8">
        <f>IF(AND('Loan Tape (S&amp;P)'!U738="Yes",
        'Loan Tape (S&amp;P)'!T738&lt;&gt;"Yes",
        DATEDIF('Loan Tape (S&amp;P)'!K738, TODAY(), "M")&lt;18),
    1.10,
    1.00)</f>
        <v/>
      </c>
      <c r="O738">
        <f>IF('Loan Tape (S&amp;P)'!T738="Yes",
    1.35,
    1.00)</f>
        <v/>
      </c>
      <c r="P738">
        <f>IF('Loan Tape (S&amp;P)'!S738="Yes",
    1.15,
    1.00)</f>
        <v/>
      </c>
      <c r="Q738">
        <f>IF('Loan Tape (S&amp;P)'!V738="Yes",
    1.20,
    1.00)</f>
        <v/>
      </c>
      <c r="T738">
        <f>LET(
    payment_method,'Loan Tape (S&amp;P)'!P738,
    occupancy,'Loan Tape (S&amp;P)'!N738,
    maturity_date,'Loan Tape (S&amp;P)'!L738,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9">
      <c r="J739">
        <f>LET(
    lien,'Loan Tape (S&amp;P)'!Q739,
    IF(lien="First",1.00,
        IF(lien="Second",1.50,
            1.70)))</f>
        <v/>
      </c>
      <c r="K739">
        <f>LET(
    purpose,'Loan Tape (S&amp;P)'!R739,
    IF(purpose="Purchase",1.00,
        IF(purpose="Remortgage",1.00,
            1.20)))</f>
        <v/>
      </c>
      <c r="L739">
        <f>LET(
    arrears_months,'Loan Tape (S&amp;P)'!AN739,
    IF(arrears_months=0,1.00,
    IF(arrears_months=1,3.00,
    IF(arrears_months=2,5.00,
    IF(arrears_months=3,8.00,
    IF(arrears_months=4,10.00,
    IF(arrears_months=5,12.00,15.00)))))))</f>
        <v/>
      </c>
      <c r="M739">
        <f>LET(
    seasoning_years,DATEDIF('Loan Tape (S&amp;P)'!K739,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9">
        <f>IF(AND('Loan Tape (S&amp;P)'!U739="Yes",
        'Loan Tape (S&amp;P)'!T739&lt;&gt;"Yes",
        DATEDIF('Loan Tape (S&amp;P)'!K739, TODAY(), "M")&lt;18),
    1.10,
    1.00)</f>
        <v/>
      </c>
      <c r="O739">
        <f>IF('Loan Tape (S&amp;P)'!T739="Yes",
    1.35,
    1.00)</f>
        <v/>
      </c>
      <c r="P739">
        <f>IF('Loan Tape (S&amp;P)'!S739="Yes",
    1.15,
    1.00)</f>
        <v/>
      </c>
      <c r="Q739">
        <f>IF('Loan Tape (S&amp;P)'!V739="Yes",
    1.20,
    1.00)</f>
        <v/>
      </c>
      <c r="T739">
        <f>LET(
    payment_method,'Loan Tape (S&amp;P)'!P739,
    occupancy,'Loan Tape (S&amp;P)'!N739,
    maturity_date,'Loan Tape (S&amp;P)'!L739,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0">
      <c r="J740">
        <f>LET(
    lien,'Loan Tape (S&amp;P)'!Q740,
    IF(lien="First",1.00,
        IF(lien="Second",1.50,
            1.70)))</f>
        <v/>
      </c>
      <c r="K740">
        <f>LET(
    purpose,'Loan Tape (S&amp;P)'!R740,
    IF(purpose="Purchase",1.00,
        IF(purpose="Remortgage",1.00,
            1.20)))</f>
        <v/>
      </c>
      <c r="L740">
        <f>LET(
    arrears_months,'Loan Tape (S&amp;P)'!AN740,
    IF(arrears_months=0,1.00,
    IF(arrears_months=1,3.00,
    IF(arrears_months=2,5.00,
    IF(arrears_months=3,8.00,
    IF(arrears_months=4,10.00,
    IF(arrears_months=5,12.00,15.00)))))))</f>
        <v/>
      </c>
      <c r="M740">
        <f>LET(
    seasoning_years,DATEDIF('Loan Tape (S&amp;P)'!K740,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0">
        <f>IF(AND('Loan Tape (S&amp;P)'!U740="Yes",
        'Loan Tape (S&amp;P)'!T740&lt;&gt;"Yes",
        DATEDIF('Loan Tape (S&amp;P)'!K740, TODAY(), "M")&lt;18),
    1.10,
    1.00)</f>
        <v/>
      </c>
      <c r="O740">
        <f>IF('Loan Tape (S&amp;P)'!T740="Yes",
    1.35,
    1.00)</f>
        <v/>
      </c>
      <c r="P740">
        <f>IF('Loan Tape (S&amp;P)'!S740="Yes",
    1.15,
    1.00)</f>
        <v/>
      </c>
      <c r="Q740">
        <f>IF('Loan Tape (S&amp;P)'!V740="Yes",
    1.20,
    1.00)</f>
        <v/>
      </c>
      <c r="T740">
        <f>LET(
    payment_method,'Loan Tape (S&amp;P)'!P740,
    occupancy,'Loan Tape (S&amp;P)'!N740,
    maturity_date,'Loan Tape (S&amp;P)'!L740,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1">
      <c r="J741">
        <f>LET(
    lien,'Loan Tape (S&amp;P)'!Q741,
    IF(lien="First",1.00,
        IF(lien="Second",1.50,
            1.70)))</f>
        <v/>
      </c>
      <c r="K741">
        <f>LET(
    purpose,'Loan Tape (S&amp;P)'!R741,
    IF(purpose="Purchase",1.00,
        IF(purpose="Remortgage",1.00,
            1.20)))</f>
        <v/>
      </c>
      <c r="L741">
        <f>LET(
    arrears_months,'Loan Tape (S&amp;P)'!AN741,
    IF(arrears_months=0,1.00,
    IF(arrears_months=1,3.00,
    IF(arrears_months=2,5.00,
    IF(arrears_months=3,8.00,
    IF(arrears_months=4,10.00,
    IF(arrears_months=5,12.00,15.00)))))))</f>
        <v/>
      </c>
      <c r="M741">
        <f>LET(
    seasoning_years,DATEDIF('Loan Tape (S&amp;P)'!K741,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1">
        <f>IF(AND('Loan Tape (S&amp;P)'!U741="Yes",
        'Loan Tape (S&amp;P)'!T741&lt;&gt;"Yes",
        DATEDIF('Loan Tape (S&amp;P)'!K741, TODAY(), "M")&lt;18),
    1.10,
    1.00)</f>
        <v/>
      </c>
      <c r="O741">
        <f>IF('Loan Tape (S&amp;P)'!T741="Yes",
    1.35,
    1.00)</f>
        <v/>
      </c>
      <c r="P741">
        <f>IF('Loan Tape (S&amp;P)'!S741="Yes",
    1.15,
    1.00)</f>
        <v/>
      </c>
      <c r="Q741">
        <f>IF('Loan Tape (S&amp;P)'!V741="Yes",
    1.20,
    1.00)</f>
        <v/>
      </c>
      <c r="T741">
        <f>LET(
    payment_method,'Loan Tape (S&amp;P)'!P741,
    occupancy,'Loan Tape (S&amp;P)'!N741,
    maturity_date,'Loan Tape (S&amp;P)'!L741,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2">
      <c r="J742">
        <f>LET(
    lien,'Loan Tape (S&amp;P)'!Q742,
    IF(lien="First",1.00,
        IF(lien="Second",1.50,
            1.70)))</f>
        <v/>
      </c>
      <c r="K742">
        <f>LET(
    purpose,'Loan Tape (S&amp;P)'!R742,
    IF(purpose="Purchase",1.00,
        IF(purpose="Remortgage",1.00,
            1.20)))</f>
        <v/>
      </c>
      <c r="L742">
        <f>LET(
    arrears_months,'Loan Tape (S&amp;P)'!AN742,
    IF(arrears_months=0,1.00,
    IF(arrears_months=1,3.00,
    IF(arrears_months=2,5.00,
    IF(arrears_months=3,8.00,
    IF(arrears_months=4,10.00,
    IF(arrears_months=5,12.00,15.00)))))))</f>
        <v/>
      </c>
      <c r="M742">
        <f>LET(
    seasoning_years,DATEDIF('Loan Tape (S&amp;P)'!K742,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2">
        <f>IF(AND('Loan Tape (S&amp;P)'!U742="Yes",
        'Loan Tape (S&amp;P)'!T742&lt;&gt;"Yes",
        DATEDIF('Loan Tape (S&amp;P)'!K742, TODAY(), "M")&lt;18),
    1.10,
    1.00)</f>
        <v/>
      </c>
      <c r="O742">
        <f>IF('Loan Tape (S&amp;P)'!T742="Yes",
    1.35,
    1.00)</f>
        <v/>
      </c>
      <c r="P742">
        <f>IF('Loan Tape (S&amp;P)'!S742="Yes",
    1.15,
    1.00)</f>
        <v/>
      </c>
      <c r="Q742">
        <f>IF('Loan Tape (S&amp;P)'!V742="Yes",
    1.20,
    1.00)</f>
        <v/>
      </c>
      <c r="T742">
        <f>LET(
    payment_method,'Loan Tape (S&amp;P)'!P742,
    occupancy,'Loan Tape (S&amp;P)'!N742,
    maturity_date,'Loan Tape (S&amp;P)'!L742,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3">
      <c r="J743">
        <f>LET(
    lien,'Loan Tape (S&amp;P)'!Q743,
    IF(lien="First",1.00,
        IF(lien="Second",1.50,
            1.70)))</f>
        <v/>
      </c>
      <c r="K743">
        <f>LET(
    purpose,'Loan Tape (S&amp;P)'!R743,
    IF(purpose="Purchase",1.00,
        IF(purpose="Remortgage",1.00,
            1.20)))</f>
        <v/>
      </c>
      <c r="L743">
        <f>LET(
    arrears_months,'Loan Tape (S&amp;P)'!AN743,
    IF(arrears_months=0,1.00,
    IF(arrears_months=1,3.00,
    IF(arrears_months=2,5.00,
    IF(arrears_months=3,8.00,
    IF(arrears_months=4,10.00,
    IF(arrears_months=5,12.00,15.00)))))))</f>
        <v/>
      </c>
      <c r="M743">
        <f>LET(
    seasoning_years,DATEDIF('Loan Tape (S&amp;P)'!K743,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3">
        <f>IF(AND('Loan Tape (S&amp;P)'!U743="Yes",
        'Loan Tape (S&amp;P)'!T743&lt;&gt;"Yes",
        DATEDIF('Loan Tape (S&amp;P)'!K743, TODAY(), "M")&lt;18),
    1.10,
    1.00)</f>
        <v/>
      </c>
      <c r="O743">
        <f>IF('Loan Tape (S&amp;P)'!T743="Yes",
    1.35,
    1.00)</f>
        <v/>
      </c>
      <c r="P743">
        <f>IF('Loan Tape (S&amp;P)'!S743="Yes",
    1.15,
    1.00)</f>
        <v/>
      </c>
      <c r="Q743">
        <f>IF('Loan Tape (S&amp;P)'!V743="Yes",
    1.20,
    1.00)</f>
        <v/>
      </c>
      <c r="T743">
        <f>LET(
    payment_method,'Loan Tape (S&amp;P)'!P743,
    occupancy,'Loan Tape (S&amp;P)'!N743,
    maturity_date,'Loan Tape (S&amp;P)'!L743,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4">
      <c r="J744">
        <f>LET(
    lien,'Loan Tape (S&amp;P)'!Q744,
    IF(lien="First",1.00,
        IF(lien="Second",1.50,
            1.70)))</f>
        <v/>
      </c>
      <c r="K744">
        <f>LET(
    purpose,'Loan Tape (S&amp;P)'!R744,
    IF(purpose="Purchase",1.00,
        IF(purpose="Remortgage",1.00,
            1.20)))</f>
        <v/>
      </c>
      <c r="L744">
        <f>LET(
    arrears_months,'Loan Tape (S&amp;P)'!AN744,
    IF(arrears_months=0,1.00,
    IF(arrears_months=1,3.00,
    IF(arrears_months=2,5.00,
    IF(arrears_months=3,8.00,
    IF(arrears_months=4,10.00,
    IF(arrears_months=5,12.00,15.00)))))))</f>
        <v/>
      </c>
      <c r="M744">
        <f>LET(
    seasoning_years,DATEDIF('Loan Tape (S&amp;P)'!K744,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4">
        <f>IF(AND('Loan Tape (S&amp;P)'!U744="Yes",
        'Loan Tape (S&amp;P)'!T744&lt;&gt;"Yes",
        DATEDIF('Loan Tape (S&amp;P)'!K744, TODAY(), "M")&lt;18),
    1.10,
    1.00)</f>
        <v/>
      </c>
      <c r="O744">
        <f>IF('Loan Tape (S&amp;P)'!T744="Yes",
    1.35,
    1.00)</f>
        <v/>
      </c>
      <c r="P744">
        <f>IF('Loan Tape (S&amp;P)'!S744="Yes",
    1.15,
    1.00)</f>
        <v/>
      </c>
      <c r="Q744">
        <f>IF('Loan Tape (S&amp;P)'!V744="Yes",
    1.20,
    1.00)</f>
        <v/>
      </c>
      <c r="T744">
        <f>LET(
    payment_method,'Loan Tape (S&amp;P)'!P744,
    occupancy,'Loan Tape (S&amp;P)'!N744,
    maturity_date,'Loan Tape (S&amp;P)'!L744,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5">
      <c r="J745">
        <f>LET(
    lien,'Loan Tape (S&amp;P)'!Q745,
    IF(lien="First",1.00,
        IF(lien="Second",1.50,
            1.70)))</f>
        <v/>
      </c>
      <c r="K745">
        <f>LET(
    purpose,'Loan Tape (S&amp;P)'!R745,
    IF(purpose="Purchase",1.00,
        IF(purpose="Remortgage",1.00,
            1.20)))</f>
        <v/>
      </c>
      <c r="L745">
        <f>LET(
    arrears_months,'Loan Tape (S&amp;P)'!AN745,
    IF(arrears_months=0,1.00,
    IF(arrears_months=1,3.00,
    IF(arrears_months=2,5.00,
    IF(arrears_months=3,8.00,
    IF(arrears_months=4,10.00,
    IF(arrears_months=5,12.00,15.00)))))))</f>
        <v/>
      </c>
      <c r="M745">
        <f>LET(
    seasoning_years,DATEDIF('Loan Tape (S&amp;P)'!K745,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5">
        <f>IF(AND('Loan Tape (S&amp;P)'!U745="Yes",
        'Loan Tape (S&amp;P)'!T745&lt;&gt;"Yes",
        DATEDIF('Loan Tape (S&amp;P)'!K745, TODAY(), "M")&lt;18),
    1.10,
    1.00)</f>
        <v/>
      </c>
      <c r="O745">
        <f>IF('Loan Tape (S&amp;P)'!T745="Yes",
    1.35,
    1.00)</f>
        <v/>
      </c>
      <c r="P745">
        <f>IF('Loan Tape (S&amp;P)'!S745="Yes",
    1.15,
    1.00)</f>
        <v/>
      </c>
      <c r="Q745">
        <f>IF('Loan Tape (S&amp;P)'!V745="Yes",
    1.20,
    1.00)</f>
        <v/>
      </c>
      <c r="T745">
        <f>LET(
    payment_method,'Loan Tape (S&amp;P)'!P745,
    occupancy,'Loan Tape (S&amp;P)'!N745,
    maturity_date,'Loan Tape (S&amp;P)'!L745,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6">
      <c r="J746">
        <f>LET(
    lien,'Loan Tape (S&amp;P)'!Q746,
    IF(lien="First",1.00,
        IF(lien="Second",1.50,
            1.70)))</f>
        <v/>
      </c>
      <c r="K746">
        <f>LET(
    purpose,'Loan Tape (S&amp;P)'!R746,
    IF(purpose="Purchase",1.00,
        IF(purpose="Remortgage",1.00,
            1.20)))</f>
        <v/>
      </c>
      <c r="L746">
        <f>LET(
    arrears_months,'Loan Tape (S&amp;P)'!AN746,
    IF(arrears_months=0,1.00,
    IF(arrears_months=1,3.00,
    IF(arrears_months=2,5.00,
    IF(arrears_months=3,8.00,
    IF(arrears_months=4,10.00,
    IF(arrears_months=5,12.00,15.00)))))))</f>
        <v/>
      </c>
      <c r="M746">
        <f>LET(
    seasoning_years,DATEDIF('Loan Tape (S&amp;P)'!K746,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6">
        <f>IF(AND('Loan Tape (S&amp;P)'!U746="Yes",
        'Loan Tape (S&amp;P)'!T746&lt;&gt;"Yes",
        DATEDIF('Loan Tape (S&amp;P)'!K746, TODAY(), "M")&lt;18),
    1.10,
    1.00)</f>
        <v/>
      </c>
      <c r="O746">
        <f>IF('Loan Tape (S&amp;P)'!T746="Yes",
    1.35,
    1.00)</f>
        <v/>
      </c>
      <c r="P746">
        <f>IF('Loan Tape (S&amp;P)'!S746="Yes",
    1.15,
    1.00)</f>
        <v/>
      </c>
      <c r="Q746">
        <f>IF('Loan Tape (S&amp;P)'!V746="Yes",
    1.20,
    1.00)</f>
        <v/>
      </c>
      <c r="T746">
        <f>LET(
    payment_method,'Loan Tape (S&amp;P)'!P746,
    occupancy,'Loan Tape (S&amp;P)'!N746,
    maturity_date,'Loan Tape (S&amp;P)'!L746,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7">
      <c r="J747">
        <f>LET(
    lien,'Loan Tape (S&amp;P)'!Q747,
    IF(lien="First",1.00,
        IF(lien="Second",1.50,
            1.70)))</f>
        <v/>
      </c>
      <c r="K747">
        <f>LET(
    purpose,'Loan Tape (S&amp;P)'!R747,
    IF(purpose="Purchase",1.00,
        IF(purpose="Remortgage",1.00,
            1.20)))</f>
        <v/>
      </c>
      <c r="L747">
        <f>LET(
    arrears_months,'Loan Tape (S&amp;P)'!AN747,
    IF(arrears_months=0,1.00,
    IF(arrears_months=1,3.00,
    IF(arrears_months=2,5.00,
    IF(arrears_months=3,8.00,
    IF(arrears_months=4,10.00,
    IF(arrears_months=5,12.00,15.00)))))))</f>
        <v/>
      </c>
      <c r="M747">
        <f>LET(
    seasoning_years,DATEDIF('Loan Tape (S&amp;P)'!K747,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7">
        <f>IF(AND('Loan Tape (S&amp;P)'!U747="Yes",
        'Loan Tape (S&amp;P)'!T747&lt;&gt;"Yes",
        DATEDIF('Loan Tape (S&amp;P)'!K747, TODAY(), "M")&lt;18),
    1.10,
    1.00)</f>
        <v/>
      </c>
      <c r="O747">
        <f>IF('Loan Tape (S&amp;P)'!T747="Yes",
    1.35,
    1.00)</f>
        <v/>
      </c>
      <c r="P747">
        <f>IF('Loan Tape (S&amp;P)'!S747="Yes",
    1.15,
    1.00)</f>
        <v/>
      </c>
      <c r="Q747">
        <f>IF('Loan Tape (S&amp;P)'!V747="Yes",
    1.20,
    1.00)</f>
        <v/>
      </c>
      <c r="T747">
        <f>LET(
    payment_method,'Loan Tape (S&amp;P)'!P747,
    occupancy,'Loan Tape (S&amp;P)'!N747,
    maturity_date,'Loan Tape (S&amp;P)'!L747,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8">
      <c r="J748">
        <f>LET(
    lien,'Loan Tape (S&amp;P)'!Q748,
    IF(lien="First",1.00,
        IF(lien="Second",1.50,
            1.70)))</f>
        <v/>
      </c>
      <c r="K748">
        <f>LET(
    purpose,'Loan Tape (S&amp;P)'!R748,
    IF(purpose="Purchase",1.00,
        IF(purpose="Remortgage",1.00,
            1.20)))</f>
        <v/>
      </c>
      <c r="L748">
        <f>LET(
    arrears_months,'Loan Tape (S&amp;P)'!AN748,
    IF(arrears_months=0,1.00,
    IF(arrears_months=1,3.00,
    IF(arrears_months=2,5.00,
    IF(arrears_months=3,8.00,
    IF(arrears_months=4,10.00,
    IF(arrears_months=5,12.00,15.00)))))))</f>
        <v/>
      </c>
      <c r="M748">
        <f>LET(
    seasoning_years,DATEDIF('Loan Tape (S&amp;P)'!K748,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8">
        <f>IF(AND('Loan Tape (S&amp;P)'!U748="Yes",
        'Loan Tape (S&amp;P)'!T748&lt;&gt;"Yes",
        DATEDIF('Loan Tape (S&amp;P)'!K748, TODAY(), "M")&lt;18),
    1.10,
    1.00)</f>
        <v/>
      </c>
      <c r="O748">
        <f>IF('Loan Tape (S&amp;P)'!T748="Yes",
    1.35,
    1.00)</f>
        <v/>
      </c>
      <c r="P748">
        <f>IF('Loan Tape (S&amp;P)'!S748="Yes",
    1.15,
    1.00)</f>
        <v/>
      </c>
      <c r="Q748">
        <f>IF('Loan Tape (S&amp;P)'!V748="Yes",
    1.20,
    1.00)</f>
        <v/>
      </c>
      <c r="T748">
        <f>LET(
    payment_method,'Loan Tape (S&amp;P)'!P748,
    occupancy,'Loan Tape (S&amp;P)'!N748,
    maturity_date,'Loan Tape (S&amp;P)'!L748,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9">
      <c r="J749">
        <f>LET(
    lien,'Loan Tape (S&amp;P)'!Q749,
    IF(lien="First",1.00,
        IF(lien="Second",1.50,
            1.70)))</f>
        <v/>
      </c>
      <c r="K749">
        <f>LET(
    purpose,'Loan Tape (S&amp;P)'!R749,
    IF(purpose="Purchase",1.00,
        IF(purpose="Remortgage",1.00,
            1.20)))</f>
        <v/>
      </c>
      <c r="L749">
        <f>LET(
    arrears_months,'Loan Tape (S&amp;P)'!AN749,
    IF(arrears_months=0,1.00,
    IF(arrears_months=1,3.00,
    IF(arrears_months=2,5.00,
    IF(arrears_months=3,8.00,
    IF(arrears_months=4,10.00,
    IF(arrears_months=5,12.00,15.00)))))))</f>
        <v/>
      </c>
      <c r="M749">
        <f>LET(
    seasoning_years,DATEDIF('Loan Tape (S&amp;P)'!K749,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9">
        <f>IF(AND('Loan Tape (S&amp;P)'!U749="Yes",
        'Loan Tape (S&amp;P)'!T749&lt;&gt;"Yes",
        DATEDIF('Loan Tape (S&amp;P)'!K749, TODAY(), "M")&lt;18),
    1.10,
    1.00)</f>
        <v/>
      </c>
      <c r="O749">
        <f>IF('Loan Tape (S&amp;P)'!T749="Yes",
    1.35,
    1.00)</f>
        <v/>
      </c>
      <c r="P749">
        <f>IF('Loan Tape (S&amp;P)'!S749="Yes",
    1.15,
    1.00)</f>
        <v/>
      </c>
      <c r="Q749">
        <f>IF('Loan Tape (S&amp;P)'!V749="Yes",
    1.20,
    1.00)</f>
        <v/>
      </c>
      <c r="T749">
        <f>LET(
    payment_method,'Loan Tape (S&amp;P)'!P749,
    occupancy,'Loan Tape (S&amp;P)'!N749,
    maturity_date,'Loan Tape (S&amp;P)'!L749,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0">
      <c r="J750">
        <f>LET(
    lien,'Loan Tape (S&amp;P)'!Q750,
    IF(lien="First",1.00,
        IF(lien="Second",1.50,
            1.70)))</f>
        <v/>
      </c>
      <c r="K750">
        <f>LET(
    purpose,'Loan Tape (S&amp;P)'!R750,
    IF(purpose="Purchase",1.00,
        IF(purpose="Remortgage",1.00,
            1.20)))</f>
        <v/>
      </c>
      <c r="L750">
        <f>LET(
    arrears_months,'Loan Tape (S&amp;P)'!AN750,
    IF(arrears_months=0,1.00,
    IF(arrears_months=1,3.00,
    IF(arrears_months=2,5.00,
    IF(arrears_months=3,8.00,
    IF(arrears_months=4,10.00,
    IF(arrears_months=5,12.00,15.00)))))))</f>
        <v/>
      </c>
      <c r="M750">
        <f>LET(
    seasoning_years,DATEDIF('Loan Tape (S&amp;P)'!K750,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0">
        <f>IF(AND('Loan Tape (S&amp;P)'!U750="Yes",
        'Loan Tape (S&amp;P)'!T750&lt;&gt;"Yes",
        DATEDIF('Loan Tape (S&amp;P)'!K750, TODAY(), "M")&lt;18),
    1.10,
    1.00)</f>
        <v/>
      </c>
      <c r="O750">
        <f>IF('Loan Tape (S&amp;P)'!T750="Yes",
    1.35,
    1.00)</f>
        <v/>
      </c>
      <c r="P750">
        <f>IF('Loan Tape (S&amp;P)'!S750="Yes",
    1.15,
    1.00)</f>
        <v/>
      </c>
      <c r="Q750">
        <f>IF('Loan Tape (S&amp;P)'!V750="Yes",
    1.20,
    1.00)</f>
        <v/>
      </c>
      <c r="T750">
        <f>LET(
    payment_method,'Loan Tape (S&amp;P)'!P750,
    occupancy,'Loan Tape (S&amp;P)'!N750,
    maturity_date,'Loan Tape (S&amp;P)'!L750,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1">
      <c r="J751">
        <f>LET(
    lien,'Loan Tape (S&amp;P)'!Q751,
    IF(lien="First",1.00,
        IF(lien="Second",1.50,
            1.70)))</f>
        <v/>
      </c>
      <c r="K751">
        <f>LET(
    purpose,'Loan Tape (S&amp;P)'!R751,
    IF(purpose="Purchase",1.00,
        IF(purpose="Remortgage",1.00,
            1.20)))</f>
        <v/>
      </c>
      <c r="L751">
        <f>LET(
    arrears_months,'Loan Tape (S&amp;P)'!AN751,
    IF(arrears_months=0,1.00,
    IF(arrears_months=1,3.00,
    IF(arrears_months=2,5.00,
    IF(arrears_months=3,8.00,
    IF(arrears_months=4,10.00,
    IF(arrears_months=5,12.00,15.00)))))))</f>
        <v/>
      </c>
      <c r="M751">
        <f>LET(
    seasoning_years,DATEDIF('Loan Tape (S&amp;P)'!K751,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1">
        <f>IF(AND('Loan Tape (S&amp;P)'!U751="Yes",
        'Loan Tape (S&amp;P)'!T751&lt;&gt;"Yes",
        DATEDIF('Loan Tape (S&amp;P)'!K751, TODAY(), "M")&lt;18),
    1.10,
    1.00)</f>
        <v/>
      </c>
      <c r="O751">
        <f>IF('Loan Tape (S&amp;P)'!T751="Yes",
    1.35,
    1.00)</f>
        <v/>
      </c>
      <c r="P751">
        <f>IF('Loan Tape (S&amp;P)'!S751="Yes",
    1.15,
    1.00)</f>
        <v/>
      </c>
      <c r="Q751">
        <f>IF('Loan Tape (S&amp;P)'!V751="Yes",
    1.20,
    1.00)</f>
        <v/>
      </c>
      <c r="T751">
        <f>LET(
    payment_method,'Loan Tape (S&amp;P)'!P751,
    occupancy,'Loan Tape (S&amp;P)'!N751,
    maturity_date,'Loan Tape (S&amp;P)'!L751,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2">
      <c r="J752">
        <f>LET(
    lien,'Loan Tape (S&amp;P)'!Q752,
    IF(lien="First",1.00,
        IF(lien="Second",1.50,
            1.70)))</f>
        <v/>
      </c>
      <c r="K752">
        <f>LET(
    purpose,'Loan Tape (S&amp;P)'!R752,
    IF(purpose="Purchase",1.00,
        IF(purpose="Remortgage",1.00,
            1.20)))</f>
        <v/>
      </c>
      <c r="L752">
        <f>LET(
    arrears_months,'Loan Tape (S&amp;P)'!AN752,
    IF(arrears_months=0,1.00,
    IF(arrears_months=1,3.00,
    IF(arrears_months=2,5.00,
    IF(arrears_months=3,8.00,
    IF(arrears_months=4,10.00,
    IF(arrears_months=5,12.00,15.00)))))))</f>
        <v/>
      </c>
      <c r="M752">
        <f>LET(
    seasoning_years,DATEDIF('Loan Tape (S&amp;P)'!K752,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2">
        <f>IF(AND('Loan Tape (S&amp;P)'!U752="Yes",
        'Loan Tape (S&amp;P)'!T752&lt;&gt;"Yes",
        DATEDIF('Loan Tape (S&amp;P)'!K752, TODAY(), "M")&lt;18),
    1.10,
    1.00)</f>
        <v/>
      </c>
      <c r="O752">
        <f>IF('Loan Tape (S&amp;P)'!T752="Yes",
    1.35,
    1.00)</f>
        <v/>
      </c>
      <c r="P752">
        <f>IF('Loan Tape (S&amp;P)'!S752="Yes",
    1.15,
    1.00)</f>
        <v/>
      </c>
      <c r="Q752">
        <f>IF('Loan Tape (S&amp;P)'!V752="Yes",
    1.20,
    1.00)</f>
        <v/>
      </c>
      <c r="T752">
        <f>LET(
    payment_method,'Loan Tape (S&amp;P)'!P752,
    occupancy,'Loan Tape (S&amp;P)'!N752,
    maturity_date,'Loan Tape (S&amp;P)'!L752,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3">
      <c r="J753">
        <f>LET(
    lien,'Loan Tape (S&amp;P)'!Q753,
    IF(lien="First",1.00,
        IF(lien="Second",1.50,
            1.70)))</f>
        <v/>
      </c>
      <c r="K753">
        <f>LET(
    purpose,'Loan Tape (S&amp;P)'!R753,
    IF(purpose="Purchase",1.00,
        IF(purpose="Remortgage",1.00,
            1.20)))</f>
        <v/>
      </c>
      <c r="L753">
        <f>LET(
    arrears_months,'Loan Tape (S&amp;P)'!AN753,
    IF(arrears_months=0,1.00,
    IF(arrears_months=1,3.00,
    IF(arrears_months=2,5.00,
    IF(arrears_months=3,8.00,
    IF(arrears_months=4,10.00,
    IF(arrears_months=5,12.00,15.00)))))))</f>
        <v/>
      </c>
      <c r="M753">
        <f>LET(
    seasoning_years,DATEDIF('Loan Tape (S&amp;P)'!K753,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3">
        <f>IF(AND('Loan Tape (S&amp;P)'!U753="Yes",
        'Loan Tape (S&amp;P)'!T753&lt;&gt;"Yes",
        DATEDIF('Loan Tape (S&amp;P)'!K753, TODAY(), "M")&lt;18),
    1.10,
    1.00)</f>
        <v/>
      </c>
      <c r="O753">
        <f>IF('Loan Tape (S&amp;P)'!T753="Yes",
    1.35,
    1.00)</f>
        <v/>
      </c>
      <c r="P753">
        <f>IF('Loan Tape (S&amp;P)'!S753="Yes",
    1.15,
    1.00)</f>
        <v/>
      </c>
      <c r="Q753">
        <f>IF('Loan Tape (S&amp;P)'!V753="Yes",
    1.20,
    1.00)</f>
        <v/>
      </c>
      <c r="T753">
        <f>LET(
    payment_method,'Loan Tape (S&amp;P)'!P753,
    occupancy,'Loan Tape (S&amp;P)'!N753,
    maturity_date,'Loan Tape (S&amp;P)'!L753,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4">
      <c r="J754">
        <f>LET(
    lien,'Loan Tape (S&amp;P)'!Q754,
    IF(lien="First",1.00,
        IF(lien="Second",1.50,
            1.70)))</f>
        <v/>
      </c>
      <c r="K754">
        <f>LET(
    purpose,'Loan Tape (S&amp;P)'!R754,
    IF(purpose="Purchase",1.00,
        IF(purpose="Remortgage",1.00,
            1.20)))</f>
        <v/>
      </c>
      <c r="L754">
        <f>LET(
    arrears_months,'Loan Tape (S&amp;P)'!AN754,
    IF(arrears_months=0,1.00,
    IF(arrears_months=1,3.00,
    IF(arrears_months=2,5.00,
    IF(arrears_months=3,8.00,
    IF(arrears_months=4,10.00,
    IF(arrears_months=5,12.00,15.00)))))))</f>
        <v/>
      </c>
      <c r="M754">
        <f>LET(
    seasoning_years,DATEDIF('Loan Tape (S&amp;P)'!K754,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4">
        <f>IF(AND('Loan Tape (S&amp;P)'!U754="Yes",
        'Loan Tape (S&amp;P)'!T754&lt;&gt;"Yes",
        DATEDIF('Loan Tape (S&amp;P)'!K754, TODAY(), "M")&lt;18),
    1.10,
    1.00)</f>
        <v/>
      </c>
      <c r="O754">
        <f>IF('Loan Tape (S&amp;P)'!T754="Yes",
    1.35,
    1.00)</f>
        <v/>
      </c>
      <c r="P754">
        <f>IF('Loan Tape (S&amp;P)'!S754="Yes",
    1.15,
    1.00)</f>
        <v/>
      </c>
      <c r="Q754">
        <f>IF('Loan Tape (S&amp;P)'!V754="Yes",
    1.20,
    1.00)</f>
        <v/>
      </c>
      <c r="T754">
        <f>LET(
    payment_method,'Loan Tape (S&amp;P)'!P754,
    occupancy,'Loan Tape (S&amp;P)'!N754,
    maturity_date,'Loan Tape (S&amp;P)'!L754,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5">
      <c r="J755">
        <f>LET(
    lien,'Loan Tape (S&amp;P)'!Q755,
    IF(lien="First",1.00,
        IF(lien="Second",1.50,
            1.70)))</f>
        <v/>
      </c>
      <c r="K755">
        <f>LET(
    purpose,'Loan Tape (S&amp;P)'!R755,
    IF(purpose="Purchase",1.00,
        IF(purpose="Remortgage",1.00,
            1.20)))</f>
        <v/>
      </c>
      <c r="L755">
        <f>LET(
    arrears_months,'Loan Tape (S&amp;P)'!AN755,
    IF(arrears_months=0,1.00,
    IF(arrears_months=1,3.00,
    IF(arrears_months=2,5.00,
    IF(arrears_months=3,8.00,
    IF(arrears_months=4,10.00,
    IF(arrears_months=5,12.00,15.00)))))))</f>
        <v/>
      </c>
      <c r="M755">
        <f>LET(
    seasoning_years,DATEDIF('Loan Tape (S&amp;P)'!K755,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5">
        <f>IF(AND('Loan Tape (S&amp;P)'!U755="Yes",
        'Loan Tape (S&amp;P)'!T755&lt;&gt;"Yes",
        DATEDIF('Loan Tape (S&amp;P)'!K755, TODAY(), "M")&lt;18),
    1.10,
    1.00)</f>
        <v/>
      </c>
      <c r="O755">
        <f>IF('Loan Tape (S&amp;P)'!T755="Yes",
    1.35,
    1.00)</f>
        <v/>
      </c>
      <c r="P755">
        <f>IF('Loan Tape (S&amp;P)'!S755="Yes",
    1.15,
    1.00)</f>
        <v/>
      </c>
      <c r="Q755">
        <f>IF('Loan Tape (S&amp;P)'!V755="Yes",
    1.20,
    1.00)</f>
        <v/>
      </c>
      <c r="T755">
        <f>LET(
    payment_method,'Loan Tape (S&amp;P)'!P755,
    occupancy,'Loan Tape (S&amp;P)'!N755,
    maturity_date,'Loan Tape (S&amp;P)'!L755,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6">
      <c r="J756">
        <f>LET(
    lien,'Loan Tape (S&amp;P)'!Q756,
    IF(lien="First",1.00,
        IF(lien="Second",1.50,
            1.70)))</f>
        <v/>
      </c>
      <c r="K756">
        <f>LET(
    purpose,'Loan Tape (S&amp;P)'!R756,
    IF(purpose="Purchase",1.00,
        IF(purpose="Remortgage",1.00,
            1.20)))</f>
        <v/>
      </c>
      <c r="L756">
        <f>LET(
    arrears_months,'Loan Tape (S&amp;P)'!AN756,
    IF(arrears_months=0,1.00,
    IF(arrears_months=1,3.00,
    IF(arrears_months=2,5.00,
    IF(arrears_months=3,8.00,
    IF(arrears_months=4,10.00,
    IF(arrears_months=5,12.00,15.00)))))))</f>
        <v/>
      </c>
      <c r="M756">
        <f>LET(
    seasoning_years,DATEDIF('Loan Tape (S&amp;P)'!K756,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6">
        <f>IF(AND('Loan Tape (S&amp;P)'!U756="Yes",
        'Loan Tape (S&amp;P)'!T756&lt;&gt;"Yes",
        DATEDIF('Loan Tape (S&amp;P)'!K756, TODAY(), "M")&lt;18),
    1.10,
    1.00)</f>
        <v/>
      </c>
      <c r="O756">
        <f>IF('Loan Tape (S&amp;P)'!T756="Yes",
    1.35,
    1.00)</f>
        <v/>
      </c>
      <c r="P756">
        <f>IF('Loan Tape (S&amp;P)'!S756="Yes",
    1.15,
    1.00)</f>
        <v/>
      </c>
      <c r="Q756">
        <f>IF('Loan Tape (S&amp;P)'!V756="Yes",
    1.20,
    1.00)</f>
        <v/>
      </c>
      <c r="T756">
        <f>LET(
    payment_method,'Loan Tape (S&amp;P)'!P756,
    occupancy,'Loan Tape (S&amp;P)'!N756,
    maturity_date,'Loan Tape (S&amp;P)'!L756,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7">
      <c r="J757">
        <f>LET(
    lien,'Loan Tape (S&amp;P)'!Q757,
    IF(lien="First",1.00,
        IF(lien="Second",1.50,
            1.70)))</f>
        <v/>
      </c>
      <c r="K757">
        <f>LET(
    purpose,'Loan Tape (S&amp;P)'!R757,
    IF(purpose="Purchase",1.00,
        IF(purpose="Remortgage",1.00,
            1.20)))</f>
        <v/>
      </c>
      <c r="L757">
        <f>LET(
    arrears_months,'Loan Tape (S&amp;P)'!AN757,
    IF(arrears_months=0,1.00,
    IF(arrears_months=1,3.00,
    IF(arrears_months=2,5.00,
    IF(arrears_months=3,8.00,
    IF(arrears_months=4,10.00,
    IF(arrears_months=5,12.00,15.00)))))))</f>
        <v/>
      </c>
      <c r="M757">
        <f>LET(
    seasoning_years,DATEDIF('Loan Tape (S&amp;P)'!K757,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7">
        <f>IF(AND('Loan Tape (S&amp;P)'!U757="Yes",
        'Loan Tape (S&amp;P)'!T757&lt;&gt;"Yes",
        DATEDIF('Loan Tape (S&amp;P)'!K757, TODAY(), "M")&lt;18),
    1.10,
    1.00)</f>
        <v/>
      </c>
      <c r="O757">
        <f>IF('Loan Tape (S&amp;P)'!T757="Yes",
    1.35,
    1.00)</f>
        <v/>
      </c>
      <c r="P757">
        <f>IF('Loan Tape (S&amp;P)'!S757="Yes",
    1.15,
    1.00)</f>
        <v/>
      </c>
      <c r="Q757">
        <f>IF('Loan Tape (S&amp;P)'!V757="Yes",
    1.20,
    1.00)</f>
        <v/>
      </c>
      <c r="T757">
        <f>LET(
    payment_method,'Loan Tape (S&amp;P)'!P757,
    occupancy,'Loan Tape (S&amp;P)'!N757,
    maturity_date,'Loan Tape (S&amp;P)'!L757,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8">
      <c r="J758">
        <f>LET(
    lien,'Loan Tape (S&amp;P)'!Q758,
    IF(lien="First",1.00,
        IF(lien="Second",1.50,
            1.70)))</f>
        <v/>
      </c>
      <c r="K758">
        <f>LET(
    purpose,'Loan Tape (S&amp;P)'!R758,
    IF(purpose="Purchase",1.00,
        IF(purpose="Remortgage",1.00,
            1.20)))</f>
        <v/>
      </c>
      <c r="L758">
        <f>LET(
    arrears_months,'Loan Tape (S&amp;P)'!AN758,
    IF(arrears_months=0,1.00,
    IF(arrears_months=1,3.00,
    IF(arrears_months=2,5.00,
    IF(arrears_months=3,8.00,
    IF(arrears_months=4,10.00,
    IF(arrears_months=5,12.00,15.00)))))))</f>
        <v/>
      </c>
      <c r="M758">
        <f>LET(
    seasoning_years,DATEDIF('Loan Tape (S&amp;P)'!K758,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8">
        <f>IF(AND('Loan Tape (S&amp;P)'!U758="Yes",
        'Loan Tape (S&amp;P)'!T758&lt;&gt;"Yes",
        DATEDIF('Loan Tape (S&amp;P)'!K758, TODAY(), "M")&lt;18),
    1.10,
    1.00)</f>
        <v/>
      </c>
      <c r="O758">
        <f>IF('Loan Tape (S&amp;P)'!T758="Yes",
    1.35,
    1.00)</f>
        <v/>
      </c>
      <c r="P758">
        <f>IF('Loan Tape (S&amp;P)'!S758="Yes",
    1.15,
    1.00)</f>
        <v/>
      </c>
      <c r="Q758">
        <f>IF('Loan Tape (S&amp;P)'!V758="Yes",
    1.20,
    1.00)</f>
        <v/>
      </c>
      <c r="T758">
        <f>LET(
    payment_method,'Loan Tape (S&amp;P)'!P758,
    occupancy,'Loan Tape (S&amp;P)'!N758,
    maturity_date,'Loan Tape (S&amp;P)'!L758,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9">
      <c r="J759">
        <f>LET(
    lien,'Loan Tape (S&amp;P)'!Q759,
    IF(lien="First",1.00,
        IF(lien="Second",1.50,
            1.70)))</f>
        <v/>
      </c>
      <c r="K759">
        <f>LET(
    purpose,'Loan Tape (S&amp;P)'!R759,
    IF(purpose="Purchase",1.00,
        IF(purpose="Remortgage",1.00,
            1.20)))</f>
        <v/>
      </c>
      <c r="L759">
        <f>LET(
    arrears_months,'Loan Tape (S&amp;P)'!AN759,
    IF(arrears_months=0,1.00,
    IF(arrears_months=1,3.00,
    IF(arrears_months=2,5.00,
    IF(arrears_months=3,8.00,
    IF(arrears_months=4,10.00,
    IF(arrears_months=5,12.00,15.00)))))))</f>
        <v/>
      </c>
      <c r="M759">
        <f>LET(
    seasoning_years,DATEDIF('Loan Tape (S&amp;P)'!K759,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9">
        <f>IF(AND('Loan Tape (S&amp;P)'!U759="Yes",
        'Loan Tape (S&amp;P)'!T759&lt;&gt;"Yes",
        DATEDIF('Loan Tape (S&amp;P)'!K759, TODAY(), "M")&lt;18),
    1.10,
    1.00)</f>
        <v/>
      </c>
      <c r="O759">
        <f>IF('Loan Tape (S&amp;P)'!T759="Yes",
    1.35,
    1.00)</f>
        <v/>
      </c>
      <c r="P759">
        <f>IF('Loan Tape (S&amp;P)'!S759="Yes",
    1.15,
    1.00)</f>
        <v/>
      </c>
      <c r="Q759">
        <f>IF('Loan Tape (S&amp;P)'!V759="Yes",
    1.20,
    1.00)</f>
        <v/>
      </c>
      <c r="T759">
        <f>LET(
    payment_method,'Loan Tape (S&amp;P)'!P759,
    occupancy,'Loan Tape (S&amp;P)'!N759,
    maturity_date,'Loan Tape (S&amp;P)'!L759,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0">
      <c r="J760">
        <f>LET(
    lien,'Loan Tape (S&amp;P)'!Q760,
    IF(lien="First",1.00,
        IF(lien="Second",1.50,
            1.70)))</f>
        <v/>
      </c>
      <c r="K760">
        <f>LET(
    purpose,'Loan Tape (S&amp;P)'!R760,
    IF(purpose="Purchase",1.00,
        IF(purpose="Remortgage",1.00,
            1.20)))</f>
        <v/>
      </c>
      <c r="L760">
        <f>LET(
    arrears_months,'Loan Tape (S&amp;P)'!AN760,
    IF(arrears_months=0,1.00,
    IF(arrears_months=1,3.00,
    IF(arrears_months=2,5.00,
    IF(arrears_months=3,8.00,
    IF(arrears_months=4,10.00,
    IF(arrears_months=5,12.00,15.00)))))))</f>
        <v/>
      </c>
      <c r="M760">
        <f>LET(
    seasoning_years,DATEDIF('Loan Tape (S&amp;P)'!K760,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0">
        <f>IF(AND('Loan Tape (S&amp;P)'!U760="Yes",
        'Loan Tape (S&amp;P)'!T760&lt;&gt;"Yes",
        DATEDIF('Loan Tape (S&amp;P)'!K760, TODAY(), "M")&lt;18),
    1.10,
    1.00)</f>
        <v/>
      </c>
      <c r="O760">
        <f>IF('Loan Tape (S&amp;P)'!T760="Yes",
    1.35,
    1.00)</f>
        <v/>
      </c>
      <c r="P760">
        <f>IF('Loan Tape (S&amp;P)'!S760="Yes",
    1.15,
    1.00)</f>
        <v/>
      </c>
      <c r="Q760">
        <f>IF('Loan Tape (S&amp;P)'!V760="Yes",
    1.20,
    1.00)</f>
        <v/>
      </c>
      <c r="T760">
        <f>LET(
    payment_method,'Loan Tape (S&amp;P)'!P760,
    occupancy,'Loan Tape (S&amp;P)'!N760,
    maturity_date,'Loan Tape (S&amp;P)'!L760,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1">
      <c r="J761">
        <f>LET(
    lien,'Loan Tape (S&amp;P)'!Q761,
    IF(lien="First",1.00,
        IF(lien="Second",1.50,
            1.70)))</f>
        <v/>
      </c>
      <c r="K761">
        <f>LET(
    purpose,'Loan Tape (S&amp;P)'!R761,
    IF(purpose="Purchase",1.00,
        IF(purpose="Remortgage",1.00,
            1.20)))</f>
        <v/>
      </c>
      <c r="L761">
        <f>LET(
    arrears_months,'Loan Tape (S&amp;P)'!AN761,
    IF(arrears_months=0,1.00,
    IF(arrears_months=1,3.00,
    IF(arrears_months=2,5.00,
    IF(arrears_months=3,8.00,
    IF(arrears_months=4,10.00,
    IF(arrears_months=5,12.00,15.00)))))))</f>
        <v/>
      </c>
      <c r="M761">
        <f>LET(
    seasoning_years,DATEDIF('Loan Tape (S&amp;P)'!K761,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1">
        <f>IF(AND('Loan Tape (S&amp;P)'!U761="Yes",
        'Loan Tape (S&amp;P)'!T761&lt;&gt;"Yes",
        DATEDIF('Loan Tape (S&amp;P)'!K761, TODAY(), "M")&lt;18),
    1.10,
    1.00)</f>
        <v/>
      </c>
      <c r="O761">
        <f>IF('Loan Tape (S&amp;P)'!T761="Yes",
    1.35,
    1.00)</f>
        <v/>
      </c>
      <c r="P761">
        <f>IF('Loan Tape (S&amp;P)'!S761="Yes",
    1.15,
    1.00)</f>
        <v/>
      </c>
      <c r="Q761">
        <f>IF('Loan Tape (S&amp;P)'!V761="Yes",
    1.20,
    1.00)</f>
        <v/>
      </c>
      <c r="T761">
        <f>LET(
    payment_method,'Loan Tape (S&amp;P)'!P761,
    occupancy,'Loan Tape (S&amp;P)'!N761,
    maturity_date,'Loan Tape (S&amp;P)'!L761,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2">
      <c r="J762">
        <f>LET(
    lien,'Loan Tape (S&amp;P)'!Q762,
    IF(lien="First",1.00,
        IF(lien="Second",1.50,
            1.70)))</f>
        <v/>
      </c>
      <c r="K762">
        <f>LET(
    purpose,'Loan Tape (S&amp;P)'!R762,
    IF(purpose="Purchase",1.00,
        IF(purpose="Remortgage",1.00,
            1.20)))</f>
        <v/>
      </c>
      <c r="L762">
        <f>LET(
    arrears_months,'Loan Tape (S&amp;P)'!AN762,
    IF(arrears_months=0,1.00,
    IF(arrears_months=1,3.00,
    IF(arrears_months=2,5.00,
    IF(arrears_months=3,8.00,
    IF(arrears_months=4,10.00,
    IF(arrears_months=5,12.00,15.00)))))))</f>
        <v/>
      </c>
      <c r="M762">
        <f>LET(
    seasoning_years,DATEDIF('Loan Tape (S&amp;P)'!K762,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2">
        <f>IF(AND('Loan Tape (S&amp;P)'!U762="Yes",
        'Loan Tape (S&amp;P)'!T762&lt;&gt;"Yes",
        DATEDIF('Loan Tape (S&amp;P)'!K762, TODAY(), "M")&lt;18),
    1.10,
    1.00)</f>
        <v/>
      </c>
      <c r="O762">
        <f>IF('Loan Tape (S&amp;P)'!T762="Yes",
    1.35,
    1.00)</f>
        <v/>
      </c>
      <c r="P762">
        <f>IF('Loan Tape (S&amp;P)'!S762="Yes",
    1.15,
    1.00)</f>
        <v/>
      </c>
      <c r="Q762">
        <f>IF('Loan Tape (S&amp;P)'!V762="Yes",
    1.20,
    1.00)</f>
        <v/>
      </c>
      <c r="T762">
        <f>LET(
    payment_method,'Loan Tape (S&amp;P)'!P762,
    occupancy,'Loan Tape (S&amp;P)'!N762,
    maturity_date,'Loan Tape (S&amp;P)'!L762,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3">
      <c r="J763">
        <f>LET(
    lien,'Loan Tape (S&amp;P)'!Q763,
    IF(lien="First",1.00,
        IF(lien="Second",1.50,
            1.70)))</f>
        <v/>
      </c>
      <c r="K763">
        <f>LET(
    purpose,'Loan Tape (S&amp;P)'!R763,
    IF(purpose="Purchase",1.00,
        IF(purpose="Remortgage",1.00,
            1.20)))</f>
        <v/>
      </c>
      <c r="L763">
        <f>LET(
    arrears_months,'Loan Tape (S&amp;P)'!AN763,
    IF(arrears_months=0,1.00,
    IF(arrears_months=1,3.00,
    IF(arrears_months=2,5.00,
    IF(arrears_months=3,8.00,
    IF(arrears_months=4,10.00,
    IF(arrears_months=5,12.00,15.00)))))))</f>
        <v/>
      </c>
      <c r="M763">
        <f>LET(
    seasoning_years,DATEDIF('Loan Tape (S&amp;P)'!K763,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3">
        <f>IF(AND('Loan Tape (S&amp;P)'!U763="Yes",
        'Loan Tape (S&amp;P)'!T763&lt;&gt;"Yes",
        DATEDIF('Loan Tape (S&amp;P)'!K763, TODAY(), "M")&lt;18),
    1.10,
    1.00)</f>
        <v/>
      </c>
      <c r="O763">
        <f>IF('Loan Tape (S&amp;P)'!T763="Yes",
    1.35,
    1.00)</f>
        <v/>
      </c>
      <c r="P763">
        <f>IF('Loan Tape (S&amp;P)'!S763="Yes",
    1.15,
    1.00)</f>
        <v/>
      </c>
      <c r="Q763">
        <f>IF('Loan Tape (S&amp;P)'!V763="Yes",
    1.20,
    1.00)</f>
        <v/>
      </c>
      <c r="T763">
        <f>LET(
    payment_method,'Loan Tape (S&amp;P)'!P763,
    occupancy,'Loan Tape (S&amp;P)'!N763,
    maturity_date,'Loan Tape (S&amp;P)'!L763,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4">
      <c r="J764">
        <f>LET(
    lien,'Loan Tape (S&amp;P)'!Q764,
    IF(lien="First",1.00,
        IF(lien="Second",1.50,
            1.70)))</f>
        <v/>
      </c>
      <c r="K764">
        <f>LET(
    purpose,'Loan Tape (S&amp;P)'!R764,
    IF(purpose="Purchase",1.00,
        IF(purpose="Remortgage",1.00,
            1.20)))</f>
        <v/>
      </c>
      <c r="L764">
        <f>LET(
    arrears_months,'Loan Tape (S&amp;P)'!AN764,
    IF(arrears_months=0,1.00,
    IF(arrears_months=1,3.00,
    IF(arrears_months=2,5.00,
    IF(arrears_months=3,8.00,
    IF(arrears_months=4,10.00,
    IF(arrears_months=5,12.00,15.00)))))))</f>
        <v/>
      </c>
      <c r="M764">
        <f>LET(
    seasoning_years,DATEDIF('Loan Tape (S&amp;P)'!K764,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4">
        <f>IF(AND('Loan Tape (S&amp;P)'!U764="Yes",
        'Loan Tape (S&amp;P)'!T764&lt;&gt;"Yes",
        DATEDIF('Loan Tape (S&amp;P)'!K764, TODAY(), "M")&lt;18),
    1.10,
    1.00)</f>
        <v/>
      </c>
      <c r="O764">
        <f>IF('Loan Tape (S&amp;P)'!T764="Yes",
    1.35,
    1.00)</f>
        <v/>
      </c>
      <c r="P764">
        <f>IF('Loan Tape (S&amp;P)'!S764="Yes",
    1.15,
    1.00)</f>
        <v/>
      </c>
      <c r="Q764">
        <f>IF('Loan Tape (S&amp;P)'!V764="Yes",
    1.20,
    1.00)</f>
        <v/>
      </c>
      <c r="T764">
        <f>LET(
    payment_method,'Loan Tape (S&amp;P)'!P764,
    occupancy,'Loan Tape (S&amp;P)'!N764,
    maturity_date,'Loan Tape (S&amp;P)'!L764,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5">
      <c r="J765">
        <f>LET(
    lien,'Loan Tape (S&amp;P)'!Q765,
    IF(lien="First",1.00,
        IF(lien="Second",1.50,
            1.70)))</f>
        <v/>
      </c>
      <c r="K765">
        <f>LET(
    purpose,'Loan Tape (S&amp;P)'!R765,
    IF(purpose="Purchase",1.00,
        IF(purpose="Remortgage",1.00,
            1.20)))</f>
        <v/>
      </c>
      <c r="L765">
        <f>LET(
    arrears_months,'Loan Tape (S&amp;P)'!AN765,
    IF(arrears_months=0,1.00,
    IF(arrears_months=1,3.00,
    IF(arrears_months=2,5.00,
    IF(arrears_months=3,8.00,
    IF(arrears_months=4,10.00,
    IF(arrears_months=5,12.00,15.00)))))))</f>
        <v/>
      </c>
      <c r="M765">
        <f>LET(
    seasoning_years,DATEDIF('Loan Tape (S&amp;P)'!K765,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5">
        <f>IF(AND('Loan Tape (S&amp;P)'!U765="Yes",
        'Loan Tape (S&amp;P)'!T765&lt;&gt;"Yes",
        DATEDIF('Loan Tape (S&amp;P)'!K765, TODAY(), "M")&lt;18),
    1.10,
    1.00)</f>
        <v/>
      </c>
      <c r="O765">
        <f>IF('Loan Tape (S&amp;P)'!T765="Yes",
    1.35,
    1.00)</f>
        <v/>
      </c>
      <c r="P765">
        <f>IF('Loan Tape (S&amp;P)'!S765="Yes",
    1.15,
    1.00)</f>
        <v/>
      </c>
      <c r="Q765">
        <f>IF('Loan Tape (S&amp;P)'!V765="Yes",
    1.20,
    1.00)</f>
        <v/>
      </c>
      <c r="T765">
        <f>LET(
    payment_method,'Loan Tape (S&amp;P)'!P765,
    occupancy,'Loan Tape (S&amp;P)'!N765,
    maturity_date,'Loan Tape (S&amp;P)'!L765,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6">
      <c r="J766">
        <f>LET(
    lien,'Loan Tape (S&amp;P)'!Q766,
    IF(lien="First",1.00,
        IF(lien="Second",1.50,
            1.70)))</f>
        <v/>
      </c>
      <c r="K766">
        <f>LET(
    purpose,'Loan Tape (S&amp;P)'!R766,
    IF(purpose="Purchase",1.00,
        IF(purpose="Remortgage",1.00,
            1.20)))</f>
        <v/>
      </c>
      <c r="L766">
        <f>LET(
    arrears_months,'Loan Tape (S&amp;P)'!AN766,
    IF(arrears_months=0,1.00,
    IF(arrears_months=1,3.00,
    IF(arrears_months=2,5.00,
    IF(arrears_months=3,8.00,
    IF(arrears_months=4,10.00,
    IF(arrears_months=5,12.00,15.00)))))))</f>
        <v/>
      </c>
      <c r="M766">
        <f>LET(
    seasoning_years,DATEDIF('Loan Tape (S&amp;P)'!K766,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6">
        <f>IF(AND('Loan Tape (S&amp;P)'!U766="Yes",
        'Loan Tape (S&amp;P)'!T766&lt;&gt;"Yes",
        DATEDIF('Loan Tape (S&amp;P)'!K766, TODAY(), "M")&lt;18),
    1.10,
    1.00)</f>
        <v/>
      </c>
      <c r="O766">
        <f>IF('Loan Tape (S&amp;P)'!T766="Yes",
    1.35,
    1.00)</f>
        <v/>
      </c>
      <c r="P766">
        <f>IF('Loan Tape (S&amp;P)'!S766="Yes",
    1.15,
    1.00)</f>
        <v/>
      </c>
      <c r="Q766">
        <f>IF('Loan Tape (S&amp;P)'!V766="Yes",
    1.20,
    1.00)</f>
        <v/>
      </c>
      <c r="T766">
        <f>LET(
    payment_method,'Loan Tape (S&amp;P)'!P766,
    occupancy,'Loan Tape (S&amp;P)'!N766,
    maturity_date,'Loan Tape (S&amp;P)'!L766,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7">
      <c r="J767">
        <f>LET(
    lien,'Loan Tape (S&amp;P)'!Q767,
    IF(lien="First",1.00,
        IF(lien="Second",1.50,
            1.70)))</f>
        <v/>
      </c>
      <c r="K767">
        <f>LET(
    purpose,'Loan Tape (S&amp;P)'!R767,
    IF(purpose="Purchase",1.00,
        IF(purpose="Remortgage",1.00,
            1.20)))</f>
        <v/>
      </c>
      <c r="L767">
        <f>LET(
    arrears_months,'Loan Tape (S&amp;P)'!AN767,
    IF(arrears_months=0,1.00,
    IF(arrears_months=1,3.00,
    IF(arrears_months=2,5.00,
    IF(arrears_months=3,8.00,
    IF(arrears_months=4,10.00,
    IF(arrears_months=5,12.00,15.00)))))))</f>
        <v/>
      </c>
      <c r="M767">
        <f>LET(
    seasoning_years,DATEDIF('Loan Tape (S&amp;P)'!K767,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7">
        <f>IF(AND('Loan Tape (S&amp;P)'!U767="Yes",
        'Loan Tape (S&amp;P)'!T767&lt;&gt;"Yes",
        DATEDIF('Loan Tape (S&amp;P)'!K767, TODAY(), "M")&lt;18),
    1.10,
    1.00)</f>
        <v/>
      </c>
      <c r="O767">
        <f>IF('Loan Tape (S&amp;P)'!T767="Yes",
    1.35,
    1.00)</f>
        <v/>
      </c>
      <c r="P767">
        <f>IF('Loan Tape (S&amp;P)'!S767="Yes",
    1.15,
    1.00)</f>
        <v/>
      </c>
      <c r="Q767">
        <f>IF('Loan Tape (S&amp;P)'!V767="Yes",
    1.20,
    1.00)</f>
        <v/>
      </c>
      <c r="T767">
        <f>LET(
    payment_method,'Loan Tape (S&amp;P)'!P767,
    occupancy,'Loan Tape (S&amp;P)'!N767,
    maturity_date,'Loan Tape (S&amp;P)'!L767,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8">
      <c r="J768">
        <f>LET(
    lien,'Loan Tape (S&amp;P)'!Q768,
    IF(lien="First",1.00,
        IF(lien="Second",1.50,
            1.70)))</f>
        <v/>
      </c>
      <c r="K768">
        <f>LET(
    purpose,'Loan Tape (S&amp;P)'!R768,
    IF(purpose="Purchase",1.00,
        IF(purpose="Remortgage",1.00,
            1.20)))</f>
        <v/>
      </c>
      <c r="L768">
        <f>LET(
    arrears_months,'Loan Tape (S&amp;P)'!AN768,
    IF(arrears_months=0,1.00,
    IF(arrears_months=1,3.00,
    IF(arrears_months=2,5.00,
    IF(arrears_months=3,8.00,
    IF(arrears_months=4,10.00,
    IF(arrears_months=5,12.00,15.00)))))))</f>
        <v/>
      </c>
      <c r="M768">
        <f>LET(
    seasoning_years,DATEDIF('Loan Tape (S&amp;P)'!K768,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8">
        <f>IF(AND('Loan Tape (S&amp;P)'!U768="Yes",
        'Loan Tape (S&amp;P)'!T768&lt;&gt;"Yes",
        DATEDIF('Loan Tape (S&amp;P)'!K768, TODAY(), "M")&lt;18),
    1.10,
    1.00)</f>
        <v/>
      </c>
      <c r="O768">
        <f>IF('Loan Tape (S&amp;P)'!T768="Yes",
    1.35,
    1.00)</f>
        <v/>
      </c>
      <c r="P768">
        <f>IF('Loan Tape (S&amp;P)'!S768="Yes",
    1.15,
    1.00)</f>
        <v/>
      </c>
      <c r="Q768">
        <f>IF('Loan Tape (S&amp;P)'!V768="Yes",
    1.20,
    1.00)</f>
        <v/>
      </c>
      <c r="T768">
        <f>LET(
    payment_method,'Loan Tape (S&amp;P)'!P768,
    occupancy,'Loan Tape (S&amp;P)'!N768,
    maturity_date,'Loan Tape (S&amp;P)'!L768,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9">
      <c r="J769">
        <f>LET(
    lien,'Loan Tape (S&amp;P)'!Q769,
    IF(lien="First",1.00,
        IF(lien="Second",1.50,
            1.70)))</f>
        <v/>
      </c>
      <c r="K769">
        <f>LET(
    purpose,'Loan Tape (S&amp;P)'!R769,
    IF(purpose="Purchase",1.00,
        IF(purpose="Remortgage",1.00,
            1.20)))</f>
        <v/>
      </c>
      <c r="L769">
        <f>LET(
    arrears_months,'Loan Tape (S&amp;P)'!AN769,
    IF(arrears_months=0,1.00,
    IF(arrears_months=1,3.00,
    IF(arrears_months=2,5.00,
    IF(arrears_months=3,8.00,
    IF(arrears_months=4,10.00,
    IF(arrears_months=5,12.00,15.00)))))))</f>
        <v/>
      </c>
      <c r="M769">
        <f>LET(
    seasoning_years,DATEDIF('Loan Tape (S&amp;P)'!K769,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9">
        <f>IF(AND('Loan Tape (S&amp;P)'!U769="Yes",
        'Loan Tape (S&amp;P)'!T769&lt;&gt;"Yes",
        DATEDIF('Loan Tape (S&amp;P)'!K769, TODAY(), "M")&lt;18),
    1.10,
    1.00)</f>
        <v/>
      </c>
      <c r="O769">
        <f>IF('Loan Tape (S&amp;P)'!T769="Yes",
    1.35,
    1.00)</f>
        <v/>
      </c>
      <c r="P769">
        <f>IF('Loan Tape (S&amp;P)'!S769="Yes",
    1.15,
    1.00)</f>
        <v/>
      </c>
      <c r="Q769">
        <f>IF('Loan Tape (S&amp;P)'!V769="Yes",
    1.20,
    1.00)</f>
        <v/>
      </c>
      <c r="T769">
        <f>LET(
    payment_method,'Loan Tape (S&amp;P)'!P769,
    occupancy,'Loan Tape (S&amp;P)'!N769,
    maturity_date,'Loan Tape (S&amp;P)'!L769,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0">
      <c r="J770">
        <f>LET(
    lien,'Loan Tape (S&amp;P)'!Q770,
    IF(lien="First",1.00,
        IF(lien="Second",1.50,
            1.70)))</f>
        <v/>
      </c>
      <c r="K770">
        <f>LET(
    purpose,'Loan Tape (S&amp;P)'!R770,
    IF(purpose="Purchase",1.00,
        IF(purpose="Remortgage",1.00,
            1.20)))</f>
        <v/>
      </c>
      <c r="L770">
        <f>LET(
    arrears_months,'Loan Tape (S&amp;P)'!AN770,
    IF(arrears_months=0,1.00,
    IF(arrears_months=1,3.00,
    IF(arrears_months=2,5.00,
    IF(arrears_months=3,8.00,
    IF(arrears_months=4,10.00,
    IF(arrears_months=5,12.00,15.00)))))))</f>
        <v/>
      </c>
      <c r="M770">
        <f>LET(
    seasoning_years,DATEDIF('Loan Tape (S&amp;P)'!K770,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0">
        <f>IF(AND('Loan Tape (S&amp;P)'!U770="Yes",
        'Loan Tape (S&amp;P)'!T770&lt;&gt;"Yes",
        DATEDIF('Loan Tape (S&amp;P)'!K770, TODAY(), "M")&lt;18),
    1.10,
    1.00)</f>
        <v/>
      </c>
      <c r="O770">
        <f>IF('Loan Tape (S&amp;P)'!T770="Yes",
    1.35,
    1.00)</f>
        <v/>
      </c>
      <c r="P770">
        <f>IF('Loan Tape (S&amp;P)'!S770="Yes",
    1.15,
    1.00)</f>
        <v/>
      </c>
      <c r="Q770">
        <f>IF('Loan Tape (S&amp;P)'!V770="Yes",
    1.20,
    1.00)</f>
        <v/>
      </c>
      <c r="T770">
        <f>LET(
    payment_method,'Loan Tape (S&amp;P)'!P770,
    occupancy,'Loan Tape (S&amp;P)'!N770,
    maturity_date,'Loan Tape (S&amp;P)'!L770,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1">
      <c r="J771">
        <f>LET(
    lien,'Loan Tape (S&amp;P)'!Q771,
    IF(lien="First",1.00,
        IF(lien="Second",1.50,
            1.70)))</f>
        <v/>
      </c>
      <c r="K771">
        <f>LET(
    purpose,'Loan Tape (S&amp;P)'!R771,
    IF(purpose="Purchase",1.00,
        IF(purpose="Remortgage",1.00,
            1.20)))</f>
        <v/>
      </c>
      <c r="L771">
        <f>LET(
    arrears_months,'Loan Tape (S&amp;P)'!AN771,
    IF(arrears_months=0,1.00,
    IF(arrears_months=1,3.00,
    IF(arrears_months=2,5.00,
    IF(arrears_months=3,8.00,
    IF(arrears_months=4,10.00,
    IF(arrears_months=5,12.00,15.00)))))))</f>
        <v/>
      </c>
      <c r="M771">
        <f>LET(
    seasoning_years,DATEDIF('Loan Tape (S&amp;P)'!K771,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1">
        <f>IF(AND('Loan Tape (S&amp;P)'!U771="Yes",
        'Loan Tape (S&amp;P)'!T771&lt;&gt;"Yes",
        DATEDIF('Loan Tape (S&amp;P)'!K771, TODAY(), "M")&lt;18),
    1.10,
    1.00)</f>
        <v/>
      </c>
      <c r="O771">
        <f>IF('Loan Tape (S&amp;P)'!T771="Yes",
    1.35,
    1.00)</f>
        <v/>
      </c>
      <c r="P771">
        <f>IF('Loan Tape (S&amp;P)'!S771="Yes",
    1.15,
    1.00)</f>
        <v/>
      </c>
      <c r="Q771">
        <f>IF('Loan Tape (S&amp;P)'!V771="Yes",
    1.20,
    1.00)</f>
        <v/>
      </c>
      <c r="T771">
        <f>LET(
    payment_method,'Loan Tape (S&amp;P)'!P771,
    occupancy,'Loan Tape (S&amp;P)'!N771,
    maturity_date,'Loan Tape (S&amp;P)'!L771,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2">
      <c r="J772">
        <f>LET(
    lien,'Loan Tape (S&amp;P)'!Q772,
    IF(lien="First",1.00,
        IF(lien="Second",1.50,
            1.70)))</f>
        <v/>
      </c>
      <c r="K772">
        <f>LET(
    purpose,'Loan Tape (S&amp;P)'!R772,
    IF(purpose="Purchase",1.00,
        IF(purpose="Remortgage",1.00,
            1.20)))</f>
        <v/>
      </c>
      <c r="L772">
        <f>LET(
    arrears_months,'Loan Tape (S&amp;P)'!AN772,
    IF(arrears_months=0,1.00,
    IF(arrears_months=1,3.00,
    IF(arrears_months=2,5.00,
    IF(arrears_months=3,8.00,
    IF(arrears_months=4,10.00,
    IF(arrears_months=5,12.00,15.00)))))))</f>
        <v/>
      </c>
      <c r="M772">
        <f>LET(
    seasoning_years,DATEDIF('Loan Tape (S&amp;P)'!K772,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2">
        <f>IF(AND('Loan Tape (S&amp;P)'!U772="Yes",
        'Loan Tape (S&amp;P)'!T772&lt;&gt;"Yes",
        DATEDIF('Loan Tape (S&amp;P)'!K772, TODAY(), "M")&lt;18),
    1.10,
    1.00)</f>
        <v/>
      </c>
      <c r="O772">
        <f>IF('Loan Tape (S&amp;P)'!T772="Yes",
    1.35,
    1.00)</f>
        <v/>
      </c>
      <c r="P772">
        <f>IF('Loan Tape (S&amp;P)'!S772="Yes",
    1.15,
    1.00)</f>
        <v/>
      </c>
      <c r="Q772">
        <f>IF('Loan Tape (S&amp;P)'!V772="Yes",
    1.20,
    1.00)</f>
        <v/>
      </c>
      <c r="T772">
        <f>LET(
    payment_method,'Loan Tape (S&amp;P)'!P772,
    occupancy,'Loan Tape (S&amp;P)'!N772,
    maturity_date,'Loan Tape (S&amp;P)'!L772,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3">
      <c r="J773">
        <f>LET(
    lien,'Loan Tape (S&amp;P)'!Q773,
    IF(lien="First",1.00,
        IF(lien="Second",1.50,
            1.70)))</f>
        <v/>
      </c>
      <c r="K773">
        <f>LET(
    purpose,'Loan Tape (S&amp;P)'!R773,
    IF(purpose="Purchase",1.00,
        IF(purpose="Remortgage",1.00,
            1.20)))</f>
        <v/>
      </c>
      <c r="L773">
        <f>LET(
    arrears_months,'Loan Tape (S&amp;P)'!AN773,
    IF(arrears_months=0,1.00,
    IF(arrears_months=1,3.00,
    IF(arrears_months=2,5.00,
    IF(arrears_months=3,8.00,
    IF(arrears_months=4,10.00,
    IF(arrears_months=5,12.00,15.00)))))))</f>
        <v/>
      </c>
      <c r="M773">
        <f>LET(
    seasoning_years,DATEDIF('Loan Tape (S&amp;P)'!K773,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3">
        <f>IF(AND('Loan Tape (S&amp;P)'!U773="Yes",
        'Loan Tape (S&amp;P)'!T773&lt;&gt;"Yes",
        DATEDIF('Loan Tape (S&amp;P)'!K773, TODAY(), "M")&lt;18),
    1.10,
    1.00)</f>
        <v/>
      </c>
      <c r="O773">
        <f>IF('Loan Tape (S&amp;P)'!T773="Yes",
    1.35,
    1.00)</f>
        <v/>
      </c>
      <c r="P773">
        <f>IF('Loan Tape (S&amp;P)'!S773="Yes",
    1.15,
    1.00)</f>
        <v/>
      </c>
      <c r="Q773">
        <f>IF('Loan Tape (S&amp;P)'!V773="Yes",
    1.20,
    1.00)</f>
        <v/>
      </c>
      <c r="T773">
        <f>LET(
    payment_method,'Loan Tape (S&amp;P)'!P773,
    occupancy,'Loan Tape (S&amp;P)'!N773,
    maturity_date,'Loan Tape (S&amp;P)'!L773,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4">
      <c r="J774">
        <f>LET(
    lien,'Loan Tape (S&amp;P)'!Q774,
    IF(lien="First",1.00,
        IF(lien="Second",1.50,
            1.70)))</f>
        <v/>
      </c>
      <c r="K774">
        <f>LET(
    purpose,'Loan Tape (S&amp;P)'!R774,
    IF(purpose="Purchase",1.00,
        IF(purpose="Remortgage",1.00,
            1.20)))</f>
        <v/>
      </c>
      <c r="L774">
        <f>LET(
    arrears_months,'Loan Tape (S&amp;P)'!AN774,
    IF(arrears_months=0,1.00,
    IF(arrears_months=1,3.00,
    IF(arrears_months=2,5.00,
    IF(arrears_months=3,8.00,
    IF(arrears_months=4,10.00,
    IF(arrears_months=5,12.00,15.00)))))))</f>
        <v/>
      </c>
      <c r="M774">
        <f>LET(
    seasoning_years,DATEDIF('Loan Tape (S&amp;P)'!K774,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4">
        <f>IF(AND('Loan Tape (S&amp;P)'!U774="Yes",
        'Loan Tape (S&amp;P)'!T774&lt;&gt;"Yes",
        DATEDIF('Loan Tape (S&amp;P)'!K774, TODAY(), "M")&lt;18),
    1.10,
    1.00)</f>
        <v/>
      </c>
      <c r="O774">
        <f>IF('Loan Tape (S&amp;P)'!T774="Yes",
    1.35,
    1.00)</f>
        <v/>
      </c>
      <c r="P774">
        <f>IF('Loan Tape (S&amp;P)'!S774="Yes",
    1.15,
    1.00)</f>
        <v/>
      </c>
      <c r="Q774">
        <f>IF('Loan Tape (S&amp;P)'!V774="Yes",
    1.20,
    1.00)</f>
        <v/>
      </c>
      <c r="T774">
        <f>LET(
    payment_method,'Loan Tape (S&amp;P)'!P774,
    occupancy,'Loan Tape (S&amp;P)'!N774,
    maturity_date,'Loan Tape (S&amp;P)'!L774,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5">
      <c r="J775">
        <f>LET(
    lien,'Loan Tape (S&amp;P)'!Q775,
    IF(lien="First",1.00,
        IF(lien="Second",1.50,
            1.70)))</f>
        <v/>
      </c>
      <c r="K775">
        <f>LET(
    purpose,'Loan Tape (S&amp;P)'!R775,
    IF(purpose="Purchase",1.00,
        IF(purpose="Remortgage",1.00,
            1.20)))</f>
        <v/>
      </c>
      <c r="L775">
        <f>LET(
    arrears_months,'Loan Tape (S&amp;P)'!AN775,
    IF(arrears_months=0,1.00,
    IF(arrears_months=1,3.00,
    IF(arrears_months=2,5.00,
    IF(arrears_months=3,8.00,
    IF(arrears_months=4,10.00,
    IF(arrears_months=5,12.00,15.00)))))))</f>
        <v/>
      </c>
      <c r="M775">
        <f>LET(
    seasoning_years,DATEDIF('Loan Tape (S&amp;P)'!K775,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5">
        <f>IF(AND('Loan Tape (S&amp;P)'!U775="Yes",
        'Loan Tape (S&amp;P)'!T775&lt;&gt;"Yes",
        DATEDIF('Loan Tape (S&amp;P)'!K775, TODAY(), "M")&lt;18),
    1.10,
    1.00)</f>
        <v/>
      </c>
      <c r="O775">
        <f>IF('Loan Tape (S&amp;P)'!T775="Yes",
    1.35,
    1.00)</f>
        <v/>
      </c>
      <c r="P775">
        <f>IF('Loan Tape (S&amp;P)'!S775="Yes",
    1.15,
    1.00)</f>
        <v/>
      </c>
      <c r="Q775">
        <f>IF('Loan Tape (S&amp;P)'!V775="Yes",
    1.20,
    1.00)</f>
        <v/>
      </c>
      <c r="T775">
        <f>LET(
    payment_method,'Loan Tape (S&amp;P)'!P775,
    occupancy,'Loan Tape (S&amp;P)'!N775,
    maturity_date,'Loan Tape (S&amp;P)'!L775,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6">
      <c r="J776">
        <f>LET(
    lien,'Loan Tape (S&amp;P)'!Q776,
    IF(lien="First",1.00,
        IF(lien="Second",1.50,
            1.70)))</f>
        <v/>
      </c>
      <c r="K776">
        <f>LET(
    purpose,'Loan Tape (S&amp;P)'!R776,
    IF(purpose="Purchase",1.00,
        IF(purpose="Remortgage",1.00,
            1.20)))</f>
        <v/>
      </c>
      <c r="L776">
        <f>LET(
    arrears_months,'Loan Tape (S&amp;P)'!AN776,
    IF(arrears_months=0,1.00,
    IF(arrears_months=1,3.00,
    IF(arrears_months=2,5.00,
    IF(arrears_months=3,8.00,
    IF(arrears_months=4,10.00,
    IF(arrears_months=5,12.00,15.00)))))))</f>
        <v/>
      </c>
      <c r="M776">
        <f>LET(
    seasoning_years,DATEDIF('Loan Tape (S&amp;P)'!K776,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6">
        <f>IF(AND('Loan Tape (S&amp;P)'!U776="Yes",
        'Loan Tape (S&amp;P)'!T776&lt;&gt;"Yes",
        DATEDIF('Loan Tape (S&amp;P)'!K776, TODAY(), "M")&lt;18),
    1.10,
    1.00)</f>
        <v/>
      </c>
      <c r="O776">
        <f>IF('Loan Tape (S&amp;P)'!T776="Yes",
    1.35,
    1.00)</f>
        <v/>
      </c>
      <c r="P776">
        <f>IF('Loan Tape (S&amp;P)'!S776="Yes",
    1.15,
    1.00)</f>
        <v/>
      </c>
      <c r="Q776">
        <f>IF('Loan Tape (S&amp;P)'!V776="Yes",
    1.20,
    1.00)</f>
        <v/>
      </c>
      <c r="T776">
        <f>LET(
    payment_method,'Loan Tape (S&amp;P)'!P776,
    occupancy,'Loan Tape (S&amp;P)'!N776,
    maturity_date,'Loan Tape (S&amp;P)'!L776,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7">
      <c r="J777">
        <f>LET(
    lien,'Loan Tape (S&amp;P)'!Q777,
    IF(lien="First",1.00,
        IF(lien="Second",1.50,
            1.70)))</f>
        <v/>
      </c>
      <c r="K777">
        <f>LET(
    purpose,'Loan Tape (S&amp;P)'!R777,
    IF(purpose="Purchase",1.00,
        IF(purpose="Remortgage",1.00,
            1.20)))</f>
        <v/>
      </c>
      <c r="L777">
        <f>LET(
    arrears_months,'Loan Tape (S&amp;P)'!AN777,
    IF(arrears_months=0,1.00,
    IF(arrears_months=1,3.00,
    IF(arrears_months=2,5.00,
    IF(arrears_months=3,8.00,
    IF(arrears_months=4,10.00,
    IF(arrears_months=5,12.00,15.00)))))))</f>
        <v/>
      </c>
      <c r="M777">
        <f>LET(
    seasoning_years,DATEDIF('Loan Tape (S&amp;P)'!K777,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7">
        <f>IF(AND('Loan Tape (S&amp;P)'!U777="Yes",
        'Loan Tape (S&amp;P)'!T777&lt;&gt;"Yes",
        DATEDIF('Loan Tape (S&amp;P)'!K777, TODAY(), "M")&lt;18),
    1.10,
    1.00)</f>
        <v/>
      </c>
      <c r="O777">
        <f>IF('Loan Tape (S&amp;P)'!T777="Yes",
    1.35,
    1.00)</f>
        <v/>
      </c>
      <c r="P777">
        <f>IF('Loan Tape (S&amp;P)'!S777="Yes",
    1.15,
    1.00)</f>
        <v/>
      </c>
      <c r="Q777">
        <f>IF('Loan Tape (S&amp;P)'!V777="Yes",
    1.20,
    1.00)</f>
        <v/>
      </c>
      <c r="T777">
        <f>LET(
    payment_method,'Loan Tape (S&amp;P)'!P777,
    occupancy,'Loan Tape (S&amp;P)'!N777,
    maturity_date,'Loan Tape (S&amp;P)'!L777,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8">
      <c r="J778">
        <f>LET(
    lien,'Loan Tape (S&amp;P)'!Q778,
    IF(lien="First",1.00,
        IF(lien="Second",1.50,
            1.70)))</f>
        <v/>
      </c>
      <c r="K778">
        <f>LET(
    purpose,'Loan Tape (S&amp;P)'!R778,
    IF(purpose="Purchase",1.00,
        IF(purpose="Remortgage",1.00,
            1.20)))</f>
        <v/>
      </c>
      <c r="L778">
        <f>LET(
    arrears_months,'Loan Tape (S&amp;P)'!AN778,
    IF(arrears_months=0,1.00,
    IF(arrears_months=1,3.00,
    IF(arrears_months=2,5.00,
    IF(arrears_months=3,8.00,
    IF(arrears_months=4,10.00,
    IF(arrears_months=5,12.00,15.00)))))))</f>
        <v/>
      </c>
      <c r="M778">
        <f>LET(
    seasoning_years,DATEDIF('Loan Tape (S&amp;P)'!K778,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8">
        <f>IF(AND('Loan Tape (S&amp;P)'!U778="Yes",
        'Loan Tape (S&amp;P)'!T778&lt;&gt;"Yes",
        DATEDIF('Loan Tape (S&amp;P)'!K778, TODAY(), "M")&lt;18),
    1.10,
    1.00)</f>
        <v/>
      </c>
      <c r="O778">
        <f>IF('Loan Tape (S&amp;P)'!T778="Yes",
    1.35,
    1.00)</f>
        <v/>
      </c>
      <c r="P778">
        <f>IF('Loan Tape (S&amp;P)'!S778="Yes",
    1.15,
    1.00)</f>
        <v/>
      </c>
      <c r="Q778">
        <f>IF('Loan Tape (S&amp;P)'!V778="Yes",
    1.20,
    1.00)</f>
        <v/>
      </c>
      <c r="T778">
        <f>LET(
    payment_method,'Loan Tape (S&amp;P)'!P778,
    occupancy,'Loan Tape (S&amp;P)'!N778,
    maturity_date,'Loan Tape (S&amp;P)'!L778,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9">
      <c r="J779">
        <f>LET(
    lien,'Loan Tape (S&amp;P)'!Q779,
    IF(lien="First",1.00,
        IF(lien="Second",1.50,
            1.70)))</f>
        <v/>
      </c>
      <c r="K779">
        <f>LET(
    purpose,'Loan Tape (S&amp;P)'!R779,
    IF(purpose="Purchase",1.00,
        IF(purpose="Remortgage",1.00,
            1.20)))</f>
        <v/>
      </c>
      <c r="L779">
        <f>LET(
    arrears_months,'Loan Tape (S&amp;P)'!AN779,
    IF(arrears_months=0,1.00,
    IF(arrears_months=1,3.00,
    IF(arrears_months=2,5.00,
    IF(arrears_months=3,8.00,
    IF(arrears_months=4,10.00,
    IF(arrears_months=5,12.00,15.00)))))))</f>
        <v/>
      </c>
      <c r="M779">
        <f>LET(
    seasoning_years,DATEDIF('Loan Tape (S&amp;P)'!K779,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9">
        <f>IF(AND('Loan Tape (S&amp;P)'!U779="Yes",
        'Loan Tape (S&amp;P)'!T779&lt;&gt;"Yes",
        DATEDIF('Loan Tape (S&amp;P)'!K779, TODAY(), "M")&lt;18),
    1.10,
    1.00)</f>
        <v/>
      </c>
      <c r="O779">
        <f>IF('Loan Tape (S&amp;P)'!T779="Yes",
    1.35,
    1.00)</f>
        <v/>
      </c>
      <c r="P779">
        <f>IF('Loan Tape (S&amp;P)'!S779="Yes",
    1.15,
    1.00)</f>
        <v/>
      </c>
      <c r="Q779">
        <f>IF('Loan Tape (S&amp;P)'!V779="Yes",
    1.20,
    1.00)</f>
        <v/>
      </c>
      <c r="T779">
        <f>LET(
    payment_method,'Loan Tape (S&amp;P)'!P779,
    occupancy,'Loan Tape (S&amp;P)'!N779,
    maturity_date,'Loan Tape (S&amp;P)'!L779,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0">
      <c r="J780">
        <f>LET(
    lien,'Loan Tape (S&amp;P)'!Q780,
    IF(lien="First",1.00,
        IF(lien="Second",1.50,
            1.70)))</f>
        <v/>
      </c>
      <c r="K780">
        <f>LET(
    purpose,'Loan Tape (S&amp;P)'!R780,
    IF(purpose="Purchase",1.00,
        IF(purpose="Remortgage",1.00,
            1.20)))</f>
        <v/>
      </c>
      <c r="L780">
        <f>LET(
    arrears_months,'Loan Tape (S&amp;P)'!AN780,
    IF(arrears_months=0,1.00,
    IF(arrears_months=1,3.00,
    IF(arrears_months=2,5.00,
    IF(arrears_months=3,8.00,
    IF(arrears_months=4,10.00,
    IF(arrears_months=5,12.00,15.00)))))))</f>
        <v/>
      </c>
      <c r="M780">
        <f>LET(
    seasoning_years,DATEDIF('Loan Tape (S&amp;P)'!K780,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0">
        <f>IF(AND('Loan Tape (S&amp;P)'!U780="Yes",
        'Loan Tape (S&amp;P)'!T780&lt;&gt;"Yes",
        DATEDIF('Loan Tape (S&amp;P)'!K780, TODAY(), "M")&lt;18),
    1.10,
    1.00)</f>
        <v/>
      </c>
      <c r="O780">
        <f>IF('Loan Tape (S&amp;P)'!T780="Yes",
    1.35,
    1.00)</f>
        <v/>
      </c>
      <c r="P780">
        <f>IF('Loan Tape (S&amp;P)'!S780="Yes",
    1.15,
    1.00)</f>
        <v/>
      </c>
      <c r="Q780">
        <f>IF('Loan Tape (S&amp;P)'!V780="Yes",
    1.20,
    1.00)</f>
        <v/>
      </c>
      <c r="T780">
        <f>LET(
    payment_method,'Loan Tape (S&amp;P)'!P780,
    occupancy,'Loan Tape (S&amp;P)'!N780,
    maturity_date,'Loan Tape (S&amp;P)'!L780,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1">
      <c r="J781">
        <f>LET(
    lien,'Loan Tape (S&amp;P)'!Q781,
    IF(lien="First",1.00,
        IF(lien="Second",1.50,
            1.70)))</f>
        <v/>
      </c>
      <c r="K781">
        <f>LET(
    purpose,'Loan Tape (S&amp;P)'!R781,
    IF(purpose="Purchase",1.00,
        IF(purpose="Remortgage",1.00,
            1.20)))</f>
        <v/>
      </c>
      <c r="L781">
        <f>LET(
    arrears_months,'Loan Tape (S&amp;P)'!AN781,
    IF(arrears_months=0,1.00,
    IF(arrears_months=1,3.00,
    IF(arrears_months=2,5.00,
    IF(arrears_months=3,8.00,
    IF(arrears_months=4,10.00,
    IF(arrears_months=5,12.00,15.00)))))))</f>
        <v/>
      </c>
      <c r="M781">
        <f>LET(
    seasoning_years,DATEDIF('Loan Tape (S&amp;P)'!K781,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1">
        <f>IF(AND('Loan Tape (S&amp;P)'!U781="Yes",
        'Loan Tape (S&amp;P)'!T781&lt;&gt;"Yes",
        DATEDIF('Loan Tape (S&amp;P)'!K781, TODAY(), "M")&lt;18),
    1.10,
    1.00)</f>
        <v/>
      </c>
      <c r="O781">
        <f>IF('Loan Tape (S&amp;P)'!T781="Yes",
    1.35,
    1.00)</f>
        <v/>
      </c>
      <c r="P781">
        <f>IF('Loan Tape (S&amp;P)'!S781="Yes",
    1.15,
    1.00)</f>
        <v/>
      </c>
      <c r="Q781">
        <f>IF('Loan Tape (S&amp;P)'!V781="Yes",
    1.20,
    1.00)</f>
        <v/>
      </c>
      <c r="T781">
        <f>LET(
    payment_method,'Loan Tape (S&amp;P)'!P781,
    occupancy,'Loan Tape (S&amp;P)'!N781,
    maturity_date,'Loan Tape (S&amp;P)'!L781,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2">
      <c r="J782">
        <f>LET(
    lien,'Loan Tape (S&amp;P)'!Q782,
    IF(lien="First",1.00,
        IF(lien="Second",1.50,
            1.70)))</f>
        <v/>
      </c>
      <c r="K782">
        <f>LET(
    purpose,'Loan Tape (S&amp;P)'!R782,
    IF(purpose="Purchase",1.00,
        IF(purpose="Remortgage",1.00,
            1.20)))</f>
        <v/>
      </c>
      <c r="L782">
        <f>LET(
    arrears_months,'Loan Tape (S&amp;P)'!AN782,
    IF(arrears_months=0,1.00,
    IF(arrears_months=1,3.00,
    IF(arrears_months=2,5.00,
    IF(arrears_months=3,8.00,
    IF(arrears_months=4,10.00,
    IF(arrears_months=5,12.00,15.00)))))))</f>
        <v/>
      </c>
      <c r="M782">
        <f>LET(
    seasoning_years,DATEDIF('Loan Tape (S&amp;P)'!K782,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2">
        <f>IF(AND('Loan Tape (S&amp;P)'!U782="Yes",
        'Loan Tape (S&amp;P)'!T782&lt;&gt;"Yes",
        DATEDIF('Loan Tape (S&amp;P)'!K782, TODAY(), "M")&lt;18),
    1.10,
    1.00)</f>
        <v/>
      </c>
      <c r="O782">
        <f>IF('Loan Tape (S&amp;P)'!T782="Yes",
    1.35,
    1.00)</f>
        <v/>
      </c>
      <c r="P782">
        <f>IF('Loan Tape (S&amp;P)'!S782="Yes",
    1.15,
    1.00)</f>
        <v/>
      </c>
      <c r="Q782">
        <f>IF('Loan Tape (S&amp;P)'!V782="Yes",
    1.20,
    1.00)</f>
        <v/>
      </c>
      <c r="T782">
        <f>LET(
    payment_method,'Loan Tape (S&amp;P)'!P782,
    occupancy,'Loan Tape (S&amp;P)'!N782,
    maturity_date,'Loan Tape (S&amp;P)'!L782,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3">
      <c r="J783">
        <f>LET(
    lien,'Loan Tape (S&amp;P)'!Q783,
    IF(lien="First",1.00,
        IF(lien="Second",1.50,
            1.70)))</f>
        <v/>
      </c>
      <c r="K783">
        <f>LET(
    purpose,'Loan Tape (S&amp;P)'!R783,
    IF(purpose="Purchase",1.00,
        IF(purpose="Remortgage",1.00,
            1.20)))</f>
        <v/>
      </c>
      <c r="L783">
        <f>LET(
    arrears_months,'Loan Tape (S&amp;P)'!AN783,
    IF(arrears_months=0,1.00,
    IF(arrears_months=1,3.00,
    IF(arrears_months=2,5.00,
    IF(arrears_months=3,8.00,
    IF(arrears_months=4,10.00,
    IF(arrears_months=5,12.00,15.00)))))))</f>
        <v/>
      </c>
      <c r="M783">
        <f>LET(
    seasoning_years,DATEDIF('Loan Tape (S&amp;P)'!K783,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3">
        <f>IF(AND('Loan Tape (S&amp;P)'!U783="Yes",
        'Loan Tape (S&amp;P)'!T783&lt;&gt;"Yes",
        DATEDIF('Loan Tape (S&amp;P)'!K783, TODAY(), "M")&lt;18),
    1.10,
    1.00)</f>
        <v/>
      </c>
      <c r="O783">
        <f>IF('Loan Tape (S&amp;P)'!T783="Yes",
    1.35,
    1.00)</f>
        <v/>
      </c>
      <c r="P783">
        <f>IF('Loan Tape (S&amp;P)'!S783="Yes",
    1.15,
    1.00)</f>
        <v/>
      </c>
      <c r="Q783">
        <f>IF('Loan Tape (S&amp;P)'!V783="Yes",
    1.20,
    1.00)</f>
        <v/>
      </c>
      <c r="T783">
        <f>LET(
    payment_method,'Loan Tape (S&amp;P)'!P783,
    occupancy,'Loan Tape (S&amp;P)'!N783,
    maturity_date,'Loan Tape (S&amp;P)'!L783,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4">
      <c r="J784">
        <f>LET(
    lien,'Loan Tape (S&amp;P)'!Q784,
    IF(lien="First",1.00,
        IF(lien="Second",1.50,
            1.70)))</f>
        <v/>
      </c>
      <c r="K784">
        <f>LET(
    purpose,'Loan Tape (S&amp;P)'!R784,
    IF(purpose="Purchase",1.00,
        IF(purpose="Remortgage",1.00,
            1.20)))</f>
        <v/>
      </c>
      <c r="L784">
        <f>LET(
    arrears_months,'Loan Tape (S&amp;P)'!AN784,
    IF(arrears_months=0,1.00,
    IF(arrears_months=1,3.00,
    IF(arrears_months=2,5.00,
    IF(arrears_months=3,8.00,
    IF(arrears_months=4,10.00,
    IF(arrears_months=5,12.00,15.00)))))))</f>
        <v/>
      </c>
      <c r="M784">
        <f>LET(
    seasoning_years,DATEDIF('Loan Tape (S&amp;P)'!K784,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4">
        <f>IF(AND('Loan Tape (S&amp;P)'!U784="Yes",
        'Loan Tape (S&amp;P)'!T784&lt;&gt;"Yes",
        DATEDIF('Loan Tape (S&amp;P)'!K784, TODAY(), "M")&lt;18),
    1.10,
    1.00)</f>
        <v/>
      </c>
      <c r="O784">
        <f>IF('Loan Tape (S&amp;P)'!T784="Yes",
    1.35,
    1.00)</f>
        <v/>
      </c>
      <c r="P784">
        <f>IF('Loan Tape (S&amp;P)'!S784="Yes",
    1.15,
    1.00)</f>
        <v/>
      </c>
      <c r="Q784">
        <f>IF('Loan Tape (S&amp;P)'!V784="Yes",
    1.20,
    1.00)</f>
        <v/>
      </c>
      <c r="T784">
        <f>LET(
    payment_method,'Loan Tape (S&amp;P)'!P784,
    occupancy,'Loan Tape (S&amp;P)'!N784,
    maturity_date,'Loan Tape (S&amp;P)'!L784,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5">
      <c r="J785">
        <f>LET(
    lien,'Loan Tape (S&amp;P)'!Q785,
    IF(lien="First",1.00,
        IF(lien="Second",1.50,
            1.70)))</f>
        <v/>
      </c>
      <c r="K785">
        <f>LET(
    purpose,'Loan Tape (S&amp;P)'!R785,
    IF(purpose="Purchase",1.00,
        IF(purpose="Remortgage",1.00,
            1.20)))</f>
        <v/>
      </c>
      <c r="L785">
        <f>LET(
    arrears_months,'Loan Tape (S&amp;P)'!AN785,
    IF(arrears_months=0,1.00,
    IF(arrears_months=1,3.00,
    IF(arrears_months=2,5.00,
    IF(arrears_months=3,8.00,
    IF(arrears_months=4,10.00,
    IF(arrears_months=5,12.00,15.00)))))))</f>
        <v/>
      </c>
      <c r="M785">
        <f>LET(
    seasoning_years,DATEDIF('Loan Tape (S&amp;P)'!K785,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5">
        <f>IF(AND('Loan Tape (S&amp;P)'!U785="Yes",
        'Loan Tape (S&amp;P)'!T785&lt;&gt;"Yes",
        DATEDIF('Loan Tape (S&amp;P)'!K785, TODAY(), "M")&lt;18),
    1.10,
    1.00)</f>
        <v/>
      </c>
      <c r="O785">
        <f>IF('Loan Tape (S&amp;P)'!T785="Yes",
    1.35,
    1.00)</f>
        <v/>
      </c>
      <c r="P785">
        <f>IF('Loan Tape (S&amp;P)'!S785="Yes",
    1.15,
    1.00)</f>
        <v/>
      </c>
      <c r="Q785">
        <f>IF('Loan Tape (S&amp;P)'!V785="Yes",
    1.20,
    1.00)</f>
        <v/>
      </c>
      <c r="T785">
        <f>LET(
    payment_method,'Loan Tape (S&amp;P)'!P785,
    occupancy,'Loan Tape (S&amp;P)'!N785,
    maturity_date,'Loan Tape (S&amp;P)'!L785,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6">
      <c r="J786">
        <f>LET(
    lien,'Loan Tape (S&amp;P)'!Q786,
    IF(lien="First",1.00,
        IF(lien="Second",1.50,
            1.70)))</f>
        <v/>
      </c>
      <c r="K786">
        <f>LET(
    purpose,'Loan Tape (S&amp;P)'!R786,
    IF(purpose="Purchase",1.00,
        IF(purpose="Remortgage",1.00,
            1.20)))</f>
        <v/>
      </c>
      <c r="L786">
        <f>LET(
    arrears_months,'Loan Tape (S&amp;P)'!AN786,
    IF(arrears_months=0,1.00,
    IF(arrears_months=1,3.00,
    IF(arrears_months=2,5.00,
    IF(arrears_months=3,8.00,
    IF(arrears_months=4,10.00,
    IF(arrears_months=5,12.00,15.00)))))))</f>
        <v/>
      </c>
      <c r="M786">
        <f>LET(
    seasoning_years,DATEDIF('Loan Tape (S&amp;P)'!K786,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6">
        <f>IF(AND('Loan Tape (S&amp;P)'!U786="Yes",
        'Loan Tape (S&amp;P)'!T786&lt;&gt;"Yes",
        DATEDIF('Loan Tape (S&amp;P)'!K786, TODAY(), "M")&lt;18),
    1.10,
    1.00)</f>
        <v/>
      </c>
      <c r="O786">
        <f>IF('Loan Tape (S&amp;P)'!T786="Yes",
    1.35,
    1.00)</f>
        <v/>
      </c>
      <c r="P786">
        <f>IF('Loan Tape (S&amp;P)'!S786="Yes",
    1.15,
    1.00)</f>
        <v/>
      </c>
      <c r="Q786">
        <f>IF('Loan Tape (S&amp;P)'!V786="Yes",
    1.20,
    1.00)</f>
        <v/>
      </c>
      <c r="T786">
        <f>LET(
    payment_method,'Loan Tape (S&amp;P)'!P786,
    occupancy,'Loan Tape (S&amp;P)'!N786,
    maturity_date,'Loan Tape (S&amp;P)'!L786,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7">
      <c r="J787">
        <f>LET(
    lien,'Loan Tape (S&amp;P)'!Q787,
    IF(lien="First",1.00,
        IF(lien="Second",1.50,
            1.70)))</f>
        <v/>
      </c>
      <c r="K787">
        <f>LET(
    purpose,'Loan Tape (S&amp;P)'!R787,
    IF(purpose="Purchase",1.00,
        IF(purpose="Remortgage",1.00,
            1.20)))</f>
        <v/>
      </c>
      <c r="L787">
        <f>LET(
    arrears_months,'Loan Tape (S&amp;P)'!AN787,
    IF(arrears_months=0,1.00,
    IF(arrears_months=1,3.00,
    IF(arrears_months=2,5.00,
    IF(arrears_months=3,8.00,
    IF(arrears_months=4,10.00,
    IF(arrears_months=5,12.00,15.00)))))))</f>
        <v/>
      </c>
      <c r="M787">
        <f>LET(
    seasoning_years,DATEDIF('Loan Tape (S&amp;P)'!K787,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7">
        <f>IF(AND('Loan Tape (S&amp;P)'!U787="Yes",
        'Loan Tape (S&amp;P)'!T787&lt;&gt;"Yes",
        DATEDIF('Loan Tape (S&amp;P)'!K787, TODAY(), "M")&lt;18),
    1.10,
    1.00)</f>
        <v/>
      </c>
      <c r="O787">
        <f>IF('Loan Tape (S&amp;P)'!T787="Yes",
    1.35,
    1.00)</f>
        <v/>
      </c>
      <c r="P787">
        <f>IF('Loan Tape (S&amp;P)'!S787="Yes",
    1.15,
    1.00)</f>
        <v/>
      </c>
      <c r="Q787">
        <f>IF('Loan Tape (S&amp;P)'!V787="Yes",
    1.20,
    1.00)</f>
        <v/>
      </c>
      <c r="T787">
        <f>LET(
    payment_method,'Loan Tape (S&amp;P)'!P787,
    occupancy,'Loan Tape (S&amp;P)'!N787,
    maturity_date,'Loan Tape (S&amp;P)'!L787,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8">
      <c r="J788">
        <f>LET(
    lien,'Loan Tape (S&amp;P)'!Q788,
    IF(lien="First",1.00,
        IF(lien="Second",1.50,
            1.70)))</f>
        <v/>
      </c>
      <c r="K788">
        <f>LET(
    purpose,'Loan Tape (S&amp;P)'!R788,
    IF(purpose="Purchase",1.00,
        IF(purpose="Remortgage",1.00,
            1.20)))</f>
        <v/>
      </c>
      <c r="L788">
        <f>LET(
    arrears_months,'Loan Tape (S&amp;P)'!AN788,
    IF(arrears_months=0,1.00,
    IF(arrears_months=1,3.00,
    IF(arrears_months=2,5.00,
    IF(arrears_months=3,8.00,
    IF(arrears_months=4,10.00,
    IF(arrears_months=5,12.00,15.00)))))))</f>
        <v/>
      </c>
      <c r="M788">
        <f>LET(
    seasoning_years,DATEDIF('Loan Tape (S&amp;P)'!K788,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8">
        <f>IF(AND('Loan Tape (S&amp;P)'!U788="Yes",
        'Loan Tape (S&amp;P)'!T788&lt;&gt;"Yes",
        DATEDIF('Loan Tape (S&amp;P)'!K788, TODAY(), "M")&lt;18),
    1.10,
    1.00)</f>
        <v/>
      </c>
      <c r="O788">
        <f>IF('Loan Tape (S&amp;P)'!T788="Yes",
    1.35,
    1.00)</f>
        <v/>
      </c>
      <c r="P788">
        <f>IF('Loan Tape (S&amp;P)'!S788="Yes",
    1.15,
    1.00)</f>
        <v/>
      </c>
      <c r="Q788">
        <f>IF('Loan Tape (S&amp;P)'!V788="Yes",
    1.20,
    1.00)</f>
        <v/>
      </c>
      <c r="T788">
        <f>LET(
    payment_method,'Loan Tape (S&amp;P)'!P788,
    occupancy,'Loan Tape (S&amp;P)'!N788,
    maturity_date,'Loan Tape (S&amp;P)'!L788,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9">
      <c r="J789">
        <f>LET(
    lien,'Loan Tape (S&amp;P)'!Q789,
    IF(lien="First",1.00,
        IF(lien="Second",1.50,
            1.70)))</f>
        <v/>
      </c>
      <c r="K789">
        <f>LET(
    purpose,'Loan Tape (S&amp;P)'!R789,
    IF(purpose="Purchase",1.00,
        IF(purpose="Remortgage",1.00,
            1.20)))</f>
        <v/>
      </c>
      <c r="L789">
        <f>LET(
    arrears_months,'Loan Tape (S&amp;P)'!AN789,
    IF(arrears_months=0,1.00,
    IF(arrears_months=1,3.00,
    IF(arrears_months=2,5.00,
    IF(arrears_months=3,8.00,
    IF(arrears_months=4,10.00,
    IF(arrears_months=5,12.00,15.00)))))))</f>
        <v/>
      </c>
      <c r="M789">
        <f>LET(
    seasoning_years,DATEDIF('Loan Tape (S&amp;P)'!K789,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9">
        <f>IF(AND('Loan Tape (S&amp;P)'!U789="Yes",
        'Loan Tape (S&amp;P)'!T789&lt;&gt;"Yes",
        DATEDIF('Loan Tape (S&amp;P)'!K789, TODAY(), "M")&lt;18),
    1.10,
    1.00)</f>
        <v/>
      </c>
      <c r="O789">
        <f>IF('Loan Tape (S&amp;P)'!T789="Yes",
    1.35,
    1.00)</f>
        <v/>
      </c>
      <c r="P789">
        <f>IF('Loan Tape (S&amp;P)'!S789="Yes",
    1.15,
    1.00)</f>
        <v/>
      </c>
      <c r="Q789">
        <f>IF('Loan Tape (S&amp;P)'!V789="Yes",
    1.20,
    1.00)</f>
        <v/>
      </c>
      <c r="T789">
        <f>LET(
    payment_method,'Loan Tape (S&amp;P)'!P789,
    occupancy,'Loan Tape (S&amp;P)'!N789,
    maturity_date,'Loan Tape (S&amp;P)'!L789,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0">
      <c r="J790">
        <f>LET(
    lien,'Loan Tape (S&amp;P)'!Q790,
    IF(lien="First",1.00,
        IF(lien="Second",1.50,
            1.70)))</f>
        <v/>
      </c>
      <c r="K790">
        <f>LET(
    purpose,'Loan Tape (S&amp;P)'!R790,
    IF(purpose="Purchase",1.00,
        IF(purpose="Remortgage",1.00,
            1.20)))</f>
        <v/>
      </c>
      <c r="L790">
        <f>LET(
    arrears_months,'Loan Tape (S&amp;P)'!AN790,
    IF(arrears_months=0,1.00,
    IF(arrears_months=1,3.00,
    IF(arrears_months=2,5.00,
    IF(arrears_months=3,8.00,
    IF(arrears_months=4,10.00,
    IF(arrears_months=5,12.00,15.00)))))))</f>
        <v/>
      </c>
      <c r="M790">
        <f>LET(
    seasoning_years,DATEDIF('Loan Tape (S&amp;P)'!K790,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0">
        <f>IF(AND('Loan Tape (S&amp;P)'!U790="Yes",
        'Loan Tape (S&amp;P)'!T790&lt;&gt;"Yes",
        DATEDIF('Loan Tape (S&amp;P)'!K790, TODAY(), "M")&lt;18),
    1.10,
    1.00)</f>
        <v/>
      </c>
      <c r="O790">
        <f>IF('Loan Tape (S&amp;P)'!T790="Yes",
    1.35,
    1.00)</f>
        <v/>
      </c>
      <c r="P790">
        <f>IF('Loan Tape (S&amp;P)'!S790="Yes",
    1.15,
    1.00)</f>
        <v/>
      </c>
      <c r="Q790">
        <f>IF('Loan Tape (S&amp;P)'!V790="Yes",
    1.20,
    1.00)</f>
        <v/>
      </c>
      <c r="T790">
        <f>LET(
    payment_method,'Loan Tape (S&amp;P)'!P790,
    occupancy,'Loan Tape (S&amp;P)'!N790,
    maturity_date,'Loan Tape (S&amp;P)'!L790,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1">
      <c r="J791">
        <f>LET(
    lien,'Loan Tape (S&amp;P)'!Q791,
    IF(lien="First",1.00,
        IF(lien="Second",1.50,
            1.70)))</f>
        <v/>
      </c>
      <c r="K791">
        <f>LET(
    purpose,'Loan Tape (S&amp;P)'!R791,
    IF(purpose="Purchase",1.00,
        IF(purpose="Remortgage",1.00,
            1.20)))</f>
        <v/>
      </c>
      <c r="L791">
        <f>LET(
    arrears_months,'Loan Tape (S&amp;P)'!AN791,
    IF(arrears_months=0,1.00,
    IF(arrears_months=1,3.00,
    IF(arrears_months=2,5.00,
    IF(arrears_months=3,8.00,
    IF(arrears_months=4,10.00,
    IF(arrears_months=5,12.00,15.00)))))))</f>
        <v/>
      </c>
      <c r="M791">
        <f>LET(
    seasoning_years,DATEDIF('Loan Tape (S&amp;P)'!K791,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1">
        <f>IF(AND('Loan Tape (S&amp;P)'!U791="Yes",
        'Loan Tape (S&amp;P)'!T791&lt;&gt;"Yes",
        DATEDIF('Loan Tape (S&amp;P)'!K791, TODAY(), "M")&lt;18),
    1.10,
    1.00)</f>
        <v/>
      </c>
      <c r="O791">
        <f>IF('Loan Tape (S&amp;P)'!T791="Yes",
    1.35,
    1.00)</f>
        <v/>
      </c>
      <c r="P791">
        <f>IF('Loan Tape (S&amp;P)'!S791="Yes",
    1.15,
    1.00)</f>
        <v/>
      </c>
      <c r="Q791">
        <f>IF('Loan Tape (S&amp;P)'!V791="Yes",
    1.20,
    1.00)</f>
        <v/>
      </c>
      <c r="T791">
        <f>LET(
    payment_method,'Loan Tape (S&amp;P)'!P791,
    occupancy,'Loan Tape (S&amp;P)'!N791,
    maturity_date,'Loan Tape (S&amp;P)'!L791,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2">
      <c r="J792">
        <f>LET(
    lien,'Loan Tape (S&amp;P)'!Q792,
    IF(lien="First",1.00,
        IF(lien="Second",1.50,
            1.70)))</f>
        <v/>
      </c>
      <c r="K792">
        <f>LET(
    purpose,'Loan Tape (S&amp;P)'!R792,
    IF(purpose="Purchase",1.00,
        IF(purpose="Remortgage",1.00,
            1.20)))</f>
        <v/>
      </c>
      <c r="L792">
        <f>LET(
    arrears_months,'Loan Tape (S&amp;P)'!AN792,
    IF(arrears_months=0,1.00,
    IF(arrears_months=1,3.00,
    IF(arrears_months=2,5.00,
    IF(arrears_months=3,8.00,
    IF(arrears_months=4,10.00,
    IF(arrears_months=5,12.00,15.00)))))))</f>
        <v/>
      </c>
      <c r="M792">
        <f>LET(
    seasoning_years,DATEDIF('Loan Tape (S&amp;P)'!K792,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2">
        <f>IF(AND('Loan Tape (S&amp;P)'!U792="Yes",
        'Loan Tape (S&amp;P)'!T792&lt;&gt;"Yes",
        DATEDIF('Loan Tape (S&amp;P)'!K792, TODAY(), "M")&lt;18),
    1.10,
    1.00)</f>
        <v/>
      </c>
      <c r="O792">
        <f>IF('Loan Tape (S&amp;P)'!T792="Yes",
    1.35,
    1.00)</f>
        <v/>
      </c>
      <c r="P792">
        <f>IF('Loan Tape (S&amp;P)'!S792="Yes",
    1.15,
    1.00)</f>
        <v/>
      </c>
      <c r="Q792">
        <f>IF('Loan Tape (S&amp;P)'!V792="Yes",
    1.20,
    1.00)</f>
        <v/>
      </c>
      <c r="T792">
        <f>LET(
    payment_method,'Loan Tape (S&amp;P)'!P792,
    occupancy,'Loan Tape (S&amp;P)'!N792,
    maturity_date,'Loan Tape (S&amp;P)'!L792,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3">
      <c r="J793">
        <f>LET(
    lien,'Loan Tape (S&amp;P)'!Q793,
    IF(lien="First",1.00,
        IF(lien="Second",1.50,
            1.70)))</f>
        <v/>
      </c>
      <c r="K793">
        <f>LET(
    purpose,'Loan Tape (S&amp;P)'!R793,
    IF(purpose="Purchase",1.00,
        IF(purpose="Remortgage",1.00,
            1.20)))</f>
        <v/>
      </c>
      <c r="L793">
        <f>LET(
    arrears_months,'Loan Tape (S&amp;P)'!AN793,
    IF(arrears_months=0,1.00,
    IF(arrears_months=1,3.00,
    IF(arrears_months=2,5.00,
    IF(arrears_months=3,8.00,
    IF(arrears_months=4,10.00,
    IF(arrears_months=5,12.00,15.00)))))))</f>
        <v/>
      </c>
      <c r="M793">
        <f>LET(
    seasoning_years,DATEDIF('Loan Tape (S&amp;P)'!K793,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3">
        <f>IF(AND('Loan Tape (S&amp;P)'!U793="Yes",
        'Loan Tape (S&amp;P)'!T793&lt;&gt;"Yes",
        DATEDIF('Loan Tape (S&amp;P)'!K793, TODAY(), "M")&lt;18),
    1.10,
    1.00)</f>
        <v/>
      </c>
      <c r="O793">
        <f>IF('Loan Tape (S&amp;P)'!T793="Yes",
    1.35,
    1.00)</f>
        <v/>
      </c>
      <c r="P793">
        <f>IF('Loan Tape (S&amp;P)'!S793="Yes",
    1.15,
    1.00)</f>
        <v/>
      </c>
      <c r="Q793">
        <f>IF('Loan Tape (S&amp;P)'!V793="Yes",
    1.20,
    1.00)</f>
        <v/>
      </c>
      <c r="T793">
        <f>LET(
    payment_method,'Loan Tape (S&amp;P)'!P793,
    occupancy,'Loan Tape (S&amp;P)'!N793,
    maturity_date,'Loan Tape (S&amp;P)'!L793,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4">
      <c r="J794">
        <f>LET(
    lien,'Loan Tape (S&amp;P)'!Q794,
    IF(lien="First",1.00,
        IF(lien="Second",1.50,
            1.70)))</f>
        <v/>
      </c>
      <c r="K794">
        <f>LET(
    purpose,'Loan Tape (S&amp;P)'!R794,
    IF(purpose="Purchase",1.00,
        IF(purpose="Remortgage",1.00,
            1.20)))</f>
        <v/>
      </c>
      <c r="L794">
        <f>LET(
    arrears_months,'Loan Tape (S&amp;P)'!AN794,
    IF(arrears_months=0,1.00,
    IF(arrears_months=1,3.00,
    IF(arrears_months=2,5.00,
    IF(arrears_months=3,8.00,
    IF(arrears_months=4,10.00,
    IF(arrears_months=5,12.00,15.00)))))))</f>
        <v/>
      </c>
      <c r="M794">
        <f>LET(
    seasoning_years,DATEDIF('Loan Tape (S&amp;P)'!K794,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4">
        <f>IF(AND('Loan Tape (S&amp;P)'!U794="Yes",
        'Loan Tape (S&amp;P)'!T794&lt;&gt;"Yes",
        DATEDIF('Loan Tape (S&amp;P)'!K794, TODAY(), "M")&lt;18),
    1.10,
    1.00)</f>
        <v/>
      </c>
      <c r="O794">
        <f>IF('Loan Tape (S&amp;P)'!T794="Yes",
    1.35,
    1.00)</f>
        <v/>
      </c>
      <c r="P794">
        <f>IF('Loan Tape (S&amp;P)'!S794="Yes",
    1.15,
    1.00)</f>
        <v/>
      </c>
      <c r="Q794">
        <f>IF('Loan Tape (S&amp;P)'!V794="Yes",
    1.20,
    1.00)</f>
        <v/>
      </c>
      <c r="T794">
        <f>LET(
    payment_method,'Loan Tape (S&amp;P)'!P794,
    occupancy,'Loan Tape (S&amp;P)'!N794,
    maturity_date,'Loan Tape (S&amp;P)'!L794,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5">
      <c r="J795">
        <f>LET(
    lien,'Loan Tape (S&amp;P)'!Q795,
    IF(lien="First",1.00,
        IF(lien="Second",1.50,
            1.70)))</f>
        <v/>
      </c>
      <c r="K795">
        <f>LET(
    purpose,'Loan Tape (S&amp;P)'!R795,
    IF(purpose="Purchase",1.00,
        IF(purpose="Remortgage",1.00,
            1.20)))</f>
        <v/>
      </c>
      <c r="L795">
        <f>LET(
    arrears_months,'Loan Tape (S&amp;P)'!AN795,
    IF(arrears_months=0,1.00,
    IF(arrears_months=1,3.00,
    IF(arrears_months=2,5.00,
    IF(arrears_months=3,8.00,
    IF(arrears_months=4,10.00,
    IF(arrears_months=5,12.00,15.00)))))))</f>
        <v/>
      </c>
      <c r="M795">
        <f>LET(
    seasoning_years,DATEDIF('Loan Tape (S&amp;P)'!K795,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5">
        <f>IF(AND('Loan Tape (S&amp;P)'!U795="Yes",
        'Loan Tape (S&amp;P)'!T795&lt;&gt;"Yes",
        DATEDIF('Loan Tape (S&amp;P)'!K795, TODAY(), "M")&lt;18),
    1.10,
    1.00)</f>
        <v/>
      </c>
      <c r="O795">
        <f>IF('Loan Tape (S&amp;P)'!T795="Yes",
    1.35,
    1.00)</f>
        <v/>
      </c>
      <c r="P795">
        <f>IF('Loan Tape (S&amp;P)'!S795="Yes",
    1.15,
    1.00)</f>
        <v/>
      </c>
      <c r="Q795">
        <f>IF('Loan Tape (S&amp;P)'!V795="Yes",
    1.20,
    1.00)</f>
        <v/>
      </c>
      <c r="T795">
        <f>LET(
    payment_method,'Loan Tape (S&amp;P)'!P795,
    occupancy,'Loan Tape (S&amp;P)'!N795,
    maturity_date,'Loan Tape (S&amp;P)'!L795,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6">
      <c r="J796">
        <f>LET(
    lien,'Loan Tape (S&amp;P)'!Q796,
    IF(lien="First",1.00,
        IF(lien="Second",1.50,
            1.70)))</f>
        <v/>
      </c>
      <c r="K796">
        <f>LET(
    purpose,'Loan Tape (S&amp;P)'!R796,
    IF(purpose="Purchase",1.00,
        IF(purpose="Remortgage",1.00,
            1.20)))</f>
        <v/>
      </c>
      <c r="L796">
        <f>LET(
    arrears_months,'Loan Tape (S&amp;P)'!AN796,
    IF(arrears_months=0,1.00,
    IF(arrears_months=1,3.00,
    IF(arrears_months=2,5.00,
    IF(arrears_months=3,8.00,
    IF(arrears_months=4,10.00,
    IF(arrears_months=5,12.00,15.00)))))))</f>
        <v/>
      </c>
      <c r="M796">
        <f>LET(
    seasoning_years,DATEDIF('Loan Tape (S&amp;P)'!K796,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6">
        <f>IF(AND('Loan Tape (S&amp;P)'!U796="Yes",
        'Loan Tape (S&amp;P)'!T796&lt;&gt;"Yes",
        DATEDIF('Loan Tape (S&amp;P)'!K796, TODAY(), "M")&lt;18),
    1.10,
    1.00)</f>
        <v/>
      </c>
      <c r="O796">
        <f>IF('Loan Tape (S&amp;P)'!T796="Yes",
    1.35,
    1.00)</f>
        <v/>
      </c>
      <c r="P796">
        <f>IF('Loan Tape (S&amp;P)'!S796="Yes",
    1.15,
    1.00)</f>
        <v/>
      </c>
      <c r="Q796">
        <f>IF('Loan Tape (S&amp;P)'!V796="Yes",
    1.20,
    1.00)</f>
        <v/>
      </c>
      <c r="T796">
        <f>LET(
    payment_method,'Loan Tape (S&amp;P)'!P796,
    occupancy,'Loan Tape (S&amp;P)'!N796,
    maturity_date,'Loan Tape (S&amp;P)'!L796,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7">
      <c r="J797">
        <f>LET(
    lien,'Loan Tape (S&amp;P)'!Q797,
    IF(lien="First",1.00,
        IF(lien="Second",1.50,
            1.70)))</f>
        <v/>
      </c>
      <c r="K797">
        <f>LET(
    purpose,'Loan Tape (S&amp;P)'!R797,
    IF(purpose="Purchase",1.00,
        IF(purpose="Remortgage",1.00,
            1.20)))</f>
        <v/>
      </c>
      <c r="L797">
        <f>LET(
    arrears_months,'Loan Tape (S&amp;P)'!AN797,
    IF(arrears_months=0,1.00,
    IF(arrears_months=1,3.00,
    IF(arrears_months=2,5.00,
    IF(arrears_months=3,8.00,
    IF(arrears_months=4,10.00,
    IF(arrears_months=5,12.00,15.00)))))))</f>
        <v/>
      </c>
      <c r="M797">
        <f>LET(
    seasoning_years,DATEDIF('Loan Tape (S&amp;P)'!K797,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7">
        <f>IF(AND('Loan Tape (S&amp;P)'!U797="Yes",
        'Loan Tape (S&amp;P)'!T797&lt;&gt;"Yes",
        DATEDIF('Loan Tape (S&amp;P)'!K797, TODAY(), "M")&lt;18),
    1.10,
    1.00)</f>
        <v/>
      </c>
      <c r="O797">
        <f>IF('Loan Tape (S&amp;P)'!T797="Yes",
    1.35,
    1.00)</f>
        <v/>
      </c>
      <c r="P797">
        <f>IF('Loan Tape (S&amp;P)'!S797="Yes",
    1.15,
    1.00)</f>
        <v/>
      </c>
      <c r="Q797">
        <f>IF('Loan Tape (S&amp;P)'!V797="Yes",
    1.20,
    1.00)</f>
        <v/>
      </c>
      <c r="T797">
        <f>LET(
    payment_method,'Loan Tape (S&amp;P)'!P797,
    occupancy,'Loan Tape (S&amp;P)'!N797,
    maturity_date,'Loan Tape (S&amp;P)'!L797,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8">
      <c r="J798">
        <f>LET(
    lien,'Loan Tape (S&amp;P)'!Q798,
    IF(lien="First",1.00,
        IF(lien="Second",1.50,
            1.70)))</f>
        <v/>
      </c>
      <c r="K798">
        <f>LET(
    purpose,'Loan Tape (S&amp;P)'!R798,
    IF(purpose="Purchase",1.00,
        IF(purpose="Remortgage",1.00,
            1.20)))</f>
        <v/>
      </c>
      <c r="L798">
        <f>LET(
    arrears_months,'Loan Tape (S&amp;P)'!AN798,
    IF(arrears_months=0,1.00,
    IF(arrears_months=1,3.00,
    IF(arrears_months=2,5.00,
    IF(arrears_months=3,8.00,
    IF(arrears_months=4,10.00,
    IF(arrears_months=5,12.00,15.00)))))))</f>
        <v/>
      </c>
      <c r="M798">
        <f>LET(
    seasoning_years,DATEDIF('Loan Tape (S&amp;P)'!K798,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8">
        <f>IF(AND('Loan Tape (S&amp;P)'!U798="Yes",
        'Loan Tape (S&amp;P)'!T798&lt;&gt;"Yes",
        DATEDIF('Loan Tape (S&amp;P)'!K798, TODAY(), "M")&lt;18),
    1.10,
    1.00)</f>
        <v/>
      </c>
      <c r="O798">
        <f>IF('Loan Tape (S&amp;P)'!T798="Yes",
    1.35,
    1.00)</f>
        <v/>
      </c>
      <c r="P798">
        <f>IF('Loan Tape (S&amp;P)'!S798="Yes",
    1.15,
    1.00)</f>
        <v/>
      </c>
      <c r="Q798">
        <f>IF('Loan Tape (S&amp;P)'!V798="Yes",
    1.20,
    1.00)</f>
        <v/>
      </c>
      <c r="T798">
        <f>LET(
    payment_method,'Loan Tape (S&amp;P)'!P798,
    occupancy,'Loan Tape (S&amp;P)'!N798,
    maturity_date,'Loan Tape (S&amp;P)'!L798,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9">
      <c r="J799">
        <f>LET(
    lien,'Loan Tape (S&amp;P)'!Q799,
    IF(lien="First",1.00,
        IF(lien="Second",1.50,
            1.70)))</f>
        <v/>
      </c>
      <c r="K799">
        <f>LET(
    purpose,'Loan Tape (S&amp;P)'!R799,
    IF(purpose="Purchase",1.00,
        IF(purpose="Remortgage",1.00,
            1.20)))</f>
        <v/>
      </c>
      <c r="L799">
        <f>LET(
    arrears_months,'Loan Tape (S&amp;P)'!AN799,
    IF(arrears_months=0,1.00,
    IF(arrears_months=1,3.00,
    IF(arrears_months=2,5.00,
    IF(arrears_months=3,8.00,
    IF(arrears_months=4,10.00,
    IF(arrears_months=5,12.00,15.00)))))))</f>
        <v/>
      </c>
      <c r="M799">
        <f>LET(
    seasoning_years,DATEDIF('Loan Tape (S&amp;P)'!K799,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9">
        <f>IF(AND('Loan Tape (S&amp;P)'!U799="Yes",
        'Loan Tape (S&amp;P)'!T799&lt;&gt;"Yes",
        DATEDIF('Loan Tape (S&amp;P)'!K799, TODAY(), "M")&lt;18),
    1.10,
    1.00)</f>
        <v/>
      </c>
      <c r="O799">
        <f>IF('Loan Tape (S&amp;P)'!T799="Yes",
    1.35,
    1.00)</f>
        <v/>
      </c>
      <c r="P799">
        <f>IF('Loan Tape (S&amp;P)'!S799="Yes",
    1.15,
    1.00)</f>
        <v/>
      </c>
      <c r="Q799">
        <f>IF('Loan Tape (S&amp;P)'!V799="Yes",
    1.20,
    1.00)</f>
        <v/>
      </c>
      <c r="T799">
        <f>LET(
    payment_method,'Loan Tape (S&amp;P)'!P799,
    occupancy,'Loan Tape (S&amp;P)'!N799,
    maturity_date,'Loan Tape (S&amp;P)'!L799,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0">
      <c r="J800">
        <f>LET(
    lien,'Loan Tape (S&amp;P)'!Q800,
    IF(lien="First",1.00,
        IF(lien="Second",1.50,
            1.70)))</f>
        <v/>
      </c>
      <c r="K800">
        <f>LET(
    purpose,'Loan Tape (S&amp;P)'!R800,
    IF(purpose="Purchase",1.00,
        IF(purpose="Remortgage",1.00,
            1.20)))</f>
        <v/>
      </c>
      <c r="L800">
        <f>LET(
    arrears_months,'Loan Tape (S&amp;P)'!AN800,
    IF(arrears_months=0,1.00,
    IF(arrears_months=1,3.00,
    IF(arrears_months=2,5.00,
    IF(arrears_months=3,8.00,
    IF(arrears_months=4,10.00,
    IF(arrears_months=5,12.00,15.00)))))))</f>
        <v/>
      </c>
      <c r="M800">
        <f>LET(
    seasoning_years,DATEDIF('Loan Tape (S&amp;P)'!K800,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0">
        <f>IF(AND('Loan Tape (S&amp;P)'!U800="Yes",
        'Loan Tape (S&amp;P)'!T800&lt;&gt;"Yes",
        DATEDIF('Loan Tape (S&amp;P)'!K800, TODAY(), "M")&lt;18),
    1.10,
    1.00)</f>
        <v/>
      </c>
      <c r="O800">
        <f>IF('Loan Tape (S&amp;P)'!T800="Yes",
    1.35,
    1.00)</f>
        <v/>
      </c>
      <c r="P800">
        <f>IF('Loan Tape (S&amp;P)'!S800="Yes",
    1.15,
    1.00)</f>
        <v/>
      </c>
      <c r="Q800">
        <f>IF('Loan Tape (S&amp;P)'!V800="Yes",
    1.20,
    1.00)</f>
        <v/>
      </c>
      <c r="T800">
        <f>LET(
    payment_method,'Loan Tape (S&amp;P)'!P800,
    occupancy,'Loan Tape (S&amp;P)'!N800,
    maturity_date,'Loan Tape (S&amp;P)'!L800,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1">
      <c r="J801">
        <f>LET(
    lien,'Loan Tape (S&amp;P)'!Q801,
    IF(lien="First",1.00,
        IF(lien="Second",1.50,
            1.70)))</f>
        <v/>
      </c>
      <c r="K801">
        <f>LET(
    purpose,'Loan Tape (S&amp;P)'!R801,
    IF(purpose="Purchase",1.00,
        IF(purpose="Remortgage",1.00,
            1.20)))</f>
        <v/>
      </c>
      <c r="L801">
        <f>LET(
    arrears_months,'Loan Tape (S&amp;P)'!AN801,
    IF(arrears_months=0,1.00,
    IF(arrears_months=1,3.00,
    IF(arrears_months=2,5.00,
    IF(arrears_months=3,8.00,
    IF(arrears_months=4,10.00,
    IF(arrears_months=5,12.00,15.00)))))))</f>
        <v/>
      </c>
      <c r="M801">
        <f>LET(
    seasoning_years,DATEDIF('Loan Tape (S&amp;P)'!K801,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1">
        <f>IF(AND('Loan Tape (S&amp;P)'!U801="Yes",
        'Loan Tape (S&amp;P)'!T801&lt;&gt;"Yes",
        DATEDIF('Loan Tape (S&amp;P)'!K801, TODAY(), "M")&lt;18),
    1.10,
    1.00)</f>
        <v/>
      </c>
      <c r="O801">
        <f>IF('Loan Tape (S&amp;P)'!T801="Yes",
    1.35,
    1.00)</f>
        <v/>
      </c>
      <c r="P801">
        <f>IF('Loan Tape (S&amp;P)'!S801="Yes",
    1.15,
    1.00)</f>
        <v/>
      </c>
      <c r="Q801">
        <f>IF('Loan Tape (S&amp;P)'!V801="Yes",
    1.20,
    1.00)</f>
        <v/>
      </c>
      <c r="T801">
        <f>LET(
    payment_method,'Loan Tape (S&amp;P)'!P801,
    occupancy,'Loan Tape (S&amp;P)'!N801,
    maturity_date,'Loan Tape (S&amp;P)'!L801,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2">
      <c r="J802">
        <f>LET(
    lien,'Loan Tape (S&amp;P)'!Q802,
    IF(lien="First",1.00,
        IF(lien="Second",1.50,
            1.70)))</f>
        <v/>
      </c>
      <c r="K802">
        <f>LET(
    purpose,'Loan Tape (S&amp;P)'!R802,
    IF(purpose="Purchase",1.00,
        IF(purpose="Remortgage",1.00,
            1.20)))</f>
        <v/>
      </c>
      <c r="L802">
        <f>LET(
    arrears_months,'Loan Tape (S&amp;P)'!AN802,
    IF(arrears_months=0,1.00,
    IF(arrears_months=1,3.00,
    IF(arrears_months=2,5.00,
    IF(arrears_months=3,8.00,
    IF(arrears_months=4,10.00,
    IF(arrears_months=5,12.00,15.00)))))))</f>
        <v/>
      </c>
      <c r="M802">
        <f>LET(
    seasoning_years,DATEDIF('Loan Tape (S&amp;P)'!K802,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2">
        <f>IF(AND('Loan Tape (S&amp;P)'!U802="Yes",
        'Loan Tape (S&amp;P)'!T802&lt;&gt;"Yes",
        DATEDIF('Loan Tape (S&amp;P)'!K802, TODAY(), "M")&lt;18),
    1.10,
    1.00)</f>
        <v/>
      </c>
      <c r="O802">
        <f>IF('Loan Tape (S&amp;P)'!T802="Yes",
    1.35,
    1.00)</f>
        <v/>
      </c>
      <c r="P802">
        <f>IF('Loan Tape (S&amp;P)'!S802="Yes",
    1.15,
    1.00)</f>
        <v/>
      </c>
      <c r="Q802">
        <f>IF('Loan Tape (S&amp;P)'!V802="Yes",
    1.20,
    1.00)</f>
        <v/>
      </c>
      <c r="T802">
        <f>LET(
    payment_method,'Loan Tape (S&amp;P)'!P802,
    occupancy,'Loan Tape (S&amp;P)'!N802,
    maturity_date,'Loan Tape (S&amp;P)'!L802,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3">
      <c r="J803">
        <f>LET(
    lien,'Loan Tape (S&amp;P)'!Q803,
    IF(lien="First",1.00,
        IF(lien="Second",1.50,
            1.70)))</f>
        <v/>
      </c>
      <c r="K803">
        <f>LET(
    purpose,'Loan Tape (S&amp;P)'!R803,
    IF(purpose="Purchase",1.00,
        IF(purpose="Remortgage",1.00,
            1.20)))</f>
        <v/>
      </c>
      <c r="L803">
        <f>LET(
    arrears_months,'Loan Tape (S&amp;P)'!AN803,
    IF(arrears_months=0,1.00,
    IF(arrears_months=1,3.00,
    IF(arrears_months=2,5.00,
    IF(arrears_months=3,8.00,
    IF(arrears_months=4,10.00,
    IF(arrears_months=5,12.00,15.00)))))))</f>
        <v/>
      </c>
      <c r="M803">
        <f>LET(
    seasoning_years,DATEDIF('Loan Tape (S&amp;P)'!K803,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3">
        <f>IF(AND('Loan Tape (S&amp;P)'!U803="Yes",
        'Loan Tape (S&amp;P)'!T803&lt;&gt;"Yes",
        DATEDIF('Loan Tape (S&amp;P)'!K803, TODAY(), "M")&lt;18),
    1.10,
    1.00)</f>
        <v/>
      </c>
      <c r="O803">
        <f>IF('Loan Tape (S&amp;P)'!T803="Yes",
    1.35,
    1.00)</f>
        <v/>
      </c>
      <c r="P803">
        <f>IF('Loan Tape (S&amp;P)'!S803="Yes",
    1.15,
    1.00)</f>
        <v/>
      </c>
      <c r="Q803">
        <f>IF('Loan Tape (S&amp;P)'!V803="Yes",
    1.20,
    1.00)</f>
        <v/>
      </c>
      <c r="T803">
        <f>LET(
    payment_method,'Loan Tape (S&amp;P)'!P803,
    occupancy,'Loan Tape (S&amp;P)'!N803,
    maturity_date,'Loan Tape (S&amp;P)'!L803,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4">
      <c r="J804">
        <f>LET(
    lien,'Loan Tape (S&amp;P)'!Q804,
    IF(lien="First",1.00,
        IF(lien="Second",1.50,
            1.70)))</f>
        <v/>
      </c>
      <c r="K804">
        <f>LET(
    purpose,'Loan Tape (S&amp;P)'!R804,
    IF(purpose="Purchase",1.00,
        IF(purpose="Remortgage",1.00,
            1.20)))</f>
        <v/>
      </c>
      <c r="L804">
        <f>LET(
    arrears_months,'Loan Tape (S&amp;P)'!AN804,
    IF(arrears_months=0,1.00,
    IF(arrears_months=1,3.00,
    IF(arrears_months=2,5.00,
    IF(arrears_months=3,8.00,
    IF(arrears_months=4,10.00,
    IF(arrears_months=5,12.00,15.00)))))))</f>
        <v/>
      </c>
      <c r="M804">
        <f>LET(
    seasoning_years,DATEDIF('Loan Tape (S&amp;P)'!K804,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4">
        <f>IF(AND('Loan Tape (S&amp;P)'!U804="Yes",
        'Loan Tape (S&amp;P)'!T804&lt;&gt;"Yes",
        DATEDIF('Loan Tape (S&amp;P)'!K804, TODAY(), "M")&lt;18),
    1.10,
    1.00)</f>
        <v/>
      </c>
      <c r="O804">
        <f>IF('Loan Tape (S&amp;P)'!T804="Yes",
    1.35,
    1.00)</f>
        <v/>
      </c>
      <c r="P804">
        <f>IF('Loan Tape (S&amp;P)'!S804="Yes",
    1.15,
    1.00)</f>
        <v/>
      </c>
      <c r="Q804">
        <f>IF('Loan Tape (S&amp;P)'!V804="Yes",
    1.20,
    1.00)</f>
        <v/>
      </c>
      <c r="T804">
        <f>LET(
    payment_method,'Loan Tape (S&amp;P)'!P804,
    occupancy,'Loan Tape (S&amp;P)'!N804,
    maturity_date,'Loan Tape (S&amp;P)'!L804,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5">
      <c r="J805">
        <f>LET(
    lien,'Loan Tape (S&amp;P)'!Q805,
    IF(lien="First",1.00,
        IF(lien="Second",1.50,
            1.70)))</f>
        <v/>
      </c>
      <c r="K805">
        <f>LET(
    purpose,'Loan Tape (S&amp;P)'!R805,
    IF(purpose="Purchase",1.00,
        IF(purpose="Remortgage",1.00,
            1.20)))</f>
        <v/>
      </c>
      <c r="L805">
        <f>LET(
    arrears_months,'Loan Tape (S&amp;P)'!AN805,
    IF(arrears_months=0,1.00,
    IF(arrears_months=1,3.00,
    IF(arrears_months=2,5.00,
    IF(arrears_months=3,8.00,
    IF(arrears_months=4,10.00,
    IF(arrears_months=5,12.00,15.00)))))))</f>
        <v/>
      </c>
      <c r="M805">
        <f>LET(
    seasoning_years,DATEDIF('Loan Tape (S&amp;P)'!K805,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5">
        <f>IF(AND('Loan Tape (S&amp;P)'!U805="Yes",
        'Loan Tape (S&amp;P)'!T805&lt;&gt;"Yes",
        DATEDIF('Loan Tape (S&amp;P)'!K805, TODAY(), "M")&lt;18),
    1.10,
    1.00)</f>
        <v/>
      </c>
      <c r="O805">
        <f>IF('Loan Tape (S&amp;P)'!T805="Yes",
    1.35,
    1.00)</f>
        <v/>
      </c>
      <c r="P805">
        <f>IF('Loan Tape (S&amp;P)'!S805="Yes",
    1.15,
    1.00)</f>
        <v/>
      </c>
      <c r="Q805">
        <f>IF('Loan Tape (S&amp;P)'!V805="Yes",
    1.20,
    1.00)</f>
        <v/>
      </c>
      <c r="T805">
        <f>LET(
    payment_method,'Loan Tape (S&amp;P)'!P805,
    occupancy,'Loan Tape (S&amp;P)'!N805,
    maturity_date,'Loan Tape (S&amp;P)'!L805,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6">
      <c r="J806">
        <f>LET(
    lien,'Loan Tape (S&amp;P)'!Q806,
    IF(lien="First",1.00,
        IF(lien="Second",1.50,
            1.70)))</f>
        <v/>
      </c>
      <c r="K806">
        <f>LET(
    purpose,'Loan Tape (S&amp;P)'!R806,
    IF(purpose="Purchase",1.00,
        IF(purpose="Remortgage",1.00,
            1.20)))</f>
        <v/>
      </c>
      <c r="L806">
        <f>LET(
    arrears_months,'Loan Tape (S&amp;P)'!AN806,
    IF(arrears_months=0,1.00,
    IF(arrears_months=1,3.00,
    IF(arrears_months=2,5.00,
    IF(arrears_months=3,8.00,
    IF(arrears_months=4,10.00,
    IF(arrears_months=5,12.00,15.00)))))))</f>
        <v/>
      </c>
      <c r="M806">
        <f>LET(
    seasoning_years,DATEDIF('Loan Tape (S&amp;P)'!K806,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6">
        <f>IF(AND('Loan Tape (S&amp;P)'!U806="Yes",
        'Loan Tape (S&amp;P)'!T806&lt;&gt;"Yes",
        DATEDIF('Loan Tape (S&amp;P)'!K806, TODAY(), "M")&lt;18),
    1.10,
    1.00)</f>
        <v/>
      </c>
      <c r="O806">
        <f>IF('Loan Tape (S&amp;P)'!T806="Yes",
    1.35,
    1.00)</f>
        <v/>
      </c>
      <c r="P806">
        <f>IF('Loan Tape (S&amp;P)'!S806="Yes",
    1.15,
    1.00)</f>
        <v/>
      </c>
      <c r="Q806">
        <f>IF('Loan Tape (S&amp;P)'!V806="Yes",
    1.20,
    1.00)</f>
        <v/>
      </c>
      <c r="T806">
        <f>LET(
    payment_method,'Loan Tape (S&amp;P)'!P806,
    occupancy,'Loan Tape (S&amp;P)'!N806,
    maturity_date,'Loan Tape (S&amp;P)'!L806,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7">
      <c r="J807">
        <f>LET(
    lien,'Loan Tape (S&amp;P)'!Q807,
    IF(lien="First",1.00,
        IF(lien="Second",1.50,
            1.70)))</f>
        <v/>
      </c>
      <c r="K807">
        <f>LET(
    purpose,'Loan Tape (S&amp;P)'!R807,
    IF(purpose="Purchase",1.00,
        IF(purpose="Remortgage",1.00,
            1.20)))</f>
        <v/>
      </c>
      <c r="L807">
        <f>LET(
    arrears_months,'Loan Tape (S&amp;P)'!AN807,
    IF(arrears_months=0,1.00,
    IF(arrears_months=1,3.00,
    IF(arrears_months=2,5.00,
    IF(arrears_months=3,8.00,
    IF(arrears_months=4,10.00,
    IF(arrears_months=5,12.00,15.00)))))))</f>
        <v/>
      </c>
      <c r="M807">
        <f>LET(
    seasoning_years,DATEDIF('Loan Tape (S&amp;P)'!K807,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7">
        <f>IF(AND('Loan Tape (S&amp;P)'!U807="Yes",
        'Loan Tape (S&amp;P)'!T807&lt;&gt;"Yes",
        DATEDIF('Loan Tape (S&amp;P)'!K807, TODAY(), "M")&lt;18),
    1.10,
    1.00)</f>
        <v/>
      </c>
      <c r="O807">
        <f>IF('Loan Tape (S&amp;P)'!T807="Yes",
    1.35,
    1.00)</f>
        <v/>
      </c>
      <c r="P807">
        <f>IF('Loan Tape (S&amp;P)'!S807="Yes",
    1.15,
    1.00)</f>
        <v/>
      </c>
      <c r="Q807">
        <f>IF('Loan Tape (S&amp;P)'!V807="Yes",
    1.20,
    1.00)</f>
        <v/>
      </c>
      <c r="T807">
        <f>LET(
    payment_method,'Loan Tape (S&amp;P)'!P807,
    occupancy,'Loan Tape (S&amp;P)'!N807,
    maturity_date,'Loan Tape (S&amp;P)'!L807,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8">
      <c r="J808">
        <f>LET(
    lien,'Loan Tape (S&amp;P)'!Q808,
    IF(lien="First",1.00,
        IF(lien="Second",1.50,
            1.70)))</f>
        <v/>
      </c>
      <c r="K808">
        <f>LET(
    purpose,'Loan Tape (S&amp;P)'!R808,
    IF(purpose="Purchase",1.00,
        IF(purpose="Remortgage",1.00,
            1.20)))</f>
        <v/>
      </c>
      <c r="L808">
        <f>LET(
    arrears_months,'Loan Tape (S&amp;P)'!AN808,
    IF(arrears_months=0,1.00,
    IF(arrears_months=1,3.00,
    IF(arrears_months=2,5.00,
    IF(arrears_months=3,8.00,
    IF(arrears_months=4,10.00,
    IF(arrears_months=5,12.00,15.00)))))))</f>
        <v/>
      </c>
      <c r="M808">
        <f>LET(
    seasoning_years,DATEDIF('Loan Tape (S&amp;P)'!K808,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8">
        <f>IF(AND('Loan Tape (S&amp;P)'!U808="Yes",
        'Loan Tape (S&amp;P)'!T808&lt;&gt;"Yes",
        DATEDIF('Loan Tape (S&amp;P)'!K808, TODAY(), "M")&lt;18),
    1.10,
    1.00)</f>
        <v/>
      </c>
      <c r="O808">
        <f>IF('Loan Tape (S&amp;P)'!T808="Yes",
    1.35,
    1.00)</f>
        <v/>
      </c>
      <c r="P808">
        <f>IF('Loan Tape (S&amp;P)'!S808="Yes",
    1.15,
    1.00)</f>
        <v/>
      </c>
      <c r="Q808">
        <f>IF('Loan Tape (S&amp;P)'!V808="Yes",
    1.20,
    1.00)</f>
        <v/>
      </c>
      <c r="T808">
        <f>LET(
    payment_method,'Loan Tape (S&amp;P)'!P808,
    occupancy,'Loan Tape (S&amp;P)'!N808,
    maturity_date,'Loan Tape (S&amp;P)'!L808,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9">
      <c r="J809">
        <f>LET(
    lien,'Loan Tape (S&amp;P)'!Q809,
    IF(lien="First",1.00,
        IF(lien="Second",1.50,
            1.70)))</f>
        <v/>
      </c>
      <c r="K809">
        <f>LET(
    purpose,'Loan Tape (S&amp;P)'!R809,
    IF(purpose="Purchase",1.00,
        IF(purpose="Remortgage",1.00,
            1.20)))</f>
        <v/>
      </c>
      <c r="L809">
        <f>LET(
    arrears_months,'Loan Tape (S&amp;P)'!AN809,
    IF(arrears_months=0,1.00,
    IF(arrears_months=1,3.00,
    IF(arrears_months=2,5.00,
    IF(arrears_months=3,8.00,
    IF(arrears_months=4,10.00,
    IF(arrears_months=5,12.00,15.00)))))))</f>
        <v/>
      </c>
      <c r="M809">
        <f>LET(
    seasoning_years,DATEDIF('Loan Tape (S&amp;P)'!K809,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9">
        <f>IF(AND('Loan Tape (S&amp;P)'!U809="Yes",
        'Loan Tape (S&amp;P)'!T809&lt;&gt;"Yes",
        DATEDIF('Loan Tape (S&amp;P)'!K809, TODAY(), "M")&lt;18),
    1.10,
    1.00)</f>
        <v/>
      </c>
      <c r="O809">
        <f>IF('Loan Tape (S&amp;P)'!T809="Yes",
    1.35,
    1.00)</f>
        <v/>
      </c>
      <c r="P809">
        <f>IF('Loan Tape (S&amp;P)'!S809="Yes",
    1.15,
    1.00)</f>
        <v/>
      </c>
      <c r="Q809">
        <f>IF('Loan Tape (S&amp;P)'!V809="Yes",
    1.20,
    1.00)</f>
        <v/>
      </c>
      <c r="T809">
        <f>LET(
    payment_method,'Loan Tape (S&amp;P)'!P809,
    occupancy,'Loan Tape (S&amp;P)'!N809,
    maturity_date,'Loan Tape (S&amp;P)'!L809,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0">
      <c r="J810">
        <f>LET(
    lien,'Loan Tape (S&amp;P)'!Q810,
    IF(lien="First",1.00,
        IF(lien="Second",1.50,
            1.70)))</f>
        <v/>
      </c>
      <c r="K810">
        <f>LET(
    purpose,'Loan Tape (S&amp;P)'!R810,
    IF(purpose="Purchase",1.00,
        IF(purpose="Remortgage",1.00,
            1.20)))</f>
        <v/>
      </c>
      <c r="L810">
        <f>LET(
    arrears_months,'Loan Tape (S&amp;P)'!AN810,
    IF(arrears_months=0,1.00,
    IF(arrears_months=1,3.00,
    IF(arrears_months=2,5.00,
    IF(arrears_months=3,8.00,
    IF(arrears_months=4,10.00,
    IF(arrears_months=5,12.00,15.00)))))))</f>
        <v/>
      </c>
      <c r="M810">
        <f>LET(
    seasoning_years,DATEDIF('Loan Tape (S&amp;P)'!K810,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0">
        <f>IF(AND('Loan Tape (S&amp;P)'!U810="Yes",
        'Loan Tape (S&amp;P)'!T810&lt;&gt;"Yes",
        DATEDIF('Loan Tape (S&amp;P)'!K810, TODAY(), "M")&lt;18),
    1.10,
    1.00)</f>
        <v/>
      </c>
      <c r="O810">
        <f>IF('Loan Tape (S&amp;P)'!T810="Yes",
    1.35,
    1.00)</f>
        <v/>
      </c>
      <c r="P810">
        <f>IF('Loan Tape (S&amp;P)'!S810="Yes",
    1.15,
    1.00)</f>
        <v/>
      </c>
      <c r="Q810">
        <f>IF('Loan Tape (S&amp;P)'!V810="Yes",
    1.20,
    1.00)</f>
        <v/>
      </c>
      <c r="T810">
        <f>LET(
    payment_method,'Loan Tape (S&amp;P)'!P810,
    occupancy,'Loan Tape (S&amp;P)'!N810,
    maturity_date,'Loan Tape (S&amp;P)'!L810,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1">
      <c r="J811">
        <f>LET(
    lien,'Loan Tape (S&amp;P)'!Q811,
    IF(lien="First",1.00,
        IF(lien="Second",1.50,
            1.70)))</f>
        <v/>
      </c>
      <c r="K811">
        <f>LET(
    purpose,'Loan Tape (S&amp;P)'!R811,
    IF(purpose="Purchase",1.00,
        IF(purpose="Remortgage",1.00,
            1.20)))</f>
        <v/>
      </c>
      <c r="L811">
        <f>LET(
    arrears_months,'Loan Tape (S&amp;P)'!AN811,
    IF(arrears_months=0,1.00,
    IF(arrears_months=1,3.00,
    IF(arrears_months=2,5.00,
    IF(arrears_months=3,8.00,
    IF(arrears_months=4,10.00,
    IF(arrears_months=5,12.00,15.00)))))))</f>
        <v/>
      </c>
      <c r="M811">
        <f>LET(
    seasoning_years,DATEDIF('Loan Tape (S&amp;P)'!K811,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1">
        <f>IF(AND('Loan Tape (S&amp;P)'!U811="Yes",
        'Loan Tape (S&amp;P)'!T811&lt;&gt;"Yes",
        DATEDIF('Loan Tape (S&amp;P)'!K811, TODAY(), "M")&lt;18),
    1.10,
    1.00)</f>
        <v/>
      </c>
      <c r="O811">
        <f>IF('Loan Tape (S&amp;P)'!T811="Yes",
    1.35,
    1.00)</f>
        <v/>
      </c>
      <c r="P811">
        <f>IF('Loan Tape (S&amp;P)'!S811="Yes",
    1.15,
    1.00)</f>
        <v/>
      </c>
      <c r="Q811">
        <f>IF('Loan Tape (S&amp;P)'!V811="Yes",
    1.20,
    1.00)</f>
        <v/>
      </c>
      <c r="T811">
        <f>LET(
    payment_method,'Loan Tape (S&amp;P)'!P811,
    occupancy,'Loan Tape (S&amp;P)'!N811,
    maturity_date,'Loan Tape (S&amp;P)'!L811,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2">
      <c r="J812">
        <f>LET(
    lien,'Loan Tape (S&amp;P)'!Q812,
    IF(lien="First",1.00,
        IF(lien="Second",1.50,
            1.70)))</f>
        <v/>
      </c>
      <c r="K812">
        <f>LET(
    purpose,'Loan Tape (S&amp;P)'!R812,
    IF(purpose="Purchase",1.00,
        IF(purpose="Remortgage",1.00,
            1.20)))</f>
        <v/>
      </c>
      <c r="L812">
        <f>LET(
    arrears_months,'Loan Tape (S&amp;P)'!AN812,
    IF(arrears_months=0,1.00,
    IF(arrears_months=1,3.00,
    IF(arrears_months=2,5.00,
    IF(arrears_months=3,8.00,
    IF(arrears_months=4,10.00,
    IF(arrears_months=5,12.00,15.00)))))))</f>
        <v/>
      </c>
      <c r="M812">
        <f>LET(
    seasoning_years,DATEDIF('Loan Tape (S&amp;P)'!K812,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2">
        <f>IF(AND('Loan Tape (S&amp;P)'!U812="Yes",
        'Loan Tape (S&amp;P)'!T812&lt;&gt;"Yes",
        DATEDIF('Loan Tape (S&amp;P)'!K812, TODAY(), "M")&lt;18),
    1.10,
    1.00)</f>
        <v/>
      </c>
      <c r="O812">
        <f>IF('Loan Tape (S&amp;P)'!T812="Yes",
    1.35,
    1.00)</f>
        <v/>
      </c>
      <c r="P812">
        <f>IF('Loan Tape (S&amp;P)'!S812="Yes",
    1.15,
    1.00)</f>
        <v/>
      </c>
      <c r="Q812">
        <f>IF('Loan Tape (S&amp;P)'!V812="Yes",
    1.20,
    1.00)</f>
        <v/>
      </c>
      <c r="T812">
        <f>LET(
    payment_method,'Loan Tape (S&amp;P)'!P812,
    occupancy,'Loan Tape (S&amp;P)'!N812,
    maturity_date,'Loan Tape (S&amp;P)'!L812,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3">
      <c r="J813">
        <f>LET(
    lien,'Loan Tape (S&amp;P)'!Q813,
    IF(lien="First",1.00,
        IF(lien="Second",1.50,
            1.70)))</f>
        <v/>
      </c>
      <c r="K813">
        <f>LET(
    purpose,'Loan Tape (S&amp;P)'!R813,
    IF(purpose="Purchase",1.00,
        IF(purpose="Remortgage",1.00,
            1.20)))</f>
        <v/>
      </c>
      <c r="L813">
        <f>LET(
    arrears_months,'Loan Tape (S&amp;P)'!AN813,
    IF(arrears_months=0,1.00,
    IF(arrears_months=1,3.00,
    IF(arrears_months=2,5.00,
    IF(arrears_months=3,8.00,
    IF(arrears_months=4,10.00,
    IF(arrears_months=5,12.00,15.00)))))))</f>
        <v/>
      </c>
      <c r="M813">
        <f>LET(
    seasoning_years,DATEDIF('Loan Tape (S&amp;P)'!K813,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3">
        <f>IF(AND('Loan Tape (S&amp;P)'!U813="Yes",
        'Loan Tape (S&amp;P)'!T813&lt;&gt;"Yes",
        DATEDIF('Loan Tape (S&amp;P)'!K813, TODAY(), "M")&lt;18),
    1.10,
    1.00)</f>
        <v/>
      </c>
      <c r="O813">
        <f>IF('Loan Tape (S&amp;P)'!T813="Yes",
    1.35,
    1.00)</f>
        <v/>
      </c>
      <c r="P813">
        <f>IF('Loan Tape (S&amp;P)'!S813="Yes",
    1.15,
    1.00)</f>
        <v/>
      </c>
      <c r="Q813">
        <f>IF('Loan Tape (S&amp;P)'!V813="Yes",
    1.20,
    1.00)</f>
        <v/>
      </c>
      <c r="T813">
        <f>LET(
    payment_method,'Loan Tape (S&amp;P)'!P813,
    occupancy,'Loan Tape (S&amp;P)'!N813,
    maturity_date,'Loan Tape (S&amp;P)'!L813,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4">
      <c r="J814">
        <f>LET(
    lien,'Loan Tape (S&amp;P)'!Q814,
    IF(lien="First",1.00,
        IF(lien="Second",1.50,
            1.70)))</f>
        <v/>
      </c>
      <c r="K814">
        <f>LET(
    purpose,'Loan Tape (S&amp;P)'!R814,
    IF(purpose="Purchase",1.00,
        IF(purpose="Remortgage",1.00,
            1.20)))</f>
        <v/>
      </c>
      <c r="L814">
        <f>LET(
    arrears_months,'Loan Tape (S&amp;P)'!AN814,
    IF(arrears_months=0,1.00,
    IF(arrears_months=1,3.00,
    IF(arrears_months=2,5.00,
    IF(arrears_months=3,8.00,
    IF(arrears_months=4,10.00,
    IF(arrears_months=5,12.00,15.00)))))))</f>
        <v/>
      </c>
      <c r="M814">
        <f>LET(
    seasoning_years,DATEDIF('Loan Tape (S&amp;P)'!K814,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4">
        <f>IF(AND('Loan Tape (S&amp;P)'!U814="Yes",
        'Loan Tape (S&amp;P)'!T814&lt;&gt;"Yes",
        DATEDIF('Loan Tape (S&amp;P)'!K814, TODAY(), "M")&lt;18),
    1.10,
    1.00)</f>
        <v/>
      </c>
      <c r="O814">
        <f>IF('Loan Tape (S&amp;P)'!T814="Yes",
    1.35,
    1.00)</f>
        <v/>
      </c>
      <c r="P814">
        <f>IF('Loan Tape (S&amp;P)'!S814="Yes",
    1.15,
    1.00)</f>
        <v/>
      </c>
      <c r="Q814">
        <f>IF('Loan Tape (S&amp;P)'!V814="Yes",
    1.20,
    1.00)</f>
        <v/>
      </c>
      <c r="T814">
        <f>LET(
    payment_method,'Loan Tape (S&amp;P)'!P814,
    occupancy,'Loan Tape (S&amp;P)'!N814,
    maturity_date,'Loan Tape (S&amp;P)'!L814,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5">
      <c r="J815">
        <f>LET(
    lien,'Loan Tape (S&amp;P)'!Q815,
    IF(lien="First",1.00,
        IF(lien="Second",1.50,
            1.70)))</f>
        <v/>
      </c>
      <c r="K815">
        <f>LET(
    purpose,'Loan Tape (S&amp;P)'!R815,
    IF(purpose="Purchase",1.00,
        IF(purpose="Remortgage",1.00,
            1.20)))</f>
        <v/>
      </c>
      <c r="L815">
        <f>LET(
    arrears_months,'Loan Tape (S&amp;P)'!AN815,
    IF(arrears_months=0,1.00,
    IF(arrears_months=1,3.00,
    IF(arrears_months=2,5.00,
    IF(arrears_months=3,8.00,
    IF(arrears_months=4,10.00,
    IF(arrears_months=5,12.00,15.00)))))))</f>
        <v/>
      </c>
      <c r="M815">
        <f>LET(
    seasoning_years,DATEDIF('Loan Tape (S&amp;P)'!K815,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5">
        <f>IF(AND('Loan Tape (S&amp;P)'!U815="Yes",
        'Loan Tape (S&amp;P)'!T815&lt;&gt;"Yes",
        DATEDIF('Loan Tape (S&amp;P)'!K815, TODAY(), "M")&lt;18),
    1.10,
    1.00)</f>
        <v/>
      </c>
      <c r="O815">
        <f>IF('Loan Tape (S&amp;P)'!T815="Yes",
    1.35,
    1.00)</f>
        <v/>
      </c>
      <c r="P815">
        <f>IF('Loan Tape (S&amp;P)'!S815="Yes",
    1.15,
    1.00)</f>
        <v/>
      </c>
      <c r="Q815">
        <f>IF('Loan Tape (S&amp;P)'!V815="Yes",
    1.20,
    1.00)</f>
        <v/>
      </c>
      <c r="T815">
        <f>LET(
    payment_method,'Loan Tape (S&amp;P)'!P815,
    occupancy,'Loan Tape (S&amp;P)'!N815,
    maturity_date,'Loan Tape (S&amp;P)'!L815,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6">
      <c r="J816">
        <f>LET(
    lien,'Loan Tape (S&amp;P)'!Q816,
    IF(lien="First",1.00,
        IF(lien="Second",1.50,
            1.70)))</f>
        <v/>
      </c>
      <c r="K816">
        <f>LET(
    purpose,'Loan Tape (S&amp;P)'!R816,
    IF(purpose="Purchase",1.00,
        IF(purpose="Remortgage",1.00,
            1.20)))</f>
        <v/>
      </c>
      <c r="L816">
        <f>LET(
    arrears_months,'Loan Tape (S&amp;P)'!AN816,
    IF(arrears_months=0,1.00,
    IF(arrears_months=1,3.00,
    IF(arrears_months=2,5.00,
    IF(arrears_months=3,8.00,
    IF(arrears_months=4,10.00,
    IF(arrears_months=5,12.00,15.00)))))))</f>
        <v/>
      </c>
      <c r="M816">
        <f>LET(
    seasoning_years,DATEDIF('Loan Tape (S&amp;P)'!K816,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6">
        <f>IF(AND('Loan Tape (S&amp;P)'!U816="Yes",
        'Loan Tape (S&amp;P)'!T816&lt;&gt;"Yes",
        DATEDIF('Loan Tape (S&amp;P)'!K816, TODAY(), "M")&lt;18),
    1.10,
    1.00)</f>
        <v/>
      </c>
      <c r="O816">
        <f>IF('Loan Tape (S&amp;P)'!T816="Yes",
    1.35,
    1.00)</f>
        <v/>
      </c>
      <c r="P816">
        <f>IF('Loan Tape (S&amp;P)'!S816="Yes",
    1.15,
    1.00)</f>
        <v/>
      </c>
      <c r="Q816">
        <f>IF('Loan Tape (S&amp;P)'!V816="Yes",
    1.20,
    1.00)</f>
        <v/>
      </c>
      <c r="T816">
        <f>LET(
    payment_method,'Loan Tape (S&amp;P)'!P816,
    occupancy,'Loan Tape (S&amp;P)'!N816,
    maturity_date,'Loan Tape (S&amp;P)'!L816,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7">
      <c r="J817">
        <f>LET(
    lien,'Loan Tape (S&amp;P)'!Q817,
    IF(lien="First",1.00,
        IF(lien="Second",1.50,
            1.70)))</f>
        <v/>
      </c>
      <c r="K817">
        <f>LET(
    purpose,'Loan Tape (S&amp;P)'!R817,
    IF(purpose="Purchase",1.00,
        IF(purpose="Remortgage",1.00,
            1.20)))</f>
        <v/>
      </c>
      <c r="L817">
        <f>LET(
    arrears_months,'Loan Tape (S&amp;P)'!AN817,
    IF(arrears_months=0,1.00,
    IF(arrears_months=1,3.00,
    IF(arrears_months=2,5.00,
    IF(arrears_months=3,8.00,
    IF(arrears_months=4,10.00,
    IF(arrears_months=5,12.00,15.00)))))))</f>
        <v/>
      </c>
      <c r="M817">
        <f>LET(
    seasoning_years,DATEDIF('Loan Tape (S&amp;P)'!K817,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7">
        <f>IF(AND('Loan Tape (S&amp;P)'!U817="Yes",
        'Loan Tape (S&amp;P)'!T817&lt;&gt;"Yes",
        DATEDIF('Loan Tape (S&amp;P)'!K817, TODAY(), "M")&lt;18),
    1.10,
    1.00)</f>
        <v/>
      </c>
      <c r="O817">
        <f>IF('Loan Tape (S&amp;P)'!T817="Yes",
    1.35,
    1.00)</f>
        <v/>
      </c>
      <c r="P817">
        <f>IF('Loan Tape (S&amp;P)'!S817="Yes",
    1.15,
    1.00)</f>
        <v/>
      </c>
      <c r="Q817">
        <f>IF('Loan Tape (S&amp;P)'!V817="Yes",
    1.20,
    1.00)</f>
        <v/>
      </c>
      <c r="T817">
        <f>LET(
    payment_method,'Loan Tape (S&amp;P)'!P817,
    occupancy,'Loan Tape (S&amp;P)'!N817,
    maturity_date,'Loan Tape (S&amp;P)'!L817,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8">
      <c r="J818">
        <f>LET(
    lien,'Loan Tape (S&amp;P)'!Q818,
    IF(lien="First",1.00,
        IF(lien="Second",1.50,
            1.70)))</f>
        <v/>
      </c>
      <c r="K818">
        <f>LET(
    purpose,'Loan Tape (S&amp;P)'!R818,
    IF(purpose="Purchase",1.00,
        IF(purpose="Remortgage",1.00,
            1.20)))</f>
        <v/>
      </c>
      <c r="L818">
        <f>LET(
    arrears_months,'Loan Tape (S&amp;P)'!AN818,
    IF(arrears_months=0,1.00,
    IF(arrears_months=1,3.00,
    IF(arrears_months=2,5.00,
    IF(arrears_months=3,8.00,
    IF(arrears_months=4,10.00,
    IF(arrears_months=5,12.00,15.00)))))))</f>
        <v/>
      </c>
      <c r="M818">
        <f>LET(
    seasoning_years,DATEDIF('Loan Tape (S&amp;P)'!K818,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8">
        <f>IF(AND('Loan Tape (S&amp;P)'!U818="Yes",
        'Loan Tape (S&amp;P)'!T818&lt;&gt;"Yes",
        DATEDIF('Loan Tape (S&amp;P)'!K818, TODAY(), "M")&lt;18),
    1.10,
    1.00)</f>
        <v/>
      </c>
      <c r="O818">
        <f>IF('Loan Tape (S&amp;P)'!T818="Yes",
    1.35,
    1.00)</f>
        <v/>
      </c>
      <c r="P818">
        <f>IF('Loan Tape (S&amp;P)'!S818="Yes",
    1.15,
    1.00)</f>
        <v/>
      </c>
      <c r="Q818">
        <f>IF('Loan Tape (S&amp;P)'!V818="Yes",
    1.20,
    1.00)</f>
        <v/>
      </c>
      <c r="T818">
        <f>LET(
    payment_method,'Loan Tape (S&amp;P)'!P818,
    occupancy,'Loan Tape (S&amp;P)'!N818,
    maturity_date,'Loan Tape (S&amp;P)'!L818,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9">
      <c r="J819">
        <f>LET(
    lien,'Loan Tape (S&amp;P)'!Q819,
    IF(lien="First",1.00,
        IF(lien="Second",1.50,
            1.70)))</f>
        <v/>
      </c>
      <c r="K819">
        <f>LET(
    purpose,'Loan Tape (S&amp;P)'!R819,
    IF(purpose="Purchase",1.00,
        IF(purpose="Remortgage",1.00,
            1.20)))</f>
        <v/>
      </c>
      <c r="L819">
        <f>LET(
    arrears_months,'Loan Tape (S&amp;P)'!AN819,
    IF(arrears_months=0,1.00,
    IF(arrears_months=1,3.00,
    IF(arrears_months=2,5.00,
    IF(arrears_months=3,8.00,
    IF(arrears_months=4,10.00,
    IF(arrears_months=5,12.00,15.00)))))))</f>
        <v/>
      </c>
      <c r="M819">
        <f>LET(
    seasoning_years,DATEDIF('Loan Tape (S&amp;P)'!K819,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9">
        <f>IF(AND('Loan Tape (S&amp;P)'!U819="Yes",
        'Loan Tape (S&amp;P)'!T819&lt;&gt;"Yes",
        DATEDIF('Loan Tape (S&amp;P)'!K819, TODAY(), "M")&lt;18),
    1.10,
    1.00)</f>
        <v/>
      </c>
      <c r="O819">
        <f>IF('Loan Tape (S&amp;P)'!T819="Yes",
    1.35,
    1.00)</f>
        <v/>
      </c>
      <c r="P819">
        <f>IF('Loan Tape (S&amp;P)'!S819="Yes",
    1.15,
    1.00)</f>
        <v/>
      </c>
      <c r="Q819">
        <f>IF('Loan Tape (S&amp;P)'!V819="Yes",
    1.20,
    1.00)</f>
        <v/>
      </c>
      <c r="T819">
        <f>LET(
    payment_method,'Loan Tape (S&amp;P)'!P819,
    occupancy,'Loan Tape (S&amp;P)'!N819,
    maturity_date,'Loan Tape (S&amp;P)'!L819,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0">
      <c r="J820">
        <f>LET(
    lien,'Loan Tape (S&amp;P)'!Q820,
    IF(lien="First",1.00,
        IF(lien="Second",1.50,
            1.70)))</f>
        <v/>
      </c>
      <c r="K820">
        <f>LET(
    purpose,'Loan Tape (S&amp;P)'!R820,
    IF(purpose="Purchase",1.00,
        IF(purpose="Remortgage",1.00,
            1.20)))</f>
        <v/>
      </c>
      <c r="L820">
        <f>LET(
    arrears_months,'Loan Tape (S&amp;P)'!AN820,
    IF(arrears_months=0,1.00,
    IF(arrears_months=1,3.00,
    IF(arrears_months=2,5.00,
    IF(arrears_months=3,8.00,
    IF(arrears_months=4,10.00,
    IF(arrears_months=5,12.00,15.00)))))))</f>
        <v/>
      </c>
      <c r="M820">
        <f>LET(
    seasoning_years,DATEDIF('Loan Tape (S&amp;P)'!K820,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0">
        <f>IF(AND('Loan Tape (S&amp;P)'!U820="Yes",
        'Loan Tape (S&amp;P)'!T820&lt;&gt;"Yes",
        DATEDIF('Loan Tape (S&amp;P)'!K820, TODAY(), "M")&lt;18),
    1.10,
    1.00)</f>
        <v/>
      </c>
      <c r="O820">
        <f>IF('Loan Tape (S&amp;P)'!T820="Yes",
    1.35,
    1.00)</f>
        <v/>
      </c>
      <c r="P820">
        <f>IF('Loan Tape (S&amp;P)'!S820="Yes",
    1.15,
    1.00)</f>
        <v/>
      </c>
      <c r="Q820">
        <f>IF('Loan Tape (S&amp;P)'!V820="Yes",
    1.20,
    1.00)</f>
        <v/>
      </c>
      <c r="T820">
        <f>LET(
    payment_method,'Loan Tape (S&amp;P)'!P820,
    occupancy,'Loan Tape (S&amp;P)'!N820,
    maturity_date,'Loan Tape (S&amp;P)'!L820,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1">
      <c r="J821">
        <f>LET(
    lien,'Loan Tape (S&amp;P)'!Q821,
    IF(lien="First",1.00,
        IF(lien="Second",1.50,
            1.70)))</f>
        <v/>
      </c>
      <c r="K821">
        <f>LET(
    purpose,'Loan Tape (S&amp;P)'!R821,
    IF(purpose="Purchase",1.00,
        IF(purpose="Remortgage",1.00,
            1.20)))</f>
        <v/>
      </c>
      <c r="L821">
        <f>LET(
    arrears_months,'Loan Tape (S&amp;P)'!AN821,
    IF(arrears_months=0,1.00,
    IF(arrears_months=1,3.00,
    IF(arrears_months=2,5.00,
    IF(arrears_months=3,8.00,
    IF(arrears_months=4,10.00,
    IF(arrears_months=5,12.00,15.00)))))))</f>
        <v/>
      </c>
      <c r="M821">
        <f>LET(
    seasoning_years,DATEDIF('Loan Tape (S&amp;P)'!K821,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1">
        <f>IF(AND('Loan Tape (S&amp;P)'!U821="Yes",
        'Loan Tape (S&amp;P)'!T821&lt;&gt;"Yes",
        DATEDIF('Loan Tape (S&amp;P)'!K821, TODAY(), "M")&lt;18),
    1.10,
    1.00)</f>
        <v/>
      </c>
      <c r="O821">
        <f>IF('Loan Tape (S&amp;P)'!T821="Yes",
    1.35,
    1.00)</f>
        <v/>
      </c>
      <c r="P821">
        <f>IF('Loan Tape (S&amp;P)'!S821="Yes",
    1.15,
    1.00)</f>
        <v/>
      </c>
      <c r="Q821">
        <f>IF('Loan Tape (S&amp;P)'!V821="Yes",
    1.20,
    1.00)</f>
        <v/>
      </c>
      <c r="T821">
        <f>LET(
    payment_method,'Loan Tape (S&amp;P)'!P821,
    occupancy,'Loan Tape (S&amp;P)'!N821,
    maturity_date,'Loan Tape (S&amp;P)'!L821,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2">
      <c r="J822">
        <f>LET(
    lien,'Loan Tape (S&amp;P)'!Q822,
    IF(lien="First",1.00,
        IF(lien="Second",1.50,
            1.70)))</f>
        <v/>
      </c>
      <c r="K822">
        <f>LET(
    purpose,'Loan Tape (S&amp;P)'!R822,
    IF(purpose="Purchase",1.00,
        IF(purpose="Remortgage",1.00,
            1.20)))</f>
        <v/>
      </c>
      <c r="L822">
        <f>LET(
    arrears_months,'Loan Tape (S&amp;P)'!AN822,
    IF(arrears_months=0,1.00,
    IF(arrears_months=1,3.00,
    IF(arrears_months=2,5.00,
    IF(arrears_months=3,8.00,
    IF(arrears_months=4,10.00,
    IF(arrears_months=5,12.00,15.00)))))))</f>
        <v/>
      </c>
      <c r="M822">
        <f>LET(
    seasoning_years,DATEDIF('Loan Tape (S&amp;P)'!K822,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2">
        <f>IF(AND('Loan Tape (S&amp;P)'!U822="Yes",
        'Loan Tape (S&amp;P)'!T822&lt;&gt;"Yes",
        DATEDIF('Loan Tape (S&amp;P)'!K822, TODAY(), "M")&lt;18),
    1.10,
    1.00)</f>
        <v/>
      </c>
      <c r="O822">
        <f>IF('Loan Tape (S&amp;P)'!T822="Yes",
    1.35,
    1.00)</f>
        <v/>
      </c>
      <c r="P822">
        <f>IF('Loan Tape (S&amp;P)'!S822="Yes",
    1.15,
    1.00)</f>
        <v/>
      </c>
      <c r="Q822">
        <f>IF('Loan Tape (S&amp;P)'!V822="Yes",
    1.20,
    1.00)</f>
        <v/>
      </c>
      <c r="T822">
        <f>LET(
    payment_method,'Loan Tape (S&amp;P)'!P822,
    occupancy,'Loan Tape (S&amp;P)'!N822,
    maturity_date,'Loan Tape (S&amp;P)'!L822,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3">
      <c r="J823">
        <f>LET(
    lien,'Loan Tape (S&amp;P)'!Q823,
    IF(lien="First",1.00,
        IF(lien="Second",1.50,
            1.70)))</f>
        <v/>
      </c>
      <c r="K823">
        <f>LET(
    purpose,'Loan Tape (S&amp;P)'!R823,
    IF(purpose="Purchase",1.00,
        IF(purpose="Remortgage",1.00,
            1.20)))</f>
        <v/>
      </c>
      <c r="L823">
        <f>LET(
    arrears_months,'Loan Tape (S&amp;P)'!AN823,
    IF(arrears_months=0,1.00,
    IF(arrears_months=1,3.00,
    IF(arrears_months=2,5.00,
    IF(arrears_months=3,8.00,
    IF(arrears_months=4,10.00,
    IF(arrears_months=5,12.00,15.00)))))))</f>
        <v/>
      </c>
      <c r="M823">
        <f>LET(
    seasoning_years,DATEDIF('Loan Tape (S&amp;P)'!K823,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3">
        <f>IF(AND('Loan Tape (S&amp;P)'!U823="Yes",
        'Loan Tape (S&amp;P)'!T823&lt;&gt;"Yes",
        DATEDIF('Loan Tape (S&amp;P)'!K823, TODAY(), "M")&lt;18),
    1.10,
    1.00)</f>
        <v/>
      </c>
      <c r="O823">
        <f>IF('Loan Tape (S&amp;P)'!T823="Yes",
    1.35,
    1.00)</f>
        <v/>
      </c>
      <c r="P823">
        <f>IF('Loan Tape (S&amp;P)'!S823="Yes",
    1.15,
    1.00)</f>
        <v/>
      </c>
      <c r="Q823">
        <f>IF('Loan Tape (S&amp;P)'!V823="Yes",
    1.20,
    1.00)</f>
        <v/>
      </c>
      <c r="T823">
        <f>LET(
    payment_method,'Loan Tape (S&amp;P)'!P823,
    occupancy,'Loan Tape (S&amp;P)'!N823,
    maturity_date,'Loan Tape (S&amp;P)'!L823,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4">
      <c r="J824">
        <f>LET(
    lien,'Loan Tape (S&amp;P)'!Q824,
    IF(lien="First",1.00,
        IF(lien="Second",1.50,
            1.70)))</f>
        <v/>
      </c>
      <c r="K824">
        <f>LET(
    purpose,'Loan Tape (S&amp;P)'!R824,
    IF(purpose="Purchase",1.00,
        IF(purpose="Remortgage",1.00,
            1.20)))</f>
        <v/>
      </c>
      <c r="L824">
        <f>LET(
    arrears_months,'Loan Tape (S&amp;P)'!AN824,
    IF(arrears_months=0,1.00,
    IF(arrears_months=1,3.00,
    IF(arrears_months=2,5.00,
    IF(arrears_months=3,8.00,
    IF(arrears_months=4,10.00,
    IF(arrears_months=5,12.00,15.00)))))))</f>
        <v/>
      </c>
      <c r="M824">
        <f>LET(
    seasoning_years,DATEDIF('Loan Tape (S&amp;P)'!K824,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4">
        <f>IF(AND('Loan Tape (S&amp;P)'!U824="Yes",
        'Loan Tape (S&amp;P)'!T824&lt;&gt;"Yes",
        DATEDIF('Loan Tape (S&amp;P)'!K824, TODAY(), "M")&lt;18),
    1.10,
    1.00)</f>
        <v/>
      </c>
      <c r="O824">
        <f>IF('Loan Tape (S&amp;P)'!T824="Yes",
    1.35,
    1.00)</f>
        <v/>
      </c>
      <c r="P824">
        <f>IF('Loan Tape (S&amp;P)'!S824="Yes",
    1.15,
    1.00)</f>
        <v/>
      </c>
      <c r="Q824">
        <f>IF('Loan Tape (S&amp;P)'!V824="Yes",
    1.20,
    1.00)</f>
        <v/>
      </c>
      <c r="T824">
        <f>LET(
    payment_method,'Loan Tape (S&amp;P)'!P824,
    occupancy,'Loan Tape (S&amp;P)'!N824,
    maturity_date,'Loan Tape (S&amp;P)'!L824,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5">
      <c r="J825">
        <f>LET(
    lien,'Loan Tape (S&amp;P)'!Q825,
    IF(lien="First",1.00,
        IF(lien="Second",1.50,
            1.70)))</f>
        <v/>
      </c>
      <c r="K825">
        <f>LET(
    purpose,'Loan Tape (S&amp;P)'!R825,
    IF(purpose="Purchase",1.00,
        IF(purpose="Remortgage",1.00,
            1.20)))</f>
        <v/>
      </c>
      <c r="L825">
        <f>LET(
    arrears_months,'Loan Tape (S&amp;P)'!AN825,
    IF(arrears_months=0,1.00,
    IF(arrears_months=1,3.00,
    IF(arrears_months=2,5.00,
    IF(arrears_months=3,8.00,
    IF(arrears_months=4,10.00,
    IF(arrears_months=5,12.00,15.00)))))))</f>
        <v/>
      </c>
      <c r="M825">
        <f>LET(
    seasoning_years,DATEDIF('Loan Tape (S&amp;P)'!K825,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5">
        <f>IF(AND('Loan Tape (S&amp;P)'!U825="Yes",
        'Loan Tape (S&amp;P)'!T825&lt;&gt;"Yes",
        DATEDIF('Loan Tape (S&amp;P)'!K825, TODAY(), "M")&lt;18),
    1.10,
    1.00)</f>
        <v/>
      </c>
      <c r="O825">
        <f>IF('Loan Tape (S&amp;P)'!T825="Yes",
    1.35,
    1.00)</f>
        <v/>
      </c>
      <c r="P825">
        <f>IF('Loan Tape (S&amp;P)'!S825="Yes",
    1.15,
    1.00)</f>
        <v/>
      </c>
      <c r="Q825">
        <f>IF('Loan Tape (S&amp;P)'!V825="Yes",
    1.20,
    1.00)</f>
        <v/>
      </c>
      <c r="T825">
        <f>LET(
    payment_method,'Loan Tape (S&amp;P)'!P825,
    occupancy,'Loan Tape (S&amp;P)'!N825,
    maturity_date,'Loan Tape (S&amp;P)'!L825,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6">
      <c r="J826">
        <f>LET(
    lien,'Loan Tape (S&amp;P)'!Q826,
    IF(lien="First",1.00,
        IF(lien="Second",1.50,
            1.70)))</f>
        <v/>
      </c>
      <c r="K826">
        <f>LET(
    purpose,'Loan Tape (S&amp;P)'!R826,
    IF(purpose="Purchase",1.00,
        IF(purpose="Remortgage",1.00,
            1.20)))</f>
        <v/>
      </c>
      <c r="L826">
        <f>LET(
    arrears_months,'Loan Tape (S&amp;P)'!AN826,
    IF(arrears_months=0,1.00,
    IF(arrears_months=1,3.00,
    IF(arrears_months=2,5.00,
    IF(arrears_months=3,8.00,
    IF(arrears_months=4,10.00,
    IF(arrears_months=5,12.00,15.00)))))))</f>
        <v/>
      </c>
      <c r="M826">
        <f>LET(
    seasoning_years,DATEDIF('Loan Tape (S&amp;P)'!K826,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6">
        <f>IF(AND('Loan Tape (S&amp;P)'!U826="Yes",
        'Loan Tape (S&amp;P)'!T826&lt;&gt;"Yes",
        DATEDIF('Loan Tape (S&amp;P)'!K826, TODAY(), "M")&lt;18),
    1.10,
    1.00)</f>
        <v/>
      </c>
      <c r="O826">
        <f>IF('Loan Tape (S&amp;P)'!T826="Yes",
    1.35,
    1.00)</f>
        <v/>
      </c>
      <c r="P826">
        <f>IF('Loan Tape (S&amp;P)'!S826="Yes",
    1.15,
    1.00)</f>
        <v/>
      </c>
      <c r="Q826">
        <f>IF('Loan Tape (S&amp;P)'!V826="Yes",
    1.20,
    1.00)</f>
        <v/>
      </c>
      <c r="T826">
        <f>LET(
    payment_method,'Loan Tape (S&amp;P)'!P826,
    occupancy,'Loan Tape (S&amp;P)'!N826,
    maturity_date,'Loan Tape (S&amp;P)'!L826,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7">
      <c r="J827">
        <f>LET(
    lien,'Loan Tape (S&amp;P)'!Q827,
    IF(lien="First",1.00,
        IF(lien="Second",1.50,
            1.70)))</f>
        <v/>
      </c>
      <c r="K827">
        <f>LET(
    purpose,'Loan Tape (S&amp;P)'!R827,
    IF(purpose="Purchase",1.00,
        IF(purpose="Remortgage",1.00,
            1.20)))</f>
        <v/>
      </c>
      <c r="L827">
        <f>LET(
    arrears_months,'Loan Tape (S&amp;P)'!AN827,
    IF(arrears_months=0,1.00,
    IF(arrears_months=1,3.00,
    IF(arrears_months=2,5.00,
    IF(arrears_months=3,8.00,
    IF(arrears_months=4,10.00,
    IF(arrears_months=5,12.00,15.00)))))))</f>
        <v/>
      </c>
      <c r="M827">
        <f>LET(
    seasoning_years,DATEDIF('Loan Tape (S&amp;P)'!K827,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7">
        <f>IF(AND('Loan Tape (S&amp;P)'!U827="Yes",
        'Loan Tape (S&amp;P)'!T827&lt;&gt;"Yes",
        DATEDIF('Loan Tape (S&amp;P)'!K827, TODAY(), "M")&lt;18),
    1.10,
    1.00)</f>
        <v/>
      </c>
      <c r="O827">
        <f>IF('Loan Tape (S&amp;P)'!T827="Yes",
    1.35,
    1.00)</f>
        <v/>
      </c>
      <c r="P827">
        <f>IF('Loan Tape (S&amp;P)'!S827="Yes",
    1.15,
    1.00)</f>
        <v/>
      </c>
      <c r="Q827">
        <f>IF('Loan Tape (S&amp;P)'!V827="Yes",
    1.20,
    1.00)</f>
        <v/>
      </c>
      <c r="T827">
        <f>LET(
    payment_method,'Loan Tape (S&amp;P)'!P827,
    occupancy,'Loan Tape (S&amp;P)'!N827,
    maturity_date,'Loan Tape (S&amp;P)'!L827,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8">
      <c r="J828">
        <f>LET(
    lien,'Loan Tape (S&amp;P)'!Q828,
    IF(lien="First",1.00,
        IF(lien="Second",1.50,
            1.70)))</f>
        <v/>
      </c>
      <c r="K828">
        <f>LET(
    purpose,'Loan Tape (S&amp;P)'!R828,
    IF(purpose="Purchase",1.00,
        IF(purpose="Remortgage",1.00,
            1.20)))</f>
        <v/>
      </c>
      <c r="L828">
        <f>LET(
    arrears_months,'Loan Tape (S&amp;P)'!AN828,
    IF(arrears_months=0,1.00,
    IF(arrears_months=1,3.00,
    IF(arrears_months=2,5.00,
    IF(arrears_months=3,8.00,
    IF(arrears_months=4,10.00,
    IF(arrears_months=5,12.00,15.00)))))))</f>
        <v/>
      </c>
      <c r="M828">
        <f>LET(
    seasoning_years,DATEDIF('Loan Tape (S&amp;P)'!K828,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8">
        <f>IF(AND('Loan Tape (S&amp;P)'!U828="Yes",
        'Loan Tape (S&amp;P)'!T828&lt;&gt;"Yes",
        DATEDIF('Loan Tape (S&amp;P)'!K828, TODAY(), "M")&lt;18),
    1.10,
    1.00)</f>
        <v/>
      </c>
      <c r="O828">
        <f>IF('Loan Tape (S&amp;P)'!T828="Yes",
    1.35,
    1.00)</f>
        <v/>
      </c>
      <c r="P828">
        <f>IF('Loan Tape (S&amp;P)'!S828="Yes",
    1.15,
    1.00)</f>
        <v/>
      </c>
      <c r="Q828">
        <f>IF('Loan Tape (S&amp;P)'!V828="Yes",
    1.20,
    1.00)</f>
        <v/>
      </c>
      <c r="T828">
        <f>LET(
    payment_method,'Loan Tape (S&amp;P)'!P828,
    occupancy,'Loan Tape (S&amp;P)'!N828,
    maturity_date,'Loan Tape (S&amp;P)'!L828,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9">
      <c r="J829">
        <f>LET(
    lien,'Loan Tape (S&amp;P)'!Q829,
    IF(lien="First",1.00,
        IF(lien="Second",1.50,
            1.70)))</f>
        <v/>
      </c>
      <c r="K829">
        <f>LET(
    purpose,'Loan Tape (S&amp;P)'!R829,
    IF(purpose="Purchase",1.00,
        IF(purpose="Remortgage",1.00,
            1.20)))</f>
        <v/>
      </c>
      <c r="L829">
        <f>LET(
    arrears_months,'Loan Tape (S&amp;P)'!AN829,
    IF(arrears_months=0,1.00,
    IF(arrears_months=1,3.00,
    IF(arrears_months=2,5.00,
    IF(arrears_months=3,8.00,
    IF(arrears_months=4,10.00,
    IF(arrears_months=5,12.00,15.00)))))))</f>
        <v/>
      </c>
      <c r="M829">
        <f>LET(
    seasoning_years,DATEDIF('Loan Tape (S&amp;P)'!K829,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9">
        <f>IF(AND('Loan Tape (S&amp;P)'!U829="Yes",
        'Loan Tape (S&amp;P)'!T829&lt;&gt;"Yes",
        DATEDIF('Loan Tape (S&amp;P)'!K829, TODAY(), "M")&lt;18),
    1.10,
    1.00)</f>
        <v/>
      </c>
      <c r="O829">
        <f>IF('Loan Tape (S&amp;P)'!T829="Yes",
    1.35,
    1.00)</f>
        <v/>
      </c>
      <c r="P829">
        <f>IF('Loan Tape (S&amp;P)'!S829="Yes",
    1.15,
    1.00)</f>
        <v/>
      </c>
      <c r="Q829">
        <f>IF('Loan Tape (S&amp;P)'!V829="Yes",
    1.20,
    1.00)</f>
        <v/>
      </c>
      <c r="T829">
        <f>LET(
    payment_method,'Loan Tape (S&amp;P)'!P829,
    occupancy,'Loan Tape (S&amp;P)'!N829,
    maturity_date,'Loan Tape (S&amp;P)'!L829,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0">
      <c r="J830">
        <f>LET(
    lien,'Loan Tape (S&amp;P)'!Q830,
    IF(lien="First",1.00,
        IF(lien="Second",1.50,
            1.70)))</f>
        <v/>
      </c>
      <c r="K830">
        <f>LET(
    purpose,'Loan Tape (S&amp;P)'!R830,
    IF(purpose="Purchase",1.00,
        IF(purpose="Remortgage",1.00,
            1.20)))</f>
        <v/>
      </c>
      <c r="L830">
        <f>LET(
    arrears_months,'Loan Tape (S&amp;P)'!AN830,
    IF(arrears_months=0,1.00,
    IF(arrears_months=1,3.00,
    IF(arrears_months=2,5.00,
    IF(arrears_months=3,8.00,
    IF(arrears_months=4,10.00,
    IF(arrears_months=5,12.00,15.00)))))))</f>
        <v/>
      </c>
      <c r="M830">
        <f>LET(
    seasoning_years,DATEDIF('Loan Tape (S&amp;P)'!K830,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0">
        <f>IF(AND('Loan Tape (S&amp;P)'!U830="Yes",
        'Loan Tape (S&amp;P)'!T830&lt;&gt;"Yes",
        DATEDIF('Loan Tape (S&amp;P)'!K830, TODAY(), "M")&lt;18),
    1.10,
    1.00)</f>
        <v/>
      </c>
      <c r="O830">
        <f>IF('Loan Tape (S&amp;P)'!T830="Yes",
    1.35,
    1.00)</f>
        <v/>
      </c>
      <c r="P830">
        <f>IF('Loan Tape (S&amp;P)'!S830="Yes",
    1.15,
    1.00)</f>
        <v/>
      </c>
      <c r="Q830">
        <f>IF('Loan Tape (S&amp;P)'!V830="Yes",
    1.20,
    1.00)</f>
        <v/>
      </c>
      <c r="T830">
        <f>LET(
    payment_method,'Loan Tape (S&amp;P)'!P830,
    occupancy,'Loan Tape (S&amp;P)'!N830,
    maturity_date,'Loan Tape (S&amp;P)'!L830,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1">
      <c r="J831">
        <f>LET(
    lien,'Loan Tape (S&amp;P)'!Q831,
    IF(lien="First",1.00,
        IF(lien="Second",1.50,
            1.70)))</f>
        <v/>
      </c>
      <c r="K831">
        <f>LET(
    purpose,'Loan Tape (S&amp;P)'!R831,
    IF(purpose="Purchase",1.00,
        IF(purpose="Remortgage",1.00,
            1.20)))</f>
        <v/>
      </c>
      <c r="L831">
        <f>LET(
    arrears_months,'Loan Tape (S&amp;P)'!AN831,
    IF(arrears_months=0,1.00,
    IF(arrears_months=1,3.00,
    IF(arrears_months=2,5.00,
    IF(arrears_months=3,8.00,
    IF(arrears_months=4,10.00,
    IF(arrears_months=5,12.00,15.00)))))))</f>
        <v/>
      </c>
      <c r="M831">
        <f>LET(
    seasoning_years,DATEDIF('Loan Tape (S&amp;P)'!K831,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1">
        <f>IF(AND('Loan Tape (S&amp;P)'!U831="Yes",
        'Loan Tape (S&amp;P)'!T831&lt;&gt;"Yes",
        DATEDIF('Loan Tape (S&amp;P)'!K831, TODAY(), "M")&lt;18),
    1.10,
    1.00)</f>
        <v/>
      </c>
      <c r="O831">
        <f>IF('Loan Tape (S&amp;P)'!T831="Yes",
    1.35,
    1.00)</f>
        <v/>
      </c>
      <c r="P831">
        <f>IF('Loan Tape (S&amp;P)'!S831="Yes",
    1.15,
    1.00)</f>
        <v/>
      </c>
      <c r="Q831">
        <f>IF('Loan Tape (S&amp;P)'!V831="Yes",
    1.20,
    1.00)</f>
        <v/>
      </c>
      <c r="T831">
        <f>LET(
    payment_method,'Loan Tape (S&amp;P)'!P831,
    occupancy,'Loan Tape (S&amp;P)'!N831,
    maturity_date,'Loan Tape (S&amp;P)'!L831,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2">
      <c r="J832">
        <f>LET(
    lien,'Loan Tape (S&amp;P)'!Q832,
    IF(lien="First",1.00,
        IF(lien="Second",1.50,
            1.70)))</f>
        <v/>
      </c>
      <c r="K832">
        <f>LET(
    purpose,'Loan Tape (S&amp;P)'!R832,
    IF(purpose="Purchase",1.00,
        IF(purpose="Remortgage",1.00,
            1.20)))</f>
        <v/>
      </c>
      <c r="L832">
        <f>LET(
    arrears_months,'Loan Tape (S&amp;P)'!AN832,
    IF(arrears_months=0,1.00,
    IF(arrears_months=1,3.00,
    IF(arrears_months=2,5.00,
    IF(arrears_months=3,8.00,
    IF(arrears_months=4,10.00,
    IF(arrears_months=5,12.00,15.00)))))))</f>
        <v/>
      </c>
      <c r="M832">
        <f>LET(
    seasoning_years,DATEDIF('Loan Tape (S&amp;P)'!K832,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2">
        <f>IF(AND('Loan Tape (S&amp;P)'!U832="Yes",
        'Loan Tape (S&amp;P)'!T832&lt;&gt;"Yes",
        DATEDIF('Loan Tape (S&amp;P)'!K832, TODAY(), "M")&lt;18),
    1.10,
    1.00)</f>
        <v/>
      </c>
      <c r="O832">
        <f>IF('Loan Tape (S&amp;P)'!T832="Yes",
    1.35,
    1.00)</f>
        <v/>
      </c>
      <c r="P832">
        <f>IF('Loan Tape (S&amp;P)'!S832="Yes",
    1.15,
    1.00)</f>
        <v/>
      </c>
      <c r="Q832">
        <f>IF('Loan Tape (S&amp;P)'!V832="Yes",
    1.20,
    1.00)</f>
        <v/>
      </c>
      <c r="T832">
        <f>LET(
    payment_method,'Loan Tape (S&amp;P)'!P832,
    occupancy,'Loan Tape (S&amp;P)'!N832,
    maturity_date,'Loan Tape (S&amp;P)'!L832,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3">
      <c r="J833">
        <f>LET(
    lien,'Loan Tape (S&amp;P)'!Q833,
    IF(lien="First",1.00,
        IF(lien="Second",1.50,
            1.70)))</f>
        <v/>
      </c>
      <c r="K833">
        <f>LET(
    purpose,'Loan Tape (S&amp;P)'!R833,
    IF(purpose="Purchase",1.00,
        IF(purpose="Remortgage",1.00,
            1.20)))</f>
        <v/>
      </c>
      <c r="L833">
        <f>LET(
    arrears_months,'Loan Tape (S&amp;P)'!AN833,
    IF(arrears_months=0,1.00,
    IF(arrears_months=1,3.00,
    IF(arrears_months=2,5.00,
    IF(arrears_months=3,8.00,
    IF(arrears_months=4,10.00,
    IF(arrears_months=5,12.00,15.00)))))))</f>
        <v/>
      </c>
      <c r="M833">
        <f>LET(
    seasoning_years,DATEDIF('Loan Tape (S&amp;P)'!K833,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3">
        <f>IF(AND('Loan Tape (S&amp;P)'!U833="Yes",
        'Loan Tape (S&amp;P)'!T833&lt;&gt;"Yes",
        DATEDIF('Loan Tape (S&amp;P)'!K833, TODAY(), "M")&lt;18),
    1.10,
    1.00)</f>
        <v/>
      </c>
      <c r="O833">
        <f>IF('Loan Tape (S&amp;P)'!T833="Yes",
    1.35,
    1.00)</f>
        <v/>
      </c>
      <c r="P833">
        <f>IF('Loan Tape (S&amp;P)'!S833="Yes",
    1.15,
    1.00)</f>
        <v/>
      </c>
      <c r="Q833">
        <f>IF('Loan Tape (S&amp;P)'!V833="Yes",
    1.20,
    1.00)</f>
        <v/>
      </c>
      <c r="T833">
        <f>LET(
    payment_method,'Loan Tape (S&amp;P)'!P833,
    occupancy,'Loan Tape (S&amp;P)'!N833,
    maturity_date,'Loan Tape (S&amp;P)'!L833,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4">
      <c r="J834">
        <f>LET(
    lien,'Loan Tape (S&amp;P)'!Q834,
    IF(lien="First",1.00,
        IF(lien="Second",1.50,
            1.70)))</f>
        <v/>
      </c>
      <c r="K834">
        <f>LET(
    purpose,'Loan Tape (S&amp;P)'!R834,
    IF(purpose="Purchase",1.00,
        IF(purpose="Remortgage",1.00,
            1.20)))</f>
        <v/>
      </c>
      <c r="L834">
        <f>LET(
    arrears_months,'Loan Tape (S&amp;P)'!AN834,
    IF(arrears_months=0,1.00,
    IF(arrears_months=1,3.00,
    IF(arrears_months=2,5.00,
    IF(arrears_months=3,8.00,
    IF(arrears_months=4,10.00,
    IF(arrears_months=5,12.00,15.00)))))))</f>
        <v/>
      </c>
      <c r="M834">
        <f>LET(
    seasoning_years,DATEDIF('Loan Tape (S&amp;P)'!K834,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4">
        <f>IF(AND('Loan Tape (S&amp;P)'!U834="Yes",
        'Loan Tape (S&amp;P)'!T834&lt;&gt;"Yes",
        DATEDIF('Loan Tape (S&amp;P)'!K834, TODAY(), "M")&lt;18),
    1.10,
    1.00)</f>
        <v/>
      </c>
      <c r="O834">
        <f>IF('Loan Tape (S&amp;P)'!T834="Yes",
    1.35,
    1.00)</f>
        <v/>
      </c>
      <c r="P834">
        <f>IF('Loan Tape (S&amp;P)'!S834="Yes",
    1.15,
    1.00)</f>
        <v/>
      </c>
      <c r="Q834">
        <f>IF('Loan Tape (S&amp;P)'!V834="Yes",
    1.20,
    1.00)</f>
        <v/>
      </c>
      <c r="T834">
        <f>LET(
    payment_method,'Loan Tape (S&amp;P)'!P834,
    occupancy,'Loan Tape (S&amp;P)'!N834,
    maturity_date,'Loan Tape (S&amp;P)'!L834,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5">
      <c r="J835">
        <f>LET(
    lien,'Loan Tape (S&amp;P)'!Q835,
    IF(lien="First",1.00,
        IF(lien="Second",1.50,
            1.70)))</f>
        <v/>
      </c>
      <c r="K835">
        <f>LET(
    purpose,'Loan Tape (S&amp;P)'!R835,
    IF(purpose="Purchase",1.00,
        IF(purpose="Remortgage",1.00,
            1.20)))</f>
        <v/>
      </c>
      <c r="L835">
        <f>LET(
    arrears_months,'Loan Tape (S&amp;P)'!AN835,
    IF(arrears_months=0,1.00,
    IF(arrears_months=1,3.00,
    IF(arrears_months=2,5.00,
    IF(arrears_months=3,8.00,
    IF(arrears_months=4,10.00,
    IF(arrears_months=5,12.00,15.00)))))))</f>
        <v/>
      </c>
      <c r="M835">
        <f>LET(
    seasoning_years,DATEDIF('Loan Tape (S&amp;P)'!K835,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5">
        <f>IF(AND('Loan Tape (S&amp;P)'!U835="Yes",
        'Loan Tape (S&amp;P)'!T835&lt;&gt;"Yes",
        DATEDIF('Loan Tape (S&amp;P)'!K835, TODAY(), "M")&lt;18),
    1.10,
    1.00)</f>
        <v/>
      </c>
      <c r="O835">
        <f>IF('Loan Tape (S&amp;P)'!T835="Yes",
    1.35,
    1.00)</f>
        <v/>
      </c>
      <c r="P835">
        <f>IF('Loan Tape (S&amp;P)'!S835="Yes",
    1.15,
    1.00)</f>
        <v/>
      </c>
      <c r="Q835">
        <f>IF('Loan Tape (S&amp;P)'!V835="Yes",
    1.20,
    1.00)</f>
        <v/>
      </c>
      <c r="T835">
        <f>LET(
    payment_method,'Loan Tape (S&amp;P)'!P835,
    occupancy,'Loan Tape (S&amp;P)'!N835,
    maturity_date,'Loan Tape (S&amp;P)'!L835,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6">
      <c r="J836">
        <f>LET(
    lien,'Loan Tape (S&amp;P)'!Q836,
    IF(lien="First",1.00,
        IF(lien="Second",1.50,
            1.70)))</f>
        <v/>
      </c>
      <c r="K836">
        <f>LET(
    purpose,'Loan Tape (S&amp;P)'!R836,
    IF(purpose="Purchase",1.00,
        IF(purpose="Remortgage",1.00,
            1.20)))</f>
        <v/>
      </c>
      <c r="L836">
        <f>LET(
    arrears_months,'Loan Tape (S&amp;P)'!AN836,
    IF(arrears_months=0,1.00,
    IF(arrears_months=1,3.00,
    IF(arrears_months=2,5.00,
    IF(arrears_months=3,8.00,
    IF(arrears_months=4,10.00,
    IF(arrears_months=5,12.00,15.00)))))))</f>
        <v/>
      </c>
      <c r="M836">
        <f>LET(
    seasoning_years,DATEDIF('Loan Tape (S&amp;P)'!K836,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6">
        <f>IF(AND('Loan Tape (S&amp;P)'!U836="Yes",
        'Loan Tape (S&amp;P)'!T836&lt;&gt;"Yes",
        DATEDIF('Loan Tape (S&amp;P)'!K836, TODAY(), "M")&lt;18),
    1.10,
    1.00)</f>
        <v/>
      </c>
      <c r="O836">
        <f>IF('Loan Tape (S&amp;P)'!T836="Yes",
    1.35,
    1.00)</f>
        <v/>
      </c>
      <c r="P836">
        <f>IF('Loan Tape (S&amp;P)'!S836="Yes",
    1.15,
    1.00)</f>
        <v/>
      </c>
      <c r="Q836">
        <f>IF('Loan Tape (S&amp;P)'!V836="Yes",
    1.20,
    1.00)</f>
        <v/>
      </c>
      <c r="T836">
        <f>LET(
    payment_method,'Loan Tape (S&amp;P)'!P836,
    occupancy,'Loan Tape (S&amp;P)'!N836,
    maturity_date,'Loan Tape (S&amp;P)'!L836,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7">
      <c r="J837">
        <f>LET(
    lien,'Loan Tape (S&amp;P)'!Q837,
    IF(lien="First",1.00,
        IF(lien="Second",1.50,
            1.70)))</f>
        <v/>
      </c>
      <c r="K837">
        <f>LET(
    purpose,'Loan Tape (S&amp;P)'!R837,
    IF(purpose="Purchase",1.00,
        IF(purpose="Remortgage",1.00,
            1.20)))</f>
        <v/>
      </c>
      <c r="L837">
        <f>LET(
    arrears_months,'Loan Tape (S&amp;P)'!AN837,
    IF(arrears_months=0,1.00,
    IF(arrears_months=1,3.00,
    IF(arrears_months=2,5.00,
    IF(arrears_months=3,8.00,
    IF(arrears_months=4,10.00,
    IF(arrears_months=5,12.00,15.00)))))))</f>
        <v/>
      </c>
      <c r="M837">
        <f>LET(
    seasoning_years,DATEDIF('Loan Tape (S&amp;P)'!K837,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7">
        <f>IF(AND('Loan Tape (S&amp;P)'!U837="Yes",
        'Loan Tape (S&amp;P)'!T837&lt;&gt;"Yes",
        DATEDIF('Loan Tape (S&amp;P)'!K837, TODAY(), "M")&lt;18),
    1.10,
    1.00)</f>
        <v/>
      </c>
      <c r="O837">
        <f>IF('Loan Tape (S&amp;P)'!T837="Yes",
    1.35,
    1.00)</f>
        <v/>
      </c>
      <c r="P837">
        <f>IF('Loan Tape (S&amp;P)'!S837="Yes",
    1.15,
    1.00)</f>
        <v/>
      </c>
      <c r="Q837">
        <f>IF('Loan Tape (S&amp;P)'!V837="Yes",
    1.20,
    1.00)</f>
        <v/>
      </c>
      <c r="T837">
        <f>LET(
    payment_method,'Loan Tape (S&amp;P)'!P837,
    occupancy,'Loan Tape (S&amp;P)'!N837,
    maturity_date,'Loan Tape (S&amp;P)'!L837,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8">
      <c r="J838">
        <f>LET(
    lien,'Loan Tape (S&amp;P)'!Q838,
    IF(lien="First",1.00,
        IF(lien="Second",1.50,
            1.70)))</f>
        <v/>
      </c>
      <c r="K838">
        <f>LET(
    purpose,'Loan Tape (S&amp;P)'!R838,
    IF(purpose="Purchase",1.00,
        IF(purpose="Remortgage",1.00,
            1.20)))</f>
        <v/>
      </c>
      <c r="L838">
        <f>LET(
    arrears_months,'Loan Tape (S&amp;P)'!AN838,
    IF(arrears_months=0,1.00,
    IF(arrears_months=1,3.00,
    IF(arrears_months=2,5.00,
    IF(arrears_months=3,8.00,
    IF(arrears_months=4,10.00,
    IF(arrears_months=5,12.00,15.00)))))))</f>
        <v/>
      </c>
      <c r="M838">
        <f>LET(
    seasoning_years,DATEDIF('Loan Tape (S&amp;P)'!K838,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8">
        <f>IF(AND('Loan Tape (S&amp;P)'!U838="Yes",
        'Loan Tape (S&amp;P)'!T838&lt;&gt;"Yes",
        DATEDIF('Loan Tape (S&amp;P)'!K838, TODAY(), "M")&lt;18),
    1.10,
    1.00)</f>
        <v/>
      </c>
      <c r="O838">
        <f>IF('Loan Tape (S&amp;P)'!T838="Yes",
    1.35,
    1.00)</f>
        <v/>
      </c>
      <c r="P838">
        <f>IF('Loan Tape (S&amp;P)'!S838="Yes",
    1.15,
    1.00)</f>
        <v/>
      </c>
      <c r="Q838">
        <f>IF('Loan Tape (S&amp;P)'!V838="Yes",
    1.20,
    1.00)</f>
        <v/>
      </c>
      <c r="T838">
        <f>LET(
    payment_method,'Loan Tape (S&amp;P)'!P838,
    occupancy,'Loan Tape (S&amp;P)'!N838,
    maturity_date,'Loan Tape (S&amp;P)'!L838,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9">
      <c r="J839">
        <f>LET(
    lien,'Loan Tape (S&amp;P)'!Q839,
    IF(lien="First",1.00,
        IF(lien="Second",1.50,
            1.70)))</f>
        <v/>
      </c>
      <c r="K839">
        <f>LET(
    purpose,'Loan Tape (S&amp;P)'!R839,
    IF(purpose="Purchase",1.00,
        IF(purpose="Remortgage",1.00,
            1.20)))</f>
        <v/>
      </c>
      <c r="L839">
        <f>LET(
    arrears_months,'Loan Tape (S&amp;P)'!AN839,
    IF(arrears_months=0,1.00,
    IF(arrears_months=1,3.00,
    IF(arrears_months=2,5.00,
    IF(arrears_months=3,8.00,
    IF(arrears_months=4,10.00,
    IF(arrears_months=5,12.00,15.00)))))))</f>
        <v/>
      </c>
      <c r="M839">
        <f>LET(
    seasoning_years,DATEDIF('Loan Tape (S&amp;P)'!K839,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9">
        <f>IF(AND('Loan Tape (S&amp;P)'!U839="Yes",
        'Loan Tape (S&amp;P)'!T839&lt;&gt;"Yes",
        DATEDIF('Loan Tape (S&amp;P)'!K839, TODAY(), "M")&lt;18),
    1.10,
    1.00)</f>
        <v/>
      </c>
      <c r="O839">
        <f>IF('Loan Tape (S&amp;P)'!T839="Yes",
    1.35,
    1.00)</f>
        <v/>
      </c>
      <c r="P839">
        <f>IF('Loan Tape (S&amp;P)'!S839="Yes",
    1.15,
    1.00)</f>
        <v/>
      </c>
      <c r="Q839">
        <f>IF('Loan Tape (S&amp;P)'!V839="Yes",
    1.20,
    1.00)</f>
        <v/>
      </c>
      <c r="T839">
        <f>LET(
    payment_method,'Loan Tape (S&amp;P)'!P839,
    occupancy,'Loan Tape (S&amp;P)'!N839,
    maturity_date,'Loan Tape (S&amp;P)'!L839,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0">
      <c r="J840">
        <f>LET(
    lien,'Loan Tape (S&amp;P)'!Q840,
    IF(lien="First",1.00,
        IF(lien="Second",1.50,
            1.70)))</f>
        <v/>
      </c>
      <c r="K840">
        <f>LET(
    purpose,'Loan Tape (S&amp;P)'!R840,
    IF(purpose="Purchase",1.00,
        IF(purpose="Remortgage",1.00,
            1.20)))</f>
        <v/>
      </c>
      <c r="L840">
        <f>LET(
    arrears_months,'Loan Tape (S&amp;P)'!AN840,
    IF(arrears_months=0,1.00,
    IF(arrears_months=1,3.00,
    IF(arrears_months=2,5.00,
    IF(arrears_months=3,8.00,
    IF(arrears_months=4,10.00,
    IF(arrears_months=5,12.00,15.00)))))))</f>
        <v/>
      </c>
      <c r="M840">
        <f>LET(
    seasoning_years,DATEDIF('Loan Tape (S&amp;P)'!K840,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0">
        <f>IF(AND('Loan Tape (S&amp;P)'!U840="Yes",
        'Loan Tape (S&amp;P)'!T840&lt;&gt;"Yes",
        DATEDIF('Loan Tape (S&amp;P)'!K840, TODAY(), "M")&lt;18),
    1.10,
    1.00)</f>
        <v/>
      </c>
      <c r="O840">
        <f>IF('Loan Tape (S&amp;P)'!T840="Yes",
    1.35,
    1.00)</f>
        <v/>
      </c>
      <c r="P840">
        <f>IF('Loan Tape (S&amp;P)'!S840="Yes",
    1.15,
    1.00)</f>
        <v/>
      </c>
      <c r="Q840">
        <f>IF('Loan Tape (S&amp;P)'!V840="Yes",
    1.20,
    1.00)</f>
        <v/>
      </c>
      <c r="T840">
        <f>LET(
    payment_method,'Loan Tape (S&amp;P)'!P840,
    occupancy,'Loan Tape (S&amp;P)'!N840,
    maturity_date,'Loan Tape (S&amp;P)'!L840,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1">
      <c r="J841">
        <f>LET(
    lien,'Loan Tape (S&amp;P)'!Q841,
    IF(lien="First",1.00,
        IF(lien="Second",1.50,
            1.70)))</f>
        <v/>
      </c>
      <c r="K841">
        <f>LET(
    purpose,'Loan Tape (S&amp;P)'!R841,
    IF(purpose="Purchase",1.00,
        IF(purpose="Remortgage",1.00,
            1.20)))</f>
        <v/>
      </c>
      <c r="L841">
        <f>LET(
    arrears_months,'Loan Tape (S&amp;P)'!AN841,
    IF(arrears_months=0,1.00,
    IF(arrears_months=1,3.00,
    IF(arrears_months=2,5.00,
    IF(arrears_months=3,8.00,
    IF(arrears_months=4,10.00,
    IF(arrears_months=5,12.00,15.00)))))))</f>
        <v/>
      </c>
      <c r="M841">
        <f>LET(
    seasoning_years,DATEDIF('Loan Tape (S&amp;P)'!K841,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1">
        <f>IF(AND('Loan Tape (S&amp;P)'!U841="Yes",
        'Loan Tape (S&amp;P)'!T841&lt;&gt;"Yes",
        DATEDIF('Loan Tape (S&amp;P)'!K841, TODAY(), "M")&lt;18),
    1.10,
    1.00)</f>
        <v/>
      </c>
      <c r="O841">
        <f>IF('Loan Tape (S&amp;P)'!T841="Yes",
    1.35,
    1.00)</f>
        <v/>
      </c>
      <c r="P841">
        <f>IF('Loan Tape (S&amp;P)'!S841="Yes",
    1.15,
    1.00)</f>
        <v/>
      </c>
      <c r="Q841">
        <f>IF('Loan Tape (S&amp;P)'!V841="Yes",
    1.20,
    1.00)</f>
        <v/>
      </c>
      <c r="T841">
        <f>LET(
    payment_method,'Loan Tape (S&amp;P)'!P841,
    occupancy,'Loan Tape (S&amp;P)'!N841,
    maturity_date,'Loan Tape (S&amp;P)'!L841,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2">
      <c r="J842">
        <f>LET(
    lien,'Loan Tape (S&amp;P)'!Q842,
    IF(lien="First",1.00,
        IF(lien="Second",1.50,
            1.70)))</f>
        <v/>
      </c>
      <c r="K842">
        <f>LET(
    purpose,'Loan Tape (S&amp;P)'!R842,
    IF(purpose="Purchase",1.00,
        IF(purpose="Remortgage",1.00,
            1.20)))</f>
        <v/>
      </c>
      <c r="L842">
        <f>LET(
    arrears_months,'Loan Tape (S&amp;P)'!AN842,
    IF(arrears_months=0,1.00,
    IF(arrears_months=1,3.00,
    IF(arrears_months=2,5.00,
    IF(arrears_months=3,8.00,
    IF(arrears_months=4,10.00,
    IF(arrears_months=5,12.00,15.00)))))))</f>
        <v/>
      </c>
      <c r="M842">
        <f>LET(
    seasoning_years,DATEDIF('Loan Tape (S&amp;P)'!K842,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2">
        <f>IF(AND('Loan Tape (S&amp;P)'!U842="Yes",
        'Loan Tape (S&amp;P)'!T842&lt;&gt;"Yes",
        DATEDIF('Loan Tape (S&amp;P)'!K842, TODAY(), "M")&lt;18),
    1.10,
    1.00)</f>
        <v/>
      </c>
      <c r="O842">
        <f>IF('Loan Tape (S&amp;P)'!T842="Yes",
    1.35,
    1.00)</f>
        <v/>
      </c>
      <c r="P842">
        <f>IF('Loan Tape (S&amp;P)'!S842="Yes",
    1.15,
    1.00)</f>
        <v/>
      </c>
      <c r="Q842">
        <f>IF('Loan Tape (S&amp;P)'!V842="Yes",
    1.20,
    1.00)</f>
        <v/>
      </c>
      <c r="T842">
        <f>LET(
    payment_method,'Loan Tape (S&amp;P)'!P842,
    occupancy,'Loan Tape (S&amp;P)'!N842,
    maturity_date,'Loan Tape (S&amp;P)'!L842,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3">
      <c r="J843">
        <f>LET(
    lien,'Loan Tape (S&amp;P)'!Q843,
    IF(lien="First",1.00,
        IF(lien="Second",1.50,
            1.70)))</f>
        <v/>
      </c>
      <c r="K843">
        <f>LET(
    purpose,'Loan Tape (S&amp;P)'!R843,
    IF(purpose="Purchase",1.00,
        IF(purpose="Remortgage",1.00,
            1.20)))</f>
        <v/>
      </c>
      <c r="L843">
        <f>LET(
    arrears_months,'Loan Tape (S&amp;P)'!AN843,
    IF(arrears_months=0,1.00,
    IF(arrears_months=1,3.00,
    IF(arrears_months=2,5.00,
    IF(arrears_months=3,8.00,
    IF(arrears_months=4,10.00,
    IF(arrears_months=5,12.00,15.00)))))))</f>
        <v/>
      </c>
      <c r="M843">
        <f>LET(
    seasoning_years,DATEDIF('Loan Tape (S&amp;P)'!K843,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3">
        <f>IF(AND('Loan Tape (S&amp;P)'!U843="Yes",
        'Loan Tape (S&amp;P)'!T843&lt;&gt;"Yes",
        DATEDIF('Loan Tape (S&amp;P)'!K843, TODAY(), "M")&lt;18),
    1.10,
    1.00)</f>
        <v/>
      </c>
      <c r="O843">
        <f>IF('Loan Tape (S&amp;P)'!T843="Yes",
    1.35,
    1.00)</f>
        <v/>
      </c>
      <c r="P843">
        <f>IF('Loan Tape (S&amp;P)'!S843="Yes",
    1.15,
    1.00)</f>
        <v/>
      </c>
      <c r="Q843">
        <f>IF('Loan Tape (S&amp;P)'!V843="Yes",
    1.20,
    1.00)</f>
        <v/>
      </c>
      <c r="T843">
        <f>LET(
    payment_method,'Loan Tape (S&amp;P)'!P843,
    occupancy,'Loan Tape (S&amp;P)'!N843,
    maturity_date,'Loan Tape (S&amp;P)'!L843,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4">
      <c r="J844">
        <f>LET(
    lien,'Loan Tape (S&amp;P)'!Q844,
    IF(lien="First",1.00,
        IF(lien="Second",1.50,
            1.70)))</f>
        <v/>
      </c>
      <c r="K844">
        <f>LET(
    purpose,'Loan Tape (S&amp;P)'!R844,
    IF(purpose="Purchase",1.00,
        IF(purpose="Remortgage",1.00,
            1.20)))</f>
        <v/>
      </c>
      <c r="L844">
        <f>LET(
    arrears_months,'Loan Tape (S&amp;P)'!AN844,
    IF(arrears_months=0,1.00,
    IF(arrears_months=1,3.00,
    IF(arrears_months=2,5.00,
    IF(arrears_months=3,8.00,
    IF(arrears_months=4,10.00,
    IF(arrears_months=5,12.00,15.00)))))))</f>
        <v/>
      </c>
      <c r="M844">
        <f>LET(
    seasoning_years,DATEDIF('Loan Tape (S&amp;P)'!K844,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4">
        <f>IF(AND('Loan Tape (S&amp;P)'!U844="Yes",
        'Loan Tape (S&amp;P)'!T844&lt;&gt;"Yes",
        DATEDIF('Loan Tape (S&amp;P)'!K844, TODAY(), "M")&lt;18),
    1.10,
    1.00)</f>
        <v/>
      </c>
      <c r="O844">
        <f>IF('Loan Tape (S&amp;P)'!T844="Yes",
    1.35,
    1.00)</f>
        <v/>
      </c>
      <c r="P844">
        <f>IF('Loan Tape (S&amp;P)'!S844="Yes",
    1.15,
    1.00)</f>
        <v/>
      </c>
      <c r="Q844">
        <f>IF('Loan Tape (S&amp;P)'!V844="Yes",
    1.20,
    1.00)</f>
        <v/>
      </c>
      <c r="T844">
        <f>LET(
    payment_method,'Loan Tape (S&amp;P)'!P844,
    occupancy,'Loan Tape (S&amp;P)'!N844,
    maturity_date,'Loan Tape (S&amp;P)'!L844,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5">
      <c r="J845">
        <f>LET(
    lien,'Loan Tape (S&amp;P)'!Q845,
    IF(lien="First",1.00,
        IF(lien="Second",1.50,
            1.70)))</f>
        <v/>
      </c>
      <c r="K845">
        <f>LET(
    purpose,'Loan Tape (S&amp;P)'!R845,
    IF(purpose="Purchase",1.00,
        IF(purpose="Remortgage",1.00,
            1.20)))</f>
        <v/>
      </c>
      <c r="L845">
        <f>LET(
    arrears_months,'Loan Tape (S&amp;P)'!AN845,
    IF(arrears_months=0,1.00,
    IF(arrears_months=1,3.00,
    IF(arrears_months=2,5.00,
    IF(arrears_months=3,8.00,
    IF(arrears_months=4,10.00,
    IF(arrears_months=5,12.00,15.00)))))))</f>
        <v/>
      </c>
      <c r="M845">
        <f>LET(
    seasoning_years,DATEDIF('Loan Tape (S&amp;P)'!K845,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5">
        <f>IF(AND('Loan Tape (S&amp;P)'!U845="Yes",
        'Loan Tape (S&amp;P)'!T845&lt;&gt;"Yes",
        DATEDIF('Loan Tape (S&amp;P)'!K845, TODAY(), "M")&lt;18),
    1.10,
    1.00)</f>
        <v/>
      </c>
      <c r="O845">
        <f>IF('Loan Tape (S&amp;P)'!T845="Yes",
    1.35,
    1.00)</f>
        <v/>
      </c>
      <c r="P845">
        <f>IF('Loan Tape (S&amp;P)'!S845="Yes",
    1.15,
    1.00)</f>
        <v/>
      </c>
      <c r="Q845">
        <f>IF('Loan Tape (S&amp;P)'!V845="Yes",
    1.20,
    1.00)</f>
        <v/>
      </c>
      <c r="T845">
        <f>LET(
    payment_method,'Loan Tape (S&amp;P)'!P845,
    occupancy,'Loan Tape (S&amp;P)'!N845,
    maturity_date,'Loan Tape (S&amp;P)'!L845,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6">
      <c r="J846">
        <f>LET(
    lien,'Loan Tape (S&amp;P)'!Q846,
    IF(lien="First",1.00,
        IF(lien="Second",1.50,
            1.70)))</f>
        <v/>
      </c>
      <c r="K846">
        <f>LET(
    purpose,'Loan Tape (S&amp;P)'!R846,
    IF(purpose="Purchase",1.00,
        IF(purpose="Remortgage",1.00,
            1.20)))</f>
        <v/>
      </c>
      <c r="L846">
        <f>LET(
    arrears_months,'Loan Tape (S&amp;P)'!AN846,
    IF(arrears_months=0,1.00,
    IF(arrears_months=1,3.00,
    IF(arrears_months=2,5.00,
    IF(arrears_months=3,8.00,
    IF(arrears_months=4,10.00,
    IF(arrears_months=5,12.00,15.00)))))))</f>
        <v/>
      </c>
      <c r="M846">
        <f>LET(
    seasoning_years,DATEDIF('Loan Tape (S&amp;P)'!K846,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6">
        <f>IF(AND('Loan Tape (S&amp;P)'!U846="Yes",
        'Loan Tape (S&amp;P)'!T846&lt;&gt;"Yes",
        DATEDIF('Loan Tape (S&amp;P)'!K846, TODAY(), "M")&lt;18),
    1.10,
    1.00)</f>
        <v/>
      </c>
      <c r="O846">
        <f>IF('Loan Tape (S&amp;P)'!T846="Yes",
    1.35,
    1.00)</f>
        <v/>
      </c>
      <c r="P846">
        <f>IF('Loan Tape (S&amp;P)'!S846="Yes",
    1.15,
    1.00)</f>
        <v/>
      </c>
      <c r="Q846">
        <f>IF('Loan Tape (S&amp;P)'!V846="Yes",
    1.20,
    1.00)</f>
        <v/>
      </c>
      <c r="T846">
        <f>LET(
    payment_method,'Loan Tape (S&amp;P)'!P846,
    occupancy,'Loan Tape (S&amp;P)'!N846,
    maturity_date,'Loan Tape (S&amp;P)'!L846,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7">
      <c r="J847">
        <f>LET(
    lien,'Loan Tape (S&amp;P)'!Q847,
    IF(lien="First",1.00,
        IF(lien="Second",1.50,
            1.70)))</f>
        <v/>
      </c>
      <c r="K847">
        <f>LET(
    purpose,'Loan Tape (S&amp;P)'!R847,
    IF(purpose="Purchase",1.00,
        IF(purpose="Remortgage",1.00,
            1.20)))</f>
        <v/>
      </c>
      <c r="L847">
        <f>LET(
    arrears_months,'Loan Tape (S&amp;P)'!AN847,
    IF(arrears_months=0,1.00,
    IF(arrears_months=1,3.00,
    IF(arrears_months=2,5.00,
    IF(arrears_months=3,8.00,
    IF(arrears_months=4,10.00,
    IF(arrears_months=5,12.00,15.00)))))))</f>
        <v/>
      </c>
      <c r="M847">
        <f>LET(
    seasoning_years,DATEDIF('Loan Tape (S&amp;P)'!K847,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7">
        <f>IF(AND('Loan Tape (S&amp;P)'!U847="Yes",
        'Loan Tape (S&amp;P)'!T847&lt;&gt;"Yes",
        DATEDIF('Loan Tape (S&amp;P)'!K847, TODAY(), "M")&lt;18),
    1.10,
    1.00)</f>
        <v/>
      </c>
      <c r="O847">
        <f>IF('Loan Tape (S&amp;P)'!T847="Yes",
    1.35,
    1.00)</f>
        <v/>
      </c>
      <c r="P847">
        <f>IF('Loan Tape (S&amp;P)'!S847="Yes",
    1.15,
    1.00)</f>
        <v/>
      </c>
      <c r="Q847">
        <f>IF('Loan Tape (S&amp;P)'!V847="Yes",
    1.20,
    1.00)</f>
        <v/>
      </c>
      <c r="T847">
        <f>LET(
    payment_method,'Loan Tape (S&amp;P)'!P847,
    occupancy,'Loan Tape (S&amp;P)'!N847,
    maturity_date,'Loan Tape (S&amp;P)'!L847,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8">
      <c r="J848">
        <f>LET(
    lien,'Loan Tape (S&amp;P)'!Q848,
    IF(lien="First",1.00,
        IF(lien="Second",1.50,
            1.70)))</f>
        <v/>
      </c>
      <c r="K848">
        <f>LET(
    purpose,'Loan Tape (S&amp;P)'!R848,
    IF(purpose="Purchase",1.00,
        IF(purpose="Remortgage",1.00,
            1.20)))</f>
        <v/>
      </c>
      <c r="L848">
        <f>LET(
    arrears_months,'Loan Tape (S&amp;P)'!AN848,
    IF(arrears_months=0,1.00,
    IF(arrears_months=1,3.00,
    IF(arrears_months=2,5.00,
    IF(arrears_months=3,8.00,
    IF(arrears_months=4,10.00,
    IF(arrears_months=5,12.00,15.00)))))))</f>
        <v/>
      </c>
      <c r="M848">
        <f>LET(
    seasoning_years,DATEDIF('Loan Tape (S&amp;P)'!K848,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8">
        <f>IF(AND('Loan Tape (S&amp;P)'!U848="Yes",
        'Loan Tape (S&amp;P)'!T848&lt;&gt;"Yes",
        DATEDIF('Loan Tape (S&amp;P)'!K848, TODAY(), "M")&lt;18),
    1.10,
    1.00)</f>
        <v/>
      </c>
      <c r="O848">
        <f>IF('Loan Tape (S&amp;P)'!T848="Yes",
    1.35,
    1.00)</f>
        <v/>
      </c>
      <c r="P848">
        <f>IF('Loan Tape (S&amp;P)'!S848="Yes",
    1.15,
    1.00)</f>
        <v/>
      </c>
      <c r="Q848">
        <f>IF('Loan Tape (S&amp;P)'!V848="Yes",
    1.20,
    1.00)</f>
        <v/>
      </c>
      <c r="T848">
        <f>LET(
    payment_method,'Loan Tape (S&amp;P)'!P848,
    occupancy,'Loan Tape (S&amp;P)'!N848,
    maturity_date,'Loan Tape (S&amp;P)'!L848,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9">
      <c r="J849">
        <f>LET(
    lien,'Loan Tape (S&amp;P)'!Q849,
    IF(lien="First",1.00,
        IF(lien="Second",1.50,
            1.70)))</f>
        <v/>
      </c>
      <c r="K849">
        <f>LET(
    purpose,'Loan Tape (S&amp;P)'!R849,
    IF(purpose="Purchase",1.00,
        IF(purpose="Remortgage",1.00,
            1.20)))</f>
        <v/>
      </c>
      <c r="L849">
        <f>LET(
    arrears_months,'Loan Tape (S&amp;P)'!AN849,
    IF(arrears_months=0,1.00,
    IF(arrears_months=1,3.00,
    IF(arrears_months=2,5.00,
    IF(arrears_months=3,8.00,
    IF(arrears_months=4,10.00,
    IF(arrears_months=5,12.00,15.00)))))))</f>
        <v/>
      </c>
      <c r="M849">
        <f>LET(
    seasoning_years,DATEDIF('Loan Tape (S&amp;P)'!K849,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9">
        <f>IF(AND('Loan Tape (S&amp;P)'!U849="Yes",
        'Loan Tape (S&amp;P)'!T849&lt;&gt;"Yes",
        DATEDIF('Loan Tape (S&amp;P)'!K849, TODAY(), "M")&lt;18),
    1.10,
    1.00)</f>
        <v/>
      </c>
      <c r="O849">
        <f>IF('Loan Tape (S&amp;P)'!T849="Yes",
    1.35,
    1.00)</f>
        <v/>
      </c>
      <c r="P849">
        <f>IF('Loan Tape (S&amp;P)'!S849="Yes",
    1.15,
    1.00)</f>
        <v/>
      </c>
      <c r="Q849">
        <f>IF('Loan Tape (S&amp;P)'!V849="Yes",
    1.20,
    1.00)</f>
        <v/>
      </c>
      <c r="T849">
        <f>LET(
    payment_method,'Loan Tape (S&amp;P)'!P849,
    occupancy,'Loan Tape (S&amp;P)'!N849,
    maturity_date,'Loan Tape (S&amp;P)'!L849,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0">
      <c r="J850">
        <f>LET(
    lien,'Loan Tape (S&amp;P)'!Q850,
    IF(lien="First",1.00,
        IF(lien="Second",1.50,
            1.70)))</f>
        <v/>
      </c>
      <c r="K850">
        <f>LET(
    purpose,'Loan Tape (S&amp;P)'!R850,
    IF(purpose="Purchase",1.00,
        IF(purpose="Remortgage",1.00,
            1.20)))</f>
        <v/>
      </c>
      <c r="L850">
        <f>LET(
    arrears_months,'Loan Tape (S&amp;P)'!AN850,
    IF(arrears_months=0,1.00,
    IF(arrears_months=1,3.00,
    IF(arrears_months=2,5.00,
    IF(arrears_months=3,8.00,
    IF(arrears_months=4,10.00,
    IF(arrears_months=5,12.00,15.00)))))))</f>
        <v/>
      </c>
      <c r="M850">
        <f>LET(
    seasoning_years,DATEDIF('Loan Tape (S&amp;P)'!K850,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0">
        <f>IF(AND('Loan Tape (S&amp;P)'!U850="Yes",
        'Loan Tape (S&amp;P)'!T850&lt;&gt;"Yes",
        DATEDIF('Loan Tape (S&amp;P)'!K850, TODAY(), "M")&lt;18),
    1.10,
    1.00)</f>
        <v/>
      </c>
      <c r="O850">
        <f>IF('Loan Tape (S&amp;P)'!T850="Yes",
    1.35,
    1.00)</f>
        <v/>
      </c>
      <c r="P850">
        <f>IF('Loan Tape (S&amp;P)'!S850="Yes",
    1.15,
    1.00)</f>
        <v/>
      </c>
      <c r="Q850">
        <f>IF('Loan Tape (S&amp;P)'!V850="Yes",
    1.20,
    1.00)</f>
        <v/>
      </c>
      <c r="T850">
        <f>LET(
    payment_method,'Loan Tape (S&amp;P)'!P850,
    occupancy,'Loan Tape (S&amp;P)'!N850,
    maturity_date,'Loan Tape (S&amp;P)'!L850,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1">
      <c r="J851">
        <f>LET(
    lien,'Loan Tape (S&amp;P)'!Q851,
    IF(lien="First",1.00,
        IF(lien="Second",1.50,
            1.70)))</f>
        <v/>
      </c>
      <c r="K851">
        <f>LET(
    purpose,'Loan Tape (S&amp;P)'!R851,
    IF(purpose="Purchase",1.00,
        IF(purpose="Remortgage",1.00,
            1.20)))</f>
        <v/>
      </c>
      <c r="L851">
        <f>LET(
    arrears_months,'Loan Tape (S&amp;P)'!AN851,
    IF(arrears_months=0,1.00,
    IF(arrears_months=1,3.00,
    IF(arrears_months=2,5.00,
    IF(arrears_months=3,8.00,
    IF(arrears_months=4,10.00,
    IF(arrears_months=5,12.00,15.00)))))))</f>
        <v/>
      </c>
      <c r="M851">
        <f>LET(
    seasoning_years,DATEDIF('Loan Tape (S&amp;P)'!K851,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1">
        <f>IF(AND('Loan Tape (S&amp;P)'!U851="Yes",
        'Loan Tape (S&amp;P)'!T851&lt;&gt;"Yes",
        DATEDIF('Loan Tape (S&amp;P)'!K851, TODAY(), "M")&lt;18),
    1.10,
    1.00)</f>
        <v/>
      </c>
      <c r="O851">
        <f>IF('Loan Tape (S&amp;P)'!T851="Yes",
    1.35,
    1.00)</f>
        <v/>
      </c>
      <c r="P851">
        <f>IF('Loan Tape (S&amp;P)'!S851="Yes",
    1.15,
    1.00)</f>
        <v/>
      </c>
      <c r="Q851">
        <f>IF('Loan Tape (S&amp;P)'!V851="Yes",
    1.20,
    1.00)</f>
        <v/>
      </c>
      <c r="T851">
        <f>LET(
    payment_method,'Loan Tape (S&amp;P)'!P851,
    occupancy,'Loan Tape (S&amp;P)'!N851,
    maturity_date,'Loan Tape (S&amp;P)'!L851,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2">
      <c r="J852">
        <f>LET(
    lien,'Loan Tape (S&amp;P)'!Q852,
    IF(lien="First",1.00,
        IF(lien="Second",1.50,
            1.70)))</f>
        <v/>
      </c>
      <c r="K852">
        <f>LET(
    purpose,'Loan Tape (S&amp;P)'!R852,
    IF(purpose="Purchase",1.00,
        IF(purpose="Remortgage",1.00,
            1.20)))</f>
        <v/>
      </c>
      <c r="L852">
        <f>LET(
    arrears_months,'Loan Tape (S&amp;P)'!AN852,
    IF(arrears_months=0,1.00,
    IF(arrears_months=1,3.00,
    IF(arrears_months=2,5.00,
    IF(arrears_months=3,8.00,
    IF(arrears_months=4,10.00,
    IF(arrears_months=5,12.00,15.00)))))))</f>
        <v/>
      </c>
      <c r="M852">
        <f>LET(
    seasoning_years,DATEDIF('Loan Tape (S&amp;P)'!K852,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2">
        <f>IF(AND('Loan Tape (S&amp;P)'!U852="Yes",
        'Loan Tape (S&amp;P)'!T852&lt;&gt;"Yes",
        DATEDIF('Loan Tape (S&amp;P)'!K852, TODAY(), "M")&lt;18),
    1.10,
    1.00)</f>
        <v/>
      </c>
      <c r="O852">
        <f>IF('Loan Tape (S&amp;P)'!T852="Yes",
    1.35,
    1.00)</f>
        <v/>
      </c>
      <c r="P852">
        <f>IF('Loan Tape (S&amp;P)'!S852="Yes",
    1.15,
    1.00)</f>
        <v/>
      </c>
      <c r="Q852">
        <f>IF('Loan Tape (S&amp;P)'!V852="Yes",
    1.20,
    1.00)</f>
        <v/>
      </c>
      <c r="T852">
        <f>LET(
    payment_method,'Loan Tape (S&amp;P)'!P852,
    occupancy,'Loan Tape (S&amp;P)'!N852,
    maturity_date,'Loan Tape (S&amp;P)'!L852,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3">
      <c r="J853">
        <f>LET(
    lien,'Loan Tape (S&amp;P)'!Q853,
    IF(lien="First",1.00,
        IF(lien="Second",1.50,
            1.70)))</f>
        <v/>
      </c>
      <c r="K853">
        <f>LET(
    purpose,'Loan Tape (S&amp;P)'!R853,
    IF(purpose="Purchase",1.00,
        IF(purpose="Remortgage",1.00,
            1.20)))</f>
        <v/>
      </c>
      <c r="L853">
        <f>LET(
    arrears_months,'Loan Tape (S&amp;P)'!AN853,
    IF(arrears_months=0,1.00,
    IF(arrears_months=1,3.00,
    IF(arrears_months=2,5.00,
    IF(arrears_months=3,8.00,
    IF(arrears_months=4,10.00,
    IF(arrears_months=5,12.00,15.00)))))))</f>
        <v/>
      </c>
      <c r="M853">
        <f>LET(
    seasoning_years,DATEDIF('Loan Tape (S&amp;P)'!K853,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3">
        <f>IF(AND('Loan Tape (S&amp;P)'!U853="Yes",
        'Loan Tape (S&amp;P)'!T853&lt;&gt;"Yes",
        DATEDIF('Loan Tape (S&amp;P)'!K853, TODAY(), "M")&lt;18),
    1.10,
    1.00)</f>
        <v/>
      </c>
      <c r="O853">
        <f>IF('Loan Tape (S&amp;P)'!T853="Yes",
    1.35,
    1.00)</f>
        <v/>
      </c>
      <c r="P853">
        <f>IF('Loan Tape (S&amp;P)'!S853="Yes",
    1.15,
    1.00)</f>
        <v/>
      </c>
      <c r="Q853">
        <f>IF('Loan Tape (S&amp;P)'!V853="Yes",
    1.20,
    1.00)</f>
        <v/>
      </c>
      <c r="T853">
        <f>LET(
    payment_method,'Loan Tape (S&amp;P)'!P853,
    occupancy,'Loan Tape (S&amp;P)'!N853,
    maturity_date,'Loan Tape (S&amp;P)'!L853,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4">
      <c r="J854">
        <f>LET(
    lien,'Loan Tape (S&amp;P)'!Q854,
    IF(lien="First",1.00,
        IF(lien="Second",1.50,
            1.70)))</f>
        <v/>
      </c>
      <c r="K854">
        <f>LET(
    purpose,'Loan Tape (S&amp;P)'!R854,
    IF(purpose="Purchase",1.00,
        IF(purpose="Remortgage",1.00,
            1.20)))</f>
        <v/>
      </c>
      <c r="L854">
        <f>LET(
    arrears_months,'Loan Tape (S&amp;P)'!AN854,
    IF(arrears_months=0,1.00,
    IF(arrears_months=1,3.00,
    IF(arrears_months=2,5.00,
    IF(arrears_months=3,8.00,
    IF(arrears_months=4,10.00,
    IF(arrears_months=5,12.00,15.00)))))))</f>
        <v/>
      </c>
      <c r="M854">
        <f>LET(
    seasoning_years,DATEDIF('Loan Tape (S&amp;P)'!K854,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4">
        <f>IF(AND('Loan Tape (S&amp;P)'!U854="Yes",
        'Loan Tape (S&amp;P)'!T854&lt;&gt;"Yes",
        DATEDIF('Loan Tape (S&amp;P)'!K854, TODAY(), "M")&lt;18),
    1.10,
    1.00)</f>
        <v/>
      </c>
      <c r="O854">
        <f>IF('Loan Tape (S&amp;P)'!T854="Yes",
    1.35,
    1.00)</f>
        <v/>
      </c>
      <c r="P854">
        <f>IF('Loan Tape (S&amp;P)'!S854="Yes",
    1.15,
    1.00)</f>
        <v/>
      </c>
      <c r="Q854">
        <f>IF('Loan Tape (S&amp;P)'!V854="Yes",
    1.20,
    1.00)</f>
        <v/>
      </c>
      <c r="T854">
        <f>LET(
    payment_method,'Loan Tape (S&amp;P)'!P854,
    occupancy,'Loan Tape (S&amp;P)'!N854,
    maturity_date,'Loan Tape (S&amp;P)'!L854,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5">
      <c r="J855">
        <f>LET(
    lien,'Loan Tape (S&amp;P)'!Q855,
    IF(lien="First",1.00,
        IF(lien="Second",1.50,
            1.70)))</f>
        <v/>
      </c>
      <c r="K855">
        <f>LET(
    purpose,'Loan Tape (S&amp;P)'!R855,
    IF(purpose="Purchase",1.00,
        IF(purpose="Remortgage",1.00,
            1.20)))</f>
        <v/>
      </c>
      <c r="L855">
        <f>LET(
    arrears_months,'Loan Tape (S&amp;P)'!AN855,
    IF(arrears_months=0,1.00,
    IF(arrears_months=1,3.00,
    IF(arrears_months=2,5.00,
    IF(arrears_months=3,8.00,
    IF(arrears_months=4,10.00,
    IF(arrears_months=5,12.00,15.00)))))))</f>
        <v/>
      </c>
      <c r="M855">
        <f>LET(
    seasoning_years,DATEDIF('Loan Tape (S&amp;P)'!K855,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5">
        <f>IF(AND('Loan Tape (S&amp;P)'!U855="Yes",
        'Loan Tape (S&amp;P)'!T855&lt;&gt;"Yes",
        DATEDIF('Loan Tape (S&amp;P)'!K855, TODAY(), "M")&lt;18),
    1.10,
    1.00)</f>
        <v/>
      </c>
      <c r="O855">
        <f>IF('Loan Tape (S&amp;P)'!T855="Yes",
    1.35,
    1.00)</f>
        <v/>
      </c>
      <c r="P855">
        <f>IF('Loan Tape (S&amp;P)'!S855="Yes",
    1.15,
    1.00)</f>
        <v/>
      </c>
      <c r="Q855">
        <f>IF('Loan Tape (S&amp;P)'!V855="Yes",
    1.20,
    1.00)</f>
        <v/>
      </c>
      <c r="T855">
        <f>LET(
    payment_method,'Loan Tape (S&amp;P)'!P855,
    occupancy,'Loan Tape (S&amp;P)'!N855,
    maturity_date,'Loan Tape (S&amp;P)'!L855,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6">
      <c r="J856">
        <f>LET(
    lien,'Loan Tape (S&amp;P)'!Q856,
    IF(lien="First",1.00,
        IF(lien="Second",1.50,
            1.70)))</f>
        <v/>
      </c>
      <c r="K856">
        <f>LET(
    purpose,'Loan Tape (S&amp;P)'!R856,
    IF(purpose="Purchase",1.00,
        IF(purpose="Remortgage",1.00,
            1.20)))</f>
        <v/>
      </c>
      <c r="L856">
        <f>LET(
    arrears_months,'Loan Tape (S&amp;P)'!AN856,
    IF(arrears_months=0,1.00,
    IF(arrears_months=1,3.00,
    IF(arrears_months=2,5.00,
    IF(arrears_months=3,8.00,
    IF(arrears_months=4,10.00,
    IF(arrears_months=5,12.00,15.00)))))))</f>
        <v/>
      </c>
      <c r="M856">
        <f>LET(
    seasoning_years,DATEDIF('Loan Tape (S&amp;P)'!K856,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6">
        <f>IF(AND('Loan Tape (S&amp;P)'!U856="Yes",
        'Loan Tape (S&amp;P)'!T856&lt;&gt;"Yes",
        DATEDIF('Loan Tape (S&amp;P)'!K856, TODAY(), "M")&lt;18),
    1.10,
    1.00)</f>
        <v/>
      </c>
      <c r="O856">
        <f>IF('Loan Tape (S&amp;P)'!T856="Yes",
    1.35,
    1.00)</f>
        <v/>
      </c>
      <c r="P856">
        <f>IF('Loan Tape (S&amp;P)'!S856="Yes",
    1.15,
    1.00)</f>
        <v/>
      </c>
      <c r="Q856">
        <f>IF('Loan Tape (S&amp;P)'!V856="Yes",
    1.20,
    1.00)</f>
        <v/>
      </c>
      <c r="T856">
        <f>LET(
    payment_method,'Loan Tape (S&amp;P)'!P856,
    occupancy,'Loan Tape (S&amp;P)'!N856,
    maturity_date,'Loan Tape (S&amp;P)'!L856,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7">
      <c r="J857">
        <f>LET(
    lien,'Loan Tape (S&amp;P)'!Q857,
    IF(lien="First",1.00,
        IF(lien="Second",1.50,
            1.70)))</f>
        <v/>
      </c>
      <c r="K857">
        <f>LET(
    purpose,'Loan Tape (S&amp;P)'!R857,
    IF(purpose="Purchase",1.00,
        IF(purpose="Remortgage",1.00,
            1.20)))</f>
        <v/>
      </c>
      <c r="L857">
        <f>LET(
    arrears_months,'Loan Tape (S&amp;P)'!AN857,
    IF(arrears_months=0,1.00,
    IF(arrears_months=1,3.00,
    IF(arrears_months=2,5.00,
    IF(arrears_months=3,8.00,
    IF(arrears_months=4,10.00,
    IF(arrears_months=5,12.00,15.00)))))))</f>
        <v/>
      </c>
      <c r="M857">
        <f>LET(
    seasoning_years,DATEDIF('Loan Tape (S&amp;P)'!K857,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7">
        <f>IF(AND('Loan Tape (S&amp;P)'!U857="Yes",
        'Loan Tape (S&amp;P)'!T857&lt;&gt;"Yes",
        DATEDIF('Loan Tape (S&amp;P)'!K857, TODAY(), "M")&lt;18),
    1.10,
    1.00)</f>
        <v/>
      </c>
      <c r="O857">
        <f>IF('Loan Tape (S&amp;P)'!T857="Yes",
    1.35,
    1.00)</f>
        <v/>
      </c>
      <c r="P857">
        <f>IF('Loan Tape (S&amp;P)'!S857="Yes",
    1.15,
    1.00)</f>
        <v/>
      </c>
      <c r="Q857">
        <f>IF('Loan Tape (S&amp;P)'!V857="Yes",
    1.20,
    1.00)</f>
        <v/>
      </c>
      <c r="T857">
        <f>LET(
    payment_method,'Loan Tape (S&amp;P)'!P857,
    occupancy,'Loan Tape (S&amp;P)'!N857,
    maturity_date,'Loan Tape (S&amp;P)'!L857,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8">
      <c r="J858">
        <f>LET(
    lien,'Loan Tape (S&amp;P)'!Q858,
    IF(lien="First",1.00,
        IF(lien="Second",1.50,
            1.70)))</f>
        <v/>
      </c>
      <c r="K858">
        <f>LET(
    purpose,'Loan Tape (S&amp;P)'!R858,
    IF(purpose="Purchase",1.00,
        IF(purpose="Remortgage",1.00,
            1.20)))</f>
        <v/>
      </c>
      <c r="L858">
        <f>LET(
    arrears_months,'Loan Tape (S&amp;P)'!AN858,
    IF(arrears_months=0,1.00,
    IF(arrears_months=1,3.00,
    IF(arrears_months=2,5.00,
    IF(arrears_months=3,8.00,
    IF(arrears_months=4,10.00,
    IF(arrears_months=5,12.00,15.00)))))))</f>
        <v/>
      </c>
      <c r="M858">
        <f>LET(
    seasoning_years,DATEDIF('Loan Tape (S&amp;P)'!K858,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8">
        <f>IF(AND('Loan Tape (S&amp;P)'!U858="Yes",
        'Loan Tape (S&amp;P)'!T858&lt;&gt;"Yes",
        DATEDIF('Loan Tape (S&amp;P)'!K858, TODAY(), "M")&lt;18),
    1.10,
    1.00)</f>
        <v/>
      </c>
      <c r="O858">
        <f>IF('Loan Tape (S&amp;P)'!T858="Yes",
    1.35,
    1.00)</f>
        <v/>
      </c>
      <c r="P858">
        <f>IF('Loan Tape (S&amp;P)'!S858="Yes",
    1.15,
    1.00)</f>
        <v/>
      </c>
      <c r="Q858">
        <f>IF('Loan Tape (S&amp;P)'!V858="Yes",
    1.20,
    1.00)</f>
        <v/>
      </c>
      <c r="T858">
        <f>LET(
    payment_method,'Loan Tape (S&amp;P)'!P858,
    occupancy,'Loan Tape (S&amp;P)'!N858,
    maturity_date,'Loan Tape (S&amp;P)'!L858,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9">
      <c r="J859">
        <f>LET(
    lien,'Loan Tape (S&amp;P)'!Q859,
    IF(lien="First",1.00,
        IF(lien="Second",1.50,
            1.70)))</f>
        <v/>
      </c>
      <c r="K859">
        <f>LET(
    purpose,'Loan Tape (S&amp;P)'!R859,
    IF(purpose="Purchase",1.00,
        IF(purpose="Remortgage",1.00,
            1.20)))</f>
        <v/>
      </c>
      <c r="L859">
        <f>LET(
    arrears_months,'Loan Tape (S&amp;P)'!AN859,
    IF(arrears_months=0,1.00,
    IF(arrears_months=1,3.00,
    IF(arrears_months=2,5.00,
    IF(arrears_months=3,8.00,
    IF(arrears_months=4,10.00,
    IF(arrears_months=5,12.00,15.00)))))))</f>
        <v/>
      </c>
      <c r="M859">
        <f>LET(
    seasoning_years,DATEDIF('Loan Tape (S&amp;P)'!K859,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9">
        <f>IF(AND('Loan Tape (S&amp;P)'!U859="Yes",
        'Loan Tape (S&amp;P)'!T859&lt;&gt;"Yes",
        DATEDIF('Loan Tape (S&amp;P)'!K859, TODAY(), "M")&lt;18),
    1.10,
    1.00)</f>
        <v/>
      </c>
      <c r="O859">
        <f>IF('Loan Tape (S&amp;P)'!T859="Yes",
    1.35,
    1.00)</f>
        <v/>
      </c>
      <c r="P859">
        <f>IF('Loan Tape (S&amp;P)'!S859="Yes",
    1.15,
    1.00)</f>
        <v/>
      </c>
      <c r="Q859">
        <f>IF('Loan Tape (S&amp;P)'!V859="Yes",
    1.20,
    1.00)</f>
        <v/>
      </c>
      <c r="T859">
        <f>LET(
    payment_method,'Loan Tape (S&amp;P)'!P859,
    occupancy,'Loan Tape (S&amp;P)'!N859,
    maturity_date,'Loan Tape (S&amp;P)'!L859,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0">
      <c r="J860">
        <f>LET(
    lien,'Loan Tape (S&amp;P)'!Q860,
    IF(lien="First",1.00,
        IF(lien="Second",1.50,
            1.70)))</f>
        <v/>
      </c>
      <c r="K860">
        <f>LET(
    purpose,'Loan Tape (S&amp;P)'!R860,
    IF(purpose="Purchase",1.00,
        IF(purpose="Remortgage",1.00,
            1.20)))</f>
        <v/>
      </c>
      <c r="L860">
        <f>LET(
    arrears_months,'Loan Tape (S&amp;P)'!AN860,
    IF(arrears_months=0,1.00,
    IF(arrears_months=1,3.00,
    IF(arrears_months=2,5.00,
    IF(arrears_months=3,8.00,
    IF(arrears_months=4,10.00,
    IF(arrears_months=5,12.00,15.00)))))))</f>
        <v/>
      </c>
      <c r="M860">
        <f>LET(
    seasoning_years,DATEDIF('Loan Tape (S&amp;P)'!K860,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0">
        <f>IF(AND('Loan Tape (S&amp;P)'!U860="Yes",
        'Loan Tape (S&amp;P)'!T860&lt;&gt;"Yes",
        DATEDIF('Loan Tape (S&amp;P)'!K860, TODAY(), "M")&lt;18),
    1.10,
    1.00)</f>
        <v/>
      </c>
      <c r="O860">
        <f>IF('Loan Tape (S&amp;P)'!T860="Yes",
    1.35,
    1.00)</f>
        <v/>
      </c>
      <c r="P860">
        <f>IF('Loan Tape (S&amp;P)'!S860="Yes",
    1.15,
    1.00)</f>
        <v/>
      </c>
      <c r="Q860">
        <f>IF('Loan Tape (S&amp;P)'!V860="Yes",
    1.20,
    1.00)</f>
        <v/>
      </c>
      <c r="T860">
        <f>LET(
    payment_method,'Loan Tape (S&amp;P)'!P860,
    occupancy,'Loan Tape (S&amp;P)'!N860,
    maturity_date,'Loan Tape (S&amp;P)'!L860,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1">
      <c r="J861">
        <f>LET(
    lien,'Loan Tape (S&amp;P)'!Q861,
    IF(lien="First",1.00,
        IF(lien="Second",1.50,
            1.70)))</f>
        <v/>
      </c>
      <c r="K861">
        <f>LET(
    purpose,'Loan Tape (S&amp;P)'!R861,
    IF(purpose="Purchase",1.00,
        IF(purpose="Remortgage",1.00,
            1.20)))</f>
        <v/>
      </c>
      <c r="L861">
        <f>LET(
    arrears_months,'Loan Tape (S&amp;P)'!AN861,
    IF(arrears_months=0,1.00,
    IF(arrears_months=1,3.00,
    IF(arrears_months=2,5.00,
    IF(arrears_months=3,8.00,
    IF(arrears_months=4,10.00,
    IF(arrears_months=5,12.00,15.00)))))))</f>
        <v/>
      </c>
      <c r="M861">
        <f>LET(
    seasoning_years,DATEDIF('Loan Tape (S&amp;P)'!K861,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1">
        <f>IF(AND('Loan Tape (S&amp;P)'!U861="Yes",
        'Loan Tape (S&amp;P)'!T861&lt;&gt;"Yes",
        DATEDIF('Loan Tape (S&amp;P)'!K861, TODAY(), "M")&lt;18),
    1.10,
    1.00)</f>
        <v/>
      </c>
      <c r="O861">
        <f>IF('Loan Tape (S&amp;P)'!T861="Yes",
    1.35,
    1.00)</f>
        <v/>
      </c>
      <c r="P861">
        <f>IF('Loan Tape (S&amp;P)'!S861="Yes",
    1.15,
    1.00)</f>
        <v/>
      </c>
      <c r="Q861">
        <f>IF('Loan Tape (S&amp;P)'!V861="Yes",
    1.20,
    1.00)</f>
        <v/>
      </c>
      <c r="T861">
        <f>LET(
    payment_method,'Loan Tape (S&amp;P)'!P861,
    occupancy,'Loan Tape (S&amp;P)'!N861,
    maturity_date,'Loan Tape (S&amp;P)'!L861,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2">
      <c r="J862">
        <f>LET(
    lien,'Loan Tape (S&amp;P)'!Q862,
    IF(lien="First",1.00,
        IF(lien="Second",1.50,
            1.70)))</f>
        <v/>
      </c>
      <c r="K862">
        <f>LET(
    purpose,'Loan Tape (S&amp;P)'!R862,
    IF(purpose="Purchase",1.00,
        IF(purpose="Remortgage",1.00,
            1.20)))</f>
        <v/>
      </c>
      <c r="L862">
        <f>LET(
    arrears_months,'Loan Tape (S&amp;P)'!AN862,
    IF(arrears_months=0,1.00,
    IF(arrears_months=1,3.00,
    IF(arrears_months=2,5.00,
    IF(arrears_months=3,8.00,
    IF(arrears_months=4,10.00,
    IF(arrears_months=5,12.00,15.00)))))))</f>
        <v/>
      </c>
      <c r="M862">
        <f>LET(
    seasoning_years,DATEDIF('Loan Tape (S&amp;P)'!K862,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2">
        <f>IF(AND('Loan Tape (S&amp;P)'!U862="Yes",
        'Loan Tape (S&amp;P)'!T862&lt;&gt;"Yes",
        DATEDIF('Loan Tape (S&amp;P)'!K862, TODAY(), "M")&lt;18),
    1.10,
    1.00)</f>
        <v/>
      </c>
      <c r="O862">
        <f>IF('Loan Tape (S&amp;P)'!T862="Yes",
    1.35,
    1.00)</f>
        <v/>
      </c>
      <c r="P862">
        <f>IF('Loan Tape (S&amp;P)'!S862="Yes",
    1.15,
    1.00)</f>
        <v/>
      </c>
      <c r="Q862">
        <f>IF('Loan Tape (S&amp;P)'!V862="Yes",
    1.20,
    1.00)</f>
        <v/>
      </c>
      <c r="T862">
        <f>LET(
    payment_method,'Loan Tape (S&amp;P)'!P862,
    occupancy,'Loan Tape (S&amp;P)'!N862,
    maturity_date,'Loan Tape (S&amp;P)'!L862,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3">
      <c r="J863">
        <f>LET(
    lien,'Loan Tape (S&amp;P)'!Q863,
    IF(lien="First",1.00,
        IF(lien="Second",1.50,
            1.70)))</f>
        <v/>
      </c>
      <c r="K863">
        <f>LET(
    purpose,'Loan Tape (S&amp;P)'!R863,
    IF(purpose="Purchase",1.00,
        IF(purpose="Remortgage",1.00,
            1.20)))</f>
        <v/>
      </c>
      <c r="L863">
        <f>LET(
    arrears_months,'Loan Tape (S&amp;P)'!AN863,
    IF(arrears_months=0,1.00,
    IF(arrears_months=1,3.00,
    IF(arrears_months=2,5.00,
    IF(arrears_months=3,8.00,
    IF(arrears_months=4,10.00,
    IF(arrears_months=5,12.00,15.00)))))))</f>
        <v/>
      </c>
      <c r="M863">
        <f>LET(
    seasoning_years,DATEDIF('Loan Tape (S&amp;P)'!K863,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3">
        <f>IF(AND('Loan Tape (S&amp;P)'!U863="Yes",
        'Loan Tape (S&amp;P)'!T863&lt;&gt;"Yes",
        DATEDIF('Loan Tape (S&amp;P)'!K863, TODAY(), "M")&lt;18),
    1.10,
    1.00)</f>
        <v/>
      </c>
      <c r="O863">
        <f>IF('Loan Tape (S&amp;P)'!T863="Yes",
    1.35,
    1.00)</f>
        <v/>
      </c>
      <c r="P863">
        <f>IF('Loan Tape (S&amp;P)'!S863="Yes",
    1.15,
    1.00)</f>
        <v/>
      </c>
      <c r="Q863">
        <f>IF('Loan Tape (S&amp;P)'!V863="Yes",
    1.20,
    1.00)</f>
        <v/>
      </c>
      <c r="T863">
        <f>LET(
    payment_method,'Loan Tape (S&amp;P)'!P863,
    occupancy,'Loan Tape (S&amp;P)'!N863,
    maturity_date,'Loan Tape (S&amp;P)'!L863,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4">
      <c r="J864">
        <f>LET(
    lien,'Loan Tape (S&amp;P)'!Q864,
    IF(lien="First",1.00,
        IF(lien="Second",1.50,
            1.70)))</f>
        <v/>
      </c>
      <c r="K864">
        <f>LET(
    purpose,'Loan Tape (S&amp;P)'!R864,
    IF(purpose="Purchase",1.00,
        IF(purpose="Remortgage",1.00,
            1.20)))</f>
        <v/>
      </c>
      <c r="L864">
        <f>LET(
    arrears_months,'Loan Tape (S&amp;P)'!AN864,
    IF(arrears_months=0,1.00,
    IF(arrears_months=1,3.00,
    IF(arrears_months=2,5.00,
    IF(arrears_months=3,8.00,
    IF(arrears_months=4,10.00,
    IF(arrears_months=5,12.00,15.00)))))))</f>
        <v/>
      </c>
      <c r="M864">
        <f>LET(
    seasoning_years,DATEDIF('Loan Tape (S&amp;P)'!K864,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4">
        <f>IF(AND('Loan Tape (S&amp;P)'!U864="Yes",
        'Loan Tape (S&amp;P)'!T864&lt;&gt;"Yes",
        DATEDIF('Loan Tape (S&amp;P)'!K864, TODAY(), "M")&lt;18),
    1.10,
    1.00)</f>
        <v/>
      </c>
      <c r="O864">
        <f>IF('Loan Tape (S&amp;P)'!T864="Yes",
    1.35,
    1.00)</f>
        <v/>
      </c>
      <c r="P864">
        <f>IF('Loan Tape (S&amp;P)'!S864="Yes",
    1.15,
    1.00)</f>
        <v/>
      </c>
      <c r="Q864">
        <f>IF('Loan Tape (S&amp;P)'!V864="Yes",
    1.20,
    1.00)</f>
        <v/>
      </c>
      <c r="T864">
        <f>LET(
    payment_method,'Loan Tape (S&amp;P)'!P864,
    occupancy,'Loan Tape (S&amp;P)'!N864,
    maturity_date,'Loan Tape (S&amp;P)'!L864,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5">
      <c r="J865">
        <f>LET(
    lien,'Loan Tape (S&amp;P)'!Q865,
    IF(lien="First",1.00,
        IF(lien="Second",1.50,
            1.70)))</f>
        <v/>
      </c>
      <c r="K865">
        <f>LET(
    purpose,'Loan Tape (S&amp;P)'!R865,
    IF(purpose="Purchase",1.00,
        IF(purpose="Remortgage",1.00,
            1.20)))</f>
        <v/>
      </c>
      <c r="L865">
        <f>LET(
    arrears_months,'Loan Tape (S&amp;P)'!AN865,
    IF(arrears_months=0,1.00,
    IF(arrears_months=1,3.00,
    IF(arrears_months=2,5.00,
    IF(arrears_months=3,8.00,
    IF(arrears_months=4,10.00,
    IF(arrears_months=5,12.00,15.00)))))))</f>
        <v/>
      </c>
      <c r="M865">
        <f>LET(
    seasoning_years,DATEDIF('Loan Tape (S&amp;P)'!K865,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5">
        <f>IF(AND('Loan Tape (S&amp;P)'!U865="Yes",
        'Loan Tape (S&amp;P)'!T865&lt;&gt;"Yes",
        DATEDIF('Loan Tape (S&amp;P)'!K865, TODAY(), "M")&lt;18),
    1.10,
    1.00)</f>
        <v/>
      </c>
      <c r="O865">
        <f>IF('Loan Tape (S&amp;P)'!T865="Yes",
    1.35,
    1.00)</f>
        <v/>
      </c>
      <c r="P865">
        <f>IF('Loan Tape (S&amp;P)'!S865="Yes",
    1.15,
    1.00)</f>
        <v/>
      </c>
      <c r="Q865">
        <f>IF('Loan Tape (S&amp;P)'!V865="Yes",
    1.20,
    1.00)</f>
        <v/>
      </c>
      <c r="T865">
        <f>LET(
    payment_method,'Loan Tape (S&amp;P)'!P865,
    occupancy,'Loan Tape (S&amp;P)'!N865,
    maturity_date,'Loan Tape (S&amp;P)'!L865,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6">
      <c r="J866">
        <f>LET(
    lien,'Loan Tape (S&amp;P)'!Q866,
    IF(lien="First",1.00,
        IF(lien="Second",1.50,
            1.70)))</f>
        <v/>
      </c>
      <c r="K866">
        <f>LET(
    purpose,'Loan Tape (S&amp;P)'!R866,
    IF(purpose="Purchase",1.00,
        IF(purpose="Remortgage",1.00,
            1.20)))</f>
        <v/>
      </c>
      <c r="L866">
        <f>LET(
    arrears_months,'Loan Tape (S&amp;P)'!AN866,
    IF(arrears_months=0,1.00,
    IF(arrears_months=1,3.00,
    IF(arrears_months=2,5.00,
    IF(arrears_months=3,8.00,
    IF(arrears_months=4,10.00,
    IF(arrears_months=5,12.00,15.00)))))))</f>
        <v/>
      </c>
      <c r="M866">
        <f>LET(
    seasoning_years,DATEDIF('Loan Tape (S&amp;P)'!K866,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6">
        <f>IF(AND('Loan Tape (S&amp;P)'!U866="Yes",
        'Loan Tape (S&amp;P)'!T866&lt;&gt;"Yes",
        DATEDIF('Loan Tape (S&amp;P)'!K866, TODAY(), "M")&lt;18),
    1.10,
    1.00)</f>
        <v/>
      </c>
      <c r="O866">
        <f>IF('Loan Tape (S&amp;P)'!T866="Yes",
    1.35,
    1.00)</f>
        <v/>
      </c>
      <c r="P866">
        <f>IF('Loan Tape (S&amp;P)'!S866="Yes",
    1.15,
    1.00)</f>
        <v/>
      </c>
      <c r="Q866">
        <f>IF('Loan Tape (S&amp;P)'!V866="Yes",
    1.20,
    1.00)</f>
        <v/>
      </c>
      <c r="T866">
        <f>LET(
    payment_method,'Loan Tape (S&amp;P)'!P866,
    occupancy,'Loan Tape (S&amp;P)'!N866,
    maturity_date,'Loan Tape (S&amp;P)'!L866,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7">
      <c r="J867">
        <f>LET(
    lien,'Loan Tape (S&amp;P)'!Q867,
    IF(lien="First",1.00,
        IF(lien="Second",1.50,
            1.70)))</f>
        <v/>
      </c>
      <c r="K867">
        <f>LET(
    purpose,'Loan Tape (S&amp;P)'!R867,
    IF(purpose="Purchase",1.00,
        IF(purpose="Remortgage",1.00,
            1.20)))</f>
        <v/>
      </c>
      <c r="L867">
        <f>LET(
    arrears_months,'Loan Tape (S&amp;P)'!AN867,
    IF(arrears_months=0,1.00,
    IF(arrears_months=1,3.00,
    IF(arrears_months=2,5.00,
    IF(arrears_months=3,8.00,
    IF(arrears_months=4,10.00,
    IF(arrears_months=5,12.00,15.00)))))))</f>
        <v/>
      </c>
      <c r="M867">
        <f>LET(
    seasoning_years,DATEDIF('Loan Tape (S&amp;P)'!K867,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7">
        <f>IF(AND('Loan Tape (S&amp;P)'!U867="Yes",
        'Loan Tape (S&amp;P)'!T867&lt;&gt;"Yes",
        DATEDIF('Loan Tape (S&amp;P)'!K867, TODAY(), "M")&lt;18),
    1.10,
    1.00)</f>
        <v/>
      </c>
      <c r="O867">
        <f>IF('Loan Tape (S&amp;P)'!T867="Yes",
    1.35,
    1.00)</f>
        <v/>
      </c>
      <c r="P867">
        <f>IF('Loan Tape (S&amp;P)'!S867="Yes",
    1.15,
    1.00)</f>
        <v/>
      </c>
      <c r="Q867">
        <f>IF('Loan Tape (S&amp;P)'!V867="Yes",
    1.20,
    1.00)</f>
        <v/>
      </c>
      <c r="T867">
        <f>LET(
    payment_method,'Loan Tape (S&amp;P)'!P867,
    occupancy,'Loan Tape (S&amp;P)'!N867,
    maturity_date,'Loan Tape (S&amp;P)'!L867,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8">
      <c r="J868">
        <f>LET(
    lien,'Loan Tape (S&amp;P)'!Q868,
    IF(lien="First",1.00,
        IF(lien="Second",1.50,
            1.70)))</f>
        <v/>
      </c>
      <c r="K868">
        <f>LET(
    purpose,'Loan Tape (S&amp;P)'!R868,
    IF(purpose="Purchase",1.00,
        IF(purpose="Remortgage",1.00,
            1.20)))</f>
        <v/>
      </c>
      <c r="L868">
        <f>LET(
    arrears_months,'Loan Tape (S&amp;P)'!AN868,
    IF(arrears_months=0,1.00,
    IF(arrears_months=1,3.00,
    IF(arrears_months=2,5.00,
    IF(arrears_months=3,8.00,
    IF(arrears_months=4,10.00,
    IF(arrears_months=5,12.00,15.00)))))))</f>
        <v/>
      </c>
      <c r="M868">
        <f>LET(
    seasoning_years,DATEDIF('Loan Tape (S&amp;P)'!K868,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8">
        <f>IF(AND('Loan Tape (S&amp;P)'!U868="Yes",
        'Loan Tape (S&amp;P)'!T868&lt;&gt;"Yes",
        DATEDIF('Loan Tape (S&amp;P)'!K868, TODAY(), "M")&lt;18),
    1.10,
    1.00)</f>
        <v/>
      </c>
      <c r="O868">
        <f>IF('Loan Tape (S&amp;P)'!T868="Yes",
    1.35,
    1.00)</f>
        <v/>
      </c>
      <c r="P868">
        <f>IF('Loan Tape (S&amp;P)'!S868="Yes",
    1.15,
    1.00)</f>
        <v/>
      </c>
      <c r="Q868">
        <f>IF('Loan Tape (S&amp;P)'!V868="Yes",
    1.20,
    1.00)</f>
        <v/>
      </c>
      <c r="T868">
        <f>LET(
    payment_method,'Loan Tape (S&amp;P)'!P868,
    occupancy,'Loan Tape (S&amp;P)'!N868,
    maturity_date,'Loan Tape (S&amp;P)'!L868,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9">
      <c r="J869">
        <f>LET(
    lien,'Loan Tape (S&amp;P)'!Q869,
    IF(lien="First",1.00,
        IF(lien="Second",1.50,
            1.70)))</f>
        <v/>
      </c>
      <c r="K869">
        <f>LET(
    purpose,'Loan Tape (S&amp;P)'!R869,
    IF(purpose="Purchase",1.00,
        IF(purpose="Remortgage",1.00,
            1.20)))</f>
        <v/>
      </c>
      <c r="L869">
        <f>LET(
    arrears_months,'Loan Tape (S&amp;P)'!AN869,
    IF(arrears_months=0,1.00,
    IF(arrears_months=1,3.00,
    IF(arrears_months=2,5.00,
    IF(arrears_months=3,8.00,
    IF(arrears_months=4,10.00,
    IF(arrears_months=5,12.00,15.00)))))))</f>
        <v/>
      </c>
      <c r="M869">
        <f>LET(
    seasoning_years,DATEDIF('Loan Tape (S&amp;P)'!K869,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9">
        <f>IF(AND('Loan Tape (S&amp;P)'!U869="Yes",
        'Loan Tape (S&amp;P)'!T869&lt;&gt;"Yes",
        DATEDIF('Loan Tape (S&amp;P)'!K869, TODAY(), "M")&lt;18),
    1.10,
    1.00)</f>
        <v/>
      </c>
      <c r="O869">
        <f>IF('Loan Tape (S&amp;P)'!T869="Yes",
    1.35,
    1.00)</f>
        <v/>
      </c>
      <c r="P869">
        <f>IF('Loan Tape (S&amp;P)'!S869="Yes",
    1.15,
    1.00)</f>
        <v/>
      </c>
      <c r="Q869">
        <f>IF('Loan Tape (S&amp;P)'!V869="Yes",
    1.20,
    1.00)</f>
        <v/>
      </c>
      <c r="T869">
        <f>LET(
    payment_method,'Loan Tape (S&amp;P)'!P869,
    occupancy,'Loan Tape (S&amp;P)'!N869,
    maturity_date,'Loan Tape (S&amp;P)'!L869,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0">
      <c r="J870">
        <f>LET(
    lien,'Loan Tape (S&amp;P)'!Q870,
    IF(lien="First",1.00,
        IF(lien="Second",1.50,
            1.70)))</f>
        <v/>
      </c>
      <c r="K870">
        <f>LET(
    purpose,'Loan Tape (S&amp;P)'!R870,
    IF(purpose="Purchase",1.00,
        IF(purpose="Remortgage",1.00,
            1.20)))</f>
        <v/>
      </c>
      <c r="L870">
        <f>LET(
    arrears_months,'Loan Tape (S&amp;P)'!AN870,
    IF(arrears_months=0,1.00,
    IF(arrears_months=1,3.00,
    IF(arrears_months=2,5.00,
    IF(arrears_months=3,8.00,
    IF(arrears_months=4,10.00,
    IF(arrears_months=5,12.00,15.00)))))))</f>
        <v/>
      </c>
      <c r="M870">
        <f>LET(
    seasoning_years,DATEDIF('Loan Tape (S&amp;P)'!K870,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0">
        <f>IF(AND('Loan Tape (S&amp;P)'!U870="Yes",
        'Loan Tape (S&amp;P)'!T870&lt;&gt;"Yes",
        DATEDIF('Loan Tape (S&amp;P)'!K870, TODAY(), "M")&lt;18),
    1.10,
    1.00)</f>
        <v/>
      </c>
      <c r="O870">
        <f>IF('Loan Tape (S&amp;P)'!T870="Yes",
    1.35,
    1.00)</f>
        <v/>
      </c>
      <c r="P870">
        <f>IF('Loan Tape (S&amp;P)'!S870="Yes",
    1.15,
    1.00)</f>
        <v/>
      </c>
      <c r="Q870">
        <f>IF('Loan Tape (S&amp;P)'!V870="Yes",
    1.20,
    1.00)</f>
        <v/>
      </c>
      <c r="T870">
        <f>LET(
    payment_method,'Loan Tape (S&amp;P)'!P870,
    occupancy,'Loan Tape (S&amp;P)'!N870,
    maturity_date,'Loan Tape (S&amp;P)'!L870,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1">
      <c r="J871">
        <f>LET(
    lien,'Loan Tape (S&amp;P)'!Q871,
    IF(lien="First",1.00,
        IF(lien="Second",1.50,
            1.70)))</f>
        <v/>
      </c>
      <c r="K871">
        <f>LET(
    purpose,'Loan Tape (S&amp;P)'!R871,
    IF(purpose="Purchase",1.00,
        IF(purpose="Remortgage",1.00,
            1.20)))</f>
        <v/>
      </c>
      <c r="L871">
        <f>LET(
    arrears_months,'Loan Tape (S&amp;P)'!AN871,
    IF(arrears_months=0,1.00,
    IF(arrears_months=1,3.00,
    IF(arrears_months=2,5.00,
    IF(arrears_months=3,8.00,
    IF(arrears_months=4,10.00,
    IF(arrears_months=5,12.00,15.00)))))))</f>
        <v/>
      </c>
      <c r="M871">
        <f>LET(
    seasoning_years,DATEDIF('Loan Tape (S&amp;P)'!K871,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1">
        <f>IF(AND('Loan Tape (S&amp;P)'!U871="Yes",
        'Loan Tape (S&amp;P)'!T871&lt;&gt;"Yes",
        DATEDIF('Loan Tape (S&amp;P)'!K871, TODAY(), "M")&lt;18),
    1.10,
    1.00)</f>
        <v/>
      </c>
      <c r="O871">
        <f>IF('Loan Tape (S&amp;P)'!T871="Yes",
    1.35,
    1.00)</f>
        <v/>
      </c>
      <c r="P871">
        <f>IF('Loan Tape (S&amp;P)'!S871="Yes",
    1.15,
    1.00)</f>
        <v/>
      </c>
      <c r="Q871">
        <f>IF('Loan Tape (S&amp;P)'!V871="Yes",
    1.20,
    1.00)</f>
        <v/>
      </c>
      <c r="T871">
        <f>LET(
    payment_method,'Loan Tape (S&amp;P)'!P871,
    occupancy,'Loan Tape (S&amp;P)'!N871,
    maturity_date,'Loan Tape (S&amp;P)'!L871,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2">
      <c r="J872">
        <f>LET(
    lien,'Loan Tape (S&amp;P)'!Q872,
    IF(lien="First",1.00,
        IF(lien="Second",1.50,
            1.70)))</f>
        <v/>
      </c>
      <c r="K872">
        <f>LET(
    purpose,'Loan Tape (S&amp;P)'!R872,
    IF(purpose="Purchase",1.00,
        IF(purpose="Remortgage",1.00,
            1.20)))</f>
        <v/>
      </c>
      <c r="L872">
        <f>LET(
    arrears_months,'Loan Tape (S&amp;P)'!AN872,
    IF(arrears_months=0,1.00,
    IF(arrears_months=1,3.00,
    IF(arrears_months=2,5.00,
    IF(arrears_months=3,8.00,
    IF(arrears_months=4,10.00,
    IF(arrears_months=5,12.00,15.00)))))))</f>
        <v/>
      </c>
      <c r="M872">
        <f>LET(
    seasoning_years,DATEDIF('Loan Tape (S&amp;P)'!K872,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2">
        <f>IF(AND('Loan Tape (S&amp;P)'!U872="Yes",
        'Loan Tape (S&amp;P)'!T872&lt;&gt;"Yes",
        DATEDIF('Loan Tape (S&amp;P)'!K872, TODAY(), "M")&lt;18),
    1.10,
    1.00)</f>
        <v/>
      </c>
      <c r="O872">
        <f>IF('Loan Tape (S&amp;P)'!T872="Yes",
    1.35,
    1.00)</f>
        <v/>
      </c>
      <c r="P872">
        <f>IF('Loan Tape (S&amp;P)'!S872="Yes",
    1.15,
    1.00)</f>
        <v/>
      </c>
      <c r="Q872">
        <f>IF('Loan Tape (S&amp;P)'!V872="Yes",
    1.20,
    1.00)</f>
        <v/>
      </c>
      <c r="T872">
        <f>LET(
    payment_method,'Loan Tape (S&amp;P)'!P872,
    occupancy,'Loan Tape (S&amp;P)'!N872,
    maturity_date,'Loan Tape (S&amp;P)'!L872,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3">
      <c r="J873">
        <f>LET(
    lien,'Loan Tape (S&amp;P)'!Q873,
    IF(lien="First",1.00,
        IF(lien="Second",1.50,
            1.70)))</f>
        <v/>
      </c>
      <c r="K873">
        <f>LET(
    purpose,'Loan Tape (S&amp;P)'!R873,
    IF(purpose="Purchase",1.00,
        IF(purpose="Remortgage",1.00,
            1.20)))</f>
        <v/>
      </c>
      <c r="L873">
        <f>LET(
    arrears_months,'Loan Tape (S&amp;P)'!AN873,
    IF(arrears_months=0,1.00,
    IF(arrears_months=1,3.00,
    IF(arrears_months=2,5.00,
    IF(arrears_months=3,8.00,
    IF(arrears_months=4,10.00,
    IF(arrears_months=5,12.00,15.00)))))))</f>
        <v/>
      </c>
      <c r="M873">
        <f>LET(
    seasoning_years,DATEDIF('Loan Tape (S&amp;P)'!K873,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3">
        <f>IF(AND('Loan Tape (S&amp;P)'!U873="Yes",
        'Loan Tape (S&amp;P)'!T873&lt;&gt;"Yes",
        DATEDIF('Loan Tape (S&amp;P)'!K873, TODAY(), "M")&lt;18),
    1.10,
    1.00)</f>
        <v/>
      </c>
      <c r="O873">
        <f>IF('Loan Tape (S&amp;P)'!T873="Yes",
    1.35,
    1.00)</f>
        <v/>
      </c>
      <c r="P873">
        <f>IF('Loan Tape (S&amp;P)'!S873="Yes",
    1.15,
    1.00)</f>
        <v/>
      </c>
      <c r="Q873">
        <f>IF('Loan Tape (S&amp;P)'!V873="Yes",
    1.20,
    1.00)</f>
        <v/>
      </c>
      <c r="T873">
        <f>LET(
    payment_method,'Loan Tape (S&amp;P)'!P873,
    occupancy,'Loan Tape (S&amp;P)'!N873,
    maturity_date,'Loan Tape (S&amp;P)'!L873,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4">
      <c r="J874">
        <f>LET(
    lien,'Loan Tape (S&amp;P)'!Q874,
    IF(lien="First",1.00,
        IF(lien="Second",1.50,
            1.70)))</f>
        <v/>
      </c>
      <c r="K874">
        <f>LET(
    purpose,'Loan Tape (S&amp;P)'!R874,
    IF(purpose="Purchase",1.00,
        IF(purpose="Remortgage",1.00,
            1.20)))</f>
        <v/>
      </c>
      <c r="L874">
        <f>LET(
    arrears_months,'Loan Tape (S&amp;P)'!AN874,
    IF(arrears_months=0,1.00,
    IF(arrears_months=1,3.00,
    IF(arrears_months=2,5.00,
    IF(arrears_months=3,8.00,
    IF(arrears_months=4,10.00,
    IF(arrears_months=5,12.00,15.00)))))))</f>
        <v/>
      </c>
      <c r="M874">
        <f>LET(
    seasoning_years,DATEDIF('Loan Tape (S&amp;P)'!K874,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4">
        <f>IF(AND('Loan Tape (S&amp;P)'!U874="Yes",
        'Loan Tape (S&amp;P)'!T874&lt;&gt;"Yes",
        DATEDIF('Loan Tape (S&amp;P)'!K874, TODAY(), "M")&lt;18),
    1.10,
    1.00)</f>
        <v/>
      </c>
      <c r="O874">
        <f>IF('Loan Tape (S&amp;P)'!T874="Yes",
    1.35,
    1.00)</f>
        <v/>
      </c>
      <c r="P874">
        <f>IF('Loan Tape (S&amp;P)'!S874="Yes",
    1.15,
    1.00)</f>
        <v/>
      </c>
      <c r="Q874">
        <f>IF('Loan Tape (S&amp;P)'!V874="Yes",
    1.20,
    1.00)</f>
        <v/>
      </c>
      <c r="T874">
        <f>LET(
    payment_method,'Loan Tape (S&amp;P)'!P874,
    occupancy,'Loan Tape (S&amp;P)'!N874,
    maturity_date,'Loan Tape (S&amp;P)'!L874,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5">
      <c r="J875">
        <f>LET(
    lien,'Loan Tape (S&amp;P)'!Q875,
    IF(lien="First",1.00,
        IF(lien="Second",1.50,
            1.70)))</f>
        <v/>
      </c>
      <c r="K875">
        <f>LET(
    purpose,'Loan Tape (S&amp;P)'!R875,
    IF(purpose="Purchase",1.00,
        IF(purpose="Remortgage",1.00,
            1.20)))</f>
        <v/>
      </c>
      <c r="L875">
        <f>LET(
    arrears_months,'Loan Tape (S&amp;P)'!AN875,
    IF(arrears_months=0,1.00,
    IF(arrears_months=1,3.00,
    IF(arrears_months=2,5.00,
    IF(arrears_months=3,8.00,
    IF(arrears_months=4,10.00,
    IF(arrears_months=5,12.00,15.00)))))))</f>
        <v/>
      </c>
      <c r="M875">
        <f>LET(
    seasoning_years,DATEDIF('Loan Tape (S&amp;P)'!K875,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5">
        <f>IF(AND('Loan Tape (S&amp;P)'!U875="Yes",
        'Loan Tape (S&amp;P)'!T875&lt;&gt;"Yes",
        DATEDIF('Loan Tape (S&amp;P)'!K875, TODAY(), "M")&lt;18),
    1.10,
    1.00)</f>
        <v/>
      </c>
      <c r="O875">
        <f>IF('Loan Tape (S&amp;P)'!T875="Yes",
    1.35,
    1.00)</f>
        <v/>
      </c>
      <c r="P875">
        <f>IF('Loan Tape (S&amp;P)'!S875="Yes",
    1.15,
    1.00)</f>
        <v/>
      </c>
      <c r="Q875">
        <f>IF('Loan Tape (S&amp;P)'!V875="Yes",
    1.20,
    1.00)</f>
        <v/>
      </c>
      <c r="T875">
        <f>LET(
    payment_method,'Loan Tape (S&amp;P)'!P875,
    occupancy,'Loan Tape (S&amp;P)'!N875,
    maturity_date,'Loan Tape (S&amp;P)'!L875,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6">
      <c r="J876">
        <f>LET(
    lien,'Loan Tape (S&amp;P)'!Q876,
    IF(lien="First",1.00,
        IF(lien="Second",1.50,
            1.70)))</f>
        <v/>
      </c>
      <c r="K876">
        <f>LET(
    purpose,'Loan Tape (S&amp;P)'!R876,
    IF(purpose="Purchase",1.00,
        IF(purpose="Remortgage",1.00,
            1.20)))</f>
        <v/>
      </c>
      <c r="L876">
        <f>LET(
    arrears_months,'Loan Tape (S&amp;P)'!AN876,
    IF(arrears_months=0,1.00,
    IF(arrears_months=1,3.00,
    IF(arrears_months=2,5.00,
    IF(arrears_months=3,8.00,
    IF(arrears_months=4,10.00,
    IF(arrears_months=5,12.00,15.00)))))))</f>
        <v/>
      </c>
      <c r="M876">
        <f>LET(
    seasoning_years,DATEDIF('Loan Tape (S&amp;P)'!K876,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6">
        <f>IF(AND('Loan Tape (S&amp;P)'!U876="Yes",
        'Loan Tape (S&amp;P)'!T876&lt;&gt;"Yes",
        DATEDIF('Loan Tape (S&amp;P)'!K876, TODAY(), "M")&lt;18),
    1.10,
    1.00)</f>
        <v/>
      </c>
      <c r="O876">
        <f>IF('Loan Tape (S&amp;P)'!T876="Yes",
    1.35,
    1.00)</f>
        <v/>
      </c>
      <c r="P876">
        <f>IF('Loan Tape (S&amp;P)'!S876="Yes",
    1.15,
    1.00)</f>
        <v/>
      </c>
      <c r="Q876">
        <f>IF('Loan Tape (S&amp;P)'!V876="Yes",
    1.20,
    1.00)</f>
        <v/>
      </c>
      <c r="T876">
        <f>LET(
    payment_method,'Loan Tape (S&amp;P)'!P876,
    occupancy,'Loan Tape (S&amp;P)'!N876,
    maturity_date,'Loan Tape (S&amp;P)'!L876,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7">
      <c r="J877">
        <f>LET(
    lien,'Loan Tape (S&amp;P)'!Q877,
    IF(lien="First",1.00,
        IF(lien="Second",1.50,
            1.70)))</f>
        <v/>
      </c>
      <c r="K877">
        <f>LET(
    purpose,'Loan Tape (S&amp;P)'!R877,
    IF(purpose="Purchase",1.00,
        IF(purpose="Remortgage",1.00,
            1.20)))</f>
        <v/>
      </c>
      <c r="L877">
        <f>LET(
    arrears_months,'Loan Tape (S&amp;P)'!AN877,
    IF(arrears_months=0,1.00,
    IF(arrears_months=1,3.00,
    IF(arrears_months=2,5.00,
    IF(arrears_months=3,8.00,
    IF(arrears_months=4,10.00,
    IF(arrears_months=5,12.00,15.00)))))))</f>
        <v/>
      </c>
      <c r="M877">
        <f>LET(
    seasoning_years,DATEDIF('Loan Tape (S&amp;P)'!K877,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7">
        <f>IF(AND('Loan Tape (S&amp;P)'!U877="Yes",
        'Loan Tape (S&amp;P)'!T877&lt;&gt;"Yes",
        DATEDIF('Loan Tape (S&amp;P)'!K877, TODAY(), "M")&lt;18),
    1.10,
    1.00)</f>
        <v/>
      </c>
      <c r="O877">
        <f>IF('Loan Tape (S&amp;P)'!T877="Yes",
    1.35,
    1.00)</f>
        <v/>
      </c>
      <c r="P877">
        <f>IF('Loan Tape (S&amp;P)'!S877="Yes",
    1.15,
    1.00)</f>
        <v/>
      </c>
      <c r="Q877">
        <f>IF('Loan Tape (S&amp;P)'!V877="Yes",
    1.20,
    1.00)</f>
        <v/>
      </c>
      <c r="T877">
        <f>LET(
    payment_method,'Loan Tape (S&amp;P)'!P877,
    occupancy,'Loan Tape (S&amp;P)'!N877,
    maturity_date,'Loan Tape (S&amp;P)'!L877,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8">
      <c r="J878">
        <f>LET(
    lien,'Loan Tape (S&amp;P)'!Q878,
    IF(lien="First",1.00,
        IF(lien="Second",1.50,
            1.70)))</f>
        <v/>
      </c>
      <c r="K878">
        <f>LET(
    purpose,'Loan Tape (S&amp;P)'!R878,
    IF(purpose="Purchase",1.00,
        IF(purpose="Remortgage",1.00,
            1.20)))</f>
        <v/>
      </c>
      <c r="L878">
        <f>LET(
    arrears_months,'Loan Tape (S&amp;P)'!AN878,
    IF(arrears_months=0,1.00,
    IF(arrears_months=1,3.00,
    IF(arrears_months=2,5.00,
    IF(arrears_months=3,8.00,
    IF(arrears_months=4,10.00,
    IF(arrears_months=5,12.00,15.00)))))))</f>
        <v/>
      </c>
      <c r="M878">
        <f>LET(
    seasoning_years,DATEDIF('Loan Tape (S&amp;P)'!K878,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8">
        <f>IF(AND('Loan Tape (S&amp;P)'!U878="Yes",
        'Loan Tape (S&amp;P)'!T878&lt;&gt;"Yes",
        DATEDIF('Loan Tape (S&amp;P)'!K878, TODAY(), "M")&lt;18),
    1.10,
    1.00)</f>
        <v/>
      </c>
      <c r="O878">
        <f>IF('Loan Tape (S&amp;P)'!T878="Yes",
    1.35,
    1.00)</f>
        <v/>
      </c>
      <c r="P878">
        <f>IF('Loan Tape (S&amp;P)'!S878="Yes",
    1.15,
    1.00)</f>
        <v/>
      </c>
      <c r="Q878">
        <f>IF('Loan Tape (S&amp;P)'!V878="Yes",
    1.20,
    1.00)</f>
        <v/>
      </c>
      <c r="T878">
        <f>LET(
    payment_method,'Loan Tape (S&amp;P)'!P878,
    occupancy,'Loan Tape (S&amp;P)'!N878,
    maturity_date,'Loan Tape (S&amp;P)'!L878,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9">
      <c r="J879">
        <f>LET(
    lien,'Loan Tape (S&amp;P)'!Q879,
    IF(lien="First",1.00,
        IF(lien="Second",1.50,
            1.70)))</f>
        <v/>
      </c>
      <c r="K879">
        <f>LET(
    purpose,'Loan Tape (S&amp;P)'!R879,
    IF(purpose="Purchase",1.00,
        IF(purpose="Remortgage",1.00,
            1.20)))</f>
        <v/>
      </c>
      <c r="L879">
        <f>LET(
    arrears_months,'Loan Tape (S&amp;P)'!AN879,
    IF(arrears_months=0,1.00,
    IF(arrears_months=1,3.00,
    IF(arrears_months=2,5.00,
    IF(arrears_months=3,8.00,
    IF(arrears_months=4,10.00,
    IF(arrears_months=5,12.00,15.00)))))))</f>
        <v/>
      </c>
      <c r="M879">
        <f>LET(
    seasoning_years,DATEDIF('Loan Tape (S&amp;P)'!K879,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9">
        <f>IF(AND('Loan Tape (S&amp;P)'!U879="Yes",
        'Loan Tape (S&amp;P)'!T879&lt;&gt;"Yes",
        DATEDIF('Loan Tape (S&amp;P)'!K879, TODAY(), "M")&lt;18),
    1.10,
    1.00)</f>
        <v/>
      </c>
      <c r="O879">
        <f>IF('Loan Tape (S&amp;P)'!T879="Yes",
    1.35,
    1.00)</f>
        <v/>
      </c>
      <c r="P879">
        <f>IF('Loan Tape (S&amp;P)'!S879="Yes",
    1.15,
    1.00)</f>
        <v/>
      </c>
      <c r="Q879">
        <f>IF('Loan Tape (S&amp;P)'!V879="Yes",
    1.20,
    1.00)</f>
        <v/>
      </c>
      <c r="T879">
        <f>LET(
    payment_method,'Loan Tape (S&amp;P)'!P879,
    occupancy,'Loan Tape (S&amp;P)'!N879,
    maturity_date,'Loan Tape (S&amp;P)'!L879,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0">
      <c r="J880">
        <f>LET(
    lien,'Loan Tape (S&amp;P)'!Q880,
    IF(lien="First",1.00,
        IF(lien="Second",1.50,
            1.70)))</f>
        <v/>
      </c>
      <c r="K880">
        <f>LET(
    purpose,'Loan Tape (S&amp;P)'!R880,
    IF(purpose="Purchase",1.00,
        IF(purpose="Remortgage",1.00,
            1.20)))</f>
        <v/>
      </c>
      <c r="L880">
        <f>LET(
    arrears_months,'Loan Tape (S&amp;P)'!AN880,
    IF(arrears_months=0,1.00,
    IF(arrears_months=1,3.00,
    IF(arrears_months=2,5.00,
    IF(arrears_months=3,8.00,
    IF(arrears_months=4,10.00,
    IF(arrears_months=5,12.00,15.00)))))))</f>
        <v/>
      </c>
      <c r="M880">
        <f>LET(
    seasoning_years,DATEDIF('Loan Tape (S&amp;P)'!K880,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0">
        <f>IF(AND('Loan Tape (S&amp;P)'!U880="Yes",
        'Loan Tape (S&amp;P)'!T880&lt;&gt;"Yes",
        DATEDIF('Loan Tape (S&amp;P)'!K880, TODAY(), "M")&lt;18),
    1.10,
    1.00)</f>
        <v/>
      </c>
      <c r="O880">
        <f>IF('Loan Tape (S&amp;P)'!T880="Yes",
    1.35,
    1.00)</f>
        <v/>
      </c>
      <c r="P880">
        <f>IF('Loan Tape (S&amp;P)'!S880="Yes",
    1.15,
    1.00)</f>
        <v/>
      </c>
      <c r="Q880">
        <f>IF('Loan Tape (S&amp;P)'!V880="Yes",
    1.20,
    1.00)</f>
        <v/>
      </c>
      <c r="T880">
        <f>LET(
    payment_method,'Loan Tape (S&amp;P)'!P880,
    occupancy,'Loan Tape (S&amp;P)'!N880,
    maturity_date,'Loan Tape (S&amp;P)'!L880,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1">
      <c r="J881">
        <f>LET(
    lien,'Loan Tape (S&amp;P)'!Q881,
    IF(lien="First",1.00,
        IF(lien="Second",1.50,
            1.70)))</f>
        <v/>
      </c>
      <c r="K881">
        <f>LET(
    purpose,'Loan Tape (S&amp;P)'!R881,
    IF(purpose="Purchase",1.00,
        IF(purpose="Remortgage",1.00,
            1.20)))</f>
        <v/>
      </c>
      <c r="L881">
        <f>LET(
    arrears_months,'Loan Tape (S&amp;P)'!AN881,
    IF(arrears_months=0,1.00,
    IF(arrears_months=1,3.00,
    IF(arrears_months=2,5.00,
    IF(arrears_months=3,8.00,
    IF(arrears_months=4,10.00,
    IF(arrears_months=5,12.00,15.00)))))))</f>
        <v/>
      </c>
      <c r="M881">
        <f>LET(
    seasoning_years,DATEDIF('Loan Tape (S&amp;P)'!K881,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1">
        <f>IF(AND('Loan Tape (S&amp;P)'!U881="Yes",
        'Loan Tape (S&amp;P)'!T881&lt;&gt;"Yes",
        DATEDIF('Loan Tape (S&amp;P)'!K881, TODAY(), "M")&lt;18),
    1.10,
    1.00)</f>
        <v/>
      </c>
      <c r="O881">
        <f>IF('Loan Tape (S&amp;P)'!T881="Yes",
    1.35,
    1.00)</f>
        <v/>
      </c>
      <c r="P881">
        <f>IF('Loan Tape (S&amp;P)'!S881="Yes",
    1.15,
    1.00)</f>
        <v/>
      </c>
      <c r="Q881">
        <f>IF('Loan Tape (S&amp;P)'!V881="Yes",
    1.20,
    1.00)</f>
        <v/>
      </c>
      <c r="T881">
        <f>LET(
    payment_method,'Loan Tape (S&amp;P)'!P881,
    occupancy,'Loan Tape (S&amp;P)'!N881,
    maturity_date,'Loan Tape (S&amp;P)'!L881,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2">
      <c r="J882">
        <f>LET(
    lien,'Loan Tape (S&amp;P)'!Q882,
    IF(lien="First",1.00,
        IF(lien="Second",1.50,
            1.70)))</f>
        <v/>
      </c>
      <c r="K882">
        <f>LET(
    purpose,'Loan Tape (S&amp;P)'!R882,
    IF(purpose="Purchase",1.00,
        IF(purpose="Remortgage",1.00,
            1.20)))</f>
        <v/>
      </c>
      <c r="L882">
        <f>LET(
    arrears_months,'Loan Tape (S&amp;P)'!AN882,
    IF(arrears_months=0,1.00,
    IF(arrears_months=1,3.00,
    IF(arrears_months=2,5.00,
    IF(arrears_months=3,8.00,
    IF(arrears_months=4,10.00,
    IF(arrears_months=5,12.00,15.00)))))))</f>
        <v/>
      </c>
      <c r="M882">
        <f>LET(
    seasoning_years,DATEDIF('Loan Tape (S&amp;P)'!K882,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2">
        <f>IF(AND('Loan Tape (S&amp;P)'!U882="Yes",
        'Loan Tape (S&amp;P)'!T882&lt;&gt;"Yes",
        DATEDIF('Loan Tape (S&amp;P)'!K882, TODAY(), "M")&lt;18),
    1.10,
    1.00)</f>
        <v/>
      </c>
      <c r="O882">
        <f>IF('Loan Tape (S&amp;P)'!T882="Yes",
    1.35,
    1.00)</f>
        <v/>
      </c>
      <c r="P882">
        <f>IF('Loan Tape (S&amp;P)'!S882="Yes",
    1.15,
    1.00)</f>
        <v/>
      </c>
      <c r="Q882">
        <f>IF('Loan Tape (S&amp;P)'!V882="Yes",
    1.20,
    1.00)</f>
        <v/>
      </c>
      <c r="T882">
        <f>LET(
    payment_method,'Loan Tape (S&amp;P)'!P882,
    occupancy,'Loan Tape (S&amp;P)'!N882,
    maturity_date,'Loan Tape (S&amp;P)'!L882,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3">
      <c r="J883">
        <f>LET(
    lien,'Loan Tape (S&amp;P)'!Q883,
    IF(lien="First",1.00,
        IF(lien="Second",1.50,
            1.70)))</f>
        <v/>
      </c>
      <c r="K883">
        <f>LET(
    purpose,'Loan Tape (S&amp;P)'!R883,
    IF(purpose="Purchase",1.00,
        IF(purpose="Remortgage",1.00,
            1.20)))</f>
        <v/>
      </c>
      <c r="L883">
        <f>LET(
    arrears_months,'Loan Tape (S&amp;P)'!AN883,
    IF(arrears_months=0,1.00,
    IF(arrears_months=1,3.00,
    IF(arrears_months=2,5.00,
    IF(arrears_months=3,8.00,
    IF(arrears_months=4,10.00,
    IF(arrears_months=5,12.00,15.00)))))))</f>
        <v/>
      </c>
      <c r="M883">
        <f>LET(
    seasoning_years,DATEDIF('Loan Tape (S&amp;P)'!K883,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3">
        <f>IF(AND('Loan Tape (S&amp;P)'!U883="Yes",
        'Loan Tape (S&amp;P)'!T883&lt;&gt;"Yes",
        DATEDIF('Loan Tape (S&amp;P)'!K883, TODAY(), "M")&lt;18),
    1.10,
    1.00)</f>
        <v/>
      </c>
      <c r="O883">
        <f>IF('Loan Tape (S&amp;P)'!T883="Yes",
    1.35,
    1.00)</f>
        <v/>
      </c>
      <c r="P883">
        <f>IF('Loan Tape (S&amp;P)'!S883="Yes",
    1.15,
    1.00)</f>
        <v/>
      </c>
      <c r="Q883">
        <f>IF('Loan Tape (S&amp;P)'!V883="Yes",
    1.20,
    1.00)</f>
        <v/>
      </c>
      <c r="T883">
        <f>LET(
    payment_method,'Loan Tape (S&amp;P)'!P883,
    occupancy,'Loan Tape (S&amp;P)'!N883,
    maturity_date,'Loan Tape (S&amp;P)'!L883,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4">
      <c r="J884">
        <f>LET(
    lien,'Loan Tape (S&amp;P)'!Q884,
    IF(lien="First",1.00,
        IF(lien="Second",1.50,
            1.70)))</f>
        <v/>
      </c>
      <c r="K884">
        <f>LET(
    purpose,'Loan Tape (S&amp;P)'!R884,
    IF(purpose="Purchase",1.00,
        IF(purpose="Remortgage",1.00,
            1.20)))</f>
        <v/>
      </c>
      <c r="L884">
        <f>LET(
    arrears_months,'Loan Tape (S&amp;P)'!AN884,
    IF(arrears_months=0,1.00,
    IF(arrears_months=1,3.00,
    IF(arrears_months=2,5.00,
    IF(arrears_months=3,8.00,
    IF(arrears_months=4,10.00,
    IF(arrears_months=5,12.00,15.00)))))))</f>
        <v/>
      </c>
      <c r="M884">
        <f>LET(
    seasoning_years,DATEDIF('Loan Tape (S&amp;P)'!K884,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4">
        <f>IF(AND('Loan Tape (S&amp;P)'!U884="Yes",
        'Loan Tape (S&amp;P)'!T884&lt;&gt;"Yes",
        DATEDIF('Loan Tape (S&amp;P)'!K884, TODAY(), "M")&lt;18),
    1.10,
    1.00)</f>
        <v/>
      </c>
      <c r="O884">
        <f>IF('Loan Tape (S&amp;P)'!T884="Yes",
    1.35,
    1.00)</f>
        <v/>
      </c>
      <c r="P884">
        <f>IF('Loan Tape (S&amp;P)'!S884="Yes",
    1.15,
    1.00)</f>
        <v/>
      </c>
      <c r="Q884">
        <f>IF('Loan Tape (S&amp;P)'!V884="Yes",
    1.20,
    1.00)</f>
        <v/>
      </c>
      <c r="T884">
        <f>LET(
    payment_method,'Loan Tape (S&amp;P)'!P884,
    occupancy,'Loan Tape (S&amp;P)'!N884,
    maturity_date,'Loan Tape (S&amp;P)'!L884,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5">
      <c r="J885">
        <f>LET(
    lien,'Loan Tape (S&amp;P)'!Q885,
    IF(lien="First",1.00,
        IF(lien="Second",1.50,
            1.70)))</f>
        <v/>
      </c>
      <c r="K885">
        <f>LET(
    purpose,'Loan Tape (S&amp;P)'!R885,
    IF(purpose="Purchase",1.00,
        IF(purpose="Remortgage",1.00,
            1.20)))</f>
        <v/>
      </c>
      <c r="L885">
        <f>LET(
    arrears_months,'Loan Tape (S&amp;P)'!AN885,
    IF(arrears_months=0,1.00,
    IF(arrears_months=1,3.00,
    IF(arrears_months=2,5.00,
    IF(arrears_months=3,8.00,
    IF(arrears_months=4,10.00,
    IF(arrears_months=5,12.00,15.00)))))))</f>
        <v/>
      </c>
      <c r="M885">
        <f>LET(
    seasoning_years,DATEDIF('Loan Tape (S&amp;P)'!K885,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5">
        <f>IF(AND('Loan Tape (S&amp;P)'!U885="Yes",
        'Loan Tape (S&amp;P)'!T885&lt;&gt;"Yes",
        DATEDIF('Loan Tape (S&amp;P)'!K885, TODAY(), "M")&lt;18),
    1.10,
    1.00)</f>
        <v/>
      </c>
      <c r="O885">
        <f>IF('Loan Tape (S&amp;P)'!T885="Yes",
    1.35,
    1.00)</f>
        <v/>
      </c>
      <c r="P885">
        <f>IF('Loan Tape (S&amp;P)'!S885="Yes",
    1.15,
    1.00)</f>
        <v/>
      </c>
      <c r="Q885">
        <f>IF('Loan Tape (S&amp;P)'!V885="Yes",
    1.20,
    1.00)</f>
        <v/>
      </c>
      <c r="T885">
        <f>LET(
    payment_method,'Loan Tape (S&amp;P)'!P885,
    occupancy,'Loan Tape (S&amp;P)'!N885,
    maturity_date,'Loan Tape (S&amp;P)'!L885,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6">
      <c r="J886">
        <f>LET(
    lien,'Loan Tape (S&amp;P)'!Q886,
    IF(lien="First",1.00,
        IF(lien="Second",1.50,
            1.70)))</f>
        <v/>
      </c>
      <c r="K886">
        <f>LET(
    purpose,'Loan Tape (S&amp;P)'!R886,
    IF(purpose="Purchase",1.00,
        IF(purpose="Remortgage",1.00,
            1.20)))</f>
        <v/>
      </c>
      <c r="L886">
        <f>LET(
    arrears_months,'Loan Tape (S&amp;P)'!AN886,
    IF(arrears_months=0,1.00,
    IF(arrears_months=1,3.00,
    IF(arrears_months=2,5.00,
    IF(arrears_months=3,8.00,
    IF(arrears_months=4,10.00,
    IF(arrears_months=5,12.00,15.00)))))))</f>
        <v/>
      </c>
      <c r="M886">
        <f>LET(
    seasoning_years,DATEDIF('Loan Tape (S&amp;P)'!K886,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6">
        <f>IF(AND('Loan Tape (S&amp;P)'!U886="Yes",
        'Loan Tape (S&amp;P)'!T886&lt;&gt;"Yes",
        DATEDIF('Loan Tape (S&amp;P)'!K886, TODAY(), "M")&lt;18),
    1.10,
    1.00)</f>
        <v/>
      </c>
      <c r="O886">
        <f>IF('Loan Tape (S&amp;P)'!T886="Yes",
    1.35,
    1.00)</f>
        <v/>
      </c>
      <c r="P886">
        <f>IF('Loan Tape (S&amp;P)'!S886="Yes",
    1.15,
    1.00)</f>
        <v/>
      </c>
      <c r="Q886">
        <f>IF('Loan Tape (S&amp;P)'!V886="Yes",
    1.20,
    1.00)</f>
        <v/>
      </c>
      <c r="T886">
        <f>LET(
    payment_method,'Loan Tape (S&amp;P)'!P886,
    occupancy,'Loan Tape (S&amp;P)'!N886,
    maturity_date,'Loan Tape (S&amp;P)'!L886,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7">
      <c r="J887">
        <f>LET(
    lien,'Loan Tape (S&amp;P)'!Q887,
    IF(lien="First",1.00,
        IF(lien="Second",1.50,
            1.70)))</f>
        <v/>
      </c>
      <c r="K887">
        <f>LET(
    purpose,'Loan Tape (S&amp;P)'!R887,
    IF(purpose="Purchase",1.00,
        IF(purpose="Remortgage",1.00,
            1.20)))</f>
        <v/>
      </c>
      <c r="L887">
        <f>LET(
    arrears_months,'Loan Tape (S&amp;P)'!AN887,
    IF(arrears_months=0,1.00,
    IF(arrears_months=1,3.00,
    IF(arrears_months=2,5.00,
    IF(arrears_months=3,8.00,
    IF(arrears_months=4,10.00,
    IF(arrears_months=5,12.00,15.00)))))))</f>
        <v/>
      </c>
      <c r="M887">
        <f>LET(
    seasoning_years,DATEDIF('Loan Tape (S&amp;P)'!K887,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7">
        <f>IF(AND('Loan Tape (S&amp;P)'!U887="Yes",
        'Loan Tape (S&amp;P)'!T887&lt;&gt;"Yes",
        DATEDIF('Loan Tape (S&amp;P)'!K887, TODAY(), "M")&lt;18),
    1.10,
    1.00)</f>
        <v/>
      </c>
      <c r="O887">
        <f>IF('Loan Tape (S&amp;P)'!T887="Yes",
    1.35,
    1.00)</f>
        <v/>
      </c>
      <c r="P887">
        <f>IF('Loan Tape (S&amp;P)'!S887="Yes",
    1.15,
    1.00)</f>
        <v/>
      </c>
      <c r="Q887">
        <f>IF('Loan Tape (S&amp;P)'!V887="Yes",
    1.20,
    1.00)</f>
        <v/>
      </c>
      <c r="T887">
        <f>LET(
    payment_method,'Loan Tape (S&amp;P)'!P887,
    occupancy,'Loan Tape (S&amp;P)'!N887,
    maturity_date,'Loan Tape (S&amp;P)'!L887,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8">
      <c r="J888">
        <f>LET(
    lien,'Loan Tape (S&amp;P)'!Q888,
    IF(lien="First",1.00,
        IF(lien="Second",1.50,
            1.70)))</f>
        <v/>
      </c>
      <c r="K888">
        <f>LET(
    purpose,'Loan Tape (S&amp;P)'!R888,
    IF(purpose="Purchase",1.00,
        IF(purpose="Remortgage",1.00,
            1.20)))</f>
        <v/>
      </c>
      <c r="L888">
        <f>LET(
    arrears_months,'Loan Tape (S&amp;P)'!AN888,
    IF(arrears_months=0,1.00,
    IF(arrears_months=1,3.00,
    IF(arrears_months=2,5.00,
    IF(arrears_months=3,8.00,
    IF(arrears_months=4,10.00,
    IF(arrears_months=5,12.00,15.00)))))))</f>
        <v/>
      </c>
      <c r="M888">
        <f>LET(
    seasoning_years,DATEDIF('Loan Tape (S&amp;P)'!K888,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8">
        <f>IF(AND('Loan Tape (S&amp;P)'!U888="Yes",
        'Loan Tape (S&amp;P)'!T888&lt;&gt;"Yes",
        DATEDIF('Loan Tape (S&amp;P)'!K888, TODAY(), "M")&lt;18),
    1.10,
    1.00)</f>
        <v/>
      </c>
      <c r="O888">
        <f>IF('Loan Tape (S&amp;P)'!T888="Yes",
    1.35,
    1.00)</f>
        <v/>
      </c>
      <c r="P888">
        <f>IF('Loan Tape (S&amp;P)'!S888="Yes",
    1.15,
    1.00)</f>
        <v/>
      </c>
      <c r="Q888">
        <f>IF('Loan Tape (S&amp;P)'!V888="Yes",
    1.20,
    1.00)</f>
        <v/>
      </c>
      <c r="T888">
        <f>LET(
    payment_method,'Loan Tape (S&amp;P)'!P888,
    occupancy,'Loan Tape (S&amp;P)'!N888,
    maturity_date,'Loan Tape (S&amp;P)'!L888,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9">
      <c r="J889">
        <f>LET(
    lien,'Loan Tape (S&amp;P)'!Q889,
    IF(lien="First",1.00,
        IF(lien="Second",1.50,
            1.70)))</f>
        <v/>
      </c>
      <c r="K889">
        <f>LET(
    purpose,'Loan Tape (S&amp;P)'!R889,
    IF(purpose="Purchase",1.00,
        IF(purpose="Remortgage",1.00,
            1.20)))</f>
        <v/>
      </c>
      <c r="L889">
        <f>LET(
    arrears_months,'Loan Tape (S&amp;P)'!AN889,
    IF(arrears_months=0,1.00,
    IF(arrears_months=1,3.00,
    IF(arrears_months=2,5.00,
    IF(arrears_months=3,8.00,
    IF(arrears_months=4,10.00,
    IF(arrears_months=5,12.00,15.00)))))))</f>
        <v/>
      </c>
      <c r="M889">
        <f>LET(
    seasoning_years,DATEDIF('Loan Tape (S&amp;P)'!K889,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9">
        <f>IF(AND('Loan Tape (S&amp;P)'!U889="Yes",
        'Loan Tape (S&amp;P)'!T889&lt;&gt;"Yes",
        DATEDIF('Loan Tape (S&amp;P)'!K889, TODAY(), "M")&lt;18),
    1.10,
    1.00)</f>
        <v/>
      </c>
      <c r="O889">
        <f>IF('Loan Tape (S&amp;P)'!T889="Yes",
    1.35,
    1.00)</f>
        <v/>
      </c>
      <c r="P889">
        <f>IF('Loan Tape (S&amp;P)'!S889="Yes",
    1.15,
    1.00)</f>
        <v/>
      </c>
      <c r="Q889">
        <f>IF('Loan Tape (S&amp;P)'!V889="Yes",
    1.20,
    1.00)</f>
        <v/>
      </c>
      <c r="T889">
        <f>LET(
    payment_method,'Loan Tape (S&amp;P)'!P889,
    occupancy,'Loan Tape (S&amp;P)'!N889,
    maturity_date,'Loan Tape (S&amp;P)'!L889,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0">
      <c r="J890">
        <f>LET(
    lien,'Loan Tape (S&amp;P)'!Q890,
    IF(lien="First",1.00,
        IF(lien="Second",1.50,
            1.70)))</f>
        <v/>
      </c>
      <c r="K890">
        <f>LET(
    purpose,'Loan Tape (S&amp;P)'!R890,
    IF(purpose="Purchase",1.00,
        IF(purpose="Remortgage",1.00,
            1.20)))</f>
        <v/>
      </c>
      <c r="L890">
        <f>LET(
    arrears_months,'Loan Tape (S&amp;P)'!AN890,
    IF(arrears_months=0,1.00,
    IF(arrears_months=1,3.00,
    IF(arrears_months=2,5.00,
    IF(arrears_months=3,8.00,
    IF(arrears_months=4,10.00,
    IF(arrears_months=5,12.00,15.00)))))))</f>
        <v/>
      </c>
      <c r="M890">
        <f>LET(
    seasoning_years,DATEDIF('Loan Tape (S&amp;P)'!K890,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0">
        <f>IF(AND('Loan Tape (S&amp;P)'!U890="Yes",
        'Loan Tape (S&amp;P)'!T890&lt;&gt;"Yes",
        DATEDIF('Loan Tape (S&amp;P)'!K890, TODAY(), "M")&lt;18),
    1.10,
    1.00)</f>
        <v/>
      </c>
      <c r="O890">
        <f>IF('Loan Tape (S&amp;P)'!T890="Yes",
    1.35,
    1.00)</f>
        <v/>
      </c>
      <c r="P890">
        <f>IF('Loan Tape (S&amp;P)'!S890="Yes",
    1.15,
    1.00)</f>
        <v/>
      </c>
      <c r="Q890">
        <f>IF('Loan Tape (S&amp;P)'!V890="Yes",
    1.20,
    1.00)</f>
        <v/>
      </c>
      <c r="T890">
        <f>LET(
    payment_method,'Loan Tape (S&amp;P)'!P890,
    occupancy,'Loan Tape (S&amp;P)'!N890,
    maturity_date,'Loan Tape (S&amp;P)'!L890,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1">
      <c r="J891">
        <f>LET(
    lien,'Loan Tape (S&amp;P)'!Q891,
    IF(lien="First",1.00,
        IF(lien="Second",1.50,
            1.70)))</f>
        <v/>
      </c>
      <c r="K891">
        <f>LET(
    purpose,'Loan Tape (S&amp;P)'!R891,
    IF(purpose="Purchase",1.00,
        IF(purpose="Remortgage",1.00,
            1.20)))</f>
        <v/>
      </c>
      <c r="L891">
        <f>LET(
    arrears_months,'Loan Tape (S&amp;P)'!AN891,
    IF(arrears_months=0,1.00,
    IF(arrears_months=1,3.00,
    IF(arrears_months=2,5.00,
    IF(arrears_months=3,8.00,
    IF(arrears_months=4,10.00,
    IF(arrears_months=5,12.00,15.00)))))))</f>
        <v/>
      </c>
      <c r="M891">
        <f>LET(
    seasoning_years,DATEDIF('Loan Tape (S&amp;P)'!K891,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1">
        <f>IF(AND('Loan Tape (S&amp;P)'!U891="Yes",
        'Loan Tape (S&amp;P)'!T891&lt;&gt;"Yes",
        DATEDIF('Loan Tape (S&amp;P)'!K891, TODAY(), "M")&lt;18),
    1.10,
    1.00)</f>
        <v/>
      </c>
      <c r="O891">
        <f>IF('Loan Tape (S&amp;P)'!T891="Yes",
    1.35,
    1.00)</f>
        <v/>
      </c>
      <c r="P891">
        <f>IF('Loan Tape (S&amp;P)'!S891="Yes",
    1.15,
    1.00)</f>
        <v/>
      </c>
      <c r="Q891">
        <f>IF('Loan Tape (S&amp;P)'!V891="Yes",
    1.20,
    1.00)</f>
        <v/>
      </c>
      <c r="T891">
        <f>LET(
    payment_method,'Loan Tape (S&amp;P)'!P891,
    occupancy,'Loan Tape (S&amp;P)'!N891,
    maturity_date,'Loan Tape (S&amp;P)'!L891,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2">
      <c r="J892">
        <f>LET(
    lien,'Loan Tape (S&amp;P)'!Q892,
    IF(lien="First",1.00,
        IF(lien="Second",1.50,
            1.70)))</f>
        <v/>
      </c>
      <c r="K892">
        <f>LET(
    purpose,'Loan Tape (S&amp;P)'!R892,
    IF(purpose="Purchase",1.00,
        IF(purpose="Remortgage",1.00,
            1.20)))</f>
        <v/>
      </c>
      <c r="L892">
        <f>LET(
    arrears_months,'Loan Tape (S&amp;P)'!AN892,
    IF(arrears_months=0,1.00,
    IF(arrears_months=1,3.00,
    IF(arrears_months=2,5.00,
    IF(arrears_months=3,8.00,
    IF(arrears_months=4,10.00,
    IF(arrears_months=5,12.00,15.00)))))))</f>
        <v/>
      </c>
      <c r="M892">
        <f>LET(
    seasoning_years,DATEDIF('Loan Tape (S&amp;P)'!K892,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2">
        <f>IF(AND('Loan Tape (S&amp;P)'!U892="Yes",
        'Loan Tape (S&amp;P)'!T892&lt;&gt;"Yes",
        DATEDIF('Loan Tape (S&amp;P)'!K892, TODAY(), "M")&lt;18),
    1.10,
    1.00)</f>
        <v/>
      </c>
      <c r="O892">
        <f>IF('Loan Tape (S&amp;P)'!T892="Yes",
    1.35,
    1.00)</f>
        <v/>
      </c>
      <c r="P892">
        <f>IF('Loan Tape (S&amp;P)'!S892="Yes",
    1.15,
    1.00)</f>
        <v/>
      </c>
      <c r="Q892">
        <f>IF('Loan Tape (S&amp;P)'!V892="Yes",
    1.20,
    1.00)</f>
        <v/>
      </c>
      <c r="T892">
        <f>LET(
    payment_method,'Loan Tape (S&amp;P)'!P892,
    occupancy,'Loan Tape (S&amp;P)'!N892,
    maturity_date,'Loan Tape (S&amp;P)'!L892,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3">
      <c r="J893">
        <f>LET(
    lien,'Loan Tape (S&amp;P)'!Q893,
    IF(lien="First",1.00,
        IF(lien="Second",1.50,
            1.70)))</f>
        <v/>
      </c>
      <c r="K893">
        <f>LET(
    purpose,'Loan Tape (S&amp;P)'!R893,
    IF(purpose="Purchase",1.00,
        IF(purpose="Remortgage",1.00,
            1.20)))</f>
        <v/>
      </c>
      <c r="L893">
        <f>LET(
    arrears_months,'Loan Tape (S&amp;P)'!AN893,
    IF(arrears_months=0,1.00,
    IF(arrears_months=1,3.00,
    IF(arrears_months=2,5.00,
    IF(arrears_months=3,8.00,
    IF(arrears_months=4,10.00,
    IF(arrears_months=5,12.00,15.00)))))))</f>
        <v/>
      </c>
      <c r="M893">
        <f>LET(
    seasoning_years,DATEDIF('Loan Tape (S&amp;P)'!K893,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3">
        <f>IF(AND('Loan Tape (S&amp;P)'!U893="Yes",
        'Loan Tape (S&amp;P)'!T893&lt;&gt;"Yes",
        DATEDIF('Loan Tape (S&amp;P)'!K893, TODAY(), "M")&lt;18),
    1.10,
    1.00)</f>
        <v/>
      </c>
      <c r="O893">
        <f>IF('Loan Tape (S&amp;P)'!T893="Yes",
    1.35,
    1.00)</f>
        <v/>
      </c>
      <c r="P893">
        <f>IF('Loan Tape (S&amp;P)'!S893="Yes",
    1.15,
    1.00)</f>
        <v/>
      </c>
      <c r="Q893">
        <f>IF('Loan Tape (S&amp;P)'!V893="Yes",
    1.20,
    1.00)</f>
        <v/>
      </c>
      <c r="T893">
        <f>LET(
    payment_method,'Loan Tape (S&amp;P)'!P893,
    occupancy,'Loan Tape (S&amp;P)'!N893,
    maturity_date,'Loan Tape (S&amp;P)'!L893,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4">
      <c r="J894">
        <f>LET(
    lien,'Loan Tape (S&amp;P)'!Q894,
    IF(lien="First",1.00,
        IF(lien="Second",1.50,
            1.70)))</f>
        <v/>
      </c>
      <c r="K894">
        <f>LET(
    purpose,'Loan Tape (S&amp;P)'!R894,
    IF(purpose="Purchase",1.00,
        IF(purpose="Remortgage",1.00,
            1.20)))</f>
        <v/>
      </c>
      <c r="L894">
        <f>LET(
    arrears_months,'Loan Tape (S&amp;P)'!AN894,
    IF(arrears_months=0,1.00,
    IF(arrears_months=1,3.00,
    IF(arrears_months=2,5.00,
    IF(arrears_months=3,8.00,
    IF(arrears_months=4,10.00,
    IF(arrears_months=5,12.00,15.00)))))))</f>
        <v/>
      </c>
      <c r="M894">
        <f>LET(
    seasoning_years,DATEDIF('Loan Tape (S&amp;P)'!K894,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4">
        <f>IF(AND('Loan Tape (S&amp;P)'!U894="Yes",
        'Loan Tape (S&amp;P)'!T894&lt;&gt;"Yes",
        DATEDIF('Loan Tape (S&amp;P)'!K894, TODAY(), "M")&lt;18),
    1.10,
    1.00)</f>
        <v/>
      </c>
      <c r="O894">
        <f>IF('Loan Tape (S&amp;P)'!T894="Yes",
    1.35,
    1.00)</f>
        <v/>
      </c>
      <c r="P894">
        <f>IF('Loan Tape (S&amp;P)'!S894="Yes",
    1.15,
    1.00)</f>
        <v/>
      </c>
      <c r="Q894">
        <f>IF('Loan Tape (S&amp;P)'!V894="Yes",
    1.20,
    1.00)</f>
        <v/>
      </c>
      <c r="T894">
        <f>LET(
    payment_method,'Loan Tape (S&amp;P)'!P894,
    occupancy,'Loan Tape (S&amp;P)'!N894,
    maturity_date,'Loan Tape (S&amp;P)'!L894,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5">
      <c r="J895">
        <f>LET(
    lien,'Loan Tape (S&amp;P)'!Q895,
    IF(lien="First",1.00,
        IF(lien="Second",1.50,
            1.70)))</f>
        <v/>
      </c>
      <c r="K895">
        <f>LET(
    purpose,'Loan Tape (S&amp;P)'!R895,
    IF(purpose="Purchase",1.00,
        IF(purpose="Remortgage",1.00,
            1.20)))</f>
        <v/>
      </c>
      <c r="L895">
        <f>LET(
    arrears_months,'Loan Tape (S&amp;P)'!AN895,
    IF(arrears_months=0,1.00,
    IF(arrears_months=1,3.00,
    IF(arrears_months=2,5.00,
    IF(arrears_months=3,8.00,
    IF(arrears_months=4,10.00,
    IF(arrears_months=5,12.00,15.00)))))))</f>
        <v/>
      </c>
      <c r="M895">
        <f>LET(
    seasoning_years,DATEDIF('Loan Tape (S&amp;P)'!K895,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5">
        <f>IF(AND('Loan Tape (S&amp;P)'!U895="Yes",
        'Loan Tape (S&amp;P)'!T895&lt;&gt;"Yes",
        DATEDIF('Loan Tape (S&amp;P)'!K895, TODAY(), "M")&lt;18),
    1.10,
    1.00)</f>
        <v/>
      </c>
      <c r="O895">
        <f>IF('Loan Tape (S&amp;P)'!T895="Yes",
    1.35,
    1.00)</f>
        <v/>
      </c>
      <c r="P895">
        <f>IF('Loan Tape (S&amp;P)'!S895="Yes",
    1.15,
    1.00)</f>
        <v/>
      </c>
      <c r="Q895">
        <f>IF('Loan Tape (S&amp;P)'!V895="Yes",
    1.20,
    1.00)</f>
        <v/>
      </c>
      <c r="T895">
        <f>LET(
    payment_method,'Loan Tape (S&amp;P)'!P895,
    occupancy,'Loan Tape (S&amp;P)'!N895,
    maturity_date,'Loan Tape (S&amp;P)'!L895,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6">
      <c r="J896">
        <f>LET(
    lien,'Loan Tape (S&amp;P)'!Q896,
    IF(lien="First",1.00,
        IF(lien="Second",1.50,
            1.70)))</f>
        <v/>
      </c>
      <c r="K896">
        <f>LET(
    purpose,'Loan Tape (S&amp;P)'!R896,
    IF(purpose="Purchase",1.00,
        IF(purpose="Remortgage",1.00,
            1.20)))</f>
        <v/>
      </c>
      <c r="L896">
        <f>LET(
    arrears_months,'Loan Tape (S&amp;P)'!AN896,
    IF(arrears_months=0,1.00,
    IF(arrears_months=1,3.00,
    IF(arrears_months=2,5.00,
    IF(arrears_months=3,8.00,
    IF(arrears_months=4,10.00,
    IF(arrears_months=5,12.00,15.00)))))))</f>
        <v/>
      </c>
      <c r="M896">
        <f>LET(
    seasoning_years,DATEDIF('Loan Tape (S&amp;P)'!K896,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6">
        <f>IF(AND('Loan Tape (S&amp;P)'!U896="Yes",
        'Loan Tape (S&amp;P)'!T896&lt;&gt;"Yes",
        DATEDIF('Loan Tape (S&amp;P)'!K896, TODAY(), "M")&lt;18),
    1.10,
    1.00)</f>
        <v/>
      </c>
      <c r="O896">
        <f>IF('Loan Tape (S&amp;P)'!T896="Yes",
    1.35,
    1.00)</f>
        <v/>
      </c>
      <c r="P896">
        <f>IF('Loan Tape (S&amp;P)'!S896="Yes",
    1.15,
    1.00)</f>
        <v/>
      </c>
      <c r="Q896">
        <f>IF('Loan Tape (S&amp;P)'!V896="Yes",
    1.20,
    1.00)</f>
        <v/>
      </c>
      <c r="T896">
        <f>LET(
    payment_method,'Loan Tape (S&amp;P)'!P896,
    occupancy,'Loan Tape (S&amp;P)'!N896,
    maturity_date,'Loan Tape (S&amp;P)'!L896,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7">
      <c r="J897">
        <f>LET(
    lien,'Loan Tape (S&amp;P)'!Q897,
    IF(lien="First",1.00,
        IF(lien="Second",1.50,
            1.70)))</f>
        <v/>
      </c>
      <c r="K897">
        <f>LET(
    purpose,'Loan Tape (S&amp;P)'!R897,
    IF(purpose="Purchase",1.00,
        IF(purpose="Remortgage",1.00,
            1.20)))</f>
        <v/>
      </c>
      <c r="L897">
        <f>LET(
    arrears_months,'Loan Tape (S&amp;P)'!AN897,
    IF(arrears_months=0,1.00,
    IF(arrears_months=1,3.00,
    IF(arrears_months=2,5.00,
    IF(arrears_months=3,8.00,
    IF(arrears_months=4,10.00,
    IF(arrears_months=5,12.00,15.00)))))))</f>
        <v/>
      </c>
      <c r="M897">
        <f>LET(
    seasoning_years,DATEDIF('Loan Tape (S&amp;P)'!K897,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7">
        <f>IF(AND('Loan Tape (S&amp;P)'!U897="Yes",
        'Loan Tape (S&amp;P)'!T897&lt;&gt;"Yes",
        DATEDIF('Loan Tape (S&amp;P)'!K897, TODAY(), "M")&lt;18),
    1.10,
    1.00)</f>
        <v/>
      </c>
      <c r="O897">
        <f>IF('Loan Tape (S&amp;P)'!T897="Yes",
    1.35,
    1.00)</f>
        <v/>
      </c>
      <c r="P897">
        <f>IF('Loan Tape (S&amp;P)'!S897="Yes",
    1.15,
    1.00)</f>
        <v/>
      </c>
      <c r="Q897">
        <f>IF('Loan Tape (S&amp;P)'!V897="Yes",
    1.20,
    1.00)</f>
        <v/>
      </c>
      <c r="T897">
        <f>LET(
    payment_method,'Loan Tape (S&amp;P)'!P897,
    occupancy,'Loan Tape (S&amp;P)'!N897,
    maturity_date,'Loan Tape (S&amp;P)'!L897,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8">
      <c r="J898">
        <f>LET(
    lien,'Loan Tape (S&amp;P)'!Q898,
    IF(lien="First",1.00,
        IF(lien="Second",1.50,
            1.70)))</f>
        <v/>
      </c>
      <c r="K898">
        <f>LET(
    purpose,'Loan Tape (S&amp;P)'!R898,
    IF(purpose="Purchase",1.00,
        IF(purpose="Remortgage",1.00,
            1.20)))</f>
        <v/>
      </c>
      <c r="L898">
        <f>LET(
    arrears_months,'Loan Tape (S&amp;P)'!AN898,
    IF(arrears_months=0,1.00,
    IF(arrears_months=1,3.00,
    IF(arrears_months=2,5.00,
    IF(arrears_months=3,8.00,
    IF(arrears_months=4,10.00,
    IF(arrears_months=5,12.00,15.00)))))))</f>
        <v/>
      </c>
      <c r="M898">
        <f>LET(
    seasoning_years,DATEDIF('Loan Tape (S&amp;P)'!K898,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8">
        <f>IF(AND('Loan Tape (S&amp;P)'!U898="Yes",
        'Loan Tape (S&amp;P)'!T898&lt;&gt;"Yes",
        DATEDIF('Loan Tape (S&amp;P)'!K898, TODAY(), "M")&lt;18),
    1.10,
    1.00)</f>
        <v/>
      </c>
      <c r="O898">
        <f>IF('Loan Tape (S&amp;P)'!T898="Yes",
    1.35,
    1.00)</f>
        <v/>
      </c>
      <c r="P898">
        <f>IF('Loan Tape (S&amp;P)'!S898="Yes",
    1.15,
    1.00)</f>
        <v/>
      </c>
      <c r="Q898">
        <f>IF('Loan Tape (S&amp;P)'!V898="Yes",
    1.20,
    1.00)</f>
        <v/>
      </c>
      <c r="T898">
        <f>LET(
    payment_method,'Loan Tape (S&amp;P)'!P898,
    occupancy,'Loan Tape (S&amp;P)'!N898,
    maturity_date,'Loan Tape (S&amp;P)'!L898,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9">
      <c r="J899">
        <f>LET(
    lien,'Loan Tape (S&amp;P)'!Q899,
    IF(lien="First",1.00,
        IF(lien="Second",1.50,
            1.70)))</f>
        <v/>
      </c>
      <c r="K899">
        <f>LET(
    purpose,'Loan Tape (S&amp;P)'!R899,
    IF(purpose="Purchase",1.00,
        IF(purpose="Remortgage",1.00,
            1.20)))</f>
        <v/>
      </c>
      <c r="L899">
        <f>LET(
    arrears_months,'Loan Tape (S&amp;P)'!AN899,
    IF(arrears_months=0,1.00,
    IF(arrears_months=1,3.00,
    IF(arrears_months=2,5.00,
    IF(arrears_months=3,8.00,
    IF(arrears_months=4,10.00,
    IF(arrears_months=5,12.00,15.00)))))))</f>
        <v/>
      </c>
      <c r="M899">
        <f>LET(
    seasoning_years,DATEDIF('Loan Tape (S&amp;P)'!K899,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9">
        <f>IF(AND('Loan Tape (S&amp;P)'!U899="Yes",
        'Loan Tape (S&amp;P)'!T899&lt;&gt;"Yes",
        DATEDIF('Loan Tape (S&amp;P)'!K899, TODAY(), "M")&lt;18),
    1.10,
    1.00)</f>
        <v/>
      </c>
      <c r="O899">
        <f>IF('Loan Tape (S&amp;P)'!T899="Yes",
    1.35,
    1.00)</f>
        <v/>
      </c>
      <c r="P899">
        <f>IF('Loan Tape (S&amp;P)'!S899="Yes",
    1.15,
    1.00)</f>
        <v/>
      </c>
      <c r="Q899">
        <f>IF('Loan Tape (S&amp;P)'!V899="Yes",
    1.20,
    1.00)</f>
        <v/>
      </c>
      <c r="T899">
        <f>LET(
    payment_method,'Loan Tape (S&amp;P)'!P899,
    occupancy,'Loan Tape (S&amp;P)'!N899,
    maturity_date,'Loan Tape (S&amp;P)'!L899,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0">
      <c r="J900">
        <f>LET(
    lien,'Loan Tape (S&amp;P)'!Q900,
    IF(lien="First",1.00,
        IF(lien="Second",1.50,
            1.70)))</f>
        <v/>
      </c>
      <c r="K900">
        <f>LET(
    purpose,'Loan Tape (S&amp;P)'!R900,
    IF(purpose="Purchase",1.00,
        IF(purpose="Remortgage",1.00,
            1.20)))</f>
        <v/>
      </c>
      <c r="L900">
        <f>LET(
    arrears_months,'Loan Tape (S&amp;P)'!AN900,
    IF(arrears_months=0,1.00,
    IF(arrears_months=1,3.00,
    IF(arrears_months=2,5.00,
    IF(arrears_months=3,8.00,
    IF(arrears_months=4,10.00,
    IF(arrears_months=5,12.00,15.00)))))))</f>
        <v/>
      </c>
      <c r="M900">
        <f>LET(
    seasoning_years,DATEDIF('Loan Tape (S&amp;P)'!K900,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0">
        <f>IF(AND('Loan Tape (S&amp;P)'!U900="Yes",
        'Loan Tape (S&amp;P)'!T900&lt;&gt;"Yes",
        DATEDIF('Loan Tape (S&amp;P)'!K900, TODAY(), "M")&lt;18),
    1.10,
    1.00)</f>
        <v/>
      </c>
      <c r="O900">
        <f>IF('Loan Tape (S&amp;P)'!T900="Yes",
    1.35,
    1.00)</f>
        <v/>
      </c>
      <c r="P900">
        <f>IF('Loan Tape (S&amp;P)'!S900="Yes",
    1.15,
    1.00)</f>
        <v/>
      </c>
      <c r="Q900">
        <f>IF('Loan Tape (S&amp;P)'!V900="Yes",
    1.20,
    1.00)</f>
        <v/>
      </c>
      <c r="T900">
        <f>LET(
    payment_method,'Loan Tape (S&amp;P)'!P900,
    occupancy,'Loan Tape (S&amp;P)'!N900,
    maturity_date,'Loan Tape (S&amp;P)'!L900,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1">
      <c r="J901">
        <f>LET(
    lien,'Loan Tape (S&amp;P)'!Q901,
    IF(lien="First",1.00,
        IF(lien="Second",1.50,
            1.70)))</f>
        <v/>
      </c>
      <c r="K901">
        <f>LET(
    purpose,'Loan Tape (S&amp;P)'!R901,
    IF(purpose="Purchase",1.00,
        IF(purpose="Remortgage",1.00,
            1.20)))</f>
        <v/>
      </c>
      <c r="L901">
        <f>LET(
    arrears_months,'Loan Tape (S&amp;P)'!AN901,
    IF(arrears_months=0,1.00,
    IF(arrears_months=1,3.00,
    IF(arrears_months=2,5.00,
    IF(arrears_months=3,8.00,
    IF(arrears_months=4,10.00,
    IF(arrears_months=5,12.00,15.00)))))))</f>
        <v/>
      </c>
      <c r="M901">
        <f>LET(
    seasoning_years,DATEDIF('Loan Tape (S&amp;P)'!K901,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1">
        <f>IF(AND('Loan Tape (S&amp;P)'!U901="Yes",
        'Loan Tape (S&amp;P)'!T901&lt;&gt;"Yes",
        DATEDIF('Loan Tape (S&amp;P)'!K901, TODAY(), "M")&lt;18),
    1.10,
    1.00)</f>
        <v/>
      </c>
      <c r="O901">
        <f>IF('Loan Tape (S&amp;P)'!T901="Yes",
    1.35,
    1.00)</f>
        <v/>
      </c>
      <c r="P901">
        <f>IF('Loan Tape (S&amp;P)'!S901="Yes",
    1.15,
    1.00)</f>
        <v/>
      </c>
      <c r="Q901">
        <f>IF('Loan Tape (S&amp;P)'!V901="Yes",
    1.20,
    1.00)</f>
        <v/>
      </c>
      <c r="T901">
        <f>LET(
    payment_method,'Loan Tape (S&amp;P)'!P901,
    occupancy,'Loan Tape (S&amp;P)'!N901,
    maturity_date,'Loan Tape (S&amp;P)'!L901,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2">
      <c r="J902">
        <f>LET(
    lien,'Loan Tape (S&amp;P)'!Q902,
    IF(lien="First",1.00,
        IF(lien="Second",1.50,
            1.70)))</f>
        <v/>
      </c>
      <c r="K902">
        <f>LET(
    purpose,'Loan Tape (S&amp;P)'!R902,
    IF(purpose="Purchase",1.00,
        IF(purpose="Remortgage",1.00,
            1.20)))</f>
        <v/>
      </c>
      <c r="L902">
        <f>LET(
    arrears_months,'Loan Tape (S&amp;P)'!AN902,
    IF(arrears_months=0,1.00,
    IF(arrears_months=1,3.00,
    IF(arrears_months=2,5.00,
    IF(arrears_months=3,8.00,
    IF(arrears_months=4,10.00,
    IF(arrears_months=5,12.00,15.00)))))))</f>
        <v/>
      </c>
      <c r="M902">
        <f>LET(
    seasoning_years,DATEDIF('Loan Tape (S&amp;P)'!K902,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2">
        <f>IF(AND('Loan Tape (S&amp;P)'!U902="Yes",
        'Loan Tape (S&amp;P)'!T902&lt;&gt;"Yes",
        DATEDIF('Loan Tape (S&amp;P)'!K902, TODAY(), "M")&lt;18),
    1.10,
    1.00)</f>
        <v/>
      </c>
      <c r="O902">
        <f>IF('Loan Tape (S&amp;P)'!T902="Yes",
    1.35,
    1.00)</f>
        <v/>
      </c>
      <c r="P902">
        <f>IF('Loan Tape (S&amp;P)'!S902="Yes",
    1.15,
    1.00)</f>
        <v/>
      </c>
      <c r="Q902">
        <f>IF('Loan Tape (S&amp;P)'!V902="Yes",
    1.20,
    1.00)</f>
        <v/>
      </c>
      <c r="T902">
        <f>LET(
    payment_method,'Loan Tape (S&amp;P)'!P902,
    occupancy,'Loan Tape (S&amp;P)'!N902,
    maturity_date,'Loan Tape (S&amp;P)'!L902,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3">
      <c r="J903">
        <f>LET(
    lien,'Loan Tape (S&amp;P)'!Q903,
    IF(lien="First",1.00,
        IF(lien="Second",1.50,
            1.70)))</f>
        <v/>
      </c>
      <c r="K903">
        <f>LET(
    purpose,'Loan Tape (S&amp;P)'!R903,
    IF(purpose="Purchase",1.00,
        IF(purpose="Remortgage",1.00,
            1.20)))</f>
        <v/>
      </c>
      <c r="L903">
        <f>LET(
    arrears_months,'Loan Tape (S&amp;P)'!AN903,
    IF(arrears_months=0,1.00,
    IF(arrears_months=1,3.00,
    IF(arrears_months=2,5.00,
    IF(arrears_months=3,8.00,
    IF(arrears_months=4,10.00,
    IF(arrears_months=5,12.00,15.00)))))))</f>
        <v/>
      </c>
      <c r="M903">
        <f>LET(
    seasoning_years,DATEDIF('Loan Tape (S&amp;P)'!K903,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3">
        <f>IF(AND('Loan Tape (S&amp;P)'!U903="Yes",
        'Loan Tape (S&amp;P)'!T903&lt;&gt;"Yes",
        DATEDIF('Loan Tape (S&amp;P)'!K903, TODAY(), "M")&lt;18),
    1.10,
    1.00)</f>
        <v/>
      </c>
      <c r="O903">
        <f>IF('Loan Tape (S&amp;P)'!T903="Yes",
    1.35,
    1.00)</f>
        <v/>
      </c>
      <c r="P903">
        <f>IF('Loan Tape (S&amp;P)'!S903="Yes",
    1.15,
    1.00)</f>
        <v/>
      </c>
      <c r="Q903">
        <f>IF('Loan Tape (S&amp;P)'!V903="Yes",
    1.20,
    1.00)</f>
        <v/>
      </c>
      <c r="T903">
        <f>LET(
    payment_method,'Loan Tape (S&amp;P)'!P903,
    occupancy,'Loan Tape (S&amp;P)'!N903,
    maturity_date,'Loan Tape (S&amp;P)'!L903,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4">
      <c r="J904">
        <f>LET(
    lien,'Loan Tape (S&amp;P)'!Q904,
    IF(lien="First",1.00,
        IF(lien="Second",1.50,
            1.70)))</f>
        <v/>
      </c>
      <c r="K904">
        <f>LET(
    purpose,'Loan Tape (S&amp;P)'!R904,
    IF(purpose="Purchase",1.00,
        IF(purpose="Remortgage",1.00,
            1.20)))</f>
        <v/>
      </c>
      <c r="L904">
        <f>LET(
    arrears_months,'Loan Tape (S&amp;P)'!AN904,
    IF(arrears_months=0,1.00,
    IF(arrears_months=1,3.00,
    IF(arrears_months=2,5.00,
    IF(arrears_months=3,8.00,
    IF(arrears_months=4,10.00,
    IF(arrears_months=5,12.00,15.00)))))))</f>
        <v/>
      </c>
      <c r="M904">
        <f>LET(
    seasoning_years,DATEDIF('Loan Tape (S&amp;P)'!K904,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4">
        <f>IF(AND('Loan Tape (S&amp;P)'!U904="Yes",
        'Loan Tape (S&amp;P)'!T904&lt;&gt;"Yes",
        DATEDIF('Loan Tape (S&amp;P)'!K904, TODAY(), "M")&lt;18),
    1.10,
    1.00)</f>
        <v/>
      </c>
      <c r="O904">
        <f>IF('Loan Tape (S&amp;P)'!T904="Yes",
    1.35,
    1.00)</f>
        <v/>
      </c>
      <c r="P904">
        <f>IF('Loan Tape (S&amp;P)'!S904="Yes",
    1.15,
    1.00)</f>
        <v/>
      </c>
      <c r="Q904">
        <f>IF('Loan Tape (S&amp;P)'!V904="Yes",
    1.20,
    1.00)</f>
        <v/>
      </c>
      <c r="T904">
        <f>LET(
    payment_method,'Loan Tape (S&amp;P)'!P904,
    occupancy,'Loan Tape (S&amp;P)'!N904,
    maturity_date,'Loan Tape (S&amp;P)'!L904,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5">
      <c r="J905">
        <f>LET(
    lien,'Loan Tape (S&amp;P)'!Q905,
    IF(lien="First",1.00,
        IF(lien="Second",1.50,
            1.70)))</f>
        <v/>
      </c>
      <c r="K905">
        <f>LET(
    purpose,'Loan Tape (S&amp;P)'!R905,
    IF(purpose="Purchase",1.00,
        IF(purpose="Remortgage",1.00,
            1.20)))</f>
        <v/>
      </c>
      <c r="L905">
        <f>LET(
    arrears_months,'Loan Tape (S&amp;P)'!AN905,
    IF(arrears_months=0,1.00,
    IF(arrears_months=1,3.00,
    IF(arrears_months=2,5.00,
    IF(arrears_months=3,8.00,
    IF(arrears_months=4,10.00,
    IF(arrears_months=5,12.00,15.00)))))))</f>
        <v/>
      </c>
      <c r="M905">
        <f>LET(
    seasoning_years,DATEDIF('Loan Tape (S&amp;P)'!K905,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5">
        <f>IF(AND('Loan Tape (S&amp;P)'!U905="Yes",
        'Loan Tape (S&amp;P)'!T905&lt;&gt;"Yes",
        DATEDIF('Loan Tape (S&amp;P)'!K905, TODAY(), "M")&lt;18),
    1.10,
    1.00)</f>
        <v/>
      </c>
      <c r="O905">
        <f>IF('Loan Tape (S&amp;P)'!T905="Yes",
    1.35,
    1.00)</f>
        <v/>
      </c>
      <c r="P905">
        <f>IF('Loan Tape (S&amp;P)'!S905="Yes",
    1.15,
    1.00)</f>
        <v/>
      </c>
      <c r="Q905">
        <f>IF('Loan Tape (S&amp;P)'!V905="Yes",
    1.20,
    1.00)</f>
        <v/>
      </c>
      <c r="T905">
        <f>LET(
    payment_method,'Loan Tape (S&amp;P)'!P905,
    occupancy,'Loan Tape (S&amp;P)'!N905,
    maturity_date,'Loan Tape (S&amp;P)'!L905,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6">
      <c r="J906">
        <f>LET(
    lien,'Loan Tape (S&amp;P)'!Q906,
    IF(lien="First",1.00,
        IF(lien="Second",1.50,
            1.70)))</f>
        <v/>
      </c>
      <c r="K906">
        <f>LET(
    purpose,'Loan Tape (S&amp;P)'!R906,
    IF(purpose="Purchase",1.00,
        IF(purpose="Remortgage",1.00,
            1.20)))</f>
        <v/>
      </c>
      <c r="L906">
        <f>LET(
    arrears_months,'Loan Tape (S&amp;P)'!AN906,
    IF(arrears_months=0,1.00,
    IF(arrears_months=1,3.00,
    IF(arrears_months=2,5.00,
    IF(arrears_months=3,8.00,
    IF(arrears_months=4,10.00,
    IF(arrears_months=5,12.00,15.00)))))))</f>
        <v/>
      </c>
      <c r="M906">
        <f>LET(
    seasoning_years,DATEDIF('Loan Tape (S&amp;P)'!K906,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6">
        <f>IF(AND('Loan Tape (S&amp;P)'!U906="Yes",
        'Loan Tape (S&amp;P)'!T906&lt;&gt;"Yes",
        DATEDIF('Loan Tape (S&amp;P)'!K906, TODAY(), "M")&lt;18),
    1.10,
    1.00)</f>
        <v/>
      </c>
      <c r="O906">
        <f>IF('Loan Tape (S&amp;P)'!T906="Yes",
    1.35,
    1.00)</f>
        <v/>
      </c>
      <c r="P906">
        <f>IF('Loan Tape (S&amp;P)'!S906="Yes",
    1.15,
    1.00)</f>
        <v/>
      </c>
      <c r="Q906">
        <f>IF('Loan Tape (S&amp;P)'!V906="Yes",
    1.20,
    1.00)</f>
        <v/>
      </c>
      <c r="T906">
        <f>LET(
    payment_method,'Loan Tape (S&amp;P)'!P906,
    occupancy,'Loan Tape (S&amp;P)'!N906,
    maturity_date,'Loan Tape (S&amp;P)'!L906,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7">
      <c r="J907">
        <f>LET(
    lien,'Loan Tape (S&amp;P)'!Q907,
    IF(lien="First",1.00,
        IF(lien="Second",1.50,
            1.70)))</f>
        <v/>
      </c>
      <c r="K907">
        <f>LET(
    purpose,'Loan Tape (S&amp;P)'!R907,
    IF(purpose="Purchase",1.00,
        IF(purpose="Remortgage",1.00,
            1.20)))</f>
        <v/>
      </c>
      <c r="L907">
        <f>LET(
    arrears_months,'Loan Tape (S&amp;P)'!AN907,
    IF(arrears_months=0,1.00,
    IF(arrears_months=1,3.00,
    IF(arrears_months=2,5.00,
    IF(arrears_months=3,8.00,
    IF(arrears_months=4,10.00,
    IF(arrears_months=5,12.00,15.00)))))))</f>
        <v/>
      </c>
      <c r="M907">
        <f>LET(
    seasoning_years,DATEDIF('Loan Tape (S&amp;P)'!K907,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7">
        <f>IF(AND('Loan Tape (S&amp;P)'!U907="Yes",
        'Loan Tape (S&amp;P)'!T907&lt;&gt;"Yes",
        DATEDIF('Loan Tape (S&amp;P)'!K907, TODAY(), "M")&lt;18),
    1.10,
    1.00)</f>
        <v/>
      </c>
      <c r="O907">
        <f>IF('Loan Tape (S&amp;P)'!T907="Yes",
    1.35,
    1.00)</f>
        <v/>
      </c>
      <c r="P907">
        <f>IF('Loan Tape (S&amp;P)'!S907="Yes",
    1.15,
    1.00)</f>
        <v/>
      </c>
      <c r="Q907">
        <f>IF('Loan Tape (S&amp;P)'!V907="Yes",
    1.20,
    1.00)</f>
        <v/>
      </c>
      <c r="T907">
        <f>LET(
    payment_method,'Loan Tape (S&amp;P)'!P907,
    occupancy,'Loan Tape (S&amp;P)'!N907,
    maturity_date,'Loan Tape (S&amp;P)'!L907,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8">
      <c r="J908">
        <f>LET(
    lien,'Loan Tape (S&amp;P)'!Q908,
    IF(lien="First",1.00,
        IF(lien="Second",1.50,
            1.70)))</f>
        <v/>
      </c>
      <c r="K908">
        <f>LET(
    purpose,'Loan Tape (S&amp;P)'!R908,
    IF(purpose="Purchase",1.00,
        IF(purpose="Remortgage",1.00,
            1.20)))</f>
        <v/>
      </c>
      <c r="L908">
        <f>LET(
    arrears_months,'Loan Tape (S&amp;P)'!AN908,
    IF(arrears_months=0,1.00,
    IF(arrears_months=1,3.00,
    IF(arrears_months=2,5.00,
    IF(arrears_months=3,8.00,
    IF(arrears_months=4,10.00,
    IF(arrears_months=5,12.00,15.00)))))))</f>
        <v/>
      </c>
      <c r="M908">
        <f>LET(
    seasoning_years,DATEDIF('Loan Tape (S&amp;P)'!K908,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8">
        <f>IF(AND('Loan Tape (S&amp;P)'!U908="Yes",
        'Loan Tape (S&amp;P)'!T908&lt;&gt;"Yes",
        DATEDIF('Loan Tape (S&amp;P)'!K908, TODAY(), "M")&lt;18),
    1.10,
    1.00)</f>
        <v/>
      </c>
      <c r="O908">
        <f>IF('Loan Tape (S&amp;P)'!T908="Yes",
    1.35,
    1.00)</f>
        <v/>
      </c>
      <c r="P908">
        <f>IF('Loan Tape (S&amp;P)'!S908="Yes",
    1.15,
    1.00)</f>
        <v/>
      </c>
      <c r="Q908">
        <f>IF('Loan Tape (S&amp;P)'!V908="Yes",
    1.20,
    1.00)</f>
        <v/>
      </c>
      <c r="T908">
        <f>LET(
    payment_method,'Loan Tape (S&amp;P)'!P908,
    occupancy,'Loan Tape (S&amp;P)'!N908,
    maturity_date,'Loan Tape (S&amp;P)'!L908,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9">
      <c r="J909">
        <f>LET(
    lien,'Loan Tape (S&amp;P)'!Q909,
    IF(lien="First",1.00,
        IF(lien="Second",1.50,
            1.70)))</f>
        <v/>
      </c>
      <c r="K909">
        <f>LET(
    purpose,'Loan Tape (S&amp;P)'!R909,
    IF(purpose="Purchase",1.00,
        IF(purpose="Remortgage",1.00,
            1.20)))</f>
        <v/>
      </c>
      <c r="L909">
        <f>LET(
    arrears_months,'Loan Tape (S&amp;P)'!AN909,
    IF(arrears_months=0,1.00,
    IF(arrears_months=1,3.00,
    IF(arrears_months=2,5.00,
    IF(arrears_months=3,8.00,
    IF(arrears_months=4,10.00,
    IF(arrears_months=5,12.00,15.00)))))))</f>
        <v/>
      </c>
      <c r="M909">
        <f>LET(
    seasoning_years,DATEDIF('Loan Tape (S&amp;P)'!K909,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9">
        <f>IF(AND('Loan Tape (S&amp;P)'!U909="Yes",
        'Loan Tape (S&amp;P)'!T909&lt;&gt;"Yes",
        DATEDIF('Loan Tape (S&amp;P)'!K909, TODAY(), "M")&lt;18),
    1.10,
    1.00)</f>
        <v/>
      </c>
      <c r="O909">
        <f>IF('Loan Tape (S&amp;P)'!T909="Yes",
    1.35,
    1.00)</f>
        <v/>
      </c>
      <c r="P909">
        <f>IF('Loan Tape (S&amp;P)'!S909="Yes",
    1.15,
    1.00)</f>
        <v/>
      </c>
      <c r="Q909">
        <f>IF('Loan Tape (S&amp;P)'!V909="Yes",
    1.20,
    1.00)</f>
        <v/>
      </c>
      <c r="T909">
        <f>LET(
    payment_method,'Loan Tape (S&amp;P)'!P909,
    occupancy,'Loan Tape (S&amp;P)'!N909,
    maturity_date,'Loan Tape (S&amp;P)'!L909,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0">
      <c r="J910">
        <f>LET(
    lien,'Loan Tape (S&amp;P)'!Q910,
    IF(lien="First",1.00,
        IF(lien="Second",1.50,
            1.70)))</f>
        <v/>
      </c>
      <c r="K910">
        <f>LET(
    purpose,'Loan Tape (S&amp;P)'!R910,
    IF(purpose="Purchase",1.00,
        IF(purpose="Remortgage",1.00,
            1.20)))</f>
        <v/>
      </c>
      <c r="L910">
        <f>LET(
    arrears_months,'Loan Tape (S&amp;P)'!AN910,
    IF(arrears_months=0,1.00,
    IF(arrears_months=1,3.00,
    IF(arrears_months=2,5.00,
    IF(arrears_months=3,8.00,
    IF(arrears_months=4,10.00,
    IF(arrears_months=5,12.00,15.00)))))))</f>
        <v/>
      </c>
      <c r="M910">
        <f>LET(
    seasoning_years,DATEDIF('Loan Tape (S&amp;P)'!K910,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0">
        <f>IF(AND('Loan Tape (S&amp;P)'!U910="Yes",
        'Loan Tape (S&amp;P)'!T910&lt;&gt;"Yes",
        DATEDIF('Loan Tape (S&amp;P)'!K910, TODAY(), "M")&lt;18),
    1.10,
    1.00)</f>
        <v/>
      </c>
      <c r="O910">
        <f>IF('Loan Tape (S&amp;P)'!T910="Yes",
    1.35,
    1.00)</f>
        <v/>
      </c>
      <c r="P910">
        <f>IF('Loan Tape (S&amp;P)'!S910="Yes",
    1.15,
    1.00)</f>
        <v/>
      </c>
      <c r="Q910">
        <f>IF('Loan Tape (S&amp;P)'!V910="Yes",
    1.20,
    1.00)</f>
        <v/>
      </c>
      <c r="T910">
        <f>LET(
    payment_method,'Loan Tape (S&amp;P)'!P910,
    occupancy,'Loan Tape (S&amp;P)'!N910,
    maturity_date,'Loan Tape (S&amp;P)'!L910,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1">
      <c r="J911">
        <f>LET(
    lien,'Loan Tape (S&amp;P)'!Q911,
    IF(lien="First",1.00,
        IF(lien="Second",1.50,
            1.70)))</f>
        <v/>
      </c>
      <c r="K911">
        <f>LET(
    purpose,'Loan Tape (S&amp;P)'!R911,
    IF(purpose="Purchase",1.00,
        IF(purpose="Remortgage",1.00,
            1.20)))</f>
        <v/>
      </c>
      <c r="L911">
        <f>LET(
    arrears_months,'Loan Tape (S&amp;P)'!AN911,
    IF(arrears_months=0,1.00,
    IF(arrears_months=1,3.00,
    IF(arrears_months=2,5.00,
    IF(arrears_months=3,8.00,
    IF(arrears_months=4,10.00,
    IF(arrears_months=5,12.00,15.00)))))))</f>
        <v/>
      </c>
      <c r="M911">
        <f>LET(
    seasoning_years,DATEDIF('Loan Tape (S&amp;P)'!K911,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1">
        <f>IF(AND('Loan Tape (S&amp;P)'!U911="Yes",
        'Loan Tape (S&amp;P)'!T911&lt;&gt;"Yes",
        DATEDIF('Loan Tape (S&amp;P)'!K911, TODAY(), "M")&lt;18),
    1.10,
    1.00)</f>
        <v/>
      </c>
      <c r="O911">
        <f>IF('Loan Tape (S&amp;P)'!T911="Yes",
    1.35,
    1.00)</f>
        <v/>
      </c>
      <c r="P911">
        <f>IF('Loan Tape (S&amp;P)'!S911="Yes",
    1.15,
    1.00)</f>
        <v/>
      </c>
      <c r="Q911">
        <f>IF('Loan Tape (S&amp;P)'!V911="Yes",
    1.20,
    1.00)</f>
        <v/>
      </c>
      <c r="T911">
        <f>LET(
    payment_method,'Loan Tape (S&amp;P)'!P911,
    occupancy,'Loan Tape (S&amp;P)'!N911,
    maturity_date,'Loan Tape (S&amp;P)'!L911,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2">
      <c r="J912">
        <f>LET(
    lien,'Loan Tape (S&amp;P)'!Q912,
    IF(lien="First",1.00,
        IF(lien="Second",1.50,
            1.70)))</f>
        <v/>
      </c>
      <c r="K912">
        <f>LET(
    purpose,'Loan Tape (S&amp;P)'!R912,
    IF(purpose="Purchase",1.00,
        IF(purpose="Remortgage",1.00,
            1.20)))</f>
        <v/>
      </c>
      <c r="L912">
        <f>LET(
    arrears_months,'Loan Tape (S&amp;P)'!AN912,
    IF(arrears_months=0,1.00,
    IF(arrears_months=1,3.00,
    IF(arrears_months=2,5.00,
    IF(arrears_months=3,8.00,
    IF(arrears_months=4,10.00,
    IF(arrears_months=5,12.00,15.00)))))))</f>
        <v/>
      </c>
      <c r="M912">
        <f>LET(
    seasoning_years,DATEDIF('Loan Tape (S&amp;P)'!K912,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2">
        <f>IF(AND('Loan Tape (S&amp;P)'!U912="Yes",
        'Loan Tape (S&amp;P)'!T912&lt;&gt;"Yes",
        DATEDIF('Loan Tape (S&amp;P)'!K912, TODAY(), "M")&lt;18),
    1.10,
    1.00)</f>
        <v/>
      </c>
      <c r="O912">
        <f>IF('Loan Tape (S&amp;P)'!T912="Yes",
    1.35,
    1.00)</f>
        <v/>
      </c>
      <c r="P912">
        <f>IF('Loan Tape (S&amp;P)'!S912="Yes",
    1.15,
    1.00)</f>
        <v/>
      </c>
      <c r="Q912">
        <f>IF('Loan Tape (S&amp;P)'!V912="Yes",
    1.20,
    1.00)</f>
        <v/>
      </c>
      <c r="T912">
        <f>LET(
    payment_method,'Loan Tape (S&amp;P)'!P912,
    occupancy,'Loan Tape (S&amp;P)'!N912,
    maturity_date,'Loan Tape (S&amp;P)'!L912,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3">
      <c r="J913">
        <f>LET(
    lien,'Loan Tape (S&amp;P)'!Q913,
    IF(lien="First",1.00,
        IF(lien="Second",1.50,
            1.70)))</f>
        <v/>
      </c>
      <c r="K913">
        <f>LET(
    purpose,'Loan Tape (S&amp;P)'!R913,
    IF(purpose="Purchase",1.00,
        IF(purpose="Remortgage",1.00,
            1.20)))</f>
        <v/>
      </c>
      <c r="L913">
        <f>LET(
    arrears_months,'Loan Tape (S&amp;P)'!AN913,
    IF(arrears_months=0,1.00,
    IF(arrears_months=1,3.00,
    IF(arrears_months=2,5.00,
    IF(arrears_months=3,8.00,
    IF(arrears_months=4,10.00,
    IF(arrears_months=5,12.00,15.00)))))))</f>
        <v/>
      </c>
      <c r="M913">
        <f>LET(
    seasoning_years,DATEDIF('Loan Tape (S&amp;P)'!K913,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3">
        <f>IF(AND('Loan Tape (S&amp;P)'!U913="Yes",
        'Loan Tape (S&amp;P)'!T913&lt;&gt;"Yes",
        DATEDIF('Loan Tape (S&amp;P)'!K913, TODAY(), "M")&lt;18),
    1.10,
    1.00)</f>
        <v/>
      </c>
      <c r="O913">
        <f>IF('Loan Tape (S&amp;P)'!T913="Yes",
    1.35,
    1.00)</f>
        <v/>
      </c>
      <c r="P913">
        <f>IF('Loan Tape (S&amp;P)'!S913="Yes",
    1.15,
    1.00)</f>
        <v/>
      </c>
      <c r="Q913">
        <f>IF('Loan Tape (S&amp;P)'!V913="Yes",
    1.20,
    1.00)</f>
        <v/>
      </c>
      <c r="T913">
        <f>LET(
    payment_method,'Loan Tape (S&amp;P)'!P913,
    occupancy,'Loan Tape (S&amp;P)'!N913,
    maturity_date,'Loan Tape (S&amp;P)'!L913,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4">
      <c r="J914">
        <f>LET(
    lien,'Loan Tape (S&amp;P)'!Q914,
    IF(lien="First",1.00,
        IF(lien="Second",1.50,
            1.70)))</f>
        <v/>
      </c>
      <c r="K914">
        <f>LET(
    purpose,'Loan Tape (S&amp;P)'!R914,
    IF(purpose="Purchase",1.00,
        IF(purpose="Remortgage",1.00,
            1.20)))</f>
        <v/>
      </c>
      <c r="L914">
        <f>LET(
    arrears_months,'Loan Tape (S&amp;P)'!AN914,
    IF(arrears_months=0,1.00,
    IF(arrears_months=1,3.00,
    IF(arrears_months=2,5.00,
    IF(arrears_months=3,8.00,
    IF(arrears_months=4,10.00,
    IF(arrears_months=5,12.00,15.00)))))))</f>
        <v/>
      </c>
      <c r="M914">
        <f>LET(
    seasoning_years,DATEDIF('Loan Tape (S&amp;P)'!K914,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4">
        <f>IF(AND('Loan Tape (S&amp;P)'!U914="Yes",
        'Loan Tape (S&amp;P)'!T914&lt;&gt;"Yes",
        DATEDIF('Loan Tape (S&amp;P)'!K914, TODAY(), "M")&lt;18),
    1.10,
    1.00)</f>
        <v/>
      </c>
      <c r="O914">
        <f>IF('Loan Tape (S&amp;P)'!T914="Yes",
    1.35,
    1.00)</f>
        <v/>
      </c>
      <c r="P914">
        <f>IF('Loan Tape (S&amp;P)'!S914="Yes",
    1.15,
    1.00)</f>
        <v/>
      </c>
      <c r="Q914">
        <f>IF('Loan Tape (S&amp;P)'!V914="Yes",
    1.20,
    1.00)</f>
        <v/>
      </c>
      <c r="T914">
        <f>LET(
    payment_method,'Loan Tape (S&amp;P)'!P914,
    occupancy,'Loan Tape (S&amp;P)'!N914,
    maturity_date,'Loan Tape (S&amp;P)'!L914,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5">
      <c r="J915">
        <f>LET(
    lien,'Loan Tape (S&amp;P)'!Q915,
    IF(lien="First",1.00,
        IF(lien="Second",1.50,
            1.70)))</f>
        <v/>
      </c>
      <c r="K915">
        <f>LET(
    purpose,'Loan Tape (S&amp;P)'!R915,
    IF(purpose="Purchase",1.00,
        IF(purpose="Remortgage",1.00,
            1.20)))</f>
        <v/>
      </c>
      <c r="L915">
        <f>LET(
    arrears_months,'Loan Tape (S&amp;P)'!AN915,
    IF(arrears_months=0,1.00,
    IF(arrears_months=1,3.00,
    IF(arrears_months=2,5.00,
    IF(arrears_months=3,8.00,
    IF(arrears_months=4,10.00,
    IF(arrears_months=5,12.00,15.00)))))))</f>
        <v/>
      </c>
      <c r="M915">
        <f>LET(
    seasoning_years,DATEDIF('Loan Tape (S&amp;P)'!K915,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5">
        <f>IF(AND('Loan Tape (S&amp;P)'!U915="Yes",
        'Loan Tape (S&amp;P)'!T915&lt;&gt;"Yes",
        DATEDIF('Loan Tape (S&amp;P)'!K915, TODAY(), "M")&lt;18),
    1.10,
    1.00)</f>
        <v/>
      </c>
      <c r="O915">
        <f>IF('Loan Tape (S&amp;P)'!T915="Yes",
    1.35,
    1.00)</f>
        <v/>
      </c>
      <c r="P915">
        <f>IF('Loan Tape (S&amp;P)'!S915="Yes",
    1.15,
    1.00)</f>
        <v/>
      </c>
      <c r="Q915">
        <f>IF('Loan Tape (S&amp;P)'!V915="Yes",
    1.20,
    1.00)</f>
        <v/>
      </c>
      <c r="T915">
        <f>LET(
    payment_method,'Loan Tape (S&amp;P)'!P915,
    occupancy,'Loan Tape (S&amp;P)'!N915,
    maturity_date,'Loan Tape (S&amp;P)'!L915,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6">
      <c r="J916">
        <f>LET(
    lien,'Loan Tape (S&amp;P)'!Q916,
    IF(lien="First",1.00,
        IF(lien="Second",1.50,
            1.70)))</f>
        <v/>
      </c>
      <c r="K916">
        <f>LET(
    purpose,'Loan Tape (S&amp;P)'!R916,
    IF(purpose="Purchase",1.00,
        IF(purpose="Remortgage",1.00,
            1.20)))</f>
        <v/>
      </c>
      <c r="L916">
        <f>LET(
    arrears_months,'Loan Tape (S&amp;P)'!AN916,
    IF(arrears_months=0,1.00,
    IF(arrears_months=1,3.00,
    IF(arrears_months=2,5.00,
    IF(arrears_months=3,8.00,
    IF(arrears_months=4,10.00,
    IF(arrears_months=5,12.00,15.00)))))))</f>
        <v/>
      </c>
      <c r="M916">
        <f>LET(
    seasoning_years,DATEDIF('Loan Tape (S&amp;P)'!K916,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6">
        <f>IF(AND('Loan Tape (S&amp;P)'!U916="Yes",
        'Loan Tape (S&amp;P)'!T916&lt;&gt;"Yes",
        DATEDIF('Loan Tape (S&amp;P)'!K916, TODAY(), "M")&lt;18),
    1.10,
    1.00)</f>
        <v/>
      </c>
      <c r="O916">
        <f>IF('Loan Tape (S&amp;P)'!T916="Yes",
    1.35,
    1.00)</f>
        <v/>
      </c>
      <c r="P916">
        <f>IF('Loan Tape (S&amp;P)'!S916="Yes",
    1.15,
    1.00)</f>
        <v/>
      </c>
      <c r="Q916">
        <f>IF('Loan Tape (S&amp;P)'!V916="Yes",
    1.20,
    1.00)</f>
        <v/>
      </c>
      <c r="T916">
        <f>LET(
    payment_method,'Loan Tape (S&amp;P)'!P916,
    occupancy,'Loan Tape (S&amp;P)'!N916,
    maturity_date,'Loan Tape (S&amp;P)'!L916,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7">
      <c r="J917">
        <f>LET(
    lien,'Loan Tape (S&amp;P)'!Q917,
    IF(lien="First",1.00,
        IF(lien="Second",1.50,
            1.70)))</f>
        <v/>
      </c>
      <c r="K917">
        <f>LET(
    purpose,'Loan Tape (S&amp;P)'!R917,
    IF(purpose="Purchase",1.00,
        IF(purpose="Remortgage",1.00,
            1.20)))</f>
        <v/>
      </c>
      <c r="L917">
        <f>LET(
    arrears_months,'Loan Tape (S&amp;P)'!AN917,
    IF(arrears_months=0,1.00,
    IF(arrears_months=1,3.00,
    IF(arrears_months=2,5.00,
    IF(arrears_months=3,8.00,
    IF(arrears_months=4,10.00,
    IF(arrears_months=5,12.00,15.00)))))))</f>
        <v/>
      </c>
      <c r="M917">
        <f>LET(
    seasoning_years,DATEDIF('Loan Tape (S&amp;P)'!K917,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7">
        <f>IF(AND('Loan Tape (S&amp;P)'!U917="Yes",
        'Loan Tape (S&amp;P)'!T917&lt;&gt;"Yes",
        DATEDIF('Loan Tape (S&amp;P)'!K917, TODAY(), "M")&lt;18),
    1.10,
    1.00)</f>
        <v/>
      </c>
      <c r="O917">
        <f>IF('Loan Tape (S&amp;P)'!T917="Yes",
    1.35,
    1.00)</f>
        <v/>
      </c>
      <c r="P917">
        <f>IF('Loan Tape (S&amp;P)'!S917="Yes",
    1.15,
    1.00)</f>
        <v/>
      </c>
      <c r="Q917">
        <f>IF('Loan Tape (S&amp;P)'!V917="Yes",
    1.20,
    1.00)</f>
        <v/>
      </c>
      <c r="T917">
        <f>LET(
    payment_method,'Loan Tape (S&amp;P)'!P917,
    occupancy,'Loan Tape (S&amp;P)'!N917,
    maturity_date,'Loan Tape (S&amp;P)'!L917,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8">
      <c r="J918">
        <f>LET(
    lien,'Loan Tape (S&amp;P)'!Q918,
    IF(lien="First",1.00,
        IF(lien="Second",1.50,
            1.70)))</f>
        <v/>
      </c>
      <c r="K918">
        <f>LET(
    purpose,'Loan Tape (S&amp;P)'!R918,
    IF(purpose="Purchase",1.00,
        IF(purpose="Remortgage",1.00,
            1.20)))</f>
        <v/>
      </c>
      <c r="L918">
        <f>LET(
    arrears_months,'Loan Tape (S&amp;P)'!AN918,
    IF(arrears_months=0,1.00,
    IF(arrears_months=1,3.00,
    IF(arrears_months=2,5.00,
    IF(arrears_months=3,8.00,
    IF(arrears_months=4,10.00,
    IF(arrears_months=5,12.00,15.00)))))))</f>
        <v/>
      </c>
      <c r="M918">
        <f>LET(
    seasoning_years,DATEDIF('Loan Tape (S&amp;P)'!K918,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8">
        <f>IF(AND('Loan Tape (S&amp;P)'!U918="Yes",
        'Loan Tape (S&amp;P)'!T918&lt;&gt;"Yes",
        DATEDIF('Loan Tape (S&amp;P)'!K918, TODAY(), "M")&lt;18),
    1.10,
    1.00)</f>
        <v/>
      </c>
      <c r="O918">
        <f>IF('Loan Tape (S&amp;P)'!T918="Yes",
    1.35,
    1.00)</f>
        <v/>
      </c>
      <c r="P918">
        <f>IF('Loan Tape (S&amp;P)'!S918="Yes",
    1.15,
    1.00)</f>
        <v/>
      </c>
      <c r="Q918">
        <f>IF('Loan Tape (S&amp;P)'!V918="Yes",
    1.20,
    1.00)</f>
        <v/>
      </c>
      <c r="T918">
        <f>LET(
    payment_method,'Loan Tape (S&amp;P)'!P918,
    occupancy,'Loan Tape (S&amp;P)'!N918,
    maturity_date,'Loan Tape (S&amp;P)'!L918,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9">
      <c r="J919">
        <f>LET(
    lien,'Loan Tape (S&amp;P)'!Q919,
    IF(lien="First",1.00,
        IF(lien="Second",1.50,
            1.70)))</f>
        <v/>
      </c>
      <c r="K919">
        <f>LET(
    purpose,'Loan Tape (S&amp;P)'!R919,
    IF(purpose="Purchase",1.00,
        IF(purpose="Remortgage",1.00,
            1.20)))</f>
        <v/>
      </c>
      <c r="L919">
        <f>LET(
    arrears_months,'Loan Tape (S&amp;P)'!AN919,
    IF(arrears_months=0,1.00,
    IF(arrears_months=1,3.00,
    IF(arrears_months=2,5.00,
    IF(arrears_months=3,8.00,
    IF(arrears_months=4,10.00,
    IF(arrears_months=5,12.00,15.00)))))))</f>
        <v/>
      </c>
      <c r="M919">
        <f>LET(
    seasoning_years,DATEDIF('Loan Tape (S&amp;P)'!K919,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9">
        <f>IF(AND('Loan Tape (S&amp;P)'!U919="Yes",
        'Loan Tape (S&amp;P)'!T919&lt;&gt;"Yes",
        DATEDIF('Loan Tape (S&amp;P)'!K919, TODAY(), "M")&lt;18),
    1.10,
    1.00)</f>
        <v/>
      </c>
      <c r="O919">
        <f>IF('Loan Tape (S&amp;P)'!T919="Yes",
    1.35,
    1.00)</f>
        <v/>
      </c>
      <c r="P919">
        <f>IF('Loan Tape (S&amp;P)'!S919="Yes",
    1.15,
    1.00)</f>
        <v/>
      </c>
      <c r="Q919">
        <f>IF('Loan Tape (S&amp;P)'!V919="Yes",
    1.20,
    1.00)</f>
        <v/>
      </c>
      <c r="T919">
        <f>LET(
    payment_method,'Loan Tape (S&amp;P)'!P919,
    occupancy,'Loan Tape (S&amp;P)'!N919,
    maturity_date,'Loan Tape (S&amp;P)'!L919,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0">
      <c r="J920">
        <f>LET(
    lien,'Loan Tape (S&amp;P)'!Q920,
    IF(lien="First",1.00,
        IF(lien="Second",1.50,
            1.70)))</f>
        <v/>
      </c>
      <c r="K920">
        <f>LET(
    purpose,'Loan Tape (S&amp;P)'!R920,
    IF(purpose="Purchase",1.00,
        IF(purpose="Remortgage",1.00,
            1.20)))</f>
        <v/>
      </c>
      <c r="L920">
        <f>LET(
    arrears_months,'Loan Tape (S&amp;P)'!AN920,
    IF(arrears_months=0,1.00,
    IF(arrears_months=1,3.00,
    IF(arrears_months=2,5.00,
    IF(arrears_months=3,8.00,
    IF(arrears_months=4,10.00,
    IF(arrears_months=5,12.00,15.00)))))))</f>
        <v/>
      </c>
      <c r="M920">
        <f>LET(
    seasoning_years,DATEDIF('Loan Tape (S&amp;P)'!K920,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0">
        <f>IF(AND('Loan Tape (S&amp;P)'!U920="Yes",
        'Loan Tape (S&amp;P)'!T920&lt;&gt;"Yes",
        DATEDIF('Loan Tape (S&amp;P)'!K920, TODAY(), "M")&lt;18),
    1.10,
    1.00)</f>
        <v/>
      </c>
      <c r="O920">
        <f>IF('Loan Tape (S&amp;P)'!T920="Yes",
    1.35,
    1.00)</f>
        <v/>
      </c>
      <c r="P920">
        <f>IF('Loan Tape (S&amp;P)'!S920="Yes",
    1.15,
    1.00)</f>
        <v/>
      </c>
      <c r="Q920">
        <f>IF('Loan Tape (S&amp;P)'!V920="Yes",
    1.20,
    1.00)</f>
        <v/>
      </c>
      <c r="T920">
        <f>LET(
    payment_method,'Loan Tape (S&amp;P)'!P920,
    occupancy,'Loan Tape (S&amp;P)'!N920,
    maturity_date,'Loan Tape (S&amp;P)'!L920,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1">
      <c r="J921">
        <f>LET(
    lien,'Loan Tape (S&amp;P)'!Q921,
    IF(lien="First",1.00,
        IF(lien="Second",1.50,
            1.70)))</f>
        <v/>
      </c>
      <c r="K921">
        <f>LET(
    purpose,'Loan Tape (S&amp;P)'!R921,
    IF(purpose="Purchase",1.00,
        IF(purpose="Remortgage",1.00,
            1.20)))</f>
        <v/>
      </c>
      <c r="L921">
        <f>LET(
    arrears_months,'Loan Tape (S&amp;P)'!AN921,
    IF(arrears_months=0,1.00,
    IF(arrears_months=1,3.00,
    IF(arrears_months=2,5.00,
    IF(arrears_months=3,8.00,
    IF(arrears_months=4,10.00,
    IF(arrears_months=5,12.00,15.00)))))))</f>
        <v/>
      </c>
      <c r="M921">
        <f>LET(
    seasoning_years,DATEDIF('Loan Tape (S&amp;P)'!K921,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1">
        <f>IF(AND('Loan Tape (S&amp;P)'!U921="Yes",
        'Loan Tape (S&amp;P)'!T921&lt;&gt;"Yes",
        DATEDIF('Loan Tape (S&amp;P)'!K921, TODAY(), "M")&lt;18),
    1.10,
    1.00)</f>
        <v/>
      </c>
      <c r="O921">
        <f>IF('Loan Tape (S&amp;P)'!T921="Yes",
    1.35,
    1.00)</f>
        <v/>
      </c>
      <c r="P921">
        <f>IF('Loan Tape (S&amp;P)'!S921="Yes",
    1.15,
    1.00)</f>
        <v/>
      </c>
      <c r="Q921">
        <f>IF('Loan Tape (S&amp;P)'!V921="Yes",
    1.20,
    1.00)</f>
        <v/>
      </c>
      <c r="T921">
        <f>LET(
    payment_method,'Loan Tape (S&amp;P)'!P921,
    occupancy,'Loan Tape (S&amp;P)'!N921,
    maturity_date,'Loan Tape (S&amp;P)'!L921,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2">
      <c r="J922">
        <f>LET(
    lien,'Loan Tape (S&amp;P)'!Q922,
    IF(lien="First",1.00,
        IF(lien="Second",1.50,
            1.70)))</f>
        <v/>
      </c>
      <c r="K922">
        <f>LET(
    purpose,'Loan Tape (S&amp;P)'!R922,
    IF(purpose="Purchase",1.00,
        IF(purpose="Remortgage",1.00,
            1.20)))</f>
        <v/>
      </c>
      <c r="L922">
        <f>LET(
    arrears_months,'Loan Tape (S&amp;P)'!AN922,
    IF(arrears_months=0,1.00,
    IF(arrears_months=1,3.00,
    IF(arrears_months=2,5.00,
    IF(arrears_months=3,8.00,
    IF(arrears_months=4,10.00,
    IF(arrears_months=5,12.00,15.00)))))))</f>
        <v/>
      </c>
      <c r="M922">
        <f>LET(
    seasoning_years,DATEDIF('Loan Tape (S&amp;P)'!K922,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2">
        <f>IF(AND('Loan Tape (S&amp;P)'!U922="Yes",
        'Loan Tape (S&amp;P)'!T922&lt;&gt;"Yes",
        DATEDIF('Loan Tape (S&amp;P)'!K922, TODAY(), "M")&lt;18),
    1.10,
    1.00)</f>
        <v/>
      </c>
      <c r="O922">
        <f>IF('Loan Tape (S&amp;P)'!T922="Yes",
    1.35,
    1.00)</f>
        <v/>
      </c>
      <c r="P922">
        <f>IF('Loan Tape (S&amp;P)'!S922="Yes",
    1.15,
    1.00)</f>
        <v/>
      </c>
      <c r="Q922">
        <f>IF('Loan Tape (S&amp;P)'!V922="Yes",
    1.20,
    1.00)</f>
        <v/>
      </c>
      <c r="T922">
        <f>LET(
    payment_method,'Loan Tape (S&amp;P)'!P922,
    occupancy,'Loan Tape (S&amp;P)'!N922,
    maturity_date,'Loan Tape (S&amp;P)'!L922,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3">
      <c r="J923">
        <f>LET(
    lien,'Loan Tape (S&amp;P)'!Q923,
    IF(lien="First",1.00,
        IF(lien="Second",1.50,
            1.70)))</f>
        <v/>
      </c>
      <c r="K923">
        <f>LET(
    purpose,'Loan Tape (S&amp;P)'!R923,
    IF(purpose="Purchase",1.00,
        IF(purpose="Remortgage",1.00,
            1.20)))</f>
        <v/>
      </c>
      <c r="L923">
        <f>LET(
    arrears_months,'Loan Tape (S&amp;P)'!AN923,
    IF(arrears_months=0,1.00,
    IF(arrears_months=1,3.00,
    IF(arrears_months=2,5.00,
    IF(arrears_months=3,8.00,
    IF(arrears_months=4,10.00,
    IF(arrears_months=5,12.00,15.00)))))))</f>
        <v/>
      </c>
      <c r="M923">
        <f>LET(
    seasoning_years,DATEDIF('Loan Tape (S&amp;P)'!K923,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3">
        <f>IF(AND('Loan Tape (S&amp;P)'!U923="Yes",
        'Loan Tape (S&amp;P)'!T923&lt;&gt;"Yes",
        DATEDIF('Loan Tape (S&amp;P)'!K923, TODAY(), "M")&lt;18),
    1.10,
    1.00)</f>
        <v/>
      </c>
      <c r="O923">
        <f>IF('Loan Tape (S&amp;P)'!T923="Yes",
    1.35,
    1.00)</f>
        <v/>
      </c>
      <c r="P923">
        <f>IF('Loan Tape (S&amp;P)'!S923="Yes",
    1.15,
    1.00)</f>
        <v/>
      </c>
      <c r="Q923">
        <f>IF('Loan Tape (S&amp;P)'!V923="Yes",
    1.20,
    1.00)</f>
        <v/>
      </c>
      <c r="T923">
        <f>LET(
    payment_method,'Loan Tape (S&amp;P)'!P923,
    occupancy,'Loan Tape (S&amp;P)'!N923,
    maturity_date,'Loan Tape (S&amp;P)'!L923,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4">
      <c r="J924">
        <f>LET(
    lien,'Loan Tape (S&amp;P)'!Q924,
    IF(lien="First",1.00,
        IF(lien="Second",1.50,
            1.70)))</f>
        <v/>
      </c>
      <c r="K924">
        <f>LET(
    purpose,'Loan Tape (S&amp;P)'!R924,
    IF(purpose="Purchase",1.00,
        IF(purpose="Remortgage",1.00,
            1.20)))</f>
        <v/>
      </c>
      <c r="L924">
        <f>LET(
    arrears_months,'Loan Tape (S&amp;P)'!AN924,
    IF(arrears_months=0,1.00,
    IF(arrears_months=1,3.00,
    IF(arrears_months=2,5.00,
    IF(arrears_months=3,8.00,
    IF(arrears_months=4,10.00,
    IF(arrears_months=5,12.00,15.00)))))))</f>
        <v/>
      </c>
      <c r="M924">
        <f>LET(
    seasoning_years,DATEDIF('Loan Tape (S&amp;P)'!K924,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4">
        <f>IF(AND('Loan Tape (S&amp;P)'!U924="Yes",
        'Loan Tape (S&amp;P)'!T924&lt;&gt;"Yes",
        DATEDIF('Loan Tape (S&amp;P)'!K924, TODAY(), "M")&lt;18),
    1.10,
    1.00)</f>
        <v/>
      </c>
      <c r="O924">
        <f>IF('Loan Tape (S&amp;P)'!T924="Yes",
    1.35,
    1.00)</f>
        <v/>
      </c>
      <c r="P924">
        <f>IF('Loan Tape (S&amp;P)'!S924="Yes",
    1.15,
    1.00)</f>
        <v/>
      </c>
      <c r="Q924">
        <f>IF('Loan Tape (S&amp;P)'!V924="Yes",
    1.20,
    1.00)</f>
        <v/>
      </c>
      <c r="T924">
        <f>LET(
    payment_method,'Loan Tape (S&amp;P)'!P924,
    occupancy,'Loan Tape (S&amp;P)'!N924,
    maturity_date,'Loan Tape (S&amp;P)'!L924,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5">
      <c r="J925">
        <f>LET(
    lien,'Loan Tape (S&amp;P)'!Q925,
    IF(lien="First",1.00,
        IF(lien="Second",1.50,
            1.70)))</f>
        <v/>
      </c>
      <c r="K925">
        <f>LET(
    purpose,'Loan Tape (S&amp;P)'!R925,
    IF(purpose="Purchase",1.00,
        IF(purpose="Remortgage",1.00,
            1.20)))</f>
        <v/>
      </c>
      <c r="L925">
        <f>LET(
    arrears_months,'Loan Tape (S&amp;P)'!AN925,
    IF(arrears_months=0,1.00,
    IF(arrears_months=1,3.00,
    IF(arrears_months=2,5.00,
    IF(arrears_months=3,8.00,
    IF(arrears_months=4,10.00,
    IF(arrears_months=5,12.00,15.00)))))))</f>
        <v/>
      </c>
      <c r="M925">
        <f>LET(
    seasoning_years,DATEDIF('Loan Tape (S&amp;P)'!K925,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5">
        <f>IF(AND('Loan Tape (S&amp;P)'!U925="Yes",
        'Loan Tape (S&amp;P)'!T925&lt;&gt;"Yes",
        DATEDIF('Loan Tape (S&amp;P)'!K925, TODAY(), "M")&lt;18),
    1.10,
    1.00)</f>
        <v/>
      </c>
      <c r="O925">
        <f>IF('Loan Tape (S&amp;P)'!T925="Yes",
    1.35,
    1.00)</f>
        <v/>
      </c>
      <c r="P925">
        <f>IF('Loan Tape (S&amp;P)'!S925="Yes",
    1.15,
    1.00)</f>
        <v/>
      </c>
      <c r="Q925">
        <f>IF('Loan Tape (S&amp;P)'!V925="Yes",
    1.20,
    1.00)</f>
        <v/>
      </c>
      <c r="T925">
        <f>LET(
    payment_method,'Loan Tape (S&amp;P)'!P925,
    occupancy,'Loan Tape (S&amp;P)'!N925,
    maturity_date,'Loan Tape (S&amp;P)'!L925,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6">
      <c r="J926">
        <f>LET(
    lien,'Loan Tape (S&amp;P)'!Q926,
    IF(lien="First",1.00,
        IF(lien="Second",1.50,
            1.70)))</f>
        <v/>
      </c>
      <c r="K926">
        <f>LET(
    purpose,'Loan Tape (S&amp;P)'!R926,
    IF(purpose="Purchase",1.00,
        IF(purpose="Remortgage",1.00,
            1.20)))</f>
        <v/>
      </c>
      <c r="L926">
        <f>LET(
    arrears_months,'Loan Tape (S&amp;P)'!AN926,
    IF(arrears_months=0,1.00,
    IF(arrears_months=1,3.00,
    IF(arrears_months=2,5.00,
    IF(arrears_months=3,8.00,
    IF(arrears_months=4,10.00,
    IF(arrears_months=5,12.00,15.00)))))))</f>
        <v/>
      </c>
      <c r="M926">
        <f>LET(
    seasoning_years,DATEDIF('Loan Tape (S&amp;P)'!K926,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6">
        <f>IF(AND('Loan Tape (S&amp;P)'!U926="Yes",
        'Loan Tape (S&amp;P)'!T926&lt;&gt;"Yes",
        DATEDIF('Loan Tape (S&amp;P)'!K926, TODAY(), "M")&lt;18),
    1.10,
    1.00)</f>
        <v/>
      </c>
      <c r="O926">
        <f>IF('Loan Tape (S&amp;P)'!T926="Yes",
    1.35,
    1.00)</f>
        <v/>
      </c>
      <c r="P926">
        <f>IF('Loan Tape (S&amp;P)'!S926="Yes",
    1.15,
    1.00)</f>
        <v/>
      </c>
      <c r="Q926">
        <f>IF('Loan Tape (S&amp;P)'!V926="Yes",
    1.20,
    1.00)</f>
        <v/>
      </c>
      <c r="T926">
        <f>LET(
    payment_method,'Loan Tape (S&amp;P)'!P926,
    occupancy,'Loan Tape (S&amp;P)'!N926,
    maturity_date,'Loan Tape (S&amp;P)'!L926,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7">
      <c r="J927">
        <f>LET(
    lien,'Loan Tape (S&amp;P)'!Q927,
    IF(lien="First",1.00,
        IF(lien="Second",1.50,
            1.70)))</f>
        <v/>
      </c>
      <c r="K927">
        <f>LET(
    purpose,'Loan Tape (S&amp;P)'!R927,
    IF(purpose="Purchase",1.00,
        IF(purpose="Remortgage",1.00,
            1.20)))</f>
        <v/>
      </c>
      <c r="L927">
        <f>LET(
    arrears_months,'Loan Tape (S&amp;P)'!AN927,
    IF(arrears_months=0,1.00,
    IF(arrears_months=1,3.00,
    IF(arrears_months=2,5.00,
    IF(arrears_months=3,8.00,
    IF(arrears_months=4,10.00,
    IF(arrears_months=5,12.00,15.00)))))))</f>
        <v/>
      </c>
      <c r="M927">
        <f>LET(
    seasoning_years,DATEDIF('Loan Tape (S&amp;P)'!K927,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7">
        <f>IF(AND('Loan Tape (S&amp;P)'!U927="Yes",
        'Loan Tape (S&amp;P)'!T927&lt;&gt;"Yes",
        DATEDIF('Loan Tape (S&amp;P)'!K927, TODAY(), "M")&lt;18),
    1.10,
    1.00)</f>
        <v/>
      </c>
      <c r="O927">
        <f>IF('Loan Tape (S&amp;P)'!T927="Yes",
    1.35,
    1.00)</f>
        <v/>
      </c>
      <c r="P927">
        <f>IF('Loan Tape (S&amp;P)'!S927="Yes",
    1.15,
    1.00)</f>
        <v/>
      </c>
      <c r="Q927">
        <f>IF('Loan Tape (S&amp;P)'!V927="Yes",
    1.20,
    1.00)</f>
        <v/>
      </c>
      <c r="T927">
        <f>LET(
    payment_method,'Loan Tape (S&amp;P)'!P927,
    occupancy,'Loan Tape (S&amp;P)'!N927,
    maturity_date,'Loan Tape (S&amp;P)'!L927,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8">
      <c r="J928">
        <f>LET(
    lien,'Loan Tape (S&amp;P)'!Q928,
    IF(lien="First",1.00,
        IF(lien="Second",1.50,
            1.70)))</f>
        <v/>
      </c>
      <c r="K928">
        <f>LET(
    purpose,'Loan Tape (S&amp;P)'!R928,
    IF(purpose="Purchase",1.00,
        IF(purpose="Remortgage",1.00,
            1.20)))</f>
        <v/>
      </c>
      <c r="L928">
        <f>LET(
    arrears_months,'Loan Tape (S&amp;P)'!AN928,
    IF(arrears_months=0,1.00,
    IF(arrears_months=1,3.00,
    IF(arrears_months=2,5.00,
    IF(arrears_months=3,8.00,
    IF(arrears_months=4,10.00,
    IF(arrears_months=5,12.00,15.00)))))))</f>
        <v/>
      </c>
      <c r="M928">
        <f>LET(
    seasoning_years,DATEDIF('Loan Tape (S&amp;P)'!K928,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8">
        <f>IF(AND('Loan Tape (S&amp;P)'!U928="Yes",
        'Loan Tape (S&amp;P)'!T928&lt;&gt;"Yes",
        DATEDIF('Loan Tape (S&amp;P)'!K928, TODAY(), "M")&lt;18),
    1.10,
    1.00)</f>
        <v/>
      </c>
      <c r="O928">
        <f>IF('Loan Tape (S&amp;P)'!T928="Yes",
    1.35,
    1.00)</f>
        <v/>
      </c>
      <c r="P928">
        <f>IF('Loan Tape (S&amp;P)'!S928="Yes",
    1.15,
    1.00)</f>
        <v/>
      </c>
      <c r="Q928">
        <f>IF('Loan Tape (S&amp;P)'!V928="Yes",
    1.20,
    1.00)</f>
        <v/>
      </c>
      <c r="T928">
        <f>LET(
    payment_method,'Loan Tape (S&amp;P)'!P928,
    occupancy,'Loan Tape (S&amp;P)'!N928,
    maturity_date,'Loan Tape (S&amp;P)'!L928,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9">
      <c r="J929">
        <f>LET(
    lien,'Loan Tape (S&amp;P)'!Q929,
    IF(lien="First",1.00,
        IF(lien="Second",1.50,
            1.70)))</f>
        <v/>
      </c>
      <c r="K929">
        <f>LET(
    purpose,'Loan Tape (S&amp;P)'!R929,
    IF(purpose="Purchase",1.00,
        IF(purpose="Remortgage",1.00,
            1.20)))</f>
        <v/>
      </c>
      <c r="L929">
        <f>LET(
    arrears_months,'Loan Tape (S&amp;P)'!AN929,
    IF(arrears_months=0,1.00,
    IF(arrears_months=1,3.00,
    IF(arrears_months=2,5.00,
    IF(arrears_months=3,8.00,
    IF(arrears_months=4,10.00,
    IF(arrears_months=5,12.00,15.00)))))))</f>
        <v/>
      </c>
      <c r="M929">
        <f>LET(
    seasoning_years,DATEDIF('Loan Tape (S&amp;P)'!K929,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9">
        <f>IF(AND('Loan Tape (S&amp;P)'!U929="Yes",
        'Loan Tape (S&amp;P)'!T929&lt;&gt;"Yes",
        DATEDIF('Loan Tape (S&amp;P)'!K929, TODAY(), "M")&lt;18),
    1.10,
    1.00)</f>
        <v/>
      </c>
      <c r="O929">
        <f>IF('Loan Tape (S&amp;P)'!T929="Yes",
    1.35,
    1.00)</f>
        <v/>
      </c>
      <c r="P929">
        <f>IF('Loan Tape (S&amp;P)'!S929="Yes",
    1.15,
    1.00)</f>
        <v/>
      </c>
      <c r="Q929">
        <f>IF('Loan Tape (S&amp;P)'!V929="Yes",
    1.20,
    1.00)</f>
        <v/>
      </c>
      <c r="T929">
        <f>LET(
    payment_method,'Loan Tape (S&amp;P)'!P929,
    occupancy,'Loan Tape (S&amp;P)'!N929,
    maturity_date,'Loan Tape (S&amp;P)'!L929,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0">
      <c r="J930">
        <f>LET(
    lien,'Loan Tape (S&amp;P)'!Q930,
    IF(lien="First",1.00,
        IF(lien="Second",1.50,
            1.70)))</f>
        <v/>
      </c>
      <c r="K930">
        <f>LET(
    purpose,'Loan Tape (S&amp;P)'!R930,
    IF(purpose="Purchase",1.00,
        IF(purpose="Remortgage",1.00,
            1.20)))</f>
        <v/>
      </c>
      <c r="L930">
        <f>LET(
    arrears_months,'Loan Tape (S&amp;P)'!AN930,
    IF(arrears_months=0,1.00,
    IF(arrears_months=1,3.00,
    IF(arrears_months=2,5.00,
    IF(arrears_months=3,8.00,
    IF(arrears_months=4,10.00,
    IF(arrears_months=5,12.00,15.00)))))))</f>
        <v/>
      </c>
      <c r="M930">
        <f>LET(
    seasoning_years,DATEDIF('Loan Tape (S&amp;P)'!K930,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0">
        <f>IF(AND('Loan Tape (S&amp;P)'!U930="Yes",
        'Loan Tape (S&amp;P)'!T930&lt;&gt;"Yes",
        DATEDIF('Loan Tape (S&amp;P)'!K930, TODAY(), "M")&lt;18),
    1.10,
    1.00)</f>
        <v/>
      </c>
      <c r="O930">
        <f>IF('Loan Tape (S&amp;P)'!T930="Yes",
    1.35,
    1.00)</f>
        <v/>
      </c>
      <c r="P930">
        <f>IF('Loan Tape (S&amp;P)'!S930="Yes",
    1.15,
    1.00)</f>
        <v/>
      </c>
      <c r="Q930">
        <f>IF('Loan Tape (S&amp;P)'!V930="Yes",
    1.20,
    1.00)</f>
        <v/>
      </c>
      <c r="T930">
        <f>LET(
    payment_method,'Loan Tape (S&amp;P)'!P930,
    occupancy,'Loan Tape (S&amp;P)'!N930,
    maturity_date,'Loan Tape (S&amp;P)'!L930,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1">
      <c r="J931">
        <f>LET(
    lien,'Loan Tape (S&amp;P)'!Q931,
    IF(lien="First",1.00,
        IF(lien="Second",1.50,
            1.70)))</f>
        <v/>
      </c>
      <c r="K931">
        <f>LET(
    purpose,'Loan Tape (S&amp;P)'!R931,
    IF(purpose="Purchase",1.00,
        IF(purpose="Remortgage",1.00,
            1.20)))</f>
        <v/>
      </c>
      <c r="L931">
        <f>LET(
    arrears_months,'Loan Tape (S&amp;P)'!AN931,
    IF(arrears_months=0,1.00,
    IF(arrears_months=1,3.00,
    IF(arrears_months=2,5.00,
    IF(arrears_months=3,8.00,
    IF(arrears_months=4,10.00,
    IF(arrears_months=5,12.00,15.00)))))))</f>
        <v/>
      </c>
      <c r="M931">
        <f>LET(
    seasoning_years,DATEDIF('Loan Tape (S&amp;P)'!K931,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1">
        <f>IF(AND('Loan Tape (S&amp;P)'!U931="Yes",
        'Loan Tape (S&amp;P)'!T931&lt;&gt;"Yes",
        DATEDIF('Loan Tape (S&amp;P)'!K931, TODAY(), "M")&lt;18),
    1.10,
    1.00)</f>
        <v/>
      </c>
      <c r="O931">
        <f>IF('Loan Tape (S&amp;P)'!T931="Yes",
    1.35,
    1.00)</f>
        <v/>
      </c>
      <c r="P931">
        <f>IF('Loan Tape (S&amp;P)'!S931="Yes",
    1.15,
    1.00)</f>
        <v/>
      </c>
      <c r="Q931">
        <f>IF('Loan Tape (S&amp;P)'!V931="Yes",
    1.20,
    1.00)</f>
        <v/>
      </c>
      <c r="T931">
        <f>LET(
    payment_method,'Loan Tape (S&amp;P)'!P931,
    occupancy,'Loan Tape (S&amp;P)'!N931,
    maturity_date,'Loan Tape (S&amp;P)'!L931,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2">
      <c r="J932">
        <f>LET(
    lien,'Loan Tape (S&amp;P)'!Q932,
    IF(lien="First",1.00,
        IF(lien="Second",1.50,
            1.70)))</f>
        <v/>
      </c>
      <c r="K932">
        <f>LET(
    purpose,'Loan Tape (S&amp;P)'!R932,
    IF(purpose="Purchase",1.00,
        IF(purpose="Remortgage",1.00,
            1.20)))</f>
        <v/>
      </c>
      <c r="L932">
        <f>LET(
    arrears_months,'Loan Tape (S&amp;P)'!AN932,
    IF(arrears_months=0,1.00,
    IF(arrears_months=1,3.00,
    IF(arrears_months=2,5.00,
    IF(arrears_months=3,8.00,
    IF(arrears_months=4,10.00,
    IF(arrears_months=5,12.00,15.00)))))))</f>
        <v/>
      </c>
      <c r="M932">
        <f>LET(
    seasoning_years,DATEDIF('Loan Tape (S&amp;P)'!K932,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2">
        <f>IF(AND('Loan Tape (S&amp;P)'!U932="Yes",
        'Loan Tape (S&amp;P)'!T932&lt;&gt;"Yes",
        DATEDIF('Loan Tape (S&amp;P)'!K932, TODAY(), "M")&lt;18),
    1.10,
    1.00)</f>
        <v/>
      </c>
      <c r="O932">
        <f>IF('Loan Tape (S&amp;P)'!T932="Yes",
    1.35,
    1.00)</f>
        <v/>
      </c>
      <c r="P932">
        <f>IF('Loan Tape (S&amp;P)'!S932="Yes",
    1.15,
    1.00)</f>
        <v/>
      </c>
      <c r="Q932">
        <f>IF('Loan Tape (S&amp;P)'!V932="Yes",
    1.20,
    1.00)</f>
        <v/>
      </c>
      <c r="T932">
        <f>LET(
    payment_method,'Loan Tape (S&amp;P)'!P932,
    occupancy,'Loan Tape (S&amp;P)'!N932,
    maturity_date,'Loan Tape (S&amp;P)'!L932,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3">
      <c r="J933">
        <f>LET(
    lien,'Loan Tape (S&amp;P)'!Q933,
    IF(lien="First",1.00,
        IF(lien="Second",1.50,
            1.70)))</f>
        <v/>
      </c>
      <c r="K933">
        <f>LET(
    purpose,'Loan Tape (S&amp;P)'!R933,
    IF(purpose="Purchase",1.00,
        IF(purpose="Remortgage",1.00,
            1.20)))</f>
        <v/>
      </c>
      <c r="L933">
        <f>LET(
    arrears_months,'Loan Tape (S&amp;P)'!AN933,
    IF(arrears_months=0,1.00,
    IF(arrears_months=1,3.00,
    IF(arrears_months=2,5.00,
    IF(arrears_months=3,8.00,
    IF(arrears_months=4,10.00,
    IF(arrears_months=5,12.00,15.00)))))))</f>
        <v/>
      </c>
      <c r="M933">
        <f>LET(
    seasoning_years,DATEDIF('Loan Tape (S&amp;P)'!K933,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3">
        <f>IF(AND('Loan Tape (S&amp;P)'!U933="Yes",
        'Loan Tape (S&amp;P)'!T933&lt;&gt;"Yes",
        DATEDIF('Loan Tape (S&amp;P)'!K933, TODAY(), "M")&lt;18),
    1.10,
    1.00)</f>
        <v/>
      </c>
      <c r="O933">
        <f>IF('Loan Tape (S&amp;P)'!T933="Yes",
    1.35,
    1.00)</f>
        <v/>
      </c>
      <c r="P933">
        <f>IF('Loan Tape (S&amp;P)'!S933="Yes",
    1.15,
    1.00)</f>
        <v/>
      </c>
      <c r="Q933">
        <f>IF('Loan Tape (S&amp;P)'!V933="Yes",
    1.20,
    1.00)</f>
        <v/>
      </c>
      <c r="T933">
        <f>LET(
    payment_method,'Loan Tape (S&amp;P)'!P933,
    occupancy,'Loan Tape (S&amp;P)'!N933,
    maturity_date,'Loan Tape (S&amp;P)'!L933,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4">
      <c r="J934">
        <f>LET(
    lien,'Loan Tape (S&amp;P)'!Q934,
    IF(lien="First",1.00,
        IF(lien="Second",1.50,
            1.70)))</f>
        <v/>
      </c>
      <c r="K934">
        <f>LET(
    purpose,'Loan Tape (S&amp;P)'!R934,
    IF(purpose="Purchase",1.00,
        IF(purpose="Remortgage",1.00,
            1.20)))</f>
        <v/>
      </c>
      <c r="L934">
        <f>LET(
    arrears_months,'Loan Tape (S&amp;P)'!AN934,
    IF(arrears_months=0,1.00,
    IF(arrears_months=1,3.00,
    IF(arrears_months=2,5.00,
    IF(arrears_months=3,8.00,
    IF(arrears_months=4,10.00,
    IF(arrears_months=5,12.00,15.00)))))))</f>
        <v/>
      </c>
      <c r="M934">
        <f>LET(
    seasoning_years,DATEDIF('Loan Tape (S&amp;P)'!K934,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4">
        <f>IF(AND('Loan Tape (S&amp;P)'!U934="Yes",
        'Loan Tape (S&amp;P)'!T934&lt;&gt;"Yes",
        DATEDIF('Loan Tape (S&amp;P)'!K934, TODAY(), "M")&lt;18),
    1.10,
    1.00)</f>
        <v/>
      </c>
      <c r="O934">
        <f>IF('Loan Tape (S&amp;P)'!T934="Yes",
    1.35,
    1.00)</f>
        <v/>
      </c>
      <c r="P934">
        <f>IF('Loan Tape (S&amp;P)'!S934="Yes",
    1.15,
    1.00)</f>
        <v/>
      </c>
      <c r="Q934">
        <f>IF('Loan Tape (S&amp;P)'!V934="Yes",
    1.20,
    1.00)</f>
        <v/>
      </c>
      <c r="T934">
        <f>LET(
    payment_method,'Loan Tape (S&amp;P)'!P934,
    occupancy,'Loan Tape (S&amp;P)'!N934,
    maturity_date,'Loan Tape (S&amp;P)'!L934,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5">
      <c r="J935">
        <f>LET(
    lien,'Loan Tape (S&amp;P)'!Q935,
    IF(lien="First",1.00,
        IF(lien="Second",1.50,
            1.70)))</f>
        <v/>
      </c>
      <c r="K935">
        <f>LET(
    purpose,'Loan Tape (S&amp;P)'!R935,
    IF(purpose="Purchase",1.00,
        IF(purpose="Remortgage",1.00,
            1.20)))</f>
        <v/>
      </c>
      <c r="L935">
        <f>LET(
    arrears_months,'Loan Tape (S&amp;P)'!AN935,
    IF(arrears_months=0,1.00,
    IF(arrears_months=1,3.00,
    IF(arrears_months=2,5.00,
    IF(arrears_months=3,8.00,
    IF(arrears_months=4,10.00,
    IF(arrears_months=5,12.00,15.00)))))))</f>
        <v/>
      </c>
      <c r="M935">
        <f>LET(
    seasoning_years,DATEDIF('Loan Tape (S&amp;P)'!K935,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5">
        <f>IF(AND('Loan Tape (S&amp;P)'!U935="Yes",
        'Loan Tape (S&amp;P)'!T935&lt;&gt;"Yes",
        DATEDIF('Loan Tape (S&amp;P)'!K935, TODAY(), "M")&lt;18),
    1.10,
    1.00)</f>
        <v/>
      </c>
      <c r="O935">
        <f>IF('Loan Tape (S&amp;P)'!T935="Yes",
    1.35,
    1.00)</f>
        <v/>
      </c>
      <c r="P935">
        <f>IF('Loan Tape (S&amp;P)'!S935="Yes",
    1.15,
    1.00)</f>
        <v/>
      </c>
      <c r="Q935">
        <f>IF('Loan Tape (S&amp;P)'!V935="Yes",
    1.20,
    1.00)</f>
        <v/>
      </c>
      <c r="T935">
        <f>LET(
    payment_method,'Loan Tape (S&amp;P)'!P935,
    occupancy,'Loan Tape (S&amp;P)'!N935,
    maturity_date,'Loan Tape (S&amp;P)'!L935,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6">
      <c r="J936">
        <f>LET(
    lien,'Loan Tape (S&amp;P)'!Q936,
    IF(lien="First",1.00,
        IF(lien="Second",1.50,
            1.70)))</f>
        <v/>
      </c>
      <c r="K936">
        <f>LET(
    purpose,'Loan Tape (S&amp;P)'!R936,
    IF(purpose="Purchase",1.00,
        IF(purpose="Remortgage",1.00,
            1.20)))</f>
        <v/>
      </c>
      <c r="L936">
        <f>LET(
    arrears_months,'Loan Tape (S&amp;P)'!AN936,
    IF(arrears_months=0,1.00,
    IF(arrears_months=1,3.00,
    IF(arrears_months=2,5.00,
    IF(arrears_months=3,8.00,
    IF(arrears_months=4,10.00,
    IF(arrears_months=5,12.00,15.00)))))))</f>
        <v/>
      </c>
      <c r="M936">
        <f>LET(
    seasoning_years,DATEDIF('Loan Tape (S&amp;P)'!K936,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6">
        <f>IF(AND('Loan Tape (S&amp;P)'!U936="Yes",
        'Loan Tape (S&amp;P)'!T936&lt;&gt;"Yes",
        DATEDIF('Loan Tape (S&amp;P)'!K936, TODAY(), "M")&lt;18),
    1.10,
    1.00)</f>
        <v/>
      </c>
      <c r="O936">
        <f>IF('Loan Tape (S&amp;P)'!T936="Yes",
    1.35,
    1.00)</f>
        <v/>
      </c>
      <c r="P936">
        <f>IF('Loan Tape (S&amp;P)'!S936="Yes",
    1.15,
    1.00)</f>
        <v/>
      </c>
      <c r="Q936">
        <f>IF('Loan Tape (S&amp;P)'!V936="Yes",
    1.20,
    1.00)</f>
        <v/>
      </c>
      <c r="T936">
        <f>LET(
    payment_method,'Loan Tape (S&amp;P)'!P936,
    occupancy,'Loan Tape (S&amp;P)'!N936,
    maturity_date,'Loan Tape (S&amp;P)'!L936,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7">
      <c r="J937">
        <f>LET(
    lien,'Loan Tape (S&amp;P)'!Q937,
    IF(lien="First",1.00,
        IF(lien="Second",1.50,
            1.70)))</f>
        <v/>
      </c>
      <c r="K937">
        <f>LET(
    purpose,'Loan Tape (S&amp;P)'!R937,
    IF(purpose="Purchase",1.00,
        IF(purpose="Remortgage",1.00,
            1.20)))</f>
        <v/>
      </c>
      <c r="L937">
        <f>LET(
    arrears_months,'Loan Tape (S&amp;P)'!AN937,
    IF(arrears_months=0,1.00,
    IF(arrears_months=1,3.00,
    IF(arrears_months=2,5.00,
    IF(arrears_months=3,8.00,
    IF(arrears_months=4,10.00,
    IF(arrears_months=5,12.00,15.00)))))))</f>
        <v/>
      </c>
      <c r="M937">
        <f>LET(
    seasoning_years,DATEDIF('Loan Tape (S&amp;P)'!K937,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7">
        <f>IF(AND('Loan Tape (S&amp;P)'!U937="Yes",
        'Loan Tape (S&amp;P)'!T937&lt;&gt;"Yes",
        DATEDIF('Loan Tape (S&amp;P)'!K937, TODAY(), "M")&lt;18),
    1.10,
    1.00)</f>
        <v/>
      </c>
      <c r="O937">
        <f>IF('Loan Tape (S&amp;P)'!T937="Yes",
    1.35,
    1.00)</f>
        <v/>
      </c>
      <c r="P937">
        <f>IF('Loan Tape (S&amp;P)'!S937="Yes",
    1.15,
    1.00)</f>
        <v/>
      </c>
      <c r="Q937">
        <f>IF('Loan Tape (S&amp;P)'!V937="Yes",
    1.20,
    1.00)</f>
        <v/>
      </c>
      <c r="T937">
        <f>LET(
    payment_method,'Loan Tape (S&amp;P)'!P937,
    occupancy,'Loan Tape (S&amp;P)'!N937,
    maturity_date,'Loan Tape (S&amp;P)'!L937,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8">
      <c r="J938">
        <f>LET(
    lien,'Loan Tape (S&amp;P)'!Q938,
    IF(lien="First",1.00,
        IF(lien="Second",1.50,
            1.70)))</f>
        <v/>
      </c>
      <c r="K938">
        <f>LET(
    purpose,'Loan Tape (S&amp;P)'!R938,
    IF(purpose="Purchase",1.00,
        IF(purpose="Remortgage",1.00,
            1.20)))</f>
        <v/>
      </c>
      <c r="L938">
        <f>LET(
    arrears_months,'Loan Tape (S&amp;P)'!AN938,
    IF(arrears_months=0,1.00,
    IF(arrears_months=1,3.00,
    IF(arrears_months=2,5.00,
    IF(arrears_months=3,8.00,
    IF(arrears_months=4,10.00,
    IF(arrears_months=5,12.00,15.00)))))))</f>
        <v/>
      </c>
      <c r="M938">
        <f>LET(
    seasoning_years,DATEDIF('Loan Tape (S&amp;P)'!K938,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8">
        <f>IF(AND('Loan Tape (S&amp;P)'!U938="Yes",
        'Loan Tape (S&amp;P)'!T938&lt;&gt;"Yes",
        DATEDIF('Loan Tape (S&amp;P)'!K938, TODAY(), "M")&lt;18),
    1.10,
    1.00)</f>
        <v/>
      </c>
      <c r="O938">
        <f>IF('Loan Tape (S&amp;P)'!T938="Yes",
    1.35,
    1.00)</f>
        <v/>
      </c>
      <c r="P938">
        <f>IF('Loan Tape (S&amp;P)'!S938="Yes",
    1.15,
    1.00)</f>
        <v/>
      </c>
      <c r="Q938">
        <f>IF('Loan Tape (S&amp;P)'!V938="Yes",
    1.20,
    1.00)</f>
        <v/>
      </c>
      <c r="T938">
        <f>LET(
    payment_method,'Loan Tape (S&amp;P)'!P938,
    occupancy,'Loan Tape (S&amp;P)'!N938,
    maturity_date,'Loan Tape (S&amp;P)'!L938,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9">
      <c r="J939">
        <f>LET(
    lien,'Loan Tape (S&amp;P)'!Q939,
    IF(lien="First",1.00,
        IF(lien="Second",1.50,
            1.70)))</f>
        <v/>
      </c>
      <c r="K939">
        <f>LET(
    purpose,'Loan Tape (S&amp;P)'!R939,
    IF(purpose="Purchase",1.00,
        IF(purpose="Remortgage",1.00,
            1.20)))</f>
        <v/>
      </c>
      <c r="L939">
        <f>LET(
    arrears_months,'Loan Tape (S&amp;P)'!AN939,
    IF(arrears_months=0,1.00,
    IF(arrears_months=1,3.00,
    IF(arrears_months=2,5.00,
    IF(arrears_months=3,8.00,
    IF(arrears_months=4,10.00,
    IF(arrears_months=5,12.00,15.00)))))))</f>
        <v/>
      </c>
      <c r="M939">
        <f>LET(
    seasoning_years,DATEDIF('Loan Tape (S&amp;P)'!K939,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9">
        <f>IF(AND('Loan Tape (S&amp;P)'!U939="Yes",
        'Loan Tape (S&amp;P)'!T939&lt;&gt;"Yes",
        DATEDIF('Loan Tape (S&amp;P)'!K939, TODAY(), "M")&lt;18),
    1.10,
    1.00)</f>
        <v/>
      </c>
      <c r="O939">
        <f>IF('Loan Tape (S&amp;P)'!T939="Yes",
    1.35,
    1.00)</f>
        <v/>
      </c>
      <c r="P939">
        <f>IF('Loan Tape (S&amp;P)'!S939="Yes",
    1.15,
    1.00)</f>
        <v/>
      </c>
      <c r="Q939">
        <f>IF('Loan Tape (S&amp;P)'!V939="Yes",
    1.20,
    1.00)</f>
        <v/>
      </c>
      <c r="T939">
        <f>LET(
    payment_method,'Loan Tape (S&amp;P)'!P939,
    occupancy,'Loan Tape (S&amp;P)'!N939,
    maturity_date,'Loan Tape (S&amp;P)'!L939,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0">
      <c r="J940">
        <f>LET(
    lien,'Loan Tape (S&amp;P)'!Q940,
    IF(lien="First",1.00,
        IF(lien="Second",1.50,
            1.70)))</f>
        <v/>
      </c>
      <c r="K940">
        <f>LET(
    purpose,'Loan Tape (S&amp;P)'!R940,
    IF(purpose="Purchase",1.00,
        IF(purpose="Remortgage",1.00,
            1.20)))</f>
        <v/>
      </c>
      <c r="L940">
        <f>LET(
    arrears_months,'Loan Tape (S&amp;P)'!AN940,
    IF(arrears_months=0,1.00,
    IF(arrears_months=1,3.00,
    IF(arrears_months=2,5.00,
    IF(arrears_months=3,8.00,
    IF(arrears_months=4,10.00,
    IF(arrears_months=5,12.00,15.00)))))))</f>
        <v/>
      </c>
      <c r="M940">
        <f>LET(
    seasoning_years,DATEDIF('Loan Tape (S&amp;P)'!K940,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0">
        <f>IF(AND('Loan Tape (S&amp;P)'!U940="Yes",
        'Loan Tape (S&amp;P)'!T940&lt;&gt;"Yes",
        DATEDIF('Loan Tape (S&amp;P)'!K940, TODAY(), "M")&lt;18),
    1.10,
    1.00)</f>
        <v/>
      </c>
      <c r="O940">
        <f>IF('Loan Tape (S&amp;P)'!T940="Yes",
    1.35,
    1.00)</f>
        <v/>
      </c>
      <c r="P940">
        <f>IF('Loan Tape (S&amp;P)'!S940="Yes",
    1.15,
    1.00)</f>
        <v/>
      </c>
      <c r="Q940">
        <f>IF('Loan Tape (S&amp;P)'!V940="Yes",
    1.20,
    1.00)</f>
        <v/>
      </c>
      <c r="T940">
        <f>LET(
    payment_method,'Loan Tape (S&amp;P)'!P940,
    occupancy,'Loan Tape (S&amp;P)'!N940,
    maturity_date,'Loan Tape (S&amp;P)'!L940,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1">
      <c r="J941">
        <f>LET(
    lien,'Loan Tape (S&amp;P)'!Q941,
    IF(lien="First",1.00,
        IF(lien="Second",1.50,
            1.70)))</f>
        <v/>
      </c>
      <c r="K941">
        <f>LET(
    purpose,'Loan Tape (S&amp;P)'!R941,
    IF(purpose="Purchase",1.00,
        IF(purpose="Remortgage",1.00,
            1.20)))</f>
        <v/>
      </c>
      <c r="L941">
        <f>LET(
    arrears_months,'Loan Tape (S&amp;P)'!AN941,
    IF(arrears_months=0,1.00,
    IF(arrears_months=1,3.00,
    IF(arrears_months=2,5.00,
    IF(arrears_months=3,8.00,
    IF(arrears_months=4,10.00,
    IF(arrears_months=5,12.00,15.00)))))))</f>
        <v/>
      </c>
      <c r="M941">
        <f>LET(
    seasoning_years,DATEDIF('Loan Tape (S&amp;P)'!K941,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1">
        <f>IF(AND('Loan Tape (S&amp;P)'!U941="Yes",
        'Loan Tape (S&amp;P)'!T941&lt;&gt;"Yes",
        DATEDIF('Loan Tape (S&amp;P)'!K941, TODAY(), "M")&lt;18),
    1.10,
    1.00)</f>
        <v/>
      </c>
      <c r="O941">
        <f>IF('Loan Tape (S&amp;P)'!T941="Yes",
    1.35,
    1.00)</f>
        <v/>
      </c>
      <c r="P941">
        <f>IF('Loan Tape (S&amp;P)'!S941="Yes",
    1.15,
    1.00)</f>
        <v/>
      </c>
      <c r="Q941">
        <f>IF('Loan Tape (S&amp;P)'!V941="Yes",
    1.20,
    1.00)</f>
        <v/>
      </c>
      <c r="T941">
        <f>LET(
    payment_method,'Loan Tape (S&amp;P)'!P941,
    occupancy,'Loan Tape (S&amp;P)'!N941,
    maturity_date,'Loan Tape (S&amp;P)'!L941,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2">
      <c r="J942">
        <f>LET(
    lien,'Loan Tape (S&amp;P)'!Q942,
    IF(lien="First",1.00,
        IF(lien="Second",1.50,
            1.70)))</f>
        <v/>
      </c>
      <c r="K942">
        <f>LET(
    purpose,'Loan Tape (S&amp;P)'!R942,
    IF(purpose="Purchase",1.00,
        IF(purpose="Remortgage",1.00,
            1.20)))</f>
        <v/>
      </c>
      <c r="L942">
        <f>LET(
    arrears_months,'Loan Tape (S&amp;P)'!AN942,
    IF(arrears_months=0,1.00,
    IF(arrears_months=1,3.00,
    IF(arrears_months=2,5.00,
    IF(arrears_months=3,8.00,
    IF(arrears_months=4,10.00,
    IF(arrears_months=5,12.00,15.00)))))))</f>
        <v/>
      </c>
      <c r="M942">
        <f>LET(
    seasoning_years,DATEDIF('Loan Tape (S&amp;P)'!K942,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2">
        <f>IF(AND('Loan Tape (S&amp;P)'!U942="Yes",
        'Loan Tape (S&amp;P)'!T942&lt;&gt;"Yes",
        DATEDIF('Loan Tape (S&amp;P)'!K942, TODAY(), "M")&lt;18),
    1.10,
    1.00)</f>
        <v/>
      </c>
      <c r="O942">
        <f>IF('Loan Tape (S&amp;P)'!T942="Yes",
    1.35,
    1.00)</f>
        <v/>
      </c>
      <c r="P942">
        <f>IF('Loan Tape (S&amp;P)'!S942="Yes",
    1.15,
    1.00)</f>
        <v/>
      </c>
      <c r="Q942">
        <f>IF('Loan Tape (S&amp;P)'!V942="Yes",
    1.20,
    1.00)</f>
        <v/>
      </c>
      <c r="T942">
        <f>LET(
    payment_method,'Loan Tape (S&amp;P)'!P942,
    occupancy,'Loan Tape (S&amp;P)'!N942,
    maturity_date,'Loan Tape (S&amp;P)'!L942,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3">
      <c r="J943">
        <f>LET(
    lien,'Loan Tape (S&amp;P)'!Q943,
    IF(lien="First",1.00,
        IF(lien="Second",1.50,
            1.70)))</f>
        <v/>
      </c>
      <c r="K943">
        <f>LET(
    purpose,'Loan Tape (S&amp;P)'!R943,
    IF(purpose="Purchase",1.00,
        IF(purpose="Remortgage",1.00,
            1.20)))</f>
        <v/>
      </c>
      <c r="L943">
        <f>LET(
    arrears_months,'Loan Tape (S&amp;P)'!AN943,
    IF(arrears_months=0,1.00,
    IF(arrears_months=1,3.00,
    IF(arrears_months=2,5.00,
    IF(arrears_months=3,8.00,
    IF(arrears_months=4,10.00,
    IF(arrears_months=5,12.00,15.00)))))))</f>
        <v/>
      </c>
      <c r="M943">
        <f>LET(
    seasoning_years,DATEDIF('Loan Tape (S&amp;P)'!K943,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3">
        <f>IF(AND('Loan Tape (S&amp;P)'!U943="Yes",
        'Loan Tape (S&amp;P)'!T943&lt;&gt;"Yes",
        DATEDIF('Loan Tape (S&amp;P)'!K943, TODAY(), "M")&lt;18),
    1.10,
    1.00)</f>
        <v/>
      </c>
      <c r="O943">
        <f>IF('Loan Tape (S&amp;P)'!T943="Yes",
    1.35,
    1.00)</f>
        <v/>
      </c>
      <c r="P943">
        <f>IF('Loan Tape (S&amp;P)'!S943="Yes",
    1.15,
    1.00)</f>
        <v/>
      </c>
      <c r="Q943">
        <f>IF('Loan Tape (S&amp;P)'!V943="Yes",
    1.20,
    1.00)</f>
        <v/>
      </c>
      <c r="T943">
        <f>LET(
    payment_method,'Loan Tape (S&amp;P)'!P943,
    occupancy,'Loan Tape (S&amp;P)'!N943,
    maturity_date,'Loan Tape (S&amp;P)'!L943,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4">
      <c r="J944">
        <f>LET(
    lien,'Loan Tape (S&amp;P)'!Q944,
    IF(lien="First",1.00,
        IF(lien="Second",1.50,
            1.70)))</f>
        <v/>
      </c>
      <c r="K944">
        <f>LET(
    purpose,'Loan Tape (S&amp;P)'!R944,
    IF(purpose="Purchase",1.00,
        IF(purpose="Remortgage",1.00,
            1.20)))</f>
        <v/>
      </c>
      <c r="L944">
        <f>LET(
    arrears_months,'Loan Tape (S&amp;P)'!AN944,
    IF(arrears_months=0,1.00,
    IF(arrears_months=1,3.00,
    IF(arrears_months=2,5.00,
    IF(arrears_months=3,8.00,
    IF(arrears_months=4,10.00,
    IF(arrears_months=5,12.00,15.00)))))))</f>
        <v/>
      </c>
      <c r="M944">
        <f>LET(
    seasoning_years,DATEDIF('Loan Tape (S&amp;P)'!K944,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4">
        <f>IF(AND('Loan Tape (S&amp;P)'!U944="Yes",
        'Loan Tape (S&amp;P)'!T944&lt;&gt;"Yes",
        DATEDIF('Loan Tape (S&amp;P)'!K944, TODAY(), "M")&lt;18),
    1.10,
    1.00)</f>
        <v/>
      </c>
      <c r="O944">
        <f>IF('Loan Tape (S&amp;P)'!T944="Yes",
    1.35,
    1.00)</f>
        <v/>
      </c>
      <c r="P944">
        <f>IF('Loan Tape (S&amp;P)'!S944="Yes",
    1.15,
    1.00)</f>
        <v/>
      </c>
      <c r="Q944">
        <f>IF('Loan Tape (S&amp;P)'!V944="Yes",
    1.20,
    1.00)</f>
        <v/>
      </c>
      <c r="T944">
        <f>LET(
    payment_method,'Loan Tape (S&amp;P)'!P944,
    occupancy,'Loan Tape (S&amp;P)'!N944,
    maturity_date,'Loan Tape (S&amp;P)'!L944,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5">
      <c r="J945">
        <f>LET(
    lien,'Loan Tape (S&amp;P)'!Q945,
    IF(lien="First",1.00,
        IF(lien="Second",1.50,
            1.70)))</f>
        <v/>
      </c>
      <c r="K945">
        <f>LET(
    purpose,'Loan Tape (S&amp;P)'!R945,
    IF(purpose="Purchase",1.00,
        IF(purpose="Remortgage",1.00,
            1.20)))</f>
        <v/>
      </c>
      <c r="L945">
        <f>LET(
    arrears_months,'Loan Tape (S&amp;P)'!AN945,
    IF(arrears_months=0,1.00,
    IF(arrears_months=1,3.00,
    IF(arrears_months=2,5.00,
    IF(arrears_months=3,8.00,
    IF(arrears_months=4,10.00,
    IF(arrears_months=5,12.00,15.00)))))))</f>
        <v/>
      </c>
      <c r="M945">
        <f>LET(
    seasoning_years,DATEDIF('Loan Tape (S&amp;P)'!K945,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5">
        <f>IF(AND('Loan Tape (S&amp;P)'!U945="Yes",
        'Loan Tape (S&amp;P)'!T945&lt;&gt;"Yes",
        DATEDIF('Loan Tape (S&amp;P)'!K945, TODAY(), "M")&lt;18),
    1.10,
    1.00)</f>
        <v/>
      </c>
      <c r="O945">
        <f>IF('Loan Tape (S&amp;P)'!T945="Yes",
    1.35,
    1.00)</f>
        <v/>
      </c>
      <c r="P945">
        <f>IF('Loan Tape (S&amp;P)'!S945="Yes",
    1.15,
    1.00)</f>
        <v/>
      </c>
      <c r="Q945">
        <f>IF('Loan Tape (S&amp;P)'!V945="Yes",
    1.20,
    1.00)</f>
        <v/>
      </c>
      <c r="T945">
        <f>LET(
    payment_method,'Loan Tape (S&amp;P)'!P945,
    occupancy,'Loan Tape (S&amp;P)'!N945,
    maturity_date,'Loan Tape (S&amp;P)'!L945,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6">
      <c r="J946">
        <f>LET(
    lien,'Loan Tape (S&amp;P)'!Q946,
    IF(lien="First",1.00,
        IF(lien="Second",1.50,
            1.70)))</f>
        <v/>
      </c>
      <c r="K946">
        <f>LET(
    purpose,'Loan Tape (S&amp;P)'!R946,
    IF(purpose="Purchase",1.00,
        IF(purpose="Remortgage",1.00,
            1.20)))</f>
        <v/>
      </c>
      <c r="L946">
        <f>LET(
    arrears_months,'Loan Tape (S&amp;P)'!AN946,
    IF(arrears_months=0,1.00,
    IF(arrears_months=1,3.00,
    IF(arrears_months=2,5.00,
    IF(arrears_months=3,8.00,
    IF(arrears_months=4,10.00,
    IF(arrears_months=5,12.00,15.00)))))))</f>
        <v/>
      </c>
      <c r="M946">
        <f>LET(
    seasoning_years,DATEDIF('Loan Tape (S&amp;P)'!K946,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6">
        <f>IF(AND('Loan Tape (S&amp;P)'!U946="Yes",
        'Loan Tape (S&amp;P)'!T946&lt;&gt;"Yes",
        DATEDIF('Loan Tape (S&amp;P)'!K946, TODAY(), "M")&lt;18),
    1.10,
    1.00)</f>
        <v/>
      </c>
      <c r="O946">
        <f>IF('Loan Tape (S&amp;P)'!T946="Yes",
    1.35,
    1.00)</f>
        <v/>
      </c>
      <c r="P946">
        <f>IF('Loan Tape (S&amp;P)'!S946="Yes",
    1.15,
    1.00)</f>
        <v/>
      </c>
      <c r="Q946">
        <f>IF('Loan Tape (S&amp;P)'!V946="Yes",
    1.20,
    1.00)</f>
        <v/>
      </c>
      <c r="T946">
        <f>LET(
    payment_method,'Loan Tape (S&amp;P)'!P946,
    occupancy,'Loan Tape (S&amp;P)'!N946,
    maturity_date,'Loan Tape (S&amp;P)'!L946,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7">
      <c r="J947">
        <f>LET(
    lien,'Loan Tape (S&amp;P)'!Q947,
    IF(lien="First",1.00,
        IF(lien="Second",1.50,
            1.70)))</f>
        <v/>
      </c>
      <c r="K947">
        <f>LET(
    purpose,'Loan Tape (S&amp;P)'!R947,
    IF(purpose="Purchase",1.00,
        IF(purpose="Remortgage",1.00,
            1.20)))</f>
        <v/>
      </c>
      <c r="L947">
        <f>LET(
    arrears_months,'Loan Tape (S&amp;P)'!AN947,
    IF(arrears_months=0,1.00,
    IF(arrears_months=1,3.00,
    IF(arrears_months=2,5.00,
    IF(arrears_months=3,8.00,
    IF(arrears_months=4,10.00,
    IF(arrears_months=5,12.00,15.00)))))))</f>
        <v/>
      </c>
      <c r="M947">
        <f>LET(
    seasoning_years,DATEDIF('Loan Tape (S&amp;P)'!K947,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7">
        <f>IF(AND('Loan Tape (S&amp;P)'!U947="Yes",
        'Loan Tape (S&amp;P)'!T947&lt;&gt;"Yes",
        DATEDIF('Loan Tape (S&amp;P)'!K947, TODAY(), "M")&lt;18),
    1.10,
    1.00)</f>
        <v/>
      </c>
      <c r="O947">
        <f>IF('Loan Tape (S&amp;P)'!T947="Yes",
    1.35,
    1.00)</f>
        <v/>
      </c>
      <c r="P947">
        <f>IF('Loan Tape (S&amp;P)'!S947="Yes",
    1.15,
    1.00)</f>
        <v/>
      </c>
      <c r="Q947">
        <f>IF('Loan Tape (S&amp;P)'!V947="Yes",
    1.20,
    1.00)</f>
        <v/>
      </c>
      <c r="T947">
        <f>LET(
    payment_method,'Loan Tape (S&amp;P)'!P947,
    occupancy,'Loan Tape (S&amp;P)'!N947,
    maturity_date,'Loan Tape (S&amp;P)'!L947,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8">
      <c r="J948">
        <f>LET(
    lien,'Loan Tape (S&amp;P)'!Q948,
    IF(lien="First",1.00,
        IF(lien="Second",1.50,
            1.70)))</f>
        <v/>
      </c>
      <c r="K948">
        <f>LET(
    purpose,'Loan Tape (S&amp;P)'!R948,
    IF(purpose="Purchase",1.00,
        IF(purpose="Remortgage",1.00,
            1.20)))</f>
        <v/>
      </c>
      <c r="L948">
        <f>LET(
    arrears_months,'Loan Tape (S&amp;P)'!AN948,
    IF(arrears_months=0,1.00,
    IF(arrears_months=1,3.00,
    IF(arrears_months=2,5.00,
    IF(arrears_months=3,8.00,
    IF(arrears_months=4,10.00,
    IF(arrears_months=5,12.00,15.00)))))))</f>
        <v/>
      </c>
      <c r="M948">
        <f>LET(
    seasoning_years,DATEDIF('Loan Tape (S&amp;P)'!K948,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8">
        <f>IF(AND('Loan Tape (S&amp;P)'!U948="Yes",
        'Loan Tape (S&amp;P)'!T948&lt;&gt;"Yes",
        DATEDIF('Loan Tape (S&amp;P)'!K948, TODAY(), "M")&lt;18),
    1.10,
    1.00)</f>
        <v/>
      </c>
      <c r="O948">
        <f>IF('Loan Tape (S&amp;P)'!T948="Yes",
    1.35,
    1.00)</f>
        <v/>
      </c>
      <c r="P948">
        <f>IF('Loan Tape (S&amp;P)'!S948="Yes",
    1.15,
    1.00)</f>
        <v/>
      </c>
      <c r="Q948">
        <f>IF('Loan Tape (S&amp;P)'!V948="Yes",
    1.20,
    1.00)</f>
        <v/>
      </c>
      <c r="T948">
        <f>LET(
    payment_method,'Loan Tape (S&amp;P)'!P948,
    occupancy,'Loan Tape (S&amp;P)'!N948,
    maturity_date,'Loan Tape (S&amp;P)'!L948,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9">
      <c r="J949">
        <f>LET(
    lien,'Loan Tape (S&amp;P)'!Q949,
    IF(lien="First",1.00,
        IF(lien="Second",1.50,
            1.70)))</f>
        <v/>
      </c>
      <c r="K949">
        <f>LET(
    purpose,'Loan Tape (S&amp;P)'!R949,
    IF(purpose="Purchase",1.00,
        IF(purpose="Remortgage",1.00,
            1.20)))</f>
        <v/>
      </c>
      <c r="L949">
        <f>LET(
    arrears_months,'Loan Tape (S&amp;P)'!AN949,
    IF(arrears_months=0,1.00,
    IF(arrears_months=1,3.00,
    IF(arrears_months=2,5.00,
    IF(arrears_months=3,8.00,
    IF(arrears_months=4,10.00,
    IF(arrears_months=5,12.00,15.00)))))))</f>
        <v/>
      </c>
      <c r="M949">
        <f>LET(
    seasoning_years,DATEDIF('Loan Tape (S&amp;P)'!K949,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9">
        <f>IF(AND('Loan Tape (S&amp;P)'!U949="Yes",
        'Loan Tape (S&amp;P)'!T949&lt;&gt;"Yes",
        DATEDIF('Loan Tape (S&amp;P)'!K949, TODAY(), "M")&lt;18),
    1.10,
    1.00)</f>
        <v/>
      </c>
      <c r="O949">
        <f>IF('Loan Tape (S&amp;P)'!T949="Yes",
    1.35,
    1.00)</f>
        <v/>
      </c>
      <c r="P949">
        <f>IF('Loan Tape (S&amp;P)'!S949="Yes",
    1.15,
    1.00)</f>
        <v/>
      </c>
      <c r="Q949">
        <f>IF('Loan Tape (S&amp;P)'!V949="Yes",
    1.20,
    1.00)</f>
        <v/>
      </c>
      <c r="T949">
        <f>LET(
    payment_method,'Loan Tape (S&amp;P)'!P949,
    occupancy,'Loan Tape (S&amp;P)'!N949,
    maturity_date,'Loan Tape (S&amp;P)'!L949,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0">
      <c r="J950">
        <f>LET(
    lien,'Loan Tape (S&amp;P)'!Q950,
    IF(lien="First",1.00,
        IF(lien="Second",1.50,
            1.70)))</f>
        <v/>
      </c>
      <c r="K950">
        <f>LET(
    purpose,'Loan Tape (S&amp;P)'!R950,
    IF(purpose="Purchase",1.00,
        IF(purpose="Remortgage",1.00,
            1.20)))</f>
        <v/>
      </c>
      <c r="L950">
        <f>LET(
    arrears_months,'Loan Tape (S&amp;P)'!AN950,
    IF(arrears_months=0,1.00,
    IF(arrears_months=1,3.00,
    IF(arrears_months=2,5.00,
    IF(arrears_months=3,8.00,
    IF(arrears_months=4,10.00,
    IF(arrears_months=5,12.00,15.00)))))))</f>
        <v/>
      </c>
      <c r="M950">
        <f>LET(
    seasoning_years,DATEDIF('Loan Tape (S&amp;P)'!K950,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0">
        <f>IF(AND('Loan Tape (S&amp;P)'!U950="Yes",
        'Loan Tape (S&amp;P)'!T950&lt;&gt;"Yes",
        DATEDIF('Loan Tape (S&amp;P)'!K950, TODAY(), "M")&lt;18),
    1.10,
    1.00)</f>
        <v/>
      </c>
      <c r="O950">
        <f>IF('Loan Tape (S&amp;P)'!T950="Yes",
    1.35,
    1.00)</f>
        <v/>
      </c>
      <c r="P950">
        <f>IF('Loan Tape (S&amp;P)'!S950="Yes",
    1.15,
    1.00)</f>
        <v/>
      </c>
      <c r="Q950">
        <f>IF('Loan Tape (S&amp;P)'!V950="Yes",
    1.20,
    1.00)</f>
        <v/>
      </c>
      <c r="T950">
        <f>LET(
    payment_method,'Loan Tape (S&amp;P)'!P950,
    occupancy,'Loan Tape (S&amp;P)'!N950,
    maturity_date,'Loan Tape (S&amp;P)'!L950,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1">
      <c r="J951">
        <f>LET(
    lien,'Loan Tape (S&amp;P)'!Q951,
    IF(lien="First",1.00,
        IF(lien="Second",1.50,
            1.70)))</f>
        <v/>
      </c>
      <c r="K951">
        <f>LET(
    purpose,'Loan Tape (S&amp;P)'!R951,
    IF(purpose="Purchase",1.00,
        IF(purpose="Remortgage",1.00,
            1.20)))</f>
        <v/>
      </c>
      <c r="L951">
        <f>LET(
    arrears_months,'Loan Tape (S&amp;P)'!AN951,
    IF(arrears_months=0,1.00,
    IF(arrears_months=1,3.00,
    IF(arrears_months=2,5.00,
    IF(arrears_months=3,8.00,
    IF(arrears_months=4,10.00,
    IF(arrears_months=5,12.00,15.00)))))))</f>
        <v/>
      </c>
      <c r="M951">
        <f>LET(
    seasoning_years,DATEDIF('Loan Tape (S&amp;P)'!K951,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1">
        <f>IF(AND('Loan Tape (S&amp;P)'!U951="Yes",
        'Loan Tape (S&amp;P)'!T951&lt;&gt;"Yes",
        DATEDIF('Loan Tape (S&amp;P)'!K951, TODAY(), "M")&lt;18),
    1.10,
    1.00)</f>
        <v/>
      </c>
      <c r="O951">
        <f>IF('Loan Tape (S&amp;P)'!T951="Yes",
    1.35,
    1.00)</f>
        <v/>
      </c>
      <c r="P951">
        <f>IF('Loan Tape (S&amp;P)'!S951="Yes",
    1.15,
    1.00)</f>
        <v/>
      </c>
      <c r="Q951">
        <f>IF('Loan Tape (S&amp;P)'!V951="Yes",
    1.20,
    1.00)</f>
        <v/>
      </c>
      <c r="T951">
        <f>LET(
    payment_method,'Loan Tape (S&amp;P)'!P951,
    occupancy,'Loan Tape (S&amp;P)'!N951,
    maturity_date,'Loan Tape (S&amp;P)'!L951,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2">
      <c r="J952">
        <f>LET(
    lien,'Loan Tape (S&amp;P)'!Q952,
    IF(lien="First",1.00,
        IF(lien="Second",1.50,
            1.70)))</f>
        <v/>
      </c>
      <c r="K952">
        <f>LET(
    purpose,'Loan Tape (S&amp;P)'!R952,
    IF(purpose="Purchase",1.00,
        IF(purpose="Remortgage",1.00,
            1.20)))</f>
        <v/>
      </c>
      <c r="L952">
        <f>LET(
    arrears_months,'Loan Tape (S&amp;P)'!AN952,
    IF(arrears_months=0,1.00,
    IF(arrears_months=1,3.00,
    IF(arrears_months=2,5.00,
    IF(arrears_months=3,8.00,
    IF(arrears_months=4,10.00,
    IF(arrears_months=5,12.00,15.00)))))))</f>
        <v/>
      </c>
      <c r="M952">
        <f>LET(
    seasoning_years,DATEDIF('Loan Tape (S&amp;P)'!K952,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2">
        <f>IF(AND('Loan Tape (S&amp;P)'!U952="Yes",
        'Loan Tape (S&amp;P)'!T952&lt;&gt;"Yes",
        DATEDIF('Loan Tape (S&amp;P)'!K952, TODAY(), "M")&lt;18),
    1.10,
    1.00)</f>
        <v/>
      </c>
      <c r="O952">
        <f>IF('Loan Tape (S&amp;P)'!T952="Yes",
    1.35,
    1.00)</f>
        <v/>
      </c>
      <c r="P952">
        <f>IF('Loan Tape (S&amp;P)'!S952="Yes",
    1.15,
    1.00)</f>
        <v/>
      </c>
      <c r="Q952">
        <f>IF('Loan Tape (S&amp;P)'!V952="Yes",
    1.20,
    1.00)</f>
        <v/>
      </c>
      <c r="T952">
        <f>LET(
    payment_method,'Loan Tape (S&amp;P)'!P952,
    occupancy,'Loan Tape (S&amp;P)'!N952,
    maturity_date,'Loan Tape (S&amp;P)'!L952,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3">
      <c r="J953">
        <f>LET(
    lien,'Loan Tape (S&amp;P)'!Q953,
    IF(lien="First",1.00,
        IF(lien="Second",1.50,
            1.70)))</f>
        <v/>
      </c>
      <c r="K953">
        <f>LET(
    purpose,'Loan Tape (S&amp;P)'!R953,
    IF(purpose="Purchase",1.00,
        IF(purpose="Remortgage",1.00,
            1.20)))</f>
        <v/>
      </c>
      <c r="L953">
        <f>LET(
    arrears_months,'Loan Tape (S&amp;P)'!AN953,
    IF(arrears_months=0,1.00,
    IF(arrears_months=1,3.00,
    IF(arrears_months=2,5.00,
    IF(arrears_months=3,8.00,
    IF(arrears_months=4,10.00,
    IF(arrears_months=5,12.00,15.00)))))))</f>
        <v/>
      </c>
      <c r="M953">
        <f>LET(
    seasoning_years,DATEDIF('Loan Tape (S&amp;P)'!K953,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3">
        <f>IF(AND('Loan Tape (S&amp;P)'!U953="Yes",
        'Loan Tape (S&amp;P)'!T953&lt;&gt;"Yes",
        DATEDIF('Loan Tape (S&amp;P)'!K953, TODAY(), "M")&lt;18),
    1.10,
    1.00)</f>
        <v/>
      </c>
      <c r="O953">
        <f>IF('Loan Tape (S&amp;P)'!T953="Yes",
    1.35,
    1.00)</f>
        <v/>
      </c>
      <c r="P953">
        <f>IF('Loan Tape (S&amp;P)'!S953="Yes",
    1.15,
    1.00)</f>
        <v/>
      </c>
      <c r="Q953">
        <f>IF('Loan Tape (S&amp;P)'!V953="Yes",
    1.20,
    1.00)</f>
        <v/>
      </c>
      <c r="T953">
        <f>LET(
    payment_method,'Loan Tape (S&amp;P)'!P953,
    occupancy,'Loan Tape (S&amp;P)'!N953,
    maturity_date,'Loan Tape (S&amp;P)'!L953,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4">
      <c r="J954">
        <f>LET(
    lien,'Loan Tape (S&amp;P)'!Q954,
    IF(lien="First",1.00,
        IF(lien="Second",1.50,
            1.70)))</f>
        <v/>
      </c>
      <c r="K954">
        <f>LET(
    purpose,'Loan Tape (S&amp;P)'!R954,
    IF(purpose="Purchase",1.00,
        IF(purpose="Remortgage",1.00,
            1.20)))</f>
        <v/>
      </c>
      <c r="L954">
        <f>LET(
    arrears_months,'Loan Tape (S&amp;P)'!AN954,
    IF(arrears_months=0,1.00,
    IF(arrears_months=1,3.00,
    IF(arrears_months=2,5.00,
    IF(arrears_months=3,8.00,
    IF(arrears_months=4,10.00,
    IF(arrears_months=5,12.00,15.00)))))))</f>
        <v/>
      </c>
      <c r="M954">
        <f>LET(
    seasoning_years,DATEDIF('Loan Tape (S&amp;P)'!K954,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4">
        <f>IF(AND('Loan Tape (S&amp;P)'!U954="Yes",
        'Loan Tape (S&amp;P)'!T954&lt;&gt;"Yes",
        DATEDIF('Loan Tape (S&amp;P)'!K954, TODAY(), "M")&lt;18),
    1.10,
    1.00)</f>
        <v/>
      </c>
      <c r="O954">
        <f>IF('Loan Tape (S&amp;P)'!T954="Yes",
    1.35,
    1.00)</f>
        <v/>
      </c>
      <c r="P954">
        <f>IF('Loan Tape (S&amp;P)'!S954="Yes",
    1.15,
    1.00)</f>
        <v/>
      </c>
      <c r="Q954">
        <f>IF('Loan Tape (S&amp;P)'!V954="Yes",
    1.20,
    1.00)</f>
        <v/>
      </c>
      <c r="T954">
        <f>LET(
    payment_method,'Loan Tape (S&amp;P)'!P954,
    occupancy,'Loan Tape (S&amp;P)'!N954,
    maturity_date,'Loan Tape (S&amp;P)'!L954,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5">
      <c r="J955">
        <f>LET(
    lien,'Loan Tape (S&amp;P)'!Q955,
    IF(lien="First",1.00,
        IF(lien="Second",1.50,
            1.70)))</f>
        <v/>
      </c>
      <c r="K955">
        <f>LET(
    purpose,'Loan Tape (S&amp;P)'!R955,
    IF(purpose="Purchase",1.00,
        IF(purpose="Remortgage",1.00,
            1.20)))</f>
        <v/>
      </c>
      <c r="L955">
        <f>LET(
    arrears_months,'Loan Tape (S&amp;P)'!AN955,
    IF(arrears_months=0,1.00,
    IF(arrears_months=1,3.00,
    IF(arrears_months=2,5.00,
    IF(arrears_months=3,8.00,
    IF(arrears_months=4,10.00,
    IF(arrears_months=5,12.00,15.00)))))))</f>
        <v/>
      </c>
      <c r="M955">
        <f>LET(
    seasoning_years,DATEDIF('Loan Tape (S&amp;P)'!K955,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5">
        <f>IF(AND('Loan Tape (S&amp;P)'!U955="Yes",
        'Loan Tape (S&amp;P)'!T955&lt;&gt;"Yes",
        DATEDIF('Loan Tape (S&amp;P)'!K955, TODAY(), "M")&lt;18),
    1.10,
    1.00)</f>
        <v/>
      </c>
      <c r="O955">
        <f>IF('Loan Tape (S&amp;P)'!T955="Yes",
    1.35,
    1.00)</f>
        <v/>
      </c>
      <c r="P955">
        <f>IF('Loan Tape (S&amp;P)'!S955="Yes",
    1.15,
    1.00)</f>
        <v/>
      </c>
      <c r="Q955">
        <f>IF('Loan Tape (S&amp;P)'!V955="Yes",
    1.20,
    1.00)</f>
        <v/>
      </c>
      <c r="T955">
        <f>LET(
    payment_method,'Loan Tape (S&amp;P)'!P955,
    occupancy,'Loan Tape (S&amp;P)'!N955,
    maturity_date,'Loan Tape (S&amp;P)'!L955,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6">
      <c r="J956">
        <f>LET(
    lien,'Loan Tape (S&amp;P)'!Q956,
    IF(lien="First",1.00,
        IF(lien="Second",1.50,
            1.70)))</f>
        <v/>
      </c>
      <c r="K956">
        <f>LET(
    purpose,'Loan Tape (S&amp;P)'!R956,
    IF(purpose="Purchase",1.00,
        IF(purpose="Remortgage",1.00,
            1.20)))</f>
        <v/>
      </c>
      <c r="L956">
        <f>LET(
    arrears_months,'Loan Tape (S&amp;P)'!AN956,
    IF(arrears_months=0,1.00,
    IF(arrears_months=1,3.00,
    IF(arrears_months=2,5.00,
    IF(arrears_months=3,8.00,
    IF(arrears_months=4,10.00,
    IF(arrears_months=5,12.00,15.00)))))))</f>
        <v/>
      </c>
      <c r="M956">
        <f>LET(
    seasoning_years,DATEDIF('Loan Tape (S&amp;P)'!K956,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6">
        <f>IF(AND('Loan Tape (S&amp;P)'!U956="Yes",
        'Loan Tape (S&amp;P)'!T956&lt;&gt;"Yes",
        DATEDIF('Loan Tape (S&amp;P)'!K956, TODAY(), "M")&lt;18),
    1.10,
    1.00)</f>
        <v/>
      </c>
      <c r="O956">
        <f>IF('Loan Tape (S&amp;P)'!T956="Yes",
    1.35,
    1.00)</f>
        <v/>
      </c>
      <c r="P956">
        <f>IF('Loan Tape (S&amp;P)'!S956="Yes",
    1.15,
    1.00)</f>
        <v/>
      </c>
      <c r="Q956">
        <f>IF('Loan Tape (S&amp;P)'!V956="Yes",
    1.20,
    1.00)</f>
        <v/>
      </c>
      <c r="T956">
        <f>LET(
    payment_method,'Loan Tape (S&amp;P)'!P956,
    occupancy,'Loan Tape (S&amp;P)'!N956,
    maturity_date,'Loan Tape (S&amp;P)'!L956,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7">
      <c r="J957">
        <f>LET(
    lien,'Loan Tape (S&amp;P)'!Q957,
    IF(lien="First",1.00,
        IF(lien="Second",1.50,
            1.70)))</f>
        <v/>
      </c>
      <c r="K957">
        <f>LET(
    purpose,'Loan Tape (S&amp;P)'!R957,
    IF(purpose="Purchase",1.00,
        IF(purpose="Remortgage",1.00,
            1.20)))</f>
        <v/>
      </c>
      <c r="L957">
        <f>LET(
    arrears_months,'Loan Tape (S&amp;P)'!AN957,
    IF(arrears_months=0,1.00,
    IF(arrears_months=1,3.00,
    IF(arrears_months=2,5.00,
    IF(arrears_months=3,8.00,
    IF(arrears_months=4,10.00,
    IF(arrears_months=5,12.00,15.00)))))))</f>
        <v/>
      </c>
      <c r="M957">
        <f>LET(
    seasoning_years,DATEDIF('Loan Tape (S&amp;P)'!K957,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7">
        <f>IF(AND('Loan Tape (S&amp;P)'!U957="Yes",
        'Loan Tape (S&amp;P)'!T957&lt;&gt;"Yes",
        DATEDIF('Loan Tape (S&amp;P)'!K957, TODAY(), "M")&lt;18),
    1.10,
    1.00)</f>
        <v/>
      </c>
      <c r="O957">
        <f>IF('Loan Tape (S&amp;P)'!T957="Yes",
    1.35,
    1.00)</f>
        <v/>
      </c>
      <c r="P957">
        <f>IF('Loan Tape (S&amp;P)'!S957="Yes",
    1.15,
    1.00)</f>
        <v/>
      </c>
      <c r="Q957">
        <f>IF('Loan Tape (S&amp;P)'!V957="Yes",
    1.20,
    1.00)</f>
        <v/>
      </c>
      <c r="T957">
        <f>LET(
    payment_method,'Loan Tape (S&amp;P)'!P957,
    occupancy,'Loan Tape (S&amp;P)'!N957,
    maturity_date,'Loan Tape (S&amp;P)'!L957,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8">
      <c r="J958">
        <f>LET(
    lien,'Loan Tape (S&amp;P)'!Q958,
    IF(lien="First",1.00,
        IF(lien="Second",1.50,
            1.70)))</f>
        <v/>
      </c>
      <c r="K958">
        <f>LET(
    purpose,'Loan Tape (S&amp;P)'!R958,
    IF(purpose="Purchase",1.00,
        IF(purpose="Remortgage",1.00,
            1.20)))</f>
        <v/>
      </c>
      <c r="L958">
        <f>LET(
    arrears_months,'Loan Tape (S&amp;P)'!AN958,
    IF(arrears_months=0,1.00,
    IF(arrears_months=1,3.00,
    IF(arrears_months=2,5.00,
    IF(arrears_months=3,8.00,
    IF(arrears_months=4,10.00,
    IF(arrears_months=5,12.00,15.00)))))))</f>
        <v/>
      </c>
      <c r="M958">
        <f>LET(
    seasoning_years,DATEDIF('Loan Tape (S&amp;P)'!K958,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8">
        <f>IF(AND('Loan Tape (S&amp;P)'!U958="Yes",
        'Loan Tape (S&amp;P)'!T958&lt;&gt;"Yes",
        DATEDIF('Loan Tape (S&amp;P)'!K958, TODAY(), "M")&lt;18),
    1.10,
    1.00)</f>
        <v/>
      </c>
      <c r="O958">
        <f>IF('Loan Tape (S&amp;P)'!T958="Yes",
    1.35,
    1.00)</f>
        <v/>
      </c>
      <c r="P958">
        <f>IF('Loan Tape (S&amp;P)'!S958="Yes",
    1.15,
    1.00)</f>
        <v/>
      </c>
      <c r="Q958">
        <f>IF('Loan Tape (S&amp;P)'!V958="Yes",
    1.20,
    1.00)</f>
        <v/>
      </c>
      <c r="T958">
        <f>LET(
    payment_method,'Loan Tape (S&amp;P)'!P958,
    occupancy,'Loan Tape (S&amp;P)'!N958,
    maturity_date,'Loan Tape (S&amp;P)'!L958,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9">
      <c r="J959">
        <f>LET(
    lien,'Loan Tape (S&amp;P)'!Q959,
    IF(lien="First",1.00,
        IF(lien="Second",1.50,
            1.70)))</f>
        <v/>
      </c>
      <c r="K959">
        <f>LET(
    purpose,'Loan Tape (S&amp;P)'!R959,
    IF(purpose="Purchase",1.00,
        IF(purpose="Remortgage",1.00,
            1.20)))</f>
        <v/>
      </c>
      <c r="L959">
        <f>LET(
    arrears_months,'Loan Tape (S&amp;P)'!AN959,
    IF(arrears_months=0,1.00,
    IF(arrears_months=1,3.00,
    IF(arrears_months=2,5.00,
    IF(arrears_months=3,8.00,
    IF(arrears_months=4,10.00,
    IF(arrears_months=5,12.00,15.00)))))))</f>
        <v/>
      </c>
      <c r="M959">
        <f>LET(
    seasoning_years,DATEDIF('Loan Tape (S&amp;P)'!K959,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9">
        <f>IF(AND('Loan Tape (S&amp;P)'!U959="Yes",
        'Loan Tape (S&amp;P)'!T959&lt;&gt;"Yes",
        DATEDIF('Loan Tape (S&amp;P)'!K959, TODAY(), "M")&lt;18),
    1.10,
    1.00)</f>
        <v/>
      </c>
      <c r="O959">
        <f>IF('Loan Tape (S&amp;P)'!T959="Yes",
    1.35,
    1.00)</f>
        <v/>
      </c>
      <c r="P959">
        <f>IF('Loan Tape (S&amp;P)'!S959="Yes",
    1.15,
    1.00)</f>
        <v/>
      </c>
      <c r="Q959">
        <f>IF('Loan Tape (S&amp;P)'!V959="Yes",
    1.20,
    1.00)</f>
        <v/>
      </c>
      <c r="T959">
        <f>LET(
    payment_method,'Loan Tape (S&amp;P)'!P959,
    occupancy,'Loan Tape (S&amp;P)'!N959,
    maturity_date,'Loan Tape (S&amp;P)'!L959,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0">
      <c r="J960">
        <f>LET(
    lien,'Loan Tape (S&amp;P)'!Q960,
    IF(lien="First",1.00,
        IF(lien="Second",1.50,
            1.70)))</f>
        <v/>
      </c>
      <c r="K960">
        <f>LET(
    purpose,'Loan Tape (S&amp;P)'!R960,
    IF(purpose="Purchase",1.00,
        IF(purpose="Remortgage",1.00,
            1.20)))</f>
        <v/>
      </c>
      <c r="L960">
        <f>LET(
    arrears_months,'Loan Tape (S&amp;P)'!AN960,
    IF(arrears_months=0,1.00,
    IF(arrears_months=1,3.00,
    IF(arrears_months=2,5.00,
    IF(arrears_months=3,8.00,
    IF(arrears_months=4,10.00,
    IF(arrears_months=5,12.00,15.00)))))))</f>
        <v/>
      </c>
      <c r="M960">
        <f>LET(
    seasoning_years,DATEDIF('Loan Tape (S&amp;P)'!K960,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0">
        <f>IF(AND('Loan Tape (S&amp;P)'!U960="Yes",
        'Loan Tape (S&amp;P)'!T960&lt;&gt;"Yes",
        DATEDIF('Loan Tape (S&amp;P)'!K960, TODAY(), "M")&lt;18),
    1.10,
    1.00)</f>
        <v/>
      </c>
      <c r="O960">
        <f>IF('Loan Tape (S&amp;P)'!T960="Yes",
    1.35,
    1.00)</f>
        <v/>
      </c>
      <c r="P960">
        <f>IF('Loan Tape (S&amp;P)'!S960="Yes",
    1.15,
    1.00)</f>
        <v/>
      </c>
      <c r="Q960">
        <f>IF('Loan Tape (S&amp;P)'!V960="Yes",
    1.20,
    1.00)</f>
        <v/>
      </c>
      <c r="T960">
        <f>LET(
    payment_method,'Loan Tape (S&amp;P)'!P960,
    occupancy,'Loan Tape (S&amp;P)'!N960,
    maturity_date,'Loan Tape (S&amp;P)'!L960,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1">
      <c r="J961">
        <f>LET(
    lien,'Loan Tape (S&amp;P)'!Q961,
    IF(lien="First",1.00,
        IF(lien="Second",1.50,
            1.70)))</f>
        <v/>
      </c>
      <c r="K961">
        <f>LET(
    purpose,'Loan Tape (S&amp;P)'!R961,
    IF(purpose="Purchase",1.00,
        IF(purpose="Remortgage",1.00,
            1.20)))</f>
        <v/>
      </c>
      <c r="L961">
        <f>LET(
    arrears_months,'Loan Tape (S&amp;P)'!AN961,
    IF(arrears_months=0,1.00,
    IF(arrears_months=1,3.00,
    IF(arrears_months=2,5.00,
    IF(arrears_months=3,8.00,
    IF(arrears_months=4,10.00,
    IF(arrears_months=5,12.00,15.00)))))))</f>
        <v/>
      </c>
      <c r="M961">
        <f>LET(
    seasoning_years,DATEDIF('Loan Tape (S&amp;P)'!K961,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1">
        <f>IF(AND('Loan Tape (S&amp;P)'!U961="Yes",
        'Loan Tape (S&amp;P)'!T961&lt;&gt;"Yes",
        DATEDIF('Loan Tape (S&amp;P)'!K961, TODAY(), "M")&lt;18),
    1.10,
    1.00)</f>
        <v/>
      </c>
      <c r="O961">
        <f>IF('Loan Tape (S&amp;P)'!T961="Yes",
    1.35,
    1.00)</f>
        <v/>
      </c>
      <c r="P961">
        <f>IF('Loan Tape (S&amp;P)'!S961="Yes",
    1.15,
    1.00)</f>
        <v/>
      </c>
      <c r="Q961">
        <f>IF('Loan Tape (S&amp;P)'!V961="Yes",
    1.20,
    1.00)</f>
        <v/>
      </c>
      <c r="T961">
        <f>LET(
    payment_method,'Loan Tape (S&amp;P)'!P961,
    occupancy,'Loan Tape (S&amp;P)'!N961,
    maturity_date,'Loan Tape (S&amp;P)'!L961,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2">
      <c r="J962">
        <f>LET(
    lien,'Loan Tape (S&amp;P)'!Q962,
    IF(lien="First",1.00,
        IF(lien="Second",1.50,
            1.70)))</f>
        <v/>
      </c>
      <c r="K962">
        <f>LET(
    purpose,'Loan Tape (S&amp;P)'!R962,
    IF(purpose="Purchase",1.00,
        IF(purpose="Remortgage",1.00,
            1.20)))</f>
        <v/>
      </c>
      <c r="L962">
        <f>LET(
    arrears_months,'Loan Tape (S&amp;P)'!AN962,
    IF(arrears_months=0,1.00,
    IF(arrears_months=1,3.00,
    IF(arrears_months=2,5.00,
    IF(arrears_months=3,8.00,
    IF(arrears_months=4,10.00,
    IF(arrears_months=5,12.00,15.00)))))))</f>
        <v/>
      </c>
      <c r="M962">
        <f>LET(
    seasoning_years,DATEDIF('Loan Tape (S&amp;P)'!K962,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2">
        <f>IF(AND('Loan Tape (S&amp;P)'!U962="Yes",
        'Loan Tape (S&amp;P)'!T962&lt;&gt;"Yes",
        DATEDIF('Loan Tape (S&amp;P)'!K962, TODAY(), "M")&lt;18),
    1.10,
    1.00)</f>
        <v/>
      </c>
      <c r="O962">
        <f>IF('Loan Tape (S&amp;P)'!T962="Yes",
    1.35,
    1.00)</f>
        <v/>
      </c>
      <c r="P962">
        <f>IF('Loan Tape (S&amp;P)'!S962="Yes",
    1.15,
    1.00)</f>
        <v/>
      </c>
      <c r="Q962">
        <f>IF('Loan Tape (S&amp;P)'!V962="Yes",
    1.20,
    1.00)</f>
        <v/>
      </c>
      <c r="T962">
        <f>LET(
    payment_method,'Loan Tape (S&amp;P)'!P962,
    occupancy,'Loan Tape (S&amp;P)'!N962,
    maturity_date,'Loan Tape (S&amp;P)'!L962,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3">
      <c r="J963">
        <f>LET(
    lien,'Loan Tape (S&amp;P)'!Q963,
    IF(lien="First",1.00,
        IF(lien="Second",1.50,
            1.70)))</f>
        <v/>
      </c>
      <c r="K963">
        <f>LET(
    purpose,'Loan Tape (S&amp;P)'!R963,
    IF(purpose="Purchase",1.00,
        IF(purpose="Remortgage",1.00,
            1.20)))</f>
        <v/>
      </c>
      <c r="L963">
        <f>LET(
    arrears_months,'Loan Tape (S&amp;P)'!AN963,
    IF(arrears_months=0,1.00,
    IF(arrears_months=1,3.00,
    IF(arrears_months=2,5.00,
    IF(arrears_months=3,8.00,
    IF(arrears_months=4,10.00,
    IF(arrears_months=5,12.00,15.00)))))))</f>
        <v/>
      </c>
      <c r="M963">
        <f>LET(
    seasoning_years,DATEDIF('Loan Tape (S&amp;P)'!K963,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3">
        <f>IF(AND('Loan Tape (S&amp;P)'!U963="Yes",
        'Loan Tape (S&amp;P)'!T963&lt;&gt;"Yes",
        DATEDIF('Loan Tape (S&amp;P)'!K963, TODAY(), "M")&lt;18),
    1.10,
    1.00)</f>
        <v/>
      </c>
      <c r="O963">
        <f>IF('Loan Tape (S&amp;P)'!T963="Yes",
    1.35,
    1.00)</f>
        <v/>
      </c>
      <c r="P963">
        <f>IF('Loan Tape (S&amp;P)'!S963="Yes",
    1.15,
    1.00)</f>
        <v/>
      </c>
      <c r="Q963">
        <f>IF('Loan Tape (S&amp;P)'!V963="Yes",
    1.20,
    1.00)</f>
        <v/>
      </c>
      <c r="T963">
        <f>LET(
    payment_method,'Loan Tape (S&amp;P)'!P963,
    occupancy,'Loan Tape (S&amp;P)'!N963,
    maturity_date,'Loan Tape (S&amp;P)'!L963,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4">
      <c r="J964">
        <f>LET(
    lien,'Loan Tape (S&amp;P)'!Q964,
    IF(lien="First",1.00,
        IF(lien="Second",1.50,
            1.70)))</f>
        <v/>
      </c>
      <c r="K964">
        <f>LET(
    purpose,'Loan Tape (S&amp;P)'!R964,
    IF(purpose="Purchase",1.00,
        IF(purpose="Remortgage",1.00,
            1.20)))</f>
        <v/>
      </c>
      <c r="L964">
        <f>LET(
    arrears_months,'Loan Tape (S&amp;P)'!AN964,
    IF(arrears_months=0,1.00,
    IF(arrears_months=1,3.00,
    IF(arrears_months=2,5.00,
    IF(arrears_months=3,8.00,
    IF(arrears_months=4,10.00,
    IF(arrears_months=5,12.00,15.00)))))))</f>
        <v/>
      </c>
      <c r="M964">
        <f>LET(
    seasoning_years,DATEDIF('Loan Tape (S&amp;P)'!K964,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4">
        <f>IF(AND('Loan Tape (S&amp;P)'!U964="Yes",
        'Loan Tape (S&amp;P)'!T964&lt;&gt;"Yes",
        DATEDIF('Loan Tape (S&amp;P)'!K964, TODAY(), "M")&lt;18),
    1.10,
    1.00)</f>
        <v/>
      </c>
      <c r="O964">
        <f>IF('Loan Tape (S&amp;P)'!T964="Yes",
    1.35,
    1.00)</f>
        <v/>
      </c>
      <c r="P964">
        <f>IF('Loan Tape (S&amp;P)'!S964="Yes",
    1.15,
    1.00)</f>
        <v/>
      </c>
      <c r="Q964">
        <f>IF('Loan Tape (S&amp;P)'!V964="Yes",
    1.20,
    1.00)</f>
        <v/>
      </c>
      <c r="T964">
        <f>LET(
    payment_method,'Loan Tape (S&amp;P)'!P964,
    occupancy,'Loan Tape (S&amp;P)'!N964,
    maturity_date,'Loan Tape (S&amp;P)'!L964,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5">
      <c r="J965">
        <f>LET(
    lien,'Loan Tape (S&amp;P)'!Q965,
    IF(lien="First",1.00,
        IF(lien="Second",1.50,
            1.70)))</f>
        <v/>
      </c>
      <c r="K965">
        <f>LET(
    purpose,'Loan Tape (S&amp;P)'!R965,
    IF(purpose="Purchase",1.00,
        IF(purpose="Remortgage",1.00,
            1.20)))</f>
        <v/>
      </c>
      <c r="L965">
        <f>LET(
    arrears_months,'Loan Tape (S&amp;P)'!AN965,
    IF(arrears_months=0,1.00,
    IF(arrears_months=1,3.00,
    IF(arrears_months=2,5.00,
    IF(arrears_months=3,8.00,
    IF(arrears_months=4,10.00,
    IF(arrears_months=5,12.00,15.00)))))))</f>
        <v/>
      </c>
      <c r="M965">
        <f>LET(
    seasoning_years,DATEDIF('Loan Tape (S&amp;P)'!K965,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5">
        <f>IF(AND('Loan Tape (S&amp;P)'!U965="Yes",
        'Loan Tape (S&amp;P)'!T965&lt;&gt;"Yes",
        DATEDIF('Loan Tape (S&amp;P)'!K965, TODAY(), "M")&lt;18),
    1.10,
    1.00)</f>
        <v/>
      </c>
      <c r="O965">
        <f>IF('Loan Tape (S&amp;P)'!T965="Yes",
    1.35,
    1.00)</f>
        <v/>
      </c>
      <c r="P965">
        <f>IF('Loan Tape (S&amp;P)'!S965="Yes",
    1.15,
    1.00)</f>
        <v/>
      </c>
      <c r="Q965">
        <f>IF('Loan Tape (S&amp;P)'!V965="Yes",
    1.20,
    1.00)</f>
        <v/>
      </c>
      <c r="T965">
        <f>LET(
    payment_method,'Loan Tape (S&amp;P)'!P965,
    occupancy,'Loan Tape (S&amp;P)'!N965,
    maturity_date,'Loan Tape (S&amp;P)'!L965,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6">
      <c r="J966">
        <f>LET(
    lien,'Loan Tape (S&amp;P)'!Q966,
    IF(lien="First",1.00,
        IF(lien="Second",1.50,
            1.70)))</f>
        <v/>
      </c>
      <c r="K966">
        <f>LET(
    purpose,'Loan Tape (S&amp;P)'!R966,
    IF(purpose="Purchase",1.00,
        IF(purpose="Remortgage",1.00,
            1.20)))</f>
        <v/>
      </c>
      <c r="L966">
        <f>LET(
    arrears_months,'Loan Tape (S&amp;P)'!AN966,
    IF(arrears_months=0,1.00,
    IF(arrears_months=1,3.00,
    IF(arrears_months=2,5.00,
    IF(arrears_months=3,8.00,
    IF(arrears_months=4,10.00,
    IF(arrears_months=5,12.00,15.00)))))))</f>
        <v/>
      </c>
      <c r="M966">
        <f>LET(
    seasoning_years,DATEDIF('Loan Tape (S&amp;P)'!K966,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6">
        <f>IF(AND('Loan Tape (S&amp;P)'!U966="Yes",
        'Loan Tape (S&amp;P)'!T966&lt;&gt;"Yes",
        DATEDIF('Loan Tape (S&amp;P)'!K966, TODAY(), "M")&lt;18),
    1.10,
    1.00)</f>
        <v/>
      </c>
      <c r="O966">
        <f>IF('Loan Tape (S&amp;P)'!T966="Yes",
    1.35,
    1.00)</f>
        <v/>
      </c>
      <c r="P966">
        <f>IF('Loan Tape (S&amp;P)'!S966="Yes",
    1.15,
    1.00)</f>
        <v/>
      </c>
      <c r="Q966">
        <f>IF('Loan Tape (S&amp;P)'!V966="Yes",
    1.20,
    1.00)</f>
        <v/>
      </c>
      <c r="T966">
        <f>LET(
    payment_method,'Loan Tape (S&amp;P)'!P966,
    occupancy,'Loan Tape (S&amp;P)'!N966,
    maturity_date,'Loan Tape (S&amp;P)'!L966,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7">
      <c r="J967">
        <f>LET(
    lien,'Loan Tape (S&amp;P)'!Q967,
    IF(lien="First",1.00,
        IF(lien="Second",1.50,
            1.70)))</f>
        <v/>
      </c>
      <c r="K967">
        <f>LET(
    purpose,'Loan Tape (S&amp;P)'!R967,
    IF(purpose="Purchase",1.00,
        IF(purpose="Remortgage",1.00,
            1.20)))</f>
        <v/>
      </c>
      <c r="L967">
        <f>LET(
    arrears_months,'Loan Tape (S&amp;P)'!AN967,
    IF(arrears_months=0,1.00,
    IF(arrears_months=1,3.00,
    IF(arrears_months=2,5.00,
    IF(arrears_months=3,8.00,
    IF(arrears_months=4,10.00,
    IF(arrears_months=5,12.00,15.00)))))))</f>
        <v/>
      </c>
      <c r="M967">
        <f>LET(
    seasoning_years,DATEDIF('Loan Tape (S&amp;P)'!K967,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7">
        <f>IF(AND('Loan Tape (S&amp;P)'!U967="Yes",
        'Loan Tape (S&amp;P)'!T967&lt;&gt;"Yes",
        DATEDIF('Loan Tape (S&amp;P)'!K967, TODAY(), "M")&lt;18),
    1.10,
    1.00)</f>
        <v/>
      </c>
      <c r="O967">
        <f>IF('Loan Tape (S&amp;P)'!T967="Yes",
    1.35,
    1.00)</f>
        <v/>
      </c>
      <c r="P967">
        <f>IF('Loan Tape (S&amp;P)'!S967="Yes",
    1.15,
    1.00)</f>
        <v/>
      </c>
      <c r="Q967">
        <f>IF('Loan Tape (S&amp;P)'!V967="Yes",
    1.20,
    1.00)</f>
        <v/>
      </c>
      <c r="T967">
        <f>LET(
    payment_method,'Loan Tape (S&amp;P)'!P967,
    occupancy,'Loan Tape (S&amp;P)'!N967,
    maturity_date,'Loan Tape (S&amp;P)'!L967,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8">
      <c r="J968">
        <f>LET(
    lien,'Loan Tape (S&amp;P)'!Q968,
    IF(lien="First",1.00,
        IF(lien="Second",1.50,
            1.70)))</f>
        <v/>
      </c>
      <c r="K968">
        <f>LET(
    purpose,'Loan Tape (S&amp;P)'!R968,
    IF(purpose="Purchase",1.00,
        IF(purpose="Remortgage",1.00,
            1.20)))</f>
        <v/>
      </c>
      <c r="L968">
        <f>LET(
    arrears_months,'Loan Tape (S&amp;P)'!AN968,
    IF(arrears_months=0,1.00,
    IF(arrears_months=1,3.00,
    IF(arrears_months=2,5.00,
    IF(arrears_months=3,8.00,
    IF(arrears_months=4,10.00,
    IF(arrears_months=5,12.00,15.00)))))))</f>
        <v/>
      </c>
      <c r="M968">
        <f>LET(
    seasoning_years,DATEDIF('Loan Tape (S&amp;P)'!K968,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8">
        <f>IF(AND('Loan Tape (S&amp;P)'!U968="Yes",
        'Loan Tape (S&amp;P)'!T968&lt;&gt;"Yes",
        DATEDIF('Loan Tape (S&amp;P)'!K968, TODAY(), "M")&lt;18),
    1.10,
    1.00)</f>
        <v/>
      </c>
      <c r="O968">
        <f>IF('Loan Tape (S&amp;P)'!T968="Yes",
    1.35,
    1.00)</f>
        <v/>
      </c>
      <c r="P968">
        <f>IF('Loan Tape (S&amp;P)'!S968="Yes",
    1.15,
    1.00)</f>
        <v/>
      </c>
      <c r="Q968">
        <f>IF('Loan Tape (S&amp;P)'!V968="Yes",
    1.20,
    1.00)</f>
        <v/>
      </c>
      <c r="T968">
        <f>LET(
    payment_method,'Loan Tape (S&amp;P)'!P968,
    occupancy,'Loan Tape (S&amp;P)'!N968,
    maturity_date,'Loan Tape (S&amp;P)'!L968,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9">
      <c r="J969">
        <f>LET(
    lien,'Loan Tape (S&amp;P)'!Q969,
    IF(lien="First",1.00,
        IF(lien="Second",1.50,
            1.70)))</f>
        <v/>
      </c>
      <c r="K969">
        <f>LET(
    purpose,'Loan Tape (S&amp;P)'!R969,
    IF(purpose="Purchase",1.00,
        IF(purpose="Remortgage",1.00,
            1.20)))</f>
        <v/>
      </c>
      <c r="L969">
        <f>LET(
    arrears_months,'Loan Tape (S&amp;P)'!AN969,
    IF(arrears_months=0,1.00,
    IF(arrears_months=1,3.00,
    IF(arrears_months=2,5.00,
    IF(arrears_months=3,8.00,
    IF(arrears_months=4,10.00,
    IF(arrears_months=5,12.00,15.00)))))))</f>
        <v/>
      </c>
      <c r="M969">
        <f>LET(
    seasoning_years,DATEDIF('Loan Tape (S&amp;P)'!K969,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9">
        <f>IF(AND('Loan Tape (S&amp;P)'!U969="Yes",
        'Loan Tape (S&amp;P)'!T969&lt;&gt;"Yes",
        DATEDIF('Loan Tape (S&amp;P)'!K969, TODAY(), "M")&lt;18),
    1.10,
    1.00)</f>
        <v/>
      </c>
      <c r="O969">
        <f>IF('Loan Tape (S&amp;P)'!T969="Yes",
    1.35,
    1.00)</f>
        <v/>
      </c>
      <c r="P969">
        <f>IF('Loan Tape (S&amp;P)'!S969="Yes",
    1.15,
    1.00)</f>
        <v/>
      </c>
      <c r="Q969">
        <f>IF('Loan Tape (S&amp;P)'!V969="Yes",
    1.20,
    1.00)</f>
        <v/>
      </c>
      <c r="T969">
        <f>LET(
    payment_method,'Loan Tape (S&amp;P)'!P969,
    occupancy,'Loan Tape (S&amp;P)'!N969,
    maturity_date,'Loan Tape (S&amp;P)'!L969,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0">
      <c r="J970">
        <f>LET(
    lien,'Loan Tape (S&amp;P)'!Q970,
    IF(lien="First",1.00,
        IF(lien="Second",1.50,
            1.70)))</f>
        <v/>
      </c>
      <c r="K970">
        <f>LET(
    purpose,'Loan Tape (S&amp;P)'!R970,
    IF(purpose="Purchase",1.00,
        IF(purpose="Remortgage",1.00,
            1.20)))</f>
        <v/>
      </c>
      <c r="L970">
        <f>LET(
    arrears_months,'Loan Tape (S&amp;P)'!AN970,
    IF(arrears_months=0,1.00,
    IF(arrears_months=1,3.00,
    IF(arrears_months=2,5.00,
    IF(arrears_months=3,8.00,
    IF(arrears_months=4,10.00,
    IF(arrears_months=5,12.00,15.00)))))))</f>
        <v/>
      </c>
      <c r="M970">
        <f>LET(
    seasoning_years,DATEDIF('Loan Tape (S&amp;P)'!K970,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0">
        <f>IF(AND('Loan Tape (S&amp;P)'!U970="Yes",
        'Loan Tape (S&amp;P)'!T970&lt;&gt;"Yes",
        DATEDIF('Loan Tape (S&amp;P)'!K970, TODAY(), "M")&lt;18),
    1.10,
    1.00)</f>
        <v/>
      </c>
      <c r="O970">
        <f>IF('Loan Tape (S&amp;P)'!T970="Yes",
    1.35,
    1.00)</f>
        <v/>
      </c>
      <c r="P970">
        <f>IF('Loan Tape (S&amp;P)'!S970="Yes",
    1.15,
    1.00)</f>
        <v/>
      </c>
      <c r="Q970">
        <f>IF('Loan Tape (S&amp;P)'!V970="Yes",
    1.20,
    1.00)</f>
        <v/>
      </c>
      <c r="T970">
        <f>LET(
    payment_method,'Loan Tape (S&amp;P)'!P970,
    occupancy,'Loan Tape (S&amp;P)'!N970,
    maturity_date,'Loan Tape (S&amp;P)'!L970,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1">
      <c r="J971">
        <f>LET(
    lien,'Loan Tape (S&amp;P)'!Q971,
    IF(lien="First",1.00,
        IF(lien="Second",1.50,
            1.70)))</f>
        <v/>
      </c>
      <c r="K971">
        <f>LET(
    purpose,'Loan Tape (S&amp;P)'!R971,
    IF(purpose="Purchase",1.00,
        IF(purpose="Remortgage",1.00,
            1.20)))</f>
        <v/>
      </c>
      <c r="L971">
        <f>LET(
    arrears_months,'Loan Tape (S&amp;P)'!AN971,
    IF(arrears_months=0,1.00,
    IF(arrears_months=1,3.00,
    IF(arrears_months=2,5.00,
    IF(arrears_months=3,8.00,
    IF(arrears_months=4,10.00,
    IF(arrears_months=5,12.00,15.00)))))))</f>
        <v/>
      </c>
      <c r="M971">
        <f>LET(
    seasoning_years,DATEDIF('Loan Tape (S&amp;P)'!K971,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1">
        <f>IF(AND('Loan Tape (S&amp;P)'!U971="Yes",
        'Loan Tape (S&amp;P)'!T971&lt;&gt;"Yes",
        DATEDIF('Loan Tape (S&amp;P)'!K971, TODAY(), "M")&lt;18),
    1.10,
    1.00)</f>
        <v/>
      </c>
      <c r="O971">
        <f>IF('Loan Tape (S&amp;P)'!T971="Yes",
    1.35,
    1.00)</f>
        <v/>
      </c>
      <c r="P971">
        <f>IF('Loan Tape (S&amp;P)'!S971="Yes",
    1.15,
    1.00)</f>
        <v/>
      </c>
      <c r="Q971">
        <f>IF('Loan Tape (S&amp;P)'!V971="Yes",
    1.20,
    1.00)</f>
        <v/>
      </c>
      <c r="T971">
        <f>LET(
    payment_method,'Loan Tape (S&amp;P)'!P971,
    occupancy,'Loan Tape (S&amp;P)'!N971,
    maturity_date,'Loan Tape (S&amp;P)'!L971,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2">
      <c r="J972">
        <f>LET(
    lien,'Loan Tape (S&amp;P)'!Q972,
    IF(lien="First",1.00,
        IF(lien="Second",1.50,
            1.70)))</f>
        <v/>
      </c>
      <c r="K972">
        <f>LET(
    purpose,'Loan Tape (S&amp;P)'!R972,
    IF(purpose="Purchase",1.00,
        IF(purpose="Remortgage",1.00,
            1.20)))</f>
        <v/>
      </c>
      <c r="L972">
        <f>LET(
    arrears_months,'Loan Tape (S&amp;P)'!AN972,
    IF(arrears_months=0,1.00,
    IF(arrears_months=1,3.00,
    IF(arrears_months=2,5.00,
    IF(arrears_months=3,8.00,
    IF(arrears_months=4,10.00,
    IF(arrears_months=5,12.00,15.00)))))))</f>
        <v/>
      </c>
      <c r="M972">
        <f>LET(
    seasoning_years,DATEDIF('Loan Tape (S&amp;P)'!K972,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2">
        <f>IF(AND('Loan Tape (S&amp;P)'!U972="Yes",
        'Loan Tape (S&amp;P)'!T972&lt;&gt;"Yes",
        DATEDIF('Loan Tape (S&amp;P)'!K972, TODAY(), "M")&lt;18),
    1.10,
    1.00)</f>
        <v/>
      </c>
      <c r="O972">
        <f>IF('Loan Tape (S&amp;P)'!T972="Yes",
    1.35,
    1.00)</f>
        <v/>
      </c>
      <c r="P972">
        <f>IF('Loan Tape (S&amp;P)'!S972="Yes",
    1.15,
    1.00)</f>
        <v/>
      </c>
      <c r="Q972">
        <f>IF('Loan Tape (S&amp;P)'!V972="Yes",
    1.20,
    1.00)</f>
        <v/>
      </c>
      <c r="T972">
        <f>LET(
    payment_method,'Loan Tape (S&amp;P)'!P972,
    occupancy,'Loan Tape (S&amp;P)'!N972,
    maturity_date,'Loan Tape (S&amp;P)'!L972,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3">
      <c r="J973">
        <f>LET(
    lien,'Loan Tape (S&amp;P)'!Q973,
    IF(lien="First",1.00,
        IF(lien="Second",1.50,
            1.70)))</f>
        <v/>
      </c>
      <c r="K973">
        <f>LET(
    purpose,'Loan Tape (S&amp;P)'!R973,
    IF(purpose="Purchase",1.00,
        IF(purpose="Remortgage",1.00,
            1.20)))</f>
        <v/>
      </c>
      <c r="L973">
        <f>LET(
    arrears_months,'Loan Tape (S&amp;P)'!AN973,
    IF(arrears_months=0,1.00,
    IF(arrears_months=1,3.00,
    IF(arrears_months=2,5.00,
    IF(arrears_months=3,8.00,
    IF(arrears_months=4,10.00,
    IF(arrears_months=5,12.00,15.00)))))))</f>
        <v/>
      </c>
      <c r="M973">
        <f>LET(
    seasoning_years,DATEDIF('Loan Tape (S&amp;P)'!K973,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3">
        <f>IF(AND('Loan Tape (S&amp;P)'!U973="Yes",
        'Loan Tape (S&amp;P)'!T973&lt;&gt;"Yes",
        DATEDIF('Loan Tape (S&amp;P)'!K973, TODAY(), "M")&lt;18),
    1.10,
    1.00)</f>
        <v/>
      </c>
      <c r="O973">
        <f>IF('Loan Tape (S&amp;P)'!T973="Yes",
    1.35,
    1.00)</f>
        <v/>
      </c>
      <c r="P973">
        <f>IF('Loan Tape (S&amp;P)'!S973="Yes",
    1.15,
    1.00)</f>
        <v/>
      </c>
      <c r="Q973">
        <f>IF('Loan Tape (S&amp;P)'!V973="Yes",
    1.20,
    1.00)</f>
        <v/>
      </c>
      <c r="T973">
        <f>LET(
    payment_method,'Loan Tape (S&amp;P)'!P973,
    occupancy,'Loan Tape (S&amp;P)'!N973,
    maturity_date,'Loan Tape (S&amp;P)'!L973,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4">
      <c r="J974">
        <f>LET(
    lien,'Loan Tape (S&amp;P)'!Q974,
    IF(lien="First",1.00,
        IF(lien="Second",1.50,
            1.70)))</f>
        <v/>
      </c>
      <c r="K974">
        <f>LET(
    purpose,'Loan Tape (S&amp;P)'!R974,
    IF(purpose="Purchase",1.00,
        IF(purpose="Remortgage",1.00,
            1.20)))</f>
        <v/>
      </c>
      <c r="L974">
        <f>LET(
    arrears_months,'Loan Tape (S&amp;P)'!AN974,
    IF(arrears_months=0,1.00,
    IF(arrears_months=1,3.00,
    IF(arrears_months=2,5.00,
    IF(arrears_months=3,8.00,
    IF(arrears_months=4,10.00,
    IF(arrears_months=5,12.00,15.00)))))))</f>
        <v/>
      </c>
      <c r="M974">
        <f>LET(
    seasoning_years,DATEDIF('Loan Tape (S&amp;P)'!K974,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4">
        <f>IF(AND('Loan Tape (S&amp;P)'!U974="Yes",
        'Loan Tape (S&amp;P)'!T974&lt;&gt;"Yes",
        DATEDIF('Loan Tape (S&amp;P)'!K974, TODAY(), "M")&lt;18),
    1.10,
    1.00)</f>
        <v/>
      </c>
      <c r="O974">
        <f>IF('Loan Tape (S&amp;P)'!T974="Yes",
    1.35,
    1.00)</f>
        <v/>
      </c>
      <c r="P974">
        <f>IF('Loan Tape (S&amp;P)'!S974="Yes",
    1.15,
    1.00)</f>
        <v/>
      </c>
      <c r="Q974">
        <f>IF('Loan Tape (S&amp;P)'!V974="Yes",
    1.20,
    1.00)</f>
        <v/>
      </c>
      <c r="T974">
        <f>LET(
    payment_method,'Loan Tape (S&amp;P)'!P974,
    occupancy,'Loan Tape (S&amp;P)'!N974,
    maturity_date,'Loan Tape (S&amp;P)'!L974,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5">
      <c r="J975">
        <f>LET(
    lien,'Loan Tape (S&amp;P)'!Q975,
    IF(lien="First",1.00,
        IF(lien="Second",1.50,
            1.70)))</f>
        <v/>
      </c>
      <c r="K975">
        <f>LET(
    purpose,'Loan Tape (S&amp;P)'!R975,
    IF(purpose="Purchase",1.00,
        IF(purpose="Remortgage",1.00,
            1.20)))</f>
        <v/>
      </c>
      <c r="L975">
        <f>LET(
    arrears_months,'Loan Tape (S&amp;P)'!AN975,
    IF(arrears_months=0,1.00,
    IF(arrears_months=1,3.00,
    IF(arrears_months=2,5.00,
    IF(arrears_months=3,8.00,
    IF(arrears_months=4,10.00,
    IF(arrears_months=5,12.00,15.00)))))))</f>
        <v/>
      </c>
      <c r="M975">
        <f>LET(
    seasoning_years,DATEDIF('Loan Tape (S&amp;P)'!K975,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5">
        <f>IF(AND('Loan Tape (S&amp;P)'!U975="Yes",
        'Loan Tape (S&amp;P)'!T975&lt;&gt;"Yes",
        DATEDIF('Loan Tape (S&amp;P)'!K975, TODAY(), "M")&lt;18),
    1.10,
    1.00)</f>
        <v/>
      </c>
      <c r="O975">
        <f>IF('Loan Tape (S&amp;P)'!T975="Yes",
    1.35,
    1.00)</f>
        <v/>
      </c>
      <c r="P975">
        <f>IF('Loan Tape (S&amp;P)'!S975="Yes",
    1.15,
    1.00)</f>
        <v/>
      </c>
      <c r="Q975">
        <f>IF('Loan Tape (S&amp;P)'!V975="Yes",
    1.20,
    1.00)</f>
        <v/>
      </c>
      <c r="T975">
        <f>LET(
    payment_method,'Loan Tape (S&amp;P)'!P975,
    occupancy,'Loan Tape (S&amp;P)'!N975,
    maturity_date,'Loan Tape (S&amp;P)'!L975,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6">
      <c r="J976">
        <f>LET(
    lien,'Loan Tape (S&amp;P)'!Q976,
    IF(lien="First",1.00,
        IF(lien="Second",1.50,
            1.70)))</f>
        <v/>
      </c>
      <c r="K976">
        <f>LET(
    purpose,'Loan Tape (S&amp;P)'!R976,
    IF(purpose="Purchase",1.00,
        IF(purpose="Remortgage",1.00,
            1.20)))</f>
        <v/>
      </c>
      <c r="L976">
        <f>LET(
    arrears_months,'Loan Tape (S&amp;P)'!AN976,
    IF(arrears_months=0,1.00,
    IF(arrears_months=1,3.00,
    IF(arrears_months=2,5.00,
    IF(arrears_months=3,8.00,
    IF(arrears_months=4,10.00,
    IF(arrears_months=5,12.00,15.00)))))))</f>
        <v/>
      </c>
      <c r="M976">
        <f>LET(
    seasoning_years,DATEDIF('Loan Tape (S&amp;P)'!K976,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6">
        <f>IF(AND('Loan Tape (S&amp;P)'!U976="Yes",
        'Loan Tape (S&amp;P)'!T976&lt;&gt;"Yes",
        DATEDIF('Loan Tape (S&amp;P)'!K976, TODAY(), "M")&lt;18),
    1.10,
    1.00)</f>
        <v/>
      </c>
      <c r="O976">
        <f>IF('Loan Tape (S&amp;P)'!T976="Yes",
    1.35,
    1.00)</f>
        <v/>
      </c>
      <c r="P976">
        <f>IF('Loan Tape (S&amp;P)'!S976="Yes",
    1.15,
    1.00)</f>
        <v/>
      </c>
      <c r="Q976">
        <f>IF('Loan Tape (S&amp;P)'!V976="Yes",
    1.20,
    1.00)</f>
        <v/>
      </c>
      <c r="T976">
        <f>LET(
    payment_method,'Loan Tape (S&amp;P)'!P976,
    occupancy,'Loan Tape (S&amp;P)'!N976,
    maturity_date,'Loan Tape (S&amp;P)'!L976,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7">
      <c r="J977">
        <f>LET(
    lien,'Loan Tape (S&amp;P)'!Q977,
    IF(lien="First",1.00,
        IF(lien="Second",1.50,
            1.70)))</f>
        <v/>
      </c>
      <c r="K977">
        <f>LET(
    purpose,'Loan Tape (S&amp;P)'!R977,
    IF(purpose="Purchase",1.00,
        IF(purpose="Remortgage",1.00,
            1.20)))</f>
        <v/>
      </c>
      <c r="L977">
        <f>LET(
    arrears_months,'Loan Tape (S&amp;P)'!AN977,
    IF(arrears_months=0,1.00,
    IF(arrears_months=1,3.00,
    IF(arrears_months=2,5.00,
    IF(arrears_months=3,8.00,
    IF(arrears_months=4,10.00,
    IF(arrears_months=5,12.00,15.00)))))))</f>
        <v/>
      </c>
      <c r="M977">
        <f>LET(
    seasoning_years,DATEDIF('Loan Tape (S&amp;P)'!K977,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7">
        <f>IF(AND('Loan Tape (S&amp;P)'!U977="Yes",
        'Loan Tape (S&amp;P)'!T977&lt;&gt;"Yes",
        DATEDIF('Loan Tape (S&amp;P)'!K977, TODAY(), "M")&lt;18),
    1.10,
    1.00)</f>
        <v/>
      </c>
      <c r="O977">
        <f>IF('Loan Tape (S&amp;P)'!T977="Yes",
    1.35,
    1.00)</f>
        <v/>
      </c>
      <c r="P977">
        <f>IF('Loan Tape (S&amp;P)'!S977="Yes",
    1.15,
    1.00)</f>
        <v/>
      </c>
      <c r="Q977">
        <f>IF('Loan Tape (S&amp;P)'!V977="Yes",
    1.20,
    1.00)</f>
        <v/>
      </c>
      <c r="T977">
        <f>LET(
    payment_method,'Loan Tape (S&amp;P)'!P977,
    occupancy,'Loan Tape (S&amp;P)'!N977,
    maturity_date,'Loan Tape (S&amp;P)'!L977,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8">
      <c r="J978">
        <f>LET(
    lien,'Loan Tape (S&amp;P)'!Q978,
    IF(lien="First",1.00,
        IF(lien="Second",1.50,
            1.70)))</f>
        <v/>
      </c>
      <c r="K978">
        <f>LET(
    purpose,'Loan Tape (S&amp;P)'!R978,
    IF(purpose="Purchase",1.00,
        IF(purpose="Remortgage",1.00,
            1.20)))</f>
        <v/>
      </c>
      <c r="L978">
        <f>LET(
    arrears_months,'Loan Tape (S&amp;P)'!AN978,
    IF(arrears_months=0,1.00,
    IF(arrears_months=1,3.00,
    IF(arrears_months=2,5.00,
    IF(arrears_months=3,8.00,
    IF(arrears_months=4,10.00,
    IF(arrears_months=5,12.00,15.00)))))))</f>
        <v/>
      </c>
      <c r="M978">
        <f>LET(
    seasoning_years,DATEDIF('Loan Tape (S&amp;P)'!K978,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8">
        <f>IF(AND('Loan Tape (S&amp;P)'!U978="Yes",
        'Loan Tape (S&amp;P)'!T978&lt;&gt;"Yes",
        DATEDIF('Loan Tape (S&amp;P)'!K978, TODAY(), "M")&lt;18),
    1.10,
    1.00)</f>
        <v/>
      </c>
      <c r="O978">
        <f>IF('Loan Tape (S&amp;P)'!T978="Yes",
    1.35,
    1.00)</f>
        <v/>
      </c>
      <c r="P978">
        <f>IF('Loan Tape (S&amp;P)'!S978="Yes",
    1.15,
    1.00)</f>
        <v/>
      </c>
      <c r="Q978">
        <f>IF('Loan Tape (S&amp;P)'!V978="Yes",
    1.20,
    1.00)</f>
        <v/>
      </c>
      <c r="T978">
        <f>LET(
    payment_method,'Loan Tape (S&amp;P)'!P978,
    occupancy,'Loan Tape (S&amp;P)'!N978,
    maturity_date,'Loan Tape (S&amp;P)'!L978,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9">
      <c r="J979">
        <f>LET(
    lien,'Loan Tape (S&amp;P)'!Q979,
    IF(lien="First",1.00,
        IF(lien="Second",1.50,
            1.70)))</f>
        <v/>
      </c>
      <c r="K979">
        <f>LET(
    purpose,'Loan Tape (S&amp;P)'!R979,
    IF(purpose="Purchase",1.00,
        IF(purpose="Remortgage",1.00,
            1.20)))</f>
        <v/>
      </c>
      <c r="L979">
        <f>LET(
    arrears_months,'Loan Tape (S&amp;P)'!AN979,
    IF(arrears_months=0,1.00,
    IF(arrears_months=1,3.00,
    IF(arrears_months=2,5.00,
    IF(arrears_months=3,8.00,
    IF(arrears_months=4,10.00,
    IF(arrears_months=5,12.00,15.00)))))))</f>
        <v/>
      </c>
      <c r="M979">
        <f>LET(
    seasoning_years,DATEDIF('Loan Tape (S&amp;P)'!K979,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9">
        <f>IF(AND('Loan Tape (S&amp;P)'!U979="Yes",
        'Loan Tape (S&amp;P)'!T979&lt;&gt;"Yes",
        DATEDIF('Loan Tape (S&amp;P)'!K979, TODAY(), "M")&lt;18),
    1.10,
    1.00)</f>
        <v/>
      </c>
      <c r="O979">
        <f>IF('Loan Tape (S&amp;P)'!T979="Yes",
    1.35,
    1.00)</f>
        <v/>
      </c>
      <c r="P979">
        <f>IF('Loan Tape (S&amp;P)'!S979="Yes",
    1.15,
    1.00)</f>
        <v/>
      </c>
      <c r="Q979">
        <f>IF('Loan Tape (S&amp;P)'!V979="Yes",
    1.20,
    1.00)</f>
        <v/>
      </c>
      <c r="T979">
        <f>LET(
    payment_method,'Loan Tape (S&amp;P)'!P979,
    occupancy,'Loan Tape (S&amp;P)'!N979,
    maturity_date,'Loan Tape (S&amp;P)'!L979,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0">
      <c r="J980">
        <f>LET(
    lien,'Loan Tape (S&amp;P)'!Q980,
    IF(lien="First",1.00,
        IF(lien="Second",1.50,
            1.70)))</f>
        <v/>
      </c>
      <c r="K980">
        <f>LET(
    purpose,'Loan Tape (S&amp;P)'!R980,
    IF(purpose="Purchase",1.00,
        IF(purpose="Remortgage",1.00,
            1.20)))</f>
        <v/>
      </c>
      <c r="L980">
        <f>LET(
    arrears_months,'Loan Tape (S&amp;P)'!AN980,
    IF(arrears_months=0,1.00,
    IF(arrears_months=1,3.00,
    IF(arrears_months=2,5.00,
    IF(arrears_months=3,8.00,
    IF(arrears_months=4,10.00,
    IF(arrears_months=5,12.00,15.00)))))))</f>
        <v/>
      </c>
      <c r="M980">
        <f>LET(
    seasoning_years,DATEDIF('Loan Tape (S&amp;P)'!K980,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0">
        <f>IF(AND('Loan Tape (S&amp;P)'!U980="Yes",
        'Loan Tape (S&amp;P)'!T980&lt;&gt;"Yes",
        DATEDIF('Loan Tape (S&amp;P)'!K980, TODAY(), "M")&lt;18),
    1.10,
    1.00)</f>
        <v/>
      </c>
      <c r="O980">
        <f>IF('Loan Tape (S&amp;P)'!T980="Yes",
    1.35,
    1.00)</f>
        <v/>
      </c>
      <c r="P980">
        <f>IF('Loan Tape (S&amp;P)'!S980="Yes",
    1.15,
    1.00)</f>
        <v/>
      </c>
      <c r="Q980">
        <f>IF('Loan Tape (S&amp;P)'!V980="Yes",
    1.20,
    1.00)</f>
        <v/>
      </c>
      <c r="T980">
        <f>LET(
    payment_method,'Loan Tape (S&amp;P)'!P980,
    occupancy,'Loan Tape (S&amp;P)'!N980,
    maturity_date,'Loan Tape (S&amp;P)'!L980,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1">
      <c r="J981">
        <f>LET(
    lien,'Loan Tape (S&amp;P)'!Q981,
    IF(lien="First",1.00,
        IF(lien="Second",1.50,
            1.70)))</f>
        <v/>
      </c>
      <c r="K981">
        <f>LET(
    purpose,'Loan Tape (S&amp;P)'!R981,
    IF(purpose="Purchase",1.00,
        IF(purpose="Remortgage",1.00,
            1.20)))</f>
        <v/>
      </c>
      <c r="L981">
        <f>LET(
    arrears_months,'Loan Tape (S&amp;P)'!AN981,
    IF(arrears_months=0,1.00,
    IF(arrears_months=1,3.00,
    IF(arrears_months=2,5.00,
    IF(arrears_months=3,8.00,
    IF(arrears_months=4,10.00,
    IF(arrears_months=5,12.00,15.00)))))))</f>
        <v/>
      </c>
      <c r="M981">
        <f>LET(
    seasoning_years,DATEDIF('Loan Tape (S&amp;P)'!K981,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1">
        <f>IF(AND('Loan Tape (S&amp;P)'!U981="Yes",
        'Loan Tape (S&amp;P)'!T981&lt;&gt;"Yes",
        DATEDIF('Loan Tape (S&amp;P)'!K981, TODAY(), "M")&lt;18),
    1.10,
    1.00)</f>
        <v/>
      </c>
      <c r="O981">
        <f>IF('Loan Tape (S&amp;P)'!T981="Yes",
    1.35,
    1.00)</f>
        <v/>
      </c>
      <c r="P981">
        <f>IF('Loan Tape (S&amp;P)'!S981="Yes",
    1.15,
    1.00)</f>
        <v/>
      </c>
      <c r="Q981">
        <f>IF('Loan Tape (S&amp;P)'!V981="Yes",
    1.20,
    1.00)</f>
        <v/>
      </c>
      <c r="T981">
        <f>LET(
    payment_method,'Loan Tape (S&amp;P)'!P981,
    occupancy,'Loan Tape (S&amp;P)'!N981,
    maturity_date,'Loan Tape (S&amp;P)'!L981,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2">
      <c r="J982">
        <f>LET(
    lien,'Loan Tape (S&amp;P)'!Q982,
    IF(lien="First",1.00,
        IF(lien="Second",1.50,
            1.70)))</f>
        <v/>
      </c>
      <c r="K982">
        <f>LET(
    purpose,'Loan Tape (S&amp;P)'!R982,
    IF(purpose="Purchase",1.00,
        IF(purpose="Remortgage",1.00,
            1.20)))</f>
        <v/>
      </c>
      <c r="L982">
        <f>LET(
    arrears_months,'Loan Tape (S&amp;P)'!AN982,
    IF(arrears_months=0,1.00,
    IF(arrears_months=1,3.00,
    IF(arrears_months=2,5.00,
    IF(arrears_months=3,8.00,
    IF(arrears_months=4,10.00,
    IF(arrears_months=5,12.00,15.00)))))))</f>
        <v/>
      </c>
      <c r="M982">
        <f>LET(
    seasoning_years,DATEDIF('Loan Tape (S&amp;P)'!K982,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2">
        <f>IF(AND('Loan Tape (S&amp;P)'!U982="Yes",
        'Loan Tape (S&amp;P)'!T982&lt;&gt;"Yes",
        DATEDIF('Loan Tape (S&amp;P)'!K982, TODAY(), "M")&lt;18),
    1.10,
    1.00)</f>
        <v/>
      </c>
      <c r="O982">
        <f>IF('Loan Tape (S&amp;P)'!T982="Yes",
    1.35,
    1.00)</f>
        <v/>
      </c>
      <c r="P982">
        <f>IF('Loan Tape (S&amp;P)'!S982="Yes",
    1.15,
    1.00)</f>
        <v/>
      </c>
      <c r="Q982">
        <f>IF('Loan Tape (S&amp;P)'!V982="Yes",
    1.20,
    1.00)</f>
        <v/>
      </c>
      <c r="T982">
        <f>LET(
    payment_method,'Loan Tape (S&amp;P)'!P982,
    occupancy,'Loan Tape (S&amp;P)'!N982,
    maturity_date,'Loan Tape (S&amp;P)'!L982,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3">
      <c r="J983">
        <f>LET(
    lien,'Loan Tape (S&amp;P)'!Q983,
    IF(lien="First",1.00,
        IF(lien="Second",1.50,
            1.70)))</f>
        <v/>
      </c>
      <c r="K983">
        <f>LET(
    purpose,'Loan Tape (S&amp;P)'!R983,
    IF(purpose="Purchase",1.00,
        IF(purpose="Remortgage",1.00,
            1.20)))</f>
        <v/>
      </c>
      <c r="L983">
        <f>LET(
    arrears_months,'Loan Tape (S&amp;P)'!AN983,
    IF(arrears_months=0,1.00,
    IF(arrears_months=1,3.00,
    IF(arrears_months=2,5.00,
    IF(arrears_months=3,8.00,
    IF(arrears_months=4,10.00,
    IF(arrears_months=5,12.00,15.00)))))))</f>
        <v/>
      </c>
      <c r="M983">
        <f>LET(
    seasoning_years,DATEDIF('Loan Tape (S&amp;P)'!K983,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3">
        <f>IF(AND('Loan Tape (S&amp;P)'!U983="Yes",
        'Loan Tape (S&amp;P)'!T983&lt;&gt;"Yes",
        DATEDIF('Loan Tape (S&amp;P)'!K983, TODAY(), "M")&lt;18),
    1.10,
    1.00)</f>
        <v/>
      </c>
      <c r="O983">
        <f>IF('Loan Tape (S&amp;P)'!T983="Yes",
    1.35,
    1.00)</f>
        <v/>
      </c>
      <c r="P983">
        <f>IF('Loan Tape (S&amp;P)'!S983="Yes",
    1.15,
    1.00)</f>
        <v/>
      </c>
      <c r="Q983">
        <f>IF('Loan Tape (S&amp;P)'!V983="Yes",
    1.20,
    1.00)</f>
        <v/>
      </c>
      <c r="T983">
        <f>LET(
    payment_method,'Loan Tape (S&amp;P)'!P983,
    occupancy,'Loan Tape (S&amp;P)'!N983,
    maturity_date,'Loan Tape (S&amp;P)'!L983,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4">
      <c r="J984">
        <f>LET(
    lien,'Loan Tape (S&amp;P)'!Q984,
    IF(lien="First",1.00,
        IF(lien="Second",1.50,
            1.70)))</f>
        <v/>
      </c>
      <c r="K984">
        <f>LET(
    purpose,'Loan Tape (S&amp;P)'!R984,
    IF(purpose="Purchase",1.00,
        IF(purpose="Remortgage",1.00,
            1.20)))</f>
        <v/>
      </c>
      <c r="L984">
        <f>LET(
    arrears_months,'Loan Tape (S&amp;P)'!AN984,
    IF(arrears_months=0,1.00,
    IF(arrears_months=1,3.00,
    IF(arrears_months=2,5.00,
    IF(arrears_months=3,8.00,
    IF(arrears_months=4,10.00,
    IF(arrears_months=5,12.00,15.00)))))))</f>
        <v/>
      </c>
      <c r="M984">
        <f>LET(
    seasoning_years,DATEDIF('Loan Tape (S&amp;P)'!K984,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4">
        <f>IF(AND('Loan Tape (S&amp;P)'!U984="Yes",
        'Loan Tape (S&amp;P)'!T984&lt;&gt;"Yes",
        DATEDIF('Loan Tape (S&amp;P)'!K984, TODAY(), "M")&lt;18),
    1.10,
    1.00)</f>
        <v/>
      </c>
      <c r="O984">
        <f>IF('Loan Tape (S&amp;P)'!T984="Yes",
    1.35,
    1.00)</f>
        <v/>
      </c>
      <c r="P984">
        <f>IF('Loan Tape (S&amp;P)'!S984="Yes",
    1.15,
    1.00)</f>
        <v/>
      </c>
      <c r="Q984">
        <f>IF('Loan Tape (S&amp;P)'!V984="Yes",
    1.20,
    1.00)</f>
        <v/>
      </c>
      <c r="T984">
        <f>LET(
    payment_method,'Loan Tape (S&amp;P)'!P984,
    occupancy,'Loan Tape (S&amp;P)'!N984,
    maturity_date,'Loan Tape (S&amp;P)'!L984,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5">
      <c r="J985">
        <f>LET(
    lien,'Loan Tape (S&amp;P)'!Q985,
    IF(lien="First",1.00,
        IF(lien="Second",1.50,
            1.70)))</f>
        <v/>
      </c>
      <c r="K985">
        <f>LET(
    purpose,'Loan Tape (S&amp;P)'!R985,
    IF(purpose="Purchase",1.00,
        IF(purpose="Remortgage",1.00,
            1.20)))</f>
        <v/>
      </c>
      <c r="L985">
        <f>LET(
    arrears_months,'Loan Tape (S&amp;P)'!AN985,
    IF(arrears_months=0,1.00,
    IF(arrears_months=1,3.00,
    IF(arrears_months=2,5.00,
    IF(arrears_months=3,8.00,
    IF(arrears_months=4,10.00,
    IF(arrears_months=5,12.00,15.00)))))))</f>
        <v/>
      </c>
      <c r="M985">
        <f>LET(
    seasoning_years,DATEDIF('Loan Tape (S&amp;P)'!K985,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5">
        <f>IF(AND('Loan Tape (S&amp;P)'!U985="Yes",
        'Loan Tape (S&amp;P)'!T985&lt;&gt;"Yes",
        DATEDIF('Loan Tape (S&amp;P)'!K985, TODAY(), "M")&lt;18),
    1.10,
    1.00)</f>
        <v/>
      </c>
      <c r="O985">
        <f>IF('Loan Tape (S&amp;P)'!T985="Yes",
    1.35,
    1.00)</f>
        <v/>
      </c>
      <c r="P985">
        <f>IF('Loan Tape (S&amp;P)'!S985="Yes",
    1.15,
    1.00)</f>
        <v/>
      </c>
      <c r="Q985">
        <f>IF('Loan Tape (S&amp;P)'!V985="Yes",
    1.20,
    1.00)</f>
        <v/>
      </c>
      <c r="T985">
        <f>LET(
    payment_method,'Loan Tape (S&amp;P)'!P985,
    occupancy,'Loan Tape (S&amp;P)'!N985,
    maturity_date,'Loan Tape (S&amp;P)'!L985,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6">
      <c r="J986">
        <f>LET(
    lien,'Loan Tape (S&amp;P)'!Q986,
    IF(lien="First",1.00,
        IF(lien="Second",1.50,
            1.70)))</f>
        <v/>
      </c>
      <c r="K986">
        <f>LET(
    purpose,'Loan Tape (S&amp;P)'!R986,
    IF(purpose="Purchase",1.00,
        IF(purpose="Remortgage",1.00,
            1.20)))</f>
        <v/>
      </c>
      <c r="L986">
        <f>LET(
    arrears_months,'Loan Tape (S&amp;P)'!AN986,
    IF(arrears_months=0,1.00,
    IF(arrears_months=1,3.00,
    IF(arrears_months=2,5.00,
    IF(arrears_months=3,8.00,
    IF(arrears_months=4,10.00,
    IF(arrears_months=5,12.00,15.00)))))))</f>
        <v/>
      </c>
      <c r="M986">
        <f>LET(
    seasoning_years,DATEDIF('Loan Tape (S&amp;P)'!K986,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6">
        <f>IF(AND('Loan Tape (S&amp;P)'!U986="Yes",
        'Loan Tape (S&amp;P)'!T986&lt;&gt;"Yes",
        DATEDIF('Loan Tape (S&amp;P)'!K986, TODAY(), "M")&lt;18),
    1.10,
    1.00)</f>
        <v/>
      </c>
      <c r="O986">
        <f>IF('Loan Tape (S&amp;P)'!T986="Yes",
    1.35,
    1.00)</f>
        <v/>
      </c>
      <c r="P986">
        <f>IF('Loan Tape (S&amp;P)'!S986="Yes",
    1.15,
    1.00)</f>
        <v/>
      </c>
      <c r="Q986">
        <f>IF('Loan Tape (S&amp;P)'!V986="Yes",
    1.20,
    1.00)</f>
        <v/>
      </c>
      <c r="T986">
        <f>LET(
    payment_method,'Loan Tape (S&amp;P)'!P986,
    occupancy,'Loan Tape (S&amp;P)'!N986,
    maturity_date,'Loan Tape (S&amp;P)'!L986,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7">
      <c r="J987">
        <f>LET(
    lien,'Loan Tape (S&amp;P)'!Q987,
    IF(lien="First",1.00,
        IF(lien="Second",1.50,
            1.70)))</f>
        <v/>
      </c>
      <c r="K987">
        <f>LET(
    purpose,'Loan Tape (S&amp;P)'!R987,
    IF(purpose="Purchase",1.00,
        IF(purpose="Remortgage",1.00,
            1.20)))</f>
        <v/>
      </c>
      <c r="L987">
        <f>LET(
    arrears_months,'Loan Tape (S&amp;P)'!AN987,
    IF(arrears_months=0,1.00,
    IF(arrears_months=1,3.00,
    IF(arrears_months=2,5.00,
    IF(arrears_months=3,8.00,
    IF(arrears_months=4,10.00,
    IF(arrears_months=5,12.00,15.00)))))))</f>
        <v/>
      </c>
      <c r="M987">
        <f>LET(
    seasoning_years,DATEDIF('Loan Tape (S&amp;P)'!K987,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7">
        <f>IF(AND('Loan Tape (S&amp;P)'!U987="Yes",
        'Loan Tape (S&amp;P)'!T987&lt;&gt;"Yes",
        DATEDIF('Loan Tape (S&amp;P)'!K987, TODAY(), "M")&lt;18),
    1.10,
    1.00)</f>
        <v/>
      </c>
      <c r="O987">
        <f>IF('Loan Tape (S&amp;P)'!T987="Yes",
    1.35,
    1.00)</f>
        <v/>
      </c>
      <c r="P987">
        <f>IF('Loan Tape (S&amp;P)'!S987="Yes",
    1.15,
    1.00)</f>
        <v/>
      </c>
      <c r="Q987">
        <f>IF('Loan Tape (S&amp;P)'!V987="Yes",
    1.20,
    1.00)</f>
        <v/>
      </c>
      <c r="T987">
        <f>LET(
    payment_method,'Loan Tape (S&amp;P)'!P987,
    occupancy,'Loan Tape (S&amp;P)'!N987,
    maturity_date,'Loan Tape (S&amp;P)'!L987,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8">
      <c r="J988">
        <f>LET(
    lien,'Loan Tape (S&amp;P)'!Q988,
    IF(lien="First",1.00,
        IF(lien="Second",1.50,
            1.70)))</f>
        <v/>
      </c>
      <c r="K988">
        <f>LET(
    purpose,'Loan Tape (S&amp;P)'!R988,
    IF(purpose="Purchase",1.00,
        IF(purpose="Remortgage",1.00,
            1.20)))</f>
        <v/>
      </c>
      <c r="L988">
        <f>LET(
    arrears_months,'Loan Tape (S&amp;P)'!AN988,
    IF(arrears_months=0,1.00,
    IF(arrears_months=1,3.00,
    IF(arrears_months=2,5.00,
    IF(arrears_months=3,8.00,
    IF(arrears_months=4,10.00,
    IF(arrears_months=5,12.00,15.00)))))))</f>
        <v/>
      </c>
      <c r="M988">
        <f>LET(
    seasoning_years,DATEDIF('Loan Tape (S&amp;P)'!K988,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8">
        <f>IF(AND('Loan Tape (S&amp;P)'!U988="Yes",
        'Loan Tape (S&amp;P)'!T988&lt;&gt;"Yes",
        DATEDIF('Loan Tape (S&amp;P)'!K988, TODAY(), "M")&lt;18),
    1.10,
    1.00)</f>
        <v/>
      </c>
      <c r="O988">
        <f>IF('Loan Tape (S&amp;P)'!T988="Yes",
    1.35,
    1.00)</f>
        <v/>
      </c>
      <c r="P988">
        <f>IF('Loan Tape (S&amp;P)'!S988="Yes",
    1.15,
    1.00)</f>
        <v/>
      </c>
      <c r="Q988">
        <f>IF('Loan Tape (S&amp;P)'!V988="Yes",
    1.20,
    1.00)</f>
        <v/>
      </c>
      <c r="T988">
        <f>LET(
    payment_method,'Loan Tape (S&amp;P)'!P988,
    occupancy,'Loan Tape (S&amp;P)'!N988,
    maturity_date,'Loan Tape (S&amp;P)'!L988,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9">
      <c r="J989">
        <f>LET(
    lien,'Loan Tape (S&amp;P)'!Q989,
    IF(lien="First",1.00,
        IF(lien="Second",1.50,
            1.70)))</f>
        <v/>
      </c>
      <c r="K989">
        <f>LET(
    purpose,'Loan Tape (S&amp;P)'!R989,
    IF(purpose="Purchase",1.00,
        IF(purpose="Remortgage",1.00,
            1.20)))</f>
        <v/>
      </c>
      <c r="L989">
        <f>LET(
    arrears_months,'Loan Tape (S&amp;P)'!AN989,
    IF(arrears_months=0,1.00,
    IF(arrears_months=1,3.00,
    IF(arrears_months=2,5.00,
    IF(arrears_months=3,8.00,
    IF(arrears_months=4,10.00,
    IF(arrears_months=5,12.00,15.00)))))))</f>
        <v/>
      </c>
      <c r="M989">
        <f>LET(
    seasoning_years,DATEDIF('Loan Tape (S&amp;P)'!K989,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9">
        <f>IF(AND('Loan Tape (S&amp;P)'!U989="Yes",
        'Loan Tape (S&amp;P)'!T989&lt;&gt;"Yes",
        DATEDIF('Loan Tape (S&amp;P)'!K989, TODAY(), "M")&lt;18),
    1.10,
    1.00)</f>
        <v/>
      </c>
      <c r="O989">
        <f>IF('Loan Tape (S&amp;P)'!T989="Yes",
    1.35,
    1.00)</f>
        <v/>
      </c>
      <c r="P989">
        <f>IF('Loan Tape (S&amp;P)'!S989="Yes",
    1.15,
    1.00)</f>
        <v/>
      </c>
      <c r="Q989">
        <f>IF('Loan Tape (S&amp;P)'!V989="Yes",
    1.20,
    1.00)</f>
        <v/>
      </c>
      <c r="T989">
        <f>LET(
    payment_method,'Loan Tape (S&amp;P)'!P989,
    occupancy,'Loan Tape (S&amp;P)'!N989,
    maturity_date,'Loan Tape (S&amp;P)'!L989,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0">
      <c r="J990">
        <f>LET(
    lien,'Loan Tape (S&amp;P)'!Q990,
    IF(lien="First",1.00,
        IF(lien="Second",1.50,
            1.70)))</f>
        <v/>
      </c>
      <c r="K990">
        <f>LET(
    purpose,'Loan Tape (S&amp;P)'!R990,
    IF(purpose="Purchase",1.00,
        IF(purpose="Remortgage",1.00,
            1.20)))</f>
        <v/>
      </c>
      <c r="L990">
        <f>LET(
    arrears_months,'Loan Tape (S&amp;P)'!AN990,
    IF(arrears_months=0,1.00,
    IF(arrears_months=1,3.00,
    IF(arrears_months=2,5.00,
    IF(arrears_months=3,8.00,
    IF(arrears_months=4,10.00,
    IF(arrears_months=5,12.00,15.00)))))))</f>
        <v/>
      </c>
      <c r="M990">
        <f>LET(
    seasoning_years,DATEDIF('Loan Tape (S&amp;P)'!K990,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0">
        <f>IF(AND('Loan Tape (S&amp;P)'!U990="Yes",
        'Loan Tape (S&amp;P)'!T990&lt;&gt;"Yes",
        DATEDIF('Loan Tape (S&amp;P)'!K990, TODAY(), "M")&lt;18),
    1.10,
    1.00)</f>
        <v/>
      </c>
      <c r="O990">
        <f>IF('Loan Tape (S&amp;P)'!T990="Yes",
    1.35,
    1.00)</f>
        <v/>
      </c>
      <c r="P990">
        <f>IF('Loan Tape (S&amp;P)'!S990="Yes",
    1.15,
    1.00)</f>
        <v/>
      </c>
      <c r="Q990">
        <f>IF('Loan Tape (S&amp;P)'!V990="Yes",
    1.20,
    1.00)</f>
        <v/>
      </c>
      <c r="T990">
        <f>LET(
    payment_method,'Loan Tape (S&amp;P)'!P990,
    occupancy,'Loan Tape (S&amp;P)'!N990,
    maturity_date,'Loan Tape (S&amp;P)'!L990,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1">
      <c r="J991">
        <f>LET(
    lien,'Loan Tape (S&amp;P)'!Q991,
    IF(lien="First",1.00,
        IF(lien="Second",1.50,
            1.70)))</f>
        <v/>
      </c>
      <c r="K991">
        <f>LET(
    purpose,'Loan Tape (S&amp;P)'!R991,
    IF(purpose="Purchase",1.00,
        IF(purpose="Remortgage",1.00,
            1.20)))</f>
        <v/>
      </c>
      <c r="L991">
        <f>LET(
    arrears_months,'Loan Tape (S&amp;P)'!AN991,
    IF(arrears_months=0,1.00,
    IF(arrears_months=1,3.00,
    IF(arrears_months=2,5.00,
    IF(arrears_months=3,8.00,
    IF(arrears_months=4,10.00,
    IF(arrears_months=5,12.00,15.00)))))))</f>
        <v/>
      </c>
      <c r="M991">
        <f>LET(
    seasoning_years,DATEDIF('Loan Tape (S&amp;P)'!K991,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1">
        <f>IF(AND('Loan Tape (S&amp;P)'!U991="Yes",
        'Loan Tape (S&amp;P)'!T991&lt;&gt;"Yes",
        DATEDIF('Loan Tape (S&amp;P)'!K991, TODAY(), "M")&lt;18),
    1.10,
    1.00)</f>
        <v/>
      </c>
      <c r="O991">
        <f>IF('Loan Tape (S&amp;P)'!T991="Yes",
    1.35,
    1.00)</f>
        <v/>
      </c>
      <c r="P991">
        <f>IF('Loan Tape (S&amp;P)'!S991="Yes",
    1.15,
    1.00)</f>
        <v/>
      </c>
      <c r="Q991">
        <f>IF('Loan Tape (S&amp;P)'!V991="Yes",
    1.20,
    1.00)</f>
        <v/>
      </c>
      <c r="T991">
        <f>LET(
    payment_method,'Loan Tape (S&amp;P)'!P991,
    occupancy,'Loan Tape (S&amp;P)'!N991,
    maturity_date,'Loan Tape (S&amp;P)'!L991,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2">
      <c r="J992">
        <f>LET(
    lien,'Loan Tape (S&amp;P)'!Q992,
    IF(lien="First",1.00,
        IF(lien="Second",1.50,
            1.70)))</f>
        <v/>
      </c>
      <c r="K992">
        <f>LET(
    purpose,'Loan Tape (S&amp;P)'!R992,
    IF(purpose="Purchase",1.00,
        IF(purpose="Remortgage",1.00,
            1.20)))</f>
        <v/>
      </c>
      <c r="L992">
        <f>LET(
    arrears_months,'Loan Tape (S&amp;P)'!AN992,
    IF(arrears_months=0,1.00,
    IF(arrears_months=1,3.00,
    IF(arrears_months=2,5.00,
    IF(arrears_months=3,8.00,
    IF(arrears_months=4,10.00,
    IF(arrears_months=5,12.00,15.00)))))))</f>
        <v/>
      </c>
      <c r="M992">
        <f>LET(
    seasoning_years,DATEDIF('Loan Tape (S&amp;P)'!K992,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2">
        <f>IF(AND('Loan Tape (S&amp;P)'!U992="Yes",
        'Loan Tape (S&amp;P)'!T992&lt;&gt;"Yes",
        DATEDIF('Loan Tape (S&amp;P)'!K992, TODAY(), "M")&lt;18),
    1.10,
    1.00)</f>
        <v/>
      </c>
      <c r="O992">
        <f>IF('Loan Tape (S&amp;P)'!T992="Yes",
    1.35,
    1.00)</f>
        <v/>
      </c>
      <c r="P992">
        <f>IF('Loan Tape (S&amp;P)'!S992="Yes",
    1.15,
    1.00)</f>
        <v/>
      </c>
      <c r="Q992">
        <f>IF('Loan Tape (S&amp;P)'!V992="Yes",
    1.20,
    1.00)</f>
        <v/>
      </c>
      <c r="T992">
        <f>LET(
    payment_method,'Loan Tape (S&amp;P)'!P992,
    occupancy,'Loan Tape (S&amp;P)'!N992,
    maturity_date,'Loan Tape (S&amp;P)'!L992,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3">
      <c r="J993">
        <f>LET(
    lien,'Loan Tape (S&amp;P)'!Q993,
    IF(lien="First",1.00,
        IF(lien="Second",1.50,
            1.70)))</f>
        <v/>
      </c>
      <c r="K993">
        <f>LET(
    purpose,'Loan Tape (S&amp;P)'!R993,
    IF(purpose="Purchase",1.00,
        IF(purpose="Remortgage",1.00,
            1.20)))</f>
        <v/>
      </c>
      <c r="L993">
        <f>LET(
    arrears_months,'Loan Tape (S&amp;P)'!AN993,
    IF(arrears_months=0,1.00,
    IF(arrears_months=1,3.00,
    IF(arrears_months=2,5.00,
    IF(arrears_months=3,8.00,
    IF(arrears_months=4,10.00,
    IF(arrears_months=5,12.00,15.00)))))))</f>
        <v/>
      </c>
      <c r="M993">
        <f>LET(
    seasoning_years,DATEDIF('Loan Tape (S&amp;P)'!K993,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3">
        <f>IF(AND('Loan Tape (S&amp;P)'!U993="Yes",
        'Loan Tape (S&amp;P)'!T993&lt;&gt;"Yes",
        DATEDIF('Loan Tape (S&amp;P)'!K993, TODAY(), "M")&lt;18),
    1.10,
    1.00)</f>
        <v/>
      </c>
      <c r="O993">
        <f>IF('Loan Tape (S&amp;P)'!T993="Yes",
    1.35,
    1.00)</f>
        <v/>
      </c>
      <c r="P993">
        <f>IF('Loan Tape (S&amp;P)'!S993="Yes",
    1.15,
    1.00)</f>
        <v/>
      </c>
      <c r="Q993">
        <f>IF('Loan Tape (S&amp;P)'!V993="Yes",
    1.20,
    1.00)</f>
        <v/>
      </c>
      <c r="T993">
        <f>LET(
    payment_method,'Loan Tape (S&amp;P)'!P993,
    occupancy,'Loan Tape (S&amp;P)'!N993,
    maturity_date,'Loan Tape (S&amp;P)'!L993,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4">
      <c r="J994">
        <f>LET(
    lien,'Loan Tape (S&amp;P)'!Q994,
    IF(lien="First",1.00,
        IF(lien="Second",1.50,
            1.70)))</f>
        <v/>
      </c>
      <c r="K994">
        <f>LET(
    purpose,'Loan Tape (S&amp;P)'!R994,
    IF(purpose="Purchase",1.00,
        IF(purpose="Remortgage",1.00,
            1.20)))</f>
        <v/>
      </c>
      <c r="L994">
        <f>LET(
    arrears_months,'Loan Tape (S&amp;P)'!AN994,
    IF(arrears_months=0,1.00,
    IF(arrears_months=1,3.00,
    IF(arrears_months=2,5.00,
    IF(arrears_months=3,8.00,
    IF(arrears_months=4,10.00,
    IF(arrears_months=5,12.00,15.00)))))))</f>
        <v/>
      </c>
      <c r="M994">
        <f>LET(
    seasoning_years,DATEDIF('Loan Tape (S&amp;P)'!K994,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4">
        <f>IF(AND('Loan Tape (S&amp;P)'!U994="Yes",
        'Loan Tape (S&amp;P)'!T994&lt;&gt;"Yes",
        DATEDIF('Loan Tape (S&amp;P)'!K994, TODAY(), "M")&lt;18),
    1.10,
    1.00)</f>
        <v/>
      </c>
      <c r="O994">
        <f>IF('Loan Tape (S&amp;P)'!T994="Yes",
    1.35,
    1.00)</f>
        <v/>
      </c>
      <c r="P994">
        <f>IF('Loan Tape (S&amp;P)'!S994="Yes",
    1.15,
    1.00)</f>
        <v/>
      </c>
      <c r="Q994">
        <f>IF('Loan Tape (S&amp;P)'!V994="Yes",
    1.20,
    1.00)</f>
        <v/>
      </c>
      <c r="T994">
        <f>LET(
    payment_method,'Loan Tape (S&amp;P)'!P994,
    occupancy,'Loan Tape (S&amp;P)'!N994,
    maturity_date,'Loan Tape (S&amp;P)'!L994,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5">
      <c r="J995">
        <f>LET(
    lien,'Loan Tape (S&amp;P)'!Q995,
    IF(lien="First",1.00,
        IF(lien="Second",1.50,
            1.70)))</f>
        <v/>
      </c>
      <c r="K995">
        <f>LET(
    purpose,'Loan Tape (S&amp;P)'!R995,
    IF(purpose="Purchase",1.00,
        IF(purpose="Remortgage",1.00,
            1.20)))</f>
        <v/>
      </c>
      <c r="L995">
        <f>LET(
    arrears_months,'Loan Tape (S&amp;P)'!AN995,
    IF(arrears_months=0,1.00,
    IF(arrears_months=1,3.00,
    IF(arrears_months=2,5.00,
    IF(arrears_months=3,8.00,
    IF(arrears_months=4,10.00,
    IF(arrears_months=5,12.00,15.00)))))))</f>
        <v/>
      </c>
      <c r="M995">
        <f>LET(
    seasoning_years,DATEDIF('Loan Tape (S&amp;P)'!K995,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5">
        <f>IF(AND('Loan Tape (S&amp;P)'!U995="Yes",
        'Loan Tape (S&amp;P)'!T995&lt;&gt;"Yes",
        DATEDIF('Loan Tape (S&amp;P)'!K995, TODAY(), "M")&lt;18),
    1.10,
    1.00)</f>
        <v/>
      </c>
      <c r="O995">
        <f>IF('Loan Tape (S&amp;P)'!T995="Yes",
    1.35,
    1.00)</f>
        <v/>
      </c>
      <c r="P995">
        <f>IF('Loan Tape (S&amp;P)'!S995="Yes",
    1.15,
    1.00)</f>
        <v/>
      </c>
      <c r="Q995">
        <f>IF('Loan Tape (S&amp;P)'!V995="Yes",
    1.20,
    1.00)</f>
        <v/>
      </c>
      <c r="T995">
        <f>LET(
    payment_method,'Loan Tape (S&amp;P)'!P995,
    occupancy,'Loan Tape (S&amp;P)'!N995,
    maturity_date,'Loan Tape (S&amp;P)'!L995,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6">
      <c r="J996">
        <f>LET(
    lien,'Loan Tape (S&amp;P)'!Q996,
    IF(lien="First",1.00,
        IF(lien="Second",1.50,
            1.70)))</f>
        <v/>
      </c>
      <c r="K996">
        <f>LET(
    purpose,'Loan Tape (S&amp;P)'!R996,
    IF(purpose="Purchase",1.00,
        IF(purpose="Remortgage",1.00,
            1.20)))</f>
        <v/>
      </c>
      <c r="L996">
        <f>LET(
    arrears_months,'Loan Tape (S&amp;P)'!AN996,
    IF(arrears_months=0,1.00,
    IF(arrears_months=1,3.00,
    IF(arrears_months=2,5.00,
    IF(arrears_months=3,8.00,
    IF(arrears_months=4,10.00,
    IF(arrears_months=5,12.00,15.00)))))))</f>
        <v/>
      </c>
      <c r="M996">
        <f>LET(
    seasoning_years,DATEDIF('Loan Tape (S&amp;P)'!K996,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6">
        <f>IF(AND('Loan Tape (S&amp;P)'!U996="Yes",
        'Loan Tape (S&amp;P)'!T996&lt;&gt;"Yes",
        DATEDIF('Loan Tape (S&amp;P)'!K996, TODAY(), "M")&lt;18),
    1.10,
    1.00)</f>
        <v/>
      </c>
      <c r="O996">
        <f>IF('Loan Tape (S&amp;P)'!T996="Yes",
    1.35,
    1.00)</f>
        <v/>
      </c>
      <c r="P996">
        <f>IF('Loan Tape (S&amp;P)'!S996="Yes",
    1.15,
    1.00)</f>
        <v/>
      </c>
      <c r="Q996">
        <f>IF('Loan Tape (S&amp;P)'!V996="Yes",
    1.20,
    1.00)</f>
        <v/>
      </c>
      <c r="T996">
        <f>LET(
    payment_method,'Loan Tape (S&amp;P)'!P996,
    occupancy,'Loan Tape (S&amp;P)'!N996,
    maturity_date,'Loan Tape (S&amp;P)'!L996,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7">
      <c r="J997">
        <f>LET(
    lien,'Loan Tape (S&amp;P)'!Q997,
    IF(lien="First",1.00,
        IF(lien="Second",1.50,
            1.70)))</f>
        <v/>
      </c>
      <c r="K997">
        <f>LET(
    purpose,'Loan Tape (S&amp;P)'!R997,
    IF(purpose="Purchase",1.00,
        IF(purpose="Remortgage",1.00,
            1.20)))</f>
        <v/>
      </c>
      <c r="L997">
        <f>LET(
    arrears_months,'Loan Tape (S&amp;P)'!AN997,
    IF(arrears_months=0,1.00,
    IF(arrears_months=1,3.00,
    IF(arrears_months=2,5.00,
    IF(arrears_months=3,8.00,
    IF(arrears_months=4,10.00,
    IF(arrears_months=5,12.00,15.00)))))))</f>
        <v/>
      </c>
      <c r="M997">
        <f>LET(
    seasoning_years,DATEDIF('Loan Tape (S&amp;P)'!K997,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7">
        <f>IF(AND('Loan Tape (S&amp;P)'!U997="Yes",
        'Loan Tape (S&amp;P)'!T997&lt;&gt;"Yes",
        DATEDIF('Loan Tape (S&amp;P)'!K997, TODAY(), "M")&lt;18),
    1.10,
    1.00)</f>
        <v/>
      </c>
      <c r="O997">
        <f>IF('Loan Tape (S&amp;P)'!T997="Yes",
    1.35,
    1.00)</f>
        <v/>
      </c>
      <c r="P997">
        <f>IF('Loan Tape (S&amp;P)'!S997="Yes",
    1.15,
    1.00)</f>
        <v/>
      </c>
      <c r="Q997">
        <f>IF('Loan Tape (S&amp;P)'!V997="Yes",
    1.20,
    1.00)</f>
        <v/>
      </c>
      <c r="T997">
        <f>LET(
    payment_method,'Loan Tape (S&amp;P)'!P997,
    occupancy,'Loan Tape (S&amp;P)'!N997,
    maturity_date,'Loan Tape (S&amp;P)'!L997,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8">
      <c r="J998">
        <f>LET(
    lien,'Loan Tape (S&amp;P)'!Q998,
    IF(lien="First",1.00,
        IF(lien="Second",1.50,
            1.70)))</f>
        <v/>
      </c>
      <c r="K998">
        <f>LET(
    purpose,'Loan Tape (S&amp;P)'!R998,
    IF(purpose="Purchase",1.00,
        IF(purpose="Remortgage",1.00,
            1.20)))</f>
        <v/>
      </c>
      <c r="L998">
        <f>LET(
    arrears_months,'Loan Tape (S&amp;P)'!AN998,
    IF(arrears_months=0,1.00,
    IF(arrears_months=1,3.00,
    IF(arrears_months=2,5.00,
    IF(arrears_months=3,8.00,
    IF(arrears_months=4,10.00,
    IF(arrears_months=5,12.00,15.00)))))))</f>
        <v/>
      </c>
      <c r="M998">
        <f>LET(
    seasoning_years,DATEDIF('Loan Tape (S&amp;P)'!K998,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8">
        <f>IF(AND('Loan Tape (S&amp;P)'!U998="Yes",
        'Loan Tape (S&amp;P)'!T998&lt;&gt;"Yes",
        DATEDIF('Loan Tape (S&amp;P)'!K998, TODAY(), "M")&lt;18),
    1.10,
    1.00)</f>
        <v/>
      </c>
      <c r="O998">
        <f>IF('Loan Tape (S&amp;P)'!T998="Yes",
    1.35,
    1.00)</f>
        <v/>
      </c>
      <c r="P998">
        <f>IF('Loan Tape (S&amp;P)'!S998="Yes",
    1.15,
    1.00)</f>
        <v/>
      </c>
      <c r="Q998">
        <f>IF('Loan Tape (S&amp;P)'!V998="Yes",
    1.20,
    1.00)</f>
        <v/>
      </c>
      <c r="T998">
        <f>LET(
    payment_method,'Loan Tape (S&amp;P)'!P998,
    occupancy,'Loan Tape (S&amp;P)'!N998,
    maturity_date,'Loan Tape (S&amp;P)'!L998,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9">
      <c r="J999">
        <f>LET(
    lien,'Loan Tape (S&amp;P)'!Q999,
    IF(lien="First",1.00,
        IF(lien="Second",1.50,
            1.70)))</f>
        <v/>
      </c>
      <c r="K999">
        <f>LET(
    purpose,'Loan Tape (S&amp;P)'!R999,
    IF(purpose="Purchase",1.00,
        IF(purpose="Remortgage",1.00,
            1.20)))</f>
        <v/>
      </c>
      <c r="L999">
        <f>LET(
    arrears_months,'Loan Tape (S&amp;P)'!AN999,
    IF(arrears_months=0,1.00,
    IF(arrears_months=1,3.00,
    IF(arrears_months=2,5.00,
    IF(arrears_months=3,8.00,
    IF(arrears_months=4,10.00,
    IF(arrears_months=5,12.00,15.00)))))))</f>
        <v/>
      </c>
      <c r="M999">
        <f>LET(
    seasoning_years,DATEDIF('Loan Tape (S&amp;P)'!K999,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9">
        <f>IF(AND('Loan Tape (S&amp;P)'!U999="Yes",
        'Loan Tape (S&amp;P)'!T999&lt;&gt;"Yes",
        DATEDIF('Loan Tape (S&amp;P)'!K999, TODAY(), "M")&lt;18),
    1.10,
    1.00)</f>
        <v/>
      </c>
      <c r="O999">
        <f>IF('Loan Tape (S&amp;P)'!T999="Yes",
    1.35,
    1.00)</f>
        <v/>
      </c>
      <c r="P999">
        <f>IF('Loan Tape (S&amp;P)'!S999="Yes",
    1.15,
    1.00)</f>
        <v/>
      </c>
      <c r="Q999">
        <f>IF('Loan Tape (S&amp;P)'!V999="Yes",
    1.20,
    1.00)</f>
        <v/>
      </c>
      <c r="T999">
        <f>LET(
    payment_method,'Loan Tape (S&amp;P)'!P999,
    occupancy,'Loan Tape (S&amp;P)'!N999,
    maturity_date,'Loan Tape (S&amp;P)'!L999,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00">
      <c r="J1000">
        <f>LET(
    lien,'Loan Tape (S&amp;P)'!Q1000,
    IF(lien="First",1.00,
        IF(lien="Second",1.50,
            1.70)))</f>
        <v/>
      </c>
      <c r="K1000">
        <f>LET(
    purpose,'Loan Tape (S&amp;P)'!R1000,
    IF(purpose="Purchase",1.00,
        IF(purpose="Remortgage",1.00,
            1.20)))</f>
        <v/>
      </c>
      <c r="L1000">
        <f>LET(
    arrears_months,'Loan Tape (S&amp;P)'!AN1000,
    IF(arrears_months=0,1.00,
    IF(arrears_months=1,3.00,
    IF(arrears_months=2,5.00,
    IF(arrears_months=3,8.00,
    IF(arrears_months=4,10.00,
    IF(arrears_months=5,12.00,15.00)))))))</f>
        <v/>
      </c>
      <c r="M1000">
        <f>LET(
    seasoning_years,DATEDIF('Loan Tape (S&amp;P)'!K1000,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00">
        <f>IF(AND('Loan Tape (S&amp;P)'!U1000="Yes",
        'Loan Tape (S&amp;P)'!T1000&lt;&gt;"Yes",
        DATEDIF('Loan Tape (S&amp;P)'!K1000, TODAY(), "M")&lt;18),
    1.10,
    1.00)</f>
        <v/>
      </c>
      <c r="O1000">
        <f>IF('Loan Tape (S&amp;P)'!T1000="Yes",
    1.35,
    1.00)</f>
        <v/>
      </c>
      <c r="P1000">
        <f>IF('Loan Tape (S&amp;P)'!S1000="Yes",
    1.15,
    1.00)</f>
        <v/>
      </c>
      <c r="Q1000">
        <f>IF('Loan Tape (S&amp;P)'!V1000="Yes",
    1.20,
    1.00)</f>
        <v/>
      </c>
      <c r="T1000">
        <f>LET(
    payment_method,'Loan Tape (S&amp;P)'!P1000,
    occupancy,'Loan Tape (S&amp;P)'!N1000,
    maturity_date,'Loan Tape (S&amp;P)'!L1000,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01">
      <c r="J1001">
        <f>LET(
    lien,'Loan Tape (S&amp;P)'!Q1001,
    IF(lien="First",1.00,
        IF(lien="Second",1.50,
            1.70)))</f>
        <v/>
      </c>
      <c r="K1001">
        <f>LET(
    purpose,'Loan Tape (S&amp;P)'!R1001,
    IF(purpose="Purchase",1.00,
        IF(purpose="Remortgage",1.00,
            1.20)))</f>
        <v/>
      </c>
      <c r="L1001">
        <f>LET(
    arrears_months,'Loan Tape (S&amp;P)'!AN1001,
    IF(arrears_months=0,1.00,
    IF(arrears_months=1,3.00,
    IF(arrears_months=2,5.00,
    IF(arrears_months=3,8.00,
    IF(arrears_months=4,10.00,
    IF(arrears_months=5,12.00,15.00)))))))</f>
        <v/>
      </c>
      <c r="M1001">
        <f>LET(
    seasoning_years,DATEDIF('Loan Tape (S&amp;P)'!K1001,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01">
        <f>IF(AND('Loan Tape (S&amp;P)'!U1001="Yes",
        'Loan Tape (S&amp;P)'!T1001&lt;&gt;"Yes",
        DATEDIF('Loan Tape (S&amp;P)'!K1001, TODAY(), "M")&lt;18),
    1.10,
    1.00)</f>
        <v/>
      </c>
      <c r="O1001">
        <f>IF('Loan Tape (S&amp;P)'!T1001="Yes",
    1.35,
    1.00)</f>
        <v/>
      </c>
      <c r="P1001">
        <f>IF('Loan Tape (S&amp;P)'!S1001="Yes",
    1.15,
    1.00)</f>
        <v/>
      </c>
      <c r="Q1001">
        <f>IF('Loan Tape (S&amp;P)'!V1001="Yes",
    1.20,
    1.00)</f>
        <v/>
      </c>
      <c r="T1001">
        <f>LET(
    payment_method,'Loan Tape (S&amp;P)'!P1001,
    occupancy,'Loan Tape (S&amp;P)'!N1001,
    maturity_date,'Loan Tape (S&amp;P)'!L1001,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02">
      <c r="J1002">
        <f>LET(
    lien,'Loan Tape (S&amp;P)'!Q1002,
    IF(lien="First",1.00,
        IF(lien="Second",1.50,
            1.70)))</f>
        <v/>
      </c>
      <c r="K1002">
        <f>LET(
    purpose,'Loan Tape (S&amp;P)'!R1002,
    IF(purpose="Purchase",1.00,
        IF(purpose="Remortgage",1.00,
            1.20)))</f>
        <v/>
      </c>
      <c r="L1002">
        <f>LET(
    arrears_months,'Loan Tape (S&amp;P)'!AN1002,
    IF(arrears_months=0,1.00,
    IF(arrears_months=1,3.00,
    IF(arrears_months=2,5.00,
    IF(arrears_months=3,8.00,
    IF(arrears_months=4,10.00,
    IF(arrears_months=5,12.00,15.00)))))))</f>
        <v/>
      </c>
      <c r="M1002">
        <f>LET(
    seasoning_years,DATEDIF('Loan Tape (S&amp;P)'!K1002,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02">
        <f>IF(AND('Loan Tape (S&amp;P)'!U1002="Yes",
        'Loan Tape (S&amp;P)'!T1002&lt;&gt;"Yes",
        DATEDIF('Loan Tape (S&amp;P)'!K1002, TODAY(), "M")&lt;18),
    1.10,
    1.00)</f>
        <v/>
      </c>
      <c r="O1002">
        <f>IF('Loan Tape (S&amp;P)'!T1002="Yes",
    1.35,
    1.00)</f>
        <v/>
      </c>
      <c r="P1002">
        <f>IF('Loan Tape (S&amp;P)'!S1002="Yes",
    1.15,
    1.00)</f>
        <v/>
      </c>
      <c r="Q1002">
        <f>IF('Loan Tape (S&amp;P)'!V1002="Yes",
    1.20,
    1.00)</f>
        <v/>
      </c>
      <c r="T1002">
        <f>LET(
    payment_method,'Loan Tape (S&amp;P)'!P1002,
    occupancy,'Loan Tape (S&amp;P)'!N1002,
    maturity_date,'Loan Tape (S&amp;P)'!L1002,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03">
      <c r="J1003">
        <f>LET(
    lien,'Loan Tape (S&amp;P)'!Q1003,
    IF(lien="First",1.00,
        IF(lien="Second",1.50,
            1.70)))</f>
        <v/>
      </c>
      <c r="K1003">
        <f>LET(
    purpose,'Loan Tape (S&amp;P)'!R1003,
    IF(purpose="Purchase",1.00,
        IF(purpose="Remortgage",1.00,
            1.20)))</f>
        <v/>
      </c>
      <c r="L1003">
        <f>LET(
    arrears_months,'Loan Tape (S&amp;P)'!AN1003,
    IF(arrears_months=0,1.00,
    IF(arrears_months=1,3.00,
    IF(arrears_months=2,5.00,
    IF(arrears_months=3,8.00,
    IF(arrears_months=4,10.00,
    IF(arrears_months=5,12.00,15.00)))))))</f>
        <v/>
      </c>
      <c r="M1003">
        <f>LET(
    seasoning_years,DATEDIF('Loan Tape (S&amp;P)'!K1003,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03">
        <f>IF(AND('Loan Tape (S&amp;P)'!U1003="Yes",
        'Loan Tape (S&amp;P)'!T1003&lt;&gt;"Yes",
        DATEDIF('Loan Tape (S&amp;P)'!K1003, TODAY(), "M")&lt;18),
    1.10,
    1.00)</f>
        <v/>
      </c>
      <c r="O1003">
        <f>IF('Loan Tape (S&amp;P)'!T1003="Yes",
    1.35,
    1.00)</f>
        <v/>
      </c>
      <c r="P1003">
        <f>IF('Loan Tape (S&amp;P)'!S1003="Yes",
    1.15,
    1.00)</f>
        <v/>
      </c>
      <c r="Q1003">
        <f>IF('Loan Tape (S&amp;P)'!V1003="Yes",
    1.20,
    1.00)</f>
        <v/>
      </c>
      <c r="T1003">
        <f>LET(
    payment_method,'Loan Tape (S&amp;P)'!P1003,
    occupancy,'Loan Tape (S&amp;P)'!N1003,
    maturity_date,'Loan Tape (S&amp;P)'!L1003,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04">
      <c r="J1004">
        <f>LET(
    lien,'Loan Tape (S&amp;P)'!Q1004,
    IF(lien="First",1.00,
        IF(lien="Second",1.50,
            1.70)))</f>
        <v/>
      </c>
      <c r="K1004">
        <f>LET(
    purpose,'Loan Tape (S&amp;P)'!R1004,
    IF(purpose="Purchase",1.00,
        IF(purpose="Remortgage",1.00,
            1.20)))</f>
        <v/>
      </c>
      <c r="L1004">
        <f>LET(
    arrears_months,'Loan Tape (S&amp;P)'!AN1004,
    IF(arrears_months=0,1.00,
    IF(arrears_months=1,3.00,
    IF(arrears_months=2,5.00,
    IF(arrears_months=3,8.00,
    IF(arrears_months=4,10.00,
    IF(arrears_months=5,12.00,15.00)))))))</f>
        <v/>
      </c>
      <c r="M1004">
        <f>LET(
    seasoning_years,DATEDIF('Loan Tape (S&amp;P)'!K1004,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04">
        <f>IF(AND('Loan Tape (S&amp;P)'!U1004="Yes",
        'Loan Tape (S&amp;P)'!T1004&lt;&gt;"Yes",
        DATEDIF('Loan Tape (S&amp;P)'!K1004, TODAY(), "M")&lt;18),
    1.10,
    1.00)</f>
        <v/>
      </c>
      <c r="O1004">
        <f>IF('Loan Tape (S&amp;P)'!T1004="Yes",
    1.35,
    1.00)</f>
        <v/>
      </c>
      <c r="P1004">
        <f>IF('Loan Tape (S&amp;P)'!S1004="Yes",
    1.15,
    1.00)</f>
        <v/>
      </c>
      <c r="Q1004">
        <f>IF('Loan Tape (S&amp;P)'!V1004="Yes",
    1.20,
    1.00)</f>
        <v/>
      </c>
      <c r="T1004">
        <f>LET(
    payment_method,'Loan Tape (S&amp;P)'!P1004,
    occupancy,'Loan Tape (S&amp;P)'!N1004,
    maturity_date,'Loan Tape (S&amp;P)'!L1004,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05">
      <c r="J1005">
        <f>LET(
    lien,'Loan Tape (S&amp;P)'!Q1005,
    IF(lien="First",1.00,
        IF(lien="Second",1.50,
            1.70)))</f>
        <v/>
      </c>
      <c r="K1005">
        <f>LET(
    purpose,'Loan Tape (S&amp;P)'!R1005,
    IF(purpose="Purchase",1.00,
        IF(purpose="Remortgage",1.00,
            1.20)))</f>
        <v/>
      </c>
      <c r="L1005">
        <f>LET(
    arrears_months,'Loan Tape (S&amp;P)'!AN1005,
    IF(arrears_months=0,1.00,
    IF(arrears_months=1,3.00,
    IF(arrears_months=2,5.00,
    IF(arrears_months=3,8.00,
    IF(arrears_months=4,10.00,
    IF(arrears_months=5,12.00,15.00)))))))</f>
        <v/>
      </c>
      <c r="M1005">
        <f>LET(
    seasoning_years,DATEDIF('Loan Tape (S&amp;P)'!K1005,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05">
        <f>IF(AND('Loan Tape (S&amp;P)'!U1005="Yes",
        'Loan Tape (S&amp;P)'!T1005&lt;&gt;"Yes",
        DATEDIF('Loan Tape (S&amp;P)'!K1005, TODAY(), "M")&lt;18),
    1.10,
    1.00)</f>
        <v/>
      </c>
      <c r="O1005">
        <f>IF('Loan Tape (S&amp;P)'!T1005="Yes",
    1.35,
    1.00)</f>
        <v/>
      </c>
      <c r="P1005">
        <f>IF('Loan Tape (S&amp;P)'!S1005="Yes",
    1.15,
    1.00)</f>
        <v/>
      </c>
      <c r="Q1005">
        <f>IF('Loan Tape (S&amp;P)'!V1005="Yes",
    1.20,
    1.00)</f>
        <v/>
      </c>
      <c r="T1005">
        <f>LET(
    payment_method,'Loan Tape (S&amp;P)'!P1005,
    occupancy,'Loan Tape (S&amp;P)'!N1005,
    maturity_date,'Loan Tape (S&amp;P)'!L1005,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06">
      <c r="J1006">
        <f>LET(
    lien,'Loan Tape (S&amp;P)'!Q1006,
    IF(lien="First",1.00,
        IF(lien="Second",1.50,
            1.70)))</f>
        <v/>
      </c>
      <c r="K1006">
        <f>LET(
    purpose,'Loan Tape (S&amp;P)'!R1006,
    IF(purpose="Purchase",1.00,
        IF(purpose="Remortgage",1.00,
            1.20)))</f>
        <v/>
      </c>
      <c r="L1006">
        <f>LET(
    arrears_months,'Loan Tape (S&amp;P)'!AN1006,
    IF(arrears_months=0,1.00,
    IF(arrears_months=1,3.00,
    IF(arrears_months=2,5.00,
    IF(arrears_months=3,8.00,
    IF(arrears_months=4,10.00,
    IF(arrears_months=5,12.00,15.00)))))))</f>
        <v/>
      </c>
      <c r="M1006">
        <f>LET(
    seasoning_years,DATEDIF('Loan Tape (S&amp;P)'!K1006,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06">
        <f>IF(AND('Loan Tape (S&amp;P)'!U1006="Yes",
        'Loan Tape (S&amp;P)'!T1006&lt;&gt;"Yes",
        DATEDIF('Loan Tape (S&amp;P)'!K1006, TODAY(), "M")&lt;18),
    1.10,
    1.00)</f>
        <v/>
      </c>
      <c r="O1006">
        <f>IF('Loan Tape (S&amp;P)'!T1006="Yes",
    1.35,
    1.00)</f>
        <v/>
      </c>
      <c r="P1006">
        <f>IF('Loan Tape (S&amp;P)'!S1006="Yes",
    1.15,
    1.00)</f>
        <v/>
      </c>
      <c r="Q1006">
        <f>IF('Loan Tape (S&amp;P)'!V1006="Yes",
    1.20,
    1.00)</f>
        <v/>
      </c>
      <c r="T1006">
        <f>LET(
    payment_method,'Loan Tape (S&amp;P)'!P1006,
    occupancy,'Loan Tape (S&amp;P)'!N1006,
    maturity_date,'Loan Tape (S&amp;P)'!L1006,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07">
      <c r="J1007">
        <f>LET(
    lien,'Loan Tape (S&amp;P)'!Q1007,
    IF(lien="First",1.00,
        IF(lien="Second",1.50,
            1.70)))</f>
        <v/>
      </c>
      <c r="K1007">
        <f>LET(
    purpose,'Loan Tape (S&amp;P)'!R1007,
    IF(purpose="Purchase",1.00,
        IF(purpose="Remortgage",1.00,
            1.20)))</f>
        <v/>
      </c>
      <c r="L1007">
        <f>LET(
    arrears_months,'Loan Tape (S&amp;P)'!AN1007,
    IF(arrears_months=0,1.00,
    IF(arrears_months=1,3.00,
    IF(arrears_months=2,5.00,
    IF(arrears_months=3,8.00,
    IF(arrears_months=4,10.00,
    IF(arrears_months=5,12.00,15.00)))))))</f>
        <v/>
      </c>
      <c r="M1007">
        <f>LET(
    seasoning_years,DATEDIF('Loan Tape (S&amp;P)'!K1007,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07">
        <f>IF(AND('Loan Tape (S&amp;P)'!U1007="Yes",
        'Loan Tape (S&amp;P)'!T1007&lt;&gt;"Yes",
        DATEDIF('Loan Tape (S&amp;P)'!K1007, TODAY(), "M")&lt;18),
    1.10,
    1.00)</f>
        <v/>
      </c>
      <c r="O1007">
        <f>IF('Loan Tape (S&amp;P)'!T1007="Yes",
    1.35,
    1.00)</f>
        <v/>
      </c>
      <c r="P1007">
        <f>IF('Loan Tape (S&amp;P)'!S1007="Yes",
    1.15,
    1.00)</f>
        <v/>
      </c>
      <c r="Q1007">
        <f>IF('Loan Tape (S&amp;P)'!V1007="Yes",
    1.20,
    1.00)</f>
        <v/>
      </c>
      <c r="T1007">
        <f>LET(
    payment_method,'Loan Tape (S&amp;P)'!P1007,
    occupancy,'Loan Tape (S&amp;P)'!N1007,
    maturity_date,'Loan Tape (S&amp;P)'!L1007,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08">
      <c r="J1008">
        <f>LET(
    lien,'Loan Tape (S&amp;P)'!Q1008,
    IF(lien="First",1.00,
        IF(lien="Second",1.50,
            1.70)))</f>
        <v/>
      </c>
      <c r="K1008">
        <f>LET(
    purpose,'Loan Tape (S&amp;P)'!R1008,
    IF(purpose="Purchase",1.00,
        IF(purpose="Remortgage",1.00,
            1.20)))</f>
        <v/>
      </c>
      <c r="L1008">
        <f>LET(
    arrears_months,'Loan Tape (S&amp;P)'!AN1008,
    IF(arrears_months=0,1.00,
    IF(arrears_months=1,3.00,
    IF(arrears_months=2,5.00,
    IF(arrears_months=3,8.00,
    IF(arrears_months=4,10.00,
    IF(arrears_months=5,12.00,15.00)))))))</f>
        <v/>
      </c>
      <c r="M1008">
        <f>LET(
    seasoning_years,DATEDIF('Loan Tape (S&amp;P)'!K1008,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08">
        <f>IF(AND('Loan Tape (S&amp;P)'!U1008="Yes",
        'Loan Tape (S&amp;P)'!T1008&lt;&gt;"Yes",
        DATEDIF('Loan Tape (S&amp;P)'!K1008, TODAY(), "M")&lt;18),
    1.10,
    1.00)</f>
        <v/>
      </c>
      <c r="O1008">
        <f>IF('Loan Tape (S&amp;P)'!T1008="Yes",
    1.35,
    1.00)</f>
        <v/>
      </c>
      <c r="P1008">
        <f>IF('Loan Tape (S&amp;P)'!S1008="Yes",
    1.15,
    1.00)</f>
        <v/>
      </c>
      <c r="Q1008">
        <f>IF('Loan Tape (S&amp;P)'!V1008="Yes",
    1.20,
    1.00)</f>
        <v/>
      </c>
      <c r="T1008">
        <f>LET(
    payment_method,'Loan Tape (S&amp;P)'!P1008,
    occupancy,'Loan Tape (S&amp;P)'!N1008,
    maturity_date,'Loan Tape (S&amp;P)'!L1008,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09">
      <c r="J1009">
        <f>LET(
    lien,'Loan Tape (S&amp;P)'!Q1009,
    IF(lien="First",1.00,
        IF(lien="Second",1.50,
            1.70)))</f>
        <v/>
      </c>
      <c r="K1009">
        <f>LET(
    purpose,'Loan Tape (S&amp;P)'!R1009,
    IF(purpose="Purchase",1.00,
        IF(purpose="Remortgage",1.00,
            1.20)))</f>
        <v/>
      </c>
      <c r="L1009">
        <f>LET(
    arrears_months,'Loan Tape (S&amp;P)'!AN1009,
    IF(arrears_months=0,1.00,
    IF(arrears_months=1,3.00,
    IF(arrears_months=2,5.00,
    IF(arrears_months=3,8.00,
    IF(arrears_months=4,10.00,
    IF(arrears_months=5,12.00,15.00)))))))</f>
        <v/>
      </c>
      <c r="M1009">
        <f>LET(
    seasoning_years,DATEDIF('Loan Tape (S&amp;P)'!K1009,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09">
        <f>IF(AND('Loan Tape (S&amp;P)'!U1009="Yes",
        'Loan Tape (S&amp;P)'!T1009&lt;&gt;"Yes",
        DATEDIF('Loan Tape (S&amp;P)'!K1009, TODAY(), "M")&lt;18),
    1.10,
    1.00)</f>
        <v/>
      </c>
      <c r="O1009">
        <f>IF('Loan Tape (S&amp;P)'!T1009="Yes",
    1.35,
    1.00)</f>
        <v/>
      </c>
      <c r="P1009">
        <f>IF('Loan Tape (S&amp;P)'!S1009="Yes",
    1.15,
    1.00)</f>
        <v/>
      </c>
      <c r="Q1009">
        <f>IF('Loan Tape (S&amp;P)'!V1009="Yes",
    1.20,
    1.00)</f>
        <v/>
      </c>
      <c r="T1009">
        <f>LET(
    payment_method,'Loan Tape (S&amp;P)'!P1009,
    occupancy,'Loan Tape (S&amp;P)'!N1009,
    maturity_date,'Loan Tape (S&amp;P)'!L1009,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10">
      <c r="J1010">
        <f>LET(
    lien,'Loan Tape (S&amp;P)'!Q1010,
    IF(lien="First",1.00,
        IF(lien="Second",1.50,
            1.70)))</f>
        <v/>
      </c>
      <c r="K1010">
        <f>LET(
    purpose,'Loan Tape (S&amp;P)'!R1010,
    IF(purpose="Purchase",1.00,
        IF(purpose="Remortgage",1.00,
            1.20)))</f>
        <v/>
      </c>
      <c r="L1010">
        <f>LET(
    arrears_months,'Loan Tape (S&amp;P)'!AN1010,
    IF(arrears_months=0,1.00,
    IF(arrears_months=1,3.00,
    IF(arrears_months=2,5.00,
    IF(arrears_months=3,8.00,
    IF(arrears_months=4,10.00,
    IF(arrears_months=5,12.00,15.00)))))))</f>
        <v/>
      </c>
      <c r="M1010">
        <f>LET(
    seasoning_years,DATEDIF('Loan Tape (S&amp;P)'!K1010,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10">
        <f>IF(AND('Loan Tape (S&amp;P)'!U1010="Yes",
        'Loan Tape (S&amp;P)'!T1010&lt;&gt;"Yes",
        DATEDIF('Loan Tape (S&amp;P)'!K1010, TODAY(), "M")&lt;18),
    1.10,
    1.00)</f>
        <v/>
      </c>
      <c r="O1010">
        <f>IF('Loan Tape (S&amp;P)'!T1010="Yes",
    1.35,
    1.00)</f>
        <v/>
      </c>
      <c r="P1010">
        <f>IF('Loan Tape (S&amp;P)'!S1010="Yes",
    1.15,
    1.00)</f>
        <v/>
      </c>
      <c r="Q1010">
        <f>IF('Loan Tape (S&amp;P)'!V1010="Yes",
    1.20,
    1.00)</f>
        <v/>
      </c>
      <c r="T1010">
        <f>LET(
    payment_method,'Loan Tape (S&amp;P)'!P1010,
    occupancy,'Loan Tape (S&amp;P)'!N1010,
    maturity_date,'Loan Tape (S&amp;P)'!L1010,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11">
      <c r="J1011">
        <f>LET(
    lien,'Loan Tape (S&amp;P)'!Q1011,
    IF(lien="First",1.00,
        IF(lien="Second",1.50,
            1.70)))</f>
        <v/>
      </c>
      <c r="K1011">
        <f>LET(
    purpose,'Loan Tape (S&amp;P)'!R1011,
    IF(purpose="Purchase",1.00,
        IF(purpose="Remortgage",1.00,
            1.20)))</f>
        <v/>
      </c>
      <c r="L1011">
        <f>LET(
    arrears_months,'Loan Tape (S&amp;P)'!AN1011,
    IF(arrears_months=0,1.00,
    IF(arrears_months=1,3.00,
    IF(arrears_months=2,5.00,
    IF(arrears_months=3,8.00,
    IF(arrears_months=4,10.00,
    IF(arrears_months=5,12.00,15.00)))))))</f>
        <v/>
      </c>
      <c r="M1011">
        <f>LET(
    seasoning_years,DATEDIF('Loan Tape (S&amp;P)'!K1011,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11">
        <f>IF(AND('Loan Tape (S&amp;P)'!U1011="Yes",
        'Loan Tape (S&amp;P)'!T1011&lt;&gt;"Yes",
        DATEDIF('Loan Tape (S&amp;P)'!K1011, TODAY(), "M")&lt;18),
    1.10,
    1.00)</f>
        <v/>
      </c>
      <c r="O1011">
        <f>IF('Loan Tape (S&amp;P)'!T1011="Yes",
    1.35,
    1.00)</f>
        <v/>
      </c>
      <c r="P1011">
        <f>IF('Loan Tape (S&amp;P)'!S1011="Yes",
    1.15,
    1.00)</f>
        <v/>
      </c>
      <c r="Q1011">
        <f>IF('Loan Tape (S&amp;P)'!V1011="Yes",
    1.20,
    1.00)</f>
        <v/>
      </c>
      <c r="T1011">
        <f>LET(
    payment_method,'Loan Tape (S&amp;P)'!P1011,
    occupancy,'Loan Tape (S&amp;P)'!N1011,
    maturity_date,'Loan Tape (S&amp;P)'!L1011,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12">
      <c r="J1012">
        <f>LET(
    lien,'Loan Tape (S&amp;P)'!Q1012,
    IF(lien="First",1.00,
        IF(lien="Second",1.50,
            1.70)))</f>
        <v/>
      </c>
      <c r="K1012">
        <f>LET(
    purpose,'Loan Tape (S&amp;P)'!R1012,
    IF(purpose="Purchase",1.00,
        IF(purpose="Remortgage",1.00,
            1.20)))</f>
        <v/>
      </c>
      <c r="L1012">
        <f>LET(
    arrears_months,'Loan Tape (S&amp;P)'!AN1012,
    IF(arrears_months=0,1.00,
    IF(arrears_months=1,3.00,
    IF(arrears_months=2,5.00,
    IF(arrears_months=3,8.00,
    IF(arrears_months=4,10.00,
    IF(arrears_months=5,12.00,15.00)))))))</f>
        <v/>
      </c>
      <c r="M1012">
        <f>LET(
    seasoning_years,DATEDIF('Loan Tape (S&amp;P)'!K1012,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12">
        <f>IF(AND('Loan Tape (S&amp;P)'!U1012="Yes",
        'Loan Tape (S&amp;P)'!T1012&lt;&gt;"Yes",
        DATEDIF('Loan Tape (S&amp;P)'!K1012, TODAY(), "M")&lt;18),
    1.10,
    1.00)</f>
        <v/>
      </c>
      <c r="O1012">
        <f>IF('Loan Tape (S&amp;P)'!T1012="Yes",
    1.35,
    1.00)</f>
        <v/>
      </c>
      <c r="P1012">
        <f>IF('Loan Tape (S&amp;P)'!S1012="Yes",
    1.15,
    1.00)</f>
        <v/>
      </c>
      <c r="Q1012">
        <f>IF('Loan Tape (S&amp;P)'!V1012="Yes",
    1.20,
    1.00)</f>
        <v/>
      </c>
      <c r="T1012">
        <f>LET(
    payment_method,'Loan Tape (S&amp;P)'!P1012,
    occupancy,'Loan Tape (S&amp;P)'!N1012,
    maturity_date,'Loan Tape (S&amp;P)'!L1012,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13">
      <c r="J1013">
        <f>LET(
    lien,'Loan Tape (S&amp;P)'!Q1013,
    IF(lien="First",1.00,
        IF(lien="Second",1.50,
            1.70)))</f>
        <v/>
      </c>
      <c r="K1013">
        <f>LET(
    purpose,'Loan Tape (S&amp;P)'!R1013,
    IF(purpose="Purchase",1.00,
        IF(purpose="Remortgage",1.00,
            1.20)))</f>
        <v/>
      </c>
      <c r="L1013">
        <f>LET(
    arrears_months,'Loan Tape (S&amp;P)'!AN1013,
    IF(arrears_months=0,1.00,
    IF(arrears_months=1,3.00,
    IF(arrears_months=2,5.00,
    IF(arrears_months=3,8.00,
    IF(arrears_months=4,10.00,
    IF(arrears_months=5,12.00,15.00)))))))</f>
        <v/>
      </c>
      <c r="M1013">
        <f>LET(
    seasoning_years,DATEDIF('Loan Tape (S&amp;P)'!K1013,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13">
        <f>IF(AND('Loan Tape (S&amp;P)'!U1013="Yes",
        'Loan Tape (S&amp;P)'!T1013&lt;&gt;"Yes",
        DATEDIF('Loan Tape (S&amp;P)'!K1013, TODAY(), "M")&lt;18),
    1.10,
    1.00)</f>
        <v/>
      </c>
      <c r="O1013">
        <f>IF('Loan Tape (S&amp;P)'!T1013="Yes",
    1.35,
    1.00)</f>
        <v/>
      </c>
      <c r="P1013">
        <f>IF('Loan Tape (S&amp;P)'!S1013="Yes",
    1.15,
    1.00)</f>
        <v/>
      </c>
      <c r="Q1013">
        <f>IF('Loan Tape (S&amp;P)'!V1013="Yes",
    1.20,
    1.00)</f>
        <v/>
      </c>
      <c r="T1013">
        <f>LET(
    payment_method,'Loan Tape (S&amp;P)'!P1013,
    occupancy,'Loan Tape (S&amp;P)'!N1013,
    maturity_date,'Loan Tape (S&amp;P)'!L1013,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14">
      <c r="J1014">
        <f>LET(
    lien,'Loan Tape (S&amp;P)'!Q1014,
    IF(lien="First",1.00,
        IF(lien="Second",1.50,
            1.70)))</f>
        <v/>
      </c>
      <c r="K1014">
        <f>LET(
    purpose,'Loan Tape (S&amp;P)'!R1014,
    IF(purpose="Purchase",1.00,
        IF(purpose="Remortgage",1.00,
            1.20)))</f>
        <v/>
      </c>
      <c r="L1014">
        <f>LET(
    arrears_months,'Loan Tape (S&amp;P)'!AN1014,
    IF(arrears_months=0,1.00,
    IF(arrears_months=1,3.00,
    IF(arrears_months=2,5.00,
    IF(arrears_months=3,8.00,
    IF(arrears_months=4,10.00,
    IF(arrears_months=5,12.00,15.00)))))))</f>
        <v/>
      </c>
      <c r="M1014">
        <f>LET(
    seasoning_years,DATEDIF('Loan Tape (S&amp;P)'!K1014,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14">
        <f>IF(AND('Loan Tape (S&amp;P)'!U1014="Yes",
        'Loan Tape (S&amp;P)'!T1014&lt;&gt;"Yes",
        DATEDIF('Loan Tape (S&amp;P)'!K1014, TODAY(), "M")&lt;18),
    1.10,
    1.00)</f>
        <v/>
      </c>
      <c r="O1014">
        <f>IF('Loan Tape (S&amp;P)'!T1014="Yes",
    1.35,
    1.00)</f>
        <v/>
      </c>
      <c r="P1014">
        <f>IF('Loan Tape (S&amp;P)'!S1014="Yes",
    1.15,
    1.00)</f>
        <v/>
      </c>
      <c r="Q1014">
        <f>IF('Loan Tape (S&amp;P)'!V1014="Yes",
    1.20,
    1.00)</f>
        <v/>
      </c>
      <c r="T1014">
        <f>LET(
    payment_method,'Loan Tape (S&amp;P)'!P1014,
    occupancy,'Loan Tape (S&amp;P)'!N1014,
    maturity_date,'Loan Tape (S&amp;P)'!L1014,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15">
      <c r="J1015">
        <f>LET(
    lien,'Loan Tape (S&amp;P)'!Q1015,
    IF(lien="First",1.00,
        IF(lien="Second",1.50,
            1.70)))</f>
        <v/>
      </c>
      <c r="K1015">
        <f>LET(
    purpose,'Loan Tape (S&amp;P)'!R1015,
    IF(purpose="Purchase",1.00,
        IF(purpose="Remortgage",1.00,
            1.20)))</f>
        <v/>
      </c>
      <c r="L1015">
        <f>LET(
    arrears_months,'Loan Tape (S&amp;P)'!AN1015,
    IF(arrears_months=0,1.00,
    IF(arrears_months=1,3.00,
    IF(arrears_months=2,5.00,
    IF(arrears_months=3,8.00,
    IF(arrears_months=4,10.00,
    IF(arrears_months=5,12.00,15.00)))))))</f>
        <v/>
      </c>
      <c r="M1015">
        <f>LET(
    seasoning_years,DATEDIF('Loan Tape (S&amp;P)'!K1015,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15">
        <f>IF(AND('Loan Tape (S&amp;P)'!U1015="Yes",
        'Loan Tape (S&amp;P)'!T1015&lt;&gt;"Yes",
        DATEDIF('Loan Tape (S&amp;P)'!K1015, TODAY(), "M")&lt;18),
    1.10,
    1.00)</f>
        <v/>
      </c>
      <c r="O1015">
        <f>IF('Loan Tape (S&amp;P)'!T1015="Yes",
    1.35,
    1.00)</f>
        <v/>
      </c>
      <c r="P1015">
        <f>IF('Loan Tape (S&amp;P)'!S1015="Yes",
    1.15,
    1.00)</f>
        <v/>
      </c>
      <c r="Q1015">
        <f>IF('Loan Tape (S&amp;P)'!V1015="Yes",
    1.20,
    1.00)</f>
        <v/>
      </c>
      <c r="T1015">
        <f>LET(
    payment_method,'Loan Tape (S&amp;P)'!P1015,
    occupancy,'Loan Tape (S&amp;P)'!N1015,
    maturity_date,'Loan Tape (S&amp;P)'!L1015,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16">
      <c r="J1016">
        <f>LET(
    lien,'Loan Tape (S&amp;P)'!Q1016,
    IF(lien="First",1.00,
        IF(lien="Second",1.50,
            1.70)))</f>
        <v/>
      </c>
      <c r="K1016">
        <f>LET(
    purpose,'Loan Tape (S&amp;P)'!R1016,
    IF(purpose="Purchase",1.00,
        IF(purpose="Remortgage",1.00,
            1.20)))</f>
        <v/>
      </c>
      <c r="L1016">
        <f>LET(
    arrears_months,'Loan Tape (S&amp;P)'!AN1016,
    IF(arrears_months=0,1.00,
    IF(arrears_months=1,3.00,
    IF(arrears_months=2,5.00,
    IF(arrears_months=3,8.00,
    IF(arrears_months=4,10.00,
    IF(arrears_months=5,12.00,15.00)))))))</f>
        <v/>
      </c>
      <c r="M1016">
        <f>LET(
    seasoning_years,DATEDIF('Loan Tape (S&amp;P)'!K1016,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16">
        <f>IF(AND('Loan Tape (S&amp;P)'!U1016="Yes",
        'Loan Tape (S&amp;P)'!T1016&lt;&gt;"Yes",
        DATEDIF('Loan Tape (S&amp;P)'!K1016, TODAY(), "M")&lt;18),
    1.10,
    1.00)</f>
        <v/>
      </c>
      <c r="O1016">
        <f>IF('Loan Tape (S&amp;P)'!T1016="Yes",
    1.35,
    1.00)</f>
        <v/>
      </c>
      <c r="P1016">
        <f>IF('Loan Tape (S&amp;P)'!S1016="Yes",
    1.15,
    1.00)</f>
        <v/>
      </c>
      <c r="Q1016">
        <f>IF('Loan Tape (S&amp;P)'!V1016="Yes",
    1.20,
    1.00)</f>
        <v/>
      </c>
      <c r="T1016">
        <f>LET(
    payment_method,'Loan Tape (S&amp;P)'!P1016,
    occupancy,'Loan Tape (S&amp;P)'!N1016,
    maturity_date,'Loan Tape (S&amp;P)'!L1016,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17">
      <c r="J1017">
        <f>LET(
    lien,'Loan Tape (S&amp;P)'!Q1017,
    IF(lien="First",1.00,
        IF(lien="Second",1.50,
            1.70)))</f>
        <v/>
      </c>
      <c r="K1017">
        <f>LET(
    purpose,'Loan Tape (S&amp;P)'!R1017,
    IF(purpose="Purchase",1.00,
        IF(purpose="Remortgage",1.00,
            1.20)))</f>
        <v/>
      </c>
      <c r="L1017">
        <f>LET(
    arrears_months,'Loan Tape (S&amp;P)'!AN1017,
    IF(arrears_months=0,1.00,
    IF(arrears_months=1,3.00,
    IF(arrears_months=2,5.00,
    IF(arrears_months=3,8.00,
    IF(arrears_months=4,10.00,
    IF(arrears_months=5,12.00,15.00)))))))</f>
        <v/>
      </c>
      <c r="M1017">
        <f>LET(
    seasoning_years,DATEDIF('Loan Tape (S&amp;P)'!K1017,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17">
        <f>IF(AND('Loan Tape (S&amp;P)'!U1017="Yes",
        'Loan Tape (S&amp;P)'!T1017&lt;&gt;"Yes",
        DATEDIF('Loan Tape (S&amp;P)'!K1017, TODAY(), "M")&lt;18),
    1.10,
    1.00)</f>
        <v/>
      </c>
      <c r="O1017">
        <f>IF('Loan Tape (S&amp;P)'!T1017="Yes",
    1.35,
    1.00)</f>
        <v/>
      </c>
      <c r="P1017">
        <f>IF('Loan Tape (S&amp;P)'!S1017="Yes",
    1.15,
    1.00)</f>
        <v/>
      </c>
      <c r="Q1017">
        <f>IF('Loan Tape (S&amp;P)'!V1017="Yes",
    1.20,
    1.00)</f>
        <v/>
      </c>
      <c r="T1017">
        <f>LET(
    payment_method,'Loan Tape (S&amp;P)'!P1017,
    occupancy,'Loan Tape (S&amp;P)'!N1017,
    maturity_date,'Loan Tape (S&amp;P)'!L1017,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18">
      <c r="J1018">
        <f>LET(
    lien,'Loan Tape (S&amp;P)'!Q1018,
    IF(lien="First",1.00,
        IF(lien="Second",1.50,
            1.70)))</f>
        <v/>
      </c>
      <c r="K1018">
        <f>LET(
    purpose,'Loan Tape (S&amp;P)'!R1018,
    IF(purpose="Purchase",1.00,
        IF(purpose="Remortgage",1.00,
            1.20)))</f>
        <v/>
      </c>
      <c r="L1018">
        <f>LET(
    arrears_months,'Loan Tape (S&amp;P)'!AN1018,
    IF(arrears_months=0,1.00,
    IF(arrears_months=1,3.00,
    IF(arrears_months=2,5.00,
    IF(arrears_months=3,8.00,
    IF(arrears_months=4,10.00,
    IF(arrears_months=5,12.00,15.00)))))))</f>
        <v/>
      </c>
      <c r="M1018">
        <f>LET(
    seasoning_years,DATEDIF('Loan Tape (S&amp;P)'!K1018,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18">
        <f>IF(AND('Loan Tape (S&amp;P)'!U1018="Yes",
        'Loan Tape (S&amp;P)'!T1018&lt;&gt;"Yes",
        DATEDIF('Loan Tape (S&amp;P)'!K1018, TODAY(), "M")&lt;18),
    1.10,
    1.00)</f>
        <v/>
      </c>
      <c r="O1018">
        <f>IF('Loan Tape (S&amp;P)'!T1018="Yes",
    1.35,
    1.00)</f>
        <v/>
      </c>
      <c r="P1018">
        <f>IF('Loan Tape (S&amp;P)'!S1018="Yes",
    1.15,
    1.00)</f>
        <v/>
      </c>
      <c r="Q1018">
        <f>IF('Loan Tape (S&amp;P)'!V1018="Yes",
    1.20,
    1.00)</f>
        <v/>
      </c>
      <c r="T1018">
        <f>LET(
    payment_method,'Loan Tape (S&amp;P)'!P1018,
    occupancy,'Loan Tape (S&amp;P)'!N1018,
    maturity_date,'Loan Tape (S&amp;P)'!L1018,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19">
      <c r="J1019">
        <f>LET(
    lien,'Loan Tape (S&amp;P)'!Q1019,
    IF(lien="First",1.00,
        IF(lien="Second",1.50,
            1.70)))</f>
        <v/>
      </c>
      <c r="K1019">
        <f>LET(
    purpose,'Loan Tape (S&amp;P)'!R1019,
    IF(purpose="Purchase",1.00,
        IF(purpose="Remortgage",1.00,
            1.20)))</f>
        <v/>
      </c>
      <c r="L1019">
        <f>LET(
    arrears_months,'Loan Tape (S&amp;P)'!AN1019,
    IF(arrears_months=0,1.00,
    IF(arrears_months=1,3.00,
    IF(arrears_months=2,5.00,
    IF(arrears_months=3,8.00,
    IF(arrears_months=4,10.00,
    IF(arrears_months=5,12.00,15.00)))))))</f>
        <v/>
      </c>
      <c r="M1019">
        <f>LET(
    seasoning_years,DATEDIF('Loan Tape (S&amp;P)'!K1019,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19">
        <f>IF(AND('Loan Tape (S&amp;P)'!U1019="Yes",
        'Loan Tape (S&amp;P)'!T1019&lt;&gt;"Yes",
        DATEDIF('Loan Tape (S&amp;P)'!K1019, TODAY(), "M")&lt;18),
    1.10,
    1.00)</f>
        <v/>
      </c>
      <c r="O1019">
        <f>IF('Loan Tape (S&amp;P)'!T1019="Yes",
    1.35,
    1.00)</f>
        <v/>
      </c>
      <c r="P1019">
        <f>IF('Loan Tape (S&amp;P)'!S1019="Yes",
    1.15,
    1.00)</f>
        <v/>
      </c>
      <c r="Q1019">
        <f>IF('Loan Tape (S&amp;P)'!V1019="Yes",
    1.20,
    1.00)</f>
        <v/>
      </c>
      <c r="T1019">
        <f>LET(
    payment_method,'Loan Tape (S&amp;P)'!P1019,
    occupancy,'Loan Tape (S&amp;P)'!N1019,
    maturity_date,'Loan Tape (S&amp;P)'!L1019,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20">
      <c r="J1020">
        <f>LET(
    lien,'Loan Tape (S&amp;P)'!Q1020,
    IF(lien="First",1.00,
        IF(lien="Second",1.50,
            1.70)))</f>
        <v/>
      </c>
      <c r="K1020">
        <f>LET(
    purpose,'Loan Tape (S&amp;P)'!R1020,
    IF(purpose="Purchase",1.00,
        IF(purpose="Remortgage",1.00,
            1.20)))</f>
        <v/>
      </c>
      <c r="L1020">
        <f>LET(
    arrears_months,'Loan Tape (S&amp;P)'!AN1020,
    IF(arrears_months=0,1.00,
    IF(arrears_months=1,3.00,
    IF(arrears_months=2,5.00,
    IF(arrears_months=3,8.00,
    IF(arrears_months=4,10.00,
    IF(arrears_months=5,12.00,15.00)))))))</f>
        <v/>
      </c>
      <c r="M1020">
        <f>LET(
    seasoning_years,DATEDIF('Loan Tape (S&amp;P)'!K1020,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20">
        <f>IF(AND('Loan Tape (S&amp;P)'!U1020="Yes",
        'Loan Tape (S&amp;P)'!T1020&lt;&gt;"Yes",
        DATEDIF('Loan Tape (S&amp;P)'!K1020, TODAY(), "M")&lt;18),
    1.10,
    1.00)</f>
        <v/>
      </c>
      <c r="O1020">
        <f>IF('Loan Tape (S&amp;P)'!T1020="Yes",
    1.35,
    1.00)</f>
        <v/>
      </c>
      <c r="P1020">
        <f>IF('Loan Tape (S&amp;P)'!S1020="Yes",
    1.15,
    1.00)</f>
        <v/>
      </c>
      <c r="Q1020">
        <f>IF('Loan Tape (S&amp;P)'!V1020="Yes",
    1.20,
    1.00)</f>
        <v/>
      </c>
      <c r="T1020">
        <f>LET(
    payment_method,'Loan Tape (S&amp;P)'!P1020,
    occupancy,'Loan Tape (S&amp;P)'!N1020,
    maturity_date,'Loan Tape (S&amp;P)'!L1020,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21">
      <c r="J1021">
        <f>LET(
    lien,'Loan Tape (S&amp;P)'!Q1021,
    IF(lien="First",1.00,
        IF(lien="Second",1.50,
            1.70)))</f>
        <v/>
      </c>
      <c r="K1021">
        <f>LET(
    purpose,'Loan Tape (S&amp;P)'!R1021,
    IF(purpose="Purchase",1.00,
        IF(purpose="Remortgage",1.00,
            1.20)))</f>
        <v/>
      </c>
      <c r="L1021">
        <f>LET(
    arrears_months,'Loan Tape (S&amp;P)'!AN1021,
    IF(arrears_months=0,1.00,
    IF(arrears_months=1,3.00,
    IF(arrears_months=2,5.00,
    IF(arrears_months=3,8.00,
    IF(arrears_months=4,10.00,
    IF(arrears_months=5,12.00,15.00)))))))</f>
        <v/>
      </c>
      <c r="M1021">
        <f>LET(
    seasoning_years,DATEDIF('Loan Tape (S&amp;P)'!K1021,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21">
        <f>IF(AND('Loan Tape (S&amp;P)'!U1021="Yes",
        'Loan Tape (S&amp;P)'!T1021&lt;&gt;"Yes",
        DATEDIF('Loan Tape (S&amp;P)'!K1021, TODAY(), "M")&lt;18),
    1.10,
    1.00)</f>
        <v/>
      </c>
      <c r="O1021">
        <f>IF('Loan Tape (S&amp;P)'!T1021="Yes",
    1.35,
    1.00)</f>
        <v/>
      </c>
      <c r="P1021">
        <f>IF('Loan Tape (S&amp;P)'!S1021="Yes",
    1.15,
    1.00)</f>
        <v/>
      </c>
      <c r="Q1021">
        <f>IF('Loan Tape (S&amp;P)'!V1021="Yes",
    1.20,
    1.00)</f>
        <v/>
      </c>
      <c r="T1021">
        <f>LET(
    payment_method,'Loan Tape (S&amp;P)'!P1021,
    occupancy,'Loan Tape (S&amp;P)'!N1021,
    maturity_date,'Loan Tape (S&amp;P)'!L1021,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22">
      <c r="J1022">
        <f>LET(
    lien,'Loan Tape (S&amp;P)'!Q1022,
    IF(lien="First",1.00,
        IF(lien="Second",1.50,
            1.70)))</f>
        <v/>
      </c>
      <c r="K1022">
        <f>LET(
    purpose,'Loan Tape (S&amp;P)'!R1022,
    IF(purpose="Purchase",1.00,
        IF(purpose="Remortgage",1.00,
            1.20)))</f>
        <v/>
      </c>
      <c r="L1022">
        <f>LET(
    arrears_months,'Loan Tape (S&amp;P)'!AN1022,
    IF(arrears_months=0,1.00,
    IF(arrears_months=1,3.00,
    IF(arrears_months=2,5.00,
    IF(arrears_months=3,8.00,
    IF(arrears_months=4,10.00,
    IF(arrears_months=5,12.00,15.00)))))))</f>
        <v/>
      </c>
      <c r="M1022">
        <f>LET(
    seasoning_years,DATEDIF('Loan Tape (S&amp;P)'!K1022,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22">
        <f>IF(AND('Loan Tape (S&amp;P)'!U1022="Yes",
        'Loan Tape (S&amp;P)'!T1022&lt;&gt;"Yes",
        DATEDIF('Loan Tape (S&amp;P)'!K1022, TODAY(), "M")&lt;18),
    1.10,
    1.00)</f>
        <v/>
      </c>
      <c r="O1022">
        <f>IF('Loan Tape (S&amp;P)'!T1022="Yes",
    1.35,
    1.00)</f>
        <v/>
      </c>
      <c r="P1022">
        <f>IF('Loan Tape (S&amp;P)'!S1022="Yes",
    1.15,
    1.00)</f>
        <v/>
      </c>
      <c r="Q1022">
        <f>IF('Loan Tape (S&amp;P)'!V1022="Yes",
    1.20,
    1.00)</f>
        <v/>
      </c>
      <c r="T1022">
        <f>LET(
    payment_method,'Loan Tape (S&amp;P)'!P1022,
    occupancy,'Loan Tape (S&amp;P)'!N1022,
    maturity_date,'Loan Tape (S&amp;P)'!L1022,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23">
      <c r="J1023">
        <f>LET(
    lien,'Loan Tape (S&amp;P)'!Q1023,
    IF(lien="First",1.00,
        IF(lien="Second",1.50,
            1.70)))</f>
        <v/>
      </c>
      <c r="K1023">
        <f>LET(
    purpose,'Loan Tape (S&amp;P)'!R1023,
    IF(purpose="Purchase",1.00,
        IF(purpose="Remortgage",1.00,
            1.20)))</f>
        <v/>
      </c>
      <c r="L1023">
        <f>LET(
    arrears_months,'Loan Tape (S&amp;P)'!AN1023,
    IF(arrears_months=0,1.00,
    IF(arrears_months=1,3.00,
    IF(arrears_months=2,5.00,
    IF(arrears_months=3,8.00,
    IF(arrears_months=4,10.00,
    IF(arrears_months=5,12.00,15.00)))))))</f>
        <v/>
      </c>
      <c r="M1023">
        <f>LET(
    seasoning_years,DATEDIF('Loan Tape (S&amp;P)'!K1023,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23">
        <f>IF(AND('Loan Tape (S&amp;P)'!U1023="Yes",
        'Loan Tape (S&amp;P)'!T1023&lt;&gt;"Yes",
        DATEDIF('Loan Tape (S&amp;P)'!K1023, TODAY(), "M")&lt;18),
    1.10,
    1.00)</f>
        <v/>
      </c>
      <c r="O1023">
        <f>IF('Loan Tape (S&amp;P)'!T1023="Yes",
    1.35,
    1.00)</f>
        <v/>
      </c>
      <c r="P1023">
        <f>IF('Loan Tape (S&amp;P)'!S1023="Yes",
    1.15,
    1.00)</f>
        <v/>
      </c>
      <c r="Q1023">
        <f>IF('Loan Tape (S&amp;P)'!V1023="Yes",
    1.20,
    1.00)</f>
        <v/>
      </c>
      <c r="T1023">
        <f>LET(
    payment_method,'Loan Tape (S&amp;P)'!P1023,
    occupancy,'Loan Tape (S&amp;P)'!N1023,
    maturity_date,'Loan Tape (S&amp;P)'!L1023,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24">
      <c r="J1024">
        <f>LET(
    lien,'Loan Tape (S&amp;P)'!Q1024,
    IF(lien="First",1.00,
        IF(lien="Second",1.50,
            1.70)))</f>
        <v/>
      </c>
      <c r="K1024">
        <f>LET(
    purpose,'Loan Tape (S&amp;P)'!R1024,
    IF(purpose="Purchase",1.00,
        IF(purpose="Remortgage",1.00,
            1.20)))</f>
        <v/>
      </c>
      <c r="L1024">
        <f>LET(
    arrears_months,'Loan Tape (S&amp;P)'!AN1024,
    IF(arrears_months=0,1.00,
    IF(arrears_months=1,3.00,
    IF(arrears_months=2,5.00,
    IF(arrears_months=3,8.00,
    IF(arrears_months=4,10.00,
    IF(arrears_months=5,12.00,15.00)))))))</f>
        <v/>
      </c>
      <c r="M1024">
        <f>LET(
    seasoning_years,DATEDIF('Loan Tape (S&amp;P)'!K1024,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24">
        <f>IF(AND('Loan Tape (S&amp;P)'!U1024="Yes",
        'Loan Tape (S&amp;P)'!T1024&lt;&gt;"Yes",
        DATEDIF('Loan Tape (S&amp;P)'!K1024, TODAY(), "M")&lt;18),
    1.10,
    1.00)</f>
        <v/>
      </c>
      <c r="O1024">
        <f>IF('Loan Tape (S&amp;P)'!T1024="Yes",
    1.35,
    1.00)</f>
        <v/>
      </c>
      <c r="P1024">
        <f>IF('Loan Tape (S&amp;P)'!S1024="Yes",
    1.15,
    1.00)</f>
        <v/>
      </c>
      <c r="Q1024">
        <f>IF('Loan Tape (S&amp;P)'!V1024="Yes",
    1.20,
    1.00)</f>
        <v/>
      </c>
      <c r="T1024">
        <f>LET(
    payment_method,'Loan Tape (S&amp;P)'!P1024,
    occupancy,'Loan Tape (S&amp;P)'!N1024,
    maturity_date,'Loan Tape (S&amp;P)'!L1024,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25">
      <c r="J1025">
        <f>LET(
    lien,'Loan Tape (S&amp;P)'!Q1025,
    IF(lien="First",1.00,
        IF(lien="Second",1.50,
            1.70)))</f>
        <v/>
      </c>
      <c r="K1025">
        <f>LET(
    purpose,'Loan Tape (S&amp;P)'!R1025,
    IF(purpose="Purchase",1.00,
        IF(purpose="Remortgage",1.00,
            1.20)))</f>
        <v/>
      </c>
      <c r="L1025">
        <f>LET(
    arrears_months,'Loan Tape (S&amp;P)'!AN1025,
    IF(arrears_months=0,1.00,
    IF(arrears_months=1,3.00,
    IF(arrears_months=2,5.00,
    IF(arrears_months=3,8.00,
    IF(arrears_months=4,10.00,
    IF(arrears_months=5,12.00,15.00)))))))</f>
        <v/>
      </c>
      <c r="M1025">
        <f>LET(
    seasoning_years,DATEDIF('Loan Tape (S&amp;P)'!K1025,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25">
        <f>IF(AND('Loan Tape (S&amp;P)'!U1025="Yes",
        'Loan Tape (S&amp;P)'!T1025&lt;&gt;"Yes",
        DATEDIF('Loan Tape (S&amp;P)'!K1025, TODAY(), "M")&lt;18),
    1.10,
    1.00)</f>
        <v/>
      </c>
      <c r="O1025">
        <f>IF('Loan Tape (S&amp;P)'!T1025="Yes",
    1.35,
    1.00)</f>
        <v/>
      </c>
      <c r="P1025">
        <f>IF('Loan Tape (S&amp;P)'!S1025="Yes",
    1.15,
    1.00)</f>
        <v/>
      </c>
      <c r="Q1025">
        <f>IF('Loan Tape (S&amp;P)'!V1025="Yes",
    1.20,
    1.00)</f>
        <v/>
      </c>
      <c r="T1025">
        <f>LET(
    payment_method,'Loan Tape (S&amp;P)'!P1025,
    occupancy,'Loan Tape (S&amp;P)'!N1025,
    maturity_date,'Loan Tape (S&amp;P)'!L1025,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26">
      <c r="J1026">
        <f>LET(
    lien,'Loan Tape (S&amp;P)'!Q1026,
    IF(lien="First",1.00,
        IF(lien="Second",1.50,
            1.70)))</f>
        <v/>
      </c>
      <c r="K1026">
        <f>LET(
    purpose,'Loan Tape (S&amp;P)'!R1026,
    IF(purpose="Purchase",1.00,
        IF(purpose="Remortgage",1.00,
            1.20)))</f>
        <v/>
      </c>
      <c r="L1026">
        <f>LET(
    arrears_months,'Loan Tape (S&amp;P)'!AN1026,
    IF(arrears_months=0,1.00,
    IF(arrears_months=1,3.00,
    IF(arrears_months=2,5.00,
    IF(arrears_months=3,8.00,
    IF(arrears_months=4,10.00,
    IF(arrears_months=5,12.00,15.00)))))))</f>
        <v/>
      </c>
      <c r="M1026">
        <f>LET(
    seasoning_years,DATEDIF('Loan Tape (S&amp;P)'!K1026,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26">
        <f>IF(AND('Loan Tape (S&amp;P)'!U1026="Yes",
        'Loan Tape (S&amp;P)'!T1026&lt;&gt;"Yes",
        DATEDIF('Loan Tape (S&amp;P)'!K1026, TODAY(), "M")&lt;18),
    1.10,
    1.00)</f>
        <v/>
      </c>
      <c r="O1026">
        <f>IF('Loan Tape (S&amp;P)'!T1026="Yes",
    1.35,
    1.00)</f>
        <v/>
      </c>
      <c r="P1026">
        <f>IF('Loan Tape (S&amp;P)'!S1026="Yes",
    1.15,
    1.00)</f>
        <v/>
      </c>
      <c r="Q1026">
        <f>IF('Loan Tape (S&amp;P)'!V1026="Yes",
    1.20,
    1.00)</f>
        <v/>
      </c>
      <c r="T1026">
        <f>LET(
    payment_method,'Loan Tape (S&amp;P)'!P1026,
    occupancy,'Loan Tape (S&amp;P)'!N1026,
    maturity_date,'Loan Tape (S&amp;P)'!L1026,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27">
      <c r="J1027">
        <f>LET(
    lien,'Loan Tape (S&amp;P)'!Q1027,
    IF(lien="First",1.00,
        IF(lien="Second",1.50,
            1.70)))</f>
        <v/>
      </c>
      <c r="K1027">
        <f>LET(
    purpose,'Loan Tape (S&amp;P)'!R1027,
    IF(purpose="Purchase",1.00,
        IF(purpose="Remortgage",1.00,
            1.20)))</f>
        <v/>
      </c>
      <c r="L1027">
        <f>LET(
    arrears_months,'Loan Tape (S&amp;P)'!AN1027,
    IF(arrears_months=0,1.00,
    IF(arrears_months=1,3.00,
    IF(arrears_months=2,5.00,
    IF(arrears_months=3,8.00,
    IF(arrears_months=4,10.00,
    IF(arrears_months=5,12.00,15.00)))))))</f>
        <v/>
      </c>
      <c r="M1027">
        <f>LET(
    seasoning_years,DATEDIF('Loan Tape (S&amp;P)'!K1027,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27">
        <f>IF(AND('Loan Tape (S&amp;P)'!U1027="Yes",
        'Loan Tape (S&amp;P)'!T1027&lt;&gt;"Yes",
        DATEDIF('Loan Tape (S&amp;P)'!K1027, TODAY(), "M")&lt;18),
    1.10,
    1.00)</f>
        <v/>
      </c>
      <c r="O1027">
        <f>IF('Loan Tape (S&amp;P)'!T1027="Yes",
    1.35,
    1.00)</f>
        <v/>
      </c>
      <c r="P1027">
        <f>IF('Loan Tape (S&amp;P)'!S1027="Yes",
    1.15,
    1.00)</f>
        <v/>
      </c>
      <c r="Q1027">
        <f>IF('Loan Tape (S&amp;P)'!V1027="Yes",
    1.20,
    1.00)</f>
        <v/>
      </c>
      <c r="T1027">
        <f>LET(
    payment_method,'Loan Tape (S&amp;P)'!P1027,
    occupancy,'Loan Tape (S&amp;P)'!N1027,
    maturity_date,'Loan Tape (S&amp;P)'!L1027,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28">
      <c r="J1028">
        <f>LET(
    lien,'Loan Tape (S&amp;P)'!Q1028,
    IF(lien="First",1.00,
        IF(lien="Second",1.50,
            1.70)))</f>
        <v/>
      </c>
      <c r="K1028">
        <f>LET(
    purpose,'Loan Tape (S&amp;P)'!R1028,
    IF(purpose="Purchase",1.00,
        IF(purpose="Remortgage",1.00,
            1.20)))</f>
        <v/>
      </c>
      <c r="L1028">
        <f>LET(
    arrears_months,'Loan Tape (S&amp;P)'!AN1028,
    IF(arrears_months=0,1.00,
    IF(arrears_months=1,3.00,
    IF(arrears_months=2,5.00,
    IF(arrears_months=3,8.00,
    IF(arrears_months=4,10.00,
    IF(arrears_months=5,12.00,15.00)))))))</f>
        <v/>
      </c>
      <c r="M1028">
        <f>LET(
    seasoning_years,DATEDIF('Loan Tape (S&amp;P)'!K1028,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28">
        <f>IF(AND('Loan Tape (S&amp;P)'!U1028="Yes",
        'Loan Tape (S&amp;P)'!T1028&lt;&gt;"Yes",
        DATEDIF('Loan Tape (S&amp;P)'!K1028, TODAY(), "M")&lt;18),
    1.10,
    1.00)</f>
        <v/>
      </c>
      <c r="O1028">
        <f>IF('Loan Tape (S&amp;P)'!T1028="Yes",
    1.35,
    1.00)</f>
        <v/>
      </c>
      <c r="P1028">
        <f>IF('Loan Tape (S&amp;P)'!S1028="Yes",
    1.15,
    1.00)</f>
        <v/>
      </c>
      <c r="Q1028">
        <f>IF('Loan Tape (S&amp;P)'!V1028="Yes",
    1.20,
    1.00)</f>
        <v/>
      </c>
      <c r="T1028">
        <f>LET(
    payment_method,'Loan Tape (S&amp;P)'!P1028,
    occupancy,'Loan Tape (S&amp;P)'!N1028,
    maturity_date,'Loan Tape (S&amp;P)'!L1028,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29">
      <c r="J1029">
        <f>LET(
    lien,'Loan Tape (S&amp;P)'!Q1029,
    IF(lien="First",1.00,
        IF(lien="Second",1.50,
            1.70)))</f>
        <v/>
      </c>
      <c r="K1029">
        <f>LET(
    purpose,'Loan Tape (S&amp;P)'!R1029,
    IF(purpose="Purchase",1.00,
        IF(purpose="Remortgage",1.00,
            1.20)))</f>
        <v/>
      </c>
      <c r="L1029">
        <f>LET(
    arrears_months,'Loan Tape (S&amp;P)'!AN1029,
    IF(arrears_months=0,1.00,
    IF(arrears_months=1,3.00,
    IF(arrears_months=2,5.00,
    IF(arrears_months=3,8.00,
    IF(arrears_months=4,10.00,
    IF(arrears_months=5,12.00,15.00)))))))</f>
        <v/>
      </c>
      <c r="M1029">
        <f>LET(
    seasoning_years,DATEDIF('Loan Tape (S&amp;P)'!K1029,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29">
        <f>IF(AND('Loan Tape (S&amp;P)'!U1029="Yes",
        'Loan Tape (S&amp;P)'!T1029&lt;&gt;"Yes",
        DATEDIF('Loan Tape (S&amp;P)'!K1029, TODAY(), "M")&lt;18),
    1.10,
    1.00)</f>
        <v/>
      </c>
      <c r="O1029">
        <f>IF('Loan Tape (S&amp;P)'!T1029="Yes",
    1.35,
    1.00)</f>
        <v/>
      </c>
      <c r="P1029">
        <f>IF('Loan Tape (S&amp;P)'!S1029="Yes",
    1.15,
    1.00)</f>
        <v/>
      </c>
      <c r="Q1029">
        <f>IF('Loan Tape (S&amp;P)'!V1029="Yes",
    1.20,
    1.00)</f>
        <v/>
      </c>
      <c r="T1029">
        <f>LET(
    payment_method,'Loan Tape (S&amp;P)'!P1029,
    occupancy,'Loan Tape (S&amp;P)'!N1029,
    maturity_date,'Loan Tape (S&amp;P)'!L1029,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30">
      <c r="J1030">
        <f>LET(
    lien,'Loan Tape (S&amp;P)'!Q1030,
    IF(lien="First",1.00,
        IF(lien="Second",1.50,
            1.70)))</f>
        <v/>
      </c>
      <c r="K1030">
        <f>LET(
    purpose,'Loan Tape (S&amp;P)'!R1030,
    IF(purpose="Purchase",1.00,
        IF(purpose="Remortgage",1.00,
            1.20)))</f>
        <v/>
      </c>
      <c r="L1030">
        <f>LET(
    arrears_months,'Loan Tape (S&amp;P)'!AN1030,
    IF(arrears_months=0,1.00,
    IF(arrears_months=1,3.00,
    IF(arrears_months=2,5.00,
    IF(arrears_months=3,8.00,
    IF(arrears_months=4,10.00,
    IF(arrears_months=5,12.00,15.00)))))))</f>
        <v/>
      </c>
      <c r="M1030">
        <f>LET(
    seasoning_years,DATEDIF('Loan Tape (S&amp;P)'!K1030,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30">
        <f>IF(AND('Loan Tape (S&amp;P)'!U1030="Yes",
        'Loan Tape (S&amp;P)'!T1030&lt;&gt;"Yes",
        DATEDIF('Loan Tape (S&amp;P)'!K1030, TODAY(), "M")&lt;18),
    1.10,
    1.00)</f>
        <v/>
      </c>
      <c r="O1030">
        <f>IF('Loan Tape (S&amp;P)'!T1030="Yes",
    1.35,
    1.00)</f>
        <v/>
      </c>
      <c r="P1030">
        <f>IF('Loan Tape (S&amp;P)'!S1030="Yes",
    1.15,
    1.00)</f>
        <v/>
      </c>
      <c r="Q1030">
        <f>IF('Loan Tape (S&amp;P)'!V1030="Yes",
    1.20,
    1.00)</f>
        <v/>
      </c>
      <c r="T1030">
        <f>LET(
    payment_method,'Loan Tape (S&amp;P)'!P1030,
    occupancy,'Loan Tape (S&amp;P)'!N1030,
    maturity_date,'Loan Tape (S&amp;P)'!L1030,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31">
      <c r="J1031">
        <f>LET(
    lien,'Loan Tape (S&amp;P)'!Q1031,
    IF(lien="First",1.00,
        IF(lien="Second",1.50,
            1.70)))</f>
        <v/>
      </c>
      <c r="K1031">
        <f>LET(
    purpose,'Loan Tape (S&amp;P)'!R1031,
    IF(purpose="Purchase",1.00,
        IF(purpose="Remortgage",1.00,
            1.20)))</f>
        <v/>
      </c>
      <c r="L1031">
        <f>LET(
    arrears_months,'Loan Tape (S&amp;P)'!AN1031,
    IF(arrears_months=0,1.00,
    IF(arrears_months=1,3.00,
    IF(arrears_months=2,5.00,
    IF(arrears_months=3,8.00,
    IF(arrears_months=4,10.00,
    IF(arrears_months=5,12.00,15.00)))))))</f>
        <v/>
      </c>
      <c r="M1031">
        <f>LET(
    seasoning_years,DATEDIF('Loan Tape (S&amp;P)'!K1031,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31">
        <f>IF(AND('Loan Tape (S&amp;P)'!U1031="Yes",
        'Loan Tape (S&amp;P)'!T1031&lt;&gt;"Yes",
        DATEDIF('Loan Tape (S&amp;P)'!K1031, TODAY(), "M")&lt;18),
    1.10,
    1.00)</f>
        <v/>
      </c>
      <c r="O1031">
        <f>IF('Loan Tape (S&amp;P)'!T1031="Yes",
    1.35,
    1.00)</f>
        <v/>
      </c>
      <c r="P1031">
        <f>IF('Loan Tape (S&amp;P)'!S1031="Yes",
    1.15,
    1.00)</f>
        <v/>
      </c>
      <c r="Q1031">
        <f>IF('Loan Tape (S&amp;P)'!V1031="Yes",
    1.20,
    1.00)</f>
        <v/>
      </c>
      <c r="T1031">
        <f>LET(
    payment_method,'Loan Tape (S&amp;P)'!P1031,
    occupancy,'Loan Tape (S&amp;P)'!N1031,
    maturity_date,'Loan Tape (S&amp;P)'!L1031,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32">
      <c r="J1032">
        <f>LET(
    lien,'Loan Tape (S&amp;P)'!Q1032,
    IF(lien="First",1.00,
        IF(lien="Second",1.50,
            1.70)))</f>
        <v/>
      </c>
      <c r="K1032">
        <f>LET(
    purpose,'Loan Tape (S&amp;P)'!R1032,
    IF(purpose="Purchase",1.00,
        IF(purpose="Remortgage",1.00,
            1.20)))</f>
        <v/>
      </c>
      <c r="L1032">
        <f>LET(
    arrears_months,'Loan Tape (S&amp;P)'!AN1032,
    IF(arrears_months=0,1.00,
    IF(arrears_months=1,3.00,
    IF(arrears_months=2,5.00,
    IF(arrears_months=3,8.00,
    IF(arrears_months=4,10.00,
    IF(arrears_months=5,12.00,15.00)))))))</f>
        <v/>
      </c>
      <c r="M1032">
        <f>LET(
    seasoning_years,DATEDIF('Loan Tape (S&amp;P)'!K1032,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32">
        <f>IF(AND('Loan Tape (S&amp;P)'!U1032="Yes",
        'Loan Tape (S&amp;P)'!T1032&lt;&gt;"Yes",
        DATEDIF('Loan Tape (S&amp;P)'!K1032, TODAY(), "M")&lt;18),
    1.10,
    1.00)</f>
        <v/>
      </c>
      <c r="O1032">
        <f>IF('Loan Tape (S&amp;P)'!T1032="Yes",
    1.35,
    1.00)</f>
        <v/>
      </c>
      <c r="P1032">
        <f>IF('Loan Tape (S&amp;P)'!S1032="Yes",
    1.15,
    1.00)</f>
        <v/>
      </c>
      <c r="Q1032">
        <f>IF('Loan Tape (S&amp;P)'!V1032="Yes",
    1.20,
    1.00)</f>
        <v/>
      </c>
      <c r="T1032">
        <f>LET(
    payment_method,'Loan Tape (S&amp;P)'!P1032,
    occupancy,'Loan Tape (S&amp;P)'!N1032,
    maturity_date,'Loan Tape (S&amp;P)'!L1032,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33">
      <c r="J1033">
        <f>LET(
    lien,'Loan Tape (S&amp;P)'!Q1033,
    IF(lien="First",1.00,
        IF(lien="Second",1.50,
            1.70)))</f>
        <v/>
      </c>
      <c r="K1033">
        <f>LET(
    purpose,'Loan Tape (S&amp;P)'!R1033,
    IF(purpose="Purchase",1.00,
        IF(purpose="Remortgage",1.00,
            1.20)))</f>
        <v/>
      </c>
      <c r="L1033">
        <f>LET(
    arrears_months,'Loan Tape (S&amp;P)'!AN1033,
    IF(arrears_months=0,1.00,
    IF(arrears_months=1,3.00,
    IF(arrears_months=2,5.00,
    IF(arrears_months=3,8.00,
    IF(arrears_months=4,10.00,
    IF(arrears_months=5,12.00,15.00)))))))</f>
        <v/>
      </c>
      <c r="M1033">
        <f>LET(
    seasoning_years,DATEDIF('Loan Tape (S&amp;P)'!K1033,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33">
        <f>IF(AND('Loan Tape (S&amp;P)'!U1033="Yes",
        'Loan Tape (S&amp;P)'!T1033&lt;&gt;"Yes",
        DATEDIF('Loan Tape (S&amp;P)'!K1033, TODAY(), "M")&lt;18),
    1.10,
    1.00)</f>
        <v/>
      </c>
      <c r="O1033">
        <f>IF('Loan Tape (S&amp;P)'!T1033="Yes",
    1.35,
    1.00)</f>
        <v/>
      </c>
      <c r="P1033">
        <f>IF('Loan Tape (S&amp;P)'!S1033="Yes",
    1.15,
    1.00)</f>
        <v/>
      </c>
      <c r="Q1033">
        <f>IF('Loan Tape (S&amp;P)'!V1033="Yes",
    1.20,
    1.00)</f>
        <v/>
      </c>
      <c r="T1033">
        <f>LET(
    payment_method,'Loan Tape (S&amp;P)'!P1033,
    occupancy,'Loan Tape (S&amp;P)'!N1033,
    maturity_date,'Loan Tape (S&amp;P)'!L1033,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34">
      <c r="J1034">
        <f>LET(
    lien,'Loan Tape (S&amp;P)'!Q1034,
    IF(lien="First",1.00,
        IF(lien="Second",1.50,
            1.70)))</f>
        <v/>
      </c>
      <c r="K1034">
        <f>LET(
    purpose,'Loan Tape (S&amp;P)'!R1034,
    IF(purpose="Purchase",1.00,
        IF(purpose="Remortgage",1.00,
            1.20)))</f>
        <v/>
      </c>
      <c r="L1034">
        <f>LET(
    arrears_months,'Loan Tape (S&amp;P)'!AN1034,
    IF(arrears_months=0,1.00,
    IF(arrears_months=1,3.00,
    IF(arrears_months=2,5.00,
    IF(arrears_months=3,8.00,
    IF(arrears_months=4,10.00,
    IF(arrears_months=5,12.00,15.00)))))))</f>
        <v/>
      </c>
      <c r="M1034">
        <f>LET(
    seasoning_years,DATEDIF('Loan Tape (S&amp;P)'!K1034,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34">
        <f>IF(AND('Loan Tape (S&amp;P)'!U1034="Yes",
        'Loan Tape (S&amp;P)'!T1034&lt;&gt;"Yes",
        DATEDIF('Loan Tape (S&amp;P)'!K1034, TODAY(), "M")&lt;18),
    1.10,
    1.00)</f>
        <v/>
      </c>
      <c r="O1034">
        <f>IF('Loan Tape (S&amp;P)'!T1034="Yes",
    1.35,
    1.00)</f>
        <v/>
      </c>
      <c r="P1034">
        <f>IF('Loan Tape (S&amp;P)'!S1034="Yes",
    1.15,
    1.00)</f>
        <v/>
      </c>
      <c r="Q1034">
        <f>IF('Loan Tape (S&amp;P)'!V1034="Yes",
    1.20,
    1.00)</f>
        <v/>
      </c>
      <c r="T1034">
        <f>LET(
    payment_method,'Loan Tape (S&amp;P)'!P1034,
    occupancy,'Loan Tape (S&amp;P)'!N1034,
    maturity_date,'Loan Tape (S&amp;P)'!L1034,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35">
      <c r="J1035">
        <f>LET(
    lien,'Loan Tape (S&amp;P)'!Q1035,
    IF(lien="First",1.00,
        IF(lien="Second",1.50,
            1.70)))</f>
        <v/>
      </c>
      <c r="K1035">
        <f>LET(
    purpose,'Loan Tape (S&amp;P)'!R1035,
    IF(purpose="Purchase",1.00,
        IF(purpose="Remortgage",1.00,
            1.20)))</f>
        <v/>
      </c>
      <c r="L1035">
        <f>LET(
    arrears_months,'Loan Tape (S&amp;P)'!AN1035,
    IF(arrears_months=0,1.00,
    IF(arrears_months=1,3.00,
    IF(arrears_months=2,5.00,
    IF(arrears_months=3,8.00,
    IF(arrears_months=4,10.00,
    IF(arrears_months=5,12.00,15.00)))))))</f>
        <v/>
      </c>
      <c r="M1035">
        <f>LET(
    seasoning_years,DATEDIF('Loan Tape (S&amp;P)'!K1035,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35">
        <f>IF(AND('Loan Tape (S&amp;P)'!U1035="Yes",
        'Loan Tape (S&amp;P)'!T1035&lt;&gt;"Yes",
        DATEDIF('Loan Tape (S&amp;P)'!K1035, TODAY(), "M")&lt;18),
    1.10,
    1.00)</f>
        <v/>
      </c>
      <c r="O1035">
        <f>IF('Loan Tape (S&amp;P)'!T1035="Yes",
    1.35,
    1.00)</f>
        <v/>
      </c>
      <c r="P1035">
        <f>IF('Loan Tape (S&amp;P)'!S1035="Yes",
    1.15,
    1.00)</f>
        <v/>
      </c>
      <c r="Q1035">
        <f>IF('Loan Tape (S&amp;P)'!V1035="Yes",
    1.20,
    1.00)</f>
        <v/>
      </c>
      <c r="T1035">
        <f>LET(
    payment_method,'Loan Tape (S&amp;P)'!P1035,
    occupancy,'Loan Tape (S&amp;P)'!N1035,
    maturity_date,'Loan Tape (S&amp;P)'!L1035,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36">
      <c r="J1036">
        <f>LET(
    lien,'Loan Tape (S&amp;P)'!Q1036,
    IF(lien="First",1.00,
        IF(lien="Second",1.50,
            1.70)))</f>
        <v/>
      </c>
      <c r="K1036">
        <f>LET(
    purpose,'Loan Tape (S&amp;P)'!R1036,
    IF(purpose="Purchase",1.00,
        IF(purpose="Remortgage",1.00,
            1.20)))</f>
        <v/>
      </c>
      <c r="L1036">
        <f>LET(
    arrears_months,'Loan Tape (S&amp;P)'!AN1036,
    IF(arrears_months=0,1.00,
    IF(arrears_months=1,3.00,
    IF(arrears_months=2,5.00,
    IF(arrears_months=3,8.00,
    IF(arrears_months=4,10.00,
    IF(arrears_months=5,12.00,15.00)))))))</f>
        <v/>
      </c>
      <c r="M1036">
        <f>LET(
    seasoning_years,DATEDIF('Loan Tape (S&amp;P)'!K1036,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36">
        <f>IF(AND('Loan Tape (S&amp;P)'!U1036="Yes",
        'Loan Tape (S&amp;P)'!T1036&lt;&gt;"Yes",
        DATEDIF('Loan Tape (S&amp;P)'!K1036, TODAY(), "M")&lt;18),
    1.10,
    1.00)</f>
        <v/>
      </c>
      <c r="O1036">
        <f>IF('Loan Tape (S&amp;P)'!T1036="Yes",
    1.35,
    1.00)</f>
        <v/>
      </c>
      <c r="P1036">
        <f>IF('Loan Tape (S&amp;P)'!S1036="Yes",
    1.15,
    1.00)</f>
        <v/>
      </c>
      <c r="Q1036">
        <f>IF('Loan Tape (S&amp;P)'!V1036="Yes",
    1.20,
    1.00)</f>
        <v/>
      </c>
      <c r="T1036">
        <f>LET(
    payment_method,'Loan Tape (S&amp;P)'!P1036,
    occupancy,'Loan Tape (S&amp;P)'!N1036,
    maturity_date,'Loan Tape (S&amp;P)'!L1036,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37">
      <c r="J1037">
        <f>LET(
    lien,'Loan Tape (S&amp;P)'!Q1037,
    IF(lien="First",1.00,
        IF(lien="Second",1.50,
            1.70)))</f>
        <v/>
      </c>
      <c r="K1037">
        <f>LET(
    purpose,'Loan Tape (S&amp;P)'!R1037,
    IF(purpose="Purchase",1.00,
        IF(purpose="Remortgage",1.00,
            1.20)))</f>
        <v/>
      </c>
      <c r="L1037">
        <f>LET(
    arrears_months,'Loan Tape (S&amp;P)'!AN1037,
    IF(arrears_months=0,1.00,
    IF(arrears_months=1,3.00,
    IF(arrears_months=2,5.00,
    IF(arrears_months=3,8.00,
    IF(arrears_months=4,10.00,
    IF(arrears_months=5,12.00,15.00)))))))</f>
        <v/>
      </c>
      <c r="M1037">
        <f>LET(
    seasoning_years,DATEDIF('Loan Tape (S&amp;P)'!K1037,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37">
        <f>IF(AND('Loan Tape (S&amp;P)'!U1037="Yes",
        'Loan Tape (S&amp;P)'!T1037&lt;&gt;"Yes",
        DATEDIF('Loan Tape (S&amp;P)'!K1037, TODAY(), "M")&lt;18),
    1.10,
    1.00)</f>
        <v/>
      </c>
      <c r="O1037">
        <f>IF('Loan Tape (S&amp;P)'!T1037="Yes",
    1.35,
    1.00)</f>
        <v/>
      </c>
      <c r="P1037">
        <f>IF('Loan Tape (S&amp;P)'!S1037="Yes",
    1.15,
    1.00)</f>
        <v/>
      </c>
      <c r="Q1037">
        <f>IF('Loan Tape (S&amp;P)'!V1037="Yes",
    1.20,
    1.00)</f>
        <v/>
      </c>
      <c r="T1037">
        <f>LET(
    payment_method,'Loan Tape (S&amp;P)'!P1037,
    occupancy,'Loan Tape (S&amp;P)'!N1037,
    maturity_date,'Loan Tape (S&amp;P)'!L1037,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38">
      <c r="J1038">
        <f>LET(
    lien,'Loan Tape (S&amp;P)'!Q1038,
    IF(lien="First",1.00,
        IF(lien="Second",1.50,
            1.70)))</f>
        <v/>
      </c>
      <c r="K1038">
        <f>LET(
    purpose,'Loan Tape (S&amp;P)'!R1038,
    IF(purpose="Purchase",1.00,
        IF(purpose="Remortgage",1.00,
            1.20)))</f>
        <v/>
      </c>
      <c r="L1038">
        <f>LET(
    arrears_months,'Loan Tape (S&amp;P)'!AN1038,
    IF(arrears_months=0,1.00,
    IF(arrears_months=1,3.00,
    IF(arrears_months=2,5.00,
    IF(arrears_months=3,8.00,
    IF(arrears_months=4,10.00,
    IF(arrears_months=5,12.00,15.00)))))))</f>
        <v/>
      </c>
      <c r="M1038">
        <f>LET(
    seasoning_years,DATEDIF('Loan Tape (S&amp;P)'!K1038,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38">
        <f>IF(AND('Loan Tape (S&amp;P)'!U1038="Yes",
        'Loan Tape (S&amp;P)'!T1038&lt;&gt;"Yes",
        DATEDIF('Loan Tape (S&amp;P)'!K1038, TODAY(), "M")&lt;18),
    1.10,
    1.00)</f>
        <v/>
      </c>
      <c r="O1038">
        <f>IF('Loan Tape (S&amp;P)'!T1038="Yes",
    1.35,
    1.00)</f>
        <v/>
      </c>
      <c r="P1038">
        <f>IF('Loan Tape (S&amp;P)'!S1038="Yes",
    1.15,
    1.00)</f>
        <v/>
      </c>
      <c r="Q1038">
        <f>IF('Loan Tape (S&amp;P)'!V1038="Yes",
    1.20,
    1.00)</f>
        <v/>
      </c>
      <c r="T1038">
        <f>LET(
    payment_method,'Loan Tape (S&amp;P)'!P1038,
    occupancy,'Loan Tape (S&amp;P)'!N1038,
    maturity_date,'Loan Tape (S&amp;P)'!L1038,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39">
      <c r="J1039">
        <f>LET(
    lien,'Loan Tape (S&amp;P)'!Q1039,
    IF(lien="First",1.00,
        IF(lien="Second",1.50,
            1.70)))</f>
        <v/>
      </c>
      <c r="K1039">
        <f>LET(
    purpose,'Loan Tape (S&amp;P)'!R1039,
    IF(purpose="Purchase",1.00,
        IF(purpose="Remortgage",1.00,
            1.20)))</f>
        <v/>
      </c>
      <c r="L1039">
        <f>LET(
    arrears_months,'Loan Tape (S&amp;P)'!AN1039,
    IF(arrears_months=0,1.00,
    IF(arrears_months=1,3.00,
    IF(arrears_months=2,5.00,
    IF(arrears_months=3,8.00,
    IF(arrears_months=4,10.00,
    IF(arrears_months=5,12.00,15.00)))))))</f>
        <v/>
      </c>
      <c r="M1039">
        <f>LET(
    seasoning_years,DATEDIF('Loan Tape (S&amp;P)'!K1039,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39">
        <f>IF(AND('Loan Tape (S&amp;P)'!U1039="Yes",
        'Loan Tape (S&amp;P)'!T1039&lt;&gt;"Yes",
        DATEDIF('Loan Tape (S&amp;P)'!K1039, TODAY(), "M")&lt;18),
    1.10,
    1.00)</f>
        <v/>
      </c>
      <c r="O1039">
        <f>IF('Loan Tape (S&amp;P)'!T1039="Yes",
    1.35,
    1.00)</f>
        <v/>
      </c>
      <c r="P1039">
        <f>IF('Loan Tape (S&amp;P)'!S1039="Yes",
    1.15,
    1.00)</f>
        <v/>
      </c>
      <c r="Q1039">
        <f>IF('Loan Tape (S&amp;P)'!V1039="Yes",
    1.20,
    1.00)</f>
        <v/>
      </c>
      <c r="T1039">
        <f>LET(
    payment_method,'Loan Tape (S&amp;P)'!P1039,
    occupancy,'Loan Tape (S&amp;P)'!N1039,
    maturity_date,'Loan Tape (S&amp;P)'!L1039,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40">
      <c r="J1040">
        <f>LET(
    lien,'Loan Tape (S&amp;P)'!Q1040,
    IF(lien="First",1.00,
        IF(lien="Second",1.50,
            1.70)))</f>
        <v/>
      </c>
      <c r="K1040">
        <f>LET(
    purpose,'Loan Tape (S&amp;P)'!R1040,
    IF(purpose="Purchase",1.00,
        IF(purpose="Remortgage",1.00,
            1.20)))</f>
        <v/>
      </c>
      <c r="L1040">
        <f>LET(
    arrears_months,'Loan Tape (S&amp;P)'!AN1040,
    IF(arrears_months=0,1.00,
    IF(arrears_months=1,3.00,
    IF(arrears_months=2,5.00,
    IF(arrears_months=3,8.00,
    IF(arrears_months=4,10.00,
    IF(arrears_months=5,12.00,15.00)))))))</f>
        <v/>
      </c>
      <c r="M1040">
        <f>LET(
    seasoning_years,DATEDIF('Loan Tape (S&amp;P)'!K1040,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40">
        <f>IF(AND('Loan Tape (S&amp;P)'!U1040="Yes",
        'Loan Tape (S&amp;P)'!T1040&lt;&gt;"Yes",
        DATEDIF('Loan Tape (S&amp;P)'!K1040, TODAY(), "M")&lt;18),
    1.10,
    1.00)</f>
        <v/>
      </c>
      <c r="O1040">
        <f>IF('Loan Tape (S&amp;P)'!T1040="Yes",
    1.35,
    1.00)</f>
        <v/>
      </c>
      <c r="P1040">
        <f>IF('Loan Tape (S&amp;P)'!S1040="Yes",
    1.15,
    1.00)</f>
        <v/>
      </c>
      <c r="Q1040">
        <f>IF('Loan Tape (S&amp;P)'!V1040="Yes",
    1.20,
    1.00)</f>
        <v/>
      </c>
      <c r="T1040">
        <f>LET(
    payment_method,'Loan Tape (S&amp;P)'!P1040,
    occupancy,'Loan Tape (S&amp;P)'!N1040,
    maturity_date,'Loan Tape (S&amp;P)'!L1040,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41">
      <c r="J1041">
        <f>LET(
    lien,'Loan Tape (S&amp;P)'!Q1041,
    IF(lien="First",1.00,
        IF(lien="Second",1.50,
            1.70)))</f>
        <v/>
      </c>
      <c r="K1041">
        <f>LET(
    purpose,'Loan Tape (S&amp;P)'!R1041,
    IF(purpose="Purchase",1.00,
        IF(purpose="Remortgage",1.00,
            1.20)))</f>
        <v/>
      </c>
      <c r="L1041">
        <f>LET(
    arrears_months,'Loan Tape (S&amp;P)'!AN1041,
    IF(arrears_months=0,1.00,
    IF(arrears_months=1,3.00,
    IF(arrears_months=2,5.00,
    IF(arrears_months=3,8.00,
    IF(arrears_months=4,10.00,
    IF(arrears_months=5,12.00,15.00)))))))</f>
        <v/>
      </c>
      <c r="M1041">
        <f>LET(
    seasoning_years,DATEDIF('Loan Tape (S&amp;P)'!K1041,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41">
        <f>IF(AND('Loan Tape (S&amp;P)'!U1041="Yes",
        'Loan Tape (S&amp;P)'!T1041&lt;&gt;"Yes",
        DATEDIF('Loan Tape (S&amp;P)'!K1041, TODAY(), "M")&lt;18),
    1.10,
    1.00)</f>
        <v/>
      </c>
      <c r="O1041">
        <f>IF('Loan Tape (S&amp;P)'!T1041="Yes",
    1.35,
    1.00)</f>
        <v/>
      </c>
      <c r="P1041">
        <f>IF('Loan Tape (S&amp;P)'!S1041="Yes",
    1.15,
    1.00)</f>
        <v/>
      </c>
      <c r="Q1041">
        <f>IF('Loan Tape (S&amp;P)'!V1041="Yes",
    1.20,
    1.00)</f>
        <v/>
      </c>
      <c r="T1041">
        <f>LET(
    payment_method,'Loan Tape (S&amp;P)'!P1041,
    occupancy,'Loan Tape (S&amp;P)'!N1041,
    maturity_date,'Loan Tape (S&amp;P)'!L1041,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42">
      <c r="J1042">
        <f>LET(
    lien,'Loan Tape (S&amp;P)'!Q1042,
    IF(lien="First",1.00,
        IF(lien="Second",1.50,
            1.70)))</f>
        <v/>
      </c>
      <c r="K1042">
        <f>LET(
    purpose,'Loan Tape (S&amp;P)'!R1042,
    IF(purpose="Purchase",1.00,
        IF(purpose="Remortgage",1.00,
            1.20)))</f>
        <v/>
      </c>
      <c r="L1042">
        <f>LET(
    arrears_months,'Loan Tape (S&amp;P)'!AN1042,
    IF(arrears_months=0,1.00,
    IF(arrears_months=1,3.00,
    IF(arrears_months=2,5.00,
    IF(arrears_months=3,8.00,
    IF(arrears_months=4,10.00,
    IF(arrears_months=5,12.00,15.00)))))))</f>
        <v/>
      </c>
      <c r="M1042">
        <f>LET(
    seasoning_years,DATEDIF('Loan Tape (S&amp;P)'!K1042,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42">
        <f>IF(AND('Loan Tape (S&amp;P)'!U1042="Yes",
        'Loan Tape (S&amp;P)'!T1042&lt;&gt;"Yes",
        DATEDIF('Loan Tape (S&amp;P)'!K1042, TODAY(), "M")&lt;18),
    1.10,
    1.00)</f>
        <v/>
      </c>
      <c r="O1042">
        <f>IF('Loan Tape (S&amp;P)'!T1042="Yes",
    1.35,
    1.00)</f>
        <v/>
      </c>
      <c r="P1042">
        <f>IF('Loan Tape (S&amp;P)'!S1042="Yes",
    1.15,
    1.00)</f>
        <v/>
      </c>
      <c r="Q1042">
        <f>IF('Loan Tape (S&amp;P)'!V1042="Yes",
    1.20,
    1.00)</f>
        <v/>
      </c>
      <c r="T1042">
        <f>LET(
    payment_method,'Loan Tape (S&amp;P)'!P1042,
    occupancy,'Loan Tape (S&amp;P)'!N1042,
    maturity_date,'Loan Tape (S&amp;P)'!L1042,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43">
      <c r="J1043">
        <f>LET(
    lien,'Loan Tape (S&amp;P)'!Q1043,
    IF(lien="First",1.00,
        IF(lien="Second",1.50,
            1.70)))</f>
        <v/>
      </c>
      <c r="K1043">
        <f>LET(
    purpose,'Loan Tape (S&amp;P)'!R1043,
    IF(purpose="Purchase",1.00,
        IF(purpose="Remortgage",1.00,
            1.20)))</f>
        <v/>
      </c>
      <c r="L1043">
        <f>LET(
    arrears_months,'Loan Tape (S&amp;P)'!AN1043,
    IF(arrears_months=0,1.00,
    IF(arrears_months=1,3.00,
    IF(arrears_months=2,5.00,
    IF(arrears_months=3,8.00,
    IF(arrears_months=4,10.00,
    IF(arrears_months=5,12.00,15.00)))))))</f>
        <v/>
      </c>
      <c r="M1043">
        <f>LET(
    seasoning_years,DATEDIF('Loan Tape (S&amp;P)'!K1043,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43">
        <f>IF(AND('Loan Tape (S&amp;P)'!U1043="Yes",
        'Loan Tape (S&amp;P)'!T1043&lt;&gt;"Yes",
        DATEDIF('Loan Tape (S&amp;P)'!K1043, TODAY(), "M")&lt;18),
    1.10,
    1.00)</f>
        <v/>
      </c>
      <c r="O1043">
        <f>IF('Loan Tape (S&amp;P)'!T1043="Yes",
    1.35,
    1.00)</f>
        <v/>
      </c>
      <c r="P1043">
        <f>IF('Loan Tape (S&amp;P)'!S1043="Yes",
    1.15,
    1.00)</f>
        <v/>
      </c>
      <c r="Q1043">
        <f>IF('Loan Tape (S&amp;P)'!V1043="Yes",
    1.20,
    1.00)</f>
        <v/>
      </c>
      <c r="T1043">
        <f>LET(
    payment_method,'Loan Tape (S&amp;P)'!P1043,
    occupancy,'Loan Tape (S&amp;P)'!N1043,
    maturity_date,'Loan Tape (S&amp;P)'!L1043,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44">
      <c r="J1044">
        <f>LET(
    lien,'Loan Tape (S&amp;P)'!Q1044,
    IF(lien="First",1.00,
        IF(lien="Second",1.50,
            1.70)))</f>
        <v/>
      </c>
      <c r="K1044">
        <f>LET(
    purpose,'Loan Tape (S&amp;P)'!R1044,
    IF(purpose="Purchase",1.00,
        IF(purpose="Remortgage",1.00,
            1.20)))</f>
        <v/>
      </c>
      <c r="L1044">
        <f>LET(
    arrears_months,'Loan Tape (S&amp;P)'!AN1044,
    IF(arrears_months=0,1.00,
    IF(arrears_months=1,3.00,
    IF(arrears_months=2,5.00,
    IF(arrears_months=3,8.00,
    IF(arrears_months=4,10.00,
    IF(arrears_months=5,12.00,15.00)))))))</f>
        <v/>
      </c>
      <c r="M1044">
        <f>LET(
    seasoning_years,DATEDIF('Loan Tape (S&amp;P)'!K1044,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44">
        <f>IF(AND('Loan Tape (S&amp;P)'!U1044="Yes",
        'Loan Tape (S&amp;P)'!T1044&lt;&gt;"Yes",
        DATEDIF('Loan Tape (S&amp;P)'!K1044, TODAY(), "M")&lt;18),
    1.10,
    1.00)</f>
        <v/>
      </c>
      <c r="O1044">
        <f>IF('Loan Tape (S&amp;P)'!T1044="Yes",
    1.35,
    1.00)</f>
        <v/>
      </c>
      <c r="P1044">
        <f>IF('Loan Tape (S&amp;P)'!S1044="Yes",
    1.15,
    1.00)</f>
        <v/>
      </c>
      <c r="Q1044">
        <f>IF('Loan Tape (S&amp;P)'!V1044="Yes",
    1.20,
    1.00)</f>
        <v/>
      </c>
      <c r="T1044">
        <f>LET(
    payment_method,'Loan Tape (S&amp;P)'!P1044,
    occupancy,'Loan Tape (S&amp;P)'!N1044,
    maturity_date,'Loan Tape (S&amp;P)'!L1044,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45">
      <c r="J1045">
        <f>LET(
    lien,'Loan Tape (S&amp;P)'!Q1045,
    IF(lien="First",1.00,
        IF(lien="Second",1.50,
            1.70)))</f>
        <v/>
      </c>
      <c r="K1045">
        <f>LET(
    purpose,'Loan Tape (S&amp;P)'!R1045,
    IF(purpose="Purchase",1.00,
        IF(purpose="Remortgage",1.00,
            1.20)))</f>
        <v/>
      </c>
      <c r="L1045">
        <f>LET(
    arrears_months,'Loan Tape (S&amp;P)'!AN1045,
    IF(arrears_months=0,1.00,
    IF(arrears_months=1,3.00,
    IF(arrears_months=2,5.00,
    IF(arrears_months=3,8.00,
    IF(arrears_months=4,10.00,
    IF(arrears_months=5,12.00,15.00)))))))</f>
        <v/>
      </c>
      <c r="M1045">
        <f>LET(
    seasoning_years,DATEDIF('Loan Tape (S&amp;P)'!K1045,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45">
        <f>IF(AND('Loan Tape (S&amp;P)'!U1045="Yes",
        'Loan Tape (S&amp;P)'!T1045&lt;&gt;"Yes",
        DATEDIF('Loan Tape (S&amp;P)'!K1045, TODAY(), "M")&lt;18),
    1.10,
    1.00)</f>
        <v/>
      </c>
      <c r="O1045">
        <f>IF('Loan Tape (S&amp;P)'!T1045="Yes",
    1.35,
    1.00)</f>
        <v/>
      </c>
      <c r="P1045">
        <f>IF('Loan Tape (S&amp;P)'!S1045="Yes",
    1.15,
    1.00)</f>
        <v/>
      </c>
      <c r="Q1045">
        <f>IF('Loan Tape (S&amp;P)'!V1045="Yes",
    1.20,
    1.00)</f>
        <v/>
      </c>
      <c r="T1045">
        <f>LET(
    payment_method,'Loan Tape (S&amp;P)'!P1045,
    occupancy,'Loan Tape (S&amp;P)'!N1045,
    maturity_date,'Loan Tape (S&amp;P)'!L1045,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46">
      <c r="J1046">
        <f>LET(
    lien,'Loan Tape (S&amp;P)'!Q1046,
    IF(lien="First",1.00,
        IF(lien="Second",1.50,
            1.70)))</f>
        <v/>
      </c>
      <c r="K1046">
        <f>LET(
    purpose,'Loan Tape (S&amp;P)'!R1046,
    IF(purpose="Purchase",1.00,
        IF(purpose="Remortgage",1.00,
            1.20)))</f>
        <v/>
      </c>
      <c r="L1046">
        <f>LET(
    arrears_months,'Loan Tape (S&amp;P)'!AN1046,
    IF(arrears_months=0,1.00,
    IF(arrears_months=1,3.00,
    IF(arrears_months=2,5.00,
    IF(arrears_months=3,8.00,
    IF(arrears_months=4,10.00,
    IF(arrears_months=5,12.00,15.00)))))))</f>
        <v/>
      </c>
      <c r="M1046">
        <f>LET(
    seasoning_years,DATEDIF('Loan Tape (S&amp;P)'!K1046,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46">
        <f>IF(AND('Loan Tape (S&amp;P)'!U1046="Yes",
        'Loan Tape (S&amp;P)'!T1046&lt;&gt;"Yes",
        DATEDIF('Loan Tape (S&amp;P)'!K1046, TODAY(), "M")&lt;18),
    1.10,
    1.00)</f>
        <v/>
      </c>
      <c r="O1046">
        <f>IF('Loan Tape (S&amp;P)'!T1046="Yes",
    1.35,
    1.00)</f>
        <v/>
      </c>
      <c r="P1046">
        <f>IF('Loan Tape (S&amp;P)'!S1046="Yes",
    1.15,
    1.00)</f>
        <v/>
      </c>
      <c r="Q1046">
        <f>IF('Loan Tape (S&amp;P)'!V1046="Yes",
    1.20,
    1.00)</f>
        <v/>
      </c>
      <c r="T1046">
        <f>LET(
    payment_method,'Loan Tape (S&amp;P)'!P1046,
    occupancy,'Loan Tape (S&amp;P)'!N1046,
    maturity_date,'Loan Tape (S&amp;P)'!L1046,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47">
      <c r="J1047">
        <f>LET(
    lien,'Loan Tape (S&amp;P)'!Q1047,
    IF(lien="First",1.00,
        IF(lien="Second",1.50,
            1.70)))</f>
        <v/>
      </c>
      <c r="K1047">
        <f>LET(
    purpose,'Loan Tape (S&amp;P)'!R1047,
    IF(purpose="Purchase",1.00,
        IF(purpose="Remortgage",1.00,
            1.20)))</f>
        <v/>
      </c>
      <c r="L1047">
        <f>LET(
    arrears_months,'Loan Tape (S&amp;P)'!AN1047,
    IF(arrears_months=0,1.00,
    IF(arrears_months=1,3.00,
    IF(arrears_months=2,5.00,
    IF(arrears_months=3,8.00,
    IF(arrears_months=4,10.00,
    IF(arrears_months=5,12.00,15.00)))))))</f>
        <v/>
      </c>
      <c r="M1047">
        <f>LET(
    seasoning_years,DATEDIF('Loan Tape (S&amp;P)'!K1047,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47">
        <f>IF(AND('Loan Tape (S&amp;P)'!U1047="Yes",
        'Loan Tape (S&amp;P)'!T1047&lt;&gt;"Yes",
        DATEDIF('Loan Tape (S&amp;P)'!K1047, TODAY(), "M")&lt;18),
    1.10,
    1.00)</f>
        <v/>
      </c>
      <c r="O1047">
        <f>IF('Loan Tape (S&amp;P)'!T1047="Yes",
    1.35,
    1.00)</f>
        <v/>
      </c>
      <c r="P1047">
        <f>IF('Loan Tape (S&amp;P)'!S1047="Yes",
    1.15,
    1.00)</f>
        <v/>
      </c>
      <c r="Q1047">
        <f>IF('Loan Tape (S&amp;P)'!V1047="Yes",
    1.20,
    1.00)</f>
        <v/>
      </c>
      <c r="T1047">
        <f>LET(
    payment_method,'Loan Tape (S&amp;P)'!P1047,
    occupancy,'Loan Tape (S&amp;P)'!N1047,
    maturity_date,'Loan Tape (S&amp;P)'!L1047,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48">
      <c r="J1048">
        <f>LET(
    lien,'Loan Tape (S&amp;P)'!Q1048,
    IF(lien="First",1.00,
        IF(lien="Second",1.50,
            1.70)))</f>
        <v/>
      </c>
      <c r="K1048">
        <f>LET(
    purpose,'Loan Tape (S&amp;P)'!R1048,
    IF(purpose="Purchase",1.00,
        IF(purpose="Remortgage",1.00,
            1.20)))</f>
        <v/>
      </c>
      <c r="L1048">
        <f>LET(
    arrears_months,'Loan Tape (S&amp;P)'!AN1048,
    IF(arrears_months=0,1.00,
    IF(arrears_months=1,3.00,
    IF(arrears_months=2,5.00,
    IF(arrears_months=3,8.00,
    IF(arrears_months=4,10.00,
    IF(arrears_months=5,12.00,15.00)))))))</f>
        <v/>
      </c>
      <c r="M1048">
        <f>LET(
    seasoning_years,DATEDIF('Loan Tape (S&amp;P)'!K1048,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48">
        <f>IF(AND('Loan Tape (S&amp;P)'!U1048="Yes",
        'Loan Tape (S&amp;P)'!T1048&lt;&gt;"Yes",
        DATEDIF('Loan Tape (S&amp;P)'!K1048, TODAY(), "M")&lt;18),
    1.10,
    1.00)</f>
        <v/>
      </c>
      <c r="O1048">
        <f>IF('Loan Tape (S&amp;P)'!T1048="Yes",
    1.35,
    1.00)</f>
        <v/>
      </c>
      <c r="P1048">
        <f>IF('Loan Tape (S&amp;P)'!S1048="Yes",
    1.15,
    1.00)</f>
        <v/>
      </c>
      <c r="Q1048">
        <f>IF('Loan Tape (S&amp;P)'!V1048="Yes",
    1.20,
    1.00)</f>
        <v/>
      </c>
      <c r="T1048">
        <f>LET(
    payment_method,'Loan Tape (S&amp;P)'!P1048,
    occupancy,'Loan Tape (S&amp;P)'!N1048,
    maturity_date,'Loan Tape (S&amp;P)'!L1048,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49">
      <c r="J1049">
        <f>LET(
    lien,'Loan Tape (S&amp;P)'!Q1049,
    IF(lien="First",1.00,
        IF(lien="Second",1.50,
            1.70)))</f>
        <v/>
      </c>
      <c r="K1049">
        <f>LET(
    purpose,'Loan Tape (S&amp;P)'!R1049,
    IF(purpose="Purchase",1.00,
        IF(purpose="Remortgage",1.00,
            1.20)))</f>
        <v/>
      </c>
      <c r="L1049">
        <f>LET(
    arrears_months,'Loan Tape (S&amp;P)'!AN1049,
    IF(arrears_months=0,1.00,
    IF(arrears_months=1,3.00,
    IF(arrears_months=2,5.00,
    IF(arrears_months=3,8.00,
    IF(arrears_months=4,10.00,
    IF(arrears_months=5,12.00,15.00)))))))</f>
        <v/>
      </c>
      <c r="M1049">
        <f>LET(
    seasoning_years,DATEDIF('Loan Tape (S&amp;P)'!K1049,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49">
        <f>IF(AND('Loan Tape (S&amp;P)'!U1049="Yes",
        'Loan Tape (S&amp;P)'!T1049&lt;&gt;"Yes",
        DATEDIF('Loan Tape (S&amp;P)'!K1049, TODAY(), "M")&lt;18),
    1.10,
    1.00)</f>
        <v/>
      </c>
      <c r="O1049">
        <f>IF('Loan Tape (S&amp;P)'!T1049="Yes",
    1.35,
    1.00)</f>
        <v/>
      </c>
      <c r="P1049">
        <f>IF('Loan Tape (S&amp;P)'!S1049="Yes",
    1.15,
    1.00)</f>
        <v/>
      </c>
      <c r="Q1049">
        <f>IF('Loan Tape (S&amp;P)'!V1049="Yes",
    1.20,
    1.00)</f>
        <v/>
      </c>
      <c r="T1049">
        <f>LET(
    payment_method,'Loan Tape (S&amp;P)'!P1049,
    occupancy,'Loan Tape (S&amp;P)'!N1049,
    maturity_date,'Loan Tape (S&amp;P)'!L1049,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50">
      <c r="J1050">
        <f>LET(
    lien,'Loan Tape (S&amp;P)'!Q1050,
    IF(lien="First",1.00,
        IF(lien="Second",1.50,
            1.70)))</f>
        <v/>
      </c>
      <c r="K1050">
        <f>LET(
    purpose,'Loan Tape (S&amp;P)'!R1050,
    IF(purpose="Purchase",1.00,
        IF(purpose="Remortgage",1.00,
            1.20)))</f>
        <v/>
      </c>
      <c r="L1050">
        <f>LET(
    arrears_months,'Loan Tape (S&amp;P)'!AN1050,
    IF(arrears_months=0,1.00,
    IF(arrears_months=1,3.00,
    IF(arrears_months=2,5.00,
    IF(arrears_months=3,8.00,
    IF(arrears_months=4,10.00,
    IF(arrears_months=5,12.00,15.00)))))))</f>
        <v/>
      </c>
      <c r="M1050">
        <f>LET(
    seasoning_years,DATEDIF('Loan Tape (S&amp;P)'!K1050,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50">
        <f>IF(AND('Loan Tape (S&amp;P)'!U1050="Yes",
        'Loan Tape (S&amp;P)'!T1050&lt;&gt;"Yes",
        DATEDIF('Loan Tape (S&amp;P)'!K1050, TODAY(), "M")&lt;18),
    1.10,
    1.00)</f>
        <v/>
      </c>
      <c r="O1050">
        <f>IF('Loan Tape (S&amp;P)'!T1050="Yes",
    1.35,
    1.00)</f>
        <v/>
      </c>
      <c r="P1050">
        <f>IF('Loan Tape (S&amp;P)'!S1050="Yes",
    1.15,
    1.00)</f>
        <v/>
      </c>
      <c r="Q1050">
        <f>IF('Loan Tape (S&amp;P)'!V1050="Yes",
    1.20,
    1.00)</f>
        <v/>
      </c>
      <c r="T1050">
        <f>LET(
    payment_method,'Loan Tape (S&amp;P)'!P1050,
    occupancy,'Loan Tape (S&amp;P)'!N1050,
    maturity_date,'Loan Tape (S&amp;P)'!L1050,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51">
      <c r="J1051">
        <f>LET(
    lien,'Loan Tape (S&amp;P)'!Q1051,
    IF(lien="First",1.00,
        IF(lien="Second",1.50,
            1.70)))</f>
        <v/>
      </c>
      <c r="K1051">
        <f>LET(
    purpose,'Loan Tape (S&amp;P)'!R1051,
    IF(purpose="Purchase",1.00,
        IF(purpose="Remortgage",1.00,
            1.20)))</f>
        <v/>
      </c>
      <c r="L1051">
        <f>LET(
    arrears_months,'Loan Tape (S&amp;P)'!AN1051,
    IF(arrears_months=0,1.00,
    IF(arrears_months=1,3.00,
    IF(arrears_months=2,5.00,
    IF(arrears_months=3,8.00,
    IF(arrears_months=4,10.00,
    IF(arrears_months=5,12.00,15.00)))))))</f>
        <v/>
      </c>
      <c r="M1051">
        <f>LET(
    seasoning_years,DATEDIF('Loan Tape (S&amp;P)'!K1051,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51">
        <f>IF(AND('Loan Tape (S&amp;P)'!U1051="Yes",
        'Loan Tape (S&amp;P)'!T1051&lt;&gt;"Yes",
        DATEDIF('Loan Tape (S&amp;P)'!K1051, TODAY(), "M")&lt;18),
    1.10,
    1.00)</f>
        <v/>
      </c>
      <c r="O1051">
        <f>IF('Loan Tape (S&amp;P)'!T1051="Yes",
    1.35,
    1.00)</f>
        <v/>
      </c>
      <c r="P1051">
        <f>IF('Loan Tape (S&amp;P)'!S1051="Yes",
    1.15,
    1.00)</f>
        <v/>
      </c>
      <c r="Q1051">
        <f>IF('Loan Tape (S&amp;P)'!V1051="Yes",
    1.20,
    1.00)</f>
        <v/>
      </c>
      <c r="T1051">
        <f>LET(
    payment_method,'Loan Tape (S&amp;P)'!P1051,
    occupancy,'Loan Tape (S&amp;P)'!N1051,
    maturity_date,'Loan Tape (S&amp;P)'!L1051,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52">
      <c r="J1052">
        <f>LET(
    lien,'Loan Tape (S&amp;P)'!Q1052,
    IF(lien="First",1.00,
        IF(lien="Second",1.50,
            1.70)))</f>
        <v/>
      </c>
      <c r="K1052">
        <f>LET(
    purpose,'Loan Tape (S&amp;P)'!R1052,
    IF(purpose="Purchase",1.00,
        IF(purpose="Remortgage",1.00,
            1.20)))</f>
        <v/>
      </c>
      <c r="L1052">
        <f>LET(
    arrears_months,'Loan Tape (S&amp;P)'!AN1052,
    IF(arrears_months=0,1.00,
    IF(arrears_months=1,3.00,
    IF(arrears_months=2,5.00,
    IF(arrears_months=3,8.00,
    IF(arrears_months=4,10.00,
    IF(arrears_months=5,12.00,15.00)))))))</f>
        <v/>
      </c>
      <c r="M1052">
        <f>LET(
    seasoning_years,DATEDIF('Loan Tape (S&amp;P)'!K1052,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52">
        <f>IF(AND('Loan Tape (S&amp;P)'!U1052="Yes",
        'Loan Tape (S&amp;P)'!T1052&lt;&gt;"Yes",
        DATEDIF('Loan Tape (S&amp;P)'!K1052, TODAY(), "M")&lt;18),
    1.10,
    1.00)</f>
        <v/>
      </c>
      <c r="O1052">
        <f>IF('Loan Tape (S&amp;P)'!T1052="Yes",
    1.35,
    1.00)</f>
        <v/>
      </c>
      <c r="P1052">
        <f>IF('Loan Tape (S&amp;P)'!S1052="Yes",
    1.15,
    1.00)</f>
        <v/>
      </c>
      <c r="Q1052">
        <f>IF('Loan Tape (S&amp;P)'!V1052="Yes",
    1.20,
    1.00)</f>
        <v/>
      </c>
      <c r="T1052">
        <f>LET(
    payment_method,'Loan Tape (S&amp;P)'!P1052,
    occupancy,'Loan Tape (S&amp;P)'!N1052,
    maturity_date,'Loan Tape (S&amp;P)'!L1052,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53">
      <c r="J1053">
        <f>LET(
    lien,'Loan Tape (S&amp;P)'!Q1053,
    IF(lien="First",1.00,
        IF(lien="Second",1.50,
            1.70)))</f>
        <v/>
      </c>
      <c r="K1053">
        <f>LET(
    purpose,'Loan Tape (S&amp;P)'!R1053,
    IF(purpose="Purchase",1.00,
        IF(purpose="Remortgage",1.00,
            1.20)))</f>
        <v/>
      </c>
      <c r="L1053">
        <f>LET(
    arrears_months,'Loan Tape (S&amp;P)'!AN1053,
    IF(arrears_months=0,1.00,
    IF(arrears_months=1,3.00,
    IF(arrears_months=2,5.00,
    IF(arrears_months=3,8.00,
    IF(arrears_months=4,10.00,
    IF(arrears_months=5,12.00,15.00)))))))</f>
        <v/>
      </c>
      <c r="M1053">
        <f>LET(
    seasoning_years,DATEDIF('Loan Tape (S&amp;P)'!K1053,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53">
        <f>IF(AND('Loan Tape (S&amp;P)'!U1053="Yes",
        'Loan Tape (S&amp;P)'!T1053&lt;&gt;"Yes",
        DATEDIF('Loan Tape (S&amp;P)'!K1053, TODAY(), "M")&lt;18),
    1.10,
    1.00)</f>
        <v/>
      </c>
      <c r="O1053">
        <f>IF('Loan Tape (S&amp;P)'!T1053="Yes",
    1.35,
    1.00)</f>
        <v/>
      </c>
      <c r="P1053">
        <f>IF('Loan Tape (S&amp;P)'!S1053="Yes",
    1.15,
    1.00)</f>
        <v/>
      </c>
      <c r="Q1053">
        <f>IF('Loan Tape (S&amp;P)'!V1053="Yes",
    1.20,
    1.00)</f>
        <v/>
      </c>
      <c r="T1053">
        <f>LET(
    payment_method,'Loan Tape (S&amp;P)'!P1053,
    occupancy,'Loan Tape (S&amp;P)'!N1053,
    maturity_date,'Loan Tape (S&amp;P)'!L1053,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54">
      <c r="J1054">
        <f>LET(
    lien,'Loan Tape (S&amp;P)'!Q1054,
    IF(lien="First",1.00,
        IF(lien="Second",1.50,
            1.70)))</f>
        <v/>
      </c>
      <c r="K1054">
        <f>LET(
    purpose,'Loan Tape (S&amp;P)'!R1054,
    IF(purpose="Purchase",1.00,
        IF(purpose="Remortgage",1.00,
            1.20)))</f>
        <v/>
      </c>
      <c r="L1054">
        <f>LET(
    arrears_months,'Loan Tape (S&amp;P)'!AN1054,
    IF(arrears_months=0,1.00,
    IF(arrears_months=1,3.00,
    IF(arrears_months=2,5.00,
    IF(arrears_months=3,8.00,
    IF(arrears_months=4,10.00,
    IF(arrears_months=5,12.00,15.00)))))))</f>
        <v/>
      </c>
      <c r="M1054">
        <f>LET(
    seasoning_years,DATEDIF('Loan Tape (S&amp;P)'!K1054,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54">
        <f>IF(AND('Loan Tape (S&amp;P)'!U1054="Yes",
        'Loan Tape (S&amp;P)'!T1054&lt;&gt;"Yes",
        DATEDIF('Loan Tape (S&amp;P)'!K1054, TODAY(), "M")&lt;18),
    1.10,
    1.00)</f>
        <v/>
      </c>
      <c r="O1054">
        <f>IF('Loan Tape (S&amp;P)'!T1054="Yes",
    1.35,
    1.00)</f>
        <v/>
      </c>
      <c r="P1054">
        <f>IF('Loan Tape (S&amp;P)'!S1054="Yes",
    1.15,
    1.00)</f>
        <v/>
      </c>
      <c r="Q1054">
        <f>IF('Loan Tape (S&amp;P)'!V1054="Yes",
    1.20,
    1.00)</f>
        <v/>
      </c>
      <c r="T1054">
        <f>LET(
    payment_method,'Loan Tape (S&amp;P)'!P1054,
    occupancy,'Loan Tape (S&amp;P)'!N1054,
    maturity_date,'Loan Tape (S&amp;P)'!L1054,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55">
      <c r="J1055">
        <f>LET(
    lien,'Loan Tape (S&amp;P)'!Q1055,
    IF(lien="First",1.00,
        IF(lien="Second",1.50,
            1.70)))</f>
        <v/>
      </c>
      <c r="K1055">
        <f>LET(
    purpose,'Loan Tape (S&amp;P)'!R1055,
    IF(purpose="Purchase",1.00,
        IF(purpose="Remortgage",1.00,
            1.20)))</f>
        <v/>
      </c>
      <c r="L1055">
        <f>LET(
    arrears_months,'Loan Tape (S&amp;P)'!AN1055,
    IF(arrears_months=0,1.00,
    IF(arrears_months=1,3.00,
    IF(arrears_months=2,5.00,
    IF(arrears_months=3,8.00,
    IF(arrears_months=4,10.00,
    IF(arrears_months=5,12.00,15.00)))))))</f>
        <v/>
      </c>
      <c r="M1055">
        <f>LET(
    seasoning_years,DATEDIF('Loan Tape (S&amp;P)'!K1055,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55">
        <f>IF(AND('Loan Tape (S&amp;P)'!U1055="Yes",
        'Loan Tape (S&amp;P)'!T1055&lt;&gt;"Yes",
        DATEDIF('Loan Tape (S&amp;P)'!K1055, TODAY(), "M")&lt;18),
    1.10,
    1.00)</f>
        <v/>
      </c>
      <c r="O1055">
        <f>IF('Loan Tape (S&amp;P)'!T1055="Yes",
    1.35,
    1.00)</f>
        <v/>
      </c>
      <c r="P1055">
        <f>IF('Loan Tape (S&amp;P)'!S1055="Yes",
    1.15,
    1.00)</f>
        <v/>
      </c>
      <c r="Q1055">
        <f>IF('Loan Tape (S&amp;P)'!V1055="Yes",
    1.20,
    1.00)</f>
        <v/>
      </c>
      <c r="T1055">
        <f>LET(
    payment_method,'Loan Tape (S&amp;P)'!P1055,
    occupancy,'Loan Tape (S&amp;P)'!N1055,
    maturity_date,'Loan Tape (S&amp;P)'!L1055,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56">
      <c r="J1056">
        <f>LET(
    lien,'Loan Tape (S&amp;P)'!Q1056,
    IF(lien="First",1.00,
        IF(lien="Second",1.50,
            1.70)))</f>
        <v/>
      </c>
      <c r="K1056">
        <f>LET(
    purpose,'Loan Tape (S&amp;P)'!R1056,
    IF(purpose="Purchase",1.00,
        IF(purpose="Remortgage",1.00,
            1.20)))</f>
        <v/>
      </c>
      <c r="L1056">
        <f>LET(
    arrears_months,'Loan Tape (S&amp;P)'!AN1056,
    IF(arrears_months=0,1.00,
    IF(arrears_months=1,3.00,
    IF(arrears_months=2,5.00,
    IF(arrears_months=3,8.00,
    IF(arrears_months=4,10.00,
    IF(arrears_months=5,12.00,15.00)))))))</f>
        <v/>
      </c>
      <c r="M1056">
        <f>LET(
    seasoning_years,DATEDIF('Loan Tape (S&amp;P)'!K1056,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56">
        <f>IF(AND('Loan Tape (S&amp;P)'!U1056="Yes",
        'Loan Tape (S&amp;P)'!T1056&lt;&gt;"Yes",
        DATEDIF('Loan Tape (S&amp;P)'!K1056, TODAY(), "M")&lt;18),
    1.10,
    1.00)</f>
        <v/>
      </c>
      <c r="O1056">
        <f>IF('Loan Tape (S&amp;P)'!T1056="Yes",
    1.35,
    1.00)</f>
        <v/>
      </c>
      <c r="P1056">
        <f>IF('Loan Tape (S&amp;P)'!S1056="Yes",
    1.15,
    1.00)</f>
        <v/>
      </c>
      <c r="Q1056">
        <f>IF('Loan Tape (S&amp;P)'!V1056="Yes",
    1.20,
    1.00)</f>
        <v/>
      </c>
      <c r="T1056">
        <f>LET(
    payment_method,'Loan Tape (S&amp;P)'!P1056,
    occupancy,'Loan Tape (S&amp;P)'!N1056,
    maturity_date,'Loan Tape (S&amp;P)'!L1056,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57">
      <c r="J1057">
        <f>LET(
    lien,'Loan Tape (S&amp;P)'!Q1057,
    IF(lien="First",1.00,
        IF(lien="Second",1.50,
            1.70)))</f>
        <v/>
      </c>
      <c r="K1057">
        <f>LET(
    purpose,'Loan Tape (S&amp;P)'!R1057,
    IF(purpose="Purchase",1.00,
        IF(purpose="Remortgage",1.00,
            1.20)))</f>
        <v/>
      </c>
      <c r="L1057">
        <f>LET(
    arrears_months,'Loan Tape (S&amp;P)'!AN1057,
    IF(arrears_months=0,1.00,
    IF(arrears_months=1,3.00,
    IF(arrears_months=2,5.00,
    IF(arrears_months=3,8.00,
    IF(arrears_months=4,10.00,
    IF(arrears_months=5,12.00,15.00)))))))</f>
        <v/>
      </c>
      <c r="M1057">
        <f>LET(
    seasoning_years,DATEDIF('Loan Tape (S&amp;P)'!K1057,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57">
        <f>IF(AND('Loan Tape (S&amp;P)'!U1057="Yes",
        'Loan Tape (S&amp;P)'!T1057&lt;&gt;"Yes",
        DATEDIF('Loan Tape (S&amp;P)'!K1057, TODAY(), "M")&lt;18),
    1.10,
    1.00)</f>
        <v/>
      </c>
      <c r="O1057">
        <f>IF('Loan Tape (S&amp;P)'!T1057="Yes",
    1.35,
    1.00)</f>
        <v/>
      </c>
      <c r="P1057">
        <f>IF('Loan Tape (S&amp;P)'!S1057="Yes",
    1.15,
    1.00)</f>
        <v/>
      </c>
      <c r="Q1057">
        <f>IF('Loan Tape (S&amp;P)'!V1057="Yes",
    1.20,
    1.00)</f>
        <v/>
      </c>
      <c r="T1057">
        <f>LET(
    payment_method,'Loan Tape (S&amp;P)'!P1057,
    occupancy,'Loan Tape (S&amp;P)'!N1057,
    maturity_date,'Loan Tape (S&amp;P)'!L1057,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58">
      <c r="J1058">
        <f>LET(
    lien,'Loan Tape (S&amp;P)'!Q1058,
    IF(lien="First",1.00,
        IF(lien="Second",1.50,
            1.70)))</f>
        <v/>
      </c>
      <c r="K1058">
        <f>LET(
    purpose,'Loan Tape (S&amp;P)'!R1058,
    IF(purpose="Purchase",1.00,
        IF(purpose="Remortgage",1.00,
            1.20)))</f>
        <v/>
      </c>
      <c r="L1058">
        <f>LET(
    arrears_months,'Loan Tape (S&amp;P)'!AN1058,
    IF(arrears_months=0,1.00,
    IF(arrears_months=1,3.00,
    IF(arrears_months=2,5.00,
    IF(arrears_months=3,8.00,
    IF(arrears_months=4,10.00,
    IF(arrears_months=5,12.00,15.00)))))))</f>
        <v/>
      </c>
      <c r="M1058">
        <f>LET(
    seasoning_years,DATEDIF('Loan Tape (S&amp;P)'!K1058,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58">
        <f>IF(AND('Loan Tape (S&amp;P)'!U1058="Yes",
        'Loan Tape (S&amp;P)'!T1058&lt;&gt;"Yes",
        DATEDIF('Loan Tape (S&amp;P)'!K1058, TODAY(), "M")&lt;18),
    1.10,
    1.00)</f>
        <v/>
      </c>
      <c r="O1058">
        <f>IF('Loan Tape (S&amp;P)'!T1058="Yes",
    1.35,
    1.00)</f>
        <v/>
      </c>
      <c r="P1058">
        <f>IF('Loan Tape (S&amp;P)'!S1058="Yes",
    1.15,
    1.00)</f>
        <v/>
      </c>
      <c r="Q1058">
        <f>IF('Loan Tape (S&amp;P)'!V1058="Yes",
    1.20,
    1.00)</f>
        <v/>
      </c>
      <c r="T1058">
        <f>LET(
    payment_method,'Loan Tape (S&amp;P)'!P1058,
    occupancy,'Loan Tape (S&amp;P)'!N1058,
    maturity_date,'Loan Tape (S&amp;P)'!L1058,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59">
      <c r="J1059">
        <f>LET(
    lien,'Loan Tape (S&amp;P)'!Q1059,
    IF(lien="First",1.00,
        IF(lien="Second",1.50,
            1.70)))</f>
        <v/>
      </c>
      <c r="K1059">
        <f>LET(
    purpose,'Loan Tape (S&amp;P)'!R1059,
    IF(purpose="Purchase",1.00,
        IF(purpose="Remortgage",1.00,
            1.20)))</f>
        <v/>
      </c>
      <c r="L1059">
        <f>LET(
    arrears_months,'Loan Tape (S&amp;P)'!AN1059,
    IF(arrears_months=0,1.00,
    IF(arrears_months=1,3.00,
    IF(arrears_months=2,5.00,
    IF(arrears_months=3,8.00,
    IF(arrears_months=4,10.00,
    IF(arrears_months=5,12.00,15.00)))))))</f>
        <v/>
      </c>
      <c r="M1059">
        <f>LET(
    seasoning_years,DATEDIF('Loan Tape (S&amp;P)'!K1059,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59">
        <f>IF(AND('Loan Tape (S&amp;P)'!U1059="Yes",
        'Loan Tape (S&amp;P)'!T1059&lt;&gt;"Yes",
        DATEDIF('Loan Tape (S&amp;P)'!K1059, TODAY(), "M")&lt;18),
    1.10,
    1.00)</f>
        <v/>
      </c>
      <c r="O1059">
        <f>IF('Loan Tape (S&amp;P)'!T1059="Yes",
    1.35,
    1.00)</f>
        <v/>
      </c>
      <c r="P1059">
        <f>IF('Loan Tape (S&amp;P)'!S1059="Yes",
    1.15,
    1.00)</f>
        <v/>
      </c>
      <c r="Q1059">
        <f>IF('Loan Tape (S&amp;P)'!V1059="Yes",
    1.20,
    1.00)</f>
        <v/>
      </c>
      <c r="T1059">
        <f>LET(
    payment_method,'Loan Tape (S&amp;P)'!P1059,
    occupancy,'Loan Tape (S&amp;P)'!N1059,
    maturity_date,'Loan Tape (S&amp;P)'!L1059,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60">
      <c r="J1060">
        <f>LET(
    lien,'Loan Tape (S&amp;P)'!Q1060,
    IF(lien="First",1.00,
        IF(lien="Second",1.50,
            1.70)))</f>
        <v/>
      </c>
      <c r="K1060">
        <f>LET(
    purpose,'Loan Tape (S&amp;P)'!R1060,
    IF(purpose="Purchase",1.00,
        IF(purpose="Remortgage",1.00,
            1.20)))</f>
        <v/>
      </c>
      <c r="L1060">
        <f>LET(
    arrears_months,'Loan Tape (S&amp;P)'!AN1060,
    IF(arrears_months=0,1.00,
    IF(arrears_months=1,3.00,
    IF(arrears_months=2,5.00,
    IF(arrears_months=3,8.00,
    IF(arrears_months=4,10.00,
    IF(arrears_months=5,12.00,15.00)))))))</f>
        <v/>
      </c>
      <c r="M1060">
        <f>LET(
    seasoning_years,DATEDIF('Loan Tape (S&amp;P)'!K1060,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60">
        <f>IF(AND('Loan Tape (S&amp;P)'!U1060="Yes",
        'Loan Tape (S&amp;P)'!T1060&lt;&gt;"Yes",
        DATEDIF('Loan Tape (S&amp;P)'!K1060, TODAY(), "M")&lt;18),
    1.10,
    1.00)</f>
        <v/>
      </c>
      <c r="O1060">
        <f>IF('Loan Tape (S&amp;P)'!T1060="Yes",
    1.35,
    1.00)</f>
        <v/>
      </c>
      <c r="P1060">
        <f>IF('Loan Tape (S&amp;P)'!S1060="Yes",
    1.15,
    1.00)</f>
        <v/>
      </c>
      <c r="Q1060">
        <f>IF('Loan Tape (S&amp;P)'!V1060="Yes",
    1.20,
    1.00)</f>
        <v/>
      </c>
      <c r="T1060">
        <f>LET(
    payment_method,'Loan Tape (S&amp;P)'!P1060,
    occupancy,'Loan Tape (S&amp;P)'!N1060,
    maturity_date,'Loan Tape (S&amp;P)'!L1060,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61">
      <c r="J1061">
        <f>LET(
    lien,'Loan Tape (S&amp;P)'!Q1061,
    IF(lien="First",1.00,
        IF(lien="Second",1.50,
            1.70)))</f>
        <v/>
      </c>
      <c r="K1061">
        <f>LET(
    purpose,'Loan Tape (S&amp;P)'!R1061,
    IF(purpose="Purchase",1.00,
        IF(purpose="Remortgage",1.00,
            1.20)))</f>
        <v/>
      </c>
      <c r="L1061">
        <f>LET(
    arrears_months,'Loan Tape (S&amp;P)'!AN1061,
    IF(arrears_months=0,1.00,
    IF(arrears_months=1,3.00,
    IF(arrears_months=2,5.00,
    IF(arrears_months=3,8.00,
    IF(arrears_months=4,10.00,
    IF(arrears_months=5,12.00,15.00)))))))</f>
        <v/>
      </c>
      <c r="M1061">
        <f>LET(
    seasoning_years,DATEDIF('Loan Tape (S&amp;P)'!K1061,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61">
        <f>IF(AND('Loan Tape (S&amp;P)'!U1061="Yes",
        'Loan Tape (S&amp;P)'!T1061&lt;&gt;"Yes",
        DATEDIF('Loan Tape (S&amp;P)'!K1061, TODAY(), "M")&lt;18),
    1.10,
    1.00)</f>
        <v/>
      </c>
      <c r="O1061">
        <f>IF('Loan Tape (S&amp;P)'!T1061="Yes",
    1.35,
    1.00)</f>
        <v/>
      </c>
      <c r="P1061">
        <f>IF('Loan Tape (S&amp;P)'!S1061="Yes",
    1.15,
    1.00)</f>
        <v/>
      </c>
      <c r="Q1061">
        <f>IF('Loan Tape (S&amp;P)'!V1061="Yes",
    1.20,
    1.00)</f>
        <v/>
      </c>
      <c r="T1061">
        <f>LET(
    payment_method,'Loan Tape (S&amp;P)'!P1061,
    occupancy,'Loan Tape (S&amp;P)'!N1061,
    maturity_date,'Loan Tape (S&amp;P)'!L1061,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62">
      <c r="J1062">
        <f>LET(
    lien,'Loan Tape (S&amp;P)'!Q1062,
    IF(lien="First",1.00,
        IF(lien="Second",1.50,
            1.70)))</f>
        <v/>
      </c>
      <c r="K1062">
        <f>LET(
    purpose,'Loan Tape (S&amp;P)'!R1062,
    IF(purpose="Purchase",1.00,
        IF(purpose="Remortgage",1.00,
            1.20)))</f>
        <v/>
      </c>
      <c r="L1062">
        <f>LET(
    arrears_months,'Loan Tape (S&amp;P)'!AN1062,
    IF(arrears_months=0,1.00,
    IF(arrears_months=1,3.00,
    IF(arrears_months=2,5.00,
    IF(arrears_months=3,8.00,
    IF(arrears_months=4,10.00,
    IF(arrears_months=5,12.00,15.00)))))))</f>
        <v/>
      </c>
      <c r="M1062">
        <f>LET(
    seasoning_years,DATEDIF('Loan Tape (S&amp;P)'!K1062,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62">
        <f>IF(AND('Loan Tape (S&amp;P)'!U1062="Yes",
        'Loan Tape (S&amp;P)'!T1062&lt;&gt;"Yes",
        DATEDIF('Loan Tape (S&amp;P)'!K1062, TODAY(), "M")&lt;18),
    1.10,
    1.00)</f>
        <v/>
      </c>
      <c r="O1062">
        <f>IF('Loan Tape (S&amp;P)'!T1062="Yes",
    1.35,
    1.00)</f>
        <v/>
      </c>
      <c r="P1062">
        <f>IF('Loan Tape (S&amp;P)'!S1062="Yes",
    1.15,
    1.00)</f>
        <v/>
      </c>
      <c r="Q1062">
        <f>IF('Loan Tape (S&amp;P)'!V1062="Yes",
    1.20,
    1.00)</f>
        <v/>
      </c>
      <c r="T1062">
        <f>LET(
    payment_method,'Loan Tape (S&amp;P)'!P1062,
    occupancy,'Loan Tape (S&amp;P)'!N1062,
    maturity_date,'Loan Tape (S&amp;P)'!L1062,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63">
      <c r="J1063">
        <f>LET(
    lien,'Loan Tape (S&amp;P)'!Q1063,
    IF(lien="First",1.00,
        IF(lien="Second",1.50,
            1.70)))</f>
        <v/>
      </c>
      <c r="K1063">
        <f>LET(
    purpose,'Loan Tape (S&amp;P)'!R1063,
    IF(purpose="Purchase",1.00,
        IF(purpose="Remortgage",1.00,
            1.20)))</f>
        <v/>
      </c>
      <c r="L1063">
        <f>LET(
    arrears_months,'Loan Tape (S&amp;P)'!AN1063,
    IF(arrears_months=0,1.00,
    IF(arrears_months=1,3.00,
    IF(arrears_months=2,5.00,
    IF(arrears_months=3,8.00,
    IF(arrears_months=4,10.00,
    IF(arrears_months=5,12.00,15.00)))))))</f>
        <v/>
      </c>
      <c r="M1063">
        <f>LET(
    seasoning_years,DATEDIF('Loan Tape (S&amp;P)'!K1063,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63">
        <f>IF(AND('Loan Tape (S&amp;P)'!U1063="Yes",
        'Loan Tape (S&amp;P)'!T1063&lt;&gt;"Yes",
        DATEDIF('Loan Tape (S&amp;P)'!K1063, TODAY(), "M")&lt;18),
    1.10,
    1.00)</f>
        <v/>
      </c>
      <c r="O1063">
        <f>IF('Loan Tape (S&amp;P)'!T1063="Yes",
    1.35,
    1.00)</f>
        <v/>
      </c>
      <c r="P1063">
        <f>IF('Loan Tape (S&amp;P)'!S1063="Yes",
    1.15,
    1.00)</f>
        <v/>
      </c>
      <c r="Q1063">
        <f>IF('Loan Tape (S&amp;P)'!V1063="Yes",
    1.20,
    1.00)</f>
        <v/>
      </c>
      <c r="T1063">
        <f>LET(
    payment_method,'Loan Tape (S&amp;P)'!P1063,
    occupancy,'Loan Tape (S&amp;P)'!N1063,
    maturity_date,'Loan Tape (S&amp;P)'!L1063,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64">
      <c r="J1064">
        <f>LET(
    lien,'Loan Tape (S&amp;P)'!Q1064,
    IF(lien="First",1.00,
        IF(lien="Second",1.50,
            1.70)))</f>
        <v/>
      </c>
      <c r="K1064">
        <f>LET(
    purpose,'Loan Tape (S&amp;P)'!R1064,
    IF(purpose="Purchase",1.00,
        IF(purpose="Remortgage",1.00,
            1.20)))</f>
        <v/>
      </c>
      <c r="L1064">
        <f>LET(
    arrears_months,'Loan Tape (S&amp;P)'!AN1064,
    IF(arrears_months=0,1.00,
    IF(arrears_months=1,3.00,
    IF(arrears_months=2,5.00,
    IF(arrears_months=3,8.00,
    IF(arrears_months=4,10.00,
    IF(arrears_months=5,12.00,15.00)))))))</f>
        <v/>
      </c>
      <c r="M1064">
        <f>LET(
    seasoning_years,DATEDIF('Loan Tape (S&amp;P)'!K1064,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64">
        <f>IF(AND('Loan Tape (S&amp;P)'!U1064="Yes",
        'Loan Tape (S&amp;P)'!T1064&lt;&gt;"Yes",
        DATEDIF('Loan Tape (S&amp;P)'!K1064, TODAY(), "M")&lt;18),
    1.10,
    1.00)</f>
        <v/>
      </c>
      <c r="O1064">
        <f>IF('Loan Tape (S&amp;P)'!T1064="Yes",
    1.35,
    1.00)</f>
        <v/>
      </c>
      <c r="P1064">
        <f>IF('Loan Tape (S&amp;P)'!S1064="Yes",
    1.15,
    1.00)</f>
        <v/>
      </c>
      <c r="Q1064">
        <f>IF('Loan Tape (S&amp;P)'!V1064="Yes",
    1.20,
    1.00)</f>
        <v/>
      </c>
      <c r="T1064">
        <f>LET(
    payment_method,'Loan Tape (S&amp;P)'!P1064,
    occupancy,'Loan Tape (S&amp;P)'!N1064,
    maturity_date,'Loan Tape (S&amp;P)'!L1064,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65">
      <c r="J1065">
        <f>LET(
    lien,'Loan Tape (S&amp;P)'!Q1065,
    IF(lien="First",1.00,
        IF(lien="Second",1.50,
            1.70)))</f>
        <v/>
      </c>
      <c r="K1065">
        <f>LET(
    purpose,'Loan Tape (S&amp;P)'!R1065,
    IF(purpose="Purchase",1.00,
        IF(purpose="Remortgage",1.00,
            1.20)))</f>
        <v/>
      </c>
      <c r="L1065">
        <f>LET(
    arrears_months,'Loan Tape (S&amp;P)'!AN1065,
    IF(arrears_months=0,1.00,
    IF(arrears_months=1,3.00,
    IF(arrears_months=2,5.00,
    IF(arrears_months=3,8.00,
    IF(arrears_months=4,10.00,
    IF(arrears_months=5,12.00,15.00)))))))</f>
        <v/>
      </c>
      <c r="M1065">
        <f>LET(
    seasoning_years,DATEDIF('Loan Tape (S&amp;P)'!K1065,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65">
        <f>IF(AND('Loan Tape (S&amp;P)'!U1065="Yes",
        'Loan Tape (S&amp;P)'!T1065&lt;&gt;"Yes",
        DATEDIF('Loan Tape (S&amp;P)'!K1065, TODAY(), "M")&lt;18),
    1.10,
    1.00)</f>
        <v/>
      </c>
      <c r="O1065">
        <f>IF('Loan Tape (S&amp;P)'!T1065="Yes",
    1.35,
    1.00)</f>
        <v/>
      </c>
      <c r="P1065">
        <f>IF('Loan Tape (S&amp;P)'!S1065="Yes",
    1.15,
    1.00)</f>
        <v/>
      </c>
      <c r="Q1065">
        <f>IF('Loan Tape (S&amp;P)'!V1065="Yes",
    1.20,
    1.00)</f>
        <v/>
      </c>
      <c r="T1065">
        <f>LET(
    payment_method,'Loan Tape (S&amp;P)'!P1065,
    occupancy,'Loan Tape (S&amp;P)'!N1065,
    maturity_date,'Loan Tape (S&amp;P)'!L1065,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66">
      <c r="J1066">
        <f>LET(
    lien,'Loan Tape (S&amp;P)'!Q1066,
    IF(lien="First",1.00,
        IF(lien="Second",1.50,
            1.70)))</f>
        <v/>
      </c>
      <c r="K1066">
        <f>LET(
    purpose,'Loan Tape (S&amp;P)'!R1066,
    IF(purpose="Purchase",1.00,
        IF(purpose="Remortgage",1.00,
            1.20)))</f>
        <v/>
      </c>
      <c r="L1066">
        <f>LET(
    arrears_months,'Loan Tape (S&amp;P)'!AN1066,
    IF(arrears_months=0,1.00,
    IF(arrears_months=1,3.00,
    IF(arrears_months=2,5.00,
    IF(arrears_months=3,8.00,
    IF(arrears_months=4,10.00,
    IF(arrears_months=5,12.00,15.00)))))))</f>
        <v/>
      </c>
      <c r="M1066">
        <f>LET(
    seasoning_years,DATEDIF('Loan Tape (S&amp;P)'!K1066,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66">
        <f>IF(AND('Loan Tape (S&amp;P)'!U1066="Yes",
        'Loan Tape (S&amp;P)'!T1066&lt;&gt;"Yes",
        DATEDIF('Loan Tape (S&amp;P)'!K1066, TODAY(), "M")&lt;18),
    1.10,
    1.00)</f>
        <v/>
      </c>
      <c r="O1066">
        <f>IF('Loan Tape (S&amp;P)'!T1066="Yes",
    1.35,
    1.00)</f>
        <v/>
      </c>
      <c r="P1066">
        <f>IF('Loan Tape (S&amp;P)'!S1066="Yes",
    1.15,
    1.00)</f>
        <v/>
      </c>
      <c r="Q1066">
        <f>IF('Loan Tape (S&amp;P)'!V1066="Yes",
    1.20,
    1.00)</f>
        <v/>
      </c>
      <c r="T1066">
        <f>LET(
    payment_method,'Loan Tape (S&amp;P)'!P1066,
    occupancy,'Loan Tape (S&amp;P)'!N1066,
    maturity_date,'Loan Tape (S&amp;P)'!L1066,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67">
      <c r="J1067">
        <f>LET(
    lien,'Loan Tape (S&amp;P)'!Q1067,
    IF(lien="First",1.00,
        IF(lien="Second",1.50,
            1.70)))</f>
        <v/>
      </c>
      <c r="K1067">
        <f>LET(
    purpose,'Loan Tape (S&amp;P)'!R1067,
    IF(purpose="Purchase",1.00,
        IF(purpose="Remortgage",1.00,
            1.20)))</f>
        <v/>
      </c>
      <c r="L1067">
        <f>LET(
    arrears_months,'Loan Tape (S&amp;P)'!AN1067,
    IF(arrears_months=0,1.00,
    IF(arrears_months=1,3.00,
    IF(arrears_months=2,5.00,
    IF(arrears_months=3,8.00,
    IF(arrears_months=4,10.00,
    IF(arrears_months=5,12.00,15.00)))))))</f>
        <v/>
      </c>
      <c r="M1067">
        <f>LET(
    seasoning_years,DATEDIF('Loan Tape (S&amp;P)'!K1067,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67">
        <f>IF(AND('Loan Tape (S&amp;P)'!U1067="Yes",
        'Loan Tape (S&amp;P)'!T1067&lt;&gt;"Yes",
        DATEDIF('Loan Tape (S&amp;P)'!K1067, TODAY(), "M")&lt;18),
    1.10,
    1.00)</f>
        <v/>
      </c>
      <c r="O1067">
        <f>IF('Loan Tape (S&amp;P)'!T1067="Yes",
    1.35,
    1.00)</f>
        <v/>
      </c>
      <c r="P1067">
        <f>IF('Loan Tape (S&amp;P)'!S1067="Yes",
    1.15,
    1.00)</f>
        <v/>
      </c>
      <c r="Q1067">
        <f>IF('Loan Tape (S&amp;P)'!V1067="Yes",
    1.20,
    1.00)</f>
        <v/>
      </c>
      <c r="T1067">
        <f>LET(
    payment_method,'Loan Tape (S&amp;P)'!P1067,
    occupancy,'Loan Tape (S&amp;P)'!N1067,
    maturity_date,'Loan Tape (S&amp;P)'!L1067,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68">
      <c r="J1068">
        <f>LET(
    lien,'Loan Tape (S&amp;P)'!Q1068,
    IF(lien="First",1.00,
        IF(lien="Second",1.50,
            1.70)))</f>
        <v/>
      </c>
      <c r="K1068">
        <f>LET(
    purpose,'Loan Tape (S&amp;P)'!R1068,
    IF(purpose="Purchase",1.00,
        IF(purpose="Remortgage",1.00,
            1.20)))</f>
        <v/>
      </c>
      <c r="L1068">
        <f>LET(
    arrears_months,'Loan Tape (S&amp;P)'!AN1068,
    IF(arrears_months=0,1.00,
    IF(arrears_months=1,3.00,
    IF(arrears_months=2,5.00,
    IF(arrears_months=3,8.00,
    IF(arrears_months=4,10.00,
    IF(arrears_months=5,12.00,15.00)))))))</f>
        <v/>
      </c>
      <c r="M1068">
        <f>LET(
    seasoning_years,DATEDIF('Loan Tape (S&amp;P)'!K1068,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68">
        <f>IF(AND('Loan Tape (S&amp;P)'!U1068="Yes",
        'Loan Tape (S&amp;P)'!T1068&lt;&gt;"Yes",
        DATEDIF('Loan Tape (S&amp;P)'!K1068, TODAY(), "M")&lt;18),
    1.10,
    1.00)</f>
        <v/>
      </c>
      <c r="O1068">
        <f>IF('Loan Tape (S&amp;P)'!T1068="Yes",
    1.35,
    1.00)</f>
        <v/>
      </c>
      <c r="P1068">
        <f>IF('Loan Tape (S&amp;P)'!S1068="Yes",
    1.15,
    1.00)</f>
        <v/>
      </c>
      <c r="Q1068">
        <f>IF('Loan Tape (S&amp;P)'!V1068="Yes",
    1.20,
    1.00)</f>
        <v/>
      </c>
      <c r="T1068">
        <f>LET(
    payment_method,'Loan Tape (S&amp;P)'!P1068,
    occupancy,'Loan Tape (S&amp;P)'!N1068,
    maturity_date,'Loan Tape (S&amp;P)'!L1068,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69">
      <c r="J1069">
        <f>LET(
    lien,'Loan Tape (S&amp;P)'!Q1069,
    IF(lien="First",1.00,
        IF(lien="Second",1.50,
            1.70)))</f>
        <v/>
      </c>
      <c r="K1069">
        <f>LET(
    purpose,'Loan Tape (S&amp;P)'!R1069,
    IF(purpose="Purchase",1.00,
        IF(purpose="Remortgage",1.00,
            1.20)))</f>
        <v/>
      </c>
      <c r="L1069">
        <f>LET(
    arrears_months,'Loan Tape (S&amp;P)'!AN1069,
    IF(arrears_months=0,1.00,
    IF(arrears_months=1,3.00,
    IF(arrears_months=2,5.00,
    IF(arrears_months=3,8.00,
    IF(arrears_months=4,10.00,
    IF(arrears_months=5,12.00,15.00)))))))</f>
        <v/>
      </c>
      <c r="M1069">
        <f>LET(
    seasoning_years,DATEDIF('Loan Tape (S&amp;P)'!K1069,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69">
        <f>IF(AND('Loan Tape (S&amp;P)'!U1069="Yes",
        'Loan Tape (S&amp;P)'!T1069&lt;&gt;"Yes",
        DATEDIF('Loan Tape (S&amp;P)'!K1069, TODAY(), "M")&lt;18),
    1.10,
    1.00)</f>
        <v/>
      </c>
      <c r="O1069">
        <f>IF('Loan Tape (S&amp;P)'!T1069="Yes",
    1.35,
    1.00)</f>
        <v/>
      </c>
      <c r="P1069">
        <f>IF('Loan Tape (S&amp;P)'!S1069="Yes",
    1.15,
    1.00)</f>
        <v/>
      </c>
      <c r="Q1069">
        <f>IF('Loan Tape (S&amp;P)'!V1069="Yes",
    1.20,
    1.00)</f>
        <v/>
      </c>
      <c r="T1069">
        <f>LET(
    payment_method,'Loan Tape (S&amp;P)'!P1069,
    occupancy,'Loan Tape (S&amp;P)'!N1069,
    maturity_date,'Loan Tape (S&amp;P)'!L1069,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70">
      <c r="J1070">
        <f>LET(
    lien,'Loan Tape (S&amp;P)'!Q1070,
    IF(lien="First",1.00,
        IF(lien="Second",1.50,
            1.70)))</f>
        <v/>
      </c>
      <c r="K1070">
        <f>LET(
    purpose,'Loan Tape (S&amp;P)'!R1070,
    IF(purpose="Purchase",1.00,
        IF(purpose="Remortgage",1.00,
            1.20)))</f>
        <v/>
      </c>
      <c r="L1070">
        <f>LET(
    arrears_months,'Loan Tape (S&amp;P)'!AN1070,
    IF(arrears_months=0,1.00,
    IF(arrears_months=1,3.00,
    IF(arrears_months=2,5.00,
    IF(arrears_months=3,8.00,
    IF(arrears_months=4,10.00,
    IF(arrears_months=5,12.00,15.00)))))))</f>
        <v/>
      </c>
      <c r="M1070">
        <f>LET(
    seasoning_years,DATEDIF('Loan Tape (S&amp;P)'!K1070,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70">
        <f>IF(AND('Loan Tape (S&amp;P)'!U1070="Yes",
        'Loan Tape (S&amp;P)'!T1070&lt;&gt;"Yes",
        DATEDIF('Loan Tape (S&amp;P)'!K1070, TODAY(), "M")&lt;18),
    1.10,
    1.00)</f>
        <v/>
      </c>
      <c r="O1070">
        <f>IF('Loan Tape (S&amp;P)'!T1070="Yes",
    1.35,
    1.00)</f>
        <v/>
      </c>
      <c r="P1070">
        <f>IF('Loan Tape (S&amp;P)'!S1070="Yes",
    1.15,
    1.00)</f>
        <v/>
      </c>
      <c r="Q1070">
        <f>IF('Loan Tape (S&amp;P)'!V1070="Yes",
    1.20,
    1.00)</f>
        <v/>
      </c>
      <c r="T1070">
        <f>LET(
    payment_method,'Loan Tape (S&amp;P)'!P1070,
    occupancy,'Loan Tape (S&amp;P)'!N1070,
    maturity_date,'Loan Tape (S&amp;P)'!L1070,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71">
      <c r="J1071">
        <f>LET(
    lien,'Loan Tape (S&amp;P)'!Q1071,
    IF(lien="First",1.00,
        IF(lien="Second",1.50,
            1.70)))</f>
        <v/>
      </c>
      <c r="K1071">
        <f>LET(
    purpose,'Loan Tape (S&amp;P)'!R1071,
    IF(purpose="Purchase",1.00,
        IF(purpose="Remortgage",1.00,
            1.20)))</f>
        <v/>
      </c>
      <c r="L1071">
        <f>LET(
    arrears_months,'Loan Tape (S&amp;P)'!AN1071,
    IF(arrears_months=0,1.00,
    IF(arrears_months=1,3.00,
    IF(arrears_months=2,5.00,
    IF(arrears_months=3,8.00,
    IF(arrears_months=4,10.00,
    IF(arrears_months=5,12.00,15.00)))))))</f>
        <v/>
      </c>
      <c r="M1071">
        <f>LET(
    seasoning_years,DATEDIF('Loan Tape (S&amp;P)'!K1071,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71">
        <f>IF(AND('Loan Tape (S&amp;P)'!U1071="Yes",
        'Loan Tape (S&amp;P)'!T1071&lt;&gt;"Yes",
        DATEDIF('Loan Tape (S&amp;P)'!K1071, TODAY(), "M")&lt;18),
    1.10,
    1.00)</f>
        <v/>
      </c>
      <c r="O1071">
        <f>IF('Loan Tape (S&amp;P)'!T1071="Yes",
    1.35,
    1.00)</f>
        <v/>
      </c>
      <c r="P1071">
        <f>IF('Loan Tape (S&amp;P)'!S1071="Yes",
    1.15,
    1.00)</f>
        <v/>
      </c>
      <c r="Q1071">
        <f>IF('Loan Tape (S&amp;P)'!V1071="Yes",
    1.20,
    1.00)</f>
        <v/>
      </c>
      <c r="T1071">
        <f>LET(
    payment_method,'Loan Tape (S&amp;P)'!P1071,
    occupancy,'Loan Tape (S&amp;P)'!N1071,
    maturity_date,'Loan Tape (S&amp;P)'!L1071,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72">
      <c r="J1072">
        <f>LET(
    lien,'Loan Tape (S&amp;P)'!Q1072,
    IF(lien="First",1.00,
        IF(lien="Second",1.50,
            1.70)))</f>
        <v/>
      </c>
      <c r="K1072">
        <f>LET(
    purpose,'Loan Tape (S&amp;P)'!R1072,
    IF(purpose="Purchase",1.00,
        IF(purpose="Remortgage",1.00,
            1.20)))</f>
        <v/>
      </c>
      <c r="L1072">
        <f>LET(
    arrears_months,'Loan Tape (S&amp;P)'!AN1072,
    IF(arrears_months=0,1.00,
    IF(arrears_months=1,3.00,
    IF(arrears_months=2,5.00,
    IF(arrears_months=3,8.00,
    IF(arrears_months=4,10.00,
    IF(arrears_months=5,12.00,15.00)))))))</f>
        <v/>
      </c>
      <c r="M1072">
        <f>LET(
    seasoning_years,DATEDIF('Loan Tape (S&amp;P)'!K1072,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72">
        <f>IF(AND('Loan Tape (S&amp;P)'!U1072="Yes",
        'Loan Tape (S&amp;P)'!T1072&lt;&gt;"Yes",
        DATEDIF('Loan Tape (S&amp;P)'!K1072, TODAY(), "M")&lt;18),
    1.10,
    1.00)</f>
        <v/>
      </c>
      <c r="O1072">
        <f>IF('Loan Tape (S&amp;P)'!T1072="Yes",
    1.35,
    1.00)</f>
        <v/>
      </c>
      <c r="P1072">
        <f>IF('Loan Tape (S&amp;P)'!S1072="Yes",
    1.15,
    1.00)</f>
        <v/>
      </c>
      <c r="Q1072">
        <f>IF('Loan Tape (S&amp;P)'!V1072="Yes",
    1.20,
    1.00)</f>
        <v/>
      </c>
      <c r="T1072">
        <f>LET(
    payment_method,'Loan Tape (S&amp;P)'!P1072,
    occupancy,'Loan Tape (S&amp;P)'!N1072,
    maturity_date,'Loan Tape (S&amp;P)'!L1072,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73">
      <c r="J1073">
        <f>LET(
    lien,'Loan Tape (S&amp;P)'!Q1073,
    IF(lien="First",1.00,
        IF(lien="Second",1.50,
            1.70)))</f>
        <v/>
      </c>
      <c r="K1073">
        <f>LET(
    purpose,'Loan Tape (S&amp;P)'!R1073,
    IF(purpose="Purchase",1.00,
        IF(purpose="Remortgage",1.00,
            1.20)))</f>
        <v/>
      </c>
      <c r="L1073">
        <f>LET(
    arrears_months,'Loan Tape (S&amp;P)'!AN1073,
    IF(arrears_months=0,1.00,
    IF(arrears_months=1,3.00,
    IF(arrears_months=2,5.00,
    IF(arrears_months=3,8.00,
    IF(arrears_months=4,10.00,
    IF(arrears_months=5,12.00,15.00)))))))</f>
        <v/>
      </c>
      <c r="M1073">
        <f>LET(
    seasoning_years,DATEDIF('Loan Tape (S&amp;P)'!K1073,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73">
        <f>IF(AND('Loan Tape (S&amp;P)'!U1073="Yes",
        'Loan Tape (S&amp;P)'!T1073&lt;&gt;"Yes",
        DATEDIF('Loan Tape (S&amp;P)'!K1073, TODAY(), "M")&lt;18),
    1.10,
    1.00)</f>
        <v/>
      </c>
      <c r="O1073">
        <f>IF('Loan Tape (S&amp;P)'!T1073="Yes",
    1.35,
    1.00)</f>
        <v/>
      </c>
      <c r="P1073">
        <f>IF('Loan Tape (S&amp;P)'!S1073="Yes",
    1.15,
    1.00)</f>
        <v/>
      </c>
      <c r="Q1073">
        <f>IF('Loan Tape (S&amp;P)'!V1073="Yes",
    1.20,
    1.00)</f>
        <v/>
      </c>
      <c r="T1073">
        <f>LET(
    payment_method,'Loan Tape (S&amp;P)'!P1073,
    occupancy,'Loan Tape (S&amp;P)'!N1073,
    maturity_date,'Loan Tape (S&amp;P)'!L1073,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74">
      <c r="J1074">
        <f>LET(
    lien,'Loan Tape (S&amp;P)'!Q1074,
    IF(lien="First",1.00,
        IF(lien="Second",1.50,
            1.70)))</f>
        <v/>
      </c>
      <c r="K1074">
        <f>LET(
    purpose,'Loan Tape (S&amp;P)'!R1074,
    IF(purpose="Purchase",1.00,
        IF(purpose="Remortgage",1.00,
            1.20)))</f>
        <v/>
      </c>
      <c r="L1074">
        <f>LET(
    arrears_months,'Loan Tape (S&amp;P)'!AN1074,
    IF(arrears_months=0,1.00,
    IF(arrears_months=1,3.00,
    IF(arrears_months=2,5.00,
    IF(arrears_months=3,8.00,
    IF(arrears_months=4,10.00,
    IF(arrears_months=5,12.00,15.00)))))))</f>
        <v/>
      </c>
      <c r="M1074">
        <f>LET(
    seasoning_years,DATEDIF('Loan Tape (S&amp;P)'!K1074,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74">
        <f>IF(AND('Loan Tape (S&amp;P)'!U1074="Yes",
        'Loan Tape (S&amp;P)'!T1074&lt;&gt;"Yes",
        DATEDIF('Loan Tape (S&amp;P)'!K1074, TODAY(), "M")&lt;18),
    1.10,
    1.00)</f>
        <v/>
      </c>
      <c r="O1074">
        <f>IF('Loan Tape (S&amp;P)'!T1074="Yes",
    1.35,
    1.00)</f>
        <v/>
      </c>
      <c r="P1074">
        <f>IF('Loan Tape (S&amp;P)'!S1074="Yes",
    1.15,
    1.00)</f>
        <v/>
      </c>
      <c r="Q1074">
        <f>IF('Loan Tape (S&amp;P)'!V1074="Yes",
    1.20,
    1.00)</f>
        <v/>
      </c>
      <c r="T1074">
        <f>LET(
    payment_method,'Loan Tape (S&amp;P)'!P1074,
    occupancy,'Loan Tape (S&amp;P)'!N1074,
    maturity_date,'Loan Tape (S&amp;P)'!L1074,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75">
      <c r="J1075">
        <f>LET(
    lien,'Loan Tape (S&amp;P)'!Q1075,
    IF(lien="First",1.00,
        IF(lien="Second",1.50,
            1.70)))</f>
        <v/>
      </c>
      <c r="K1075">
        <f>LET(
    purpose,'Loan Tape (S&amp;P)'!R1075,
    IF(purpose="Purchase",1.00,
        IF(purpose="Remortgage",1.00,
            1.20)))</f>
        <v/>
      </c>
      <c r="L1075">
        <f>LET(
    arrears_months,'Loan Tape (S&amp;P)'!AN1075,
    IF(arrears_months=0,1.00,
    IF(arrears_months=1,3.00,
    IF(arrears_months=2,5.00,
    IF(arrears_months=3,8.00,
    IF(arrears_months=4,10.00,
    IF(arrears_months=5,12.00,15.00)))))))</f>
        <v/>
      </c>
      <c r="M1075">
        <f>LET(
    seasoning_years,DATEDIF('Loan Tape (S&amp;P)'!K1075,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75">
        <f>IF(AND('Loan Tape (S&amp;P)'!U1075="Yes",
        'Loan Tape (S&amp;P)'!T1075&lt;&gt;"Yes",
        DATEDIF('Loan Tape (S&amp;P)'!K1075, TODAY(), "M")&lt;18),
    1.10,
    1.00)</f>
        <v/>
      </c>
      <c r="O1075">
        <f>IF('Loan Tape (S&amp;P)'!T1075="Yes",
    1.35,
    1.00)</f>
        <v/>
      </c>
      <c r="P1075">
        <f>IF('Loan Tape (S&amp;P)'!S1075="Yes",
    1.15,
    1.00)</f>
        <v/>
      </c>
      <c r="Q1075">
        <f>IF('Loan Tape (S&amp;P)'!V1075="Yes",
    1.20,
    1.00)</f>
        <v/>
      </c>
      <c r="T1075">
        <f>LET(
    payment_method,'Loan Tape (S&amp;P)'!P1075,
    occupancy,'Loan Tape (S&amp;P)'!N1075,
    maturity_date,'Loan Tape (S&amp;P)'!L1075,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76">
      <c r="J1076">
        <f>LET(
    lien,'Loan Tape (S&amp;P)'!Q1076,
    IF(lien="First",1.00,
        IF(lien="Second",1.50,
            1.70)))</f>
        <v/>
      </c>
      <c r="K1076">
        <f>LET(
    purpose,'Loan Tape (S&amp;P)'!R1076,
    IF(purpose="Purchase",1.00,
        IF(purpose="Remortgage",1.00,
            1.20)))</f>
        <v/>
      </c>
      <c r="L1076">
        <f>LET(
    arrears_months,'Loan Tape (S&amp;P)'!AN1076,
    IF(arrears_months=0,1.00,
    IF(arrears_months=1,3.00,
    IF(arrears_months=2,5.00,
    IF(arrears_months=3,8.00,
    IF(arrears_months=4,10.00,
    IF(arrears_months=5,12.00,15.00)))))))</f>
        <v/>
      </c>
      <c r="M1076">
        <f>LET(
    seasoning_years,DATEDIF('Loan Tape (S&amp;P)'!K1076,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76">
        <f>IF(AND('Loan Tape (S&amp;P)'!U1076="Yes",
        'Loan Tape (S&amp;P)'!T1076&lt;&gt;"Yes",
        DATEDIF('Loan Tape (S&amp;P)'!K1076, TODAY(), "M")&lt;18),
    1.10,
    1.00)</f>
        <v/>
      </c>
      <c r="O1076">
        <f>IF('Loan Tape (S&amp;P)'!T1076="Yes",
    1.35,
    1.00)</f>
        <v/>
      </c>
      <c r="P1076">
        <f>IF('Loan Tape (S&amp;P)'!S1076="Yes",
    1.15,
    1.00)</f>
        <v/>
      </c>
      <c r="Q1076">
        <f>IF('Loan Tape (S&amp;P)'!V1076="Yes",
    1.20,
    1.00)</f>
        <v/>
      </c>
      <c r="T1076">
        <f>LET(
    payment_method,'Loan Tape (S&amp;P)'!P1076,
    occupancy,'Loan Tape (S&amp;P)'!N1076,
    maturity_date,'Loan Tape (S&amp;P)'!L1076,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77">
      <c r="J1077">
        <f>LET(
    lien,'Loan Tape (S&amp;P)'!Q1077,
    IF(lien="First",1.00,
        IF(lien="Second",1.50,
            1.70)))</f>
        <v/>
      </c>
      <c r="K1077">
        <f>LET(
    purpose,'Loan Tape (S&amp;P)'!R1077,
    IF(purpose="Purchase",1.00,
        IF(purpose="Remortgage",1.00,
            1.20)))</f>
        <v/>
      </c>
      <c r="L1077">
        <f>LET(
    arrears_months,'Loan Tape (S&amp;P)'!AN1077,
    IF(arrears_months=0,1.00,
    IF(arrears_months=1,3.00,
    IF(arrears_months=2,5.00,
    IF(arrears_months=3,8.00,
    IF(arrears_months=4,10.00,
    IF(arrears_months=5,12.00,15.00)))))))</f>
        <v/>
      </c>
      <c r="M1077">
        <f>LET(
    seasoning_years,DATEDIF('Loan Tape (S&amp;P)'!K1077,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77">
        <f>IF(AND('Loan Tape (S&amp;P)'!U1077="Yes",
        'Loan Tape (S&amp;P)'!T1077&lt;&gt;"Yes",
        DATEDIF('Loan Tape (S&amp;P)'!K1077, TODAY(), "M")&lt;18),
    1.10,
    1.00)</f>
        <v/>
      </c>
      <c r="O1077">
        <f>IF('Loan Tape (S&amp;P)'!T1077="Yes",
    1.35,
    1.00)</f>
        <v/>
      </c>
      <c r="P1077">
        <f>IF('Loan Tape (S&amp;P)'!S1077="Yes",
    1.15,
    1.00)</f>
        <v/>
      </c>
      <c r="Q1077">
        <f>IF('Loan Tape (S&amp;P)'!V1077="Yes",
    1.20,
    1.00)</f>
        <v/>
      </c>
      <c r="T1077">
        <f>LET(
    payment_method,'Loan Tape (S&amp;P)'!P1077,
    occupancy,'Loan Tape (S&amp;P)'!N1077,
    maturity_date,'Loan Tape (S&amp;P)'!L1077,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78">
      <c r="J1078">
        <f>LET(
    lien,'Loan Tape (S&amp;P)'!Q1078,
    IF(lien="First",1.00,
        IF(lien="Second",1.50,
            1.70)))</f>
        <v/>
      </c>
      <c r="K1078">
        <f>LET(
    purpose,'Loan Tape (S&amp;P)'!R1078,
    IF(purpose="Purchase",1.00,
        IF(purpose="Remortgage",1.00,
            1.20)))</f>
        <v/>
      </c>
      <c r="L1078">
        <f>LET(
    arrears_months,'Loan Tape (S&amp;P)'!AN1078,
    IF(arrears_months=0,1.00,
    IF(arrears_months=1,3.00,
    IF(arrears_months=2,5.00,
    IF(arrears_months=3,8.00,
    IF(arrears_months=4,10.00,
    IF(arrears_months=5,12.00,15.00)))))))</f>
        <v/>
      </c>
      <c r="M1078">
        <f>LET(
    seasoning_years,DATEDIF('Loan Tape (S&amp;P)'!K1078,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78">
        <f>IF(AND('Loan Tape (S&amp;P)'!U1078="Yes",
        'Loan Tape (S&amp;P)'!T1078&lt;&gt;"Yes",
        DATEDIF('Loan Tape (S&amp;P)'!K1078, TODAY(), "M")&lt;18),
    1.10,
    1.00)</f>
        <v/>
      </c>
      <c r="O1078">
        <f>IF('Loan Tape (S&amp;P)'!T1078="Yes",
    1.35,
    1.00)</f>
        <v/>
      </c>
      <c r="P1078">
        <f>IF('Loan Tape (S&amp;P)'!S1078="Yes",
    1.15,
    1.00)</f>
        <v/>
      </c>
      <c r="Q1078">
        <f>IF('Loan Tape (S&amp;P)'!V1078="Yes",
    1.20,
    1.00)</f>
        <v/>
      </c>
      <c r="T1078">
        <f>LET(
    payment_method,'Loan Tape (S&amp;P)'!P1078,
    occupancy,'Loan Tape (S&amp;P)'!N1078,
    maturity_date,'Loan Tape (S&amp;P)'!L1078,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79">
      <c r="J1079">
        <f>LET(
    lien,'Loan Tape (S&amp;P)'!Q1079,
    IF(lien="First",1.00,
        IF(lien="Second",1.50,
            1.70)))</f>
        <v/>
      </c>
      <c r="K1079">
        <f>LET(
    purpose,'Loan Tape (S&amp;P)'!R1079,
    IF(purpose="Purchase",1.00,
        IF(purpose="Remortgage",1.00,
            1.20)))</f>
        <v/>
      </c>
      <c r="L1079">
        <f>LET(
    arrears_months,'Loan Tape (S&amp;P)'!AN1079,
    IF(arrears_months=0,1.00,
    IF(arrears_months=1,3.00,
    IF(arrears_months=2,5.00,
    IF(arrears_months=3,8.00,
    IF(arrears_months=4,10.00,
    IF(arrears_months=5,12.00,15.00)))))))</f>
        <v/>
      </c>
      <c r="M1079">
        <f>LET(
    seasoning_years,DATEDIF('Loan Tape (S&amp;P)'!K1079,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79">
        <f>IF(AND('Loan Tape (S&amp;P)'!U1079="Yes",
        'Loan Tape (S&amp;P)'!T1079&lt;&gt;"Yes",
        DATEDIF('Loan Tape (S&amp;P)'!K1079, TODAY(), "M")&lt;18),
    1.10,
    1.00)</f>
        <v/>
      </c>
      <c r="O1079">
        <f>IF('Loan Tape (S&amp;P)'!T1079="Yes",
    1.35,
    1.00)</f>
        <v/>
      </c>
      <c r="P1079">
        <f>IF('Loan Tape (S&amp;P)'!S1079="Yes",
    1.15,
    1.00)</f>
        <v/>
      </c>
      <c r="Q1079">
        <f>IF('Loan Tape (S&amp;P)'!V1079="Yes",
    1.20,
    1.00)</f>
        <v/>
      </c>
      <c r="T1079">
        <f>LET(
    payment_method,'Loan Tape (S&amp;P)'!P1079,
    occupancy,'Loan Tape (S&amp;P)'!N1079,
    maturity_date,'Loan Tape (S&amp;P)'!L1079,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80">
      <c r="J1080">
        <f>LET(
    lien,'Loan Tape (S&amp;P)'!Q1080,
    IF(lien="First",1.00,
        IF(lien="Second",1.50,
            1.70)))</f>
        <v/>
      </c>
      <c r="K1080">
        <f>LET(
    purpose,'Loan Tape (S&amp;P)'!R1080,
    IF(purpose="Purchase",1.00,
        IF(purpose="Remortgage",1.00,
            1.20)))</f>
        <v/>
      </c>
      <c r="L1080">
        <f>LET(
    arrears_months,'Loan Tape (S&amp;P)'!AN1080,
    IF(arrears_months=0,1.00,
    IF(arrears_months=1,3.00,
    IF(arrears_months=2,5.00,
    IF(arrears_months=3,8.00,
    IF(arrears_months=4,10.00,
    IF(arrears_months=5,12.00,15.00)))))))</f>
        <v/>
      </c>
      <c r="M1080">
        <f>LET(
    seasoning_years,DATEDIF('Loan Tape (S&amp;P)'!K1080,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80">
        <f>IF(AND('Loan Tape (S&amp;P)'!U1080="Yes",
        'Loan Tape (S&amp;P)'!T1080&lt;&gt;"Yes",
        DATEDIF('Loan Tape (S&amp;P)'!K1080, TODAY(), "M")&lt;18),
    1.10,
    1.00)</f>
        <v/>
      </c>
      <c r="O1080">
        <f>IF('Loan Tape (S&amp;P)'!T1080="Yes",
    1.35,
    1.00)</f>
        <v/>
      </c>
      <c r="P1080">
        <f>IF('Loan Tape (S&amp;P)'!S1080="Yes",
    1.15,
    1.00)</f>
        <v/>
      </c>
      <c r="Q1080">
        <f>IF('Loan Tape (S&amp;P)'!V1080="Yes",
    1.20,
    1.00)</f>
        <v/>
      </c>
      <c r="T1080">
        <f>LET(
    payment_method,'Loan Tape (S&amp;P)'!P1080,
    occupancy,'Loan Tape (S&amp;P)'!N1080,
    maturity_date,'Loan Tape (S&amp;P)'!L1080,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81">
      <c r="J1081">
        <f>LET(
    lien,'Loan Tape (S&amp;P)'!Q1081,
    IF(lien="First",1.00,
        IF(lien="Second",1.50,
            1.70)))</f>
        <v/>
      </c>
      <c r="K1081">
        <f>LET(
    purpose,'Loan Tape (S&amp;P)'!R1081,
    IF(purpose="Purchase",1.00,
        IF(purpose="Remortgage",1.00,
            1.20)))</f>
        <v/>
      </c>
      <c r="L1081">
        <f>LET(
    arrears_months,'Loan Tape (S&amp;P)'!AN1081,
    IF(arrears_months=0,1.00,
    IF(arrears_months=1,3.00,
    IF(arrears_months=2,5.00,
    IF(arrears_months=3,8.00,
    IF(arrears_months=4,10.00,
    IF(arrears_months=5,12.00,15.00)))))))</f>
        <v/>
      </c>
      <c r="M1081">
        <f>LET(
    seasoning_years,DATEDIF('Loan Tape (S&amp;P)'!K1081,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81">
        <f>IF(AND('Loan Tape (S&amp;P)'!U1081="Yes",
        'Loan Tape (S&amp;P)'!T1081&lt;&gt;"Yes",
        DATEDIF('Loan Tape (S&amp;P)'!K1081, TODAY(), "M")&lt;18),
    1.10,
    1.00)</f>
        <v/>
      </c>
      <c r="O1081">
        <f>IF('Loan Tape (S&amp;P)'!T1081="Yes",
    1.35,
    1.00)</f>
        <v/>
      </c>
      <c r="P1081">
        <f>IF('Loan Tape (S&amp;P)'!S1081="Yes",
    1.15,
    1.00)</f>
        <v/>
      </c>
      <c r="Q1081">
        <f>IF('Loan Tape (S&amp;P)'!V1081="Yes",
    1.20,
    1.00)</f>
        <v/>
      </c>
      <c r="T1081">
        <f>LET(
    payment_method,'Loan Tape (S&amp;P)'!P1081,
    occupancy,'Loan Tape (S&amp;P)'!N1081,
    maturity_date,'Loan Tape (S&amp;P)'!L1081,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82">
      <c r="J1082">
        <f>LET(
    lien,'Loan Tape (S&amp;P)'!Q1082,
    IF(lien="First",1.00,
        IF(lien="Second",1.50,
            1.70)))</f>
        <v/>
      </c>
      <c r="K1082">
        <f>LET(
    purpose,'Loan Tape (S&amp;P)'!R1082,
    IF(purpose="Purchase",1.00,
        IF(purpose="Remortgage",1.00,
            1.20)))</f>
        <v/>
      </c>
      <c r="L1082">
        <f>LET(
    arrears_months,'Loan Tape (S&amp;P)'!AN1082,
    IF(arrears_months=0,1.00,
    IF(arrears_months=1,3.00,
    IF(arrears_months=2,5.00,
    IF(arrears_months=3,8.00,
    IF(arrears_months=4,10.00,
    IF(arrears_months=5,12.00,15.00)))))))</f>
        <v/>
      </c>
      <c r="M1082">
        <f>LET(
    seasoning_years,DATEDIF('Loan Tape (S&amp;P)'!K1082,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82">
        <f>IF(AND('Loan Tape (S&amp;P)'!U1082="Yes",
        'Loan Tape (S&amp;P)'!T1082&lt;&gt;"Yes",
        DATEDIF('Loan Tape (S&amp;P)'!K1082, TODAY(), "M")&lt;18),
    1.10,
    1.00)</f>
        <v/>
      </c>
      <c r="O1082">
        <f>IF('Loan Tape (S&amp;P)'!T1082="Yes",
    1.35,
    1.00)</f>
        <v/>
      </c>
      <c r="P1082">
        <f>IF('Loan Tape (S&amp;P)'!S1082="Yes",
    1.15,
    1.00)</f>
        <v/>
      </c>
      <c r="Q1082">
        <f>IF('Loan Tape (S&amp;P)'!V1082="Yes",
    1.20,
    1.00)</f>
        <v/>
      </c>
      <c r="T1082">
        <f>LET(
    payment_method,'Loan Tape (S&amp;P)'!P1082,
    occupancy,'Loan Tape (S&amp;P)'!N1082,
    maturity_date,'Loan Tape (S&amp;P)'!L1082,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83">
      <c r="J1083">
        <f>LET(
    lien,'Loan Tape (S&amp;P)'!Q1083,
    IF(lien="First",1.00,
        IF(lien="Second",1.50,
            1.70)))</f>
        <v/>
      </c>
      <c r="K1083">
        <f>LET(
    purpose,'Loan Tape (S&amp;P)'!R1083,
    IF(purpose="Purchase",1.00,
        IF(purpose="Remortgage",1.00,
            1.20)))</f>
        <v/>
      </c>
      <c r="L1083">
        <f>LET(
    arrears_months,'Loan Tape (S&amp;P)'!AN1083,
    IF(arrears_months=0,1.00,
    IF(arrears_months=1,3.00,
    IF(arrears_months=2,5.00,
    IF(arrears_months=3,8.00,
    IF(arrears_months=4,10.00,
    IF(arrears_months=5,12.00,15.00)))))))</f>
        <v/>
      </c>
      <c r="M1083">
        <f>LET(
    seasoning_years,DATEDIF('Loan Tape (S&amp;P)'!K1083,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83">
        <f>IF(AND('Loan Tape (S&amp;P)'!U1083="Yes",
        'Loan Tape (S&amp;P)'!T1083&lt;&gt;"Yes",
        DATEDIF('Loan Tape (S&amp;P)'!K1083, TODAY(), "M")&lt;18),
    1.10,
    1.00)</f>
        <v/>
      </c>
      <c r="O1083">
        <f>IF('Loan Tape (S&amp;P)'!T1083="Yes",
    1.35,
    1.00)</f>
        <v/>
      </c>
      <c r="P1083">
        <f>IF('Loan Tape (S&amp;P)'!S1083="Yes",
    1.15,
    1.00)</f>
        <v/>
      </c>
      <c r="Q1083">
        <f>IF('Loan Tape (S&amp;P)'!V1083="Yes",
    1.20,
    1.00)</f>
        <v/>
      </c>
      <c r="T1083">
        <f>LET(
    payment_method,'Loan Tape (S&amp;P)'!P1083,
    occupancy,'Loan Tape (S&amp;P)'!N1083,
    maturity_date,'Loan Tape (S&amp;P)'!L1083,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84">
      <c r="J1084">
        <f>LET(
    lien,'Loan Tape (S&amp;P)'!Q1084,
    IF(lien="First",1.00,
        IF(lien="Second",1.50,
            1.70)))</f>
        <v/>
      </c>
      <c r="K1084">
        <f>LET(
    purpose,'Loan Tape (S&amp;P)'!R1084,
    IF(purpose="Purchase",1.00,
        IF(purpose="Remortgage",1.00,
            1.20)))</f>
        <v/>
      </c>
      <c r="L1084">
        <f>LET(
    arrears_months,'Loan Tape (S&amp;P)'!AN1084,
    IF(arrears_months=0,1.00,
    IF(arrears_months=1,3.00,
    IF(arrears_months=2,5.00,
    IF(arrears_months=3,8.00,
    IF(arrears_months=4,10.00,
    IF(arrears_months=5,12.00,15.00)))))))</f>
        <v/>
      </c>
      <c r="M1084">
        <f>LET(
    seasoning_years,DATEDIF('Loan Tape (S&amp;P)'!K1084,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84">
        <f>IF(AND('Loan Tape (S&amp;P)'!U1084="Yes",
        'Loan Tape (S&amp;P)'!T1084&lt;&gt;"Yes",
        DATEDIF('Loan Tape (S&amp;P)'!K1084, TODAY(), "M")&lt;18),
    1.10,
    1.00)</f>
        <v/>
      </c>
      <c r="O1084">
        <f>IF('Loan Tape (S&amp;P)'!T1084="Yes",
    1.35,
    1.00)</f>
        <v/>
      </c>
      <c r="P1084">
        <f>IF('Loan Tape (S&amp;P)'!S1084="Yes",
    1.15,
    1.00)</f>
        <v/>
      </c>
      <c r="Q1084">
        <f>IF('Loan Tape (S&amp;P)'!V1084="Yes",
    1.20,
    1.00)</f>
        <v/>
      </c>
      <c r="T1084">
        <f>LET(
    payment_method,'Loan Tape (S&amp;P)'!P1084,
    occupancy,'Loan Tape (S&amp;P)'!N1084,
    maturity_date,'Loan Tape (S&amp;P)'!L1084,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85">
      <c r="J1085">
        <f>LET(
    lien,'Loan Tape (S&amp;P)'!Q1085,
    IF(lien="First",1.00,
        IF(lien="Second",1.50,
            1.70)))</f>
        <v/>
      </c>
      <c r="K1085">
        <f>LET(
    purpose,'Loan Tape (S&amp;P)'!R1085,
    IF(purpose="Purchase",1.00,
        IF(purpose="Remortgage",1.00,
            1.20)))</f>
        <v/>
      </c>
      <c r="L1085">
        <f>LET(
    arrears_months,'Loan Tape (S&amp;P)'!AN1085,
    IF(arrears_months=0,1.00,
    IF(arrears_months=1,3.00,
    IF(arrears_months=2,5.00,
    IF(arrears_months=3,8.00,
    IF(arrears_months=4,10.00,
    IF(arrears_months=5,12.00,15.00)))))))</f>
        <v/>
      </c>
      <c r="M1085">
        <f>LET(
    seasoning_years,DATEDIF('Loan Tape (S&amp;P)'!K1085,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85">
        <f>IF(AND('Loan Tape (S&amp;P)'!U1085="Yes",
        'Loan Tape (S&amp;P)'!T1085&lt;&gt;"Yes",
        DATEDIF('Loan Tape (S&amp;P)'!K1085, TODAY(), "M")&lt;18),
    1.10,
    1.00)</f>
        <v/>
      </c>
      <c r="O1085">
        <f>IF('Loan Tape (S&amp;P)'!T1085="Yes",
    1.35,
    1.00)</f>
        <v/>
      </c>
      <c r="P1085">
        <f>IF('Loan Tape (S&amp;P)'!S1085="Yes",
    1.15,
    1.00)</f>
        <v/>
      </c>
      <c r="Q1085">
        <f>IF('Loan Tape (S&amp;P)'!V1085="Yes",
    1.20,
    1.00)</f>
        <v/>
      </c>
      <c r="T1085">
        <f>LET(
    payment_method,'Loan Tape (S&amp;P)'!P1085,
    occupancy,'Loan Tape (S&amp;P)'!N1085,
    maturity_date,'Loan Tape (S&amp;P)'!L1085,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86">
      <c r="J1086">
        <f>LET(
    lien,'Loan Tape (S&amp;P)'!Q1086,
    IF(lien="First",1.00,
        IF(lien="Second",1.50,
            1.70)))</f>
        <v/>
      </c>
      <c r="K1086">
        <f>LET(
    purpose,'Loan Tape (S&amp;P)'!R1086,
    IF(purpose="Purchase",1.00,
        IF(purpose="Remortgage",1.00,
            1.20)))</f>
        <v/>
      </c>
      <c r="L1086">
        <f>LET(
    arrears_months,'Loan Tape (S&amp;P)'!AN1086,
    IF(arrears_months=0,1.00,
    IF(arrears_months=1,3.00,
    IF(arrears_months=2,5.00,
    IF(arrears_months=3,8.00,
    IF(arrears_months=4,10.00,
    IF(arrears_months=5,12.00,15.00)))))))</f>
        <v/>
      </c>
      <c r="M1086">
        <f>LET(
    seasoning_years,DATEDIF('Loan Tape (S&amp;P)'!K1086,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86">
        <f>IF(AND('Loan Tape (S&amp;P)'!U1086="Yes",
        'Loan Tape (S&amp;P)'!T1086&lt;&gt;"Yes",
        DATEDIF('Loan Tape (S&amp;P)'!K1086, TODAY(), "M")&lt;18),
    1.10,
    1.00)</f>
        <v/>
      </c>
      <c r="O1086">
        <f>IF('Loan Tape (S&amp;P)'!T1086="Yes",
    1.35,
    1.00)</f>
        <v/>
      </c>
      <c r="P1086">
        <f>IF('Loan Tape (S&amp;P)'!S1086="Yes",
    1.15,
    1.00)</f>
        <v/>
      </c>
      <c r="Q1086">
        <f>IF('Loan Tape (S&amp;P)'!V1086="Yes",
    1.20,
    1.00)</f>
        <v/>
      </c>
      <c r="T1086">
        <f>LET(
    payment_method,'Loan Tape (S&amp;P)'!P1086,
    occupancy,'Loan Tape (S&amp;P)'!N1086,
    maturity_date,'Loan Tape (S&amp;P)'!L1086,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87">
      <c r="J1087">
        <f>LET(
    lien,'Loan Tape (S&amp;P)'!Q1087,
    IF(lien="First",1.00,
        IF(lien="Second",1.50,
            1.70)))</f>
        <v/>
      </c>
      <c r="K1087">
        <f>LET(
    purpose,'Loan Tape (S&amp;P)'!R1087,
    IF(purpose="Purchase",1.00,
        IF(purpose="Remortgage",1.00,
            1.20)))</f>
        <v/>
      </c>
      <c r="L1087">
        <f>LET(
    arrears_months,'Loan Tape (S&amp;P)'!AN1087,
    IF(arrears_months=0,1.00,
    IF(arrears_months=1,3.00,
    IF(arrears_months=2,5.00,
    IF(arrears_months=3,8.00,
    IF(arrears_months=4,10.00,
    IF(arrears_months=5,12.00,15.00)))))))</f>
        <v/>
      </c>
      <c r="M1087">
        <f>LET(
    seasoning_years,DATEDIF('Loan Tape (S&amp;P)'!K1087,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87">
        <f>IF(AND('Loan Tape (S&amp;P)'!U1087="Yes",
        'Loan Tape (S&amp;P)'!T1087&lt;&gt;"Yes",
        DATEDIF('Loan Tape (S&amp;P)'!K1087, TODAY(), "M")&lt;18),
    1.10,
    1.00)</f>
        <v/>
      </c>
      <c r="O1087">
        <f>IF('Loan Tape (S&amp;P)'!T1087="Yes",
    1.35,
    1.00)</f>
        <v/>
      </c>
      <c r="P1087">
        <f>IF('Loan Tape (S&amp;P)'!S1087="Yes",
    1.15,
    1.00)</f>
        <v/>
      </c>
      <c r="Q1087">
        <f>IF('Loan Tape (S&amp;P)'!V1087="Yes",
    1.20,
    1.00)</f>
        <v/>
      </c>
      <c r="T1087">
        <f>LET(
    payment_method,'Loan Tape (S&amp;P)'!P1087,
    occupancy,'Loan Tape (S&amp;P)'!N1087,
    maturity_date,'Loan Tape (S&amp;P)'!L1087,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88">
      <c r="J1088">
        <f>LET(
    lien,'Loan Tape (S&amp;P)'!Q1088,
    IF(lien="First",1.00,
        IF(lien="Second",1.50,
            1.70)))</f>
        <v/>
      </c>
      <c r="K1088">
        <f>LET(
    purpose,'Loan Tape (S&amp;P)'!R1088,
    IF(purpose="Purchase",1.00,
        IF(purpose="Remortgage",1.00,
            1.20)))</f>
        <v/>
      </c>
      <c r="L1088">
        <f>LET(
    arrears_months,'Loan Tape (S&amp;P)'!AN1088,
    IF(arrears_months=0,1.00,
    IF(arrears_months=1,3.00,
    IF(arrears_months=2,5.00,
    IF(arrears_months=3,8.00,
    IF(arrears_months=4,10.00,
    IF(arrears_months=5,12.00,15.00)))))))</f>
        <v/>
      </c>
      <c r="M1088">
        <f>LET(
    seasoning_years,DATEDIF('Loan Tape (S&amp;P)'!K1088,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88">
        <f>IF(AND('Loan Tape (S&amp;P)'!U1088="Yes",
        'Loan Tape (S&amp;P)'!T1088&lt;&gt;"Yes",
        DATEDIF('Loan Tape (S&amp;P)'!K1088, TODAY(), "M")&lt;18),
    1.10,
    1.00)</f>
        <v/>
      </c>
      <c r="O1088">
        <f>IF('Loan Tape (S&amp;P)'!T1088="Yes",
    1.35,
    1.00)</f>
        <v/>
      </c>
      <c r="P1088">
        <f>IF('Loan Tape (S&amp;P)'!S1088="Yes",
    1.15,
    1.00)</f>
        <v/>
      </c>
      <c r="Q1088">
        <f>IF('Loan Tape (S&amp;P)'!V1088="Yes",
    1.20,
    1.00)</f>
        <v/>
      </c>
      <c r="T1088">
        <f>LET(
    payment_method,'Loan Tape (S&amp;P)'!P1088,
    occupancy,'Loan Tape (S&amp;P)'!N1088,
    maturity_date,'Loan Tape (S&amp;P)'!L1088,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89">
      <c r="J1089">
        <f>LET(
    lien,'Loan Tape (S&amp;P)'!Q1089,
    IF(lien="First",1.00,
        IF(lien="Second",1.50,
            1.70)))</f>
        <v/>
      </c>
      <c r="K1089">
        <f>LET(
    purpose,'Loan Tape (S&amp;P)'!R1089,
    IF(purpose="Purchase",1.00,
        IF(purpose="Remortgage",1.00,
            1.20)))</f>
        <v/>
      </c>
      <c r="L1089">
        <f>LET(
    arrears_months,'Loan Tape (S&amp;P)'!AN1089,
    IF(arrears_months=0,1.00,
    IF(arrears_months=1,3.00,
    IF(arrears_months=2,5.00,
    IF(arrears_months=3,8.00,
    IF(arrears_months=4,10.00,
    IF(arrears_months=5,12.00,15.00)))))))</f>
        <v/>
      </c>
      <c r="M1089">
        <f>LET(
    seasoning_years,DATEDIF('Loan Tape (S&amp;P)'!K1089,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89">
        <f>IF(AND('Loan Tape (S&amp;P)'!U1089="Yes",
        'Loan Tape (S&amp;P)'!T1089&lt;&gt;"Yes",
        DATEDIF('Loan Tape (S&amp;P)'!K1089, TODAY(), "M")&lt;18),
    1.10,
    1.00)</f>
        <v/>
      </c>
      <c r="O1089">
        <f>IF('Loan Tape (S&amp;P)'!T1089="Yes",
    1.35,
    1.00)</f>
        <v/>
      </c>
      <c r="P1089">
        <f>IF('Loan Tape (S&amp;P)'!S1089="Yes",
    1.15,
    1.00)</f>
        <v/>
      </c>
      <c r="Q1089">
        <f>IF('Loan Tape (S&amp;P)'!V1089="Yes",
    1.20,
    1.00)</f>
        <v/>
      </c>
      <c r="T1089">
        <f>LET(
    payment_method,'Loan Tape (S&amp;P)'!P1089,
    occupancy,'Loan Tape (S&amp;P)'!N1089,
    maturity_date,'Loan Tape (S&amp;P)'!L1089,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90">
      <c r="J1090">
        <f>LET(
    lien,'Loan Tape (S&amp;P)'!Q1090,
    IF(lien="First",1.00,
        IF(lien="Second",1.50,
            1.70)))</f>
        <v/>
      </c>
      <c r="K1090">
        <f>LET(
    purpose,'Loan Tape (S&amp;P)'!R1090,
    IF(purpose="Purchase",1.00,
        IF(purpose="Remortgage",1.00,
            1.20)))</f>
        <v/>
      </c>
      <c r="L1090">
        <f>LET(
    arrears_months,'Loan Tape (S&amp;P)'!AN1090,
    IF(arrears_months=0,1.00,
    IF(arrears_months=1,3.00,
    IF(arrears_months=2,5.00,
    IF(arrears_months=3,8.00,
    IF(arrears_months=4,10.00,
    IF(arrears_months=5,12.00,15.00)))))))</f>
        <v/>
      </c>
      <c r="M1090">
        <f>LET(
    seasoning_years,DATEDIF('Loan Tape (S&amp;P)'!K1090,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90">
        <f>IF(AND('Loan Tape (S&amp;P)'!U1090="Yes",
        'Loan Tape (S&amp;P)'!T1090&lt;&gt;"Yes",
        DATEDIF('Loan Tape (S&amp;P)'!K1090, TODAY(), "M")&lt;18),
    1.10,
    1.00)</f>
        <v/>
      </c>
      <c r="O1090">
        <f>IF('Loan Tape (S&amp;P)'!T1090="Yes",
    1.35,
    1.00)</f>
        <v/>
      </c>
      <c r="P1090">
        <f>IF('Loan Tape (S&amp;P)'!S1090="Yes",
    1.15,
    1.00)</f>
        <v/>
      </c>
      <c r="Q1090">
        <f>IF('Loan Tape (S&amp;P)'!V1090="Yes",
    1.20,
    1.00)</f>
        <v/>
      </c>
      <c r="T1090">
        <f>LET(
    payment_method,'Loan Tape (S&amp;P)'!P1090,
    occupancy,'Loan Tape (S&amp;P)'!N1090,
    maturity_date,'Loan Tape (S&amp;P)'!L1090,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91">
      <c r="J1091">
        <f>LET(
    lien,'Loan Tape (S&amp;P)'!Q1091,
    IF(lien="First",1.00,
        IF(lien="Second",1.50,
            1.70)))</f>
        <v/>
      </c>
      <c r="K1091">
        <f>LET(
    purpose,'Loan Tape (S&amp;P)'!R1091,
    IF(purpose="Purchase",1.00,
        IF(purpose="Remortgage",1.00,
            1.20)))</f>
        <v/>
      </c>
      <c r="L1091">
        <f>LET(
    arrears_months,'Loan Tape (S&amp;P)'!AN1091,
    IF(arrears_months=0,1.00,
    IF(arrears_months=1,3.00,
    IF(arrears_months=2,5.00,
    IF(arrears_months=3,8.00,
    IF(arrears_months=4,10.00,
    IF(arrears_months=5,12.00,15.00)))))))</f>
        <v/>
      </c>
      <c r="M1091">
        <f>LET(
    seasoning_years,DATEDIF('Loan Tape (S&amp;P)'!K1091,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91">
        <f>IF(AND('Loan Tape (S&amp;P)'!U1091="Yes",
        'Loan Tape (S&amp;P)'!T1091&lt;&gt;"Yes",
        DATEDIF('Loan Tape (S&amp;P)'!K1091, TODAY(), "M")&lt;18),
    1.10,
    1.00)</f>
        <v/>
      </c>
      <c r="O1091">
        <f>IF('Loan Tape (S&amp;P)'!T1091="Yes",
    1.35,
    1.00)</f>
        <v/>
      </c>
      <c r="P1091">
        <f>IF('Loan Tape (S&amp;P)'!S1091="Yes",
    1.15,
    1.00)</f>
        <v/>
      </c>
      <c r="Q1091">
        <f>IF('Loan Tape (S&amp;P)'!V1091="Yes",
    1.20,
    1.00)</f>
        <v/>
      </c>
      <c r="T1091">
        <f>LET(
    payment_method,'Loan Tape (S&amp;P)'!P1091,
    occupancy,'Loan Tape (S&amp;P)'!N1091,
    maturity_date,'Loan Tape (S&amp;P)'!L1091,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92">
      <c r="J1092">
        <f>LET(
    lien,'Loan Tape (S&amp;P)'!Q1092,
    IF(lien="First",1.00,
        IF(lien="Second",1.50,
            1.70)))</f>
        <v/>
      </c>
      <c r="K1092">
        <f>LET(
    purpose,'Loan Tape (S&amp;P)'!R1092,
    IF(purpose="Purchase",1.00,
        IF(purpose="Remortgage",1.00,
            1.20)))</f>
        <v/>
      </c>
      <c r="L1092">
        <f>LET(
    arrears_months,'Loan Tape (S&amp;P)'!AN1092,
    IF(arrears_months=0,1.00,
    IF(arrears_months=1,3.00,
    IF(arrears_months=2,5.00,
    IF(arrears_months=3,8.00,
    IF(arrears_months=4,10.00,
    IF(arrears_months=5,12.00,15.00)))))))</f>
        <v/>
      </c>
      <c r="M1092">
        <f>LET(
    seasoning_years,DATEDIF('Loan Tape (S&amp;P)'!K1092,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92">
        <f>IF(AND('Loan Tape (S&amp;P)'!U1092="Yes",
        'Loan Tape (S&amp;P)'!T1092&lt;&gt;"Yes",
        DATEDIF('Loan Tape (S&amp;P)'!K1092, TODAY(), "M")&lt;18),
    1.10,
    1.00)</f>
        <v/>
      </c>
      <c r="O1092">
        <f>IF('Loan Tape (S&amp;P)'!T1092="Yes",
    1.35,
    1.00)</f>
        <v/>
      </c>
      <c r="P1092">
        <f>IF('Loan Tape (S&amp;P)'!S1092="Yes",
    1.15,
    1.00)</f>
        <v/>
      </c>
      <c r="Q1092">
        <f>IF('Loan Tape (S&amp;P)'!V1092="Yes",
    1.20,
    1.00)</f>
        <v/>
      </c>
      <c r="T1092">
        <f>LET(
    payment_method,'Loan Tape (S&amp;P)'!P1092,
    occupancy,'Loan Tape (S&amp;P)'!N1092,
    maturity_date,'Loan Tape (S&amp;P)'!L1092,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93">
      <c r="J1093">
        <f>LET(
    lien,'Loan Tape (S&amp;P)'!Q1093,
    IF(lien="First",1.00,
        IF(lien="Second",1.50,
            1.70)))</f>
        <v/>
      </c>
      <c r="K1093">
        <f>LET(
    purpose,'Loan Tape (S&amp;P)'!R1093,
    IF(purpose="Purchase",1.00,
        IF(purpose="Remortgage",1.00,
            1.20)))</f>
        <v/>
      </c>
      <c r="L1093">
        <f>LET(
    arrears_months,'Loan Tape (S&amp;P)'!AN1093,
    IF(arrears_months=0,1.00,
    IF(arrears_months=1,3.00,
    IF(arrears_months=2,5.00,
    IF(arrears_months=3,8.00,
    IF(arrears_months=4,10.00,
    IF(arrears_months=5,12.00,15.00)))))))</f>
        <v/>
      </c>
      <c r="M1093">
        <f>LET(
    seasoning_years,DATEDIF('Loan Tape (S&amp;P)'!K1093,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93">
        <f>IF(AND('Loan Tape (S&amp;P)'!U1093="Yes",
        'Loan Tape (S&amp;P)'!T1093&lt;&gt;"Yes",
        DATEDIF('Loan Tape (S&amp;P)'!K1093, TODAY(), "M")&lt;18),
    1.10,
    1.00)</f>
        <v/>
      </c>
      <c r="O1093">
        <f>IF('Loan Tape (S&amp;P)'!T1093="Yes",
    1.35,
    1.00)</f>
        <v/>
      </c>
      <c r="P1093">
        <f>IF('Loan Tape (S&amp;P)'!S1093="Yes",
    1.15,
    1.00)</f>
        <v/>
      </c>
      <c r="Q1093">
        <f>IF('Loan Tape (S&amp;P)'!V1093="Yes",
    1.20,
    1.00)</f>
        <v/>
      </c>
      <c r="T1093">
        <f>LET(
    payment_method,'Loan Tape (S&amp;P)'!P1093,
    occupancy,'Loan Tape (S&amp;P)'!N1093,
    maturity_date,'Loan Tape (S&amp;P)'!L1093,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94">
      <c r="J1094">
        <f>LET(
    lien,'Loan Tape (S&amp;P)'!Q1094,
    IF(lien="First",1.00,
        IF(lien="Second",1.50,
            1.70)))</f>
        <v/>
      </c>
      <c r="K1094">
        <f>LET(
    purpose,'Loan Tape (S&amp;P)'!R1094,
    IF(purpose="Purchase",1.00,
        IF(purpose="Remortgage",1.00,
            1.20)))</f>
        <v/>
      </c>
      <c r="L1094">
        <f>LET(
    arrears_months,'Loan Tape (S&amp;P)'!AN1094,
    IF(arrears_months=0,1.00,
    IF(arrears_months=1,3.00,
    IF(arrears_months=2,5.00,
    IF(arrears_months=3,8.00,
    IF(arrears_months=4,10.00,
    IF(arrears_months=5,12.00,15.00)))))))</f>
        <v/>
      </c>
      <c r="M1094">
        <f>LET(
    seasoning_years,DATEDIF('Loan Tape (S&amp;P)'!K1094,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94">
        <f>IF(AND('Loan Tape (S&amp;P)'!U1094="Yes",
        'Loan Tape (S&amp;P)'!T1094&lt;&gt;"Yes",
        DATEDIF('Loan Tape (S&amp;P)'!K1094, TODAY(), "M")&lt;18),
    1.10,
    1.00)</f>
        <v/>
      </c>
      <c r="O1094">
        <f>IF('Loan Tape (S&amp;P)'!T1094="Yes",
    1.35,
    1.00)</f>
        <v/>
      </c>
      <c r="P1094">
        <f>IF('Loan Tape (S&amp;P)'!S1094="Yes",
    1.15,
    1.00)</f>
        <v/>
      </c>
      <c r="Q1094">
        <f>IF('Loan Tape (S&amp;P)'!V1094="Yes",
    1.20,
    1.00)</f>
        <v/>
      </c>
      <c r="T1094">
        <f>LET(
    payment_method,'Loan Tape (S&amp;P)'!P1094,
    occupancy,'Loan Tape (S&amp;P)'!N1094,
    maturity_date,'Loan Tape (S&amp;P)'!L1094,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95">
      <c r="J1095">
        <f>LET(
    lien,'Loan Tape (S&amp;P)'!Q1095,
    IF(lien="First",1.00,
        IF(lien="Second",1.50,
            1.70)))</f>
        <v/>
      </c>
      <c r="K1095">
        <f>LET(
    purpose,'Loan Tape (S&amp;P)'!R1095,
    IF(purpose="Purchase",1.00,
        IF(purpose="Remortgage",1.00,
            1.20)))</f>
        <v/>
      </c>
      <c r="L1095">
        <f>LET(
    arrears_months,'Loan Tape (S&amp;P)'!AN1095,
    IF(arrears_months=0,1.00,
    IF(arrears_months=1,3.00,
    IF(arrears_months=2,5.00,
    IF(arrears_months=3,8.00,
    IF(arrears_months=4,10.00,
    IF(arrears_months=5,12.00,15.00)))))))</f>
        <v/>
      </c>
      <c r="M1095">
        <f>LET(
    seasoning_years,DATEDIF('Loan Tape (S&amp;P)'!K1095,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95">
        <f>IF(AND('Loan Tape (S&amp;P)'!U1095="Yes",
        'Loan Tape (S&amp;P)'!T1095&lt;&gt;"Yes",
        DATEDIF('Loan Tape (S&amp;P)'!K1095, TODAY(), "M")&lt;18),
    1.10,
    1.00)</f>
        <v/>
      </c>
      <c r="O1095">
        <f>IF('Loan Tape (S&amp;P)'!T1095="Yes",
    1.35,
    1.00)</f>
        <v/>
      </c>
      <c r="P1095">
        <f>IF('Loan Tape (S&amp;P)'!S1095="Yes",
    1.15,
    1.00)</f>
        <v/>
      </c>
      <c r="Q1095">
        <f>IF('Loan Tape (S&amp;P)'!V1095="Yes",
    1.20,
    1.00)</f>
        <v/>
      </c>
      <c r="T1095">
        <f>LET(
    payment_method,'Loan Tape (S&amp;P)'!P1095,
    occupancy,'Loan Tape (S&amp;P)'!N1095,
    maturity_date,'Loan Tape (S&amp;P)'!L1095,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96">
      <c r="J1096">
        <f>LET(
    lien,'Loan Tape (S&amp;P)'!Q1096,
    IF(lien="First",1.00,
        IF(lien="Second",1.50,
            1.70)))</f>
        <v/>
      </c>
      <c r="K1096">
        <f>LET(
    purpose,'Loan Tape (S&amp;P)'!R1096,
    IF(purpose="Purchase",1.00,
        IF(purpose="Remortgage",1.00,
            1.20)))</f>
        <v/>
      </c>
      <c r="L1096">
        <f>LET(
    arrears_months,'Loan Tape (S&amp;P)'!AN1096,
    IF(arrears_months=0,1.00,
    IF(arrears_months=1,3.00,
    IF(arrears_months=2,5.00,
    IF(arrears_months=3,8.00,
    IF(arrears_months=4,10.00,
    IF(arrears_months=5,12.00,15.00)))))))</f>
        <v/>
      </c>
      <c r="M1096">
        <f>LET(
    seasoning_years,DATEDIF('Loan Tape (S&amp;P)'!K1096,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96">
        <f>IF(AND('Loan Tape (S&amp;P)'!U1096="Yes",
        'Loan Tape (S&amp;P)'!T1096&lt;&gt;"Yes",
        DATEDIF('Loan Tape (S&amp;P)'!K1096, TODAY(), "M")&lt;18),
    1.10,
    1.00)</f>
        <v/>
      </c>
      <c r="O1096">
        <f>IF('Loan Tape (S&amp;P)'!T1096="Yes",
    1.35,
    1.00)</f>
        <v/>
      </c>
      <c r="P1096">
        <f>IF('Loan Tape (S&amp;P)'!S1096="Yes",
    1.15,
    1.00)</f>
        <v/>
      </c>
      <c r="Q1096">
        <f>IF('Loan Tape (S&amp;P)'!V1096="Yes",
    1.20,
    1.00)</f>
        <v/>
      </c>
      <c r="T1096">
        <f>LET(
    payment_method,'Loan Tape (S&amp;P)'!P1096,
    occupancy,'Loan Tape (S&amp;P)'!N1096,
    maturity_date,'Loan Tape (S&amp;P)'!L1096,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97">
      <c r="J1097">
        <f>LET(
    lien,'Loan Tape (S&amp;P)'!Q1097,
    IF(lien="First",1.00,
        IF(lien="Second",1.50,
            1.70)))</f>
        <v/>
      </c>
      <c r="K1097">
        <f>LET(
    purpose,'Loan Tape (S&amp;P)'!R1097,
    IF(purpose="Purchase",1.00,
        IF(purpose="Remortgage",1.00,
            1.20)))</f>
        <v/>
      </c>
      <c r="L1097">
        <f>LET(
    arrears_months,'Loan Tape (S&amp;P)'!AN1097,
    IF(arrears_months=0,1.00,
    IF(arrears_months=1,3.00,
    IF(arrears_months=2,5.00,
    IF(arrears_months=3,8.00,
    IF(arrears_months=4,10.00,
    IF(arrears_months=5,12.00,15.00)))))))</f>
        <v/>
      </c>
      <c r="M1097">
        <f>LET(
    seasoning_years,DATEDIF('Loan Tape (S&amp;P)'!K1097,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97">
        <f>IF(AND('Loan Tape (S&amp;P)'!U1097="Yes",
        'Loan Tape (S&amp;P)'!T1097&lt;&gt;"Yes",
        DATEDIF('Loan Tape (S&amp;P)'!K1097, TODAY(), "M")&lt;18),
    1.10,
    1.00)</f>
        <v/>
      </c>
      <c r="O1097">
        <f>IF('Loan Tape (S&amp;P)'!T1097="Yes",
    1.35,
    1.00)</f>
        <v/>
      </c>
      <c r="P1097">
        <f>IF('Loan Tape (S&amp;P)'!S1097="Yes",
    1.15,
    1.00)</f>
        <v/>
      </c>
      <c r="Q1097">
        <f>IF('Loan Tape (S&amp;P)'!V1097="Yes",
    1.20,
    1.00)</f>
        <v/>
      </c>
      <c r="T1097">
        <f>LET(
    payment_method,'Loan Tape (S&amp;P)'!P1097,
    occupancy,'Loan Tape (S&amp;P)'!N1097,
    maturity_date,'Loan Tape (S&amp;P)'!L1097,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98">
      <c r="J1098">
        <f>LET(
    lien,'Loan Tape (S&amp;P)'!Q1098,
    IF(lien="First",1.00,
        IF(lien="Second",1.50,
            1.70)))</f>
        <v/>
      </c>
      <c r="K1098">
        <f>LET(
    purpose,'Loan Tape (S&amp;P)'!R1098,
    IF(purpose="Purchase",1.00,
        IF(purpose="Remortgage",1.00,
            1.20)))</f>
        <v/>
      </c>
      <c r="L1098">
        <f>LET(
    arrears_months,'Loan Tape (S&amp;P)'!AN1098,
    IF(arrears_months=0,1.00,
    IF(arrears_months=1,3.00,
    IF(arrears_months=2,5.00,
    IF(arrears_months=3,8.00,
    IF(arrears_months=4,10.00,
    IF(arrears_months=5,12.00,15.00)))))))</f>
        <v/>
      </c>
      <c r="M1098">
        <f>LET(
    seasoning_years,DATEDIF('Loan Tape (S&amp;P)'!K1098,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98">
        <f>IF(AND('Loan Tape (S&amp;P)'!U1098="Yes",
        'Loan Tape (S&amp;P)'!T1098&lt;&gt;"Yes",
        DATEDIF('Loan Tape (S&amp;P)'!K1098, TODAY(), "M")&lt;18),
    1.10,
    1.00)</f>
        <v/>
      </c>
      <c r="O1098">
        <f>IF('Loan Tape (S&amp;P)'!T1098="Yes",
    1.35,
    1.00)</f>
        <v/>
      </c>
      <c r="P1098">
        <f>IF('Loan Tape (S&amp;P)'!S1098="Yes",
    1.15,
    1.00)</f>
        <v/>
      </c>
      <c r="Q1098">
        <f>IF('Loan Tape (S&amp;P)'!V1098="Yes",
    1.20,
    1.00)</f>
        <v/>
      </c>
      <c r="T1098">
        <f>LET(
    payment_method,'Loan Tape (S&amp;P)'!P1098,
    occupancy,'Loan Tape (S&amp;P)'!N1098,
    maturity_date,'Loan Tape (S&amp;P)'!L1098,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99">
      <c r="J1099">
        <f>LET(
    lien,'Loan Tape (S&amp;P)'!Q1099,
    IF(lien="First",1.00,
        IF(lien="Second",1.50,
            1.70)))</f>
        <v/>
      </c>
      <c r="K1099">
        <f>LET(
    purpose,'Loan Tape (S&amp;P)'!R1099,
    IF(purpose="Purchase",1.00,
        IF(purpose="Remortgage",1.00,
            1.20)))</f>
        <v/>
      </c>
      <c r="L1099">
        <f>LET(
    arrears_months,'Loan Tape (S&amp;P)'!AN1099,
    IF(arrears_months=0,1.00,
    IF(arrears_months=1,3.00,
    IF(arrears_months=2,5.00,
    IF(arrears_months=3,8.00,
    IF(arrears_months=4,10.00,
    IF(arrears_months=5,12.00,15.00)))))))</f>
        <v/>
      </c>
      <c r="M1099">
        <f>LET(
    seasoning_years,DATEDIF('Loan Tape (S&amp;P)'!K1099,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99">
        <f>IF(AND('Loan Tape (S&amp;P)'!U1099="Yes",
        'Loan Tape (S&amp;P)'!T1099&lt;&gt;"Yes",
        DATEDIF('Loan Tape (S&amp;P)'!K1099, TODAY(), "M")&lt;18),
    1.10,
    1.00)</f>
        <v/>
      </c>
      <c r="O1099">
        <f>IF('Loan Tape (S&amp;P)'!T1099="Yes",
    1.35,
    1.00)</f>
        <v/>
      </c>
      <c r="P1099">
        <f>IF('Loan Tape (S&amp;P)'!S1099="Yes",
    1.15,
    1.00)</f>
        <v/>
      </c>
      <c r="Q1099">
        <f>IF('Loan Tape (S&amp;P)'!V1099="Yes",
    1.20,
    1.00)</f>
        <v/>
      </c>
      <c r="T1099">
        <f>LET(
    payment_method,'Loan Tape (S&amp;P)'!P1099,
    occupancy,'Loan Tape (S&amp;P)'!N1099,
    maturity_date,'Loan Tape (S&amp;P)'!L1099,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00">
      <c r="J1100">
        <f>LET(
    lien,'Loan Tape (S&amp;P)'!Q1100,
    IF(lien="First",1.00,
        IF(lien="Second",1.50,
            1.70)))</f>
        <v/>
      </c>
      <c r="K1100">
        <f>LET(
    purpose,'Loan Tape (S&amp;P)'!R1100,
    IF(purpose="Purchase",1.00,
        IF(purpose="Remortgage",1.00,
            1.20)))</f>
        <v/>
      </c>
      <c r="L1100">
        <f>LET(
    arrears_months,'Loan Tape (S&amp;P)'!AN1100,
    IF(arrears_months=0,1.00,
    IF(arrears_months=1,3.00,
    IF(arrears_months=2,5.00,
    IF(arrears_months=3,8.00,
    IF(arrears_months=4,10.00,
    IF(arrears_months=5,12.00,15.00)))))))</f>
        <v/>
      </c>
      <c r="M1100">
        <f>LET(
    seasoning_years,DATEDIF('Loan Tape (S&amp;P)'!K1100,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00">
        <f>IF(AND('Loan Tape (S&amp;P)'!U1100="Yes",
        'Loan Tape (S&amp;P)'!T1100&lt;&gt;"Yes",
        DATEDIF('Loan Tape (S&amp;P)'!K1100, TODAY(), "M")&lt;18),
    1.10,
    1.00)</f>
        <v/>
      </c>
      <c r="O1100">
        <f>IF('Loan Tape (S&amp;P)'!T1100="Yes",
    1.35,
    1.00)</f>
        <v/>
      </c>
      <c r="P1100">
        <f>IF('Loan Tape (S&amp;P)'!S1100="Yes",
    1.15,
    1.00)</f>
        <v/>
      </c>
      <c r="Q1100">
        <f>IF('Loan Tape (S&amp;P)'!V1100="Yes",
    1.20,
    1.00)</f>
        <v/>
      </c>
      <c r="T1100">
        <f>LET(
    payment_method,'Loan Tape (S&amp;P)'!P1100,
    occupancy,'Loan Tape (S&amp;P)'!N1100,
    maturity_date,'Loan Tape (S&amp;P)'!L1100,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01">
      <c r="J1101">
        <f>LET(
    lien,'Loan Tape (S&amp;P)'!Q1101,
    IF(lien="First",1.00,
        IF(lien="Second",1.50,
            1.70)))</f>
        <v/>
      </c>
      <c r="K1101">
        <f>LET(
    purpose,'Loan Tape (S&amp;P)'!R1101,
    IF(purpose="Purchase",1.00,
        IF(purpose="Remortgage",1.00,
            1.20)))</f>
        <v/>
      </c>
      <c r="L1101">
        <f>LET(
    arrears_months,'Loan Tape (S&amp;P)'!AN1101,
    IF(arrears_months=0,1.00,
    IF(arrears_months=1,3.00,
    IF(arrears_months=2,5.00,
    IF(arrears_months=3,8.00,
    IF(arrears_months=4,10.00,
    IF(arrears_months=5,12.00,15.00)))))))</f>
        <v/>
      </c>
      <c r="M1101">
        <f>LET(
    seasoning_years,DATEDIF('Loan Tape (S&amp;P)'!K1101,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01">
        <f>IF(AND('Loan Tape (S&amp;P)'!U1101="Yes",
        'Loan Tape (S&amp;P)'!T1101&lt;&gt;"Yes",
        DATEDIF('Loan Tape (S&amp;P)'!K1101, TODAY(), "M")&lt;18),
    1.10,
    1.00)</f>
        <v/>
      </c>
      <c r="O1101">
        <f>IF('Loan Tape (S&amp;P)'!T1101="Yes",
    1.35,
    1.00)</f>
        <v/>
      </c>
      <c r="P1101">
        <f>IF('Loan Tape (S&amp;P)'!S1101="Yes",
    1.15,
    1.00)</f>
        <v/>
      </c>
      <c r="Q1101">
        <f>IF('Loan Tape (S&amp;P)'!V1101="Yes",
    1.20,
    1.00)</f>
        <v/>
      </c>
      <c r="T1101">
        <f>LET(
    payment_method,'Loan Tape (S&amp;P)'!P1101,
    occupancy,'Loan Tape (S&amp;P)'!N1101,
    maturity_date,'Loan Tape (S&amp;P)'!L1101,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02">
      <c r="J1102">
        <f>LET(
    lien,'Loan Tape (S&amp;P)'!Q1102,
    IF(lien="First",1.00,
        IF(lien="Second",1.50,
            1.70)))</f>
        <v/>
      </c>
      <c r="K1102">
        <f>LET(
    purpose,'Loan Tape (S&amp;P)'!R1102,
    IF(purpose="Purchase",1.00,
        IF(purpose="Remortgage",1.00,
            1.20)))</f>
        <v/>
      </c>
      <c r="L1102">
        <f>LET(
    arrears_months,'Loan Tape (S&amp;P)'!AN1102,
    IF(arrears_months=0,1.00,
    IF(arrears_months=1,3.00,
    IF(arrears_months=2,5.00,
    IF(arrears_months=3,8.00,
    IF(arrears_months=4,10.00,
    IF(arrears_months=5,12.00,15.00)))))))</f>
        <v/>
      </c>
      <c r="M1102">
        <f>LET(
    seasoning_years,DATEDIF('Loan Tape (S&amp;P)'!K1102,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02">
        <f>IF(AND('Loan Tape (S&amp;P)'!U1102="Yes",
        'Loan Tape (S&amp;P)'!T1102&lt;&gt;"Yes",
        DATEDIF('Loan Tape (S&amp;P)'!K1102, TODAY(), "M")&lt;18),
    1.10,
    1.00)</f>
        <v/>
      </c>
      <c r="O1102">
        <f>IF('Loan Tape (S&amp;P)'!T1102="Yes",
    1.35,
    1.00)</f>
        <v/>
      </c>
      <c r="P1102">
        <f>IF('Loan Tape (S&amp;P)'!S1102="Yes",
    1.15,
    1.00)</f>
        <v/>
      </c>
      <c r="Q1102">
        <f>IF('Loan Tape (S&amp;P)'!V1102="Yes",
    1.20,
    1.00)</f>
        <v/>
      </c>
      <c r="T1102">
        <f>LET(
    payment_method,'Loan Tape (S&amp;P)'!P1102,
    occupancy,'Loan Tape (S&amp;P)'!N1102,
    maturity_date,'Loan Tape (S&amp;P)'!L1102,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03">
      <c r="J1103">
        <f>LET(
    lien,'Loan Tape (S&amp;P)'!Q1103,
    IF(lien="First",1.00,
        IF(lien="Second",1.50,
            1.70)))</f>
        <v/>
      </c>
      <c r="K1103">
        <f>LET(
    purpose,'Loan Tape (S&amp;P)'!R1103,
    IF(purpose="Purchase",1.00,
        IF(purpose="Remortgage",1.00,
            1.20)))</f>
        <v/>
      </c>
      <c r="L1103">
        <f>LET(
    arrears_months,'Loan Tape (S&amp;P)'!AN1103,
    IF(arrears_months=0,1.00,
    IF(arrears_months=1,3.00,
    IF(arrears_months=2,5.00,
    IF(arrears_months=3,8.00,
    IF(arrears_months=4,10.00,
    IF(arrears_months=5,12.00,15.00)))))))</f>
        <v/>
      </c>
      <c r="M1103">
        <f>LET(
    seasoning_years,DATEDIF('Loan Tape (S&amp;P)'!K1103,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03">
        <f>IF(AND('Loan Tape (S&amp;P)'!U1103="Yes",
        'Loan Tape (S&amp;P)'!T1103&lt;&gt;"Yes",
        DATEDIF('Loan Tape (S&amp;P)'!K1103, TODAY(), "M")&lt;18),
    1.10,
    1.00)</f>
        <v/>
      </c>
      <c r="O1103">
        <f>IF('Loan Tape (S&amp;P)'!T1103="Yes",
    1.35,
    1.00)</f>
        <v/>
      </c>
      <c r="P1103">
        <f>IF('Loan Tape (S&amp;P)'!S1103="Yes",
    1.15,
    1.00)</f>
        <v/>
      </c>
      <c r="Q1103">
        <f>IF('Loan Tape (S&amp;P)'!V1103="Yes",
    1.20,
    1.00)</f>
        <v/>
      </c>
      <c r="T1103">
        <f>LET(
    payment_method,'Loan Tape (S&amp;P)'!P1103,
    occupancy,'Loan Tape (S&amp;P)'!N1103,
    maturity_date,'Loan Tape (S&amp;P)'!L1103,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04">
      <c r="J1104">
        <f>LET(
    lien,'Loan Tape (S&amp;P)'!Q1104,
    IF(lien="First",1.00,
        IF(lien="Second",1.50,
            1.70)))</f>
        <v/>
      </c>
      <c r="K1104">
        <f>LET(
    purpose,'Loan Tape (S&amp;P)'!R1104,
    IF(purpose="Purchase",1.00,
        IF(purpose="Remortgage",1.00,
            1.20)))</f>
        <v/>
      </c>
      <c r="L1104">
        <f>LET(
    arrears_months,'Loan Tape (S&amp;P)'!AN1104,
    IF(arrears_months=0,1.00,
    IF(arrears_months=1,3.00,
    IF(arrears_months=2,5.00,
    IF(arrears_months=3,8.00,
    IF(arrears_months=4,10.00,
    IF(arrears_months=5,12.00,15.00)))))))</f>
        <v/>
      </c>
      <c r="M1104">
        <f>LET(
    seasoning_years,DATEDIF('Loan Tape (S&amp;P)'!K1104,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04">
        <f>IF(AND('Loan Tape (S&amp;P)'!U1104="Yes",
        'Loan Tape (S&amp;P)'!T1104&lt;&gt;"Yes",
        DATEDIF('Loan Tape (S&amp;P)'!K1104, TODAY(), "M")&lt;18),
    1.10,
    1.00)</f>
        <v/>
      </c>
      <c r="O1104">
        <f>IF('Loan Tape (S&amp;P)'!T1104="Yes",
    1.35,
    1.00)</f>
        <v/>
      </c>
      <c r="P1104">
        <f>IF('Loan Tape (S&amp;P)'!S1104="Yes",
    1.15,
    1.00)</f>
        <v/>
      </c>
      <c r="Q1104">
        <f>IF('Loan Tape (S&amp;P)'!V1104="Yes",
    1.20,
    1.00)</f>
        <v/>
      </c>
      <c r="T1104">
        <f>LET(
    payment_method,'Loan Tape (S&amp;P)'!P1104,
    occupancy,'Loan Tape (S&amp;P)'!N1104,
    maturity_date,'Loan Tape (S&amp;P)'!L1104,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05">
      <c r="J1105">
        <f>LET(
    lien,'Loan Tape (S&amp;P)'!Q1105,
    IF(lien="First",1.00,
        IF(lien="Second",1.50,
            1.70)))</f>
        <v/>
      </c>
      <c r="K1105">
        <f>LET(
    purpose,'Loan Tape (S&amp;P)'!R1105,
    IF(purpose="Purchase",1.00,
        IF(purpose="Remortgage",1.00,
            1.20)))</f>
        <v/>
      </c>
      <c r="L1105">
        <f>LET(
    arrears_months,'Loan Tape (S&amp;P)'!AN1105,
    IF(arrears_months=0,1.00,
    IF(arrears_months=1,3.00,
    IF(arrears_months=2,5.00,
    IF(arrears_months=3,8.00,
    IF(arrears_months=4,10.00,
    IF(arrears_months=5,12.00,15.00)))))))</f>
        <v/>
      </c>
      <c r="M1105">
        <f>LET(
    seasoning_years,DATEDIF('Loan Tape (S&amp;P)'!K1105,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05">
        <f>IF(AND('Loan Tape (S&amp;P)'!U1105="Yes",
        'Loan Tape (S&amp;P)'!T1105&lt;&gt;"Yes",
        DATEDIF('Loan Tape (S&amp;P)'!K1105, TODAY(), "M")&lt;18),
    1.10,
    1.00)</f>
        <v/>
      </c>
      <c r="O1105">
        <f>IF('Loan Tape (S&amp;P)'!T1105="Yes",
    1.35,
    1.00)</f>
        <v/>
      </c>
      <c r="P1105">
        <f>IF('Loan Tape (S&amp;P)'!S1105="Yes",
    1.15,
    1.00)</f>
        <v/>
      </c>
      <c r="Q1105">
        <f>IF('Loan Tape (S&amp;P)'!V1105="Yes",
    1.20,
    1.00)</f>
        <v/>
      </c>
      <c r="T1105">
        <f>LET(
    payment_method,'Loan Tape (S&amp;P)'!P1105,
    occupancy,'Loan Tape (S&amp;P)'!N1105,
    maturity_date,'Loan Tape (S&amp;P)'!L1105,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06">
      <c r="J1106">
        <f>LET(
    lien,'Loan Tape (S&amp;P)'!Q1106,
    IF(lien="First",1.00,
        IF(lien="Second",1.50,
            1.70)))</f>
        <v/>
      </c>
      <c r="K1106">
        <f>LET(
    purpose,'Loan Tape (S&amp;P)'!R1106,
    IF(purpose="Purchase",1.00,
        IF(purpose="Remortgage",1.00,
            1.20)))</f>
        <v/>
      </c>
      <c r="L1106">
        <f>LET(
    arrears_months,'Loan Tape (S&amp;P)'!AN1106,
    IF(arrears_months=0,1.00,
    IF(arrears_months=1,3.00,
    IF(arrears_months=2,5.00,
    IF(arrears_months=3,8.00,
    IF(arrears_months=4,10.00,
    IF(arrears_months=5,12.00,15.00)))))))</f>
        <v/>
      </c>
      <c r="M1106">
        <f>LET(
    seasoning_years,DATEDIF('Loan Tape (S&amp;P)'!K1106,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06">
        <f>IF(AND('Loan Tape (S&amp;P)'!U1106="Yes",
        'Loan Tape (S&amp;P)'!T1106&lt;&gt;"Yes",
        DATEDIF('Loan Tape (S&amp;P)'!K1106, TODAY(), "M")&lt;18),
    1.10,
    1.00)</f>
        <v/>
      </c>
      <c r="O1106">
        <f>IF('Loan Tape (S&amp;P)'!T1106="Yes",
    1.35,
    1.00)</f>
        <v/>
      </c>
      <c r="P1106">
        <f>IF('Loan Tape (S&amp;P)'!S1106="Yes",
    1.15,
    1.00)</f>
        <v/>
      </c>
      <c r="Q1106">
        <f>IF('Loan Tape (S&amp;P)'!V1106="Yes",
    1.20,
    1.00)</f>
        <v/>
      </c>
      <c r="T1106">
        <f>LET(
    payment_method,'Loan Tape (S&amp;P)'!P1106,
    occupancy,'Loan Tape (S&amp;P)'!N1106,
    maturity_date,'Loan Tape (S&amp;P)'!L1106,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07">
      <c r="J1107">
        <f>LET(
    lien,'Loan Tape (S&amp;P)'!Q1107,
    IF(lien="First",1.00,
        IF(lien="Second",1.50,
            1.70)))</f>
        <v/>
      </c>
      <c r="K1107">
        <f>LET(
    purpose,'Loan Tape (S&amp;P)'!R1107,
    IF(purpose="Purchase",1.00,
        IF(purpose="Remortgage",1.00,
            1.20)))</f>
        <v/>
      </c>
      <c r="L1107">
        <f>LET(
    arrears_months,'Loan Tape (S&amp;P)'!AN1107,
    IF(arrears_months=0,1.00,
    IF(arrears_months=1,3.00,
    IF(arrears_months=2,5.00,
    IF(arrears_months=3,8.00,
    IF(arrears_months=4,10.00,
    IF(arrears_months=5,12.00,15.00)))))))</f>
        <v/>
      </c>
      <c r="M1107">
        <f>LET(
    seasoning_years,DATEDIF('Loan Tape (S&amp;P)'!K1107,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07">
        <f>IF(AND('Loan Tape (S&amp;P)'!U1107="Yes",
        'Loan Tape (S&amp;P)'!T1107&lt;&gt;"Yes",
        DATEDIF('Loan Tape (S&amp;P)'!K1107, TODAY(), "M")&lt;18),
    1.10,
    1.00)</f>
        <v/>
      </c>
      <c r="O1107">
        <f>IF('Loan Tape (S&amp;P)'!T1107="Yes",
    1.35,
    1.00)</f>
        <v/>
      </c>
      <c r="P1107">
        <f>IF('Loan Tape (S&amp;P)'!S1107="Yes",
    1.15,
    1.00)</f>
        <v/>
      </c>
      <c r="Q1107">
        <f>IF('Loan Tape (S&amp;P)'!V1107="Yes",
    1.20,
    1.00)</f>
        <v/>
      </c>
      <c r="T1107">
        <f>LET(
    payment_method,'Loan Tape (S&amp;P)'!P1107,
    occupancy,'Loan Tape (S&amp;P)'!N1107,
    maturity_date,'Loan Tape (S&amp;P)'!L1107,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08">
      <c r="J1108">
        <f>LET(
    lien,'Loan Tape (S&amp;P)'!Q1108,
    IF(lien="First",1.00,
        IF(lien="Second",1.50,
            1.70)))</f>
        <v/>
      </c>
      <c r="K1108">
        <f>LET(
    purpose,'Loan Tape (S&amp;P)'!R1108,
    IF(purpose="Purchase",1.00,
        IF(purpose="Remortgage",1.00,
            1.20)))</f>
        <v/>
      </c>
      <c r="L1108">
        <f>LET(
    arrears_months,'Loan Tape (S&amp;P)'!AN1108,
    IF(arrears_months=0,1.00,
    IF(arrears_months=1,3.00,
    IF(arrears_months=2,5.00,
    IF(arrears_months=3,8.00,
    IF(arrears_months=4,10.00,
    IF(arrears_months=5,12.00,15.00)))))))</f>
        <v/>
      </c>
      <c r="M1108">
        <f>LET(
    seasoning_years,DATEDIF('Loan Tape (S&amp;P)'!K1108,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08">
        <f>IF(AND('Loan Tape (S&amp;P)'!U1108="Yes",
        'Loan Tape (S&amp;P)'!T1108&lt;&gt;"Yes",
        DATEDIF('Loan Tape (S&amp;P)'!K1108, TODAY(), "M")&lt;18),
    1.10,
    1.00)</f>
        <v/>
      </c>
      <c r="O1108">
        <f>IF('Loan Tape (S&amp;P)'!T1108="Yes",
    1.35,
    1.00)</f>
        <v/>
      </c>
      <c r="P1108">
        <f>IF('Loan Tape (S&amp;P)'!S1108="Yes",
    1.15,
    1.00)</f>
        <v/>
      </c>
      <c r="Q1108">
        <f>IF('Loan Tape (S&amp;P)'!V1108="Yes",
    1.20,
    1.00)</f>
        <v/>
      </c>
      <c r="T1108">
        <f>LET(
    payment_method,'Loan Tape (S&amp;P)'!P1108,
    occupancy,'Loan Tape (S&amp;P)'!N1108,
    maturity_date,'Loan Tape (S&amp;P)'!L1108,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09">
      <c r="J1109">
        <f>LET(
    lien,'Loan Tape (S&amp;P)'!Q1109,
    IF(lien="First",1.00,
        IF(lien="Second",1.50,
            1.70)))</f>
        <v/>
      </c>
      <c r="K1109">
        <f>LET(
    purpose,'Loan Tape (S&amp;P)'!R1109,
    IF(purpose="Purchase",1.00,
        IF(purpose="Remortgage",1.00,
            1.20)))</f>
        <v/>
      </c>
      <c r="L1109">
        <f>LET(
    arrears_months,'Loan Tape (S&amp;P)'!AN1109,
    IF(arrears_months=0,1.00,
    IF(arrears_months=1,3.00,
    IF(arrears_months=2,5.00,
    IF(arrears_months=3,8.00,
    IF(arrears_months=4,10.00,
    IF(arrears_months=5,12.00,15.00)))))))</f>
        <v/>
      </c>
      <c r="M1109">
        <f>LET(
    seasoning_years,DATEDIF('Loan Tape (S&amp;P)'!K1109,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09">
        <f>IF(AND('Loan Tape (S&amp;P)'!U1109="Yes",
        'Loan Tape (S&amp;P)'!T1109&lt;&gt;"Yes",
        DATEDIF('Loan Tape (S&amp;P)'!K1109, TODAY(), "M")&lt;18),
    1.10,
    1.00)</f>
        <v/>
      </c>
      <c r="O1109">
        <f>IF('Loan Tape (S&amp;P)'!T1109="Yes",
    1.35,
    1.00)</f>
        <v/>
      </c>
      <c r="P1109">
        <f>IF('Loan Tape (S&amp;P)'!S1109="Yes",
    1.15,
    1.00)</f>
        <v/>
      </c>
      <c r="Q1109">
        <f>IF('Loan Tape (S&amp;P)'!V1109="Yes",
    1.20,
    1.00)</f>
        <v/>
      </c>
      <c r="T1109">
        <f>LET(
    payment_method,'Loan Tape (S&amp;P)'!P1109,
    occupancy,'Loan Tape (S&amp;P)'!N1109,
    maturity_date,'Loan Tape (S&amp;P)'!L1109,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10">
      <c r="J1110">
        <f>LET(
    lien,'Loan Tape (S&amp;P)'!Q1110,
    IF(lien="First",1.00,
        IF(lien="Second",1.50,
            1.70)))</f>
        <v/>
      </c>
      <c r="K1110">
        <f>LET(
    purpose,'Loan Tape (S&amp;P)'!R1110,
    IF(purpose="Purchase",1.00,
        IF(purpose="Remortgage",1.00,
            1.20)))</f>
        <v/>
      </c>
      <c r="L1110">
        <f>LET(
    arrears_months,'Loan Tape (S&amp;P)'!AN1110,
    IF(arrears_months=0,1.00,
    IF(arrears_months=1,3.00,
    IF(arrears_months=2,5.00,
    IF(arrears_months=3,8.00,
    IF(arrears_months=4,10.00,
    IF(arrears_months=5,12.00,15.00)))))))</f>
        <v/>
      </c>
      <c r="M1110">
        <f>LET(
    seasoning_years,DATEDIF('Loan Tape (S&amp;P)'!K1110,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10">
        <f>IF(AND('Loan Tape (S&amp;P)'!U1110="Yes",
        'Loan Tape (S&amp;P)'!T1110&lt;&gt;"Yes",
        DATEDIF('Loan Tape (S&amp;P)'!K1110, TODAY(), "M")&lt;18),
    1.10,
    1.00)</f>
        <v/>
      </c>
      <c r="O1110">
        <f>IF('Loan Tape (S&amp;P)'!T1110="Yes",
    1.35,
    1.00)</f>
        <v/>
      </c>
      <c r="P1110">
        <f>IF('Loan Tape (S&amp;P)'!S1110="Yes",
    1.15,
    1.00)</f>
        <v/>
      </c>
      <c r="Q1110">
        <f>IF('Loan Tape (S&amp;P)'!V1110="Yes",
    1.20,
    1.00)</f>
        <v/>
      </c>
      <c r="T1110">
        <f>LET(
    payment_method,'Loan Tape (S&amp;P)'!P1110,
    occupancy,'Loan Tape (S&amp;P)'!N1110,
    maturity_date,'Loan Tape (S&amp;P)'!L1110,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11">
      <c r="J1111">
        <f>LET(
    lien,'Loan Tape (S&amp;P)'!Q1111,
    IF(lien="First",1.00,
        IF(lien="Second",1.50,
            1.70)))</f>
        <v/>
      </c>
      <c r="K1111">
        <f>LET(
    purpose,'Loan Tape (S&amp;P)'!R1111,
    IF(purpose="Purchase",1.00,
        IF(purpose="Remortgage",1.00,
            1.20)))</f>
        <v/>
      </c>
      <c r="L1111">
        <f>LET(
    arrears_months,'Loan Tape (S&amp;P)'!AN1111,
    IF(arrears_months=0,1.00,
    IF(arrears_months=1,3.00,
    IF(arrears_months=2,5.00,
    IF(arrears_months=3,8.00,
    IF(arrears_months=4,10.00,
    IF(arrears_months=5,12.00,15.00)))))))</f>
        <v/>
      </c>
      <c r="M1111">
        <f>LET(
    seasoning_years,DATEDIF('Loan Tape (S&amp;P)'!K1111,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11">
        <f>IF(AND('Loan Tape (S&amp;P)'!U1111="Yes",
        'Loan Tape (S&amp;P)'!T1111&lt;&gt;"Yes",
        DATEDIF('Loan Tape (S&amp;P)'!K1111, TODAY(), "M")&lt;18),
    1.10,
    1.00)</f>
        <v/>
      </c>
      <c r="O1111">
        <f>IF('Loan Tape (S&amp;P)'!T1111="Yes",
    1.35,
    1.00)</f>
        <v/>
      </c>
      <c r="P1111">
        <f>IF('Loan Tape (S&amp;P)'!S1111="Yes",
    1.15,
    1.00)</f>
        <v/>
      </c>
      <c r="Q1111">
        <f>IF('Loan Tape (S&amp;P)'!V1111="Yes",
    1.20,
    1.00)</f>
        <v/>
      </c>
      <c r="T1111">
        <f>LET(
    payment_method,'Loan Tape (S&amp;P)'!P1111,
    occupancy,'Loan Tape (S&amp;P)'!N1111,
    maturity_date,'Loan Tape (S&amp;P)'!L1111,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12">
      <c r="J1112">
        <f>LET(
    lien,'Loan Tape (S&amp;P)'!Q1112,
    IF(lien="First",1.00,
        IF(lien="Second",1.50,
            1.70)))</f>
        <v/>
      </c>
      <c r="K1112">
        <f>LET(
    purpose,'Loan Tape (S&amp;P)'!R1112,
    IF(purpose="Purchase",1.00,
        IF(purpose="Remortgage",1.00,
            1.20)))</f>
        <v/>
      </c>
      <c r="L1112">
        <f>LET(
    arrears_months,'Loan Tape (S&amp;P)'!AN1112,
    IF(arrears_months=0,1.00,
    IF(arrears_months=1,3.00,
    IF(arrears_months=2,5.00,
    IF(arrears_months=3,8.00,
    IF(arrears_months=4,10.00,
    IF(arrears_months=5,12.00,15.00)))))))</f>
        <v/>
      </c>
      <c r="M1112">
        <f>LET(
    seasoning_years,DATEDIF('Loan Tape (S&amp;P)'!K1112,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12">
        <f>IF(AND('Loan Tape (S&amp;P)'!U1112="Yes",
        'Loan Tape (S&amp;P)'!T1112&lt;&gt;"Yes",
        DATEDIF('Loan Tape (S&amp;P)'!K1112, TODAY(), "M")&lt;18),
    1.10,
    1.00)</f>
        <v/>
      </c>
      <c r="O1112">
        <f>IF('Loan Tape (S&amp;P)'!T1112="Yes",
    1.35,
    1.00)</f>
        <v/>
      </c>
      <c r="P1112">
        <f>IF('Loan Tape (S&amp;P)'!S1112="Yes",
    1.15,
    1.00)</f>
        <v/>
      </c>
      <c r="Q1112">
        <f>IF('Loan Tape (S&amp;P)'!V1112="Yes",
    1.20,
    1.00)</f>
        <v/>
      </c>
      <c r="T1112">
        <f>LET(
    payment_method,'Loan Tape (S&amp;P)'!P1112,
    occupancy,'Loan Tape (S&amp;P)'!N1112,
    maturity_date,'Loan Tape (S&amp;P)'!L1112,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13">
      <c r="J1113">
        <f>LET(
    lien,'Loan Tape (S&amp;P)'!Q1113,
    IF(lien="First",1.00,
        IF(lien="Second",1.50,
            1.70)))</f>
        <v/>
      </c>
      <c r="K1113">
        <f>LET(
    purpose,'Loan Tape (S&amp;P)'!R1113,
    IF(purpose="Purchase",1.00,
        IF(purpose="Remortgage",1.00,
            1.20)))</f>
        <v/>
      </c>
      <c r="L1113">
        <f>LET(
    arrears_months,'Loan Tape (S&amp;P)'!AN1113,
    IF(arrears_months=0,1.00,
    IF(arrears_months=1,3.00,
    IF(arrears_months=2,5.00,
    IF(arrears_months=3,8.00,
    IF(arrears_months=4,10.00,
    IF(arrears_months=5,12.00,15.00)))))))</f>
        <v/>
      </c>
      <c r="M1113">
        <f>LET(
    seasoning_years,DATEDIF('Loan Tape (S&amp;P)'!K1113,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13">
        <f>IF(AND('Loan Tape (S&amp;P)'!U1113="Yes",
        'Loan Tape (S&amp;P)'!T1113&lt;&gt;"Yes",
        DATEDIF('Loan Tape (S&amp;P)'!K1113, TODAY(), "M")&lt;18),
    1.10,
    1.00)</f>
        <v/>
      </c>
      <c r="O1113">
        <f>IF('Loan Tape (S&amp;P)'!T1113="Yes",
    1.35,
    1.00)</f>
        <v/>
      </c>
      <c r="P1113">
        <f>IF('Loan Tape (S&amp;P)'!S1113="Yes",
    1.15,
    1.00)</f>
        <v/>
      </c>
      <c r="Q1113">
        <f>IF('Loan Tape (S&amp;P)'!V1113="Yes",
    1.20,
    1.00)</f>
        <v/>
      </c>
      <c r="T1113">
        <f>LET(
    payment_method,'Loan Tape (S&amp;P)'!P1113,
    occupancy,'Loan Tape (S&amp;P)'!N1113,
    maturity_date,'Loan Tape (S&amp;P)'!L1113,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14">
      <c r="J1114">
        <f>LET(
    lien,'Loan Tape (S&amp;P)'!Q1114,
    IF(lien="First",1.00,
        IF(lien="Second",1.50,
            1.70)))</f>
        <v/>
      </c>
      <c r="K1114">
        <f>LET(
    purpose,'Loan Tape (S&amp;P)'!R1114,
    IF(purpose="Purchase",1.00,
        IF(purpose="Remortgage",1.00,
            1.20)))</f>
        <v/>
      </c>
      <c r="L1114">
        <f>LET(
    arrears_months,'Loan Tape (S&amp;P)'!AN1114,
    IF(arrears_months=0,1.00,
    IF(arrears_months=1,3.00,
    IF(arrears_months=2,5.00,
    IF(arrears_months=3,8.00,
    IF(arrears_months=4,10.00,
    IF(arrears_months=5,12.00,15.00)))))))</f>
        <v/>
      </c>
      <c r="M1114">
        <f>LET(
    seasoning_years,DATEDIF('Loan Tape (S&amp;P)'!K1114,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14">
        <f>IF(AND('Loan Tape (S&amp;P)'!U1114="Yes",
        'Loan Tape (S&amp;P)'!T1114&lt;&gt;"Yes",
        DATEDIF('Loan Tape (S&amp;P)'!K1114, TODAY(), "M")&lt;18),
    1.10,
    1.00)</f>
        <v/>
      </c>
      <c r="O1114">
        <f>IF('Loan Tape (S&amp;P)'!T1114="Yes",
    1.35,
    1.00)</f>
        <v/>
      </c>
      <c r="P1114">
        <f>IF('Loan Tape (S&amp;P)'!S1114="Yes",
    1.15,
    1.00)</f>
        <v/>
      </c>
      <c r="Q1114">
        <f>IF('Loan Tape (S&amp;P)'!V1114="Yes",
    1.20,
    1.00)</f>
        <v/>
      </c>
      <c r="T1114">
        <f>LET(
    payment_method,'Loan Tape (S&amp;P)'!P1114,
    occupancy,'Loan Tape (S&amp;P)'!N1114,
    maturity_date,'Loan Tape (S&amp;P)'!L1114,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15">
      <c r="J1115">
        <f>LET(
    lien,'Loan Tape (S&amp;P)'!Q1115,
    IF(lien="First",1.00,
        IF(lien="Second",1.50,
            1.70)))</f>
        <v/>
      </c>
      <c r="K1115">
        <f>LET(
    purpose,'Loan Tape (S&amp;P)'!R1115,
    IF(purpose="Purchase",1.00,
        IF(purpose="Remortgage",1.00,
            1.20)))</f>
        <v/>
      </c>
      <c r="L1115">
        <f>LET(
    arrears_months,'Loan Tape (S&amp;P)'!AN1115,
    IF(arrears_months=0,1.00,
    IF(arrears_months=1,3.00,
    IF(arrears_months=2,5.00,
    IF(arrears_months=3,8.00,
    IF(arrears_months=4,10.00,
    IF(arrears_months=5,12.00,15.00)))))))</f>
        <v/>
      </c>
      <c r="M1115">
        <f>LET(
    seasoning_years,DATEDIF('Loan Tape (S&amp;P)'!K1115,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15">
        <f>IF(AND('Loan Tape (S&amp;P)'!U1115="Yes",
        'Loan Tape (S&amp;P)'!T1115&lt;&gt;"Yes",
        DATEDIF('Loan Tape (S&amp;P)'!K1115, TODAY(), "M")&lt;18),
    1.10,
    1.00)</f>
        <v/>
      </c>
      <c r="O1115">
        <f>IF('Loan Tape (S&amp;P)'!T1115="Yes",
    1.35,
    1.00)</f>
        <v/>
      </c>
      <c r="P1115">
        <f>IF('Loan Tape (S&amp;P)'!S1115="Yes",
    1.15,
    1.00)</f>
        <v/>
      </c>
      <c r="Q1115">
        <f>IF('Loan Tape (S&amp;P)'!V1115="Yes",
    1.20,
    1.00)</f>
        <v/>
      </c>
      <c r="T1115">
        <f>LET(
    payment_method,'Loan Tape (S&amp;P)'!P1115,
    occupancy,'Loan Tape (S&amp;P)'!N1115,
    maturity_date,'Loan Tape (S&amp;P)'!L1115,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16">
      <c r="J1116">
        <f>LET(
    lien,'Loan Tape (S&amp;P)'!Q1116,
    IF(lien="First",1.00,
        IF(lien="Second",1.50,
            1.70)))</f>
        <v/>
      </c>
      <c r="K1116">
        <f>LET(
    purpose,'Loan Tape (S&amp;P)'!R1116,
    IF(purpose="Purchase",1.00,
        IF(purpose="Remortgage",1.00,
            1.20)))</f>
        <v/>
      </c>
      <c r="L1116">
        <f>LET(
    arrears_months,'Loan Tape (S&amp;P)'!AN1116,
    IF(arrears_months=0,1.00,
    IF(arrears_months=1,3.00,
    IF(arrears_months=2,5.00,
    IF(arrears_months=3,8.00,
    IF(arrears_months=4,10.00,
    IF(arrears_months=5,12.00,15.00)))))))</f>
        <v/>
      </c>
      <c r="M1116">
        <f>LET(
    seasoning_years,DATEDIF('Loan Tape (S&amp;P)'!K1116,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16">
        <f>IF(AND('Loan Tape (S&amp;P)'!U1116="Yes",
        'Loan Tape (S&amp;P)'!T1116&lt;&gt;"Yes",
        DATEDIF('Loan Tape (S&amp;P)'!K1116, TODAY(), "M")&lt;18),
    1.10,
    1.00)</f>
        <v/>
      </c>
      <c r="O1116">
        <f>IF('Loan Tape (S&amp;P)'!T1116="Yes",
    1.35,
    1.00)</f>
        <v/>
      </c>
      <c r="P1116">
        <f>IF('Loan Tape (S&amp;P)'!S1116="Yes",
    1.15,
    1.00)</f>
        <v/>
      </c>
      <c r="Q1116">
        <f>IF('Loan Tape (S&amp;P)'!V1116="Yes",
    1.20,
    1.00)</f>
        <v/>
      </c>
      <c r="T1116">
        <f>LET(
    payment_method,'Loan Tape (S&amp;P)'!P1116,
    occupancy,'Loan Tape (S&amp;P)'!N1116,
    maturity_date,'Loan Tape (S&amp;P)'!L1116,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17">
      <c r="J1117">
        <f>LET(
    lien,'Loan Tape (S&amp;P)'!Q1117,
    IF(lien="First",1.00,
        IF(lien="Second",1.50,
            1.70)))</f>
        <v/>
      </c>
      <c r="K1117">
        <f>LET(
    purpose,'Loan Tape (S&amp;P)'!R1117,
    IF(purpose="Purchase",1.00,
        IF(purpose="Remortgage",1.00,
            1.20)))</f>
        <v/>
      </c>
      <c r="L1117">
        <f>LET(
    arrears_months,'Loan Tape (S&amp;P)'!AN1117,
    IF(arrears_months=0,1.00,
    IF(arrears_months=1,3.00,
    IF(arrears_months=2,5.00,
    IF(arrears_months=3,8.00,
    IF(arrears_months=4,10.00,
    IF(arrears_months=5,12.00,15.00)))))))</f>
        <v/>
      </c>
      <c r="M1117">
        <f>LET(
    seasoning_years,DATEDIF('Loan Tape (S&amp;P)'!K1117,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17">
        <f>IF(AND('Loan Tape (S&amp;P)'!U1117="Yes",
        'Loan Tape (S&amp;P)'!T1117&lt;&gt;"Yes",
        DATEDIF('Loan Tape (S&amp;P)'!K1117, TODAY(), "M")&lt;18),
    1.10,
    1.00)</f>
        <v/>
      </c>
      <c r="O1117">
        <f>IF('Loan Tape (S&amp;P)'!T1117="Yes",
    1.35,
    1.00)</f>
        <v/>
      </c>
      <c r="P1117">
        <f>IF('Loan Tape (S&amp;P)'!S1117="Yes",
    1.15,
    1.00)</f>
        <v/>
      </c>
      <c r="Q1117">
        <f>IF('Loan Tape (S&amp;P)'!V1117="Yes",
    1.20,
    1.00)</f>
        <v/>
      </c>
      <c r="T1117">
        <f>LET(
    payment_method,'Loan Tape (S&amp;P)'!P1117,
    occupancy,'Loan Tape (S&amp;P)'!N1117,
    maturity_date,'Loan Tape (S&amp;P)'!L1117,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18">
      <c r="J1118">
        <f>LET(
    lien,'Loan Tape (S&amp;P)'!Q1118,
    IF(lien="First",1.00,
        IF(lien="Second",1.50,
            1.70)))</f>
        <v/>
      </c>
      <c r="K1118">
        <f>LET(
    purpose,'Loan Tape (S&amp;P)'!R1118,
    IF(purpose="Purchase",1.00,
        IF(purpose="Remortgage",1.00,
            1.20)))</f>
        <v/>
      </c>
      <c r="L1118">
        <f>LET(
    arrears_months,'Loan Tape (S&amp;P)'!AN1118,
    IF(arrears_months=0,1.00,
    IF(arrears_months=1,3.00,
    IF(arrears_months=2,5.00,
    IF(arrears_months=3,8.00,
    IF(arrears_months=4,10.00,
    IF(arrears_months=5,12.00,15.00)))))))</f>
        <v/>
      </c>
      <c r="M1118">
        <f>LET(
    seasoning_years,DATEDIF('Loan Tape (S&amp;P)'!K1118,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18">
        <f>IF(AND('Loan Tape (S&amp;P)'!U1118="Yes",
        'Loan Tape (S&amp;P)'!T1118&lt;&gt;"Yes",
        DATEDIF('Loan Tape (S&amp;P)'!K1118, TODAY(), "M")&lt;18),
    1.10,
    1.00)</f>
        <v/>
      </c>
      <c r="O1118">
        <f>IF('Loan Tape (S&amp;P)'!T1118="Yes",
    1.35,
    1.00)</f>
        <v/>
      </c>
      <c r="P1118">
        <f>IF('Loan Tape (S&amp;P)'!S1118="Yes",
    1.15,
    1.00)</f>
        <v/>
      </c>
      <c r="Q1118">
        <f>IF('Loan Tape (S&amp;P)'!V1118="Yes",
    1.20,
    1.00)</f>
        <v/>
      </c>
      <c r="T1118">
        <f>LET(
    payment_method,'Loan Tape (S&amp;P)'!P1118,
    occupancy,'Loan Tape (S&amp;P)'!N1118,
    maturity_date,'Loan Tape (S&amp;P)'!L1118,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19">
      <c r="J1119">
        <f>LET(
    lien,'Loan Tape (S&amp;P)'!Q1119,
    IF(lien="First",1.00,
        IF(lien="Second",1.50,
            1.70)))</f>
        <v/>
      </c>
      <c r="K1119">
        <f>LET(
    purpose,'Loan Tape (S&amp;P)'!R1119,
    IF(purpose="Purchase",1.00,
        IF(purpose="Remortgage",1.00,
            1.20)))</f>
        <v/>
      </c>
      <c r="L1119">
        <f>LET(
    arrears_months,'Loan Tape (S&amp;P)'!AN1119,
    IF(arrears_months=0,1.00,
    IF(arrears_months=1,3.00,
    IF(arrears_months=2,5.00,
    IF(arrears_months=3,8.00,
    IF(arrears_months=4,10.00,
    IF(arrears_months=5,12.00,15.00)))))))</f>
        <v/>
      </c>
      <c r="M1119">
        <f>LET(
    seasoning_years,DATEDIF('Loan Tape (S&amp;P)'!K1119,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19">
        <f>IF(AND('Loan Tape (S&amp;P)'!U1119="Yes",
        'Loan Tape (S&amp;P)'!T1119&lt;&gt;"Yes",
        DATEDIF('Loan Tape (S&amp;P)'!K1119, TODAY(), "M")&lt;18),
    1.10,
    1.00)</f>
        <v/>
      </c>
      <c r="O1119">
        <f>IF('Loan Tape (S&amp;P)'!T1119="Yes",
    1.35,
    1.00)</f>
        <v/>
      </c>
      <c r="P1119">
        <f>IF('Loan Tape (S&amp;P)'!S1119="Yes",
    1.15,
    1.00)</f>
        <v/>
      </c>
      <c r="Q1119">
        <f>IF('Loan Tape (S&amp;P)'!V1119="Yes",
    1.20,
    1.00)</f>
        <v/>
      </c>
      <c r="T1119">
        <f>LET(
    payment_method,'Loan Tape (S&amp;P)'!P1119,
    occupancy,'Loan Tape (S&amp;P)'!N1119,
    maturity_date,'Loan Tape (S&amp;P)'!L1119,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20">
      <c r="J1120">
        <f>LET(
    lien,'Loan Tape (S&amp;P)'!Q1120,
    IF(lien="First",1.00,
        IF(lien="Second",1.50,
            1.70)))</f>
        <v/>
      </c>
      <c r="K1120">
        <f>LET(
    purpose,'Loan Tape (S&amp;P)'!R1120,
    IF(purpose="Purchase",1.00,
        IF(purpose="Remortgage",1.00,
            1.20)))</f>
        <v/>
      </c>
      <c r="L1120">
        <f>LET(
    arrears_months,'Loan Tape (S&amp;P)'!AN1120,
    IF(arrears_months=0,1.00,
    IF(arrears_months=1,3.00,
    IF(arrears_months=2,5.00,
    IF(arrears_months=3,8.00,
    IF(arrears_months=4,10.00,
    IF(arrears_months=5,12.00,15.00)))))))</f>
        <v/>
      </c>
      <c r="M1120">
        <f>LET(
    seasoning_years,DATEDIF('Loan Tape (S&amp;P)'!K1120,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20">
        <f>IF(AND('Loan Tape (S&amp;P)'!U1120="Yes",
        'Loan Tape (S&amp;P)'!T1120&lt;&gt;"Yes",
        DATEDIF('Loan Tape (S&amp;P)'!K1120, TODAY(), "M")&lt;18),
    1.10,
    1.00)</f>
        <v/>
      </c>
      <c r="O1120">
        <f>IF('Loan Tape (S&amp;P)'!T1120="Yes",
    1.35,
    1.00)</f>
        <v/>
      </c>
      <c r="P1120">
        <f>IF('Loan Tape (S&amp;P)'!S1120="Yes",
    1.15,
    1.00)</f>
        <v/>
      </c>
      <c r="Q1120">
        <f>IF('Loan Tape (S&amp;P)'!V1120="Yes",
    1.20,
    1.00)</f>
        <v/>
      </c>
      <c r="T1120">
        <f>LET(
    payment_method,'Loan Tape (S&amp;P)'!P1120,
    occupancy,'Loan Tape (S&amp;P)'!N1120,
    maturity_date,'Loan Tape (S&amp;P)'!L1120,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21">
      <c r="J1121">
        <f>LET(
    lien,'Loan Tape (S&amp;P)'!Q1121,
    IF(lien="First",1.00,
        IF(lien="Second",1.50,
            1.70)))</f>
        <v/>
      </c>
      <c r="K1121">
        <f>LET(
    purpose,'Loan Tape (S&amp;P)'!R1121,
    IF(purpose="Purchase",1.00,
        IF(purpose="Remortgage",1.00,
            1.20)))</f>
        <v/>
      </c>
      <c r="L1121">
        <f>LET(
    arrears_months,'Loan Tape (S&amp;P)'!AN1121,
    IF(arrears_months=0,1.00,
    IF(arrears_months=1,3.00,
    IF(arrears_months=2,5.00,
    IF(arrears_months=3,8.00,
    IF(arrears_months=4,10.00,
    IF(arrears_months=5,12.00,15.00)))))))</f>
        <v/>
      </c>
      <c r="M1121">
        <f>LET(
    seasoning_years,DATEDIF('Loan Tape (S&amp;P)'!K1121,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21">
        <f>IF(AND('Loan Tape (S&amp;P)'!U1121="Yes",
        'Loan Tape (S&amp;P)'!T1121&lt;&gt;"Yes",
        DATEDIF('Loan Tape (S&amp;P)'!K1121, TODAY(), "M")&lt;18),
    1.10,
    1.00)</f>
        <v/>
      </c>
      <c r="O1121">
        <f>IF('Loan Tape (S&amp;P)'!T1121="Yes",
    1.35,
    1.00)</f>
        <v/>
      </c>
      <c r="P1121">
        <f>IF('Loan Tape (S&amp;P)'!S1121="Yes",
    1.15,
    1.00)</f>
        <v/>
      </c>
      <c r="Q1121">
        <f>IF('Loan Tape (S&amp;P)'!V1121="Yes",
    1.20,
    1.00)</f>
        <v/>
      </c>
      <c r="T1121">
        <f>LET(
    payment_method,'Loan Tape (S&amp;P)'!P1121,
    occupancy,'Loan Tape (S&amp;P)'!N1121,
    maturity_date,'Loan Tape (S&amp;P)'!L1121,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22">
      <c r="J1122">
        <f>LET(
    lien,'Loan Tape (S&amp;P)'!Q1122,
    IF(lien="First",1.00,
        IF(lien="Second",1.50,
            1.70)))</f>
        <v/>
      </c>
      <c r="K1122">
        <f>LET(
    purpose,'Loan Tape (S&amp;P)'!R1122,
    IF(purpose="Purchase",1.00,
        IF(purpose="Remortgage",1.00,
            1.20)))</f>
        <v/>
      </c>
      <c r="L1122">
        <f>LET(
    arrears_months,'Loan Tape (S&amp;P)'!AN1122,
    IF(arrears_months=0,1.00,
    IF(arrears_months=1,3.00,
    IF(arrears_months=2,5.00,
    IF(arrears_months=3,8.00,
    IF(arrears_months=4,10.00,
    IF(arrears_months=5,12.00,15.00)))))))</f>
        <v/>
      </c>
      <c r="M1122">
        <f>LET(
    seasoning_years,DATEDIF('Loan Tape (S&amp;P)'!K1122,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22">
        <f>IF(AND('Loan Tape (S&amp;P)'!U1122="Yes",
        'Loan Tape (S&amp;P)'!T1122&lt;&gt;"Yes",
        DATEDIF('Loan Tape (S&amp;P)'!K1122, TODAY(), "M")&lt;18),
    1.10,
    1.00)</f>
        <v/>
      </c>
      <c r="O1122">
        <f>IF('Loan Tape (S&amp;P)'!T1122="Yes",
    1.35,
    1.00)</f>
        <v/>
      </c>
      <c r="P1122">
        <f>IF('Loan Tape (S&amp;P)'!S1122="Yes",
    1.15,
    1.00)</f>
        <v/>
      </c>
      <c r="Q1122">
        <f>IF('Loan Tape (S&amp;P)'!V1122="Yes",
    1.20,
    1.00)</f>
        <v/>
      </c>
      <c r="T1122">
        <f>LET(
    payment_method,'Loan Tape (S&amp;P)'!P1122,
    occupancy,'Loan Tape (S&amp;P)'!N1122,
    maturity_date,'Loan Tape (S&amp;P)'!L1122,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23">
      <c r="J1123">
        <f>LET(
    lien,'Loan Tape (S&amp;P)'!Q1123,
    IF(lien="First",1.00,
        IF(lien="Second",1.50,
            1.70)))</f>
        <v/>
      </c>
      <c r="K1123">
        <f>LET(
    purpose,'Loan Tape (S&amp;P)'!R1123,
    IF(purpose="Purchase",1.00,
        IF(purpose="Remortgage",1.00,
            1.20)))</f>
        <v/>
      </c>
      <c r="L1123">
        <f>LET(
    arrears_months,'Loan Tape (S&amp;P)'!AN1123,
    IF(arrears_months=0,1.00,
    IF(arrears_months=1,3.00,
    IF(arrears_months=2,5.00,
    IF(arrears_months=3,8.00,
    IF(arrears_months=4,10.00,
    IF(arrears_months=5,12.00,15.00)))))))</f>
        <v/>
      </c>
      <c r="M1123">
        <f>LET(
    seasoning_years,DATEDIF('Loan Tape (S&amp;P)'!K1123,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23">
        <f>IF(AND('Loan Tape (S&amp;P)'!U1123="Yes",
        'Loan Tape (S&amp;P)'!T1123&lt;&gt;"Yes",
        DATEDIF('Loan Tape (S&amp;P)'!K1123, TODAY(), "M")&lt;18),
    1.10,
    1.00)</f>
        <v/>
      </c>
      <c r="O1123">
        <f>IF('Loan Tape (S&amp;P)'!T1123="Yes",
    1.35,
    1.00)</f>
        <v/>
      </c>
      <c r="P1123">
        <f>IF('Loan Tape (S&amp;P)'!S1123="Yes",
    1.15,
    1.00)</f>
        <v/>
      </c>
      <c r="Q1123">
        <f>IF('Loan Tape (S&amp;P)'!V1123="Yes",
    1.20,
    1.00)</f>
        <v/>
      </c>
      <c r="T1123">
        <f>LET(
    payment_method,'Loan Tape (S&amp;P)'!P1123,
    occupancy,'Loan Tape (S&amp;P)'!N1123,
    maturity_date,'Loan Tape (S&amp;P)'!L1123,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24">
      <c r="J1124">
        <f>LET(
    lien,'Loan Tape (S&amp;P)'!Q1124,
    IF(lien="First",1.00,
        IF(lien="Second",1.50,
            1.70)))</f>
        <v/>
      </c>
      <c r="K1124">
        <f>LET(
    purpose,'Loan Tape (S&amp;P)'!R1124,
    IF(purpose="Purchase",1.00,
        IF(purpose="Remortgage",1.00,
            1.20)))</f>
        <v/>
      </c>
      <c r="L1124">
        <f>LET(
    arrears_months,'Loan Tape (S&amp;P)'!AN1124,
    IF(arrears_months=0,1.00,
    IF(arrears_months=1,3.00,
    IF(arrears_months=2,5.00,
    IF(arrears_months=3,8.00,
    IF(arrears_months=4,10.00,
    IF(arrears_months=5,12.00,15.00)))))))</f>
        <v/>
      </c>
      <c r="M1124">
        <f>LET(
    seasoning_years,DATEDIF('Loan Tape (S&amp;P)'!K1124,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24">
        <f>IF(AND('Loan Tape (S&amp;P)'!U1124="Yes",
        'Loan Tape (S&amp;P)'!T1124&lt;&gt;"Yes",
        DATEDIF('Loan Tape (S&amp;P)'!K1124, TODAY(), "M")&lt;18),
    1.10,
    1.00)</f>
        <v/>
      </c>
      <c r="O1124">
        <f>IF('Loan Tape (S&amp;P)'!T1124="Yes",
    1.35,
    1.00)</f>
        <v/>
      </c>
      <c r="P1124">
        <f>IF('Loan Tape (S&amp;P)'!S1124="Yes",
    1.15,
    1.00)</f>
        <v/>
      </c>
      <c r="Q1124">
        <f>IF('Loan Tape (S&amp;P)'!V1124="Yes",
    1.20,
    1.00)</f>
        <v/>
      </c>
      <c r="T1124">
        <f>LET(
    payment_method,'Loan Tape (S&amp;P)'!P1124,
    occupancy,'Loan Tape (S&amp;P)'!N1124,
    maturity_date,'Loan Tape (S&amp;P)'!L1124,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25">
      <c r="J1125">
        <f>LET(
    lien,'Loan Tape (S&amp;P)'!Q1125,
    IF(lien="First",1.00,
        IF(lien="Second",1.50,
            1.70)))</f>
        <v/>
      </c>
      <c r="K1125">
        <f>LET(
    purpose,'Loan Tape (S&amp;P)'!R1125,
    IF(purpose="Purchase",1.00,
        IF(purpose="Remortgage",1.00,
            1.20)))</f>
        <v/>
      </c>
      <c r="L1125">
        <f>LET(
    arrears_months,'Loan Tape (S&amp;P)'!AN1125,
    IF(arrears_months=0,1.00,
    IF(arrears_months=1,3.00,
    IF(arrears_months=2,5.00,
    IF(arrears_months=3,8.00,
    IF(arrears_months=4,10.00,
    IF(arrears_months=5,12.00,15.00)))))))</f>
        <v/>
      </c>
      <c r="M1125">
        <f>LET(
    seasoning_years,DATEDIF('Loan Tape (S&amp;P)'!K1125,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25">
        <f>IF(AND('Loan Tape (S&amp;P)'!U1125="Yes",
        'Loan Tape (S&amp;P)'!T1125&lt;&gt;"Yes",
        DATEDIF('Loan Tape (S&amp;P)'!K1125, TODAY(), "M")&lt;18),
    1.10,
    1.00)</f>
        <v/>
      </c>
      <c r="O1125">
        <f>IF('Loan Tape (S&amp;P)'!T1125="Yes",
    1.35,
    1.00)</f>
        <v/>
      </c>
      <c r="P1125">
        <f>IF('Loan Tape (S&amp;P)'!S1125="Yes",
    1.15,
    1.00)</f>
        <v/>
      </c>
      <c r="Q1125">
        <f>IF('Loan Tape (S&amp;P)'!V1125="Yes",
    1.20,
    1.00)</f>
        <v/>
      </c>
      <c r="T1125">
        <f>LET(
    payment_method,'Loan Tape (S&amp;P)'!P1125,
    occupancy,'Loan Tape (S&amp;P)'!N1125,
    maturity_date,'Loan Tape (S&amp;P)'!L1125,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26">
      <c r="J1126">
        <f>LET(
    lien,'Loan Tape (S&amp;P)'!Q1126,
    IF(lien="First",1.00,
        IF(lien="Second",1.50,
            1.70)))</f>
        <v/>
      </c>
      <c r="K1126">
        <f>LET(
    purpose,'Loan Tape (S&amp;P)'!R1126,
    IF(purpose="Purchase",1.00,
        IF(purpose="Remortgage",1.00,
            1.20)))</f>
        <v/>
      </c>
      <c r="L1126">
        <f>LET(
    arrears_months,'Loan Tape (S&amp;P)'!AN1126,
    IF(arrears_months=0,1.00,
    IF(arrears_months=1,3.00,
    IF(arrears_months=2,5.00,
    IF(arrears_months=3,8.00,
    IF(arrears_months=4,10.00,
    IF(arrears_months=5,12.00,15.00)))))))</f>
        <v/>
      </c>
      <c r="M1126">
        <f>LET(
    seasoning_years,DATEDIF('Loan Tape (S&amp;P)'!K1126,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26">
        <f>IF(AND('Loan Tape (S&amp;P)'!U1126="Yes",
        'Loan Tape (S&amp;P)'!T1126&lt;&gt;"Yes",
        DATEDIF('Loan Tape (S&amp;P)'!K1126, TODAY(), "M")&lt;18),
    1.10,
    1.00)</f>
        <v/>
      </c>
      <c r="O1126">
        <f>IF('Loan Tape (S&amp;P)'!T1126="Yes",
    1.35,
    1.00)</f>
        <v/>
      </c>
      <c r="P1126">
        <f>IF('Loan Tape (S&amp;P)'!S1126="Yes",
    1.15,
    1.00)</f>
        <v/>
      </c>
      <c r="Q1126">
        <f>IF('Loan Tape (S&amp;P)'!V1126="Yes",
    1.20,
    1.00)</f>
        <v/>
      </c>
      <c r="T1126">
        <f>LET(
    payment_method,'Loan Tape (S&amp;P)'!P1126,
    occupancy,'Loan Tape (S&amp;P)'!N1126,
    maturity_date,'Loan Tape (S&amp;P)'!L1126,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27">
      <c r="J1127">
        <f>LET(
    lien,'Loan Tape (S&amp;P)'!Q1127,
    IF(lien="First",1.00,
        IF(lien="Second",1.50,
            1.70)))</f>
        <v/>
      </c>
      <c r="K1127">
        <f>LET(
    purpose,'Loan Tape (S&amp;P)'!R1127,
    IF(purpose="Purchase",1.00,
        IF(purpose="Remortgage",1.00,
            1.20)))</f>
        <v/>
      </c>
      <c r="L1127">
        <f>LET(
    arrears_months,'Loan Tape (S&amp;P)'!AN1127,
    IF(arrears_months=0,1.00,
    IF(arrears_months=1,3.00,
    IF(arrears_months=2,5.00,
    IF(arrears_months=3,8.00,
    IF(arrears_months=4,10.00,
    IF(arrears_months=5,12.00,15.00)))))))</f>
        <v/>
      </c>
      <c r="M1127">
        <f>LET(
    seasoning_years,DATEDIF('Loan Tape (S&amp;P)'!K1127,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27">
        <f>IF(AND('Loan Tape (S&amp;P)'!U1127="Yes",
        'Loan Tape (S&amp;P)'!T1127&lt;&gt;"Yes",
        DATEDIF('Loan Tape (S&amp;P)'!K1127, TODAY(), "M")&lt;18),
    1.10,
    1.00)</f>
        <v/>
      </c>
      <c r="O1127">
        <f>IF('Loan Tape (S&amp;P)'!T1127="Yes",
    1.35,
    1.00)</f>
        <v/>
      </c>
      <c r="P1127">
        <f>IF('Loan Tape (S&amp;P)'!S1127="Yes",
    1.15,
    1.00)</f>
        <v/>
      </c>
      <c r="Q1127">
        <f>IF('Loan Tape (S&amp;P)'!V1127="Yes",
    1.20,
    1.00)</f>
        <v/>
      </c>
      <c r="T1127">
        <f>LET(
    payment_method,'Loan Tape (S&amp;P)'!P1127,
    occupancy,'Loan Tape (S&amp;P)'!N1127,
    maturity_date,'Loan Tape (S&amp;P)'!L1127,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28">
      <c r="J1128">
        <f>LET(
    lien,'Loan Tape (S&amp;P)'!Q1128,
    IF(lien="First",1.00,
        IF(lien="Second",1.50,
            1.70)))</f>
        <v/>
      </c>
      <c r="K1128">
        <f>LET(
    purpose,'Loan Tape (S&amp;P)'!R1128,
    IF(purpose="Purchase",1.00,
        IF(purpose="Remortgage",1.00,
            1.20)))</f>
        <v/>
      </c>
      <c r="L1128">
        <f>LET(
    arrears_months,'Loan Tape (S&amp;P)'!AN1128,
    IF(arrears_months=0,1.00,
    IF(arrears_months=1,3.00,
    IF(arrears_months=2,5.00,
    IF(arrears_months=3,8.00,
    IF(arrears_months=4,10.00,
    IF(arrears_months=5,12.00,15.00)))))))</f>
        <v/>
      </c>
      <c r="M1128">
        <f>LET(
    seasoning_years,DATEDIF('Loan Tape (S&amp;P)'!K1128,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28">
        <f>IF(AND('Loan Tape (S&amp;P)'!U1128="Yes",
        'Loan Tape (S&amp;P)'!T1128&lt;&gt;"Yes",
        DATEDIF('Loan Tape (S&amp;P)'!K1128, TODAY(), "M")&lt;18),
    1.10,
    1.00)</f>
        <v/>
      </c>
      <c r="O1128">
        <f>IF('Loan Tape (S&amp;P)'!T1128="Yes",
    1.35,
    1.00)</f>
        <v/>
      </c>
      <c r="P1128">
        <f>IF('Loan Tape (S&amp;P)'!S1128="Yes",
    1.15,
    1.00)</f>
        <v/>
      </c>
      <c r="Q1128">
        <f>IF('Loan Tape (S&amp;P)'!V1128="Yes",
    1.20,
    1.00)</f>
        <v/>
      </c>
      <c r="T1128">
        <f>LET(
    payment_method,'Loan Tape (S&amp;P)'!P1128,
    occupancy,'Loan Tape (S&amp;P)'!N1128,
    maturity_date,'Loan Tape (S&amp;P)'!L1128,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29">
      <c r="J1129">
        <f>LET(
    lien,'Loan Tape (S&amp;P)'!Q1129,
    IF(lien="First",1.00,
        IF(lien="Second",1.50,
            1.70)))</f>
        <v/>
      </c>
      <c r="K1129">
        <f>LET(
    purpose,'Loan Tape (S&amp;P)'!R1129,
    IF(purpose="Purchase",1.00,
        IF(purpose="Remortgage",1.00,
            1.20)))</f>
        <v/>
      </c>
      <c r="L1129">
        <f>LET(
    arrears_months,'Loan Tape (S&amp;P)'!AN1129,
    IF(arrears_months=0,1.00,
    IF(arrears_months=1,3.00,
    IF(arrears_months=2,5.00,
    IF(arrears_months=3,8.00,
    IF(arrears_months=4,10.00,
    IF(arrears_months=5,12.00,15.00)))))))</f>
        <v/>
      </c>
      <c r="M1129">
        <f>LET(
    seasoning_years,DATEDIF('Loan Tape (S&amp;P)'!K1129,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29">
        <f>IF(AND('Loan Tape (S&amp;P)'!U1129="Yes",
        'Loan Tape (S&amp;P)'!T1129&lt;&gt;"Yes",
        DATEDIF('Loan Tape (S&amp;P)'!K1129, TODAY(), "M")&lt;18),
    1.10,
    1.00)</f>
        <v/>
      </c>
      <c r="O1129">
        <f>IF('Loan Tape (S&amp;P)'!T1129="Yes",
    1.35,
    1.00)</f>
        <v/>
      </c>
      <c r="P1129">
        <f>IF('Loan Tape (S&amp;P)'!S1129="Yes",
    1.15,
    1.00)</f>
        <v/>
      </c>
      <c r="Q1129">
        <f>IF('Loan Tape (S&amp;P)'!V1129="Yes",
    1.20,
    1.00)</f>
        <v/>
      </c>
      <c r="T1129">
        <f>LET(
    payment_method,'Loan Tape (S&amp;P)'!P1129,
    occupancy,'Loan Tape (S&amp;P)'!N1129,
    maturity_date,'Loan Tape (S&amp;P)'!L1129,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30">
      <c r="J1130">
        <f>LET(
    lien,'Loan Tape (S&amp;P)'!Q1130,
    IF(lien="First",1.00,
        IF(lien="Second",1.50,
            1.70)))</f>
        <v/>
      </c>
      <c r="K1130">
        <f>LET(
    purpose,'Loan Tape (S&amp;P)'!R1130,
    IF(purpose="Purchase",1.00,
        IF(purpose="Remortgage",1.00,
            1.20)))</f>
        <v/>
      </c>
      <c r="L1130">
        <f>LET(
    arrears_months,'Loan Tape (S&amp;P)'!AN1130,
    IF(arrears_months=0,1.00,
    IF(arrears_months=1,3.00,
    IF(arrears_months=2,5.00,
    IF(arrears_months=3,8.00,
    IF(arrears_months=4,10.00,
    IF(arrears_months=5,12.00,15.00)))))))</f>
        <v/>
      </c>
      <c r="M1130">
        <f>LET(
    seasoning_years,DATEDIF('Loan Tape (S&amp;P)'!K1130,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30">
        <f>IF(AND('Loan Tape (S&amp;P)'!U1130="Yes",
        'Loan Tape (S&amp;P)'!T1130&lt;&gt;"Yes",
        DATEDIF('Loan Tape (S&amp;P)'!K1130, TODAY(), "M")&lt;18),
    1.10,
    1.00)</f>
        <v/>
      </c>
      <c r="O1130">
        <f>IF('Loan Tape (S&amp;P)'!T1130="Yes",
    1.35,
    1.00)</f>
        <v/>
      </c>
      <c r="P1130">
        <f>IF('Loan Tape (S&amp;P)'!S1130="Yes",
    1.15,
    1.00)</f>
        <v/>
      </c>
      <c r="Q1130">
        <f>IF('Loan Tape (S&amp;P)'!V1130="Yes",
    1.20,
    1.00)</f>
        <v/>
      </c>
      <c r="T1130">
        <f>LET(
    payment_method,'Loan Tape (S&amp;P)'!P1130,
    occupancy,'Loan Tape (S&amp;P)'!N1130,
    maturity_date,'Loan Tape (S&amp;P)'!L1130,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31">
      <c r="J1131">
        <f>LET(
    lien,'Loan Tape (S&amp;P)'!Q1131,
    IF(lien="First",1.00,
        IF(lien="Second",1.50,
            1.70)))</f>
        <v/>
      </c>
      <c r="K1131">
        <f>LET(
    purpose,'Loan Tape (S&amp;P)'!R1131,
    IF(purpose="Purchase",1.00,
        IF(purpose="Remortgage",1.00,
            1.20)))</f>
        <v/>
      </c>
      <c r="L1131">
        <f>LET(
    arrears_months,'Loan Tape (S&amp;P)'!AN1131,
    IF(arrears_months=0,1.00,
    IF(arrears_months=1,3.00,
    IF(arrears_months=2,5.00,
    IF(arrears_months=3,8.00,
    IF(arrears_months=4,10.00,
    IF(arrears_months=5,12.00,15.00)))))))</f>
        <v/>
      </c>
      <c r="M1131">
        <f>LET(
    seasoning_years,DATEDIF('Loan Tape (S&amp;P)'!K1131,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31">
        <f>IF(AND('Loan Tape (S&amp;P)'!U1131="Yes",
        'Loan Tape (S&amp;P)'!T1131&lt;&gt;"Yes",
        DATEDIF('Loan Tape (S&amp;P)'!K1131, TODAY(), "M")&lt;18),
    1.10,
    1.00)</f>
        <v/>
      </c>
      <c r="O1131">
        <f>IF('Loan Tape (S&amp;P)'!T1131="Yes",
    1.35,
    1.00)</f>
        <v/>
      </c>
      <c r="P1131">
        <f>IF('Loan Tape (S&amp;P)'!S1131="Yes",
    1.15,
    1.00)</f>
        <v/>
      </c>
      <c r="Q1131">
        <f>IF('Loan Tape (S&amp;P)'!V1131="Yes",
    1.20,
    1.00)</f>
        <v/>
      </c>
      <c r="T1131">
        <f>LET(
    payment_method,'Loan Tape (S&amp;P)'!P1131,
    occupancy,'Loan Tape (S&amp;P)'!N1131,
    maturity_date,'Loan Tape (S&amp;P)'!L1131,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32">
      <c r="J1132">
        <f>LET(
    lien,'Loan Tape (S&amp;P)'!Q1132,
    IF(lien="First",1.00,
        IF(lien="Second",1.50,
            1.70)))</f>
        <v/>
      </c>
      <c r="K1132">
        <f>LET(
    purpose,'Loan Tape (S&amp;P)'!R1132,
    IF(purpose="Purchase",1.00,
        IF(purpose="Remortgage",1.00,
            1.20)))</f>
        <v/>
      </c>
      <c r="L1132">
        <f>LET(
    arrears_months,'Loan Tape (S&amp;P)'!AN1132,
    IF(arrears_months=0,1.00,
    IF(arrears_months=1,3.00,
    IF(arrears_months=2,5.00,
    IF(arrears_months=3,8.00,
    IF(arrears_months=4,10.00,
    IF(arrears_months=5,12.00,15.00)))))))</f>
        <v/>
      </c>
      <c r="M1132">
        <f>LET(
    seasoning_years,DATEDIF('Loan Tape (S&amp;P)'!K1132,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32">
        <f>IF(AND('Loan Tape (S&amp;P)'!U1132="Yes",
        'Loan Tape (S&amp;P)'!T1132&lt;&gt;"Yes",
        DATEDIF('Loan Tape (S&amp;P)'!K1132, TODAY(), "M")&lt;18),
    1.10,
    1.00)</f>
        <v/>
      </c>
      <c r="O1132">
        <f>IF('Loan Tape (S&amp;P)'!T1132="Yes",
    1.35,
    1.00)</f>
        <v/>
      </c>
      <c r="P1132">
        <f>IF('Loan Tape (S&amp;P)'!S1132="Yes",
    1.15,
    1.00)</f>
        <v/>
      </c>
      <c r="Q1132">
        <f>IF('Loan Tape (S&amp;P)'!V1132="Yes",
    1.20,
    1.00)</f>
        <v/>
      </c>
      <c r="T1132">
        <f>LET(
    payment_method,'Loan Tape (S&amp;P)'!P1132,
    occupancy,'Loan Tape (S&amp;P)'!N1132,
    maturity_date,'Loan Tape (S&amp;P)'!L1132,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33">
      <c r="J1133">
        <f>LET(
    lien,'Loan Tape (S&amp;P)'!Q1133,
    IF(lien="First",1.00,
        IF(lien="Second",1.50,
            1.70)))</f>
        <v/>
      </c>
      <c r="K1133">
        <f>LET(
    purpose,'Loan Tape (S&amp;P)'!R1133,
    IF(purpose="Purchase",1.00,
        IF(purpose="Remortgage",1.00,
            1.20)))</f>
        <v/>
      </c>
      <c r="L1133">
        <f>LET(
    arrears_months,'Loan Tape (S&amp;P)'!AN1133,
    IF(arrears_months=0,1.00,
    IF(arrears_months=1,3.00,
    IF(arrears_months=2,5.00,
    IF(arrears_months=3,8.00,
    IF(arrears_months=4,10.00,
    IF(arrears_months=5,12.00,15.00)))))))</f>
        <v/>
      </c>
      <c r="M1133">
        <f>LET(
    seasoning_years,DATEDIF('Loan Tape (S&amp;P)'!K1133,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33">
        <f>IF(AND('Loan Tape (S&amp;P)'!U1133="Yes",
        'Loan Tape (S&amp;P)'!T1133&lt;&gt;"Yes",
        DATEDIF('Loan Tape (S&amp;P)'!K1133, TODAY(), "M")&lt;18),
    1.10,
    1.00)</f>
        <v/>
      </c>
      <c r="O1133">
        <f>IF('Loan Tape (S&amp;P)'!T1133="Yes",
    1.35,
    1.00)</f>
        <v/>
      </c>
      <c r="P1133">
        <f>IF('Loan Tape (S&amp;P)'!S1133="Yes",
    1.15,
    1.00)</f>
        <v/>
      </c>
      <c r="Q1133">
        <f>IF('Loan Tape (S&amp;P)'!V1133="Yes",
    1.20,
    1.00)</f>
        <v/>
      </c>
      <c r="T1133">
        <f>LET(
    payment_method,'Loan Tape (S&amp;P)'!P1133,
    occupancy,'Loan Tape (S&amp;P)'!N1133,
    maturity_date,'Loan Tape (S&amp;P)'!L1133,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34">
      <c r="J1134">
        <f>LET(
    lien,'Loan Tape (S&amp;P)'!Q1134,
    IF(lien="First",1.00,
        IF(lien="Second",1.50,
            1.70)))</f>
        <v/>
      </c>
      <c r="K1134">
        <f>LET(
    purpose,'Loan Tape (S&amp;P)'!R1134,
    IF(purpose="Purchase",1.00,
        IF(purpose="Remortgage",1.00,
            1.20)))</f>
        <v/>
      </c>
      <c r="L1134">
        <f>LET(
    arrears_months,'Loan Tape (S&amp;P)'!AN1134,
    IF(arrears_months=0,1.00,
    IF(arrears_months=1,3.00,
    IF(arrears_months=2,5.00,
    IF(arrears_months=3,8.00,
    IF(arrears_months=4,10.00,
    IF(arrears_months=5,12.00,15.00)))))))</f>
        <v/>
      </c>
      <c r="M1134">
        <f>LET(
    seasoning_years,DATEDIF('Loan Tape (S&amp;P)'!K1134,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34">
        <f>IF(AND('Loan Tape (S&amp;P)'!U1134="Yes",
        'Loan Tape (S&amp;P)'!T1134&lt;&gt;"Yes",
        DATEDIF('Loan Tape (S&amp;P)'!K1134, TODAY(), "M")&lt;18),
    1.10,
    1.00)</f>
        <v/>
      </c>
      <c r="O1134">
        <f>IF('Loan Tape (S&amp;P)'!T1134="Yes",
    1.35,
    1.00)</f>
        <v/>
      </c>
      <c r="P1134">
        <f>IF('Loan Tape (S&amp;P)'!S1134="Yes",
    1.15,
    1.00)</f>
        <v/>
      </c>
      <c r="Q1134">
        <f>IF('Loan Tape (S&amp;P)'!V1134="Yes",
    1.20,
    1.00)</f>
        <v/>
      </c>
      <c r="T1134">
        <f>LET(
    payment_method,'Loan Tape (S&amp;P)'!P1134,
    occupancy,'Loan Tape (S&amp;P)'!N1134,
    maturity_date,'Loan Tape (S&amp;P)'!L1134,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35">
      <c r="J1135">
        <f>LET(
    lien,'Loan Tape (S&amp;P)'!Q1135,
    IF(lien="First",1.00,
        IF(lien="Second",1.50,
            1.70)))</f>
        <v/>
      </c>
      <c r="K1135">
        <f>LET(
    purpose,'Loan Tape (S&amp;P)'!R1135,
    IF(purpose="Purchase",1.00,
        IF(purpose="Remortgage",1.00,
            1.20)))</f>
        <v/>
      </c>
      <c r="L1135">
        <f>LET(
    arrears_months,'Loan Tape (S&amp;P)'!AN1135,
    IF(arrears_months=0,1.00,
    IF(arrears_months=1,3.00,
    IF(arrears_months=2,5.00,
    IF(arrears_months=3,8.00,
    IF(arrears_months=4,10.00,
    IF(arrears_months=5,12.00,15.00)))))))</f>
        <v/>
      </c>
      <c r="M1135">
        <f>LET(
    seasoning_years,DATEDIF('Loan Tape (S&amp;P)'!K1135,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35">
        <f>IF(AND('Loan Tape (S&amp;P)'!U1135="Yes",
        'Loan Tape (S&amp;P)'!T1135&lt;&gt;"Yes",
        DATEDIF('Loan Tape (S&amp;P)'!K1135, TODAY(), "M")&lt;18),
    1.10,
    1.00)</f>
        <v/>
      </c>
      <c r="O1135">
        <f>IF('Loan Tape (S&amp;P)'!T1135="Yes",
    1.35,
    1.00)</f>
        <v/>
      </c>
      <c r="P1135">
        <f>IF('Loan Tape (S&amp;P)'!S1135="Yes",
    1.15,
    1.00)</f>
        <v/>
      </c>
      <c r="Q1135">
        <f>IF('Loan Tape (S&amp;P)'!V1135="Yes",
    1.20,
    1.00)</f>
        <v/>
      </c>
      <c r="T1135">
        <f>LET(
    payment_method,'Loan Tape (S&amp;P)'!P1135,
    occupancy,'Loan Tape (S&amp;P)'!N1135,
    maturity_date,'Loan Tape (S&amp;P)'!L1135,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36">
      <c r="J1136">
        <f>LET(
    lien,'Loan Tape (S&amp;P)'!Q1136,
    IF(lien="First",1.00,
        IF(lien="Second",1.50,
            1.70)))</f>
        <v/>
      </c>
      <c r="K1136">
        <f>LET(
    purpose,'Loan Tape (S&amp;P)'!R1136,
    IF(purpose="Purchase",1.00,
        IF(purpose="Remortgage",1.00,
            1.20)))</f>
        <v/>
      </c>
      <c r="L1136">
        <f>LET(
    arrears_months,'Loan Tape (S&amp;P)'!AN1136,
    IF(arrears_months=0,1.00,
    IF(arrears_months=1,3.00,
    IF(arrears_months=2,5.00,
    IF(arrears_months=3,8.00,
    IF(arrears_months=4,10.00,
    IF(arrears_months=5,12.00,15.00)))))))</f>
        <v/>
      </c>
      <c r="M1136">
        <f>LET(
    seasoning_years,DATEDIF('Loan Tape (S&amp;P)'!K1136,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36">
        <f>IF(AND('Loan Tape (S&amp;P)'!U1136="Yes",
        'Loan Tape (S&amp;P)'!T1136&lt;&gt;"Yes",
        DATEDIF('Loan Tape (S&amp;P)'!K1136, TODAY(), "M")&lt;18),
    1.10,
    1.00)</f>
        <v/>
      </c>
      <c r="O1136">
        <f>IF('Loan Tape (S&amp;P)'!T1136="Yes",
    1.35,
    1.00)</f>
        <v/>
      </c>
      <c r="P1136">
        <f>IF('Loan Tape (S&amp;P)'!S1136="Yes",
    1.15,
    1.00)</f>
        <v/>
      </c>
      <c r="Q1136">
        <f>IF('Loan Tape (S&amp;P)'!V1136="Yes",
    1.20,
    1.00)</f>
        <v/>
      </c>
      <c r="T1136">
        <f>LET(
    payment_method,'Loan Tape (S&amp;P)'!P1136,
    occupancy,'Loan Tape (S&amp;P)'!N1136,
    maturity_date,'Loan Tape (S&amp;P)'!L1136,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37">
      <c r="J1137">
        <f>LET(
    lien,'Loan Tape (S&amp;P)'!Q1137,
    IF(lien="First",1.00,
        IF(lien="Second",1.50,
            1.70)))</f>
        <v/>
      </c>
      <c r="K1137">
        <f>LET(
    purpose,'Loan Tape (S&amp;P)'!R1137,
    IF(purpose="Purchase",1.00,
        IF(purpose="Remortgage",1.00,
            1.20)))</f>
        <v/>
      </c>
      <c r="L1137">
        <f>LET(
    arrears_months,'Loan Tape (S&amp;P)'!AN1137,
    IF(arrears_months=0,1.00,
    IF(arrears_months=1,3.00,
    IF(arrears_months=2,5.00,
    IF(arrears_months=3,8.00,
    IF(arrears_months=4,10.00,
    IF(arrears_months=5,12.00,15.00)))))))</f>
        <v/>
      </c>
      <c r="M1137">
        <f>LET(
    seasoning_years,DATEDIF('Loan Tape (S&amp;P)'!K1137,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37">
        <f>IF(AND('Loan Tape (S&amp;P)'!U1137="Yes",
        'Loan Tape (S&amp;P)'!T1137&lt;&gt;"Yes",
        DATEDIF('Loan Tape (S&amp;P)'!K1137, TODAY(), "M")&lt;18),
    1.10,
    1.00)</f>
        <v/>
      </c>
      <c r="O1137">
        <f>IF('Loan Tape (S&amp;P)'!T1137="Yes",
    1.35,
    1.00)</f>
        <v/>
      </c>
      <c r="P1137">
        <f>IF('Loan Tape (S&amp;P)'!S1137="Yes",
    1.15,
    1.00)</f>
        <v/>
      </c>
      <c r="Q1137">
        <f>IF('Loan Tape (S&amp;P)'!V1137="Yes",
    1.20,
    1.00)</f>
        <v/>
      </c>
      <c r="T1137">
        <f>LET(
    payment_method,'Loan Tape (S&amp;P)'!P1137,
    occupancy,'Loan Tape (S&amp;P)'!N1137,
    maturity_date,'Loan Tape (S&amp;P)'!L1137,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38">
      <c r="J1138">
        <f>LET(
    lien,'Loan Tape (S&amp;P)'!Q1138,
    IF(lien="First",1.00,
        IF(lien="Second",1.50,
            1.70)))</f>
        <v/>
      </c>
      <c r="K1138">
        <f>LET(
    purpose,'Loan Tape (S&amp;P)'!R1138,
    IF(purpose="Purchase",1.00,
        IF(purpose="Remortgage",1.00,
            1.20)))</f>
        <v/>
      </c>
      <c r="L1138">
        <f>LET(
    arrears_months,'Loan Tape (S&amp;P)'!AN1138,
    IF(arrears_months=0,1.00,
    IF(arrears_months=1,3.00,
    IF(arrears_months=2,5.00,
    IF(arrears_months=3,8.00,
    IF(arrears_months=4,10.00,
    IF(arrears_months=5,12.00,15.00)))))))</f>
        <v/>
      </c>
      <c r="M1138">
        <f>LET(
    seasoning_years,DATEDIF('Loan Tape (S&amp;P)'!K1138,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38">
        <f>IF(AND('Loan Tape (S&amp;P)'!U1138="Yes",
        'Loan Tape (S&amp;P)'!T1138&lt;&gt;"Yes",
        DATEDIF('Loan Tape (S&amp;P)'!K1138, TODAY(), "M")&lt;18),
    1.10,
    1.00)</f>
        <v/>
      </c>
      <c r="O1138">
        <f>IF('Loan Tape (S&amp;P)'!T1138="Yes",
    1.35,
    1.00)</f>
        <v/>
      </c>
      <c r="P1138">
        <f>IF('Loan Tape (S&amp;P)'!S1138="Yes",
    1.15,
    1.00)</f>
        <v/>
      </c>
      <c r="Q1138">
        <f>IF('Loan Tape (S&amp;P)'!V1138="Yes",
    1.20,
    1.00)</f>
        <v/>
      </c>
      <c r="T1138">
        <f>LET(
    payment_method,'Loan Tape (S&amp;P)'!P1138,
    occupancy,'Loan Tape (S&amp;P)'!N1138,
    maturity_date,'Loan Tape (S&amp;P)'!L1138,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39">
      <c r="J1139">
        <f>LET(
    lien,'Loan Tape (S&amp;P)'!Q1139,
    IF(lien="First",1.00,
        IF(lien="Second",1.50,
            1.70)))</f>
        <v/>
      </c>
      <c r="K1139">
        <f>LET(
    purpose,'Loan Tape (S&amp;P)'!R1139,
    IF(purpose="Purchase",1.00,
        IF(purpose="Remortgage",1.00,
            1.20)))</f>
        <v/>
      </c>
      <c r="L1139">
        <f>LET(
    arrears_months,'Loan Tape (S&amp;P)'!AN1139,
    IF(arrears_months=0,1.00,
    IF(arrears_months=1,3.00,
    IF(arrears_months=2,5.00,
    IF(arrears_months=3,8.00,
    IF(arrears_months=4,10.00,
    IF(arrears_months=5,12.00,15.00)))))))</f>
        <v/>
      </c>
      <c r="M1139">
        <f>LET(
    seasoning_years,DATEDIF('Loan Tape (S&amp;P)'!K1139,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39">
        <f>IF(AND('Loan Tape (S&amp;P)'!U1139="Yes",
        'Loan Tape (S&amp;P)'!T1139&lt;&gt;"Yes",
        DATEDIF('Loan Tape (S&amp;P)'!K1139, TODAY(), "M")&lt;18),
    1.10,
    1.00)</f>
        <v/>
      </c>
      <c r="O1139">
        <f>IF('Loan Tape (S&amp;P)'!T1139="Yes",
    1.35,
    1.00)</f>
        <v/>
      </c>
      <c r="P1139">
        <f>IF('Loan Tape (S&amp;P)'!S1139="Yes",
    1.15,
    1.00)</f>
        <v/>
      </c>
      <c r="Q1139">
        <f>IF('Loan Tape (S&amp;P)'!V1139="Yes",
    1.20,
    1.00)</f>
        <v/>
      </c>
      <c r="T1139">
        <f>LET(
    payment_method,'Loan Tape (S&amp;P)'!P1139,
    occupancy,'Loan Tape (S&amp;P)'!N1139,
    maturity_date,'Loan Tape (S&amp;P)'!L1139,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40">
      <c r="J1140">
        <f>LET(
    lien,'Loan Tape (S&amp;P)'!Q1140,
    IF(lien="First",1.00,
        IF(lien="Second",1.50,
            1.70)))</f>
        <v/>
      </c>
      <c r="K1140">
        <f>LET(
    purpose,'Loan Tape (S&amp;P)'!R1140,
    IF(purpose="Purchase",1.00,
        IF(purpose="Remortgage",1.00,
            1.20)))</f>
        <v/>
      </c>
      <c r="L1140">
        <f>LET(
    arrears_months,'Loan Tape (S&amp;P)'!AN1140,
    IF(arrears_months=0,1.00,
    IF(arrears_months=1,3.00,
    IF(arrears_months=2,5.00,
    IF(arrears_months=3,8.00,
    IF(arrears_months=4,10.00,
    IF(arrears_months=5,12.00,15.00)))))))</f>
        <v/>
      </c>
      <c r="M1140">
        <f>LET(
    seasoning_years,DATEDIF('Loan Tape (S&amp;P)'!K1140,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40">
        <f>IF(AND('Loan Tape (S&amp;P)'!U1140="Yes",
        'Loan Tape (S&amp;P)'!T1140&lt;&gt;"Yes",
        DATEDIF('Loan Tape (S&amp;P)'!K1140, TODAY(), "M")&lt;18),
    1.10,
    1.00)</f>
        <v/>
      </c>
      <c r="O1140">
        <f>IF('Loan Tape (S&amp;P)'!T1140="Yes",
    1.35,
    1.00)</f>
        <v/>
      </c>
      <c r="P1140">
        <f>IF('Loan Tape (S&amp;P)'!S1140="Yes",
    1.15,
    1.00)</f>
        <v/>
      </c>
      <c r="Q1140">
        <f>IF('Loan Tape (S&amp;P)'!V1140="Yes",
    1.20,
    1.00)</f>
        <v/>
      </c>
      <c r="T1140">
        <f>LET(
    payment_method,'Loan Tape (S&amp;P)'!P1140,
    occupancy,'Loan Tape (S&amp;P)'!N1140,
    maturity_date,'Loan Tape (S&amp;P)'!L1140,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41">
      <c r="J1141">
        <f>LET(
    lien,'Loan Tape (S&amp;P)'!Q1141,
    IF(lien="First",1.00,
        IF(lien="Second",1.50,
            1.70)))</f>
        <v/>
      </c>
      <c r="K1141">
        <f>LET(
    purpose,'Loan Tape (S&amp;P)'!R1141,
    IF(purpose="Purchase",1.00,
        IF(purpose="Remortgage",1.00,
            1.20)))</f>
        <v/>
      </c>
      <c r="L1141">
        <f>LET(
    arrears_months,'Loan Tape (S&amp;P)'!AN1141,
    IF(arrears_months=0,1.00,
    IF(arrears_months=1,3.00,
    IF(arrears_months=2,5.00,
    IF(arrears_months=3,8.00,
    IF(arrears_months=4,10.00,
    IF(arrears_months=5,12.00,15.00)))))))</f>
        <v/>
      </c>
      <c r="M1141">
        <f>LET(
    seasoning_years,DATEDIF('Loan Tape (S&amp;P)'!K1141,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41">
        <f>IF(AND('Loan Tape (S&amp;P)'!U1141="Yes",
        'Loan Tape (S&amp;P)'!T1141&lt;&gt;"Yes",
        DATEDIF('Loan Tape (S&amp;P)'!K1141, TODAY(), "M")&lt;18),
    1.10,
    1.00)</f>
        <v/>
      </c>
      <c r="O1141">
        <f>IF('Loan Tape (S&amp;P)'!T1141="Yes",
    1.35,
    1.00)</f>
        <v/>
      </c>
      <c r="P1141">
        <f>IF('Loan Tape (S&amp;P)'!S1141="Yes",
    1.15,
    1.00)</f>
        <v/>
      </c>
      <c r="Q1141">
        <f>IF('Loan Tape (S&amp;P)'!V1141="Yes",
    1.20,
    1.00)</f>
        <v/>
      </c>
      <c r="T1141">
        <f>LET(
    payment_method,'Loan Tape (S&amp;P)'!P1141,
    occupancy,'Loan Tape (S&amp;P)'!N1141,
    maturity_date,'Loan Tape (S&amp;P)'!L1141,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42">
      <c r="J1142">
        <f>LET(
    lien,'Loan Tape (S&amp;P)'!Q1142,
    IF(lien="First",1.00,
        IF(lien="Second",1.50,
            1.70)))</f>
        <v/>
      </c>
      <c r="K1142">
        <f>LET(
    purpose,'Loan Tape (S&amp;P)'!R1142,
    IF(purpose="Purchase",1.00,
        IF(purpose="Remortgage",1.00,
            1.20)))</f>
        <v/>
      </c>
      <c r="L1142">
        <f>LET(
    arrears_months,'Loan Tape (S&amp;P)'!AN1142,
    IF(arrears_months=0,1.00,
    IF(arrears_months=1,3.00,
    IF(arrears_months=2,5.00,
    IF(arrears_months=3,8.00,
    IF(arrears_months=4,10.00,
    IF(arrears_months=5,12.00,15.00)))))))</f>
        <v/>
      </c>
      <c r="M1142">
        <f>LET(
    seasoning_years,DATEDIF('Loan Tape (S&amp;P)'!K1142,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42">
        <f>IF(AND('Loan Tape (S&amp;P)'!U1142="Yes",
        'Loan Tape (S&amp;P)'!T1142&lt;&gt;"Yes",
        DATEDIF('Loan Tape (S&amp;P)'!K1142, TODAY(), "M")&lt;18),
    1.10,
    1.00)</f>
        <v/>
      </c>
      <c r="O1142">
        <f>IF('Loan Tape (S&amp;P)'!T1142="Yes",
    1.35,
    1.00)</f>
        <v/>
      </c>
      <c r="P1142">
        <f>IF('Loan Tape (S&amp;P)'!S1142="Yes",
    1.15,
    1.00)</f>
        <v/>
      </c>
      <c r="Q1142">
        <f>IF('Loan Tape (S&amp;P)'!V1142="Yes",
    1.20,
    1.00)</f>
        <v/>
      </c>
      <c r="T1142">
        <f>LET(
    payment_method,'Loan Tape (S&amp;P)'!P1142,
    occupancy,'Loan Tape (S&amp;P)'!N1142,
    maturity_date,'Loan Tape (S&amp;P)'!L1142,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43">
      <c r="J1143">
        <f>LET(
    lien,'Loan Tape (S&amp;P)'!Q1143,
    IF(lien="First",1.00,
        IF(lien="Second",1.50,
            1.70)))</f>
        <v/>
      </c>
      <c r="K1143">
        <f>LET(
    purpose,'Loan Tape (S&amp;P)'!R1143,
    IF(purpose="Purchase",1.00,
        IF(purpose="Remortgage",1.00,
            1.20)))</f>
        <v/>
      </c>
      <c r="L1143">
        <f>LET(
    arrears_months,'Loan Tape (S&amp;P)'!AN1143,
    IF(arrears_months=0,1.00,
    IF(arrears_months=1,3.00,
    IF(arrears_months=2,5.00,
    IF(arrears_months=3,8.00,
    IF(arrears_months=4,10.00,
    IF(arrears_months=5,12.00,15.00)))))))</f>
        <v/>
      </c>
      <c r="M1143">
        <f>LET(
    seasoning_years,DATEDIF('Loan Tape (S&amp;P)'!K1143,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43">
        <f>IF(AND('Loan Tape (S&amp;P)'!U1143="Yes",
        'Loan Tape (S&amp;P)'!T1143&lt;&gt;"Yes",
        DATEDIF('Loan Tape (S&amp;P)'!K1143, TODAY(), "M")&lt;18),
    1.10,
    1.00)</f>
        <v/>
      </c>
      <c r="O1143">
        <f>IF('Loan Tape (S&amp;P)'!T1143="Yes",
    1.35,
    1.00)</f>
        <v/>
      </c>
      <c r="P1143">
        <f>IF('Loan Tape (S&amp;P)'!S1143="Yes",
    1.15,
    1.00)</f>
        <v/>
      </c>
      <c r="Q1143">
        <f>IF('Loan Tape (S&amp;P)'!V1143="Yes",
    1.20,
    1.00)</f>
        <v/>
      </c>
      <c r="T1143">
        <f>LET(
    payment_method,'Loan Tape (S&amp;P)'!P1143,
    occupancy,'Loan Tape (S&amp;P)'!N1143,
    maturity_date,'Loan Tape (S&amp;P)'!L1143,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44">
      <c r="J1144">
        <f>LET(
    lien,'Loan Tape (S&amp;P)'!Q1144,
    IF(lien="First",1.00,
        IF(lien="Second",1.50,
            1.70)))</f>
        <v/>
      </c>
      <c r="K1144">
        <f>LET(
    purpose,'Loan Tape (S&amp;P)'!R1144,
    IF(purpose="Purchase",1.00,
        IF(purpose="Remortgage",1.00,
            1.20)))</f>
        <v/>
      </c>
      <c r="L1144">
        <f>LET(
    arrears_months,'Loan Tape (S&amp;P)'!AN1144,
    IF(arrears_months=0,1.00,
    IF(arrears_months=1,3.00,
    IF(arrears_months=2,5.00,
    IF(arrears_months=3,8.00,
    IF(arrears_months=4,10.00,
    IF(arrears_months=5,12.00,15.00)))))))</f>
        <v/>
      </c>
      <c r="M1144">
        <f>LET(
    seasoning_years,DATEDIF('Loan Tape (S&amp;P)'!K1144,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44">
        <f>IF(AND('Loan Tape (S&amp;P)'!U1144="Yes",
        'Loan Tape (S&amp;P)'!T1144&lt;&gt;"Yes",
        DATEDIF('Loan Tape (S&amp;P)'!K1144, TODAY(), "M")&lt;18),
    1.10,
    1.00)</f>
        <v/>
      </c>
      <c r="O1144">
        <f>IF('Loan Tape (S&amp;P)'!T1144="Yes",
    1.35,
    1.00)</f>
        <v/>
      </c>
      <c r="P1144">
        <f>IF('Loan Tape (S&amp;P)'!S1144="Yes",
    1.15,
    1.00)</f>
        <v/>
      </c>
      <c r="Q1144">
        <f>IF('Loan Tape (S&amp;P)'!V1144="Yes",
    1.20,
    1.00)</f>
        <v/>
      </c>
      <c r="T1144">
        <f>LET(
    payment_method,'Loan Tape (S&amp;P)'!P1144,
    occupancy,'Loan Tape (S&amp;P)'!N1144,
    maturity_date,'Loan Tape (S&amp;P)'!L1144,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45">
      <c r="J1145">
        <f>LET(
    lien,'Loan Tape (S&amp;P)'!Q1145,
    IF(lien="First",1.00,
        IF(lien="Second",1.50,
            1.70)))</f>
        <v/>
      </c>
      <c r="K1145">
        <f>LET(
    purpose,'Loan Tape (S&amp;P)'!R1145,
    IF(purpose="Purchase",1.00,
        IF(purpose="Remortgage",1.00,
            1.20)))</f>
        <v/>
      </c>
      <c r="L1145">
        <f>LET(
    arrears_months,'Loan Tape (S&amp;P)'!AN1145,
    IF(arrears_months=0,1.00,
    IF(arrears_months=1,3.00,
    IF(arrears_months=2,5.00,
    IF(arrears_months=3,8.00,
    IF(arrears_months=4,10.00,
    IF(arrears_months=5,12.00,15.00)))))))</f>
        <v/>
      </c>
      <c r="M1145">
        <f>LET(
    seasoning_years,DATEDIF('Loan Tape (S&amp;P)'!K1145,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45">
        <f>IF(AND('Loan Tape (S&amp;P)'!U1145="Yes",
        'Loan Tape (S&amp;P)'!T1145&lt;&gt;"Yes",
        DATEDIF('Loan Tape (S&amp;P)'!K1145, TODAY(), "M")&lt;18),
    1.10,
    1.00)</f>
        <v/>
      </c>
      <c r="O1145">
        <f>IF('Loan Tape (S&amp;P)'!T1145="Yes",
    1.35,
    1.00)</f>
        <v/>
      </c>
      <c r="P1145">
        <f>IF('Loan Tape (S&amp;P)'!S1145="Yes",
    1.15,
    1.00)</f>
        <v/>
      </c>
      <c r="Q1145">
        <f>IF('Loan Tape (S&amp;P)'!V1145="Yes",
    1.20,
    1.00)</f>
        <v/>
      </c>
      <c r="T1145">
        <f>LET(
    payment_method,'Loan Tape (S&amp;P)'!P1145,
    occupancy,'Loan Tape (S&amp;P)'!N1145,
    maturity_date,'Loan Tape (S&amp;P)'!L1145,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46">
      <c r="J1146">
        <f>LET(
    lien,'Loan Tape (S&amp;P)'!Q1146,
    IF(lien="First",1.00,
        IF(lien="Second",1.50,
            1.70)))</f>
        <v/>
      </c>
      <c r="K1146">
        <f>LET(
    purpose,'Loan Tape (S&amp;P)'!R1146,
    IF(purpose="Purchase",1.00,
        IF(purpose="Remortgage",1.00,
            1.20)))</f>
        <v/>
      </c>
      <c r="L1146">
        <f>LET(
    arrears_months,'Loan Tape (S&amp;P)'!AN1146,
    IF(arrears_months=0,1.00,
    IF(arrears_months=1,3.00,
    IF(arrears_months=2,5.00,
    IF(arrears_months=3,8.00,
    IF(arrears_months=4,10.00,
    IF(arrears_months=5,12.00,15.00)))))))</f>
        <v/>
      </c>
      <c r="M1146">
        <f>LET(
    seasoning_years,DATEDIF('Loan Tape (S&amp;P)'!K1146,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46">
        <f>IF(AND('Loan Tape (S&amp;P)'!U1146="Yes",
        'Loan Tape (S&amp;P)'!T1146&lt;&gt;"Yes",
        DATEDIF('Loan Tape (S&amp;P)'!K1146, TODAY(), "M")&lt;18),
    1.10,
    1.00)</f>
        <v/>
      </c>
      <c r="O1146">
        <f>IF('Loan Tape (S&amp;P)'!T1146="Yes",
    1.35,
    1.00)</f>
        <v/>
      </c>
      <c r="P1146">
        <f>IF('Loan Tape (S&amp;P)'!S1146="Yes",
    1.15,
    1.00)</f>
        <v/>
      </c>
      <c r="Q1146">
        <f>IF('Loan Tape (S&amp;P)'!V1146="Yes",
    1.20,
    1.00)</f>
        <v/>
      </c>
      <c r="T1146">
        <f>LET(
    payment_method,'Loan Tape (S&amp;P)'!P1146,
    occupancy,'Loan Tape (S&amp;P)'!N1146,
    maturity_date,'Loan Tape (S&amp;P)'!L1146,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47">
      <c r="J1147">
        <f>LET(
    lien,'Loan Tape (S&amp;P)'!Q1147,
    IF(lien="First",1.00,
        IF(lien="Second",1.50,
            1.70)))</f>
        <v/>
      </c>
      <c r="K1147">
        <f>LET(
    purpose,'Loan Tape (S&amp;P)'!R1147,
    IF(purpose="Purchase",1.00,
        IF(purpose="Remortgage",1.00,
            1.20)))</f>
        <v/>
      </c>
      <c r="L1147">
        <f>LET(
    arrears_months,'Loan Tape (S&amp;P)'!AN1147,
    IF(arrears_months=0,1.00,
    IF(arrears_months=1,3.00,
    IF(arrears_months=2,5.00,
    IF(arrears_months=3,8.00,
    IF(arrears_months=4,10.00,
    IF(arrears_months=5,12.00,15.00)))))))</f>
        <v/>
      </c>
      <c r="M1147">
        <f>LET(
    seasoning_years,DATEDIF('Loan Tape (S&amp;P)'!K1147,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47">
        <f>IF(AND('Loan Tape (S&amp;P)'!U1147="Yes",
        'Loan Tape (S&amp;P)'!T1147&lt;&gt;"Yes",
        DATEDIF('Loan Tape (S&amp;P)'!K1147, TODAY(), "M")&lt;18),
    1.10,
    1.00)</f>
        <v/>
      </c>
      <c r="O1147">
        <f>IF('Loan Tape (S&amp;P)'!T1147="Yes",
    1.35,
    1.00)</f>
        <v/>
      </c>
      <c r="P1147">
        <f>IF('Loan Tape (S&amp;P)'!S1147="Yes",
    1.15,
    1.00)</f>
        <v/>
      </c>
      <c r="Q1147">
        <f>IF('Loan Tape (S&amp;P)'!V1147="Yes",
    1.20,
    1.00)</f>
        <v/>
      </c>
      <c r="T1147">
        <f>LET(
    payment_method,'Loan Tape (S&amp;P)'!P1147,
    occupancy,'Loan Tape (S&amp;P)'!N1147,
    maturity_date,'Loan Tape (S&amp;P)'!L1147,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48">
      <c r="J1148">
        <f>LET(
    lien,'Loan Tape (S&amp;P)'!Q1148,
    IF(lien="First",1.00,
        IF(lien="Second",1.50,
            1.70)))</f>
        <v/>
      </c>
      <c r="K1148">
        <f>LET(
    purpose,'Loan Tape (S&amp;P)'!R1148,
    IF(purpose="Purchase",1.00,
        IF(purpose="Remortgage",1.00,
            1.20)))</f>
        <v/>
      </c>
      <c r="L1148">
        <f>LET(
    arrears_months,'Loan Tape (S&amp;P)'!AN1148,
    IF(arrears_months=0,1.00,
    IF(arrears_months=1,3.00,
    IF(arrears_months=2,5.00,
    IF(arrears_months=3,8.00,
    IF(arrears_months=4,10.00,
    IF(arrears_months=5,12.00,15.00)))))))</f>
        <v/>
      </c>
      <c r="M1148">
        <f>LET(
    seasoning_years,DATEDIF('Loan Tape (S&amp;P)'!K1148,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48">
        <f>IF(AND('Loan Tape (S&amp;P)'!U1148="Yes",
        'Loan Tape (S&amp;P)'!T1148&lt;&gt;"Yes",
        DATEDIF('Loan Tape (S&amp;P)'!K1148, TODAY(), "M")&lt;18),
    1.10,
    1.00)</f>
        <v/>
      </c>
      <c r="O1148">
        <f>IF('Loan Tape (S&amp;P)'!T1148="Yes",
    1.35,
    1.00)</f>
        <v/>
      </c>
      <c r="P1148">
        <f>IF('Loan Tape (S&amp;P)'!S1148="Yes",
    1.15,
    1.00)</f>
        <v/>
      </c>
      <c r="Q1148">
        <f>IF('Loan Tape (S&amp;P)'!V1148="Yes",
    1.20,
    1.00)</f>
        <v/>
      </c>
      <c r="T1148">
        <f>LET(
    payment_method,'Loan Tape (S&amp;P)'!P1148,
    occupancy,'Loan Tape (S&amp;P)'!N1148,
    maturity_date,'Loan Tape (S&amp;P)'!L1148,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49">
      <c r="J1149">
        <f>LET(
    lien,'Loan Tape (S&amp;P)'!Q1149,
    IF(lien="First",1.00,
        IF(lien="Second",1.50,
            1.70)))</f>
        <v/>
      </c>
      <c r="K1149">
        <f>LET(
    purpose,'Loan Tape (S&amp;P)'!R1149,
    IF(purpose="Purchase",1.00,
        IF(purpose="Remortgage",1.00,
            1.20)))</f>
        <v/>
      </c>
      <c r="L1149">
        <f>LET(
    arrears_months,'Loan Tape (S&amp;P)'!AN1149,
    IF(arrears_months=0,1.00,
    IF(arrears_months=1,3.00,
    IF(arrears_months=2,5.00,
    IF(arrears_months=3,8.00,
    IF(arrears_months=4,10.00,
    IF(arrears_months=5,12.00,15.00)))))))</f>
        <v/>
      </c>
      <c r="M1149">
        <f>LET(
    seasoning_years,DATEDIF('Loan Tape (S&amp;P)'!K1149,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49">
        <f>IF(AND('Loan Tape (S&amp;P)'!U1149="Yes",
        'Loan Tape (S&amp;P)'!T1149&lt;&gt;"Yes",
        DATEDIF('Loan Tape (S&amp;P)'!K1149, TODAY(), "M")&lt;18),
    1.10,
    1.00)</f>
        <v/>
      </c>
      <c r="O1149">
        <f>IF('Loan Tape (S&amp;P)'!T1149="Yes",
    1.35,
    1.00)</f>
        <v/>
      </c>
      <c r="P1149">
        <f>IF('Loan Tape (S&amp;P)'!S1149="Yes",
    1.15,
    1.00)</f>
        <v/>
      </c>
      <c r="Q1149">
        <f>IF('Loan Tape (S&amp;P)'!V1149="Yes",
    1.20,
    1.00)</f>
        <v/>
      </c>
      <c r="T1149">
        <f>LET(
    payment_method,'Loan Tape (S&amp;P)'!P1149,
    occupancy,'Loan Tape (S&amp;P)'!N1149,
    maturity_date,'Loan Tape (S&amp;P)'!L1149,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50">
      <c r="J1150">
        <f>LET(
    lien,'Loan Tape (S&amp;P)'!Q1150,
    IF(lien="First",1.00,
        IF(lien="Second",1.50,
            1.70)))</f>
        <v/>
      </c>
      <c r="K1150">
        <f>LET(
    purpose,'Loan Tape (S&amp;P)'!R1150,
    IF(purpose="Purchase",1.00,
        IF(purpose="Remortgage",1.00,
            1.20)))</f>
        <v/>
      </c>
      <c r="L1150">
        <f>LET(
    arrears_months,'Loan Tape (S&amp;P)'!AN1150,
    IF(arrears_months=0,1.00,
    IF(arrears_months=1,3.00,
    IF(arrears_months=2,5.00,
    IF(arrears_months=3,8.00,
    IF(arrears_months=4,10.00,
    IF(arrears_months=5,12.00,15.00)))))))</f>
        <v/>
      </c>
      <c r="M1150">
        <f>LET(
    seasoning_years,DATEDIF('Loan Tape (S&amp;P)'!K1150,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50">
        <f>IF(AND('Loan Tape (S&amp;P)'!U1150="Yes",
        'Loan Tape (S&amp;P)'!T1150&lt;&gt;"Yes",
        DATEDIF('Loan Tape (S&amp;P)'!K1150, TODAY(), "M")&lt;18),
    1.10,
    1.00)</f>
        <v/>
      </c>
      <c r="O1150">
        <f>IF('Loan Tape (S&amp;P)'!T1150="Yes",
    1.35,
    1.00)</f>
        <v/>
      </c>
      <c r="P1150">
        <f>IF('Loan Tape (S&amp;P)'!S1150="Yes",
    1.15,
    1.00)</f>
        <v/>
      </c>
      <c r="Q1150">
        <f>IF('Loan Tape (S&amp;P)'!V1150="Yes",
    1.20,
    1.00)</f>
        <v/>
      </c>
      <c r="T1150">
        <f>LET(
    payment_method,'Loan Tape (S&amp;P)'!P1150,
    occupancy,'Loan Tape (S&amp;P)'!N1150,
    maturity_date,'Loan Tape (S&amp;P)'!L1150,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51">
      <c r="J1151">
        <f>LET(
    lien,'Loan Tape (S&amp;P)'!Q1151,
    IF(lien="First",1.00,
        IF(lien="Second",1.50,
            1.70)))</f>
        <v/>
      </c>
      <c r="K1151">
        <f>LET(
    purpose,'Loan Tape (S&amp;P)'!R1151,
    IF(purpose="Purchase",1.00,
        IF(purpose="Remortgage",1.00,
            1.20)))</f>
        <v/>
      </c>
      <c r="L1151">
        <f>LET(
    arrears_months,'Loan Tape (S&amp;P)'!AN1151,
    IF(arrears_months=0,1.00,
    IF(arrears_months=1,3.00,
    IF(arrears_months=2,5.00,
    IF(arrears_months=3,8.00,
    IF(arrears_months=4,10.00,
    IF(arrears_months=5,12.00,15.00)))))))</f>
        <v/>
      </c>
      <c r="M1151">
        <f>LET(
    seasoning_years,DATEDIF('Loan Tape (S&amp;P)'!K1151,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51">
        <f>IF(AND('Loan Tape (S&amp;P)'!U1151="Yes",
        'Loan Tape (S&amp;P)'!T1151&lt;&gt;"Yes",
        DATEDIF('Loan Tape (S&amp;P)'!K1151, TODAY(), "M")&lt;18),
    1.10,
    1.00)</f>
        <v/>
      </c>
      <c r="O1151">
        <f>IF('Loan Tape (S&amp;P)'!T1151="Yes",
    1.35,
    1.00)</f>
        <v/>
      </c>
      <c r="P1151">
        <f>IF('Loan Tape (S&amp;P)'!S1151="Yes",
    1.15,
    1.00)</f>
        <v/>
      </c>
      <c r="Q1151">
        <f>IF('Loan Tape (S&amp;P)'!V1151="Yes",
    1.20,
    1.00)</f>
        <v/>
      </c>
      <c r="T1151">
        <f>LET(
    payment_method,'Loan Tape (S&amp;P)'!P1151,
    occupancy,'Loan Tape (S&amp;P)'!N1151,
    maturity_date,'Loan Tape (S&amp;P)'!L1151,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52">
      <c r="J1152">
        <f>LET(
    lien,'Loan Tape (S&amp;P)'!Q1152,
    IF(lien="First",1.00,
        IF(lien="Second",1.50,
            1.70)))</f>
        <v/>
      </c>
      <c r="K1152">
        <f>LET(
    purpose,'Loan Tape (S&amp;P)'!R1152,
    IF(purpose="Purchase",1.00,
        IF(purpose="Remortgage",1.00,
            1.20)))</f>
        <v/>
      </c>
      <c r="L1152">
        <f>LET(
    arrears_months,'Loan Tape (S&amp;P)'!AN1152,
    IF(arrears_months=0,1.00,
    IF(arrears_months=1,3.00,
    IF(arrears_months=2,5.00,
    IF(arrears_months=3,8.00,
    IF(arrears_months=4,10.00,
    IF(arrears_months=5,12.00,15.00)))))))</f>
        <v/>
      </c>
      <c r="M1152">
        <f>LET(
    seasoning_years,DATEDIF('Loan Tape (S&amp;P)'!K1152,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52">
        <f>IF(AND('Loan Tape (S&amp;P)'!U1152="Yes",
        'Loan Tape (S&amp;P)'!T1152&lt;&gt;"Yes",
        DATEDIF('Loan Tape (S&amp;P)'!K1152, TODAY(), "M")&lt;18),
    1.10,
    1.00)</f>
        <v/>
      </c>
      <c r="O1152">
        <f>IF('Loan Tape (S&amp;P)'!T1152="Yes",
    1.35,
    1.00)</f>
        <v/>
      </c>
      <c r="P1152">
        <f>IF('Loan Tape (S&amp;P)'!S1152="Yes",
    1.15,
    1.00)</f>
        <v/>
      </c>
      <c r="Q1152">
        <f>IF('Loan Tape (S&amp;P)'!V1152="Yes",
    1.20,
    1.00)</f>
        <v/>
      </c>
      <c r="T1152">
        <f>LET(
    payment_method,'Loan Tape (S&amp;P)'!P1152,
    occupancy,'Loan Tape (S&amp;P)'!N1152,
    maturity_date,'Loan Tape (S&amp;P)'!L1152,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53">
      <c r="J1153">
        <f>LET(
    lien,'Loan Tape (S&amp;P)'!Q1153,
    IF(lien="First",1.00,
        IF(lien="Second",1.50,
            1.70)))</f>
        <v/>
      </c>
      <c r="K1153">
        <f>LET(
    purpose,'Loan Tape (S&amp;P)'!R1153,
    IF(purpose="Purchase",1.00,
        IF(purpose="Remortgage",1.00,
            1.20)))</f>
        <v/>
      </c>
      <c r="L1153">
        <f>LET(
    arrears_months,'Loan Tape (S&amp;P)'!AN1153,
    IF(arrears_months=0,1.00,
    IF(arrears_months=1,3.00,
    IF(arrears_months=2,5.00,
    IF(arrears_months=3,8.00,
    IF(arrears_months=4,10.00,
    IF(arrears_months=5,12.00,15.00)))))))</f>
        <v/>
      </c>
      <c r="M1153">
        <f>LET(
    seasoning_years,DATEDIF('Loan Tape (S&amp;P)'!K1153,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53">
        <f>IF(AND('Loan Tape (S&amp;P)'!U1153="Yes",
        'Loan Tape (S&amp;P)'!T1153&lt;&gt;"Yes",
        DATEDIF('Loan Tape (S&amp;P)'!K1153, TODAY(), "M")&lt;18),
    1.10,
    1.00)</f>
        <v/>
      </c>
      <c r="O1153">
        <f>IF('Loan Tape (S&amp;P)'!T1153="Yes",
    1.35,
    1.00)</f>
        <v/>
      </c>
      <c r="P1153">
        <f>IF('Loan Tape (S&amp;P)'!S1153="Yes",
    1.15,
    1.00)</f>
        <v/>
      </c>
      <c r="Q1153">
        <f>IF('Loan Tape (S&amp;P)'!V1153="Yes",
    1.20,
    1.00)</f>
        <v/>
      </c>
      <c r="T1153">
        <f>LET(
    payment_method,'Loan Tape (S&amp;P)'!P1153,
    occupancy,'Loan Tape (S&amp;P)'!N1153,
    maturity_date,'Loan Tape (S&amp;P)'!L1153,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54">
      <c r="J1154">
        <f>LET(
    lien,'Loan Tape (S&amp;P)'!Q1154,
    IF(lien="First",1.00,
        IF(lien="Second",1.50,
            1.70)))</f>
        <v/>
      </c>
      <c r="K1154">
        <f>LET(
    purpose,'Loan Tape (S&amp;P)'!R1154,
    IF(purpose="Purchase",1.00,
        IF(purpose="Remortgage",1.00,
            1.20)))</f>
        <v/>
      </c>
      <c r="L1154">
        <f>LET(
    arrears_months,'Loan Tape (S&amp;P)'!AN1154,
    IF(arrears_months=0,1.00,
    IF(arrears_months=1,3.00,
    IF(arrears_months=2,5.00,
    IF(arrears_months=3,8.00,
    IF(arrears_months=4,10.00,
    IF(arrears_months=5,12.00,15.00)))))))</f>
        <v/>
      </c>
      <c r="M1154">
        <f>LET(
    seasoning_years,DATEDIF('Loan Tape (S&amp;P)'!K1154,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54">
        <f>IF(AND('Loan Tape (S&amp;P)'!U1154="Yes",
        'Loan Tape (S&amp;P)'!T1154&lt;&gt;"Yes",
        DATEDIF('Loan Tape (S&amp;P)'!K1154, TODAY(), "M")&lt;18),
    1.10,
    1.00)</f>
        <v/>
      </c>
      <c r="O1154">
        <f>IF('Loan Tape (S&amp;P)'!T1154="Yes",
    1.35,
    1.00)</f>
        <v/>
      </c>
      <c r="P1154">
        <f>IF('Loan Tape (S&amp;P)'!S1154="Yes",
    1.15,
    1.00)</f>
        <v/>
      </c>
      <c r="Q1154">
        <f>IF('Loan Tape (S&amp;P)'!V1154="Yes",
    1.20,
    1.00)</f>
        <v/>
      </c>
      <c r="T1154">
        <f>LET(
    payment_method,'Loan Tape (S&amp;P)'!P1154,
    occupancy,'Loan Tape (S&amp;P)'!N1154,
    maturity_date,'Loan Tape (S&amp;P)'!L1154,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55">
      <c r="J1155">
        <f>LET(
    lien,'Loan Tape (S&amp;P)'!Q1155,
    IF(lien="First",1.00,
        IF(lien="Second",1.50,
            1.70)))</f>
        <v/>
      </c>
      <c r="K1155">
        <f>LET(
    purpose,'Loan Tape (S&amp;P)'!R1155,
    IF(purpose="Purchase",1.00,
        IF(purpose="Remortgage",1.00,
            1.20)))</f>
        <v/>
      </c>
      <c r="L1155">
        <f>LET(
    arrears_months,'Loan Tape (S&amp;P)'!AN1155,
    IF(arrears_months=0,1.00,
    IF(arrears_months=1,3.00,
    IF(arrears_months=2,5.00,
    IF(arrears_months=3,8.00,
    IF(arrears_months=4,10.00,
    IF(arrears_months=5,12.00,15.00)))))))</f>
        <v/>
      </c>
      <c r="M1155">
        <f>LET(
    seasoning_years,DATEDIF('Loan Tape (S&amp;P)'!K1155,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55">
        <f>IF(AND('Loan Tape (S&amp;P)'!U1155="Yes",
        'Loan Tape (S&amp;P)'!T1155&lt;&gt;"Yes",
        DATEDIF('Loan Tape (S&amp;P)'!K1155, TODAY(), "M")&lt;18),
    1.10,
    1.00)</f>
        <v/>
      </c>
      <c r="O1155">
        <f>IF('Loan Tape (S&amp;P)'!T1155="Yes",
    1.35,
    1.00)</f>
        <v/>
      </c>
      <c r="P1155">
        <f>IF('Loan Tape (S&amp;P)'!S1155="Yes",
    1.15,
    1.00)</f>
        <v/>
      </c>
      <c r="Q1155">
        <f>IF('Loan Tape (S&amp;P)'!V1155="Yes",
    1.20,
    1.00)</f>
        <v/>
      </c>
      <c r="T1155">
        <f>LET(
    payment_method,'Loan Tape (S&amp;P)'!P1155,
    occupancy,'Loan Tape (S&amp;P)'!N1155,
    maturity_date,'Loan Tape (S&amp;P)'!L1155,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56">
      <c r="J1156">
        <f>LET(
    lien,'Loan Tape (S&amp;P)'!Q1156,
    IF(lien="First",1.00,
        IF(lien="Second",1.50,
            1.70)))</f>
        <v/>
      </c>
      <c r="K1156">
        <f>LET(
    purpose,'Loan Tape (S&amp;P)'!R1156,
    IF(purpose="Purchase",1.00,
        IF(purpose="Remortgage",1.00,
            1.20)))</f>
        <v/>
      </c>
      <c r="L1156">
        <f>LET(
    arrears_months,'Loan Tape (S&amp;P)'!AN1156,
    IF(arrears_months=0,1.00,
    IF(arrears_months=1,3.00,
    IF(arrears_months=2,5.00,
    IF(arrears_months=3,8.00,
    IF(arrears_months=4,10.00,
    IF(arrears_months=5,12.00,15.00)))))))</f>
        <v/>
      </c>
      <c r="M1156">
        <f>LET(
    seasoning_years,DATEDIF('Loan Tape (S&amp;P)'!K1156,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56">
        <f>IF(AND('Loan Tape (S&amp;P)'!U1156="Yes",
        'Loan Tape (S&amp;P)'!T1156&lt;&gt;"Yes",
        DATEDIF('Loan Tape (S&amp;P)'!K1156, TODAY(), "M")&lt;18),
    1.10,
    1.00)</f>
        <v/>
      </c>
      <c r="O1156">
        <f>IF('Loan Tape (S&amp;P)'!T1156="Yes",
    1.35,
    1.00)</f>
        <v/>
      </c>
      <c r="P1156">
        <f>IF('Loan Tape (S&amp;P)'!S1156="Yes",
    1.15,
    1.00)</f>
        <v/>
      </c>
      <c r="Q1156">
        <f>IF('Loan Tape (S&amp;P)'!V1156="Yes",
    1.20,
    1.00)</f>
        <v/>
      </c>
      <c r="T1156">
        <f>LET(
    payment_method,'Loan Tape (S&amp;P)'!P1156,
    occupancy,'Loan Tape (S&amp;P)'!N1156,
    maturity_date,'Loan Tape (S&amp;P)'!L1156,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57">
      <c r="J1157">
        <f>LET(
    lien,'Loan Tape (S&amp;P)'!Q1157,
    IF(lien="First",1.00,
        IF(lien="Second",1.50,
            1.70)))</f>
        <v/>
      </c>
      <c r="K1157">
        <f>LET(
    purpose,'Loan Tape (S&amp;P)'!R1157,
    IF(purpose="Purchase",1.00,
        IF(purpose="Remortgage",1.00,
            1.20)))</f>
        <v/>
      </c>
      <c r="L1157">
        <f>LET(
    arrears_months,'Loan Tape (S&amp;P)'!AN1157,
    IF(arrears_months=0,1.00,
    IF(arrears_months=1,3.00,
    IF(arrears_months=2,5.00,
    IF(arrears_months=3,8.00,
    IF(arrears_months=4,10.00,
    IF(arrears_months=5,12.00,15.00)))))))</f>
        <v/>
      </c>
      <c r="M1157">
        <f>LET(
    seasoning_years,DATEDIF('Loan Tape (S&amp;P)'!K1157,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57">
        <f>IF(AND('Loan Tape (S&amp;P)'!U1157="Yes",
        'Loan Tape (S&amp;P)'!T1157&lt;&gt;"Yes",
        DATEDIF('Loan Tape (S&amp;P)'!K1157, TODAY(), "M")&lt;18),
    1.10,
    1.00)</f>
        <v/>
      </c>
      <c r="O1157">
        <f>IF('Loan Tape (S&amp;P)'!T1157="Yes",
    1.35,
    1.00)</f>
        <v/>
      </c>
      <c r="P1157">
        <f>IF('Loan Tape (S&amp;P)'!S1157="Yes",
    1.15,
    1.00)</f>
        <v/>
      </c>
      <c r="Q1157">
        <f>IF('Loan Tape (S&amp;P)'!V1157="Yes",
    1.20,
    1.00)</f>
        <v/>
      </c>
      <c r="T1157">
        <f>LET(
    payment_method,'Loan Tape (S&amp;P)'!P1157,
    occupancy,'Loan Tape (S&amp;P)'!N1157,
    maturity_date,'Loan Tape (S&amp;P)'!L1157,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58">
      <c r="J1158">
        <f>LET(
    lien,'Loan Tape (S&amp;P)'!Q1158,
    IF(lien="First",1.00,
        IF(lien="Second",1.50,
            1.70)))</f>
        <v/>
      </c>
      <c r="K1158">
        <f>LET(
    purpose,'Loan Tape (S&amp;P)'!R1158,
    IF(purpose="Purchase",1.00,
        IF(purpose="Remortgage",1.00,
            1.20)))</f>
        <v/>
      </c>
      <c r="L1158">
        <f>LET(
    arrears_months,'Loan Tape (S&amp;P)'!AN1158,
    IF(arrears_months=0,1.00,
    IF(arrears_months=1,3.00,
    IF(arrears_months=2,5.00,
    IF(arrears_months=3,8.00,
    IF(arrears_months=4,10.00,
    IF(arrears_months=5,12.00,15.00)))))))</f>
        <v/>
      </c>
      <c r="M1158">
        <f>LET(
    seasoning_years,DATEDIF('Loan Tape (S&amp;P)'!K1158,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58">
        <f>IF(AND('Loan Tape (S&amp;P)'!U1158="Yes",
        'Loan Tape (S&amp;P)'!T1158&lt;&gt;"Yes",
        DATEDIF('Loan Tape (S&amp;P)'!K1158, TODAY(), "M")&lt;18),
    1.10,
    1.00)</f>
        <v/>
      </c>
      <c r="O1158">
        <f>IF('Loan Tape (S&amp;P)'!T1158="Yes",
    1.35,
    1.00)</f>
        <v/>
      </c>
      <c r="P1158">
        <f>IF('Loan Tape (S&amp;P)'!S1158="Yes",
    1.15,
    1.00)</f>
        <v/>
      </c>
      <c r="Q1158">
        <f>IF('Loan Tape (S&amp;P)'!V1158="Yes",
    1.20,
    1.00)</f>
        <v/>
      </c>
      <c r="T1158">
        <f>LET(
    payment_method,'Loan Tape (S&amp;P)'!P1158,
    occupancy,'Loan Tape (S&amp;P)'!N1158,
    maturity_date,'Loan Tape (S&amp;P)'!L1158,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59">
      <c r="J1159">
        <f>LET(
    lien,'Loan Tape (S&amp;P)'!Q1159,
    IF(lien="First",1.00,
        IF(lien="Second",1.50,
            1.70)))</f>
        <v/>
      </c>
      <c r="K1159">
        <f>LET(
    purpose,'Loan Tape (S&amp;P)'!R1159,
    IF(purpose="Purchase",1.00,
        IF(purpose="Remortgage",1.00,
            1.20)))</f>
        <v/>
      </c>
      <c r="L1159">
        <f>LET(
    arrears_months,'Loan Tape (S&amp;P)'!AN1159,
    IF(arrears_months=0,1.00,
    IF(arrears_months=1,3.00,
    IF(arrears_months=2,5.00,
    IF(arrears_months=3,8.00,
    IF(arrears_months=4,10.00,
    IF(arrears_months=5,12.00,15.00)))))))</f>
        <v/>
      </c>
      <c r="M1159">
        <f>LET(
    seasoning_years,DATEDIF('Loan Tape (S&amp;P)'!K1159,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59">
        <f>IF(AND('Loan Tape (S&amp;P)'!U1159="Yes",
        'Loan Tape (S&amp;P)'!T1159&lt;&gt;"Yes",
        DATEDIF('Loan Tape (S&amp;P)'!K1159, TODAY(), "M")&lt;18),
    1.10,
    1.00)</f>
        <v/>
      </c>
      <c r="O1159">
        <f>IF('Loan Tape (S&amp;P)'!T1159="Yes",
    1.35,
    1.00)</f>
        <v/>
      </c>
      <c r="P1159">
        <f>IF('Loan Tape (S&amp;P)'!S1159="Yes",
    1.15,
    1.00)</f>
        <v/>
      </c>
      <c r="Q1159">
        <f>IF('Loan Tape (S&amp;P)'!V1159="Yes",
    1.20,
    1.00)</f>
        <v/>
      </c>
      <c r="T1159">
        <f>LET(
    payment_method,'Loan Tape (S&amp;P)'!P1159,
    occupancy,'Loan Tape (S&amp;P)'!N1159,
    maturity_date,'Loan Tape (S&amp;P)'!L1159,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60">
      <c r="J1160">
        <f>LET(
    lien,'Loan Tape (S&amp;P)'!Q1160,
    IF(lien="First",1.00,
        IF(lien="Second",1.50,
            1.70)))</f>
        <v/>
      </c>
      <c r="K1160">
        <f>LET(
    purpose,'Loan Tape (S&amp;P)'!R1160,
    IF(purpose="Purchase",1.00,
        IF(purpose="Remortgage",1.00,
            1.20)))</f>
        <v/>
      </c>
      <c r="L1160">
        <f>LET(
    arrears_months,'Loan Tape (S&amp;P)'!AN1160,
    IF(arrears_months=0,1.00,
    IF(arrears_months=1,3.00,
    IF(arrears_months=2,5.00,
    IF(arrears_months=3,8.00,
    IF(arrears_months=4,10.00,
    IF(arrears_months=5,12.00,15.00)))))))</f>
        <v/>
      </c>
      <c r="M1160">
        <f>LET(
    seasoning_years,DATEDIF('Loan Tape (S&amp;P)'!K1160,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60">
        <f>IF(AND('Loan Tape (S&amp;P)'!U1160="Yes",
        'Loan Tape (S&amp;P)'!T1160&lt;&gt;"Yes",
        DATEDIF('Loan Tape (S&amp;P)'!K1160, TODAY(), "M")&lt;18),
    1.10,
    1.00)</f>
        <v/>
      </c>
      <c r="O1160">
        <f>IF('Loan Tape (S&amp;P)'!T1160="Yes",
    1.35,
    1.00)</f>
        <v/>
      </c>
      <c r="P1160">
        <f>IF('Loan Tape (S&amp;P)'!S1160="Yes",
    1.15,
    1.00)</f>
        <v/>
      </c>
      <c r="Q1160">
        <f>IF('Loan Tape (S&amp;P)'!V1160="Yes",
    1.20,
    1.00)</f>
        <v/>
      </c>
      <c r="T1160">
        <f>LET(
    payment_method,'Loan Tape (S&amp;P)'!P1160,
    occupancy,'Loan Tape (S&amp;P)'!N1160,
    maturity_date,'Loan Tape (S&amp;P)'!L1160,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61">
      <c r="J1161">
        <f>LET(
    lien,'Loan Tape (S&amp;P)'!Q1161,
    IF(lien="First",1.00,
        IF(lien="Second",1.50,
            1.70)))</f>
        <v/>
      </c>
      <c r="K1161">
        <f>LET(
    purpose,'Loan Tape (S&amp;P)'!R1161,
    IF(purpose="Purchase",1.00,
        IF(purpose="Remortgage",1.00,
            1.20)))</f>
        <v/>
      </c>
      <c r="L1161">
        <f>LET(
    arrears_months,'Loan Tape (S&amp;P)'!AN1161,
    IF(arrears_months=0,1.00,
    IF(arrears_months=1,3.00,
    IF(arrears_months=2,5.00,
    IF(arrears_months=3,8.00,
    IF(arrears_months=4,10.00,
    IF(arrears_months=5,12.00,15.00)))))))</f>
        <v/>
      </c>
      <c r="M1161">
        <f>LET(
    seasoning_years,DATEDIF('Loan Tape (S&amp;P)'!K1161,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61">
        <f>IF(AND('Loan Tape (S&amp;P)'!U1161="Yes",
        'Loan Tape (S&amp;P)'!T1161&lt;&gt;"Yes",
        DATEDIF('Loan Tape (S&amp;P)'!K1161, TODAY(), "M")&lt;18),
    1.10,
    1.00)</f>
        <v/>
      </c>
      <c r="O1161">
        <f>IF('Loan Tape (S&amp;P)'!T1161="Yes",
    1.35,
    1.00)</f>
        <v/>
      </c>
      <c r="P1161">
        <f>IF('Loan Tape (S&amp;P)'!S1161="Yes",
    1.15,
    1.00)</f>
        <v/>
      </c>
      <c r="Q1161">
        <f>IF('Loan Tape (S&amp;P)'!V1161="Yes",
    1.20,
    1.00)</f>
        <v/>
      </c>
      <c r="T1161">
        <f>LET(
    payment_method,'Loan Tape (S&amp;P)'!P1161,
    occupancy,'Loan Tape (S&amp;P)'!N1161,
    maturity_date,'Loan Tape (S&amp;P)'!L1161,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62">
      <c r="J1162">
        <f>LET(
    lien,'Loan Tape (S&amp;P)'!Q1162,
    IF(lien="First",1.00,
        IF(lien="Second",1.50,
            1.70)))</f>
        <v/>
      </c>
      <c r="K1162">
        <f>LET(
    purpose,'Loan Tape (S&amp;P)'!R1162,
    IF(purpose="Purchase",1.00,
        IF(purpose="Remortgage",1.00,
            1.20)))</f>
        <v/>
      </c>
      <c r="L1162">
        <f>LET(
    arrears_months,'Loan Tape (S&amp;P)'!AN1162,
    IF(arrears_months=0,1.00,
    IF(arrears_months=1,3.00,
    IF(arrears_months=2,5.00,
    IF(arrears_months=3,8.00,
    IF(arrears_months=4,10.00,
    IF(arrears_months=5,12.00,15.00)))))))</f>
        <v/>
      </c>
      <c r="M1162">
        <f>LET(
    seasoning_years,DATEDIF('Loan Tape (S&amp;P)'!K1162,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62">
        <f>IF(AND('Loan Tape (S&amp;P)'!U1162="Yes",
        'Loan Tape (S&amp;P)'!T1162&lt;&gt;"Yes",
        DATEDIF('Loan Tape (S&amp;P)'!K1162, TODAY(), "M")&lt;18),
    1.10,
    1.00)</f>
        <v/>
      </c>
      <c r="O1162">
        <f>IF('Loan Tape (S&amp;P)'!T1162="Yes",
    1.35,
    1.00)</f>
        <v/>
      </c>
      <c r="P1162">
        <f>IF('Loan Tape (S&amp;P)'!S1162="Yes",
    1.15,
    1.00)</f>
        <v/>
      </c>
      <c r="Q1162">
        <f>IF('Loan Tape (S&amp;P)'!V1162="Yes",
    1.20,
    1.00)</f>
        <v/>
      </c>
      <c r="T1162">
        <f>LET(
    payment_method,'Loan Tape (S&amp;P)'!P1162,
    occupancy,'Loan Tape (S&amp;P)'!N1162,
    maturity_date,'Loan Tape (S&amp;P)'!L1162,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63">
      <c r="J1163">
        <f>LET(
    lien,'Loan Tape (S&amp;P)'!Q1163,
    IF(lien="First",1.00,
        IF(lien="Second",1.50,
            1.70)))</f>
        <v/>
      </c>
      <c r="K1163">
        <f>LET(
    purpose,'Loan Tape (S&amp;P)'!R1163,
    IF(purpose="Purchase",1.00,
        IF(purpose="Remortgage",1.00,
            1.20)))</f>
        <v/>
      </c>
      <c r="L1163">
        <f>LET(
    arrears_months,'Loan Tape (S&amp;P)'!AN1163,
    IF(arrears_months=0,1.00,
    IF(arrears_months=1,3.00,
    IF(arrears_months=2,5.00,
    IF(arrears_months=3,8.00,
    IF(arrears_months=4,10.00,
    IF(arrears_months=5,12.00,15.00)))))))</f>
        <v/>
      </c>
      <c r="M1163">
        <f>LET(
    seasoning_years,DATEDIF('Loan Tape (S&amp;P)'!K1163,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63">
        <f>IF(AND('Loan Tape (S&amp;P)'!U1163="Yes",
        'Loan Tape (S&amp;P)'!T1163&lt;&gt;"Yes",
        DATEDIF('Loan Tape (S&amp;P)'!K1163, TODAY(), "M")&lt;18),
    1.10,
    1.00)</f>
        <v/>
      </c>
      <c r="O1163">
        <f>IF('Loan Tape (S&amp;P)'!T1163="Yes",
    1.35,
    1.00)</f>
        <v/>
      </c>
      <c r="P1163">
        <f>IF('Loan Tape (S&amp;P)'!S1163="Yes",
    1.15,
    1.00)</f>
        <v/>
      </c>
      <c r="Q1163">
        <f>IF('Loan Tape (S&amp;P)'!V1163="Yes",
    1.20,
    1.00)</f>
        <v/>
      </c>
      <c r="T1163">
        <f>LET(
    payment_method,'Loan Tape (S&amp;P)'!P1163,
    occupancy,'Loan Tape (S&amp;P)'!N1163,
    maturity_date,'Loan Tape (S&amp;P)'!L1163,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64">
      <c r="J1164">
        <f>LET(
    lien,'Loan Tape (S&amp;P)'!Q1164,
    IF(lien="First",1.00,
        IF(lien="Second",1.50,
            1.70)))</f>
        <v/>
      </c>
      <c r="K1164">
        <f>LET(
    purpose,'Loan Tape (S&amp;P)'!R1164,
    IF(purpose="Purchase",1.00,
        IF(purpose="Remortgage",1.00,
            1.20)))</f>
        <v/>
      </c>
      <c r="L1164">
        <f>LET(
    arrears_months,'Loan Tape (S&amp;P)'!AN1164,
    IF(arrears_months=0,1.00,
    IF(arrears_months=1,3.00,
    IF(arrears_months=2,5.00,
    IF(arrears_months=3,8.00,
    IF(arrears_months=4,10.00,
    IF(arrears_months=5,12.00,15.00)))))))</f>
        <v/>
      </c>
      <c r="M1164">
        <f>LET(
    seasoning_years,DATEDIF('Loan Tape (S&amp;P)'!K1164,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64">
        <f>IF(AND('Loan Tape (S&amp;P)'!U1164="Yes",
        'Loan Tape (S&amp;P)'!T1164&lt;&gt;"Yes",
        DATEDIF('Loan Tape (S&amp;P)'!K1164, TODAY(), "M")&lt;18),
    1.10,
    1.00)</f>
        <v/>
      </c>
      <c r="O1164">
        <f>IF('Loan Tape (S&amp;P)'!T1164="Yes",
    1.35,
    1.00)</f>
        <v/>
      </c>
      <c r="P1164">
        <f>IF('Loan Tape (S&amp;P)'!S1164="Yes",
    1.15,
    1.00)</f>
        <v/>
      </c>
      <c r="Q1164">
        <f>IF('Loan Tape (S&amp;P)'!V1164="Yes",
    1.20,
    1.00)</f>
        <v/>
      </c>
      <c r="T1164">
        <f>LET(
    payment_method,'Loan Tape (S&amp;P)'!P1164,
    occupancy,'Loan Tape (S&amp;P)'!N1164,
    maturity_date,'Loan Tape (S&amp;P)'!L1164,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65">
      <c r="J1165">
        <f>LET(
    lien,'Loan Tape (S&amp;P)'!Q1165,
    IF(lien="First",1.00,
        IF(lien="Second",1.50,
            1.70)))</f>
        <v/>
      </c>
      <c r="K1165">
        <f>LET(
    purpose,'Loan Tape (S&amp;P)'!R1165,
    IF(purpose="Purchase",1.00,
        IF(purpose="Remortgage",1.00,
            1.20)))</f>
        <v/>
      </c>
      <c r="L1165">
        <f>LET(
    arrears_months,'Loan Tape (S&amp;P)'!AN1165,
    IF(arrears_months=0,1.00,
    IF(arrears_months=1,3.00,
    IF(arrears_months=2,5.00,
    IF(arrears_months=3,8.00,
    IF(arrears_months=4,10.00,
    IF(arrears_months=5,12.00,15.00)))))))</f>
        <v/>
      </c>
      <c r="M1165">
        <f>LET(
    seasoning_years,DATEDIF('Loan Tape (S&amp;P)'!K1165,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65">
        <f>IF(AND('Loan Tape (S&amp;P)'!U1165="Yes",
        'Loan Tape (S&amp;P)'!T1165&lt;&gt;"Yes",
        DATEDIF('Loan Tape (S&amp;P)'!K1165, TODAY(), "M")&lt;18),
    1.10,
    1.00)</f>
        <v/>
      </c>
      <c r="O1165">
        <f>IF('Loan Tape (S&amp;P)'!T1165="Yes",
    1.35,
    1.00)</f>
        <v/>
      </c>
      <c r="P1165">
        <f>IF('Loan Tape (S&amp;P)'!S1165="Yes",
    1.15,
    1.00)</f>
        <v/>
      </c>
      <c r="Q1165">
        <f>IF('Loan Tape (S&amp;P)'!V1165="Yes",
    1.20,
    1.00)</f>
        <v/>
      </c>
      <c r="T1165">
        <f>LET(
    payment_method,'Loan Tape (S&amp;P)'!P1165,
    occupancy,'Loan Tape (S&amp;P)'!N1165,
    maturity_date,'Loan Tape (S&amp;P)'!L1165,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66">
      <c r="J1166">
        <f>LET(
    lien,'Loan Tape (S&amp;P)'!Q1166,
    IF(lien="First",1.00,
        IF(lien="Second",1.50,
            1.70)))</f>
        <v/>
      </c>
      <c r="K1166">
        <f>LET(
    purpose,'Loan Tape (S&amp;P)'!R1166,
    IF(purpose="Purchase",1.00,
        IF(purpose="Remortgage",1.00,
            1.20)))</f>
        <v/>
      </c>
      <c r="L1166">
        <f>LET(
    arrears_months,'Loan Tape (S&amp;P)'!AN1166,
    IF(arrears_months=0,1.00,
    IF(arrears_months=1,3.00,
    IF(arrears_months=2,5.00,
    IF(arrears_months=3,8.00,
    IF(arrears_months=4,10.00,
    IF(arrears_months=5,12.00,15.00)))))))</f>
        <v/>
      </c>
      <c r="M1166">
        <f>LET(
    seasoning_years,DATEDIF('Loan Tape (S&amp;P)'!K1166,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66">
        <f>IF(AND('Loan Tape (S&amp;P)'!U1166="Yes",
        'Loan Tape (S&amp;P)'!T1166&lt;&gt;"Yes",
        DATEDIF('Loan Tape (S&amp;P)'!K1166, TODAY(), "M")&lt;18),
    1.10,
    1.00)</f>
        <v/>
      </c>
      <c r="O1166">
        <f>IF('Loan Tape (S&amp;P)'!T1166="Yes",
    1.35,
    1.00)</f>
        <v/>
      </c>
      <c r="P1166">
        <f>IF('Loan Tape (S&amp;P)'!S1166="Yes",
    1.15,
    1.00)</f>
        <v/>
      </c>
      <c r="Q1166">
        <f>IF('Loan Tape (S&amp;P)'!V1166="Yes",
    1.20,
    1.00)</f>
        <v/>
      </c>
      <c r="T1166">
        <f>LET(
    payment_method,'Loan Tape (S&amp;P)'!P1166,
    occupancy,'Loan Tape (S&amp;P)'!N1166,
    maturity_date,'Loan Tape (S&amp;P)'!L1166,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67">
      <c r="J1167">
        <f>LET(
    lien,'Loan Tape (S&amp;P)'!Q1167,
    IF(lien="First",1.00,
        IF(lien="Second",1.50,
            1.70)))</f>
        <v/>
      </c>
      <c r="K1167">
        <f>LET(
    purpose,'Loan Tape (S&amp;P)'!R1167,
    IF(purpose="Purchase",1.00,
        IF(purpose="Remortgage",1.00,
            1.20)))</f>
        <v/>
      </c>
      <c r="L1167">
        <f>LET(
    arrears_months,'Loan Tape (S&amp;P)'!AN1167,
    IF(arrears_months=0,1.00,
    IF(arrears_months=1,3.00,
    IF(arrears_months=2,5.00,
    IF(arrears_months=3,8.00,
    IF(arrears_months=4,10.00,
    IF(arrears_months=5,12.00,15.00)))))))</f>
        <v/>
      </c>
      <c r="M1167">
        <f>LET(
    seasoning_years,DATEDIF('Loan Tape (S&amp;P)'!K1167,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67">
        <f>IF(AND('Loan Tape (S&amp;P)'!U1167="Yes",
        'Loan Tape (S&amp;P)'!T1167&lt;&gt;"Yes",
        DATEDIF('Loan Tape (S&amp;P)'!K1167, TODAY(), "M")&lt;18),
    1.10,
    1.00)</f>
        <v/>
      </c>
      <c r="O1167">
        <f>IF('Loan Tape (S&amp;P)'!T1167="Yes",
    1.35,
    1.00)</f>
        <v/>
      </c>
      <c r="P1167">
        <f>IF('Loan Tape (S&amp;P)'!S1167="Yes",
    1.15,
    1.00)</f>
        <v/>
      </c>
      <c r="Q1167">
        <f>IF('Loan Tape (S&amp;P)'!V1167="Yes",
    1.20,
    1.00)</f>
        <v/>
      </c>
      <c r="T1167">
        <f>LET(
    payment_method,'Loan Tape (S&amp;P)'!P1167,
    occupancy,'Loan Tape (S&amp;P)'!N1167,
    maturity_date,'Loan Tape (S&amp;P)'!L1167,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68">
      <c r="J1168">
        <f>LET(
    lien,'Loan Tape (S&amp;P)'!Q1168,
    IF(lien="First",1.00,
        IF(lien="Second",1.50,
            1.70)))</f>
        <v/>
      </c>
      <c r="K1168">
        <f>LET(
    purpose,'Loan Tape (S&amp;P)'!R1168,
    IF(purpose="Purchase",1.00,
        IF(purpose="Remortgage",1.00,
            1.20)))</f>
        <v/>
      </c>
      <c r="L1168">
        <f>LET(
    arrears_months,'Loan Tape (S&amp;P)'!AN1168,
    IF(arrears_months=0,1.00,
    IF(arrears_months=1,3.00,
    IF(arrears_months=2,5.00,
    IF(arrears_months=3,8.00,
    IF(arrears_months=4,10.00,
    IF(arrears_months=5,12.00,15.00)))))))</f>
        <v/>
      </c>
      <c r="M1168">
        <f>LET(
    seasoning_years,DATEDIF('Loan Tape (S&amp;P)'!K1168,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68">
        <f>IF(AND('Loan Tape (S&amp;P)'!U1168="Yes",
        'Loan Tape (S&amp;P)'!T1168&lt;&gt;"Yes",
        DATEDIF('Loan Tape (S&amp;P)'!K1168, TODAY(), "M")&lt;18),
    1.10,
    1.00)</f>
        <v/>
      </c>
      <c r="O1168">
        <f>IF('Loan Tape (S&amp;P)'!T1168="Yes",
    1.35,
    1.00)</f>
        <v/>
      </c>
      <c r="P1168">
        <f>IF('Loan Tape (S&amp;P)'!S1168="Yes",
    1.15,
    1.00)</f>
        <v/>
      </c>
      <c r="Q1168">
        <f>IF('Loan Tape (S&amp;P)'!V1168="Yes",
    1.20,
    1.00)</f>
        <v/>
      </c>
      <c r="T1168">
        <f>LET(
    payment_method,'Loan Tape (S&amp;P)'!P1168,
    occupancy,'Loan Tape (S&amp;P)'!N1168,
    maturity_date,'Loan Tape (S&amp;P)'!L1168,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69">
      <c r="J1169">
        <f>LET(
    lien,'Loan Tape (S&amp;P)'!Q1169,
    IF(lien="First",1.00,
        IF(lien="Second",1.50,
            1.70)))</f>
        <v/>
      </c>
      <c r="K1169">
        <f>LET(
    purpose,'Loan Tape (S&amp;P)'!R1169,
    IF(purpose="Purchase",1.00,
        IF(purpose="Remortgage",1.00,
            1.20)))</f>
        <v/>
      </c>
      <c r="L1169">
        <f>LET(
    arrears_months,'Loan Tape (S&amp;P)'!AN1169,
    IF(arrears_months=0,1.00,
    IF(arrears_months=1,3.00,
    IF(arrears_months=2,5.00,
    IF(arrears_months=3,8.00,
    IF(arrears_months=4,10.00,
    IF(arrears_months=5,12.00,15.00)))))))</f>
        <v/>
      </c>
      <c r="M1169">
        <f>LET(
    seasoning_years,DATEDIF('Loan Tape (S&amp;P)'!K1169,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69">
        <f>IF(AND('Loan Tape (S&amp;P)'!U1169="Yes",
        'Loan Tape (S&amp;P)'!T1169&lt;&gt;"Yes",
        DATEDIF('Loan Tape (S&amp;P)'!K1169, TODAY(), "M")&lt;18),
    1.10,
    1.00)</f>
        <v/>
      </c>
      <c r="O1169">
        <f>IF('Loan Tape (S&amp;P)'!T1169="Yes",
    1.35,
    1.00)</f>
        <v/>
      </c>
      <c r="P1169">
        <f>IF('Loan Tape (S&amp;P)'!S1169="Yes",
    1.15,
    1.00)</f>
        <v/>
      </c>
      <c r="Q1169">
        <f>IF('Loan Tape (S&amp;P)'!V1169="Yes",
    1.20,
    1.00)</f>
        <v/>
      </c>
      <c r="T1169">
        <f>LET(
    payment_method,'Loan Tape (S&amp;P)'!P1169,
    occupancy,'Loan Tape (S&amp;P)'!N1169,
    maturity_date,'Loan Tape (S&amp;P)'!L1169,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70">
      <c r="J1170">
        <f>LET(
    lien,'Loan Tape (S&amp;P)'!Q1170,
    IF(lien="First",1.00,
        IF(lien="Second",1.50,
            1.70)))</f>
        <v/>
      </c>
      <c r="K1170">
        <f>LET(
    purpose,'Loan Tape (S&amp;P)'!R1170,
    IF(purpose="Purchase",1.00,
        IF(purpose="Remortgage",1.00,
            1.20)))</f>
        <v/>
      </c>
      <c r="L1170">
        <f>LET(
    arrears_months,'Loan Tape (S&amp;P)'!AN1170,
    IF(arrears_months=0,1.00,
    IF(arrears_months=1,3.00,
    IF(arrears_months=2,5.00,
    IF(arrears_months=3,8.00,
    IF(arrears_months=4,10.00,
    IF(arrears_months=5,12.00,15.00)))))))</f>
        <v/>
      </c>
      <c r="M1170">
        <f>LET(
    seasoning_years,DATEDIF('Loan Tape (S&amp;P)'!K1170,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70">
        <f>IF(AND('Loan Tape (S&amp;P)'!U1170="Yes",
        'Loan Tape (S&amp;P)'!T1170&lt;&gt;"Yes",
        DATEDIF('Loan Tape (S&amp;P)'!K1170, TODAY(), "M")&lt;18),
    1.10,
    1.00)</f>
        <v/>
      </c>
      <c r="O1170">
        <f>IF('Loan Tape (S&amp;P)'!T1170="Yes",
    1.35,
    1.00)</f>
        <v/>
      </c>
      <c r="P1170">
        <f>IF('Loan Tape (S&amp;P)'!S1170="Yes",
    1.15,
    1.00)</f>
        <v/>
      </c>
      <c r="Q1170">
        <f>IF('Loan Tape (S&amp;P)'!V1170="Yes",
    1.20,
    1.00)</f>
        <v/>
      </c>
      <c r="T1170">
        <f>LET(
    payment_method,'Loan Tape (S&amp;P)'!P1170,
    occupancy,'Loan Tape (S&amp;P)'!N1170,
    maturity_date,'Loan Tape (S&amp;P)'!L1170,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71">
      <c r="J1171">
        <f>LET(
    lien,'Loan Tape (S&amp;P)'!Q1171,
    IF(lien="First",1.00,
        IF(lien="Second",1.50,
            1.70)))</f>
        <v/>
      </c>
      <c r="K1171">
        <f>LET(
    purpose,'Loan Tape (S&amp;P)'!R1171,
    IF(purpose="Purchase",1.00,
        IF(purpose="Remortgage",1.00,
            1.20)))</f>
        <v/>
      </c>
      <c r="L1171">
        <f>LET(
    arrears_months,'Loan Tape (S&amp;P)'!AN1171,
    IF(arrears_months=0,1.00,
    IF(arrears_months=1,3.00,
    IF(arrears_months=2,5.00,
    IF(arrears_months=3,8.00,
    IF(arrears_months=4,10.00,
    IF(arrears_months=5,12.00,15.00)))))))</f>
        <v/>
      </c>
      <c r="M1171">
        <f>LET(
    seasoning_years,DATEDIF('Loan Tape (S&amp;P)'!K1171,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71">
        <f>IF(AND('Loan Tape (S&amp;P)'!U1171="Yes",
        'Loan Tape (S&amp;P)'!T1171&lt;&gt;"Yes",
        DATEDIF('Loan Tape (S&amp;P)'!K1171, TODAY(), "M")&lt;18),
    1.10,
    1.00)</f>
        <v/>
      </c>
      <c r="O1171">
        <f>IF('Loan Tape (S&amp;P)'!T1171="Yes",
    1.35,
    1.00)</f>
        <v/>
      </c>
      <c r="P1171">
        <f>IF('Loan Tape (S&amp;P)'!S1171="Yes",
    1.15,
    1.00)</f>
        <v/>
      </c>
      <c r="Q1171">
        <f>IF('Loan Tape (S&amp;P)'!V1171="Yes",
    1.20,
    1.00)</f>
        <v/>
      </c>
      <c r="T1171">
        <f>LET(
    payment_method,'Loan Tape (S&amp;P)'!P1171,
    occupancy,'Loan Tape (S&amp;P)'!N1171,
    maturity_date,'Loan Tape (S&amp;P)'!L1171,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72">
      <c r="J1172">
        <f>LET(
    lien,'Loan Tape (S&amp;P)'!Q1172,
    IF(lien="First",1.00,
        IF(lien="Second",1.50,
            1.70)))</f>
        <v/>
      </c>
      <c r="K1172">
        <f>LET(
    purpose,'Loan Tape (S&amp;P)'!R1172,
    IF(purpose="Purchase",1.00,
        IF(purpose="Remortgage",1.00,
            1.20)))</f>
        <v/>
      </c>
      <c r="L1172">
        <f>LET(
    arrears_months,'Loan Tape (S&amp;P)'!AN1172,
    IF(arrears_months=0,1.00,
    IF(arrears_months=1,3.00,
    IF(arrears_months=2,5.00,
    IF(arrears_months=3,8.00,
    IF(arrears_months=4,10.00,
    IF(arrears_months=5,12.00,15.00)))))))</f>
        <v/>
      </c>
      <c r="M1172">
        <f>LET(
    seasoning_years,DATEDIF('Loan Tape (S&amp;P)'!K1172,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72">
        <f>IF(AND('Loan Tape (S&amp;P)'!U1172="Yes",
        'Loan Tape (S&amp;P)'!T1172&lt;&gt;"Yes",
        DATEDIF('Loan Tape (S&amp;P)'!K1172, TODAY(), "M")&lt;18),
    1.10,
    1.00)</f>
        <v/>
      </c>
      <c r="O1172">
        <f>IF('Loan Tape (S&amp;P)'!T1172="Yes",
    1.35,
    1.00)</f>
        <v/>
      </c>
      <c r="P1172">
        <f>IF('Loan Tape (S&amp;P)'!S1172="Yes",
    1.15,
    1.00)</f>
        <v/>
      </c>
      <c r="Q1172">
        <f>IF('Loan Tape (S&amp;P)'!V1172="Yes",
    1.20,
    1.00)</f>
        <v/>
      </c>
      <c r="T1172">
        <f>LET(
    payment_method,'Loan Tape (S&amp;P)'!P1172,
    occupancy,'Loan Tape (S&amp;P)'!N1172,
    maturity_date,'Loan Tape (S&amp;P)'!L1172,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73">
      <c r="J1173">
        <f>LET(
    lien,'Loan Tape (S&amp;P)'!Q1173,
    IF(lien="First",1.00,
        IF(lien="Second",1.50,
            1.70)))</f>
        <v/>
      </c>
      <c r="K1173">
        <f>LET(
    purpose,'Loan Tape (S&amp;P)'!R1173,
    IF(purpose="Purchase",1.00,
        IF(purpose="Remortgage",1.00,
            1.20)))</f>
        <v/>
      </c>
      <c r="L1173">
        <f>LET(
    arrears_months,'Loan Tape (S&amp;P)'!AN1173,
    IF(arrears_months=0,1.00,
    IF(arrears_months=1,3.00,
    IF(arrears_months=2,5.00,
    IF(arrears_months=3,8.00,
    IF(arrears_months=4,10.00,
    IF(arrears_months=5,12.00,15.00)))))))</f>
        <v/>
      </c>
      <c r="M1173">
        <f>LET(
    seasoning_years,DATEDIF('Loan Tape (S&amp;P)'!K1173,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73">
        <f>IF(AND('Loan Tape (S&amp;P)'!U1173="Yes",
        'Loan Tape (S&amp;P)'!T1173&lt;&gt;"Yes",
        DATEDIF('Loan Tape (S&amp;P)'!K1173, TODAY(), "M")&lt;18),
    1.10,
    1.00)</f>
        <v/>
      </c>
      <c r="O1173">
        <f>IF('Loan Tape (S&amp;P)'!T1173="Yes",
    1.35,
    1.00)</f>
        <v/>
      </c>
      <c r="P1173">
        <f>IF('Loan Tape (S&amp;P)'!S1173="Yes",
    1.15,
    1.00)</f>
        <v/>
      </c>
      <c r="Q1173">
        <f>IF('Loan Tape (S&amp;P)'!V1173="Yes",
    1.20,
    1.00)</f>
        <v/>
      </c>
      <c r="T1173">
        <f>LET(
    payment_method,'Loan Tape (S&amp;P)'!P1173,
    occupancy,'Loan Tape (S&amp;P)'!N1173,
    maturity_date,'Loan Tape (S&amp;P)'!L1173,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74">
      <c r="J1174">
        <f>LET(
    lien,'Loan Tape (S&amp;P)'!Q1174,
    IF(lien="First",1.00,
        IF(lien="Second",1.50,
            1.70)))</f>
        <v/>
      </c>
      <c r="K1174">
        <f>LET(
    purpose,'Loan Tape (S&amp;P)'!R1174,
    IF(purpose="Purchase",1.00,
        IF(purpose="Remortgage",1.00,
            1.20)))</f>
        <v/>
      </c>
      <c r="L1174">
        <f>LET(
    arrears_months,'Loan Tape (S&amp;P)'!AN1174,
    IF(arrears_months=0,1.00,
    IF(arrears_months=1,3.00,
    IF(arrears_months=2,5.00,
    IF(arrears_months=3,8.00,
    IF(arrears_months=4,10.00,
    IF(arrears_months=5,12.00,15.00)))))))</f>
        <v/>
      </c>
      <c r="M1174">
        <f>LET(
    seasoning_years,DATEDIF('Loan Tape (S&amp;P)'!K1174,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74">
        <f>IF(AND('Loan Tape (S&amp;P)'!U1174="Yes",
        'Loan Tape (S&amp;P)'!T1174&lt;&gt;"Yes",
        DATEDIF('Loan Tape (S&amp;P)'!K1174, TODAY(), "M")&lt;18),
    1.10,
    1.00)</f>
        <v/>
      </c>
      <c r="O1174">
        <f>IF('Loan Tape (S&amp;P)'!T1174="Yes",
    1.35,
    1.00)</f>
        <v/>
      </c>
      <c r="P1174">
        <f>IF('Loan Tape (S&amp;P)'!S1174="Yes",
    1.15,
    1.00)</f>
        <v/>
      </c>
      <c r="Q1174">
        <f>IF('Loan Tape (S&amp;P)'!V1174="Yes",
    1.20,
    1.00)</f>
        <v/>
      </c>
      <c r="T1174">
        <f>LET(
    payment_method,'Loan Tape (S&amp;P)'!P1174,
    occupancy,'Loan Tape (S&amp;P)'!N1174,
    maturity_date,'Loan Tape (S&amp;P)'!L1174,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75">
      <c r="J1175">
        <f>LET(
    lien,'Loan Tape (S&amp;P)'!Q1175,
    IF(lien="First",1.00,
        IF(lien="Second",1.50,
            1.70)))</f>
        <v/>
      </c>
      <c r="K1175">
        <f>LET(
    purpose,'Loan Tape (S&amp;P)'!R1175,
    IF(purpose="Purchase",1.00,
        IF(purpose="Remortgage",1.00,
            1.20)))</f>
        <v/>
      </c>
      <c r="L1175">
        <f>LET(
    arrears_months,'Loan Tape (S&amp;P)'!AN1175,
    IF(arrears_months=0,1.00,
    IF(arrears_months=1,3.00,
    IF(arrears_months=2,5.00,
    IF(arrears_months=3,8.00,
    IF(arrears_months=4,10.00,
    IF(arrears_months=5,12.00,15.00)))))))</f>
        <v/>
      </c>
      <c r="M1175">
        <f>LET(
    seasoning_years,DATEDIF('Loan Tape (S&amp;P)'!K1175,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75">
        <f>IF(AND('Loan Tape (S&amp;P)'!U1175="Yes",
        'Loan Tape (S&amp;P)'!T1175&lt;&gt;"Yes",
        DATEDIF('Loan Tape (S&amp;P)'!K1175, TODAY(), "M")&lt;18),
    1.10,
    1.00)</f>
        <v/>
      </c>
      <c r="O1175">
        <f>IF('Loan Tape (S&amp;P)'!T1175="Yes",
    1.35,
    1.00)</f>
        <v/>
      </c>
      <c r="P1175">
        <f>IF('Loan Tape (S&amp;P)'!S1175="Yes",
    1.15,
    1.00)</f>
        <v/>
      </c>
      <c r="Q1175">
        <f>IF('Loan Tape (S&amp;P)'!V1175="Yes",
    1.20,
    1.00)</f>
        <v/>
      </c>
      <c r="T1175">
        <f>LET(
    payment_method,'Loan Tape (S&amp;P)'!P1175,
    occupancy,'Loan Tape (S&amp;P)'!N1175,
    maturity_date,'Loan Tape (S&amp;P)'!L1175,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76">
      <c r="J1176">
        <f>LET(
    lien,'Loan Tape (S&amp;P)'!Q1176,
    IF(lien="First",1.00,
        IF(lien="Second",1.50,
            1.70)))</f>
        <v/>
      </c>
      <c r="K1176">
        <f>LET(
    purpose,'Loan Tape (S&amp;P)'!R1176,
    IF(purpose="Purchase",1.00,
        IF(purpose="Remortgage",1.00,
            1.20)))</f>
        <v/>
      </c>
      <c r="L1176">
        <f>LET(
    arrears_months,'Loan Tape (S&amp;P)'!AN1176,
    IF(arrears_months=0,1.00,
    IF(arrears_months=1,3.00,
    IF(arrears_months=2,5.00,
    IF(arrears_months=3,8.00,
    IF(arrears_months=4,10.00,
    IF(arrears_months=5,12.00,15.00)))))))</f>
        <v/>
      </c>
      <c r="M1176">
        <f>LET(
    seasoning_years,DATEDIF('Loan Tape (S&amp;P)'!K1176,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76">
        <f>IF(AND('Loan Tape (S&amp;P)'!U1176="Yes",
        'Loan Tape (S&amp;P)'!T1176&lt;&gt;"Yes",
        DATEDIF('Loan Tape (S&amp;P)'!K1176, TODAY(), "M")&lt;18),
    1.10,
    1.00)</f>
        <v/>
      </c>
      <c r="O1176">
        <f>IF('Loan Tape (S&amp;P)'!T1176="Yes",
    1.35,
    1.00)</f>
        <v/>
      </c>
      <c r="P1176">
        <f>IF('Loan Tape (S&amp;P)'!S1176="Yes",
    1.15,
    1.00)</f>
        <v/>
      </c>
      <c r="Q1176">
        <f>IF('Loan Tape (S&amp;P)'!V1176="Yes",
    1.20,
    1.00)</f>
        <v/>
      </c>
      <c r="T1176">
        <f>LET(
    payment_method,'Loan Tape (S&amp;P)'!P1176,
    occupancy,'Loan Tape (S&amp;P)'!N1176,
    maturity_date,'Loan Tape (S&amp;P)'!L1176,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77">
      <c r="J1177">
        <f>LET(
    lien,'Loan Tape (S&amp;P)'!Q1177,
    IF(lien="First",1.00,
        IF(lien="Second",1.50,
            1.70)))</f>
        <v/>
      </c>
      <c r="K1177">
        <f>LET(
    purpose,'Loan Tape (S&amp;P)'!R1177,
    IF(purpose="Purchase",1.00,
        IF(purpose="Remortgage",1.00,
            1.20)))</f>
        <v/>
      </c>
      <c r="L1177">
        <f>LET(
    arrears_months,'Loan Tape (S&amp;P)'!AN1177,
    IF(arrears_months=0,1.00,
    IF(arrears_months=1,3.00,
    IF(arrears_months=2,5.00,
    IF(arrears_months=3,8.00,
    IF(arrears_months=4,10.00,
    IF(arrears_months=5,12.00,15.00)))))))</f>
        <v/>
      </c>
      <c r="M1177">
        <f>LET(
    seasoning_years,DATEDIF('Loan Tape (S&amp;P)'!K1177,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77">
        <f>IF(AND('Loan Tape (S&amp;P)'!U1177="Yes",
        'Loan Tape (S&amp;P)'!T1177&lt;&gt;"Yes",
        DATEDIF('Loan Tape (S&amp;P)'!K1177, TODAY(), "M")&lt;18),
    1.10,
    1.00)</f>
        <v/>
      </c>
      <c r="O1177">
        <f>IF('Loan Tape (S&amp;P)'!T1177="Yes",
    1.35,
    1.00)</f>
        <v/>
      </c>
      <c r="P1177">
        <f>IF('Loan Tape (S&amp;P)'!S1177="Yes",
    1.15,
    1.00)</f>
        <v/>
      </c>
      <c r="Q1177">
        <f>IF('Loan Tape (S&amp;P)'!V1177="Yes",
    1.20,
    1.00)</f>
        <v/>
      </c>
      <c r="T1177">
        <f>LET(
    payment_method,'Loan Tape (S&amp;P)'!P1177,
    occupancy,'Loan Tape (S&amp;P)'!N1177,
    maturity_date,'Loan Tape (S&amp;P)'!L1177,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78">
      <c r="J1178">
        <f>LET(
    lien,'Loan Tape (S&amp;P)'!Q1178,
    IF(lien="First",1.00,
        IF(lien="Second",1.50,
            1.70)))</f>
        <v/>
      </c>
      <c r="K1178">
        <f>LET(
    purpose,'Loan Tape (S&amp;P)'!R1178,
    IF(purpose="Purchase",1.00,
        IF(purpose="Remortgage",1.00,
            1.20)))</f>
        <v/>
      </c>
      <c r="L1178">
        <f>LET(
    arrears_months,'Loan Tape (S&amp;P)'!AN1178,
    IF(arrears_months=0,1.00,
    IF(arrears_months=1,3.00,
    IF(arrears_months=2,5.00,
    IF(arrears_months=3,8.00,
    IF(arrears_months=4,10.00,
    IF(arrears_months=5,12.00,15.00)))))))</f>
        <v/>
      </c>
      <c r="M1178">
        <f>LET(
    seasoning_years,DATEDIF('Loan Tape (S&amp;P)'!K1178,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78">
        <f>IF(AND('Loan Tape (S&amp;P)'!U1178="Yes",
        'Loan Tape (S&amp;P)'!T1178&lt;&gt;"Yes",
        DATEDIF('Loan Tape (S&amp;P)'!K1178, TODAY(), "M")&lt;18),
    1.10,
    1.00)</f>
        <v/>
      </c>
      <c r="O1178">
        <f>IF('Loan Tape (S&amp;P)'!T1178="Yes",
    1.35,
    1.00)</f>
        <v/>
      </c>
      <c r="P1178">
        <f>IF('Loan Tape (S&amp;P)'!S1178="Yes",
    1.15,
    1.00)</f>
        <v/>
      </c>
      <c r="Q1178">
        <f>IF('Loan Tape (S&amp;P)'!V1178="Yes",
    1.20,
    1.00)</f>
        <v/>
      </c>
      <c r="T1178">
        <f>LET(
    payment_method,'Loan Tape (S&amp;P)'!P1178,
    occupancy,'Loan Tape (S&amp;P)'!N1178,
    maturity_date,'Loan Tape (S&amp;P)'!L1178,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79">
      <c r="J1179">
        <f>LET(
    lien,'Loan Tape (S&amp;P)'!Q1179,
    IF(lien="First",1.00,
        IF(lien="Second",1.50,
            1.70)))</f>
        <v/>
      </c>
      <c r="K1179">
        <f>LET(
    purpose,'Loan Tape (S&amp;P)'!R1179,
    IF(purpose="Purchase",1.00,
        IF(purpose="Remortgage",1.00,
            1.20)))</f>
        <v/>
      </c>
      <c r="L1179">
        <f>LET(
    arrears_months,'Loan Tape (S&amp;P)'!AN1179,
    IF(arrears_months=0,1.00,
    IF(arrears_months=1,3.00,
    IF(arrears_months=2,5.00,
    IF(arrears_months=3,8.00,
    IF(arrears_months=4,10.00,
    IF(arrears_months=5,12.00,15.00)))))))</f>
        <v/>
      </c>
      <c r="M1179">
        <f>LET(
    seasoning_years,DATEDIF('Loan Tape (S&amp;P)'!K1179,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79">
        <f>IF(AND('Loan Tape (S&amp;P)'!U1179="Yes",
        'Loan Tape (S&amp;P)'!T1179&lt;&gt;"Yes",
        DATEDIF('Loan Tape (S&amp;P)'!K1179, TODAY(), "M")&lt;18),
    1.10,
    1.00)</f>
        <v/>
      </c>
      <c r="O1179">
        <f>IF('Loan Tape (S&amp;P)'!T1179="Yes",
    1.35,
    1.00)</f>
        <v/>
      </c>
      <c r="P1179">
        <f>IF('Loan Tape (S&amp;P)'!S1179="Yes",
    1.15,
    1.00)</f>
        <v/>
      </c>
      <c r="Q1179">
        <f>IF('Loan Tape (S&amp;P)'!V1179="Yes",
    1.20,
    1.00)</f>
        <v/>
      </c>
      <c r="T1179">
        <f>LET(
    payment_method,'Loan Tape (S&amp;P)'!P1179,
    occupancy,'Loan Tape (S&amp;P)'!N1179,
    maturity_date,'Loan Tape (S&amp;P)'!L1179,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80">
      <c r="J1180">
        <f>LET(
    lien,'Loan Tape (S&amp;P)'!Q1180,
    IF(lien="First",1.00,
        IF(lien="Second",1.50,
            1.70)))</f>
        <v/>
      </c>
      <c r="K1180">
        <f>LET(
    purpose,'Loan Tape (S&amp;P)'!R1180,
    IF(purpose="Purchase",1.00,
        IF(purpose="Remortgage",1.00,
            1.20)))</f>
        <v/>
      </c>
      <c r="L1180">
        <f>LET(
    arrears_months,'Loan Tape (S&amp;P)'!AN1180,
    IF(arrears_months=0,1.00,
    IF(arrears_months=1,3.00,
    IF(arrears_months=2,5.00,
    IF(arrears_months=3,8.00,
    IF(arrears_months=4,10.00,
    IF(arrears_months=5,12.00,15.00)))))))</f>
        <v/>
      </c>
      <c r="M1180">
        <f>LET(
    seasoning_years,DATEDIF('Loan Tape (S&amp;P)'!K1180,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80">
        <f>IF(AND('Loan Tape (S&amp;P)'!U1180="Yes",
        'Loan Tape (S&amp;P)'!T1180&lt;&gt;"Yes",
        DATEDIF('Loan Tape (S&amp;P)'!K1180, TODAY(), "M")&lt;18),
    1.10,
    1.00)</f>
        <v/>
      </c>
      <c r="O1180">
        <f>IF('Loan Tape (S&amp;P)'!T1180="Yes",
    1.35,
    1.00)</f>
        <v/>
      </c>
      <c r="P1180">
        <f>IF('Loan Tape (S&amp;P)'!S1180="Yes",
    1.15,
    1.00)</f>
        <v/>
      </c>
      <c r="Q1180">
        <f>IF('Loan Tape (S&amp;P)'!V1180="Yes",
    1.20,
    1.00)</f>
        <v/>
      </c>
      <c r="T1180">
        <f>LET(
    payment_method,'Loan Tape (S&amp;P)'!P1180,
    occupancy,'Loan Tape (S&amp;P)'!N1180,
    maturity_date,'Loan Tape (S&amp;P)'!L1180,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81">
      <c r="J1181">
        <f>LET(
    lien,'Loan Tape (S&amp;P)'!Q1181,
    IF(lien="First",1.00,
        IF(lien="Second",1.50,
            1.70)))</f>
        <v/>
      </c>
      <c r="K1181">
        <f>LET(
    purpose,'Loan Tape (S&amp;P)'!R1181,
    IF(purpose="Purchase",1.00,
        IF(purpose="Remortgage",1.00,
            1.20)))</f>
        <v/>
      </c>
      <c r="L1181">
        <f>LET(
    arrears_months,'Loan Tape (S&amp;P)'!AN1181,
    IF(arrears_months=0,1.00,
    IF(arrears_months=1,3.00,
    IF(arrears_months=2,5.00,
    IF(arrears_months=3,8.00,
    IF(arrears_months=4,10.00,
    IF(arrears_months=5,12.00,15.00)))))))</f>
        <v/>
      </c>
      <c r="M1181">
        <f>LET(
    seasoning_years,DATEDIF('Loan Tape (S&amp;P)'!K1181,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81">
        <f>IF(AND('Loan Tape (S&amp;P)'!U1181="Yes",
        'Loan Tape (S&amp;P)'!T1181&lt;&gt;"Yes",
        DATEDIF('Loan Tape (S&amp;P)'!K1181, TODAY(), "M")&lt;18),
    1.10,
    1.00)</f>
        <v/>
      </c>
      <c r="O1181">
        <f>IF('Loan Tape (S&amp;P)'!T1181="Yes",
    1.35,
    1.00)</f>
        <v/>
      </c>
      <c r="P1181">
        <f>IF('Loan Tape (S&amp;P)'!S1181="Yes",
    1.15,
    1.00)</f>
        <v/>
      </c>
      <c r="Q1181">
        <f>IF('Loan Tape (S&amp;P)'!V1181="Yes",
    1.20,
    1.00)</f>
        <v/>
      </c>
      <c r="T1181">
        <f>LET(
    payment_method,'Loan Tape (S&amp;P)'!P1181,
    occupancy,'Loan Tape (S&amp;P)'!N1181,
    maturity_date,'Loan Tape (S&amp;P)'!L1181,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82">
      <c r="J1182">
        <f>LET(
    lien,'Loan Tape (S&amp;P)'!Q1182,
    IF(lien="First",1.00,
        IF(lien="Second",1.50,
            1.70)))</f>
        <v/>
      </c>
      <c r="K1182">
        <f>LET(
    purpose,'Loan Tape (S&amp;P)'!R1182,
    IF(purpose="Purchase",1.00,
        IF(purpose="Remortgage",1.00,
            1.20)))</f>
        <v/>
      </c>
      <c r="L1182">
        <f>LET(
    arrears_months,'Loan Tape (S&amp;P)'!AN1182,
    IF(arrears_months=0,1.00,
    IF(arrears_months=1,3.00,
    IF(arrears_months=2,5.00,
    IF(arrears_months=3,8.00,
    IF(arrears_months=4,10.00,
    IF(arrears_months=5,12.00,15.00)))))))</f>
        <v/>
      </c>
      <c r="M1182">
        <f>LET(
    seasoning_years,DATEDIF('Loan Tape (S&amp;P)'!K1182,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82">
        <f>IF(AND('Loan Tape (S&amp;P)'!U1182="Yes",
        'Loan Tape (S&amp;P)'!T1182&lt;&gt;"Yes",
        DATEDIF('Loan Tape (S&amp;P)'!K1182, TODAY(), "M")&lt;18),
    1.10,
    1.00)</f>
        <v/>
      </c>
      <c r="O1182">
        <f>IF('Loan Tape (S&amp;P)'!T1182="Yes",
    1.35,
    1.00)</f>
        <v/>
      </c>
      <c r="P1182">
        <f>IF('Loan Tape (S&amp;P)'!S1182="Yes",
    1.15,
    1.00)</f>
        <v/>
      </c>
      <c r="Q1182">
        <f>IF('Loan Tape (S&amp;P)'!V1182="Yes",
    1.20,
    1.00)</f>
        <v/>
      </c>
      <c r="T1182">
        <f>LET(
    payment_method,'Loan Tape (S&amp;P)'!P1182,
    occupancy,'Loan Tape (S&amp;P)'!N1182,
    maturity_date,'Loan Tape (S&amp;P)'!L1182,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83">
      <c r="J1183">
        <f>LET(
    lien,'Loan Tape (S&amp;P)'!Q1183,
    IF(lien="First",1.00,
        IF(lien="Second",1.50,
            1.70)))</f>
        <v/>
      </c>
      <c r="K1183">
        <f>LET(
    purpose,'Loan Tape (S&amp;P)'!R1183,
    IF(purpose="Purchase",1.00,
        IF(purpose="Remortgage",1.00,
            1.20)))</f>
        <v/>
      </c>
      <c r="L1183">
        <f>LET(
    arrears_months,'Loan Tape (S&amp;P)'!AN1183,
    IF(arrears_months=0,1.00,
    IF(arrears_months=1,3.00,
    IF(arrears_months=2,5.00,
    IF(arrears_months=3,8.00,
    IF(arrears_months=4,10.00,
    IF(arrears_months=5,12.00,15.00)))))))</f>
        <v/>
      </c>
      <c r="M1183">
        <f>LET(
    seasoning_years,DATEDIF('Loan Tape (S&amp;P)'!K1183,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83">
        <f>IF(AND('Loan Tape (S&amp;P)'!U1183="Yes",
        'Loan Tape (S&amp;P)'!T1183&lt;&gt;"Yes",
        DATEDIF('Loan Tape (S&amp;P)'!K1183, TODAY(), "M")&lt;18),
    1.10,
    1.00)</f>
        <v/>
      </c>
      <c r="O1183">
        <f>IF('Loan Tape (S&amp;P)'!T1183="Yes",
    1.35,
    1.00)</f>
        <v/>
      </c>
      <c r="P1183">
        <f>IF('Loan Tape (S&amp;P)'!S1183="Yes",
    1.15,
    1.00)</f>
        <v/>
      </c>
      <c r="Q1183">
        <f>IF('Loan Tape (S&amp;P)'!V1183="Yes",
    1.20,
    1.00)</f>
        <v/>
      </c>
      <c r="T1183">
        <f>LET(
    payment_method,'Loan Tape (S&amp;P)'!P1183,
    occupancy,'Loan Tape (S&amp;P)'!N1183,
    maturity_date,'Loan Tape (S&amp;P)'!L1183,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84">
      <c r="J1184">
        <f>LET(
    lien,'Loan Tape (S&amp;P)'!Q1184,
    IF(lien="First",1.00,
        IF(lien="Second",1.50,
            1.70)))</f>
        <v/>
      </c>
      <c r="K1184">
        <f>LET(
    purpose,'Loan Tape (S&amp;P)'!R1184,
    IF(purpose="Purchase",1.00,
        IF(purpose="Remortgage",1.00,
            1.20)))</f>
        <v/>
      </c>
      <c r="L1184">
        <f>LET(
    arrears_months,'Loan Tape (S&amp;P)'!AN1184,
    IF(arrears_months=0,1.00,
    IF(arrears_months=1,3.00,
    IF(arrears_months=2,5.00,
    IF(arrears_months=3,8.00,
    IF(arrears_months=4,10.00,
    IF(arrears_months=5,12.00,15.00)))))))</f>
        <v/>
      </c>
      <c r="M1184">
        <f>LET(
    seasoning_years,DATEDIF('Loan Tape (S&amp;P)'!K1184,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84">
        <f>IF(AND('Loan Tape (S&amp;P)'!U1184="Yes",
        'Loan Tape (S&amp;P)'!T1184&lt;&gt;"Yes",
        DATEDIF('Loan Tape (S&amp;P)'!K1184, TODAY(), "M")&lt;18),
    1.10,
    1.00)</f>
        <v/>
      </c>
      <c r="O1184">
        <f>IF('Loan Tape (S&amp;P)'!T1184="Yes",
    1.35,
    1.00)</f>
        <v/>
      </c>
      <c r="P1184">
        <f>IF('Loan Tape (S&amp;P)'!S1184="Yes",
    1.15,
    1.00)</f>
        <v/>
      </c>
      <c r="Q1184">
        <f>IF('Loan Tape (S&amp;P)'!V1184="Yes",
    1.20,
    1.00)</f>
        <v/>
      </c>
      <c r="T1184">
        <f>LET(
    payment_method,'Loan Tape (S&amp;P)'!P1184,
    occupancy,'Loan Tape (S&amp;P)'!N1184,
    maturity_date,'Loan Tape (S&amp;P)'!L1184,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85">
      <c r="J1185">
        <f>LET(
    lien,'Loan Tape (S&amp;P)'!Q1185,
    IF(lien="First",1.00,
        IF(lien="Second",1.50,
            1.70)))</f>
        <v/>
      </c>
      <c r="K1185">
        <f>LET(
    purpose,'Loan Tape (S&amp;P)'!R1185,
    IF(purpose="Purchase",1.00,
        IF(purpose="Remortgage",1.00,
            1.20)))</f>
        <v/>
      </c>
      <c r="L1185">
        <f>LET(
    arrears_months,'Loan Tape (S&amp;P)'!AN1185,
    IF(arrears_months=0,1.00,
    IF(arrears_months=1,3.00,
    IF(arrears_months=2,5.00,
    IF(arrears_months=3,8.00,
    IF(arrears_months=4,10.00,
    IF(arrears_months=5,12.00,15.00)))))))</f>
        <v/>
      </c>
      <c r="M1185">
        <f>LET(
    seasoning_years,DATEDIF('Loan Tape (S&amp;P)'!K1185,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85">
        <f>IF(AND('Loan Tape (S&amp;P)'!U1185="Yes",
        'Loan Tape (S&amp;P)'!T1185&lt;&gt;"Yes",
        DATEDIF('Loan Tape (S&amp;P)'!K1185, TODAY(), "M")&lt;18),
    1.10,
    1.00)</f>
        <v/>
      </c>
      <c r="O1185">
        <f>IF('Loan Tape (S&amp;P)'!T1185="Yes",
    1.35,
    1.00)</f>
        <v/>
      </c>
      <c r="P1185">
        <f>IF('Loan Tape (S&amp;P)'!S1185="Yes",
    1.15,
    1.00)</f>
        <v/>
      </c>
      <c r="Q1185">
        <f>IF('Loan Tape (S&amp;P)'!V1185="Yes",
    1.20,
    1.00)</f>
        <v/>
      </c>
      <c r="T1185">
        <f>LET(
    payment_method,'Loan Tape (S&amp;P)'!P1185,
    occupancy,'Loan Tape (S&amp;P)'!N1185,
    maturity_date,'Loan Tape (S&amp;P)'!L1185,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86">
      <c r="J1186">
        <f>LET(
    lien,'Loan Tape (S&amp;P)'!Q1186,
    IF(lien="First",1.00,
        IF(lien="Second",1.50,
            1.70)))</f>
        <v/>
      </c>
      <c r="K1186">
        <f>LET(
    purpose,'Loan Tape (S&amp;P)'!R1186,
    IF(purpose="Purchase",1.00,
        IF(purpose="Remortgage",1.00,
            1.20)))</f>
        <v/>
      </c>
      <c r="L1186">
        <f>LET(
    arrears_months,'Loan Tape (S&amp;P)'!AN1186,
    IF(arrears_months=0,1.00,
    IF(arrears_months=1,3.00,
    IF(arrears_months=2,5.00,
    IF(arrears_months=3,8.00,
    IF(arrears_months=4,10.00,
    IF(arrears_months=5,12.00,15.00)))))))</f>
        <v/>
      </c>
      <c r="M1186">
        <f>LET(
    seasoning_years,DATEDIF('Loan Tape (S&amp;P)'!K1186,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86">
        <f>IF(AND('Loan Tape (S&amp;P)'!U1186="Yes",
        'Loan Tape (S&amp;P)'!T1186&lt;&gt;"Yes",
        DATEDIF('Loan Tape (S&amp;P)'!K1186, TODAY(), "M")&lt;18),
    1.10,
    1.00)</f>
        <v/>
      </c>
      <c r="O1186">
        <f>IF('Loan Tape (S&amp;P)'!T1186="Yes",
    1.35,
    1.00)</f>
        <v/>
      </c>
      <c r="P1186">
        <f>IF('Loan Tape (S&amp;P)'!S1186="Yes",
    1.15,
    1.00)</f>
        <v/>
      </c>
      <c r="Q1186">
        <f>IF('Loan Tape (S&amp;P)'!V1186="Yes",
    1.20,
    1.00)</f>
        <v/>
      </c>
      <c r="T1186">
        <f>LET(
    payment_method,'Loan Tape (S&amp;P)'!P1186,
    occupancy,'Loan Tape (S&amp;P)'!N1186,
    maturity_date,'Loan Tape (S&amp;P)'!L1186,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87">
      <c r="J1187">
        <f>LET(
    lien,'Loan Tape (S&amp;P)'!Q1187,
    IF(lien="First",1.00,
        IF(lien="Second",1.50,
            1.70)))</f>
        <v/>
      </c>
      <c r="K1187">
        <f>LET(
    purpose,'Loan Tape (S&amp;P)'!R1187,
    IF(purpose="Purchase",1.00,
        IF(purpose="Remortgage",1.00,
            1.20)))</f>
        <v/>
      </c>
      <c r="L1187">
        <f>LET(
    arrears_months,'Loan Tape (S&amp;P)'!AN1187,
    IF(arrears_months=0,1.00,
    IF(arrears_months=1,3.00,
    IF(arrears_months=2,5.00,
    IF(arrears_months=3,8.00,
    IF(arrears_months=4,10.00,
    IF(arrears_months=5,12.00,15.00)))))))</f>
        <v/>
      </c>
      <c r="M1187">
        <f>LET(
    seasoning_years,DATEDIF('Loan Tape (S&amp;P)'!K1187,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87">
        <f>IF(AND('Loan Tape (S&amp;P)'!U1187="Yes",
        'Loan Tape (S&amp;P)'!T1187&lt;&gt;"Yes",
        DATEDIF('Loan Tape (S&amp;P)'!K1187, TODAY(), "M")&lt;18),
    1.10,
    1.00)</f>
        <v/>
      </c>
      <c r="O1187">
        <f>IF('Loan Tape (S&amp;P)'!T1187="Yes",
    1.35,
    1.00)</f>
        <v/>
      </c>
      <c r="P1187">
        <f>IF('Loan Tape (S&amp;P)'!S1187="Yes",
    1.15,
    1.00)</f>
        <v/>
      </c>
      <c r="Q1187">
        <f>IF('Loan Tape (S&amp;P)'!V1187="Yes",
    1.20,
    1.00)</f>
        <v/>
      </c>
      <c r="T1187">
        <f>LET(
    payment_method,'Loan Tape (S&amp;P)'!P1187,
    occupancy,'Loan Tape (S&amp;P)'!N1187,
    maturity_date,'Loan Tape (S&amp;P)'!L1187,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88">
      <c r="J1188">
        <f>LET(
    lien,'Loan Tape (S&amp;P)'!Q1188,
    IF(lien="First",1.00,
        IF(lien="Second",1.50,
            1.70)))</f>
        <v/>
      </c>
      <c r="K1188">
        <f>LET(
    purpose,'Loan Tape (S&amp;P)'!R1188,
    IF(purpose="Purchase",1.00,
        IF(purpose="Remortgage",1.00,
            1.20)))</f>
        <v/>
      </c>
      <c r="L1188">
        <f>LET(
    arrears_months,'Loan Tape (S&amp;P)'!AN1188,
    IF(arrears_months=0,1.00,
    IF(arrears_months=1,3.00,
    IF(arrears_months=2,5.00,
    IF(arrears_months=3,8.00,
    IF(arrears_months=4,10.00,
    IF(arrears_months=5,12.00,15.00)))))))</f>
        <v/>
      </c>
      <c r="M1188">
        <f>LET(
    seasoning_years,DATEDIF('Loan Tape (S&amp;P)'!K1188,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88">
        <f>IF(AND('Loan Tape (S&amp;P)'!U1188="Yes",
        'Loan Tape (S&amp;P)'!T1188&lt;&gt;"Yes",
        DATEDIF('Loan Tape (S&amp;P)'!K1188, TODAY(), "M")&lt;18),
    1.10,
    1.00)</f>
        <v/>
      </c>
      <c r="O1188">
        <f>IF('Loan Tape (S&amp;P)'!T1188="Yes",
    1.35,
    1.00)</f>
        <v/>
      </c>
      <c r="P1188">
        <f>IF('Loan Tape (S&amp;P)'!S1188="Yes",
    1.15,
    1.00)</f>
        <v/>
      </c>
      <c r="Q1188">
        <f>IF('Loan Tape (S&amp;P)'!V1188="Yes",
    1.20,
    1.00)</f>
        <v/>
      </c>
      <c r="T1188">
        <f>LET(
    payment_method,'Loan Tape (S&amp;P)'!P1188,
    occupancy,'Loan Tape (S&amp;P)'!N1188,
    maturity_date,'Loan Tape (S&amp;P)'!L1188,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89">
      <c r="J1189">
        <f>LET(
    lien,'Loan Tape (S&amp;P)'!Q1189,
    IF(lien="First",1.00,
        IF(lien="Second",1.50,
            1.70)))</f>
        <v/>
      </c>
      <c r="K1189">
        <f>LET(
    purpose,'Loan Tape (S&amp;P)'!R1189,
    IF(purpose="Purchase",1.00,
        IF(purpose="Remortgage",1.00,
            1.20)))</f>
        <v/>
      </c>
      <c r="L1189">
        <f>LET(
    arrears_months,'Loan Tape (S&amp;P)'!AN1189,
    IF(arrears_months=0,1.00,
    IF(arrears_months=1,3.00,
    IF(arrears_months=2,5.00,
    IF(arrears_months=3,8.00,
    IF(arrears_months=4,10.00,
    IF(arrears_months=5,12.00,15.00)))))))</f>
        <v/>
      </c>
      <c r="M1189">
        <f>LET(
    seasoning_years,DATEDIF('Loan Tape (S&amp;P)'!K1189,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89">
        <f>IF(AND('Loan Tape (S&amp;P)'!U1189="Yes",
        'Loan Tape (S&amp;P)'!T1189&lt;&gt;"Yes",
        DATEDIF('Loan Tape (S&amp;P)'!K1189, TODAY(), "M")&lt;18),
    1.10,
    1.00)</f>
        <v/>
      </c>
      <c r="O1189">
        <f>IF('Loan Tape (S&amp;P)'!T1189="Yes",
    1.35,
    1.00)</f>
        <v/>
      </c>
      <c r="P1189">
        <f>IF('Loan Tape (S&amp;P)'!S1189="Yes",
    1.15,
    1.00)</f>
        <v/>
      </c>
      <c r="Q1189">
        <f>IF('Loan Tape (S&amp;P)'!V1189="Yes",
    1.20,
    1.00)</f>
        <v/>
      </c>
      <c r="T1189">
        <f>LET(
    payment_method,'Loan Tape (S&amp;P)'!P1189,
    occupancy,'Loan Tape (S&amp;P)'!N1189,
    maturity_date,'Loan Tape (S&amp;P)'!L1189,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90">
      <c r="J1190">
        <f>LET(
    lien,'Loan Tape (S&amp;P)'!Q1190,
    IF(lien="First",1.00,
        IF(lien="Second",1.50,
            1.70)))</f>
        <v/>
      </c>
      <c r="K1190">
        <f>LET(
    purpose,'Loan Tape (S&amp;P)'!R1190,
    IF(purpose="Purchase",1.00,
        IF(purpose="Remortgage",1.00,
            1.20)))</f>
        <v/>
      </c>
      <c r="L1190">
        <f>LET(
    arrears_months,'Loan Tape (S&amp;P)'!AN1190,
    IF(arrears_months=0,1.00,
    IF(arrears_months=1,3.00,
    IF(arrears_months=2,5.00,
    IF(arrears_months=3,8.00,
    IF(arrears_months=4,10.00,
    IF(arrears_months=5,12.00,15.00)))))))</f>
        <v/>
      </c>
      <c r="M1190">
        <f>LET(
    seasoning_years,DATEDIF('Loan Tape (S&amp;P)'!K1190,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90">
        <f>IF(AND('Loan Tape (S&amp;P)'!U1190="Yes",
        'Loan Tape (S&amp;P)'!T1190&lt;&gt;"Yes",
        DATEDIF('Loan Tape (S&amp;P)'!K1190, TODAY(), "M")&lt;18),
    1.10,
    1.00)</f>
        <v/>
      </c>
      <c r="O1190">
        <f>IF('Loan Tape (S&amp;P)'!T1190="Yes",
    1.35,
    1.00)</f>
        <v/>
      </c>
      <c r="P1190">
        <f>IF('Loan Tape (S&amp;P)'!S1190="Yes",
    1.15,
    1.00)</f>
        <v/>
      </c>
      <c r="Q1190">
        <f>IF('Loan Tape (S&amp;P)'!V1190="Yes",
    1.20,
    1.00)</f>
        <v/>
      </c>
      <c r="T1190">
        <f>LET(
    payment_method,'Loan Tape (S&amp;P)'!P1190,
    occupancy,'Loan Tape (S&amp;P)'!N1190,
    maturity_date,'Loan Tape (S&amp;P)'!L1190,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91">
      <c r="J1191">
        <f>LET(
    lien,'Loan Tape (S&amp;P)'!Q1191,
    IF(lien="First",1.00,
        IF(lien="Second",1.50,
            1.70)))</f>
        <v/>
      </c>
      <c r="K1191">
        <f>LET(
    purpose,'Loan Tape (S&amp;P)'!R1191,
    IF(purpose="Purchase",1.00,
        IF(purpose="Remortgage",1.00,
            1.20)))</f>
        <v/>
      </c>
      <c r="L1191">
        <f>LET(
    arrears_months,'Loan Tape (S&amp;P)'!AN1191,
    IF(arrears_months=0,1.00,
    IF(arrears_months=1,3.00,
    IF(arrears_months=2,5.00,
    IF(arrears_months=3,8.00,
    IF(arrears_months=4,10.00,
    IF(arrears_months=5,12.00,15.00)))))))</f>
        <v/>
      </c>
      <c r="M1191">
        <f>LET(
    seasoning_years,DATEDIF('Loan Tape (S&amp;P)'!K1191,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91">
        <f>IF(AND('Loan Tape (S&amp;P)'!U1191="Yes",
        'Loan Tape (S&amp;P)'!T1191&lt;&gt;"Yes",
        DATEDIF('Loan Tape (S&amp;P)'!K1191, TODAY(), "M")&lt;18),
    1.10,
    1.00)</f>
        <v/>
      </c>
      <c r="O1191">
        <f>IF('Loan Tape (S&amp;P)'!T1191="Yes",
    1.35,
    1.00)</f>
        <v/>
      </c>
      <c r="P1191">
        <f>IF('Loan Tape (S&amp;P)'!S1191="Yes",
    1.15,
    1.00)</f>
        <v/>
      </c>
      <c r="Q1191">
        <f>IF('Loan Tape (S&amp;P)'!V1191="Yes",
    1.20,
    1.00)</f>
        <v/>
      </c>
      <c r="T1191">
        <f>LET(
    payment_method,'Loan Tape (S&amp;P)'!P1191,
    occupancy,'Loan Tape (S&amp;P)'!N1191,
    maturity_date,'Loan Tape (S&amp;P)'!L1191,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92">
      <c r="J1192">
        <f>LET(
    lien,'Loan Tape (S&amp;P)'!Q1192,
    IF(lien="First",1.00,
        IF(lien="Second",1.50,
            1.70)))</f>
        <v/>
      </c>
      <c r="K1192">
        <f>LET(
    purpose,'Loan Tape (S&amp;P)'!R1192,
    IF(purpose="Purchase",1.00,
        IF(purpose="Remortgage",1.00,
            1.20)))</f>
        <v/>
      </c>
      <c r="L1192">
        <f>LET(
    arrears_months,'Loan Tape (S&amp;P)'!AN1192,
    IF(arrears_months=0,1.00,
    IF(arrears_months=1,3.00,
    IF(arrears_months=2,5.00,
    IF(arrears_months=3,8.00,
    IF(arrears_months=4,10.00,
    IF(arrears_months=5,12.00,15.00)))))))</f>
        <v/>
      </c>
      <c r="M1192">
        <f>LET(
    seasoning_years,DATEDIF('Loan Tape (S&amp;P)'!K1192,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92">
        <f>IF(AND('Loan Tape (S&amp;P)'!U1192="Yes",
        'Loan Tape (S&amp;P)'!T1192&lt;&gt;"Yes",
        DATEDIF('Loan Tape (S&amp;P)'!K1192, TODAY(), "M")&lt;18),
    1.10,
    1.00)</f>
        <v/>
      </c>
      <c r="O1192">
        <f>IF('Loan Tape (S&amp;P)'!T1192="Yes",
    1.35,
    1.00)</f>
        <v/>
      </c>
      <c r="P1192">
        <f>IF('Loan Tape (S&amp;P)'!S1192="Yes",
    1.15,
    1.00)</f>
        <v/>
      </c>
      <c r="Q1192">
        <f>IF('Loan Tape (S&amp;P)'!V1192="Yes",
    1.20,
    1.00)</f>
        <v/>
      </c>
      <c r="T1192">
        <f>LET(
    payment_method,'Loan Tape (S&amp;P)'!P1192,
    occupancy,'Loan Tape (S&amp;P)'!N1192,
    maturity_date,'Loan Tape (S&amp;P)'!L1192,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93">
      <c r="J1193">
        <f>LET(
    lien,'Loan Tape (S&amp;P)'!Q1193,
    IF(lien="First",1.00,
        IF(lien="Second",1.50,
            1.70)))</f>
        <v/>
      </c>
      <c r="K1193">
        <f>LET(
    purpose,'Loan Tape (S&amp;P)'!R1193,
    IF(purpose="Purchase",1.00,
        IF(purpose="Remortgage",1.00,
            1.20)))</f>
        <v/>
      </c>
      <c r="L1193">
        <f>LET(
    arrears_months,'Loan Tape (S&amp;P)'!AN1193,
    IF(arrears_months=0,1.00,
    IF(arrears_months=1,3.00,
    IF(arrears_months=2,5.00,
    IF(arrears_months=3,8.00,
    IF(arrears_months=4,10.00,
    IF(arrears_months=5,12.00,15.00)))))))</f>
        <v/>
      </c>
      <c r="M1193">
        <f>LET(
    seasoning_years,DATEDIF('Loan Tape (S&amp;P)'!K1193,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93">
        <f>IF(AND('Loan Tape (S&amp;P)'!U1193="Yes",
        'Loan Tape (S&amp;P)'!T1193&lt;&gt;"Yes",
        DATEDIF('Loan Tape (S&amp;P)'!K1193, TODAY(), "M")&lt;18),
    1.10,
    1.00)</f>
        <v/>
      </c>
      <c r="O1193">
        <f>IF('Loan Tape (S&amp;P)'!T1193="Yes",
    1.35,
    1.00)</f>
        <v/>
      </c>
      <c r="P1193">
        <f>IF('Loan Tape (S&amp;P)'!S1193="Yes",
    1.15,
    1.00)</f>
        <v/>
      </c>
      <c r="Q1193">
        <f>IF('Loan Tape (S&amp;P)'!V1193="Yes",
    1.20,
    1.00)</f>
        <v/>
      </c>
      <c r="T1193">
        <f>LET(
    payment_method,'Loan Tape (S&amp;P)'!P1193,
    occupancy,'Loan Tape (S&amp;P)'!N1193,
    maturity_date,'Loan Tape (S&amp;P)'!L1193,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94">
      <c r="J1194">
        <f>LET(
    lien,'Loan Tape (S&amp;P)'!Q1194,
    IF(lien="First",1.00,
        IF(lien="Second",1.50,
            1.70)))</f>
        <v/>
      </c>
      <c r="K1194">
        <f>LET(
    purpose,'Loan Tape (S&amp;P)'!R1194,
    IF(purpose="Purchase",1.00,
        IF(purpose="Remortgage",1.00,
            1.20)))</f>
        <v/>
      </c>
      <c r="L1194">
        <f>LET(
    arrears_months,'Loan Tape (S&amp;P)'!AN1194,
    IF(arrears_months=0,1.00,
    IF(arrears_months=1,3.00,
    IF(arrears_months=2,5.00,
    IF(arrears_months=3,8.00,
    IF(arrears_months=4,10.00,
    IF(arrears_months=5,12.00,15.00)))))))</f>
        <v/>
      </c>
      <c r="M1194">
        <f>LET(
    seasoning_years,DATEDIF('Loan Tape (S&amp;P)'!K1194,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94">
        <f>IF(AND('Loan Tape (S&amp;P)'!U1194="Yes",
        'Loan Tape (S&amp;P)'!T1194&lt;&gt;"Yes",
        DATEDIF('Loan Tape (S&amp;P)'!K1194, TODAY(), "M")&lt;18),
    1.10,
    1.00)</f>
        <v/>
      </c>
      <c r="O1194">
        <f>IF('Loan Tape (S&amp;P)'!T1194="Yes",
    1.35,
    1.00)</f>
        <v/>
      </c>
      <c r="P1194">
        <f>IF('Loan Tape (S&amp;P)'!S1194="Yes",
    1.15,
    1.00)</f>
        <v/>
      </c>
      <c r="Q1194">
        <f>IF('Loan Tape (S&amp;P)'!V1194="Yes",
    1.20,
    1.00)</f>
        <v/>
      </c>
      <c r="T1194">
        <f>LET(
    payment_method,'Loan Tape (S&amp;P)'!P1194,
    occupancy,'Loan Tape (S&amp;P)'!N1194,
    maturity_date,'Loan Tape (S&amp;P)'!L1194,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95">
      <c r="J1195">
        <f>LET(
    lien,'Loan Tape (S&amp;P)'!Q1195,
    IF(lien="First",1.00,
        IF(lien="Second",1.50,
            1.70)))</f>
        <v/>
      </c>
      <c r="K1195">
        <f>LET(
    purpose,'Loan Tape (S&amp;P)'!R1195,
    IF(purpose="Purchase",1.00,
        IF(purpose="Remortgage",1.00,
            1.20)))</f>
        <v/>
      </c>
      <c r="L1195">
        <f>LET(
    arrears_months,'Loan Tape (S&amp;P)'!AN1195,
    IF(arrears_months=0,1.00,
    IF(arrears_months=1,3.00,
    IF(arrears_months=2,5.00,
    IF(arrears_months=3,8.00,
    IF(arrears_months=4,10.00,
    IF(arrears_months=5,12.00,15.00)))))))</f>
        <v/>
      </c>
      <c r="M1195">
        <f>LET(
    seasoning_years,DATEDIF('Loan Tape (S&amp;P)'!K1195,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95">
        <f>IF(AND('Loan Tape (S&amp;P)'!U1195="Yes",
        'Loan Tape (S&amp;P)'!T1195&lt;&gt;"Yes",
        DATEDIF('Loan Tape (S&amp;P)'!K1195, TODAY(), "M")&lt;18),
    1.10,
    1.00)</f>
        <v/>
      </c>
      <c r="O1195">
        <f>IF('Loan Tape (S&amp;P)'!T1195="Yes",
    1.35,
    1.00)</f>
        <v/>
      </c>
      <c r="P1195">
        <f>IF('Loan Tape (S&amp;P)'!S1195="Yes",
    1.15,
    1.00)</f>
        <v/>
      </c>
      <c r="Q1195">
        <f>IF('Loan Tape (S&amp;P)'!V1195="Yes",
    1.20,
    1.00)</f>
        <v/>
      </c>
      <c r="T1195">
        <f>LET(
    payment_method,'Loan Tape (S&amp;P)'!P1195,
    occupancy,'Loan Tape (S&amp;P)'!N1195,
    maturity_date,'Loan Tape (S&amp;P)'!L1195,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96">
      <c r="J1196">
        <f>LET(
    lien,'Loan Tape (S&amp;P)'!Q1196,
    IF(lien="First",1.00,
        IF(lien="Second",1.50,
            1.70)))</f>
        <v/>
      </c>
      <c r="K1196">
        <f>LET(
    purpose,'Loan Tape (S&amp;P)'!R1196,
    IF(purpose="Purchase",1.00,
        IF(purpose="Remortgage",1.00,
            1.20)))</f>
        <v/>
      </c>
      <c r="L1196">
        <f>LET(
    arrears_months,'Loan Tape (S&amp;P)'!AN1196,
    IF(arrears_months=0,1.00,
    IF(arrears_months=1,3.00,
    IF(arrears_months=2,5.00,
    IF(arrears_months=3,8.00,
    IF(arrears_months=4,10.00,
    IF(arrears_months=5,12.00,15.00)))))))</f>
        <v/>
      </c>
      <c r="M1196">
        <f>LET(
    seasoning_years,DATEDIF('Loan Tape (S&amp;P)'!K1196,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96">
        <f>IF(AND('Loan Tape (S&amp;P)'!U1196="Yes",
        'Loan Tape (S&amp;P)'!T1196&lt;&gt;"Yes",
        DATEDIF('Loan Tape (S&amp;P)'!K1196, TODAY(), "M")&lt;18),
    1.10,
    1.00)</f>
        <v/>
      </c>
      <c r="O1196">
        <f>IF('Loan Tape (S&amp;P)'!T1196="Yes",
    1.35,
    1.00)</f>
        <v/>
      </c>
      <c r="P1196">
        <f>IF('Loan Tape (S&amp;P)'!S1196="Yes",
    1.15,
    1.00)</f>
        <v/>
      </c>
      <c r="Q1196">
        <f>IF('Loan Tape (S&amp;P)'!V1196="Yes",
    1.20,
    1.00)</f>
        <v/>
      </c>
      <c r="T1196">
        <f>LET(
    payment_method,'Loan Tape (S&amp;P)'!P1196,
    occupancy,'Loan Tape (S&amp;P)'!N1196,
    maturity_date,'Loan Tape (S&amp;P)'!L1196,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97">
      <c r="J1197">
        <f>LET(
    lien,'Loan Tape (S&amp;P)'!Q1197,
    IF(lien="First",1.00,
        IF(lien="Second",1.50,
            1.70)))</f>
        <v/>
      </c>
      <c r="K1197">
        <f>LET(
    purpose,'Loan Tape (S&amp;P)'!R1197,
    IF(purpose="Purchase",1.00,
        IF(purpose="Remortgage",1.00,
            1.20)))</f>
        <v/>
      </c>
      <c r="L1197">
        <f>LET(
    arrears_months,'Loan Tape (S&amp;P)'!AN1197,
    IF(arrears_months=0,1.00,
    IF(arrears_months=1,3.00,
    IF(arrears_months=2,5.00,
    IF(arrears_months=3,8.00,
    IF(arrears_months=4,10.00,
    IF(arrears_months=5,12.00,15.00)))))))</f>
        <v/>
      </c>
      <c r="M1197">
        <f>LET(
    seasoning_years,DATEDIF('Loan Tape (S&amp;P)'!K1197,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97">
        <f>IF(AND('Loan Tape (S&amp;P)'!U1197="Yes",
        'Loan Tape (S&amp;P)'!T1197&lt;&gt;"Yes",
        DATEDIF('Loan Tape (S&amp;P)'!K1197, TODAY(), "M")&lt;18),
    1.10,
    1.00)</f>
        <v/>
      </c>
      <c r="O1197">
        <f>IF('Loan Tape (S&amp;P)'!T1197="Yes",
    1.35,
    1.00)</f>
        <v/>
      </c>
      <c r="P1197">
        <f>IF('Loan Tape (S&amp;P)'!S1197="Yes",
    1.15,
    1.00)</f>
        <v/>
      </c>
      <c r="Q1197">
        <f>IF('Loan Tape (S&amp;P)'!V1197="Yes",
    1.20,
    1.00)</f>
        <v/>
      </c>
      <c r="T1197">
        <f>LET(
    payment_method,'Loan Tape (S&amp;P)'!P1197,
    occupancy,'Loan Tape (S&amp;P)'!N1197,
    maturity_date,'Loan Tape (S&amp;P)'!L1197,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98">
      <c r="J1198">
        <f>LET(
    lien,'Loan Tape (S&amp;P)'!Q1198,
    IF(lien="First",1.00,
        IF(lien="Second",1.50,
            1.70)))</f>
        <v/>
      </c>
      <c r="K1198">
        <f>LET(
    purpose,'Loan Tape (S&amp;P)'!R1198,
    IF(purpose="Purchase",1.00,
        IF(purpose="Remortgage",1.00,
            1.20)))</f>
        <v/>
      </c>
      <c r="L1198">
        <f>LET(
    arrears_months,'Loan Tape (S&amp;P)'!AN1198,
    IF(arrears_months=0,1.00,
    IF(arrears_months=1,3.00,
    IF(arrears_months=2,5.00,
    IF(arrears_months=3,8.00,
    IF(arrears_months=4,10.00,
    IF(arrears_months=5,12.00,15.00)))))))</f>
        <v/>
      </c>
      <c r="M1198">
        <f>LET(
    seasoning_years,DATEDIF('Loan Tape (S&amp;P)'!K1198,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98">
        <f>IF(AND('Loan Tape (S&amp;P)'!U1198="Yes",
        'Loan Tape (S&amp;P)'!T1198&lt;&gt;"Yes",
        DATEDIF('Loan Tape (S&amp;P)'!K1198, TODAY(), "M")&lt;18),
    1.10,
    1.00)</f>
        <v/>
      </c>
      <c r="O1198">
        <f>IF('Loan Tape (S&amp;P)'!T1198="Yes",
    1.35,
    1.00)</f>
        <v/>
      </c>
      <c r="P1198">
        <f>IF('Loan Tape (S&amp;P)'!S1198="Yes",
    1.15,
    1.00)</f>
        <v/>
      </c>
      <c r="Q1198">
        <f>IF('Loan Tape (S&amp;P)'!V1198="Yes",
    1.20,
    1.00)</f>
        <v/>
      </c>
      <c r="T1198">
        <f>LET(
    payment_method,'Loan Tape (S&amp;P)'!P1198,
    occupancy,'Loan Tape (S&amp;P)'!N1198,
    maturity_date,'Loan Tape (S&amp;P)'!L1198,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199">
      <c r="J1199">
        <f>LET(
    lien,'Loan Tape (S&amp;P)'!Q1199,
    IF(lien="First",1.00,
        IF(lien="Second",1.50,
            1.70)))</f>
        <v/>
      </c>
      <c r="K1199">
        <f>LET(
    purpose,'Loan Tape (S&amp;P)'!R1199,
    IF(purpose="Purchase",1.00,
        IF(purpose="Remortgage",1.00,
            1.20)))</f>
        <v/>
      </c>
      <c r="L1199">
        <f>LET(
    arrears_months,'Loan Tape (S&amp;P)'!AN1199,
    IF(arrears_months=0,1.00,
    IF(arrears_months=1,3.00,
    IF(arrears_months=2,5.00,
    IF(arrears_months=3,8.00,
    IF(arrears_months=4,10.00,
    IF(arrears_months=5,12.00,15.00)))))))</f>
        <v/>
      </c>
      <c r="M1199">
        <f>LET(
    seasoning_years,DATEDIF('Loan Tape (S&amp;P)'!K1199,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199">
        <f>IF(AND('Loan Tape (S&amp;P)'!U1199="Yes",
        'Loan Tape (S&amp;P)'!T1199&lt;&gt;"Yes",
        DATEDIF('Loan Tape (S&amp;P)'!K1199, TODAY(), "M")&lt;18),
    1.10,
    1.00)</f>
        <v/>
      </c>
      <c r="O1199">
        <f>IF('Loan Tape (S&amp;P)'!T1199="Yes",
    1.35,
    1.00)</f>
        <v/>
      </c>
      <c r="P1199">
        <f>IF('Loan Tape (S&amp;P)'!S1199="Yes",
    1.15,
    1.00)</f>
        <v/>
      </c>
      <c r="Q1199">
        <f>IF('Loan Tape (S&amp;P)'!V1199="Yes",
    1.20,
    1.00)</f>
        <v/>
      </c>
      <c r="T1199">
        <f>LET(
    payment_method,'Loan Tape (S&amp;P)'!P1199,
    occupancy,'Loan Tape (S&amp;P)'!N1199,
    maturity_date,'Loan Tape (S&amp;P)'!L1199,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00">
      <c r="J1200">
        <f>LET(
    lien,'Loan Tape (S&amp;P)'!Q1200,
    IF(lien="First",1.00,
        IF(lien="Second",1.50,
            1.70)))</f>
        <v/>
      </c>
      <c r="K1200">
        <f>LET(
    purpose,'Loan Tape (S&amp;P)'!R1200,
    IF(purpose="Purchase",1.00,
        IF(purpose="Remortgage",1.00,
            1.20)))</f>
        <v/>
      </c>
      <c r="L1200">
        <f>LET(
    arrears_months,'Loan Tape (S&amp;P)'!AN1200,
    IF(arrears_months=0,1.00,
    IF(arrears_months=1,3.00,
    IF(arrears_months=2,5.00,
    IF(arrears_months=3,8.00,
    IF(arrears_months=4,10.00,
    IF(arrears_months=5,12.00,15.00)))))))</f>
        <v/>
      </c>
      <c r="M1200">
        <f>LET(
    seasoning_years,DATEDIF('Loan Tape (S&amp;P)'!K1200,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00">
        <f>IF(AND('Loan Tape (S&amp;P)'!U1200="Yes",
        'Loan Tape (S&amp;P)'!T1200&lt;&gt;"Yes",
        DATEDIF('Loan Tape (S&amp;P)'!K1200, TODAY(), "M")&lt;18),
    1.10,
    1.00)</f>
        <v/>
      </c>
      <c r="O1200">
        <f>IF('Loan Tape (S&amp;P)'!T1200="Yes",
    1.35,
    1.00)</f>
        <v/>
      </c>
      <c r="P1200">
        <f>IF('Loan Tape (S&amp;P)'!S1200="Yes",
    1.15,
    1.00)</f>
        <v/>
      </c>
      <c r="Q1200">
        <f>IF('Loan Tape (S&amp;P)'!V1200="Yes",
    1.20,
    1.00)</f>
        <v/>
      </c>
      <c r="T1200">
        <f>LET(
    payment_method,'Loan Tape (S&amp;P)'!P1200,
    occupancy,'Loan Tape (S&amp;P)'!N1200,
    maturity_date,'Loan Tape (S&amp;P)'!L1200,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01">
      <c r="J1201">
        <f>LET(
    lien,'Loan Tape (S&amp;P)'!Q1201,
    IF(lien="First",1.00,
        IF(lien="Second",1.50,
            1.70)))</f>
        <v/>
      </c>
      <c r="K1201">
        <f>LET(
    purpose,'Loan Tape (S&amp;P)'!R1201,
    IF(purpose="Purchase",1.00,
        IF(purpose="Remortgage",1.00,
            1.20)))</f>
        <v/>
      </c>
      <c r="L1201">
        <f>LET(
    arrears_months,'Loan Tape (S&amp;P)'!AN1201,
    IF(arrears_months=0,1.00,
    IF(arrears_months=1,3.00,
    IF(arrears_months=2,5.00,
    IF(arrears_months=3,8.00,
    IF(arrears_months=4,10.00,
    IF(arrears_months=5,12.00,15.00)))))))</f>
        <v/>
      </c>
      <c r="M1201">
        <f>LET(
    seasoning_years,DATEDIF('Loan Tape (S&amp;P)'!K1201,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01">
        <f>IF(AND('Loan Tape (S&amp;P)'!U1201="Yes",
        'Loan Tape (S&amp;P)'!T1201&lt;&gt;"Yes",
        DATEDIF('Loan Tape (S&amp;P)'!K1201, TODAY(), "M")&lt;18),
    1.10,
    1.00)</f>
        <v/>
      </c>
      <c r="O1201">
        <f>IF('Loan Tape (S&amp;P)'!T1201="Yes",
    1.35,
    1.00)</f>
        <v/>
      </c>
      <c r="P1201">
        <f>IF('Loan Tape (S&amp;P)'!S1201="Yes",
    1.15,
    1.00)</f>
        <v/>
      </c>
      <c r="Q1201">
        <f>IF('Loan Tape (S&amp;P)'!V1201="Yes",
    1.20,
    1.00)</f>
        <v/>
      </c>
      <c r="T1201">
        <f>LET(
    payment_method,'Loan Tape (S&amp;P)'!P1201,
    occupancy,'Loan Tape (S&amp;P)'!N1201,
    maturity_date,'Loan Tape (S&amp;P)'!L1201,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02">
      <c r="J1202">
        <f>LET(
    lien,'Loan Tape (S&amp;P)'!Q1202,
    IF(lien="First",1.00,
        IF(lien="Second",1.50,
            1.70)))</f>
        <v/>
      </c>
      <c r="K1202">
        <f>LET(
    purpose,'Loan Tape (S&amp;P)'!R1202,
    IF(purpose="Purchase",1.00,
        IF(purpose="Remortgage",1.00,
            1.20)))</f>
        <v/>
      </c>
      <c r="L1202">
        <f>LET(
    arrears_months,'Loan Tape (S&amp;P)'!AN1202,
    IF(arrears_months=0,1.00,
    IF(arrears_months=1,3.00,
    IF(arrears_months=2,5.00,
    IF(arrears_months=3,8.00,
    IF(arrears_months=4,10.00,
    IF(arrears_months=5,12.00,15.00)))))))</f>
        <v/>
      </c>
      <c r="M1202">
        <f>LET(
    seasoning_years,DATEDIF('Loan Tape (S&amp;P)'!K1202,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02">
        <f>IF(AND('Loan Tape (S&amp;P)'!U1202="Yes",
        'Loan Tape (S&amp;P)'!T1202&lt;&gt;"Yes",
        DATEDIF('Loan Tape (S&amp;P)'!K1202, TODAY(), "M")&lt;18),
    1.10,
    1.00)</f>
        <v/>
      </c>
      <c r="O1202">
        <f>IF('Loan Tape (S&amp;P)'!T1202="Yes",
    1.35,
    1.00)</f>
        <v/>
      </c>
      <c r="P1202">
        <f>IF('Loan Tape (S&amp;P)'!S1202="Yes",
    1.15,
    1.00)</f>
        <v/>
      </c>
      <c r="Q1202">
        <f>IF('Loan Tape (S&amp;P)'!V1202="Yes",
    1.20,
    1.00)</f>
        <v/>
      </c>
      <c r="T1202">
        <f>LET(
    payment_method,'Loan Tape (S&amp;P)'!P1202,
    occupancy,'Loan Tape (S&amp;P)'!N1202,
    maturity_date,'Loan Tape (S&amp;P)'!L1202,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03">
      <c r="J1203">
        <f>LET(
    lien,'Loan Tape (S&amp;P)'!Q1203,
    IF(lien="First",1.00,
        IF(lien="Second",1.50,
            1.70)))</f>
        <v/>
      </c>
      <c r="K1203">
        <f>LET(
    purpose,'Loan Tape (S&amp;P)'!R1203,
    IF(purpose="Purchase",1.00,
        IF(purpose="Remortgage",1.00,
            1.20)))</f>
        <v/>
      </c>
      <c r="L1203">
        <f>LET(
    arrears_months,'Loan Tape (S&amp;P)'!AN1203,
    IF(arrears_months=0,1.00,
    IF(arrears_months=1,3.00,
    IF(arrears_months=2,5.00,
    IF(arrears_months=3,8.00,
    IF(arrears_months=4,10.00,
    IF(arrears_months=5,12.00,15.00)))))))</f>
        <v/>
      </c>
      <c r="M1203">
        <f>LET(
    seasoning_years,DATEDIF('Loan Tape (S&amp;P)'!K1203,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03">
        <f>IF(AND('Loan Tape (S&amp;P)'!U1203="Yes",
        'Loan Tape (S&amp;P)'!T1203&lt;&gt;"Yes",
        DATEDIF('Loan Tape (S&amp;P)'!K1203, TODAY(), "M")&lt;18),
    1.10,
    1.00)</f>
        <v/>
      </c>
      <c r="O1203">
        <f>IF('Loan Tape (S&amp;P)'!T1203="Yes",
    1.35,
    1.00)</f>
        <v/>
      </c>
      <c r="P1203">
        <f>IF('Loan Tape (S&amp;P)'!S1203="Yes",
    1.15,
    1.00)</f>
        <v/>
      </c>
      <c r="Q1203">
        <f>IF('Loan Tape (S&amp;P)'!V1203="Yes",
    1.20,
    1.00)</f>
        <v/>
      </c>
      <c r="T1203">
        <f>LET(
    payment_method,'Loan Tape (S&amp;P)'!P1203,
    occupancy,'Loan Tape (S&amp;P)'!N1203,
    maturity_date,'Loan Tape (S&amp;P)'!L1203,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04">
      <c r="J1204">
        <f>LET(
    lien,'Loan Tape (S&amp;P)'!Q1204,
    IF(lien="First",1.00,
        IF(lien="Second",1.50,
            1.70)))</f>
        <v/>
      </c>
      <c r="K1204">
        <f>LET(
    purpose,'Loan Tape (S&amp;P)'!R1204,
    IF(purpose="Purchase",1.00,
        IF(purpose="Remortgage",1.00,
            1.20)))</f>
        <v/>
      </c>
      <c r="L1204">
        <f>LET(
    arrears_months,'Loan Tape (S&amp;P)'!AN1204,
    IF(arrears_months=0,1.00,
    IF(arrears_months=1,3.00,
    IF(arrears_months=2,5.00,
    IF(arrears_months=3,8.00,
    IF(arrears_months=4,10.00,
    IF(arrears_months=5,12.00,15.00)))))))</f>
        <v/>
      </c>
      <c r="M1204">
        <f>LET(
    seasoning_years,DATEDIF('Loan Tape (S&amp;P)'!K1204,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04">
        <f>IF(AND('Loan Tape (S&amp;P)'!U1204="Yes",
        'Loan Tape (S&amp;P)'!T1204&lt;&gt;"Yes",
        DATEDIF('Loan Tape (S&amp;P)'!K1204, TODAY(), "M")&lt;18),
    1.10,
    1.00)</f>
        <v/>
      </c>
      <c r="O1204">
        <f>IF('Loan Tape (S&amp;P)'!T1204="Yes",
    1.35,
    1.00)</f>
        <v/>
      </c>
      <c r="P1204">
        <f>IF('Loan Tape (S&amp;P)'!S1204="Yes",
    1.15,
    1.00)</f>
        <v/>
      </c>
      <c r="Q1204">
        <f>IF('Loan Tape (S&amp;P)'!V1204="Yes",
    1.20,
    1.00)</f>
        <v/>
      </c>
      <c r="T1204">
        <f>LET(
    payment_method,'Loan Tape (S&amp;P)'!P1204,
    occupancy,'Loan Tape (S&amp;P)'!N1204,
    maturity_date,'Loan Tape (S&amp;P)'!L1204,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05">
      <c r="J1205">
        <f>LET(
    lien,'Loan Tape (S&amp;P)'!Q1205,
    IF(lien="First",1.00,
        IF(lien="Second",1.50,
            1.70)))</f>
        <v/>
      </c>
      <c r="K1205">
        <f>LET(
    purpose,'Loan Tape (S&amp;P)'!R1205,
    IF(purpose="Purchase",1.00,
        IF(purpose="Remortgage",1.00,
            1.20)))</f>
        <v/>
      </c>
      <c r="L1205">
        <f>LET(
    arrears_months,'Loan Tape (S&amp;P)'!AN1205,
    IF(arrears_months=0,1.00,
    IF(arrears_months=1,3.00,
    IF(arrears_months=2,5.00,
    IF(arrears_months=3,8.00,
    IF(arrears_months=4,10.00,
    IF(arrears_months=5,12.00,15.00)))))))</f>
        <v/>
      </c>
      <c r="M1205">
        <f>LET(
    seasoning_years,DATEDIF('Loan Tape (S&amp;P)'!K1205,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05">
        <f>IF(AND('Loan Tape (S&amp;P)'!U1205="Yes",
        'Loan Tape (S&amp;P)'!T1205&lt;&gt;"Yes",
        DATEDIF('Loan Tape (S&amp;P)'!K1205, TODAY(), "M")&lt;18),
    1.10,
    1.00)</f>
        <v/>
      </c>
      <c r="O1205">
        <f>IF('Loan Tape (S&amp;P)'!T1205="Yes",
    1.35,
    1.00)</f>
        <v/>
      </c>
      <c r="P1205">
        <f>IF('Loan Tape (S&amp;P)'!S1205="Yes",
    1.15,
    1.00)</f>
        <v/>
      </c>
      <c r="Q1205">
        <f>IF('Loan Tape (S&amp;P)'!V1205="Yes",
    1.20,
    1.00)</f>
        <v/>
      </c>
      <c r="T1205">
        <f>LET(
    payment_method,'Loan Tape (S&amp;P)'!P1205,
    occupancy,'Loan Tape (S&amp;P)'!N1205,
    maturity_date,'Loan Tape (S&amp;P)'!L1205,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06">
      <c r="J1206">
        <f>LET(
    lien,'Loan Tape (S&amp;P)'!Q1206,
    IF(lien="First",1.00,
        IF(lien="Second",1.50,
            1.70)))</f>
        <v/>
      </c>
      <c r="K1206">
        <f>LET(
    purpose,'Loan Tape (S&amp;P)'!R1206,
    IF(purpose="Purchase",1.00,
        IF(purpose="Remortgage",1.00,
            1.20)))</f>
        <v/>
      </c>
      <c r="L1206">
        <f>LET(
    arrears_months,'Loan Tape (S&amp;P)'!AN1206,
    IF(arrears_months=0,1.00,
    IF(arrears_months=1,3.00,
    IF(arrears_months=2,5.00,
    IF(arrears_months=3,8.00,
    IF(arrears_months=4,10.00,
    IF(arrears_months=5,12.00,15.00)))))))</f>
        <v/>
      </c>
      <c r="M1206">
        <f>LET(
    seasoning_years,DATEDIF('Loan Tape (S&amp;P)'!K1206,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06">
        <f>IF(AND('Loan Tape (S&amp;P)'!U1206="Yes",
        'Loan Tape (S&amp;P)'!T1206&lt;&gt;"Yes",
        DATEDIF('Loan Tape (S&amp;P)'!K1206, TODAY(), "M")&lt;18),
    1.10,
    1.00)</f>
        <v/>
      </c>
      <c r="O1206">
        <f>IF('Loan Tape (S&amp;P)'!T1206="Yes",
    1.35,
    1.00)</f>
        <v/>
      </c>
      <c r="P1206">
        <f>IF('Loan Tape (S&amp;P)'!S1206="Yes",
    1.15,
    1.00)</f>
        <v/>
      </c>
      <c r="Q1206">
        <f>IF('Loan Tape (S&amp;P)'!V1206="Yes",
    1.20,
    1.00)</f>
        <v/>
      </c>
      <c r="T1206">
        <f>LET(
    payment_method,'Loan Tape (S&amp;P)'!P1206,
    occupancy,'Loan Tape (S&amp;P)'!N1206,
    maturity_date,'Loan Tape (S&amp;P)'!L1206,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07">
      <c r="J1207">
        <f>LET(
    lien,'Loan Tape (S&amp;P)'!Q1207,
    IF(lien="First",1.00,
        IF(lien="Second",1.50,
            1.70)))</f>
        <v/>
      </c>
      <c r="K1207">
        <f>LET(
    purpose,'Loan Tape (S&amp;P)'!R1207,
    IF(purpose="Purchase",1.00,
        IF(purpose="Remortgage",1.00,
            1.20)))</f>
        <v/>
      </c>
      <c r="L1207">
        <f>LET(
    arrears_months,'Loan Tape (S&amp;P)'!AN1207,
    IF(arrears_months=0,1.00,
    IF(arrears_months=1,3.00,
    IF(arrears_months=2,5.00,
    IF(arrears_months=3,8.00,
    IF(arrears_months=4,10.00,
    IF(arrears_months=5,12.00,15.00)))))))</f>
        <v/>
      </c>
      <c r="M1207">
        <f>LET(
    seasoning_years,DATEDIF('Loan Tape (S&amp;P)'!K1207,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07">
        <f>IF(AND('Loan Tape (S&amp;P)'!U1207="Yes",
        'Loan Tape (S&amp;P)'!T1207&lt;&gt;"Yes",
        DATEDIF('Loan Tape (S&amp;P)'!K1207, TODAY(), "M")&lt;18),
    1.10,
    1.00)</f>
        <v/>
      </c>
      <c r="O1207">
        <f>IF('Loan Tape (S&amp;P)'!T1207="Yes",
    1.35,
    1.00)</f>
        <v/>
      </c>
      <c r="P1207">
        <f>IF('Loan Tape (S&amp;P)'!S1207="Yes",
    1.15,
    1.00)</f>
        <v/>
      </c>
      <c r="Q1207">
        <f>IF('Loan Tape (S&amp;P)'!V1207="Yes",
    1.20,
    1.00)</f>
        <v/>
      </c>
      <c r="T1207">
        <f>LET(
    payment_method,'Loan Tape (S&amp;P)'!P1207,
    occupancy,'Loan Tape (S&amp;P)'!N1207,
    maturity_date,'Loan Tape (S&amp;P)'!L1207,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08">
      <c r="J1208">
        <f>LET(
    lien,'Loan Tape (S&amp;P)'!Q1208,
    IF(lien="First",1.00,
        IF(lien="Second",1.50,
            1.70)))</f>
        <v/>
      </c>
      <c r="K1208">
        <f>LET(
    purpose,'Loan Tape (S&amp;P)'!R1208,
    IF(purpose="Purchase",1.00,
        IF(purpose="Remortgage",1.00,
            1.20)))</f>
        <v/>
      </c>
      <c r="L1208">
        <f>LET(
    arrears_months,'Loan Tape (S&amp;P)'!AN1208,
    IF(arrears_months=0,1.00,
    IF(arrears_months=1,3.00,
    IF(arrears_months=2,5.00,
    IF(arrears_months=3,8.00,
    IF(arrears_months=4,10.00,
    IF(arrears_months=5,12.00,15.00)))))))</f>
        <v/>
      </c>
      <c r="M1208">
        <f>LET(
    seasoning_years,DATEDIF('Loan Tape (S&amp;P)'!K1208,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08">
        <f>IF(AND('Loan Tape (S&amp;P)'!U1208="Yes",
        'Loan Tape (S&amp;P)'!T1208&lt;&gt;"Yes",
        DATEDIF('Loan Tape (S&amp;P)'!K1208, TODAY(), "M")&lt;18),
    1.10,
    1.00)</f>
        <v/>
      </c>
      <c r="O1208">
        <f>IF('Loan Tape (S&amp;P)'!T1208="Yes",
    1.35,
    1.00)</f>
        <v/>
      </c>
      <c r="P1208">
        <f>IF('Loan Tape (S&amp;P)'!S1208="Yes",
    1.15,
    1.00)</f>
        <v/>
      </c>
      <c r="Q1208">
        <f>IF('Loan Tape (S&amp;P)'!V1208="Yes",
    1.20,
    1.00)</f>
        <v/>
      </c>
      <c r="T1208">
        <f>LET(
    payment_method,'Loan Tape (S&amp;P)'!P1208,
    occupancy,'Loan Tape (S&amp;P)'!N1208,
    maturity_date,'Loan Tape (S&amp;P)'!L1208,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09">
      <c r="J1209">
        <f>LET(
    lien,'Loan Tape (S&amp;P)'!Q1209,
    IF(lien="First",1.00,
        IF(lien="Second",1.50,
            1.70)))</f>
        <v/>
      </c>
      <c r="K1209">
        <f>LET(
    purpose,'Loan Tape (S&amp;P)'!R1209,
    IF(purpose="Purchase",1.00,
        IF(purpose="Remortgage",1.00,
            1.20)))</f>
        <v/>
      </c>
      <c r="L1209">
        <f>LET(
    arrears_months,'Loan Tape (S&amp;P)'!AN1209,
    IF(arrears_months=0,1.00,
    IF(arrears_months=1,3.00,
    IF(arrears_months=2,5.00,
    IF(arrears_months=3,8.00,
    IF(arrears_months=4,10.00,
    IF(arrears_months=5,12.00,15.00)))))))</f>
        <v/>
      </c>
      <c r="M1209">
        <f>LET(
    seasoning_years,DATEDIF('Loan Tape (S&amp;P)'!K1209,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09">
        <f>IF(AND('Loan Tape (S&amp;P)'!U1209="Yes",
        'Loan Tape (S&amp;P)'!T1209&lt;&gt;"Yes",
        DATEDIF('Loan Tape (S&amp;P)'!K1209, TODAY(), "M")&lt;18),
    1.10,
    1.00)</f>
        <v/>
      </c>
      <c r="O1209">
        <f>IF('Loan Tape (S&amp;P)'!T1209="Yes",
    1.35,
    1.00)</f>
        <v/>
      </c>
      <c r="P1209">
        <f>IF('Loan Tape (S&amp;P)'!S1209="Yes",
    1.15,
    1.00)</f>
        <v/>
      </c>
      <c r="Q1209">
        <f>IF('Loan Tape (S&amp;P)'!V1209="Yes",
    1.20,
    1.00)</f>
        <v/>
      </c>
      <c r="T1209">
        <f>LET(
    payment_method,'Loan Tape (S&amp;P)'!P1209,
    occupancy,'Loan Tape (S&amp;P)'!N1209,
    maturity_date,'Loan Tape (S&amp;P)'!L1209,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10">
      <c r="J1210">
        <f>LET(
    lien,'Loan Tape (S&amp;P)'!Q1210,
    IF(lien="First",1.00,
        IF(lien="Second",1.50,
            1.70)))</f>
        <v/>
      </c>
      <c r="K1210">
        <f>LET(
    purpose,'Loan Tape (S&amp;P)'!R1210,
    IF(purpose="Purchase",1.00,
        IF(purpose="Remortgage",1.00,
            1.20)))</f>
        <v/>
      </c>
      <c r="L1210">
        <f>LET(
    arrears_months,'Loan Tape (S&amp;P)'!AN1210,
    IF(arrears_months=0,1.00,
    IF(arrears_months=1,3.00,
    IF(arrears_months=2,5.00,
    IF(arrears_months=3,8.00,
    IF(arrears_months=4,10.00,
    IF(arrears_months=5,12.00,15.00)))))))</f>
        <v/>
      </c>
      <c r="M1210">
        <f>LET(
    seasoning_years,DATEDIF('Loan Tape (S&amp;P)'!K1210,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10">
        <f>IF(AND('Loan Tape (S&amp;P)'!U1210="Yes",
        'Loan Tape (S&amp;P)'!T1210&lt;&gt;"Yes",
        DATEDIF('Loan Tape (S&amp;P)'!K1210, TODAY(), "M")&lt;18),
    1.10,
    1.00)</f>
        <v/>
      </c>
      <c r="O1210">
        <f>IF('Loan Tape (S&amp;P)'!T1210="Yes",
    1.35,
    1.00)</f>
        <v/>
      </c>
      <c r="P1210">
        <f>IF('Loan Tape (S&amp;P)'!S1210="Yes",
    1.15,
    1.00)</f>
        <v/>
      </c>
      <c r="Q1210">
        <f>IF('Loan Tape (S&amp;P)'!V1210="Yes",
    1.20,
    1.00)</f>
        <v/>
      </c>
      <c r="T1210">
        <f>LET(
    payment_method,'Loan Tape (S&amp;P)'!P1210,
    occupancy,'Loan Tape (S&amp;P)'!N1210,
    maturity_date,'Loan Tape (S&amp;P)'!L1210,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11">
      <c r="J1211">
        <f>LET(
    lien,'Loan Tape (S&amp;P)'!Q1211,
    IF(lien="First",1.00,
        IF(lien="Second",1.50,
            1.70)))</f>
        <v/>
      </c>
      <c r="K1211">
        <f>LET(
    purpose,'Loan Tape (S&amp;P)'!R1211,
    IF(purpose="Purchase",1.00,
        IF(purpose="Remortgage",1.00,
            1.20)))</f>
        <v/>
      </c>
      <c r="L1211">
        <f>LET(
    arrears_months,'Loan Tape (S&amp;P)'!AN1211,
    IF(arrears_months=0,1.00,
    IF(arrears_months=1,3.00,
    IF(arrears_months=2,5.00,
    IF(arrears_months=3,8.00,
    IF(arrears_months=4,10.00,
    IF(arrears_months=5,12.00,15.00)))))))</f>
        <v/>
      </c>
      <c r="M1211">
        <f>LET(
    seasoning_years,DATEDIF('Loan Tape (S&amp;P)'!K1211,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11">
        <f>IF(AND('Loan Tape (S&amp;P)'!U1211="Yes",
        'Loan Tape (S&amp;P)'!T1211&lt;&gt;"Yes",
        DATEDIF('Loan Tape (S&amp;P)'!K1211, TODAY(), "M")&lt;18),
    1.10,
    1.00)</f>
        <v/>
      </c>
      <c r="O1211">
        <f>IF('Loan Tape (S&amp;P)'!T1211="Yes",
    1.35,
    1.00)</f>
        <v/>
      </c>
      <c r="P1211">
        <f>IF('Loan Tape (S&amp;P)'!S1211="Yes",
    1.15,
    1.00)</f>
        <v/>
      </c>
      <c r="Q1211">
        <f>IF('Loan Tape (S&amp;P)'!V1211="Yes",
    1.20,
    1.00)</f>
        <v/>
      </c>
      <c r="T1211">
        <f>LET(
    payment_method,'Loan Tape (S&amp;P)'!P1211,
    occupancy,'Loan Tape (S&amp;P)'!N1211,
    maturity_date,'Loan Tape (S&amp;P)'!L1211,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12">
      <c r="J1212">
        <f>LET(
    lien,'Loan Tape (S&amp;P)'!Q1212,
    IF(lien="First",1.00,
        IF(lien="Second",1.50,
            1.70)))</f>
        <v/>
      </c>
      <c r="K1212">
        <f>LET(
    purpose,'Loan Tape (S&amp;P)'!R1212,
    IF(purpose="Purchase",1.00,
        IF(purpose="Remortgage",1.00,
            1.20)))</f>
        <v/>
      </c>
      <c r="L1212">
        <f>LET(
    arrears_months,'Loan Tape (S&amp;P)'!AN1212,
    IF(arrears_months=0,1.00,
    IF(arrears_months=1,3.00,
    IF(arrears_months=2,5.00,
    IF(arrears_months=3,8.00,
    IF(arrears_months=4,10.00,
    IF(arrears_months=5,12.00,15.00)))))))</f>
        <v/>
      </c>
      <c r="M1212">
        <f>LET(
    seasoning_years,DATEDIF('Loan Tape (S&amp;P)'!K1212,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12">
        <f>IF(AND('Loan Tape (S&amp;P)'!U1212="Yes",
        'Loan Tape (S&amp;P)'!T1212&lt;&gt;"Yes",
        DATEDIF('Loan Tape (S&amp;P)'!K1212, TODAY(), "M")&lt;18),
    1.10,
    1.00)</f>
        <v/>
      </c>
      <c r="O1212">
        <f>IF('Loan Tape (S&amp;P)'!T1212="Yes",
    1.35,
    1.00)</f>
        <v/>
      </c>
      <c r="P1212">
        <f>IF('Loan Tape (S&amp;P)'!S1212="Yes",
    1.15,
    1.00)</f>
        <v/>
      </c>
      <c r="Q1212">
        <f>IF('Loan Tape (S&amp;P)'!V1212="Yes",
    1.20,
    1.00)</f>
        <v/>
      </c>
      <c r="T1212">
        <f>LET(
    payment_method,'Loan Tape (S&amp;P)'!P1212,
    occupancy,'Loan Tape (S&amp;P)'!N1212,
    maturity_date,'Loan Tape (S&amp;P)'!L1212,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13">
      <c r="J1213">
        <f>LET(
    lien,'Loan Tape (S&amp;P)'!Q1213,
    IF(lien="First",1.00,
        IF(lien="Second",1.50,
            1.70)))</f>
        <v/>
      </c>
      <c r="K1213">
        <f>LET(
    purpose,'Loan Tape (S&amp;P)'!R1213,
    IF(purpose="Purchase",1.00,
        IF(purpose="Remortgage",1.00,
            1.20)))</f>
        <v/>
      </c>
      <c r="L1213">
        <f>LET(
    arrears_months,'Loan Tape (S&amp;P)'!AN1213,
    IF(arrears_months=0,1.00,
    IF(arrears_months=1,3.00,
    IF(arrears_months=2,5.00,
    IF(arrears_months=3,8.00,
    IF(arrears_months=4,10.00,
    IF(arrears_months=5,12.00,15.00)))))))</f>
        <v/>
      </c>
      <c r="M1213">
        <f>LET(
    seasoning_years,DATEDIF('Loan Tape (S&amp;P)'!K1213,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13">
        <f>IF(AND('Loan Tape (S&amp;P)'!U1213="Yes",
        'Loan Tape (S&amp;P)'!T1213&lt;&gt;"Yes",
        DATEDIF('Loan Tape (S&amp;P)'!K1213, TODAY(), "M")&lt;18),
    1.10,
    1.00)</f>
        <v/>
      </c>
      <c r="O1213">
        <f>IF('Loan Tape (S&amp;P)'!T1213="Yes",
    1.35,
    1.00)</f>
        <v/>
      </c>
      <c r="P1213">
        <f>IF('Loan Tape (S&amp;P)'!S1213="Yes",
    1.15,
    1.00)</f>
        <v/>
      </c>
      <c r="Q1213">
        <f>IF('Loan Tape (S&amp;P)'!V1213="Yes",
    1.20,
    1.00)</f>
        <v/>
      </c>
      <c r="T1213">
        <f>LET(
    payment_method,'Loan Tape (S&amp;P)'!P1213,
    occupancy,'Loan Tape (S&amp;P)'!N1213,
    maturity_date,'Loan Tape (S&amp;P)'!L1213,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14">
      <c r="J1214">
        <f>LET(
    lien,'Loan Tape (S&amp;P)'!Q1214,
    IF(lien="First",1.00,
        IF(lien="Second",1.50,
            1.70)))</f>
        <v/>
      </c>
      <c r="K1214">
        <f>LET(
    purpose,'Loan Tape (S&amp;P)'!R1214,
    IF(purpose="Purchase",1.00,
        IF(purpose="Remortgage",1.00,
            1.20)))</f>
        <v/>
      </c>
      <c r="L1214">
        <f>LET(
    arrears_months,'Loan Tape (S&amp;P)'!AN1214,
    IF(arrears_months=0,1.00,
    IF(arrears_months=1,3.00,
    IF(arrears_months=2,5.00,
    IF(arrears_months=3,8.00,
    IF(arrears_months=4,10.00,
    IF(arrears_months=5,12.00,15.00)))))))</f>
        <v/>
      </c>
      <c r="M1214">
        <f>LET(
    seasoning_years,DATEDIF('Loan Tape (S&amp;P)'!K1214,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14">
        <f>IF(AND('Loan Tape (S&amp;P)'!U1214="Yes",
        'Loan Tape (S&amp;P)'!T1214&lt;&gt;"Yes",
        DATEDIF('Loan Tape (S&amp;P)'!K1214, TODAY(), "M")&lt;18),
    1.10,
    1.00)</f>
        <v/>
      </c>
      <c r="O1214">
        <f>IF('Loan Tape (S&amp;P)'!T1214="Yes",
    1.35,
    1.00)</f>
        <v/>
      </c>
      <c r="P1214">
        <f>IF('Loan Tape (S&amp;P)'!S1214="Yes",
    1.15,
    1.00)</f>
        <v/>
      </c>
      <c r="Q1214">
        <f>IF('Loan Tape (S&amp;P)'!V1214="Yes",
    1.20,
    1.00)</f>
        <v/>
      </c>
      <c r="T1214">
        <f>LET(
    payment_method,'Loan Tape (S&amp;P)'!P1214,
    occupancy,'Loan Tape (S&amp;P)'!N1214,
    maturity_date,'Loan Tape (S&amp;P)'!L1214,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15">
      <c r="J1215">
        <f>LET(
    lien,'Loan Tape (S&amp;P)'!Q1215,
    IF(lien="First",1.00,
        IF(lien="Second",1.50,
            1.70)))</f>
        <v/>
      </c>
      <c r="K1215">
        <f>LET(
    purpose,'Loan Tape (S&amp;P)'!R1215,
    IF(purpose="Purchase",1.00,
        IF(purpose="Remortgage",1.00,
            1.20)))</f>
        <v/>
      </c>
      <c r="L1215">
        <f>LET(
    arrears_months,'Loan Tape (S&amp;P)'!AN1215,
    IF(arrears_months=0,1.00,
    IF(arrears_months=1,3.00,
    IF(arrears_months=2,5.00,
    IF(arrears_months=3,8.00,
    IF(arrears_months=4,10.00,
    IF(arrears_months=5,12.00,15.00)))))))</f>
        <v/>
      </c>
      <c r="M1215">
        <f>LET(
    seasoning_years,DATEDIF('Loan Tape (S&amp;P)'!K1215,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15">
        <f>IF(AND('Loan Tape (S&amp;P)'!U1215="Yes",
        'Loan Tape (S&amp;P)'!T1215&lt;&gt;"Yes",
        DATEDIF('Loan Tape (S&amp;P)'!K1215, TODAY(), "M")&lt;18),
    1.10,
    1.00)</f>
        <v/>
      </c>
      <c r="O1215">
        <f>IF('Loan Tape (S&amp;P)'!T1215="Yes",
    1.35,
    1.00)</f>
        <v/>
      </c>
      <c r="P1215">
        <f>IF('Loan Tape (S&amp;P)'!S1215="Yes",
    1.15,
    1.00)</f>
        <v/>
      </c>
      <c r="Q1215">
        <f>IF('Loan Tape (S&amp;P)'!V1215="Yes",
    1.20,
    1.00)</f>
        <v/>
      </c>
      <c r="T1215">
        <f>LET(
    payment_method,'Loan Tape (S&amp;P)'!P1215,
    occupancy,'Loan Tape (S&amp;P)'!N1215,
    maturity_date,'Loan Tape (S&amp;P)'!L1215,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16">
      <c r="J1216">
        <f>LET(
    lien,'Loan Tape (S&amp;P)'!Q1216,
    IF(lien="First",1.00,
        IF(lien="Second",1.50,
            1.70)))</f>
        <v/>
      </c>
      <c r="K1216">
        <f>LET(
    purpose,'Loan Tape (S&amp;P)'!R1216,
    IF(purpose="Purchase",1.00,
        IF(purpose="Remortgage",1.00,
            1.20)))</f>
        <v/>
      </c>
      <c r="L1216">
        <f>LET(
    arrears_months,'Loan Tape (S&amp;P)'!AN1216,
    IF(arrears_months=0,1.00,
    IF(arrears_months=1,3.00,
    IF(arrears_months=2,5.00,
    IF(arrears_months=3,8.00,
    IF(arrears_months=4,10.00,
    IF(arrears_months=5,12.00,15.00)))))))</f>
        <v/>
      </c>
      <c r="M1216">
        <f>LET(
    seasoning_years,DATEDIF('Loan Tape (S&amp;P)'!K1216,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16">
        <f>IF(AND('Loan Tape (S&amp;P)'!U1216="Yes",
        'Loan Tape (S&amp;P)'!T1216&lt;&gt;"Yes",
        DATEDIF('Loan Tape (S&amp;P)'!K1216, TODAY(), "M")&lt;18),
    1.10,
    1.00)</f>
        <v/>
      </c>
      <c r="O1216">
        <f>IF('Loan Tape (S&amp;P)'!T1216="Yes",
    1.35,
    1.00)</f>
        <v/>
      </c>
      <c r="P1216">
        <f>IF('Loan Tape (S&amp;P)'!S1216="Yes",
    1.15,
    1.00)</f>
        <v/>
      </c>
      <c r="Q1216">
        <f>IF('Loan Tape (S&amp;P)'!V1216="Yes",
    1.20,
    1.00)</f>
        <v/>
      </c>
      <c r="T1216">
        <f>LET(
    payment_method,'Loan Tape (S&amp;P)'!P1216,
    occupancy,'Loan Tape (S&amp;P)'!N1216,
    maturity_date,'Loan Tape (S&amp;P)'!L1216,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17">
      <c r="J1217">
        <f>LET(
    lien,'Loan Tape (S&amp;P)'!Q1217,
    IF(lien="First",1.00,
        IF(lien="Second",1.50,
            1.70)))</f>
        <v/>
      </c>
      <c r="K1217">
        <f>LET(
    purpose,'Loan Tape (S&amp;P)'!R1217,
    IF(purpose="Purchase",1.00,
        IF(purpose="Remortgage",1.00,
            1.20)))</f>
        <v/>
      </c>
      <c r="L1217">
        <f>LET(
    arrears_months,'Loan Tape (S&amp;P)'!AN1217,
    IF(arrears_months=0,1.00,
    IF(arrears_months=1,3.00,
    IF(arrears_months=2,5.00,
    IF(arrears_months=3,8.00,
    IF(arrears_months=4,10.00,
    IF(arrears_months=5,12.00,15.00)))))))</f>
        <v/>
      </c>
      <c r="M1217">
        <f>LET(
    seasoning_years,DATEDIF('Loan Tape (S&amp;P)'!K1217,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17">
        <f>IF(AND('Loan Tape (S&amp;P)'!U1217="Yes",
        'Loan Tape (S&amp;P)'!T1217&lt;&gt;"Yes",
        DATEDIF('Loan Tape (S&amp;P)'!K1217, TODAY(), "M")&lt;18),
    1.10,
    1.00)</f>
        <v/>
      </c>
      <c r="O1217">
        <f>IF('Loan Tape (S&amp;P)'!T1217="Yes",
    1.35,
    1.00)</f>
        <v/>
      </c>
      <c r="P1217">
        <f>IF('Loan Tape (S&amp;P)'!S1217="Yes",
    1.15,
    1.00)</f>
        <v/>
      </c>
      <c r="Q1217">
        <f>IF('Loan Tape (S&amp;P)'!V1217="Yes",
    1.20,
    1.00)</f>
        <v/>
      </c>
      <c r="T1217">
        <f>LET(
    payment_method,'Loan Tape (S&amp;P)'!P1217,
    occupancy,'Loan Tape (S&amp;P)'!N1217,
    maturity_date,'Loan Tape (S&amp;P)'!L1217,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18">
      <c r="J1218">
        <f>LET(
    lien,'Loan Tape (S&amp;P)'!Q1218,
    IF(lien="First",1.00,
        IF(lien="Second",1.50,
            1.70)))</f>
        <v/>
      </c>
      <c r="K1218">
        <f>LET(
    purpose,'Loan Tape (S&amp;P)'!R1218,
    IF(purpose="Purchase",1.00,
        IF(purpose="Remortgage",1.00,
            1.20)))</f>
        <v/>
      </c>
      <c r="L1218">
        <f>LET(
    arrears_months,'Loan Tape (S&amp;P)'!AN1218,
    IF(arrears_months=0,1.00,
    IF(arrears_months=1,3.00,
    IF(arrears_months=2,5.00,
    IF(arrears_months=3,8.00,
    IF(arrears_months=4,10.00,
    IF(arrears_months=5,12.00,15.00)))))))</f>
        <v/>
      </c>
      <c r="M1218">
        <f>LET(
    seasoning_years,DATEDIF('Loan Tape (S&amp;P)'!K1218,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18">
        <f>IF(AND('Loan Tape (S&amp;P)'!U1218="Yes",
        'Loan Tape (S&amp;P)'!T1218&lt;&gt;"Yes",
        DATEDIF('Loan Tape (S&amp;P)'!K1218, TODAY(), "M")&lt;18),
    1.10,
    1.00)</f>
        <v/>
      </c>
      <c r="O1218">
        <f>IF('Loan Tape (S&amp;P)'!T1218="Yes",
    1.35,
    1.00)</f>
        <v/>
      </c>
      <c r="P1218">
        <f>IF('Loan Tape (S&amp;P)'!S1218="Yes",
    1.15,
    1.00)</f>
        <v/>
      </c>
      <c r="Q1218">
        <f>IF('Loan Tape (S&amp;P)'!V1218="Yes",
    1.20,
    1.00)</f>
        <v/>
      </c>
      <c r="T1218">
        <f>LET(
    payment_method,'Loan Tape (S&amp;P)'!P1218,
    occupancy,'Loan Tape (S&amp;P)'!N1218,
    maturity_date,'Loan Tape (S&amp;P)'!L1218,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19">
      <c r="J1219">
        <f>LET(
    lien,'Loan Tape (S&amp;P)'!Q1219,
    IF(lien="First",1.00,
        IF(lien="Second",1.50,
            1.70)))</f>
        <v/>
      </c>
      <c r="K1219">
        <f>LET(
    purpose,'Loan Tape (S&amp;P)'!R1219,
    IF(purpose="Purchase",1.00,
        IF(purpose="Remortgage",1.00,
            1.20)))</f>
        <v/>
      </c>
      <c r="L1219">
        <f>LET(
    arrears_months,'Loan Tape (S&amp;P)'!AN1219,
    IF(arrears_months=0,1.00,
    IF(arrears_months=1,3.00,
    IF(arrears_months=2,5.00,
    IF(arrears_months=3,8.00,
    IF(arrears_months=4,10.00,
    IF(arrears_months=5,12.00,15.00)))))))</f>
        <v/>
      </c>
      <c r="M1219">
        <f>LET(
    seasoning_years,DATEDIF('Loan Tape (S&amp;P)'!K1219,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19">
        <f>IF(AND('Loan Tape (S&amp;P)'!U1219="Yes",
        'Loan Tape (S&amp;P)'!T1219&lt;&gt;"Yes",
        DATEDIF('Loan Tape (S&amp;P)'!K1219, TODAY(), "M")&lt;18),
    1.10,
    1.00)</f>
        <v/>
      </c>
      <c r="O1219">
        <f>IF('Loan Tape (S&amp;P)'!T1219="Yes",
    1.35,
    1.00)</f>
        <v/>
      </c>
      <c r="P1219">
        <f>IF('Loan Tape (S&amp;P)'!S1219="Yes",
    1.15,
    1.00)</f>
        <v/>
      </c>
      <c r="Q1219">
        <f>IF('Loan Tape (S&amp;P)'!V1219="Yes",
    1.20,
    1.00)</f>
        <v/>
      </c>
      <c r="T1219">
        <f>LET(
    payment_method,'Loan Tape (S&amp;P)'!P1219,
    occupancy,'Loan Tape (S&amp;P)'!N1219,
    maturity_date,'Loan Tape (S&amp;P)'!L1219,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20">
      <c r="J1220">
        <f>LET(
    lien,'Loan Tape (S&amp;P)'!Q1220,
    IF(lien="First",1.00,
        IF(lien="Second",1.50,
            1.70)))</f>
        <v/>
      </c>
      <c r="K1220">
        <f>LET(
    purpose,'Loan Tape (S&amp;P)'!R1220,
    IF(purpose="Purchase",1.00,
        IF(purpose="Remortgage",1.00,
            1.20)))</f>
        <v/>
      </c>
      <c r="L1220">
        <f>LET(
    arrears_months,'Loan Tape (S&amp;P)'!AN1220,
    IF(arrears_months=0,1.00,
    IF(arrears_months=1,3.00,
    IF(arrears_months=2,5.00,
    IF(arrears_months=3,8.00,
    IF(arrears_months=4,10.00,
    IF(arrears_months=5,12.00,15.00)))))))</f>
        <v/>
      </c>
      <c r="M1220">
        <f>LET(
    seasoning_years,DATEDIF('Loan Tape (S&amp;P)'!K1220,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20">
        <f>IF(AND('Loan Tape (S&amp;P)'!U1220="Yes",
        'Loan Tape (S&amp;P)'!T1220&lt;&gt;"Yes",
        DATEDIF('Loan Tape (S&amp;P)'!K1220, TODAY(), "M")&lt;18),
    1.10,
    1.00)</f>
        <v/>
      </c>
      <c r="O1220">
        <f>IF('Loan Tape (S&amp;P)'!T1220="Yes",
    1.35,
    1.00)</f>
        <v/>
      </c>
      <c r="P1220">
        <f>IF('Loan Tape (S&amp;P)'!S1220="Yes",
    1.15,
    1.00)</f>
        <v/>
      </c>
      <c r="Q1220">
        <f>IF('Loan Tape (S&amp;P)'!V1220="Yes",
    1.20,
    1.00)</f>
        <v/>
      </c>
      <c r="T1220">
        <f>LET(
    payment_method,'Loan Tape (S&amp;P)'!P1220,
    occupancy,'Loan Tape (S&amp;P)'!N1220,
    maturity_date,'Loan Tape (S&amp;P)'!L1220,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21">
      <c r="J1221">
        <f>LET(
    lien,'Loan Tape (S&amp;P)'!Q1221,
    IF(lien="First",1.00,
        IF(lien="Second",1.50,
            1.70)))</f>
        <v/>
      </c>
      <c r="K1221">
        <f>LET(
    purpose,'Loan Tape (S&amp;P)'!R1221,
    IF(purpose="Purchase",1.00,
        IF(purpose="Remortgage",1.00,
            1.20)))</f>
        <v/>
      </c>
      <c r="L1221">
        <f>LET(
    arrears_months,'Loan Tape (S&amp;P)'!AN1221,
    IF(arrears_months=0,1.00,
    IF(arrears_months=1,3.00,
    IF(arrears_months=2,5.00,
    IF(arrears_months=3,8.00,
    IF(arrears_months=4,10.00,
    IF(arrears_months=5,12.00,15.00)))))))</f>
        <v/>
      </c>
      <c r="M1221">
        <f>LET(
    seasoning_years,DATEDIF('Loan Tape (S&amp;P)'!K1221,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21">
        <f>IF(AND('Loan Tape (S&amp;P)'!U1221="Yes",
        'Loan Tape (S&amp;P)'!T1221&lt;&gt;"Yes",
        DATEDIF('Loan Tape (S&amp;P)'!K1221, TODAY(), "M")&lt;18),
    1.10,
    1.00)</f>
        <v/>
      </c>
      <c r="O1221">
        <f>IF('Loan Tape (S&amp;P)'!T1221="Yes",
    1.35,
    1.00)</f>
        <v/>
      </c>
      <c r="P1221">
        <f>IF('Loan Tape (S&amp;P)'!S1221="Yes",
    1.15,
    1.00)</f>
        <v/>
      </c>
      <c r="Q1221">
        <f>IF('Loan Tape (S&amp;P)'!V1221="Yes",
    1.20,
    1.00)</f>
        <v/>
      </c>
      <c r="T1221">
        <f>LET(
    payment_method,'Loan Tape (S&amp;P)'!P1221,
    occupancy,'Loan Tape (S&amp;P)'!N1221,
    maturity_date,'Loan Tape (S&amp;P)'!L1221,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22">
      <c r="J1222">
        <f>LET(
    lien,'Loan Tape (S&amp;P)'!Q1222,
    IF(lien="First",1.00,
        IF(lien="Second",1.50,
            1.70)))</f>
        <v/>
      </c>
      <c r="K1222">
        <f>LET(
    purpose,'Loan Tape (S&amp;P)'!R1222,
    IF(purpose="Purchase",1.00,
        IF(purpose="Remortgage",1.00,
            1.20)))</f>
        <v/>
      </c>
      <c r="L1222">
        <f>LET(
    arrears_months,'Loan Tape (S&amp;P)'!AN1222,
    IF(arrears_months=0,1.00,
    IF(arrears_months=1,3.00,
    IF(arrears_months=2,5.00,
    IF(arrears_months=3,8.00,
    IF(arrears_months=4,10.00,
    IF(arrears_months=5,12.00,15.00)))))))</f>
        <v/>
      </c>
      <c r="M1222">
        <f>LET(
    seasoning_years,DATEDIF('Loan Tape (S&amp;P)'!K1222,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22">
        <f>IF(AND('Loan Tape (S&amp;P)'!U1222="Yes",
        'Loan Tape (S&amp;P)'!T1222&lt;&gt;"Yes",
        DATEDIF('Loan Tape (S&amp;P)'!K1222, TODAY(), "M")&lt;18),
    1.10,
    1.00)</f>
        <v/>
      </c>
      <c r="O1222">
        <f>IF('Loan Tape (S&amp;P)'!T1222="Yes",
    1.35,
    1.00)</f>
        <v/>
      </c>
      <c r="P1222">
        <f>IF('Loan Tape (S&amp;P)'!S1222="Yes",
    1.15,
    1.00)</f>
        <v/>
      </c>
      <c r="Q1222">
        <f>IF('Loan Tape (S&amp;P)'!V1222="Yes",
    1.20,
    1.00)</f>
        <v/>
      </c>
      <c r="T1222">
        <f>LET(
    payment_method,'Loan Tape (S&amp;P)'!P1222,
    occupancy,'Loan Tape (S&amp;P)'!N1222,
    maturity_date,'Loan Tape (S&amp;P)'!L1222,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23">
      <c r="J1223">
        <f>LET(
    lien,'Loan Tape (S&amp;P)'!Q1223,
    IF(lien="First",1.00,
        IF(lien="Second",1.50,
            1.70)))</f>
        <v/>
      </c>
      <c r="K1223">
        <f>LET(
    purpose,'Loan Tape (S&amp;P)'!R1223,
    IF(purpose="Purchase",1.00,
        IF(purpose="Remortgage",1.00,
            1.20)))</f>
        <v/>
      </c>
      <c r="L1223">
        <f>LET(
    arrears_months,'Loan Tape (S&amp;P)'!AN1223,
    IF(arrears_months=0,1.00,
    IF(arrears_months=1,3.00,
    IF(arrears_months=2,5.00,
    IF(arrears_months=3,8.00,
    IF(arrears_months=4,10.00,
    IF(arrears_months=5,12.00,15.00)))))))</f>
        <v/>
      </c>
      <c r="M1223">
        <f>LET(
    seasoning_years,DATEDIF('Loan Tape (S&amp;P)'!K1223,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23">
        <f>IF(AND('Loan Tape (S&amp;P)'!U1223="Yes",
        'Loan Tape (S&amp;P)'!T1223&lt;&gt;"Yes",
        DATEDIF('Loan Tape (S&amp;P)'!K1223, TODAY(), "M")&lt;18),
    1.10,
    1.00)</f>
        <v/>
      </c>
      <c r="O1223">
        <f>IF('Loan Tape (S&amp;P)'!T1223="Yes",
    1.35,
    1.00)</f>
        <v/>
      </c>
      <c r="P1223">
        <f>IF('Loan Tape (S&amp;P)'!S1223="Yes",
    1.15,
    1.00)</f>
        <v/>
      </c>
      <c r="Q1223">
        <f>IF('Loan Tape (S&amp;P)'!V1223="Yes",
    1.20,
    1.00)</f>
        <v/>
      </c>
      <c r="T1223">
        <f>LET(
    payment_method,'Loan Tape (S&amp;P)'!P1223,
    occupancy,'Loan Tape (S&amp;P)'!N1223,
    maturity_date,'Loan Tape (S&amp;P)'!L1223,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24">
      <c r="J1224">
        <f>LET(
    lien,'Loan Tape (S&amp;P)'!Q1224,
    IF(lien="First",1.00,
        IF(lien="Second",1.50,
            1.70)))</f>
        <v/>
      </c>
      <c r="K1224">
        <f>LET(
    purpose,'Loan Tape (S&amp;P)'!R1224,
    IF(purpose="Purchase",1.00,
        IF(purpose="Remortgage",1.00,
            1.20)))</f>
        <v/>
      </c>
      <c r="L1224">
        <f>LET(
    arrears_months,'Loan Tape (S&amp;P)'!AN1224,
    IF(arrears_months=0,1.00,
    IF(arrears_months=1,3.00,
    IF(arrears_months=2,5.00,
    IF(arrears_months=3,8.00,
    IF(arrears_months=4,10.00,
    IF(arrears_months=5,12.00,15.00)))))))</f>
        <v/>
      </c>
      <c r="M1224">
        <f>LET(
    seasoning_years,DATEDIF('Loan Tape (S&amp;P)'!K1224,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24">
        <f>IF(AND('Loan Tape (S&amp;P)'!U1224="Yes",
        'Loan Tape (S&amp;P)'!T1224&lt;&gt;"Yes",
        DATEDIF('Loan Tape (S&amp;P)'!K1224, TODAY(), "M")&lt;18),
    1.10,
    1.00)</f>
        <v/>
      </c>
      <c r="O1224">
        <f>IF('Loan Tape (S&amp;P)'!T1224="Yes",
    1.35,
    1.00)</f>
        <v/>
      </c>
      <c r="P1224">
        <f>IF('Loan Tape (S&amp;P)'!S1224="Yes",
    1.15,
    1.00)</f>
        <v/>
      </c>
      <c r="Q1224">
        <f>IF('Loan Tape (S&amp;P)'!V1224="Yes",
    1.20,
    1.00)</f>
        <v/>
      </c>
      <c r="T1224">
        <f>LET(
    payment_method,'Loan Tape (S&amp;P)'!P1224,
    occupancy,'Loan Tape (S&amp;P)'!N1224,
    maturity_date,'Loan Tape (S&amp;P)'!L1224,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25">
      <c r="J1225">
        <f>LET(
    lien,'Loan Tape (S&amp;P)'!Q1225,
    IF(lien="First",1.00,
        IF(lien="Second",1.50,
            1.70)))</f>
        <v/>
      </c>
      <c r="K1225">
        <f>LET(
    purpose,'Loan Tape (S&amp;P)'!R1225,
    IF(purpose="Purchase",1.00,
        IF(purpose="Remortgage",1.00,
            1.20)))</f>
        <v/>
      </c>
      <c r="L1225">
        <f>LET(
    arrears_months,'Loan Tape (S&amp;P)'!AN1225,
    IF(arrears_months=0,1.00,
    IF(arrears_months=1,3.00,
    IF(arrears_months=2,5.00,
    IF(arrears_months=3,8.00,
    IF(arrears_months=4,10.00,
    IF(arrears_months=5,12.00,15.00)))))))</f>
        <v/>
      </c>
      <c r="M1225">
        <f>LET(
    seasoning_years,DATEDIF('Loan Tape (S&amp;P)'!K1225,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25">
        <f>IF(AND('Loan Tape (S&amp;P)'!U1225="Yes",
        'Loan Tape (S&amp;P)'!T1225&lt;&gt;"Yes",
        DATEDIF('Loan Tape (S&amp;P)'!K1225, TODAY(), "M")&lt;18),
    1.10,
    1.00)</f>
        <v/>
      </c>
      <c r="O1225">
        <f>IF('Loan Tape (S&amp;P)'!T1225="Yes",
    1.35,
    1.00)</f>
        <v/>
      </c>
      <c r="P1225">
        <f>IF('Loan Tape (S&amp;P)'!S1225="Yes",
    1.15,
    1.00)</f>
        <v/>
      </c>
      <c r="Q1225">
        <f>IF('Loan Tape (S&amp;P)'!V1225="Yes",
    1.20,
    1.00)</f>
        <v/>
      </c>
      <c r="T1225">
        <f>LET(
    payment_method,'Loan Tape (S&amp;P)'!P1225,
    occupancy,'Loan Tape (S&amp;P)'!N1225,
    maturity_date,'Loan Tape (S&amp;P)'!L1225,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26">
      <c r="J1226">
        <f>LET(
    lien,'Loan Tape (S&amp;P)'!Q1226,
    IF(lien="First",1.00,
        IF(lien="Second",1.50,
            1.70)))</f>
        <v/>
      </c>
      <c r="K1226">
        <f>LET(
    purpose,'Loan Tape (S&amp;P)'!R1226,
    IF(purpose="Purchase",1.00,
        IF(purpose="Remortgage",1.00,
            1.20)))</f>
        <v/>
      </c>
      <c r="L1226">
        <f>LET(
    arrears_months,'Loan Tape (S&amp;P)'!AN1226,
    IF(arrears_months=0,1.00,
    IF(arrears_months=1,3.00,
    IF(arrears_months=2,5.00,
    IF(arrears_months=3,8.00,
    IF(arrears_months=4,10.00,
    IF(arrears_months=5,12.00,15.00)))))))</f>
        <v/>
      </c>
      <c r="M1226">
        <f>LET(
    seasoning_years,DATEDIF('Loan Tape (S&amp;P)'!K1226,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26">
        <f>IF(AND('Loan Tape (S&amp;P)'!U1226="Yes",
        'Loan Tape (S&amp;P)'!T1226&lt;&gt;"Yes",
        DATEDIF('Loan Tape (S&amp;P)'!K1226, TODAY(), "M")&lt;18),
    1.10,
    1.00)</f>
        <v/>
      </c>
      <c r="O1226">
        <f>IF('Loan Tape (S&amp;P)'!T1226="Yes",
    1.35,
    1.00)</f>
        <v/>
      </c>
      <c r="P1226">
        <f>IF('Loan Tape (S&amp;P)'!S1226="Yes",
    1.15,
    1.00)</f>
        <v/>
      </c>
      <c r="Q1226">
        <f>IF('Loan Tape (S&amp;P)'!V1226="Yes",
    1.20,
    1.00)</f>
        <v/>
      </c>
      <c r="T1226">
        <f>LET(
    payment_method,'Loan Tape (S&amp;P)'!P1226,
    occupancy,'Loan Tape (S&amp;P)'!N1226,
    maturity_date,'Loan Tape (S&amp;P)'!L1226,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27">
      <c r="J1227">
        <f>LET(
    lien,'Loan Tape (S&amp;P)'!Q1227,
    IF(lien="First",1.00,
        IF(lien="Second",1.50,
            1.70)))</f>
        <v/>
      </c>
      <c r="K1227">
        <f>LET(
    purpose,'Loan Tape (S&amp;P)'!R1227,
    IF(purpose="Purchase",1.00,
        IF(purpose="Remortgage",1.00,
            1.20)))</f>
        <v/>
      </c>
      <c r="L1227">
        <f>LET(
    arrears_months,'Loan Tape (S&amp;P)'!AN1227,
    IF(arrears_months=0,1.00,
    IF(arrears_months=1,3.00,
    IF(arrears_months=2,5.00,
    IF(arrears_months=3,8.00,
    IF(arrears_months=4,10.00,
    IF(arrears_months=5,12.00,15.00)))))))</f>
        <v/>
      </c>
      <c r="M1227">
        <f>LET(
    seasoning_years,DATEDIF('Loan Tape (S&amp;P)'!K1227,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27">
        <f>IF(AND('Loan Tape (S&amp;P)'!U1227="Yes",
        'Loan Tape (S&amp;P)'!T1227&lt;&gt;"Yes",
        DATEDIF('Loan Tape (S&amp;P)'!K1227, TODAY(), "M")&lt;18),
    1.10,
    1.00)</f>
        <v/>
      </c>
      <c r="O1227">
        <f>IF('Loan Tape (S&amp;P)'!T1227="Yes",
    1.35,
    1.00)</f>
        <v/>
      </c>
      <c r="P1227">
        <f>IF('Loan Tape (S&amp;P)'!S1227="Yes",
    1.15,
    1.00)</f>
        <v/>
      </c>
      <c r="Q1227">
        <f>IF('Loan Tape (S&amp;P)'!V1227="Yes",
    1.20,
    1.00)</f>
        <v/>
      </c>
      <c r="T1227">
        <f>LET(
    payment_method,'Loan Tape (S&amp;P)'!P1227,
    occupancy,'Loan Tape (S&amp;P)'!N1227,
    maturity_date,'Loan Tape (S&amp;P)'!L1227,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28">
      <c r="J1228">
        <f>LET(
    lien,'Loan Tape (S&amp;P)'!Q1228,
    IF(lien="First",1.00,
        IF(lien="Second",1.50,
            1.70)))</f>
        <v/>
      </c>
      <c r="K1228">
        <f>LET(
    purpose,'Loan Tape (S&amp;P)'!R1228,
    IF(purpose="Purchase",1.00,
        IF(purpose="Remortgage",1.00,
            1.20)))</f>
        <v/>
      </c>
      <c r="L1228">
        <f>LET(
    arrears_months,'Loan Tape (S&amp;P)'!AN1228,
    IF(arrears_months=0,1.00,
    IF(arrears_months=1,3.00,
    IF(arrears_months=2,5.00,
    IF(arrears_months=3,8.00,
    IF(arrears_months=4,10.00,
    IF(arrears_months=5,12.00,15.00)))))))</f>
        <v/>
      </c>
      <c r="M1228">
        <f>LET(
    seasoning_years,DATEDIF('Loan Tape (S&amp;P)'!K1228,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28">
        <f>IF(AND('Loan Tape (S&amp;P)'!U1228="Yes",
        'Loan Tape (S&amp;P)'!T1228&lt;&gt;"Yes",
        DATEDIF('Loan Tape (S&amp;P)'!K1228, TODAY(), "M")&lt;18),
    1.10,
    1.00)</f>
        <v/>
      </c>
      <c r="O1228">
        <f>IF('Loan Tape (S&amp;P)'!T1228="Yes",
    1.35,
    1.00)</f>
        <v/>
      </c>
      <c r="P1228">
        <f>IF('Loan Tape (S&amp;P)'!S1228="Yes",
    1.15,
    1.00)</f>
        <v/>
      </c>
      <c r="Q1228">
        <f>IF('Loan Tape (S&amp;P)'!V1228="Yes",
    1.20,
    1.00)</f>
        <v/>
      </c>
      <c r="T1228">
        <f>LET(
    payment_method,'Loan Tape (S&amp;P)'!P1228,
    occupancy,'Loan Tape (S&amp;P)'!N1228,
    maturity_date,'Loan Tape (S&amp;P)'!L1228,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29">
      <c r="J1229">
        <f>LET(
    lien,'Loan Tape (S&amp;P)'!Q1229,
    IF(lien="First",1.00,
        IF(lien="Second",1.50,
            1.70)))</f>
        <v/>
      </c>
      <c r="K1229">
        <f>LET(
    purpose,'Loan Tape (S&amp;P)'!R1229,
    IF(purpose="Purchase",1.00,
        IF(purpose="Remortgage",1.00,
            1.20)))</f>
        <v/>
      </c>
      <c r="L1229">
        <f>LET(
    arrears_months,'Loan Tape (S&amp;P)'!AN1229,
    IF(arrears_months=0,1.00,
    IF(arrears_months=1,3.00,
    IF(arrears_months=2,5.00,
    IF(arrears_months=3,8.00,
    IF(arrears_months=4,10.00,
    IF(arrears_months=5,12.00,15.00)))))))</f>
        <v/>
      </c>
      <c r="M1229">
        <f>LET(
    seasoning_years,DATEDIF('Loan Tape (S&amp;P)'!K1229,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29">
        <f>IF(AND('Loan Tape (S&amp;P)'!U1229="Yes",
        'Loan Tape (S&amp;P)'!T1229&lt;&gt;"Yes",
        DATEDIF('Loan Tape (S&amp;P)'!K1229, TODAY(), "M")&lt;18),
    1.10,
    1.00)</f>
        <v/>
      </c>
      <c r="O1229">
        <f>IF('Loan Tape (S&amp;P)'!T1229="Yes",
    1.35,
    1.00)</f>
        <v/>
      </c>
      <c r="P1229">
        <f>IF('Loan Tape (S&amp;P)'!S1229="Yes",
    1.15,
    1.00)</f>
        <v/>
      </c>
      <c r="Q1229">
        <f>IF('Loan Tape (S&amp;P)'!V1229="Yes",
    1.20,
    1.00)</f>
        <v/>
      </c>
      <c r="T1229">
        <f>LET(
    payment_method,'Loan Tape (S&amp;P)'!P1229,
    occupancy,'Loan Tape (S&amp;P)'!N1229,
    maturity_date,'Loan Tape (S&amp;P)'!L1229,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30">
      <c r="J1230">
        <f>LET(
    lien,'Loan Tape (S&amp;P)'!Q1230,
    IF(lien="First",1.00,
        IF(lien="Second",1.50,
            1.70)))</f>
        <v/>
      </c>
      <c r="K1230">
        <f>LET(
    purpose,'Loan Tape (S&amp;P)'!R1230,
    IF(purpose="Purchase",1.00,
        IF(purpose="Remortgage",1.00,
            1.20)))</f>
        <v/>
      </c>
      <c r="L1230">
        <f>LET(
    arrears_months,'Loan Tape (S&amp;P)'!AN1230,
    IF(arrears_months=0,1.00,
    IF(arrears_months=1,3.00,
    IF(arrears_months=2,5.00,
    IF(arrears_months=3,8.00,
    IF(arrears_months=4,10.00,
    IF(arrears_months=5,12.00,15.00)))))))</f>
        <v/>
      </c>
      <c r="M1230">
        <f>LET(
    seasoning_years,DATEDIF('Loan Tape (S&amp;P)'!K1230,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30">
        <f>IF(AND('Loan Tape (S&amp;P)'!U1230="Yes",
        'Loan Tape (S&amp;P)'!T1230&lt;&gt;"Yes",
        DATEDIF('Loan Tape (S&amp;P)'!K1230, TODAY(), "M")&lt;18),
    1.10,
    1.00)</f>
        <v/>
      </c>
      <c r="O1230">
        <f>IF('Loan Tape (S&amp;P)'!T1230="Yes",
    1.35,
    1.00)</f>
        <v/>
      </c>
      <c r="P1230">
        <f>IF('Loan Tape (S&amp;P)'!S1230="Yes",
    1.15,
    1.00)</f>
        <v/>
      </c>
      <c r="Q1230">
        <f>IF('Loan Tape (S&amp;P)'!V1230="Yes",
    1.20,
    1.00)</f>
        <v/>
      </c>
      <c r="T1230">
        <f>LET(
    payment_method,'Loan Tape (S&amp;P)'!P1230,
    occupancy,'Loan Tape (S&amp;P)'!N1230,
    maturity_date,'Loan Tape (S&amp;P)'!L1230,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31">
      <c r="J1231">
        <f>LET(
    lien,'Loan Tape (S&amp;P)'!Q1231,
    IF(lien="First",1.00,
        IF(lien="Second",1.50,
            1.70)))</f>
        <v/>
      </c>
      <c r="K1231">
        <f>LET(
    purpose,'Loan Tape (S&amp;P)'!R1231,
    IF(purpose="Purchase",1.00,
        IF(purpose="Remortgage",1.00,
            1.20)))</f>
        <v/>
      </c>
      <c r="L1231">
        <f>LET(
    arrears_months,'Loan Tape (S&amp;P)'!AN1231,
    IF(arrears_months=0,1.00,
    IF(arrears_months=1,3.00,
    IF(arrears_months=2,5.00,
    IF(arrears_months=3,8.00,
    IF(arrears_months=4,10.00,
    IF(arrears_months=5,12.00,15.00)))))))</f>
        <v/>
      </c>
      <c r="M1231">
        <f>LET(
    seasoning_years,DATEDIF('Loan Tape (S&amp;P)'!K1231,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31">
        <f>IF(AND('Loan Tape (S&amp;P)'!U1231="Yes",
        'Loan Tape (S&amp;P)'!T1231&lt;&gt;"Yes",
        DATEDIF('Loan Tape (S&amp;P)'!K1231, TODAY(), "M")&lt;18),
    1.10,
    1.00)</f>
        <v/>
      </c>
      <c r="O1231">
        <f>IF('Loan Tape (S&amp;P)'!T1231="Yes",
    1.35,
    1.00)</f>
        <v/>
      </c>
      <c r="P1231">
        <f>IF('Loan Tape (S&amp;P)'!S1231="Yes",
    1.15,
    1.00)</f>
        <v/>
      </c>
      <c r="Q1231">
        <f>IF('Loan Tape (S&amp;P)'!V1231="Yes",
    1.20,
    1.00)</f>
        <v/>
      </c>
      <c r="T1231">
        <f>LET(
    payment_method,'Loan Tape (S&amp;P)'!P1231,
    occupancy,'Loan Tape (S&amp;P)'!N1231,
    maturity_date,'Loan Tape (S&amp;P)'!L1231,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32">
      <c r="J1232">
        <f>LET(
    lien,'Loan Tape (S&amp;P)'!Q1232,
    IF(lien="First",1.00,
        IF(lien="Second",1.50,
            1.70)))</f>
        <v/>
      </c>
      <c r="K1232">
        <f>LET(
    purpose,'Loan Tape (S&amp;P)'!R1232,
    IF(purpose="Purchase",1.00,
        IF(purpose="Remortgage",1.00,
            1.20)))</f>
        <v/>
      </c>
      <c r="L1232">
        <f>LET(
    arrears_months,'Loan Tape (S&amp;P)'!AN1232,
    IF(arrears_months=0,1.00,
    IF(arrears_months=1,3.00,
    IF(arrears_months=2,5.00,
    IF(arrears_months=3,8.00,
    IF(arrears_months=4,10.00,
    IF(arrears_months=5,12.00,15.00)))))))</f>
        <v/>
      </c>
      <c r="M1232">
        <f>LET(
    seasoning_years,DATEDIF('Loan Tape (S&amp;P)'!K1232,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32">
        <f>IF(AND('Loan Tape (S&amp;P)'!U1232="Yes",
        'Loan Tape (S&amp;P)'!T1232&lt;&gt;"Yes",
        DATEDIF('Loan Tape (S&amp;P)'!K1232, TODAY(), "M")&lt;18),
    1.10,
    1.00)</f>
        <v/>
      </c>
      <c r="O1232">
        <f>IF('Loan Tape (S&amp;P)'!T1232="Yes",
    1.35,
    1.00)</f>
        <v/>
      </c>
      <c r="P1232">
        <f>IF('Loan Tape (S&amp;P)'!S1232="Yes",
    1.15,
    1.00)</f>
        <v/>
      </c>
      <c r="Q1232">
        <f>IF('Loan Tape (S&amp;P)'!V1232="Yes",
    1.20,
    1.00)</f>
        <v/>
      </c>
      <c r="T1232">
        <f>LET(
    payment_method,'Loan Tape (S&amp;P)'!P1232,
    occupancy,'Loan Tape (S&amp;P)'!N1232,
    maturity_date,'Loan Tape (S&amp;P)'!L1232,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33">
      <c r="J1233">
        <f>LET(
    lien,'Loan Tape (S&amp;P)'!Q1233,
    IF(lien="First",1.00,
        IF(lien="Second",1.50,
            1.70)))</f>
        <v/>
      </c>
      <c r="K1233">
        <f>LET(
    purpose,'Loan Tape (S&amp;P)'!R1233,
    IF(purpose="Purchase",1.00,
        IF(purpose="Remortgage",1.00,
            1.20)))</f>
        <v/>
      </c>
      <c r="L1233">
        <f>LET(
    arrears_months,'Loan Tape (S&amp;P)'!AN1233,
    IF(arrears_months=0,1.00,
    IF(arrears_months=1,3.00,
    IF(arrears_months=2,5.00,
    IF(arrears_months=3,8.00,
    IF(arrears_months=4,10.00,
    IF(arrears_months=5,12.00,15.00)))))))</f>
        <v/>
      </c>
      <c r="M1233">
        <f>LET(
    seasoning_years,DATEDIF('Loan Tape (S&amp;P)'!K1233,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33">
        <f>IF(AND('Loan Tape (S&amp;P)'!U1233="Yes",
        'Loan Tape (S&amp;P)'!T1233&lt;&gt;"Yes",
        DATEDIF('Loan Tape (S&amp;P)'!K1233, TODAY(), "M")&lt;18),
    1.10,
    1.00)</f>
        <v/>
      </c>
      <c r="O1233">
        <f>IF('Loan Tape (S&amp;P)'!T1233="Yes",
    1.35,
    1.00)</f>
        <v/>
      </c>
      <c r="P1233">
        <f>IF('Loan Tape (S&amp;P)'!S1233="Yes",
    1.15,
    1.00)</f>
        <v/>
      </c>
      <c r="Q1233">
        <f>IF('Loan Tape (S&amp;P)'!V1233="Yes",
    1.20,
    1.00)</f>
        <v/>
      </c>
      <c r="T1233">
        <f>LET(
    payment_method,'Loan Tape (S&amp;P)'!P1233,
    occupancy,'Loan Tape (S&amp;P)'!N1233,
    maturity_date,'Loan Tape (S&amp;P)'!L1233,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34">
      <c r="J1234">
        <f>LET(
    lien,'Loan Tape (S&amp;P)'!Q1234,
    IF(lien="First",1.00,
        IF(lien="Second",1.50,
            1.70)))</f>
        <v/>
      </c>
      <c r="K1234">
        <f>LET(
    purpose,'Loan Tape (S&amp;P)'!R1234,
    IF(purpose="Purchase",1.00,
        IF(purpose="Remortgage",1.00,
            1.20)))</f>
        <v/>
      </c>
      <c r="L1234">
        <f>LET(
    arrears_months,'Loan Tape (S&amp;P)'!AN1234,
    IF(arrears_months=0,1.00,
    IF(arrears_months=1,3.00,
    IF(arrears_months=2,5.00,
    IF(arrears_months=3,8.00,
    IF(arrears_months=4,10.00,
    IF(arrears_months=5,12.00,15.00)))))))</f>
        <v/>
      </c>
      <c r="M1234">
        <f>LET(
    seasoning_years,DATEDIF('Loan Tape (S&amp;P)'!K1234,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34">
        <f>IF(AND('Loan Tape (S&amp;P)'!U1234="Yes",
        'Loan Tape (S&amp;P)'!T1234&lt;&gt;"Yes",
        DATEDIF('Loan Tape (S&amp;P)'!K1234, TODAY(), "M")&lt;18),
    1.10,
    1.00)</f>
        <v/>
      </c>
      <c r="O1234">
        <f>IF('Loan Tape (S&amp;P)'!T1234="Yes",
    1.35,
    1.00)</f>
        <v/>
      </c>
      <c r="P1234">
        <f>IF('Loan Tape (S&amp;P)'!S1234="Yes",
    1.15,
    1.00)</f>
        <v/>
      </c>
      <c r="Q1234">
        <f>IF('Loan Tape (S&amp;P)'!V1234="Yes",
    1.20,
    1.00)</f>
        <v/>
      </c>
      <c r="T1234">
        <f>LET(
    payment_method,'Loan Tape (S&amp;P)'!P1234,
    occupancy,'Loan Tape (S&amp;P)'!N1234,
    maturity_date,'Loan Tape (S&amp;P)'!L1234,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35">
      <c r="J1235">
        <f>LET(
    lien,'Loan Tape (S&amp;P)'!Q1235,
    IF(lien="First",1.00,
        IF(lien="Second",1.50,
            1.70)))</f>
        <v/>
      </c>
      <c r="K1235">
        <f>LET(
    purpose,'Loan Tape (S&amp;P)'!R1235,
    IF(purpose="Purchase",1.00,
        IF(purpose="Remortgage",1.00,
            1.20)))</f>
        <v/>
      </c>
      <c r="L1235">
        <f>LET(
    arrears_months,'Loan Tape (S&amp;P)'!AN1235,
    IF(arrears_months=0,1.00,
    IF(arrears_months=1,3.00,
    IF(arrears_months=2,5.00,
    IF(arrears_months=3,8.00,
    IF(arrears_months=4,10.00,
    IF(arrears_months=5,12.00,15.00)))))))</f>
        <v/>
      </c>
      <c r="M1235">
        <f>LET(
    seasoning_years,DATEDIF('Loan Tape (S&amp;P)'!K1235,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35">
        <f>IF(AND('Loan Tape (S&amp;P)'!U1235="Yes",
        'Loan Tape (S&amp;P)'!T1235&lt;&gt;"Yes",
        DATEDIF('Loan Tape (S&amp;P)'!K1235, TODAY(), "M")&lt;18),
    1.10,
    1.00)</f>
        <v/>
      </c>
      <c r="O1235">
        <f>IF('Loan Tape (S&amp;P)'!T1235="Yes",
    1.35,
    1.00)</f>
        <v/>
      </c>
      <c r="P1235">
        <f>IF('Loan Tape (S&amp;P)'!S1235="Yes",
    1.15,
    1.00)</f>
        <v/>
      </c>
      <c r="Q1235">
        <f>IF('Loan Tape (S&amp;P)'!V1235="Yes",
    1.20,
    1.00)</f>
        <v/>
      </c>
      <c r="T1235">
        <f>LET(
    payment_method,'Loan Tape (S&amp;P)'!P1235,
    occupancy,'Loan Tape (S&amp;P)'!N1235,
    maturity_date,'Loan Tape (S&amp;P)'!L1235,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36">
      <c r="J1236">
        <f>LET(
    lien,'Loan Tape (S&amp;P)'!Q1236,
    IF(lien="First",1.00,
        IF(lien="Second",1.50,
            1.70)))</f>
        <v/>
      </c>
      <c r="K1236">
        <f>LET(
    purpose,'Loan Tape (S&amp;P)'!R1236,
    IF(purpose="Purchase",1.00,
        IF(purpose="Remortgage",1.00,
            1.20)))</f>
        <v/>
      </c>
      <c r="L1236">
        <f>LET(
    arrears_months,'Loan Tape (S&amp;P)'!AN1236,
    IF(arrears_months=0,1.00,
    IF(arrears_months=1,3.00,
    IF(arrears_months=2,5.00,
    IF(arrears_months=3,8.00,
    IF(arrears_months=4,10.00,
    IF(arrears_months=5,12.00,15.00)))))))</f>
        <v/>
      </c>
      <c r="M1236">
        <f>LET(
    seasoning_years,DATEDIF('Loan Tape (S&amp;P)'!K1236,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36">
        <f>IF(AND('Loan Tape (S&amp;P)'!U1236="Yes",
        'Loan Tape (S&amp;P)'!T1236&lt;&gt;"Yes",
        DATEDIF('Loan Tape (S&amp;P)'!K1236, TODAY(), "M")&lt;18),
    1.10,
    1.00)</f>
        <v/>
      </c>
      <c r="O1236">
        <f>IF('Loan Tape (S&amp;P)'!T1236="Yes",
    1.35,
    1.00)</f>
        <v/>
      </c>
      <c r="P1236">
        <f>IF('Loan Tape (S&amp;P)'!S1236="Yes",
    1.15,
    1.00)</f>
        <v/>
      </c>
      <c r="Q1236">
        <f>IF('Loan Tape (S&amp;P)'!V1236="Yes",
    1.20,
    1.00)</f>
        <v/>
      </c>
      <c r="T1236">
        <f>LET(
    payment_method,'Loan Tape (S&amp;P)'!P1236,
    occupancy,'Loan Tape (S&amp;P)'!N1236,
    maturity_date,'Loan Tape (S&amp;P)'!L1236,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37">
      <c r="J1237">
        <f>LET(
    lien,'Loan Tape (S&amp;P)'!Q1237,
    IF(lien="First",1.00,
        IF(lien="Second",1.50,
            1.70)))</f>
        <v/>
      </c>
      <c r="K1237">
        <f>LET(
    purpose,'Loan Tape (S&amp;P)'!R1237,
    IF(purpose="Purchase",1.00,
        IF(purpose="Remortgage",1.00,
            1.20)))</f>
        <v/>
      </c>
      <c r="L1237">
        <f>LET(
    arrears_months,'Loan Tape (S&amp;P)'!AN1237,
    IF(arrears_months=0,1.00,
    IF(arrears_months=1,3.00,
    IF(arrears_months=2,5.00,
    IF(arrears_months=3,8.00,
    IF(arrears_months=4,10.00,
    IF(arrears_months=5,12.00,15.00)))))))</f>
        <v/>
      </c>
      <c r="M1237">
        <f>LET(
    seasoning_years,DATEDIF('Loan Tape (S&amp;P)'!K1237,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37">
        <f>IF(AND('Loan Tape (S&amp;P)'!U1237="Yes",
        'Loan Tape (S&amp;P)'!T1237&lt;&gt;"Yes",
        DATEDIF('Loan Tape (S&amp;P)'!K1237, TODAY(), "M")&lt;18),
    1.10,
    1.00)</f>
        <v/>
      </c>
      <c r="O1237">
        <f>IF('Loan Tape (S&amp;P)'!T1237="Yes",
    1.35,
    1.00)</f>
        <v/>
      </c>
      <c r="P1237">
        <f>IF('Loan Tape (S&amp;P)'!S1237="Yes",
    1.15,
    1.00)</f>
        <v/>
      </c>
      <c r="Q1237">
        <f>IF('Loan Tape (S&amp;P)'!V1237="Yes",
    1.20,
    1.00)</f>
        <v/>
      </c>
      <c r="T1237">
        <f>LET(
    payment_method,'Loan Tape (S&amp;P)'!P1237,
    occupancy,'Loan Tape (S&amp;P)'!N1237,
    maturity_date,'Loan Tape (S&amp;P)'!L1237,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38">
      <c r="J1238">
        <f>LET(
    lien,'Loan Tape (S&amp;P)'!Q1238,
    IF(lien="First",1.00,
        IF(lien="Second",1.50,
            1.70)))</f>
        <v/>
      </c>
      <c r="K1238">
        <f>LET(
    purpose,'Loan Tape (S&amp;P)'!R1238,
    IF(purpose="Purchase",1.00,
        IF(purpose="Remortgage",1.00,
            1.20)))</f>
        <v/>
      </c>
      <c r="L1238">
        <f>LET(
    arrears_months,'Loan Tape (S&amp;P)'!AN1238,
    IF(arrears_months=0,1.00,
    IF(arrears_months=1,3.00,
    IF(arrears_months=2,5.00,
    IF(arrears_months=3,8.00,
    IF(arrears_months=4,10.00,
    IF(arrears_months=5,12.00,15.00)))))))</f>
        <v/>
      </c>
      <c r="M1238">
        <f>LET(
    seasoning_years,DATEDIF('Loan Tape (S&amp;P)'!K1238,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38">
        <f>IF(AND('Loan Tape (S&amp;P)'!U1238="Yes",
        'Loan Tape (S&amp;P)'!T1238&lt;&gt;"Yes",
        DATEDIF('Loan Tape (S&amp;P)'!K1238, TODAY(), "M")&lt;18),
    1.10,
    1.00)</f>
        <v/>
      </c>
      <c r="O1238">
        <f>IF('Loan Tape (S&amp;P)'!T1238="Yes",
    1.35,
    1.00)</f>
        <v/>
      </c>
      <c r="P1238">
        <f>IF('Loan Tape (S&amp;P)'!S1238="Yes",
    1.15,
    1.00)</f>
        <v/>
      </c>
      <c r="Q1238">
        <f>IF('Loan Tape (S&amp;P)'!V1238="Yes",
    1.20,
    1.00)</f>
        <v/>
      </c>
      <c r="T1238">
        <f>LET(
    payment_method,'Loan Tape (S&amp;P)'!P1238,
    occupancy,'Loan Tape (S&amp;P)'!N1238,
    maturity_date,'Loan Tape (S&amp;P)'!L1238,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39">
      <c r="J1239">
        <f>LET(
    lien,'Loan Tape (S&amp;P)'!Q1239,
    IF(lien="First",1.00,
        IF(lien="Second",1.50,
            1.70)))</f>
        <v/>
      </c>
      <c r="K1239">
        <f>LET(
    purpose,'Loan Tape (S&amp;P)'!R1239,
    IF(purpose="Purchase",1.00,
        IF(purpose="Remortgage",1.00,
            1.20)))</f>
        <v/>
      </c>
      <c r="L1239">
        <f>LET(
    arrears_months,'Loan Tape (S&amp;P)'!AN1239,
    IF(arrears_months=0,1.00,
    IF(arrears_months=1,3.00,
    IF(arrears_months=2,5.00,
    IF(arrears_months=3,8.00,
    IF(arrears_months=4,10.00,
    IF(arrears_months=5,12.00,15.00)))))))</f>
        <v/>
      </c>
      <c r="M1239">
        <f>LET(
    seasoning_years,DATEDIF('Loan Tape (S&amp;P)'!K1239,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39">
        <f>IF(AND('Loan Tape (S&amp;P)'!U1239="Yes",
        'Loan Tape (S&amp;P)'!T1239&lt;&gt;"Yes",
        DATEDIF('Loan Tape (S&amp;P)'!K1239, TODAY(), "M")&lt;18),
    1.10,
    1.00)</f>
        <v/>
      </c>
      <c r="O1239">
        <f>IF('Loan Tape (S&amp;P)'!T1239="Yes",
    1.35,
    1.00)</f>
        <v/>
      </c>
      <c r="P1239">
        <f>IF('Loan Tape (S&amp;P)'!S1239="Yes",
    1.15,
    1.00)</f>
        <v/>
      </c>
      <c r="Q1239">
        <f>IF('Loan Tape (S&amp;P)'!V1239="Yes",
    1.20,
    1.00)</f>
        <v/>
      </c>
      <c r="T1239">
        <f>LET(
    payment_method,'Loan Tape (S&amp;P)'!P1239,
    occupancy,'Loan Tape (S&amp;P)'!N1239,
    maturity_date,'Loan Tape (S&amp;P)'!L1239,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40">
      <c r="J1240">
        <f>LET(
    lien,'Loan Tape (S&amp;P)'!Q1240,
    IF(lien="First",1.00,
        IF(lien="Second",1.50,
            1.70)))</f>
        <v/>
      </c>
      <c r="K1240">
        <f>LET(
    purpose,'Loan Tape (S&amp;P)'!R1240,
    IF(purpose="Purchase",1.00,
        IF(purpose="Remortgage",1.00,
            1.20)))</f>
        <v/>
      </c>
      <c r="L1240">
        <f>LET(
    arrears_months,'Loan Tape (S&amp;P)'!AN1240,
    IF(arrears_months=0,1.00,
    IF(arrears_months=1,3.00,
    IF(arrears_months=2,5.00,
    IF(arrears_months=3,8.00,
    IF(arrears_months=4,10.00,
    IF(arrears_months=5,12.00,15.00)))))))</f>
        <v/>
      </c>
      <c r="M1240">
        <f>LET(
    seasoning_years,DATEDIF('Loan Tape (S&amp;P)'!K1240,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40">
        <f>IF(AND('Loan Tape (S&amp;P)'!U1240="Yes",
        'Loan Tape (S&amp;P)'!T1240&lt;&gt;"Yes",
        DATEDIF('Loan Tape (S&amp;P)'!K1240, TODAY(), "M")&lt;18),
    1.10,
    1.00)</f>
        <v/>
      </c>
      <c r="O1240">
        <f>IF('Loan Tape (S&amp;P)'!T1240="Yes",
    1.35,
    1.00)</f>
        <v/>
      </c>
      <c r="P1240">
        <f>IF('Loan Tape (S&amp;P)'!S1240="Yes",
    1.15,
    1.00)</f>
        <v/>
      </c>
      <c r="Q1240">
        <f>IF('Loan Tape (S&amp;P)'!V1240="Yes",
    1.20,
    1.00)</f>
        <v/>
      </c>
      <c r="T1240">
        <f>LET(
    payment_method,'Loan Tape (S&amp;P)'!P1240,
    occupancy,'Loan Tape (S&amp;P)'!N1240,
    maturity_date,'Loan Tape (S&amp;P)'!L1240,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41">
      <c r="J1241">
        <f>LET(
    lien,'Loan Tape (S&amp;P)'!Q1241,
    IF(lien="First",1.00,
        IF(lien="Second",1.50,
            1.70)))</f>
        <v/>
      </c>
      <c r="K1241">
        <f>LET(
    purpose,'Loan Tape (S&amp;P)'!R1241,
    IF(purpose="Purchase",1.00,
        IF(purpose="Remortgage",1.00,
            1.20)))</f>
        <v/>
      </c>
      <c r="L1241">
        <f>LET(
    arrears_months,'Loan Tape (S&amp;P)'!AN1241,
    IF(arrears_months=0,1.00,
    IF(arrears_months=1,3.00,
    IF(arrears_months=2,5.00,
    IF(arrears_months=3,8.00,
    IF(arrears_months=4,10.00,
    IF(arrears_months=5,12.00,15.00)))))))</f>
        <v/>
      </c>
      <c r="M1241">
        <f>LET(
    seasoning_years,DATEDIF('Loan Tape (S&amp;P)'!K1241,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41">
        <f>IF(AND('Loan Tape (S&amp;P)'!U1241="Yes",
        'Loan Tape (S&amp;P)'!T1241&lt;&gt;"Yes",
        DATEDIF('Loan Tape (S&amp;P)'!K1241, TODAY(), "M")&lt;18),
    1.10,
    1.00)</f>
        <v/>
      </c>
      <c r="O1241">
        <f>IF('Loan Tape (S&amp;P)'!T1241="Yes",
    1.35,
    1.00)</f>
        <v/>
      </c>
      <c r="P1241">
        <f>IF('Loan Tape (S&amp;P)'!S1241="Yes",
    1.15,
    1.00)</f>
        <v/>
      </c>
      <c r="Q1241">
        <f>IF('Loan Tape (S&amp;P)'!V1241="Yes",
    1.20,
    1.00)</f>
        <v/>
      </c>
      <c r="T1241">
        <f>LET(
    payment_method,'Loan Tape (S&amp;P)'!P1241,
    occupancy,'Loan Tape (S&amp;P)'!N1241,
    maturity_date,'Loan Tape (S&amp;P)'!L1241,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42">
      <c r="J1242">
        <f>LET(
    lien,'Loan Tape (S&amp;P)'!Q1242,
    IF(lien="First",1.00,
        IF(lien="Second",1.50,
            1.70)))</f>
        <v/>
      </c>
      <c r="K1242">
        <f>LET(
    purpose,'Loan Tape (S&amp;P)'!R1242,
    IF(purpose="Purchase",1.00,
        IF(purpose="Remortgage",1.00,
            1.20)))</f>
        <v/>
      </c>
      <c r="L1242">
        <f>LET(
    arrears_months,'Loan Tape (S&amp;P)'!AN1242,
    IF(arrears_months=0,1.00,
    IF(arrears_months=1,3.00,
    IF(arrears_months=2,5.00,
    IF(arrears_months=3,8.00,
    IF(arrears_months=4,10.00,
    IF(arrears_months=5,12.00,15.00)))))))</f>
        <v/>
      </c>
      <c r="M1242">
        <f>LET(
    seasoning_years,DATEDIF('Loan Tape (S&amp;P)'!K1242,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42">
        <f>IF(AND('Loan Tape (S&amp;P)'!U1242="Yes",
        'Loan Tape (S&amp;P)'!T1242&lt;&gt;"Yes",
        DATEDIF('Loan Tape (S&amp;P)'!K1242, TODAY(), "M")&lt;18),
    1.10,
    1.00)</f>
        <v/>
      </c>
      <c r="O1242">
        <f>IF('Loan Tape (S&amp;P)'!T1242="Yes",
    1.35,
    1.00)</f>
        <v/>
      </c>
      <c r="P1242">
        <f>IF('Loan Tape (S&amp;P)'!S1242="Yes",
    1.15,
    1.00)</f>
        <v/>
      </c>
      <c r="Q1242">
        <f>IF('Loan Tape (S&amp;P)'!V1242="Yes",
    1.20,
    1.00)</f>
        <v/>
      </c>
      <c r="T1242">
        <f>LET(
    payment_method,'Loan Tape (S&amp;P)'!P1242,
    occupancy,'Loan Tape (S&amp;P)'!N1242,
    maturity_date,'Loan Tape (S&amp;P)'!L1242,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43">
      <c r="J1243">
        <f>LET(
    lien,'Loan Tape (S&amp;P)'!Q1243,
    IF(lien="First",1.00,
        IF(lien="Second",1.50,
            1.70)))</f>
        <v/>
      </c>
      <c r="K1243">
        <f>LET(
    purpose,'Loan Tape (S&amp;P)'!R1243,
    IF(purpose="Purchase",1.00,
        IF(purpose="Remortgage",1.00,
            1.20)))</f>
        <v/>
      </c>
      <c r="L1243">
        <f>LET(
    arrears_months,'Loan Tape (S&amp;P)'!AN1243,
    IF(arrears_months=0,1.00,
    IF(arrears_months=1,3.00,
    IF(arrears_months=2,5.00,
    IF(arrears_months=3,8.00,
    IF(arrears_months=4,10.00,
    IF(arrears_months=5,12.00,15.00)))))))</f>
        <v/>
      </c>
      <c r="M1243">
        <f>LET(
    seasoning_years,DATEDIF('Loan Tape (S&amp;P)'!K1243,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43">
        <f>IF(AND('Loan Tape (S&amp;P)'!U1243="Yes",
        'Loan Tape (S&amp;P)'!T1243&lt;&gt;"Yes",
        DATEDIF('Loan Tape (S&amp;P)'!K1243, TODAY(), "M")&lt;18),
    1.10,
    1.00)</f>
        <v/>
      </c>
      <c r="O1243">
        <f>IF('Loan Tape (S&amp;P)'!T1243="Yes",
    1.35,
    1.00)</f>
        <v/>
      </c>
      <c r="P1243">
        <f>IF('Loan Tape (S&amp;P)'!S1243="Yes",
    1.15,
    1.00)</f>
        <v/>
      </c>
      <c r="Q1243">
        <f>IF('Loan Tape (S&amp;P)'!V1243="Yes",
    1.20,
    1.00)</f>
        <v/>
      </c>
      <c r="T1243">
        <f>LET(
    payment_method,'Loan Tape (S&amp;P)'!P1243,
    occupancy,'Loan Tape (S&amp;P)'!N1243,
    maturity_date,'Loan Tape (S&amp;P)'!L1243,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44">
      <c r="J1244">
        <f>LET(
    lien,'Loan Tape (S&amp;P)'!Q1244,
    IF(lien="First",1.00,
        IF(lien="Second",1.50,
            1.70)))</f>
        <v/>
      </c>
      <c r="K1244">
        <f>LET(
    purpose,'Loan Tape (S&amp;P)'!R1244,
    IF(purpose="Purchase",1.00,
        IF(purpose="Remortgage",1.00,
            1.20)))</f>
        <v/>
      </c>
      <c r="L1244">
        <f>LET(
    arrears_months,'Loan Tape (S&amp;P)'!AN1244,
    IF(arrears_months=0,1.00,
    IF(arrears_months=1,3.00,
    IF(arrears_months=2,5.00,
    IF(arrears_months=3,8.00,
    IF(arrears_months=4,10.00,
    IF(arrears_months=5,12.00,15.00)))))))</f>
        <v/>
      </c>
      <c r="M1244">
        <f>LET(
    seasoning_years,DATEDIF('Loan Tape (S&amp;P)'!K1244,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44">
        <f>IF(AND('Loan Tape (S&amp;P)'!U1244="Yes",
        'Loan Tape (S&amp;P)'!T1244&lt;&gt;"Yes",
        DATEDIF('Loan Tape (S&amp;P)'!K1244, TODAY(), "M")&lt;18),
    1.10,
    1.00)</f>
        <v/>
      </c>
      <c r="O1244">
        <f>IF('Loan Tape (S&amp;P)'!T1244="Yes",
    1.35,
    1.00)</f>
        <v/>
      </c>
      <c r="P1244">
        <f>IF('Loan Tape (S&amp;P)'!S1244="Yes",
    1.15,
    1.00)</f>
        <v/>
      </c>
      <c r="Q1244">
        <f>IF('Loan Tape (S&amp;P)'!V1244="Yes",
    1.20,
    1.00)</f>
        <v/>
      </c>
      <c r="T1244">
        <f>LET(
    payment_method,'Loan Tape (S&amp;P)'!P1244,
    occupancy,'Loan Tape (S&amp;P)'!N1244,
    maturity_date,'Loan Tape (S&amp;P)'!L1244,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45">
      <c r="J1245">
        <f>LET(
    lien,'Loan Tape (S&amp;P)'!Q1245,
    IF(lien="First",1.00,
        IF(lien="Second",1.50,
            1.70)))</f>
        <v/>
      </c>
      <c r="K1245">
        <f>LET(
    purpose,'Loan Tape (S&amp;P)'!R1245,
    IF(purpose="Purchase",1.00,
        IF(purpose="Remortgage",1.00,
            1.20)))</f>
        <v/>
      </c>
      <c r="L1245">
        <f>LET(
    arrears_months,'Loan Tape (S&amp;P)'!AN1245,
    IF(arrears_months=0,1.00,
    IF(arrears_months=1,3.00,
    IF(arrears_months=2,5.00,
    IF(arrears_months=3,8.00,
    IF(arrears_months=4,10.00,
    IF(arrears_months=5,12.00,15.00)))))))</f>
        <v/>
      </c>
      <c r="M1245">
        <f>LET(
    seasoning_years,DATEDIF('Loan Tape (S&amp;P)'!K1245,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45">
        <f>IF(AND('Loan Tape (S&amp;P)'!U1245="Yes",
        'Loan Tape (S&amp;P)'!T1245&lt;&gt;"Yes",
        DATEDIF('Loan Tape (S&amp;P)'!K1245, TODAY(), "M")&lt;18),
    1.10,
    1.00)</f>
        <v/>
      </c>
      <c r="O1245">
        <f>IF('Loan Tape (S&amp;P)'!T1245="Yes",
    1.35,
    1.00)</f>
        <v/>
      </c>
      <c r="P1245">
        <f>IF('Loan Tape (S&amp;P)'!S1245="Yes",
    1.15,
    1.00)</f>
        <v/>
      </c>
      <c r="Q1245">
        <f>IF('Loan Tape (S&amp;P)'!V1245="Yes",
    1.20,
    1.00)</f>
        <v/>
      </c>
      <c r="T1245">
        <f>LET(
    payment_method,'Loan Tape (S&amp;P)'!P1245,
    occupancy,'Loan Tape (S&amp;P)'!N1245,
    maturity_date,'Loan Tape (S&amp;P)'!L1245,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46">
      <c r="J1246">
        <f>LET(
    lien,'Loan Tape (S&amp;P)'!Q1246,
    IF(lien="First",1.00,
        IF(lien="Second",1.50,
            1.70)))</f>
        <v/>
      </c>
      <c r="K1246">
        <f>LET(
    purpose,'Loan Tape (S&amp;P)'!R1246,
    IF(purpose="Purchase",1.00,
        IF(purpose="Remortgage",1.00,
            1.20)))</f>
        <v/>
      </c>
      <c r="L1246">
        <f>LET(
    arrears_months,'Loan Tape (S&amp;P)'!AN1246,
    IF(arrears_months=0,1.00,
    IF(arrears_months=1,3.00,
    IF(arrears_months=2,5.00,
    IF(arrears_months=3,8.00,
    IF(arrears_months=4,10.00,
    IF(arrears_months=5,12.00,15.00)))))))</f>
        <v/>
      </c>
      <c r="M1246">
        <f>LET(
    seasoning_years,DATEDIF('Loan Tape (S&amp;P)'!K1246,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46">
        <f>IF(AND('Loan Tape (S&amp;P)'!U1246="Yes",
        'Loan Tape (S&amp;P)'!T1246&lt;&gt;"Yes",
        DATEDIF('Loan Tape (S&amp;P)'!K1246, TODAY(), "M")&lt;18),
    1.10,
    1.00)</f>
        <v/>
      </c>
      <c r="O1246">
        <f>IF('Loan Tape (S&amp;P)'!T1246="Yes",
    1.35,
    1.00)</f>
        <v/>
      </c>
      <c r="P1246">
        <f>IF('Loan Tape (S&amp;P)'!S1246="Yes",
    1.15,
    1.00)</f>
        <v/>
      </c>
      <c r="Q1246">
        <f>IF('Loan Tape (S&amp;P)'!V1246="Yes",
    1.20,
    1.00)</f>
        <v/>
      </c>
      <c r="T1246">
        <f>LET(
    payment_method,'Loan Tape (S&amp;P)'!P1246,
    occupancy,'Loan Tape (S&amp;P)'!N1246,
    maturity_date,'Loan Tape (S&amp;P)'!L1246,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47">
      <c r="J1247">
        <f>LET(
    lien,'Loan Tape (S&amp;P)'!Q1247,
    IF(lien="First",1.00,
        IF(lien="Second",1.50,
            1.70)))</f>
        <v/>
      </c>
      <c r="K1247">
        <f>LET(
    purpose,'Loan Tape (S&amp;P)'!R1247,
    IF(purpose="Purchase",1.00,
        IF(purpose="Remortgage",1.00,
            1.20)))</f>
        <v/>
      </c>
      <c r="L1247">
        <f>LET(
    arrears_months,'Loan Tape (S&amp;P)'!AN1247,
    IF(arrears_months=0,1.00,
    IF(arrears_months=1,3.00,
    IF(arrears_months=2,5.00,
    IF(arrears_months=3,8.00,
    IF(arrears_months=4,10.00,
    IF(arrears_months=5,12.00,15.00)))))))</f>
        <v/>
      </c>
      <c r="M1247">
        <f>LET(
    seasoning_years,DATEDIF('Loan Tape (S&amp;P)'!K1247,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47">
        <f>IF(AND('Loan Tape (S&amp;P)'!U1247="Yes",
        'Loan Tape (S&amp;P)'!T1247&lt;&gt;"Yes",
        DATEDIF('Loan Tape (S&amp;P)'!K1247, TODAY(), "M")&lt;18),
    1.10,
    1.00)</f>
        <v/>
      </c>
      <c r="O1247">
        <f>IF('Loan Tape (S&amp;P)'!T1247="Yes",
    1.35,
    1.00)</f>
        <v/>
      </c>
      <c r="P1247">
        <f>IF('Loan Tape (S&amp;P)'!S1247="Yes",
    1.15,
    1.00)</f>
        <v/>
      </c>
      <c r="Q1247">
        <f>IF('Loan Tape (S&amp;P)'!V1247="Yes",
    1.20,
    1.00)</f>
        <v/>
      </c>
      <c r="T1247">
        <f>LET(
    payment_method,'Loan Tape (S&amp;P)'!P1247,
    occupancy,'Loan Tape (S&amp;P)'!N1247,
    maturity_date,'Loan Tape (S&amp;P)'!L1247,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48">
      <c r="J1248">
        <f>LET(
    lien,'Loan Tape (S&amp;P)'!Q1248,
    IF(lien="First",1.00,
        IF(lien="Second",1.50,
            1.70)))</f>
        <v/>
      </c>
      <c r="K1248">
        <f>LET(
    purpose,'Loan Tape (S&amp;P)'!R1248,
    IF(purpose="Purchase",1.00,
        IF(purpose="Remortgage",1.00,
            1.20)))</f>
        <v/>
      </c>
      <c r="L1248">
        <f>LET(
    arrears_months,'Loan Tape (S&amp;P)'!AN1248,
    IF(arrears_months=0,1.00,
    IF(arrears_months=1,3.00,
    IF(arrears_months=2,5.00,
    IF(arrears_months=3,8.00,
    IF(arrears_months=4,10.00,
    IF(arrears_months=5,12.00,15.00)))))))</f>
        <v/>
      </c>
      <c r="M1248">
        <f>LET(
    seasoning_years,DATEDIF('Loan Tape (S&amp;P)'!K1248,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48">
        <f>IF(AND('Loan Tape (S&amp;P)'!U1248="Yes",
        'Loan Tape (S&amp;P)'!T1248&lt;&gt;"Yes",
        DATEDIF('Loan Tape (S&amp;P)'!K1248, TODAY(), "M")&lt;18),
    1.10,
    1.00)</f>
        <v/>
      </c>
      <c r="O1248">
        <f>IF('Loan Tape (S&amp;P)'!T1248="Yes",
    1.35,
    1.00)</f>
        <v/>
      </c>
      <c r="P1248">
        <f>IF('Loan Tape (S&amp;P)'!S1248="Yes",
    1.15,
    1.00)</f>
        <v/>
      </c>
      <c r="Q1248">
        <f>IF('Loan Tape (S&amp;P)'!V1248="Yes",
    1.20,
    1.00)</f>
        <v/>
      </c>
      <c r="T1248">
        <f>LET(
    payment_method,'Loan Tape (S&amp;P)'!P1248,
    occupancy,'Loan Tape (S&amp;P)'!N1248,
    maturity_date,'Loan Tape (S&amp;P)'!L1248,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49">
      <c r="J1249">
        <f>LET(
    lien,'Loan Tape (S&amp;P)'!Q1249,
    IF(lien="First",1.00,
        IF(lien="Second",1.50,
            1.70)))</f>
        <v/>
      </c>
      <c r="K1249">
        <f>LET(
    purpose,'Loan Tape (S&amp;P)'!R1249,
    IF(purpose="Purchase",1.00,
        IF(purpose="Remortgage",1.00,
            1.20)))</f>
        <v/>
      </c>
      <c r="L1249">
        <f>LET(
    arrears_months,'Loan Tape (S&amp;P)'!AN1249,
    IF(arrears_months=0,1.00,
    IF(arrears_months=1,3.00,
    IF(arrears_months=2,5.00,
    IF(arrears_months=3,8.00,
    IF(arrears_months=4,10.00,
    IF(arrears_months=5,12.00,15.00)))))))</f>
        <v/>
      </c>
      <c r="M1249">
        <f>LET(
    seasoning_years,DATEDIF('Loan Tape (S&amp;P)'!K1249,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49">
        <f>IF(AND('Loan Tape (S&amp;P)'!U1249="Yes",
        'Loan Tape (S&amp;P)'!T1249&lt;&gt;"Yes",
        DATEDIF('Loan Tape (S&amp;P)'!K1249, TODAY(), "M")&lt;18),
    1.10,
    1.00)</f>
        <v/>
      </c>
      <c r="O1249">
        <f>IF('Loan Tape (S&amp;P)'!T1249="Yes",
    1.35,
    1.00)</f>
        <v/>
      </c>
      <c r="P1249">
        <f>IF('Loan Tape (S&amp;P)'!S1249="Yes",
    1.15,
    1.00)</f>
        <v/>
      </c>
      <c r="Q1249">
        <f>IF('Loan Tape (S&amp;P)'!V1249="Yes",
    1.20,
    1.00)</f>
        <v/>
      </c>
      <c r="T1249">
        <f>LET(
    payment_method,'Loan Tape (S&amp;P)'!P1249,
    occupancy,'Loan Tape (S&amp;P)'!N1249,
    maturity_date,'Loan Tape (S&amp;P)'!L1249,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50">
      <c r="J1250">
        <f>LET(
    lien,'Loan Tape (S&amp;P)'!Q1250,
    IF(lien="First",1.00,
        IF(lien="Second",1.50,
            1.70)))</f>
        <v/>
      </c>
      <c r="K1250">
        <f>LET(
    purpose,'Loan Tape (S&amp;P)'!R1250,
    IF(purpose="Purchase",1.00,
        IF(purpose="Remortgage",1.00,
            1.20)))</f>
        <v/>
      </c>
      <c r="L1250">
        <f>LET(
    arrears_months,'Loan Tape (S&amp;P)'!AN1250,
    IF(arrears_months=0,1.00,
    IF(arrears_months=1,3.00,
    IF(arrears_months=2,5.00,
    IF(arrears_months=3,8.00,
    IF(arrears_months=4,10.00,
    IF(arrears_months=5,12.00,15.00)))))))</f>
        <v/>
      </c>
      <c r="M1250">
        <f>LET(
    seasoning_years,DATEDIF('Loan Tape (S&amp;P)'!K1250,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50">
        <f>IF(AND('Loan Tape (S&amp;P)'!U1250="Yes",
        'Loan Tape (S&amp;P)'!T1250&lt;&gt;"Yes",
        DATEDIF('Loan Tape (S&amp;P)'!K1250, TODAY(), "M")&lt;18),
    1.10,
    1.00)</f>
        <v/>
      </c>
      <c r="O1250">
        <f>IF('Loan Tape (S&amp;P)'!T1250="Yes",
    1.35,
    1.00)</f>
        <v/>
      </c>
      <c r="P1250">
        <f>IF('Loan Tape (S&amp;P)'!S1250="Yes",
    1.15,
    1.00)</f>
        <v/>
      </c>
      <c r="Q1250">
        <f>IF('Loan Tape (S&amp;P)'!V1250="Yes",
    1.20,
    1.00)</f>
        <v/>
      </c>
      <c r="T1250">
        <f>LET(
    payment_method,'Loan Tape (S&amp;P)'!P1250,
    occupancy,'Loan Tape (S&amp;P)'!N1250,
    maturity_date,'Loan Tape (S&amp;P)'!L1250,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51">
      <c r="J1251">
        <f>LET(
    lien,'Loan Tape (S&amp;P)'!Q1251,
    IF(lien="First",1.00,
        IF(lien="Second",1.50,
            1.70)))</f>
        <v/>
      </c>
      <c r="K1251">
        <f>LET(
    purpose,'Loan Tape (S&amp;P)'!R1251,
    IF(purpose="Purchase",1.00,
        IF(purpose="Remortgage",1.00,
            1.20)))</f>
        <v/>
      </c>
      <c r="L1251">
        <f>LET(
    arrears_months,'Loan Tape (S&amp;P)'!AN1251,
    IF(arrears_months=0,1.00,
    IF(arrears_months=1,3.00,
    IF(arrears_months=2,5.00,
    IF(arrears_months=3,8.00,
    IF(arrears_months=4,10.00,
    IF(arrears_months=5,12.00,15.00)))))))</f>
        <v/>
      </c>
      <c r="M1251">
        <f>LET(
    seasoning_years,DATEDIF('Loan Tape (S&amp;P)'!K1251,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51">
        <f>IF(AND('Loan Tape (S&amp;P)'!U1251="Yes",
        'Loan Tape (S&amp;P)'!T1251&lt;&gt;"Yes",
        DATEDIF('Loan Tape (S&amp;P)'!K1251, TODAY(), "M")&lt;18),
    1.10,
    1.00)</f>
        <v/>
      </c>
      <c r="O1251">
        <f>IF('Loan Tape (S&amp;P)'!T1251="Yes",
    1.35,
    1.00)</f>
        <v/>
      </c>
      <c r="P1251">
        <f>IF('Loan Tape (S&amp;P)'!S1251="Yes",
    1.15,
    1.00)</f>
        <v/>
      </c>
      <c r="Q1251">
        <f>IF('Loan Tape (S&amp;P)'!V1251="Yes",
    1.20,
    1.00)</f>
        <v/>
      </c>
      <c r="T1251">
        <f>LET(
    payment_method,'Loan Tape (S&amp;P)'!P1251,
    occupancy,'Loan Tape (S&amp;P)'!N1251,
    maturity_date,'Loan Tape (S&amp;P)'!L1251,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52">
      <c r="J1252">
        <f>LET(
    lien,'Loan Tape (S&amp;P)'!Q1252,
    IF(lien="First",1.00,
        IF(lien="Second",1.50,
            1.70)))</f>
        <v/>
      </c>
      <c r="K1252">
        <f>LET(
    purpose,'Loan Tape (S&amp;P)'!R1252,
    IF(purpose="Purchase",1.00,
        IF(purpose="Remortgage",1.00,
            1.20)))</f>
        <v/>
      </c>
      <c r="L1252">
        <f>LET(
    arrears_months,'Loan Tape (S&amp;P)'!AN1252,
    IF(arrears_months=0,1.00,
    IF(arrears_months=1,3.00,
    IF(arrears_months=2,5.00,
    IF(arrears_months=3,8.00,
    IF(arrears_months=4,10.00,
    IF(arrears_months=5,12.00,15.00)))))))</f>
        <v/>
      </c>
      <c r="M1252">
        <f>LET(
    seasoning_years,DATEDIF('Loan Tape (S&amp;P)'!K1252,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52">
        <f>IF(AND('Loan Tape (S&amp;P)'!U1252="Yes",
        'Loan Tape (S&amp;P)'!T1252&lt;&gt;"Yes",
        DATEDIF('Loan Tape (S&amp;P)'!K1252, TODAY(), "M")&lt;18),
    1.10,
    1.00)</f>
        <v/>
      </c>
      <c r="O1252">
        <f>IF('Loan Tape (S&amp;P)'!T1252="Yes",
    1.35,
    1.00)</f>
        <v/>
      </c>
      <c r="P1252">
        <f>IF('Loan Tape (S&amp;P)'!S1252="Yes",
    1.15,
    1.00)</f>
        <v/>
      </c>
      <c r="Q1252">
        <f>IF('Loan Tape (S&amp;P)'!V1252="Yes",
    1.20,
    1.00)</f>
        <v/>
      </c>
      <c r="T1252">
        <f>LET(
    payment_method,'Loan Tape (S&amp;P)'!P1252,
    occupancy,'Loan Tape (S&amp;P)'!N1252,
    maturity_date,'Loan Tape (S&amp;P)'!L1252,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53">
      <c r="J1253">
        <f>LET(
    lien,'Loan Tape (S&amp;P)'!Q1253,
    IF(lien="First",1.00,
        IF(lien="Second",1.50,
            1.70)))</f>
        <v/>
      </c>
      <c r="K1253">
        <f>LET(
    purpose,'Loan Tape (S&amp;P)'!R1253,
    IF(purpose="Purchase",1.00,
        IF(purpose="Remortgage",1.00,
            1.20)))</f>
        <v/>
      </c>
      <c r="L1253">
        <f>LET(
    arrears_months,'Loan Tape (S&amp;P)'!AN1253,
    IF(arrears_months=0,1.00,
    IF(arrears_months=1,3.00,
    IF(arrears_months=2,5.00,
    IF(arrears_months=3,8.00,
    IF(arrears_months=4,10.00,
    IF(arrears_months=5,12.00,15.00)))))))</f>
        <v/>
      </c>
      <c r="M1253">
        <f>LET(
    seasoning_years,DATEDIF('Loan Tape (S&amp;P)'!K1253,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53">
        <f>IF(AND('Loan Tape (S&amp;P)'!U1253="Yes",
        'Loan Tape (S&amp;P)'!T1253&lt;&gt;"Yes",
        DATEDIF('Loan Tape (S&amp;P)'!K1253, TODAY(), "M")&lt;18),
    1.10,
    1.00)</f>
        <v/>
      </c>
      <c r="O1253">
        <f>IF('Loan Tape (S&amp;P)'!T1253="Yes",
    1.35,
    1.00)</f>
        <v/>
      </c>
      <c r="P1253">
        <f>IF('Loan Tape (S&amp;P)'!S1253="Yes",
    1.15,
    1.00)</f>
        <v/>
      </c>
      <c r="Q1253">
        <f>IF('Loan Tape (S&amp;P)'!V1253="Yes",
    1.20,
    1.00)</f>
        <v/>
      </c>
      <c r="T1253">
        <f>LET(
    payment_method,'Loan Tape (S&amp;P)'!P1253,
    occupancy,'Loan Tape (S&amp;P)'!N1253,
    maturity_date,'Loan Tape (S&amp;P)'!L1253,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54">
      <c r="J1254">
        <f>LET(
    lien,'Loan Tape (S&amp;P)'!Q1254,
    IF(lien="First",1.00,
        IF(lien="Second",1.50,
            1.70)))</f>
        <v/>
      </c>
      <c r="K1254">
        <f>LET(
    purpose,'Loan Tape (S&amp;P)'!R1254,
    IF(purpose="Purchase",1.00,
        IF(purpose="Remortgage",1.00,
            1.20)))</f>
        <v/>
      </c>
      <c r="L1254">
        <f>LET(
    arrears_months,'Loan Tape (S&amp;P)'!AN1254,
    IF(arrears_months=0,1.00,
    IF(arrears_months=1,3.00,
    IF(arrears_months=2,5.00,
    IF(arrears_months=3,8.00,
    IF(arrears_months=4,10.00,
    IF(arrears_months=5,12.00,15.00)))))))</f>
        <v/>
      </c>
      <c r="M1254">
        <f>LET(
    seasoning_years,DATEDIF('Loan Tape (S&amp;P)'!K1254,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54">
        <f>IF(AND('Loan Tape (S&amp;P)'!U1254="Yes",
        'Loan Tape (S&amp;P)'!T1254&lt;&gt;"Yes",
        DATEDIF('Loan Tape (S&amp;P)'!K1254, TODAY(), "M")&lt;18),
    1.10,
    1.00)</f>
        <v/>
      </c>
      <c r="O1254">
        <f>IF('Loan Tape (S&amp;P)'!T1254="Yes",
    1.35,
    1.00)</f>
        <v/>
      </c>
      <c r="P1254">
        <f>IF('Loan Tape (S&amp;P)'!S1254="Yes",
    1.15,
    1.00)</f>
        <v/>
      </c>
      <c r="Q1254">
        <f>IF('Loan Tape (S&amp;P)'!V1254="Yes",
    1.20,
    1.00)</f>
        <v/>
      </c>
      <c r="T1254">
        <f>LET(
    payment_method,'Loan Tape (S&amp;P)'!P1254,
    occupancy,'Loan Tape (S&amp;P)'!N1254,
    maturity_date,'Loan Tape (S&amp;P)'!L1254,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55">
      <c r="J1255">
        <f>LET(
    lien,'Loan Tape (S&amp;P)'!Q1255,
    IF(lien="First",1.00,
        IF(lien="Second",1.50,
            1.70)))</f>
        <v/>
      </c>
      <c r="K1255">
        <f>LET(
    purpose,'Loan Tape (S&amp;P)'!R1255,
    IF(purpose="Purchase",1.00,
        IF(purpose="Remortgage",1.00,
            1.20)))</f>
        <v/>
      </c>
      <c r="L1255">
        <f>LET(
    arrears_months,'Loan Tape (S&amp;P)'!AN1255,
    IF(arrears_months=0,1.00,
    IF(arrears_months=1,3.00,
    IF(arrears_months=2,5.00,
    IF(arrears_months=3,8.00,
    IF(arrears_months=4,10.00,
    IF(arrears_months=5,12.00,15.00)))))))</f>
        <v/>
      </c>
      <c r="M1255">
        <f>LET(
    seasoning_years,DATEDIF('Loan Tape (S&amp;P)'!K1255,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55">
        <f>IF(AND('Loan Tape (S&amp;P)'!U1255="Yes",
        'Loan Tape (S&amp;P)'!T1255&lt;&gt;"Yes",
        DATEDIF('Loan Tape (S&amp;P)'!K1255, TODAY(), "M")&lt;18),
    1.10,
    1.00)</f>
        <v/>
      </c>
      <c r="O1255">
        <f>IF('Loan Tape (S&amp;P)'!T1255="Yes",
    1.35,
    1.00)</f>
        <v/>
      </c>
      <c r="P1255">
        <f>IF('Loan Tape (S&amp;P)'!S1255="Yes",
    1.15,
    1.00)</f>
        <v/>
      </c>
      <c r="Q1255">
        <f>IF('Loan Tape (S&amp;P)'!V1255="Yes",
    1.20,
    1.00)</f>
        <v/>
      </c>
      <c r="T1255">
        <f>LET(
    payment_method,'Loan Tape (S&amp;P)'!P1255,
    occupancy,'Loan Tape (S&amp;P)'!N1255,
    maturity_date,'Loan Tape (S&amp;P)'!L1255,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56">
      <c r="J1256">
        <f>LET(
    lien,'Loan Tape (S&amp;P)'!Q1256,
    IF(lien="First",1.00,
        IF(lien="Second",1.50,
            1.70)))</f>
        <v/>
      </c>
      <c r="K1256">
        <f>LET(
    purpose,'Loan Tape (S&amp;P)'!R1256,
    IF(purpose="Purchase",1.00,
        IF(purpose="Remortgage",1.00,
            1.20)))</f>
        <v/>
      </c>
      <c r="L1256">
        <f>LET(
    arrears_months,'Loan Tape (S&amp;P)'!AN1256,
    IF(arrears_months=0,1.00,
    IF(arrears_months=1,3.00,
    IF(arrears_months=2,5.00,
    IF(arrears_months=3,8.00,
    IF(arrears_months=4,10.00,
    IF(arrears_months=5,12.00,15.00)))))))</f>
        <v/>
      </c>
      <c r="M1256">
        <f>LET(
    seasoning_years,DATEDIF('Loan Tape (S&amp;P)'!K1256,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56">
        <f>IF(AND('Loan Tape (S&amp;P)'!U1256="Yes",
        'Loan Tape (S&amp;P)'!T1256&lt;&gt;"Yes",
        DATEDIF('Loan Tape (S&amp;P)'!K1256, TODAY(), "M")&lt;18),
    1.10,
    1.00)</f>
        <v/>
      </c>
      <c r="O1256">
        <f>IF('Loan Tape (S&amp;P)'!T1256="Yes",
    1.35,
    1.00)</f>
        <v/>
      </c>
      <c r="P1256">
        <f>IF('Loan Tape (S&amp;P)'!S1256="Yes",
    1.15,
    1.00)</f>
        <v/>
      </c>
      <c r="Q1256">
        <f>IF('Loan Tape (S&amp;P)'!V1256="Yes",
    1.20,
    1.00)</f>
        <v/>
      </c>
      <c r="T1256">
        <f>LET(
    payment_method,'Loan Tape (S&amp;P)'!P1256,
    occupancy,'Loan Tape (S&amp;P)'!N1256,
    maturity_date,'Loan Tape (S&amp;P)'!L1256,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57">
      <c r="J1257">
        <f>LET(
    lien,'Loan Tape (S&amp;P)'!Q1257,
    IF(lien="First",1.00,
        IF(lien="Second",1.50,
            1.70)))</f>
        <v/>
      </c>
      <c r="K1257">
        <f>LET(
    purpose,'Loan Tape (S&amp;P)'!R1257,
    IF(purpose="Purchase",1.00,
        IF(purpose="Remortgage",1.00,
            1.20)))</f>
        <v/>
      </c>
      <c r="L1257">
        <f>LET(
    arrears_months,'Loan Tape (S&amp;P)'!AN1257,
    IF(arrears_months=0,1.00,
    IF(arrears_months=1,3.00,
    IF(arrears_months=2,5.00,
    IF(arrears_months=3,8.00,
    IF(arrears_months=4,10.00,
    IF(arrears_months=5,12.00,15.00)))))))</f>
        <v/>
      </c>
      <c r="M1257">
        <f>LET(
    seasoning_years,DATEDIF('Loan Tape (S&amp;P)'!K1257,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57">
        <f>IF(AND('Loan Tape (S&amp;P)'!U1257="Yes",
        'Loan Tape (S&amp;P)'!T1257&lt;&gt;"Yes",
        DATEDIF('Loan Tape (S&amp;P)'!K1257, TODAY(), "M")&lt;18),
    1.10,
    1.00)</f>
        <v/>
      </c>
      <c r="O1257">
        <f>IF('Loan Tape (S&amp;P)'!T1257="Yes",
    1.35,
    1.00)</f>
        <v/>
      </c>
      <c r="P1257">
        <f>IF('Loan Tape (S&amp;P)'!S1257="Yes",
    1.15,
    1.00)</f>
        <v/>
      </c>
      <c r="Q1257">
        <f>IF('Loan Tape (S&amp;P)'!V1257="Yes",
    1.20,
    1.00)</f>
        <v/>
      </c>
      <c r="T1257">
        <f>LET(
    payment_method,'Loan Tape (S&amp;P)'!P1257,
    occupancy,'Loan Tape (S&amp;P)'!N1257,
    maturity_date,'Loan Tape (S&amp;P)'!L1257,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58">
      <c r="J1258">
        <f>LET(
    lien,'Loan Tape (S&amp;P)'!Q1258,
    IF(lien="First",1.00,
        IF(lien="Second",1.50,
            1.70)))</f>
        <v/>
      </c>
      <c r="K1258">
        <f>LET(
    purpose,'Loan Tape (S&amp;P)'!R1258,
    IF(purpose="Purchase",1.00,
        IF(purpose="Remortgage",1.00,
            1.20)))</f>
        <v/>
      </c>
      <c r="L1258">
        <f>LET(
    arrears_months,'Loan Tape (S&amp;P)'!AN1258,
    IF(arrears_months=0,1.00,
    IF(arrears_months=1,3.00,
    IF(arrears_months=2,5.00,
    IF(arrears_months=3,8.00,
    IF(arrears_months=4,10.00,
    IF(arrears_months=5,12.00,15.00)))))))</f>
        <v/>
      </c>
      <c r="M1258">
        <f>LET(
    seasoning_years,DATEDIF('Loan Tape (S&amp;P)'!K1258,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58">
        <f>IF(AND('Loan Tape (S&amp;P)'!U1258="Yes",
        'Loan Tape (S&amp;P)'!T1258&lt;&gt;"Yes",
        DATEDIF('Loan Tape (S&amp;P)'!K1258, TODAY(), "M")&lt;18),
    1.10,
    1.00)</f>
        <v/>
      </c>
      <c r="O1258">
        <f>IF('Loan Tape (S&amp;P)'!T1258="Yes",
    1.35,
    1.00)</f>
        <v/>
      </c>
      <c r="P1258">
        <f>IF('Loan Tape (S&amp;P)'!S1258="Yes",
    1.15,
    1.00)</f>
        <v/>
      </c>
      <c r="Q1258">
        <f>IF('Loan Tape (S&amp;P)'!V1258="Yes",
    1.20,
    1.00)</f>
        <v/>
      </c>
      <c r="T1258">
        <f>LET(
    payment_method,'Loan Tape (S&amp;P)'!P1258,
    occupancy,'Loan Tape (S&amp;P)'!N1258,
    maturity_date,'Loan Tape (S&amp;P)'!L1258,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59">
      <c r="J1259">
        <f>LET(
    lien,'Loan Tape (S&amp;P)'!Q1259,
    IF(lien="First",1.00,
        IF(lien="Second",1.50,
            1.70)))</f>
        <v/>
      </c>
      <c r="K1259">
        <f>LET(
    purpose,'Loan Tape (S&amp;P)'!R1259,
    IF(purpose="Purchase",1.00,
        IF(purpose="Remortgage",1.00,
            1.20)))</f>
        <v/>
      </c>
      <c r="L1259">
        <f>LET(
    arrears_months,'Loan Tape (S&amp;P)'!AN1259,
    IF(arrears_months=0,1.00,
    IF(arrears_months=1,3.00,
    IF(arrears_months=2,5.00,
    IF(arrears_months=3,8.00,
    IF(arrears_months=4,10.00,
    IF(arrears_months=5,12.00,15.00)))))))</f>
        <v/>
      </c>
      <c r="M1259">
        <f>LET(
    seasoning_years,DATEDIF('Loan Tape (S&amp;P)'!K1259,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59">
        <f>IF(AND('Loan Tape (S&amp;P)'!U1259="Yes",
        'Loan Tape (S&amp;P)'!T1259&lt;&gt;"Yes",
        DATEDIF('Loan Tape (S&amp;P)'!K1259, TODAY(), "M")&lt;18),
    1.10,
    1.00)</f>
        <v/>
      </c>
      <c r="O1259">
        <f>IF('Loan Tape (S&amp;P)'!T1259="Yes",
    1.35,
    1.00)</f>
        <v/>
      </c>
      <c r="P1259">
        <f>IF('Loan Tape (S&amp;P)'!S1259="Yes",
    1.15,
    1.00)</f>
        <v/>
      </c>
      <c r="Q1259">
        <f>IF('Loan Tape (S&amp;P)'!V1259="Yes",
    1.20,
    1.00)</f>
        <v/>
      </c>
      <c r="T1259">
        <f>LET(
    payment_method,'Loan Tape (S&amp;P)'!P1259,
    occupancy,'Loan Tape (S&amp;P)'!N1259,
    maturity_date,'Loan Tape (S&amp;P)'!L1259,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60">
      <c r="J1260">
        <f>LET(
    lien,'Loan Tape (S&amp;P)'!Q1260,
    IF(lien="First",1.00,
        IF(lien="Second",1.50,
            1.70)))</f>
        <v/>
      </c>
      <c r="K1260">
        <f>LET(
    purpose,'Loan Tape (S&amp;P)'!R1260,
    IF(purpose="Purchase",1.00,
        IF(purpose="Remortgage",1.00,
            1.20)))</f>
        <v/>
      </c>
      <c r="L1260">
        <f>LET(
    arrears_months,'Loan Tape (S&amp;P)'!AN1260,
    IF(arrears_months=0,1.00,
    IF(arrears_months=1,3.00,
    IF(arrears_months=2,5.00,
    IF(arrears_months=3,8.00,
    IF(arrears_months=4,10.00,
    IF(arrears_months=5,12.00,15.00)))))))</f>
        <v/>
      </c>
      <c r="M1260">
        <f>LET(
    seasoning_years,DATEDIF('Loan Tape (S&amp;P)'!K1260,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60">
        <f>IF(AND('Loan Tape (S&amp;P)'!U1260="Yes",
        'Loan Tape (S&amp;P)'!T1260&lt;&gt;"Yes",
        DATEDIF('Loan Tape (S&amp;P)'!K1260, TODAY(), "M")&lt;18),
    1.10,
    1.00)</f>
        <v/>
      </c>
      <c r="O1260">
        <f>IF('Loan Tape (S&amp;P)'!T1260="Yes",
    1.35,
    1.00)</f>
        <v/>
      </c>
      <c r="P1260">
        <f>IF('Loan Tape (S&amp;P)'!S1260="Yes",
    1.15,
    1.00)</f>
        <v/>
      </c>
      <c r="Q1260">
        <f>IF('Loan Tape (S&amp;P)'!V1260="Yes",
    1.20,
    1.00)</f>
        <v/>
      </c>
      <c r="T1260">
        <f>LET(
    payment_method,'Loan Tape (S&amp;P)'!P1260,
    occupancy,'Loan Tape (S&amp;P)'!N1260,
    maturity_date,'Loan Tape (S&amp;P)'!L1260,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61">
      <c r="J1261">
        <f>LET(
    lien,'Loan Tape (S&amp;P)'!Q1261,
    IF(lien="First",1.00,
        IF(lien="Second",1.50,
            1.70)))</f>
        <v/>
      </c>
      <c r="K1261">
        <f>LET(
    purpose,'Loan Tape (S&amp;P)'!R1261,
    IF(purpose="Purchase",1.00,
        IF(purpose="Remortgage",1.00,
            1.20)))</f>
        <v/>
      </c>
      <c r="L1261">
        <f>LET(
    arrears_months,'Loan Tape (S&amp;P)'!AN1261,
    IF(arrears_months=0,1.00,
    IF(arrears_months=1,3.00,
    IF(arrears_months=2,5.00,
    IF(arrears_months=3,8.00,
    IF(arrears_months=4,10.00,
    IF(arrears_months=5,12.00,15.00)))))))</f>
        <v/>
      </c>
      <c r="M1261">
        <f>LET(
    seasoning_years,DATEDIF('Loan Tape (S&amp;P)'!K1261,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61">
        <f>IF(AND('Loan Tape (S&amp;P)'!U1261="Yes",
        'Loan Tape (S&amp;P)'!T1261&lt;&gt;"Yes",
        DATEDIF('Loan Tape (S&amp;P)'!K1261, TODAY(), "M")&lt;18),
    1.10,
    1.00)</f>
        <v/>
      </c>
      <c r="O1261">
        <f>IF('Loan Tape (S&amp;P)'!T1261="Yes",
    1.35,
    1.00)</f>
        <v/>
      </c>
      <c r="P1261">
        <f>IF('Loan Tape (S&amp;P)'!S1261="Yes",
    1.15,
    1.00)</f>
        <v/>
      </c>
      <c r="Q1261">
        <f>IF('Loan Tape (S&amp;P)'!V1261="Yes",
    1.20,
    1.00)</f>
        <v/>
      </c>
      <c r="T1261">
        <f>LET(
    payment_method,'Loan Tape (S&amp;P)'!P1261,
    occupancy,'Loan Tape (S&amp;P)'!N1261,
    maturity_date,'Loan Tape (S&amp;P)'!L1261,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62">
      <c r="J1262">
        <f>LET(
    lien,'Loan Tape (S&amp;P)'!Q1262,
    IF(lien="First",1.00,
        IF(lien="Second",1.50,
            1.70)))</f>
        <v/>
      </c>
      <c r="K1262">
        <f>LET(
    purpose,'Loan Tape (S&amp;P)'!R1262,
    IF(purpose="Purchase",1.00,
        IF(purpose="Remortgage",1.00,
            1.20)))</f>
        <v/>
      </c>
      <c r="L1262">
        <f>LET(
    arrears_months,'Loan Tape (S&amp;P)'!AN1262,
    IF(arrears_months=0,1.00,
    IF(arrears_months=1,3.00,
    IF(arrears_months=2,5.00,
    IF(arrears_months=3,8.00,
    IF(arrears_months=4,10.00,
    IF(arrears_months=5,12.00,15.00)))))))</f>
        <v/>
      </c>
      <c r="M1262">
        <f>LET(
    seasoning_years,DATEDIF('Loan Tape (S&amp;P)'!K1262,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62">
        <f>IF(AND('Loan Tape (S&amp;P)'!U1262="Yes",
        'Loan Tape (S&amp;P)'!T1262&lt;&gt;"Yes",
        DATEDIF('Loan Tape (S&amp;P)'!K1262, TODAY(), "M")&lt;18),
    1.10,
    1.00)</f>
        <v/>
      </c>
      <c r="O1262">
        <f>IF('Loan Tape (S&amp;P)'!T1262="Yes",
    1.35,
    1.00)</f>
        <v/>
      </c>
      <c r="P1262">
        <f>IF('Loan Tape (S&amp;P)'!S1262="Yes",
    1.15,
    1.00)</f>
        <v/>
      </c>
      <c r="Q1262">
        <f>IF('Loan Tape (S&amp;P)'!V1262="Yes",
    1.20,
    1.00)</f>
        <v/>
      </c>
      <c r="T1262">
        <f>LET(
    payment_method,'Loan Tape (S&amp;P)'!P1262,
    occupancy,'Loan Tape (S&amp;P)'!N1262,
    maturity_date,'Loan Tape (S&amp;P)'!L1262,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63">
      <c r="J1263">
        <f>LET(
    lien,'Loan Tape (S&amp;P)'!Q1263,
    IF(lien="First",1.00,
        IF(lien="Second",1.50,
            1.70)))</f>
        <v/>
      </c>
      <c r="K1263">
        <f>LET(
    purpose,'Loan Tape (S&amp;P)'!R1263,
    IF(purpose="Purchase",1.00,
        IF(purpose="Remortgage",1.00,
            1.20)))</f>
        <v/>
      </c>
      <c r="L1263">
        <f>LET(
    arrears_months,'Loan Tape (S&amp;P)'!AN1263,
    IF(arrears_months=0,1.00,
    IF(arrears_months=1,3.00,
    IF(arrears_months=2,5.00,
    IF(arrears_months=3,8.00,
    IF(arrears_months=4,10.00,
    IF(arrears_months=5,12.00,15.00)))))))</f>
        <v/>
      </c>
      <c r="M1263">
        <f>LET(
    seasoning_years,DATEDIF('Loan Tape (S&amp;P)'!K1263,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63">
        <f>IF(AND('Loan Tape (S&amp;P)'!U1263="Yes",
        'Loan Tape (S&amp;P)'!T1263&lt;&gt;"Yes",
        DATEDIF('Loan Tape (S&amp;P)'!K1263, TODAY(), "M")&lt;18),
    1.10,
    1.00)</f>
        <v/>
      </c>
      <c r="O1263">
        <f>IF('Loan Tape (S&amp;P)'!T1263="Yes",
    1.35,
    1.00)</f>
        <v/>
      </c>
      <c r="P1263">
        <f>IF('Loan Tape (S&amp;P)'!S1263="Yes",
    1.15,
    1.00)</f>
        <v/>
      </c>
      <c r="Q1263">
        <f>IF('Loan Tape (S&amp;P)'!V1263="Yes",
    1.20,
    1.00)</f>
        <v/>
      </c>
      <c r="T1263">
        <f>LET(
    payment_method,'Loan Tape (S&amp;P)'!P1263,
    occupancy,'Loan Tape (S&amp;P)'!N1263,
    maturity_date,'Loan Tape (S&amp;P)'!L1263,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64">
      <c r="J1264">
        <f>LET(
    lien,'Loan Tape (S&amp;P)'!Q1264,
    IF(lien="First",1.00,
        IF(lien="Second",1.50,
            1.70)))</f>
        <v/>
      </c>
      <c r="K1264">
        <f>LET(
    purpose,'Loan Tape (S&amp;P)'!R1264,
    IF(purpose="Purchase",1.00,
        IF(purpose="Remortgage",1.00,
            1.20)))</f>
        <v/>
      </c>
      <c r="L1264">
        <f>LET(
    arrears_months,'Loan Tape (S&amp;P)'!AN1264,
    IF(arrears_months=0,1.00,
    IF(arrears_months=1,3.00,
    IF(arrears_months=2,5.00,
    IF(arrears_months=3,8.00,
    IF(arrears_months=4,10.00,
    IF(arrears_months=5,12.00,15.00)))))))</f>
        <v/>
      </c>
      <c r="M1264">
        <f>LET(
    seasoning_years,DATEDIF('Loan Tape (S&amp;P)'!K1264,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64">
        <f>IF(AND('Loan Tape (S&amp;P)'!U1264="Yes",
        'Loan Tape (S&amp;P)'!T1264&lt;&gt;"Yes",
        DATEDIF('Loan Tape (S&amp;P)'!K1264, TODAY(), "M")&lt;18),
    1.10,
    1.00)</f>
        <v/>
      </c>
      <c r="O1264">
        <f>IF('Loan Tape (S&amp;P)'!T1264="Yes",
    1.35,
    1.00)</f>
        <v/>
      </c>
      <c r="P1264">
        <f>IF('Loan Tape (S&amp;P)'!S1264="Yes",
    1.15,
    1.00)</f>
        <v/>
      </c>
      <c r="Q1264">
        <f>IF('Loan Tape (S&amp;P)'!V1264="Yes",
    1.20,
    1.00)</f>
        <v/>
      </c>
      <c r="T1264">
        <f>LET(
    payment_method,'Loan Tape (S&amp;P)'!P1264,
    occupancy,'Loan Tape (S&amp;P)'!N1264,
    maturity_date,'Loan Tape (S&amp;P)'!L1264,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65">
      <c r="J1265">
        <f>LET(
    lien,'Loan Tape (S&amp;P)'!Q1265,
    IF(lien="First",1.00,
        IF(lien="Second",1.50,
            1.70)))</f>
        <v/>
      </c>
      <c r="K1265">
        <f>LET(
    purpose,'Loan Tape (S&amp;P)'!R1265,
    IF(purpose="Purchase",1.00,
        IF(purpose="Remortgage",1.00,
            1.20)))</f>
        <v/>
      </c>
      <c r="L1265">
        <f>LET(
    arrears_months,'Loan Tape (S&amp;P)'!AN1265,
    IF(arrears_months=0,1.00,
    IF(arrears_months=1,3.00,
    IF(arrears_months=2,5.00,
    IF(arrears_months=3,8.00,
    IF(arrears_months=4,10.00,
    IF(arrears_months=5,12.00,15.00)))))))</f>
        <v/>
      </c>
      <c r="M1265">
        <f>LET(
    seasoning_years,DATEDIF('Loan Tape (S&amp;P)'!K1265,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65">
        <f>IF(AND('Loan Tape (S&amp;P)'!U1265="Yes",
        'Loan Tape (S&amp;P)'!T1265&lt;&gt;"Yes",
        DATEDIF('Loan Tape (S&amp;P)'!K1265, TODAY(), "M")&lt;18),
    1.10,
    1.00)</f>
        <v/>
      </c>
      <c r="O1265">
        <f>IF('Loan Tape (S&amp;P)'!T1265="Yes",
    1.35,
    1.00)</f>
        <v/>
      </c>
      <c r="P1265">
        <f>IF('Loan Tape (S&amp;P)'!S1265="Yes",
    1.15,
    1.00)</f>
        <v/>
      </c>
      <c r="Q1265">
        <f>IF('Loan Tape (S&amp;P)'!V1265="Yes",
    1.20,
    1.00)</f>
        <v/>
      </c>
      <c r="T1265">
        <f>LET(
    payment_method,'Loan Tape (S&amp;P)'!P1265,
    occupancy,'Loan Tape (S&amp;P)'!N1265,
    maturity_date,'Loan Tape (S&amp;P)'!L1265,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66">
      <c r="J1266">
        <f>LET(
    lien,'Loan Tape (S&amp;P)'!Q1266,
    IF(lien="First",1.00,
        IF(lien="Second",1.50,
            1.70)))</f>
        <v/>
      </c>
      <c r="K1266">
        <f>LET(
    purpose,'Loan Tape (S&amp;P)'!R1266,
    IF(purpose="Purchase",1.00,
        IF(purpose="Remortgage",1.00,
            1.20)))</f>
        <v/>
      </c>
      <c r="L1266">
        <f>LET(
    arrears_months,'Loan Tape (S&amp;P)'!AN1266,
    IF(arrears_months=0,1.00,
    IF(arrears_months=1,3.00,
    IF(arrears_months=2,5.00,
    IF(arrears_months=3,8.00,
    IF(arrears_months=4,10.00,
    IF(arrears_months=5,12.00,15.00)))))))</f>
        <v/>
      </c>
      <c r="M1266">
        <f>LET(
    seasoning_years,DATEDIF('Loan Tape (S&amp;P)'!K1266,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66">
        <f>IF(AND('Loan Tape (S&amp;P)'!U1266="Yes",
        'Loan Tape (S&amp;P)'!T1266&lt;&gt;"Yes",
        DATEDIF('Loan Tape (S&amp;P)'!K1266, TODAY(), "M")&lt;18),
    1.10,
    1.00)</f>
        <v/>
      </c>
      <c r="O1266">
        <f>IF('Loan Tape (S&amp;P)'!T1266="Yes",
    1.35,
    1.00)</f>
        <v/>
      </c>
      <c r="P1266">
        <f>IF('Loan Tape (S&amp;P)'!S1266="Yes",
    1.15,
    1.00)</f>
        <v/>
      </c>
      <c r="Q1266">
        <f>IF('Loan Tape (S&amp;P)'!V1266="Yes",
    1.20,
    1.00)</f>
        <v/>
      </c>
      <c r="T1266">
        <f>LET(
    payment_method,'Loan Tape (S&amp;P)'!P1266,
    occupancy,'Loan Tape (S&amp;P)'!N1266,
    maturity_date,'Loan Tape (S&amp;P)'!L1266,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67">
      <c r="J1267">
        <f>LET(
    lien,'Loan Tape (S&amp;P)'!Q1267,
    IF(lien="First",1.00,
        IF(lien="Second",1.50,
            1.70)))</f>
        <v/>
      </c>
      <c r="K1267">
        <f>LET(
    purpose,'Loan Tape (S&amp;P)'!R1267,
    IF(purpose="Purchase",1.00,
        IF(purpose="Remortgage",1.00,
            1.20)))</f>
        <v/>
      </c>
      <c r="L1267">
        <f>LET(
    arrears_months,'Loan Tape (S&amp;P)'!AN1267,
    IF(arrears_months=0,1.00,
    IF(arrears_months=1,3.00,
    IF(arrears_months=2,5.00,
    IF(arrears_months=3,8.00,
    IF(arrears_months=4,10.00,
    IF(arrears_months=5,12.00,15.00)))))))</f>
        <v/>
      </c>
      <c r="M1267">
        <f>LET(
    seasoning_years,DATEDIF('Loan Tape (S&amp;P)'!K1267,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67">
        <f>IF(AND('Loan Tape (S&amp;P)'!U1267="Yes",
        'Loan Tape (S&amp;P)'!T1267&lt;&gt;"Yes",
        DATEDIF('Loan Tape (S&amp;P)'!K1267, TODAY(), "M")&lt;18),
    1.10,
    1.00)</f>
        <v/>
      </c>
      <c r="O1267">
        <f>IF('Loan Tape (S&amp;P)'!T1267="Yes",
    1.35,
    1.00)</f>
        <v/>
      </c>
      <c r="P1267">
        <f>IF('Loan Tape (S&amp;P)'!S1267="Yes",
    1.15,
    1.00)</f>
        <v/>
      </c>
      <c r="Q1267">
        <f>IF('Loan Tape (S&amp;P)'!V1267="Yes",
    1.20,
    1.00)</f>
        <v/>
      </c>
      <c r="T1267">
        <f>LET(
    payment_method,'Loan Tape (S&amp;P)'!P1267,
    occupancy,'Loan Tape (S&amp;P)'!N1267,
    maturity_date,'Loan Tape (S&amp;P)'!L1267,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68">
      <c r="J1268">
        <f>LET(
    lien,'Loan Tape (S&amp;P)'!Q1268,
    IF(lien="First",1.00,
        IF(lien="Second",1.50,
            1.70)))</f>
        <v/>
      </c>
      <c r="K1268">
        <f>LET(
    purpose,'Loan Tape (S&amp;P)'!R1268,
    IF(purpose="Purchase",1.00,
        IF(purpose="Remortgage",1.00,
            1.20)))</f>
        <v/>
      </c>
      <c r="L1268">
        <f>LET(
    arrears_months,'Loan Tape (S&amp;P)'!AN1268,
    IF(arrears_months=0,1.00,
    IF(arrears_months=1,3.00,
    IF(arrears_months=2,5.00,
    IF(arrears_months=3,8.00,
    IF(arrears_months=4,10.00,
    IF(arrears_months=5,12.00,15.00)))))))</f>
        <v/>
      </c>
      <c r="M1268">
        <f>LET(
    seasoning_years,DATEDIF('Loan Tape (S&amp;P)'!K1268,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68">
        <f>IF(AND('Loan Tape (S&amp;P)'!U1268="Yes",
        'Loan Tape (S&amp;P)'!T1268&lt;&gt;"Yes",
        DATEDIF('Loan Tape (S&amp;P)'!K1268, TODAY(), "M")&lt;18),
    1.10,
    1.00)</f>
        <v/>
      </c>
      <c r="O1268">
        <f>IF('Loan Tape (S&amp;P)'!T1268="Yes",
    1.35,
    1.00)</f>
        <v/>
      </c>
      <c r="P1268">
        <f>IF('Loan Tape (S&amp;P)'!S1268="Yes",
    1.15,
    1.00)</f>
        <v/>
      </c>
      <c r="Q1268">
        <f>IF('Loan Tape (S&amp;P)'!V1268="Yes",
    1.20,
    1.00)</f>
        <v/>
      </c>
      <c r="T1268">
        <f>LET(
    payment_method,'Loan Tape (S&amp;P)'!P1268,
    occupancy,'Loan Tape (S&amp;P)'!N1268,
    maturity_date,'Loan Tape (S&amp;P)'!L1268,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69">
      <c r="J1269">
        <f>LET(
    lien,'Loan Tape (S&amp;P)'!Q1269,
    IF(lien="First",1.00,
        IF(lien="Second",1.50,
            1.70)))</f>
        <v/>
      </c>
      <c r="K1269">
        <f>LET(
    purpose,'Loan Tape (S&amp;P)'!R1269,
    IF(purpose="Purchase",1.00,
        IF(purpose="Remortgage",1.00,
            1.20)))</f>
        <v/>
      </c>
      <c r="L1269">
        <f>LET(
    arrears_months,'Loan Tape (S&amp;P)'!AN1269,
    IF(arrears_months=0,1.00,
    IF(arrears_months=1,3.00,
    IF(arrears_months=2,5.00,
    IF(arrears_months=3,8.00,
    IF(arrears_months=4,10.00,
    IF(arrears_months=5,12.00,15.00)))))))</f>
        <v/>
      </c>
      <c r="M1269">
        <f>LET(
    seasoning_years,DATEDIF('Loan Tape (S&amp;P)'!K1269,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69">
        <f>IF(AND('Loan Tape (S&amp;P)'!U1269="Yes",
        'Loan Tape (S&amp;P)'!T1269&lt;&gt;"Yes",
        DATEDIF('Loan Tape (S&amp;P)'!K1269, TODAY(), "M")&lt;18),
    1.10,
    1.00)</f>
        <v/>
      </c>
      <c r="O1269">
        <f>IF('Loan Tape (S&amp;P)'!T1269="Yes",
    1.35,
    1.00)</f>
        <v/>
      </c>
      <c r="P1269">
        <f>IF('Loan Tape (S&amp;P)'!S1269="Yes",
    1.15,
    1.00)</f>
        <v/>
      </c>
      <c r="Q1269">
        <f>IF('Loan Tape (S&amp;P)'!V1269="Yes",
    1.20,
    1.00)</f>
        <v/>
      </c>
      <c r="T1269">
        <f>LET(
    payment_method,'Loan Tape (S&amp;P)'!P1269,
    occupancy,'Loan Tape (S&amp;P)'!N1269,
    maturity_date,'Loan Tape (S&amp;P)'!L1269,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70">
      <c r="J1270">
        <f>LET(
    lien,'Loan Tape (S&amp;P)'!Q1270,
    IF(lien="First",1.00,
        IF(lien="Second",1.50,
            1.70)))</f>
        <v/>
      </c>
      <c r="K1270">
        <f>LET(
    purpose,'Loan Tape (S&amp;P)'!R1270,
    IF(purpose="Purchase",1.00,
        IF(purpose="Remortgage",1.00,
            1.20)))</f>
        <v/>
      </c>
      <c r="L1270">
        <f>LET(
    arrears_months,'Loan Tape (S&amp;P)'!AN1270,
    IF(arrears_months=0,1.00,
    IF(arrears_months=1,3.00,
    IF(arrears_months=2,5.00,
    IF(arrears_months=3,8.00,
    IF(arrears_months=4,10.00,
    IF(arrears_months=5,12.00,15.00)))))))</f>
        <v/>
      </c>
      <c r="M1270">
        <f>LET(
    seasoning_years,DATEDIF('Loan Tape (S&amp;P)'!K1270,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70">
        <f>IF(AND('Loan Tape (S&amp;P)'!U1270="Yes",
        'Loan Tape (S&amp;P)'!T1270&lt;&gt;"Yes",
        DATEDIF('Loan Tape (S&amp;P)'!K1270, TODAY(), "M")&lt;18),
    1.10,
    1.00)</f>
        <v/>
      </c>
      <c r="O1270">
        <f>IF('Loan Tape (S&amp;P)'!T1270="Yes",
    1.35,
    1.00)</f>
        <v/>
      </c>
      <c r="P1270">
        <f>IF('Loan Tape (S&amp;P)'!S1270="Yes",
    1.15,
    1.00)</f>
        <v/>
      </c>
      <c r="Q1270">
        <f>IF('Loan Tape (S&amp;P)'!V1270="Yes",
    1.20,
    1.00)</f>
        <v/>
      </c>
      <c r="T1270">
        <f>LET(
    payment_method,'Loan Tape (S&amp;P)'!P1270,
    occupancy,'Loan Tape (S&amp;P)'!N1270,
    maturity_date,'Loan Tape (S&amp;P)'!L1270,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71">
      <c r="J1271">
        <f>LET(
    lien,'Loan Tape (S&amp;P)'!Q1271,
    IF(lien="First",1.00,
        IF(lien="Second",1.50,
            1.70)))</f>
        <v/>
      </c>
      <c r="K1271">
        <f>LET(
    purpose,'Loan Tape (S&amp;P)'!R1271,
    IF(purpose="Purchase",1.00,
        IF(purpose="Remortgage",1.00,
            1.20)))</f>
        <v/>
      </c>
      <c r="L1271">
        <f>LET(
    arrears_months,'Loan Tape (S&amp;P)'!AN1271,
    IF(arrears_months=0,1.00,
    IF(arrears_months=1,3.00,
    IF(arrears_months=2,5.00,
    IF(arrears_months=3,8.00,
    IF(arrears_months=4,10.00,
    IF(arrears_months=5,12.00,15.00)))))))</f>
        <v/>
      </c>
      <c r="M1271">
        <f>LET(
    seasoning_years,DATEDIF('Loan Tape (S&amp;P)'!K1271,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71">
        <f>IF(AND('Loan Tape (S&amp;P)'!U1271="Yes",
        'Loan Tape (S&amp;P)'!T1271&lt;&gt;"Yes",
        DATEDIF('Loan Tape (S&amp;P)'!K1271, TODAY(), "M")&lt;18),
    1.10,
    1.00)</f>
        <v/>
      </c>
      <c r="O1271">
        <f>IF('Loan Tape (S&amp;P)'!T1271="Yes",
    1.35,
    1.00)</f>
        <v/>
      </c>
      <c r="P1271">
        <f>IF('Loan Tape (S&amp;P)'!S1271="Yes",
    1.15,
    1.00)</f>
        <v/>
      </c>
      <c r="Q1271">
        <f>IF('Loan Tape (S&amp;P)'!V1271="Yes",
    1.20,
    1.00)</f>
        <v/>
      </c>
      <c r="T1271">
        <f>LET(
    payment_method,'Loan Tape (S&amp;P)'!P1271,
    occupancy,'Loan Tape (S&amp;P)'!N1271,
    maturity_date,'Loan Tape (S&amp;P)'!L1271,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72">
      <c r="J1272">
        <f>LET(
    lien,'Loan Tape (S&amp;P)'!Q1272,
    IF(lien="First",1.00,
        IF(lien="Second",1.50,
            1.70)))</f>
        <v/>
      </c>
      <c r="K1272">
        <f>LET(
    purpose,'Loan Tape (S&amp;P)'!R1272,
    IF(purpose="Purchase",1.00,
        IF(purpose="Remortgage",1.00,
            1.20)))</f>
        <v/>
      </c>
      <c r="L1272">
        <f>LET(
    arrears_months,'Loan Tape (S&amp;P)'!AN1272,
    IF(arrears_months=0,1.00,
    IF(arrears_months=1,3.00,
    IF(arrears_months=2,5.00,
    IF(arrears_months=3,8.00,
    IF(arrears_months=4,10.00,
    IF(arrears_months=5,12.00,15.00)))))))</f>
        <v/>
      </c>
      <c r="M1272">
        <f>LET(
    seasoning_years,DATEDIF('Loan Tape (S&amp;P)'!K1272,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72">
        <f>IF(AND('Loan Tape (S&amp;P)'!U1272="Yes",
        'Loan Tape (S&amp;P)'!T1272&lt;&gt;"Yes",
        DATEDIF('Loan Tape (S&amp;P)'!K1272, TODAY(), "M")&lt;18),
    1.10,
    1.00)</f>
        <v/>
      </c>
      <c r="O1272">
        <f>IF('Loan Tape (S&amp;P)'!T1272="Yes",
    1.35,
    1.00)</f>
        <v/>
      </c>
      <c r="P1272">
        <f>IF('Loan Tape (S&amp;P)'!S1272="Yes",
    1.15,
    1.00)</f>
        <v/>
      </c>
      <c r="Q1272">
        <f>IF('Loan Tape (S&amp;P)'!V1272="Yes",
    1.20,
    1.00)</f>
        <v/>
      </c>
      <c r="T1272">
        <f>LET(
    payment_method,'Loan Tape (S&amp;P)'!P1272,
    occupancy,'Loan Tape (S&amp;P)'!N1272,
    maturity_date,'Loan Tape (S&amp;P)'!L1272,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73">
      <c r="J1273">
        <f>LET(
    lien,'Loan Tape (S&amp;P)'!Q1273,
    IF(lien="First",1.00,
        IF(lien="Second",1.50,
            1.70)))</f>
        <v/>
      </c>
      <c r="K1273">
        <f>LET(
    purpose,'Loan Tape (S&amp;P)'!R1273,
    IF(purpose="Purchase",1.00,
        IF(purpose="Remortgage",1.00,
            1.20)))</f>
        <v/>
      </c>
      <c r="L1273">
        <f>LET(
    arrears_months,'Loan Tape (S&amp;P)'!AN1273,
    IF(arrears_months=0,1.00,
    IF(arrears_months=1,3.00,
    IF(arrears_months=2,5.00,
    IF(arrears_months=3,8.00,
    IF(arrears_months=4,10.00,
    IF(arrears_months=5,12.00,15.00)))))))</f>
        <v/>
      </c>
      <c r="M1273">
        <f>LET(
    seasoning_years,DATEDIF('Loan Tape (S&amp;P)'!K1273,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73">
        <f>IF(AND('Loan Tape (S&amp;P)'!U1273="Yes",
        'Loan Tape (S&amp;P)'!T1273&lt;&gt;"Yes",
        DATEDIF('Loan Tape (S&amp;P)'!K1273, TODAY(), "M")&lt;18),
    1.10,
    1.00)</f>
        <v/>
      </c>
      <c r="O1273">
        <f>IF('Loan Tape (S&amp;P)'!T1273="Yes",
    1.35,
    1.00)</f>
        <v/>
      </c>
      <c r="P1273">
        <f>IF('Loan Tape (S&amp;P)'!S1273="Yes",
    1.15,
    1.00)</f>
        <v/>
      </c>
      <c r="Q1273">
        <f>IF('Loan Tape (S&amp;P)'!V1273="Yes",
    1.20,
    1.00)</f>
        <v/>
      </c>
      <c r="T1273">
        <f>LET(
    payment_method,'Loan Tape (S&amp;P)'!P1273,
    occupancy,'Loan Tape (S&amp;P)'!N1273,
    maturity_date,'Loan Tape (S&amp;P)'!L1273,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74">
      <c r="J1274">
        <f>LET(
    lien,'Loan Tape (S&amp;P)'!Q1274,
    IF(lien="First",1.00,
        IF(lien="Second",1.50,
            1.70)))</f>
        <v/>
      </c>
      <c r="K1274">
        <f>LET(
    purpose,'Loan Tape (S&amp;P)'!R1274,
    IF(purpose="Purchase",1.00,
        IF(purpose="Remortgage",1.00,
            1.20)))</f>
        <v/>
      </c>
      <c r="L1274">
        <f>LET(
    arrears_months,'Loan Tape (S&amp;P)'!AN1274,
    IF(arrears_months=0,1.00,
    IF(arrears_months=1,3.00,
    IF(arrears_months=2,5.00,
    IF(arrears_months=3,8.00,
    IF(arrears_months=4,10.00,
    IF(arrears_months=5,12.00,15.00)))))))</f>
        <v/>
      </c>
      <c r="M1274">
        <f>LET(
    seasoning_years,DATEDIF('Loan Tape (S&amp;P)'!K1274,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74">
        <f>IF(AND('Loan Tape (S&amp;P)'!U1274="Yes",
        'Loan Tape (S&amp;P)'!T1274&lt;&gt;"Yes",
        DATEDIF('Loan Tape (S&amp;P)'!K1274, TODAY(), "M")&lt;18),
    1.10,
    1.00)</f>
        <v/>
      </c>
      <c r="O1274">
        <f>IF('Loan Tape (S&amp;P)'!T1274="Yes",
    1.35,
    1.00)</f>
        <v/>
      </c>
      <c r="P1274">
        <f>IF('Loan Tape (S&amp;P)'!S1274="Yes",
    1.15,
    1.00)</f>
        <v/>
      </c>
      <c r="Q1274">
        <f>IF('Loan Tape (S&amp;P)'!V1274="Yes",
    1.20,
    1.00)</f>
        <v/>
      </c>
      <c r="T1274">
        <f>LET(
    payment_method,'Loan Tape (S&amp;P)'!P1274,
    occupancy,'Loan Tape (S&amp;P)'!N1274,
    maturity_date,'Loan Tape (S&amp;P)'!L1274,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75">
      <c r="J1275">
        <f>LET(
    lien,'Loan Tape (S&amp;P)'!Q1275,
    IF(lien="First",1.00,
        IF(lien="Second",1.50,
            1.70)))</f>
        <v/>
      </c>
      <c r="K1275">
        <f>LET(
    purpose,'Loan Tape (S&amp;P)'!R1275,
    IF(purpose="Purchase",1.00,
        IF(purpose="Remortgage",1.00,
            1.20)))</f>
        <v/>
      </c>
      <c r="L1275">
        <f>LET(
    arrears_months,'Loan Tape (S&amp;P)'!AN1275,
    IF(arrears_months=0,1.00,
    IF(arrears_months=1,3.00,
    IF(arrears_months=2,5.00,
    IF(arrears_months=3,8.00,
    IF(arrears_months=4,10.00,
    IF(arrears_months=5,12.00,15.00)))))))</f>
        <v/>
      </c>
      <c r="M1275">
        <f>LET(
    seasoning_years,DATEDIF('Loan Tape (S&amp;P)'!K1275,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75">
        <f>IF(AND('Loan Tape (S&amp;P)'!U1275="Yes",
        'Loan Tape (S&amp;P)'!T1275&lt;&gt;"Yes",
        DATEDIF('Loan Tape (S&amp;P)'!K1275, TODAY(), "M")&lt;18),
    1.10,
    1.00)</f>
        <v/>
      </c>
      <c r="O1275">
        <f>IF('Loan Tape (S&amp;P)'!T1275="Yes",
    1.35,
    1.00)</f>
        <v/>
      </c>
      <c r="P1275">
        <f>IF('Loan Tape (S&amp;P)'!S1275="Yes",
    1.15,
    1.00)</f>
        <v/>
      </c>
      <c r="Q1275">
        <f>IF('Loan Tape (S&amp;P)'!V1275="Yes",
    1.20,
    1.00)</f>
        <v/>
      </c>
      <c r="T1275">
        <f>LET(
    payment_method,'Loan Tape (S&amp;P)'!P1275,
    occupancy,'Loan Tape (S&amp;P)'!N1275,
    maturity_date,'Loan Tape (S&amp;P)'!L1275,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76">
      <c r="J1276">
        <f>LET(
    lien,'Loan Tape (S&amp;P)'!Q1276,
    IF(lien="First",1.00,
        IF(lien="Second",1.50,
            1.70)))</f>
        <v/>
      </c>
      <c r="K1276">
        <f>LET(
    purpose,'Loan Tape (S&amp;P)'!R1276,
    IF(purpose="Purchase",1.00,
        IF(purpose="Remortgage",1.00,
            1.20)))</f>
        <v/>
      </c>
      <c r="L1276">
        <f>LET(
    arrears_months,'Loan Tape (S&amp;P)'!AN1276,
    IF(arrears_months=0,1.00,
    IF(arrears_months=1,3.00,
    IF(arrears_months=2,5.00,
    IF(arrears_months=3,8.00,
    IF(arrears_months=4,10.00,
    IF(arrears_months=5,12.00,15.00)))))))</f>
        <v/>
      </c>
      <c r="M1276">
        <f>LET(
    seasoning_years,DATEDIF('Loan Tape (S&amp;P)'!K1276,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76">
        <f>IF(AND('Loan Tape (S&amp;P)'!U1276="Yes",
        'Loan Tape (S&amp;P)'!T1276&lt;&gt;"Yes",
        DATEDIF('Loan Tape (S&amp;P)'!K1276, TODAY(), "M")&lt;18),
    1.10,
    1.00)</f>
        <v/>
      </c>
      <c r="O1276">
        <f>IF('Loan Tape (S&amp;P)'!T1276="Yes",
    1.35,
    1.00)</f>
        <v/>
      </c>
      <c r="P1276">
        <f>IF('Loan Tape (S&amp;P)'!S1276="Yes",
    1.15,
    1.00)</f>
        <v/>
      </c>
      <c r="Q1276">
        <f>IF('Loan Tape (S&amp;P)'!V1276="Yes",
    1.20,
    1.00)</f>
        <v/>
      </c>
      <c r="T1276">
        <f>LET(
    payment_method,'Loan Tape (S&amp;P)'!P1276,
    occupancy,'Loan Tape (S&amp;P)'!N1276,
    maturity_date,'Loan Tape (S&amp;P)'!L1276,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77">
      <c r="J1277">
        <f>LET(
    lien,'Loan Tape (S&amp;P)'!Q1277,
    IF(lien="First",1.00,
        IF(lien="Second",1.50,
            1.70)))</f>
        <v/>
      </c>
      <c r="K1277">
        <f>LET(
    purpose,'Loan Tape (S&amp;P)'!R1277,
    IF(purpose="Purchase",1.00,
        IF(purpose="Remortgage",1.00,
            1.20)))</f>
        <v/>
      </c>
      <c r="L1277">
        <f>LET(
    arrears_months,'Loan Tape (S&amp;P)'!AN1277,
    IF(arrears_months=0,1.00,
    IF(arrears_months=1,3.00,
    IF(arrears_months=2,5.00,
    IF(arrears_months=3,8.00,
    IF(arrears_months=4,10.00,
    IF(arrears_months=5,12.00,15.00)))))))</f>
        <v/>
      </c>
      <c r="M1277">
        <f>LET(
    seasoning_years,DATEDIF('Loan Tape (S&amp;P)'!K1277,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77">
        <f>IF(AND('Loan Tape (S&amp;P)'!U1277="Yes",
        'Loan Tape (S&amp;P)'!T1277&lt;&gt;"Yes",
        DATEDIF('Loan Tape (S&amp;P)'!K1277, TODAY(), "M")&lt;18),
    1.10,
    1.00)</f>
        <v/>
      </c>
      <c r="O1277">
        <f>IF('Loan Tape (S&amp;P)'!T1277="Yes",
    1.35,
    1.00)</f>
        <v/>
      </c>
      <c r="P1277">
        <f>IF('Loan Tape (S&amp;P)'!S1277="Yes",
    1.15,
    1.00)</f>
        <v/>
      </c>
      <c r="Q1277">
        <f>IF('Loan Tape (S&amp;P)'!V1277="Yes",
    1.20,
    1.00)</f>
        <v/>
      </c>
      <c r="T1277">
        <f>LET(
    payment_method,'Loan Tape (S&amp;P)'!P1277,
    occupancy,'Loan Tape (S&amp;P)'!N1277,
    maturity_date,'Loan Tape (S&amp;P)'!L1277,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78">
      <c r="J1278">
        <f>LET(
    lien,'Loan Tape (S&amp;P)'!Q1278,
    IF(lien="First",1.00,
        IF(lien="Second",1.50,
            1.70)))</f>
        <v/>
      </c>
      <c r="K1278">
        <f>LET(
    purpose,'Loan Tape (S&amp;P)'!R1278,
    IF(purpose="Purchase",1.00,
        IF(purpose="Remortgage",1.00,
            1.20)))</f>
        <v/>
      </c>
      <c r="L1278">
        <f>LET(
    arrears_months,'Loan Tape (S&amp;P)'!AN1278,
    IF(arrears_months=0,1.00,
    IF(arrears_months=1,3.00,
    IF(arrears_months=2,5.00,
    IF(arrears_months=3,8.00,
    IF(arrears_months=4,10.00,
    IF(arrears_months=5,12.00,15.00)))))))</f>
        <v/>
      </c>
      <c r="M1278">
        <f>LET(
    seasoning_years,DATEDIF('Loan Tape (S&amp;P)'!K1278,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78">
        <f>IF(AND('Loan Tape (S&amp;P)'!U1278="Yes",
        'Loan Tape (S&amp;P)'!T1278&lt;&gt;"Yes",
        DATEDIF('Loan Tape (S&amp;P)'!K1278, TODAY(), "M")&lt;18),
    1.10,
    1.00)</f>
        <v/>
      </c>
      <c r="O1278">
        <f>IF('Loan Tape (S&amp;P)'!T1278="Yes",
    1.35,
    1.00)</f>
        <v/>
      </c>
      <c r="P1278">
        <f>IF('Loan Tape (S&amp;P)'!S1278="Yes",
    1.15,
    1.00)</f>
        <v/>
      </c>
      <c r="Q1278">
        <f>IF('Loan Tape (S&amp;P)'!V1278="Yes",
    1.20,
    1.00)</f>
        <v/>
      </c>
      <c r="T1278">
        <f>LET(
    payment_method,'Loan Tape (S&amp;P)'!P1278,
    occupancy,'Loan Tape (S&amp;P)'!N1278,
    maturity_date,'Loan Tape (S&amp;P)'!L1278,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79">
      <c r="J1279">
        <f>LET(
    lien,'Loan Tape (S&amp;P)'!Q1279,
    IF(lien="First",1.00,
        IF(lien="Second",1.50,
            1.70)))</f>
        <v/>
      </c>
      <c r="K1279">
        <f>LET(
    purpose,'Loan Tape (S&amp;P)'!R1279,
    IF(purpose="Purchase",1.00,
        IF(purpose="Remortgage",1.00,
            1.20)))</f>
        <v/>
      </c>
      <c r="L1279">
        <f>LET(
    arrears_months,'Loan Tape (S&amp;P)'!AN1279,
    IF(arrears_months=0,1.00,
    IF(arrears_months=1,3.00,
    IF(arrears_months=2,5.00,
    IF(arrears_months=3,8.00,
    IF(arrears_months=4,10.00,
    IF(arrears_months=5,12.00,15.00)))))))</f>
        <v/>
      </c>
      <c r="M1279">
        <f>LET(
    seasoning_years,DATEDIF('Loan Tape (S&amp;P)'!K1279,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79">
        <f>IF(AND('Loan Tape (S&amp;P)'!U1279="Yes",
        'Loan Tape (S&amp;P)'!T1279&lt;&gt;"Yes",
        DATEDIF('Loan Tape (S&amp;P)'!K1279, TODAY(), "M")&lt;18),
    1.10,
    1.00)</f>
        <v/>
      </c>
      <c r="O1279">
        <f>IF('Loan Tape (S&amp;P)'!T1279="Yes",
    1.35,
    1.00)</f>
        <v/>
      </c>
      <c r="P1279">
        <f>IF('Loan Tape (S&amp;P)'!S1279="Yes",
    1.15,
    1.00)</f>
        <v/>
      </c>
      <c r="Q1279">
        <f>IF('Loan Tape (S&amp;P)'!V1279="Yes",
    1.20,
    1.00)</f>
        <v/>
      </c>
      <c r="T1279">
        <f>LET(
    payment_method,'Loan Tape (S&amp;P)'!P1279,
    occupancy,'Loan Tape (S&amp;P)'!N1279,
    maturity_date,'Loan Tape (S&amp;P)'!L1279,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80">
      <c r="J1280">
        <f>LET(
    lien,'Loan Tape (S&amp;P)'!Q1280,
    IF(lien="First",1.00,
        IF(lien="Second",1.50,
            1.70)))</f>
        <v/>
      </c>
      <c r="K1280">
        <f>LET(
    purpose,'Loan Tape (S&amp;P)'!R1280,
    IF(purpose="Purchase",1.00,
        IF(purpose="Remortgage",1.00,
            1.20)))</f>
        <v/>
      </c>
      <c r="L1280">
        <f>LET(
    arrears_months,'Loan Tape (S&amp;P)'!AN1280,
    IF(arrears_months=0,1.00,
    IF(arrears_months=1,3.00,
    IF(arrears_months=2,5.00,
    IF(arrears_months=3,8.00,
    IF(arrears_months=4,10.00,
    IF(arrears_months=5,12.00,15.00)))))))</f>
        <v/>
      </c>
      <c r="M1280">
        <f>LET(
    seasoning_years,DATEDIF('Loan Tape (S&amp;P)'!K1280,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80">
        <f>IF(AND('Loan Tape (S&amp;P)'!U1280="Yes",
        'Loan Tape (S&amp;P)'!T1280&lt;&gt;"Yes",
        DATEDIF('Loan Tape (S&amp;P)'!K1280, TODAY(), "M")&lt;18),
    1.10,
    1.00)</f>
        <v/>
      </c>
      <c r="O1280">
        <f>IF('Loan Tape (S&amp;P)'!T1280="Yes",
    1.35,
    1.00)</f>
        <v/>
      </c>
      <c r="P1280">
        <f>IF('Loan Tape (S&amp;P)'!S1280="Yes",
    1.15,
    1.00)</f>
        <v/>
      </c>
      <c r="Q1280">
        <f>IF('Loan Tape (S&amp;P)'!V1280="Yes",
    1.20,
    1.00)</f>
        <v/>
      </c>
      <c r="T1280">
        <f>LET(
    payment_method,'Loan Tape (S&amp;P)'!P1280,
    occupancy,'Loan Tape (S&amp;P)'!N1280,
    maturity_date,'Loan Tape (S&amp;P)'!L1280,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81">
      <c r="J1281">
        <f>LET(
    lien,'Loan Tape (S&amp;P)'!Q1281,
    IF(lien="First",1.00,
        IF(lien="Second",1.50,
            1.70)))</f>
        <v/>
      </c>
      <c r="K1281">
        <f>LET(
    purpose,'Loan Tape (S&amp;P)'!R1281,
    IF(purpose="Purchase",1.00,
        IF(purpose="Remortgage",1.00,
            1.20)))</f>
        <v/>
      </c>
      <c r="L1281">
        <f>LET(
    arrears_months,'Loan Tape (S&amp;P)'!AN1281,
    IF(arrears_months=0,1.00,
    IF(arrears_months=1,3.00,
    IF(arrears_months=2,5.00,
    IF(arrears_months=3,8.00,
    IF(arrears_months=4,10.00,
    IF(arrears_months=5,12.00,15.00)))))))</f>
        <v/>
      </c>
      <c r="M1281">
        <f>LET(
    seasoning_years,DATEDIF('Loan Tape (S&amp;P)'!K1281,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81">
        <f>IF(AND('Loan Tape (S&amp;P)'!U1281="Yes",
        'Loan Tape (S&amp;P)'!T1281&lt;&gt;"Yes",
        DATEDIF('Loan Tape (S&amp;P)'!K1281, TODAY(), "M")&lt;18),
    1.10,
    1.00)</f>
        <v/>
      </c>
      <c r="O1281">
        <f>IF('Loan Tape (S&amp;P)'!T1281="Yes",
    1.35,
    1.00)</f>
        <v/>
      </c>
      <c r="P1281">
        <f>IF('Loan Tape (S&amp;P)'!S1281="Yes",
    1.15,
    1.00)</f>
        <v/>
      </c>
      <c r="Q1281">
        <f>IF('Loan Tape (S&amp;P)'!V1281="Yes",
    1.20,
    1.00)</f>
        <v/>
      </c>
      <c r="T1281">
        <f>LET(
    payment_method,'Loan Tape (S&amp;P)'!P1281,
    occupancy,'Loan Tape (S&amp;P)'!N1281,
    maturity_date,'Loan Tape (S&amp;P)'!L1281,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82">
      <c r="J1282">
        <f>LET(
    lien,'Loan Tape (S&amp;P)'!Q1282,
    IF(lien="First",1.00,
        IF(lien="Second",1.50,
            1.70)))</f>
        <v/>
      </c>
      <c r="K1282">
        <f>LET(
    purpose,'Loan Tape (S&amp;P)'!R1282,
    IF(purpose="Purchase",1.00,
        IF(purpose="Remortgage",1.00,
            1.20)))</f>
        <v/>
      </c>
      <c r="L1282">
        <f>LET(
    arrears_months,'Loan Tape (S&amp;P)'!AN1282,
    IF(arrears_months=0,1.00,
    IF(arrears_months=1,3.00,
    IF(arrears_months=2,5.00,
    IF(arrears_months=3,8.00,
    IF(arrears_months=4,10.00,
    IF(arrears_months=5,12.00,15.00)))))))</f>
        <v/>
      </c>
      <c r="M1282">
        <f>LET(
    seasoning_years,DATEDIF('Loan Tape (S&amp;P)'!K1282,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82">
        <f>IF(AND('Loan Tape (S&amp;P)'!U1282="Yes",
        'Loan Tape (S&amp;P)'!T1282&lt;&gt;"Yes",
        DATEDIF('Loan Tape (S&amp;P)'!K1282, TODAY(), "M")&lt;18),
    1.10,
    1.00)</f>
        <v/>
      </c>
      <c r="O1282">
        <f>IF('Loan Tape (S&amp;P)'!T1282="Yes",
    1.35,
    1.00)</f>
        <v/>
      </c>
      <c r="P1282">
        <f>IF('Loan Tape (S&amp;P)'!S1282="Yes",
    1.15,
    1.00)</f>
        <v/>
      </c>
      <c r="Q1282">
        <f>IF('Loan Tape (S&amp;P)'!V1282="Yes",
    1.20,
    1.00)</f>
        <v/>
      </c>
      <c r="T1282">
        <f>LET(
    payment_method,'Loan Tape (S&amp;P)'!P1282,
    occupancy,'Loan Tape (S&amp;P)'!N1282,
    maturity_date,'Loan Tape (S&amp;P)'!L1282,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83">
      <c r="J1283">
        <f>LET(
    lien,'Loan Tape (S&amp;P)'!Q1283,
    IF(lien="First",1.00,
        IF(lien="Second",1.50,
            1.70)))</f>
        <v/>
      </c>
      <c r="K1283">
        <f>LET(
    purpose,'Loan Tape (S&amp;P)'!R1283,
    IF(purpose="Purchase",1.00,
        IF(purpose="Remortgage",1.00,
            1.20)))</f>
        <v/>
      </c>
      <c r="L1283">
        <f>LET(
    arrears_months,'Loan Tape (S&amp;P)'!AN1283,
    IF(arrears_months=0,1.00,
    IF(arrears_months=1,3.00,
    IF(arrears_months=2,5.00,
    IF(arrears_months=3,8.00,
    IF(arrears_months=4,10.00,
    IF(arrears_months=5,12.00,15.00)))))))</f>
        <v/>
      </c>
      <c r="M1283">
        <f>LET(
    seasoning_years,DATEDIF('Loan Tape (S&amp;P)'!K1283,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83">
        <f>IF(AND('Loan Tape (S&amp;P)'!U1283="Yes",
        'Loan Tape (S&amp;P)'!T1283&lt;&gt;"Yes",
        DATEDIF('Loan Tape (S&amp;P)'!K1283, TODAY(), "M")&lt;18),
    1.10,
    1.00)</f>
        <v/>
      </c>
      <c r="O1283">
        <f>IF('Loan Tape (S&amp;P)'!T1283="Yes",
    1.35,
    1.00)</f>
        <v/>
      </c>
      <c r="P1283">
        <f>IF('Loan Tape (S&amp;P)'!S1283="Yes",
    1.15,
    1.00)</f>
        <v/>
      </c>
      <c r="Q1283">
        <f>IF('Loan Tape (S&amp;P)'!V1283="Yes",
    1.20,
    1.00)</f>
        <v/>
      </c>
      <c r="T1283">
        <f>LET(
    payment_method,'Loan Tape (S&amp;P)'!P1283,
    occupancy,'Loan Tape (S&amp;P)'!N1283,
    maturity_date,'Loan Tape (S&amp;P)'!L1283,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84">
      <c r="J1284">
        <f>LET(
    lien,'Loan Tape (S&amp;P)'!Q1284,
    IF(lien="First",1.00,
        IF(lien="Second",1.50,
            1.70)))</f>
        <v/>
      </c>
      <c r="K1284">
        <f>LET(
    purpose,'Loan Tape (S&amp;P)'!R1284,
    IF(purpose="Purchase",1.00,
        IF(purpose="Remortgage",1.00,
            1.20)))</f>
        <v/>
      </c>
      <c r="L1284">
        <f>LET(
    arrears_months,'Loan Tape (S&amp;P)'!AN1284,
    IF(arrears_months=0,1.00,
    IF(arrears_months=1,3.00,
    IF(arrears_months=2,5.00,
    IF(arrears_months=3,8.00,
    IF(arrears_months=4,10.00,
    IF(arrears_months=5,12.00,15.00)))))))</f>
        <v/>
      </c>
      <c r="M1284">
        <f>LET(
    seasoning_years,DATEDIF('Loan Tape (S&amp;P)'!K1284,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84">
        <f>IF(AND('Loan Tape (S&amp;P)'!U1284="Yes",
        'Loan Tape (S&amp;P)'!T1284&lt;&gt;"Yes",
        DATEDIF('Loan Tape (S&amp;P)'!K1284, TODAY(), "M")&lt;18),
    1.10,
    1.00)</f>
        <v/>
      </c>
      <c r="O1284">
        <f>IF('Loan Tape (S&amp;P)'!T1284="Yes",
    1.35,
    1.00)</f>
        <v/>
      </c>
      <c r="P1284">
        <f>IF('Loan Tape (S&amp;P)'!S1284="Yes",
    1.15,
    1.00)</f>
        <v/>
      </c>
      <c r="Q1284">
        <f>IF('Loan Tape (S&amp;P)'!V1284="Yes",
    1.20,
    1.00)</f>
        <v/>
      </c>
      <c r="T1284">
        <f>LET(
    payment_method,'Loan Tape (S&amp;P)'!P1284,
    occupancy,'Loan Tape (S&amp;P)'!N1284,
    maturity_date,'Loan Tape (S&amp;P)'!L1284,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85">
      <c r="J1285">
        <f>LET(
    lien,'Loan Tape (S&amp;P)'!Q1285,
    IF(lien="First",1.00,
        IF(lien="Second",1.50,
            1.70)))</f>
        <v/>
      </c>
      <c r="K1285">
        <f>LET(
    purpose,'Loan Tape (S&amp;P)'!R1285,
    IF(purpose="Purchase",1.00,
        IF(purpose="Remortgage",1.00,
            1.20)))</f>
        <v/>
      </c>
      <c r="L1285">
        <f>LET(
    arrears_months,'Loan Tape (S&amp;P)'!AN1285,
    IF(arrears_months=0,1.00,
    IF(arrears_months=1,3.00,
    IF(arrears_months=2,5.00,
    IF(arrears_months=3,8.00,
    IF(arrears_months=4,10.00,
    IF(arrears_months=5,12.00,15.00)))))))</f>
        <v/>
      </c>
      <c r="M1285">
        <f>LET(
    seasoning_years,DATEDIF('Loan Tape (S&amp;P)'!K1285,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85">
        <f>IF(AND('Loan Tape (S&amp;P)'!U1285="Yes",
        'Loan Tape (S&amp;P)'!T1285&lt;&gt;"Yes",
        DATEDIF('Loan Tape (S&amp;P)'!K1285, TODAY(), "M")&lt;18),
    1.10,
    1.00)</f>
        <v/>
      </c>
      <c r="O1285">
        <f>IF('Loan Tape (S&amp;P)'!T1285="Yes",
    1.35,
    1.00)</f>
        <v/>
      </c>
      <c r="P1285">
        <f>IF('Loan Tape (S&amp;P)'!S1285="Yes",
    1.15,
    1.00)</f>
        <v/>
      </c>
      <c r="Q1285">
        <f>IF('Loan Tape (S&amp;P)'!V1285="Yes",
    1.20,
    1.00)</f>
        <v/>
      </c>
      <c r="T1285">
        <f>LET(
    payment_method,'Loan Tape (S&amp;P)'!P1285,
    occupancy,'Loan Tape (S&amp;P)'!N1285,
    maturity_date,'Loan Tape (S&amp;P)'!L1285,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86">
      <c r="J1286">
        <f>LET(
    lien,'Loan Tape (S&amp;P)'!Q1286,
    IF(lien="First",1.00,
        IF(lien="Second",1.50,
            1.70)))</f>
        <v/>
      </c>
      <c r="K1286">
        <f>LET(
    purpose,'Loan Tape (S&amp;P)'!R1286,
    IF(purpose="Purchase",1.00,
        IF(purpose="Remortgage",1.00,
            1.20)))</f>
        <v/>
      </c>
      <c r="L1286">
        <f>LET(
    arrears_months,'Loan Tape (S&amp;P)'!AN1286,
    IF(arrears_months=0,1.00,
    IF(arrears_months=1,3.00,
    IF(arrears_months=2,5.00,
    IF(arrears_months=3,8.00,
    IF(arrears_months=4,10.00,
    IF(arrears_months=5,12.00,15.00)))))))</f>
        <v/>
      </c>
      <c r="M1286">
        <f>LET(
    seasoning_years,DATEDIF('Loan Tape (S&amp;P)'!K1286,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86">
        <f>IF(AND('Loan Tape (S&amp;P)'!U1286="Yes",
        'Loan Tape (S&amp;P)'!T1286&lt;&gt;"Yes",
        DATEDIF('Loan Tape (S&amp;P)'!K1286, TODAY(), "M")&lt;18),
    1.10,
    1.00)</f>
        <v/>
      </c>
      <c r="O1286">
        <f>IF('Loan Tape (S&amp;P)'!T1286="Yes",
    1.35,
    1.00)</f>
        <v/>
      </c>
      <c r="P1286">
        <f>IF('Loan Tape (S&amp;P)'!S1286="Yes",
    1.15,
    1.00)</f>
        <v/>
      </c>
      <c r="Q1286">
        <f>IF('Loan Tape (S&amp;P)'!V1286="Yes",
    1.20,
    1.00)</f>
        <v/>
      </c>
      <c r="T1286">
        <f>LET(
    payment_method,'Loan Tape (S&amp;P)'!P1286,
    occupancy,'Loan Tape (S&amp;P)'!N1286,
    maturity_date,'Loan Tape (S&amp;P)'!L1286,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87">
      <c r="J1287">
        <f>LET(
    lien,'Loan Tape (S&amp;P)'!Q1287,
    IF(lien="First",1.00,
        IF(lien="Second",1.50,
            1.70)))</f>
        <v/>
      </c>
      <c r="K1287">
        <f>LET(
    purpose,'Loan Tape (S&amp;P)'!R1287,
    IF(purpose="Purchase",1.00,
        IF(purpose="Remortgage",1.00,
            1.20)))</f>
        <v/>
      </c>
      <c r="L1287">
        <f>LET(
    arrears_months,'Loan Tape (S&amp;P)'!AN1287,
    IF(arrears_months=0,1.00,
    IF(arrears_months=1,3.00,
    IF(arrears_months=2,5.00,
    IF(arrears_months=3,8.00,
    IF(arrears_months=4,10.00,
    IF(arrears_months=5,12.00,15.00)))))))</f>
        <v/>
      </c>
      <c r="M1287">
        <f>LET(
    seasoning_years,DATEDIF('Loan Tape (S&amp;P)'!K1287,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87">
        <f>IF(AND('Loan Tape (S&amp;P)'!U1287="Yes",
        'Loan Tape (S&amp;P)'!T1287&lt;&gt;"Yes",
        DATEDIF('Loan Tape (S&amp;P)'!K1287, TODAY(), "M")&lt;18),
    1.10,
    1.00)</f>
        <v/>
      </c>
      <c r="O1287">
        <f>IF('Loan Tape (S&amp;P)'!T1287="Yes",
    1.35,
    1.00)</f>
        <v/>
      </c>
      <c r="P1287">
        <f>IF('Loan Tape (S&amp;P)'!S1287="Yes",
    1.15,
    1.00)</f>
        <v/>
      </c>
      <c r="Q1287">
        <f>IF('Loan Tape (S&amp;P)'!V1287="Yes",
    1.20,
    1.00)</f>
        <v/>
      </c>
      <c r="T1287">
        <f>LET(
    payment_method,'Loan Tape (S&amp;P)'!P1287,
    occupancy,'Loan Tape (S&amp;P)'!N1287,
    maturity_date,'Loan Tape (S&amp;P)'!L1287,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88">
      <c r="J1288">
        <f>LET(
    lien,'Loan Tape (S&amp;P)'!Q1288,
    IF(lien="First",1.00,
        IF(lien="Second",1.50,
            1.70)))</f>
        <v/>
      </c>
      <c r="K1288">
        <f>LET(
    purpose,'Loan Tape (S&amp;P)'!R1288,
    IF(purpose="Purchase",1.00,
        IF(purpose="Remortgage",1.00,
            1.20)))</f>
        <v/>
      </c>
      <c r="L1288">
        <f>LET(
    arrears_months,'Loan Tape (S&amp;P)'!AN1288,
    IF(arrears_months=0,1.00,
    IF(arrears_months=1,3.00,
    IF(arrears_months=2,5.00,
    IF(arrears_months=3,8.00,
    IF(arrears_months=4,10.00,
    IF(arrears_months=5,12.00,15.00)))))))</f>
        <v/>
      </c>
      <c r="M1288">
        <f>LET(
    seasoning_years,DATEDIF('Loan Tape (S&amp;P)'!K1288,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88">
        <f>IF(AND('Loan Tape (S&amp;P)'!U1288="Yes",
        'Loan Tape (S&amp;P)'!T1288&lt;&gt;"Yes",
        DATEDIF('Loan Tape (S&amp;P)'!K1288, TODAY(), "M")&lt;18),
    1.10,
    1.00)</f>
        <v/>
      </c>
      <c r="O1288">
        <f>IF('Loan Tape (S&amp;P)'!T1288="Yes",
    1.35,
    1.00)</f>
        <v/>
      </c>
      <c r="P1288">
        <f>IF('Loan Tape (S&amp;P)'!S1288="Yes",
    1.15,
    1.00)</f>
        <v/>
      </c>
      <c r="Q1288">
        <f>IF('Loan Tape (S&amp;P)'!V1288="Yes",
    1.20,
    1.00)</f>
        <v/>
      </c>
      <c r="T1288">
        <f>LET(
    payment_method,'Loan Tape (S&amp;P)'!P1288,
    occupancy,'Loan Tape (S&amp;P)'!N1288,
    maturity_date,'Loan Tape (S&amp;P)'!L1288,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89">
      <c r="J1289">
        <f>LET(
    lien,'Loan Tape (S&amp;P)'!Q1289,
    IF(lien="First",1.00,
        IF(lien="Second",1.50,
            1.70)))</f>
        <v/>
      </c>
      <c r="K1289">
        <f>LET(
    purpose,'Loan Tape (S&amp;P)'!R1289,
    IF(purpose="Purchase",1.00,
        IF(purpose="Remortgage",1.00,
            1.20)))</f>
        <v/>
      </c>
      <c r="L1289">
        <f>LET(
    arrears_months,'Loan Tape (S&amp;P)'!AN1289,
    IF(arrears_months=0,1.00,
    IF(arrears_months=1,3.00,
    IF(arrears_months=2,5.00,
    IF(arrears_months=3,8.00,
    IF(arrears_months=4,10.00,
    IF(arrears_months=5,12.00,15.00)))))))</f>
        <v/>
      </c>
      <c r="M1289">
        <f>LET(
    seasoning_years,DATEDIF('Loan Tape (S&amp;P)'!K1289,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89">
        <f>IF(AND('Loan Tape (S&amp;P)'!U1289="Yes",
        'Loan Tape (S&amp;P)'!T1289&lt;&gt;"Yes",
        DATEDIF('Loan Tape (S&amp;P)'!K1289, TODAY(), "M")&lt;18),
    1.10,
    1.00)</f>
        <v/>
      </c>
      <c r="O1289">
        <f>IF('Loan Tape (S&amp;P)'!T1289="Yes",
    1.35,
    1.00)</f>
        <v/>
      </c>
      <c r="P1289">
        <f>IF('Loan Tape (S&amp;P)'!S1289="Yes",
    1.15,
    1.00)</f>
        <v/>
      </c>
      <c r="Q1289">
        <f>IF('Loan Tape (S&amp;P)'!V1289="Yes",
    1.20,
    1.00)</f>
        <v/>
      </c>
      <c r="T1289">
        <f>LET(
    payment_method,'Loan Tape (S&amp;P)'!P1289,
    occupancy,'Loan Tape (S&amp;P)'!N1289,
    maturity_date,'Loan Tape (S&amp;P)'!L1289,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90">
      <c r="J1290">
        <f>LET(
    lien,'Loan Tape (S&amp;P)'!Q1290,
    IF(lien="First",1.00,
        IF(lien="Second",1.50,
            1.70)))</f>
        <v/>
      </c>
      <c r="K1290">
        <f>LET(
    purpose,'Loan Tape (S&amp;P)'!R1290,
    IF(purpose="Purchase",1.00,
        IF(purpose="Remortgage",1.00,
            1.20)))</f>
        <v/>
      </c>
      <c r="L1290">
        <f>LET(
    arrears_months,'Loan Tape (S&amp;P)'!AN1290,
    IF(arrears_months=0,1.00,
    IF(arrears_months=1,3.00,
    IF(arrears_months=2,5.00,
    IF(arrears_months=3,8.00,
    IF(arrears_months=4,10.00,
    IF(arrears_months=5,12.00,15.00)))))))</f>
        <v/>
      </c>
      <c r="M1290">
        <f>LET(
    seasoning_years,DATEDIF('Loan Tape (S&amp;P)'!K1290,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90">
        <f>IF(AND('Loan Tape (S&amp;P)'!U1290="Yes",
        'Loan Tape (S&amp;P)'!T1290&lt;&gt;"Yes",
        DATEDIF('Loan Tape (S&amp;P)'!K1290, TODAY(), "M")&lt;18),
    1.10,
    1.00)</f>
        <v/>
      </c>
      <c r="O1290">
        <f>IF('Loan Tape (S&amp;P)'!T1290="Yes",
    1.35,
    1.00)</f>
        <v/>
      </c>
      <c r="P1290">
        <f>IF('Loan Tape (S&amp;P)'!S1290="Yes",
    1.15,
    1.00)</f>
        <v/>
      </c>
      <c r="Q1290">
        <f>IF('Loan Tape (S&amp;P)'!V1290="Yes",
    1.20,
    1.00)</f>
        <v/>
      </c>
      <c r="T1290">
        <f>LET(
    payment_method,'Loan Tape (S&amp;P)'!P1290,
    occupancy,'Loan Tape (S&amp;P)'!N1290,
    maturity_date,'Loan Tape (S&amp;P)'!L1290,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91">
      <c r="J1291">
        <f>LET(
    lien,'Loan Tape (S&amp;P)'!Q1291,
    IF(lien="First",1.00,
        IF(lien="Second",1.50,
            1.70)))</f>
        <v/>
      </c>
      <c r="K1291">
        <f>LET(
    purpose,'Loan Tape (S&amp;P)'!R1291,
    IF(purpose="Purchase",1.00,
        IF(purpose="Remortgage",1.00,
            1.20)))</f>
        <v/>
      </c>
      <c r="L1291">
        <f>LET(
    arrears_months,'Loan Tape (S&amp;P)'!AN1291,
    IF(arrears_months=0,1.00,
    IF(arrears_months=1,3.00,
    IF(arrears_months=2,5.00,
    IF(arrears_months=3,8.00,
    IF(arrears_months=4,10.00,
    IF(arrears_months=5,12.00,15.00)))))))</f>
        <v/>
      </c>
      <c r="M1291">
        <f>LET(
    seasoning_years,DATEDIF('Loan Tape (S&amp;P)'!K1291,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91">
        <f>IF(AND('Loan Tape (S&amp;P)'!U1291="Yes",
        'Loan Tape (S&amp;P)'!T1291&lt;&gt;"Yes",
        DATEDIF('Loan Tape (S&amp;P)'!K1291, TODAY(), "M")&lt;18),
    1.10,
    1.00)</f>
        <v/>
      </c>
      <c r="O1291">
        <f>IF('Loan Tape (S&amp;P)'!T1291="Yes",
    1.35,
    1.00)</f>
        <v/>
      </c>
      <c r="P1291">
        <f>IF('Loan Tape (S&amp;P)'!S1291="Yes",
    1.15,
    1.00)</f>
        <v/>
      </c>
      <c r="Q1291">
        <f>IF('Loan Tape (S&amp;P)'!V1291="Yes",
    1.20,
    1.00)</f>
        <v/>
      </c>
      <c r="T1291">
        <f>LET(
    payment_method,'Loan Tape (S&amp;P)'!P1291,
    occupancy,'Loan Tape (S&amp;P)'!N1291,
    maturity_date,'Loan Tape (S&amp;P)'!L1291,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92">
      <c r="J1292">
        <f>LET(
    lien,'Loan Tape (S&amp;P)'!Q1292,
    IF(lien="First",1.00,
        IF(lien="Second",1.50,
            1.70)))</f>
        <v/>
      </c>
      <c r="K1292">
        <f>LET(
    purpose,'Loan Tape (S&amp;P)'!R1292,
    IF(purpose="Purchase",1.00,
        IF(purpose="Remortgage",1.00,
            1.20)))</f>
        <v/>
      </c>
      <c r="L1292">
        <f>LET(
    arrears_months,'Loan Tape (S&amp;P)'!AN1292,
    IF(arrears_months=0,1.00,
    IF(arrears_months=1,3.00,
    IF(arrears_months=2,5.00,
    IF(arrears_months=3,8.00,
    IF(arrears_months=4,10.00,
    IF(arrears_months=5,12.00,15.00)))))))</f>
        <v/>
      </c>
      <c r="M1292">
        <f>LET(
    seasoning_years,DATEDIF('Loan Tape (S&amp;P)'!K1292,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92">
        <f>IF(AND('Loan Tape (S&amp;P)'!U1292="Yes",
        'Loan Tape (S&amp;P)'!T1292&lt;&gt;"Yes",
        DATEDIF('Loan Tape (S&amp;P)'!K1292, TODAY(), "M")&lt;18),
    1.10,
    1.00)</f>
        <v/>
      </c>
      <c r="O1292">
        <f>IF('Loan Tape (S&amp;P)'!T1292="Yes",
    1.35,
    1.00)</f>
        <v/>
      </c>
      <c r="P1292">
        <f>IF('Loan Tape (S&amp;P)'!S1292="Yes",
    1.15,
    1.00)</f>
        <v/>
      </c>
      <c r="Q1292">
        <f>IF('Loan Tape (S&amp;P)'!V1292="Yes",
    1.20,
    1.00)</f>
        <v/>
      </c>
      <c r="T1292">
        <f>LET(
    payment_method,'Loan Tape (S&amp;P)'!P1292,
    occupancy,'Loan Tape (S&amp;P)'!N1292,
    maturity_date,'Loan Tape (S&amp;P)'!L1292,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93">
      <c r="J1293">
        <f>LET(
    lien,'Loan Tape (S&amp;P)'!Q1293,
    IF(lien="First",1.00,
        IF(lien="Second",1.50,
            1.70)))</f>
        <v/>
      </c>
      <c r="K1293">
        <f>LET(
    purpose,'Loan Tape (S&amp;P)'!R1293,
    IF(purpose="Purchase",1.00,
        IF(purpose="Remortgage",1.00,
            1.20)))</f>
        <v/>
      </c>
      <c r="L1293">
        <f>LET(
    arrears_months,'Loan Tape (S&amp;P)'!AN1293,
    IF(arrears_months=0,1.00,
    IF(arrears_months=1,3.00,
    IF(arrears_months=2,5.00,
    IF(arrears_months=3,8.00,
    IF(arrears_months=4,10.00,
    IF(arrears_months=5,12.00,15.00)))))))</f>
        <v/>
      </c>
      <c r="M1293">
        <f>LET(
    seasoning_years,DATEDIF('Loan Tape (S&amp;P)'!K1293,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93">
        <f>IF(AND('Loan Tape (S&amp;P)'!U1293="Yes",
        'Loan Tape (S&amp;P)'!T1293&lt;&gt;"Yes",
        DATEDIF('Loan Tape (S&amp;P)'!K1293, TODAY(), "M")&lt;18),
    1.10,
    1.00)</f>
        <v/>
      </c>
      <c r="O1293">
        <f>IF('Loan Tape (S&amp;P)'!T1293="Yes",
    1.35,
    1.00)</f>
        <v/>
      </c>
      <c r="P1293">
        <f>IF('Loan Tape (S&amp;P)'!S1293="Yes",
    1.15,
    1.00)</f>
        <v/>
      </c>
      <c r="Q1293">
        <f>IF('Loan Tape (S&amp;P)'!V1293="Yes",
    1.20,
    1.00)</f>
        <v/>
      </c>
      <c r="T1293">
        <f>LET(
    payment_method,'Loan Tape (S&amp;P)'!P1293,
    occupancy,'Loan Tape (S&amp;P)'!N1293,
    maturity_date,'Loan Tape (S&amp;P)'!L1293,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94">
      <c r="J1294">
        <f>LET(
    lien,'Loan Tape (S&amp;P)'!Q1294,
    IF(lien="First",1.00,
        IF(lien="Second",1.50,
            1.70)))</f>
        <v/>
      </c>
      <c r="K1294">
        <f>LET(
    purpose,'Loan Tape (S&amp;P)'!R1294,
    IF(purpose="Purchase",1.00,
        IF(purpose="Remortgage",1.00,
            1.20)))</f>
        <v/>
      </c>
      <c r="L1294">
        <f>LET(
    arrears_months,'Loan Tape (S&amp;P)'!AN1294,
    IF(arrears_months=0,1.00,
    IF(arrears_months=1,3.00,
    IF(arrears_months=2,5.00,
    IF(arrears_months=3,8.00,
    IF(arrears_months=4,10.00,
    IF(arrears_months=5,12.00,15.00)))))))</f>
        <v/>
      </c>
      <c r="M1294">
        <f>LET(
    seasoning_years,DATEDIF('Loan Tape (S&amp;P)'!K1294,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94">
        <f>IF(AND('Loan Tape (S&amp;P)'!U1294="Yes",
        'Loan Tape (S&amp;P)'!T1294&lt;&gt;"Yes",
        DATEDIF('Loan Tape (S&amp;P)'!K1294, TODAY(), "M")&lt;18),
    1.10,
    1.00)</f>
        <v/>
      </c>
      <c r="O1294">
        <f>IF('Loan Tape (S&amp;P)'!T1294="Yes",
    1.35,
    1.00)</f>
        <v/>
      </c>
      <c r="P1294">
        <f>IF('Loan Tape (S&amp;P)'!S1294="Yes",
    1.15,
    1.00)</f>
        <v/>
      </c>
      <c r="Q1294">
        <f>IF('Loan Tape (S&amp;P)'!V1294="Yes",
    1.20,
    1.00)</f>
        <v/>
      </c>
      <c r="T1294">
        <f>LET(
    payment_method,'Loan Tape (S&amp;P)'!P1294,
    occupancy,'Loan Tape (S&amp;P)'!N1294,
    maturity_date,'Loan Tape (S&amp;P)'!L1294,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95">
      <c r="J1295">
        <f>LET(
    lien,'Loan Tape (S&amp;P)'!Q1295,
    IF(lien="First",1.00,
        IF(lien="Second",1.50,
            1.70)))</f>
        <v/>
      </c>
      <c r="K1295">
        <f>LET(
    purpose,'Loan Tape (S&amp;P)'!R1295,
    IF(purpose="Purchase",1.00,
        IF(purpose="Remortgage",1.00,
            1.20)))</f>
        <v/>
      </c>
      <c r="L1295">
        <f>LET(
    arrears_months,'Loan Tape (S&amp;P)'!AN1295,
    IF(arrears_months=0,1.00,
    IF(arrears_months=1,3.00,
    IF(arrears_months=2,5.00,
    IF(arrears_months=3,8.00,
    IF(arrears_months=4,10.00,
    IF(arrears_months=5,12.00,15.00)))))))</f>
        <v/>
      </c>
      <c r="M1295">
        <f>LET(
    seasoning_years,DATEDIF('Loan Tape (S&amp;P)'!K1295,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95">
        <f>IF(AND('Loan Tape (S&amp;P)'!U1295="Yes",
        'Loan Tape (S&amp;P)'!T1295&lt;&gt;"Yes",
        DATEDIF('Loan Tape (S&amp;P)'!K1295, TODAY(), "M")&lt;18),
    1.10,
    1.00)</f>
        <v/>
      </c>
      <c r="O1295">
        <f>IF('Loan Tape (S&amp;P)'!T1295="Yes",
    1.35,
    1.00)</f>
        <v/>
      </c>
      <c r="P1295">
        <f>IF('Loan Tape (S&amp;P)'!S1295="Yes",
    1.15,
    1.00)</f>
        <v/>
      </c>
      <c r="Q1295">
        <f>IF('Loan Tape (S&amp;P)'!V1295="Yes",
    1.20,
    1.00)</f>
        <v/>
      </c>
      <c r="T1295">
        <f>LET(
    payment_method,'Loan Tape (S&amp;P)'!P1295,
    occupancy,'Loan Tape (S&amp;P)'!N1295,
    maturity_date,'Loan Tape (S&amp;P)'!L1295,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96">
      <c r="J1296">
        <f>LET(
    lien,'Loan Tape (S&amp;P)'!Q1296,
    IF(lien="First",1.00,
        IF(lien="Second",1.50,
            1.70)))</f>
        <v/>
      </c>
      <c r="K1296">
        <f>LET(
    purpose,'Loan Tape (S&amp;P)'!R1296,
    IF(purpose="Purchase",1.00,
        IF(purpose="Remortgage",1.00,
            1.20)))</f>
        <v/>
      </c>
      <c r="L1296">
        <f>LET(
    arrears_months,'Loan Tape (S&amp;P)'!AN1296,
    IF(arrears_months=0,1.00,
    IF(arrears_months=1,3.00,
    IF(arrears_months=2,5.00,
    IF(arrears_months=3,8.00,
    IF(arrears_months=4,10.00,
    IF(arrears_months=5,12.00,15.00)))))))</f>
        <v/>
      </c>
      <c r="M1296">
        <f>LET(
    seasoning_years,DATEDIF('Loan Tape (S&amp;P)'!K1296,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96">
        <f>IF(AND('Loan Tape (S&amp;P)'!U1296="Yes",
        'Loan Tape (S&amp;P)'!T1296&lt;&gt;"Yes",
        DATEDIF('Loan Tape (S&amp;P)'!K1296, TODAY(), "M")&lt;18),
    1.10,
    1.00)</f>
        <v/>
      </c>
      <c r="O1296">
        <f>IF('Loan Tape (S&amp;P)'!T1296="Yes",
    1.35,
    1.00)</f>
        <v/>
      </c>
      <c r="P1296">
        <f>IF('Loan Tape (S&amp;P)'!S1296="Yes",
    1.15,
    1.00)</f>
        <v/>
      </c>
      <c r="Q1296">
        <f>IF('Loan Tape (S&amp;P)'!V1296="Yes",
    1.20,
    1.00)</f>
        <v/>
      </c>
      <c r="T1296">
        <f>LET(
    payment_method,'Loan Tape (S&amp;P)'!P1296,
    occupancy,'Loan Tape (S&amp;P)'!N1296,
    maturity_date,'Loan Tape (S&amp;P)'!L1296,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97">
      <c r="J1297">
        <f>LET(
    lien,'Loan Tape (S&amp;P)'!Q1297,
    IF(lien="First",1.00,
        IF(lien="Second",1.50,
            1.70)))</f>
        <v/>
      </c>
      <c r="K1297">
        <f>LET(
    purpose,'Loan Tape (S&amp;P)'!R1297,
    IF(purpose="Purchase",1.00,
        IF(purpose="Remortgage",1.00,
            1.20)))</f>
        <v/>
      </c>
      <c r="L1297">
        <f>LET(
    arrears_months,'Loan Tape (S&amp;P)'!AN1297,
    IF(arrears_months=0,1.00,
    IF(arrears_months=1,3.00,
    IF(arrears_months=2,5.00,
    IF(arrears_months=3,8.00,
    IF(arrears_months=4,10.00,
    IF(arrears_months=5,12.00,15.00)))))))</f>
        <v/>
      </c>
      <c r="M1297">
        <f>LET(
    seasoning_years,DATEDIF('Loan Tape (S&amp;P)'!K1297,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97">
        <f>IF(AND('Loan Tape (S&amp;P)'!U1297="Yes",
        'Loan Tape (S&amp;P)'!T1297&lt;&gt;"Yes",
        DATEDIF('Loan Tape (S&amp;P)'!K1297, TODAY(), "M")&lt;18),
    1.10,
    1.00)</f>
        <v/>
      </c>
      <c r="O1297">
        <f>IF('Loan Tape (S&amp;P)'!T1297="Yes",
    1.35,
    1.00)</f>
        <v/>
      </c>
      <c r="P1297">
        <f>IF('Loan Tape (S&amp;P)'!S1297="Yes",
    1.15,
    1.00)</f>
        <v/>
      </c>
      <c r="Q1297">
        <f>IF('Loan Tape (S&amp;P)'!V1297="Yes",
    1.20,
    1.00)</f>
        <v/>
      </c>
      <c r="T1297">
        <f>LET(
    payment_method,'Loan Tape (S&amp;P)'!P1297,
    occupancy,'Loan Tape (S&amp;P)'!N1297,
    maturity_date,'Loan Tape (S&amp;P)'!L1297,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98">
      <c r="J1298">
        <f>LET(
    lien,'Loan Tape (S&amp;P)'!Q1298,
    IF(lien="First",1.00,
        IF(lien="Second",1.50,
            1.70)))</f>
        <v/>
      </c>
      <c r="K1298">
        <f>LET(
    purpose,'Loan Tape (S&amp;P)'!R1298,
    IF(purpose="Purchase",1.00,
        IF(purpose="Remortgage",1.00,
            1.20)))</f>
        <v/>
      </c>
      <c r="L1298">
        <f>LET(
    arrears_months,'Loan Tape (S&amp;P)'!AN1298,
    IF(arrears_months=0,1.00,
    IF(arrears_months=1,3.00,
    IF(arrears_months=2,5.00,
    IF(arrears_months=3,8.00,
    IF(arrears_months=4,10.00,
    IF(arrears_months=5,12.00,15.00)))))))</f>
        <v/>
      </c>
      <c r="M1298">
        <f>LET(
    seasoning_years,DATEDIF('Loan Tape (S&amp;P)'!K1298,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98">
        <f>IF(AND('Loan Tape (S&amp;P)'!U1298="Yes",
        'Loan Tape (S&amp;P)'!T1298&lt;&gt;"Yes",
        DATEDIF('Loan Tape (S&amp;P)'!K1298, TODAY(), "M")&lt;18),
    1.10,
    1.00)</f>
        <v/>
      </c>
      <c r="O1298">
        <f>IF('Loan Tape (S&amp;P)'!T1298="Yes",
    1.35,
    1.00)</f>
        <v/>
      </c>
      <c r="P1298">
        <f>IF('Loan Tape (S&amp;P)'!S1298="Yes",
    1.15,
    1.00)</f>
        <v/>
      </c>
      <c r="Q1298">
        <f>IF('Loan Tape (S&amp;P)'!V1298="Yes",
    1.20,
    1.00)</f>
        <v/>
      </c>
      <c r="T1298">
        <f>LET(
    payment_method,'Loan Tape (S&amp;P)'!P1298,
    occupancy,'Loan Tape (S&amp;P)'!N1298,
    maturity_date,'Loan Tape (S&amp;P)'!L1298,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299">
      <c r="J1299">
        <f>LET(
    lien,'Loan Tape (S&amp;P)'!Q1299,
    IF(lien="First",1.00,
        IF(lien="Second",1.50,
            1.70)))</f>
        <v/>
      </c>
      <c r="K1299">
        <f>LET(
    purpose,'Loan Tape (S&amp;P)'!R1299,
    IF(purpose="Purchase",1.00,
        IF(purpose="Remortgage",1.00,
            1.20)))</f>
        <v/>
      </c>
      <c r="L1299">
        <f>LET(
    arrears_months,'Loan Tape (S&amp;P)'!AN1299,
    IF(arrears_months=0,1.00,
    IF(arrears_months=1,3.00,
    IF(arrears_months=2,5.00,
    IF(arrears_months=3,8.00,
    IF(arrears_months=4,10.00,
    IF(arrears_months=5,12.00,15.00)))))))</f>
        <v/>
      </c>
      <c r="M1299">
        <f>LET(
    seasoning_years,DATEDIF('Loan Tape (S&amp;P)'!K1299,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299">
        <f>IF(AND('Loan Tape (S&amp;P)'!U1299="Yes",
        'Loan Tape (S&amp;P)'!T1299&lt;&gt;"Yes",
        DATEDIF('Loan Tape (S&amp;P)'!K1299, TODAY(), "M")&lt;18),
    1.10,
    1.00)</f>
        <v/>
      </c>
      <c r="O1299">
        <f>IF('Loan Tape (S&amp;P)'!T1299="Yes",
    1.35,
    1.00)</f>
        <v/>
      </c>
      <c r="P1299">
        <f>IF('Loan Tape (S&amp;P)'!S1299="Yes",
    1.15,
    1.00)</f>
        <v/>
      </c>
      <c r="Q1299">
        <f>IF('Loan Tape (S&amp;P)'!V1299="Yes",
    1.20,
    1.00)</f>
        <v/>
      </c>
      <c r="T1299">
        <f>LET(
    payment_method,'Loan Tape (S&amp;P)'!P1299,
    occupancy,'Loan Tape (S&amp;P)'!N1299,
    maturity_date,'Loan Tape (S&amp;P)'!L1299,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00">
      <c r="J1300">
        <f>LET(
    lien,'Loan Tape (S&amp;P)'!Q1300,
    IF(lien="First",1.00,
        IF(lien="Second",1.50,
            1.70)))</f>
        <v/>
      </c>
      <c r="K1300">
        <f>LET(
    purpose,'Loan Tape (S&amp;P)'!R1300,
    IF(purpose="Purchase",1.00,
        IF(purpose="Remortgage",1.00,
            1.20)))</f>
        <v/>
      </c>
      <c r="L1300">
        <f>LET(
    arrears_months,'Loan Tape (S&amp;P)'!AN1300,
    IF(arrears_months=0,1.00,
    IF(arrears_months=1,3.00,
    IF(arrears_months=2,5.00,
    IF(arrears_months=3,8.00,
    IF(arrears_months=4,10.00,
    IF(arrears_months=5,12.00,15.00)))))))</f>
        <v/>
      </c>
      <c r="M1300">
        <f>LET(
    seasoning_years,DATEDIF('Loan Tape (S&amp;P)'!K1300,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00">
        <f>IF(AND('Loan Tape (S&amp;P)'!U1300="Yes",
        'Loan Tape (S&amp;P)'!T1300&lt;&gt;"Yes",
        DATEDIF('Loan Tape (S&amp;P)'!K1300, TODAY(), "M")&lt;18),
    1.10,
    1.00)</f>
        <v/>
      </c>
      <c r="O1300">
        <f>IF('Loan Tape (S&amp;P)'!T1300="Yes",
    1.35,
    1.00)</f>
        <v/>
      </c>
      <c r="P1300">
        <f>IF('Loan Tape (S&amp;P)'!S1300="Yes",
    1.15,
    1.00)</f>
        <v/>
      </c>
      <c r="Q1300">
        <f>IF('Loan Tape (S&amp;P)'!V1300="Yes",
    1.20,
    1.00)</f>
        <v/>
      </c>
      <c r="T1300">
        <f>LET(
    payment_method,'Loan Tape (S&amp;P)'!P1300,
    occupancy,'Loan Tape (S&amp;P)'!N1300,
    maturity_date,'Loan Tape (S&amp;P)'!L1300,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01">
      <c r="J1301">
        <f>LET(
    lien,'Loan Tape (S&amp;P)'!Q1301,
    IF(lien="First",1.00,
        IF(lien="Second",1.50,
            1.70)))</f>
        <v/>
      </c>
      <c r="K1301">
        <f>LET(
    purpose,'Loan Tape (S&amp;P)'!R1301,
    IF(purpose="Purchase",1.00,
        IF(purpose="Remortgage",1.00,
            1.20)))</f>
        <v/>
      </c>
      <c r="L1301">
        <f>LET(
    arrears_months,'Loan Tape (S&amp;P)'!AN1301,
    IF(arrears_months=0,1.00,
    IF(arrears_months=1,3.00,
    IF(arrears_months=2,5.00,
    IF(arrears_months=3,8.00,
    IF(arrears_months=4,10.00,
    IF(arrears_months=5,12.00,15.00)))))))</f>
        <v/>
      </c>
      <c r="M1301">
        <f>LET(
    seasoning_years,DATEDIF('Loan Tape (S&amp;P)'!K1301,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01">
        <f>IF(AND('Loan Tape (S&amp;P)'!U1301="Yes",
        'Loan Tape (S&amp;P)'!T1301&lt;&gt;"Yes",
        DATEDIF('Loan Tape (S&amp;P)'!K1301, TODAY(), "M")&lt;18),
    1.10,
    1.00)</f>
        <v/>
      </c>
      <c r="O1301">
        <f>IF('Loan Tape (S&amp;P)'!T1301="Yes",
    1.35,
    1.00)</f>
        <v/>
      </c>
      <c r="P1301">
        <f>IF('Loan Tape (S&amp;P)'!S1301="Yes",
    1.15,
    1.00)</f>
        <v/>
      </c>
      <c r="Q1301">
        <f>IF('Loan Tape (S&amp;P)'!V1301="Yes",
    1.20,
    1.00)</f>
        <v/>
      </c>
      <c r="T1301">
        <f>LET(
    payment_method,'Loan Tape (S&amp;P)'!P1301,
    occupancy,'Loan Tape (S&amp;P)'!N1301,
    maturity_date,'Loan Tape (S&amp;P)'!L1301,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02">
      <c r="J1302">
        <f>LET(
    lien,'Loan Tape (S&amp;P)'!Q1302,
    IF(lien="First",1.00,
        IF(lien="Second",1.50,
            1.70)))</f>
        <v/>
      </c>
      <c r="K1302">
        <f>LET(
    purpose,'Loan Tape (S&amp;P)'!R1302,
    IF(purpose="Purchase",1.00,
        IF(purpose="Remortgage",1.00,
            1.20)))</f>
        <v/>
      </c>
      <c r="L1302">
        <f>LET(
    arrears_months,'Loan Tape (S&amp;P)'!AN1302,
    IF(arrears_months=0,1.00,
    IF(arrears_months=1,3.00,
    IF(arrears_months=2,5.00,
    IF(arrears_months=3,8.00,
    IF(arrears_months=4,10.00,
    IF(arrears_months=5,12.00,15.00)))))))</f>
        <v/>
      </c>
      <c r="M1302">
        <f>LET(
    seasoning_years,DATEDIF('Loan Tape (S&amp;P)'!K1302,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02">
        <f>IF(AND('Loan Tape (S&amp;P)'!U1302="Yes",
        'Loan Tape (S&amp;P)'!T1302&lt;&gt;"Yes",
        DATEDIF('Loan Tape (S&amp;P)'!K1302, TODAY(), "M")&lt;18),
    1.10,
    1.00)</f>
        <v/>
      </c>
      <c r="O1302">
        <f>IF('Loan Tape (S&amp;P)'!T1302="Yes",
    1.35,
    1.00)</f>
        <v/>
      </c>
      <c r="P1302">
        <f>IF('Loan Tape (S&amp;P)'!S1302="Yes",
    1.15,
    1.00)</f>
        <v/>
      </c>
      <c r="Q1302">
        <f>IF('Loan Tape (S&amp;P)'!V1302="Yes",
    1.20,
    1.00)</f>
        <v/>
      </c>
      <c r="T1302">
        <f>LET(
    payment_method,'Loan Tape (S&amp;P)'!P1302,
    occupancy,'Loan Tape (S&amp;P)'!N1302,
    maturity_date,'Loan Tape (S&amp;P)'!L1302,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03">
      <c r="J1303">
        <f>LET(
    lien,'Loan Tape (S&amp;P)'!Q1303,
    IF(lien="First",1.00,
        IF(lien="Second",1.50,
            1.70)))</f>
        <v/>
      </c>
      <c r="K1303">
        <f>LET(
    purpose,'Loan Tape (S&amp;P)'!R1303,
    IF(purpose="Purchase",1.00,
        IF(purpose="Remortgage",1.00,
            1.20)))</f>
        <v/>
      </c>
      <c r="L1303">
        <f>LET(
    arrears_months,'Loan Tape (S&amp;P)'!AN1303,
    IF(arrears_months=0,1.00,
    IF(arrears_months=1,3.00,
    IF(arrears_months=2,5.00,
    IF(arrears_months=3,8.00,
    IF(arrears_months=4,10.00,
    IF(arrears_months=5,12.00,15.00)))))))</f>
        <v/>
      </c>
      <c r="M1303">
        <f>LET(
    seasoning_years,DATEDIF('Loan Tape (S&amp;P)'!K1303,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03">
        <f>IF(AND('Loan Tape (S&amp;P)'!U1303="Yes",
        'Loan Tape (S&amp;P)'!T1303&lt;&gt;"Yes",
        DATEDIF('Loan Tape (S&amp;P)'!K1303, TODAY(), "M")&lt;18),
    1.10,
    1.00)</f>
        <v/>
      </c>
      <c r="O1303">
        <f>IF('Loan Tape (S&amp;P)'!T1303="Yes",
    1.35,
    1.00)</f>
        <v/>
      </c>
      <c r="P1303">
        <f>IF('Loan Tape (S&amp;P)'!S1303="Yes",
    1.15,
    1.00)</f>
        <v/>
      </c>
      <c r="Q1303">
        <f>IF('Loan Tape (S&amp;P)'!V1303="Yes",
    1.20,
    1.00)</f>
        <v/>
      </c>
      <c r="T1303">
        <f>LET(
    payment_method,'Loan Tape (S&amp;P)'!P1303,
    occupancy,'Loan Tape (S&amp;P)'!N1303,
    maturity_date,'Loan Tape (S&amp;P)'!L1303,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04">
      <c r="J1304">
        <f>LET(
    lien,'Loan Tape (S&amp;P)'!Q1304,
    IF(lien="First",1.00,
        IF(lien="Second",1.50,
            1.70)))</f>
        <v/>
      </c>
      <c r="K1304">
        <f>LET(
    purpose,'Loan Tape (S&amp;P)'!R1304,
    IF(purpose="Purchase",1.00,
        IF(purpose="Remortgage",1.00,
            1.20)))</f>
        <v/>
      </c>
      <c r="L1304">
        <f>LET(
    arrears_months,'Loan Tape (S&amp;P)'!AN1304,
    IF(arrears_months=0,1.00,
    IF(arrears_months=1,3.00,
    IF(arrears_months=2,5.00,
    IF(arrears_months=3,8.00,
    IF(arrears_months=4,10.00,
    IF(arrears_months=5,12.00,15.00)))))))</f>
        <v/>
      </c>
      <c r="M1304">
        <f>LET(
    seasoning_years,DATEDIF('Loan Tape (S&amp;P)'!K1304,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04">
        <f>IF(AND('Loan Tape (S&amp;P)'!U1304="Yes",
        'Loan Tape (S&amp;P)'!T1304&lt;&gt;"Yes",
        DATEDIF('Loan Tape (S&amp;P)'!K1304, TODAY(), "M")&lt;18),
    1.10,
    1.00)</f>
        <v/>
      </c>
      <c r="O1304">
        <f>IF('Loan Tape (S&amp;P)'!T1304="Yes",
    1.35,
    1.00)</f>
        <v/>
      </c>
      <c r="P1304">
        <f>IF('Loan Tape (S&amp;P)'!S1304="Yes",
    1.15,
    1.00)</f>
        <v/>
      </c>
      <c r="Q1304">
        <f>IF('Loan Tape (S&amp;P)'!V1304="Yes",
    1.20,
    1.00)</f>
        <v/>
      </c>
      <c r="T1304">
        <f>LET(
    payment_method,'Loan Tape (S&amp;P)'!P1304,
    occupancy,'Loan Tape (S&amp;P)'!N1304,
    maturity_date,'Loan Tape (S&amp;P)'!L1304,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05">
      <c r="J1305">
        <f>LET(
    lien,'Loan Tape (S&amp;P)'!Q1305,
    IF(lien="First",1.00,
        IF(lien="Second",1.50,
            1.70)))</f>
        <v/>
      </c>
      <c r="K1305">
        <f>LET(
    purpose,'Loan Tape (S&amp;P)'!R1305,
    IF(purpose="Purchase",1.00,
        IF(purpose="Remortgage",1.00,
            1.20)))</f>
        <v/>
      </c>
      <c r="L1305">
        <f>LET(
    arrears_months,'Loan Tape (S&amp;P)'!AN1305,
    IF(arrears_months=0,1.00,
    IF(arrears_months=1,3.00,
    IF(arrears_months=2,5.00,
    IF(arrears_months=3,8.00,
    IF(arrears_months=4,10.00,
    IF(arrears_months=5,12.00,15.00)))))))</f>
        <v/>
      </c>
      <c r="M1305">
        <f>LET(
    seasoning_years,DATEDIF('Loan Tape (S&amp;P)'!K1305,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05">
        <f>IF(AND('Loan Tape (S&amp;P)'!U1305="Yes",
        'Loan Tape (S&amp;P)'!T1305&lt;&gt;"Yes",
        DATEDIF('Loan Tape (S&amp;P)'!K1305, TODAY(), "M")&lt;18),
    1.10,
    1.00)</f>
        <v/>
      </c>
      <c r="O1305">
        <f>IF('Loan Tape (S&amp;P)'!T1305="Yes",
    1.35,
    1.00)</f>
        <v/>
      </c>
      <c r="P1305">
        <f>IF('Loan Tape (S&amp;P)'!S1305="Yes",
    1.15,
    1.00)</f>
        <v/>
      </c>
      <c r="Q1305">
        <f>IF('Loan Tape (S&amp;P)'!V1305="Yes",
    1.20,
    1.00)</f>
        <v/>
      </c>
      <c r="T1305">
        <f>LET(
    payment_method,'Loan Tape (S&amp;P)'!P1305,
    occupancy,'Loan Tape (S&amp;P)'!N1305,
    maturity_date,'Loan Tape (S&amp;P)'!L1305,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06">
      <c r="J1306">
        <f>LET(
    lien,'Loan Tape (S&amp;P)'!Q1306,
    IF(lien="First",1.00,
        IF(lien="Second",1.50,
            1.70)))</f>
        <v/>
      </c>
      <c r="K1306">
        <f>LET(
    purpose,'Loan Tape (S&amp;P)'!R1306,
    IF(purpose="Purchase",1.00,
        IF(purpose="Remortgage",1.00,
            1.20)))</f>
        <v/>
      </c>
      <c r="L1306">
        <f>LET(
    arrears_months,'Loan Tape (S&amp;P)'!AN1306,
    IF(arrears_months=0,1.00,
    IF(arrears_months=1,3.00,
    IF(arrears_months=2,5.00,
    IF(arrears_months=3,8.00,
    IF(arrears_months=4,10.00,
    IF(arrears_months=5,12.00,15.00)))))))</f>
        <v/>
      </c>
      <c r="M1306">
        <f>LET(
    seasoning_years,DATEDIF('Loan Tape (S&amp;P)'!K1306,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06">
        <f>IF(AND('Loan Tape (S&amp;P)'!U1306="Yes",
        'Loan Tape (S&amp;P)'!T1306&lt;&gt;"Yes",
        DATEDIF('Loan Tape (S&amp;P)'!K1306, TODAY(), "M")&lt;18),
    1.10,
    1.00)</f>
        <v/>
      </c>
      <c r="O1306">
        <f>IF('Loan Tape (S&amp;P)'!T1306="Yes",
    1.35,
    1.00)</f>
        <v/>
      </c>
      <c r="P1306">
        <f>IF('Loan Tape (S&amp;P)'!S1306="Yes",
    1.15,
    1.00)</f>
        <v/>
      </c>
      <c r="Q1306">
        <f>IF('Loan Tape (S&amp;P)'!V1306="Yes",
    1.20,
    1.00)</f>
        <v/>
      </c>
      <c r="T1306">
        <f>LET(
    payment_method,'Loan Tape (S&amp;P)'!P1306,
    occupancy,'Loan Tape (S&amp;P)'!N1306,
    maturity_date,'Loan Tape (S&amp;P)'!L1306,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07">
      <c r="J1307">
        <f>LET(
    lien,'Loan Tape (S&amp;P)'!Q1307,
    IF(lien="First",1.00,
        IF(lien="Second",1.50,
            1.70)))</f>
        <v/>
      </c>
      <c r="K1307">
        <f>LET(
    purpose,'Loan Tape (S&amp;P)'!R1307,
    IF(purpose="Purchase",1.00,
        IF(purpose="Remortgage",1.00,
            1.20)))</f>
        <v/>
      </c>
      <c r="L1307">
        <f>LET(
    arrears_months,'Loan Tape (S&amp;P)'!AN1307,
    IF(arrears_months=0,1.00,
    IF(arrears_months=1,3.00,
    IF(arrears_months=2,5.00,
    IF(arrears_months=3,8.00,
    IF(arrears_months=4,10.00,
    IF(arrears_months=5,12.00,15.00)))))))</f>
        <v/>
      </c>
      <c r="M1307">
        <f>LET(
    seasoning_years,DATEDIF('Loan Tape (S&amp;P)'!K1307,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07">
        <f>IF(AND('Loan Tape (S&amp;P)'!U1307="Yes",
        'Loan Tape (S&amp;P)'!T1307&lt;&gt;"Yes",
        DATEDIF('Loan Tape (S&amp;P)'!K1307, TODAY(), "M")&lt;18),
    1.10,
    1.00)</f>
        <v/>
      </c>
      <c r="O1307">
        <f>IF('Loan Tape (S&amp;P)'!T1307="Yes",
    1.35,
    1.00)</f>
        <v/>
      </c>
      <c r="P1307">
        <f>IF('Loan Tape (S&amp;P)'!S1307="Yes",
    1.15,
    1.00)</f>
        <v/>
      </c>
      <c r="Q1307">
        <f>IF('Loan Tape (S&amp;P)'!V1307="Yes",
    1.20,
    1.00)</f>
        <v/>
      </c>
      <c r="T1307">
        <f>LET(
    payment_method,'Loan Tape (S&amp;P)'!P1307,
    occupancy,'Loan Tape (S&amp;P)'!N1307,
    maturity_date,'Loan Tape (S&amp;P)'!L1307,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08">
      <c r="J1308">
        <f>LET(
    lien,'Loan Tape (S&amp;P)'!Q1308,
    IF(lien="First",1.00,
        IF(lien="Second",1.50,
            1.70)))</f>
        <v/>
      </c>
      <c r="K1308">
        <f>LET(
    purpose,'Loan Tape (S&amp;P)'!R1308,
    IF(purpose="Purchase",1.00,
        IF(purpose="Remortgage",1.00,
            1.20)))</f>
        <v/>
      </c>
      <c r="L1308">
        <f>LET(
    arrears_months,'Loan Tape (S&amp;P)'!AN1308,
    IF(arrears_months=0,1.00,
    IF(arrears_months=1,3.00,
    IF(arrears_months=2,5.00,
    IF(arrears_months=3,8.00,
    IF(arrears_months=4,10.00,
    IF(arrears_months=5,12.00,15.00)))))))</f>
        <v/>
      </c>
      <c r="M1308">
        <f>LET(
    seasoning_years,DATEDIF('Loan Tape (S&amp;P)'!K1308,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08">
        <f>IF(AND('Loan Tape (S&amp;P)'!U1308="Yes",
        'Loan Tape (S&amp;P)'!T1308&lt;&gt;"Yes",
        DATEDIF('Loan Tape (S&amp;P)'!K1308, TODAY(), "M")&lt;18),
    1.10,
    1.00)</f>
        <v/>
      </c>
      <c r="O1308">
        <f>IF('Loan Tape (S&amp;P)'!T1308="Yes",
    1.35,
    1.00)</f>
        <v/>
      </c>
      <c r="P1308">
        <f>IF('Loan Tape (S&amp;P)'!S1308="Yes",
    1.15,
    1.00)</f>
        <v/>
      </c>
      <c r="Q1308">
        <f>IF('Loan Tape (S&amp;P)'!V1308="Yes",
    1.20,
    1.00)</f>
        <v/>
      </c>
      <c r="T1308">
        <f>LET(
    payment_method,'Loan Tape (S&amp;P)'!P1308,
    occupancy,'Loan Tape (S&amp;P)'!N1308,
    maturity_date,'Loan Tape (S&amp;P)'!L1308,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09">
      <c r="J1309">
        <f>LET(
    lien,'Loan Tape (S&amp;P)'!Q1309,
    IF(lien="First",1.00,
        IF(lien="Second",1.50,
            1.70)))</f>
        <v/>
      </c>
      <c r="K1309">
        <f>LET(
    purpose,'Loan Tape (S&amp;P)'!R1309,
    IF(purpose="Purchase",1.00,
        IF(purpose="Remortgage",1.00,
            1.20)))</f>
        <v/>
      </c>
      <c r="L1309">
        <f>LET(
    arrears_months,'Loan Tape (S&amp;P)'!AN1309,
    IF(arrears_months=0,1.00,
    IF(arrears_months=1,3.00,
    IF(arrears_months=2,5.00,
    IF(arrears_months=3,8.00,
    IF(arrears_months=4,10.00,
    IF(arrears_months=5,12.00,15.00)))))))</f>
        <v/>
      </c>
      <c r="M1309">
        <f>LET(
    seasoning_years,DATEDIF('Loan Tape (S&amp;P)'!K1309,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09">
        <f>IF(AND('Loan Tape (S&amp;P)'!U1309="Yes",
        'Loan Tape (S&amp;P)'!T1309&lt;&gt;"Yes",
        DATEDIF('Loan Tape (S&amp;P)'!K1309, TODAY(), "M")&lt;18),
    1.10,
    1.00)</f>
        <v/>
      </c>
      <c r="O1309">
        <f>IF('Loan Tape (S&amp;P)'!T1309="Yes",
    1.35,
    1.00)</f>
        <v/>
      </c>
      <c r="P1309">
        <f>IF('Loan Tape (S&amp;P)'!S1309="Yes",
    1.15,
    1.00)</f>
        <v/>
      </c>
      <c r="Q1309">
        <f>IF('Loan Tape (S&amp;P)'!V1309="Yes",
    1.20,
    1.00)</f>
        <v/>
      </c>
      <c r="T1309">
        <f>LET(
    payment_method,'Loan Tape (S&amp;P)'!P1309,
    occupancy,'Loan Tape (S&amp;P)'!N1309,
    maturity_date,'Loan Tape (S&amp;P)'!L1309,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10">
      <c r="J1310">
        <f>LET(
    lien,'Loan Tape (S&amp;P)'!Q1310,
    IF(lien="First",1.00,
        IF(lien="Second",1.50,
            1.70)))</f>
        <v/>
      </c>
      <c r="K1310">
        <f>LET(
    purpose,'Loan Tape (S&amp;P)'!R1310,
    IF(purpose="Purchase",1.00,
        IF(purpose="Remortgage",1.00,
            1.20)))</f>
        <v/>
      </c>
      <c r="L1310">
        <f>LET(
    arrears_months,'Loan Tape (S&amp;P)'!AN1310,
    IF(arrears_months=0,1.00,
    IF(arrears_months=1,3.00,
    IF(arrears_months=2,5.00,
    IF(arrears_months=3,8.00,
    IF(arrears_months=4,10.00,
    IF(arrears_months=5,12.00,15.00)))))))</f>
        <v/>
      </c>
      <c r="M1310">
        <f>LET(
    seasoning_years,DATEDIF('Loan Tape (S&amp;P)'!K1310,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10">
        <f>IF(AND('Loan Tape (S&amp;P)'!U1310="Yes",
        'Loan Tape (S&amp;P)'!T1310&lt;&gt;"Yes",
        DATEDIF('Loan Tape (S&amp;P)'!K1310, TODAY(), "M")&lt;18),
    1.10,
    1.00)</f>
        <v/>
      </c>
      <c r="O1310">
        <f>IF('Loan Tape (S&amp;P)'!T1310="Yes",
    1.35,
    1.00)</f>
        <v/>
      </c>
      <c r="P1310">
        <f>IF('Loan Tape (S&amp;P)'!S1310="Yes",
    1.15,
    1.00)</f>
        <v/>
      </c>
      <c r="Q1310">
        <f>IF('Loan Tape (S&amp;P)'!V1310="Yes",
    1.20,
    1.00)</f>
        <v/>
      </c>
      <c r="T1310">
        <f>LET(
    payment_method,'Loan Tape (S&amp;P)'!P1310,
    occupancy,'Loan Tape (S&amp;P)'!N1310,
    maturity_date,'Loan Tape (S&amp;P)'!L1310,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11">
      <c r="J1311">
        <f>LET(
    lien,'Loan Tape (S&amp;P)'!Q1311,
    IF(lien="First",1.00,
        IF(lien="Second",1.50,
            1.70)))</f>
        <v/>
      </c>
      <c r="K1311">
        <f>LET(
    purpose,'Loan Tape (S&amp;P)'!R1311,
    IF(purpose="Purchase",1.00,
        IF(purpose="Remortgage",1.00,
            1.20)))</f>
        <v/>
      </c>
      <c r="L1311">
        <f>LET(
    arrears_months,'Loan Tape (S&amp;P)'!AN1311,
    IF(arrears_months=0,1.00,
    IF(arrears_months=1,3.00,
    IF(arrears_months=2,5.00,
    IF(arrears_months=3,8.00,
    IF(arrears_months=4,10.00,
    IF(arrears_months=5,12.00,15.00)))))))</f>
        <v/>
      </c>
      <c r="M1311">
        <f>LET(
    seasoning_years,DATEDIF('Loan Tape (S&amp;P)'!K1311,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11">
        <f>IF(AND('Loan Tape (S&amp;P)'!U1311="Yes",
        'Loan Tape (S&amp;P)'!T1311&lt;&gt;"Yes",
        DATEDIF('Loan Tape (S&amp;P)'!K1311, TODAY(), "M")&lt;18),
    1.10,
    1.00)</f>
        <v/>
      </c>
      <c r="O1311">
        <f>IF('Loan Tape (S&amp;P)'!T1311="Yes",
    1.35,
    1.00)</f>
        <v/>
      </c>
      <c r="P1311">
        <f>IF('Loan Tape (S&amp;P)'!S1311="Yes",
    1.15,
    1.00)</f>
        <v/>
      </c>
      <c r="Q1311">
        <f>IF('Loan Tape (S&amp;P)'!V1311="Yes",
    1.20,
    1.00)</f>
        <v/>
      </c>
      <c r="T1311">
        <f>LET(
    payment_method,'Loan Tape (S&amp;P)'!P1311,
    occupancy,'Loan Tape (S&amp;P)'!N1311,
    maturity_date,'Loan Tape (S&amp;P)'!L1311,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12">
      <c r="J1312">
        <f>LET(
    lien,'Loan Tape (S&amp;P)'!Q1312,
    IF(lien="First",1.00,
        IF(lien="Second",1.50,
            1.70)))</f>
        <v/>
      </c>
      <c r="K1312">
        <f>LET(
    purpose,'Loan Tape (S&amp;P)'!R1312,
    IF(purpose="Purchase",1.00,
        IF(purpose="Remortgage",1.00,
            1.20)))</f>
        <v/>
      </c>
      <c r="L1312">
        <f>LET(
    arrears_months,'Loan Tape (S&amp;P)'!AN1312,
    IF(arrears_months=0,1.00,
    IF(arrears_months=1,3.00,
    IF(arrears_months=2,5.00,
    IF(arrears_months=3,8.00,
    IF(arrears_months=4,10.00,
    IF(arrears_months=5,12.00,15.00)))))))</f>
        <v/>
      </c>
      <c r="M1312">
        <f>LET(
    seasoning_years,DATEDIF('Loan Tape (S&amp;P)'!K1312,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12">
        <f>IF(AND('Loan Tape (S&amp;P)'!U1312="Yes",
        'Loan Tape (S&amp;P)'!T1312&lt;&gt;"Yes",
        DATEDIF('Loan Tape (S&amp;P)'!K1312, TODAY(), "M")&lt;18),
    1.10,
    1.00)</f>
        <v/>
      </c>
      <c r="O1312">
        <f>IF('Loan Tape (S&amp;P)'!T1312="Yes",
    1.35,
    1.00)</f>
        <v/>
      </c>
      <c r="P1312">
        <f>IF('Loan Tape (S&amp;P)'!S1312="Yes",
    1.15,
    1.00)</f>
        <v/>
      </c>
      <c r="Q1312">
        <f>IF('Loan Tape (S&amp;P)'!V1312="Yes",
    1.20,
    1.00)</f>
        <v/>
      </c>
      <c r="T1312">
        <f>LET(
    payment_method,'Loan Tape (S&amp;P)'!P1312,
    occupancy,'Loan Tape (S&amp;P)'!N1312,
    maturity_date,'Loan Tape (S&amp;P)'!L1312,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13">
      <c r="J1313">
        <f>LET(
    lien,'Loan Tape (S&amp;P)'!Q1313,
    IF(lien="First",1.00,
        IF(lien="Second",1.50,
            1.70)))</f>
        <v/>
      </c>
      <c r="K1313">
        <f>LET(
    purpose,'Loan Tape (S&amp;P)'!R1313,
    IF(purpose="Purchase",1.00,
        IF(purpose="Remortgage",1.00,
            1.20)))</f>
        <v/>
      </c>
      <c r="L1313">
        <f>LET(
    arrears_months,'Loan Tape (S&amp;P)'!AN1313,
    IF(arrears_months=0,1.00,
    IF(arrears_months=1,3.00,
    IF(arrears_months=2,5.00,
    IF(arrears_months=3,8.00,
    IF(arrears_months=4,10.00,
    IF(arrears_months=5,12.00,15.00)))))))</f>
        <v/>
      </c>
      <c r="M1313">
        <f>LET(
    seasoning_years,DATEDIF('Loan Tape (S&amp;P)'!K1313,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13">
        <f>IF(AND('Loan Tape (S&amp;P)'!U1313="Yes",
        'Loan Tape (S&amp;P)'!T1313&lt;&gt;"Yes",
        DATEDIF('Loan Tape (S&amp;P)'!K1313, TODAY(), "M")&lt;18),
    1.10,
    1.00)</f>
        <v/>
      </c>
      <c r="O1313">
        <f>IF('Loan Tape (S&amp;P)'!T1313="Yes",
    1.35,
    1.00)</f>
        <v/>
      </c>
      <c r="P1313">
        <f>IF('Loan Tape (S&amp;P)'!S1313="Yes",
    1.15,
    1.00)</f>
        <v/>
      </c>
      <c r="Q1313">
        <f>IF('Loan Tape (S&amp;P)'!V1313="Yes",
    1.20,
    1.00)</f>
        <v/>
      </c>
      <c r="T1313">
        <f>LET(
    payment_method,'Loan Tape (S&amp;P)'!P1313,
    occupancy,'Loan Tape (S&amp;P)'!N1313,
    maturity_date,'Loan Tape (S&amp;P)'!L1313,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14">
      <c r="J1314">
        <f>LET(
    lien,'Loan Tape (S&amp;P)'!Q1314,
    IF(lien="First",1.00,
        IF(lien="Second",1.50,
            1.70)))</f>
        <v/>
      </c>
      <c r="K1314">
        <f>LET(
    purpose,'Loan Tape (S&amp;P)'!R1314,
    IF(purpose="Purchase",1.00,
        IF(purpose="Remortgage",1.00,
            1.20)))</f>
        <v/>
      </c>
      <c r="L1314">
        <f>LET(
    arrears_months,'Loan Tape (S&amp;P)'!AN1314,
    IF(arrears_months=0,1.00,
    IF(arrears_months=1,3.00,
    IF(arrears_months=2,5.00,
    IF(arrears_months=3,8.00,
    IF(arrears_months=4,10.00,
    IF(arrears_months=5,12.00,15.00)))))))</f>
        <v/>
      </c>
      <c r="M1314">
        <f>LET(
    seasoning_years,DATEDIF('Loan Tape (S&amp;P)'!K1314,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14">
        <f>IF(AND('Loan Tape (S&amp;P)'!U1314="Yes",
        'Loan Tape (S&amp;P)'!T1314&lt;&gt;"Yes",
        DATEDIF('Loan Tape (S&amp;P)'!K1314, TODAY(), "M")&lt;18),
    1.10,
    1.00)</f>
        <v/>
      </c>
      <c r="O1314">
        <f>IF('Loan Tape (S&amp;P)'!T1314="Yes",
    1.35,
    1.00)</f>
        <v/>
      </c>
      <c r="P1314">
        <f>IF('Loan Tape (S&amp;P)'!S1314="Yes",
    1.15,
    1.00)</f>
        <v/>
      </c>
      <c r="Q1314">
        <f>IF('Loan Tape (S&amp;P)'!V1314="Yes",
    1.20,
    1.00)</f>
        <v/>
      </c>
      <c r="T1314">
        <f>LET(
    payment_method,'Loan Tape (S&amp;P)'!P1314,
    occupancy,'Loan Tape (S&amp;P)'!N1314,
    maturity_date,'Loan Tape (S&amp;P)'!L1314,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15">
      <c r="J1315">
        <f>LET(
    lien,'Loan Tape (S&amp;P)'!Q1315,
    IF(lien="First",1.00,
        IF(lien="Second",1.50,
            1.70)))</f>
        <v/>
      </c>
      <c r="K1315">
        <f>LET(
    purpose,'Loan Tape (S&amp;P)'!R1315,
    IF(purpose="Purchase",1.00,
        IF(purpose="Remortgage",1.00,
            1.20)))</f>
        <v/>
      </c>
      <c r="L1315">
        <f>LET(
    arrears_months,'Loan Tape (S&amp;P)'!AN1315,
    IF(arrears_months=0,1.00,
    IF(arrears_months=1,3.00,
    IF(arrears_months=2,5.00,
    IF(arrears_months=3,8.00,
    IF(arrears_months=4,10.00,
    IF(arrears_months=5,12.00,15.00)))))))</f>
        <v/>
      </c>
      <c r="M1315">
        <f>LET(
    seasoning_years,DATEDIF('Loan Tape (S&amp;P)'!K1315,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15">
        <f>IF(AND('Loan Tape (S&amp;P)'!U1315="Yes",
        'Loan Tape (S&amp;P)'!T1315&lt;&gt;"Yes",
        DATEDIF('Loan Tape (S&amp;P)'!K1315, TODAY(), "M")&lt;18),
    1.10,
    1.00)</f>
        <v/>
      </c>
      <c r="O1315">
        <f>IF('Loan Tape (S&amp;P)'!T1315="Yes",
    1.35,
    1.00)</f>
        <v/>
      </c>
      <c r="P1315">
        <f>IF('Loan Tape (S&amp;P)'!S1315="Yes",
    1.15,
    1.00)</f>
        <v/>
      </c>
      <c r="Q1315">
        <f>IF('Loan Tape (S&amp;P)'!V1315="Yes",
    1.20,
    1.00)</f>
        <v/>
      </c>
      <c r="T1315">
        <f>LET(
    payment_method,'Loan Tape (S&amp;P)'!P1315,
    occupancy,'Loan Tape (S&amp;P)'!N1315,
    maturity_date,'Loan Tape (S&amp;P)'!L1315,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16">
      <c r="J1316">
        <f>LET(
    lien,'Loan Tape (S&amp;P)'!Q1316,
    IF(lien="First",1.00,
        IF(lien="Second",1.50,
            1.70)))</f>
        <v/>
      </c>
      <c r="K1316">
        <f>LET(
    purpose,'Loan Tape (S&amp;P)'!R1316,
    IF(purpose="Purchase",1.00,
        IF(purpose="Remortgage",1.00,
            1.20)))</f>
        <v/>
      </c>
      <c r="L1316">
        <f>LET(
    arrears_months,'Loan Tape (S&amp;P)'!AN1316,
    IF(arrears_months=0,1.00,
    IF(arrears_months=1,3.00,
    IF(arrears_months=2,5.00,
    IF(arrears_months=3,8.00,
    IF(arrears_months=4,10.00,
    IF(arrears_months=5,12.00,15.00)))))))</f>
        <v/>
      </c>
      <c r="M1316">
        <f>LET(
    seasoning_years,DATEDIF('Loan Tape (S&amp;P)'!K1316,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16">
        <f>IF(AND('Loan Tape (S&amp;P)'!U1316="Yes",
        'Loan Tape (S&amp;P)'!T1316&lt;&gt;"Yes",
        DATEDIF('Loan Tape (S&amp;P)'!K1316, TODAY(), "M")&lt;18),
    1.10,
    1.00)</f>
        <v/>
      </c>
      <c r="O1316">
        <f>IF('Loan Tape (S&amp;P)'!T1316="Yes",
    1.35,
    1.00)</f>
        <v/>
      </c>
      <c r="P1316">
        <f>IF('Loan Tape (S&amp;P)'!S1316="Yes",
    1.15,
    1.00)</f>
        <v/>
      </c>
      <c r="Q1316">
        <f>IF('Loan Tape (S&amp;P)'!V1316="Yes",
    1.20,
    1.00)</f>
        <v/>
      </c>
      <c r="T1316">
        <f>LET(
    payment_method,'Loan Tape (S&amp;P)'!P1316,
    occupancy,'Loan Tape (S&amp;P)'!N1316,
    maturity_date,'Loan Tape (S&amp;P)'!L1316,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17">
      <c r="J1317">
        <f>LET(
    lien,'Loan Tape (S&amp;P)'!Q1317,
    IF(lien="First",1.00,
        IF(lien="Second",1.50,
            1.70)))</f>
        <v/>
      </c>
      <c r="K1317">
        <f>LET(
    purpose,'Loan Tape (S&amp;P)'!R1317,
    IF(purpose="Purchase",1.00,
        IF(purpose="Remortgage",1.00,
            1.20)))</f>
        <v/>
      </c>
      <c r="L1317">
        <f>LET(
    arrears_months,'Loan Tape (S&amp;P)'!AN1317,
    IF(arrears_months=0,1.00,
    IF(arrears_months=1,3.00,
    IF(arrears_months=2,5.00,
    IF(arrears_months=3,8.00,
    IF(arrears_months=4,10.00,
    IF(arrears_months=5,12.00,15.00)))))))</f>
        <v/>
      </c>
      <c r="M1317">
        <f>LET(
    seasoning_years,DATEDIF('Loan Tape (S&amp;P)'!K1317,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17">
        <f>IF(AND('Loan Tape (S&amp;P)'!U1317="Yes",
        'Loan Tape (S&amp;P)'!T1317&lt;&gt;"Yes",
        DATEDIF('Loan Tape (S&amp;P)'!K1317, TODAY(), "M")&lt;18),
    1.10,
    1.00)</f>
        <v/>
      </c>
      <c r="O1317">
        <f>IF('Loan Tape (S&amp;P)'!T1317="Yes",
    1.35,
    1.00)</f>
        <v/>
      </c>
      <c r="P1317">
        <f>IF('Loan Tape (S&amp;P)'!S1317="Yes",
    1.15,
    1.00)</f>
        <v/>
      </c>
      <c r="Q1317">
        <f>IF('Loan Tape (S&amp;P)'!V1317="Yes",
    1.20,
    1.00)</f>
        <v/>
      </c>
      <c r="T1317">
        <f>LET(
    payment_method,'Loan Tape (S&amp;P)'!P1317,
    occupancy,'Loan Tape (S&amp;P)'!N1317,
    maturity_date,'Loan Tape (S&amp;P)'!L1317,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18">
      <c r="J1318">
        <f>LET(
    lien,'Loan Tape (S&amp;P)'!Q1318,
    IF(lien="First",1.00,
        IF(lien="Second",1.50,
            1.70)))</f>
        <v/>
      </c>
      <c r="K1318">
        <f>LET(
    purpose,'Loan Tape (S&amp;P)'!R1318,
    IF(purpose="Purchase",1.00,
        IF(purpose="Remortgage",1.00,
            1.20)))</f>
        <v/>
      </c>
      <c r="L1318">
        <f>LET(
    arrears_months,'Loan Tape (S&amp;P)'!AN1318,
    IF(arrears_months=0,1.00,
    IF(arrears_months=1,3.00,
    IF(arrears_months=2,5.00,
    IF(arrears_months=3,8.00,
    IF(arrears_months=4,10.00,
    IF(arrears_months=5,12.00,15.00)))))))</f>
        <v/>
      </c>
      <c r="M1318">
        <f>LET(
    seasoning_years,DATEDIF('Loan Tape (S&amp;P)'!K1318,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18">
        <f>IF(AND('Loan Tape (S&amp;P)'!U1318="Yes",
        'Loan Tape (S&amp;P)'!T1318&lt;&gt;"Yes",
        DATEDIF('Loan Tape (S&amp;P)'!K1318, TODAY(), "M")&lt;18),
    1.10,
    1.00)</f>
        <v/>
      </c>
      <c r="O1318">
        <f>IF('Loan Tape (S&amp;P)'!T1318="Yes",
    1.35,
    1.00)</f>
        <v/>
      </c>
      <c r="P1318">
        <f>IF('Loan Tape (S&amp;P)'!S1318="Yes",
    1.15,
    1.00)</f>
        <v/>
      </c>
      <c r="Q1318">
        <f>IF('Loan Tape (S&amp;P)'!V1318="Yes",
    1.20,
    1.00)</f>
        <v/>
      </c>
      <c r="T1318">
        <f>LET(
    payment_method,'Loan Tape (S&amp;P)'!P1318,
    occupancy,'Loan Tape (S&amp;P)'!N1318,
    maturity_date,'Loan Tape (S&amp;P)'!L1318,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19">
      <c r="J1319">
        <f>LET(
    lien,'Loan Tape (S&amp;P)'!Q1319,
    IF(lien="First",1.00,
        IF(lien="Second",1.50,
            1.70)))</f>
        <v/>
      </c>
      <c r="K1319">
        <f>LET(
    purpose,'Loan Tape (S&amp;P)'!R1319,
    IF(purpose="Purchase",1.00,
        IF(purpose="Remortgage",1.00,
            1.20)))</f>
        <v/>
      </c>
      <c r="L1319">
        <f>LET(
    arrears_months,'Loan Tape (S&amp;P)'!AN1319,
    IF(arrears_months=0,1.00,
    IF(arrears_months=1,3.00,
    IF(arrears_months=2,5.00,
    IF(arrears_months=3,8.00,
    IF(arrears_months=4,10.00,
    IF(arrears_months=5,12.00,15.00)))))))</f>
        <v/>
      </c>
      <c r="M1319">
        <f>LET(
    seasoning_years,DATEDIF('Loan Tape (S&amp;P)'!K1319,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19">
        <f>IF(AND('Loan Tape (S&amp;P)'!U1319="Yes",
        'Loan Tape (S&amp;P)'!T1319&lt;&gt;"Yes",
        DATEDIF('Loan Tape (S&amp;P)'!K1319, TODAY(), "M")&lt;18),
    1.10,
    1.00)</f>
        <v/>
      </c>
      <c r="O1319">
        <f>IF('Loan Tape (S&amp;P)'!T1319="Yes",
    1.35,
    1.00)</f>
        <v/>
      </c>
      <c r="P1319">
        <f>IF('Loan Tape (S&amp;P)'!S1319="Yes",
    1.15,
    1.00)</f>
        <v/>
      </c>
      <c r="Q1319">
        <f>IF('Loan Tape (S&amp;P)'!V1319="Yes",
    1.20,
    1.00)</f>
        <v/>
      </c>
      <c r="T1319">
        <f>LET(
    payment_method,'Loan Tape (S&amp;P)'!P1319,
    occupancy,'Loan Tape (S&amp;P)'!N1319,
    maturity_date,'Loan Tape (S&amp;P)'!L1319,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20">
      <c r="J1320">
        <f>LET(
    lien,'Loan Tape (S&amp;P)'!Q1320,
    IF(lien="First",1.00,
        IF(lien="Second",1.50,
            1.70)))</f>
        <v/>
      </c>
      <c r="K1320">
        <f>LET(
    purpose,'Loan Tape (S&amp;P)'!R1320,
    IF(purpose="Purchase",1.00,
        IF(purpose="Remortgage",1.00,
            1.20)))</f>
        <v/>
      </c>
      <c r="L1320">
        <f>LET(
    arrears_months,'Loan Tape (S&amp;P)'!AN1320,
    IF(arrears_months=0,1.00,
    IF(arrears_months=1,3.00,
    IF(arrears_months=2,5.00,
    IF(arrears_months=3,8.00,
    IF(arrears_months=4,10.00,
    IF(arrears_months=5,12.00,15.00)))))))</f>
        <v/>
      </c>
      <c r="M1320">
        <f>LET(
    seasoning_years,DATEDIF('Loan Tape (S&amp;P)'!K1320,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20">
        <f>IF(AND('Loan Tape (S&amp;P)'!U1320="Yes",
        'Loan Tape (S&amp;P)'!T1320&lt;&gt;"Yes",
        DATEDIF('Loan Tape (S&amp;P)'!K1320, TODAY(), "M")&lt;18),
    1.10,
    1.00)</f>
        <v/>
      </c>
      <c r="O1320">
        <f>IF('Loan Tape (S&amp;P)'!T1320="Yes",
    1.35,
    1.00)</f>
        <v/>
      </c>
      <c r="P1320">
        <f>IF('Loan Tape (S&amp;P)'!S1320="Yes",
    1.15,
    1.00)</f>
        <v/>
      </c>
      <c r="Q1320">
        <f>IF('Loan Tape (S&amp;P)'!V1320="Yes",
    1.20,
    1.00)</f>
        <v/>
      </c>
      <c r="T1320">
        <f>LET(
    payment_method,'Loan Tape (S&amp;P)'!P1320,
    occupancy,'Loan Tape (S&amp;P)'!N1320,
    maturity_date,'Loan Tape (S&amp;P)'!L1320,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21">
      <c r="J1321">
        <f>LET(
    lien,'Loan Tape (S&amp;P)'!Q1321,
    IF(lien="First",1.00,
        IF(lien="Second",1.50,
            1.70)))</f>
        <v/>
      </c>
      <c r="K1321">
        <f>LET(
    purpose,'Loan Tape (S&amp;P)'!R1321,
    IF(purpose="Purchase",1.00,
        IF(purpose="Remortgage",1.00,
            1.20)))</f>
        <v/>
      </c>
      <c r="L1321">
        <f>LET(
    arrears_months,'Loan Tape (S&amp;P)'!AN1321,
    IF(arrears_months=0,1.00,
    IF(arrears_months=1,3.00,
    IF(arrears_months=2,5.00,
    IF(arrears_months=3,8.00,
    IF(arrears_months=4,10.00,
    IF(arrears_months=5,12.00,15.00)))))))</f>
        <v/>
      </c>
      <c r="M1321">
        <f>LET(
    seasoning_years,DATEDIF('Loan Tape (S&amp;P)'!K1321,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21">
        <f>IF(AND('Loan Tape (S&amp;P)'!U1321="Yes",
        'Loan Tape (S&amp;P)'!T1321&lt;&gt;"Yes",
        DATEDIF('Loan Tape (S&amp;P)'!K1321, TODAY(), "M")&lt;18),
    1.10,
    1.00)</f>
        <v/>
      </c>
      <c r="O1321">
        <f>IF('Loan Tape (S&amp;P)'!T1321="Yes",
    1.35,
    1.00)</f>
        <v/>
      </c>
      <c r="P1321">
        <f>IF('Loan Tape (S&amp;P)'!S1321="Yes",
    1.15,
    1.00)</f>
        <v/>
      </c>
      <c r="Q1321">
        <f>IF('Loan Tape (S&amp;P)'!V1321="Yes",
    1.20,
    1.00)</f>
        <v/>
      </c>
      <c r="T1321">
        <f>LET(
    payment_method,'Loan Tape (S&amp;P)'!P1321,
    occupancy,'Loan Tape (S&amp;P)'!N1321,
    maturity_date,'Loan Tape (S&amp;P)'!L1321,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22">
      <c r="J1322">
        <f>LET(
    lien,'Loan Tape (S&amp;P)'!Q1322,
    IF(lien="First",1.00,
        IF(lien="Second",1.50,
            1.70)))</f>
        <v/>
      </c>
      <c r="K1322">
        <f>LET(
    purpose,'Loan Tape (S&amp;P)'!R1322,
    IF(purpose="Purchase",1.00,
        IF(purpose="Remortgage",1.00,
            1.20)))</f>
        <v/>
      </c>
      <c r="L1322">
        <f>LET(
    arrears_months,'Loan Tape (S&amp;P)'!AN1322,
    IF(arrears_months=0,1.00,
    IF(arrears_months=1,3.00,
    IF(arrears_months=2,5.00,
    IF(arrears_months=3,8.00,
    IF(arrears_months=4,10.00,
    IF(arrears_months=5,12.00,15.00)))))))</f>
        <v/>
      </c>
      <c r="M1322">
        <f>LET(
    seasoning_years,DATEDIF('Loan Tape (S&amp;P)'!K1322,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22">
        <f>IF(AND('Loan Tape (S&amp;P)'!U1322="Yes",
        'Loan Tape (S&amp;P)'!T1322&lt;&gt;"Yes",
        DATEDIF('Loan Tape (S&amp;P)'!K1322, TODAY(), "M")&lt;18),
    1.10,
    1.00)</f>
        <v/>
      </c>
      <c r="O1322">
        <f>IF('Loan Tape (S&amp;P)'!T1322="Yes",
    1.35,
    1.00)</f>
        <v/>
      </c>
      <c r="P1322">
        <f>IF('Loan Tape (S&amp;P)'!S1322="Yes",
    1.15,
    1.00)</f>
        <v/>
      </c>
      <c r="Q1322">
        <f>IF('Loan Tape (S&amp;P)'!V1322="Yes",
    1.20,
    1.00)</f>
        <v/>
      </c>
      <c r="T1322">
        <f>LET(
    payment_method,'Loan Tape (S&amp;P)'!P1322,
    occupancy,'Loan Tape (S&amp;P)'!N1322,
    maturity_date,'Loan Tape (S&amp;P)'!L1322,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23">
      <c r="J1323">
        <f>LET(
    lien,'Loan Tape (S&amp;P)'!Q1323,
    IF(lien="First",1.00,
        IF(lien="Second",1.50,
            1.70)))</f>
        <v/>
      </c>
      <c r="K1323">
        <f>LET(
    purpose,'Loan Tape (S&amp;P)'!R1323,
    IF(purpose="Purchase",1.00,
        IF(purpose="Remortgage",1.00,
            1.20)))</f>
        <v/>
      </c>
      <c r="L1323">
        <f>LET(
    arrears_months,'Loan Tape (S&amp;P)'!AN1323,
    IF(arrears_months=0,1.00,
    IF(arrears_months=1,3.00,
    IF(arrears_months=2,5.00,
    IF(arrears_months=3,8.00,
    IF(arrears_months=4,10.00,
    IF(arrears_months=5,12.00,15.00)))))))</f>
        <v/>
      </c>
      <c r="M1323">
        <f>LET(
    seasoning_years,DATEDIF('Loan Tape (S&amp;P)'!K1323,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23">
        <f>IF(AND('Loan Tape (S&amp;P)'!U1323="Yes",
        'Loan Tape (S&amp;P)'!T1323&lt;&gt;"Yes",
        DATEDIF('Loan Tape (S&amp;P)'!K1323, TODAY(), "M")&lt;18),
    1.10,
    1.00)</f>
        <v/>
      </c>
      <c r="O1323">
        <f>IF('Loan Tape (S&amp;P)'!T1323="Yes",
    1.35,
    1.00)</f>
        <v/>
      </c>
      <c r="P1323">
        <f>IF('Loan Tape (S&amp;P)'!S1323="Yes",
    1.15,
    1.00)</f>
        <v/>
      </c>
      <c r="Q1323">
        <f>IF('Loan Tape (S&amp;P)'!V1323="Yes",
    1.20,
    1.00)</f>
        <v/>
      </c>
      <c r="T1323">
        <f>LET(
    payment_method,'Loan Tape (S&amp;P)'!P1323,
    occupancy,'Loan Tape (S&amp;P)'!N1323,
    maturity_date,'Loan Tape (S&amp;P)'!L1323,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24">
      <c r="J1324">
        <f>LET(
    lien,'Loan Tape (S&amp;P)'!Q1324,
    IF(lien="First",1.00,
        IF(lien="Second",1.50,
            1.70)))</f>
        <v/>
      </c>
      <c r="K1324">
        <f>LET(
    purpose,'Loan Tape (S&amp;P)'!R1324,
    IF(purpose="Purchase",1.00,
        IF(purpose="Remortgage",1.00,
            1.20)))</f>
        <v/>
      </c>
      <c r="L1324">
        <f>LET(
    arrears_months,'Loan Tape (S&amp;P)'!AN1324,
    IF(arrears_months=0,1.00,
    IF(arrears_months=1,3.00,
    IF(arrears_months=2,5.00,
    IF(arrears_months=3,8.00,
    IF(arrears_months=4,10.00,
    IF(arrears_months=5,12.00,15.00)))))))</f>
        <v/>
      </c>
      <c r="M1324">
        <f>LET(
    seasoning_years,DATEDIF('Loan Tape (S&amp;P)'!K1324,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24">
        <f>IF(AND('Loan Tape (S&amp;P)'!U1324="Yes",
        'Loan Tape (S&amp;P)'!T1324&lt;&gt;"Yes",
        DATEDIF('Loan Tape (S&amp;P)'!K1324, TODAY(), "M")&lt;18),
    1.10,
    1.00)</f>
        <v/>
      </c>
      <c r="O1324">
        <f>IF('Loan Tape (S&amp;P)'!T1324="Yes",
    1.35,
    1.00)</f>
        <v/>
      </c>
      <c r="P1324">
        <f>IF('Loan Tape (S&amp;P)'!S1324="Yes",
    1.15,
    1.00)</f>
        <v/>
      </c>
      <c r="Q1324">
        <f>IF('Loan Tape (S&amp;P)'!V1324="Yes",
    1.20,
    1.00)</f>
        <v/>
      </c>
      <c r="T1324">
        <f>LET(
    payment_method,'Loan Tape (S&amp;P)'!P1324,
    occupancy,'Loan Tape (S&amp;P)'!N1324,
    maturity_date,'Loan Tape (S&amp;P)'!L1324,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25">
      <c r="J1325">
        <f>LET(
    lien,'Loan Tape (S&amp;P)'!Q1325,
    IF(lien="First",1.00,
        IF(lien="Second",1.50,
            1.70)))</f>
        <v/>
      </c>
      <c r="K1325">
        <f>LET(
    purpose,'Loan Tape (S&amp;P)'!R1325,
    IF(purpose="Purchase",1.00,
        IF(purpose="Remortgage",1.00,
            1.20)))</f>
        <v/>
      </c>
      <c r="L1325">
        <f>LET(
    arrears_months,'Loan Tape (S&amp;P)'!AN1325,
    IF(arrears_months=0,1.00,
    IF(arrears_months=1,3.00,
    IF(arrears_months=2,5.00,
    IF(arrears_months=3,8.00,
    IF(arrears_months=4,10.00,
    IF(arrears_months=5,12.00,15.00)))))))</f>
        <v/>
      </c>
      <c r="M1325">
        <f>LET(
    seasoning_years,DATEDIF('Loan Tape (S&amp;P)'!K1325,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25">
        <f>IF(AND('Loan Tape (S&amp;P)'!U1325="Yes",
        'Loan Tape (S&amp;P)'!T1325&lt;&gt;"Yes",
        DATEDIF('Loan Tape (S&amp;P)'!K1325, TODAY(), "M")&lt;18),
    1.10,
    1.00)</f>
        <v/>
      </c>
      <c r="O1325">
        <f>IF('Loan Tape (S&amp;P)'!T1325="Yes",
    1.35,
    1.00)</f>
        <v/>
      </c>
      <c r="P1325">
        <f>IF('Loan Tape (S&amp;P)'!S1325="Yes",
    1.15,
    1.00)</f>
        <v/>
      </c>
      <c r="Q1325">
        <f>IF('Loan Tape (S&amp;P)'!V1325="Yes",
    1.20,
    1.00)</f>
        <v/>
      </c>
      <c r="T1325">
        <f>LET(
    payment_method,'Loan Tape (S&amp;P)'!P1325,
    occupancy,'Loan Tape (S&amp;P)'!N1325,
    maturity_date,'Loan Tape (S&amp;P)'!L1325,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26">
      <c r="J1326">
        <f>LET(
    lien,'Loan Tape (S&amp;P)'!Q1326,
    IF(lien="First",1.00,
        IF(lien="Second",1.50,
            1.70)))</f>
        <v/>
      </c>
      <c r="K1326">
        <f>LET(
    purpose,'Loan Tape (S&amp;P)'!R1326,
    IF(purpose="Purchase",1.00,
        IF(purpose="Remortgage",1.00,
            1.20)))</f>
        <v/>
      </c>
      <c r="L1326">
        <f>LET(
    arrears_months,'Loan Tape (S&amp;P)'!AN1326,
    IF(arrears_months=0,1.00,
    IF(arrears_months=1,3.00,
    IF(arrears_months=2,5.00,
    IF(arrears_months=3,8.00,
    IF(arrears_months=4,10.00,
    IF(arrears_months=5,12.00,15.00)))))))</f>
        <v/>
      </c>
      <c r="M1326">
        <f>LET(
    seasoning_years,DATEDIF('Loan Tape (S&amp;P)'!K1326,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26">
        <f>IF(AND('Loan Tape (S&amp;P)'!U1326="Yes",
        'Loan Tape (S&amp;P)'!T1326&lt;&gt;"Yes",
        DATEDIF('Loan Tape (S&amp;P)'!K1326, TODAY(), "M")&lt;18),
    1.10,
    1.00)</f>
        <v/>
      </c>
      <c r="O1326">
        <f>IF('Loan Tape (S&amp;P)'!T1326="Yes",
    1.35,
    1.00)</f>
        <v/>
      </c>
      <c r="P1326">
        <f>IF('Loan Tape (S&amp;P)'!S1326="Yes",
    1.15,
    1.00)</f>
        <v/>
      </c>
      <c r="Q1326">
        <f>IF('Loan Tape (S&amp;P)'!V1326="Yes",
    1.20,
    1.00)</f>
        <v/>
      </c>
      <c r="T1326">
        <f>LET(
    payment_method,'Loan Tape (S&amp;P)'!P1326,
    occupancy,'Loan Tape (S&amp;P)'!N1326,
    maturity_date,'Loan Tape (S&amp;P)'!L1326,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27">
      <c r="J1327">
        <f>LET(
    lien,'Loan Tape (S&amp;P)'!Q1327,
    IF(lien="First",1.00,
        IF(lien="Second",1.50,
            1.70)))</f>
        <v/>
      </c>
      <c r="K1327">
        <f>LET(
    purpose,'Loan Tape (S&amp;P)'!R1327,
    IF(purpose="Purchase",1.00,
        IF(purpose="Remortgage",1.00,
            1.20)))</f>
        <v/>
      </c>
      <c r="L1327">
        <f>LET(
    arrears_months,'Loan Tape (S&amp;P)'!AN1327,
    IF(arrears_months=0,1.00,
    IF(arrears_months=1,3.00,
    IF(arrears_months=2,5.00,
    IF(arrears_months=3,8.00,
    IF(arrears_months=4,10.00,
    IF(arrears_months=5,12.00,15.00)))))))</f>
        <v/>
      </c>
      <c r="M1327">
        <f>LET(
    seasoning_years,DATEDIF('Loan Tape (S&amp;P)'!K1327,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27">
        <f>IF(AND('Loan Tape (S&amp;P)'!U1327="Yes",
        'Loan Tape (S&amp;P)'!T1327&lt;&gt;"Yes",
        DATEDIF('Loan Tape (S&amp;P)'!K1327, TODAY(), "M")&lt;18),
    1.10,
    1.00)</f>
        <v/>
      </c>
      <c r="O1327">
        <f>IF('Loan Tape (S&amp;P)'!T1327="Yes",
    1.35,
    1.00)</f>
        <v/>
      </c>
      <c r="P1327">
        <f>IF('Loan Tape (S&amp;P)'!S1327="Yes",
    1.15,
    1.00)</f>
        <v/>
      </c>
      <c r="Q1327">
        <f>IF('Loan Tape (S&amp;P)'!V1327="Yes",
    1.20,
    1.00)</f>
        <v/>
      </c>
      <c r="T1327">
        <f>LET(
    payment_method,'Loan Tape (S&amp;P)'!P1327,
    occupancy,'Loan Tape (S&amp;P)'!N1327,
    maturity_date,'Loan Tape (S&amp;P)'!L1327,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28">
      <c r="J1328">
        <f>LET(
    lien,'Loan Tape (S&amp;P)'!Q1328,
    IF(lien="First",1.00,
        IF(lien="Second",1.50,
            1.70)))</f>
        <v/>
      </c>
      <c r="K1328">
        <f>LET(
    purpose,'Loan Tape (S&amp;P)'!R1328,
    IF(purpose="Purchase",1.00,
        IF(purpose="Remortgage",1.00,
            1.20)))</f>
        <v/>
      </c>
      <c r="L1328">
        <f>LET(
    arrears_months,'Loan Tape (S&amp;P)'!AN1328,
    IF(arrears_months=0,1.00,
    IF(arrears_months=1,3.00,
    IF(arrears_months=2,5.00,
    IF(arrears_months=3,8.00,
    IF(arrears_months=4,10.00,
    IF(arrears_months=5,12.00,15.00)))))))</f>
        <v/>
      </c>
      <c r="M1328">
        <f>LET(
    seasoning_years,DATEDIF('Loan Tape (S&amp;P)'!K1328,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28">
        <f>IF(AND('Loan Tape (S&amp;P)'!U1328="Yes",
        'Loan Tape (S&amp;P)'!T1328&lt;&gt;"Yes",
        DATEDIF('Loan Tape (S&amp;P)'!K1328, TODAY(), "M")&lt;18),
    1.10,
    1.00)</f>
        <v/>
      </c>
      <c r="O1328">
        <f>IF('Loan Tape (S&amp;P)'!T1328="Yes",
    1.35,
    1.00)</f>
        <v/>
      </c>
      <c r="P1328">
        <f>IF('Loan Tape (S&amp;P)'!S1328="Yes",
    1.15,
    1.00)</f>
        <v/>
      </c>
      <c r="Q1328">
        <f>IF('Loan Tape (S&amp;P)'!V1328="Yes",
    1.20,
    1.00)</f>
        <v/>
      </c>
      <c r="T1328">
        <f>LET(
    payment_method,'Loan Tape (S&amp;P)'!P1328,
    occupancy,'Loan Tape (S&amp;P)'!N1328,
    maturity_date,'Loan Tape (S&amp;P)'!L1328,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29">
      <c r="J1329">
        <f>LET(
    lien,'Loan Tape (S&amp;P)'!Q1329,
    IF(lien="First",1.00,
        IF(lien="Second",1.50,
            1.70)))</f>
        <v/>
      </c>
      <c r="K1329">
        <f>LET(
    purpose,'Loan Tape (S&amp;P)'!R1329,
    IF(purpose="Purchase",1.00,
        IF(purpose="Remortgage",1.00,
            1.20)))</f>
        <v/>
      </c>
      <c r="L1329">
        <f>LET(
    arrears_months,'Loan Tape (S&amp;P)'!AN1329,
    IF(arrears_months=0,1.00,
    IF(arrears_months=1,3.00,
    IF(arrears_months=2,5.00,
    IF(arrears_months=3,8.00,
    IF(arrears_months=4,10.00,
    IF(arrears_months=5,12.00,15.00)))))))</f>
        <v/>
      </c>
      <c r="M1329">
        <f>LET(
    seasoning_years,DATEDIF('Loan Tape (S&amp;P)'!K1329,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29">
        <f>IF(AND('Loan Tape (S&amp;P)'!U1329="Yes",
        'Loan Tape (S&amp;P)'!T1329&lt;&gt;"Yes",
        DATEDIF('Loan Tape (S&amp;P)'!K1329, TODAY(), "M")&lt;18),
    1.10,
    1.00)</f>
        <v/>
      </c>
      <c r="O1329">
        <f>IF('Loan Tape (S&amp;P)'!T1329="Yes",
    1.35,
    1.00)</f>
        <v/>
      </c>
      <c r="P1329">
        <f>IF('Loan Tape (S&amp;P)'!S1329="Yes",
    1.15,
    1.00)</f>
        <v/>
      </c>
      <c r="Q1329">
        <f>IF('Loan Tape (S&amp;P)'!V1329="Yes",
    1.20,
    1.00)</f>
        <v/>
      </c>
      <c r="T1329">
        <f>LET(
    payment_method,'Loan Tape (S&amp;P)'!P1329,
    occupancy,'Loan Tape (S&amp;P)'!N1329,
    maturity_date,'Loan Tape (S&amp;P)'!L1329,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30">
      <c r="J1330">
        <f>LET(
    lien,'Loan Tape (S&amp;P)'!Q1330,
    IF(lien="First",1.00,
        IF(lien="Second",1.50,
            1.70)))</f>
        <v/>
      </c>
      <c r="K1330">
        <f>LET(
    purpose,'Loan Tape (S&amp;P)'!R1330,
    IF(purpose="Purchase",1.00,
        IF(purpose="Remortgage",1.00,
            1.20)))</f>
        <v/>
      </c>
      <c r="L1330">
        <f>LET(
    arrears_months,'Loan Tape (S&amp;P)'!AN1330,
    IF(arrears_months=0,1.00,
    IF(arrears_months=1,3.00,
    IF(arrears_months=2,5.00,
    IF(arrears_months=3,8.00,
    IF(arrears_months=4,10.00,
    IF(arrears_months=5,12.00,15.00)))))))</f>
        <v/>
      </c>
      <c r="M1330">
        <f>LET(
    seasoning_years,DATEDIF('Loan Tape (S&amp;P)'!K1330,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30">
        <f>IF(AND('Loan Tape (S&amp;P)'!U1330="Yes",
        'Loan Tape (S&amp;P)'!T1330&lt;&gt;"Yes",
        DATEDIF('Loan Tape (S&amp;P)'!K1330, TODAY(), "M")&lt;18),
    1.10,
    1.00)</f>
        <v/>
      </c>
      <c r="O1330">
        <f>IF('Loan Tape (S&amp;P)'!T1330="Yes",
    1.35,
    1.00)</f>
        <v/>
      </c>
      <c r="P1330">
        <f>IF('Loan Tape (S&amp;P)'!S1330="Yes",
    1.15,
    1.00)</f>
        <v/>
      </c>
      <c r="Q1330">
        <f>IF('Loan Tape (S&amp;P)'!V1330="Yes",
    1.20,
    1.00)</f>
        <v/>
      </c>
      <c r="T1330">
        <f>LET(
    payment_method,'Loan Tape (S&amp;P)'!P1330,
    occupancy,'Loan Tape (S&amp;P)'!N1330,
    maturity_date,'Loan Tape (S&amp;P)'!L1330,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31">
      <c r="J1331">
        <f>LET(
    lien,'Loan Tape (S&amp;P)'!Q1331,
    IF(lien="First",1.00,
        IF(lien="Second",1.50,
            1.70)))</f>
        <v/>
      </c>
      <c r="K1331">
        <f>LET(
    purpose,'Loan Tape (S&amp;P)'!R1331,
    IF(purpose="Purchase",1.00,
        IF(purpose="Remortgage",1.00,
            1.20)))</f>
        <v/>
      </c>
      <c r="L1331">
        <f>LET(
    arrears_months,'Loan Tape (S&amp;P)'!AN1331,
    IF(arrears_months=0,1.00,
    IF(arrears_months=1,3.00,
    IF(arrears_months=2,5.00,
    IF(arrears_months=3,8.00,
    IF(arrears_months=4,10.00,
    IF(arrears_months=5,12.00,15.00)))))))</f>
        <v/>
      </c>
      <c r="M1331">
        <f>LET(
    seasoning_years,DATEDIF('Loan Tape (S&amp;P)'!K1331,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31">
        <f>IF(AND('Loan Tape (S&amp;P)'!U1331="Yes",
        'Loan Tape (S&amp;P)'!T1331&lt;&gt;"Yes",
        DATEDIF('Loan Tape (S&amp;P)'!K1331, TODAY(), "M")&lt;18),
    1.10,
    1.00)</f>
        <v/>
      </c>
      <c r="O1331">
        <f>IF('Loan Tape (S&amp;P)'!T1331="Yes",
    1.35,
    1.00)</f>
        <v/>
      </c>
      <c r="P1331">
        <f>IF('Loan Tape (S&amp;P)'!S1331="Yes",
    1.15,
    1.00)</f>
        <v/>
      </c>
      <c r="Q1331">
        <f>IF('Loan Tape (S&amp;P)'!V1331="Yes",
    1.20,
    1.00)</f>
        <v/>
      </c>
      <c r="T1331">
        <f>LET(
    payment_method,'Loan Tape (S&amp;P)'!P1331,
    occupancy,'Loan Tape (S&amp;P)'!N1331,
    maturity_date,'Loan Tape (S&amp;P)'!L1331,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32">
      <c r="J1332">
        <f>LET(
    lien,'Loan Tape (S&amp;P)'!Q1332,
    IF(lien="First",1.00,
        IF(lien="Second",1.50,
            1.70)))</f>
        <v/>
      </c>
      <c r="K1332">
        <f>LET(
    purpose,'Loan Tape (S&amp;P)'!R1332,
    IF(purpose="Purchase",1.00,
        IF(purpose="Remortgage",1.00,
            1.20)))</f>
        <v/>
      </c>
      <c r="L1332">
        <f>LET(
    arrears_months,'Loan Tape (S&amp;P)'!AN1332,
    IF(arrears_months=0,1.00,
    IF(arrears_months=1,3.00,
    IF(arrears_months=2,5.00,
    IF(arrears_months=3,8.00,
    IF(arrears_months=4,10.00,
    IF(arrears_months=5,12.00,15.00)))))))</f>
        <v/>
      </c>
      <c r="M1332">
        <f>LET(
    seasoning_years,DATEDIF('Loan Tape (S&amp;P)'!K1332,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32">
        <f>IF(AND('Loan Tape (S&amp;P)'!U1332="Yes",
        'Loan Tape (S&amp;P)'!T1332&lt;&gt;"Yes",
        DATEDIF('Loan Tape (S&amp;P)'!K1332, TODAY(), "M")&lt;18),
    1.10,
    1.00)</f>
        <v/>
      </c>
      <c r="O1332">
        <f>IF('Loan Tape (S&amp;P)'!T1332="Yes",
    1.35,
    1.00)</f>
        <v/>
      </c>
      <c r="P1332">
        <f>IF('Loan Tape (S&amp;P)'!S1332="Yes",
    1.15,
    1.00)</f>
        <v/>
      </c>
      <c r="Q1332">
        <f>IF('Loan Tape (S&amp;P)'!V1332="Yes",
    1.20,
    1.00)</f>
        <v/>
      </c>
      <c r="T1332">
        <f>LET(
    payment_method,'Loan Tape (S&amp;P)'!P1332,
    occupancy,'Loan Tape (S&amp;P)'!N1332,
    maturity_date,'Loan Tape (S&amp;P)'!L1332,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33">
      <c r="J1333">
        <f>LET(
    lien,'Loan Tape (S&amp;P)'!Q1333,
    IF(lien="First",1.00,
        IF(lien="Second",1.50,
            1.70)))</f>
        <v/>
      </c>
      <c r="K1333">
        <f>LET(
    purpose,'Loan Tape (S&amp;P)'!R1333,
    IF(purpose="Purchase",1.00,
        IF(purpose="Remortgage",1.00,
            1.20)))</f>
        <v/>
      </c>
      <c r="L1333">
        <f>LET(
    arrears_months,'Loan Tape (S&amp;P)'!AN1333,
    IF(arrears_months=0,1.00,
    IF(arrears_months=1,3.00,
    IF(arrears_months=2,5.00,
    IF(arrears_months=3,8.00,
    IF(arrears_months=4,10.00,
    IF(arrears_months=5,12.00,15.00)))))))</f>
        <v/>
      </c>
      <c r="M1333">
        <f>LET(
    seasoning_years,DATEDIF('Loan Tape (S&amp;P)'!K1333,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33">
        <f>IF(AND('Loan Tape (S&amp;P)'!U1333="Yes",
        'Loan Tape (S&amp;P)'!T1333&lt;&gt;"Yes",
        DATEDIF('Loan Tape (S&amp;P)'!K1333, TODAY(), "M")&lt;18),
    1.10,
    1.00)</f>
        <v/>
      </c>
      <c r="O1333">
        <f>IF('Loan Tape (S&amp;P)'!T1333="Yes",
    1.35,
    1.00)</f>
        <v/>
      </c>
      <c r="P1333">
        <f>IF('Loan Tape (S&amp;P)'!S1333="Yes",
    1.15,
    1.00)</f>
        <v/>
      </c>
      <c r="Q1333">
        <f>IF('Loan Tape (S&amp;P)'!V1333="Yes",
    1.20,
    1.00)</f>
        <v/>
      </c>
      <c r="T1333">
        <f>LET(
    payment_method,'Loan Tape (S&amp;P)'!P1333,
    occupancy,'Loan Tape (S&amp;P)'!N1333,
    maturity_date,'Loan Tape (S&amp;P)'!L1333,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34">
      <c r="J1334">
        <f>LET(
    lien,'Loan Tape (S&amp;P)'!Q1334,
    IF(lien="First",1.00,
        IF(lien="Second",1.50,
            1.70)))</f>
        <v/>
      </c>
      <c r="K1334">
        <f>LET(
    purpose,'Loan Tape (S&amp;P)'!R1334,
    IF(purpose="Purchase",1.00,
        IF(purpose="Remortgage",1.00,
            1.20)))</f>
        <v/>
      </c>
      <c r="L1334">
        <f>LET(
    arrears_months,'Loan Tape (S&amp;P)'!AN1334,
    IF(arrears_months=0,1.00,
    IF(arrears_months=1,3.00,
    IF(arrears_months=2,5.00,
    IF(arrears_months=3,8.00,
    IF(arrears_months=4,10.00,
    IF(arrears_months=5,12.00,15.00)))))))</f>
        <v/>
      </c>
      <c r="M1334">
        <f>LET(
    seasoning_years,DATEDIF('Loan Tape (S&amp;P)'!K1334,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34">
        <f>IF(AND('Loan Tape (S&amp;P)'!U1334="Yes",
        'Loan Tape (S&amp;P)'!T1334&lt;&gt;"Yes",
        DATEDIF('Loan Tape (S&amp;P)'!K1334, TODAY(), "M")&lt;18),
    1.10,
    1.00)</f>
        <v/>
      </c>
      <c r="O1334">
        <f>IF('Loan Tape (S&amp;P)'!T1334="Yes",
    1.35,
    1.00)</f>
        <v/>
      </c>
      <c r="P1334">
        <f>IF('Loan Tape (S&amp;P)'!S1334="Yes",
    1.15,
    1.00)</f>
        <v/>
      </c>
      <c r="Q1334">
        <f>IF('Loan Tape (S&amp;P)'!V1334="Yes",
    1.20,
    1.00)</f>
        <v/>
      </c>
      <c r="T1334">
        <f>LET(
    payment_method,'Loan Tape (S&amp;P)'!P1334,
    occupancy,'Loan Tape (S&amp;P)'!N1334,
    maturity_date,'Loan Tape (S&amp;P)'!L1334,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35">
      <c r="J1335">
        <f>LET(
    lien,'Loan Tape (S&amp;P)'!Q1335,
    IF(lien="First",1.00,
        IF(lien="Second",1.50,
            1.70)))</f>
        <v/>
      </c>
      <c r="K1335">
        <f>LET(
    purpose,'Loan Tape (S&amp;P)'!R1335,
    IF(purpose="Purchase",1.00,
        IF(purpose="Remortgage",1.00,
            1.20)))</f>
        <v/>
      </c>
      <c r="L1335">
        <f>LET(
    arrears_months,'Loan Tape (S&amp;P)'!AN1335,
    IF(arrears_months=0,1.00,
    IF(arrears_months=1,3.00,
    IF(arrears_months=2,5.00,
    IF(arrears_months=3,8.00,
    IF(arrears_months=4,10.00,
    IF(arrears_months=5,12.00,15.00)))))))</f>
        <v/>
      </c>
      <c r="M1335">
        <f>LET(
    seasoning_years,DATEDIF('Loan Tape (S&amp;P)'!K1335,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35">
        <f>IF(AND('Loan Tape (S&amp;P)'!U1335="Yes",
        'Loan Tape (S&amp;P)'!T1335&lt;&gt;"Yes",
        DATEDIF('Loan Tape (S&amp;P)'!K1335, TODAY(), "M")&lt;18),
    1.10,
    1.00)</f>
        <v/>
      </c>
      <c r="O1335">
        <f>IF('Loan Tape (S&amp;P)'!T1335="Yes",
    1.35,
    1.00)</f>
        <v/>
      </c>
      <c r="P1335">
        <f>IF('Loan Tape (S&amp;P)'!S1335="Yes",
    1.15,
    1.00)</f>
        <v/>
      </c>
      <c r="Q1335">
        <f>IF('Loan Tape (S&amp;P)'!V1335="Yes",
    1.20,
    1.00)</f>
        <v/>
      </c>
      <c r="T1335">
        <f>LET(
    payment_method,'Loan Tape (S&amp;P)'!P1335,
    occupancy,'Loan Tape (S&amp;P)'!N1335,
    maturity_date,'Loan Tape (S&amp;P)'!L1335,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36">
      <c r="J1336">
        <f>LET(
    lien,'Loan Tape (S&amp;P)'!Q1336,
    IF(lien="First",1.00,
        IF(lien="Second",1.50,
            1.70)))</f>
        <v/>
      </c>
      <c r="K1336">
        <f>LET(
    purpose,'Loan Tape (S&amp;P)'!R1336,
    IF(purpose="Purchase",1.00,
        IF(purpose="Remortgage",1.00,
            1.20)))</f>
        <v/>
      </c>
      <c r="L1336">
        <f>LET(
    arrears_months,'Loan Tape (S&amp;P)'!AN1336,
    IF(arrears_months=0,1.00,
    IF(arrears_months=1,3.00,
    IF(arrears_months=2,5.00,
    IF(arrears_months=3,8.00,
    IF(arrears_months=4,10.00,
    IF(arrears_months=5,12.00,15.00)))))))</f>
        <v/>
      </c>
      <c r="M1336">
        <f>LET(
    seasoning_years,DATEDIF('Loan Tape (S&amp;P)'!K1336,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36">
        <f>IF(AND('Loan Tape (S&amp;P)'!U1336="Yes",
        'Loan Tape (S&amp;P)'!T1336&lt;&gt;"Yes",
        DATEDIF('Loan Tape (S&amp;P)'!K1336, TODAY(), "M")&lt;18),
    1.10,
    1.00)</f>
        <v/>
      </c>
      <c r="O1336">
        <f>IF('Loan Tape (S&amp;P)'!T1336="Yes",
    1.35,
    1.00)</f>
        <v/>
      </c>
      <c r="P1336">
        <f>IF('Loan Tape (S&amp;P)'!S1336="Yes",
    1.15,
    1.00)</f>
        <v/>
      </c>
      <c r="Q1336">
        <f>IF('Loan Tape (S&amp;P)'!V1336="Yes",
    1.20,
    1.00)</f>
        <v/>
      </c>
      <c r="T1336">
        <f>LET(
    payment_method,'Loan Tape (S&amp;P)'!P1336,
    occupancy,'Loan Tape (S&amp;P)'!N1336,
    maturity_date,'Loan Tape (S&amp;P)'!L1336,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37">
      <c r="J1337">
        <f>LET(
    lien,'Loan Tape (S&amp;P)'!Q1337,
    IF(lien="First",1.00,
        IF(lien="Second",1.50,
            1.70)))</f>
        <v/>
      </c>
      <c r="K1337">
        <f>LET(
    purpose,'Loan Tape (S&amp;P)'!R1337,
    IF(purpose="Purchase",1.00,
        IF(purpose="Remortgage",1.00,
            1.20)))</f>
        <v/>
      </c>
      <c r="L1337">
        <f>LET(
    arrears_months,'Loan Tape (S&amp;P)'!AN1337,
    IF(arrears_months=0,1.00,
    IF(arrears_months=1,3.00,
    IF(arrears_months=2,5.00,
    IF(arrears_months=3,8.00,
    IF(arrears_months=4,10.00,
    IF(arrears_months=5,12.00,15.00)))))))</f>
        <v/>
      </c>
      <c r="M1337">
        <f>LET(
    seasoning_years,DATEDIF('Loan Tape (S&amp;P)'!K1337,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37">
        <f>IF(AND('Loan Tape (S&amp;P)'!U1337="Yes",
        'Loan Tape (S&amp;P)'!T1337&lt;&gt;"Yes",
        DATEDIF('Loan Tape (S&amp;P)'!K1337, TODAY(), "M")&lt;18),
    1.10,
    1.00)</f>
        <v/>
      </c>
      <c r="O1337">
        <f>IF('Loan Tape (S&amp;P)'!T1337="Yes",
    1.35,
    1.00)</f>
        <v/>
      </c>
      <c r="P1337">
        <f>IF('Loan Tape (S&amp;P)'!S1337="Yes",
    1.15,
    1.00)</f>
        <v/>
      </c>
      <c r="Q1337">
        <f>IF('Loan Tape (S&amp;P)'!V1337="Yes",
    1.20,
    1.00)</f>
        <v/>
      </c>
      <c r="T1337">
        <f>LET(
    payment_method,'Loan Tape (S&amp;P)'!P1337,
    occupancy,'Loan Tape (S&amp;P)'!N1337,
    maturity_date,'Loan Tape (S&amp;P)'!L1337,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38">
      <c r="J1338">
        <f>LET(
    lien,'Loan Tape (S&amp;P)'!Q1338,
    IF(lien="First",1.00,
        IF(lien="Second",1.50,
            1.70)))</f>
        <v/>
      </c>
      <c r="K1338">
        <f>LET(
    purpose,'Loan Tape (S&amp;P)'!R1338,
    IF(purpose="Purchase",1.00,
        IF(purpose="Remortgage",1.00,
            1.20)))</f>
        <v/>
      </c>
      <c r="L1338">
        <f>LET(
    arrears_months,'Loan Tape (S&amp;P)'!AN1338,
    IF(arrears_months=0,1.00,
    IF(arrears_months=1,3.00,
    IF(arrears_months=2,5.00,
    IF(arrears_months=3,8.00,
    IF(arrears_months=4,10.00,
    IF(arrears_months=5,12.00,15.00)))))))</f>
        <v/>
      </c>
      <c r="M1338">
        <f>LET(
    seasoning_years,DATEDIF('Loan Tape (S&amp;P)'!K1338,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38">
        <f>IF(AND('Loan Tape (S&amp;P)'!U1338="Yes",
        'Loan Tape (S&amp;P)'!T1338&lt;&gt;"Yes",
        DATEDIF('Loan Tape (S&amp;P)'!K1338, TODAY(), "M")&lt;18),
    1.10,
    1.00)</f>
        <v/>
      </c>
      <c r="O1338">
        <f>IF('Loan Tape (S&amp;P)'!T1338="Yes",
    1.35,
    1.00)</f>
        <v/>
      </c>
      <c r="P1338">
        <f>IF('Loan Tape (S&amp;P)'!S1338="Yes",
    1.15,
    1.00)</f>
        <v/>
      </c>
      <c r="Q1338">
        <f>IF('Loan Tape (S&amp;P)'!V1338="Yes",
    1.20,
    1.00)</f>
        <v/>
      </c>
      <c r="T1338">
        <f>LET(
    payment_method,'Loan Tape (S&amp;P)'!P1338,
    occupancy,'Loan Tape (S&amp;P)'!N1338,
    maturity_date,'Loan Tape (S&amp;P)'!L1338,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39">
      <c r="J1339">
        <f>LET(
    lien,'Loan Tape (S&amp;P)'!Q1339,
    IF(lien="First",1.00,
        IF(lien="Second",1.50,
            1.70)))</f>
        <v/>
      </c>
      <c r="K1339">
        <f>LET(
    purpose,'Loan Tape (S&amp;P)'!R1339,
    IF(purpose="Purchase",1.00,
        IF(purpose="Remortgage",1.00,
            1.20)))</f>
        <v/>
      </c>
      <c r="L1339">
        <f>LET(
    arrears_months,'Loan Tape (S&amp;P)'!AN1339,
    IF(arrears_months=0,1.00,
    IF(arrears_months=1,3.00,
    IF(arrears_months=2,5.00,
    IF(arrears_months=3,8.00,
    IF(arrears_months=4,10.00,
    IF(arrears_months=5,12.00,15.00)))))))</f>
        <v/>
      </c>
      <c r="M1339">
        <f>LET(
    seasoning_years,DATEDIF('Loan Tape (S&amp;P)'!K1339,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39">
        <f>IF(AND('Loan Tape (S&amp;P)'!U1339="Yes",
        'Loan Tape (S&amp;P)'!T1339&lt;&gt;"Yes",
        DATEDIF('Loan Tape (S&amp;P)'!K1339, TODAY(), "M")&lt;18),
    1.10,
    1.00)</f>
        <v/>
      </c>
      <c r="O1339">
        <f>IF('Loan Tape (S&amp;P)'!T1339="Yes",
    1.35,
    1.00)</f>
        <v/>
      </c>
      <c r="P1339">
        <f>IF('Loan Tape (S&amp;P)'!S1339="Yes",
    1.15,
    1.00)</f>
        <v/>
      </c>
      <c r="Q1339">
        <f>IF('Loan Tape (S&amp;P)'!V1339="Yes",
    1.20,
    1.00)</f>
        <v/>
      </c>
      <c r="T1339">
        <f>LET(
    payment_method,'Loan Tape (S&amp;P)'!P1339,
    occupancy,'Loan Tape (S&amp;P)'!N1339,
    maturity_date,'Loan Tape (S&amp;P)'!L1339,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40">
      <c r="J1340">
        <f>LET(
    lien,'Loan Tape (S&amp;P)'!Q1340,
    IF(lien="First",1.00,
        IF(lien="Second",1.50,
            1.70)))</f>
        <v/>
      </c>
      <c r="K1340">
        <f>LET(
    purpose,'Loan Tape (S&amp;P)'!R1340,
    IF(purpose="Purchase",1.00,
        IF(purpose="Remortgage",1.00,
            1.20)))</f>
        <v/>
      </c>
      <c r="L1340">
        <f>LET(
    arrears_months,'Loan Tape (S&amp;P)'!AN1340,
    IF(arrears_months=0,1.00,
    IF(arrears_months=1,3.00,
    IF(arrears_months=2,5.00,
    IF(arrears_months=3,8.00,
    IF(arrears_months=4,10.00,
    IF(arrears_months=5,12.00,15.00)))))))</f>
        <v/>
      </c>
      <c r="M1340">
        <f>LET(
    seasoning_years,DATEDIF('Loan Tape (S&amp;P)'!K1340,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40">
        <f>IF(AND('Loan Tape (S&amp;P)'!U1340="Yes",
        'Loan Tape (S&amp;P)'!T1340&lt;&gt;"Yes",
        DATEDIF('Loan Tape (S&amp;P)'!K1340, TODAY(), "M")&lt;18),
    1.10,
    1.00)</f>
        <v/>
      </c>
      <c r="O1340">
        <f>IF('Loan Tape (S&amp;P)'!T1340="Yes",
    1.35,
    1.00)</f>
        <v/>
      </c>
      <c r="P1340">
        <f>IF('Loan Tape (S&amp;P)'!S1340="Yes",
    1.15,
    1.00)</f>
        <v/>
      </c>
      <c r="Q1340">
        <f>IF('Loan Tape (S&amp;P)'!V1340="Yes",
    1.20,
    1.00)</f>
        <v/>
      </c>
      <c r="T1340">
        <f>LET(
    payment_method,'Loan Tape (S&amp;P)'!P1340,
    occupancy,'Loan Tape (S&amp;P)'!N1340,
    maturity_date,'Loan Tape (S&amp;P)'!L1340,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41">
      <c r="J1341">
        <f>LET(
    lien,'Loan Tape (S&amp;P)'!Q1341,
    IF(lien="First",1.00,
        IF(lien="Second",1.50,
            1.70)))</f>
        <v/>
      </c>
      <c r="K1341">
        <f>LET(
    purpose,'Loan Tape (S&amp;P)'!R1341,
    IF(purpose="Purchase",1.00,
        IF(purpose="Remortgage",1.00,
            1.20)))</f>
        <v/>
      </c>
      <c r="L1341">
        <f>LET(
    arrears_months,'Loan Tape (S&amp;P)'!AN1341,
    IF(arrears_months=0,1.00,
    IF(arrears_months=1,3.00,
    IF(arrears_months=2,5.00,
    IF(arrears_months=3,8.00,
    IF(arrears_months=4,10.00,
    IF(arrears_months=5,12.00,15.00)))))))</f>
        <v/>
      </c>
      <c r="M1341">
        <f>LET(
    seasoning_years,DATEDIF('Loan Tape (S&amp;P)'!K1341,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41">
        <f>IF(AND('Loan Tape (S&amp;P)'!U1341="Yes",
        'Loan Tape (S&amp;P)'!T1341&lt;&gt;"Yes",
        DATEDIF('Loan Tape (S&amp;P)'!K1341, TODAY(), "M")&lt;18),
    1.10,
    1.00)</f>
        <v/>
      </c>
      <c r="O1341">
        <f>IF('Loan Tape (S&amp;P)'!T1341="Yes",
    1.35,
    1.00)</f>
        <v/>
      </c>
      <c r="P1341">
        <f>IF('Loan Tape (S&amp;P)'!S1341="Yes",
    1.15,
    1.00)</f>
        <v/>
      </c>
      <c r="Q1341">
        <f>IF('Loan Tape (S&amp;P)'!V1341="Yes",
    1.20,
    1.00)</f>
        <v/>
      </c>
      <c r="T1341">
        <f>LET(
    payment_method,'Loan Tape (S&amp;P)'!P1341,
    occupancy,'Loan Tape (S&amp;P)'!N1341,
    maturity_date,'Loan Tape (S&amp;P)'!L1341,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42">
      <c r="J1342">
        <f>LET(
    lien,'Loan Tape (S&amp;P)'!Q1342,
    IF(lien="First",1.00,
        IF(lien="Second",1.50,
            1.70)))</f>
        <v/>
      </c>
      <c r="K1342">
        <f>LET(
    purpose,'Loan Tape (S&amp;P)'!R1342,
    IF(purpose="Purchase",1.00,
        IF(purpose="Remortgage",1.00,
            1.20)))</f>
        <v/>
      </c>
      <c r="L1342">
        <f>LET(
    arrears_months,'Loan Tape (S&amp;P)'!AN1342,
    IF(arrears_months=0,1.00,
    IF(arrears_months=1,3.00,
    IF(arrears_months=2,5.00,
    IF(arrears_months=3,8.00,
    IF(arrears_months=4,10.00,
    IF(arrears_months=5,12.00,15.00)))))))</f>
        <v/>
      </c>
      <c r="M1342">
        <f>LET(
    seasoning_years,DATEDIF('Loan Tape (S&amp;P)'!K1342,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42">
        <f>IF(AND('Loan Tape (S&amp;P)'!U1342="Yes",
        'Loan Tape (S&amp;P)'!T1342&lt;&gt;"Yes",
        DATEDIF('Loan Tape (S&amp;P)'!K1342, TODAY(), "M")&lt;18),
    1.10,
    1.00)</f>
        <v/>
      </c>
      <c r="O1342">
        <f>IF('Loan Tape (S&amp;P)'!T1342="Yes",
    1.35,
    1.00)</f>
        <v/>
      </c>
      <c r="P1342">
        <f>IF('Loan Tape (S&amp;P)'!S1342="Yes",
    1.15,
    1.00)</f>
        <v/>
      </c>
      <c r="Q1342">
        <f>IF('Loan Tape (S&amp;P)'!V1342="Yes",
    1.20,
    1.00)</f>
        <v/>
      </c>
      <c r="T1342">
        <f>LET(
    payment_method,'Loan Tape (S&amp;P)'!P1342,
    occupancy,'Loan Tape (S&amp;P)'!N1342,
    maturity_date,'Loan Tape (S&amp;P)'!L1342,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43">
      <c r="J1343">
        <f>LET(
    lien,'Loan Tape (S&amp;P)'!Q1343,
    IF(lien="First",1.00,
        IF(lien="Second",1.50,
            1.70)))</f>
        <v/>
      </c>
      <c r="K1343">
        <f>LET(
    purpose,'Loan Tape (S&amp;P)'!R1343,
    IF(purpose="Purchase",1.00,
        IF(purpose="Remortgage",1.00,
            1.20)))</f>
        <v/>
      </c>
      <c r="L1343">
        <f>LET(
    arrears_months,'Loan Tape (S&amp;P)'!AN1343,
    IF(arrears_months=0,1.00,
    IF(arrears_months=1,3.00,
    IF(arrears_months=2,5.00,
    IF(arrears_months=3,8.00,
    IF(arrears_months=4,10.00,
    IF(arrears_months=5,12.00,15.00)))))))</f>
        <v/>
      </c>
      <c r="M1343">
        <f>LET(
    seasoning_years,DATEDIF('Loan Tape (S&amp;P)'!K1343,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43">
        <f>IF(AND('Loan Tape (S&amp;P)'!U1343="Yes",
        'Loan Tape (S&amp;P)'!T1343&lt;&gt;"Yes",
        DATEDIF('Loan Tape (S&amp;P)'!K1343, TODAY(), "M")&lt;18),
    1.10,
    1.00)</f>
        <v/>
      </c>
      <c r="O1343">
        <f>IF('Loan Tape (S&amp;P)'!T1343="Yes",
    1.35,
    1.00)</f>
        <v/>
      </c>
      <c r="P1343">
        <f>IF('Loan Tape (S&amp;P)'!S1343="Yes",
    1.15,
    1.00)</f>
        <v/>
      </c>
      <c r="Q1343">
        <f>IF('Loan Tape (S&amp;P)'!V1343="Yes",
    1.20,
    1.00)</f>
        <v/>
      </c>
      <c r="T1343">
        <f>LET(
    payment_method,'Loan Tape (S&amp;P)'!P1343,
    occupancy,'Loan Tape (S&amp;P)'!N1343,
    maturity_date,'Loan Tape (S&amp;P)'!L1343,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44">
      <c r="J1344">
        <f>LET(
    lien,'Loan Tape (S&amp;P)'!Q1344,
    IF(lien="First",1.00,
        IF(lien="Second",1.50,
            1.70)))</f>
        <v/>
      </c>
      <c r="K1344">
        <f>LET(
    purpose,'Loan Tape (S&amp;P)'!R1344,
    IF(purpose="Purchase",1.00,
        IF(purpose="Remortgage",1.00,
            1.20)))</f>
        <v/>
      </c>
      <c r="L1344">
        <f>LET(
    arrears_months,'Loan Tape (S&amp;P)'!AN1344,
    IF(arrears_months=0,1.00,
    IF(arrears_months=1,3.00,
    IF(arrears_months=2,5.00,
    IF(arrears_months=3,8.00,
    IF(arrears_months=4,10.00,
    IF(arrears_months=5,12.00,15.00)))))))</f>
        <v/>
      </c>
      <c r="M1344">
        <f>LET(
    seasoning_years,DATEDIF('Loan Tape (S&amp;P)'!K1344,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44">
        <f>IF(AND('Loan Tape (S&amp;P)'!U1344="Yes",
        'Loan Tape (S&amp;P)'!T1344&lt;&gt;"Yes",
        DATEDIF('Loan Tape (S&amp;P)'!K1344, TODAY(), "M")&lt;18),
    1.10,
    1.00)</f>
        <v/>
      </c>
      <c r="O1344">
        <f>IF('Loan Tape (S&amp;P)'!T1344="Yes",
    1.35,
    1.00)</f>
        <v/>
      </c>
      <c r="P1344">
        <f>IF('Loan Tape (S&amp;P)'!S1344="Yes",
    1.15,
    1.00)</f>
        <v/>
      </c>
      <c r="Q1344">
        <f>IF('Loan Tape (S&amp;P)'!V1344="Yes",
    1.20,
    1.00)</f>
        <v/>
      </c>
      <c r="T1344">
        <f>LET(
    payment_method,'Loan Tape (S&amp;P)'!P1344,
    occupancy,'Loan Tape (S&amp;P)'!N1344,
    maturity_date,'Loan Tape (S&amp;P)'!L1344,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45">
      <c r="J1345">
        <f>LET(
    lien,'Loan Tape (S&amp;P)'!Q1345,
    IF(lien="First",1.00,
        IF(lien="Second",1.50,
            1.70)))</f>
        <v/>
      </c>
      <c r="K1345">
        <f>LET(
    purpose,'Loan Tape (S&amp;P)'!R1345,
    IF(purpose="Purchase",1.00,
        IF(purpose="Remortgage",1.00,
            1.20)))</f>
        <v/>
      </c>
      <c r="L1345">
        <f>LET(
    arrears_months,'Loan Tape (S&amp;P)'!AN1345,
    IF(arrears_months=0,1.00,
    IF(arrears_months=1,3.00,
    IF(arrears_months=2,5.00,
    IF(arrears_months=3,8.00,
    IF(arrears_months=4,10.00,
    IF(arrears_months=5,12.00,15.00)))))))</f>
        <v/>
      </c>
      <c r="M1345">
        <f>LET(
    seasoning_years,DATEDIF('Loan Tape (S&amp;P)'!K1345,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45">
        <f>IF(AND('Loan Tape (S&amp;P)'!U1345="Yes",
        'Loan Tape (S&amp;P)'!T1345&lt;&gt;"Yes",
        DATEDIF('Loan Tape (S&amp;P)'!K1345, TODAY(), "M")&lt;18),
    1.10,
    1.00)</f>
        <v/>
      </c>
      <c r="O1345">
        <f>IF('Loan Tape (S&amp;P)'!T1345="Yes",
    1.35,
    1.00)</f>
        <v/>
      </c>
      <c r="P1345">
        <f>IF('Loan Tape (S&amp;P)'!S1345="Yes",
    1.15,
    1.00)</f>
        <v/>
      </c>
      <c r="Q1345">
        <f>IF('Loan Tape (S&amp;P)'!V1345="Yes",
    1.20,
    1.00)</f>
        <v/>
      </c>
      <c r="T1345">
        <f>LET(
    payment_method,'Loan Tape (S&amp;P)'!P1345,
    occupancy,'Loan Tape (S&amp;P)'!N1345,
    maturity_date,'Loan Tape (S&amp;P)'!L1345,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46">
      <c r="J1346">
        <f>LET(
    lien,'Loan Tape (S&amp;P)'!Q1346,
    IF(lien="First",1.00,
        IF(lien="Second",1.50,
            1.70)))</f>
        <v/>
      </c>
      <c r="K1346">
        <f>LET(
    purpose,'Loan Tape (S&amp;P)'!R1346,
    IF(purpose="Purchase",1.00,
        IF(purpose="Remortgage",1.00,
            1.20)))</f>
        <v/>
      </c>
      <c r="L1346">
        <f>LET(
    arrears_months,'Loan Tape (S&amp;P)'!AN1346,
    IF(arrears_months=0,1.00,
    IF(arrears_months=1,3.00,
    IF(arrears_months=2,5.00,
    IF(arrears_months=3,8.00,
    IF(arrears_months=4,10.00,
    IF(arrears_months=5,12.00,15.00)))))))</f>
        <v/>
      </c>
      <c r="M1346">
        <f>LET(
    seasoning_years,DATEDIF('Loan Tape (S&amp;P)'!K1346,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46">
        <f>IF(AND('Loan Tape (S&amp;P)'!U1346="Yes",
        'Loan Tape (S&amp;P)'!T1346&lt;&gt;"Yes",
        DATEDIF('Loan Tape (S&amp;P)'!K1346, TODAY(), "M")&lt;18),
    1.10,
    1.00)</f>
        <v/>
      </c>
      <c r="O1346">
        <f>IF('Loan Tape (S&amp;P)'!T1346="Yes",
    1.35,
    1.00)</f>
        <v/>
      </c>
      <c r="P1346">
        <f>IF('Loan Tape (S&amp;P)'!S1346="Yes",
    1.15,
    1.00)</f>
        <v/>
      </c>
      <c r="Q1346">
        <f>IF('Loan Tape (S&amp;P)'!V1346="Yes",
    1.20,
    1.00)</f>
        <v/>
      </c>
      <c r="T1346">
        <f>LET(
    payment_method,'Loan Tape (S&amp;P)'!P1346,
    occupancy,'Loan Tape (S&amp;P)'!N1346,
    maturity_date,'Loan Tape (S&amp;P)'!L1346,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47">
      <c r="J1347">
        <f>LET(
    lien,'Loan Tape (S&amp;P)'!Q1347,
    IF(lien="First",1.00,
        IF(lien="Second",1.50,
            1.70)))</f>
        <v/>
      </c>
      <c r="K1347">
        <f>LET(
    purpose,'Loan Tape (S&amp;P)'!R1347,
    IF(purpose="Purchase",1.00,
        IF(purpose="Remortgage",1.00,
            1.20)))</f>
        <v/>
      </c>
      <c r="L1347">
        <f>LET(
    arrears_months,'Loan Tape (S&amp;P)'!AN1347,
    IF(arrears_months=0,1.00,
    IF(arrears_months=1,3.00,
    IF(arrears_months=2,5.00,
    IF(arrears_months=3,8.00,
    IF(arrears_months=4,10.00,
    IF(arrears_months=5,12.00,15.00)))))))</f>
        <v/>
      </c>
      <c r="M1347">
        <f>LET(
    seasoning_years,DATEDIF('Loan Tape (S&amp;P)'!K1347,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47">
        <f>IF(AND('Loan Tape (S&amp;P)'!U1347="Yes",
        'Loan Tape (S&amp;P)'!T1347&lt;&gt;"Yes",
        DATEDIF('Loan Tape (S&amp;P)'!K1347, TODAY(), "M")&lt;18),
    1.10,
    1.00)</f>
        <v/>
      </c>
      <c r="O1347">
        <f>IF('Loan Tape (S&amp;P)'!T1347="Yes",
    1.35,
    1.00)</f>
        <v/>
      </c>
      <c r="P1347">
        <f>IF('Loan Tape (S&amp;P)'!S1347="Yes",
    1.15,
    1.00)</f>
        <v/>
      </c>
      <c r="Q1347">
        <f>IF('Loan Tape (S&amp;P)'!V1347="Yes",
    1.20,
    1.00)</f>
        <v/>
      </c>
      <c r="T1347">
        <f>LET(
    payment_method,'Loan Tape (S&amp;P)'!P1347,
    occupancy,'Loan Tape (S&amp;P)'!N1347,
    maturity_date,'Loan Tape (S&amp;P)'!L1347,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48">
      <c r="J1348">
        <f>LET(
    lien,'Loan Tape (S&amp;P)'!Q1348,
    IF(lien="First",1.00,
        IF(lien="Second",1.50,
            1.70)))</f>
        <v/>
      </c>
      <c r="K1348">
        <f>LET(
    purpose,'Loan Tape (S&amp;P)'!R1348,
    IF(purpose="Purchase",1.00,
        IF(purpose="Remortgage",1.00,
            1.20)))</f>
        <v/>
      </c>
      <c r="L1348">
        <f>LET(
    arrears_months,'Loan Tape (S&amp;P)'!AN1348,
    IF(arrears_months=0,1.00,
    IF(arrears_months=1,3.00,
    IF(arrears_months=2,5.00,
    IF(arrears_months=3,8.00,
    IF(arrears_months=4,10.00,
    IF(arrears_months=5,12.00,15.00)))))))</f>
        <v/>
      </c>
      <c r="M1348">
        <f>LET(
    seasoning_years,DATEDIF('Loan Tape (S&amp;P)'!K1348,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48">
        <f>IF(AND('Loan Tape (S&amp;P)'!U1348="Yes",
        'Loan Tape (S&amp;P)'!T1348&lt;&gt;"Yes",
        DATEDIF('Loan Tape (S&amp;P)'!K1348, TODAY(), "M")&lt;18),
    1.10,
    1.00)</f>
        <v/>
      </c>
      <c r="O1348">
        <f>IF('Loan Tape (S&amp;P)'!T1348="Yes",
    1.35,
    1.00)</f>
        <v/>
      </c>
      <c r="P1348">
        <f>IF('Loan Tape (S&amp;P)'!S1348="Yes",
    1.15,
    1.00)</f>
        <v/>
      </c>
      <c r="Q1348">
        <f>IF('Loan Tape (S&amp;P)'!V1348="Yes",
    1.20,
    1.00)</f>
        <v/>
      </c>
      <c r="T1348">
        <f>LET(
    payment_method,'Loan Tape (S&amp;P)'!P1348,
    occupancy,'Loan Tape (S&amp;P)'!N1348,
    maturity_date,'Loan Tape (S&amp;P)'!L1348,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49">
      <c r="J1349">
        <f>LET(
    lien,'Loan Tape (S&amp;P)'!Q1349,
    IF(lien="First",1.00,
        IF(lien="Second",1.50,
            1.70)))</f>
        <v/>
      </c>
      <c r="K1349">
        <f>LET(
    purpose,'Loan Tape (S&amp;P)'!R1349,
    IF(purpose="Purchase",1.00,
        IF(purpose="Remortgage",1.00,
            1.20)))</f>
        <v/>
      </c>
      <c r="L1349">
        <f>LET(
    arrears_months,'Loan Tape (S&amp;P)'!AN1349,
    IF(arrears_months=0,1.00,
    IF(arrears_months=1,3.00,
    IF(arrears_months=2,5.00,
    IF(arrears_months=3,8.00,
    IF(arrears_months=4,10.00,
    IF(arrears_months=5,12.00,15.00)))))))</f>
        <v/>
      </c>
      <c r="M1349">
        <f>LET(
    seasoning_years,DATEDIF('Loan Tape (S&amp;P)'!K1349,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49">
        <f>IF(AND('Loan Tape (S&amp;P)'!U1349="Yes",
        'Loan Tape (S&amp;P)'!T1349&lt;&gt;"Yes",
        DATEDIF('Loan Tape (S&amp;P)'!K1349, TODAY(), "M")&lt;18),
    1.10,
    1.00)</f>
        <v/>
      </c>
      <c r="O1349">
        <f>IF('Loan Tape (S&amp;P)'!T1349="Yes",
    1.35,
    1.00)</f>
        <v/>
      </c>
      <c r="P1349">
        <f>IF('Loan Tape (S&amp;P)'!S1349="Yes",
    1.15,
    1.00)</f>
        <v/>
      </c>
      <c r="Q1349">
        <f>IF('Loan Tape (S&amp;P)'!V1349="Yes",
    1.20,
    1.00)</f>
        <v/>
      </c>
      <c r="T1349">
        <f>LET(
    payment_method,'Loan Tape (S&amp;P)'!P1349,
    occupancy,'Loan Tape (S&amp;P)'!N1349,
    maturity_date,'Loan Tape (S&amp;P)'!L1349,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50">
      <c r="J1350">
        <f>LET(
    lien,'Loan Tape (S&amp;P)'!Q1350,
    IF(lien="First",1.00,
        IF(lien="Second",1.50,
            1.70)))</f>
        <v/>
      </c>
      <c r="K1350">
        <f>LET(
    purpose,'Loan Tape (S&amp;P)'!R1350,
    IF(purpose="Purchase",1.00,
        IF(purpose="Remortgage",1.00,
            1.20)))</f>
        <v/>
      </c>
      <c r="L1350">
        <f>LET(
    arrears_months,'Loan Tape (S&amp;P)'!AN1350,
    IF(arrears_months=0,1.00,
    IF(arrears_months=1,3.00,
    IF(arrears_months=2,5.00,
    IF(arrears_months=3,8.00,
    IF(arrears_months=4,10.00,
    IF(arrears_months=5,12.00,15.00)))))))</f>
        <v/>
      </c>
      <c r="M1350">
        <f>LET(
    seasoning_years,DATEDIF('Loan Tape (S&amp;P)'!K1350,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50">
        <f>IF(AND('Loan Tape (S&amp;P)'!U1350="Yes",
        'Loan Tape (S&amp;P)'!T1350&lt;&gt;"Yes",
        DATEDIF('Loan Tape (S&amp;P)'!K1350, TODAY(), "M")&lt;18),
    1.10,
    1.00)</f>
        <v/>
      </c>
      <c r="O1350">
        <f>IF('Loan Tape (S&amp;P)'!T1350="Yes",
    1.35,
    1.00)</f>
        <v/>
      </c>
      <c r="P1350">
        <f>IF('Loan Tape (S&amp;P)'!S1350="Yes",
    1.15,
    1.00)</f>
        <v/>
      </c>
      <c r="Q1350">
        <f>IF('Loan Tape (S&amp;P)'!V1350="Yes",
    1.20,
    1.00)</f>
        <v/>
      </c>
      <c r="T1350">
        <f>LET(
    payment_method,'Loan Tape (S&amp;P)'!P1350,
    occupancy,'Loan Tape (S&amp;P)'!N1350,
    maturity_date,'Loan Tape (S&amp;P)'!L1350,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51">
      <c r="J1351">
        <f>LET(
    lien,'Loan Tape (S&amp;P)'!Q1351,
    IF(lien="First",1.00,
        IF(lien="Second",1.50,
            1.70)))</f>
        <v/>
      </c>
      <c r="K1351">
        <f>LET(
    purpose,'Loan Tape (S&amp;P)'!R1351,
    IF(purpose="Purchase",1.00,
        IF(purpose="Remortgage",1.00,
            1.20)))</f>
        <v/>
      </c>
      <c r="L1351">
        <f>LET(
    arrears_months,'Loan Tape (S&amp;P)'!AN1351,
    IF(arrears_months=0,1.00,
    IF(arrears_months=1,3.00,
    IF(arrears_months=2,5.00,
    IF(arrears_months=3,8.00,
    IF(arrears_months=4,10.00,
    IF(arrears_months=5,12.00,15.00)))))))</f>
        <v/>
      </c>
      <c r="M1351">
        <f>LET(
    seasoning_years,DATEDIF('Loan Tape (S&amp;P)'!K1351,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51">
        <f>IF(AND('Loan Tape (S&amp;P)'!U1351="Yes",
        'Loan Tape (S&amp;P)'!T1351&lt;&gt;"Yes",
        DATEDIF('Loan Tape (S&amp;P)'!K1351, TODAY(), "M")&lt;18),
    1.10,
    1.00)</f>
        <v/>
      </c>
      <c r="O1351">
        <f>IF('Loan Tape (S&amp;P)'!T1351="Yes",
    1.35,
    1.00)</f>
        <v/>
      </c>
      <c r="P1351">
        <f>IF('Loan Tape (S&amp;P)'!S1351="Yes",
    1.15,
    1.00)</f>
        <v/>
      </c>
      <c r="Q1351">
        <f>IF('Loan Tape (S&amp;P)'!V1351="Yes",
    1.20,
    1.00)</f>
        <v/>
      </c>
      <c r="T1351">
        <f>LET(
    payment_method,'Loan Tape (S&amp;P)'!P1351,
    occupancy,'Loan Tape (S&amp;P)'!N1351,
    maturity_date,'Loan Tape (S&amp;P)'!L1351,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52">
      <c r="J1352">
        <f>LET(
    lien,'Loan Tape (S&amp;P)'!Q1352,
    IF(lien="First",1.00,
        IF(lien="Second",1.50,
            1.70)))</f>
        <v/>
      </c>
      <c r="K1352">
        <f>LET(
    purpose,'Loan Tape (S&amp;P)'!R1352,
    IF(purpose="Purchase",1.00,
        IF(purpose="Remortgage",1.00,
            1.20)))</f>
        <v/>
      </c>
      <c r="L1352">
        <f>LET(
    arrears_months,'Loan Tape (S&amp;P)'!AN1352,
    IF(arrears_months=0,1.00,
    IF(arrears_months=1,3.00,
    IF(arrears_months=2,5.00,
    IF(arrears_months=3,8.00,
    IF(arrears_months=4,10.00,
    IF(arrears_months=5,12.00,15.00)))))))</f>
        <v/>
      </c>
      <c r="M1352">
        <f>LET(
    seasoning_years,DATEDIF('Loan Tape (S&amp;P)'!K1352,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52">
        <f>IF(AND('Loan Tape (S&amp;P)'!U1352="Yes",
        'Loan Tape (S&amp;P)'!T1352&lt;&gt;"Yes",
        DATEDIF('Loan Tape (S&amp;P)'!K1352, TODAY(), "M")&lt;18),
    1.10,
    1.00)</f>
        <v/>
      </c>
      <c r="O1352">
        <f>IF('Loan Tape (S&amp;P)'!T1352="Yes",
    1.35,
    1.00)</f>
        <v/>
      </c>
      <c r="P1352">
        <f>IF('Loan Tape (S&amp;P)'!S1352="Yes",
    1.15,
    1.00)</f>
        <v/>
      </c>
      <c r="Q1352">
        <f>IF('Loan Tape (S&amp;P)'!V1352="Yes",
    1.20,
    1.00)</f>
        <v/>
      </c>
      <c r="T1352">
        <f>LET(
    payment_method,'Loan Tape (S&amp;P)'!P1352,
    occupancy,'Loan Tape (S&amp;P)'!N1352,
    maturity_date,'Loan Tape (S&amp;P)'!L1352,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53">
      <c r="J1353">
        <f>LET(
    lien,'Loan Tape (S&amp;P)'!Q1353,
    IF(lien="First",1.00,
        IF(lien="Second",1.50,
            1.70)))</f>
        <v/>
      </c>
      <c r="K1353">
        <f>LET(
    purpose,'Loan Tape (S&amp;P)'!R1353,
    IF(purpose="Purchase",1.00,
        IF(purpose="Remortgage",1.00,
            1.20)))</f>
        <v/>
      </c>
      <c r="L1353">
        <f>LET(
    arrears_months,'Loan Tape (S&amp;P)'!AN1353,
    IF(arrears_months=0,1.00,
    IF(arrears_months=1,3.00,
    IF(arrears_months=2,5.00,
    IF(arrears_months=3,8.00,
    IF(arrears_months=4,10.00,
    IF(arrears_months=5,12.00,15.00)))))))</f>
        <v/>
      </c>
      <c r="M1353">
        <f>LET(
    seasoning_years,DATEDIF('Loan Tape (S&amp;P)'!K1353,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53">
        <f>IF(AND('Loan Tape (S&amp;P)'!U1353="Yes",
        'Loan Tape (S&amp;P)'!T1353&lt;&gt;"Yes",
        DATEDIF('Loan Tape (S&amp;P)'!K1353, TODAY(), "M")&lt;18),
    1.10,
    1.00)</f>
        <v/>
      </c>
      <c r="O1353">
        <f>IF('Loan Tape (S&amp;P)'!T1353="Yes",
    1.35,
    1.00)</f>
        <v/>
      </c>
      <c r="P1353">
        <f>IF('Loan Tape (S&amp;P)'!S1353="Yes",
    1.15,
    1.00)</f>
        <v/>
      </c>
      <c r="Q1353">
        <f>IF('Loan Tape (S&amp;P)'!V1353="Yes",
    1.20,
    1.00)</f>
        <v/>
      </c>
      <c r="T1353">
        <f>LET(
    payment_method,'Loan Tape (S&amp;P)'!P1353,
    occupancy,'Loan Tape (S&amp;P)'!N1353,
    maturity_date,'Loan Tape (S&amp;P)'!L1353,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54">
      <c r="J1354">
        <f>LET(
    lien,'Loan Tape (S&amp;P)'!Q1354,
    IF(lien="First",1.00,
        IF(lien="Second",1.50,
            1.70)))</f>
        <v/>
      </c>
      <c r="K1354">
        <f>LET(
    purpose,'Loan Tape (S&amp;P)'!R1354,
    IF(purpose="Purchase",1.00,
        IF(purpose="Remortgage",1.00,
            1.20)))</f>
        <v/>
      </c>
      <c r="L1354">
        <f>LET(
    arrears_months,'Loan Tape (S&amp;P)'!AN1354,
    IF(arrears_months=0,1.00,
    IF(arrears_months=1,3.00,
    IF(arrears_months=2,5.00,
    IF(arrears_months=3,8.00,
    IF(arrears_months=4,10.00,
    IF(arrears_months=5,12.00,15.00)))))))</f>
        <v/>
      </c>
      <c r="M1354">
        <f>LET(
    seasoning_years,DATEDIF('Loan Tape (S&amp;P)'!K1354,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54">
        <f>IF(AND('Loan Tape (S&amp;P)'!U1354="Yes",
        'Loan Tape (S&amp;P)'!T1354&lt;&gt;"Yes",
        DATEDIF('Loan Tape (S&amp;P)'!K1354, TODAY(), "M")&lt;18),
    1.10,
    1.00)</f>
        <v/>
      </c>
      <c r="O1354">
        <f>IF('Loan Tape (S&amp;P)'!T1354="Yes",
    1.35,
    1.00)</f>
        <v/>
      </c>
      <c r="P1354">
        <f>IF('Loan Tape (S&amp;P)'!S1354="Yes",
    1.15,
    1.00)</f>
        <v/>
      </c>
      <c r="Q1354">
        <f>IF('Loan Tape (S&amp;P)'!V1354="Yes",
    1.20,
    1.00)</f>
        <v/>
      </c>
      <c r="T1354">
        <f>LET(
    payment_method,'Loan Tape (S&amp;P)'!P1354,
    occupancy,'Loan Tape (S&amp;P)'!N1354,
    maturity_date,'Loan Tape (S&amp;P)'!L1354,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55">
      <c r="J1355">
        <f>LET(
    lien,'Loan Tape (S&amp;P)'!Q1355,
    IF(lien="First",1.00,
        IF(lien="Second",1.50,
            1.70)))</f>
        <v/>
      </c>
      <c r="K1355">
        <f>LET(
    purpose,'Loan Tape (S&amp;P)'!R1355,
    IF(purpose="Purchase",1.00,
        IF(purpose="Remortgage",1.00,
            1.20)))</f>
        <v/>
      </c>
      <c r="L1355">
        <f>LET(
    arrears_months,'Loan Tape (S&amp;P)'!AN1355,
    IF(arrears_months=0,1.00,
    IF(arrears_months=1,3.00,
    IF(arrears_months=2,5.00,
    IF(arrears_months=3,8.00,
    IF(arrears_months=4,10.00,
    IF(arrears_months=5,12.00,15.00)))))))</f>
        <v/>
      </c>
      <c r="M1355">
        <f>LET(
    seasoning_years,DATEDIF('Loan Tape (S&amp;P)'!K1355,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55">
        <f>IF(AND('Loan Tape (S&amp;P)'!U1355="Yes",
        'Loan Tape (S&amp;P)'!T1355&lt;&gt;"Yes",
        DATEDIF('Loan Tape (S&amp;P)'!K1355, TODAY(), "M")&lt;18),
    1.10,
    1.00)</f>
        <v/>
      </c>
      <c r="O1355">
        <f>IF('Loan Tape (S&amp;P)'!T1355="Yes",
    1.35,
    1.00)</f>
        <v/>
      </c>
      <c r="P1355">
        <f>IF('Loan Tape (S&amp;P)'!S1355="Yes",
    1.15,
    1.00)</f>
        <v/>
      </c>
      <c r="Q1355">
        <f>IF('Loan Tape (S&amp;P)'!V1355="Yes",
    1.20,
    1.00)</f>
        <v/>
      </c>
      <c r="T1355">
        <f>LET(
    payment_method,'Loan Tape (S&amp;P)'!P1355,
    occupancy,'Loan Tape (S&amp;P)'!N1355,
    maturity_date,'Loan Tape (S&amp;P)'!L1355,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56">
      <c r="J1356">
        <f>LET(
    lien,'Loan Tape (S&amp;P)'!Q1356,
    IF(lien="First",1.00,
        IF(lien="Second",1.50,
            1.70)))</f>
        <v/>
      </c>
      <c r="K1356">
        <f>LET(
    purpose,'Loan Tape (S&amp;P)'!R1356,
    IF(purpose="Purchase",1.00,
        IF(purpose="Remortgage",1.00,
            1.20)))</f>
        <v/>
      </c>
      <c r="L1356">
        <f>LET(
    arrears_months,'Loan Tape (S&amp;P)'!AN1356,
    IF(arrears_months=0,1.00,
    IF(arrears_months=1,3.00,
    IF(arrears_months=2,5.00,
    IF(arrears_months=3,8.00,
    IF(arrears_months=4,10.00,
    IF(arrears_months=5,12.00,15.00)))))))</f>
        <v/>
      </c>
      <c r="M1356">
        <f>LET(
    seasoning_years,DATEDIF('Loan Tape (S&amp;P)'!K1356,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56">
        <f>IF(AND('Loan Tape (S&amp;P)'!U1356="Yes",
        'Loan Tape (S&amp;P)'!T1356&lt;&gt;"Yes",
        DATEDIF('Loan Tape (S&amp;P)'!K1356, TODAY(), "M")&lt;18),
    1.10,
    1.00)</f>
        <v/>
      </c>
      <c r="O1356">
        <f>IF('Loan Tape (S&amp;P)'!T1356="Yes",
    1.35,
    1.00)</f>
        <v/>
      </c>
      <c r="P1356">
        <f>IF('Loan Tape (S&amp;P)'!S1356="Yes",
    1.15,
    1.00)</f>
        <v/>
      </c>
      <c r="Q1356">
        <f>IF('Loan Tape (S&amp;P)'!V1356="Yes",
    1.20,
    1.00)</f>
        <v/>
      </c>
      <c r="T1356">
        <f>LET(
    payment_method,'Loan Tape (S&amp;P)'!P1356,
    occupancy,'Loan Tape (S&amp;P)'!N1356,
    maturity_date,'Loan Tape (S&amp;P)'!L1356,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57">
      <c r="J1357">
        <f>LET(
    lien,'Loan Tape (S&amp;P)'!Q1357,
    IF(lien="First",1.00,
        IF(lien="Second",1.50,
            1.70)))</f>
        <v/>
      </c>
      <c r="K1357">
        <f>LET(
    purpose,'Loan Tape (S&amp;P)'!R1357,
    IF(purpose="Purchase",1.00,
        IF(purpose="Remortgage",1.00,
            1.20)))</f>
        <v/>
      </c>
      <c r="L1357">
        <f>LET(
    arrears_months,'Loan Tape (S&amp;P)'!AN1357,
    IF(arrears_months=0,1.00,
    IF(arrears_months=1,3.00,
    IF(arrears_months=2,5.00,
    IF(arrears_months=3,8.00,
    IF(arrears_months=4,10.00,
    IF(arrears_months=5,12.00,15.00)))))))</f>
        <v/>
      </c>
      <c r="M1357">
        <f>LET(
    seasoning_years,DATEDIF('Loan Tape (S&amp;P)'!K1357,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57">
        <f>IF(AND('Loan Tape (S&amp;P)'!U1357="Yes",
        'Loan Tape (S&amp;P)'!T1357&lt;&gt;"Yes",
        DATEDIF('Loan Tape (S&amp;P)'!K1357, TODAY(), "M")&lt;18),
    1.10,
    1.00)</f>
        <v/>
      </c>
      <c r="O1357">
        <f>IF('Loan Tape (S&amp;P)'!T1357="Yes",
    1.35,
    1.00)</f>
        <v/>
      </c>
      <c r="P1357">
        <f>IF('Loan Tape (S&amp;P)'!S1357="Yes",
    1.15,
    1.00)</f>
        <v/>
      </c>
      <c r="Q1357">
        <f>IF('Loan Tape (S&amp;P)'!V1357="Yes",
    1.20,
    1.00)</f>
        <v/>
      </c>
      <c r="T1357">
        <f>LET(
    payment_method,'Loan Tape (S&amp;P)'!P1357,
    occupancy,'Loan Tape (S&amp;P)'!N1357,
    maturity_date,'Loan Tape (S&amp;P)'!L1357,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58">
      <c r="J1358">
        <f>LET(
    lien,'Loan Tape (S&amp;P)'!Q1358,
    IF(lien="First",1.00,
        IF(lien="Second",1.50,
            1.70)))</f>
        <v/>
      </c>
      <c r="K1358">
        <f>LET(
    purpose,'Loan Tape (S&amp;P)'!R1358,
    IF(purpose="Purchase",1.00,
        IF(purpose="Remortgage",1.00,
            1.20)))</f>
        <v/>
      </c>
      <c r="L1358">
        <f>LET(
    arrears_months,'Loan Tape (S&amp;P)'!AN1358,
    IF(arrears_months=0,1.00,
    IF(arrears_months=1,3.00,
    IF(arrears_months=2,5.00,
    IF(arrears_months=3,8.00,
    IF(arrears_months=4,10.00,
    IF(arrears_months=5,12.00,15.00)))))))</f>
        <v/>
      </c>
      <c r="M1358">
        <f>LET(
    seasoning_years,DATEDIF('Loan Tape (S&amp;P)'!K1358,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58">
        <f>IF(AND('Loan Tape (S&amp;P)'!U1358="Yes",
        'Loan Tape (S&amp;P)'!T1358&lt;&gt;"Yes",
        DATEDIF('Loan Tape (S&amp;P)'!K1358, TODAY(), "M")&lt;18),
    1.10,
    1.00)</f>
        <v/>
      </c>
      <c r="O1358">
        <f>IF('Loan Tape (S&amp;P)'!T1358="Yes",
    1.35,
    1.00)</f>
        <v/>
      </c>
      <c r="P1358">
        <f>IF('Loan Tape (S&amp;P)'!S1358="Yes",
    1.15,
    1.00)</f>
        <v/>
      </c>
      <c r="Q1358">
        <f>IF('Loan Tape (S&amp;P)'!V1358="Yes",
    1.20,
    1.00)</f>
        <v/>
      </c>
      <c r="T1358">
        <f>LET(
    payment_method,'Loan Tape (S&amp;P)'!P1358,
    occupancy,'Loan Tape (S&amp;P)'!N1358,
    maturity_date,'Loan Tape (S&amp;P)'!L1358,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59">
      <c r="J1359">
        <f>LET(
    lien,'Loan Tape (S&amp;P)'!Q1359,
    IF(lien="First",1.00,
        IF(lien="Second",1.50,
            1.70)))</f>
        <v/>
      </c>
      <c r="K1359">
        <f>LET(
    purpose,'Loan Tape (S&amp;P)'!R1359,
    IF(purpose="Purchase",1.00,
        IF(purpose="Remortgage",1.00,
            1.20)))</f>
        <v/>
      </c>
      <c r="L1359">
        <f>LET(
    arrears_months,'Loan Tape (S&amp;P)'!AN1359,
    IF(arrears_months=0,1.00,
    IF(arrears_months=1,3.00,
    IF(arrears_months=2,5.00,
    IF(arrears_months=3,8.00,
    IF(arrears_months=4,10.00,
    IF(arrears_months=5,12.00,15.00)))))))</f>
        <v/>
      </c>
      <c r="M1359">
        <f>LET(
    seasoning_years,DATEDIF('Loan Tape (S&amp;P)'!K1359,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59">
        <f>IF(AND('Loan Tape (S&amp;P)'!U1359="Yes",
        'Loan Tape (S&amp;P)'!T1359&lt;&gt;"Yes",
        DATEDIF('Loan Tape (S&amp;P)'!K1359, TODAY(), "M")&lt;18),
    1.10,
    1.00)</f>
        <v/>
      </c>
      <c r="O1359">
        <f>IF('Loan Tape (S&amp;P)'!T1359="Yes",
    1.35,
    1.00)</f>
        <v/>
      </c>
      <c r="P1359">
        <f>IF('Loan Tape (S&amp;P)'!S1359="Yes",
    1.15,
    1.00)</f>
        <v/>
      </c>
      <c r="Q1359">
        <f>IF('Loan Tape (S&amp;P)'!V1359="Yes",
    1.20,
    1.00)</f>
        <v/>
      </c>
      <c r="T1359">
        <f>LET(
    payment_method,'Loan Tape (S&amp;P)'!P1359,
    occupancy,'Loan Tape (S&amp;P)'!N1359,
    maturity_date,'Loan Tape (S&amp;P)'!L1359,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60">
      <c r="J1360">
        <f>LET(
    lien,'Loan Tape (S&amp;P)'!Q1360,
    IF(lien="First",1.00,
        IF(lien="Second",1.50,
            1.70)))</f>
        <v/>
      </c>
      <c r="K1360">
        <f>LET(
    purpose,'Loan Tape (S&amp;P)'!R1360,
    IF(purpose="Purchase",1.00,
        IF(purpose="Remortgage",1.00,
            1.20)))</f>
        <v/>
      </c>
      <c r="L1360">
        <f>LET(
    arrears_months,'Loan Tape (S&amp;P)'!AN1360,
    IF(arrears_months=0,1.00,
    IF(arrears_months=1,3.00,
    IF(arrears_months=2,5.00,
    IF(arrears_months=3,8.00,
    IF(arrears_months=4,10.00,
    IF(arrears_months=5,12.00,15.00)))))))</f>
        <v/>
      </c>
      <c r="M1360">
        <f>LET(
    seasoning_years,DATEDIF('Loan Tape (S&amp;P)'!K1360,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60">
        <f>IF(AND('Loan Tape (S&amp;P)'!U1360="Yes",
        'Loan Tape (S&amp;P)'!T1360&lt;&gt;"Yes",
        DATEDIF('Loan Tape (S&amp;P)'!K1360, TODAY(), "M")&lt;18),
    1.10,
    1.00)</f>
        <v/>
      </c>
      <c r="O1360">
        <f>IF('Loan Tape (S&amp;P)'!T1360="Yes",
    1.35,
    1.00)</f>
        <v/>
      </c>
      <c r="P1360">
        <f>IF('Loan Tape (S&amp;P)'!S1360="Yes",
    1.15,
    1.00)</f>
        <v/>
      </c>
      <c r="Q1360">
        <f>IF('Loan Tape (S&amp;P)'!V1360="Yes",
    1.20,
    1.00)</f>
        <v/>
      </c>
      <c r="T1360">
        <f>LET(
    payment_method,'Loan Tape (S&amp;P)'!P1360,
    occupancy,'Loan Tape (S&amp;P)'!N1360,
    maturity_date,'Loan Tape (S&amp;P)'!L1360,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61">
      <c r="J1361">
        <f>LET(
    lien,'Loan Tape (S&amp;P)'!Q1361,
    IF(lien="First",1.00,
        IF(lien="Second",1.50,
            1.70)))</f>
        <v/>
      </c>
      <c r="K1361">
        <f>LET(
    purpose,'Loan Tape (S&amp;P)'!R1361,
    IF(purpose="Purchase",1.00,
        IF(purpose="Remortgage",1.00,
            1.20)))</f>
        <v/>
      </c>
      <c r="L1361">
        <f>LET(
    arrears_months,'Loan Tape (S&amp;P)'!AN1361,
    IF(arrears_months=0,1.00,
    IF(arrears_months=1,3.00,
    IF(arrears_months=2,5.00,
    IF(arrears_months=3,8.00,
    IF(arrears_months=4,10.00,
    IF(arrears_months=5,12.00,15.00)))))))</f>
        <v/>
      </c>
      <c r="M1361">
        <f>LET(
    seasoning_years,DATEDIF('Loan Tape (S&amp;P)'!K1361,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61">
        <f>IF(AND('Loan Tape (S&amp;P)'!U1361="Yes",
        'Loan Tape (S&amp;P)'!T1361&lt;&gt;"Yes",
        DATEDIF('Loan Tape (S&amp;P)'!K1361, TODAY(), "M")&lt;18),
    1.10,
    1.00)</f>
        <v/>
      </c>
      <c r="O1361">
        <f>IF('Loan Tape (S&amp;P)'!T1361="Yes",
    1.35,
    1.00)</f>
        <v/>
      </c>
      <c r="P1361">
        <f>IF('Loan Tape (S&amp;P)'!S1361="Yes",
    1.15,
    1.00)</f>
        <v/>
      </c>
      <c r="Q1361">
        <f>IF('Loan Tape (S&amp;P)'!V1361="Yes",
    1.20,
    1.00)</f>
        <v/>
      </c>
      <c r="T1361">
        <f>LET(
    payment_method,'Loan Tape (S&amp;P)'!P1361,
    occupancy,'Loan Tape (S&amp;P)'!N1361,
    maturity_date,'Loan Tape (S&amp;P)'!L1361,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62">
      <c r="J1362">
        <f>LET(
    lien,'Loan Tape (S&amp;P)'!Q1362,
    IF(lien="First",1.00,
        IF(lien="Second",1.50,
            1.70)))</f>
        <v/>
      </c>
      <c r="K1362">
        <f>LET(
    purpose,'Loan Tape (S&amp;P)'!R1362,
    IF(purpose="Purchase",1.00,
        IF(purpose="Remortgage",1.00,
            1.20)))</f>
        <v/>
      </c>
      <c r="L1362">
        <f>LET(
    arrears_months,'Loan Tape (S&amp;P)'!AN1362,
    IF(arrears_months=0,1.00,
    IF(arrears_months=1,3.00,
    IF(arrears_months=2,5.00,
    IF(arrears_months=3,8.00,
    IF(arrears_months=4,10.00,
    IF(arrears_months=5,12.00,15.00)))))))</f>
        <v/>
      </c>
      <c r="M1362">
        <f>LET(
    seasoning_years,DATEDIF('Loan Tape (S&amp;P)'!K1362,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62">
        <f>IF(AND('Loan Tape (S&amp;P)'!U1362="Yes",
        'Loan Tape (S&amp;P)'!T1362&lt;&gt;"Yes",
        DATEDIF('Loan Tape (S&amp;P)'!K1362, TODAY(), "M")&lt;18),
    1.10,
    1.00)</f>
        <v/>
      </c>
      <c r="O1362">
        <f>IF('Loan Tape (S&amp;P)'!T1362="Yes",
    1.35,
    1.00)</f>
        <v/>
      </c>
      <c r="P1362">
        <f>IF('Loan Tape (S&amp;P)'!S1362="Yes",
    1.15,
    1.00)</f>
        <v/>
      </c>
      <c r="Q1362">
        <f>IF('Loan Tape (S&amp;P)'!V1362="Yes",
    1.20,
    1.00)</f>
        <v/>
      </c>
      <c r="T1362">
        <f>LET(
    payment_method,'Loan Tape (S&amp;P)'!P1362,
    occupancy,'Loan Tape (S&amp;P)'!N1362,
    maturity_date,'Loan Tape (S&amp;P)'!L1362,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63">
      <c r="J1363">
        <f>LET(
    lien,'Loan Tape (S&amp;P)'!Q1363,
    IF(lien="First",1.00,
        IF(lien="Second",1.50,
            1.70)))</f>
        <v/>
      </c>
      <c r="K1363">
        <f>LET(
    purpose,'Loan Tape (S&amp;P)'!R1363,
    IF(purpose="Purchase",1.00,
        IF(purpose="Remortgage",1.00,
            1.20)))</f>
        <v/>
      </c>
      <c r="L1363">
        <f>LET(
    arrears_months,'Loan Tape (S&amp;P)'!AN1363,
    IF(arrears_months=0,1.00,
    IF(arrears_months=1,3.00,
    IF(arrears_months=2,5.00,
    IF(arrears_months=3,8.00,
    IF(arrears_months=4,10.00,
    IF(arrears_months=5,12.00,15.00)))))))</f>
        <v/>
      </c>
      <c r="M1363">
        <f>LET(
    seasoning_years,DATEDIF('Loan Tape (S&amp;P)'!K1363,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63">
        <f>IF(AND('Loan Tape (S&amp;P)'!U1363="Yes",
        'Loan Tape (S&amp;P)'!T1363&lt;&gt;"Yes",
        DATEDIF('Loan Tape (S&amp;P)'!K1363, TODAY(), "M")&lt;18),
    1.10,
    1.00)</f>
        <v/>
      </c>
      <c r="O1363">
        <f>IF('Loan Tape (S&amp;P)'!T1363="Yes",
    1.35,
    1.00)</f>
        <v/>
      </c>
      <c r="P1363">
        <f>IF('Loan Tape (S&amp;P)'!S1363="Yes",
    1.15,
    1.00)</f>
        <v/>
      </c>
      <c r="Q1363">
        <f>IF('Loan Tape (S&amp;P)'!V1363="Yes",
    1.20,
    1.00)</f>
        <v/>
      </c>
      <c r="T1363">
        <f>LET(
    payment_method,'Loan Tape (S&amp;P)'!P1363,
    occupancy,'Loan Tape (S&amp;P)'!N1363,
    maturity_date,'Loan Tape (S&amp;P)'!L1363,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64">
      <c r="J1364">
        <f>LET(
    lien,'Loan Tape (S&amp;P)'!Q1364,
    IF(lien="First",1.00,
        IF(lien="Second",1.50,
            1.70)))</f>
        <v/>
      </c>
      <c r="K1364">
        <f>LET(
    purpose,'Loan Tape (S&amp;P)'!R1364,
    IF(purpose="Purchase",1.00,
        IF(purpose="Remortgage",1.00,
            1.20)))</f>
        <v/>
      </c>
      <c r="L1364">
        <f>LET(
    arrears_months,'Loan Tape (S&amp;P)'!AN1364,
    IF(arrears_months=0,1.00,
    IF(arrears_months=1,3.00,
    IF(arrears_months=2,5.00,
    IF(arrears_months=3,8.00,
    IF(arrears_months=4,10.00,
    IF(arrears_months=5,12.00,15.00)))))))</f>
        <v/>
      </c>
      <c r="M1364">
        <f>LET(
    seasoning_years,DATEDIF('Loan Tape (S&amp;P)'!K1364,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64">
        <f>IF(AND('Loan Tape (S&amp;P)'!U1364="Yes",
        'Loan Tape (S&amp;P)'!T1364&lt;&gt;"Yes",
        DATEDIF('Loan Tape (S&amp;P)'!K1364, TODAY(), "M")&lt;18),
    1.10,
    1.00)</f>
        <v/>
      </c>
      <c r="O1364">
        <f>IF('Loan Tape (S&amp;P)'!T1364="Yes",
    1.35,
    1.00)</f>
        <v/>
      </c>
      <c r="P1364">
        <f>IF('Loan Tape (S&amp;P)'!S1364="Yes",
    1.15,
    1.00)</f>
        <v/>
      </c>
      <c r="Q1364">
        <f>IF('Loan Tape (S&amp;P)'!V1364="Yes",
    1.20,
    1.00)</f>
        <v/>
      </c>
      <c r="T1364">
        <f>LET(
    payment_method,'Loan Tape (S&amp;P)'!P1364,
    occupancy,'Loan Tape (S&amp;P)'!N1364,
    maturity_date,'Loan Tape (S&amp;P)'!L1364,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65">
      <c r="J1365">
        <f>LET(
    lien,'Loan Tape (S&amp;P)'!Q1365,
    IF(lien="First",1.00,
        IF(lien="Second",1.50,
            1.70)))</f>
        <v/>
      </c>
      <c r="K1365">
        <f>LET(
    purpose,'Loan Tape (S&amp;P)'!R1365,
    IF(purpose="Purchase",1.00,
        IF(purpose="Remortgage",1.00,
            1.20)))</f>
        <v/>
      </c>
      <c r="L1365">
        <f>LET(
    arrears_months,'Loan Tape (S&amp;P)'!AN1365,
    IF(arrears_months=0,1.00,
    IF(arrears_months=1,3.00,
    IF(arrears_months=2,5.00,
    IF(arrears_months=3,8.00,
    IF(arrears_months=4,10.00,
    IF(arrears_months=5,12.00,15.00)))))))</f>
        <v/>
      </c>
      <c r="M1365">
        <f>LET(
    seasoning_years,DATEDIF('Loan Tape (S&amp;P)'!K1365,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65">
        <f>IF(AND('Loan Tape (S&amp;P)'!U1365="Yes",
        'Loan Tape (S&amp;P)'!T1365&lt;&gt;"Yes",
        DATEDIF('Loan Tape (S&amp;P)'!K1365, TODAY(), "M")&lt;18),
    1.10,
    1.00)</f>
        <v/>
      </c>
      <c r="O1365">
        <f>IF('Loan Tape (S&amp;P)'!T1365="Yes",
    1.35,
    1.00)</f>
        <v/>
      </c>
      <c r="P1365">
        <f>IF('Loan Tape (S&amp;P)'!S1365="Yes",
    1.15,
    1.00)</f>
        <v/>
      </c>
      <c r="Q1365">
        <f>IF('Loan Tape (S&amp;P)'!V1365="Yes",
    1.20,
    1.00)</f>
        <v/>
      </c>
      <c r="T1365">
        <f>LET(
    payment_method,'Loan Tape (S&amp;P)'!P1365,
    occupancy,'Loan Tape (S&amp;P)'!N1365,
    maturity_date,'Loan Tape (S&amp;P)'!L1365,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66">
      <c r="J1366">
        <f>LET(
    lien,'Loan Tape (S&amp;P)'!Q1366,
    IF(lien="First",1.00,
        IF(lien="Second",1.50,
            1.70)))</f>
        <v/>
      </c>
      <c r="K1366">
        <f>LET(
    purpose,'Loan Tape (S&amp;P)'!R1366,
    IF(purpose="Purchase",1.00,
        IF(purpose="Remortgage",1.00,
            1.20)))</f>
        <v/>
      </c>
      <c r="L1366">
        <f>LET(
    arrears_months,'Loan Tape (S&amp;P)'!AN1366,
    IF(arrears_months=0,1.00,
    IF(arrears_months=1,3.00,
    IF(arrears_months=2,5.00,
    IF(arrears_months=3,8.00,
    IF(arrears_months=4,10.00,
    IF(arrears_months=5,12.00,15.00)))))))</f>
        <v/>
      </c>
      <c r="M1366">
        <f>LET(
    seasoning_years,DATEDIF('Loan Tape (S&amp;P)'!K1366,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66">
        <f>IF(AND('Loan Tape (S&amp;P)'!U1366="Yes",
        'Loan Tape (S&amp;P)'!T1366&lt;&gt;"Yes",
        DATEDIF('Loan Tape (S&amp;P)'!K1366, TODAY(), "M")&lt;18),
    1.10,
    1.00)</f>
        <v/>
      </c>
      <c r="O1366">
        <f>IF('Loan Tape (S&amp;P)'!T1366="Yes",
    1.35,
    1.00)</f>
        <v/>
      </c>
      <c r="P1366">
        <f>IF('Loan Tape (S&amp;P)'!S1366="Yes",
    1.15,
    1.00)</f>
        <v/>
      </c>
      <c r="Q1366">
        <f>IF('Loan Tape (S&amp;P)'!V1366="Yes",
    1.20,
    1.00)</f>
        <v/>
      </c>
      <c r="T1366">
        <f>LET(
    payment_method,'Loan Tape (S&amp;P)'!P1366,
    occupancy,'Loan Tape (S&amp;P)'!N1366,
    maturity_date,'Loan Tape (S&amp;P)'!L1366,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67">
      <c r="J1367">
        <f>LET(
    lien,'Loan Tape (S&amp;P)'!Q1367,
    IF(lien="First",1.00,
        IF(lien="Second",1.50,
            1.70)))</f>
        <v/>
      </c>
      <c r="K1367">
        <f>LET(
    purpose,'Loan Tape (S&amp;P)'!R1367,
    IF(purpose="Purchase",1.00,
        IF(purpose="Remortgage",1.00,
            1.20)))</f>
        <v/>
      </c>
      <c r="L1367">
        <f>LET(
    arrears_months,'Loan Tape (S&amp;P)'!AN1367,
    IF(arrears_months=0,1.00,
    IF(arrears_months=1,3.00,
    IF(arrears_months=2,5.00,
    IF(arrears_months=3,8.00,
    IF(arrears_months=4,10.00,
    IF(arrears_months=5,12.00,15.00)))))))</f>
        <v/>
      </c>
      <c r="M1367">
        <f>LET(
    seasoning_years,DATEDIF('Loan Tape (S&amp;P)'!K1367,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67">
        <f>IF(AND('Loan Tape (S&amp;P)'!U1367="Yes",
        'Loan Tape (S&amp;P)'!T1367&lt;&gt;"Yes",
        DATEDIF('Loan Tape (S&amp;P)'!K1367, TODAY(), "M")&lt;18),
    1.10,
    1.00)</f>
        <v/>
      </c>
      <c r="O1367">
        <f>IF('Loan Tape (S&amp;P)'!T1367="Yes",
    1.35,
    1.00)</f>
        <v/>
      </c>
      <c r="P1367">
        <f>IF('Loan Tape (S&amp;P)'!S1367="Yes",
    1.15,
    1.00)</f>
        <v/>
      </c>
      <c r="Q1367">
        <f>IF('Loan Tape (S&amp;P)'!V1367="Yes",
    1.20,
    1.00)</f>
        <v/>
      </c>
      <c r="T1367">
        <f>LET(
    payment_method,'Loan Tape (S&amp;P)'!P1367,
    occupancy,'Loan Tape (S&amp;P)'!N1367,
    maturity_date,'Loan Tape (S&amp;P)'!L1367,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68">
      <c r="J1368">
        <f>LET(
    lien,'Loan Tape (S&amp;P)'!Q1368,
    IF(lien="First",1.00,
        IF(lien="Second",1.50,
            1.70)))</f>
        <v/>
      </c>
      <c r="K1368">
        <f>LET(
    purpose,'Loan Tape (S&amp;P)'!R1368,
    IF(purpose="Purchase",1.00,
        IF(purpose="Remortgage",1.00,
            1.20)))</f>
        <v/>
      </c>
      <c r="L1368">
        <f>LET(
    arrears_months,'Loan Tape (S&amp;P)'!AN1368,
    IF(arrears_months=0,1.00,
    IF(arrears_months=1,3.00,
    IF(arrears_months=2,5.00,
    IF(arrears_months=3,8.00,
    IF(arrears_months=4,10.00,
    IF(arrears_months=5,12.00,15.00)))))))</f>
        <v/>
      </c>
      <c r="M1368">
        <f>LET(
    seasoning_years,DATEDIF('Loan Tape (S&amp;P)'!K1368,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68">
        <f>IF(AND('Loan Tape (S&amp;P)'!U1368="Yes",
        'Loan Tape (S&amp;P)'!T1368&lt;&gt;"Yes",
        DATEDIF('Loan Tape (S&amp;P)'!K1368, TODAY(), "M")&lt;18),
    1.10,
    1.00)</f>
        <v/>
      </c>
      <c r="O1368">
        <f>IF('Loan Tape (S&amp;P)'!T1368="Yes",
    1.35,
    1.00)</f>
        <v/>
      </c>
      <c r="P1368">
        <f>IF('Loan Tape (S&amp;P)'!S1368="Yes",
    1.15,
    1.00)</f>
        <v/>
      </c>
      <c r="Q1368">
        <f>IF('Loan Tape (S&amp;P)'!V1368="Yes",
    1.20,
    1.00)</f>
        <v/>
      </c>
      <c r="T1368">
        <f>LET(
    payment_method,'Loan Tape (S&amp;P)'!P1368,
    occupancy,'Loan Tape (S&amp;P)'!N1368,
    maturity_date,'Loan Tape (S&amp;P)'!L1368,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69">
      <c r="J1369">
        <f>LET(
    lien,'Loan Tape (S&amp;P)'!Q1369,
    IF(lien="First",1.00,
        IF(lien="Second",1.50,
            1.70)))</f>
        <v/>
      </c>
      <c r="K1369">
        <f>LET(
    purpose,'Loan Tape (S&amp;P)'!R1369,
    IF(purpose="Purchase",1.00,
        IF(purpose="Remortgage",1.00,
            1.20)))</f>
        <v/>
      </c>
      <c r="L1369">
        <f>LET(
    arrears_months,'Loan Tape (S&amp;P)'!AN1369,
    IF(arrears_months=0,1.00,
    IF(arrears_months=1,3.00,
    IF(arrears_months=2,5.00,
    IF(arrears_months=3,8.00,
    IF(arrears_months=4,10.00,
    IF(arrears_months=5,12.00,15.00)))))))</f>
        <v/>
      </c>
      <c r="M1369">
        <f>LET(
    seasoning_years,DATEDIF('Loan Tape (S&amp;P)'!K1369,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69">
        <f>IF(AND('Loan Tape (S&amp;P)'!U1369="Yes",
        'Loan Tape (S&amp;P)'!T1369&lt;&gt;"Yes",
        DATEDIF('Loan Tape (S&amp;P)'!K1369, TODAY(), "M")&lt;18),
    1.10,
    1.00)</f>
        <v/>
      </c>
      <c r="O1369">
        <f>IF('Loan Tape (S&amp;P)'!T1369="Yes",
    1.35,
    1.00)</f>
        <v/>
      </c>
      <c r="P1369">
        <f>IF('Loan Tape (S&amp;P)'!S1369="Yes",
    1.15,
    1.00)</f>
        <v/>
      </c>
      <c r="Q1369">
        <f>IF('Loan Tape (S&amp;P)'!V1369="Yes",
    1.20,
    1.00)</f>
        <v/>
      </c>
      <c r="T1369">
        <f>LET(
    payment_method,'Loan Tape (S&amp;P)'!P1369,
    occupancy,'Loan Tape (S&amp;P)'!N1369,
    maturity_date,'Loan Tape (S&amp;P)'!L1369,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70">
      <c r="J1370">
        <f>LET(
    lien,'Loan Tape (S&amp;P)'!Q1370,
    IF(lien="First",1.00,
        IF(lien="Second",1.50,
            1.70)))</f>
        <v/>
      </c>
      <c r="K1370">
        <f>LET(
    purpose,'Loan Tape (S&amp;P)'!R1370,
    IF(purpose="Purchase",1.00,
        IF(purpose="Remortgage",1.00,
            1.20)))</f>
        <v/>
      </c>
      <c r="L1370">
        <f>LET(
    arrears_months,'Loan Tape (S&amp;P)'!AN1370,
    IF(arrears_months=0,1.00,
    IF(arrears_months=1,3.00,
    IF(arrears_months=2,5.00,
    IF(arrears_months=3,8.00,
    IF(arrears_months=4,10.00,
    IF(arrears_months=5,12.00,15.00)))))))</f>
        <v/>
      </c>
      <c r="M1370">
        <f>LET(
    seasoning_years,DATEDIF('Loan Tape (S&amp;P)'!K1370,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70">
        <f>IF(AND('Loan Tape (S&amp;P)'!U1370="Yes",
        'Loan Tape (S&amp;P)'!T1370&lt;&gt;"Yes",
        DATEDIF('Loan Tape (S&amp;P)'!K1370, TODAY(), "M")&lt;18),
    1.10,
    1.00)</f>
        <v/>
      </c>
      <c r="O1370">
        <f>IF('Loan Tape (S&amp;P)'!T1370="Yes",
    1.35,
    1.00)</f>
        <v/>
      </c>
      <c r="P1370">
        <f>IF('Loan Tape (S&amp;P)'!S1370="Yes",
    1.15,
    1.00)</f>
        <v/>
      </c>
      <c r="Q1370">
        <f>IF('Loan Tape (S&amp;P)'!V1370="Yes",
    1.20,
    1.00)</f>
        <v/>
      </c>
      <c r="T1370">
        <f>LET(
    payment_method,'Loan Tape (S&amp;P)'!P1370,
    occupancy,'Loan Tape (S&amp;P)'!N1370,
    maturity_date,'Loan Tape (S&amp;P)'!L1370,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71">
      <c r="J1371">
        <f>LET(
    lien,'Loan Tape (S&amp;P)'!Q1371,
    IF(lien="First",1.00,
        IF(lien="Second",1.50,
            1.70)))</f>
        <v/>
      </c>
      <c r="K1371">
        <f>LET(
    purpose,'Loan Tape (S&amp;P)'!R1371,
    IF(purpose="Purchase",1.00,
        IF(purpose="Remortgage",1.00,
            1.20)))</f>
        <v/>
      </c>
      <c r="L1371">
        <f>LET(
    arrears_months,'Loan Tape (S&amp;P)'!AN1371,
    IF(arrears_months=0,1.00,
    IF(arrears_months=1,3.00,
    IF(arrears_months=2,5.00,
    IF(arrears_months=3,8.00,
    IF(arrears_months=4,10.00,
    IF(arrears_months=5,12.00,15.00)))))))</f>
        <v/>
      </c>
      <c r="M1371">
        <f>LET(
    seasoning_years,DATEDIF('Loan Tape (S&amp;P)'!K1371,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71">
        <f>IF(AND('Loan Tape (S&amp;P)'!U1371="Yes",
        'Loan Tape (S&amp;P)'!T1371&lt;&gt;"Yes",
        DATEDIF('Loan Tape (S&amp;P)'!K1371, TODAY(), "M")&lt;18),
    1.10,
    1.00)</f>
        <v/>
      </c>
      <c r="O1371">
        <f>IF('Loan Tape (S&amp;P)'!T1371="Yes",
    1.35,
    1.00)</f>
        <v/>
      </c>
      <c r="P1371">
        <f>IF('Loan Tape (S&amp;P)'!S1371="Yes",
    1.15,
    1.00)</f>
        <v/>
      </c>
      <c r="Q1371">
        <f>IF('Loan Tape (S&amp;P)'!V1371="Yes",
    1.20,
    1.00)</f>
        <v/>
      </c>
      <c r="T1371">
        <f>LET(
    payment_method,'Loan Tape (S&amp;P)'!P1371,
    occupancy,'Loan Tape (S&amp;P)'!N1371,
    maturity_date,'Loan Tape (S&amp;P)'!L1371,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72">
      <c r="J1372">
        <f>LET(
    lien,'Loan Tape (S&amp;P)'!Q1372,
    IF(lien="First",1.00,
        IF(lien="Second",1.50,
            1.70)))</f>
        <v/>
      </c>
      <c r="K1372">
        <f>LET(
    purpose,'Loan Tape (S&amp;P)'!R1372,
    IF(purpose="Purchase",1.00,
        IF(purpose="Remortgage",1.00,
            1.20)))</f>
        <v/>
      </c>
      <c r="L1372">
        <f>LET(
    arrears_months,'Loan Tape (S&amp;P)'!AN1372,
    IF(arrears_months=0,1.00,
    IF(arrears_months=1,3.00,
    IF(arrears_months=2,5.00,
    IF(arrears_months=3,8.00,
    IF(arrears_months=4,10.00,
    IF(arrears_months=5,12.00,15.00)))))))</f>
        <v/>
      </c>
      <c r="M1372">
        <f>LET(
    seasoning_years,DATEDIF('Loan Tape (S&amp;P)'!K1372,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72">
        <f>IF(AND('Loan Tape (S&amp;P)'!U1372="Yes",
        'Loan Tape (S&amp;P)'!T1372&lt;&gt;"Yes",
        DATEDIF('Loan Tape (S&amp;P)'!K1372, TODAY(), "M")&lt;18),
    1.10,
    1.00)</f>
        <v/>
      </c>
      <c r="O1372">
        <f>IF('Loan Tape (S&amp;P)'!T1372="Yes",
    1.35,
    1.00)</f>
        <v/>
      </c>
      <c r="P1372">
        <f>IF('Loan Tape (S&amp;P)'!S1372="Yes",
    1.15,
    1.00)</f>
        <v/>
      </c>
      <c r="Q1372">
        <f>IF('Loan Tape (S&amp;P)'!V1372="Yes",
    1.20,
    1.00)</f>
        <v/>
      </c>
      <c r="T1372">
        <f>LET(
    payment_method,'Loan Tape (S&amp;P)'!P1372,
    occupancy,'Loan Tape (S&amp;P)'!N1372,
    maturity_date,'Loan Tape (S&amp;P)'!L1372,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73">
      <c r="J1373">
        <f>LET(
    lien,'Loan Tape (S&amp;P)'!Q1373,
    IF(lien="First",1.00,
        IF(lien="Second",1.50,
            1.70)))</f>
        <v/>
      </c>
      <c r="K1373">
        <f>LET(
    purpose,'Loan Tape (S&amp;P)'!R1373,
    IF(purpose="Purchase",1.00,
        IF(purpose="Remortgage",1.00,
            1.20)))</f>
        <v/>
      </c>
      <c r="L1373">
        <f>LET(
    arrears_months,'Loan Tape (S&amp;P)'!AN1373,
    IF(arrears_months=0,1.00,
    IF(arrears_months=1,3.00,
    IF(arrears_months=2,5.00,
    IF(arrears_months=3,8.00,
    IF(arrears_months=4,10.00,
    IF(arrears_months=5,12.00,15.00)))))))</f>
        <v/>
      </c>
      <c r="M1373">
        <f>LET(
    seasoning_years,DATEDIF('Loan Tape (S&amp;P)'!K1373,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73">
        <f>IF(AND('Loan Tape (S&amp;P)'!U1373="Yes",
        'Loan Tape (S&amp;P)'!T1373&lt;&gt;"Yes",
        DATEDIF('Loan Tape (S&amp;P)'!K1373, TODAY(), "M")&lt;18),
    1.10,
    1.00)</f>
        <v/>
      </c>
      <c r="O1373">
        <f>IF('Loan Tape (S&amp;P)'!T1373="Yes",
    1.35,
    1.00)</f>
        <v/>
      </c>
      <c r="P1373">
        <f>IF('Loan Tape (S&amp;P)'!S1373="Yes",
    1.15,
    1.00)</f>
        <v/>
      </c>
      <c r="Q1373">
        <f>IF('Loan Tape (S&amp;P)'!V1373="Yes",
    1.20,
    1.00)</f>
        <v/>
      </c>
      <c r="T1373">
        <f>LET(
    payment_method,'Loan Tape (S&amp;P)'!P1373,
    occupancy,'Loan Tape (S&amp;P)'!N1373,
    maturity_date,'Loan Tape (S&amp;P)'!L1373,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74">
      <c r="J1374">
        <f>LET(
    lien,'Loan Tape (S&amp;P)'!Q1374,
    IF(lien="First",1.00,
        IF(lien="Second",1.50,
            1.70)))</f>
        <v/>
      </c>
      <c r="K1374">
        <f>LET(
    purpose,'Loan Tape (S&amp;P)'!R1374,
    IF(purpose="Purchase",1.00,
        IF(purpose="Remortgage",1.00,
            1.20)))</f>
        <v/>
      </c>
      <c r="L1374">
        <f>LET(
    arrears_months,'Loan Tape (S&amp;P)'!AN1374,
    IF(arrears_months=0,1.00,
    IF(arrears_months=1,3.00,
    IF(arrears_months=2,5.00,
    IF(arrears_months=3,8.00,
    IF(arrears_months=4,10.00,
    IF(arrears_months=5,12.00,15.00)))))))</f>
        <v/>
      </c>
      <c r="M1374">
        <f>LET(
    seasoning_years,DATEDIF('Loan Tape (S&amp;P)'!K1374,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74">
        <f>IF(AND('Loan Tape (S&amp;P)'!U1374="Yes",
        'Loan Tape (S&amp;P)'!T1374&lt;&gt;"Yes",
        DATEDIF('Loan Tape (S&amp;P)'!K1374, TODAY(), "M")&lt;18),
    1.10,
    1.00)</f>
        <v/>
      </c>
      <c r="O1374">
        <f>IF('Loan Tape (S&amp;P)'!T1374="Yes",
    1.35,
    1.00)</f>
        <v/>
      </c>
      <c r="P1374">
        <f>IF('Loan Tape (S&amp;P)'!S1374="Yes",
    1.15,
    1.00)</f>
        <v/>
      </c>
      <c r="Q1374">
        <f>IF('Loan Tape (S&amp;P)'!V1374="Yes",
    1.20,
    1.00)</f>
        <v/>
      </c>
      <c r="T1374">
        <f>LET(
    payment_method,'Loan Tape (S&amp;P)'!P1374,
    occupancy,'Loan Tape (S&amp;P)'!N1374,
    maturity_date,'Loan Tape (S&amp;P)'!L1374,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75">
      <c r="J1375">
        <f>LET(
    lien,'Loan Tape (S&amp;P)'!Q1375,
    IF(lien="First",1.00,
        IF(lien="Second",1.50,
            1.70)))</f>
        <v/>
      </c>
      <c r="K1375">
        <f>LET(
    purpose,'Loan Tape (S&amp;P)'!R1375,
    IF(purpose="Purchase",1.00,
        IF(purpose="Remortgage",1.00,
            1.20)))</f>
        <v/>
      </c>
      <c r="L1375">
        <f>LET(
    arrears_months,'Loan Tape (S&amp;P)'!AN1375,
    IF(arrears_months=0,1.00,
    IF(arrears_months=1,3.00,
    IF(arrears_months=2,5.00,
    IF(arrears_months=3,8.00,
    IF(arrears_months=4,10.00,
    IF(arrears_months=5,12.00,15.00)))))))</f>
        <v/>
      </c>
      <c r="M1375">
        <f>LET(
    seasoning_years,DATEDIF('Loan Tape (S&amp;P)'!K1375,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75">
        <f>IF(AND('Loan Tape (S&amp;P)'!U1375="Yes",
        'Loan Tape (S&amp;P)'!T1375&lt;&gt;"Yes",
        DATEDIF('Loan Tape (S&amp;P)'!K1375, TODAY(), "M")&lt;18),
    1.10,
    1.00)</f>
        <v/>
      </c>
      <c r="O1375">
        <f>IF('Loan Tape (S&amp;P)'!T1375="Yes",
    1.35,
    1.00)</f>
        <v/>
      </c>
      <c r="P1375">
        <f>IF('Loan Tape (S&amp;P)'!S1375="Yes",
    1.15,
    1.00)</f>
        <v/>
      </c>
      <c r="Q1375">
        <f>IF('Loan Tape (S&amp;P)'!V1375="Yes",
    1.20,
    1.00)</f>
        <v/>
      </c>
      <c r="T1375">
        <f>LET(
    payment_method,'Loan Tape (S&amp;P)'!P1375,
    occupancy,'Loan Tape (S&amp;P)'!N1375,
    maturity_date,'Loan Tape (S&amp;P)'!L1375,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76">
      <c r="J1376">
        <f>LET(
    lien,'Loan Tape (S&amp;P)'!Q1376,
    IF(lien="First",1.00,
        IF(lien="Second",1.50,
            1.70)))</f>
        <v/>
      </c>
      <c r="K1376">
        <f>LET(
    purpose,'Loan Tape (S&amp;P)'!R1376,
    IF(purpose="Purchase",1.00,
        IF(purpose="Remortgage",1.00,
            1.20)))</f>
        <v/>
      </c>
      <c r="L1376">
        <f>LET(
    arrears_months,'Loan Tape (S&amp;P)'!AN1376,
    IF(arrears_months=0,1.00,
    IF(arrears_months=1,3.00,
    IF(arrears_months=2,5.00,
    IF(arrears_months=3,8.00,
    IF(arrears_months=4,10.00,
    IF(arrears_months=5,12.00,15.00)))))))</f>
        <v/>
      </c>
      <c r="M1376">
        <f>LET(
    seasoning_years,DATEDIF('Loan Tape (S&amp;P)'!K1376,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76">
        <f>IF(AND('Loan Tape (S&amp;P)'!U1376="Yes",
        'Loan Tape (S&amp;P)'!T1376&lt;&gt;"Yes",
        DATEDIF('Loan Tape (S&amp;P)'!K1376, TODAY(), "M")&lt;18),
    1.10,
    1.00)</f>
        <v/>
      </c>
      <c r="O1376">
        <f>IF('Loan Tape (S&amp;P)'!T1376="Yes",
    1.35,
    1.00)</f>
        <v/>
      </c>
      <c r="P1376">
        <f>IF('Loan Tape (S&amp;P)'!S1376="Yes",
    1.15,
    1.00)</f>
        <v/>
      </c>
      <c r="Q1376">
        <f>IF('Loan Tape (S&amp;P)'!V1376="Yes",
    1.20,
    1.00)</f>
        <v/>
      </c>
      <c r="T1376">
        <f>LET(
    payment_method,'Loan Tape (S&amp;P)'!P1376,
    occupancy,'Loan Tape (S&amp;P)'!N1376,
    maturity_date,'Loan Tape (S&amp;P)'!L1376,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77">
      <c r="J1377">
        <f>LET(
    lien,'Loan Tape (S&amp;P)'!Q1377,
    IF(lien="First",1.00,
        IF(lien="Second",1.50,
            1.70)))</f>
        <v/>
      </c>
      <c r="K1377">
        <f>LET(
    purpose,'Loan Tape (S&amp;P)'!R1377,
    IF(purpose="Purchase",1.00,
        IF(purpose="Remortgage",1.00,
            1.20)))</f>
        <v/>
      </c>
      <c r="L1377">
        <f>LET(
    arrears_months,'Loan Tape (S&amp;P)'!AN1377,
    IF(arrears_months=0,1.00,
    IF(arrears_months=1,3.00,
    IF(arrears_months=2,5.00,
    IF(arrears_months=3,8.00,
    IF(arrears_months=4,10.00,
    IF(arrears_months=5,12.00,15.00)))))))</f>
        <v/>
      </c>
      <c r="M1377">
        <f>LET(
    seasoning_years,DATEDIF('Loan Tape (S&amp;P)'!K1377,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77">
        <f>IF(AND('Loan Tape (S&amp;P)'!U1377="Yes",
        'Loan Tape (S&amp;P)'!T1377&lt;&gt;"Yes",
        DATEDIF('Loan Tape (S&amp;P)'!K1377, TODAY(), "M")&lt;18),
    1.10,
    1.00)</f>
        <v/>
      </c>
      <c r="O1377">
        <f>IF('Loan Tape (S&amp;P)'!T1377="Yes",
    1.35,
    1.00)</f>
        <v/>
      </c>
      <c r="P1377">
        <f>IF('Loan Tape (S&amp;P)'!S1377="Yes",
    1.15,
    1.00)</f>
        <v/>
      </c>
      <c r="Q1377">
        <f>IF('Loan Tape (S&amp;P)'!V1377="Yes",
    1.20,
    1.00)</f>
        <v/>
      </c>
      <c r="T1377">
        <f>LET(
    payment_method,'Loan Tape (S&amp;P)'!P1377,
    occupancy,'Loan Tape (S&amp;P)'!N1377,
    maturity_date,'Loan Tape (S&amp;P)'!L1377,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78">
      <c r="J1378">
        <f>LET(
    lien,'Loan Tape (S&amp;P)'!Q1378,
    IF(lien="First",1.00,
        IF(lien="Second",1.50,
            1.70)))</f>
        <v/>
      </c>
      <c r="K1378">
        <f>LET(
    purpose,'Loan Tape (S&amp;P)'!R1378,
    IF(purpose="Purchase",1.00,
        IF(purpose="Remortgage",1.00,
            1.20)))</f>
        <v/>
      </c>
      <c r="L1378">
        <f>LET(
    arrears_months,'Loan Tape (S&amp;P)'!AN1378,
    IF(arrears_months=0,1.00,
    IF(arrears_months=1,3.00,
    IF(arrears_months=2,5.00,
    IF(arrears_months=3,8.00,
    IF(arrears_months=4,10.00,
    IF(arrears_months=5,12.00,15.00)))))))</f>
        <v/>
      </c>
      <c r="M1378">
        <f>LET(
    seasoning_years,DATEDIF('Loan Tape (S&amp;P)'!K1378,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78">
        <f>IF(AND('Loan Tape (S&amp;P)'!U1378="Yes",
        'Loan Tape (S&amp;P)'!T1378&lt;&gt;"Yes",
        DATEDIF('Loan Tape (S&amp;P)'!K1378, TODAY(), "M")&lt;18),
    1.10,
    1.00)</f>
        <v/>
      </c>
      <c r="O1378">
        <f>IF('Loan Tape (S&amp;P)'!T1378="Yes",
    1.35,
    1.00)</f>
        <v/>
      </c>
      <c r="P1378">
        <f>IF('Loan Tape (S&amp;P)'!S1378="Yes",
    1.15,
    1.00)</f>
        <v/>
      </c>
      <c r="Q1378">
        <f>IF('Loan Tape (S&amp;P)'!V1378="Yes",
    1.20,
    1.00)</f>
        <v/>
      </c>
      <c r="T1378">
        <f>LET(
    payment_method,'Loan Tape (S&amp;P)'!P1378,
    occupancy,'Loan Tape (S&amp;P)'!N1378,
    maturity_date,'Loan Tape (S&amp;P)'!L1378,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79">
      <c r="J1379">
        <f>LET(
    lien,'Loan Tape (S&amp;P)'!Q1379,
    IF(lien="First",1.00,
        IF(lien="Second",1.50,
            1.70)))</f>
        <v/>
      </c>
      <c r="K1379">
        <f>LET(
    purpose,'Loan Tape (S&amp;P)'!R1379,
    IF(purpose="Purchase",1.00,
        IF(purpose="Remortgage",1.00,
            1.20)))</f>
        <v/>
      </c>
      <c r="L1379">
        <f>LET(
    arrears_months,'Loan Tape (S&amp;P)'!AN1379,
    IF(arrears_months=0,1.00,
    IF(arrears_months=1,3.00,
    IF(arrears_months=2,5.00,
    IF(arrears_months=3,8.00,
    IF(arrears_months=4,10.00,
    IF(arrears_months=5,12.00,15.00)))))))</f>
        <v/>
      </c>
      <c r="M1379">
        <f>LET(
    seasoning_years,DATEDIF('Loan Tape (S&amp;P)'!K1379,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79">
        <f>IF(AND('Loan Tape (S&amp;P)'!U1379="Yes",
        'Loan Tape (S&amp;P)'!T1379&lt;&gt;"Yes",
        DATEDIF('Loan Tape (S&amp;P)'!K1379, TODAY(), "M")&lt;18),
    1.10,
    1.00)</f>
        <v/>
      </c>
      <c r="O1379">
        <f>IF('Loan Tape (S&amp;P)'!T1379="Yes",
    1.35,
    1.00)</f>
        <v/>
      </c>
      <c r="P1379">
        <f>IF('Loan Tape (S&amp;P)'!S1379="Yes",
    1.15,
    1.00)</f>
        <v/>
      </c>
      <c r="Q1379">
        <f>IF('Loan Tape (S&amp;P)'!V1379="Yes",
    1.20,
    1.00)</f>
        <v/>
      </c>
      <c r="T1379">
        <f>LET(
    payment_method,'Loan Tape (S&amp;P)'!P1379,
    occupancy,'Loan Tape (S&amp;P)'!N1379,
    maturity_date,'Loan Tape (S&amp;P)'!L1379,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80">
      <c r="J1380">
        <f>LET(
    lien,'Loan Tape (S&amp;P)'!Q1380,
    IF(lien="First",1.00,
        IF(lien="Second",1.50,
            1.70)))</f>
        <v/>
      </c>
      <c r="K1380">
        <f>LET(
    purpose,'Loan Tape (S&amp;P)'!R1380,
    IF(purpose="Purchase",1.00,
        IF(purpose="Remortgage",1.00,
            1.20)))</f>
        <v/>
      </c>
      <c r="L1380">
        <f>LET(
    arrears_months,'Loan Tape (S&amp;P)'!AN1380,
    IF(arrears_months=0,1.00,
    IF(arrears_months=1,3.00,
    IF(arrears_months=2,5.00,
    IF(arrears_months=3,8.00,
    IF(arrears_months=4,10.00,
    IF(arrears_months=5,12.00,15.00)))))))</f>
        <v/>
      </c>
      <c r="M1380">
        <f>LET(
    seasoning_years,DATEDIF('Loan Tape (S&amp;P)'!K1380,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80">
        <f>IF(AND('Loan Tape (S&amp;P)'!U1380="Yes",
        'Loan Tape (S&amp;P)'!T1380&lt;&gt;"Yes",
        DATEDIF('Loan Tape (S&amp;P)'!K1380, TODAY(), "M")&lt;18),
    1.10,
    1.00)</f>
        <v/>
      </c>
      <c r="O1380">
        <f>IF('Loan Tape (S&amp;P)'!T1380="Yes",
    1.35,
    1.00)</f>
        <v/>
      </c>
      <c r="P1380">
        <f>IF('Loan Tape (S&amp;P)'!S1380="Yes",
    1.15,
    1.00)</f>
        <v/>
      </c>
      <c r="Q1380">
        <f>IF('Loan Tape (S&amp;P)'!V1380="Yes",
    1.20,
    1.00)</f>
        <v/>
      </c>
      <c r="T1380">
        <f>LET(
    payment_method,'Loan Tape (S&amp;P)'!P1380,
    occupancy,'Loan Tape (S&amp;P)'!N1380,
    maturity_date,'Loan Tape (S&amp;P)'!L1380,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81">
      <c r="J1381">
        <f>LET(
    lien,'Loan Tape (S&amp;P)'!Q1381,
    IF(lien="First",1.00,
        IF(lien="Second",1.50,
            1.70)))</f>
        <v/>
      </c>
      <c r="K1381">
        <f>LET(
    purpose,'Loan Tape (S&amp;P)'!R1381,
    IF(purpose="Purchase",1.00,
        IF(purpose="Remortgage",1.00,
            1.20)))</f>
        <v/>
      </c>
      <c r="L1381">
        <f>LET(
    arrears_months,'Loan Tape (S&amp;P)'!AN1381,
    IF(arrears_months=0,1.00,
    IF(arrears_months=1,3.00,
    IF(arrears_months=2,5.00,
    IF(arrears_months=3,8.00,
    IF(arrears_months=4,10.00,
    IF(arrears_months=5,12.00,15.00)))))))</f>
        <v/>
      </c>
      <c r="M1381">
        <f>LET(
    seasoning_years,DATEDIF('Loan Tape (S&amp;P)'!K1381,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81">
        <f>IF(AND('Loan Tape (S&amp;P)'!U1381="Yes",
        'Loan Tape (S&amp;P)'!T1381&lt;&gt;"Yes",
        DATEDIF('Loan Tape (S&amp;P)'!K1381, TODAY(), "M")&lt;18),
    1.10,
    1.00)</f>
        <v/>
      </c>
      <c r="O1381">
        <f>IF('Loan Tape (S&amp;P)'!T1381="Yes",
    1.35,
    1.00)</f>
        <v/>
      </c>
      <c r="P1381">
        <f>IF('Loan Tape (S&amp;P)'!S1381="Yes",
    1.15,
    1.00)</f>
        <v/>
      </c>
      <c r="Q1381">
        <f>IF('Loan Tape (S&amp;P)'!V1381="Yes",
    1.20,
    1.00)</f>
        <v/>
      </c>
      <c r="T1381">
        <f>LET(
    payment_method,'Loan Tape (S&amp;P)'!P1381,
    occupancy,'Loan Tape (S&amp;P)'!N1381,
    maturity_date,'Loan Tape (S&amp;P)'!L1381,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82">
      <c r="J1382">
        <f>LET(
    lien,'Loan Tape (S&amp;P)'!Q1382,
    IF(lien="First",1.00,
        IF(lien="Second",1.50,
            1.70)))</f>
        <v/>
      </c>
      <c r="K1382">
        <f>LET(
    purpose,'Loan Tape (S&amp;P)'!R1382,
    IF(purpose="Purchase",1.00,
        IF(purpose="Remortgage",1.00,
            1.20)))</f>
        <v/>
      </c>
      <c r="L1382">
        <f>LET(
    arrears_months,'Loan Tape (S&amp;P)'!AN1382,
    IF(arrears_months=0,1.00,
    IF(arrears_months=1,3.00,
    IF(arrears_months=2,5.00,
    IF(arrears_months=3,8.00,
    IF(arrears_months=4,10.00,
    IF(arrears_months=5,12.00,15.00)))))))</f>
        <v/>
      </c>
      <c r="M1382">
        <f>LET(
    seasoning_years,DATEDIF('Loan Tape (S&amp;P)'!K1382,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82">
        <f>IF(AND('Loan Tape (S&amp;P)'!U1382="Yes",
        'Loan Tape (S&amp;P)'!T1382&lt;&gt;"Yes",
        DATEDIF('Loan Tape (S&amp;P)'!K1382, TODAY(), "M")&lt;18),
    1.10,
    1.00)</f>
        <v/>
      </c>
      <c r="O1382">
        <f>IF('Loan Tape (S&amp;P)'!T1382="Yes",
    1.35,
    1.00)</f>
        <v/>
      </c>
      <c r="P1382">
        <f>IF('Loan Tape (S&amp;P)'!S1382="Yes",
    1.15,
    1.00)</f>
        <v/>
      </c>
      <c r="Q1382">
        <f>IF('Loan Tape (S&amp;P)'!V1382="Yes",
    1.20,
    1.00)</f>
        <v/>
      </c>
      <c r="T1382">
        <f>LET(
    payment_method,'Loan Tape (S&amp;P)'!P1382,
    occupancy,'Loan Tape (S&amp;P)'!N1382,
    maturity_date,'Loan Tape (S&amp;P)'!L1382,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83">
      <c r="J1383">
        <f>LET(
    lien,'Loan Tape (S&amp;P)'!Q1383,
    IF(lien="First",1.00,
        IF(lien="Second",1.50,
            1.70)))</f>
        <v/>
      </c>
      <c r="K1383">
        <f>LET(
    purpose,'Loan Tape (S&amp;P)'!R1383,
    IF(purpose="Purchase",1.00,
        IF(purpose="Remortgage",1.00,
            1.20)))</f>
        <v/>
      </c>
      <c r="L1383">
        <f>LET(
    arrears_months,'Loan Tape (S&amp;P)'!AN1383,
    IF(arrears_months=0,1.00,
    IF(arrears_months=1,3.00,
    IF(arrears_months=2,5.00,
    IF(arrears_months=3,8.00,
    IF(arrears_months=4,10.00,
    IF(arrears_months=5,12.00,15.00)))))))</f>
        <v/>
      </c>
      <c r="M1383">
        <f>LET(
    seasoning_years,DATEDIF('Loan Tape (S&amp;P)'!K1383,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83">
        <f>IF(AND('Loan Tape (S&amp;P)'!U1383="Yes",
        'Loan Tape (S&amp;P)'!T1383&lt;&gt;"Yes",
        DATEDIF('Loan Tape (S&amp;P)'!K1383, TODAY(), "M")&lt;18),
    1.10,
    1.00)</f>
        <v/>
      </c>
      <c r="O1383">
        <f>IF('Loan Tape (S&amp;P)'!T1383="Yes",
    1.35,
    1.00)</f>
        <v/>
      </c>
      <c r="P1383">
        <f>IF('Loan Tape (S&amp;P)'!S1383="Yes",
    1.15,
    1.00)</f>
        <v/>
      </c>
      <c r="Q1383">
        <f>IF('Loan Tape (S&amp;P)'!V1383="Yes",
    1.20,
    1.00)</f>
        <v/>
      </c>
      <c r="T1383">
        <f>LET(
    payment_method,'Loan Tape (S&amp;P)'!P1383,
    occupancy,'Loan Tape (S&amp;P)'!N1383,
    maturity_date,'Loan Tape (S&amp;P)'!L1383,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84">
      <c r="J1384">
        <f>LET(
    lien,'Loan Tape (S&amp;P)'!Q1384,
    IF(lien="First",1.00,
        IF(lien="Second",1.50,
            1.70)))</f>
        <v/>
      </c>
      <c r="K1384">
        <f>LET(
    purpose,'Loan Tape (S&amp;P)'!R1384,
    IF(purpose="Purchase",1.00,
        IF(purpose="Remortgage",1.00,
            1.20)))</f>
        <v/>
      </c>
      <c r="L1384">
        <f>LET(
    arrears_months,'Loan Tape (S&amp;P)'!AN1384,
    IF(arrears_months=0,1.00,
    IF(arrears_months=1,3.00,
    IF(arrears_months=2,5.00,
    IF(arrears_months=3,8.00,
    IF(arrears_months=4,10.00,
    IF(arrears_months=5,12.00,15.00)))))))</f>
        <v/>
      </c>
      <c r="M1384">
        <f>LET(
    seasoning_years,DATEDIF('Loan Tape (S&amp;P)'!K1384,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84">
        <f>IF(AND('Loan Tape (S&amp;P)'!U1384="Yes",
        'Loan Tape (S&amp;P)'!T1384&lt;&gt;"Yes",
        DATEDIF('Loan Tape (S&amp;P)'!K1384, TODAY(), "M")&lt;18),
    1.10,
    1.00)</f>
        <v/>
      </c>
      <c r="O1384">
        <f>IF('Loan Tape (S&amp;P)'!T1384="Yes",
    1.35,
    1.00)</f>
        <v/>
      </c>
      <c r="P1384">
        <f>IF('Loan Tape (S&amp;P)'!S1384="Yes",
    1.15,
    1.00)</f>
        <v/>
      </c>
      <c r="Q1384">
        <f>IF('Loan Tape (S&amp;P)'!V1384="Yes",
    1.20,
    1.00)</f>
        <v/>
      </c>
      <c r="T1384">
        <f>LET(
    payment_method,'Loan Tape (S&amp;P)'!P1384,
    occupancy,'Loan Tape (S&amp;P)'!N1384,
    maturity_date,'Loan Tape (S&amp;P)'!L1384,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85">
      <c r="J1385">
        <f>LET(
    lien,'Loan Tape (S&amp;P)'!Q1385,
    IF(lien="First",1.00,
        IF(lien="Second",1.50,
            1.70)))</f>
        <v/>
      </c>
      <c r="K1385">
        <f>LET(
    purpose,'Loan Tape (S&amp;P)'!R1385,
    IF(purpose="Purchase",1.00,
        IF(purpose="Remortgage",1.00,
            1.20)))</f>
        <v/>
      </c>
      <c r="L1385">
        <f>LET(
    arrears_months,'Loan Tape (S&amp;P)'!AN1385,
    IF(arrears_months=0,1.00,
    IF(arrears_months=1,3.00,
    IF(arrears_months=2,5.00,
    IF(arrears_months=3,8.00,
    IF(arrears_months=4,10.00,
    IF(arrears_months=5,12.00,15.00)))))))</f>
        <v/>
      </c>
      <c r="M1385">
        <f>LET(
    seasoning_years,DATEDIF('Loan Tape (S&amp;P)'!K1385,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85">
        <f>IF(AND('Loan Tape (S&amp;P)'!U1385="Yes",
        'Loan Tape (S&amp;P)'!T1385&lt;&gt;"Yes",
        DATEDIF('Loan Tape (S&amp;P)'!K1385, TODAY(), "M")&lt;18),
    1.10,
    1.00)</f>
        <v/>
      </c>
      <c r="O1385">
        <f>IF('Loan Tape (S&amp;P)'!T1385="Yes",
    1.35,
    1.00)</f>
        <v/>
      </c>
      <c r="P1385">
        <f>IF('Loan Tape (S&amp;P)'!S1385="Yes",
    1.15,
    1.00)</f>
        <v/>
      </c>
      <c r="Q1385">
        <f>IF('Loan Tape (S&amp;P)'!V1385="Yes",
    1.20,
    1.00)</f>
        <v/>
      </c>
      <c r="T1385">
        <f>LET(
    payment_method,'Loan Tape (S&amp;P)'!P1385,
    occupancy,'Loan Tape (S&amp;P)'!N1385,
    maturity_date,'Loan Tape (S&amp;P)'!L1385,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86">
      <c r="J1386">
        <f>LET(
    lien,'Loan Tape (S&amp;P)'!Q1386,
    IF(lien="First",1.00,
        IF(lien="Second",1.50,
            1.70)))</f>
        <v/>
      </c>
      <c r="K1386">
        <f>LET(
    purpose,'Loan Tape (S&amp;P)'!R1386,
    IF(purpose="Purchase",1.00,
        IF(purpose="Remortgage",1.00,
            1.20)))</f>
        <v/>
      </c>
      <c r="L1386">
        <f>LET(
    arrears_months,'Loan Tape (S&amp;P)'!AN1386,
    IF(arrears_months=0,1.00,
    IF(arrears_months=1,3.00,
    IF(arrears_months=2,5.00,
    IF(arrears_months=3,8.00,
    IF(arrears_months=4,10.00,
    IF(arrears_months=5,12.00,15.00)))))))</f>
        <v/>
      </c>
      <c r="M1386">
        <f>LET(
    seasoning_years,DATEDIF('Loan Tape (S&amp;P)'!K1386,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86">
        <f>IF(AND('Loan Tape (S&amp;P)'!U1386="Yes",
        'Loan Tape (S&amp;P)'!T1386&lt;&gt;"Yes",
        DATEDIF('Loan Tape (S&amp;P)'!K1386, TODAY(), "M")&lt;18),
    1.10,
    1.00)</f>
        <v/>
      </c>
      <c r="O1386">
        <f>IF('Loan Tape (S&amp;P)'!T1386="Yes",
    1.35,
    1.00)</f>
        <v/>
      </c>
      <c r="P1386">
        <f>IF('Loan Tape (S&amp;P)'!S1386="Yes",
    1.15,
    1.00)</f>
        <v/>
      </c>
      <c r="Q1386">
        <f>IF('Loan Tape (S&amp;P)'!V1386="Yes",
    1.20,
    1.00)</f>
        <v/>
      </c>
      <c r="T1386">
        <f>LET(
    payment_method,'Loan Tape (S&amp;P)'!P1386,
    occupancy,'Loan Tape (S&amp;P)'!N1386,
    maturity_date,'Loan Tape (S&amp;P)'!L1386,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87">
      <c r="J1387">
        <f>LET(
    lien,'Loan Tape (S&amp;P)'!Q1387,
    IF(lien="First",1.00,
        IF(lien="Second",1.50,
            1.70)))</f>
        <v/>
      </c>
      <c r="K1387">
        <f>LET(
    purpose,'Loan Tape (S&amp;P)'!R1387,
    IF(purpose="Purchase",1.00,
        IF(purpose="Remortgage",1.00,
            1.20)))</f>
        <v/>
      </c>
      <c r="L1387">
        <f>LET(
    arrears_months,'Loan Tape (S&amp;P)'!AN1387,
    IF(arrears_months=0,1.00,
    IF(arrears_months=1,3.00,
    IF(arrears_months=2,5.00,
    IF(arrears_months=3,8.00,
    IF(arrears_months=4,10.00,
    IF(arrears_months=5,12.00,15.00)))))))</f>
        <v/>
      </c>
      <c r="M1387">
        <f>LET(
    seasoning_years,DATEDIF('Loan Tape (S&amp;P)'!K1387,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87">
        <f>IF(AND('Loan Tape (S&amp;P)'!U1387="Yes",
        'Loan Tape (S&amp;P)'!T1387&lt;&gt;"Yes",
        DATEDIF('Loan Tape (S&amp;P)'!K1387, TODAY(), "M")&lt;18),
    1.10,
    1.00)</f>
        <v/>
      </c>
      <c r="O1387">
        <f>IF('Loan Tape (S&amp;P)'!T1387="Yes",
    1.35,
    1.00)</f>
        <v/>
      </c>
      <c r="P1387">
        <f>IF('Loan Tape (S&amp;P)'!S1387="Yes",
    1.15,
    1.00)</f>
        <v/>
      </c>
      <c r="Q1387">
        <f>IF('Loan Tape (S&amp;P)'!V1387="Yes",
    1.20,
    1.00)</f>
        <v/>
      </c>
      <c r="T1387">
        <f>LET(
    payment_method,'Loan Tape (S&amp;P)'!P1387,
    occupancy,'Loan Tape (S&amp;P)'!N1387,
    maturity_date,'Loan Tape (S&amp;P)'!L1387,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88">
      <c r="J1388">
        <f>LET(
    lien,'Loan Tape (S&amp;P)'!Q1388,
    IF(lien="First",1.00,
        IF(lien="Second",1.50,
            1.70)))</f>
        <v/>
      </c>
      <c r="K1388">
        <f>LET(
    purpose,'Loan Tape (S&amp;P)'!R1388,
    IF(purpose="Purchase",1.00,
        IF(purpose="Remortgage",1.00,
            1.20)))</f>
        <v/>
      </c>
      <c r="L1388">
        <f>LET(
    arrears_months,'Loan Tape (S&amp;P)'!AN1388,
    IF(arrears_months=0,1.00,
    IF(arrears_months=1,3.00,
    IF(arrears_months=2,5.00,
    IF(arrears_months=3,8.00,
    IF(arrears_months=4,10.00,
    IF(arrears_months=5,12.00,15.00)))))))</f>
        <v/>
      </c>
      <c r="M1388">
        <f>LET(
    seasoning_years,DATEDIF('Loan Tape (S&amp;P)'!K1388,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88">
        <f>IF(AND('Loan Tape (S&amp;P)'!U1388="Yes",
        'Loan Tape (S&amp;P)'!T1388&lt;&gt;"Yes",
        DATEDIF('Loan Tape (S&amp;P)'!K1388, TODAY(), "M")&lt;18),
    1.10,
    1.00)</f>
        <v/>
      </c>
      <c r="O1388">
        <f>IF('Loan Tape (S&amp;P)'!T1388="Yes",
    1.35,
    1.00)</f>
        <v/>
      </c>
      <c r="P1388">
        <f>IF('Loan Tape (S&amp;P)'!S1388="Yes",
    1.15,
    1.00)</f>
        <v/>
      </c>
      <c r="Q1388">
        <f>IF('Loan Tape (S&amp;P)'!V1388="Yes",
    1.20,
    1.00)</f>
        <v/>
      </c>
      <c r="T1388">
        <f>LET(
    payment_method,'Loan Tape (S&amp;P)'!P1388,
    occupancy,'Loan Tape (S&amp;P)'!N1388,
    maturity_date,'Loan Tape (S&amp;P)'!L1388,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89">
      <c r="J1389">
        <f>LET(
    lien,'Loan Tape (S&amp;P)'!Q1389,
    IF(lien="First",1.00,
        IF(lien="Second",1.50,
            1.70)))</f>
        <v/>
      </c>
      <c r="K1389">
        <f>LET(
    purpose,'Loan Tape (S&amp;P)'!R1389,
    IF(purpose="Purchase",1.00,
        IF(purpose="Remortgage",1.00,
            1.20)))</f>
        <v/>
      </c>
      <c r="L1389">
        <f>LET(
    arrears_months,'Loan Tape (S&amp;P)'!AN1389,
    IF(arrears_months=0,1.00,
    IF(arrears_months=1,3.00,
    IF(arrears_months=2,5.00,
    IF(arrears_months=3,8.00,
    IF(arrears_months=4,10.00,
    IF(arrears_months=5,12.00,15.00)))))))</f>
        <v/>
      </c>
      <c r="M1389">
        <f>LET(
    seasoning_years,DATEDIF('Loan Tape (S&amp;P)'!K1389,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89">
        <f>IF(AND('Loan Tape (S&amp;P)'!U1389="Yes",
        'Loan Tape (S&amp;P)'!T1389&lt;&gt;"Yes",
        DATEDIF('Loan Tape (S&amp;P)'!K1389, TODAY(), "M")&lt;18),
    1.10,
    1.00)</f>
        <v/>
      </c>
      <c r="O1389">
        <f>IF('Loan Tape (S&amp;P)'!T1389="Yes",
    1.35,
    1.00)</f>
        <v/>
      </c>
      <c r="P1389">
        <f>IF('Loan Tape (S&amp;P)'!S1389="Yes",
    1.15,
    1.00)</f>
        <v/>
      </c>
      <c r="Q1389">
        <f>IF('Loan Tape (S&amp;P)'!V1389="Yes",
    1.20,
    1.00)</f>
        <v/>
      </c>
      <c r="T1389">
        <f>LET(
    payment_method,'Loan Tape (S&amp;P)'!P1389,
    occupancy,'Loan Tape (S&amp;P)'!N1389,
    maturity_date,'Loan Tape (S&amp;P)'!L1389,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90">
      <c r="J1390">
        <f>LET(
    lien,'Loan Tape (S&amp;P)'!Q1390,
    IF(lien="First",1.00,
        IF(lien="Second",1.50,
            1.70)))</f>
        <v/>
      </c>
      <c r="K1390">
        <f>LET(
    purpose,'Loan Tape (S&amp;P)'!R1390,
    IF(purpose="Purchase",1.00,
        IF(purpose="Remortgage",1.00,
            1.20)))</f>
        <v/>
      </c>
      <c r="L1390">
        <f>LET(
    arrears_months,'Loan Tape (S&amp;P)'!AN1390,
    IF(arrears_months=0,1.00,
    IF(arrears_months=1,3.00,
    IF(arrears_months=2,5.00,
    IF(arrears_months=3,8.00,
    IF(arrears_months=4,10.00,
    IF(arrears_months=5,12.00,15.00)))))))</f>
        <v/>
      </c>
      <c r="M1390">
        <f>LET(
    seasoning_years,DATEDIF('Loan Tape (S&amp;P)'!K1390,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90">
        <f>IF(AND('Loan Tape (S&amp;P)'!U1390="Yes",
        'Loan Tape (S&amp;P)'!T1390&lt;&gt;"Yes",
        DATEDIF('Loan Tape (S&amp;P)'!K1390, TODAY(), "M")&lt;18),
    1.10,
    1.00)</f>
        <v/>
      </c>
      <c r="O1390">
        <f>IF('Loan Tape (S&amp;P)'!T1390="Yes",
    1.35,
    1.00)</f>
        <v/>
      </c>
      <c r="P1390">
        <f>IF('Loan Tape (S&amp;P)'!S1390="Yes",
    1.15,
    1.00)</f>
        <v/>
      </c>
      <c r="Q1390">
        <f>IF('Loan Tape (S&amp;P)'!V1390="Yes",
    1.20,
    1.00)</f>
        <v/>
      </c>
      <c r="T1390">
        <f>LET(
    payment_method,'Loan Tape (S&amp;P)'!P1390,
    occupancy,'Loan Tape (S&amp;P)'!N1390,
    maturity_date,'Loan Tape (S&amp;P)'!L1390,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91">
      <c r="J1391">
        <f>LET(
    lien,'Loan Tape (S&amp;P)'!Q1391,
    IF(lien="First",1.00,
        IF(lien="Second",1.50,
            1.70)))</f>
        <v/>
      </c>
      <c r="K1391">
        <f>LET(
    purpose,'Loan Tape (S&amp;P)'!R1391,
    IF(purpose="Purchase",1.00,
        IF(purpose="Remortgage",1.00,
            1.20)))</f>
        <v/>
      </c>
      <c r="L1391">
        <f>LET(
    arrears_months,'Loan Tape (S&amp;P)'!AN1391,
    IF(arrears_months=0,1.00,
    IF(arrears_months=1,3.00,
    IF(arrears_months=2,5.00,
    IF(arrears_months=3,8.00,
    IF(arrears_months=4,10.00,
    IF(arrears_months=5,12.00,15.00)))))))</f>
        <v/>
      </c>
      <c r="M1391">
        <f>LET(
    seasoning_years,DATEDIF('Loan Tape (S&amp;P)'!K1391,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91">
        <f>IF(AND('Loan Tape (S&amp;P)'!U1391="Yes",
        'Loan Tape (S&amp;P)'!T1391&lt;&gt;"Yes",
        DATEDIF('Loan Tape (S&amp;P)'!K1391, TODAY(), "M")&lt;18),
    1.10,
    1.00)</f>
        <v/>
      </c>
      <c r="O1391">
        <f>IF('Loan Tape (S&amp;P)'!T1391="Yes",
    1.35,
    1.00)</f>
        <v/>
      </c>
      <c r="P1391">
        <f>IF('Loan Tape (S&amp;P)'!S1391="Yes",
    1.15,
    1.00)</f>
        <v/>
      </c>
      <c r="Q1391">
        <f>IF('Loan Tape (S&amp;P)'!V1391="Yes",
    1.20,
    1.00)</f>
        <v/>
      </c>
      <c r="T1391">
        <f>LET(
    payment_method,'Loan Tape (S&amp;P)'!P1391,
    occupancy,'Loan Tape (S&amp;P)'!N1391,
    maturity_date,'Loan Tape (S&amp;P)'!L1391,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92">
      <c r="J1392">
        <f>LET(
    lien,'Loan Tape (S&amp;P)'!Q1392,
    IF(lien="First",1.00,
        IF(lien="Second",1.50,
            1.70)))</f>
        <v/>
      </c>
      <c r="K1392">
        <f>LET(
    purpose,'Loan Tape (S&amp;P)'!R1392,
    IF(purpose="Purchase",1.00,
        IF(purpose="Remortgage",1.00,
            1.20)))</f>
        <v/>
      </c>
      <c r="L1392">
        <f>LET(
    arrears_months,'Loan Tape (S&amp;P)'!AN1392,
    IF(arrears_months=0,1.00,
    IF(arrears_months=1,3.00,
    IF(arrears_months=2,5.00,
    IF(arrears_months=3,8.00,
    IF(arrears_months=4,10.00,
    IF(arrears_months=5,12.00,15.00)))))))</f>
        <v/>
      </c>
      <c r="M1392">
        <f>LET(
    seasoning_years,DATEDIF('Loan Tape (S&amp;P)'!K1392,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92">
        <f>IF(AND('Loan Tape (S&amp;P)'!U1392="Yes",
        'Loan Tape (S&amp;P)'!T1392&lt;&gt;"Yes",
        DATEDIF('Loan Tape (S&amp;P)'!K1392, TODAY(), "M")&lt;18),
    1.10,
    1.00)</f>
        <v/>
      </c>
      <c r="O1392">
        <f>IF('Loan Tape (S&amp;P)'!T1392="Yes",
    1.35,
    1.00)</f>
        <v/>
      </c>
      <c r="P1392">
        <f>IF('Loan Tape (S&amp;P)'!S1392="Yes",
    1.15,
    1.00)</f>
        <v/>
      </c>
      <c r="Q1392">
        <f>IF('Loan Tape (S&amp;P)'!V1392="Yes",
    1.20,
    1.00)</f>
        <v/>
      </c>
      <c r="T1392">
        <f>LET(
    payment_method,'Loan Tape (S&amp;P)'!P1392,
    occupancy,'Loan Tape (S&amp;P)'!N1392,
    maturity_date,'Loan Tape (S&amp;P)'!L1392,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93">
      <c r="J1393">
        <f>LET(
    lien,'Loan Tape (S&amp;P)'!Q1393,
    IF(lien="First",1.00,
        IF(lien="Second",1.50,
            1.70)))</f>
        <v/>
      </c>
      <c r="K1393">
        <f>LET(
    purpose,'Loan Tape (S&amp;P)'!R1393,
    IF(purpose="Purchase",1.00,
        IF(purpose="Remortgage",1.00,
            1.20)))</f>
        <v/>
      </c>
      <c r="L1393">
        <f>LET(
    arrears_months,'Loan Tape (S&amp;P)'!AN1393,
    IF(arrears_months=0,1.00,
    IF(arrears_months=1,3.00,
    IF(arrears_months=2,5.00,
    IF(arrears_months=3,8.00,
    IF(arrears_months=4,10.00,
    IF(arrears_months=5,12.00,15.00)))))))</f>
        <v/>
      </c>
      <c r="M1393">
        <f>LET(
    seasoning_years,DATEDIF('Loan Tape (S&amp;P)'!K1393,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93">
        <f>IF(AND('Loan Tape (S&amp;P)'!U1393="Yes",
        'Loan Tape (S&amp;P)'!T1393&lt;&gt;"Yes",
        DATEDIF('Loan Tape (S&amp;P)'!K1393, TODAY(), "M")&lt;18),
    1.10,
    1.00)</f>
        <v/>
      </c>
      <c r="O1393">
        <f>IF('Loan Tape (S&amp;P)'!T1393="Yes",
    1.35,
    1.00)</f>
        <v/>
      </c>
      <c r="P1393">
        <f>IF('Loan Tape (S&amp;P)'!S1393="Yes",
    1.15,
    1.00)</f>
        <v/>
      </c>
      <c r="Q1393">
        <f>IF('Loan Tape (S&amp;P)'!V1393="Yes",
    1.20,
    1.00)</f>
        <v/>
      </c>
      <c r="T1393">
        <f>LET(
    payment_method,'Loan Tape (S&amp;P)'!P1393,
    occupancy,'Loan Tape (S&amp;P)'!N1393,
    maturity_date,'Loan Tape (S&amp;P)'!L1393,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94">
      <c r="J1394">
        <f>LET(
    lien,'Loan Tape (S&amp;P)'!Q1394,
    IF(lien="First",1.00,
        IF(lien="Second",1.50,
            1.70)))</f>
        <v/>
      </c>
      <c r="K1394">
        <f>LET(
    purpose,'Loan Tape (S&amp;P)'!R1394,
    IF(purpose="Purchase",1.00,
        IF(purpose="Remortgage",1.00,
            1.20)))</f>
        <v/>
      </c>
      <c r="L1394">
        <f>LET(
    arrears_months,'Loan Tape (S&amp;P)'!AN1394,
    IF(arrears_months=0,1.00,
    IF(arrears_months=1,3.00,
    IF(arrears_months=2,5.00,
    IF(arrears_months=3,8.00,
    IF(arrears_months=4,10.00,
    IF(arrears_months=5,12.00,15.00)))))))</f>
        <v/>
      </c>
      <c r="M1394">
        <f>LET(
    seasoning_years,DATEDIF('Loan Tape (S&amp;P)'!K1394,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94">
        <f>IF(AND('Loan Tape (S&amp;P)'!U1394="Yes",
        'Loan Tape (S&amp;P)'!T1394&lt;&gt;"Yes",
        DATEDIF('Loan Tape (S&amp;P)'!K1394, TODAY(), "M")&lt;18),
    1.10,
    1.00)</f>
        <v/>
      </c>
      <c r="O1394">
        <f>IF('Loan Tape (S&amp;P)'!T1394="Yes",
    1.35,
    1.00)</f>
        <v/>
      </c>
      <c r="P1394">
        <f>IF('Loan Tape (S&amp;P)'!S1394="Yes",
    1.15,
    1.00)</f>
        <v/>
      </c>
      <c r="Q1394">
        <f>IF('Loan Tape (S&amp;P)'!V1394="Yes",
    1.20,
    1.00)</f>
        <v/>
      </c>
      <c r="T1394">
        <f>LET(
    payment_method,'Loan Tape (S&amp;P)'!P1394,
    occupancy,'Loan Tape (S&amp;P)'!N1394,
    maturity_date,'Loan Tape (S&amp;P)'!L1394,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95">
      <c r="J1395">
        <f>LET(
    lien,'Loan Tape (S&amp;P)'!Q1395,
    IF(lien="First",1.00,
        IF(lien="Second",1.50,
            1.70)))</f>
        <v/>
      </c>
      <c r="K1395">
        <f>LET(
    purpose,'Loan Tape (S&amp;P)'!R1395,
    IF(purpose="Purchase",1.00,
        IF(purpose="Remortgage",1.00,
            1.20)))</f>
        <v/>
      </c>
      <c r="L1395">
        <f>LET(
    arrears_months,'Loan Tape (S&amp;P)'!AN1395,
    IF(arrears_months=0,1.00,
    IF(arrears_months=1,3.00,
    IF(arrears_months=2,5.00,
    IF(arrears_months=3,8.00,
    IF(arrears_months=4,10.00,
    IF(arrears_months=5,12.00,15.00)))))))</f>
        <v/>
      </c>
      <c r="M1395">
        <f>LET(
    seasoning_years,DATEDIF('Loan Tape (S&amp;P)'!K1395,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95">
        <f>IF(AND('Loan Tape (S&amp;P)'!U1395="Yes",
        'Loan Tape (S&amp;P)'!T1395&lt;&gt;"Yes",
        DATEDIF('Loan Tape (S&amp;P)'!K1395, TODAY(), "M")&lt;18),
    1.10,
    1.00)</f>
        <v/>
      </c>
      <c r="O1395">
        <f>IF('Loan Tape (S&amp;P)'!T1395="Yes",
    1.35,
    1.00)</f>
        <v/>
      </c>
      <c r="P1395">
        <f>IF('Loan Tape (S&amp;P)'!S1395="Yes",
    1.15,
    1.00)</f>
        <v/>
      </c>
      <c r="Q1395">
        <f>IF('Loan Tape (S&amp;P)'!V1395="Yes",
    1.20,
    1.00)</f>
        <v/>
      </c>
      <c r="T1395">
        <f>LET(
    payment_method,'Loan Tape (S&amp;P)'!P1395,
    occupancy,'Loan Tape (S&amp;P)'!N1395,
    maturity_date,'Loan Tape (S&amp;P)'!L1395,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96">
      <c r="J1396">
        <f>LET(
    lien,'Loan Tape (S&amp;P)'!Q1396,
    IF(lien="First",1.00,
        IF(lien="Second",1.50,
            1.70)))</f>
        <v/>
      </c>
      <c r="K1396">
        <f>LET(
    purpose,'Loan Tape (S&amp;P)'!R1396,
    IF(purpose="Purchase",1.00,
        IF(purpose="Remortgage",1.00,
            1.20)))</f>
        <v/>
      </c>
      <c r="L1396">
        <f>LET(
    arrears_months,'Loan Tape (S&amp;P)'!AN1396,
    IF(arrears_months=0,1.00,
    IF(arrears_months=1,3.00,
    IF(arrears_months=2,5.00,
    IF(arrears_months=3,8.00,
    IF(arrears_months=4,10.00,
    IF(arrears_months=5,12.00,15.00)))))))</f>
        <v/>
      </c>
      <c r="M1396">
        <f>LET(
    seasoning_years,DATEDIF('Loan Tape (S&amp;P)'!K1396,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96">
        <f>IF(AND('Loan Tape (S&amp;P)'!U1396="Yes",
        'Loan Tape (S&amp;P)'!T1396&lt;&gt;"Yes",
        DATEDIF('Loan Tape (S&amp;P)'!K1396, TODAY(), "M")&lt;18),
    1.10,
    1.00)</f>
        <v/>
      </c>
      <c r="O1396">
        <f>IF('Loan Tape (S&amp;P)'!T1396="Yes",
    1.35,
    1.00)</f>
        <v/>
      </c>
      <c r="P1396">
        <f>IF('Loan Tape (S&amp;P)'!S1396="Yes",
    1.15,
    1.00)</f>
        <v/>
      </c>
      <c r="Q1396">
        <f>IF('Loan Tape (S&amp;P)'!V1396="Yes",
    1.20,
    1.00)</f>
        <v/>
      </c>
      <c r="T1396">
        <f>LET(
    payment_method,'Loan Tape (S&amp;P)'!P1396,
    occupancy,'Loan Tape (S&amp;P)'!N1396,
    maturity_date,'Loan Tape (S&amp;P)'!L1396,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97">
      <c r="J1397">
        <f>LET(
    lien,'Loan Tape (S&amp;P)'!Q1397,
    IF(lien="First",1.00,
        IF(lien="Second",1.50,
            1.70)))</f>
        <v/>
      </c>
      <c r="K1397">
        <f>LET(
    purpose,'Loan Tape (S&amp;P)'!R1397,
    IF(purpose="Purchase",1.00,
        IF(purpose="Remortgage",1.00,
            1.20)))</f>
        <v/>
      </c>
      <c r="L1397">
        <f>LET(
    arrears_months,'Loan Tape (S&amp;P)'!AN1397,
    IF(arrears_months=0,1.00,
    IF(arrears_months=1,3.00,
    IF(arrears_months=2,5.00,
    IF(arrears_months=3,8.00,
    IF(arrears_months=4,10.00,
    IF(arrears_months=5,12.00,15.00)))))))</f>
        <v/>
      </c>
      <c r="M1397">
        <f>LET(
    seasoning_years,DATEDIF('Loan Tape (S&amp;P)'!K1397,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97">
        <f>IF(AND('Loan Tape (S&amp;P)'!U1397="Yes",
        'Loan Tape (S&amp;P)'!T1397&lt;&gt;"Yes",
        DATEDIF('Loan Tape (S&amp;P)'!K1397, TODAY(), "M")&lt;18),
    1.10,
    1.00)</f>
        <v/>
      </c>
      <c r="O1397">
        <f>IF('Loan Tape (S&amp;P)'!T1397="Yes",
    1.35,
    1.00)</f>
        <v/>
      </c>
      <c r="P1397">
        <f>IF('Loan Tape (S&amp;P)'!S1397="Yes",
    1.15,
    1.00)</f>
        <v/>
      </c>
      <c r="Q1397">
        <f>IF('Loan Tape (S&amp;P)'!V1397="Yes",
    1.20,
    1.00)</f>
        <v/>
      </c>
      <c r="T1397">
        <f>LET(
    payment_method,'Loan Tape (S&amp;P)'!P1397,
    occupancy,'Loan Tape (S&amp;P)'!N1397,
    maturity_date,'Loan Tape (S&amp;P)'!L1397,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98">
      <c r="J1398">
        <f>LET(
    lien,'Loan Tape (S&amp;P)'!Q1398,
    IF(lien="First",1.00,
        IF(lien="Second",1.50,
            1.70)))</f>
        <v/>
      </c>
      <c r="K1398">
        <f>LET(
    purpose,'Loan Tape (S&amp;P)'!R1398,
    IF(purpose="Purchase",1.00,
        IF(purpose="Remortgage",1.00,
            1.20)))</f>
        <v/>
      </c>
      <c r="L1398">
        <f>LET(
    arrears_months,'Loan Tape (S&amp;P)'!AN1398,
    IF(arrears_months=0,1.00,
    IF(arrears_months=1,3.00,
    IF(arrears_months=2,5.00,
    IF(arrears_months=3,8.00,
    IF(arrears_months=4,10.00,
    IF(arrears_months=5,12.00,15.00)))))))</f>
        <v/>
      </c>
      <c r="M1398">
        <f>LET(
    seasoning_years,DATEDIF('Loan Tape (S&amp;P)'!K1398,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98">
        <f>IF(AND('Loan Tape (S&amp;P)'!U1398="Yes",
        'Loan Tape (S&amp;P)'!T1398&lt;&gt;"Yes",
        DATEDIF('Loan Tape (S&amp;P)'!K1398, TODAY(), "M")&lt;18),
    1.10,
    1.00)</f>
        <v/>
      </c>
      <c r="O1398">
        <f>IF('Loan Tape (S&amp;P)'!T1398="Yes",
    1.35,
    1.00)</f>
        <v/>
      </c>
      <c r="P1398">
        <f>IF('Loan Tape (S&amp;P)'!S1398="Yes",
    1.15,
    1.00)</f>
        <v/>
      </c>
      <c r="Q1398">
        <f>IF('Loan Tape (S&amp;P)'!V1398="Yes",
    1.20,
    1.00)</f>
        <v/>
      </c>
      <c r="T1398">
        <f>LET(
    payment_method,'Loan Tape (S&amp;P)'!P1398,
    occupancy,'Loan Tape (S&amp;P)'!N1398,
    maturity_date,'Loan Tape (S&amp;P)'!L1398,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399">
      <c r="J1399">
        <f>LET(
    lien,'Loan Tape (S&amp;P)'!Q1399,
    IF(lien="First",1.00,
        IF(lien="Second",1.50,
            1.70)))</f>
        <v/>
      </c>
      <c r="K1399">
        <f>LET(
    purpose,'Loan Tape (S&amp;P)'!R1399,
    IF(purpose="Purchase",1.00,
        IF(purpose="Remortgage",1.00,
            1.20)))</f>
        <v/>
      </c>
      <c r="L1399">
        <f>LET(
    arrears_months,'Loan Tape (S&amp;P)'!AN1399,
    IF(arrears_months=0,1.00,
    IF(arrears_months=1,3.00,
    IF(arrears_months=2,5.00,
    IF(arrears_months=3,8.00,
    IF(arrears_months=4,10.00,
    IF(arrears_months=5,12.00,15.00)))))))</f>
        <v/>
      </c>
      <c r="M1399">
        <f>LET(
    seasoning_years,DATEDIF('Loan Tape (S&amp;P)'!K1399,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399">
        <f>IF(AND('Loan Tape (S&amp;P)'!U1399="Yes",
        'Loan Tape (S&amp;P)'!T1399&lt;&gt;"Yes",
        DATEDIF('Loan Tape (S&amp;P)'!K1399, TODAY(), "M")&lt;18),
    1.10,
    1.00)</f>
        <v/>
      </c>
      <c r="O1399">
        <f>IF('Loan Tape (S&amp;P)'!T1399="Yes",
    1.35,
    1.00)</f>
        <v/>
      </c>
      <c r="P1399">
        <f>IF('Loan Tape (S&amp;P)'!S1399="Yes",
    1.15,
    1.00)</f>
        <v/>
      </c>
      <c r="Q1399">
        <f>IF('Loan Tape (S&amp;P)'!V1399="Yes",
    1.20,
    1.00)</f>
        <v/>
      </c>
      <c r="T1399">
        <f>LET(
    payment_method,'Loan Tape (S&amp;P)'!P1399,
    occupancy,'Loan Tape (S&amp;P)'!N1399,
    maturity_date,'Loan Tape (S&amp;P)'!L1399,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00">
      <c r="J1400">
        <f>LET(
    lien,'Loan Tape (S&amp;P)'!Q1400,
    IF(lien="First",1.00,
        IF(lien="Second",1.50,
            1.70)))</f>
        <v/>
      </c>
      <c r="K1400">
        <f>LET(
    purpose,'Loan Tape (S&amp;P)'!R1400,
    IF(purpose="Purchase",1.00,
        IF(purpose="Remortgage",1.00,
            1.20)))</f>
        <v/>
      </c>
      <c r="L1400">
        <f>LET(
    arrears_months,'Loan Tape (S&amp;P)'!AN1400,
    IF(arrears_months=0,1.00,
    IF(arrears_months=1,3.00,
    IF(arrears_months=2,5.00,
    IF(arrears_months=3,8.00,
    IF(arrears_months=4,10.00,
    IF(arrears_months=5,12.00,15.00)))))))</f>
        <v/>
      </c>
      <c r="M1400">
        <f>LET(
    seasoning_years,DATEDIF('Loan Tape (S&amp;P)'!K1400,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00">
        <f>IF(AND('Loan Tape (S&amp;P)'!U1400="Yes",
        'Loan Tape (S&amp;P)'!T1400&lt;&gt;"Yes",
        DATEDIF('Loan Tape (S&amp;P)'!K1400, TODAY(), "M")&lt;18),
    1.10,
    1.00)</f>
        <v/>
      </c>
      <c r="O1400">
        <f>IF('Loan Tape (S&amp;P)'!T1400="Yes",
    1.35,
    1.00)</f>
        <v/>
      </c>
      <c r="P1400">
        <f>IF('Loan Tape (S&amp;P)'!S1400="Yes",
    1.15,
    1.00)</f>
        <v/>
      </c>
      <c r="Q1400">
        <f>IF('Loan Tape (S&amp;P)'!V1400="Yes",
    1.20,
    1.00)</f>
        <v/>
      </c>
      <c r="T1400">
        <f>LET(
    payment_method,'Loan Tape (S&amp;P)'!P1400,
    occupancy,'Loan Tape (S&amp;P)'!N1400,
    maturity_date,'Loan Tape (S&amp;P)'!L1400,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01">
      <c r="J1401">
        <f>LET(
    lien,'Loan Tape (S&amp;P)'!Q1401,
    IF(lien="First",1.00,
        IF(lien="Second",1.50,
            1.70)))</f>
        <v/>
      </c>
      <c r="K1401">
        <f>LET(
    purpose,'Loan Tape (S&amp;P)'!R1401,
    IF(purpose="Purchase",1.00,
        IF(purpose="Remortgage",1.00,
            1.20)))</f>
        <v/>
      </c>
      <c r="L1401">
        <f>LET(
    arrears_months,'Loan Tape (S&amp;P)'!AN1401,
    IF(arrears_months=0,1.00,
    IF(arrears_months=1,3.00,
    IF(arrears_months=2,5.00,
    IF(arrears_months=3,8.00,
    IF(arrears_months=4,10.00,
    IF(arrears_months=5,12.00,15.00)))))))</f>
        <v/>
      </c>
      <c r="M1401">
        <f>LET(
    seasoning_years,DATEDIF('Loan Tape (S&amp;P)'!K1401,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01">
        <f>IF(AND('Loan Tape (S&amp;P)'!U1401="Yes",
        'Loan Tape (S&amp;P)'!T1401&lt;&gt;"Yes",
        DATEDIF('Loan Tape (S&amp;P)'!K1401, TODAY(), "M")&lt;18),
    1.10,
    1.00)</f>
        <v/>
      </c>
      <c r="O1401">
        <f>IF('Loan Tape (S&amp;P)'!T1401="Yes",
    1.35,
    1.00)</f>
        <v/>
      </c>
      <c r="P1401">
        <f>IF('Loan Tape (S&amp;P)'!S1401="Yes",
    1.15,
    1.00)</f>
        <v/>
      </c>
      <c r="Q1401">
        <f>IF('Loan Tape (S&amp;P)'!V1401="Yes",
    1.20,
    1.00)</f>
        <v/>
      </c>
      <c r="T1401">
        <f>LET(
    payment_method,'Loan Tape (S&amp;P)'!P1401,
    occupancy,'Loan Tape (S&amp;P)'!N1401,
    maturity_date,'Loan Tape (S&amp;P)'!L1401,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02">
      <c r="J1402">
        <f>LET(
    lien,'Loan Tape (S&amp;P)'!Q1402,
    IF(lien="First",1.00,
        IF(lien="Second",1.50,
            1.70)))</f>
        <v/>
      </c>
      <c r="K1402">
        <f>LET(
    purpose,'Loan Tape (S&amp;P)'!R1402,
    IF(purpose="Purchase",1.00,
        IF(purpose="Remortgage",1.00,
            1.20)))</f>
        <v/>
      </c>
      <c r="L1402">
        <f>LET(
    arrears_months,'Loan Tape (S&amp;P)'!AN1402,
    IF(arrears_months=0,1.00,
    IF(arrears_months=1,3.00,
    IF(arrears_months=2,5.00,
    IF(arrears_months=3,8.00,
    IF(arrears_months=4,10.00,
    IF(arrears_months=5,12.00,15.00)))))))</f>
        <v/>
      </c>
      <c r="M1402">
        <f>LET(
    seasoning_years,DATEDIF('Loan Tape (S&amp;P)'!K1402,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02">
        <f>IF(AND('Loan Tape (S&amp;P)'!U1402="Yes",
        'Loan Tape (S&amp;P)'!T1402&lt;&gt;"Yes",
        DATEDIF('Loan Tape (S&amp;P)'!K1402, TODAY(), "M")&lt;18),
    1.10,
    1.00)</f>
        <v/>
      </c>
      <c r="O1402">
        <f>IF('Loan Tape (S&amp;P)'!T1402="Yes",
    1.35,
    1.00)</f>
        <v/>
      </c>
      <c r="P1402">
        <f>IF('Loan Tape (S&amp;P)'!S1402="Yes",
    1.15,
    1.00)</f>
        <v/>
      </c>
      <c r="Q1402">
        <f>IF('Loan Tape (S&amp;P)'!V1402="Yes",
    1.20,
    1.00)</f>
        <v/>
      </c>
      <c r="T1402">
        <f>LET(
    payment_method,'Loan Tape (S&amp;P)'!P1402,
    occupancy,'Loan Tape (S&amp;P)'!N1402,
    maturity_date,'Loan Tape (S&amp;P)'!L1402,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03">
      <c r="J1403">
        <f>LET(
    lien,'Loan Tape (S&amp;P)'!Q1403,
    IF(lien="First",1.00,
        IF(lien="Second",1.50,
            1.70)))</f>
        <v/>
      </c>
      <c r="K1403">
        <f>LET(
    purpose,'Loan Tape (S&amp;P)'!R1403,
    IF(purpose="Purchase",1.00,
        IF(purpose="Remortgage",1.00,
            1.20)))</f>
        <v/>
      </c>
      <c r="L1403">
        <f>LET(
    arrears_months,'Loan Tape (S&amp;P)'!AN1403,
    IF(arrears_months=0,1.00,
    IF(arrears_months=1,3.00,
    IF(arrears_months=2,5.00,
    IF(arrears_months=3,8.00,
    IF(arrears_months=4,10.00,
    IF(arrears_months=5,12.00,15.00)))))))</f>
        <v/>
      </c>
      <c r="M1403">
        <f>LET(
    seasoning_years,DATEDIF('Loan Tape (S&amp;P)'!K1403,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03">
        <f>IF(AND('Loan Tape (S&amp;P)'!U1403="Yes",
        'Loan Tape (S&amp;P)'!T1403&lt;&gt;"Yes",
        DATEDIF('Loan Tape (S&amp;P)'!K1403, TODAY(), "M")&lt;18),
    1.10,
    1.00)</f>
        <v/>
      </c>
      <c r="O1403">
        <f>IF('Loan Tape (S&amp;P)'!T1403="Yes",
    1.35,
    1.00)</f>
        <v/>
      </c>
      <c r="P1403">
        <f>IF('Loan Tape (S&amp;P)'!S1403="Yes",
    1.15,
    1.00)</f>
        <v/>
      </c>
      <c r="Q1403">
        <f>IF('Loan Tape (S&amp;P)'!V1403="Yes",
    1.20,
    1.00)</f>
        <v/>
      </c>
      <c r="T1403">
        <f>LET(
    payment_method,'Loan Tape (S&amp;P)'!P1403,
    occupancy,'Loan Tape (S&amp;P)'!N1403,
    maturity_date,'Loan Tape (S&amp;P)'!L1403,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04">
      <c r="J1404">
        <f>LET(
    lien,'Loan Tape (S&amp;P)'!Q1404,
    IF(lien="First",1.00,
        IF(lien="Second",1.50,
            1.70)))</f>
        <v/>
      </c>
      <c r="K1404">
        <f>LET(
    purpose,'Loan Tape (S&amp;P)'!R1404,
    IF(purpose="Purchase",1.00,
        IF(purpose="Remortgage",1.00,
            1.20)))</f>
        <v/>
      </c>
      <c r="L1404">
        <f>LET(
    arrears_months,'Loan Tape (S&amp;P)'!AN1404,
    IF(arrears_months=0,1.00,
    IF(arrears_months=1,3.00,
    IF(arrears_months=2,5.00,
    IF(arrears_months=3,8.00,
    IF(arrears_months=4,10.00,
    IF(arrears_months=5,12.00,15.00)))))))</f>
        <v/>
      </c>
      <c r="M1404">
        <f>LET(
    seasoning_years,DATEDIF('Loan Tape (S&amp;P)'!K1404,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04">
        <f>IF(AND('Loan Tape (S&amp;P)'!U1404="Yes",
        'Loan Tape (S&amp;P)'!T1404&lt;&gt;"Yes",
        DATEDIF('Loan Tape (S&amp;P)'!K1404, TODAY(), "M")&lt;18),
    1.10,
    1.00)</f>
        <v/>
      </c>
      <c r="O1404">
        <f>IF('Loan Tape (S&amp;P)'!T1404="Yes",
    1.35,
    1.00)</f>
        <v/>
      </c>
      <c r="P1404">
        <f>IF('Loan Tape (S&amp;P)'!S1404="Yes",
    1.15,
    1.00)</f>
        <v/>
      </c>
      <c r="Q1404">
        <f>IF('Loan Tape (S&amp;P)'!V1404="Yes",
    1.20,
    1.00)</f>
        <v/>
      </c>
      <c r="T1404">
        <f>LET(
    payment_method,'Loan Tape (S&amp;P)'!P1404,
    occupancy,'Loan Tape (S&amp;P)'!N1404,
    maturity_date,'Loan Tape (S&amp;P)'!L1404,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05">
      <c r="J1405">
        <f>LET(
    lien,'Loan Tape (S&amp;P)'!Q1405,
    IF(lien="First",1.00,
        IF(lien="Second",1.50,
            1.70)))</f>
        <v/>
      </c>
      <c r="K1405">
        <f>LET(
    purpose,'Loan Tape (S&amp;P)'!R1405,
    IF(purpose="Purchase",1.00,
        IF(purpose="Remortgage",1.00,
            1.20)))</f>
        <v/>
      </c>
      <c r="L1405">
        <f>LET(
    arrears_months,'Loan Tape (S&amp;P)'!AN1405,
    IF(arrears_months=0,1.00,
    IF(arrears_months=1,3.00,
    IF(arrears_months=2,5.00,
    IF(arrears_months=3,8.00,
    IF(arrears_months=4,10.00,
    IF(arrears_months=5,12.00,15.00)))))))</f>
        <v/>
      </c>
      <c r="M1405">
        <f>LET(
    seasoning_years,DATEDIF('Loan Tape (S&amp;P)'!K1405,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05">
        <f>IF(AND('Loan Tape (S&amp;P)'!U1405="Yes",
        'Loan Tape (S&amp;P)'!T1405&lt;&gt;"Yes",
        DATEDIF('Loan Tape (S&amp;P)'!K1405, TODAY(), "M")&lt;18),
    1.10,
    1.00)</f>
        <v/>
      </c>
      <c r="O1405">
        <f>IF('Loan Tape (S&amp;P)'!T1405="Yes",
    1.35,
    1.00)</f>
        <v/>
      </c>
      <c r="P1405">
        <f>IF('Loan Tape (S&amp;P)'!S1405="Yes",
    1.15,
    1.00)</f>
        <v/>
      </c>
      <c r="Q1405">
        <f>IF('Loan Tape (S&amp;P)'!V1405="Yes",
    1.20,
    1.00)</f>
        <v/>
      </c>
      <c r="T1405">
        <f>LET(
    payment_method,'Loan Tape (S&amp;P)'!P1405,
    occupancy,'Loan Tape (S&amp;P)'!N1405,
    maturity_date,'Loan Tape (S&amp;P)'!L1405,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06">
      <c r="J1406">
        <f>LET(
    lien,'Loan Tape (S&amp;P)'!Q1406,
    IF(lien="First",1.00,
        IF(lien="Second",1.50,
            1.70)))</f>
        <v/>
      </c>
      <c r="K1406">
        <f>LET(
    purpose,'Loan Tape (S&amp;P)'!R1406,
    IF(purpose="Purchase",1.00,
        IF(purpose="Remortgage",1.00,
            1.20)))</f>
        <v/>
      </c>
      <c r="L1406">
        <f>LET(
    arrears_months,'Loan Tape (S&amp;P)'!AN1406,
    IF(arrears_months=0,1.00,
    IF(arrears_months=1,3.00,
    IF(arrears_months=2,5.00,
    IF(arrears_months=3,8.00,
    IF(arrears_months=4,10.00,
    IF(arrears_months=5,12.00,15.00)))))))</f>
        <v/>
      </c>
      <c r="M1406">
        <f>LET(
    seasoning_years,DATEDIF('Loan Tape (S&amp;P)'!K1406,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06">
        <f>IF(AND('Loan Tape (S&amp;P)'!U1406="Yes",
        'Loan Tape (S&amp;P)'!T1406&lt;&gt;"Yes",
        DATEDIF('Loan Tape (S&amp;P)'!K1406, TODAY(), "M")&lt;18),
    1.10,
    1.00)</f>
        <v/>
      </c>
      <c r="O1406">
        <f>IF('Loan Tape (S&amp;P)'!T1406="Yes",
    1.35,
    1.00)</f>
        <v/>
      </c>
      <c r="P1406">
        <f>IF('Loan Tape (S&amp;P)'!S1406="Yes",
    1.15,
    1.00)</f>
        <v/>
      </c>
      <c r="Q1406">
        <f>IF('Loan Tape (S&amp;P)'!V1406="Yes",
    1.20,
    1.00)</f>
        <v/>
      </c>
      <c r="T1406">
        <f>LET(
    payment_method,'Loan Tape (S&amp;P)'!P1406,
    occupancy,'Loan Tape (S&amp;P)'!N1406,
    maturity_date,'Loan Tape (S&amp;P)'!L1406,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07">
      <c r="J1407">
        <f>LET(
    lien,'Loan Tape (S&amp;P)'!Q1407,
    IF(lien="First",1.00,
        IF(lien="Second",1.50,
            1.70)))</f>
        <v/>
      </c>
      <c r="K1407">
        <f>LET(
    purpose,'Loan Tape (S&amp;P)'!R1407,
    IF(purpose="Purchase",1.00,
        IF(purpose="Remortgage",1.00,
            1.20)))</f>
        <v/>
      </c>
      <c r="L1407">
        <f>LET(
    arrears_months,'Loan Tape (S&amp;P)'!AN1407,
    IF(arrears_months=0,1.00,
    IF(arrears_months=1,3.00,
    IF(arrears_months=2,5.00,
    IF(arrears_months=3,8.00,
    IF(arrears_months=4,10.00,
    IF(arrears_months=5,12.00,15.00)))))))</f>
        <v/>
      </c>
      <c r="M1407">
        <f>LET(
    seasoning_years,DATEDIF('Loan Tape (S&amp;P)'!K1407,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07">
        <f>IF(AND('Loan Tape (S&amp;P)'!U1407="Yes",
        'Loan Tape (S&amp;P)'!T1407&lt;&gt;"Yes",
        DATEDIF('Loan Tape (S&amp;P)'!K1407, TODAY(), "M")&lt;18),
    1.10,
    1.00)</f>
        <v/>
      </c>
      <c r="O1407">
        <f>IF('Loan Tape (S&amp;P)'!T1407="Yes",
    1.35,
    1.00)</f>
        <v/>
      </c>
      <c r="P1407">
        <f>IF('Loan Tape (S&amp;P)'!S1407="Yes",
    1.15,
    1.00)</f>
        <v/>
      </c>
      <c r="Q1407">
        <f>IF('Loan Tape (S&amp;P)'!V1407="Yes",
    1.20,
    1.00)</f>
        <v/>
      </c>
      <c r="T1407">
        <f>LET(
    payment_method,'Loan Tape (S&amp;P)'!P1407,
    occupancy,'Loan Tape (S&amp;P)'!N1407,
    maturity_date,'Loan Tape (S&amp;P)'!L1407,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08">
      <c r="J1408">
        <f>LET(
    lien,'Loan Tape (S&amp;P)'!Q1408,
    IF(lien="First",1.00,
        IF(lien="Second",1.50,
            1.70)))</f>
        <v/>
      </c>
      <c r="K1408">
        <f>LET(
    purpose,'Loan Tape (S&amp;P)'!R1408,
    IF(purpose="Purchase",1.00,
        IF(purpose="Remortgage",1.00,
            1.20)))</f>
        <v/>
      </c>
      <c r="L1408">
        <f>LET(
    arrears_months,'Loan Tape (S&amp;P)'!AN1408,
    IF(arrears_months=0,1.00,
    IF(arrears_months=1,3.00,
    IF(arrears_months=2,5.00,
    IF(arrears_months=3,8.00,
    IF(arrears_months=4,10.00,
    IF(arrears_months=5,12.00,15.00)))))))</f>
        <v/>
      </c>
      <c r="M1408">
        <f>LET(
    seasoning_years,DATEDIF('Loan Tape (S&amp;P)'!K1408,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08">
        <f>IF(AND('Loan Tape (S&amp;P)'!U1408="Yes",
        'Loan Tape (S&amp;P)'!T1408&lt;&gt;"Yes",
        DATEDIF('Loan Tape (S&amp;P)'!K1408, TODAY(), "M")&lt;18),
    1.10,
    1.00)</f>
        <v/>
      </c>
      <c r="O1408">
        <f>IF('Loan Tape (S&amp;P)'!T1408="Yes",
    1.35,
    1.00)</f>
        <v/>
      </c>
      <c r="P1408">
        <f>IF('Loan Tape (S&amp;P)'!S1408="Yes",
    1.15,
    1.00)</f>
        <v/>
      </c>
      <c r="Q1408">
        <f>IF('Loan Tape (S&amp;P)'!V1408="Yes",
    1.20,
    1.00)</f>
        <v/>
      </c>
      <c r="T1408">
        <f>LET(
    payment_method,'Loan Tape (S&amp;P)'!P1408,
    occupancy,'Loan Tape (S&amp;P)'!N1408,
    maturity_date,'Loan Tape (S&amp;P)'!L1408,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09">
      <c r="J1409">
        <f>LET(
    lien,'Loan Tape (S&amp;P)'!Q1409,
    IF(lien="First",1.00,
        IF(lien="Second",1.50,
            1.70)))</f>
        <v/>
      </c>
      <c r="K1409">
        <f>LET(
    purpose,'Loan Tape (S&amp;P)'!R1409,
    IF(purpose="Purchase",1.00,
        IF(purpose="Remortgage",1.00,
            1.20)))</f>
        <v/>
      </c>
      <c r="L1409">
        <f>LET(
    arrears_months,'Loan Tape (S&amp;P)'!AN1409,
    IF(arrears_months=0,1.00,
    IF(arrears_months=1,3.00,
    IF(arrears_months=2,5.00,
    IF(arrears_months=3,8.00,
    IF(arrears_months=4,10.00,
    IF(arrears_months=5,12.00,15.00)))))))</f>
        <v/>
      </c>
      <c r="M1409">
        <f>LET(
    seasoning_years,DATEDIF('Loan Tape (S&amp;P)'!K1409,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09">
        <f>IF(AND('Loan Tape (S&amp;P)'!U1409="Yes",
        'Loan Tape (S&amp;P)'!T1409&lt;&gt;"Yes",
        DATEDIF('Loan Tape (S&amp;P)'!K1409, TODAY(), "M")&lt;18),
    1.10,
    1.00)</f>
        <v/>
      </c>
      <c r="O1409">
        <f>IF('Loan Tape (S&amp;P)'!T1409="Yes",
    1.35,
    1.00)</f>
        <v/>
      </c>
      <c r="P1409">
        <f>IF('Loan Tape (S&amp;P)'!S1409="Yes",
    1.15,
    1.00)</f>
        <v/>
      </c>
      <c r="Q1409">
        <f>IF('Loan Tape (S&amp;P)'!V1409="Yes",
    1.20,
    1.00)</f>
        <v/>
      </c>
      <c r="T1409">
        <f>LET(
    payment_method,'Loan Tape (S&amp;P)'!P1409,
    occupancy,'Loan Tape (S&amp;P)'!N1409,
    maturity_date,'Loan Tape (S&amp;P)'!L1409,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10">
      <c r="J1410">
        <f>LET(
    lien,'Loan Tape (S&amp;P)'!Q1410,
    IF(lien="First",1.00,
        IF(lien="Second",1.50,
            1.70)))</f>
        <v/>
      </c>
      <c r="K1410">
        <f>LET(
    purpose,'Loan Tape (S&amp;P)'!R1410,
    IF(purpose="Purchase",1.00,
        IF(purpose="Remortgage",1.00,
            1.20)))</f>
        <v/>
      </c>
      <c r="L1410">
        <f>LET(
    arrears_months,'Loan Tape (S&amp;P)'!AN1410,
    IF(arrears_months=0,1.00,
    IF(arrears_months=1,3.00,
    IF(arrears_months=2,5.00,
    IF(arrears_months=3,8.00,
    IF(arrears_months=4,10.00,
    IF(arrears_months=5,12.00,15.00)))))))</f>
        <v/>
      </c>
      <c r="M1410">
        <f>LET(
    seasoning_years,DATEDIF('Loan Tape (S&amp;P)'!K1410,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10">
        <f>IF(AND('Loan Tape (S&amp;P)'!U1410="Yes",
        'Loan Tape (S&amp;P)'!T1410&lt;&gt;"Yes",
        DATEDIF('Loan Tape (S&amp;P)'!K1410, TODAY(), "M")&lt;18),
    1.10,
    1.00)</f>
        <v/>
      </c>
      <c r="O1410">
        <f>IF('Loan Tape (S&amp;P)'!T1410="Yes",
    1.35,
    1.00)</f>
        <v/>
      </c>
      <c r="P1410">
        <f>IF('Loan Tape (S&amp;P)'!S1410="Yes",
    1.15,
    1.00)</f>
        <v/>
      </c>
      <c r="Q1410">
        <f>IF('Loan Tape (S&amp;P)'!V1410="Yes",
    1.20,
    1.00)</f>
        <v/>
      </c>
      <c r="T1410">
        <f>LET(
    payment_method,'Loan Tape (S&amp;P)'!P1410,
    occupancy,'Loan Tape (S&amp;P)'!N1410,
    maturity_date,'Loan Tape (S&amp;P)'!L1410,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11">
      <c r="J1411">
        <f>LET(
    lien,'Loan Tape (S&amp;P)'!Q1411,
    IF(lien="First",1.00,
        IF(lien="Second",1.50,
            1.70)))</f>
        <v/>
      </c>
      <c r="K1411">
        <f>LET(
    purpose,'Loan Tape (S&amp;P)'!R1411,
    IF(purpose="Purchase",1.00,
        IF(purpose="Remortgage",1.00,
            1.20)))</f>
        <v/>
      </c>
      <c r="L1411">
        <f>LET(
    arrears_months,'Loan Tape (S&amp;P)'!AN1411,
    IF(arrears_months=0,1.00,
    IF(arrears_months=1,3.00,
    IF(arrears_months=2,5.00,
    IF(arrears_months=3,8.00,
    IF(arrears_months=4,10.00,
    IF(arrears_months=5,12.00,15.00)))))))</f>
        <v/>
      </c>
      <c r="M1411">
        <f>LET(
    seasoning_years,DATEDIF('Loan Tape (S&amp;P)'!K1411,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11">
        <f>IF(AND('Loan Tape (S&amp;P)'!U1411="Yes",
        'Loan Tape (S&amp;P)'!T1411&lt;&gt;"Yes",
        DATEDIF('Loan Tape (S&amp;P)'!K1411, TODAY(), "M")&lt;18),
    1.10,
    1.00)</f>
        <v/>
      </c>
      <c r="O1411">
        <f>IF('Loan Tape (S&amp;P)'!T1411="Yes",
    1.35,
    1.00)</f>
        <v/>
      </c>
      <c r="P1411">
        <f>IF('Loan Tape (S&amp;P)'!S1411="Yes",
    1.15,
    1.00)</f>
        <v/>
      </c>
      <c r="Q1411">
        <f>IF('Loan Tape (S&amp;P)'!V1411="Yes",
    1.20,
    1.00)</f>
        <v/>
      </c>
      <c r="T1411">
        <f>LET(
    payment_method,'Loan Tape (S&amp;P)'!P1411,
    occupancy,'Loan Tape (S&amp;P)'!N1411,
    maturity_date,'Loan Tape (S&amp;P)'!L1411,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12">
      <c r="J1412">
        <f>LET(
    lien,'Loan Tape (S&amp;P)'!Q1412,
    IF(lien="First",1.00,
        IF(lien="Second",1.50,
            1.70)))</f>
        <v/>
      </c>
      <c r="K1412">
        <f>LET(
    purpose,'Loan Tape (S&amp;P)'!R1412,
    IF(purpose="Purchase",1.00,
        IF(purpose="Remortgage",1.00,
            1.20)))</f>
        <v/>
      </c>
      <c r="L1412">
        <f>LET(
    arrears_months,'Loan Tape (S&amp;P)'!AN1412,
    IF(arrears_months=0,1.00,
    IF(arrears_months=1,3.00,
    IF(arrears_months=2,5.00,
    IF(arrears_months=3,8.00,
    IF(arrears_months=4,10.00,
    IF(arrears_months=5,12.00,15.00)))))))</f>
        <v/>
      </c>
      <c r="M1412">
        <f>LET(
    seasoning_years,DATEDIF('Loan Tape (S&amp;P)'!K1412,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12">
        <f>IF(AND('Loan Tape (S&amp;P)'!U1412="Yes",
        'Loan Tape (S&amp;P)'!T1412&lt;&gt;"Yes",
        DATEDIF('Loan Tape (S&amp;P)'!K1412, TODAY(), "M")&lt;18),
    1.10,
    1.00)</f>
        <v/>
      </c>
      <c r="O1412">
        <f>IF('Loan Tape (S&amp;P)'!T1412="Yes",
    1.35,
    1.00)</f>
        <v/>
      </c>
      <c r="P1412">
        <f>IF('Loan Tape (S&amp;P)'!S1412="Yes",
    1.15,
    1.00)</f>
        <v/>
      </c>
      <c r="Q1412">
        <f>IF('Loan Tape (S&amp;P)'!V1412="Yes",
    1.20,
    1.00)</f>
        <v/>
      </c>
      <c r="T1412">
        <f>LET(
    payment_method,'Loan Tape (S&amp;P)'!P1412,
    occupancy,'Loan Tape (S&amp;P)'!N1412,
    maturity_date,'Loan Tape (S&amp;P)'!L1412,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13">
      <c r="J1413">
        <f>LET(
    lien,'Loan Tape (S&amp;P)'!Q1413,
    IF(lien="First",1.00,
        IF(lien="Second",1.50,
            1.70)))</f>
        <v/>
      </c>
      <c r="K1413">
        <f>LET(
    purpose,'Loan Tape (S&amp;P)'!R1413,
    IF(purpose="Purchase",1.00,
        IF(purpose="Remortgage",1.00,
            1.20)))</f>
        <v/>
      </c>
      <c r="L1413">
        <f>LET(
    arrears_months,'Loan Tape (S&amp;P)'!AN1413,
    IF(arrears_months=0,1.00,
    IF(arrears_months=1,3.00,
    IF(arrears_months=2,5.00,
    IF(arrears_months=3,8.00,
    IF(arrears_months=4,10.00,
    IF(arrears_months=5,12.00,15.00)))))))</f>
        <v/>
      </c>
      <c r="M1413">
        <f>LET(
    seasoning_years,DATEDIF('Loan Tape (S&amp;P)'!K1413,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13">
        <f>IF(AND('Loan Tape (S&amp;P)'!U1413="Yes",
        'Loan Tape (S&amp;P)'!T1413&lt;&gt;"Yes",
        DATEDIF('Loan Tape (S&amp;P)'!K1413, TODAY(), "M")&lt;18),
    1.10,
    1.00)</f>
        <v/>
      </c>
      <c r="O1413">
        <f>IF('Loan Tape (S&amp;P)'!T1413="Yes",
    1.35,
    1.00)</f>
        <v/>
      </c>
      <c r="P1413">
        <f>IF('Loan Tape (S&amp;P)'!S1413="Yes",
    1.15,
    1.00)</f>
        <v/>
      </c>
      <c r="Q1413">
        <f>IF('Loan Tape (S&amp;P)'!V1413="Yes",
    1.20,
    1.00)</f>
        <v/>
      </c>
      <c r="T1413">
        <f>LET(
    payment_method,'Loan Tape (S&amp;P)'!P1413,
    occupancy,'Loan Tape (S&amp;P)'!N1413,
    maturity_date,'Loan Tape (S&amp;P)'!L1413,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14">
      <c r="J1414">
        <f>LET(
    lien,'Loan Tape (S&amp;P)'!Q1414,
    IF(lien="First",1.00,
        IF(lien="Second",1.50,
            1.70)))</f>
        <v/>
      </c>
      <c r="K1414">
        <f>LET(
    purpose,'Loan Tape (S&amp;P)'!R1414,
    IF(purpose="Purchase",1.00,
        IF(purpose="Remortgage",1.00,
            1.20)))</f>
        <v/>
      </c>
      <c r="L1414">
        <f>LET(
    arrears_months,'Loan Tape (S&amp;P)'!AN1414,
    IF(arrears_months=0,1.00,
    IF(arrears_months=1,3.00,
    IF(arrears_months=2,5.00,
    IF(arrears_months=3,8.00,
    IF(arrears_months=4,10.00,
    IF(arrears_months=5,12.00,15.00)))))))</f>
        <v/>
      </c>
      <c r="M1414">
        <f>LET(
    seasoning_years,DATEDIF('Loan Tape (S&amp;P)'!K1414,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14">
        <f>IF(AND('Loan Tape (S&amp;P)'!U1414="Yes",
        'Loan Tape (S&amp;P)'!T1414&lt;&gt;"Yes",
        DATEDIF('Loan Tape (S&amp;P)'!K1414, TODAY(), "M")&lt;18),
    1.10,
    1.00)</f>
        <v/>
      </c>
      <c r="O1414">
        <f>IF('Loan Tape (S&amp;P)'!T1414="Yes",
    1.35,
    1.00)</f>
        <v/>
      </c>
      <c r="P1414">
        <f>IF('Loan Tape (S&amp;P)'!S1414="Yes",
    1.15,
    1.00)</f>
        <v/>
      </c>
      <c r="Q1414">
        <f>IF('Loan Tape (S&amp;P)'!V1414="Yes",
    1.20,
    1.00)</f>
        <v/>
      </c>
      <c r="T1414">
        <f>LET(
    payment_method,'Loan Tape (S&amp;P)'!P1414,
    occupancy,'Loan Tape (S&amp;P)'!N1414,
    maturity_date,'Loan Tape (S&amp;P)'!L1414,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15">
      <c r="J1415">
        <f>LET(
    lien,'Loan Tape (S&amp;P)'!Q1415,
    IF(lien="First",1.00,
        IF(lien="Second",1.50,
            1.70)))</f>
        <v/>
      </c>
      <c r="K1415">
        <f>LET(
    purpose,'Loan Tape (S&amp;P)'!R1415,
    IF(purpose="Purchase",1.00,
        IF(purpose="Remortgage",1.00,
            1.20)))</f>
        <v/>
      </c>
      <c r="L1415">
        <f>LET(
    arrears_months,'Loan Tape (S&amp;P)'!AN1415,
    IF(arrears_months=0,1.00,
    IF(arrears_months=1,3.00,
    IF(arrears_months=2,5.00,
    IF(arrears_months=3,8.00,
    IF(arrears_months=4,10.00,
    IF(arrears_months=5,12.00,15.00)))))))</f>
        <v/>
      </c>
      <c r="M1415">
        <f>LET(
    seasoning_years,DATEDIF('Loan Tape (S&amp;P)'!K1415,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15">
        <f>IF(AND('Loan Tape (S&amp;P)'!U1415="Yes",
        'Loan Tape (S&amp;P)'!T1415&lt;&gt;"Yes",
        DATEDIF('Loan Tape (S&amp;P)'!K1415, TODAY(), "M")&lt;18),
    1.10,
    1.00)</f>
        <v/>
      </c>
      <c r="O1415">
        <f>IF('Loan Tape (S&amp;P)'!T1415="Yes",
    1.35,
    1.00)</f>
        <v/>
      </c>
      <c r="P1415">
        <f>IF('Loan Tape (S&amp;P)'!S1415="Yes",
    1.15,
    1.00)</f>
        <v/>
      </c>
      <c r="Q1415">
        <f>IF('Loan Tape (S&amp;P)'!V1415="Yes",
    1.20,
    1.00)</f>
        <v/>
      </c>
      <c r="T1415">
        <f>LET(
    payment_method,'Loan Tape (S&amp;P)'!P1415,
    occupancy,'Loan Tape (S&amp;P)'!N1415,
    maturity_date,'Loan Tape (S&amp;P)'!L1415,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16">
      <c r="J1416">
        <f>LET(
    lien,'Loan Tape (S&amp;P)'!Q1416,
    IF(lien="First",1.00,
        IF(lien="Second",1.50,
            1.70)))</f>
        <v/>
      </c>
      <c r="K1416">
        <f>LET(
    purpose,'Loan Tape (S&amp;P)'!R1416,
    IF(purpose="Purchase",1.00,
        IF(purpose="Remortgage",1.00,
            1.20)))</f>
        <v/>
      </c>
      <c r="L1416">
        <f>LET(
    arrears_months,'Loan Tape (S&amp;P)'!AN1416,
    IF(arrears_months=0,1.00,
    IF(arrears_months=1,3.00,
    IF(arrears_months=2,5.00,
    IF(arrears_months=3,8.00,
    IF(arrears_months=4,10.00,
    IF(arrears_months=5,12.00,15.00)))))))</f>
        <v/>
      </c>
      <c r="M1416">
        <f>LET(
    seasoning_years,DATEDIF('Loan Tape (S&amp;P)'!K1416,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16">
        <f>IF(AND('Loan Tape (S&amp;P)'!U1416="Yes",
        'Loan Tape (S&amp;P)'!T1416&lt;&gt;"Yes",
        DATEDIF('Loan Tape (S&amp;P)'!K1416, TODAY(), "M")&lt;18),
    1.10,
    1.00)</f>
        <v/>
      </c>
      <c r="O1416">
        <f>IF('Loan Tape (S&amp;P)'!T1416="Yes",
    1.35,
    1.00)</f>
        <v/>
      </c>
      <c r="P1416">
        <f>IF('Loan Tape (S&amp;P)'!S1416="Yes",
    1.15,
    1.00)</f>
        <v/>
      </c>
      <c r="Q1416">
        <f>IF('Loan Tape (S&amp;P)'!V1416="Yes",
    1.20,
    1.00)</f>
        <v/>
      </c>
      <c r="T1416">
        <f>LET(
    payment_method,'Loan Tape (S&amp;P)'!P1416,
    occupancy,'Loan Tape (S&amp;P)'!N1416,
    maturity_date,'Loan Tape (S&amp;P)'!L1416,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17">
      <c r="J1417">
        <f>LET(
    lien,'Loan Tape (S&amp;P)'!Q1417,
    IF(lien="First",1.00,
        IF(lien="Second",1.50,
            1.70)))</f>
        <v/>
      </c>
      <c r="K1417">
        <f>LET(
    purpose,'Loan Tape (S&amp;P)'!R1417,
    IF(purpose="Purchase",1.00,
        IF(purpose="Remortgage",1.00,
            1.20)))</f>
        <v/>
      </c>
      <c r="L1417">
        <f>LET(
    arrears_months,'Loan Tape (S&amp;P)'!AN1417,
    IF(arrears_months=0,1.00,
    IF(arrears_months=1,3.00,
    IF(arrears_months=2,5.00,
    IF(arrears_months=3,8.00,
    IF(arrears_months=4,10.00,
    IF(arrears_months=5,12.00,15.00)))))))</f>
        <v/>
      </c>
      <c r="M1417">
        <f>LET(
    seasoning_years,DATEDIF('Loan Tape (S&amp;P)'!K1417,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17">
        <f>IF(AND('Loan Tape (S&amp;P)'!U1417="Yes",
        'Loan Tape (S&amp;P)'!T1417&lt;&gt;"Yes",
        DATEDIF('Loan Tape (S&amp;P)'!K1417, TODAY(), "M")&lt;18),
    1.10,
    1.00)</f>
        <v/>
      </c>
      <c r="O1417">
        <f>IF('Loan Tape (S&amp;P)'!T1417="Yes",
    1.35,
    1.00)</f>
        <v/>
      </c>
      <c r="P1417">
        <f>IF('Loan Tape (S&amp;P)'!S1417="Yes",
    1.15,
    1.00)</f>
        <v/>
      </c>
      <c r="Q1417">
        <f>IF('Loan Tape (S&amp;P)'!V1417="Yes",
    1.20,
    1.00)</f>
        <v/>
      </c>
      <c r="T1417">
        <f>LET(
    payment_method,'Loan Tape (S&amp;P)'!P1417,
    occupancy,'Loan Tape (S&amp;P)'!N1417,
    maturity_date,'Loan Tape (S&amp;P)'!L1417,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18">
      <c r="J1418">
        <f>LET(
    lien,'Loan Tape (S&amp;P)'!Q1418,
    IF(lien="First",1.00,
        IF(lien="Second",1.50,
            1.70)))</f>
        <v/>
      </c>
      <c r="K1418">
        <f>LET(
    purpose,'Loan Tape (S&amp;P)'!R1418,
    IF(purpose="Purchase",1.00,
        IF(purpose="Remortgage",1.00,
            1.20)))</f>
        <v/>
      </c>
      <c r="L1418">
        <f>LET(
    arrears_months,'Loan Tape (S&amp;P)'!AN1418,
    IF(arrears_months=0,1.00,
    IF(arrears_months=1,3.00,
    IF(arrears_months=2,5.00,
    IF(arrears_months=3,8.00,
    IF(arrears_months=4,10.00,
    IF(arrears_months=5,12.00,15.00)))))))</f>
        <v/>
      </c>
      <c r="M1418">
        <f>LET(
    seasoning_years,DATEDIF('Loan Tape (S&amp;P)'!K1418,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18">
        <f>IF(AND('Loan Tape (S&amp;P)'!U1418="Yes",
        'Loan Tape (S&amp;P)'!T1418&lt;&gt;"Yes",
        DATEDIF('Loan Tape (S&amp;P)'!K1418, TODAY(), "M")&lt;18),
    1.10,
    1.00)</f>
        <v/>
      </c>
      <c r="O1418">
        <f>IF('Loan Tape (S&amp;P)'!T1418="Yes",
    1.35,
    1.00)</f>
        <v/>
      </c>
      <c r="P1418">
        <f>IF('Loan Tape (S&amp;P)'!S1418="Yes",
    1.15,
    1.00)</f>
        <v/>
      </c>
      <c r="Q1418">
        <f>IF('Loan Tape (S&amp;P)'!V1418="Yes",
    1.20,
    1.00)</f>
        <v/>
      </c>
      <c r="T1418">
        <f>LET(
    payment_method,'Loan Tape (S&amp;P)'!P1418,
    occupancy,'Loan Tape (S&amp;P)'!N1418,
    maturity_date,'Loan Tape (S&amp;P)'!L1418,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19">
      <c r="J1419">
        <f>LET(
    lien,'Loan Tape (S&amp;P)'!Q1419,
    IF(lien="First",1.00,
        IF(lien="Second",1.50,
            1.70)))</f>
        <v/>
      </c>
      <c r="K1419">
        <f>LET(
    purpose,'Loan Tape (S&amp;P)'!R1419,
    IF(purpose="Purchase",1.00,
        IF(purpose="Remortgage",1.00,
            1.20)))</f>
        <v/>
      </c>
      <c r="L1419">
        <f>LET(
    arrears_months,'Loan Tape (S&amp;P)'!AN1419,
    IF(arrears_months=0,1.00,
    IF(arrears_months=1,3.00,
    IF(arrears_months=2,5.00,
    IF(arrears_months=3,8.00,
    IF(arrears_months=4,10.00,
    IF(arrears_months=5,12.00,15.00)))))))</f>
        <v/>
      </c>
      <c r="M1419">
        <f>LET(
    seasoning_years,DATEDIF('Loan Tape (S&amp;P)'!K1419,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19">
        <f>IF(AND('Loan Tape (S&amp;P)'!U1419="Yes",
        'Loan Tape (S&amp;P)'!T1419&lt;&gt;"Yes",
        DATEDIF('Loan Tape (S&amp;P)'!K1419, TODAY(), "M")&lt;18),
    1.10,
    1.00)</f>
        <v/>
      </c>
      <c r="O1419">
        <f>IF('Loan Tape (S&amp;P)'!T1419="Yes",
    1.35,
    1.00)</f>
        <v/>
      </c>
      <c r="P1419">
        <f>IF('Loan Tape (S&amp;P)'!S1419="Yes",
    1.15,
    1.00)</f>
        <v/>
      </c>
      <c r="Q1419">
        <f>IF('Loan Tape (S&amp;P)'!V1419="Yes",
    1.20,
    1.00)</f>
        <v/>
      </c>
      <c r="T1419">
        <f>LET(
    payment_method,'Loan Tape (S&amp;P)'!P1419,
    occupancy,'Loan Tape (S&amp;P)'!N1419,
    maturity_date,'Loan Tape (S&amp;P)'!L1419,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20">
      <c r="J1420">
        <f>LET(
    lien,'Loan Tape (S&amp;P)'!Q1420,
    IF(lien="First",1.00,
        IF(lien="Second",1.50,
            1.70)))</f>
        <v/>
      </c>
      <c r="K1420">
        <f>LET(
    purpose,'Loan Tape (S&amp;P)'!R1420,
    IF(purpose="Purchase",1.00,
        IF(purpose="Remortgage",1.00,
            1.20)))</f>
        <v/>
      </c>
      <c r="L1420">
        <f>LET(
    arrears_months,'Loan Tape (S&amp;P)'!AN1420,
    IF(arrears_months=0,1.00,
    IF(arrears_months=1,3.00,
    IF(arrears_months=2,5.00,
    IF(arrears_months=3,8.00,
    IF(arrears_months=4,10.00,
    IF(arrears_months=5,12.00,15.00)))))))</f>
        <v/>
      </c>
      <c r="M1420">
        <f>LET(
    seasoning_years,DATEDIF('Loan Tape (S&amp;P)'!K1420,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20">
        <f>IF(AND('Loan Tape (S&amp;P)'!U1420="Yes",
        'Loan Tape (S&amp;P)'!T1420&lt;&gt;"Yes",
        DATEDIF('Loan Tape (S&amp;P)'!K1420, TODAY(), "M")&lt;18),
    1.10,
    1.00)</f>
        <v/>
      </c>
      <c r="O1420">
        <f>IF('Loan Tape (S&amp;P)'!T1420="Yes",
    1.35,
    1.00)</f>
        <v/>
      </c>
      <c r="P1420">
        <f>IF('Loan Tape (S&amp;P)'!S1420="Yes",
    1.15,
    1.00)</f>
        <v/>
      </c>
      <c r="Q1420">
        <f>IF('Loan Tape (S&amp;P)'!V1420="Yes",
    1.20,
    1.00)</f>
        <v/>
      </c>
      <c r="T1420">
        <f>LET(
    payment_method,'Loan Tape (S&amp;P)'!P1420,
    occupancy,'Loan Tape (S&amp;P)'!N1420,
    maturity_date,'Loan Tape (S&amp;P)'!L1420,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21">
      <c r="J1421">
        <f>LET(
    lien,'Loan Tape (S&amp;P)'!Q1421,
    IF(lien="First",1.00,
        IF(lien="Second",1.50,
            1.70)))</f>
        <v/>
      </c>
      <c r="K1421">
        <f>LET(
    purpose,'Loan Tape (S&amp;P)'!R1421,
    IF(purpose="Purchase",1.00,
        IF(purpose="Remortgage",1.00,
            1.20)))</f>
        <v/>
      </c>
      <c r="L1421">
        <f>LET(
    arrears_months,'Loan Tape (S&amp;P)'!AN1421,
    IF(arrears_months=0,1.00,
    IF(arrears_months=1,3.00,
    IF(arrears_months=2,5.00,
    IF(arrears_months=3,8.00,
    IF(arrears_months=4,10.00,
    IF(arrears_months=5,12.00,15.00)))))))</f>
        <v/>
      </c>
      <c r="M1421">
        <f>LET(
    seasoning_years,DATEDIF('Loan Tape (S&amp;P)'!K1421,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21">
        <f>IF(AND('Loan Tape (S&amp;P)'!U1421="Yes",
        'Loan Tape (S&amp;P)'!T1421&lt;&gt;"Yes",
        DATEDIF('Loan Tape (S&amp;P)'!K1421, TODAY(), "M")&lt;18),
    1.10,
    1.00)</f>
        <v/>
      </c>
      <c r="O1421">
        <f>IF('Loan Tape (S&amp;P)'!T1421="Yes",
    1.35,
    1.00)</f>
        <v/>
      </c>
      <c r="P1421">
        <f>IF('Loan Tape (S&amp;P)'!S1421="Yes",
    1.15,
    1.00)</f>
        <v/>
      </c>
      <c r="Q1421">
        <f>IF('Loan Tape (S&amp;P)'!V1421="Yes",
    1.20,
    1.00)</f>
        <v/>
      </c>
      <c r="T1421">
        <f>LET(
    payment_method,'Loan Tape (S&amp;P)'!P1421,
    occupancy,'Loan Tape (S&amp;P)'!N1421,
    maturity_date,'Loan Tape (S&amp;P)'!L1421,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22">
      <c r="J1422">
        <f>LET(
    lien,'Loan Tape (S&amp;P)'!Q1422,
    IF(lien="First",1.00,
        IF(lien="Second",1.50,
            1.70)))</f>
        <v/>
      </c>
      <c r="K1422">
        <f>LET(
    purpose,'Loan Tape (S&amp;P)'!R1422,
    IF(purpose="Purchase",1.00,
        IF(purpose="Remortgage",1.00,
            1.20)))</f>
        <v/>
      </c>
      <c r="L1422">
        <f>LET(
    arrears_months,'Loan Tape (S&amp;P)'!AN1422,
    IF(arrears_months=0,1.00,
    IF(arrears_months=1,3.00,
    IF(arrears_months=2,5.00,
    IF(arrears_months=3,8.00,
    IF(arrears_months=4,10.00,
    IF(arrears_months=5,12.00,15.00)))))))</f>
        <v/>
      </c>
      <c r="M1422">
        <f>LET(
    seasoning_years,DATEDIF('Loan Tape (S&amp;P)'!K1422,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22">
        <f>IF(AND('Loan Tape (S&amp;P)'!U1422="Yes",
        'Loan Tape (S&amp;P)'!T1422&lt;&gt;"Yes",
        DATEDIF('Loan Tape (S&amp;P)'!K1422, TODAY(), "M")&lt;18),
    1.10,
    1.00)</f>
        <v/>
      </c>
      <c r="O1422">
        <f>IF('Loan Tape (S&amp;P)'!T1422="Yes",
    1.35,
    1.00)</f>
        <v/>
      </c>
      <c r="P1422">
        <f>IF('Loan Tape (S&amp;P)'!S1422="Yes",
    1.15,
    1.00)</f>
        <v/>
      </c>
      <c r="Q1422">
        <f>IF('Loan Tape (S&amp;P)'!V1422="Yes",
    1.20,
    1.00)</f>
        <v/>
      </c>
      <c r="T1422">
        <f>LET(
    payment_method,'Loan Tape (S&amp;P)'!P1422,
    occupancy,'Loan Tape (S&amp;P)'!N1422,
    maturity_date,'Loan Tape (S&amp;P)'!L1422,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23">
      <c r="J1423">
        <f>LET(
    lien,'Loan Tape (S&amp;P)'!Q1423,
    IF(lien="First",1.00,
        IF(lien="Second",1.50,
            1.70)))</f>
        <v/>
      </c>
      <c r="K1423">
        <f>LET(
    purpose,'Loan Tape (S&amp;P)'!R1423,
    IF(purpose="Purchase",1.00,
        IF(purpose="Remortgage",1.00,
            1.20)))</f>
        <v/>
      </c>
      <c r="L1423">
        <f>LET(
    arrears_months,'Loan Tape (S&amp;P)'!AN1423,
    IF(arrears_months=0,1.00,
    IF(arrears_months=1,3.00,
    IF(arrears_months=2,5.00,
    IF(arrears_months=3,8.00,
    IF(arrears_months=4,10.00,
    IF(arrears_months=5,12.00,15.00)))))))</f>
        <v/>
      </c>
      <c r="M1423">
        <f>LET(
    seasoning_years,DATEDIF('Loan Tape (S&amp;P)'!K1423,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23">
        <f>IF(AND('Loan Tape (S&amp;P)'!U1423="Yes",
        'Loan Tape (S&amp;P)'!T1423&lt;&gt;"Yes",
        DATEDIF('Loan Tape (S&amp;P)'!K1423, TODAY(), "M")&lt;18),
    1.10,
    1.00)</f>
        <v/>
      </c>
      <c r="O1423">
        <f>IF('Loan Tape (S&amp;P)'!T1423="Yes",
    1.35,
    1.00)</f>
        <v/>
      </c>
      <c r="P1423">
        <f>IF('Loan Tape (S&amp;P)'!S1423="Yes",
    1.15,
    1.00)</f>
        <v/>
      </c>
      <c r="Q1423">
        <f>IF('Loan Tape (S&amp;P)'!V1423="Yes",
    1.20,
    1.00)</f>
        <v/>
      </c>
      <c r="T1423">
        <f>LET(
    payment_method,'Loan Tape (S&amp;P)'!P1423,
    occupancy,'Loan Tape (S&amp;P)'!N1423,
    maturity_date,'Loan Tape (S&amp;P)'!L1423,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24">
      <c r="J1424">
        <f>LET(
    lien,'Loan Tape (S&amp;P)'!Q1424,
    IF(lien="First",1.00,
        IF(lien="Second",1.50,
            1.70)))</f>
        <v/>
      </c>
      <c r="K1424">
        <f>LET(
    purpose,'Loan Tape (S&amp;P)'!R1424,
    IF(purpose="Purchase",1.00,
        IF(purpose="Remortgage",1.00,
            1.20)))</f>
        <v/>
      </c>
      <c r="L1424">
        <f>LET(
    arrears_months,'Loan Tape (S&amp;P)'!AN1424,
    IF(arrears_months=0,1.00,
    IF(arrears_months=1,3.00,
    IF(arrears_months=2,5.00,
    IF(arrears_months=3,8.00,
    IF(arrears_months=4,10.00,
    IF(arrears_months=5,12.00,15.00)))))))</f>
        <v/>
      </c>
      <c r="M1424">
        <f>LET(
    seasoning_years,DATEDIF('Loan Tape (S&amp;P)'!K1424,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24">
        <f>IF(AND('Loan Tape (S&amp;P)'!U1424="Yes",
        'Loan Tape (S&amp;P)'!T1424&lt;&gt;"Yes",
        DATEDIF('Loan Tape (S&amp;P)'!K1424, TODAY(), "M")&lt;18),
    1.10,
    1.00)</f>
        <v/>
      </c>
      <c r="O1424">
        <f>IF('Loan Tape (S&amp;P)'!T1424="Yes",
    1.35,
    1.00)</f>
        <v/>
      </c>
      <c r="P1424">
        <f>IF('Loan Tape (S&amp;P)'!S1424="Yes",
    1.15,
    1.00)</f>
        <v/>
      </c>
      <c r="Q1424">
        <f>IF('Loan Tape (S&amp;P)'!V1424="Yes",
    1.20,
    1.00)</f>
        <v/>
      </c>
      <c r="T1424">
        <f>LET(
    payment_method,'Loan Tape (S&amp;P)'!P1424,
    occupancy,'Loan Tape (S&amp;P)'!N1424,
    maturity_date,'Loan Tape (S&amp;P)'!L1424,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25">
      <c r="J1425">
        <f>LET(
    lien,'Loan Tape (S&amp;P)'!Q1425,
    IF(lien="First",1.00,
        IF(lien="Second",1.50,
            1.70)))</f>
        <v/>
      </c>
      <c r="K1425">
        <f>LET(
    purpose,'Loan Tape (S&amp;P)'!R1425,
    IF(purpose="Purchase",1.00,
        IF(purpose="Remortgage",1.00,
            1.20)))</f>
        <v/>
      </c>
      <c r="L1425">
        <f>LET(
    arrears_months,'Loan Tape (S&amp;P)'!AN1425,
    IF(arrears_months=0,1.00,
    IF(arrears_months=1,3.00,
    IF(arrears_months=2,5.00,
    IF(arrears_months=3,8.00,
    IF(arrears_months=4,10.00,
    IF(arrears_months=5,12.00,15.00)))))))</f>
        <v/>
      </c>
      <c r="M1425">
        <f>LET(
    seasoning_years,DATEDIF('Loan Tape (S&amp;P)'!K1425,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25">
        <f>IF(AND('Loan Tape (S&amp;P)'!U1425="Yes",
        'Loan Tape (S&amp;P)'!T1425&lt;&gt;"Yes",
        DATEDIF('Loan Tape (S&amp;P)'!K1425, TODAY(), "M")&lt;18),
    1.10,
    1.00)</f>
        <v/>
      </c>
      <c r="O1425">
        <f>IF('Loan Tape (S&amp;P)'!T1425="Yes",
    1.35,
    1.00)</f>
        <v/>
      </c>
      <c r="P1425">
        <f>IF('Loan Tape (S&amp;P)'!S1425="Yes",
    1.15,
    1.00)</f>
        <v/>
      </c>
      <c r="Q1425">
        <f>IF('Loan Tape (S&amp;P)'!V1425="Yes",
    1.20,
    1.00)</f>
        <v/>
      </c>
      <c r="T1425">
        <f>LET(
    payment_method,'Loan Tape (S&amp;P)'!P1425,
    occupancy,'Loan Tape (S&amp;P)'!N1425,
    maturity_date,'Loan Tape (S&amp;P)'!L1425,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26">
      <c r="J1426">
        <f>LET(
    lien,'Loan Tape (S&amp;P)'!Q1426,
    IF(lien="First",1.00,
        IF(lien="Second",1.50,
            1.70)))</f>
        <v/>
      </c>
      <c r="K1426">
        <f>LET(
    purpose,'Loan Tape (S&amp;P)'!R1426,
    IF(purpose="Purchase",1.00,
        IF(purpose="Remortgage",1.00,
            1.20)))</f>
        <v/>
      </c>
      <c r="L1426">
        <f>LET(
    arrears_months,'Loan Tape (S&amp;P)'!AN1426,
    IF(arrears_months=0,1.00,
    IF(arrears_months=1,3.00,
    IF(arrears_months=2,5.00,
    IF(arrears_months=3,8.00,
    IF(arrears_months=4,10.00,
    IF(arrears_months=5,12.00,15.00)))))))</f>
        <v/>
      </c>
      <c r="M1426">
        <f>LET(
    seasoning_years,DATEDIF('Loan Tape (S&amp;P)'!K1426,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26">
        <f>IF(AND('Loan Tape (S&amp;P)'!U1426="Yes",
        'Loan Tape (S&amp;P)'!T1426&lt;&gt;"Yes",
        DATEDIF('Loan Tape (S&amp;P)'!K1426, TODAY(), "M")&lt;18),
    1.10,
    1.00)</f>
        <v/>
      </c>
      <c r="O1426">
        <f>IF('Loan Tape (S&amp;P)'!T1426="Yes",
    1.35,
    1.00)</f>
        <v/>
      </c>
      <c r="P1426">
        <f>IF('Loan Tape (S&amp;P)'!S1426="Yes",
    1.15,
    1.00)</f>
        <v/>
      </c>
      <c r="Q1426">
        <f>IF('Loan Tape (S&amp;P)'!V1426="Yes",
    1.20,
    1.00)</f>
        <v/>
      </c>
      <c r="T1426">
        <f>LET(
    payment_method,'Loan Tape (S&amp;P)'!P1426,
    occupancy,'Loan Tape (S&amp;P)'!N1426,
    maturity_date,'Loan Tape (S&amp;P)'!L1426,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27">
      <c r="J1427">
        <f>LET(
    lien,'Loan Tape (S&amp;P)'!Q1427,
    IF(lien="First",1.00,
        IF(lien="Second",1.50,
            1.70)))</f>
        <v/>
      </c>
      <c r="K1427">
        <f>LET(
    purpose,'Loan Tape (S&amp;P)'!R1427,
    IF(purpose="Purchase",1.00,
        IF(purpose="Remortgage",1.00,
            1.20)))</f>
        <v/>
      </c>
      <c r="L1427">
        <f>LET(
    arrears_months,'Loan Tape (S&amp;P)'!AN1427,
    IF(arrears_months=0,1.00,
    IF(arrears_months=1,3.00,
    IF(arrears_months=2,5.00,
    IF(arrears_months=3,8.00,
    IF(arrears_months=4,10.00,
    IF(arrears_months=5,12.00,15.00)))))))</f>
        <v/>
      </c>
      <c r="M1427">
        <f>LET(
    seasoning_years,DATEDIF('Loan Tape (S&amp;P)'!K1427,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27">
        <f>IF(AND('Loan Tape (S&amp;P)'!U1427="Yes",
        'Loan Tape (S&amp;P)'!T1427&lt;&gt;"Yes",
        DATEDIF('Loan Tape (S&amp;P)'!K1427, TODAY(), "M")&lt;18),
    1.10,
    1.00)</f>
        <v/>
      </c>
      <c r="O1427">
        <f>IF('Loan Tape (S&amp;P)'!T1427="Yes",
    1.35,
    1.00)</f>
        <v/>
      </c>
      <c r="P1427">
        <f>IF('Loan Tape (S&amp;P)'!S1427="Yes",
    1.15,
    1.00)</f>
        <v/>
      </c>
      <c r="Q1427">
        <f>IF('Loan Tape (S&amp;P)'!V1427="Yes",
    1.20,
    1.00)</f>
        <v/>
      </c>
      <c r="T1427">
        <f>LET(
    payment_method,'Loan Tape (S&amp;P)'!P1427,
    occupancy,'Loan Tape (S&amp;P)'!N1427,
    maturity_date,'Loan Tape (S&amp;P)'!L1427,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28">
      <c r="J1428">
        <f>LET(
    lien,'Loan Tape (S&amp;P)'!Q1428,
    IF(lien="First",1.00,
        IF(lien="Second",1.50,
            1.70)))</f>
        <v/>
      </c>
      <c r="K1428">
        <f>LET(
    purpose,'Loan Tape (S&amp;P)'!R1428,
    IF(purpose="Purchase",1.00,
        IF(purpose="Remortgage",1.00,
            1.20)))</f>
        <v/>
      </c>
      <c r="L1428">
        <f>LET(
    arrears_months,'Loan Tape (S&amp;P)'!AN1428,
    IF(arrears_months=0,1.00,
    IF(arrears_months=1,3.00,
    IF(arrears_months=2,5.00,
    IF(arrears_months=3,8.00,
    IF(arrears_months=4,10.00,
    IF(arrears_months=5,12.00,15.00)))))))</f>
        <v/>
      </c>
      <c r="M1428">
        <f>LET(
    seasoning_years,DATEDIF('Loan Tape (S&amp;P)'!K1428,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28">
        <f>IF(AND('Loan Tape (S&amp;P)'!U1428="Yes",
        'Loan Tape (S&amp;P)'!T1428&lt;&gt;"Yes",
        DATEDIF('Loan Tape (S&amp;P)'!K1428, TODAY(), "M")&lt;18),
    1.10,
    1.00)</f>
        <v/>
      </c>
      <c r="O1428">
        <f>IF('Loan Tape (S&amp;P)'!T1428="Yes",
    1.35,
    1.00)</f>
        <v/>
      </c>
      <c r="P1428">
        <f>IF('Loan Tape (S&amp;P)'!S1428="Yes",
    1.15,
    1.00)</f>
        <v/>
      </c>
      <c r="Q1428">
        <f>IF('Loan Tape (S&amp;P)'!V1428="Yes",
    1.20,
    1.00)</f>
        <v/>
      </c>
      <c r="T1428">
        <f>LET(
    payment_method,'Loan Tape (S&amp;P)'!P1428,
    occupancy,'Loan Tape (S&amp;P)'!N1428,
    maturity_date,'Loan Tape (S&amp;P)'!L1428,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29">
      <c r="J1429">
        <f>LET(
    lien,'Loan Tape (S&amp;P)'!Q1429,
    IF(lien="First",1.00,
        IF(lien="Second",1.50,
            1.70)))</f>
        <v/>
      </c>
      <c r="K1429">
        <f>LET(
    purpose,'Loan Tape (S&amp;P)'!R1429,
    IF(purpose="Purchase",1.00,
        IF(purpose="Remortgage",1.00,
            1.20)))</f>
        <v/>
      </c>
      <c r="L1429">
        <f>LET(
    arrears_months,'Loan Tape (S&amp;P)'!AN1429,
    IF(arrears_months=0,1.00,
    IF(arrears_months=1,3.00,
    IF(arrears_months=2,5.00,
    IF(arrears_months=3,8.00,
    IF(arrears_months=4,10.00,
    IF(arrears_months=5,12.00,15.00)))))))</f>
        <v/>
      </c>
      <c r="M1429">
        <f>LET(
    seasoning_years,DATEDIF('Loan Tape (S&amp;P)'!K1429,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29">
        <f>IF(AND('Loan Tape (S&amp;P)'!U1429="Yes",
        'Loan Tape (S&amp;P)'!T1429&lt;&gt;"Yes",
        DATEDIF('Loan Tape (S&amp;P)'!K1429, TODAY(), "M")&lt;18),
    1.10,
    1.00)</f>
        <v/>
      </c>
      <c r="O1429">
        <f>IF('Loan Tape (S&amp;P)'!T1429="Yes",
    1.35,
    1.00)</f>
        <v/>
      </c>
      <c r="P1429">
        <f>IF('Loan Tape (S&amp;P)'!S1429="Yes",
    1.15,
    1.00)</f>
        <v/>
      </c>
      <c r="Q1429">
        <f>IF('Loan Tape (S&amp;P)'!V1429="Yes",
    1.20,
    1.00)</f>
        <v/>
      </c>
      <c r="T1429">
        <f>LET(
    payment_method,'Loan Tape (S&amp;P)'!P1429,
    occupancy,'Loan Tape (S&amp;P)'!N1429,
    maturity_date,'Loan Tape (S&amp;P)'!L1429,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30">
      <c r="J1430">
        <f>LET(
    lien,'Loan Tape (S&amp;P)'!Q1430,
    IF(lien="First",1.00,
        IF(lien="Second",1.50,
            1.70)))</f>
        <v/>
      </c>
      <c r="K1430">
        <f>LET(
    purpose,'Loan Tape (S&amp;P)'!R1430,
    IF(purpose="Purchase",1.00,
        IF(purpose="Remortgage",1.00,
            1.20)))</f>
        <v/>
      </c>
      <c r="L1430">
        <f>LET(
    arrears_months,'Loan Tape (S&amp;P)'!AN1430,
    IF(arrears_months=0,1.00,
    IF(arrears_months=1,3.00,
    IF(arrears_months=2,5.00,
    IF(arrears_months=3,8.00,
    IF(arrears_months=4,10.00,
    IF(arrears_months=5,12.00,15.00)))))))</f>
        <v/>
      </c>
      <c r="M1430">
        <f>LET(
    seasoning_years,DATEDIF('Loan Tape (S&amp;P)'!K1430,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30">
        <f>IF(AND('Loan Tape (S&amp;P)'!U1430="Yes",
        'Loan Tape (S&amp;P)'!T1430&lt;&gt;"Yes",
        DATEDIF('Loan Tape (S&amp;P)'!K1430, TODAY(), "M")&lt;18),
    1.10,
    1.00)</f>
        <v/>
      </c>
      <c r="O1430">
        <f>IF('Loan Tape (S&amp;P)'!T1430="Yes",
    1.35,
    1.00)</f>
        <v/>
      </c>
      <c r="P1430">
        <f>IF('Loan Tape (S&amp;P)'!S1430="Yes",
    1.15,
    1.00)</f>
        <v/>
      </c>
      <c r="Q1430">
        <f>IF('Loan Tape (S&amp;P)'!V1430="Yes",
    1.20,
    1.00)</f>
        <v/>
      </c>
      <c r="T1430">
        <f>LET(
    payment_method,'Loan Tape (S&amp;P)'!P1430,
    occupancy,'Loan Tape (S&amp;P)'!N1430,
    maturity_date,'Loan Tape (S&amp;P)'!L1430,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31">
      <c r="J1431">
        <f>LET(
    lien,'Loan Tape (S&amp;P)'!Q1431,
    IF(lien="First",1.00,
        IF(lien="Second",1.50,
            1.70)))</f>
        <v/>
      </c>
      <c r="K1431">
        <f>LET(
    purpose,'Loan Tape (S&amp;P)'!R1431,
    IF(purpose="Purchase",1.00,
        IF(purpose="Remortgage",1.00,
            1.20)))</f>
        <v/>
      </c>
      <c r="L1431">
        <f>LET(
    arrears_months,'Loan Tape (S&amp;P)'!AN1431,
    IF(arrears_months=0,1.00,
    IF(arrears_months=1,3.00,
    IF(arrears_months=2,5.00,
    IF(arrears_months=3,8.00,
    IF(arrears_months=4,10.00,
    IF(arrears_months=5,12.00,15.00)))))))</f>
        <v/>
      </c>
      <c r="M1431">
        <f>LET(
    seasoning_years,DATEDIF('Loan Tape (S&amp;P)'!K1431,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31">
        <f>IF(AND('Loan Tape (S&amp;P)'!U1431="Yes",
        'Loan Tape (S&amp;P)'!T1431&lt;&gt;"Yes",
        DATEDIF('Loan Tape (S&amp;P)'!K1431, TODAY(), "M")&lt;18),
    1.10,
    1.00)</f>
        <v/>
      </c>
      <c r="O1431">
        <f>IF('Loan Tape (S&amp;P)'!T1431="Yes",
    1.35,
    1.00)</f>
        <v/>
      </c>
      <c r="P1431">
        <f>IF('Loan Tape (S&amp;P)'!S1431="Yes",
    1.15,
    1.00)</f>
        <v/>
      </c>
      <c r="Q1431">
        <f>IF('Loan Tape (S&amp;P)'!V1431="Yes",
    1.20,
    1.00)</f>
        <v/>
      </c>
      <c r="T1431">
        <f>LET(
    payment_method,'Loan Tape (S&amp;P)'!P1431,
    occupancy,'Loan Tape (S&amp;P)'!N1431,
    maturity_date,'Loan Tape (S&amp;P)'!L1431,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32">
      <c r="J1432">
        <f>LET(
    lien,'Loan Tape (S&amp;P)'!Q1432,
    IF(lien="First",1.00,
        IF(lien="Second",1.50,
            1.70)))</f>
        <v/>
      </c>
      <c r="K1432">
        <f>LET(
    purpose,'Loan Tape (S&amp;P)'!R1432,
    IF(purpose="Purchase",1.00,
        IF(purpose="Remortgage",1.00,
            1.20)))</f>
        <v/>
      </c>
      <c r="L1432">
        <f>LET(
    arrears_months,'Loan Tape (S&amp;P)'!AN1432,
    IF(arrears_months=0,1.00,
    IF(arrears_months=1,3.00,
    IF(arrears_months=2,5.00,
    IF(arrears_months=3,8.00,
    IF(arrears_months=4,10.00,
    IF(arrears_months=5,12.00,15.00)))))))</f>
        <v/>
      </c>
      <c r="M1432">
        <f>LET(
    seasoning_years,DATEDIF('Loan Tape (S&amp;P)'!K1432,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32">
        <f>IF(AND('Loan Tape (S&amp;P)'!U1432="Yes",
        'Loan Tape (S&amp;P)'!T1432&lt;&gt;"Yes",
        DATEDIF('Loan Tape (S&amp;P)'!K1432, TODAY(), "M")&lt;18),
    1.10,
    1.00)</f>
        <v/>
      </c>
      <c r="O1432">
        <f>IF('Loan Tape (S&amp;P)'!T1432="Yes",
    1.35,
    1.00)</f>
        <v/>
      </c>
      <c r="P1432">
        <f>IF('Loan Tape (S&amp;P)'!S1432="Yes",
    1.15,
    1.00)</f>
        <v/>
      </c>
      <c r="Q1432">
        <f>IF('Loan Tape (S&amp;P)'!V1432="Yes",
    1.20,
    1.00)</f>
        <v/>
      </c>
      <c r="T1432">
        <f>LET(
    payment_method,'Loan Tape (S&amp;P)'!P1432,
    occupancy,'Loan Tape (S&amp;P)'!N1432,
    maturity_date,'Loan Tape (S&amp;P)'!L1432,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33">
      <c r="J1433">
        <f>LET(
    lien,'Loan Tape (S&amp;P)'!Q1433,
    IF(lien="First",1.00,
        IF(lien="Second",1.50,
            1.70)))</f>
        <v/>
      </c>
      <c r="K1433">
        <f>LET(
    purpose,'Loan Tape (S&amp;P)'!R1433,
    IF(purpose="Purchase",1.00,
        IF(purpose="Remortgage",1.00,
            1.20)))</f>
        <v/>
      </c>
      <c r="L1433">
        <f>LET(
    arrears_months,'Loan Tape (S&amp;P)'!AN1433,
    IF(arrears_months=0,1.00,
    IF(arrears_months=1,3.00,
    IF(arrears_months=2,5.00,
    IF(arrears_months=3,8.00,
    IF(arrears_months=4,10.00,
    IF(arrears_months=5,12.00,15.00)))))))</f>
        <v/>
      </c>
      <c r="M1433">
        <f>LET(
    seasoning_years,DATEDIF('Loan Tape (S&amp;P)'!K1433,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33">
        <f>IF(AND('Loan Tape (S&amp;P)'!U1433="Yes",
        'Loan Tape (S&amp;P)'!T1433&lt;&gt;"Yes",
        DATEDIF('Loan Tape (S&amp;P)'!K1433, TODAY(), "M")&lt;18),
    1.10,
    1.00)</f>
        <v/>
      </c>
      <c r="O1433">
        <f>IF('Loan Tape (S&amp;P)'!T1433="Yes",
    1.35,
    1.00)</f>
        <v/>
      </c>
      <c r="P1433">
        <f>IF('Loan Tape (S&amp;P)'!S1433="Yes",
    1.15,
    1.00)</f>
        <v/>
      </c>
      <c r="Q1433">
        <f>IF('Loan Tape (S&amp;P)'!V1433="Yes",
    1.20,
    1.00)</f>
        <v/>
      </c>
      <c r="T1433">
        <f>LET(
    payment_method,'Loan Tape (S&amp;P)'!P1433,
    occupancy,'Loan Tape (S&amp;P)'!N1433,
    maturity_date,'Loan Tape (S&amp;P)'!L1433,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34">
      <c r="J1434">
        <f>LET(
    lien,'Loan Tape (S&amp;P)'!Q1434,
    IF(lien="First",1.00,
        IF(lien="Second",1.50,
            1.70)))</f>
        <v/>
      </c>
      <c r="K1434">
        <f>LET(
    purpose,'Loan Tape (S&amp;P)'!R1434,
    IF(purpose="Purchase",1.00,
        IF(purpose="Remortgage",1.00,
            1.20)))</f>
        <v/>
      </c>
      <c r="L1434">
        <f>LET(
    arrears_months,'Loan Tape (S&amp;P)'!AN1434,
    IF(arrears_months=0,1.00,
    IF(arrears_months=1,3.00,
    IF(arrears_months=2,5.00,
    IF(arrears_months=3,8.00,
    IF(arrears_months=4,10.00,
    IF(arrears_months=5,12.00,15.00)))))))</f>
        <v/>
      </c>
      <c r="M1434">
        <f>LET(
    seasoning_years,DATEDIF('Loan Tape (S&amp;P)'!K1434,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34">
        <f>IF(AND('Loan Tape (S&amp;P)'!U1434="Yes",
        'Loan Tape (S&amp;P)'!T1434&lt;&gt;"Yes",
        DATEDIF('Loan Tape (S&amp;P)'!K1434, TODAY(), "M")&lt;18),
    1.10,
    1.00)</f>
        <v/>
      </c>
      <c r="O1434">
        <f>IF('Loan Tape (S&amp;P)'!T1434="Yes",
    1.35,
    1.00)</f>
        <v/>
      </c>
      <c r="P1434">
        <f>IF('Loan Tape (S&amp;P)'!S1434="Yes",
    1.15,
    1.00)</f>
        <v/>
      </c>
      <c r="Q1434">
        <f>IF('Loan Tape (S&amp;P)'!V1434="Yes",
    1.20,
    1.00)</f>
        <v/>
      </c>
      <c r="T1434">
        <f>LET(
    payment_method,'Loan Tape (S&amp;P)'!P1434,
    occupancy,'Loan Tape (S&amp;P)'!N1434,
    maturity_date,'Loan Tape (S&amp;P)'!L1434,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35">
      <c r="J1435">
        <f>LET(
    lien,'Loan Tape (S&amp;P)'!Q1435,
    IF(lien="First",1.00,
        IF(lien="Second",1.50,
            1.70)))</f>
        <v/>
      </c>
      <c r="K1435">
        <f>LET(
    purpose,'Loan Tape (S&amp;P)'!R1435,
    IF(purpose="Purchase",1.00,
        IF(purpose="Remortgage",1.00,
            1.20)))</f>
        <v/>
      </c>
      <c r="L1435">
        <f>LET(
    arrears_months,'Loan Tape (S&amp;P)'!AN1435,
    IF(arrears_months=0,1.00,
    IF(arrears_months=1,3.00,
    IF(arrears_months=2,5.00,
    IF(arrears_months=3,8.00,
    IF(arrears_months=4,10.00,
    IF(arrears_months=5,12.00,15.00)))))))</f>
        <v/>
      </c>
      <c r="M1435">
        <f>LET(
    seasoning_years,DATEDIF('Loan Tape (S&amp;P)'!K1435,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35">
        <f>IF(AND('Loan Tape (S&amp;P)'!U1435="Yes",
        'Loan Tape (S&amp;P)'!T1435&lt;&gt;"Yes",
        DATEDIF('Loan Tape (S&amp;P)'!K1435, TODAY(), "M")&lt;18),
    1.10,
    1.00)</f>
        <v/>
      </c>
      <c r="O1435">
        <f>IF('Loan Tape (S&amp;P)'!T1435="Yes",
    1.35,
    1.00)</f>
        <v/>
      </c>
      <c r="P1435">
        <f>IF('Loan Tape (S&amp;P)'!S1435="Yes",
    1.15,
    1.00)</f>
        <v/>
      </c>
      <c r="Q1435">
        <f>IF('Loan Tape (S&amp;P)'!V1435="Yes",
    1.20,
    1.00)</f>
        <v/>
      </c>
      <c r="T1435">
        <f>LET(
    payment_method,'Loan Tape (S&amp;P)'!P1435,
    occupancy,'Loan Tape (S&amp;P)'!N1435,
    maturity_date,'Loan Tape (S&amp;P)'!L1435,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36">
      <c r="J1436">
        <f>LET(
    lien,'Loan Tape (S&amp;P)'!Q1436,
    IF(lien="First",1.00,
        IF(lien="Second",1.50,
            1.70)))</f>
        <v/>
      </c>
      <c r="K1436">
        <f>LET(
    purpose,'Loan Tape (S&amp;P)'!R1436,
    IF(purpose="Purchase",1.00,
        IF(purpose="Remortgage",1.00,
            1.20)))</f>
        <v/>
      </c>
      <c r="L1436">
        <f>LET(
    arrears_months,'Loan Tape (S&amp;P)'!AN1436,
    IF(arrears_months=0,1.00,
    IF(arrears_months=1,3.00,
    IF(arrears_months=2,5.00,
    IF(arrears_months=3,8.00,
    IF(arrears_months=4,10.00,
    IF(arrears_months=5,12.00,15.00)))))))</f>
        <v/>
      </c>
      <c r="M1436">
        <f>LET(
    seasoning_years,DATEDIF('Loan Tape (S&amp;P)'!K1436,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36">
        <f>IF(AND('Loan Tape (S&amp;P)'!U1436="Yes",
        'Loan Tape (S&amp;P)'!T1436&lt;&gt;"Yes",
        DATEDIF('Loan Tape (S&amp;P)'!K1436, TODAY(), "M")&lt;18),
    1.10,
    1.00)</f>
        <v/>
      </c>
      <c r="O1436">
        <f>IF('Loan Tape (S&amp;P)'!T1436="Yes",
    1.35,
    1.00)</f>
        <v/>
      </c>
      <c r="P1436">
        <f>IF('Loan Tape (S&amp;P)'!S1436="Yes",
    1.15,
    1.00)</f>
        <v/>
      </c>
      <c r="Q1436">
        <f>IF('Loan Tape (S&amp;P)'!V1436="Yes",
    1.20,
    1.00)</f>
        <v/>
      </c>
      <c r="T1436">
        <f>LET(
    payment_method,'Loan Tape (S&amp;P)'!P1436,
    occupancy,'Loan Tape (S&amp;P)'!N1436,
    maturity_date,'Loan Tape (S&amp;P)'!L1436,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37">
      <c r="J1437">
        <f>LET(
    lien,'Loan Tape (S&amp;P)'!Q1437,
    IF(lien="First",1.00,
        IF(lien="Second",1.50,
            1.70)))</f>
        <v/>
      </c>
      <c r="K1437">
        <f>LET(
    purpose,'Loan Tape (S&amp;P)'!R1437,
    IF(purpose="Purchase",1.00,
        IF(purpose="Remortgage",1.00,
            1.20)))</f>
        <v/>
      </c>
      <c r="L1437">
        <f>LET(
    arrears_months,'Loan Tape (S&amp;P)'!AN1437,
    IF(arrears_months=0,1.00,
    IF(arrears_months=1,3.00,
    IF(arrears_months=2,5.00,
    IF(arrears_months=3,8.00,
    IF(arrears_months=4,10.00,
    IF(arrears_months=5,12.00,15.00)))))))</f>
        <v/>
      </c>
      <c r="M1437">
        <f>LET(
    seasoning_years,DATEDIF('Loan Tape (S&amp;P)'!K1437,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37">
        <f>IF(AND('Loan Tape (S&amp;P)'!U1437="Yes",
        'Loan Tape (S&amp;P)'!T1437&lt;&gt;"Yes",
        DATEDIF('Loan Tape (S&amp;P)'!K1437, TODAY(), "M")&lt;18),
    1.10,
    1.00)</f>
        <v/>
      </c>
      <c r="O1437">
        <f>IF('Loan Tape (S&amp;P)'!T1437="Yes",
    1.35,
    1.00)</f>
        <v/>
      </c>
      <c r="P1437">
        <f>IF('Loan Tape (S&amp;P)'!S1437="Yes",
    1.15,
    1.00)</f>
        <v/>
      </c>
      <c r="Q1437">
        <f>IF('Loan Tape (S&amp;P)'!V1437="Yes",
    1.20,
    1.00)</f>
        <v/>
      </c>
      <c r="T1437">
        <f>LET(
    payment_method,'Loan Tape (S&amp;P)'!P1437,
    occupancy,'Loan Tape (S&amp;P)'!N1437,
    maturity_date,'Loan Tape (S&amp;P)'!L1437,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38">
      <c r="J1438">
        <f>LET(
    lien,'Loan Tape (S&amp;P)'!Q1438,
    IF(lien="First",1.00,
        IF(lien="Second",1.50,
            1.70)))</f>
        <v/>
      </c>
      <c r="K1438">
        <f>LET(
    purpose,'Loan Tape (S&amp;P)'!R1438,
    IF(purpose="Purchase",1.00,
        IF(purpose="Remortgage",1.00,
            1.20)))</f>
        <v/>
      </c>
      <c r="L1438">
        <f>LET(
    arrears_months,'Loan Tape (S&amp;P)'!AN1438,
    IF(arrears_months=0,1.00,
    IF(arrears_months=1,3.00,
    IF(arrears_months=2,5.00,
    IF(arrears_months=3,8.00,
    IF(arrears_months=4,10.00,
    IF(arrears_months=5,12.00,15.00)))))))</f>
        <v/>
      </c>
      <c r="M1438">
        <f>LET(
    seasoning_years,DATEDIF('Loan Tape (S&amp;P)'!K1438,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38">
        <f>IF(AND('Loan Tape (S&amp;P)'!U1438="Yes",
        'Loan Tape (S&amp;P)'!T1438&lt;&gt;"Yes",
        DATEDIF('Loan Tape (S&amp;P)'!K1438, TODAY(), "M")&lt;18),
    1.10,
    1.00)</f>
        <v/>
      </c>
      <c r="O1438">
        <f>IF('Loan Tape (S&amp;P)'!T1438="Yes",
    1.35,
    1.00)</f>
        <v/>
      </c>
      <c r="P1438">
        <f>IF('Loan Tape (S&amp;P)'!S1438="Yes",
    1.15,
    1.00)</f>
        <v/>
      </c>
      <c r="Q1438">
        <f>IF('Loan Tape (S&amp;P)'!V1438="Yes",
    1.20,
    1.00)</f>
        <v/>
      </c>
      <c r="T1438">
        <f>LET(
    payment_method,'Loan Tape (S&amp;P)'!P1438,
    occupancy,'Loan Tape (S&amp;P)'!N1438,
    maturity_date,'Loan Tape (S&amp;P)'!L1438,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39">
      <c r="J1439">
        <f>LET(
    lien,'Loan Tape (S&amp;P)'!Q1439,
    IF(lien="First",1.00,
        IF(lien="Second",1.50,
            1.70)))</f>
        <v/>
      </c>
      <c r="K1439">
        <f>LET(
    purpose,'Loan Tape (S&amp;P)'!R1439,
    IF(purpose="Purchase",1.00,
        IF(purpose="Remortgage",1.00,
            1.20)))</f>
        <v/>
      </c>
      <c r="L1439">
        <f>LET(
    arrears_months,'Loan Tape (S&amp;P)'!AN1439,
    IF(arrears_months=0,1.00,
    IF(arrears_months=1,3.00,
    IF(arrears_months=2,5.00,
    IF(arrears_months=3,8.00,
    IF(arrears_months=4,10.00,
    IF(arrears_months=5,12.00,15.00)))))))</f>
        <v/>
      </c>
      <c r="M1439">
        <f>LET(
    seasoning_years,DATEDIF('Loan Tape (S&amp;P)'!K1439,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39">
        <f>IF(AND('Loan Tape (S&amp;P)'!U1439="Yes",
        'Loan Tape (S&amp;P)'!T1439&lt;&gt;"Yes",
        DATEDIF('Loan Tape (S&amp;P)'!K1439, TODAY(), "M")&lt;18),
    1.10,
    1.00)</f>
        <v/>
      </c>
      <c r="O1439">
        <f>IF('Loan Tape (S&amp;P)'!T1439="Yes",
    1.35,
    1.00)</f>
        <v/>
      </c>
      <c r="P1439">
        <f>IF('Loan Tape (S&amp;P)'!S1439="Yes",
    1.15,
    1.00)</f>
        <v/>
      </c>
      <c r="Q1439">
        <f>IF('Loan Tape (S&amp;P)'!V1439="Yes",
    1.20,
    1.00)</f>
        <v/>
      </c>
      <c r="T1439">
        <f>LET(
    payment_method,'Loan Tape (S&amp;P)'!P1439,
    occupancy,'Loan Tape (S&amp;P)'!N1439,
    maturity_date,'Loan Tape (S&amp;P)'!L1439,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40">
      <c r="J1440">
        <f>LET(
    lien,'Loan Tape (S&amp;P)'!Q1440,
    IF(lien="First",1.00,
        IF(lien="Second",1.50,
            1.70)))</f>
        <v/>
      </c>
      <c r="K1440">
        <f>LET(
    purpose,'Loan Tape (S&amp;P)'!R1440,
    IF(purpose="Purchase",1.00,
        IF(purpose="Remortgage",1.00,
            1.20)))</f>
        <v/>
      </c>
      <c r="L1440">
        <f>LET(
    arrears_months,'Loan Tape (S&amp;P)'!AN1440,
    IF(arrears_months=0,1.00,
    IF(arrears_months=1,3.00,
    IF(arrears_months=2,5.00,
    IF(arrears_months=3,8.00,
    IF(arrears_months=4,10.00,
    IF(arrears_months=5,12.00,15.00)))))))</f>
        <v/>
      </c>
      <c r="M1440">
        <f>LET(
    seasoning_years,DATEDIF('Loan Tape (S&amp;P)'!K1440,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40">
        <f>IF(AND('Loan Tape (S&amp;P)'!U1440="Yes",
        'Loan Tape (S&amp;P)'!T1440&lt;&gt;"Yes",
        DATEDIF('Loan Tape (S&amp;P)'!K1440, TODAY(), "M")&lt;18),
    1.10,
    1.00)</f>
        <v/>
      </c>
      <c r="O1440">
        <f>IF('Loan Tape (S&amp;P)'!T1440="Yes",
    1.35,
    1.00)</f>
        <v/>
      </c>
      <c r="P1440">
        <f>IF('Loan Tape (S&amp;P)'!S1440="Yes",
    1.15,
    1.00)</f>
        <v/>
      </c>
      <c r="Q1440">
        <f>IF('Loan Tape (S&amp;P)'!V1440="Yes",
    1.20,
    1.00)</f>
        <v/>
      </c>
      <c r="T1440">
        <f>LET(
    payment_method,'Loan Tape (S&amp;P)'!P1440,
    occupancy,'Loan Tape (S&amp;P)'!N1440,
    maturity_date,'Loan Tape (S&amp;P)'!L1440,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41">
      <c r="J1441">
        <f>LET(
    lien,'Loan Tape (S&amp;P)'!Q1441,
    IF(lien="First",1.00,
        IF(lien="Second",1.50,
            1.70)))</f>
        <v/>
      </c>
      <c r="K1441">
        <f>LET(
    purpose,'Loan Tape (S&amp;P)'!R1441,
    IF(purpose="Purchase",1.00,
        IF(purpose="Remortgage",1.00,
            1.20)))</f>
        <v/>
      </c>
      <c r="L1441">
        <f>LET(
    arrears_months,'Loan Tape (S&amp;P)'!AN1441,
    IF(arrears_months=0,1.00,
    IF(arrears_months=1,3.00,
    IF(arrears_months=2,5.00,
    IF(arrears_months=3,8.00,
    IF(arrears_months=4,10.00,
    IF(arrears_months=5,12.00,15.00)))))))</f>
        <v/>
      </c>
      <c r="M1441">
        <f>LET(
    seasoning_years,DATEDIF('Loan Tape (S&amp;P)'!K1441,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41">
        <f>IF(AND('Loan Tape (S&amp;P)'!U1441="Yes",
        'Loan Tape (S&amp;P)'!T1441&lt;&gt;"Yes",
        DATEDIF('Loan Tape (S&amp;P)'!K1441, TODAY(), "M")&lt;18),
    1.10,
    1.00)</f>
        <v/>
      </c>
      <c r="O1441">
        <f>IF('Loan Tape (S&amp;P)'!T1441="Yes",
    1.35,
    1.00)</f>
        <v/>
      </c>
      <c r="P1441">
        <f>IF('Loan Tape (S&amp;P)'!S1441="Yes",
    1.15,
    1.00)</f>
        <v/>
      </c>
      <c r="Q1441">
        <f>IF('Loan Tape (S&amp;P)'!V1441="Yes",
    1.20,
    1.00)</f>
        <v/>
      </c>
      <c r="T1441">
        <f>LET(
    payment_method,'Loan Tape (S&amp;P)'!P1441,
    occupancy,'Loan Tape (S&amp;P)'!N1441,
    maturity_date,'Loan Tape (S&amp;P)'!L1441,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42">
      <c r="J1442">
        <f>LET(
    lien,'Loan Tape (S&amp;P)'!Q1442,
    IF(lien="First",1.00,
        IF(lien="Second",1.50,
            1.70)))</f>
        <v/>
      </c>
      <c r="K1442">
        <f>LET(
    purpose,'Loan Tape (S&amp;P)'!R1442,
    IF(purpose="Purchase",1.00,
        IF(purpose="Remortgage",1.00,
            1.20)))</f>
        <v/>
      </c>
      <c r="L1442">
        <f>LET(
    arrears_months,'Loan Tape (S&amp;P)'!AN1442,
    IF(arrears_months=0,1.00,
    IF(arrears_months=1,3.00,
    IF(arrears_months=2,5.00,
    IF(arrears_months=3,8.00,
    IF(arrears_months=4,10.00,
    IF(arrears_months=5,12.00,15.00)))))))</f>
        <v/>
      </c>
      <c r="M1442">
        <f>LET(
    seasoning_years,DATEDIF('Loan Tape (S&amp;P)'!K1442,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42">
        <f>IF(AND('Loan Tape (S&amp;P)'!U1442="Yes",
        'Loan Tape (S&amp;P)'!T1442&lt;&gt;"Yes",
        DATEDIF('Loan Tape (S&amp;P)'!K1442, TODAY(), "M")&lt;18),
    1.10,
    1.00)</f>
        <v/>
      </c>
      <c r="O1442">
        <f>IF('Loan Tape (S&amp;P)'!T1442="Yes",
    1.35,
    1.00)</f>
        <v/>
      </c>
      <c r="P1442">
        <f>IF('Loan Tape (S&amp;P)'!S1442="Yes",
    1.15,
    1.00)</f>
        <v/>
      </c>
      <c r="Q1442">
        <f>IF('Loan Tape (S&amp;P)'!V1442="Yes",
    1.20,
    1.00)</f>
        <v/>
      </c>
      <c r="T1442">
        <f>LET(
    payment_method,'Loan Tape (S&amp;P)'!P1442,
    occupancy,'Loan Tape (S&amp;P)'!N1442,
    maturity_date,'Loan Tape (S&amp;P)'!L1442,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43">
      <c r="J1443">
        <f>LET(
    lien,'Loan Tape (S&amp;P)'!Q1443,
    IF(lien="First",1.00,
        IF(lien="Second",1.50,
            1.70)))</f>
        <v/>
      </c>
      <c r="K1443">
        <f>LET(
    purpose,'Loan Tape (S&amp;P)'!R1443,
    IF(purpose="Purchase",1.00,
        IF(purpose="Remortgage",1.00,
            1.20)))</f>
        <v/>
      </c>
      <c r="L1443">
        <f>LET(
    arrears_months,'Loan Tape (S&amp;P)'!AN1443,
    IF(arrears_months=0,1.00,
    IF(arrears_months=1,3.00,
    IF(arrears_months=2,5.00,
    IF(arrears_months=3,8.00,
    IF(arrears_months=4,10.00,
    IF(arrears_months=5,12.00,15.00)))))))</f>
        <v/>
      </c>
      <c r="M1443">
        <f>LET(
    seasoning_years,DATEDIF('Loan Tape (S&amp;P)'!K1443,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43">
        <f>IF(AND('Loan Tape (S&amp;P)'!U1443="Yes",
        'Loan Tape (S&amp;P)'!T1443&lt;&gt;"Yes",
        DATEDIF('Loan Tape (S&amp;P)'!K1443, TODAY(), "M")&lt;18),
    1.10,
    1.00)</f>
        <v/>
      </c>
      <c r="O1443">
        <f>IF('Loan Tape (S&amp;P)'!T1443="Yes",
    1.35,
    1.00)</f>
        <v/>
      </c>
      <c r="P1443">
        <f>IF('Loan Tape (S&amp;P)'!S1443="Yes",
    1.15,
    1.00)</f>
        <v/>
      </c>
      <c r="Q1443">
        <f>IF('Loan Tape (S&amp;P)'!V1443="Yes",
    1.20,
    1.00)</f>
        <v/>
      </c>
      <c r="T1443">
        <f>LET(
    payment_method,'Loan Tape (S&amp;P)'!P1443,
    occupancy,'Loan Tape (S&amp;P)'!N1443,
    maturity_date,'Loan Tape (S&amp;P)'!L1443,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44">
      <c r="J1444">
        <f>LET(
    lien,'Loan Tape (S&amp;P)'!Q1444,
    IF(lien="First",1.00,
        IF(lien="Second",1.50,
            1.70)))</f>
        <v/>
      </c>
      <c r="K1444">
        <f>LET(
    purpose,'Loan Tape (S&amp;P)'!R1444,
    IF(purpose="Purchase",1.00,
        IF(purpose="Remortgage",1.00,
            1.20)))</f>
        <v/>
      </c>
      <c r="L1444">
        <f>LET(
    arrears_months,'Loan Tape (S&amp;P)'!AN1444,
    IF(arrears_months=0,1.00,
    IF(arrears_months=1,3.00,
    IF(arrears_months=2,5.00,
    IF(arrears_months=3,8.00,
    IF(arrears_months=4,10.00,
    IF(arrears_months=5,12.00,15.00)))))))</f>
        <v/>
      </c>
      <c r="M1444">
        <f>LET(
    seasoning_years,DATEDIF('Loan Tape (S&amp;P)'!K1444,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44">
        <f>IF(AND('Loan Tape (S&amp;P)'!U1444="Yes",
        'Loan Tape (S&amp;P)'!T1444&lt;&gt;"Yes",
        DATEDIF('Loan Tape (S&amp;P)'!K1444, TODAY(), "M")&lt;18),
    1.10,
    1.00)</f>
        <v/>
      </c>
      <c r="O1444">
        <f>IF('Loan Tape (S&amp;P)'!T1444="Yes",
    1.35,
    1.00)</f>
        <v/>
      </c>
      <c r="P1444">
        <f>IF('Loan Tape (S&amp;P)'!S1444="Yes",
    1.15,
    1.00)</f>
        <v/>
      </c>
      <c r="Q1444">
        <f>IF('Loan Tape (S&amp;P)'!V1444="Yes",
    1.20,
    1.00)</f>
        <v/>
      </c>
      <c r="T1444">
        <f>LET(
    payment_method,'Loan Tape (S&amp;P)'!P1444,
    occupancy,'Loan Tape (S&amp;P)'!N1444,
    maturity_date,'Loan Tape (S&amp;P)'!L1444,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45">
      <c r="J1445">
        <f>LET(
    lien,'Loan Tape (S&amp;P)'!Q1445,
    IF(lien="First",1.00,
        IF(lien="Second",1.50,
            1.70)))</f>
        <v/>
      </c>
      <c r="K1445">
        <f>LET(
    purpose,'Loan Tape (S&amp;P)'!R1445,
    IF(purpose="Purchase",1.00,
        IF(purpose="Remortgage",1.00,
            1.20)))</f>
        <v/>
      </c>
      <c r="L1445">
        <f>LET(
    arrears_months,'Loan Tape (S&amp;P)'!AN1445,
    IF(arrears_months=0,1.00,
    IF(arrears_months=1,3.00,
    IF(arrears_months=2,5.00,
    IF(arrears_months=3,8.00,
    IF(arrears_months=4,10.00,
    IF(arrears_months=5,12.00,15.00)))))))</f>
        <v/>
      </c>
      <c r="M1445">
        <f>LET(
    seasoning_years,DATEDIF('Loan Tape (S&amp;P)'!K1445,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45">
        <f>IF(AND('Loan Tape (S&amp;P)'!U1445="Yes",
        'Loan Tape (S&amp;P)'!T1445&lt;&gt;"Yes",
        DATEDIF('Loan Tape (S&amp;P)'!K1445, TODAY(), "M")&lt;18),
    1.10,
    1.00)</f>
        <v/>
      </c>
      <c r="O1445">
        <f>IF('Loan Tape (S&amp;P)'!T1445="Yes",
    1.35,
    1.00)</f>
        <v/>
      </c>
      <c r="P1445">
        <f>IF('Loan Tape (S&amp;P)'!S1445="Yes",
    1.15,
    1.00)</f>
        <v/>
      </c>
      <c r="Q1445">
        <f>IF('Loan Tape (S&amp;P)'!V1445="Yes",
    1.20,
    1.00)</f>
        <v/>
      </c>
      <c r="T1445">
        <f>LET(
    payment_method,'Loan Tape (S&amp;P)'!P1445,
    occupancy,'Loan Tape (S&amp;P)'!N1445,
    maturity_date,'Loan Tape (S&amp;P)'!L1445,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46">
      <c r="J1446">
        <f>LET(
    lien,'Loan Tape (S&amp;P)'!Q1446,
    IF(lien="First",1.00,
        IF(lien="Second",1.50,
            1.70)))</f>
        <v/>
      </c>
      <c r="K1446">
        <f>LET(
    purpose,'Loan Tape (S&amp;P)'!R1446,
    IF(purpose="Purchase",1.00,
        IF(purpose="Remortgage",1.00,
            1.20)))</f>
        <v/>
      </c>
      <c r="L1446">
        <f>LET(
    arrears_months,'Loan Tape (S&amp;P)'!AN1446,
    IF(arrears_months=0,1.00,
    IF(arrears_months=1,3.00,
    IF(arrears_months=2,5.00,
    IF(arrears_months=3,8.00,
    IF(arrears_months=4,10.00,
    IF(arrears_months=5,12.00,15.00)))))))</f>
        <v/>
      </c>
      <c r="M1446">
        <f>LET(
    seasoning_years,DATEDIF('Loan Tape (S&amp;P)'!K1446,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46">
        <f>IF(AND('Loan Tape (S&amp;P)'!U1446="Yes",
        'Loan Tape (S&amp;P)'!T1446&lt;&gt;"Yes",
        DATEDIF('Loan Tape (S&amp;P)'!K1446, TODAY(), "M")&lt;18),
    1.10,
    1.00)</f>
        <v/>
      </c>
      <c r="O1446">
        <f>IF('Loan Tape (S&amp;P)'!T1446="Yes",
    1.35,
    1.00)</f>
        <v/>
      </c>
      <c r="P1446">
        <f>IF('Loan Tape (S&amp;P)'!S1446="Yes",
    1.15,
    1.00)</f>
        <v/>
      </c>
      <c r="Q1446">
        <f>IF('Loan Tape (S&amp;P)'!V1446="Yes",
    1.20,
    1.00)</f>
        <v/>
      </c>
      <c r="T1446">
        <f>LET(
    payment_method,'Loan Tape (S&amp;P)'!P1446,
    occupancy,'Loan Tape (S&amp;P)'!N1446,
    maturity_date,'Loan Tape (S&amp;P)'!L1446,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47">
      <c r="J1447">
        <f>LET(
    lien,'Loan Tape (S&amp;P)'!Q1447,
    IF(lien="First",1.00,
        IF(lien="Second",1.50,
            1.70)))</f>
        <v/>
      </c>
      <c r="K1447">
        <f>LET(
    purpose,'Loan Tape (S&amp;P)'!R1447,
    IF(purpose="Purchase",1.00,
        IF(purpose="Remortgage",1.00,
            1.20)))</f>
        <v/>
      </c>
      <c r="L1447">
        <f>LET(
    arrears_months,'Loan Tape (S&amp;P)'!AN1447,
    IF(arrears_months=0,1.00,
    IF(arrears_months=1,3.00,
    IF(arrears_months=2,5.00,
    IF(arrears_months=3,8.00,
    IF(arrears_months=4,10.00,
    IF(arrears_months=5,12.00,15.00)))))))</f>
        <v/>
      </c>
      <c r="M1447">
        <f>LET(
    seasoning_years,DATEDIF('Loan Tape (S&amp;P)'!K1447,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47">
        <f>IF(AND('Loan Tape (S&amp;P)'!U1447="Yes",
        'Loan Tape (S&amp;P)'!T1447&lt;&gt;"Yes",
        DATEDIF('Loan Tape (S&amp;P)'!K1447, TODAY(), "M")&lt;18),
    1.10,
    1.00)</f>
        <v/>
      </c>
      <c r="O1447">
        <f>IF('Loan Tape (S&amp;P)'!T1447="Yes",
    1.35,
    1.00)</f>
        <v/>
      </c>
      <c r="P1447">
        <f>IF('Loan Tape (S&amp;P)'!S1447="Yes",
    1.15,
    1.00)</f>
        <v/>
      </c>
      <c r="Q1447">
        <f>IF('Loan Tape (S&amp;P)'!V1447="Yes",
    1.20,
    1.00)</f>
        <v/>
      </c>
      <c r="T1447">
        <f>LET(
    payment_method,'Loan Tape (S&amp;P)'!P1447,
    occupancy,'Loan Tape (S&amp;P)'!N1447,
    maturity_date,'Loan Tape (S&amp;P)'!L1447,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48">
      <c r="J1448">
        <f>LET(
    lien,'Loan Tape (S&amp;P)'!Q1448,
    IF(lien="First",1.00,
        IF(lien="Second",1.50,
            1.70)))</f>
        <v/>
      </c>
      <c r="K1448">
        <f>LET(
    purpose,'Loan Tape (S&amp;P)'!R1448,
    IF(purpose="Purchase",1.00,
        IF(purpose="Remortgage",1.00,
            1.20)))</f>
        <v/>
      </c>
      <c r="L1448">
        <f>LET(
    arrears_months,'Loan Tape (S&amp;P)'!AN1448,
    IF(arrears_months=0,1.00,
    IF(arrears_months=1,3.00,
    IF(arrears_months=2,5.00,
    IF(arrears_months=3,8.00,
    IF(arrears_months=4,10.00,
    IF(arrears_months=5,12.00,15.00)))))))</f>
        <v/>
      </c>
      <c r="M1448">
        <f>LET(
    seasoning_years,DATEDIF('Loan Tape (S&amp;P)'!K1448,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48">
        <f>IF(AND('Loan Tape (S&amp;P)'!U1448="Yes",
        'Loan Tape (S&amp;P)'!T1448&lt;&gt;"Yes",
        DATEDIF('Loan Tape (S&amp;P)'!K1448, TODAY(), "M")&lt;18),
    1.10,
    1.00)</f>
        <v/>
      </c>
      <c r="O1448">
        <f>IF('Loan Tape (S&amp;P)'!T1448="Yes",
    1.35,
    1.00)</f>
        <v/>
      </c>
      <c r="P1448">
        <f>IF('Loan Tape (S&amp;P)'!S1448="Yes",
    1.15,
    1.00)</f>
        <v/>
      </c>
      <c r="Q1448">
        <f>IF('Loan Tape (S&amp;P)'!V1448="Yes",
    1.20,
    1.00)</f>
        <v/>
      </c>
      <c r="T1448">
        <f>LET(
    payment_method,'Loan Tape (S&amp;P)'!P1448,
    occupancy,'Loan Tape (S&amp;P)'!N1448,
    maturity_date,'Loan Tape (S&amp;P)'!L1448,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49">
      <c r="J1449">
        <f>LET(
    lien,'Loan Tape (S&amp;P)'!Q1449,
    IF(lien="First",1.00,
        IF(lien="Second",1.50,
            1.70)))</f>
        <v/>
      </c>
      <c r="K1449">
        <f>LET(
    purpose,'Loan Tape (S&amp;P)'!R1449,
    IF(purpose="Purchase",1.00,
        IF(purpose="Remortgage",1.00,
            1.20)))</f>
        <v/>
      </c>
      <c r="L1449">
        <f>LET(
    arrears_months,'Loan Tape (S&amp;P)'!AN1449,
    IF(arrears_months=0,1.00,
    IF(arrears_months=1,3.00,
    IF(arrears_months=2,5.00,
    IF(arrears_months=3,8.00,
    IF(arrears_months=4,10.00,
    IF(arrears_months=5,12.00,15.00)))))))</f>
        <v/>
      </c>
      <c r="M1449">
        <f>LET(
    seasoning_years,DATEDIF('Loan Tape (S&amp;P)'!K1449,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49">
        <f>IF(AND('Loan Tape (S&amp;P)'!U1449="Yes",
        'Loan Tape (S&amp;P)'!T1449&lt;&gt;"Yes",
        DATEDIF('Loan Tape (S&amp;P)'!K1449, TODAY(), "M")&lt;18),
    1.10,
    1.00)</f>
        <v/>
      </c>
      <c r="O1449">
        <f>IF('Loan Tape (S&amp;P)'!T1449="Yes",
    1.35,
    1.00)</f>
        <v/>
      </c>
      <c r="P1449">
        <f>IF('Loan Tape (S&amp;P)'!S1449="Yes",
    1.15,
    1.00)</f>
        <v/>
      </c>
      <c r="Q1449">
        <f>IF('Loan Tape (S&amp;P)'!V1449="Yes",
    1.20,
    1.00)</f>
        <v/>
      </c>
      <c r="T1449">
        <f>LET(
    payment_method,'Loan Tape (S&amp;P)'!P1449,
    occupancy,'Loan Tape (S&amp;P)'!N1449,
    maturity_date,'Loan Tape (S&amp;P)'!L1449,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50">
      <c r="J1450">
        <f>LET(
    lien,'Loan Tape (S&amp;P)'!Q1450,
    IF(lien="First",1.00,
        IF(lien="Second",1.50,
            1.70)))</f>
        <v/>
      </c>
      <c r="K1450">
        <f>LET(
    purpose,'Loan Tape (S&amp;P)'!R1450,
    IF(purpose="Purchase",1.00,
        IF(purpose="Remortgage",1.00,
            1.20)))</f>
        <v/>
      </c>
      <c r="L1450">
        <f>LET(
    arrears_months,'Loan Tape (S&amp;P)'!AN1450,
    IF(arrears_months=0,1.00,
    IF(arrears_months=1,3.00,
    IF(arrears_months=2,5.00,
    IF(arrears_months=3,8.00,
    IF(arrears_months=4,10.00,
    IF(arrears_months=5,12.00,15.00)))))))</f>
        <v/>
      </c>
      <c r="M1450">
        <f>LET(
    seasoning_years,DATEDIF('Loan Tape (S&amp;P)'!K1450,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50">
        <f>IF(AND('Loan Tape (S&amp;P)'!U1450="Yes",
        'Loan Tape (S&amp;P)'!T1450&lt;&gt;"Yes",
        DATEDIF('Loan Tape (S&amp;P)'!K1450, TODAY(), "M")&lt;18),
    1.10,
    1.00)</f>
        <v/>
      </c>
      <c r="O1450">
        <f>IF('Loan Tape (S&amp;P)'!T1450="Yes",
    1.35,
    1.00)</f>
        <v/>
      </c>
      <c r="P1450">
        <f>IF('Loan Tape (S&amp;P)'!S1450="Yes",
    1.15,
    1.00)</f>
        <v/>
      </c>
      <c r="Q1450">
        <f>IF('Loan Tape (S&amp;P)'!V1450="Yes",
    1.20,
    1.00)</f>
        <v/>
      </c>
      <c r="T1450">
        <f>LET(
    payment_method,'Loan Tape (S&amp;P)'!P1450,
    occupancy,'Loan Tape (S&amp;P)'!N1450,
    maturity_date,'Loan Tape (S&amp;P)'!L1450,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51">
      <c r="J1451">
        <f>LET(
    lien,'Loan Tape (S&amp;P)'!Q1451,
    IF(lien="First",1.00,
        IF(lien="Second",1.50,
            1.70)))</f>
        <v/>
      </c>
      <c r="K1451">
        <f>LET(
    purpose,'Loan Tape (S&amp;P)'!R1451,
    IF(purpose="Purchase",1.00,
        IF(purpose="Remortgage",1.00,
            1.20)))</f>
        <v/>
      </c>
      <c r="L1451">
        <f>LET(
    arrears_months,'Loan Tape (S&amp;P)'!AN1451,
    IF(arrears_months=0,1.00,
    IF(arrears_months=1,3.00,
    IF(arrears_months=2,5.00,
    IF(arrears_months=3,8.00,
    IF(arrears_months=4,10.00,
    IF(arrears_months=5,12.00,15.00)))))))</f>
        <v/>
      </c>
      <c r="M1451">
        <f>LET(
    seasoning_years,DATEDIF('Loan Tape (S&amp;P)'!K1451,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51">
        <f>IF(AND('Loan Tape (S&amp;P)'!U1451="Yes",
        'Loan Tape (S&amp;P)'!T1451&lt;&gt;"Yes",
        DATEDIF('Loan Tape (S&amp;P)'!K1451, TODAY(), "M")&lt;18),
    1.10,
    1.00)</f>
        <v/>
      </c>
      <c r="O1451">
        <f>IF('Loan Tape (S&amp;P)'!T1451="Yes",
    1.35,
    1.00)</f>
        <v/>
      </c>
      <c r="P1451">
        <f>IF('Loan Tape (S&amp;P)'!S1451="Yes",
    1.15,
    1.00)</f>
        <v/>
      </c>
      <c r="Q1451">
        <f>IF('Loan Tape (S&amp;P)'!V1451="Yes",
    1.20,
    1.00)</f>
        <v/>
      </c>
      <c r="T1451">
        <f>LET(
    payment_method,'Loan Tape (S&amp;P)'!P1451,
    occupancy,'Loan Tape (S&amp;P)'!N1451,
    maturity_date,'Loan Tape (S&amp;P)'!L1451,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52">
      <c r="J1452">
        <f>LET(
    lien,'Loan Tape (S&amp;P)'!Q1452,
    IF(lien="First",1.00,
        IF(lien="Second",1.50,
            1.70)))</f>
        <v/>
      </c>
      <c r="K1452">
        <f>LET(
    purpose,'Loan Tape (S&amp;P)'!R1452,
    IF(purpose="Purchase",1.00,
        IF(purpose="Remortgage",1.00,
            1.20)))</f>
        <v/>
      </c>
      <c r="L1452">
        <f>LET(
    arrears_months,'Loan Tape (S&amp;P)'!AN1452,
    IF(arrears_months=0,1.00,
    IF(arrears_months=1,3.00,
    IF(arrears_months=2,5.00,
    IF(arrears_months=3,8.00,
    IF(arrears_months=4,10.00,
    IF(arrears_months=5,12.00,15.00)))))))</f>
        <v/>
      </c>
      <c r="M1452">
        <f>LET(
    seasoning_years,DATEDIF('Loan Tape (S&amp;P)'!K1452,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52">
        <f>IF(AND('Loan Tape (S&amp;P)'!U1452="Yes",
        'Loan Tape (S&amp;P)'!T1452&lt;&gt;"Yes",
        DATEDIF('Loan Tape (S&amp;P)'!K1452, TODAY(), "M")&lt;18),
    1.10,
    1.00)</f>
        <v/>
      </c>
      <c r="O1452">
        <f>IF('Loan Tape (S&amp;P)'!T1452="Yes",
    1.35,
    1.00)</f>
        <v/>
      </c>
      <c r="P1452">
        <f>IF('Loan Tape (S&amp;P)'!S1452="Yes",
    1.15,
    1.00)</f>
        <v/>
      </c>
      <c r="Q1452">
        <f>IF('Loan Tape (S&amp;P)'!V1452="Yes",
    1.20,
    1.00)</f>
        <v/>
      </c>
      <c r="T1452">
        <f>LET(
    payment_method,'Loan Tape (S&amp;P)'!P1452,
    occupancy,'Loan Tape (S&amp;P)'!N1452,
    maturity_date,'Loan Tape (S&amp;P)'!L1452,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53">
      <c r="J1453">
        <f>LET(
    lien,'Loan Tape (S&amp;P)'!Q1453,
    IF(lien="First",1.00,
        IF(lien="Second",1.50,
            1.70)))</f>
        <v/>
      </c>
      <c r="K1453">
        <f>LET(
    purpose,'Loan Tape (S&amp;P)'!R1453,
    IF(purpose="Purchase",1.00,
        IF(purpose="Remortgage",1.00,
            1.20)))</f>
        <v/>
      </c>
      <c r="L1453">
        <f>LET(
    arrears_months,'Loan Tape (S&amp;P)'!AN1453,
    IF(arrears_months=0,1.00,
    IF(arrears_months=1,3.00,
    IF(arrears_months=2,5.00,
    IF(arrears_months=3,8.00,
    IF(arrears_months=4,10.00,
    IF(arrears_months=5,12.00,15.00)))))))</f>
        <v/>
      </c>
      <c r="M1453">
        <f>LET(
    seasoning_years,DATEDIF('Loan Tape (S&amp;P)'!K1453,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53">
        <f>IF(AND('Loan Tape (S&amp;P)'!U1453="Yes",
        'Loan Tape (S&amp;P)'!T1453&lt;&gt;"Yes",
        DATEDIF('Loan Tape (S&amp;P)'!K1453, TODAY(), "M")&lt;18),
    1.10,
    1.00)</f>
        <v/>
      </c>
      <c r="O1453">
        <f>IF('Loan Tape (S&amp;P)'!T1453="Yes",
    1.35,
    1.00)</f>
        <v/>
      </c>
      <c r="P1453">
        <f>IF('Loan Tape (S&amp;P)'!S1453="Yes",
    1.15,
    1.00)</f>
        <v/>
      </c>
      <c r="Q1453">
        <f>IF('Loan Tape (S&amp;P)'!V1453="Yes",
    1.20,
    1.00)</f>
        <v/>
      </c>
      <c r="T1453">
        <f>LET(
    payment_method,'Loan Tape (S&amp;P)'!P1453,
    occupancy,'Loan Tape (S&amp;P)'!N1453,
    maturity_date,'Loan Tape (S&amp;P)'!L1453,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54">
      <c r="J1454">
        <f>LET(
    lien,'Loan Tape (S&amp;P)'!Q1454,
    IF(lien="First",1.00,
        IF(lien="Second",1.50,
            1.70)))</f>
        <v/>
      </c>
      <c r="K1454">
        <f>LET(
    purpose,'Loan Tape (S&amp;P)'!R1454,
    IF(purpose="Purchase",1.00,
        IF(purpose="Remortgage",1.00,
            1.20)))</f>
        <v/>
      </c>
      <c r="L1454">
        <f>LET(
    arrears_months,'Loan Tape (S&amp;P)'!AN1454,
    IF(arrears_months=0,1.00,
    IF(arrears_months=1,3.00,
    IF(arrears_months=2,5.00,
    IF(arrears_months=3,8.00,
    IF(arrears_months=4,10.00,
    IF(arrears_months=5,12.00,15.00)))))))</f>
        <v/>
      </c>
      <c r="M1454">
        <f>LET(
    seasoning_years,DATEDIF('Loan Tape (S&amp;P)'!K1454,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54">
        <f>IF(AND('Loan Tape (S&amp;P)'!U1454="Yes",
        'Loan Tape (S&amp;P)'!T1454&lt;&gt;"Yes",
        DATEDIF('Loan Tape (S&amp;P)'!K1454, TODAY(), "M")&lt;18),
    1.10,
    1.00)</f>
        <v/>
      </c>
      <c r="O1454">
        <f>IF('Loan Tape (S&amp;P)'!T1454="Yes",
    1.35,
    1.00)</f>
        <v/>
      </c>
      <c r="P1454">
        <f>IF('Loan Tape (S&amp;P)'!S1454="Yes",
    1.15,
    1.00)</f>
        <v/>
      </c>
      <c r="Q1454">
        <f>IF('Loan Tape (S&amp;P)'!V1454="Yes",
    1.20,
    1.00)</f>
        <v/>
      </c>
      <c r="T1454">
        <f>LET(
    payment_method,'Loan Tape (S&amp;P)'!P1454,
    occupancy,'Loan Tape (S&amp;P)'!N1454,
    maturity_date,'Loan Tape (S&amp;P)'!L1454,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55">
      <c r="J1455">
        <f>LET(
    lien,'Loan Tape (S&amp;P)'!Q1455,
    IF(lien="First",1.00,
        IF(lien="Second",1.50,
            1.70)))</f>
        <v/>
      </c>
      <c r="K1455">
        <f>LET(
    purpose,'Loan Tape (S&amp;P)'!R1455,
    IF(purpose="Purchase",1.00,
        IF(purpose="Remortgage",1.00,
            1.20)))</f>
        <v/>
      </c>
      <c r="L1455">
        <f>LET(
    arrears_months,'Loan Tape (S&amp;P)'!AN1455,
    IF(arrears_months=0,1.00,
    IF(arrears_months=1,3.00,
    IF(arrears_months=2,5.00,
    IF(arrears_months=3,8.00,
    IF(arrears_months=4,10.00,
    IF(arrears_months=5,12.00,15.00)))))))</f>
        <v/>
      </c>
      <c r="M1455">
        <f>LET(
    seasoning_years,DATEDIF('Loan Tape (S&amp;P)'!K1455,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55">
        <f>IF(AND('Loan Tape (S&amp;P)'!U1455="Yes",
        'Loan Tape (S&amp;P)'!T1455&lt;&gt;"Yes",
        DATEDIF('Loan Tape (S&amp;P)'!K1455, TODAY(), "M")&lt;18),
    1.10,
    1.00)</f>
        <v/>
      </c>
      <c r="O1455">
        <f>IF('Loan Tape (S&amp;P)'!T1455="Yes",
    1.35,
    1.00)</f>
        <v/>
      </c>
      <c r="P1455">
        <f>IF('Loan Tape (S&amp;P)'!S1455="Yes",
    1.15,
    1.00)</f>
        <v/>
      </c>
      <c r="Q1455">
        <f>IF('Loan Tape (S&amp;P)'!V1455="Yes",
    1.20,
    1.00)</f>
        <v/>
      </c>
      <c r="T1455">
        <f>LET(
    payment_method,'Loan Tape (S&amp;P)'!P1455,
    occupancy,'Loan Tape (S&amp;P)'!N1455,
    maturity_date,'Loan Tape (S&amp;P)'!L1455,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56">
      <c r="J1456">
        <f>LET(
    lien,'Loan Tape (S&amp;P)'!Q1456,
    IF(lien="First",1.00,
        IF(lien="Second",1.50,
            1.70)))</f>
        <v/>
      </c>
      <c r="K1456">
        <f>LET(
    purpose,'Loan Tape (S&amp;P)'!R1456,
    IF(purpose="Purchase",1.00,
        IF(purpose="Remortgage",1.00,
            1.20)))</f>
        <v/>
      </c>
      <c r="L1456">
        <f>LET(
    arrears_months,'Loan Tape (S&amp;P)'!AN1456,
    IF(arrears_months=0,1.00,
    IF(arrears_months=1,3.00,
    IF(arrears_months=2,5.00,
    IF(arrears_months=3,8.00,
    IF(arrears_months=4,10.00,
    IF(arrears_months=5,12.00,15.00)))))))</f>
        <v/>
      </c>
      <c r="M1456">
        <f>LET(
    seasoning_years,DATEDIF('Loan Tape (S&amp;P)'!K1456,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56">
        <f>IF(AND('Loan Tape (S&amp;P)'!U1456="Yes",
        'Loan Tape (S&amp;P)'!T1456&lt;&gt;"Yes",
        DATEDIF('Loan Tape (S&amp;P)'!K1456, TODAY(), "M")&lt;18),
    1.10,
    1.00)</f>
        <v/>
      </c>
      <c r="O1456">
        <f>IF('Loan Tape (S&amp;P)'!T1456="Yes",
    1.35,
    1.00)</f>
        <v/>
      </c>
      <c r="P1456">
        <f>IF('Loan Tape (S&amp;P)'!S1456="Yes",
    1.15,
    1.00)</f>
        <v/>
      </c>
      <c r="Q1456">
        <f>IF('Loan Tape (S&amp;P)'!V1456="Yes",
    1.20,
    1.00)</f>
        <v/>
      </c>
      <c r="T1456">
        <f>LET(
    payment_method,'Loan Tape (S&amp;P)'!P1456,
    occupancy,'Loan Tape (S&amp;P)'!N1456,
    maturity_date,'Loan Tape (S&amp;P)'!L1456,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57">
      <c r="J1457">
        <f>LET(
    lien,'Loan Tape (S&amp;P)'!Q1457,
    IF(lien="First",1.00,
        IF(lien="Second",1.50,
            1.70)))</f>
        <v/>
      </c>
      <c r="K1457">
        <f>LET(
    purpose,'Loan Tape (S&amp;P)'!R1457,
    IF(purpose="Purchase",1.00,
        IF(purpose="Remortgage",1.00,
            1.20)))</f>
        <v/>
      </c>
      <c r="L1457">
        <f>LET(
    arrears_months,'Loan Tape (S&amp;P)'!AN1457,
    IF(arrears_months=0,1.00,
    IF(arrears_months=1,3.00,
    IF(arrears_months=2,5.00,
    IF(arrears_months=3,8.00,
    IF(arrears_months=4,10.00,
    IF(arrears_months=5,12.00,15.00)))))))</f>
        <v/>
      </c>
      <c r="M1457">
        <f>LET(
    seasoning_years,DATEDIF('Loan Tape (S&amp;P)'!K1457,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57">
        <f>IF(AND('Loan Tape (S&amp;P)'!U1457="Yes",
        'Loan Tape (S&amp;P)'!T1457&lt;&gt;"Yes",
        DATEDIF('Loan Tape (S&amp;P)'!K1457, TODAY(), "M")&lt;18),
    1.10,
    1.00)</f>
        <v/>
      </c>
      <c r="O1457">
        <f>IF('Loan Tape (S&amp;P)'!T1457="Yes",
    1.35,
    1.00)</f>
        <v/>
      </c>
      <c r="P1457">
        <f>IF('Loan Tape (S&amp;P)'!S1457="Yes",
    1.15,
    1.00)</f>
        <v/>
      </c>
      <c r="Q1457">
        <f>IF('Loan Tape (S&amp;P)'!V1457="Yes",
    1.20,
    1.00)</f>
        <v/>
      </c>
      <c r="T1457">
        <f>LET(
    payment_method,'Loan Tape (S&amp;P)'!P1457,
    occupancy,'Loan Tape (S&amp;P)'!N1457,
    maturity_date,'Loan Tape (S&amp;P)'!L1457,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58">
      <c r="J1458">
        <f>LET(
    lien,'Loan Tape (S&amp;P)'!Q1458,
    IF(lien="First",1.00,
        IF(lien="Second",1.50,
            1.70)))</f>
        <v/>
      </c>
      <c r="K1458">
        <f>LET(
    purpose,'Loan Tape (S&amp;P)'!R1458,
    IF(purpose="Purchase",1.00,
        IF(purpose="Remortgage",1.00,
            1.20)))</f>
        <v/>
      </c>
      <c r="L1458">
        <f>LET(
    arrears_months,'Loan Tape (S&amp;P)'!AN1458,
    IF(arrears_months=0,1.00,
    IF(arrears_months=1,3.00,
    IF(arrears_months=2,5.00,
    IF(arrears_months=3,8.00,
    IF(arrears_months=4,10.00,
    IF(arrears_months=5,12.00,15.00)))))))</f>
        <v/>
      </c>
      <c r="M1458">
        <f>LET(
    seasoning_years,DATEDIF('Loan Tape (S&amp;P)'!K1458,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58">
        <f>IF(AND('Loan Tape (S&amp;P)'!U1458="Yes",
        'Loan Tape (S&amp;P)'!T1458&lt;&gt;"Yes",
        DATEDIF('Loan Tape (S&amp;P)'!K1458, TODAY(), "M")&lt;18),
    1.10,
    1.00)</f>
        <v/>
      </c>
      <c r="O1458">
        <f>IF('Loan Tape (S&amp;P)'!T1458="Yes",
    1.35,
    1.00)</f>
        <v/>
      </c>
      <c r="P1458">
        <f>IF('Loan Tape (S&amp;P)'!S1458="Yes",
    1.15,
    1.00)</f>
        <v/>
      </c>
      <c r="Q1458">
        <f>IF('Loan Tape (S&amp;P)'!V1458="Yes",
    1.20,
    1.00)</f>
        <v/>
      </c>
      <c r="T1458">
        <f>LET(
    payment_method,'Loan Tape (S&amp;P)'!P1458,
    occupancy,'Loan Tape (S&amp;P)'!N1458,
    maturity_date,'Loan Tape (S&amp;P)'!L1458,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59">
      <c r="J1459">
        <f>LET(
    lien,'Loan Tape (S&amp;P)'!Q1459,
    IF(lien="First",1.00,
        IF(lien="Second",1.50,
            1.70)))</f>
        <v/>
      </c>
      <c r="K1459">
        <f>LET(
    purpose,'Loan Tape (S&amp;P)'!R1459,
    IF(purpose="Purchase",1.00,
        IF(purpose="Remortgage",1.00,
            1.20)))</f>
        <v/>
      </c>
      <c r="L1459">
        <f>LET(
    arrears_months,'Loan Tape (S&amp;P)'!AN1459,
    IF(arrears_months=0,1.00,
    IF(arrears_months=1,3.00,
    IF(arrears_months=2,5.00,
    IF(arrears_months=3,8.00,
    IF(arrears_months=4,10.00,
    IF(arrears_months=5,12.00,15.00)))))))</f>
        <v/>
      </c>
      <c r="M1459">
        <f>LET(
    seasoning_years,DATEDIF('Loan Tape (S&amp;P)'!K1459,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59">
        <f>IF(AND('Loan Tape (S&amp;P)'!U1459="Yes",
        'Loan Tape (S&amp;P)'!T1459&lt;&gt;"Yes",
        DATEDIF('Loan Tape (S&amp;P)'!K1459, TODAY(), "M")&lt;18),
    1.10,
    1.00)</f>
        <v/>
      </c>
      <c r="O1459">
        <f>IF('Loan Tape (S&amp;P)'!T1459="Yes",
    1.35,
    1.00)</f>
        <v/>
      </c>
      <c r="P1459">
        <f>IF('Loan Tape (S&amp;P)'!S1459="Yes",
    1.15,
    1.00)</f>
        <v/>
      </c>
      <c r="Q1459">
        <f>IF('Loan Tape (S&amp;P)'!V1459="Yes",
    1.20,
    1.00)</f>
        <v/>
      </c>
      <c r="T1459">
        <f>LET(
    payment_method,'Loan Tape (S&amp;P)'!P1459,
    occupancy,'Loan Tape (S&amp;P)'!N1459,
    maturity_date,'Loan Tape (S&amp;P)'!L1459,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60">
      <c r="J1460">
        <f>LET(
    lien,'Loan Tape (S&amp;P)'!Q1460,
    IF(lien="First",1.00,
        IF(lien="Second",1.50,
            1.70)))</f>
        <v/>
      </c>
      <c r="K1460">
        <f>LET(
    purpose,'Loan Tape (S&amp;P)'!R1460,
    IF(purpose="Purchase",1.00,
        IF(purpose="Remortgage",1.00,
            1.20)))</f>
        <v/>
      </c>
      <c r="L1460">
        <f>LET(
    arrears_months,'Loan Tape (S&amp;P)'!AN1460,
    IF(arrears_months=0,1.00,
    IF(arrears_months=1,3.00,
    IF(arrears_months=2,5.00,
    IF(arrears_months=3,8.00,
    IF(arrears_months=4,10.00,
    IF(arrears_months=5,12.00,15.00)))))))</f>
        <v/>
      </c>
      <c r="M1460">
        <f>LET(
    seasoning_years,DATEDIF('Loan Tape (S&amp;P)'!K1460,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60">
        <f>IF(AND('Loan Tape (S&amp;P)'!U1460="Yes",
        'Loan Tape (S&amp;P)'!T1460&lt;&gt;"Yes",
        DATEDIF('Loan Tape (S&amp;P)'!K1460, TODAY(), "M")&lt;18),
    1.10,
    1.00)</f>
        <v/>
      </c>
      <c r="O1460">
        <f>IF('Loan Tape (S&amp;P)'!T1460="Yes",
    1.35,
    1.00)</f>
        <v/>
      </c>
      <c r="P1460">
        <f>IF('Loan Tape (S&amp;P)'!S1460="Yes",
    1.15,
    1.00)</f>
        <v/>
      </c>
      <c r="Q1460">
        <f>IF('Loan Tape (S&amp;P)'!V1460="Yes",
    1.20,
    1.00)</f>
        <v/>
      </c>
      <c r="T1460">
        <f>LET(
    payment_method,'Loan Tape (S&amp;P)'!P1460,
    occupancy,'Loan Tape (S&amp;P)'!N1460,
    maturity_date,'Loan Tape (S&amp;P)'!L1460,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61">
      <c r="J1461">
        <f>LET(
    lien,'Loan Tape (S&amp;P)'!Q1461,
    IF(lien="First",1.00,
        IF(lien="Second",1.50,
            1.70)))</f>
        <v/>
      </c>
      <c r="K1461">
        <f>LET(
    purpose,'Loan Tape (S&amp;P)'!R1461,
    IF(purpose="Purchase",1.00,
        IF(purpose="Remortgage",1.00,
            1.20)))</f>
        <v/>
      </c>
      <c r="L1461">
        <f>LET(
    arrears_months,'Loan Tape (S&amp;P)'!AN1461,
    IF(arrears_months=0,1.00,
    IF(arrears_months=1,3.00,
    IF(arrears_months=2,5.00,
    IF(arrears_months=3,8.00,
    IF(arrears_months=4,10.00,
    IF(arrears_months=5,12.00,15.00)))))))</f>
        <v/>
      </c>
      <c r="M1461">
        <f>LET(
    seasoning_years,DATEDIF('Loan Tape (S&amp;P)'!K1461,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61">
        <f>IF(AND('Loan Tape (S&amp;P)'!U1461="Yes",
        'Loan Tape (S&amp;P)'!T1461&lt;&gt;"Yes",
        DATEDIF('Loan Tape (S&amp;P)'!K1461, TODAY(), "M")&lt;18),
    1.10,
    1.00)</f>
        <v/>
      </c>
      <c r="O1461">
        <f>IF('Loan Tape (S&amp;P)'!T1461="Yes",
    1.35,
    1.00)</f>
        <v/>
      </c>
      <c r="P1461">
        <f>IF('Loan Tape (S&amp;P)'!S1461="Yes",
    1.15,
    1.00)</f>
        <v/>
      </c>
      <c r="Q1461">
        <f>IF('Loan Tape (S&amp;P)'!V1461="Yes",
    1.20,
    1.00)</f>
        <v/>
      </c>
      <c r="T1461">
        <f>LET(
    payment_method,'Loan Tape (S&amp;P)'!P1461,
    occupancy,'Loan Tape (S&amp;P)'!N1461,
    maturity_date,'Loan Tape (S&amp;P)'!L1461,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62">
      <c r="J1462">
        <f>LET(
    lien,'Loan Tape (S&amp;P)'!Q1462,
    IF(lien="First",1.00,
        IF(lien="Second",1.50,
            1.70)))</f>
        <v/>
      </c>
      <c r="K1462">
        <f>LET(
    purpose,'Loan Tape (S&amp;P)'!R1462,
    IF(purpose="Purchase",1.00,
        IF(purpose="Remortgage",1.00,
            1.20)))</f>
        <v/>
      </c>
      <c r="L1462">
        <f>LET(
    arrears_months,'Loan Tape (S&amp;P)'!AN1462,
    IF(arrears_months=0,1.00,
    IF(arrears_months=1,3.00,
    IF(arrears_months=2,5.00,
    IF(arrears_months=3,8.00,
    IF(arrears_months=4,10.00,
    IF(arrears_months=5,12.00,15.00)))))))</f>
        <v/>
      </c>
      <c r="M1462">
        <f>LET(
    seasoning_years,DATEDIF('Loan Tape (S&amp;P)'!K1462,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62">
        <f>IF(AND('Loan Tape (S&amp;P)'!U1462="Yes",
        'Loan Tape (S&amp;P)'!T1462&lt;&gt;"Yes",
        DATEDIF('Loan Tape (S&amp;P)'!K1462, TODAY(), "M")&lt;18),
    1.10,
    1.00)</f>
        <v/>
      </c>
      <c r="O1462">
        <f>IF('Loan Tape (S&amp;P)'!T1462="Yes",
    1.35,
    1.00)</f>
        <v/>
      </c>
      <c r="P1462">
        <f>IF('Loan Tape (S&amp;P)'!S1462="Yes",
    1.15,
    1.00)</f>
        <v/>
      </c>
      <c r="Q1462">
        <f>IF('Loan Tape (S&amp;P)'!V1462="Yes",
    1.20,
    1.00)</f>
        <v/>
      </c>
      <c r="T1462">
        <f>LET(
    payment_method,'Loan Tape (S&amp;P)'!P1462,
    occupancy,'Loan Tape (S&amp;P)'!N1462,
    maturity_date,'Loan Tape (S&amp;P)'!L1462,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63">
      <c r="J1463">
        <f>LET(
    lien,'Loan Tape (S&amp;P)'!Q1463,
    IF(lien="First",1.00,
        IF(lien="Second",1.50,
            1.70)))</f>
        <v/>
      </c>
      <c r="K1463">
        <f>LET(
    purpose,'Loan Tape (S&amp;P)'!R1463,
    IF(purpose="Purchase",1.00,
        IF(purpose="Remortgage",1.00,
            1.20)))</f>
        <v/>
      </c>
      <c r="L1463">
        <f>LET(
    arrears_months,'Loan Tape (S&amp;P)'!AN1463,
    IF(arrears_months=0,1.00,
    IF(arrears_months=1,3.00,
    IF(arrears_months=2,5.00,
    IF(arrears_months=3,8.00,
    IF(arrears_months=4,10.00,
    IF(arrears_months=5,12.00,15.00)))))))</f>
        <v/>
      </c>
      <c r="M1463">
        <f>LET(
    seasoning_years,DATEDIF('Loan Tape (S&amp;P)'!K1463,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63">
        <f>IF(AND('Loan Tape (S&amp;P)'!U1463="Yes",
        'Loan Tape (S&amp;P)'!T1463&lt;&gt;"Yes",
        DATEDIF('Loan Tape (S&amp;P)'!K1463, TODAY(), "M")&lt;18),
    1.10,
    1.00)</f>
        <v/>
      </c>
      <c r="O1463">
        <f>IF('Loan Tape (S&amp;P)'!T1463="Yes",
    1.35,
    1.00)</f>
        <v/>
      </c>
      <c r="P1463">
        <f>IF('Loan Tape (S&amp;P)'!S1463="Yes",
    1.15,
    1.00)</f>
        <v/>
      </c>
      <c r="Q1463">
        <f>IF('Loan Tape (S&amp;P)'!V1463="Yes",
    1.20,
    1.00)</f>
        <v/>
      </c>
      <c r="T1463">
        <f>LET(
    payment_method,'Loan Tape (S&amp;P)'!P1463,
    occupancy,'Loan Tape (S&amp;P)'!N1463,
    maturity_date,'Loan Tape (S&amp;P)'!L1463,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64">
      <c r="J1464">
        <f>LET(
    lien,'Loan Tape (S&amp;P)'!Q1464,
    IF(lien="First",1.00,
        IF(lien="Second",1.50,
            1.70)))</f>
        <v/>
      </c>
      <c r="K1464">
        <f>LET(
    purpose,'Loan Tape (S&amp;P)'!R1464,
    IF(purpose="Purchase",1.00,
        IF(purpose="Remortgage",1.00,
            1.20)))</f>
        <v/>
      </c>
      <c r="L1464">
        <f>LET(
    arrears_months,'Loan Tape (S&amp;P)'!AN1464,
    IF(arrears_months=0,1.00,
    IF(arrears_months=1,3.00,
    IF(arrears_months=2,5.00,
    IF(arrears_months=3,8.00,
    IF(arrears_months=4,10.00,
    IF(arrears_months=5,12.00,15.00)))))))</f>
        <v/>
      </c>
      <c r="M1464">
        <f>LET(
    seasoning_years,DATEDIF('Loan Tape (S&amp;P)'!K1464,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64">
        <f>IF(AND('Loan Tape (S&amp;P)'!U1464="Yes",
        'Loan Tape (S&amp;P)'!T1464&lt;&gt;"Yes",
        DATEDIF('Loan Tape (S&amp;P)'!K1464, TODAY(), "M")&lt;18),
    1.10,
    1.00)</f>
        <v/>
      </c>
      <c r="O1464">
        <f>IF('Loan Tape (S&amp;P)'!T1464="Yes",
    1.35,
    1.00)</f>
        <v/>
      </c>
      <c r="P1464">
        <f>IF('Loan Tape (S&amp;P)'!S1464="Yes",
    1.15,
    1.00)</f>
        <v/>
      </c>
      <c r="Q1464">
        <f>IF('Loan Tape (S&amp;P)'!V1464="Yes",
    1.20,
    1.00)</f>
        <v/>
      </c>
      <c r="T1464">
        <f>LET(
    payment_method,'Loan Tape (S&amp;P)'!P1464,
    occupancy,'Loan Tape (S&amp;P)'!N1464,
    maturity_date,'Loan Tape (S&amp;P)'!L1464,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65">
      <c r="J1465">
        <f>LET(
    lien,'Loan Tape (S&amp;P)'!Q1465,
    IF(lien="First",1.00,
        IF(lien="Second",1.50,
            1.70)))</f>
        <v/>
      </c>
      <c r="K1465">
        <f>LET(
    purpose,'Loan Tape (S&amp;P)'!R1465,
    IF(purpose="Purchase",1.00,
        IF(purpose="Remortgage",1.00,
            1.20)))</f>
        <v/>
      </c>
      <c r="L1465">
        <f>LET(
    arrears_months,'Loan Tape (S&amp;P)'!AN1465,
    IF(arrears_months=0,1.00,
    IF(arrears_months=1,3.00,
    IF(arrears_months=2,5.00,
    IF(arrears_months=3,8.00,
    IF(arrears_months=4,10.00,
    IF(arrears_months=5,12.00,15.00)))))))</f>
        <v/>
      </c>
      <c r="M1465">
        <f>LET(
    seasoning_years,DATEDIF('Loan Tape (S&amp;P)'!K1465,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65">
        <f>IF(AND('Loan Tape (S&amp;P)'!U1465="Yes",
        'Loan Tape (S&amp;P)'!T1465&lt;&gt;"Yes",
        DATEDIF('Loan Tape (S&amp;P)'!K1465, TODAY(), "M")&lt;18),
    1.10,
    1.00)</f>
        <v/>
      </c>
      <c r="O1465">
        <f>IF('Loan Tape (S&amp;P)'!T1465="Yes",
    1.35,
    1.00)</f>
        <v/>
      </c>
      <c r="P1465">
        <f>IF('Loan Tape (S&amp;P)'!S1465="Yes",
    1.15,
    1.00)</f>
        <v/>
      </c>
      <c r="Q1465">
        <f>IF('Loan Tape (S&amp;P)'!V1465="Yes",
    1.20,
    1.00)</f>
        <v/>
      </c>
      <c r="T1465">
        <f>LET(
    payment_method,'Loan Tape (S&amp;P)'!P1465,
    occupancy,'Loan Tape (S&amp;P)'!N1465,
    maturity_date,'Loan Tape (S&amp;P)'!L1465,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66">
      <c r="J1466">
        <f>LET(
    lien,'Loan Tape (S&amp;P)'!Q1466,
    IF(lien="First",1.00,
        IF(lien="Second",1.50,
            1.70)))</f>
        <v/>
      </c>
      <c r="K1466">
        <f>LET(
    purpose,'Loan Tape (S&amp;P)'!R1466,
    IF(purpose="Purchase",1.00,
        IF(purpose="Remortgage",1.00,
            1.20)))</f>
        <v/>
      </c>
      <c r="L1466">
        <f>LET(
    arrears_months,'Loan Tape (S&amp;P)'!AN1466,
    IF(arrears_months=0,1.00,
    IF(arrears_months=1,3.00,
    IF(arrears_months=2,5.00,
    IF(arrears_months=3,8.00,
    IF(arrears_months=4,10.00,
    IF(arrears_months=5,12.00,15.00)))))))</f>
        <v/>
      </c>
      <c r="M1466">
        <f>LET(
    seasoning_years,DATEDIF('Loan Tape (S&amp;P)'!K1466,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66">
        <f>IF(AND('Loan Tape (S&amp;P)'!U1466="Yes",
        'Loan Tape (S&amp;P)'!T1466&lt;&gt;"Yes",
        DATEDIF('Loan Tape (S&amp;P)'!K1466, TODAY(), "M")&lt;18),
    1.10,
    1.00)</f>
        <v/>
      </c>
      <c r="O1466">
        <f>IF('Loan Tape (S&amp;P)'!T1466="Yes",
    1.35,
    1.00)</f>
        <v/>
      </c>
      <c r="P1466">
        <f>IF('Loan Tape (S&amp;P)'!S1466="Yes",
    1.15,
    1.00)</f>
        <v/>
      </c>
      <c r="Q1466">
        <f>IF('Loan Tape (S&amp;P)'!V1466="Yes",
    1.20,
    1.00)</f>
        <v/>
      </c>
      <c r="T1466">
        <f>LET(
    payment_method,'Loan Tape (S&amp;P)'!P1466,
    occupancy,'Loan Tape (S&amp;P)'!N1466,
    maturity_date,'Loan Tape (S&amp;P)'!L1466,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67">
      <c r="J1467">
        <f>LET(
    lien,'Loan Tape (S&amp;P)'!Q1467,
    IF(lien="First",1.00,
        IF(lien="Second",1.50,
            1.70)))</f>
        <v/>
      </c>
      <c r="K1467">
        <f>LET(
    purpose,'Loan Tape (S&amp;P)'!R1467,
    IF(purpose="Purchase",1.00,
        IF(purpose="Remortgage",1.00,
            1.20)))</f>
        <v/>
      </c>
      <c r="L1467">
        <f>LET(
    arrears_months,'Loan Tape (S&amp;P)'!AN1467,
    IF(arrears_months=0,1.00,
    IF(arrears_months=1,3.00,
    IF(arrears_months=2,5.00,
    IF(arrears_months=3,8.00,
    IF(arrears_months=4,10.00,
    IF(arrears_months=5,12.00,15.00)))))))</f>
        <v/>
      </c>
      <c r="M1467">
        <f>LET(
    seasoning_years,DATEDIF('Loan Tape (S&amp;P)'!K1467,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67">
        <f>IF(AND('Loan Tape (S&amp;P)'!U1467="Yes",
        'Loan Tape (S&amp;P)'!T1467&lt;&gt;"Yes",
        DATEDIF('Loan Tape (S&amp;P)'!K1467, TODAY(), "M")&lt;18),
    1.10,
    1.00)</f>
        <v/>
      </c>
      <c r="O1467">
        <f>IF('Loan Tape (S&amp;P)'!T1467="Yes",
    1.35,
    1.00)</f>
        <v/>
      </c>
      <c r="P1467">
        <f>IF('Loan Tape (S&amp;P)'!S1467="Yes",
    1.15,
    1.00)</f>
        <v/>
      </c>
      <c r="Q1467">
        <f>IF('Loan Tape (S&amp;P)'!V1467="Yes",
    1.20,
    1.00)</f>
        <v/>
      </c>
      <c r="T1467">
        <f>LET(
    payment_method,'Loan Tape (S&amp;P)'!P1467,
    occupancy,'Loan Tape (S&amp;P)'!N1467,
    maturity_date,'Loan Tape (S&amp;P)'!L1467,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68">
      <c r="J1468">
        <f>LET(
    lien,'Loan Tape (S&amp;P)'!Q1468,
    IF(lien="First",1.00,
        IF(lien="Second",1.50,
            1.70)))</f>
        <v/>
      </c>
      <c r="K1468">
        <f>LET(
    purpose,'Loan Tape (S&amp;P)'!R1468,
    IF(purpose="Purchase",1.00,
        IF(purpose="Remortgage",1.00,
            1.20)))</f>
        <v/>
      </c>
      <c r="L1468">
        <f>LET(
    arrears_months,'Loan Tape (S&amp;P)'!AN1468,
    IF(arrears_months=0,1.00,
    IF(arrears_months=1,3.00,
    IF(arrears_months=2,5.00,
    IF(arrears_months=3,8.00,
    IF(arrears_months=4,10.00,
    IF(arrears_months=5,12.00,15.00)))))))</f>
        <v/>
      </c>
      <c r="M1468">
        <f>LET(
    seasoning_years,DATEDIF('Loan Tape (S&amp;P)'!K1468,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68">
        <f>IF(AND('Loan Tape (S&amp;P)'!U1468="Yes",
        'Loan Tape (S&amp;P)'!T1468&lt;&gt;"Yes",
        DATEDIF('Loan Tape (S&amp;P)'!K1468, TODAY(), "M")&lt;18),
    1.10,
    1.00)</f>
        <v/>
      </c>
      <c r="O1468">
        <f>IF('Loan Tape (S&amp;P)'!T1468="Yes",
    1.35,
    1.00)</f>
        <v/>
      </c>
      <c r="P1468">
        <f>IF('Loan Tape (S&amp;P)'!S1468="Yes",
    1.15,
    1.00)</f>
        <v/>
      </c>
      <c r="Q1468">
        <f>IF('Loan Tape (S&amp;P)'!V1468="Yes",
    1.20,
    1.00)</f>
        <v/>
      </c>
      <c r="T1468">
        <f>LET(
    payment_method,'Loan Tape (S&amp;P)'!P1468,
    occupancy,'Loan Tape (S&amp;P)'!N1468,
    maturity_date,'Loan Tape (S&amp;P)'!L1468,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69">
      <c r="J1469">
        <f>LET(
    lien,'Loan Tape (S&amp;P)'!Q1469,
    IF(lien="First",1.00,
        IF(lien="Second",1.50,
            1.70)))</f>
        <v/>
      </c>
      <c r="K1469">
        <f>LET(
    purpose,'Loan Tape (S&amp;P)'!R1469,
    IF(purpose="Purchase",1.00,
        IF(purpose="Remortgage",1.00,
            1.20)))</f>
        <v/>
      </c>
      <c r="L1469">
        <f>LET(
    arrears_months,'Loan Tape (S&amp;P)'!AN1469,
    IF(arrears_months=0,1.00,
    IF(arrears_months=1,3.00,
    IF(arrears_months=2,5.00,
    IF(arrears_months=3,8.00,
    IF(arrears_months=4,10.00,
    IF(arrears_months=5,12.00,15.00)))))))</f>
        <v/>
      </c>
      <c r="M1469">
        <f>LET(
    seasoning_years,DATEDIF('Loan Tape (S&amp;P)'!K1469,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69">
        <f>IF(AND('Loan Tape (S&amp;P)'!U1469="Yes",
        'Loan Tape (S&amp;P)'!T1469&lt;&gt;"Yes",
        DATEDIF('Loan Tape (S&amp;P)'!K1469, TODAY(), "M")&lt;18),
    1.10,
    1.00)</f>
        <v/>
      </c>
      <c r="O1469">
        <f>IF('Loan Tape (S&amp;P)'!T1469="Yes",
    1.35,
    1.00)</f>
        <v/>
      </c>
      <c r="P1469">
        <f>IF('Loan Tape (S&amp;P)'!S1469="Yes",
    1.15,
    1.00)</f>
        <v/>
      </c>
      <c r="Q1469">
        <f>IF('Loan Tape (S&amp;P)'!V1469="Yes",
    1.20,
    1.00)</f>
        <v/>
      </c>
      <c r="T1469">
        <f>LET(
    payment_method,'Loan Tape (S&amp;P)'!P1469,
    occupancy,'Loan Tape (S&amp;P)'!N1469,
    maturity_date,'Loan Tape (S&amp;P)'!L1469,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70">
      <c r="J1470">
        <f>LET(
    lien,'Loan Tape (S&amp;P)'!Q1470,
    IF(lien="First",1.00,
        IF(lien="Second",1.50,
            1.70)))</f>
        <v/>
      </c>
      <c r="K1470">
        <f>LET(
    purpose,'Loan Tape (S&amp;P)'!R1470,
    IF(purpose="Purchase",1.00,
        IF(purpose="Remortgage",1.00,
            1.20)))</f>
        <v/>
      </c>
      <c r="L1470">
        <f>LET(
    arrears_months,'Loan Tape (S&amp;P)'!AN1470,
    IF(arrears_months=0,1.00,
    IF(arrears_months=1,3.00,
    IF(arrears_months=2,5.00,
    IF(arrears_months=3,8.00,
    IF(arrears_months=4,10.00,
    IF(arrears_months=5,12.00,15.00)))))))</f>
        <v/>
      </c>
      <c r="M1470">
        <f>LET(
    seasoning_years,DATEDIF('Loan Tape (S&amp;P)'!K1470,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70">
        <f>IF(AND('Loan Tape (S&amp;P)'!U1470="Yes",
        'Loan Tape (S&amp;P)'!T1470&lt;&gt;"Yes",
        DATEDIF('Loan Tape (S&amp;P)'!K1470, TODAY(), "M")&lt;18),
    1.10,
    1.00)</f>
        <v/>
      </c>
      <c r="O1470">
        <f>IF('Loan Tape (S&amp;P)'!T1470="Yes",
    1.35,
    1.00)</f>
        <v/>
      </c>
      <c r="P1470">
        <f>IF('Loan Tape (S&amp;P)'!S1470="Yes",
    1.15,
    1.00)</f>
        <v/>
      </c>
      <c r="Q1470">
        <f>IF('Loan Tape (S&amp;P)'!V1470="Yes",
    1.20,
    1.00)</f>
        <v/>
      </c>
      <c r="T1470">
        <f>LET(
    payment_method,'Loan Tape (S&amp;P)'!P1470,
    occupancy,'Loan Tape (S&amp;P)'!N1470,
    maturity_date,'Loan Tape (S&amp;P)'!L1470,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71">
      <c r="J1471">
        <f>LET(
    lien,'Loan Tape (S&amp;P)'!Q1471,
    IF(lien="First",1.00,
        IF(lien="Second",1.50,
            1.70)))</f>
        <v/>
      </c>
      <c r="K1471">
        <f>LET(
    purpose,'Loan Tape (S&amp;P)'!R1471,
    IF(purpose="Purchase",1.00,
        IF(purpose="Remortgage",1.00,
            1.20)))</f>
        <v/>
      </c>
      <c r="L1471">
        <f>LET(
    arrears_months,'Loan Tape (S&amp;P)'!AN1471,
    IF(arrears_months=0,1.00,
    IF(arrears_months=1,3.00,
    IF(arrears_months=2,5.00,
    IF(arrears_months=3,8.00,
    IF(arrears_months=4,10.00,
    IF(arrears_months=5,12.00,15.00)))))))</f>
        <v/>
      </c>
      <c r="M1471">
        <f>LET(
    seasoning_years,DATEDIF('Loan Tape (S&amp;P)'!K1471,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71">
        <f>IF(AND('Loan Tape (S&amp;P)'!U1471="Yes",
        'Loan Tape (S&amp;P)'!T1471&lt;&gt;"Yes",
        DATEDIF('Loan Tape (S&amp;P)'!K1471, TODAY(), "M")&lt;18),
    1.10,
    1.00)</f>
        <v/>
      </c>
      <c r="O1471">
        <f>IF('Loan Tape (S&amp;P)'!T1471="Yes",
    1.35,
    1.00)</f>
        <v/>
      </c>
      <c r="P1471">
        <f>IF('Loan Tape (S&amp;P)'!S1471="Yes",
    1.15,
    1.00)</f>
        <v/>
      </c>
      <c r="Q1471">
        <f>IF('Loan Tape (S&amp;P)'!V1471="Yes",
    1.20,
    1.00)</f>
        <v/>
      </c>
      <c r="T1471">
        <f>LET(
    payment_method,'Loan Tape (S&amp;P)'!P1471,
    occupancy,'Loan Tape (S&amp;P)'!N1471,
    maturity_date,'Loan Tape (S&amp;P)'!L1471,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72">
      <c r="J1472">
        <f>LET(
    lien,'Loan Tape (S&amp;P)'!Q1472,
    IF(lien="First",1.00,
        IF(lien="Second",1.50,
            1.70)))</f>
        <v/>
      </c>
      <c r="K1472">
        <f>LET(
    purpose,'Loan Tape (S&amp;P)'!R1472,
    IF(purpose="Purchase",1.00,
        IF(purpose="Remortgage",1.00,
            1.20)))</f>
        <v/>
      </c>
      <c r="L1472">
        <f>LET(
    arrears_months,'Loan Tape (S&amp;P)'!AN1472,
    IF(arrears_months=0,1.00,
    IF(arrears_months=1,3.00,
    IF(arrears_months=2,5.00,
    IF(arrears_months=3,8.00,
    IF(arrears_months=4,10.00,
    IF(arrears_months=5,12.00,15.00)))))))</f>
        <v/>
      </c>
      <c r="M1472">
        <f>LET(
    seasoning_years,DATEDIF('Loan Tape (S&amp;P)'!K1472,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72">
        <f>IF(AND('Loan Tape (S&amp;P)'!U1472="Yes",
        'Loan Tape (S&amp;P)'!T1472&lt;&gt;"Yes",
        DATEDIF('Loan Tape (S&amp;P)'!K1472, TODAY(), "M")&lt;18),
    1.10,
    1.00)</f>
        <v/>
      </c>
      <c r="O1472">
        <f>IF('Loan Tape (S&amp;P)'!T1472="Yes",
    1.35,
    1.00)</f>
        <v/>
      </c>
      <c r="P1472">
        <f>IF('Loan Tape (S&amp;P)'!S1472="Yes",
    1.15,
    1.00)</f>
        <v/>
      </c>
      <c r="Q1472">
        <f>IF('Loan Tape (S&amp;P)'!V1472="Yes",
    1.20,
    1.00)</f>
        <v/>
      </c>
      <c r="T1472">
        <f>LET(
    payment_method,'Loan Tape (S&amp;P)'!P1472,
    occupancy,'Loan Tape (S&amp;P)'!N1472,
    maturity_date,'Loan Tape (S&amp;P)'!L1472,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73">
      <c r="J1473">
        <f>LET(
    lien,'Loan Tape (S&amp;P)'!Q1473,
    IF(lien="First",1.00,
        IF(lien="Second",1.50,
            1.70)))</f>
        <v/>
      </c>
      <c r="K1473">
        <f>LET(
    purpose,'Loan Tape (S&amp;P)'!R1473,
    IF(purpose="Purchase",1.00,
        IF(purpose="Remortgage",1.00,
            1.20)))</f>
        <v/>
      </c>
      <c r="L1473">
        <f>LET(
    arrears_months,'Loan Tape (S&amp;P)'!AN1473,
    IF(arrears_months=0,1.00,
    IF(arrears_months=1,3.00,
    IF(arrears_months=2,5.00,
    IF(arrears_months=3,8.00,
    IF(arrears_months=4,10.00,
    IF(arrears_months=5,12.00,15.00)))))))</f>
        <v/>
      </c>
      <c r="M1473">
        <f>LET(
    seasoning_years,DATEDIF('Loan Tape (S&amp;P)'!K1473,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73">
        <f>IF(AND('Loan Tape (S&amp;P)'!U1473="Yes",
        'Loan Tape (S&amp;P)'!T1473&lt;&gt;"Yes",
        DATEDIF('Loan Tape (S&amp;P)'!K1473, TODAY(), "M")&lt;18),
    1.10,
    1.00)</f>
        <v/>
      </c>
      <c r="O1473">
        <f>IF('Loan Tape (S&amp;P)'!T1473="Yes",
    1.35,
    1.00)</f>
        <v/>
      </c>
      <c r="P1473">
        <f>IF('Loan Tape (S&amp;P)'!S1473="Yes",
    1.15,
    1.00)</f>
        <v/>
      </c>
      <c r="Q1473">
        <f>IF('Loan Tape (S&amp;P)'!V1473="Yes",
    1.20,
    1.00)</f>
        <v/>
      </c>
      <c r="T1473">
        <f>LET(
    payment_method,'Loan Tape (S&amp;P)'!P1473,
    occupancy,'Loan Tape (S&amp;P)'!N1473,
    maturity_date,'Loan Tape (S&amp;P)'!L1473,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74">
      <c r="J1474">
        <f>LET(
    lien,'Loan Tape (S&amp;P)'!Q1474,
    IF(lien="First",1.00,
        IF(lien="Second",1.50,
            1.70)))</f>
        <v/>
      </c>
      <c r="K1474">
        <f>LET(
    purpose,'Loan Tape (S&amp;P)'!R1474,
    IF(purpose="Purchase",1.00,
        IF(purpose="Remortgage",1.00,
            1.20)))</f>
        <v/>
      </c>
      <c r="L1474">
        <f>LET(
    arrears_months,'Loan Tape (S&amp;P)'!AN1474,
    IF(arrears_months=0,1.00,
    IF(arrears_months=1,3.00,
    IF(arrears_months=2,5.00,
    IF(arrears_months=3,8.00,
    IF(arrears_months=4,10.00,
    IF(arrears_months=5,12.00,15.00)))))))</f>
        <v/>
      </c>
      <c r="M1474">
        <f>LET(
    seasoning_years,DATEDIF('Loan Tape (S&amp;P)'!K1474,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74">
        <f>IF(AND('Loan Tape (S&amp;P)'!U1474="Yes",
        'Loan Tape (S&amp;P)'!T1474&lt;&gt;"Yes",
        DATEDIF('Loan Tape (S&amp;P)'!K1474, TODAY(), "M")&lt;18),
    1.10,
    1.00)</f>
        <v/>
      </c>
      <c r="O1474">
        <f>IF('Loan Tape (S&amp;P)'!T1474="Yes",
    1.35,
    1.00)</f>
        <v/>
      </c>
      <c r="P1474">
        <f>IF('Loan Tape (S&amp;P)'!S1474="Yes",
    1.15,
    1.00)</f>
        <v/>
      </c>
      <c r="Q1474">
        <f>IF('Loan Tape (S&amp;P)'!V1474="Yes",
    1.20,
    1.00)</f>
        <v/>
      </c>
      <c r="T1474">
        <f>LET(
    payment_method,'Loan Tape (S&amp;P)'!P1474,
    occupancy,'Loan Tape (S&amp;P)'!N1474,
    maturity_date,'Loan Tape (S&amp;P)'!L1474,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75">
      <c r="J1475">
        <f>LET(
    lien,'Loan Tape (S&amp;P)'!Q1475,
    IF(lien="First",1.00,
        IF(lien="Second",1.50,
            1.70)))</f>
        <v/>
      </c>
      <c r="K1475">
        <f>LET(
    purpose,'Loan Tape (S&amp;P)'!R1475,
    IF(purpose="Purchase",1.00,
        IF(purpose="Remortgage",1.00,
            1.20)))</f>
        <v/>
      </c>
      <c r="L1475">
        <f>LET(
    arrears_months,'Loan Tape (S&amp;P)'!AN1475,
    IF(arrears_months=0,1.00,
    IF(arrears_months=1,3.00,
    IF(arrears_months=2,5.00,
    IF(arrears_months=3,8.00,
    IF(arrears_months=4,10.00,
    IF(arrears_months=5,12.00,15.00)))))))</f>
        <v/>
      </c>
      <c r="M1475">
        <f>LET(
    seasoning_years,DATEDIF('Loan Tape (S&amp;P)'!K1475,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75">
        <f>IF(AND('Loan Tape (S&amp;P)'!U1475="Yes",
        'Loan Tape (S&amp;P)'!T1475&lt;&gt;"Yes",
        DATEDIF('Loan Tape (S&amp;P)'!K1475, TODAY(), "M")&lt;18),
    1.10,
    1.00)</f>
        <v/>
      </c>
      <c r="O1475">
        <f>IF('Loan Tape (S&amp;P)'!T1475="Yes",
    1.35,
    1.00)</f>
        <v/>
      </c>
      <c r="P1475">
        <f>IF('Loan Tape (S&amp;P)'!S1475="Yes",
    1.15,
    1.00)</f>
        <v/>
      </c>
      <c r="Q1475">
        <f>IF('Loan Tape (S&amp;P)'!V1475="Yes",
    1.20,
    1.00)</f>
        <v/>
      </c>
      <c r="T1475">
        <f>LET(
    payment_method,'Loan Tape (S&amp;P)'!P1475,
    occupancy,'Loan Tape (S&amp;P)'!N1475,
    maturity_date,'Loan Tape (S&amp;P)'!L1475,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76">
      <c r="J1476">
        <f>LET(
    lien,'Loan Tape (S&amp;P)'!Q1476,
    IF(lien="First",1.00,
        IF(lien="Second",1.50,
            1.70)))</f>
        <v/>
      </c>
      <c r="K1476">
        <f>LET(
    purpose,'Loan Tape (S&amp;P)'!R1476,
    IF(purpose="Purchase",1.00,
        IF(purpose="Remortgage",1.00,
            1.20)))</f>
        <v/>
      </c>
      <c r="L1476">
        <f>LET(
    arrears_months,'Loan Tape (S&amp;P)'!AN1476,
    IF(arrears_months=0,1.00,
    IF(arrears_months=1,3.00,
    IF(arrears_months=2,5.00,
    IF(arrears_months=3,8.00,
    IF(arrears_months=4,10.00,
    IF(arrears_months=5,12.00,15.00)))))))</f>
        <v/>
      </c>
      <c r="M1476">
        <f>LET(
    seasoning_years,DATEDIF('Loan Tape (S&amp;P)'!K1476,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76">
        <f>IF(AND('Loan Tape (S&amp;P)'!U1476="Yes",
        'Loan Tape (S&amp;P)'!T1476&lt;&gt;"Yes",
        DATEDIF('Loan Tape (S&amp;P)'!K1476, TODAY(), "M")&lt;18),
    1.10,
    1.00)</f>
        <v/>
      </c>
      <c r="O1476">
        <f>IF('Loan Tape (S&amp;P)'!T1476="Yes",
    1.35,
    1.00)</f>
        <v/>
      </c>
      <c r="P1476">
        <f>IF('Loan Tape (S&amp;P)'!S1476="Yes",
    1.15,
    1.00)</f>
        <v/>
      </c>
      <c r="Q1476">
        <f>IF('Loan Tape (S&amp;P)'!V1476="Yes",
    1.20,
    1.00)</f>
        <v/>
      </c>
      <c r="T1476">
        <f>LET(
    payment_method,'Loan Tape (S&amp;P)'!P1476,
    occupancy,'Loan Tape (S&amp;P)'!N1476,
    maturity_date,'Loan Tape (S&amp;P)'!L1476,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77">
      <c r="J1477">
        <f>LET(
    lien,'Loan Tape (S&amp;P)'!Q1477,
    IF(lien="First",1.00,
        IF(lien="Second",1.50,
            1.70)))</f>
        <v/>
      </c>
      <c r="K1477">
        <f>LET(
    purpose,'Loan Tape (S&amp;P)'!R1477,
    IF(purpose="Purchase",1.00,
        IF(purpose="Remortgage",1.00,
            1.20)))</f>
        <v/>
      </c>
      <c r="L1477">
        <f>LET(
    arrears_months,'Loan Tape (S&amp;P)'!AN1477,
    IF(arrears_months=0,1.00,
    IF(arrears_months=1,3.00,
    IF(arrears_months=2,5.00,
    IF(arrears_months=3,8.00,
    IF(arrears_months=4,10.00,
    IF(arrears_months=5,12.00,15.00)))))))</f>
        <v/>
      </c>
      <c r="M1477">
        <f>LET(
    seasoning_years,DATEDIF('Loan Tape (S&amp;P)'!K1477,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77">
        <f>IF(AND('Loan Tape (S&amp;P)'!U1477="Yes",
        'Loan Tape (S&amp;P)'!T1477&lt;&gt;"Yes",
        DATEDIF('Loan Tape (S&amp;P)'!K1477, TODAY(), "M")&lt;18),
    1.10,
    1.00)</f>
        <v/>
      </c>
      <c r="O1477">
        <f>IF('Loan Tape (S&amp;P)'!T1477="Yes",
    1.35,
    1.00)</f>
        <v/>
      </c>
      <c r="P1477">
        <f>IF('Loan Tape (S&amp;P)'!S1477="Yes",
    1.15,
    1.00)</f>
        <v/>
      </c>
      <c r="Q1477">
        <f>IF('Loan Tape (S&amp;P)'!V1477="Yes",
    1.20,
    1.00)</f>
        <v/>
      </c>
      <c r="T1477">
        <f>LET(
    payment_method,'Loan Tape (S&amp;P)'!P1477,
    occupancy,'Loan Tape (S&amp;P)'!N1477,
    maturity_date,'Loan Tape (S&amp;P)'!L1477,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78">
      <c r="J1478">
        <f>LET(
    lien,'Loan Tape (S&amp;P)'!Q1478,
    IF(lien="First",1.00,
        IF(lien="Second",1.50,
            1.70)))</f>
        <v/>
      </c>
      <c r="K1478">
        <f>LET(
    purpose,'Loan Tape (S&amp;P)'!R1478,
    IF(purpose="Purchase",1.00,
        IF(purpose="Remortgage",1.00,
            1.20)))</f>
        <v/>
      </c>
      <c r="L1478">
        <f>LET(
    arrears_months,'Loan Tape (S&amp;P)'!AN1478,
    IF(arrears_months=0,1.00,
    IF(arrears_months=1,3.00,
    IF(arrears_months=2,5.00,
    IF(arrears_months=3,8.00,
    IF(arrears_months=4,10.00,
    IF(arrears_months=5,12.00,15.00)))))))</f>
        <v/>
      </c>
      <c r="M1478">
        <f>LET(
    seasoning_years,DATEDIF('Loan Tape (S&amp;P)'!K1478,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78">
        <f>IF(AND('Loan Tape (S&amp;P)'!U1478="Yes",
        'Loan Tape (S&amp;P)'!T1478&lt;&gt;"Yes",
        DATEDIF('Loan Tape (S&amp;P)'!K1478, TODAY(), "M")&lt;18),
    1.10,
    1.00)</f>
        <v/>
      </c>
      <c r="O1478">
        <f>IF('Loan Tape (S&amp;P)'!T1478="Yes",
    1.35,
    1.00)</f>
        <v/>
      </c>
      <c r="P1478">
        <f>IF('Loan Tape (S&amp;P)'!S1478="Yes",
    1.15,
    1.00)</f>
        <v/>
      </c>
      <c r="Q1478">
        <f>IF('Loan Tape (S&amp;P)'!V1478="Yes",
    1.20,
    1.00)</f>
        <v/>
      </c>
      <c r="T1478">
        <f>LET(
    payment_method,'Loan Tape (S&amp;P)'!P1478,
    occupancy,'Loan Tape (S&amp;P)'!N1478,
    maturity_date,'Loan Tape (S&amp;P)'!L1478,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79">
      <c r="J1479">
        <f>LET(
    lien,'Loan Tape (S&amp;P)'!Q1479,
    IF(lien="First",1.00,
        IF(lien="Second",1.50,
            1.70)))</f>
        <v/>
      </c>
      <c r="K1479">
        <f>LET(
    purpose,'Loan Tape (S&amp;P)'!R1479,
    IF(purpose="Purchase",1.00,
        IF(purpose="Remortgage",1.00,
            1.20)))</f>
        <v/>
      </c>
      <c r="L1479">
        <f>LET(
    arrears_months,'Loan Tape (S&amp;P)'!AN1479,
    IF(arrears_months=0,1.00,
    IF(arrears_months=1,3.00,
    IF(arrears_months=2,5.00,
    IF(arrears_months=3,8.00,
    IF(arrears_months=4,10.00,
    IF(arrears_months=5,12.00,15.00)))))))</f>
        <v/>
      </c>
      <c r="M1479">
        <f>LET(
    seasoning_years,DATEDIF('Loan Tape (S&amp;P)'!K1479,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79">
        <f>IF(AND('Loan Tape (S&amp;P)'!U1479="Yes",
        'Loan Tape (S&amp;P)'!T1479&lt;&gt;"Yes",
        DATEDIF('Loan Tape (S&amp;P)'!K1479, TODAY(), "M")&lt;18),
    1.10,
    1.00)</f>
        <v/>
      </c>
      <c r="O1479">
        <f>IF('Loan Tape (S&amp;P)'!T1479="Yes",
    1.35,
    1.00)</f>
        <v/>
      </c>
      <c r="P1479">
        <f>IF('Loan Tape (S&amp;P)'!S1479="Yes",
    1.15,
    1.00)</f>
        <v/>
      </c>
      <c r="Q1479">
        <f>IF('Loan Tape (S&amp;P)'!V1479="Yes",
    1.20,
    1.00)</f>
        <v/>
      </c>
      <c r="T1479">
        <f>LET(
    payment_method,'Loan Tape (S&amp;P)'!P1479,
    occupancy,'Loan Tape (S&amp;P)'!N1479,
    maturity_date,'Loan Tape (S&amp;P)'!L1479,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80">
      <c r="J1480">
        <f>LET(
    lien,'Loan Tape (S&amp;P)'!Q1480,
    IF(lien="First",1.00,
        IF(lien="Second",1.50,
            1.70)))</f>
        <v/>
      </c>
      <c r="K1480">
        <f>LET(
    purpose,'Loan Tape (S&amp;P)'!R1480,
    IF(purpose="Purchase",1.00,
        IF(purpose="Remortgage",1.00,
            1.20)))</f>
        <v/>
      </c>
      <c r="L1480">
        <f>LET(
    arrears_months,'Loan Tape (S&amp;P)'!AN1480,
    IF(arrears_months=0,1.00,
    IF(arrears_months=1,3.00,
    IF(arrears_months=2,5.00,
    IF(arrears_months=3,8.00,
    IF(arrears_months=4,10.00,
    IF(arrears_months=5,12.00,15.00)))))))</f>
        <v/>
      </c>
      <c r="M1480">
        <f>LET(
    seasoning_years,DATEDIF('Loan Tape (S&amp;P)'!K1480,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80">
        <f>IF(AND('Loan Tape (S&amp;P)'!U1480="Yes",
        'Loan Tape (S&amp;P)'!T1480&lt;&gt;"Yes",
        DATEDIF('Loan Tape (S&amp;P)'!K1480, TODAY(), "M")&lt;18),
    1.10,
    1.00)</f>
        <v/>
      </c>
      <c r="O1480">
        <f>IF('Loan Tape (S&amp;P)'!T1480="Yes",
    1.35,
    1.00)</f>
        <v/>
      </c>
      <c r="P1480">
        <f>IF('Loan Tape (S&amp;P)'!S1480="Yes",
    1.15,
    1.00)</f>
        <v/>
      </c>
      <c r="Q1480">
        <f>IF('Loan Tape (S&amp;P)'!V1480="Yes",
    1.20,
    1.00)</f>
        <v/>
      </c>
      <c r="T1480">
        <f>LET(
    payment_method,'Loan Tape (S&amp;P)'!P1480,
    occupancy,'Loan Tape (S&amp;P)'!N1480,
    maturity_date,'Loan Tape (S&amp;P)'!L1480,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81">
      <c r="J1481">
        <f>LET(
    lien,'Loan Tape (S&amp;P)'!Q1481,
    IF(lien="First",1.00,
        IF(lien="Second",1.50,
            1.70)))</f>
        <v/>
      </c>
      <c r="K1481">
        <f>LET(
    purpose,'Loan Tape (S&amp;P)'!R1481,
    IF(purpose="Purchase",1.00,
        IF(purpose="Remortgage",1.00,
            1.20)))</f>
        <v/>
      </c>
      <c r="L1481">
        <f>LET(
    arrears_months,'Loan Tape (S&amp;P)'!AN1481,
    IF(arrears_months=0,1.00,
    IF(arrears_months=1,3.00,
    IF(arrears_months=2,5.00,
    IF(arrears_months=3,8.00,
    IF(arrears_months=4,10.00,
    IF(arrears_months=5,12.00,15.00)))))))</f>
        <v/>
      </c>
      <c r="M1481">
        <f>LET(
    seasoning_years,DATEDIF('Loan Tape (S&amp;P)'!K1481,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81">
        <f>IF(AND('Loan Tape (S&amp;P)'!U1481="Yes",
        'Loan Tape (S&amp;P)'!T1481&lt;&gt;"Yes",
        DATEDIF('Loan Tape (S&amp;P)'!K1481, TODAY(), "M")&lt;18),
    1.10,
    1.00)</f>
        <v/>
      </c>
      <c r="O1481">
        <f>IF('Loan Tape (S&amp;P)'!T1481="Yes",
    1.35,
    1.00)</f>
        <v/>
      </c>
      <c r="P1481">
        <f>IF('Loan Tape (S&amp;P)'!S1481="Yes",
    1.15,
    1.00)</f>
        <v/>
      </c>
      <c r="Q1481">
        <f>IF('Loan Tape (S&amp;P)'!V1481="Yes",
    1.20,
    1.00)</f>
        <v/>
      </c>
      <c r="T1481">
        <f>LET(
    payment_method,'Loan Tape (S&amp;P)'!P1481,
    occupancy,'Loan Tape (S&amp;P)'!N1481,
    maturity_date,'Loan Tape (S&amp;P)'!L1481,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82">
      <c r="J1482">
        <f>LET(
    lien,'Loan Tape (S&amp;P)'!Q1482,
    IF(lien="First",1.00,
        IF(lien="Second",1.50,
            1.70)))</f>
        <v/>
      </c>
      <c r="K1482">
        <f>LET(
    purpose,'Loan Tape (S&amp;P)'!R1482,
    IF(purpose="Purchase",1.00,
        IF(purpose="Remortgage",1.00,
            1.20)))</f>
        <v/>
      </c>
      <c r="L1482">
        <f>LET(
    arrears_months,'Loan Tape (S&amp;P)'!AN1482,
    IF(arrears_months=0,1.00,
    IF(arrears_months=1,3.00,
    IF(arrears_months=2,5.00,
    IF(arrears_months=3,8.00,
    IF(arrears_months=4,10.00,
    IF(arrears_months=5,12.00,15.00)))))))</f>
        <v/>
      </c>
      <c r="M1482">
        <f>LET(
    seasoning_years,DATEDIF('Loan Tape (S&amp;P)'!K1482,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82">
        <f>IF(AND('Loan Tape (S&amp;P)'!U1482="Yes",
        'Loan Tape (S&amp;P)'!T1482&lt;&gt;"Yes",
        DATEDIF('Loan Tape (S&amp;P)'!K1482, TODAY(), "M")&lt;18),
    1.10,
    1.00)</f>
        <v/>
      </c>
      <c r="O1482">
        <f>IF('Loan Tape (S&amp;P)'!T1482="Yes",
    1.35,
    1.00)</f>
        <v/>
      </c>
      <c r="P1482">
        <f>IF('Loan Tape (S&amp;P)'!S1482="Yes",
    1.15,
    1.00)</f>
        <v/>
      </c>
      <c r="Q1482">
        <f>IF('Loan Tape (S&amp;P)'!V1482="Yes",
    1.20,
    1.00)</f>
        <v/>
      </c>
      <c r="T1482">
        <f>LET(
    payment_method,'Loan Tape (S&amp;P)'!P1482,
    occupancy,'Loan Tape (S&amp;P)'!N1482,
    maturity_date,'Loan Tape (S&amp;P)'!L1482,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83">
      <c r="J1483">
        <f>LET(
    lien,'Loan Tape (S&amp;P)'!Q1483,
    IF(lien="First",1.00,
        IF(lien="Second",1.50,
            1.70)))</f>
        <v/>
      </c>
      <c r="K1483">
        <f>LET(
    purpose,'Loan Tape (S&amp;P)'!R1483,
    IF(purpose="Purchase",1.00,
        IF(purpose="Remortgage",1.00,
            1.20)))</f>
        <v/>
      </c>
      <c r="L1483">
        <f>LET(
    arrears_months,'Loan Tape (S&amp;P)'!AN1483,
    IF(arrears_months=0,1.00,
    IF(arrears_months=1,3.00,
    IF(arrears_months=2,5.00,
    IF(arrears_months=3,8.00,
    IF(arrears_months=4,10.00,
    IF(arrears_months=5,12.00,15.00)))))))</f>
        <v/>
      </c>
      <c r="M1483">
        <f>LET(
    seasoning_years,DATEDIF('Loan Tape (S&amp;P)'!K1483,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83">
        <f>IF(AND('Loan Tape (S&amp;P)'!U1483="Yes",
        'Loan Tape (S&amp;P)'!T1483&lt;&gt;"Yes",
        DATEDIF('Loan Tape (S&amp;P)'!K1483, TODAY(), "M")&lt;18),
    1.10,
    1.00)</f>
        <v/>
      </c>
      <c r="O1483">
        <f>IF('Loan Tape (S&amp;P)'!T1483="Yes",
    1.35,
    1.00)</f>
        <v/>
      </c>
      <c r="P1483">
        <f>IF('Loan Tape (S&amp;P)'!S1483="Yes",
    1.15,
    1.00)</f>
        <v/>
      </c>
      <c r="Q1483">
        <f>IF('Loan Tape (S&amp;P)'!V1483="Yes",
    1.20,
    1.00)</f>
        <v/>
      </c>
      <c r="T1483">
        <f>LET(
    payment_method,'Loan Tape (S&amp;P)'!P1483,
    occupancy,'Loan Tape (S&amp;P)'!N1483,
    maturity_date,'Loan Tape (S&amp;P)'!L1483,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84">
      <c r="J1484">
        <f>LET(
    lien,'Loan Tape (S&amp;P)'!Q1484,
    IF(lien="First",1.00,
        IF(lien="Second",1.50,
            1.70)))</f>
        <v/>
      </c>
      <c r="K1484">
        <f>LET(
    purpose,'Loan Tape (S&amp;P)'!R1484,
    IF(purpose="Purchase",1.00,
        IF(purpose="Remortgage",1.00,
            1.20)))</f>
        <v/>
      </c>
      <c r="L1484">
        <f>LET(
    arrears_months,'Loan Tape (S&amp;P)'!AN1484,
    IF(arrears_months=0,1.00,
    IF(arrears_months=1,3.00,
    IF(arrears_months=2,5.00,
    IF(arrears_months=3,8.00,
    IF(arrears_months=4,10.00,
    IF(arrears_months=5,12.00,15.00)))))))</f>
        <v/>
      </c>
      <c r="M1484">
        <f>LET(
    seasoning_years,DATEDIF('Loan Tape (S&amp;P)'!K1484,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84">
        <f>IF(AND('Loan Tape (S&amp;P)'!U1484="Yes",
        'Loan Tape (S&amp;P)'!T1484&lt;&gt;"Yes",
        DATEDIF('Loan Tape (S&amp;P)'!K1484, TODAY(), "M")&lt;18),
    1.10,
    1.00)</f>
        <v/>
      </c>
      <c r="O1484">
        <f>IF('Loan Tape (S&amp;P)'!T1484="Yes",
    1.35,
    1.00)</f>
        <v/>
      </c>
      <c r="P1484">
        <f>IF('Loan Tape (S&amp;P)'!S1484="Yes",
    1.15,
    1.00)</f>
        <v/>
      </c>
      <c r="Q1484">
        <f>IF('Loan Tape (S&amp;P)'!V1484="Yes",
    1.20,
    1.00)</f>
        <v/>
      </c>
      <c r="T1484">
        <f>LET(
    payment_method,'Loan Tape (S&amp;P)'!P1484,
    occupancy,'Loan Tape (S&amp;P)'!N1484,
    maturity_date,'Loan Tape (S&amp;P)'!L1484,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85">
      <c r="J1485">
        <f>LET(
    lien,'Loan Tape (S&amp;P)'!Q1485,
    IF(lien="First",1.00,
        IF(lien="Second",1.50,
            1.70)))</f>
        <v/>
      </c>
      <c r="K1485">
        <f>LET(
    purpose,'Loan Tape (S&amp;P)'!R1485,
    IF(purpose="Purchase",1.00,
        IF(purpose="Remortgage",1.00,
            1.20)))</f>
        <v/>
      </c>
      <c r="L1485">
        <f>LET(
    arrears_months,'Loan Tape (S&amp;P)'!AN1485,
    IF(arrears_months=0,1.00,
    IF(arrears_months=1,3.00,
    IF(arrears_months=2,5.00,
    IF(arrears_months=3,8.00,
    IF(arrears_months=4,10.00,
    IF(arrears_months=5,12.00,15.00)))))))</f>
        <v/>
      </c>
      <c r="M1485">
        <f>LET(
    seasoning_years,DATEDIF('Loan Tape (S&amp;P)'!K1485,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85">
        <f>IF(AND('Loan Tape (S&amp;P)'!U1485="Yes",
        'Loan Tape (S&amp;P)'!T1485&lt;&gt;"Yes",
        DATEDIF('Loan Tape (S&amp;P)'!K1485, TODAY(), "M")&lt;18),
    1.10,
    1.00)</f>
        <v/>
      </c>
      <c r="O1485">
        <f>IF('Loan Tape (S&amp;P)'!T1485="Yes",
    1.35,
    1.00)</f>
        <v/>
      </c>
      <c r="P1485">
        <f>IF('Loan Tape (S&amp;P)'!S1485="Yes",
    1.15,
    1.00)</f>
        <v/>
      </c>
      <c r="Q1485">
        <f>IF('Loan Tape (S&amp;P)'!V1485="Yes",
    1.20,
    1.00)</f>
        <v/>
      </c>
      <c r="T1485">
        <f>LET(
    payment_method,'Loan Tape (S&amp;P)'!P1485,
    occupancy,'Loan Tape (S&amp;P)'!N1485,
    maturity_date,'Loan Tape (S&amp;P)'!L1485,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86">
      <c r="J1486">
        <f>LET(
    lien,'Loan Tape (S&amp;P)'!Q1486,
    IF(lien="First",1.00,
        IF(lien="Second",1.50,
            1.70)))</f>
        <v/>
      </c>
      <c r="K1486">
        <f>LET(
    purpose,'Loan Tape (S&amp;P)'!R1486,
    IF(purpose="Purchase",1.00,
        IF(purpose="Remortgage",1.00,
            1.20)))</f>
        <v/>
      </c>
      <c r="L1486">
        <f>LET(
    arrears_months,'Loan Tape (S&amp;P)'!AN1486,
    IF(arrears_months=0,1.00,
    IF(arrears_months=1,3.00,
    IF(arrears_months=2,5.00,
    IF(arrears_months=3,8.00,
    IF(arrears_months=4,10.00,
    IF(arrears_months=5,12.00,15.00)))))))</f>
        <v/>
      </c>
      <c r="M1486">
        <f>LET(
    seasoning_years,DATEDIF('Loan Tape (S&amp;P)'!K1486,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86">
        <f>IF(AND('Loan Tape (S&amp;P)'!U1486="Yes",
        'Loan Tape (S&amp;P)'!T1486&lt;&gt;"Yes",
        DATEDIF('Loan Tape (S&amp;P)'!K1486, TODAY(), "M")&lt;18),
    1.10,
    1.00)</f>
        <v/>
      </c>
      <c r="O1486">
        <f>IF('Loan Tape (S&amp;P)'!T1486="Yes",
    1.35,
    1.00)</f>
        <v/>
      </c>
      <c r="P1486">
        <f>IF('Loan Tape (S&amp;P)'!S1486="Yes",
    1.15,
    1.00)</f>
        <v/>
      </c>
      <c r="Q1486">
        <f>IF('Loan Tape (S&amp;P)'!V1486="Yes",
    1.20,
    1.00)</f>
        <v/>
      </c>
      <c r="T1486">
        <f>LET(
    payment_method,'Loan Tape (S&amp;P)'!P1486,
    occupancy,'Loan Tape (S&amp;P)'!N1486,
    maturity_date,'Loan Tape (S&amp;P)'!L1486,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87">
      <c r="J1487">
        <f>LET(
    lien,'Loan Tape (S&amp;P)'!Q1487,
    IF(lien="First",1.00,
        IF(lien="Second",1.50,
            1.70)))</f>
        <v/>
      </c>
      <c r="K1487">
        <f>LET(
    purpose,'Loan Tape (S&amp;P)'!R1487,
    IF(purpose="Purchase",1.00,
        IF(purpose="Remortgage",1.00,
            1.20)))</f>
        <v/>
      </c>
      <c r="L1487">
        <f>LET(
    arrears_months,'Loan Tape (S&amp;P)'!AN1487,
    IF(arrears_months=0,1.00,
    IF(arrears_months=1,3.00,
    IF(arrears_months=2,5.00,
    IF(arrears_months=3,8.00,
    IF(arrears_months=4,10.00,
    IF(arrears_months=5,12.00,15.00)))))))</f>
        <v/>
      </c>
      <c r="M1487">
        <f>LET(
    seasoning_years,DATEDIF('Loan Tape (S&amp;P)'!K1487,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87">
        <f>IF(AND('Loan Tape (S&amp;P)'!U1487="Yes",
        'Loan Tape (S&amp;P)'!T1487&lt;&gt;"Yes",
        DATEDIF('Loan Tape (S&amp;P)'!K1487, TODAY(), "M")&lt;18),
    1.10,
    1.00)</f>
        <v/>
      </c>
      <c r="O1487">
        <f>IF('Loan Tape (S&amp;P)'!T1487="Yes",
    1.35,
    1.00)</f>
        <v/>
      </c>
      <c r="P1487">
        <f>IF('Loan Tape (S&amp;P)'!S1487="Yes",
    1.15,
    1.00)</f>
        <v/>
      </c>
      <c r="Q1487">
        <f>IF('Loan Tape (S&amp;P)'!V1487="Yes",
    1.20,
    1.00)</f>
        <v/>
      </c>
      <c r="T1487">
        <f>LET(
    payment_method,'Loan Tape (S&amp;P)'!P1487,
    occupancy,'Loan Tape (S&amp;P)'!N1487,
    maturity_date,'Loan Tape (S&amp;P)'!L1487,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88">
      <c r="J1488">
        <f>LET(
    lien,'Loan Tape (S&amp;P)'!Q1488,
    IF(lien="First",1.00,
        IF(lien="Second",1.50,
            1.70)))</f>
        <v/>
      </c>
      <c r="K1488">
        <f>LET(
    purpose,'Loan Tape (S&amp;P)'!R1488,
    IF(purpose="Purchase",1.00,
        IF(purpose="Remortgage",1.00,
            1.20)))</f>
        <v/>
      </c>
      <c r="L1488">
        <f>LET(
    arrears_months,'Loan Tape (S&amp;P)'!AN1488,
    IF(arrears_months=0,1.00,
    IF(arrears_months=1,3.00,
    IF(arrears_months=2,5.00,
    IF(arrears_months=3,8.00,
    IF(arrears_months=4,10.00,
    IF(arrears_months=5,12.00,15.00)))))))</f>
        <v/>
      </c>
      <c r="M1488">
        <f>LET(
    seasoning_years,DATEDIF('Loan Tape (S&amp;P)'!K1488,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88">
        <f>IF(AND('Loan Tape (S&amp;P)'!U1488="Yes",
        'Loan Tape (S&amp;P)'!T1488&lt;&gt;"Yes",
        DATEDIF('Loan Tape (S&amp;P)'!K1488, TODAY(), "M")&lt;18),
    1.10,
    1.00)</f>
        <v/>
      </c>
      <c r="O1488">
        <f>IF('Loan Tape (S&amp;P)'!T1488="Yes",
    1.35,
    1.00)</f>
        <v/>
      </c>
      <c r="P1488">
        <f>IF('Loan Tape (S&amp;P)'!S1488="Yes",
    1.15,
    1.00)</f>
        <v/>
      </c>
      <c r="Q1488">
        <f>IF('Loan Tape (S&amp;P)'!V1488="Yes",
    1.20,
    1.00)</f>
        <v/>
      </c>
      <c r="T1488">
        <f>LET(
    payment_method,'Loan Tape (S&amp;P)'!P1488,
    occupancy,'Loan Tape (S&amp;P)'!N1488,
    maturity_date,'Loan Tape (S&amp;P)'!L1488,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89">
      <c r="J1489">
        <f>LET(
    lien,'Loan Tape (S&amp;P)'!Q1489,
    IF(lien="First",1.00,
        IF(lien="Second",1.50,
            1.70)))</f>
        <v/>
      </c>
      <c r="K1489">
        <f>LET(
    purpose,'Loan Tape (S&amp;P)'!R1489,
    IF(purpose="Purchase",1.00,
        IF(purpose="Remortgage",1.00,
            1.20)))</f>
        <v/>
      </c>
      <c r="L1489">
        <f>LET(
    arrears_months,'Loan Tape (S&amp;P)'!AN1489,
    IF(arrears_months=0,1.00,
    IF(arrears_months=1,3.00,
    IF(arrears_months=2,5.00,
    IF(arrears_months=3,8.00,
    IF(arrears_months=4,10.00,
    IF(arrears_months=5,12.00,15.00)))))))</f>
        <v/>
      </c>
      <c r="M1489">
        <f>LET(
    seasoning_years,DATEDIF('Loan Tape (S&amp;P)'!K1489,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89">
        <f>IF(AND('Loan Tape (S&amp;P)'!U1489="Yes",
        'Loan Tape (S&amp;P)'!T1489&lt;&gt;"Yes",
        DATEDIF('Loan Tape (S&amp;P)'!K1489, TODAY(), "M")&lt;18),
    1.10,
    1.00)</f>
        <v/>
      </c>
      <c r="O1489">
        <f>IF('Loan Tape (S&amp;P)'!T1489="Yes",
    1.35,
    1.00)</f>
        <v/>
      </c>
      <c r="P1489">
        <f>IF('Loan Tape (S&amp;P)'!S1489="Yes",
    1.15,
    1.00)</f>
        <v/>
      </c>
      <c r="Q1489">
        <f>IF('Loan Tape (S&amp;P)'!V1489="Yes",
    1.20,
    1.00)</f>
        <v/>
      </c>
      <c r="T1489">
        <f>LET(
    payment_method,'Loan Tape (S&amp;P)'!P1489,
    occupancy,'Loan Tape (S&amp;P)'!N1489,
    maturity_date,'Loan Tape (S&amp;P)'!L1489,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90">
      <c r="J1490">
        <f>LET(
    lien,'Loan Tape (S&amp;P)'!Q1490,
    IF(lien="First",1.00,
        IF(lien="Second",1.50,
            1.70)))</f>
        <v/>
      </c>
      <c r="K1490">
        <f>LET(
    purpose,'Loan Tape (S&amp;P)'!R1490,
    IF(purpose="Purchase",1.00,
        IF(purpose="Remortgage",1.00,
            1.20)))</f>
        <v/>
      </c>
      <c r="L1490">
        <f>LET(
    arrears_months,'Loan Tape (S&amp;P)'!AN1490,
    IF(arrears_months=0,1.00,
    IF(arrears_months=1,3.00,
    IF(arrears_months=2,5.00,
    IF(arrears_months=3,8.00,
    IF(arrears_months=4,10.00,
    IF(arrears_months=5,12.00,15.00)))))))</f>
        <v/>
      </c>
      <c r="M1490">
        <f>LET(
    seasoning_years,DATEDIF('Loan Tape (S&amp;P)'!K1490,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90">
        <f>IF(AND('Loan Tape (S&amp;P)'!U1490="Yes",
        'Loan Tape (S&amp;P)'!T1490&lt;&gt;"Yes",
        DATEDIF('Loan Tape (S&amp;P)'!K1490, TODAY(), "M")&lt;18),
    1.10,
    1.00)</f>
        <v/>
      </c>
      <c r="O1490">
        <f>IF('Loan Tape (S&amp;P)'!T1490="Yes",
    1.35,
    1.00)</f>
        <v/>
      </c>
      <c r="P1490">
        <f>IF('Loan Tape (S&amp;P)'!S1490="Yes",
    1.15,
    1.00)</f>
        <v/>
      </c>
      <c r="Q1490">
        <f>IF('Loan Tape (S&amp;P)'!V1490="Yes",
    1.20,
    1.00)</f>
        <v/>
      </c>
      <c r="T1490">
        <f>LET(
    payment_method,'Loan Tape (S&amp;P)'!P1490,
    occupancy,'Loan Tape (S&amp;P)'!N1490,
    maturity_date,'Loan Tape (S&amp;P)'!L1490,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91">
      <c r="J1491">
        <f>LET(
    lien,'Loan Tape (S&amp;P)'!Q1491,
    IF(lien="First",1.00,
        IF(lien="Second",1.50,
            1.70)))</f>
        <v/>
      </c>
      <c r="K1491">
        <f>LET(
    purpose,'Loan Tape (S&amp;P)'!R1491,
    IF(purpose="Purchase",1.00,
        IF(purpose="Remortgage",1.00,
            1.20)))</f>
        <v/>
      </c>
      <c r="L1491">
        <f>LET(
    arrears_months,'Loan Tape (S&amp;P)'!AN1491,
    IF(arrears_months=0,1.00,
    IF(arrears_months=1,3.00,
    IF(arrears_months=2,5.00,
    IF(arrears_months=3,8.00,
    IF(arrears_months=4,10.00,
    IF(arrears_months=5,12.00,15.00)))))))</f>
        <v/>
      </c>
      <c r="M1491">
        <f>LET(
    seasoning_years,DATEDIF('Loan Tape (S&amp;P)'!K1491,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91">
        <f>IF(AND('Loan Tape (S&amp;P)'!U1491="Yes",
        'Loan Tape (S&amp;P)'!T1491&lt;&gt;"Yes",
        DATEDIF('Loan Tape (S&amp;P)'!K1491, TODAY(), "M")&lt;18),
    1.10,
    1.00)</f>
        <v/>
      </c>
      <c r="O1491">
        <f>IF('Loan Tape (S&amp;P)'!T1491="Yes",
    1.35,
    1.00)</f>
        <v/>
      </c>
      <c r="P1491">
        <f>IF('Loan Tape (S&amp;P)'!S1491="Yes",
    1.15,
    1.00)</f>
        <v/>
      </c>
      <c r="Q1491">
        <f>IF('Loan Tape (S&amp;P)'!V1491="Yes",
    1.20,
    1.00)</f>
        <v/>
      </c>
      <c r="T1491">
        <f>LET(
    payment_method,'Loan Tape (S&amp;P)'!P1491,
    occupancy,'Loan Tape (S&amp;P)'!N1491,
    maturity_date,'Loan Tape (S&amp;P)'!L1491,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92">
      <c r="J1492">
        <f>LET(
    lien,'Loan Tape (S&amp;P)'!Q1492,
    IF(lien="First",1.00,
        IF(lien="Second",1.50,
            1.70)))</f>
        <v/>
      </c>
      <c r="K1492">
        <f>LET(
    purpose,'Loan Tape (S&amp;P)'!R1492,
    IF(purpose="Purchase",1.00,
        IF(purpose="Remortgage",1.00,
            1.20)))</f>
        <v/>
      </c>
      <c r="L1492">
        <f>LET(
    arrears_months,'Loan Tape (S&amp;P)'!AN1492,
    IF(arrears_months=0,1.00,
    IF(arrears_months=1,3.00,
    IF(arrears_months=2,5.00,
    IF(arrears_months=3,8.00,
    IF(arrears_months=4,10.00,
    IF(arrears_months=5,12.00,15.00)))))))</f>
        <v/>
      </c>
      <c r="M1492">
        <f>LET(
    seasoning_years,DATEDIF('Loan Tape (S&amp;P)'!K1492,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92">
        <f>IF(AND('Loan Tape (S&amp;P)'!U1492="Yes",
        'Loan Tape (S&amp;P)'!T1492&lt;&gt;"Yes",
        DATEDIF('Loan Tape (S&amp;P)'!K1492, TODAY(), "M")&lt;18),
    1.10,
    1.00)</f>
        <v/>
      </c>
      <c r="O1492">
        <f>IF('Loan Tape (S&amp;P)'!T1492="Yes",
    1.35,
    1.00)</f>
        <v/>
      </c>
      <c r="P1492">
        <f>IF('Loan Tape (S&amp;P)'!S1492="Yes",
    1.15,
    1.00)</f>
        <v/>
      </c>
      <c r="Q1492">
        <f>IF('Loan Tape (S&amp;P)'!V1492="Yes",
    1.20,
    1.00)</f>
        <v/>
      </c>
      <c r="T1492">
        <f>LET(
    payment_method,'Loan Tape (S&amp;P)'!P1492,
    occupancy,'Loan Tape (S&amp;P)'!N1492,
    maturity_date,'Loan Tape (S&amp;P)'!L1492,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93">
      <c r="J1493">
        <f>LET(
    lien,'Loan Tape (S&amp;P)'!Q1493,
    IF(lien="First",1.00,
        IF(lien="Second",1.50,
            1.70)))</f>
        <v/>
      </c>
      <c r="K1493">
        <f>LET(
    purpose,'Loan Tape (S&amp;P)'!R1493,
    IF(purpose="Purchase",1.00,
        IF(purpose="Remortgage",1.00,
            1.20)))</f>
        <v/>
      </c>
      <c r="L1493">
        <f>LET(
    arrears_months,'Loan Tape (S&amp;P)'!AN1493,
    IF(arrears_months=0,1.00,
    IF(arrears_months=1,3.00,
    IF(arrears_months=2,5.00,
    IF(arrears_months=3,8.00,
    IF(arrears_months=4,10.00,
    IF(arrears_months=5,12.00,15.00)))))))</f>
        <v/>
      </c>
      <c r="M1493">
        <f>LET(
    seasoning_years,DATEDIF('Loan Tape (S&amp;P)'!K1493,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93">
        <f>IF(AND('Loan Tape (S&amp;P)'!U1493="Yes",
        'Loan Tape (S&amp;P)'!T1493&lt;&gt;"Yes",
        DATEDIF('Loan Tape (S&amp;P)'!K1493, TODAY(), "M")&lt;18),
    1.10,
    1.00)</f>
        <v/>
      </c>
      <c r="O1493">
        <f>IF('Loan Tape (S&amp;P)'!T1493="Yes",
    1.35,
    1.00)</f>
        <v/>
      </c>
      <c r="P1493">
        <f>IF('Loan Tape (S&amp;P)'!S1493="Yes",
    1.15,
    1.00)</f>
        <v/>
      </c>
      <c r="Q1493">
        <f>IF('Loan Tape (S&amp;P)'!V1493="Yes",
    1.20,
    1.00)</f>
        <v/>
      </c>
      <c r="T1493">
        <f>LET(
    payment_method,'Loan Tape (S&amp;P)'!P1493,
    occupancy,'Loan Tape (S&amp;P)'!N1493,
    maturity_date,'Loan Tape (S&amp;P)'!L1493,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94">
      <c r="J1494">
        <f>LET(
    lien,'Loan Tape (S&amp;P)'!Q1494,
    IF(lien="First",1.00,
        IF(lien="Second",1.50,
            1.70)))</f>
        <v/>
      </c>
      <c r="K1494">
        <f>LET(
    purpose,'Loan Tape (S&amp;P)'!R1494,
    IF(purpose="Purchase",1.00,
        IF(purpose="Remortgage",1.00,
            1.20)))</f>
        <v/>
      </c>
      <c r="L1494">
        <f>LET(
    arrears_months,'Loan Tape (S&amp;P)'!AN1494,
    IF(arrears_months=0,1.00,
    IF(arrears_months=1,3.00,
    IF(arrears_months=2,5.00,
    IF(arrears_months=3,8.00,
    IF(arrears_months=4,10.00,
    IF(arrears_months=5,12.00,15.00)))))))</f>
        <v/>
      </c>
      <c r="M1494">
        <f>LET(
    seasoning_years,DATEDIF('Loan Tape (S&amp;P)'!K1494,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94">
        <f>IF(AND('Loan Tape (S&amp;P)'!U1494="Yes",
        'Loan Tape (S&amp;P)'!T1494&lt;&gt;"Yes",
        DATEDIF('Loan Tape (S&amp;P)'!K1494, TODAY(), "M")&lt;18),
    1.10,
    1.00)</f>
        <v/>
      </c>
      <c r="O1494">
        <f>IF('Loan Tape (S&amp;P)'!T1494="Yes",
    1.35,
    1.00)</f>
        <v/>
      </c>
      <c r="P1494">
        <f>IF('Loan Tape (S&amp;P)'!S1494="Yes",
    1.15,
    1.00)</f>
        <v/>
      </c>
      <c r="Q1494">
        <f>IF('Loan Tape (S&amp;P)'!V1494="Yes",
    1.20,
    1.00)</f>
        <v/>
      </c>
      <c r="T1494">
        <f>LET(
    payment_method,'Loan Tape (S&amp;P)'!P1494,
    occupancy,'Loan Tape (S&amp;P)'!N1494,
    maturity_date,'Loan Tape (S&amp;P)'!L1494,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95">
      <c r="J1495">
        <f>LET(
    lien,'Loan Tape (S&amp;P)'!Q1495,
    IF(lien="First",1.00,
        IF(lien="Second",1.50,
            1.70)))</f>
        <v/>
      </c>
      <c r="K1495">
        <f>LET(
    purpose,'Loan Tape (S&amp;P)'!R1495,
    IF(purpose="Purchase",1.00,
        IF(purpose="Remortgage",1.00,
            1.20)))</f>
        <v/>
      </c>
      <c r="L1495">
        <f>LET(
    arrears_months,'Loan Tape (S&amp;P)'!AN1495,
    IF(arrears_months=0,1.00,
    IF(arrears_months=1,3.00,
    IF(arrears_months=2,5.00,
    IF(arrears_months=3,8.00,
    IF(arrears_months=4,10.00,
    IF(arrears_months=5,12.00,15.00)))))))</f>
        <v/>
      </c>
      <c r="M1495">
        <f>LET(
    seasoning_years,DATEDIF('Loan Tape (S&amp;P)'!K1495,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95">
        <f>IF(AND('Loan Tape (S&amp;P)'!U1495="Yes",
        'Loan Tape (S&amp;P)'!T1495&lt;&gt;"Yes",
        DATEDIF('Loan Tape (S&amp;P)'!K1495, TODAY(), "M")&lt;18),
    1.10,
    1.00)</f>
        <v/>
      </c>
      <c r="O1495">
        <f>IF('Loan Tape (S&amp;P)'!T1495="Yes",
    1.35,
    1.00)</f>
        <v/>
      </c>
      <c r="P1495">
        <f>IF('Loan Tape (S&amp;P)'!S1495="Yes",
    1.15,
    1.00)</f>
        <v/>
      </c>
      <c r="Q1495">
        <f>IF('Loan Tape (S&amp;P)'!V1495="Yes",
    1.20,
    1.00)</f>
        <v/>
      </c>
      <c r="T1495">
        <f>LET(
    payment_method,'Loan Tape (S&amp;P)'!P1495,
    occupancy,'Loan Tape (S&amp;P)'!N1495,
    maturity_date,'Loan Tape (S&amp;P)'!L1495,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96">
      <c r="J1496">
        <f>LET(
    lien,'Loan Tape (S&amp;P)'!Q1496,
    IF(lien="First",1.00,
        IF(lien="Second",1.50,
            1.70)))</f>
        <v/>
      </c>
      <c r="K1496">
        <f>LET(
    purpose,'Loan Tape (S&amp;P)'!R1496,
    IF(purpose="Purchase",1.00,
        IF(purpose="Remortgage",1.00,
            1.20)))</f>
        <v/>
      </c>
      <c r="L1496">
        <f>LET(
    arrears_months,'Loan Tape (S&amp;P)'!AN1496,
    IF(arrears_months=0,1.00,
    IF(arrears_months=1,3.00,
    IF(arrears_months=2,5.00,
    IF(arrears_months=3,8.00,
    IF(arrears_months=4,10.00,
    IF(arrears_months=5,12.00,15.00)))))))</f>
        <v/>
      </c>
      <c r="M1496">
        <f>LET(
    seasoning_years,DATEDIF('Loan Tape (S&amp;P)'!K1496,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96">
        <f>IF(AND('Loan Tape (S&amp;P)'!U1496="Yes",
        'Loan Tape (S&amp;P)'!T1496&lt;&gt;"Yes",
        DATEDIF('Loan Tape (S&amp;P)'!K1496, TODAY(), "M")&lt;18),
    1.10,
    1.00)</f>
        <v/>
      </c>
      <c r="O1496">
        <f>IF('Loan Tape (S&amp;P)'!T1496="Yes",
    1.35,
    1.00)</f>
        <v/>
      </c>
      <c r="P1496">
        <f>IF('Loan Tape (S&amp;P)'!S1496="Yes",
    1.15,
    1.00)</f>
        <v/>
      </c>
      <c r="Q1496">
        <f>IF('Loan Tape (S&amp;P)'!V1496="Yes",
    1.20,
    1.00)</f>
        <v/>
      </c>
      <c r="T1496">
        <f>LET(
    payment_method,'Loan Tape (S&amp;P)'!P1496,
    occupancy,'Loan Tape (S&amp;P)'!N1496,
    maturity_date,'Loan Tape (S&amp;P)'!L1496,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97">
      <c r="J1497">
        <f>LET(
    lien,'Loan Tape (S&amp;P)'!Q1497,
    IF(lien="First",1.00,
        IF(lien="Second",1.50,
            1.70)))</f>
        <v/>
      </c>
      <c r="K1497">
        <f>LET(
    purpose,'Loan Tape (S&amp;P)'!R1497,
    IF(purpose="Purchase",1.00,
        IF(purpose="Remortgage",1.00,
            1.20)))</f>
        <v/>
      </c>
      <c r="L1497">
        <f>LET(
    arrears_months,'Loan Tape (S&amp;P)'!AN1497,
    IF(arrears_months=0,1.00,
    IF(arrears_months=1,3.00,
    IF(arrears_months=2,5.00,
    IF(arrears_months=3,8.00,
    IF(arrears_months=4,10.00,
    IF(arrears_months=5,12.00,15.00)))))))</f>
        <v/>
      </c>
      <c r="M1497">
        <f>LET(
    seasoning_years,DATEDIF('Loan Tape (S&amp;P)'!K1497,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97">
        <f>IF(AND('Loan Tape (S&amp;P)'!U1497="Yes",
        'Loan Tape (S&amp;P)'!T1497&lt;&gt;"Yes",
        DATEDIF('Loan Tape (S&amp;P)'!K1497, TODAY(), "M")&lt;18),
    1.10,
    1.00)</f>
        <v/>
      </c>
      <c r="O1497">
        <f>IF('Loan Tape (S&amp;P)'!T1497="Yes",
    1.35,
    1.00)</f>
        <v/>
      </c>
      <c r="P1497">
        <f>IF('Loan Tape (S&amp;P)'!S1497="Yes",
    1.15,
    1.00)</f>
        <v/>
      </c>
      <c r="Q1497">
        <f>IF('Loan Tape (S&amp;P)'!V1497="Yes",
    1.20,
    1.00)</f>
        <v/>
      </c>
      <c r="T1497">
        <f>LET(
    payment_method,'Loan Tape (S&amp;P)'!P1497,
    occupancy,'Loan Tape (S&amp;P)'!N1497,
    maturity_date,'Loan Tape (S&amp;P)'!L1497,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98">
      <c r="J1498">
        <f>LET(
    lien,'Loan Tape (S&amp;P)'!Q1498,
    IF(lien="First",1.00,
        IF(lien="Second",1.50,
            1.70)))</f>
        <v/>
      </c>
      <c r="K1498">
        <f>LET(
    purpose,'Loan Tape (S&amp;P)'!R1498,
    IF(purpose="Purchase",1.00,
        IF(purpose="Remortgage",1.00,
            1.20)))</f>
        <v/>
      </c>
      <c r="L1498">
        <f>LET(
    arrears_months,'Loan Tape (S&amp;P)'!AN1498,
    IF(arrears_months=0,1.00,
    IF(arrears_months=1,3.00,
    IF(arrears_months=2,5.00,
    IF(arrears_months=3,8.00,
    IF(arrears_months=4,10.00,
    IF(arrears_months=5,12.00,15.00)))))))</f>
        <v/>
      </c>
      <c r="M1498">
        <f>LET(
    seasoning_years,DATEDIF('Loan Tape (S&amp;P)'!K1498,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98">
        <f>IF(AND('Loan Tape (S&amp;P)'!U1498="Yes",
        'Loan Tape (S&amp;P)'!T1498&lt;&gt;"Yes",
        DATEDIF('Loan Tape (S&amp;P)'!K1498, TODAY(), "M")&lt;18),
    1.10,
    1.00)</f>
        <v/>
      </c>
      <c r="O1498">
        <f>IF('Loan Tape (S&amp;P)'!T1498="Yes",
    1.35,
    1.00)</f>
        <v/>
      </c>
      <c r="P1498">
        <f>IF('Loan Tape (S&amp;P)'!S1498="Yes",
    1.15,
    1.00)</f>
        <v/>
      </c>
      <c r="Q1498">
        <f>IF('Loan Tape (S&amp;P)'!V1498="Yes",
    1.20,
    1.00)</f>
        <v/>
      </c>
      <c r="T1498">
        <f>LET(
    payment_method,'Loan Tape (S&amp;P)'!P1498,
    occupancy,'Loan Tape (S&amp;P)'!N1498,
    maturity_date,'Loan Tape (S&amp;P)'!L1498,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499">
      <c r="J1499">
        <f>LET(
    lien,'Loan Tape (S&amp;P)'!Q1499,
    IF(lien="First",1.00,
        IF(lien="Second",1.50,
            1.70)))</f>
        <v/>
      </c>
      <c r="K1499">
        <f>LET(
    purpose,'Loan Tape (S&amp;P)'!R1499,
    IF(purpose="Purchase",1.00,
        IF(purpose="Remortgage",1.00,
            1.20)))</f>
        <v/>
      </c>
      <c r="L1499">
        <f>LET(
    arrears_months,'Loan Tape (S&amp;P)'!AN1499,
    IF(arrears_months=0,1.00,
    IF(arrears_months=1,3.00,
    IF(arrears_months=2,5.00,
    IF(arrears_months=3,8.00,
    IF(arrears_months=4,10.00,
    IF(arrears_months=5,12.00,15.00)))))))</f>
        <v/>
      </c>
      <c r="M1499">
        <f>LET(
    seasoning_years,DATEDIF('Loan Tape (S&amp;P)'!K1499,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499">
        <f>IF(AND('Loan Tape (S&amp;P)'!U1499="Yes",
        'Loan Tape (S&amp;P)'!T1499&lt;&gt;"Yes",
        DATEDIF('Loan Tape (S&amp;P)'!K1499, TODAY(), "M")&lt;18),
    1.10,
    1.00)</f>
        <v/>
      </c>
      <c r="O1499">
        <f>IF('Loan Tape (S&amp;P)'!T1499="Yes",
    1.35,
    1.00)</f>
        <v/>
      </c>
      <c r="P1499">
        <f>IF('Loan Tape (S&amp;P)'!S1499="Yes",
    1.15,
    1.00)</f>
        <v/>
      </c>
      <c r="Q1499">
        <f>IF('Loan Tape (S&amp;P)'!V1499="Yes",
    1.20,
    1.00)</f>
        <v/>
      </c>
      <c r="T1499">
        <f>LET(
    payment_method,'Loan Tape (S&amp;P)'!P1499,
    occupancy,'Loan Tape (S&amp;P)'!N1499,
    maturity_date,'Loan Tape (S&amp;P)'!L1499,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00">
      <c r="J1500">
        <f>LET(
    lien,'Loan Tape (S&amp;P)'!Q1500,
    IF(lien="First",1.00,
        IF(lien="Second",1.50,
            1.70)))</f>
        <v/>
      </c>
      <c r="K1500">
        <f>LET(
    purpose,'Loan Tape (S&amp;P)'!R1500,
    IF(purpose="Purchase",1.00,
        IF(purpose="Remortgage",1.00,
            1.20)))</f>
        <v/>
      </c>
      <c r="L1500">
        <f>LET(
    arrears_months,'Loan Tape (S&amp;P)'!AN1500,
    IF(arrears_months=0,1.00,
    IF(arrears_months=1,3.00,
    IF(arrears_months=2,5.00,
    IF(arrears_months=3,8.00,
    IF(arrears_months=4,10.00,
    IF(arrears_months=5,12.00,15.00)))))))</f>
        <v/>
      </c>
      <c r="M1500">
        <f>LET(
    seasoning_years,DATEDIF('Loan Tape (S&amp;P)'!K1500,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00">
        <f>IF(AND('Loan Tape (S&amp;P)'!U1500="Yes",
        'Loan Tape (S&amp;P)'!T1500&lt;&gt;"Yes",
        DATEDIF('Loan Tape (S&amp;P)'!K1500, TODAY(), "M")&lt;18),
    1.10,
    1.00)</f>
        <v/>
      </c>
      <c r="O1500">
        <f>IF('Loan Tape (S&amp;P)'!T1500="Yes",
    1.35,
    1.00)</f>
        <v/>
      </c>
      <c r="P1500">
        <f>IF('Loan Tape (S&amp;P)'!S1500="Yes",
    1.15,
    1.00)</f>
        <v/>
      </c>
      <c r="Q1500">
        <f>IF('Loan Tape (S&amp;P)'!V1500="Yes",
    1.20,
    1.00)</f>
        <v/>
      </c>
      <c r="T1500">
        <f>LET(
    payment_method,'Loan Tape (S&amp;P)'!P1500,
    occupancy,'Loan Tape (S&amp;P)'!N1500,
    maturity_date,'Loan Tape (S&amp;P)'!L1500,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01">
      <c r="J1501">
        <f>LET(
    lien,'Loan Tape (S&amp;P)'!Q1501,
    IF(lien="First",1.00,
        IF(lien="Second",1.50,
            1.70)))</f>
        <v/>
      </c>
      <c r="K1501">
        <f>LET(
    purpose,'Loan Tape (S&amp;P)'!R1501,
    IF(purpose="Purchase",1.00,
        IF(purpose="Remortgage",1.00,
            1.20)))</f>
        <v/>
      </c>
      <c r="L1501">
        <f>LET(
    arrears_months,'Loan Tape (S&amp;P)'!AN1501,
    IF(arrears_months=0,1.00,
    IF(arrears_months=1,3.00,
    IF(arrears_months=2,5.00,
    IF(arrears_months=3,8.00,
    IF(arrears_months=4,10.00,
    IF(arrears_months=5,12.00,15.00)))))))</f>
        <v/>
      </c>
      <c r="M1501">
        <f>LET(
    seasoning_years,DATEDIF('Loan Tape (S&amp;P)'!K1501,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01">
        <f>IF(AND('Loan Tape (S&amp;P)'!U1501="Yes",
        'Loan Tape (S&amp;P)'!T1501&lt;&gt;"Yes",
        DATEDIF('Loan Tape (S&amp;P)'!K1501, TODAY(), "M")&lt;18),
    1.10,
    1.00)</f>
        <v/>
      </c>
      <c r="O1501">
        <f>IF('Loan Tape (S&amp;P)'!T1501="Yes",
    1.35,
    1.00)</f>
        <v/>
      </c>
      <c r="P1501">
        <f>IF('Loan Tape (S&amp;P)'!S1501="Yes",
    1.15,
    1.00)</f>
        <v/>
      </c>
      <c r="Q1501">
        <f>IF('Loan Tape (S&amp;P)'!V1501="Yes",
    1.20,
    1.00)</f>
        <v/>
      </c>
      <c r="T1501">
        <f>LET(
    payment_method,'Loan Tape (S&amp;P)'!P1501,
    occupancy,'Loan Tape (S&amp;P)'!N1501,
    maturity_date,'Loan Tape (S&amp;P)'!L1501,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02">
      <c r="J1502">
        <f>LET(
    lien,'Loan Tape (S&amp;P)'!Q1502,
    IF(lien="First",1.00,
        IF(lien="Second",1.50,
            1.70)))</f>
        <v/>
      </c>
      <c r="K1502">
        <f>LET(
    purpose,'Loan Tape (S&amp;P)'!R1502,
    IF(purpose="Purchase",1.00,
        IF(purpose="Remortgage",1.00,
            1.20)))</f>
        <v/>
      </c>
      <c r="L1502">
        <f>LET(
    arrears_months,'Loan Tape (S&amp;P)'!AN1502,
    IF(arrears_months=0,1.00,
    IF(arrears_months=1,3.00,
    IF(arrears_months=2,5.00,
    IF(arrears_months=3,8.00,
    IF(arrears_months=4,10.00,
    IF(arrears_months=5,12.00,15.00)))))))</f>
        <v/>
      </c>
      <c r="M1502">
        <f>LET(
    seasoning_years,DATEDIF('Loan Tape (S&amp;P)'!K1502,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02">
        <f>IF(AND('Loan Tape (S&amp;P)'!U1502="Yes",
        'Loan Tape (S&amp;P)'!T1502&lt;&gt;"Yes",
        DATEDIF('Loan Tape (S&amp;P)'!K1502, TODAY(), "M")&lt;18),
    1.10,
    1.00)</f>
        <v/>
      </c>
      <c r="O1502">
        <f>IF('Loan Tape (S&amp;P)'!T1502="Yes",
    1.35,
    1.00)</f>
        <v/>
      </c>
      <c r="P1502">
        <f>IF('Loan Tape (S&amp;P)'!S1502="Yes",
    1.15,
    1.00)</f>
        <v/>
      </c>
      <c r="Q1502">
        <f>IF('Loan Tape (S&amp;P)'!V1502="Yes",
    1.20,
    1.00)</f>
        <v/>
      </c>
      <c r="T1502">
        <f>LET(
    payment_method,'Loan Tape (S&amp;P)'!P1502,
    occupancy,'Loan Tape (S&amp;P)'!N1502,
    maturity_date,'Loan Tape (S&amp;P)'!L1502,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03">
      <c r="J1503">
        <f>LET(
    lien,'Loan Tape (S&amp;P)'!Q1503,
    IF(lien="First",1.00,
        IF(lien="Second",1.50,
            1.70)))</f>
        <v/>
      </c>
      <c r="K1503">
        <f>LET(
    purpose,'Loan Tape (S&amp;P)'!R1503,
    IF(purpose="Purchase",1.00,
        IF(purpose="Remortgage",1.00,
            1.20)))</f>
        <v/>
      </c>
      <c r="L1503">
        <f>LET(
    arrears_months,'Loan Tape (S&amp;P)'!AN1503,
    IF(arrears_months=0,1.00,
    IF(arrears_months=1,3.00,
    IF(arrears_months=2,5.00,
    IF(arrears_months=3,8.00,
    IF(arrears_months=4,10.00,
    IF(arrears_months=5,12.00,15.00)))))))</f>
        <v/>
      </c>
      <c r="M1503">
        <f>LET(
    seasoning_years,DATEDIF('Loan Tape (S&amp;P)'!K1503,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03">
        <f>IF(AND('Loan Tape (S&amp;P)'!U1503="Yes",
        'Loan Tape (S&amp;P)'!T1503&lt;&gt;"Yes",
        DATEDIF('Loan Tape (S&amp;P)'!K1503, TODAY(), "M")&lt;18),
    1.10,
    1.00)</f>
        <v/>
      </c>
      <c r="O1503">
        <f>IF('Loan Tape (S&amp;P)'!T1503="Yes",
    1.35,
    1.00)</f>
        <v/>
      </c>
      <c r="P1503">
        <f>IF('Loan Tape (S&amp;P)'!S1503="Yes",
    1.15,
    1.00)</f>
        <v/>
      </c>
      <c r="Q1503">
        <f>IF('Loan Tape (S&amp;P)'!V1503="Yes",
    1.20,
    1.00)</f>
        <v/>
      </c>
      <c r="T1503">
        <f>LET(
    payment_method,'Loan Tape (S&amp;P)'!P1503,
    occupancy,'Loan Tape (S&amp;P)'!N1503,
    maturity_date,'Loan Tape (S&amp;P)'!L1503,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04">
      <c r="J1504">
        <f>LET(
    lien,'Loan Tape (S&amp;P)'!Q1504,
    IF(lien="First",1.00,
        IF(lien="Second",1.50,
            1.70)))</f>
        <v/>
      </c>
      <c r="K1504">
        <f>LET(
    purpose,'Loan Tape (S&amp;P)'!R1504,
    IF(purpose="Purchase",1.00,
        IF(purpose="Remortgage",1.00,
            1.20)))</f>
        <v/>
      </c>
      <c r="L1504">
        <f>LET(
    arrears_months,'Loan Tape (S&amp;P)'!AN1504,
    IF(arrears_months=0,1.00,
    IF(arrears_months=1,3.00,
    IF(arrears_months=2,5.00,
    IF(arrears_months=3,8.00,
    IF(arrears_months=4,10.00,
    IF(arrears_months=5,12.00,15.00)))))))</f>
        <v/>
      </c>
      <c r="M1504">
        <f>LET(
    seasoning_years,DATEDIF('Loan Tape (S&amp;P)'!K1504,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04">
        <f>IF(AND('Loan Tape (S&amp;P)'!U1504="Yes",
        'Loan Tape (S&amp;P)'!T1504&lt;&gt;"Yes",
        DATEDIF('Loan Tape (S&amp;P)'!K1504, TODAY(), "M")&lt;18),
    1.10,
    1.00)</f>
        <v/>
      </c>
      <c r="O1504">
        <f>IF('Loan Tape (S&amp;P)'!T1504="Yes",
    1.35,
    1.00)</f>
        <v/>
      </c>
      <c r="P1504">
        <f>IF('Loan Tape (S&amp;P)'!S1504="Yes",
    1.15,
    1.00)</f>
        <v/>
      </c>
      <c r="Q1504">
        <f>IF('Loan Tape (S&amp;P)'!V1504="Yes",
    1.20,
    1.00)</f>
        <v/>
      </c>
      <c r="T1504">
        <f>LET(
    payment_method,'Loan Tape (S&amp;P)'!P1504,
    occupancy,'Loan Tape (S&amp;P)'!N1504,
    maturity_date,'Loan Tape (S&amp;P)'!L1504,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05">
      <c r="J1505">
        <f>LET(
    lien,'Loan Tape (S&amp;P)'!Q1505,
    IF(lien="First",1.00,
        IF(lien="Second",1.50,
            1.70)))</f>
        <v/>
      </c>
      <c r="K1505">
        <f>LET(
    purpose,'Loan Tape (S&amp;P)'!R1505,
    IF(purpose="Purchase",1.00,
        IF(purpose="Remortgage",1.00,
            1.20)))</f>
        <v/>
      </c>
      <c r="L1505">
        <f>LET(
    arrears_months,'Loan Tape (S&amp;P)'!AN1505,
    IF(arrears_months=0,1.00,
    IF(arrears_months=1,3.00,
    IF(arrears_months=2,5.00,
    IF(arrears_months=3,8.00,
    IF(arrears_months=4,10.00,
    IF(arrears_months=5,12.00,15.00)))))))</f>
        <v/>
      </c>
      <c r="M1505">
        <f>LET(
    seasoning_years,DATEDIF('Loan Tape (S&amp;P)'!K1505,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05">
        <f>IF(AND('Loan Tape (S&amp;P)'!U1505="Yes",
        'Loan Tape (S&amp;P)'!T1505&lt;&gt;"Yes",
        DATEDIF('Loan Tape (S&amp;P)'!K1505, TODAY(), "M")&lt;18),
    1.10,
    1.00)</f>
        <v/>
      </c>
      <c r="O1505">
        <f>IF('Loan Tape (S&amp;P)'!T1505="Yes",
    1.35,
    1.00)</f>
        <v/>
      </c>
      <c r="P1505">
        <f>IF('Loan Tape (S&amp;P)'!S1505="Yes",
    1.15,
    1.00)</f>
        <v/>
      </c>
      <c r="Q1505">
        <f>IF('Loan Tape (S&amp;P)'!V1505="Yes",
    1.20,
    1.00)</f>
        <v/>
      </c>
      <c r="T1505">
        <f>LET(
    payment_method,'Loan Tape (S&amp;P)'!P1505,
    occupancy,'Loan Tape (S&amp;P)'!N1505,
    maturity_date,'Loan Tape (S&amp;P)'!L1505,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06">
      <c r="J1506">
        <f>LET(
    lien,'Loan Tape (S&amp;P)'!Q1506,
    IF(lien="First",1.00,
        IF(lien="Second",1.50,
            1.70)))</f>
        <v/>
      </c>
      <c r="K1506">
        <f>LET(
    purpose,'Loan Tape (S&amp;P)'!R1506,
    IF(purpose="Purchase",1.00,
        IF(purpose="Remortgage",1.00,
            1.20)))</f>
        <v/>
      </c>
      <c r="L1506">
        <f>LET(
    arrears_months,'Loan Tape (S&amp;P)'!AN1506,
    IF(arrears_months=0,1.00,
    IF(arrears_months=1,3.00,
    IF(arrears_months=2,5.00,
    IF(arrears_months=3,8.00,
    IF(arrears_months=4,10.00,
    IF(arrears_months=5,12.00,15.00)))))))</f>
        <v/>
      </c>
      <c r="M1506">
        <f>LET(
    seasoning_years,DATEDIF('Loan Tape (S&amp;P)'!K1506,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06">
        <f>IF(AND('Loan Tape (S&amp;P)'!U1506="Yes",
        'Loan Tape (S&amp;P)'!T1506&lt;&gt;"Yes",
        DATEDIF('Loan Tape (S&amp;P)'!K1506, TODAY(), "M")&lt;18),
    1.10,
    1.00)</f>
        <v/>
      </c>
      <c r="O1506">
        <f>IF('Loan Tape (S&amp;P)'!T1506="Yes",
    1.35,
    1.00)</f>
        <v/>
      </c>
      <c r="P1506">
        <f>IF('Loan Tape (S&amp;P)'!S1506="Yes",
    1.15,
    1.00)</f>
        <v/>
      </c>
      <c r="Q1506">
        <f>IF('Loan Tape (S&amp;P)'!V1506="Yes",
    1.20,
    1.00)</f>
        <v/>
      </c>
      <c r="T1506">
        <f>LET(
    payment_method,'Loan Tape (S&amp;P)'!P1506,
    occupancy,'Loan Tape (S&amp;P)'!N1506,
    maturity_date,'Loan Tape (S&amp;P)'!L1506,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07">
      <c r="J1507">
        <f>LET(
    lien,'Loan Tape (S&amp;P)'!Q1507,
    IF(lien="First",1.00,
        IF(lien="Second",1.50,
            1.70)))</f>
        <v/>
      </c>
      <c r="K1507">
        <f>LET(
    purpose,'Loan Tape (S&amp;P)'!R1507,
    IF(purpose="Purchase",1.00,
        IF(purpose="Remortgage",1.00,
            1.20)))</f>
        <v/>
      </c>
      <c r="L1507">
        <f>LET(
    arrears_months,'Loan Tape (S&amp;P)'!AN1507,
    IF(arrears_months=0,1.00,
    IF(arrears_months=1,3.00,
    IF(arrears_months=2,5.00,
    IF(arrears_months=3,8.00,
    IF(arrears_months=4,10.00,
    IF(arrears_months=5,12.00,15.00)))))))</f>
        <v/>
      </c>
      <c r="M1507">
        <f>LET(
    seasoning_years,DATEDIF('Loan Tape (S&amp;P)'!K1507,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07">
        <f>IF(AND('Loan Tape (S&amp;P)'!U1507="Yes",
        'Loan Tape (S&amp;P)'!T1507&lt;&gt;"Yes",
        DATEDIF('Loan Tape (S&amp;P)'!K1507, TODAY(), "M")&lt;18),
    1.10,
    1.00)</f>
        <v/>
      </c>
      <c r="O1507">
        <f>IF('Loan Tape (S&amp;P)'!T1507="Yes",
    1.35,
    1.00)</f>
        <v/>
      </c>
      <c r="P1507">
        <f>IF('Loan Tape (S&amp;P)'!S1507="Yes",
    1.15,
    1.00)</f>
        <v/>
      </c>
      <c r="Q1507">
        <f>IF('Loan Tape (S&amp;P)'!V1507="Yes",
    1.20,
    1.00)</f>
        <v/>
      </c>
      <c r="T1507">
        <f>LET(
    payment_method,'Loan Tape (S&amp;P)'!P1507,
    occupancy,'Loan Tape (S&amp;P)'!N1507,
    maturity_date,'Loan Tape (S&amp;P)'!L1507,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08">
      <c r="J1508">
        <f>LET(
    lien,'Loan Tape (S&amp;P)'!Q1508,
    IF(lien="First",1.00,
        IF(lien="Second",1.50,
            1.70)))</f>
        <v/>
      </c>
      <c r="K1508">
        <f>LET(
    purpose,'Loan Tape (S&amp;P)'!R1508,
    IF(purpose="Purchase",1.00,
        IF(purpose="Remortgage",1.00,
            1.20)))</f>
        <v/>
      </c>
      <c r="L1508">
        <f>LET(
    arrears_months,'Loan Tape (S&amp;P)'!AN1508,
    IF(arrears_months=0,1.00,
    IF(arrears_months=1,3.00,
    IF(arrears_months=2,5.00,
    IF(arrears_months=3,8.00,
    IF(arrears_months=4,10.00,
    IF(arrears_months=5,12.00,15.00)))))))</f>
        <v/>
      </c>
      <c r="M1508">
        <f>LET(
    seasoning_years,DATEDIF('Loan Tape (S&amp;P)'!K1508,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08">
        <f>IF(AND('Loan Tape (S&amp;P)'!U1508="Yes",
        'Loan Tape (S&amp;P)'!T1508&lt;&gt;"Yes",
        DATEDIF('Loan Tape (S&amp;P)'!K1508, TODAY(), "M")&lt;18),
    1.10,
    1.00)</f>
        <v/>
      </c>
      <c r="O1508">
        <f>IF('Loan Tape (S&amp;P)'!T1508="Yes",
    1.35,
    1.00)</f>
        <v/>
      </c>
      <c r="P1508">
        <f>IF('Loan Tape (S&amp;P)'!S1508="Yes",
    1.15,
    1.00)</f>
        <v/>
      </c>
      <c r="Q1508">
        <f>IF('Loan Tape (S&amp;P)'!V1508="Yes",
    1.20,
    1.00)</f>
        <v/>
      </c>
      <c r="T1508">
        <f>LET(
    payment_method,'Loan Tape (S&amp;P)'!P1508,
    occupancy,'Loan Tape (S&amp;P)'!N1508,
    maturity_date,'Loan Tape (S&amp;P)'!L1508,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09">
      <c r="J1509">
        <f>LET(
    lien,'Loan Tape (S&amp;P)'!Q1509,
    IF(lien="First",1.00,
        IF(lien="Second",1.50,
            1.70)))</f>
        <v/>
      </c>
      <c r="K1509">
        <f>LET(
    purpose,'Loan Tape (S&amp;P)'!R1509,
    IF(purpose="Purchase",1.00,
        IF(purpose="Remortgage",1.00,
            1.20)))</f>
        <v/>
      </c>
      <c r="L1509">
        <f>LET(
    arrears_months,'Loan Tape (S&amp;P)'!AN1509,
    IF(arrears_months=0,1.00,
    IF(arrears_months=1,3.00,
    IF(arrears_months=2,5.00,
    IF(arrears_months=3,8.00,
    IF(arrears_months=4,10.00,
    IF(arrears_months=5,12.00,15.00)))))))</f>
        <v/>
      </c>
      <c r="M1509">
        <f>LET(
    seasoning_years,DATEDIF('Loan Tape (S&amp;P)'!K1509,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09">
        <f>IF(AND('Loan Tape (S&amp;P)'!U1509="Yes",
        'Loan Tape (S&amp;P)'!T1509&lt;&gt;"Yes",
        DATEDIF('Loan Tape (S&amp;P)'!K1509, TODAY(), "M")&lt;18),
    1.10,
    1.00)</f>
        <v/>
      </c>
      <c r="O1509">
        <f>IF('Loan Tape (S&amp;P)'!T1509="Yes",
    1.35,
    1.00)</f>
        <v/>
      </c>
      <c r="P1509">
        <f>IF('Loan Tape (S&amp;P)'!S1509="Yes",
    1.15,
    1.00)</f>
        <v/>
      </c>
      <c r="Q1509">
        <f>IF('Loan Tape (S&amp;P)'!V1509="Yes",
    1.20,
    1.00)</f>
        <v/>
      </c>
      <c r="T1509">
        <f>LET(
    payment_method,'Loan Tape (S&amp;P)'!P1509,
    occupancy,'Loan Tape (S&amp;P)'!N1509,
    maturity_date,'Loan Tape (S&amp;P)'!L1509,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10">
      <c r="J1510">
        <f>LET(
    lien,'Loan Tape (S&amp;P)'!Q1510,
    IF(lien="First",1.00,
        IF(lien="Second",1.50,
            1.70)))</f>
        <v/>
      </c>
      <c r="K1510">
        <f>LET(
    purpose,'Loan Tape (S&amp;P)'!R1510,
    IF(purpose="Purchase",1.00,
        IF(purpose="Remortgage",1.00,
            1.20)))</f>
        <v/>
      </c>
      <c r="L1510">
        <f>LET(
    arrears_months,'Loan Tape (S&amp;P)'!AN1510,
    IF(arrears_months=0,1.00,
    IF(arrears_months=1,3.00,
    IF(arrears_months=2,5.00,
    IF(arrears_months=3,8.00,
    IF(arrears_months=4,10.00,
    IF(arrears_months=5,12.00,15.00)))))))</f>
        <v/>
      </c>
      <c r="M1510">
        <f>LET(
    seasoning_years,DATEDIF('Loan Tape (S&amp;P)'!K1510,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10">
        <f>IF(AND('Loan Tape (S&amp;P)'!U1510="Yes",
        'Loan Tape (S&amp;P)'!T1510&lt;&gt;"Yes",
        DATEDIF('Loan Tape (S&amp;P)'!K1510, TODAY(), "M")&lt;18),
    1.10,
    1.00)</f>
        <v/>
      </c>
      <c r="O1510">
        <f>IF('Loan Tape (S&amp;P)'!T1510="Yes",
    1.35,
    1.00)</f>
        <v/>
      </c>
      <c r="P1510">
        <f>IF('Loan Tape (S&amp;P)'!S1510="Yes",
    1.15,
    1.00)</f>
        <v/>
      </c>
      <c r="Q1510">
        <f>IF('Loan Tape (S&amp;P)'!V1510="Yes",
    1.20,
    1.00)</f>
        <v/>
      </c>
      <c r="T1510">
        <f>LET(
    payment_method,'Loan Tape (S&amp;P)'!P1510,
    occupancy,'Loan Tape (S&amp;P)'!N1510,
    maturity_date,'Loan Tape (S&amp;P)'!L1510,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11">
      <c r="J1511">
        <f>LET(
    lien,'Loan Tape (S&amp;P)'!Q1511,
    IF(lien="First",1.00,
        IF(lien="Second",1.50,
            1.70)))</f>
        <v/>
      </c>
      <c r="K1511">
        <f>LET(
    purpose,'Loan Tape (S&amp;P)'!R1511,
    IF(purpose="Purchase",1.00,
        IF(purpose="Remortgage",1.00,
            1.20)))</f>
        <v/>
      </c>
      <c r="L1511">
        <f>LET(
    arrears_months,'Loan Tape (S&amp;P)'!AN1511,
    IF(arrears_months=0,1.00,
    IF(arrears_months=1,3.00,
    IF(arrears_months=2,5.00,
    IF(arrears_months=3,8.00,
    IF(arrears_months=4,10.00,
    IF(arrears_months=5,12.00,15.00)))))))</f>
        <v/>
      </c>
      <c r="M1511">
        <f>LET(
    seasoning_years,DATEDIF('Loan Tape (S&amp;P)'!K1511,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11">
        <f>IF(AND('Loan Tape (S&amp;P)'!U1511="Yes",
        'Loan Tape (S&amp;P)'!T1511&lt;&gt;"Yes",
        DATEDIF('Loan Tape (S&amp;P)'!K1511, TODAY(), "M")&lt;18),
    1.10,
    1.00)</f>
        <v/>
      </c>
      <c r="O1511">
        <f>IF('Loan Tape (S&amp;P)'!T1511="Yes",
    1.35,
    1.00)</f>
        <v/>
      </c>
      <c r="P1511">
        <f>IF('Loan Tape (S&amp;P)'!S1511="Yes",
    1.15,
    1.00)</f>
        <v/>
      </c>
      <c r="Q1511">
        <f>IF('Loan Tape (S&amp;P)'!V1511="Yes",
    1.20,
    1.00)</f>
        <v/>
      </c>
      <c r="T1511">
        <f>LET(
    payment_method,'Loan Tape (S&amp;P)'!P1511,
    occupancy,'Loan Tape (S&amp;P)'!N1511,
    maturity_date,'Loan Tape (S&amp;P)'!L1511,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12">
      <c r="J1512">
        <f>LET(
    lien,'Loan Tape (S&amp;P)'!Q1512,
    IF(lien="First",1.00,
        IF(lien="Second",1.50,
            1.70)))</f>
        <v/>
      </c>
      <c r="K1512">
        <f>LET(
    purpose,'Loan Tape (S&amp;P)'!R1512,
    IF(purpose="Purchase",1.00,
        IF(purpose="Remortgage",1.00,
            1.20)))</f>
        <v/>
      </c>
      <c r="L1512">
        <f>LET(
    arrears_months,'Loan Tape (S&amp;P)'!AN1512,
    IF(arrears_months=0,1.00,
    IF(arrears_months=1,3.00,
    IF(arrears_months=2,5.00,
    IF(arrears_months=3,8.00,
    IF(arrears_months=4,10.00,
    IF(arrears_months=5,12.00,15.00)))))))</f>
        <v/>
      </c>
      <c r="M1512">
        <f>LET(
    seasoning_years,DATEDIF('Loan Tape (S&amp;P)'!K1512,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12">
        <f>IF(AND('Loan Tape (S&amp;P)'!U1512="Yes",
        'Loan Tape (S&amp;P)'!T1512&lt;&gt;"Yes",
        DATEDIF('Loan Tape (S&amp;P)'!K1512, TODAY(), "M")&lt;18),
    1.10,
    1.00)</f>
        <v/>
      </c>
      <c r="O1512">
        <f>IF('Loan Tape (S&amp;P)'!T1512="Yes",
    1.35,
    1.00)</f>
        <v/>
      </c>
      <c r="P1512">
        <f>IF('Loan Tape (S&amp;P)'!S1512="Yes",
    1.15,
    1.00)</f>
        <v/>
      </c>
      <c r="Q1512">
        <f>IF('Loan Tape (S&amp;P)'!V1512="Yes",
    1.20,
    1.00)</f>
        <v/>
      </c>
      <c r="T1512">
        <f>LET(
    payment_method,'Loan Tape (S&amp;P)'!P1512,
    occupancy,'Loan Tape (S&amp;P)'!N1512,
    maturity_date,'Loan Tape (S&amp;P)'!L1512,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13">
      <c r="J1513">
        <f>LET(
    lien,'Loan Tape (S&amp;P)'!Q1513,
    IF(lien="First",1.00,
        IF(lien="Second",1.50,
            1.70)))</f>
        <v/>
      </c>
      <c r="K1513">
        <f>LET(
    purpose,'Loan Tape (S&amp;P)'!R1513,
    IF(purpose="Purchase",1.00,
        IF(purpose="Remortgage",1.00,
            1.20)))</f>
        <v/>
      </c>
      <c r="L1513">
        <f>LET(
    arrears_months,'Loan Tape (S&amp;P)'!AN1513,
    IF(arrears_months=0,1.00,
    IF(arrears_months=1,3.00,
    IF(arrears_months=2,5.00,
    IF(arrears_months=3,8.00,
    IF(arrears_months=4,10.00,
    IF(arrears_months=5,12.00,15.00)))))))</f>
        <v/>
      </c>
      <c r="M1513">
        <f>LET(
    seasoning_years,DATEDIF('Loan Tape (S&amp;P)'!K1513,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13">
        <f>IF(AND('Loan Tape (S&amp;P)'!U1513="Yes",
        'Loan Tape (S&amp;P)'!T1513&lt;&gt;"Yes",
        DATEDIF('Loan Tape (S&amp;P)'!K1513, TODAY(), "M")&lt;18),
    1.10,
    1.00)</f>
        <v/>
      </c>
      <c r="O1513">
        <f>IF('Loan Tape (S&amp;P)'!T1513="Yes",
    1.35,
    1.00)</f>
        <v/>
      </c>
      <c r="P1513">
        <f>IF('Loan Tape (S&amp;P)'!S1513="Yes",
    1.15,
    1.00)</f>
        <v/>
      </c>
      <c r="Q1513">
        <f>IF('Loan Tape (S&amp;P)'!V1513="Yes",
    1.20,
    1.00)</f>
        <v/>
      </c>
      <c r="T1513">
        <f>LET(
    payment_method,'Loan Tape (S&amp;P)'!P1513,
    occupancy,'Loan Tape (S&amp;P)'!N1513,
    maturity_date,'Loan Tape (S&amp;P)'!L1513,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14">
      <c r="J1514">
        <f>LET(
    lien,'Loan Tape (S&amp;P)'!Q1514,
    IF(lien="First",1.00,
        IF(lien="Second",1.50,
            1.70)))</f>
        <v/>
      </c>
      <c r="K1514">
        <f>LET(
    purpose,'Loan Tape (S&amp;P)'!R1514,
    IF(purpose="Purchase",1.00,
        IF(purpose="Remortgage",1.00,
            1.20)))</f>
        <v/>
      </c>
      <c r="L1514">
        <f>LET(
    arrears_months,'Loan Tape (S&amp;P)'!AN1514,
    IF(arrears_months=0,1.00,
    IF(arrears_months=1,3.00,
    IF(arrears_months=2,5.00,
    IF(arrears_months=3,8.00,
    IF(arrears_months=4,10.00,
    IF(arrears_months=5,12.00,15.00)))))))</f>
        <v/>
      </c>
      <c r="M1514">
        <f>LET(
    seasoning_years,DATEDIF('Loan Tape (S&amp;P)'!K1514,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14">
        <f>IF(AND('Loan Tape (S&amp;P)'!U1514="Yes",
        'Loan Tape (S&amp;P)'!T1514&lt;&gt;"Yes",
        DATEDIF('Loan Tape (S&amp;P)'!K1514, TODAY(), "M")&lt;18),
    1.10,
    1.00)</f>
        <v/>
      </c>
      <c r="O1514">
        <f>IF('Loan Tape (S&amp;P)'!T1514="Yes",
    1.35,
    1.00)</f>
        <v/>
      </c>
      <c r="P1514">
        <f>IF('Loan Tape (S&amp;P)'!S1514="Yes",
    1.15,
    1.00)</f>
        <v/>
      </c>
      <c r="Q1514">
        <f>IF('Loan Tape (S&amp;P)'!V1514="Yes",
    1.20,
    1.00)</f>
        <v/>
      </c>
      <c r="T1514">
        <f>LET(
    payment_method,'Loan Tape (S&amp;P)'!P1514,
    occupancy,'Loan Tape (S&amp;P)'!N1514,
    maturity_date,'Loan Tape (S&amp;P)'!L1514,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15">
      <c r="J1515">
        <f>LET(
    lien,'Loan Tape (S&amp;P)'!Q1515,
    IF(lien="First",1.00,
        IF(lien="Second",1.50,
            1.70)))</f>
        <v/>
      </c>
      <c r="K1515">
        <f>LET(
    purpose,'Loan Tape (S&amp;P)'!R1515,
    IF(purpose="Purchase",1.00,
        IF(purpose="Remortgage",1.00,
            1.20)))</f>
        <v/>
      </c>
      <c r="L1515">
        <f>LET(
    arrears_months,'Loan Tape (S&amp;P)'!AN1515,
    IF(arrears_months=0,1.00,
    IF(arrears_months=1,3.00,
    IF(arrears_months=2,5.00,
    IF(arrears_months=3,8.00,
    IF(arrears_months=4,10.00,
    IF(arrears_months=5,12.00,15.00)))))))</f>
        <v/>
      </c>
      <c r="M1515">
        <f>LET(
    seasoning_years,DATEDIF('Loan Tape (S&amp;P)'!K1515,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15">
        <f>IF(AND('Loan Tape (S&amp;P)'!U1515="Yes",
        'Loan Tape (S&amp;P)'!T1515&lt;&gt;"Yes",
        DATEDIF('Loan Tape (S&amp;P)'!K1515, TODAY(), "M")&lt;18),
    1.10,
    1.00)</f>
        <v/>
      </c>
      <c r="O1515">
        <f>IF('Loan Tape (S&amp;P)'!T1515="Yes",
    1.35,
    1.00)</f>
        <v/>
      </c>
      <c r="P1515">
        <f>IF('Loan Tape (S&amp;P)'!S1515="Yes",
    1.15,
    1.00)</f>
        <v/>
      </c>
      <c r="Q1515">
        <f>IF('Loan Tape (S&amp;P)'!V1515="Yes",
    1.20,
    1.00)</f>
        <v/>
      </c>
      <c r="T1515">
        <f>LET(
    payment_method,'Loan Tape (S&amp;P)'!P1515,
    occupancy,'Loan Tape (S&amp;P)'!N1515,
    maturity_date,'Loan Tape (S&amp;P)'!L1515,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16">
      <c r="J1516">
        <f>LET(
    lien,'Loan Tape (S&amp;P)'!Q1516,
    IF(lien="First",1.00,
        IF(lien="Second",1.50,
            1.70)))</f>
        <v/>
      </c>
      <c r="K1516">
        <f>LET(
    purpose,'Loan Tape (S&amp;P)'!R1516,
    IF(purpose="Purchase",1.00,
        IF(purpose="Remortgage",1.00,
            1.20)))</f>
        <v/>
      </c>
      <c r="L1516">
        <f>LET(
    arrears_months,'Loan Tape (S&amp;P)'!AN1516,
    IF(arrears_months=0,1.00,
    IF(arrears_months=1,3.00,
    IF(arrears_months=2,5.00,
    IF(arrears_months=3,8.00,
    IF(arrears_months=4,10.00,
    IF(arrears_months=5,12.00,15.00)))))))</f>
        <v/>
      </c>
      <c r="M1516">
        <f>LET(
    seasoning_years,DATEDIF('Loan Tape (S&amp;P)'!K1516,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16">
        <f>IF(AND('Loan Tape (S&amp;P)'!U1516="Yes",
        'Loan Tape (S&amp;P)'!T1516&lt;&gt;"Yes",
        DATEDIF('Loan Tape (S&amp;P)'!K1516, TODAY(), "M")&lt;18),
    1.10,
    1.00)</f>
        <v/>
      </c>
      <c r="O1516">
        <f>IF('Loan Tape (S&amp;P)'!T1516="Yes",
    1.35,
    1.00)</f>
        <v/>
      </c>
      <c r="P1516">
        <f>IF('Loan Tape (S&amp;P)'!S1516="Yes",
    1.15,
    1.00)</f>
        <v/>
      </c>
      <c r="Q1516">
        <f>IF('Loan Tape (S&amp;P)'!V1516="Yes",
    1.20,
    1.00)</f>
        <v/>
      </c>
      <c r="T1516">
        <f>LET(
    payment_method,'Loan Tape (S&amp;P)'!P1516,
    occupancy,'Loan Tape (S&amp;P)'!N1516,
    maturity_date,'Loan Tape (S&amp;P)'!L1516,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17">
      <c r="J1517">
        <f>LET(
    lien,'Loan Tape (S&amp;P)'!Q1517,
    IF(lien="First",1.00,
        IF(lien="Second",1.50,
            1.70)))</f>
        <v/>
      </c>
      <c r="K1517">
        <f>LET(
    purpose,'Loan Tape (S&amp;P)'!R1517,
    IF(purpose="Purchase",1.00,
        IF(purpose="Remortgage",1.00,
            1.20)))</f>
        <v/>
      </c>
      <c r="L1517">
        <f>LET(
    arrears_months,'Loan Tape (S&amp;P)'!AN1517,
    IF(arrears_months=0,1.00,
    IF(arrears_months=1,3.00,
    IF(arrears_months=2,5.00,
    IF(arrears_months=3,8.00,
    IF(arrears_months=4,10.00,
    IF(arrears_months=5,12.00,15.00)))))))</f>
        <v/>
      </c>
      <c r="M1517">
        <f>LET(
    seasoning_years,DATEDIF('Loan Tape (S&amp;P)'!K1517,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17">
        <f>IF(AND('Loan Tape (S&amp;P)'!U1517="Yes",
        'Loan Tape (S&amp;P)'!T1517&lt;&gt;"Yes",
        DATEDIF('Loan Tape (S&amp;P)'!K1517, TODAY(), "M")&lt;18),
    1.10,
    1.00)</f>
        <v/>
      </c>
      <c r="O1517">
        <f>IF('Loan Tape (S&amp;P)'!T1517="Yes",
    1.35,
    1.00)</f>
        <v/>
      </c>
      <c r="P1517">
        <f>IF('Loan Tape (S&amp;P)'!S1517="Yes",
    1.15,
    1.00)</f>
        <v/>
      </c>
      <c r="Q1517">
        <f>IF('Loan Tape (S&amp;P)'!V1517="Yes",
    1.20,
    1.00)</f>
        <v/>
      </c>
      <c r="T1517">
        <f>LET(
    payment_method,'Loan Tape (S&amp;P)'!P1517,
    occupancy,'Loan Tape (S&amp;P)'!N1517,
    maturity_date,'Loan Tape (S&amp;P)'!L1517,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18">
      <c r="J1518">
        <f>LET(
    lien,'Loan Tape (S&amp;P)'!Q1518,
    IF(lien="First",1.00,
        IF(lien="Second",1.50,
            1.70)))</f>
        <v/>
      </c>
      <c r="K1518">
        <f>LET(
    purpose,'Loan Tape (S&amp;P)'!R1518,
    IF(purpose="Purchase",1.00,
        IF(purpose="Remortgage",1.00,
            1.20)))</f>
        <v/>
      </c>
      <c r="L1518">
        <f>LET(
    arrears_months,'Loan Tape (S&amp;P)'!AN1518,
    IF(arrears_months=0,1.00,
    IF(arrears_months=1,3.00,
    IF(arrears_months=2,5.00,
    IF(arrears_months=3,8.00,
    IF(arrears_months=4,10.00,
    IF(arrears_months=5,12.00,15.00)))))))</f>
        <v/>
      </c>
      <c r="M1518">
        <f>LET(
    seasoning_years,DATEDIF('Loan Tape (S&amp;P)'!K1518,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18">
        <f>IF(AND('Loan Tape (S&amp;P)'!U1518="Yes",
        'Loan Tape (S&amp;P)'!T1518&lt;&gt;"Yes",
        DATEDIF('Loan Tape (S&amp;P)'!K1518, TODAY(), "M")&lt;18),
    1.10,
    1.00)</f>
        <v/>
      </c>
      <c r="O1518">
        <f>IF('Loan Tape (S&amp;P)'!T1518="Yes",
    1.35,
    1.00)</f>
        <v/>
      </c>
      <c r="P1518">
        <f>IF('Loan Tape (S&amp;P)'!S1518="Yes",
    1.15,
    1.00)</f>
        <v/>
      </c>
      <c r="Q1518">
        <f>IF('Loan Tape (S&amp;P)'!V1518="Yes",
    1.20,
    1.00)</f>
        <v/>
      </c>
      <c r="T1518">
        <f>LET(
    payment_method,'Loan Tape (S&amp;P)'!P1518,
    occupancy,'Loan Tape (S&amp;P)'!N1518,
    maturity_date,'Loan Tape (S&amp;P)'!L1518,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19">
      <c r="J1519">
        <f>LET(
    lien,'Loan Tape (S&amp;P)'!Q1519,
    IF(lien="First",1.00,
        IF(lien="Second",1.50,
            1.70)))</f>
        <v/>
      </c>
      <c r="K1519">
        <f>LET(
    purpose,'Loan Tape (S&amp;P)'!R1519,
    IF(purpose="Purchase",1.00,
        IF(purpose="Remortgage",1.00,
            1.20)))</f>
        <v/>
      </c>
      <c r="L1519">
        <f>LET(
    arrears_months,'Loan Tape (S&amp;P)'!AN1519,
    IF(arrears_months=0,1.00,
    IF(arrears_months=1,3.00,
    IF(arrears_months=2,5.00,
    IF(arrears_months=3,8.00,
    IF(arrears_months=4,10.00,
    IF(arrears_months=5,12.00,15.00)))))))</f>
        <v/>
      </c>
      <c r="M1519">
        <f>LET(
    seasoning_years,DATEDIF('Loan Tape (S&amp;P)'!K1519,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19">
        <f>IF(AND('Loan Tape (S&amp;P)'!U1519="Yes",
        'Loan Tape (S&amp;P)'!T1519&lt;&gt;"Yes",
        DATEDIF('Loan Tape (S&amp;P)'!K1519, TODAY(), "M")&lt;18),
    1.10,
    1.00)</f>
        <v/>
      </c>
      <c r="O1519">
        <f>IF('Loan Tape (S&amp;P)'!T1519="Yes",
    1.35,
    1.00)</f>
        <v/>
      </c>
      <c r="P1519">
        <f>IF('Loan Tape (S&amp;P)'!S1519="Yes",
    1.15,
    1.00)</f>
        <v/>
      </c>
      <c r="Q1519">
        <f>IF('Loan Tape (S&amp;P)'!V1519="Yes",
    1.20,
    1.00)</f>
        <v/>
      </c>
      <c r="T1519">
        <f>LET(
    payment_method,'Loan Tape (S&amp;P)'!P1519,
    occupancy,'Loan Tape (S&amp;P)'!N1519,
    maturity_date,'Loan Tape (S&amp;P)'!L1519,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20">
      <c r="J1520">
        <f>LET(
    lien,'Loan Tape (S&amp;P)'!Q1520,
    IF(lien="First",1.00,
        IF(lien="Second",1.50,
            1.70)))</f>
        <v/>
      </c>
      <c r="K1520">
        <f>LET(
    purpose,'Loan Tape (S&amp;P)'!R1520,
    IF(purpose="Purchase",1.00,
        IF(purpose="Remortgage",1.00,
            1.20)))</f>
        <v/>
      </c>
      <c r="L1520">
        <f>LET(
    arrears_months,'Loan Tape (S&amp;P)'!AN1520,
    IF(arrears_months=0,1.00,
    IF(arrears_months=1,3.00,
    IF(arrears_months=2,5.00,
    IF(arrears_months=3,8.00,
    IF(arrears_months=4,10.00,
    IF(arrears_months=5,12.00,15.00)))))))</f>
        <v/>
      </c>
      <c r="M1520">
        <f>LET(
    seasoning_years,DATEDIF('Loan Tape (S&amp;P)'!K1520,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20">
        <f>IF(AND('Loan Tape (S&amp;P)'!U1520="Yes",
        'Loan Tape (S&amp;P)'!T1520&lt;&gt;"Yes",
        DATEDIF('Loan Tape (S&amp;P)'!K1520, TODAY(), "M")&lt;18),
    1.10,
    1.00)</f>
        <v/>
      </c>
      <c r="O1520">
        <f>IF('Loan Tape (S&amp;P)'!T1520="Yes",
    1.35,
    1.00)</f>
        <v/>
      </c>
      <c r="P1520">
        <f>IF('Loan Tape (S&amp;P)'!S1520="Yes",
    1.15,
    1.00)</f>
        <v/>
      </c>
      <c r="Q1520">
        <f>IF('Loan Tape (S&amp;P)'!V1520="Yes",
    1.20,
    1.00)</f>
        <v/>
      </c>
      <c r="T1520">
        <f>LET(
    payment_method,'Loan Tape (S&amp;P)'!P1520,
    occupancy,'Loan Tape (S&amp;P)'!N1520,
    maturity_date,'Loan Tape (S&amp;P)'!L1520,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21">
      <c r="J1521">
        <f>LET(
    lien,'Loan Tape (S&amp;P)'!Q1521,
    IF(lien="First",1.00,
        IF(lien="Second",1.50,
            1.70)))</f>
        <v/>
      </c>
      <c r="K1521">
        <f>LET(
    purpose,'Loan Tape (S&amp;P)'!R1521,
    IF(purpose="Purchase",1.00,
        IF(purpose="Remortgage",1.00,
            1.20)))</f>
        <v/>
      </c>
      <c r="L1521">
        <f>LET(
    arrears_months,'Loan Tape (S&amp;P)'!AN1521,
    IF(arrears_months=0,1.00,
    IF(arrears_months=1,3.00,
    IF(arrears_months=2,5.00,
    IF(arrears_months=3,8.00,
    IF(arrears_months=4,10.00,
    IF(arrears_months=5,12.00,15.00)))))))</f>
        <v/>
      </c>
      <c r="M1521">
        <f>LET(
    seasoning_years,DATEDIF('Loan Tape (S&amp;P)'!K1521,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21">
        <f>IF(AND('Loan Tape (S&amp;P)'!U1521="Yes",
        'Loan Tape (S&amp;P)'!T1521&lt;&gt;"Yes",
        DATEDIF('Loan Tape (S&amp;P)'!K1521, TODAY(), "M")&lt;18),
    1.10,
    1.00)</f>
        <v/>
      </c>
      <c r="O1521">
        <f>IF('Loan Tape (S&amp;P)'!T1521="Yes",
    1.35,
    1.00)</f>
        <v/>
      </c>
      <c r="P1521">
        <f>IF('Loan Tape (S&amp;P)'!S1521="Yes",
    1.15,
    1.00)</f>
        <v/>
      </c>
      <c r="Q1521">
        <f>IF('Loan Tape (S&amp;P)'!V1521="Yes",
    1.20,
    1.00)</f>
        <v/>
      </c>
      <c r="T1521">
        <f>LET(
    payment_method,'Loan Tape (S&amp;P)'!P1521,
    occupancy,'Loan Tape (S&amp;P)'!N1521,
    maturity_date,'Loan Tape (S&amp;P)'!L1521,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22">
      <c r="J1522">
        <f>LET(
    lien,'Loan Tape (S&amp;P)'!Q1522,
    IF(lien="First",1.00,
        IF(lien="Second",1.50,
            1.70)))</f>
        <v/>
      </c>
      <c r="K1522">
        <f>LET(
    purpose,'Loan Tape (S&amp;P)'!R1522,
    IF(purpose="Purchase",1.00,
        IF(purpose="Remortgage",1.00,
            1.20)))</f>
        <v/>
      </c>
      <c r="L1522">
        <f>LET(
    arrears_months,'Loan Tape (S&amp;P)'!AN1522,
    IF(arrears_months=0,1.00,
    IF(arrears_months=1,3.00,
    IF(arrears_months=2,5.00,
    IF(arrears_months=3,8.00,
    IF(arrears_months=4,10.00,
    IF(arrears_months=5,12.00,15.00)))))))</f>
        <v/>
      </c>
      <c r="M1522">
        <f>LET(
    seasoning_years,DATEDIF('Loan Tape (S&amp;P)'!K1522,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22">
        <f>IF(AND('Loan Tape (S&amp;P)'!U1522="Yes",
        'Loan Tape (S&amp;P)'!T1522&lt;&gt;"Yes",
        DATEDIF('Loan Tape (S&amp;P)'!K1522, TODAY(), "M")&lt;18),
    1.10,
    1.00)</f>
        <v/>
      </c>
      <c r="O1522">
        <f>IF('Loan Tape (S&amp;P)'!T1522="Yes",
    1.35,
    1.00)</f>
        <v/>
      </c>
      <c r="P1522">
        <f>IF('Loan Tape (S&amp;P)'!S1522="Yes",
    1.15,
    1.00)</f>
        <v/>
      </c>
      <c r="Q1522">
        <f>IF('Loan Tape (S&amp;P)'!V1522="Yes",
    1.20,
    1.00)</f>
        <v/>
      </c>
      <c r="T1522">
        <f>LET(
    payment_method,'Loan Tape (S&amp;P)'!P1522,
    occupancy,'Loan Tape (S&amp;P)'!N1522,
    maturity_date,'Loan Tape (S&amp;P)'!L1522,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23">
      <c r="J1523">
        <f>LET(
    lien,'Loan Tape (S&amp;P)'!Q1523,
    IF(lien="First",1.00,
        IF(lien="Second",1.50,
            1.70)))</f>
        <v/>
      </c>
      <c r="K1523">
        <f>LET(
    purpose,'Loan Tape (S&amp;P)'!R1523,
    IF(purpose="Purchase",1.00,
        IF(purpose="Remortgage",1.00,
            1.20)))</f>
        <v/>
      </c>
      <c r="L1523">
        <f>LET(
    arrears_months,'Loan Tape (S&amp;P)'!AN1523,
    IF(arrears_months=0,1.00,
    IF(arrears_months=1,3.00,
    IF(arrears_months=2,5.00,
    IF(arrears_months=3,8.00,
    IF(arrears_months=4,10.00,
    IF(arrears_months=5,12.00,15.00)))))))</f>
        <v/>
      </c>
      <c r="M1523">
        <f>LET(
    seasoning_years,DATEDIF('Loan Tape (S&amp;P)'!K1523,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23">
        <f>IF(AND('Loan Tape (S&amp;P)'!U1523="Yes",
        'Loan Tape (S&amp;P)'!T1523&lt;&gt;"Yes",
        DATEDIF('Loan Tape (S&amp;P)'!K1523, TODAY(), "M")&lt;18),
    1.10,
    1.00)</f>
        <v/>
      </c>
      <c r="O1523">
        <f>IF('Loan Tape (S&amp;P)'!T1523="Yes",
    1.35,
    1.00)</f>
        <v/>
      </c>
      <c r="P1523">
        <f>IF('Loan Tape (S&amp;P)'!S1523="Yes",
    1.15,
    1.00)</f>
        <v/>
      </c>
      <c r="Q1523">
        <f>IF('Loan Tape (S&amp;P)'!V1523="Yes",
    1.20,
    1.00)</f>
        <v/>
      </c>
      <c r="T1523">
        <f>LET(
    payment_method,'Loan Tape (S&amp;P)'!P1523,
    occupancy,'Loan Tape (S&amp;P)'!N1523,
    maturity_date,'Loan Tape (S&amp;P)'!L1523,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24">
      <c r="J1524">
        <f>LET(
    lien,'Loan Tape (S&amp;P)'!Q1524,
    IF(lien="First",1.00,
        IF(lien="Second",1.50,
            1.70)))</f>
        <v/>
      </c>
      <c r="K1524">
        <f>LET(
    purpose,'Loan Tape (S&amp;P)'!R1524,
    IF(purpose="Purchase",1.00,
        IF(purpose="Remortgage",1.00,
            1.20)))</f>
        <v/>
      </c>
      <c r="L1524">
        <f>LET(
    arrears_months,'Loan Tape (S&amp;P)'!AN1524,
    IF(arrears_months=0,1.00,
    IF(arrears_months=1,3.00,
    IF(arrears_months=2,5.00,
    IF(arrears_months=3,8.00,
    IF(arrears_months=4,10.00,
    IF(arrears_months=5,12.00,15.00)))))))</f>
        <v/>
      </c>
      <c r="M1524">
        <f>LET(
    seasoning_years,DATEDIF('Loan Tape (S&amp;P)'!K1524,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24">
        <f>IF(AND('Loan Tape (S&amp;P)'!U1524="Yes",
        'Loan Tape (S&amp;P)'!T1524&lt;&gt;"Yes",
        DATEDIF('Loan Tape (S&amp;P)'!K1524, TODAY(), "M")&lt;18),
    1.10,
    1.00)</f>
        <v/>
      </c>
      <c r="O1524">
        <f>IF('Loan Tape (S&amp;P)'!T1524="Yes",
    1.35,
    1.00)</f>
        <v/>
      </c>
      <c r="P1524">
        <f>IF('Loan Tape (S&amp;P)'!S1524="Yes",
    1.15,
    1.00)</f>
        <v/>
      </c>
      <c r="Q1524">
        <f>IF('Loan Tape (S&amp;P)'!V1524="Yes",
    1.20,
    1.00)</f>
        <v/>
      </c>
      <c r="T1524">
        <f>LET(
    payment_method,'Loan Tape (S&amp;P)'!P1524,
    occupancy,'Loan Tape (S&amp;P)'!N1524,
    maturity_date,'Loan Tape (S&amp;P)'!L1524,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25">
      <c r="J1525">
        <f>LET(
    lien,'Loan Tape (S&amp;P)'!Q1525,
    IF(lien="First",1.00,
        IF(lien="Second",1.50,
            1.70)))</f>
        <v/>
      </c>
      <c r="K1525">
        <f>LET(
    purpose,'Loan Tape (S&amp;P)'!R1525,
    IF(purpose="Purchase",1.00,
        IF(purpose="Remortgage",1.00,
            1.20)))</f>
        <v/>
      </c>
      <c r="L1525">
        <f>LET(
    arrears_months,'Loan Tape (S&amp;P)'!AN1525,
    IF(arrears_months=0,1.00,
    IF(arrears_months=1,3.00,
    IF(arrears_months=2,5.00,
    IF(arrears_months=3,8.00,
    IF(arrears_months=4,10.00,
    IF(arrears_months=5,12.00,15.00)))))))</f>
        <v/>
      </c>
      <c r="M1525">
        <f>LET(
    seasoning_years,DATEDIF('Loan Tape (S&amp;P)'!K1525,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25">
        <f>IF(AND('Loan Tape (S&amp;P)'!U1525="Yes",
        'Loan Tape (S&amp;P)'!T1525&lt;&gt;"Yes",
        DATEDIF('Loan Tape (S&amp;P)'!K1525, TODAY(), "M")&lt;18),
    1.10,
    1.00)</f>
        <v/>
      </c>
      <c r="O1525">
        <f>IF('Loan Tape (S&amp;P)'!T1525="Yes",
    1.35,
    1.00)</f>
        <v/>
      </c>
      <c r="P1525">
        <f>IF('Loan Tape (S&amp;P)'!S1525="Yes",
    1.15,
    1.00)</f>
        <v/>
      </c>
      <c r="Q1525">
        <f>IF('Loan Tape (S&amp;P)'!V1525="Yes",
    1.20,
    1.00)</f>
        <v/>
      </c>
      <c r="T1525">
        <f>LET(
    payment_method,'Loan Tape (S&amp;P)'!P1525,
    occupancy,'Loan Tape (S&amp;P)'!N1525,
    maturity_date,'Loan Tape (S&amp;P)'!L1525,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26">
      <c r="J1526">
        <f>LET(
    lien,'Loan Tape (S&amp;P)'!Q1526,
    IF(lien="First",1.00,
        IF(lien="Second",1.50,
            1.70)))</f>
        <v/>
      </c>
      <c r="K1526">
        <f>LET(
    purpose,'Loan Tape (S&amp;P)'!R1526,
    IF(purpose="Purchase",1.00,
        IF(purpose="Remortgage",1.00,
            1.20)))</f>
        <v/>
      </c>
      <c r="L1526">
        <f>LET(
    arrears_months,'Loan Tape (S&amp;P)'!AN1526,
    IF(arrears_months=0,1.00,
    IF(arrears_months=1,3.00,
    IF(arrears_months=2,5.00,
    IF(arrears_months=3,8.00,
    IF(arrears_months=4,10.00,
    IF(arrears_months=5,12.00,15.00)))))))</f>
        <v/>
      </c>
      <c r="M1526">
        <f>LET(
    seasoning_years,DATEDIF('Loan Tape (S&amp;P)'!K1526,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26">
        <f>IF(AND('Loan Tape (S&amp;P)'!U1526="Yes",
        'Loan Tape (S&amp;P)'!T1526&lt;&gt;"Yes",
        DATEDIF('Loan Tape (S&amp;P)'!K1526, TODAY(), "M")&lt;18),
    1.10,
    1.00)</f>
        <v/>
      </c>
      <c r="O1526">
        <f>IF('Loan Tape (S&amp;P)'!T1526="Yes",
    1.35,
    1.00)</f>
        <v/>
      </c>
      <c r="P1526">
        <f>IF('Loan Tape (S&amp;P)'!S1526="Yes",
    1.15,
    1.00)</f>
        <v/>
      </c>
      <c r="Q1526">
        <f>IF('Loan Tape (S&amp;P)'!V1526="Yes",
    1.20,
    1.00)</f>
        <v/>
      </c>
      <c r="T1526">
        <f>LET(
    payment_method,'Loan Tape (S&amp;P)'!P1526,
    occupancy,'Loan Tape (S&amp;P)'!N1526,
    maturity_date,'Loan Tape (S&amp;P)'!L1526,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27">
      <c r="J1527">
        <f>LET(
    lien,'Loan Tape (S&amp;P)'!Q1527,
    IF(lien="First",1.00,
        IF(lien="Second",1.50,
            1.70)))</f>
        <v/>
      </c>
      <c r="K1527">
        <f>LET(
    purpose,'Loan Tape (S&amp;P)'!R1527,
    IF(purpose="Purchase",1.00,
        IF(purpose="Remortgage",1.00,
            1.20)))</f>
        <v/>
      </c>
      <c r="L1527">
        <f>LET(
    arrears_months,'Loan Tape (S&amp;P)'!AN1527,
    IF(arrears_months=0,1.00,
    IF(arrears_months=1,3.00,
    IF(arrears_months=2,5.00,
    IF(arrears_months=3,8.00,
    IF(arrears_months=4,10.00,
    IF(arrears_months=5,12.00,15.00)))))))</f>
        <v/>
      </c>
      <c r="M1527">
        <f>LET(
    seasoning_years,DATEDIF('Loan Tape (S&amp;P)'!K1527,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27">
        <f>IF(AND('Loan Tape (S&amp;P)'!U1527="Yes",
        'Loan Tape (S&amp;P)'!T1527&lt;&gt;"Yes",
        DATEDIF('Loan Tape (S&amp;P)'!K1527, TODAY(), "M")&lt;18),
    1.10,
    1.00)</f>
        <v/>
      </c>
      <c r="O1527">
        <f>IF('Loan Tape (S&amp;P)'!T1527="Yes",
    1.35,
    1.00)</f>
        <v/>
      </c>
      <c r="P1527">
        <f>IF('Loan Tape (S&amp;P)'!S1527="Yes",
    1.15,
    1.00)</f>
        <v/>
      </c>
      <c r="Q1527">
        <f>IF('Loan Tape (S&amp;P)'!V1527="Yes",
    1.20,
    1.00)</f>
        <v/>
      </c>
      <c r="T1527">
        <f>LET(
    payment_method,'Loan Tape (S&amp;P)'!P1527,
    occupancy,'Loan Tape (S&amp;P)'!N1527,
    maturity_date,'Loan Tape (S&amp;P)'!L1527,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28">
      <c r="J1528">
        <f>LET(
    lien,'Loan Tape (S&amp;P)'!Q1528,
    IF(lien="First",1.00,
        IF(lien="Second",1.50,
            1.70)))</f>
        <v/>
      </c>
      <c r="K1528">
        <f>LET(
    purpose,'Loan Tape (S&amp;P)'!R1528,
    IF(purpose="Purchase",1.00,
        IF(purpose="Remortgage",1.00,
            1.20)))</f>
        <v/>
      </c>
      <c r="L1528">
        <f>LET(
    arrears_months,'Loan Tape (S&amp;P)'!AN1528,
    IF(arrears_months=0,1.00,
    IF(arrears_months=1,3.00,
    IF(arrears_months=2,5.00,
    IF(arrears_months=3,8.00,
    IF(arrears_months=4,10.00,
    IF(arrears_months=5,12.00,15.00)))))))</f>
        <v/>
      </c>
      <c r="M1528">
        <f>LET(
    seasoning_years,DATEDIF('Loan Tape (S&amp;P)'!K1528,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28">
        <f>IF(AND('Loan Tape (S&amp;P)'!U1528="Yes",
        'Loan Tape (S&amp;P)'!T1528&lt;&gt;"Yes",
        DATEDIF('Loan Tape (S&amp;P)'!K1528, TODAY(), "M")&lt;18),
    1.10,
    1.00)</f>
        <v/>
      </c>
      <c r="O1528">
        <f>IF('Loan Tape (S&amp;P)'!T1528="Yes",
    1.35,
    1.00)</f>
        <v/>
      </c>
      <c r="P1528">
        <f>IF('Loan Tape (S&amp;P)'!S1528="Yes",
    1.15,
    1.00)</f>
        <v/>
      </c>
      <c r="Q1528">
        <f>IF('Loan Tape (S&amp;P)'!V1528="Yes",
    1.20,
    1.00)</f>
        <v/>
      </c>
      <c r="T1528">
        <f>LET(
    payment_method,'Loan Tape (S&amp;P)'!P1528,
    occupancy,'Loan Tape (S&amp;P)'!N1528,
    maturity_date,'Loan Tape (S&amp;P)'!L1528,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29">
      <c r="J1529">
        <f>LET(
    lien,'Loan Tape (S&amp;P)'!Q1529,
    IF(lien="First",1.00,
        IF(lien="Second",1.50,
            1.70)))</f>
        <v/>
      </c>
      <c r="K1529">
        <f>LET(
    purpose,'Loan Tape (S&amp;P)'!R1529,
    IF(purpose="Purchase",1.00,
        IF(purpose="Remortgage",1.00,
            1.20)))</f>
        <v/>
      </c>
      <c r="L1529">
        <f>LET(
    arrears_months,'Loan Tape (S&amp;P)'!AN1529,
    IF(arrears_months=0,1.00,
    IF(arrears_months=1,3.00,
    IF(arrears_months=2,5.00,
    IF(arrears_months=3,8.00,
    IF(arrears_months=4,10.00,
    IF(arrears_months=5,12.00,15.00)))))))</f>
        <v/>
      </c>
      <c r="M1529">
        <f>LET(
    seasoning_years,DATEDIF('Loan Tape (S&amp;P)'!K1529,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29">
        <f>IF(AND('Loan Tape (S&amp;P)'!U1529="Yes",
        'Loan Tape (S&amp;P)'!T1529&lt;&gt;"Yes",
        DATEDIF('Loan Tape (S&amp;P)'!K1529, TODAY(), "M")&lt;18),
    1.10,
    1.00)</f>
        <v/>
      </c>
      <c r="O1529">
        <f>IF('Loan Tape (S&amp;P)'!T1529="Yes",
    1.35,
    1.00)</f>
        <v/>
      </c>
      <c r="P1529">
        <f>IF('Loan Tape (S&amp;P)'!S1529="Yes",
    1.15,
    1.00)</f>
        <v/>
      </c>
      <c r="Q1529">
        <f>IF('Loan Tape (S&amp;P)'!V1529="Yes",
    1.20,
    1.00)</f>
        <v/>
      </c>
      <c r="T1529">
        <f>LET(
    payment_method,'Loan Tape (S&amp;P)'!P1529,
    occupancy,'Loan Tape (S&amp;P)'!N1529,
    maturity_date,'Loan Tape (S&amp;P)'!L1529,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30">
      <c r="J1530">
        <f>LET(
    lien,'Loan Tape (S&amp;P)'!Q1530,
    IF(lien="First",1.00,
        IF(lien="Second",1.50,
            1.70)))</f>
        <v/>
      </c>
      <c r="K1530">
        <f>LET(
    purpose,'Loan Tape (S&amp;P)'!R1530,
    IF(purpose="Purchase",1.00,
        IF(purpose="Remortgage",1.00,
            1.20)))</f>
        <v/>
      </c>
      <c r="L1530">
        <f>LET(
    arrears_months,'Loan Tape (S&amp;P)'!AN1530,
    IF(arrears_months=0,1.00,
    IF(arrears_months=1,3.00,
    IF(arrears_months=2,5.00,
    IF(arrears_months=3,8.00,
    IF(arrears_months=4,10.00,
    IF(arrears_months=5,12.00,15.00)))))))</f>
        <v/>
      </c>
      <c r="M1530">
        <f>LET(
    seasoning_years,DATEDIF('Loan Tape (S&amp;P)'!K1530,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30">
        <f>IF(AND('Loan Tape (S&amp;P)'!U1530="Yes",
        'Loan Tape (S&amp;P)'!T1530&lt;&gt;"Yes",
        DATEDIF('Loan Tape (S&amp;P)'!K1530, TODAY(), "M")&lt;18),
    1.10,
    1.00)</f>
        <v/>
      </c>
      <c r="O1530">
        <f>IF('Loan Tape (S&amp;P)'!T1530="Yes",
    1.35,
    1.00)</f>
        <v/>
      </c>
      <c r="P1530">
        <f>IF('Loan Tape (S&amp;P)'!S1530="Yes",
    1.15,
    1.00)</f>
        <v/>
      </c>
      <c r="Q1530">
        <f>IF('Loan Tape (S&amp;P)'!V1530="Yes",
    1.20,
    1.00)</f>
        <v/>
      </c>
      <c r="T1530">
        <f>LET(
    payment_method,'Loan Tape (S&amp;P)'!P1530,
    occupancy,'Loan Tape (S&amp;P)'!N1530,
    maturity_date,'Loan Tape (S&amp;P)'!L1530,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31">
      <c r="J1531">
        <f>LET(
    lien,'Loan Tape (S&amp;P)'!Q1531,
    IF(lien="First",1.00,
        IF(lien="Second",1.50,
            1.70)))</f>
        <v/>
      </c>
      <c r="K1531">
        <f>LET(
    purpose,'Loan Tape (S&amp;P)'!R1531,
    IF(purpose="Purchase",1.00,
        IF(purpose="Remortgage",1.00,
            1.20)))</f>
        <v/>
      </c>
      <c r="L1531">
        <f>LET(
    arrears_months,'Loan Tape (S&amp;P)'!AN1531,
    IF(arrears_months=0,1.00,
    IF(arrears_months=1,3.00,
    IF(arrears_months=2,5.00,
    IF(arrears_months=3,8.00,
    IF(arrears_months=4,10.00,
    IF(arrears_months=5,12.00,15.00)))))))</f>
        <v/>
      </c>
      <c r="M1531">
        <f>LET(
    seasoning_years,DATEDIF('Loan Tape (S&amp;P)'!K1531,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31">
        <f>IF(AND('Loan Tape (S&amp;P)'!U1531="Yes",
        'Loan Tape (S&amp;P)'!T1531&lt;&gt;"Yes",
        DATEDIF('Loan Tape (S&amp;P)'!K1531, TODAY(), "M")&lt;18),
    1.10,
    1.00)</f>
        <v/>
      </c>
      <c r="O1531">
        <f>IF('Loan Tape (S&amp;P)'!T1531="Yes",
    1.35,
    1.00)</f>
        <v/>
      </c>
      <c r="P1531">
        <f>IF('Loan Tape (S&amp;P)'!S1531="Yes",
    1.15,
    1.00)</f>
        <v/>
      </c>
      <c r="Q1531">
        <f>IF('Loan Tape (S&amp;P)'!V1531="Yes",
    1.20,
    1.00)</f>
        <v/>
      </c>
      <c r="T1531">
        <f>LET(
    payment_method,'Loan Tape (S&amp;P)'!P1531,
    occupancy,'Loan Tape (S&amp;P)'!N1531,
    maturity_date,'Loan Tape (S&amp;P)'!L1531,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32">
      <c r="J1532">
        <f>LET(
    lien,'Loan Tape (S&amp;P)'!Q1532,
    IF(lien="First",1.00,
        IF(lien="Second",1.50,
            1.70)))</f>
        <v/>
      </c>
      <c r="K1532">
        <f>LET(
    purpose,'Loan Tape (S&amp;P)'!R1532,
    IF(purpose="Purchase",1.00,
        IF(purpose="Remortgage",1.00,
            1.20)))</f>
        <v/>
      </c>
      <c r="L1532">
        <f>LET(
    arrears_months,'Loan Tape (S&amp;P)'!AN1532,
    IF(arrears_months=0,1.00,
    IF(arrears_months=1,3.00,
    IF(arrears_months=2,5.00,
    IF(arrears_months=3,8.00,
    IF(arrears_months=4,10.00,
    IF(arrears_months=5,12.00,15.00)))))))</f>
        <v/>
      </c>
      <c r="M1532">
        <f>LET(
    seasoning_years,DATEDIF('Loan Tape (S&amp;P)'!K1532,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32">
        <f>IF(AND('Loan Tape (S&amp;P)'!U1532="Yes",
        'Loan Tape (S&amp;P)'!T1532&lt;&gt;"Yes",
        DATEDIF('Loan Tape (S&amp;P)'!K1532, TODAY(), "M")&lt;18),
    1.10,
    1.00)</f>
        <v/>
      </c>
      <c r="O1532">
        <f>IF('Loan Tape (S&amp;P)'!T1532="Yes",
    1.35,
    1.00)</f>
        <v/>
      </c>
      <c r="P1532">
        <f>IF('Loan Tape (S&amp;P)'!S1532="Yes",
    1.15,
    1.00)</f>
        <v/>
      </c>
      <c r="Q1532">
        <f>IF('Loan Tape (S&amp;P)'!V1532="Yes",
    1.20,
    1.00)</f>
        <v/>
      </c>
      <c r="T1532">
        <f>LET(
    payment_method,'Loan Tape (S&amp;P)'!P1532,
    occupancy,'Loan Tape (S&amp;P)'!N1532,
    maturity_date,'Loan Tape (S&amp;P)'!L1532,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33">
      <c r="J1533">
        <f>LET(
    lien,'Loan Tape (S&amp;P)'!Q1533,
    IF(lien="First",1.00,
        IF(lien="Second",1.50,
            1.70)))</f>
        <v/>
      </c>
      <c r="K1533">
        <f>LET(
    purpose,'Loan Tape (S&amp;P)'!R1533,
    IF(purpose="Purchase",1.00,
        IF(purpose="Remortgage",1.00,
            1.20)))</f>
        <v/>
      </c>
      <c r="L1533">
        <f>LET(
    arrears_months,'Loan Tape (S&amp;P)'!AN1533,
    IF(arrears_months=0,1.00,
    IF(arrears_months=1,3.00,
    IF(arrears_months=2,5.00,
    IF(arrears_months=3,8.00,
    IF(arrears_months=4,10.00,
    IF(arrears_months=5,12.00,15.00)))))))</f>
        <v/>
      </c>
      <c r="M1533">
        <f>LET(
    seasoning_years,DATEDIF('Loan Tape (S&amp;P)'!K1533,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33">
        <f>IF(AND('Loan Tape (S&amp;P)'!U1533="Yes",
        'Loan Tape (S&amp;P)'!T1533&lt;&gt;"Yes",
        DATEDIF('Loan Tape (S&amp;P)'!K1533, TODAY(), "M")&lt;18),
    1.10,
    1.00)</f>
        <v/>
      </c>
      <c r="O1533">
        <f>IF('Loan Tape (S&amp;P)'!T1533="Yes",
    1.35,
    1.00)</f>
        <v/>
      </c>
      <c r="P1533">
        <f>IF('Loan Tape (S&amp;P)'!S1533="Yes",
    1.15,
    1.00)</f>
        <v/>
      </c>
      <c r="Q1533">
        <f>IF('Loan Tape (S&amp;P)'!V1533="Yes",
    1.20,
    1.00)</f>
        <v/>
      </c>
      <c r="T1533">
        <f>LET(
    payment_method,'Loan Tape (S&amp;P)'!P1533,
    occupancy,'Loan Tape (S&amp;P)'!N1533,
    maturity_date,'Loan Tape (S&amp;P)'!L1533,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34">
      <c r="J1534">
        <f>LET(
    lien,'Loan Tape (S&amp;P)'!Q1534,
    IF(lien="First",1.00,
        IF(lien="Second",1.50,
            1.70)))</f>
        <v/>
      </c>
      <c r="K1534">
        <f>LET(
    purpose,'Loan Tape (S&amp;P)'!R1534,
    IF(purpose="Purchase",1.00,
        IF(purpose="Remortgage",1.00,
            1.20)))</f>
        <v/>
      </c>
      <c r="L1534">
        <f>LET(
    arrears_months,'Loan Tape (S&amp;P)'!AN1534,
    IF(arrears_months=0,1.00,
    IF(arrears_months=1,3.00,
    IF(arrears_months=2,5.00,
    IF(arrears_months=3,8.00,
    IF(arrears_months=4,10.00,
    IF(arrears_months=5,12.00,15.00)))))))</f>
        <v/>
      </c>
      <c r="M1534">
        <f>LET(
    seasoning_years,DATEDIF('Loan Tape (S&amp;P)'!K1534,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34">
        <f>IF(AND('Loan Tape (S&amp;P)'!U1534="Yes",
        'Loan Tape (S&amp;P)'!T1534&lt;&gt;"Yes",
        DATEDIF('Loan Tape (S&amp;P)'!K1534, TODAY(), "M")&lt;18),
    1.10,
    1.00)</f>
        <v/>
      </c>
      <c r="O1534">
        <f>IF('Loan Tape (S&amp;P)'!T1534="Yes",
    1.35,
    1.00)</f>
        <v/>
      </c>
      <c r="P1534">
        <f>IF('Loan Tape (S&amp;P)'!S1534="Yes",
    1.15,
    1.00)</f>
        <v/>
      </c>
      <c r="Q1534">
        <f>IF('Loan Tape (S&amp;P)'!V1534="Yes",
    1.20,
    1.00)</f>
        <v/>
      </c>
      <c r="T1534">
        <f>LET(
    payment_method,'Loan Tape (S&amp;P)'!P1534,
    occupancy,'Loan Tape (S&amp;P)'!N1534,
    maturity_date,'Loan Tape (S&amp;P)'!L1534,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35">
      <c r="J1535">
        <f>LET(
    lien,'Loan Tape (S&amp;P)'!Q1535,
    IF(lien="First",1.00,
        IF(lien="Second",1.50,
            1.70)))</f>
        <v/>
      </c>
      <c r="K1535">
        <f>LET(
    purpose,'Loan Tape (S&amp;P)'!R1535,
    IF(purpose="Purchase",1.00,
        IF(purpose="Remortgage",1.00,
            1.20)))</f>
        <v/>
      </c>
      <c r="L1535">
        <f>LET(
    arrears_months,'Loan Tape (S&amp;P)'!AN1535,
    IF(arrears_months=0,1.00,
    IF(arrears_months=1,3.00,
    IF(arrears_months=2,5.00,
    IF(arrears_months=3,8.00,
    IF(arrears_months=4,10.00,
    IF(arrears_months=5,12.00,15.00)))))))</f>
        <v/>
      </c>
      <c r="M1535">
        <f>LET(
    seasoning_years,DATEDIF('Loan Tape (S&amp;P)'!K1535,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35">
        <f>IF(AND('Loan Tape (S&amp;P)'!U1535="Yes",
        'Loan Tape (S&amp;P)'!T1535&lt;&gt;"Yes",
        DATEDIF('Loan Tape (S&amp;P)'!K1535, TODAY(), "M")&lt;18),
    1.10,
    1.00)</f>
        <v/>
      </c>
      <c r="O1535">
        <f>IF('Loan Tape (S&amp;P)'!T1535="Yes",
    1.35,
    1.00)</f>
        <v/>
      </c>
      <c r="P1535">
        <f>IF('Loan Tape (S&amp;P)'!S1535="Yes",
    1.15,
    1.00)</f>
        <v/>
      </c>
      <c r="Q1535">
        <f>IF('Loan Tape (S&amp;P)'!V1535="Yes",
    1.20,
    1.00)</f>
        <v/>
      </c>
      <c r="T1535">
        <f>LET(
    payment_method,'Loan Tape (S&amp;P)'!P1535,
    occupancy,'Loan Tape (S&amp;P)'!N1535,
    maturity_date,'Loan Tape (S&amp;P)'!L1535,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36">
      <c r="J1536">
        <f>LET(
    lien,'Loan Tape (S&amp;P)'!Q1536,
    IF(lien="First",1.00,
        IF(lien="Second",1.50,
            1.70)))</f>
        <v/>
      </c>
      <c r="K1536">
        <f>LET(
    purpose,'Loan Tape (S&amp;P)'!R1536,
    IF(purpose="Purchase",1.00,
        IF(purpose="Remortgage",1.00,
            1.20)))</f>
        <v/>
      </c>
      <c r="L1536">
        <f>LET(
    arrears_months,'Loan Tape (S&amp;P)'!AN1536,
    IF(arrears_months=0,1.00,
    IF(arrears_months=1,3.00,
    IF(arrears_months=2,5.00,
    IF(arrears_months=3,8.00,
    IF(arrears_months=4,10.00,
    IF(arrears_months=5,12.00,15.00)))))))</f>
        <v/>
      </c>
      <c r="M1536">
        <f>LET(
    seasoning_years,DATEDIF('Loan Tape (S&amp;P)'!K1536,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36">
        <f>IF(AND('Loan Tape (S&amp;P)'!U1536="Yes",
        'Loan Tape (S&amp;P)'!T1536&lt;&gt;"Yes",
        DATEDIF('Loan Tape (S&amp;P)'!K1536, TODAY(), "M")&lt;18),
    1.10,
    1.00)</f>
        <v/>
      </c>
      <c r="O1536">
        <f>IF('Loan Tape (S&amp;P)'!T1536="Yes",
    1.35,
    1.00)</f>
        <v/>
      </c>
      <c r="P1536">
        <f>IF('Loan Tape (S&amp;P)'!S1536="Yes",
    1.15,
    1.00)</f>
        <v/>
      </c>
      <c r="Q1536">
        <f>IF('Loan Tape (S&amp;P)'!V1536="Yes",
    1.20,
    1.00)</f>
        <v/>
      </c>
      <c r="T1536">
        <f>LET(
    payment_method,'Loan Tape (S&amp;P)'!P1536,
    occupancy,'Loan Tape (S&amp;P)'!N1536,
    maturity_date,'Loan Tape (S&amp;P)'!L1536,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37">
      <c r="J1537">
        <f>LET(
    lien,'Loan Tape (S&amp;P)'!Q1537,
    IF(lien="First",1.00,
        IF(lien="Second",1.50,
            1.70)))</f>
        <v/>
      </c>
      <c r="K1537">
        <f>LET(
    purpose,'Loan Tape (S&amp;P)'!R1537,
    IF(purpose="Purchase",1.00,
        IF(purpose="Remortgage",1.00,
            1.20)))</f>
        <v/>
      </c>
      <c r="L1537">
        <f>LET(
    arrears_months,'Loan Tape (S&amp;P)'!AN1537,
    IF(arrears_months=0,1.00,
    IF(arrears_months=1,3.00,
    IF(arrears_months=2,5.00,
    IF(arrears_months=3,8.00,
    IF(arrears_months=4,10.00,
    IF(arrears_months=5,12.00,15.00)))))))</f>
        <v/>
      </c>
      <c r="M1537">
        <f>LET(
    seasoning_years,DATEDIF('Loan Tape (S&amp;P)'!K1537,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37">
        <f>IF(AND('Loan Tape (S&amp;P)'!U1537="Yes",
        'Loan Tape (S&amp;P)'!T1537&lt;&gt;"Yes",
        DATEDIF('Loan Tape (S&amp;P)'!K1537, TODAY(), "M")&lt;18),
    1.10,
    1.00)</f>
        <v/>
      </c>
      <c r="O1537">
        <f>IF('Loan Tape (S&amp;P)'!T1537="Yes",
    1.35,
    1.00)</f>
        <v/>
      </c>
      <c r="P1537">
        <f>IF('Loan Tape (S&amp;P)'!S1537="Yes",
    1.15,
    1.00)</f>
        <v/>
      </c>
      <c r="Q1537">
        <f>IF('Loan Tape (S&amp;P)'!V1537="Yes",
    1.20,
    1.00)</f>
        <v/>
      </c>
      <c r="T1537">
        <f>LET(
    payment_method,'Loan Tape (S&amp;P)'!P1537,
    occupancy,'Loan Tape (S&amp;P)'!N1537,
    maturity_date,'Loan Tape (S&amp;P)'!L1537,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38">
      <c r="J1538">
        <f>LET(
    lien,'Loan Tape (S&amp;P)'!Q1538,
    IF(lien="First",1.00,
        IF(lien="Second",1.50,
            1.70)))</f>
        <v/>
      </c>
      <c r="K1538">
        <f>LET(
    purpose,'Loan Tape (S&amp;P)'!R1538,
    IF(purpose="Purchase",1.00,
        IF(purpose="Remortgage",1.00,
            1.20)))</f>
        <v/>
      </c>
      <c r="L1538">
        <f>LET(
    arrears_months,'Loan Tape (S&amp;P)'!AN1538,
    IF(arrears_months=0,1.00,
    IF(arrears_months=1,3.00,
    IF(arrears_months=2,5.00,
    IF(arrears_months=3,8.00,
    IF(arrears_months=4,10.00,
    IF(arrears_months=5,12.00,15.00)))))))</f>
        <v/>
      </c>
      <c r="M1538">
        <f>LET(
    seasoning_years,DATEDIF('Loan Tape (S&amp;P)'!K1538,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38">
        <f>IF(AND('Loan Tape (S&amp;P)'!U1538="Yes",
        'Loan Tape (S&amp;P)'!T1538&lt;&gt;"Yes",
        DATEDIF('Loan Tape (S&amp;P)'!K1538, TODAY(), "M")&lt;18),
    1.10,
    1.00)</f>
        <v/>
      </c>
      <c r="O1538">
        <f>IF('Loan Tape (S&amp;P)'!T1538="Yes",
    1.35,
    1.00)</f>
        <v/>
      </c>
      <c r="P1538">
        <f>IF('Loan Tape (S&amp;P)'!S1538="Yes",
    1.15,
    1.00)</f>
        <v/>
      </c>
      <c r="Q1538">
        <f>IF('Loan Tape (S&amp;P)'!V1538="Yes",
    1.20,
    1.00)</f>
        <v/>
      </c>
      <c r="T1538">
        <f>LET(
    payment_method,'Loan Tape (S&amp;P)'!P1538,
    occupancy,'Loan Tape (S&amp;P)'!N1538,
    maturity_date,'Loan Tape (S&amp;P)'!L1538,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39">
      <c r="J1539">
        <f>LET(
    lien,'Loan Tape (S&amp;P)'!Q1539,
    IF(lien="First",1.00,
        IF(lien="Second",1.50,
            1.70)))</f>
        <v/>
      </c>
      <c r="K1539">
        <f>LET(
    purpose,'Loan Tape (S&amp;P)'!R1539,
    IF(purpose="Purchase",1.00,
        IF(purpose="Remortgage",1.00,
            1.20)))</f>
        <v/>
      </c>
      <c r="L1539">
        <f>LET(
    arrears_months,'Loan Tape (S&amp;P)'!AN1539,
    IF(arrears_months=0,1.00,
    IF(arrears_months=1,3.00,
    IF(arrears_months=2,5.00,
    IF(arrears_months=3,8.00,
    IF(arrears_months=4,10.00,
    IF(arrears_months=5,12.00,15.00)))))))</f>
        <v/>
      </c>
      <c r="M1539">
        <f>LET(
    seasoning_years,DATEDIF('Loan Tape (S&amp;P)'!K1539,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39">
        <f>IF(AND('Loan Tape (S&amp;P)'!U1539="Yes",
        'Loan Tape (S&amp;P)'!T1539&lt;&gt;"Yes",
        DATEDIF('Loan Tape (S&amp;P)'!K1539, TODAY(), "M")&lt;18),
    1.10,
    1.00)</f>
        <v/>
      </c>
      <c r="O1539">
        <f>IF('Loan Tape (S&amp;P)'!T1539="Yes",
    1.35,
    1.00)</f>
        <v/>
      </c>
      <c r="P1539">
        <f>IF('Loan Tape (S&amp;P)'!S1539="Yes",
    1.15,
    1.00)</f>
        <v/>
      </c>
      <c r="Q1539">
        <f>IF('Loan Tape (S&amp;P)'!V1539="Yes",
    1.20,
    1.00)</f>
        <v/>
      </c>
      <c r="T1539">
        <f>LET(
    payment_method,'Loan Tape (S&amp;P)'!P1539,
    occupancy,'Loan Tape (S&amp;P)'!N1539,
    maturity_date,'Loan Tape (S&amp;P)'!L1539,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40">
      <c r="J1540">
        <f>LET(
    lien,'Loan Tape (S&amp;P)'!Q1540,
    IF(lien="First",1.00,
        IF(lien="Second",1.50,
            1.70)))</f>
        <v/>
      </c>
      <c r="K1540">
        <f>LET(
    purpose,'Loan Tape (S&amp;P)'!R1540,
    IF(purpose="Purchase",1.00,
        IF(purpose="Remortgage",1.00,
            1.20)))</f>
        <v/>
      </c>
      <c r="L1540">
        <f>LET(
    arrears_months,'Loan Tape (S&amp;P)'!AN1540,
    IF(arrears_months=0,1.00,
    IF(arrears_months=1,3.00,
    IF(arrears_months=2,5.00,
    IF(arrears_months=3,8.00,
    IF(arrears_months=4,10.00,
    IF(arrears_months=5,12.00,15.00)))))))</f>
        <v/>
      </c>
      <c r="M1540">
        <f>LET(
    seasoning_years,DATEDIF('Loan Tape (S&amp;P)'!K1540,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40">
        <f>IF(AND('Loan Tape (S&amp;P)'!U1540="Yes",
        'Loan Tape (S&amp;P)'!T1540&lt;&gt;"Yes",
        DATEDIF('Loan Tape (S&amp;P)'!K1540, TODAY(), "M")&lt;18),
    1.10,
    1.00)</f>
        <v/>
      </c>
      <c r="O1540">
        <f>IF('Loan Tape (S&amp;P)'!T1540="Yes",
    1.35,
    1.00)</f>
        <v/>
      </c>
      <c r="P1540">
        <f>IF('Loan Tape (S&amp;P)'!S1540="Yes",
    1.15,
    1.00)</f>
        <v/>
      </c>
      <c r="Q1540">
        <f>IF('Loan Tape (S&amp;P)'!V1540="Yes",
    1.20,
    1.00)</f>
        <v/>
      </c>
      <c r="T1540">
        <f>LET(
    payment_method,'Loan Tape (S&amp;P)'!P1540,
    occupancy,'Loan Tape (S&amp;P)'!N1540,
    maturity_date,'Loan Tape (S&amp;P)'!L1540,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41">
      <c r="J1541">
        <f>LET(
    lien,'Loan Tape (S&amp;P)'!Q1541,
    IF(lien="First",1.00,
        IF(lien="Second",1.50,
            1.70)))</f>
        <v/>
      </c>
      <c r="K1541">
        <f>LET(
    purpose,'Loan Tape (S&amp;P)'!R1541,
    IF(purpose="Purchase",1.00,
        IF(purpose="Remortgage",1.00,
            1.20)))</f>
        <v/>
      </c>
      <c r="L1541">
        <f>LET(
    arrears_months,'Loan Tape (S&amp;P)'!AN1541,
    IF(arrears_months=0,1.00,
    IF(arrears_months=1,3.00,
    IF(arrears_months=2,5.00,
    IF(arrears_months=3,8.00,
    IF(arrears_months=4,10.00,
    IF(arrears_months=5,12.00,15.00)))))))</f>
        <v/>
      </c>
      <c r="M1541">
        <f>LET(
    seasoning_years,DATEDIF('Loan Tape (S&amp;P)'!K1541,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41">
        <f>IF(AND('Loan Tape (S&amp;P)'!U1541="Yes",
        'Loan Tape (S&amp;P)'!T1541&lt;&gt;"Yes",
        DATEDIF('Loan Tape (S&amp;P)'!K1541, TODAY(), "M")&lt;18),
    1.10,
    1.00)</f>
        <v/>
      </c>
      <c r="O1541">
        <f>IF('Loan Tape (S&amp;P)'!T1541="Yes",
    1.35,
    1.00)</f>
        <v/>
      </c>
      <c r="P1541">
        <f>IF('Loan Tape (S&amp;P)'!S1541="Yes",
    1.15,
    1.00)</f>
        <v/>
      </c>
      <c r="Q1541">
        <f>IF('Loan Tape (S&amp;P)'!V1541="Yes",
    1.20,
    1.00)</f>
        <v/>
      </c>
      <c r="T1541">
        <f>LET(
    payment_method,'Loan Tape (S&amp;P)'!P1541,
    occupancy,'Loan Tape (S&amp;P)'!N1541,
    maturity_date,'Loan Tape (S&amp;P)'!L1541,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42">
      <c r="J1542">
        <f>LET(
    lien,'Loan Tape (S&amp;P)'!Q1542,
    IF(lien="First",1.00,
        IF(lien="Second",1.50,
            1.70)))</f>
        <v/>
      </c>
      <c r="K1542">
        <f>LET(
    purpose,'Loan Tape (S&amp;P)'!R1542,
    IF(purpose="Purchase",1.00,
        IF(purpose="Remortgage",1.00,
            1.20)))</f>
        <v/>
      </c>
      <c r="L1542">
        <f>LET(
    arrears_months,'Loan Tape (S&amp;P)'!AN1542,
    IF(arrears_months=0,1.00,
    IF(arrears_months=1,3.00,
    IF(arrears_months=2,5.00,
    IF(arrears_months=3,8.00,
    IF(arrears_months=4,10.00,
    IF(arrears_months=5,12.00,15.00)))))))</f>
        <v/>
      </c>
      <c r="M1542">
        <f>LET(
    seasoning_years,DATEDIF('Loan Tape (S&amp;P)'!K1542,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42">
        <f>IF(AND('Loan Tape (S&amp;P)'!U1542="Yes",
        'Loan Tape (S&amp;P)'!T1542&lt;&gt;"Yes",
        DATEDIF('Loan Tape (S&amp;P)'!K1542, TODAY(), "M")&lt;18),
    1.10,
    1.00)</f>
        <v/>
      </c>
      <c r="O1542">
        <f>IF('Loan Tape (S&amp;P)'!T1542="Yes",
    1.35,
    1.00)</f>
        <v/>
      </c>
      <c r="P1542">
        <f>IF('Loan Tape (S&amp;P)'!S1542="Yes",
    1.15,
    1.00)</f>
        <v/>
      </c>
      <c r="Q1542">
        <f>IF('Loan Tape (S&amp;P)'!V1542="Yes",
    1.20,
    1.00)</f>
        <v/>
      </c>
      <c r="T1542">
        <f>LET(
    payment_method,'Loan Tape (S&amp;P)'!P1542,
    occupancy,'Loan Tape (S&amp;P)'!N1542,
    maturity_date,'Loan Tape (S&amp;P)'!L1542,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43">
      <c r="J1543">
        <f>LET(
    lien,'Loan Tape (S&amp;P)'!Q1543,
    IF(lien="First",1.00,
        IF(lien="Second",1.50,
            1.70)))</f>
        <v/>
      </c>
      <c r="K1543">
        <f>LET(
    purpose,'Loan Tape (S&amp;P)'!R1543,
    IF(purpose="Purchase",1.00,
        IF(purpose="Remortgage",1.00,
            1.20)))</f>
        <v/>
      </c>
      <c r="L1543">
        <f>LET(
    arrears_months,'Loan Tape (S&amp;P)'!AN1543,
    IF(arrears_months=0,1.00,
    IF(arrears_months=1,3.00,
    IF(arrears_months=2,5.00,
    IF(arrears_months=3,8.00,
    IF(arrears_months=4,10.00,
    IF(arrears_months=5,12.00,15.00)))))))</f>
        <v/>
      </c>
      <c r="M1543">
        <f>LET(
    seasoning_years,DATEDIF('Loan Tape (S&amp;P)'!K1543,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43">
        <f>IF(AND('Loan Tape (S&amp;P)'!U1543="Yes",
        'Loan Tape (S&amp;P)'!T1543&lt;&gt;"Yes",
        DATEDIF('Loan Tape (S&amp;P)'!K1543, TODAY(), "M")&lt;18),
    1.10,
    1.00)</f>
        <v/>
      </c>
      <c r="O1543">
        <f>IF('Loan Tape (S&amp;P)'!T1543="Yes",
    1.35,
    1.00)</f>
        <v/>
      </c>
      <c r="P1543">
        <f>IF('Loan Tape (S&amp;P)'!S1543="Yes",
    1.15,
    1.00)</f>
        <v/>
      </c>
      <c r="Q1543">
        <f>IF('Loan Tape (S&amp;P)'!V1543="Yes",
    1.20,
    1.00)</f>
        <v/>
      </c>
      <c r="T1543">
        <f>LET(
    payment_method,'Loan Tape (S&amp;P)'!P1543,
    occupancy,'Loan Tape (S&amp;P)'!N1543,
    maturity_date,'Loan Tape (S&amp;P)'!L1543,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44">
      <c r="J1544">
        <f>LET(
    lien,'Loan Tape (S&amp;P)'!Q1544,
    IF(lien="First",1.00,
        IF(lien="Second",1.50,
            1.70)))</f>
        <v/>
      </c>
      <c r="K1544">
        <f>LET(
    purpose,'Loan Tape (S&amp;P)'!R1544,
    IF(purpose="Purchase",1.00,
        IF(purpose="Remortgage",1.00,
            1.20)))</f>
        <v/>
      </c>
      <c r="L1544">
        <f>LET(
    arrears_months,'Loan Tape (S&amp;P)'!AN1544,
    IF(arrears_months=0,1.00,
    IF(arrears_months=1,3.00,
    IF(arrears_months=2,5.00,
    IF(arrears_months=3,8.00,
    IF(arrears_months=4,10.00,
    IF(arrears_months=5,12.00,15.00)))))))</f>
        <v/>
      </c>
      <c r="M1544">
        <f>LET(
    seasoning_years,DATEDIF('Loan Tape (S&amp;P)'!K1544,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44">
        <f>IF(AND('Loan Tape (S&amp;P)'!U1544="Yes",
        'Loan Tape (S&amp;P)'!T1544&lt;&gt;"Yes",
        DATEDIF('Loan Tape (S&amp;P)'!K1544, TODAY(), "M")&lt;18),
    1.10,
    1.00)</f>
        <v/>
      </c>
      <c r="O1544">
        <f>IF('Loan Tape (S&amp;P)'!T1544="Yes",
    1.35,
    1.00)</f>
        <v/>
      </c>
      <c r="P1544">
        <f>IF('Loan Tape (S&amp;P)'!S1544="Yes",
    1.15,
    1.00)</f>
        <v/>
      </c>
      <c r="Q1544">
        <f>IF('Loan Tape (S&amp;P)'!V1544="Yes",
    1.20,
    1.00)</f>
        <v/>
      </c>
      <c r="T1544">
        <f>LET(
    payment_method,'Loan Tape (S&amp;P)'!P1544,
    occupancy,'Loan Tape (S&amp;P)'!N1544,
    maturity_date,'Loan Tape (S&amp;P)'!L1544,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45">
      <c r="J1545">
        <f>LET(
    lien,'Loan Tape (S&amp;P)'!Q1545,
    IF(lien="First",1.00,
        IF(lien="Second",1.50,
            1.70)))</f>
        <v/>
      </c>
      <c r="K1545">
        <f>LET(
    purpose,'Loan Tape (S&amp;P)'!R1545,
    IF(purpose="Purchase",1.00,
        IF(purpose="Remortgage",1.00,
            1.20)))</f>
        <v/>
      </c>
      <c r="L1545">
        <f>LET(
    arrears_months,'Loan Tape (S&amp;P)'!AN1545,
    IF(arrears_months=0,1.00,
    IF(arrears_months=1,3.00,
    IF(arrears_months=2,5.00,
    IF(arrears_months=3,8.00,
    IF(arrears_months=4,10.00,
    IF(arrears_months=5,12.00,15.00)))))))</f>
        <v/>
      </c>
      <c r="M1545">
        <f>LET(
    seasoning_years,DATEDIF('Loan Tape (S&amp;P)'!K1545,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45">
        <f>IF(AND('Loan Tape (S&amp;P)'!U1545="Yes",
        'Loan Tape (S&amp;P)'!T1545&lt;&gt;"Yes",
        DATEDIF('Loan Tape (S&amp;P)'!K1545, TODAY(), "M")&lt;18),
    1.10,
    1.00)</f>
        <v/>
      </c>
      <c r="O1545">
        <f>IF('Loan Tape (S&amp;P)'!T1545="Yes",
    1.35,
    1.00)</f>
        <v/>
      </c>
      <c r="P1545">
        <f>IF('Loan Tape (S&amp;P)'!S1545="Yes",
    1.15,
    1.00)</f>
        <v/>
      </c>
      <c r="Q1545">
        <f>IF('Loan Tape (S&amp;P)'!V1545="Yes",
    1.20,
    1.00)</f>
        <v/>
      </c>
      <c r="T1545">
        <f>LET(
    payment_method,'Loan Tape (S&amp;P)'!P1545,
    occupancy,'Loan Tape (S&amp;P)'!N1545,
    maturity_date,'Loan Tape (S&amp;P)'!L1545,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46">
      <c r="J1546">
        <f>LET(
    lien,'Loan Tape (S&amp;P)'!Q1546,
    IF(lien="First",1.00,
        IF(lien="Second",1.50,
            1.70)))</f>
        <v/>
      </c>
      <c r="K1546">
        <f>LET(
    purpose,'Loan Tape (S&amp;P)'!R1546,
    IF(purpose="Purchase",1.00,
        IF(purpose="Remortgage",1.00,
            1.20)))</f>
        <v/>
      </c>
      <c r="L1546">
        <f>LET(
    arrears_months,'Loan Tape (S&amp;P)'!AN1546,
    IF(arrears_months=0,1.00,
    IF(arrears_months=1,3.00,
    IF(arrears_months=2,5.00,
    IF(arrears_months=3,8.00,
    IF(arrears_months=4,10.00,
    IF(arrears_months=5,12.00,15.00)))))))</f>
        <v/>
      </c>
      <c r="M1546">
        <f>LET(
    seasoning_years,DATEDIF('Loan Tape (S&amp;P)'!K1546,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46">
        <f>IF(AND('Loan Tape (S&amp;P)'!U1546="Yes",
        'Loan Tape (S&amp;P)'!T1546&lt;&gt;"Yes",
        DATEDIF('Loan Tape (S&amp;P)'!K1546, TODAY(), "M")&lt;18),
    1.10,
    1.00)</f>
        <v/>
      </c>
      <c r="O1546">
        <f>IF('Loan Tape (S&amp;P)'!T1546="Yes",
    1.35,
    1.00)</f>
        <v/>
      </c>
      <c r="P1546">
        <f>IF('Loan Tape (S&amp;P)'!S1546="Yes",
    1.15,
    1.00)</f>
        <v/>
      </c>
      <c r="Q1546">
        <f>IF('Loan Tape (S&amp;P)'!V1546="Yes",
    1.20,
    1.00)</f>
        <v/>
      </c>
      <c r="T1546">
        <f>LET(
    payment_method,'Loan Tape (S&amp;P)'!P1546,
    occupancy,'Loan Tape (S&amp;P)'!N1546,
    maturity_date,'Loan Tape (S&amp;P)'!L1546,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47">
      <c r="J1547">
        <f>LET(
    lien,'Loan Tape (S&amp;P)'!Q1547,
    IF(lien="First",1.00,
        IF(lien="Second",1.50,
            1.70)))</f>
        <v/>
      </c>
      <c r="K1547">
        <f>LET(
    purpose,'Loan Tape (S&amp;P)'!R1547,
    IF(purpose="Purchase",1.00,
        IF(purpose="Remortgage",1.00,
            1.20)))</f>
        <v/>
      </c>
      <c r="L1547">
        <f>LET(
    arrears_months,'Loan Tape (S&amp;P)'!AN1547,
    IF(arrears_months=0,1.00,
    IF(arrears_months=1,3.00,
    IF(arrears_months=2,5.00,
    IF(arrears_months=3,8.00,
    IF(arrears_months=4,10.00,
    IF(arrears_months=5,12.00,15.00)))))))</f>
        <v/>
      </c>
      <c r="M1547">
        <f>LET(
    seasoning_years,DATEDIF('Loan Tape (S&amp;P)'!K1547,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47">
        <f>IF(AND('Loan Tape (S&amp;P)'!U1547="Yes",
        'Loan Tape (S&amp;P)'!T1547&lt;&gt;"Yes",
        DATEDIF('Loan Tape (S&amp;P)'!K1547, TODAY(), "M")&lt;18),
    1.10,
    1.00)</f>
        <v/>
      </c>
      <c r="O1547">
        <f>IF('Loan Tape (S&amp;P)'!T1547="Yes",
    1.35,
    1.00)</f>
        <v/>
      </c>
      <c r="P1547">
        <f>IF('Loan Tape (S&amp;P)'!S1547="Yes",
    1.15,
    1.00)</f>
        <v/>
      </c>
      <c r="Q1547">
        <f>IF('Loan Tape (S&amp;P)'!V1547="Yes",
    1.20,
    1.00)</f>
        <v/>
      </c>
      <c r="T1547">
        <f>LET(
    payment_method,'Loan Tape (S&amp;P)'!P1547,
    occupancy,'Loan Tape (S&amp;P)'!N1547,
    maturity_date,'Loan Tape (S&amp;P)'!L1547,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48">
      <c r="J1548">
        <f>LET(
    lien,'Loan Tape (S&amp;P)'!Q1548,
    IF(lien="First",1.00,
        IF(lien="Second",1.50,
            1.70)))</f>
        <v/>
      </c>
      <c r="K1548">
        <f>LET(
    purpose,'Loan Tape (S&amp;P)'!R1548,
    IF(purpose="Purchase",1.00,
        IF(purpose="Remortgage",1.00,
            1.20)))</f>
        <v/>
      </c>
      <c r="L1548">
        <f>LET(
    arrears_months,'Loan Tape (S&amp;P)'!AN1548,
    IF(arrears_months=0,1.00,
    IF(arrears_months=1,3.00,
    IF(arrears_months=2,5.00,
    IF(arrears_months=3,8.00,
    IF(arrears_months=4,10.00,
    IF(arrears_months=5,12.00,15.00)))))))</f>
        <v/>
      </c>
      <c r="M1548">
        <f>LET(
    seasoning_years,DATEDIF('Loan Tape (S&amp;P)'!K1548,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48">
        <f>IF(AND('Loan Tape (S&amp;P)'!U1548="Yes",
        'Loan Tape (S&amp;P)'!T1548&lt;&gt;"Yes",
        DATEDIF('Loan Tape (S&amp;P)'!K1548, TODAY(), "M")&lt;18),
    1.10,
    1.00)</f>
        <v/>
      </c>
      <c r="O1548">
        <f>IF('Loan Tape (S&amp;P)'!T1548="Yes",
    1.35,
    1.00)</f>
        <v/>
      </c>
      <c r="P1548">
        <f>IF('Loan Tape (S&amp;P)'!S1548="Yes",
    1.15,
    1.00)</f>
        <v/>
      </c>
      <c r="Q1548">
        <f>IF('Loan Tape (S&amp;P)'!V1548="Yes",
    1.20,
    1.00)</f>
        <v/>
      </c>
      <c r="T1548">
        <f>LET(
    payment_method,'Loan Tape (S&amp;P)'!P1548,
    occupancy,'Loan Tape (S&amp;P)'!N1548,
    maturity_date,'Loan Tape (S&amp;P)'!L1548,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49">
      <c r="J1549">
        <f>LET(
    lien,'Loan Tape (S&amp;P)'!Q1549,
    IF(lien="First",1.00,
        IF(lien="Second",1.50,
            1.70)))</f>
        <v/>
      </c>
      <c r="K1549">
        <f>LET(
    purpose,'Loan Tape (S&amp;P)'!R1549,
    IF(purpose="Purchase",1.00,
        IF(purpose="Remortgage",1.00,
            1.20)))</f>
        <v/>
      </c>
      <c r="L1549">
        <f>LET(
    arrears_months,'Loan Tape (S&amp;P)'!AN1549,
    IF(arrears_months=0,1.00,
    IF(arrears_months=1,3.00,
    IF(arrears_months=2,5.00,
    IF(arrears_months=3,8.00,
    IF(arrears_months=4,10.00,
    IF(arrears_months=5,12.00,15.00)))))))</f>
        <v/>
      </c>
      <c r="M1549">
        <f>LET(
    seasoning_years,DATEDIF('Loan Tape (S&amp;P)'!K1549,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49">
        <f>IF(AND('Loan Tape (S&amp;P)'!U1549="Yes",
        'Loan Tape (S&amp;P)'!T1549&lt;&gt;"Yes",
        DATEDIF('Loan Tape (S&amp;P)'!K1549, TODAY(), "M")&lt;18),
    1.10,
    1.00)</f>
        <v/>
      </c>
      <c r="O1549">
        <f>IF('Loan Tape (S&amp;P)'!T1549="Yes",
    1.35,
    1.00)</f>
        <v/>
      </c>
      <c r="P1549">
        <f>IF('Loan Tape (S&amp;P)'!S1549="Yes",
    1.15,
    1.00)</f>
        <v/>
      </c>
      <c r="Q1549">
        <f>IF('Loan Tape (S&amp;P)'!V1549="Yes",
    1.20,
    1.00)</f>
        <v/>
      </c>
      <c r="T1549">
        <f>LET(
    payment_method,'Loan Tape (S&amp;P)'!P1549,
    occupancy,'Loan Tape (S&amp;P)'!N1549,
    maturity_date,'Loan Tape (S&amp;P)'!L1549,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50">
      <c r="J1550">
        <f>LET(
    lien,'Loan Tape (S&amp;P)'!Q1550,
    IF(lien="First",1.00,
        IF(lien="Second",1.50,
            1.70)))</f>
        <v/>
      </c>
      <c r="K1550">
        <f>LET(
    purpose,'Loan Tape (S&amp;P)'!R1550,
    IF(purpose="Purchase",1.00,
        IF(purpose="Remortgage",1.00,
            1.20)))</f>
        <v/>
      </c>
      <c r="L1550">
        <f>LET(
    arrears_months,'Loan Tape (S&amp;P)'!AN1550,
    IF(arrears_months=0,1.00,
    IF(arrears_months=1,3.00,
    IF(arrears_months=2,5.00,
    IF(arrears_months=3,8.00,
    IF(arrears_months=4,10.00,
    IF(arrears_months=5,12.00,15.00)))))))</f>
        <v/>
      </c>
      <c r="M1550">
        <f>LET(
    seasoning_years,DATEDIF('Loan Tape (S&amp;P)'!K1550,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50">
        <f>IF(AND('Loan Tape (S&amp;P)'!U1550="Yes",
        'Loan Tape (S&amp;P)'!T1550&lt;&gt;"Yes",
        DATEDIF('Loan Tape (S&amp;P)'!K1550, TODAY(), "M")&lt;18),
    1.10,
    1.00)</f>
        <v/>
      </c>
      <c r="O1550">
        <f>IF('Loan Tape (S&amp;P)'!T1550="Yes",
    1.35,
    1.00)</f>
        <v/>
      </c>
      <c r="P1550">
        <f>IF('Loan Tape (S&amp;P)'!S1550="Yes",
    1.15,
    1.00)</f>
        <v/>
      </c>
      <c r="Q1550">
        <f>IF('Loan Tape (S&amp;P)'!V1550="Yes",
    1.20,
    1.00)</f>
        <v/>
      </c>
      <c r="T1550">
        <f>LET(
    payment_method,'Loan Tape (S&amp;P)'!P1550,
    occupancy,'Loan Tape (S&amp;P)'!N1550,
    maturity_date,'Loan Tape (S&amp;P)'!L1550,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51">
      <c r="J1551">
        <f>LET(
    lien,'Loan Tape (S&amp;P)'!Q1551,
    IF(lien="First",1.00,
        IF(lien="Second",1.50,
            1.70)))</f>
        <v/>
      </c>
      <c r="K1551">
        <f>LET(
    purpose,'Loan Tape (S&amp;P)'!R1551,
    IF(purpose="Purchase",1.00,
        IF(purpose="Remortgage",1.00,
            1.20)))</f>
        <v/>
      </c>
      <c r="L1551">
        <f>LET(
    arrears_months,'Loan Tape (S&amp;P)'!AN1551,
    IF(arrears_months=0,1.00,
    IF(arrears_months=1,3.00,
    IF(arrears_months=2,5.00,
    IF(arrears_months=3,8.00,
    IF(arrears_months=4,10.00,
    IF(arrears_months=5,12.00,15.00)))))))</f>
        <v/>
      </c>
      <c r="M1551">
        <f>LET(
    seasoning_years,DATEDIF('Loan Tape (S&amp;P)'!K1551,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51">
        <f>IF(AND('Loan Tape (S&amp;P)'!U1551="Yes",
        'Loan Tape (S&amp;P)'!T1551&lt;&gt;"Yes",
        DATEDIF('Loan Tape (S&amp;P)'!K1551, TODAY(), "M")&lt;18),
    1.10,
    1.00)</f>
        <v/>
      </c>
      <c r="O1551">
        <f>IF('Loan Tape (S&amp;P)'!T1551="Yes",
    1.35,
    1.00)</f>
        <v/>
      </c>
      <c r="P1551">
        <f>IF('Loan Tape (S&amp;P)'!S1551="Yes",
    1.15,
    1.00)</f>
        <v/>
      </c>
      <c r="Q1551">
        <f>IF('Loan Tape (S&amp;P)'!V1551="Yes",
    1.20,
    1.00)</f>
        <v/>
      </c>
      <c r="T1551">
        <f>LET(
    payment_method,'Loan Tape (S&amp;P)'!P1551,
    occupancy,'Loan Tape (S&amp;P)'!N1551,
    maturity_date,'Loan Tape (S&amp;P)'!L1551,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52">
      <c r="J1552">
        <f>LET(
    lien,'Loan Tape (S&amp;P)'!Q1552,
    IF(lien="First",1.00,
        IF(lien="Second",1.50,
            1.70)))</f>
        <v/>
      </c>
      <c r="K1552">
        <f>LET(
    purpose,'Loan Tape (S&amp;P)'!R1552,
    IF(purpose="Purchase",1.00,
        IF(purpose="Remortgage",1.00,
            1.20)))</f>
        <v/>
      </c>
      <c r="L1552">
        <f>LET(
    arrears_months,'Loan Tape (S&amp;P)'!AN1552,
    IF(arrears_months=0,1.00,
    IF(arrears_months=1,3.00,
    IF(arrears_months=2,5.00,
    IF(arrears_months=3,8.00,
    IF(arrears_months=4,10.00,
    IF(arrears_months=5,12.00,15.00)))))))</f>
        <v/>
      </c>
      <c r="M1552">
        <f>LET(
    seasoning_years,DATEDIF('Loan Tape (S&amp;P)'!K1552,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52">
        <f>IF(AND('Loan Tape (S&amp;P)'!U1552="Yes",
        'Loan Tape (S&amp;P)'!T1552&lt;&gt;"Yes",
        DATEDIF('Loan Tape (S&amp;P)'!K1552, TODAY(), "M")&lt;18),
    1.10,
    1.00)</f>
        <v/>
      </c>
      <c r="O1552">
        <f>IF('Loan Tape (S&amp;P)'!T1552="Yes",
    1.35,
    1.00)</f>
        <v/>
      </c>
      <c r="P1552">
        <f>IF('Loan Tape (S&amp;P)'!S1552="Yes",
    1.15,
    1.00)</f>
        <v/>
      </c>
      <c r="Q1552">
        <f>IF('Loan Tape (S&amp;P)'!V1552="Yes",
    1.20,
    1.00)</f>
        <v/>
      </c>
      <c r="T1552">
        <f>LET(
    payment_method,'Loan Tape (S&amp;P)'!P1552,
    occupancy,'Loan Tape (S&amp;P)'!N1552,
    maturity_date,'Loan Tape (S&amp;P)'!L1552,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53">
      <c r="J1553">
        <f>LET(
    lien,'Loan Tape (S&amp;P)'!Q1553,
    IF(lien="First",1.00,
        IF(lien="Second",1.50,
            1.70)))</f>
        <v/>
      </c>
      <c r="K1553">
        <f>LET(
    purpose,'Loan Tape (S&amp;P)'!R1553,
    IF(purpose="Purchase",1.00,
        IF(purpose="Remortgage",1.00,
            1.20)))</f>
        <v/>
      </c>
      <c r="L1553">
        <f>LET(
    arrears_months,'Loan Tape (S&amp;P)'!AN1553,
    IF(arrears_months=0,1.00,
    IF(arrears_months=1,3.00,
    IF(arrears_months=2,5.00,
    IF(arrears_months=3,8.00,
    IF(arrears_months=4,10.00,
    IF(arrears_months=5,12.00,15.00)))))))</f>
        <v/>
      </c>
      <c r="M1553">
        <f>LET(
    seasoning_years,DATEDIF('Loan Tape (S&amp;P)'!K1553,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53">
        <f>IF(AND('Loan Tape (S&amp;P)'!U1553="Yes",
        'Loan Tape (S&amp;P)'!T1553&lt;&gt;"Yes",
        DATEDIF('Loan Tape (S&amp;P)'!K1553, TODAY(), "M")&lt;18),
    1.10,
    1.00)</f>
        <v/>
      </c>
      <c r="O1553">
        <f>IF('Loan Tape (S&amp;P)'!T1553="Yes",
    1.35,
    1.00)</f>
        <v/>
      </c>
      <c r="P1553">
        <f>IF('Loan Tape (S&amp;P)'!S1553="Yes",
    1.15,
    1.00)</f>
        <v/>
      </c>
      <c r="Q1553">
        <f>IF('Loan Tape (S&amp;P)'!V1553="Yes",
    1.20,
    1.00)</f>
        <v/>
      </c>
      <c r="T1553">
        <f>LET(
    payment_method,'Loan Tape (S&amp;P)'!P1553,
    occupancy,'Loan Tape (S&amp;P)'!N1553,
    maturity_date,'Loan Tape (S&amp;P)'!L1553,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54">
      <c r="J1554">
        <f>LET(
    lien,'Loan Tape (S&amp;P)'!Q1554,
    IF(lien="First",1.00,
        IF(lien="Second",1.50,
            1.70)))</f>
        <v/>
      </c>
      <c r="K1554">
        <f>LET(
    purpose,'Loan Tape (S&amp;P)'!R1554,
    IF(purpose="Purchase",1.00,
        IF(purpose="Remortgage",1.00,
            1.20)))</f>
        <v/>
      </c>
      <c r="L1554">
        <f>LET(
    arrears_months,'Loan Tape (S&amp;P)'!AN1554,
    IF(arrears_months=0,1.00,
    IF(arrears_months=1,3.00,
    IF(arrears_months=2,5.00,
    IF(arrears_months=3,8.00,
    IF(arrears_months=4,10.00,
    IF(arrears_months=5,12.00,15.00)))))))</f>
        <v/>
      </c>
      <c r="M1554">
        <f>LET(
    seasoning_years,DATEDIF('Loan Tape (S&amp;P)'!K1554,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54">
        <f>IF(AND('Loan Tape (S&amp;P)'!U1554="Yes",
        'Loan Tape (S&amp;P)'!T1554&lt;&gt;"Yes",
        DATEDIF('Loan Tape (S&amp;P)'!K1554, TODAY(), "M")&lt;18),
    1.10,
    1.00)</f>
        <v/>
      </c>
      <c r="O1554">
        <f>IF('Loan Tape (S&amp;P)'!T1554="Yes",
    1.35,
    1.00)</f>
        <v/>
      </c>
      <c r="P1554">
        <f>IF('Loan Tape (S&amp;P)'!S1554="Yes",
    1.15,
    1.00)</f>
        <v/>
      </c>
      <c r="Q1554">
        <f>IF('Loan Tape (S&amp;P)'!V1554="Yes",
    1.20,
    1.00)</f>
        <v/>
      </c>
      <c r="T1554">
        <f>LET(
    payment_method,'Loan Tape (S&amp;P)'!P1554,
    occupancy,'Loan Tape (S&amp;P)'!N1554,
    maturity_date,'Loan Tape (S&amp;P)'!L1554,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55">
      <c r="J1555">
        <f>LET(
    lien,'Loan Tape (S&amp;P)'!Q1555,
    IF(lien="First",1.00,
        IF(lien="Second",1.50,
            1.70)))</f>
        <v/>
      </c>
      <c r="K1555">
        <f>LET(
    purpose,'Loan Tape (S&amp;P)'!R1555,
    IF(purpose="Purchase",1.00,
        IF(purpose="Remortgage",1.00,
            1.20)))</f>
        <v/>
      </c>
      <c r="L1555">
        <f>LET(
    arrears_months,'Loan Tape (S&amp;P)'!AN1555,
    IF(arrears_months=0,1.00,
    IF(arrears_months=1,3.00,
    IF(arrears_months=2,5.00,
    IF(arrears_months=3,8.00,
    IF(arrears_months=4,10.00,
    IF(arrears_months=5,12.00,15.00)))))))</f>
        <v/>
      </c>
      <c r="M1555">
        <f>LET(
    seasoning_years,DATEDIF('Loan Tape (S&amp;P)'!K1555,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55">
        <f>IF(AND('Loan Tape (S&amp;P)'!U1555="Yes",
        'Loan Tape (S&amp;P)'!T1555&lt;&gt;"Yes",
        DATEDIF('Loan Tape (S&amp;P)'!K1555, TODAY(), "M")&lt;18),
    1.10,
    1.00)</f>
        <v/>
      </c>
      <c r="O1555">
        <f>IF('Loan Tape (S&amp;P)'!T1555="Yes",
    1.35,
    1.00)</f>
        <v/>
      </c>
      <c r="P1555">
        <f>IF('Loan Tape (S&amp;P)'!S1555="Yes",
    1.15,
    1.00)</f>
        <v/>
      </c>
      <c r="Q1555">
        <f>IF('Loan Tape (S&amp;P)'!V1555="Yes",
    1.20,
    1.00)</f>
        <v/>
      </c>
      <c r="T1555">
        <f>LET(
    payment_method,'Loan Tape (S&amp;P)'!P1555,
    occupancy,'Loan Tape (S&amp;P)'!N1555,
    maturity_date,'Loan Tape (S&amp;P)'!L1555,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56">
      <c r="J1556">
        <f>LET(
    lien,'Loan Tape (S&amp;P)'!Q1556,
    IF(lien="First",1.00,
        IF(lien="Second",1.50,
            1.70)))</f>
        <v/>
      </c>
      <c r="K1556">
        <f>LET(
    purpose,'Loan Tape (S&amp;P)'!R1556,
    IF(purpose="Purchase",1.00,
        IF(purpose="Remortgage",1.00,
            1.20)))</f>
        <v/>
      </c>
      <c r="L1556">
        <f>LET(
    arrears_months,'Loan Tape (S&amp;P)'!AN1556,
    IF(arrears_months=0,1.00,
    IF(arrears_months=1,3.00,
    IF(arrears_months=2,5.00,
    IF(arrears_months=3,8.00,
    IF(arrears_months=4,10.00,
    IF(arrears_months=5,12.00,15.00)))))))</f>
        <v/>
      </c>
      <c r="M1556">
        <f>LET(
    seasoning_years,DATEDIF('Loan Tape (S&amp;P)'!K1556,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56">
        <f>IF(AND('Loan Tape (S&amp;P)'!U1556="Yes",
        'Loan Tape (S&amp;P)'!T1556&lt;&gt;"Yes",
        DATEDIF('Loan Tape (S&amp;P)'!K1556, TODAY(), "M")&lt;18),
    1.10,
    1.00)</f>
        <v/>
      </c>
      <c r="O1556">
        <f>IF('Loan Tape (S&amp;P)'!T1556="Yes",
    1.35,
    1.00)</f>
        <v/>
      </c>
      <c r="P1556">
        <f>IF('Loan Tape (S&amp;P)'!S1556="Yes",
    1.15,
    1.00)</f>
        <v/>
      </c>
      <c r="Q1556">
        <f>IF('Loan Tape (S&amp;P)'!V1556="Yes",
    1.20,
    1.00)</f>
        <v/>
      </c>
      <c r="T1556">
        <f>LET(
    payment_method,'Loan Tape (S&amp;P)'!P1556,
    occupancy,'Loan Tape (S&amp;P)'!N1556,
    maturity_date,'Loan Tape (S&amp;P)'!L1556,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57">
      <c r="J1557">
        <f>LET(
    lien,'Loan Tape (S&amp;P)'!Q1557,
    IF(lien="First",1.00,
        IF(lien="Second",1.50,
            1.70)))</f>
        <v/>
      </c>
      <c r="K1557">
        <f>LET(
    purpose,'Loan Tape (S&amp;P)'!R1557,
    IF(purpose="Purchase",1.00,
        IF(purpose="Remortgage",1.00,
            1.20)))</f>
        <v/>
      </c>
      <c r="L1557">
        <f>LET(
    arrears_months,'Loan Tape (S&amp;P)'!AN1557,
    IF(arrears_months=0,1.00,
    IF(arrears_months=1,3.00,
    IF(arrears_months=2,5.00,
    IF(arrears_months=3,8.00,
    IF(arrears_months=4,10.00,
    IF(arrears_months=5,12.00,15.00)))))))</f>
        <v/>
      </c>
      <c r="M1557">
        <f>LET(
    seasoning_years,DATEDIF('Loan Tape (S&amp;P)'!K1557,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57">
        <f>IF(AND('Loan Tape (S&amp;P)'!U1557="Yes",
        'Loan Tape (S&amp;P)'!T1557&lt;&gt;"Yes",
        DATEDIF('Loan Tape (S&amp;P)'!K1557, TODAY(), "M")&lt;18),
    1.10,
    1.00)</f>
        <v/>
      </c>
      <c r="O1557">
        <f>IF('Loan Tape (S&amp;P)'!T1557="Yes",
    1.35,
    1.00)</f>
        <v/>
      </c>
      <c r="P1557">
        <f>IF('Loan Tape (S&amp;P)'!S1557="Yes",
    1.15,
    1.00)</f>
        <v/>
      </c>
      <c r="Q1557">
        <f>IF('Loan Tape (S&amp;P)'!V1557="Yes",
    1.20,
    1.00)</f>
        <v/>
      </c>
      <c r="T1557">
        <f>LET(
    payment_method,'Loan Tape (S&amp;P)'!P1557,
    occupancy,'Loan Tape (S&amp;P)'!N1557,
    maturity_date,'Loan Tape (S&amp;P)'!L1557,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58">
      <c r="J1558">
        <f>LET(
    lien,'Loan Tape (S&amp;P)'!Q1558,
    IF(lien="First",1.00,
        IF(lien="Second",1.50,
            1.70)))</f>
        <v/>
      </c>
      <c r="K1558">
        <f>LET(
    purpose,'Loan Tape (S&amp;P)'!R1558,
    IF(purpose="Purchase",1.00,
        IF(purpose="Remortgage",1.00,
            1.20)))</f>
        <v/>
      </c>
      <c r="L1558">
        <f>LET(
    arrears_months,'Loan Tape (S&amp;P)'!AN1558,
    IF(arrears_months=0,1.00,
    IF(arrears_months=1,3.00,
    IF(arrears_months=2,5.00,
    IF(arrears_months=3,8.00,
    IF(arrears_months=4,10.00,
    IF(arrears_months=5,12.00,15.00)))))))</f>
        <v/>
      </c>
      <c r="M1558">
        <f>LET(
    seasoning_years,DATEDIF('Loan Tape (S&amp;P)'!K1558,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58">
        <f>IF(AND('Loan Tape (S&amp;P)'!U1558="Yes",
        'Loan Tape (S&amp;P)'!T1558&lt;&gt;"Yes",
        DATEDIF('Loan Tape (S&amp;P)'!K1558, TODAY(), "M")&lt;18),
    1.10,
    1.00)</f>
        <v/>
      </c>
      <c r="O1558">
        <f>IF('Loan Tape (S&amp;P)'!T1558="Yes",
    1.35,
    1.00)</f>
        <v/>
      </c>
      <c r="P1558">
        <f>IF('Loan Tape (S&amp;P)'!S1558="Yes",
    1.15,
    1.00)</f>
        <v/>
      </c>
      <c r="Q1558">
        <f>IF('Loan Tape (S&amp;P)'!V1558="Yes",
    1.20,
    1.00)</f>
        <v/>
      </c>
      <c r="T1558">
        <f>LET(
    payment_method,'Loan Tape (S&amp;P)'!P1558,
    occupancy,'Loan Tape (S&amp;P)'!N1558,
    maturity_date,'Loan Tape (S&amp;P)'!L1558,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59">
      <c r="J1559">
        <f>LET(
    lien,'Loan Tape (S&amp;P)'!Q1559,
    IF(lien="First",1.00,
        IF(lien="Second",1.50,
            1.70)))</f>
        <v/>
      </c>
      <c r="K1559">
        <f>LET(
    purpose,'Loan Tape (S&amp;P)'!R1559,
    IF(purpose="Purchase",1.00,
        IF(purpose="Remortgage",1.00,
            1.20)))</f>
        <v/>
      </c>
      <c r="L1559">
        <f>LET(
    arrears_months,'Loan Tape (S&amp;P)'!AN1559,
    IF(arrears_months=0,1.00,
    IF(arrears_months=1,3.00,
    IF(arrears_months=2,5.00,
    IF(arrears_months=3,8.00,
    IF(arrears_months=4,10.00,
    IF(arrears_months=5,12.00,15.00)))))))</f>
        <v/>
      </c>
      <c r="M1559">
        <f>LET(
    seasoning_years,DATEDIF('Loan Tape (S&amp;P)'!K1559,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59">
        <f>IF(AND('Loan Tape (S&amp;P)'!U1559="Yes",
        'Loan Tape (S&amp;P)'!T1559&lt;&gt;"Yes",
        DATEDIF('Loan Tape (S&amp;P)'!K1559, TODAY(), "M")&lt;18),
    1.10,
    1.00)</f>
        <v/>
      </c>
      <c r="O1559">
        <f>IF('Loan Tape (S&amp;P)'!T1559="Yes",
    1.35,
    1.00)</f>
        <v/>
      </c>
      <c r="P1559">
        <f>IF('Loan Tape (S&amp;P)'!S1559="Yes",
    1.15,
    1.00)</f>
        <v/>
      </c>
      <c r="Q1559">
        <f>IF('Loan Tape (S&amp;P)'!V1559="Yes",
    1.20,
    1.00)</f>
        <v/>
      </c>
      <c r="T1559">
        <f>LET(
    payment_method,'Loan Tape (S&amp;P)'!P1559,
    occupancy,'Loan Tape (S&amp;P)'!N1559,
    maturity_date,'Loan Tape (S&amp;P)'!L1559,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60">
      <c r="J1560">
        <f>LET(
    lien,'Loan Tape (S&amp;P)'!Q1560,
    IF(lien="First",1.00,
        IF(lien="Second",1.50,
            1.70)))</f>
        <v/>
      </c>
      <c r="K1560">
        <f>LET(
    purpose,'Loan Tape (S&amp;P)'!R1560,
    IF(purpose="Purchase",1.00,
        IF(purpose="Remortgage",1.00,
            1.20)))</f>
        <v/>
      </c>
      <c r="L1560">
        <f>LET(
    arrears_months,'Loan Tape (S&amp;P)'!AN1560,
    IF(arrears_months=0,1.00,
    IF(arrears_months=1,3.00,
    IF(arrears_months=2,5.00,
    IF(arrears_months=3,8.00,
    IF(arrears_months=4,10.00,
    IF(arrears_months=5,12.00,15.00)))))))</f>
        <v/>
      </c>
      <c r="M1560">
        <f>LET(
    seasoning_years,DATEDIF('Loan Tape (S&amp;P)'!K1560,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60">
        <f>IF(AND('Loan Tape (S&amp;P)'!U1560="Yes",
        'Loan Tape (S&amp;P)'!T1560&lt;&gt;"Yes",
        DATEDIF('Loan Tape (S&amp;P)'!K1560, TODAY(), "M")&lt;18),
    1.10,
    1.00)</f>
        <v/>
      </c>
      <c r="O1560">
        <f>IF('Loan Tape (S&amp;P)'!T1560="Yes",
    1.35,
    1.00)</f>
        <v/>
      </c>
      <c r="P1560">
        <f>IF('Loan Tape (S&amp;P)'!S1560="Yes",
    1.15,
    1.00)</f>
        <v/>
      </c>
      <c r="Q1560">
        <f>IF('Loan Tape (S&amp;P)'!V1560="Yes",
    1.20,
    1.00)</f>
        <v/>
      </c>
      <c r="T1560">
        <f>LET(
    payment_method,'Loan Tape (S&amp;P)'!P1560,
    occupancy,'Loan Tape (S&amp;P)'!N1560,
    maturity_date,'Loan Tape (S&amp;P)'!L1560,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61">
      <c r="J1561">
        <f>LET(
    lien,'Loan Tape (S&amp;P)'!Q1561,
    IF(lien="First",1.00,
        IF(lien="Second",1.50,
            1.70)))</f>
        <v/>
      </c>
      <c r="K1561">
        <f>LET(
    purpose,'Loan Tape (S&amp;P)'!R1561,
    IF(purpose="Purchase",1.00,
        IF(purpose="Remortgage",1.00,
            1.20)))</f>
        <v/>
      </c>
      <c r="L1561">
        <f>LET(
    arrears_months,'Loan Tape (S&amp;P)'!AN1561,
    IF(arrears_months=0,1.00,
    IF(arrears_months=1,3.00,
    IF(arrears_months=2,5.00,
    IF(arrears_months=3,8.00,
    IF(arrears_months=4,10.00,
    IF(arrears_months=5,12.00,15.00)))))))</f>
        <v/>
      </c>
      <c r="M1561">
        <f>LET(
    seasoning_years,DATEDIF('Loan Tape (S&amp;P)'!K1561,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61">
        <f>IF(AND('Loan Tape (S&amp;P)'!U1561="Yes",
        'Loan Tape (S&amp;P)'!T1561&lt;&gt;"Yes",
        DATEDIF('Loan Tape (S&amp;P)'!K1561, TODAY(), "M")&lt;18),
    1.10,
    1.00)</f>
        <v/>
      </c>
      <c r="O1561">
        <f>IF('Loan Tape (S&amp;P)'!T1561="Yes",
    1.35,
    1.00)</f>
        <v/>
      </c>
      <c r="P1561">
        <f>IF('Loan Tape (S&amp;P)'!S1561="Yes",
    1.15,
    1.00)</f>
        <v/>
      </c>
      <c r="Q1561">
        <f>IF('Loan Tape (S&amp;P)'!V1561="Yes",
    1.20,
    1.00)</f>
        <v/>
      </c>
      <c r="T1561">
        <f>LET(
    payment_method,'Loan Tape (S&amp;P)'!P1561,
    occupancy,'Loan Tape (S&amp;P)'!N1561,
    maturity_date,'Loan Tape (S&amp;P)'!L1561,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62">
      <c r="J1562">
        <f>LET(
    lien,'Loan Tape (S&amp;P)'!Q1562,
    IF(lien="First",1.00,
        IF(lien="Second",1.50,
            1.70)))</f>
        <v/>
      </c>
      <c r="K1562">
        <f>LET(
    purpose,'Loan Tape (S&amp;P)'!R1562,
    IF(purpose="Purchase",1.00,
        IF(purpose="Remortgage",1.00,
            1.20)))</f>
        <v/>
      </c>
      <c r="L1562">
        <f>LET(
    arrears_months,'Loan Tape (S&amp;P)'!AN1562,
    IF(arrears_months=0,1.00,
    IF(arrears_months=1,3.00,
    IF(arrears_months=2,5.00,
    IF(arrears_months=3,8.00,
    IF(arrears_months=4,10.00,
    IF(arrears_months=5,12.00,15.00)))))))</f>
        <v/>
      </c>
      <c r="M1562">
        <f>LET(
    seasoning_years,DATEDIF('Loan Tape (S&amp;P)'!K1562,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62">
        <f>IF(AND('Loan Tape (S&amp;P)'!U1562="Yes",
        'Loan Tape (S&amp;P)'!T1562&lt;&gt;"Yes",
        DATEDIF('Loan Tape (S&amp;P)'!K1562, TODAY(), "M")&lt;18),
    1.10,
    1.00)</f>
        <v/>
      </c>
      <c r="O1562">
        <f>IF('Loan Tape (S&amp;P)'!T1562="Yes",
    1.35,
    1.00)</f>
        <v/>
      </c>
      <c r="P1562">
        <f>IF('Loan Tape (S&amp;P)'!S1562="Yes",
    1.15,
    1.00)</f>
        <v/>
      </c>
      <c r="Q1562">
        <f>IF('Loan Tape (S&amp;P)'!V1562="Yes",
    1.20,
    1.00)</f>
        <v/>
      </c>
      <c r="T1562">
        <f>LET(
    payment_method,'Loan Tape (S&amp;P)'!P1562,
    occupancy,'Loan Tape (S&amp;P)'!N1562,
    maturity_date,'Loan Tape (S&amp;P)'!L1562,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63">
      <c r="J1563">
        <f>LET(
    lien,'Loan Tape (S&amp;P)'!Q1563,
    IF(lien="First",1.00,
        IF(lien="Second",1.50,
            1.70)))</f>
        <v/>
      </c>
      <c r="K1563">
        <f>LET(
    purpose,'Loan Tape (S&amp;P)'!R1563,
    IF(purpose="Purchase",1.00,
        IF(purpose="Remortgage",1.00,
            1.20)))</f>
        <v/>
      </c>
      <c r="L1563">
        <f>LET(
    arrears_months,'Loan Tape (S&amp;P)'!AN1563,
    IF(arrears_months=0,1.00,
    IF(arrears_months=1,3.00,
    IF(arrears_months=2,5.00,
    IF(arrears_months=3,8.00,
    IF(arrears_months=4,10.00,
    IF(arrears_months=5,12.00,15.00)))))))</f>
        <v/>
      </c>
      <c r="M1563">
        <f>LET(
    seasoning_years,DATEDIF('Loan Tape (S&amp;P)'!K1563,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63">
        <f>IF(AND('Loan Tape (S&amp;P)'!U1563="Yes",
        'Loan Tape (S&amp;P)'!T1563&lt;&gt;"Yes",
        DATEDIF('Loan Tape (S&amp;P)'!K1563, TODAY(), "M")&lt;18),
    1.10,
    1.00)</f>
        <v/>
      </c>
      <c r="O1563">
        <f>IF('Loan Tape (S&amp;P)'!T1563="Yes",
    1.35,
    1.00)</f>
        <v/>
      </c>
      <c r="P1563">
        <f>IF('Loan Tape (S&amp;P)'!S1563="Yes",
    1.15,
    1.00)</f>
        <v/>
      </c>
      <c r="Q1563">
        <f>IF('Loan Tape (S&amp;P)'!V1563="Yes",
    1.20,
    1.00)</f>
        <v/>
      </c>
      <c r="T1563">
        <f>LET(
    payment_method,'Loan Tape (S&amp;P)'!P1563,
    occupancy,'Loan Tape (S&amp;P)'!N1563,
    maturity_date,'Loan Tape (S&amp;P)'!L1563,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64">
      <c r="J1564">
        <f>LET(
    lien,'Loan Tape (S&amp;P)'!Q1564,
    IF(lien="First",1.00,
        IF(lien="Second",1.50,
            1.70)))</f>
        <v/>
      </c>
      <c r="K1564">
        <f>LET(
    purpose,'Loan Tape (S&amp;P)'!R1564,
    IF(purpose="Purchase",1.00,
        IF(purpose="Remortgage",1.00,
            1.20)))</f>
        <v/>
      </c>
      <c r="L1564">
        <f>LET(
    arrears_months,'Loan Tape (S&amp;P)'!AN1564,
    IF(arrears_months=0,1.00,
    IF(arrears_months=1,3.00,
    IF(arrears_months=2,5.00,
    IF(arrears_months=3,8.00,
    IF(arrears_months=4,10.00,
    IF(arrears_months=5,12.00,15.00)))))))</f>
        <v/>
      </c>
      <c r="M1564">
        <f>LET(
    seasoning_years,DATEDIF('Loan Tape (S&amp;P)'!K1564,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64">
        <f>IF(AND('Loan Tape (S&amp;P)'!U1564="Yes",
        'Loan Tape (S&amp;P)'!T1564&lt;&gt;"Yes",
        DATEDIF('Loan Tape (S&amp;P)'!K1564, TODAY(), "M")&lt;18),
    1.10,
    1.00)</f>
        <v/>
      </c>
      <c r="O1564">
        <f>IF('Loan Tape (S&amp;P)'!T1564="Yes",
    1.35,
    1.00)</f>
        <v/>
      </c>
      <c r="P1564">
        <f>IF('Loan Tape (S&amp;P)'!S1564="Yes",
    1.15,
    1.00)</f>
        <v/>
      </c>
      <c r="Q1564">
        <f>IF('Loan Tape (S&amp;P)'!V1564="Yes",
    1.20,
    1.00)</f>
        <v/>
      </c>
      <c r="T1564">
        <f>LET(
    payment_method,'Loan Tape (S&amp;P)'!P1564,
    occupancy,'Loan Tape (S&amp;P)'!N1564,
    maturity_date,'Loan Tape (S&amp;P)'!L1564,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65">
      <c r="J1565">
        <f>LET(
    lien,'Loan Tape (S&amp;P)'!Q1565,
    IF(lien="First",1.00,
        IF(lien="Second",1.50,
            1.70)))</f>
        <v/>
      </c>
      <c r="K1565">
        <f>LET(
    purpose,'Loan Tape (S&amp;P)'!R1565,
    IF(purpose="Purchase",1.00,
        IF(purpose="Remortgage",1.00,
            1.20)))</f>
        <v/>
      </c>
      <c r="L1565">
        <f>LET(
    arrears_months,'Loan Tape (S&amp;P)'!AN1565,
    IF(arrears_months=0,1.00,
    IF(arrears_months=1,3.00,
    IF(arrears_months=2,5.00,
    IF(arrears_months=3,8.00,
    IF(arrears_months=4,10.00,
    IF(arrears_months=5,12.00,15.00)))))))</f>
        <v/>
      </c>
      <c r="M1565">
        <f>LET(
    seasoning_years,DATEDIF('Loan Tape (S&amp;P)'!K1565,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65">
        <f>IF(AND('Loan Tape (S&amp;P)'!U1565="Yes",
        'Loan Tape (S&amp;P)'!T1565&lt;&gt;"Yes",
        DATEDIF('Loan Tape (S&amp;P)'!K1565, TODAY(), "M")&lt;18),
    1.10,
    1.00)</f>
        <v/>
      </c>
      <c r="O1565">
        <f>IF('Loan Tape (S&amp;P)'!T1565="Yes",
    1.35,
    1.00)</f>
        <v/>
      </c>
      <c r="P1565">
        <f>IF('Loan Tape (S&amp;P)'!S1565="Yes",
    1.15,
    1.00)</f>
        <v/>
      </c>
      <c r="Q1565">
        <f>IF('Loan Tape (S&amp;P)'!V1565="Yes",
    1.20,
    1.00)</f>
        <v/>
      </c>
      <c r="T1565">
        <f>LET(
    payment_method,'Loan Tape (S&amp;P)'!P1565,
    occupancy,'Loan Tape (S&amp;P)'!N1565,
    maturity_date,'Loan Tape (S&amp;P)'!L1565,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66">
      <c r="J1566">
        <f>LET(
    lien,'Loan Tape (S&amp;P)'!Q1566,
    IF(lien="First",1.00,
        IF(lien="Second",1.50,
            1.70)))</f>
        <v/>
      </c>
      <c r="K1566">
        <f>LET(
    purpose,'Loan Tape (S&amp;P)'!R1566,
    IF(purpose="Purchase",1.00,
        IF(purpose="Remortgage",1.00,
            1.20)))</f>
        <v/>
      </c>
      <c r="L1566">
        <f>LET(
    arrears_months,'Loan Tape (S&amp;P)'!AN1566,
    IF(arrears_months=0,1.00,
    IF(arrears_months=1,3.00,
    IF(arrears_months=2,5.00,
    IF(arrears_months=3,8.00,
    IF(arrears_months=4,10.00,
    IF(arrears_months=5,12.00,15.00)))))))</f>
        <v/>
      </c>
      <c r="M1566">
        <f>LET(
    seasoning_years,DATEDIF('Loan Tape (S&amp;P)'!K1566,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66">
        <f>IF(AND('Loan Tape (S&amp;P)'!U1566="Yes",
        'Loan Tape (S&amp;P)'!T1566&lt;&gt;"Yes",
        DATEDIF('Loan Tape (S&amp;P)'!K1566, TODAY(), "M")&lt;18),
    1.10,
    1.00)</f>
        <v/>
      </c>
      <c r="O1566">
        <f>IF('Loan Tape (S&amp;P)'!T1566="Yes",
    1.35,
    1.00)</f>
        <v/>
      </c>
      <c r="P1566">
        <f>IF('Loan Tape (S&amp;P)'!S1566="Yes",
    1.15,
    1.00)</f>
        <v/>
      </c>
      <c r="Q1566">
        <f>IF('Loan Tape (S&amp;P)'!V1566="Yes",
    1.20,
    1.00)</f>
        <v/>
      </c>
      <c r="T1566">
        <f>LET(
    payment_method,'Loan Tape (S&amp;P)'!P1566,
    occupancy,'Loan Tape (S&amp;P)'!N1566,
    maturity_date,'Loan Tape (S&amp;P)'!L1566,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67">
      <c r="J1567">
        <f>LET(
    lien,'Loan Tape (S&amp;P)'!Q1567,
    IF(lien="First",1.00,
        IF(lien="Second",1.50,
            1.70)))</f>
        <v/>
      </c>
      <c r="K1567">
        <f>LET(
    purpose,'Loan Tape (S&amp;P)'!R1567,
    IF(purpose="Purchase",1.00,
        IF(purpose="Remortgage",1.00,
            1.20)))</f>
        <v/>
      </c>
      <c r="L1567">
        <f>LET(
    arrears_months,'Loan Tape (S&amp;P)'!AN1567,
    IF(arrears_months=0,1.00,
    IF(arrears_months=1,3.00,
    IF(arrears_months=2,5.00,
    IF(arrears_months=3,8.00,
    IF(arrears_months=4,10.00,
    IF(arrears_months=5,12.00,15.00)))))))</f>
        <v/>
      </c>
      <c r="M1567">
        <f>LET(
    seasoning_years,DATEDIF('Loan Tape (S&amp;P)'!K1567,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67">
        <f>IF(AND('Loan Tape (S&amp;P)'!U1567="Yes",
        'Loan Tape (S&amp;P)'!T1567&lt;&gt;"Yes",
        DATEDIF('Loan Tape (S&amp;P)'!K1567, TODAY(), "M")&lt;18),
    1.10,
    1.00)</f>
        <v/>
      </c>
      <c r="O1567">
        <f>IF('Loan Tape (S&amp;P)'!T1567="Yes",
    1.35,
    1.00)</f>
        <v/>
      </c>
      <c r="P1567">
        <f>IF('Loan Tape (S&amp;P)'!S1567="Yes",
    1.15,
    1.00)</f>
        <v/>
      </c>
      <c r="Q1567">
        <f>IF('Loan Tape (S&amp;P)'!V1567="Yes",
    1.20,
    1.00)</f>
        <v/>
      </c>
      <c r="T1567">
        <f>LET(
    payment_method,'Loan Tape (S&amp;P)'!P1567,
    occupancy,'Loan Tape (S&amp;P)'!N1567,
    maturity_date,'Loan Tape (S&amp;P)'!L1567,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68">
      <c r="J1568">
        <f>LET(
    lien,'Loan Tape (S&amp;P)'!Q1568,
    IF(lien="First",1.00,
        IF(lien="Second",1.50,
            1.70)))</f>
        <v/>
      </c>
      <c r="K1568">
        <f>LET(
    purpose,'Loan Tape (S&amp;P)'!R1568,
    IF(purpose="Purchase",1.00,
        IF(purpose="Remortgage",1.00,
            1.20)))</f>
        <v/>
      </c>
      <c r="L1568">
        <f>LET(
    arrears_months,'Loan Tape (S&amp;P)'!AN1568,
    IF(arrears_months=0,1.00,
    IF(arrears_months=1,3.00,
    IF(arrears_months=2,5.00,
    IF(arrears_months=3,8.00,
    IF(arrears_months=4,10.00,
    IF(arrears_months=5,12.00,15.00)))))))</f>
        <v/>
      </c>
      <c r="M1568">
        <f>LET(
    seasoning_years,DATEDIF('Loan Tape (S&amp;P)'!K1568,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68">
        <f>IF(AND('Loan Tape (S&amp;P)'!U1568="Yes",
        'Loan Tape (S&amp;P)'!T1568&lt;&gt;"Yes",
        DATEDIF('Loan Tape (S&amp;P)'!K1568, TODAY(), "M")&lt;18),
    1.10,
    1.00)</f>
        <v/>
      </c>
      <c r="O1568">
        <f>IF('Loan Tape (S&amp;P)'!T1568="Yes",
    1.35,
    1.00)</f>
        <v/>
      </c>
      <c r="P1568">
        <f>IF('Loan Tape (S&amp;P)'!S1568="Yes",
    1.15,
    1.00)</f>
        <v/>
      </c>
      <c r="Q1568">
        <f>IF('Loan Tape (S&amp;P)'!V1568="Yes",
    1.20,
    1.00)</f>
        <v/>
      </c>
      <c r="T1568">
        <f>LET(
    payment_method,'Loan Tape (S&amp;P)'!P1568,
    occupancy,'Loan Tape (S&amp;P)'!N1568,
    maturity_date,'Loan Tape (S&amp;P)'!L1568,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69">
      <c r="J1569">
        <f>LET(
    lien,'Loan Tape (S&amp;P)'!Q1569,
    IF(lien="First",1.00,
        IF(lien="Second",1.50,
            1.70)))</f>
        <v/>
      </c>
      <c r="K1569">
        <f>LET(
    purpose,'Loan Tape (S&amp;P)'!R1569,
    IF(purpose="Purchase",1.00,
        IF(purpose="Remortgage",1.00,
            1.20)))</f>
        <v/>
      </c>
      <c r="L1569">
        <f>LET(
    arrears_months,'Loan Tape (S&amp;P)'!AN1569,
    IF(arrears_months=0,1.00,
    IF(arrears_months=1,3.00,
    IF(arrears_months=2,5.00,
    IF(arrears_months=3,8.00,
    IF(arrears_months=4,10.00,
    IF(arrears_months=5,12.00,15.00)))))))</f>
        <v/>
      </c>
      <c r="M1569">
        <f>LET(
    seasoning_years,DATEDIF('Loan Tape (S&amp;P)'!K1569,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69">
        <f>IF(AND('Loan Tape (S&amp;P)'!U1569="Yes",
        'Loan Tape (S&amp;P)'!T1569&lt;&gt;"Yes",
        DATEDIF('Loan Tape (S&amp;P)'!K1569, TODAY(), "M")&lt;18),
    1.10,
    1.00)</f>
        <v/>
      </c>
      <c r="O1569">
        <f>IF('Loan Tape (S&amp;P)'!T1569="Yes",
    1.35,
    1.00)</f>
        <v/>
      </c>
      <c r="P1569">
        <f>IF('Loan Tape (S&amp;P)'!S1569="Yes",
    1.15,
    1.00)</f>
        <v/>
      </c>
      <c r="Q1569">
        <f>IF('Loan Tape (S&amp;P)'!V1569="Yes",
    1.20,
    1.00)</f>
        <v/>
      </c>
      <c r="T1569">
        <f>LET(
    payment_method,'Loan Tape (S&amp;P)'!P1569,
    occupancy,'Loan Tape (S&amp;P)'!N1569,
    maturity_date,'Loan Tape (S&amp;P)'!L1569,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70">
      <c r="J1570">
        <f>LET(
    lien,'Loan Tape (S&amp;P)'!Q1570,
    IF(lien="First",1.00,
        IF(lien="Second",1.50,
            1.70)))</f>
        <v/>
      </c>
      <c r="K1570">
        <f>LET(
    purpose,'Loan Tape (S&amp;P)'!R1570,
    IF(purpose="Purchase",1.00,
        IF(purpose="Remortgage",1.00,
            1.20)))</f>
        <v/>
      </c>
      <c r="L1570">
        <f>LET(
    arrears_months,'Loan Tape (S&amp;P)'!AN1570,
    IF(arrears_months=0,1.00,
    IF(arrears_months=1,3.00,
    IF(arrears_months=2,5.00,
    IF(arrears_months=3,8.00,
    IF(arrears_months=4,10.00,
    IF(arrears_months=5,12.00,15.00)))))))</f>
        <v/>
      </c>
      <c r="M1570">
        <f>LET(
    seasoning_years,DATEDIF('Loan Tape (S&amp;P)'!K1570,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70">
        <f>IF(AND('Loan Tape (S&amp;P)'!U1570="Yes",
        'Loan Tape (S&amp;P)'!T1570&lt;&gt;"Yes",
        DATEDIF('Loan Tape (S&amp;P)'!K1570, TODAY(), "M")&lt;18),
    1.10,
    1.00)</f>
        <v/>
      </c>
      <c r="O1570">
        <f>IF('Loan Tape (S&amp;P)'!T1570="Yes",
    1.35,
    1.00)</f>
        <v/>
      </c>
      <c r="P1570">
        <f>IF('Loan Tape (S&amp;P)'!S1570="Yes",
    1.15,
    1.00)</f>
        <v/>
      </c>
      <c r="Q1570">
        <f>IF('Loan Tape (S&amp;P)'!V1570="Yes",
    1.20,
    1.00)</f>
        <v/>
      </c>
      <c r="T1570">
        <f>LET(
    payment_method,'Loan Tape (S&amp;P)'!P1570,
    occupancy,'Loan Tape (S&amp;P)'!N1570,
    maturity_date,'Loan Tape (S&amp;P)'!L1570,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71">
      <c r="J1571">
        <f>LET(
    lien,'Loan Tape (S&amp;P)'!Q1571,
    IF(lien="First",1.00,
        IF(lien="Second",1.50,
            1.70)))</f>
        <v/>
      </c>
      <c r="K1571">
        <f>LET(
    purpose,'Loan Tape (S&amp;P)'!R1571,
    IF(purpose="Purchase",1.00,
        IF(purpose="Remortgage",1.00,
            1.20)))</f>
        <v/>
      </c>
      <c r="L1571">
        <f>LET(
    arrears_months,'Loan Tape (S&amp;P)'!AN1571,
    IF(arrears_months=0,1.00,
    IF(arrears_months=1,3.00,
    IF(arrears_months=2,5.00,
    IF(arrears_months=3,8.00,
    IF(arrears_months=4,10.00,
    IF(arrears_months=5,12.00,15.00)))))))</f>
        <v/>
      </c>
      <c r="M1571">
        <f>LET(
    seasoning_years,DATEDIF('Loan Tape (S&amp;P)'!K1571,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71">
        <f>IF(AND('Loan Tape (S&amp;P)'!U1571="Yes",
        'Loan Tape (S&amp;P)'!T1571&lt;&gt;"Yes",
        DATEDIF('Loan Tape (S&amp;P)'!K1571, TODAY(), "M")&lt;18),
    1.10,
    1.00)</f>
        <v/>
      </c>
      <c r="O1571">
        <f>IF('Loan Tape (S&amp;P)'!T1571="Yes",
    1.35,
    1.00)</f>
        <v/>
      </c>
      <c r="P1571">
        <f>IF('Loan Tape (S&amp;P)'!S1571="Yes",
    1.15,
    1.00)</f>
        <v/>
      </c>
      <c r="Q1571">
        <f>IF('Loan Tape (S&amp;P)'!V1571="Yes",
    1.20,
    1.00)</f>
        <v/>
      </c>
      <c r="T1571">
        <f>LET(
    payment_method,'Loan Tape (S&amp;P)'!P1571,
    occupancy,'Loan Tape (S&amp;P)'!N1571,
    maturity_date,'Loan Tape (S&amp;P)'!L1571,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72">
      <c r="J1572">
        <f>LET(
    lien,'Loan Tape (S&amp;P)'!Q1572,
    IF(lien="First",1.00,
        IF(lien="Second",1.50,
            1.70)))</f>
        <v/>
      </c>
      <c r="K1572">
        <f>LET(
    purpose,'Loan Tape (S&amp;P)'!R1572,
    IF(purpose="Purchase",1.00,
        IF(purpose="Remortgage",1.00,
            1.20)))</f>
        <v/>
      </c>
      <c r="L1572">
        <f>LET(
    arrears_months,'Loan Tape (S&amp;P)'!AN1572,
    IF(arrears_months=0,1.00,
    IF(arrears_months=1,3.00,
    IF(arrears_months=2,5.00,
    IF(arrears_months=3,8.00,
    IF(arrears_months=4,10.00,
    IF(arrears_months=5,12.00,15.00)))))))</f>
        <v/>
      </c>
      <c r="M1572">
        <f>LET(
    seasoning_years,DATEDIF('Loan Tape (S&amp;P)'!K1572,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72">
        <f>IF(AND('Loan Tape (S&amp;P)'!U1572="Yes",
        'Loan Tape (S&amp;P)'!T1572&lt;&gt;"Yes",
        DATEDIF('Loan Tape (S&amp;P)'!K1572, TODAY(), "M")&lt;18),
    1.10,
    1.00)</f>
        <v/>
      </c>
      <c r="O1572">
        <f>IF('Loan Tape (S&amp;P)'!T1572="Yes",
    1.35,
    1.00)</f>
        <v/>
      </c>
      <c r="P1572">
        <f>IF('Loan Tape (S&amp;P)'!S1572="Yes",
    1.15,
    1.00)</f>
        <v/>
      </c>
      <c r="Q1572">
        <f>IF('Loan Tape (S&amp;P)'!V1572="Yes",
    1.20,
    1.00)</f>
        <v/>
      </c>
      <c r="T1572">
        <f>LET(
    payment_method,'Loan Tape (S&amp;P)'!P1572,
    occupancy,'Loan Tape (S&amp;P)'!N1572,
    maturity_date,'Loan Tape (S&amp;P)'!L1572,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73">
      <c r="J1573">
        <f>LET(
    lien,'Loan Tape (S&amp;P)'!Q1573,
    IF(lien="First",1.00,
        IF(lien="Second",1.50,
            1.70)))</f>
        <v/>
      </c>
      <c r="K1573">
        <f>LET(
    purpose,'Loan Tape (S&amp;P)'!R1573,
    IF(purpose="Purchase",1.00,
        IF(purpose="Remortgage",1.00,
            1.20)))</f>
        <v/>
      </c>
      <c r="L1573">
        <f>LET(
    arrears_months,'Loan Tape (S&amp;P)'!AN1573,
    IF(arrears_months=0,1.00,
    IF(arrears_months=1,3.00,
    IF(arrears_months=2,5.00,
    IF(arrears_months=3,8.00,
    IF(arrears_months=4,10.00,
    IF(arrears_months=5,12.00,15.00)))))))</f>
        <v/>
      </c>
      <c r="M1573">
        <f>LET(
    seasoning_years,DATEDIF('Loan Tape (S&amp;P)'!K1573,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73">
        <f>IF(AND('Loan Tape (S&amp;P)'!U1573="Yes",
        'Loan Tape (S&amp;P)'!T1573&lt;&gt;"Yes",
        DATEDIF('Loan Tape (S&amp;P)'!K1573, TODAY(), "M")&lt;18),
    1.10,
    1.00)</f>
        <v/>
      </c>
      <c r="O1573">
        <f>IF('Loan Tape (S&amp;P)'!T1573="Yes",
    1.35,
    1.00)</f>
        <v/>
      </c>
      <c r="P1573">
        <f>IF('Loan Tape (S&amp;P)'!S1573="Yes",
    1.15,
    1.00)</f>
        <v/>
      </c>
      <c r="Q1573">
        <f>IF('Loan Tape (S&amp;P)'!V1573="Yes",
    1.20,
    1.00)</f>
        <v/>
      </c>
      <c r="T1573">
        <f>LET(
    payment_method,'Loan Tape (S&amp;P)'!P1573,
    occupancy,'Loan Tape (S&amp;P)'!N1573,
    maturity_date,'Loan Tape (S&amp;P)'!L1573,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74">
      <c r="J1574">
        <f>LET(
    lien,'Loan Tape (S&amp;P)'!Q1574,
    IF(lien="First",1.00,
        IF(lien="Second",1.50,
            1.70)))</f>
        <v/>
      </c>
      <c r="K1574">
        <f>LET(
    purpose,'Loan Tape (S&amp;P)'!R1574,
    IF(purpose="Purchase",1.00,
        IF(purpose="Remortgage",1.00,
            1.20)))</f>
        <v/>
      </c>
      <c r="L1574">
        <f>LET(
    arrears_months,'Loan Tape (S&amp;P)'!AN1574,
    IF(arrears_months=0,1.00,
    IF(arrears_months=1,3.00,
    IF(arrears_months=2,5.00,
    IF(arrears_months=3,8.00,
    IF(arrears_months=4,10.00,
    IF(arrears_months=5,12.00,15.00)))))))</f>
        <v/>
      </c>
      <c r="M1574">
        <f>LET(
    seasoning_years,DATEDIF('Loan Tape (S&amp;P)'!K1574,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74">
        <f>IF(AND('Loan Tape (S&amp;P)'!U1574="Yes",
        'Loan Tape (S&amp;P)'!T1574&lt;&gt;"Yes",
        DATEDIF('Loan Tape (S&amp;P)'!K1574, TODAY(), "M")&lt;18),
    1.10,
    1.00)</f>
        <v/>
      </c>
      <c r="O1574">
        <f>IF('Loan Tape (S&amp;P)'!T1574="Yes",
    1.35,
    1.00)</f>
        <v/>
      </c>
      <c r="P1574">
        <f>IF('Loan Tape (S&amp;P)'!S1574="Yes",
    1.15,
    1.00)</f>
        <v/>
      </c>
      <c r="Q1574">
        <f>IF('Loan Tape (S&amp;P)'!V1574="Yes",
    1.20,
    1.00)</f>
        <v/>
      </c>
      <c r="T1574">
        <f>LET(
    payment_method,'Loan Tape (S&amp;P)'!P1574,
    occupancy,'Loan Tape (S&amp;P)'!N1574,
    maturity_date,'Loan Tape (S&amp;P)'!L1574,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75">
      <c r="J1575">
        <f>LET(
    lien,'Loan Tape (S&amp;P)'!Q1575,
    IF(lien="First",1.00,
        IF(lien="Second",1.50,
            1.70)))</f>
        <v/>
      </c>
      <c r="K1575">
        <f>LET(
    purpose,'Loan Tape (S&amp;P)'!R1575,
    IF(purpose="Purchase",1.00,
        IF(purpose="Remortgage",1.00,
            1.20)))</f>
        <v/>
      </c>
      <c r="L1575">
        <f>LET(
    arrears_months,'Loan Tape (S&amp;P)'!AN1575,
    IF(arrears_months=0,1.00,
    IF(arrears_months=1,3.00,
    IF(arrears_months=2,5.00,
    IF(arrears_months=3,8.00,
    IF(arrears_months=4,10.00,
    IF(arrears_months=5,12.00,15.00)))))))</f>
        <v/>
      </c>
      <c r="M1575">
        <f>LET(
    seasoning_years,DATEDIF('Loan Tape (S&amp;P)'!K1575,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75">
        <f>IF(AND('Loan Tape (S&amp;P)'!U1575="Yes",
        'Loan Tape (S&amp;P)'!T1575&lt;&gt;"Yes",
        DATEDIF('Loan Tape (S&amp;P)'!K1575, TODAY(), "M")&lt;18),
    1.10,
    1.00)</f>
        <v/>
      </c>
      <c r="O1575">
        <f>IF('Loan Tape (S&amp;P)'!T1575="Yes",
    1.35,
    1.00)</f>
        <v/>
      </c>
      <c r="P1575">
        <f>IF('Loan Tape (S&amp;P)'!S1575="Yes",
    1.15,
    1.00)</f>
        <v/>
      </c>
      <c r="Q1575">
        <f>IF('Loan Tape (S&amp;P)'!V1575="Yes",
    1.20,
    1.00)</f>
        <v/>
      </c>
      <c r="T1575">
        <f>LET(
    payment_method,'Loan Tape (S&amp;P)'!P1575,
    occupancy,'Loan Tape (S&amp;P)'!N1575,
    maturity_date,'Loan Tape (S&amp;P)'!L1575,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76">
      <c r="J1576">
        <f>LET(
    lien,'Loan Tape (S&amp;P)'!Q1576,
    IF(lien="First",1.00,
        IF(lien="Second",1.50,
            1.70)))</f>
        <v/>
      </c>
      <c r="K1576">
        <f>LET(
    purpose,'Loan Tape (S&amp;P)'!R1576,
    IF(purpose="Purchase",1.00,
        IF(purpose="Remortgage",1.00,
            1.20)))</f>
        <v/>
      </c>
      <c r="L1576">
        <f>LET(
    arrears_months,'Loan Tape (S&amp;P)'!AN1576,
    IF(arrears_months=0,1.00,
    IF(arrears_months=1,3.00,
    IF(arrears_months=2,5.00,
    IF(arrears_months=3,8.00,
    IF(arrears_months=4,10.00,
    IF(arrears_months=5,12.00,15.00)))))))</f>
        <v/>
      </c>
      <c r="M1576">
        <f>LET(
    seasoning_years,DATEDIF('Loan Tape (S&amp;P)'!K1576,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76">
        <f>IF(AND('Loan Tape (S&amp;P)'!U1576="Yes",
        'Loan Tape (S&amp;P)'!T1576&lt;&gt;"Yes",
        DATEDIF('Loan Tape (S&amp;P)'!K1576, TODAY(), "M")&lt;18),
    1.10,
    1.00)</f>
        <v/>
      </c>
      <c r="O1576">
        <f>IF('Loan Tape (S&amp;P)'!T1576="Yes",
    1.35,
    1.00)</f>
        <v/>
      </c>
      <c r="P1576">
        <f>IF('Loan Tape (S&amp;P)'!S1576="Yes",
    1.15,
    1.00)</f>
        <v/>
      </c>
      <c r="Q1576">
        <f>IF('Loan Tape (S&amp;P)'!V1576="Yes",
    1.20,
    1.00)</f>
        <v/>
      </c>
      <c r="T1576">
        <f>LET(
    payment_method,'Loan Tape (S&amp;P)'!P1576,
    occupancy,'Loan Tape (S&amp;P)'!N1576,
    maturity_date,'Loan Tape (S&amp;P)'!L1576,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77">
      <c r="J1577">
        <f>LET(
    lien,'Loan Tape (S&amp;P)'!Q1577,
    IF(lien="First",1.00,
        IF(lien="Second",1.50,
            1.70)))</f>
        <v/>
      </c>
      <c r="K1577">
        <f>LET(
    purpose,'Loan Tape (S&amp;P)'!R1577,
    IF(purpose="Purchase",1.00,
        IF(purpose="Remortgage",1.00,
            1.20)))</f>
        <v/>
      </c>
      <c r="L1577">
        <f>LET(
    arrears_months,'Loan Tape (S&amp;P)'!AN1577,
    IF(arrears_months=0,1.00,
    IF(arrears_months=1,3.00,
    IF(arrears_months=2,5.00,
    IF(arrears_months=3,8.00,
    IF(arrears_months=4,10.00,
    IF(arrears_months=5,12.00,15.00)))))))</f>
        <v/>
      </c>
      <c r="M1577">
        <f>LET(
    seasoning_years,DATEDIF('Loan Tape (S&amp;P)'!K1577,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77">
        <f>IF(AND('Loan Tape (S&amp;P)'!U1577="Yes",
        'Loan Tape (S&amp;P)'!T1577&lt;&gt;"Yes",
        DATEDIF('Loan Tape (S&amp;P)'!K1577, TODAY(), "M")&lt;18),
    1.10,
    1.00)</f>
        <v/>
      </c>
      <c r="O1577">
        <f>IF('Loan Tape (S&amp;P)'!T1577="Yes",
    1.35,
    1.00)</f>
        <v/>
      </c>
      <c r="P1577">
        <f>IF('Loan Tape (S&amp;P)'!S1577="Yes",
    1.15,
    1.00)</f>
        <v/>
      </c>
      <c r="Q1577">
        <f>IF('Loan Tape (S&amp;P)'!V1577="Yes",
    1.20,
    1.00)</f>
        <v/>
      </c>
      <c r="T1577">
        <f>LET(
    payment_method,'Loan Tape (S&amp;P)'!P1577,
    occupancy,'Loan Tape (S&amp;P)'!N1577,
    maturity_date,'Loan Tape (S&amp;P)'!L1577,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78">
      <c r="J1578">
        <f>LET(
    lien,'Loan Tape (S&amp;P)'!Q1578,
    IF(lien="First",1.00,
        IF(lien="Second",1.50,
            1.70)))</f>
        <v/>
      </c>
      <c r="K1578">
        <f>LET(
    purpose,'Loan Tape (S&amp;P)'!R1578,
    IF(purpose="Purchase",1.00,
        IF(purpose="Remortgage",1.00,
            1.20)))</f>
        <v/>
      </c>
      <c r="L1578">
        <f>LET(
    arrears_months,'Loan Tape (S&amp;P)'!AN1578,
    IF(arrears_months=0,1.00,
    IF(arrears_months=1,3.00,
    IF(arrears_months=2,5.00,
    IF(arrears_months=3,8.00,
    IF(arrears_months=4,10.00,
    IF(arrears_months=5,12.00,15.00)))))))</f>
        <v/>
      </c>
      <c r="M1578">
        <f>LET(
    seasoning_years,DATEDIF('Loan Tape (S&amp;P)'!K1578,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78">
        <f>IF(AND('Loan Tape (S&amp;P)'!U1578="Yes",
        'Loan Tape (S&amp;P)'!T1578&lt;&gt;"Yes",
        DATEDIF('Loan Tape (S&amp;P)'!K1578, TODAY(), "M")&lt;18),
    1.10,
    1.00)</f>
        <v/>
      </c>
      <c r="O1578">
        <f>IF('Loan Tape (S&amp;P)'!T1578="Yes",
    1.35,
    1.00)</f>
        <v/>
      </c>
      <c r="P1578">
        <f>IF('Loan Tape (S&amp;P)'!S1578="Yes",
    1.15,
    1.00)</f>
        <v/>
      </c>
      <c r="Q1578">
        <f>IF('Loan Tape (S&amp;P)'!V1578="Yes",
    1.20,
    1.00)</f>
        <v/>
      </c>
      <c r="T1578">
        <f>LET(
    payment_method,'Loan Tape (S&amp;P)'!P1578,
    occupancy,'Loan Tape (S&amp;P)'!N1578,
    maturity_date,'Loan Tape (S&amp;P)'!L1578,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79">
      <c r="J1579">
        <f>LET(
    lien,'Loan Tape (S&amp;P)'!Q1579,
    IF(lien="First",1.00,
        IF(lien="Second",1.50,
            1.70)))</f>
        <v/>
      </c>
      <c r="K1579">
        <f>LET(
    purpose,'Loan Tape (S&amp;P)'!R1579,
    IF(purpose="Purchase",1.00,
        IF(purpose="Remortgage",1.00,
            1.20)))</f>
        <v/>
      </c>
      <c r="L1579">
        <f>LET(
    arrears_months,'Loan Tape (S&amp;P)'!AN1579,
    IF(arrears_months=0,1.00,
    IF(arrears_months=1,3.00,
    IF(arrears_months=2,5.00,
    IF(arrears_months=3,8.00,
    IF(arrears_months=4,10.00,
    IF(arrears_months=5,12.00,15.00)))))))</f>
        <v/>
      </c>
      <c r="M1579">
        <f>LET(
    seasoning_years,DATEDIF('Loan Tape (S&amp;P)'!K1579,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79">
        <f>IF(AND('Loan Tape (S&amp;P)'!U1579="Yes",
        'Loan Tape (S&amp;P)'!T1579&lt;&gt;"Yes",
        DATEDIF('Loan Tape (S&amp;P)'!K1579, TODAY(), "M")&lt;18),
    1.10,
    1.00)</f>
        <v/>
      </c>
      <c r="O1579">
        <f>IF('Loan Tape (S&amp;P)'!T1579="Yes",
    1.35,
    1.00)</f>
        <v/>
      </c>
      <c r="P1579">
        <f>IF('Loan Tape (S&amp;P)'!S1579="Yes",
    1.15,
    1.00)</f>
        <v/>
      </c>
      <c r="Q1579">
        <f>IF('Loan Tape (S&amp;P)'!V1579="Yes",
    1.20,
    1.00)</f>
        <v/>
      </c>
      <c r="T1579">
        <f>LET(
    payment_method,'Loan Tape (S&amp;P)'!P1579,
    occupancy,'Loan Tape (S&amp;P)'!N1579,
    maturity_date,'Loan Tape (S&amp;P)'!L1579,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80">
      <c r="J1580">
        <f>LET(
    lien,'Loan Tape (S&amp;P)'!Q1580,
    IF(lien="First",1.00,
        IF(lien="Second",1.50,
            1.70)))</f>
        <v/>
      </c>
      <c r="K1580">
        <f>LET(
    purpose,'Loan Tape (S&amp;P)'!R1580,
    IF(purpose="Purchase",1.00,
        IF(purpose="Remortgage",1.00,
            1.20)))</f>
        <v/>
      </c>
      <c r="L1580">
        <f>LET(
    arrears_months,'Loan Tape (S&amp;P)'!AN1580,
    IF(arrears_months=0,1.00,
    IF(arrears_months=1,3.00,
    IF(arrears_months=2,5.00,
    IF(arrears_months=3,8.00,
    IF(arrears_months=4,10.00,
    IF(arrears_months=5,12.00,15.00)))))))</f>
        <v/>
      </c>
      <c r="M1580">
        <f>LET(
    seasoning_years,DATEDIF('Loan Tape (S&amp;P)'!K1580,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80">
        <f>IF(AND('Loan Tape (S&amp;P)'!U1580="Yes",
        'Loan Tape (S&amp;P)'!T1580&lt;&gt;"Yes",
        DATEDIF('Loan Tape (S&amp;P)'!K1580, TODAY(), "M")&lt;18),
    1.10,
    1.00)</f>
        <v/>
      </c>
      <c r="O1580">
        <f>IF('Loan Tape (S&amp;P)'!T1580="Yes",
    1.35,
    1.00)</f>
        <v/>
      </c>
      <c r="P1580">
        <f>IF('Loan Tape (S&amp;P)'!S1580="Yes",
    1.15,
    1.00)</f>
        <v/>
      </c>
      <c r="Q1580">
        <f>IF('Loan Tape (S&amp;P)'!V1580="Yes",
    1.20,
    1.00)</f>
        <v/>
      </c>
      <c r="T1580">
        <f>LET(
    payment_method,'Loan Tape (S&amp;P)'!P1580,
    occupancy,'Loan Tape (S&amp;P)'!N1580,
    maturity_date,'Loan Tape (S&amp;P)'!L1580,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81">
      <c r="J1581">
        <f>LET(
    lien,'Loan Tape (S&amp;P)'!Q1581,
    IF(lien="First",1.00,
        IF(lien="Second",1.50,
            1.70)))</f>
        <v/>
      </c>
      <c r="K1581">
        <f>LET(
    purpose,'Loan Tape (S&amp;P)'!R1581,
    IF(purpose="Purchase",1.00,
        IF(purpose="Remortgage",1.00,
            1.20)))</f>
        <v/>
      </c>
      <c r="L1581">
        <f>LET(
    arrears_months,'Loan Tape (S&amp;P)'!AN1581,
    IF(arrears_months=0,1.00,
    IF(arrears_months=1,3.00,
    IF(arrears_months=2,5.00,
    IF(arrears_months=3,8.00,
    IF(arrears_months=4,10.00,
    IF(arrears_months=5,12.00,15.00)))))))</f>
        <v/>
      </c>
      <c r="M1581">
        <f>LET(
    seasoning_years,DATEDIF('Loan Tape (S&amp;P)'!K1581,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81">
        <f>IF(AND('Loan Tape (S&amp;P)'!U1581="Yes",
        'Loan Tape (S&amp;P)'!T1581&lt;&gt;"Yes",
        DATEDIF('Loan Tape (S&amp;P)'!K1581, TODAY(), "M")&lt;18),
    1.10,
    1.00)</f>
        <v/>
      </c>
      <c r="O1581">
        <f>IF('Loan Tape (S&amp;P)'!T1581="Yes",
    1.35,
    1.00)</f>
        <v/>
      </c>
      <c r="P1581">
        <f>IF('Loan Tape (S&amp;P)'!S1581="Yes",
    1.15,
    1.00)</f>
        <v/>
      </c>
      <c r="Q1581">
        <f>IF('Loan Tape (S&amp;P)'!V1581="Yes",
    1.20,
    1.00)</f>
        <v/>
      </c>
      <c r="T1581">
        <f>LET(
    payment_method,'Loan Tape (S&amp;P)'!P1581,
    occupancy,'Loan Tape (S&amp;P)'!N1581,
    maturity_date,'Loan Tape (S&amp;P)'!L1581,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82">
      <c r="J1582">
        <f>LET(
    lien,'Loan Tape (S&amp;P)'!Q1582,
    IF(lien="First",1.00,
        IF(lien="Second",1.50,
            1.70)))</f>
        <v/>
      </c>
      <c r="K1582">
        <f>LET(
    purpose,'Loan Tape (S&amp;P)'!R1582,
    IF(purpose="Purchase",1.00,
        IF(purpose="Remortgage",1.00,
            1.20)))</f>
        <v/>
      </c>
      <c r="L1582">
        <f>LET(
    arrears_months,'Loan Tape (S&amp;P)'!AN1582,
    IF(arrears_months=0,1.00,
    IF(arrears_months=1,3.00,
    IF(arrears_months=2,5.00,
    IF(arrears_months=3,8.00,
    IF(arrears_months=4,10.00,
    IF(arrears_months=5,12.00,15.00)))))))</f>
        <v/>
      </c>
      <c r="M1582">
        <f>LET(
    seasoning_years,DATEDIF('Loan Tape (S&amp;P)'!K1582,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82">
        <f>IF(AND('Loan Tape (S&amp;P)'!U1582="Yes",
        'Loan Tape (S&amp;P)'!T1582&lt;&gt;"Yes",
        DATEDIF('Loan Tape (S&amp;P)'!K1582, TODAY(), "M")&lt;18),
    1.10,
    1.00)</f>
        <v/>
      </c>
      <c r="O1582">
        <f>IF('Loan Tape (S&amp;P)'!T1582="Yes",
    1.35,
    1.00)</f>
        <v/>
      </c>
      <c r="P1582">
        <f>IF('Loan Tape (S&amp;P)'!S1582="Yes",
    1.15,
    1.00)</f>
        <v/>
      </c>
      <c r="Q1582">
        <f>IF('Loan Tape (S&amp;P)'!V1582="Yes",
    1.20,
    1.00)</f>
        <v/>
      </c>
      <c r="T1582">
        <f>LET(
    payment_method,'Loan Tape (S&amp;P)'!P1582,
    occupancy,'Loan Tape (S&amp;P)'!N1582,
    maturity_date,'Loan Tape (S&amp;P)'!L1582,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83">
      <c r="J1583">
        <f>LET(
    lien,'Loan Tape (S&amp;P)'!Q1583,
    IF(lien="First",1.00,
        IF(lien="Second",1.50,
            1.70)))</f>
        <v/>
      </c>
      <c r="K1583">
        <f>LET(
    purpose,'Loan Tape (S&amp;P)'!R1583,
    IF(purpose="Purchase",1.00,
        IF(purpose="Remortgage",1.00,
            1.20)))</f>
        <v/>
      </c>
      <c r="L1583">
        <f>LET(
    arrears_months,'Loan Tape (S&amp;P)'!AN1583,
    IF(arrears_months=0,1.00,
    IF(arrears_months=1,3.00,
    IF(arrears_months=2,5.00,
    IF(arrears_months=3,8.00,
    IF(arrears_months=4,10.00,
    IF(arrears_months=5,12.00,15.00)))))))</f>
        <v/>
      </c>
      <c r="M1583">
        <f>LET(
    seasoning_years,DATEDIF('Loan Tape (S&amp;P)'!K1583,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83">
        <f>IF(AND('Loan Tape (S&amp;P)'!U1583="Yes",
        'Loan Tape (S&amp;P)'!T1583&lt;&gt;"Yes",
        DATEDIF('Loan Tape (S&amp;P)'!K1583, TODAY(), "M")&lt;18),
    1.10,
    1.00)</f>
        <v/>
      </c>
      <c r="O1583">
        <f>IF('Loan Tape (S&amp;P)'!T1583="Yes",
    1.35,
    1.00)</f>
        <v/>
      </c>
      <c r="P1583">
        <f>IF('Loan Tape (S&amp;P)'!S1583="Yes",
    1.15,
    1.00)</f>
        <v/>
      </c>
      <c r="Q1583">
        <f>IF('Loan Tape (S&amp;P)'!V1583="Yes",
    1.20,
    1.00)</f>
        <v/>
      </c>
      <c r="T1583">
        <f>LET(
    payment_method,'Loan Tape (S&amp;P)'!P1583,
    occupancy,'Loan Tape (S&amp;P)'!N1583,
    maturity_date,'Loan Tape (S&amp;P)'!L1583,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84">
      <c r="J1584">
        <f>LET(
    lien,'Loan Tape (S&amp;P)'!Q1584,
    IF(lien="First",1.00,
        IF(lien="Second",1.50,
            1.70)))</f>
        <v/>
      </c>
      <c r="K1584">
        <f>LET(
    purpose,'Loan Tape (S&amp;P)'!R1584,
    IF(purpose="Purchase",1.00,
        IF(purpose="Remortgage",1.00,
            1.20)))</f>
        <v/>
      </c>
      <c r="L1584">
        <f>LET(
    arrears_months,'Loan Tape (S&amp;P)'!AN1584,
    IF(arrears_months=0,1.00,
    IF(arrears_months=1,3.00,
    IF(arrears_months=2,5.00,
    IF(arrears_months=3,8.00,
    IF(arrears_months=4,10.00,
    IF(arrears_months=5,12.00,15.00)))))))</f>
        <v/>
      </c>
      <c r="M1584">
        <f>LET(
    seasoning_years,DATEDIF('Loan Tape (S&amp;P)'!K1584,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84">
        <f>IF(AND('Loan Tape (S&amp;P)'!U1584="Yes",
        'Loan Tape (S&amp;P)'!T1584&lt;&gt;"Yes",
        DATEDIF('Loan Tape (S&amp;P)'!K1584, TODAY(), "M")&lt;18),
    1.10,
    1.00)</f>
        <v/>
      </c>
      <c r="O1584">
        <f>IF('Loan Tape (S&amp;P)'!T1584="Yes",
    1.35,
    1.00)</f>
        <v/>
      </c>
      <c r="P1584">
        <f>IF('Loan Tape (S&amp;P)'!S1584="Yes",
    1.15,
    1.00)</f>
        <v/>
      </c>
      <c r="Q1584">
        <f>IF('Loan Tape (S&amp;P)'!V1584="Yes",
    1.20,
    1.00)</f>
        <v/>
      </c>
      <c r="T1584">
        <f>LET(
    payment_method,'Loan Tape (S&amp;P)'!P1584,
    occupancy,'Loan Tape (S&amp;P)'!N1584,
    maturity_date,'Loan Tape (S&amp;P)'!L1584,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85">
      <c r="J1585">
        <f>LET(
    lien,'Loan Tape (S&amp;P)'!Q1585,
    IF(lien="First",1.00,
        IF(lien="Second",1.50,
            1.70)))</f>
        <v/>
      </c>
      <c r="K1585">
        <f>LET(
    purpose,'Loan Tape (S&amp;P)'!R1585,
    IF(purpose="Purchase",1.00,
        IF(purpose="Remortgage",1.00,
            1.20)))</f>
        <v/>
      </c>
      <c r="L1585">
        <f>LET(
    arrears_months,'Loan Tape (S&amp;P)'!AN1585,
    IF(arrears_months=0,1.00,
    IF(arrears_months=1,3.00,
    IF(arrears_months=2,5.00,
    IF(arrears_months=3,8.00,
    IF(arrears_months=4,10.00,
    IF(arrears_months=5,12.00,15.00)))))))</f>
        <v/>
      </c>
      <c r="M1585">
        <f>LET(
    seasoning_years,DATEDIF('Loan Tape (S&amp;P)'!K1585,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85">
        <f>IF(AND('Loan Tape (S&amp;P)'!U1585="Yes",
        'Loan Tape (S&amp;P)'!T1585&lt;&gt;"Yes",
        DATEDIF('Loan Tape (S&amp;P)'!K1585, TODAY(), "M")&lt;18),
    1.10,
    1.00)</f>
        <v/>
      </c>
      <c r="O1585">
        <f>IF('Loan Tape (S&amp;P)'!T1585="Yes",
    1.35,
    1.00)</f>
        <v/>
      </c>
      <c r="P1585">
        <f>IF('Loan Tape (S&amp;P)'!S1585="Yes",
    1.15,
    1.00)</f>
        <v/>
      </c>
      <c r="Q1585">
        <f>IF('Loan Tape (S&amp;P)'!V1585="Yes",
    1.20,
    1.00)</f>
        <v/>
      </c>
      <c r="T1585">
        <f>LET(
    payment_method,'Loan Tape (S&amp;P)'!P1585,
    occupancy,'Loan Tape (S&amp;P)'!N1585,
    maturity_date,'Loan Tape (S&amp;P)'!L1585,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86">
      <c r="J1586">
        <f>LET(
    lien,'Loan Tape (S&amp;P)'!Q1586,
    IF(lien="First",1.00,
        IF(lien="Second",1.50,
            1.70)))</f>
        <v/>
      </c>
      <c r="K1586">
        <f>LET(
    purpose,'Loan Tape (S&amp;P)'!R1586,
    IF(purpose="Purchase",1.00,
        IF(purpose="Remortgage",1.00,
            1.20)))</f>
        <v/>
      </c>
      <c r="L1586">
        <f>LET(
    arrears_months,'Loan Tape (S&amp;P)'!AN1586,
    IF(arrears_months=0,1.00,
    IF(arrears_months=1,3.00,
    IF(arrears_months=2,5.00,
    IF(arrears_months=3,8.00,
    IF(arrears_months=4,10.00,
    IF(arrears_months=5,12.00,15.00)))))))</f>
        <v/>
      </c>
      <c r="M1586">
        <f>LET(
    seasoning_years,DATEDIF('Loan Tape (S&amp;P)'!K1586,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86">
        <f>IF(AND('Loan Tape (S&amp;P)'!U1586="Yes",
        'Loan Tape (S&amp;P)'!T1586&lt;&gt;"Yes",
        DATEDIF('Loan Tape (S&amp;P)'!K1586, TODAY(), "M")&lt;18),
    1.10,
    1.00)</f>
        <v/>
      </c>
      <c r="O1586">
        <f>IF('Loan Tape (S&amp;P)'!T1586="Yes",
    1.35,
    1.00)</f>
        <v/>
      </c>
      <c r="P1586">
        <f>IF('Loan Tape (S&amp;P)'!S1586="Yes",
    1.15,
    1.00)</f>
        <v/>
      </c>
      <c r="Q1586">
        <f>IF('Loan Tape (S&amp;P)'!V1586="Yes",
    1.20,
    1.00)</f>
        <v/>
      </c>
      <c r="T1586">
        <f>LET(
    payment_method,'Loan Tape (S&amp;P)'!P1586,
    occupancy,'Loan Tape (S&amp;P)'!N1586,
    maturity_date,'Loan Tape (S&amp;P)'!L1586,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87">
      <c r="J1587">
        <f>LET(
    lien,'Loan Tape (S&amp;P)'!Q1587,
    IF(lien="First",1.00,
        IF(lien="Second",1.50,
            1.70)))</f>
        <v/>
      </c>
      <c r="K1587">
        <f>LET(
    purpose,'Loan Tape (S&amp;P)'!R1587,
    IF(purpose="Purchase",1.00,
        IF(purpose="Remortgage",1.00,
            1.20)))</f>
        <v/>
      </c>
      <c r="L1587">
        <f>LET(
    arrears_months,'Loan Tape (S&amp;P)'!AN1587,
    IF(arrears_months=0,1.00,
    IF(arrears_months=1,3.00,
    IF(arrears_months=2,5.00,
    IF(arrears_months=3,8.00,
    IF(arrears_months=4,10.00,
    IF(arrears_months=5,12.00,15.00)))))))</f>
        <v/>
      </c>
      <c r="M1587">
        <f>LET(
    seasoning_years,DATEDIF('Loan Tape (S&amp;P)'!K1587,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87">
        <f>IF(AND('Loan Tape (S&amp;P)'!U1587="Yes",
        'Loan Tape (S&amp;P)'!T1587&lt;&gt;"Yes",
        DATEDIF('Loan Tape (S&amp;P)'!K1587, TODAY(), "M")&lt;18),
    1.10,
    1.00)</f>
        <v/>
      </c>
      <c r="O1587">
        <f>IF('Loan Tape (S&amp;P)'!T1587="Yes",
    1.35,
    1.00)</f>
        <v/>
      </c>
      <c r="P1587">
        <f>IF('Loan Tape (S&amp;P)'!S1587="Yes",
    1.15,
    1.00)</f>
        <v/>
      </c>
      <c r="Q1587">
        <f>IF('Loan Tape (S&amp;P)'!V1587="Yes",
    1.20,
    1.00)</f>
        <v/>
      </c>
      <c r="T1587">
        <f>LET(
    payment_method,'Loan Tape (S&amp;P)'!P1587,
    occupancy,'Loan Tape (S&amp;P)'!N1587,
    maturity_date,'Loan Tape (S&amp;P)'!L1587,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88">
      <c r="J1588">
        <f>LET(
    lien,'Loan Tape (S&amp;P)'!Q1588,
    IF(lien="First",1.00,
        IF(lien="Second",1.50,
            1.70)))</f>
        <v/>
      </c>
      <c r="K1588">
        <f>LET(
    purpose,'Loan Tape (S&amp;P)'!R1588,
    IF(purpose="Purchase",1.00,
        IF(purpose="Remortgage",1.00,
            1.20)))</f>
        <v/>
      </c>
      <c r="L1588">
        <f>LET(
    arrears_months,'Loan Tape (S&amp;P)'!AN1588,
    IF(arrears_months=0,1.00,
    IF(arrears_months=1,3.00,
    IF(arrears_months=2,5.00,
    IF(arrears_months=3,8.00,
    IF(arrears_months=4,10.00,
    IF(arrears_months=5,12.00,15.00)))))))</f>
        <v/>
      </c>
      <c r="M1588">
        <f>LET(
    seasoning_years,DATEDIF('Loan Tape (S&amp;P)'!K1588,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88">
        <f>IF(AND('Loan Tape (S&amp;P)'!U1588="Yes",
        'Loan Tape (S&amp;P)'!T1588&lt;&gt;"Yes",
        DATEDIF('Loan Tape (S&amp;P)'!K1588, TODAY(), "M")&lt;18),
    1.10,
    1.00)</f>
        <v/>
      </c>
      <c r="O1588">
        <f>IF('Loan Tape (S&amp;P)'!T1588="Yes",
    1.35,
    1.00)</f>
        <v/>
      </c>
      <c r="P1588">
        <f>IF('Loan Tape (S&amp;P)'!S1588="Yes",
    1.15,
    1.00)</f>
        <v/>
      </c>
      <c r="Q1588">
        <f>IF('Loan Tape (S&amp;P)'!V1588="Yes",
    1.20,
    1.00)</f>
        <v/>
      </c>
      <c r="T1588">
        <f>LET(
    payment_method,'Loan Tape (S&amp;P)'!P1588,
    occupancy,'Loan Tape (S&amp;P)'!N1588,
    maturity_date,'Loan Tape (S&amp;P)'!L1588,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89">
      <c r="J1589">
        <f>LET(
    lien,'Loan Tape (S&amp;P)'!Q1589,
    IF(lien="First",1.00,
        IF(lien="Second",1.50,
            1.70)))</f>
        <v/>
      </c>
      <c r="K1589">
        <f>LET(
    purpose,'Loan Tape (S&amp;P)'!R1589,
    IF(purpose="Purchase",1.00,
        IF(purpose="Remortgage",1.00,
            1.20)))</f>
        <v/>
      </c>
      <c r="L1589">
        <f>LET(
    arrears_months,'Loan Tape (S&amp;P)'!AN1589,
    IF(arrears_months=0,1.00,
    IF(arrears_months=1,3.00,
    IF(arrears_months=2,5.00,
    IF(arrears_months=3,8.00,
    IF(arrears_months=4,10.00,
    IF(arrears_months=5,12.00,15.00)))))))</f>
        <v/>
      </c>
      <c r="M1589">
        <f>LET(
    seasoning_years,DATEDIF('Loan Tape (S&amp;P)'!K1589,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89">
        <f>IF(AND('Loan Tape (S&amp;P)'!U1589="Yes",
        'Loan Tape (S&amp;P)'!T1589&lt;&gt;"Yes",
        DATEDIF('Loan Tape (S&amp;P)'!K1589, TODAY(), "M")&lt;18),
    1.10,
    1.00)</f>
        <v/>
      </c>
      <c r="O1589">
        <f>IF('Loan Tape (S&amp;P)'!T1589="Yes",
    1.35,
    1.00)</f>
        <v/>
      </c>
      <c r="P1589">
        <f>IF('Loan Tape (S&amp;P)'!S1589="Yes",
    1.15,
    1.00)</f>
        <v/>
      </c>
      <c r="Q1589">
        <f>IF('Loan Tape (S&amp;P)'!V1589="Yes",
    1.20,
    1.00)</f>
        <v/>
      </c>
      <c r="T1589">
        <f>LET(
    payment_method,'Loan Tape (S&amp;P)'!P1589,
    occupancy,'Loan Tape (S&amp;P)'!N1589,
    maturity_date,'Loan Tape (S&amp;P)'!L1589,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90">
      <c r="J1590">
        <f>LET(
    lien,'Loan Tape (S&amp;P)'!Q1590,
    IF(lien="First",1.00,
        IF(lien="Second",1.50,
            1.70)))</f>
        <v/>
      </c>
      <c r="K1590">
        <f>LET(
    purpose,'Loan Tape (S&amp;P)'!R1590,
    IF(purpose="Purchase",1.00,
        IF(purpose="Remortgage",1.00,
            1.20)))</f>
        <v/>
      </c>
      <c r="L1590">
        <f>LET(
    arrears_months,'Loan Tape (S&amp;P)'!AN1590,
    IF(arrears_months=0,1.00,
    IF(arrears_months=1,3.00,
    IF(arrears_months=2,5.00,
    IF(arrears_months=3,8.00,
    IF(arrears_months=4,10.00,
    IF(arrears_months=5,12.00,15.00)))))))</f>
        <v/>
      </c>
      <c r="M1590">
        <f>LET(
    seasoning_years,DATEDIF('Loan Tape (S&amp;P)'!K1590,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90">
        <f>IF(AND('Loan Tape (S&amp;P)'!U1590="Yes",
        'Loan Tape (S&amp;P)'!T1590&lt;&gt;"Yes",
        DATEDIF('Loan Tape (S&amp;P)'!K1590, TODAY(), "M")&lt;18),
    1.10,
    1.00)</f>
        <v/>
      </c>
      <c r="O1590">
        <f>IF('Loan Tape (S&amp;P)'!T1590="Yes",
    1.35,
    1.00)</f>
        <v/>
      </c>
      <c r="P1590">
        <f>IF('Loan Tape (S&amp;P)'!S1590="Yes",
    1.15,
    1.00)</f>
        <v/>
      </c>
      <c r="Q1590">
        <f>IF('Loan Tape (S&amp;P)'!V1590="Yes",
    1.20,
    1.00)</f>
        <v/>
      </c>
      <c r="T1590">
        <f>LET(
    payment_method,'Loan Tape (S&amp;P)'!P1590,
    occupancy,'Loan Tape (S&amp;P)'!N1590,
    maturity_date,'Loan Tape (S&amp;P)'!L1590,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91">
      <c r="J1591">
        <f>LET(
    lien,'Loan Tape (S&amp;P)'!Q1591,
    IF(lien="First",1.00,
        IF(lien="Second",1.50,
            1.70)))</f>
        <v/>
      </c>
      <c r="K1591">
        <f>LET(
    purpose,'Loan Tape (S&amp;P)'!R1591,
    IF(purpose="Purchase",1.00,
        IF(purpose="Remortgage",1.00,
            1.20)))</f>
        <v/>
      </c>
      <c r="L1591">
        <f>LET(
    arrears_months,'Loan Tape (S&amp;P)'!AN1591,
    IF(arrears_months=0,1.00,
    IF(arrears_months=1,3.00,
    IF(arrears_months=2,5.00,
    IF(arrears_months=3,8.00,
    IF(arrears_months=4,10.00,
    IF(arrears_months=5,12.00,15.00)))))))</f>
        <v/>
      </c>
      <c r="M1591">
        <f>LET(
    seasoning_years,DATEDIF('Loan Tape (S&amp;P)'!K1591,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91">
        <f>IF(AND('Loan Tape (S&amp;P)'!U1591="Yes",
        'Loan Tape (S&amp;P)'!T1591&lt;&gt;"Yes",
        DATEDIF('Loan Tape (S&amp;P)'!K1591, TODAY(), "M")&lt;18),
    1.10,
    1.00)</f>
        <v/>
      </c>
      <c r="O1591">
        <f>IF('Loan Tape (S&amp;P)'!T1591="Yes",
    1.35,
    1.00)</f>
        <v/>
      </c>
      <c r="P1591">
        <f>IF('Loan Tape (S&amp;P)'!S1591="Yes",
    1.15,
    1.00)</f>
        <v/>
      </c>
      <c r="Q1591">
        <f>IF('Loan Tape (S&amp;P)'!V1591="Yes",
    1.20,
    1.00)</f>
        <v/>
      </c>
      <c r="T1591">
        <f>LET(
    payment_method,'Loan Tape (S&amp;P)'!P1591,
    occupancy,'Loan Tape (S&amp;P)'!N1591,
    maturity_date,'Loan Tape (S&amp;P)'!L1591,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92">
      <c r="J1592">
        <f>LET(
    lien,'Loan Tape (S&amp;P)'!Q1592,
    IF(lien="First",1.00,
        IF(lien="Second",1.50,
            1.70)))</f>
        <v/>
      </c>
      <c r="K1592">
        <f>LET(
    purpose,'Loan Tape (S&amp;P)'!R1592,
    IF(purpose="Purchase",1.00,
        IF(purpose="Remortgage",1.00,
            1.20)))</f>
        <v/>
      </c>
      <c r="L1592">
        <f>LET(
    arrears_months,'Loan Tape (S&amp;P)'!AN1592,
    IF(arrears_months=0,1.00,
    IF(arrears_months=1,3.00,
    IF(arrears_months=2,5.00,
    IF(arrears_months=3,8.00,
    IF(arrears_months=4,10.00,
    IF(arrears_months=5,12.00,15.00)))))))</f>
        <v/>
      </c>
      <c r="M1592">
        <f>LET(
    seasoning_years,DATEDIF('Loan Tape (S&amp;P)'!K1592,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92">
        <f>IF(AND('Loan Tape (S&amp;P)'!U1592="Yes",
        'Loan Tape (S&amp;P)'!T1592&lt;&gt;"Yes",
        DATEDIF('Loan Tape (S&amp;P)'!K1592, TODAY(), "M")&lt;18),
    1.10,
    1.00)</f>
        <v/>
      </c>
      <c r="O1592">
        <f>IF('Loan Tape (S&amp;P)'!T1592="Yes",
    1.35,
    1.00)</f>
        <v/>
      </c>
      <c r="P1592">
        <f>IF('Loan Tape (S&amp;P)'!S1592="Yes",
    1.15,
    1.00)</f>
        <v/>
      </c>
      <c r="Q1592">
        <f>IF('Loan Tape (S&amp;P)'!V1592="Yes",
    1.20,
    1.00)</f>
        <v/>
      </c>
      <c r="T1592">
        <f>LET(
    payment_method,'Loan Tape (S&amp;P)'!P1592,
    occupancy,'Loan Tape (S&amp;P)'!N1592,
    maturity_date,'Loan Tape (S&amp;P)'!L1592,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93">
      <c r="J1593">
        <f>LET(
    lien,'Loan Tape (S&amp;P)'!Q1593,
    IF(lien="First",1.00,
        IF(lien="Second",1.50,
            1.70)))</f>
        <v/>
      </c>
      <c r="K1593">
        <f>LET(
    purpose,'Loan Tape (S&amp;P)'!R1593,
    IF(purpose="Purchase",1.00,
        IF(purpose="Remortgage",1.00,
            1.20)))</f>
        <v/>
      </c>
      <c r="L1593">
        <f>LET(
    arrears_months,'Loan Tape (S&amp;P)'!AN1593,
    IF(arrears_months=0,1.00,
    IF(arrears_months=1,3.00,
    IF(arrears_months=2,5.00,
    IF(arrears_months=3,8.00,
    IF(arrears_months=4,10.00,
    IF(arrears_months=5,12.00,15.00)))))))</f>
        <v/>
      </c>
      <c r="M1593">
        <f>LET(
    seasoning_years,DATEDIF('Loan Tape (S&amp;P)'!K1593,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93">
        <f>IF(AND('Loan Tape (S&amp;P)'!U1593="Yes",
        'Loan Tape (S&amp;P)'!T1593&lt;&gt;"Yes",
        DATEDIF('Loan Tape (S&amp;P)'!K1593, TODAY(), "M")&lt;18),
    1.10,
    1.00)</f>
        <v/>
      </c>
      <c r="O1593">
        <f>IF('Loan Tape (S&amp;P)'!T1593="Yes",
    1.35,
    1.00)</f>
        <v/>
      </c>
      <c r="P1593">
        <f>IF('Loan Tape (S&amp;P)'!S1593="Yes",
    1.15,
    1.00)</f>
        <v/>
      </c>
      <c r="Q1593">
        <f>IF('Loan Tape (S&amp;P)'!V1593="Yes",
    1.20,
    1.00)</f>
        <v/>
      </c>
      <c r="T1593">
        <f>LET(
    payment_method,'Loan Tape (S&amp;P)'!P1593,
    occupancy,'Loan Tape (S&amp;P)'!N1593,
    maturity_date,'Loan Tape (S&amp;P)'!L1593,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94">
      <c r="J1594">
        <f>LET(
    lien,'Loan Tape (S&amp;P)'!Q1594,
    IF(lien="First",1.00,
        IF(lien="Second",1.50,
            1.70)))</f>
        <v/>
      </c>
      <c r="K1594">
        <f>LET(
    purpose,'Loan Tape (S&amp;P)'!R1594,
    IF(purpose="Purchase",1.00,
        IF(purpose="Remortgage",1.00,
            1.20)))</f>
        <v/>
      </c>
      <c r="L1594">
        <f>LET(
    arrears_months,'Loan Tape (S&amp;P)'!AN1594,
    IF(arrears_months=0,1.00,
    IF(arrears_months=1,3.00,
    IF(arrears_months=2,5.00,
    IF(arrears_months=3,8.00,
    IF(arrears_months=4,10.00,
    IF(arrears_months=5,12.00,15.00)))))))</f>
        <v/>
      </c>
      <c r="M1594">
        <f>LET(
    seasoning_years,DATEDIF('Loan Tape (S&amp;P)'!K1594,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94">
        <f>IF(AND('Loan Tape (S&amp;P)'!U1594="Yes",
        'Loan Tape (S&amp;P)'!T1594&lt;&gt;"Yes",
        DATEDIF('Loan Tape (S&amp;P)'!K1594, TODAY(), "M")&lt;18),
    1.10,
    1.00)</f>
        <v/>
      </c>
      <c r="O1594">
        <f>IF('Loan Tape (S&amp;P)'!T1594="Yes",
    1.35,
    1.00)</f>
        <v/>
      </c>
      <c r="P1594">
        <f>IF('Loan Tape (S&amp;P)'!S1594="Yes",
    1.15,
    1.00)</f>
        <v/>
      </c>
      <c r="Q1594">
        <f>IF('Loan Tape (S&amp;P)'!V1594="Yes",
    1.20,
    1.00)</f>
        <v/>
      </c>
      <c r="T1594">
        <f>LET(
    payment_method,'Loan Tape (S&amp;P)'!P1594,
    occupancy,'Loan Tape (S&amp;P)'!N1594,
    maturity_date,'Loan Tape (S&amp;P)'!L1594,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95">
      <c r="J1595">
        <f>LET(
    lien,'Loan Tape (S&amp;P)'!Q1595,
    IF(lien="First",1.00,
        IF(lien="Second",1.50,
            1.70)))</f>
        <v/>
      </c>
      <c r="K1595">
        <f>LET(
    purpose,'Loan Tape (S&amp;P)'!R1595,
    IF(purpose="Purchase",1.00,
        IF(purpose="Remortgage",1.00,
            1.20)))</f>
        <v/>
      </c>
      <c r="L1595">
        <f>LET(
    arrears_months,'Loan Tape (S&amp;P)'!AN1595,
    IF(arrears_months=0,1.00,
    IF(arrears_months=1,3.00,
    IF(arrears_months=2,5.00,
    IF(arrears_months=3,8.00,
    IF(arrears_months=4,10.00,
    IF(arrears_months=5,12.00,15.00)))))))</f>
        <v/>
      </c>
      <c r="M1595">
        <f>LET(
    seasoning_years,DATEDIF('Loan Tape (S&amp;P)'!K1595,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95">
        <f>IF(AND('Loan Tape (S&amp;P)'!U1595="Yes",
        'Loan Tape (S&amp;P)'!T1595&lt;&gt;"Yes",
        DATEDIF('Loan Tape (S&amp;P)'!K1595, TODAY(), "M")&lt;18),
    1.10,
    1.00)</f>
        <v/>
      </c>
      <c r="O1595">
        <f>IF('Loan Tape (S&amp;P)'!T1595="Yes",
    1.35,
    1.00)</f>
        <v/>
      </c>
      <c r="P1595">
        <f>IF('Loan Tape (S&amp;P)'!S1595="Yes",
    1.15,
    1.00)</f>
        <v/>
      </c>
      <c r="Q1595">
        <f>IF('Loan Tape (S&amp;P)'!V1595="Yes",
    1.20,
    1.00)</f>
        <v/>
      </c>
      <c r="T1595">
        <f>LET(
    payment_method,'Loan Tape (S&amp;P)'!P1595,
    occupancy,'Loan Tape (S&amp;P)'!N1595,
    maturity_date,'Loan Tape (S&amp;P)'!L1595,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96">
      <c r="J1596">
        <f>LET(
    lien,'Loan Tape (S&amp;P)'!Q1596,
    IF(lien="First",1.00,
        IF(lien="Second",1.50,
            1.70)))</f>
        <v/>
      </c>
      <c r="K1596">
        <f>LET(
    purpose,'Loan Tape (S&amp;P)'!R1596,
    IF(purpose="Purchase",1.00,
        IF(purpose="Remortgage",1.00,
            1.20)))</f>
        <v/>
      </c>
      <c r="L1596">
        <f>LET(
    arrears_months,'Loan Tape (S&amp;P)'!AN1596,
    IF(arrears_months=0,1.00,
    IF(arrears_months=1,3.00,
    IF(arrears_months=2,5.00,
    IF(arrears_months=3,8.00,
    IF(arrears_months=4,10.00,
    IF(arrears_months=5,12.00,15.00)))))))</f>
        <v/>
      </c>
      <c r="M1596">
        <f>LET(
    seasoning_years,DATEDIF('Loan Tape (S&amp;P)'!K1596,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96">
        <f>IF(AND('Loan Tape (S&amp;P)'!U1596="Yes",
        'Loan Tape (S&amp;P)'!T1596&lt;&gt;"Yes",
        DATEDIF('Loan Tape (S&amp;P)'!K1596, TODAY(), "M")&lt;18),
    1.10,
    1.00)</f>
        <v/>
      </c>
      <c r="O1596">
        <f>IF('Loan Tape (S&amp;P)'!T1596="Yes",
    1.35,
    1.00)</f>
        <v/>
      </c>
      <c r="P1596">
        <f>IF('Loan Tape (S&amp;P)'!S1596="Yes",
    1.15,
    1.00)</f>
        <v/>
      </c>
      <c r="Q1596">
        <f>IF('Loan Tape (S&amp;P)'!V1596="Yes",
    1.20,
    1.00)</f>
        <v/>
      </c>
      <c r="T1596">
        <f>LET(
    payment_method,'Loan Tape (S&amp;P)'!P1596,
    occupancy,'Loan Tape (S&amp;P)'!N1596,
    maturity_date,'Loan Tape (S&amp;P)'!L1596,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97">
      <c r="J1597">
        <f>LET(
    lien,'Loan Tape (S&amp;P)'!Q1597,
    IF(lien="First",1.00,
        IF(lien="Second",1.50,
            1.70)))</f>
        <v/>
      </c>
      <c r="K1597">
        <f>LET(
    purpose,'Loan Tape (S&amp;P)'!R1597,
    IF(purpose="Purchase",1.00,
        IF(purpose="Remortgage",1.00,
            1.20)))</f>
        <v/>
      </c>
      <c r="L1597">
        <f>LET(
    arrears_months,'Loan Tape (S&amp;P)'!AN1597,
    IF(arrears_months=0,1.00,
    IF(arrears_months=1,3.00,
    IF(arrears_months=2,5.00,
    IF(arrears_months=3,8.00,
    IF(arrears_months=4,10.00,
    IF(arrears_months=5,12.00,15.00)))))))</f>
        <v/>
      </c>
      <c r="M1597">
        <f>LET(
    seasoning_years,DATEDIF('Loan Tape (S&amp;P)'!K1597,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97">
        <f>IF(AND('Loan Tape (S&amp;P)'!U1597="Yes",
        'Loan Tape (S&amp;P)'!T1597&lt;&gt;"Yes",
        DATEDIF('Loan Tape (S&amp;P)'!K1597, TODAY(), "M")&lt;18),
    1.10,
    1.00)</f>
        <v/>
      </c>
      <c r="O1597">
        <f>IF('Loan Tape (S&amp;P)'!T1597="Yes",
    1.35,
    1.00)</f>
        <v/>
      </c>
      <c r="P1597">
        <f>IF('Loan Tape (S&amp;P)'!S1597="Yes",
    1.15,
    1.00)</f>
        <v/>
      </c>
      <c r="Q1597">
        <f>IF('Loan Tape (S&amp;P)'!V1597="Yes",
    1.20,
    1.00)</f>
        <v/>
      </c>
      <c r="T1597">
        <f>LET(
    payment_method,'Loan Tape (S&amp;P)'!P1597,
    occupancy,'Loan Tape (S&amp;P)'!N1597,
    maturity_date,'Loan Tape (S&amp;P)'!L1597,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98">
      <c r="J1598">
        <f>LET(
    lien,'Loan Tape (S&amp;P)'!Q1598,
    IF(lien="First",1.00,
        IF(lien="Second",1.50,
            1.70)))</f>
        <v/>
      </c>
      <c r="K1598">
        <f>LET(
    purpose,'Loan Tape (S&amp;P)'!R1598,
    IF(purpose="Purchase",1.00,
        IF(purpose="Remortgage",1.00,
            1.20)))</f>
        <v/>
      </c>
      <c r="L1598">
        <f>LET(
    arrears_months,'Loan Tape (S&amp;P)'!AN1598,
    IF(arrears_months=0,1.00,
    IF(arrears_months=1,3.00,
    IF(arrears_months=2,5.00,
    IF(arrears_months=3,8.00,
    IF(arrears_months=4,10.00,
    IF(arrears_months=5,12.00,15.00)))))))</f>
        <v/>
      </c>
      <c r="M1598">
        <f>LET(
    seasoning_years,DATEDIF('Loan Tape (S&amp;P)'!K1598,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98">
        <f>IF(AND('Loan Tape (S&amp;P)'!U1598="Yes",
        'Loan Tape (S&amp;P)'!T1598&lt;&gt;"Yes",
        DATEDIF('Loan Tape (S&amp;P)'!K1598, TODAY(), "M")&lt;18),
    1.10,
    1.00)</f>
        <v/>
      </c>
      <c r="O1598">
        <f>IF('Loan Tape (S&amp;P)'!T1598="Yes",
    1.35,
    1.00)</f>
        <v/>
      </c>
      <c r="P1598">
        <f>IF('Loan Tape (S&amp;P)'!S1598="Yes",
    1.15,
    1.00)</f>
        <v/>
      </c>
      <c r="Q1598">
        <f>IF('Loan Tape (S&amp;P)'!V1598="Yes",
    1.20,
    1.00)</f>
        <v/>
      </c>
      <c r="T1598">
        <f>LET(
    payment_method,'Loan Tape (S&amp;P)'!P1598,
    occupancy,'Loan Tape (S&amp;P)'!N1598,
    maturity_date,'Loan Tape (S&amp;P)'!L1598,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599">
      <c r="J1599">
        <f>LET(
    lien,'Loan Tape (S&amp;P)'!Q1599,
    IF(lien="First",1.00,
        IF(lien="Second",1.50,
            1.70)))</f>
        <v/>
      </c>
      <c r="K1599">
        <f>LET(
    purpose,'Loan Tape (S&amp;P)'!R1599,
    IF(purpose="Purchase",1.00,
        IF(purpose="Remortgage",1.00,
            1.20)))</f>
        <v/>
      </c>
      <c r="L1599">
        <f>LET(
    arrears_months,'Loan Tape (S&amp;P)'!AN1599,
    IF(arrears_months=0,1.00,
    IF(arrears_months=1,3.00,
    IF(arrears_months=2,5.00,
    IF(arrears_months=3,8.00,
    IF(arrears_months=4,10.00,
    IF(arrears_months=5,12.00,15.00)))))))</f>
        <v/>
      </c>
      <c r="M1599">
        <f>LET(
    seasoning_years,DATEDIF('Loan Tape (S&amp;P)'!K1599,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599">
        <f>IF(AND('Loan Tape (S&amp;P)'!U1599="Yes",
        'Loan Tape (S&amp;P)'!T1599&lt;&gt;"Yes",
        DATEDIF('Loan Tape (S&amp;P)'!K1599, TODAY(), "M")&lt;18),
    1.10,
    1.00)</f>
        <v/>
      </c>
      <c r="O1599">
        <f>IF('Loan Tape (S&amp;P)'!T1599="Yes",
    1.35,
    1.00)</f>
        <v/>
      </c>
      <c r="P1599">
        <f>IF('Loan Tape (S&amp;P)'!S1599="Yes",
    1.15,
    1.00)</f>
        <v/>
      </c>
      <c r="Q1599">
        <f>IF('Loan Tape (S&amp;P)'!V1599="Yes",
    1.20,
    1.00)</f>
        <v/>
      </c>
      <c r="T1599">
        <f>LET(
    payment_method,'Loan Tape (S&amp;P)'!P1599,
    occupancy,'Loan Tape (S&amp;P)'!N1599,
    maturity_date,'Loan Tape (S&amp;P)'!L1599,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00">
      <c r="J1600">
        <f>LET(
    lien,'Loan Tape (S&amp;P)'!Q1600,
    IF(lien="First",1.00,
        IF(lien="Second",1.50,
            1.70)))</f>
        <v/>
      </c>
      <c r="K1600">
        <f>LET(
    purpose,'Loan Tape (S&amp;P)'!R1600,
    IF(purpose="Purchase",1.00,
        IF(purpose="Remortgage",1.00,
            1.20)))</f>
        <v/>
      </c>
      <c r="L1600">
        <f>LET(
    arrears_months,'Loan Tape (S&amp;P)'!AN1600,
    IF(arrears_months=0,1.00,
    IF(arrears_months=1,3.00,
    IF(arrears_months=2,5.00,
    IF(arrears_months=3,8.00,
    IF(arrears_months=4,10.00,
    IF(arrears_months=5,12.00,15.00)))))))</f>
        <v/>
      </c>
      <c r="M1600">
        <f>LET(
    seasoning_years,DATEDIF('Loan Tape (S&amp;P)'!K1600,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00">
        <f>IF(AND('Loan Tape (S&amp;P)'!U1600="Yes",
        'Loan Tape (S&amp;P)'!T1600&lt;&gt;"Yes",
        DATEDIF('Loan Tape (S&amp;P)'!K1600, TODAY(), "M")&lt;18),
    1.10,
    1.00)</f>
        <v/>
      </c>
      <c r="O1600">
        <f>IF('Loan Tape (S&amp;P)'!T1600="Yes",
    1.35,
    1.00)</f>
        <v/>
      </c>
      <c r="P1600">
        <f>IF('Loan Tape (S&amp;P)'!S1600="Yes",
    1.15,
    1.00)</f>
        <v/>
      </c>
      <c r="Q1600">
        <f>IF('Loan Tape (S&amp;P)'!V1600="Yes",
    1.20,
    1.00)</f>
        <v/>
      </c>
      <c r="T1600">
        <f>LET(
    payment_method,'Loan Tape (S&amp;P)'!P1600,
    occupancy,'Loan Tape (S&amp;P)'!N1600,
    maturity_date,'Loan Tape (S&amp;P)'!L1600,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01">
      <c r="J1601">
        <f>LET(
    lien,'Loan Tape (S&amp;P)'!Q1601,
    IF(lien="First",1.00,
        IF(lien="Second",1.50,
            1.70)))</f>
        <v/>
      </c>
      <c r="K1601">
        <f>LET(
    purpose,'Loan Tape (S&amp;P)'!R1601,
    IF(purpose="Purchase",1.00,
        IF(purpose="Remortgage",1.00,
            1.20)))</f>
        <v/>
      </c>
      <c r="L1601">
        <f>LET(
    arrears_months,'Loan Tape (S&amp;P)'!AN1601,
    IF(arrears_months=0,1.00,
    IF(arrears_months=1,3.00,
    IF(arrears_months=2,5.00,
    IF(arrears_months=3,8.00,
    IF(arrears_months=4,10.00,
    IF(arrears_months=5,12.00,15.00)))))))</f>
        <v/>
      </c>
      <c r="M1601">
        <f>LET(
    seasoning_years,DATEDIF('Loan Tape (S&amp;P)'!K1601,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01">
        <f>IF(AND('Loan Tape (S&amp;P)'!U1601="Yes",
        'Loan Tape (S&amp;P)'!T1601&lt;&gt;"Yes",
        DATEDIF('Loan Tape (S&amp;P)'!K1601, TODAY(), "M")&lt;18),
    1.10,
    1.00)</f>
        <v/>
      </c>
      <c r="O1601">
        <f>IF('Loan Tape (S&amp;P)'!T1601="Yes",
    1.35,
    1.00)</f>
        <v/>
      </c>
      <c r="P1601">
        <f>IF('Loan Tape (S&amp;P)'!S1601="Yes",
    1.15,
    1.00)</f>
        <v/>
      </c>
      <c r="Q1601">
        <f>IF('Loan Tape (S&amp;P)'!V1601="Yes",
    1.20,
    1.00)</f>
        <v/>
      </c>
      <c r="T1601">
        <f>LET(
    payment_method,'Loan Tape (S&amp;P)'!P1601,
    occupancy,'Loan Tape (S&amp;P)'!N1601,
    maturity_date,'Loan Tape (S&amp;P)'!L1601,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02">
      <c r="J1602">
        <f>LET(
    lien,'Loan Tape (S&amp;P)'!Q1602,
    IF(lien="First",1.00,
        IF(lien="Second",1.50,
            1.70)))</f>
        <v/>
      </c>
      <c r="K1602">
        <f>LET(
    purpose,'Loan Tape (S&amp;P)'!R1602,
    IF(purpose="Purchase",1.00,
        IF(purpose="Remortgage",1.00,
            1.20)))</f>
        <v/>
      </c>
      <c r="L1602">
        <f>LET(
    arrears_months,'Loan Tape (S&amp;P)'!AN1602,
    IF(arrears_months=0,1.00,
    IF(arrears_months=1,3.00,
    IF(arrears_months=2,5.00,
    IF(arrears_months=3,8.00,
    IF(arrears_months=4,10.00,
    IF(arrears_months=5,12.00,15.00)))))))</f>
        <v/>
      </c>
      <c r="M1602">
        <f>LET(
    seasoning_years,DATEDIF('Loan Tape (S&amp;P)'!K1602,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02">
        <f>IF(AND('Loan Tape (S&amp;P)'!U1602="Yes",
        'Loan Tape (S&amp;P)'!T1602&lt;&gt;"Yes",
        DATEDIF('Loan Tape (S&amp;P)'!K1602, TODAY(), "M")&lt;18),
    1.10,
    1.00)</f>
        <v/>
      </c>
      <c r="O1602">
        <f>IF('Loan Tape (S&amp;P)'!T1602="Yes",
    1.35,
    1.00)</f>
        <v/>
      </c>
      <c r="P1602">
        <f>IF('Loan Tape (S&amp;P)'!S1602="Yes",
    1.15,
    1.00)</f>
        <v/>
      </c>
      <c r="Q1602">
        <f>IF('Loan Tape (S&amp;P)'!V1602="Yes",
    1.20,
    1.00)</f>
        <v/>
      </c>
      <c r="T1602">
        <f>LET(
    payment_method,'Loan Tape (S&amp;P)'!P1602,
    occupancy,'Loan Tape (S&amp;P)'!N1602,
    maturity_date,'Loan Tape (S&amp;P)'!L1602,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03">
      <c r="J1603">
        <f>LET(
    lien,'Loan Tape (S&amp;P)'!Q1603,
    IF(lien="First",1.00,
        IF(lien="Second",1.50,
            1.70)))</f>
        <v/>
      </c>
      <c r="K1603">
        <f>LET(
    purpose,'Loan Tape (S&amp;P)'!R1603,
    IF(purpose="Purchase",1.00,
        IF(purpose="Remortgage",1.00,
            1.20)))</f>
        <v/>
      </c>
      <c r="L1603">
        <f>LET(
    arrears_months,'Loan Tape (S&amp;P)'!AN1603,
    IF(arrears_months=0,1.00,
    IF(arrears_months=1,3.00,
    IF(arrears_months=2,5.00,
    IF(arrears_months=3,8.00,
    IF(arrears_months=4,10.00,
    IF(arrears_months=5,12.00,15.00)))))))</f>
        <v/>
      </c>
      <c r="M1603">
        <f>LET(
    seasoning_years,DATEDIF('Loan Tape (S&amp;P)'!K1603,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03">
        <f>IF(AND('Loan Tape (S&amp;P)'!U1603="Yes",
        'Loan Tape (S&amp;P)'!T1603&lt;&gt;"Yes",
        DATEDIF('Loan Tape (S&amp;P)'!K1603, TODAY(), "M")&lt;18),
    1.10,
    1.00)</f>
        <v/>
      </c>
      <c r="O1603">
        <f>IF('Loan Tape (S&amp;P)'!T1603="Yes",
    1.35,
    1.00)</f>
        <v/>
      </c>
      <c r="P1603">
        <f>IF('Loan Tape (S&amp;P)'!S1603="Yes",
    1.15,
    1.00)</f>
        <v/>
      </c>
      <c r="Q1603">
        <f>IF('Loan Tape (S&amp;P)'!V1603="Yes",
    1.20,
    1.00)</f>
        <v/>
      </c>
      <c r="T1603">
        <f>LET(
    payment_method,'Loan Tape (S&amp;P)'!P1603,
    occupancy,'Loan Tape (S&amp;P)'!N1603,
    maturity_date,'Loan Tape (S&amp;P)'!L1603,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04">
      <c r="J1604">
        <f>LET(
    lien,'Loan Tape (S&amp;P)'!Q1604,
    IF(lien="First",1.00,
        IF(lien="Second",1.50,
            1.70)))</f>
        <v/>
      </c>
      <c r="K1604">
        <f>LET(
    purpose,'Loan Tape (S&amp;P)'!R1604,
    IF(purpose="Purchase",1.00,
        IF(purpose="Remortgage",1.00,
            1.20)))</f>
        <v/>
      </c>
      <c r="L1604">
        <f>LET(
    arrears_months,'Loan Tape (S&amp;P)'!AN1604,
    IF(arrears_months=0,1.00,
    IF(arrears_months=1,3.00,
    IF(arrears_months=2,5.00,
    IF(arrears_months=3,8.00,
    IF(arrears_months=4,10.00,
    IF(arrears_months=5,12.00,15.00)))))))</f>
        <v/>
      </c>
      <c r="M1604">
        <f>LET(
    seasoning_years,DATEDIF('Loan Tape (S&amp;P)'!K1604,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04">
        <f>IF(AND('Loan Tape (S&amp;P)'!U1604="Yes",
        'Loan Tape (S&amp;P)'!T1604&lt;&gt;"Yes",
        DATEDIF('Loan Tape (S&amp;P)'!K1604, TODAY(), "M")&lt;18),
    1.10,
    1.00)</f>
        <v/>
      </c>
      <c r="O1604">
        <f>IF('Loan Tape (S&amp;P)'!T1604="Yes",
    1.35,
    1.00)</f>
        <v/>
      </c>
      <c r="P1604">
        <f>IF('Loan Tape (S&amp;P)'!S1604="Yes",
    1.15,
    1.00)</f>
        <v/>
      </c>
      <c r="Q1604">
        <f>IF('Loan Tape (S&amp;P)'!V1604="Yes",
    1.20,
    1.00)</f>
        <v/>
      </c>
      <c r="T1604">
        <f>LET(
    payment_method,'Loan Tape (S&amp;P)'!P1604,
    occupancy,'Loan Tape (S&amp;P)'!N1604,
    maturity_date,'Loan Tape (S&amp;P)'!L1604,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05">
      <c r="J1605">
        <f>LET(
    lien,'Loan Tape (S&amp;P)'!Q1605,
    IF(lien="First",1.00,
        IF(lien="Second",1.50,
            1.70)))</f>
        <v/>
      </c>
      <c r="K1605">
        <f>LET(
    purpose,'Loan Tape (S&amp;P)'!R1605,
    IF(purpose="Purchase",1.00,
        IF(purpose="Remortgage",1.00,
            1.20)))</f>
        <v/>
      </c>
      <c r="L1605">
        <f>LET(
    arrears_months,'Loan Tape (S&amp;P)'!AN1605,
    IF(arrears_months=0,1.00,
    IF(arrears_months=1,3.00,
    IF(arrears_months=2,5.00,
    IF(arrears_months=3,8.00,
    IF(arrears_months=4,10.00,
    IF(arrears_months=5,12.00,15.00)))))))</f>
        <v/>
      </c>
      <c r="M1605">
        <f>LET(
    seasoning_years,DATEDIF('Loan Tape (S&amp;P)'!K1605,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05">
        <f>IF(AND('Loan Tape (S&amp;P)'!U1605="Yes",
        'Loan Tape (S&amp;P)'!T1605&lt;&gt;"Yes",
        DATEDIF('Loan Tape (S&amp;P)'!K1605, TODAY(), "M")&lt;18),
    1.10,
    1.00)</f>
        <v/>
      </c>
      <c r="O1605">
        <f>IF('Loan Tape (S&amp;P)'!T1605="Yes",
    1.35,
    1.00)</f>
        <v/>
      </c>
      <c r="P1605">
        <f>IF('Loan Tape (S&amp;P)'!S1605="Yes",
    1.15,
    1.00)</f>
        <v/>
      </c>
      <c r="Q1605">
        <f>IF('Loan Tape (S&amp;P)'!V1605="Yes",
    1.20,
    1.00)</f>
        <v/>
      </c>
      <c r="T1605">
        <f>LET(
    payment_method,'Loan Tape (S&amp;P)'!P1605,
    occupancy,'Loan Tape (S&amp;P)'!N1605,
    maturity_date,'Loan Tape (S&amp;P)'!L1605,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06">
      <c r="J1606">
        <f>LET(
    lien,'Loan Tape (S&amp;P)'!Q1606,
    IF(lien="First",1.00,
        IF(lien="Second",1.50,
            1.70)))</f>
        <v/>
      </c>
      <c r="K1606">
        <f>LET(
    purpose,'Loan Tape (S&amp;P)'!R1606,
    IF(purpose="Purchase",1.00,
        IF(purpose="Remortgage",1.00,
            1.20)))</f>
        <v/>
      </c>
      <c r="L1606">
        <f>LET(
    arrears_months,'Loan Tape (S&amp;P)'!AN1606,
    IF(arrears_months=0,1.00,
    IF(arrears_months=1,3.00,
    IF(arrears_months=2,5.00,
    IF(arrears_months=3,8.00,
    IF(arrears_months=4,10.00,
    IF(arrears_months=5,12.00,15.00)))))))</f>
        <v/>
      </c>
      <c r="M1606">
        <f>LET(
    seasoning_years,DATEDIF('Loan Tape (S&amp;P)'!K1606,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06">
        <f>IF(AND('Loan Tape (S&amp;P)'!U1606="Yes",
        'Loan Tape (S&amp;P)'!T1606&lt;&gt;"Yes",
        DATEDIF('Loan Tape (S&amp;P)'!K1606, TODAY(), "M")&lt;18),
    1.10,
    1.00)</f>
        <v/>
      </c>
      <c r="O1606">
        <f>IF('Loan Tape (S&amp;P)'!T1606="Yes",
    1.35,
    1.00)</f>
        <v/>
      </c>
      <c r="P1606">
        <f>IF('Loan Tape (S&amp;P)'!S1606="Yes",
    1.15,
    1.00)</f>
        <v/>
      </c>
      <c r="Q1606">
        <f>IF('Loan Tape (S&amp;P)'!V1606="Yes",
    1.20,
    1.00)</f>
        <v/>
      </c>
      <c r="T1606">
        <f>LET(
    payment_method,'Loan Tape (S&amp;P)'!P1606,
    occupancy,'Loan Tape (S&amp;P)'!N1606,
    maturity_date,'Loan Tape (S&amp;P)'!L1606,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07">
      <c r="J1607">
        <f>LET(
    lien,'Loan Tape (S&amp;P)'!Q1607,
    IF(lien="First",1.00,
        IF(lien="Second",1.50,
            1.70)))</f>
        <v/>
      </c>
      <c r="K1607">
        <f>LET(
    purpose,'Loan Tape (S&amp;P)'!R1607,
    IF(purpose="Purchase",1.00,
        IF(purpose="Remortgage",1.00,
            1.20)))</f>
        <v/>
      </c>
      <c r="L1607">
        <f>LET(
    arrears_months,'Loan Tape (S&amp;P)'!AN1607,
    IF(arrears_months=0,1.00,
    IF(arrears_months=1,3.00,
    IF(arrears_months=2,5.00,
    IF(arrears_months=3,8.00,
    IF(arrears_months=4,10.00,
    IF(arrears_months=5,12.00,15.00)))))))</f>
        <v/>
      </c>
      <c r="M1607">
        <f>LET(
    seasoning_years,DATEDIF('Loan Tape (S&amp;P)'!K1607,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07">
        <f>IF(AND('Loan Tape (S&amp;P)'!U1607="Yes",
        'Loan Tape (S&amp;P)'!T1607&lt;&gt;"Yes",
        DATEDIF('Loan Tape (S&amp;P)'!K1607, TODAY(), "M")&lt;18),
    1.10,
    1.00)</f>
        <v/>
      </c>
      <c r="O1607">
        <f>IF('Loan Tape (S&amp;P)'!T1607="Yes",
    1.35,
    1.00)</f>
        <v/>
      </c>
      <c r="P1607">
        <f>IF('Loan Tape (S&amp;P)'!S1607="Yes",
    1.15,
    1.00)</f>
        <v/>
      </c>
      <c r="Q1607">
        <f>IF('Loan Tape (S&amp;P)'!V1607="Yes",
    1.20,
    1.00)</f>
        <v/>
      </c>
      <c r="T1607">
        <f>LET(
    payment_method,'Loan Tape (S&amp;P)'!P1607,
    occupancy,'Loan Tape (S&amp;P)'!N1607,
    maturity_date,'Loan Tape (S&amp;P)'!L1607,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08">
      <c r="J1608">
        <f>LET(
    lien,'Loan Tape (S&amp;P)'!Q1608,
    IF(lien="First",1.00,
        IF(lien="Second",1.50,
            1.70)))</f>
        <v/>
      </c>
      <c r="K1608">
        <f>LET(
    purpose,'Loan Tape (S&amp;P)'!R1608,
    IF(purpose="Purchase",1.00,
        IF(purpose="Remortgage",1.00,
            1.20)))</f>
        <v/>
      </c>
      <c r="L1608">
        <f>LET(
    arrears_months,'Loan Tape (S&amp;P)'!AN1608,
    IF(arrears_months=0,1.00,
    IF(arrears_months=1,3.00,
    IF(arrears_months=2,5.00,
    IF(arrears_months=3,8.00,
    IF(arrears_months=4,10.00,
    IF(arrears_months=5,12.00,15.00)))))))</f>
        <v/>
      </c>
      <c r="M1608">
        <f>LET(
    seasoning_years,DATEDIF('Loan Tape (S&amp;P)'!K1608,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08">
        <f>IF(AND('Loan Tape (S&amp;P)'!U1608="Yes",
        'Loan Tape (S&amp;P)'!T1608&lt;&gt;"Yes",
        DATEDIF('Loan Tape (S&amp;P)'!K1608, TODAY(), "M")&lt;18),
    1.10,
    1.00)</f>
        <v/>
      </c>
      <c r="O1608">
        <f>IF('Loan Tape (S&amp;P)'!T1608="Yes",
    1.35,
    1.00)</f>
        <v/>
      </c>
      <c r="P1608">
        <f>IF('Loan Tape (S&amp;P)'!S1608="Yes",
    1.15,
    1.00)</f>
        <v/>
      </c>
      <c r="Q1608">
        <f>IF('Loan Tape (S&amp;P)'!V1608="Yes",
    1.20,
    1.00)</f>
        <v/>
      </c>
      <c r="T1608">
        <f>LET(
    payment_method,'Loan Tape (S&amp;P)'!P1608,
    occupancy,'Loan Tape (S&amp;P)'!N1608,
    maturity_date,'Loan Tape (S&amp;P)'!L1608,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09">
      <c r="J1609">
        <f>LET(
    lien,'Loan Tape (S&amp;P)'!Q1609,
    IF(lien="First",1.00,
        IF(lien="Second",1.50,
            1.70)))</f>
        <v/>
      </c>
      <c r="K1609">
        <f>LET(
    purpose,'Loan Tape (S&amp;P)'!R1609,
    IF(purpose="Purchase",1.00,
        IF(purpose="Remortgage",1.00,
            1.20)))</f>
        <v/>
      </c>
      <c r="L1609">
        <f>LET(
    arrears_months,'Loan Tape (S&amp;P)'!AN1609,
    IF(arrears_months=0,1.00,
    IF(arrears_months=1,3.00,
    IF(arrears_months=2,5.00,
    IF(arrears_months=3,8.00,
    IF(arrears_months=4,10.00,
    IF(arrears_months=5,12.00,15.00)))))))</f>
        <v/>
      </c>
      <c r="M1609">
        <f>LET(
    seasoning_years,DATEDIF('Loan Tape (S&amp;P)'!K1609,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09">
        <f>IF(AND('Loan Tape (S&amp;P)'!U1609="Yes",
        'Loan Tape (S&amp;P)'!T1609&lt;&gt;"Yes",
        DATEDIF('Loan Tape (S&amp;P)'!K1609, TODAY(), "M")&lt;18),
    1.10,
    1.00)</f>
        <v/>
      </c>
      <c r="O1609">
        <f>IF('Loan Tape (S&amp;P)'!T1609="Yes",
    1.35,
    1.00)</f>
        <v/>
      </c>
      <c r="P1609">
        <f>IF('Loan Tape (S&amp;P)'!S1609="Yes",
    1.15,
    1.00)</f>
        <v/>
      </c>
      <c r="Q1609">
        <f>IF('Loan Tape (S&amp;P)'!V1609="Yes",
    1.20,
    1.00)</f>
        <v/>
      </c>
      <c r="T1609">
        <f>LET(
    payment_method,'Loan Tape (S&amp;P)'!P1609,
    occupancy,'Loan Tape (S&amp;P)'!N1609,
    maturity_date,'Loan Tape (S&amp;P)'!L1609,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10">
      <c r="J1610">
        <f>LET(
    lien,'Loan Tape (S&amp;P)'!Q1610,
    IF(lien="First",1.00,
        IF(lien="Second",1.50,
            1.70)))</f>
        <v/>
      </c>
      <c r="K1610">
        <f>LET(
    purpose,'Loan Tape (S&amp;P)'!R1610,
    IF(purpose="Purchase",1.00,
        IF(purpose="Remortgage",1.00,
            1.20)))</f>
        <v/>
      </c>
      <c r="L1610">
        <f>LET(
    arrears_months,'Loan Tape (S&amp;P)'!AN1610,
    IF(arrears_months=0,1.00,
    IF(arrears_months=1,3.00,
    IF(arrears_months=2,5.00,
    IF(arrears_months=3,8.00,
    IF(arrears_months=4,10.00,
    IF(arrears_months=5,12.00,15.00)))))))</f>
        <v/>
      </c>
      <c r="M1610">
        <f>LET(
    seasoning_years,DATEDIF('Loan Tape (S&amp;P)'!K1610,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10">
        <f>IF(AND('Loan Tape (S&amp;P)'!U1610="Yes",
        'Loan Tape (S&amp;P)'!T1610&lt;&gt;"Yes",
        DATEDIF('Loan Tape (S&amp;P)'!K1610, TODAY(), "M")&lt;18),
    1.10,
    1.00)</f>
        <v/>
      </c>
      <c r="O1610">
        <f>IF('Loan Tape (S&amp;P)'!T1610="Yes",
    1.35,
    1.00)</f>
        <v/>
      </c>
      <c r="P1610">
        <f>IF('Loan Tape (S&amp;P)'!S1610="Yes",
    1.15,
    1.00)</f>
        <v/>
      </c>
      <c r="Q1610">
        <f>IF('Loan Tape (S&amp;P)'!V1610="Yes",
    1.20,
    1.00)</f>
        <v/>
      </c>
      <c r="T1610">
        <f>LET(
    payment_method,'Loan Tape (S&amp;P)'!P1610,
    occupancy,'Loan Tape (S&amp;P)'!N1610,
    maturity_date,'Loan Tape (S&amp;P)'!L1610,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11">
      <c r="J1611">
        <f>LET(
    lien,'Loan Tape (S&amp;P)'!Q1611,
    IF(lien="First",1.00,
        IF(lien="Second",1.50,
            1.70)))</f>
        <v/>
      </c>
      <c r="K1611">
        <f>LET(
    purpose,'Loan Tape (S&amp;P)'!R1611,
    IF(purpose="Purchase",1.00,
        IF(purpose="Remortgage",1.00,
            1.20)))</f>
        <v/>
      </c>
      <c r="L1611">
        <f>LET(
    arrears_months,'Loan Tape (S&amp;P)'!AN1611,
    IF(arrears_months=0,1.00,
    IF(arrears_months=1,3.00,
    IF(arrears_months=2,5.00,
    IF(arrears_months=3,8.00,
    IF(arrears_months=4,10.00,
    IF(arrears_months=5,12.00,15.00)))))))</f>
        <v/>
      </c>
      <c r="M1611">
        <f>LET(
    seasoning_years,DATEDIF('Loan Tape (S&amp;P)'!K1611,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11">
        <f>IF(AND('Loan Tape (S&amp;P)'!U1611="Yes",
        'Loan Tape (S&amp;P)'!T1611&lt;&gt;"Yes",
        DATEDIF('Loan Tape (S&amp;P)'!K1611, TODAY(), "M")&lt;18),
    1.10,
    1.00)</f>
        <v/>
      </c>
      <c r="O1611">
        <f>IF('Loan Tape (S&amp;P)'!T1611="Yes",
    1.35,
    1.00)</f>
        <v/>
      </c>
      <c r="P1611">
        <f>IF('Loan Tape (S&amp;P)'!S1611="Yes",
    1.15,
    1.00)</f>
        <v/>
      </c>
      <c r="Q1611">
        <f>IF('Loan Tape (S&amp;P)'!V1611="Yes",
    1.20,
    1.00)</f>
        <v/>
      </c>
      <c r="T1611">
        <f>LET(
    payment_method,'Loan Tape (S&amp;P)'!P1611,
    occupancy,'Loan Tape (S&amp;P)'!N1611,
    maturity_date,'Loan Tape (S&amp;P)'!L1611,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12">
      <c r="J1612">
        <f>LET(
    lien,'Loan Tape (S&amp;P)'!Q1612,
    IF(lien="First",1.00,
        IF(lien="Second",1.50,
            1.70)))</f>
        <v/>
      </c>
      <c r="K1612">
        <f>LET(
    purpose,'Loan Tape (S&amp;P)'!R1612,
    IF(purpose="Purchase",1.00,
        IF(purpose="Remortgage",1.00,
            1.20)))</f>
        <v/>
      </c>
      <c r="L1612">
        <f>LET(
    arrears_months,'Loan Tape (S&amp;P)'!AN1612,
    IF(arrears_months=0,1.00,
    IF(arrears_months=1,3.00,
    IF(arrears_months=2,5.00,
    IF(arrears_months=3,8.00,
    IF(arrears_months=4,10.00,
    IF(arrears_months=5,12.00,15.00)))))))</f>
        <v/>
      </c>
      <c r="M1612">
        <f>LET(
    seasoning_years,DATEDIF('Loan Tape (S&amp;P)'!K1612,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12">
        <f>IF(AND('Loan Tape (S&amp;P)'!U1612="Yes",
        'Loan Tape (S&amp;P)'!T1612&lt;&gt;"Yes",
        DATEDIF('Loan Tape (S&amp;P)'!K1612, TODAY(), "M")&lt;18),
    1.10,
    1.00)</f>
        <v/>
      </c>
      <c r="O1612">
        <f>IF('Loan Tape (S&amp;P)'!T1612="Yes",
    1.35,
    1.00)</f>
        <v/>
      </c>
      <c r="P1612">
        <f>IF('Loan Tape (S&amp;P)'!S1612="Yes",
    1.15,
    1.00)</f>
        <v/>
      </c>
      <c r="Q1612">
        <f>IF('Loan Tape (S&amp;P)'!V1612="Yes",
    1.20,
    1.00)</f>
        <v/>
      </c>
      <c r="T1612">
        <f>LET(
    payment_method,'Loan Tape (S&amp;P)'!P1612,
    occupancy,'Loan Tape (S&amp;P)'!N1612,
    maturity_date,'Loan Tape (S&amp;P)'!L1612,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13">
      <c r="J1613">
        <f>LET(
    lien,'Loan Tape (S&amp;P)'!Q1613,
    IF(lien="First",1.00,
        IF(lien="Second",1.50,
            1.70)))</f>
        <v/>
      </c>
      <c r="K1613">
        <f>LET(
    purpose,'Loan Tape (S&amp;P)'!R1613,
    IF(purpose="Purchase",1.00,
        IF(purpose="Remortgage",1.00,
            1.20)))</f>
        <v/>
      </c>
      <c r="L1613">
        <f>LET(
    arrears_months,'Loan Tape (S&amp;P)'!AN1613,
    IF(arrears_months=0,1.00,
    IF(arrears_months=1,3.00,
    IF(arrears_months=2,5.00,
    IF(arrears_months=3,8.00,
    IF(arrears_months=4,10.00,
    IF(arrears_months=5,12.00,15.00)))))))</f>
        <v/>
      </c>
      <c r="M1613">
        <f>LET(
    seasoning_years,DATEDIF('Loan Tape (S&amp;P)'!K1613,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13">
        <f>IF(AND('Loan Tape (S&amp;P)'!U1613="Yes",
        'Loan Tape (S&amp;P)'!T1613&lt;&gt;"Yes",
        DATEDIF('Loan Tape (S&amp;P)'!K1613, TODAY(), "M")&lt;18),
    1.10,
    1.00)</f>
        <v/>
      </c>
      <c r="O1613">
        <f>IF('Loan Tape (S&amp;P)'!T1613="Yes",
    1.35,
    1.00)</f>
        <v/>
      </c>
      <c r="P1613">
        <f>IF('Loan Tape (S&amp;P)'!S1613="Yes",
    1.15,
    1.00)</f>
        <v/>
      </c>
      <c r="Q1613">
        <f>IF('Loan Tape (S&amp;P)'!V1613="Yes",
    1.20,
    1.00)</f>
        <v/>
      </c>
      <c r="T1613">
        <f>LET(
    payment_method,'Loan Tape (S&amp;P)'!P1613,
    occupancy,'Loan Tape (S&amp;P)'!N1613,
    maturity_date,'Loan Tape (S&amp;P)'!L1613,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14">
      <c r="J1614">
        <f>LET(
    lien,'Loan Tape (S&amp;P)'!Q1614,
    IF(lien="First",1.00,
        IF(lien="Second",1.50,
            1.70)))</f>
        <v/>
      </c>
      <c r="K1614">
        <f>LET(
    purpose,'Loan Tape (S&amp;P)'!R1614,
    IF(purpose="Purchase",1.00,
        IF(purpose="Remortgage",1.00,
            1.20)))</f>
        <v/>
      </c>
      <c r="L1614">
        <f>LET(
    arrears_months,'Loan Tape (S&amp;P)'!AN1614,
    IF(arrears_months=0,1.00,
    IF(arrears_months=1,3.00,
    IF(arrears_months=2,5.00,
    IF(arrears_months=3,8.00,
    IF(arrears_months=4,10.00,
    IF(arrears_months=5,12.00,15.00)))))))</f>
        <v/>
      </c>
      <c r="M1614">
        <f>LET(
    seasoning_years,DATEDIF('Loan Tape (S&amp;P)'!K1614,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14">
        <f>IF(AND('Loan Tape (S&amp;P)'!U1614="Yes",
        'Loan Tape (S&amp;P)'!T1614&lt;&gt;"Yes",
        DATEDIF('Loan Tape (S&amp;P)'!K1614, TODAY(), "M")&lt;18),
    1.10,
    1.00)</f>
        <v/>
      </c>
      <c r="O1614">
        <f>IF('Loan Tape (S&amp;P)'!T1614="Yes",
    1.35,
    1.00)</f>
        <v/>
      </c>
      <c r="P1614">
        <f>IF('Loan Tape (S&amp;P)'!S1614="Yes",
    1.15,
    1.00)</f>
        <v/>
      </c>
      <c r="Q1614">
        <f>IF('Loan Tape (S&amp;P)'!V1614="Yes",
    1.20,
    1.00)</f>
        <v/>
      </c>
      <c r="T1614">
        <f>LET(
    payment_method,'Loan Tape (S&amp;P)'!P1614,
    occupancy,'Loan Tape (S&amp;P)'!N1614,
    maturity_date,'Loan Tape (S&amp;P)'!L1614,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15">
      <c r="J1615">
        <f>LET(
    lien,'Loan Tape (S&amp;P)'!Q1615,
    IF(lien="First",1.00,
        IF(lien="Second",1.50,
            1.70)))</f>
        <v/>
      </c>
      <c r="K1615">
        <f>LET(
    purpose,'Loan Tape (S&amp;P)'!R1615,
    IF(purpose="Purchase",1.00,
        IF(purpose="Remortgage",1.00,
            1.20)))</f>
        <v/>
      </c>
      <c r="L1615">
        <f>LET(
    arrears_months,'Loan Tape (S&amp;P)'!AN1615,
    IF(arrears_months=0,1.00,
    IF(arrears_months=1,3.00,
    IF(arrears_months=2,5.00,
    IF(arrears_months=3,8.00,
    IF(arrears_months=4,10.00,
    IF(arrears_months=5,12.00,15.00)))))))</f>
        <v/>
      </c>
      <c r="M1615">
        <f>LET(
    seasoning_years,DATEDIF('Loan Tape (S&amp;P)'!K1615,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15">
        <f>IF(AND('Loan Tape (S&amp;P)'!U1615="Yes",
        'Loan Tape (S&amp;P)'!T1615&lt;&gt;"Yes",
        DATEDIF('Loan Tape (S&amp;P)'!K1615, TODAY(), "M")&lt;18),
    1.10,
    1.00)</f>
        <v/>
      </c>
      <c r="O1615">
        <f>IF('Loan Tape (S&amp;P)'!T1615="Yes",
    1.35,
    1.00)</f>
        <v/>
      </c>
      <c r="P1615">
        <f>IF('Loan Tape (S&amp;P)'!S1615="Yes",
    1.15,
    1.00)</f>
        <v/>
      </c>
      <c r="Q1615">
        <f>IF('Loan Tape (S&amp;P)'!V1615="Yes",
    1.20,
    1.00)</f>
        <v/>
      </c>
      <c r="T1615">
        <f>LET(
    payment_method,'Loan Tape (S&amp;P)'!P1615,
    occupancy,'Loan Tape (S&amp;P)'!N1615,
    maturity_date,'Loan Tape (S&amp;P)'!L1615,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16">
      <c r="J1616">
        <f>LET(
    lien,'Loan Tape (S&amp;P)'!Q1616,
    IF(lien="First",1.00,
        IF(lien="Second",1.50,
            1.70)))</f>
        <v/>
      </c>
      <c r="K1616">
        <f>LET(
    purpose,'Loan Tape (S&amp;P)'!R1616,
    IF(purpose="Purchase",1.00,
        IF(purpose="Remortgage",1.00,
            1.20)))</f>
        <v/>
      </c>
      <c r="L1616">
        <f>LET(
    arrears_months,'Loan Tape (S&amp;P)'!AN1616,
    IF(arrears_months=0,1.00,
    IF(arrears_months=1,3.00,
    IF(arrears_months=2,5.00,
    IF(arrears_months=3,8.00,
    IF(arrears_months=4,10.00,
    IF(arrears_months=5,12.00,15.00)))))))</f>
        <v/>
      </c>
      <c r="M1616">
        <f>LET(
    seasoning_years,DATEDIF('Loan Tape (S&amp;P)'!K1616,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16">
        <f>IF(AND('Loan Tape (S&amp;P)'!U1616="Yes",
        'Loan Tape (S&amp;P)'!T1616&lt;&gt;"Yes",
        DATEDIF('Loan Tape (S&amp;P)'!K1616, TODAY(), "M")&lt;18),
    1.10,
    1.00)</f>
        <v/>
      </c>
      <c r="O1616">
        <f>IF('Loan Tape (S&amp;P)'!T1616="Yes",
    1.35,
    1.00)</f>
        <v/>
      </c>
      <c r="P1616">
        <f>IF('Loan Tape (S&amp;P)'!S1616="Yes",
    1.15,
    1.00)</f>
        <v/>
      </c>
      <c r="Q1616">
        <f>IF('Loan Tape (S&amp;P)'!V1616="Yes",
    1.20,
    1.00)</f>
        <v/>
      </c>
      <c r="T1616">
        <f>LET(
    payment_method,'Loan Tape (S&amp;P)'!P1616,
    occupancy,'Loan Tape (S&amp;P)'!N1616,
    maturity_date,'Loan Tape (S&amp;P)'!L1616,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17">
      <c r="J1617">
        <f>LET(
    lien,'Loan Tape (S&amp;P)'!Q1617,
    IF(lien="First",1.00,
        IF(lien="Second",1.50,
            1.70)))</f>
        <v/>
      </c>
      <c r="K1617">
        <f>LET(
    purpose,'Loan Tape (S&amp;P)'!R1617,
    IF(purpose="Purchase",1.00,
        IF(purpose="Remortgage",1.00,
            1.20)))</f>
        <v/>
      </c>
      <c r="L1617">
        <f>LET(
    arrears_months,'Loan Tape (S&amp;P)'!AN1617,
    IF(arrears_months=0,1.00,
    IF(arrears_months=1,3.00,
    IF(arrears_months=2,5.00,
    IF(arrears_months=3,8.00,
    IF(arrears_months=4,10.00,
    IF(arrears_months=5,12.00,15.00)))))))</f>
        <v/>
      </c>
      <c r="M1617">
        <f>LET(
    seasoning_years,DATEDIF('Loan Tape (S&amp;P)'!K1617,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17">
        <f>IF(AND('Loan Tape (S&amp;P)'!U1617="Yes",
        'Loan Tape (S&amp;P)'!T1617&lt;&gt;"Yes",
        DATEDIF('Loan Tape (S&amp;P)'!K1617, TODAY(), "M")&lt;18),
    1.10,
    1.00)</f>
        <v/>
      </c>
      <c r="O1617">
        <f>IF('Loan Tape (S&amp;P)'!T1617="Yes",
    1.35,
    1.00)</f>
        <v/>
      </c>
      <c r="P1617">
        <f>IF('Loan Tape (S&amp;P)'!S1617="Yes",
    1.15,
    1.00)</f>
        <v/>
      </c>
      <c r="Q1617">
        <f>IF('Loan Tape (S&amp;P)'!V1617="Yes",
    1.20,
    1.00)</f>
        <v/>
      </c>
      <c r="T1617">
        <f>LET(
    payment_method,'Loan Tape (S&amp;P)'!P1617,
    occupancy,'Loan Tape (S&amp;P)'!N1617,
    maturity_date,'Loan Tape (S&amp;P)'!L1617,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18">
      <c r="J1618">
        <f>LET(
    lien,'Loan Tape (S&amp;P)'!Q1618,
    IF(lien="First",1.00,
        IF(lien="Second",1.50,
            1.70)))</f>
        <v/>
      </c>
      <c r="K1618">
        <f>LET(
    purpose,'Loan Tape (S&amp;P)'!R1618,
    IF(purpose="Purchase",1.00,
        IF(purpose="Remortgage",1.00,
            1.20)))</f>
        <v/>
      </c>
      <c r="L1618">
        <f>LET(
    arrears_months,'Loan Tape (S&amp;P)'!AN1618,
    IF(arrears_months=0,1.00,
    IF(arrears_months=1,3.00,
    IF(arrears_months=2,5.00,
    IF(arrears_months=3,8.00,
    IF(arrears_months=4,10.00,
    IF(arrears_months=5,12.00,15.00)))))))</f>
        <v/>
      </c>
      <c r="M1618">
        <f>LET(
    seasoning_years,DATEDIF('Loan Tape (S&amp;P)'!K1618,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18">
        <f>IF(AND('Loan Tape (S&amp;P)'!U1618="Yes",
        'Loan Tape (S&amp;P)'!T1618&lt;&gt;"Yes",
        DATEDIF('Loan Tape (S&amp;P)'!K1618, TODAY(), "M")&lt;18),
    1.10,
    1.00)</f>
        <v/>
      </c>
      <c r="O1618">
        <f>IF('Loan Tape (S&amp;P)'!T1618="Yes",
    1.35,
    1.00)</f>
        <v/>
      </c>
      <c r="P1618">
        <f>IF('Loan Tape (S&amp;P)'!S1618="Yes",
    1.15,
    1.00)</f>
        <v/>
      </c>
      <c r="Q1618">
        <f>IF('Loan Tape (S&amp;P)'!V1618="Yes",
    1.20,
    1.00)</f>
        <v/>
      </c>
      <c r="T1618">
        <f>LET(
    payment_method,'Loan Tape (S&amp;P)'!P1618,
    occupancy,'Loan Tape (S&amp;P)'!N1618,
    maturity_date,'Loan Tape (S&amp;P)'!L1618,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19">
      <c r="J1619">
        <f>LET(
    lien,'Loan Tape (S&amp;P)'!Q1619,
    IF(lien="First",1.00,
        IF(lien="Second",1.50,
            1.70)))</f>
        <v/>
      </c>
      <c r="K1619">
        <f>LET(
    purpose,'Loan Tape (S&amp;P)'!R1619,
    IF(purpose="Purchase",1.00,
        IF(purpose="Remortgage",1.00,
            1.20)))</f>
        <v/>
      </c>
      <c r="L1619">
        <f>LET(
    arrears_months,'Loan Tape (S&amp;P)'!AN1619,
    IF(arrears_months=0,1.00,
    IF(arrears_months=1,3.00,
    IF(arrears_months=2,5.00,
    IF(arrears_months=3,8.00,
    IF(arrears_months=4,10.00,
    IF(arrears_months=5,12.00,15.00)))))))</f>
        <v/>
      </c>
      <c r="M1619">
        <f>LET(
    seasoning_years,DATEDIF('Loan Tape (S&amp;P)'!K1619,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19">
        <f>IF(AND('Loan Tape (S&amp;P)'!U1619="Yes",
        'Loan Tape (S&amp;P)'!T1619&lt;&gt;"Yes",
        DATEDIF('Loan Tape (S&amp;P)'!K1619, TODAY(), "M")&lt;18),
    1.10,
    1.00)</f>
        <v/>
      </c>
      <c r="O1619">
        <f>IF('Loan Tape (S&amp;P)'!T1619="Yes",
    1.35,
    1.00)</f>
        <v/>
      </c>
      <c r="P1619">
        <f>IF('Loan Tape (S&amp;P)'!S1619="Yes",
    1.15,
    1.00)</f>
        <v/>
      </c>
      <c r="Q1619">
        <f>IF('Loan Tape (S&amp;P)'!V1619="Yes",
    1.20,
    1.00)</f>
        <v/>
      </c>
      <c r="T1619">
        <f>LET(
    payment_method,'Loan Tape (S&amp;P)'!P1619,
    occupancy,'Loan Tape (S&amp;P)'!N1619,
    maturity_date,'Loan Tape (S&amp;P)'!L1619,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20">
      <c r="J1620">
        <f>LET(
    lien,'Loan Tape (S&amp;P)'!Q1620,
    IF(lien="First",1.00,
        IF(lien="Second",1.50,
            1.70)))</f>
        <v/>
      </c>
      <c r="K1620">
        <f>LET(
    purpose,'Loan Tape (S&amp;P)'!R1620,
    IF(purpose="Purchase",1.00,
        IF(purpose="Remortgage",1.00,
            1.20)))</f>
        <v/>
      </c>
      <c r="L1620">
        <f>LET(
    arrears_months,'Loan Tape (S&amp;P)'!AN1620,
    IF(arrears_months=0,1.00,
    IF(arrears_months=1,3.00,
    IF(arrears_months=2,5.00,
    IF(arrears_months=3,8.00,
    IF(arrears_months=4,10.00,
    IF(arrears_months=5,12.00,15.00)))))))</f>
        <v/>
      </c>
      <c r="M1620">
        <f>LET(
    seasoning_years,DATEDIF('Loan Tape (S&amp;P)'!K1620,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20">
        <f>IF(AND('Loan Tape (S&amp;P)'!U1620="Yes",
        'Loan Tape (S&amp;P)'!T1620&lt;&gt;"Yes",
        DATEDIF('Loan Tape (S&amp;P)'!K1620, TODAY(), "M")&lt;18),
    1.10,
    1.00)</f>
        <v/>
      </c>
      <c r="O1620">
        <f>IF('Loan Tape (S&amp;P)'!T1620="Yes",
    1.35,
    1.00)</f>
        <v/>
      </c>
      <c r="P1620">
        <f>IF('Loan Tape (S&amp;P)'!S1620="Yes",
    1.15,
    1.00)</f>
        <v/>
      </c>
      <c r="Q1620">
        <f>IF('Loan Tape (S&amp;P)'!V1620="Yes",
    1.20,
    1.00)</f>
        <v/>
      </c>
      <c r="T1620">
        <f>LET(
    payment_method,'Loan Tape (S&amp;P)'!P1620,
    occupancy,'Loan Tape (S&amp;P)'!N1620,
    maturity_date,'Loan Tape (S&amp;P)'!L1620,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21">
      <c r="J1621">
        <f>LET(
    lien,'Loan Tape (S&amp;P)'!Q1621,
    IF(lien="First",1.00,
        IF(lien="Second",1.50,
            1.70)))</f>
        <v/>
      </c>
      <c r="K1621">
        <f>LET(
    purpose,'Loan Tape (S&amp;P)'!R1621,
    IF(purpose="Purchase",1.00,
        IF(purpose="Remortgage",1.00,
            1.20)))</f>
        <v/>
      </c>
      <c r="L1621">
        <f>LET(
    arrears_months,'Loan Tape (S&amp;P)'!AN1621,
    IF(arrears_months=0,1.00,
    IF(arrears_months=1,3.00,
    IF(arrears_months=2,5.00,
    IF(arrears_months=3,8.00,
    IF(arrears_months=4,10.00,
    IF(arrears_months=5,12.00,15.00)))))))</f>
        <v/>
      </c>
      <c r="M1621">
        <f>LET(
    seasoning_years,DATEDIF('Loan Tape (S&amp;P)'!K1621,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21">
        <f>IF(AND('Loan Tape (S&amp;P)'!U1621="Yes",
        'Loan Tape (S&amp;P)'!T1621&lt;&gt;"Yes",
        DATEDIF('Loan Tape (S&amp;P)'!K1621, TODAY(), "M")&lt;18),
    1.10,
    1.00)</f>
        <v/>
      </c>
      <c r="O1621">
        <f>IF('Loan Tape (S&amp;P)'!T1621="Yes",
    1.35,
    1.00)</f>
        <v/>
      </c>
      <c r="P1621">
        <f>IF('Loan Tape (S&amp;P)'!S1621="Yes",
    1.15,
    1.00)</f>
        <v/>
      </c>
      <c r="Q1621">
        <f>IF('Loan Tape (S&amp;P)'!V1621="Yes",
    1.20,
    1.00)</f>
        <v/>
      </c>
      <c r="T1621">
        <f>LET(
    payment_method,'Loan Tape (S&amp;P)'!P1621,
    occupancy,'Loan Tape (S&amp;P)'!N1621,
    maturity_date,'Loan Tape (S&amp;P)'!L1621,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22">
      <c r="J1622">
        <f>LET(
    lien,'Loan Tape (S&amp;P)'!Q1622,
    IF(lien="First",1.00,
        IF(lien="Second",1.50,
            1.70)))</f>
        <v/>
      </c>
      <c r="K1622">
        <f>LET(
    purpose,'Loan Tape (S&amp;P)'!R1622,
    IF(purpose="Purchase",1.00,
        IF(purpose="Remortgage",1.00,
            1.20)))</f>
        <v/>
      </c>
      <c r="L1622">
        <f>LET(
    arrears_months,'Loan Tape (S&amp;P)'!AN1622,
    IF(arrears_months=0,1.00,
    IF(arrears_months=1,3.00,
    IF(arrears_months=2,5.00,
    IF(arrears_months=3,8.00,
    IF(arrears_months=4,10.00,
    IF(arrears_months=5,12.00,15.00)))))))</f>
        <v/>
      </c>
      <c r="M1622">
        <f>LET(
    seasoning_years,DATEDIF('Loan Tape (S&amp;P)'!K1622,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22">
        <f>IF(AND('Loan Tape (S&amp;P)'!U1622="Yes",
        'Loan Tape (S&amp;P)'!T1622&lt;&gt;"Yes",
        DATEDIF('Loan Tape (S&amp;P)'!K1622, TODAY(), "M")&lt;18),
    1.10,
    1.00)</f>
        <v/>
      </c>
      <c r="O1622">
        <f>IF('Loan Tape (S&amp;P)'!T1622="Yes",
    1.35,
    1.00)</f>
        <v/>
      </c>
      <c r="P1622">
        <f>IF('Loan Tape (S&amp;P)'!S1622="Yes",
    1.15,
    1.00)</f>
        <v/>
      </c>
      <c r="Q1622">
        <f>IF('Loan Tape (S&amp;P)'!V1622="Yes",
    1.20,
    1.00)</f>
        <v/>
      </c>
      <c r="T1622">
        <f>LET(
    payment_method,'Loan Tape (S&amp;P)'!P1622,
    occupancy,'Loan Tape (S&amp;P)'!N1622,
    maturity_date,'Loan Tape (S&amp;P)'!L1622,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23">
      <c r="J1623">
        <f>LET(
    lien,'Loan Tape (S&amp;P)'!Q1623,
    IF(lien="First",1.00,
        IF(lien="Second",1.50,
            1.70)))</f>
        <v/>
      </c>
      <c r="K1623">
        <f>LET(
    purpose,'Loan Tape (S&amp;P)'!R1623,
    IF(purpose="Purchase",1.00,
        IF(purpose="Remortgage",1.00,
            1.20)))</f>
        <v/>
      </c>
      <c r="L1623">
        <f>LET(
    arrears_months,'Loan Tape (S&amp;P)'!AN1623,
    IF(arrears_months=0,1.00,
    IF(arrears_months=1,3.00,
    IF(arrears_months=2,5.00,
    IF(arrears_months=3,8.00,
    IF(arrears_months=4,10.00,
    IF(arrears_months=5,12.00,15.00)))))))</f>
        <v/>
      </c>
      <c r="M1623">
        <f>LET(
    seasoning_years,DATEDIF('Loan Tape (S&amp;P)'!K1623,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23">
        <f>IF(AND('Loan Tape (S&amp;P)'!U1623="Yes",
        'Loan Tape (S&amp;P)'!T1623&lt;&gt;"Yes",
        DATEDIF('Loan Tape (S&amp;P)'!K1623, TODAY(), "M")&lt;18),
    1.10,
    1.00)</f>
        <v/>
      </c>
      <c r="O1623">
        <f>IF('Loan Tape (S&amp;P)'!T1623="Yes",
    1.35,
    1.00)</f>
        <v/>
      </c>
      <c r="P1623">
        <f>IF('Loan Tape (S&amp;P)'!S1623="Yes",
    1.15,
    1.00)</f>
        <v/>
      </c>
      <c r="Q1623">
        <f>IF('Loan Tape (S&amp;P)'!V1623="Yes",
    1.20,
    1.00)</f>
        <v/>
      </c>
      <c r="T1623">
        <f>LET(
    payment_method,'Loan Tape (S&amp;P)'!P1623,
    occupancy,'Loan Tape (S&amp;P)'!N1623,
    maturity_date,'Loan Tape (S&amp;P)'!L1623,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24">
      <c r="J1624">
        <f>LET(
    lien,'Loan Tape (S&amp;P)'!Q1624,
    IF(lien="First",1.00,
        IF(lien="Second",1.50,
            1.70)))</f>
        <v/>
      </c>
      <c r="K1624">
        <f>LET(
    purpose,'Loan Tape (S&amp;P)'!R1624,
    IF(purpose="Purchase",1.00,
        IF(purpose="Remortgage",1.00,
            1.20)))</f>
        <v/>
      </c>
      <c r="L1624">
        <f>LET(
    arrears_months,'Loan Tape (S&amp;P)'!AN1624,
    IF(arrears_months=0,1.00,
    IF(arrears_months=1,3.00,
    IF(arrears_months=2,5.00,
    IF(arrears_months=3,8.00,
    IF(arrears_months=4,10.00,
    IF(arrears_months=5,12.00,15.00)))))))</f>
        <v/>
      </c>
      <c r="M1624">
        <f>LET(
    seasoning_years,DATEDIF('Loan Tape (S&amp;P)'!K1624,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24">
        <f>IF(AND('Loan Tape (S&amp;P)'!U1624="Yes",
        'Loan Tape (S&amp;P)'!T1624&lt;&gt;"Yes",
        DATEDIF('Loan Tape (S&amp;P)'!K1624, TODAY(), "M")&lt;18),
    1.10,
    1.00)</f>
        <v/>
      </c>
      <c r="O1624">
        <f>IF('Loan Tape (S&amp;P)'!T1624="Yes",
    1.35,
    1.00)</f>
        <v/>
      </c>
      <c r="P1624">
        <f>IF('Loan Tape (S&amp;P)'!S1624="Yes",
    1.15,
    1.00)</f>
        <v/>
      </c>
      <c r="Q1624">
        <f>IF('Loan Tape (S&amp;P)'!V1624="Yes",
    1.20,
    1.00)</f>
        <v/>
      </c>
      <c r="T1624">
        <f>LET(
    payment_method,'Loan Tape (S&amp;P)'!P1624,
    occupancy,'Loan Tape (S&amp;P)'!N1624,
    maturity_date,'Loan Tape (S&amp;P)'!L1624,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25">
      <c r="J1625">
        <f>LET(
    lien,'Loan Tape (S&amp;P)'!Q1625,
    IF(lien="First",1.00,
        IF(lien="Second",1.50,
            1.70)))</f>
        <v/>
      </c>
      <c r="K1625">
        <f>LET(
    purpose,'Loan Tape (S&amp;P)'!R1625,
    IF(purpose="Purchase",1.00,
        IF(purpose="Remortgage",1.00,
            1.20)))</f>
        <v/>
      </c>
      <c r="L1625">
        <f>LET(
    arrears_months,'Loan Tape (S&amp;P)'!AN1625,
    IF(arrears_months=0,1.00,
    IF(arrears_months=1,3.00,
    IF(arrears_months=2,5.00,
    IF(arrears_months=3,8.00,
    IF(arrears_months=4,10.00,
    IF(arrears_months=5,12.00,15.00)))))))</f>
        <v/>
      </c>
      <c r="M1625">
        <f>LET(
    seasoning_years,DATEDIF('Loan Tape (S&amp;P)'!K1625,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25">
        <f>IF(AND('Loan Tape (S&amp;P)'!U1625="Yes",
        'Loan Tape (S&amp;P)'!T1625&lt;&gt;"Yes",
        DATEDIF('Loan Tape (S&amp;P)'!K1625, TODAY(), "M")&lt;18),
    1.10,
    1.00)</f>
        <v/>
      </c>
      <c r="O1625">
        <f>IF('Loan Tape (S&amp;P)'!T1625="Yes",
    1.35,
    1.00)</f>
        <v/>
      </c>
      <c r="P1625">
        <f>IF('Loan Tape (S&amp;P)'!S1625="Yes",
    1.15,
    1.00)</f>
        <v/>
      </c>
      <c r="Q1625">
        <f>IF('Loan Tape (S&amp;P)'!V1625="Yes",
    1.20,
    1.00)</f>
        <v/>
      </c>
      <c r="T1625">
        <f>LET(
    payment_method,'Loan Tape (S&amp;P)'!P1625,
    occupancy,'Loan Tape (S&amp;P)'!N1625,
    maturity_date,'Loan Tape (S&amp;P)'!L1625,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26">
      <c r="J1626">
        <f>LET(
    lien,'Loan Tape (S&amp;P)'!Q1626,
    IF(lien="First",1.00,
        IF(lien="Second",1.50,
            1.70)))</f>
        <v/>
      </c>
      <c r="K1626">
        <f>LET(
    purpose,'Loan Tape (S&amp;P)'!R1626,
    IF(purpose="Purchase",1.00,
        IF(purpose="Remortgage",1.00,
            1.20)))</f>
        <v/>
      </c>
      <c r="L1626">
        <f>LET(
    arrears_months,'Loan Tape (S&amp;P)'!AN1626,
    IF(arrears_months=0,1.00,
    IF(arrears_months=1,3.00,
    IF(arrears_months=2,5.00,
    IF(arrears_months=3,8.00,
    IF(arrears_months=4,10.00,
    IF(arrears_months=5,12.00,15.00)))))))</f>
        <v/>
      </c>
      <c r="M1626">
        <f>LET(
    seasoning_years,DATEDIF('Loan Tape (S&amp;P)'!K1626,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26">
        <f>IF(AND('Loan Tape (S&amp;P)'!U1626="Yes",
        'Loan Tape (S&amp;P)'!T1626&lt;&gt;"Yes",
        DATEDIF('Loan Tape (S&amp;P)'!K1626, TODAY(), "M")&lt;18),
    1.10,
    1.00)</f>
        <v/>
      </c>
      <c r="O1626">
        <f>IF('Loan Tape (S&amp;P)'!T1626="Yes",
    1.35,
    1.00)</f>
        <v/>
      </c>
      <c r="P1626">
        <f>IF('Loan Tape (S&amp;P)'!S1626="Yes",
    1.15,
    1.00)</f>
        <v/>
      </c>
      <c r="Q1626">
        <f>IF('Loan Tape (S&amp;P)'!V1626="Yes",
    1.20,
    1.00)</f>
        <v/>
      </c>
      <c r="T1626">
        <f>LET(
    payment_method,'Loan Tape (S&amp;P)'!P1626,
    occupancy,'Loan Tape (S&amp;P)'!N1626,
    maturity_date,'Loan Tape (S&amp;P)'!L1626,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27">
      <c r="J1627">
        <f>LET(
    lien,'Loan Tape (S&amp;P)'!Q1627,
    IF(lien="First",1.00,
        IF(lien="Second",1.50,
            1.70)))</f>
        <v/>
      </c>
      <c r="K1627">
        <f>LET(
    purpose,'Loan Tape (S&amp;P)'!R1627,
    IF(purpose="Purchase",1.00,
        IF(purpose="Remortgage",1.00,
            1.20)))</f>
        <v/>
      </c>
      <c r="L1627">
        <f>LET(
    arrears_months,'Loan Tape (S&amp;P)'!AN1627,
    IF(arrears_months=0,1.00,
    IF(arrears_months=1,3.00,
    IF(arrears_months=2,5.00,
    IF(arrears_months=3,8.00,
    IF(arrears_months=4,10.00,
    IF(arrears_months=5,12.00,15.00)))))))</f>
        <v/>
      </c>
      <c r="M1627">
        <f>LET(
    seasoning_years,DATEDIF('Loan Tape (S&amp;P)'!K1627,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27">
        <f>IF(AND('Loan Tape (S&amp;P)'!U1627="Yes",
        'Loan Tape (S&amp;P)'!T1627&lt;&gt;"Yes",
        DATEDIF('Loan Tape (S&amp;P)'!K1627, TODAY(), "M")&lt;18),
    1.10,
    1.00)</f>
        <v/>
      </c>
      <c r="O1627">
        <f>IF('Loan Tape (S&amp;P)'!T1627="Yes",
    1.35,
    1.00)</f>
        <v/>
      </c>
      <c r="P1627">
        <f>IF('Loan Tape (S&amp;P)'!S1627="Yes",
    1.15,
    1.00)</f>
        <v/>
      </c>
      <c r="Q1627">
        <f>IF('Loan Tape (S&amp;P)'!V1627="Yes",
    1.20,
    1.00)</f>
        <v/>
      </c>
      <c r="T1627">
        <f>LET(
    payment_method,'Loan Tape (S&amp;P)'!P1627,
    occupancy,'Loan Tape (S&amp;P)'!N1627,
    maturity_date,'Loan Tape (S&amp;P)'!L1627,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28">
      <c r="J1628">
        <f>LET(
    lien,'Loan Tape (S&amp;P)'!Q1628,
    IF(lien="First",1.00,
        IF(lien="Second",1.50,
            1.70)))</f>
        <v/>
      </c>
      <c r="K1628">
        <f>LET(
    purpose,'Loan Tape (S&amp;P)'!R1628,
    IF(purpose="Purchase",1.00,
        IF(purpose="Remortgage",1.00,
            1.20)))</f>
        <v/>
      </c>
      <c r="L1628">
        <f>LET(
    arrears_months,'Loan Tape (S&amp;P)'!AN1628,
    IF(arrears_months=0,1.00,
    IF(arrears_months=1,3.00,
    IF(arrears_months=2,5.00,
    IF(arrears_months=3,8.00,
    IF(arrears_months=4,10.00,
    IF(arrears_months=5,12.00,15.00)))))))</f>
        <v/>
      </c>
      <c r="M1628">
        <f>LET(
    seasoning_years,DATEDIF('Loan Tape (S&amp;P)'!K1628,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28">
        <f>IF(AND('Loan Tape (S&amp;P)'!U1628="Yes",
        'Loan Tape (S&amp;P)'!T1628&lt;&gt;"Yes",
        DATEDIF('Loan Tape (S&amp;P)'!K1628, TODAY(), "M")&lt;18),
    1.10,
    1.00)</f>
        <v/>
      </c>
      <c r="O1628">
        <f>IF('Loan Tape (S&amp;P)'!T1628="Yes",
    1.35,
    1.00)</f>
        <v/>
      </c>
      <c r="P1628">
        <f>IF('Loan Tape (S&amp;P)'!S1628="Yes",
    1.15,
    1.00)</f>
        <v/>
      </c>
      <c r="Q1628">
        <f>IF('Loan Tape (S&amp;P)'!V1628="Yes",
    1.20,
    1.00)</f>
        <v/>
      </c>
      <c r="T1628">
        <f>LET(
    payment_method,'Loan Tape (S&amp;P)'!P1628,
    occupancy,'Loan Tape (S&amp;P)'!N1628,
    maturity_date,'Loan Tape (S&amp;P)'!L1628,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29">
      <c r="J1629">
        <f>LET(
    lien,'Loan Tape (S&amp;P)'!Q1629,
    IF(lien="First",1.00,
        IF(lien="Second",1.50,
            1.70)))</f>
        <v/>
      </c>
      <c r="K1629">
        <f>LET(
    purpose,'Loan Tape (S&amp;P)'!R1629,
    IF(purpose="Purchase",1.00,
        IF(purpose="Remortgage",1.00,
            1.20)))</f>
        <v/>
      </c>
      <c r="L1629">
        <f>LET(
    arrears_months,'Loan Tape (S&amp;P)'!AN1629,
    IF(arrears_months=0,1.00,
    IF(arrears_months=1,3.00,
    IF(arrears_months=2,5.00,
    IF(arrears_months=3,8.00,
    IF(arrears_months=4,10.00,
    IF(arrears_months=5,12.00,15.00)))))))</f>
        <v/>
      </c>
      <c r="M1629">
        <f>LET(
    seasoning_years,DATEDIF('Loan Tape (S&amp;P)'!K1629,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29">
        <f>IF(AND('Loan Tape (S&amp;P)'!U1629="Yes",
        'Loan Tape (S&amp;P)'!T1629&lt;&gt;"Yes",
        DATEDIF('Loan Tape (S&amp;P)'!K1629, TODAY(), "M")&lt;18),
    1.10,
    1.00)</f>
        <v/>
      </c>
      <c r="O1629">
        <f>IF('Loan Tape (S&amp;P)'!T1629="Yes",
    1.35,
    1.00)</f>
        <v/>
      </c>
      <c r="P1629">
        <f>IF('Loan Tape (S&amp;P)'!S1629="Yes",
    1.15,
    1.00)</f>
        <v/>
      </c>
      <c r="Q1629">
        <f>IF('Loan Tape (S&amp;P)'!V1629="Yes",
    1.20,
    1.00)</f>
        <v/>
      </c>
      <c r="T1629">
        <f>LET(
    payment_method,'Loan Tape (S&amp;P)'!P1629,
    occupancy,'Loan Tape (S&amp;P)'!N1629,
    maturity_date,'Loan Tape (S&amp;P)'!L1629,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30">
      <c r="J1630">
        <f>LET(
    lien,'Loan Tape (S&amp;P)'!Q1630,
    IF(lien="First",1.00,
        IF(lien="Second",1.50,
            1.70)))</f>
        <v/>
      </c>
      <c r="K1630">
        <f>LET(
    purpose,'Loan Tape (S&amp;P)'!R1630,
    IF(purpose="Purchase",1.00,
        IF(purpose="Remortgage",1.00,
            1.20)))</f>
        <v/>
      </c>
      <c r="L1630">
        <f>LET(
    arrears_months,'Loan Tape (S&amp;P)'!AN1630,
    IF(arrears_months=0,1.00,
    IF(arrears_months=1,3.00,
    IF(arrears_months=2,5.00,
    IF(arrears_months=3,8.00,
    IF(arrears_months=4,10.00,
    IF(arrears_months=5,12.00,15.00)))))))</f>
        <v/>
      </c>
      <c r="M1630">
        <f>LET(
    seasoning_years,DATEDIF('Loan Tape (S&amp;P)'!K1630,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30">
        <f>IF(AND('Loan Tape (S&amp;P)'!U1630="Yes",
        'Loan Tape (S&amp;P)'!T1630&lt;&gt;"Yes",
        DATEDIF('Loan Tape (S&amp;P)'!K1630, TODAY(), "M")&lt;18),
    1.10,
    1.00)</f>
        <v/>
      </c>
      <c r="O1630">
        <f>IF('Loan Tape (S&amp;P)'!T1630="Yes",
    1.35,
    1.00)</f>
        <v/>
      </c>
      <c r="P1630">
        <f>IF('Loan Tape (S&amp;P)'!S1630="Yes",
    1.15,
    1.00)</f>
        <v/>
      </c>
      <c r="Q1630">
        <f>IF('Loan Tape (S&amp;P)'!V1630="Yes",
    1.20,
    1.00)</f>
        <v/>
      </c>
      <c r="T1630">
        <f>LET(
    payment_method,'Loan Tape (S&amp;P)'!P1630,
    occupancy,'Loan Tape (S&amp;P)'!N1630,
    maturity_date,'Loan Tape (S&amp;P)'!L1630,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31">
      <c r="J1631">
        <f>LET(
    lien,'Loan Tape (S&amp;P)'!Q1631,
    IF(lien="First",1.00,
        IF(lien="Second",1.50,
            1.70)))</f>
        <v/>
      </c>
      <c r="K1631">
        <f>LET(
    purpose,'Loan Tape (S&amp;P)'!R1631,
    IF(purpose="Purchase",1.00,
        IF(purpose="Remortgage",1.00,
            1.20)))</f>
        <v/>
      </c>
      <c r="L1631">
        <f>LET(
    arrears_months,'Loan Tape (S&amp;P)'!AN1631,
    IF(arrears_months=0,1.00,
    IF(arrears_months=1,3.00,
    IF(arrears_months=2,5.00,
    IF(arrears_months=3,8.00,
    IF(arrears_months=4,10.00,
    IF(arrears_months=5,12.00,15.00)))))))</f>
        <v/>
      </c>
      <c r="M1631">
        <f>LET(
    seasoning_years,DATEDIF('Loan Tape (S&amp;P)'!K1631,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31">
        <f>IF(AND('Loan Tape (S&amp;P)'!U1631="Yes",
        'Loan Tape (S&amp;P)'!T1631&lt;&gt;"Yes",
        DATEDIF('Loan Tape (S&amp;P)'!K1631, TODAY(), "M")&lt;18),
    1.10,
    1.00)</f>
        <v/>
      </c>
      <c r="O1631">
        <f>IF('Loan Tape (S&amp;P)'!T1631="Yes",
    1.35,
    1.00)</f>
        <v/>
      </c>
      <c r="P1631">
        <f>IF('Loan Tape (S&amp;P)'!S1631="Yes",
    1.15,
    1.00)</f>
        <v/>
      </c>
      <c r="Q1631">
        <f>IF('Loan Tape (S&amp;P)'!V1631="Yes",
    1.20,
    1.00)</f>
        <v/>
      </c>
      <c r="T1631">
        <f>LET(
    payment_method,'Loan Tape (S&amp;P)'!P1631,
    occupancy,'Loan Tape (S&amp;P)'!N1631,
    maturity_date,'Loan Tape (S&amp;P)'!L1631,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32">
      <c r="J1632">
        <f>LET(
    lien,'Loan Tape (S&amp;P)'!Q1632,
    IF(lien="First",1.00,
        IF(lien="Second",1.50,
            1.70)))</f>
        <v/>
      </c>
      <c r="K1632">
        <f>LET(
    purpose,'Loan Tape (S&amp;P)'!R1632,
    IF(purpose="Purchase",1.00,
        IF(purpose="Remortgage",1.00,
            1.20)))</f>
        <v/>
      </c>
      <c r="L1632">
        <f>LET(
    arrears_months,'Loan Tape (S&amp;P)'!AN1632,
    IF(arrears_months=0,1.00,
    IF(arrears_months=1,3.00,
    IF(arrears_months=2,5.00,
    IF(arrears_months=3,8.00,
    IF(arrears_months=4,10.00,
    IF(arrears_months=5,12.00,15.00)))))))</f>
        <v/>
      </c>
      <c r="M1632">
        <f>LET(
    seasoning_years,DATEDIF('Loan Tape (S&amp;P)'!K1632,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32">
        <f>IF(AND('Loan Tape (S&amp;P)'!U1632="Yes",
        'Loan Tape (S&amp;P)'!T1632&lt;&gt;"Yes",
        DATEDIF('Loan Tape (S&amp;P)'!K1632, TODAY(), "M")&lt;18),
    1.10,
    1.00)</f>
        <v/>
      </c>
      <c r="O1632">
        <f>IF('Loan Tape (S&amp;P)'!T1632="Yes",
    1.35,
    1.00)</f>
        <v/>
      </c>
      <c r="P1632">
        <f>IF('Loan Tape (S&amp;P)'!S1632="Yes",
    1.15,
    1.00)</f>
        <v/>
      </c>
      <c r="Q1632">
        <f>IF('Loan Tape (S&amp;P)'!V1632="Yes",
    1.20,
    1.00)</f>
        <v/>
      </c>
      <c r="T1632">
        <f>LET(
    payment_method,'Loan Tape (S&amp;P)'!P1632,
    occupancy,'Loan Tape (S&amp;P)'!N1632,
    maturity_date,'Loan Tape (S&amp;P)'!L1632,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33">
      <c r="J1633">
        <f>LET(
    lien,'Loan Tape (S&amp;P)'!Q1633,
    IF(lien="First",1.00,
        IF(lien="Second",1.50,
            1.70)))</f>
        <v/>
      </c>
      <c r="K1633">
        <f>LET(
    purpose,'Loan Tape (S&amp;P)'!R1633,
    IF(purpose="Purchase",1.00,
        IF(purpose="Remortgage",1.00,
            1.20)))</f>
        <v/>
      </c>
      <c r="L1633">
        <f>LET(
    arrears_months,'Loan Tape (S&amp;P)'!AN1633,
    IF(arrears_months=0,1.00,
    IF(arrears_months=1,3.00,
    IF(arrears_months=2,5.00,
    IF(arrears_months=3,8.00,
    IF(arrears_months=4,10.00,
    IF(arrears_months=5,12.00,15.00)))))))</f>
        <v/>
      </c>
      <c r="M1633">
        <f>LET(
    seasoning_years,DATEDIF('Loan Tape (S&amp;P)'!K1633,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33">
        <f>IF(AND('Loan Tape (S&amp;P)'!U1633="Yes",
        'Loan Tape (S&amp;P)'!T1633&lt;&gt;"Yes",
        DATEDIF('Loan Tape (S&amp;P)'!K1633, TODAY(), "M")&lt;18),
    1.10,
    1.00)</f>
        <v/>
      </c>
      <c r="O1633">
        <f>IF('Loan Tape (S&amp;P)'!T1633="Yes",
    1.35,
    1.00)</f>
        <v/>
      </c>
      <c r="P1633">
        <f>IF('Loan Tape (S&amp;P)'!S1633="Yes",
    1.15,
    1.00)</f>
        <v/>
      </c>
      <c r="Q1633">
        <f>IF('Loan Tape (S&amp;P)'!V1633="Yes",
    1.20,
    1.00)</f>
        <v/>
      </c>
      <c r="T1633">
        <f>LET(
    payment_method,'Loan Tape (S&amp;P)'!P1633,
    occupancy,'Loan Tape (S&amp;P)'!N1633,
    maturity_date,'Loan Tape (S&amp;P)'!L1633,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34">
      <c r="J1634">
        <f>LET(
    lien,'Loan Tape (S&amp;P)'!Q1634,
    IF(lien="First",1.00,
        IF(lien="Second",1.50,
            1.70)))</f>
        <v/>
      </c>
      <c r="K1634">
        <f>LET(
    purpose,'Loan Tape (S&amp;P)'!R1634,
    IF(purpose="Purchase",1.00,
        IF(purpose="Remortgage",1.00,
            1.20)))</f>
        <v/>
      </c>
      <c r="L1634">
        <f>LET(
    arrears_months,'Loan Tape (S&amp;P)'!AN1634,
    IF(arrears_months=0,1.00,
    IF(arrears_months=1,3.00,
    IF(arrears_months=2,5.00,
    IF(arrears_months=3,8.00,
    IF(arrears_months=4,10.00,
    IF(arrears_months=5,12.00,15.00)))))))</f>
        <v/>
      </c>
      <c r="M1634">
        <f>LET(
    seasoning_years,DATEDIF('Loan Tape (S&amp;P)'!K1634,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34">
        <f>IF(AND('Loan Tape (S&amp;P)'!U1634="Yes",
        'Loan Tape (S&amp;P)'!T1634&lt;&gt;"Yes",
        DATEDIF('Loan Tape (S&amp;P)'!K1634, TODAY(), "M")&lt;18),
    1.10,
    1.00)</f>
        <v/>
      </c>
      <c r="O1634">
        <f>IF('Loan Tape (S&amp;P)'!T1634="Yes",
    1.35,
    1.00)</f>
        <v/>
      </c>
      <c r="P1634">
        <f>IF('Loan Tape (S&amp;P)'!S1634="Yes",
    1.15,
    1.00)</f>
        <v/>
      </c>
      <c r="Q1634">
        <f>IF('Loan Tape (S&amp;P)'!V1634="Yes",
    1.20,
    1.00)</f>
        <v/>
      </c>
      <c r="T1634">
        <f>LET(
    payment_method,'Loan Tape (S&amp;P)'!P1634,
    occupancy,'Loan Tape (S&amp;P)'!N1634,
    maturity_date,'Loan Tape (S&amp;P)'!L1634,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35">
      <c r="J1635">
        <f>LET(
    lien,'Loan Tape (S&amp;P)'!Q1635,
    IF(lien="First",1.00,
        IF(lien="Second",1.50,
            1.70)))</f>
        <v/>
      </c>
      <c r="K1635">
        <f>LET(
    purpose,'Loan Tape (S&amp;P)'!R1635,
    IF(purpose="Purchase",1.00,
        IF(purpose="Remortgage",1.00,
            1.20)))</f>
        <v/>
      </c>
      <c r="L1635">
        <f>LET(
    arrears_months,'Loan Tape (S&amp;P)'!AN1635,
    IF(arrears_months=0,1.00,
    IF(arrears_months=1,3.00,
    IF(arrears_months=2,5.00,
    IF(arrears_months=3,8.00,
    IF(arrears_months=4,10.00,
    IF(arrears_months=5,12.00,15.00)))))))</f>
        <v/>
      </c>
      <c r="M1635">
        <f>LET(
    seasoning_years,DATEDIF('Loan Tape (S&amp;P)'!K1635,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35">
        <f>IF(AND('Loan Tape (S&amp;P)'!U1635="Yes",
        'Loan Tape (S&amp;P)'!T1635&lt;&gt;"Yes",
        DATEDIF('Loan Tape (S&amp;P)'!K1635, TODAY(), "M")&lt;18),
    1.10,
    1.00)</f>
        <v/>
      </c>
      <c r="O1635">
        <f>IF('Loan Tape (S&amp;P)'!T1635="Yes",
    1.35,
    1.00)</f>
        <v/>
      </c>
      <c r="P1635">
        <f>IF('Loan Tape (S&amp;P)'!S1635="Yes",
    1.15,
    1.00)</f>
        <v/>
      </c>
      <c r="Q1635">
        <f>IF('Loan Tape (S&amp;P)'!V1635="Yes",
    1.20,
    1.00)</f>
        <v/>
      </c>
      <c r="T1635">
        <f>LET(
    payment_method,'Loan Tape (S&amp;P)'!P1635,
    occupancy,'Loan Tape (S&amp;P)'!N1635,
    maturity_date,'Loan Tape (S&amp;P)'!L1635,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36">
      <c r="J1636">
        <f>LET(
    lien,'Loan Tape (S&amp;P)'!Q1636,
    IF(lien="First",1.00,
        IF(lien="Second",1.50,
            1.70)))</f>
        <v/>
      </c>
      <c r="K1636">
        <f>LET(
    purpose,'Loan Tape (S&amp;P)'!R1636,
    IF(purpose="Purchase",1.00,
        IF(purpose="Remortgage",1.00,
            1.20)))</f>
        <v/>
      </c>
      <c r="L1636">
        <f>LET(
    arrears_months,'Loan Tape (S&amp;P)'!AN1636,
    IF(arrears_months=0,1.00,
    IF(arrears_months=1,3.00,
    IF(arrears_months=2,5.00,
    IF(arrears_months=3,8.00,
    IF(arrears_months=4,10.00,
    IF(arrears_months=5,12.00,15.00)))))))</f>
        <v/>
      </c>
      <c r="M1636">
        <f>LET(
    seasoning_years,DATEDIF('Loan Tape (S&amp;P)'!K1636,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36">
        <f>IF(AND('Loan Tape (S&amp;P)'!U1636="Yes",
        'Loan Tape (S&amp;P)'!T1636&lt;&gt;"Yes",
        DATEDIF('Loan Tape (S&amp;P)'!K1636, TODAY(), "M")&lt;18),
    1.10,
    1.00)</f>
        <v/>
      </c>
      <c r="O1636">
        <f>IF('Loan Tape (S&amp;P)'!T1636="Yes",
    1.35,
    1.00)</f>
        <v/>
      </c>
      <c r="P1636">
        <f>IF('Loan Tape (S&amp;P)'!S1636="Yes",
    1.15,
    1.00)</f>
        <v/>
      </c>
      <c r="Q1636">
        <f>IF('Loan Tape (S&amp;P)'!V1636="Yes",
    1.20,
    1.00)</f>
        <v/>
      </c>
      <c r="T1636">
        <f>LET(
    payment_method,'Loan Tape (S&amp;P)'!P1636,
    occupancy,'Loan Tape (S&amp;P)'!N1636,
    maturity_date,'Loan Tape (S&amp;P)'!L1636,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37">
      <c r="J1637">
        <f>LET(
    lien,'Loan Tape (S&amp;P)'!Q1637,
    IF(lien="First",1.00,
        IF(lien="Second",1.50,
            1.70)))</f>
        <v/>
      </c>
      <c r="K1637">
        <f>LET(
    purpose,'Loan Tape (S&amp;P)'!R1637,
    IF(purpose="Purchase",1.00,
        IF(purpose="Remortgage",1.00,
            1.20)))</f>
        <v/>
      </c>
      <c r="L1637">
        <f>LET(
    arrears_months,'Loan Tape (S&amp;P)'!AN1637,
    IF(arrears_months=0,1.00,
    IF(arrears_months=1,3.00,
    IF(arrears_months=2,5.00,
    IF(arrears_months=3,8.00,
    IF(arrears_months=4,10.00,
    IF(arrears_months=5,12.00,15.00)))))))</f>
        <v/>
      </c>
      <c r="M1637">
        <f>LET(
    seasoning_years,DATEDIF('Loan Tape (S&amp;P)'!K1637,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37">
        <f>IF(AND('Loan Tape (S&amp;P)'!U1637="Yes",
        'Loan Tape (S&amp;P)'!T1637&lt;&gt;"Yes",
        DATEDIF('Loan Tape (S&amp;P)'!K1637, TODAY(), "M")&lt;18),
    1.10,
    1.00)</f>
        <v/>
      </c>
      <c r="O1637">
        <f>IF('Loan Tape (S&amp;P)'!T1637="Yes",
    1.35,
    1.00)</f>
        <v/>
      </c>
      <c r="P1637">
        <f>IF('Loan Tape (S&amp;P)'!S1637="Yes",
    1.15,
    1.00)</f>
        <v/>
      </c>
      <c r="Q1637">
        <f>IF('Loan Tape (S&amp;P)'!V1637="Yes",
    1.20,
    1.00)</f>
        <v/>
      </c>
      <c r="T1637">
        <f>LET(
    payment_method,'Loan Tape (S&amp;P)'!P1637,
    occupancy,'Loan Tape (S&amp;P)'!N1637,
    maturity_date,'Loan Tape (S&amp;P)'!L1637,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38">
      <c r="J1638">
        <f>LET(
    lien,'Loan Tape (S&amp;P)'!Q1638,
    IF(lien="First",1.00,
        IF(lien="Second",1.50,
            1.70)))</f>
        <v/>
      </c>
      <c r="K1638">
        <f>LET(
    purpose,'Loan Tape (S&amp;P)'!R1638,
    IF(purpose="Purchase",1.00,
        IF(purpose="Remortgage",1.00,
            1.20)))</f>
        <v/>
      </c>
      <c r="L1638">
        <f>LET(
    arrears_months,'Loan Tape (S&amp;P)'!AN1638,
    IF(arrears_months=0,1.00,
    IF(arrears_months=1,3.00,
    IF(arrears_months=2,5.00,
    IF(arrears_months=3,8.00,
    IF(arrears_months=4,10.00,
    IF(arrears_months=5,12.00,15.00)))))))</f>
        <v/>
      </c>
      <c r="M1638">
        <f>LET(
    seasoning_years,DATEDIF('Loan Tape (S&amp;P)'!K1638,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38">
        <f>IF(AND('Loan Tape (S&amp;P)'!U1638="Yes",
        'Loan Tape (S&amp;P)'!T1638&lt;&gt;"Yes",
        DATEDIF('Loan Tape (S&amp;P)'!K1638, TODAY(), "M")&lt;18),
    1.10,
    1.00)</f>
        <v/>
      </c>
      <c r="O1638">
        <f>IF('Loan Tape (S&amp;P)'!T1638="Yes",
    1.35,
    1.00)</f>
        <v/>
      </c>
      <c r="P1638">
        <f>IF('Loan Tape (S&amp;P)'!S1638="Yes",
    1.15,
    1.00)</f>
        <v/>
      </c>
      <c r="Q1638">
        <f>IF('Loan Tape (S&amp;P)'!V1638="Yes",
    1.20,
    1.00)</f>
        <v/>
      </c>
      <c r="T1638">
        <f>LET(
    payment_method,'Loan Tape (S&amp;P)'!P1638,
    occupancy,'Loan Tape (S&amp;P)'!N1638,
    maturity_date,'Loan Tape (S&amp;P)'!L1638,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39">
      <c r="J1639">
        <f>LET(
    lien,'Loan Tape (S&amp;P)'!Q1639,
    IF(lien="First",1.00,
        IF(lien="Second",1.50,
            1.70)))</f>
        <v/>
      </c>
      <c r="K1639">
        <f>LET(
    purpose,'Loan Tape (S&amp;P)'!R1639,
    IF(purpose="Purchase",1.00,
        IF(purpose="Remortgage",1.00,
            1.20)))</f>
        <v/>
      </c>
      <c r="L1639">
        <f>LET(
    arrears_months,'Loan Tape (S&amp;P)'!AN1639,
    IF(arrears_months=0,1.00,
    IF(arrears_months=1,3.00,
    IF(arrears_months=2,5.00,
    IF(arrears_months=3,8.00,
    IF(arrears_months=4,10.00,
    IF(arrears_months=5,12.00,15.00)))))))</f>
        <v/>
      </c>
      <c r="M1639">
        <f>LET(
    seasoning_years,DATEDIF('Loan Tape (S&amp;P)'!K1639,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39">
        <f>IF(AND('Loan Tape (S&amp;P)'!U1639="Yes",
        'Loan Tape (S&amp;P)'!T1639&lt;&gt;"Yes",
        DATEDIF('Loan Tape (S&amp;P)'!K1639, TODAY(), "M")&lt;18),
    1.10,
    1.00)</f>
        <v/>
      </c>
      <c r="O1639">
        <f>IF('Loan Tape (S&amp;P)'!T1639="Yes",
    1.35,
    1.00)</f>
        <v/>
      </c>
      <c r="P1639">
        <f>IF('Loan Tape (S&amp;P)'!S1639="Yes",
    1.15,
    1.00)</f>
        <v/>
      </c>
      <c r="Q1639">
        <f>IF('Loan Tape (S&amp;P)'!V1639="Yes",
    1.20,
    1.00)</f>
        <v/>
      </c>
      <c r="T1639">
        <f>LET(
    payment_method,'Loan Tape (S&amp;P)'!P1639,
    occupancy,'Loan Tape (S&amp;P)'!N1639,
    maturity_date,'Loan Tape (S&amp;P)'!L1639,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40">
      <c r="J1640">
        <f>LET(
    lien,'Loan Tape (S&amp;P)'!Q1640,
    IF(lien="First",1.00,
        IF(lien="Second",1.50,
            1.70)))</f>
        <v/>
      </c>
      <c r="K1640">
        <f>LET(
    purpose,'Loan Tape (S&amp;P)'!R1640,
    IF(purpose="Purchase",1.00,
        IF(purpose="Remortgage",1.00,
            1.20)))</f>
        <v/>
      </c>
      <c r="L1640">
        <f>LET(
    arrears_months,'Loan Tape (S&amp;P)'!AN1640,
    IF(arrears_months=0,1.00,
    IF(arrears_months=1,3.00,
    IF(arrears_months=2,5.00,
    IF(arrears_months=3,8.00,
    IF(arrears_months=4,10.00,
    IF(arrears_months=5,12.00,15.00)))))))</f>
        <v/>
      </c>
      <c r="M1640">
        <f>LET(
    seasoning_years,DATEDIF('Loan Tape (S&amp;P)'!K1640,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40">
        <f>IF(AND('Loan Tape (S&amp;P)'!U1640="Yes",
        'Loan Tape (S&amp;P)'!T1640&lt;&gt;"Yes",
        DATEDIF('Loan Tape (S&amp;P)'!K1640, TODAY(), "M")&lt;18),
    1.10,
    1.00)</f>
        <v/>
      </c>
      <c r="O1640">
        <f>IF('Loan Tape (S&amp;P)'!T1640="Yes",
    1.35,
    1.00)</f>
        <v/>
      </c>
      <c r="P1640">
        <f>IF('Loan Tape (S&amp;P)'!S1640="Yes",
    1.15,
    1.00)</f>
        <v/>
      </c>
      <c r="Q1640">
        <f>IF('Loan Tape (S&amp;P)'!V1640="Yes",
    1.20,
    1.00)</f>
        <v/>
      </c>
      <c r="T1640">
        <f>LET(
    payment_method,'Loan Tape (S&amp;P)'!P1640,
    occupancy,'Loan Tape (S&amp;P)'!N1640,
    maturity_date,'Loan Tape (S&amp;P)'!L1640,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41">
      <c r="J1641">
        <f>LET(
    lien,'Loan Tape (S&amp;P)'!Q1641,
    IF(lien="First",1.00,
        IF(lien="Second",1.50,
            1.70)))</f>
        <v/>
      </c>
      <c r="K1641">
        <f>LET(
    purpose,'Loan Tape (S&amp;P)'!R1641,
    IF(purpose="Purchase",1.00,
        IF(purpose="Remortgage",1.00,
            1.20)))</f>
        <v/>
      </c>
      <c r="L1641">
        <f>LET(
    arrears_months,'Loan Tape (S&amp;P)'!AN1641,
    IF(arrears_months=0,1.00,
    IF(arrears_months=1,3.00,
    IF(arrears_months=2,5.00,
    IF(arrears_months=3,8.00,
    IF(arrears_months=4,10.00,
    IF(arrears_months=5,12.00,15.00)))))))</f>
        <v/>
      </c>
      <c r="M1641">
        <f>LET(
    seasoning_years,DATEDIF('Loan Tape (S&amp;P)'!K1641,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41">
        <f>IF(AND('Loan Tape (S&amp;P)'!U1641="Yes",
        'Loan Tape (S&amp;P)'!T1641&lt;&gt;"Yes",
        DATEDIF('Loan Tape (S&amp;P)'!K1641, TODAY(), "M")&lt;18),
    1.10,
    1.00)</f>
        <v/>
      </c>
      <c r="O1641">
        <f>IF('Loan Tape (S&amp;P)'!T1641="Yes",
    1.35,
    1.00)</f>
        <v/>
      </c>
      <c r="P1641">
        <f>IF('Loan Tape (S&amp;P)'!S1641="Yes",
    1.15,
    1.00)</f>
        <v/>
      </c>
      <c r="Q1641">
        <f>IF('Loan Tape (S&amp;P)'!V1641="Yes",
    1.20,
    1.00)</f>
        <v/>
      </c>
      <c r="T1641">
        <f>LET(
    payment_method,'Loan Tape (S&amp;P)'!P1641,
    occupancy,'Loan Tape (S&amp;P)'!N1641,
    maturity_date,'Loan Tape (S&amp;P)'!L1641,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42">
      <c r="J1642">
        <f>LET(
    lien,'Loan Tape (S&amp;P)'!Q1642,
    IF(lien="First",1.00,
        IF(lien="Second",1.50,
            1.70)))</f>
        <v/>
      </c>
      <c r="K1642">
        <f>LET(
    purpose,'Loan Tape (S&amp;P)'!R1642,
    IF(purpose="Purchase",1.00,
        IF(purpose="Remortgage",1.00,
            1.20)))</f>
        <v/>
      </c>
      <c r="L1642">
        <f>LET(
    arrears_months,'Loan Tape (S&amp;P)'!AN1642,
    IF(arrears_months=0,1.00,
    IF(arrears_months=1,3.00,
    IF(arrears_months=2,5.00,
    IF(arrears_months=3,8.00,
    IF(arrears_months=4,10.00,
    IF(arrears_months=5,12.00,15.00)))))))</f>
        <v/>
      </c>
      <c r="M1642">
        <f>LET(
    seasoning_years,DATEDIF('Loan Tape (S&amp;P)'!K1642,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42">
        <f>IF(AND('Loan Tape (S&amp;P)'!U1642="Yes",
        'Loan Tape (S&amp;P)'!T1642&lt;&gt;"Yes",
        DATEDIF('Loan Tape (S&amp;P)'!K1642, TODAY(), "M")&lt;18),
    1.10,
    1.00)</f>
        <v/>
      </c>
      <c r="O1642">
        <f>IF('Loan Tape (S&amp;P)'!T1642="Yes",
    1.35,
    1.00)</f>
        <v/>
      </c>
      <c r="P1642">
        <f>IF('Loan Tape (S&amp;P)'!S1642="Yes",
    1.15,
    1.00)</f>
        <v/>
      </c>
      <c r="Q1642">
        <f>IF('Loan Tape (S&amp;P)'!V1642="Yes",
    1.20,
    1.00)</f>
        <v/>
      </c>
      <c r="T1642">
        <f>LET(
    payment_method,'Loan Tape (S&amp;P)'!P1642,
    occupancy,'Loan Tape (S&amp;P)'!N1642,
    maturity_date,'Loan Tape (S&amp;P)'!L1642,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43">
      <c r="J1643">
        <f>LET(
    lien,'Loan Tape (S&amp;P)'!Q1643,
    IF(lien="First",1.00,
        IF(lien="Second",1.50,
            1.70)))</f>
        <v/>
      </c>
      <c r="K1643">
        <f>LET(
    purpose,'Loan Tape (S&amp;P)'!R1643,
    IF(purpose="Purchase",1.00,
        IF(purpose="Remortgage",1.00,
            1.20)))</f>
        <v/>
      </c>
      <c r="L1643">
        <f>LET(
    arrears_months,'Loan Tape (S&amp;P)'!AN1643,
    IF(arrears_months=0,1.00,
    IF(arrears_months=1,3.00,
    IF(arrears_months=2,5.00,
    IF(arrears_months=3,8.00,
    IF(arrears_months=4,10.00,
    IF(arrears_months=5,12.00,15.00)))))))</f>
        <v/>
      </c>
      <c r="M1643">
        <f>LET(
    seasoning_years,DATEDIF('Loan Tape (S&amp;P)'!K1643,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43">
        <f>IF(AND('Loan Tape (S&amp;P)'!U1643="Yes",
        'Loan Tape (S&amp;P)'!T1643&lt;&gt;"Yes",
        DATEDIF('Loan Tape (S&amp;P)'!K1643, TODAY(), "M")&lt;18),
    1.10,
    1.00)</f>
        <v/>
      </c>
      <c r="O1643">
        <f>IF('Loan Tape (S&amp;P)'!T1643="Yes",
    1.35,
    1.00)</f>
        <v/>
      </c>
      <c r="P1643">
        <f>IF('Loan Tape (S&amp;P)'!S1643="Yes",
    1.15,
    1.00)</f>
        <v/>
      </c>
      <c r="Q1643">
        <f>IF('Loan Tape (S&amp;P)'!V1643="Yes",
    1.20,
    1.00)</f>
        <v/>
      </c>
      <c r="T1643">
        <f>LET(
    payment_method,'Loan Tape (S&amp;P)'!P1643,
    occupancy,'Loan Tape (S&amp;P)'!N1643,
    maturity_date,'Loan Tape (S&amp;P)'!L1643,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44">
      <c r="J1644">
        <f>LET(
    lien,'Loan Tape (S&amp;P)'!Q1644,
    IF(lien="First",1.00,
        IF(lien="Second",1.50,
            1.70)))</f>
        <v/>
      </c>
      <c r="K1644">
        <f>LET(
    purpose,'Loan Tape (S&amp;P)'!R1644,
    IF(purpose="Purchase",1.00,
        IF(purpose="Remortgage",1.00,
            1.20)))</f>
        <v/>
      </c>
      <c r="L1644">
        <f>LET(
    arrears_months,'Loan Tape (S&amp;P)'!AN1644,
    IF(arrears_months=0,1.00,
    IF(arrears_months=1,3.00,
    IF(arrears_months=2,5.00,
    IF(arrears_months=3,8.00,
    IF(arrears_months=4,10.00,
    IF(arrears_months=5,12.00,15.00)))))))</f>
        <v/>
      </c>
      <c r="M1644">
        <f>LET(
    seasoning_years,DATEDIF('Loan Tape (S&amp;P)'!K1644,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44">
        <f>IF(AND('Loan Tape (S&amp;P)'!U1644="Yes",
        'Loan Tape (S&amp;P)'!T1644&lt;&gt;"Yes",
        DATEDIF('Loan Tape (S&amp;P)'!K1644, TODAY(), "M")&lt;18),
    1.10,
    1.00)</f>
        <v/>
      </c>
      <c r="O1644">
        <f>IF('Loan Tape (S&amp;P)'!T1644="Yes",
    1.35,
    1.00)</f>
        <v/>
      </c>
      <c r="P1644">
        <f>IF('Loan Tape (S&amp;P)'!S1644="Yes",
    1.15,
    1.00)</f>
        <v/>
      </c>
      <c r="Q1644">
        <f>IF('Loan Tape (S&amp;P)'!V1644="Yes",
    1.20,
    1.00)</f>
        <v/>
      </c>
      <c r="T1644">
        <f>LET(
    payment_method,'Loan Tape (S&amp;P)'!P1644,
    occupancy,'Loan Tape (S&amp;P)'!N1644,
    maturity_date,'Loan Tape (S&amp;P)'!L1644,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45">
      <c r="J1645">
        <f>LET(
    lien,'Loan Tape (S&amp;P)'!Q1645,
    IF(lien="First",1.00,
        IF(lien="Second",1.50,
            1.70)))</f>
        <v/>
      </c>
      <c r="K1645">
        <f>LET(
    purpose,'Loan Tape (S&amp;P)'!R1645,
    IF(purpose="Purchase",1.00,
        IF(purpose="Remortgage",1.00,
            1.20)))</f>
        <v/>
      </c>
      <c r="L1645">
        <f>LET(
    arrears_months,'Loan Tape (S&amp;P)'!AN1645,
    IF(arrears_months=0,1.00,
    IF(arrears_months=1,3.00,
    IF(arrears_months=2,5.00,
    IF(arrears_months=3,8.00,
    IF(arrears_months=4,10.00,
    IF(arrears_months=5,12.00,15.00)))))))</f>
        <v/>
      </c>
      <c r="M1645">
        <f>LET(
    seasoning_years,DATEDIF('Loan Tape (S&amp;P)'!K1645,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45">
        <f>IF(AND('Loan Tape (S&amp;P)'!U1645="Yes",
        'Loan Tape (S&amp;P)'!T1645&lt;&gt;"Yes",
        DATEDIF('Loan Tape (S&amp;P)'!K1645, TODAY(), "M")&lt;18),
    1.10,
    1.00)</f>
        <v/>
      </c>
      <c r="O1645">
        <f>IF('Loan Tape (S&amp;P)'!T1645="Yes",
    1.35,
    1.00)</f>
        <v/>
      </c>
      <c r="P1645">
        <f>IF('Loan Tape (S&amp;P)'!S1645="Yes",
    1.15,
    1.00)</f>
        <v/>
      </c>
      <c r="Q1645">
        <f>IF('Loan Tape (S&amp;P)'!V1645="Yes",
    1.20,
    1.00)</f>
        <v/>
      </c>
      <c r="T1645">
        <f>LET(
    payment_method,'Loan Tape (S&amp;P)'!P1645,
    occupancy,'Loan Tape (S&amp;P)'!N1645,
    maturity_date,'Loan Tape (S&amp;P)'!L1645,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46">
      <c r="J1646">
        <f>LET(
    lien,'Loan Tape (S&amp;P)'!Q1646,
    IF(lien="First",1.00,
        IF(lien="Second",1.50,
            1.70)))</f>
        <v/>
      </c>
      <c r="K1646">
        <f>LET(
    purpose,'Loan Tape (S&amp;P)'!R1646,
    IF(purpose="Purchase",1.00,
        IF(purpose="Remortgage",1.00,
            1.20)))</f>
        <v/>
      </c>
      <c r="L1646">
        <f>LET(
    arrears_months,'Loan Tape (S&amp;P)'!AN1646,
    IF(arrears_months=0,1.00,
    IF(arrears_months=1,3.00,
    IF(arrears_months=2,5.00,
    IF(arrears_months=3,8.00,
    IF(arrears_months=4,10.00,
    IF(arrears_months=5,12.00,15.00)))))))</f>
        <v/>
      </c>
      <c r="M1646">
        <f>LET(
    seasoning_years,DATEDIF('Loan Tape (S&amp;P)'!K1646,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46">
        <f>IF(AND('Loan Tape (S&amp;P)'!U1646="Yes",
        'Loan Tape (S&amp;P)'!T1646&lt;&gt;"Yes",
        DATEDIF('Loan Tape (S&amp;P)'!K1646, TODAY(), "M")&lt;18),
    1.10,
    1.00)</f>
        <v/>
      </c>
      <c r="O1646">
        <f>IF('Loan Tape (S&amp;P)'!T1646="Yes",
    1.35,
    1.00)</f>
        <v/>
      </c>
      <c r="P1646">
        <f>IF('Loan Tape (S&amp;P)'!S1646="Yes",
    1.15,
    1.00)</f>
        <v/>
      </c>
      <c r="Q1646">
        <f>IF('Loan Tape (S&amp;P)'!V1646="Yes",
    1.20,
    1.00)</f>
        <v/>
      </c>
      <c r="T1646">
        <f>LET(
    payment_method,'Loan Tape (S&amp;P)'!P1646,
    occupancy,'Loan Tape (S&amp;P)'!N1646,
    maturity_date,'Loan Tape (S&amp;P)'!L1646,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47">
      <c r="J1647">
        <f>LET(
    lien,'Loan Tape (S&amp;P)'!Q1647,
    IF(lien="First",1.00,
        IF(lien="Second",1.50,
            1.70)))</f>
        <v/>
      </c>
      <c r="K1647">
        <f>LET(
    purpose,'Loan Tape (S&amp;P)'!R1647,
    IF(purpose="Purchase",1.00,
        IF(purpose="Remortgage",1.00,
            1.20)))</f>
        <v/>
      </c>
      <c r="L1647">
        <f>LET(
    arrears_months,'Loan Tape (S&amp;P)'!AN1647,
    IF(arrears_months=0,1.00,
    IF(arrears_months=1,3.00,
    IF(arrears_months=2,5.00,
    IF(arrears_months=3,8.00,
    IF(arrears_months=4,10.00,
    IF(arrears_months=5,12.00,15.00)))))))</f>
        <v/>
      </c>
      <c r="M1647">
        <f>LET(
    seasoning_years,DATEDIF('Loan Tape (S&amp;P)'!K1647,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47">
        <f>IF(AND('Loan Tape (S&amp;P)'!U1647="Yes",
        'Loan Tape (S&amp;P)'!T1647&lt;&gt;"Yes",
        DATEDIF('Loan Tape (S&amp;P)'!K1647, TODAY(), "M")&lt;18),
    1.10,
    1.00)</f>
        <v/>
      </c>
      <c r="O1647">
        <f>IF('Loan Tape (S&amp;P)'!T1647="Yes",
    1.35,
    1.00)</f>
        <v/>
      </c>
      <c r="P1647">
        <f>IF('Loan Tape (S&amp;P)'!S1647="Yes",
    1.15,
    1.00)</f>
        <v/>
      </c>
      <c r="Q1647">
        <f>IF('Loan Tape (S&amp;P)'!V1647="Yes",
    1.20,
    1.00)</f>
        <v/>
      </c>
      <c r="T1647">
        <f>LET(
    payment_method,'Loan Tape (S&amp;P)'!P1647,
    occupancy,'Loan Tape (S&amp;P)'!N1647,
    maturity_date,'Loan Tape (S&amp;P)'!L1647,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48">
      <c r="J1648">
        <f>LET(
    lien,'Loan Tape (S&amp;P)'!Q1648,
    IF(lien="First",1.00,
        IF(lien="Second",1.50,
            1.70)))</f>
        <v/>
      </c>
      <c r="K1648">
        <f>LET(
    purpose,'Loan Tape (S&amp;P)'!R1648,
    IF(purpose="Purchase",1.00,
        IF(purpose="Remortgage",1.00,
            1.20)))</f>
        <v/>
      </c>
      <c r="L1648">
        <f>LET(
    arrears_months,'Loan Tape (S&amp;P)'!AN1648,
    IF(arrears_months=0,1.00,
    IF(arrears_months=1,3.00,
    IF(arrears_months=2,5.00,
    IF(arrears_months=3,8.00,
    IF(arrears_months=4,10.00,
    IF(arrears_months=5,12.00,15.00)))))))</f>
        <v/>
      </c>
      <c r="M1648">
        <f>LET(
    seasoning_years,DATEDIF('Loan Tape (S&amp;P)'!K1648,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48">
        <f>IF(AND('Loan Tape (S&amp;P)'!U1648="Yes",
        'Loan Tape (S&amp;P)'!T1648&lt;&gt;"Yes",
        DATEDIF('Loan Tape (S&amp;P)'!K1648, TODAY(), "M")&lt;18),
    1.10,
    1.00)</f>
        <v/>
      </c>
      <c r="O1648">
        <f>IF('Loan Tape (S&amp;P)'!T1648="Yes",
    1.35,
    1.00)</f>
        <v/>
      </c>
      <c r="P1648">
        <f>IF('Loan Tape (S&amp;P)'!S1648="Yes",
    1.15,
    1.00)</f>
        <v/>
      </c>
      <c r="Q1648">
        <f>IF('Loan Tape (S&amp;P)'!V1648="Yes",
    1.20,
    1.00)</f>
        <v/>
      </c>
      <c r="T1648">
        <f>LET(
    payment_method,'Loan Tape (S&amp;P)'!P1648,
    occupancy,'Loan Tape (S&amp;P)'!N1648,
    maturity_date,'Loan Tape (S&amp;P)'!L1648,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49">
      <c r="J1649">
        <f>LET(
    lien,'Loan Tape (S&amp;P)'!Q1649,
    IF(lien="First",1.00,
        IF(lien="Second",1.50,
            1.70)))</f>
        <v/>
      </c>
      <c r="K1649">
        <f>LET(
    purpose,'Loan Tape (S&amp;P)'!R1649,
    IF(purpose="Purchase",1.00,
        IF(purpose="Remortgage",1.00,
            1.20)))</f>
        <v/>
      </c>
      <c r="L1649">
        <f>LET(
    arrears_months,'Loan Tape (S&amp;P)'!AN1649,
    IF(arrears_months=0,1.00,
    IF(arrears_months=1,3.00,
    IF(arrears_months=2,5.00,
    IF(arrears_months=3,8.00,
    IF(arrears_months=4,10.00,
    IF(arrears_months=5,12.00,15.00)))))))</f>
        <v/>
      </c>
      <c r="M1649">
        <f>LET(
    seasoning_years,DATEDIF('Loan Tape (S&amp;P)'!K1649,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49">
        <f>IF(AND('Loan Tape (S&amp;P)'!U1649="Yes",
        'Loan Tape (S&amp;P)'!T1649&lt;&gt;"Yes",
        DATEDIF('Loan Tape (S&amp;P)'!K1649, TODAY(), "M")&lt;18),
    1.10,
    1.00)</f>
        <v/>
      </c>
      <c r="O1649">
        <f>IF('Loan Tape (S&amp;P)'!T1649="Yes",
    1.35,
    1.00)</f>
        <v/>
      </c>
      <c r="P1649">
        <f>IF('Loan Tape (S&amp;P)'!S1649="Yes",
    1.15,
    1.00)</f>
        <v/>
      </c>
      <c r="Q1649">
        <f>IF('Loan Tape (S&amp;P)'!V1649="Yes",
    1.20,
    1.00)</f>
        <v/>
      </c>
      <c r="T1649">
        <f>LET(
    payment_method,'Loan Tape (S&amp;P)'!P1649,
    occupancy,'Loan Tape (S&amp;P)'!N1649,
    maturity_date,'Loan Tape (S&amp;P)'!L1649,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50">
      <c r="J1650">
        <f>LET(
    lien,'Loan Tape (S&amp;P)'!Q1650,
    IF(lien="First",1.00,
        IF(lien="Second",1.50,
            1.70)))</f>
        <v/>
      </c>
      <c r="K1650">
        <f>LET(
    purpose,'Loan Tape (S&amp;P)'!R1650,
    IF(purpose="Purchase",1.00,
        IF(purpose="Remortgage",1.00,
            1.20)))</f>
        <v/>
      </c>
      <c r="L1650">
        <f>LET(
    arrears_months,'Loan Tape (S&amp;P)'!AN1650,
    IF(arrears_months=0,1.00,
    IF(arrears_months=1,3.00,
    IF(arrears_months=2,5.00,
    IF(arrears_months=3,8.00,
    IF(arrears_months=4,10.00,
    IF(arrears_months=5,12.00,15.00)))))))</f>
        <v/>
      </c>
      <c r="M1650">
        <f>LET(
    seasoning_years,DATEDIF('Loan Tape (S&amp;P)'!K1650,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50">
        <f>IF(AND('Loan Tape (S&amp;P)'!U1650="Yes",
        'Loan Tape (S&amp;P)'!T1650&lt;&gt;"Yes",
        DATEDIF('Loan Tape (S&amp;P)'!K1650, TODAY(), "M")&lt;18),
    1.10,
    1.00)</f>
        <v/>
      </c>
      <c r="O1650">
        <f>IF('Loan Tape (S&amp;P)'!T1650="Yes",
    1.35,
    1.00)</f>
        <v/>
      </c>
      <c r="P1650">
        <f>IF('Loan Tape (S&amp;P)'!S1650="Yes",
    1.15,
    1.00)</f>
        <v/>
      </c>
      <c r="Q1650">
        <f>IF('Loan Tape (S&amp;P)'!V1650="Yes",
    1.20,
    1.00)</f>
        <v/>
      </c>
      <c r="T1650">
        <f>LET(
    payment_method,'Loan Tape (S&amp;P)'!P1650,
    occupancy,'Loan Tape (S&amp;P)'!N1650,
    maturity_date,'Loan Tape (S&amp;P)'!L1650,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51">
      <c r="J1651">
        <f>LET(
    lien,'Loan Tape (S&amp;P)'!Q1651,
    IF(lien="First",1.00,
        IF(lien="Second",1.50,
            1.70)))</f>
        <v/>
      </c>
      <c r="K1651">
        <f>LET(
    purpose,'Loan Tape (S&amp;P)'!R1651,
    IF(purpose="Purchase",1.00,
        IF(purpose="Remortgage",1.00,
            1.20)))</f>
        <v/>
      </c>
      <c r="L1651">
        <f>LET(
    arrears_months,'Loan Tape (S&amp;P)'!AN1651,
    IF(arrears_months=0,1.00,
    IF(arrears_months=1,3.00,
    IF(arrears_months=2,5.00,
    IF(arrears_months=3,8.00,
    IF(arrears_months=4,10.00,
    IF(arrears_months=5,12.00,15.00)))))))</f>
        <v/>
      </c>
      <c r="M1651">
        <f>LET(
    seasoning_years,DATEDIF('Loan Tape (S&amp;P)'!K1651,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51">
        <f>IF(AND('Loan Tape (S&amp;P)'!U1651="Yes",
        'Loan Tape (S&amp;P)'!T1651&lt;&gt;"Yes",
        DATEDIF('Loan Tape (S&amp;P)'!K1651, TODAY(), "M")&lt;18),
    1.10,
    1.00)</f>
        <v/>
      </c>
      <c r="O1651">
        <f>IF('Loan Tape (S&amp;P)'!T1651="Yes",
    1.35,
    1.00)</f>
        <v/>
      </c>
      <c r="P1651">
        <f>IF('Loan Tape (S&amp;P)'!S1651="Yes",
    1.15,
    1.00)</f>
        <v/>
      </c>
      <c r="Q1651">
        <f>IF('Loan Tape (S&amp;P)'!V1651="Yes",
    1.20,
    1.00)</f>
        <v/>
      </c>
      <c r="T1651">
        <f>LET(
    payment_method,'Loan Tape (S&amp;P)'!P1651,
    occupancy,'Loan Tape (S&amp;P)'!N1651,
    maturity_date,'Loan Tape (S&amp;P)'!L1651,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52">
      <c r="J1652">
        <f>LET(
    lien,'Loan Tape (S&amp;P)'!Q1652,
    IF(lien="First",1.00,
        IF(lien="Second",1.50,
            1.70)))</f>
        <v/>
      </c>
      <c r="K1652">
        <f>LET(
    purpose,'Loan Tape (S&amp;P)'!R1652,
    IF(purpose="Purchase",1.00,
        IF(purpose="Remortgage",1.00,
            1.20)))</f>
        <v/>
      </c>
      <c r="L1652">
        <f>LET(
    arrears_months,'Loan Tape (S&amp;P)'!AN1652,
    IF(arrears_months=0,1.00,
    IF(arrears_months=1,3.00,
    IF(arrears_months=2,5.00,
    IF(arrears_months=3,8.00,
    IF(arrears_months=4,10.00,
    IF(arrears_months=5,12.00,15.00)))))))</f>
        <v/>
      </c>
      <c r="M1652">
        <f>LET(
    seasoning_years,DATEDIF('Loan Tape (S&amp;P)'!K1652,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52">
        <f>IF(AND('Loan Tape (S&amp;P)'!U1652="Yes",
        'Loan Tape (S&amp;P)'!T1652&lt;&gt;"Yes",
        DATEDIF('Loan Tape (S&amp;P)'!K1652, TODAY(), "M")&lt;18),
    1.10,
    1.00)</f>
        <v/>
      </c>
      <c r="O1652">
        <f>IF('Loan Tape (S&amp;P)'!T1652="Yes",
    1.35,
    1.00)</f>
        <v/>
      </c>
      <c r="P1652">
        <f>IF('Loan Tape (S&amp;P)'!S1652="Yes",
    1.15,
    1.00)</f>
        <v/>
      </c>
      <c r="Q1652">
        <f>IF('Loan Tape (S&amp;P)'!V1652="Yes",
    1.20,
    1.00)</f>
        <v/>
      </c>
      <c r="T1652">
        <f>LET(
    payment_method,'Loan Tape (S&amp;P)'!P1652,
    occupancy,'Loan Tape (S&amp;P)'!N1652,
    maturity_date,'Loan Tape (S&amp;P)'!L1652,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53">
      <c r="J1653">
        <f>LET(
    lien,'Loan Tape (S&amp;P)'!Q1653,
    IF(lien="First",1.00,
        IF(lien="Second",1.50,
            1.70)))</f>
        <v/>
      </c>
      <c r="K1653">
        <f>LET(
    purpose,'Loan Tape (S&amp;P)'!R1653,
    IF(purpose="Purchase",1.00,
        IF(purpose="Remortgage",1.00,
            1.20)))</f>
        <v/>
      </c>
      <c r="L1653">
        <f>LET(
    arrears_months,'Loan Tape (S&amp;P)'!AN1653,
    IF(arrears_months=0,1.00,
    IF(arrears_months=1,3.00,
    IF(arrears_months=2,5.00,
    IF(arrears_months=3,8.00,
    IF(arrears_months=4,10.00,
    IF(arrears_months=5,12.00,15.00)))))))</f>
        <v/>
      </c>
      <c r="M1653">
        <f>LET(
    seasoning_years,DATEDIF('Loan Tape (S&amp;P)'!K1653,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53">
        <f>IF(AND('Loan Tape (S&amp;P)'!U1653="Yes",
        'Loan Tape (S&amp;P)'!T1653&lt;&gt;"Yes",
        DATEDIF('Loan Tape (S&amp;P)'!K1653, TODAY(), "M")&lt;18),
    1.10,
    1.00)</f>
        <v/>
      </c>
      <c r="O1653">
        <f>IF('Loan Tape (S&amp;P)'!T1653="Yes",
    1.35,
    1.00)</f>
        <v/>
      </c>
      <c r="P1653">
        <f>IF('Loan Tape (S&amp;P)'!S1653="Yes",
    1.15,
    1.00)</f>
        <v/>
      </c>
      <c r="Q1653">
        <f>IF('Loan Tape (S&amp;P)'!V1653="Yes",
    1.20,
    1.00)</f>
        <v/>
      </c>
      <c r="T1653">
        <f>LET(
    payment_method,'Loan Tape (S&amp;P)'!P1653,
    occupancy,'Loan Tape (S&amp;P)'!N1653,
    maturity_date,'Loan Tape (S&amp;P)'!L1653,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54">
      <c r="J1654">
        <f>LET(
    lien,'Loan Tape (S&amp;P)'!Q1654,
    IF(lien="First",1.00,
        IF(lien="Second",1.50,
            1.70)))</f>
        <v/>
      </c>
      <c r="K1654">
        <f>LET(
    purpose,'Loan Tape (S&amp;P)'!R1654,
    IF(purpose="Purchase",1.00,
        IF(purpose="Remortgage",1.00,
            1.20)))</f>
        <v/>
      </c>
      <c r="L1654">
        <f>LET(
    arrears_months,'Loan Tape (S&amp;P)'!AN1654,
    IF(arrears_months=0,1.00,
    IF(arrears_months=1,3.00,
    IF(arrears_months=2,5.00,
    IF(arrears_months=3,8.00,
    IF(arrears_months=4,10.00,
    IF(arrears_months=5,12.00,15.00)))))))</f>
        <v/>
      </c>
      <c r="M1654">
        <f>LET(
    seasoning_years,DATEDIF('Loan Tape (S&amp;P)'!K1654,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54">
        <f>IF(AND('Loan Tape (S&amp;P)'!U1654="Yes",
        'Loan Tape (S&amp;P)'!T1654&lt;&gt;"Yes",
        DATEDIF('Loan Tape (S&amp;P)'!K1654, TODAY(), "M")&lt;18),
    1.10,
    1.00)</f>
        <v/>
      </c>
      <c r="O1654">
        <f>IF('Loan Tape (S&amp;P)'!T1654="Yes",
    1.35,
    1.00)</f>
        <v/>
      </c>
      <c r="P1654">
        <f>IF('Loan Tape (S&amp;P)'!S1654="Yes",
    1.15,
    1.00)</f>
        <v/>
      </c>
      <c r="Q1654">
        <f>IF('Loan Tape (S&amp;P)'!V1654="Yes",
    1.20,
    1.00)</f>
        <v/>
      </c>
      <c r="T1654">
        <f>LET(
    payment_method,'Loan Tape (S&amp;P)'!P1654,
    occupancy,'Loan Tape (S&amp;P)'!N1654,
    maturity_date,'Loan Tape (S&amp;P)'!L1654,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55">
      <c r="J1655">
        <f>LET(
    lien,'Loan Tape (S&amp;P)'!Q1655,
    IF(lien="First",1.00,
        IF(lien="Second",1.50,
            1.70)))</f>
        <v/>
      </c>
      <c r="K1655">
        <f>LET(
    purpose,'Loan Tape (S&amp;P)'!R1655,
    IF(purpose="Purchase",1.00,
        IF(purpose="Remortgage",1.00,
            1.20)))</f>
        <v/>
      </c>
      <c r="L1655">
        <f>LET(
    arrears_months,'Loan Tape (S&amp;P)'!AN1655,
    IF(arrears_months=0,1.00,
    IF(arrears_months=1,3.00,
    IF(arrears_months=2,5.00,
    IF(arrears_months=3,8.00,
    IF(arrears_months=4,10.00,
    IF(arrears_months=5,12.00,15.00)))))))</f>
        <v/>
      </c>
      <c r="M1655">
        <f>LET(
    seasoning_years,DATEDIF('Loan Tape (S&amp;P)'!K1655,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55">
        <f>IF(AND('Loan Tape (S&amp;P)'!U1655="Yes",
        'Loan Tape (S&amp;P)'!T1655&lt;&gt;"Yes",
        DATEDIF('Loan Tape (S&amp;P)'!K1655, TODAY(), "M")&lt;18),
    1.10,
    1.00)</f>
        <v/>
      </c>
      <c r="O1655">
        <f>IF('Loan Tape (S&amp;P)'!T1655="Yes",
    1.35,
    1.00)</f>
        <v/>
      </c>
      <c r="P1655">
        <f>IF('Loan Tape (S&amp;P)'!S1655="Yes",
    1.15,
    1.00)</f>
        <v/>
      </c>
      <c r="Q1655">
        <f>IF('Loan Tape (S&amp;P)'!V1655="Yes",
    1.20,
    1.00)</f>
        <v/>
      </c>
      <c r="T1655">
        <f>LET(
    payment_method,'Loan Tape (S&amp;P)'!P1655,
    occupancy,'Loan Tape (S&amp;P)'!N1655,
    maturity_date,'Loan Tape (S&amp;P)'!L1655,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56">
      <c r="J1656">
        <f>LET(
    lien,'Loan Tape (S&amp;P)'!Q1656,
    IF(lien="First",1.00,
        IF(lien="Second",1.50,
            1.70)))</f>
        <v/>
      </c>
      <c r="K1656">
        <f>LET(
    purpose,'Loan Tape (S&amp;P)'!R1656,
    IF(purpose="Purchase",1.00,
        IF(purpose="Remortgage",1.00,
            1.20)))</f>
        <v/>
      </c>
      <c r="L1656">
        <f>LET(
    arrears_months,'Loan Tape (S&amp;P)'!AN1656,
    IF(arrears_months=0,1.00,
    IF(arrears_months=1,3.00,
    IF(arrears_months=2,5.00,
    IF(arrears_months=3,8.00,
    IF(arrears_months=4,10.00,
    IF(arrears_months=5,12.00,15.00)))))))</f>
        <v/>
      </c>
      <c r="M1656">
        <f>LET(
    seasoning_years,DATEDIF('Loan Tape (S&amp;P)'!K1656,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56">
        <f>IF(AND('Loan Tape (S&amp;P)'!U1656="Yes",
        'Loan Tape (S&amp;P)'!T1656&lt;&gt;"Yes",
        DATEDIF('Loan Tape (S&amp;P)'!K1656, TODAY(), "M")&lt;18),
    1.10,
    1.00)</f>
        <v/>
      </c>
      <c r="O1656">
        <f>IF('Loan Tape (S&amp;P)'!T1656="Yes",
    1.35,
    1.00)</f>
        <v/>
      </c>
      <c r="P1656">
        <f>IF('Loan Tape (S&amp;P)'!S1656="Yes",
    1.15,
    1.00)</f>
        <v/>
      </c>
      <c r="Q1656">
        <f>IF('Loan Tape (S&amp;P)'!V1656="Yes",
    1.20,
    1.00)</f>
        <v/>
      </c>
      <c r="T1656">
        <f>LET(
    payment_method,'Loan Tape (S&amp;P)'!P1656,
    occupancy,'Loan Tape (S&amp;P)'!N1656,
    maturity_date,'Loan Tape (S&amp;P)'!L1656,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57">
      <c r="J1657">
        <f>LET(
    lien,'Loan Tape (S&amp;P)'!Q1657,
    IF(lien="First",1.00,
        IF(lien="Second",1.50,
            1.70)))</f>
        <v/>
      </c>
      <c r="K1657">
        <f>LET(
    purpose,'Loan Tape (S&amp;P)'!R1657,
    IF(purpose="Purchase",1.00,
        IF(purpose="Remortgage",1.00,
            1.20)))</f>
        <v/>
      </c>
      <c r="L1657">
        <f>LET(
    arrears_months,'Loan Tape (S&amp;P)'!AN1657,
    IF(arrears_months=0,1.00,
    IF(arrears_months=1,3.00,
    IF(arrears_months=2,5.00,
    IF(arrears_months=3,8.00,
    IF(arrears_months=4,10.00,
    IF(arrears_months=5,12.00,15.00)))))))</f>
        <v/>
      </c>
      <c r="M1657">
        <f>LET(
    seasoning_years,DATEDIF('Loan Tape (S&amp;P)'!K1657,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57">
        <f>IF(AND('Loan Tape (S&amp;P)'!U1657="Yes",
        'Loan Tape (S&amp;P)'!T1657&lt;&gt;"Yes",
        DATEDIF('Loan Tape (S&amp;P)'!K1657, TODAY(), "M")&lt;18),
    1.10,
    1.00)</f>
        <v/>
      </c>
      <c r="O1657">
        <f>IF('Loan Tape (S&amp;P)'!T1657="Yes",
    1.35,
    1.00)</f>
        <v/>
      </c>
      <c r="P1657">
        <f>IF('Loan Tape (S&amp;P)'!S1657="Yes",
    1.15,
    1.00)</f>
        <v/>
      </c>
      <c r="Q1657">
        <f>IF('Loan Tape (S&amp;P)'!V1657="Yes",
    1.20,
    1.00)</f>
        <v/>
      </c>
      <c r="T1657">
        <f>LET(
    payment_method,'Loan Tape (S&amp;P)'!P1657,
    occupancy,'Loan Tape (S&amp;P)'!N1657,
    maturity_date,'Loan Tape (S&amp;P)'!L1657,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58">
      <c r="J1658">
        <f>LET(
    lien,'Loan Tape (S&amp;P)'!Q1658,
    IF(lien="First",1.00,
        IF(lien="Second",1.50,
            1.70)))</f>
        <v/>
      </c>
      <c r="K1658">
        <f>LET(
    purpose,'Loan Tape (S&amp;P)'!R1658,
    IF(purpose="Purchase",1.00,
        IF(purpose="Remortgage",1.00,
            1.20)))</f>
        <v/>
      </c>
      <c r="L1658">
        <f>LET(
    arrears_months,'Loan Tape (S&amp;P)'!AN1658,
    IF(arrears_months=0,1.00,
    IF(arrears_months=1,3.00,
    IF(arrears_months=2,5.00,
    IF(arrears_months=3,8.00,
    IF(arrears_months=4,10.00,
    IF(arrears_months=5,12.00,15.00)))))))</f>
        <v/>
      </c>
      <c r="M1658">
        <f>LET(
    seasoning_years,DATEDIF('Loan Tape (S&amp;P)'!K1658,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58">
        <f>IF(AND('Loan Tape (S&amp;P)'!U1658="Yes",
        'Loan Tape (S&amp;P)'!T1658&lt;&gt;"Yes",
        DATEDIF('Loan Tape (S&amp;P)'!K1658, TODAY(), "M")&lt;18),
    1.10,
    1.00)</f>
        <v/>
      </c>
      <c r="O1658">
        <f>IF('Loan Tape (S&amp;P)'!T1658="Yes",
    1.35,
    1.00)</f>
        <v/>
      </c>
      <c r="P1658">
        <f>IF('Loan Tape (S&amp;P)'!S1658="Yes",
    1.15,
    1.00)</f>
        <v/>
      </c>
      <c r="Q1658">
        <f>IF('Loan Tape (S&amp;P)'!V1658="Yes",
    1.20,
    1.00)</f>
        <v/>
      </c>
      <c r="T1658">
        <f>LET(
    payment_method,'Loan Tape (S&amp;P)'!P1658,
    occupancy,'Loan Tape (S&amp;P)'!N1658,
    maturity_date,'Loan Tape (S&amp;P)'!L1658,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59">
      <c r="J1659">
        <f>LET(
    lien,'Loan Tape (S&amp;P)'!Q1659,
    IF(lien="First",1.00,
        IF(lien="Second",1.50,
            1.70)))</f>
        <v/>
      </c>
      <c r="K1659">
        <f>LET(
    purpose,'Loan Tape (S&amp;P)'!R1659,
    IF(purpose="Purchase",1.00,
        IF(purpose="Remortgage",1.00,
            1.20)))</f>
        <v/>
      </c>
      <c r="L1659">
        <f>LET(
    arrears_months,'Loan Tape (S&amp;P)'!AN1659,
    IF(arrears_months=0,1.00,
    IF(arrears_months=1,3.00,
    IF(arrears_months=2,5.00,
    IF(arrears_months=3,8.00,
    IF(arrears_months=4,10.00,
    IF(arrears_months=5,12.00,15.00)))))))</f>
        <v/>
      </c>
      <c r="M1659">
        <f>LET(
    seasoning_years,DATEDIF('Loan Tape (S&amp;P)'!K1659,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59">
        <f>IF(AND('Loan Tape (S&amp;P)'!U1659="Yes",
        'Loan Tape (S&amp;P)'!T1659&lt;&gt;"Yes",
        DATEDIF('Loan Tape (S&amp;P)'!K1659, TODAY(), "M")&lt;18),
    1.10,
    1.00)</f>
        <v/>
      </c>
      <c r="O1659">
        <f>IF('Loan Tape (S&amp;P)'!T1659="Yes",
    1.35,
    1.00)</f>
        <v/>
      </c>
      <c r="P1659">
        <f>IF('Loan Tape (S&amp;P)'!S1659="Yes",
    1.15,
    1.00)</f>
        <v/>
      </c>
      <c r="Q1659">
        <f>IF('Loan Tape (S&amp;P)'!V1659="Yes",
    1.20,
    1.00)</f>
        <v/>
      </c>
      <c r="T1659">
        <f>LET(
    payment_method,'Loan Tape (S&amp;P)'!P1659,
    occupancy,'Loan Tape (S&amp;P)'!N1659,
    maturity_date,'Loan Tape (S&amp;P)'!L1659,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60">
      <c r="J1660">
        <f>LET(
    lien,'Loan Tape (S&amp;P)'!Q1660,
    IF(lien="First",1.00,
        IF(lien="Second",1.50,
            1.70)))</f>
        <v/>
      </c>
      <c r="K1660">
        <f>LET(
    purpose,'Loan Tape (S&amp;P)'!R1660,
    IF(purpose="Purchase",1.00,
        IF(purpose="Remortgage",1.00,
            1.20)))</f>
        <v/>
      </c>
      <c r="L1660">
        <f>LET(
    arrears_months,'Loan Tape (S&amp;P)'!AN1660,
    IF(arrears_months=0,1.00,
    IF(arrears_months=1,3.00,
    IF(arrears_months=2,5.00,
    IF(arrears_months=3,8.00,
    IF(arrears_months=4,10.00,
    IF(arrears_months=5,12.00,15.00)))))))</f>
        <v/>
      </c>
      <c r="M1660">
        <f>LET(
    seasoning_years,DATEDIF('Loan Tape (S&amp;P)'!K1660,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60">
        <f>IF(AND('Loan Tape (S&amp;P)'!U1660="Yes",
        'Loan Tape (S&amp;P)'!T1660&lt;&gt;"Yes",
        DATEDIF('Loan Tape (S&amp;P)'!K1660, TODAY(), "M")&lt;18),
    1.10,
    1.00)</f>
        <v/>
      </c>
      <c r="O1660">
        <f>IF('Loan Tape (S&amp;P)'!T1660="Yes",
    1.35,
    1.00)</f>
        <v/>
      </c>
      <c r="P1660">
        <f>IF('Loan Tape (S&amp;P)'!S1660="Yes",
    1.15,
    1.00)</f>
        <v/>
      </c>
      <c r="Q1660">
        <f>IF('Loan Tape (S&amp;P)'!V1660="Yes",
    1.20,
    1.00)</f>
        <v/>
      </c>
      <c r="T1660">
        <f>LET(
    payment_method,'Loan Tape (S&amp;P)'!P1660,
    occupancy,'Loan Tape (S&amp;P)'!N1660,
    maturity_date,'Loan Tape (S&amp;P)'!L1660,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61">
      <c r="J1661">
        <f>LET(
    lien,'Loan Tape (S&amp;P)'!Q1661,
    IF(lien="First",1.00,
        IF(lien="Second",1.50,
            1.70)))</f>
        <v/>
      </c>
      <c r="K1661">
        <f>LET(
    purpose,'Loan Tape (S&amp;P)'!R1661,
    IF(purpose="Purchase",1.00,
        IF(purpose="Remortgage",1.00,
            1.20)))</f>
        <v/>
      </c>
      <c r="L1661">
        <f>LET(
    arrears_months,'Loan Tape (S&amp;P)'!AN1661,
    IF(arrears_months=0,1.00,
    IF(arrears_months=1,3.00,
    IF(arrears_months=2,5.00,
    IF(arrears_months=3,8.00,
    IF(arrears_months=4,10.00,
    IF(arrears_months=5,12.00,15.00)))))))</f>
        <v/>
      </c>
      <c r="M1661">
        <f>LET(
    seasoning_years,DATEDIF('Loan Tape (S&amp;P)'!K1661,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61">
        <f>IF(AND('Loan Tape (S&amp;P)'!U1661="Yes",
        'Loan Tape (S&amp;P)'!T1661&lt;&gt;"Yes",
        DATEDIF('Loan Tape (S&amp;P)'!K1661, TODAY(), "M")&lt;18),
    1.10,
    1.00)</f>
        <v/>
      </c>
      <c r="O1661">
        <f>IF('Loan Tape (S&amp;P)'!T1661="Yes",
    1.35,
    1.00)</f>
        <v/>
      </c>
      <c r="P1661">
        <f>IF('Loan Tape (S&amp;P)'!S1661="Yes",
    1.15,
    1.00)</f>
        <v/>
      </c>
      <c r="Q1661">
        <f>IF('Loan Tape (S&amp;P)'!V1661="Yes",
    1.20,
    1.00)</f>
        <v/>
      </c>
      <c r="T1661">
        <f>LET(
    payment_method,'Loan Tape (S&amp;P)'!P1661,
    occupancy,'Loan Tape (S&amp;P)'!N1661,
    maturity_date,'Loan Tape (S&amp;P)'!L1661,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62">
      <c r="J1662">
        <f>LET(
    lien,'Loan Tape (S&amp;P)'!Q1662,
    IF(lien="First",1.00,
        IF(lien="Second",1.50,
            1.70)))</f>
        <v/>
      </c>
      <c r="K1662">
        <f>LET(
    purpose,'Loan Tape (S&amp;P)'!R1662,
    IF(purpose="Purchase",1.00,
        IF(purpose="Remortgage",1.00,
            1.20)))</f>
        <v/>
      </c>
      <c r="L1662">
        <f>LET(
    arrears_months,'Loan Tape (S&amp;P)'!AN1662,
    IF(arrears_months=0,1.00,
    IF(arrears_months=1,3.00,
    IF(arrears_months=2,5.00,
    IF(arrears_months=3,8.00,
    IF(arrears_months=4,10.00,
    IF(arrears_months=5,12.00,15.00)))))))</f>
        <v/>
      </c>
      <c r="M1662">
        <f>LET(
    seasoning_years,DATEDIF('Loan Tape (S&amp;P)'!K1662,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62">
        <f>IF(AND('Loan Tape (S&amp;P)'!U1662="Yes",
        'Loan Tape (S&amp;P)'!T1662&lt;&gt;"Yes",
        DATEDIF('Loan Tape (S&amp;P)'!K1662, TODAY(), "M")&lt;18),
    1.10,
    1.00)</f>
        <v/>
      </c>
      <c r="O1662">
        <f>IF('Loan Tape (S&amp;P)'!T1662="Yes",
    1.35,
    1.00)</f>
        <v/>
      </c>
      <c r="P1662">
        <f>IF('Loan Tape (S&amp;P)'!S1662="Yes",
    1.15,
    1.00)</f>
        <v/>
      </c>
      <c r="Q1662">
        <f>IF('Loan Tape (S&amp;P)'!V1662="Yes",
    1.20,
    1.00)</f>
        <v/>
      </c>
      <c r="T1662">
        <f>LET(
    payment_method,'Loan Tape (S&amp;P)'!P1662,
    occupancy,'Loan Tape (S&amp;P)'!N1662,
    maturity_date,'Loan Tape (S&amp;P)'!L1662,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63">
      <c r="J1663">
        <f>LET(
    lien,'Loan Tape (S&amp;P)'!Q1663,
    IF(lien="First",1.00,
        IF(lien="Second",1.50,
            1.70)))</f>
        <v/>
      </c>
      <c r="K1663">
        <f>LET(
    purpose,'Loan Tape (S&amp;P)'!R1663,
    IF(purpose="Purchase",1.00,
        IF(purpose="Remortgage",1.00,
            1.20)))</f>
        <v/>
      </c>
      <c r="L1663">
        <f>LET(
    arrears_months,'Loan Tape (S&amp;P)'!AN1663,
    IF(arrears_months=0,1.00,
    IF(arrears_months=1,3.00,
    IF(arrears_months=2,5.00,
    IF(arrears_months=3,8.00,
    IF(arrears_months=4,10.00,
    IF(arrears_months=5,12.00,15.00)))))))</f>
        <v/>
      </c>
      <c r="M1663">
        <f>LET(
    seasoning_years,DATEDIF('Loan Tape (S&amp;P)'!K1663,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63">
        <f>IF(AND('Loan Tape (S&amp;P)'!U1663="Yes",
        'Loan Tape (S&amp;P)'!T1663&lt;&gt;"Yes",
        DATEDIF('Loan Tape (S&amp;P)'!K1663, TODAY(), "M")&lt;18),
    1.10,
    1.00)</f>
        <v/>
      </c>
      <c r="O1663">
        <f>IF('Loan Tape (S&amp;P)'!T1663="Yes",
    1.35,
    1.00)</f>
        <v/>
      </c>
      <c r="P1663">
        <f>IF('Loan Tape (S&amp;P)'!S1663="Yes",
    1.15,
    1.00)</f>
        <v/>
      </c>
      <c r="Q1663">
        <f>IF('Loan Tape (S&amp;P)'!V1663="Yes",
    1.20,
    1.00)</f>
        <v/>
      </c>
      <c r="T1663">
        <f>LET(
    payment_method,'Loan Tape (S&amp;P)'!P1663,
    occupancy,'Loan Tape (S&amp;P)'!N1663,
    maturity_date,'Loan Tape (S&amp;P)'!L1663,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64">
      <c r="J1664">
        <f>LET(
    lien,'Loan Tape (S&amp;P)'!Q1664,
    IF(lien="First",1.00,
        IF(lien="Second",1.50,
            1.70)))</f>
        <v/>
      </c>
      <c r="K1664">
        <f>LET(
    purpose,'Loan Tape (S&amp;P)'!R1664,
    IF(purpose="Purchase",1.00,
        IF(purpose="Remortgage",1.00,
            1.20)))</f>
        <v/>
      </c>
      <c r="L1664">
        <f>LET(
    arrears_months,'Loan Tape (S&amp;P)'!AN1664,
    IF(arrears_months=0,1.00,
    IF(arrears_months=1,3.00,
    IF(arrears_months=2,5.00,
    IF(arrears_months=3,8.00,
    IF(arrears_months=4,10.00,
    IF(arrears_months=5,12.00,15.00)))))))</f>
        <v/>
      </c>
      <c r="M1664">
        <f>LET(
    seasoning_years,DATEDIF('Loan Tape (S&amp;P)'!K1664,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64">
        <f>IF(AND('Loan Tape (S&amp;P)'!U1664="Yes",
        'Loan Tape (S&amp;P)'!T1664&lt;&gt;"Yes",
        DATEDIF('Loan Tape (S&amp;P)'!K1664, TODAY(), "M")&lt;18),
    1.10,
    1.00)</f>
        <v/>
      </c>
      <c r="O1664">
        <f>IF('Loan Tape (S&amp;P)'!T1664="Yes",
    1.35,
    1.00)</f>
        <v/>
      </c>
      <c r="P1664">
        <f>IF('Loan Tape (S&amp;P)'!S1664="Yes",
    1.15,
    1.00)</f>
        <v/>
      </c>
      <c r="Q1664">
        <f>IF('Loan Tape (S&amp;P)'!V1664="Yes",
    1.20,
    1.00)</f>
        <v/>
      </c>
      <c r="T1664">
        <f>LET(
    payment_method,'Loan Tape (S&amp;P)'!P1664,
    occupancy,'Loan Tape (S&amp;P)'!N1664,
    maturity_date,'Loan Tape (S&amp;P)'!L1664,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65">
      <c r="J1665">
        <f>LET(
    lien,'Loan Tape (S&amp;P)'!Q1665,
    IF(lien="First",1.00,
        IF(lien="Second",1.50,
            1.70)))</f>
        <v/>
      </c>
      <c r="K1665">
        <f>LET(
    purpose,'Loan Tape (S&amp;P)'!R1665,
    IF(purpose="Purchase",1.00,
        IF(purpose="Remortgage",1.00,
            1.20)))</f>
        <v/>
      </c>
      <c r="L1665">
        <f>LET(
    arrears_months,'Loan Tape (S&amp;P)'!AN1665,
    IF(arrears_months=0,1.00,
    IF(arrears_months=1,3.00,
    IF(arrears_months=2,5.00,
    IF(arrears_months=3,8.00,
    IF(arrears_months=4,10.00,
    IF(arrears_months=5,12.00,15.00)))))))</f>
        <v/>
      </c>
      <c r="M1665">
        <f>LET(
    seasoning_years,DATEDIF('Loan Tape (S&amp;P)'!K1665,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65">
        <f>IF(AND('Loan Tape (S&amp;P)'!U1665="Yes",
        'Loan Tape (S&amp;P)'!T1665&lt;&gt;"Yes",
        DATEDIF('Loan Tape (S&amp;P)'!K1665, TODAY(), "M")&lt;18),
    1.10,
    1.00)</f>
        <v/>
      </c>
      <c r="O1665">
        <f>IF('Loan Tape (S&amp;P)'!T1665="Yes",
    1.35,
    1.00)</f>
        <v/>
      </c>
      <c r="P1665">
        <f>IF('Loan Tape (S&amp;P)'!S1665="Yes",
    1.15,
    1.00)</f>
        <v/>
      </c>
      <c r="Q1665">
        <f>IF('Loan Tape (S&amp;P)'!V1665="Yes",
    1.20,
    1.00)</f>
        <v/>
      </c>
      <c r="T1665">
        <f>LET(
    payment_method,'Loan Tape (S&amp;P)'!P1665,
    occupancy,'Loan Tape (S&amp;P)'!N1665,
    maturity_date,'Loan Tape (S&amp;P)'!L1665,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66">
      <c r="J1666">
        <f>LET(
    lien,'Loan Tape (S&amp;P)'!Q1666,
    IF(lien="First",1.00,
        IF(lien="Second",1.50,
            1.70)))</f>
        <v/>
      </c>
      <c r="K1666">
        <f>LET(
    purpose,'Loan Tape (S&amp;P)'!R1666,
    IF(purpose="Purchase",1.00,
        IF(purpose="Remortgage",1.00,
            1.20)))</f>
        <v/>
      </c>
      <c r="L1666">
        <f>LET(
    arrears_months,'Loan Tape (S&amp;P)'!AN1666,
    IF(arrears_months=0,1.00,
    IF(arrears_months=1,3.00,
    IF(arrears_months=2,5.00,
    IF(arrears_months=3,8.00,
    IF(arrears_months=4,10.00,
    IF(arrears_months=5,12.00,15.00)))))))</f>
        <v/>
      </c>
      <c r="M1666">
        <f>LET(
    seasoning_years,DATEDIF('Loan Tape (S&amp;P)'!K1666,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66">
        <f>IF(AND('Loan Tape (S&amp;P)'!U1666="Yes",
        'Loan Tape (S&amp;P)'!T1666&lt;&gt;"Yes",
        DATEDIF('Loan Tape (S&amp;P)'!K1666, TODAY(), "M")&lt;18),
    1.10,
    1.00)</f>
        <v/>
      </c>
      <c r="O1666">
        <f>IF('Loan Tape (S&amp;P)'!T1666="Yes",
    1.35,
    1.00)</f>
        <v/>
      </c>
      <c r="P1666">
        <f>IF('Loan Tape (S&amp;P)'!S1666="Yes",
    1.15,
    1.00)</f>
        <v/>
      </c>
      <c r="Q1666">
        <f>IF('Loan Tape (S&amp;P)'!V1666="Yes",
    1.20,
    1.00)</f>
        <v/>
      </c>
      <c r="T1666">
        <f>LET(
    payment_method,'Loan Tape (S&amp;P)'!P1666,
    occupancy,'Loan Tape (S&amp;P)'!N1666,
    maturity_date,'Loan Tape (S&amp;P)'!L1666,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67">
      <c r="J1667">
        <f>LET(
    lien,'Loan Tape (S&amp;P)'!Q1667,
    IF(lien="First",1.00,
        IF(lien="Second",1.50,
            1.70)))</f>
        <v/>
      </c>
      <c r="K1667">
        <f>LET(
    purpose,'Loan Tape (S&amp;P)'!R1667,
    IF(purpose="Purchase",1.00,
        IF(purpose="Remortgage",1.00,
            1.20)))</f>
        <v/>
      </c>
      <c r="L1667">
        <f>LET(
    arrears_months,'Loan Tape (S&amp;P)'!AN1667,
    IF(arrears_months=0,1.00,
    IF(arrears_months=1,3.00,
    IF(arrears_months=2,5.00,
    IF(arrears_months=3,8.00,
    IF(arrears_months=4,10.00,
    IF(arrears_months=5,12.00,15.00)))))))</f>
        <v/>
      </c>
      <c r="M1667">
        <f>LET(
    seasoning_years,DATEDIF('Loan Tape (S&amp;P)'!K1667,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67">
        <f>IF(AND('Loan Tape (S&amp;P)'!U1667="Yes",
        'Loan Tape (S&amp;P)'!T1667&lt;&gt;"Yes",
        DATEDIF('Loan Tape (S&amp;P)'!K1667, TODAY(), "M")&lt;18),
    1.10,
    1.00)</f>
        <v/>
      </c>
      <c r="O1667">
        <f>IF('Loan Tape (S&amp;P)'!T1667="Yes",
    1.35,
    1.00)</f>
        <v/>
      </c>
      <c r="P1667">
        <f>IF('Loan Tape (S&amp;P)'!S1667="Yes",
    1.15,
    1.00)</f>
        <v/>
      </c>
      <c r="Q1667">
        <f>IF('Loan Tape (S&amp;P)'!V1667="Yes",
    1.20,
    1.00)</f>
        <v/>
      </c>
      <c r="T1667">
        <f>LET(
    payment_method,'Loan Tape (S&amp;P)'!P1667,
    occupancy,'Loan Tape (S&amp;P)'!N1667,
    maturity_date,'Loan Tape (S&amp;P)'!L1667,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68">
      <c r="J1668">
        <f>LET(
    lien,'Loan Tape (S&amp;P)'!Q1668,
    IF(lien="First",1.00,
        IF(lien="Second",1.50,
            1.70)))</f>
        <v/>
      </c>
      <c r="K1668">
        <f>LET(
    purpose,'Loan Tape (S&amp;P)'!R1668,
    IF(purpose="Purchase",1.00,
        IF(purpose="Remortgage",1.00,
            1.20)))</f>
        <v/>
      </c>
      <c r="L1668">
        <f>LET(
    arrears_months,'Loan Tape (S&amp;P)'!AN1668,
    IF(arrears_months=0,1.00,
    IF(arrears_months=1,3.00,
    IF(arrears_months=2,5.00,
    IF(arrears_months=3,8.00,
    IF(arrears_months=4,10.00,
    IF(arrears_months=5,12.00,15.00)))))))</f>
        <v/>
      </c>
      <c r="M1668">
        <f>LET(
    seasoning_years,DATEDIF('Loan Tape (S&amp;P)'!K1668,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68">
        <f>IF(AND('Loan Tape (S&amp;P)'!U1668="Yes",
        'Loan Tape (S&amp;P)'!T1668&lt;&gt;"Yes",
        DATEDIF('Loan Tape (S&amp;P)'!K1668, TODAY(), "M")&lt;18),
    1.10,
    1.00)</f>
        <v/>
      </c>
      <c r="O1668">
        <f>IF('Loan Tape (S&amp;P)'!T1668="Yes",
    1.35,
    1.00)</f>
        <v/>
      </c>
      <c r="P1668">
        <f>IF('Loan Tape (S&amp;P)'!S1668="Yes",
    1.15,
    1.00)</f>
        <v/>
      </c>
      <c r="Q1668">
        <f>IF('Loan Tape (S&amp;P)'!V1668="Yes",
    1.20,
    1.00)</f>
        <v/>
      </c>
      <c r="T1668">
        <f>LET(
    payment_method,'Loan Tape (S&amp;P)'!P1668,
    occupancy,'Loan Tape (S&amp;P)'!N1668,
    maturity_date,'Loan Tape (S&amp;P)'!L1668,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69">
      <c r="J1669">
        <f>LET(
    lien,'Loan Tape (S&amp;P)'!Q1669,
    IF(lien="First",1.00,
        IF(lien="Second",1.50,
            1.70)))</f>
        <v/>
      </c>
      <c r="K1669">
        <f>LET(
    purpose,'Loan Tape (S&amp;P)'!R1669,
    IF(purpose="Purchase",1.00,
        IF(purpose="Remortgage",1.00,
            1.20)))</f>
        <v/>
      </c>
      <c r="L1669">
        <f>LET(
    arrears_months,'Loan Tape (S&amp;P)'!AN1669,
    IF(arrears_months=0,1.00,
    IF(arrears_months=1,3.00,
    IF(arrears_months=2,5.00,
    IF(arrears_months=3,8.00,
    IF(arrears_months=4,10.00,
    IF(arrears_months=5,12.00,15.00)))))))</f>
        <v/>
      </c>
      <c r="M1669">
        <f>LET(
    seasoning_years,DATEDIF('Loan Tape (S&amp;P)'!K1669,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69">
        <f>IF(AND('Loan Tape (S&amp;P)'!U1669="Yes",
        'Loan Tape (S&amp;P)'!T1669&lt;&gt;"Yes",
        DATEDIF('Loan Tape (S&amp;P)'!K1669, TODAY(), "M")&lt;18),
    1.10,
    1.00)</f>
        <v/>
      </c>
      <c r="O1669">
        <f>IF('Loan Tape (S&amp;P)'!T1669="Yes",
    1.35,
    1.00)</f>
        <v/>
      </c>
      <c r="P1669">
        <f>IF('Loan Tape (S&amp;P)'!S1669="Yes",
    1.15,
    1.00)</f>
        <v/>
      </c>
      <c r="Q1669">
        <f>IF('Loan Tape (S&amp;P)'!V1669="Yes",
    1.20,
    1.00)</f>
        <v/>
      </c>
      <c r="T1669">
        <f>LET(
    payment_method,'Loan Tape (S&amp;P)'!P1669,
    occupancy,'Loan Tape (S&amp;P)'!N1669,
    maturity_date,'Loan Tape (S&amp;P)'!L1669,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70">
      <c r="J1670">
        <f>LET(
    lien,'Loan Tape (S&amp;P)'!Q1670,
    IF(lien="First",1.00,
        IF(lien="Second",1.50,
            1.70)))</f>
        <v/>
      </c>
      <c r="K1670">
        <f>LET(
    purpose,'Loan Tape (S&amp;P)'!R1670,
    IF(purpose="Purchase",1.00,
        IF(purpose="Remortgage",1.00,
            1.20)))</f>
        <v/>
      </c>
      <c r="L1670">
        <f>LET(
    arrears_months,'Loan Tape (S&amp;P)'!AN1670,
    IF(arrears_months=0,1.00,
    IF(arrears_months=1,3.00,
    IF(arrears_months=2,5.00,
    IF(arrears_months=3,8.00,
    IF(arrears_months=4,10.00,
    IF(arrears_months=5,12.00,15.00)))))))</f>
        <v/>
      </c>
      <c r="M1670">
        <f>LET(
    seasoning_years,DATEDIF('Loan Tape (S&amp;P)'!K1670,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70">
        <f>IF(AND('Loan Tape (S&amp;P)'!U1670="Yes",
        'Loan Tape (S&amp;P)'!T1670&lt;&gt;"Yes",
        DATEDIF('Loan Tape (S&amp;P)'!K1670, TODAY(), "M")&lt;18),
    1.10,
    1.00)</f>
        <v/>
      </c>
      <c r="O1670">
        <f>IF('Loan Tape (S&amp;P)'!T1670="Yes",
    1.35,
    1.00)</f>
        <v/>
      </c>
      <c r="P1670">
        <f>IF('Loan Tape (S&amp;P)'!S1670="Yes",
    1.15,
    1.00)</f>
        <v/>
      </c>
      <c r="Q1670">
        <f>IF('Loan Tape (S&amp;P)'!V1670="Yes",
    1.20,
    1.00)</f>
        <v/>
      </c>
      <c r="T1670">
        <f>LET(
    payment_method,'Loan Tape (S&amp;P)'!P1670,
    occupancy,'Loan Tape (S&amp;P)'!N1670,
    maturity_date,'Loan Tape (S&amp;P)'!L1670,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71">
      <c r="J1671">
        <f>LET(
    lien,'Loan Tape (S&amp;P)'!Q1671,
    IF(lien="First",1.00,
        IF(lien="Second",1.50,
            1.70)))</f>
        <v/>
      </c>
      <c r="K1671">
        <f>LET(
    purpose,'Loan Tape (S&amp;P)'!R1671,
    IF(purpose="Purchase",1.00,
        IF(purpose="Remortgage",1.00,
            1.20)))</f>
        <v/>
      </c>
      <c r="L1671">
        <f>LET(
    arrears_months,'Loan Tape (S&amp;P)'!AN1671,
    IF(arrears_months=0,1.00,
    IF(arrears_months=1,3.00,
    IF(arrears_months=2,5.00,
    IF(arrears_months=3,8.00,
    IF(arrears_months=4,10.00,
    IF(arrears_months=5,12.00,15.00)))))))</f>
        <v/>
      </c>
      <c r="M1671">
        <f>LET(
    seasoning_years,DATEDIF('Loan Tape (S&amp;P)'!K1671,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71">
        <f>IF(AND('Loan Tape (S&amp;P)'!U1671="Yes",
        'Loan Tape (S&amp;P)'!T1671&lt;&gt;"Yes",
        DATEDIF('Loan Tape (S&amp;P)'!K1671, TODAY(), "M")&lt;18),
    1.10,
    1.00)</f>
        <v/>
      </c>
      <c r="O1671">
        <f>IF('Loan Tape (S&amp;P)'!T1671="Yes",
    1.35,
    1.00)</f>
        <v/>
      </c>
      <c r="P1671">
        <f>IF('Loan Tape (S&amp;P)'!S1671="Yes",
    1.15,
    1.00)</f>
        <v/>
      </c>
      <c r="Q1671">
        <f>IF('Loan Tape (S&amp;P)'!V1671="Yes",
    1.20,
    1.00)</f>
        <v/>
      </c>
      <c r="T1671">
        <f>LET(
    payment_method,'Loan Tape (S&amp;P)'!P1671,
    occupancy,'Loan Tape (S&amp;P)'!N1671,
    maturity_date,'Loan Tape (S&amp;P)'!L1671,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72">
      <c r="J1672">
        <f>LET(
    lien,'Loan Tape (S&amp;P)'!Q1672,
    IF(lien="First",1.00,
        IF(lien="Second",1.50,
            1.70)))</f>
        <v/>
      </c>
      <c r="K1672">
        <f>LET(
    purpose,'Loan Tape (S&amp;P)'!R1672,
    IF(purpose="Purchase",1.00,
        IF(purpose="Remortgage",1.00,
            1.20)))</f>
        <v/>
      </c>
      <c r="L1672">
        <f>LET(
    arrears_months,'Loan Tape (S&amp;P)'!AN1672,
    IF(arrears_months=0,1.00,
    IF(arrears_months=1,3.00,
    IF(arrears_months=2,5.00,
    IF(arrears_months=3,8.00,
    IF(arrears_months=4,10.00,
    IF(arrears_months=5,12.00,15.00)))))))</f>
        <v/>
      </c>
      <c r="M1672">
        <f>LET(
    seasoning_years,DATEDIF('Loan Tape (S&amp;P)'!K1672,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72">
        <f>IF(AND('Loan Tape (S&amp;P)'!U1672="Yes",
        'Loan Tape (S&amp;P)'!T1672&lt;&gt;"Yes",
        DATEDIF('Loan Tape (S&amp;P)'!K1672, TODAY(), "M")&lt;18),
    1.10,
    1.00)</f>
        <v/>
      </c>
      <c r="O1672">
        <f>IF('Loan Tape (S&amp;P)'!T1672="Yes",
    1.35,
    1.00)</f>
        <v/>
      </c>
      <c r="P1672">
        <f>IF('Loan Tape (S&amp;P)'!S1672="Yes",
    1.15,
    1.00)</f>
        <v/>
      </c>
      <c r="Q1672">
        <f>IF('Loan Tape (S&amp;P)'!V1672="Yes",
    1.20,
    1.00)</f>
        <v/>
      </c>
      <c r="T1672">
        <f>LET(
    payment_method,'Loan Tape (S&amp;P)'!P1672,
    occupancy,'Loan Tape (S&amp;P)'!N1672,
    maturity_date,'Loan Tape (S&amp;P)'!L1672,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73">
      <c r="J1673">
        <f>LET(
    lien,'Loan Tape (S&amp;P)'!Q1673,
    IF(lien="First",1.00,
        IF(lien="Second",1.50,
            1.70)))</f>
        <v/>
      </c>
      <c r="K1673">
        <f>LET(
    purpose,'Loan Tape (S&amp;P)'!R1673,
    IF(purpose="Purchase",1.00,
        IF(purpose="Remortgage",1.00,
            1.20)))</f>
        <v/>
      </c>
      <c r="L1673">
        <f>LET(
    arrears_months,'Loan Tape (S&amp;P)'!AN1673,
    IF(arrears_months=0,1.00,
    IF(arrears_months=1,3.00,
    IF(arrears_months=2,5.00,
    IF(arrears_months=3,8.00,
    IF(arrears_months=4,10.00,
    IF(arrears_months=5,12.00,15.00)))))))</f>
        <v/>
      </c>
      <c r="M1673">
        <f>LET(
    seasoning_years,DATEDIF('Loan Tape (S&amp;P)'!K1673,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73">
        <f>IF(AND('Loan Tape (S&amp;P)'!U1673="Yes",
        'Loan Tape (S&amp;P)'!T1673&lt;&gt;"Yes",
        DATEDIF('Loan Tape (S&amp;P)'!K1673, TODAY(), "M")&lt;18),
    1.10,
    1.00)</f>
        <v/>
      </c>
      <c r="O1673">
        <f>IF('Loan Tape (S&amp;P)'!T1673="Yes",
    1.35,
    1.00)</f>
        <v/>
      </c>
      <c r="P1673">
        <f>IF('Loan Tape (S&amp;P)'!S1673="Yes",
    1.15,
    1.00)</f>
        <v/>
      </c>
      <c r="Q1673">
        <f>IF('Loan Tape (S&amp;P)'!V1673="Yes",
    1.20,
    1.00)</f>
        <v/>
      </c>
      <c r="T1673">
        <f>LET(
    payment_method,'Loan Tape (S&amp;P)'!P1673,
    occupancy,'Loan Tape (S&amp;P)'!N1673,
    maturity_date,'Loan Tape (S&amp;P)'!L1673,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74">
      <c r="J1674">
        <f>LET(
    lien,'Loan Tape (S&amp;P)'!Q1674,
    IF(lien="First",1.00,
        IF(lien="Second",1.50,
            1.70)))</f>
        <v/>
      </c>
      <c r="K1674">
        <f>LET(
    purpose,'Loan Tape (S&amp;P)'!R1674,
    IF(purpose="Purchase",1.00,
        IF(purpose="Remortgage",1.00,
            1.20)))</f>
        <v/>
      </c>
      <c r="L1674">
        <f>LET(
    arrears_months,'Loan Tape (S&amp;P)'!AN1674,
    IF(arrears_months=0,1.00,
    IF(arrears_months=1,3.00,
    IF(arrears_months=2,5.00,
    IF(arrears_months=3,8.00,
    IF(arrears_months=4,10.00,
    IF(arrears_months=5,12.00,15.00)))))))</f>
        <v/>
      </c>
      <c r="M1674">
        <f>LET(
    seasoning_years,DATEDIF('Loan Tape (S&amp;P)'!K1674,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74">
        <f>IF(AND('Loan Tape (S&amp;P)'!U1674="Yes",
        'Loan Tape (S&amp;P)'!T1674&lt;&gt;"Yes",
        DATEDIF('Loan Tape (S&amp;P)'!K1674, TODAY(), "M")&lt;18),
    1.10,
    1.00)</f>
        <v/>
      </c>
      <c r="O1674">
        <f>IF('Loan Tape (S&amp;P)'!T1674="Yes",
    1.35,
    1.00)</f>
        <v/>
      </c>
      <c r="P1674">
        <f>IF('Loan Tape (S&amp;P)'!S1674="Yes",
    1.15,
    1.00)</f>
        <v/>
      </c>
      <c r="Q1674">
        <f>IF('Loan Tape (S&amp;P)'!V1674="Yes",
    1.20,
    1.00)</f>
        <v/>
      </c>
      <c r="T1674">
        <f>LET(
    payment_method,'Loan Tape (S&amp;P)'!P1674,
    occupancy,'Loan Tape (S&amp;P)'!N1674,
    maturity_date,'Loan Tape (S&amp;P)'!L1674,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75">
      <c r="J1675">
        <f>LET(
    lien,'Loan Tape (S&amp;P)'!Q1675,
    IF(lien="First",1.00,
        IF(lien="Second",1.50,
            1.70)))</f>
        <v/>
      </c>
      <c r="K1675">
        <f>LET(
    purpose,'Loan Tape (S&amp;P)'!R1675,
    IF(purpose="Purchase",1.00,
        IF(purpose="Remortgage",1.00,
            1.20)))</f>
        <v/>
      </c>
      <c r="L1675">
        <f>LET(
    arrears_months,'Loan Tape (S&amp;P)'!AN1675,
    IF(arrears_months=0,1.00,
    IF(arrears_months=1,3.00,
    IF(arrears_months=2,5.00,
    IF(arrears_months=3,8.00,
    IF(arrears_months=4,10.00,
    IF(arrears_months=5,12.00,15.00)))))))</f>
        <v/>
      </c>
      <c r="M1675">
        <f>LET(
    seasoning_years,DATEDIF('Loan Tape (S&amp;P)'!K1675,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75">
        <f>IF(AND('Loan Tape (S&amp;P)'!U1675="Yes",
        'Loan Tape (S&amp;P)'!T1675&lt;&gt;"Yes",
        DATEDIF('Loan Tape (S&amp;P)'!K1675, TODAY(), "M")&lt;18),
    1.10,
    1.00)</f>
        <v/>
      </c>
      <c r="O1675">
        <f>IF('Loan Tape (S&amp;P)'!T1675="Yes",
    1.35,
    1.00)</f>
        <v/>
      </c>
      <c r="P1675">
        <f>IF('Loan Tape (S&amp;P)'!S1675="Yes",
    1.15,
    1.00)</f>
        <v/>
      </c>
      <c r="Q1675">
        <f>IF('Loan Tape (S&amp;P)'!V1675="Yes",
    1.20,
    1.00)</f>
        <v/>
      </c>
      <c r="T1675">
        <f>LET(
    payment_method,'Loan Tape (S&amp;P)'!P1675,
    occupancy,'Loan Tape (S&amp;P)'!N1675,
    maturity_date,'Loan Tape (S&amp;P)'!L1675,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76">
      <c r="J1676">
        <f>LET(
    lien,'Loan Tape (S&amp;P)'!Q1676,
    IF(lien="First",1.00,
        IF(lien="Second",1.50,
            1.70)))</f>
        <v/>
      </c>
      <c r="K1676">
        <f>LET(
    purpose,'Loan Tape (S&amp;P)'!R1676,
    IF(purpose="Purchase",1.00,
        IF(purpose="Remortgage",1.00,
            1.20)))</f>
        <v/>
      </c>
      <c r="L1676">
        <f>LET(
    arrears_months,'Loan Tape (S&amp;P)'!AN1676,
    IF(arrears_months=0,1.00,
    IF(arrears_months=1,3.00,
    IF(arrears_months=2,5.00,
    IF(arrears_months=3,8.00,
    IF(arrears_months=4,10.00,
    IF(arrears_months=5,12.00,15.00)))))))</f>
        <v/>
      </c>
      <c r="M1676">
        <f>LET(
    seasoning_years,DATEDIF('Loan Tape (S&amp;P)'!K1676,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76">
        <f>IF(AND('Loan Tape (S&amp;P)'!U1676="Yes",
        'Loan Tape (S&amp;P)'!T1676&lt;&gt;"Yes",
        DATEDIF('Loan Tape (S&amp;P)'!K1676, TODAY(), "M")&lt;18),
    1.10,
    1.00)</f>
        <v/>
      </c>
      <c r="O1676">
        <f>IF('Loan Tape (S&amp;P)'!T1676="Yes",
    1.35,
    1.00)</f>
        <v/>
      </c>
      <c r="P1676">
        <f>IF('Loan Tape (S&amp;P)'!S1676="Yes",
    1.15,
    1.00)</f>
        <v/>
      </c>
      <c r="Q1676">
        <f>IF('Loan Tape (S&amp;P)'!V1676="Yes",
    1.20,
    1.00)</f>
        <v/>
      </c>
      <c r="T1676">
        <f>LET(
    payment_method,'Loan Tape (S&amp;P)'!P1676,
    occupancy,'Loan Tape (S&amp;P)'!N1676,
    maturity_date,'Loan Tape (S&amp;P)'!L1676,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77">
      <c r="J1677">
        <f>LET(
    lien,'Loan Tape (S&amp;P)'!Q1677,
    IF(lien="First",1.00,
        IF(lien="Second",1.50,
            1.70)))</f>
        <v/>
      </c>
      <c r="K1677">
        <f>LET(
    purpose,'Loan Tape (S&amp;P)'!R1677,
    IF(purpose="Purchase",1.00,
        IF(purpose="Remortgage",1.00,
            1.20)))</f>
        <v/>
      </c>
      <c r="L1677">
        <f>LET(
    arrears_months,'Loan Tape (S&amp;P)'!AN1677,
    IF(arrears_months=0,1.00,
    IF(arrears_months=1,3.00,
    IF(arrears_months=2,5.00,
    IF(arrears_months=3,8.00,
    IF(arrears_months=4,10.00,
    IF(arrears_months=5,12.00,15.00)))))))</f>
        <v/>
      </c>
      <c r="M1677">
        <f>LET(
    seasoning_years,DATEDIF('Loan Tape (S&amp;P)'!K1677,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77">
        <f>IF(AND('Loan Tape (S&amp;P)'!U1677="Yes",
        'Loan Tape (S&amp;P)'!T1677&lt;&gt;"Yes",
        DATEDIF('Loan Tape (S&amp;P)'!K1677, TODAY(), "M")&lt;18),
    1.10,
    1.00)</f>
        <v/>
      </c>
      <c r="O1677">
        <f>IF('Loan Tape (S&amp;P)'!T1677="Yes",
    1.35,
    1.00)</f>
        <v/>
      </c>
      <c r="P1677">
        <f>IF('Loan Tape (S&amp;P)'!S1677="Yes",
    1.15,
    1.00)</f>
        <v/>
      </c>
      <c r="Q1677">
        <f>IF('Loan Tape (S&amp;P)'!V1677="Yes",
    1.20,
    1.00)</f>
        <v/>
      </c>
      <c r="T1677">
        <f>LET(
    payment_method,'Loan Tape (S&amp;P)'!P1677,
    occupancy,'Loan Tape (S&amp;P)'!N1677,
    maturity_date,'Loan Tape (S&amp;P)'!L1677,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78">
      <c r="J1678">
        <f>LET(
    lien,'Loan Tape (S&amp;P)'!Q1678,
    IF(lien="First",1.00,
        IF(lien="Second",1.50,
            1.70)))</f>
        <v/>
      </c>
      <c r="K1678">
        <f>LET(
    purpose,'Loan Tape (S&amp;P)'!R1678,
    IF(purpose="Purchase",1.00,
        IF(purpose="Remortgage",1.00,
            1.20)))</f>
        <v/>
      </c>
      <c r="L1678">
        <f>LET(
    arrears_months,'Loan Tape (S&amp;P)'!AN1678,
    IF(arrears_months=0,1.00,
    IF(arrears_months=1,3.00,
    IF(arrears_months=2,5.00,
    IF(arrears_months=3,8.00,
    IF(arrears_months=4,10.00,
    IF(arrears_months=5,12.00,15.00)))))))</f>
        <v/>
      </c>
      <c r="M1678">
        <f>LET(
    seasoning_years,DATEDIF('Loan Tape (S&amp;P)'!K1678,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78">
        <f>IF(AND('Loan Tape (S&amp;P)'!U1678="Yes",
        'Loan Tape (S&amp;P)'!T1678&lt;&gt;"Yes",
        DATEDIF('Loan Tape (S&amp;P)'!K1678, TODAY(), "M")&lt;18),
    1.10,
    1.00)</f>
        <v/>
      </c>
      <c r="O1678">
        <f>IF('Loan Tape (S&amp;P)'!T1678="Yes",
    1.35,
    1.00)</f>
        <v/>
      </c>
      <c r="P1678">
        <f>IF('Loan Tape (S&amp;P)'!S1678="Yes",
    1.15,
    1.00)</f>
        <v/>
      </c>
      <c r="Q1678">
        <f>IF('Loan Tape (S&amp;P)'!V1678="Yes",
    1.20,
    1.00)</f>
        <v/>
      </c>
      <c r="T1678">
        <f>LET(
    payment_method,'Loan Tape (S&amp;P)'!P1678,
    occupancy,'Loan Tape (S&amp;P)'!N1678,
    maturity_date,'Loan Tape (S&amp;P)'!L1678,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79">
      <c r="J1679">
        <f>LET(
    lien,'Loan Tape (S&amp;P)'!Q1679,
    IF(lien="First",1.00,
        IF(lien="Second",1.50,
            1.70)))</f>
        <v/>
      </c>
      <c r="K1679">
        <f>LET(
    purpose,'Loan Tape (S&amp;P)'!R1679,
    IF(purpose="Purchase",1.00,
        IF(purpose="Remortgage",1.00,
            1.20)))</f>
        <v/>
      </c>
      <c r="L1679">
        <f>LET(
    arrears_months,'Loan Tape (S&amp;P)'!AN1679,
    IF(arrears_months=0,1.00,
    IF(arrears_months=1,3.00,
    IF(arrears_months=2,5.00,
    IF(arrears_months=3,8.00,
    IF(arrears_months=4,10.00,
    IF(arrears_months=5,12.00,15.00)))))))</f>
        <v/>
      </c>
      <c r="M1679">
        <f>LET(
    seasoning_years,DATEDIF('Loan Tape (S&amp;P)'!K1679,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79">
        <f>IF(AND('Loan Tape (S&amp;P)'!U1679="Yes",
        'Loan Tape (S&amp;P)'!T1679&lt;&gt;"Yes",
        DATEDIF('Loan Tape (S&amp;P)'!K1679, TODAY(), "M")&lt;18),
    1.10,
    1.00)</f>
        <v/>
      </c>
      <c r="O1679">
        <f>IF('Loan Tape (S&amp;P)'!T1679="Yes",
    1.35,
    1.00)</f>
        <v/>
      </c>
      <c r="P1679">
        <f>IF('Loan Tape (S&amp;P)'!S1679="Yes",
    1.15,
    1.00)</f>
        <v/>
      </c>
      <c r="Q1679">
        <f>IF('Loan Tape (S&amp;P)'!V1679="Yes",
    1.20,
    1.00)</f>
        <v/>
      </c>
      <c r="T1679">
        <f>LET(
    payment_method,'Loan Tape (S&amp;P)'!P1679,
    occupancy,'Loan Tape (S&amp;P)'!N1679,
    maturity_date,'Loan Tape (S&amp;P)'!L1679,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80">
      <c r="J1680">
        <f>LET(
    lien,'Loan Tape (S&amp;P)'!Q1680,
    IF(lien="First",1.00,
        IF(lien="Second",1.50,
            1.70)))</f>
        <v/>
      </c>
      <c r="K1680">
        <f>LET(
    purpose,'Loan Tape (S&amp;P)'!R1680,
    IF(purpose="Purchase",1.00,
        IF(purpose="Remortgage",1.00,
            1.20)))</f>
        <v/>
      </c>
      <c r="L1680">
        <f>LET(
    arrears_months,'Loan Tape (S&amp;P)'!AN1680,
    IF(arrears_months=0,1.00,
    IF(arrears_months=1,3.00,
    IF(arrears_months=2,5.00,
    IF(arrears_months=3,8.00,
    IF(arrears_months=4,10.00,
    IF(arrears_months=5,12.00,15.00)))))))</f>
        <v/>
      </c>
      <c r="M1680">
        <f>LET(
    seasoning_years,DATEDIF('Loan Tape (S&amp;P)'!K1680,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80">
        <f>IF(AND('Loan Tape (S&amp;P)'!U1680="Yes",
        'Loan Tape (S&amp;P)'!T1680&lt;&gt;"Yes",
        DATEDIF('Loan Tape (S&amp;P)'!K1680, TODAY(), "M")&lt;18),
    1.10,
    1.00)</f>
        <v/>
      </c>
      <c r="O1680">
        <f>IF('Loan Tape (S&amp;P)'!T1680="Yes",
    1.35,
    1.00)</f>
        <v/>
      </c>
      <c r="P1680">
        <f>IF('Loan Tape (S&amp;P)'!S1680="Yes",
    1.15,
    1.00)</f>
        <v/>
      </c>
      <c r="Q1680">
        <f>IF('Loan Tape (S&amp;P)'!V1680="Yes",
    1.20,
    1.00)</f>
        <v/>
      </c>
      <c r="T1680">
        <f>LET(
    payment_method,'Loan Tape (S&amp;P)'!P1680,
    occupancy,'Loan Tape (S&amp;P)'!N1680,
    maturity_date,'Loan Tape (S&amp;P)'!L1680,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81">
      <c r="J1681">
        <f>LET(
    lien,'Loan Tape (S&amp;P)'!Q1681,
    IF(lien="First",1.00,
        IF(lien="Second",1.50,
            1.70)))</f>
        <v/>
      </c>
      <c r="K1681">
        <f>LET(
    purpose,'Loan Tape (S&amp;P)'!R1681,
    IF(purpose="Purchase",1.00,
        IF(purpose="Remortgage",1.00,
            1.20)))</f>
        <v/>
      </c>
      <c r="L1681">
        <f>LET(
    arrears_months,'Loan Tape (S&amp;P)'!AN1681,
    IF(arrears_months=0,1.00,
    IF(arrears_months=1,3.00,
    IF(arrears_months=2,5.00,
    IF(arrears_months=3,8.00,
    IF(arrears_months=4,10.00,
    IF(arrears_months=5,12.00,15.00)))))))</f>
        <v/>
      </c>
      <c r="M1681">
        <f>LET(
    seasoning_years,DATEDIF('Loan Tape (S&amp;P)'!K1681,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81">
        <f>IF(AND('Loan Tape (S&amp;P)'!U1681="Yes",
        'Loan Tape (S&amp;P)'!T1681&lt;&gt;"Yes",
        DATEDIF('Loan Tape (S&amp;P)'!K1681, TODAY(), "M")&lt;18),
    1.10,
    1.00)</f>
        <v/>
      </c>
      <c r="O1681">
        <f>IF('Loan Tape (S&amp;P)'!T1681="Yes",
    1.35,
    1.00)</f>
        <v/>
      </c>
      <c r="P1681">
        <f>IF('Loan Tape (S&amp;P)'!S1681="Yes",
    1.15,
    1.00)</f>
        <v/>
      </c>
      <c r="Q1681">
        <f>IF('Loan Tape (S&amp;P)'!V1681="Yes",
    1.20,
    1.00)</f>
        <v/>
      </c>
      <c r="T1681">
        <f>LET(
    payment_method,'Loan Tape (S&amp;P)'!P1681,
    occupancy,'Loan Tape (S&amp;P)'!N1681,
    maturity_date,'Loan Tape (S&amp;P)'!L1681,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82">
      <c r="J1682">
        <f>LET(
    lien,'Loan Tape (S&amp;P)'!Q1682,
    IF(lien="First",1.00,
        IF(lien="Second",1.50,
            1.70)))</f>
        <v/>
      </c>
      <c r="K1682">
        <f>LET(
    purpose,'Loan Tape (S&amp;P)'!R1682,
    IF(purpose="Purchase",1.00,
        IF(purpose="Remortgage",1.00,
            1.20)))</f>
        <v/>
      </c>
      <c r="L1682">
        <f>LET(
    arrears_months,'Loan Tape (S&amp;P)'!AN1682,
    IF(arrears_months=0,1.00,
    IF(arrears_months=1,3.00,
    IF(arrears_months=2,5.00,
    IF(arrears_months=3,8.00,
    IF(arrears_months=4,10.00,
    IF(arrears_months=5,12.00,15.00)))))))</f>
        <v/>
      </c>
      <c r="M1682">
        <f>LET(
    seasoning_years,DATEDIF('Loan Tape (S&amp;P)'!K1682,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82">
        <f>IF(AND('Loan Tape (S&amp;P)'!U1682="Yes",
        'Loan Tape (S&amp;P)'!T1682&lt;&gt;"Yes",
        DATEDIF('Loan Tape (S&amp;P)'!K1682, TODAY(), "M")&lt;18),
    1.10,
    1.00)</f>
        <v/>
      </c>
      <c r="O1682">
        <f>IF('Loan Tape (S&amp;P)'!T1682="Yes",
    1.35,
    1.00)</f>
        <v/>
      </c>
      <c r="P1682">
        <f>IF('Loan Tape (S&amp;P)'!S1682="Yes",
    1.15,
    1.00)</f>
        <v/>
      </c>
      <c r="Q1682">
        <f>IF('Loan Tape (S&amp;P)'!V1682="Yes",
    1.20,
    1.00)</f>
        <v/>
      </c>
      <c r="T1682">
        <f>LET(
    payment_method,'Loan Tape (S&amp;P)'!P1682,
    occupancy,'Loan Tape (S&amp;P)'!N1682,
    maturity_date,'Loan Tape (S&amp;P)'!L1682,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83">
      <c r="J1683">
        <f>LET(
    lien,'Loan Tape (S&amp;P)'!Q1683,
    IF(lien="First",1.00,
        IF(lien="Second",1.50,
            1.70)))</f>
        <v/>
      </c>
      <c r="K1683">
        <f>LET(
    purpose,'Loan Tape (S&amp;P)'!R1683,
    IF(purpose="Purchase",1.00,
        IF(purpose="Remortgage",1.00,
            1.20)))</f>
        <v/>
      </c>
      <c r="L1683">
        <f>LET(
    arrears_months,'Loan Tape (S&amp;P)'!AN1683,
    IF(arrears_months=0,1.00,
    IF(arrears_months=1,3.00,
    IF(arrears_months=2,5.00,
    IF(arrears_months=3,8.00,
    IF(arrears_months=4,10.00,
    IF(arrears_months=5,12.00,15.00)))))))</f>
        <v/>
      </c>
      <c r="M1683">
        <f>LET(
    seasoning_years,DATEDIF('Loan Tape (S&amp;P)'!K1683,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83">
        <f>IF(AND('Loan Tape (S&amp;P)'!U1683="Yes",
        'Loan Tape (S&amp;P)'!T1683&lt;&gt;"Yes",
        DATEDIF('Loan Tape (S&amp;P)'!K1683, TODAY(), "M")&lt;18),
    1.10,
    1.00)</f>
        <v/>
      </c>
      <c r="O1683">
        <f>IF('Loan Tape (S&amp;P)'!T1683="Yes",
    1.35,
    1.00)</f>
        <v/>
      </c>
      <c r="P1683">
        <f>IF('Loan Tape (S&amp;P)'!S1683="Yes",
    1.15,
    1.00)</f>
        <v/>
      </c>
      <c r="Q1683">
        <f>IF('Loan Tape (S&amp;P)'!V1683="Yes",
    1.20,
    1.00)</f>
        <v/>
      </c>
      <c r="T1683">
        <f>LET(
    payment_method,'Loan Tape (S&amp;P)'!P1683,
    occupancy,'Loan Tape (S&amp;P)'!N1683,
    maturity_date,'Loan Tape (S&amp;P)'!L1683,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84">
      <c r="J1684">
        <f>LET(
    lien,'Loan Tape (S&amp;P)'!Q1684,
    IF(lien="First",1.00,
        IF(lien="Second",1.50,
            1.70)))</f>
        <v/>
      </c>
      <c r="K1684">
        <f>LET(
    purpose,'Loan Tape (S&amp;P)'!R1684,
    IF(purpose="Purchase",1.00,
        IF(purpose="Remortgage",1.00,
            1.20)))</f>
        <v/>
      </c>
      <c r="L1684">
        <f>LET(
    arrears_months,'Loan Tape (S&amp;P)'!AN1684,
    IF(arrears_months=0,1.00,
    IF(arrears_months=1,3.00,
    IF(arrears_months=2,5.00,
    IF(arrears_months=3,8.00,
    IF(arrears_months=4,10.00,
    IF(arrears_months=5,12.00,15.00)))))))</f>
        <v/>
      </c>
      <c r="M1684">
        <f>LET(
    seasoning_years,DATEDIF('Loan Tape (S&amp;P)'!K1684,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84">
        <f>IF(AND('Loan Tape (S&amp;P)'!U1684="Yes",
        'Loan Tape (S&amp;P)'!T1684&lt;&gt;"Yes",
        DATEDIF('Loan Tape (S&amp;P)'!K1684, TODAY(), "M")&lt;18),
    1.10,
    1.00)</f>
        <v/>
      </c>
      <c r="O1684">
        <f>IF('Loan Tape (S&amp;P)'!T1684="Yes",
    1.35,
    1.00)</f>
        <v/>
      </c>
      <c r="P1684">
        <f>IF('Loan Tape (S&amp;P)'!S1684="Yes",
    1.15,
    1.00)</f>
        <v/>
      </c>
      <c r="Q1684">
        <f>IF('Loan Tape (S&amp;P)'!V1684="Yes",
    1.20,
    1.00)</f>
        <v/>
      </c>
      <c r="T1684">
        <f>LET(
    payment_method,'Loan Tape (S&amp;P)'!P1684,
    occupancy,'Loan Tape (S&amp;P)'!N1684,
    maturity_date,'Loan Tape (S&amp;P)'!L1684,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85">
      <c r="J1685">
        <f>LET(
    lien,'Loan Tape (S&amp;P)'!Q1685,
    IF(lien="First",1.00,
        IF(lien="Second",1.50,
            1.70)))</f>
        <v/>
      </c>
      <c r="K1685">
        <f>LET(
    purpose,'Loan Tape (S&amp;P)'!R1685,
    IF(purpose="Purchase",1.00,
        IF(purpose="Remortgage",1.00,
            1.20)))</f>
        <v/>
      </c>
      <c r="L1685">
        <f>LET(
    arrears_months,'Loan Tape (S&amp;P)'!AN1685,
    IF(arrears_months=0,1.00,
    IF(arrears_months=1,3.00,
    IF(arrears_months=2,5.00,
    IF(arrears_months=3,8.00,
    IF(arrears_months=4,10.00,
    IF(arrears_months=5,12.00,15.00)))))))</f>
        <v/>
      </c>
      <c r="M1685">
        <f>LET(
    seasoning_years,DATEDIF('Loan Tape (S&amp;P)'!K1685,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85">
        <f>IF(AND('Loan Tape (S&amp;P)'!U1685="Yes",
        'Loan Tape (S&amp;P)'!T1685&lt;&gt;"Yes",
        DATEDIF('Loan Tape (S&amp;P)'!K1685, TODAY(), "M")&lt;18),
    1.10,
    1.00)</f>
        <v/>
      </c>
      <c r="O1685">
        <f>IF('Loan Tape (S&amp;P)'!T1685="Yes",
    1.35,
    1.00)</f>
        <v/>
      </c>
      <c r="P1685">
        <f>IF('Loan Tape (S&amp;P)'!S1685="Yes",
    1.15,
    1.00)</f>
        <v/>
      </c>
      <c r="Q1685">
        <f>IF('Loan Tape (S&amp;P)'!V1685="Yes",
    1.20,
    1.00)</f>
        <v/>
      </c>
      <c r="T1685">
        <f>LET(
    payment_method,'Loan Tape (S&amp;P)'!P1685,
    occupancy,'Loan Tape (S&amp;P)'!N1685,
    maturity_date,'Loan Tape (S&amp;P)'!L1685,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86">
      <c r="J1686">
        <f>LET(
    lien,'Loan Tape (S&amp;P)'!Q1686,
    IF(lien="First",1.00,
        IF(lien="Second",1.50,
            1.70)))</f>
        <v/>
      </c>
      <c r="K1686">
        <f>LET(
    purpose,'Loan Tape (S&amp;P)'!R1686,
    IF(purpose="Purchase",1.00,
        IF(purpose="Remortgage",1.00,
            1.20)))</f>
        <v/>
      </c>
      <c r="L1686">
        <f>LET(
    arrears_months,'Loan Tape (S&amp;P)'!AN1686,
    IF(arrears_months=0,1.00,
    IF(arrears_months=1,3.00,
    IF(arrears_months=2,5.00,
    IF(arrears_months=3,8.00,
    IF(arrears_months=4,10.00,
    IF(arrears_months=5,12.00,15.00)))))))</f>
        <v/>
      </c>
      <c r="M1686">
        <f>LET(
    seasoning_years,DATEDIF('Loan Tape (S&amp;P)'!K1686,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86">
        <f>IF(AND('Loan Tape (S&amp;P)'!U1686="Yes",
        'Loan Tape (S&amp;P)'!T1686&lt;&gt;"Yes",
        DATEDIF('Loan Tape (S&amp;P)'!K1686, TODAY(), "M")&lt;18),
    1.10,
    1.00)</f>
        <v/>
      </c>
      <c r="O1686">
        <f>IF('Loan Tape (S&amp;P)'!T1686="Yes",
    1.35,
    1.00)</f>
        <v/>
      </c>
      <c r="P1686">
        <f>IF('Loan Tape (S&amp;P)'!S1686="Yes",
    1.15,
    1.00)</f>
        <v/>
      </c>
      <c r="Q1686">
        <f>IF('Loan Tape (S&amp;P)'!V1686="Yes",
    1.20,
    1.00)</f>
        <v/>
      </c>
      <c r="T1686">
        <f>LET(
    payment_method,'Loan Tape (S&amp;P)'!P1686,
    occupancy,'Loan Tape (S&amp;P)'!N1686,
    maturity_date,'Loan Tape (S&amp;P)'!L1686,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87">
      <c r="J1687">
        <f>LET(
    lien,'Loan Tape (S&amp;P)'!Q1687,
    IF(lien="First",1.00,
        IF(lien="Second",1.50,
            1.70)))</f>
        <v/>
      </c>
      <c r="K1687">
        <f>LET(
    purpose,'Loan Tape (S&amp;P)'!R1687,
    IF(purpose="Purchase",1.00,
        IF(purpose="Remortgage",1.00,
            1.20)))</f>
        <v/>
      </c>
      <c r="L1687">
        <f>LET(
    arrears_months,'Loan Tape (S&amp;P)'!AN1687,
    IF(arrears_months=0,1.00,
    IF(arrears_months=1,3.00,
    IF(arrears_months=2,5.00,
    IF(arrears_months=3,8.00,
    IF(arrears_months=4,10.00,
    IF(arrears_months=5,12.00,15.00)))))))</f>
        <v/>
      </c>
      <c r="M1687">
        <f>LET(
    seasoning_years,DATEDIF('Loan Tape (S&amp;P)'!K1687,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87">
        <f>IF(AND('Loan Tape (S&amp;P)'!U1687="Yes",
        'Loan Tape (S&amp;P)'!T1687&lt;&gt;"Yes",
        DATEDIF('Loan Tape (S&amp;P)'!K1687, TODAY(), "M")&lt;18),
    1.10,
    1.00)</f>
        <v/>
      </c>
      <c r="O1687">
        <f>IF('Loan Tape (S&amp;P)'!T1687="Yes",
    1.35,
    1.00)</f>
        <v/>
      </c>
      <c r="P1687">
        <f>IF('Loan Tape (S&amp;P)'!S1687="Yes",
    1.15,
    1.00)</f>
        <v/>
      </c>
      <c r="Q1687">
        <f>IF('Loan Tape (S&amp;P)'!V1687="Yes",
    1.20,
    1.00)</f>
        <v/>
      </c>
      <c r="T1687">
        <f>LET(
    payment_method,'Loan Tape (S&amp;P)'!P1687,
    occupancy,'Loan Tape (S&amp;P)'!N1687,
    maturity_date,'Loan Tape (S&amp;P)'!L1687,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88">
      <c r="J1688">
        <f>LET(
    lien,'Loan Tape (S&amp;P)'!Q1688,
    IF(lien="First",1.00,
        IF(lien="Second",1.50,
            1.70)))</f>
        <v/>
      </c>
      <c r="K1688">
        <f>LET(
    purpose,'Loan Tape (S&amp;P)'!R1688,
    IF(purpose="Purchase",1.00,
        IF(purpose="Remortgage",1.00,
            1.20)))</f>
        <v/>
      </c>
      <c r="L1688">
        <f>LET(
    arrears_months,'Loan Tape (S&amp;P)'!AN1688,
    IF(arrears_months=0,1.00,
    IF(arrears_months=1,3.00,
    IF(arrears_months=2,5.00,
    IF(arrears_months=3,8.00,
    IF(arrears_months=4,10.00,
    IF(arrears_months=5,12.00,15.00)))))))</f>
        <v/>
      </c>
      <c r="M1688">
        <f>LET(
    seasoning_years,DATEDIF('Loan Tape (S&amp;P)'!K1688,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88">
        <f>IF(AND('Loan Tape (S&amp;P)'!U1688="Yes",
        'Loan Tape (S&amp;P)'!T1688&lt;&gt;"Yes",
        DATEDIF('Loan Tape (S&amp;P)'!K1688, TODAY(), "M")&lt;18),
    1.10,
    1.00)</f>
        <v/>
      </c>
      <c r="O1688">
        <f>IF('Loan Tape (S&amp;P)'!T1688="Yes",
    1.35,
    1.00)</f>
        <v/>
      </c>
      <c r="P1688">
        <f>IF('Loan Tape (S&amp;P)'!S1688="Yes",
    1.15,
    1.00)</f>
        <v/>
      </c>
      <c r="Q1688">
        <f>IF('Loan Tape (S&amp;P)'!V1688="Yes",
    1.20,
    1.00)</f>
        <v/>
      </c>
      <c r="T1688">
        <f>LET(
    payment_method,'Loan Tape (S&amp;P)'!P1688,
    occupancy,'Loan Tape (S&amp;P)'!N1688,
    maturity_date,'Loan Tape (S&amp;P)'!L1688,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89">
      <c r="J1689">
        <f>LET(
    lien,'Loan Tape (S&amp;P)'!Q1689,
    IF(lien="First",1.00,
        IF(lien="Second",1.50,
            1.70)))</f>
        <v/>
      </c>
      <c r="K1689">
        <f>LET(
    purpose,'Loan Tape (S&amp;P)'!R1689,
    IF(purpose="Purchase",1.00,
        IF(purpose="Remortgage",1.00,
            1.20)))</f>
        <v/>
      </c>
      <c r="L1689">
        <f>LET(
    arrears_months,'Loan Tape (S&amp;P)'!AN1689,
    IF(arrears_months=0,1.00,
    IF(arrears_months=1,3.00,
    IF(arrears_months=2,5.00,
    IF(arrears_months=3,8.00,
    IF(arrears_months=4,10.00,
    IF(arrears_months=5,12.00,15.00)))))))</f>
        <v/>
      </c>
      <c r="M1689">
        <f>LET(
    seasoning_years,DATEDIF('Loan Tape (S&amp;P)'!K1689,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89">
        <f>IF(AND('Loan Tape (S&amp;P)'!U1689="Yes",
        'Loan Tape (S&amp;P)'!T1689&lt;&gt;"Yes",
        DATEDIF('Loan Tape (S&amp;P)'!K1689, TODAY(), "M")&lt;18),
    1.10,
    1.00)</f>
        <v/>
      </c>
      <c r="O1689">
        <f>IF('Loan Tape (S&amp;P)'!T1689="Yes",
    1.35,
    1.00)</f>
        <v/>
      </c>
      <c r="P1689">
        <f>IF('Loan Tape (S&amp;P)'!S1689="Yes",
    1.15,
    1.00)</f>
        <v/>
      </c>
      <c r="Q1689">
        <f>IF('Loan Tape (S&amp;P)'!V1689="Yes",
    1.20,
    1.00)</f>
        <v/>
      </c>
      <c r="T1689">
        <f>LET(
    payment_method,'Loan Tape (S&amp;P)'!P1689,
    occupancy,'Loan Tape (S&amp;P)'!N1689,
    maturity_date,'Loan Tape (S&amp;P)'!L1689,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90">
      <c r="J1690">
        <f>LET(
    lien,'Loan Tape (S&amp;P)'!Q1690,
    IF(lien="First",1.00,
        IF(lien="Second",1.50,
            1.70)))</f>
        <v/>
      </c>
      <c r="K1690">
        <f>LET(
    purpose,'Loan Tape (S&amp;P)'!R1690,
    IF(purpose="Purchase",1.00,
        IF(purpose="Remortgage",1.00,
            1.20)))</f>
        <v/>
      </c>
      <c r="L1690">
        <f>LET(
    arrears_months,'Loan Tape (S&amp;P)'!AN1690,
    IF(arrears_months=0,1.00,
    IF(arrears_months=1,3.00,
    IF(arrears_months=2,5.00,
    IF(arrears_months=3,8.00,
    IF(arrears_months=4,10.00,
    IF(arrears_months=5,12.00,15.00)))))))</f>
        <v/>
      </c>
      <c r="M1690">
        <f>LET(
    seasoning_years,DATEDIF('Loan Tape (S&amp;P)'!K1690,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90">
        <f>IF(AND('Loan Tape (S&amp;P)'!U1690="Yes",
        'Loan Tape (S&amp;P)'!T1690&lt;&gt;"Yes",
        DATEDIF('Loan Tape (S&amp;P)'!K1690, TODAY(), "M")&lt;18),
    1.10,
    1.00)</f>
        <v/>
      </c>
      <c r="O1690">
        <f>IF('Loan Tape (S&amp;P)'!T1690="Yes",
    1.35,
    1.00)</f>
        <v/>
      </c>
      <c r="P1690">
        <f>IF('Loan Tape (S&amp;P)'!S1690="Yes",
    1.15,
    1.00)</f>
        <v/>
      </c>
      <c r="Q1690">
        <f>IF('Loan Tape (S&amp;P)'!V1690="Yes",
    1.20,
    1.00)</f>
        <v/>
      </c>
      <c r="T1690">
        <f>LET(
    payment_method,'Loan Tape (S&amp;P)'!P1690,
    occupancy,'Loan Tape (S&amp;P)'!N1690,
    maturity_date,'Loan Tape (S&amp;P)'!L1690,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91">
      <c r="J1691">
        <f>LET(
    lien,'Loan Tape (S&amp;P)'!Q1691,
    IF(lien="First",1.00,
        IF(lien="Second",1.50,
            1.70)))</f>
        <v/>
      </c>
      <c r="K1691">
        <f>LET(
    purpose,'Loan Tape (S&amp;P)'!R1691,
    IF(purpose="Purchase",1.00,
        IF(purpose="Remortgage",1.00,
            1.20)))</f>
        <v/>
      </c>
      <c r="L1691">
        <f>LET(
    arrears_months,'Loan Tape (S&amp;P)'!AN1691,
    IF(arrears_months=0,1.00,
    IF(arrears_months=1,3.00,
    IF(arrears_months=2,5.00,
    IF(arrears_months=3,8.00,
    IF(arrears_months=4,10.00,
    IF(arrears_months=5,12.00,15.00)))))))</f>
        <v/>
      </c>
      <c r="M1691">
        <f>LET(
    seasoning_years,DATEDIF('Loan Tape (S&amp;P)'!K1691,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91">
        <f>IF(AND('Loan Tape (S&amp;P)'!U1691="Yes",
        'Loan Tape (S&amp;P)'!T1691&lt;&gt;"Yes",
        DATEDIF('Loan Tape (S&amp;P)'!K1691, TODAY(), "M")&lt;18),
    1.10,
    1.00)</f>
        <v/>
      </c>
      <c r="O1691">
        <f>IF('Loan Tape (S&amp;P)'!T1691="Yes",
    1.35,
    1.00)</f>
        <v/>
      </c>
      <c r="P1691">
        <f>IF('Loan Tape (S&amp;P)'!S1691="Yes",
    1.15,
    1.00)</f>
        <v/>
      </c>
      <c r="Q1691">
        <f>IF('Loan Tape (S&amp;P)'!V1691="Yes",
    1.20,
    1.00)</f>
        <v/>
      </c>
      <c r="T1691">
        <f>LET(
    payment_method,'Loan Tape (S&amp;P)'!P1691,
    occupancy,'Loan Tape (S&amp;P)'!N1691,
    maturity_date,'Loan Tape (S&amp;P)'!L1691,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92">
      <c r="J1692">
        <f>LET(
    lien,'Loan Tape (S&amp;P)'!Q1692,
    IF(lien="First",1.00,
        IF(lien="Second",1.50,
            1.70)))</f>
        <v/>
      </c>
      <c r="K1692">
        <f>LET(
    purpose,'Loan Tape (S&amp;P)'!R1692,
    IF(purpose="Purchase",1.00,
        IF(purpose="Remortgage",1.00,
            1.20)))</f>
        <v/>
      </c>
      <c r="L1692">
        <f>LET(
    arrears_months,'Loan Tape (S&amp;P)'!AN1692,
    IF(arrears_months=0,1.00,
    IF(arrears_months=1,3.00,
    IF(arrears_months=2,5.00,
    IF(arrears_months=3,8.00,
    IF(arrears_months=4,10.00,
    IF(arrears_months=5,12.00,15.00)))))))</f>
        <v/>
      </c>
      <c r="M1692">
        <f>LET(
    seasoning_years,DATEDIF('Loan Tape (S&amp;P)'!K1692,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92">
        <f>IF(AND('Loan Tape (S&amp;P)'!U1692="Yes",
        'Loan Tape (S&amp;P)'!T1692&lt;&gt;"Yes",
        DATEDIF('Loan Tape (S&amp;P)'!K1692, TODAY(), "M")&lt;18),
    1.10,
    1.00)</f>
        <v/>
      </c>
      <c r="O1692">
        <f>IF('Loan Tape (S&amp;P)'!T1692="Yes",
    1.35,
    1.00)</f>
        <v/>
      </c>
      <c r="P1692">
        <f>IF('Loan Tape (S&amp;P)'!S1692="Yes",
    1.15,
    1.00)</f>
        <v/>
      </c>
      <c r="Q1692">
        <f>IF('Loan Tape (S&amp;P)'!V1692="Yes",
    1.20,
    1.00)</f>
        <v/>
      </c>
      <c r="T1692">
        <f>LET(
    payment_method,'Loan Tape (S&amp;P)'!P1692,
    occupancy,'Loan Tape (S&amp;P)'!N1692,
    maturity_date,'Loan Tape (S&amp;P)'!L1692,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93">
      <c r="J1693">
        <f>LET(
    lien,'Loan Tape (S&amp;P)'!Q1693,
    IF(lien="First",1.00,
        IF(lien="Second",1.50,
            1.70)))</f>
        <v/>
      </c>
      <c r="K1693">
        <f>LET(
    purpose,'Loan Tape (S&amp;P)'!R1693,
    IF(purpose="Purchase",1.00,
        IF(purpose="Remortgage",1.00,
            1.20)))</f>
        <v/>
      </c>
      <c r="L1693">
        <f>LET(
    arrears_months,'Loan Tape (S&amp;P)'!AN1693,
    IF(arrears_months=0,1.00,
    IF(arrears_months=1,3.00,
    IF(arrears_months=2,5.00,
    IF(arrears_months=3,8.00,
    IF(arrears_months=4,10.00,
    IF(arrears_months=5,12.00,15.00)))))))</f>
        <v/>
      </c>
      <c r="M1693">
        <f>LET(
    seasoning_years,DATEDIF('Loan Tape (S&amp;P)'!K1693,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93">
        <f>IF(AND('Loan Tape (S&amp;P)'!U1693="Yes",
        'Loan Tape (S&amp;P)'!T1693&lt;&gt;"Yes",
        DATEDIF('Loan Tape (S&amp;P)'!K1693, TODAY(), "M")&lt;18),
    1.10,
    1.00)</f>
        <v/>
      </c>
      <c r="O1693">
        <f>IF('Loan Tape (S&amp;P)'!T1693="Yes",
    1.35,
    1.00)</f>
        <v/>
      </c>
      <c r="P1693">
        <f>IF('Loan Tape (S&amp;P)'!S1693="Yes",
    1.15,
    1.00)</f>
        <v/>
      </c>
      <c r="Q1693">
        <f>IF('Loan Tape (S&amp;P)'!V1693="Yes",
    1.20,
    1.00)</f>
        <v/>
      </c>
      <c r="T1693">
        <f>LET(
    payment_method,'Loan Tape (S&amp;P)'!P1693,
    occupancy,'Loan Tape (S&amp;P)'!N1693,
    maturity_date,'Loan Tape (S&amp;P)'!L1693,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94">
      <c r="J1694">
        <f>LET(
    lien,'Loan Tape (S&amp;P)'!Q1694,
    IF(lien="First",1.00,
        IF(lien="Second",1.50,
            1.70)))</f>
        <v/>
      </c>
      <c r="K1694">
        <f>LET(
    purpose,'Loan Tape (S&amp;P)'!R1694,
    IF(purpose="Purchase",1.00,
        IF(purpose="Remortgage",1.00,
            1.20)))</f>
        <v/>
      </c>
      <c r="L1694">
        <f>LET(
    arrears_months,'Loan Tape (S&amp;P)'!AN1694,
    IF(arrears_months=0,1.00,
    IF(arrears_months=1,3.00,
    IF(arrears_months=2,5.00,
    IF(arrears_months=3,8.00,
    IF(arrears_months=4,10.00,
    IF(arrears_months=5,12.00,15.00)))))))</f>
        <v/>
      </c>
      <c r="M1694">
        <f>LET(
    seasoning_years,DATEDIF('Loan Tape (S&amp;P)'!K1694,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94">
        <f>IF(AND('Loan Tape (S&amp;P)'!U1694="Yes",
        'Loan Tape (S&amp;P)'!T1694&lt;&gt;"Yes",
        DATEDIF('Loan Tape (S&amp;P)'!K1694, TODAY(), "M")&lt;18),
    1.10,
    1.00)</f>
        <v/>
      </c>
      <c r="O1694">
        <f>IF('Loan Tape (S&amp;P)'!T1694="Yes",
    1.35,
    1.00)</f>
        <v/>
      </c>
      <c r="P1694">
        <f>IF('Loan Tape (S&amp;P)'!S1694="Yes",
    1.15,
    1.00)</f>
        <v/>
      </c>
      <c r="Q1694">
        <f>IF('Loan Tape (S&amp;P)'!V1694="Yes",
    1.20,
    1.00)</f>
        <v/>
      </c>
      <c r="T1694">
        <f>LET(
    payment_method,'Loan Tape (S&amp;P)'!P1694,
    occupancy,'Loan Tape (S&amp;P)'!N1694,
    maturity_date,'Loan Tape (S&amp;P)'!L1694,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95">
      <c r="J1695">
        <f>LET(
    lien,'Loan Tape (S&amp;P)'!Q1695,
    IF(lien="First",1.00,
        IF(lien="Second",1.50,
            1.70)))</f>
        <v/>
      </c>
      <c r="K1695">
        <f>LET(
    purpose,'Loan Tape (S&amp;P)'!R1695,
    IF(purpose="Purchase",1.00,
        IF(purpose="Remortgage",1.00,
            1.20)))</f>
        <v/>
      </c>
      <c r="L1695">
        <f>LET(
    arrears_months,'Loan Tape (S&amp;P)'!AN1695,
    IF(arrears_months=0,1.00,
    IF(arrears_months=1,3.00,
    IF(arrears_months=2,5.00,
    IF(arrears_months=3,8.00,
    IF(arrears_months=4,10.00,
    IF(arrears_months=5,12.00,15.00)))))))</f>
        <v/>
      </c>
      <c r="M1695">
        <f>LET(
    seasoning_years,DATEDIF('Loan Tape (S&amp;P)'!K1695,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95">
        <f>IF(AND('Loan Tape (S&amp;P)'!U1695="Yes",
        'Loan Tape (S&amp;P)'!T1695&lt;&gt;"Yes",
        DATEDIF('Loan Tape (S&amp;P)'!K1695, TODAY(), "M")&lt;18),
    1.10,
    1.00)</f>
        <v/>
      </c>
      <c r="O1695">
        <f>IF('Loan Tape (S&amp;P)'!T1695="Yes",
    1.35,
    1.00)</f>
        <v/>
      </c>
      <c r="P1695">
        <f>IF('Loan Tape (S&amp;P)'!S1695="Yes",
    1.15,
    1.00)</f>
        <v/>
      </c>
      <c r="Q1695">
        <f>IF('Loan Tape (S&amp;P)'!V1695="Yes",
    1.20,
    1.00)</f>
        <v/>
      </c>
      <c r="T1695">
        <f>LET(
    payment_method,'Loan Tape (S&amp;P)'!P1695,
    occupancy,'Loan Tape (S&amp;P)'!N1695,
    maturity_date,'Loan Tape (S&amp;P)'!L1695,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96">
      <c r="J1696">
        <f>LET(
    lien,'Loan Tape (S&amp;P)'!Q1696,
    IF(lien="First",1.00,
        IF(lien="Second",1.50,
            1.70)))</f>
        <v/>
      </c>
      <c r="K1696">
        <f>LET(
    purpose,'Loan Tape (S&amp;P)'!R1696,
    IF(purpose="Purchase",1.00,
        IF(purpose="Remortgage",1.00,
            1.20)))</f>
        <v/>
      </c>
      <c r="L1696">
        <f>LET(
    arrears_months,'Loan Tape (S&amp;P)'!AN1696,
    IF(arrears_months=0,1.00,
    IF(arrears_months=1,3.00,
    IF(arrears_months=2,5.00,
    IF(arrears_months=3,8.00,
    IF(arrears_months=4,10.00,
    IF(arrears_months=5,12.00,15.00)))))))</f>
        <v/>
      </c>
      <c r="M1696">
        <f>LET(
    seasoning_years,DATEDIF('Loan Tape (S&amp;P)'!K1696,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96">
        <f>IF(AND('Loan Tape (S&amp;P)'!U1696="Yes",
        'Loan Tape (S&amp;P)'!T1696&lt;&gt;"Yes",
        DATEDIF('Loan Tape (S&amp;P)'!K1696, TODAY(), "M")&lt;18),
    1.10,
    1.00)</f>
        <v/>
      </c>
      <c r="O1696">
        <f>IF('Loan Tape (S&amp;P)'!T1696="Yes",
    1.35,
    1.00)</f>
        <v/>
      </c>
      <c r="P1696">
        <f>IF('Loan Tape (S&amp;P)'!S1696="Yes",
    1.15,
    1.00)</f>
        <v/>
      </c>
      <c r="Q1696">
        <f>IF('Loan Tape (S&amp;P)'!V1696="Yes",
    1.20,
    1.00)</f>
        <v/>
      </c>
      <c r="T1696">
        <f>LET(
    payment_method,'Loan Tape (S&amp;P)'!P1696,
    occupancy,'Loan Tape (S&amp;P)'!N1696,
    maturity_date,'Loan Tape (S&amp;P)'!L1696,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97">
      <c r="J1697">
        <f>LET(
    lien,'Loan Tape (S&amp;P)'!Q1697,
    IF(lien="First",1.00,
        IF(lien="Second",1.50,
            1.70)))</f>
        <v/>
      </c>
      <c r="K1697">
        <f>LET(
    purpose,'Loan Tape (S&amp;P)'!R1697,
    IF(purpose="Purchase",1.00,
        IF(purpose="Remortgage",1.00,
            1.20)))</f>
        <v/>
      </c>
      <c r="L1697">
        <f>LET(
    arrears_months,'Loan Tape (S&amp;P)'!AN1697,
    IF(arrears_months=0,1.00,
    IF(arrears_months=1,3.00,
    IF(arrears_months=2,5.00,
    IF(arrears_months=3,8.00,
    IF(arrears_months=4,10.00,
    IF(arrears_months=5,12.00,15.00)))))))</f>
        <v/>
      </c>
      <c r="M1697">
        <f>LET(
    seasoning_years,DATEDIF('Loan Tape (S&amp;P)'!K1697,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97">
        <f>IF(AND('Loan Tape (S&amp;P)'!U1697="Yes",
        'Loan Tape (S&amp;P)'!T1697&lt;&gt;"Yes",
        DATEDIF('Loan Tape (S&amp;P)'!K1697, TODAY(), "M")&lt;18),
    1.10,
    1.00)</f>
        <v/>
      </c>
      <c r="O1697">
        <f>IF('Loan Tape (S&amp;P)'!T1697="Yes",
    1.35,
    1.00)</f>
        <v/>
      </c>
      <c r="P1697">
        <f>IF('Loan Tape (S&amp;P)'!S1697="Yes",
    1.15,
    1.00)</f>
        <v/>
      </c>
      <c r="Q1697">
        <f>IF('Loan Tape (S&amp;P)'!V1697="Yes",
    1.20,
    1.00)</f>
        <v/>
      </c>
      <c r="T1697">
        <f>LET(
    payment_method,'Loan Tape (S&amp;P)'!P1697,
    occupancy,'Loan Tape (S&amp;P)'!N1697,
    maturity_date,'Loan Tape (S&amp;P)'!L1697,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98">
      <c r="J1698">
        <f>LET(
    lien,'Loan Tape (S&amp;P)'!Q1698,
    IF(lien="First",1.00,
        IF(lien="Second",1.50,
            1.70)))</f>
        <v/>
      </c>
      <c r="K1698">
        <f>LET(
    purpose,'Loan Tape (S&amp;P)'!R1698,
    IF(purpose="Purchase",1.00,
        IF(purpose="Remortgage",1.00,
            1.20)))</f>
        <v/>
      </c>
      <c r="L1698">
        <f>LET(
    arrears_months,'Loan Tape (S&amp;P)'!AN1698,
    IF(arrears_months=0,1.00,
    IF(arrears_months=1,3.00,
    IF(arrears_months=2,5.00,
    IF(arrears_months=3,8.00,
    IF(arrears_months=4,10.00,
    IF(arrears_months=5,12.00,15.00)))))))</f>
        <v/>
      </c>
      <c r="M1698">
        <f>LET(
    seasoning_years,DATEDIF('Loan Tape (S&amp;P)'!K1698,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98">
        <f>IF(AND('Loan Tape (S&amp;P)'!U1698="Yes",
        'Loan Tape (S&amp;P)'!T1698&lt;&gt;"Yes",
        DATEDIF('Loan Tape (S&amp;P)'!K1698, TODAY(), "M")&lt;18),
    1.10,
    1.00)</f>
        <v/>
      </c>
      <c r="O1698">
        <f>IF('Loan Tape (S&amp;P)'!T1698="Yes",
    1.35,
    1.00)</f>
        <v/>
      </c>
      <c r="P1698">
        <f>IF('Loan Tape (S&amp;P)'!S1698="Yes",
    1.15,
    1.00)</f>
        <v/>
      </c>
      <c r="Q1698">
        <f>IF('Loan Tape (S&amp;P)'!V1698="Yes",
    1.20,
    1.00)</f>
        <v/>
      </c>
      <c r="T1698">
        <f>LET(
    payment_method,'Loan Tape (S&amp;P)'!P1698,
    occupancy,'Loan Tape (S&amp;P)'!N1698,
    maturity_date,'Loan Tape (S&amp;P)'!L1698,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699">
      <c r="J1699">
        <f>LET(
    lien,'Loan Tape (S&amp;P)'!Q1699,
    IF(lien="First",1.00,
        IF(lien="Second",1.50,
            1.70)))</f>
        <v/>
      </c>
      <c r="K1699">
        <f>LET(
    purpose,'Loan Tape (S&amp;P)'!R1699,
    IF(purpose="Purchase",1.00,
        IF(purpose="Remortgage",1.00,
            1.20)))</f>
        <v/>
      </c>
      <c r="L1699">
        <f>LET(
    arrears_months,'Loan Tape (S&amp;P)'!AN1699,
    IF(arrears_months=0,1.00,
    IF(arrears_months=1,3.00,
    IF(arrears_months=2,5.00,
    IF(arrears_months=3,8.00,
    IF(arrears_months=4,10.00,
    IF(arrears_months=5,12.00,15.00)))))))</f>
        <v/>
      </c>
      <c r="M1699">
        <f>LET(
    seasoning_years,DATEDIF('Loan Tape (S&amp;P)'!K1699,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699">
        <f>IF(AND('Loan Tape (S&amp;P)'!U1699="Yes",
        'Loan Tape (S&amp;P)'!T1699&lt;&gt;"Yes",
        DATEDIF('Loan Tape (S&amp;P)'!K1699, TODAY(), "M")&lt;18),
    1.10,
    1.00)</f>
        <v/>
      </c>
      <c r="O1699">
        <f>IF('Loan Tape (S&amp;P)'!T1699="Yes",
    1.35,
    1.00)</f>
        <v/>
      </c>
      <c r="P1699">
        <f>IF('Loan Tape (S&amp;P)'!S1699="Yes",
    1.15,
    1.00)</f>
        <v/>
      </c>
      <c r="Q1699">
        <f>IF('Loan Tape (S&amp;P)'!V1699="Yes",
    1.20,
    1.00)</f>
        <v/>
      </c>
      <c r="T1699">
        <f>LET(
    payment_method,'Loan Tape (S&amp;P)'!P1699,
    occupancy,'Loan Tape (S&amp;P)'!N1699,
    maturity_date,'Loan Tape (S&amp;P)'!L1699,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00">
      <c r="J1700">
        <f>LET(
    lien,'Loan Tape (S&amp;P)'!Q1700,
    IF(lien="First",1.00,
        IF(lien="Second",1.50,
            1.70)))</f>
        <v/>
      </c>
      <c r="K1700">
        <f>LET(
    purpose,'Loan Tape (S&amp;P)'!R1700,
    IF(purpose="Purchase",1.00,
        IF(purpose="Remortgage",1.00,
            1.20)))</f>
        <v/>
      </c>
      <c r="L1700">
        <f>LET(
    arrears_months,'Loan Tape (S&amp;P)'!AN1700,
    IF(arrears_months=0,1.00,
    IF(arrears_months=1,3.00,
    IF(arrears_months=2,5.00,
    IF(arrears_months=3,8.00,
    IF(arrears_months=4,10.00,
    IF(arrears_months=5,12.00,15.00)))))))</f>
        <v/>
      </c>
      <c r="M1700">
        <f>LET(
    seasoning_years,DATEDIF('Loan Tape (S&amp;P)'!K1700,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00">
        <f>IF(AND('Loan Tape (S&amp;P)'!U1700="Yes",
        'Loan Tape (S&amp;P)'!T1700&lt;&gt;"Yes",
        DATEDIF('Loan Tape (S&amp;P)'!K1700, TODAY(), "M")&lt;18),
    1.10,
    1.00)</f>
        <v/>
      </c>
      <c r="O1700">
        <f>IF('Loan Tape (S&amp;P)'!T1700="Yes",
    1.35,
    1.00)</f>
        <v/>
      </c>
      <c r="P1700">
        <f>IF('Loan Tape (S&amp;P)'!S1700="Yes",
    1.15,
    1.00)</f>
        <v/>
      </c>
      <c r="Q1700">
        <f>IF('Loan Tape (S&amp;P)'!V1700="Yes",
    1.20,
    1.00)</f>
        <v/>
      </c>
      <c r="T1700">
        <f>LET(
    payment_method,'Loan Tape (S&amp;P)'!P1700,
    occupancy,'Loan Tape (S&amp;P)'!N1700,
    maturity_date,'Loan Tape (S&amp;P)'!L1700,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01">
      <c r="J1701">
        <f>LET(
    lien,'Loan Tape (S&amp;P)'!Q1701,
    IF(lien="First",1.00,
        IF(lien="Second",1.50,
            1.70)))</f>
        <v/>
      </c>
      <c r="K1701">
        <f>LET(
    purpose,'Loan Tape (S&amp;P)'!R1701,
    IF(purpose="Purchase",1.00,
        IF(purpose="Remortgage",1.00,
            1.20)))</f>
        <v/>
      </c>
      <c r="L1701">
        <f>LET(
    arrears_months,'Loan Tape (S&amp;P)'!AN1701,
    IF(arrears_months=0,1.00,
    IF(arrears_months=1,3.00,
    IF(arrears_months=2,5.00,
    IF(arrears_months=3,8.00,
    IF(arrears_months=4,10.00,
    IF(arrears_months=5,12.00,15.00)))))))</f>
        <v/>
      </c>
      <c r="M1701">
        <f>LET(
    seasoning_years,DATEDIF('Loan Tape (S&amp;P)'!K1701,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01">
        <f>IF(AND('Loan Tape (S&amp;P)'!U1701="Yes",
        'Loan Tape (S&amp;P)'!T1701&lt;&gt;"Yes",
        DATEDIF('Loan Tape (S&amp;P)'!K1701, TODAY(), "M")&lt;18),
    1.10,
    1.00)</f>
        <v/>
      </c>
      <c r="O1701">
        <f>IF('Loan Tape (S&amp;P)'!T1701="Yes",
    1.35,
    1.00)</f>
        <v/>
      </c>
      <c r="P1701">
        <f>IF('Loan Tape (S&amp;P)'!S1701="Yes",
    1.15,
    1.00)</f>
        <v/>
      </c>
      <c r="Q1701">
        <f>IF('Loan Tape (S&amp;P)'!V1701="Yes",
    1.20,
    1.00)</f>
        <v/>
      </c>
      <c r="T1701">
        <f>LET(
    payment_method,'Loan Tape (S&amp;P)'!P1701,
    occupancy,'Loan Tape (S&amp;P)'!N1701,
    maturity_date,'Loan Tape (S&amp;P)'!L1701,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02">
      <c r="J1702">
        <f>LET(
    lien,'Loan Tape (S&amp;P)'!Q1702,
    IF(lien="First",1.00,
        IF(lien="Second",1.50,
            1.70)))</f>
        <v/>
      </c>
      <c r="K1702">
        <f>LET(
    purpose,'Loan Tape (S&amp;P)'!R1702,
    IF(purpose="Purchase",1.00,
        IF(purpose="Remortgage",1.00,
            1.20)))</f>
        <v/>
      </c>
      <c r="L1702">
        <f>LET(
    arrears_months,'Loan Tape (S&amp;P)'!AN1702,
    IF(arrears_months=0,1.00,
    IF(arrears_months=1,3.00,
    IF(arrears_months=2,5.00,
    IF(arrears_months=3,8.00,
    IF(arrears_months=4,10.00,
    IF(arrears_months=5,12.00,15.00)))))))</f>
        <v/>
      </c>
      <c r="M1702">
        <f>LET(
    seasoning_years,DATEDIF('Loan Tape (S&amp;P)'!K1702,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02">
        <f>IF(AND('Loan Tape (S&amp;P)'!U1702="Yes",
        'Loan Tape (S&amp;P)'!T1702&lt;&gt;"Yes",
        DATEDIF('Loan Tape (S&amp;P)'!K1702, TODAY(), "M")&lt;18),
    1.10,
    1.00)</f>
        <v/>
      </c>
      <c r="O1702">
        <f>IF('Loan Tape (S&amp;P)'!T1702="Yes",
    1.35,
    1.00)</f>
        <v/>
      </c>
      <c r="P1702">
        <f>IF('Loan Tape (S&amp;P)'!S1702="Yes",
    1.15,
    1.00)</f>
        <v/>
      </c>
      <c r="Q1702">
        <f>IF('Loan Tape (S&amp;P)'!V1702="Yes",
    1.20,
    1.00)</f>
        <v/>
      </c>
      <c r="T1702">
        <f>LET(
    payment_method,'Loan Tape (S&amp;P)'!P1702,
    occupancy,'Loan Tape (S&amp;P)'!N1702,
    maturity_date,'Loan Tape (S&amp;P)'!L1702,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03">
      <c r="J1703">
        <f>LET(
    lien,'Loan Tape (S&amp;P)'!Q1703,
    IF(lien="First",1.00,
        IF(lien="Second",1.50,
            1.70)))</f>
        <v/>
      </c>
      <c r="K1703">
        <f>LET(
    purpose,'Loan Tape (S&amp;P)'!R1703,
    IF(purpose="Purchase",1.00,
        IF(purpose="Remortgage",1.00,
            1.20)))</f>
        <v/>
      </c>
      <c r="L1703">
        <f>LET(
    arrears_months,'Loan Tape (S&amp;P)'!AN1703,
    IF(arrears_months=0,1.00,
    IF(arrears_months=1,3.00,
    IF(arrears_months=2,5.00,
    IF(arrears_months=3,8.00,
    IF(arrears_months=4,10.00,
    IF(arrears_months=5,12.00,15.00)))))))</f>
        <v/>
      </c>
      <c r="M1703">
        <f>LET(
    seasoning_years,DATEDIF('Loan Tape (S&amp;P)'!K1703,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03">
        <f>IF(AND('Loan Tape (S&amp;P)'!U1703="Yes",
        'Loan Tape (S&amp;P)'!T1703&lt;&gt;"Yes",
        DATEDIF('Loan Tape (S&amp;P)'!K1703, TODAY(), "M")&lt;18),
    1.10,
    1.00)</f>
        <v/>
      </c>
      <c r="O1703">
        <f>IF('Loan Tape (S&amp;P)'!T1703="Yes",
    1.35,
    1.00)</f>
        <v/>
      </c>
      <c r="P1703">
        <f>IF('Loan Tape (S&amp;P)'!S1703="Yes",
    1.15,
    1.00)</f>
        <v/>
      </c>
      <c r="Q1703">
        <f>IF('Loan Tape (S&amp;P)'!V1703="Yes",
    1.20,
    1.00)</f>
        <v/>
      </c>
      <c r="T1703">
        <f>LET(
    payment_method,'Loan Tape (S&amp;P)'!P1703,
    occupancy,'Loan Tape (S&amp;P)'!N1703,
    maturity_date,'Loan Tape (S&amp;P)'!L1703,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04">
      <c r="J1704">
        <f>LET(
    lien,'Loan Tape (S&amp;P)'!Q1704,
    IF(lien="First",1.00,
        IF(lien="Second",1.50,
            1.70)))</f>
        <v/>
      </c>
      <c r="K1704">
        <f>LET(
    purpose,'Loan Tape (S&amp;P)'!R1704,
    IF(purpose="Purchase",1.00,
        IF(purpose="Remortgage",1.00,
            1.20)))</f>
        <v/>
      </c>
      <c r="L1704">
        <f>LET(
    arrears_months,'Loan Tape (S&amp;P)'!AN1704,
    IF(arrears_months=0,1.00,
    IF(arrears_months=1,3.00,
    IF(arrears_months=2,5.00,
    IF(arrears_months=3,8.00,
    IF(arrears_months=4,10.00,
    IF(arrears_months=5,12.00,15.00)))))))</f>
        <v/>
      </c>
      <c r="M1704">
        <f>LET(
    seasoning_years,DATEDIF('Loan Tape (S&amp;P)'!K1704,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04">
        <f>IF(AND('Loan Tape (S&amp;P)'!U1704="Yes",
        'Loan Tape (S&amp;P)'!T1704&lt;&gt;"Yes",
        DATEDIF('Loan Tape (S&amp;P)'!K1704, TODAY(), "M")&lt;18),
    1.10,
    1.00)</f>
        <v/>
      </c>
      <c r="O1704">
        <f>IF('Loan Tape (S&amp;P)'!T1704="Yes",
    1.35,
    1.00)</f>
        <v/>
      </c>
      <c r="P1704">
        <f>IF('Loan Tape (S&amp;P)'!S1704="Yes",
    1.15,
    1.00)</f>
        <v/>
      </c>
      <c r="Q1704">
        <f>IF('Loan Tape (S&amp;P)'!V1704="Yes",
    1.20,
    1.00)</f>
        <v/>
      </c>
      <c r="T1704">
        <f>LET(
    payment_method,'Loan Tape (S&amp;P)'!P1704,
    occupancy,'Loan Tape (S&amp;P)'!N1704,
    maturity_date,'Loan Tape (S&amp;P)'!L1704,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05">
      <c r="J1705">
        <f>LET(
    lien,'Loan Tape (S&amp;P)'!Q1705,
    IF(lien="First",1.00,
        IF(lien="Second",1.50,
            1.70)))</f>
        <v/>
      </c>
      <c r="K1705">
        <f>LET(
    purpose,'Loan Tape (S&amp;P)'!R1705,
    IF(purpose="Purchase",1.00,
        IF(purpose="Remortgage",1.00,
            1.20)))</f>
        <v/>
      </c>
      <c r="L1705">
        <f>LET(
    arrears_months,'Loan Tape (S&amp;P)'!AN1705,
    IF(arrears_months=0,1.00,
    IF(arrears_months=1,3.00,
    IF(arrears_months=2,5.00,
    IF(arrears_months=3,8.00,
    IF(arrears_months=4,10.00,
    IF(arrears_months=5,12.00,15.00)))))))</f>
        <v/>
      </c>
      <c r="M1705">
        <f>LET(
    seasoning_years,DATEDIF('Loan Tape (S&amp;P)'!K1705,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05">
        <f>IF(AND('Loan Tape (S&amp;P)'!U1705="Yes",
        'Loan Tape (S&amp;P)'!T1705&lt;&gt;"Yes",
        DATEDIF('Loan Tape (S&amp;P)'!K1705, TODAY(), "M")&lt;18),
    1.10,
    1.00)</f>
        <v/>
      </c>
      <c r="O1705">
        <f>IF('Loan Tape (S&amp;P)'!T1705="Yes",
    1.35,
    1.00)</f>
        <v/>
      </c>
      <c r="P1705">
        <f>IF('Loan Tape (S&amp;P)'!S1705="Yes",
    1.15,
    1.00)</f>
        <v/>
      </c>
      <c r="Q1705">
        <f>IF('Loan Tape (S&amp;P)'!V1705="Yes",
    1.20,
    1.00)</f>
        <v/>
      </c>
      <c r="T1705">
        <f>LET(
    payment_method,'Loan Tape (S&amp;P)'!P1705,
    occupancy,'Loan Tape (S&amp;P)'!N1705,
    maturity_date,'Loan Tape (S&amp;P)'!L1705,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06">
      <c r="J1706">
        <f>LET(
    lien,'Loan Tape (S&amp;P)'!Q1706,
    IF(lien="First",1.00,
        IF(lien="Second",1.50,
            1.70)))</f>
        <v/>
      </c>
      <c r="K1706">
        <f>LET(
    purpose,'Loan Tape (S&amp;P)'!R1706,
    IF(purpose="Purchase",1.00,
        IF(purpose="Remortgage",1.00,
            1.20)))</f>
        <v/>
      </c>
      <c r="L1706">
        <f>LET(
    arrears_months,'Loan Tape (S&amp;P)'!AN1706,
    IF(arrears_months=0,1.00,
    IF(arrears_months=1,3.00,
    IF(arrears_months=2,5.00,
    IF(arrears_months=3,8.00,
    IF(arrears_months=4,10.00,
    IF(arrears_months=5,12.00,15.00)))))))</f>
        <v/>
      </c>
      <c r="M1706">
        <f>LET(
    seasoning_years,DATEDIF('Loan Tape (S&amp;P)'!K1706,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06">
        <f>IF(AND('Loan Tape (S&amp;P)'!U1706="Yes",
        'Loan Tape (S&amp;P)'!T1706&lt;&gt;"Yes",
        DATEDIF('Loan Tape (S&amp;P)'!K1706, TODAY(), "M")&lt;18),
    1.10,
    1.00)</f>
        <v/>
      </c>
      <c r="O1706">
        <f>IF('Loan Tape (S&amp;P)'!T1706="Yes",
    1.35,
    1.00)</f>
        <v/>
      </c>
      <c r="P1706">
        <f>IF('Loan Tape (S&amp;P)'!S1706="Yes",
    1.15,
    1.00)</f>
        <v/>
      </c>
      <c r="Q1706">
        <f>IF('Loan Tape (S&amp;P)'!V1706="Yes",
    1.20,
    1.00)</f>
        <v/>
      </c>
      <c r="T1706">
        <f>LET(
    payment_method,'Loan Tape (S&amp;P)'!P1706,
    occupancy,'Loan Tape (S&amp;P)'!N1706,
    maturity_date,'Loan Tape (S&amp;P)'!L1706,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07">
      <c r="J1707">
        <f>LET(
    lien,'Loan Tape (S&amp;P)'!Q1707,
    IF(lien="First",1.00,
        IF(lien="Second",1.50,
            1.70)))</f>
        <v/>
      </c>
      <c r="K1707">
        <f>LET(
    purpose,'Loan Tape (S&amp;P)'!R1707,
    IF(purpose="Purchase",1.00,
        IF(purpose="Remortgage",1.00,
            1.20)))</f>
        <v/>
      </c>
      <c r="L1707">
        <f>LET(
    arrears_months,'Loan Tape (S&amp;P)'!AN1707,
    IF(arrears_months=0,1.00,
    IF(arrears_months=1,3.00,
    IF(arrears_months=2,5.00,
    IF(arrears_months=3,8.00,
    IF(arrears_months=4,10.00,
    IF(arrears_months=5,12.00,15.00)))))))</f>
        <v/>
      </c>
      <c r="M1707">
        <f>LET(
    seasoning_years,DATEDIF('Loan Tape (S&amp;P)'!K1707,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07">
        <f>IF(AND('Loan Tape (S&amp;P)'!U1707="Yes",
        'Loan Tape (S&amp;P)'!T1707&lt;&gt;"Yes",
        DATEDIF('Loan Tape (S&amp;P)'!K1707, TODAY(), "M")&lt;18),
    1.10,
    1.00)</f>
        <v/>
      </c>
      <c r="O1707">
        <f>IF('Loan Tape (S&amp;P)'!T1707="Yes",
    1.35,
    1.00)</f>
        <v/>
      </c>
      <c r="P1707">
        <f>IF('Loan Tape (S&amp;P)'!S1707="Yes",
    1.15,
    1.00)</f>
        <v/>
      </c>
      <c r="Q1707">
        <f>IF('Loan Tape (S&amp;P)'!V1707="Yes",
    1.20,
    1.00)</f>
        <v/>
      </c>
      <c r="T1707">
        <f>LET(
    payment_method,'Loan Tape (S&amp;P)'!P1707,
    occupancy,'Loan Tape (S&amp;P)'!N1707,
    maturity_date,'Loan Tape (S&amp;P)'!L1707,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08">
      <c r="J1708">
        <f>LET(
    lien,'Loan Tape (S&amp;P)'!Q1708,
    IF(lien="First",1.00,
        IF(lien="Second",1.50,
            1.70)))</f>
        <v/>
      </c>
      <c r="K1708">
        <f>LET(
    purpose,'Loan Tape (S&amp;P)'!R1708,
    IF(purpose="Purchase",1.00,
        IF(purpose="Remortgage",1.00,
            1.20)))</f>
        <v/>
      </c>
      <c r="L1708">
        <f>LET(
    arrears_months,'Loan Tape (S&amp;P)'!AN1708,
    IF(arrears_months=0,1.00,
    IF(arrears_months=1,3.00,
    IF(arrears_months=2,5.00,
    IF(arrears_months=3,8.00,
    IF(arrears_months=4,10.00,
    IF(arrears_months=5,12.00,15.00)))))))</f>
        <v/>
      </c>
      <c r="M1708">
        <f>LET(
    seasoning_years,DATEDIF('Loan Tape (S&amp;P)'!K1708,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08">
        <f>IF(AND('Loan Tape (S&amp;P)'!U1708="Yes",
        'Loan Tape (S&amp;P)'!T1708&lt;&gt;"Yes",
        DATEDIF('Loan Tape (S&amp;P)'!K1708, TODAY(), "M")&lt;18),
    1.10,
    1.00)</f>
        <v/>
      </c>
      <c r="O1708">
        <f>IF('Loan Tape (S&amp;P)'!T1708="Yes",
    1.35,
    1.00)</f>
        <v/>
      </c>
      <c r="P1708">
        <f>IF('Loan Tape (S&amp;P)'!S1708="Yes",
    1.15,
    1.00)</f>
        <v/>
      </c>
      <c r="Q1708">
        <f>IF('Loan Tape (S&amp;P)'!V1708="Yes",
    1.20,
    1.00)</f>
        <v/>
      </c>
      <c r="T1708">
        <f>LET(
    payment_method,'Loan Tape (S&amp;P)'!P1708,
    occupancy,'Loan Tape (S&amp;P)'!N1708,
    maturity_date,'Loan Tape (S&amp;P)'!L1708,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09">
      <c r="J1709">
        <f>LET(
    lien,'Loan Tape (S&amp;P)'!Q1709,
    IF(lien="First",1.00,
        IF(lien="Second",1.50,
            1.70)))</f>
        <v/>
      </c>
      <c r="K1709">
        <f>LET(
    purpose,'Loan Tape (S&amp;P)'!R1709,
    IF(purpose="Purchase",1.00,
        IF(purpose="Remortgage",1.00,
            1.20)))</f>
        <v/>
      </c>
      <c r="L1709">
        <f>LET(
    arrears_months,'Loan Tape (S&amp;P)'!AN1709,
    IF(arrears_months=0,1.00,
    IF(arrears_months=1,3.00,
    IF(arrears_months=2,5.00,
    IF(arrears_months=3,8.00,
    IF(arrears_months=4,10.00,
    IF(arrears_months=5,12.00,15.00)))))))</f>
        <v/>
      </c>
      <c r="M1709">
        <f>LET(
    seasoning_years,DATEDIF('Loan Tape (S&amp;P)'!K1709,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09">
        <f>IF(AND('Loan Tape (S&amp;P)'!U1709="Yes",
        'Loan Tape (S&amp;P)'!T1709&lt;&gt;"Yes",
        DATEDIF('Loan Tape (S&amp;P)'!K1709, TODAY(), "M")&lt;18),
    1.10,
    1.00)</f>
        <v/>
      </c>
      <c r="O1709">
        <f>IF('Loan Tape (S&amp;P)'!T1709="Yes",
    1.35,
    1.00)</f>
        <v/>
      </c>
      <c r="P1709">
        <f>IF('Loan Tape (S&amp;P)'!S1709="Yes",
    1.15,
    1.00)</f>
        <v/>
      </c>
      <c r="Q1709">
        <f>IF('Loan Tape (S&amp;P)'!V1709="Yes",
    1.20,
    1.00)</f>
        <v/>
      </c>
      <c r="T1709">
        <f>LET(
    payment_method,'Loan Tape (S&amp;P)'!P1709,
    occupancy,'Loan Tape (S&amp;P)'!N1709,
    maturity_date,'Loan Tape (S&amp;P)'!L1709,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10">
      <c r="J1710">
        <f>LET(
    lien,'Loan Tape (S&amp;P)'!Q1710,
    IF(lien="First",1.00,
        IF(lien="Second",1.50,
            1.70)))</f>
        <v/>
      </c>
      <c r="K1710">
        <f>LET(
    purpose,'Loan Tape (S&amp;P)'!R1710,
    IF(purpose="Purchase",1.00,
        IF(purpose="Remortgage",1.00,
            1.20)))</f>
        <v/>
      </c>
      <c r="L1710">
        <f>LET(
    arrears_months,'Loan Tape (S&amp;P)'!AN1710,
    IF(arrears_months=0,1.00,
    IF(arrears_months=1,3.00,
    IF(arrears_months=2,5.00,
    IF(arrears_months=3,8.00,
    IF(arrears_months=4,10.00,
    IF(arrears_months=5,12.00,15.00)))))))</f>
        <v/>
      </c>
      <c r="M1710">
        <f>LET(
    seasoning_years,DATEDIF('Loan Tape (S&amp;P)'!K1710,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10">
        <f>IF(AND('Loan Tape (S&amp;P)'!U1710="Yes",
        'Loan Tape (S&amp;P)'!T1710&lt;&gt;"Yes",
        DATEDIF('Loan Tape (S&amp;P)'!K1710, TODAY(), "M")&lt;18),
    1.10,
    1.00)</f>
        <v/>
      </c>
      <c r="O1710">
        <f>IF('Loan Tape (S&amp;P)'!T1710="Yes",
    1.35,
    1.00)</f>
        <v/>
      </c>
      <c r="P1710">
        <f>IF('Loan Tape (S&amp;P)'!S1710="Yes",
    1.15,
    1.00)</f>
        <v/>
      </c>
      <c r="Q1710">
        <f>IF('Loan Tape (S&amp;P)'!V1710="Yes",
    1.20,
    1.00)</f>
        <v/>
      </c>
      <c r="T1710">
        <f>LET(
    payment_method,'Loan Tape (S&amp;P)'!P1710,
    occupancy,'Loan Tape (S&amp;P)'!N1710,
    maturity_date,'Loan Tape (S&amp;P)'!L1710,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11">
      <c r="J1711">
        <f>LET(
    lien,'Loan Tape (S&amp;P)'!Q1711,
    IF(lien="First",1.00,
        IF(lien="Second",1.50,
            1.70)))</f>
        <v/>
      </c>
      <c r="K1711">
        <f>LET(
    purpose,'Loan Tape (S&amp;P)'!R1711,
    IF(purpose="Purchase",1.00,
        IF(purpose="Remortgage",1.00,
            1.20)))</f>
        <v/>
      </c>
      <c r="L1711">
        <f>LET(
    arrears_months,'Loan Tape (S&amp;P)'!AN1711,
    IF(arrears_months=0,1.00,
    IF(arrears_months=1,3.00,
    IF(arrears_months=2,5.00,
    IF(arrears_months=3,8.00,
    IF(arrears_months=4,10.00,
    IF(arrears_months=5,12.00,15.00)))))))</f>
        <v/>
      </c>
      <c r="M1711">
        <f>LET(
    seasoning_years,DATEDIF('Loan Tape (S&amp;P)'!K1711,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11">
        <f>IF(AND('Loan Tape (S&amp;P)'!U1711="Yes",
        'Loan Tape (S&amp;P)'!T1711&lt;&gt;"Yes",
        DATEDIF('Loan Tape (S&amp;P)'!K1711, TODAY(), "M")&lt;18),
    1.10,
    1.00)</f>
        <v/>
      </c>
      <c r="O1711">
        <f>IF('Loan Tape (S&amp;P)'!T1711="Yes",
    1.35,
    1.00)</f>
        <v/>
      </c>
      <c r="P1711">
        <f>IF('Loan Tape (S&amp;P)'!S1711="Yes",
    1.15,
    1.00)</f>
        <v/>
      </c>
      <c r="Q1711">
        <f>IF('Loan Tape (S&amp;P)'!V1711="Yes",
    1.20,
    1.00)</f>
        <v/>
      </c>
      <c r="T1711">
        <f>LET(
    payment_method,'Loan Tape (S&amp;P)'!P1711,
    occupancy,'Loan Tape (S&amp;P)'!N1711,
    maturity_date,'Loan Tape (S&amp;P)'!L1711,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12">
      <c r="J1712">
        <f>LET(
    lien,'Loan Tape (S&amp;P)'!Q1712,
    IF(lien="First",1.00,
        IF(lien="Second",1.50,
            1.70)))</f>
        <v/>
      </c>
      <c r="K1712">
        <f>LET(
    purpose,'Loan Tape (S&amp;P)'!R1712,
    IF(purpose="Purchase",1.00,
        IF(purpose="Remortgage",1.00,
            1.20)))</f>
        <v/>
      </c>
      <c r="L1712">
        <f>LET(
    arrears_months,'Loan Tape (S&amp;P)'!AN1712,
    IF(arrears_months=0,1.00,
    IF(arrears_months=1,3.00,
    IF(arrears_months=2,5.00,
    IF(arrears_months=3,8.00,
    IF(arrears_months=4,10.00,
    IF(arrears_months=5,12.00,15.00)))))))</f>
        <v/>
      </c>
      <c r="M1712">
        <f>LET(
    seasoning_years,DATEDIF('Loan Tape (S&amp;P)'!K1712,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12">
        <f>IF(AND('Loan Tape (S&amp;P)'!U1712="Yes",
        'Loan Tape (S&amp;P)'!T1712&lt;&gt;"Yes",
        DATEDIF('Loan Tape (S&amp;P)'!K1712, TODAY(), "M")&lt;18),
    1.10,
    1.00)</f>
        <v/>
      </c>
      <c r="O1712">
        <f>IF('Loan Tape (S&amp;P)'!T1712="Yes",
    1.35,
    1.00)</f>
        <v/>
      </c>
      <c r="P1712">
        <f>IF('Loan Tape (S&amp;P)'!S1712="Yes",
    1.15,
    1.00)</f>
        <v/>
      </c>
      <c r="Q1712">
        <f>IF('Loan Tape (S&amp;P)'!V1712="Yes",
    1.20,
    1.00)</f>
        <v/>
      </c>
      <c r="T1712">
        <f>LET(
    payment_method,'Loan Tape (S&amp;P)'!P1712,
    occupancy,'Loan Tape (S&amp;P)'!N1712,
    maturity_date,'Loan Tape (S&amp;P)'!L1712,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13">
      <c r="J1713">
        <f>LET(
    lien,'Loan Tape (S&amp;P)'!Q1713,
    IF(lien="First",1.00,
        IF(lien="Second",1.50,
            1.70)))</f>
        <v/>
      </c>
      <c r="K1713">
        <f>LET(
    purpose,'Loan Tape (S&amp;P)'!R1713,
    IF(purpose="Purchase",1.00,
        IF(purpose="Remortgage",1.00,
            1.20)))</f>
        <v/>
      </c>
      <c r="L1713">
        <f>LET(
    arrears_months,'Loan Tape (S&amp;P)'!AN1713,
    IF(arrears_months=0,1.00,
    IF(arrears_months=1,3.00,
    IF(arrears_months=2,5.00,
    IF(arrears_months=3,8.00,
    IF(arrears_months=4,10.00,
    IF(arrears_months=5,12.00,15.00)))))))</f>
        <v/>
      </c>
      <c r="M1713">
        <f>LET(
    seasoning_years,DATEDIF('Loan Tape (S&amp;P)'!K1713,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13">
        <f>IF(AND('Loan Tape (S&amp;P)'!U1713="Yes",
        'Loan Tape (S&amp;P)'!T1713&lt;&gt;"Yes",
        DATEDIF('Loan Tape (S&amp;P)'!K1713, TODAY(), "M")&lt;18),
    1.10,
    1.00)</f>
        <v/>
      </c>
      <c r="O1713">
        <f>IF('Loan Tape (S&amp;P)'!T1713="Yes",
    1.35,
    1.00)</f>
        <v/>
      </c>
      <c r="P1713">
        <f>IF('Loan Tape (S&amp;P)'!S1713="Yes",
    1.15,
    1.00)</f>
        <v/>
      </c>
      <c r="Q1713">
        <f>IF('Loan Tape (S&amp;P)'!V1713="Yes",
    1.20,
    1.00)</f>
        <v/>
      </c>
      <c r="T1713">
        <f>LET(
    payment_method,'Loan Tape (S&amp;P)'!P1713,
    occupancy,'Loan Tape (S&amp;P)'!N1713,
    maturity_date,'Loan Tape (S&amp;P)'!L1713,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14">
      <c r="J1714">
        <f>LET(
    lien,'Loan Tape (S&amp;P)'!Q1714,
    IF(lien="First",1.00,
        IF(lien="Second",1.50,
            1.70)))</f>
        <v/>
      </c>
      <c r="K1714">
        <f>LET(
    purpose,'Loan Tape (S&amp;P)'!R1714,
    IF(purpose="Purchase",1.00,
        IF(purpose="Remortgage",1.00,
            1.20)))</f>
        <v/>
      </c>
      <c r="L1714">
        <f>LET(
    arrears_months,'Loan Tape (S&amp;P)'!AN1714,
    IF(arrears_months=0,1.00,
    IF(arrears_months=1,3.00,
    IF(arrears_months=2,5.00,
    IF(arrears_months=3,8.00,
    IF(arrears_months=4,10.00,
    IF(arrears_months=5,12.00,15.00)))))))</f>
        <v/>
      </c>
      <c r="M1714">
        <f>LET(
    seasoning_years,DATEDIF('Loan Tape (S&amp;P)'!K1714,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14">
        <f>IF(AND('Loan Tape (S&amp;P)'!U1714="Yes",
        'Loan Tape (S&amp;P)'!T1714&lt;&gt;"Yes",
        DATEDIF('Loan Tape (S&amp;P)'!K1714, TODAY(), "M")&lt;18),
    1.10,
    1.00)</f>
        <v/>
      </c>
      <c r="O1714">
        <f>IF('Loan Tape (S&amp;P)'!T1714="Yes",
    1.35,
    1.00)</f>
        <v/>
      </c>
      <c r="P1714">
        <f>IF('Loan Tape (S&amp;P)'!S1714="Yes",
    1.15,
    1.00)</f>
        <v/>
      </c>
      <c r="Q1714">
        <f>IF('Loan Tape (S&amp;P)'!V1714="Yes",
    1.20,
    1.00)</f>
        <v/>
      </c>
      <c r="T1714">
        <f>LET(
    payment_method,'Loan Tape (S&amp;P)'!P1714,
    occupancy,'Loan Tape (S&amp;P)'!N1714,
    maturity_date,'Loan Tape (S&amp;P)'!L1714,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15">
      <c r="J1715">
        <f>LET(
    lien,'Loan Tape (S&amp;P)'!Q1715,
    IF(lien="First",1.00,
        IF(lien="Second",1.50,
            1.70)))</f>
        <v/>
      </c>
      <c r="K1715">
        <f>LET(
    purpose,'Loan Tape (S&amp;P)'!R1715,
    IF(purpose="Purchase",1.00,
        IF(purpose="Remortgage",1.00,
            1.20)))</f>
        <v/>
      </c>
      <c r="L1715">
        <f>LET(
    arrears_months,'Loan Tape (S&amp;P)'!AN1715,
    IF(arrears_months=0,1.00,
    IF(arrears_months=1,3.00,
    IF(arrears_months=2,5.00,
    IF(arrears_months=3,8.00,
    IF(arrears_months=4,10.00,
    IF(arrears_months=5,12.00,15.00)))))))</f>
        <v/>
      </c>
      <c r="M1715">
        <f>LET(
    seasoning_years,DATEDIF('Loan Tape (S&amp;P)'!K1715,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15">
        <f>IF(AND('Loan Tape (S&amp;P)'!U1715="Yes",
        'Loan Tape (S&amp;P)'!T1715&lt;&gt;"Yes",
        DATEDIF('Loan Tape (S&amp;P)'!K1715, TODAY(), "M")&lt;18),
    1.10,
    1.00)</f>
        <v/>
      </c>
      <c r="O1715">
        <f>IF('Loan Tape (S&amp;P)'!T1715="Yes",
    1.35,
    1.00)</f>
        <v/>
      </c>
      <c r="P1715">
        <f>IF('Loan Tape (S&amp;P)'!S1715="Yes",
    1.15,
    1.00)</f>
        <v/>
      </c>
      <c r="Q1715">
        <f>IF('Loan Tape (S&amp;P)'!V1715="Yes",
    1.20,
    1.00)</f>
        <v/>
      </c>
      <c r="T1715">
        <f>LET(
    payment_method,'Loan Tape (S&amp;P)'!P1715,
    occupancy,'Loan Tape (S&amp;P)'!N1715,
    maturity_date,'Loan Tape (S&amp;P)'!L1715,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16">
      <c r="J1716">
        <f>LET(
    lien,'Loan Tape (S&amp;P)'!Q1716,
    IF(lien="First",1.00,
        IF(lien="Second",1.50,
            1.70)))</f>
        <v/>
      </c>
      <c r="K1716">
        <f>LET(
    purpose,'Loan Tape (S&amp;P)'!R1716,
    IF(purpose="Purchase",1.00,
        IF(purpose="Remortgage",1.00,
            1.20)))</f>
        <v/>
      </c>
      <c r="L1716">
        <f>LET(
    arrears_months,'Loan Tape (S&amp;P)'!AN1716,
    IF(arrears_months=0,1.00,
    IF(arrears_months=1,3.00,
    IF(arrears_months=2,5.00,
    IF(arrears_months=3,8.00,
    IF(arrears_months=4,10.00,
    IF(arrears_months=5,12.00,15.00)))))))</f>
        <v/>
      </c>
      <c r="M1716">
        <f>LET(
    seasoning_years,DATEDIF('Loan Tape (S&amp;P)'!K1716,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16">
        <f>IF(AND('Loan Tape (S&amp;P)'!U1716="Yes",
        'Loan Tape (S&amp;P)'!T1716&lt;&gt;"Yes",
        DATEDIF('Loan Tape (S&amp;P)'!K1716, TODAY(), "M")&lt;18),
    1.10,
    1.00)</f>
        <v/>
      </c>
      <c r="O1716">
        <f>IF('Loan Tape (S&amp;P)'!T1716="Yes",
    1.35,
    1.00)</f>
        <v/>
      </c>
      <c r="P1716">
        <f>IF('Loan Tape (S&amp;P)'!S1716="Yes",
    1.15,
    1.00)</f>
        <v/>
      </c>
      <c r="Q1716">
        <f>IF('Loan Tape (S&amp;P)'!V1716="Yes",
    1.20,
    1.00)</f>
        <v/>
      </c>
      <c r="T1716">
        <f>LET(
    payment_method,'Loan Tape (S&amp;P)'!P1716,
    occupancy,'Loan Tape (S&amp;P)'!N1716,
    maturity_date,'Loan Tape (S&amp;P)'!L1716,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17">
      <c r="J1717">
        <f>LET(
    lien,'Loan Tape (S&amp;P)'!Q1717,
    IF(lien="First",1.00,
        IF(lien="Second",1.50,
            1.70)))</f>
        <v/>
      </c>
      <c r="K1717">
        <f>LET(
    purpose,'Loan Tape (S&amp;P)'!R1717,
    IF(purpose="Purchase",1.00,
        IF(purpose="Remortgage",1.00,
            1.20)))</f>
        <v/>
      </c>
      <c r="L1717">
        <f>LET(
    arrears_months,'Loan Tape (S&amp;P)'!AN1717,
    IF(arrears_months=0,1.00,
    IF(arrears_months=1,3.00,
    IF(arrears_months=2,5.00,
    IF(arrears_months=3,8.00,
    IF(arrears_months=4,10.00,
    IF(arrears_months=5,12.00,15.00)))))))</f>
        <v/>
      </c>
      <c r="M1717">
        <f>LET(
    seasoning_years,DATEDIF('Loan Tape (S&amp;P)'!K1717,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17">
        <f>IF(AND('Loan Tape (S&amp;P)'!U1717="Yes",
        'Loan Tape (S&amp;P)'!T1717&lt;&gt;"Yes",
        DATEDIF('Loan Tape (S&amp;P)'!K1717, TODAY(), "M")&lt;18),
    1.10,
    1.00)</f>
        <v/>
      </c>
      <c r="O1717">
        <f>IF('Loan Tape (S&amp;P)'!T1717="Yes",
    1.35,
    1.00)</f>
        <v/>
      </c>
      <c r="P1717">
        <f>IF('Loan Tape (S&amp;P)'!S1717="Yes",
    1.15,
    1.00)</f>
        <v/>
      </c>
      <c r="Q1717">
        <f>IF('Loan Tape (S&amp;P)'!V1717="Yes",
    1.20,
    1.00)</f>
        <v/>
      </c>
      <c r="T1717">
        <f>LET(
    payment_method,'Loan Tape (S&amp;P)'!P1717,
    occupancy,'Loan Tape (S&amp;P)'!N1717,
    maturity_date,'Loan Tape (S&amp;P)'!L1717,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18">
      <c r="J1718">
        <f>LET(
    lien,'Loan Tape (S&amp;P)'!Q1718,
    IF(lien="First",1.00,
        IF(lien="Second",1.50,
            1.70)))</f>
        <v/>
      </c>
      <c r="K1718">
        <f>LET(
    purpose,'Loan Tape (S&amp;P)'!R1718,
    IF(purpose="Purchase",1.00,
        IF(purpose="Remortgage",1.00,
            1.20)))</f>
        <v/>
      </c>
      <c r="L1718">
        <f>LET(
    arrears_months,'Loan Tape (S&amp;P)'!AN1718,
    IF(arrears_months=0,1.00,
    IF(arrears_months=1,3.00,
    IF(arrears_months=2,5.00,
    IF(arrears_months=3,8.00,
    IF(arrears_months=4,10.00,
    IF(arrears_months=5,12.00,15.00)))))))</f>
        <v/>
      </c>
      <c r="M1718">
        <f>LET(
    seasoning_years,DATEDIF('Loan Tape (S&amp;P)'!K1718,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18">
        <f>IF(AND('Loan Tape (S&amp;P)'!U1718="Yes",
        'Loan Tape (S&amp;P)'!T1718&lt;&gt;"Yes",
        DATEDIF('Loan Tape (S&amp;P)'!K1718, TODAY(), "M")&lt;18),
    1.10,
    1.00)</f>
        <v/>
      </c>
      <c r="O1718">
        <f>IF('Loan Tape (S&amp;P)'!T1718="Yes",
    1.35,
    1.00)</f>
        <v/>
      </c>
      <c r="P1718">
        <f>IF('Loan Tape (S&amp;P)'!S1718="Yes",
    1.15,
    1.00)</f>
        <v/>
      </c>
      <c r="Q1718">
        <f>IF('Loan Tape (S&amp;P)'!V1718="Yes",
    1.20,
    1.00)</f>
        <v/>
      </c>
      <c r="T1718">
        <f>LET(
    payment_method,'Loan Tape (S&amp;P)'!P1718,
    occupancy,'Loan Tape (S&amp;P)'!N1718,
    maturity_date,'Loan Tape (S&amp;P)'!L1718,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19">
      <c r="J1719">
        <f>LET(
    lien,'Loan Tape (S&amp;P)'!Q1719,
    IF(lien="First",1.00,
        IF(lien="Second",1.50,
            1.70)))</f>
        <v/>
      </c>
      <c r="K1719">
        <f>LET(
    purpose,'Loan Tape (S&amp;P)'!R1719,
    IF(purpose="Purchase",1.00,
        IF(purpose="Remortgage",1.00,
            1.20)))</f>
        <v/>
      </c>
      <c r="L1719">
        <f>LET(
    arrears_months,'Loan Tape (S&amp;P)'!AN1719,
    IF(arrears_months=0,1.00,
    IF(arrears_months=1,3.00,
    IF(arrears_months=2,5.00,
    IF(arrears_months=3,8.00,
    IF(arrears_months=4,10.00,
    IF(arrears_months=5,12.00,15.00)))))))</f>
        <v/>
      </c>
      <c r="M1719">
        <f>LET(
    seasoning_years,DATEDIF('Loan Tape (S&amp;P)'!K1719,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19">
        <f>IF(AND('Loan Tape (S&amp;P)'!U1719="Yes",
        'Loan Tape (S&amp;P)'!T1719&lt;&gt;"Yes",
        DATEDIF('Loan Tape (S&amp;P)'!K1719, TODAY(), "M")&lt;18),
    1.10,
    1.00)</f>
        <v/>
      </c>
      <c r="O1719">
        <f>IF('Loan Tape (S&amp;P)'!T1719="Yes",
    1.35,
    1.00)</f>
        <v/>
      </c>
      <c r="P1719">
        <f>IF('Loan Tape (S&amp;P)'!S1719="Yes",
    1.15,
    1.00)</f>
        <v/>
      </c>
      <c r="Q1719">
        <f>IF('Loan Tape (S&amp;P)'!V1719="Yes",
    1.20,
    1.00)</f>
        <v/>
      </c>
      <c r="T1719">
        <f>LET(
    payment_method,'Loan Tape (S&amp;P)'!P1719,
    occupancy,'Loan Tape (S&amp;P)'!N1719,
    maturity_date,'Loan Tape (S&amp;P)'!L1719,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20">
      <c r="J1720">
        <f>LET(
    lien,'Loan Tape (S&amp;P)'!Q1720,
    IF(lien="First",1.00,
        IF(lien="Second",1.50,
            1.70)))</f>
        <v/>
      </c>
      <c r="K1720">
        <f>LET(
    purpose,'Loan Tape (S&amp;P)'!R1720,
    IF(purpose="Purchase",1.00,
        IF(purpose="Remortgage",1.00,
            1.20)))</f>
        <v/>
      </c>
      <c r="L1720">
        <f>LET(
    arrears_months,'Loan Tape (S&amp;P)'!AN1720,
    IF(arrears_months=0,1.00,
    IF(arrears_months=1,3.00,
    IF(arrears_months=2,5.00,
    IF(arrears_months=3,8.00,
    IF(arrears_months=4,10.00,
    IF(arrears_months=5,12.00,15.00)))))))</f>
        <v/>
      </c>
      <c r="M1720">
        <f>LET(
    seasoning_years,DATEDIF('Loan Tape (S&amp;P)'!K1720,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20">
        <f>IF(AND('Loan Tape (S&amp;P)'!U1720="Yes",
        'Loan Tape (S&amp;P)'!T1720&lt;&gt;"Yes",
        DATEDIF('Loan Tape (S&amp;P)'!K1720, TODAY(), "M")&lt;18),
    1.10,
    1.00)</f>
        <v/>
      </c>
      <c r="O1720">
        <f>IF('Loan Tape (S&amp;P)'!T1720="Yes",
    1.35,
    1.00)</f>
        <v/>
      </c>
      <c r="P1720">
        <f>IF('Loan Tape (S&amp;P)'!S1720="Yes",
    1.15,
    1.00)</f>
        <v/>
      </c>
      <c r="Q1720">
        <f>IF('Loan Tape (S&amp;P)'!V1720="Yes",
    1.20,
    1.00)</f>
        <v/>
      </c>
      <c r="T1720">
        <f>LET(
    payment_method,'Loan Tape (S&amp;P)'!P1720,
    occupancy,'Loan Tape (S&amp;P)'!N1720,
    maturity_date,'Loan Tape (S&amp;P)'!L1720,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21">
      <c r="J1721">
        <f>LET(
    lien,'Loan Tape (S&amp;P)'!Q1721,
    IF(lien="First",1.00,
        IF(lien="Second",1.50,
            1.70)))</f>
        <v/>
      </c>
      <c r="K1721">
        <f>LET(
    purpose,'Loan Tape (S&amp;P)'!R1721,
    IF(purpose="Purchase",1.00,
        IF(purpose="Remortgage",1.00,
            1.20)))</f>
        <v/>
      </c>
      <c r="L1721">
        <f>LET(
    arrears_months,'Loan Tape (S&amp;P)'!AN1721,
    IF(arrears_months=0,1.00,
    IF(arrears_months=1,3.00,
    IF(arrears_months=2,5.00,
    IF(arrears_months=3,8.00,
    IF(arrears_months=4,10.00,
    IF(arrears_months=5,12.00,15.00)))))))</f>
        <v/>
      </c>
      <c r="M1721">
        <f>LET(
    seasoning_years,DATEDIF('Loan Tape (S&amp;P)'!K1721,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21">
        <f>IF(AND('Loan Tape (S&amp;P)'!U1721="Yes",
        'Loan Tape (S&amp;P)'!T1721&lt;&gt;"Yes",
        DATEDIF('Loan Tape (S&amp;P)'!K1721, TODAY(), "M")&lt;18),
    1.10,
    1.00)</f>
        <v/>
      </c>
      <c r="O1721">
        <f>IF('Loan Tape (S&amp;P)'!T1721="Yes",
    1.35,
    1.00)</f>
        <v/>
      </c>
      <c r="P1721">
        <f>IF('Loan Tape (S&amp;P)'!S1721="Yes",
    1.15,
    1.00)</f>
        <v/>
      </c>
      <c r="Q1721">
        <f>IF('Loan Tape (S&amp;P)'!V1721="Yes",
    1.20,
    1.00)</f>
        <v/>
      </c>
      <c r="T1721">
        <f>LET(
    payment_method,'Loan Tape (S&amp;P)'!P1721,
    occupancy,'Loan Tape (S&amp;P)'!N1721,
    maturity_date,'Loan Tape (S&amp;P)'!L1721,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22">
      <c r="J1722">
        <f>LET(
    lien,'Loan Tape (S&amp;P)'!Q1722,
    IF(lien="First",1.00,
        IF(lien="Second",1.50,
            1.70)))</f>
        <v/>
      </c>
      <c r="K1722">
        <f>LET(
    purpose,'Loan Tape (S&amp;P)'!R1722,
    IF(purpose="Purchase",1.00,
        IF(purpose="Remortgage",1.00,
            1.20)))</f>
        <v/>
      </c>
      <c r="L1722">
        <f>LET(
    arrears_months,'Loan Tape (S&amp;P)'!AN1722,
    IF(arrears_months=0,1.00,
    IF(arrears_months=1,3.00,
    IF(arrears_months=2,5.00,
    IF(arrears_months=3,8.00,
    IF(arrears_months=4,10.00,
    IF(arrears_months=5,12.00,15.00)))))))</f>
        <v/>
      </c>
      <c r="M1722">
        <f>LET(
    seasoning_years,DATEDIF('Loan Tape (S&amp;P)'!K1722,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22">
        <f>IF(AND('Loan Tape (S&amp;P)'!U1722="Yes",
        'Loan Tape (S&amp;P)'!T1722&lt;&gt;"Yes",
        DATEDIF('Loan Tape (S&amp;P)'!K1722, TODAY(), "M")&lt;18),
    1.10,
    1.00)</f>
        <v/>
      </c>
      <c r="O1722">
        <f>IF('Loan Tape (S&amp;P)'!T1722="Yes",
    1.35,
    1.00)</f>
        <v/>
      </c>
      <c r="P1722">
        <f>IF('Loan Tape (S&amp;P)'!S1722="Yes",
    1.15,
    1.00)</f>
        <v/>
      </c>
      <c r="Q1722">
        <f>IF('Loan Tape (S&amp;P)'!V1722="Yes",
    1.20,
    1.00)</f>
        <v/>
      </c>
      <c r="T1722">
        <f>LET(
    payment_method,'Loan Tape (S&amp;P)'!P1722,
    occupancy,'Loan Tape (S&amp;P)'!N1722,
    maturity_date,'Loan Tape (S&amp;P)'!L1722,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23">
      <c r="J1723">
        <f>LET(
    lien,'Loan Tape (S&amp;P)'!Q1723,
    IF(lien="First",1.00,
        IF(lien="Second",1.50,
            1.70)))</f>
        <v/>
      </c>
      <c r="K1723">
        <f>LET(
    purpose,'Loan Tape (S&amp;P)'!R1723,
    IF(purpose="Purchase",1.00,
        IF(purpose="Remortgage",1.00,
            1.20)))</f>
        <v/>
      </c>
      <c r="L1723">
        <f>LET(
    arrears_months,'Loan Tape (S&amp;P)'!AN1723,
    IF(arrears_months=0,1.00,
    IF(arrears_months=1,3.00,
    IF(arrears_months=2,5.00,
    IF(arrears_months=3,8.00,
    IF(arrears_months=4,10.00,
    IF(arrears_months=5,12.00,15.00)))))))</f>
        <v/>
      </c>
      <c r="M1723">
        <f>LET(
    seasoning_years,DATEDIF('Loan Tape (S&amp;P)'!K1723,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23">
        <f>IF(AND('Loan Tape (S&amp;P)'!U1723="Yes",
        'Loan Tape (S&amp;P)'!T1723&lt;&gt;"Yes",
        DATEDIF('Loan Tape (S&amp;P)'!K1723, TODAY(), "M")&lt;18),
    1.10,
    1.00)</f>
        <v/>
      </c>
      <c r="O1723">
        <f>IF('Loan Tape (S&amp;P)'!T1723="Yes",
    1.35,
    1.00)</f>
        <v/>
      </c>
      <c r="P1723">
        <f>IF('Loan Tape (S&amp;P)'!S1723="Yes",
    1.15,
    1.00)</f>
        <v/>
      </c>
      <c r="Q1723">
        <f>IF('Loan Tape (S&amp;P)'!V1723="Yes",
    1.20,
    1.00)</f>
        <v/>
      </c>
      <c r="T1723">
        <f>LET(
    payment_method,'Loan Tape (S&amp;P)'!P1723,
    occupancy,'Loan Tape (S&amp;P)'!N1723,
    maturity_date,'Loan Tape (S&amp;P)'!L1723,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24">
      <c r="J1724">
        <f>LET(
    lien,'Loan Tape (S&amp;P)'!Q1724,
    IF(lien="First",1.00,
        IF(lien="Second",1.50,
            1.70)))</f>
        <v/>
      </c>
      <c r="K1724">
        <f>LET(
    purpose,'Loan Tape (S&amp;P)'!R1724,
    IF(purpose="Purchase",1.00,
        IF(purpose="Remortgage",1.00,
            1.20)))</f>
        <v/>
      </c>
      <c r="L1724">
        <f>LET(
    arrears_months,'Loan Tape (S&amp;P)'!AN1724,
    IF(arrears_months=0,1.00,
    IF(arrears_months=1,3.00,
    IF(arrears_months=2,5.00,
    IF(arrears_months=3,8.00,
    IF(arrears_months=4,10.00,
    IF(arrears_months=5,12.00,15.00)))))))</f>
        <v/>
      </c>
      <c r="M1724">
        <f>LET(
    seasoning_years,DATEDIF('Loan Tape (S&amp;P)'!K1724,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24">
        <f>IF(AND('Loan Tape (S&amp;P)'!U1724="Yes",
        'Loan Tape (S&amp;P)'!T1724&lt;&gt;"Yes",
        DATEDIF('Loan Tape (S&amp;P)'!K1724, TODAY(), "M")&lt;18),
    1.10,
    1.00)</f>
        <v/>
      </c>
      <c r="O1724">
        <f>IF('Loan Tape (S&amp;P)'!T1724="Yes",
    1.35,
    1.00)</f>
        <v/>
      </c>
      <c r="P1724">
        <f>IF('Loan Tape (S&amp;P)'!S1724="Yes",
    1.15,
    1.00)</f>
        <v/>
      </c>
      <c r="Q1724">
        <f>IF('Loan Tape (S&amp;P)'!V1724="Yes",
    1.20,
    1.00)</f>
        <v/>
      </c>
      <c r="T1724">
        <f>LET(
    payment_method,'Loan Tape (S&amp;P)'!P1724,
    occupancy,'Loan Tape (S&amp;P)'!N1724,
    maturity_date,'Loan Tape (S&amp;P)'!L1724,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25">
      <c r="J1725">
        <f>LET(
    lien,'Loan Tape (S&amp;P)'!Q1725,
    IF(lien="First",1.00,
        IF(lien="Second",1.50,
            1.70)))</f>
        <v/>
      </c>
      <c r="K1725">
        <f>LET(
    purpose,'Loan Tape (S&amp;P)'!R1725,
    IF(purpose="Purchase",1.00,
        IF(purpose="Remortgage",1.00,
            1.20)))</f>
        <v/>
      </c>
      <c r="L1725">
        <f>LET(
    arrears_months,'Loan Tape (S&amp;P)'!AN1725,
    IF(arrears_months=0,1.00,
    IF(arrears_months=1,3.00,
    IF(arrears_months=2,5.00,
    IF(arrears_months=3,8.00,
    IF(arrears_months=4,10.00,
    IF(arrears_months=5,12.00,15.00)))))))</f>
        <v/>
      </c>
      <c r="M1725">
        <f>LET(
    seasoning_years,DATEDIF('Loan Tape (S&amp;P)'!K1725,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25">
        <f>IF(AND('Loan Tape (S&amp;P)'!U1725="Yes",
        'Loan Tape (S&amp;P)'!T1725&lt;&gt;"Yes",
        DATEDIF('Loan Tape (S&amp;P)'!K1725, TODAY(), "M")&lt;18),
    1.10,
    1.00)</f>
        <v/>
      </c>
      <c r="O1725">
        <f>IF('Loan Tape (S&amp;P)'!T1725="Yes",
    1.35,
    1.00)</f>
        <v/>
      </c>
      <c r="P1725">
        <f>IF('Loan Tape (S&amp;P)'!S1725="Yes",
    1.15,
    1.00)</f>
        <v/>
      </c>
      <c r="Q1725">
        <f>IF('Loan Tape (S&amp;P)'!V1725="Yes",
    1.20,
    1.00)</f>
        <v/>
      </c>
      <c r="T1725">
        <f>LET(
    payment_method,'Loan Tape (S&amp;P)'!P1725,
    occupancy,'Loan Tape (S&amp;P)'!N1725,
    maturity_date,'Loan Tape (S&amp;P)'!L1725,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26">
      <c r="J1726">
        <f>LET(
    lien,'Loan Tape (S&amp;P)'!Q1726,
    IF(lien="First",1.00,
        IF(lien="Second",1.50,
            1.70)))</f>
        <v/>
      </c>
      <c r="K1726">
        <f>LET(
    purpose,'Loan Tape (S&amp;P)'!R1726,
    IF(purpose="Purchase",1.00,
        IF(purpose="Remortgage",1.00,
            1.20)))</f>
        <v/>
      </c>
      <c r="L1726">
        <f>LET(
    arrears_months,'Loan Tape (S&amp;P)'!AN1726,
    IF(arrears_months=0,1.00,
    IF(arrears_months=1,3.00,
    IF(arrears_months=2,5.00,
    IF(arrears_months=3,8.00,
    IF(arrears_months=4,10.00,
    IF(arrears_months=5,12.00,15.00)))))))</f>
        <v/>
      </c>
      <c r="M1726">
        <f>LET(
    seasoning_years,DATEDIF('Loan Tape (S&amp;P)'!K1726,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26">
        <f>IF(AND('Loan Tape (S&amp;P)'!U1726="Yes",
        'Loan Tape (S&amp;P)'!T1726&lt;&gt;"Yes",
        DATEDIF('Loan Tape (S&amp;P)'!K1726, TODAY(), "M")&lt;18),
    1.10,
    1.00)</f>
        <v/>
      </c>
      <c r="O1726">
        <f>IF('Loan Tape (S&amp;P)'!T1726="Yes",
    1.35,
    1.00)</f>
        <v/>
      </c>
      <c r="P1726">
        <f>IF('Loan Tape (S&amp;P)'!S1726="Yes",
    1.15,
    1.00)</f>
        <v/>
      </c>
      <c r="Q1726">
        <f>IF('Loan Tape (S&amp;P)'!V1726="Yes",
    1.20,
    1.00)</f>
        <v/>
      </c>
      <c r="T1726">
        <f>LET(
    payment_method,'Loan Tape (S&amp;P)'!P1726,
    occupancy,'Loan Tape (S&amp;P)'!N1726,
    maturity_date,'Loan Tape (S&amp;P)'!L1726,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27">
      <c r="J1727">
        <f>LET(
    lien,'Loan Tape (S&amp;P)'!Q1727,
    IF(lien="First",1.00,
        IF(lien="Second",1.50,
            1.70)))</f>
        <v/>
      </c>
      <c r="K1727">
        <f>LET(
    purpose,'Loan Tape (S&amp;P)'!R1727,
    IF(purpose="Purchase",1.00,
        IF(purpose="Remortgage",1.00,
            1.20)))</f>
        <v/>
      </c>
      <c r="L1727">
        <f>LET(
    arrears_months,'Loan Tape (S&amp;P)'!AN1727,
    IF(arrears_months=0,1.00,
    IF(arrears_months=1,3.00,
    IF(arrears_months=2,5.00,
    IF(arrears_months=3,8.00,
    IF(arrears_months=4,10.00,
    IF(arrears_months=5,12.00,15.00)))))))</f>
        <v/>
      </c>
      <c r="M1727">
        <f>LET(
    seasoning_years,DATEDIF('Loan Tape (S&amp;P)'!K1727,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27">
        <f>IF(AND('Loan Tape (S&amp;P)'!U1727="Yes",
        'Loan Tape (S&amp;P)'!T1727&lt;&gt;"Yes",
        DATEDIF('Loan Tape (S&amp;P)'!K1727, TODAY(), "M")&lt;18),
    1.10,
    1.00)</f>
        <v/>
      </c>
      <c r="O1727">
        <f>IF('Loan Tape (S&amp;P)'!T1727="Yes",
    1.35,
    1.00)</f>
        <v/>
      </c>
      <c r="P1727">
        <f>IF('Loan Tape (S&amp;P)'!S1727="Yes",
    1.15,
    1.00)</f>
        <v/>
      </c>
      <c r="Q1727">
        <f>IF('Loan Tape (S&amp;P)'!V1727="Yes",
    1.20,
    1.00)</f>
        <v/>
      </c>
      <c r="T1727">
        <f>LET(
    payment_method,'Loan Tape (S&amp;P)'!P1727,
    occupancy,'Loan Tape (S&amp;P)'!N1727,
    maturity_date,'Loan Tape (S&amp;P)'!L1727,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28">
      <c r="J1728">
        <f>LET(
    lien,'Loan Tape (S&amp;P)'!Q1728,
    IF(lien="First",1.00,
        IF(lien="Second",1.50,
            1.70)))</f>
        <v/>
      </c>
      <c r="K1728">
        <f>LET(
    purpose,'Loan Tape (S&amp;P)'!R1728,
    IF(purpose="Purchase",1.00,
        IF(purpose="Remortgage",1.00,
            1.20)))</f>
        <v/>
      </c>
      <c r="L1728">
        <f>LET(
    arrears_months,'Loan Tape (S&amp;P)'!AN1728,
    IF(arrears_months=0,1.00,
    IF(arrears_months=1,3.00,
    IF(arrears_months=2,5.00,
    IF(arrears_months=3,8.00,
    IF(arrears_months=4,10.00,
    IF(arrears_months=5,12.00,15.00)))))))</f>
        <v/>
      </c>
      <c r="M1728">
        <f>LET(
    seasoning_years,DATEDIF('Loan Tape (S&amp;P)'!K1728,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28">
        <f>IF(AND('Loan Tape (S&amp;P)'!U1728="Yes",
        'Loan Tape (S&amp;P)'!T1728&lt;&gt;"Yes",
        DATEDIF('Loan Tape (S&amp;P)'!K1728, TODAY(), "M")&lt;18),
    1.10,
    1.00)</f>
        <v/>
      </c>
      <c r="O1728">
        <f>IF('Loan Tape (S&amp;P)'!T1728="Yes",
    1.35,
    1.00)</f>
        <v/>
      </c>
      <c r="P1728">
        <f>IF('Loan Tape (S&amp;P)'!S1728="Yes",
    1.15,
    1.00)</f>
        <v/>
      </c>
      <c r="Q1728">
        <f>IF('Loan Tape (S&amp;P)'!V1728="Yes",
    1.20,
    1.00)</f>
        <v/>
      </c>
      <c r="T1728">
        <f>LET(
    payment_method,'Loan Tape (S&amp;P)'!P1728,
    occupancy,'Loan Tape (S&amp;P)'!N1728,
    maturity_date,'Loan Tape (S&amp;P)'!L1728,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29">
      <c r="J1729">
        <f>LET(
    lien,'Loan Tape (S&amp;P)'!Q1729,
    IF(lien="First",1.00,
        IF(lien="Second",1.50,
            1.70)))</f>
        <v/>
      </c>
      <c r="K1729">
        <f>LET(
    purpose,'Loan Tape (S&amp;P)'!R1729,
    IF(purpose="Purchase",1.00,
        IF(purpose="Remortgage",1.00,
            1.20)))</f>
        <v/>
      </c>
      <c r="L1729">
        <f>LET(
    arrears_months,'Loan Tape (S&amp;P)'!AN1729,
    IF(arrears_months=0,1.00,
    IF(arrears_months=1,3.00,
    IF(arrears_months=2,5.00,
    IF(arrears_months=3,8.00,
    IF(arrears_months=4,10.00,
    IF(arrears_months=5,12.00,15.00)))))))</f>
        <v/>
      </c>
      <c r="M1729">
        <f>LET(
    seasoning_years,DATEDIF('Loan Tape (S&amp;P)'!K1729,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29">
        <f>IF(AND('Loan Tape (S&amp;P)'!U1729="Yes",
        'Loan Tape (S&amp;P)'!T1729&lt;&gt;"Yes",
        DATEDIF('Loan Tape (S&amp;P)'!K1729, TODAY(), "M")&lt;18),
    1.10,
    1.00)</f>
        <v/>
      </c>
      <c r="O1729">
        <f>IF('Loan Tape (S&amp;P)'!T1729="Yes",
    1.35,
    1.00)</f>
        <v/>
      </c>
      <c r="P1729">
        <f>IF('Loan Tape (S&amp;P)'!S1729="Yes",
    1.15,
    1.00)</f>
        <v/>
      </c>
      <c r="Q1729">
        <f>IF('Loan Tape (S&amp;P)'!V1729="Yes",
    1.20,
    1.00)</f>
        <v/>
      </c>
      <c r="T1729">
        <f>LET(
    payment_method,'Loan Tape (S&amp;P)'!P1729,
    occupancy,'Loan Tape (S&amp;P)'!N1729,
    maturity_date,'Loan Tape (S&amp;P)'!L1729,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30">
      <c r="J1730">
        <f>LET(
    lien,'Loan Tape (S&amp;P)'!Q1730,
    IF(lien="First",1.00,
        IF(lien="Second",1.50,
            1.70)))</f>
        <v/>
      </c>
      <c r="K1730">
        <f>LET(
    purpose,'Loan Tape (S&amp;P)'!R1730,
    IF(purpose="Purchase",1.00,
        IF(purpose="Remortgage",1.00,
            1.20)))</f>
        <v/>
      </c>
      <c r="L1730">
        <f>LET(
    arrears_months,'Loan Tape (S&amp;P)'!AN1730,
    IF(arrears_months=0,1.00,
    IF(arrears_months=1,3.00,
    IF(arrears_months=2,5.00,
    IF(arrears_months=3,8.00,
    IF(arrears_months=4,10.00,
    IF(arrears_months=5,12.00,15.00)))))))</f>
        <v/>
      </c>
      <c r="M1730">
        <f>LET(
    seasoning_years,DATEDIF('Loan Tape (S&amp;P)'!K1730,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30">
        <f>IF(AND('Loan Tape (S&amp;P)'!U1730="Yes",
        'Loan Tape (S&amp;P)'!T1730&lt;&gt;"Yes",
        DATEDIF('Loan Tape (S&amp;P)'!K1730, TODAY(), "M")&lt;18),
    1.10,
    1.00)</f>
        <v/>
      </c>
      <c r="O1730">
        <f>IF('Loan Tape (S&amp;P)'!T1730="Yes",
    1.35,
    1.00)</f>
        <v/>
      </c>
      <c r="P1730">
        <f>IF('Loan Tape (S&amp;P)'!S1730="Yes",
    1.15,
    1.00)</f>
        <v/>
      </c>
      <c r="Q1730">
        <f>IF('Loan Tape (S&amp;P)'!V1730="Yes",
    1.20,
    1.00)</f>
        <v/>
      </c>
      <c r="T1730">
        <f>LET(
    payment_method,'Loan Tape (S&amp;P)'!P1730,
    occupancy,'Loan Tape (S&amp;P)'!N1730,
    maturity_date,'Loan Tape (S&amp;P)'!L1730,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31">
      <c r="J1731">
        <f>LET(
    lien,'Loan Tape (S&amp;P)'!Q1731,
    IF(lien="First",1.00,
        IF(lien="Second",1.50,
            1.70)))</f>
        <v/>
      </c>
      <c r="K1731">
        <f>LET(
    purpose,'Loan Tape (S&amp;P)'!R1731,
    IF(purpose="Purchase",1.00,
        IF(purpose="Remortgage",1.00,
            1.20)))</f>
        <v/>
      </c>
      <c r="L1731">
        <f>LET(
    arrears_months,'Loan Tape (S&amp;P)'!AN1731,
    IF(arrears_months=0,1.00,
    IF(arrears_months=1,3.00,
    IF(arrears_months=2,5.00,
    IF(arrears_months=3,8.00,
    IF(arrears_months=4,10.00,
    IF(arrears_months=5,12.00,15.00)))))))</f>
        <v/>
      </c>
      <c r="M1731">
        <f>LET(
    seasoning_years,DATEDIF('Loan Tape (S&amp;P)'!K1731,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31">
        <f>IF(AND('Loan Tape (S&amp;P)'!U1731="Yes",
        'Loan Tape (S&amp;P)'!T1731&lt;&gt;"Yes",
        DATEDIF('Loan Tape (S&amp;P)'!K1731, TODAY(), "M")&lt;18),
    1.10,
    1.00)</f>
        <v/>
      </c>
      <c r="O1731">
        <f>IF('Loan Tape (S&amp;P)'!T1731="Yes",
    1.35,
    1.00)</f>
        <v/>
      </c>
      <c r="P1731">
        <f>IF('Loan Tape (S&amp;P)'!S1731="Yes",
    1.15,
    1.00)</f>
        <v/>
      </c>
      <c r="Q1731">
        <f>IF('Loan Tape (S&amp;P)'!V1731="Yes",
    1.20,
    1.00)</f>
        <v/>
      </c>
      <c r="T1731">
        <f>LET(
    payment_method,'Loan Tape (S&amp;P)'!P1731,
    occupancy,'Loan Tape (S&amp;P)'!N1731,
    maturity_date,'Loan Tape (S&amp;P)'!L1731,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32">
      <c r="J1732">
        <f>LET(
    lien,'Loan Tape (S&amp;P)'!Q1732,
    IF(lien="First",1.00,
        IF(lien="Second",1.50,
            1.70)))</f>
        <v/>
      </c>
      <c r="K1732">
        <f>LET(
    purpose,'Loan Tape (S&amp;P)'!R1732,
    IF(purpose="Purchase",1.00,
        IF(purpose="Remortgage",1.00,
            1.20)))</f>
        <v/>
      </c>
      <c r="L1732">
        <f>LET(
    arrears_months,'Loan Tape (S&amp;P)'!AN1732,
    IF(arrears_months=0,1.00,
    IF(arrears_months=1,3.00,
    IF(arrears_months=2,5.00,
    IF(arrears_months=3,8.00,
    IF(arrears_months=4,10.00,
    IF(arrears_months=5,12.00,15.00)))))))</f>
        <v/>
      </c>
      <c r="M1732">
        <f>LET(
    seasoning_years,DATEDIF('Loan Tape (S&amp;P)'!K1732,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32">
        <f>IF(AND('Loan Tape (S&amp;P)'!U1732="Yes",
        'Loan Tape (S&amp;P)'!T1732&lt;&gt;"Yes",
        DATEDIF('Loan Tape (S&amp;P)'!K1732, TODAY(), "M")&lt;18),
    1.10,
    1.00)</f>
        <v/>
      </c>
      <c r="O1732">
        <f>IF('Loan Tape (S&amp;P)'!T1732="Yes",
    1.35,
    1.00)</f>
        <v/>
      </c>
      <c r="P1732">
        <f>IF('Loan Tape (S&amp;P)'!S1732="Yes",
    1.15,
    1.00)</f>
        <v/>
      </c>
      <c r="Q1732">
        <f>IF('Loan Tape (S&amp;P)'!V1732="Yes",
    1.20,
    1.00)</f>
        <v/>
      </c>
      <c r="T1732">
        <f>LET(
    payment_method,'Loan Tape (S&amp;P)'!P1732,
    occupancy,'Loan Tape (S&amp;P)'!N1732,
    maturity_date,'Loan Tape (S&amp;P)'!L1732,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33">
      <c r="J1733">
        <f>LET(
    lien,'Loan Tape (S&amp;P)'!Q1733,
    IF(lien="First",1.00,
        IF(lien="Second",1.50,
            1.70)))</f>
        <v/>
      </c>
      <c r="K1733">
        <f>LET(
    purpose,'Loan Tape (S&amp;P)'!R1733,
    IF(purpose="Purchase",1.00,
        IF(purpose="Remortgage",1.00,
            1.20)))</f>
        <v/>
      </c>
      <c r="L1733">
        <f>LET(
    arrears_months,'Loan Tape (S&amp;P)'!AN1733,
    IF(arrears_months=0,1.00,
    IF(arrears_months=1,3.00,
    IF(arrears_months=2,5.00,
    IF(arrears_months=3,8.00,
    IF(arrears_months=4,10.00,
    IF(arrears_months=5,12.00,15.00)))))))</f>
        <v/>
      </c>
      <c r="M1733">
        <f>LET(
    seasoning_years,DATEDIF('Loan Tape (S&amp;P)'!K1733,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33">
        <f>IF(AND('Loan Tape (S&amp;P)'!U1733="Yes",
        'Loan Tape (S&amp;P)'!T1733&lt;&gt;"Yes",
        DATEDIF('Loan Tape (S&amp;P)'!K1733, TODAY(), "M")&lt;18),
    1.10,
    1.00)</f>
        <v/>
      </c>
      <c r="O1733">
        <f>IF('Loan Tape (S&amp;P)'!T1733="Yes",
    1.35,
    1.00)</f>
        <v/>
      </c>
      <c r="P1733">
        <f>IF('Loan Tape (S&amp;P)'!S1733="Yes",
    1.15,
    1.00)</f>
        <v/>
      </c>
      <c r="Q1733">
        <f>IF('Loan Tape (S&amp;P)'!V1733="Yes",
    1.20,
    1.00)</f>
        <v/>
      </c>
      <c r="T1733">
        <f>LET(
    payment_method,'Loan Tape (S&amp;P)'!P1733,
    occupancy,'Loan Tape (S&amp;P)'!N1733,
    maturity_date,'Loan Tape (S&amp;P)'!L1733,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34">
      <c r="J1734">
        <f>LET(
    lien,'Loan Tape (S&amp;P)'!Q1734,
    IF(lien="First",1.00,
        IF(lien="Second",1.50,
            1.70)))</f>
        <v/>
      </c>
      <c r="K1734">
        <f>LET(
    purpose,'Loan Tape (S&amp;P)'!R1734,
    IF(purpose="Purchase",1.00,
        IF(purpose="Remortgage",1.00,
            1.20)))</f>
        <v/>
      </c>
      <c r="L1734">
        <f>LET(
    arrears_months,'Loan Tape (S&amp;P)'!AN1734,
    IF(arrears_months=0,1.00,
    IF(arrears_months=1,3.00,
    IF(arrears_months=2,5.00,
    IF(arrears_months=3,8.00,
    IF(arrears_months=4,10.00,
    IF(arrears_months=5,12.00,15.00)))))))</f>
        <v/>
      </c>
      <c r="M1734">
        <f>LET(
    seasoning_years,DATEDIF('Loan Tape (S&amp;P)'!K1734,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34">
        <f>IF(AND('Loan Tape (S&amp;P)'!U1734="Yes",
        'Loan Tape (S&amp;P)'!T1734&lt;&gt;"Yes",
        DATEDIF('Loan Tape (S&amp;P)'!K1734, TODAY(), "M")&lt;18),
    1.10,
    1.00)</f>
        <v/>
      </c>
      <c r="O1734">
        <f>IF('Loan Tape (S&amp;P)'!T1734="Yes",
    1.35,
    1.00)</f>
        <v/>
      </c>
      <c r="P1734">
        <f>IF('Loan Tape (S&amp;P)'!S1734="Yes",
    1.15,
    1.00)</f>
        <v/>
      </c>
      <c r="Q1734">
        <f>IF('Loan Tape (S&amp;P)'!V1734="Yes",
    1.20,
    1.00)</f>
        <v/>
      </c>
      <c r="T1734">
        <f>LET(
    payment_method,'Loan Tape (S&amp;P)'!P1734,
    occupancy,'Loan Tape (S&amp;P)'!N1734,
    maturity_date,'Loan Tape (S&amp;P)'!L1734,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35">
      <c r="J1735">
        <f>LET(
    lien,'Loan Tape (S&amp;P)'!Q1735,
    IF(lien="First",1.00,
        IF(lien="Second",1.50,
            1.70)))</f>
        <v/>
      </c>
      <c r="K1735">
        <f>LET(
    purpose,'Loan Tape (S&amp;P)'!R1735,
    IF(purpose="Purchase",1.00,
        IF(purpose="Remortgage",1.00,
            1.20)))</f>
        <v/>
      </c>
      <c r="L1735">
        <f>LET(
    arrears_months,'Loan Tape (S&amp;P)'!AN1735,
    IF(arrears_months=0,1.00,
    IF(arrears_months=1,3.00,
    IF(arrears_months=2,5.00,
    IF(arrears_months=3,8.00,
    IF(arrears_months=4,10.00,
    IF(arrears_months=5,12.00,15.00)))))))</f>
        <v/>
      </c>
      <c r="M1735">
        <f>LET(
    seasoning_years,DATEDIF('Loan Tape (S&amp;P)'!K1735,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35">
        <f>IF(AND('Loan Tape (S&amp;P)'!U1735="Yes",
        'Loan Tape (S&amp;P)'!T1735&lt;&gt;"Yes",
        DATEDIF('Loan Tape (S&amp;P)'!K1735, TODAY(), "M")&lt;18),
    1.10,
    1.00)</f>
        <v/>
      </c>
      <c r="O1735">
        <f>IF('Loan Tape (S&amp;P)'!T1735="Yes",
    1.35,
    1.00)</f>
        <v/>
      </c>
      <c r="P1735">
        <f>IF('Loan Tape (S&amp;P)'!S1735="Yes",
    1.15,
    1.00)</f>
        <v/>
      </c>
      <c r="Q1735">
        <f>IF('Loan Tape (S&amp;P)'!V1735="Yes",
    1.20,
    1.00)</f>
        <v/>
      </c>
      <c r="T1735">
        <f>LET(
    payment_method,'Loan Tape (S&amp;P)'!P1735,
    occupancy,'Loan Tape (S&amp;P)'!N1735,
    maturity_date,'Loan Tape (S&amp;P)'!L1735,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36">
      <c r="J1736">
        <f>LET(
    lien,'Loan Tape (S&amp;P)'!Q1736,
    IF(lien="First",1.00,
        IF(lien="Second",1.50,
            1.70)))</f>
        <v/>
      </c>
      <c r="K1736">
        <f>LET(
    purpose,'Loan Tape (S&amp;P)'!R1736,
    IF(purpose="Purchase",1.00,
        IF(purpose="Remortgage",1.00,
            1.20)))</f>
        <v/>
      </c>
      <c r="L1736">
        <f>LET(
    arrears_months,'Loan Tape (S&amp;P)'!AN1736,
    IF(arrears_months=0,1.00,
    IF(arrears_months=1,3.00,
    IF(arrears_months=2,5.00,
    IF(arrears_months=3,8.00,
    IF(arrears_months=4,10.00,
    IF(arrears_months=5,12.00,15.00)))))))</f>
        <v/>
      </c>
      <c r="M1736">
        <f>LET(
    seasoning_years,DATEDIF('Loan Tape (S&amp;P)'!K1736,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36">
        <f>IF(AND('Loan Tape (S&amp;P)'!U1736="Yes",
        'Loan Tape (S&amp;P)'!T1736&lt;&gt;"Yes",
        DATEDIF('Loan Tape (S&amp;P)'!K1736, TODAY(), "M")&lt;18),
    1.10,
    1.00)</f>
        <v/>
      </c>
      <c r="O1736">
        <f>IF('Loan Tape (S&amp;P)'!T1736="Yes",
    1.35,
    1.00)</f>
        <v/>
      </c>
      <c r="P1736">
        <f>IF('Loan Tape (S&amp;P)'!S1736="Yes",
    1.15,
    1.00)</f>
        <v/>
      </c>
      <c r="Q1736">
        <f>IF('Loan Tape (S&amp;P)'!V1736="Yes",
    1.20,
    1.00)</f>
        <v/>
      </c>
      <c r="T1736">
        <f>LET(
    payment_method,'Loan Tape (S&amp;P)'!P1736,
    occupancy,'Loan Tape (S&amp;P)'!N1736,
    maturity_date,'Loan Tape (S&amp;P)'!L1736,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37">
      <c r="J1737">
        <f>LET(
    lien,'Loan Tape (S&amp;P)'!Q1737,
    IF(lien="First",1.00,
        IF(lien="Second",1.50,
            1.70)))</f>
        <v/>
      </c>
      <c r="K1737">
        <f>LET(
    purpose,'Loan Tape (S&amp;P)'!R1737,
    IF(purpose="Purchase",1.00,
        IF(purpose="Remortgage",1.00,
            1.20)))</f>
        <v/>
      </c>
      <c r="L1737">
        <f>LET(
    arrears_months,'Loan Tape (S&amp;P)'!AN1737,
    IF(arrears_months=0,1.00,
    IF(arrears_months=1,3.00,
    IF(arrears_months=2,5.00,
    IF(arrears_months=3,8.00,
    IF(arrears_months=4,10.00,
    IF(arrears_months=5,12.00,15.00)))))))</f>
        <v/>
      </c>
      <c r="M1737">
        <f>LET(
    seasoning_years,DATEDIF('Loan Tape (S&amp;P)'!K1737,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37">
        <f>IF(AND('Loan Tape (S&amp;P)'!U1737="Yes",
        'Loan Tape (S&amp;P)'!T1737&lt;&gt;"Yes",
        DATEDIF('Loan Tape (S&amp;P)'!K1737, TODAY(), "M")&lt;18),
    1.10,
    1.00)</f>
        <v/>
      </c>
      <c r="O1737">
        <f>IF('Loan Tape (S&amp;P)'!T1737="Yes",
    1.35,
    1.00)</f>
        <v/>
      </c>
      <c r="P1737">
        <f>IF('Loan Tape (S&amp;P)'!S1737="Yes",
    1.15,
    1.00)</f>
        <v/>
      </c>
      <c r="Q1737">
        <f>IF('Loan Tape (S&amp;P)'!V1737="Yes",
    1.20,
    1.00)</f>
        <v/>
      </c>
      <c r="T1737">
        <f>LET(
    payment_method,'Loan Tape (S&amp;P)'!P1737,
    occupancy,'Loan Tape (S&amp;P)'!N1737,
    maturity_date,'Loan Tape (S&amp;P)'!L1737,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38">
      <c r="J1738">
        <f>LET(
    lien,'Loan Tape (S&amp;P)'!Q1738,
    IF(lien="First",1.00,
        IF(lien="Second",1.50,
            1.70)))</f>
        <v/>
      </c>
      <c r="K1738">
        <f>LET(
    purpose,'Loan Tape (S&amp;P)'!R1738,
    IF(purpose="Purchase",1.00,
        IF(purpose="Remortgage",1.00,
            1.20)))</f>
        <v/>
      </c>
      <c r="L1738">
        <f>LET(
    arrears_months,'Loan Tape (S&amp;P)'!AN1738,
    IF(arrears_months=0,1.00,
    IF(arrears_months=1,3.00,
    IF(arrears_months=2,5.00,
    IF(arrears_months=3,8.00,
    IF(arrears_months=4,10.00,
    IF(arrears_months=5,12.00,15.00)))))))</f>
        <v/>
      </c>
      <c r="M1738">
        <f>LET(
    seasoning_years,DATEDIF('Loan Tape (S&amp;P)'!K1738,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38">
        <f>IF(AND('Loan Tape (S&amp;P)'!U1738="Yes",
        'Loan Tape (S&amp;P)'!T1738&lt;&gt;"Yes",
        DATEDIF('Loan Tape (S&amp;P)'!K1738, TODAY(), "M")&lt;18),
    1.10,
    1.00)</f>
        <v/>
      </c>
      <c r="O1738">
        <f>IF('Loan Tape (S&amp;P)'!T1738="Yes",
    1.35,
    1.00)</f>
        <v/>
      </c>
      <c r="P1738">
        <f>IF('Loan Tape (S&amp;P)'!S1738="Yes",
    1.15,
    1.00)</f>
        <v/>
      </c>
      <c r="Q1738">
        <f>IF('Loan Tape (S&amp;P)'!V1738="Yes",
    1.20,
    1.00)</f>
        <v/>
      </c>
      <c r="T1738">
        <f>LET(
    payment_method,'Loan Tape (S&amp;P)'!P1738,
    occupancy,'Loan Tape (S&amp;P)'!N1738,
    maturity_date,'Loan Tape (S&amp;P)'!L1738,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39">
      <c r="J1739">
        <f>LET(
    lien,'Loan Tape (S&amp;P)'!Q1739,
    IF(lien="First",1.00,
        IF(lien="Second",1.50,
            1.70)))</f>
        <v/>
      </c>
      <c r="K1739">
        <f>LET(
    purpose,'Loan Tape (S&amp;P)'!R1739,
    IF(purpose="Purchase",1.00,
        IF(purpose="Remortgage",1.00,
            1.20)))</f>
        <v/>
      </c>
      <c r="L1739">
        <f>LET(
    arrears_months,'Loan Tape (S&amp;P)'!AN1739,
    IF(arrears_months=0,1.00,
    IF(arrears_months=1,3.00,
    IF(arrears_months=2,5.00,
    IF(arrears_months=3,8.00,
    IF(arrears_months=4,10.00,
    IF(arrears_months=5,12.00,15.00)))))))</f>
        <v/>
      </c>
      <c r="M1739">
        <f>LET(
    seasoning_years,DATEDIF('Loan Tape (S&amp;P)'!K1739,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39">
        <f>IF(AND('Loan Tape (S&amp;P)'!U1739="Yes",
        'Loan Tape (S&amp;P)'!T1739&lt;&gt;"Yes",
        DATEDIF('Loan Tape (S&amp;P)'!K1739, TODAY(), "M")&lt;18),
    1.10,
    1.00)</f>
        <v/>
      </c>
      <c r="O1739">
        <f>IF('Loan Tape (S&amp;P)'!T1739="Yes",
    1.35,
    1.00)</f>
        <v/>
      </c>
      <c r="P1739">
        <f>IF('Loan Tape (S&amp;P)'!S1739="Yes",
    1.15,
    1.00)</f>
        <v/>
      </c>
      <c r="Q1739">
        <f>IF('Loan Tape (S&amp;P)'!V1739="Yes",
    1.20,
    1.00)</f>
        <v/>
      </c>
      <c r="T1739">
        <f>LET(
    payment_method,'Loan Tape (S&amp;P)'!P1739,
    occupancy,'Loan Tape (S&amp;P)'!N1739,
    maturity_date,'Loan Tape (S&amp;P)'!L1739,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40">
      <c r="J1740">
        <f>LET(
    lien,'Loan Tape (S&amp;P)'!Q1740,
    IF(lien="First",1.00,
        IF(lien="Second",1.50,
            1.70)))</f>
        <v/>
      </c>
      <c r="K1740">
        <f>LET(
    purpose,'Loan Tape (S&amp;P)'!R1740,
    IF(purpose="Purchase",1.00,
        IF(purpose="Remortgage",1.00,
            1.20)))</f>
        <v/>
      </c>
      <c r="L1740">
        <f>LET(
    arrears_months,'Loan Tape (S&amp;P)'!AN1740,
    IF(arrears_months=0,1.00,
    IF(arrears_months=1,3.00,
    IF(arrears_months=2,5.00,
    IF(arrears_months=3,8.00,
    IF(arrears_months=4,10.00,
    IF(arrears_months=5,12.00,15.00)))))))</f>
        <v/>
      </c>
      <c r="M1740">
        <f>LET(
    seasoning_years,DATEDIF('Loan Tape (S&amp;P)'!K1740,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40">
        <f>IF(AND('Loan Tape (S&amp;P)'!U1740="Yes",
        'Loan Tape (S&amp;P)'!T1740&lt;&gt;"Yes",
        DATEDIF('Loan Tape (S&amp;P)'!K1740, TODAY(), "M")&lt;18),
    1.10,
    1.00)</f>
        <v/>
      </c>
      <c r="O1740">
        <f>IF('Loan Tape (S&amp;P)'!T1740="Yes",
    1.35,
    1.00)</f>
        <v/>
      </c>
      <c r="P1740">
        <f>IF('Loan Tape (S&amp;P)'!S1740="Yes",
    1.15,
    1.00)</f>
        <v/>
      </c>
      <c r="Q1740">
        <f>IF('Loan Tape (S&amp;P)'!V1740="Yes",
    1.20,
    1.00)</f>
        <v/>
      </c>
      <c r="T1740">
        <f>LET(
    payment_method,'Loan Tape (S&amp;P)'!P1740,
    occupancy,'Loan Tape (S&amp;P)'!N1740,
    maturity_date,'Loan Tape (S&amp;P)'!L1740,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41">
      <c r="J1741">
        <f>LET(
    lien,'Loan Tape (S&amp;P)'!Q1741,
    IF(lien="First",1.00,
        IF(lien="Second",1.50,
            1.70)))</f>
        <v/>
      </c>
      <c r="K1741">
        <f>LET(
    purpose,'Loan Tape (S&amp;P)'!R1741,
    IF(purpose="Purchase",1.00,
        IF(purpose="Remortgage",1.00,
            1.20)))</f>
        <v/>
      </c>
      <c r="L1741">
        <f>LET(
    arrears_months,'Loan Tape (S&amp;P)'!AN1741,
    IF(arrears_months=0,1.00,
    IF(arrears_months=1,3.00,
    IF(arrears_months=2,5.00,
    IF(arrears_months=3,8.00,
    IF(arrears_months=4,10.00,
    IF(arrears_months=5,12.00,15.00)))))))</f>
        <v/>
      </c>
      <c r="M1741">
        <f>LET(
    seasoning_years,DATEDIF('Loan Tape (S&amp;P)'!K1741,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41">
        <f>IF(AND('Loan Tape (S&amp;P)'!U1741="Yes",
        'Loan Tape (S&amp;P)'!T1741&lt;&gt;"Yes",
        DATEDIF('Loan Tape (S&amp;P)'!K1741, TODAY(), "M")&lt;18),
    1.10,
    1.00)</f>
        <v/>
      </c>
      <c r="O1741">
        <f>IF('Loan Tape (S&amp;P)'!T1741="Yes",
    1.35,
    1.00)</f>
        <v/>
      </c>
      <c r="P1741">
        <f>IF('Loan Tape (S&amp;P)'!S1741="Yes",
    1.15,
    1.00)</f>
        <v/>
      </c>
      <c r="Q1741">
        <f>IF('Loan Tape (S&amp;P)'!V1741="Yes",
    1.20,
    1.00)</f>
        <v/>
      </c>
      <c r="T1741">
        <f>LET(
    payment_method,'Loan Tape (S&amp;P)'!P1741,
    occupancy,'Loan Tape (S&amp;P)'!N1741,
    maturity_date,'Loan Tape (S&amp;P)'!L1741,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42">
      <c r="J1742">
        <f>LET(
    lien,'Loan Tape (S&amp;P)'!Q1742,
    IF(lien="First",1.00,
        IF(lien="Second",1.50,
            1.70)))</f>
        <v/>
      </c>
      <c r="K1742">
        <f>LET(
    purpose,'Loan Tape (S&amp;P)'!R1742,
    IF(purpose="Purchase",1.00,
        IF(purpose="Remortgage",1.00,
            1.20)))</f>
        <v/>
      </c>
      <c r="L1742">
        <f>LET(
    arrears_months,'Loan Tape (S&amp;P)'!AN1742,
    IF(arrears_months=0,1.00,
    IF(arrears_months=1,3.00,
    IF(arrears_months=2,5.00,
    IF(arrears_months=3,8.00,
    IF(arrears_months=4,10.00,
    IF(arrears_months=5,12.00,15.00)))))))</f>
        <v/>
      </c>
      <c r="M1742">
        <f>LET(
    seasoning_years,DATEDIF('Loan Tape (S&amp;P)'!K1742,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42">
        <f>IF(AND('Loan Tape (S&amp;P)'!U1742="Yes",
        'Loan Tape (S&amp;P)'!T1742&lt;&gt;"Yes",
        DATEDIF('Loan Tape (S&amp;P)'!K1742, TODAY(), "M")&lt;18),
    1.10,
    1.00)</f>
        <v/>
      </c>
      <c r="O1742">
        <f>IF('Loan Tape (S&amp;P)'!T1742="Yes",
    1.35,
    1.00)</f>
        <v/>
      </c>
      <c r="P1742">
        <f>IF('Loan Tape (S&amp;P)'!S1742="Yes",
    1.15,
    1.00)</f>
        <v/>
      </c>
      <c r="Q1742">
        <f>IF('Loan Tape (S&amp;P)'!V1742="Yes",
    1.20,
    1.00)</f>
        <v/>
      </c>
      <c r="T1742">
        <f>LET(
    payment_method,'Loan Tape (S&amp;P)'!P1742,
    occupancy,'Loan Tape (S&amp;P)'!N1742,
    maturity_date,'Loan Tape (S&amp;P)'!L1742,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43">
      <c r="J1743">
        <f>LET(
    lien,'Loan Tape (S&amp;P)'!Q1743,
    IF(lien="First",1.00,
        IF(lien="Second",1.50,
            1.70)))</f>
        <v/>
      </c>
      <c r="K1743">
        <f>LET(
    purpose,'Loan Tape (S&amp;P)'!R1743,
    IF(purpose="Purchase",1.00,
        IF(purpose="Remortgage",1.00,
            1.20)))</f>
        <v/>
      </c>
      <c r="L1743">
        <f>LET(
    arrears_months,'Loan Tape (S&amp;P)'!AN1743,
    IF(arrears_months=0,1.00,
    IF(arrears_months=1,3.00,
    IF(arrears_months=2,5.00,
    IF(arrears_months=3,8.00,
    IF(arrears_months=4,10.00,
    IF(arrears_months=5,12.00,15.00)))))))</f>
        <v/>
      </c>
      <c r="M1743">
        <f>LET(
    seasoning_years,DATEDIF('Loan Tape (S&amp;P)'!K1743,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43">
        <f>IF(AND('Loan Tape (S&amp;P)'!U1743="Yes",
        'Loan Tape (S&amp;P)'!T1743&lt;&gt;"Yes",
        DATEDIF('Loan Tape (S&amp;P)'!K1743, TODAY(), "M")&lt;18),
    1.10,
    1.00)</f>
        <v/>
      </c>
      <c r="O1743">
        <f>IF('Loan Tape (S&amp;P)'!T1743="Yes",
    1.35,
    1.00)</f>
        <v/>
      </c>
      <c r="P1743">
        <f>IF('Loan Tape (S&amp;P)'!S1743="Yes",
    1.15,
    1.00)</f>
        <v/>
      </c>
      <c r="Q1743">
        <f>IF('Loan Tape (S&amp;P)'!V1743="Yes",
    1.20,
    1.00)</f>
        <v/>
      </c>
      <c r="T1743">
        <f>LET(
    payment_method,'Loan Tape (S&amp;P)'!P1743,
    occupancy,'Loan Tape (S&amp;P)'!N1743,
    maturity_date,'Loan Tape (S&amp;P)'!L1743,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44">
      <c r="J1744">
        <f>LET(
    lien,'Loan Tape (S&amp;P)'!Q1744,
    IF(lien="First",1.00,
        IF(lien="Second",1.50,
            1.70)))</f>
        <v/>
      </c>
      <c r="K1744">
        <f>LET(
    purpose,'Loan Tape (S&amp;P)'!R1744,
    IF(purpose="Purchase",1.00,
        IF(purpose="Remortgage",1.00,
            1.20)))</f>
        <v/>
      </c>
      <c r="L1744">
        <f>LET(
    arrears_months,'Loan Tape (S&amp;P)'!AN1744,
    IF(arrears_months=0,1.00,
    IF(arrears_months=1,3.00,
    IF(arrears_months=2,5.00,
    IF(arrears_months=3,8.00,
    IF(arrears_months=4,10.00,
    IF(arrears_months=5,12.00,15.00)))))))</f>
        <v/>
      </c>
      <c r="M1744">
        <f>LET(
    seasoning_years,DATEDIF('Loan Tape (S&amp;P)'!K1744,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44">
        <f>IF(AND('Loan Tape (S&amp;P)'!U1744="Yes",
        'Loan Tape (S&amp;P)'!T1744&lt;&gt;"Yes",
        DATEDIF('Loan Tape (S&amp;P)'!K1744, TODAY(), "M")&lt;18),
    1.10,
    1.00)</f>
        <v/>
      </c>
      <c r="O1744">
        <f>IF('Loan Tape (S&amp;P)'!T1744="Yes",
    1.35,
    1.00)</f>
        <v/>
      </c>
      <c r="P1744">
        <f>IF('Loan Tape (S&amp;P)'!S1744="Yes",
    1.15,
    1.00)</f>
        <v/>
      </c>
      <c r="Q1744">
        <f>IF('Loan Tape (S&amp;P)'!V1744="Yes",
    1.20,
    1.00)</f>
        <v/>
      </c>
      <c r="T1744">
        <f>LET(
    payment_method,'Loan Tape (S&amp;P)'!P1744,
    occupancy,'Loan Tape (S&amp;P)'!N1744,
    maturity_date,'Loan Tape (S&amp;P)'!L1744,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45">
      <c r="J1745">
        <f>LET(
    lien,'Loan Tape (S&amp;P)'!Q1745,
    IF(lien="First",1.00,
        IF(lien="Second",1.50,
            1.70)))</f>
        <v/>
      </c>
      <c r="K1745">
        <f>LET(
    purpose,'Loan Tape (S&amp;P)'!R1745,
    IF(purpose="Purchase",1.00,
        IF(purpose="Remortgage",1.00,
            1.20)))</f>
        <v/>
      </c>
      <c r="L1745">
        <f>LET(
    arrears_months,'Loan Tape (S&amp;P)'!AN1745,
    IF(arrears_months=0,1.00,
    IF(arrears_months=1,3.00,
    IF(arrears_months=2,5.00,
    IF(arrears_months=3,8.00,
    IF(arrears_months=4,10.00,
    IF(arrears_months=5,12.00,15.00)))))))</f>
        <v/>
      </c>
      <c r="M1745">
        <f>LET(
    seasoning_years,DATEDIF('Loan Tape (S&amp;P)'!K1745,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45">
        <f>IF(AND('Loan Tape (S&amp;P)'!U1745="Yes",
        'Loan Tape (S&amp;P)'!T1745&lt;&gt;"Yes",
        DATEDIF('Loan Tape (S&amp;P)'!K1745, TODAY(), "M")&lt;18),
    1.10,
    1.00)</f>
        <v/>
      </c>
      <c r="O1745">
        <f>IF('Loan Tape (S&amp;P)'!T1745="Yes",
    1.35,
    1.00)</f>
        <v/>
      </c>
      <c r="P1745">
        <f>IF('Loan Tape (S&amp;P)'!S1745="Yes",
    1.15,
    1.00)</f>
        <v/>
      </c>
      <c r="Q1745">
        <f>IF('Loan Tape (S&amp;P)'!V1745="Yes",
    1.20,
    1.00)</f>
        <v/>
      </c>
      <c r="T1745">
        <f>LET(
    payment_method,'Loan Tape (S&amp;P)'!P1745,
    occupancy,'Loan Tape (S&amp;P)'!N1745,
    maturity_date,'Loan Tape (S&amp;P)'!L1745,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46">
      <c r="J1746">
        <f>LET(
    lien,'Loan Tape (S&amp;P)'!Q1746,
    IF(lien="First",1.00,
        IF(lien="Second",1.50,
            1.70)))</f>
        <v/>
      </c>
      <c r="K1746">
        <f>LET(
    purpose,'Loan Tape (S&amp;P)'!R1746,
    IF(purpose="Purchase",1.00,
        IF(purpose="Remortgage",1.00,
            1.20)))</f>
        <v/>
      </c>
      <c r="L1746">
        <f>LET(
    arrears_months,'Loan Tape (S&amp;P)'!AN1746,
    IF(arrears_months=0,1.00,
    IF(arrears_months=1,3.00,
    IF(arrears_months=2,5.00,
    IF(arrears_months=3,8.00,
    IF(arrears_months=4,10.00,
    IF(arrears_months=5,12.00,15.00)))))))</f>
        <v/>
      </c>
      <c r="M1746">
        <f>LET(
    seasoning_years,DATEDIF('Loan Tape (S&amp;P)'!K1746,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46">
        <f>IF(AND('Loan Tape (S&amp;P)'!U1746="Yes",
        'Loan Tape (S&amp;P)'!T1746&lt;&gt;"Yes",
        DATEDIF('Loan Tape (S&amp;P)'!K1746, TODAY(), "M")&lt;18),
    1.10,
    1.00)</f>
        <v/>
      </c>
      <c r="O1746">
        <f>IF('Loan Tape (S&amp;P)'!T1746="Yes",
    1.35,
    1.00)</f>
        <v/>
      </c>
      <c r="P1746">
        <f>IF('Loan Tape (S&amp;P)'!S1746="Yes",
    1.15,
    1.00)</f>
        <v/>
      </c>
      <c r="Q1746">
        <f>IF('Loan Tape (S&amp;P)'!V1746="Yes",
    1.20,
    1.00)</f>
        <v/>
      </c>
      <c r="T1746">
        <f>LET(
    payment_method,'Loan Tape (S&amp;P)'!P1746,
    occupancy,'Loan Tape (S&amp;P)'!N1746,
    maturity_date,'Loan Tape (S&amp;P)'!L1746,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47">
      <c r="J1747">
        <f>LET(
    lien,'Loan Tape (S&amp;P)'!Q1747,
    IF(lien="First",1.00,
        IF(lien="Second",1.50,
            1.70)))</f>
        <v/>
      </c>
      <c r="K1747">
        <f>LET(
    purpose,'Loan Tape (S&amp;P)'!R1747,
    IF(purpose="Purchase",1.00,
        IF(purpose="Remortgage",1.00,
            1.20)))</f>
        <v/>
      </c>
      <c r="L1747">
        <f>LET(
    arrears_months,'Loan Tape (S&amp;P)'!AN1747,
    IF(arrears_months=0,1.00,
    IF(arrears_months=1,3.00,
    IF(arrears_months=2,5.00,
    IF(arrears_months=3,8.00,
    IF(arrears_months=4,10.00,
    IF(arrears_months=5,12.00,15.00)))))))</f>
        <v/>
      </c>
      <c r="M1747">
        <f>LET(
    seasoning_years,DATEDIF('Loan Tape (S&amp;P)'!K1747,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47">
        <f>IF(AND('Loan Tape (S&amp;P)'!U1747="Yes",
        'Loan Tape (S&amp;P)'!T1747&lt;&gt;"Yes",
        DATEDIF('Loan Tape (S&amp;P)'!K1747, TODAY(), "M")&lt;18),
    1.10,
    1.00)</f>
        <v/>
      </c>
      <c r="O1747">
        <f>IF('Loan Tape (S&amp;P)'!T1747="Yes",
    1.35,
    1.00)</f>
        <v/>
      </c>
      <c r="P1747">
        <f>IF('Loan Tape (S&amp;P)'!S1747="Yes",
    1.15,
    1.00)</f>
        <v/>
      </c>
      <c r="Q1747">
        <f>IF('Loan Tape (S&amp;P)'!V1747="Yes",
    1.20,
    1.00)</f>
        <v/>
      </c>
      <c r="T1747">
        <f>LET(
    payment_method,'Loan Tape (S&amp;P)'!P1747,
    occupancy,'Loan Tape (S&amp;P)'!N1747,
    maturity_date,'Loan Tape (S&amp;P)'!L1747,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48">
      <c r="J1748">
        <f>LET(
    lien,'Loan Tape (S&amp;P)'!Q1748,
    IF(lien="First",1.00,
        IF(lien="Second",1.50,
            1.70)))</f>
        <v/>
      </c>
      <c r="K1748">
        <f>LET(
    purpose,'Loan Tape (S&amp;P)'!R1748,
    IF(purpose="Purchase",1.00,
        IF(purpose="Remortgage",1.00,
            1.20)))</f>
        <v/>
      </c>
      <c r="L1748">
        <f>LET(
    arrears_months,'Loan Tape (S&amp;P)'!AN1748,
    IF(arrears_months=0,1.00,
    IF(arrears_months=1,3.00,
    IF(arrears_months=2,5.00,
    IF(arrears_months=3,8.00,
    IF(arrears_months=4,10.00,
    IF(arrears_months=5,12.00,15.00)))))))</f>
        <v/>
      </c>
      <c r="M1748">
        <f>LET(
    seasoning_years,DATEDIF('Loan Tape (S&amp;P)'!K1748,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48">
        <f>IF(AND('Loan Tape (S&amp;P)'!U1748="Yes",
        'Loan Tape (S&amp;P)'!T1748&lt;&gt;"Yes",
        DATEDIF('Loan Tape (S&amp;P)'!K1748, TODAY(), "M")&lt;18),
    1.10,
    1.00)</f>
        <v/>
      </c>
      <c r="O1748">
        <f>IF('Loan Tape (S&amp;P)'!T1748="Yes",
    1.35,
    1.00)</f>
        <v/>
      </c>
      <c r="P1748">
        <f>IF('Loan Tape (S&amp;P)'!S1748="Yes",
    1.15,
    1.00)</f>
        <v/>
      </c>
      <c r="Q1748">
        <f>IF('Loan Tape (S&amp;P)'!V1748="Yes",
    1.20,
    1.00)</f>
        <v/>
      </c>
      <c r="T1748">
        <f>LET(
    payment_method,'Loan Tape (S&amp;P)'!P1748,
    occupancy,'Loan Tape (S&amp;P)'!N1748,
    maturity_date,'Loan Tape (S&amp;P)'!L1748,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49">
      <c r="J1749">
        <f>LET(
    lien,'Loan Tape (S&amp;P)'!Q1749,
    IF(lien="First",1.00,
        IF(lien="Second",1.50,
            1.70)))</f>
        <v/>
      </c>
      <c r="K1749">
        <f>LET(
    purpose,'Loan Tape (S&amp;P)'!R1749,
    IF(purpose="Purchase",1.00,
        IF(purpose="Remortgage",1.00,
            1.20)))</f>
        <v/>
      </c>
      <c r="L1749">
        <f>LET(
    arrears_months,'Loan Tape (S&amp;P)'!AN1749,
    IF(arrears_months=0,1.00,
    IF(arrears_months=1,3.00,
    IF(arrears_months=2,5.00,
    IF(arrears_months=3,8.00,
    IF(arrears_months=4,10.00,
    IF(arrears_months=5,12.00,15.00)))))))</f>
        <v/>
      </c>
      <c r="M1749">
        <f>LET(
    seasoning_years,DATEDIF('Loan Tape (S&amp;P)'!K1749,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49">
        <f>IF(AND('Loan Tape (S&amp;P)'!U1749="Yes",
        'Loan Tape (S&amp;P)'!T1749&lt;&gt;"Yes",
        DATEDIF('Loan Tape (S&amp;P)'!K1749, TODAY(), "M")&lt;18),
    1.10,
    1.00)</f>
        <v/>
      </c>
      <c r="O1749">
        <f>IF('Loan Tape (S&amp;P)'!T1749="Yes",
    1.35,
    1.00)</f>
        <v/>
      </c>
      <c r="P1749">
        <f>IF('Loan Tape (S&amp;P)'!S1749="Yes",
    1.15,
    1.00)</f>
        <v/>
      </c>
      <c r="Q1749">
        <f>IF('Loan Tape (S&amp;P)'!V1749="Yes",
    1.20,
    1.00)</f>
        <v/>
      </c>
      <c r="T1749">
        <f>LET(
    payment_method,'Loan Tape (S&amp;P)'!P1749,
    occupancy,'Loan Tape (S&amp;P)'!N1749,
    maturity_date,'Loan Tape (S&amp;P)'!L1749,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50">
      <c r="J1750">
        <f>LET(
    lien,'Loan Tape (S&amp;P)'!Q1750,
    IF(lien="First",1.00,
        IF(lien="Second",1.50,
            1.70)))</f>
        <v/>
      </c>
      <c r="K1750">
        <f>LET(
    purpose,'Loan Tape (S&amp;P)'!R1750,
    IF(purpose="Purchase",1.00,
        IF(purpose="Remortgage",1.00,
            1.20)))</f>
        <v/>
      </c>
      <c r="L1750">
        <f>LET(
    arrears_months,'Loan Tape (S&amp;P)'!AN1750,
    IF(arrears_months=0,1.00,
    IF(arrears_months=1,3.00,
    IF(arrears_months=2,5.00,
    IF(arrears_months=3,8.00,
    IF(arrears_months=4,10.00,
    IF(arrears_months=5,12.00,15.00)))))))</f>
        <v/>
      </c>
      <c r="M1750">
        <f>LET(
    seasoning_years,DATEDIF('Loan Tape (S&amp;P)'!K1750,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50">
        <f>IF(AND('Loan Tape (S&amp;P)'!U1750="Yes",
        'Loan Tape (S&amp;P)'!T1750&lt;&gt;"Yes",
        DATEDIF('Loan Tape (S&amp;P)'!K1750, TODAY(), "M")&lt;18),
    1.10,
    1.00)</f>
        <v/>
      </c>
      <c r="O1750">
        <f>IF('Loan Tape (S&amp;P)'!T1750="Yes",
    1.35,
    1.00)</f>
        <v/>
      </c>
      <c r="P1750">
        <f>IF('Loan Tape (S&amp;P)'!S1750="Yes",
    1.15,
    1.00)</f>
        <v/>
      </c>
      <c r="Q1750">
        <f>IF('Loan Tape (S&amp;P)'!V1750="Yes",
    1.20,
    1.00)</f>
        <v/>
      </c>
      <c r="T1750">
        <f>LET(
    payment_method,'Loan Tape (S&amp;P)'!P1750,
    occupancy,'Loan Tape (S&amp;P)'!N1750,
    maturity_date,'Loan Tape (S&amp;P)'!L1750,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51">
      <c r="J1751">
        <f>LET(
    lien,'Loan Tape (S&amp;P)'!Q1751,
    IF(lien="First",1.00,
        IF(lien="Second",1.50,
            1.70)))</f>
        <v/>
      </c>
      <c r="K1751">
        <f>LET(
    purpose,'Loan Tape (S&amp;P)'!R1751,
    IF(purpose="Purchase",1.00,
        IF(purpose="Remortgage",1.00,
            1.20)))</f>
        <v/>
      </c>
      <c r="L1751">
        <f>LET(
    arrears_months,'Loan Tape (S&amp;P)'!AN1751,
    IF(arrears_months=0,1.00,
    IF(arrears_months=1,3.00,
    IF(arrears_months=2,5.00,
    IF(arrears_months=3,8.00,
    IF(arrears_months=4,10.00,
    IF(arrears_months=5,12.00,15.00)))))))</f>
        <v/>
      </c>
      <c r="M1751">
        <f>LET(
    seasoning_years,DATEDIF('Loan Tape (S&amp;P)'!K1751,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51">
        <f>IF(AND('Loan Tape (S&amp;P)'!U1751="Yes",
        'Loan Tape (S&amp;P)'!T1751&lt;&gt;"Yes",
        DATEDIF('Loan Tape (S&amp;P)'!K1751, TODAY(), "M")&lt;18),
    1.10,
    1.00)</f>
        <v/>
      </c>
      <c r="O1751">
        <f>IF('Loan Tape (S&amp;P)'!T1751="Yes",
    1.35,
    1.00)</f>
        <v/>
      </c>
      <c r="P1751">
        <f>IF('Loan Tape (S&amp;P)'!S1751="Yes",
    1.15,
    1.00)</f>
        <v/>
      </c>
      <c r="Q1751">
        <f>IF('Loan Tape (S&amp;P)'!V1751="Yes",
    1.20,
    1.00)</f>
        <v/>
      </c>
      <c r="T1751">
        <f>LET(
    payment_method,'Loan Tape (S&amp;P)'!P1751,
    occupancy,'Loan Tape (S&amp;P)'!N1751,
    maturity_date,'Loan Tape (S&amp;P)'!L1751,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52">
      <c r="J1752">
        <f>LET(
    lien,'Loan Tape (S&amp;P)'!Q1752,
    IF(lien="First",1.00,
        IF(lien="Second",1.50,
            1.70)))</f>
        <v/>
      </c>
      <c r="K1752">
        <f>LET(
    purpose,'Loan Tape (S&amp;P)'!R1752,
    IF(purpose="Purchase",1.00,
        IF(purpose="Remortgage",1.00,
            1.20)))</f>
        <v/>
      </c>
      <c r="L1752">
        <f>LET(
    arrears_months,'Loan Tape (S&amp;P)'!AN1752,
    IF(arrears_months=0,1.00,
    IF(arrears_months=1,3.00,
    IF(arrears_months=2,5.00,
    IF(arrears_months=3,8.00,
    IF(arrears_months=4,10.00,
    IF(arrears_months=5,12.00,15.00)))))))</f>
        <v/>
      </c>
      <c r="M1752">
        <f>LET(
    seasoning_years,DATEDIF('Loan Tape (S&amp;P)'!K1752,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52">
        <f>IF(AND('Loan Tape (S&amp;P)'!U1752="Yes",
        'Loan Tape (S&amp;P)'!T1752&lt;&gt;"Yes",
        DATEDIF('Loan Tape (S&amp;P)'!K1752, TODAY(), "M")&lt;18),
    1.10,
    1.00)</f>
        <v/>
      </c>
      <c r="O1752">
        <f>IF('Loan Tape (S&amp;P)'!T1752="Yes",
    1.35,
    1.00)</f>
        <v/>
      </c>
      <c r="P1752">
        <f>IF('Loan Tape (S&amp;P)'!S1752="Yes",
    1.15,
    1.00)</f>
        <v/>
      </c>
      <c r="Q1752">
        <f>IF('Loan Tape (S&amp;P)'!V1752="Yes",
    1.20,
    1.00)</f>
        <v/>
      </c>
      <c r="T1752">
        <f>LET(
    payment_method,'Loan Tape (S&amp;P)'!P1752,
    occupancy,'Loan Tape (S&amp;P)'!N1752,
    maturity_date,'Loan Tape (S&amp;P)'!L1752,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53">
      <c r="J1753">
        <f>LET(
    lien,'Loan Tape (S&amp;P)'!Q1753,
    IF(lien="First",1.00,
        IF(lien="Second",1.50,
            1.70)))</f>
        <v/>
      </c>
      <c r="K1753">
        <f>LET(
    purpose,'Loan Tape (S&amp;P)'!R1753,
    IF(purpose="Purchase",1.00,
        IF(purpose="Remortgage",1.00,
            1.20)))</f>
        <v/>
      </c>
      <c r="L1753">
        <f>LET(
    arrears_months,'Loan Tape (S&amp;P)'!AN1753,
    IF(arrears_months=0,1.00,
    IF(arrears_months=1,3.00,
    IF(arrears_months=2,5.00,
    IF(arrears_months=3,8.00,
    IF(arrears_months=4,10.00,
    IF(arrears_months=5,12.00,15.00)))))))</f>
        <v/>
      </c>
      <c r="M1753">
        <f>LET(
    seasoning_years,DATEDIF('Loan Tape (S&amp;P)'!K1753,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53">
        <f>IF(AND('Loan Tape (S&amp;P)'!U1753="Yes",
        'Loan Tape (S&amp;P)'!T1753&lt;&gt;"Yes",
        DATEDIF('Loan Tape (S&amp;P)'!K1753, TODAY(), "M")&lt;18),
    1.10,
    1.00)</f>
        <v/>
      </c>
      <c r="O1753">
        <f>IF('Loan Tape (S&amp;P)'!T1753="Yes",
    1.35,
    1.00)</f>
        <v/>
      </c>
      <c r="P1753">
        <f>IF('Loan Tape (S&amp;P)'!S1753="Yes",
    1.15,
    1.00)</f>
        <v/>
      </c>
      <c r="Q1753">
        <f>IF('Loan Tape (S&amp;P)'!V1753="Yes",
    1.20,
    1.00)</f>
        <v/>
      </c>
      <c r="T1753">
        <f>LET(
    payment_method,'Loan Tape (S&amp;P)'!P1753,
    occupancy,'Loan Tape (S&amp;P)'!N1753,
    maturity_date,'Loan Tape (S&amp;P)'!L1753,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54">
      <c r="J1754">
        <f>LET(
    lien,'Loan Tape (S&amp;P)'!Q1754,
    IF(lien="First",1.00,
        IF(lien="Second",1.50,
            1.70)))</f>
        <v/>
      </c>
      <c r="K1754">
        <f>LET(
    purpose,'Loan Tape (S&amp;P)'!R1754,
    IF(purpose="Purchase",1.00,
        IF(purpose="Remortgage",1.00,
            1.20)))</f>
        <v/>
      </c>
      <c r="L1754">
        <f>LET(
    arrears_months,'Loan Tape (S&amp;P)'!AN1754,
    IF(arrears_months=0,1.00,
    IF(arrears_months=1,3.00,
    IF(arrears_months=2,5.00,
    IF(arrears_months=3,8.00,
    IF(arrears_months=4,10.00,
    IF(arrears_months=5,12.00,15.00)))))))</f>
        <v/>
      </c>
      <c r="M1754">
        <f>LET(
    seasoning_years,DATEDIF('Loan Tape (S&amp;P)'!K1754,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54">
        <f>IF(AND('Loan Tape (S&amp;P)'!U1754="Yes",
        'Loan Tape (S&amp;P)'!T1754&lt;&gt;"Yes",
        DATEDIF('Loan Tape (S&amp;P)'!K1754, TODAY(), "M")&lt;18),
    1.10,
    1.00)</f>
        <v/>
      </c>
      <c r="O1754">
        <f>IF('Loan Tape (S&amp;P)'!T1754="Yes",
    1.35,
    1.00)</f>
        <v/>
      </c>
      <c r="P1754">
        <f>IF('Loan Tape (S&amp;P)'!S1754="Yes",
    1.15,
    1.00)</f>
        <v/>
      </c>
      <c r="Q1754">
        <f>IF('Loan Tape (S&amp;P)'!V1754="Yes",
    1.20,
    1.00)</f>
        <v/>
      </c>
      <c r="T1754">
        <f>LET(
    payment_method,'Loan Tape (S&amp;P)'!P1754,
    occupancy,'Loan Tape (S&amp;P)'!N1754,
    maturity_date,'Loan Tape (S&amp;P)'!L1754,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55">
      <c r="J1755">
        <f>LET(
    lien,'Loan Tape (S&amp;P)'!Q1755,
    IF(lien="First",1.00,
        IF(lien="Second",1.50,
            1.70)))</f>
        <v/>
      </c>
      <c r="K1755">
        <f>LET(
    purpose,'Loan Tape (S&amp;P)'!R1755,
    IF(purpose="Purchase",1.00,
        IF(purpose="Remortgage",1.00,
            1.20)))</f>
        <v/>
      </c>
      <c r="L1755">
        <f>LET(
    arrears_months,'Loan Tape (S&amp;P)'!AN1755,
    IF(arrears_months=0,1.00,
    IF(arrears_months=1,3.00,
    IF(arrears_months=2,5.00,
    IF(arrears_months=3,8.00,
    IF(arrears_months=4,10.00,
    IF(arrears_months=5,12.00,15.00)))))))</f>
        <v/>
      </c>
      <c r="M1755">
        <f>LET(
    seasoning_years,DATEDIF('Loan Tape (S&amp;P)'!K1755,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55">
        <f>IF(AND('Loan Tape (S&amp;P)'!U1755="Yes",
        'Loan Tape (S&amp;P)'!T1755&lt;&gt;"Yes",
        DATEDIF('Loan Tape (S&amp;P)'!K1755, TODAY(), "M")&lt;18),
    1.10,
    1.00)</f>
        <v/>
      </c>
      <c r="O1755">
        <f>IF('Loan Tape (S&amp;P)'!T1755="Yes",
    1.35,
    1.00)</f>
        <v/>
      </c>
      <c r="P1755">
        <f>IF('Loan Tape (S&amp;P)'!S1755="Yes",
    1.15,
    1.00)</f>
        <v/>
      </c>
      <c r="Q1755">
        <f>IF('Loan Tape (S&amp;P)'!V1755="Yes",
    1.20,
    1.00)</f>
        <v/>
      </c>
      <c r="T1755">
        <f>LET(
    payment_method,'Loan Tape (S&amp;P)'!P1755,
    occupancy,'Loan Tape (S&amp;P)'!N1755,
    maturity_date,'Loan Tape (S&amp;P)'!L1755,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56">
      <c r="J1756">
        <f>LET(
    lien,'Loan Tape (S&amp;P)'!Q1756,
    IF(lien="First",1.00,
        IF(lien="Second",1.50,
            1.70)))</f>
        <v/>
      </c>
      <c r="K1756">
        <f>LET(
    purpose,'Loan Tape (S&amp;P)'!R1756,
    IF(purpose="Purchase",1.00,
        IF(purpose="Remortgage",1.00,
            1.20)))</f>
        <v/>
      </c>
      <c r="L1756">
        <f>LET(
    arrears_months,'Loan Tape (S&amp;P)'!AN1756,
    IF(arrears_months=0,1.00,
    IF(arrears_months=1,3.00,
    IF(arrears_months=2,5.00,
    IF(arrears_months=3,8.00,
    IF(arrears_months=4,10.00,
    IF(arrears_months=5,12.00,15.00)))))))</f>
        <v/>
      </c>
      <c r="M1756">
        <f>LET(
    seasoning_years,DATEDIF('Loan Tape (S&amp;P)'!K1756,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56">
        <f>IF(AND('Loan Tape (S&amp;P)'!U1756="Yes",
        'Loan Tape (S&amp;P)'!T1756&lt;&gt;"Yes",
        DATEDIF('Loan Tape (S&amp;P)'!K1756, TODAY(), "M")&lt;18),
    1.10,
    1.00)</f>
        <v/>
      </c>
      <c r="O1756">
        <f>IF('Loan Tape (S&amp;P)'!T1756="Yes",
    1.35,
    1.00)</f>
        <v/>
      </c>
      <c r="P1756">
        <f>IF('Loan Tape (S&amp;P)'!S1756="Yes",
    1.15,
    1.00)</f>
        <v/>
      </c>
      <c r="Q1756">
        <f>IF('Loan Tape (S&amp;P)'!V1756="Yes",
    1.20,
    1.00)</f>
        <v/>
      </c>
      <c r="T1756">
        <f>LET(
    payment_method,'Loan Tape (S&amp;P)'!P1756,
    occupancy,'Loan Tape (S&amp;P)'!N1756,
    maturity_date,'Loan Tape (S&amp;P)'!L1756,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57">
      <c r="J1757">
        <f>LET(
    lien,'Loan Tape (S&amp;P)'!Q1757,
    IF(lien="First",1.00,
        IF(lien="Second",1.50,
            1.70)))</f>
        <v/>
      </c>
      <c r="K1757">
        <f>LET(
    purpose,'Loan Tape (S&amp;P)'!R1757,
    IF(purpose="Purchase",1.00,
        IF(purpose="Remortgage",1.00,
            1.20)))</f>
        <v/>
      </c>
      <c r="L1757">
        <f>LET(
    arrears_months,'Loan Tape (S&amp;P)'!AN1757,
    IF(arrears_months=0,1.00,
    IF(arrears_months=1,3.00,
    IF(arrears_months=2,5.00,
    IF(arrears_months=3,8.00,
    IF(arrears_months=4,10.00,
    IF(arrears_months=5,12.00,15.00)))))))</f>
        <v/>
      </c>
      <c r="M1757">
        <f>LET(
    seasoning_years,DATEDIF('Loan Tape (S&amp;P)'!K1757,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57">
        <f>IF(AND('Loan Tape (S&amp;P)'!U1757="Yes",
        'Loan Tape (S&amp;P)'!T1757&lt;&gt;"Yes",
        DATEDIF('Loan Tape (S&amp;P)'!K1757, TODAY(), "M")&lt;18),
    1.10,
    1.00)</f>
        <v/>
      </c>
      <c r="O1757">
        <f>IF('Loan Tape (S&amp;P)'!T1757="Yes",
    1.35,
    1.00)</f>
        <v/>
      </c>
      <c r="P1757">
        <f>IF('Loan Tape (S&amp;P)'!S1757="Yes",
    1.15,
    1.00)</f>
        <v/>
      </c>
      <c r="Q1757">
        <f>IF('Loan Tape (S&amp;P)'!V1757="Yes",
    1.20,
    1.00)</f>
        <v/>
      </c>
      <c r="T1757">
        <f>LET(
    payment_method,'Loan Tape (S&amp;P)'!P1757,
    occupancy,'Loan Tape (S&amp;P)'!N1757,
    maturity_date,'Loan Tape (S&amp;P)'!L1757,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58">
      <c r="J1758">
        <f>LET(
    lien,'Loan Tape (S&amp;P)'!Q1758,
    IF(lien="First",1.00,
        IF(lien="Second",1.50,
            1.70)))</f>
        <v/>
      </c>
      <c r="K1758">
        <f>LET(
    purpose,'Loan Tape (S&amp;P)'!R1758,
    IF(purpose="Purchase",1.00,
        IF(purpose="Remortgage",1.00,
            1.20)))</f>
        <v/>
      </c>
      <c r="L1758">
        <f>LET(
    arrears_months,'Loan Tape (S&amp;P)'!AN1758,
    IF(arrears_months=0,1.00,
    IF(arrears_months=1,3.00,
    IF(arrears_months=2,5.00,
    IF(arrears_months=3,8.00,
    IF(arrears_months=4,10.00,
    IF(arrears_months=5,12.00,15.00)))))))</f>
        <v/>
      </c>
      <c r="M1758">
        <f>LET(
    seasoning_years,DATEDIF('Loan Tape (S&amp;P)'!K1758,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58">
        <f>IF(AND('Loan Tape (S&amp;P)'!U1758="Yes",
        'Loan Tape (S&amp;P)'!T1758&lt;&gt;"Yes",
        DATEDIF('Loan Tape (S&amp;P)'!K1758, TODAY(), "M")&lt;18),
    1.10,
    1.00)</f>
        <v/>
      </c>
      <c r="O1758">
        <f>IF('Loan Tape (S&amp;P)'!T1758="Yes",
    1.35,
    1.00)</f>
        <v/>
      </c>
      <c r="P1758">
        <f>IF('Loan Tape (S&amp;P)'!S1758="Yes",
    1.15,
    1.00)</f>
        <v/>
      </c>
      <c r="Q1758">
        <f>IF('Loan Tape (S&amp;P)'!V1758="Yes",
    1.20,
    1.00)</f>
        <v/>
      </c>
      <c r="T1758">
        <f>LET(
    payment_method,'Loan Tape (S&amp;P)'!P1758,
    occupancy,'Loan Tape (S&amp;P)'!N1758,
    maturity_date,'Loan Tape (S&amp;P)'!L1758,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59">
      <c r="J1759">
        <f>LET(
    lien,'Loan Tape (S&amp;P)'!Q1759,
    IF(lien="First",1.00,
        IF(lien="Second",1.50,
            1.70)))</f>
        <v/>
      </c>
      <c r="K1759">
        <f>LET(
    purpose,'Loan Tape (S&amp;P)'!R1759,
    IF(purpose="Purchase",1.00,
        IF(purpose="Remortgage",1.00,
            1.20)))</f>
        <v/>
      </c>
      <c r="L1759">
        <f>LET(
    arrears_months,'Loan Tape (S&amp;P)'!AN1759,
    IF(arrears_months=0,1.00,
    IF(arrears_months=1,3.00,
    IF(arrears_months=2,5.00,
    IF(arrears_months=3,8.00,
    IF(arrears_months=4,10.00,
    IF(arrears_months=5,12.00,15.00)))))))</f>
        <v/>
      </c>
      <c r="M1759">
        <f>LET(
    seasoning_years,DATEDIF('Loan Tape (S&amp;P)'!K1759,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59">
        <f>IF(AND('Loan Tape (S&amp;P)'!U1759="Yes",
        'Loan Tape (S&amp;P)'!T1759&lt;&gt;"Yes",
        DATEDIF('Loan Tape (S&amp;P)'!K1759, TODAY(), "M")&lt;18),
    1.10,
    1.00)</f>
        <v/>
      </c>
      <c r="O1759">
        <f>IF('Loan Tape (S&amp;P)'!T1759="Yes",
    1.35,
    1.00)</f>
        <v/>
      </c>
      <c r="P1759">
        <f>IF('Loan Tape (S&amp;P)'!S1759="Yes",
    1.15,
    1.00)</f>
        <v/>
      </c>
      <c r="Q1759">
        <f>IF('Loan Tape (S&amp;P)'!V1759="Yes",
    1.20,
    1.00)</f>
        <v/>
      </c>
      <c r="T1759">
        <f>LET(
    payment_method,'Loan Tape (S&amp;P)'!P1759,
    occupancy,'Loan Tape (S&amp;P)'!N1759,
    maturity_date,'Loan Tape (S&amp;P)'!L1759,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60">
      <c r="J1760">
        <f>LET(
    lien,'Loan Tape (S&amp;P)'!Q1760,
    IF(lien="First",1.00,
        IF(lien="Second",1.50,
            1.70)))</f>
        <v/>
      </c>
      <c r="K1760">
        <f>LET(
    purpose,'Loan Tape (S&amp;P)'!R1760,
    IF(purpose="Purchase",1.00,
        IF(purpose="Remortgage",1.00,
            1.20)))</f>
        <v/>
      </c>
      <c r="L1760">
        <f>LET(
    arrears_months,'Loan Tape (S&amp;P)'!AN1760,
    IF(arrears_months=0,1.00,
    IF(arrears_months=1,3.00,
    IF(arrears_months=2,5.00,
    IF(arrears_months=3,8.00,
    IF(arrears_months=4,10.00,
    IF(arrears_months=5,12.00,15.00)))))))</f>
        <v/>
      </c>
      <c r="M1760">
        <f>LET(
    seasoning_years,DATEDIF('Loan Tape (S&amp;P)'!K1760,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60">
        <f>IF(AND('Loan Tape (S&amp;P)'!U1760="Yes",
        'Loan Tape (S&amp;P)'!T1760&lt;&gt;"Yes",
        DATEDIF('Loan Tape (S&amp;P)'!K1760, TODAY(), "M")&lt;18),
    1.10,
    1.00)</f>
        <v/>
      </c>
      <c r="O1760">
        <f>IF('Loan Tape (S&amp;P)'!T1760="Yes",
    1.35,
    1.00)</f>
        <v/>
      </c>
      <c r="P1760">
        <f>IF('Loan Tape (S&amp;P)'!S1760="Yes",
    1.15,
    1.00)</f>
        <v/>
      </c>
      <c r="Q1760">
        <f>IF('Loan Tape (S&amp;P)'!V1760="Yes",
    1.20,
    1.00)</f>
        <v/>
      </c>
      <c r="T1760">
        <f>LET(
    payment_method,'Loan Tape (S&amp;P)'!P1760,
    occupancy,'Loan Tape (S&amp;P)'!N1760,
    maturity_date,'Loan Tape (S&amp;P)'!L1760,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61">
      <c r="J1761">
        <f>LET(
    lien,'Loan Tape (S&amp;P)'!Q1761,
    IF(lien="First",1.00,
        IF(lien="Second",1.50,
            1.70)))</f>
        <v/>
      </c>
      <c r="K1761">
        <f>LET(
    purpose,'Loan Tape (S&amp;P)'!R1761,
    IF(purpose="Purchase",1.00,
        IF(purpose="Remortgage",1.00,
            1.20)))</f>
        <v/>
      </c>
      <c r="L1761">
        <f>LET(
    arrears_months,'Loan Tape (S&amp;P)'!AN1761,
    IF(arrears_months=0,1.00,
    IF(arrears_months=1,3.00,
    IF(arrears_months=2,5.00,
    IF(arrears_months=3,8.00,
    IF(arrears_months=4,10.00,
    IF(arrears_months=5,12.00,15.00)))))))</f>
        <v/>
      </c>
      <c r="M1761">
        <f>LET(
    seasoning_years,DATEDIF('Loan Tape (S&amp;P)'!K1761,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61">
        <f>IF(AND('Loan Tape (S&amp;P)'!U1761="Yes",
        'Loan Tape (S&amp;P)'!T1761&lt;&gt;"Yes",
        DATEDIF('Loan Tape (S&amp;P)'!K1761, TODAY(), "M")&lt;18),
    1.10,
    1.00)</f>
        <v/>
      </c>
      <c r="O1761">
        <f>IF('Loan Tape (S&amp;P)'!T1761="Yes",
    1.35,
    1.00)</f>
        <v/>
      </c>
      <c r="P1761">
        <f>IF('Loan Tape (S&amp;P)'!S1761="Yes",
    1.15,
    1.00)</f>
        <v/>
      </c>
      <c r="Q1761">
        <f>IF('Loan Tape (S&amp;P)'!V1761="Yes",
    1.20,
    1.00)</f>
        <v/>
      </c>
      <c r="T1761">
        <f>LET(
    payment_method,'Loan Tape (S&amp;P)'!P1761,
    occupancy,'Loan Tape (S&amp;P)'!N1761,
    maturity_date,'Loan Tape (S&amp;P)'!L1761,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62">
      <c r="J1762">
        <f>LET(
    lien,'Loan Tape (S&amp;P)'!Q1762,
    IF(lien="First",1.00,
        IF(lien="Second",1.50,
            1.70)))</f>
        <v/>
      </c>
      <c r="K1762">
        <f>LET(
    purpose,'Loan Tape (S&amp;P)'!R1762,
    IF(purpose="Purchase",1.00,
        IF(purpose="Remortgage",1.00,
            1.20)))</f>
        <v/>
      </c>
      <c r="L1762">
        <f>LET(
    arrears_months,'Loan Tape (S&amp;P)'!AN1762,
    IF(arrears_months=0,1.00,
    IF(arrears_months=1,3.00,
    IF(arrears_months=2,5.00,
    IF(arrears_months=3,8.00,
    IF(arrears_months=4,10.00,
    IF(arrears_months=5,12.00,15.00)))))))</f>
        <v/>
      </c>
      <c r="M1762">
        <f>LET(
    seasoning_years,DATEDIF('Loan Tape (S&amp;P)'!K1762,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62">
        <f>IF(AND('Loan Tape (S&amp;P)'!U1762="Yes",
        'Loan Tape (S&amp;P)'!T1762&lt;&gt;"Yes",
        DATEDIF('Loan Tape (S&amp;P)'!K1762, TODAY(), "M")&lt;18),
    1.10,
    1.00)</f>
        <v/>
      </c>
      <c r="O1762">
        <f>IF('Loan Tape (S&amp;P)'!T1762="Yes",
    1.35,
    1.00)</f>
        <v/>
      </c>
      <c r="P1762">
        <f>IF('Loan Tape (S&amp;P)'!S1762="Yes",
    1.15,
    1.00)</f>
        <v/>
      </c>
      <c r="Q1762">
        <f>IF('Loan Tape (S&amp;P)'!V1762="Yes",
    1.20,
    1.00)</f>
        <v/>
      </c>
      <c r="T1762">
        <f>LET(
    payment_method,'Loan Tape (S&amp;P)'!P1762,
    occupancy,'Loan Tape (S&amp;P)'!N1762,
    maturity_date,'Loan Tape (S&amp;P)'!L1762,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63">
      <c r="J1763">
        <f>LET(
    lien,'Loan Tape (S&amp;P)'!Q1763,
    IF(lien="First",1.00,
        IF(lien="Second",1.50,
            1.70)))</f>
        <v/>
      </c>
      <c r="K1763">
        <f>LET(
    purpose,'Loan Tape (S&amp;P)'!R1763,
    IF(purpose="Purchase",1.00,
        IF(purpose="Remortgage",1.00,
            1.20)))</f>
        <v/>
      </c>
      <c r="L1763">
        <f>LET(
    arrears_months,'Loan Tape (S&amp;P)'!AN1763,
    IF(arrears_months=0,1.00,
    IF(arrears_months=1,3.00,
    IF(arrears_months=2,5.00,
    IF(arrears_months=3,8.00,
    IF(arrears_months=4,10.00,
    IF(arrears_months=5,12.00,15.00)))))))</f>
        <v/>
      </c>
      <c r="M1763">
        <f>LET(
    seasoning_years,DATEDIF('Loan Tape (S&amp;P)'!K1763,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63">
        <f>IF(AND('Loan Tape (S&amp;P)'!U1763="Yes",
        'Loan Tape (S&amp;P)'!T1763&lt;&gt;"Yes",
        DATEDIF('Loan Tape (S&amp;P)'!K1763, TODAY(), "M")&lt;18),
    1.10,
    1.00)</f>
        <v/>
      </c>
      <c r="O1763">
        <f>IF('Loan Tape (S&amp;P)'!T1763="Yes",
    1.35,
    1.00)</f>
        <v/>
      </c>
      <c r="P1763">
        <f>IF('Loan Tape (S&amp;P)'!S1763="Yes",
    1.15,
    1.00)</f>
        <v/>
      </c>
      <c r="Q1763">
        <f>IF('Loan Tape (S&amp;P)'!V1763="Yes",
    1.20,
    1.00)</f>
        <v/>
      </c>
      <c r="T1763">
        <f>LET(
    payment_method,'Loan Tape (S&amp;P)'!P1763,
    occupancy,'Loan Tape (S&amp;P)'!N1763,
    maturity_date,'Loan Tape (S&amp;P)'!L1763,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64">
      <c r="J1764">
        <f>LET(
    lien,'Loan Tape (S&amp;P)'!Q1764,
    IF(lien="First",1.00,
        IF(lien="Second",1.50,
            1.70)))</f>
        <v/>
      </c>
      <c r="K1764">
        <f>LET(
    purpose,'Loan Tape (S&amp;P)'!R1764,
    IF(purpose="Purchase",1.00,
        IF(purpose="Remortgage",1.00,
            1.20)))</f>
        <v/>
      </c>
      <c r="L1764">
        <f>LET(
    arrears_months,'Loan Tape (S&amp;P)'!AN1764,
    IF(arrears_months=0,1.00,
    IF(arrears_months=1,3.00,
    IF(arrears_months=2,5.00,
    IF(arrears_months=3,8.00,
    IF(arrears_months=4,10.00,
    IF(arrears_months=5,12.00,15.00)))))))</f>
        <v/>
      </c>
      <c r="M1764">
        <f>LET(
    seasoning_years,DATEDIF('Loan Tape (S&amp;P)'!K1764,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64">
        <f>IF(AND('Loan Tape (S&amp;P)'!U1764="Yes",
        'Loan Tape (S&amp;P)'!T1764&lt;&gt;"Yes",
        DATEDIF('Loan Tape (S&amp;P)'!K1764, TODAY(), "M")&lt;18),
    1.10,
    1.00)</f>
        <v/>
      </c>
      <c r="O1764">
        <f>IF('Loan Tape (S&amp;P)'!T1764="Yes",
    1.35,
    1.00)</f>
        <v/>
      </c>
      <c r="P1764">
        <f>IF('Loan Tape (S&amp;P)'!S1764="Yes",
    1.15,
    1.00)</f>
        <v/>
      </c>
      <c r="Q1764">
        <f>IF('Loan Tape (S&amp;P)'!V1764="Yes",
    1.20,
    1.00)</f>
        <v/>
      </c>
      <c r="T1764">
        <f>LET(
    payment_method,'Loan Tape (S&amp;P)'!P1764,
    occupancy,'Loan Tape (S&amp;P)'!N1764,
    maturity_date,'Loan Tape (S&amp;P)'!L1764,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65">
      <c r="J1765">
        <f>LET(
    lien,'Loan Tape (S&amp;P)'!Q1765,
    IF(lien="First",1.00,
        IF(lien="Second",1.50,
            1.70)))</f>
        <v/>
      </c>
      <c r="K1765">
        <f>LET(
    purpose,'Loan Tape (S&amp;P)'!R1765,
    IF(purpose="Purchase",1.00,
        IF(purpose="Remortgage",1.00,
            1.20)))</f>
        <v/>
      </c>
      <c r="L1765">
        <f>LET(
    arrears_months,'Loan Tape (S&amp;P)'!AN1765,
    IF(arrears_months=0,1.00,
    IF(arrears_months=1,3.00,
    IF(arrears_months=2,5.00,
    IF(arrears_months=3,8.00,
    IF(arrears_months=4,10.00,
    IF(arrears_months=5,12.00,15.00)))))))</f>
        <v/>
      </c>
      <c r="M1765">
        <f>LET(
    seasoning_years,DATEDIF('Loan Tape (S&amp;P)'!K1765,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65">
        <f>IF(AND('Loan Tape (S&amp;P)'!U1765="Yes",
        'Loan Tape (S&amp;P)'!T1765&lt;&gt;"Yes",
        DATEDIF('Loan Tape (S&amp;P)'!K1765, TODAY(), "M")&lt;18),
    1.10,
    1.00)</f>
        <v/>
      </c>
      <c r="O1765">
        <f>IF('Loan Tape (S&amp;P)'!T1765="Yes",
    1.35,
    1.00)</f>
        <v/>
      </c>
      <c r="P1765">
        <f>IF('Loan Tape (S&amp;P)'!S1765="Yes",
    1.15,
    1.00)</f>
        <v/>
      </c>
      <c r="Q1765">
        <f>IF('Loan Tape (S&amp;P)'!V1765="Yes",
    1.20,
    1.00)</f>
        <v/>
      </c>
      <c r="T1765">
        <f>LET(
    payment_method,'Loan Tape (S&amp;P)'!P1765,
    occupancy,'Loan Tape (S&amp;P)'!N1765,
    maturity_date,'Loan Tape (S&amp;P)'!L1765,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66">
      <c r="J1766">
        <f>LET(
    lien,'Loan Tape (S&amp;P)'!Q1766,
    IF(lien="First",1.00,
        IF(lien="Second",1.50,
            1.70)))</f>
        <v/>
      </c>
      <c r="K1766">
        <f>LET(
    purpose,'Loan Tape (S&amp;P)'!R1766,
    IF(purpose="Purchase",1.00,
        IF(purpose="Remortgage",1.00,
            1.20)))</f>
        <v/>
      </c>
      <c r="L1766">
        <f>LET(
    arrears_months,'Loan Tape (S&amp;P)'!AN1766,
    IF(arrears_months=0,1.00,
    IF(arrears_months=1,3.00,
    IF(arrears_months=2,5.00,
    IF(arrears_months=3,8.00,
    IF(arrears_months=4,10.00,
    IF(arrears_months=5,12.00,15.00)))))))</f>
        <v/>
      </c>
      <c r="M1766">
        <f>LET(
    seasoning_years,DATEDIF('Loan Tape (S&amp;P)'!K1766,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66">
        <f>IF(AND('Loan Tape (S&amp;P)'!U1766="Yes",
        'Loan Tape (S&amp;P)'!T1766&lt;&gt;"Yes",
        DATEDIF('Loan Tape (S&amp;P)'!K1766, TODAY(), "M")&lt;18),
    1.10,
    1.00)</f>
        <v/>
      </c>
      <c r="O1766">
        <f>IF('Loan Tape (S&amp;P)'!T1766="Yes",
    1.35,
    1.00)</f>
        <v/>
      </c>
      <c r="P1766">
        <f>IF('Loan Tape (S&amp;P)'!S1766="Yes",
    1.15,
    1.00)</f>
        <v/>
      </c>
      <c r="Q1766">
        <f>IF('Loan Tape (S&amp;P)'!V1766="Yes",
    1.20,
    1.00)</f>
        <v/>
      </c>
      <c r="T1766">
        <f>LET(
    payment_method,'Loan Tape (S&amp;P)'!P1766,
    occupancy,'Loan Tape (S&amp;P)'!N1766,
    maturity_date,'Loan Tape (S&amp;P)'!L1766,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67">
      <c r="J1767">
        <f>LET(
    lien,'Loan Tape (S&amp;P)'!Q1767,
    IF(lien="First",1.00,
        IF(lien="Second",1.50,
            1.70)))</f>
        <v/>
      </c>
      <c r="K1767">
        <f>LET(
    purpose,'Loan Tape (S&amp;P)'!R1767,
    IF(purpose="Purchase",1.00,
        IF(purpose="Remortgage",1.00,
            1.20)))</f>
        <v/>
      </c>
      <c r="L1767">
        <f>LET(
    arrears_months,'Loan Tape (S&amp;P)'!AN1767,
    IF(arrears_months=0,1.00,
    IF(arrears_months=1,3.00,
    IF(arrears_months=2,5.00,
    IF(arrears_months=3,8.00,
    IF(arrears_months=4,10.00,
    IF(arrears_months=5,12.00,15.00)))))))</f>
        <v/>
      </c>
      <c r="M1767">
        <f>LET(
    seasoning_years,DATEDIF('Loan Tape (S&amp;P)'!K1767,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67">
        <f>IF(AND('Loan Tape (S&amp;P)'!U1767="Yes",
        'Loan Tape (S&amp;P)'!T1767&lt;&gt;"Yes",
        DATEDIF('Loan Tape (S&amp;P)'!K1767, TODAY(), "M")&lt;18),
    1.10,
    1.00)</f>
        <v/>
      </c>
      <c r="O1767">
        <f>IF('Loan Tape (S&amp;P)'!T1767="Yes",
    1.35,
    1.00)</f>
        <v/>
      </c>
      <c r="P1767">
        <f>IF('Loan Tape (S&amp;P)'!S1767="Yes",
    1.15,
    1.00)</f>
        <v/>
      </c>
      <c r="Q1767">
        <f>IF('Loan Tape (S&amp;P)'!V1767="Yes",
    1.20,
    1.00)</f>
        <v/>
      </c>
      <c r="T1767">
        <f>LET(
    payment_method,'Loan Tape (S&amp;P)'!P1767,
    occupancy,'Loan Tape (S&amp;P)'!N1767,
    maturity_date,'Loan Tape (S&amp;P)'!L1767,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68">
      <c r="J1768">
        <f>LET(
    lien,'Loan Tape (S&amp;P)'!Q1768,
    IF(lien="First",1.00,
        IF(lien="Second",1.50,
            1.70)))</f>
        <v/>
      </c>
      <c r="K1768">
        <f>LET(
    purpose,'Loan Tape (S&amp;P)'!R1768,
    IF(purpose="Purchase",1.00,
        IF(purpose="Remortgage",1.00,
            1.20)))</f>
        <v/>
      </c>
      <c r="L1768">
        <f>LET(
    arrears_months,'Loan Tape (S&amp;P)'!AN1768,
    IF(arrears_months=0,1.00,
    IF(arrears_months=1,3.00,
    IF(arrears_months=2,5.00,
    IF(arrears_months=3,8.00,
    IF(arrears_months=4,10.00,
    IF(arrears_months=5,12.00,15.00)))))))</f>
        <v/>
      </c>
      <c r="M1768">
        <f>LET(
    seasoning_years,DATEDIF('Loan Tape (S&amp;P)'!K1768,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68">
        <f>IF(AND('Loan Tape (S&amp;P)'!U1768="Yes",
        'Loan Tape (S&amp;P)'!T1768&lt;&gt;"Yes",
        DATEDIF('Loan Tape (S&amp;P)'!K1768, TODAY(), "M")&lt;18),
    1.10,
    1.00)</f>
        <v/>
      </c>
      <c r="O1768">
        <f>IF('Loan Tape (S&amp;P)'!T1768="Yes",
    1.35,
    1.00)</f>
        <v/>
      </c>
      <c r="P1768">
        <f>IF('Loan Tape (S&amp;P)'!S1768="Yes",
    1.15,
    1.00)</f>
        <v/>
      </c>
      <c r="Q1768">
        <f>IF('Loan Tape (S&amp;P)'!V1768="Yes",
    1.20,
    1.00)</f>
        <v/>
      </c>
      <c r="T1768">
        <f>LET(
    payment_method,'Loan Tape (S&amp;P)'!P1768,
    occupancy,'Loan Tape (S&amp;P)'!N1768,
    maturity_date,'Loan Tape (S&amp;P)'!L1768,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69">
      <c r="J1769">
        <f>LET(
    lien,'Loan Tape (S&amp;P)'!Q1769,
    IF(lien="First",1.00,
        IF(lien="Second",1.50,
            1.70)))</f>
        <v/>
      </c>
      <c r="K1769">
        <f>LET(
    purpose,'Loan Tape (S&amp;P)'!R1769,
    IF(purpose="Purchase",1.00,
        IF(purpose="Remortgage",1.00,
            1.20)))</f>
        <v/>
      </c>
      <c r="L1769">
        <f>LET(
    arrears_months,'Loan Tape (S&amp;P)'!AN1769,
    IF(arrears_months=0,1.00,
    IF(arrears_months=1,3.00,
    IF(arrears_months=2,5.00,
    IF(arrears_months=3,8.00,
    IF(arrears_months=4,10.00,
    IF(arrears_months=5,12.00,15.00)))))))</f>
        <v/>
      </c>
      <c r="M1769">
        <f>LET(
    seasoning_years,DATEDIF('Loan Tape (S&amp;P)'!K1769,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69">
        <f>IF(AND('Loan Tape (S&amp;P)'!U1769="Yes",
        'Loan Tape (S&amp;P)'!T1769&lt;&gt;"Yes",
        DATEDIF('Loan Tape (S&amp;P)'!K1769, TODAY(), "M")&lt;18),
    1.10,
    1.00)</f>
        <v/>
      </c>
      <c r="O1769">
        <f>IF('Loan Tape (S&amp;P)'!T1769="Yes",
    1.35,
    1.00)</f>
        <v/>
      </c>
      <c r="P1769">
        <f>IF('Loan Tape (S&amp;P)'!S1769="Yes",
    1.15,
    1.00)</f>
        <v/>
      </c>
      <c r="Q1769">
        <f>IF('Loan Tape (S&amp;P)'!V1769="Yes",
    1.20,
    1.00)</f>
        <v/>
      </c>
      <c r="T1769">
        <f>LET(
    payment_method,'Loan Tape (S&amp;P)'!P1769,
    occupancy,'Loan Tape (S&amp;P)'!N1769,
    maturity_date,'Loan Tape (S&amp;P)'!L1769,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70">
      <c r="J1770">
        <f>LET(
    lien,'Loan Tape (S&amp;P)'!Q1770,
    IF(lien="First",1.00,
        IF(lien="Second",1.50,
            1.70)))</f>
        <v/>
      </c>
      <c r="K1770">
        <f>LET(
    purpose,'Loan Tape (S&amp;P)'!R1770,
    IF(purpose="Purchase",1.00,
        IF(purpose="Remortgage",1.00,
            1.20)))</f>
        <v/>
      </c>
      <c r="L1770">
        <f>LET(
    arrears_months,'Loan Tape (S&amp;P)'!AN1770,
    IF(arrears_months=0,1.00,
    IF(arrears_months=1,3.00,
    IF(arrears_months=2,5.00,
    IF(arrears_months=3,8.00,
    IF(arrears_months=4,10.00,
    IF(arrears_months=5,12.00,15.00)))))))</f>
        <v/>
      </c>
      <c r="M1770">
        <f>LET(
    seasoning_years,DATEDIF('Loan Tape (S&amp;P)'!K1770,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70">
        <f>IF(AND('Loan Tape (S&amp;P)'!U1770="Yes",
        'Loan Tape (S&amp;P)'!T1770&lt;&gt;"Yes",
        DATEDIF('Loan Tape (S&amp;P)'!K1770, TODAY(), "M")&lt;18),
    1.10,
    1.00)</f>
        <v/>
      </c>
      <c r="O1770">
        <f>IF('Loan Tape (S&amp;P)'!T1770="Yes",
    1.35,
    1.00)</f>
        <v/>
      </c>
      <c r="P1770">
        <f>IF('Loan Tape (S&amp;P)'!S1770="Yes",
    1.15,
    1.00)</f>
        <v/>
      </c>
      <c r="Q1770">
        <f>IF('Loan Tape (S&amp;P)'!V1770="Yes",
    1.20,
    1.00)</f>
        <v/>
      </c>
      <c r="T1770">
        <f>LET(
    payment_method,'Loan Tape (S&amp;P)'!P1770,
    occupancy,'Loan Tape (S&amp;P)'!N1770,
    maturity_date,'Loan Tape (S&amp;P)'!L1770,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71">
      <c r="J1771">
        <f>LET(
    lien,'Loan Tape (S&amp;P)'!Q1771,
    IF(lien="First",1.00,
        IF(lien="Second",1.50,
            1.70)))</f>
        <v/>
      </c>
      <c r="K1771">
        <f>LET(
    purpose,'Loan Tape (S&amp;P)'!R1771,
    IF(purpose="Purchase",1.00,
        IF(purpose="Remortgage",1.00,
            1.20)))</f>
        <v/>
      </c>
      <c r="L1771">
        <f>LET(
    arrears_months,'Loan Tape (S&amp;P)'!AN1771,
    IF(arrears_months=0,1.00,
    IF(arrears_months=1,3.00,
    IF(arrears_months=2,5.00,
    IF(arrears_months=3,8.00,
    IF(arrears_months=4,10.00,
    IF(arrears_months=5,12.00,15.00)))))))</f>
        <v/>
      </c>
      <c r="M1771">
        <f>LET(
    seasoning_years,DATEDIF('Loan Tape (S&amp;P)'!K1771,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71">
        <f>IF(AND('Loan Tape (S&amp;P)'!U1771="Yes",
        'Loan Tape (S&amp;P)'!T1771&lt;&gt;"Yes",
        DATEDIF('Loan Tape (S&amp;P)'!K1771, TODAY(), "M")&lt;18),
    1.10,
    1.00)</f>
        <v/>
      </c>
      <c r="O1771">
        <f>IF('Loan Tape (S&amp;P)'!T1771="Yes",
    1.35,
    1.00)</f>
        <v/>
      </c>
      <c r="P1771">
        <f>IF('Loan Tape (S&amp;P)'!S1771="Yes",
    1.15,
    1.00)</f>
        <v/>
      </c>
      <c r="Q1771">
        <f>IF('Loan Tape (S&amp;P)'!V1771="Yes",
    1.20,
    1.00)</f>
        <v/>
      </c>
      <c r="T1771">
        <f>LET(
    payment_method,'Loan Tape (S&amp;P)'!P1771,
    occupancy,'Loan Tape (S&amp;P)'!N1771,
    maturity_date,'Loan Tape (S&amp;P)'!L1771,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72">
      <c r="J1772">
        <f>LET(
    lien,'Loan Tape (S&amp;P)'!Q1772,
    IF(lien="First",1.00,
        IF(lien="Second",1.50,
            1.70)))</f>
        <v/>
      </c>
      <c r="K1772">
        <f>LET(
    purpose,'Loan Tape (S&amp;P)'!R1772,
    IF(purpose="Purchase",1.00,
        IF(purpose="Remortgage",1.00,
            1.20)))</f>
        <v/>
      </c>
      <c r="L1772">
        <f>LET(
    arrears_months,'Loan Tape (S&amp;P)'!AN1772,
    IF(arrears_months=0,1.00,
    IF(arrears_months=1,3.00,
    IF(arrears_months=2,5.00,
    IF(arrears_months=3,8.00,
    IF(arrears_months=4,10.00,
    IF(arrears_months=5,12.00,15.00)))))))</f>
        <v/>
      </c>
      <c r="M1772">
        <f>LET(
    seasoning_years,DATEDIF('Loan Tape (S&amp;P)'!K1772,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72">
        <f>IF(AND('Loan Tape (S&amp;P)'!U1772="Yes",
        'Loan Tape (S&amp;P)'!T1772&lt;&gt;"Yes",
        DATEDIF('Loan Tape (S&amp;P)'!K1772, TODAY(), "M")&lt;18),
    1.10,
    1.00)</f>
        <v/>
      </c>
      <c r="O1772">
        <f>IF('Loan Tape (S&amp;P)'!T1772="Yes",
    1.35,
    1.00)</f>
        <v/>
      </c>
      <c r="P1772">
        <f>IF('Loan Tape (S&amp;P)'!S1772="Yes",
    1.15,
    1.00)</f>
        <v/>
      </c>
      <c r="Q1772">
        <f>IF('Loan Tape (S&amp;P)'!V1772="Yes",
    1.20,
    1.00)</f>
        <v/>
      </c>
      <c r="T1772">
        <f>LET(
    payment_method,'Loan Tape (S&amp;P)'!P1772,
    occupancy,'Loan Tape (S&amp;P)'!N1772,
    maturity_date,'Loan Tape (S&amp;P)'!L1772,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73">
      <c r="J1773">
        <f>LET(
    lien,'Loan Tape (S&amp;P)'!Q1773,
    IF(lien="First",1.00,
        IF(lien="Second",1.50,
            1.70)))</f>
        <v/>
      </c>
      <c r="K1773">
        <f>LET(
    purpose,'Loan Tape (S&amp;P)'!R1773,
    IF(purpose="Purchase",1.00,
        IF(purpose="Remortgage",1.00,
            1.20)))</f>
        <v/>
      </c>
      <c r="L1773">
        <f>LET(
    arrears_months,'Loan Tape (S&amp;P)'!AN1773,
    IF(arrears_months=0,1.00,
    IF(arrears_months=1,3.00,
    IF(arrears_months=2,5.00,
    IF(arrears_months=3,8.00,
    IF(arrears_months=4,10.00,
    IF(arrears_months=5,12.00,15.00)))))))</f>
        <v/>
      </c>
      <c r="M1773">
        <f>LET(
    seasoning_years,DATEDIF('Loan Tape (S&amp;P)'!K1773,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73">
        <f>IF(AND('Loan Tape (S&amp;P)'!U1773="Yes",
        'Loan Tape (S&amp;P)'!T1773&lt;&gt;"Yes",
        DATEDIF('Loan Tape (S&amp;P)'!K1773, TODAY(), "M")&lt;18),
    1.10,
    1.00)</f>
        <v/>
      </c>
      <c r="O1773">
        <f>IF('Loan Tape (S&amp;P)'!T1773="Yes",
    1.35,
    1.00)</f>
        <v/>
      </c>
      <c r="P1773">
        <f>IF('Loan Tape (S&amp;P)'!S1773="Yes",
    1.15,
    1.00)</f>
        <v/>
      </c>
      <c r="Q1773">
        <f>IF('Loan Tape (S&amp;P)'!V1773="Yes",
    1.20,
    1.00)</f>
        <v/>
      </c>
      <c r="T1773">
        <f>LET(
    payment_method,'Loan Tape (S&amp;P)'!P1773,
    occupancy,'Loan Tape (S&amp;P)'!N1773,
    maturity_date,'Loan Tape (S&amp;P)'!L1773,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74">
      <c r="J1774">
        <f>LET(
    lien,'Loan Tape (S&amp;P)'!Q1774,
    IF(lien="First",1.00,
        IF(lien="Second",1.50,
            1.70)))</f>
        <v/>
      </c>
      <c r="K1774">
        <f>LET(
    purpose,'Loan Tape (S&amp;P)'!R1774,
    IF(purpose="Purchase",1.00,
        IF(purpose="Remortgage",1.00,
            1.20)))</f>
        <v/>
      </c>
      <c r="L1774">
        <f>LET(
    arrears_months,'Loan Tape (S&amp;P)'!AN1774,
    IF(arrears_months=0,1.00,
    IF(arrears_months=1,3.00,
    IF(arrears_months=2,5.00,
    IF(arrears_months=3,8.00,
    IF(arrears_months=4,10.00,
    IF(arrears_months=5,12.00,15.00)))))))</f>
        <v/>
      </c>
      <c r="M1774">
        <f>LET(
    seasoning_years,DATEDIF('Loan Tape (S&amp;P)'!K1774,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74">
        <f>IF(AND('Loan Tape (S&amp;P)'!U1774="Yes",
        'Loan Tape (S&amp;P)'!T1774&lt;&gt;"Yes",
        DATEDIF('Loan Tape (S&amp;P)'!K1774, TODAY(), "M")&lt;18),
    1.10,
    1.00)</f>
        <v/>
      </c>
      <c r="O1774">
        <f>IF('Loan Tape (S&amp;P)'!T1774="Yes",
    1.35,
    1.00)</f>
        <v/>
      </c>
      <c r="P1774">
        <f>IF('Loan Tape (S&amp;P)'!S1774="Yes",
    1.15,
    1.00)</f>
        <v/>
      </c>
      <c r="Q1774">
        <f>IF('Loan Tape (S&amp;P)'!V1774="Yes",
    1.20,
    1.00)</f>
        <v/>
      </c>
      <c r="T1774">
        <f>LET(
    payment_method,'Loan Tape (S&amp;P)'!P1774,
    occupancy,'Loan Tape (S&amp;P)'!N1774,
    maturity_date,'Loan Tape (S&amp;P)'!L1774,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75">
      <c r="J1775">
        <f>LET(
    lien,'Loan Tape (S&amp;P)'!Q1775,
    IF(lien="First",1.00,
        IF(lien="Second",1.50,
            1.70)))</f>
        <v/>
      </c>
      <c r="K1775">
        <f>LET(
    purpose,'Loan Tape (S&amp;P)'!R1775,
    IF(purpose="Purchase",1.00,
        IF(purpose="Remortgage",1.00,
            1.20)))</f>
        <v/>
      </c>
      <c r="L1775">
        <f>LET(
    arrears_months,'Loan Tape (S&amp;P)'!AN1775,
    IF(arrears_months=0,1.00,
    IF(arrears_months=1,3.00,
    IF(arrears_months=2,5.00,
    IF(arrears_months=3,8.00,
    IF(arrears_months=4,10.00,
    IF(arrears_months=5,12.00,15.00)))))))</f>
        <v/>
      </c>
      <c r="M1775">
        <f>LET(
    seasoning_years,DATEDIF('Loan Tape (S&amp;P)'!K1775,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75">
        <f>IF(AND('Loan Tape (S&amp;P)'!U1775="Yes",
        'Loan Tape (S&amp;P)'!T1775&lt;&gt;"Yes",
        DATEDIF('Loan Tape (S&amp;P)'!K1775, TODAY(), "M")&lt;18),
    1.10,
    1.00)</f>
        <v/>
      </c>
      <c r="O1775">
        <f>IF('Loan Tape (S&amp;P)'!T1775="Yes",
    1.35,
    1.00)</f>
        <v/>
      </c>
      <c r="P1775">
        <f>IF('Loan Tape (S&amp;P)'!S1775="Yes",
    1.15,
    1.00)</f>
        <v/>
      </c>
      <c r="Q1775">
        <f>IF('Loan Tape (S&amp;P)'!V1775="Yes",
    1.20,
    1.00)</f>
        <v/>
      </c>
      <c r="T1775">
        <f>LET(
    payment_method,'Loan Tape (S&amp;P)'!P1775,
    occupancy,'Loan Tape (S&amp;P)'!N1775,
    maturity_date,'Loan Tape (S&amp;P)'!L1775,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76">
      <c r="J1776">
        <f>LET(
    lien,'Loan Tape (S&amp;P)'!Q1776,
    IF(lien="First",1.00,
        IF(lien="Second",1.50,
            1.70)))</f>
        <v/>
      </c>
      <c r="K1776">
        <f>LET(
    purpose,'Loan Tape (S&amp;P)'!R1776,
    IF(purpose="Purchase",1.00,
        IF(purpose="Remortgage",1.00,
            1.20)))</f>
        <v/>
      </c>
      <c r="L1776">
        <f>LET(
    arrears_months,'Loan Tape (S&amp;P)'!AN1776,
    IF(arrears_months=0,1.00,
    IF(arrears_months=1,3.00,
    IF(arrears_months=2,5.00,
    IF(arrears_months=3,8.00,
    IF(arrears_months=4,10.00,
    IF(arrears_months=5,12.00,15.00)))))))</f>
        <v/>
      </c>
      <c r="M1776">
        <f>LET(
    seasoning_years,DATEDIF('Loan Tape (S&amp;P)'!K1776,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76">
        <f>IF(AND('Loan Tape (S&amp;P)'!U1776="Yes",
        'Loan Tape (S&amp;P)'!T1776&lt;&gt;"Yes",
        DATEDIF('Loan Tape (S&amp;P)'!K1776, TODAY(), "M")&lt;18),
    1.10,
    1.00)</f>
        <v/>
      </c>
      <c r="O1776">
        <f>IF('Loan Tape (S&amp;P)'!T1776="Yes",
    1.35,
    1.00)</f>
        <v/>
      </c>
      <c r="P1776">
        <f>IF('Loan Tape (S&amp;P)'!S1776="Yes",
    1.15,
    1.00)</f>
        <v/>
      </c>
      <c r="Q1776">
        <f>IF('Loan Tape (S&amp;P)'!V1776="Yes",
    1.20,
    1.00)</f>
        <v/>
      </c>
      <c r="T1776">
        <f>LET(
    payment_method,'Loan Tape (S&amp;P)'!P1776,
    occupancy,'Loan Tape (S&amp;P)'!N1776,
    maturity_date,'Loan Tape (S&amp;P)'!L1776,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77">
      <c r="J1777">
        <f>LET(
    lien,'Loan Tape (S&amp;P)'!Q1777,
    IF(lien="First",1.00,
        IF(lien="Second",1.50,
            1.70)))</f>
        <v/>
      </c>
      <c r="K1777">
        <f>LET(
    purpose,'Loan Tape (S&amp;P)'!R1777,
    IF(purpose="Purchase",1.00,
        IF(purpose="Remortgage",1.00,
            1.20)))</f>
        <v/>
      </c>
      <c r="L1777">
        <f>LET(
    arrears_months,'Loan Tape (S&amp;P)'!AN1777,
    IF(arrears_months=0,1.00,
    IF(arrears_months=1,3.00,
    IF(arrears_months=2,5.00,
    IF(arrears_months=3,8.00,
    IF(arrears_months=4,10.00,
    IF(arrears_months=5,12.00,15.00)))))))</f>
        <v/>
      </c>
      <c r="M1777">
        <f>LET(
    seasoning_years,DATEDIF('Loan Tape (S&amp;P)'!K1777,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77">
        <f>IF(AND('Loan Tape (S&amp;P)'!U1777="Yes",
        'Loan Tape (S&amp;P)'!T1777&lt;&gt;"Yes",
        DATEDIF('Loan Tape (S&amp;P)'!K1777, TODAY(), "M")&lt;18),
    1.10,
    1.00)</f>
        <v/>
      </c>
      <c r="O1777">
        <f>IF('Loan Tape (S&amp;P)'!T1777="Yes",
    1.35,
    1.00)</f>
        <v/>
      </c>
      <c r="P1777">
        <f>IF('Loan Tape (S&amp;P)'!S1777="Yes",
    1.15,
    1.00)</f>
        <v/>
      </c>
      <c r="Q1777">
        <f>IF('Loan Tape (S&amp;P)'!V1777="Yes",
    1.20,
    1.00)</f>
        <v/>
      </c>
      <c r="T1777">
        <f>LET(
    payment_method,'Loan Tape (S&amp;P)'!P1777,
    occupancy,'Loan Tape (S&amp;P)'!N1777,
    maturity_date,'Loan Tape (S&amp;P)'!L1777,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78">
      <c r="J1778">
        <f>LET(
    lien,'Loan Tape (S&amp;P)'!Q1778,
    IF(lien="First",1.00,
        IF(lien="Second",1.50,
            1.70)))</f>
        <v/>
      </c>
      <c r="K1778">
        <f>LET(
    purpose,'Loan Tape (S&amp;P)'!R1778,
    IF(purpose="Purchase",1.00,
        IF(purpose="Remortgage",1.00,
            1.20)))</f>
        <v/>
      </c>
      <c r="L1778">
        <f>LET(
    arrears_months,'Loan Tape (S&amp;P)'!AN1778,
    IF(arrears_months=0,1.00,
    IF(arrears_months=1,3.00,
    IF(arrears_months=2,5.00,
    IF(arrears_months=3,8.00,
    IF(arrears_months=4,10.00,
    IF(arrears_months=5,12.00,15.00)))))))</f>
        <v/>
      </c>
      <c r="M1778">
        <f>LET(
    seasoning_years,DATEDIF('Loan Tape (S&amp;P)'!K1778,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78">
        <f>IF(AND('Loan Tape (S&amp;P)'!U1778="Yes",
        'Loan Tape (S&amp;P)'!T1778&lt;&gt;"Yes",
        DATEDIF('Loan Tape (S&amp;P)'!K1778, TODAY(), "M")&lt;18),
    1.10,
    1.00)</f>
        <v/>
      </c>
      <c r="O1778">
        <f>IF('Loan Tape (S&amp;P)'!T1778="Yes",
    1.35,
    1.00)</f>
        <v/>
      </c>
      <c r="P1778">
        <f>IF('Loan Tape (S&amp;P)'!S1778="Yes",
    1.15,
    1.00)</f>
        <v/>
      </c>
      <c r="Q1778">
        <f>IF('Loan Tape (S&amp;P)'!V1778="Yes",
    1.20,
    1.00)</f>
        <v/>
      </c>
      <c r="T1778">
        <f>LET(
    payment_method,'Loan Tape (S&amp;P)'!P1778,
    occupancy,'Loan Tape (S&amp;P)'!N1778,
    maturity_date,'Loan Tape (S&amp;P)'!L1778,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79">
      <c r="J1779">
        <f>LET(
    lien,'Loan Tape (S&amp;P)'!Q1779,
    IF(lien="First",1.00,
        IF(lien="Second",1.50,
            1.70)))</f>
        <v/>
      </c>
      <c r="K1779">
        <f>LET(
    purpose,'Loan Tape (S&amp;P)'!R1779,
    IF(purpose="Purchase",1.00,
        IF(purpose="Remortgage",1.00,
            1.20)))</f>
        <v/>
      </c>
      <c r="L1779">
        <f>LET(
    arrears_months,'Loan Tape (S&amp;P)'!AN1779,
    IF(arrears_months=0,1.00,
    IF(arrears_months=1,3.00,
    IF(arrears_months=2,5.00,
    IF(arrears_months=3,8.00,
    IF(arrears_months=4,10.00,
    IF(arrears_months=5,12.00,15.00)))))))</f>
        <v/>
      </c>
      <c r="M1779">
        <f>LET(
    seasoning_years,DATEDIF('Loan Tape (S&amp;P)'!K1779,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79">
        <f>IF(AND('Loan Tape (S&amp;P)'!U1779="Yes",
        'Loan Tape (S&amp;P)'!T1779&lt;&gt;"Yes",
        DATEDIF('Loan Tape (S&amp;P)'!K1779, TODAY(), "M")&lt;18),
    1.10,
    1.00)</f>
        <v/>
      </c>
      <c r="O1779">
        <f>IF('Loan Tape (S&amp;P)'!T1779="Yes",
    1.35,
    1.00)</f>
        <v/>
      </c>
      <c r="P1779">
        <f>IF('Loan Tape (S&amp;P)'!S1779="Yes",
    1.15,
    1.00)</f>
        <v/>
      </c>
      <c r="Q1779">
        <f>IF('Loan Tape (S&amp;P)'!V1779="Yes",
    1.20,
    1.00)</f>
        <v/>
      </c>
      <c r="T1779">
        <f>LET(
    payment_method,'Loan Tape (S&amp;P)'!P1779,
    occupancy,'Loan Tape (S&amp;P)'!N1779,
    maturity_date,'Loan Tape (S&amp;P)'!L1779,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80">
      <c r="J1780">
        <f>LET(
    lien,'Loan Tape (S&amp;P)'!Q1780,
    IF(lien="First",1.00,
        IF(lien="Second",1.50,
            1.70)))</f>
        <v/>
      </c>
      <c r="K1780">
        <f>LET(
    purpose,'Loan Tape (S&amp;P)'!R1780,
    IF(purpose="Purchase",1.00,
        IF(purpose="Remortgage",1.00,
            1.20)))</f>
        <v/>
      </c>
      <c r="L1780">
        <f>LET(
    arrears_months,'Loan Tape (S&amp;P)'!AN1780,
    IF(arrears_months=0,1.00,
    IF(arrears_months=1,3.00,
    IF(arrears_months=2,5.00,
    IF(arrears_months=3,8.00,
    IF(arrears_months=4,10.00,
    IF(arrears_months=5,12.00,15.00)))))))</f>
        <v/>
      </c>
      <c r="M1780">
        <f>LET(
    seasoning_years,DATEDIF('Loan Tape (S&amp;P)'!K1780,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80">
        <f>IF(AND('Loan Tape (S&amp;P)'!U1780="Yes",
        'Loan Tape (S&amp;P)'!T1780&lt;&gt;"Yes",
        DATEDIF('Loan Tape (S&amp;P)'!K1780, TODAY(), "M")&lt;18),
    1.10,
    1.00)</f>
        <v/>
      </c>
      <c r="O1780">
        <f>IF('Loan Tape (S&amp;P)'!T1780="Yes",
    1.35,
    1.00)</f>
        <v/>
      </c>
      <c r="P1780">
        <f>IF('Loan Tape (S&amp;P)'!S1780="Yes",
    1.15,
    1.00)</f>
        <v/>
      </c>
      <c r="Q1780">
        <f>IF('Loan Tape (S&amp;P)'!V1780="Yes",
    1.20,
    1.00)</f>
        <v/>
      </c>
      <c r="T1780">
        <f>LET(
    payment_method,'Loan Tape (S&amp;P)'!P1780,
    occupancy,'Loan Tape (S&amp;P)'!N1780,
    maturity_date,'Loan Tape (S&amp;P)'!L1780,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81">
      <c r="J1781">
        <f>LET(
    lien,'Loan Tape (S&amp;P)'!Q1781,
    IF(lien="First",1.00,
        IF(lien="Second",1.50,
            1.70)))</f>
        <v/>
      </c>
      <c r="K1781">
        <f>LET(
    purpose,'Loan Tape (S&amp;P)'!R1781,
    IF(purpose="Purchase",1.00,
        IF(purpose="Remortgage",1.00,
            1.20)))</f>
        <v/>
      </c>
      <c r="L1781">
        <f>LET(
    arrears_months,'Loan Tape (S&amp;P)'!AN1781,
    IF(arrears_months=0,1.00,
    IF(arrears_months=1,3.00,
    IF(arrears_months=2,5.00,
    IF(arrears_months=3,8.00,
    IF(arrears_months=4,10.00,
    IF(arrears_months=5,12.00,15.00)))))))</f>
        <v/>
      </c>
      <c r="M1781">
        <f>LET(
    seasoning_years,DATEDIF('Loan Tape (S&amp;P)'!K1781,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81">
        <f>IF(AND('Loan Tape (S&amp;P)'!U1781="Yes",
        'Loan Tape (S&amp;P)'!T1781&lt;&gt;"Yes",
        DATEDIF('Loan Tape (S&amp;P)'!K1781, TODAY(), "M")&lt;18),
    1.10,
    1.00)</f>
        <v/>
      </c>
      <c r="O1781">
        <f>IF('Loan Tape (S&amp;P)'!T1781="Yes",
    1.35,
    1.00)</f>
        <v/>
      </c>
      <c r="P1781">
        <f>IF('Loan Tape (S&amp;P)'!S1781="Yes",
    1.15,
    1.00)</f>
        <v/>
      </c>
      <c r="Q1781">
        <f>IF('Loan Tape (S&amp;P)'!V1781="Yes",
    1.20,
    1.00)</f>
        <v/>
      </c>
      <c r="T1781">
        <f>LET(
    payment_method,'Loan Tape (S&amp;P)'!P1781,
    occupancy,'Loan Tape (S&amp;P)'!N1781,
    maturity_date,'Loan Tape (S&amp;P)'!L1781,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82">
      <c r="J1782">
        <f>LET(
    lien,'Loan Tape (S&amp;P)'!Q1782,
    IF(lien="First",1.00,
        IF(lien="Second",1.50,
            1.70)))</f>
        <v/>
      </c>
      <c r="K1782">
        <f>LET(
    purpose,'Loan Tape (S&amp;P)'!R1782,
    IF(purpose="Purchase",1.00,
        IF(purpose="Remortgage",1.00,
            1.20)))</f>
        <v/>
      </c>
      <c r="L1782">
        <f>LET(
    arrears_months,'Loan Tape (S&amp;P)'!AN1782,
    IF(arrears_months=0,1.00,
    IF(arrears_months=1,3.00,
    IF(arrears_months=2,5.00,
    IF(arrears_months=3,8.00,
    IF(arrears_months=4,10.00,
    IF(arrears_months=5,12.00,15.00)))))))</f>
        <v/>
      </c>
      <c r="M1782">
        <f>LET(
    seasoning_years,DATEDIF('Loan Tape (S&amp;P)'!K1782,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82">
        <f>IF(AND('Loan Tape (S&amp;P)'!U1782="Yes",
        'Loan Tape (S&amp;P)'!T1782&lt;&gt;"Yes",
        DATEDIF('Loan Tape (S&amp;P)'!K1782, TODAY(), "M")&lt;18),
    1.10,
    1.00)</f>
        <v/>
      </c>
      <c r="O1782">
        <f>IF('Loan Tape (S&amp;P)'!T1782="Yes",
    1.35,
    1.00)</f>
        <v/>
      </c>
      <c r="P1782">
        <f>IF('Loan Tape (S&amp;P)'!S1782="Yes",
    1.15,
    1.00)</f>
        <v/>
      </c>
      <c r="Q1782">
        <f>IF('Loan Tape (S&amp;P)'!V1782="Yes",
    1.20,
    1.00)</f>
        <v/>
      </c>
      <c r="T1782">
        <f>LET(
    payment_method,'Loan Tape (S&amp;P)'!P1782,
    occupancy,'Loan Tape (S&amp;P)'!N1782,
    maturity_date,'Loan Tape (S&amp;P)'!L1782,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83">
      <c r="J1783">
        <f>LET(
    lien,'Loan Tape (S&amp;P)'!Q1783,
    IF(lien="First",1.00,
        IF(lien="Second",1.50,
            1.70)))</f>
        <v/>
      </c>
      <c r="K1783">
        <f>LET(
    purpose,'Loan Tape (S&amp;P)'!R1783,
    IF(purpose="Purchase",1.00,
        IF(purpose="Remortgage",1.00,
            1.20)))</f>
        <v/>
      </c>
      <c r="L1783">
        <f>LET(
    arrears_months,'Loan Tape (S&amp;P)'!AN1783,
    IF(arrears_months=0,1.00,
    IF(arrears_months=1,3.00,
    IF(arrears_months=2,5.00,
    IF(arrears_months=3,8.00,
    IF(arrears_months=4,10.00,
    IF(arrears_months=5,12.00,15.00)))))))</f>
        <v/>
      </c>
      <c r="M1783">
        <f>LET(
    seasoning_years,DATEDIF('Loan Tape (S&amp;P)'!K1783,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83">
        <f>IF(AND('Loan Tape (S&amp;P)'!U1783="Yes",
        'Loan Tape (S&amp;P)'!T1783&lt;&gt;"Yes",
        DATEDIF('Loan Tape (S&amp;P)'!K1783, TODAY(), "M")&lt;18),
    1.10,
    1.00)</f>
        <v/>
      </c>
      <c r="O1783">
        <f>IF('Loan Tape (S&amp;P)'!T1783="Yes",
    1.35,
    1.00)</f>
        <v/>
      </c>
      <c r="P1783">
        <f>IF('Loan Tape (S&amp;P)'!S1783="Yes",
    1.15,
    1.00)</f>
        <v/>
      </c>
      <c r="Q1783">
        <f>IF('Loan Tape (S&amp;P)'!V1783="Yes",
    1.20,
    1.00)</f>
        <v/>
      </c>
      <c r="T1783">
        <f>LET(
    payment_method,'Loan Tape (S&amp;P)'!P1783,
    occupancy,'Loan Tape (S&amp;P)'!N1783,
    maturity_date,'Loan Tape (S&amp;P)'!L1783,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84">
      <c r="J1784">
        <f>LET(
    lien,'Loan Tape (S&amp;P)'!Q1784,
    IF(lien="First",1.00,
        IF(lien="Second",1.50,
            1.70)))</f>
        <v/>
      </c>
      <c r="K1784">
        <f>LET(
    purpose,'Loan Tape (S&amp;P)'!R1784,
    IF(purpose="Purchase",1.00,
        IF(purpose="Remortgage",1.00,
            1.20)))</f>
        <v/>
      </c>
      <c r="L1784">
        <f>LET(
    arrears_months,'Loan Tape (S&amp;P)'!AN1784,
    IF(arrears_months=0,1.00,
    IF(arrears_months=1,3.00,
    IF(arrears_months=2,5.00,
    IF(arrears_months=3,8.00,
    IF(arrears_months=4,10.00,
    IF(arrears_months=5,12.00,15.00)))))))</f>
        <v/>
      </c>
      <c r="M1784">
        <f>LET(
    seasoning_years,DATEDIF('Loan Tape (S&amp;P)'!K1784,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84">
        <f>IF(AND('Loan Tape (S&amp;P)'!U1784="Yes",
        'Loan Tape (S&amp;P)'!T1784&lt;&gt;"Yes",
        DATEDIF('Loan Tape (S&amp;P)'!K1784, TODAY(), "M")&lt;18),
    1.10,
    1.00)</f>
        <v/>
      </c>
      <c r="O1784">
        <f>IF('Loan Tape (S&amp;P)'!T1784="Yes",
    1.35,
    1.00)</f>
        <v/>
      </c>
      <c r="P1784">
        <f>IF('Loan Tape (S&amp;P)'!S1784="Yes",
    1.15,
    1.00)</f>
        <v/>
      </c>
      <c r="Q1784">
        <f>IF('Loan Tape (S&amp;P)'!V1784="Yes",
    1.20,
    1.00)</f>
        <v/>
      </c>
      <c r="T1784">
        <f>LET(
    payment_method,'Loan Tape (S&amp;P)'!P1784,
    occupancy,'Loan Tape (S&amp;P)'!N1784,
    maturity_date,'Loan Tape (S&amp;P)'!L1784,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85">
      <c r="J1785">
        <f>LET(
    lien,'Loan Tape (S&amp;P)'!Q1785,
    IF(lien="First",1.00,
        IF(lien="Second",1.50,
            1.70)))</f>
        <v/>
      </c>
      <c r="K1785">
        <f>LET(
    purpose,'Loan Tape (S&amp;P)'!R1785,
    IF(purpose="Purchase",1.00,
        IF(purpose="Remortgage",1.00,
            1.20)))</f>
        <v/>
      </c>
      <c r="L1785">
        <f>LET(
    arrears_months,'Loan Tape (S&amp;P)'!AN1785,
    IF(arrears_months=0,1.00,
    IF(arrears_months=1,3.00,
    IF(arrears_months=2,5.00,
    IF(arrears_months=3,8.00,
    IF(arrears_months=4,10.00,
    IF(arrears_months=5,12.00,15.00)))))))</f>
        <v/>
      </c>
      <c r="M1785">
        <f>LET(
    seasoning_years,DATEDIF('Loan Tape (S&amp;P)'!K1785,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85">
        <f>IF(AND('Loan Tape (S&amp;P)'!U1785="Yes",
        'Loan Tape (S&amp;P)'!T1785&lt;&gt;"Yes",
        DATEDIF('Loan Tape (S&amp;P)'!K1785, TODAY(), "M")&lt;18),
    1.10,
    1.00)</f>
        <v/>
      </c>
      <c r="O1785">
        <f>IF('Loan Tape (S&amp;P)'!T1785="Yes",
    1.35,
    1.00)</f>
        <v/>
      </c>
      <c r="P1785">
        <f>IF('Loan Tape (S&amp;P)'!S1785="Yes",
    1.15,
    1.00)</f>
        <v/>
      </c>
      <c r="Q1785">
        <f>IF('Loan Tape (S&amp;P)'!V1785="Yes",
    1.20,
    1.00)</f>
        <v/>
      </c>
      <c r="T1785">
        <f>LET(
    payment_method,'Loan Tape (S&amp;P)'!P1785,
    occupancy,'Loan Tape (S&amp;P)'!N1785,
    maturity_date,'Loan Tape (S&amp;P)'!L1785,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86">
      <c r="J1786">
        <f>LET(
    lien,'Loan Tape (S&amp;P)'!Q1786,
    IF(lien="First",1.00,
        IF(lien="Second",1.50,
            1.70)))</f>
        <v/>
      </c>
      <c r="K1786">
        <f>LET(
    purpose,'Loan Tape (S&amp;P)'!R1786,
    IF(purpose="Purchase",1.00,
        IF(purpose="Remortgage",1.00,
            1.20)))</f>
        <v/>
      </c>
      <c r="L1786">
        <f>LET(
    arrears_months,'Loan Tape (S&amp;P)'!AN1786,
    IF(arrears_months=0,1.00,
    IF(arrears_months=1,3.00,
    IF(arrears_months=2,5.00,
    IF(arrears_months=3,8.00,
    IF(arrears_months=4,10.00,
    IF(arrears_months=5,12.00,15.00)))))))</f>
        <v/>
      </c>
      <c r="M1786">
        <f>LET(
    seasoning_years,DATEDIF('Loan Tape (S&amp;P)'!K1786,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86">
        <f>IF(AND('Loan Tape (S&amp;P)'!U1786="Yes",
        'Loan Tape (S&amp;P)'!T1786&lt;&gt;"Yes",
        DATEDIF('Loan Tape (S&amp;P)'!K1786, TODAY(), "M")&lt;18),
    1.10,
    1.00)</f>
        <v/>
      </c>
      <c r="O1786">
        <f>IF('Loan Tape (S&amp;P)'!T1786="Yes",
    1.35,
    1.00)</f>
        <v/>
      </c>
      <c r="P1786">
        <f>IF('Loan Tape (S&amp;P)'!S1786="Yes",
    1.15,
    1.00)</f>
        <v/>
      </c>
      <c r="Q1786">
        <f>IF('Loan Tape (S&amp;P)'!V1786="Yes",
    1.20,
    1.00)</f>
        <v/>
      </c>
      <c r="T1786">
        <f>LET(
    payment_method,'Loan Tape (S&amp;P)'!P1786,
    occupancy,'Loan Tape (S&amp;P)'!N1786,
    maturity_date,'Loan Tape (S&amp;P)'!L1786,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87">
      <c r="J1787">
        <f>LET(
    lien,'Loan Tape (S&amp;P)'!Q1787,
    IF(lien="First",1.00,
        IF(lien="Second",1.50,
            1.70)))</f>
        <v/>
      </c>
      <c r="K1787">
        <f>LET(
    purpose,'Loan Tape (S&amp;P)'!R1787,
    IF(purpose="Purchase",1.00,
        IF(purpose="Remortgage",1.00,
            1.20)))</f>
        <v/>
      </c>
      <c r="L1787">
        <f>LET(
    arrears_months,'Loan Tape (S&amp;P)'!AN1787,
    IF(arrears_months=0,1.00,
    IF(arrears_months=1,3.00,
    IF(arrears_months=2,5.00,
    IF(arrears_months=3,8.00,
    IF(arrears_months=4,10.00,
    IF(arrears_months=5,12.00,15.00)))))))</f>
        <v/>
      </c>
      <c r="M1787">
        <f>LET(
    seasoning_years,DATEDIF('Loan Tape (S&amp;P)'!K1787,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87">
        <f>IF(AND('Loan Tape (S&amp;P)'!U1787="Yes",
        'Loan Tape (S&amp;P)'!T1787&lt;&gt;"Yes",
        DATEDIF('Loan Tape (S&amp;P)'!K1787, TODAY(), "M")&lt;18),
    1.10,
    1.00)</f>
        <v/>
      </c>
      <c r="O1787">
        <f>IF('Loan Tape (S&amp;P)'!T1787="Yes",
    1.35,
    1.00)</f>
        <v/>
      </c>
      <c r="P1787">
        <f>IF('Loan Tape (S&amp;P)'!S1787="Yes",
    1.15,
    1.00)</f>
        <v/>
      </c>
      <c r="Q1787">
        <f>IF('Loan Tape (S&amp;P)'!V1787="Yes",
    1.20,
    1.00)</f>
        <v/>
      </c>
      <c r="T1787">
        <f>LET(
    payment_method,'Loan Tape (S&amp;P)'!P1787,
    occupancy,'Loan Tape (S&amp;P)'!N1787,
    maturity_date,'Loan Tape (S&amp;P)'!L1787,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88">
      <c r="J1788">
        <f>LET(
    lien,'Loan Tape (S&amp;P)'!Q1788,
    IF(lien="First",1.00,
        IF(lien="Second",1.50,
            1.70)))</f>
        <v/>
      </c>
      <c r="K1788">
        <f>LET(
    purpose,'Loan Tape (S&amp;P)'!R1788,
    IF(purpose="Purchase",1.00,
        IF(purpose="Remortgage",1.00,
            1.20)))</f>
        <v/>
      </c>
      <c r="L1788">
        <f>LET(
    arrears_months,'Loan Tape (S&amp;P)'!AN1788,
    IF(arrears_months=0,1.00,
    IF(arrears_months=1,3.00,
    IF(arrears_months=2,5.00,
    IF(arrears_months=3,8.00,
    IF(arrears_months=4,10.00,
    IF(arrears_months=5,12.00,15.00)))))))</f>
        <v/>
      </c>
      <c r="M1788">
        <f>LET(
    seasoning_years,DATEDIF('Loan Tape (S&amp;P)'!K1788,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88">
        <f>IF(AND('Loan Tape (S&amp;P)'!U1788="Yes",
        'Loan Tape (S&amp;P)'!T1788&lt;&gt;"Yes",
        DATEDIF('Loan Tape (S&amp;P)'!K1788, TODAY(), "M")&lt;18),
    1.10,
    1.00)</f>
        <v/>
      </c>
      <c r="O1788">
        <f>IF('Loan Tape (S&amp;P)'!T1788="Yes",
    1.35,
    1.00)</f>
        <v/>
      </c>
      <c r="P1788">
        <f>IF('Loan Tape (S&amp;P)'!S1788="Yes",
    1.15,
    1.00)</f>
        <v/>
      </c>
      <c r="Q1788">
        <f>IF('Loan Tape (S&amp;P)'!V1788="Yes",
    1.20,
    1.00)</f>
        <v/>
      </c>
      <c r="T1788">
        <f>LET(
    payment_method,'Loan Tape (S&amp;P)'!P1788,
    occupancy,'Loan Tape (S&amp;P)'!N1788,
    maturity_date,'Loan Tape (S&amp;P)'!L1788,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89">
      <c r="J1789">
        <f>LET(
    lien,'Loan Tape (S&amp;P)'!Q1789,
    IF(lien="First",1.00,
        IF(lien="Second",1.50,
            1.70)))</f>
        <v/>
      </c>
      <c r="K1789">
        <f>LET(
    purpose,'Loan Tape (S&amp;P)'!R1789,
    IF(purpose="Purchase",1.00,
        IF(purpose="Remortgage",1.00,
            1.20)))</f>
        <v/>
      </c>
      <c r="L1789">
        <f>LET(
    arrears_months,'Loan Tape (S&amp;P)'!AN1789,
    IF(arrears_months=0,1.00,
    IF(arrears_months=1,3.00,
    IF(arrears_months=2,5.00,
    IF(arrears_months=3,8.00,
    IF(arrears_months=4,10.00,
    IF(arrears_months=5,12.00,15.00)))))))</f>
        <v/>
      </c>
      <c r="M1789">
        <f>LET(
    seasoning_years,DATEDIF('Loan Tape (S&amp;P)'!K1789,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89">
        <f>IF(AND('Loan Tape (S&amp;P)'!U1789="Yes",
        'Loan Tape (S&amp;P)'!T1789&lt;&gt;"Yes",
        DATEDIF('Loan Tape (S&amp;P)'!K1789, TODAY(), "M")&lt;18),
    1.10,
    1.00)</f>
        <v/>
      </c>
      <c r="O1789">
        <f>IF('Loan Tape (S&amp;P)'!T1789="Yes",
    1.35,
    1.00)</f>
        <v/>
      </c>
      <c r="P1789">
        <f>IF('Loan Tape (S&amp;P)'!S1789="Yes",
    1.15,
    1.00)</f>
        <v/>
      </c>
      <c r="Q1789">
        <f>IF('Loan Tape (S&amp;P)'!V1789="Yes",
    1.20,
    1.00)</f>
        <v/>
      </c>
      <c r="T1789">
        <f>LET(
    payment_method,'Loan Tape (S&amp;P)'!P1789,
    occupancy,'Loan Tape (S&amp;P)'!N1789,
    maturity_date,'Loan Tape (S&amp;P)'!L1789,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90">
      <c r="J1790">
        <f>LET(
    lien,'Loan Tape (S&amp;P)'!Q1790,
    IF(lien="First",1.00,
        IF(lien="Second",1.50,
            1.70)))</f>
        <v/>
      </c>
      <c r="K1790">
        <f>LET(
    purpose,'Loan Tape (S&amp;P)'!R1790,
    IF(purpose="Purchase",1.00,
        IF(purpose="Remortgage",1.00,
            1.20)))</f>
        <v/>
      </c>
      <c r="L1790">
        <f>LET(
    arrears_months,'Loan Tape (S&amp;P)'!AN1790,
    IF(arrears_months=0,1.00,
    IF(arrears_months=1,3.00,
    IF(arrears_months=2,5.00,
    IF(arrears_months=3,8.00,
    IF(arrears_months=4,10.00,
    IF(arrears_months=5,12.00,15.00)))))))</f>
        <v/>
      </c>
      <c r="M1790">
        <f>LET(
    seasoning_years,DATEDIF('Loan Tape (S&amp;P)'!K1790,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90">
        <f>IF(AND('Loan Tape (S&amp;P)'!U1790="Yes",
        'Loan Tape (S&amp;P)'!T1790&lt;&gt;"Yes",
        DATEDIF('Loan Tape (S&amp;P)'!K1790, TODAY(), "M")&lt;18),
    1.10,
    1.00)</f>
        <v/>
      </c>
      <c r="O1790">
        <f>IF('Loan Tape (S&amp;P)'!T1790="Yes",
    1.35,
    1.00)</f>
        <v/>
      </c>
      <c r="P1790">
        <f>IF('Loan Tape (S&amp;P)'!S1790="Yes",
    1.15,
    1.00)</f>
        <v/>
      </c>
      <c r="Q1790">
        <f>IF('Loan Tape (S&amp;P)'!V1790="Yes",
    1.20,
    1.00)</f>
        <v/>
      </c>
      <c r="T1790">
        <f>LET(
    payment_method,'Loan Tape (S&amp;P)'!P1790,
    occupancy,'Loan Tape (S&amp;P)'!N1790,
    maturity_date,'Loan Tape (S&amp;P)'!L1790,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91">
      <c r="J1791">
        <f>LET(
    lien,'Loan Tape (S&amp;P)'!Q1791,
    IF(lien="First",1.00,
        IF(lien="Second",1.50,
            1.70)))</f>
        <v/>
      </c>
      <c r="K1791">
        <f>LET(
    purpose,'Loan Tape (S&amp;P)'!R1791,
    IF(purpose="Purchase",1.00,
        IF(purpose="Remortgage",1.00,
            1.20)))</f>
        <v/>
      </c>
      <c r="L1791">
        <f>LET(
    arrears_months,'Loan Tape (S&amp;P)'!AN1791,
    IF(arrears_months=0,1.00,
    IF(arrears_months=1,3.00,
    IF(arrears_months=2,5.00,
    IF(arrears_months=3,8.00,
    IF(arrears_months=4,10.00,
    IF(arrears_months=5,12.00,15.00)))))))</f>
        <v/>
      </c>
      <c r="M1791">
        <f>LET(
    seasoning_years,DATEDIF('Loan Tape (S&amp;P)'!K1791,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91">
        <f>IF(AND('Loan Tape (S&amp;P)'!U1791="Yes",
        'Loan Tape (S&amp;P)'!T1791&lt;&gt;"Yes",
        DATEDIF('Loan Tape (S&amp;P)'!K1791, TODAY(), "M")&lt;18),
    1.10,
    1.00)</f>
        <v/>
      </c>
      <c r="O1791">
        <f>IF('Loan Tape (S&amp;P)'!T1791="Yes",
    1.35,
    1.00)</f>
        <v/>
      </c>
      <c r="P1791">
        <f>IF('Loan Tape (S&amp;P)'!S1791="Yes",
    1.15,
    1.00)</f>
        <v/>
      </c>
      <c r="Q1791">
        <f>IF('Loan Tape (S&amp;P)'!V1791="Yes",
    1.20,
    1.00)</f>
        <v/>
      </c>
      <c r="T1791">
        <f>LET(
    payment_method,'Loan Tape (S&amp;P)'!P1791,
    occupancy,'Loan Tape (S&amp;P)'!N1791,
    maturity_date,'Loan Tape (S&amp;P)'!L1791,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92">
      <c r="J1792">
        <f>LET(
    lien,'Loan Tape (S&amp;P)'!Q1792,
    IF(lien="First",1.00,
        IF(lien="Second",1.50,
            1.70)))</f>
        <v/>
      </c>
      <c r="K1792">
        <f>LET(
    purpose,'Loan Tape (S&amp;P)'!R1792,
    IF(purpose="Purchase",1.00,
        IF(purpose="Remortgage",1.00,
            1.20)))</f>
        <v/>
      </c>
      <c r="L1792">
        <f>LET(
    arrears_months,'Loan Tape (S&amp;P)'!AN1792,
    IF(arrears_months=0,1.00,
    IF(arrears_months=1,3.00,
    IF(arrears_months=2,5.00,
    IF(arrears_months=3,8.00,
    IF(arrears_months=4,10.00,
    IF(arrears_months=5,12.00,15.00)))))))</f>
        <v/>
      </c>
      <c r="M1792">
        <f>LET(
    seasoning_years,DATEDIF('Loan Tape (S&amp;P)'!K1792,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92">
        <f>IF(AND('Loan Tape (S&amp;P)'!U1792="Yes",
        'Loan Tape (S&amp;P)'!T1792&lt;&gt;"Yes",
        DATEDIF('Loan Tape (S&amp;P)'!K1792, TODAY(), "M")&lt;18),
    1.10,
    1.00)</f>
        <v/>
      </c>
      <c r="O1792">
        <f>IF('Loan Tape (S&amp;P)'!T1792="Yes",
    1.35,
    1.00)</f>
        <v/>
      </c>
      <c r="P1792">
        <f>IF('Loan Tape (S&amp;P)'!S1792="Yes",
    1.15,
    1.00)</f>
        <v/>
      </c>
      <c r="Q1792">
        <f>IF('Loan Tape (S&amp;P)'!V1792="Yes",
    1.20,
    1.00)</f>
        <v/>
      </c>
      <c r="T1792">
        <f>LET(
    payment_method,'Loan Tape (S&amp;P)'!P1792,
    occupancy,'Loan Tape (S&amp;P)'!N1792,
    maturity_date,'Loan Tape (S&amp;P)'!L1792,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93">
      <c r="J1793">
        <f>LET(
    lien,'Loan Tape (S&amp;P)'!Q1793,
    IF(lien="First",1.00,
        IF(lien="Second",1.50,
            1.70)))</f>
        <v/>
      </c>
      <c r="K1793">
        <f>LET(
    purpose,'Loan Tape (S&amp;P)'!R1793,
    IF(purpose="Purchase",1.00,
        IF(purpose="Remortgage",1.00,
            1.20)))</f>
        <v/>
      </c>
      <c r="L1793">
        <f>LET(
    arrears_months,'Loan Tape (S&amp;P)'!AN1793,
    IF(arrears_months=0,1.00,
    IF(arrears_months=1,3.00,
    IF(arrears_months=2,5.00,
    IF(arrears_months=3,8.00,
    IF(arrears_months=4,10.00,
    IF(arrears_months=5,12.00,15.00)))))))</f>
        <v/>
      </c>
      <c r="M1793">
        <f>LET(
    seasoning_years,DATEDIF('Loan Tape (S&amp;P)'!K1793,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93">
        <f>IF(AND('Loan Tape (S&amp;P)'!U1793="Yes",
        'Loan Tape (S&amp;P)'!T1793&lt;&gt;"Yes",
        DATEDIF('Loan Tape (S&amp;P)'!K1793, TODAY(), "M")&lt;18),
    1.10,
    1.00)</f>
        <v/>
      </c>
      <c r="O1793">
        <f>IF('Loan Tape (S&amp;P)'!T1793="Yes",
    1.35,
    1.00)</f>
        <v/>
      </c>
      <c r="P1793">
        <f>IF('Loan Tape (S&amp;P)'!S1793="Yes",
    1.15,
    1.00)</f>
        <v/>
      </c>
      <c r="Q1793">
        <f>IF('Loan Tape (S&amp;P)'!V1793="Yes",
    1.20,
    1.00)</f>
        <v/>
      </c>
      <c r="T1793">
        <f>LET(
    payment_method,'Loan Tape (S&amp;P)'!P1793,
    occupancy,'Loan Tape (S&amp;P)'!N1793,
    maturity_date,'Loan Tape (S&amp;P)'!L1793,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94">
      <c r="J1794">
        <f>LET(
    lien,'Loan Tape (S&amp;P)'!Q1794,
    IF(lien="First",1.00,
        IF(lien="Second",1.50,
            1.70)))</f>
        <v/>
      </c>
      <c r="K1794">
        <f>LET(
    purpose,'Loan Tape (S&amp;P)'!R1794,
    IF(purpose="Purchase",1.00,
        IF(purpose="Remortgage",1.00,
            1.20)))</f>
        <v/>
      </c>
      <c r="L1794">
        <f>LET(
    arrears_months,'Loan Tape (S&amp;P)'!AN1794,
    IF(arrears_months=0,1.00,
    IF(arrears_months=1,3.00,
    IF(arrears_months=2,5.00,
    IF(arrears_months=3,8.00,
    IF(arrears_months=4,10.00,
    IF(arrears_months=5,12.00,15.00)))))))</f>
        <v/>
      </c>
      <c r="M1794">
        <f>LET(
    seasoning_years,DATEDIF('Loan Tape (S&amp;P)'!K1794,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94">
        <f>IF(AND('Loan Tape (S&amp;P)'!U1794="Yes",
        'Loan Tape (S&amp;P)'!T1794&lt;&gt;"Yes",
        DATEDIF('Loan Tape (S&amp;P)'!K1794, TODAY(), "M")&lt;18),
    1.10,
    1.00)</f>
        <v/>
      </c>
      <c r="O1794">
        <f>IF('Loan Tape (S&amp;P)'!T1794="Yes",
    1.35,
    1.00)</f>
        <v/>
      </c>
      <c r="P1794">
        <f>IF('Loan Tape (S&amp;P)'!S1794="Yes",
    1.15,
    1.00)</f>
        <v/>
      </c>
      <c r="Q1794">
        <f>IF('Loan Tape (S&amp;P)'!V1794="Yes",
    1.20,
    1.00)</f>
        <v/>
      </c>
      <c r="T1794">
        <f>LET(
    payment_method,'Loan Tape (S&amp;P)'!P1794,
    occupancy,'Loan Tape (S&amp;P)'!N1794,
    maturity_date,'Loan Tape (S&amp;P)'!L1794,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95">
      <c r="J1795">
        <f>LET(
    lien,'Loan Tape (S&amp;P)'!Q1795,
    IF(lien="First",1.00,
        IF(lien="Second",1.50,
            1.70)))</f>
        <v/>
      </c>
      <c r="K1795">
        <f>LET(
    purpose,'Loan Tape (S&amp;P)'!R1795,
    IF(purpose="Purchase",1.00,
        IF(purpose="Remortgage",1.00,
            1.20)))</f>
        <v/>
      </c>
      <c r="L1795">
        <f>LET(
    arrears_months,'Loan Tape (S&amp;P)'!AN1795,
    IF(arrears_months=0,1.00,
    IF(arrears_months=1,3.00,
    IF(arrears_months=2,5.00,
    IF(arrears_months=3,8.00,
    IF(arrears_months=4,10.00,
    IF(arrears_months=5,12.00,15.00)))))))</f>
        <v/>
      </c>
      <c r="M1795">
        <f>LET(
    seasoning_years,DATEDIF('Loan Tape (S&amp;P)'!K1795,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95">
        <f>IF(AND('Loan Tape (S&amp;P)'!U1795="Yes",
        'Loan Tape (S&amp;P)'!T1795&lt;&gt;"Yes",
        DATEDIF('Loan Tape (S&amp;P)'!K1795, TODAY(), "M")&lt;18),
    1.10,
    1.00)</f>
        <v/>
      </c>
      <c r="O1795">
        <f>IF('Loan Tape (S&amp;P)'!T1795="Yes",
    1.35,
    1.00)</f>
        <v/>
      </c>
      <c r="P1795">
        <f>IF('Loan Tape (S&amp;P)'!S1795="Yes",
    1.15,
    1.00)</f>
        <v/>
      </c>
      <c r="Q1795">
        <f>IF('Loan Tape (S&amp;P)'!V1795="Yes",
    1.20,
    1.00)</f>
        <v/>
      </c>
      <c r="T1795">
        <f>LET(
    payment_method,'Loan Tape (S&amp;P)'!P1795,
    occupancy,'Loan Tape (S&amp;P)'!N1795,
    maturity_date,'Loan Tape (S&amp;P)'!L1795,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96">
      <c r="J1796">
        <f>LET(
    lien,'Loan Tape (S&amp;P)'!Q1796,
    IF(lien="First",1.00,
        IF(lien="Second",1.50,
            1.70)))</f>
        <v/>
      </c>
      <c r="K1796">
        <f>LET(
    purpose,'Loan Tape (S&amp;P)'!R1796,
    IF(purpose="Purchase",1.00,
        IF(purpose="Remortgage",1.00,
            1.20)))</f>
        <v/>
      </c>
      <c r="L1796">
        <f>LET(
    arrears_months,'Loan Tape (S&amp;P)'!AN1796,
    IF(arrears_months=0,1.00,
    IF(arrears_months=1,3.00,
    IF(arrears_months=2,5.00,
    IF(arrears_months=3,8.00,
    IF(arrears_months=4,10.00,
    IF(arrears_months=5,12.00,15.00)))))))</f>
        <v/>
      </c>
      <c r="M1796">
        <f>LET(
    seasoning_years,DATEDIF('Loan Tape (S&amp;P)'!K1796,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96">
        <f>IF(AND('Loan Tape (S&amp;P)'!U1796="Yes",
        'Loan Tape (S&amp;P)'!T1796&lt;&gt;"Yes",
        DATEDIF('Loan Tape (S&amp;P)'!K1796, TODAY(), "M")&lt;18),
    1.10,
    1.00)</f>
        <v/>
      </c>
      <c r="O1796">
        <f>IF('Loan Tape (S&amp;P)'!T1796="Yes",
    1.35,
    1.00)</f>
        <v/>
      </c>
      <c r="P1796">
        <f>IF('Loan Tape (S&amp;P)'!S1796="Yes",
    1.15,
    1.00)</f>
        <v/>
      </c>
      <c r="Q1796">
        <f>IF('Loan Tape (S&amp;P)'!V1796="Yes",
    1.20,
    1.00)</f>
        <v/>
      </c>
      <c r="T1796">
        <f>LET(
    payment_method,'Loan Tape (S&amp;P)'!P1796,
    occupancy,'Loan Tape (S&amp;P)'!N1796,
    maturity_date,'Loan Tape (S&amp;P)'!L1796,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97">
      <c r="J1797">
        <f>LET(
    lien,'Loan Tape (S&amp;P)'!Q1797,
    IF(lien="First",1.00,
        IF(lien="Second",1.50,
            1.70)))</f>
        <v/>
      </c>
      <c r="K1797">
        <f>LET(
    purpose,'Loan Tape (S&amp;P)'!R1797,
    IF(purpose="Purchase",1.00,
        IF(purpose="Remortgage",1.00,
            1.20)))</f>
        <v/>
      </c>
      <c r="L1797">
        <f>LET(
    arrears_months,'Loan Tape (S&amp;P)'!AN1797,
    IF(arrears_months=0,1.00,
    IF(arrears_months=1,3.00,
    IF(arrears_months=2,5.00,
    IF(arrears_months=3,8.00,
    IF(arrears_months=4,10.00,
    IF(arrears_months=5,12.00,15.00)))))))</f>
        <v/>
      </c>
      <c r="M1797">
        <f>LET(
    seasoning_years,DATEDIF('Loan Tape (S&amp;P)'!K1797,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97">
        <f>IF(AND('Loan Tape (S&amp;P)'!U1797="Yes",
        'Loan Tape (S&amp;P)'!T1797&lt;&gt;"Yes",
        DATEDIF('Loan Tape (S&amp;P)'!K1797, TODAY(), "M")&lt;18),
    1.10,
    1.00)</f>
        <v/>
      </c>
      <c r="O1797">
        <f>IF('Loan Tape (S&amp;P)'!T1797="Yes",
    1.35,
    1.00)</f>
        <v/>
      </c>
      <c r="P1797">
        <f>IF('Loan Tape (S&amp;P)'!S1797="Yes",
    1.15,
    1.00)</f>
        <v/>
      </c>
      <c r="Q1797">
        <f>IF('Loan Tape (S&amp;P)'!V1797="Yes",
    1.20,
    1.00)</f>
        <v/>
      </c>
      <c r="T1797">
        <f>LET(
    payment_method,'Loan Tape (S&amp;P)'!P1797,
    occupancy,'Loan Tape (S&amp;P)'!N1797,
    maturity_date,'Loan Tape (S&amp;P)'!L1797,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98">
      <c r="J1798">
        <f>LET(
    lien,'Loan Tape (S&amp;P)'!Q1798,
    IF(lien="First",1.00,
        IF(lien="Second",1.50,
            1.70)))</f>
        <v/>
      </c>
      <c r="K1798">
        <f>LET(
    purpose,'Loan Tape (S&amp;P)'!R1798,
    IF(purpose="Purchase",1.00,
        IF(purpose="Remortgage",1.00,
            1.20)))</f>
        <v/>
      </c>
      <c r="L1798">
        <f>LET(
    arrears_months,'Loan Tape (S&amp;P)'!AN1798,
    IF(arrears_months=0,1.00,
    IF(arrears_months=1,3.00,
    IF(arrears_months=2,5.00,
    IF(arrears_months=3,8.00,
    IF(arrears_months=4,10.00,
    IF(arrears_months=5,12.00,15.00)))))))</f>
        <v/>
      </c>
      <c r="M1798">
        <f>LET(
    seasoning_years,DATEDIF('Loan Tape (S&amp;P)'!K1798,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98">
        <f>IF(AND('Loan Tape (S&amp;P)'!U1798="Yes",
        'Loan Tape (S&amp;P)'!T1798&lt;&gt;"Yes",
        DATEDIF('Loan Tape (S&amp;P)'!K1798, TODAY(), "M")&lt;18),
    1.10,
    1.00)</f>
        <v/>
      </c>
      <c r="O1798">
        <f>IF('Loan Tape (S&amp;P)'!T1798="Yes",
    1.35,
    1.00)</f>
        <v/>
      </c>
      <c r="P1798">
        <f>IF('Loan Tape (S&amp;P)'!S1798="Yes",
    1.15,
    1.00)</f>
        <v/>
      </c>
      <c r="Q1798">
        <f>IF('Loan Tape (S&amp;P)'!V1798="Yes",
    1.20,
    1.00)</f>
        <v/>
      </c>
      <c r="T1798">
        <f>LET(
    payment_method,'Loan Tape (S&amp;P)'!P1798,
    occupancy,'Loan Tape (S&amp;P)'!N1798,
    maturity_date,'Loan Tape (S&amp;P)'!L1798,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799">
      <c r="J1799">
        <f>LET(
    lien,'Loan Tape (S&amp;P)'!Q1799,
    IF(lien="First",1.00,
        IF(lien="Second",1.50,
            1.70)))</f>
        <v/>
      </c>
      <c r="K1799">
        <f>LET(
    purpose,'Loan Tape (S&amp;P)'!R1799,
    IF(purpose="Purchase",1.00,
        IF(purpose="Remortgage",1.00,
            1.20)))</f>
        <v/>
      </c>
      <c r="L1799">
        <f>LET(
    arrears_months,'Loan Tape (S&amp;P)'!AN1799,
    IF(arrears_months=0,1.00,
    IF(arrears_months=1,3.00,
    IF(arrears_months=2,5.00,
    IF(arrears_months=3,8.00,
    IF(arrears_months=4,10.00,
    IF(arrears_months=5,12.00,15.00)))))))</f>
        <v/>
      </c>
      <c r="M1799">
        <f>LET(
    seasoning_years,DATEDIF('Loan Tape (S&amp;P)'!K1799,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799">
        <f>IF(AND('Loan Tape (S&amp;P)'!U1799="Yes",
        'Loan Tape (S&amp;P)'!T1799&lt;&gt;"Yes",
        DATEDIF('Loan Tape (S&amp;P)'!K1799, TODAY(), "M")&lt;18),
    1.10,
    1.00)</f>
        <v/>
      </c>
      <c r="O1799">
        <f>IF('Loan Tape (S&amp;P)'!T1799="Yes",
    1.35,
    1.00)</f>
        <v/>
      </c>
      <c r="P1799">
        <f>IF('Loan Tape (S&amp;P)'!S1799="Yes",
    1.15,
    1.00)</f>
        <v/>
      </c>
      <c r="Q1799">
        <f>IF('Loan Tape (S&amp;P)'!V1799="Yes",
    1.20,
    1.00)</f>
        <v/>
      </c>
      <c r="T1799">
        <f>LET(
    payment_method,'Loan Tape (S&amp;P)'!P1799,
    occupancy,'Loan Tape (S&amp;P)'!N1799,
    maturity_date,'Loan Tape (S&amp;P)'!L1799,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00">
      <c r="J1800">
        <f>LET(
    lien,'Loan Tape (S&amp;P)'!Q1800,
    IF(lien="First",1.00,
        IF(lien="Second",1.50,
            1.70)))</f>
        <v/>
      </c>
      <c r="K1800">
        <f>LET(
    purpose,'Loan Tape (S&amp;P)'!R1800,
    IF(purpose="Purchase",1.00,
        IF(purpose="Remortgage",1.00,
            1.20)))</f>
        <v/>
      </c>
      <c r="L1800">
        <f>LET(
    arrears_months,'Loan Tape (S&amp;P)'!AN1800,
    IF(arrears_months=0,1.00,
    IF(arrears_months=1,3.00,
    IF(arrears_months=2,5.00,
    IF(arrears_months=3,8.00,
    IF(arrears_months=4,10.00,
    IF(arrears_months=5,12.00,15.00)))))))</f>
        <v/>
      </c>
      <c r="M1800">
        <f>LET(
    seasoning_years,DATEDIF('Loan Tape (S&amp;P)'!K1800,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00">
        <f>IF(AND('Loan Tape (S&amp;P)'!U1800="Yes",
        'Loan Tape (S&amp;P)'!T1800&lt;&gt;"Yes",
        DATEDIF('Loan Tape (S&amp;P)'!K1800, TODAY(), "M")&lt;18),
    1.10,
    1.00)</f>
        <v/>
      </c>
      <c r="O1800">
        <f>IF('Loan Tape (S&amp;P)'!T1800="Yes",
    1.35,
    1.00)</f>
        <v/>
      </c>
      <c r="P1800">
        <f>IF('Loan Tape (S&amp;P)'!S1800="Yes",
    1.15,
    1.00)</f>
        <v/>
      </c>
      <c r="Q1800">
        <f>IF('Loan Tape (S&amp;P)'!V1800="Yes",
    1.20,
    1.00)</f>
        <v/>
      </c>
      <c r="T1800">
        <f>LET(
    payment_method,'Loan Tape (S&amp;P)'!P1800,
    occupancy,'Loan Tape (S&amp;P)'!N1800,
    maturity_date,'Loan Tape (S&amp;P)'!L1800,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01">
      <c r="J1801">
        <f>LET(
    lien,'Loan Tape (S&amp;P)'!Q1801,
    IF(lien="First",1.00,
        IF(lien="Second",1.50,
            1.70)))</f>
        <v/>
      </c>
      <c r="K1801">
        <f>LET(
    purpose,'Loan Tape (S&amp;P)'!R1801,
    IF(purpose="Purchase",1.00,
        IF(purpose="Remortgage",1.00,
            1.20)))</f>
        <v/>
      </c>
      <c r="L1801">
        <f>LET(
    arrears_months,'Loan Tape (S&amp;P)'!AN1801,
    IF(arrears_months=0,1.00,
    IF(arrears_months=1,3.00,
    IF(arrears_months=2,5.00,
    IF(arrears_months=3,8.00,
    IF(arrears_months=4,10.00,
    IF(arrears_months=5,12.00,15.00)))))))</f>
        <v/>
      </c>
      <c r="M1801">
        <f>LET(
    seasoning_years,DATEDIF('Loan Tape (S&amp;P)'!K1801,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01">
        <f>IF(AND('Loan Tape (S&amp;P)'!U1801="Yes",
        'Loan Tape (S&amp;P)'!T1801&lt;&gt;"Yes",
        DATEDIF('Loan Tape (S&amp;P)'!K1801, TODAY(), "M")&lt;18),
    1.10,
    1.00)</f>
        <v/>
      </c>
      <c r="O1801">
        <f>IF('Loan Tape (S&amp;P)'!T1801="Yes",
    1.35,
    1.00)</f>
        <v/>
      </c>
      <c r="P1801">
        <f>IF('Loan Tape (S&amp;P)'!S1801="Yes",
    1.15,
    1.00)</f>
        <v/>
      </c>
      <c r="Q1801">
        <f>IF('Loan Tape (S&amp;P)'!V1801="Yes",
    1.20,
    1.00)</f>
        <v/>
      </c>
      <c r="T1801">
        <f>LET(
    payment_method,'Loan Tape (S&amp;P)'!P1801,
    occupancy,'Loan Tape (S&amp;P)'!N1801,
    maturity_date,'Loan Tape (S&amp;P)'!L1801,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02">
      <c r="J1802">
        <f>LET(
    lien,'Loan Tape (S&amp;P)'!Q1802,
    IF(lien="First",1.00,
        IF(lien="Second",1.50,
            1.70)))</f>
        <v/>
      </c>
      <c r="K1802">
        <f>LET(
    purpose,'Loan Tape (S&amp;P)'!R1802,
    IF(purpose="Purchase",1.00,
        IF(purpose="Remortgage",1.00,
            1.20)))</f>
        <v/>
      </c>
      <c r="L1802">
        <f>LET(
    arrears_months,'Loan Tape (S&amp;P)'!AN1802,
    IF(arrears_months=0,1.00,
    IF(arrears_months=1,3.00,
    IF(arrears_months=2,5.00,
    IF(arrears_months=3,8.00,
    IF(arrears_months=4,10.00,
    IF(arrears_months=5,12.00,15.00)))))))</f>
        <v/>
      </c>
      <c r="M1802">
        <f>LET(
    seasoning_years,DATEDIF('Loan Tape (S&amp;P)'!K1802,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02">
        <f>IF(AND('Loan Tape (S&amp;P)'!U1802="Yes",
        'Loan Tape (S&amp;P)'!T1802&lt;&gt;"Yes",
        DATEDIF('Loan Tape (S&amp;P)'!K1802, TODAY(), "M")&lt;18),
    1.10,
    1.00)</f>
        <v/>
      </c>
      <c r="O1802">
        <f>IF('Loan Tape (S&amp;P)'!T1802="Yes",
    1.35,
    1.00)</f>
        <v/>
      </c>
      <c r="P1802">
        <f>IF('Loan Tape (S&amp;P)'!S1802="Yes",
    1.15,
    1.00)</f>
        <v/>
      </c>
      <c r="Q1802">
        <f>IF('Loan Tape (S&amp;P)'!V1802="Yes",
    1.20,
    1.00)</f>
        <v/>
      </c>
      <c r="T1802">
        <f>LET(
    payment_method,'Loan Tape (S&amp;P)'!P1802,
    occupancy,'Loan Tape (S&amp;P)'!N1802,
    maturity_date,'Loan Tape (S&amp;P)'!L1802,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03">
      <c r="J1803">
        <f>LET(
    lien,'Loan Tape (S&amp;P)'!Q1803,
    IF(lien="First",1.00,
        IF(lien="Second",1.50,
            1.70)))</f>
        <v/>
      </c>
      <c r="K1803">
        <f>LET(
    purpose,'Loan Tape (S&amp;P)'!R1803,
    IF(purpose="Purchase",1.00,
        IF(purpose="Remortgage",1.00,
            1.20)))</f>
        <v/>
      </c>
      <c r="L1803">
        <f>LET(
    arrears_months,'Loan Tape (S&amp;P)'!AN1803,
    IF(arrears_months=0,1.00,
    IF(arrears_months=1,3.00,
    IF(arrears_months=2,5.00,
    IF(arrears_months=3,8.00,
    IF(arrears_months=4,10.00,
    IF(arrears_months=5,12.00,15.00)))))))</f>
        <v/>
      </c>
      <c r="M1803">
        <f>LET(
    seasoning_years,DATEDIF('Loan Tape (S&amp;P)'!K1803,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03">
        <f>IF(AND('Loan Tape (S&amp;P)'!U1803="Yes",
        'Loan Tape (S&amp;P)'!T1803&lt;&gt;"Yes",
        DATEDIF('Loan Tape (S&amp;P)'!K1803, TODAY(), "M")&lt;18),
    1.10,
    1.00)</f>
        <v/>
      </c>
      <c r="O1803">
        <f>IF('Loan Tape (S&amp;P)'!T1803="Yes",
    1.35,
    1.00)</f>
        <v/>
      </c>
      <c r="P1803">
        <f>IF('Loan Tape (S&amp;P)'!S1803="Yes",
    1.15,
    1.00)</f>
        <v/>
      </c>
      <c r="Q1803">
        <f>IF('Loan Tape (S&amp;P)'!V1803="Yes",
    1.20,
    1.00)</f>
        <v/>
      </c>
      <c r="T1803">
        <f>LET(
    payment_method,'Loan Tape (S&amp;P)'!P1803,
    occupancy,'Loan Tape (S&amp;P)'!N1803,
    maturity_date,'Loan Tape (S&amp;P)'!L1803,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04">
      <c r="J1804">
        <f>LET(
    lien,'Loan Tape (S&amp;P)'!Q1804,
    IF(lien="First",1.00,
        IF(lien="Second",1.50,
            1.70)))</f>
        <v/>
      </c>
      <c r="K1804">
        <f>LET(
    purpose,'Loan Tape (S&amp;P)'!R1804,
    IF(purpose="Purchase",1.00,
        IF(purpose="Remortgage",1.00,
            1.20)))</f>
        <v/>
      </c>
      <c r="L1804">
        <f>LET(
    arrears_months,'Loan Tape (S&amp;P)'!AN1804,
    IF(arrears_months=0,1.00,
    IF(arrears_months=1,3.00,
    IF(arrears_months=2,5.00,
    IF(arrears_months=3,8.00,
    IF(arrears_months=4,10.00,
    IF(arrears_months=5,12.00,15.00)))))))</f>
        <v/>
      </c>
      <c r="M1804">
        <f>LET(
    seasoning_years,DATEDIF('Loan Tape (S&amp;P)'!K1804,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04">
        <f>IF(AND('Loan Tape (S&amp;P)'!U1804="Yes",
        'Loan Tape (S&amp;P)'!T1804&lt;&gt;"Yes",
        DATEDIF('Loan Tape (S&amp;P)'!K1804, TODAY(), "M")&lt;18),
    1.10,
    1.00)</f>
        <v/>
      </c>
      <c r="O1804">
        <f>IF('Loan Tape (S&amp;P)'!T1804="Yes",
    1.35,
    1.00)</f>
        <v/>
      </c>
      <c r="P1804">
        <f>IF('Loan Tape (S&amp;P)'!S1804="Yes",
    1.15,
    1.00)</f>
        <v/>
      </c>
      <c r="Q1804">
        <f>IF('Loan Tape (S&amp;P)'!V1804="Yes",
    1.20,
    1.00)</f>
        <v/>
      </c>
      <c r="T1804">
        <f>LET(
    payment_method,'Loan Tape (S&amp;P)'!P1804,
    occupancy,'Loan Tape (S&amp;P)'!N1804,
    maturity_date,'Loan Tape (S&amp;P)'!L1804,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05">
      <c r="J1805">
        <f>LET(
    lien,'Loan Tape (S&amp;P)'!Q1805,
    IF(lien="First",1.00,
        IF(lien="Second",1.50,
            1.70)))</f>
        <v/>
      </c>
      <c r="K1805">
        <f>LET(
    purpose,'Loan Tape (S&amp;P)'!R1805,
    IF(purpose="Purchase",1.00,
        IF(purpose="Remortgage",1.00,
            1.20)))</f>
        <v/>
      </c>
      <c r="L1805">
        <f>LET(
    arrears_months,'Loan Tape (S&amp;P)'!AN1805,
    IF(arrears_months=0,1.00,
    IF(arrears_months=1,3.00,
    IF(arrears_months=2,5.00,
    IF(arrears_months=3,8.00,
    IF(arrears_months=4,10.00,
    IF(arrears_months=5,12.00,15.00)))))))</f>
        <v/>
      </c>
      <c r="M1805">
        <f>LET(
    seasoning_years,DATEDIF('Loan Tape (S&amp;P)'!K1805,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05">
        <f>IF(AND('Loan Tape (S&amp;P)'!U1805="Yes",
        'Loan Tape (S&amp;P)'!T1805&lt;&gt;"Yes",
        DATEDIF('Loan Tape (S&amp;P)'!K1805, TODAY(), "M")&lt;18),
    1.10,
    1.00)</f>
        <v/>
      </c>
      <c r="O1805">
        <f>IF('Loan Tape (S&amp;P)'!T1805="Yes",
    1.35,
    1.00)</f>
        <v/>
      </c>
      <c r="P1805">
        <f>IF('Loan Tape (S&amp;P)'!S1805="Yes",
    1.15,
    1.00)</f>
        <v/>
      </c>
      <c r="Q1805">
        <f>IF('Loan Tape (S&amp;P)'!V1805="Yes",
    1.20,
    1.00)</f>
        <v/>
      </c>
      <c r="T1805">
        <f>LET(
    payment_method,'Loan Tape (S&amp;P)'!P1805,
    occupancy,'Loan Tape (S&amp;P)'!N1805,
    maturity_date,'Loan Tape (S&amp;P)'!L1805,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06">
      <c r="J1806">
        <f>LET(
    lien,'Loan Tape (S&amp;P)'!Q1806,
    IF(lien="First",1.00,
        IF(lien="Second",1.50,
            1.70)))</f>
        <v/>
      </c>
      <c r="K1806">
        <f>LET(
    purpose,'Loan Tape (S&amp;P)'!R1806,
    IF(purpose="Purchase",1.00,
        IF(purpose="Remortgage",1.00,
            1.20)))</f>
        <v/>
      </c>
      <c r="L1806">
        <f>LET(
    arrears_months,'Loan Tape (S&amp;P)'!AN1806,
    IF(arrears_months=0,1.00,
    IF(arrears_months=1,3.00,
    IF(arrears_months=2,5.00,
    IF(arrears_months=3,8.00,
    IF(arrears_months=4,10.00,
    IF(arrears_months=5,12.00,15.00)))))))</f>
        <v/>
      </c>
      <c r="M1806">
        <f>LET(
    seasoning_years,DATEDIF('Loan Tape (S&amp;P)'!K1806,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06">
        <f>IF(AND('Loan Tape (S&amp;P)'!U1806="Yes",
        'Loan Tape (S&amp;P)'!T1806&lt;&gt;"Yes",
        DATEDIF('Loan Tape (S&amp;P)'!K1806, TODAY(), "M")&lt;18),
    1.10,
    1.00)</f>
        <v/>
      </c>
      <c r="O1806">
        <f>IF('Loan Tape (S&amp;P)'!T1806="Yes",
    1.35,
    1.00)</f>
        <v/>
      </c>
      <c r="P1806">
        <f>IF('Loan Tape (S&amp;P)'!S1806="Yes",
    1.15,
    1.00)</f>
        <v/>
      </c>
      <c r="Q1806">
        <f>IF('Loan Tape (S&amp;P)'!V1806="Yes",
    1.20,
    1.00)</f>
        <v/>
      </c>
      <c r="T1806">
        <f>LET(
    payment_method,'Loan Tape (S&amp;P)'!P1806,
    occupancy,'Loan Tape (S&amp;P)'!N1806,
    maturity_date,'Loan Tape (S&amp;P)'!L1806,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07">
      <c r="J1807">
        <f>LET(
    lien,'Loan Tape (S&amp;P)'!Q1807,
    IF(lien="First",1.00,
        IF(lien="Second",1.50,
            1.70)))</f>
        <v/>
      </c>
      <c r="K1807">
        <f>LET(
    purpose,'Loan Tape (S&amp;P)'!R1807,
    IF(purpose="Purchase",1.00,
        IF(purpose="Remortgage",1.00,
            1.20)))</f>
        <v/>
      </c>
      <c r="L1807">
        <f>LET(
    arrears_months,'Loan Tape (S&amp;P)'!AN1807,
    IF(arrears_months=0,1.00,
    IF(arrears_months=1,3.00,
    IF(arrears_months=2,5.00,
    IF(arrears_months=3,8.00,
    IF(arrears_months=4,10.00,
    IF(arrears_months=5,12.00,15.00)))))))</f>
        <v/>
      </c>
      <c r="M1807">
        <f>LET(
    seasoning_years,DATEDIF('Loan Tape (S&amp;P)'!K1807,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07">
        <f>IF(AND('Loan Tape (S&amp;P)'!U1807="Yes",
        'Loan Tape (S&amp;P)'!T1807&lt;&gt;"Yes",
        DATEDIF('Loan Tape (S&amp;P)'!K1807, TODAY(), "M")&lt;18),
    1.10,
    1.00)</f>
        <v/>
      </c>
      <c r="O1807">
        <f>IF('Loan Tape (S&amp;P)'!T1807="Yes",
    1.35,
    1.00)</f>
        <v/>
      </c>
      <c r="P1807">
        <f>IF('Loan Tape (S&amp;P)'!S1807="Yes",
    1.15,
    1.00)</f>
        <v/>
      </c>
      <c r="Q1807">
        <f>IF('Loan Tape (S&amp;P)'!V1807="Yes",
    1.20,
    1.00)</f>
        <v/>
      </c>
      <c r="T1807">
        <f>LET(
    payment_method,'Loan Tape (S&amp;P)'!P1807,
    occupancy,'Loan Tape (S&amp;P)'!N1807,
    maturity_date,'Loan Tape (S&amp;P)'!L1807,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08">
      <c r="J1808">
        <f>LET(
    lien,'Loan Tape (S&amp;P)'!Q1808,
    IF(lien="First",1.00,
        IF(lien="Second",1.50,
            1.70)))</f>
        <v/>
      </c>
      <c r="K1808">
        <f>LET(
    purpose,'Loan Tape (S&amp;P)'!R1808,
    IF(purpose="Purchase",1.00,
        IF(purpose="Remortgage",1.00,
            1.20)))</f>
        <v/>
      </c>
      <c r="L1808">
        <f>LET(
    arrears_months,'Loan Tape (S&amp;P)'!AN1808,
    IF(arrears_months=0,1.00,
    IF(arrears_months=1,3.00,
    IF(arrears_months=2,5.00,
    IF(arrears_months=3,8.00,
    IF(arrears_months=4,10.00,
    IF(arrears_months=5,12.00,15.00)))))))</f>
        <v/>
      </c>
      <c r="M1808">
        <f>LET(
    seasoning_years,DATEDIF('Loan Tape (S&amp;P)'!K1808,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08">
        <f>IF(AND('Loan Tape (S&amp;P)'!U1808="Yes",
        'Loan Tape (S&amp;P)'!T1808&lt;&gt;"Yes",
        DATEDIF('Loan Tape (S&amp;P)'!K1808, TODAY(), "M")&lt;18),
    1.10,
    1.00)</f>
        <v/>
      </c>
      <c r="O1808">
        <f>IF('Loan Tape (S&amp;P)'!T1808="Yes",
    1.35,
    1.00)</f>
        <v/>
      </c>
      <c r="P1808">
        <f>IF('Loan Tape (S&amp;P)'!S1808="Yes",
    1.15,
    1.00)</f>
        <v/>
      </c>
      <c r="Q1808">
        <f>IF('Loan Tape (S&amp;P)'!V1808="Yes",
    1.20,
    1.00)</f>
        <v/>
      </c>
      <c r="T1808">
        <f>LET(
    payment_method,'Loan Tape (S&amp;P)'!P1808,
    occupancy,'Loan Tape (S&amp;P)'!N1808,
    maturity_date,'Loan Tape (S&amp;P)'!L1808,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09">
      <c r="J1809">
        <f>LET(
    lien,'Loan Tape (S&amp;P)'!Q1809,
    IF(lien="First",1.00,
        IF(lien="Second",1.50,
            1.70)))</f>
        <v/>
      </c>
      <c r="K1809">
        <f>LET(
    purpose,'Loan Tape (S&amp;P)'!R1809,
    IF(purpose="Purchase",1.00,
        IF(purpose="Remortgage",1.00,
            1.20)))</f>
        <v/>
      </c>
      <c r="L1809">
        <f>LET(
    arrears_months,'Loan Tape (S&amp;P)'!AN1809,
    IF(arrears_months=0,1.00,
    IF(arrears_months=1,3.00,
    IF(arrears_months=2,5.00,
    IF(arrears_months=3,8.00,
    IF(arrears_months=4,10.00,
    IF(arrears_months=5,12.00,15.00)))))))</f>
        <v/>
      </c>
      <c r="M1809">
        <f>LET(
    seasoning_years,DATEDIF('Loan Tape (S&amp;P)'!K1809,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09">
        <f>IF(AND('Loan Tape (S&amp;P)'!U1809="Yes",
        'Loan Tape (S&amp;P)'!T1809&lt;&gt;"Yes",
        DATEDIF('Loan Tape (S&amp;P)'!K1809, TODAY(), "M")&lt;18),
    1.10,
    1.00)</f>
        <v/>
      </c>
      <c r="O1809">
        <f>IF('Loan Tape (S&amp;P)'!T1809="Yes",
    1.35,
    1.00)</f>
        <v/>
      </c>
      <c r="P1809">
        <f>IF('Loan Tape (S&amp;P)'!S1809="Yes",
    1.15,
    1.00)</f>
        <v/>
      </c>
      <c r="Q1809">
        <f>IF('Loan Tape (S&amp;P)'!V1809="Yes",
    1.20,
    1.00)</f>
        <v/>
      </c>
      <c r="T1809">
        <f>LET(
    payment_method,'Loan Tape (S&amp;P)'!P1809,
    occupancy,'Loan Tape (S&amp;P)'!N1809,
    maturity_date,'Loan Tape (S&amp;P)'!L1809,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10">
      <c r="J1810">
        <f>LET(
    lien,'Loan Tape (S&amp;P)'!Q1810,
    IF(lien="First",1.00,
        IF(lien="Second",1.50,
            1.70)))</f>
        <v/>
      </c>
      <c r="K1810">
        <f>LET(
    purpose,'Loan Tape (S&amp;P)'!R1810,
    IF(purpose="Purchase",1.00,
        IF(purpose="Remortgage",1.00,
            1.20)))</f>
        <v/>
      </c>
      <c r="L1810">
        <f>LET(
    arrears_months,'Loan Tape (S&amp;P)'!AN1810,
    IF(arrears_months=0,1.00,
    IF(arrears_months=1,3.00,
    IF(arrears_months=2,5.00,
    IF(arrears_months=3,8.00,
    IF(arrears_months=4,10.00,
    IF(arrears_months=5,12.00,15.00)))))))</f>
        <v/>
      </c>
      <c r="M1810">
        <f>LET(
    seasoning_years,DATEDIF('Loan Tape (S&amp;P)'!K1810,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10">
        <f>IF(AND('Loan Tape (S&amp;P)'!U1810="Yes",
        'Loan Tape (S&amp;P)'!T1810&lt;&gt;"Yes",
        DATEDIF('Loan Tape (S&amp;P)'!K1810, TODAY(), "M")&lt;18),
    1.10,
    1.00)</f>
        <v/>
      </c>
      <c r="O1810">
        <f>IF('Loan Tape (S&amp;P)'!T1810="Yes",
    1.35,
    1.00)</f>
        <v/>
      </c>
      <c r="P1810">
        <f>IF('Loan Tape (S&amp;P)'!S1810="Yes",
    1.15,
    1.00)</f>
        <v/>
      </c>
      <c r="Q1810">
        <f>IF('Loan Tape (S&amp;P)'!V1810="Yes",
    1.20,
    1.00)</f>
        <v/>
      </c>
      <c r="T1810">
        <f>LET(
    payment_method,'Loan Tape (S&amp;P)'!P1810,
    occupancy,'Loan Tape (S&amp;P)'!N1810,
    maturity_date,'Loan Tape (S&amp;P)'!L1810,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11">
      <c r="J1811">
        <f>LET(
    lien,'Loan Tape (S&amp;P)'!Q1811,
    IF(lien="First",1.00,
        IF(lien="Second",1.50,
            1.70)))</f>
        <v/>
      </c>
      <c r="K1811">
        <f>LET(
    purpose,'Loan Tape (S&amp;P)'!R1811,
    IF(purpose="Purchase",1.00,
        IF(purpose="Remortgage",1.00,
            1.20)))</f>
        <v/>
      </c>
      <c r="L1811">
        <f>LET(
    arrears_months,'Loan Tape (S&amp;P)'!AN1811,
    IF(arrears_months=0,1.00,
    IF(arrears_months=1,3.00,
    IF(arrears_months=2,5.00,
    IF(arrears_months=3,8.00,
    IF(arrears_months=4,10.00,
    IF(arrears_months=5,12.00,15.00)))))))</f>
        <v/>
      </c>
      <c r="M1811">
        <f>LET(
    seasoning_years,DATEDIF('Loan Tape (S&amp;P)'!K1811,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11">
        <f>IF(AND('Loan Tape (S&amp;P)'!U1811="Yes",
        'Loan Tape (S&amp;P)'!T1811&lt;&gt;"Yes",
        DATEDIF('Loan Tape (S&amp;P)'!K1811, TODAY(), "M")&lt;18),
    1.10,
    1.00)</f>
        <v/>
      </c>
      <c r="O1811">
        <f>IF('Loan Tape (S&amp;P)'!T1811="Yes",
    1.35,
    1.00)</f>
        <v/>
      </c>
      <c r="P1811">
        <f>IF('Loan Tape (S&amp;P)'!S1811="Yes",
    1.15,
    1.00)</f>
        <v/>
      </c>
      <c r="Q1811">
        <f>IF('Loan Tape (S&amp;P)'!V1811="Yes",
    1.20,
    1.00)</f>
        <v/>
      </c>
      <c r="T1811">
        <f>LET(
    payment_method,'Loan Tape (S&amp;P)'!P1811,
    occupancy,'Loan Tape (S&amp;P)'!N1811,
    maturity_date,'Loan Tape (S&amp;P)'!L1811,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12">
      <c r="J1812">
        <f>LET(
    lien,'Loan Tape (S&amp;P)'!Q1812,
    IF(lien="First",1.00,
        IF(lien="Second",1.50,
            1.70)))</f>
        <v/>
      </c>
      <c r="K1812">
        <f>LET(
    purpose,'Loan Tape (S&amp;P)'!R1812,
    IF(purpose="Purchase",1.00,
        IF(purpose="Remortgage",1.00,
            1.20)))</f>
        <v/>
      </c>
      <c r="L1812">
        <f>LET(
    arrears_months,'Loan Tape (S&amp;P)'!AN1812,
    IF(arrears_months=0,1.00,
    IF(arrears_months=1,3.00,
    IF(arrears_months=2,5.00,
    IF(arrears_months=3,8.00,
    IF(arrears_months=4,10.00,
    IF(arrears_months=5,12.00,15.00)))))))</f>
        <v/>
      </c>
      <c r="M1812">
        <f>LET(
    seasoning_years,DATEDIF('Loan Tape (S&amp;P)'!K1812,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12">
        <f>IF(AND('Loan Tape (S&amp;P)'!U1812="Yes",
        'Loan Tape (S&amp;P)'!T1812&lt;&gt;"Yes",
        DATEDIF('Loan Tape (S&amp;P)'!K1812, TODAY(), "M")&lt;18),
    1.10,
    1.00)</f>
        <v/>
      </c>
      <c r="O1812">
        <f>IF('Loan Tape (S&amp;P)'!T1812="Yes",
    1.35,
    1.00)</f>
        <v/>
      </c>
      <c r="P1812">
        <f>IF('Loan Tape (S&amp;P)'!S1812="Yes",
    1.15,
    1.00)</f>
        <v/>
      </c>
      <c r="Q1812">
        <f>IF('Loan Tape (S&amp;P)'!V1812="Yes",
    1.20,
    1.00)</f>
        <v/>
      </c>
      <c r="T1812">
        <f>LET(
    payment_method,'Loan Tape (S&amp;P)'!P1812,
    occupancy,'Loan Tape (S&amp;P)'!N1812,
    maturity_date,'Loan Tape (S&amp;P)'!L1812,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13">
      <c r="J1813">
        <f>LET(
    lien,'Loan Tape (S&amp;P)'!Q1813,
    IF(lien="First",1.00,
        IF(lien="Second",1.50,
            1.70)))</f>
        <v/>
      </c>
      <c r="K1813">
        <f>LET(
    purpose,'Loan Tape (S&amp;P)'!R1813,
    IF(purpose="Purchase",1.00,
        IF(purpose="Remortgage",1.00,
            1.20)))</f>
        <v/>
      </c>
      <c r="L1813">
        <f>LET(
    arrears_months,'Loan Tape (S&amp;P)'!AN1813,
    IF(arrears_months=0,1.00,
    IF(arrears_months=1,3.00,
    IF(arrears_months=2,5.00,
    IF(arrears_months=3,8.00,
    IF(arrears_months=4,10.00,
    IF(arrears_months=5,12.00,15.00)))))))</f>
        <v/>
      </c>
      <c r="M1813">
        <f>LET(
    seasoning_years,DATEDIF('Loan Tape (S&amp;P)'!K1813,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13">
        <f>IF(AND('Loan Tape (S&amp;P)'!U1813="Yes",
        'Loan Tape (S&amp;P)'!T1813&lt;&gt;"Yes",
        DATEDIF('Loan Tape (S&amp;P)'!K1813, TODAY(), "M")&lt;18),
    1.10,
    1.00)</f>
        <v/>
      </c>
      <c r="O1813">
        <f>IF('Loan Tape (S&amp;P)'!T1813="Yes",
    1.35,
    1.00)</f>
        <v/>
      </c>
      <c r="P1813">
        <f>IF('Loan Tape (S&amp;P)'!S1813="Yes",
    1.15,
    1.00)</f>
        <v/>
      </c>
      <c r="Q1813">
        <f>IF('Loan Tape (S&amp;P)'!V1813="Yes",
    1.20,
    1.00)</f>
        <v/>
      </c>
      <c r="T1813">
        <f>LET(
    payment_method,'Loan Tape (S&amp;P)'!P1813,
    occupancy,'Loan Tape (S&amp;P)'!N1813,
    maturity_date,'Loan Tape (S&amp;P)'!L1813,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14">
      <c r="J1814">
        <f>LET(
    lien,'Loan Tape (S&amp;P)'!Q1814,
    IF(lien="First",1.00,
        IF(lien="Second",1.50,
            1.70)))</f>
        <v/>
      </c>
      <c r="K1814">
        <f>LET(
    purpose,'Loan Tape (S&amp;P)'!R1814,
    IF(purpose="Purchase",1.00,
        IF(purpose="Remortgage",1.00,
            1.20)))</f>
        <v/>
      </c>
      <c r="L1814">
        <f>LET(
    arrears_months,'Loan Tape (S&amp;P)'!AN1814,
    IF(arrears_months=0,1.00,
    IF(arrears_months=1,3.00,
    IF(arrears_months=2,5.00,
    IF(arrears_months=3,8.00,
    IF(arrears_months=4,10.00,
    IF(arrears_months=5,12.00,15.00)))))))</f>
        <v/>
      </c>
      <c r="M1814">
        <f>LET(
    seasoning_years,DATEDIF('Loan Tape (S&amp;P)'!K1814,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14">
        <f>IF(AND('Loan Tape (S&amp;P)'!U1814="Yes",
        'Loan Tape (S&amp;P)'!T1814&lt;&gt;"Yes",
        DATEDIF('Loan Tape (S&amp;P)'!K1814, TODAY(), "M")&lt;18),
    1.10,
    1.00)</f>
        <v/>
      </c>
      <c r="O1814">
        <f>IF('Loan Tape (S&amp;P)'!T1814="Yes",
    1.35,
    1.00)</f>
        <v/>
      </c>
      <c r="P1814">
        <f>IF('Loan Tape (S&amp;P)'!S1814="Yes",
    1.15,
    1.00)</f>
        <v/>
      </c>
      <c r="Q1814">
        <f>IF('Loan Tape (S&amp;P)'!V1814="Yes",
    1.20,
    1.00)</f>
        <v/>
      </c>
      <c r="T1814">
        <f>LET(
    payment_method,'Loan Tape (S&amp;P)'!P1814,
    occupancy,'Loan Tape (S&amp;P)'!N1814,
    maturity_date,'Loan Tape (S&amp;P)'!L1814,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15">
      <c r="J1815">
        <f>LET(
    lien,'Loan Tape (S&amp;P)'!Q1815,
    IF(lien="First",1.00,
        IF(lien="Second",1.50,
            1.70)))</f>
        <v/>
      </c>
      <c r="K1815">
        <f>LET(
    purpose,'Loan Tape (S&amp;P)'!R1815,
    IF(purpose="Purchase",1.00,
        IF(purpose="Remortgage",1.00,
            1.20)))</f>
        <v/>
      </c>
      <c r="L1815">
        <f>LET(
    arrears_months,'Loan Tape (S&amp;P)'!AN1815,
    IF(arrears_months=0,1.00,
    IF(arrears_months=1,3.00,
    IF(arrears_months=2,5.00,
    IF(arrears_months=3,8.00,
    IF(arrears_months=4,10.00,
    IF(arrears_months=5,12.00,15.00)))))))</f>
        <v/>
      </c>
      <c r="M1815">
        <f>LET(
    seasoning_years,DATEDIF('Loan Tape (S&amp;P)'!K1815,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15">
        <f>IF(AND('Loan Tape (S&amp;P)'!U1815="Yes",
        'Loan Tape (S&amp;P)'!T1815&lt;&gt;"Yes",
        DATEDIF('Loan Tape (S&amp;P)'!K1815, TODAY(), "M")&lt;18),
    1.10,
    1.00)</f>
        <v/>
      </c>
      <c r="O1815">
        <f>IF('Loan Tape (S&amp;P)'!T1815="Yes",
    1.35,
    1.00)</f>
        <v/>
      </c>
      <c r="P1815">
        <f>IF('Loan Tape (S&amp;P)'!S1815="Yes",
    1.15,
    1.00)</f>
        <v/>
      </c>
      <c r="Q1815">
        <f>IF('Loan Tape (S&amp;P)'!V1815="Yes",
    1.20,
    1.00)</f>
        <v/>
      </c>
      <c r="T1815">
        <f>LET(
    payment_method,'Loan Tape (S&amp;P)'!P1815,
    occupancy,'Loan Tape (S&amp;P)'!N1815,
    maturity_date,'Loan Tape (S&amp;P)'!L1815,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16">
      <c r="J1816">
        <f>LET(
    lien,'Loan Tape (S&amp;P)'!Q1816,
    IF(lien="First",1.00,
        IF(lien="Second",1.50,
            1.70)))</f>
        <v/>
      </c>
      <c r="K1816">
        <f>LET(
    purpose,'Loan Tape (S&amp;P)'!R1816,
    IF(purpose="Purchase",1.00,
        IF(purpose="Remortgage",1.00,
            1.20)))</f>
        <v/>
      </c>
      <c r="L1816">
        <f>LET(
    arrears_months,'Loan Tape (S&amp;P)'!AN1816,
    IF(arrears_months=0,1.00,
    IF(arrears_months=1,3.00,
    IF(arrears_months=2,5.00,
    IF(arrears_months=3,8.00,
    IF(arrears_months=4,10.00,
    IF(arrears_months=5,12.00,15.00)))))))</f>
        <v/>
      </c>
      <c r="M1816">
        <f>LET(
    seasoning_years,DATEDIF('Loan Tape (S&amp;P)'!K1816,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16">
        <f>IF(AND('Loan Tape (S&amp;P)'!U1816="Yes",
        'Loan Tape (S&amp;P)'!T1816&lt;&gt;"Yes",
        DATEDIF('Loan Tape (S&amp;P)'!K1816, TODAY(), "M")&lt;18),
    1.10,
    1.00)</f>
        <v/>
      </c>
      <c r="O1816">
        <f>IF('Loan Tape (S&amp;P)'!T1816="Yes",
    1.35,
    1.00)</f>
        <v/>
      </c>
      <c r="P1816">
        <f>IF('Loan Tape (S&amp;P)'!S1816="Yes",
    1.15,
    1.00)</f>
        <v/>
      </c>
      <c r="Q1816">
        <f>IF('Loan Tape (S&amp;P)'!V1816="Yes",
    1.20,
    1.00)</f>
        <v/>
      </c>
      <c r="T1816">
        <f>LET(
    payment_method,'Loan Tape (S&amp;P)'!P1816,
    occupancy,'Loan Tape (S&amp;P)'!N1816,
    maturity_date,'Loan Tape (S&amp;P)'!L1816,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17">
      <c r="J1817">
        <f>LET(
    lien,'Loan Tape (S&amp;P)'!Q1817,
    IF(lien="First",1.00,
        IF(lien="Second",1.50,
            1.70)))</f>
        <v/>
      </c>
      <c r="K1817">
        <f>LET(
    purpose,'Loan Tape (S&amp;P)'!R1817,
    IF(purpose="Purchase",1.00,
        IF(purpose="Remortgage",1.00,
            1.20)))</f>
        <v/>
      </c>
      <c r="L1817">
        <f>LET(
    arrears_months,'Loan Tape (S&amp;P)'!AN1817,
    IF(arrears_months=0,1.00,
    IF(arrears_months=1,3.00,
    IF(arrears_months=2,5.00,
    IF(arrears_months=3,8.00,
    IF(arrears_months=4,10.00,
    IF(arrears_months=5,12.00,15.00)))))))</f>
        <v/>
      </c>
      <c r="M1817">
        <f>LET(
    seasoning_years,DATEDIF('Loan Tape (S&amp;P)'!K1817,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17">
        <f>IF(AND('Loan Tape (S&amp;P)'!U1817="Yes",
        'Loan Tape (S&amp;P)'!T1817&lt;&gt;"Yes",
        DATEDIF('Loan Tape (S&amp;P)'!K1817, TODAY(), "M")&lt;18),
    1.10,
    1.00)</f>
        <v/>
      </c>
      <c r="O1817">
        <f>IF('Loan Tape (S&amp;P)'!T1817="Yes",
    1.35,
    1.00)</f>
        <v/>
      </c>
      <c r="P1817">
        <f>IF('Loan Tape (S&amp;P)'!S1817="Yes",
    1.15,
    1.00)</f>
        <v/>
      </c>
      <c r="Q1817">
        <f>IF('Loan Tape (S&amp;P)'!V1817="Yes",
    1.20,
    1.00)</f>
        <v/>
      </c>
      <c r="T1817">
        <f>LET(
    payment_method,'Loan Tape (S&amp;P)'!P1817,
    occupancy,'Loan Tape (S&amp;P)'!N1817,
    maturity_date,'Loan Tape (S&amp;P)'!L1817,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18">
      <c r="J1818">
        <f>LET(
    lien,'Loan Tape (S&amp;P)'!Q1818,
    IF(lien="First",1.00,
        IF(lien="Second",1.50,
            1.70)))</f>
        <v/>
      </c>
      <c r="K1818">
        <f>LET(
    purpose,'Loan Tape (S&amp;P)'!R1818,
    IF(purpose="Purchase",1.00,
        IF(purpose="Remortgage",1.00,
            1.20)))</f>
        <v/>
      </c>
      <c r="L1818">
        <f>LET(
    arrears_months,'Loan Tape (S&amp;P)'!AN1818,
    IF(arrears_months=0,1.00,
    IF(arrears_months=1,3.00,
    IF(arrears_months=2,5.00,
    IF(arrears_months=3,8.00,
    IF(arrears_months=4,10.00,
    IF(arrears_months=5,12.00,15.00)))))))</f>
        <v/>
      </c>
      <c r="M1818">
        <f>LET(
    seasoning_years,DATEDIF('Loan Tape (S&amp;P)'!K1818,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18">
        <f>IF(AND('Loan Tape (S&amp;P)'!U1818="Yes",
        'Loan Tape (S&amp;P)'!T1818&lt;&gt;"Yes",
        DATEDIF('Loan Tape (S&amp;P)'!K1818, TODAY(), "M")&lt;18),
    1.10,
    1.00)</f>
        <v/>
      </c>
      <c r="O1818">
        <f>IF('Loan Tape (S&amp;P)'!T1818="Yes",
    1.35,
    1.00)</f>
        <v/>
      </c>
      <c r="P1818">
        <f>IF('Loan Tape (S&amp;P)'!S1818="Yes",
    1.15,
    1.00)</f>
        <v/>
      </c>
      <c r="Q1818">
        <f>IF('Loan Tape (S&amp;P)'!V1818="Yes",
    1.20,
    1.00)</f>
        <v/>
      </c>
      <c r="T1818">
        <f>LET(
    payment_method,'Loan Tape (S&amp;P)'!P1818,
    occupancy,'Loan Tape (S&amp;P)'!N1818,
    maturity_date,'Loan Tape (S&amp;P)'!L1818,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19">
      <c r="J1819">
        <f>LET(
    lien,'Loan Tape (S&amp;P)'!Q1819,
    IF(lien="First",1.00,
        IF(lien="Second",1.50,
            1.70)))</f>
        <v/>
      </c>
      <c r="K1819">
        <f>LET(
    purpose,'Loan Tape (S&amp;P)'!R1819,
    IF(purpose="Purchase",1.00,
        IF(purpose="Remortgage",1.00,
            1.20)))</f>
        <v/>
      </c>
      <c r="L1819">
        <f>LET(
    arrears_months,'Loan Tape (S&amp;P)'!AN1819,
    IF(arrears_months=0,1.00,
    IF(arrears_months=1,3.00,
    IF(arrears_months=2,5.00,
    IF(arrears_months=3,8.00,
    IF(arrears_months=4,10.00,
    IF(arrears_months=5,12.00,15.00)))))))</f>
        <v/>
      </c>
      <c r="M1819">
        <f>LET(
    seasoning_years,DATEDIF('Loan Tape (S&amp;P)'!K1819,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19">
        <f>IF(AND('Loan Tape (S&amp;P)'!U1819="Yes",
        'Loan Tape (S&amp;P)'!T1819&lt;&gt;"Yes",
        DATEDIF('Loan Tape (S&amp;P)'!K1819, TODAY(), "M")&lt;18),
    1.10,
    1.00)</f>
        <v/>
      </c>
      <c r="O1819">
        <f>IF('Loan Tape (S&amp;P)'!T1819="Yes",
    1.35,
    1.00)</f>
        <v/>
      </c>
      <c r="P1819">
        <f>IF('Loan Tape (S&amp;P)'!S1819="Yes",
    1.15,
    1.00)</f>
        <v/>
      </c>
      <c r="Q1819">
        <f>IF('Loan Tape (S&amp;P)'!V1819="Yes",
    1.20,
    1.00)</f>
        <v/>
      </c>
      <c r="T1819">
        <f>LET(
    payment_method,'Loan Tape (S&amp;P)'!P1819,
    occupancy,'Loan Tape (S&amp;P)'!N1819,
    maturity_date,'Loan Tape (S&amp;P)'!L1819,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20">
      <c r="J1820">
        <f>LET(
    lien,'Loan Tape (S&amp;P)'!Q1820,
    IF(lien="First",1.00,
        IF(lien="Second",1.50,
            1.70)))</f>
        <v/>
      </c>
      <c r="K1820">
        <f>LET(
    purpose,'Loan Tape (S&amp;P)'!R1820,
    IF(purpose="Purchase",1.00,
        IF(purpose="Remortgage",1.00,
            1.20)))</f>
        <v/>
      </c>
      <c r="L1820">
        <f>LET(
    arrears_months,'Loan Tape (S&amp;P)'!AN1820,
    IF(arrears_months=0,1.00,
    IF(arrears_months=1,3.00,
    IF(arrears_months=2,5.00,
    IF(arrears_months=3,8.00,
    IF(arrears_months=4,10.00,
    IF(arrears_months=5,12.00,15.00)))))))</f>
        <v/>
      </c>
      <c r="M1820">
        <f>LET(
    seasoning_years,DATEDIF('Loan Tape (S&amp;P)'!K1820,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20">
        <f>IF(AND('Loan Tape (S&amp;P)'!U1820="Yes",
        'Loan Tape (S&amp;P)'!T1820&lt;&gt;"Yes",
        DATEDIF('Loan Tape (S&amp;P)'!K1820, TODAY(), "M")&lt;18),
    1.10,
    1.00)</f>
        <v/>
      </c>
      <c r="O1820">
        <f>IF('Loan Tape (S&amp;P)'!T1820="Yes",
    1.35,
    1.00)</f>
        <v/>
      </c>
      <c r="P1820">
        <f>IF('Loan Tape (S&amp;P)'!S1820="Yes",
    1.15,
    1.00)</f>
        <v/>
      </c>
      <c r="Q1820">
        <f>IF('Loan Tape (S&amp;P)'!V1820="Yes",
    1.20,
    1.00)</f>
        <v/>
      </c>
      <c r="T1820">
        <f>LET(
    payment_method,'Loan Tape (S&amp;P)'!P1820,
    occupancy,'Loan Tape (S&amp;P)'!N1820,
    maturity_date,'Loan Tape (S&amp;P)'!L1820,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21">
      <c r="J1821">
        <f>LET(
    lien,'Loan Tape (S&amp;P)'!Q1821,
    IF(lien="First",1.00,
        IF(lien="Second",1.50,
            1.70)))</f>
        <v/>
      </c>
      <c r="K1821">
        <f>LET(
    purpose,'Loan Tape (S&amp;P)'!R1821,
    IF(purpose="Purchase",1.00,
        IF(purpose="Remortgage",1.00,
            1.20)))</f>
        <v/>
      </c>
      <c r="L1821">
        <f>LET(
    arrears_months,'Loan Tape (S&amp;P)'!AN1821,
    IF(arrears_months=0,1.00,
    IF(arrears_months=1,3.00,
    IF(arrears_months=2,5.00,
    IF(arrears_months=3,8.00,
    IF(arrears_months=4,10.00,
    IF(arrears_months=5,12.00,15.00)))))))</f>
        <v/>
      </c>
      <c r="M1821">
        <f>LET(
    seasoning_years,DATEDIF('Loan Tape (S&amp;P)'!K1821,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21">
        <f>IF(AND('Loan Tape (S&amp;P)'!U1821="Yes",
        'Loan Tape (S&amp;P)'!T1821&lt;&gt;"Yes",
        DATEDIF('Loan Tape (S&amp;P)'!K1821, TODAY(), "M")&lt;18),
    1.10,
    1.00)</f>
        <v/>
      </c>
      <c r="O1821">
        <f>IF('Loan Tape (S&amp;P)'!T1821="Yes",
    1.35,
    1.00)</f>
        <v/>
      </c>
      <c r="P1821">
        <f>IF('Loan Tape (S&amp;P)'!S1821="Yes",
    1.15,
    1.00)</f>
        <v/>
      </c>
      <c r="Q1821">
        <f>IF('Loan Tape (S&amp;P)'!V1821="Yes",
    1.20,
    1.00)</f>
        <v/>
      </c>
      <c r="T1821">
        <f>LET(
    payment_method,'Loan Tape (S&amp;P)'!P1821,
    occupancy,'Loan Tape (S&amp;P)'!N1821,
    maturity_date,'Loan Tape (S&amp;P)'!L1821,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22">
      <c r="J1822">
        <f>LET(
    lien,'Loan Tape (S&amp;P)'!Q1822,
    IF(lien="First",1.00,
        IF(lien="Second",1.50,
            1.70)))</f>
        <v/>
      </c>
      <c r="K1822">
        <f>LET(
    purpose,'Loan Tape (S&amp;P)'!R1822,
    IF(purpose="Purchase",1.00,
        IF(purpose="Remortgage",1.00,
            1.20)))</f>
        <v/>
      </c>
      <c r="L1822">
        <f>LET(
    arrears_months,'Loan Tape (S&amp;P)'!AN1822,
    IF(arrears_months=0,1.00,
    IF(arrears_months=1,3.00,
    IF(arrears_months=2,5.00,
    IF(arrears_months=3,8.00,
    IF(arrears_months=4,10.00,
    IF(arrears_months=5,12.00,15.00)))))))</f>
        <v/>
      </c>
      <c r="M1822">
        <f>LET(
    seasoning_years,DATEDIF('Loan Tape (S&amp;P)'!K1822,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22">
        <f>IF(AND('Loan Tape (S&amp;P)'!U1822="Yes",
        'Loan Tape (S&amp;P)'!T1822&lt;&gt;"Yes",
        DATEDIF('Loan Tape (S&amp;P)'!K1822, TODAY(), "M")&lt;18),
    1.10,
    1.00)</f>
        <v/>
      </c>
      <c r="O1822">
        <f>IF('Loan Tape (S&amp;P)'!T1822="Yes",
    1.35,
    1.00)</f>
        <v/>
      </c>
      <c r="P1822">
        <f>IF('Loan Tape (S&amp;P)'!S1822="Yes",
    1.15,
    1.00)</f>
        <v/>
      </c>
      <c r="Q1822">
        <f>IF('Loan Tape (S&amp;P)'!V1822="Yes",
    1.20,
    1.00)</f>
        <v/>
      </c>
      <c r="T1822">
        <f>LET(
    payment_method,'Loan Tape (S&amp;P)'!P1822,
    occupancy,'Loan Tape (S&amp;P)'!N1822,
    maturity_date,'Loan Tape (S&amp;P)'!L1822,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23">
      <c r="J1823">
        <f>LET(
    lien,'Loan Tape (S&amp;P)'!Q1823,
    IF(lien="First",1.00,
        IF(lien="Second",1.50,
            1.70)))</f>
        <v/>
      </c>
      <c r="K1823">
        <f>LET(
    purpose,'Loan Tape (S&amp;P)'!R1823,
    IF(purpose="Purchase",1.00,
        IF(purpose="Remortgage",1.00,
            1.20)))</f>
        <v/>
      </c>
      <c r="L1823">
        <f>LET(
    arrears_months,'Loan Tape (S&amp;P)'!AN1823,
    IF(arrears_months=0,1.00,
    IF(arrears_months=1,3.00,
    IF(arrears_months=2,5.00,
    IF(arrears_months=3,8.00,
    IF(arrears_months=4,10.00,
    IF(arrears_months=5,12.00,15.00)))))))</f>
        <v/>
      </c>
      <c r="M1823">
        <f>LET(
    seasoning_years,DATEDIF('Loan Tape (S&amp;P)'!K1823,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23">
        <f>IF(AND('Loan Tape (S&amp;P)'!U1823="Yes",
        'Loan Tape (S&amp;P)'!T1823&lt;&gt;"Yes",
        DATEDIF('Loan Tape (S&amp;P)'!K1823, TODAY(), "M")&lt;18),
    1.10,
    1.00)</f>
        <v/>
      </c>
      <c r="O1823">
        <f>IF('Loan Tape (S&amp;P)'!T1823="Yes",
    1.35,
    1.00)</f>
        <v/>
      </c>
      <c r="P1823">
        <f>IF('Loan Tape (S&amp;P)'!S1823="Yes",
    1.15,
    1.00)</f>
        <v/>
      </c>
      <c r="Q1823">
        <f>IF('Loan Tape (S&amp;P)'!V1823="Yes",
    1.20,
    1.00)</f>
        <v/>
      </c>
      <c r="T1823">
        <f>LET(
    payment_method,'Loan Tape (S&amp;P)'!P1823,
    occupancy,'Loan Tape (S&amp;P)'!N1823,
    maturity_date,'Loan Tape (S&amp;P)'!L1823,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24">
      <c r="J1824">
        <f>LET(
    lien,'Loan Tape (S&amp;P)'!Q1824,
    IF(lien="First",1.00,
        IF(lien="Second",1.50,
            1.70)))</f>
        <v/>
      </c>
      <c r="K1824">
        <f>LET(
    purpose,'Loan Tape (S&amp;P)'!R1824,
    IF(purpose="Purchase",1.00,
        IF(purpose="Remortgage",1.00,
            1.20)))</f>
        <v/>
      </c>
      <c r="L1824">
        <f>LET(
    arrears_months,'Loan Tape (S&amp;P)'!AN1824,
    IF(arrears_months=0,1.00,
    IF(arrears_months=1,3.00,
    IF(arrears_months=2,5.00,
    IF(arrears_months=3,8.00,
    IF(arrears_months=4,10.00,
    IF(arrears_months=5,12.00,15.00)))))))</f>
        <v/>
      </c>
      <c r="M1824">
        <f>LET(
    seasoning_years,DATEDIF('Loan Tape (S&amp;P)'!K1824,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24">
        <f>IF(AND('Loan Tape (S&amp;P)'!U1824="Yes",
        'Loan Tape (S&amp;P)'!T1824&lt;&gt;"Yes",
        DATEDIF('Loan Tape (S&amp;P)'!K1824, TODAY(), "M")&lt;18),
    1.10,
    1.00)</f>
        <v/>
      </c>
      <c r="O1824">
        <f>IF('Loan Tape (S&amp;P)'!T1824="Yes",
    1.35,
    1.00)</f>
        <v/>
      </c>
      <c r="P1824">
        <f>IF('Loan Tape (S&amp;P)'!S1824="Yes",
    1.15,
    1.00)</f>
        <v/>
      </c>
      <c r="Q1824">
        <f>IF('Loan Tape (S&amp;P)'!V1824="Yes",
    1.20,
    1.00)</f>
        <v/>
      </c>
      <c r="T1824">
        <f>LET(
    payment_method,'Loan Tape (S&amp;P)'!P1824,
    occupancy,'Loan Tape (S&amp;P)'!N1824,
    maturity_date,'Loan Tape (S&amp;P)'!L1824,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25">
      <c r="J1825">
        <f>LET(
    lien,'Loan Tape (S&amp;P)'!Q1825,
    IF(lien="First",1.00,
        IF(lien="Second",1.50,
            1.70)))</f>
        <v/>
      </c>
      <c r="K1825">
        <f>LET(
    purpose,'Loan Tape (S&amp;P)'!R1825,
    IF(purpose="Purchase",1.00,
        IF(purpose="Remortgage",1.00,
            1.20)))</f>
        <v/>
      </c>
      <c r="L1825">
        <f>LET(
    arrears_months,'Loan Tape (S&amp;P)'!AN1825,
    IF(arrears_months=0,1.00,
    IF(arrears_months=1,3.00,
    IF(arrears_months=2,5.00,
    IF(arrears_months=3,8.00,
    IF(arrears_months=4,10.00,
    IF(arrears_months=5,12.00,15.00)))))))</f>
        <v/>
      </c>
      <c r="M1825">
        <f>LET(
    seasoning_years,DATEDIF('Loan Tape (S&amp;P)'!K1825,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25">
        <f>IF(AND('Loan Tape (S&amp;P)'!U1825="Yes",
        'Loan Tape (S&amp;P)'!T1825&lt;&gt;"Yes",
        DATEDIF('Loan Tape (S&amp;P)'!K1825, TODAY(), "M")&lt;18),
    1.10,
    1.00)</f>
        <v/>
      </c>
      <c r="O1825">
        <f>IF('Loan Tape (S&amp;P)'!T1825="Yes",
    1.35,
    1.00)</f>
        <v/>
      </c>
      <c r="P1825">
        <f>IF('Loan Tape (S&amp;P)'!S1825="Yes",
    1.15,
    1.00)</f>
        <v/>
      </c>
      <c r="Q1825">
        <f>IF('Loan Tape (S&amp;P)'!V1825="Yes",
    1.20,
    1.00)</f>
        <v/>
      </c>
      <c r="T1825">
        <f>LET(
    payment_method,'Loan Tape (S&amp;P)'!P1825,
    occupancy,'Loan Tape (S&amp;P)'!N1825,
    maturity_date,'Loan Tape (S&amp;P)'!L1825,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26">
      <c r="J1826">
        <f>LET(
    lien,'Loan Tape (S&amp;P)'!Q1826,
    IF(lien="First",1.00,
        IF(lien="Second",1.50,
            1.70)))</f>
        <v/>
      </c>
      <c r="K1826">
        <f>LET(
    purpose,'Loan Tape (S&amp;P)'!R1826,
    IF(purpose="Purchase",1.00,
        IF(purpose="Remortgage",1.00,
            1.20)))</f>
        <v/>
      </c>
      <c r="L1826">
        <f>LET(
    arrears_months,'Loan Tape (S&amp;P)'!AN1826,
    IF(arrears_months=0,1.00,
    IF(arrears_months=1,3.00,
    IF(arrears_months=2,5.00,
    IF(arrears_months=3,8.00,
    IF(arrears_months=4,10.00,
    IF(arrears_months=5,12.00,15.00)))))))</f>
        <v/>
      </c>
      <c r="M1826">
        <f>LET(
    seasoning_years,DATEDIF('Loan Tape (S&amp;P)'!K1826,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26">
        <f>IF(AND('Loan Tape (S&amp;P)'!U1826="Yes",
        'Loan Tape (S&amp;P)'!T1826&lt;&gt;"Yes",
        DATEDIF('Loan Tape (S&amp;P)'!K1826, TODAY(), "M")&lt;18),
    1.10,
    1.00)</f>
        <v/>
      </c>
      <c r="O1826">
        <f>IF('Loan Tape (S&amp;P)'!T1826="Yes",
    1.35,
    1.00)</f>
        <v/>
      </c>
      <c r="P1826">
        <f>IF('Loan Tape (S&amp;P)'!S1826="Yes",
    1.15,
    1.00)</f>
        <v/>
      </c>
      <c r="Q1826">
        <f>IF('Loan Tape (S&amp;P)'!V1826="Yes",
    1.20,
    1.00)</f>
        <v/>
      </c>
      <c r="T1826">
        <f>LET(
    payment_method,'Loan Tape (S&amp;P)'!P1826,
    occupancy,'Loan Tape (S&amp;P)'!N1826,
    maturity_date,'Loan Tape (S&amp;P)'!L1826,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27">
      <c r="J1827">
        <f>LET(
    lien,'Loan Tape (S&amp;P)'!Q1827,
    IF(lien="First",1.00,
        IF(lien="Second",1.50,
            1.70)))</f>
        <v/>
      </c>
      <c r="K1827">
        <f>LET(
    purpose,'Loan Tape (S&amp;P)'!R1827,
    IF(purpose="Purchase",1.00,
        IF(purpose="Remortgage",1.00,
            1.20)))</f>
        <v/>
      </c>
      <c r="L1827">
        <f>LET(
    arrears_months,'Loan Tape (S&amp;P)'!AN1827,
    IF(arrears_months=0,1.00,
    IF(arrears_months=1,3.00,
    IF(arrears_months=2,5.00,
    IF(arrears_months=3,8.00,
    IF(arrears_months=4,10.00,
    IF(arrears_months=5,12.00,15.00)))))))</f>
        <v/>
      </c>
      <c r="M1827">
        <f>LET(
    seasoning_years,DATEDIF('Loan Tape (S&amp;P)'!K1827,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27">
        <f>IF(AND('Loan Tape (S&amp;P)'!U1827="Yes",
        'Loan Tape (S&amp;P)'!T1827&lt;&gt;"Yes",
        DATEDIF('Loan Tape (S&amp;P)'!K1827, TODAY(), "M")&lt;18),
    1.10,
    1.00)</f>
        <v/>
      </c>
      <c r="O1827">
        <f>IF('Loan Tape (S&amp;P)'!T1827="Yes",
    1.35,
    1.00)</f>
        <v/>
      </c>
      <c r="P1827">
        <f>IF('Loan Tape (S&amp;P)'!S1827="Yes",
    1.15,
    1.00)</f>
        <v/>
      </c>
      <c r="Q1827">
        <f>IF('Loan Tape (S&amp;P)'!V1827="Yes",
    1.20,
    1.00)</f>
        <v/>
      </c>
      <c r="T1827">
        <f>LET(
    payment_method,'Loan Tape (S&amp;P)'!P1827,
    occupancy,'Loan Tape (S&amp;P)'!N1827,
    maturity_date,'Loan Tape (S&amp;P)'!L1827,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28">
      <c r="J1828">
        <f>LET(
    lien,'Loan Tape (S&amp;P)'!Q1828,
    IF(lien="First",1.00,
        IF(lien="Second",1.50,
            1.70)))</f>
        <v/>
      </c>
      <c r="K1828">
        <f>LET(
    purpose,'Loan Tape (S&amp;P)'!R1828,
    IF(purpose="Purchase",1.00,
        IF(purpose="Remortgage",1.00,
            1.20)))</f>
        <v/>
      </c>
      <c r="L1828">
        <f>LET(
    arrears_months,'Loan Tape (S&amp;P)'!AN1828,
    IF(arrears_months=0,1.00,
    IF(arrears_months=1,3.00,
    IF(arrears_months=2,5.00,
    IF(arrears_months=3,8.00,
    IF(arrears_months=4,10.00,
    IF(arrears_months=5,12.00,15.00)))))))</f>
        <v/>
      </c>
      <c r="M1828">
        <f>LET(
    seasoning_years,DATEDIF('Loan Tape (S&amp;P)'!K1828,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28">
        <f>IF(AND('Loan Tape (S&amp;P)'!U1828="Yes",
        'Loan Tape (S&amp;P)'!T1828&lt;&gt;"Yes",
        DATEDIF('Loan Tape (S&amp;P)'!K1828, TODAY(), "M")&lt;18),
    1.10,
    1.00)</f>
        <v/>
      </c>
      <c r="O1828">
        <f>IF('Loan Tape (S&amp;P)'!T1828="Yes",
    1.35,
    1.00)</f>
        <v/>
      </c>
      <c r="P1828">
        <f>IF('Loan Tape (S&amp;P)'!S1828="Yes",
    1.15,
    1.00)</f>
        <v/>
      </c>
      <c r="Q1828">
        <f>IF('Loan Tape (S&amp;P)'!V1828="Yes",
    1.20,
    1.00)</f>
        <v/>
      </c>
      <c r="T1828">
        <f>LET(
    payment_method,'Loan Tape (S&amp;P)'!P1828,
    occupancy,'Loan Tape (S&amp;P)'!N1828,
    maturity_date,'Loan Tape (S&amp;P)'!L1828,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29">
      <c r="J1829">
        <f>LET(
    lien,'Loan Tape (S&amp;P)'!Q1829,
    IF(lien="First",1.00,
        IF(lien="Second",1.50,
            1.70)))</f>
        <v/>
      </c>
      <c r="K1829">
        <f>LET(
    purpose,'Loan Tape (S&amp;P)'!R1829,
    IF(purpose="Purchase",1.00,
        IF(purpose="Remortgage",1.00,
            1.20)))</f>
        <v/>
      </c>
      <c r="L1829">
        <f>LET(
    arrears_months,'Loan Tape (S&amp;P)'!AN1829,
    IF(arrears_months=0,1.00,
    IF(arrears_months=1,3.00,
    IF(arrears_months=2,5.00,
    IF(arrears_months=3,8.00,
    IF(arrears_months=4,10.00,
    IF(arrears_months=5,12.00,15.00)))))))</f>
        <v/>
      </c>
      <c r="M1829">
        <f>LET(
    seasoning_years,DATEDIF('Loan Tape (S&amp;P)'!K1829,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29">
        <f>IF(AND('Loan Tape (S&amp;P)'!U1829="Yes",
        'Loan Tape (S&amp;P)'!T1829&lt;&gt;"Yes",
        DATEDIF('Loan Tape (S&amp;P)'!K1829, TODAY(), "M")&lt;18),
    1.10,
    1.00)</f>
        <v/>
      </c>
      <c r="O1829">
        <f>IF('Loan Tape (S&amp;P)'!T1829="Yes",
    1.35,
    1.00)</f>
        <v/>
      </c>
      <c r="P1829">
        <f>IF('Loan Tape (S&amp;P)'!S1829="Yes",
    1.15,
    1.00)</f>
        <v/>
      </c>
      <c r="Q1829">
        <f>IF('Loan Tape (S&amp;P)'!V1829="Yes",
    1.20,
    1.00)</f>
        <v/>
      </c>
      <c r="T1829">
        <f>LET(
    payment_method,'Loan Tape (S&amp;P)'!P1829,
    occupancy,'Loan Tape (S&amp;P)'!N1829,
    maturity_date,'Loan Tape (S&amp;P)'!L1829,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30">
      <c r="J1830">
        <f>LET(
    lien,'Loan Tape (S&amp;P)'!Q1830,
    IF(lien="First",1.00,
        IF(lien="Second",1.50,
            1.70)))</f>
        <v/>
      </c>
      <c r="K1830">
        <f>LET(
    purpose,'Loan Tape (S&amp;P)'!R1830,
    IF(purpose="Purchase",1.00,
        IF(purpose="Remortgage",1.00,
            1.20)))</f>
        <v/>
      </c>
      <c r="L1830">
        <f>LET(
    arrears_months,'Loan Tape (S&amp;P)'!AN1830,
    IF(arrears_months=0,1.00,
    IF(arrears_months=1,3.00,
    IF(arrears_months=2,5.00,
    IF(arrears_months=3,8.00,
    IF(arrears_months=4,10.00,
    IF(arrears_months=5,12.00,15.00)))))))</f>
        <v/>
      </c>
      <c r="M1830">
        <f>LET(
    seasoning_years,DATEDIF('Loan Tape (S&amp;P)'!K1830,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30">
        <f>IF(AND('Loan Tape (S&amp;P)'!U1830="Yes",
        'Loan Tape (S&amp;P)'!T1830&lt;&gt;"Yes",
        DATEDIF('Loan Tape (S&amp;P)'!K1830, TODAY(), "M")&lt;18),
    1.10,
    1.00)</f>
        <v/>
      </c>
      <c r="O1830">
        <f>IF('Loan Tape (S&amp;P)'!T1830="Yes",
    1.35,
    1.00)</f>
        <v/>
      </c>
      <c r="P1830">
        <f>IF('Loan Tape (S&amp;P)'!S1830="Yes",
    1.15,
    1.00)</f>
        <v/>
      </c>
      <c r="Q1830">
        <f>IF('Loan Tape (S&amp;P)'!V1830="Yes",
    1.20,
    1.00)</f>
        <v/>
      </c>
      <c r="T1830">
        <f>LET(
    payment_method,'Loan Tape (S&amp;P)'!P1830,
    occupancy,'Loan Tape (S&amp;P)'!N1830,
    maturity_date,'Loan Tape (S&amp;P)'!L1830,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31">
      <c r="J1831">
        <f>LET(
    lien,'Loan Tape (S&amp;P)'!Q1831,
    IF(lien="First",1.00,
        IF(lien="Second",1.50,
            1.70)))</f>
        <v/>
      </c>
      <c r="K1831">
        <f>LET(
    purpose,'Loan Tape (S&amp;P)'!R1831,
    IF(purpose="Purchase",1.00,
        IF(purpose="Remortgage",1.00,
            1.20)))</f>
        <v/>
      </c>
      <c r="L1831">
        <f>LET(
    arrears_months,'Loan Tape (S&amp;P)'!AN1831,
    IF(arrears_months=0,1.00,
    IF(arrears_months=1,3.00,
    IF(arrears_months=2,5.00,
    IF(arrears_months=3,8.00,
    IF(arrears_months=4,10.00,
    IF(arrears_months=5,12.00,15.00)))))))</f>
        <v/>
      </c>
      <c r="M1831">
        <f>LET(
    seasoning_years,DATEDIF('Loan Tape (S&amp;P)'!K1831,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31">
        <f>IF(AND('Loan Tape (S&amp;P)'!U1831="Yes",
        'Loan Tape (S&amp;P)'!T1831&lt;&gt;"Yes",
        DATEDIF('Loan Tape (S&amp;P)'!K1831, TODAY(), "M")&lt;18),
    1.10,
    1.00)</f>
        <v/>
      </c>
      <c r="O1831">
        <f>IF('Loan Tape (S&amp;P)'!T1831="Yes",
    1.35,
    1.00)</f>
        <v/>
      </c>
      <c r="P1831">
        <f>IF('Loan Tape (S&amp;P)'!S1831="Yes",
    1.15,
    1.00)</f>
        <v/>
      </c>
      <c r="Q1831">
        <f>IF('Loan Tape (S&amp;P)'!V1831="Yes",
    1.20,
    1.00)</f>
        <v/>
      </c>
      <c r="T1831">
        <f>LET(
    payment_method,'Loan Tape (S&amp;P)'!P1831,
    occupancy,'Loan Tape (S&amp;P)'!N1831,
    maturity_date,'Loan Tape (S&amp;P)'!L1831,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32">
      <c r="J1832">
        <f>LET(
    lien,'Loan Tape (S&amp;P)'!Q1832,
    IF(lien="First",1.00,
        IF(lien="Second",1.50,
            1.70)))</f>
        <v/>
      </c>
      <c r="K1832">
        <f>LET(
    purpose,'Loan Tape (S&amp;P)'!R1832,
    IF(purpose="Purchase",1.00,
        IF(purpose="Remortgage",1.00,
            1.20)))</f>
        <v/>
      </c>
      <c r="L1832">
        <f>LET(
    arrears_months,'Loan Tape (S&amp;P)'!AN1832,
    IF(arrears_months=0,1.00,
    IF(arrears_months=1,3.00,
    IF(arrears_months=2,5.00,
    IF(arrears_months=3,8.00,
    IF(arrears_months=4,10.00,
    IF(arrears_months=5,12.00,15.00)))))))</f>
        <v/>
      </c>
      <c r="M1832">
        <f>LET(
    seasoning_years,DATEDIF('Loan Tape (S&amp;P)'!K1832,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32">
        <f>IF(AND('Loan Tape (S&amp;P)'!U1832="Yes",
        'Loan Tape (S&amp;P)'!T1832&lt;&gt;"Yes",
        DATEDIF('Loan Tape (S&amp;P)'!K1832, TODAY(), "M")&lt;18),
    1.10,
    1.00)</f>
        <v/>
      </c>
      <c r="O1832">
        <f>IF('Loan Tape (S&amp;P)'!T1832="Yes",
    1.35,
    1.00)</f>
        <v/>
      </c>
      <c r="P1832">
        <f>IF('Loan Tape (S&amp;P)'!S1832="Yes",
    1.15,
    1.00)</f>
        <v/>
      </c>
      <c r="Q1832">
        <f>IF('Loan Tape (S&amp;P)'!V1832="Yes",
    1.20,
    1.00)</f>
        <v/>
      </c>
      <c r="T1832">
        <f>LET(
    payment_method,'Loan Tape (S&amp;P)'!P1832,
    occupancy,'Loan Tape (S&amp;P)'!N1832,
    maturity_date,'Loan Tape (S&amp;P)'!L1832,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33">
      <c r="J1833">
        <f>LET(
    lien,'Loan Tape (S&amp;P)'!Q1833,
    IF(lien="First",1.00,
        IF(lien="Second",1.50,
            1.70)))</f>
        <v/>
      </c>
      <c r="K1833">
        <f>LET(
    purpose,'Loan Tape (S&amp;P)'!R1833,
    IF(purpose="Purchase",1.00,
        IF(purpose="Remortgage",1.00,
            1.20)))</f>
        <v/>
      </c>
      <c r="L1833">
        <f>LET(
    arrears_months,'Loan Tape (S&amp;P)'!AN1833,
    IF(arrears_months=0,1.00,
    IF(arrears_months=1,3.00,
    IF(arrears_months=2,5.00,
    IF(arrears_months=3,8.00,
    IF(arrears_months=4,10.00,
    IF(arrears_months=5,12.00,15.00)))))))</f>
        <v/>
      </c>
      <c r="M1833">
        <f>LET(
    seasoning_years,DATEDIF('Loan Tape (S&amp;P)'!K1833,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33">
        <f>IF(AND('Loan Tape (S&amp;P)'!U1833="Yes",
        'Loan Tape (S&amp;P)'!T1833&lt;&gt;"Yes",
        DATEDIF('Loan Tape (S&amp;P)'!K1833, TODAY(), "M")&lt;18),
    1.10,
    1.00)</f>
        <v/>
      </c>
      <c r="O1833">
        <f>IF('Loan Tape (S&amp;P)'!T1833="Yes",
    1.35,
    1.00)</f>
        <v/>
      </c>
      <c r="P1833">
        <f>IF('Loan Tape (S&amp;P)'!S1833="Yes",
    1.15,
    1.00)</f>
        <v/>
      </c>
      <c r="Q1833">
        <f>IF('Loan Tape (S&amp;P)'!V1833="Yes",
    1.20,
    1.00)</f>
        <v/>
      </c>
      <c r="T1833">
        <f>LET(
    payment_method,'Loan Tape (S&amp;P)'!P1833,
    occupancy,'Loan Tape (S&amp;P)'!N1833,
    maturity_date,'Loan Tape (S&amp;P)'!L1833,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34">
      <c r="J1834">
        <f>LET(
    lien,'Loan Tape (S&amp;P)'!Q1834,
    IF(lien="First",1.00,
        IF(lien="Second",1.50,
            1.70)))</f>
        <v/>
      </c>
      <c r="K1834">
        <f>LET(
    purpose,'Loan Tape (S&amp;P)'!R1834,
    IF(purpose="Purchase",1.00,
        IF(purpose="Remortgage",1.00,
            1.20)))</f>
        <v/>
      </c>
      <c r="L1834">
        <f>LET(
    arrears_months,'Loan Tape (S&amp;P)'!AN1834,
    IF(arrears_months=0,1.00,
    IF(arrears_months=1,3.00,
    IF(arrears_months=2,5.00,
    IF(arrears_months=3,8.00,
    IF(arrears_months=4,10.00,
    IF(arrears_months=5,12.00,15.00)))))))</f>
        <v/>
      </c>
      <c r="M1834">
        <f>LET(
    seasoning_years,DATEDIF('Loan Tape (S&amp;P)'!K1834,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34">
        <f>IF(AND('Loan Tape (S&amp;P)'!U1834="Yes",
        'Loan Tape (S&amp;P)'!T1834&lt;&gt;"Yes",
        DATEDIF('Loan Tape (S&amp;P)'!K1834, TODAY(), "M")&lt;18),
    1.10,
    1.00)</f>
        <v/>
      </c>
      <c r="O1834">
        <f>IF('Loan Tape (S&amp;P)'!T1834="Yes",
    1.35,
    1.00)</f>
        <v/>
      </c>
      <c r="P1834">
        <f>IF('Loan Tape (S&amp;P)'!S1834="Yes",
    1.15,
    1.00)</f>
        <v/>
      </c>
      <c r="Q1834">
        <f>IF('Loan Tape (S&amp;P)'!V1834="Yes",
    1.20,
    1.00)</f>
        <v/>
      </c>
      <c r="T1834">
        <f>LET(
    payment_method,'Loan Tape (S&amp;P)'!P1834,
    occupancy,'Loan Tape (S&amp;P)'!N1834,
    maturity_date,'Loan Tape (S&amp;P)'!L1834,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35">
      <c r="J1835">
        <f>LET(
    lien,'Loan Tape (S&amp;P)'!Q1835,
    IF(lien="First",1.00,
        IF(lien="Second",1.50,
            1.70)))</f>
        <v/>
      </c>
      <c r="K1835">
        <f>LET(
    purpose,'Loan Tape (S&amp;P)'!R1835,
    IF(purpose="Purchase",1.00,
        IF(purpose="Remortgage",1.00,
            1.20)))</f>
        <v/>
      </c>
      <c r="L1835">
        <f>LET(
    arrears_months,'Loan Tape (S&amp;P)'!AN1835,
    IF(arrears_months=0,1.00,
    IF(arrears_months=1,3.00,
    IF(arrears_months=2,5.00,
    IF(arrears_months=3,8.00,
    IF(arrears_months=4,10.00,
    IF(arrears_months=5,12.00,15.00)))))))</f>
        <v/>
      </c>
      <c r="M1835">
        <f>LET(
    seasoning_years,DATEDIF('Loan Tape (S&amp;P)'!K1835,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35">
        <f>IF(AND('Loan Tape (S&amp;P)'!U1835="Yes",
        'Loan Tape (S&amp;P)'!T1835&lt;&gt;"Yes",
        DATEDIF('Loan Tape (S&amp;P)'!K1835, TODAY(), "M")&lt;18),
    1.10,
    1.00)</f>
        <v/>
      </c>
      <c r="O1835">
        <f>IF('Loan Tape (S&amp;P)'!T1835="Yes",
    1.35,
    1.00)</f>
        <v/>
      </c>
      <c r="P1835">
        <f>IF('Loan Tape (S&amp;P)'!S1835="Yes",
    1.15,
    1.00)</f>
        <v/>
      </c>
      <c r="Q1835">
        <f>IF('Loan Tape (S&amp;P)'!V1835="Yes",
    1.20,
    1.00)</f>
        <v/>
      </c>
      <c r="T1835">
        <f>LET(
    payment_method,'Loan Tape (S&amp;P)'!P1835,
    occupancy,'Loan Tape (S&amp;P)'!N1835,
    maturity_date,'Loan Tape (S&amp;P)'!L1835,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36">
      <c r="J1836">
        <f>LET(
    lien,'Loan Tape (S&amp;P)'!Q1836,
    IF(lien="First",1.00,
        IF(lien="Second",1.50,
            1.70)))</f>
        <v/>
      </c>
      <c r="K1836">
        <f>LET(
    purpose,'Loan Tape (S&amp;P)'!R1836,
    IF(purpose="Purchase",1.00,
        IF(purpose="Remortgage",1.00,
            1.20)))</f>
        <v/>
      </c>
      <c r="L1836">
        <f>LET(
    arrears_months,'Loan Tape (S&amp;P)'!AN1836,
    IF(arrears_months=0,1.00,
    IF(arrears_months=1,3.00,
    IF(arrears_months=2,5.00,
    IF(arrears_months=3,8.00,
    IF(arrears_months=4,10.00,
    IF(arrears_months=5,12.00,15.00)))))))</f>
        <v/>
      </c>
      <c r="M1836">
        <f>LET(
    seasoning_years,DATEDIF('Loan Tape (S&amp;P)'!K1836,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36">
        <f>IF(AND('Loan Tape (S&amp;P)'!U1836="Yes",
        'Loan Tape (S&amp;P)'!T1836&lt;&gt;"Yes",
        DATEDIF('Loan Tape (S&amp;P)'!K1836, TODAY(), "M")&lt;18),
    1.10,
    1.00)</f>
        <v/>
      </c>
      <c r="O1836">
        <f>IF('Loan Tape (S&amp;P)'!T1836="Yes",
    1.35,
    1.00)</f>
        <v/>
      </c>
      <c r="P1836">
        <f>IF('Loan Tape (S&amp;P)'!S1836="Yes",
    1.15,
    1.00)</f>
        <v/>
      </c>
      <c r="Q1836">
        <f>IF('Loan Tape (S&amp;P)'!V1836="Yes",
    1.20,
    1.00)</f>
        <v/>
      </c>
      <c r="T1836">
        <f>LET(
    payment_method,'Loan Tape (S&amp;P)'!P1836,
    occupancy,'Loan Tape (S&amp;P)'!N1836,
    maturity_date,'Loan Tape (S&amp;P)'!L1836,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37">
      <c r="J1837">
        <f>LET(
    lien,'Loan Tape (S&amp;P)'!Q1837,
    IF(lien="First",1.00,
        IF(lien="Second",1.50,
            1.70)))</f>
        <v/>
      </c>
      <c r="K1837">
        <f>LET(
    purpose,'Loan Tape (S&amp;P)'!R1837,
    IF(purpose="Purchase",1.00,
        IF(purpose="Remortgage",1.00,
            1.20)))</f>
        <v/>
      </c>
      <c r="L1837">
        <f>LET(
    arrears_months,'Loan Tape (S&amp;P)'!AN1837,
    IF(arrears_months=0,1.00,
    IF(arrears_months=1,3.00,
    IF(arrears_months=2,5.00,
    IF(arrears_months=3,8.00,
    IF(arrears_months=4,10.00,
    IF(arrears_months=5,12.00,15.00)))))))</f>
        <v/>
      </c>
      <c r="M1837">
        <f>LET(
    seasoning_years,DATEDIF('Loan Tape (S&amp;P)'!K1837,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37">
        <f>IF(AND('Loan Tape (S&amp;P)'!U1837="Yes",
        'Loan Tape (S&amp;P)'!T1837&lt;&gt;"Yes",
        DATEDIF('Loan Tape (S&amp;P)'!K1837, TODAY(), "M")&lt;18),
    1.10,
    1.00)</f>
        <v/>
      </c>
      <c r="O1837">
        <f>IF('Loan Tape (S&amp;P)'!T1837="Yes",
    1.35,
    1.00)</f>
        <v/>
      </c>
      <c r="P1837">
        <f>IF('Loan Tape (S&amp;P)'!S1837="Yes",
    1.15,
    1.00)</f>
        <v/>
      </c>
      <c r="Q1837">
        <f>IF('Loan Tape (S&amp;P)'!V1837="Yes",
    1.20,
    1.00)</f>
        <v/>
      </c>
      <c r="T1837">
        <f>LET(
    payment_method,'Loan Tape (S&amp;P)'!P1837,
    occupancy,'Loan Tape (S&amp;P)'!N1837,
    maturity_date,'Loan Tape (S&amp;P)'!L1837,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38">
      <c r="J1838">
        <f>LET(
    lien,'Loan Tape (S&amp;P)'!Q1838,
    IF(lien="First",1.00,
        IF(lien="Second",1.50,
            1.70)))</f>
        <v/>
      </c>
      <c r="K1838">
        <f>LET(
    purpose,'Loan Tape (S&amp;P)'!R1838,
    IF(purpose="Purchase",1.00,
        IF(purpose="Remortgage",1.00,
            1.20)))</f>
        <v/>
      </c>
      <c r="L1838">
        <f>LET(
    arrears_months,'Loan Tape (S&amp;P)'!AN1838,
    IF(arrears_months=0,1.00,
    IF(arrears_months=1,3.00,
    IF(arrears_months=2,5.00,
    IF(arrears_months=3,8.00,
    IF(arrears_months=4,10.00,
    IF(arrears_months=5,12.00,15.00)))))))</f>
        <v/>
      </c>
      <c r="M1838">
        <f>LET(
    seasoning_years,DATEDIF('Loan Tape (S&amp;P)'!K1838,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38">
        <f>IF(AND('Loan Tape (S&amp;P)'!U1838="Yes",
        'Loan Tape (S&amp;P)'!T1838&lt;&gt;"Yes",
        DATEDIF('Loan Tape (S&amp;P)'!K1838, TODAY(), "M")&lt;18),
    1.10,
    1.00)</f>
        <v/>
      </c>
      <c r="O1838">
        <f>IF('Loan Tape (S&amp;P)'!T1838="Yes",
    1.35,
    1.00)</f>
        <v/>
      </c>
      <c r="P1838">
        <f>IF('Loan Tape (S&amp;P)'!S1838="Yes",
    1.15,
    1.00)</f>
        <v/>
      </c>
      <c r="Q1838">
        <f>IF('Loan Tape (S&amp;P)'!V1838="Yes",
    1.20,
    1.00)</f>
        <v/>
      </c>
      <c r="T1838">
        <f>LET(
    payment_method,'Loan Tape (S&amp;P)'!P1838,
    occupancy,'Loan Tape (S&amp;P)'!N1838,
    maturity_date,'Loan Tape (S&amp;P)'!L1838,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39">
      <c r="J1839">
        <f>LET(
    lien,'Loan Tape (S&amp;P)'!Q1839,
    IF(lien="First",1.00,
        IF(lien="Second",1.50,
            1.70)))</f>
        <v/>
      </c>
      <c r="K1839">
        <f>LET(
    purpose,'Loan Tape (S&amp;P)'!R1839,
    IF(purpose="Purchase",1.00,
        IF(purpose="Remortgage",1.00,
            1.20)))</f>
        <v/>
      </c>
      <c r="L1839">
        <f>LET(
    arrears_months,'Loan Tape (S&amp;P)'!AN1839,
    IF(arrears_months=0,1.00,
    IF(arrears_months=1,3.00,
    IF(arrears_months=2,5.00,
    IF(arrears_months=3,8.00,
    IF(arrears_months=4,10.00,
    IF(arrears_months=5,12.00,15.00)))))))</f>
        <v/>
      </c>
      <c r="M1839">
        <f>LET(
    seasoning_years,DATEDIF('Loan Tape (S&amp;P)'!K1839,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39">
        <f>IF(AND('Loan Tape (S&amp;P)'!U1839="Yes",
        'Loan Tape (S&amp;P)'!T1839&lt;&gt;"Yes",
        DATEDIF('Loan Tape (S&amp;P)'!K1839, TODAY(), "M")&lt;18),
    1.10,
    1.00)</f>
        <v/>
      </c>
      <c r="O1839">
        <f>IF('Loan Tape (S&amp;P)'!T1839="Yes",
    1.35,
    1.00)</f>
        <v/>
      </c>
      <c r="P1839">
        <f>IF('Loan Tape (S&amp;P)'!S1839="Yes",
    1.15,
    1.00)</f>
        <v/>
      </c>
      <c r="Q1839">
        <f>IF('Loan Tape (S&amp;P)'!V1839="Yes",
    1.20,
    1.00)</f>
        <v/>
      </c>
      <c r="T1839">
        <f>LET(
    payment_method,'Loan Tape (S&amp;P)'!P1839,
    occupancy,'Loan Tape (S&amp;P)'!N1839,
    maturity_date,'Loan Tape (S&amp;P)'!L1839,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40">
      <c r="J1840">
        <f>LET(
    lien,'Loan Tape (S&amp;P)'!Q1840,
    IF(lien="First",1.00,
        IF(lien="Second",1.50,
            1.70)))</f>
        <v/>
      </c>
      <c r="K1840">
        <f>LET(
    purpose,'Loan Tape (S&amp;P)'!R1840,
    IF(purpose="Purchase",1.00,
        IF(purpose="Remortgage",1.00,
            1.20)))</f>
        <v/>
      </c>
      <c r="L1840">
        <f>LET(
    arrears_months,'Loan Tape (S&amp;P)'!AN1840,
    IF(arrears_months=0,1.00,
    IF(arrears_months=1,3.00,
    IF(arrears_months=2,5.00,
    IF(arrears_months=3,8.00,
    IF(arrears_months=4,10.00,
    IF(arrears_months=5,12.00,15.00)))))))</f>
        <v/>
      </c>
      <c r="M1840">
        <f>LET(
    seasoning_years,DATEDIF('Loan Tape (S&amp;P)'!K1840,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40">
        <f>IF(AND('Loan Tape (S&amp;P)'!U1840="Yes",
        'Loan Tape (S&amp;P)'!T1840&lt;&gt;"Yes",
        DATEDIF('Loan Tape (S&amp;P)'!K1840, TODAY(), "M")&lt;18),
    1.10,
    1.00)</f>
        <v/>
      </c>
      <c r="O1840">
        <f>IF('Loan Tape (S&amp;P)'!T1840="Yes",
    1.35,
    1.00)</f>
        <v/>
      </c>
      <c r="P1840">
        <f>IF('Loan Tape (S&amp;P)'!S1840="Yes",
    1.15,
    1.00)</f>
        <v/>
      </c>
      <c r="Q1840">
        <f>IF('Loan Tape (S&amp;P)'!V1840="Yes",
    1.20,
    1.00)</f>
        <v/>
      </c>
      <c r="T1840">
        <f>LET(
    payment_method,'Loan Tape (S&amp;P)'!P1840,
    occupancy,'Loan Tape (S&amp;P)'!N1840,
    maturity_date,'Loan Tape (S&amp;P)'!L1840,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41">
      <c r="J1841">
        <f>LET(
    lien,'Loan Tape (S&amp;P)'!Q1841,
    IF(lien="First",1.00,
        IF(lien="Second",1.50,
            1.70)))</f>
        <v/>
      </c>
      <c r="K1841">
        <f>LET(
    purpose,'Loan Tape (S&amp;P)'!R1841,
    IF(purpose="Purchase",1.00,
        IF(purpose="Remortgage",1.00,
            1.20)))</f>
        <v/>
      </c>
      <c r="L1841">
        <f>LET(
    arrears_months,'Loan Tape (S&amp;P)'!AN1841,
    IF(arrears_months=0,1.00,
    IF(arrears_months=1,3.00,
    IF(arrears_months=2,5.00,
    IF(arrears_months=3,8.00,
    IF(arrears_months=4,10.00,
    IF(arrears_months=5,12.00,15.00)))))))</f>
        <v/>
      </c>
      <c r="M1841">
        <f>LET(
    seasoning_years,DATEDIF('Loan Tape (S&amp;P)'!K1841,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41">
        <f>IF(AND('Loan Tape (S&amp;P)'!U1841="Yes",
        'Loan Tape (S&amp;P)'!T1841&lt;&gt;"Yes",
        DATEDIF('Loan Tape (S&amp;P)'!K1841, TODAY(), "M")&lt;18),
    1.10,
    1.00)</f>
        <v/>
      </c>
      <c r="O1841">
        <f>IF('Loan Tape (S&amp;P)'!T1841="Yes",
    1.35,
    1.00)</f>
        <v/>
      </c>
      <c r="P1841">
        <f>IF('Loan Tape (S&amp;P)'!S1841="Yes",
    1.15,
    1.00)</f>
        <v/>
      </c>
      <c r="Q1841">
        <f>IF('Loan Tape (S&amp;P)'!V1841="Yes",
    1.20,
    1.00)</f>
        <v/>
      </c>
      <c r="T1841">
        <f>LET(
    payment_method,'Loan Tape (S&amp;P)'!P1841,
    occupancy,'Loan Tape (S&amp;P)'!N1841,
    maturity_date,'Loan Tape (S&amp;P)'!L1841,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42">
      <c r="J1842">
        <f>LET(
    lien,'Loan Tape (S&amp;P)'!Q1842,
    IF(lien="First",1.00,
        IF(lien="Second",1.50,
            1.70)))</f>
        <v/>
      </c>
      <c r="K1842">
        <f>LET(
    purpose,'Loan Tape (S&amp;P)'!R1842,
    IF(purpose="Purchase",1.00,
        IF(purpose="Remortgage",1.00,
            1.20)))</f>
        <v/>
      </c>
      <c r="L1842">
        <f>LET(
    arrears_months,'Loan Tape (S&amp;P)'!AN1842,
    IF(arrears_months=0,1.00,
    IF(arrears_months=1,3.00,
    IF(arrears_months=2,5.00,
    IF(arrears_months=3,8.00,
    IF(arrears_months=4,10.00,
    IF(arrears_months=5,12.00,15.00)))))))</f>
        <v/>
      </c>
      <c r="M1842">
        <f>LET(
    seasoning_years,DATEDIF('Loan Tape (S&amp;P)'!K1842,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42">
        <f>IF(AND('Loan Tape (S&amp;P)'!U1842="Yes",
        'Loan Tape (S&amp;P)'!T1842&lt;&gt;"Yes",
        DATEDIF('Loan Tape (S&amp;P)'!K1842, TODAY(), "M")&lt;18),
    1.10,
    1.00)</f>
        <v/>
      </c>
      <c r="O1842">
        <f>IF('Loan Tape (S&amp;P)'!T1842="Yes",
    1.35,
    1.00)</f>
        <v/>
      </c>
      <c r="P1842">
        <f>IF('Loan Tape (S&amp;P)'!S1842="Yes",
    1.15,
    1.00)</f>
        <v/>
      </c>
      <c r="Q1842">
        <f>IF('Loan Tape (S&amp;P)'!V1842="Yes",
    1.20,
    1.00)</f>
        <v/>
      </c>
      <c r="T1842">
        <f>LET(
    payment_method,'Loan Tape (S&amp;P)'!P1842,
    occupancy,'Loan Tape (S&amp;P)'!N1842,
    maturity_date,'Loan Tape (S&amp;P)'!L1842,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43">
      <c r="J1843">
        <f>LET(
    lien,'Loan Tape (S&amp;P)'!Q1843,
    IF(lien="First",1.00,
        IF(lien="Second",1.50,
            1.70)))</f>
        <v/>
      </c>
      <c r="K1843">
        <f>LET(
    purpose,'Loan Tape (S&amp;P)'!R1843,
    IF(purpose="Purchase",1.00,
        IF(purpose="Remortgage",1.00,
            1.20)))</f>
        <v/>
      </c>
      <c r="L1843">
        <f>LET(
    arrears_months,'Loan Tape (S&amp;P)'!AN1843,
    IF(arrears_months=0,1.00,
    IF(arrears_months=1,3.00,
    IF(arrears_months=2,5.00,
    IF(arrears_months=3,8.00,
    IF(arrears_months=4,10.00,
    IF(arrears_months=5,12.00,15.00)))))))</f>
        <v/>
      </c>
      <c r="M1843">
        <f>LET(
    seasoning_years,DATEDIF('Loan Tape (S&amp;P)'!K1843,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43">
        <f>IF(AND('Loan Tape (S&amp;P)'!U1843="Yes",
        'Loan Tape (S&amp;P)'!T1843&lt;&gt;"Yes",
        DATEDIF('Loan Tape (S&amp;P)'!K1843, TODAY(), "M")&lt;18),
    1.10,
    1.00)</f>
        <v/>
      </c>
      <c r="O1843">
        <f>IF('Loan Tape (S&amp;P)'!T1843="Yes",
    1.35,
    1.00)</f>
        <v/>
      </c>
      <c r="P1843">
        <f>IF('Loan Tape (S&amp;P)'!S1843="Yes",
    1.15,
    1.00)</f>
        <v/>
      </c>
      <c r="Q1843">
        <f>IF('Loan Tape (S&amp;P)'!V1843="Yes",
    1.20,
    1.00)</f>
        <v/>
      </c>
      <c r="T1843">
        <f>LET(
    payment_method,'Loan Tape (S&amp;P)'!P1843,
    occupancy,'Loan Tape (S&amp;P)'!N1843,
    maturity_date,'Loan Tape (S&amp;P)'!L1843,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44">
      <c r="J1844">
        <f>LET(
    lien,'Loan Tape (S&amp;P)'!Q1844,
    IF(lien="First",1.00,
        IF(lien="Second",1.50,
            1.70)))</f>
        <v/>
      </c>
      <c r="K1844">
        <f>LET(
    purpose,'Loan Tape (S&amp;P)'!R1844,
    IF(purpose="Purchase",1.00,
        IF(purpose="Remortgage",1.00,
            1.20)))</f>
        <v/>
      </c>
      <c r="L1844">
        <f>LET(
    arrears_months,'Loan Tape (S&amp;P)'!AN1844,
    IF(arrears_months=0,1.00,
    IF(arrears_months=1,3.00,
    IF(arrears_months=2,5.00,
    IF(arrears_months=3,8.00,
    IF(arrears_months=4,10.00,
    IF(arrears_months=5,12.00,15.00)))))))</f>
        <v/>
      </c>
      <c r="M1844">
        <f>LET(
    seasoning_years,DATEDIF('Loan Tape (S&amp;P)'!K1844,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44">
        <f>IF(AND('Loan Tape (S&amp;P)'!U1844="Yes",
        'Loan Tape (S&amp;P)'!T1844&lt;&gt;"Yes",
        DATEDIF('Loan Tape (S&amp;P)'!K1844, TODAY(), "M")&lt;18),
    1.10,
    1.00)</f>
        <v/>
      </c>
      <c r="O1844">
        <f>IF('Loan Tape (S&amp;P)'!T1844="Yes",
    1.35,
    1.00)</f>
        <v/>
      </c>
      <c r="P1844">
        <f>IF('Loan Tape (S&amp;P)'!S1844="Yes",
    1.15,
    1.00)</f>
        <v/>
      </c>
      <c r="Q1844">
        <f>IF('Loan Tape (S&amp;P)'!V1844="Yes",
    1.20,
    1.00)</f>
        <v/>
      </c>
      <c r="T1844">
        <f>LET(
    payment_method,'Loan Tape (S&amp;P)'!P1844,
    occupancy,'Loan Tape (S&amp;P)'!N1844,
    maturity_date,'Loan Tape (S&amp;P)'!L1844,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45">
      <c r="J1845">
        <f>LET(
    lien,'Loan Tape (S&amp;P)'!Q1845,
    IF(lien="First",1.00,
        IF(lien="Second",1.50,
            1.70)))</f>
        <v/>
      </c>
      <c r="K1845">
        <f>LET(
    purpose,'Loan Tape (S&amp;P)'!R1845,
    IF(purpose="Purchase",1.00,
        IF(purpose="Remortgage",1.00,
            1.20)))</f>
        <v/>
      </c>
      <c r="L1845">
        <f>LET(
    arrears_months,'Loan Tape (S&amp;P)'!AN1845,
    IF(arrears_months=0,1.00,
    IF(arrears_months=1,3.00,
    IF(arrears_months=2,5.00,
    IF(arrears_months=3,8.00,
    IF(arrears_months=4,10.00,
    IF(arrears_months=5,12.00,15.00)))))))</f>
        <v/>
      </c>
      <c r="M1845">
        <f>LET(
    seasoning_years,DATEDIF('Loan Tape (S&amp;P)'!K1845,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45">
        <f>IF(AND('Loan Tape (S&amp;P)'!U1845="Yes",
        'Loan Tape (S&amp;P)'!T1845&lt;&gt;"Yes",
        DATEDIF('Loan Tape (S&amp;P)'!K1845, TODAY(), "M")&lt;18),
    1.10,
    1.00)</f>
        <v/>
      </c>
      <c r="O1845">
        <f>IF('Loan Tape (S&amp;P)'!T1845="Yes",
    1.35,
    1.00)</f>
        <v/>
      </c>
      <c r="P1845">
        <f>IF('Loan Tape (S&amp;P)'!S1845="Yes",
    1.15,
    1.00)</f>
        <v/>
      </c>
      <c r="Q1845">
        <f>IF('Loan Tape (S&amp;P)'!V1845="Yes",
    1.20,
    1.00)</f>
        <v/>
      </c>
      <c r="T1845">
        <f>LET(
    payment_method,'Loan Tape (S&amp;P)'!P1845,
    occupancy,'Loan Tape (S&amp;P)'!N1845,
    maturity_date,'Loan Tape (S&amp;P)'!L1845,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46">
      <c r="J1846">
        <f>LET(
    lien,'Loan Tape (S&amp;P)'!Q1846,
    IF(lien="First",1.00,
        IF(lien="Second",1.50,
            1.70)))</f>
        <v/>
      </c>
      <c r="K1846">
        <f>LET(
    purpose,'Loan Tape (S&amp;P)'!R1846,
    IF(purpose="Purchase",1.00,
        IF(purpose="Remortgage",1.00,
            1.20)))</f>
        <v/>
      </c>
      <c r="L1846">
        <f>LET(
    arrears_months,'Loan Tape (S&amp;P)'!AN1846,
    IF(arrears_months=0,1.00,
    IF(arrears_months=1,3.00,
    IF(arrears_months=2,5.00,
    IF(arrears_months=3,8.00,
    IF(arrears_months=4,10.00,
    IF(arrears_months=5,12.00,15.00)))))))</f>
        <v/>
      </c>
      <c r="M1846">
        <f>LET(
    seasoning_years,DATEDIF('Loan Tape (S&amp;P)'!K1846,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46">
        <f>IF(AND('Loan Tape (S&amp;P)'!U1846="Yes",
        'Loan Tape (S&amp;P)'!T1846&lt;&gt;"Yes",
        DATEDIF('Loan Tape (S&amp;P)'!K1846, TODAY(), "M")&lt;18),
    1.10,
    1.00)</f>
        <v/>
      </c>
      <c r="O1846">
        <f>IF('Loan Tape (S&amp;P)'!T1846="Yes",
    1.35,
    1.00)</f>
        <v/>
      </c>
      <c r="P1846">
        <f>IF('Loan Tape (S&amp;P)'!S1846="Yes",
    1.15,
    1.00)</f>
        <v/>
      </c>
      <c r="Q1846">
        <f>IF('Loan Tape (S&amp;P)'!V1846="Yes",
    1.20,
    1.00)</f>
        <v/>
      </c>
      <c r="T1846">
        <f>LET(
    payment_method,'Loan Tape (S&amp;P)'!P1846,
    occupancy,'Loan Tape (S&amp;P)'!N1846,
    maturity_date,'Loan Tape (S&amp;P)'!L1846,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47">
      <c r="J1847">
        <f>LET(
    lien,'Loan Tape (S&amp;P)'!Q1847,
    IF(lien="First",1.00,
        IF(lien="Second",1.50,
            1.70)))</f>
        <v/>
      </c>
      <c r="K1847">
        <f>LET(
    purpose,'Loan Tape (S&amp;P)'!R1847,
    IF(purpose="Purchase",1.00,
        IF(purpose="Remortgage",1.00,
            1.20)))</f>
        <v/>
      </c>
      <c r="L1847">
        <f>LET(
    arrears_months,'Loan Tape (S&amp;P)'!AN1847,
    IF(arrears_months=0,1.00,
    IF(arrears_months=1,3.00,
    IF(arrears_months=2,5.00,
    IF(arrears_months=3,8.00,
    IF(arrears_months=4,10.00,
    IF(arrears_months=5,12.00,15.00)))))))</f>
        <v/>
      </c>
      <c r="M1847">
        <f>LET(
    seasoning_years,DATEDIF('Loan Tape (S&amp;P)'!K1847,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47">
        <f>IF(AND('Loan Tape (S&amp;P)'!U1847="Yes",
        'Loan Tape (S&amp;P)'!T1847&lt;&gt;"Yes",
        DATEDIF('Loan Tape (S&amp;P)'!K1847, TODAY(), "M")&lt;18),
    1.10,
    1.00)</f>
        <v/>
      </c>
      <c r="O1847">
        <f>IF('Loan Tape (S&amp;P)'!T1847="Yes",
    1.35,
    1.00)</f>
        <v/>
      </c>
      <c r="P1847">
        <f>IF('Loan Tape (S&amp;P)'!S1847="Yes",
    1.15,
    1.00)</f>
        <v/>
      </c>
      <c r="Q1847">
        <f>IF('Loan Tape (S&amp;P)'!V1847="Yes",
    1.20,
    1.00)</f>
        <v/>
      </c>
      <c r="T1847">
        <f>LET(
    payment_method,'Loan Tape (S&amp;P)'!P1847,
    occupancy,'Loan Tape (S&amp;P)'!N1847,
    maturity_date,'Loan Tape (S&amp;P)'!L1847,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48">
      <c r="J1848">
        <f>LET(
    lien,'Loan Tape (S&amp;P)'!Q1848,
    IF(lien="First",1.00,
        IF(lien="Second",1.50,
            1.70)))</f>
        <v/>
      </c>
      <c r="K1848">
        <f>LET(
    purpose,'Loan Tape (S&amp;P)'!R1848,
    IF(purpose="Purchase",1.00,
        IF(purpose="Remortgage",1.00,
            1.20)))</f>
        <v/>
      </c>
      <c r="L1848">
        <f>LET(
    arrears_months,'Loan Tape (S&amp;P)'!AN1848,
    IF(arrears_months=0,1.00,
    IF(arrears_months=1,3.00,
    IF(arrears_months=2,5.00,
    IF(arrears_months=3,8.00,
    IF(arrears_months=4,10.00,
    IF(arrears_months=5,12.00,15.00)))))))</f>
        <v/>
      </c>
      <c r="M1848">
        <f>LET(
    seasoning_years,DATEDIF('Loan Tape (S&amp;P)'!K1848,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48">
        <f>IF(AND('Loan Tape (S&amp;P)'!U1848="Yes",
        'Loan Tape (S&amp;P)'!T1848&lt;&gt;"Yes",
        DATEDIF('Loan Tape (S&amp;P)'!K1848, TODAY(), "M")&lt;18),
    1.10,
    1.00)</f>
        <v/>
      </c>
      <c r="O1848">
        <f>IF('Loan Tape (S&amp;P)'!T1848="Yes",
    1.35,
    1.00)</f>
        <v/>
      </c>
      <c r="P1848">
        <f>IF('Loan Tape (S&amp;P)'!S1848="Yes",
    1.15,
    1.00)</f>
        <v/>
      </c>
      <c r="Q1848">
        <f>IF('Loan Tape (S&amp;P)'!V1848="Yes",
    1.20,
    1.00)</f>
        <v/>
      </c>
      <c r="T1848">
        <f>LET(
    payment_method,'Loan Tape (S&amp;P)'!P1848,
    occupancy,'Loan Tape (S&amp;P)'!N1848,
    maturity_date,'Loan Tape (S&amp;P)'!L1848,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49">
      <c r="J1849">
        <f>LET(
    lien,'Loan Tape (S&amp;P)'!Q1849,
    IF(lien="First",1.00,
        IF(lien="Second",1.50,
            1.70)))</f>
        <v/>
      </c>
      <c r="K1849">
        <f>LET(
    purpose,'Loan Tape (S&amp;P)'!R1849,
    IF(purpose="Purchase",1.00,
        IF(purpose="Remortgage",1.00,
            1.20)))</f>
        <v/>
      </c>
      <c r="L1849">
        <f>LET(
    arrears_months,'Loan Tape (S&amp;P)'!AN1849,
    IF(arrears_months=0,1.00,
    IF(arrears_months=1,3.00,
    IF(arrears_months=2,5.00,
    IF(arrears_months=3,8.00,
    IF(arrears_months=4,10.00,
    IF(arrears_months=5,12.00,15.00)))))))</f>
        <v/>
      </c>
      <c r="M1849">
        <f>LET(
    seasoning_years,DATEDIF('Loan Tape (S&amp;P)'!K1849,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49">
        <f>IF(AND('Loan Tape (S&amp;P)'!U1849="Yes",
        'Loan Tape (S&amp;P)'!T1849&lt;&gt;"Yes",
        DATEDIF('Loan Tape (S&amp;P)'!K1849, TODAY(), "M")&lt;18),
    1.10,
    1.00)</f>
        <v/>
      </c>
      <c r="O1849">
        <f>IF('Loan Tape (S&amp;P)'!T1849="Yes",
    1.35,
    1.00)</f>
        <v/>
      </c>
      <c r="P1849">
        <f>IF('Loan Tape (S&amp;P)'!S1849="Yes",
    1.15,
    1.00)</f>
        <v/>
      </c>
      <c r="Q1849">
        <f>IF('Loan Tape (S&amp;P)'!V1849="Yes",
    1.20,
    1.00)</f>
        <v/>
      </c>
      <c r="T1849">
        <f>LET(
    payment_method,'Loan Tape (S&amp;P)'!P1849,
    occupancy,'Loan Tape (S&amp;P)'!N1849,
    maturity_date,'Loan Tape (S&amp;P)'!L1849,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50">
      <c r="J1850">
        <f>LET(
    lien,'Loan Tape (S&amp;P)'!Q1850,
    IF(lien="First",1.00,
        IF(lien="Second",1.50,
            1.70)))</f>
        <v/>
      </c>
      <c r="K1850">
        <f>LET(
    purpose,'Loan Tape (S&amp;P)'!R1850,
    IF(purpose="Purchase",1.00,
        IF(purpose="Remortgage",1.00,
            1.20)))</f>
        <v/>
      </c>
      <c r="L1850">
        <f>LET(
    arrears_months,'Loan Tape (S&amp;P)'!AN1850,
    IF(arrears_months=0,1.00,
    IF(arrears_months=1,3.00,
    IF(arrears_months=2,5.00,
    IF(arrears_months=3,8.00,
    IF(arrears_months=4,10.00,
    IF(arrears_months=5,12.00,15.00)))))))</f>
        <v/>
      </c>
      <c r="M1850">
        <f>LET(
    seasoning_years,DATEDIF('Loan Tape (S&amp;P)'!K1850,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50">
        <f>IF(AND('Loan Tape (S&amp;P)'!U1850="Yes",
        'Loan Tape (S&amp;P)'!T1850&lt;&gt;"Yes",
        DATEDIF('Loan Tape (S&amp;P)'!K1850, TODAY(), "M")&lt;18),
    1.10,
    1.00)</f>
        <v/>
      </c>
      <c r="O1850">
        <f>IF('Loan Tape (S&amp;P)'!T1850="Yes",
    1.35,
    1.00)</f>
        <v/>
      </c>
      <c r="P1850">
        <f>IF('Loan Tape (S&amp;P)'!S1850="Yes",
    1.15,
    1.00)</f>
        <v/>
      </c>
      <c r="Q1850">
        <f>IF('Loan Tape (S&amp;P)'!V1850="Yes",
    1.20,
    1.00)</f>
        <v/>
      </c>
      <c r="T1850">
        <f>LET(
    payment_method,'Loan Tape (S&amp;P)'!P1850,
    occupancy,'Loan Tape (S&amp;P)'!N1850,
    maturity_date,'Loan Tape (S&amp;P)'!L1850,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51">
      <c r="J1851">
        <f>LET(
    lien,'Loan Tape (S&amp;P)'!Q1851,
    IF(lien="First",1.00,
        IF(lien="Second",1.50,
            1.70)))</f>
        <v/>
      </c>
      <c r="K1851">
        <f>LET(
    purpose,'Loan Tape (S&amp;P)'!R1851,
    IF(purpose="Purchase",1.00,
        IF(purpose="Remortgage",1.00,
            1.20)))</f>
        <v/>
      </c>
      <c r="L1851">
        <f>LET(
    arrears_months,'Loan Tape (S&amp;P)'!AN1851,
    IF(arrears_months=0,1.00,
    IF(arrears_months=1,3.00,
    IF(arrears_months=2,5.00,
    IF(arrears_months=3,8.00,
    IF(arrears_months=4,10.00,
    IF(arrears_months=5,12.00,15.00)))))))</f>
        <v/>
      </c>
      <c r="M1851">
        <f>LET(
    seasoning_years,DATEDIF('Loan Tape (S&amp;P)'!K1851,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51">
        <f>IF(AND('Loan Tape (S&amp;P)'!U1851="Yes",
        'Loan Tape (S&amp;P)'!T1851&lt;&gt;"Yes",
        DATEDIF('Loan Tape (S&amp;P)'!K1851, TODAY(), "M")&lt;18),
    1.10,
    1.00)</f>
        <v/>
      </c>
      <c r="O1851">
        <f>IF('Loan Tape (S&amp;P)'!T1851="Yes",
    1.35,
    1.00)</f>
        <v/>
      </c>
      <c r="P1851">
        <f>IF('Loan Tape (S&amp;P)'!S1851="Yes",
    1.15,
    1.00)</f>
        <v/>
      </c>
      <c r="Q1851">
        <f>IF('Loan Tape (S&amp;P)'!V1851="Yes",
    1.20,
    1.00)</f>
        <v/>
      </c>
      <c r="T1851">
        <f>LET(
    payment_method,'Loan Tape (S&amp;P)'!P1851,
    occupancy,'Loan Tape (S&amp;P)'!N1851,
    maturity_date,'Loan Tape (S&amp;P)'!L1851,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52">
      <c r="J1852">
        <f>LET(
    lien,'Loan Tape (S&amp;P)'!Q1852,
    IF(lien="First",1.00,
        IF(lien="Second",1.50,
            1.70)))</f>
        <v/>
      </c>
      <c r="K1852">
        <f>LET(
    purpose,'Loan Tape (S&amp;P)'!R1852,
    IF(purpose="Purchase",1.00,
        IF(purpose="Remortgage",1.00,
            1.20)))</f>
        <v/>
      </c>
      <c r="L1852">
        <f>LET(
    arrears_months,'Loan Tape (S&amp;P)'!AN1852,
    IF(arrears_months=0,1.00,
    IF(arrears_months=1,3.00,
    IF(arrears_months=2,5.00,
    IF(arrears_months=3,8.00,
    IF(arrears_months=4,10.00,
    IF(arrears_months=5,12.00,15.00)))))))</f>
        <v/>
      </c>
      <c r="M1852">
        <f>LET(
    seasoning_years,DATEDIF('Loan Tape (S&amp;P)'!K1852,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52">
        <f>IF(AND('Loan Tape (S&amp;P)'!U1852="Yes",
        'Loan Tape (S&amp;P)'!T1852&lt;&gt;"Yes",
        DATEDIF('Loan Tape (S&amp;P)'!K1852, TODAY(), "M")&lt;18),
    1.10,
    1.00)</f>
        <v/>
      </c>
      <c r="O1852">
        <f>IF('Loan Tape (S&amp;P)'!T1852="Yes",
    1.35,
    1.00)</f>
        <v/>
      </c>
      <c r="P1852">
        <f>IF('Loan Tape (S&amp;P)'!S1852="Yes",
    1.15,
    1.00)</f>
        <v/>
      </c>
      <c r="Q1852">
        <f>IF('Loan Tape (S&amp;P)'!V1852="Yes",
    1.20,
    1.00)</f>
        <v/>
      </c>
      <c r="T1852">
        <f>LET(
    payment_method,'Loan Tape (S&amp;P)'!P1852,
    occupancy,'Loan Tape (S&amp;P)'!N1852,
    maturity_date,'Loan Tape (S&amp;P)'!L1852,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53">
      <c r="J1853">
        <f>LET(
    lien,'Loan Tape (S&amp;P)'!Q1853,
    IF(lien="First",1.00,
        IF(lien="Second",1.50,
            1.70)))</f>
        <v/>
      </c>
      <c r="K1853">
        <f>LET(
    purpose,'Loan Tape (S&amp;P)'!R1853,
    IF(purpose="Purchase",1.00,
        IF(purpose="Remortgage",1.00,
            1.20)))</f>
        <v/>
      </c>
      <c r="L1853">
        <f>LET(
    arrears_months,'Loan Tape (S&amp;P)'!AN1853,
    IF(arrears_months=0,1.00,
    IF(arrears_months=1,3.00,
    IF(arrears_months=2,5.00,
    IF(arrears_months=3,8.00,
    IF(arrears_months=4,10.00,
    IF(arrears_months=5,12.00,15.00)))))))</f>
        <v/>
      </c>
      <c r="M1853">
        <f>LET(
    seasoning_years,DATEDIF('Loan Tape (S&amp;P)'!K1853,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53">
        <f>IF(AND('Loan Tape (S&amp;P)'!U1853="Yes",
        'Loan Tape (S&amp;P)'!T1853&lt;&gt;"Yes",
        DATEDIF('Loan Tape (S&amp;P)'!K1853, TODAY(), "M")&lt;18),
    1.10,
    1.00)</f>
        <v/>
      </c>
      <c r="O1853">
        <f>IF('Loan Tape (S&amp;P)'!T1853="Yes",
    1.35,
    1.00)</f>
        <v/>
      </c>
      <c r="P1853">
        <f>IF('Loan Tape (S&amp;P)'!S1853="Yes",
    1.15,
    1.00)</f>
        <v/>
      </c>
      <c r="Q1853">
        <f>IF('Loan Tape (S&amp;P)'!V1853="Yes",
    1.20,
    1.00)</f>
        <v/>
      </c>
      <c r="T1853">
        <f>LET(
    payment_method,'Loan Tape (S&amp;P)'!P1853,
    occupancy,'Loan Tape (S&amp;P)'!N1853,
    maturity_date,'Loan Tape (S&amp;P)'!L1853,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54">
      <c r="J1854">
        <f>LET(
    lien,'Loan Tape (S&amp;P)'!Q1854,
    IF(lien="First",1.00,
        IF(lien="Second",1.50,
            1.70)))</f>
        <v/>
      </c>
      <c r="K1854">
        <f>LET(
    purpose,'Loan Tape (S&amp;P)'!R1854,
    IF(purpose="Purchase",1.00,
        IF(purpose="Remortgage",1.00,
            1.20)))</f>
        <v/>
      </c>
      <c r="L1854">
        <f>LET(
    arrears_months,'Loan Tape (S&amp;P)'!AN1854,
    IF(arrears_months=0,1.00,
    IF(arrears_months=1,3.00,
    IF(arrears_months=2,5.00,
    IF(arrears_months=3,8.00,
    IF(arrears_months=4,10.00,
    IF(arrears_months=5,12.00,15.00)))))))</f>
        <v/>
      </c>
      <c r="M1854">
        <f>LET(
    seasoning_years,DATEDIF('Loan Tape (S&amp;P)'!K1854,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54">
        <f>IF(AND('Loan Tape (S&amp;P)'!U1854="Yes",
        'Loan Tape (S&amp;P)'!T1854&lt;&gt;"Yes",
        DATEDIF('Loan Tape (S&amp;P)'!K1854, TODAY(), "M")&lt;18),
    1.10,
    1.00)</f>
        <v/>
      </c>
      <c r="O1854">
        <f>IF('Loan Tape (S&amp;P)'!T1854="Yes",
    1.35,
    1.00)</f>
        <v/>
      </c>
      <c r="P1854">
        <f>IF('Loan Tape (S&amp;P)'!S1854="Yes",
    1.15,
    1.00)</f>
        <v/>
      </c>
      <c r="Q1854">
        <f>IF('Loan Tape (S&amp;P)'!V1854="Yes",
    1.20,
    1.00)</f>
        <v/>
      </c>
      <c r="T1854">
        <f>LET(
    payment_method,'Loan Tape (S&amp;P)'!P1854,
    occupancy,'Loan Tape (S&amp;P)'!N1854,
    maturity_date,'Loan Tape (S&amp;P)'!L1854,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55">
      <c r="J1855">
        <f>LET(
    lien,'Loan Tape (S&amp;P)'!Q1855,
    IF(lien="First",1.00,
        IF(lien="Second",1.50,
            1.70)))</f>
        <v/>
      </c>
      <c r="K1855">
        <f>LET(
    purpose,'Loan Tape (S&amp;P)'!R1855,
    IF(purpose="Purchase",1.00,
        IF(purpose="Remortgage",1.00,
            1.20)))</f>
        <v/>
      </c>
      <c r="L1855">
        <f>LET(
    arrears_months,'Loan Tape (S&amp;P)'!AN1855,
    IF(arrears_months=0,1.00,
    IF(arrears_months=1,3.00,
    IF(arrears_months=2,5.00,
    IF(arrears_months=3,8.00,
    IF(arrears_months=4,10.00,
    IF(arrears_months=5,12.00,15.00)))))))</f>
        <v/>
      </c>
      <c r="M1855">
        <f>LET(
    seasoning_years,DATEDIF('Loan Tape (S&amp;P)'!K1855,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55">
        <f>IF(AND('Loan Tape (S&amp;P)'!U1855="Yes",
        'Loan Tape (S&amp;P)'!T1855&lt;&gt;"Yes",
        DATEDIF('Loan Tape (S&amp;P)'!K1855, TODAY(), "M")&lt;18),
    1.10,
    1.00)</f>
        <v/>
      </c>
      <c r="O1855">
        <f>IF('Loan Tape (S&amp;P)'!T1855="Yes",
    1.35,
    1.00)</f>
        <v/>
      </c>
      <c r="P1855">
        <f>IF('Loan Tape (S&amp;P)'!S1855="Yes",
    1.15,
    1.00)</f>
        <v/>
      </c>
      <c r="Q1855">
        <f>IF('Loan Tape (S&amp;P)'!V1855="Yes",
    1.20,
    1.00)</f>
        <v/>
      </c>
      <c r="T1855">
        <f>LET(
    payment_method,'Loan Tape (S&amp;P)'!P1855,
    occupancy,'Loan Tape (S&amp;P)'!N1855,
    maturity_date,'Loan Tape (S&amp;P)'!L1855,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56">
      <c r="J1856">
        <f>LET(
    lien,'Loan Tape (S&amp;P)'!Q1856,
    IF(lien="First",1.00,
        IF(lien="Second",1.50,
            1.70)))</f>
        <v/>
      </c>
      <c r="K1856">
        <f>LET(
    purpose,'Loan Tape (S&amp;P)'!R1856,
    IF(purpose="Purchase",1.00,
        IF(purpose="Remortgage",1.00,
            1.20)))</f>
        <v/>
      </c>
      <c r="L1856">
        <f>LET(
    arrears_months,'Loan Tape (S&amp;P)'!AN1856,
    IF(arrears_months=0,1.00,
    IF(arrears_months=1,3.00,
    IF(arrears_months=2,5.00,
    IF(arrears_months=3,8.00,
    IF(arrears_months=4,10.00,
    IF(arrears_months=5,12.00,15.00)))))))</f>
        <v/>
      </c>
      <c r="M1856">
        <f>LET(
    seasoning_years,DATEDIF('Loan Tape (S&amp;P)'!K1856,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56">
        <f>IF(AND('Loan Tape (S&amp;P)'!U1856="Yes",
        'Loan Tape (S&amp;P)'!T1856&lt;&gt;"Yes",
        DATEDIF('Loan Tape (S&amp;P)'!K1856, TODAY(), "M")&lt;18),
    1.10,
    1.00)</f>
        <v/>
      </c>
      <c r="O1856">
        <f>IF('Loan Tape (S&amp;P)'!T1856="Yes",
    1.35,
    1.00)</f>
        <v/>
      </c>
      <c r="P1856">
        <f>IF('Loan Tape (S&amp;P)'!S1856="Yes",
    1.15,
    1.00)</f>
        <v/>
      </c>
      <c r="Q1856">
        <f>IF('Loan Tape (S&amp;P)'!V1856="Yes",
    1.20,
    1.00)</f>
        <v/>
      </c>
      <c r="T1856">
        <f>LET(
    payment_method,'Loan Tape (S&amp;P)'!P1856,
    occupancy,'Loan Tape (S&amp;P)'!N1856,
    maturity_date,'Loan Tape (S&amp;P)'!L1856,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57">
      <c r="J1857">
        <f>LET(
    lien,'Loan Tape (S&amp;P)'!Q1857,
    IF(lien="First",1.00,
        IF(lien="Second",1.50,
            1.70)))</f>
        <v/>
      </c>
      <c r="K1857">
        <f>LET(
    purpose,'Loan Tape (S&amp;P)'!R1857,
    IF(purpose="Purchase",1.00,
        IF(purpose="Remortgage",1.00,
            1.20)))</f>
        <v/>
      </c>
      <c r="L1857">
        <f>LET(
    arrears_months,'Loan Tape (S&amp;P)'!AN1857,
    IF(arrears_months=0,1.00,
    IF(arrears_months=1,3.00,
    IF(arrears_months=2,5.00,
    IF(arrears_months=3,8.00,
    IF(arrears_months=4,10.00,
    IF(arrears_months=5,12.00,15.00)))))))</f>
        <v/>
      </c>
      <c r="M1857">
        <f>LET(
    seasoning_years,DATEDIF('Loan Tape (S&amp;P)'!K1857,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57">
        <f>IF(AND('Loan Tape (S&amp;P)'!U1857="Yes",
        'Loan Tape (S&amp;P)'!T1857&lt;&gt;"Yes",
        DATEDIF('Loan Tape (S&amp;P)'!K1857, TODAY(), "M")&lt;18),
    1.10,
    1.00)</f>
        <v/>
      </c>
      <c r="O1857">
        <f>IF('Loan Tape (S&amp;P)'!T1857="Yes",
    1.35,
    1.00)</f>
        <v/>
      </c>
      <c r="P1857">
        <f>IF('Loan Tape (S&amp;P)'!S1857="Yes",
    1.15,
    1.00)</f>
        <v/>
      </c>
      <c r="Q1857">
        <f>IF('Loan Tape (S&amp;P)'!V1857="Yes",
    1.20,
    1.00)</f>
        <v/>
      </c>
      <c r="T1857">
        <f>LET(
    payment_method,'Loan Tape (S&amp;P)'!P1857,
    occupancy,'Loan Tape (S&amp;P)'!N1857,
    maturity_date,'Loan Tape (S&amp;P)'!L1857,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58">
      <c r="J1858">
        <f>LET(
    lien,'Loan Tape (S&amp;P)'!Q1858,
    IF(lien="First",1.00,
        IF(lien="Second",1.50,
            1.70)))</f>
        <v/>
      </c>
      <c r="K1858">
        <f>LET(
    purpose,'Loan Tape (S&amp;P)'!R1858,
    IF(purpose="Purchase",1.00,
        IF(purpose="Remortgage",1.00,
            1.20)))</f>
        <v/>
      </c>
      <c r="L1858">
        <f>LET(
    arrears_months,'Loan Tape (S&amp;P)'!AN1858,
    IF(arrears_months=0,1.00,
    IF(arrears_months=1,3.00,
    IF(arrears_months=2,5.00,
    IF(arrears_months=3,8.00,
    IF(arrears_months=4,10.00,
    IF(arrears_months=5,12.00,15.00)))))))</f>
        <v/>
      </c>
      <c r="M1858">
        <f>LET(
    seasoning_years,DATEDIF('Loan Tape (S&amp;P)'!K1858,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58">
        <f>IF(AND('Loan Tape (S&amp;P)'!U1858="Yes",
        'Loan Tape (S&amp;P)'!T1858&lt;&gt;"Yes",
        DATEDIF('Loan Tape (S&amp;P)'!K1858, TODAY(), "M")&lt;18),
    1.10,
    1.00)</f>
        <v/>
      </c>
      <c r="O1858">
        <f>IF('Loan Tape (S&amp;P)'!T1858="Yes",
    1.35,
    1.00)</f>
        <v/>
      </c>
      <c r="P1858">
        <f>IF('Loan Tape (S&amp;P)'!S1858="Yes",
    1.15,
    1.00)</f>
        <v/>
      </c>
      <c r="Q1858">
        <f>IF('Loan Tape (S&amp;P)'!V1858="Yes",
    1.20,
    1.00)</f>
        <v/>
      </c>
      <c r="T1858">
        <f>LET(
    payment_method,'Loan Tape (S&amp;P)'!P1858,
    occupancy,'Loan Tape (S&amp;P)'!N1858,
    maturity_date,'Loan Tape (S&amp;P)'!L1858,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59">
      <c r="J1859">
        <f>LET(
    lien,'Loan Tape (S&amp;P)'!Q1859,
    IF(lien="First",1.00,
        IF(lien="Second",1.50,
            1.70)))</f>
        <v/>
      </c>
      <c r="K1859">
        <f>LET(
    purpose,'Loan Tape (S&amp;P)'!R1859,
    IF(purpose="Purchase",1.00,
        IF(purpose="Remortgage",1.00,
            1.20)))</f>
        <v/>
      </c>
      <c r="L1859">
        <f>LET(
    arrears_months,'Loan Tape (S&amp;P)'!AN1859,
    IF(arrears_months=0,1.00,
    IF(arrears_months=1,3.00,
    IF(arrears_months=2,5.00,
    IF(arrears_months=3,8.00,
    IF(arrears_months=4,10.00,
    IF(arrears_months=5,12.00,15.00)))))))</f>
        <v/>
      </c>
      <c r="M1859">
        <f>LET(
    seasoning_years,DATEDIF('Loan Tape (S&amp;P)'!K1859,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59">
        <f>IF(AND('Loan Tape (S&amp;P)'!U1859="Yes",
        'Loan Tape (S&amp;P)'!T1859&lt;&gt;"Yes",
        DATEDIF('Loan Tape (S&amp;P)'!K1859, TODAY(), "M")&lt;18),
    1.10,
    1.00)</f>
        <v/>
      </c>
      <c r="O1859">
        <f>IF('Loan Tape (S&amp;P)'!T1859="Yes",
    1.35,
    1.00)</f>
        <v/>
      </c>
      <c r="P1859">
        <f>IF('Loan Tape (S&amp;P)'!S1859="Yes",
    1.15,
    1.00)</f>
        <v/>
      </c>
      <c r="Q1859">
        <f>IF('Loan Tape (S&amp;P)'!V1859="Yes",
    1.20,
    1.00)</f>
        <v/>
      </c>
      <c r="T1859">
        <f>LET(
    payment_method,'Loan Tape (S&amp;P)'!P1859,
    occupancy,'Loan Tape (S&amp;P)'!N1859,
    maturity_date,'Loan Tape (S&amp;P)'!L1859,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60">
      <c r="J1860">
        <f>LET(
    lien,'Loan Tape (S&amp;P)'!Q1860,
    IF(lien="First",1.00,
        IF(lien="Second",1.50,
            1.70)))</f>
        <v/>
      </c>
      <c r="K1860">
        <f>LET(
    purpose,'Loan Tape (S&amp;P)'!R1860,
    IF(purpose="Purchase",1.00,
        IF(purpose="Remortgage",1.00,
            1.20)))</f>
        <v/>
      </c>
      <c r="L1860">
        <f>LET(
    arrears_months,'Loan Tape (S&amp;P)'!AN1860,
    IF(arrears_months=0,1.00,
    IF(arrears_months=1,3.00,
    IF(arrears_months=2,5.00,
    IF(arrears_months=3,8.00,
    IF(arrears_months=4,10.00,
    IF(arrears_months=5,12.00,15.00)))))))</f>
        <v/>
      </c>
      <c r="M1860">
        <f>LET(
    seasoning_years,DATEDIF('Loan Tape (S&amp;P)'!K1860,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60">
        <f>IF(AND('Loan Tape (S&amp;P)'!U1860="Yes",
        'Loan Tape (S&amp;P)'!T1860&lt;&gt;"Yes",
        DATEDIF('Loan Tape (S&amp;P)'!K1860, TODAY(), "M")&lt;18),
    1.10,
    1.00)</f>
        <v/>
      </c>
      <c r="O1860">
        <f>IF('Loan Tape (S&amp;P)'!T1860="Yes",
    1.35,
    1.00)</f>
        <v/>
      </c>
      <c r="P1860">
        <f>IF('Loan Tape (S&amp;P)'!S1860="Yes",
    1.15,
    1.00)</f>
        <v/>
      </c>
      <c r="Q1860">
        <f>IF('Loan Tape (S&amp;P)'!V1860="Yes",
    1.20,
    1.00)</f>
        <v/>
      </c>
      <c r="T1860">
        <f>LET(
    payment_method,'Loan Tape (S&amp;P)'!P1860,
    occupancy,'Loan Tape (S&amp;P)'!N1860,
    maturity_date,'Loan Tape (S&amp;P)'!L1860,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61">
      <c r="J1861">
        <f>LET(
    lien,'Loan Tape (S&amp;P)'!Q1861,
    IF(lien="First",1.00,
        IF(lien="Second",1.50,
            1.70)))</f>
        <v/>
      </c>
      <c r="K1861">
        <f>LET(
    purpose,'Loan Tape (S&amp;P)'!R1861,
    IF(purpose="Purchase",1.00,
        IF(purpose="Remortgage",1.00,
            1.20)))</f>
        <v/>
      </c>
      <c r="L1861">
        <f>LET(
    arrears_months,'Loan Tape (S&amp;P)'!AN1861,
    IF(arrears_months=0,1.00,
    IF(arrears_months=1,3.00,
    IF(arrears_months=2,5.00,
    IF(arrears_months=3,8.00,
    IF(arrears_months=4,10.00,
    IF(arrears_months=5,12.00,15.00)))))))</f>
        <v/>
      </c>
      <c r="M1861">
        <f>LET(
    seasoning_years,DATEDIF('Loan Tape (S&amp;P)'!K1861,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61">
        <f>IF(AND('Loan Tape (S&amp;P)'!U1861="Yes",
        'Loan Tape (S&amp;P)'!T1861&lt;&gt;"Yes",
        DATEDIF('Loan Tape (S&amp;P)'!K1861, TODAY(), "M")&lt;18),
    1.10,
    1.00)</f>
        <v/>
      </c>
      <c r="O1861">
        <f>IF('Loan Tape (S&amp;P)'!T1861="Yes",
    1.35,
    1.00)</f>
        <v/>
      </c>
      <c r="P1861">
        <f>IF('Loan Tape (S&amp;P)'!S1861="Yes",
    1.15,
    1.00)</f>
        <v/>
      </c>
      <c r="Q1861">
        <f>IF('Loan Tape (S&amp;P)'!V1861="Yes",
    1.20,
    1.00)</f>
        <v/>
      </c>
      <c r="T1861">
        <f>LET(
    payment_method,'Loan Tape (S&amp;P)'!P1861,
    occupancy,'Loan Tape (S&amp;P)'!N1861,
    maturity_date,'Loan Tape (S&amp;P)'!L1861,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62">
      <c r="J1862">
        <f>LET(
    lien,'Loan Tape (S&amp;P)'!Q1862,
    IF(lien="First",1.00,
        IF(lien="Second",1.50,
            1.70)))</f>
        <v/>
      </c>
      <c r="K1862">
        <f>LET(
    purpose,'Loan Tape (S&amp;P)'!R1862,
    IF(purpose="Purchase",1.00,
        IF(purpose="Remortgage",1.00,
            1.20)))</f>
        <v/>
      </c>
      <c r="L1862">
        <f>LET(
    arrears_months,'Loan Tape (S&amp;P)'!AN1862,
    IF(arrears_months=0,1.00,
    IF(arrears_months=1,3.00,
    IF(arrears_months=2,5.00,
    IF(arrears_months=3,8.00,
    IF(arrears_months=4,10.00,
    IF(arrears_months=5,12.00,15.00)))))))</f>
        <v/>
      </c>
      <c r="M1862">
        <f>LET(
    seasoning_years,DATEDIF('Loan Tape (S&amp;P)'!K1862,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62">
        <f>IF(AND('Loan Tape (S&amp;P)'!U1862="Yes",
        'Loan Tape (S&amp;P)'!T1862&lt;&gt;"Yes",
        DATEDIF('Loan Tape (S&amp;P)'!K1862, TODAY(), "M")&lt;18),
    1.10,
    1.00)</f>
        <v/>
      </c>
      <c r="O1862">
        <f>IF('Loan Tape (S&amp;P)'!T1862="Yes",
    1.35,
    1.00)</f>
        <v/>
      </c>
      <c r="P1862">
        <f>IF('Loan Tape (S&amp;P)'!S1862="Yes",
    1.15,
    1.00)</f>
        <v/>
      </c>
      <c r="Q1862">
        <f>IF('Loan Tape (S&amp;P)'!V1862="Yes",
    1.20,
    1.00)</f>
        <v/>
      </c>
      <c r="T1862">
        <f>LET(
    payment_method,'Loan Tape (S&amp;P)'!P1862,
    occupancy,'Loan Tape (S&amp;P)'!N1862,
    maturity_date,'Loan Tape (S&amp;P)'!L1862,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63">
      <c r="J1863">
        <f>LET(
    lien,'Loan Tape (S&amp;P)'!Q1863,
    IF(lien="First",1.00,
        IF(lien="Second",1.50,
            1.70)))</f>
        <v/>
      </c>
      <c r="K1863">
        <f>LET(
    purpose,'Loan Tape (S&amp;P)'!R1863,
    IF(purpose="Purchase",1.00,
        IF(purpose="Remortgage",1.00,
            1.20)))</f>
        <v/>
      </c>
      <c r="L1863">
        <f>LET(
    arrears_months,'Loan Tape (S&amp;P)'!AN1863,
    IF(arrears_months=0,1.00,
    IF(arrears_months=1,3.00,
    IF(arrears_months=2,5.00,
    IF(arrears_months=3,8.00,
    IF(arrears_months=4,10.00,
    IF(arrears_months=5,12.00,15.00)))))))</f>
        <v/>
      </c>
      <c r="M1863">
        <f>LET(
    seasoning_years,DATEDIF('Loan Tape (S&amp;P)'!K1863,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63">
        <f>IF(AND('Loan Tape (S&amp;P)'!U1863="Yes",
        'Loan Tape (S&amp;P)'!T1863&lt;&gt;"Yes",
        DATEDIF('Loan Tape (S&amp;P)'!K1863, TODAY(), "M")&lt;18),
    1.10,
    1.00)</f>
        <v/>
      </c>
      <c r="O1863">
        <f>IF('Loan Tape (S&amp;P)'!T1863="Yes",
    1.35,
    1.00)</f>
        <v/>
      </c>
      <c r="P1863">
        <f>IF('Loan Tape (S&amp;P)'!S1863="Yes",
    1.15,
    1.00)</f>
        <v/>
      </c>
      <c r="Q1863">
        <f>IF('Loan Tape (S&amp;P)'!V1863="Yes",
    1.20,
    1.00)</f>
        <v/>
      </c>
      <c r="T1863">
        <f>LET(
    payment_method,'Loan Tape (S&amp;P)'!P1863,
    occupancy,'Loan Tape (S&amp;P)'!N1863,
    maturity_date,'Loan Tape (S&amp;P)'!L1863,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64">
      <c r="J1864">
        <f>LET(
    lien,'Loan Tape (S&amp;P)'!Q1864,
    IF(lien="First",1.00,
        IF(lien="Second",1.50,
            1.70)))</f>
        <v/>
      </c>
      <c r="K1864">
        <f>LET(
    purpose,'Loan Tape (S&amp;P)'!R1864,
    IF(purpose="Purchase",1.00,
        IF(purpose="Remortgage",1.00,
            1.20)))</f>
        <v/>
      </c>
      <c r="L1864">
        <f>LET(
    arrears_months,'Loan Tape (S&amp;P)'!AN1864,
    IF(arrears_months=0,1.00,
    IF(arrears_months=1,3.00,
    IF(arrears_months=2,5.00,
    IF(arrears_months=3,8.00,
    IF(arrears_months=4,10.00,
    IF(arrears_months=5,12.00,15.00)))))))</f>
        <v/>
      </c>
      <c r="M1864">
        <f>LET(
    seasoning_years,DATEDIF('Loan Tape (S&amp;P)'!K1864,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64">
        <f>IF(AND('Loan Tape (S&amp;P)'!U1864="Yes",
        'Loan Tape (S&amp;P)'!T1864&lt;&gt;"Yes",
        DATEDIF('Loan Tape (S&amp;P)'!K1864, TODAY(), "M")&lt;18),
    1.10,
    1.00)</f>
        <v/>
      </c>
      <c r="O1864">
        <f>IF('Loan Tape (S&amp;P)'!T1864="Yes",
    1.35,
    1.00)</f>
        <v/>
      </c>
      <c r="P1864">
        <f>IF('Loan Tape (S&amp;P)'!S1864="Yes",
    1.15,
    1.00)</f>
        <v/>
      </c>
      <c r="Q1864">
        <f>IF('Loan Tape (S&amp;P)'!V1864="Yes",
    1.20,
    1.00)</f>
        <v/>
      </c>
      <c r="T1864">
        <f>LET(
    payment_method,'Loan Tape (S&amp;P)'!P1864,
    occupancy,'Loan Tape (S&amp;P)'!N1864,
    maturity_date,'Loan Tape (S&amp;P)'!L1864,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65">
      <c r="J1865">
        <f>LET(
    lien,'Loan Tape (S&amp;P)'!Q1865,
    IF(lien="First",1.00,
        IF(lien="Second",1.50,
            1.70)))</f>
        <v/>
      </c>
      <c r="K1865">
        <f>LET(
    purpose,'Loan Tape (S&amp;P)'!R1865,
    IF(purpose="Purchase",1.00,
        IF(purpose="Remortgage",1.00,
            1.20)))</f>
        <v/>
      </c>
      <c r="L1865">
        <f>LET(
    arrears_months,'Loan Tape (S&amp;P)'!AN1865,
    IF(arrears_months=0,1.00,
    IF(arrears_months=1,3.00,
    IF(arrears_months=2,5.00,
    IF(arrears_months=3,8.00,
    IF(arrears_months=4,10.00,
    IF(arrears_months=5,12.00,15.00)))))))</f>
        <v/>
      </c>
      <c r="M1865">
        <f>LET(
    seasoning_years,DATEDIF('Loan Tape (S&amp;P)'!K1865,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65">
        <f>IF(AND('Loan Tape (S&amp;P)'!U1865="Yes",
        'Loan Tape (S&amp;P)'!T1865&lt;&gt;"Yes",
        DATEDIF('Loan Tape (S&amp;P)'!K1865, TODAY(), "M")&lt;18),
    1.10,
    1.00)</f>
        <v/>
      </c>
      <c r="O1865">
        <f>IF('Loan Tape (S&amp;P)'!T1865="Yes",
    1.35,
    1.00)</f>
        <v/>
      </c>
      <c r="P1865">
        <f>IF('Loan Tape (S&amp;P)'!S1865="Yes",
    1.15,
    1.00)</f>
        <v/>
      </c>
      <c r="Q1865">
        <f>IF('Loan Tape (S&amp;P)'!V1865="Yes",
    1.20,
    1.00)</f>
        <v/>
      </c>
      <c r="T1865">
        <f>LET(
    payment_method,'Loan Tape (S&amp;P)'!P1865,
    occupancy,'Loan Tape (S&amp;P)'!N1865,
    maturity_date,'Loan Tape (S&amp;P)'!L1865,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66">
      <c r="J1866">
        <f>LET(
    lien,'Loan Tape (S&amp;P)'!Q1866,
    IF(lien="First",1.00,
        IF(lien="Second",1.50,
            1.70)))</f>
        <v/>
      </c>
      <c r="K1866">
        <f>LET(
    purpose,'Loan Tape (S&amp;P)'!R1866,
    IF(purpose="Purchase",1.00,
        IF(purpose="Remortgage",1.00,
            1.20)))</f>
        <v/>
      </c>
      <c r="L1866">
        <f>LET(
    arrears_months,'Loan Tape (S&amp;P)'!AN1866,
    IF(arrears_months=0,1.00,
    IF(arrears_months=1,3.00,
    IF(arrears_months=2,5.00,
    IF(arrears_months=3,8.00,
    IF(arrears_months=4,10.00,
    IF(arrears_months=5,12.00,15.00)))))))</f>
        <v/>
      </c>
      <c r="M1866">
        <f>LET(
    seasoning_years,DATEDIF('Loan Tape (S&amp;P)'!K1866,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66">
        <f>IF(AND('Loan Tape (S&amp;P)'!U1866="Yes",
        'Loan Tape (S&amp;P)'!T1866&lt;&gt;"Yes",
        DATEDIF('Loan Tape (S&amp;P)'!K1866, TODAY(), "M")&lt;18),
    1.10,
    1.00)</f>
        <v/>
      </c>
      <c r="O1866">
        <f>IF('Loan Tape (S&amp;P)'!T1866="Yes",
    1.35,
    1.00)</f>
        <v/>
      </c>
      <c r="P1866">
        <f>IF('Loan Tape (S&amp;P)'!S1866="Yes",
    1.15,
    1.00)</f>
        <v/>
      </c>
      <c r="Q1866">
        <f>IF('Loan Tape (S&amp;P)'!V1866="Yes",
    1.20,
    1.00)</f>
        <v/>
      </c>
      <c r="T1866">
        <f>LET(
    payment_method,'Loan Tape (S&amp;P)'!P1866,
    occupancy,'Loan Tape (S&amp;P)'!N1866,
    maturity_date,'Loan Tape (S&amp;P)'!L1866,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67">
      <c r="J1867">
        <f>LET(
    lien,'Loan Tape (S&amp;P)'!Q1867,
    IF(lien="First",1.00,
        IF(lien="Second",1.50,
            1.70)))</f>
        <v/>
      </c>
      <c r="K1867">
        <f>LET(
    purpose,'Loan Tape (S&amp;P)'!R1867,
    IF(purpose="Purchase",1.00,
        IF(purpose="Remortgage",1.00,
            1.20)))</f>
        <v/>
      </c>
      <c r="L1867">
        <f>LET(
    arrears_months,'Loan Tape (S&amp;P)'!AN1867,
    IF(arrears_months=0,1.00,
    IF(arrears_months=1,3.00,
    IF(arrears_months=2,5.00,
    IF(arrears_months=3,8.00,
    IF(arrears_months=4,10.00,
    IF(arrears_months=5,12.00,15.00)))))))</f>
        <v/>
      </c>
      <c r="M1867">
        <f>LET(
    seasoning_years,DATEDIF('Loan Tape (S&amp;P)'!K1867,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67">
        <f>IF(AND('Loan Tape (S&amp;P)'!U1867="Yes",
        'Loan Tape (S&amp;P)'!T1867&lt;&gt;"Yes",
        DATEDIF('Loan Tape (S&amp;P)'!K1867, TODAY(), "M")&lt;18),
    1.10,
    1.00)</f>
        <v/>
      </c>
      <c r="O1867">
        <f>IF('Loan Tape (S&amp;P)'!T1867="Yes",
    1.35,
    1.00)</f>
        <v/>
      </c>
      <c r="P1867">
        <f>IF('Loan Tape (S&amp;P)'!S1867="Yes",
    1.15,
    1.00)</f>
        <v/>
      </c>
      <c r="Q1867">
        <f>IF('Loan Tape (S&amp;P)'!V1867="Yes",
    1.20,
    1.00)</f>
        <v/>
      </c>
      <c r="T1867">
        <f>LET(
    payment_method,'Loan Tape (S&amp;P)'!P1867,
    occupancy,'Loan Tape (S&amp;P)'!N1867,
    maturity_date,'Loan Tape (S&amp;P)'!L1867,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68">
      <c r="J1868">
        <f>LET(
    lien,'Loan Tape (S&amp;P)'!Q1868,
    IF(lien="First",1.00,
        IF(lien="Second",1.50,
            1.70)))</f>
        <v/>
      </c>
      <c r="K1868">
        <f>LET(
    purpose,'Loan Tape (S&amp;P)'!R1868,
    IF(purpose="Purchase",1.00,
        IF(purpose="Remortgage",1.00,
            1.20)))</f>
        <v/>
      </c>
      <c r="L1868">
        <f>LET(
    arrears_months,'Loan Tape (S&amp;P)'!AN1868,
    IF(arrears_months=0,1.00,
    IF(arrears_months=1,3.00,
    IF(arrears_months=2,5.00,
    IF(arrears_months=3,8.00,
    IF(arrears_months=4,10.00,
    IF(arrears_months=5,12.00,15.00)))))))</f>
        <v/>
      </c>
      <c r="M1868">
        <f>LET(
    seasoning_years,DATEDIF('Loan Tape (S&amp;P)'!K1868,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68">
        <f>IF(AND('Loan Tape (S&amp;P)'!U1868="Yes",
        'Loan Tape (S&amp;P)'!T1868&lt;&gt;"Yes",
        DATEDIF('Loan Tape (S&amp;P)'!K1868, TODAY(), "M")&lt;18),
    1.10,
    1.00)</f>
        <v/>
      </c>
      <c r="O1868">
        <f>IF('Loan Tape (S&amp;P)'!T1868="Yes",
    1.35,
    1.00)</f>
        <v/>
      </c>
      <c r="P1868">
        <f>IF('Loan Tape (S&amp;P)'!S1868="Yes",
    1.15,
    1.00)</f>
        <v/>
      </c>
      <c r="Q1868">
        <f>IF('Loan Tape (S&amp;P)'!V1868="Yes",
    1.20,
    1.00)</f>
        <v/>
      </c>
      <c r="T1868">
        <f>LET(
    payment_method,'Loan Tape (S&amp;P)'!P1868,
    occupancy,'Loan Tape (S&amp;P)'!N1868,
    maturity_date,'Loan Tape (S&amp;P)'!L1868,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69">
      <c r="J1869">
        <f>LET(
    lien,'Loan Tape (S&amp;P)'!Q1869,
    IF(lien="First",1.00,
        IF(lien="Second",1.50,
            1.70)))</f>
        <v/>
      </c>
      <c r="K1869">
        <f>LET(
    purpose,'Loan Tape (S&amp;P)'!R1869,
    IF(purpose="Purchase",1.00,
        IF(purpose="Remortgage",1.00,
            1.20)))</f>
        <v/>
      </c>
      <c r="L1869">
        <f>LET(
    arrears_months,'Loan Tape (S&amp;P)'!AN1869,
    IF(arrears_months=0,1.00,
    IF(arrears_months=1,3.00,
    IF(arrears_months=2,5.00,
    IF(arrears_months=3,8.00,
    IF(arrears_months=4,10.00,
    IF(arrears_months=5,12.00,15.00)))))))</f>
        <v/>
      </c>
      <c r="M1869">
        <f>LET(
    seasoning_years,DATEDIF('Loan Tape (S&amp;P)'!K1869,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69">
        <f>IF(AND('Loan Tape (S&amp;P)'!U1869="Yes",
        'Loan Tape (S&amp;P)'!T1869&lt;&gt;"Yes",
        DATEDIF('Loan Tape (S&amp;P)'!K1869, TODAY(), "M")&lt;18),
    1.10,
    1.00)</f>
        <v/>
      </c>
      <c r="O1869">
        <f>IF('Loan Tape (S&amp;P)'!T1869="Yes",
    1.35,
    1.00)</f>
        <v/>
      </c>
      <c r="P1869">
        <f>IF('Loan Tape (S&amp;P)'!S1869="Yes",
    1.15,
    1.00)</f>
        <v/>
      </c>
      <c r="Q1869">
        <f>IF('Loan Tape (S&amp;P)'!V1869="Yes",
    1.20,
    1.00)</f>
        <v/>
      </c>
      <c r="T1869">
        <f>LET(
    payment_method,'Loan Tape (S&amp;P)'!P1869,
    occupancy,'Loan Tape (S&amp;P)'!N1869,
    maturity_date,'Loan Tape (S&amp;P)'!L1869,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70">
      <c r="J1870">
        <f>LET(
    lien,'Loan Tape (S&amp;P)'!Q1870,
    IF(lien="First",1.00,
        IF(lien="Second",1.50,
            1.70)))</f>
        <v/>
      </c>
      <c r="K1870">
        <f>LET(
    purpose,'Loan Tape (S&amp;P)'!R1870,
    IF(purpose="Purchase",1.00,
        IF(purpose="Remortgage",1.00,
            1.20)))</f>
        <v/>
      </c>
      <c r="L1870">
        <f>LET(
    arrears_months,'Loan Tape (S&amp;P)'!AN1870,
    IF(arrears_months=0,1.00,
    IF(arrears_months=1,3.00,
    IF(arrears_months=2,5.00,
    IF(arrears_months=3,8.00,
    IF(arrears_months=4,10.00,
    IF(arrears_months=5,12.00,15.00)))))))</f>
        <v/>
      </c>
      <c r="M1870">
        <f>LET(
    seasoning_years,DATEDIF('Loan Tape (S&amp;P)'!K1870,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70">
        <f>IF(AND('Loan Tape (S&amp;P)'!U1870="Yes",
        'Loan Tape (S&amp;P)'!T1870&lt;&gt;"Yes",
        DATEDIF('Loan Tape (S&amp;P)'!K1870, TODAY(), "M")&lt;18),
    1.10,
    1.00)</f>
        <v/>
      </c>
      <c r="O1870">
        <f>IF('Loan Tape (S&amp;P)'!T1870="Yes",
    1.35,
    1.00)</f>
        <v/>
      </c>
      <c r="P1870">
        <f>IF('Loan Tape (S&amp;P)'!S1870="Yes",
    1.15,
    1.00)</f>
        <v/>
      </c>
      <c r="Q1870">
        <f>IF('Loan Tape (S&amp;P)'!V1870="Yes",
    1.20,
    1.00)</f>
        <v/>
      </c>
      <c r="T1870">
        <f>LET(
    payment_method,'Loan Tape (S&amp;P)'!P1870,
    occupancy,'Loan Tape (S&amp;P)'!N1870,
    maturity_date,'Loan Tape (S&amp;P)'!L1870,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71">
      <c r="J1871">
        <f>LET(
    lien,'Loan Tape (S&amp;P)'!Q1871,
    IF(lien="First",1.00,
        IF(lien="Second",1.50,
            1.70)))</f>
        <v/>
      </c>
      <c r="K1871">
        <f>LET(
    purpose,'Loan Tape (S&amp;P)'!R1871,
    IF(purpose="Purchase",1.00,
        IF(purpose="Remortgage",1.00,
            1.20)))</f>
        <v/>
      </c>
      <c r="L1871">
        <f>LET(
    arrears_months,'Loan Tape (S&amp;P)'!AN1871,
    IF(arrears_months=0,1.00,
    IF(arrears_months=1,3.00,
    IF(arrears_months=2,5.00,
    IF(arrears_months=3,8.00,
    IF(arrears_months=4,10.00,
    IF(arrears_months=5,12.00,15.00)))))))</f>
        <v/>
      </c>
      <c r="M1871">
        <f>LET(
    seasoning_years,DATEDIF('Loan Tape (S&amp;P)'!K1871,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71">
        <f>IF(AND('Loan Tape (S&amp;P)'!U1871="Yes",
        'Loan Tape (S&amp;P)'!T1871&lt;&gt;"Yes",
        DATEDIF('Loan Tape (S&amp;P)'!K1871, TODAY(), "M")&lt;18),
    1.10,
    1.00)</f>
        <v/>
      </c>
      <c r="O1871">
        <f>IF('Loan Tape (S&amp;P)'!T1871="Yes",
    1.35,
    1.00)</f>
        <v/>
      </c>
      <c r="P1871">
        <f>IF('Loan Tape (S&amp;P)'!S1871="Yes",
    1.15,
    1.00)</f>
        <v/>
      </c>
      <c r="Q1871">
        <f>IF('Loan Tape (S&amp;P)'!V1871="Yes",
    1.20,
    1.00)</f>
        <v/>
      </c>
      <c r="T1871">
        <f>LET(
    payment_method,'Loan Tape (S&amp;P)'!P1871,
    occupancy,'Loan Tape (S&amp;P)'!N1871,
    maturity_date,'Loan Tape (S&amp;P)'!L1871,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72">
      <c r="J1872">
        <f>LET(
    lien,'Loan Tape (S&amp;P)'!Q1872,
    IF(lien="First",1.00,
        IF(lien="Second",1.50,
            1.70)))</f>
        <v/>
      </c>
      <c r="K1872">
        <f>LET(
    purpose,'Loan Tape (S&amp;P)'!R1872,
    IF(purpose="Purchase",1.00,
        IF(purpose="Remortgage",1.00,
            1.20)))</f>
        <v/>
      </c>
      <c r="L1872">
        <f>LET(
    arrears_months,'Loan Tape (S&amp;P)'!AN1872,
    IF(arrears_months=0,1.00,
    IF(arrears_months=1,3.00,
    IF(arrears_months=2,5.00,
    IF(arrears_months=3,8.00,
    IF(arrears_months=4,10.00,
    IF(arrears_months=5,12.00,15.00)))))))</f>
        <v/>
      </c>
      <c r="M1872">
        <f>LET(
    seasoning_years,DATEDIF('Loan Tape (S&amp;P)'!K1872,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72">
        <f>IF(AND('Loan Tape (S&amp;P)'!U1872="Yes",
        'Loan Tape (S&amp;P)'!T1872&lt;&gt;"Yes",
        DATEDIF('Loan Tape (S&amp;P)'!K1872, TODAY(), "M")&lt;18),
    1.10,
    1.00)</f>
        <v/>
      </c>
      <c r="O1872">
        <f>IF('Loan Tape (S&amp;P)'!T1872="Yes",
    1.35,
    1.00)</f>
        <v/>
      </c>
      <c r="P1872">
        <f>IF('Loan Tape (S&amp;P)'!S1872="Yes",
    1.15,
    1.00)</f>
        <v/>
      </c>
      <c r="Q1872">
        <f>IF('Loan Tape (S&amp;P)'!V1872="Yes",
    1.20,
    1.00)</f>
        <v/>
      </c>
      <c r="T1872">
        <f>LET(
    payment_method,'Loan Tape (S&amp;P)'!P1872,
    occupancy,'Loan Tape (S&amp;P)'!N1872,
    maturity_date,'Loan Tape (S&amp;P)'!L1872,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73">
      <c r="J1873">
        <f>LET(
    lien,'Loan Tape (S&amp;P)'!Q1873,
    IF(lien="First",1.00,
        IF(lien="Second",1.50,
            1.70)))</f>
        <v/>
      </c>
      <c r="K1873">
        <f>LET(
    purpose,'Loan Tape (S&amp;P)'!R1873,
    IF(purpose="Purchase",1.00,
        IF(purpose="Remortgage",1.00,
            1.20)))</f>
        <v/>
      </c>
      <c r="L1873">
        <f>LET(
    arrears_months,'Loan Tape (S&amp;P)'!AN1873,
    IF(arrears_months=0,1.00,
    IF(arrears_months=1,3.00,
    IF(arrears_months=2,5.00,
    IF(arrears_months=3,8.00,
    IF(arrears_months=4,10.00,
    IF(arrears_months=5,12.00,15.00)))))))</f>
        <v/>
      </c>
      <c r="M1873">
        <f>LET(
    seasoning_years,DATEDIF('Loan Tape (S&amp;P)'!K1873,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73">
        <f>IF(AND('Loan Tape (S&amp;P)'!U1873="Yes",
        'Loan Tape (S&amp;P)'!T1873&lt;&gt;"Yes",
        DATEDIF('Loan Tape (S&amp;P)'!K1873, TODAY(), "M")&lt;18),
    1.10,
    1.00)</f>
        <v/>
      </c>
      <c r="O1873">
        <f>IF('Loan Tape (S&amp;P)'!T1873="Yes",
    1.35,
    1.00)</f>
        <v/>
      </c>
      <c r="P1873">
        <f>IF('Loan Tape (S&amp;P)'!S1873="Yes",
    1.15,
    1.00)</f>
        <v/>
      </c>
      <c r="Q1873">
        <f>IF('Loan Tape (S&amp;P)'!V1873="Yes",
    1.20,
    1.00)</f>
        <v/>
      </c>
      <c r="T1873">
        <f>LET(
    payment_method,'Loan Tape (S&amp;P)'!P1873,
    occupancy,'Loan Tape (S&amp;P)'!N1873,
    maturity_date,'Loan Tape (S&amp;P)'!L1873,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74">
      <c r="J1874">
        <f>LET(
    lien,'Loan Tape (S&amp;P)'!Q1874,
    IF(lien="First",1.00,
        IF(lien="Second",1.50,
            1.70)))</f>
        <v/>
      </c>
      <c r="K1874">
        <f>LET(
    purpose,'Loan Tape (S&amp;P)'!R1874,
    IF(purpose="Purchase",1.00,
        IF(purpose="Remortgage",1.00,
            1.20)))</f>
        <v/>
      </c>
      <c r="L1874">
        <f>LET(
    arrears_months,'Loan Tape (S&amp;P)'!AN1874,
    IF(arrears_months=0,1.00,
    IF(arrears_months=1,3.00,
    IF(arrears_months=2,5.00,
    IF(arrears_months=3,8.00,
    IF(arrears_months=4,10.00,
    IF(arrears_months=5,12.00,15.00)))))))</f>
        <v/>
      </c>
      <c r="M1874">
        <f>LET(
    seasoning_years,DATEDIF('Loan Tape (S&amp;P)'!K1874,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74">
        <f>IF(AND('Loan Tape (S&amp;P)'!U1874="Yes",
        'Loan Tape (S&amp;P)'!T1874&lt;&gt;"Yes",
        DATEDIF('Loan Tape (S&amp;P)'!K1874, TODAY(), "M")&lt;18),
    1.10,
    1.00)</f>
        <v/>
      </c>
      <c r="O1874">
        <f>IF('Loan Tape (S&amp;P)'!T1874="Yes",
    1.35,
    1.00)</f>
        <v/>
      </c>
      <c r="P1874">
        <f>IF('Loan Tape (S&amp;P)'!S1874="Yes",
    1.15,
    1.00)</f>
        <v/>
      </c>
      <c r="Q1874">
        <f>IF('Loan Tape (S&amp;P)'!V1874="Yes",
    1.20,
    1.00)</f>
        <v/>
      </c>
      <c r="T1874">
        <f>LET(
    payment_method,'Loan Tape (S&amp;P)'!P1874,
    occupancy,'Loan Tape (S&amp;P)'!N1874,
    maturity_date,'Loan Tape (S&amp;P)'!L1874,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75">
      <c r="J1875">
        <f>LET(
    lien,'Loan Tape (S&amp;P)'!Q1875,
    IF(lien="First",1.00,
        IF(lien="Second",1.50,
            1.70)))</f>
        <v/>
      </c>
      <c r="K1875">
        <f>LET(
    purpose,'Loan Tape (S&amp;P)'!R1875,
    IF(purpose="Purchase",1.00,
        IF(purpose="Remortgage",1.00,
            1.20)))</f>
        <v/>
      </c>
      <c r="L1875">
        <f>LET(
    arrears_months,'Loan Tape (S&amp;P)'!AN1875,
    IF(arrears_months=0,1.00,
    IF(arrears_months=1,3.00,
    IF(arrears_months=2,5.00,
    IF(arrears_months=3,8.00,
    IF(arrears_months=4,10.00,
    IF(arrears_months=5,12.00,15.00)))))))</f>
        <v/>
      </c>
      <c r="M1875">
        <f>LET(
    seasoning_years,DATEDIF('Loan Tape (S&amp;P)'!K1875,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75">
        <f>IF(AND('Loan Tape (S&amp;P)'!U1875="Yes",
        'Loan Tape (S&amp;P)'!T1875&lt;&gt;"Yes",
        DATEDIF('Loan Tape (S&amp;P)'!K1875, TODAY(), "M")&lt;18),
    1.10,
    1.00)</f>
        <v/>
      </c>
      <c r="O1875">
        <f>IF('Loan Tape (S&amp;P)'!T1875="Yes",
    1.35,
    1.00)</f>
        <v/>
      </c>
      <c r="P1875">
        <f>IF('Loan Tape (S&amp;P)'!S1875="Yes",
    1.15,
    1.00)</f>
        <v/>
      </c>
      <c r="Q1875">
        <f>IF('Loan Tape (S&amp;P)'!V1875="Yes",
    1.20,
    1.00)</f>
        <v/>
      </c>
      <c r="T1875">
        <f>LET(
    payment_method,'Loan Tape (S&amp;P)'!P1875,
    occupancy,'Loan Tape (S&amp;P)'!N1875,
    maturity_date,'Loan Tape (S&amp;P)'!L1875,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76">
      <c r="J1876">
        <f>LET(
    lien,'Loan Tape (S&amp;P)'!Q1876,
    IF(lien="First",1.00,
        IF(lien="Second",1.50,
            1.70)))</f>
        <v/>
      </c>
      <c r="K1876">
        <f>LET(
    purpose,'Loan Tape (S&amp;P)'!R1876,
    IF(purpose="Purchase",1.00,
        IF(purpose="Remortgage",1.00,
            1.20)))</f>
        <v/>
      </c>
      <c r="L1876">
        <f>LET(
    arrears_months,'Loan Tape (S&amp;P)'!AN1876,
    IF(arrears_months=0,1.00,
    IF(arrears_months=1,3.00,
    IF(arrears_months=2,5.00,
    IF(arrears_months=3,8.00,
    IF(arrears_months=4,10.00,
    IF(arrears_months=5,12.00,15.00)))))))</f>
        <v/>
      </c>
      <c r="M1876">
        <f>LET(
    seasoning_years,DATEDIF('Loan Tape (S&amp;P)'!K1876,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76">
        <f>IF(AND('Loan Tape (S&amp;P)'!U1876="Yes",
        'Loan Tape (S&amp;P)'!T1876&lt;&gt;"Yes",
        DATEDIF('Loan Tape (S&amp;P)'!K1876, TODAY(), "M")&lt;18),
    1.10,
    1.00)</f>
        <v/>
      </c>
      <c r="O1876">
        <f>IF('Loan Tape (S&amp;P)'!T1876="Yes",
    1.35,
    1.00)</f>
        <v/>
      </c>
      <c r="P1876">
        <f>IF('Loan Tape (S&amp;P)'!S1876="Yes",
    1.15,
    1.00)</f>
        <v/>
      </c>
      <c r="Q1876">
        <f>IF('Loan Tape (S&amp;P)'!V1876="Yes",
    1.20,
    1.00)</f>
        <v/>
      </c>
      <c r="T1876">
        <f>LET(
    payment_method,'Loan Tape (S&amp;P)'!P1876,
    occupancy,'Loan Tape (S&amp;P)'!N1876,
    maturity_date,'Loan Tape (S&amp;P)'!L1876,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77">
      <c r="J1877">
        <f>LET(
    lien,'Loan Tape (S&amp;P)'!Q1877,
    IF(lien="First",1.00,
        IF(lien="Second",1.50,
            1.70)))</f>
        <v/>
      </c>
      <c r="K1877">
        <f>LET(
    purpose,'Loan Tape (S&amp;P)'!R1877,
    IF(purpose="Purchase",1.00,
        IF(purpose="Remortgage",1.00,
            1.20)))</f>
        <v/>
      </c>
      <c r="L1877">
        <f>LET(
    arrears_months,'Loan Tape (S&amp;P)'!AN1877,
    IF(arrears_months=0,1.00,
    IF(arrears_months=1,3.00,
    IF(arrears_months=2,5.00,
    IF(arrears_months=3,8.00,
    IF(arrears_months=4,10.00,
    IF(arrears_months=5,12.00,15.00)))))))</f>
        <v/>
      </c>
      <c r="M1877">
        <f>LET(
    seasoning_years,DATEDIF('Loan Tape (S&amp;P)'!K1877,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77">
        <f>IF(AND('Loan Tape (S&amp;P)'!U1877="Yes",
        'Loan Tape (S&amp;P)'!T1877&lt;&gt;"Yes",
        DATEDIF('Loan Tape (S&amp;P)'!K1877, TODAY(), "M")&lt;18),
    1.10,
    1.00)</f>
        <v/>
      </c>
      <c r="O1877">
        <f>IF('Loan Tape (S&amp;P)'!T1877="Yes",
    1.35,
    1.00)</f>
        <v/>
      </c>
      <c r="P1877">
        <f>IF('Loan Tape (S&amp;P)'!S1877="Yes",
    1.15,
    1.00)</f>
        <v/>
      </c>
      <c r="Q1877">
        <f>IF('Loan Tape (S&amp;P)'!V1877="Yes",
    1.20,
    1.00)</f>
        <v/>
      </c>
      <c r="T1877">
        <f>LET(
    payment_method,'Loan Tape (S&amp;P)'!P1877,
    occupancy,'Loan Tape (S&amp;P)'!N1877,
    maturity_date,'Loan Tape (S&amp;P)'!L1877,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78">
      <c r="J1878">
        <f>LET(
    lien,'Loan Tape (S&amp;P)'!Q1878,
    IF(lien="First",1.00,
        IF(lien="Second",1.50,
            1.70)))</f>
        <v/>
      </c>
      <c r="K1878">
        <f>LET(
    purpose,'Loan Tape (S&amp;P)'!R1878,
    IF(purpose="Purchase",1.00,
        IF(purpose="Remortgage",1.00,
            1.20)))</f>
        <v/>
      </c>
      <c r="L1878">
        <f>LET(
    arrears_months,'Loan Tape (S&amp;P)'!AN1878,
    IF(arrears_months=0,1.00,
    IF(arrears_months=1,3.00,
    IF(arrears_months=2,5.00,
    IF(arrears_months=3,8.00,
    IF(arrears_months=4,10.00,
    IF(arrears_months=5,12.00,15.00)))))))</f>
        <v/>
      </c>
      <c r="M1878">
        <f>LET(
    seasoning_years,DATEDIF('Loan Tape (S&amp;P)'!K1878,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78">
        <f>IF(AND('Loan Tape (S&amp;P)'!U1878="Yes",
        'Loan Tape (S&amp;P)'!T1878&lt;&gt;"Yes",
        DATEDIF('Loan Tape (S&amp;P)'!K1878, TODAY(), "M")&lt;18),
    1.10,
    1.00)</f>
        <v/>
      </c>
      <c r="O1878">
        <f>IF('Loan Tape (S&amp;P)'!T1878="Yes",
    1.35,
    1.00)</f>
        <v/>
      </c>
      <c r="P1878">
        <f>IF('Loan Tape (S&amp;P)'!S1878="Yes",
    1.15,
    1.00)</f>
        <v/>
      </c>
      <c r="Q1878">
        <f>IF('Loan Tape (S&amp;P)'!V1878="Yes",
    1.20,
    1.00)</f>
        <v/>
      </c>
      <c r="T1878">
        <f>LET(
    payment_method,'Loan Tape (S&amp;P)'!P1878,
    occupancy,'Loan Tape (S&amp;P)'!N1878,
    maturity_date,'Loan Tape (S&amp;P)'!L1878,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79">
      <c r="J1879">
        <f>LET(
    lien,'Loan Tape (S&amp;P)'!Q1879,
    IF(lien="First",1.00,
        IF(lien="Second",1.50,
            1.70)))</f>
        <v/>
      </c>
      <c r="K1879">
        <f>LET(
    purpose,'Loan Tape (S&amp;P)'!R1879,
    IF(purpose="Purchase",1.00,
        IF(purpose="Remortgage",1.00,
            1.20)))</f>
        <v/>
      </c>
      <c r="L1879">
        <f>LET(
    arrears_months,'Loan Tape (S&amp;P)'!AN1879,
    IF(arrears_months=0,1.00,
    IF(arrears_months=1,3.00,
    IF(arrears_months=2,5.00,
    IF(arrears_months=3,8.00,
    IF(arrears_months=4,10.00,
    IF(arrears_months=5,12.00,15.00)))))))</f>
        <v/>
      </c>
      <c r="M1879">
        <f>LET(
    seasoning_years,DATEDIF('Loan Tape (S&amp;P)'!K1879,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79">
        <f>IF(AND('Loan Tape (S&amp;P)'!U1879="Yes",
        'Loan Tape (S&amp;P)'!T1879&lt;&gt;"Yes",
        DATEDIF('Loan Tape (S&amp;P)'!K1879, TODAY(), "M")&lt;18),
    1.10,
    1.00)</f>
        <v/>
      </c>
      <c r="O1879">
        <f>IF('Loan Tape (S&amp;P)'!T1879="Yes",
    1.35,
    1.00)</f>
        <v/>
      </c>
      <c r="P1879">
        <f>IF('Loan Tape (S&amp;P)'!S1879="Yes",
    1.15,
    1.00)</f>
        <v/>
      </c>
      <c r="Q1879">
        <f>IF('Loan Tape (S&amp;P)'!V1879="Yes",
    1.20,
    1.00)</f>
        <v/>
      </c>
      <c r="T1879">
        <f>LET(
    payment_method,'Loan Tape (S&amp;P)'!P1879,
    occupancy,'Loan Tape (S&amp;P)'!N1879,
    maturity_date,'Loan Tape (S&amp;P)'!L1879,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80">
      <c r="J1880">
        <f>LET(
    lien,'Loan Tape (S&amp;P)'!Q1880,
    IF(lien="First",1.00,
        IF(lien="Second",1.50,
            1.70)))</f>
        <v/>
      </c>
      <c r="K1880">
        <f>LET(
    purpose,'Loan Tape (S&amp;P)'!R1880,
    IF(purpose="Purchase",1.00,
        IF(purpose="Remortgage",1.00,
            1.20)))</f>
        <v/>
      </c>
      <c r="L1880">
        <f>LET(
    arrears_months,'Loan Tape (S&amp;P)'!AN1880,
    IF(arrears_months=0,1.00,
    IF(arrears_months=1,3.00,
    IF(arrears_months=2,5.00,
    IF(arrears_months=3,8.00,
    IF(arrears_months=4,10.00,
    IF(arrears_months=5,12.00,15.00)))))))</f>
        <v/>
      </c>
      <c r="M1880">
        <f>LET(
    seasoning_years,DATEDIF('Loan Tape (S&amp;P)'!K1880,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80">
        <f>IF(AND('Loan Tape (S&amp;P)'!U1880="Yes",
        'Loan Tape (S&amp;P)'!T1880&lt;&gt;"Yes",
        DATEDIF('Loan Tape (S&amp;P)'!K1880, TODAY(), "M")&lt;18),
    1.10,
    1.00)</f>
        <v/>
      </c>
      <c r="O1880">
        <f>IF('Loan Tape (S&amp;P)'!T1880="Yes",
    1.35,
    1.00)</f>
        <v/>
      </c>
      <c r="P1880">
        <f>IF('Loan Tape (S&amp;P)'!S1880="Yes",
    1.15,
    1.00)</f>
        <v/>
      </c>
      <c r="Q1880">
        <f>IF('Loan Tape (S&amp;P)'!V1880="Yes",
    1.20,
    1.00)</f>
        <v/>
      </c>
      <c r="T1880">
        <f>LET(
    payment_method,'Loan Tape (S&amp;P)'!P1880,
    occupancy,'Loan Tape (S&amp;P)'!N1880,
    maturity_date,'Loan Tape (S&amp;P)'!L1880,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81">
      <c r="J1881">
        <f>LET(
    lien,'Loan Tape (S&amp;P)'!Q1881,
    IF(lien="First",1.00,
        IF(lien="Second",1.50,
            1.70)))</f>
        <v/>
      </c>
      <c r="K1881">
        <f>LET(
    purpose,'Loan Tape (S&amp;P)'!R1881,
    IF(purpose="Purchase",1.00,
        IF(purpose="Remortgage",1.00,
            1.20)))</f>
        <v/>
      </c>
      <c r="L1881">
        <f>LET(
    arrears_months,'Loan Tape (S&amp;P)'!AN1881,
    IF(arrears_months=0,1.00,
    IF(arrears_months=1,3.00,
    IF(arrears_months=2,5.00,
    IF(arrears_months=3,8.00,
    IF(arrears_months=4,10.00,
    IF(arrears_months=5,12.00,15.00)))))))</f>
        <v/>
      </c>
      <c r="M1881">
        <f>LET(
    seasoning_years,DATEDIF('Loan Tape (S&amp;P)'!K1881,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81">
        <f>IF(AND('Loan Tape (S&amp;P)'!U1881="Yes",
        'Loan Tape (S&amp;P)'!T1881&lt;&gt;"Yes",
        DATEDIF('Loan Tape (S&amp;P)'!K1881, TODAY(), "M")&lt;18),
    1.10,
    1.00)</f>
        <v/>
      </c>
      <c r="O1881">
        <f>IF('Loan Tape (S&amp;P)'!T1881="Yes",
    1.35,
    1.00)</f>
        <v/>
      </c>
      <c r="P1881">
        <f>IF('Loan Tape (S&amp;P)'!S1881="Yes",
    1.15,
    1.00)</f>
        <v/>
      </c>
      <c r="Q1881">
        <f>IF('Loan Tape (S&amp;P)'!V1881="Yes",
    1.20,
    1.00)</f>
        <v/>
      </c>
      <c r="T1881">
        <f>LET(
    payment_method,'Loan Tape (S&amp;P)'!P1881,
    occupancy,'Loan Tape (S&amp;P)'!N1881,
    maturity_date,'Loan Tape (S&amp;P)'!L1881,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82">
      <c r="J1882">
        <f>LET(
    lien,'Loan Tape (S&amp;P)'!Q1882,
    IF(lien="First",1.00,
        IF(lien="Second",1.50,
            1.70)))</f>
        <v/>
      </c>
      <c r="K1882">
        <f>LET(
    purpose,'Loan Tape (S&amp;P)'!R1882,
    IF(purpose="Purchase",1.00,
        IF(purpose="Remortgage",1.00,
            1.20)))</f>
        <v/>
      </c>
      <c r="L1882">
        <f>LET(
    arrears_months,'Loan Tape (S&amp;P)'!AN1882,
    IF(arrears_months=0,1.00,
    IF(arrears_months=1,3.00,
    IF(arrears_months=2,5.00,
    IF(arrears_months=3,8.00,
    IF(arrears_months=4,10.00,
    IF(arrears_months=5,12.00,15.00)))))))</f>
        <v/>
      </c>
      <c r="M1882">
        <f>LET(
    seasoning_years,DATEDIF('Loan Tape (S&amp;P)'!K1882,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82">
        <f>IF(AND('Loan Tape (S&amp;P)'!U1882="Yes",
        'Loan Tape (S&amp;P)'!T1882&lt;&gt;"Yes",
        DATEDIF('Loan Tape (S&amp;P)'!K1882, TODAY(), "M")&lt;18),
    1.10,
    1.00)</f>
        <v/>
      </c>
      <c r="O1882">
        <f>IF('Loan Tape (S&amp;P)'!T1882="Yes",
    1.35,
    1.00)</f>
        <v/>
      </c>
      <c r="P1882">
        <f>IF('Loan Tape (S&amp;P)'!S1882="Yes",
    1.15,
    1.00)</f>
        <v/>
      </c>
      <c r="Q1882">
        <f>IF('Loan Tape (S&amp;P)'!V1882="Yes",
    1.20,
    1.00)</f>
        <v/>
      </c>
      <c r="T1882">
        <f>LET(
    payment_method,'Loan Tape (S&amp;P)'!P1882,
    occupancy,'Loan Tape (S&amp;P)'!N1882,
    maturity_date,'Loan Tape (S&amp;P)'!L1882,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83">
      <c r="J1883">
        <f>LET(
    lien,'Loan Tape (S&amp;P)'!Q1883,
    IF(lien="First",1.00,
        IF(lien="Second",1.50,
            1.70)))</f>
        <v/>
      </c>
      <c r="K1883">
        <f>LET(
    purpose,'Loan Tape (S&amp;P)'!R1883,
    IF(purpose="Purchase",1.00,
        IF(purpose="Remortgage",1.00,
            1.20)))</f>
        <v/>
      </c>
      <c r="L1883">
        <f>LET(
    arrears_months,'Loan Tape (S&amp;P)'!AN1883,
    IF(arrears_months=0,1.00,
    IF(arrears_months=1,3.00,
    IF(arrears_months=2,5.00,
    IF(arrears_months=3,8.00,
    IF(arrears_months=4,10.00,
    IF(arrears_months=5,12.00,15.00)))))))</f>
        <v/>
      </c>
      <c r="M1883">
        <f>LET(
    seasoning_years,DATEDIF('Loan Tape (S&amp;P)'!K1883,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83">
        <f>IF(AND('Loan Tape (S&amp;P)'!U1883="Yes",
        'Loan Tape (S&amp;P)'!T1883&lt;&gt;"Yes",
        DATEDIF('Loan Tape (S&amp;P)'!K1883, TODAY(), "M")&lt;18),
    1.10,
    1.00)</f>
        <v/>
      </c>
      <c r="O1883">
        <f>IF('Loan Tape (S&amp;P)'!T1883="Yes",
    1.35,
    1.00)</f>
        <v/>
      </c>
      <c r="P1883">
        <f>IF('Loan Tape (S&amp;P)'!S1883="Yes",
    1.15,
    1.00)</f>
        <v/>
      </c>
      <c r="Q1883">
        <f>IF('Loan Tape (S&amp;P)'!V1883="Yes",
    1.20,
    1.00)</f>
        <v/>
      </c>
      <c r="T1883">
        <f>LET(
    payment_method,'Loan Tape (S&amp;P)'!P1883,
    occupancy,'Loan Tape (S&amp;P)'!N1883,
    maturity_date,'Loan Tape (S&amp;P)'!L1883,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84">
      <c r="J1884">
        <f>LET(
    lien,'Loan Tape (S&amp;P)'!Q1884,
    IF(lien="First",1.00,
        IF(lien="Second",1.50,
            1.70)))</f>
        <v/>
      </c>
      <c r="K1884">
        <f>LET(
    purpose,'Loan Tape (S&amp;P)'!R1884,
    IF(purpose="Purchase",1.00,
        IF(purpose="Remortgage",1.00,
            1.20)))</f>
        <v/>
      </c>
      <c r="L1884">
        <f>LET(
    arrears_months,'Loan Tape (S&amp;P)'!AN1884,
    IF(arrears_months=0,1.00,
    IF(arrears_months=1,3.00,
    IF(arrears_months=2,5.00,
    IF(arrears_months=3,8.00,
    IF(arrears_months=4,10.00,
    IF(arrears_months=5,12.00,15.00)))))))</f>
        <v/>
      </c>
      <c r="M1884">
        <f>LET(
    seasoning_years,DATEDIF('Loan Tape (S&amp;P)'!K1884,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84">
        <f>IF(AND('Loan Tape (S&amp;P)'!U1884="Yes",
        'Loan Tape (S&amp;P)'!T1884&lt;&gt;"Yes",
        DATEDIF('Loan Tape (S&amp;P)'!K1884, TODAY(), "M")&lt;18),
    1.10,
    1.00)</f>
        <v/>
      </c>
      <c r="O1884">
        <f>IF('Loan Tape (S&amp;P)'!T1884="Yes",
    1.35,
    1.00)</f>
        <v/>
      </c>
      <c r="P1884">
        <f>IF('Loan Tape (S&amp;P)'!S1884="Yes",
    1.15,
    1.00)</f>
        <v/>
      </c>
      <c r="Q1884">
        <f>IF('Loan Tape (S&amp;P)'!V1884="Yes",
    1.20,
    1.00)</f>
        <v/>
      </c>
      <c r="T1884">
        <f>LET(
    payment_method,'Loan Tape (S&amp;P)'!P1884,
    occupancy,'Loan Tape (S&amp;P)'!N1884,
    maturity_date,'Loan Tape (S&amp;P)'!L1884,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85">
      <c r="J1885">
        <f>LET(
    lien,'Loan Tape (S&amp;P)'!Q1885,
    IF(lien="First",1.00,
        IF(lien="Second",1.50,
            1.70)))</f>
        <v/>
      </c>
      <c r="K1885">
        <f>LET(
    purpose,'Loan Tape (S&amp;P)'!R1885,
    IF(purpose="Purchase",1.00,
        IF(purpose="Remortgage",1.00,
            1.20)))</f>
        <v/>
      </c>
      <c r="L1885">
        <f>LET(
    arrears_months,'Loan Tape (S&amp;P)'!AN1885,
    IF(arrears_months=0,1.00,
    IF(arrears_months=1,3.00,
    IF(arrears_months=2,5.00,
    IF(arrears_months=3,8.00,
    IF(arrears_months=4,10.00,
    IF(arrears_months=5,12.00,15.00)))))))</f>
        <v/>
      </c>
      <c r="M1885">
        <f>LET(
    seasoning_years,DATEDIF('Loan Tape (S&amp;P)'!K1885,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85">
        <f>IF(AND('Loan Tape (S&amp;P)'!U1885="Yes",
        'Loan Tape (S&amp;P)'!T1885&lt;&gt;"Yes",
        DATEDIF('Loan Tape (S&amp;P)'!K1885, TODAY(), "M")&lt;18),
    1.10,
    1.00)</f>
        <v/>
      </c>
      <c r="O1885">
        <f>IF('Loan Tape (S&amp;P)'!T1885="Yes",
    1.35,
    1.00)</f>
        <v/>
      </c>
      <c r="P1885">
        <f>IF('Loan Tape (S&amp;P)'!S1885="Yes",
    1.15,
    1.00)</f>
        <v/>
      </c>
      <c r="Q1885">
        <f>IF('Loan Tape (S&amp;P)'!V1885="Yes",
    1.20,
    1.00)</f>
        <v/>
      </c>
      <c r="T1885">
        <f>LET(
    payment_method,'Loan Tape (S&amp;P)'!P1885,
    occupancy,'Loan Tape (S&amp;P)'!N1885,
    maturity_date,'Loan Tape (S&amp;P)'!L1885,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86">
      <c r="J1886">
        <f>LET(
    lien,'Loan Tape (S&amp;P)'!Q1886,
    IF(lien="First",1.00,
        IF(lien="Second",1.50,
            1.70)))</f>
        <v/>
      </c>
      <c r="K1886">
        <f>LET(
    purpose,'Loan Tape (S&amp;P)'!R1886,
    IF(purpose="Purchase",1.00,
        IF(purpose="Remortgage",1.00,
            1.20)))</f>
        <v/>
      </c>
      <c r="L1886">
        <f>LET(
    arrears_months,'Loan Tape (S&amp;P)'!AN1886,
    IF(arrears_months=0,1.00,
    IF(arrears_months=1,3.00,
    IF(arrears_months=2,5.00,
    IF(arrears_months=3,8.00,
    IF(arrears_months=4,10.00,
    IF(arrears_months=5,12.00,15.00)))))))</f>
        <v/>
      </c>
      <c r="M1886">
        <f>LET(
    seasoning_years,DATEDIF('Loan Tape (S&amp;P)'!K1886,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86">
        <f>IF(AND('Loan Tape (S&amp;P)'!U1886="Yes",
        'Loan Tape (S&amp;P)'!T1886&lt;&gt;"Yes",
        DATEDIF('Loan Tape (S&amp;P)'!K1886, TODAY(), "M")&lt;18),
    1.10,
    1.00)</f>
        <v/>
      </c>
      <c r="O1886">
        <f>IF('Loan Tape (S&amp;P)'!T1886="Yes",
    1.35,
    1.00)</f>
        <v/>
      </c>
      <c r="P1886">
        <f>IF('Loan Tape (S&amp;P)'!S1886="Yes",
    1.15,
    1.00)</f>
        <v/>
      </c>
      <c r="Q1886">
        <f>IF('Loan Tape (S&amp;P)'!V1886="Yes",
    1.20,
    1.00)</f>
        <v/>
      </c>
      <c r="T1886">
        <f>LET(
    payment_method,'Loan Tape (S&amp;P)'!P1886,
    occupancy,'Loan Tape (S&amp;P)'!N1886,
    maturity_date,'Loan Tape (S&amp;P)'!L1886,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87">
      <c r="J1887">
        <f>LET(
    lien,'Loan Tape (S&amp;P)'!Q1887,
    IF(lien="First",1.00,
        IF(lien="Second",1.50,
            1.70)))</f>
        <v/>
      </c>
      <c r="K1887">
        <f>LET(
    purpose,'Loan Tape (S&amp;P)'!R1887,
    IF(purpose="Purchase",1.00,
        IF(purpose="Remortgage",1.00,
            1.20)))</f>
        <v/>
      </c>
      <c r="L1887">
        <f>LET(
    arrears_months,'Loan Tape (S&amp;P)'!AN1887,
    IF(arrears_months=0,1.00,
    IF(arrears_months=1,3.00,
    IF(arrears_months=2,5.00,
    IF(arrears_months=3,8.00,
    IF(arrears_months=4,10.00,
    IF(arrears_months=5,12.00,15.00)))))))</f>
        <v/>
      </c>
      <c r="M1887">
        <f>LET(
    seasoning_years,DATEDIF('Loan Tape (S&amp;P)'!K1887,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87">
        <f>IF(AND('Loan Tape (S&amp;P)'!U1887="Yes",
        'Loan Tape (S&amp;P)'!T1887&lt;&gt;"Yes",
        DATEDIF('Loan Tape (S&amp;P)'!K1887, TODAY(), "M")&lt;18),
    1.10,
    1.00)</f>
        <v/>
      </c>
      <c r="O1887">
        <f>IF('Loan Tape (S&amp;P)'!T1887="Yes",
    1.35,
    1.00)</f>
        <v/>
      </c>
      <c r="P1887">
        <f>IF('Loan Tape (S&amp;P)'!S1887="Yes",
    1.15,
    1.00)</f>
        <v/>
      </c>
      <c r="Q1887">
        <f>IF('Loan Tape (S&amp;P)'!V1887="Yes",
    1.20,
    1.00)</f>
        <v/>
      </c>
      <c r="T1887">
        <f>LET(
    payment_method,'Loan Tape (S&amp;P)'!P1887,
    occupancy,'Loan Tape (S&amp;P)'!N1887,
    maturity_date,'Loan Tape (S&amp;P)'!L1887,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88">
      <c r="J1888">
        <f>LET(
    lien,'Loan Tape (S&amp;P)'!Q1888,
    IF(lien="First",1.00,
        IF(lien="Second",1.50,
            1.70)))</f>
        <v/>
      </c>
      <c r="K1888">
        <f>LET(
    purpose,'Loan Tape (S&amp;P)'!R1888,
    IF(purpose="Purchase",1.00,
        IF(purpose="Remortgage",1.00,
            1.20)))</f>
        <v/>
      </c>
      <c r="L1888">
        <f>LET(
    arrears_months,'Loan Tape (S&amp;P)'!AN1888,
    IF(arrears_months=0,1.00,
    IF(arrears_months=1,3.00,
    IF(arrears_months=2,5.00,
    IF(arrears_months=3,8.00,
    IF(arrears_months=4,10.00,
    IF(arrears_months=5,12.00,15.00)))))))</f>
        <v/>
      </c>
      <c r="M1888">
        <f>LET(
    seasoning_years,DATEDIF('Loan Tape (S&amp;P)'!K1888,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88">
        <f>IF(AND('Loan Tape (S&amp;P)'!U1888="Yes",
        'Loan Tape (S&amp;P)'!T1888&lt;&gt;"Yes",
        DATEDIF('Loan Tape (S&amp;P)'!K1888, TODAY(), "M")&lt;18),
    1.10,
    1.00)</f>
        <v/>
      </c>
      <c r="O1888">
        <f>IF('Loan Tape (S&amp;P)'!T1888="Yes",
    1.35,
    1.00)</f>
        <v/>
      </c>
      <c r="P1888">
        <f>IF('Loan Tape (S&amp;P)'!S1888="Yes",
    1.15,
    1.00)</f>
        <v/>
      </c>
      <c r="Q1888">
        <f>IF('Loan Tape (S&amp;P)'!V1888="Yes",
    1.20,
    1.00)</f>
        <v/>
      </c>
      <c r="T1888">
        <f>LET(
    payment_method,'Loan Tape (S&amp;P)'!P1888,
    occupancy,'Loan Tape (S&amp;P)'!N1888,
    maturity_date,'Loan Tape (S&amp;P)'!L1888,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89">
      <c r="J1889">
        <f>LET(
    lien,'Loan Tape (S&amp;P)'!Q1889,
    IF(lien="First",1.00,
        IF(lien="Second",1.50,
            1.70)))</f>
        <v/>
      </c>
      <c r="K1889">
        <f>LET(
    purpose,'Loan Tape (S&amp;P)'!R1889,
    IF(purpose="Purchase",1.00,
        IF(purpose="Remortgage",1.00,
            1.20)))</f>
        <v/>
      </c>
      <c r="L1889">
        <f>LET(
    arrears_months,'Loan Tape (S&amp;P)'!AN1889,
    IF(arrears_months=0,1.00,
    IF(arrears_months=1,3.00,
    IF(arrears_months=2,5.00,
    IF(arrears_months=3,8.00,
    IF(arrears_months=4,10.00,
    IF(arrears_months=5,12.00,15.00)))))))</f>
        <v/>
      </c>
      <c r="M1889">
        <f>LET(
    seasoning_years,DATEDIF('Loan Tape (S&amp;P)'!K1889,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89">
        <f>IF(AND('Loan Tape (S&amp;P)'!U1889="Yes",
        'Loan Tape (S&amp;P)'!T1889&lt;&gt;"Yes",
        DATEDIF('Loan Tape (S&amp;P)'!K1889, TODAY(), "M")&lt;18),
    1.10,
    1.00)</f>
        <v/>
      </c>
      <c r="O1889">
        <f>IF('Loan Tape (S&amp;P)'!T1889="Yes",
    1.35,
    1.00)</f>
        <v/>
      </c>
      <c r="P1889">
        <f>IF('Loan Tape (S&amp;P)'!S1889="Yes",
    1.15,
    1.00)</f>
        <v/>
      </c>
      <c r="Q1889">
        <f>IF('Loan Tape (S&amp;P)'!V1889="Yes",
    1.20,
    1.00)</f>
        <v/>
      </c>
      <c r="T1889">
        <f>LET(
    payment_method,'Loan Tape (S&amp;P)'!P1889,
    occupancy,'Loan Tape (S&amp;P)'!N1889,
    maturity_date,'Loan Tape (S&amp;P)'!L1889,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90">
      <c r="J1890">
        <f>LET(
    lien,'Loan Tape (S&amp;P)'!Q1890,
    IF(lien="First",1.00,
        IF(lien="Second",1.50,
            1.70)))</f>
        <v/>
      </c>
      <c r="K1890">
        <f>LET(
    purpose,'Loan Tape (S&amp;P)'!R1890,
    IF(purpose="Purchase",1.00,
        IF(purpose="Remortgage",1.00,
            1.20)))</f>
        <v/>
      </c>
      <c r="L1890">
        <f>LET(
    arrears_months,'Loan Tape (S&amp;P)'!AN1890,
    IF(arrears_months=0,1.00,
    IF(arrears_months=1,3.00,
    IF(arrears_months=2,5.00,
    IF(arrears_months=3,8.00,
    IF(arrears_months=4,10.00,
    IF(arrears_months=5,12.00,15.00)))))))</f>
        <v/>
      </c>
      <c r="M1890">
        <f>LET(
    seasoning_years,DATEDIF('Loan Tape (S&amp;P)'!K1890,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90">
        <f>IF(AND('Loan Tape (S&amp;P)'!U1890="Yes",
        'Loan Tape (S&amp;P)'!T1890&lt;&gt;"Yes",
        DATEDIF('Loan Tape (S&amp;P)'!K1890, TODAY(), "M")&lt;18),
    1.10,
    1.00)</f>
        <v/>
      </c>
      <c r="O1890">
        <f>IF('Loan Tape (S&amp;P)'!T1890="Yes",
    1.35,
    1.00)</f>
        <v/>
      </c>
      <c r="P1890">
        <f>IF('Loan Tape (S&amp;P)'!S1890="Yes",
    1.15,
    1.00)</f>
        <v/>
      </c>
      <c r="Q1890">
        <f>IF('Loan Tape (S&amp;P)'!V1890="Yes",
    1.20,
    1.00)</f>
        <v/>
      </c>
      <c r="T1890">
        <f>LET(
    payment_method,'Loan Tape (S&amp;P)'!P1890,
    occupancy,'Loan Tape (S&amp;P)'!N1890,
    maturity_date,'Loan Tape (S&amp;P)'!L1890,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91">
      <c r="J1891">
        <f>LET(
    lien,'Loan Tape (S&amp;P)'!Q1891,
    IF(lien="First",1.00,
        IF(lien="Second",1.50,
            1.70)))</f>
        <v/>
      </c>
      <c r="K1891">
        <f>LET(
    purpose,'Loan Tape (S&amp;P)'!R1891,
    IF(purpose="Purchase",1.00,
        IF(purpose="Remortgage",1.00,
            1.20)))</f>
        <v/>
      </c>
      <c r="L1891">
        <f>LET(
    arrears_months,'Loan Tape (S&amp;P)'!AN1891,
    IF(arrears_months=0,1.00,
    IF(arrears_months=1,3.00,
    IF(arrears_months=2,5.00,
    IF(arrears_months=3,8.00,
    IF(arrears_months=4,10.00,
    IF(arrears_months=5,12.00,15.00)))))))</f>
        <v/>
      </c>
      <c r="M1891">
        <f>LET(
    seasoning_years,DATEDIF('Loan Tape (S&amp;P)'!K1891,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91">
        <f>IF(AND('Loan Tape (S&amp;P)'!U1891="Yes",
        'Loan Tape (S&amp;P)'!T1891&lt;&gt;"Yes",
        DATEDIF('Loan Tape (S&amp;P)'!K1891, TODAY(), "M")&lt;18),
    1.10,
    1.00)</f>
        <v/>
      </c>
      <c r="O1891">
        <f>IF('Loan Tape (S&amp;P)'!T1891="Yes",
    1.35,
    1.00)</f>
        <v/>
      </c>
      <c r="P1891">
        <f>IF('Loan Tape (S&amp;P)'!S1891="Yes",
    1.15,
    1.00)</f>
        <v/>
      </c>
      <c r="Q1891">
        <f>IF('Loan Tape (S&amp;P)'!V1891="Yes",
    1.20,
    1.00)</f>
        <v/>
      </c>
      <c r="T1891">
        <f>LET(
    payment_method,'Loan Tape (S&amp;P)'!P1891,
    occupancy,'Loan Tape (S&amp;P)'!N1891,
    maturity_date,'Loan Tape (S&amp;P)'!L1891,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92">
      <c r="J1892">
        <f>LET(
    lien,'Loan Tape (S&amp;P)'!Q1892,
    IF(lien="First",1.00,
        IF(lien="Second",1.50,
            1.70)))</f>
        <v/>
      </c>
      <c r="K1892">
        <f>LET(
    purpose,'Loan Tape (S&amp;P)'!R1892,
    IF(purpose="Purchase",1.00,
        IF(purpose="Remortgage",1.00,
            1.20)))</f>
        <v/>
      </c>
      <c r="L1892">
        <f>LET(
    arrears_months,'Loan Tape (S&amp;P)'!AN1892,
    IF(arrears_months=0,1.00,
    IF(arrears_months=1,3.00,
    IF(arrears_months=2,5.00,
    IF(arrears_months=3,8.00,
    IF(arrears_months=4,10.00,
    IF(arrears_months=5,12.00,15.00)))))))</f>
        <v/>
      </c>
      <c r="M1892">
        <f>LET(
    seasoning_years,DATEDIF('Loan Tape (S&amp;P)'!K1892,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92">
        <f>IF(AND('Loan Tape (S&amp;P)'!U1892="Yes",
        'Loan Tape (S&amp;P)'!T1892&lt;&gt;"Yes",
        DATEDIF('Loan Tape (S&amp;P)'!K1892, TODAY(), "M")&lt;18),
    1.10,
    1.00)</f>
        <v/>
      </c>
      <c r="O1892">
        <f>IF('Loan Tape (S&amp;P)'!T1892="Yes",
    1.35,
    1.00)</f>
        <v/>
      </c>
      <c r="P1892">
        <f>IF('Loan Tape (S&amp;P)'!S1892="Yes",
    1.15,
    1.00)</f>
        <v/>
      </c>
      <c r="Q1892">
        <f>IF('Loan Tape (S&amp;P)'!V1892="Yes",
    1.20,
    1.00)</f>
        <v/>
      </c>
      <c r="T1892">
        <f>LET(
    payment_method,'Loan Tape (S&amp;P)'!P1892,
    occupancy,'Loan Tape (S&amp;P)'!N1892,
    maturity_date,'Loan Tape (S&amp;P)'!L1892,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93">
      <c r="J1893">
        <f>LET(
    lien,'Loan Tape (S&amp;P)'!Q1893,
    IF(lien="First",1.00,
        IF(lien="Second",1.50,
            1.70)))</f>
        <v/>
      </c>
      <c r="K1893">
        <f>LET(
    purpose,'Loan Tape (S&amp;P)'!R1893,
    IF(purpose="Purchase",1.00,
        IF(purpose="Remortgage",1.00,
            1.20)))</f>
        <v/>
      </c>
      <c r="L1893">
        <f>LET(
    arrears_months,'Loan Tape (S&amp;P)'!AN1893,
    IF(arrears_months=0,1.00,
    IF(arrears_months=1,3.00,
    IF(arrears_months=2,5.00,
    IF(arrears_months=3,8.00,
    IF(arrears_months=4,10.00,
    IF(arrears_months=5,12.00,15.00)))))))</f>
        <v/>
      </c>
      <c r="M1893">
        <f>LET(
    seasoning_years,DATEDIF('Loan Tape (S&amp;P)'!K1893,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93">
        <f>IF(AND('Loan Tape (S&amp;P)'!U1893="Yes",
        'Loan Tape (S&amp;P)'!T1893&lt;&gt;"Yes",
        DATEDIF('Loan Tape (S&amp;P)'!K1893, TODAY(), "M")&lt;18),
    1.10,
    1.00)</f>
        <v/>
      </c>
      <c r="O1893">
        <f>IF('Loan Tape (S&amp;P)'!T1893="Yes",
    1.35,
    1.00)</f>
        <v/>
      </c>
      <c r="P1893">
        <f>IF('Loan Tape (S&amp;P)'!S1893="Yes",
    1.15,
    1.00)</f>
        <v/>
      </c>
      <c r="Q1893">
        <f>IF('Loan Tape (S&amp;P)'!V1893="Yes",
    1.20,
    1.00)</f>
        <v/>
      </c>
      <c r="T1893">
        <f>LET(
    payment_method,'Loan Tape (S&amp;P)'!P1893,
    occupancy,'Loan Tape (S&amp;P)'!N1893,
    maturity_date,'Loan Tape (S&amp;P)'!L1893,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94">
      <c r="J1894">
        <f>LET(
    lien,'Loan Tape (S&amp;P)'!Q1894,
    IF(lien="First",1.00,
        IF(lien="Second",1.50,
            1.70)))</f>
        <v/>
      </c>
      <c r="K1894">
        <f>LET(
    purpose,'Loan Tape (S&amp;P)'!R1894,
    IF(purpose="Purchase",1.00,
        IF(purpose="Remortgage",1.00,
            1.20)))</f>
        <v/>
      </c>
      <c r="L1894">
        <f>LET(
    arrears_months,'Loan Tape (S&amp;P)'!AN1894,
    IF(arrears_months=0,1.00,
    IF(arrears_months=1,3.00,
    IF(arrears_months=2,5.00,
    IF(arrears_months=3,8.00,
    IF(arrears_months=4,10.00,
    IF(arrears_months=5,12.00,15.00)))))))</f>
        <v/>
      </c>
      <c r="M1894">
        <f>LET(
    seasoning_years,DATEDIF('Loan Tape (S&amp;P)'!K1894,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94">
        <f>IF(AND('Loan Tape (S&amp;P)'!U1894="Yes",
        'Loan Tape (S&amp;P)'!T1894&lt;&gt;"Yes",
        DATEDIF('Loan Tape (S&amp;P)'!K1894, TODAY(), "M")&lt;18),
    1.10,
    1.00)</f>
        <v/>
      </c>
      <c r="O1894">
        <f>IF('Loan Tape (S&amp;P)'!T1894="Yes",
    1.35,
    1.00)</f>
        <v/>
      </c>
      <c r="P1894">
        <f>IF('Loan Tape (S&amp;P)'!S1894="Yes",
    1.15,
    1.00)</f>
        <v/>
      </c>
      <c r="Q1894">
        <f>IF('Loan Tape (S&amp;P)'!V1894="Yes",
    1.20,
    1.00)</f>
        <v/>
      </c>
      <c r="T1894">
        <f>LET(
    payment_method,'Loan Tape (S&amp;P)'!P1894,
    occupancy,'Loan Tape (S&amp;P)'!N1894,
    maturity_date,'Loan Tape (S&amp;P)'!L1894,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95">
      <c r="J1895">
        <f>LET(
    lien,'Loan Tape (S&amp;P)'!Q1895,
    IF(lien="First",1.00,
        IF(lien="Second",1.50,
            1.70)))</f>
        <v/>
      </c>
      <c r="K1895">
        <f>LET(
    purpose,'Loan Tape (S&amp;P)'!R1895,
    IF(purpose="Purchase",1.00,
        IF(purpose="Remortgage",1.00,
            1.20)))</f>
        <v/>
      </c>
      <c r="L1895">
        <f>LET(
    arrears_months,'Loan Tape (S&amp;P)'!AN1895,
    IF(arrears_months=0,1.00,
    IF(arrears_months=1,3.00,
    IF(arrears_months=2,5.00,
    IF(arrears_months=3,8.00,
    IF(arrears_months=4,10.00,
    IF(arrears_months=5,12.00,15.00)))))))</f>
        <v/>
      </c>
      <c r="M1895">
        <f>LET(
    seasoning_years,DATEDIF('Loan Tape (S&amp;P)'!K1895,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95">
        <f>IF(AND('Loan Tape (S&amp;P)'!U1895="Yes",
        'Loan Tape (S&amp;P)'!T1895&lt;&gt;"Yes",
        DATEDIF('Loan Tape (S&amp;P)'!K1895, TODAY(), "M")&lt;18),
    1.10,
    1.00)</f>
        <v/>
      </c>
      <c r="O1895">
        <f>IF('Loan Tape (S&amp;P)'!T1895="Yes",
    1.35,
    1.00)</f>
        <v/>
      </c>
      <c r="P1895">
        <f>IF('Loan Tape (S&amp;P)'!S1895="Yes",
    1.15,
    1.00)</f>
        <v/>
      </c>
      <c r="Q1895">
        <f>IF('Loan Tape (S&amp;P)'!V1895="Yes",
    1.20,
    1.00)</f>
        <v/>
      </c>
      <c r="T1895">
        <f>LET(
    payment_method,'Loan Tape (S&amp;P)'!P1895,
    occupancy,'Loan Tape (S&amp;P)'!N1895,
    maturity_date,'Loan Tape (S&amp;P)'!L1895,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96">
      <c r="J1896">
        <f>LET(
    lien,'Loan Tape (S&amp;P)'!Q1896,
    IF(lien="First",1.00,
        IF(lien="Second",1.50,
            1.70)))</f>
        <v/>
      </c>
      <c r="K1896">
        <f>LET(
    purpose,'Loan Tape (S&amp;P)'!R1896,
    IF(purpose="Purchase",1.00,
        IF(purpose="Remortgage",1.00,
            1.20)))</f>
        <v/>
      </c>
      <c r="L1896">
        <f>LET(
    arrears_months,'Loan Tape (S&amp;P)'!AN1896,
    IF(arrears_months=0,1.00,
    IF(arrears_months=1,3.00,
    IF(arrears_months=2,5.00,
    IF(arrears_months=3,8.00,
    IF(arrears_months=4,10.00,
    IF(arrears_months=5,12.00,15.00)))))))</f>
        <v/>
      </c>
      <c r="M1896">
        <f>LET(
    seasoning_years,DATEDIF('Loan Tape (S&amp;P)'!K1896,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96">
        <f>IF(AND('Loan Tape (S&amp;P)'!U1896="Yes",
        'Loan Tape (S&amp;P)'!T1896&lt;&gt;"Yes",
        DATEDIF('Loan Tape (S&amp;P)'!K1896, TODAY(), "M")&lt;18),
    1.10,
    1.00)</f>
        <v/>
      </c>
      <c r="O1896">
        <f>IF('Loan Tape (S&amp;P)'!T1896="Yes",
    1.35,
    1.00)</f>
        <v/>
      </c>
      <c r="P1896">
        <f>IF('Loan Tape (S&amp;P)'!S1896="Yes",
    1.15,
    1.00)</f>
        <v/>
      </c>
      <c r="Q1896">
        <f>IF('Loan Tape (S&amp;P)'!V1896="Yes",
    1.20,
    1.00)</f>
        <v/>
      </c>
      <c r="T1896">
        <f>LET(
    payment_method,'Loan Tape (S&amp;P)'!P1896,
    occupancy,'Loan Tape (S&amp;P)'!N1896,
    maturity_date,'Loan Tape (S&amp;P)'!L1896,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97">
      <c r="J1897">
        <f>LET(
    lien,'Loan Tape (S&amp;P)'!Q1897,
    IF(lien="First",1.00,
        IF(lien="Second",1.50,
            1.70)))</f>
        <v/>
      </c>
      <c r="K1897">
        <f>LET(
    purpose,'Loan Tape (S&amp;P)'!R1897,
    IF(purpose="Purchase",1.00,
        IF(purpose="Remortgage",1.00,
            1.20)))</f>
        <v/>
      </c>
      <c r="L1897">
        <f>LET(
    arrears_months,'Loan Tape (S&amp;P)'!AN1897,
    IF(arrears_months=0,1.00,
    IF(arrears_months=1,3.00,
    IF(arrears_months=2,5.00,
    IF(arrears_months=3,8.00,
    IF(arrears_months=4,10.00,
    IF(arrears_months=5,12.00,15.00)))))))</f>
        <v/>
      </c>
      <c r="M1897">
        <f>LET(
    seasoning_years,DATEDIF('Loan Tape (S&amp;P)'!K1897,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97">
        <f>IF(AND('Loan Tape (S&amp;P)'!U1897="Yes",
        'Loan Tape (S&amp;P)'!T1897&lt;&gt;"Yes",
        DATEDIF('Loan Tape (S&amp;P)'!K1897, TODAY(), "M")&lt;18),
    1.10,
    1.00)</f>
        <v/>
      </c>
      <c r="O1897">
        <f>IF('Loan Tape (S&amp;P)'!T1897="Yes",
    1.35,
    1.00)</f>
        <v/>
      </c>
      <c r="P1897">
        <f>IF('Loan Tape (S&amp;P)'!S1897="Yes",
    1.15,
    1.00)</f>
        <v/>
      </c>
      <c r="Q1897">
        <f>IF('Loan Tape (S&amp;P)'!V1897="Yes",
    1.20,
    1.00)</f>
        <v/>
      </c>
      <c r="T1897">
        <f>LET(
    payment_method,'Loan Tape (S&amp;P)'!P1897,
    occupancy,'Loan Tape (S&amp;P)'!N1897,
    maturity_date,'Loan Tape (S&amp;P)'!L1897,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98">
      <c r="J1898">
        <f>LET(
    lien,'Loan Tape (S&amp;P)'!Q1898,
    IF(lien="First",1.00,
        IF(lien="Second",1.50,
            1.70)))</f>
        <v/>
      </c>
      <c r="K1898">
        <f>LET(
    purpose,'Loan Tape (S&amp;P)'!R1898,
    IF(purpose="Purchase",1.00,
        IF(purpose="Remortgage",1.00,
            1.20)))</f>
        <v/>
      </c>
      <c r="L1898">
        <f>LET(
    arrears_months,'Loan Tape (S&amp;P)'!AN1898,
    IF(arrears_months=0,1.00,
    IF(arrears_months=1,3.00,
    IF(arrears_months=2,5.00,
    IF(arrears_months=3,8.00,
    IF(arrears_months=4,10.00,
    IF(arrears_months=5,12.00,15.00)))))))</f>
        <v/>
      </c>
      <c r="M1898">
        <f>LET(
    seasoning_years,DATEDIF('Loan Tape (S&amp;P)'!K1898,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98">
        <f>IF(AND('Loan Tape (S&amp;P)'!U1898="Yes",
        'Loan Tape (S&amp;P)'!T1898&lt;&gt;"Yes",
        DATEDIF('Loan Tape (S&amp;P)'!K1898, TODAY(), "M")&lt;18),
    1.10,
    1.00)</f>
        <v/>
      </c>
      <c r="O1898">
        <f>IF('Loan Tape (S&amp;P)'!T1898="Yes",
    1.35,
    1.00)</f>
        <v/>
      </c>
      <c r="P1898">
        <f>IF('Loan Tape (S&amp;P)'!S1898="Yes",
    1.15,
    1.00)</f>
        <v/>
      </c>
      <c r="Q1898">
        <f>IF('Loan Tape (S&amp;P)'!V1898="Yes",
    1.20,
    1.00)</f>
        <v/>
      </c>
      <c r="T1898">
        <f>LET(
    payment_method,'Loan Tape (S&amp;P)'!P1898,
    occupancy,'Loan Tape (S&amp;P)'!N1898,
    maturity_date,'Loan Tape (S&amp;P)'!L1898,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899">
      <c r="J1899">
        <f>LET(
    lien,'Loan Tape (S&amp;P)'!Q1899,
    IF(lien="First",1.00,
        IF(lien="Second",1.50,
            1.70)))</f>
        <v/>
      </c>
      <c r="K1899">
        <f>LET(
    purpose,'Loan Tape (S&amp;P)'!R1899,
    IF(purpose="Purchase",1.00,
        IF(purpose="Remortgage",1.00,
            1.20)))</f>
        <v/>
      </c>
      <c r="L1899">
        <f>LET(
    arrears_months,'Loan Tape (S&amp;P)'!AN1899,
    IF(arrears_months=0,1.00,
    IF(arrears_months=1,3.00,
    IF(arrears_months=2,5.00,
    IF(arrears_months=3,8.00,
    IF(arrears_months=4,10.00,
    IF(arrears_months=5,12.00,15.00)))))))</f>
        <v/>
      </c>
      <c r="M1899">
        <f>LET(
    seasoning_years,DATEDIF('Loan Tape (S&amp;P)'!K1899,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899">
        <f>IF(AND('Loan Tape (S&amp;P)'!U1899="Yes",
        'Loan Tape (S&amp;P)'!T1899&lt;&gt;"Yes",
        DATEDIF('Loan Tape (S&amp;P)'!K1899, TODAY(), "M")&lt;18),
    1.10,
    1.00)</f>
        <v/>
      </c>
      <c r="O1899">
        <f>IF('Loan Tape (S&amp;P)'!T1899="Yes",
    1.35,
    1.00)</f>
        <v/>
      </c>
      <c r="P1899">
        <f>IF('Loan Tape (S&amp;P)'!S1899="Yes",
    1.15,
    1.00)</f>
        <v/>
      </c>
      <c r="Q1899">
        <f>IF('Loan Tape (S&amp;P)'!V1899="Yes",
    1.20,
    1.00)</f>
        <v/>
      </c>
      <c r="T1899">
        <f>LET(
    payment_method,'Loan Tape (S&amp;P)'!P1899,
    occupancy,'Loan Tape (S&amp;P)'!N1899,
    maturity_date,'Loan Tape (S&amp;P)'!L1899,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00">
      <c r="J1900">
        <f>LET(
    lien,'Loan Tape (S&amp;P)'!Q1900,
    IF(lien="First",1.00,
        IF(lien="Second",1.50,
            1.70)))</f>
        <v/>
      </c>
      <c r="K1900">
        <f>LET(
    purpose,'Loan Tape (S&amp;P)'!R1900,
    IF(purpose="Purchase",1.00,
        IF(purpose="Remortgage",1.00,
            1.20)))</f>
        <v/>
      </c>
      <c r="L1900">
        <f>LET(
    arrears_months,'Loan Tape (S&amp;P)'!AN1900,
    IF(arrears_months=0,1.00,
    IF(arrears_months=1,3.00,
    IF(arrears_months=2,5.00,
    IF(arrears_months=3,8.00,
    IF(arrears_months=4,10.00,
    IF(arrears_months=5,12.00,15.00)))))))</f>
        <v/>
      </c>
      <c r="M1900">
        <f>LET(
    seasoning_years,DATEDIF('Loan Tape (S&amp;P)'!K1900,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00">
        <f>IF(AND('Loan Tape (S&amp;P)'!U1900="Yes",
        'Loan Tape (S&amp;P)'!T1900&lt;&gt;"Yes",
        DATEDIF('Loan Tape (S&amp;P)'!K1900, TODAY(), "M")&lt;18),
    1.10,
    1.00)</f>
        <v/>
      </c>
      <c r="O1900">
        <f>IF('Loan Tape (S&amp;P)'!T1900="Yes",
    1.35,
    1.00)</f>
        <v/>
      </c>
      <c r="P1900">
        <f>IF('Loan Tape (S&amp;P)'!S1900="Yes",
    1.15,
    1.00)</f>
        <v/>
      </c>
      <c r="Q1900">
        <f>IF('Loan Tape (S&amp;P)'!V1900="Yes",
    1.20,
    1.00)</f>
        <v/>
      </c>
      <c r="T1900">
        <f>LET(
    payment_method,'Loan Tape (S&amp;P)'!P1900,
    occupancy,'Loan Tape (S&amp;P)'!N1900,
    maturity_date,'Loan Tape (S&amp;P)'!L1900,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01">
      <c r="J1901">
        <f>LET(
    lien,'Loan Tape (S&amp;P)'!Q1901,
    IF(lien="First",1.00,
        IF(lien="Second",1.50,
            1.70)))</f>
        <v/>
      </c>
      <c r="K1901">
        <f>LET(
    purpose,'Loan Tape (S&amp;P)'!R1901,
    IF(purpose="Purchase",1.00,
        IF(purpose="Remortgage",1.00,
            1.20)))</f>
        <v/>
      </c>
      <c r="L1901">
        <f>LET(
    arrears_months,'Loan Tape (S&amp;P)'!AN1901,
    IF(arrears_months=0,1.00,
    IF(arrears_months=1,3.00,
    IF(arrears_months=2,5.00,
    IF(arrears_months=3,8.00,
    IF(arrears_months=4,10.00,
    IF(arrears_months=5,12.00,15.00)))))))</f>
        <v/>
      </c>
      <c r="M1901">
        <f>LET(
    seasoning_years,DATEDIF('Loan Tape (S&amp;P)'!K1901,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01">
        <f>IF(AND('Loan Tape (S&amp;P)'!U1901="Yes",
        'Loan Tape (S&amp;P)'!T1901&lt;&gt;"Yes",
        DATEDIF('Loan Tape (S&amp;P)'!K1901, TODAY(), "M")&lt;18),
    1.10,
    1.00)</f>
        <v/>
      </c>
      <c r="O1901">
        <f>IF('Loan Tape (S&amp;P)'!T1901="Yes",
    1.35,
    1.00)</f>
        <v/>
      </c>
      <c r="P1901">
        <f>IF('Loan Tape (S&amp;P)'!S1901="Yes",
    1.15,
    1.00)</f>
        <v/>
      </c>
      <c r="Q1901">
        <f>IF('Loan Tape (S&amp;P)'!V1901="Yes",
    1.20,
    1.00)</f>
        <v/>
      </c>
      <c r="T1901">
        <f>LET(
    payment_method,'Loan Tape (S&amp;P)'!P1901,
    occupancy,'Loan Tape (S&amp;P)'!N1901,
    maturity_date,'Loan Tape (S&amp;P)'!L1901,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02">
      <c r="J1902">
        <f>LET(
    lien,'Loan Tape (S&amp;P)'!Q1902,
    IF(lien="First",1.00,
        IF(lien="Second",1.50,
            1.70)))</f>
        <v/>
      </c>
      <c r="K1902">
        <f>LET(
    purpose,'Loan Tape (S&amp;P)'!R1902,
    IF(purpose="Purchase",1.00,
        IF(purpose="Remortgage",1.00,
            1.20)))</f>
        <v/>
      </c>
      <c r="L1902">
        <f>LET(
    arrears_months,'Loan Tape (S&amp;P)'!AN1902,
    IF(arrears_months=0,1.00,
    IF(arrears_months=1,3.00,
    IF(arrears_months=2,5.00,
    IF(arrears_months=3,8.00,
    IF(arrears_months=4,10.00,
    IF(arrears_months=5,12.00,15.00)))))))</f>
        <v/>
      </c>
      <c r="M1902">
        <f>LET(
    seasoning_years,DATEDIF('Loan Tape (S&amp;P)'!K1902,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02">
        <f>IF(AND('Loan Tape (S&amp;P)'!U1902="Yes",
        'Loan Tape (S&amp;P)'!T1902&lt;&gt;"Yes",
        DATEDIF('Loan Tape (S&amp;P)'!K1902, TODAY(), "M")&lt;18),
    1.10,
    1.00)</f>
        <v/>
      </c>
      <c r="O1902">
        <f>IF('Loan Tape (S&amp;P)'!T1902="Yes",
    1.35,
    1.00)</f>
        <v/>
      </c>
      <c r="P1902">
        <f>IF('Loan Tape (S&amp;P)'!S1902="Yes",
    1.15,
    1.00)</f>
        <v/>
      </c>
      <c r="Q1902">
        <f>IF('Loan Tape (S&amp;P)'!V1902="Yes",
    1.20,
    1.00)</f>
        <v/>
      </c>
      <c r="T1902">
        <f>LET(
    payment_method,'Loan Tape (S&amp;P)'!P1902,
    occupancy,'Loan Tape (S&amp;P)'!N1902,
    maturity_date,'Loan Tape (S&amp;P)'!L1902,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03">
      <c r="J1903">
        <f>LET(
    lien,'Loan Tape (S&amp;P)'!Q1903,
    IF(lien="First",1.00,
        IF(lien="Second",1.50,
            1.70)))</f>
        <v/>
      </c>
      <c r="K1903">
        <f>LET(
    purpose,'Loan Tape (S&amp;P)'!R1903,
    IF(purpose="Purchase",1.00,
        IF(purpose="Remortgage",1.00,
            1.20)))</f>
        <v/>
      </c>
      <c r="L1903">
        <f>LET(
    arrears_months,'Loan Tape (S&amp;P)'!AN1903,
    IF(arrears_months=0,1.00,
    IF(arrears_months=1,3.00,
    IF(arrears_months=2,5.00,
    IF(arrears_months=3,8.00,
    IF(arrears_months=4,10.00,
    IF(arrears_months=5,12.00,15.00)))))))</f>
        <v/>
      </c>
      <c r="M1903">
        <f>LET(
    seasoning_years,DATEDIF('Loan Tape (S&amp;P)'!K1903,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03">
        <f>IF(AND('Loan Tape (S&amp;P)'!U1903="Yes",
        'Loan Tape (S&amp;P)'!T1903&lt;&gt;"Yes",
        DATEDIF('Loan Tape (S&amp;P)'!K1903, TODAY(), "M")&lt;18),
    1.10,
    1.00)</f>
        <v/>
      </c>
      <c r="O1903">
        <f>IF('Loan Tape (S&amp;P)'!T1903="Yes",
    1.35,
    1.00)</f>
        <v/>
      </c>
      <c r="P1903">
        <f>IF('Loan Tape (S&amp;P)'!S1903="Yes",
    1.15,
    1.00)</f>
        <v/>
      </c>
      <c r="Q1903">
        <f>IF('Loan Tape (S&amp;P)'!V1903="Yes",
    1.20,
    1.00)</f>
        <v/>
      </c>
      <c r="T1903">
        <f>LET(
    payment_method,'Loan Tape (S&amp;P)'!P1903,
    occupancy,'Loan Tape (S&amp;P)'!N1903,
    maturity_date,'Loan Tape (S&amp;P)'!L1903,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04">
      <c r="J1904">
        <f>LET(
    lien,'Loan Tape (S&amp;P)'!Q1904,
    IF(lien="First",1.00,
        IF(lien="Second",1.50,
            1.70)))</f>
        <v/>
      </c>
      <c r="K1904">
        <f>LET(
    purpose,'Loan Tape (S&amp;P)'!R1904,
    IF(purpose="Purchase",1.00,
        IF(purpose="Remortgage",1.00,
            1.20)))</f>
        <v/>
      </c>
      <c r="L1904">
        <f>LET(
    arrears_months,'Loan Tape (S&amp;P)'!AN1904,
    IF(arrears_months=0,1.00,
    IF(arrears_months=1,3.00,
    IF(arrears_months=2,5.00,
    IF(arrears_months=3,8.00,
    IF(arrears_months=4,10.00,
    IF(arrears_months=5,12.00,15.00)))))))</f>
        <v/>
      </c>
      <c r="M1904">
        <f>LET(
    seasoning_years,DATEDIF('Loan Tape (S&amp;P)'!K1904,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04">
        <f>IF(AND('Loan Tape (S&amp;P)'!U1904="Yes",
        'Loan Tape (S&amp;P)'!T1904&lt;&gt;"Yes",
        DATEDIF('Loan Tape (S&amp;P)'!K1904, TODAY(), "M")&lt;18),
    1.10,
    1.00)</f>
        <v/>
      </c>
      <c r="O1904">
        <f>IF('Loan Tape (S&amp;P)'!T1904="Yes",
    1.35,
    1.00)</f>
        <v/>
      </c>
      <c r="P1904">
        <f>IF('Loan Tape (S&amp;P)'!S1904="Yes",
    1.15,
    1.00)</f>
        <v/>
      </c>
      <c r="Q1904">
        <f>IF('Loan Tape (S&amp;P)'!V1904="Yes",
    1.20,
    1.00)</f>
        <v/>
      </c>
      <c r="T1904">
        <f>LET(
    payment_method,'Loan Tape (S&amp;P)'!P1904,
    occupancy,'Loan Tape (S&amp;P)'!N1904,
    maturity_date,'Loan Tape (S&amp;P)'!L1904,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05">
      <c r="J1905">
        <f>LET(
    lien,'Loan Tape (S&amp;P)'!Q1905,
    IF(lien="First",1.00,
        IF(lien="Second",1.50,
            1.70)))</f>
        <v/>
      </c>
      <c r="K1905">
        <f>LET(
    purpose,'Loan Tape (S&amp;P)'!R1905,
    IF(purpose="Purchase",1.00,
        IF(purpose="Remortgage",1.00,
            1.20)))</f>
        <v/>
      </c>
      <c r="L1905">
        <f>LET(
    arrears_months,'Loan Tape (S&amp;P)'!AN1905,
    IF(arrears_months=0,1.00,
    IF(arrears_months=1,3.00,
    IF(arrears_months=2,5.00,
    IF(arrears_months=3,8.00,
    IF(arrears_months=4,10.00,
    IF(arrears_months=5,12.00,15.00)))))))</f>
        <v/>
      </c>
      <c r="M1905">
        <f>LET(
    seasoning_years,DATEDIF('Loan Tape (S&amp;P)'!K1905,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05">
        <f>IF(AND('Loan Tape (S&amp;P)'!U1905="Yes",
        'Loan Tape (S&amp;P)'!T1905&lt;&gt;"Yes",
        DATEDIF('Loan Tape (S&amp;P)'!K1905, TODAY(), "M")&lt;18),
    1.10,
    1.00)</f>
        <v/>
      </c>
      <c r="O1905">
        <f>IF('Loan Tape (S&amp;P)'!T1905="Yes",
    1.35,
    1.00)</f>
        <v/>
      </c>
      <c r="P1905">
        <f>IF('Loan Tape (S&amp;P)'!S1905="Yes",
    1.15,
    1.00)</f>
        <v/>
      </c>
      <c r="Q1905">
        <f>IF('Loan Tape (S&amp;P)'!V1905="Yes",
    1.20,
    1.00)</f>
        <v/>
      </c>
      <c r="T1905">
        <f>LET(
    payment_method,'Loan Tape (S&amp;P)'!P1905,
    occupancy,'Loan Tape (S&amp;P)'!N1905,
    maturity_date,'Loan Tape (S&amp;P)'!L1905,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06">
      <c r="J1906">
        <f>LET(
    lien,'Loan Tape (S&amp;P)'!Q1906,
    IF(lien="First",1.00,
        IF(lien="Second",1.50,
            1.70)))</f>
        <v/>
      </c>
      <c r="K1906">
        <f>LET(
    purpose,'Loan Tape (S&amp;P)'!R1906,
    IF(purpose="Purchase",1.00,
        IF(purpose="Remortgage",1.00,
            1.20)))</f>
        <v/>
      </c>
      <c r="L1906">
        <f>LET(
    arrears_months,'Loan Tape (S&amp;P)'!AN1906,
    IF(arrears_months=0,1.00,
    IF(arrears_months=1,3.00,
    IF(arrears_months=2,5.00,
    IF(arrears_months=3,8.00,
    IF(arrears_months=4,10.00,
    IF(arrears_months=5,12.00,15.00)))))))</f>
        <v/>
      </c>
      <c r="M1906">
        <f>LET(
    seasoning_years,DATEDIF('Loan Tape (S&amp;P)'!K1906,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06">
        <f>IF(AND('Loan Tape (S&amp;P)'!U1906="Yes",
        'Loan Tape (S&amp;P)'!T1906&lt;&gt;"Yes",
        DATEDIF('Loan Tape (S&amp;P)'!K1906, TODAY(), "M")&lt;18),
    1.10,
    1.00)</f>
        <v/>
      </c>
      <c r="O1906">
        <f>IF('Loan Tape (S&amp;P)'!T1906="Yes",
    1.35,
    1.00)</f>
        <v/>
      </c>
      <c r="P1906">
        <f>IF('Loan Tape (S&amp;P)'!S1906="Yes",
    1.15,
    1.00)</f>
        <v/>
      </c>
      <c r="Q1906">
        <f>IF('Loan Tape (S&amp;P)'!V1906="Yes",
    1.20,
    1.00)</f>
        <v/>
      </c>
      <c r="T1906">
        <f>LET(
    payment_method,'Loan Tape (S&amp;P)'!P1906,
    occupancy,'Loan Tape (S&amp;P)'!N1906,
    maturity_date,'Loan Tape (S&amp;P)'!L1906,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07">
      <c r="J1907">
        <f>LET(
    lien,'Loan Tape (S&amp;P)'!Q1907,
    IF(lien="First",1.00,
        IF(lien="Second",1.50,
            1.70)))</f>
        <v/>
      </c>
      <c r="K1907">
        <f>LET(
    purpose,'Loan Tape (S&amp;P)'!R1907,
    IF(purpose="Purchase",1.00,
        IF(purpose="Remortgage",1.00,
            1.20)))</f>
        <v/>
      </c>
      <c r="L1907">
        <f>LET(
    arrears_months,'Loan Tape (S&amp;P)'!AN1907,
    IF(arrears_months=0,1.00,
    IF(arrears_months=1,3.00,
    IF(arrears_months=2,5.00,
    IF(arrears_months=3,8.00,
    IF(arrears_months=4,10.00,
    IF(arrears_months=5,12.00,15.00)))))))</f>
        <v/>
      </c>
      <c r="M1907">
        <f>LET(
    seasoning_years,DATEDIF('Loan Tape (S&amp;P)'!K1907,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07">
        <f>IF(AND('Loan Tape (S&amp;P)'!U1907="Yes",
        'Loan Tape (S&amp;P)'!T1907&lt;&gt;"Yes",
        DATEDIF('Loan Tape (S&amp;P)'!K1907, TODAY(), "M")&lt;18),
    1.10,
    1.00)</f>
        <v/>
      </c>
      <c r="O1907">
        <f>IF('Loan Tape (S&amp;P)'!T1907="Yes",
    1.35,
    1.00)</f>
        <v/>
      </c>
      <c r="P1907">
        <f>IF('Loan Tape (S&amp;P)'!S1907="Yes",
    1.15,
    1.00)</f>
        <v/>
      </c>
      <c r="Q1907">
        <f>IF('Loan Tape (S&amp;P)'!V1907="Yes",
    1.20,
    1.00)</f>
        <v/>
      </c>
      <c r="T1907">
        <f>LET(
    payment_method,'Loan Tape (S&amp;P)'!P1907,
    occupancy,'Loan Tape (S&amp;P)'!N1907,
    maturity_date,'Loan Tape (S&amp;P)'!L1907,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08">
      <c r="J1908">
        <f>LET(
    lien,'Loan Tape (S&amp;P)'!Q1908,
    IF(lien="First",1.00,
        IF(lien="Second",1.50,
            1.70)))</f>
        <v/>
      </c>
      <c r="K1908">
        <f>LET(
    purpose,'Loan Tape (S&amp;P)'!R1908,
    IF(purpose="Purchase",1.00,
        IF(purpose="Remortgage",1.00,
            1.20)))</f>
        <v/>
      </c>
      <c r="L1908">
        <f>LET(
    arrears_months,'Loan Tape (S&amp;P)'!AN1908,
    IF(arrears_months=0,1.00,
    IF(arrears_months=1,3.00,
    IF(arrears_months=2,5.00,
    IF(arrears_months=3,8.00,
    IF(arrears_months=4,10.00,
    IF(arrears_months=5,12.00,15.00)))))))</f>
        <v/>
      </c>
      <c r="M1908">
        <f>LET(
    seasoning_years,DATEDIF('Loan Tape (S&amp;P)'!K1908,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08">
        <f>IF(AND('Loan Tape (S&amp;P)'!U1908="Yes",
        'Loan Tape (S&amp;P)'!T1908&lt;&gt;"Yes",
        DATEDIF('Loan Tape (S&amp;P)'!K1908, TODAY(), "M")&lt;18),
    1.10,
    1.00)</f>
        <v/>
      </c>
      <c r="O1908">
        <f>IF('Loan Tape (S&amp;P)'!T1908="Yes",
    1.35,
    1.00)</f>
        <v/>
      </c>
      <c r="P1908">
        <f>IF('Loan Tape (S&amp;P)'!S1908="Yes",
    1.15,
    1.00)</f>
        <v/>
      </c>
      <c r="Q1908">
        <f>IF('Loan Tape (S&amp;P)'!V1908="Yes",
    1.20,
    1.00)</f>
        <v/>
      </c>
      <c r="T1908">
        <f>LET(
    payment_method,'Loan Tape (S&amp;P)'!P1908,
    occupancy,'Loan Tape (S&amp;P)'!N1908,
    maturity_date,'Loan Tape (S&amp;P)'!L1908,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09">
      <c r="J1909">
        <f>LET(
    lien,'Loan Tape (S&amp;P)'!Q1909,
    IF(lien="First",1.00,
        IF(lien="Second",1.50,
            1.70)))</f>
        <v/>
      </c>
      <c r="K1909">
        <f>LET(
    purpose,'Loan Tape (S&amp;P)'!R1909,
    IF(purpose="Purchase",1.00,
        IF(purpose="Remortgage",1.00,
            1.20)))</f>
        <v/>
      </c>
      <c r="L1909">
        <f>LET(
    arrears_months,'Loan Tape (S&amp;P)'!AN1909,
    IF(arrears_months=0,1.00,
    IF(arrears_months=1,3.00,
    IF(arrears_months=2,5.00,
    IF(arrears_months=3,8.00,
    IF(arrears_months=4,10.00,
    IF(arrears_months=5,12.00,15.00)))))))</f>
        <v/>
      </c>
      <c r="M1909">
        <f>LET(
    seasoning_years,DATEDIF('Loan Tape (S&amp;P)'!K1909,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09">
        <f>IF(AND('Loan Tape (S&amp;P)'!U1909="Yes",
        'Loan Tape (S&amp;P)'!T1909&lt;&gt;"Yes",
        DATEDIF('Loan Tape (S&amp;P)'!K1909, TODAY(), "M")&lt;18),
    1.10,
    1.00)</f>
        <v/>
      </c>
      <c r="O1909">
        <f>IF('Loan Tape (S&amp;P)'!T1909="Yes",
    1.35,
    1.00)</f>
        <v/>
      </c>
      <c r="P1909">
        <f>IF('Loan Tape (S&amp;P)'!S1909="Yes",
    1.15,
    1.00)</f>
        <v/>
      </c>
      <c r="Q1909">
        <f>IF('Loan Tape (S&amp;P)'!V1909="Yes",
    1.20,
    1.00)</f>
        <v/>
      </c>
      <c r="T1909">
        <f>LET(
    payment_method,'Loan Tape (S&amp;P)'!P1909,
    occupancy,'Loan Tape (S&amp;P)'!N1909,
    maturity_date,'Loan Tape (S&amp;P)'!L1909,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10">
      <c r="J1910">
        <f>LET(
    lien,'Loan Tape (S&amp;P)'!Q1910,
    IF(lien="First",1.00,
        IF(lien="Second",1.50,
            1.70)))</f>
        <v/>
      </c>
      <c r="K1910">
        <f>LET(
    purpose,'Loan Tape (S&amp;P)'!R1910,
    IF(purpose="Purchase",1.00,
        IF(purpose="Remortgage",1.00,
            1.20)))</f>
        <v/>
      </c>
      <c r="L1910">
        <f>LET(
    arrears_months,'Loan Tape (S&amp;P)'!AN1910,
    IF(arrears_months=0,1.00,
    IF(arrears_months=1,3.00,
    IF(arrears_months=2,5.00,
    IF(arrears_months=3,8.00,
    IF(arrears_months=4,10.00,
    IF(arrears_months=5,12.00,15.00)))))))</f>
        <v/>
      </c>
      <c r="M1910">
        <f>LET(
    seasoning_years,DATEDIF('Loan Tape (S&amp;P)'!K1910,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10">
        <f>IF(AND('Loan Tape (S&amp;P)'!U1910="Yes",
        'Loan Tape (S&amp;P)'!T1910&lt;&gt;"Yes",
        DATEDIF('Loan Tape (S&amp;P)'!K1910, TODAY(), "M")&lt;18),
    1.10,
    1.00)</f>
        <v/>
      </c>
      <c r="O1910">
        <f>IF('Loan Tape (S&amp;P)'!T1910="Yes",
    1.35,
    1.00)</f>
        <v/>
      </c>
      <c r="P1910">
        <f>IF('Loan Tape (S&amp;P)'!S1910="Yes",
    1.15,
    1.00)</f>
        <v/>
      </c>
      <c r="Q1910">
        <f>IF('Loan Tape (S&amp;P)'!V1910="Yes",
    1.20,
    1.00)</f>
        <v/>
      </c>
      <c r="T1910">
        <f>LET(
    payment_method,'Loan Tape (S&amp;P)'!P1910,
    occupancy,'Loan Tape (S&amp;P)'!N1910,
    maturity_date,'Loan Tape (S&amp;P)'!L1910,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11">
      <c r="J1911">
        <f>LET(
    lien,'Loan Tape (S&amp;P)'!Q1911,
    IF(lien="First",1.00,
        IF(lien="Second",1.50,
            1.70)))</f>
        <v/>
      </c>
      <c r="K1911">
        <f>LET(
    purpose,'Loan Tape (S&amp;P)'!R1911,
    IF(purpose="Purchase",1.00,
        IF(purpose="Remortgage",1.00,
            1.20)))</f>
        <v/>
      </c>
      <c r="L1911">
        <f>LET(
    arrears_months,'Loan Tape (S&amp;P)'!AN1911,
    IF(arrears_months=0,1.00,
    IF(arrears_months=1,3.00,
    IF(arrears_months=2,5.00,
    IF(arrears_months=3,8.00,
    IF(arrears_months=4,10.00,
    IF(arrears_months=5,12.00,15.00)))))))</f>
        <v/>
      </c>
      <c r="M1911">
        <f>LET(
    seasoning_years,DATEDIF('Loan Tape (S&amp;P)'!K1911,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11">
        <f>IF(AND('Loan Tape (S&amp;P)'!U1911="Yes",
        'Loan Tape (S&amp;P)'!T1911&lt;&gt;"Yes",
        DATEDIF('Loan Tape (S&amp;P)'!K1911, TODAY(), "M")&lt;18),
    1.10,
    1.00)</f>
        <v/>
      </c>
      <c r="O1911">
        <f>IF('Loan Tape (S&amp;P)'!T1911="Yes",
    1.35,
    1.00)</f>
        <v/>
      </c>
      <c r="P1911">
        <f>IF('Loan Tape (S&amp;P)'!S1911="Yes",
    1.15,
    1.00)</f>
        <v/>
      </c>
      <c r="Q1911">
        <f>IF('Loan Tape (S&amp;P)'!V1911="Yes",
    1.20,
    1.00)</f>
        <v/>
      </c>
      <c r="T1911">
        <f>LET(
    payment_method,'Loan Tape (S&amp;P)'!P1911,
    occupancy,'Loan Tape (S&amp;P)'!N1911,
    maturity_date,'Loan Tape (S&amp;P)'!L1911,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12">
      <c r="J1912">
        <f>LET(
    lien,'Loan Tape (S&amp;P)'!Q1912,
    IF(lien="First",1.00,
        IF(lien="Second",1.50,
            1.70)))</f>
        <v/>
      </c>
      <c r="K1912">
        <f>LET(
    purpose,'Loan Tape (S&amp;P)'!R1912,
    IF(purpose="Purchase",1.00,
        IF(purpose="Remortgage",1.00,
            1.20)))</f>
        <v/>
      </c>
      <c r="L1912">
        <f>LET(
    arrears_months,'Loan Tape (S&amp;P)'!AN1912,
    IF(arrears_months=0,1.00,
    IF(arrears_months=1,3.00,
    IF(arrears_months=2,5.00,
    IF(arrears_months=3,8.00,
    IF(arrears_months=4,10.00,
    IF(arrears_months=5,12.00,15.00)))))))</f>
        <v/>
      </c>
      <c r="M1912">
        <f>LET(
    seasoning_years,DATEDIF('Loan Tape (S&amp;P)'!K1912,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12">
        <f>IF(AND('Loan Tape (S&amp;P)'!U1912="Yes",
        'Loan Tape (S&amp;P)'!T1912&lt;&gt;"Yes",
        DATEDIF('Loan Tape (S&amp;P)'!K1912, TODAY(), "M")&lt;18),
    1.10,
    1.00)</f>
        <v/>
      </c>
      <c r="O1912">
        <f>IF('Loan Tape (S&amp;P)'!T1912="Yes",
    1.35,
    1.00)</f>
        <v/>
      </c>
      <c r="P1912">
        <f>IF('Loan Tape (S&amp;P)'!S1912="Yes",
    1.15,
    1.00)</f>
        <v/>
      </c>
      <c r="Q1912">
        <f>IF('Loan Tape (S&amp;P)'!V1912="Yes",
    1.20,
    1.00)</f>
        <v/>
      </c>
      <c r="T1912">
        <f>LET(
    payment_method,'Loan Tape (S&amp;P)'!P1912,
    occupancy,'Loan Tape (S&amp;P)'!N1912,
    maturity_date,'Loan Tape (S&amp;P)'!L1912,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13">
      <c r="J1913">
        <f>LET(
    lien,'Loan Tape (S&amp;P)'!Q1913,
    IF(lien="First",1.00,
        IF(lien="Second",1.50,
            1.70)))</f>
        <v/>
      </c>
      <c r="K1913">
        <f>LET(
    purpose,'Loan Tape (S&amp;P)'!R1913,
    IF(purpose="Purchase",1.00,
        IF(purpose="Remortgage",1.00,
            1.20)))</f>
        <v/>
      </c>
      <c r="L1913">
        <f>LET(
    arrears_months,'Loan Tape (S&amp;P)'!AN1913,
    IF(arrears_months=0,1.00,
    IF(arrears_months=1,3.00,
    IF(arrears_months=2,5.00,
    IF(arrears_months=3,8.00,
    IF(arrears_months=4,10.00,
    IF(arrears_months=5,12.00,15.00)))))))</f>
        <v/>
      </c>
      <c r="M1913">
        <f>LET(
    seasoning_years,DATEDIF('Loan Tape (S&amp;P)'!K1913,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13">
        <f>IF(AND('Loan Tape (S&amp;P)'!U1913="Yes",
        'Loan Tape (S&amp;P)'!T1913&lt;&gt;"Yes",
        DATEDIF('Loan Tape (S&amp;P)'!K1913, TODAY(), "M")&lt;18),
    1.10,
    1.00)</f>
        <v/>
      </c>
      <c r="O1913">
        <f>IF('Loan Tape (S&amp;P)'!T1913="Yes",
    1.35,
    1.00)</f>
        <v/>
      </c>
      <c r="P1913">
        <f>IF('Loan Tape (S&amp;P)'!S1913="Yes",
    1.15,
    1.00)</f>
        <v/>
      </c>
      <c r="Q1913">
        <f>IF('Loan Tape (S&amp;P)'!V1913="Yes",
    1.20,
    1.00)</f>
        <v/>
      </c>
      <c r="T1913">
        <f>LET(
    payment_method,'Loan Tape (S&amp;P)'!P1913,
    occupancy,'Loan Tape (S&amp;P)'!N1913,
    maturity_date,'Loan Tape (S&amp;P)'!L1913,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14">
      <c r="J1914">
        <f>LET(
    lien,'Loan Tape (S&amp;P)'!Q1914,
    IF(lien="First",1.00,
        IF(lien="Second",1.50,
            1.70)))</f>
        <v/>
      </c>
      <c r="K1914">
        <f>LET(
    purpose,'Loan Tape (S&amp;P)'!R1914,
    IF(purpose="Purchase",1.00,
        IF(purpose="Remortgage",1.00,
            1.20)))</f>
        <v/>
      </c>
      <c r="L1914">
        <f>LET(
    arrears_months,'Loan Tape (S&amp;P)'!AN1914,
    IF(arrears_months=0,1.00,
    IF(arrears_months=1,3.00,
    IF(arrears_months=2,5.00,
    IF(arrears_months=3,8.00,
    IF(arrears_months=4,10.00,
    IF(arrears_months=5,12.00,15.00)))))))</f>
        <v/>
      </c>
      <c r="M1914">
        <f>LET(
    seasoning_years,DATEDIF('Loan Tape (S&amp;P)'!K1914,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14">
        <f>IF(AND('Loan Tape (S&amp;P)'!U1914="Yes",
        'Loan Tape (S&amp;P)'!T1914&lt;&gt;"Yes",
        DATEDIF('Loan Tape (S&amp;P)'!K1914, TODAY(), "M")&lt;18),
    1.10,
    1.00)</f>
        <v/>
      </c>
      <c r="O1914">
        <f>IF('Loan Tape (S&amp;P)'!T1914="Yes",
    1.35,
    1.00)</f>
        <v/>
      </c>
      <c r="P1914">
        <f>IF('Loan Tape (S&amp;P)'!S1914="Yes",
    1.15,
    1.00)</f>
        <v/>
      </c>
      <c r="Q1914">
        <f>IF('Loan Tape (S&amp;P)'!V1914="Yes",
    1.20,
    1.00)</f>
        <v/>
      </c>
      <c r="T1914">
        <f>LET(
    payment_method,'Loan Tape (S&amp;P)'!P1914,
    occupancy,'Loan Tape (S&amp;P)'!N1914,
    maturity_date,'Loan Tape (S&amp;P)'!L1914,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15">
      <c r="J1915">
        <f>LET(
    lien,'Loan Tape (S&amp;P)'!Q1915,
    IF(lien="First",1.00,
        IF(lien="Second",1.50,
            1.70)))</f>
        <v/>
      </c>
      <c r="K1915">
        <f>LET(
    purpose,'Loan Tape (S&amp;P)'!R1915,
    IF(purpose="Purchase",1.00,
        IF(purpose="Remortgage",1.00,
            1.20)))</f>
        <v/>
      </c>
      <c r="L1915">
        <f>LET(
    arrears_months,'Loan Tape (S&amp;P)'!AN1915,
    IF(arrears_months=0,1.00,
    IF(arrears_months=1,3.00,
    IF(arrears_months=2,5.00,
    IF(arrears_months=3,8.00,
    IF(arrears_months=4,10.00,
    IF(arrears_months=5,12.00,15.00)))))))</f>
        <v/>
      </c>
      <c r="M1915">
        <f>LET(
    seasoning_years,DATEDIF('Loan Tape (S&amp;P)'!K1915,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15">
        <f>IF(AND('Loan Tape (S&amp;P)'!U1915="Yes",
        'Loan Tape (S&amp;P)'!T1915&lt;&gt;"Yes",
        DATEDIF('Loan Tape (S&amp;P)'!K1915, TODAY(), "M")&lt;18),
    1.10,
    1.00)</f>
        <v/>
      </c>
      <c r="O1915">
        <f>IF('Loan Tape (S&amp;P)'!T1915="Yes",
    1.35,
    1.00)</f>
        <v/>
      </c>
      <c r="P1915">
        <f>IF('Loan Tape (S&amp;P)'!S1915="Yes",
    1.15,
    1.00)</f>
        <v/>
      </c>
      <c r="Q1915">
        <f>IF('Loan Tape (S&amp;P)'!V1915="Yes",
    1.20,
    1.00)</f>
        <v/>
      </c>
      <c r="T1915">
        <f>LET(
    payment_method,'Loan Tape (S&amp;P)'!P1915,
    occupancy,'Loan Tape (S&amp;P)'!N1915,
    maturity_date,'Loan Tape (S&amp;P)'!L1915,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16">
      <c r="J1916">
        <f>LET(
    lien,'Loan Tape (S&amp;P)'!Q1916,
    IF(lien="First",1.00,
        IF(lien="Second",1.50,
            1.70)))</f>
        <v/>
      </c>
      <c r="K1916">
        <f>LET(
    purpose,'Loan Tape (S&amp;P)'!R1916,
    IF(purpose="Purchase",1.00,
        IF(purpose="Remortgage",1.00,
            1.20)))</f>
        <v/>
      </c>
      <c r="L1916">
        <f>LET(
    arrears_months,'Loan Tape (S&amp;P)'!AN1916,
    IF(arrears_months=0,1.00,
    IF(arrears_months=1,3.00,
    IF(arrears_months=2,5.00,
    IF(arrears_months=3,8.00,
    IF(arrears_months=4,10.00,
    IF(arrears_months=5,12.00,15.00)))))))</f>
        <v/>
      </c>
      <c r="M1916">
        <f>LET(
    seasoning_years,DATEDIF('Loan Tape (S&amp;P)'!K1916,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16">
        <f>IF(AND('Loan Tape (S&amp;P)'!U1916="Yes",
        'Loan Tape (S&amp;P)'!T1916&lt;&gt;"Yes",
        DATEDIF('Loan Tape (S&amp;P)'!K1916, TODAY(), "M")&lt;18),
    1.10,
    1.00)</f>
        <v/>
      </c>
      <c r="O1916">
        <f>IF('Loan Tape (S&amp;P)'!T1916="Yes",
    1.35,
    1.00)</f>
        <v/>
      </c>
      <c r="P1916">
        <f>IF('Loan Tape (S&amp;P)'!S1916="Yes",
    1.15,
    1.00)</f>
        <v/>
      </c>
      <c r="Q1916">
        <f>IF('Loan Tape (S&amp;P)'!V1916="Yes",
    1.20,
    1.00)</f>
        <v/>
      </c>
      <c r="T1916">
        <f>LET(
    payment_method,'Loan Tape (S&amp;P)'!P1916,
    occupancy,'Loan Tape (S&amp;P)'!N1916,
    maturity_date,'Loan Tape (S&amp;P)'!L1916,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17">
      <c r="J1917">
        <f>LET(
    lien,'Loan Tape (S&amp;P)'!Q1917,
    IF(lien="First",1.00,
        IF(lien="Second",1.50,
            1.70)))</f>
        <v/>
      </c>
      <c r="K1917">
        <f>LET(
    purpose,'Loan Tape (S&amp;P)'!R1917,
    IF(purpose="Purchase",1.00,
        IF(purpose="Remortgage",1.00,
            1.20)))</f>
        <v/>
      </c>
      <c r="L1917">
        <f>LET(
    arrears_months,'Loan Tape (S&amp;P)'!AN1917,
    IF(arrears_months=0,1.00,
    IF(arrears_months=1,3.00,
    IF(arrears_months=2,5.00,
    IF(arrears_months=3,8.00,
    IF(arrears_months=4,10.00,
    IF(arrears_months=5,12.00,15.00)))))))</f>
        <v/>
      </c>
      <c r="M1917">
        <f>LET(
    seasoning_years,DATEDIF('Loan Tape (S&amp;P)'!K1917,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17">
        <f>IF(AND('Loan Tape (S&amp;P)'!U1917="Yes",
        'Loan Tape (S&amp;P)'!T1917&lt;&gt;"Yes",
        DATEDIF('Loan Tape (S&amp;P)'!K1917, TODAY(), "M")&lt;18),
    1.10,
    1.00)</f>
        <v/>
      </c>
      <c r="O1917">
        <f>IF('Loan Tape (S&amp;P)'!T1917="Yes",
    1.35,
    1.00)</f>
        <v/>
      </c>
      <c r="P1917">
        <f>IF('Loan Tape (S&amp;P)'!S1917="Yes",
    1.15,
    1.00)</f>
        <v/>
      </c>
      <c r="Q1917">
        <f>IF('Loan Tape (S&amp;P)'!V1917="Yes",
    1.20,
    1.00)</f>
        <v/>
      </c>
      <c r="T1917">
        <f>LET(
    payment_method,'Loan Tape (S&amp;P)'!P1917,
    occupancy,'Loan Tape (S&amp;P)'!N1917,
    maturity_date,'Loan Tape (S&amp;P)'!L1917,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18">
      <c r="J1918">
        <f>LET(
    lien,'Loan Tape (S&amp;P)'!Q1918,
    IF(lien="First",1.00,
        IF(lien="Second",1.50,
            1.70)))</f>
        <v/>
      </c>
      <c r="K1918">
        <f>LET(
    purpose,'Loan Tape (S&amp;P)'!R1918,
    IF(purpose="Purchase",1.00,
        IF(purpose="Remortgage",1.00,
            1.20)))</f>
        <v/>
      </c>
      <c r="L1918">
        <f>LET(
    arrears_months,'Loan Tape (S&amp;P)'!AN1918,
    IF(arrears_months=0,1.00,
    IF(arrears_months=1,3.00,
    IF(arrears_months=2,5.00,
    IF(arrears_months=3,8.00,
    IF(arrears_months=4,10.00,
    IF(arrears_months=5,12.00,15.00)))))))</f>
        <v/>
      </c>
      <c r="M1918">
        <f>LET(
    seasoning_years,DATEDIF('Loan Tape (S&amp;P)'!K1918,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18">
        <f>IF(AND('Loan Tape (S&amp;P)'!U1918="Yes",
        'Loan Tape (S&amp;P)'!T1918&lt;&gt;"Yes",
        DATEDIF('Loan Tape (S&amp;P)'!K1918, TODAY(), "M")&lt;18),
    1.10,
    1.00)</f>
        <v/>
      </c>
      <c r="O1918">
        <f>IF('Loan Tape (S&amp;P)'!T1918="Yes",
    1.35,
    1.00)</f>
        <v/>
      </c>
      <c r="P1918">
        <f>IF('Loan Tape (S&amp;P)'!S1918="Yes",
    1.15,
    1.00)</f>
        <v/>
      </c>
      <c r="Q1918">
        <f>IF('Loan Tape (S&amp;P)'!V1918="Yes",
    1.20,
    1.00)</f>
        <v/>
      </c>
      <c r="T1918">
        <f>LET(
    payment_method,'Loan Tape (S&amp;P)'!P1918,
    occupancy,'Loan Tape (S&amp;P)'!N1918,
    maturity_date,'Loan Tape (S&amp;P)'!L1918,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19">
      <c r="J1919">
        <f>LET(
    lien,'Loan Tape (S&amp;P)'!Q1919,
    IF(lien="First",1.00,
        IF(lien="Second",1.50,
            1.70)))</f>
        <v/>
      </c>
      <c r="K1919">
        <f>LET(
    purpose,'Loan Tape (S&amp;P)'!R1919,
    IF(purpose="Purchase",1.00,
        IF(purpose="Remortgage",1.00,
            1.20)))</f>
        <v/>
      </c>
      <c r="L1919">
        <f>LET(
    arrears_months,'Loan Tape (S&amp;P)'!AN1919,
    IF(arrears_months=0,1.00,
    IF(arrears_months=1,3.00,
    IF(arrears_months=2,5.00,
    IF(arrears_months=3,8.00,
    IF(arrears_months=4,10.00,
    IF(arrears_months=5,12.00,15.00)))))))</f>
        <v/>
      </c>
      <c r="M1919">
        <f>LET(
    seasoning_years,DATEDIF('Loan Tape (S&amp;P)'!K1919,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19">
        <f>IF(AND('Loan Tape (S&amp;P)'!U1919="Yes",
        'Loan Tape (S&amp;P)'!T1919&lt;&gt;"Yes",
        DATEDIF('Loan Tape (S&amp;P)'!K1919, TODAY(), "M")&lt;18),
    1.10,
    1.00)</f>
        <v/>
      </c>
      <c r="O1919">
        <f>IF('Loan Tape (S&amp;P)'!T1919="Yes",
    1.35,
    1.00)</f>
        <v/>
      </c>
      <c r="P1919">
        <f>IF('Loan Tape (S&amp;P)'!S1919="Yes",
    1.15,
    1.00)</f>
        <v/>
      </c>
      <c r="Q1919">
        <f>IF('Loan Tape (S&amp;P)'!V1919="Yes",
    1.20,
    1.00)</f>
        <v/>
      </c>
      <c r="T1919">
        <f>LET(
    payment_method,'Loan Tape (S&amp;P)'!P1919,
    occupancy,'Loan Tape (S&amp;P)'!N1919,
    maturity_date,'Loan Tape (S&amp;P)'!L1919,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20">
      <c r="J1920">
        <f>LET(
    lien,'Loan Tape (S&amp;P)'!Q1920,
    IF(lien="First",1.00,
        IF(lien="Second",1.50,
            1.70)))</f>
        <v/>
      </c>
      <c r="K1920">
        <f>LET(
    purpose,'Loan Tape (S&amp;P)'!R1920,
    IF(purpose="Purchase",1.00,
        IF(purpose="Remortgage",1.00,
            1.20)))</f>
        <v/>
      </c>
      <c r="L1920">
        <f>LET(
    arrears_months,'Loan Tape (S&amp;P)'!AN1920,
    IF(arrears_months=0,1.00,
    IF(arrears_months=1,3.00,
    IF(arrears_months=2,5.00,
    IF(arrears_months=3,8.00,
    IF(arrears_months=4,10.00,
    IF(arrears_months=5,12.00,15.00)))))))</f>
        <v/>
      </c>
      <c r="M1920">
        <f>LET(
    seasoning_years,DATEDIF('Loan Tape (S&amp;P)'!K1920,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20">
        <f>IF(AND('Loan Tape (S&amp;P)'!U1920="Yes",
        'Loan Tape (S&amp;P)'!T1920&lt;&gt;"Yes",
        DATEDIF('Loan Tape (S&amp;P)'!K1920, TODAY(), "M")&lt;18),
    1.10,
    1.00)</f>
        <v/>
      </c>
      <c r="O1920">
        <f>IF('Loan Tape (S&amp;P)'!T1920="Yes",
    1.35,
    1.00)</f>
        <v/>
      </c>
      <c r="P1920">
        <f>IF('Loan Tape (S&amp;P)'!S1920="Yes",
    1.15,
    1.00)</f>
        <v/>
      </c>
      <c r="Q1920">
        <f>IF('Loan Tape (S&amp;P)'!V1920="Yes",
    1.20,
    1.00)</f>
        <v/>
      </c>
      <c r="T1920">
        <f>LET(
    payment_method,'Loan Tape (S&amp;P)'!P1920,
    occupancy,'Loan Tape (S&amp;P)'!N1920,
    maturity_date,'Loan Tape (S&amp;P)'!L1920,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21">
      <c r="J1921">
        <f>LET(
    lien,'Loan Tape (S&amp;P)'!Q1921,
    IF(lien="First",1.00,
        IF(lien="Second",1.50,
            1.70)))</f>
        <v/>
      </c>
      <c r="K1921">
        <f>LET(
    purpose,'Loan Tape (S&amp;P)'!R1921,
    IF(purpose="Purchase",1.00,
        IF(purpose="Remortgage",1.00,
            1.20)))</f>
        <v/>
      </c>
      <c r="L1921">
        <f>LET(
    arrears_months,'Loan Tape (S&amp;P)'!AN1921,
    IF(arrears_months=0,1.00,
    IF(arrears_months=1,3.00,
    IF(arrears_months=2,5.00,
    IF(arrears_months=3,8.00,
    IF(arrears_months=4,10.00,
    IF(arrears_months=5,12.00,15.00)))))))</f>
        <v/>
      </c>
      <c r="M1921">
        <f>LET(
    seasoning_years,DATEDIF('Loan Tape (S&amp;P)'!K1921,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21">
        <f>IF(AND('Loan Tape (S&amp;P)'!U1921="Yes",
        'Loan Tape (S&amp;P)'!T1921&lt;&gt;"Yes",
        DATEDIF('Loan Tape (S&amp;P)'!K1921, TODAY(), "M")&lt;18),
    1.10,
    1.00)</f>
        <v/>
      </c>
      <c r="O1921">
        <f>IF('Loan Tape (S&amp;P)'!T1921="Yes",
    1.35,
    1.00)</f>
        <v/>
      </c>
      <c r="P1921">
        <f>IF('Loan Tape (S&amp;P)'!S1921="Yes",
    1.15,
    1.00)</f>
        <v/>
      </c>
      <c r="Q1921">
        <f>IF('Loan Tape (S&amp;P)'!V1921="Yes",
    1.20,
    1.00)</f>
        <v/>
      </c>
      <c r="T1921">
        <f>LET(
    payment_method,'Loan Tape (S&amp;P)'!P1921,
    occupancy,'Loan Tape (S&amp;P)'!N1921,
    maturity_date,'Loan Tape (S&amp;P)'!L1921,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22">
      <c r="J1922">
        <f>LET(
    lien,'Loan Tape (S&amp;P)'!Q1922,
    IF(lien="First",1.00,
        IF(lien="Second",1.50,
            1.70)))</f>
        <v/>
      </c>
      <c r="K1922">
        <f>LET(
    purpose,'Loan Tape (S&amp;P)'!R1922,
    IF(purpose="Purchase",1.00,
        IF(purpose="Remortgage",1.00,
            1.20)))</f>
        <v/>
      </c>
      <c r="L1922">
        <f>LET(
    arrears_months,'Loan Tape (S&amp;P)'!AN1922,
    IF(arrears_months=0,1.00,
    IF(arrears_months=1,3.00,
    IF(arrears_months=2,5.00,
    IF(arrears_months=3,8.00,
    IF(arrears_months=4,10.00,
    IF(arrears_months=5,12.00,15.00)))))))</f>
        <v/>
      </c>
      <c r="M1922">
        <f>LET(
    seasoning_years,DATEDIF('Loan Tape (S&amp;P)'!K1922,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22">
        <f>IF(AND('Loan Tape (S&amp;P)'!U1922="Yes",
        'Loan Tape (S&amp;P)'!T1922&lt;&gt;"Yes",
        DATEDIF('Loan Tape (S&amp;P)'!K1922, TODAY(), "M")&lt;18),
    1.10,
    1.00)</f>
        <v/>
      </c>
      <c r="O1922">
        <f>IF('Loan Tape (S&amp;P)'!T1922="Yes",
    1.35,
    1.00)</f>
        <v/>
      </c>
      <c r="P1922">
        <f>IF('Loan Tape (S&amp;P)'!S1922="Yes",
    1.15,
    1.00)</f>
        <v/>
      </c>
      <c r="Q1922">
        <f>IF('Loan Tape (S&amp;P)'!V1922="Yes",
    1.20,
    1.00)</f>
        <v/>
      </c>
      <c r="T1922">
        <f>LET(
    payment_method,'Loan Tape (S&amp;P)'!P1922,
    occupancy,'Loan Tape (S&amp;P)'!N1922,
    maturity_date,'Loan Tape (S&amp;P)'!L1922,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23">
      <c r="J1923">
        <f>LET(
    lien,'Loan Tape (S&amp;P)'!Q1923,
    IF(lien="First",1.00,
        IF(lien="Second",1.50,
            1.70)))</f>
        <v/>
      </c>
      <c r="K1923">
        <f>LET(
    purpose,'Loan Tape (S&amp;P)'!R1923,
    IF(purpose="Purchase",1.00,
        IF(purpose="Remortgage",1.00,
            1.20)))</f>
        <v/>
      </c>
      <c r="L1923">
        <f>LET(
    arrears_months,'Loan Tape (S&amp;P)'!AN1923,
    IF(arrears_months=0,1.00,
    IF(arrears_months=1,3.00,
    IF(arrears_months=2,5.00,
    IF(arrears_months=3,8.00,
    IF(arrears_months=4,10.00,
    IF(arrears_months=5,12.00,15.00)))))))</f>
        <v/>
      </c>
      <c r="M1923">
        <f>LET(
    seasoning_years,DATEDIF('Loan Tape (S&amp;P)'!K1923,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23">
        <f>IF(AND('Loan Tape (S&amp;P)'!U1923="Yes",
        'Loan Tape (S&amp;P)'!T1923&lt;&gt;"Yes",
        DATEDIF('Loan Tape (S&amp;P)'!K1923, TODAY(), "M")&lt;18),
    1.10,
    1.00)</f>
        <v/>
      </c>
      <c r="O1923">
        <f>IF('Loan Tape (S&amp;P)'!T1923="Yes",
    1.35,
    1.00)</f>
        <v/>
      </c>
      <c r="P1923">
        <f>IF('Loan Tape (S&amp;P)'!S1923="Yes",
    1.15,
    1.00)</f>
        <v/>
      </c>
      <c r="Q1923">
        <f>IF('Loan Tape (S&amp;P)'!V1923="Yes",
    1.20,
    1.00)</f>
        <v/>
      </c>
      <c r="T1923">
        <f>LET(
    payment_method,'Loan Tape (S&amp;P)'!P1923,
    occupancy,'Loan Tape (S&amp;P)'!N1923,
    maturity_date,'Loan Tape (S&amp;P)'!L1923,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24">
      <c r="J1924">
        <f>LET(
    lien,'Loan Tape (S&amp;P)'!Q1924,
    IF(lien="First",1.00,
        IF(lien="Second",1.50,
            1.70)))</f>
        <v/>
      </c>
      <c r="K1924">
        <f>LET(
    purpose,'Loan Tape (S&amp;P)'!R1924,
    IF(purpose="Purchase",1.00,
        IF(purpose="Remortgage",1.00,
            1.20)))</f>
        <v/>
      </c>
      <c r="L1924">
        <f>LET(
    arrears_months,'Loan Tape (S&amp;P)'!AN1924,
    IF(arrears_months=0,1.00,
    IF(arrears_months=1,3.00,
    IF(arrears_months=2,5.00,
    IF(arrears_months=3,8.00,
    IF(arrears_months=4,10.00,
    IF(arrears_months=5,12.00,15.00)))))))</f>
        <v/>
      </c>
      <c r="M1924">
        <f>LET(
    seasoning_years,DATEDIF('Loan Tape (S&amp;P)'!K1924,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24">
        <f>IF(AND('Loan Tape (S&amp;P)'!U1924="Yes",
        'Loan Tape (S&amp;P)'!T1924&lt;&gt;"Yes",
        DATEDIF('Loan Tape (S&amp;P)'!K1924, TODAY(), "M")&lt;18),
    1.10,
    1.00)</f>
        <v/>
      </c>
      <c r="O1924">
        <f>IF('Loan Tape (S&amp;P)'!T1924="Yes",
    1.35,
    1.00)</f>
        <v/>
      </c>
      <c r="P1924">
        <f>IF('Loan Tape (S&amp;P)'!S1924="Yes",
    1.15,
    1.00)</f>
        <v/>
      </c>
      <c r="Q1924">
        <f>IF('Loan Tape (S&amp;P)'!V1924="Yes",
    1.20,
    1.00)</f>
        <v/>
      </c>
      <c r="T1924">
        <f>LET(
    payment_method,'Loan Tape (S&amp;P)'!P1924,
    occupancy,'Loan Tape (S&amp;P)'!N1924,
    maturity_date,'Loan Tape (S&amp;P)'!L1924,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25">
      <c r="J1925">
        <f>LET(
    lien,'Loan Tape (S&amp;P)'!Q1925,
    IF(lien="First",1.00,
        IF(lien="Second",1.50,
            1.70)))</f>
        <v/>
      </c>
      <c r="K1925">
        <f>LET(
    purpose,'Loan Tape (S&amp;P)'!R1925,
    IF(purpose="Purchase",1.00,
        IF(purpose="Remortgage",1.00,
            1.20)))</f>
        <v/>
      </c>
      <c r="L1925">
        <f>LET(
    arrears_months,'Loan Tape (S&amp;P)'!AN1925,
    IF(arrears_months=0,1.00,
    IF(arrears_months=1,3.00,
    IF(arrears_months=2,5.00,
    IF(arrears_months=3,8.00,
    IF(arrears_months=4,10.00,
    IF(arrears_months=5,12.00,15.00)))))))</f>
        <v/>
      </c>
      <c r="M1925">
        <f>LET(
    seasoning_years,DATEDIF('Loan Tape (S&amp;P)'!K1925,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25">
        <f>IF(AND('Loan Tape (S&amp;P)'!U1925="Yes",
        'Loan Tape (S&amp;P)'!T1925&lt;&gt;"Yes",
        DATEDIF('Loan Tape (S&amp;P)'!K1925, TODAY(), "M")&lt;18),
    1.10,
    1.00)</f>
        <v/>
      </c>
      <c r="O1925">
        <f>IF('Loan Tape (S&amp;P)'!T1925="Yes",
    1.35,
    1.00)</f>
        <v/>
      </c>
      <c r="P1925">
        <f>IF('Loan Tape (S&amp;P)'!S1925="Yes",
    1.15,
    1.00)</f>
        <v/>
      </c>
      <c r="Q1925">
        <f>IF('Loan Tape (S&amp;P)'!V1925="Yes",
    1.20,
    1.00)</f>
        <v/>
      </c>
      <c r="T1925">
        <f>LET(
    payment_method,'Loan Tape (S&amp;P)'!P1925,
    occupancy,'Loan Tape (S&amp;P)'!N1925,
    maturity_date,'Loan Tape (S&amp;P)'!L1925,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26">
      <c r="J1926">
        <f>LET(
    lien,'Loan Tape (S&amp;P)'!Q1926,
    IF(lien="First",1.00,
        IF(lien="Second",1.50,
            1.70)))</f>
        <v/>
      </c>
      <c r="K1926">
        <f>LET(
    purpose,'Loan Tape (S&amp;P)'!R1926,
    IF(purpose="Purchase",1.00,
        IF(purpose="Remortgage",1.00,
            1.20)))</f>
        <v/>
      </c>
      <c r="L1926">
        <f>LET(
    arrears_months,'Loan Tape (S&amp;P)'!AN1926,
    IF(arrears_months=0,1.00,
    IF(arrears_months=1,3.00,
    IF(arrears_months=2,5.00,
    IF(arrears_months=3,8.00,
    IF(arrears_months=4,10.00,
    IF(arrears_months=5,12.00,15.00)))))))</f>
        <v/>
      </c>
      <c r="M1926">
        <f>LET(
    seasoning_years,DATEDIF('Loan Tape (S&amp;P)'!K1926,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26">
        <f>IF(AND('Loan Tape (S&amp;P)'!U1926="Yes",
        'Loan Tape (S&amp;P)'!T1926&lt;&gt;"Yes",
        DATEDIF('Loan Tape (S&amp;P)'!K1926, TODAY(), "M")&lt;18),
    1.10,
    1.00)</f>
        <v/>
      </c>
      <c r="O1926">
        <f>IF('Loan Tape (S&amp;P)'!T1926="Yes",
    1.35,
    1.00)</f>
        <v/>
      </c>
      <c r="P1926">
        <f>IF('Loan Tape (S&amp;P)'!S1926="Yes",
    1.15,
    1.00)</f>
        <v/>
      </c>
      <c r="Q1926">
        <f>IF('Loan Tape (S&amp;P)'!V1926="Yes",
    1.20,
    1.00)</f>
        <v/>
      </c>
      <c r="T1926">
        <f>LET(
    payment_method,'Loan Tape (S&amp;P)'!P1926,
    occupancy,'Loan Tape (S&amp;P)'!N1926,
    maturity_date,'Loan Tape (S&amp;P)'!L1926,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27">
      <c r="J1927">
        <f>LET(
    lien,'Loan Tape (S&amp;P)'!Q1927,
    IF(lien="First",1.00,
        IF(lien="Second",1.50,
            1.70)))</f>
        <v/>
      </c>
      <c r="K1927">
        <f>LET(
    purpose,'Loan Tape (S&amp;P)'!R1927,
    IF(purpose="Purchase",1.00,
        IF(purpose="Remortgage",1.00,
            1.20)))</f>
        <v/>
      </c>
      <c r="L1927">
        <f>LET(
    arrears_months,'Loan Tape (S&amp;P)'!AN1927,
    IF(arrears_months=0,1.00,
    IF(arrears_months=1,3.00,
    IF(arrears_months=2,5.00,
    IF(arrears_months=3,8.00,
    IF(arrears_months=4,10.00,
    IF(arrears_months=5,12.00,15.00)))))))</f>
        <v/>
      </c>
      <c r="M1927">
        <f>LET(
    seasoning_years,DATEDIF('Loan Tape (S&amp;P)'!K1927,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27">
        <f>IF(AND('Loan Tape (S&amp;P)'!U1927="Yes",
        'Loan Tape (S&amp;P)'!T1927&lt;&gt;"Yes",
        DATEDIF('Loan Tape (S&amp;P)'!K1927, TODAY(), "M")&lt;18),
    1.10,
    1.00)</f>
        <v/>
      </c>
      <c r="O1927">
        <f>IF('Loan Tape (S&amp;P)'!T1927="Yes",
    1.35,
    1.00)</f>
        <v/>
      </c>
      <c r="P1927">
        <f>IF('Loan Tape (S&amp;P)'!S1927="Yes",
    1.15,
    1.00)</f>
        <v/>
      </c>
      <c r="Q1927">
        <f>IF('Loan Tape (S&amp;P)'!V1927="Yes",
    1.20,
    1.00)</f>
        <v/>
      </c>
      <c r="T1927">
        <f>LET(
    payment_method,'Loan Tape (S&amp;P)'!P1927,
    occupancy,'Loan Tape (S&amp;P)'!N1927,
    maturity_date,'Loan Tape (S&amp;P)'!L1927,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28">
      <c r="J1928">
        <f>LET(
    lien,'Loan Tape (S&amp;P)'!Q1928,
    IF(lien="First",1.00,
        IF(lien="Second",1.50,
            1.70)))</f>
        <v/>
      </c>
      <c r="K1928">
        <f>LET(
    purpose,'Loan Tape (S&amp;P)'!R1928,
    IF(purpose="Purchase",1.00,
        IF(purpose="Remortgage",1.00,
            1.20)))</f>
        <v/>
      </c>
      <c r="L1928">
        <f>LET(
    arrears_months,'Loan Tape (S&amp;P)'!AN1928,
    IF(arrears_months=0,1.00,
    IF(arrears_months=1,3.00,
    IF(arrears_months=2,5.00,
    IF(arrears_months=3,8.00,
    IF(arrears_months=4,10.00,
    IF(arrears_months=5,12.00,15.00)))))))</f>
        <v/>
      </c>
      <c r="M1928">
        <f>LET(
    seasoning_years,DATEDIF('Loan Tape (S&amp;P)'!K1928,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28">
        <f>IF(AND('Loan Tape (S&amp;P)'!U1928="Yes",
        'Loan Tape (S&amp;P)'!T1928&lt;&gt;"Yes",
        DATEDIF('Loan Tape (S&amp;P)'!K1928, TODAY(), "M")&lt;18),
    1.10,
    1.00)</f>
        <v/>
      </c>
      <c r="O1928">
        <f>IF('Loan Tape (S&amp;P)'!T1928="Yes",
    1.35,
    1.00)</f>
        <v/>
      </c>
      <c r="P1928">
        <f>IF('Loan Tape (S&amp;P)'!S1928="Yes",
    1.15,
    1.00)</f>
        <v/>
      </c>
      <c r="Q1928">
        <f>IF('Loan Tape (S&amp;P)'!V1928="Yes",
    1.20,
    1.00)</f>
        <v/>
      </c>
      <c r="T1928">
        <f>LET(
    payment_method,'Loan Tape (S&amp;P)'!P1928,
    occupancy,'Loan Tape (S&amp;P)'!N1928,
    maturity_date,'Loan Tape (S&amp;P)'!L1928,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29">
      <c r="J1929">
        <f>LET(
    lien,'Loan Tape (S&amp;P)'!Q1929,
    IF(lien="First",1.00,
        IF(lien="Second",1.50,
            1.70)))</f>
        <v/>
      </c>
      <c r="K1929">
        <f>LET(
    purpose,'Loan Tape (S&amp;P)'!R1929,
    IF(purpose="Purchase",1.00,
        IF(purpose="Remortgage",1.00,
            1.20)))</f>
        <v/>
      </c>
      <c r="L1929">
        <f>LET(
    arrears_months,'Loan Tape (S&amp;P)'!AN1929,
    IF(arrears_months=0,1.00,
    IF(arrears_months=1,3.00,
    IF(arrears_months=2,5.00,
    IF(arrears_months=3,8.00,
    IF(arrears_months=4,10.00,
    IF(arrears_months=5,12.00,15.00)))))))</f>
        <v/>
      </c>
      <c r="M1929">
        <f>LET(
    seasoning_years,DATEDIF('Loan Tape (S&amp;P)'!K1929,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29">
        <f>IF(AND('Loan Tape (S&amp;P)'!U1929="Yes",
        'Loan Tape (S&amp;P)'!T1929&lt;&gt;"Yes",
        DATEDIF('Loan Tape (S&amp;P)'!K1929, TODAY(), "M")&lt;18),
    1.10,
    1.00)</f>
        <v/>
      </c>
      <c r="O1929">
        <f>IF('Loan Tape (S&amp;P)'!T1929="Yes",
    1.35,
    1.00)</f>
        <v/>
      </c>
      <c r="P1929">
        <f>IF('Loan Tape (S&amp;P)'!S1929="Yes",
    1.15,
    1.00)</f>
        <v/>
      </c>
      <c r="Q1929">
        <f>IF('Loan Tape (S&amp;P)'!V1929="Yes",
    1.20,
    1.00)</f>
        <v/>
      </c>
      <c r="T1929">
        <f>LET(
    payment_method,'Loan Tape (S&amp;P)'!P1929,
    occupancy,'Loan Tape (S&amp;P)'!N1929,
    maturity_date,'Loan Tape (S&amp;P)'!L1929,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30">
      <c r="J1930">
        <f>LET(
    lien,'Loan Tape (S&amp;P)'!Q1930,
    IF(lien="First",1.00,
        IF(lien="Second",1.50,
            1.70)))</f>
        <v/>
      </c>
      <c r="K1930">
        <f>LET(
    purpose,'Loan Tape (S&amp;P)'!R1930,
    IF(purpose="Purchase",1.00,
        IF(purpose="Remortgage",1.00,
            1.20)))</f>
        <v/>
      </c>
      <c r="L1930">
        <f>LET(
    arrears_months,'Loan Tape (S&amp;P)'!AN1930,
    IF(arrears_months=0,1.00,
    IF(arrears_months=1,3.00,
    IF(arrears_months=2,5.00,
    IF(arrears_months=3,8.00,
    IF(arrears_months=4,10.00,
    IF(arrears_months=5,12.00,15.00)))))))</f>
        <v/>
      </c>
      <c r="M1930">
        <f>LET(
    seasoning_years,DATEDIF('Loan Tape (S&amp;P)'!K1930,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30">
        <f>IF(AND('Loan Tape (S&amp;P)'!U1930="Yes",
        'Loan Tape (S&amp;P)'!T1930&lt;&gt;"Yes",
        DATEDIF('Loan Tape (S&amp;P)'!K1930, TODAY(), "M")&lt;18),
    1.10,
    1.00)</f>
        <v/>
      </c>
      <c r="O1930">
        <f>IF('Loan Tape (S&amp;P)'!T1930="Yes",
    1.35,
    1.00)</f>
        <v/>
      </c>
      <c r="P1930">
        <f>IF('Loan Tape (S&amp;P)'!S1930="Yes",
    1.15,
    1.00)</f>
        <v/>
      </c>
      <c r="Q1930">
        <f>IF('Loan Tape (S&amp;P)'!V1930="Yes",
    1.20,
    1.00)</f>
        <v/>
      </c>
      <c r="T1930">
        <f>LET(
    payment_method,'Loan Tape (S&amp;P)'!P1930,
    occupancy,'Loan Tape (S&amp;P)'!N1930,
    maturity_date,'Loan Tape (S&amp;P)'!L1930,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31">
      <c r="J1931">
        <f>LET(
    lien,'Loan Tape (S&amp;P)'!Q1931,
    IF(lien="First",1.00,
        IF(lien="Second",1.50,
            1.70)))</f>
        <v/>
      </c>
      <c r="K1931">
        <f>LET(
    purpose,'Loan Tape (S&amp;P)'!R1931,
    IF(purpose="Purchase",1.00,
        IF(purpose="Remortgage",1.00,
            1.20)))</f>
        <v/>
      </c>
      <c r="L1931">
        <f>LET(
    arrears_months,'Loan Tape (S&amp;P)'!AN1931,
    IF(arrears_months=0,1.00,
    IF(arrears_months=1,3.00,
    IF(arrears_months=2,5.00,
    IF(arrears_months=3,8.00,
    IF(arrears_months=4,10.00,
    IF(arrears_months=5,12.00,15.00)))))))</f>
        <v/>
      </c>
      <c r="M1931">
        <f>LET(
    seasoning_years,DATEDIF('Loan Tape (S&amp;P)'!K1931,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31">
        <f>IF(AND('Loan Tape (S&amp;P)'!U1931="Yes",
        'Loan Tape (S&amp;P)'!T1931&lt;&gt;"Yes",
        DATEDIF('Loan Tape (S&amp;P)'!K1931, TODAY(), "M")&lt;18),
    1.10,
    1.00)</f>
        <v/>
      </c>
      <c r="O1931">
        <f>IF('Loan Tape (S&amp;P)'!T1931="Yes",
    1.35,
    1.00)</f>
        <v/>
      </c>
      <c r="P1931">
        <f>IF('Loan Tape (S&amp;P)'!S1931="Yes",
    1.15,
    1.00)</f>
        <v/>
      </c>
      <c r="Q1931">
        <f>IF('Loan Tape (S&amp;P)'!V1931="Yes",
    1.20,
    1.00)</f>
        <v/>
      </c>
      <c r="T1931">
        <f>LET(
    payment_method,'Loan Tape (S&amp;P)'!P1931,
    occupancy,'Loan Tape (S&amp;P)'!N1931,
    maturity_date,'Loan Tape (S&amp;P)'!L1931,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32">
      <c r="J1932">
        <f>LET(
    lien,'Loan Tape (S&amp;P)'!Q1932,
    IF(lien="First",1.00,
        IF(lien="Second",1.50,
            1.70)))</f>
        <v/>
      </c>
      <c r="K1932">
        <f>LET(
    purpose,'Loan Tape (S&amp;P)'!R1932,
    IF(purpose="Purchase",1.00,
        IF(purpose="Remortgage",1.00,
            1.20)))</f>
        <v/>
      </c>
      <c r="L1932">
        <f>LET(
    arrears_months,'Loan Tape (S&amp;P)'!AN1932,
    IF(arrears_months=0,1.00,
    IF(arrears_months=1,3.00,
    IF(arrears_months=2,5.00,
    IF(arrears_months=3,8.00,
    IF(arrears_months=4,10.00,
    IF(arrears_months=5,12.00,15.00)))))))</f>
        <v/>
      </c>
      <c r="M1932">
        <f>LET(
    seasoning_years,DATEDIF('Loan Tape (S&amp;P)'!K1932,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32">
        <f>IF(AND('Loan Tape (S&amp;P)'!U1932="Yes",
        'Loan Tape (S&amp;P)'!T1932&lt;&gt;"Yes",
        DATEDIF('Loan Tape (S&amp;P)'!K1932, TODAY(), "M")&lt;18),
    1.10,
    1.00)</f>
        <v/>
      </c>
      <c r="O1932">
        <f>IF('Loan Tape (S&amp;P)'!T1932="Yes",
    1.35,
    1.00)</f>
        <v/>
      </c>
      <c r="P1932">
        <f>IF('Loan Tape (S&amp;P)'!S1932="Yes",
    1.15,
    1.00)</f>
        <v/>
      </c>
      <c r="Q1932">
        <f>IF('Loan Tape (S&amp;P)'!V1932="Yes",
    1.20,
    1.00)</f>
        <v/>
      </c>
      <c r="T1932">
        <f>LET(
    payment_method,'Loan Tape (S&amp;P)'!P1932,
    occupancy,'Loan Tape (S&amp;P)'!N1932,
    maturity_date,'Loan Tape (S&amp;P)'!L1932,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33">
      <c r="J1933">
        <f>LET(
    lien,'Loan Tape (S&amp;P)'!Q1933,
    IF(lien="First",1.00,
        IF(lien="Second",1.50,
            1.70)))</f>
        <v/>
      </c>
      <c r="K1933">
        <f>LET(
    purpose,'Loan Tape (S&amp;P)'!R1933,
    IF(purpose="Purchase",1.00,
        IF(purpose="Remortgage",1.00,
            1.20)))</f>
        <v/>
      </c>
      <c r="L1933">
        <f>LET(
    arrears_months,'Loan Tape (S&amp;P)'!AN1933,
    IF(arrears_months=0,1.00,
    IF(arrears_months=1,3.00,
    IF(arrears_months=2,5.00,
    IF(arrears_months=3,8.00,
    IF(arrears_months=4,10.00,
    IF(arrears_months=5,12.00,15.00)))))))</f>
        <v/>
      </c>
      <c r="M1933">
        <f>LET(
    seasoning_years,DATEDIF('Loan Tape (S&amp;P)'!K1933,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33">
        <f>IF(AND('Loan Tape (S&amp;P)'!U1933="Yes",
        'Loan Tape (S&amp;P)'!T1933&lt;&gt;"Yes",
        DATEDIF('Loan Tape (S&amp;P)'!K1933, TODAY(), "M")&lt;18),
    1.10,
    1.00)</f>
        <v/>
      </c>
      <c r="O1933">
        <f>IF('Loan Tape (S&amp;P)'!T1933="Yes",
    1.35,
    1.00)</f>
        <v/>
      </c>
      <c r="P1933">
        <f>IF('Loan Tape (S&amp;P)'!S1933="Yes",
    1.15,
    1.00)</f>
        <v/>
      </c>
      <c r="Q1933">
        <f>IF('Loan Tape (S&amp;P)'!V1933="Yes",
    1.20,
    1.00)</f>
        <v/>
      </c>
      <c r="T1933">
        <f>LET(
    payment_method,'Loan Tape (S&amp;P)'!P1933,
    occupancy,'Loan Tape (S&amp;P)'!N1933,
    maturity_date,'Loan Tape (S&amp;P)'!L1933,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34">
      <c r="J1934">
        <f>LET(
    lien,'Loan Tape (S&amp;P)'!Q1934,
    IF(lien="First",1.00,
        IF(lien="Second",1.50,
            1.70)))</f>
        <v/>
      </c>
      <c r="K1934">
        <f>LET(
    purpose,'Loan Tape (S&amp;P)'!R1934,
    IF(purpose="Purchase",1.00,
        IF(purpose="Remortgage",1.00,
            1.20)))</f>
        <v/>
      </c>
      <c r="L1934">
        <f>LET(
    arrears_months,'Loan Tape (S&amp;P)'!AN1934,
    IF(arrears_months=0,1.00,
    IF(arrears_months=1,3.00,
    IF(arrears_months=2,5.00,
    IF(arrears_months=3,8.00,
    IF(arrears_months=4,10.00,
    IF(arrears_months=5,12.00,15.00)))))))</f>
        <v/>
      </c>
      <c r="M1934">
        <f>LET(
    seasoning_years,DATEDIF('Loan Tape (S&amp;P)'!K1934,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34">
        <f>IF(AND('Loan Tape (S&amp;P)'!U1934="Yes",
        'Loan Tape (S&amp;P)'!T1934&lt;&gt;"Yes",
        DATEDIF('Loan Tape (S&amp;P)'!K1934, TODAY(), "M")&lt;18),
    1.10,
    1.00)</f>
        <v/>
      </c>
      <c r="O1934">
        <f>IF('Loan Tape (S&amp;P)'!T1934="Yes",
    1.35,
    1.00)</f>
        <v/>
      </c>
      <c r="P1934">
        <f>IF('Loan Tape (S&amp;P)'!S1934="Yes",
    1.15,
    1.00)</f>
        <v/>
      </c>
      <c r="Q1934">
        <f>IF('Loan Tape (S&amp;P)'!V1934="Yes",
    1.20,
    1.00)</f>
        <v/>
      </c>
      <c r="T1934">
        <f>LET(
    payment_method,'Loan Tape (S&amp;P)'!P1934,
    occupancy,'Loan Tape (S&amp;P)'!N1934,
    maturity_date,'Loan Tape (S&amp;P)'!L1934,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35">
      <c r="J1935">
        <f>LET(
    lien,'Loan Tape (S&amp;P)'!Q1935,
    IF(lien="First",1.00,
        IF(lien="Second",1.50,
            1.70)))</f>
        <v/>
      </c>
      <c r="K1935">
        <f>LET(
    purpose,'Loan Tape (S&amp;P)'!R1935,
    IF(purpose="Purchase",1.00,
        IF(purpose="Remortgage",1.00,
            1.20)))</f>
        <v/>
      </c>
      <c r="L1935">
        <f>LET(
    arrears_months,'Loan Tape (S&amp;P)'!AN1935,
    IF(arrears_months=0,1.00,
    IF(arrears_months=1,3.00,
    IF(arrears_months=2,5.00,
    IF(arrears_months=3,8.00,
    IF(arrears_months=4,10.00,
    IF(arrears_months=5,12.00,15.00)))))))</f>
        <v/>
      </c>
      <c r="M1935">
        <f>LET(
    seasoning_years,DATEDIF('Loan Tape (S&amp;P)'!K1935,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35">
        <f>IF(AND('Loan Tape (S&amp;P)'!U1935="Yes",
        'Loan Tape (S&amp;P)'!T1935&lt;&gt;"Yes",
        DATEDIF('Loan Tape (S&amp;P)'!K1935, TODAY(), "M")&lt;18),
    1.10,
    1.00)</f>
        <v/>
      </c>
      <c r="O1935">
        <f>IF('Loan Tape (S&amp;P)'!T1935="Yes",
    1.35,
    1.00)</f>
        <v/>
      </c>
      <c r="P1935">
        <f>IF('Loan Tape (S&amp;P)'!S1935="Yes",
    1.15,
    1.00)</f>
        <v/>
      </c>
      <c r="Q1935">
        <f>IF('Loan Tape (S&amp;P)'!V1935="Yes",
    1.20,
    1.00)</f>
        <v/>
      </c>
      <c r="T1935">
        <f>LET(
    payment_method,'Loan Tape (S&amp;P)'!P1935,
    occupancy,'Loan Tape (S&amp;P)'!N1935,
    maturity_date,'Loan Tape (S&amp;P)'!L1935,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36">
      <c r="J1936">
        <f>LET(
    lien,'Loan Tape (S&amp;P)'!Q1936,
    IF(lien="First",1.00,
        IF(lien="Second",1.50,
            1.70)))</f>
        <v/>
      </c>
      <c r="K1936">
        <f>LET(
    purpose,'Loan Tape (S&amp;P)'!R1936,
    IF(purpose="Purchase",1.00,
        IF(purpose="Remortgage",1.00,
            1.20)))</f>
        <v/>
      </c>
      <c r="L1936">
        <f>LET(
    arrears_months,'Loan Tape (S&amp;P)'!AN1936,
    IF(arrears_months=0,1.00,
    IF(arrears_months=1,3.00,
    IF(arrears_months=2,5.00,
    IF(arrears_months=3,8.00,
    IF(arrears_months=4,10.00,
    IF(arrears_months=5,12.00,15.00)))))))</f>
        <v/>
      </c>
      <c r="M1936">
        <f>LET(
    seasoning_years,DATEDIF('Loan Tape (S&amp;P)'!K1936,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36">
        <f>IF(AND('Loan Tape (S&amp;P)'!U1936="Yes",
        'Loan Tape (S&amp;P)'!T1936&lt;&gt;"Yes",
        DATEDIF('Loan Tape (S&amp;P)'!K1936, TODAY(), "M")&lt;18),
    1.10,
    1.00)</f>
        <v/>
      </c>
      <c r="O1936">
        <f>IF('Loan Tape (S&amp;P)'!T1936="Yes",
    1.35,
    1.00)</f>
        <v/>
      </c>
      <c r="P1936">
        <f>IF('Loan Tape (S&amp;P)'!S1936="Yes",
    1.15,
    1.00)</f>
        <v/>
      </c>
      <c r="Q1936">
        <f>IF('Loan Tape (S&amp;P)'!V1936="Yes",
    1.20,
    1.00)</f>
        <v/>
      </c>
      <c r="T1936">
        <f>LET(
    payment_method,'Loan Tape (S&amp;P)'!P1936,
    occupancy,'Loan Tape (S&amp;P)'!N1936,
    maturity_date,'Loan Tape (S&amp;P)'!L1936,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37">
      <c r="J1937">
        <f>LET(
    lien,'Loan Tape (S&amp;P)'!Q1937,
    IF(lien="First",1.00,
        IF(lien="Second",1.50,
            1.70)))</f>
        <v/>
      </c>
      <c r="K1937">
        <f>LET(
    purpose,'Loan Tape (S&amp;P)'!R1937,
    IF(purpose="Purchase",1.00,
        IF(purpose="Remortgage",1.00,
            1.20)))</f>
        <v/>
      </c>
      <c r="L1937">
        <f>LET(
    arrears_months,'Loan Tape (S&amp;P)'!AN1937,
    IF(arrears_months=0,1.00,
    IF(arrears_months=1,3.00,
    IF(arrears_months=2,5.00,
    IF(arrears_months=3,8.00,
    IF(arrears_months=4,10.00,
    IF(arrears_months=5,12.00,15.00)))))))</f>
        <v/>
      </c>
      <c r="M1937">
        <f>LET(
    seasoning_years,DATEDIF('Loan Tape (S&amp;P)'!K1937,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37">
        <f>IF(AND('Loan Tape (S&amp;P)'!U1937="Yes",
        'Loan Tape (S&amp;P)'!T1937&lt;&gt;"Yes",
        DATEDIF('Loan Tape (S&amp;P)'!K1937, TODAY(), "M")&lt;18),
    1.10,
    1.00)</f>
        <v/>
      </c>
      <c r="O1937">
        <f>IF('Loan Tape (S&amp;P)'!T1937="Yes",
    1.35,
    1.00)</f>
        <v/>
      </c>
      <c r="P1937">
        <f>IF('Loan Tape (S&amp;P)'!S1937="Yes",
    1.15,
    1.00)</f>
        <v/>
      </c>
      <c r="Q1937">
        <f>IF('Loan Tape (S&amp;P)'!V1937="Yes",
    1.20,
    1.00)</f>
        <v/>
      </c>
      <c r="T1937">
        <f>LET(
    payment_method,'Loan Tape (S&amp;P)'!P1937,
    occupancy,'Loan Tape (S&amp;P)'!N1937,
    maturity_date,'Loan Tape (S&amp;P)'!L1937,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38">
      <c r="J1938">
        <f>LET(
    lien,'Loan Tape (S&amp;P)'!Q1938,
    IF(lien="First",1.00,
        IF(lien="Second",1.50,
            1.70)))</f>
        <v/>
      </c>
      <c r="K1938">
        <f>LET(
    purpose,'Loan Tape (S&amp;P)'!R1938,
    IF(purpose="Purchase",1.00,
        IF(purpose="Remortgage",1.00,
            1.20)))</f>
        <v/>
      </c>
      <c r="L1938">
        <f>LET(
    arrears_months,'Loan Tape (S&amp;P)'!AN1938,
    IF(arrears_months=0,1.00,
    IF(arrears_months=1,3.00,
    IF(arrears_months=2,5.00,
    IF(arrears_months=3,8.00,
    IF(arrears_months=4,10.00,
    IF(arrears_months=5,12.00,15.00)))))))</f>
        <v/>
      </c>
      <c r="M1938">
        <f>LET(
    seasoning_years,DATEDIF('Loan Tape (S&amp;P)'!K1938,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38">
        <f>IF(AND('Loan Tape (S&amp;P)'!U1938="Yes",
        'Loan Tape (S&amp;P)'!T1938&lt;&gt;"Yes",
        DATEDIF('Loan Tape (S&amp;P)'!K1938, TODAY(), "M")&lt;18),
    1.10,
    1.00)</f>
        <v/>
      </c>
      <c r="O1938">
        <f>IF('Loan Tape (S&amp;P)'!T1938="Yes",
    1.35,
    1.00)</f>
        <v/>
      </c>
      <c r="P1938">
        <f>IF('Loan Tape (S&amp;P)'!S1938="Yes",
    1.15,
    1.00)</f>
        <v/>
      </c>
      <c r="Q1938">
        <f>IF('Loan Tape (S&amp;P)'!V1938="Yes",
    1.20,
    1.00)</f>
        <v/>
      </c>
      <c r="T1938">
        <f>LET(
    payment_method,'Loan Tape (S&amp;P)'!P1938,
    occupancy,'Loan Tape (S&amp;P)'!N1938,
    maturity_date,'Loan Tape (S&amp;P)'!L1938,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39">
      <c r="J1939">
        <f>LET(
    lien,'Loan Tape (S&amp;P)'!Q1939,
    IF(lien="First",1.00,
        IF(lien="Second",1.50,
            1.70)))</f>
        <v/>
      </c>
      <c r="K1939">
        <f>LET(
    purpose,'Loan Tape (S&amp;P)'!R1939,
    IF(purpose="Purchase",1.00,
        IF(purpose="Remortgage",1.00,
            1.20)))</f>
        <v/>
      </c>
      <c r="L1939">
        <f>LET(
    arrears_months,'Loan Tape (S&amp;P)'!AN1939,
    IF(arrears_months=0,1.00,
    IF(arrears_months=1,3.00,
    IF(arrears_months=2,5.00,
    IF(arrears_months=3,8.00,
    IF(arrears_months=4,10.00,
    IF(arrears_months=5,12.00,15.00)))))))</f>
        <v/>
      </c>
      <c r="M1939">
        <f>LET(
    seasoning_years,DATEDIF('Loan Tape (S&amp;P)'!K1939,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39">
        <f>IF(AND('Loan Tape (S&amp;P)'!U1939="Yes",
        'Loan Tape (S&amp;P)'!T1939&lt;&gt;"Yes",
        DATEDIF('Loan Tape (S&amp;P)'!K1939, TODAY(), "M")&lt;18),
    1.10,
    1.00)</f>
        <v/>
      </c>
      <c r="O1939">
        <f>IF('Loan Tape (S&amp;P)'!T1939="Yes",
    1.35,
    1.00)</f>
        <v/>
      </c>
      <c r="P1939">
        <f>IF('Loan Tape (S&amp;P)'!S1939="Yes",
    1.15,
    1.00)</f>
        <v/>
      </c>
      <c r="Q1939">
        <f>IF('Loan Tape (S&amp;P)'!V1939="Yes",
    1.20,
    1.00)</f>
        <v/>
      </c>
      <c r="T1939">
        <f>LET(
    payment_method,'Loan Tape (S&amp;P)'!P1939,
    occupancy,'Loan Tape (S&amp;P)'!N1939,
    maturity_date,'Loan Tape (S&amp;P)'!L1939,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40">
      <c r="J1940">
        <f>LET(
    lien,'Loan Tape (S&amp;P)'!Q1940,
    IF(lien="First",1.00,
        IF(lien="Second",1.50,
            1.70)))</f>
        <v/>
      </c>
      <c r="K1940">
        <f>LET(
    purpose,'Loan Tape (S&amp;P)'!R1940,
    IF(purpose="Purchase",1.00,
        IF(purpose="Remortgage",1.00,
            1.20)))</f>
        <v/>
      </c>
      <c r="L1940">
        <f>LET(
    arrears_months,'Loan Tape (S&amp;P)'!AN1940,
    IF(arrears_months=0,1.00,
    IF(arrears_months=1,3.00,
    IF(arrears_months=2,5.00,
    IF(arrears_months=3,8.00,
    IF(arrears_months=4,10.00,
    IF(arrears_months=5,12.00,15.00)))))))</f>
        <v/>
      </c>
      <c r="M1940">
        <f>LET(
    seasoning_years,DATEDIF('Loan Tape (S&amp;P)'!K1940,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40">
        <f>IF(AND('Loan Tape (S&amp;P)'!U1940="Yes",
        'Loan Tape (S&amp;P)'!T1940&lt;&gt;"Yes",
        DATEDIF('Loan Tape (S&amp;P)'!K1940, TODAY(), "M")&lt;18),
    1.10,
    1.00)</f>
        <v/>
      </c>
      <c r="O1940">
        <f>IF('Loan Tape (S&amp;P)'!T1940="Yes",
    1.35,
    1.00)</f>
        <v/>
      </c>
      <c r="P1940">
        <f>IF('Loan Tape (S&amp;P)'!S1940="Yes",
    1.15,
    1.00)</f>
        <v/>
      </c>
      <c r="Q1940">
        <f>IF('Loan Tape (S&amp;P)'!V1940="Yes",
    1.20,
    1.00)</f>
        <v/>
      </c>
      <c r="T1940">
        <f>LET(
    payment_method,'Loan Tape (S&amp;P)'!P1940,
    occupancy,'Loan Tape (S&amp;P)'!N1940,
    maturity_date,'Loan Tape (S&amp;P)'!L1940,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41">
      <c r="J1941">
        <f>LET(
    lien,'Loan Tape (S&amp;P)'!Q1941,
    IF(lien="First",1.00,
        IF(lien="Second",1.50,
            1.70)))</f>
        <v/>
      </c>
      <c r="K1941">
        <f>LET(
    purpose,'Loan Tape (S&amp;P)'!R1941,
    IF(purpose="Purchase",1.00,
        IF(purpose="Remortgage",1.00,
            1.20)))</f>
        <v/>
      </c>
      <c r="L1941">
        <f>LET(
    arrears_months,'Loan Tape (S&amp;P)'!AN1941,
    IF(arrears_months=0,1.00,
    IF(arrears_months=1,3.00,
    IF(arrears_months=2,5.00,
    IF(arrears_months=3,8.00,
    IF(arrears_months=4,10.00,
    IF(arrears_months=5,12.00,15.00)))))))</f>
        <v/>
      </c>
      <c r="M1941">
        <f>LET(
    seasoning_years,DATEDIF('Loan Tape (S&amp;P)'!K1941,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41">
        <f>IF(AND('Loan Tape (S&amp;P)'!U1941="Yes",
        'Loan Tape (S&amp;P)'!T1941&lt;&gt;"Yes",
        DATEDIF('Loan Tape (S&amp;P)'!K1941, TODAY(), "M")&lt;18),
    1.10,
    1.00)</f>
        <v/>
      </c>
      <c r="O1941">
        <f>IF('Loan Tape (S&amp;P)'!T1941="Yes",
    1.35,
    1.00)</f>
        <v/>
      </c>
      <c r="P1941">
        <f>IF('Loan Tape (S&amp;P)'!S1941="Yes",
    1.15,
    1.00)</f>
        <v/>
      </c>
      <c r="Q1941">
        <f>IF('Loan Tape (S&amp;P)'!V1941="Yes",
    1.20,
    1.00)</f>
        <v/>
      </c>
      <c r="T1941">
        <f>LET(
    payment_method,'Loan Tape (S&amp;P)'!P1941,
    occupancy,'Loan Tape (S&amp;P)'!N1941,
    maturity_date,'Loan Tape (S&amp;P)'!L1941,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42">
      <c r="J1942">
        <f>LET(
    lien,'Loan Tape (S&amp;P)'!Q1942,
    IF(lien="First",1.00,
        IF(lien="Second",1.50,
            1.70)))</f>
        <v/>
      </c>
      <c r="K1942">
        <f>LET(
    purpose,'Loan Tape (S&amp;P)'!R1942,
    IF(purpose="Purchase",1.00,
        IF(purpose="Remortgage",1.00,
            1.20)))</f>
        <v/>
      </c>
      <c r="L1942">
        <f>LET(
    arrears_months,'Loan Tape (S&amp;P)'!AN1942,
    IF(arrears_months=0,1.00,
    IF(arrears_months=1,3.00,
    IF(arrears_months=2,5.00,
    IF(arrears_months=3,8.00,
    IF(arrears_months=4,10.00,
    IF(arrears_months=5,12.00,15.00)))))))</f>
        <v/>
      </c>
      <c r="M1942">
        <f>LET(
    seasoning_years,DATEDIF('Loan Tape (S&amp;P)'!K1942,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42">
        <f>IF(AND('Loan Tape (S&amp;P)'!U1942="Yes",
        'Loan Tape (S&amp;P)'!T1942&lt;&gt;"Yes",
        DATEDIF('Loan Tape (S&amp;P)'!K1942, TODAY(), "M")&lt;18),
    1.10,
    1.00)</f>
        <v/>
      </c>
      <c r="O1942">
        <f>IF('Loan Tape (S&amp;P)'!T1942="Yes",
    1.35,
    1.00)</f>
        <v/>
      </c>
      <c r="P1942">
        <f>IF('Loan Tape (S&amp;P)'!S1942="Yes",
    1.15,
    1.00)</f>
        <v/>
      </c>
      <c r="Q1942">
        <f>IF('Loan Tape (S&amp;P)'!V1942="Yes",
    1.20,
    1.00)</f>
        <v/>
      </c>
      <c r="T1942">
        <f>LET(
    payment_method,'Loan Tape (S&amp;P)'!P1942,
    occupancy,'Loan Tape (S&amp;P)'!N1942,
    maturity_date,'Loan Tape (S&amp;P)'!L1942,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43">
      <c r="J1943">
        <f>LET(
    lien,'Loan Tape (S&amp;P)'!Q1943,
    IF(lien="First",1.00,
        IF(lien="Second",1.50,
            1.70)))</f>
        <v/>
      </c>
      <c r="K1943">
        <f>LET(
    purpose,'Loan Tape (S&amp;P)'!R1943,
    IF(purpose="Purchase",1.00,
        IF(purpose="Remortgage",1.00,
            1.20)))</f>
        <v/>
      </c>
      <c r="L1943">
        <f>LET(
    arrears_months,'Loan Tape (S&amp;P)'!AN1943,
    IF(arrears_months=0,1.00,
    IF(arrears_months=1,3.00,
    IF(arrears_months=2,5.00,
    IF(arrears_months=3,8.00,
    IF(arrears_months=4,10.00,
    IF(arrears_months=5,12.00,15.00)))))))</f>
        <v/>
      </c>
      <c r="M1943">
        <f>LET(
    seasoning_years,DATEDIF('Loan Tape (S&amp;P)'!K1943,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43">
        <f>IF(AND('Loan Tape (S&amp;P)'!U1943="Yes",
        'Loan Tape (S&amp;P)'!T1943&lt;&gt;"Yes",
        DATEDIF('Loan Tape (S&amp;P)'!K1943, TODAY(), "M")&lt;18),
    1.10,
    1.00)</f>
        <v/>
      </c>
      <c r="O1943">
        <f>IF('Loan Tape (S&amp;P)'!T1943="Yes",
    1.35,
    1.00)</f>
        <v/>
      </c>
      <c r="P1943">
        <f>IF('Loan Tape (S&amp;P)'!S1943="Yes",
    1.15,
    1.00)</f>
        <v/>
      </c>
      <c r="Q1943">
        <f>IF('Loan Tape (S&amp;P)'!V1943="Yes",
    1.20,
    1.00)</f>
        <v/>
      </c>
      <c r="T1943">
        <f>LET(
    payment_method,'Loan Tape (S&amp;P)'!P1943,
    occupancy,'Loan Tape (S&amp;P)'!N1943,
    maturity_date,'Loan Tape (S&amp;P)'!L1943,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44">
      <c r="J1944">
        <f>LET(
    lien,'Loan Tape (S&amp;P)'!Q1944,
    IF(lien="First",1.00,
        IF(lien="Second",1.50,
            1.70)))</f>
        <v/>
      </c>
      <c r="K1944">
        <f>LET(
    purpose,'Loan Tape (S&amp;P)'!R1944,
    IF(purpose="Purchase",1.00,
        IF(purpose="Remortgage",1.00,
            1.20)))</f>
        <v/>
      </c>
      <c r="L1944">
        <f>LET(
    arrears_months,'Loan Tape (S&amp;P)'!AN1944,
    IF(arrears_months=0,1.00,
    IF(arrears_months=1,3.00,
    IF(arrears_months=2,5.00,
    IF(arrears_months=3,8.00,
    IF(arrears_months=4,10.00,
    IF(arrears_months=5,12.00,15.00)))))))</f>
        <v/>
      </c>
      <c r="M1944">
        <f>LET(
    seasoning_years,DATEDIF('Loan Tape (S&amp;P)'!K1944,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44">
        <f>IF(AND('Loan Tape (S&amp;P)'!U1944="Yes",
        'Loan Tape (S&amp;P)'!T1944&lt;&gt;"Yes",
        DATEDIF('Loan Tape (S&amp;P)'!K1944, TODAY(), "M")&lt;18),
    1.10,
    1.00)</f>
        <v/>
      </c>
      <c r="O1944">
        <f>IF('Loan Tape (S&amp;P)'!T1944="Yes",
    1.35,
    1.00)</f>
        <v/>
      </c>
      <c r="P1944">
        <f>IF('Loan Tape (S&amp;P)'!S1944="Yes",
    1.15,
    1.00)</f>
        <v/>
      </c>
      <c r="Q1944">
        <f>IF('Loan Tape (S&amp;P)'!V1944="Yes",
    1.20,
    1.00)</f>
        <v/>
      </c>
      <c r="T1944">
        <f>LET(
    payment_method,'Loan Tape (S&amp;P)'!P1944,
    occupancy,'Loan Tape (S&amp;P)'!N1944,
    maturity_date,'Loan Tape (S&amp;P)'!L1944,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45">
      <c r="J1945">
        <f>LET(
    lien,'Loan Tape (S&amp;P)'!Q1945,
    IF(lien="First",1.00,
        IF(lien="Second",1.50,
            1.70)))</f>
        <v/>
      </c>
      <c r="K1945">
        <f>LET(
    purpose,'Loan Tape (S&amp;P)'!R1945,
    IF(purpose="Purchase",1.00,
        IF(purpose="Remortgage",1.00,
            1.20)))</f>
        <v/>
      </c>
      <c r="L1945">
        <f>LET(
    arrears_months,'Loan Tape (S&amp;P)'!AN1945,
    IF(arrears_months=0,1.00,
    IF(arrears_months=1,3.00,
    IF(arrears_months=2,5.00,
    IF(arrears_months=3,8.00,
    IF(arrears_months=4,10.00,
    IF(arrears_months=5,12.00,15.00)))))))</f>
        <v/>
      </c>
      <c r="M1945">
        <f>LET(
    seasoning_years,DATEDIF('Loan Tape (S&amp;P)'!K1945,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45">
        <f>IF(AND('Loan Tape (S&amp;P)'!U1945="Yes",
        'Loan Tape (S&amp;P)'!T1945&lt;&gt;"Yes",
        DATEDIF('Loan Tape (S&amp;P)'!K1945, TODAY(), "M")&lt;18),
    1.10,
    1.00)</f>
        <v/>
      </c>
      <c r="O1945">
        <f>IF('Loan Tape (S&amp;P)'!T1945="Yes",
    1.35,
    1.00)</f>
        <v/>
      </c>
      <c r="P1945">
        <f>IF('Loan Tape (S&amp;P)'!S1945="Yes",
    1.15,
    1.00)</f>
        <v/>
      </c>
      <c r="Q1945">
        <f>IF('Loan Tape (S&amp;P)'!V1945="Yes",
    1.20,
    1.00)</f>
        <v/>
      </c>
      <c r="T1945">
        <f>LET(
    payment_method,'Loan Tape (S&amp;P)'!P1945,
    occupancy,'Loan Tape (S&amp;P)'!N1945,
    maturity_date,'Loan Tape (S&amp;P)'!L1945,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46">
      <c r="J1946">
        <f>LET(
    lien,'Loan Tape (S&amp;P)'!Q1946,
    IF(lien="First",1.00,
        IF(lien="Second",1.50,
            1.70)))</f>
        <v/>
      </c>
      <c r="K1946">
        <f>LET(
    purpose,'Loan Tape (S&amp;P)'!R1946,
    IF(purpose="Purchase",1.00,
        IF(purpose="Remortgage",1.00,
            1.20)))</f>
        <v/>
      </c>
      <c r="L1946">
        <f>LET(
    arrears_months,'Loan Tape (S&amp;P)'!AN1946,
    IF(arrears_months=0,1.00,
    IF(arrears_months=1,3.00,
    IF(arrears_months=2,5.00,
    IF(arrears_months=3,8.00,
    IF(arrears_months=4,10.00,
    IF(arrears_months=5,12.00,15.00)))))))</f>
        <v/>
      </c>
      <c r="M1946">
        <f>LET(
    seasoning_years,DATEDIF('Loan Tape (S&amp;P)'!K1946,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46">
        <f>IF(AND('Loan Tape (S&amp;P)'!U1946="Yes",
        'Loan Tape (S&amp;P)'!T1946&lt;&gt;"Yes",
        DATEDIF('Loan Tape (S&amp;P)'!K1946, TODAY(), "M")&lt;18),
    1.10,
    1.00)</f>
        <v/>
      </c>
      <c r="O1946">
        <f>IF('Loan Tape (S&amp;P)'!T1946="Yes",
    1.35,
    1.00)</f>
        <v/>
      </c>
      <c r="P1946">
        <f>IF('Loan Tape (S&amp;P)'!S1946="Yes",
    1.15,
    1.00)</f>
        <v/>
      </c>
      <c r="Q1946">
        <f>IF('Loan Tape (S&amp;P)'!V1946="Yes",
    1.20,
    1.00)</f>
        <v/>
      </c>
      <c r="T1946">
        <f>LET(
    payment_method,'Loan Tape (S&amp;P)'!P1946,
    occupancy,'Loan Tape (S&amp;P)'!N1946,
    maturity_date,'Loan Tape (S&amp;P)'!L1946,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47">
      <c r="J1947">
        <f>LET(
    lien,'Loan Tape (S&amp;P)'!Q1947,
    IF(lien="First",1.00,
        IF(lien="Second",1.50,
            1.70)))</f>
        <v/>
      </c>
      <c r="K1947">
        <f>LET(
    purpose,'Loan Tape (S&amp;P)'!R1947,
    IF(purpose="Purchase",1.00,
        IF(purpose="Remortgage",1.00,
            1.20)))</f>
        <v/>
      </c>
      <c r="L1947">
        <f>LET(
    arrears_months,'Loan Tape (S&amp;P)'!AN1947,
    IF(arrears_months=0,1.00,
    IF(arrears_months=1,3.00,
    IF(arrears_months=2,5.00,
    IF(arrears_months=3,8.00,
    IF(arrears_months=4,10.00,
    IF(arrears_months=5,12.00,15.00)))))))</f>
        <v/>
      </c>
      <c r="M1947">
        <f>LET(
    seasoning_years,DATEDIF('Loan Tape (S&amp;P)'!K1947,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47">
        <f>IF(AND('Loan Tape (S&amp;P)'!U1947="Yes",
        'Loan Tape (S&amp;P)'!T1947&lt;&gt;"Yes",
        DATEDIF('Loan Tape (S&amp;P)'!K1947, TODAY(), "M")&lt;18),
    1.10,
    1.00)</f>
        <v/>
      </c>
      <c r="O1947">
        <f>IF('Loan Tape (S&amp;P)'!T1947="Yes",
    1.35,
    1.00)</f>
        <v/>
      </c>
      <c r="P1947">
        <f>IF('Loan Tape (S&amp;P)'!S1947="Yes",
    1.15,
    1.00)</f>
        <v/>
      </c>
      <c r="Q1947">
        <f>IF('Loan Tape (S&amp;P)'!V1947="Yes",
    1.20,
    1.00)</f>
        <v/>
      </c>
      <c r="T1947">
        <f>LET(
    payment_method,'Loan Tape (S&amp;P)'!P1947,
    occupancy,'Loan Tape (S&amp;P)'!N1947,
    maturity_date,'Loan Tape (S&amp;P)'!L1947,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48">
      <c r="J1948">
        <f>LET(
    lien,'Loan Tape (S&amp;P)'!Q1948,
    IF(lien="First",1.00,
        IF(lien="Second",1.50,
            1.70)))</f>
        <v/>
      </c>
      <c r="K1948">
        <f>LET(
    purpose,'Loan Tape (S&amp;P)'!R1948,
    IF(purpose="Purchase",1.00,
        IF(purpose="Remortgage",1.00,
            1.20)))</f>
        <v/>
      </c>
      <c r="L1948">
        <f>LET(
    arrears_months,'Loan Tape (S&amp;P)'!AN1948,
    IF(arrears_months=0,1.00,
    IF(arrears_months=1,3.00,
    IF(arrears_months=2,5.00,
    IF(arrears_months=3,8.00,
    IF(arrears_months=4,10.00,
    IF(arrears_months=5,12.00,15.00)))))))</f>
        <v/>
      </c>
      <c r="M1948">
        <f>LET(
    seasoning_years,DATEDIF('Loan Tape (S&amp;P)'!K1948,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48">
        <f>IF(AND('Loan Tape (S&amp;P)'!U1948="Yes",
        'Loan Tape (S&amp;P)'!T1948&lt;&gt;"Yes",
        DATEDIF('Loan Tape (S&amp;P)'!K1948, TODAY(), "M")&lt;18),
    1.10,
    1.00)</f>
        <v/>
      </c>
      <c r="O1948">
        <f>IF('Loan Tape (S&amp;P)'!T1948="Yes",
    1.35,
    1.00)</f>
        <v/>
      </c>
      <c r="P1948">
        <f>IF('Loan Tape (S&amp;P)'!S1948="Yes",
    1.15,
    1.00)</f>
        <v/>
      </c>
      <c r="Q1948">
        <f>IF('Loan Tape (S&amp;P)'!V1948="Yes",
    1.20,
    1.00)</f>
        <v/>
      </c>
      <c r="T1948">
        <f>LET(
    payment_method,'Loan Tape (S&amp;P)'!P1948,
    occupancy,'Loan Tape (S&amp;P)'!N1948,
    maturity_date,'Loan Tape (S&amp;P)'!L1948,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49">
      <c r="J1949">
        <f>LET(
    lien,'Loan Tape (S&amp;P)'!Q1949,
    IF(lien="First",1.00,
        IF(lien="Second",1.50,
            1.70)))</f>
        <v/>
      </c>
      <c r="K1949">
        <f>LET(
    purpose,'Loan Tape (S&amp;P)'!R1949,
    IF(purpose="Purchase",1.00,
        IF(purpose="Remortgage",1.00,
            1.20)))</f>
        <v/>
      </c>
      <c r="L1949">
        <f>LET(
    arrears_months,'Loan Tape (S&amp;P)'!AN1949,
    IF(arrears_months=0,1.00,
    IF(arrears_months=1,3.00,
    IF(arrears_months=2,5.00,
    IF(arrears_months=3,8.00,
    IF(arrears_months=4,10.00,
    IF(arrears_months=5,12.00,15.00)))))))</f>
        <v/>
      </c>
      <c r="M1949">
        <f>LET(
    seasoning_years,DATEDIF('Loan Tape (S&amp;P)'!K1949,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49">
        <f>IF(AND('Loan Tape (S&amp;P)'!U1949="Yes",
        'Loan Tape (S&amp;P)'!T1949&lt;&gt;"Yes",
        DATEDIF('Loan Tape (S&amp;P)'!K1949, TODAY(), "M")&lt;18),
    1.10,
    1.00)</f>
        <v/>
      </c>
      <c r="O1949">
        <f>IF('Loan Tape (S&amp;P)'!T1949="Yes",
    1.35,
    1.00)</f>
        <v/>
      </c>
      <c r="P1949">
        <f>IF('Loan Tape (S&amp;P)'!S1949="Yes",
    1.15,
    1.00)</f>
        <v/>
      </c>
      <c r="Q1949">
        <f>IF('Loan Tape (S&amp;P)'!V1949="Yes",
    1.20,
    1.00)</f>
        <v/>
      </c>
      <c r="T1949">
        <f>LET(
    payment_method,'Loan Tape (S&amp;P)'!P1949,
    occupancy,'Loan Tape (S&amp;P)'!N1949,
    maturity_date,'Loan Tape (S&amp;P)'!L1949,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50">
      <c r="J1950">
        <f>LET(
    lien,'Loan Tape (S&amp;P)'!Q1950,
    IF(lien="First",1.00,
        IF(lien="Second",1.50,
            1.70)))</f>
        <v/>
      </c>
      <c r="K1950">
        <f>LET(
    purpose,'Loan Tape (S&amp;P)'!R1950,
    IF(purpose="Purchase",1.00,
        IF(purpose="Remortgage",1.00,
            1.20)))</f>
        <v/>
      </c>
      <c r="L1950">
        <f>LET(
    arrears_months,'Loan Tape (S&amp;P)'!AN1950,
    IF(arrears_months=0,1.00,
    IF(arrears_months=1,3.00,
    IF(arrears_months=2,5.00,
    IF(arrears_months=3,8.00,
    IF(arrears_months=4,10.00,
    IF(arrears_months=5,12.00,15.00)))))))</f>
        <v/>
      </c>
      <c r="M1950">
        <f>LET(
    seasoning_years,DATEDIF('Loan Tape (S&amp;P)'!K1950,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50">
        <f>IF(AND('Loan Tape (S&amp;P)'!U1950="Yes",
        'Loan Tape (S&amp;P)'!T1950&lt;&gt;"Yes",
        DATEDIF('Loan Tape (S&amp;P)'!K1950, TODAY(), "M")&lt;18),
    1.10,
    1.00)</f>
        <v/>
      </c>
      <c r="O1950">
        <f>IF('Loan Tape (S&amp;P)'!T1950="Yes",
    1.35,
    1.00)</f>
        <v/>
      </c>
      <c r="P1950">
        <f>IF('Loan Tape (S&amp;P)'!S1950="Yes",
    1.15,
    1.00)</f>
        <v/>
      </c>
      <c r="Q1950">
        <f>IF('Loan Tape (S&amp;P)'!V1950="Yes",
    1.20,
    1.00)</f>
        <v/>
      </c>
      <c r="T1950">
        <f>LET(
    payment_method,'Loan Tape (S&amp;P)'!P1950,
    occupancy,'Loan Tape (S&amp;P)'!N1950,
    maturity_date,'Loan Tape (S&amp;P)'!L1950,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51">
      <c r="J1951">
        <f>LET(
    lien,'Loan Tape (S&amp;P)'!Q1951,
    IF(lien="First",1.00,
        IF(lien="Second",1.50,
            1.70)))</f>
        <v/>
      </c>
      <c r="K1951">
        <f>LET(
    purpose,'Loan Tape (S&amp;P)'!R1951,
    IF(purpose="Purchase",1.00,
        IF(purpose="Remortgage",1.00,
            1.20)))</f>
        <v/>
      </c>
      <c r="L1951">
        <f>LET(
    arrears_months,'Loan Tape (S&amp;P)'!AN1951,
    IF(arrears_months=0,1.00,
    IF(arrears_months=1,3.00,
    IF(arrears_months=2,5.00,
    IF(arrears_months=3,8.00,
    IF(arrears_months=4,10.00,
    IF(arrears_months=5,12.00,15.00)))))))</f>
        <v/>
      </c>
      <c r="M1951">
        <f>LET(
    seasoning_years,DATEDIF('Loan Tape (S&amp;P)'!K1951,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51">
        <f>IF(AND('Loan Tape (S&amp;P)'!U1951="Yes",
        'Loan Tape (S&amp;P)'!T1951&lt;&gt;"Yes",
        DATEDIF('Loan Tape (S&amp;P)'!K1951, TODAY(), "M")&lt;18),
    1.10,
    1.00)</f>
        <v/>
      </c>
      <c r="O1951">
        <f>IF('Loan Tape (S&amp;P)'!T1951="Yes",
    1.35,
    1.00)</f>
        <v/>
      </c>
      <c r="P1951">
        <f>IF('Loan Tape (S&amp;P)'!S1951="Yes",
    1.15,
    1.00)</f>
        <v/>
      </c>
      <c r="Q1951">
        <f>IF('Loan Tape (S&amp;P)'!V1951="Yes",
    1.20,
    1.00)</f>
        <v/>
      </c>
      <c r="T1951">
        <f>LET(
    payment_method,'Loan Tape (S&amp;P)'!P1951,
    occupancy,'Loan Tape (S&amp;P)'!N1951,
    maturity_date,'Loan Tape (S&amp;P)'!L1951,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52">
      <c r="J1952">
        <f>LET(
    lien,'Loan Tape (S&amp;P)'!Q1952,
    IF(lien="First",1.00,
        IF(lien="Second",1.50,
            1.70)))</f>
        <v/>
      </c>
      <c r="K1952">
        <f>LET(
    purpose,'Loan Tape (S&amp;P)'!R1952,
    IF(purpose="Purchase",1.00,
        IF(purpose="Remortgage",1.00,
            1.20)))</f>
        <v/>
      </c>
      <c r="L1952">
        <f>LET(
    arrears_months,'Loan Tape (S&amp;P)'!AN1952,
    IF(arrears_months=0,1.00,
    IF(arrears_months=1,3.00,
    IF(arrears_months=2,5.00,
    IF(arrears_months=3,8.00,
    IF(arrears_months=4,10.00,
    IF(arrears_months=5,12.00,15.00)))))))</f>
        <v/>
      </c>
      <c r="M1952">
        <f>LET(
    seasoning_years,DATEDIF('Loan Tape (S&amp;P)'!K1952,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52">
        <f>IF(AND('Loan Tape (S&amp;P)'!U1952="Yes",
        'Loan Tape (S&amp;P)'!T1952&lt;&gt;"Yes",
        DATEDIF('Loan Tape (S&amp;P)'!K1952, TODAY(), "M")&lt;18),
    1.10,
    1.00)</f>
        <v/>
      </c>
      <c r="O1952">
        <f>IF('Loan Tape (S&amp;P)'!T1952="Yes",
    1.35,
    1.00)</f>
        <v/>
      </c>
      <c r="P1952">
        <f>IF('Loan Tape (S&amp;P)'!S1952="Yes",
    1.15,
    1.00)</f>
        <v/>
      </c>
      <c r="Q1952">
        <f>IF('Loan Tape (S&amp;P)'!V1952="Yes",
    1.20,
    1.00)</f>
        <v/>
      </c>
      <c r="T1952">
        <f>LET(
    payment_method,'Loan Tape (S&amp;P)'!P1952,
    occupancy,'Loan Tape (S&amp;P)'!N1952,
    maturity_date,'Loan Tape (S&amp;P)'!L1952,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53">
      <c r="J1953">
        <f>LET(
    lien,'Loan Tape (S&amp;P)'!Q1953,
    IF(lien="First",1.00,
        IF(lien="Second",1.50,
            1.70)))</f>
        <v/>
      </c>
      <c r="K1953">
        <f>LET(
    purpose,'Loan Tape (S&amp;P)'!R1953,
    IF(purpose="Purchase",1.00,
        IF(purpose="Remortgage",1.00,
            1.20)))</f>
        <v/>
      </c>
      <c r="L1953">
        <f>LET(
    arrears_months,'Loan Tape (S&amp;P)'!AN1953,
    IF(arrears_months=0,1.00,
    IF(arrears_months=1,3.00,
    IF(arrears_months=2,5.00,
    IF(arrears_months=3,8.00,
    IF(arrears_months=4,10.00,
    IF(arrears_months=5,12.00,15.00)))))))</f>
        <v/>
      </c>
      <c r="M1953">
        <f>LET(
    seasoning_years,DATEDIF('Loan Tape (S&amp;P)'!K1953,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53">
        <f>IF(AND('Loan Tape (S&amp;P)'!U1953="Yes",
        'Loan Tape (S&amp;P)'!T1953&lt;&gt;"Yes",
        DATEDIF('Loan Tape (S&amp;P)'!K1953, TODAY(), "M")&lt;18),
    1.10,
    1.00)</f>
        <v/>
      </c>
      <c r="O1953">
        <f>IF('Loan Tape (S&amp;P)'!T1953="Yes",
    1.35,
    1.00)</f>
        <v/>
      </c>
      <c r="P1953">
        <f>IF('Loan Tape (S&amp;P)'!S1953="Yes",
    1.15,
    1.00)</f>
        <v/>
      </c>
      <c r="Q1953">
        <f>IF('Loan Tape (S&amp;P)'!V1953="Yes",
    1.20,
    1.00)</f>
        <v/>
      </c>
      <c r="T1953">
        <f>LET(
    payment_method,'Loan Tape (S&amp;P)'!P1953,
    occupancy,'Loan Tape (S&amp;P)'!N1953,
    maturity_date,'Loan Tape (S&amp;P)'!L1953,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54">
      <c r="J1954">
        <f>LET(
    lien,'Loan Tape (S&amp;P)'!Q1954,
    IF(lien="First",1.00,
        IF(lien="Second",1.50,
            1.70)))</f>
        <v/>
      </c>
      <c r="K1954">
        <f>LET(
    purpose,'Loan Tape (S&amp;P)'!R1954,
    IF(purpose="Purchase",1.00,
        IF(purpose="Remortgage",1.00,
            1.20)))</f>
        <v/>
      </c>
      <c r="L1954">
        <f>LET(
    arrears_months,'Loan Tape (S&amp;P)'!AN1954,
    IF(arrears_months=0,1.00,
    IF(arrears_months=1,3.00,
    IF(arrears_months=2,5.00,
    IF(arrears_months=3,8.00,
    IF(arrears_months=4,10.00,
    IF(arrears_months=5,12.00,15.00)))))))</f>
        <v/>
      </c>
      <c r="M1954">
        <f>LET(
    seasoning_years,DATEDIF('Loan Tape (S&amp;P)'!K1954,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54">
        <f>IF(AND('Loan Tape (S&amp;P)'!U1954="Yes",
        'Loan Tape (S&amp;P)'!T1954&lt;&gt;"Yes",
        DATEDIF('Loan Tape (S&amp;P)'!K1954, TODAY(), "M")&lt;18),
    1.10,
    1.00)</f>
        <v/>
      </c>
      <c r="O1954">
        <f>IF('Loan Tape (S&amp;P)'!T1954="Yes",
    1.35,
    1.00)</f>
        <v/>
      </c>
      <c r="P1954">
        <f>IF('Loan Tape (S&amp;P)'!S1954="Yes",
    1.15,
    1.00)</f>
        <v/>
      </c>
      <c r="Q1954">
        <f>IF('Loan Tape (S&amp;P)'!V1954="Yes",
    1.20,
    1.00)</f>
        <v/>
      </c>
      <c r="T1954">
        <f>LET(
    payment_method,'Loan Tape (S&amp;P)'!P1954,
    occupancy,'Loan Tape (S&amp;P)'!N1954,
    maturity_date,'Loan Tape (S&amp;P)'!L1954,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55">
      <c r="J1955">
        <f>LET(
    lien,'Loan Tape (S&amp;P)'!Q1955,
    IF(lien="First",1.00,
        IF(lien="Second",1.50,
            1.70)))</f>
        <v/>
      </c>
      <c r="K1955">
        <f>LET(
    purpose,'Loan Tape (S&amp;P)'!R1955,
    IF(purpose="Purchase",1.00,
        IF(purpose="Remortgage",1.00,
            1.20)))</f>
        <v/>
      </c>
      <c r="L1955">
        <f>LET(
    arrears_months,'Loan Tape (S&amp;P)'!AN1955,
    IF(arrears_months=0,1.00,
    IF(arrears_months=1,3.00,
    IF(arrears_months=2,5.00,
    IF(arrears_months=3,8.00,
    IF(arrears_months=4,10.00,
    IF(arrears_months=5,12.00,15.00)))))))</f>
        <v/>
      </c>
      <c r="M1955">
        <f>LET(
    seasoning_years,DATEDIF('Loan Tape (S&amp;P)'!K1955,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55">
        <f>IF(AND('Loan Tape (S&amp;P)'!U1955="Yes",
        'Loan Tape (S&amp;P)'!T1955&lt;&gt;"Yes",
        DATEDIF('Loan Tape (S&amp;P)'!K1955, TODAY(), "M")&lt;18),
    1.10,
    1.00)</f>
        <v/>
      </c>
      <c r="O1955">
        <f>IF('Loan Tape (S&amp;P)'!T1955="Yes",
    1.35,
    1.00)</f>
        <v/>
      </c>
      <c r="P1955">
        <f>IF('Loan Tape (S&amp;P)'!S1955="Yes",
    1.15,
    1.00)</f>
        <v/>
      </c>
      <c r="Q1955">
        <f>IF('Loan Tape (S&amp;P)'!V1955="Yes",
    1.20,
    1.00)</f>
        <v/>
      </c>
      <c r="T1955">
        <f>LET(
    payment_method,'Loan Tape (S&amp;P)'!P1955,
    occupancy,'Loan Tape (S&amp;P)'!N1955,
    maturity_date,'Loan Tape (S&amp;P)'!L1955,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56">
      <c r="J1956">
        <f>LET(
    lien,'Loan Tape (S&amp;P)'!Q1956,
    IF(lien="First",1.00,
        IF(lien="Second",1.50,
            1.70)))</f>
        <v/>
      </c>
      <c r="K1956">
        <f>LET(
    purpose,'Loan Tape (S&amp;P)'!R1956,
    IF(purpose="Purchase",1.00,
        IF(purpose="Remortgage",1.00,
            1.20)))</f>
        <v/>
      </c>
      <c r="L1956">
        <f>LET(
    arrears_months,'Loan Tape (S&amp;P)'!AN1956,
    IF(arrears_months=0,1.00,
    IF(arrears_months=1,3.00,
    IF(arrears_months=2,5.00,
    IF(arrears_months=3,8.00,
    IF(arrears_months=4,10.00,
    IF(arrears_months=5,12.00,15.00)))))))</f>
        <v/>
      </c>
      <c r="M1956">
        <f>LET(
    seasoning_years,DATEDIF('Loan Tape (S&amp;P)'!K1956,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56">
        <f>IF(AND('Loan Tape (S&amp;P)'!U1956="Yes",
        'Loan Tape (S&amp;P)'!T1956&lt;&gt;"Yes",
        DATEDIF('Loan Tape (S&amp;P)'!K1956, TODAY(), "M")&lt;18),
    1.10,
    1.00)</f>
        <v/>
      </c>
      <c r="O1956">
        <f>IF('Loan Tape (S&amp;P)'!T1956="Yes",
    1.35,
    1.00)</f>
        <v/>
      </c>
      <c r="P1956">
        <f>IF('Loan Tape (S&amp;P)'!S1956="Yes",
    1.15,
    1.00)</f>
        <v/>
      </c>
      <c r="Q1956">
        <f>IF('Loan Tape (S&amp;P)'!V1956="Yes",
    1.20,
    1.00)</f>
        <v/>
      </c>
      <c r="T1956">
        <f>LET(
    payment_method,'Loan Tape (S&amp;P)'!P1956,
    occupancy,'Loan Tape (S&amp;P)'!N1956,
    maturity_date,'Loan Tape (S&amp;P)'!L1956,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57">
      <c r="J1957">
        <f>LET(
    lien,'Loan Tape (S&amp;P)'!Q1957,
    IF(lien="First",1.00,
        IF(lien="Second",1.50,
            1.70)))</f>
        <v/>
      </c>
      <c r="K1957">
        <f>LET(
    purpose,'Loan Tape (S&amp;P)'!R1957,
    IF(purpose="Purchase",1.00,
        IF(purpose="Remortgage",1.00,
            1.20)))</f>
        <v/>
      </c>
      <c r="L1957">
        <f>LET(
    arrears_months,'Loan Tape (S&amp;P)'!AN1957,
    IF(arrears_months=0,1.00,
    IF(arrears_months=1,3.00,
    IF(arrears_months=2,5.00,
    IF(arrears_months=3,8.00,
    IF(arrears_months=4,10.00,
    IF(arrears_months=5,12.00,15.00)))))))</f>
        <v/>
      </c>
      <c r="M1957">
        <f>LET(
    seasoning_years,DATEDIF('Loan Tape (S&amp;P)'!K1957,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57">
        <f>IF(AND('Loan Tape (S&amp;P)'!U1957="Yes",
        'Loan Tape (S&amp;P)'!T1957&lt;&gt;"Yes",
        DATEDIF('Loan Tape (S&amp;P)'!K1957, TODAY(), "M")&lt;18),
    1.10,
    1.00)</f>
        <v/>
      </c>
      <c r="O1957">
        <f>IF('Loan Tape (S&amp;P)'!T1957="Yes",
    1.35,
    1.00)</f>
        <v/>
      </c>
      <c r="P1957">
        <f>IF('Loan Tape (S&amp;P)'!S1957="Yes",
    1.15,
    1.00)</f>
        <v/>
      </c>
      <c r="Q1957">
        <f>IF('Loan Tape (S&amp;P)'!V1957="Yes",
    1.20,
    1.00)</f>
        <v/>
      </c>
      <c r="T1957">
        <f>LET(
    payment_method,'Loan Tape (S&amp;P)'!P1957,
    occupancy,'Loan Tape (S&amp;P)'!N1957,
    maturity_date,'Loan Tape (S&amp;P)'!L1957,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58">
      <c r="J1958">
        <f>LET(
    lien,'Loan Tape (S&amp;P)'!Q1958,
    IF(lien="First",1.00,
        IF(lien="Second",1.50,
            1.70)))</f>
        <v/>
      </c>
      <c r="K1958">
        <f>LET(
    purpose,'Loan Tape (S&amp;P)'!R1958,
    IF(purpose="Purchase",1.00,
        IF(purpose="Remortgage",1.00,
            1.20)))</f>
        <v/>
      </c>
      <c r="L1958">
        <f>LET(
    arrears_months,'Loan Tape (S&amp;P)'!AN1958,
    IF(arrears_months=0,1.00,
    IF(arrears_months=1,3.00,
    IF(arrears_months=2,5.00,
    IF(arrears_months=3,8.00,
    IF(arrears_months=4,10.00,
    IF(arrears_months=5,12.00,15.00)))))))</f>
        <v/>
      </c>
      <c r="M1958">
        <f>LET(
    seasoning_years,DATEDIF('Loan Tape (S&amp;P)'!K1958,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58">
        <f>IF(AND('Loan Tape (S&amp;P)'!U1958="Yes",
        'Loan Tape (S&amp;P)'!T1958&lt;&gt;"Yes",
        DATEDIF('Loan Tape (S&amp;P)'!K1958, TODAY(), "M")&lt;18),
    1.10,
    1.00)</f>
        <v/>
      </c>
      <c r="O1958">
        <f>IF('Loan Tape (S&amp;P)'!T1958="Yes",
    1.35,
    1.00)</f>
        <v/>
      </c>
      <c r="P1958">
        <f>IF('Loan Tape (S&amp;P)'!S1958="Yes",
    1.15,
    1.00)</f>
        <v/>
      </c>
      <c r="Q1958">
        <f>IF('Loan Tape (S&amp;P)'!V1958="Yes",
    1.20,
    1.00)</f>
        <v/>
      </c>
      <c r="T1958">
        <f>LET(
    payment_method,'Loan Tape (S&amp;P)'!P1958,
    occupancy,'Loan Tape (S&amp;P)'!N1958,
    maturity_date,'Loan Tape (S&amp;P)'!L1958,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59">
      <c r="J1959">
        <f>LET(
    lien,'Loan Tape (S&amp;P)'!Q1959,
    IF(lien="First",1.00,
        IF(lien="Second",1.50,
            1.70)))</f>
        <v/>
      </c>
      <c r="K1959">
        <f>LET(
    purpose,'Loan Tape (S&amp;P)'!R1959,
    IF(purpose="Purchase",1.00,
        IF(purpose="Remortgage",1.00,
            1.20)))</f>
        <v/>
      </c>
      <c r="L1959">
        <f>LET(
    arrears_months,'Loan Tape (S&amp;P)'!AN1959,
    IF(arrears_months=0,1.00,
    IF(arrears_months=1,3.00,
    IF(arrears_months=2,5.00,
    IF(arrears_months=3,8.00,
    IF(arrears_months=4,10.00,
    IF(arrears_months=5,12.00,15.00)))))))</f>
        <v/>
      </c>
      <c r="M1959">
        <f>LET(
    seasoning_years,DATEDIF('Loan Tape (S&amp;P)'!K1959,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59">
        <f>IF(AND('Loan Tape (S&amp;P)'!U1959="Yes",
        'Loan Tape (S&amp;P)'!T1959&lt;&gt;"Yes",
        DATEDIF('Loan Tape (S&amp;P)'!K1959, TODAY(), "M")&lt;18),
    1.10,
    1.00)</f>
        <v/>
      </c>
      <c r="O1959">
        <f>IF('Loan Tape (S&amp;P)'!T1959="Yes",
    1.35,
    1.00)</f>
        <v/>
      </c>
      <c r="P1959">
        <f>IF('Loan Tape (S&amp;P)'!S1959="Yes",
    1.15,
    1.00)</f>
        <v/>
      </c>
      <c r="Q1959">
        <f>IF('Loan Tape (S&amp;P)'!V1959="Yes",
    1.20,
    1.00)</f>
        <v/>
      </c>
      <c r="T1959">
        <f>LET(
    payment_method,'Loan Tape (S&amp;P)'!P1959,
    occupancy,'Loan Tape (S&amp;P)'!N1959,
    maturity_date,'Loan Tape (S&amp;P)'!L1959,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60">
      <c r="J1960">
        <f>LET(
    lien,'Loan Tape (S&amp;P)'!Q1960,
    IF(lien="First",1.00,
        IF(lien="Second",1.50,
            1.70)))</f>
        <v/>
      </c>
      <c r="K1960">
        <f>LET(
    purpose,'Loan Tape (S&amp;P)'!R1960,
    IF(purpose="Purchase",1.00,
        IF(purpose="Remortgage",1.00,
            1.20)))</f>
        <v/>
      </c>
      <c r="L1960">
        <f>LET(
    arrears_months,'Loan Tape (S&amp;P)'!AN1960,
    IF(arrears_months=0,1.00,
    IF(arrears_months=1,3.00,
    IF(arrears_months=2,5.00,
    IF(arrears_months=3,8.00,
    IF(arrears_months=4,10.00,
    IF(arrears_months=5,12.00,15.00)))))))</f>
        <v/>
      </c>
      <c r="M1960">
        <f>LET(
    seasoning_years,DATEDIF('Loan Tape (S&amp;P)'!K1960,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60">
        <f>IF(AND('Loan Tape (S&amp;P)'!U1960="Yes",
        'Loan Tape (S&amp;P)'!T1960&lt;&gt;"Yes",
        DATEDIF('Loan Tape (S&amp;P)'!K1960, TODAY(), "M")&lt;18),
    1.10,
    1.00)</f>
        <v/>
      </c>
      <c r="O1960">
        <f>IF('Loan Tape (S&amp;P)'!T1960="Yes",
    1.35,
    1.00)</f>
        <v/>
      </c>
      <c r="P1960">
        <f>IF('Loan Tape (S&amp;P)'!S1960="Yes",
    1.15,
    1.00)</f>
        <v/>
      </c>
      <c r="Q1960">
        <f>IF('Loan Tape (S&amp;P)'!V1960="Yes",
    1.20,
    1.00)</f>
        <v/>
      </c>
      <c r="T1960">
        <f>LET(
    payment_method,'Loan Tape (S&amp;P)'!P1960,
    occupancy,'Loan Tape (S&amp;P)'!N1960,
    maturity_date,'Loan Tape (S&amp;P)'!L1960,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61">
      <c r="J1961">
        <f>LET(
    lien,'Loan Tape (S&amp;P)'!Q1961,
    IF(lien="First",1.00,
        IF(lien="Second",1.50,
            1.70)))</f>
        <v/>
      </c>
      <c r="K1961">
        <f>LET(
    purpose,'Loan Tape (S&amp;P)'!R1961,
    IF(purpose="Purchase",1.00,
        IF(purpose="Remortgage",1.00,
            1.20)))</f>
        <v/>
      </c>
      <c r="L1961">
        <f>LET(
    arrears_months,'Loan Tape (S&amp;P)'!AN1961,
    IF(arrears_months=0,1.00,
    IF(arrears_months=1,3.00,
    IF(arrears_months=2,5.00,
    IF(arrears_months=3,8.00,
    IF(arrears_months=4,10.00,
    IF(arrears_months=5,12.00,15.00)))))))</f>
        <v/>
      </c>
      <c r="M1961">
        <f>LET(
    seasoning_years,DATEDIF('Loan Tape (S&amp;P)'!K1961,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61">
        <f>IF(AND('Loan Tape (S&amp;P)'!U1961="Yes",
        'Loan Tape (S&amp;P)'!T1961&lt;&gt;"Yes",
        DATEDIF('Loan Tape (S&amp;P)'!K1961, TODAY(), "M")&lt;18),
    1.10,
    1.00)</f>
        <v/>
      </c>
      <c r="O1961">
        <f>IF('Loan Tape (S&amp;P)'!T1961="Yes",
    1.35,
    1.00)</f>
        <v/>
      </c>
      <c r="P1961">
        <f>IF('Loan Tape (S&amp;P)'!S1961="Yes",
    1.15,
    1.00)</f>
        <v/>
      </c>
      <c r="Q1961">
        <f>IF('Loan Tape (S&amp;P)'!V1961="Yes",
    1.20,
    1.00)</f>
        <v/>
      </c>
      <c r="T1961">
        <f>LET(
    payment_method,'Loan Tape (S&amp;P)'!P1961,
    occupancy,'Loan Tape (S&amp;P)'!N1961,
    maturity_date,'Loan Tape (S&amp;P)'!L1961,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62">
      <c r="J1962">
        <f>LET(
    lien,'Loan Tape (S&amp;P)'!Q1962,
    IF(lien="First",1.00,
        IF(lien="Second",1.50,
            1.70)))</f>
        <v/>
      </c>
      <c r="K1962">
        <f>LET(
    purpose,'Loan Tape (S&amp;P)'!R1962,
    IF(purpose="Purchase",1.00,
        IF(purpose="Remortgage",1.00,
            1.20)))</f>
        <v/>
      </c>
      <c r="L1962">
        <f>LET(
    arrears_months,'Loan Tape (S&amp;P)'!AN1962,
    IF(arrears_months=0,1.00,
    IF(arrears_months=1,3.00,
    IF(arrears_months=2,5.00,
    IF(arrears_months=3,8.00,
    IF(arrears_months=4,10.00,
    IF(arrears_months=5,12.00,15.00)))))))</f>
        <v/>
      </c>
      <c r="M1962">
        <f>LET(
    seasoning_years,DATEDIF('Loan Tape (S&amp;P)'!K1962,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62">
        <f>IF(AND('Loan Tape (S&amp;P)'!U1962="Yes",
        'Loan Tape (S&amp;P)'!T1962&lt;&gt;"Yes",
        DATEDIF('Loan Tape (S&amp;P)'!K1962, TODAY(), "M")&lt;18),
    1.10,
    1.00)</f>
        <v/>
      </c>
      <c r="O1962">
        <f>IF('Loan Tape (S&amp;P)'!T1962="Yes",
    1.35,
    1.00)</f>
        <v/>
      </c>
      <c r="P1962">
        <f>IF('Loan Tape (S&amp;P)'!S1962="Yes",
    1.15,
    1.00)</f>
        <v/>
      </c>
      <c r="Q1962">
        <f>IF('Loan Tape (S&amp;P)'!V1962="Yes",
    1.20,
    1.00)</f>
        <v/>
      </c>
      <c r="T1962">
        <f>LET(
    payment_method,'Loan Tape (S&amp;P)'!P1962,
    occupancy,'Loan Tape (S&amp;P)'!N1962,
    maturity_date,'Loan Tape (S&amp;P)'!L1962,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63">
      <c r="J1963">
        <f>LET(
    lien,'Loan Tape (S&amp;P)'!Q1963,
    IF(lien="First",1.00,
        IF(lien="Second",1.50,
            1.70)))</f>
        <v/>
      </c>
      <c r="K1963">
        <f>LET(
    purpose,'Loan Tape (S&amp;P)'!R1963,
    IF(purpose="Purchase",1.00,
        IF(purpose="Remortgage",1.00,
            1.20)))</f>
        <v/>
      </c>
      <c r="L1963">
        <f>LET(
    arrears_months,'Loan Tape (S&amp;P)'!AN1963,
    IF(arrears_months=0,1.00,
    IF(arrears_months=1,3.00,
    IF(arrears_months=2,5.00,
    IF(arrears_months=3,8.00,
    IF(arrears_months=4,10.00,
    IF(arrears_months=5,12.00,15.00)))))))</f>
        <v/>
      </c>
      <c r="M1963">
        <f>LET(
    seasoning_years,DATEDIF('Loan Tape (S&amp;P)'!K1963,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63">
        <f>IF(AND('Loan Tape (S&amp;P)'!U1963="Yes",
        'Loan Tape (S&amp;P)'!T1963&lt;&gt;"Yes",
        DATEDIF('Loan Tape (S&amp;P)'!K1963, TODAY(), "M")&lt;18),
    1.10,
    1.00)</f>
        <v/>
      </c>
      <c r="O1963">
        <f>IF('Loan Tape (S&amp;P)'!T1963="Yes",
    1.35,
    1.00)</f>
        <v/>
      </c>
      <c r="P1963">
        <f>IF('Loan Tape (S&amp;P)'!S1963="Yes",
    1.15,
    1.00)</f>
        <v/>
      </c>
      <c r="Q1963">
        <f>IF('Loan Tape (S&amp;P)'!V1963="Yes",
    1.20,
    1.00)</f>
        <v/>
      </c>
      <c r="T1963">
        <f>LET(
    payment_method,'Loan Tape (S&amp;P)'!P1963,
    occupancy,'Loan Tape (S&amp;P)'!N1963,
    maturity_date,'Loan Tape (S&amp;P)'!L1963,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64">
      <c r="J1964">
        <f>LET(
    lien,'Loan Tape (S&amp;P)'!Q1964,
    IF(lien="First",1.00,
        IF(lien="Second",1.50,
            1.70)))</f>
        <v/>
      </c>
      <c r="K1964">
        <f>LET(
    purpose,'Loan Tape (S&amp;P)'!R1964,
    IF(purpose="Purchase",1.00,
        IF(purpose="Remortgage",1.00,
            1.20)))</f>
        <v/>
      </c>
      <c r="L1964">
        <f>LET(
    arrears_months,'Loan Tape (S&amp;P)'!AN1964,
    IF(arrears_months=0,1.00,
    IF(arrears_months=1,3.00,
    IF(arrears_months=2,5.00,
    IF(arrears_months=3,8.00,
    IF(arrears_months=4,10.00,
    IF(arrears_months=5,12.00,15.00)))))))</f>
        <v/>
      </c>
      <c r="M1964">
        <f>LET(
    seasoning_years,DATEDIF('Loan Tape (S&amp;P)'!K1964,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64">
        <f>IF(AND('Loan Tape (S&amp;P)'!U1964="Yes",
        'Loan Tape (S&amp;P)'!T1964&lt;&gt;"Yes",
        DATEDIF('Loan Tape (S&amp;P)'!K1964, TODAY(), "M")&lt;18),
    1.10,
    1.00)</f>
        <v/>
      </c>
      <c r="O1964">
        <f>IF('Loan Tape (S&amp;P)'!T1964="Yes",
    1.35,
    1.00)</f>
        <v/>
      </c>
      <c r="P1964">
        <f>IF('Loan Tape (S&amp;P)'!S1964="Yes",
    1.15,
    1.00)</f>
        <v/>
      </c>
      <c r="Q1964">
        <f>IF('Loan Tape (S&amp;P)'!V1964="Yes",
    1.20,
    1.00)</f>
        <v/>
      </c>
      <c r="T1964">
        <f>LET(
    payment_method,'Loan Tape (S&amp;P)'!P1964,
    occupancy,'Loan Tape (S&amp;P)'!N1964,
    maturity_date,'Loan Tape (S&amp;P)'!L1964,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65">
      <c r="J1965">
        <f>LET(
    lien,'Loan Tape (S&amp;P)'!Q1965,
    IF(lien="First",1.00,
        IF(lien="Second",1.50,
            1.70)))</f>
        <v/>
      </c>
      <c r="K1965">
        <f>LET(
    purpose,'Loan Tape (S&amp;P)'!R1965,
    IF(purpose="Purchase",1.00,
        IF(purpose="Remortgage",1.00,
            1.20)))</f>
        <v/>
      </c>
      <c r="L1965">
        <f>LET(
    arrears_months,'Loan Tape (S&amp;P)'!AN1965,
    IF(arrears_months=0,1.00,
    IF(arrears_months=1,3.00,
    IF(arrears_months=2,5.00,
    IF(arrears_months=3,8.00,
    IF(arrears_months=4,10.00,
    IF(arrears_months=5,12.00,15.00)))))))</f>
        <v/>
      </c>
      <c r="M1965">
        <f>LET(
    seasoning_years,DATEDIF('Loan Tape (S&amp;P)'!K1965,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65">
        <f>IF(AND('Loan Tape (S&amp;P)'!U1965="Yes",
        'Loan Tape (S&amp;P)'!T1965&lt;&gt;"Yes",
        DATEDIF('Loan Tape (S&amp;P)'!K1965, TODAY(), "M")&lt;18),
    1.10,
    1.00)</f>
        <v/>
      </c>
      <c r="O1965">
        <f>IF('Loan Tape (S&amp;P)'!T1965="Yes",
    1.35,
    1.00)</f>
        <v/>
      </c>
      <c r="P1965">
        <f>IF('Loan Tape (S&amp;P)'!S1965="Yes",
    1.15,
    1.00)</f>
        <v/>
      </c>
      <c r="Q1965">
        <f>IF('Loan Tape (S&amp;P)'!V1965="Yes",
    1.20,
    1.00)</f>
        <v/>
      </c>
      <c r="T1965">
        <f>LET(
    payment_method,'Loan Tape (S&amp;P)'!P1965,
    occupancy,'Loan Tape (S&amp;P)'!N1965,
    maturity_date,'Loan Tape (S&amp;P)'!L1965,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66">
      <c r="J1966">
        <f>LET(
    lien,'Loan Tape (S&amp;P)'!Q1966,
    IF(lien="First",1.00,
        IF(lien="Second",1.50,
            1.70)))</f>
        <v/>
      </c>
      <c r="K1966">
        <f>LET(
    purpose,'Loan Tape (S&amp;P)'!R1966,
    IF(purpose="Purchase",1.00,
        IF(purpose="Remortgage",1.00,
            1.20)))</f>
        <v/>
      </c>
      <c r="L1966">
        <f>LET(
    arrears_months,'Loan Tape (S&amp;P)'!AN1966,
    IF(arrears_months=0,1.00,
    IF(arrears_months=1,3.00,
    IF(arrears_months=2,5.00,
    IF(arrears_months=3,8.00,
    IF(arrears_months=4,10.00,
    IF(arrears_months=5,12.00,15.00)))))))</f>
        <v/>
      </c>
      <c r="M1966">
        <f>LET(
    seasoning_years,DATEDIF('Loan Tape (S&amp;P)'!K1966,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66">
        <f>IF(AND('Loan Tape (S&amp;P)'!U1966="Yes",
        'Loan Tape (S&amp;P)'!T1966&lt;&gt;"Yes",
        DATEDIF('Loan Tape (S&amp;P)'!K1966, TODAY(), "M")&lt;18),
    1.10,
    1.00)</f>
        <v/>
      </c>
      <c r="O1966">
        <f>IF('Loan Tape (S&amp;P)'!T1966="Yes",
    1.35,
    1.00)</f>
        <v/>
      </c>
      <c r="P1966">
        <f>IF('Loan Tape (S&amp;P)'!S1966="Yes",
    1.15,
    1.00)</f>
        <v/>
      </c>
      <c r="Q1966">
        <f>IF('Loan Tape (S&amp;P)'!V1966="Yes",
    1.20,
    1.00)</f>
        <v/>
      </c>
      <c r="T1966">
        <f>LET(
    payment_method,'Loan Tape (S&amp;P)'!P1966,
    occupancy,'Loan Tape (S&amp;P)'!N1966,
    maturity_date,'Loan Tape (S&amp;P)'!L1966,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67">
      <c r="J1967">
        <f>LET(
    lien,'Loan Tape (S&amp;P)'!Q1967,
    IF(lien="First",1.00,
        IF(lien="Second",1.50,
            1.70)))</f>
        <v/>
      </c>
      <c r="K1967">
        <f>LET(
    purpose,'Loan Tape (S&amp;P)'!R1967,
    IF(purpose="Purchase",1.00,
        IF(purpose="Remortgage",1.00,
            1.20)))</f>
        <v/>
      </c>
      <c r="L1967">
        <f>LET(
    arrears_months,'Loan Tape (S&amp;P)'!AN1967,
    IF(arrears_months=0,1.00,
    IF(arrears_months=1,3.00,
    IF(arrears_months=2,5.00,
    IF(arrears_months=3,8.00,
    IF(arrears_months=4,10.00,
    IF(arrears_months=5,12.00,15.00)))))))</f>
        <v/>
      </c>
      <c r="M1967">
        <f>LET(
    seasoning_years,DATEDIF('Loan Tape (S&amp;P)'!K1967,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67">
        <f>IF(AND('Loan Tape (S&amp;P)'!U1967="Yes",
        'Loan Tape (S&amp;P)'!T1967&lt;&gt;"Yes",
        DATEDIF('Loan Tape (S&amp;P)'!K1967, TODAY(), "M")&lt;18),
    1.10,
    1.00)</f>
        <v/>
      </c>
      <c r="O1967">
        <f>IF('Loan Tape (S&amp;P)'!T1967="Yes",
    1.35,
    1.00)</f>
        <v/>
      </c>
      <c r="P1967">
        <f>IF('Loan Tape (S&amp;P)'!S1967="Yes",
    1.15,
    1.00)</f>
        <v/>
      </c>
      <c r="Q1967">
        <f>IF('Loan Tape (S&amp;P)'!V1967="Yes",
    1.20,
    1.00)</f>
        <v/>
      </c>
      <c r="T1967">
        <f>LET(
    payment_method,'Loan Tape (S&amp;P)'!P1967,
    occupancy,'Loan Tape (S&amp;P)'!N1967,
    maturity_date,'Loan Tape (S&amp;P)'!L1967,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68">
      <c r="J1968">
        <f>LET(
    lien,'Loan Tape (S&amp;P)'!Q1968,
    IF(lien="First",1.00,
        IF(lien="Second",1.50,
            1.70)))</f>
        <v/>
      </c>
      <c r="K1968">
        <f>LET(
    purpose,'Loan Tape (S&amp;P)'!R1968,
    IF(purpose="Purchase",1.00,
        IF(purpose="Remortgage",1.00,
            1.20)))</f>
        <v/>
      </c>
      <c r="L1968">
        <f>LET(
    arrears_months,'Loan Tape (S&amp;P)'!AN1968,
    IF(arrears_months=0,1.00,
    IF(arrears_months=1,3.00,
    IF(arrears_months=2,5.00,
    IF(arrears_months=3,8.00,
    IF(arrears_months=4,10.00,
    IF(arrears_months=5,12.00,15.00)))))))</f>
        <v/>
      </c>
      <c r="M1968">
        <f>LET(
    seasoning_years,DATEDIF('Loan Tape (S&amp;P)'!K1968,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68">
        <f>IF(AND('Loan Tape (S&amp;P)'!U1968="Yes",
        'Loan Tape (S&amp;P)'!T1968&lt;&gt;"Yes",
        DATEDIF('Loan Tape (S&amp;P)'!K1968, TODAY(), "M")&lt;18),
    1.10,
    1.00)</f>
        <v/>
      </c>
      <c r="O1968">
        <f>IF('Loan Tape (S&amp;P)'!T1968="Yes",
    1.35,
    1.00)</f>
        <v/>
      </c>
      <c r="P1968">
        <f>IF('Loan Tape (S&amp;P)'!S1968="Yes",
    1.15,
    1.00)</f>
        <v/>
      </c>
      <c r="Q1968">
        <f>IF('Loan Tape (S&amp;P)'!V1968="Yes",
    1.20,
    1.00)</f>
        <v/>
      </c>
      <c r="T1968">
        <f>LET(
    payment_method,'Loan Tape (S&amp;P)'!P1968,
    occupancy,'Loan Tape (S&amp;P)'!N1968,
    maturity_date,'Loan Tape (S&amp;P)'!L1968,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69">
      <c r="J1969">
        <f>LET(
    lien,'Loan Tape (S&amp;P)'!Q1969,
    IF(lien="First",1.00,
        IF(lien="Second",1.50,
            1.70)))</f>
        <v/>
      </c>
      <c r="K1969">
        <f>LET(
    purpose,'Loan Tape (S&amp;P)'!R1969,
    IF(purpose="Purchase",1.00,
        IF(purpose="Remortgage",1.00,
            1.20)))</f>
        <v/>
      </c>
      <c r="L1969">
        <f>LET(
    arrears_months,'Loan Tape (S&amp;P)'!AN1969,
    IF(arrears_months=0,1.00,
    IF(arrears_months=1,3.00,
    IF(arrears_months=2,5.00,
    IF(arrears_months=3,8.00,
    IF(arrears_months=4,10.00,
    IF(arrears_months=5,12.00,15.00)))))))</f>
        <v/>
      </c>
      <c r="M1969">
        <f>LET(
    seasoning_years,DATEDIF('Loan Tape (S&amp;P)'!K1969,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69">
        <f>IF(AND('Loan Tape (S&amp;P)'!U1969="Yes",
        'Loan Tape (S&amp;P)'!T1969&lt;&gt;"Yes",
        DATEDIF('Loan Tape (S&amp;P)'!K1969, TODAY(), "M")&lt;18),
    1.10,
    1.00)</f>
        <v/>
      </c>
      <c r="O1969">
        <f>IF('Loan Tape (S&amp;P)'!T1969="Yes",
    1.35,
    1.00)</f>
        <v/>
      </c>
      <c r="P1969">
        <f>IF('Loan Tape (S&amp;P)'!S1969="Yes",
    1.15,
    1.00)</f>
        <v/>
      </c>
      <c r="Q1969">
        <f>IF('Loan Tape (S&amp;P)'!V1969="Yes",
    1.20,
    1.00)</f>
        <v/>
      </c>
      <c r="T1969">
        <f>LET(
    payment_method,'Loan Tape (S&amp;P)'!P1969,
    occupancy,'Loan Tape (S&amp;P)'!N1969,
    maturity_date,'Loan Tape (S&amp;P)'!L1969,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70">
      <c r="J1970">
        <f>LET(
    lien,'Loan Tape (S&amp;P)'!Q1970,
    IF(lien="First",1.00,
        IF(lien="Second",1.50,
            1.70)))</f>
        <v/>
      </c>
      <c r="K1970">
        <f>LET(
    purpose,'Loan Tape (S&amp;P)'!R1970,
    IF(purpose="Purchase",1.00,
        IF(purpose="Remortgage",1.00,
            1.20)))</f>
        <v/>
      </c>
      <c r="L1970">
        <f>LET(
    arrears_months,'Loan Tape (S&amp;P)'!AN1970,
    IF(arrears_months=0,1.00,
    IF(arrears_months=1,3.00,
    IF(arrears_months=2,5.00,
    IF(arrears_months=3,8.00,
    IF(arrears_months=4,10.00,
    IF(arrears_months=5,12.00,15.00)))))))</f>
        <v/>
      </c>
      <c r="M1970">
        <f>LET(
    seasoning_years,DATEDIF('Loan Tape (S&amp;P)'!K1970,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70">
        <f>IF(AND('Loan Tape (S&amp;P)'!U1970="Yes",
        'Loan Tape (S&amp;P)'!T1970&lt;&gt;"Yes",
        DATEDIF('Loan Tape (S&amp;P)'!K1970, TODAY(), "M")&lt;18),
    1.10,
    1.00)</f>
        <v/>
      </c>
      <c r="O1970">
        <f>IF('Loan Tape (S&amp;P)'!T1970="Yes",
    1.35,
    1.00)</f>
        <v/>
      </c>
      <c r="P1970">
        <f>IF('Loan Tape (S&amp;P)'!S1970="Yes",
    1.15,
    1.00)</f>
        <v/>
      </c>
      <c r="Q1970">
        <f>IF('Loan Tape (S&amp;P)'!V1970="Yes",
    1.20,
    1.00)</f>
        <v/>
      </c>
      <c r="T1970">
        <f>LET(
    payment_method,'Loan Tape (S&amp;P)'!P1970,
    occupancy,'Loan Tape (S&amp;P)'!N1970,
    maturity_date,'Loan Tape (S&amp;P)'!L1970,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71">
      <c r="J1971">
        <f>LET(
    lien,'Loan Tape (S&amp;P)'!Q1971,
    IF(lien="First",1.00,
        IF(lien="Second",1.50,
            1.70)))</f>
        <v/>
      </c>
      <c r="K1971">
        <f>LET(
    purpose,'Loan Tape (S&amp;P)'!R1971,
    IF(purpose="Purchase",1.00,
        IF(purpose="Remortgage",1.00,
            1.20)))</f>
        <v/>
      </c>
      <c r="L1971">
        <f>LET(
    arrears_months,'Loan Tape (S&amp;P)'!AN1971,
    IF(arrears_months=0,1.00,
    IF(arrears_months=1,3.00,
    IF(arrears_months=2,5.00,
    IF(arrears_months=3,8.00,
    IF(arrears_months=4,10.00,
    IF(arrears_months=5,12.00,15.00)))))))</f>
        <v/>
      </c>
      <c r="M1971">
        <f>LET(
    seasoning_years,DATEDIF('Loan Tape (S&amp;P)'!K1971,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71">
        <f>IF(AND('Loan Tape (S&amp;P)'!U1971="Yes",
        'Loan Tape (S&amp;P)'!T1971&lt;&gt;"Yes",
        DATEDIF('Loan Tape (S&amp;P)'!K1971, TODAY(), "M")&lt;18),
    1.10,
    1.00)</f>
        <v/>
      </c>
      <c r="O1971">
        <f>IF('Loan Tape (S&amp;P)'!T1971="Yes",
    1.35,
    1.00)</f>
        <v/>
      </c>
      <c r="P1971">
        <f>IF('Loan Tape (S&amp;P)'!S1971="Yes",
    1.15,
    1.00)</f>
        <v/>
      </c>
      <c r="Q1971">
        <f>IF('Loan Tape (S&amp;P)'!V1971="Yes",
    1.20,
    1.00)</f>
        <v/>
      </c>
      <c r="T1971">
        <f>LET(
    payment_method,'Loan Tape (S&amp;P)'!P1971,
    occupancy,'Loan Tape (S&amp;P)'!N1971,
    maturity_date,'Loan Tape (S&amp;P)'!L1971,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72">
      <c r="J1972">
        <f>LET(
    lien,'Loan Tape (S&amp;P)'!Q1972,
    IF(lien="First",1.00,
        IF(lien="Second",1.50,
            1.70)))</f>
        <v/>
      </c>
      <c r="K1972">
        <f>LET(
    purpose,'Loan Tape (S&amp;P)'!R1972,
    IF(purpose="Purchase",1.00,
        IF(purpose="Remortgage",1.00,
            1.20)))</f>
        <v/>
      </c>
      <c r="L1972">
        <f>LET(
    arrears_months,'Loan Tape (S&amp;P)'!AN1972,
    IF(arrears_months=0,1.00,
    IF(arrears_months=1,3.00,
    IF(arrears_months=2,5.00,
    IF(arrears_months=3,8.00,
    IF(arrears_months=4,10.00,
    IF(arrears_months=5,12.00,15.00)))))))</f>
        <v/>
      </c>
      <c r="M1972">
        <f>LET(
    seasoning_years,DATEDIF('Loan Tape (S&amp;P)'!K1972,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72">
        <f>IF(AND('Loan Tape (S&amp;P)'!U1972="Yes",
        'Loan Tape (S&amp;P)'!T1972&lt;&gt;"Yes",
        DATEDIF('Loan Tape (S&amp;P)'!K1972, TODAY(), "M")&lt;18),
    1.10,
    1.00)</f>
        <v/>
      </c>
      <c r="O1972">
        <f>IF('Loan Tape (S&amp;P)'!T1972="Yes",
    1.35,
    1.00)</f>
        <v/>
      </c>
      <c r="P1972">
        <f>IF('Loan Tape (S&amp;P)'!S1972="Yes",
    1.15,
    1.00)</f>
        <v/>
      </c>
      <c r="Q1972">
        <f>IF('Loan Tape (S&amp;P)'!V1972="Yes",
    1.20,
    1.00)</f>
        <v/>
      </c>
      <c r="T1972">
        <f>LET(
    payment_method,'Loan Tape (S&amp;P)'!P1972,
    occupancy,'Loan Tape (S&amp;P)'!N1972,
    maturity_date,'Loan Tape (S&amp;P)'!L1972,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73">
      <c r="J1973">
        <f>LET(
    lien,'Loan Tape (S&amp;P)'!Q1973,
    IF(lien="First",1.00,
        IF(lien="Second",1.50,
            1.70)))</f>
        <v/>
      </c>
      <c r="K1973">
        <f>LET(
    purpose,'Loan Tape (S&amp;P)'!R1973,
    IF(purpose="Purchase",1.00,
        IF(purpose="Remortgage",1.00,
            1.20)))</f>
        <v/>
      </c>
      <c r="L1973">
        <f>LET(
    arrears_months,'Loan Tape (S&amp;P)'!AN1973,
    IF(arrears_months=0,1.00,
    IF(arrears_months=1,3.00,
    IF(arrears_months=2,5.00,
    IF(arrears_months=3,8.00,
    IF(arrears_months=4,10.00,
    IF(arrears_months=5,12.00,15.00)))))))</f>
        <v/>
      </c>
      <c r="M1973">
        <f>LET(
    seasoning_years,DATEDIF('Loan Tape (S&amp;P)'!K1973,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73">
        <f>IF(AND('Loan Tape (S&amp;P)'!U1973="Yes",
        'Loan Tape (S&amp;P)'!T1973&lt;&gt;"Yes",
        DATEDIF('Loan Tape (S&amp;P)'!K1973, TODAY(), "M")&lt;18),
    1.10,
    1.00)</f>
        <v/>
      </c>
      <c r="O1973">
        <f>IF('Loan Tape (S&amp;P)'!T1973="Yes",
    1.35,
    1.00)</f>
        <v/>
      </c>
      <c r="P1973">
        <f>IF('Loan Tape (S&amp;P)'!S1973="Yes",
    1.15,
    1.00)</f>
        <v/>
      </c>
      <c r="Q1973">
        <f>IF('Loan Tape (S&amp;P)'!V1973="Yes",
    1.20,
    1.00)</f>
        <v/>
      </c>
      <c r="T1973">
        <f>LET(
    payment_method,'Loan Tape (S&amp;P)'!P1973,
    occupancy,'Loan Tape (S&amp;P)'!N1973,
    maturity_date,'Loan Tape (S&amp;P)'!L1973,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74">
      <c r="J1974">
        <f>LET(
    lien,'Loan Tape (S&amp;P)'!Q1974,
    IF(lien="First",1.00,
        IF(lien="Second",1.50,
            1.70)))</f>
        <v/>
      </c>
      <c r="K1974">
        <f>LET(
    purpose,'Loan Tape (S&amp;P)'!R1974,
    IF(purpose="Purchase",1.00,
        IF(purpose="Remortgage",1.00,
            1.20)))</f>
        <v/>
      </c>
      <c r="L1974">
        <f>LET(
    arrears_months,'Loan Tape (S&amp;P)'!AN1974,
    IF(arrears_months=0,1.00,
    IF(arrears_months=1,3.00,
    IF(arrears_months=2,5.00,
    IF(arrears_months=3,8.00,
    IF(arrears_months=4,10.00,
    IF(arrears_months=5,12.00,15.00)))))))</f>
        <v/>
      </c>
      <c r="M1974">
        <f>LET(
    seasoning_years,DATEDIF('Loan Tape (S&amp;P)'!K1974,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74">
        <f>IF(AND('Loan Tape (S&amp;P)'!U1974="Yes",
        'Loan Tape (S&amp;P)'!T1974&lt;&gt;"Yes",
        DATEDIF('Loan Tape (S&amp;P)'!K1974, TODAY(), "M")&lt;18),
    1.10,
    1.00)</f>
        <v/>
      </c>
      <c r="O1974">
        <f>IF('Loan Tape (S&amp;P)'!T1974="Yes",
    1.35,
    1.00)</f>
        <v/>
      </c>
      <c r="P1974">
        <f>IF('Loan Tape (S&amp;P)'!S1974="Yes",
    1.15,
    1.00)</f>
        <v/>
      </c>
      <c r="Q1974">
        <f>IF('Loan Tape (S&amp;P)'!V1974="Yes",
    1.20,
    1.00)</f>
        <v/>
      </c>
      <c r="T1974">
        <f>LET(
    payment_method,'Loan Tape (S&amp;P)'!P1974,
    occupancy,'Loan Tape (S&amp;P)'!N1974,
    maturity_date,'Loan Tape (S&amp;P)'!L1974,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75">
      <c r="J1975">
        <f>LET(
    lien,'Loan Tape (S&amp;P)'!Q1975,
    IF(lien="First",1.00,
        IF(lien="Second",1.50,
            1.70)))</f>
        <v/>
      </c>
      <c r="K1975">
        <f>LET(
    purpose,'Loan Tape (S&amp;P)'!R1975,
    IF(purpose="Purchase",1.00,
        IF(purpose="Remortgage",1.00,
            1.20)))</f>
        <v/>
      </c>
      <c r="L1975">
        <f>LET(
    arrears_months,'Loan Tape (S&amp;P)'!AN1975,
    IF(arrears_months=0,1.00,
    IF(arrears_months=1,3.00,
    IF(arrears_months=2,5.00,
    IF(arrears_months=3,8.00,
    IF(arrears_months=4,10.00,
    IF(arrears_months=5,12.00,15.00)))))))</f>
        <v/>
      </c>
      <c r="M1975">
        <f>LET(
    seasoning_years,DATEDIF('Loan Tape (S&amp;P)'!K1975,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75">
        <f>IF(AND('Loan Tape (S&amp;P)'!U1975="Yes",
        'Loan Tape (S&amp;P)'!T1975&lt;&gt;"Yes",
        DATEDIF('Loan Tape (S&amp;P)'!K1975, TODAY(), "M")&lt;18),
    1.10,
    1.00)</f>
        <v/>
      </c>
      <c r="O1975">
        <f>IF('Loan Tape (S&amp;P)'!T1975="Yes",
    1.35,
    1.00)</f>
        <v/>
      </c>
      <c r="P1975">
        <f>IF('Loan Tape (S&amp;P)'!S1975="Yes",
    1.15,
    1.00)</f>
        <v/>
      </c>
      <c r="Q1975">
        <f>IF('Loan Tape (S&amp;P)'!V1975="Yes",
    1.20,
    1.00)</f>
        <v/>
      </c>
      <c r="T1975">
        <f>LET(
    payment_method,'Loan Tape (S&amp;P)'!P1975,
    occupancy,'Loan Tape (S&amp;P)'!N1975,
    maturity_date,'Loan Tape (S&amp;P)'!L1975,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76">
      <c r="J1976">
        <f>LET(
    lien,'Loan Tape (S&amp;P)'!Q1976,
    IF(lien="First",1.00,
        IF(lien="Second",1.50,
            1.70)))</f>
        <v/>
      </c>
      <c r="K1976">
        <f>LET(
    purpose,'Loan Tape (S&amp;P)'!R1976,
    IF(purpose="Purchase",1.00,
        IF(purpose="Remortgage",1.00,
            1.20)))</f>
        <v/>
      </c>
      <c r="L1976">
        <f>LET(
    arrears_months,'Loan Tape (S&amp;P)'!AN1976,
    IF(arrears_months=0,1.00,
    IF(arrears_months=1,3.00,
    IF(arrears_months=2,5.00,
    IF(arrears_months=3,8.00,
    IF(arrears_months=4,10.00,
    IF(arrears_months=5,12.00,15.00)))))))</f>
        <v/>
      </c>
      <c r="M1976">
        <f>LET(
    seasoning_years,DATEDIF('Loan Tape (S&amp;P)'!K1976,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76">
        <f>IF(AND('Loan Tape (S&amp;P)'!U1976="Yes",
        'Loan Tape (S&amp;P)'!T1976&lt;&gt;"Yes",
        DATEDIF('Loan Tape (S&amp;P)'!K1976, TODAY(), "M")&lt;18),
    1.10,
    1.00)</f>
        <v/>
      </c>
      <c r="O1976">
        <f>IF('Loan Tape (S&amp;P)'!T1976="Yes",
    1.35,
    1.00)</f>
        <v/>
      </c>
      <c r="P1976">
        <f>IF('Loan Tape (S&amp;P)'!S1976="Yes",
    1.15,
    1.00)</f>
        <v/>
      </c>
      <c r="Q1976">
        <f>IF('Loan Tape (S&amp;P)'!V1976="Yes",
    1.20,
    1.00)</f>
        <v/>
      </c>
      <c r="T1976">
        <f>LET(
    payment_method,'Loan Tape (S&amp;P)'!P1976,
    occupancy,'Loan Tape (S&amp;P)'!N1976,
    maturity_date,'Loan Tape (S&amp;P)'!L1976,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77">
      <c r="J1977">
        <f>LET(
    lien,'Loan Tape (S&amp;P)'!Q1977,
    IF(lien="First",1.00,
        IF(lien="Second",1.50,
            1.70)))</f>
        <v/>
      </c>
      <c r="K1977">
        <f>LET(
    purpose,'Loan Tape (S&amp;P)'!R1977,
    IF(purpose="Purchase",1.00,
        IF(purpose="Remortgage",1.00,
            1.20)))</f>
        <v/>
      </c>
      <c r="L1977">
        <f>LET(
    arrears_months,'Loan Tape (S&amp;P)'!AN1977,
    IF(arrears_months=0,1.00,
    IF(arrears_months=1,3.00,
    IF(arrears_months=2,5.00,
    IF(arrears_months=3,8.00,
    IF(arrears_months=4,10.00,
    IF(arrears_months=5,12.00,15.00)))))))</f>
        <v/>
      </c>
      <c r="M1977">
        <f>LET(
    seasoning_years,DATEDIF('Loan Tape (S&amp;P)'!K1977,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77">
        <f>IF(AND('Loan Tape (S&amp;P)'!U1977="Yes",
        'Loan Tape (S&amp;P)'!T1977&lt;&gt;"Yes",
        DATEDIF('Loan Tape (S&amp;P)'!K1977, TODAY(), "M")&lt;18),
    1.10,
    1.00)</f>
        <v/>
      </c>
      <c r="O1977">
        <f>IF('Loan Tape (S&amp;P)'!T1977="Yes",
    1.35,
    1.00)</f>
        <v/>
      </c>
      <c r="P1977">
        <f>IF('Loan Tape (S&amp;P)'!S1977="Yes",
    1.15,
    1.00)</f>
        <v/>
      </c>
      <c r="Q1977">
        <f>IF('Loan Tape (S&amp;P)'!V1977="Yes",
    1.20,
    1.00)</f>
        <v/>
      </c>
      <c r="T1977">
        <f>LET(
    payment_method,'Loan Tape (S&amp;P)'!P1977,
    occupancy,'Loan Tape (S&amp;P)'!N1977,
    maturity_date,'Loan Tape (S&amp;P)'!L1977,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78">
      <c r="J1978">
        <f>LET(
    lien,'Loan Tape (S&amp;P)'!Q1978,
    IF(lien="First",1.00,
        IF(lien="Second",1.50,
            1.70)))</f>
        <v/>
      </c>
      <c r="K1978">
        <f>LET(
    purpose,'Loan Tape (S&amp;P)'!R1978,
    IF(purpose="Purchase",1.00,
        IF(purpose="Remortgage",1.00,
            1.20)))</f>
        <v/>
      </c>
      <c r="L1978">
        <f>LET(
    arrears_months,'Loan Tape (S&amp;P)'!AN1978,
    IF(arrears_months=0,1.00,
    IF(arrears_months=1,3.00,
    IF(arrears_months=2,5.00,
    IF(arrears_months=3,8.00,
    IF(arrears_months=4,10.00,
    IF(arrears_months=5,12.00,15.00)))))))</f>
        <v/>
      </c>
      <c r="M1978">
        <f>LET(
    seasoning_years,DATEDIF('Loan Tape (S&amp;P)'!K1978,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78">
        <f>IF(AND('Loan Tape (S&amp;P)'!U1978="Yes",
        'Loan Tape (S&amp;P)'!T1978&lt;&gt;"Yes",
        DATEDIF('Loan Tape (S&amp;P)'!K1978, TODAY(), "M")&lt;18),
    1.10,
    1.00)</f>
        <v/>
      </c>
      <c r="O1978">
        <f>IF('Loan Tape (S&amp;P)'!T1978="Yes",
    1.35,
    1.00)</f>
        <v/>
      </c>
      <c r="P1978">
        <f>IF('Loan Tape (S&amp;P)'!S1978="Yes",
    1.15,
    1.00)</f>
        <v/>
      </c>
      <c r="Q1978">
        <f>IF('Loan Tape (S&amp;P)'!V1978="Yes",
    1.20,
    1.00)</f>
        <v/>
      </c>
      <c r="T1978">
        <f>LET(
    payment_method,'Loan Tape (S&amp;P)'!P1978,
    occupancy,'Loan Tape (S&amp;P)'!N1978,
    maturity_date,'Loan Tape (S&amp;P)'!L1978,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79">
      <c r="J1979">
        <f>LET(
    lien,'Loan Tape (S&amp;P)'!Q1979,
    IF(lien="First",1.00,
        IF(lien="Second",1.50,
            1.70)))</f>
        <v/>
      </c>
      <c r="K1979">
        <f>LET(
    purpose,'Loan Tape (S&amp;P)'!R1979,
    IF(purpose="Purchase",1.00,
        IF(purpose="Remortgage",1.00,
            1.20)))</f>
        <v/>
      </c>
      <c r="L1979">
        <f>LET(
    arrears_months,'Loan Tape (S&amp;P)'!AN1979,
    IF(arrears_months=0,1.00,
    IF(arrears_months=1,3.00,
    IF(arrears_months=2,5.00,
    IF(arrears_months=3,8.00,
    IF(arrears_months=4,10.00,
    IF(arrears_months=5,12.00,15.00)))))))</f>
        <v/>
      </c>
      <c r="M1979">
        <f>LET(
    seasoning_years,DATEDIF('Loan Tape (S&amp;P)'!K1979,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79">
        <f>IF(AND('Loan Tape (S&amp;P)'!U1979="Yes",
        'Loan Tape (S&amp;P)'!T1979&lt;&gt;"Yes",
        DATEDIF('Loan Tape (S&amp;P)'!K1979, TODAY(), "M")&lt;18),
    1.10,
    1.00)</f>
        <v/>
      </c>
      <c r="O1979">
        <f>IF('Loan Tape (S&amp;P)'!T1979="Yes",
    1.35,
    1.00)</f>
        <v/>
      </c>
      <c r="P1979">
        <f>IF('Loan Tape (S&amp;P)'!S1979="Yes",
    1.15,
    1.00)</f>
        <v/>
      </c>
      <c r="Q1979">
        <f>IF('Loan Tape (S&amp;P)'!V1979="Yes",
    1.20,
    1.00)</f>
        <v/>
      </c>
      <c r="T1979">
        <f>LET(
    payment_method,'Loan Tape (S&amp;P)'!P1979,
    occupancy,'Loan Tape (S&amp;P)'!N1979,
    maturity_date,'Loan Tape (S&amp;P)'!L1979,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80">
      <c r="J1980">
        <f>LET(
    lien,'Loan Tape (S&amp;P)'!Q1980,
    IF(lien="First",1.00,
        IF(lien="Second",1.50,
            1.70)))</f>
        <v/>
      </c>
      <c r="K1980">
        <f>LET(
    purpose,'Loan Tape (S&amp;P)'!R1980,
    IF(purpose="Purchase",1.00,
        IF(purpose="Remortgage",1.00,
            1.20)))</f>
        <v/>
      </c>
      <c r="L1980">
        <f>LET(
    arrears_months,'Loan Tape (S&amp;P)'!AN1980,
    IF(arrears_months=0,1.00,
    IF(arrears_months=1,3.00,
    IF(arrears_months=2,5.00,
    IF(arrears_months=3,8.00,
    IF(arrears_months=4,10.00,
    IF(arrears_months=5,12.00,15.00)))))))</f>
        <v/>
      </c>
      <c r="M1980">
        <f>LET(
    seasoning_years,DATEDIF('Loan Tape (S&amp;P)'!K1980,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80">
        <f>IF(AND('Loan Tape (S&amp;P)'!U1980="Yes",
        'Loan Tape (S&amp;P)'!T1980&lt;&gt;"Yes",
        DATEDIF('Loan Tape (S&amp;P)'!K1980, TODAY(), "M")&lt;18),
    1.10,
    1.00)</f>
        <v/>
      </c>
      <c r="O1980">
        <f>IF('Loan Tape (S&amp;P)'!T1980="Yes",
    1.35,
    1.00)</f>
        <v/>
      </c>
      <c r="P1980">
        <f>IF('Loan Tape (S&amp;P)'!S1980="Yes",
    1.15,
    1.00)</f>
        <v/>
      </c>
      <c r="Q1980">
        <f>IF('Loan Tape (S&amp;P)'!V1980="Yes",
    1.20,
    1.00)</f>
        <v/>
      </c>
      <c r="T1980">
        <f>LET(
    payment_method,'Loan Tape (S&amp;P)'!P1980,
    occupancy,'Loan Tape (S&amp;P)'!N1980,
    maturity_date,'Loan Tape (S&amp;P)'!L1980,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81">
      <c r="J1981">
        <f>LET(
    lien,'Loan Tape (S&amp;P)'!Q1981,
    IF(lien="First",1.00,
        IF(lien="Second",1.50,
            1.70)))</f>
        <v/>
      </c>
      <c r="K1981">
        <f>LET(
    purpose,'Loan Tape (S&amp;P)'!R1981,
    IF(purpose="Purchase",1.00,
        IF(purpose="Remortgage",1.00,
            1.20)))</f>
        <v/>
      </c>
      <c r="L1981">
        <f>LET(
    arrears_months,'Loan Tape (S&amp;P)'!AN1981,
    IF(arrears_months=0,1.00,
    IF(arrears_months=1,3.00,
    IF(arrears_months=2,5.00,
    IF(arrears_months=3,8.00,
    IF(arrears_months=4,10.00,
    IF(arrears_months=5,12.00,15.00)))))))</f>
        <v/>
      </c>
      <c r="M1981">
        <f>LET(
    seasoning_years,DATEDIF('Loan Tape (S&amp;P)'!K1981,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81">
        <f>IF(AND('Loan Tape (S&amp;P)'!U1981="Yes",
        'Loan Tape (S&amp;P)'!T1981&lt;&gt;"Yes",
        DATEDIF('Loan Tape (S&amp;P)'!K1981, TODAY(), "M")&lt;18),
    1.10,
    1.00)</f>
        <v/>
      </c>
      <c r="O1981">
        <f>IF('Loan Tape (S&amp;P)'!T1981="Yes",
    1.35,
    1.00)</f>
        <v/>
      </c>
      <c r="P1981">
        <f>IF('Loan Tape (S&amp;P)'!S1981="Yes",
    1.15,
    1.00)</f>
        <v/>
      </c>
      <c r="Q1981">
        <f>IF('Loan Tape (S&amp;P)'!V1981="Yes",
    1.20,
    1.00)</f>
        <v/>
      </c>
      <c r="T1981">
        <f>LET(
    payment_method,'Loan Tape (S&amp;P)'!P1981,
    occupancy,'Loan Tape (S&amp;P)'!N1981,
    maturity_date,'Loan Tape (S&amp;P)'!L1981,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82">
      <c r="J1982">
        <f>LET(
    lien,'Loan Tape (S&amp;P)'!Q1982,
    IF(lien="First",1.00,
        IF(lien="Second",1.50,
            1.70)))</f>
        <v/>
      </c>
      <c r="K1982">
        <f>LET(
    purpose,'Loan Tape (S&amp;P)'!R1982,
    IF(purpose="Purchase",1.00,
        IF(purpose="Remortgage",1.00,
            1.20)))</f>
        <v/>
      </c>
      <c r="L1982">
        <f>LET(
    arrears_months,'Loan Tape (S&amp;P)'!AN1982,
    IF(arrears_months=0,1.00,
    IF(arrears_months=1,3.00,
    IF(arrears_months=2,5.00,
    IF(arrears_months=3,8.00,
    IF(arrears_months=4,10.00,
    IF(arrears_months=5,12.00,15.00)))))))</f>
        <v/>
      </c>
      <c r="M1982">
        <f>LET(
    seasoning_years,DATEDIF('Loan Tape (S&amp;P)'!K1982,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82">
        <f>IF(AND('Loan Tape (S&amp;P)'!U1982="Yes",
        'Loan Tape (S&amp;P)'!T1982&lt;&gt;"Yes",
        DATEDIF('Loan Tape (S&amp;P)'!K1982, TODAY(), "M")&lt;18),
    1.10,
    1.00)</f>
        <v/>
      </c>
      <c r="O1982">
        <f>IF('Loan Tape (S&amp;P)'!T1982="Yes",
    1.35,
    1.00)</f>
        <v/>
      </c>
      <c r="P1982">
        <f>IF('Loan Tape (S&amp;P)'!S1982="Yes",
    1.15,
    1.00)</f>
        <v/>
      </c>
      <c r="Q1982">
        <f>IF('Loan Tape (S&amp;P)'!V1982="Yes",
    1.20,
    1.00)</f>
        <v/>
      </c>
      <c r="T1982">
        <f>LET(
    payment_method,'Loan Tape (S&amp;P)'!P1982,
    occupancy,'Loan Tape (S&amp;P)'!N1982,
    maturity_date,'Loan Tape (S&amp;P)'!L1982,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83">
      <c r="J1983">
        <f>LET(
    lien,'Loan Tape (S&amp;P)'!Q1983,
    IF(lien="First",1.00,
        IF(lien="Second",1.50,
            1.70)))</f>
        <v/>
      </c>
      <c r="K1983">
        <f>LET(
    purpose,'Loan Tape (S&amp;P)'!R1983,
    IF(purpose="Purchase",1.00,
        IF(purpose="Remortgage",1.00,
            1.20)))</f>
        <v/>
      </c>
      <c r="L1983">
        <f>LET(
    arrears_months,'Loan Tape (S&amp;P)'!AN1983,
    IF(arrears_months=0,1.00,
    IF(arrears_months=1,3.00,
    IF(arrears_months=2,5.00,
    IF(arrears_months=3,8.00,
    IF(arrears_months=4,10.00,
    IF(arrears_months=5,12.00,15.00)))))))</f>
        <v/>
      </c>
      <c r="M1983">
        <f>LET(
    seasoning_years,DATEDIF('Loan Tape (S&amp;P)'!K1983,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83">
        <f>IF(AND('Loan Tape (S&amp;P)'!U1983="Yes",
        'Loan Tape (S&amp;P)'!T1983&lt;&gt;"Yes",
        DATEDIF('Loan Tape (S&amp;P)'!K1983, TODAY(), "M")&lt;18),
    1.10,
    1.00)</f>
        <v/>
      </c>
      <c r="O1983">
        <f>IF('Loan Tape (S&amp;P)'!T1983="Yes",
    1.35,
    1.00)</f>
        <v/>
      </c>
      <c r="P1983">
        <f>IF('Loan Tape (S&amp;P)'!S1983="Yes",
    1.15,
    1.00)</f>
        <v/>
      </c>
      <c r="Q1983">
        <f>IF('Loan Tape (S&amp;P)'!V1983="Yes",
    1.20,
    1.00)</f>
        <v/>
      </c>
      <c r="T1983">
        <f>LET(
    payment_method,'Loan Tape (S&amp;P)'!P1983,
    occupancy,'Loan Tape (S&amp;P)'!N1983,
    maturity_date,'Loan Tape (S&amp;P)'!L1983,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84">
      <c r="J1984">
        <f>LET(
    lien,'Loan Tape (S&amp;P)'!Q1984,
    IF(lien="First",1.00,
        IF(lien="Second",1.50,
            1.70)))</f>
        <v/>
      </c>
      <c r="K1984">
        <f>LET(
    purpose,'Loan Tape (S&amp;P)'!R1984,
    IF(purpose="Purchase",1.00,
        IF(purpose="Remortgage",1.00,
            1.20)))</f>
        <v/>
      </c>
      <c r="L1984">
        <f>LET(
    arrears_months,'Loan Tape (S&amp;P)'!AN1984,
    IF(arrears_months=0,1.00,
    IF(arrears_months=1,3.00,
    IF(arrears_months=2,5.00,
    IF(arrears_months=3,8.00,
    IF(arrears_months=4,10.00,
    IF(arrears_months=5,12.00,15.00)))))))</f>
        <v/>
      </c>
      <c r="M1984">
        <f>LET(
    seasoning_years,DATEDIF('Loan Tape (S&amp;P)'!K1984,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84">
        <f>IF(AND('Loan Tape (S&amp;P)'!U1984="Yes",
        'Loan Tape (S&amp;P)'!T1984&lt;&gt;"Yes",
        DATEDIF('Loan Tape (S&amp;P)'!K1984, TODAY(), "M")&lt;18),
    1.10,
    1.00)</f>
        <v/>
      </c>
      <c r="O1984">
        <f>IF('Loan Tape (S&amp;P)'!T1984="Yes",
    1.35,
    1.00)</f>
        <v/>
      </c>
      <c r="P1984">
        <f>IF('Loan Tape (S&amp;P)'!S1984="Yes",
    1.15,
    1.00)</f>
        <v/>
      </c>
      <c r="Q1984">
        <f>IF('Loan Tape (S&amp;P)'!V1984="Yes",
    1.20,
    1.00)</f>
        <v/>
      </c>
      <c r="T1984">
        <f>LET(
    payment_method,'Loan Tape (S&amp;P)'!P1984,
    occupancy,'Loan Tape (S&amp;P)'!N1984,
    maturity_date,'Loan Tape (S&amp;P)'!L1984,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85">
      <c r="J1985">
        <f>LET(
    lien,'Loan Tape (S&amp;P)'!Q1985,
    IF(lien="First",1.00,
        IF(lien="Second",1.50,
            1.70)))</f>
        <v/>
      </c>
      <c r="K1985">
        <f>LET(
    purpose,'Loan Tape (S&amp;P)'!R1985,
    IF(purpose="Purchase",1.00,
        IF(purpose="Remortgage",1.00,
            1.20)))</f>
        <v/>
      </c>
      <c r="L1985">
        <f>LET(
    arrears_months,'Loan Tape (S&amp;P)'!AN1985,
    IF(arrears_months=0,1.00,
    IF(arrears_months=1,3.00,
    IF(arrears_months=2,5.00,
    IF(arrears_months=3,8.00,
    IF(arrears_months=4,10.00,
    IF(arrears_months=5,12.00,15.00)))))))</f>
        <v/>
      </c>
      <c r="M1985">
        <f>LET(
    seasoning_years,DATEDIF('Loan Tape (S&amp;P)'!K1985,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85">
        <f>IF(AND('Loan Tape (S&amp;P)'!U1985="Yes",
        'Loan Tape (S&amp;P)'!T1985&lt;&gt;"Yes",
        DATEDIF('Loan Tape (S&amp;P)'!K1985, TODAY(), "M")&lt;18),
    1.10,
    1.00)</f>
        <v/>
      </c>
      <c r="O1985">
        <f>IF('Loan Tape (S&amp;P)'!T1985="Yes",
    1.35,
    1.00)</f>
        <v/>
      </c>
      <c r="P1985">
        <f>IF('Loan Tape (S&amp;P)'!S1985="Yes",
    1.15,
    1.00)</f>
        <v/>
      </c>
      <c r="Q1985">
        <f>IF('Loan Tape (S&amp;P)'!V1985="Yes",
    1.20,
    1.00)</f>
        <v/>
      </c>
      <c r="T1985">
        <f>LET(
    payment_method,'Loan Tape (S&amp;P)'!P1985,
    occupancy,'Loan Tape (S&amp;P)'!N1985,
    maturity_date,'Loan Tape (S&amp;P)'!L1985,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86">
      <c r="J1986">
        <f>LET(
    lien,'Loan Tape (S&amp;P)'!Q1986,
    IF(lien="First",1.00,
        IF(lien="Second",1.50,
            1.70)))</f>
        <v/>
      </c>
      <c r="K1986">
        <f>LET(
    purpose,'Loan Tape (S&amp;P)'!R1986,
    IF(purpose="Purchase",1.00,
        IF(purpose="Remortgage",1.00,
            1.20)))</f>
        <v/>
      </c>
      <c r="L1986">
        <f>LET(
    arrears_months,'Loan Tape (S&amp;P)'!AN1986,
    IF(arrears_months=0,1.00,
    IF(arrears_months=1,3.00,
    IF(arrears_months=2,5.00,
    IF(arrears_months=3,8.00,
    IF(arrears_months=4,10.00,
    IF(arrears_months=5,12.00,15.00)))))))</f>
        <v/>
      </c>
      <c r="M1986">
        <f>LET(
    seasoning_years,DATEDIF('Loan Tape (S&amp;P)'!K1986,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86">
        <f>IF(AND('Loan Tape (S&amp;P)'!U1986="Yes",
        'Loan Tape (S&amp;P)'!T1986&lt;&gt;"Yes",
        DATEDIF('Loan Tape (S&amp;P)'!K1986, TODAY(), "M")&lt;18),
    1.10,
    1.00)</f>
        <v/>
      </c>
      <c r="O1986">
        <f>IF('Loan Tape (S&amp;P)'!T1986="Yes",
    1.35,
    1.00)</f>
        <v/>
      </c>
      <c r="P1986">
        <f>IF('Loan Tape (S&amp;P)'!S1986="Yes",
    1.15,
    1.00)</f>
        <v/>
      </c>
      <c r="Q1986">
        <f>IF('Loan Tape (S&amp;P)'!V1986="Yes",
    1.20,
    1.00)</f>
        <v/>
      </c>
      <c r="T1986">
        <f>LET(
    payment_method,'Loan Tape (S&amp;P)'!P1986,
    occupancy,'Loan Tape (S&amp;P)'!N1986,
    maturity_date,'Loan Tape (S&amp;P)'!L1986,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87">
      <c r="J1987">
        <f>LET(
    lien,'Loan Tape (S&amp;P)'!Q1987,
    IF(lien="First",1.00,
        IF(lien="Second",1.50,
            1.70)))</f>
        <v/>
      </c>
      <c r="K1987">
        <f>LET(
    purpose,'Loan Tape (S&amp;P)'!R1987,
    IF(purpose="Purchase",1.00,
        IF(purpose="Remortgage",1.00,
            1.20)))</f>
        <v/>
      </c>
      <c r="L1987">
        <f>LET(
    arrears_months,'Loan Tape (S&amp;P)'!AN1987,
    IF(arrears_months=0,1.00,
    IF(arrears_months=1,3.00,
    IF(arrears_months=2,5.00,
    IF(arrears_months=3,8.00,
    IF(arrears_months=4,10.00,
    IF(arrears_months=5,12.00,15.00)))))))</f>
        <v/>
      </c>
      <c r="M1987">
        <f>LET(
    seasoning_years,DATEDIF('Loan Tape (S&amp;P)'!K1987,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87">
        <f>IF(AND('Loan Tape (S&amp;P)'!U1987="Yes",
        'Loan Tape (S&amp;P)'!T1987&lt;&gt;"Yes",
        DATEDIF('Loan Tape (S&amp;P)'!K1987, TODAY(), "M")&lt;18),
    1.10,
    1.00)</f>
        <v/>
      </c>
      <c r="O1987">
        <f>IF('Loan Tape (S&amp;P)'!T1987="Yes",
    1.35,
    1.00)</f>
        <v/>
      </c>
      <c r="P1987">
        <f>IF('Loan Tape (S&amp;P)'!S1987="Yes",
    1.15,
    1.00)</f>
        <v/>
      </c>
      <c r="Q1987">
        <f>IF('Loan Tape (S&amp;P)'!V1987="Yes",
    1.20,
    1.00)</f>
        <v/>
      </c>
      <c r="T1987">
        <f>LET(
    payment_method,'Loan Tape (S&amp;P)'!P1987,
    occupancy,'Loan Tape (S&amp;P)'!N1987,
    maturity_date,'Loan Tape (S&amp;P)'!L1987,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88">
      <c r="J1988">
        <f>LET(
    lien,'Loan Tape (S&amp;P)'!Q1988,
    IF(lien="First",1.00,
        IF(lien="Second",1.50,
            1.70)))</f>
        <v/>
      </c>
      <c r="K1988">
        <f>LET(
    purpose,'Loan Tape (S&amp;P)'!R1988,
    IF(purpose="Purchase",1.00,
        IF(purpose="Remortgage",1.00,
            1.20)))</f>
        <v/>
      </c>
      <c r="L1988">
        <f>LET(
    arrears_months,'Loan Tape (S&amp;P)'!AN1988,
    IF(arrears_months=0,1.00,
    IF(arrears_months=1,3.00,
    IF(arrears_months=2,5.00,
    IF(arrears_months=3,8.00,
    IF(arrears_months=4,10.00,
    IF(arrears_months=5,12.00,15.00)))))))</f>
        <v/>
      </c>
      <c r="M1988">
        <f>LET(
    seasoning_years,DATEDIF('Loan Tape (S&amp;P)'!K1988,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88">
        <f>IF(AND('Loan Tape (S&amp;P)'!U1988="Yes",
        'Loan Tape (S&amp;P)'!T1988&lt;&gt;"Yes",
        DATEDIF('Loan Tape (S&amp;P)'!K1988, TODAY(), "M")&lt;18),
    1.10,
    1.00)</f>
        <v/>
      </c>
      <c r="O1988">
        <f>IF('Loan Tape (S&amp;P)'!T1988="Yes",
    1.35,
    1.00)</f>
        <v/>
      </c>
      <c r="P1988">
        <f>IF('Loan Tape (S&amp;P)'!S1988="Yes",
    1.15,
    1.00)</f>
        <v/>
      </c>
      <c r="Q1988">
        <f>IF('Loan Tape (S&amp;P)'!V1988="Yes",
    1.20,
    1.00)</f>
        <v/>
      </c>
      <c r="T1988">
        <f>LET(
    payment_method,'Loan Tape (S&amp;P)'!P1988,
    occupancy,'Loan Tape (S&amp;P)'!N1988,
    maturity_date,'Loan Tape (S&amp;P)'!L1988,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89">
      <c r="J1989">
        <f>LET(
    lien,'Loan Tape (S&amp;P)'!Q1989,
    IF(lien="First",1.00,
        IF(lien="Second",1.50,
            1.70)))</f>
        <v/>
      </c>
      <c r="K1989">
        <f>LET(
    purpose,'Loan Tape (S&amp;P)'!R1989,
    IF(purpose="Purchase",1.00,
        IF(purpose="Remortgage",1.00,
            1.20)))</f>
        <v/>
      </c>
      <c r="L1989">
        <f>LET(
    arrears_months,'Loan Tape (S&amp;P)'!AN1989,
    IF(arrears_months=0,1.00,
    IF(arrears_months=1,3.00,
    IF(arrears_months=2,5.00,
    IF(arrears_months=3,8.00,
    IF(arrears_months=4,10.00,
    IF(arrears_months=5,12.00,15.00)))))))</f>
        <v/>
      </c>
      <c r="M1989">
        <f>LET(
    seasoning_years,DATEDIF('Loan Tape (S&amp;P)'!K1989,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89">
        <f>IF(AND('Loan Tape (S&amp;P)'!U1989="Yes",
        'Loan Tape (S&amp;P)'!T1989&lt;&gt;"Yes",
        DATEDIF('Loan Tape (S&amp;P)'!K1989, TODAY(), "M")&lt;18),
    1.10,
    1.00)</f>
        <v/>
      </c>
      <c r="O1989">
        <f>IF('Loan Tape (S&amp;P)'!T1989="Yes",
    1.35,
    1.00)</f>
        <v/>
      </c>
      <c r="P1989">
        <f>IF('Loan Tape (S&amp;P)'!S1989="Yes",
    1.15,
    1.00)</f>
        <v/>
      </c>
      <c r="Q1989">
        <f>IF('Loan Tape (S&amp;P)'!V1989="Yes",
    1.20,
    1.00)</f>
        <v/>
      </c>
      <c r="T1989">
        <f>LET(
    payment_method,'Loan Tape (S&amp;P)'!P1989,
    occupancy,'Loan Tape (S&amp;P)'!N1989,
    maturity_date,'Loan Tape (S&amp;P)'!L1989,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90">
      <c r="J1990">
        <f>LET(
    lien,'Loan Tape (S&amp;P)'!Q1990,
    IF(lien="First",1.00,
        IF(lien="Second",1.50,
            1.70)))</f>
        <v/>
      </c>
      <c r="K1990">
        <f>LET(
    purpose,'Loan Tape (S&amp;P)'!R1990,
    IF(purpose="Purchase",1.00,
        IF(purpose="Remortgage",1.00,
            1.20)))</f>
        <v/>
      </c>
      <c r="L1990">
        <f>LET(
    arrears_months,'Loan Tape (S&amp;P)'!AN1990,
    IF(arrears_months=0,1.00,
    IF(arrears_months=1,3.00,
    IF(arrears_months=2,5.00,
    IF(arrears_months=3,8.00,
    IF(arrears_months=4,10.00,
    IF(arrears_months=5,12.00,15.00)))))))</f>
        <v/>
      </c>
      <c r="M1990">
        <f>LET(
    seasoning_years,DATEDIF('Loan Tape (S&amp;P)'!K1990,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90">
        <f>IF(AND('Loan Tape (S&amp;P)'!U1990="Yes",
        'Loan Tape (S&amp;P)'!T1990&lt;&gt;"Yes",
        DATEDIF('Loan Tape (S&amp;P)'!K1990, TODAY(), "M")&lt;18),
    1.10,
    1.00)</f>
        <v/>
      </c>
      <c r="O1990">
        <f>IF('Loan Tape (S&amp;P)'!T1990="Yes",
    1.35,
    1.00)</f>
        <v/>
      </c>
      <c r="P1990">
        <f>IF('Loan Tape (S&amp;P)'!S1990="Yes",
    1.15,
    1.00)</f>
        <v/>
      </c>
      <c r="Q1990">
        <f>IF('Loan Tape (S&amp;P)'!V1990="Yes",
    1.20,
    1.00)</f>
        <v/>
      </c>
      <c r="T1990">
        <f>LET(
    payment_method,'Loan Tape (S&amp;P)'!P1990,
    occupancy,'Loan Tape (S&amp;P)'!N1990,
    maturity_date,'Loan Tape (S&amp;P)'!L1990,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91">
      <c r="J1991">
        <f>LET(
    lien,'Loan Tape (S&amp;P)'!Q1991,
    IF(lien="First",1.00,
        IF(lien="Second",1.50,
            1.70)))</f>
        <v/>
      </c>
      <c r="K1991">
        <f>LET(
    purpose,'Loan Tape (S&amp;P)'!R1991,
    IF(purpose="Purchase",1.00,
        IF(purpose="Remortgage",1.00,
            1.20)))</f>
        <v/>
      </c>
      <c r="L1991">
        <f>LET(
    arrears_months,'Loan Tape (S&amp;P)'!AN1991,
    IF(arrears_months=0,1.00,
    IF(arrears_months=1,3.00,
    IF(arrears_months=2,5.00,
    IF(arrears_months=3,8.00,
    IF(arrears_months=4,10.00,
    IF(arrears_months=5,12.00,15.00)))))))</f>
        <v/>
      </c>
      <c r="M1991">
        <f>LET(
    seasoning_years,DATEDIF('Loan Tape (S&amp;P)'!K1991,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91">
        <f>IF(AND('Loan Tape (S&amp;P)'!U1991="Yes",
        'Loan Tape (S&amp;P)'!T1991&lt;&gt;"Yes",
        DATEDIF('Loan Tape (S&amp;P)'!K1991, TODAY(), "M")&lt;18),
    1.10,
    1.00)</f>
        <v/>
      </c>
      <c r="O1991">
        <f>IF('Loan Tape (S&amp;P)'!T1991="Yes",
    1.35,
    1.00)</f>
        <v/>
      </c>
      <c r="P1991">
        <f>IF('Loan Tape (S&amp;P)'!S1991="Yes",
    1.15,
    1.00)</f>
        <v/>
      </c>
      <c r="Q1991">
        <f>IF('Loan Tape (S&amp;P)'!V1991="Yes",
    1.20,
    1.00)</f>
        <v/>
      </c>
      <c r="T1991">
        <f>LET(
    payment_method,'Loan Tape (S&amp;P)'!P1991,
    occupancy,'Loan Tape (S&amp;P)'!N1991,
    maturity_date,'Loan Tape (S&amp;P)'!L1991,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92">
      <c r="J1992">
        <f>LET(
    lien,'Loan Tape (S&amp;P)'!Q1992,
    IF(lien="First",1.00,
        IF(lien="Second",1.50,
            1.70)))</f>
        <v/>
      </c>
      <c r="K1992">
        <f>LET(
    purpose,'Loan Tape (S&amp;P)'!R1992,
    IF(purpose="Purchase",1.00,
        IF(purpose="Remortgage",1.00,
            1.20)))</f>
        <v/>
      </c>
      <c r="L1992">
        <f>LET(
    arrears_months,'Loan Tape (S&amp;P)'!AN1992,
    IF(arrears_months=0,1.00,
    IF(arrears_months=1,3.00,
    IF(arrears_months=2,5.00,
    IF(arrears_months=3,8.00,
    IF(arrears_months=4,10.00,
    IF(arrears_months=5,12.00,15.00)))))))</f>
        <v/>
      </c>
      <c r="M1992">
        <f>LET(
    seasoning_years,DATEDIF('Loan Tape (S&amp;P)'!K1992,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92">
        <f>IF(AND('Loan Tape (S&amp;P)'!U1992="Yes",
        'Loan Tape (S&amp;P)'!T1992&lt;&gt;"Yes",
        DATEDIF('Loan Tape (S&amp;P)'!K1992, TODAY(), "M")&lt;18),
    1.10,
    1.00)</f>
        <v/>
      </c>
      <c r="O1992">
        <f>IF('Loan Tape (S&amp;P)'!T1992="Yes",
    1.35,
    1.00)</f>
        <v/>
      </c>
      <c r="P1992">
        <f>IF('Loan Tape (S&amp;P)'!S1992="Yes",
    1.15,
    1.00)</f>
        <v/>
      </c>
      <c r="Q1992">
        <f>IF('Loan Tape (S&amp;P)'!V1992="Yes",
    1.20,
    1.00)</f>
        <v/>
      </c>
      <c r="T1992">
        <f>LET(
    payment_method,'Loan Tape (S&amp;P)'!P1992,
    occupancy,'Loan Tape (S&amp;P)'!N1992,
    maturity_date,'Loan Tape (S&amp;P)'!L1992,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93">
      <c r="J1993">
        <f>LET(
    lien,'Loan Tape (S&amp;P)'!Q1993,
    IF(lien="First",1.00,
        IF(lien="Second",1.50,
            1.70)))</f>
        <v/>
      </c>
      <c r="K1993">
        <f>LET(
    purpose,'Loan Tape (S&amp;P)'!R1993,
    IF(purpose="Purchase",1.00,
        IF(purpose="Remortgage",1.00,
            1.20)))</f>
        <v/>
      </c>
      <c r="L1993">
        <f>LET(
    arrears_months,'Loan Tape (S&amp;P)'!AN1993,
    IF(arrears_months=0,1.00,
    IF(arrears_months=1,3.00,
    IF(arrears_months=2,5.00,
    IF(arrears_months=3,8.00,
    IF(arrears_months=4,10.00,
    IF(arrears_months=5,12.00,15.00)))))))</f>
        <v/>
      </c>
      <c r="M1993">
        <f>LET(
    seasoning_years,DATEDIF('Loan Tape (S&amp;P)'!K1993,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93">
        <f>IF(AND('Loan Tape (S&amp;P)'!U1993="Yes",
        'Loan Tape (S&amp;P)'!T1993&lt;&gt;"Yes",
        DATEDIF('Loan Tape (S&amp;P)'!K1993, TODAY(), "M")&lt;18),
    1.10,
    1.00)</f>
        <v/>
      </c>
      <c r="O1993">
        <f>IF('Loan Tape (S&amp;P)'!T1993="Yes",
    1.35,
    1.00)</f>
        <v/>
      </c>
      <c r="P1993">
        <f>IF('Loan Tape (S&amp;P)'!S1993="Yes",
    1.15,
    1.00)</f>
        <v/>
      </c>
      <c r="Q1993">
        <f>IF('Loan Tape (S&amp;P)'!V1993="Yes",
    1.20,
    1.00)</f>
        <v/>
      </c>
      <c r="T1993">
        <f>LET(
    payment_method,'Loan Tape (S&amp;P)'!P1993,
    occupancy,'Loan Tape (S&amp;P)'!N1993,
    maturity_date,'Loan Tape (S&amp;P)'!L1993,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94">
      <c r="J1994">
        <f>LET(
    lien,'Loan Tape (S&amp;P)'!Q1994,
    IF(lien="First",1.00,
        IF(lien="Second",1.50,
            1.70)))</f>
        <v/>
      </c>
      <c r="K1994">
        <f>LET(
    purpose,'Loan Tape (S&amp;P)'!R1994,
    IF(purpose="Purchase",1.00,
        IF(purpose="Remortgage",1.00,
            1.20)))</f>
        <v/>
      </c>
      <c r="L1994">
        <f>LET(
    arrears_months,'Loan Tape (S&amp;P)'!AN1994,
    IF(arrears_months=0,1.00,
    IF(arrears_months=1,3.00,
    IF(arrears_months=2,5.00,
    IF(arrears_months=3,8.00,
    IF(arrears_months=4,10.00,
    IF(arrears_months=5,12.00,15.00)))))))</f>
        <v/>
      </c>
      <c r="M1994">
        <f>LET(
    seasoning_years,DATEDIF('Loan Tape (S&amp;P)'!K1994,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94">
        <f>IF(AND('Loan Tape (S&amp;P)'!U1994="Yes",
        'Loan Tape (S&amp;P)'!T1994&lt;&gt;"Yes",
        DATEDIF('Loan Tape (S&amp;P)'!K1994, TODAY(), "M")&lt;18),
    1.10,
    1.00)</f>
        <v/>
      </c>
      <c r="O1994">
        <f>IF('Loan Tape (S&amp;P)'!T1994="Yes",
    1.35,
    1.00)</f>
        <v/>
      </c>
      <c r="P1994">
        <f>IF('Loan Tape (S&amp;P)'!S1994="Yes",
    1.15,
    1.00)</f>
        <v/>
      </c>
      <c r="Q1994">
        <f>IF('Loan Tape (S&amp;P)'!V1994="Yes",
    1.20,
    1.00)</f>
        <v/>
      </c>
      <c r="T1994">
        <f>LET(
    payment_method,'Loan Tape (S&amp;P)'!P1994,
    occupancy,'Loan Tape (S&amp;P)'!N1994,
    maturity_date,'Loan Tape (S&amp;P)'!L1994,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95">
      <c r="J1995">
        <f>LET(
    lien,'Loan Tape (S&amp;P)'!Q1995,
    IF(lien="First",1.00,
        IF(lien="Second",1.50,
            1.70)))</f>
        <v/>
      </c>
      <c r="K1995">
        <f>LET(
    purpose,'Loan Tape (S&amp;P)'!R1995,
    IF(purpose="Purchase",1.00,
        IF(purpose="Remortgage",1.00,
            1.20)))</f>
        <v/>
      </c>
      <c r="L1995">
        <f>LET(
    arrears_months,'Loan Tape (S&amp;P)'!AN1995,
    IF(arrears_months=0,1.00,
    IF(arrears_months=1,3.00,
    IF(arrears_months=2,5.00,
    IF(arrears_months=3,8.00,
    IF(arrears_months=4,10.00,
    IF(arrears_months=5,12.00,15.00)))))))</f>
        <v/>
      </c>
      <c r="M1995">
        <f>LET(
    seasoning_years,DATEDIF('Loan Tape (S&amp;P)'!K1995,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95">
        <f>IF(AND('Loan Tape (S&amp;P)'!U1995="Yes",
        'Loan Tape (S&amp;P)'!T1995&lt;&gt;"Yes",
        DATEDIF('Loan Tape (S&amp;P)'!K1995, TODAY(), "M")&lt;18),
    1.10,
    1.00)</f>
        <v/>
      </c>
      <c r="O1995">
        <f>IF('Loan Tape (S&amp;P)'!T1995="Yes",
    1.35,
    1.00)</f>
        <v/>
      </c>
      <c r="P1995">
        <f>IF('Loan Tape (S&amp;P)'!S1995="Yes",
    1.15,
    1.00)</f>
        <v/>
      </c>
      <c r="Q1995">
        <f>IF('Loan Tape (S&amp;P)'!V1995="Yes",
    1.20,
    1.00)</f>
        <v/>
      </c>
      <c r="T1995">
        <f>LET(
    payment_method,'Loan Tape (S&amp;P)'!P1995,
    occupancy,'Loan Tape (S&amp;P)'!N1995,
    maturity_date,'Loan Tape (S&amp;P)'!L1995,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96">
      <c r="J1996">
        <f>LET(
    lien,'Loan Tape (S&amp;P)'!Q1996,
    IF(lien="First",1.00,
        IF(lien="Second",1.50,
            1.70)))</f>
        <v/>
      </c>
      <c r="K1996">
        <f>LET(
    purpose,'Loan Tape (S&amp;P)'!R1996,
    IF(purpose="Purchase",1.00,
        IF(purpose="Remortgage",1.00,
            1.20)))</f>
        <v/>
      </c>
      <c r="L1996">
        <f>LET(
    arrears_months,'Loan Tape (S&amp;P)'!AN1996,
    IF(arrears_months=0,1.00,
    IF(arrears_months=1,3.00,
    IF(arrears_months=2,5.00,
    IF(arrears_months=3,8.00,
    IF(arrears_months=4,10.00,
    IF(arrears_months=5,12.00,15.00)))))))</f>
        <v/>
      </c>
      <c r="M1996">
        <f>LET(
    seasoning_years,DATEDIF('Loan Tape (S&amp;P)'!K1996,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96">
        <f>IF(AND('Loan Tape (S&amp;P)'!U1996="Yes",
        'Loan Tape (S&amp;P)'!T1996&lt;&gt;"Yes",
        DATEDIF('Loan Tape (S&amp;P)'!K1996, TODAY(), "M")&lt;18),
    1.10,
    1.00)</f>
        <v/>
      </c>
      <c r="O1996">
        <f>IF('Loan Tape (S&amp;P)'!T1996="Yes",
    1.35,
    1.00)</f>
        <v/>
      </c>
      <c r="P1996">
        <f>IF('Loan Tape (S&amp;P)'!S1996="Yes",
    1.15,
    1.00)</f>
        <v/>
      </c>
      <c r="Q1996">
        <f>IF('Loan Tape (S&amp;P)'!V1996="Yes",
    1.20,
    1.00)</f>
        <v/>
      </c>
      <c r="T1996">
        <f>LET(
    payment_method,'Loan Tape (S&amp;P)'!P1996,
    occupancy,'Loan Tape (S&amp;P)'!N1996,
    maturity_date,'Loan Tape (S&amp;P)'!L1996,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97">
      <c r="J1997">
        <f>LET(
    lien,'Loan Tape (S&amp;P)'!Q1997,
    IF(lien="First",1.00,
        IF(lien="Second",1.50,
            1.70)))</f>
        <v/>
      </c>
      <c r="K1997">
        <f>LET(
    purpose,'Loan Tape (S&amp;P)'!R1997,
    IF(purpose="Purchase",1.00,
        IF(purpose="Remortgage",1.00,
            1.20)))</f>
        <v/>
      </c>
      <c r="L1997">
        <f>LET(
    arrears_months,'Loan Tape (S&amp;P)'!AN1997,
    IF(arrears_months=0,1.00,
    IF(arrears_months=1,3.00,
    IF(arrears_months=2,5.00,
    IF(arrears_months=3,8.00,
    IF(arrears_months=4,10.00,
    IF(arrears_months=5,12.00,15.00)))))))</f>
        <v/>
      </c>
      <c r="M1997">
        <f>LET(
    seasoning_years,DATEDIF('Loan Tape (S&amp;P)'!K1997,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97">
        <f>IF(AND('Loan Tape (S&amp;P)'!U1997="Yes",
        'Loan Tape (S&amp;P)'!T1997&lt;&gt;"Yes",
        DATEDIF('Loan Tape (S&amp;P)'!K1997, TODAY(), "M")&lt;18),
    1.10,
    1.00)</f>
        <v/>
      </c>
      <c r="O1997">
        <f>IF('Loan Tape (S&amp;P)'!T1997="Yes",
    1.35,
    1.00)</f>
        <v/>
      </c>
      <c r="P1997">
        <f>IF('Loan Tape (S&amp;P)'!S1997="Yes",
    1.15,
    1.00)</f>
        <v/>
      </c>
      <c r="Q1997">
        <f>IF('Loan Tape (S&amp;P)'!V1997="Yes",
    1.20,
    1.00)</f>
        <v/>
      </c>
      <c r="T1997">
        <f>LET(
    payment_method,'Loan Tape (S&amp;P)'!P1997,
    occupancy,'Loan Tape (S&amp;P)'!N1997,
    maturity_date,'Loan Tape (S&amp;P)'!L1997,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98">
      <c r="J1998">
        <f>LET(
    lien,'Loan Tape (S&amp;P)'!Q1998,
    IF(lien="First",1.00,
        IF(lien="Second",1.50,
            1.70)))</f>
        <v/>
      </c>
      <c r="K1998">
        <f>LET(
    purpose,'Loan Tape (S&amp;P)'!R1998,
    IF(purpose="Purchase",1.00,
        IF(purpose="Remortgage",1.00,
            1.20)))</f>
        <v/>
      </c>
      <c r="L1998">
        <f>LET(
    arrears_months,'Loan Tape (S&amp;P)'!AN1998,
    IF(arrears_months=0,1.00,
    IF(arrears_months=1,3.00,
    IF(arrears_months=2,5.00,
    IF(arrears_months=3,8.00,
    IF(arrears_months=4,10.00,
    IF(arrears_months=5,12.00,15.00)))))))</f>
        <v/>
      </c>
      <c r="M1998">
        <f>LET(
    seasoning_years,DATEDIF('Loan Tape (S&amp;P)'!K1998,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98">
        <f>IF(AND('Loan Tape (S&amp;P)'!U1998="Yes",
        'Loan Tape (S&amp;P)'!T1998&lt;&gt;"Yes",
        DATEDIF('Loan Tape (S&amp;P)'!K1998, TODAY(), "M")&lt;18),
    1.10,
    1.00)</f>
        <v/>
      </c>
      <c r="O1998">
        <f>IF('Loan Tape (S&amp;P)'!T1998="Yes",
    1.35,
    1.00)</f>
        <v/>
      </c>
      <c r="P1998">
        <f>IF('Loan Tape (S&amp;P)'!S1998="Yes",
    1.15,
    1.00)</f>
        <v/>
      </c>
      <c r="Q1998">
        <f>IF('Loan Tape (S&amp;P)'!V1998="Yes",
    1.20,
    1.00)</f>
        <v/>
      </c>
      <c r="T1998">
        <f>LET(
    payment_method,'Loan Tape (S&amp;P)'!P1998,
    occupancy,'Loan Tape (S&amp;P)'!N1998,
    maturity_date,'Loan Tape (S&amp;P)'!L1998,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999">
      <c r="J1999">
        <f>LET(
    lien,'Loan Tape (S&amp;P)'!Q1999,
    IF(lien="First",1.00,
        IF(lien="Second",1.50,
            1.70)))</f>
        <v/>
      </c>
      <c r="K1999">
        <f>LET(
    purpose,'Loan Tape (S&amp;P)'!R1999,
    IF(purpose="Purchase",1.00,
        IF(purpose="Remortgage",1.00,
            1.20)))</f>
        <v/>
      </c>
      <c r="L1999">
        <f>LET(
    arrears_months,'Loan Tape (S&amp;P)'!AN1999,
    IF(arrears_months=0,1.00,
    IF(arrears_months=1,3.00,
    IF(arrears_months=2,5.00,
    IF(arrears_months=3,8.00,
    IF(arrears_months=4,10.00,
    IF(arrears_months=5,12.00,15.00)))))))</f>
        <v/>
      </c>
      <c r="M1999">
        <f>LET(
    seasoning_years,DATEDIF('Loan Tape (S&amp;P)'!K1999,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999">
        <f>IF(AND('Loan Tape (S&amp;P)'!U1999="Yes",
        'Loan Tape (S&amp;P)'!T1999&lt;&gt;"Yes",
        DATEDIF('Loan Tape (S&amp;P)'!K1999, TODAY(), "M")&lt;18),
    1.10,
    1.00)</f>
        <v/>
      </c>
      <c r="O1999">
        <f>IF('Loan Tape (S&amp;P)'!T1999="Yes",
    1.35,
    1.00)</f>
        <v/>
      </c>
      <c r="P1999">
        <f>IF('Loan Tape (S&amp;P)'!S1999="Yes",
    1.15,
    1.00)</f>
        <v/>
      </c>
      <c r="Q1999">
        <f>IF('Loan Tape (S&amp;P)'!V1999="Yes",
    1.20,
    1.00)</f>
        <v/>
      </c>
      <c r="T1999">
        <f>LET(
    payment_method,'Loan Tape (S&amp;P)'!P1999,
    occupancy,'Loan Tape (S&amp;P)'!N1999,
    maturity_date,'Loan Tape (S&amp;P)'!L1999,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00">
      <c r="J2000">
        <f>LET(
    lien,'Loan Tape (S&amp;P)'!Q2000,
    IF(lien="First",1.00,
        IF(lien="Second",1.50,
            1.70)))</f>
        <v/>
      </c>
      <c r="K2000">
        <f>LET(
    purpose,'Loan Tape (S&amp;P)'!R2000,
    IF(purpose="Purchase",1.00,
        IF(purpose="Remortgage",1.00,
            1.20)))</f>
        <v/>
      </c>
      <c r="L2000">
        <f>LET(
    arrears_months,'Loan Tape (S&amp;P)'!AN2000,
    IF(arrears_months=0,1.00,
    IF(arrears_months=1,3.00,
    IF(arrears_months=2,5.00,
    IF(arrears_months=3,8.00,
    IF(arrears_months=4,10.00,
    IF(arrears_months=5,12.00,15.00)))))))</f>
        <v/>
      </c>
      <c r="M2000">
        <f>LET(
    seasoning_years,DATEDIF('Loan Tape (S&amp;P)'!K2000,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00">
        <f>IF(AND('Loan Tape (S&amp;P)'!U2000="Yes",
        'Loan Tape (S&amp;P)'!T2000&lt;&gt;"Yes",
        DATEDIF('Loan Tape (S&amp;P)'!K2000, TODAY(), "M")&lt;18),
    1.10,
    1.00)</f>
        <v/>
      </c>
      <c r="O2000">
        <f>IF('Loan Tape (S&amp;P)'!T2000="Yes",
    1.35,
    1.00)</f>
        <v/>
      </c>
      <c r="P2000">
        <f>IF('Loan Tape (S&amp;P)'!S2000="Yes",
    1.15,
    1.00)</f>
        <v/>
      </c>
      <c r="Q2000">
        <f>IF('Loan Tape (S&amp;P)'!V2000="Yes",
    1.20,
    1.00)</f>
        <v/>
      </c>
      <c r="T2000">
        <f>LET(
    payment_method,'Loan Tape (S&amp;P)'!P2000,
    occupancy,'Loan Tape (S&amp;P)'!N2000,
    maturity_date,'Loan Tape (S&amp;P)'!L2000,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01">
      <c r="J2001">
        <f>LET(
    lien,'Loan Tape (S&amp;P)'!Q2001,
    IF(lien="First",1.00,
        IF(lien="Second",1.50,
            1.70)))</f>
        <v/>
      </c>
      <c r="K2001">
        <f>LET(
    purpose,'Loan Tape (S&amp;P)'!R2001,
    IF(purpose="Purchase",1.00,
        IF(purpose="Remortgage",1.00,
            1.20)))</f>
        <v/>
      </c>
      <c r="L2001">
        <f>LET(
    arrears_months,'Loan Tape (S&amp;P)'!AN2001,
    IF(arrears_months=0,1.00,
    IF(arrears_months=1,3.00,
    IF(arrears_months=2,5.00,
    IF(arrears_months=3,8.00,
    IF(arrears_months=4,10.00,
    IF(arrears_months=5,12.00,15.00)))))))</f>
        <v/>
      </c>
      <c r="M2001">
        <f>LET(
    seasoning_years,DATEDIF('Loan Tape (S&amp;P)'!K2001,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01">
        <f>IF(AND('Loan Tape (S&amp;P)'!U2001="Yes",
        'Loan Tape (S&amp;P)'!T2001&lt;&gt;"Yes",
        DATEDIF('Loan Tape (S&amp;P)'!K2001, TODAY(), "M")&lt;18),
    1.10,
    1.00)</f>
        <v/>
      </c>
      <c r="O2001">
        <f>IF('Loan Tape (S&amp;P)'!T2001="Yes",
    1.35,
    1.00)</f>
        <v/>
      </c>
      <c r="P2001">
        <f>IF('Loan Tape (S&amp;P)'!S2001="Yes",
    1.15,
    1.00)</f>
        <v/>
      </c>
      <c r="Q2001">
        <f>IF('Loan Tape (S&amp;P)'!V2001="Yes",
    1.20,
    1.00)</f>
        <v/>
      </c>
      <c r="T2001">
        <f>LET(
    payment_method,'Loan Tape (S&amp;P)'!P2001,
    occupancy,'Loan Tape (S&amp;P)'!N2001,
    maturity_date,'Loan Tape (S&amp;P)'!L2001,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02">
      <c r="J2002">
        <f>LET(
    lien,'Loan Tape (S&amp;P)'!Q2002,
    IF(lien="First",1.00,
        IF(lien="Second",1.50,
            1.70)))</f>
        <v/>
      </c>
      <c r="K2002">
        <f>LET(
    purpose,'Loan Tape (S&amp;P)'!R2002,
    IF(purpose="Purchase",1.00,
        IF(purpose="Remortgage",1.00,
            1.20)))</f>
        <v/>
      </c>
      <c r="L2002">
        <f>LET(
    arrears_months,'Loan Tape (S&amp;P)'!AN2002,
    IF(arrears_months=0,1.00,
    IF(arrears_months=1,3.00,
    IF(arrears_months=2,5.00,
    IF(arrears_months=3,8.00,
    IF(arrears_months=4,10.00,
    IF(arrears_months=5,12.00,15.00)))))))</f>
        <v/>
      </c>
      <c r="M2002">
        <f>LET(
    seasoning_years,DATEDIF('Loan Tape (S&amp;P)'!K2002,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02">
        <f>IF(AND('Loan Tape (S&amp;P)'!U2002="Yes",
        'Loan Tape (S&amp;P)'!T2002&lt;&gt;"Yes",
        DATEDIF('Loan Tape (S&amp;P)'!K2002, TODAY(), "M")&lt;18),
    1.10,
    1.00)</f>
        <v/>
      </c>
      <c r="O2002">
        <f>IF('Loan Tape (S&amp;P)'!T2002="Yes",
    1.35,
    1.00)</f>
        <v/>
      </c>
      <c r="P2002">
        <f>IF('Loan Tape (S&amp;P)'!S2002="Yes",
    1.15,
    1.00)</f>
        <v/>
      </c>
      <c r="Q2002">
        <f>IF('Loan Tape (S&amp;P)'!V2002="Yes",
    1.20,
    1.00)</f>
        <v/>
      </c>
      <c r="T2002">
        <f>LET(
    payment_method,'Loan Tape (S&amp;P)'!P2002,
    occupancy,'Loan Tape (S&amp;P)'!N2002,
    maturity_date,'Loan Tape (S&amp;P)'!L2002,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03">
      <c r="J2003">
        <f>LET(
    lien,'Loan Tape (S&amp;P)'!Q2003,
    IF(lien="First",1.00,
        IF(lien="Second",1.50,
            1.70)))</f>
        <v/>
      </c>
      <c r="K2003">
        <f>LET(
    purpose,'Loan Tape (S&amp;P)'!R2003,
    IF(purpose="Purchase",1.00,
        IF(purpose="Remortgage",1.00,
            1.20)))</f>
        <v/>
      </c>
      <c r="L2003">
        <f>LET(
    arrears_months,'Loan Tape (S&amp;P)'!AN2003,
    IF(arrears_months=0,1.00,
    IF(arrears_months=1,3.00,
    IF(arrears_months=2,5.00,
    IF(arrears_months=3,8.00,
    IF(arrears_months=4,10.00,
    IF(arrears_months=5,12.00,15.00)))))))</f>
        <v/>
      </c>
      <c r="M2003">
        <f>LET(
    seasoning_years,DATEDIF('Loan Tape (S&amp;P)'!K2003,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03">
        <f>IF(AND('Loan Tape (S&amp;P)'!U2003="Yes",
        'Loan Tape (S&amp;P)'!T2003&lt;&gt;"Yes",
        DATEDIF('Loan Tape (S&amp;P)'!K2003, TODAY(), "M")&lt;18),
    1.10,
    1.00)</f>
        <v/>
      </c>
      <c r="O2003">
        <f>IF('Loan Tape (S&amp;P)'!T2003="Yes",
    1.35,
    1.00)</f>
        <v/>
      </c>
      <c r="P2003">
        <f>IF('Loan Tape (S&amp;P)'!S2003="Yes",
    1.15,
    1.00)</f>
        <v/>
      </c>
      <c r="Q2003">
        <f>IF('Loan Tape (S&amp;P)'!V2003="Yes",
    1.20,
    1.00)</f>
        <v/>
      </c>
      <c r="T2003">
        <f>LET(
    payment_method,'Loan Tape (S&amp;P)'!P2003,
    occupancy,'Loan Tape (S&amp;P)'!N2003,
    maturity_date,'Loan Tape (S&amp;P)'!L2003,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04">
      <c r="J2004">
        <f>LET(
    lien,'Loan Tape (S&amp;P)'!Q2004,
    IF(lien="First",1.00,
        IF(lien="Second",1.50,
            1.70)))</f>
        <v/>
      </c>
      <c r="K2004">
        <f>LET(
    purpose,'Loan Tape (S&amp;P)'!R2004,
    IF(purpose="Purchase",1.00,
        IF(purpose="Remortgage",1.00,
            1.20)))</f>
        <v/>
      </c>
      <c r="L2004">
        <f>LET(
    arrears_months,'Loan Tape (S&amp;P)'!AN2004,
    IF(arrears_months=0,1.00,
    IF(arrears_months=1,3.00,
    IF(arrears_months=2,5.00,
    IF(arrears_months=3,8.00,
    IF(arrears_months=4,10.00,
    IF(arrears_months=5,12.00,15.00)))))))</f>
        <v/>
      </c>
      <c r="M2004">
        <f>LET(
    seasoning_years,DATEDIF('Loan Tape (S&amp;P)'!K2004,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04">
        <f>IF(AND('Loan Tape (S&amp;P)'!U2004="Yes",
        'Loan Tape (S&amp;P)'!T2004&lt;&gt;"Yes",
        DATEDIF('Loan Tape (S&amp;P)'!K2004, TODAY(), "M")&lt;18),
    1.10,
    1.00)</f>
        <v/>
      </c>
      <c r="O2004">
        <f>IF('Loan Tape (S&amp;P)'!T2004="Yes",
    1.35,
    1.00)</f>
        <v/>
      </c>
      <c r="P2004">
        <f>IF('Loan Tape (S&amp;P)'!S2004="Yes",
    1.15,
    1.00)</f>
        <v/>
      </c>
      <c r="Q2004">
        <f>IF('Loan Tape (S&amp;P)'!V2004="Yes",
    1.20,
    1.00)</f>
        <v/>
      </c>
      <c r="T2004">
        <f>LET(
    payment_method,'Loan Tape (S&amp;P)'!P2004,
    occupancy,'Loan Tape (S&amp;P)'!N2004,
    maturity_date,'Loan Tape (S&amp;P)'!L2004,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05">
      <c r="J2005">
        <f>LET(
    lien,'Loan Tape (S&amp;P)'!Q2005,
    IF(lien="First",1.00,
        IF(lien="Second",1.50,
            1.70)))</f>
        <v/>
      </c>
      <c r="K2005">
        <f>LET(
    purpose,'Loan Tape (S&amp;P)'!R2005,
    IF(purpose="Purchase",1.00,
        IF(purpose="Remortgage",1.00,
            1.20)))</f>
        <v/>
      </c>
      <c r="L2005">
        <f>LET(
    arrears_months,'Loan Tape (S&amp;P)'!AN2005,
    IF(arrears_months=0,1.00,
    IF(arrears_months=1,3.00,
    IF(arrears_months=2,5.00,
    IF(arrears_months=3,8.00,
    IF(arrears_months=4,10.00,
    IF(arrears_months=5,12.00,15.00)))))))</f>
        <v/>
      </c>
      <c r="M2005">
        <f>LET(
    seasoning_years,DATEDIF('Loan Tape (S&amp;P)'!K2005,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05">
        <f>IF(AND('Loan Tape (S&amp;P)'!U2005="Yes",
        'Loan Tape (S&amp;P)'!T2005&lt;&gt;"Yes",
        DATEDIF('Loan Tape (S&amp;P)'!K2005, TODAY(), "M")&lt;18),
    1.10,
    1.00)</f>
        <v/>
      </c>
      <c r="O2005">
        <f>IF('Loan Tape (S&amp;P)'!T2005="Yes",
    1.35,
    1.00)</f>
        <v/>
      </c>
      <c r="P2005">
        <f>IF('Loan Tape (S&amp;P)'!S2005="Yes",
    1.15,
    1.00)</f>
        <v/>
      </c>
      <c r="Q2005">
        <f>IF('Loan Tape (S&amp;P)'!V2005="Yes",
    1.20,
    1.00)</f>
        <v/>
      </c>
      <c r="T2005">
        <f>LET(
    payment_method,'Loan Tape (S&amp;P)'!P2005,
    occupancy,'Loan Tape (S&amp;P)'!N2005,
    maturity_date,'Loan Tape (S&amp;P)'!L2005,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06">
      <c r="J2006">
        <f>LET(
    lien,'Loan Tape (S&amp;P)'!Q2006,
    IF(lien="First",1.00,
        IF(lien="Second",1.50,
            1.70)))</f>
        <v/>
      </c>
      <c r="K2006">
        <f>LET(
    purpose,'Loan Tape (S&amp;P)'!R2006,
    IF(purpose="Purchase",1.00,
        IF(purpose="Remortgage",1.00,
            1.20)))</f>
        <v/>
      </c>
      <c r="L2006">
        <f>LET(
    arrears_months,'Loan Tape (S&amp;P)'!AN2006,
    IF(arrears_months=0,1.00,
    IF(arrears_months=1,3.00,
    IF(arrears_months=2,5.00,
    IF(arrears_months=3,8.00,
    IF(arrears_months=4,10.00,
    IF(arrears_months=5,12.00,15.00)))))))</f>
        <v/>
      </c>
      <c r="M2006">
        <f>LET(
    seasoning_years,DATEDIF('Loan Tape (S&amp;P)'!K2006,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06">
        <f>IF(AND('Loan Tape (S&amp;P)'!U2006="Yes",
        'Loan Tape (S&amp;P)'!T2006&lt;&gt;"Yes",
        DATEDIF('Loan Tape (S&amp;P)'!K2006, TODAY(), "M")&lt;18),
    1.10,
    1.00)</f>
        <v/>
      </c>
      <c r="O2006">
        <f>IF('Loan Tape (S&amp;P)'!T2006="Yes",
    1.35,
    1.00)</f>
        <v/>
      </c>
      <c r="P2006">
        <f>IF('Loan Tape (S&amp;P)'!S2006="Yes",
    1.15,
    1.00)</f>
        <v/>
      </c>
      <c r="Q2006">
        <f>IF('Loan Tape (S&amp;P)'!V2006="Yes",
    1.20,
    1.00)</f>
        <v/>
      </c>
      <c r="T2006">
        <f>LET(
    payment_method,'Loan Tape (S&amp;P)'!P2006,
    occupancy,'Loan Tape (S&amp;P)'!N2006,
    maturity_date,'Loan Tape (S&amp;P)'!L2006,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07">
      <c r="J2007">
        <f>LET(
    lien,'Loan Tape (S&amp;P)'!Q2007,
    IF(lien="First",1.00,
        IF(lien="Second",1.50,
            1.70)))</f>
        <v/>
      </c>
      <c r="K2007">
        <f>LET(
    purpose,'Loan Tape (S&amp;P)'!R2007,
    IF(purpose="Purchase",1.00,
        IF(purpose="Remortgage",1.00,
            1.20)))</f>
        <v/>
      </c>
      <c r="L2007">
        <f>LET(
    arrears_months,'Loan Tape (S&amp;P)'!AN2007,
    IF(arrears_months=0,1.00,
    IF(arrears_months=1,3.00,
    IF(arrears_months=2,5.00,
    IF(arrears_months=3,8.00,
    IF(arrears_months=4,10.00,
    IF(arrears_months=5,12.00,15.00)))))))</f>
        <v/>
      </c>
      <c r="M2007">
        <f>LET(
    seasoning_years,DATEDIF('Loan Tape (S&amp;P)'!K2007,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07">
        <f>IF(AND('Loan Tape (S&amp;P)'!U2007="Yes",
        'Loan Tape (S&amp;P)'!T2007&lt;&gt;"Yes",
        DATEDIF('Loan Tape (S&amp;P)'!K2007, TODAY(), "M")&lt;18),
    1.10,
    1.00)</f>
        <v/>
      </c>
      <c r="O2007">
        <f>IF('Loan Tape (S&amp;P)'!T2007="Yes",
    1.35,
    1.00)</f>
        <v/>
      </c>
      <c r="P2007">
        <f>IF('Loan Tape (S&amp;P)'!S2007="Yes",
    1.15,
    1.00)</f>
        <v/>
      </c>
      <c r="Q2007">
        <f>IF('Loan Tape (S&amp;P)'!V2007="Yes",
    1.20,
    1.00)</f>
        <v/>
      </c>
      <c r="T2007">
        <f>LET(
    payment_method,'Loan Tape (S&amp;P)'!P2007,
    occupancy,'Loan Tape (S&amp;P)'!N2007,
    maturity_date,'Loan Tape (S&amp;P)'!L2007,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08">
      <c r="J2008">
        <f>LET(
    lien,'Loan Tape (S&amp;P)'!Q2008,
    IF(lien="First",1.00,
        IF(lien="Second",1.50,
            1.70)))</f>
        <v/>
      </c>
      <c r="K2008">
        <f>LET(
    purpose,'Loan Tape (S&amp;P)'!R2008,
    IF(purpose="Purchase",1.00,
        IF(purpose="Remortgage",1.00,
            1.20)))</f>
        <v/>
      </c>
      <c r="L2008">
        <f>LET(
    arrears_months,'Loan Tape (S&amp;P)'!AN2008,
    IF(arrears_months=0,1.00,
    IF(arrears_months=1,3.00,
    IF(arrears_months=2,5.00,
    IF(arrears_months=3,8.00,
    IF(arrears_months=4,10.00,
    IF(arrears_months=5,12.00,15.00)))))))</f>
        <v/>
      </c>
      <c r="M2008">
        <f>LET(
    seasoning_years,DATEDIF('Loan Tape (S&amp;P)'!K2008,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08">
        <f>IF(AND('Loan Tape (S&amp;P)'!U2008="Yes",
        'Loan Tape (S&amp;P)'!T2008&lt;&gt;"Yes",
        DATEDIF('Loan Tape (S&amp;P)'!K2008, TODAY(), "M")&lt;18),
    1.10,
    1.00)</f>
        <v/>
      </c>
      <c r="O2008">
        <f>IF('Loan Tape (S&amp;P)'!T2008="Yes",
    1.35,
    1.00)</f>
        <v/>
      </c>
      <c r="P2008">
        <f>IF('Loan Tape (S&amp;P)'!S2008="Yes",
    1.15,
    1.00)</f>
        <v/>
      </c>
      <c r="Q2008">
        <f>IF('Loan Tape (S&amp;P)'!V2008="Yes",
    1.20,
    1.00)</f>
        <v/>
      </c>
      <c r="T2008">
        <f>LET(
    payment_method,'Loan Tape (S&amp;P)'!P2008,
    occupancy,'Loan Tape (S&amp;P)'!N2008,
    maturity_date,'Loan Tape (S&amp;P)'!L2008,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09">
      <c r="J2009">
        <f>LET(
    lien,'Loan Tape (S&amp;P)'!Q2009,
    IF(lien="First",1.00,
        IF(lien="Second",1.50,
            1.70)))</f>
        <v/>
      </c>
      <c r="K2009">
        <f>LET(
    purpose,'Loan Tape (S&amp;P)'!R2009,
    IF(purpose="Purchase",1.00,
        IF(purpose="Remortgage",1.00,
            1.20)))</f>
        <v/>
      </c>
      <c r="L2009">
        <f>LET(
    arrears_months,'Loan Tape (S&amp;P)'!AN2009,
    IF(arrears_months=0,1.00,
    IF(arrears_months=1,3.00,
    IF(arrears_months=2,5.00,
    IF(arrears_months=3,8.00,
    IF(arrears_months=4,10.00,
    IF(arrears_months=5,12.00,15.00)))))))</f>
        <v/>
      </c>
      <c r="M2009">
        <f>LET(
    seasoning_years,DATEDIF('Loan Tape (S&amp;P)'!K2009,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09">
        <f>IF(AND('Loan Tape (S&amp;P)'!U2009="Yes",
        'Loan Tape (S&amp;P)'!T2009&lt;&gt;"Yes",
        DATEDIF('Loan Tape (S&amp;P)'!K2009, TODAY(), "M")&lt;18),
    1.10,
    1.00)</f>
        <v/>
      </c>
      <c r="O2009">
        <f>IF('Loan Tape (S&amp;P)'!T2009="Yes",
    1.35,
    1.00)</f>
        <v/>
      </c>
      <c r="P2009">
        <f>IF('Loan Tape (S&amp;P)'!S2009="Yes",
    1.15,
    1.00)</f>
        <v/>
      </c>
      <c r="Q2009">
        <f>IF('Loan Tape (S&amp;P)'!V2009="Yes",
    1.20,
    1.00)</f>
        <v/>
      </c>
      <c r="T2009">
        <f>LET(
    payment_method,'Loan Tape (S&amp;P)'!P2009,
    occupancy,'Loan Tape (S&amp;P)'!N2009,
    maturity_date,'Loan Tape (S&amp;P)'!L2009,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10">
      <c r="J2010">
        <f>LET(
    lien,'Loan Tape (S&amp;P)'!Q2010,
    IF(lien="First",1.00,
        IF(lien="Second",1.50,
            1.70)))</f>
        <v/>
      </c>
      <c r="K2010">
        <f>LET(
    purpose,'Loan Tape (S&amp;P)'!R2010,
    IF(purpose="Purchase",1.00,
        IF(purpose="Remortgage",1.00,
            1.20)))</f>
        <v/>
      </c>
      <c r="L2010">
        <f>LET(
    arrears_months,'Loan Tape (S&amp;P)'!AN2010,
    IF(arrears_months=0,1.00,
    IF(arrears_months=1,3.00,
    IF(arrears_months=2,5.00,
    IF(arrears_months=3,8.00,
    IF(arrears_months=4,10.00,
    IF(arrears_months=5,12.00,15.00)))))))</f>
        <v/>
      </c>
      <c r="M2010">
        <f>LET(
    seasoning_years,DATEDIF('Loan Tape (S&amp;P)'!K2010,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10">
        <f>IF(AND('Loan Tape (S&amp;P)'!U2010="Yes",
        'Loan Tape (S&amp;P)'!T2010&lt;&gt;"Yes",
        DATEDIF('Loan Tape (S&amp;P)'!K2010, TODAY(), "M")&lt;18),
    1.10,
    1.00)</f>
        <v/>
      </c>
      <c r="O2010">
        <f>IF('Loan Tape (S&amp;P)'!T2010="Yes",
    1.35,
    1.00)</f>
        <v/>
      </c>
      <c r="P2010">
        <f>IF('Loan Tape (S&amp;P)'!S2010="Yes",
    1.15,
    1.00)</f>
        <v/>
      </c>
      <c r="Q2010">
        <f>IF('Loan Tape (S&amp;P)'!V2010="Yes",
    1.20,
    1.00)</f>
        <v/>
      </c>
      <c r="T2010">
        <f>LET(
    payment_method,'Loan Tape (S&amp;P)'!P2010,
    occupancy,'Loan Tape (S&amp;P)'!N2010,
    maturity_date,'Loan Tape (S&amp;P)'!L2010,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11">
      <c r="J2011">
        <f>LET(
    lien,'Loan Tape (S&amp;P)'!Q2011,
    IF(lien="First",1.00,
        IF(lien="Second",1.50,
            1.70)))</f>
        <v/>
      </c>
      <c r="K2011">
        <f>LET(
    purpose,'Loan Tape (S&amp;P)'!R2011,
    IF(purpose="Purchase",1.00,
        IF(purpose="Remortgage",1.00,
            1.20)))</f>
        <v/>
      </c>
      <c r="L2011">
        <f>LET(
    arrears_months,'Loan Tape (S&amp;P)'!AN2011,
    IF(arrears_months=0,1.00,
    IF(arrears_months=1,3.00,
    IF(arrears_months=2,5.00,
    IF(arrears_months=3,8.00,
    IF(arrears_months=4,10.00,
    IF(arrears_months=5,12.00,15.00)))))))</f>
        <v/>
      </c>
      <c r="M2011">
        <f>LET(
    seasoning_years,DATEDIF('Loan Tape (S&amp;P)'!K2011,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11">
        <f>IF(AND('Loan Tape (S&amp;P)'!U2011="Yes",
        'Loan Tape (S&amp;P)'!T2011&lt;&gt;"Yes",
        DATEDIF('Loan Tape (S&amp;P)'!K2011, TODAY(), "M")&lt;18),
    1.10,
    1.00)</f>
        <v/>
      </c>
      <c r="O2011">
        <f>IF('Loan Tape (S&amp;P)'!T2011="Yes",
    1.35,
    1.00)</f>
        <v/>
      </c>
      <c r="P2011">
        <f>IF('Loan Tape (S&amp;P)'!S2011="Yes",
    1.15,
    1.00)</f>
        <v/>
      </c>
      <c r="Q2011">
        <f>IF('Loan Tape (S&amp;P)'!V2011="Yes",
    1.20,
    1.00)</f>
        <v/>
      </c>
      <c r="T2011">
        <f>LET(
    payment_method,'Loan Tape (S&amp;P)'!P2011,
    occupancy,'Loan Tape (S&amp;P)'!N2011,
    maturity_date,'Loan Tape (S&amp;P)'!L2011,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12">
      <c r="J2012">
        <f>LET(
    lien,'Loan Tape (S&amp;P)'!Q2012,
    IF(lien="First",1.00,
        IF(lien="Second",1.50,
            1.70)))</f>
        <v/>
      </c>
      <c r="K2012">
        <f>LET(
    purpose,'Loan Tape (S&amp;P)'!R2012,
    IF(purpose="Purchase",1.00,
        IF(purpose="Remortgage",1.00,
            1.20)))</f>
        <v/>
      </c>
      <c r="L2012">
        <f>LET(
    arrears_months,'Loan Tape (S&amp;P)'!AN2012,
    IF(arrears_months=0,1.00,
    IF(arrears_months=1,3.00,
    IF(arrears_months=2,5.00,
    IF(arrears_months=3,8.00,
    IF(arrears_months=4,10.00,
    IF(arrears_months=5,12.00,15.00)))))))</f>
        <v/>
      </c>
      <c r="M2012">
        <f>LET(
    seasoning_years,DATEDIF('Loan Tape (S&amp;P)'!K2012,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12">
        <f>IF(AND('Loan Tape (S&amp;P)'!U2012="Yes",
        'Loan Tape (S&amp;P)'!T2012&lt;&gt;"Yes",
        DATEDIF('Loan Tape (S&amp;P)'!K2012, TODAY(), "M")&lt;18),
    1.10,
    1.00)</f>
        <v/>
      </c>
      <c r="O2012">
        <f>IF('Loan Tape (S&amp;P)'!T2012="Yes",
    1.35,
    1.00)</f>
        <v/>
      </c>
      <c r="P2012">
        <f>IF('Loan Tape (S&amp;P)'!S2012="Yes",
    1.15,
    1.00)</f>
        <v/>
      </c>
      <c r="Q2012">
        <f>IF('Loan Tape (S&amp;P)'!V2012="Yes",
    1.20,
    1.00)</f>
        <v/>
      </c>
      <c r="T2012">
        <f>LET(
    payment_method,'Loan Tape (S&amp;P)'!P2012,
    occupancy,'Loan Tape (S&amp;P)'!N2012,
    maturity_date,'Loan Tape (S&amp;P)'!L2012,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13">
      <c r="J2013">
        <f>LET(
    lien,'Loan Tape (S&amp;P)'!Q2013,
    IF(lien="First",1.00,
        IF(lien="Second",1.50,
            1.70)))</f>
        <v/>
      </c>
      <c r="K2013">
        <f>LET(
    purpose,'Loan Tape (S&amp;P)'!R2013,
    IF(purpose="Purchase",1.00,
        IF(purpose="Remortgage",1.00,
            1.20)))</f>
        <v/>
      </c>
      <c r="L2013">
        <f>LET(
    arrears_months,'Loan Tape (S&amp;P)'!AN2013,
    IF(arrears_months=0,1.00,
    IF(arrears_months=1,3.00,
    IF(arrears_months=2,5.00,
    IF(arrears_months=3,8.00,
    IF(arrears_months=4,10.00,
    IF(arrears_months=5,12.00,15.00)))))))</f>
        <v/>
      </c>
      <c r="M2013">
        <f>LET(
    seasoning_years,DATEDIF('Loan Tape (S&amp;P)'!K2013,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13">
        <f>IF(AND('Loan Tape (S&amp;P)'!U2013="Yes",
        'Loan Tape (S&amp;P)'!T2013&lt;&gt;"Yes",
        DATEDIF('Loan Tape (S&amp;P)'!K2013, TODAY(), "M")&lt;18),
    1.10,
    1.00)</f>
        <v/>
      </c>
      <c r="O2013">
        <f>IF('Loan Tape (S&amp;P)'!T2013="Yes",
    1.35,
    1.00)</f>
        <v/>
      </c>
      <c r="P2013">
        <f>IF('Loan Tape (S&amp;P)'!S2013="Yes",
    1.15,
    1.00)</f>
        <v/>
      </c>
      <c r="Q2013">
        <f>IF('Loan Tape (S&amp;P)'!V2013="Yes",
    1.20,
    1.00)</f>
        <v/>
      </c>
      <c r="T2013">
        <f>LET(
    payment_method,'Loan Tape (S&amp;P)'!P2013,
    occupancy,'Loan Tape (S&amp;P)'!N2013,
    maturity_date,'Loan Tape (S&amp;P)'!L2013,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14">
      <c r="J2014">
        <f>LET(
    lien,'Loan Tape (S&amp;P)'!Q2014,
    IF(lien="First",1.00,
        IF(lien="Second",1.50,
            1.70)))</f>
        <v/>
      </c>
      <c r="K2014">
        <f>LET(
    purpose,'Loan Tape (S&amp;P)'!R2014,
    IF(purpose="Purchase",1.00,
        IF(purpose="Remortgage",1.00,
            1.20)))</f>
        <v/>
      </c>
      <c r="L2014">
        <f>LET(
    arrears_months,'Loan Tape (S&amp;P)'!AN2014,
    IF(arrears_months=0,1.00,
    IF(arrears_months=1,3.00,
    IF(arrears_months=2,5.00,
    IF(arrears_months=3,8.00,
    IF(arrears_months=4,10.00,
    IF(arrears_months=5,12.00,15.00)))))))</f>
        <v/>
      </c>
      <c r="M2014">
        <f>LET(
    seasoning_years,DATEDIF('Loan Tape (S&amp;P)'!K2014,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14">
        <f>IF(AND('Loan Tape (S&amp;P)'!U2014="Yes",
        'Loan Tape (S&amp;P)'!T2014&lt;&gt;"Yes",
        DATEDIF('Loan Tape (S&amp;P)'!K2014, TODAY(), "M")&lt;18),
    1.10,
    1.00)</f>
        <v/>
      </c>
      <c r="O2014">
        <f>IF('Loan Tape (S&amp;P)'!T2014="Yes",
    1.35,
    1.00)</f>
        <v/>
      </c>
      <c r="P2014">
        <f>IF('Loan Tape (S&amp;P)'!S2014="Yes",
    1.15,
    1.00)</f>
        <v/>
      </c>
      <c r="Q2014">
        <f>IF('Loan Tape (S&amp;P)'!V2014="Yes",
    1.20,
    1.00)</f>
        <v/>
      </c>
      <c r="T2014">
        <f>LET(
    payment_method,'Loan Tape (S&amp;P)'!P2014,
    occupancy,'Loan Tape (S&amp;P)'!N2014,
    maturity_date,'Loan Tape (S&amp;P)'!L2014,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15">
      <c r="J2015">
        <f>LET(
    lien,'Loan Tape (S&amp;P)'!Q2015,
    IF(lien="First",1.00,
        IF(lien="Second",1.50,
            1.70)))</f>
        <v/>
      </c>
      <c r="K2015">
        <f>LET(
    purpose,'Loan Tape (S&amp;P)'!R2015,
    IF(purpose="Purchase",1.00,
        IF(purpose="Remortgage",1.00,
            1.20)))</f>
        <v/>
      </c>
      <c r="L2015">
        <f>LET(
    arrears_months,'Loan Tape (S&amp;P)'!AN2015,
    IF(arrears_months=0,1.00,
    IF(arrears_months=1,3.00,
    IF(arrears_months=2,5.00,
    IF(arrears_months=3,8.00,
    IF(arrears_months=4,10.00,
    IF(arrears_months=5,12.00,15.00)))))))</f>
        <v/>
      </c>
      <c r="M2015">
        <f>LET(
    seasoning_years,DATEDIF('Loan Tape (S&amp;P)'!K2015,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15">
        <f>IF(AND('Loan Tape (S&amp;P)'!U2015="Yes",
        'Loan Tape (S&amp;P)'!T2015&lt;&gt;"Yes",
        DATEDIF('Loan Tape (S&amp;P)'!K2015, TODAY(), "M")&lt;18),
    1.10,
    1.00)</f>
        <v/>
      </c>
      <c r="O2015">
        <f>IF('Loan Tape (S&amp;P)'!T2015="Yes",
    1.35,
    1.00)</f>
        <v/>
      </c>
      <c r="P2015">
        <f>IF('Loan Tape (S&amp;P)'!S2015="Yes",
    1.15,
    1.00)</f>
        <v/>
      </c>
      <c r="Q2015">
        <f>IF('Loan Tape (S&amp;P)'!V2015="Yes",
    1.20,
    1.00)</f>
        <v/>
      </c>
      <c r="T2015">
        <f>LET(
    payment_method,'Loan Tape (S&amp;P)'!P2015,
    occupancy,'Loan Tape (S&amp;P)'!N2015,
    maturity_date,'Loan Tape (S&amp;P)'!L2015,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16">
      <c r="J2016">
        <f>LET(
    lien,'Loan Tape (S&amp;P)'!Q2016,
    IF(lien="First",1.00,
        IF(lien="Second",1.50,
            1.70)))</f>
        <v/>
      </c>
      <c r="K2016">
        <f>LET(
    purpose,'Loan Tape (S&amp;P)'!R2016,
    IF(purpose="Purchase",1.00,
        IF(purpose="Remortgage",1.00,
            1.20)))</f>
        <v/>
      </c>
      <c r="L2016">
        <f>LET(
    arrears_months,'Loan Tape (S&amp;P)'!AN2016,
    IF(arrears_months=0,1.00,
    IF(arrears_months=1,3.00,
    IF(arrears_months=2,5.00,
    IF(arrears_months=3,8.00,
    IF(arrears_months=4,10.00,
    IF(arrears_months=5,12.00,15.00)))))))</f>
        <v/>
      </c>
      <c r="M2016">
        <f>LET(
    seasoning_years,DATEDIF('Loan Tape (S&amp;P)'!K2016,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16">
        <f>IF(AND('Loan Tape (S&amp;P)'!U2016="Yes",
        'Loan Tape (S&amp;P)'!T2016&lt;&gt;"Yes",
        DATEDIF('Loan Tape (S&amp;P)'!K2016, TODAY(), "M")&lt;18),
    1.10,
    1.00)</f>
        <v/>
      </c>
      <c r="O2016">
        <f>IF('Loan Tape (S&amp;P)'!T2016="Yes",
    1.35,
    1.00)</f>
        <v/>
      </c>
      <c r="P2016">
        <f>IF('Loan Tape (S&amp;P)'!S2016="Yes",
    1.15,
    1.00)</f>
        <v/>
      </c>
      <c r="Q2016">
        <f>IF('Loan Tape (S&amp;P)'!V2016="Yes",
    1.20,
    1.00)</f>
        <v/>
      </c>
      <c r="T2016">
        <f>LET(
    payment_method,'Loan Tape (S&amp;P)'!P2016,
    occupancy,'Loan Tape (S&amp;P)'!N2016,
    maturity_date,'Loan Tape (S&amp;P)'!L2016,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17">
      <c r="J2017">
        <f>LET(
    lien,'Loan Tape (S&amp;P)'!Q2017,
    IF(lien="First",1.00,
        IF(lien="Second",1.50,
            1.70)))</f>
        <v/>
      </c>
      <c r="K2017">
        <f>LET(
    purpose,'Loan Tape (S&amp;P)'!R2017,
    IF(purpose="Purchase",1.00,
        IF(purpose="Remortgage",1.00,
            1.20)))</f>
        <v/>
      </c>
      <c r="L2017">
        <f>LET(
    arrears_months,'Loan Tape (S&amp;P)'!AN2017,
    IF(arrears_months=0,1.00,
    IF(arrears_months=1,3.00,
    IF(arrears_months=2,5.00,
    IF(arrears_months=3,8.00,
    IF(arrears_months=4,10.00,
    IF(arrears_months=5,12.00,15.00)))))))</f>
        <v/>
      </c>
      <c r="M2017">
        <f>LET(
    seasoning_years,DATEDIF('Loan Tape (S&amp;P)'!K2017,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17">
        <f>IF(AND('Loan Tape (S&amp;P)'!U2017="Yes",
        'Loan Tape (S&amp;P)'!T2017&lt;&gt;"Yes",
        DATEDIF('Loan Tape (S&amp;P)'!K2017, TODAY(), "M")&lt;18),
    1.10,
    1.00)</f>
        <v/>
      </c>
      <c r="O2017">
        <f>IF('Loan Tape (S&amp;P)'!T2017="Yes",
    1.35,
    1.00)</f>
        <v/>
      </c>
      <c r="P2017">
        <f>IF('Loan Tape (S&amp;P)'!S2017="Yes",
    1.15,
    1.00)</f>
        <v/>
      </c>
      <c r="Q2017">
        <f>IF('Loan Tape (S&amp;P)'!V2017="Yes",
    1.20,
    1.00)</f>
        <v/>
      </c>
      <c r="T2017">
        <f>LET(
    payment_method,'Loan Tape (S&amp;P)'!P2017,
    occupancy,'Loan Tape (S&amp;P)'!N2017,
    maturity_date,'Loan Tape (S&amp;P)'!L2017,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18">
      <c r="J2018">
        <f>LET(
    lien,'Loan Tape (S&amp;P)'!Q2018,
    IF(lien="First",1.00,
        IF(lien="Second",1.50,
            1.70)))</f>
        <v/>
      </c>
      <c r="K2018">
        <f>LET(
    purpose,'Loan Tape (S&amp;P)'!R2018,
    IF(purpose="Purchase",1.00,
        IF(purpose="Remortgage",1.00,
            1.20)))</f>
        <v/>
      </c>
      <c r="L2018">
        <f>LET(
    arrears_months,'Loan Tape (S&amp;P)'!AN2018,
    IF(arrears_months=0,1.00,
    IF(arrears_months=1,3.00,
    IF(arrears_months=2,5.00,
    IF(arrears_months=3,8.00,
    IF(arrears_months=4,10.00,
    IF(arrears_months=5,12.00,15.00)))))))</f>
        <v/>
      </c>
      <c r="M2018">
        <f>LET(
    seasoning_years,DATEDIF('Loan Tape (S&amp;P)'!K2018,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18">
        <f>IF(AND('Loan Tape (S&amp;P)'!U2018="Yes",
        'Loan Tape (S&amp;P)'!T2018&lt;&gt;"Yes",
        DATEDIF('Loan Tape (S&amp;P)'!K2018, TODAY(), "M")&lt;18),
    1.10,
    1.00)</f>
        <v/>
      </c>
      <c r="O2018">
        <f>IF('Loan Tape (S&amp;P)'!T2018="Yes",
    1.35,
    1.00)</f>
        <v/>
      </c>
      <c r="P2018">
        <f>IF('Loan Tape (S&amp;P)'!S2018="Yes",
    1.15,
    1.00)</f>
        <v/>
      </c>
      <c r="Q2018">
        <f>IF('Loan Tape (S&amp;P)'!V2018="Yes",
    1.20,
    1.00)</f>
        <v/>
      </c>
      <c r="T2018">
        <f>LET(
    payment_method,'Loan Tape (S&amp;P)'!P2018,
    occupancy,'Loan Tape (S&amp;P)'!N2018,
    maturity_date,'Loan Tape (S&amp;P)'!L2018,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19">
      <c r="J2019">
        <f>LET(
    lien,'Loan Tape (S&amp;P)'!Q2019,
    IF(lien="First",1.00,
        IF(lien="Second",1.50,
            1.70)))</f>
        <v/>
      </c>
      <c r="K2019">
        <f>LET(
    purpose,'Loan Tape (S&amp;P)'!R2019,
    IF(purpose="Purchase",1.00,
        IF(purpose="Remortgage",1.00,
            1.20)))</f>
        <v/>
      </c>
      <c r="L2019">
        <f>LET(
    arrears_months,'Loan Tape (S&amp;P)'!AN2019,
    IF(arrears_months=0,1.00,
    IF(arrears_months=1,3.00,
    IF(arrears_months=2,5.00,
    IF(arrears_months=3,8.00,
    IF(arrears_months=4,10.00,
    IF(arrears_months=5,12.00,15.00)))))))</f>
        <v/>
      </c>
      <c r="M2019">
        <f>LET(
    seasoning_years,DATEDIF('Loan Tape (S&amp;P)'!K2019,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19">
        <f>IF(AND('Loan Tape (S&amp;P)'!U2019="Yes",
        'Loan Tape (S&amp;P)'!T2019&lt;&gt;"Yes",
        DATEDIF('Loan Tape (S&amp;P)'!K2019, TODAY(), "M")&lt;18),
    1.10,
    1.00)</f>
        <v/>
      </c>
      <c r="O2019">
        <f>IF('Loan Tape (S&amp;P)'!T2019="Yes",
    1.35,
    1.00)</f>
        <v/>
      </c>
      <c r="P2019">
        <f>IF('Loan Tape (S&amp;P)'!S2019="Yes",
    1.15,
    1.00)</f>
        <v/>
      </c>
      <c r="Q2019">
        <f>IF('Loan Tape (S&amp;P)'!V2019="Yes",
    1.20,
    1.00)</f>
        <v/>
      </c>
      <c r="T2019">
        <f>LET(
    payment_method,'Loan Tape (S&amp;P)'!P2019,
    occupancy,'Loan Tape (S&amp;P)'!N2019,
    maturity_date,'Loan Tape (S&amp;P)'!L2019,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20">
      <c r="J2020">
        <f>LET(
    lien,'Loan Tape (S&amp;P)'!Q2020,
    IF(lien="First",1.00,
        IF(lien="Second",1.50,
            1.70)))</f>
        <v/>
      </c>
      <c r="K2020">
        <f>LET(
    purpose,'Loan Tape (S&amp;P)'!R2020,
    IF(purpose="Purchase",1.00,
        IF(purpose="Remortgage",1.00,
            1.20)))</f>
        <v/>
      </c>
      <c r="L2020">
        <f>LET(
    arrears_months,'Loan Tape (S&amp;P)'!AN2020,
    IF(arrears_months=0,1.00,
    IF(arrears_months=1,3.00,
    IF(arrears_months=2,5.00,
    IF(arrears_months=3,8.00,
    IF(arrears_months=4,10.00,
    IF(arrears_months=5,12.00,15.00)))))))</f>
        <v/>
      </c>
      <c r="M2020">
        <f>LET(
    seasoning_years,DATEDIF('Loan Tape (S&amp;P)'!K2020,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20">
        <f>IF(AND('Loan Tape (S&amp;P)'!U2020="Yes",
        'Loan Tape (S&amp;P)'!T2020&lt;&gt;"Yes",
        DATEDIF('Loan Tape (S&amp;P)'!K2020, TODAY(), "M")&lt;18),
    1.10,
    1.00)</f>
        <v/>
      </c>
      <c r="O2020">
        <f>IF('Loan Tape (S&amp;P)'!T2020="Yes",
    1.35,
    1.00)</f>
        <v/>
      </c>
      <c r="P2020">
        <f>IF('Loan Tape (S&amp;P)'!S2020="Yes",
    1.15,
    1.00)</f>
        <v/>
      </c>
      <c r="Q2020">
        <f>IF('Loan Tape (S&amp;P)'!V2020="Yes",
    1.20,
    1.00)</f>
        <v/>
      </c>
      <c r="T2020">
        <f>LET(
    payment_method,'Loan Tape (S&amp;P)'!P2020,
    occupancy,'Loan Tape (S&amp;P)'!N2020,
    maturity_date,'Loan Tape (S&amp;P)'!L2020,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21">
      <c r="J2021">
        <f>LET(
    lien,'Loan Tape (S&amp;P)'!Q2021,
    IF(lien="First",1.00,
        IF(lien="Second",1.50,
            1.70)))</f>
        <v/>
      </c>
      <c r="K2021">
        <f>LET(
    purpose,'Loan Tape (S&amp;P)'!R2021,
    IF(purpose="Purchase",1.00,
        IF(purpose="Remortgage",1.00,
            1.20)))</f>
        <v/>
      </c>
      <c r="L2021">
        <f>LET(
    arrears_months,'Loan Tape (S&amp;P)'!AN2021,
    IF(arrears_months=0,1.00,
    IF(arrears_months=1,3.00,
    IF(arrears_months=2,5.00,
    IF(arrears_months=3,8.00,
    IF(arrears_months=4,10.00,
    IF(arrears_months=5,12.00,15.00)))))))</f>
        <v/>
      </c>
      <c r="M2021">
        <f>LET(
    seasoning_years,DATEDIF('Loan Tape (S&amp;P)'!K2021,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21">
        <f>IF(AND('Loan Tape (S&amp;P)'!U2021="Yes",
        'Loan Tape (S&amp;P)'!T2021&lt;&gt;"Yes",
        DATEDIF('Loan Tape (S&amp;P)'!K2021, TODAY(), "M")&lt;18),
    1.10,
    1.00)</f>
        <v/>
      </c>
      <c r="O2021">
        <f>IF('Loan Tape (S&amp;P)'!T2021="Yes",
    1.35,
    1.00)</f>
        <v/>
      </c>
      <c r="P2021">
        <f>IF('Loan Tape (S&amp;P)'!S2021="Yes",
    1.15,
    1.00)</f>
        <v/>
      </c>
      <c r="Q2021">
        <f>IF('Loan Tape (S&amp;P)'!V2021="Yes",
    1.20,
    1.00)</f>
        <v/>
      </c>
      <c r="T2021">
        <f>LET(
    payment_method,'Loan Tape (S&amp;P)'!P2021,
    occupancy,'Loan Tape (S&amp;P)'!N2021,
    maturity_date,'Loan Tape (S&amp;P)'!L2021,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22">
      <c r="J2022">
        <f>LET(
    lien,'Loan Tape (S&amp;P)'!Q2022,
    IF(lien="First",1.00,
        IF(lien="Second",1.50,
            1.70)))</f>
        <v/>
      </c>
      <c r="K2022">
        <f>LET(
    purpose,'Loan Tape (S&amp;P)'!R2022,
    IF(purpose="Purchase",1.00,
        IF(purpose="Remortgage",1.00,
            1.20)))</f>
        <v/>
      </c>
      <c r="L2022">
        <f>LET(
    arrears_months,'Loan Tape (S&amp;P)'!AN2022,
    IF(arrears_months=0,1.00,
    IF(arrears_months=1,3.00,
    IF(arrears_months=2,5.00,
    IF(arrears_months=3,8.00,
    IF(arrears_months=4,10.00,
    IF(arrears_months=5,12.00,15.00)))))))</f>
        <v/>
      </c>
      <c r="M2022">
        <f>LET(
    seasoning_years,DATEDIF('Loan Tape (S&amp;P)'!K2022,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22">
        <f>IF(AND('Loan Tape (S&amp;P)'!U2022="Yes",
        'Loan Tape (S&amp;P)'!T2022&lt;&gt;"Yes",
        DATEDIF('Loan Tape (S&amp;P)'!K2022, TODAY(), "M")&lt;18),
    1.10,
    1.00)</f>
        <v/>
      </c>
      <c r="O2022">
        <f>IF('Loan Tape (S&amp;P)'!T2022="Yes",
    1.35,
    1.00)</f>
        <v/>
      </c>
      <c r="P2022">
        <f>IF('Loan Tape (S&amp;P)'!S2022="Yes",
    1.15,
    1.00)</f>
        <v/>
      </c>
      <c r="Q2022">
        <f>IF('Loan Tape (S&amp;P)'!V2022="Yes",
    1.20,
    1.00)</f>
        <v/>
      </c>
      <c r="T2022">
        <f>LET(
    payment_method,'Loan Tape (S&amp;P)'!P2022,
    occupancy,'Loan Tape (S&amp;P)'!N2022,
    maturity_date,'Loan Tape (S&amp;P)'!L2022,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23">
      <c r="J2023">
        <f>LET(
    lien,'Loan Tape (S&amp;P)'!Q2023,
    IF(lien="First",1.00,
        IF(lien="Second",1.50,
            1.70)))</f>
        <v/>
      </c>
      <c r="K2023">
        <f>LET(
    purpose,'Loan Tape (S&amp;P)'!R2023,
    IF(purpose="Purchase",1.00,
        IF(purpose="Remortgage",1.00,
            1.20)))</f>
        <v/>
      </c>
      <c r="L2023">
        <f>LET(
    arrears_months,'Loan Tape (S&amp;P)'!AN2023,
    IF(arrears_months=0,1.00,
    IF(arrears_months=1,3.00,
    IF(arrears_months=2,5.00,
    IF(arrears_months=3,8.00,
    IF(arrears_months=4,10.00,
    IF(arrears_months=5,12.00,15.00)))))))</f>
        <v/>
      </c>
      <c r="M2023">
        <f>LET(
    seasoning_years,DATEDIF('Loan Tape (S&amp;P)'!K2023,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23">
        <f>IF(AND('Loan Tape (S&amp;P)'!U2023="Yes",
        'Loan Tape (S&amp;P)'!T2023&lt;&gt;"Yes",
        DATEDIF('Loan Tape (S&amp;P)'!K2023, TODAY(), "M")&lt;18),
    1.10,
    1.00)</f>
        <v/>
      </c>
      <c r="O2023">
        <f>IF('Loan Tape (S&amp;P)'!T2023="Yes",
    1.35,
    1.00)</f>
        <v/>
      </c>
      <c r="P2023">
        <f>IF('Loan Tape (S&amp;P)'!S2023="Yes",
    1.15,
    1.00)</f>
        <v/>
      </c>
      <c r="Q2023">
        <f>IF('Loan Tape (S&amp;P)'!V2023="Yes",
    1.20,
    1.00)</f>
        <v/>
      </c>
      <c r="T2023">
        <f>LET(
    payment_method,'Loan Tape (S&amp;P)'!P2023,
    occupancy,'Loan Tape (S&amp;P)'!N2023,
    maturity_date,'Loan Tape (S&amp;P)'!L2023,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24">
      <c r="J2024">
        <f>LET(
    lien,'Loan Tape (S&amp;P)'!Q2024,
    IF(lien="First",1.00,
        IF(lien="Second",1.50,
            1.70)))</f>
        <v/>
      </c>
      <c r="K2024">
        <f>LET(
    purpose,'Loan Tape (S&amp;P)'!R2024,
    IF(purpose="Purchase",1.00,
        IF(purpose="Remortgage",1.00,
            1.20)))</f>
        <v/>
      </c>
      <c r="L2024">
        <f>LET(
    arrears_months,'Loan Tape (S&amp;P)'!AN2024,
    IF(arrears_months=0,1.00,
    IF(arrears_months=1,3.00,
    IF(arrears_months=2,5.00,
    IF(arrears_months=3,8.00,
    IF(arrears_months=4,10.00,
    IF(arrears_months=5,12.00,15.00)))))))</f>
        <v/>
      </c>
      <c r="M2024">
        <f>LET(
    seasoning_years,DATEDIF('Loan Tape (S&amp;P)'!K2024,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24">
        <f>IF(AND('Loan Tape (S&amp;P)'!U2024="Yes",
        'Loan Tape (S&amp;P)'!T2024&lt;&gt;"Yes",
        DATEDIF('Loan Tape (S&amp;P)'!K2024, TODAY(), "M")&lt;18),
    1.10,
    1.00)</f>
        <v/>
      </c>
      <c r="O2024">
        <f>IF('Loan Tape (S&amp;P)'!T2024="Yes",
    1.35,
    1.00)</f>
        <v/>
      </c>
      <c r="P2024">
        <f>IF('Loan Tape (S&amp;P)'!S2024="Yes",
    1.15,
    1.00)</f>
        <v/>
      </c>
      <c r="Q2024">
        <f>IF('Loan Tape (S&amp;P)'!V2024="Yes",
    1.20,
    1.00)</f>
        <v/>
      </c>
      <c r="T2024">
        <f>LET(
    payment_method,'Loan Tape (S&amp;P)'!P2024,
    occupancy,'Loan Tape (S&amp;P)'!N2024,
    maturity_date,'Loan Tape (S&amp;P)'!L2024,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25">
      <c r="J2025">
        <f>LET(
    lien,'Loan Tape (S&amp;P)'!Q2025,
    IF(lien="First",1.00,
        IF(lien="Second",1.50,
            1.70)))</f>
        <v/>
      </c>
      <c r="K2025">
        <f>LET(
    purpose,'Loan Tape (S&amp;P)'!R2025,
    IF(purpose="Purchase",1.00,
        IF(purpose="Remortgage",1.00,
            1.20)))</f>
        <v/>
      </c>
      <c r="L2025">
        <f>LET(
    arrears_months,'Loan Tape (S&amp;P)'!AN2025,
    IF(arrears_months=0,1.00,
    IF(arrears_months=1,3.00,
    IF(arrears_months=2,5.00,
    IF(arrears_months=3,8.00,
    IF(arrears_months=4,10.00,
    IF(arrears_months=5,12.00,15.00)))))))</f>
        <v/>
      </c>
      <c r="M2025">
        <f>LET(
    seasoning_years,DATEDIF('Loan Tape (S&amp;P)'!K2025,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25">
        <f>IF(AND('Loan Tape (S&amp;P)'!U2025="Yes",
        'Loan Tape (S&amp;P)'!T2025&lt;&gt;"Yes",
        DATEDIF('Loan Tape (S&amp;P)'!K2025, TODAY(), "M")&lt;18),
    1.10,
    1.00)</f>
        <v/>
      </c>
      <c r="O2025">
        <f>IF('Loan Tape (S&amp;P)'!T2025="Yes",
    1.35,
    1.00)</f>
        <v/>
      </c>
      <c r="P2025">
        <f>IF('Loan Tape (S&amp;P)'!S2025="Yes",
    1.15,
    1.00)</f>
        <v/>
      </c>
      <c r="Q2025">
        <f>IF('Loan Tape (S&amp;P)'!V2025="Yes",
    1.20,
    1.00)</f>
        <v/>
      </c>
      <c r="T2025">
        <f>LET(
    payment_method,'Loan Tape (S&amp;P)'!P2025,
    occupancy,'Loan Tape (S&amp;P)'!N2025,
    maturity_date,'Loan Tape (S&amp;P)'!L2025,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26">
      <c r="J2026">
        <f>LET(
    lien,'Loan Tape (S&amp;P)'!Q2026,
    IF(lien="First",1.00,
        IF(lien="Second",1.50,
            1.70)))</f>
        <v/>
      </c>
      <c r="K2026">
        <f>LET(
    purpose,'Loan Tape (S&amp;P)'!R2026,
    IF(purpose="Purchase",1.00,
        IF(purpose="Remortgage",1.00,
            1.20)))</f>
        <v/>
      </c>
      <c r="L2026">
        <f>LET(
    arrears_months,'Loan Tape (S&amp;P)'!AN2026,
    IF(arrears_months=0,1.00,
    IF(arrears_months=1,3.00,
    IF(arrears_months=2,5.00,
    IF(arrears_months=3,8.00,
    IF(arrears_months=4,10.00,
    IF(arrears_months=5,12.00,15.00)))))))</f>
        <v/>
      </c>
      <c r="M2026">
        <f>LET(
    seasoning_years,DATEDIF('Loan Tape (S&amp;P)'!K2026,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26">
        <f>IF(AND('Loan Tape (S&amp;P)'!U2026="Yes",
        'Loan Tape (S&amp;P)'!T2026&lt;&gt;"Yes",
        DATEDIF('Loan Tape (S&amp;P)'!K2026, TODAY(), "M")&lt;18),
    1.10,
    1.00)</f>
        <v/>
      </c>
      <c r="O2026">
        <f>IF('Loan Tape (S&amp;P)'!T2026="Yes",
    1.35,
    1.00)</f>
        <v/>
      </c>
      <c r="P2026">
        <f>IF('Loan Tape (S&amp;P)'!S2026="Yes",
    1.15,
    1.00)</f>
        <v/>
      </c>
      <c r="Q2026">
        <f>IF('Loan Tape (S&amp;P)'!V2026="Yes",
    1.20,
    1.00)</f>
        <v/>
      </c>
      <c r="T2026">
        <f>LET(
    payment_method,'Loan Tape (S&amp;P)'!P2026,
    occupancy,'Loan Tape (S&amp;P)'!N2026,
    maturity_date,'Loan Tape (S&amp;P)'!L2026,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27">
      <c r="J2027">
        <f>LET(
    lien,'Loan Tape (S&amp;P)'!Q2027,
    IF(lien="First",1.00,
        IF(lien="Second",1.50,
            1.70)))</f>
        <v/>
      </c>
      <c r="K2027">
        <f>LET(
    purpose,'Loan Tape (S&amp;P)'!R2027,
    IF(purpose="Purchase",1.00,
        IF(purpose="Remortgage",1.00,
            1.20)))</f>
        <v/>
      </c>
      <c r="L2027">
        <f>LET(
    arrears_months,'Loan Tape (S&amp;P)'!AN2027,
    IF(arrears_months=0,1.00,
    IF(arrears_months=1,3.00,
    IF(arrears_months=2,5.00,
    IF(arrears_months=3,8.00,
    IF(arrears_months=4,10.00,
    IF(arrears_months=5,12.00,15.00)))))))</f>
        <v/>
      </c>
      <c r="M2027">
        <f>LET(
    seasoning_years,DATEDIF('Loan Tape (S&amp;P)'!K2027,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27">
        <f>IF(AND('Loan Tape (S&amp;P)'!U2027="Yes",
        'Loan Tape (S&amp;P)'!T2027&lt;&gt;"Yes",
        DATEDIF('Loan Tape (S&amp;P)'!K2027, TODAY(), "M")&lt;18),
    1.10,
    1.00)</f>
        <v/>
      </c>
      <c r="O2027">
        <f>IF('Loan Tape (S&amp;P)'!T2027="Yes",
    1.35,
    1.00)</f>
        <v/>
      </c>
      <c r="P2027">
        <f>IF('Loan Tape (S&amp;P)'!S2027="Yes",
    1.15,
    1.00)</f>
        <v/>
      </c>
      <c r="Q2027">
        <f>IF('Loan Tape (S&amp;P)'!V2027="Yes",
    1.20,
    1.00)</f>
        <v/>
      </c>
      <c r="T2027">
        <f>LET(
    payment_method,'Loan Tape (S&amp;P)'!P2027,
    occupancy,'Loan Tape (S&amp;P)'!N2027,
    maturity_date,'Loan Tape (S&amp;P)'!L2027,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28">
      <c r="J2028">
        <f>LET(
    lien,'Loan Tape (S&amp;P)'!Q2028,
    IF(lien="First",1.00,
        IF(lien="Second",1.50,
            1.70)))</f>
        <v/>
      </c>
      <c r="K2028">
        <f>LET(
    purpose,'Loan Tape (S&amp;P)'!R2028,
    IF(purpose="Purchase",1.00,
        IF(purpose="Remortgage",1.00,
            1.20)))</f>
        <v/>
      </c>
      <c r="L2028">
        <f>LET(
    arrears_months,'Loan Tape (S&amp;P)'!AN2028,
    IF(arrears_months=0,1.00,
    IF(arrears_months=1,3.00,
    IF(arrears_months=2,5.00,
    IF(arrears_months=3,8.00,
    IF(arrears_months=4,10.00,
    IF(arrears_months=5,12.00,15.00)))))))</f>
        <v/>
      </c>
      <c r="M2028">
        <f>LET(
    seasoning_years,DATEDIF('Loan Tape (S&amp;P)'!K2028,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28">
        <f>IF(AND('Loan Tape (S&amp;P)'!U2028="Yes",
        'Loan Tape (S&amp;P)'!T2028&lt;&gt;"Yes",
        DATEDIF('Loan Tape (S&amp;P)'!K2028, TODAY(), "M")&lt;18),
    1.10,
    1.00)</f>
        <v/>
      </c>
      <c r="O2028">
        <f>IF('Loan Tape (S&amp;P)'!T2028="Yes",
    1.35,
    1.00)</f>
        <v/>
      </c>
      <c r="P2028">
        <f>IF('Loan Tape (S&amp;P)'!S2028="Yes",
    1.15,
    1.00)</f>
        <v/>
      </c>
      <c r="Q2028">
        <f>IF('Loan Tape (S&amp;P)'!V2028="Yes",
    1.20,
    1.00)</f>
        <v/>
      </c>
      <c r="T2028">
        <f>LET(
    payment_method,'Loan Tape (S&amp;P)'!P2028,
    occupancy,'Loan Tape (S&amp;P)'!N2028,
    maturity_date,'Loan Tape (S&amp;P)'!L2028,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29">
      <c r="J2029">
        <f>LET(
    lien,'Loan Tape (S&amp;P)'!Q2029,
    IF(lien="First",1.00,
        IF(lien="Second",1.50,
            1.70)))</f>
        <v/>
      </c>
      <c r="K2029">
        <f>LET(
    purpose,'Loan Tape (S&amp;P)'!R2029,
    IF(purpose="Purchase",1.00,
        IF(purpose="Remortgage",1.00,
            1.20)))</f>
        <v/>
      </c>
      <c r="L2029">
        <f>LET(
    arrears_months,'Loan Tape (S&amp;P)'!AN2029,
    IF(arrears_months=0,1.00,
    IF(arrears_months=1,3.00,
    IF(arrears_months=2,5.00,
    IF(arrears_months=3,8.00,
    IF(arrears_months=4,10.00,
    IF(arrears_months=5,12.00,15.00)))))))</f>
        <v/>
      </c>
      <c r="M2029">
        <f>LET(
    seasoning_years,DATEDIF('Loan Tape (S&amp;P)'!K2029,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29">
        <f>IF(AND('Loan Tape (S&amp;P)'!U2029="Yes",
        'Loan Tape (S&amp;P)'!T2029&lt;&gt;"Yes",
        DATEDIF('Loan Tape (S&amp;P)'!K2029, TODAY(), "M")&lt;18),
    1.10,
    1.00)</f>
        <v/>
      </c>
      <c r="O2029">
        <f>IF('Loan Tape (S&amp;P)'!T2029="Yes",
    1.35,
    1.00)</f>
        <v/>
      </c>
      <c r="P2029">
        <f>IF('Loan Tape (S&amp;P)'!S2029="Yes",
    1.15,
    1.00)</f>
        <v/>
      </c>
      <c r="Q2029">
        <f>IF('Loan Tape (S&amp;P)'!V2029="Yes",
    1.20,
    1.00)</f>
        <v/>
      </c>
      <c r="T2029">
        <f>LET(
    payment_method,'Loan Tape (S&amp;P)'!P2029,
    occupancy,'Loan Tape (S&amp;P)'!N2029,
    maturity_date,'Loan Tape (S&amp;P)'!L2029,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30">
      <c r="J2030">
        <f>LET(
    lien,'Loan Tape (S&amp;P)'!Q2030,
    IF(lien="First",1.00,
        IF(lien="Second",1.50,
            1.70)))</f>
        <v/>
      </c>
      <c r="K2030">
        <f>LET(
    purpose,'Loan Tape (S&amp;P)'!R2030,
    IF(purpose="Purchase",1.00,
        IF(purpose="Remortgage",1.00,
            1.20)))</f>
        <v/>
      </c>
      <c r="L2030">
        <f>LET(
    arrears_months,'Loan Tape (S&amp;P)'!AN2030,
    IF(arrears_months=0,1.00,
    IF(arrears_months=1,3.00,
    IF(arrears_months=2,5.00,
    IF(arrears_months=3,8.00,
    IF(arrears_months=4,10.00,
    IF(arrears_months=5,12.00,15.00)))))))</f>
        <v/>
      </c>
      <c r="M2030">
        <f>LET(
    seasoning_years,DATEDIF('Loan Tape (S&amp;P)'!K2030,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30">
        <f>IF(AND('Loan Tape (S&amp;P)'!U2030="Yes",
        'Loan Tape (S&amp;P)'!T2030&lt;&gt;"Yes",
        DATEDIF('Loan Tape (S&amp;P)'!K2030, TODAY(), "M")&lt;18),
    1.10,
    1.00)</f>
        <v/>
      </c>
      <c r="O2030">
        <f>IF('Loan Tape (S&amp;P)'!T2030="Yes",
    1.35,
    1.00)</f>
        <v/>
      </c>
      <c r="P2030">
        <f>IF('Loan Tape (S&amp;P)'!S2030="Yes",
    1.15,
    1.00)</f>
        <v/>
      </c>
      <c r="Q2030">
        <f>IF('Loan Tape (S&amp;P)'!V2030="Yes",
    1.20,
    1.00)</f>
        <v/>
      </c>
      <c r="T2030">
        <f>LET(
    payment_method,'Loan Tape (S&amp;P)'!P2030,
    occupancy,'Loan Tape (S&amp;P)'!N2030,
    maturity_date,'Loan Tape (S&amp;P)'!L2030,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31">
      <c r="J2031">
        <f>LET(
    lien,'Loan Tape (S&amp;P)'!Q2031,
    IF(lien="First",1.00,
        IF(lien="Second",1.50,
            1.70)))</f>
        <v/>
      </c>
      <c r="K2031">
        <f>LET(
    purpose,'Loan Tape (S&amp;P)'!R2031,
    IF(purpose="Purchase",1.00,
        IF(purpose="Remortgage",1.00,
            1.20)))</f>
        <v/>
      </c>
      <c r="L2031">
        <f>LET(
    arrears_months,'Loan Tape (S&amp;P)'!AN2031,
    IF(arrears_months=0,1.00,
    IF(arrears_months=1,3.00,
    IF(arrears_months=2,5.00,
    IF(arrears_months=3,8.00,
    IF(arrears_months=4,10.00,
    IF(arrears_months=5,12.00,15.00)))))))</f>
        <v/>
      </c>
      <c r="M2031">
        <f>LET(
    seasoning_years,DATEDIF('Loan Tape (S&amp;P)'!K2031,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31">
        <f>IF(AND('Loan Tape (S&amp;P)'!U2031="Yes",
        'Loan Tape (S&amp;P)'!T2031&lt;&gt;"Yes",
        DATEDIF('Loan Tape (S&amp;P)'!K2031, TODAY(), "M")&lt;18),
    1.10,
    1.00)</f>
        <v/>
      </c>
      <c r="O2031">
        <f>IF('Loan Tape (S&amp;P)'!T2031="Yes",
    1.35,
    1.00)</f>
        <v/>
      </c>
      <c r="P2031">
        <f>IF('Loan Tape (S&amp;P)'!S2031="Yes",
    1.15,
    1.00)</f>
        <v/>
      </c>
      <c r="Q2031">
        <f>IF('Loan Tape (S&amp;P)'!V2031="Yes",
    1.20,
    1.00)</f>
        <v/>
      </c>
      <c r="T2031">
        <f>LET(
    payment_method,'Loan Tape (S&amp;P)'!P2031,
    occupancy,'Loan Tape (S&amp;P)'!N2031,
    maturity_date,'Loan Tape (S&amp;P)'!L2031,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32">
      <c r="J2032">
        <f>LET(
    lien,'Loan Tape (S&amp;P)'!Q2032,
    IF(lien="First",1.00,
        IF(lien="Second",1.50,
            1.70)))</f>
        <v/>
      </c>
      <c r="K2032">
        <f>LET(
    purpose,'Loan Tape (S&amp;P)'!R2032,
    IF(purpose="Purchase",1.00,
        IF(purpose="Remortgage",1.00,
            1.20)))</f>
        <v/>
      </c>
      <c r="L2032">
        <f>LET(
    arrears_months,'Loan Tape (S&amp;P)'!AN2032,
    IF(arrears_months=0,1.00,
    IF(arrears_months=1,3.00,
    IF(arrears_months=2,5.00,
    IF(arrears_months=3,8.00,
    IF(arrears_months=4,10.00,
    IF(arrears_months=5,12.00,15.00)))))))</f>
        <v/>
      </c>
      <c r="M2032">
        <f>LET(
    seasoning_years,DATEDIF('Loan Tape (S&amp;P)'!K2032,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32">
        <f>IF(AND('Loan Tape (S&amp;P)'!U2032="Yes",
        'Loan Tape (S&amp;P)'!T2032&lt;&gt;"Yes",
        DATEDIF('Loan Tape (S&amp;P)'!K2032, TODAY(), "M")&lt;18),
    1.10,
    1.00)</f>
        <v/>
      </c>
      <c r="O2032">
        <f>IF('Loan Tape (S&amp;P)'!T2032="Yes",
    1.35,
    1.00)</f>
        <v/>
      </c>
      <c r="P2032">
        <f>IF('Loan Tape (S&amp;P)'!S2032="Yes",
    1.15,
    1.00)</f>
        <v/>
      </c>
      <c r="Q2032">
        <f>IF('Loan Tape (S&amp;P)'!V2032="Yes",
    1.20,
    1.00)</f>
        <v/>
      </c>
      <c r="T2032">
        <f>LET(
    payment_method,'Loan Tape (S&amp;P)'!P2032,
    occupancy,'Loan Tape (S&amp;P)'!N2032,
    maturity_date,'Loan Tape (S&amp;P)'!L2032,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33">
      <c r="J2033">
        <f>LET(
    lien,'Loan Tape (S&amp;P)'!Q2033,
    IF(lien="First",1.00,
        IF(lien="Second",1.50,
            1.70)))</f>
        <v/>
      </c>
      <c r="K2033">
        <f>LET(
    purpose,'Loan Tape (S&amp;P)'!R2033,
    IF(purpose="Purchase",1.00,
        IF(purpose="Remortgage",1.00,
            1.20)))</f>
        <v/>
      </c>
      <c r="L2033">
        <f>LET(
    arrears_months,'Loan Tape (S&amp;P)'!AN2033,
    IF(arrears_months=0,1.00,
    IF(arrears_months=1,3.00,
    IF(arrears_months=2,5.00,
    IF(arrears_months=3,8.00,
    IF(arrears_months=4,10.00,
    IF(arrears_months=5,12.00,15.00)))))))</f>
        <v/>
      </c>
      <c r="M2033">
        <f>LET(
    seasoning_years,DATEDIF('Loan Tape (S&amp;P)'!K2033,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33">
        <f>IF(AND('Loan Tape (S&amp;P)'!U2033="Yes",
        'Loan Tape (S&amp;P)'!T2033&lt;&gt;"Yes",
        DATEDIF('Loan Tape (S&amp;P)'!K2033, TODAY(), "M")&lt;18),
    1.10,
    1.00)</f>
        <v/>
      </c>
      <c r="O2033">
        <f>IF('Loan Tape (S&amp;P)'!T2033="Yes",
    1.35,
    1.00)</f>
        <v/>
      </c>
      <c r="P2033">
        <f>IF('Loan Tape (S&amp;P)'!S2033="Yes",
    1.15,
    1.00)</f>
        <v/>
      </c>
      <c r="Q2033">
        <f>IF('Loan Tape (S&amp;P)'!V2033="Yes",
    1.20,
    1.00)</f>
        <v/>
      </c>
      <c r="T2033">
        <f>LET(
    payment_method,'Loan Tape (S&amp;P)'!P2033,
    occupancy,'Loan Tape (S&amp;P)'!N2033,
    maturity_date,'Loan Tape (S&amp;P)'!L2033,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34">
      <c r="J2034">
        <f>LET(
    lien,'Loan Tape (S&amp;P)'!Q2034,
    IF(lien="First",1.00,
        IF(lien="Second",1.50,
            1.70)))</f>
        <v/>
      </c>
      <c r="K2034">
        <f>LET(
    purpose,'Loan Tape (S&amp;P)'!R2034,
    IF(purpose="Purchase",1.00,
        IF(purpose="Remortgage",1.00,
            1.20)))</f>
        <v/>
      </c>
      <c r="L2034">
        <f>LET(
    arrears_months,'Loan Tape (S&amp;P)'!AN2034,
    IF(arrears_months=0,1.00,
    IF(arrears_months=1,3.00,
    IF(arrears_months=2,5.00,
    IF(arrears_months=3,8.00,
    IF(arrears_months=4,10.00,
    IF(arrears_months=5,12.00,15.00)))))))</f>
        <v/>
      </c>
      <c r="M2034">
        <f>LET(
    seasoning_years,DATEDIF('Loan Tape (S&amp;P)'!K2034,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34">
        <f>IF(AND('Loan Tape (S&amp;P)'!U2034="Yes",
        'Loan Tape (S&amp;P)'!T2034&lt;&gt;"Yes",
        DATEDIF('Loan Tape (S&amp;P)'!K2034, TODAY(), "M")&lt;18),
    1.10,
    1.00)</f>
        <v/>
      </c>
      <c r="O2034">
        <f>IF('Loan Tape (S&amp;P)'!T2034="Yes",
    1.35,
    1.00)</f>
        <v/>
      </c>
      <c r="P2034">
        <f>IF('Loan Tape (S&amp;P)'!S2034="Yes",
    1.15,
    1.00)</f>
        <v/>
      </c>
      <c r="Q2034">
        <f>IF('Loan Tape (S&amp;P)'!V2034="Yes",
    1.20,
    1.00)</f>
        <v/>
      </c>
      <c r="T2034">
        <f>LET(
    payment_method,'Loan Tape (S&amp;P)'!P2034,
    occupancy,'Loan Tape (S&amp;P)'!N2034,
    maturity_date,'Loan Tape (S&amp;P)'!L2034,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35">
      <c r="J2035">
        <f>LET(
    lien,'Loan Tape (S&amp;P)'!Q2035,
    IF(lien="First",1.00,
        IF(lien="Second",1.50,
            1.70)))</f>
        <v/>
      </c>
      <c r="K2035">
        <f>LET(
    purpose,'Loan Tape (S&amp;P)'!R2035,
    IF(purpose="Purchase",1.00,
        IF(purpose="Remortgage",1.00,
            1.20)))</f>
        <v/>
      </c>
      <c r="L2035">
        <f>LET(
    arrears_months,'Loan Tape (S&amp;P)'!AN2035,
    IF(arrears_months=0,1.00,
    IF(arrears_months=1,3.00,
    IF(arrears_months=2,5.00,
    IF(arrears_months=3,8.00,
    IF(arrears_months=4,10.00,
    IF(arrears_months=5,12.00,15.00)))))))</f>
        <v/>
      </c>
      <c r="M2035">
        <f>LET(
    seasoning_years,DATEDIF('Loan Tape (S&amp;P)'!K2035,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35">
        <f>IF(AND('Loan Tape (S&amp;P)'!U2035="Yes",
        'Loan Tape (S&amp;P)'!T2035&lt;&gt;"Yes",
        DATEDIF('Loan Tape (S&amp;P)'!K2035, TODAY(), "M")&lt;18),
    1.10,
    1.00)</f>
        <v/>
      </c>
      <c r="O2035">
        <f>IF('Loan Tape (S&amp;P)'!T2035="Yes",
    1.35,
    1.00)</f>
        <v/>
      </c>
      <c r="P2035">
        <f>IF('Loan Tape (S&amp;P)'!S2035="Yes",
    1.15,
    1.00)</f>
        <v/>
      </c>
      <c r="Q2035">
        <f>IF('Loan Tape (S&amp;P)'!V2035="Yes",
    1.20,
    1.00)</f>
        <v/>
      </c>
      <c r="T2035">
        <f>LET(
    payment_method,'Loan Tape (S&amp;P)'!P2035,
    occupancy,'Loan Tape (S&amp;P)'!N2035,
    maturity_date,'Loan Tape (S&amp;P)'!L2035,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36">
      <c r="J2036">
        <f>LET(
    lien,'Loan Tape (S&amp;P)'!Q2036,
    IF(lien="First",1.00,
        IF(lien="Second",1.50,
            1.70)))</f>
        <v/>
      </c>
      <c r="K2036">
        <f>LET(
    purpose,'Loan Tape (S&amp;P)'!R2036,
    IF(purpose="Purchase",1.00,
        IF(purpose="Remortgage",1.00,
            1.20)))</f>
        <v/>
      </c>
      <c r="L2036">
        <f>LET(
    arrears_months,'Loan Tape (S&amp;P)'!AN2036,
    IF(arrears_months=0,1.00,
    IF(arrears_months=1,3.00,
    IF(arrears_months=2,5.00,
    IF(arrears_months=3,8.00,
    IF(arrears_months=4,10.00,
    IF(arrears_months=5,12.00,15.00)))))))</f>
        <v/>
      </c>
      <c r="M2036">
        <f>LET(
    seasoning_years,DATEDIF('Loan Tape (S&amp;P)'!K2036,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36">
        <f>IF(AND('Loan Tape (S&amp;P)'!U2036="Yes",
        'Loan Tape (S&amp;P)'!T2036&lt;&gt;"Yes",
        DATEDIF('Loan Tape (S&amp;P)'!K2036, TODAY(), "M")&lt;18),
    1.10,
    1.00)</f>
        <v/>
      </c>
      <c r="O2036">
        <f>IF('Loan Tape (S&amp;P)'!T2036="Yes",
    1.35,
    1.00)</f>
        <v/>
      </c>
      <c r="P2036">
        <f>IF('Loan Tape (S&amp;P)'!S2036="Yes",
    1.15,
    1.00)</f>
        <v/>
      </c>
      <c r="Q2036">
        <f>IF('Loan Tape (S&amp;P)'!V2036="Yes",
    1.20,
    1.00)</f>
        <v/>
      </c>
      <c r="T2036">
        <f>LET(
    payment_method,'Loan Tape (S&amp;P)'!P2036,
    occupancy,'Loan Tape (S&amp;P)'!N2036,
    maturity_date,'Loan Tape (S&amp;P)'!L2036,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37">
      <c r="J2037">
        <f>LET(
    lien,'Loan Tape (S&amp;P)'!Q2037,
    IF(lien="First",1.00,
        IF(lien="Second",1.50,
            1.70)))</f>
        <v/>
      </c>
      <c r="K2037">
        <f>LET(
    purpose,'Loan Tape (S&amp;P)'!R2037,
    IF(purpose="Purchase",1.00,
        IF(purpose="Remortgage",1.00,
            1.20)))</f>
        <v/>
      </c>
      <c r="L2037">
        <f>LET(
    arrears_months,'Loan Tape (S&amp;P)'!AN2037,
    IF(arrears_months=0,1.00,
    IF(arrears_months=1,3.00,
    IF(arrears_months=2,5.00,
    IF(arrears_months=3,8.00,
    IF(arrears_months=4,10.00,
    IF(arrears_months=5,12.00,15.00)))))))</f>
        <v/>
      </c>
      <c r="M2037">
        <f>LET(
    seasoning_years,DATEDIF('Loan Tape (S&amp;P)'!K2037,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37">
        <f>IF(AND('Loan Tape (S&amp;P)'!U2037="Yes",
        'Loan Tape (S&amp;P)'!T2037&lt;&gt;"Yes",
        DATEDIF('Loan Tape (S&amp;P)'!K2037, TODAY(), "M")&lt;18),
    1.10,
    1.00)</f>
        <v/>
      </c>
      <c r="O2037">
        <f>IF('Loan Tape (S&amp;P)'!T2037="Yes",
    1.35,
    1.00)</f>
        <v/>
      </c>
      <c r="P2037">
        <f>IF('Loan Tape (S&amp;P)'!S2037="Yes",
    1.15,
    1.00)</f>
        <v/>
      </c>
      <c r="Q2037">
        <f>IF('Loan Tape (S&amp;P)'!V2037="Yes",
    1.20,
    1.00)</f>
        <v/>
      </c>
      <c r="T2037">
        <f>LET(
    payment_method,'Loan Tape (S&amp;P)'!P2037,
    occupancy,'Loan Tape (S&amp;P)'!N2037,
    maturity_date,'Loan Tape (S&amp;P)'!L2037,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38">
      <c r="J2038">
        <f>LET(
    lien,'Loan Tape (S&amp;P)'!Q2038,
    IF(lien="First",1.00,
        IF(lien="Second",1.50,
            1.70)))</f>
        <v/>
      </c>
      <c r="K2038">
        <f>LET(
    purpose,'Loan Tape (S&amp;P)'!R2038,
    IF(purpose="Purchase",1.00,
        IF(purpose="Remortgage",1.00,
            1.20)))</f>
        <v/>
      </c>
      <c r="L2038">
        <f>LET(
    arrears_months,'Loan Tape (S&amp;P)'!AN2038,
    IF(arrears_months=0,1.00,
    IF(arrears_months=1,3.00,
    IF(arrears_months=2,5.00,
    IF(arrears_months=3,8.00,
    IF(arrears_months=4,10.00,
    IF(arrears_months=5,12.00,15.00)))))))</f>
        <v/>
      </c>
      <c r="M2038">
        <f>LET(
    seasoning_years,DATEDIF('Loan Tape (S&amp;P)'!K2038,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38">
        <f>IF(AND('Loan Tape (S&amp;P)'!U2038="Yes",
        'Loan Tape (S&amp;P)'!T2038&lt;&gt;"Yes",
        DATEDIF('Loan Tape (S&amp;P)'!K2038, TODAY(), "M")&lt;18),
    1.10,
    1.00)</f>
        <v/>
      </c>
      <c r="O2038">
        <f>IF('Loan Tape (S&amp;P)'!T2038="Yes",
    1.35,
    1.00)</f>
        <v/>
      </c>
      <c r="P2038">
        <f>IF('Loan Tape (S&amp;P)'!S2038="Yes",
    1.15,
    1.00)</f>
        <v/>
      </c>
      <c r="Q2038">
        <f>IF('Loan Tape (S&amp;P)'!V2038="Yes",
    1.20,
    1.00)</f>
        <v/>
      </c>
      <c r="T2038">
        <f>LET(
    payment_method,'Loan Tape (S&amp;P)'!P2038,
    occupancy,'Loan Tape (S&amp;P)'!N2038,
    maturity_date,'Loan Tape (S&amp;P)'!L2038,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39">
      <c r="J2039">
        <f>LET(
    lien,'Loan Tape (S&amp;P)'!Q2039,
    IF(lien="First",1.00,
        IF(lien="Second",1.50,
            1.70)))</f>
        <v/>
      </c>
      <c r="K2039">
        <f>LET(
    purpose,'Loan Tape (S&amp;P)'!R2039,
    IF(purpose="Purchase",1.00,
        IF(purpose="Remortgage",1.00,
            1.20)))</f>
        <v/>
      </c>
      <c r="L2039">
        <f>LET(
    arrears_months,'Loan Tape (S&amp;P)'!AN2039,
    IF(arrears_months=0,1.00,
    IF(arrears_months=1,3.00,
    IF(arrears_months=2,5.00,
    IF(arrears_months=3,8.00,
    IF(arrears_months=4,10.00,
    IF(arrears_months=5,12.00,15.00)))))))</f>
        <v/>
      </c>
      <c r="M2039">
        <f>LET(
    seasoning_years,DATEDIF('Loan Tape (S&amp;P)'!K2039,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39">
        <f>IF(AND('Loan Tape (S&amp;P)'!U2039="Yes",
        'Loan Tape (S&amp;P)'!T2039&lt;&gt;"Yes",
        DATEDIF('Loan Tape (S&amp;P)'!K2039, TODAY(), "M")&lt;18),
    1.10,
    1.00)</f>
        <v/>
      </c>
      <c r="O2039">
        <f>IF('Loan Tape (S&amp;P)'!T2039="Yes",
    1.35,
    1.00)</f>
        <v/>
      </c>
      <c r="P2039">
        <f>IF('Loan Tape (S&amp;P)'!S2039="Yes",
    1.15,
    1.00)</f>
        <v/>
      </c>
      <c r="Q2039">
        <f>IF('Loan Tape (S&amp;P)'!V2039="Yes",
    1.20,
    1.00)</f>
        <v/>
      </c>
      <c r="T2039">
        <f>LET(
    payment_method,'Loan Tape (S&amp;P)'!P2039,
    occupancy,'Loan Tape (S&amp;P)'!N2039,
    maturity_date,'Loan Tape (S&amp;P)'!L2039,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40">
      <c r="J2040">
        <f>LET(
    lien,'Loan Tape (S&amp;P)'!Q2040,
    IF(lien="First",1.00,
        IF(lien="Second",1.50,
            1.70)))</f>
        <v/>
      </c>
      <c r="K2040">
        <f>LET(
    purpose,'Loan Tape (S&amp;P)'!R2040,
    IF(purpose="Purchase",1.00,
        IF(purpose="Remortgage",1.00,
            1.20)))</f>
        <v/>
      </c>
      <c r="L2040">
        <f>LET(
    arrears_months,'Loan Tape (S&amp;P)'!AN2040,
    IF(arrears_months=0,1.00,
    IF(arrears_months=1,3.00,
    IF(arrears_months=2,5.00,
    IF(arrears_months=3,8.00,
    IF(arrears_months=4,10.00,
    IF(arrears_months=5,12.00,15.00)))))))</f>
        <v/>
      </c>
      <c r="M2040">
        <f>LET(
    seasoning_years,DATEDIF('Loan Tape (S&amp;P)'!K2040,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40">
        <f>IF(AND('Loan Tape (S&amp;P)'!U2040="Yes",
        'Loan Tape (S&amp;P)'!T2040&lt;&gt;"Yes",
        DATEDIF('Loan Tape (S&amp;P)'!K2040, TODAY(), "M")&lt;18),
    1.10,
    1.00)</f>
        <v/>
      </c>
      <c r="O2040">
        <f>IF('Loan Tape (S&amp;P)'!T2040="Yes",
    1.35,
    1.00)</f>
        <v/>
      </c>
      <c r="P2040">
        <f>IF('Loan Tape (S&amp;P)'!S2040="Yes",
    1.15,
    1.00)</f>
        <v/>
      </c>
      <c r="Q2040">
        <f>IF('Loan Tape (S&amp;P)'!V2040="Yes",
    1.20,
    1.00)</f>
        <v/>
      </c>
      <c r="T2040">
        <f>LET(
    payment_method,'Loan Tape (S&amp;P)'!P2040,
    occupancy,'Loan Tape (S&amp;P)'!N2040,
    maturity_date,'Loan Tape (S&amp;P)'!L2040,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41">
      <c r="J2041">
        <f>LET(
    lien,'Loan Tape (S&amp;P)'!Q2041,
    IF(lien="First",1.00,
        IF(lien="Second",1.50,
            1.70)))</f>
        <v/>
      </c>
      <c r="K2041">
        <f>LET(
    purpose,'Loan Tape (S&amp;P)'!R2041,
    IF(purpose="Purchase",1.00,
        IF(purpose="Remortgage",1.00,
            1.20)))</f>
        <v/>
      </c>
      <c r="L2041">
        <f>LET(
    arrears_months,'Loan Tape (S&amp;P)'!AN2041,
    IF(arrears_months=0,1.00,
    IF(arrears_months=1,3.00,
    IF(arrears_months=2,5.00,
    IF(arrears_months=3,8.00,
    IF(arrears_months=4,10.00,
    IF(arrears_months=5,12.00,15.00)))))))</f>
        <v/>
      </c>
      <c r="M2041">
        <f>LET(
    seasoning_years,DATEDIF('Loan Tape (S&amp;P)'!K2041,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41">
        <f>IF(AND('Loan Tape (S&amp;P)'!U2041="Yes",
        'Loan Tape (S&amp;P)'!T2041&lt;&gt;"Yes",
        DATEDIF('Loan Tape (S&amp;P)'!K2041, TODAY(), "M")&lt;18),
    1.10,
    1.00)</f>
        <v/>
      </c>
      <c r="O2041">
        <f>IF('Loan Tape (S&amp;P)'!T2041="Yes",
    1.35,
    1.00)</f>
        <v/>
      </c>
      <c r="P2041">
        <f>IF('Loan Tape (S&amp;P)'!S2041="Yes",
    1.15,
    1.00)</f>
        <v/>
      </c>
      <c r="Q2041">
        <f>IF('Loan Tape (S&amp;P)'!V2041="Yes",
    1.20,
    1.00)</f>
        <v/>
      </c>
      <c r="T2041">
        <f>LET(
    payment_method,'Loan Tape (S&amp;P)'!P2041,
    occupancy,'Loan Tape (S&amp;P)'!N2041,
    maturity_date,'Loan Tape (S&amp;P)'!L2041,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42">
      <c r="J2042">
        <f>LET(
    lien,'Loan Tape (S&amp;P)'!Q2042,
    IF(lien="First",1.00,
        IF(lien="Second",1.50,
            1.70)))</f>
        <v/>
      </c>
      <c r="K2042">
        <f>LET(
    purpose,'Loan Tape (S&amp;P)'!R2042,
    IF(purpose="Purchase",1.00,
        IF(purpose="Remortgage",1.00,
            1.20)))</f>
        <v/>
      </c>
      <c r="L2042">
        <f>LET(
    arrears_months,'Loan Tape (S&amp;P)'!AN2042,
    IF(arrears_months=0,1.00,
    IF(arrears_months=1,3.00,
    IF(arrears_months=2,5.00,
    IF(arrears_months=3,8.00,
    IF(arrears_months=4,10.00,
    IF(arrears_months=5,12.00,15.00)))))))</f>
        <v/>
      </c>
      <c r="M2042">
        <f>LET(
    seasoning_years,DATEDIF('Loan Tape (S&amp;P)'!K2042,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42">
        <f>IF(AND('Loan Tape (S&amp;P)'!U2042="Yes",
        'Loan Tape (S&amp;P)'!T2042&lt;&gt;"Yes",
        DATEDIF('Loan Tape (S&amp;P)'!K2042, TODAY(), "M")&lt;18),
    1.10,
    1.00)</f>
        <v/>
      </c>
      <c r="O2042">
        <f>IF('Loan Tape (S&amp;P)'!T2042="Yes",
    1.35,
    1.00)</f>
        <v/>
      </c>
      <c r="P2042">
        <f>IF('Loan Tape (S&amp;P)'!S2042="Yes",
    1.15,
    1.00)</f>
        <v/>
      </c>
      <c r="Q2042">
        <f>IF('Loan Tape (S&amp;P)'!V2042="Yes",
    1.20,
    1.00)</f>
        <v/>
      </c>
      <c r="T2042">
        <f>LET(
    payment_method,'Loan Tape (S&amp;P)'!P2042,
    occupancy,'Loan Tape (S&amp;P)'!N2042,
    maturity_date,'Loan Tape (S&amp;P)'!L2042,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43">
      <c r="J2043">
        <f>LET(
    lien,'Loan Tape (S&amp;P)'!Q2043,
    IF(lien="First",1.00,
        IF(lien="Second",1.50,
            1.70)))</f>
        <v/>
      </c>
      <c r="K2043">
        <f>LET(
    purpose,'Loan Tape (S&amp;P)'!R2043,
    IF(purpose="Purchase",1.00,
        IF(purpose="Remortgage",1.00,
            1.20)))</f>
        <v/>
      </c>
      <c r="L2043">
        <f>LET(
    arrears_months,'Loan Tape (S&amp;P)'!AN2043,
    IF(arrears_months=0,1.00,
    IF(arrears_months=1,3.00,
    IF(arrears_months=2,5.00,
    IF(arrears_months=3,8.00,
    IF(arrears_months=4,10.00,
    IF(arrears_months=5,12.00,15.00)))))))</f>
        <v/>
      </c>
      <c r="M2043">
        <f>LET(
    seasoning_years,DATEDIF('Loan Tape (S&amp;P)'!K2043,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43">
        <f>IF(AND('Loan Tape (S&amp;P)'!U2043="Yes",
        'Loan Tape (S&amp;P)'!T2043&lt;&gt;"Yes",
        DATEDIF('Loan Tape (S&amp;P)'!K2043, TODAY(), "M")&lt;18),
    1.10,
    1.00)</f>
        <v/>
      </c>
      <c r="O2043">
        <f>IF('Loan Tape (S&amp;P)'!T2043="Yes",
    1.35,
    1.00)</f>
        <v/>
      </c>
      <c r="P2043">
        <f>IF('Loan Tape (S&amp;P)'!S2043="Yes",
    1.15,
    1.00)</f>
        <v/>
      </c>
      <c r="Q2043">
        <f>IF('Loan Tape (S&amp;P)'!V2043="Yes",
    1.20,
    1.00)</f>
        <v/>
      </c>
      <c r="T2043">
        <f>LET(
    payment_method,'Loan Tape (S&amp;P)'!P2043,
    occupancy,'Loan Tape (S&amp;P)'!N2043,
    maturity_date,'Loan Tape (S&amp;P)'!L2043,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44">
      <c r="J2044">
        <f>LET(
    lien,'Loan Tape (S&amp;P)'!Q2044,
    IF(lien="First",1.00,
        IF(lien="Second",1.50,
            1.70)))</f>
        <v/>
      </c>
      <c r="K2044">
        <f>LET(
    purpose,'Loan Tape (S&amp;P)'!R2044,
    IF(purpose="Purchase",1.00,
        IF(purpose="Remortgage",1.00,
            1.20)))</f>
        <v/>
      </c>
      <c r="L2044">
        <f>LET(
    arrears_months,'Loan Tape (S&amp;P)'!AN2044,
    IF(arrears_months=0,1.00,
    IF(arrears_months=1,3.00,
    IF(arrears_months=2,5.00,
    IF(arrears_months=3,8.00,
    IF(arrears_months=4,10.00,
    IF(arrears_months=5,12.00,15.00)))))))</f>
        <v/>
      </c>
      <c r="M2044">
        <f>LET(
    seasoning_years,DATEDIF('Loan Tape (S&amp;P)'!K2044,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44">
        <f>IF(AND('Loan Tape (S&amp;P)'!U2044="Yes",
        'Loan Tape (S&amp;P)'!T2044&lt;&gt;"Yes",
        DATEDIF('Loan Tape (S&amp;P)'!K2044, TODAY(), "M")&lt;18),
    1.10,
    1.00)</f>
        <v/>
      </c>
      <c r="O2044">
        <f>IF('Loan Tape (S&amp;P)'!T2044="Yes",
    1.35,
    1.00)</f>
        <v/>
      </c>
      <c r="P2044">
        <f>IF('Loan Tape (S&amp;P)'!S2044="Yes",
    1.15,
    1.00)</f>
        <v/>
      </c>
      <c r="Q2044">
        <f>IF('Loan Tape (S&amp;P)'!V2044="Yes",
    1.20,
    1.00)</f>
        <v/>
      </c>
      <c r="T2044">
        <f>LET(
    payment_method,'Loan Tape (S&amp;P)'!P2044,
    occupancy,'Loan Tape (S&amp;P)'!N2044,
    maturity_date,'Loan Tape (S&amp;P)'!L2044,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45">
      <c r="J2045">
        <f>LET(
    lien,'Loan Tape (S&amp;P)'!Q2045,
    IF(lien="First",1.00,
        IF(lien="Second",1.50,
            1.70)))</f>
        <v/>
      </c>
      <c r="K2045">
        <f>LET(
    purpose,'Loan Tape (S&amp;P)'!R2045,
    IF(purpose="Purchase",1.00,
        IF(purpose="Remortgage",1.00,
            1.20)))</f>
        <v/>
      </c>
      <c r="L2045">
        <f>LET(
    arrears_months,'Loan Tape (S&amp;P)'!AN2045,
    IF(arrears_months=0,1.00,
    IF(arrears_months=1,3.00,
    IF(arrears_months=2,5.00,
    IF(arrears_months=3,8.00,
    IF(arrears_months=4,10.00,
    IF(arrears_months=5,12.00,15.00)))))))</f>
        <v/>
      </c>
      <c r="M2045">
        <f>LET(
    seasoning_years,DATEDIF('Loan Tape (S&amp;P)'!K2045,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45">
        <f>IF(AND('Loan Tape (S&amp;P)'!U2045="Yes",
        'Loan Tape (S&amp;P)'!T2045&lt;&gt;"Yes",
        DATEDIF('Loan Tape (S&amp;P)'!K2045, TODAY(), "M")&lt;18),
    1.10,
    1.00)</f>
        <v/>
      </c>
      <c r="O2045">
        <f>IF('Loan Tape (S&amp;P)'!T2045="Yes",
    1.35,
    1.00)</f>
        <v/>
      </c>
      <c r="P2045">
        <f>IF('Loan Tape (S&amp;P)'!S2045="Yes",
    1.15,
    1.00)</f>
        <v/>
      </c>
      <c r="Q2045">
        <f>IF('Loan Tape (S&amp;P)'!V2045="Yes",
    1.20,
    1.00)</f>
        <v/>
      </c>
      <c r="T2045">
        <f>LET(
    payment_method,'Loan Tape (S&amp;P)'!P2045,
    occupancy,'Loan Tape (S&amp;P)'!N2045,
    maturity_date,'Loan Tape (S&amp;P)'!L2045,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46">
      <c r="J2046">
        <f>LET(
    lien,'Loan Tape (S&amp;P)'!Q2046,
    IF(lien="First",1.00,
        IF(lien="Second",1.50,
            1.70)))</f>
        <v/>
      </c>
      <c r="K2046">
        <f>LET(
    purpose,'Loan Tape (S&amp;P)'!R2046,
    IF(purpose="Purchase",1.00,
        IF(purpose="Remortgage",1.00,
            1.20)))</f>
        <v/>
      </c>
      <c r="L2046">
        <f>LET(
    arrears_months,'Loan Tape (S&amp;P)'!AN2046,
    IF(arrears_months=0,1.00,
    IF(arrears_months=1,3.00,
    IF(arrears_months=2,5.00,
    IF(arrears_months=3,8.00,
    IF(arrears_months=4,10.00,
    IF(arrears_months=5,12.00,15.00)))))))</f>
        <v/>
      </c>
      <c r="M2046">
        <f>LET(
    seasoning_years,DATEDIF('Loan Tape (S&amp;P)'!K2046,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46">
        <f>IF(AND('Loan Tape (S&amp;P)'!U2046="Yes",
        'Loan Tape (S&amp;P)'!T2046&lt;&gt;"Yes",
        DATEDIF('Loan Tape (S&amp;P)'!K2046, TODAY(), "M")&lt;18),
    1.10,
    1.00)</f>
        <v/>
      </c>
      <c r="O2046">
        <f>IF('Loan Tape (S&amp;P)'!T2046="Yes",
    1.35,
    1.00)</f>
        <v/>
      </c>
      <c r="P2046">
        <f>IF('Loan Tape (S&amp;P)'!S2046="Yes",
    1.15,
    1.00)</f>
        <v/>
      </c>
      <c r="Q2046">
        <f>IF('Loan Tape (S&amp;P)'!V2046="Yes",
    1.20,
    1.00)</f>
        <v/>
      </c>
      <c r="T2046">
        <f>LET(
    payment_method,'Loan Tape (S&amp;P)'!P2046,
    occupancy,'Loan Tape (S&amp;P)'!N2046,
    maturity_date,'Loan Tape (S&amp;P)'!L2046,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47">
      <c r="J2047">
        <f>LET(
    lien,'Loan Tape (S&amp;P)'!Q2047,
    IF(lien="First",1.00,
        IF(lien="Second",1.50,
            1.70)))</f>
        <v/>
      </c>
      <c r="K2047">
        <f>LET(
    purpose,'Loan Tape (S&amp;P)'!R2047,
    IF(purpose="Purchase",1.00,
        IF(purpose="Remortgage",1.00,
            1.20)))</f>
        <v/>
      </c>
      <c r="L2047">
        <f>LET(
    arrears_months,'Loan Tape (S&amp;P)'!AN2047,
    IF(arrears_months=0,1.00,
    IF(arrears_months=1,3.00,
    IF(arrears_months=2,5.00,
    IF(arrears_months=3,8.00,
    IF(arrears_months=4,10.00,
    IF(arrears_months=5,12.00,15.00)))))))</f>
        <v/>
      </c>
      <c r="M2047">
        <f>LET(
    seasoning_years,DATEDIF('Loan Tape (S&amp;P)'!K2047,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47">
        <f>IF(AND('Loan Tape (S&amp;P)'!U2047="Yes",
        'Loan Tape (S&amp;P)'!T2047&lt;&gt;"Yes",
        DATEDIF('Loan Tape (S&amp;P)'!K2047, TODAY(), "M")&lt;18),
    1.10,
    1.00)</f>
        <v/>
      </c>
      <c r="O2047">
        <f>IF('Loan Tape (S&amp;P)'!T2047="Yes",
    1.35,
    1.00)</f>
        <v/>
      </c>
      <c r="P2047">
        <f>IF('Loan Tape (S&amp;P)'!S2047="Yes",
    1.15,
    1.00)</f>
        <v/>
      </c>
      <c r="Q2047">
        <f>IF('Loan Tape (S&amp;P)'!V2047="Yes",
    1.20,
    1.00)</f>
        <v/>
      </c>
      <c r="T2047">
        <f>LET(
    payment_method,'Loan Tape (S&amp;P)'!P2047,
    occupancy,'Loan Tape (S&amp;P)'!N2047,
    maturity_date,'Loan Tape (S&amp;P)'!L2047,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48">
      <c r="J2048">
        <f>LET(
    lien,'Loan Tape (S&amp;P)'!Q2048,
    IF(lien="First",1.00,
        IF(lien="Second",1.50,
            1.70)))</f>
        <v/>
      </c>
      <c r="K2048">
        <f>LET(
    purpose,'Loan Tape (S&amp;P)'!R2048,
    IF(purpose="Purchase",1.00,
        IF(purpose="Remortgage",1.00,
            1.20)))</f>
        <v/>
      </c>
      <c r="L2048">
        <f>LET(
    arrears_months,'Loan Tape (S&amp;P)'!AN2048,
    IF(arrears_months=0,1.00,
    IF(arrears_months=1,3.00,
    IF(arrears_months=2,5.00,
    IF(arrears_months=3,8.00,
    IF(arrears_months=4,10.00,
    IF(arrears_months=5,12.00,15.00)))))))</f>
        <v/>
      </c>
      <c r="M2048">
        <f>LET(
    seasoning_years,DATEDIF('Loan Tape (S&amp;P)'!K2048,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48">
        <f>IF(AND('Loan Tape (S&amp;P)'!U2048="Yes",
        'Loan Tape (S&amp;P)'!T2048&lt;&gt;"Yes",
        DATEDIF('Loan Tape (S&amp;P)'!K2048, TODAY(), "M")&lt;18),
    1.10,
    1.00)</f>
        <v/>
      </c>
      <c r="O2048">
        <f>IF('Loan Tape (S&amp;P)'!T2048="Yes",
    1.35,
    1.00)</f>
        <v/>
      </c>
      <c r="P2048">
        <f>IF('Loan Tape (S&amp;P)'!S2048="Yes",
    1.15,
    1.00)</f>
        <v/>
      </c>
      <c r="Q2048">
        <f>IF('Loan Tape (S&amp;P)'!V2048="Yes",
    1.20,
    1.00)</f>
        <v/>
      </c>
      <c r="T2048">
        <f>LET(
    payment_method,'Loan Tape (S&amp;P)'!P2048,
    occupancy,'Loan Tape (S&amp;P)'!N2048,
    maturity_date,'Loan Tape (S&amp;P)'!L2048,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49">
      <c r="J2049">
        <f>LET(
    lien,'Loan Tape (S&amp;P)'!Q2049,
    IF(lien="First",1.00,
        IF(lien="Second",1.50,
            1.70)))</f>
        <v/>
      </c>
      <c r="K2049">
        <f>LET(
    purpose,'Loan Tape (S&amp;P)'!R2049,
    IF(purpose="Purchase",1.00,
        IF(purpose="Remortgage",1.00,
            1.20)))</f>
        <v/>
      </c>
      <c r="L2049">
        <f>LET(
    arrears_months,'Loan Tape (S&amp;P)'!AN2049,
    IF(arrears_months=0,1.00,
    IF(arrears_months=1,3.00,
    IF(arrears_months=2,5.00,
    IF(arrears_months=3,8.00,
    IF(arrears_months=4,10.00,
    IF(arrears_months=5,12.00,15.00)))))))</f>
        <v/>
      </c>
      <c r="M2049">
        <f>LET(
    seasoning_years,DATEDIF('Loan Tape (S&amp;P)'!K2049,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49">
        <f>IF(AND('Loan Tape (S&amp;P)'!U2049="Yes",
        'Loan Tape (S&amp;P)'!T2049&lt;&gt;"Yes",
        DATEDIF('Loan Tape (S&amp;P)'!K2049, TODAY(), "M")&lt;18),
    1.10,
    1.00)</f>
        <v/>
      </c>
      <c r="O2049">
        <f>IF('Loan Tape (S&amp;P)'!T2049="Yes",
    1.35,
    1.00)</f>
        <v/>
      </c>
      <c r="P2049">
        <f>IF('Loan Tape (S&amp;P)'!S2049="Yes",
    1.15,
    1.00)</f>
        <v/>
      </c>
      <c r="Q2049">
        <f>IF('Loan Tape (S&amp;P)'!V2049="Yes",
    1.20,
    1.00)</f>
        <v/>
      </c>
      <c r="T2049">
        <f>LET(
    payment_method,'Loan Tape (S&amp;P)'!P2049,
    occupancy,'Loan Tape (S&amp;P)'!N2049,
    maturity_date,'Loan Tape (S&amp;P)'!L2049,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50">
      <c r="J2050">
        <f>LET(
    lien,'Loan Tape (S&amp;P)'!Q2050,
    IF(lien="First",1.00,
        IF(lien="Second",1.50,
            1.70)))</f>
        <v/>
      </c>
      <c r="K2050">
        <f>LET(
    purpose,'Loan Tape (S&amp;P)'!R2050,
    IF(purpose="Purchase",1.00,
        IF(purpose="Remortgage",1.00,
            1.20)))</f>
        <v/>
      </c>
      <c r="L2050">
        <f>LET(
    arrears_months,'Loan Tape (S&amp;P)'!AN2050,
    IF(arrears_months=0,1.00,
    IF(arrears_months=1,3.00,
    IF(arrears_months=2,5.00,
    IF(arrears_months=3,8.00,
    IF(arrears_months=4,10.00,
    IF(arrears_months=5,12.00,15.00)))))))</f>
        <v/>
      </c>
      <c r="M2050">
        <f>LET(
    seasoning_years,DATEDIF('Loan Tape (S&amp;P)'!K2050,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50">
        <f>IF(AND('Loan Tape (S&amp;P)'!U2050="Yes",
        'Loan Tape (S&amp;P)'!T2050&lt;&gt;"Yes",
        DATEDIF('Loan Tape (S&amp;P)'!K2050, TODAY(), "M")&lt;18),
    1.10,
    1.00)</f>
        <v/>
      </c>
      <c r="O2050">
        <f>IF('Loan Tape (S&amp;P)'!T2050="Yes",
    1.35,
    1.00)</f>
        <v/>
      </c>
      <c r="P2050">
        <f>IF('Loan Tape (S&amp;P)'!S2050="Yes",
    1.15,
    1.00)</f>
        <v/>
      </c>
      <c r="Q2050">
        <f>IF('Loan Tape (S&amp;P)'!V2050="Yes",
    1.20,
    1.00)</f>
        <v/>
      </c>
      <c r="T2050">
        <f>LET(
    payment_method,'Loan Tape (S&amp;P)'!P2050,
    occupancy,'Loan Tape (S&amp;P)'!N2050,
    maturity_date,'Loan Tape (S&amp;P)'!L2050,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51">
      <c r="J2051">
        <f>LET(
    lien,'Loan Tape (S&amp;P)'!Q2051,
    IF(lien="First",1.00,
        IF(lien="Second",1.50,
            1.70)))</f>
        <v/>
      </c>
      <c r="K2051">
        <f>LET(
    purpose,'Loan Tape (S&amp;P)'!R2051,
    IF(purpose="Purchase",1.00,
        IF(purpose="Remortgage",1.00,
            1.20)))</f>
        <v/>
      </c>
      <c r="L2051">
        <f>LET(
    arrears_months,'Loan Tape (S&amp;P)'!AN2051,
    IF(arrears_months=0,1.00,
    IF(arrears_months=1,3.00,
    IF(arrears_months=2,5.00,
    IF(arrears_months=3,8.00,
    IF(arrears_months=4,10.00,
    IF(arrears_months=5,12.00,15.00)))))))</f>
        <v/>
      </c>
      <c r="M2051">
        <f>LET(
    seasoning_years,DATEDIF('Loan Tape (S&amp;P)'!K2051,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51">
        <f>IF(AND('Loan Tape (S&amp;P)'!U2051="Yes",
        'Loan Tape (S&amp;P)'!T2051&lt;&gt;"Yes",
        DATEDIF('Loan Tape (S&amp;P)'!K2051, TODAY(), "M")&lt;18),
    1.10,
    1.00)</f>
        <v/>
      </c>
      <c r="O2051">
        <f>IF('Loan Tape (S&amp;P)'!T2051="Yes",
    1.35,
    1.00)</f>
        <v/>
      </c>
      <c r="P2051">
        <f>IF('Loan Tape (S&amp;P)'!S2051="Yes",
    1.15,
    1.00)</f>
        <v/>
      </c>
      <c r="Q2051">
        <f>IF('Loan Tape (S&amp;P)'!V2051="Yes",
    1.20,
    1.00)</f>
        <v/>
      </c>
      <c r="T2051">
        <f>LET(
    payment_method,'Loan Tape (S&amp;P)'!P2051,
    occupancy,'Loan Tape (S&amp;P)'!N2051,
    maturity_date,'Loan Tape (S&amp;P)'!L2051,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52">
      <c r="J2052">
        <f>LET(
    lien,'Loan Tape (S&amp;P)'!Q2052,
    IF(lien="First",1.00,
        IF(lien="Second",1.50,
            1.70)))</f>
        <v/>
      </c>
      <c r="K2052">
        <f>LET(
    purpose,'Loan Tape (S&amp;P)'!R2052,
    IF(purpose="Purchase",1.00,
        IF(purpose="Remortgage",1.00,
            1.20)))</f>
        <v/>
      </c>
      <c r="L2052">
        <f>LET(
    arrears_months,'Loan Tape (S&amp;P)'!AN2052,
    IF(arrears_months=0,1.00,
    IF(arrears_months=1,3.00,
    IF(arrears_months=2,5.00,
    IF(arrears_months=3,8.00,
    IF(arrears_months=4,10.00,
    IF(arrears_months=5,12.00,15.00)))))))</f>
        <v/>
      </c>
      <c r="M2052">
        <f>LET(
    seasoning_years,DATEDIF('Loan Tape (S&amp;P)'!K2052,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52">
        <f>IF(AND('Loan Tape (S&amp;P)'!U2052="Yes",
        'Loan Tape (S&amp;P)'!T2052&lt;&gt;"Yes",
        DATEDIF('Loan Tape (S&amp;P)'!K2052, TODAY(), "M")&lt;18),
    1.10,
    1.00)</f>
        <v/>
      </c>
      <c r="O2052">
        <f>IF('Loan Tape (S&amp;P)'!T2052="Yes",
    1.35,
    1.00)</f>
        <v/>
      </c>
      <c r="P2052">
        <f>IF('Loan Tape (S&amp;P)'!S2052="Yes",
    1.15,
    1.00)</f>
        <v/>
      </c>
      <c r="Q2052">
        <f>IF('Loan Tape (S&amp;P)'!V2052="Yes",
    1.20,
    1.00)</f>
        <v/>
      </c>
      <c r="T2052">
        <f>LET(
    payment_method,'Loan Tape (S&amp;P)'!P2052,
    occupancy,'Loan Tape (S&amp;P)'!N2052,
    maturity_date,'Loan Tape (S&amp;P)'!L2052,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53">
      <c r="J2053">
        <f>LET(
    lien,'Loan Tape (S&amp;P)'!Q2053,
    IF(lien="First",1.00,
        IF(lien="Second",1.50,
            1.70)))</f>
        <v/>
      </c>
      <c r="K2053">
        <f>LET(
    purpose,'Loan Tape (S&amp;P)'!R2053,
    IF(purpose="Purchase",1.00,
        IF(purpose="Remortgage",1.00,
            1.20)))</f>
        <v/>
      </c>
      <c r="L2053">
        <f>LET(
    arrears_months,'Loan Tape (S&amp;P)'!AN2053,
    IF(arrears_months=0,1.00,
    IF(arrears_months=1,3.00,
    IF(arrears_months=2,5.00,
    IF(arrears_months=3,8.00,
    IF(arrears_months=4,10.00,
    IF(arrears_months=5,12.00,15.00)))))))</f>
        <v/>
      </c>
      <c r="M2053">
        <f>LET(
    seasoning_years,DATEDIF('Loan Tape (S&amp;P)'!K2053,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53">
        <f>IF(AND('Loan Tape (S&amp;P)'!U2053="Yes",
        'Loan Tape (S&amp;P)'!T2053&lt;&gt;"Yes",
        DATEDIF('Loan Tape (S&amp;P)'!K2053, TODAY(), "M")&lt;18),
    1.10,
    1.00)</f>
        <v/>
      </c>
      <c r="O2053">
        <f>IF('Loan Tape (S&amp;P)'!T2053="Yes",
    1.35,
    1.00)</f>
        <v/>
      </c>
      <c r="P2053">
        <f>IF('Loan Tape (S&amp;P)'!S2053="Yes",
    1.15,
    1.00)</f>
        <v/>
      </c>
      <c r="Q2053">
        <f>IF('Loan Tape (S&amp;P)'!V2053="Yes",
    1.20,
    1.00)</f>
        <v/>
      </c>
      <c r="T2053">
        <f>LET(
    payment_method,'Loan Tape (S&amp;P)'!P2053,
    occupancy,'Loan Tape (S&amp;P)'!N2053,
    maturity_date,'Loan Tape (S&amp;P)'!L2053,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54">
      <c r="J2054">
        <f>LET(
    lien,'Loan Tape (S&amp;P)'!Q2054,
    IF(lien="First",1.00,
        IF(lien="Second",1.50,
            1.70)))</f>
        <v/>
      </c>
      <c r="K2054">
        <f>LET(
    purpose,'Loan Tape (S&amp;P)'!R2054,
    IF(purpose="Purchase",1.00,
        IF(purpose="Remortgage",1.00,
            1.20)))</f>
        <v/>
      </c>
      <c r="L2054">
        <f>LET(
    arrears_months,'Loan Tape (S&amp;P)'!AN2054,
    IF(arrears_months=0,1.00,
    IF(arrears_months=1,3.00,
    IF(arrears_months=2,5.00,
    IF(arrears_months=3,8.00,
    IF(arrears_months=4,10.00,
    IF(arrears_months=5,12.00,15.00)))))))</f>
        <v/>
      </c>
      <c r="M2054">
        <f>LET(
    seasoning_years,DATEDIF('Loan Tape (S&amp;P)'!K2054,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54">
        <f>IF(AND('Loan Tape (S&amp;P)'!U2054="Yes",
        'Loan Tape (S&amp;P)'!T2054&lt;&gt;"Yes",
        DATEDIF('Loan Tape (S&amp;P)'!K2054, TODAY(), "M")&lt;18),
    1.10,
    1.00)</f>
        <v/>
      </c>
      <c r="O2054">
        <f>IF('Loan Tape (S&amp;P)'!T2054="Yes",
    1.35,
    1.00)</f>
        <v/>
      </c>
      <c r="P2054">
        <f>IF('Loan Tape (S&amp;P)'!S2054="Yes",
    1.15,
    1.00)</f>
        <v/>
      </c>
      <c r="Q2054">
        <f>IF('Loan Tape (S&amp;P)'!V2054="Yes",
    1.20,
    1.00)</f>
        <v/>
      </c>
      <c r="T2054">
        <f>LET(
    payment_method,'Loan Tape (S&amp;P)'!P2054,
    occupancy,'Loan Tape (S&amp;P)'!N2054,
    maturity_date,'Loan Tape (S&amp;P)'!L2054,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55">
      <c r="J2055">
        <f>LET(
    lien,'Loan Tape (S&amp;P)'!Q2055,
    IF(lien="First",1.00,
        IF(lien="Second",1.50,
            1.70)))</f>
        <v/>
      </c>
      <c r="K2055">
        <f>LET(
    purpose,'Loan Tape (S&amp;P)'!R2055,
    IF(purpose="Purchase",1.00,
        IF(purpose="Remortgage",1.00,
            1.20)))</f>
        <v/>
      </c>
      <c r="L2055">
        <f>LET(
    arrears_months,'Loan Tape (S&amp;P)'!AN2055,
    IF(arrears_months=0,1.00,
    IF(arrears_months=1,3.00,
    IF(arrears_months=2,5.00,
    IF(arrears_months=3,8.00,
    IF(arrears_months=4,10.00,
    IF(arrears_months=5,12.00,15.00)))))))</f>
        <v/>
      </c>
      <c r="M2055">
        <f>LET(
    seasoning_years,DATEDIF('Loan Tape (S&amp;P)'!K2055,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55">
        <f>IF(AND('Loan Tape (S&amp;P)'!U2055="Yes",
        'Loan Tape (S&amp;P)'!T2055&lt;&gt;"Yes",
        DATEDIF('Loan Tape (S&amp;P)'!K2055, TODAY(), "M")&lt;18),
    1.10,
    1.00)</f>
        <v/>
      </c>
      <c r="O2055">
        <f>IF('Loan Tape (S&amp;P)'!T2055="Yes",
    1.35,
    1.00)</f>
        <v/>
      </c>
      <c r="P2055">
        <f>IF('Loan Tape (S&amp;P)'!S2055="Yes",
    1.15,
    1.00)</f>
        <v/>
      </c>
      <c r="Q2055">
        <f>IF('Loan Tape (S&amp;P)'!V2055="Yes",
    1.20,
    1.00)</f>
        <v/>
      </c>
      <c r="T2055">
        <f>LET(
    payment_method,'Loan Tape (S&amp;P)'!P2055,
    occupancy,'Loan Tape (S&amp;P)'!N2055,
    maturity_date,'Loan Tape (S&amp;P)'!L2055,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56">
      <c r="J2056">
        <f>LET(
    lien,'Loan Tape (S&amp;P)'!Q2056,
    IF(lien="First",1.00,
        IF(lien="Second",1.50,
            1.70)))</f>
        <v/>
      </c>
      <c r="K2056">
        <f>LET(
    purpose,'Loan Tape (S&amp;P)'!R2056,
    IF(purpose="Purchase",1.00,
        IF(purpose="Remortgage",1.00,
            1.20)))</f>
        <v/>
      </c>
      <c r="L2056">
        <f>LET(
    arrears_months,'Loan Tape (S&amp;P)'!AN2056,
    IF(arrears_months=0,1.00,
    IF(arrears_months=1,3.00,
    IF(arrears_months=2,5.00,
    IF(arrears_months=3,8.00,
    IF(arrears_months=4,10.00,
    IF(arrears_months=5,12.00,15.00)))))))</f>
        <v/>
      </c>
      <c r="M2056">
        <f>LET(
    seasoning_years,DATEDIF('Loan Tape (S&amp;P)'!K2056,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56">
        <f>IF(AND('Loan Tape (S&amp;P)'!U2056="Yes",
        'Loan Tape (S&amp;P)'!T2056&lt;&gt;"Yes",
        DATEDIF('Loan Tape (S&amp;P)'!K2056, TODAY(), "M")&lt;18),
    1.10,
    1.00)</f>
        <v/>
      </c>
      <c r="O2056">
        <f>IF('Loan Tape (S&amp;P)'!T2056="Yes",
    1.35,
    1.00)</f>
        <v/>
      </c>
      <c r="P2056">
        <f>IF('Loan Tape (S&amp;P)'!S2056="Yes",
    1.15,
    1.00)</f>
        <v/>
      </c>
      <c r="Q2056">
        <f>IF('Loan Tape (S&amp;P)'!V2056="Yes",
    1.20,
    1.00)</f>
        <v/>
      </c>
      <c r="T2056">
        <f>LET(
    payment_method,'Loan Tape (S&amp;P)'!P2056,
    occupancy,'Loan Tape (S&amp;P)'!N2056,
    maturity_date,'Loan Tape (S&amp;P)'!L2056,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57">
      <c r="J2057">
        <f>LET(
    lien,'Loan Tape (S&amp;P)'!Q2057,
    IF(lien="First",1.00,
        IF(lien="Second",1.50,
            1.70)))</f>
        <v/>
      </c>
      <c r="K2057">
        <f>LET(
    purpose,'Loan Tape (S&amp;P)'!R2057,
    IF(purpose="Purchase",1.00,
        IF(purpose="Remortgage",1.00,
            1.20)))</f>
        <v/>
      </c>
      <c r="L2057">
        <f>LET(
    arrears_months,'Loan Tape (S&amp;P)'!AN2057,
    IF(arrears_months=0,1.00,
    IF(arrears_months=1,3.00,
    IF(arrears_months=2,5.00,
    IF(arrears_months=3,8.00,
    IF(arrears_months=4,10.00,
    IF(arrears_months=5,12.00,15.00)))))))</f>
        <v/>
      </c>
      <c r="M2057">
        <f>LET(
    seasoning_years,DATEDIF('Loan Tape (S&amp;P)'!K2057,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57">
        <f>IF(AND('Loan Tape (S&amp;P)'!U2057="Yes",
        'Loan Tape (S&amp;P)'!T2057&lt;&gt;"Yes",
        DATEDIF('Loan Tape (S&amp;P)'!K2057, TODAY(), "M")&lt;18),
    1.10,
    1.00)</f>
        <v/>
      </c>
      <c r="O2057">
        <f>IF('Loan Tape (S&amp;P)'!T2057="Yes",
    1.35,
    1.00)</f>
        <v/>
      </c>
      <c r="P2057">
        <f>IF('Loan Tape (S&amp;P)'!S2057="Yes",
    1.15,
    1.00)</f>
        <v/>
      </c>
      <c r="Q2057">
        <f>IF('Loan Tape (S&amp;P)'!V2057="Yes",
    1.20,
    1.00)</f>
        <v/>
      </c>
      <c r="T2057">
        <f>LET(
    payment_method,'Loan Tape (S&amp;P)'!P2057,
    occupancy,'Loan Tape (S&amp;P)'!N2057,
    maturity_date,'Loan Tape (S&amp;P)'!L2057,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58">
      <c r="J2058">
        <f>LET(
    lien,'Loan Tape (S&amp;P)'!Q2058,
    IF(lien="First",1.00,
        IF(lien="Second",1.50,
            1.70)))</f>
        <v/>
      </c>
      <c r="K2058">
        <f>LET(
    purpose,'Loan Tape (S&amp;P)'!R2058,
    IF(purpose="Purchase",1.00,
        IF(purpose="Remortgage",1.00,
            1.20)))</f>
        <v/>
      </c>
      <c r="L2058">
        <f>LET(
    arrears_months,'Loan Tape (S&amp;P)'!AN2058,
    IF(arrears_months=0,1.00,
    IF(arrears_months=1,3.00,
    IF(arrears_months=2,5.00,
    IF(arrears_months=3,8.00,
    IF(arrears_months=4,10.00,
    IF(arrears_months=5,12.00,15.00)))))))</f>
        <v/>
      </c>
      <c r="M2058">
        <f>LET(
    seasoning_years,DATEDIF('Loan Tape (S&amp;P)'!K2058,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58">
        <f>IF(AND('Loan Tape (S&amp;P)'!U2058="Yes",
        'Loan Tape (S&amp;P)'!T2058&lt;&gt;"Yes",
        DATEDIF('Loan Tape (S&amp;P)'!K2058, TODAY(), "M")&lt;18),
    1.10,
    1.00)</f>
        <v/>
      </c>
      <c r="O2058">
        <f>IF('Loan Tape (S&amp;P)'!T2058="Yes",
    1.35,
    1.00)</f>
        <v/>
      </c>
      <c r="P2058">
        <f>IF('Loan Tape (S&amp;P)'!S2058="Yes",
    1.15,
    1.00)</f>
        <v/>
      </c>
      <c r="Q2058">
        <f>IF('Loan Tape (S&amp;P)'!V2058="Yes",
    1.20,
    1.00)</f>
        <v/>
      </c>
      <c r="T2058">
        <f>LET(
    payment_method,'Loan Tape (S&amp;P)'!P2058,
    occupancy,'Loan Tape (S&amp;P)'!N2058,
    maturity_date,'Loan Tape (S&amp;P)'!L2058,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59">
      <c r="J2059">
        <f>LET(
    lien,'Loan Tape (S&amp;P)'!Q2059,
    IF(lien="First",1.00,
        IF(lien="Second",1.50,
            1.70)))</f>
        <v/>
      </c>
      <c r="K2059">
        <f>LET(
    purpose,'Loan Tape (S&amp;P)'!R2059,
    IF(purpose="Purchase",1.00,
        IF(purpose="Remortgage",1.00,
            1.20)))</f>
        <v/>
      </c>
      <c r="L2059">
        <f>LET(
    arrears_months,'Loan Tape (S&amp;P)'!AN2059,
    IF(arrears_months=0,1.00,
    IF(arrears_months=1,3.00,
    IF(arrears_months=2,5.00,
    IF(arrears_months=3,8.00,
    IF(arrears_months=4,10.00,
    IF(arrears_months=5,12.00,15.00)))))))</f>
        <v/>
      </c>
      <c r="M2059">
        <f>LET(
    seasoning_years,DATEDIF('Loan Tape (S&amp;P)'!K2059,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59">
        <f>IF(AND('Loan Tape (S&amp;P)'!U2059="Yes",
        'Loan Tape (S&amp;P)'!T2059&lt;&gt;"Yes",
        DATEDIF('Loan Tape (S&amp;P)'!K2059, TODAY(), "M")&lt;18),
    1.10,
    1.00)</f>
        <v/>
      </c>
      <c r="O2059">
        <f>IF('Loan Tape (S&amp;P)'!T2059="Yes",
    1.35,
    1.00)</f>
        <v/>
      </c>
      <c r="P2059">
        <f>IF('Loan Tape (S&amp;P)'!S2059="Yes",
    1.15,
    1.00)</f>
        <v/>
      </c>
      <c r="Q2059">
        <f>IF('Loan Tape (S&amp;P)'!V2059="Yes",
    1.20,
    1.00)</f>
        <v/>
      </c>
      <c r="T2059">
        <f>LET(
    payment_method,'Loan Tape (S&amp;P)'!P2059,
    occupancy,'Loan Tape (S&amp;P)'!N2059,
    maturity_date,'Loan Tape (S&amp;P)'!L2059,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60">
      <c r="J2060">
        <f>LET(
    lien,'Loan Tape (S&amp;P)'!Q2060,
    IF(lien="First",1.00,
        IF(lien="Second",1.50,
            1.70)))</f>
        <v/>
      </c>
      <c r="K2060">
        <f>LET(
    purpose,'Loan Tape (S&amp;P)'!R2060,
    IF(purpose="Purchase",1.00,
        IF(purpose="Remortgage",1.00,
            1.20)))</f>
        <v/>
      </c>
      <c r="L2060">
        <f>LET(
    arrears_months,'Loan Tape (S&amp;P)'!AN2060,
    IF(arrears_months=0,1.00,
    IF(arrears_months=1,3.00,
    IF(arrears_months=2,5.00,
    IF(arrears_months=3,8.00,
    IF(arrears_months=4,10.00,
    IF(arrears_months=5,12.00,15.00)))))))</f>
        <v/>
      </c>
      <c r="M2060">
        <f>LET(
    seasoning_years,DATEDIF('Loan Tape (S&amp;P)'!K2060,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60">
        <f>IF(AND('Loan Tape (S&amp;P)'!U2060="Yes",
        'Loan Tape (S&amp;P)'!T2060&lt;&gt;"Yes",
        DATEDIF('Loan Tape (S&amp;P)'!K2060, TODAY(), "M")&lt;18),
    1.10,
    1.00)</f>
        <v/>
      </c>
      <c r="O2060">
        <f>IF('Loan Tape (S&amp;P)'!T2060="Yes",
    1.35,
    1.00)</f>
        <v/>
      </c>
      <c r="P2060">
        <f>IF('Loan Tape (S&amp;P)'!S2060="Yes",
    1.15,
    1.00)</f>
        <v/>
      </c>
      <c r="Q2060">
        <f>IF('Loan Tape (S&amp;P)'!V2060="Yes",
    1.20,
    1.00)</f>
        <v/>
      </c>
      <c r="T2060">
        <f>LET(
    payment_method,'Loan Tape (S&amp;P)'!P2060,
    occupancy,'Loan Tape (S&amp;P)'!N2060,
    maturity_date,'Loan Tape (S&amp;P)'!L2060,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61">
      <c r="J2061">
        <f>LET(
    lien,'Loan Tape (S&amp;P)'!Q2061,
    IF(lien="First",1.00,
        IF(lien="Second",1.50,
            1.70)))</f>
        <v/>
      </c>
      <c r="K2061">
        <f>LET(
    purpose,'Loan Tape (S&amp;P)'!R2061,
    IF(purpose="Purchase",1.00,
        IF(purpose="Remortgage",1.00,
            1.20)))</f>
        <v/>
      </c>
      <c r="L2061">
        <f>LET(
    arrears_months,'Loan Tape (S&amp;P)'!AN2061,
    IF(arrears_months=0,1.00,
    IF(arrears_months=1,3.00,
    IF(arrears_months=2,5.00,
    IF(arrears_months=3,8.00,
    IF(arrears_months=4,10.00,
    IF(arrears_months=5,12.00,15.00)))))))</f>
        <v/>
      </c>
      <c r="M2061">
        <f>LET(
    seasoning_years,DATEDIF('Loan Tape (S&amp;P)'!K2061,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61">
        <f>IF(AND('Loan Tape (S&amp;P)'!U2061="Yes",
        'Loan Tape (S&amp;P)'!T2061&lt;&gt;"Yes",
        DATEDIF('Loan Tape (S&amp;P)'!K2061, TODAY(), "M")&lt;18),
    1.10,
    1.00)</f>
        <v/>
      </c>
      <c r="O2061">
        <f>IF('Loan Tape (S&amp;P)'!T2061="Yes",
    1.35,
    1.00)</f>
        <v/>
      </c>
      <c r="P2061">
        <f>IF('Loan Tape (S&amp;P)'!S2061="Yes",
    1.15,
    1.00)</f>
        <v/>
      </c>
      <c r="Q2061">
        <f>IF('Loan Tape (S&amp;P)'!V2061="Yes",
    1.20,
    1.00)</f>
        <v/>
      </c>
      <c r="T2061">
        <f>LET(
    payment_method,'Loan Tape (S&amp;P)'!P2061,
    occupancy,'Loan Tape (S&amp;P)'!N2061,
    maturity_date,'Loan Tape (S&amp;P)'!L2061,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62">
      <c r="J2062">
        <f>LET(
    lien,'Loan Tape (S&amp;P)'!Q2062,
    IF(lien="First",1.00,
        IF(lien="Second",1.50,
            1.70)))</f>
        <v/>
      </c>
      <c r="K2062">
        <f>LET(
    purpose,'Loan Tape (S&amp;P)'!R2062,
    IF(purpose="Purchase",1.00,
        IF(purpose="Remortgage",1.00,
            1.20)))</f>
        <v/>
      </c>
      <c r="L2062">
        <f>LET(
    arrears_months,'Loan Tape (S&amp;P)'!AN2062,
    IF(arrears_months=0,1.00,
    IF(arrears_months=1,3.00,
    IF(arrears_months=2,5.00,
    IF(arrears_months=3,8.00,
    IF(arrears_months=4,10.00,
    IF(arrears_months=5,12.00,15.00)))))))</f>
        <v/>
      </c>
      <c r="M2062">
        <f>LET(
    seasoning_years,DATEDIF('Loan Tape (S&amp;P)'!K2062,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62">
        <f>IF(AND('Loan Tape (S&amp;P)'!U2062="Yes",
        'Loan Tape (S&amp;P)'!T2062&lt;&gt;"Yes",
        DATEDIF('Loan Tape (S&amp;P)'!K2062, TODAY(), "M")&lt;18),
    1.10,
    1.00)</f>
        <v/>
      </c>
      <c r="O2062">
        <f>IF('Loan Tape (S&amp;P)'!T2062="Yes",
    1.35,
    1.00)</f>
        <v/>
      </c>
      <c r="P2062">
        <f>IF('Loan Tape (S&amp;P)'!S2062="Yes",
    1.15,
    1.00)</f>
        <v/>
      </c>
      <c r="Q2062">
        <f>IF('Loan Tape (S&amp;P)'!V2062="Yes",
    1.20,
    1.00)</f>
        <v/>
      </c>
      <c r="T2062">
        <f>LET(
    payment_method,'Loan Tape (S&amp;P)'!P2062,
    occupancy,'Loan Tape (S&amp;P)'!N2062,
    maturity_date,'Loan Tape (S&amp;P)'!L2062,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63">
      <c r="J2063">
        <f>LET(
    lien,'Loan Tape (S&amp;P)'!Q2063,
    IF(lien="First",1.00,
        IF(lien="Second",1.50,
            1.70)))</f>
        <v/>
      </c>
      <c r="K2063">
        <f>LET(
    purpose,'Loan Tape (S&amp;P)'!R2063,
    IF(purpose="Purchase",1.00,
        IF(purpose="Remortgage",1.00,
            1.20)))</f>
        <v/>
      </c>
      <c r="L2063">
        <f>LET(
    arrears_months,'Loan Tape (S&amp;P)'!AN2063,
    IF(arrears_months=0,1.00,
    IF(arrears_months=1,3.00,
    IF(arrears_months=2,5.00,
    IF(arrears_months=3,8.00,
    IF(arrears_months=4,10.00,
    IF(arrears_months=5,12.00,15.00)))))))</f>
        <v/>
      </c>
      <c r="M2063">
        <f>LET(
    seasoning_years,DATEDIF('Loan Tape (S&amp;P)'!K2063,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63">
        <f>IF(AND('Loan Tape (S&amp;P)'!U2063="Yes",
        'Loan Tape (S&amp;P)'!T2063&lt;&gt;"Yes",
        DATEDIF('Loan Tape (S&amp;P)'!K2063, TODAY(), "M")&lt;18),
    1.10,
    1.00)</f>
        <v/>
      </c>
      <c r="O2063">
        <f>IF('Loan Tape (S&amp;P)'!T2063="Yes",
    1.35,
    1.00)</f>
        <v/>
      </c>
      <c r="P2063">
        <f>IF('Loan Tape (S&amp;P)'!S2063="Yes",
    1.15,
    1.00)</f>
        <v/>
      </c>
      <c r="Q2063">
        <f>IF('Loan Tape (S&amp;P)'!V2063="Yes",
    1.20,
    1.00)</f>
        <v/>
      </c>
      <c r="T2063">
        <f>LET(
    payment_method,'Loan Tape (S&amp;P)'!P2063,
    occupancy,'Loan Tape (S&amp;P)'!N2063,
    maturity_date,'Loan Tape (S&amp;P)'!L2063,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64">
      <c r="J2064">
        <f>LET(
    lien,'Loan Tape (S&amp;P)'!Q2064,
    IF(lien="First",1.00,
        IF(lien="Second",1.50,
            1.70)))</f>
        <v/>
      </c>
      <c r="K2064">
        <f>LET(
    purpose,'Loan Tape (S&amp;P)'!R2064,
    IF(purpose="Purchase",1.00,
        IF(purpose="Remortgage",1.00,
            1.20)))</f>
        <v/>
      </c>
      <c r="L2064">
        <f>LET(
    arrears_months,'Loan Tape (S&amp;P)'!AN2064,
    IF(arrears_months=0,1.00,
    IF(arrears_months=1,3.00,
    IF(arrears_months=2,5.00,
    IF(arrears_months=3,8.00,
    IF(arrears_months=4,10.00,
    IF(arrears_months=5,12.00,15.00)))))))</f>
        <v/>
      </c>
      <c r="M2064">
        <f>LET(
    seasoning_years,DATEDIF('Loan Tape (S&amp;P)'!K2064,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64">
        <f>IF(AND('Loan Tape (S&amp;P)'!U2064="Yes",
        'Loan Tape (S&amp;P)'!T2064&lt;&gt;"Yes",
        DATEDIF('Loan Tape (S&amp;P)'!K2064, TODAY(), "M")&lt;18),
    1.10,
    1.00)</f>
        <v/>
      </c>
      <c r="O2064">
        <f>IF('Loan Tape (S&amp;P)'!T2064="Yes",
    1.35,
    1.00)</f>
        <v/>
      </c>
      <c r="P2064">
        <f>IF('Loan Tape (S&amp;P)'!S2064="Yes",
    1.15,
    1.00)</f>
        <v/>
      </c>
      <c r="Q2064">
        <f>IF('Loan Tape (S&amp;P)'!V2064="Yes",
    1.20,
    1.00)</f>
        <v/>
      </c>
      <c r="T2064">
        <f>LET(
    payment_method,'Loan Tape (S&amp;P)'!P2064,
    occupancy,'Loan Tape (S&amp;P)'!N2064,
    maturity_date,'Loan Tape (S&amp;P)'!L2064,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65">
      <c r="J2065">
        <f>LET(
    lien,'Loan Tape (S&amp;P)'!Q2065,
    IF(lien="First",1.00,
        IF(lien="Second",1.50,
            1.70)))</f>
        <v/>
      </c>
      <c r="K2065">
        <f>LET(
    purpose,'Loan Tape (S&amp;P)'!R2065,
    IF(purpose="Purchase",1.00,
        IF(purpose="Remortgage",1.00,
            1.20)))</f>
        <v/>
      </c>
      <c r="L2065">
        <f>LET(
    arrears_months,'Loan Tape (S&amp;P)'!AN2065,
    IF(arrears_months=0,1.00,
    IF(arrears_months=1,3.00,
    IF(arrears_months=2,5.00,
    IF(arrears_months=3,8.00,
    IF(arrears_months=4,10.00,
    IF(arrears_months=5,12.00,15.00)))))))</f>
        <v/>
      </c>
      <c r="M2065">
        <f>LET(
    seasoning_years,DATEDIF('Loan Tape (S&amp;P)'!K2065,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65">
        <f>IF(AND('Loan Tape (S&amp;P)'!U2065="Yes",
        'Loan Tape (S&amp;P)'!T2065&lt;&gt;"Yes",
        DATEDIF('Loan Tape (S&amp;P)'!K2065, TODAY(), "M")&lt;18),
    1.10,
    1.00)</f>
        <v/>
      </c>
      <c r="O2065">
        <f>IF('Loan Tape (S&amp;P)'!T2065="Yes",
    1.35,
    1.00)</f>
        <v/>
      </c>
      <c r="P2065">
        <f>IF('Loan Tape (S&amp;P)'!S2065="Yes",
    1.15,
    1.00)</f>
        <v/>
      </c>
      <c r="Q2065">
        <f>IF('Loan Tape (S&amp;P)'!V2065="Yes",
    1.20,
    1.00)</f>
        <v/>
      </c>
      <c r="T2065">
        <f>LET(
    payment_method,'Loan Tape (S&amp;P)'!P2065,
    occupancy,'Loan Tape (S&amp;P)'!N2065,
    maturity_date,'Loan Tape (S&amp;P)'!L2065,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66">
      <c r="J2066">
        <f>LET(
    lien,'Loan Tape (S&amp;P)'!Q2066,
    IF(lien="First",1.00,
        IF(lien="Second",1.50,
            1.70)))</f>
        <v/>
      </c>
      <c r="K2066">
        <f>LET(
    purpose,'Loan Tape (S&amp;P)'!R2066,
    IF(purpose="Purchase",1.00,
        IF(purpose="Remortgage",1.00,
            1.20)))</f>
        <v/>
      </c>
      <c r="L2066">
        <f>LET(
    arrears_months,'Loan Tape (S&amp;P)'!AN2066,
    IF(arrears_months=0,1.00,
    IF(arrears_months=1,3.00,
    IF(arrears_months=2,5.00,
    IF(arrears_months=3,8.00,
    IF(arrears_months=4,10.00,
    IF(arrears_months=5,12.00,15.00)))))))</f>
        <v/>
      </c>
      <c r="M2066">
        <f>LET(
    seasoning_years,DATEDIF('Loan Tape (S&amp;P)'!K2066,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66">
        <f>IF(AND('Loan Tape (S&amp;P)'!U2066="Yes",
        'Loan Tape (S&amp;P)'!T2066&lt;&gt;"Yes",
        DATEDIF('Loan Tape (S&amp;P)'!K2066, TODAY(), "M")&lt;18),
    1.10,
    1.00)</f>
        <v/>
      </c>
      <c r="O2066">
        <f>IF('Loan Tape (S&amp;P)'!T2066="Yes",
    1.35,
    1.00)</f>
        <v/>
      </c>
      <c r="P2066">
        <f>IF('Loan Tape (S&amp;P)'!S2066="Yes",
    1.15,
    1.00)</f>
        <v/>
      </c>
      <c r="Q2066">
        <f>IF('Loan Tape (S&amp;P)'!V2066="Yes",
    1.20,
    1.00)</f>
        <v/>
      </c>
      <c r="T2066">
        <f>LET(
    payment_method,'Loan Tape (S&amp;P)'!P2066,
    occupancy,'Loan Tape (S&amp;P)'!N2066,
    maturity_date,'Loan Tape (S&amp;P)'!L2066,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67">
      <c r="J2067">
        <f>LET(
    lien,'Loan Tape (S&amp;P)'!Q2067,
    IF(lien="First",1.00,
        IF(lien="Second",1.50,
            1.70)))</f>
        <v/>
      </c>
      <c r="K2067">
        <f>LET(
    purpose,'Loan Tape (S&amp;P)'!R2067,
    IF(purpose="Purchase",1.00,
        IF(purpose="Remortgage",1.00,
            1.20)))</f>
        <v/>
      </c>
      <c r="L2067">
        <f>LET(
    arrears_months,'Loan Tape (S&amp;P)'!AN2067,
    IF(arrears_months=0,1.00,
    IF(arrears_months=1,3.00,
    IF(arrears_months=2,5.00,
    IF(arrears_months=3,8.00,
    IF(arrears_months=4,10.00,
    IF(arrears_months=5,12.00,15.00)))))))</f>
        <v/>
      </c>
      <c r="M2067">
        <f>LET(
    seasoning_years,DATEDIF('Loan Tape (S&amp;P)'!K2067,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67">
        <f>IF(AND('Loan Tape (S&amp;P)'!U2067="Yes",
        'Loan Tape (S&amp;P)'!T2067&lt;&gt;"Yes",
        DATEDIF('Loan Tape (S&amp;P)'!K2067, TODAY(), "M")&lt;18),
    1.10,
    1.00)</f>
        <v/>
      </c>
      <c r="O2067">
        <f>IF('Loan Tape (S&amp;P)'!T2067="Yes",
    1.35,
    1.00)</f>
        <v/>
      </c>
      <c r="P2067">
        <f>IF('Loan Tape (S&amp;P)'!S2067="Yes",
    1.15,
    1.00)</f>
        <v/>
      </c>
      <c r="Q2067">
        <f>IF('Loan Tape (S&amp;P)'!V2067="Yes",
    1.20,
    1.00)</f>
        <v/>
      </c>
      <c r="T2067">
        <f>LET(
    payment_method,'Loan Tape (S&amp;P)'!P2067,
    occupancy,'Loan Tape (S&amp;P)'!N2067,
    maturity_date,'Loan Tape (S&amp;P)'!L2067,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68">
      <c r="J2068">
        <f>LET(
    lien,'Loan Tape (S&amp;P)'!Q2068,
    IF(lien="First",1.00,
        IF(lien="Second",1.50,
            1.70)))</f>
        <v/>
      </c>
      <c r="K2068">
        <f>LET(
    purpose,'Loan Tape (S&amp;P)'!R2068,
    IF(purpose="Purchase",1.00,
        IF(purpose="Remortgage",1.00,
            1.20)))</f>
        <v/>
      </c>
      <c r="L2068">
        <f>LET(
    arrears_months,'Loan Tape (S&amp;P)'!AN2068,
    IF(arrears_months=0,1.00,
    IF(arrears_months=1,3.00,
    IF(arrears_months=2,5.00,
    IF(arrears_months=3,8.00,
    IF(arrears_months=4,10.00,
    IF(arrears_months=5,12.00,15.00)))))))</f>
        <v/>
      </c>
      <c r="M2068">
        <f>LET(
    seasoning_years,DATEDIF('Loan Tape (S&amp;P)'!K2068,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68">
        <f>IF(AND('Loan Tape (S&amp;P)'!U2068="Yes",
        'Loan Tape (S&amp;P)'!T2068&lt;&gt;"Yes",
        DATEDIF('Loan Tape (S&amp;P)'!K2068, TODAY(), "M")&lt;18),
    1.10,
    1.00)</f>
        <v/>
      </c>
      <c r="O2068">
        <f>IF('Loan Tape (S&amp;P)'!T2068="Yes",
    1.35,
    1.00)</f>
        <v/>
      </c>
      <c r="P2068">
        <f>IF('Loan Tape (S&amp;P)'!S2068="Yes",
    1.15,
    1.00)</f>
        <v/>
      </c>
      <c r="Q2068">
        <f>IF('Loan Tape (S&amp;P)'!V2068="Yes",
    1.20,
    1.00)</f>
        <v/>
      </c>
      <c r="T2068">
        <f>LET(
    payment_method,'Loan Tape (S&amp;P)'!P2068,
    occupancy,'Loan Tape (S&amp;P)'!N2068,
    maturity_date,'Loan Tape (S&amp;P)'!L2068,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69">
      <c r="J2069">
        <f>LET(
    lien,'Loan Tape (S&amp;P)'!Q2069,
    IF(lien="First",1.00,
        IF(lien="Second",1.50,
            1.70)))</f>
        <v/>
      </c>
      <c r="K2069">
        <f>LET(
    purpose,'Loan Tape (S&amp;P)'!R2069,
    IF(purpose="Purchase",1.00,
        IF(purpose="Remortgage",1.00,
            1.20)))</f>
        <v/>
      </c>
      <c r="L2069">
        <f>LET(
    arrears_months,'Loan Tape (S&amp;P)'!AN2069,
    IF(arrears_months=0,1.00,
    IF(arrears_months=1,3.00,
    IF(arrears_months=2,5.00,
    IF(arrears_months=3,8.00,
    IF(arrears_months=4,10.00,
    IF(arrears_months=5,12.00,15.00)))))))</f>
        <v/>
      </c>
      <c r="M2069">
        <f>LET(
    seasoning_years,DATEDIF('Loan Tape (S&amp;P)'!K2069,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69">
        <f>IF(AND('Loan Tape (S&amp;P)'!U2069="Yes",
        'Loan Tape (S&amp;P)'!T2069&lt;&gt;"Yes",
        DATEDIF('Loan Tape (S&amp;P)'!K2069, TODAY(), "M")&lt;18),
    1.10,
    1.00)</f>
        <v/>
      </c>
      <c r="O2069">
        <f>IF('Loan Tape (S&amp;P)'!T2069="Yes",
    1.35,
    1.00)</f>
        <v/>
      </c>
      <c r="P2069">
        <f>IF('Loan Tape (S&amp;P)'!S2069="Yes",
    1.15,
    1.00)</f>
        <v/>
      </c>
      <c r="Q2069">
        <f>IF('Loan Tape (S&amp;P)'!V2069="Yes",
    1.20,
    1.00)</f>
        <v/>
      </c>
      <c r="T2069">
        <f>LET(
    payment_method,'Loan Tape (S&amp;P)'!P2069,
    occupancy,'Loan Tape (S&amp;P)'!N2069,
    maturity_date,'Loan Tape (S&amp;P)'!L2069,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70">
      <c r="J2070">
        <f>LET(
    lien,'Loan Tape (S&amp;P)'!Q2070,
    IF(lien="First",1.00,
        IF(lien="Second",1.50,
            1.70)))</f>
        <v/>
      </c>
      <c r="K2070">
        <f>LET(
    purpose,'Loan Tape (S&amp;P)'!R2070,
    IF(purpose="Purchase",1.00,
        IF(purpose="Remortgage",1.00,
            1.20)))</f>
        <v/>
      </c>
      <c r="L2070">
        <f>LET(
    arrears_months,'Loan Tape (S&amp;P)'!AN2070,
    IF(arrears_months=0,1.00,
    IF(arrears_months=1,3.00,
    IF(arrears_months=2,5.00,
    IF(arrears_months=3,8.00,
    IF(arrears_months=4,10.00,
    IF(arrears_months=5,12.00,15.00)))))))</f>
        <v/>
      </c>
      <c r="M2070">
        <f>LET(
    seasoning_years,DATEDIF('Loan Tape (S&amp;P)'!K2070,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70">
        <f>IF(AND('Loan Tape (S&amp;P)'!U2070="Yes",
        'Loan Tape (S&amp;P)'!T2070&lt;&gt;"Yes",
        DATEDIF('Loan Tape (S&amp;P)'!K2070, TODAY(), "M")&lt;18),
    1.10,
    1.00)</f>
        <v/>
      </c>
      <c r="O2070">
        <f>IF('Loan Tape (S&amp;P)'!T2070="Yes",
    1.35,
    1.00)</f>
        <v/>
      </c>
      <c r="P2070">
        <f>IF('Loan Tape (S&amp;P)'!S2070="Yes",
    1.15,
    1.00)</f>
        <v/>
      </c>
      <c r="Q2070">
        <f>IF('Loan Tape (S&amp;P)'!V2070="Yes",
    1.20,
    1.00)</f>
        <v/>
      </c>
      <c r="T2070">
        <f>LET(
    payment_method,'Loan Tape (S&amp;P)'!P2070,
    occupancy,'Loan Tape (S&amp;P)'!N2070,
    maturity_date,'Loan Tape (S&amp;P)'!L2070,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71">
      <c r="J2071">
        <f>LET(
    lien,'Loan Tape (S&amp;P)'!Q2071,
    IF(lien="First",1.00,
        IF(lien="Second",1.50,
            1.70)))</f>
        <v/>
      </c>
      <c r="K2071">
        <f>LET(
    purpose,'Loan Tape (S&amp;P)'!R2071,
    IF(purpose="Purchase",1.00,
        IF(purpose="Remortgage",1.00,
            1.20)))</f>
        <v/>
      </c>
      <c r="L2071">
        <f>LET(
    arrears_months,'Loan Tape (S&amp;P)'!AN2071,
    IF(arrears_months=0,1.00,
    IF(arrears_months=1,3.00,
    IF(arrears_months=2,5.00,
    IF(arrears_months=3,8.00,
    IF(arrears_months=4,10.00,
    IF(arrears_months=5,12.00,15.00)))))))</f>
        <v/>
      </c>
      <c r="M2071">
        <f>LET(
    seasoning_years,DATEDIF('Loan Tape (S&amp;P)'!K2071,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71">
        <f>IF(AND('Loan Tape (S&amp;P)'!U2071="Yes",
        'Loan Tape (S&amp;P)'!T2071&lt;&gt;"Yes",
        DATEDIF('Loan Tape (S&amp;P)'!K2071, TODAY(), "M")&lt;18),
    1.10,
    1.00)</f>
        <v/>
      </c>
      <c r="O2071">
        <f>IF('Loan Tape (S&amp;P)'!T2071="Yes",
    1.35,
    1.00)</f>
        <v/>
      </c>
      <c r="P2071">
        <f>IF('Loan Tape (S&amp;P)'!S2071="Yes",
    1.15,
    1.00)</f>
        <v/>
      </c>
      <c r="Q2071">
        <f>IF('Loan Tape (S&amp;P)'!V2071="Yes",
    1.20,
    1.00)</f>
        <v/>
      </c>
      <c r="T2071">
        <f>LET(
    payment_method,'Loan Tape (S&amp;P)'!P2071,
    occupancy,'Loan Tape (S&amp;P)'!N2071,
    maturity_date,'Loan Tape (S&amp;P)'!L2071,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72">
      <c r="J2072">
        <f>LET(
    lien,'Loan Tape (S&amp;P)'!Q2072,
    IF(lien="First",1.00,
        IF(lien="Second",1.50,
            1.70)))</f>
        <v/>
      </c>
      <c r="K2072">
        <f>LET(
    purpose,'Loan Tape (S&amp;P)'!R2072,
    IF(purpose="Purchase",1.00,
        IF(purpose="Remortgage",1.00,
            1.20)))</f>
        <v/>
      </c>
      <c r="L2072">
        <f>LET(
    arrears_months,'Loan Tape (S&amp;P)'!AN2072,
    IF(arrears_months=0,1.00,
    IF(arrears_months=1,3.00,
    IF(arrears_months=2,5.00,
    IF(arrears_months=3,8.00,
    IF(arrears_months=4,10.00,
    IF(arrears_months=5,12.00,15.00)))))))</f>
        <v/>
      </c>
      <c r="M2072">
        <f>LET(
    seasoning_years,DATEDIF('Loan Tape (S&amp;P)'!K2072,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72">
        <f>IF(AND('Loan Tape (S&amp;P)'!U2072="Yes",
        'Loan Tape (S&amp;P)'!T2072&lt;&gt;"Yes",
        DATEDIF('Loan Tape (S&amp;P)'!K2072, TODAY(), "M")&lt;18),
    1.10,
    1.00)</f>
        <v/>
      </c>
      <c r="O2072">
        <f>IF('Loan Tape (S&amp;P)'!T2072="Yes",
    1.35,
    1.00)</f>
        <v/>
      </c>
      <c r="P2072">
        <f>IF('Loan Tape (S&amp;P)'!S2072="Yes",
    1.15,
    1.00)</f>
        <v/>
      </c>
      <c r="Q2072">
        <f>IF('Loan Tape (S&amp;P)'!V2072="Yes",
    1.20,
    1.00)</f>
        <v/>
      </c>
      <c r="T2072">
        <f>LET(
    payment_method,'Loan Tape (S&amp;P)'!P2072,
    occupancy,'Loan Tape (S&amp;P)'!N2072,
    maturity_date,'Loan Tape (S&amp;P)'!L2072,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73">
      <c r="J2073">
        <f>LET(
    lien,'Loan Tape (S&amp;P)'!Q2073,
    IF(lien="First",1.00,
        IF(lien="Second",1.50,
            1.70)))</f>
        <v/>
      </c>
      <c r="K2073">
        <f>LET(
    purpose,'Loan Tape (S&amp;P)'!R2073,
    IF(purpose="Purchase",1.00,
        IF(purpose="Remortgage",1.00,
            1.20)))</f>
        <v/>
      </c>
      <c r="L2073">
        <f>LET(
    arrears_months,'Loan Tape (S&amp;P)'!AN2073,
    IF(arrears_months=0,1.00,
    IF(arrears_months=1,3.00,
    IF(arrears_months=2,5.00,
    IF(arrears_months=3,8.00,
    IF(arrears_months=4,10.00,
    IF(arrears_months=5,12.00,15.00)))))))</f>
        <v/>
      </c>
      <c r="M2073">
        <f>LET(
    seasoning_years,DATEDIF('Loan Tape (S&amp;P)'!K2073,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73">
        <f>IF(AND('Loan Tape (S&amp;P)'!U2073="Yes",
        'Loan Tape (S&amp;P)'!T2073&lt;&gt;"Yes",
        DATEDIF('Loan Tape (S&amp;P)'!K2073, TODAY(), "M")&lt;18),
    1.10,
    1.00)</f>
        <v/>
      </c>
      <c r="O2073">
        <f>IF('Loan Tape (S&amp;P)'!T2073="Yes",
    1.35,
    1.00)</f>
        <v/>
      </c>
      <c r="P2073">
        <f>IF('Loan Tape (S&amp;P)'!S2073="Yes",
    1.15,
    1.00)</f>
        <v/>
      </c>
      <c r="Q2073">
        <f>IF('Loan Tape (S&amp;P)'!V2073="Yes",
    1.20,
    1.00)</f>
        <v/>
      </c>
      <c r="T2073">
        <f>LET(
    payment_method,'Loan Tape (S&amp;P)'!P2073,
    occupancy,'Loan Tape (S&amp;P)'!N2073,
    maturity_date,'Loan Tape (S&amp;P)'!L2073,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74">
      <c r="J2074">
        <f>LET(
    lien,'Loan Tape (S&amp;P)'!Q2074,
    IF(lien="First",1.00,
        IF(lien="Second",1.50,
            1.70)))</f>
        <v/>
      </c>
      <c r="K2074">
        <f>LET(
    purpose,'Loan Tape (S&amp;P)'!R2074,
    IF(purpose="Purchase",1.00,
        IF(purpose="Remortgage",1.00,
            1.20)))</f>
        <v/>
      </c>
      <c r="L2074">
        <f>LET(
    arrears_months,'Loan Tape (S&amp;P)'!AN2074,
    IF(arrears_months=0,1.00,
    IF(arrears_months=1,3.00,
    IF(arrears_months=2,5.00,
    IF(arrears_months=3,8.00,
    IF(arrears_months=4,10.00,
    IF(arrears_months=5,12.00,15.00)))))))</f>
        <v/>
      </c>
      <c r="M2074">
        <f>LET(
    seasoning_years,DATEDIF('Loan Tape (S&amp;P)'!K2074,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74">
        <f>IF(AND('Loan Tape (S&amp;P)'!U2074="Yes",
        'Loan Tape (S&amp;P)'!T2074&lt;&gt;"Yes",
        DATEDIF('Loan Tape (S&amp;P)'!K2074, TODAY(), "M")&lt;18),
    1.10,
    1.00)</f>
        <v/>
      </c>
      <c r="O2074">
        <f>IF('Loan Tape (S&amp;P)'!T2074="Yes",
    1.35,
    1.00)</f>
        <v/>
      </c>
      <c r="P2074">
        <f>IF('Loan Tape (S&amp;P)'!S2074="Yes",
    1.15,
    1.00)</f>
        <v/>
      </c>
      <c r="Q2074">
        <f>IF('Loan Tape (S&amp;P)'!V2074="Yes",
    1.20,
    1.00)</f>
        <v/>
      </c>
      <c r="T2074">
        <f>LET(
    payment_method,'Loan Tape (S&amp;P)'!P2074,
    occupancy,'Loan Tape (S&amp;P)'!N2074,
    maturity_date,'Loan Tape (S&amp;P)'!L2074,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75">
      <c r="J2075">
        <f>LET(
    lien,'Loan Tape (S&amp;P)'!Q2075,
    IF(lien="First",1.00,
        IF(lien="Second",1.50,
            1.70)))</f>
        <v/>
      </c>
      <c r="K2075">
        <f>LET(
    purpose,'Loan Tape (S&amp;P)'!R2075,
    IF(purpose="Purchase",1.00,
        IF(purpose="Remortgage",1.00,
            1.20)))</f>
        <v/>
      </c>
      <c r="L2075">
        <f>LET(
    arrears_months,'Loan Tape (S&amp;P)'!AN2075,
    IF(arrears_months=0,1.00,
    IF(arrears_months=1,3.00,
    IF(arrears_months=2,5.00,
    IF(arrears_months=3,8.00,
    IF(arrears_months=4,10.00,
    IF(arrears_months=5,12.00,15.00)))))))</f>
        <v/>
      </c>
      <c r="M2075">
        <f>LET(
    seasoning_years,DATEDIF('Loan Tape (S&amp;P)'!K2075,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75">
        <f>IF(AND('Loan Tape (S&amp;P)'!U2075="Yes",
        'Loan Tape (S&amp;P)'!T2075&lt;&gt;"Yes",
        DATEDIF('Loan Tape (S&amp;P)'!K2075, TODAY(), "M")&lt;18),
    1.10,
    1.00)</f>
        <v/>
      </c>
      <c r="O2075">
        <f>IF('Loan Tape (S&amp;P)'!T2075="Yes",
    1.35,
    1.00)</f>
        <v/>
      </c>
      <c r="P2075">
        <f>IF('Loan Tape (S&amp;P)'!S2075="Yes",
    1.15,
    1.00)</f>
        <v/>
      </c>
      <c r="Q2075">
        <f>IF('Loan Tape (S&amp;P)'!V2075="Yes",
    1.20,
    1.00)</f>
        <v/>
      </c>
      <c r="T2075">
        <f>LET(
    payment_method,'Loan Tape (S&amp;P)'!P2075,
    occupancy,'Loan Tape (S&amp;P)'!N2075,
    maturity_date,'Loan Tape (S&amp;P)'!L2075,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76">
      <c r="J2076">
        <f>LET(
    lien,'Loan Tape (S&amp;P)'!Q2076,
    IF(lien="First",1.00,
        IF(lien="Second",1.50,
            1.70)))</f>
        <v/>
      </c>
      <c r="K2076">
        <f>LET(
    purpose,'Loan Tape (S&amp;P)'!R2076,
    IF(purpose="Purchase",1.00,
        IF(purpose="Remortgage",1.00,
            1.20)))</f>
        <v/>
      </c>
      <c r="L2076">
        <f>LET(
    arrears_months,'Loan Tape (S&amp;P)'!AN2076,
    IF(arrears_months=0,1.00,
    IF(arrears_months=1,3.00,
    IF(arrears_months=2,5.00,
    IF(arrears_months=3,8.00,
    IF(arrears_months=4,10.00,
    IF(arrears_months=5,12.00,15.00)))))))</f>
        <v/>
      </c>
      <c r="M2076">
        <f>LET(
    seasoning_years,DATEDIF('Loan Tape (S&amp;P)'!K2076,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76">
        <f>IF(AND('Loan Tape (S&amp;P)'!U2076="Yes",
        'Loan Tape (S&amp;P)'!T2076&lt;&gt;"Yes",
        DATEDIF('Loan Tape (S&amp;P)'!K2076, TODAY(), "M")&lt;18),
    1.10,
    1.00)</f>
        <v/>
      </c>
      <c r="O2076">
        <f>IF('Loan Tape (S&amp;P)'!T2076="Yes",
    1.35,
    1.00)</f>
        <v/>
      </c>
      <c r="P2076">
        <f>IF('Loan Tape (S&amp;P)'!S2076="Yes",
    1.15,
    1.00)</f>
        <v/>
      </c>
      <c r="Q2076">
        <f>IF('Loan Tape (S&amp;P)'!V2076="Yes",
    1.20,
    1.00)</f>
        <v/>
      </c>
      <c r="T2076">
        <f>LET(
    payment_method,'Loan Tape (S&amp;P)'!P2076,
    occupancy,'Loan Tape (S&amp;P)'!N2076,
    maturity_date,'Loan Tape (S&amp;P)'!L2076,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77">
      <c r="J2077">
        <f>LET(
    lien,'Loan Tape (S&amp;P)'!Q2077,
    IF(lien="First",1.00,
        IF(lien="Second",1.50,
            1.70)))</f>
        <v/>
      </c>
      <c r="K2077">
        <f>LET(
    purpose,'Loan Tape (S&amp;P)'!R2077,
    IF(purpose="Purchase",1.00,
        IF(purpose="Remortgage",1.00,
            1.20)))</f>
        <v/>
      </c>
      <c r="L2077">
        <f>LET(
    arrears_months,'Loan Tape (S&amp;P)'!AN2077,
    IF(arrears_months=0,1.00,
    IF(arrears_months=1,3.00,
    IF(arrears_months=2,5.00,
    IF(arrears_months=3,8.00,
    IF(arrears_months=4,10.00,
    IF(arrears_months=5,12.00,15.00)))))))</f>
        <v/>
      </c>
      <c r="M2077">
        <f>LET(
    seasoning_years,DATEDIF('Loan Tape (S&amp;P)'!K2077,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77">
        <f>IF(AND('Loan Tape (S&amp;P)'!U2077="Yes",
        'Loan Tape (S&amp;P)'!T2077&lt;&gt;"Yes",
        DATEDIF('Loan Tape (S&amp;P)'!K2077, TODAY(), "M")&lt;18),
    1.10,
    1.00)</f>
        <v/>
      </c>
      <c r="O2077">
        <f>IF('Loan Tape (S&amp;P)'!T2077="Yes",
    1.35,
    1.00)</f>
        <v/>
      </c>
      <c r="P2077">
        <f>IF('Loan Tape (S&amp;P)'!S2077="Yes",
    1.15,
    1.00)</f>
        <v/>
      </c>
      <c r="Q2077">
        <f>IF('Loan Tape (S&amp;P)'!V2077="Yes",
    1.20,
    1.00)</f>
        <v/>
      </c>
      <c r="T2077">
        <f>LET(
    payment_method,'Loan Tape (S&amp;P)'!P2077,
    occupancy,'Loan Tape (S&amp;P)'!N2077,
    maturity_date,'Loan Tape (S&amp;P)'!L2077,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78">
      <c r="J2078">
        <f>LET(
    lien,'Loan Tape (S&amp;P)'!Q2078,
    IF(lien="First",1.00,
        IF(lien="Second",1.50,
            1.70)))</f>
        <v/>
      </c>
      <c r="K2078">
        <f>LET(
    purpose,'Loan Tape (S&amp;P)'!R2078,
    IF(purpose="Purchase",1.00,
        IF(purpose="Remortgage",1.00,
            1.20)))</f>
        <v/>
      </c>
      <c r="L2078">
        <f>LET(
    arrears_months,'Loan Tape (S&amp;P)'!AN2078,
    IF(arrears_months=0,1.00,
    IF(arrears_months=1,3.00,
    IF(arrears_months=2,5.00,
    IF(arrears_months=3,8.00,
    IF(arrears_months=4,10.00,
    IF(arrears_months=5,12.00,15.00)))))))</f>
        <v/>
      </c>
      <c r="M2078">
        <f>LET(
    seasoning_years,DATEDIF('Loan Tape (S&amp;P)'!K2078,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78">
        <f>IF(AND('Loan Tape (S&amp;P)'!U2078="Yes",
        'Loan Tape (S&amp;P)'!T2078&lt;&gt;"Yes",
        DATEDIF('Loan Tape (S&amp;P)'!K2078, TODAY(), "M")&lt;18),
    1.10,
    1.00)</f>
        <v/>
      </c>
      <c r="O2078">
        <f>IF('Loan Tape (S&amp;P)'!T2078="Yes",
    1.35,
    1.00)</f>
        <v/>
      </c>
      <c r="P2078">
        <f>IF('Loan Tape (S&amp;P)'!S2078="Yes",
    1.15,
    1.00)</f>
        <v/>
      </c>
      <c r="Q2078">
        <f>IF('Loan Tape (S&amp;P)'!V2078="Yes",
    1.20,
    1.00)</f>
        <v/>
      </c>
      <c r="T2078">
        <f>LET(
    payment_method,'Loan Tape (S&amp;P)'!P2078,
    occupancy,'Loan Tape (S&amp;P)'!N2078,
    maturity_date,'Loan Tape (S&amp;P)'!L2078,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79">
      <c r="J2079">
        <f>LET(
    lien,'Loan Tape (S&amp;P)'!Q2079,
    IF(lien="First",1.00,
        IF(lien="Second",1.50,
            1.70)))</f>
        <v/>
      </c>
      <c r="K2079">
        <f>LET(
    purpose,'Loan Tape (S&amp;P)'!R2079,
    IF(purpose="Purchase",1.00,
        IF(purpose="Remortgage",1.00,
            1.20)))</f>
        <v/>
      </c>
      <c r="L2079">
        <f>LET(
    arrears_months,'Loan Tape (S&amp;P)'!AN2079,
    IF(arrears_months=0,1.00,
    IF(arrears_months=1,3.00,
    IF(arrears_months=2,5.00,
    IF(arrears_months=3,8.00,
    IF(arrears_months=4,10.00,
    IF(arrears_months=5,12.00,15.00)))))))</f>
        <v/>
      </c>
      <c r="M2079">
        <f>LET(
    seasoning_years,DATEDIF('Loan Tape (S&amp;P)'!K2079,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79">
        <f>IF(AND('Loan Tape (S&amp;P)'!U2079="Yes",
        'Loan Tape (S&amp;P)'!T2079&lt;&gt;"Yes",
        DATEDIF('Loan Tape (S&amp;P)'!K2079, TODAY(), "M")&lt;18),
    1.10,
    1.00)</f>
        <v/>
      </c>
      <c r="O2079">
        <f>IF('Loan Tape (S&amp;P)'!T2079="Yes",
    1.35,
    1.00)</f>
        <v/>
      </c>
      <c r="P2079">
        <f>IF('Loan Tape (S&amp;P)'!S2079="Yes",
    1.15,
    1.00)</f>
        <v/>
      </c>
      <c r="Q2079">
        <f>IF('Loan Tape (S&amp;P)'!V2079="Yes",
    1.20,
    1.00)</f>
        <v/>
      </c>
      <c r="T2079">
        <f>LET(
    payment_method,'Loan Tape (S&amp;P)'!P2079,
    occupancy,'Loan Tape (S&amp;P)'!N2079,
    maturity_date,'Loan Tape (S&amp;P)'!L2079,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80">
      <c r="J2080">
        <f>LET(
    lien,'Loan Tape (S&amp;P)'!Q2080,
    IF(lien="First",1.00,
        IF(lien="Second",1.50,
            1.70)))</f>
        <v/>
      </c>
      <c r="K2080">
        <f>LET(
    purpose,'Loan Tape (S&amp;P)'!R2080,
    IF(purpose="Purchase",1.00,
        IF(purpose="Remortgage",1.00,
            1.20)))</f>
        <v/>
      </c>
      <c r="L2080">
        <f>LET(
    arrears_months,'Loan Tape (S&amp;P)'!AN2080,
    IF(arrears_months=0,1.00,
    IF(arrears_months=1,3.00,
    IF(arrears_months=2,5.00,
    IF(arrears_months=3,8.00,
    IF(arrears_months=4,10.00,
    IF(arrears_months=5,12.00,15.00)))))))</f>
        <v/>
      </c>
      <c r="M2080">
        <f>LET(
    seasoning_years,DATEDIF('Loan Tape (S&amp;P)'!K2080,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80">
        <f>IF(AND('Loan Tape (S&amp;P)'!U2080="Yes",
        'Loan Tape (S&amp;P)'!T2080&lt;&gt;"Yes",
        DATEDIF('Loan Tape (S&amp;P)'!K2080, TODAY(), "M")&lt;18),
    1.10,
    1.00)</f>
        <v/>
      </c>
      <c r="O2080">
        <f>IF('Loan Tape (S&amp;P)'!T2080="Yes",
    1.35,
    1.00)</f>
        <v/>
      </c>
      <c r="P2080">
        <f>IF('Loan Tape (S&amp;P)'!S2080="Yes",
    1.15,
    1.00)</f>
        <v/>
      </c>
      <c r="Q2080">
        <f>IF('Loan Tape (S&amp;P)'!V2080="Yes",
    1.20,
    1.00)</f>
        <v/>
      </c>
      <c r="T2080">
        <f>LET(
    payment_method,'Loan Tape (S&amp;P)'!P2080,
    occupancy,'Loan Tape (S&amp;P)'!N2080,
    maturity_date,'Loan Tape (S&amp;P)'!L2080,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81">
      <c r="J2081">
        <f>LET(
    lien,'Loan Tape (S&amp;P)'!Q2081,
    IF(lien="First",1.00,
        IF(lien="Second",1.50,
            1.70)))</f>
        <v/>
      </c>
      <c r="K2081">
        <f>LET(
    purpose,'Loan Tape (S&amp;P)'!R2081,
    IF(purpose="Purchase",1.00,
        IF(purpose="Remortgage",1.00,
            1.20)))</f>
        <v/>
      </c>
      <c r="L2081">
        <f>LET(
    arrears_months,'Loan Tape (S&amp;P)'!AN2081,
    IF(arrears_months=0,1.00,
    IF(arrears_months=1,3.00,
    IF(arrears_months=2,5.00,
    IF(arrears_months=3,8.00,
    IF(arrears_months=4,10.00,
    IF(arrears_months=5,12.00,15.00)))))))</f>
        <v/>
      </c>
      <c r="M2081">
        <f>LET(
    seasoning_years,DATEDIF('Loan Tape (S&amp;P)'!K2081,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81">
        <f>IF(AND('Loan Tape (S&amp;P)'!U2081="Yes",
        'Loan Tape (S&amp;P)'!T2081&lt;&gt;"Yes",
        DATEDIF('Loan Tape (S&amp;P)'!K2081, TODAY(), "M")&lt;18),
    1.10,
    1.00)</f>
        <v/>
      </c>
      <c r="O2081">
        <f>IF('Loan Tape (S&amp;P)'!T2081="Yes",
    1.35,
    1.00)</f>
        <v/>
      </c>
      <c r="P2081">
        <f>IF('Loan Tape (S&amp;P)'!S2081="Yes",
    1.15,
    1.00)</f>
        <v/>
      </c>
      <c r="Q2081">
        <f>IF('Loan Tape (S&amp;P)'!V2081="Yes",
    1.20,
    1.00)</f>
        <v/>
      </c>
      <c r="T2081">
        <f>LET(
    payment_method,'Loan Tape (S&amp;P)'!P2081,
    occupancy,'Loan Tape (S&amp;P)'!N2081,
    maturity_date,'Loan Tape (S&amp;P)'!L2081,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82">
      <c r="J2082">
        <f>LET(
    lien,'Loan Tape (S&amp;P)'!Q2082,
    IF(lien="First",1.00,
        IF(lien="Second",1.50,
            1.70)))</f>
        <v/>
      </c>
      <c r="K2082">
        <f>LET(
    purpose,'Loan Tape (S&amp;P)'!R2082,
    IF(purpose="Purchase",1.00,
        IF(purpose="Remortgage",1.00,
            1.20)))</f>
        <v/>
      </c>
      <c r="L2082">
        <f>LET(
    arrears_months,'Loan Tape (S&amp;P)'!AN2082,
    IF(arrears_months=0,1.00,
    IF(arrears_months=1,3.00,
    IF(arrears_months=2,5.00,
    IF(arrears_months=3,8.00,
    IF(arrears_months=4,10.00,
    IF(arrears_months=5,12.00,15.00)))))))</f>
        <v/>
      </c>
      <c r="M2082">
        <f>LET(
    seasoning_years,DATEDIF('Loan Tape (S&amp;P)'!K2082,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82">
        <f>IF(AND('Loan Tape (S&amp;P)'!U2082="Yes",
        'Loan Tape (S&amp;P)'!T2082&lt;&gt;"Yes",
        DATEDIF('Loan Tape (S&amp;P)'!K2082, TODAY(), "M")&lt;18),
    1.10,
    1.00)</f>
        <v/>
      </c>
      <c r="O2082">
        <f>IF('Loan Tape (S&amp;P)'!T2082="Yes",
    1.35,
    1.00)</f>
        <v/>
      </c>
      <c r="P2082">
        <f>IF('Loan Tape (S&amp;P)'!S2082="Yes",
    1.15,
    1.00)</f>
        <v/>
      </c>
      <c r="Q2082">
        <f>IF('Loan Tape (S&amp;P)'!V2082="Yes",
    1.20,
    1.00)</f>
        <v/>
      </c>
      <c r="T2082">
        <f>LET(
    payment_method,'Loan Tape (S&amp;P)'!P2082,
    occupancy,'Loan Tape (S&amp;P)'!N2082,
    maturity_date,'Loan Tape (S&amp;P)'!L2082,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83">
      <c r="J2083">
        <f>LET(
    lien,'Loan Tape (S&amp;P)'!Q2083,
    IF(lien="First",1.00,
        IF(lien="Second",1.50,
            1.70)))</f>
        <v/>
      </c>
      <c r="K2083">
        <f>LET(
    purpose,'Loan Tape (S&amp;P)'!R2083,
    IF(purpose="Purchase",1.00,
        IF(purpose="Remortgage",1.00,
            1.20)))</f>
        <v/>
      </c>
      <c r="L2083">
        <f>LET(
    arrears_months,'Loan Tape (S&amp;P)'!AN2083,
    IF(arrears_months=0,1.00,
    IF(arrears_months=1,3.00,
    IF(arrears_months=2,5.00,
    IF(arrears_months=3,8.00,
    IF(arrears_months=4,10.00,
    IF(arrears_months=5,12.00,15.00)))))))</f>
        <v/>
      </c>
      <c r="M2083">
        <f>LET(
    seasoning_years,DATEDIF('Loan Tape (S&amp;P)'!K2083,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83">
        <f>IF(AND('Loan Tape (S&amp;P)'!U2083="Yes",
        'Loan Tape (S&amp;P)'!T2083&lt;&gt;"Yes",
        DATEDIF('Loan Tape (S&amp;P)'!K2083, TODAY(), "M")&lt;18),
    1.10,
    1.00)</f>
        <v/>
      </c>
      <c r="O2083">
        <f>IF('Loan Tape (S&amp;P)'!T2083="Yes",
    1.35,
    1.00)</f>
        <v/>
      </c>
      <c r="P2083">
        <f>IF('Loan Tape (S&amp;P)'!S2083="Yes",
    1.15,
    1.00)</f>
        <v/>
      </c>
      <c r="Q2083">
        <f>IF('Loan Tape (S&amp;P)'!V2083="Yes",
    1.20,
    1.00)</f>
        <v/>
      </c>
      <c r="T2083">
        <f>LET(
    payment_method,'Loan Tape (S&amp;P)'!P2083,
    occupancy,'Loan Tape (S&amp;P)'!N2083,
    maturity_date,'Loan Tape (S&amp;P)'!L2083,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84">
      <c r="J2084">
        <f>LET(
    lien,'Loan Tape (S&amp;P)'!Q2084,
    IF(lien="First",1.00,
        IF(lien="Second",1.50,
            1.70)))</f>
        <v/>
      </c>
      <c r="K2084">
        <f>LET(
    purpose,'Loan Tape (S&amp;P)'!R2084,
    IF(purpose="Purchase",1.00,
        IF(purpose="Remortgage",1.00,
            1.20)))</f>
        <v/>
      </c>
      <c r="L2084">
        <f>LET(
    arrears_months,'Loan Tape (S&amp;P)'!AN2084,
    IF(arrears_months=0,1.00,
    IF(arrears_months=1,3.00,
    IF(arrears_months=2,5.00,
    IF(arrears_months=3,8.00,
    IF(arrears_months=4,10.00,
    IF(arrears_months=5,12.00,15.00)))))))</f>
        <v/>
      </c>
      <c r="M2084">
        <f>LET(
    seasoning_years,DATEDIF('Loan Tape (S&amp;P)'!K2084,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84">
        <f>IF(AND('Loan Tape (S&amp;P)'!U2084="Yes",
        'Loan Tape (S&amp;P)'!T2084&lt;&gt;"Yes",
        DATEDIF('Loan Tape (S&amp;P)'!K2084, TODAY(), "M")&lt;18),
    1.10,
    1.00)</f>
        <v/>
      </c>
      <c r="O2084">
        <f>IF('Loan Tape (S&amp;P)'!T2084="Yes",
    1.35,
    1.00)</f>
        <v/>
      </c>
      <c r="P2084">
        <f>IF('Loan Tape (S&amp;P)'!S2084="Yes",
    1.15,
    1.00)</f>
        <v/>
      </c>
      <c r="Q2084">
        <f>IF('Loan Tape (S&amp;P)'!V2084="Yes",
    1.20,
    1.00)</f>
        <v/>
      </c>
      <c r="T2084">
        <f>LET(
    payment_method,'Loan Tape (S&amp;P)'!P2084,
    occupancy,'Loan Tape (S&amp;P)'!N2084,
    maturity_date,'Loan Tape (S&amp;P)'!L2084,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85">
      <c r="J2085">
        <f>LET(
    lien,'Loan Tape (S&amp;P)'!Q2085,
    IF(lien="First",1.00,
        IF(lien="Second",1.50,
            1.70)))</f>
        <v/>
      </c>
      <c r="K2085">
        <f>LET(
    purpose,'Loan Tape (S&amp;P)'!R2085,
    IF(purpose="Purchase",1.00,
        IF(purpose="Remortgage",1.00,
            1.20)))</f>
        <v/>
      </c>
      <c r="L2085">
        <f>LET(
    arrears_months,'Loan Tape (S&amp;P)'!AN2085,
    IF(arrears_months=0,1.00,
    IF(arrears_months=1,3.00,
    IF(arrears_months=2,5.00,
    IF(arrears_months=3,8.00,
    IF(arrears_months=4,10.00,
    IF(arrears_months=5,12.00,15.00)))))))</f>
        <v/>
      </c>
      <c r="M2085">
        <f>LET(
    seasoning_years,DATEDIF('Loan Tape (S&amp;P)'!K2085,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85">
        <f>IF(AND('Loan Tape (S&amp;P)'!U2085="Yes",
        'Loan Tape (S&amp;P)'!T2085&lt;&gt;"Yes",
        DATEDIF('Loan Tape (S&amp;P)'!K2085, TODAY(), "M")&lt;18),
    1.10,
    1.00)</f>
        <v/>
      </c>
      <c r="O2085">
        <f>IF('Loan Tape (S&amp;P)'!T2085="Yes",
    1.35,
    1.00)</f>
        <v/>
      </c>
      <c r="P2085">
        <f>IF('Loan Tape (S&amp;P)'!S2085="Yes",
    1.15,
    1.00)</f>
        <v/>
      </c>
      <c r="Q2085">
        <f>IF('Loan Tape (S&amp;P)'!V2085="Yes",
    1.20,
    1.00)</f>
        <v/>
      </c>
      <c r="T2085">
        <f>LET(
    payment_method,'Loan Tape (S&amp;P)'!P2085,
    occupancy,'Loan Tape (S&amp;P)'!N2085,
    maturity_date,'Loan Tape (S&amp;P)'!L2085,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86">
      <c r="J2086">
        <f>LET(
    lien,'Loan Tape (S&amp;P)'!Q2086,
    IF(lien="First",1.00,
        IF(lien="Second",1.50,
            1.70)))</f>
        <v/>
      </c>
      <c r="K2086">
        <f>LET(
    purpose,'Loan Tape (S&amp;P)'!R2086,
    IF(purpose="Purchase",1.00,
        IF(purpose="Remortgage",1.00,
            1.20)))</f>
        <v/>
      </c>
      <c r="L2086">
        <f>LET(
    arrears_months,'Loan Tape (S&amp;P)'!AN2086,
    IF(arrears_months=0,1.00,
    IF(arrears_months=1,3.00,
    IF(arrears_months=2,5.00,
    IF(arrears_months=3,8.00,
    IF(arrears_months=4,10.00,
    IF(arrears_months=5,12.00,15.00)))))))</f>
        <v/>
      </c>
      <c r="M2086">
        <f>LET(
    seasoning_years,DATEDIF('Loan Tape (S&amp;P)'!K2086,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86">
        <f>IF(AND('Loan Tape (S&amp;P)'!U2086="Yes",
        'Loan Tape (S&amp;P)'!T2086&lt;&gt;"Yes",
        DATEDIF('Loan Tape (S&amp;P)'!K2086, TODAY(), "M")&lt;18),
    1.10,
    1.00)</f>
        <v/>
      </c>
      <c r="O2086">
        <f>IF('Loan Tape (S&amp;P)'!T2086="Yes",
    1.35,
    1.00)</f>
        <v/>
      </c>
      <c r="P2086">
        <f>IF('Loan Tape (S&amp;P)'!S2086="Yes",
    1.15,
    1.00)</f>
        <v/>
      </c>
      <c r="Q2086">
        <f>IF('Loan Tape (S&amp;P)'!V2086="Yes",
    1.20,
    1.00)</f>
        <v/>
      </c>
      <c r="T2086">
        <f>LET(
    payment_method,'Loan Tape (S&amp;P)'!P2086,
    occupancy,'Loan Tape (S&amp;P)'!N2086,
    maturity_date,'Loan Tape (S&amp;P)'!L2086,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87">
      <c r="J2087">
        <f>LET(
    lien,'Loan Tape (S&amp;P)'!Q2087,
    IF(lien="First",1.00,
        IF(lien="Second",1.50,
            1.70)))</f>
        <v/>
      </c>
      <c r="K2087">
        <f>LET(
    purpose,'Loan Tape (S&amp;P)'!R2087,
    IF(purpose="Purchase",1.00,
        IF(purpose="Remortgage",1.00,
            1.20)))</f>
        <v/>
      </c>
      <c r="L2087">
        <f>LET(
    arrears_months,'Loan Tape (S&amp;P)'!AN2087,
    IF(arrears_months=0,1.00,
    IF(arrears_months=1,3.00,
    IF(arrears_months=2,5.00,
    IF(arrears_months=3,8.00,
    IF(arrears_months=4,10.00,
    IF(arrears_months=5,12.00,15.00)))))))</f>
        <v/>
      </c>
      <c r="M2087">
        <f>LET(
    seasoning_years,DATEDIF('Loan Tape (S&amp;P)'!K2087,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87">
        <f>IF(AND('Loan Tape (S&amp;P)'!U2087="Yes",
        'Loan Tape (S&amp;P)'!T2087&lt;&gt;"Yes",
        DATEDIF('Loan Tape (S&amp;P)'!K2087, TODAY(), "M")&lt;18),
    1.10,
    1.00)</f>
        <v/>
      </c>
      <c r="O2087">
        <f>IF('Loan Tape (S&amp;P)'!T2087="Yes",
    1.35,
    1.00)</f>
        <v/>
      </c>
      <c r="P2087">
        <f>IF('Loan Tape (S&amp;P)'!S2087="Yes",
    1.15,
    1.00)</f>
        <v/>
      </c>
      <c r="Q2087">
        <f>IF('Loan Tape (S&amp;P)'!V2087="Yes",
    1.20,
    1.00)</f>
        <v/>
      </c>
      <c r="T2087">
        <f>LET(
    payment_method,'Loan Tape (S&amp;P)'!P2087,
    occupancy,'Loan Tape (S&amp;P)'!N2087,
    maturity_date,'Loan Tape (S&amp;P)'!L2087,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88">
      <c r="J2088">
        <f>LET(
    lien,'Loan Tape (S&amp;P)'!Q2088,
    IF(lien="First",1.00,
        IF(lien="Second",1.50,
            1.70)))</f>
        <v/>
      </c>
      <c r="K2088">
        <f>LET(
    purpose,'Loan Tape (S&amp;P)'!R2088,
    IF(purpose="Purchase",1.00,
        IF(purpose="Remortgage",1.00,
            1.20)))</f>
        <v/>
      </c>
      <c r="L2088">
        <f>LET(
    arrears_months,'Loan Tape (S&amp;P)'!AN2088,
    IF(arrears_months=0,1.00,
    IF(arrears_months=1,3.00,
    IF(arrears_months=2,5.00,
    IF(arrears_months=3,8.00,
    IF(arrears_months=4,10.00,
    IF(arrears_months=5,12.00,15.00)))))))</f>
        <v/>
      </c>
      <c r="M2088">
        <f>LET(
    seasoning_years,DATEDIF('Loan Tape (S&amp;P)'!K2088,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88">
        <f>IF(AND('Loan Tape (S&amp;P)'!U2088="Yes",
        'Loan Tape (S&amp;P)'!T2088&lt;&gt;"Yes",
        DATEDIF('Loan Tape (S&amp;P)'!K2088, TODAY(), "M")&lt;18),
    1.10,
    1.00)</f>
        <v/>
      </c>
      <c r="O2088">
        <f>IF('Loan Tape (S&amp;P)'!T2088="Yes",
    1.35,
    1.00)</f>
        <v/>
      </c>
      <c r="P2088">
        <f>IF('Loan Tape (S&amp;P)'!S2088="Yes",
    1.15,
    1.00)</f>
        <v/>
      </c>
      <c r="Q2088">
        <f>IF('Loan Tape (S&amp;P)'!V2088="Yes",
    1.20,
    1.00)</f>
        <v/>
      </c>
      <c r="T2088">
        <f>LET(
    payment_method,'Loan Tape (S&amp;P)'!P2088,
    occupancy,'Loan Tape (S&amp;P)'!N2088,
    maturity_date,'Loan Tape (S&amp;P)'!L2088,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89">
      <c r="J2089">
        <f>LET(
    lien,'Loan Tape (S&amp;P)'!Q2089,
    IF(lien="First",1.00,
        IF(lien="Second",1.50,
            1.70)))</f>
        <v/>
      </c>
      <c r="K2089">
        <f>LET(
    purpose,'Loan Tape (S&amp;P)'!R2089,
    IF(purpose="Purchase",1.00,
        IF(purpose="Remortgage",1.00,
            1.20)))</f>
        <v/>
      </c>
      <c r="L2089">
        <f>LET(
    arrears_months,'Loan Tape (S&amp;P)'!AN2089,
    IF(arrears_months=0,1.00,
    IF(arrears_months=1,3.00,
    IF(arrears_months=2,5.00,
    IF(arrears_months=3,8.00,
    IF(arrears_months=4,10.00,
    IF(arrears_months=5,12.00,15.00)))))))</f>
        <v/>
      </c>
      <c r="M2089">
        <f>LET(
    seasoning_years,DATEDIF('Loan Tape (S&amp;P)'!K2089,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89">
        <f>IF(AND('Loan Tape (S&amp;P)'!U2089="Yes",
        'Loan Tape (S&amp;P)'!T2089&lt;&gt;"Yes",
        DATEDIF('Loan Tape (S&amp;P)'!K2089, TODAY(), "M")&lt;18),
    1.10,
    1.00)</f>
        <v/>
      </c>
      <c r="O2089">
        <f>IF('Loan Tape (S&amp;P)'!T2089="Yes",
    1.35,
    1.00)</f>
        <v/>
      </c>
      <c r="P2089">
        <f>IF('Loan Tape (S&amp;P)'!S2089="Yes",
    1.15,
    1.00)</f>
        <v/>
      </c>
      <c r="Q2089">
        <f>IF('Loan Tape (S&amp;P)'!V2089="Yes",
    1.20,
    1.00)</f>
        <v/>
      </c>
      <c r="T2089">
        <f>LET(
    payment_method,'Loan Tape (S&amp;P)'!P2089,
    occupancy,'Loan Tape (S&amp;P)'!N2089,
    maturity_date,'Loan Tape (S&amp;P)'!L2089,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90">
      <c r="J2090">
        <f>LET(
    lien,'Loan Tape (S&amp;P)'!Q2090,
    IF(lien="First",1.00,
        IF(lien="Second",1.50,
            1.70)))</f>
        <v/>
      </c>
      <c r="K2090">
        <f>LET(
    purpose,'Loan Tape (S&amp;P)'!R2090,
    IF(purpose="Purchase",1.00,
        IF(purpose="Remortgage",1.00,
            1.20)))</f>
        <v/>
      </c>
      <c r="L2090">
        <f>LET(
    arrears_months,'Loan Tape (S&amp;P)'!AN2090,
    IF(arrears_months=0,1.00,
    IF(arrears_months=1,3.00,
    IF(arrears_months=2,5.00,
    IF(arrears_months=3,8.00,
    IF(arrears_months=4,10.00,
    IF(arrears_months=5,12.00,15.00)))))))</f>
        <v/>
      </c>
      <c r="M2090">
        <f>LET(
    seasoning_years,DATEDIF('Loan Tape (S&amp;P)'!K2090,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90">
        <f>IF(AND('Loan Tape (S&amp;P)'!U2090="Yes",
        'Loan Tape (S&amp;P)'!T2090&lt;&gt;"Yes",
        DATEDIF('Loan Tape (S&amp;P)'!K2090, TODAY(), "M")&lt;18),
    1.10,
    1.00)</f>
        <v/>
      </c>
      <c r="O2090">
        <f>IF('Loan Tape (S&amp;P)'!T2090="Yes",
    1.35,
    1.00)</f>
        <v/>
      </c>
      <c r="P2090">
        <f>IF('Loan Tape (S&amp;P)'!S2090="Yes",
    1.15,
    1.00)</f>
        <v/>
      </c>
      <c r="Q2090">
        <f>IF('Loan Tape (S&amp;P)'!V2090="Yes",
    1.20,
    1.00)</f>
        <v/>
      </c>
      <c r="T2090">
        <f>LET(
    payment_method,'Loan Tape (S&amp;P)'!P2090,
    occupancy,'Loan Tape (S&amp;P)'!N2090,
    maturity_date,'Loan Tape (S&amp;P)'!L2090,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91">
      <c r="J2091">
        <f>LET(
    lien,'Loan Tape (S&amp;P)'!Q2091,
    IF(lien="First",1.00,
        IF(lien="Second",1.50,
            1.70)))</f>
        <v/>
      </c>
      <c r="K2091">
        <f>LET(
    purpose,'Loan Tape (S&amp;P)'!R2091,
    IF(purpose="Purchase",1.00,
        IF(purpose="Remortgage",1.00,
            1.20)))</f>
        <v/>
      </c>
      <c r="L2091">
        <f>LET(
    arrears_months,'Loan Tape (S&amp;P)'!AN2091,
    IF(arrears_months=0,1.00,
    IF(arrears_months=1,3.00,
    IF(arrears_months=2,5.00,
    IF(arrears_months=3,8.00,
    IF(arrears_months=4,10.00,
    IF(arrears_months=5,12.00,15.00)))))))</f>
        <v/>
      </c>
      <c r="M2091">
        <f>LET(
    seasoning_years,DATEDIF('Loan Tape (S&amp;P)'!K2091,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91">
        <f>IF(AND('Loan Tape (S&amp;P)'!U2091="Yes",
        'Loan Tape (S&amp;P)'!T2091&lt;&gt;"Yes",
        DATEDIF('Loan Tape (S&amp;P)'!K2091, TODAY(), "M")&lt;18),
    1.10,
    1.00)</f>
        <v/>
      </c>
      <c r="O2091">
        <f>IF('Loan Tape (S&amp;P)'!T2091="Yes",
    1.35,
    1.00)</f>
        <v/>
      </c>
      <c r="P2091">
        <f>IF('Loan Tape (S&amp;P)'!S2091="Yes",
    1.15,
    1.00)</f>
        <v/>
      </c>
      <c r="Q2091">
        <f>IF('Loan Tape (S&amp;P)'!V2091="Yes",
    1.20,
    1.00)</f>
        <v/>
      </c>
      <c r="T2091">
        <f>LET(
    payment_method,'Loan Tape (S&amp;P)'!P2091,
    occupancy,'Loan Tape (S&amp;P)'!N2091,
    maturity_date,'Loan Tape (S&amp;P)'!L2091,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92">
      <c r="J2092">
        <f>LET(
    lien,'Loan Tape (S&amp;P)'!Q2092,
    IF(lien="First",1.00,
        IF(lien="Second",1.50,
            1.70)))</f>
        <v/>
      </c>
      <c r="K2092">
        <f>LET(
    purpose,'Loan Tape (S&amp;P)'!R2092,
    IF(purpose="Purchase",1.00,
        IF(purpose="Remortgage",1.00,
            1.20)))</f>
        <v/>
      </c>
      <c r="L2092">
        <f>LET(
    arrears_months,'Loan Tape (S&amp;P)'!AN2092,
    IF(arrears_months=0,1.00,
    IF(arrears_months=1,3.00,
    IF(arrears_months=2,5.00,
    IF(arrears_months=3,8.00,
    IF(arrears_months=4,10.00,
    IF(arrears_months=5,12.00,15.00)))))))</f>
        <v/>
      </c>
      <c r="M2092">
        <f>LET(
    seasoning_years,DATEDIF('Loan Tape (S&amp;P)'!K2092,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92">
        <f>IF(AND('Loan Tape (S&amp;P)'!U2092="Yes",
        'Loan Tape (S&amp;P)'!T2092&lt;&gt;"Yes",
        DATEDIF('Loan Tape (S&amp;P)'!K2092, TODAY(), "M")&lt;18),
    1.10,
    1.00)</f>
        <v/>
      </c>
      <c r="O2092">
        <f>IF('Loan Tape (S&amp;P)'!T2092="Yes",
    1.35,
    1.00)</f>
        <v/>
      </c>
      <c r="P2092">
        <f>IF('Loan Tape (S&amp;P)'!S2092="Yes",
    1.15,
    1.00)</f>
        <v/>
      </c>
      <c r="Q2092">
        <f>IF('Loan Tape (S&amp;P)'!V2092="Yes",
    1.20,
    1.00)</f>
        <v/>
      </c>
      <c r="T2092">
        <f>LET(
    payment_method,'Loan Tape (S&amp;P)'!P2092,
    occupancy,'Loan Tape (S&amp;P)'!N2092,
    maturity_date,'Loan Tape (S&amp;P)'!L2092,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93">
      <c r="J2093">
        <f>LET(
    lien,'Loan Tape (S&amp;P)'!Q2093,
    IF(lien="First",1.00,
        IF(lien="Second",1.50,
            1.70)))</f>
        <v/>
      </c>
      <c r="K2093">
        <f>LET(
    purpose,'Loan Tape (S&amp;P)'!R2093,
    IF(purpose="Purchase",1.00,
        IF(purpose="Remortgage",1.00,
            1.20)))</f>
        <v/>
      </c>
      <c r="L2093">
        <f>LET(
    arrears_months,'Loan Tape (S&amp;P)'!AN2093,
    IF(arrears_months=0,1.00,
    IF(arrears_months=1,3.00,
    IF(arrears_months=2,5.00,
    IF(arrears_months=3,8.00,
    IF(arrears_months=4,10.00,
    IF(arrears_months=5,12.00,15.00)))))))</f>
        <v/>
      </c>
      <c r="M2093">
        <f>LET(
    seasoning_years,DATEDIF('Loan Tape (S&amp;P)'!K2093,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93">
        <f>IF(AND('Loan Tape (S&amp;P)'!U2093="Yes",
        'Loan Tape (S&amp;P)'!T2093&lt;&gt;"Yes",
        DATEDIF('Loan Tape (S&amp;P)'!K2093, TODAY(), "M")&lt;18),
    1.10,
    1.00)</f>
        <v/>
      </c>
      <c r="O2093">
        <f>IF('Loan Tape (S&amp;P)'!T2093="Yes",
    1.35,
    1.00)</f>
        <v/>
      </c>
      <c r="P2093">
        <f>IF('Loan Tape (S&amp;P)'!S2093="Yes",
    1.15,
    1.00)</f>
        <v/>
      </c>
      <c r="Q2093">
        <f>IF('Loan Tape (S&amp;P)'!V2093="Yes",
    1.20,
    1.00)</f>
        <v/>
      </c>
      <c r="T2093">
        <f>LET(
    payment_method,'Loan Tape (S&amp;P)'!P2093,
    occupancy,'Loan Tape (S&amp;P)'!N2093,
    maturity_date,'Loan Tape (S&amp;P)'!L2093,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94">
      <c r="J2094">
        <f>LET(
    lien,'Loan Tape (S&amp;P)'!Q2094,
    IF(lien="First",1.00,
        IF(lien="Second",1.50,
            1.70)))</f>
        <v/>
      </c>
      <c r="K2094">
        <f>LET(
    purpose,'Loan Tape (S&amp;P)'!R2094,
    IF(purpose="Purchase",1.00,
        IF(purpose="Remortgage",1.00,
            1.20)))</f>
        <v/>
      </c>
      <c r="L2094">
        <f>LET(
    arrears_months,'Loan Tape (S&amp;P)'!AN2094,
    IF(arrears_months=0,1.00,
    IF(arrears_months=1,3.00,
    IF(arrears_months=2,5.00,
    IF(arrears_months=3,8.00,
    IF(arrears_months=4,10.00,
    IF(arrears_months=5,12.00,15.00)))))))</f>
        <v/>
      </c>
      <c r="M2094">
        <f>LET(
    seasoning_years,DATEDIF('Loan Tape (S&amp;P)'!K2094,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94">
        <f>IF(AND('Loan Tape (S&amp;P)'!U2094="Yes",
        'Loan Tape (S&amp;P)'!T2094&lt;&gt;"Yes",
        DATEDIF('Loan Tape (S&amp;P)'!K2094, TODAY(), "M")&lt;18),
    1.10,
    1.00)</f>
        <v/>
      </c>
      <c r="O2094">
        <f>IF('Loan Tape (S&amp;P)'!T2094="Yes",
    1.35,
    1.00)</f>
        <v/>
      </c>
      <c r="P2094">
        <f>IF('Loan Tape (S&amp;P)'!S2094="Yes",
    1.15,
    1.00)</f>
        <v/>
      </c>
      <c r="Q2094">
        <f>IF('Loan Tape (S&amp;P)'!V2094="Yes",
    1.20,
    1.00)</f>
        <v/>
      </c>
      <c r="T2094">
        <f>LET(
    payment_method,'Loan Tape (S&amp;P)'!P2094,
    occupancy,'Loan Tape (S&amp;P)'!N2094,
    maturity_date,'Loan Tape (S&amp;P)'!L2094,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95">
      <c r="J2095">
        <f>LET(
    lien,'Loan Tape (S&amp;P)'!Q2095,
    IF(lien="First",1.00,
        IF(lien="Second",1.50,
            1.70)))</f>
        <v/>
      </c>
      <c r="K2095">
        <f>LET(
    purpose,'Loan Tape (S&amp;P)'!R2095,
    IF(purpose="Purchase",1.00,
        IF(purpose="Remortgage",1.00,
            1.20)))</f>
        <v/>
      </c>
      <c r="L2095">
        <f>LET(
    arrears_months,'Loan Tape (S&amp;P)'!AN2095,
    IF(arrears_months=0,1.00,
    IF(arrears_months=1,3.00,
    IF(arrears_months=2,5.00,
    IF(arrears_months=3,8.00,
    IF(arrears_months=4,10.00,
    IF(arrears_months=5,12.00,15.00)))))))</f>
        <v/>
      </c>
      <c r="M2095">
        <f>LET(
    seasoning_years,DATEDIF('Loan Tape (S&amp;P)'!K2095,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95">
        <f>IF(AND('Loan Tape (S&amp;P)'!U2095="Yes",
        'Loan Tape (S&amp;P)'!T2095&lt;&gt;"Yes",
        DATEDIF('Loan Tape (S&amp;P)'!K2095, TODAY(), "M")&lt;18),
    1.10,
    1.00)</f>
        <v/>
      </c>
      <c r="O2095">
        <f>IF('Loan Tape (S&amp;P)'!T2095="Yes",
    1.35,
    1.00)</f>
        <v/>
      </c>
      <c r="P2095">
        <f>IF('Loan Tape (S&amp;P)'!S2095="Yes",
    1.15,
    1.00)</f>
        <v/>
      </c>
      <c r="Q2095">
        <f>IF('Loan Tape (S&amp;P)'!V2095="Yes",
    1.20,
    1.00)</f>
        <v/>
      </c>
      <c r="T2095">
        <f>LET(
    payment_method,'Loan Tape (S&amp;P)'!P2095,
    occupancy,'Loan Tape (S&amp;P)'!N2095,
    maturity_date,'Loan Tape (S&amp;P)'!L2095,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96">
      <c r="J2096">
        <f>LET(
    lien,'Loan Tape (S&amp;P)'!Q2096,
    IF(lien="First",1.00,
        IF(lien="Second",1.50,
            1.70)))</f>
        <v/>
      </c>
      <c r="K2096">
        <f>LET(
    purpose,'Loan Tape (S&amp;P)'!R2096,
    IF(purpose="Purchase",1.00,
        IF(purpose="Remortgage",1.00,
            1.20)))</f>
        <v/>
      </c>
      <c r="L2096">
        <f>LET(
    arrears_months,'Loan Tape (S&amp;P)'!AN2096,
    IF(arrears_months=0,1.00,
    IF(arrears_months=1,3.00,
    IF(arrears_months=2,5.00,
    IF(arrears_months=3,8.00,
    IF(arrears_months=4,10.00,
    IF(arrears_months=5,12.00,15.00)))))))</f>
        <v/>
      </c>
      <c r="M2096">
        <f>LET(
    seasoning_years,DATEDIF('Loan Tape (S&amp;P)'!K2096,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96">
        <f>IF(AND('Loan Tape (S&amp;P)'!U2096="Yes",
        'Loan Tape (S&amp;P)'!T2096&lt;&gt;"Yes",
        DATEDIF('Loan Tape (S&amp;P)'!K2096, TODAY(), "M")&lt;18),
    1.10,
    1.00)</f>
        <v/>
      </c>
      <c r="O2096">
        <f>IF('Loan Tape (S&amp;P)'!T2096="Yes",
    1.35,
    1.00)</f>
        <v/>
      </c>
      <c r="P2096">
        <f>IF('Loan Tape (S&amp;P)'!S2096="Yes",
    1.15,
    1.00)</f>
        <v/>
      </c>
      <c r="Q2096">
        <f>IF('Loan Tape (S&amp;P)'!V2096="Yes",
    1.20,
    1.00)</f>
        <v/>
      </c>
      <c r="T2096">
        <f>LET(
    payment_method,'Loan Tape (S&amp;P)'!P2096,
    occupancy,'Loan Tape (S&amp;P)'!N2096,
    maturity_date,'Loan Tape (S&amp;P)'!L2096,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97">
      <c r="J2097">
        <f>LET(
    lien,'Loan Tape (S&amp;P)'!Q2097,
    IF(lien="First",1.00,
        IF(lien="Second",1.50,
            1.70)))</f>
        <v/>
      </c>
      <c r="K2097">
        <f>LET(
    purpose,'Loan Tape (S&amp;P)'!R2097,
    IF(purpose="Purchase",1.00,
        IF(purpose="Remortgage",1.00,
            1.20)))</f>
        <v/>
      </c>
      <c r="L2097">
        <f>LET(
    arrears_months,'Loan Tape (S&amp;P)'!AN2097,
    IF(arrears_months=0,1.00,
    IF(arrears_months=1,3.00,
    IF(arrears_months=2,5.00,
    IF(arrears_months=3,8.00,
    IF(arrears_months=4,10.00,
    IF(arrears_months=5,12.00,15.00)))))))</f>
        <v/>
      </c>
      <c r="M2097">
        <f>LET(
    seasoning_years,DATEDIF('Loan Tape (S&amp;P)'!K2097,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97">
        <f>IF(AND('Loan Tape (S&amp;P)'!U2097="Yes",
        'Loan Tape (S&amp;P)'!T2097&lt;&gt;"Yes",
        DATEDIF('Loan Tape (S&amp;P)'!K2097, TODAY(), "M")&lt;18),
    1.10,
    1.00)</f>
        <v/>
      </c>
      <c r="O2097">
        <f>IF('Loan Tape (S&amp;P)'!T2097="Yes",
    1.35,
    1.00)</f>
        <v/>
      </c>
      <c r="P2097">
        <f>IF('Loan Tape (S&amp;P)'!S2097="Yes",
    1.15,
    1.00)</f>
        <v/>
      </c>
      <c r="Q2097">
        <f>IF('Loan Tape (S&amp;P)'!V2097="Yes",
    1.20,
    1.00)</f>
        <v/>
      </c>
      <c r="T2097">
        <f>LET(
    payment_method,'Loan Tape (S&amp;P)'!P2097,
    occupancy,'Loan Tape (S&amp;P)'!N2097,
    maturity_date,'Loan Tape (S&amp;P)'!L2097,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98">
      <c r="J2098">
        <f>LET(
    lien,'Loan Tape (S&amp;P)'!Q2098,
    IF(lien="First",1.00,
        IF(lien="Second",1.50,
            1.70)))</f>
        <v/>
      </c>
      <c r="K2098">
        <f>LET(
    purpose,'Loan Tape (S&amp;P)'!R2098,
    IF(purpose="Purchase",1.00,
        IF(purpose="Remortgage",1.00,
            1.20)))</f>
        <v/>
      </c>
      <c r="L2098">
        <f>LET(
    arrears_months,'Loan Tape (S&amp;P)'!AN2098,
    IF(arrears_months=0,1.00,
    IF(arrears_months=1,3.00,
    IF(arrears_months=2,5.00,
    IF(arrears_months=3,8.00,
    IF(arrears_months=4,10.00,
    IF(arrears_months=5,12.00,15.00)))))))</f>
        <v/>
      </c>
      <c r="M2098">
        <f>LET(
    seasoning_years,DATEDIF('Loan Tape (S&amp;P)'!K2098,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98">
        <f>IF(AND('Loan Tape (S&amp;P)'!U2098="Yes",
        'Loan Tape (S&amp;P)'!T2098&lt;&gt;"Yes",
        DATEDIF('Loan Tape (S&amp;P)'!K2098, TODAY(), "M")&lt;18),
    1.10,
    1.00)</f>
        <v/>
      </c>
      <c r="O2098">
        <f>IF('Loan Tape (S&amp;P)'!T2098="Yes",
    1.35,
    1.00)</f>
        <v/>
      </c>
      <c r="P2098">
        <f>IF('Loan Tape (S&amp;P)'!S2098="Yes",
    1.15,
    1.00)</f>
        <v/>
      </c>
      <c r="Q2098">
        <f>IF('Loan Tape (S&amp;P)'!V2098="Yes",
    1.20,
    1.00)</f>
        <v/>
      </c>
      <c r="T2098">
        <f>LET(
    payment_method,'Loan Tape (S&amp;P)'!P2098,
    occupancy,'Loan Tape (S&amp;P)'!N2098,
    maturity_date,'Loan Tape (S&amp;P)'!L2098,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099">
      <c r="J2099">
        <f>LET(
    lien,'Loan Tape (S&amp;P)'!Q2099,
    IF(lien="First",1.00,
        IF(lien="Second",1.50,
            1.70)))</f>
        <v/>
      </c>
      <c r="K2099">
        <f>LET(
    purpose,'Loan Tape (S&amp;P)'!R2099,
    IF(purpose="Purchase",1.00,
        IF(purpose="Remortgage",1.00,
            1.20)))</f>
        <v/>
      </c>
      <c r="L2099">
        <f>LET(
    arrears_months,'Loan Tape (S&amp;P)'!AN2099,
    IF(arrears_months=0,1.00,
    IF(arrears_months=1,3.00,
    IF(arrears_months=2,5.00,
    IF(arrears_months=3,8.00,
    IF(arrears_months=4,10.00,
    IF(arrears_months=5,12.00,15.00)))))))</f>
        <v/>
      </c>
      <c r="M2099">
        <f>LET(
    seasoning_years,DATEDIF('Loan Tape (S&amp;P)'!K2099,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099">
        <f>IF(AND('Loan Tape (S&amp;P)'!U2099="Yes",
        'Loan Tape (S&amp;P)'!T2099&lt;&gt;"Yes",
        DATEDIF('Loan Tape (S&amp;P)'!K2099, TODAY(), "M")&lt;18),
    1.10,
    1.00)</f>
        <v/>
      </c>
      <c r="O2099">
        <f>IF('Loan Tape (S&amp;P)'!T2099="Yes",
    1.35,
    1.00)</f>
        <v/>
      </c>
      <c r="P2099">
        <f>IF('Loan Tape (S&amp;P)'!S2099="Yes",
    1.15,
    1.00)</f>
        <v/>
      </c>
      <c r="Q2099">
        <f>IF('Loan Tape (S&amp;P)'!V2099="Yes",
    1.20,
    1.00)</f>
        <v/>
      </c>
      <c r="T2099">
        <f>LET(
    payment_method,'Loan Tape (S&amp;P)'!P2099,
    occupancy,'Loan Tape (S&amp;P)'!N2099,
    maturity_date,'Loan Tape (S&amp;P)'!L2099,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00">
      <c r="J2100">
        <f>LET(
    lien,'Loan Tape (S&amp;P)'!Q2100,
    IF(lien="First",1.00,
        IF(lien="Second",1.50,
            1.70)))</f>
        <v/>
      </c>
      <c r="K2100">
        <f>LET(
    purpose,'Loan Tape (S&amp;P)'!R2100,
    IF(purpose="Purchase",1.00,
        IF(purpose="Remortgage",1.00,
            1.20)))</f>
        <v/>
      </c>
      <c r="L2100">
        <f>LET(
    arrears_months,'Loan Tape (S&amp;P)'!AN2100,
    IF(arrears_months=0,1.00,
    IF(arrears_months=1,3.00,
    IF(arrears_months=2,5.00,
    IF(arrears_months=3,8.00,
    IF(arrears_months=4,10.00,
    IF(arrears_months=5,12.00,15.00)))))))</f>
        <v/>
      </c>
      <c r="M2100">
        <f>LET(
    seasoning_years,DATEDIF('Loan Tape (S&amp;P)'!K2100,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00">
        <f>IF(AND('Loan Tape (S&amp;P)'!U2100="Yes",
        'Loan Tape (S&amp;P)'!T2100&lt;&gt;"Yes",
        DATEDIF('Loan Tape (S&amp;P)'!K2100, TODAY(), "M")&lt;18),
    1.10,
    1.00)</f>
        <v/>
      </c>
      <c r="O2100">
        <f>IF('Loan Tape (S&amp;P)'!T2100="Yes",
    1.35,
    1.00)</f>
        <v/>
      </c>
      <c r="P2100">
        <f>IF('Loan Tape (S&amp;P)'!S2100="Yes",
    1.15,
    1.00)</f>
        <v/>
      </c>
      <c r="Q2100">
        <f>IF('Loan Tape (S&amp;P)'!V2100="Yes",
    1.20,
    1.00)</f>
        <v/>
      </c>
      <c r="T2100">
        <f>LET(
    payment_method,'Loan Tape (S&amp;P)'!P2100,
    occupancy,'Loan Tape (S&amp;P)'!N2100,
    maturity_date,'Loan Tape (S&amp;P)'!L2100,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01">
      <c r="J2101">
        <f>LET(
    lien,'Loan Tape (S&amp;P)'!Q2101,
    IF(lien="First",1.00,
        IF(lien="Second",1.50,
            1.70)))</f>
        <v/>
      </c>
      <c r="K2101">
        <f>LET(
    purpose,'Loan Tape (S&amp;P)'!R2101,
    IF(purpose="Purchase",1.00,
        IF(purpose="Remortgage",1.00,
            1.20)))</f>
        <v/>
      </c>
      <c r="L2101">
        <f>LET(
    arrears_months,'Loan Tape (S&amp;P)'!AN2101,
    IF(arrears_months=0,1.00,
    IF(arrears_months=1,3.00,
    IF(arrears_months=2,5.00,
    IF(arrears_months=3,8.00,
    IF(arrears_months=4,10.00,
    IF(arrears_months=5,12.00,15.00)))))))</f>
        <v/>
      </c>
      <c r="M2101">
        <f>LET(
    seasoning_years,DATEDIF('Loan Tape (S&amp;P)'!K2101,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01">
        <f>IF(AND('Loan Tape (S&amp;P)'!U2101="Yes",
        'Loan Tape (S&amp;P)'!T2101&lt;&gt;"Yes",
        DATEDIF('Loan Tape (S&amp;P)'!K2101, TODAY(), "M")&lt;18),
    1.10,
    1.00)</f>
        <v/>
      </c>
      <c r="O2101">
        <f>IF('Loan Tape (S&amp;P)'!T2101="Yes",
    1.35,
    1.00)</f>
        <v/>
      </c>
      <c r="P2101">
        <f>IF('Loan Tape (S&amp;P)'!S2101="Yes",
    1.15,
    1.00)</f>
        <v/>
      </c>
      <c r="Q2101">
        <f>IF('Loan Tape (S&amp;P)'!V2101="Yes",
    1.20,
    1.00)</f>
        <v/>
      </c>
      <c r="T2101">
        <f>LET(
    payment_method,'Loan Tape (S&amp;P)'!P2101,
    occupancy,'Loan Tape (S&amp;P)'!N2101,
    maturity_date,'Loan Tape (S&amp;P)'!L2101,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02">
      <c r="J2102">
        <f>LET(
    lien,'Loan Tape (S&amp;P)'!Q2102,
    IF(lien="First",1.00,
        IF(lien="Second",1.50,
            1.70)))</f>
        <v/>
      </c>
      <c r="K2102">
        <f>LET(
    purpose,'Loan Tape (S&amp;P)'!R2102,
    IF(purpose="Purchase",1.00,
        IF(purpose="Remortgage",1.00,
            1.20)))</f>
        <v/>
      </c>
      <c r="L2102">
        <f>LET(
    arrears_months,'Loan Tape (S&amp;P)'!AN2102,
    IF(arrears_months=0,1.00,
    IF(arrears_months=1,3.00,
    IF(arrears_months=2,5.00,
    IF(arrears_months=3,8.00,
    IF(arrears_months=4,10.00,
    IF(arrears_months=5,12.00,15.00)))))))</f>
        <v/>
      </c>
      <c r="M2102">
        <f>LET(
    seasoning_years,DATEDIF('Loan Tape (S&amp;P)'!K2102,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02">
        <f>IF(AND('Loan Tape (S&amp;P)'!U2102="Yes",
        'Loan Tape (S&amp;P)'!T2102&lt;&gt;"Yes",
        DATEDIF('Loan Tape (S&amp;P)'!K2102, TODAY(), "M")&lt;18),
    1.10,
    1.00)</f>
        <v/>
      </c>
      <c r="O2102">
        <f>IF('Loan Tape (S&amp;P)'!T2102="Yes",
    1.35,
    1.00)</f>
        <v/>
      </c>
      <c r="P2102">
        <f>IF('Loan Tape (S&amp;P)'!S2102="Yes",
    1.15,
    1.00)</f>
        <v/>
      </c>
      <c r="Q2102">
        <f>IF('Loan Tape (S&amp;P)'!V2102="Yes",
    1.20,
    1.00)</f>
        <v/>
      </c>
      <c r="T2102">
        <f>LET(
    payment_method,'Loan Tape (S&amp;P)'!P2102,
    occupancy,'Loan Tape (S&amp;P)'!N2102,
    maturity_date,'Loan Tape (S&amp;P)'!L2102,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03">
      <c r="J2103">
        <f>LET(
    lien,'Loan Tape (S&amp;P)'!Q2103,
    IF(lien="First",1.00,
        IF(lien="Second",1.50,
            1.70)))</f>
        <v/>
      </c>
      <c r="K2103">
        <f>LET(
    purpose,'Loan Tape (S&amp;P)'!R2103,
    IF(purpose="Purchase",1.00,
        IF(purpose="Remortgage",1.00,
            1.20)))</f>
        <v/>
      </c>
      <c r="L2103">
        <f>LET(
    arrears_months,'Loan Tape (S&amp;P)'!AN2103,
    IF(arrears_months=0,1.00,
    IF(arrears_months=1,3.00,
    IF(arrears_months=2,5.00,
    IF(arrears_months=3,8.00,
    IF(arrears_months=4,10.00,
    IF(arrears_months=5,12.00,15.00)))))))</f>
        <v/>
      </c>
      <c r="M2103">
        <f>LET(
    seasoning_years,DATEDIF('Loan Tape (S&amp;P)'!K2103,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03">
        <f>IF(AND('Loan Tape (S&amp;P)'!U2103="Yes",
        'Loan Tape (S&amp;P)'!T2103&lt;&gt;"Yes",
        DATEDIF('Loan Tape (S&amp;P)'!K2103, TODAY(), "M")&lt;18),
    1.10,
    1.00)</f>
        <v/>
      </c>
      <c r="O2103">
        <f>IF('Loan Tape (S&amp;P)'!T2103="Yes",
    1.35,
    1.00)</f>
        <v/>
      </c>
      <c r="P2103">
        <f>IF('Loan Tape (S&amp;P)'!S2103="Yes",
    1.15,
    1.00)</f>
        <v/>
      </c>
      <c r="Q2103">
        <f>IF('Loan Tape (S&amp;P)'!V2103="Yes",
    1.20,
    1.00)</f>
        <v/>
      </c>
      <c r="T2103">
        <f>LET(
    payment_method,'Loan Tape (S&amp;P)'!P2103,
    occupancy,'Loan Tape (S&amp;P)'!N2103,
    maturity_date,'Loan Tape (S&amp;P)'!L2103,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04">
      <c r="J2104">
        <f>LET(
    lien,'Loan Tape (S&amp;P)'!Q2104,
    IF(lien="First",1.00,
        IF(lien="Second",1.50,
            1.70)))</f>
        <v/>
      </c>
      <c r="K2104">
        <f>LET(
    purpose,'Loan Tape (S&amp;P)'!R2104,
    IF(purpose="Purchase",1.00,
        IF(purpose="Remortgage",1.00,
            1.20)))</f>
        <v/>
      </c>
      <c r="L2104">
        <f>LET(
    arrears_months,'Loan Tape (S&amp;P)'!AN2104,
    IF(arrears_months=0,1.00,
    IF(arrears_months=1,3.00,
    IF(arrears_months=2,5.00,
    IF(arrears_months=3,8.00,
    IF(arrears_months=4,10.00,
    IF(arrears_months=5,12.00,15.00)))))))</f>
        <v/>
      </c>
      <c r="M2104">
        <f>LET(
    seasoning_years,DATEDIF('Loan Tape (S&amp;P)'!K2104,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04">
        <f>IF(AND('Loan Tape (S&amp;P)'!U2104="Yes",
        'Loan Tape (S&amp;P)'!T2104&lt;&gt;"Yes",
        DATEDIF('Loan Tape (S&amp;P)'!K2104, TODAY(), "M")&lt;18),
    1.10,
    1.00)</f>
        <v/>
      </c>
      <c r="O2104">
        <f>IF('Loan Tape (S&amp;P)'!T2104="Yes",
    1.35,
    1.00)</f>
        <v/>
      </c>
      <c r="P2104">
        <f>IF('Loan Tape (S&amp;P)'!S2104="Yes",
    1.15,
    1.00)</f>
        <v/>
      </c>
      <c r="Q2104">
        <f>IF('Loan Tape (S&amp;P)'!V2104="Yes",
    1.20,
    1.00)</f>
        <v/>
      </c>
      <c r="T2104">
        <f>LET(
    payment_method,'Loan Tape (S&amp;P)'!P2104,
    occupancy,'Loan Tape (S&amp;P)'!N2104,
    maturity_date,'Loan Tape (S&amp;P)'!L2104,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05">
      <c r="J2105">
        <f>LET(
    lien,'Loan Tape (S&amp;P)'!Q2105,
    IF(lien="First",1.00,
        IF(lien="Second",1.50,
            1.70)))</f>
        <v/>
      </c>
      <c r="K2105">
        <f>LET(
    purpose,'Loan Tape (S&amp;P)'!R2105,
    IF(purpose="Purchase",1.00,
        IF(purpose="Remortgage",1.00,
            1.20)))</f>
        <v/>
      </c>
      <c r="L2105">
        <f>LET(
    arrears_months,'Loan Tape (S&amp;P)'!AN2105,
    IF(arrears_months=0,1.00,
    IF(arrears_months=1,3.00,
    IF(arrears_months=2,5.00,
    IF(arrears_months=3,8.00,
    IF(arrears_months=4,10.00,
    IF(arrears_months=5,12.00,15.00)))))))</f>
        <v/>
      </c>
      <c r="M2105">
        <f>LET(
    seasoning_years,DATEDIF('Loan Tape (S&amp;P)'!K2105,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05">
        <f>IF(AND('Loan Tape (S&amp;P)'!U2105="Yes",
        'Loan Tape (S&amp;P)'!T2105&lt;&gt;"Yes",
        DATEDIF('Loan Tape (S&amp;P)'!K2105, TODAY(), "M")&lt;18),
    1.10,
    1.00)</f>
        <v/>
      </c>
      <c r="O2105">
        <f>IF('Loan Tape (S&amp;P)'!T2105="Yes",
    1.35,
    1.00)</f>
        <v/>
      </c>
      <c r="P2105">
        <f>IF('Loan Tape (S&amp;P)'!S2105="Yes",
    1.15,
    1.00)</f>
        <v/>
      </c>
      <c r="Q2105">
        <f>IF('Loan Tape (S&amp;P)'!V2105="Yes",
    1.20,
    1.00)</f>
        <v/>
      </c>
      <c r="T2105">
        <f>LET(
    payment_method,'Loan Tape (S&amp;P)'!P2105,
    occupancy,'Loan Tape (S&amp;P)'!N2105,
    maturity_date,'Loan Tape (S&amp;P)'!L2105,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06">
      <c r="J2106">
        <f>LET(
    lien,'Loan Tape (S&amp;P)'!Q2106,
    IF(lien="First",1.00,
        IF(lien="Second",1.50,
            1.70)))</f>
        <v/>
      </c>
      <c r="K2106">
        <f>LET(
    purpose,'Loan Tape (S&amp;P)'!R2106,
    IF(purpose="Purchase",1.00,
        IF(purpose="Remortgage",1.00,
            1.20)))</f>
        <v/>
      </c>
      <c r="L2106">
        <f>LET(
    arrears_months,'Loan Tape (S&amp;P)'!AN2106,
    IF(arrears_months=0,1.00,
    IF(arrears_months=1,3.00,
    IF(arrears_months=2,5.00,
    IF(arrears_months=3,8.00,
    IF(arrears_months=4,10.00,
    IF(arrears_months=5,12.00,15.00)))))))</f>
        <v/>
      </c>
      <c r="M2106">
        <f>LET(
    seasoning_years,DATEDIF('Loan Tape (S&amp;P)'!K2106,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06">
        <f>IF(AND('Loan Tape (S&amp;P)'!U2106="Yes",
        'Loan Tape (S&amp;P)'!T2106&lt;&gt;"Yes",
        DATEDIF('Loan Tape (S&amp;P)'!K2106, TODAY(), "M")&lt;18),
    1.10,
    1.00)</f>
        <v/>
      </c>
      <c r="O2106">
        <f>IF('Loan Tape (S&amp;P)'!T2106="Yes",
    1.35,
    1.00)</f>
        <v/>
      </c>
      <c r="P2106">
        <f>IF('Loan Tape (S&amp;P)'!S2106="Yes",
    1.15,
    1.00)</f>
        <v/>
      </c>
      <c r="Q2106">
        <f>IF('Loan Tape (S&amp;P)'!V2106="Yes",
    1.20,
    1.00)</f>
        <v/>
      </c>
      <c r="T2106">
        <f>LET(
    payment_method,'Loan Tape (S&amp;P)'!P2106,
    occupancy,'Loan Tape (S&amp;P)'!N2106,
    maturity_date,'Loan Tape (S&amp;P)'!L2106,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07">
      <c r="J2107">
        <f>LET(
    lien,'Loan Tape (S&amp;P)'!Q2107,
    IF(lien="First",1.00,
        IF(lien="Second",1.50,
            1.70)))</f>
        <v/>
      </c>
      <c r="K2107">
        <f>LET(
    purpose,'Loan Tape (S&amp;P)'!R2107,
    IF(purpose="Purchase",1.00,
        IF(purpose="Remortgage",1.00,
            1.20)))</f>
        <v/>
      </c>
      <c r="L2107">
        <f>LET(
    arrears_months,'Loan Tape (S&amp;P)'!AN2107,
    IF(arrears_months=0,1.00,
    IF(arrears_months=1,3.00,
    IF(arrears_months=2,5.00,
    IF(arrears_months=3,8.00,
    IF(arrears_months=4,10.00,
    IF(arrears_months=5,12.00,15.00)))))))</f>
        <v/>
      </c>
      <c r="M2107">
        <f>LET(
    seasoning_years,DATEDIF('Loan Tape (S&amp;P)'!K2107,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07">
        <f>IF(AND('Loan Tape (S&amp;P)'!U2107="Yes",
        'Loan Tape (S&amp;P)'!T2107&lt;&gt;"Yes",
        DATEDIF('Loan Tape (S&amp;P)'!K2107, TODAY(), "M")&lt;18),
    1.10,
    1.00)</f>
        <v/>
      </c>
      <c r="O2107">
        <f>IF('Loan Tape (S&amp;P)'!T2107="Yes",
    1.35,
    1.00)</f>
        <v/>
      </c>
      <c r="P2107">
        <f>IF('Loan Tape (S&amp;P)'!S2107="Yes",
    1.15,
    1.00)</f>
        <v/>
      </c>
      <c r="Q2107">
        <f>IF('Loan Tape (S&amp;P)'!V2107="Yes",
    1.20,
    1.00)</f>
        <v/>
      </c>
      <c r="T2107">
        <f>LET(
    payment_method,'Loan Tape (S&amp;P)'!P2107,
    occupancy,'Loan Tape (S&amp;P)'!N2107,
    maturity_date,'Loan Tape (S&amp;P)'!L2107,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08">
      <c r="J2108">
        <f>LET(
    lien,'Loan Tape (S&amp;P)'!Q2108,
    IF(lien="First",1.00,
        IF(lien="Second",1.50,
            1.70)))</f>
        <v/>
      </c>
      <c r="K2108">
        <f>LET(
    purpose,'Loan Tape (S&amp;P)'!R2108,
    IF(purpose="Purchase",1.00,
        IF(purpose="Remortgage",1.00,
            1.20)))</f>
        <v/>
      </c>
      <c r="L2108">
        <f>LET(
    arrears_months,'Loan Tape (S&amp;P)'!AN2108,
    IF(arrears_months=0,1.00,
    IF(arrears_months=1,3.00,
    IF(arrears_months=2,5.00,
    IF(arrears_months=3,8.00,
    IF(arrears_months=4,10.00,
    IF(arrears_months=5,12.00,15.00)))))))</f>
        <v/>
      </c>
      <c r="M2108">
        <f>LET(
    seasoning_years,DATEDIF('Loan Tape (S&amp;P)'!K2108,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08">
        <f>IF(AND('Loan Tape (S&amp;P)'!U2108="Yes",
        'Loan Tape (S&amp;P)'!T2108&lt;&gt;"Yes",
        DATEDIF('Loan Tape (S&amp;P)'!K2108, TODAY(), "M")&lt;18),
    1.10,
    1.00)</f>
        <v/>
      </c>
      <c r="O2108">
        <f>IF('Loan Tape (S&amp;P)'!T2108="Yes",
    1.35,
    1.00)</f>
        <v/>
      </c>
      <c r="P2108">
        <f>IF('Loan Tape (S&amp;P)'!S2108="Yes",
    1.15,
    1.00)</f>
        <v/>
      </c>
      <c r="Q2108">
        <f>IF('Loan Tape (S&amp;P)'!V2108="Yes",
    1.20,
    1.00)</f>
        <v/>
      </c>
      <c r="T2108">
        <f>LET(
    payment_method,'Loan Tape (S&amp;P)'!P2108,
    occupancy,'Loan Tape (S&amp;P)'!N2108,
    maturity_date,'Loan Tape (S&amp;P)'!L2108,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09">
      <c r="J2109">
        <f>LET(
    lien,'Loan Tape (S&amp;P)'!Q2109,
    IF(lien="First",1.00,
        IF(lien="Second",1.50,
            1.70)))</f>
        <v/>
      </c>
      <c r="K2109">
        <f>LET(
    purpose,'Loan Tape (S&amp;P)'!R2109,
    IF(purpose="Purchase",1.00,
        IF(purpose="Remortgage",1.00,
            1.20)))</f>
        <v/>
      </c>
      <c r="L2109">
        <f>LET(
    arrears_months,'Loan Tape (S&amp;P)'!AN2109,
    IF(arrears_months=0,1.00,
    IF(arrears_months=1,3.00,
    IF(arrears_months=2,5.00,
    IF(arrears_months=3,8.00,
    IF(arrears_months=4,10.00,
    IF(arrears_months=5,12.00,15.00)))))))</f>
        <v/>
      </c>
      <c r="M2109">
        <f>LET(
    seasoning_years,DATEDIF('Loan Tape (S&amp;P)'!K2109,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09">
        <f>IF(AND('Loan Tape (S&amp;P)'!U2109="Yes",
        'Loan Tape (S&amp;P)'!T2109&lt;&gt;"Yes",
        DATEDIF('Loan Tape (S&amp;P)'!K2109, TODAY(), "M")&lt;18),
    1.10,
    1.00)</f>
        <v/>
      </c>
      <c r="O2109">
        <f>IF('Loan Tape (S&amp;P)'!T2109="Yes",
    1.35,
    1.00)</f>
        <v/>
      </c>
      <c r="P2109">
        <f>IF('Loan Tape (S&amp;P)'!S2109="Yes",
    1.15,
    1.00)</f>
        <v/>
      </c>
      <c r="Q2109">
        <f>IF('Loan Tape (S&amp;P)'!V2109="Yes",
    1.20,
    1.00)</f>
        <v/>
      </c>
      <c r="T2109">
        <f>LET(
    payment_method,'Loan Tape (S&amp;P)'!P2109,
    occupancy,'Loan Tape (S&amp;P)'!N2109,
    maturity_date,'Loan Tape (S&amp;P)'!L2109,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10">
      <c r="J2110">
        <f>LET(
    lien,'Loan Tape (S&amp;P)'!Q2110,
    IF(lien="First",1.00,
        IF(lien="Second",1.50,
            1.70)))</f>
        <v/>
      </c>
      <c r="K2110">
        <f>LET(
    purpose,'Loan Tape (S&amp;P)'!R2110,
    IF(purpose="Purchase",1.00,
        IF(purpose="Remortgage",1.00,
            1.20)))</f>
        <v/>
      </c>
      <c r="L2110">
        <f>LET(
    arrears_months,'Loan Tape (S&amp;P)'!AN2110,
    IF(arrears_months=0,1.00,
    IF(arrears_months=1,3.00,
    IF(arrears_months=2,5.00,
    IF(arrears_months=3,8.00,
    IF(arrears_months=4,10.00,
    IF(arrears_months=5,12.00,15.00)))))))</f>
        <v/>
      </c>
      <c r="M2110">
        <f>LET(
    seasoning_years,DATEDIF('Loan Tape (S&amp;P)'!K2110,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10">
        <f>IF(AND('Loan Tape (S&amp;P)'!U2110="Yes",
        'Loan Tape (S&amp;P)'!T2110&lt;&gt;"Yes",
        DATEDIF('Loan Tape (S&amp;P)'!K2110, TODAY(), "M")&lt;18),
    1.10,
    1.00)</f>
        <v/>
      </c>
      <c r="O2110">
        <f>IF('Loan Tape (S&amp;P)'!T2110="Yes",
    1.35,
    1.00)</f>
        <v/>
      </c>
      <c r="P2110">
        <f>IF('Loan Tape (S&amp;P)'!S2110="Yes",
    1.15,
    1.00)</f>
        <v/>
      </c>
      <c r="Q2110">
        <f>IF('Loan Tape (S&amp;P)'!V2110="Yes",
    1.20,
    1.00)</f>
        <v/>
      </c>
      <c r="T2110">
        <f>LET(
    payment_method,'Loan Tape (S&amp;P)'!P2110,
    occupancy,'Loan Tape (S&amp;P)'!N2110,
    maturity_date,'Loan Tape (S&amp;P)'!L2110,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11">
      <c r="J2111">
        <f>LET(
    lien,'Loan Tape (S&amp;P)'!Q2111,
    IF(lien="First",1.00,
        IF(lien="Second",1.50,
            1.70)))</f>
        <v/>
      </c>
      <c r="K2111">
        <f>LET(
    purpose,'Loan Tape (S&amp;P)'!R2111,
    IF(purpose="Purchase",1.00,
        IF(purpose="Remortgage",1.00,
            1.20)))</f>
        <v/>
      </c>
      <c r="L2111">
        <f>LET(
    arrears_months,'Loan Tape (S&amp;P)'!AN2111,
    IF(arrears_months=0,1.00,
    IF(arrears_months=1,3.00,
    IF(arrears_months=2,5.00,
    IF(arrears_months=3,8.00,
    IF(arrears_months=4,10.00,
    IF(arrears_months=5,12.00,15.00)))))))</f>
        <v/>
      </c>
      <c r="M2111">
        <f>LET(
    seasoning_years,DATEDIF('Loan Tape (S&amp;P)'!K2111,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11">
        <f>IF(AND('Loan Tape (S&amp;P)'!U2111="Yes",
        'Loan Tape (S&amp;P)'!T2111&lt;&gt;"Yes",
        DATEDIF('Loan Tape (S&amp;P)'!K2111, TODAY(), "M")&lt;18),
    1.10,
    1.00)</f>
        <v/>
      </c>
      <c r="O2111">
        <f>IF('Loan Tape (S&amp;P)'!T2111="Yes",
    1.35,
    1.00)</f>
        <v/>
      </c>
      <c r="P2111">
        <f>IF('Loan Tape (S&amp;P)'!S2111="Yes",
    1.15,
    1.00)</f>
        <v/>
      </c>
      <c r="Q2111">
        <f>IF('Loan Tape (S&amp;P)'!V2111="Yes",
    1.20,
    1.00)</f>
        <v/>
      </c>
      <c r="T2111">
        <f>LET(
    payment_method,'Loan Tape (S&amp;P)'!P2111,
    occupancy,'Loan Tape (S&amp;P)'!N2111,
    maturity_date,'Loan Tape (S&amp;P)'!L2111,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12">
      <c r="J2112">
        <f>LET(
    lien,'Loan Tape (S&amp;P)'!Q2112,
    IF(lien="First",1.00,
        IF(lien="Second",1.50,
            1.70)))</f>
        <v/>
      </c>
      <c r="K2112">
        <f>LET(
    purpose,'Loan Tape (S&amp;P)'!R2112,
    IF(purpose="Purchase",1.00,
        IF(purpose="Remortgage",1.00,
            1.20)))</f>
        <v/>
      </c>
      <c r="L2112">
        <f>LET(
    arrears_months,'Loan Tape (S&amp;P)'!AN2112,
    IF(arrears_months=0,1.00,
    IF(arrears_months=1,3.00,
    IF(arrears_months=2,5.00,
    IF(arrears_months=3,8.00,
    IF(arrears_months=4,10.00,
    IF(arrears_months=5,12.00,15.00)))))))</f>
        <v/>
      </c>
      <c r="M2112">
        <f>LET(
    seasoning_years,DATEDIF('Loan Tape (S&amp;P)'!K2112,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12">
        <f>IF(AND('Loan Tape (S&amp;P)'!U2112="Yes",
        'Loan Tape (S&amp;P)'!T2112&lt;&gt;"Yes",
        DATEDIF('Loan Tape (S&amp;P)'!K2112, TODAY(), "M")&lt;18),
    1.10,
    1.00)</f>
        <v/>
      </c>
      <c r="O2112">
        <f>IF('Loan Tape (S&amp;P)'!T2112="Yes",
    1.35,
    1.00)</f>
        <v/>
      </c>
      <c r="P2112">
        <f>IF('Loan Tape (S&amp;P)'!S2112="Yes",
    1.15,
    1.00)</f>
        <v/>
      </c>
      <c r="Q2112">
        <f>IF('Loan Tape (S&amp;P)'!V2112="Yes",
    1.20,
    1.00)</f>
        <v/>
      </c>
      <c r="T2112">
        <f>LET(
    payment_method,'Loan Tape (S&amp;P)'!P2112,
    occupancy,'Loan Tape (S&amp;P)'!N2112,
    maturity_date,'Loan Tape (S&amp;P)'!L2112,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13">
      <c r="J2113">
        <f>LET(
    lien,'Loan Tape (S&amp;P)'!Q2113,
    IF(lien="First",1.00,
        IF(lien="Second",1.50,
            1.70)))</f>
        <v/>
      </c>
      <c r="K2113">
        <f>LET(
    purpose,'Loan Tape (S&amp;P)'!R2113,
    IF(purpose="Purchase",1.00,
        IF(purpose="Remortgage",1.00,
            1.20)))</f>
        <v/>
      </c>
      <c r="L2113">
        <f>LET(
    arrears_months,'Loan Tape (S&amp;P)'!AN2113,
    IF(arrears_months=0,1.00,
    IF(arrears_months=1,3.00,
    IF(arrears_months=2,5.00,
    IF(arrears_months=3,8.00,
    IF(arrears_months=4,10.00,
    IF(arrears_months=5,12.00,15.00)))))))</f>
        <v/>
      </c>
      <c r="M2113">
        <f>LET(
    seasoning_years,DATEDIF('Loan Tape (S&amp;P)'!K2113,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13">
        <f>IF(AND('Loan Tape (S&amp;P)'!U2113="Yes",
        'Loan Tape (S&amp;P)'!T2113&lt;&gt;"Yes",
        DATEDIF('Loan Tape (S&amp;P)'!K2113, TODAY(), "M")&lt;18),
    1.10,
    1.00)</f>
        <v/>
      </c>
      <c r="O2113">
        <f>IF('Loan Tape (S&amp;P)'!T2113="Yes",
    1.35,
    1.00)</f>
        <v/>
      </c>
      <c r="P2113">
        <f>IF('Loan Tape (S&amp;P)'!S2113="Yes",
    1.15,
    1.00)</f>
        <v/>
      </c>
      <c r="Q2113">
        <f>IF('Loan Tape (S&amp;P)'!V2113="Yes",
    1.20,
    1.00)</f>
        <v/>
      </c>
      <c r="T2113">
        <f>LET(
    payment_method,'Loan Tape (S&amp;P)'!P2113,
    occupancy,'Loan Tape (S&amp;P)'!N2113,
    maturity_date,'Loan Tape (S&amp;P)'!L2113,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14">
      <c r="J2114">
        <f>LET(
    lien,'Loan Tape (S&amp;P)'!Q2114,
    IF(lien="First",1.00,
        IF(lien="Second",1.50,
            1.70)))</f>
        <v/>
      </c>
      <c r="K2114">
        <f>LET(
    purpose,'Loan Tape (S&amp;P)'!R2114,
    IF(purpose="Purchase",1.00,
        IF(purpose="Remortgage",1.00,
            1.20)))</f>
        <v/>
      </c>
      <c r="L2114">
        <f>LET(
    arrears_months,'Loan Tape (S&amp;P)'!AN2114,
    IF(arrears_months=0,1.00,
    IF(arrears_months=1,3.00,
    IF(arrears_months=2,5.00,
    IF(arrears_months=3,8.00,
    IF(arrears_months=4,10.00,
    IF(arrears_months=5,12.00,15.00)))))))</f>
        <v/>
      </c>
      <c r="M2114">
        <f>LET(
    seasoning_years,DATEDIF('Loan Tape (S&amp;P)'!K2114,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14">
        <f>IF(AND('Loan Tape (S&amp;P)'!U2114="Yes",
        'Loan Tape (S&amp;P)'!T2114&lt;&gt;"Yes",
        DATEDIF('Loan Tape (S&amp;P)'!K2114, TODAY(), "M")&lt;18),
    1.10,
    1.00)</f>
        <v/>
      </c>
      <c r="O2114">
        <f>IF('Loan Tape (S&amp;P)'!T2114="Yes",
    1.35,
    1.00)</f>
        <v/>
      </c>
      <c r="P2114">
        <f>IF('Loan Tape (S&amp;P)'!S2114="Yes",
    1.15,
    1.00)</f>
        <v/>
      </c>
      <c r="Q2114">
        <f>IF('Loan Tape (S&amp;P)'!V2114="Yes",
    1.20,
    1.00)</f>
        <v/>
      </c>
      <c r="T2114">
        <f>LET(
    payment_method,'Loan Tape (S&amp;P)'!P2114,
    occupancy,'Loan Tape (S&amp;P)'!N2114,
    maturity_date,'Loan Tape (S&amp;P)'!L2114,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15">
      <c r="J2115">
        <f>LET(
    lien,'Loan Tape (S&amp;P)'!Q2115,
    IF(lien="First",1.00,
        IF(lien="Second",1.50,
            1.70)))</f>
        <v/>
      </c>
      <c r="K2115">
        <f>LET(
    purpose,'Loan Tape (S&amp;P)'!R2115,
    IF(purpose="Purchase",1.00,
        IF(purpose="Remortgage",1.00,
            1.20)))</f>
        <v/>
      </c>
      <c r="L2115">
        <f>LET(
    arrears_months,'Loan Tape (S&amp;P)'!AN2115,
    IF(arrears_months=0,1.00,
    IF(arrears_months=1,3.00,
    IF(arrears_months=2,5.00,
    IF(arrears_months=3,8.00,
    IF(arrears_months=4,10.00,
    IF(arrears_months=5,12.00,15.00)))))))</f>
        <v/>
      </c>
      <c r="M2115">
        <f>LET(
    seasoning_years,DATEDIF('Loan Tape (S&amp;P)'!K2115,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15">
        <f>IF(AND('Loan Tape (S&amp;P)'!U2115="Yes",
        'Loan Tape (S&amp;P)'!T2115&lt;&gt;"Yes",
        DATEDIF('Loan Tape (S&amp;P)'!K2115, TODAY(), "M")&lt;18),
    1.10,
    1.00)</f>
        <v/>
      </c>
      <c r="O2115">
        <f>IF('Loan Tape (S&amp;P)'!T2115="Yes",
    1.35,
    1.00)</f>
        <v/>
      </c>
      <c r="P2115">
        <f>IF('Loan Tape (S&amp;P)'!S2115="Yes",
    1.15,
    1.00)</f>
        <v/>
      </c>
      <c r="Q2115">
        <f>IF('Loan Tape (S&amp;P)'!V2115="Yes",
    1.20,
    1.00)</f>
        <v/>
      </c>
      <c r="T2115">
        <f>LET(
    payment_method,'Loan Tape (S&amp;P)'!P2115,
    occupancy,'Loan Tape (S&amp;P)'!N2115,
    maturity_date,'Loan Tape (S&amp;P)'!L2115,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16">
      <c r="J2116">
        <f>LET(
    lien,'Loan Tape (S&amp;P)'!Q2116,
    IF(lien="First",1.00,
        IF(lien="Second",1.50,
            1.70)))</f>
        <v/>
      </c>
      <c r="K2116">
        <f>LET(
    purpose,'Loan Tape (S&amp;P)'!R2116,
    IF(purpose="Purchase",1.00,
        IF(purpose="Remortgage",1.00,
            1.20)))</f>
        <v/>
      </c>
      <c r="L2116">
        <f>LET(
    arrears_months,'Loan Tape (S&amp;P)'!AN2116,
    IF(arrears_months=0,1.00,
    IF(arrears_months=1,3.00,
    IF(arrears_months=2,5.00,
    IF(arrears_months=3,8.00,
    IF(arrears_months=4,10.00,
    IF(arrears_months=5,12.00,15.00)))))))</f>
        <v/>
      </c>
      <c r="M2116">
        <f>LET(
    seasoning_years,DATEDIF('Loan Tape (S&amp;P)'!K2116,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16">
        <f>IF(AND('Loan Tape (S&amp;P)'!U2116="Yes",
        'Loan Tape (S&amp;P)'!T2116&lt;&gt;"Yes",
        DATEDIF('Loan Tape (S&amp;P)'!K2116, TODAY(), "M")&lt;18),
    1.10,
    1.00)</f>
        <v/>
      </c>
      <c r="O2116">
        <f>IF('Loan Tape (S&amp;P)'!T2116="Yes",
    1.35,
    1.00)</f>
        <v/>
      </c>
      <c r="P2116">
        <f>IF('Loan Tape (S&amp;P)'!S2116="Yes",
    1.15,
    1.00)</f>
        <v/>
      </c>
      <c r="Q2116">
        <f>IF('Loan Tape (S&amp;P)'!V2116="Yes",
    1.20,
    1.00)</f>
        <v/>
      </c>
      <c r="T2116">
        <f>LET(
    payment_method,'Loan Tape (S&amp;P)'!P2116,
    occupancy,'Loan Tape (S&amp;P)'!N2116,
    maturity_date,'Loan Tape (S&amp;P)'!L2116,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17">
      <c r="J2117">
        <f>LET(
    lien,'Loan Tape (S&amp;P)'!Q2117,
    IF(lien="First",1.00,
        IF(lien="Second",1.50,
            1.70)))</f>
        <v/>
      </c>
      <c r="K2117">
        <f>LET(
    purpose,'Loan Tape (S&amp;P)'!R2117,
    IF(purpose="Purchase",1.00,
        IF(purpose="Remortgage",1.00,
            1.20)))</f>
        <v/>
      </c>
      <c r="L2117">
        <f>LET(
    arrears_months,'Loan Tape (S&amp;P)'!AN2117,
    IF(arrears_months=0,1.00,
    IF(arrears_months=1,3.00,
    IF(arrears_months=2,5.00,
    IF(arrears_months=3,8.00,
    IF(arrears_months=4,10.00,
    IF(arrears_months=5,12.00,15.00)))))))</f>
        <v/>
      </c>
      <c r="M2117">
        <f>LET(
    seasoning_years,DATEDIF('Loan Tape (S&amp;P)'!K2117,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17">
        <f>IF(AND('Loan Tape (S&amp;P)'!U2117="Yes",
        'Loan Tape (S&amp;P)'!T2117&lt;&gt;"Yes",
        DATEDIF('Loan Tape (S&amp;P)'!K2117, TODAY(), "M")&lt;18),
    1.10,
    1.00)</f>
        <v/>
      </c>
      <c r="O2117">
        <f>IF('Loan Tape (S&amp;P)'!T2117="Yes",
    1.35,
    1.00)</f>
        <v/>
      </c>
      <c r="P2117">
        <f>IF('Loan Tape (S&amp;P)'!S2117="Yes",
    1.15,
    1.00)</f>
        <v/>
      </c>
      <c r="Q2117">
        <f>IF('Loan Tape (S&amp;P)'!V2117="Yes",
    1.20,
    1.00)</f>
        <v/>
      </c>
      <c r="T2117">
        <f>LET(
    payment_method,'Loan Tape (S&amp;P)'!P2117,
    occupancy,'Loan Tape (S&amp;P)'!N2117,
    maturity_date,'Loan Tape (S&amp;P)'!L2117,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18">
      <c r="J2118">
        <f>LET(
    lien,'Loan Tape (S&amp;P)'!Q2118,
    IF(lien="First",1.00,
        IF(lien="Second",1.50,
            1.70)))</f>
        <v/>
      </c>
      <c r="K2118">
        <f>LET(
    purpose,'Loan Tape (S&amp;P)'!R2118,
    IF(purpose="Purchase",1.00,
        IF(purpose="Remortgage",1.00,
            1.20)))</f>
        <v/>
      </c>
      <c r="L2118">
        <f>LET(
    arrears_months,'Loan Tape (S&amp;P)'!AN2118,
    IF(arrears_months=0,1.00,
    IF(arrears_months=1,3.00,
    IF(arrears_months=2,5.00,
    IF(arrears_months=3,8.00,
    IF(arrears_months=4,10.00,
    IF(arrears_months=5,12.00,15.00)))))))</f>
        <v/>
      </c>
      <c r="M2118">
        <f>LET(
    seasoning_years,DATEDIF('Loan Tape (S&amp;P)'!K2118,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18">
        <f>IF(AND('Loan Tape (S&amp;P)'!U2118="Yes",
        'Loan Tape (S&amp;P)'!T2118&lt;&gt;"Yes",
        DATEDIF('Loan Tape (S&amp;P)'!K2118, TODAY(), "M")&lt;18),
    1.10,
    1.00)</f>
        <v/>
      </c>
      <c r="O2118">
        <f>IF('Loan Tape (S&amp;P)'!T2118="Yes",
    1.35,
    1.00)</f>
        <v/>
      </c>
      <c r="P2118">
        <f>IF('Loan Tape (S&amp;P)'!S2118="Yes",
    1.15,
    1.00)</f>
        <v/>
      </c>
      <c r="Q2118">
        <f>IF('Loan Tape (S&amp;P)'!V2118="Yes",
    1.20,
    1.00)</f>
        <v/>
      </c>
      <c r="T2118">
        <f>LET(
    payment_method,'Loan Tape (S&amp;P)'!P2118,
    occupancy,'Loan Tape (S&amp;P)'!N2118,
    maturity_date,'Loan Tape (S&amp;P)'!L2118,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19">
      <c r="J2119">
        <f>LET(
    lien,'Loan Tape (S&amp;P)'!Q2119,
    IF(lien="First",1.00,
        IF(lien="Second",1.50,
            1.70)))</f>
        <v/>
      </c>
      <c r="K2119">
        <f>LET(
    purpose,'Loan Tape (S&amp;P)'!R2119,
    IF(purpose="Purchase",1.00,
        IF(purpose="Remortgage",1.00,
            1.20)))</f>
        <v/>
      </c>
      <c r="L2119">
        <f>LET(
    arrears_months,'Loan Tape (S&amp;P)'!AN2119,
    IF(arrears_months=0,1.00,
    IF(arrears_months=1,3.00,
    IF(arrears_months=2,5.00,
    IF(arrears_months=3,8.00,
    IF(arrears_months=4,10.00,
    IF(arrears_months=5,12.00,15.00)))))))</f>
        <v/>
      </c>
      <c r="M2119">
        <f>LET(
    seasoning_years,DATEDIF('Loan Tape (S&amp;P)'!K2119,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19">
        <f>IF(AND('Loan Tape (S&amp;P)'!U2119="Yes",
        'Loan Tape (S&amp;P)'!T2119&lt;&gt;"Yes",
        DATEDIF('Loan Tape (S&amp;P)'!K2119, TODAY(), "M")&lt;18),
    1.10,
    1.00)</f>
        <v/>
      </c>
      <c r="O2119">
        <f>IF('Loan Tape (S&amp;P)'!T2119="Yes",
    1.35,
    1.00)</f>
        <v/>
      </c>
      <c r="P2119">
        <f>IF('Loan Tape (S&amp;P)'!S2119="Yes",
    1.15,
    1.00)</f>
        <v/>
      </c>
      <c r="Q2119">
        <f>IF('Loan Tape (S&amp;P)'!V2119="Yes",
    1.20,
    1.00)</f>
        <v/>
      </c>
      <c r="T2119">
        <f>LET(
    payment_method,'Loan Tape (S&amp;P)'!P2119,
    occupancy,'Loan Tape (S&amp;P)'!N2119,
    maturity_date,'Loan Tape (S&amp;P)'!L2119,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20">
      <c r="J2120">
        <f>LET(
    lien,'Loan Tape (S&amp;P)'!Q2120,
    IF(lien="First",1.00,
        IF(lien="Second",1.50,
            1.70)))</f>
        <v/>
      </c>
      <c r="K2120">
        <f>LET(
    purpose,'Loan Tape (S&amp;P)'!R2120,
    IF(purpose="Purchase",1.00,
        IF(purpose="Remortgage",1.00,
            1.20)))</f>
        <v/>
      </c>
      <c r="L2120">
        <f>LET(
    arrears_months,'Loan Tape (S&amp;P)'!AN2120,
    IF(arrears_months=0,1.00,
    IF(arrears_months=1,3.00,
    IF(arrears_months=2,5.00,
    IF(arrears_months=3,8.00,
    IF(arrears_months=4,10.00,
    IF(arrears_months=5,12.00,15.00)))))))</f>
        <v/>
      </c>
      <c r="M2120">
        <f>LET(
    seasoning_years,DATEDIF('Loan Tape (S&amp;P)'!K2120,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20">
        <f>IF(AND('Loan Tape (S&amp;P)'!U2120="Yes",
        'Loan Tape (S&amp;P)'!T2120&lt;&gt;"Yes",
        DATEDIF('Loan Tape (S&amp;P)'!K2120, TODAY(), "M")&lt;18),
    1.10,
    1.00)</f>
        <v/>
      </c>
      <c r="O2120">
        <f>IF('Loan Tape (S&amp;P)'!T2120="Yes",
    1.35,
    1.00)</f>
        <v/>
      </c>
      <c r="P2120">
        <f>IF('Loan Tape (S&amp;P)'!S2120="Yes",
    1.15,
    1.00)</f>
        <v/>
      </c>
      <c r="Q2120">
        <f>IF('Loan Tape (S&amp;P)'!V2120="Yes",
    1.20,
    1.00)</f>
        <v/>
      </c>
      <c r="T2120">
        <f>LET(
    payment_method,'Loan Tape (S&amp;P)'!P2120,
    occupancy,'Loan Tape (S&amp;P)'!N2120,
    maturity_date,'Loan Tape (S&amp;P)'!L2120,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21">
      <c r="J2121">
        <f>LET(
    lien,'Loan Tape (S&amp;P)'!Q2121,
    IF(lien="First",1.00,
        IF(lien="Second",1.50,
            1.70)))</f>
        <v/>
      </c>
      <c r="K2121">
        <f>LET(
    purpose,'Loan Tape (S&amp;P)'!R2121,
    IF(purpose="Purchase",1.00,
        IF(purpose="Remortgage",1.00,
            1.20)))</f>
        <v/>
      </c>
      <c r="L2121">
        <f>LET(
    arrears_months,'Loan Tape (S&amp;P)'!AN2121,
    IF(arrears_months=0,1.00,
    IF(arrears_months=1,3.00,
    IF(arrears_months=2,5.00,
    IF(arrears_months=3,8.00,
    IF(arrears_months=4,10.00,
    IF(arrears_months=5,12.00,15.00)))))))</f>
        <v/>
      </c>
      <c r="M2121">
        <f>LET(
    seasoning_years,DATEDIF('Loan Tape (S&amp;P)'!K2121,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21">
        <f>IF(AND('Loan Tape (S&amp;P)'!U2121="Yes",
        'Loan Tape (S&amp;P)'!T2121&lt;&gt;"Yes",
        DATEDIF('Loan Tape (S&amp;P)'!K2121, TODAY(), "M")&lt;18),
    1.10,
    1.00)</f>
        <v/>
      </c>
      <c r="O2121">
        <f>IF('Loan Tape (S&amp;P)'!T2121="Yes",
    1.35,
    1.00)</f>
        <v/>
      </c>
      <c r="P2121">
        <f>IF('Loan Tape (S&amp;P)'!S2121="Yes",
    1.15,
    1.00)</f>
        <v/>
      </c>
      <c r="Q2121">
        <f>IF('Loan Tape (S&amp;P)'!V2121="Yes",
    1.20,
    1.00)</f>
        <v/>
      </c>
      <c r="T2121">
        <f>LET(
    payment_method,'Loan Tape (S&amp;P)'!P2121,
    occupancy,'Loan Tape (S&amp;P)'!N2121,
    maturity_date,'Loan Tape (S&amp;P)'!L2121,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22">
      <c r="J2122">
        <f>LET(
    lien,'Loan Tape (S&amp;P)'!Q2122,
    IF(lien="First",1.00,
        IF(lien="Second",1.50,
            1.70)))</f>
        <v/>
      </c>
      <c r="K2122">
        <f>LET(
    purpose,'Loan Tape (S&amp;P)'!R2122,
    IF(purpose="Purchase",1.00,
        IF(purpose="Remortgage",1.00,
            1.20)))</f>
        <v/>
      </c>
      <c r="L2122">
        <f>LET(
    arrears_months,'Loan Tape (S&amp;P)'!AN2122,
    IF(arrears_months=0,1.00,
    IF(arrears_months=1,3.00,
    IF(arrears_months=2,5.00,
    IF(arrears_months=3,8.00,
    IF(arrears_months=4,10.00,
    IF(arrears_months=5,12.00,15.00)))))))</f>
        <v/>
      </c>
      <c r="M2122">
        <f>LET(
    seasoning_years,DATEDIF('Loan Tape (S&amp;P)'!K2122,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22">
        <f>IF(AND('Loan Tape (S&amp;P)'!U2122="Yes",
        'Loan Tape (S&amp;P)'!T2122&lt;&gt;"Yes",
        DATEDIF('Loan Tape (S&amp;P)'!K2122, TODAY(), "M")&lt;18),
    1.10,
    1.00)</f>
        <v/>
      </c>
      <c r="O2122">
        <f>IF('Loan Tape (S&amp;P)'!T2122="Yes",
    1.35,
    1.00)</f>
        <v/>
      </c>
      <c r="P2122">
        <f>IF('Loan Tape (S&amp;P)'!S2122="Yes",
    1.15,
    1.00)</f>
        <v/>
      </c>
      <c r="Q2122">
        <f>IF('Loan Tape (S&amp;P)'!V2122="Yes",
    1.20,
    1.00)</f>
        <v/>
      </c>
      <c r="T2122">
        <f>LET(
    payment_method,'Loan Tape (S&amp;P)'!P2122,
    occupancy,'Loan Tape (S&amp;P)'!N2122,
    maturity_date,'Loan Tape (S&amp;P)'!L2122,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23">
      <c r="J2123">
        <f>LET(
    lien,'Loan Tape (S&amp;P)'!Q2123,
    IF(lien="First",1.00,
        IF(lien="Second",1.50,
            1.70)))</f>
        <v/>
      </c>
      <c r="K2123">
        <f>LET(
    purpose,'Loan Tape (S&amp;P)'!R2123,
    IF(purpose="Purchase",1.00,
        IF(purpose="Remortgage",1.00,
            1.20)))</f>
        <v/>
      </c>
      <c r="L2123">
        <f>LET(
    arrears_months,'Loan Tape (S&amp;P)'!AN2123,
    IF(arrears_months=0,1.00,
    IF(arrears_months=1,3.00,
    IF(arrears_months=2,5.00,
    IF(arrears_months=3,8.00,
    IF(arrears_months=4,10.00,
    IF(arrears_months=5,12.00,15.00)))))))</f>
        <v/>
      </c>
      <c r="M2123">
        <f>LET(
    seasoning_years,DATEDIF('Loan Tape (S&amp;P)'!K2123,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23">
        <f>IF(AND('Loan Tape (S&amp;P)'!U2123="Yes",
        'Loan Tape (S&amp;P)'!T2123&lt;&gt;"Yes",
        DATEDIF('Loan Tape (S&amp;P)'!K2123, TODAY(), "M")&lt;18),
    1.10,
    1.00)</f>
        <v/>
      </c>
      <c r="O2123">
        <f>IF('Loan Tape (S&amp;P)'!T2123="Yes",
    1.35,
    1.00)</f>
        <v/>
      </c>
      <c r="P2123">
        <f>IF('Loan Tape (S&amp;P)'!S2123="Yes",
    1.15,
    1.00)</f>
        <v/>
      </c>
      <c r="Q2123">
        <f>IF('Loan Tape (S&amp;P)'!V2123="Yes",
    1.20,
    1.00)</f>
        <v/>
      </c>
      <c r="T2123">
        <f>LET(
    payment_method,'Loan Tape (S&amp;P)'!P2123,
    occupancy,'Loan Tape (S&amp;P)'!N2123,
    maturity_date,'Loan Tape (S&amp;P)'!L2123,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24">
      <c r="J2124">
        <f>LET(
    lien,'Loan Tape (S&amp;P)'!Q2124,
    IF(lien="First",1.00,
        IF(lien="Second",1.50,
            1.70)))</f>
        <v/>
      </c>
      <c r="K2124">
        <f>LET(
    purpose,'Loan Tape (S&amp;P)'!R2124,
    IF(purpose="Purchase",1.00,
        IF(purpose="Remortgage",1.00,
            1.20)))</f>
        <v/>
      </c>
      <c r="L2124">
        <f>LET(
    arrears_months,'Loan Tape (S&amp;P)'!AN2124,
    IF(arrears_months=0,1.00,
    IF(arrears_months=1,3.00,
    IF(arrears_months=2,5.00,
    IF(arrears_months=3,8.00,
    IF(arrears_months=4,10.00,
    IF(arrears_months=5,12.00,15.00)))))))</f>
        <v/>
      </c>
      <c r="M2124">
        <f>LET(
    seasoning_years,DATEDIF('Loan Tape (S&amp;P)'!K2124,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24">
        <f>IF(AND('Loan Tape (S&amp;P)'!U2124="Yes",
        'Loan Tape (S&amp;P)'!T2124&lt;&gt;"Yes",
        DATEDIF('Loan Tape (S&amp;P)'!K2124, TODAY(), "M")&lt;18),
    1.10,
    1.00)</f>
        <v/>
      </c>
      <c r="O2124">
        <f>IF('Loan Tape (S&amp;P)'!T2124="Yes",
    1.35,
    1.00)</f>
        <v/>
      </c>
      <c r="P2124">
        <f>IF('Loan Tape (S&amp;P)'!S2124="Yes",
    1.15,
    1.00)</f>
        <v/>
      </c>
      <c r="Q2124">
        <f>IF('Loan Tape (S&amp;P)'!V2124="Yes",
    1.20,
    1.00)</f>
        <v/>
      </c>
      <c r="T2124">
        <f>LET(
    payment_method,'Loan Tape (S&amp;P)'!P2124,
    occupancy,'Loan Tape (S&amp;P)'!N2124,
    maturity_date,'Loan Tape (S&amp;P)'!L2124,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25">
      <c r="J2125">
        <f>LET(
    lien,'Loan Tape (S&amp;P)'!Q2125,
    IF(lien="First",1.00,
        IF(lien="Second",1.50,
            1.70)))</f>
        <v/>
      </c>
      <c r="K2125">
        <f>LET(
    purpose,'Loan Tape (S&amp;P)'!R2125,
    IF(purpose="Purchase",1.00,
        IF(purpose="Remortgage",1.00,
            1.20)))</f>
        <v/>
      </c>
      <c r="L2125">
        <f>LET(
    arrears_months,'Loan Tape (S&amp;P)'!AN2125,
    IF(arrears_months=0,1.00,
    IF(arrears_months=1,3.00,
    IF(arrears_months=2,5.00,
    IF(arrears_months=3,8.00,
    IF(arrears_months=4,10.00,
    IF(arrears_months=5,12.00,15.00)))))))</f>
        <v/>
      </c>
      <c r="M2125">
        <f>LET(
    seasoning_years,DATEDIF('Loan Tape (S&amp;P)'!K2125,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25">
        <f>IF(AND('Loan Tape (S&amp;P)'!U2125="Yes",
        'Loan Tape (S&amp;P)'!T2125&lt;&gt;"Yes",
        DATEDIF('Loan Tape (S&amp;P)'!K2125, TODAY(), "M")&lt;18),
    1.10,
    1.00)</f>
        <v/>
      </c>
      <c r="O2125">
        <f>IF('Loan Tape (S&amp;P)'!T2125="Yes",
    1.35,
    1.00)</f>
        <v/>
      </c>
      <c r="P2125">
        <f>IF('Loan Tape (S&amp;P)'!S2125="Yes",
    1.15,
    1.00)</f>
        <v/>
      </c>
      <c r="Q2125">
        <f>IF('Loan Tape (S&amp;P)'!V2125="Yes",
    1.20,
    1.00)</f>
        <v/>
      </c>
      <c r="T2125">
        <f>LET(
    payment_method,'Loan Tape (S&amp;P)'!P2125,
    occupancy,'Loan Tape (S&amp;P)'!N2125,
    maturity_date,'Loan Tape (S&amp;P)'!L2125,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26">
      <c r="J2126">
        <f>LET(
    lien,'Loan Tape (S&amp;P)'!Q2126,
    IF(lien="First",1.00,
        IF(lien="Second",1.50,
            1.70)))</f>
        <v/>
      </c>
      <c r="K2126">
        <f>LET(
    purpose,'Loan Tape (S&amp;P)'!R2126,
    IF(purpose="Purchase",1.00,
        IF(purpose="Remortgage",1.00,
            1.20)))</f>
        <v/>
      </c>
      <c r="L2126">
        <f>LET(
    arrears_months,'Loan Tape (S&amp;P)'!AN2126,
    IF(arrears_months=0,1.00,
    IF(arrears_months=1,3.00,
    IF(arrears_months=2,5.00,
    IF(arrears_months=3,8.00,
    IF(arrears_months=4,10.00,
    IF(arrears_months=5,12.00,15.00)))))))</f>
        <v/>
      </c>
      <c r="M2126">
        <f>LET(
    seasoning_years,DATEDIF('Loan Tape (S&amp;P)'!K2126,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26">
        <f>IF(AND('Loan Tape (S&amp;P)'!U2126="Yes",
        'Loan Tape (S&amp;P)'!T2126&lt;&gt;"Yes",
        DATEDIF('Loan Tape (S&amp;P)'!K2126, TODAY(), "M")&lt;18),
    1.10,
    1.00)</f>
        <v/>
      </c>
      <c r="O2126">
        <f>IF('Loan Tape (S&amp;P)'!T2126="Yes",
    1.35,
    1.00)</f>
        <v/>
      </c>
      <c r="P2126">
        <f>IF('Loan Tape (S&amp;P)'!S2126="Yes",
    1.15,
    1.00)</f>
        <v/>
      </c>
      <c r="Q2126">
        <f>IF('Loan Tape (S&amp;P)'!V2126="Yes",
    1.20,
    1.00)</f>
        <v/>
      </c>
      <c r="T2126">
        <f>LET(
    payment_method,'Loan Tape (S&amp;P)'!P2126,
    occupancy,'Loan Tape (S&amp;P)'!N2126,
    maturity_date,'Loan Tape (S&amp;P)'!L2126,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27">
      <c r="J2127">
        <f>LET(
    lien,'Loan Tape (S&amp;P)'!Q2127,
    IF(lien="First",1.00,
        IF(lien="Second",1.50,
            1.70)))</f>
        <v/>
      </c>
      <c r="K2127">
        <f>LET(
    purpose,'Loan Tape (S&amp;P)'!R2127,
    IF(purpose="Purchase",1.00,
        IF(purpose="Remortgage",1.00,
            1.20)))</f>
        <v/>
      </c>
      <c r="L2127">
        <f>LET(
    arrears_months,'Loan Tape (S&amp;P)'!AN2127,
    IF(arrears_months=0,1.00,
    IF(arrears_months=1,3.00,
    IF(arrears_months=2,5.00,
    IF(arrears_months=3,8.00,
    IF(arrears_months=4,10.00,
    IF(arrears_months=5,12.00,15.00)))))))</f>
        <v/>
      </c>
      <c r="M2127">
        <f>LET(
    seasoning_years,DATEDIF('Loan Tape (S&amp;P)'!K2127,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27">
        <f>IF(AND('Loan Tape (S&amp;P)'!U2127="Yes",
        'Loan Tape (S&amp;P)'!T2127&lt;&gt;"Yes",
        DATEDIF('Loan Tape (S&amp;P)'!K2127, TODAY(), "M")&lt;18),
    1.10,
    1.00)</f>
        <v/>
      </c>
      <c r="O2127">
        <f>IF('Loan Tape (S&amp;P)'!T2127="Yes",
    1.35,
    1.00)</f>
        <v/>
      </c>
      <c r="P2127">
        <f>IF('Loan Tape (S&amp;P)'!S2127="Yes",
    1.15,
    1.00)</f>
        <v/>
      </c>
      <c r="Q2127">
        <f>IF('Loan Tape (S&amp;P)'!V2127="Yes",
    1.20,
    1.00)</f>
        <v/>
      </c>
      <c r="T2127">
        <f>LET(
    payment_method,'Loan Tape (S&amp;P)'!P2127,
    occupancy,'Loan Tape (S&amp;P)'!N2127,
    maturity_date,'Loan Tape (S&amp;P)'!L2127,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28">
      <c r="J2128">
        <f>LET(
    lien,'Loan Tape (S&amp;P)'!Q2128,
    IF(lien="First",1.00,
        IF(lien="Second",1.50,
            1.70)))</f>
        <v/>
      </c>
      <c r="K2128">
        <f>LET(
    purpose,'Loan Tape (S&amp;P)'!R2128,
    IF(purpose="Purchase",1.00,
        IF(purpose="Remortgage",1.00,
            1.20)))</f>
        <v/>
      </c>
      <c r="L2128">
        <f>LET(
    arrears_months,'Loan Tape (S&amp;P)'!AN2128,
    IF(arrears_months=0,1.00,
    IF(arrears_months=1,3.00,
    IF(arrears_months=2,5.00,
    IF(arrears_months=3,8.00,
    IF(arrears_months=4,10.00,
    IF(arrears_months=5,12.00,15.00)))))))</f>
        <v/>
      </c>
      <c r="M2128">
        <f>LET(
    seasoning_years,DATEDIF('Loan Tape (S&amp;P)'!K2128,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28">
        <f>IF(AND('Loan Tape (S&amp;P)'!U2128="Yes",
        'Loan Tape (S&amp;P)'!T2128&lt;&gt;"Yes",
        DATEDIF('Loan Tape (S&amp;P)'!K2128, TODAY(), "M")&lt;18),
    1.10,
    1.00)</f>
        <v/>
      </c>
      <c r="O2128">
        <f>IF('Loan Tape (S&amp;P)'!T2128="Yes",
    1.35,
    1.00)</f>
        <v/>
      </c>
      <c r="P2128">
        <f>IF('Loan Tape (S&amp;P)'!S2128="Yes",
    1.15,
    1.00)</f>
        <v/>
      </c>
      <c r="Q2128">
        <f>IF('Loan Tape (S&amp;P)'!V2128="Yes",
    1.20,
    1.00)</f>
        <v/>
      </c>
      <c r="T2128">
        <f>LET(
    payment_method,'Loan Tape (S&amp;P)'!P2128,
    occupancy,'Loan Tape (S&amp;P)'!N2128,
    maturity_date,'Loan Tape (S&amp;P)'!L2128,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29">
      <c r="J2129">
        <f>LET(
    lien,'Loan Tape (S&amp;P)'!Q2129,
    IF(lien="First",1.00,
        IF(lien="Second",1.50,
            1.70)))</f>
        <v/>
      </c>
      <c r="K2129">
        <f>LET(
    purpose,'Loan Tape (S&amp;P)'!R2129,
    IF(purpose="Purchase",1.00,
        IF(purpose="Remortgage",1.00,
            1.20)))</f>
        <v/>
      </c>
      <c r="L2129">
        <f>LET(
    arrears_months,'Loan Tape (S&amp;P)'!AN2129,
    IF(arrears_months=0,1.00,
    IF(arrears_months=1,3.00,
    IF(arrears_months=2,5.00,
    IF(arrears_months=3,8.00,
    IF(arrears_months=4,10.00,
    IF(arrears_months=5,12.00,15.00)))))))</f>
        <v/>
      </c>
      <c r="M2129">
        <f>LET(
    seasoning_years,DATEDIF('Loan Tape (S&amp;P)'!K2129,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29">
        <f>IF(AND('Loan Tape (S&amp;P)'!U2129="Yes",
        'Loan Tape (S&amp;P)'!T2129&lt;&gt;"Yes",
        DATEDIF('Loan Tape (S&amp;P)'!K2129, TODAY(), "M")&lt;18),
    1.10,
    1.00)</f>
        <v/>
      </c>
      <c r="O2129">
        <f>IF('Loan Tape (S&amp;P)'!T2129="Yes",
    1.35,
    1.00)</f>
        <v/>
      </c>
      <c r="P2129">
        <f>IF('Loan Tape (S&amp;P)'!S2129="Yes",
    1.15,
    1.00)</f>
        <v/>
      </c>
      <c r="Q2129">
        <f>IF('Loan Tape (S&amp;P)'!V2129="Yes",
    1.20,
    1.00)</f>
        <v/>
      </c>
      <c r="T2129">
        <f>LET(
    payment_method,'Loan Tape (S&amp;P)'!P2129,
    occupancy,'Loan Tape (S&amp;P)'!N2129,
    maturity_date,'Loan Tape (S&amp;P)'!L2129,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30">
      <c r="J2130">
        <f>LET(
    lien,'Loan Tape (S&amp;P)'!Q2130,
    IF(lien="First",1.00,
        IF(lien="Second",1.50,
            1.70)))</f>
        <v/>
      </c>
      <c r="K2130">
        <f>LET(
    purpose,'Loan Tape (S&amp;P)'!R2130,
    IF(purpose="Purchase",1.00,
        IF(purpose="Remortgage",1.00,
            1.20)))</f>
        <v/>
      </c>
      <c r="L2130">
        <f>LET(
    arrears_months,'Loan Tape (S&amp;P)'!AN2130,
    IF(arrears_months=0,1.00,
    IF(arrears_months=1,3.00,
    IF(arrears_months=2,5.00,
    IF(arrears_months=3,8.00,
    IF(arrears_months=4,10.00,
    IF(arrears_months=5,12.00,15.00)))))))</f>
        <v/>
      </c>
      <c r="M2130">
        <f>LET(
    seasoning_years,DATEDIF('Loan Tape (S&amp;P)'!K2130,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30">
        <f>IF(AND('Loan Tape (S&amp;P)'!U2130="Yes",
        'Loan Tape (S&amp;P)'!T2130&lt;&gt;"Yes",
        DATEDIF('Loan Tape (S&amp;P)'!K2130, TODAY(), "M")&lt;18),
    1.10,
    1.00)</f>
        <v/>
      </c>
      <c r="O2130">
        <f>IF('Loan Tape (S&amp;P)'!T2130="Yes",
    1.35,
    1.00)</f>
        <v/>
      </c>
      <c r="P2130">
        <f>IF('Loan Tape (S&amp;P)'!S2130="Yes",
    1.15,
    1.00)</f>
        <v/>
      </c>
      <c r="Q2130">
        <f>IF('Loan Tape (S&amp;P)'!V2130="Yes",
    1.20,
    1.00)</f>
        <v/>
      </c>
      <c r="T2130">
        <f>LET(
    payment_method,'Loan Tape (S&amp;P)'!P2130,
    occupancy,'Loan Tape (S&amp;P)'!N2130,
    maturity_date,'Loan Tape (S&amp;P)'!L2130,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31">
      <c r="J2131">
        <f>LET(
    lien,'Loan Tape (S&amp;P)'!Q2131,
    IF(lien="First",1.00,
        IF(lien="Second",1.50,
            1.70)))</f>
        <v/>
      </c>
      <c r="K2131">
        <f>LET(
    purpose,'Loan Tape (S&amp;P)'!R2131,
    IF(purpose="Purchase",1.00,
        IF(purpose="Remortgage",1.00,
            1.20)))</f>
        <v/>
      </c>
      <c r="L2131">
        <f>LET(
    arrears_months,'Loan Tape (S&amp;P)'!AN2131,
    IF(arrears_months=0,1.00,
    IF(arrears_months=1,3.00,
    IF(arrears_months=2,5.00,
    IF(arrears_months=3,8.00,
    IF(arrears_months=4,10.00,
    IF(arrears_months=5,12.00,15.00)))))))</f>
        <v/>
      </c>
      <c r="M2131">
        <f>LET(
    seasoning_years,DATEDIF('Loan Tape (S&amp;P)'!K2131,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31">
        <f>IF(AND('Loan Tape (S&amp;P)'!U2131="Yes",
        'Loan Tape (S&amp;P)'!T2131&lt;&gt;"Yes",
        DATEDIF('Loan Tape (S&amp;P)'!K2131, TODAY(), "M")&lt;18),
    1.10,
    1.00)</f>
        <v/>
      </c>
      <c r="O2131">
        <f>IF('Loan Tape (S&amp;P)'!T2131="Yes",
    1.35,
    1.00)</f>
        <v/>
      </c>
      <c r="P2131">
        <f>IF('Loan Tape (S&amp;P)'!S2131="Yes",
    1.15,
    1.00)</f>
        <v/>
      </c>
      <c r="Q2131">
        <f>IF('Loan Tape (S&amp;P)'!V2131="Yes",
    1.20,
    1.00)</f>
        <v/>
      </c>
      <c r="T2131">
        <f>LET(
    payment_method,'Loan Tape (S&amp;P)'!P2131,
    occupancy,'Loan Tape (S&amp;P)'!N2131,
    maturity_date,'Loan Tape (S&amp;P)'!L2131,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32">
      <c r="J2132">
        <f>LET(
    lien,'Loan Tape (S&amp;P)'!Q2132,
    IF(lien="First",1.00,
        IF(lien="Second",1.50,
            1.70)))</f>
        <v/>
      </c>
      <c r="K2132">
        <f>LET(
    purpose,'Loan Tape (S&amp;P)'!R2132,
    IF(purpose="Purchase",1.00,
        IF(purpose="Remortgage",1.00,
            1.20)))</f>
        <v/>
      </c>
      <c r="L2132">
        <f>LET(
    arrears_months,'Loan Tape (S&amp;P)'!AN2132,
    IF(arrears_months=0,1.00,
    IF(arrears_months=1,3.00,
    IF(arrears_months=2,5.00,
    IF(arrears_months=3,8.00,
    IF(arrears_months=4,10.00,
    IF(arrears_months=5,12.00,15.00)))))))</f>
        <v/>
      </c>
      <c r="M2132">
        <f>LET(
    seasoning_years,DATEDIF('Loan Tape (S&amp;P)'!K2132,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32">
        <f>IF(AND('Loan Tape (S&amp;P)'!U2132="Yes",
        'Loan Tape (S&amp;P)'!T2132&lt;&gt;"Yes",
        DATEDIF('Loan Tape (S&amp;P)'!K2132, TODAY(), "M")&lt;18),
    1.10,
    1.00)</f>
        <v/>
      </c>
      <c r="O2132">
        <f>IF('Loan Tape (S&amp;P)'!T2132="Yes",
    1.35,
    1.00)</f>
        <v/>
      </c>
      <c r="P2132">
        <f>IF('Loan Tape (S&amp;P)'!S2132="Yes",
    1.15,
    1.00)</f>
        <v/>
      </c>
      <c r="Q2132">
        <f>IF('Loan Tape (S&amp;P)'!V2132="Yes",
    1.20,
    1.00)</f>
        <v/>
      </c>
      <c r="T2132">
        <f>LET(
    payment_method,'Loan Tape (S&amp;P)'!P2132,
    occupancy,'Loan Tape (S&amp;P)'!N2132,
    maturity_date,'Loan Tape (S&amp;P)'!L2132,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33">
      <c r="J2133">
        <f>LET(
    lien,'Loan Tape (S&amp;P)'!Q2133,
    IF(lien="First",1.00,
        IF(lien="Second",1.50,
            1.70)))</f>
        <v/>
      </c>
      <c r="K2133">
        <f>LET(
    purpose,'Loan Tape (S&amp;P)'!R2133,
    IF(purpose="Purchase",1.00,
        IF(purpose="Remortgage",1.00,
            1.20)))</f>
        <v/>
      </c>
      <c r="L2133">
        <f>LET(
    arrears_months,'Loan Tape (S&amp;P)'!AN2133,
    IF(arrears_months=0,1.00,
    IF(arrears_months=1,3.00,
    IF(arrears_months=2,5.00,
    IF(arrears_months=3,8.00,
    IF(arrears_months=4,10.00,
    IF(arrears_months=5,12.00,15.00)))))))</f>
        <v/>
      </c>
      <c r="M2133">
        <f>LET(
    seasoning_years,DATEDIF('Loan Tape (S&amp;P)'!K2133,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33">
        <f>IF(AND('Loan Tape (S&amp;P)'!U2133="Yes",
        'Loan Tape (S&amp;P)'!T2133&lt;&gt;"Yes",
        DATEDIF('Loan Tape (S&amp;P)'!K2133, TODAY(), "M")&lt;18),
    1.10,
    1.00)</f>
        <v/>
      </c>
      <c r="O2133">
        <f>IF('Loan Tape (S&amp;P)'!T2133="Yes",
    1.35,
    1.00)</f>
        <v/>
      </c>
      <c r="P2133">
        <f>IF('Loan Tape (S&amp;P)'!S2133="Yes",
    1.15,
    1.00)</f>
        <v/>
      </c>
      <c r="Q2133">
        <f>IF('Loan Tape (S&amp;P)'!V2133="Yes",
    1.20,
    1.00)</f>
        <v/>
      </c>
      <c r="T2133">
        <f>LET(
    payment_method,'Loan Tape (S&amp;P)'!P2133,
    occupancy,'Loan Tape (S&amp;P)'!N2133,
    maturity_date,'Loan Tape (S&amp;P)'!L2133,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34">
      <c r="J2134">
        <f>LET(
    lien,'Loan Tape (S&amp;P)'!Q2134,
    IF(lien="First",1.00,
        IF(lien="Second",1.50,
            1.70)))</f>
        <v/>
      </c>
      <c r="K2134">
        <f>LET(
    purpose,'Loan Tape (S&amp;P)'!R2134,
    IF(purpose="Purchase",1.00,
        IF(purpose="Remortgage",1.00,
            1.20)))</f>
        <v/>
      </c>
      <c r="L2134">
        <f>LET(
    arrears_months,'Loan Tape (S&amp;P)'!AN2134,
    IF(arrears_months=0,1.00,
    IF(arrears_months=1,3.00,
    IF(arrears_months=2,5.00,
    IF(arrears_months=3,8.00,
    IF(arrears_months=4,10.00,
    IF(arrears_months=5,12.00,15.00)))))))</f>
        <v/>
      </c>
      <c r="M2134">
        <f>LET(
    seasoning_years,DATEDIF('Loan Tape (S&amp;P)'!K2134,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34">
        <f>IF(AND('Loan Tape (S&amp;P)'!U2134="Yes",
        'Loan Tape (S&amp;P)'!T2134&lt;&gt;"Yes",
        DATEDIF('Loan Tape (S&amp;P)'!K2134, TODAY(), "M")&lt;18),
    1.10,
    1.00)</f>
        <v/>
      </c>
      <c r="O2134">
        <f>IF('Loan Tape (S&amp;P)'!T2134="Yes",
    1.35,
    1.00)</f>
        <v/>
      </c>
      <c r="P2134">
        <f>IF('Loan Tape (S&amp;P)'!S2134="Yes",
    1.15,
    1.00)</f>
        <v/>
      </c>
      <c r="Q2134">
        <f>IF('Loan Tape (S&amp;P)'!V2134="Yes",
    1.20,
    1.00)</f>
        <v/>
      </c>
      <c r="T2134">
        <f>LET(
    payment_method,'Loan Tape (S&amp;P)'!P2134,
    occupancy,'Loan Tape (S&amp;P)'!N2134,
    maturity_date,'Loan Tape (S&amp;P)'!L2134,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35">
      <c r="J2135">
        <f>LET(
    lien,'Loan Tape (S&amp;P)'!Q2135,
    IF(lien="First",1.00,
        IF(lien="Second",1.50,
            1.70)))</f>
        <v/>
      </c>
      <c r="K2135">
        <f>LET(
    purpose,'Loan Tape (S&amp;P)'!R2135,
    IF(purpose="Purchase",1.00,
        IF(purpose="Remortgage",1.00,
            1.20)))</f>
        <v/>
      </c>
      <c r="L2135">
        <f>LET(
    arrears_months,'Loan Tape (S&amp;P)'!AN2135,
    IF(arrears_months=0,1.00,
    IF(arrears_months=1,3.00,
    IF(arrears_months=2,5.00,
    IF(arrears_months=3,8.00,
    IF(arrears_months=4,10.00,
    IF(arrears_months=5,12.00,15.00)))))))</f>
        <v/>
      </c>
      <c r="M2135">
        <f>LET(
    seasoning_years,DATEDIF('Loan Tape (S&amp;P)'!K2135,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35">
        <f>IF(AND('Loan Tape (S&amp;P)'!U2135="Yes",
        'Loan Tape (S&amp;P)'!T2135&lt;&gt;"Yes",
        DATEDIF('Loan Tape (S&amp;P)'!K2135, TODAY(), "M")&lt;18),
    1.10,
    1.00)</f>
        <v/>
      </c>
      <c r="O2135">
        <f>IF('Loan Tape (S&amp;P)'!T2135="Yes",
    1.35,
    1.00)</f>
        <v/>
      </c>
      <c r="P2135">
        <f>IF('Loan Tape (S&amp;P)'!S2135="Yes",
    1.15,
    1.00)</f>
        <v/>
      </c>
      <c r="Q2135">
        <f>IF('Loan Tape (S&amp;P)'!V2135="Yes",
    1.20,
    1.00)</f>
        <v/>
      </c>
      <c r="T2135">
        <f>LET(
    payment_method,'Loan Tape (S&amp;P)'!P2135,
    occupancy,'Loan Tape (S&amp;P)'!N2135,
    maturity_date,'Loan Tape (S&amp;P)'!L2135,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36">
      <c r="J2136">
        <f>LET(
    lien,'Loan Tape (S&amp;P)'!Q2136,
    IF(lien="First",1.00,
        IF(lien="Second",1.50,
            1.70)))</f>
        <v/>
      </c>
      <c r="K2136">
        <f>LET(
    purpose,'Loan Tape (S&amp;P)'!R2136,
    IF(purpose="Purchase",1.00,
        IF(purpose="Remortgage",1.00,
            1.20)))</f>
        <v/>
      </c>
      <c r="L2136">
        <f>LET(
    arrears_months,'Loan Tape (S&amp;P)'!AN2136,
    IF(arrears_months=0,1.00,
    IF(arrears_months=1,3.00,
    IF(arrears_months=2,5.00,
    IF(arrears_months=3,8.00,
    IF(arrears_months=4,10.00,
    IF(arrears_months=5,12.00,15.00)))))))</f>
        <v/>
      </c>
      <c r="M2136">
        <f>LET(
    seasoning_years,DATEDIF('Loan Tape (S&amp;P)'!K2136,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36">
        <f>IF(AND('Loan Tape (S&amp;P)'!U2136="Yes",
        'Loan Tape (S&amp;P)'!T2136&lt;&gt;"Yes",
        DATEDIF('Loan Tape (S&amp;P)'!K2136, TODAY(), "M")&lt;18),
    1.10,
    1.00)</f>
        <v/>
      </c>
      <c r="O2136">
        <f>IF('Loan Tape (S&amp;P)'!T2136="Yes",
    1.35,
    1.00)</f>
        <v/>
      </c>
      <c r="P2136">
        <f>IF('Loan Tape (S&amp;P)'!S2136="Yes",
    1.15,
    1.00)</f>
        <v/>
      </c>
      <c r="Q2136">
        <f>IF('Loan Tape (S&amp;P)'!V2136="Yes",
    1.20,
    1.00)</f>
        <v/>
      </c>
      <c r="T2136">
        <f>LET(
    payment_method,'Loan Tape (S&amp;P)'!P2136,
    occupancy,'Loan Tape (S&amp;P)'!N2136,
    maturity_date,'Loan Tape (S&amp;P)'!L2136,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37">
      <c r="J2137">
        <f>LET(
    lien,'Loan Tape (S&amp;P)'!Q2137,
    IF(lien="First",1.00,
        IF(lien="Second",1.50,
            1.70)))</f>
        <v/>
      </c>
      <c r="K2137">
        <f>LET(
    purpose,'Loan Tape (S&amp;P)'!R2137,
    IF(purpose="Purchase",1.00,
        IF(purpose="Remortgage",1.00,
            1.20)))</f>
        <v/>
      </c>
      <c r="L2137">
        <f>LET(
    arrears_months,'Loan Tape (S&amp;P)'!AN2137,
    IF(arrears_months=0,1.00,
    IF(arrears_months=1,3.00,
    IF(arrears_months=2,5.00,
    IF(arrears_months=3,8.00,
    IF(arrears_months=4,10.00,
    IF(arrears_months=5,12.00,15.00)))))))</f>
        <v/>
      </c>
      <c r="M2137">
        <f>LET(
    seasoning_years,DATEDIF('Loan Tape (S&amp;P)'!K2137,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37">
        <f>IF(AND('Loan Tape (S&amp;P)'!U2137="Yes",
        'Loan Tape (S&amp;P)'!T2137&lt;&gt;"Yes",
        DATEDIF('Loan Tape (S&amp;P)'!K2137, TODAY(), "M")&lt;18),
    1.10,
    1.00)</f>
        <v/>
      </c>
      <c r="O2137">
        <f>IF('Loan Tape (S&amp;P)'!T2137="Yes",
    1.35,
    1.00)</f>
        <v/>
      </c>
      <c r="P2137">
        <f>IF('Loan Tape (S&amp;P)'!S2137="Yes",
    1.15,
    1.00)</f>
        <v/>
      </c>
      <c r="Q2137">
        <f>IF('Loan Tape (S&amp;P)'!V2137="Yes",
    1.20,
    1.00)</f>
        <v/>
      </c>
      <c r="T2137">
        <f>LET(
    payment_method,'Loan Tape (S&amp;P)'!P2137,
    occupancy,'Loan Tape (S&amp;P)'!N2137,
    maturity_date,'Loan Tape (S&amp;P)'!L2137,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38">
      <c r="J2138">
        <f>LET(
    lien,'Loan Tape (S&amp;P)'!Q2138,
    IF(lien="First",1.00,
        IF(lien="Second",1.50,
            1.70)))</f>
        <v/>
      </c>
      <c r="K2138">
        <f>LET(
    purpose,'Loan Tape (S&amp;P)'!R2138,
    IF(purpose="Purchase",1.00,
        IF(purpose="Remortgage",1.00,
            1.20)))</f>
        <v/>
      </c>
      <c r="L2138">
        <f>LET(
    arrears_months,'Loan Tape (S&amp;P)'!AN2138,
    IF(arrears_months=0,1.00,
    IF(arrears_months=1,3.00,
    IF(arrears_months=2,5.00,
    IF(arrears_months=3,8.00,
    IF(arrears_months=4,10.00,
    IF(arrears_months=5,12.00,15.00)))))))</f>
        <v/>
      </c>
      <c r="M2138">
        <f>LET(
    seasoning_years,DATEDIF('Loan Tape (S&amp;P)'!K2138,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38">
        <f>IF(AND('Loan Tape (S&amp;P)'!U2138="Yes",
        'Loan Tape (S&amp;P)'!T2138&lt;&gt;"Yes",
        DATEDIF('Loan Tape (S&amp;P)'!K2138, TODAY(), "M")&lt;18),
    1.10,
    1.00)</f>
        <v/>
      </c>
      <c r="O2138">
        <f>IF('Loan Tape (S&amp;P)'!T2138="Yes",
    1.35,
    1.00)</f>
        <v/>
      </c>
      <c r="P2138">
        <f>IF('Loan Tape (S&amp;P)'!S2138="Yes",
    1.15,
    1.00)</f>
        <v/>
      </c>
      <c r="Q2138">
        <f>IF('Loan Tape (S&amp;P)'!V2138="Yes",
    1.20,
    1.00)</f>
        <v/>
      </c>
      <c r="T2138">
        <f>LET(
    payment_method,'Loan Tape (S&amp;P)'!P2138,
    occupancy,'Loan Tape (S&amp;P)'!N2138,
    maturity_date,'Loan Tape (S&amp;P)'!L2138,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39">
      <c r="J2139">
        <f>LET(
    lien,'Loan Tape (S&amp;P)'!Q2139,
    IF(lien="First",1.00,
        IF(lien="Second",1.50,
            1.70)))</f>
        <v/>
      </c>
      <c r="K2139">
        <f>LET(
    purpose,'Loan Tape (S&amp;P)'!R2139,
    IF(purpose="Purchase",1.00,
        IF(purpose="Remortgage",1.00,
            1.20)))</f>
        <v/>
      </c>
      <c r="L2139">
        <f>LET(
    arrears_months,'Loan Tape (S&amp;P)'!AN2139,
    IF(arrears_months=0,1.00,
    IF(arrears_months=1,3.00,
    IF(arrears_months=2,5.00,
    IF(arrears_months=3,8.00,
    IF(arrears_months=4,10.00,
    IF(arrears_months=5,12.00,15.00)))))))</f>
        <v/>
      </c>
      <c r="M2139">
        <f>LET(
    seasoning_years,DATEDIF('Loan Tape (S&amp;P)'!K2139,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39">
        <f>IF(AND('Loan Tape (S&amp;P)'!U2139="Yes",
        'Loan Tape (S&amp;P)'!T2139&lt;&gt;"Yes",
        DATEDIF('Loan Tape (S&amp;P)'!K2139, TODAY(), "M")&lt;18),
    1.10,
    1.00)</f>
        <v/>
      </c>
      <c r="O2139">
        <f>IF('Loan Tape (S&amp;P)'!T2139="Yes",
    1.35,
    1.00)</f>
        <v/>
      </c>
      <c r="P2139">
        <f>IF('Loan Tape (S&amp;P)'!S2139="Yes",
    1.15,
    1.00)</f>
        <v/>
      </c>
      <c r="Q2139">
        <f>IF('Loan Tape (S&amp;P)'!V2139="Yes",
    1.20,
    1.00)</f>
        <v/>
      </c>
      <c r="T2139">
        <f>LET(
    payment_method,'Loan Tape (S&amp;P)'!P2139,
    occupancy,'Loan Tape (S&amp;P)'!N2139,
    maturity_date,'Loan Tape (S&amp;P)'!L2139,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40">
      <c r="J2140">
        <f>LET(
    lien,'Loan Tape (S&amp;P)'!Q2140,
    IF(lien="First",1.00,
        IF(lien="Second",1.50,
            1.70)))</f>
        <v/>
      </c>
      <c r="K2140">
        <f>LET(
    purpose,'Loan Tape (S&amp;P)'!R2140,
    IF(purpose="Purchase",1.00,
        IF(purpose="Remortgage",1.00,
            1.20)))</f>
        <v/>
      </c>
      <c r="L2140">
        <f>LET(
    arrears_months,'Loan Tape (S&amp;P)'!AN2140,
    IF(arrears_months=0,1.00,
    IF(arrears_months=1,3.00,
    IF(arrears_months=2,5.00,
    IF(arrears_months=3,8.00,
    IF(arrears_months=4,10.00,
    IF(arrears_months=5,12.00,15.00)))))))</f>
        <v/>
      </c>
      <c r="M2140">
        <f>LET(
    seasoning_years,DATEDIF('Loan Tape (S&amp;P)'!K2140,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40">
        <f>IF(AND('Loan Tape (S&amp;P)'!U2140="Yes",
        'Loan Tape (S&amp;P)'!T2140&lt;&gt;"Yes",
        DATEDIF('Loan Tape (S&amp;P)'!K2140, TODAY(), "M")&lt;18),
    1.10,
    1.00)</f>
        <v/>
      </c>
      <c r="O2140">
        <f>IF('Loan Tape (S&amp;P)'!T2140="Yes",
    1.35,
    1.00)</f>
        <v/>
      </c>
      <c r="P2140">
        <f>IF('Loan Tape (S&amp;P)'!S2140="Yes",
    1.15,
    1.00)</f>
        <v/>
      </c>
      <c r="Q2140">
        <f>IF('Loan Tape (S&amp;P)'!V2140="Yes",
    1.20,
    1.00)</f>
        <v/>
      </c>
      <c r="T2140">
        <f>LET(
    payment_method,'Loan Tape (S&amp;P)'!P2140,
    occupancy,'Loan Tape (S&amp;P)'!N2140,
    maturity_date,'Loan Tape (S&amp;P)'!L2140,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41">
      <c r="J2141">
        <f>LET(
    lien,'Loan Tape (S&amp;P)'!Q2141,
    IF(lien="First",1.00,
        IF(lien="Second",1.50,
            1.70)))</f>
        <v/>
      </c>
      <c r="K2141">
        <f>LET(
    purpose,'Loan Tape (S&amp;P)'!R2141,
    IF(purpose="Purchase",1.00,
        IF(purpose="Remortgage",1.00,
            1.20)))</f>
        <v/>
      </c>
      <c r="L2141">
        <f>LET(
    arrears_months,'Loan Tape (S&amp;P)'!AN2141,
    IF(arrears_months=0,1.00,
    IF(arrears_months=1,3.00,
    IF(arrears_months=2,5.00,
    IF(arrears_months=3,8.00,
    IF(arrears_months=4,10.00,
    IF(arrears_months=5,12.00,15.00)))))))</f>
        <v/>
      </c>
      <c r="M2141">
        <f>LET(
    seasoning_years,DATEDIF('Loan Tape (S&amp;P)'!K2141,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41">
        <f>IF(AND('Loan Tape (S&amp;P)'!U2141="Yes",
        'Loan Tape (S&amp;P)'!T2141&lt;&gt;"Yes",
        DATEDIF('Loan Tape (S&amp;P)'!K2141, TODAY(), "M")&lt;18),
    1.10,
    1.00)</f>
        <v/>
      </c>
      <c r="O2141">
        <f>IF('Loan Tape (S&amp;P)'!T2141="Yes",
    1.35,
    1.00)</f>
        <v/>
      </c>
      <c r="P2141">
        <f>IF('Loan Tape (S&amp;P)'!S2141="Yes",
    1.15,
    1.00)</f>
        <v/>
      </c>
      <c r="Q2141">
        <f>IF('Loan Tape (S&amp;P)'!V2141="Yes",
    1.20,
    1.00)</f>
        <v/>
      </c>
      <c r="T2141">
        <f>LET(
    payment_method,'Loan Tape (S&amp;P)'!P2141,
    occupancy,'Loan Tape (S&amp;P)'!N2141,
    maturity_date,'Loan Tape (S&amp;P)'!L2141,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42">
      <c r="J2142">
        <f>LET(
    lien,'Loan Tape (S&amp;P)'!Q2142,
    IF(lien="First",1.00,
        IF(lien="Second",1.50,
            1.70)))</f>
        <v/>
      </c>
      <c r="K2142">
        <f>LET(
    purpose,'Loan Tape (S&amp;P)'!R2142,
    IF(purpose="Purchase",1.00,
        IF(purpose="Remortgage",1.00,
            1.20)))</f>
        <v/>
      </c>
      <c r="L2142">
        <f>LET(
    arrears_months,'Loan Tape (S&amp;P)'!AN2142,
    IF(arrears_months=0,1.00,
    IF(arrears_months=1,3.00,
    IF(arrears_months=2,5.00,
    IF(arrears_months=3,8.00,
    IF(arrears_months=4,10.00,
    IF(arrears_months=5,12.00,15.00)))))))</f>
        <v/>
      </c>
      <c r="M2142">
        <f>LET(
    seasoning_years,DATEDIF('Loan Tape (S&amp;P)'!K2142,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42">
        <f>IF(AND('Loan Tape (S&amp;P)'!U2142="Yes",
        'Loan Tape (S&amp;P)'!T2142&lt;&gt;"Yes",
        DATEDIF('Loan Tape (S&amp;P)'!K2142, TODAY(), "M")&lt;18),
    1.10,
    1.00)</f>
        <v/>
      </c>
      <c r="O2142">
        <f>IF('Loan Tape (S&amp;P)'!T2142="Yes",
    1.35,
    1.00)</f>
        <v/>
      </c>
      <c r="P2142">
        <f>IF('Loan Tape (S&amp;P)'!S2142="Yes",
    1.15,
    1.00)</f>
        <v/>
      </c>
      <c r="Q2142">
        <f>IF('Loan Tape (S&amp;P)'!V2142="Yes",
    1.20,
    1.00)</f>
        <v/>
      </c>
      <c r="T2142">
        <f>LET(
    payment_method,'Loan Tape (S&amp;P)'!P2142,
    occupancy,'Loan Tape (S&amp;P)'!N2142,
    maturity_date,'Loan Tape (S&amp;P)'!L2142,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43">
      <c r="J2143">
        <f>LET(
    lien,'Loan Tape (S&amp;P)'!Q2143,
    IF(lien="First",1.00,
        IF(lien="Second",1.50,
            1.70)))</f>
        <v/>
      </c>
      <c r="K2143">
        <f>LET(
    purpose,'Loan Tape (S&amp;P)'!R2143,
    IF(purpose="Purchase",1.00,
        IF(purpose="Remortgage",1.00,
            1.20)))</f>
        <v/>
      </c>
      <c r="L2143">
        <f>LET(
    arrears_months,'Loan Tape (S&amp;P)'!AN2143,
    IF(arrears_months=0,1.00,
    IF(arrears_months=1,3.00,
    IF(arrears_months=2,5.00,
    IF(arrears_months=3,8.00,
    IF(arrears_months=4,10.00,
    IF(arrears_months=5,12.00,15.00)))))))</f>
        <v/>
      </c>
      <c r="M2143">
        <f>LET(
    seasoning_years,DATEDIF('Loan Tape (S&amp;P)'!K2143,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43">
        <f>IF(AND('Loan Tape (S&amp;P)'!U2143="Yes",
        'Loan Tape (S&amp;P)'!T2143&lt;&gt;"Yes",
        DATEDIF('Loan Tape (S&amp;P)'!K2143, TODAY(), "M")&lt;18),
    1.10,
    1.00)</f>
        <v/>
      </c>
      <c r="O2143">
        <f>IF('Loan Tape (S&amp;P)'!T2143="Yes",
    1.35,
    1.00)</f>
        <v/>
      </c>
      <c r="P2143">
        <f>IF('Loan Tape (S&amp;P)'!S2143="Yes",
    1.15,
    1.00)</f>
        <v/>
      </c>
      <c r="Q2143">
        <f>IF('Loan Tape (S&amp;P)'!V2143="Yes",
    1.20,
    1.00)</f>
        <v/>
      </c>
      <c r="T2143">
        <f>LET(
    payment_method,'Loan Tape (S&amp;P)'!P2143,
    occupancy,'Loan Tape (S&amp;P)'!N2143,
    maturity_date,'Loan Tape (S&amp;P)'!L2143,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44">
      <c r="J2144">
        <f>LET(
    lien,'Loan Tape (S&amp;P)'!Q2144,
    IF(lien="First",1.00,
        IF(lien="Second",1.50,
            1.70)))</f>
        <v/>
      </c>
      <c r="K2144">
        <f>LET(
    purpose,'Loan Tape (S&amp;P)'!R2144,
    IF(purpose="Purchase",1.00,
        IF(purpose="Remortgage",1.00,
            1.20)))</f>
        <v/>
      </c>
      <c r="L2144">
        <f>LET(
    arrears_months,'Loan Tape (S&amp;P)'!AN2144,
    IF(arrears_months=0,1.00,
    IF(arrears_months=1,3.00,
    IF(arrears_months=2,5.00,
    IF(arrears_months=3,8.00,
    IF(arrears_months=4,10.00,
    IF(arrears_months=5,12.00,15.00)))))))</f>
        <v/>
      </c>
      <c r="M2144">
        <f>LET(
    seasoning_years,DATEDIF('Loan Tape (S&amp;P)'!K2144,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44">
        <f>IF(AND('Loan Tape (S&amp;P)'!U2144="Yes",
        'Loan Tape (S&amp;P)'!T2144&lt;&gt;"Yes",
        DATEDIF('Loan Tape (S&amp;P)'!K2144, TODAY(), "M")&lt;18),
    1.10,
    1.00)</f>
        <v/>
      </c>
      <c r="O2144">
        <f>IF('Loan Tape (S&amp;P)'!T2144="Yes",
    1.35,
    1.00)</f>
        <v/>
      </c>
      <c r="P2144">
        <f>IF('Loan Tape (S&amp;P)'!S2144="Yes",
    1.15,
    1.00)</f>
        <v/>
      </c>
      <c r="Q2144">
        <f>IF('Loan Tape (S&amp;P)'!V2144="Yes",
    1.20,
    1.00)</f>
        <v/>
      </c>
      <c r="T2144">
        <f>LET(
    payment_method,'Loan Tape (S&amp;P)'!P2144,
    occupancy,'Loan Tape (S&amp;P)'!N2144,
    maturity_date,'Loan Tape (S&amp;P)'!L2144,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45">
      <c r="J2145">
        <f>LET(
    lien,'Loan Tape (S&amp;P)'!Q2145,
    IF(lien="First",1.00,
        IF(lien="Second",1.50,
            1.70)))</f>
        <v/>
      </c>
      <c r="K2145">
        <f>LET(
    purpose,'Loan Tape (S&amp;P)'!R2145,
    IF(purpose="Purchase",1.00,
        IF(purpose="Remortgage",1.00,
            1.20)))</f>
        <v/>
      </c>
      <c r="L2145">
        <f>LET(
    arrears_months,'Loan Tape (S&amp;P)'!AN2145,
    IF(arrears_months=0,1.00,
    IF(arrears_months=1,3.00,
    IF(arrears_months=2,5.00,
    IF(arrears_months=3,8.00,
    IF(arrears_months=4,10.00,
    IF(arrears_months=5,12.00,15.00)))))))</f>
        <v/>
      </c>
      <c r="M2145">
        <f>LET(
    seasoning_years,DATEDIF('Loan Tape (S&amp;P)'!K2145,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45">
        <f>IF(AND('Loan Tape (S&amp;P)'!U2145="Yes",
        'Loan Tape (S&amp;P)'!T2145&lt;&gt;"Yes",
        DATEDIF('Loan Tape (S&amp;P)'!K2145, TODAY(), "M")&lt;18),
    1.10,
    1.00)</f>
        <v/>
      </c>
      <c r="O2145">
        <f>IF('Loan Tape (S&amp;P)'!T2145="Yes",
    1.35,
    1.00)</f>
        <v/>
      </c>
      <c r="P2145">
        <f>IF('Loan Tape (S&amp;P)'!S2145="Yes",
    1.15,
    1.00)</f>
        <v/>
      </c>
      <c r="Q2145">
        <f>IF('Loan Tape (S&amp;P)'!V2145="Yes",
    1.20,
    1.00)</f>
        <v/>
      </c>
      <c r="T2145">
        <f>LET(
    payment_method,'Loan Tape (S&amp;P)'!P2145,
    occupancy,'Loan Tape (S&amp;P)'!N2145,
    maturity_date,'Loan Tape (S&amp;P)'!L2145,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46">
      <c r="J2146">
        <f>LET(
    lien,'Loan Tape (S&amp;P)'!Q2146,
    IF(lien="First",1.00,
        IF(lien="Second",1.50,
            1.70)))</f>
        <v/>
      </c>
      <c r="K2146">
        <f>LET(
    purpose,'Loan Tape (S&amp;P)'!R2146,
    IF(purpose="Purchase",1.00,
        IF(purpose="Remortgage",1.00,
            1.20)))</f>
        <v/>
      </c>
      <c r="L2146">
        <f>LET(
    arrears_months,'Loan Tape (S&amp;P)'!AN2146,
    IF(arrears_months=0,1.00,
    IF(arrears_months=1,3.00,
    IF(arrears_months=2,5.00,
    IF(arrears_months=3,8.00,
    IF(arrears_months=4,10.00,
    IF(arrears_months=5,12.00,15.00)))))))</f>
        <v/>
      </c>
      <c r="M2146">
        <f>LET(
    seasoning_years,DATEDIF('Loan Tape (S&amp;P)'!K2146,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46">
        <f>IF(AND('Loan Tape (S&amp;P)'!U2146="Yes",
        'Loan Tape (S&amp;P)'!T2146&lt;&gt;"Yes",
        DATEDIF('Loan Tape (S&amp;P)'!K2146, TODAY(), "M")&lt;18),
    1.10,
    1.00)</f>
        <v/>
      </c>
      <c r="O2146">
        <f>IF('Loan Tape (S&amp;P)'!T2146="Yes",
    1.35,
    1.00)</f>
        <v/>
      </c>
      <c r="P2146">
        <f>IF('Loan Tape (S&amp;P)'!S2146="Yes",
    1.15,
    1.00)</f>
        <v/>
      </c>
      <c r="Q2146">
        <f>IF('Loan Tape (S&amp;P)'!V2146="Yes",
    1.20,
    1.00)</f>
        <v/>
      </c>
      <c r="T2146">
        <f>LET(
    payment_method,'Loan Tape (S&amp;P)'!P2146,
    occupancy,'Loan Tape (S&amp;P)'!N2146,
    maturity_date,'Loan Tape (S&amp;P)'!L2146,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47">
      <c r="J2147">
        <f>LET(
    lien,'Loan Tape (S&amp;P)'!Q2147,
    IF(lien="First",1.00,
        IF(lien="Second",1.50,
            1.70)))</f>
        <v/>
      </c>
      <c r="K2147">
        <f>LET(
    purpose,'Loan Tape (S&amp;P)'!R2147,
    IF(purpose="Purchase",1.00,
        IF(purpose="Remortgage",1.00,
            1.20)))</f>
        <v/>
      </c>
      <c r="L2147">
        <f>LET(
    arrears_months,'Loan Tape (S&amp;P)'!AN2147,
    IF(arrears_months=0,1.00,
    IF(arrears_months=1,3.00,
    IF(arrears_months=2,5.00,
    IF(arrears_months=3,8.00,
    IF(arrears_months=4,10.00,
    IF(arrears_months=5,12.00,15.00)))))))</f>
        <v/>
      </c>
      <c r="M2147">
        <f>LET(
    seasoning_years,DATEDIF('Loan Tape (S&amp;P)'!K2147,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47">
        <f>IF(AND('Loan Tape (S&amp;P)'!U2147="Yes",
        'Loan Tape (S&amp;P)'!T2147&lt;&gt;"Yes",
        DATEDIF('Loan Tape (S&amp;P)'!K2147, TODAY(), "M")&lt;18),
    1.10,
    1.00)</f>
        <v/>
      </c>
      <c r="O2147">
        <f>IF('Loan Tape (S&amp;P)'!T2147="Yes",
    1.35,
    1.00)</f>
        <v/>
      </c>
      <c r="P2147">
        <f>IF('Loan Tape (S&amp;P)'!S2147="Yes",
    1.15,
    1.00)</f>
        <v/>
      </c>
      <c r="Q2147">
        <f>IF('Loan Tape (S&amp;P)'!V2147="Yes",
    1.20,
    1.00)</f>
        <v/>
      </c>
      <c r="T2147">
        <f>LET(
    payment_method,'Loan Tape (S&amp;P)'!P2147,
    occupancy,'Loan Tape (S&amp;P)'!N2147,
    maturity_date,'Loan Tape (S&amp;P)'!L2147,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48">
      <c r="J2148">
        <f>LET(
    lien,'Loan Tape (S&amp;P)'!Q2148,
    IF(lien="First",1.00,
        IF(lien="Second",1.50,
            1.70)))</f>
        <v/>
      </c>
      <c r="K2148">
        <f>LET(
    purpose,'Loan Tape (S&amp;P)'!R2148,
    IF(purpose="Purchase",1.00,
        IF(purpose="Remortgage",1.00,
            1.20)))</f>
        <v/>
      </c>
      <c r="L2148">
        <f>LET(
    arrears_months,'Loan Tape (S&amp;P)'!AN2148,
    IF(arrears_months=0,1.00,
    IF(arrears_months=1,3.00,
    IF(arrears_months=2,5.00,
    IF(arrears_months=3,8.00,
    IF(arrears_months=4,10.00,
    IF(arrears_months=5,12.00,15.00)))))))</f>
        <v/>
      </c>
      <c r="M2148">
        <f>LET(
    seasoning_years,DATEDIF('Loan Tape (S&amp;P)'!K2148,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48">
        <f>IF(AND('Loan Tape (S&amp;P)'!U2148="Yes",
        'Loan Tape (S&amp;P)'!T2148&lt;&gt;"Yes",
        DATEDIF('Loan Tape (S&amp;P)'!K2148, TODAY(), "M")&lt;18),
    1.10,
    1.00)</f>
        <v/>
      </c>
      <c r="O2148">
        <f>IF('Loan Tape (S&amp;P)'!T2148="Yes",
    1.35,
    1.00)</f>
        <v/>
      </c>
      <c r="P2148">
        <f>IF('Loan Tape (S&amp;P)'!S2148="Yes",
    1.15,
    1.00)</f>
        <v/>
      </c>
      <c r="Q2148">
        <f>IF('Loan Tape (S&amp;P)'!V2148="Yes",
    1.20,
    1.00)</f>
        <v/>
      </c>
      <c r="T2148">
        <f>LET(
    payment_method,'Loan Tape (S&amp;P)'!P2148,
    occupancy,'Loan Tape (S&amp;P)'!N2148,
    maturity_date,'Loan Tape (S&amp;P)'!L2148,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49">
      <c r="J2149">
        <f>LET(
    lien,'Loan Tape (S&amp;P)'!Q2149,
    IF(lien="First",1.00,
        IF(lien="Second",1.50,
            1.70)))</f>
        <v/>
      </c>
      <c r="K2149">
        <f>LET(
    purpose,'Loan Tape (S&amp;P)'!R2149,
    IF(purpose="Purchase",1.00,
        IF(purpose="Remortgage",1.00,
            1.20)))</f>
        <v/>
      </c>
      <c r="L2149">
        <f>LET(
    arrears_months,'Loan Tape (S&amp;P)'!AN2149,
    IF(arrears_months=0,1.00,
    IF(arrears_months=1,3.00,
    IF(arrears_months=2,5.00,
    IF(arrears_months=3,8.00,
    IF(arrears_months=4,10.00,
    IF(arrears_months=5,12.00,15.00)))))))</f>
        <v/>
      </c>
      <c r="M2149">
        <f>LET(
    seasoning_years,DATEDIF('Loan Tape (S&amp;P)'!K2149,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49">
        <f>IF(AND('Loan Tape (S&amp;P)'!U2149="Yes",
        'Loan Tape (S&amp;P)'!T2149&lt;&gt;"Yes",
        DATEDIF('Loan Tape (S&amp;P)'!K2149, TODAY(), "M")&lt;18),
    1.10,
    1.00)</f>
        <v/>
      </c>
      <c r="O2149">
        <f>IF('Loan Tape (S&amp;P)'!T2149="Yes",
    1.35,
    1.00)</f>
        <v/>
      </c>
      <c r="P2149">
        <f>IF('Loan Tape (S&amp;P)'!S2149="Yes",
    1.15,
    1.00)</f>
        <v/>
      </c>
      <c r="Q2149">
        <f>IF('Loan Tape (S&amp;P)'!V2149="Yes",
    1.20,
    1.00)</f>
        <v/>
      </c>
      <c r="T2149">
        <f>LET(
    payment_method,'Loan Tape (S&amp;P)'!P2149,
    occupancy,'Loan Tape (S&amp;P)'!N2149,
    maturity_date,'Loan Tape (S&amp;P)'!L2149,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50">
      <c r="J2150">
        <f>LET(
    lien,'Loan Tape (S&amp;P)'!Q2150,
    IF(lien="First",1.00,
        IF(lien="Second",1.50,
            1.70)))</f>
        <v/>
      </c>
      <c r="K2150">
        <f>LET(
    purpose,'Loan Tape (S&amp;P)'!R2150,
    IF(purpose="Purchase",1.00,
        IF(purpose="Remortgage",1.00,
            1.20)))</f>
        <v/>
      </c>
      <c r="L2150">
        <f>LET(
    arrears_months,'Loan Tape (S&amp;P)'!AN2150,
    IF(arrears_months=0,1.00,
    IF(arrears_months=1,3.00,
    IF(arrears_months=2,5.00,
    IF(arrears_months=3,8.00,
    IF(arrears_months=4,10.00,
    IF(arrears_months=5,12.00,15.00)))))))</f>
        <v/>
      </c>
      <c r="M2150">
        <f>LET(
    seasoning_years,DATEDIF('Loan Tape (S&amp;P)'!K2150,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50">
        <f>IF(AND('Loan Tape (S&amp;P)'!U2150="Yes",
        'Loan Tape (S&amp;P)'!T2150&lt;&gt;"Yes",
        DATEDIF('Loan Tape (S&amp;P)'!K2150, TODAY(), "M")&lt;18),
    1.10,
    1.00)</f>
        <v/>
      </c>
      <c r="O2150">
        <f>IF('Loan Tape (S&amp;P)'!T2150="Yes",
    1.35,
    1.00)</f>
        <v/>
      </c>
      <c r="P2150">
        <f>IF('Loan Tape (S&amp;P)'!S2150="Yes",
    1.15,
    1.00)</f>
        <v/>
      </c>
      <c r="Q2150">
        <f>IF('Loan Tape (S&amp;P)'!V2150="Yes",
    1.20,
    1.00)</f>
        <v/>
      </c>
      <c r="T2150">
        <f>LET(
    payment_method,'Loan Tape (S&amp;P)'!P2150,
    occupancy,'Loan Tape (S&amp;P)'!N2150,
    maturity_date,'Loan Tape (S&amp;P)'!L2150,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51">
      <c r="J2151">
        <f>LET(
    lien,'Loan Tape (S&amp;P)'!Q2151,
    IF(lien="First",1.00,
        IF(lien="Second",1.50,
            1.70)))</f>
        <v/>
      </c>
      <c r="K2151">
        <f>LET(
    purpose,'Loan Tape (S&amp;P)'!R2151,
    IF(purpose="Purchase",1.00,
        IF(purpose="Remortgage",1.00,
            1.20)))</f>
        <v/>
      </c>
      <c r="L2151">
        <f>LET(
    arrears_months,'Loan Tape (S&amp;P)'!AN2151,
    IF(arrears_months=0,1.00,
    IF(arrears_months=1,3.00,
    IF(arrears_months=2,5.00,
    IF(arrears_months=3,8.00,
    IF(arrears_months=4,10.00,
    IF(arrears_months=5,12.00,15.00)))))))</f>
        <v/>
      </c>
      <c r="M2151">
        <f>LET(
    seasoning_years,DATEDIF('Loan Tape (S&amp;P)'!K2151,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51">
        <f>IF(AND('Loan Tape (S&amp;P)'!U2151="Yes",
        'Loan Tape (S&amp;P)'!T2151&lt;&gt;"Yes",
        DATEDIF('Loan Tape (S&amp;P)'!K2151, TODAY(), "M")&lt;18),
    1.10,
    1.00)</f>
        <v/>
      </c>
      <c r="O2151">
        <f>IF('Loan Tape (S&amp;P)'!T2151="Yes",
    1.35,
    1.00)</f>
        <v/>
      </c>
      <c r="P2151">
        <f>IF('Loan Tape (S&amp;P)'!S2151="Yes",
    1.15,
    1.00)</f>
        <v/>
      </c>
      <c r="Q2151">
        <f>IF('Loan Tape (S&amp;P)'!V2151="Yes",
    1.20,
    1.00)</f>
        <v/>
      </c>
      <c r="T2151">
        <f>LET(
    payment_method,'Loan Tape (S&amp;P)'!P2151,
    occupancy,'Loan Tape (S&amp;P)'!N2151,
    maturity_date,'Loan Tape (S&amp;P)'!L2151,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52">
      <c r="J2152">
        <f>LET(
    lien,'Loan Tape (S&amp;P)'!Q2152,
    IF(lien="First",1.00,
        IF(lien="Second",1.50,
            1.70)))</f>
        <v/>
      </c>
      <c r="K2152">
        <f>LET(
    purpose,'Loan Tape (S&amp;P)'!R2152,
    IF(purpose="Purchase",1.00,
        IF(purpose="Remortgage",1.00,
            1.20)))</f>
        <v/>
      </c>
      <c r="L2152">
        <f>LET(
    arrears_months,'Loan Tape (S&amp;P)'!AN2152,
    IF(arrears_months=0,1.00,
    IF(arrears_months=1,3.00,
    IF(arrears_months=2,5.00,
    IF(arrears_months=3,8.00,
    IF(arrears_months=4,10.00,
    IF(arrears_months=5,12.00,15.00)))))))</f>
        <v/>
      </c>
      <c r="M2152">
        <f>LET(
    seasoning_years,DATEDIF('Loan Tape (S&amp;P)'!K2152,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52">
        <f>IF(AND('Loan Tape (S&amp;P)'!U2152="Yes",
        'Loan Tape (S&amp;P)'!T2152&lt;&gt;"Yes",
        DATEDIF('Loan Tape (S&amp;P)'!K2152, TODAY(), "M")&lt;18),
    1.10,
    1.00)</f>
        <v/>
      </c>
      <c r="O2152">
        <f>IF('Loan Tape (S&amp;P)'!T2152="Yes",
    1.35,
    1.00)</f>
        <v/>
      </c>
      <c r="P2152">
        <f>IF('Loan Tape (S&amp;P)'!S2152="Yes",
    1.15,
    1.00)</f>
        <v/>
      </c>
      <c r="Q2152">
        <f>IF('Loan Tape (S&amp;P)'!V2152="Yes",
    1.20,
    1.00)</f>
        <v/>
      </c>
      <c r="T2152">
        <f>LET(
    payment_method,'Loan Tape (S&amp;P)'!P2152,
    occupancy,'Loan Tape (S&amp;P)'!N2152,
    maturity_date,'Loan Tape (S&amp;P)'!L2152,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53">
      <c r="J2153">
        <f>LET(
    lien,'Loan Tape (S&amp;P)'!Q2153,
    IF(lien="First",1.00,
        IF(lien="Second",1.50,
            1.70)))</f>
        <v/>
      </c>
      <c r="K2153">
        <f>LET(
    purpose,'Loan Tape (S&amp;P)'!R2153,
    IF(purpose="Purchase",1.00,
        IF(purpose="Remortgage",1.00,
            1.20)))</f>
        <v/>
      </c>
      <c r="L2153">
        <f>LET(
    arrears_months,'Loan Tape (S&amp;P)'!AN2153,
    IF(arrears_months=0,1.00,
    IF(arrears_months=1,3.00,
    IF(arrears_months=2,5.00,
    IF(arrears_months=3,8.00,
    IF(arrears_months=4,10.00,
    IF(arrears_months=5,12.00,15.00)))))))</f>
        <v/>
      </c>
      <c r="M2153">
        <f>LET(
    seasoning_years,DATEDIF('Loan Tape (S&amp;P)'!K2153,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53">
        <f>IF(AND('Loan Tape (S&amp;P)'!U2153="Yes",
        'Loan Tape (S&amp;P)'!T2153&lt;&gt;"Yes",
        DATEDIF('Loan Tape (S&amp;P)'!K2153, TODAY(), "M")&lt;18),
    1.10,
    1.00)</f>
        <v/>
      </c>
      <c r="O2153">
        <f>IF('Loan Tape (S&amp;P)'!T2153="Yes",
    1.35,
    1.00)</f>
        <v/>
      </c>
      <c r="P2153">
        <f>IF('Loan Tape (S&amp;P)'!S2153="Yes",
    1.15,
    1.00)</f>
        <v/>
      </c>
      <c r="Q2153">
        <f>IF('Loan Tape (S&amp;P)'!V2153="Yes",
    1.20,
    1.00)</f>
        <v/>
      </c>
      <c r="T2153">
        <f>LET(
    payment_method,'Loan Tape (S&amp;P)'!P2153,
    occupancy,'Loan Tape (S&amp;P)'!N2153,
    maturity_date,'Loan Tape (S&amp;P)'!L2153,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54">
      <c r="J2154">
        <f>LET(
    lien,'Loan Tape (S&amp;P)'!Q2154,
    IF(lien="First",1.00,
        IF(lien="Second",1.50,
            1.70)))</f>
        <v/>
      </c>
      <c r="K2154">
        <f>LET(
    purpose,'Loan Tape (S&amp;P)'!R2154,
    IF(purpose="Purchase",1.00,
        IF(purpose="Remortgage",1.00,
            1.20)))</f>
        <v/>
      </c>
      <c r="L2154">
        <f>LET(
    arrears_months,'Loan Tape (S&amp;P)'!AN2154,
    IF(arrears_months=0,1.00,
    IF(arrears_months=1,3.00,
    IF(arrears_months=2,5.00,
    IF(arrears_months=3,8.00,
    IF(arrears_months=4,10.00,
    IF(arrears_months=5,12.00,15.00)))))))</f>
        <v/>
      </c>
      <c r="M2154">
        <f>LET(
    seasoning_years,DATEDIF('Loan Tape (S&amp;P)'!K2154,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54">
        <f>IF(AND('Loan Tape (S&amp;P)'!U2154="Yes",
        'Loan Tape (S&amp;P)'!T2154&lt;&gt;"Yes",
        DATEDIF('Loan Tape (S&amp;P)'!K2154, TODAY(), "M")&lt;18),
    1.10,
    1.00)</f>
        <v/>
      </c>
      <c r="O2154">
        <f>IF('Loan Tape (S&amp;P)'!T2154="Yes",
    1.35,
    1.00)</f>
        <v/>
      </c>
      <c r="P2154">
        <f>IF('Loan Tape (S&amp;P)'!S2154="Yes",
    1.15,
    1.00)</f>
        <v/>
      </c>
      <c r="Q2154">
        <f>IF('Loan Tape (S&amp;P)'!V2154="Yes",
    1.20,
    1.00)</f>
        <v/>
      </c>
      <c r="T2154">
        <f>LET(
    payment_method,'Loan Tape (S&amp;P)'!P2154,
    occupancy,'Loan Tape (S&amp;P)'!N2154,
    maturity_date,'Loan Tape (S&amp;P)'!L2154,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55">
      <c r="J2155">
        <f>LET(
    lien,'Loan Tape (S&amp;P)'!Q2155,
    IF(lien="First",1.00,
        IF(lien="Second",1.50,
            1.70)))</f>
        <v/>
      </c>
      <c r="K2155">
        <f>LET(
    purpose,'Loan Tape (S&amp;P)'!R2155,
    IF(purpose="Purchase",1.00,
        IF(purpose="Remortgage",1.00,
            1.20)))</f>
        <v/>
      </c>
      <c r="L2155">
        <f>LET(
    arrears_months,'Loan Tape (S&amp;P)'!AN2155,
    IF(arrears_months=0,1.00,
    IF(arrears_months=1,3.00,
    IF(arrears_months=2,5.00,
    IF(arrears_months=3,8.00,
    IF(arrears_months=4,10.00,
    IF(arrears_months=5,12.00,15.00)))))))</f>
        <v/>
      </c>
      <c r="M2155">
        <f>LET(
    seasoning_years,DATEDIF('Loan Tape (S&amp;P)'!K2155,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55">
        <f>IF(AND('Loan Tape (S&amp;P)'!U2155="Yes",
        'Loan Tape (S&amp;P)'!T2155&lt;&gt;"Yes",
        DATEDIF('Loan Tape (S&amp;P)'!K2155, TODAY(), "M")&lt;18),
    1.10,
    1.00)</f>
        <v/>
      </c>
      <c r="O2155">
        <f>IF('Loan Tape (S&amp;P)'!T2155="Yes",
    1.35,
    1.00)</f>
        <v/>
      </c>
      <c r="P2155">
        <f>IF('Loan Tape (S&amp;P)'!S2155="Yes",
    1.15,
    1.00)</f>
        <v/>
      </c>
      <c r="Q2155">
        <f>IF('Loan Tape (S&amp;P)'!V2155="Yes",
    1.20,
    1.00)</f>
        <v/>
      </c>
      <c r="T2155">
        <f>LET(
    payment_method,'Loan Tape (S&amp;P)'!P2155,
    occupancy,'Loan Tape (S&amp;P)'!N2155,
    maturity_date,'Loan Tape (S&amp;P)'!L2155,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56">
      <c r="J2156">
        <f>LET(
    lien,'Loan Tape (S&amp;P)'!Q2156,
    IF(lien="First",1.00,
        IF(lien="Second",1.50,
            1.70)))</f>
        <v/>
      </c>
      <c r="K2156">
        <f>LET(
    purpose,'Loan Tape (S&amp;P)'!R2156,
    IF(purpose="Purchase",1.00,
        IF(purpose="Remortgage",1.00,
            1.20)))</f>
        <v/>
      </c>
      <c r="L2156">
        <f>LET(
    arrears_months,'Loan Tape (S&amp;P)'!AN2156,
    IF(arrears_months=0,1.00,
    IF(arrears_months=1,3.00,
    IF(arrears_months=2,5.00,
    IF(arrears_months=3,8.00,
    IF(arrears_months=4,10.00,
    IF(arrears_months=5,12.00,15.00)))))))</f>
        <v/>
      </c>
      <c r="M2156">
        <f>LET(
    seasoning_years,DATEDIF('Loan Tape (S&amp;P)'!K2156,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56">
        <f>IF(AND('Loan Tape (S&amp;P)'!U2156="Yes",
        'Loan Tape (S&amp;P)'!T2156&lt;&gt;"Yes",
        DATEDIF('Loan Tape (S&amp;P)'!K2156, TODAY(), "M")&lt;18),
    1.10,
    1.00)</f>
        <v/>
      </c>
      <c r="O2156">
        <f>IF('Loan Tape (S&amp;P)'!T2156="Yes",
    1.35,
    1.00)</f>
        <v/>
      </c>
      <c r="P2156">
        <f>IF('Loan Tape (S&amp;P)'!S2156="Yes",
    1.15,
    1.00)</f>
        <v/>
      </c>
      <c r="Q2156">
        <f>IF('Loan Tape (S&amp;P)'!V2156="Yes",
    1.20,
    1.00)</f>
        <v/>
      </c>
      <c r="T2156">
        <f>LET(
    payment_method,'Loan Tape (S&amp;P)'!P2156,
    occupancy,'Loan Tape (S&amp;P)'!N2156,
    maturity_date,'Loan Tape (S&amp;P)'!L2156,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57">
      <c r="J2157">
        <f>LET(
    lien,'Loan Tape (S&amp;P)'!Q2157,
    IF(lien="First",1.00,
        IF(lien="Second",1.50,
            1.70)))</f>
        <v/>
      </c>
      <c r="K2157">
        <f>LET(
    purpose,'Loan Tape (S&amp;P)'!R2157,
    IF(purpose="Purchase",1.00,
        IF(purpose="Remortgage",1.00,
            1.20)))</f>
        <v/>
      </c>
      <c r="L2157">
        <f>LET(
    arrears_months,'Loan Tape (S&amp;P)'!AN2157,
    IF(arrears_months=0,1.00,
    IF(arrears_months=1,3.00,
    IF(arrears_months=2,5.00,
    IF(arrears_months=3,8.00,
    IF(arrears_months=4,10.00,
    IF(arrears_months=5,12.00,15.00)))))))</f>
        <v/>
      </c>
      <c r="M2157">
        <f>LET(
    seasoning_years,DATEDIF('Loan Tape (S&amp;P)'!K2157,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57">
        <f>IF(AND('Loan Tape (S&amp;P)'!U2157="Yes",
        'Loan Tape (S&amp;P)'!T2157&lt;&gt;"Yes",
        DATEDIF('Loan Tape (S&amp;P)'!K2157, TODAY(), "M")&lt;18),
    1.10,
    1.00)</f>
        <v/>
      </c>
      <c r="O2157">
        <f>IF('Loan Tape (S&amp;P)'!T2157="Yes",
    1.35,
    1.00)</f>
        <v/>
      </c>
      <c r="P2157">
        <f>IF('Loan Tape (S&amp;P)'!S2157="Yes",
    1.15,
    1.00)</f>
        <v/>
      </c>
      <c r="Q2157">
        <f>IF('Loan Tape (S&amp;P)'!V2157="Yes",
    1.20,
    1.00)</f>
        <v/>
      </c>
      <c r="T2157">
        <f>LET(
    payment_method,'Loan Tape (S&amp;P)'!P2157,
    occupancy,'Loan Tape (S&amp;P)'!N2157,
    maturity_date,'Loan Tape (S&amp;P)'!L2157,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58">
      <c r="J2158">
        <f>LET(
    lien,'Loan Tape (S&amp;P)'!Q2158,
    IF(lien="First",1.00,
        IF(lien="Second",1.50,
            1.70)))</f>
        <v/>
      </c>
      <c r="K2158">
        <f>LET(
    purpose,'Loan Tape (S&amp;P)'!R2158,
    IF(purpose="Purchase",1.00,
        IF(purpose="Remortgage",1.00,
            1.20)))</f>
        <v/>
      </c>
      <c r="L2158">
        <f>LET(
    arrears_months,'Loan Tape (S&amp;P)'!AN2158,
    IF(arrears_months=0,1.00,
    IF(arrears_months=1,3.00,
    IF(arrears_months=2,5.00,
    IF(arrears_months=3,8.00,
    IF(arrears_months=4,10.00,
    IF(arrears_months=5,12.00,15.00)))))))</f>
        <v/>
      </c>
      <c r="M2158">
        <f>LET(
    seasoning_years,DATEDIF('Loan Tape (S&amp;P)'!K2158,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58">
        <f>IF(AND('Loan Tape (S&amp;P)'!U2158="Yes",
        'Loan Tape (S&amp;P)'!T2158&lt;&gt;"Yes",
        DATEDIF('Loan Tape (S&amp;P)'!K2158, TODAY(), "M")&lt;18),
    1.10,
    1.00)</f>
        <v/>
      </c>
      <c r="O2158">
        <f>IF('Loan Tape (S&amp;P)'!T2158="Yes",
    1.35,
    1.00)</f>
        <v/>
      </c>
      <c r="P2158">
        <f>IF('Loan Tape (S&amp;P)'!S2158="Yes",
    1.15,
    1.00)</f>
        <v/>
      </c>
      <c r="Q2158">
        <f>IF('Loan Tape (S&amp;P)'!V2158="Yes",
    1.20,
    1.00)</f>
        <v/>
      </c>
      <c r="T2158">
        <f>LET(
    payment_method,'Loan Tape (S&amp;P)'!P2158,
    occupancy,'Loan Tape (S&amp;P)'!N2158,
    maturity_date,'Loan Tape (S&amp;P)'!L2158,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59">
      <c r="J2159">
        <f>LET(
    lien,'Loan Tape (S&amp;P)'!Q2159,
    IF(lien="First",1.00,
        IF(lien="Second",1.50,
            1.70)))</f>
        <v/>
      </c>
      <c r="K2159">
        <f>LET(
    purpose,'Loan Tape (S&amp;P)'!R2159,
    IF(purpose="Purchase",1.00,
        IF(purpose="Remortgage",1.00,
            1.20)))</f>
        <v/>
      </c>
      <c r="L2159">
        <f>LET(
    arrears_months,'Loan Tape (S&amp;P)'!AN2159,
    IF(arrears_months=0,1.00,
    IF(arrears_months=1,3.00,
    IF(arrears_months=2,5.00,
    IF(arrears_months=3,8.00,
    IF(arrears_months=4,10.00,
    IF(arrears_months=5,12.00,15.00)))))))</f>
        <v/>
      </c>
      <c r="M2159">
        <f>LET(
    seasoning_years,DATEDIF('Loan Tape (S&amp;P)'!K2159,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59">
        <f>IF(AND('Loan Tape (S&amp;P)'!U2159="Yes",
        'Loan Tape (S&amp;P)'!T2159&lt;&gt;"Yes",
        DATEDIF('Loan Tape (S&amp;P)'!K2159, TODAY(), "M")&lt;18),
    1.10,
    1.00)</f>
        <v/>
      </c>
      <c r="O2159">
        <f>IF('Loan Tape (S&amp;P)'!T2159="Yes",
    1.35,
    1.00)</f>
        <v/>
      </c>
      <c r="P2159">
        <f>IF('Loan Tape (S&amp;P)'!S2159="Yes",
    1.15,
    1.00)</f>
        <v/>
      </c>
      <c r="Q2159">
        <f>IF('Loan Tape (S&amp;P)'!V2159="Yes",
    1.20,
    1.00)</f>
        <v/>
      </c>
      <c r="T2159">
        <f>LET(
    payment_method,'Loan Tape (S&amp;P)'!P2159,
    occupancy,'Loan Tape (S&amp;P)'!N2159,
    maturity_date,'Loan Tape (S&amp;P)'!L2159,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60">
      <c r="J2160">
        <f>LET(
    lien,'Loan Tape (S&amp;P)'!Q2160,
    IF(lien="First",1.00,
        IF(lien="Second",1.50,
            1.70)))</f>
        <v/>
      </c>
      <c r="K2160">
        <f>LET(
    purpose,'Loan Tape (S&amp;P)'!R2160,
    IF(purpose="Purchase",1.00,
        IF(purpose="Remortgage",1.00,
            1.20)))</f>
        <v/>
      </c>
      <c r="L2160">
        <f>LET(
    arrears_months,'Loan Tape (S&amp;P)'!AN2160,
    IF(arrears_months=0,1.00,
    IF(arrears_months=1,3.00,
    IF(arrears_months=2,5.00,
    IF(arrears_months=3,8.00,
    IF(arrears_months=4,10.00,
    IF(arrears_months=5,12.00,15.00)))))))</f>
        <v/>
      </c>
      <c r="M2160">
        <f>LET(
    seasoning_years,DATEDIF('Loan Tape (S&amp;P)'!K2160,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60">
        <f>IF(AND('Loan Tape (S&amp;P)'!U2160="Yes",
        'Loan Tape (S&amp;P)'!T2160&lt;&gt;"Yes",
        DATEDIF('Loan Tape (S&amp;P)'!K2160, TODAY(), "M")&lt;18),
    1.10,
    1.00)</f>
        <v/>
      </c>
      <c r="O2160">
        <f>IF('Loan Tape (S&amp;P)'!T2160="Yes",
    1.35,
    1.00)</f>
        <v/>
      </c>
      <c r="P2160">
        <f>IF('Loan Tape (S&amp;P)'!S2160="Yes",
    1.15,
    1.00)</f>
        <v/>
      </c>
      <c r="Q2160">
        <f>IF('Loan Tape (S&amp;P)'!V2160="Yes",
    1.20,
    1.00)</f>
        <v/>
      </c>
      <c r="T2160">
        <f>LET(
    payment_method,'Loan Tape (S&amp;P)'!P2160,
    occupancy,'Loan Tape (S&amp;P)'!N2160,
    maturity_date,'Loan Tape (S&amp;P)'!L2160,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61">
      <c r="J2161">
        <f>LET(
    lien,'Loan Tape (S&amp;P)'!Q2161,
    IF(lien="First",1.00,
        IF(lien="Second",1.50,
            1.70)))</f>
        <v/>
      </c>
      <c r="K2161">
        <f>LET(
    purpose,'Loan Tape (S&amp;P)'!R2161,
    IF(purpose="Purchase",1.00,
        IF(purpose="Remortgage",1.00,
            1.20)))</f>
        <v/>
      </c>
      <c r="L2161">
        <f>LET(
    arrears_months,'Loan Tape (S&amp;P)'!AN2161,
    IF(arrears_months=0,1.00,
    IF(arrears_months=1,3.00,
    IF(arrears_months=2,5.00,
    IF(arrears_months=3,8.00,
    IF(arrears_months=4,10.00,
    IF(arrears_months=5,12.00,15.00)))))))</f>
        <v/>
      </c>
      <c r="M2161">
        <f>LET(
    seasoning_years,DATEDIF('Loan Tape (S&amp;P)'!K2161,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61">
        <f>IF(AND('Loan Tape (S&amp;P)'!U2161="Yes",
        'Loan Tape (S&amp;P)'!T2161&lt;&gt;"Yes",
        DATEDIF('Loan Tape (S&amp;P)'!K2161, TODAY(), "M")&lt;18),
    1.10,
    1.00)</f>
        <v/>
      </c>
      <c r="O2161">
        <f>IF('Loan Tape (S&amp;P)'!T2161="Yes",
    1.35,
    1.00)</f>
        <v/>
      </c>
      <c r="P2161">
        <f>IF('Loan Tape (S&amp;P)'!S2161="Yes",
    1.15,
    1.00)</f>
        <v/>
      </c>
      <c r="Q2161">
        <f>IF('Loan Tape (S&amp;P)'!V2161="Yes",
    1.20,
    1.00)</f>
        <v/>
      </c>
      <c r="T2161">
        <f>LET(
    payment_method,'Loan Tape (S&amp;P)'!P2161,
    occupancy,'Loan Tape (S&amp;P)'!N2161,
    maturity_date,'Loan Tape (S&amp;P)'!L2161,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62">
      <c r="J2162">
        <f>LET(
    lien,'Loan Tape (S&amp;P)'!Q2162,
    IF(lien="First",1.00,
        IF(lien="Second",1.50,
            1.70)))</f>
        <v/>
      </c>
      <c r="K2162">
        <f>LET(
    purpose,'Loan Tape (S&amp;P)'!R2162,
    IF(purpose="Purchase",1.00,
        IF(purpose="Remortgage",1.00,
            1.20)))</f>
        <v/>
      </c>
      <c r="L2162">
        <f>LET(
    arrears_months,'Loan Tape (S&amp;P)'!AN2162,
    IF(arrears_months=0,1.00,
    IF(arrears_months=1,3.00,
    IF(arrears_months=2,5.00,
    IF(arrears_months=3,8.00,
    IF(arrears_months=4,10.00,
    IF(arrears_months=5,12.00,15.00)))))))</f>
        <v/>
      </c>
      <c r="M2162">
        <f>LET(
    seasoning_years,DATEDIF('Loan Tape (S&amp;P)'!K2162,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62">
        <f>IF(AND('Loan Tape (S&amp;P)'!U2162="Yes",
        'Loan Tape (S&amp;P)'!T2162&lt;&gt;"Yes",
        DATEDIF('Loan Tape (S&amp;P)'!K2162, TODAY(), "M")&lt;18),
    1.10,
    1.00)</f>
        <v/>
      </c>
      <c r="O2162">
        <f>IF('Loan Tape (S&amp;P)'!T2162="Yes",
    1.35,
    1.00)</f>
        <v/>
      </c>
      <c r="P2162">
        <f>IF('Loan Tape (S&amp;P)'!S2162="Yes",
    1.15,
    1.00)</f>
        <v/>
      </c>
      <c r="Q2162">
        <f>IF('Loan Tape (S&amp;P)'!V2162="Yes",
    1.20,
    1.00)</f>
        <v/>
      </c>
      <c r="T2162">
        <f>LET(
    payment_method,'Loan Tape (S&amp;P)'!P2162,
    occupancy,'Loan Tape (S&amp;P)'!N2162,
    maturity_date,'Loan Tape (S&amp;P)'!L2162,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63">
      <c r="J2163">
        <f>LET(
    lien,'Loan Tape (S&amp;P)'!Q2163,
    IF(lien="First",1.00,
        IF(lien="Second",1.50,
            1.70)))</f>
        <v/>
      </c>
      <c r="K2163">
        <f>LET(
    purpose,'Loan Tape (S&amp;P)'!R2163,
    IF(purpose="Purchase",1.00,
        IF(purpose="Remortgage",1.00,
            1.20)))</f>
        <v/>
      </c>
      <c r="L2163">
        <f>LET(
    arrears_months,'Loan Tape (S&amp;P)'!AN2163,
    IF(arrears_months=0,1.00,
    IF(arrears_months=1,3.00,
    IF(arrears_months=2,5.00,
    IF(arrears_months=3,8.00,
    IF(arrears_months=4,10.00,
    IF(arrears_months=5,12.00,15.00)))))))</f>
        <v/>
      </c>
      <c r="M2163">
        <f>LET(
    seasoning_years,DATEDIF('Loan Tape (S&amp;P)'!K2163,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63">
        <f>IF(AND('Loan Tape (S&amp;P)'!U2163="Yes",
        'Loan Tape (S&amp;P)'!T2163&lt;&gt;"Yes",
        DATEDIF('Loan Tape (S&amp;P)'!K2163, TODAY(), "M")&lt;18),
    1.10,
    1.00)</f>
        <v/>
      </c>
      <c r="O2163">
        <f>IF('Loan Tape (S&amp;P)'!T2163="Yes",
    1.35,
    1.00)</f>
        <v/>
      </c>
      <c r="P2163">
        <f>IF('Loan Tape (S&amp;P)'!S2163="Yes",
    1.15,
    1.00)</f>
        <v/>
      </c>
      <c r="Q2163">
        <f>IF('Loan Tape (S&amp;P)'!V2163="Yes",
    1.20,
    1.00)</f>
        <v/>
      </c>
      <c r="T2163">
        <f>LET(
    payment_method,'Loan Tape (S&amp;P)'!P2163,
    occupancy,'Loan Tape (S&amp;P)'!N2163,
    maturity_date,'Loan Tape (S&amp;P)'!L2163,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64">
      <c r="J2164">
        <f>LET(
    lien,'Loan Tape (S&amp;P)'!Q2164,
    IF(lien="First",1.00,
        IF(lien="Second",1.50,
            1.70)))</f>
        <v/>
      </c>
      <c r="K2164">
        <f>LET(
    purpose,'Loan Tape (S&amp;P)'!R2164,
    IF(purpose="Purchase",1.00,
        IF(purpose="Remortgage",1.00,
            1.20)))</f>
        <v/>
      </c>
      <c r="L2164">
        <f>LET(
    arrears_months,'Loan Tape (S&amp;P)'!AN2164,
    IF(arrears_months=0,1.00,
    IF(arrears_months=1,3.00,
    IF(arrears_months=2,5.00,
    IF(arrears_months=3,8.00,
    IF(arrears_months=4,10.00,
    IF(arrears_months=5,12.00,15.00)))))))</f>
        <v/>
      </c>
      <c r="M2164">
        <f>LET(
    seasoning_years,DATEDIF('Loan Tape (S&amp;P)'!K2164,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64">
        <f>IF(AND('Loan Tape (S&amp;P)'!U2164="Yes",
        'Loan Tape (S&amp;P)'!T2164&lt;&gt;"Yes",
        DATEDIF('Loan Tape (S&amp;P)'!K2164, TODAY(), "M")&lt;18),
    1.10,
    1.00)</f>
        <v/>
      </c>
      <c r="O2164">
        <f>IF('Loan Tape (S&amp;P)'!T2164="Yes",
    1.35,
    1.00)</f>
        <v/>
      </c>
      <c r="P2164">
        <f>IF('Loan Tape (S&amp;P)'!S2164="Yes",
    1.15,
    1.00)</f>
        <v/>
      </c>
      <c r="Q2164">
        <f>IF('Loan Tape (S&amp;P)'!V2164="Yes",
    1.20,
    1.00)</f>
        <v/>
      </c>
      <c r="T2164">
        <f>LET(
    payment_method,'Loan Tape (S&amp;P)'!P2164,
    occupancy,'Loan Tape (S&amp;P)'!N2164,
    maturity_date,'Loan Tape (S&amp;P)'!L2164,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65">
      <c r="J2165">
        <f>LET(
    lien,'Loan Tape (S&amp;P)'!Q2165,
    IF(lien="First",1.00,
        IF(lien="Second",1.50,
            1.70)))</f>
        <v/>
      </c>
      <c r="K2165">
        <f>LET(
    purpose,'Loan Tape (S&amp;P)'!R2165,
    IF(purpose="Purchase",1.00,
        IF(purpose="Remortgage",1.00,
            1.20)))</f>
        <v/>
      </c>
      <c r="L2165">
        <f>LET(
    arrears_months,'Loan Tape (S&amp;P)'!AN2165,
    IF(arrears_months=0,1.00,
    IF(arrears_months=1,3.00,
    IF(arrears_months=2,5.00,
    IF(arrears_months=3,8.00,
    IF(arrears_months=4,10.00,
    IF(arrears_months=5,12.00,15.00)))))))</f>
        <v/>
      </c>
      <c r="M2165">
        <f>LET(
    seasoning_years,DATEDIF('Loan Tape (S&amp;P)'!K2165,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65">
        <f>IF(AND('Loan Tape (S&amp;P)'!U2165="Yes",
        'Loan Tape (S&amp;P)'!T2165&lt;&gt;"Yes",
        DATEDIF('Loan Tape (S&amp;P)'!K2165, TODAY(), "M")&lt;18),
    1.10,
    1.00)</f>
        <v/>
      </c>
      <c r="O2165">
        <f>IF('Loan Tape (S&amp;P)'!T2165="Yes",
    1.35,
    1.00)</f>
        <v/>
      </c>
      <c r="P2165">
        <f>IF('Loan Tape (S&amp;P)'!S2165="Yes",
    1.15,
    1.00)</f>
        <v/>
      </c>
      <c r="Q2165">
        <f>IF('Loan Tape (S&amp;P)'!V2165="Yes",
    1.20,
    1.00)</f>
        <v/>
      </c>
      <c r="T2165">
        <f>LET(
    payment_method,'Loan Tape (S&amp;P)'!P2165,
    occupancy,'Loan Tape (S&amp;P)'!N2165,
    maturity_date,'Loan Tape (S&amp;P)'!L2165,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66">
      <c r="J2166">
        <f>LET(
    lien,'Loan Tape (S&amp;P)'!Q2166,
    IF(lien="First",1.00,
        IF(lien="Second",1.50,
            1.70)))</f>
        <v/>
      </c>
      <c r="K2166">
        <f>LET(
    purpose,'Loan Tape (S&amp;P)'!R2166,
    IF(purpose="Purchase",1.00,
        IF(purpose="Remortgage",1.00,
            1.20)))</f>
        <v/>
      </c>
      <c r="L2166">
        <f>LET(
    arrears_months,'Loan Tape (S&amp;P)'!AN2166,
    IF(arrears_months=0,1.00,
    IF(arrears_months=1,3.00,
    IF(arrears_months=2,5.00,
    IF(arrears_months=3,8.00,
    IF(arrears_months=4,10.00,
    IF(arrears_months=5,12.00,15.00)))))))</f>
        <v/>
      </c>
      <c r="M2166">
        <f>LET(
    seasoning_years,DATEDIF('Loan Tape (S&amp;P)'!K2166,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66">
        <f>IF(AND('Loan Tape (S&amp;P)'!U2166="Yes",
        'Loan Tape (S&amp;P)'!T2166&lt;&gt;"Yes",
        DATEDIF('Loan Tape (S&amp;P)'!K2166, TODAY(), "M")&lt;18),
    1.10,
    1.00)</f>
        <v/>
      </c>
      <c r="O2166">
        <f>IF('Loan Tape (S&amp;P)'!T2166="Yes",
    1.35,
    1.00)</f>
        <v/>
      </c>
      <c r="P2166">
        <f>IF('Loan Tape (S&amp;P)'!S2166="Yes",
    1.15,
    1.00)</f>
        <v/>
      </c>
      <c r="Q2166">
        <f>IF('Loan Tape (S&amp;P)'!V2166="Yes",
    1.20,
    1.00)</f>
        <v/>
      </c>
      <c r="T2166">
        <f>LET(
    payment_method,'Loan Tape (S&amp;P)'!P2166,
    occupancy,'Loan Tape (S&amp;P)'!N2166,
    maturity_date,'Loan Tape (S&amp;P)'!L2166,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67">
      <c r="J2167">
        <f>LET(
    lien,'Loan Tape (S&amp;P)'!Q2167,
    IF(lien="First",1.00,
        IF(lien="Second",1.50,
            1.70)))</f>
        <v/>
      </c>
      <c r="K2167">
        <f>LET(
    purpose,'Loan Tape (S&amp;P)'!R2167,
    IF(purpose="Purchase",1.00,
        IF(purpose="Remortgage",1.00,
            1.20)))</f>
        <v/>
      </c>
      <c r="L2167">
        <f>LET(
    arrears_months,'Loan Tape (S&amp;P)'!AN2167,
    IF(arrears_months=0,1.00,
    IF(arrears_months=1,3.00,
    IF(arrears_months=2,5.00,
    IF(arrears_months=3,8.00,
    IF(arrears_months=4,10.00,
    IF(arrears_months=5,12.00,15.00)))))))</f>
        <v/>
      </c>
      <c r="M2167">
        <f>LET(
    seasoning_years,DATEDIF('Loan Tape (S&amp;P)'!K2167,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67">
        <f>IF(AND('Loan Tape (S&amp;P)'!U2167="Yes",
        'Loan Tape (S&amp;P)'!T2167&lt;&gt;"Yes",
        DATEDIF('Loan Tape (S&amp;P)'!K2167, TODAY(), "M")&lt;18),
    1.10,
    1.00)</f>
        <v/>
      </c>
      <c r="O2167">
        <f>IF('Loan Tape (S&amp;P)'!T2167="Yes",
    1.35,
    1.00)</f>
        <v/>
      </c>
      <c r="P2167">
        <f>IF('Loan Tape (S&amp;P)'!S2167="Yes",
    1.15,
    1.00)</f>
        <v/>
      </c>
      <c r="Q2167">
        <f>IF('Loan Tape (S&amp;P)'!V2167="Yes",
    1.20,
    1.00)</f>
        <v/>
      </c>
      <c r="T2167">
        <f>LET(
    payment_method,'Loan Tape (S&amp;P)'!P2167,
    occupancy,'Loan Tape (S&amp;P)'!N2167,
    maturity_date,'Loan Tape (S&amp;P)'!L2167,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68">
      <c r="J2168">
        <f>LET(
    lien,'Loan Tape (S&amp;P)'!Q2168,
    IF(lien="First",1.00,
        IF(lien="Second",1.50,
            1.70)))</f>
        <v/>
      </c>
      <c r="K2168">
        <f>LET(
    purpose,'Loan Tape (S&amp;P)'!R2168,
    IF(purpose="Purchase",1.00,
        IF(purpose="Remortgage",1.00,
            1.20)))</f>
        <v/>
      </c>
      <c r="L2168">
        <f>LET(
    arrears_months,'Loan Tape (S&amp;P)'!AN2168,
    IF(arrears_months=0,1.00,
    IF(arrears_months=1,3.00,
    IF(arrears_months=2,5.00,
    IF(arrears_months=3,8.00,
    IF(arrears_months=4,10.00,
    IF(arrears_months=5,12.00,15.00)))))))</f>
        <v/>
      </c>
      <c r="M2168">
        <f>LET(
    seasoning_years,DATEDIF('Loan Tape (S&amp;P)'!K2168,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68">
        <f>IF(AND('Loan Tape (S&amp;P)'!U2168="Yes",
        'Loan Tape (S&amp;P)'!T2168&lt;&gt;"Yes",
        DATEDIF('Loan Tape (S&amp;P)'!K2168, TODAY(), "M")&lt;18),
    1.10,
    1.00)</f>
        <v/>
      </c>
      <c r="O2168">
        <f>IF('Loan Tape (S&amp;P)'!T2168="Yes",
    1.35,
    1.00)</f>
        <v/>
      </c>
      <c r="P2168">
        <f>IF('Loan Tape (S&amp;P)'!S2168="Yes",
    1.15,
    1.00)</f>
        <v/>
      </c>
      <c r="Q2168">
        <f>IF('Loan Tape (S&amp;P)'!V2168="Yes",
    1.20,
    1.00)</f>
        <v/>
      </c>
      <c r="T2168">
        <f>LET(
    payment_method,'Loan Tape (S&amp;P)'!P2168,
    occupancy,'Loan Tape (S&amp;P)'!N2168,
    maturity_date,'Loan Tape (S&amp;P)'!L2168,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69">
      <c r="J2169">
        <f>LET(
    lien,'Loan Tape (S&amp;P)'!Q2169,
    IF(lien="First",1.00,
        IF(lien="Second",1.50,
            1.70)))</f>
        <v/>
      </c>
      <c r="K2169">
        <f>LET(
    purpose,'Loan Tape (S&amp;P)'!R2169,
    IF(purpose="Purchase",1.00,
        IF(purpose="Remortgage",1.00,
            1.20)))</f>
        <v/>
      </c>
      <c r="L2169">
        <f>LET(
    arrears_months,'Loan Tape (S&amp;P)'!AN2169,
    IF(arrears_months=0,1.00,
    IF(arrears_months=1,3.00,
    IF(arrears_months=2,5.00,
    IF(arrears_months=3,8.00,
    IF(arrears_months=4,10.00,
    IF(arrears_months=5,12.00,15.00)))))))</f>
        <v/>
      </c>
      <c r="M2169">
        <f>LET(
    seasoning_years,DATEDIF('Loan Tape (S&amp;P)'!K2169,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69">
        <f>IF(AND('Loan Tape (S&amp;P)'!U2169="Yes",
        'Loan Tape (S&amp;P)'!T2169&lt;&gt;"Yes",
        DATEDIF('Loan Tape (S&amp;P)'!K2169, TODAY(), "M")&lt;18),
    1.10,
    1.00)</f>
        <v/>
      </c>
      <c r="O2169">
        <f>IF('Loan Tape (S&amp;P)'!T2169="Yes",
    1.35,
    1.00)</f>
        <v/>
      </c>
      <c r="P2169">
        <f>IF('Loan Tape (S&amp;P)'!S2169="Yes",
    1.15,
    1.00)</f>
        <v/>
      </c>
      <c r="Q2169">
        <f>IF('Loan Tape (S&amp;P)'!V2169="Yes",
    1.20,
    1.00)</f>
        <v/>
      </c>
      <c r="T2169">
        <f>LET(
    payment_method,'Loan Tape (S&amp;P)'!P2169,
    occupancy,'Loan Tape (S&amp;P)'!N2169,
    maturity_date,'Loan Tape (S&amp;P)'!L2169,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70">
      <c r="J2170">
        <f>LET(
    lien,'Loan Tape (S&amp;P)'!Q2170,
    IF(lien="First",1.00,
        IF(lien="Second",1.50,
            1.70)))</f>
        <v/>
      </c>
      <c r="K2170">
        <f>LET(
    purpose,'Loan Tape (S&amp;P)'!R2170,
    IF(purpose="Purchase",1.00,
        IF(purpose="Remortgage",1.00,
            1.20)))</f>
        <v/>
      </c>
      <c r="L2170">
        <f>LET(
    arrears_months,'Loan Tape (S&amp;P)'!AN2170,
    IF(arrears_months=0,1.00,
    IF(arrears_months=1,3.00,
    IF(arrears_months=2,5.00,
    IF(arrears_months=3,8.00,
    IF(arrears_months=4,10.00,
    IF(arrears_months=5,12.00,15.00)))))))</f>
        <v/>
      </c>
      <c r="M2170">
        <f>LET(
    seasoning_years,DATEDIF('Loan Tape (S&amp;P)'!K2170,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70">
        <f>IF(AND('Loan Tape (S&amp;P)'!U2170="Yes",
        'Loan Tape (S&amp;P)'!T2170&lt;&gt;"Yes",
        DATEDIF('Loan Tape (S&amp;P)'!K2170, TODAY(), "M")&lt;18),
    1.10,
    1.00)</f>
        <v/>
      </c>
      <c r="O2170">
        <f>IF('Loan Tape (S&amp;P)'!T2170="Yes",
    1.35,
    1.00)</f>
        <v/>
      </c>
      <c r="P2170">
        <f>IF('Loan Tape (S&amp;P)'!S2170="Yes",
    1.15,
    1.00)</f>
        <v/>
      </c>
      <c r="Q2170">
        <f>IF('Loan Tape (S&amp;P)'!V2170="Yes",
    1.20,
    1.00)</f>
        <v/>
      </c>
      <c r="T2170">
        <f>LET(
    payment_method,'Loan Tape (S&amp;P)'!P2170,
    occupancy,'Loan Tape (S&amp;P)'!N2170,
    maturity_date,'Loan Tape (S&amp;P)'!L2170,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71">
      <c r="J2171">
        <f>LET(
    lien,'Loan Tape (S&amp;P)'!Q2171,
    IF(lien="First",1.00,
        IF(lien="Second",1.50,
            1.70)))</f>
        <v/>
      </c>
      <c r="K2171">
        <f>LET(
    purpose,'Loan Tape (S&amp;P)'!R2171,
    IF(purpose="Purchase",1.00,
        IF(purpose="Remortgage",1.00,
            1.20)))</f>
        <v/>
      </c>
      <c r="L2171">
        <f>LET(
    arrears_months,'Loan Tape (S&amp;P)'!AN2171,
    IF(arrears_months=0,1.00,
    IF(arrears_months=1,3.00,
    IF(arrears_months=2,5.00,
    IF(arrears_months=3,8.00,
    IF(arrears_months=4,10.00,
    IF(arrears_months=5,12.00,15.00)))))))</f>
        <v/>
      </c>
      <c r="M2171">
        <f>LET(
    seasoning_years,DATEDIF('Loan Tape (S&amp;P)'!K2171,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71">
        <f>IF(AND('Loan Tape (S&amp;P)'!U2171="Yes",
        'Loan Tape (S&amp;P)'!T2171&lt;&gt;"Yes",
        DATEDIF('Loan Tape (S&amp;P)'!K2171, TODAY(), "M")&lt;18),
    1.10,
    1.00)</f>
        <v/>
      </c>
      <c r="O2171">
        <f>IF('Loan Tape (S&amp;P)'!T2171="Yes",
    1.35,
    1.00)</f>
        <v/>
      </c>
      <c r="P2171">
        <f>IF('Loan Tape (S&amp;P)'!S2171="Yes",
    1.15,
    1.00)</f>
        <v/>
      </c>
      <c r="Q2171">
        <f>IF('Loan Tape (S&amp;P)'!V2171="Yes",
    1.20,
    1.00)</f>
        <v/>
      </c>
      <c r="T2171">
        <f>LET(
    payment_method,'Loan Tape (S&amp;P)'!P2171,
    occupancy,'Loan Tape (S&amp;P)'!N2171,
    maturity_date,'Loan Tape (S&amp;P)'!L2171,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72">
      <c r="J2172">
        <f>LET(
    lien,'Loan Tape (S&amp;P)'!Q2172,
    IF(lien="First",1.00,
        IF(lien="Second",1.50,
            1.70)))</f>
        <v/>
      </c>
      <c r="K2172">
        <f>LET(
    purpose,'Loan Tape (S&amp;P)'!R2172,
    IF(purpose="Purchase",1.00,
        IF(purpose="Remortgage",1.00,
            1.20)))</f>
        <v/>
      </c>
      <c r="L2172">
        <f>LET(
    arrears_months,'Loan Tape (S&amp;P)'!AN2172,
    IF(arrears_months=0,1.00,
    IF(arrears_months=1,3.00,
    IF(arrears_months=2,5.00,
    IF(arrears_months=3,8.00,
    IF(arrears_months=4,10.00,
    IF(arrears_months=5,12.00,15.00)))))))</f>
        <v/>
      </c>
      <c r="M2172">
        <f>LET(
    seasoning_years,DATEDIF('Loan Tape (S&amp;P)'!K2172,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72">
        <f>IF(AND('Loan Tape (S&amp;P)'!U2172="Yes",
        'Loan Tape (S&amp;P)'!T2172&lt;&gt;"Yes",
        DATEDIF('Loan Tape (S&amp;P)'!K2172, TODAY(), "M")&lt;18),
    1.10,
    1.00)</f>
        <v/>
      </c>
      <c r="O2172">
        <f>IF('Loan Tape (S&amp;P)'!T2172="Yes",
    1.35,
    1.00)</f>
        <v/>
      </c>
      <c r="P2172">
        <f>IF('Loan Tape (S&amp;P)'!S2172="Yes",
    1.15,
    1.00)</f>
        <v/>
      </c>
      <c r="Q2172">
        <f>IF('Loan Tape (S&amp;P)'!V2172="Yes",
    1.20,
    1.00)</f>
        <v/>
      </c>
      <c r="T2172">
        <f>LET(
    payment_method,'Loan Tape (S&amp;P)'!P2172,
    occupancy,'Loan Tape (S&amp;P)'!N2172,
    maturity_date,'Loan Tape (S&amp;P)'!L2172,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73">
      <c r="J2173">
        <f>LET(
    lien,'Loan Tape (S&amp;P)'!Q2173,
    IF(lien="First",1.00,
        IF(lien="Second",1.50,
            1.70)))</f>
        <v/>
      </c>
      <c r="K2173">
        <f>LET(
    purpose,'Loan Tape (S&amp;P)'!R2173,
    IF(purpose="Purchase",1.00,
        IF(purpose="Remortgage",1.00,
            1.20)))</f>
        <v/>
      </c>
      <c r="L2173">
        <f>LET(
    arrears_months,'Loan Tape (S&amp;P)'!AN2173,
    IF(arrears_months=0,1.00,
    IF(arrears_months=1,3.00,
    IF(arrears_months=2,5.00,
    IF(arrears_months=3,8.00,
    IF(arrears_months=4,10.00,
    IF(arrears_months=5,12.00,15.00)))))))</f>
        <v/>
      </c>
      <c r="M2173">
        <f>LET(
    seasoning_years,DATEDIF('Loan Tape (S&amp;P)'!K2173,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73">
        <f>IF(AND('Loan Tape (S&amp;P)'!U2173="Yes",
        'Loan Tape (S&amp;P)'!T2173&lt;&gt;"Yes",
        DATEDIF('Loan Tape (S&amp;P)'!K2173, TODAY(), "M")&lt;18),
    1.10,
    1.00)</f>
        <v/>
      </c>
      <c r="O2173">
        <f>IF('Loan Tape (S&amp;P)'!T2173="Yes",
    1.35,
    1.00)</f>
        <v/>
      </c>
      <c r="P2173">
        <f>IF('Loan Tape (S&amp;P)'!S2173="Yes",
    1.15,
    1.00)</f>
        <v/>
      </c>
      <c r="Q2173">
        <f>IF('Loan Tape (S&amp;P)'!V2173="Yes",
    1.20,
    1.00)</f>
        <v/>
      </c>
      <c r="T2173">
        <f>LET(
    payment_method,'Loan Tape (S&amp;P)'!P2173,
    occupancy,'Loan Tape (S&amp;P)'!N2173,
    maturity_date,'Loan Tape (S&amp;P)'!L2173,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74">
      <c r="J2174">
        <f>LET(
    lien,'Loan Tape (S&amp;P)'!Q2174,
    IF(lien="First",1.00,
        IF(lien="Second",1.50,
            1.70)))</f>
        <v/>
      </c>
      <c r="K2174">
        <f>LET(
    purpose,'Loan Tape (S&amp;P)'!R2174,
    IF(purpose="Purchase",1.00,
        IF(purpose="Remortgage",1.00,
            1.20)))</f>
        <v/>
      </c>
      <c r="L2174">
        <f>LET(
    arrears_months,'Loan Tape (S&amp;P)'!AN2174,
    IF(arrears_months=0,1.00,
    IF(arrears_months=1,3.00,
    IF(arrears_months=2,5.00,
    IF(arrears_months=3,8.00,
    IF(arrears_months=4,10.00,
    IF(arrears_months=5,12.00,15.00)))))))</f>
        <v/>
      </c>
      <c r="M2174">
        <f>LET(
    seasoning_years,DATEDIF('Loan Tape (S&amp;P)'!K2174,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74">
        <f>IF(AND('Loan Tape (S&amp;P)'!U2174="Yes",
        'Loan Tape (S&amp;P)'!T2174&lt;&gt;"Yes",
        DATEDIF('Loan Tape (S&amp;P)'!K2174, TODAY(), "M")&lt;18),
    1.10,
    1.00)</f>
        <v/>
      </c>
      <c r="O2174">
        <f>IF('Loan Tape (S&amp;P)'!T2174="Yes",
    1.35,
    1.00)</f>
        <v/>
      </c>
      <c r="P2174">
        <f>IF('Loan Tape (S&amp;P)'!S2174="Yes",
    1.15,
    1.00)</f>
        <v/>
      </c>
      <c r="Q2174">
        <f>IF('Loan Tape (S&amp;P)'!V2174="Yes",
    1.20,
    1.00)</f>
        <v/>
      </c>
      <c r="T2174">
        <f>LET(
    payment_method,'Loan Tape (S&amp;P)'!P2174,
    occupancy,'Loan Tape (S&amp;P)'!N2174,
    maturity_date,'Loan Tape (S&amp;P)'!L2174,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75">
      <c r="J2175">
        <f>LET(
    lien,'Loan Tape (S&amp;P)'!Q2175,
    IF(lien="First",1.00,
        IF(lien="Second",1.50,
            1.70)))</f>
        <v/>
      </c>
      <c r="K2175">
        <f>LET(
    purpose,'Loan Tape (S&amp;P)'!R2175,
    IF(purpose="Purchase",1.00,
        IF(purpose="Remortgage",1.00,
            1.20)))</f>
        <v/>
      </c>
      <c r="L2175">
        <f>LET(
    arrears_months,'Loan Tape (S&amp;P)'!AN2175,
    IF(arrears_months=0,1.00,
    IF(arrears_months=1,3.00,
    IF(arrears_months=2,5.00,
    IF(arrears_months=3,8.00,
    IF(arrears_months=4,10.00,
    IF(arrears_months=5,12.00,15.00)))))))</f>
        <v/>
      </c>
      <c r="M2175">
        <f>LET(
    seasoning_years,DATEDIF('Loan Tape (S&amp;P)'!K2175,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75">
        <f>IF(AND('Loan Tape (S&amp;P)'!U2175="Yes",
        'Loan Tape (S&amp;P)'!T2175&lt;&gt;"Yes",
        DATEDIF('Loan Tape (S&amp;P)'!K2175, TODAY(), "M")&lt;18),
    1.10,
    1.00)</f>
        <v/>
      </c>
      <c r="O2175">
        <f>IF('Loan Tape (S&amp;P)'!T2175="Yes",
    1.35,
    1.00)</f>
        <v/>
      </c>
      <c r="P2175">
        <f>IF('Loan Tape (S&amp;P)'!S2175="Yes",
    1.15,
    1.00)</f>
        <v/>
      </c>
      <c r="Q2175">
        <f>IF('Loan Tape (S&amp;P)'!V2175="Yes",
    1.20,
    1.00)</f>
        <v/>
      </c>
      <c r="T2175">
        <f>LET(
    payment_method,'Loan Tape (S&amp;P)'!P2175,
    occupancy,'Loan Tape (S&amp;P)'!N2175,
    maturity_date,'Loan Tape (S&amp;P)'!L2175,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76">
      <c r="J2176">
        <f>LET(
    lien,'Loan Tape (S&amp;P)'!Q2176,
    IF(lien="First",1.00,
        IF(lien="Second",1.50,
            1.70)))</f>
        <v/>
      </c>
      <c r="K2176">
        <f>LET(
    purpose,'Loan Tape (S&amp;P)'!R2176,
    IF(purpose="Purchase",1.00,
        IF(purpose="Remortgage",1.00,
            1.20)))</f>
        <v/>
      </c>
      <c r="L2176">
        <f>LET(
    arrears_months,'Loan Tape (S&amp;P)'!AN2176,
    IF(arrears_months=0,1.00,
    IF(arrears_months=1,3.00,
    IF(arrears_months=2,5.00,
    IF(arrears_months=3,8.00,
    IF(arrears_months=4,10.00,
    IF(arrears_months=5,12.00,15.00)))))))</f>
        <v/>
      </c>
      <c r="M2176">
        <f>LET(
    seasoning_years,DATEDIF('Loan Tape (S&amp;P)'!K2176,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76">
        <f>IF(AND('Loan Tape (S&amp;P)'!U2176="Yes",
        'Loan Tape (S&amp;P)'!T2176&lt;&gt;"Yes",
        DATEDIF('Loan Tape (S&amp;P)'!K2176, TODAY(), "M")&lt;18),
    1.10,
    1.00)</f>
        <v/>
      </c>
      <c r="O2176">
        <f>IF('Loan Tape (S&amp;P)'!T2176="Yes",
    1.35,
    1.00)</f>
        <v/>
      </c>
      <c r="P2176">
        <f>IF('Loan Tape (S&amp;P)'!S2176="Yes",
    1.15,
    1.00)</f>
        <v/>
      </c>
      <c r="Q2176">
        <f>IF('Loan Tape (S&amp;P)'!V2176="Yes",
    1.20,
    1.00)</f>
        <v/>
      </c>
      <c r="T2176">
        <f>LET(
    payment_method,'Loan Tape (S&amp;P)'!P2176,
    occupancy,'Loan Tape (S&amp;P)'!N2176,
    maturity_date,'Loan Tape (S&amp;P)'!L2176,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77">
      <c r="J2177">
        <f>LET(
    lien,'Loan Tape (S&amp;P)'!Q2177,
    IF(lien="First",1.00,
        IF(lien="Second",1.50,
            1.70)))</f>
        <v/>
      </c>
      <c r="K2177">
        <f>LET(
    purpose,'Loan Tape (S&amp;P)'!R2177,
    IF(purpose="Purchase",1.00,
        IF(purpose="Remortgage",1.00,
            1.20)))</f>
        <v/>
      </c>
      <c r="L2177">
        <f>LET(
    arrears_months,'Loan Tape (S&amp;P)'!AN2177,
    IF(arrears_months=0,1.00,
    IF(arrears_months=1,3.00,
    IF(arrears_months=2,5.00,
    IF(arrears_months=3,8.00,
    IF(arrears_months=4,10.00,
    IF(arrears_months=5,12.00,15.00)))))))</f>
        <v/>
      </c>
      <c r="M2177">
        <f>LET(
    seasoning_years,DATEDIF('Loan Tape (S&amp;P)'!K2177,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77">
        <f>IF(AND('Loan Tape (S&amp;P)'!U2177="Yes",
        'Loan Tape (S&amp;P)'!T2177&lt;&gt;"Yes",
        DATEDIF('Loan Tape (S&amp;P)'!K2177, TODAY(), "M")&lt;18),
    1.10,
    1.00)</f>
        <v/>
      </c>
      <c r="O2177">
        <f>IF('Loan Tape (S&amp;P)'!T2177="Yes",
    1.35,
    1.00)</f>
        <v/>
      </c>
      <c r="P2177">
        <f>IF('Loan Tape (S&amp;P)'!S2177="Yes",
    1.15,
    1.00)</f>
        <v/>
      </c>
      <c r="Q2177">
        <f>IF('Loan Tape (S&amp;P)'!V2177="Yes",
    1.20,
    1.00)</f>
        <v/>
      </c>
      <c r="T2177">
        <f>LET(
    payment_method,'Loan Tape (S&amp;P)'!P2177,
    occupancy,'Loan Tape (S&amp;P)'!N2177,
    maturity_date,'Loan Tape (S&amp;P)'!L2177,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78">
      <c r="J2178">
        <f>LET(
    lien,'Loan Tape (S&amp;P)'!Q2178,
    IF(lien="First",1.00,
        IF(lien="Second",1.50,
            1.70)))</f>
        <v/>
      </c>
      <c r="K2178">
        <f>LET(
    purpose,'Loan Tape (S&amp;P)'!R2178,
    IF(purpose="Purchase",1.00,
        IF(purpose="Remortgage",1.00,
            1.20)))</f>
        <v/>
      </c>
      <c r="L2178">
        <f>LET(
    arrears_months,'Loan Tape (S&amp;P)'!AN2178,
    IF(arrears_months=0,1.00,
    IF(arrears_months=1,3.00,
    IF(arrears_months=2,5.00,
    IF(arrears_months=3,8.00,
    IF(arrears_months=4,10.00,
    IF(arrears_months=5,12.00,15.00)))))))</f>
        <v/>
      </c>
      <c r="M2178">
        <f>LET(
    seasoning_years,DATEDIF('Loan Tape (S&amp;P)'!K2178,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78">
        <f>IF(AND('Loan Tape (S&amp;P)'!U2178="Yes",
        'Loan Tape (S&amp;P)'!T2178&lt;&gt;"Yes",
        DATEDIF('Loan Tape (S&amp;P)'!K2178, TODAY(), "M")&lt;18),
    1.10,
    1.00)</f>
        <v/>
      </c>
      <c r="O2178">
        <f>IF('Loan Tape (S&amp;P)'!T2178="Yes",
    1.35,
    1.00)</f>
        <v/>
      </c>
      <c r="P2178">
        <f>IF('Loan Tape (S&amp;P)'!S2178="Yes",
    1.15,
    1.00)</f>
        <v/>
      </c>
      <c r="Q2178">
        <f>IF('Loan Tape (S&amp;P)'!V2178="Yes",
    1.20,
    1.00)</f>
        <v/>
      </c>
      <c r="T2178">
        <f>LET(
    payment_method,'Loan Tape (S&amp;P)'!P2178,
    occupancy,'Loan Tape (S&amp;P)'!N2178,
    maturity_date,'Loan Tape (S&amp;P)'!L2178,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79">
      <c r="J2179">
        <f>LET(
    lien,'Loan Tape (S&amp;P)'!Q2179,
    IF(lien="First",1.00,
        IF(lien="Second",1.50,
            1.70)))</f>
        <v/>
      </c>
      <c r="K2179">
        <f>LET(
    purpose,'Loan Tape (S&amp;P)'!R2179,
    IF(purpose="Purchase",1.00,
        IF(purpose="Remortgage",1.00,
            1.20)))</f>
        <v/>
      </c>
      <c r="L2179">
        <f>LET(
    arrears_months,'Loan Tape (S&amp;P)'!AN2179,
    IF(arrears_months=0,1.00,
    IF(arrears_months=1,3.00,
    IF(arrears_months=2,5.00,
    IF(arrears_months=3,8.00,
    IF(arrears_months=4,10.00,
    IF(arrears_months=5,12.00,15.00)))))))</f>
        <v/>
      </c>
      <c r="M2179">
        <f>LET(
    seasoning_years,DATEDIF('Loan Tape (S&amp;P)'!K2179,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79">
        <f>IF(AND('Loan Tape (S&amp;P)'!U2179="Yes",
        'Loan Tape (S&amp;P)'!T2179&lt;&gt;"Yes",
        DATEDIF('Loan Tape (S&amp;P)'!K2179, TODAY(), "M")&lt;18),
    1.10,
    1.00)</f>
        <v/>
      </c>
      <c r="O2179">
        <f>IF('Loan Tape (S&amp;P)'!T2179="Yes",
    1.35,
    1.00)</f>
        <v/>
      </c>
      <c r="P2179">
        <f>IF('Loan Tape (S&amp;P)'!S2179="Yes",
    1.15,
    1.00)</f>
        <v/>
      </c>
      <c r="Q2179">
        <f>IF('Loan Tape (S&amp;P)'!V2179="Yes",
    1.20,
    1.00)</f>
        <v/>
      </c>
      <c r="T2179">
        <f>LET(
    payment_method,'Loan Tape (S&amp;P)'!P2179,
    occupancy,'Loan Tape (S&amp;P)'!N2179,
    maturity_date,'Loan Tape (S&amp;P)'!L2179,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80">
      <c r="J2180">
        <f>LET(
    lien,'Loan Tape (S&amp;P)'!Q2180,
    IF(lien="First",1.00,
        IF(lien="Second",1.50,
            1.70)))</f>
        <v/>
      </c>
      <c r="K2180">
        <f>LET(
    purpose,'Loan Tape (S&amp;P)'!R2180,
    IF(purpose="Purchase",1.00,
        IF(purpose="Remortgage",1.00,
            1.20)))</f>
        <v/>
      </c>
      <c r="L2180">
        <f>LET(
    arrears_months,'Loan Tape (S&amp;P)'!AN2180,
    IF(arrears_months=0,1.00,
    IF(arrears_months=1,3.00,
    IF(arrears_months=2,5.00,
    IF(arrears_months=3,8.00,
    IF(arrears_months=4,10.00,
    IF(arrears_months=5,12.00,15.00)))))))</f>
        <v/>
      </c>
      <c r="M2180">
        <f>LET(
    seasoning_years,DATEDIF('Loan Tape (S&amp;P)'!K2180,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80">
        <f>IF(AND('Loan Tape (S&amp;P)'!U2180="Yes",
        'Loan Tape (S&amp;P)'!T2180&lt;&gt;"Yes",
        DATEDIF('Loan Tape (S&amp;P)'!K2180, TODAY(), "M")&lt;18),
    1.10,
    1.00)</f>
        <v/>
      </c>
      <c r="O2180">
        <f>IF('Loan Tape (S&amp;P)'!T2180="Yes",
    1.35,
    1.00)</f>
        <v/>
      </c>
      <c r="P2180">
        <f>IF('Loan Tape (S&amp;P)'!S2180="Yes",
    1.15,
    1.00)</f>
        <v/>
      </c>
      <c r="Q2180">
        <f>IF('Loan Tape (S&amp;P)'!V2180="Yes",
    1.20,
    1.00)</f>
        <v/>
      </c>
      <c r="T2180">
        <f>LET(
    payment_method,'Loan Tape (S&amp;P)'!P2180,
    occupancy,'Loan Tape (S&amp;P)'!N2180,
    maturity_date,'Loan Tape (S&amp;P)'!L2180,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81">
      <c r="J2181">
        <f>LET(
    lien,'Loan Tape (S&amp;P)'!Q2181,
    IF(lien="First",1.00,
        IF(lien="Second",1.50,
            1.70)))</f>
        <v/>
      </c>
      <c r="K2181">
        <f>LET(
    purpose,'Loan Tape (S&amp;P)'!R2181,
    IF(purpose="Purchase",1.00,
        IF(purpose="Remortgage",1.00,
            1.20)))</f>
        <v/>
      </c>
      <c r="L2181">
        <f>LET(
    arrears_months,'Loan Tape (S&amp;P)'!AN2181,
    IF(arrears_months=0,1.00,
    IF(arrears_months=1,3.00,
    IF(arrears_months=2,5.00,
    IF(arrears_months=3,8.00,
    IF(arrears_months=4,10.00,
    IF(arrears_months=5,12.00,15.00)))))))</f>
        <v/>
      </c>
      <c r="M2181">
        <f>LET(
    seasoning_years,DATEDIF('Loan Tape (S&amp;P)'!K2181,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81">
        <f>IF(AND('Loan Tape (S&amp;P)'!U2181="Yes",
        'Loan Tape (S&amp;P)'!T2181&lt;&gt;"Yes",
        DATEDIF('Loan Tape (S&amp;P)'!K2181, TODAY(), "M")&lt;18),
    1.10,
    1.00)</f>
        <v/>
      </c>
      <c r="O2181">
        <f>IF('Loan Tape (S&amp;P)'!T2181="Yes",
    1.35,
    1.00)</f>
        <v/>
      </c>
      <c r="P2181">
        <f>IF('Loan Tape (S&amp;P)'!S2181="Yes",
    1.15,
    1.00)</f>
        <v/>
      </c>
      <c r="Q2181">
        <f>IF('Loan Tape (S&amp;P)'!V2181="Yes",
    1.20,
    1.00)</f>
        <v/>
      </c>
      <c r="T2181">
        <f>LET(
    payment_method,'Loan Tape (S&amp;P)'!P2181,
    occupancy,'Loan Tape (S&amp;P)'!N2181,
    maturity_date,'Loan Tape (S&amp;P)'!L2181,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82">
      <c r="J2182">
        <f>LET(
    lien,'Loan Tape (S&amp;P)'!Q2182,
    IF(lien="First",1.00,
        IF(lien="Second",1.50,
            1.70)))</f>
        <v/>
      </c>
      <c r="K2182">
        <f>LET(
    purpose,'Loan Tape (S&amp;P)'!R2182,
    IF(purpose="Purchase",1.00,
        IF(purpose="Remortgage",1.00,
            1.20)))</f>
        <v/>
      </c>
      <c r="L2182">
        <f>LET(
    arrears_months,'Loan Tape (S&amp;P)'!AN2182,
    IF(arrears_months=0,1.00,
    IF(arrears_months=1,3.00,
    IF(arrears_months=2,5.00,
    IF(arrears_months=3,8.00,
    IF(arrears_months=4,10.00,
    IF(arrears_months=5,12.00,15.00)))))))</f>
        <v/>
      </c>
      <c r="M2182">
        <f>LET(
    seasoning_years,DATEDIF('Loan Tape (S&amp;P)'!K2182,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82">
        <f>IF(AND('Loan Tape (S&amp;P)'!U2182="Yes",
        'Loan Tape (S&amp;P)'!T2182&lt;&gt;"Yes",
        DATEDIF('Loan Tape (S&amp;P)'!K2182, TODAY(), "M")&lt;18),
    1.10,
    1.00)</f>
        <v/>
      </c>
      <c r="O2182">
        <f>IF('Loan Tape (S&amp;P)'!T2182="Yes",
    1.35,
    1.00)</f>
        <v/>
      </c>
      <c r="P2182">
        <f>IF('Loan Tape (S&amp;P)'!S2182="Yes",
    1.15,
    1.00)</f>
        <v/>
      </c>
      <c r="Q2182">
        <f>IF('Loan Tape (S&amp;P)'!V2182="Yes",
    1.20,
    1.00)</f>
        <v/>
      </c>
      <c r="T2182">
        <f>LET(
    payment_method,'Loan Tape (S&amp;P)'!P2182,
    occupancy,'Loan Tape (S&amp;P)'!N2182,
    maturity_date,'Loan Tape (S&amp;P)'!L2182,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83">
      <c r="J2183">
        <f>LET(
    lien,'Loan Tape (S&amp;P)'!Q2183,
    IF(lien="First",1.00,
        IF(lien="Second",1.50,
            1.70)))</f>
        <v/>
      </c>
      <c r="K2183">
        <f>LET(
    purpose,'Loan Tape (S&amp;P)'!R2183,
    IF(purpose="Purchase",1.00,
        IF(purpose="Remortgage",1.00,
            1.20)))</f>
        <v/>
      </c>
      <c r="L2183">
        <f>LET(
    arrears_months,'Loan Tape (S&amp;P)'!AN2183,
    IF(arrears_months=0,1.00,
    IF(arrears_months=1,3.00,
    IF(arrears_months=2,5.00,
    IF(arrears_months=3,8.00,
    IF(arrears_months=4,10.00,
    IF(arrears_months=5,12.00,15.00)))))))</f>
        <v/>
      </c>
      <c r="M2183">
        <f>LET(
    seasoning_years,DATEDIF('Loan Tape (S&amp;P)'!K2183,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83">
        <f>IF(AND('Loan Tape (S&amp;P)'!U2183="Yes",
        'Loan Tape (S&amp;P)'!T2183&lt;&gt;"Yes",
        DATEDIF('Loan Tape (S&amp;P)'!K2183, TODAY(), "M")&lt;18),
    1.10,
    1.00)</f>
        <v/>
      </c>
      <c r="O2183">
        <f>IF('Loan Tape (S&amp;P)'!T2183="Yes",
    1.35,
    1.00)</f>
        <v/>
      </c>
      <c r="P2183">
        <f>IF('Loan Tape (S&amp;P)'!S2183="Yes",
    1.15,
    1.00)</f>
        <v/>
      </c>
      <c r="Q2183">
        <f>IF('Loan Tape (S&amp;P)'!V2183="Yes",
    1.20,
    1.00)</f>
        <v/>
      </c>
      <c r="T2183">
        <f>LET(
    payment_method,'Loan Tape (S&amp;P)'!P2183,
    occupancy,'Loan Tape (S&amp;P)'!N2183,
    maturity_date,'Loan Tape (S&amp;P)'!L2183,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84">
      <c r="J2184">
        <f>LET(
    lien,'Loan Tape (S&amp;P)'!Q2184,
    IF(lien="First",1.00,
        IF(lien="Second",1.50,
            1.70)))</f>
        <v/>
      </c>
      <c r="K2184">
        <f>LET(
    purpose,'Loan Tape (S&amp;P)'!R2184,
    IF(purpose="Purchase",1.00,
        IF(purpose="Remortgage",1.00,
            1.20)))</f>
        <v/>
      </c>
      <c r="L2184">
        <f>LET(
    arrears_months,'Loan Tape (S&amp;P)'!AN2184,
    IF(arrears_months=0,1.00,
    IF(arrears_months=1,3.00,
    IF(arrears_months=2,5.00,
    IF(arrears_months=3,8.00,
    IF(arrears_months=4,10.00,
    IF(arrears_months=5,12.00,15.00)))))))</f>
        <v/>
      </c>
      <c r="M2184">
        <f>LET(
    seasoning_years,DATEDIF('Loan Tape (S&amp;P)'!K2184,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84">
        <f>IF(AND('Loan Tape (S&amp;P)'!U2184="Yes",
        'Loan Tape (S&amp;P)'!T2184&lt;&gt;"Yes",
        DATEDIF('Loan Tape (S&amp;P)'!K2184, TODAY(), "M")&lt;18),
    1.10,
    1.00)</f>
        <v/>
      </c>
      <c r="O2184">
        <f>IF('Loan Tape (S&amp;P)'!T2184="Yes",
    1.35,
    1.00)</f>
        <v/>
      </c>
      <c r="P2184">
        <f>IF('Loan Tape (S&amp;P)'!S2184="Yes",
    1.15,
    1.00)</f>
        <v/>
      </c>
      <c r="Q2184">
        <f>IF('Loan Tape (S&amp;P)'!V2184="Yes",
    1.20,
    1.00)</f>
        <v/>
      </c>
      <c r="T2184">
        <f>LET(
    payment_method,'Loan Tape (S&amp;P)'!P2184,
    occupancy,'Loan Tape (S&amp;P)'!N2184,
    maturity_date,'Loan Tape (S&amp;P)'!L2184,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85">
      <c r="J2185">
        <f>LET(
    lien,'Loan Tape (S&amp;P)'!Q2185,
    IF(lien="First",1.00,
        IF(lien="Second",1.50,
            1.70)))</f>
        <v/>
      </c>
      <c r="K2185">
        <f>LET(
    purpose,'Loan Tape (S&amp;P)'!R2185,
    IF(purpose="Purchase",1.00,
        IF(purpose="Remortgage",1.00,
            1.20)))</f>
        <v/>
      </c>
      <c r="L2185">
        <f>LET(
    arrears_months,'Loan Tape (S&amp;P)'!AN2185,
    IF(arrears_months=0,1.00,
    IF(arrears_months=1,3.00,
    IF(arrears_months=2,5.00,
    IF(arrears_months=3,8.00,
    IF(arrears_months=4,10.00,
    IF(arrears_months=5,12.00,15.00)))))))</f>
        <v/>
      </c>
      <c r="M2185">
        <f>LET(
    seasoning_years,DATEDIF('Loan Tape (S&amp;P)'!K2185,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85">
        <f>IF(AND('Loan Tape (S&amp;P)'!U2185="Yes",
        'Loan Tape (S&amp;P)'!T2185&lt;&gt;"Yes",
        DATEDIF('Loan Tape (S&amp;P)'!K2185, TODAY(), "M")&lt;18),
    1.10,
    1.00)</f>
        <v/>
      </c>
      <c r="O2185">
        <f>IF('Loan Tape (S&amp;P)'!T2185="Yes",
    1.35,
    1.00)</f>
        <v/>
      </c>
      <c r="P2185">
        <f>IF('Loan Tape (S&amp;P)'!S2185="Yes",
    1.15,
    1.00)</f>
        <v/>
      </c>
      <c r="Q2185">
        <f>IF('Loan Tape (S&amp;P)'!V2185="Yes",
    1.20,
    1.00)</f>
        <v/>
      </c>
      <c r="T2185">
        <f>LET(
    payment_method,'Loan Tape (S&amp;P)'!P2185,
    occupancy,'Loan Tape (S&amp;P)'!N2185,
    maturity_date,'Loan Tape (S&amp;P)'!L2185,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86">
      <c r="J2186">
        <f>LET(
    lien,'Loan Tape (S&amp;P)'!Q2186,
    IF(lien="First",1.00,
        IF(lien="Second",1.50,
            1.70)))</f>
        <v/>
      </c>
      <c r="K2186">
        <f>LET(
    purpose,'Loan Tape (S&amp;P)'!R2186,
    IF(purpose="Purchase",1.00,
        IF(purpose="Remortgage",1.00,
            1.20)))</f>
        <v/>
      </c>
      <c r="L2186">
        <f>LET(
    arrears_months,'Loan Tape (S&amp;P)'!AN2186,
    IF(arrears_months=0,1.00,
    IF(arrears_months=1,3.00,
    IF(arrears_months=2,5.00,
    IF(arrears_months=3,8.00,
    IF(arrears_months=4,10.00,
    IF(arrears_months=5,12.00,15.00)))))))</f>
        <v/>
      </c>
      <c r="M2186">
        <f>LET(
    seasoning_years,DATEDIF('Loan Tape (S&amp;P)'!K2186,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86">
        <f>IF(AND('Loan Tape (S&amp;P)'!U2186="Yes",
        'Loan Tape (S&amp;P)'!T2186&lt;&gt;"Yes",
        DATEDIF('Loan Tape (S&amp;P)'!K2186, TODAY(), "M")&lt;18),
    1.10,
    1.00)</f>
        <v/>
      </c>
      <c r="O2186">
        <f>IF('Loan Tape (S&amp;P)'!T2186="Yes",
    1.35,
    1.00)</f>
        <v/>
      </c>
      <c r="P2186">
        <f>IF('Loan Tape (S&amp;P)'!S2186="Yes",
    1.15,
    1.00)</f>
        <v/>
      </c>
      <c r="Q2186">
        <f>IF('Loan Tape (S&amp;P)'!V2186="Yes",
    1.20,
    1.00)</f>
        <v/>
      </c>
      <c r="T2186">
        <f>LET(
    payment_method,'Loan Tape (S&amp;P)'!P2186,
    occupancy,'Loan Tape (S&amp;P)'!N2186,
    maturity_date,'Loan Tape (S&amp;P)'!L2186,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87">
      <c r="J2187">
        <f>LET(
    lien,'Loan Tape (S&amp;P)'!Q2187,
    IF(lien="First",1.00,
        IF(lien="Second",1.50,
            1.70)))</f>
        <v/>
      </c>
      <c r="K2187">
        <f>LET(
    purpose,'Loan Tape (S&amp;P)'!R2187,
    IF(purpose="Purchase",1.00,
        IF(purpose="Remortgage",1.00,
            1.20)))</f>
        <v/>
      </c>
      <c r="L2187">
        <f>LET(
    arrears_months,'Loan Tape (S&amp;P)'!AN2187,
    IF(arrears_months=0,1.00,
    IF(arrears_months=1,3.00,
    IF(arrears_months=2,5.00,
    IF(arrears_months=3,8.00,
    IF(arrears_months=4,10.00,
    IF(arrears_months=5,12.00,15.00)))))))</f>
        <v/>
      </c>
      <c r="M2187">
        <f>LET(
    seasoning_years,DATEDIF('Loan Tape (S&amp;P)'!K2187,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87">
        <f>IF(AND('Loan Tape (S&amp;P)'!U2187="Yes",
        'Loan Tape (S&amp;P)'!T2187&lt;&gt;"Yes",
        DATEDIF('Loan Tape (S&amp;P)'!K2187, TODAY(), "M")&lt;18),
    1.10,
    1.00)</f>
        <v/>
      </c>
      <c r="O2187">
        <f>IF('Loan Tape (S&amp;P)'!T2187="Yes",
    1.35,
    1.00)</f>
        <v/>
      </c>
      <c r="P2187">
        <f>IF('Loan Tape (S&amp;P)'!S2187="Yes",
    1.15,
    1.00)</f>
        <v/>
      </c>
      <c r="Q2187">
        <f>IF('Loan Tape (S&amp;P)'!V2187="Yes",
    1.20,
    1.00)</f>
        <v/>
      </c>
      <c r="T2187">
        <f>LET(
    payment_method,'Loan Tape (S&amp;P)'!P2187,
    occupancy,'Loan Tape (S&amp;P)'!N2187,
    maturity_date,'Loan Tape (S&amp;P)'!L2187,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88">
      <c r="J2188">
        <f>LET(
    lien,'Loan Tape (S&amp;P)'!Q2188,
    IF(lien="First",1.00,
        IF(lien="Second",1.50,
            1.70)))</f>
        <v/>
      </c>
      <c r="K2188">
        <f>LET(
    purpose,'Loan Tape (S&amp;P)'!R2188,
    IF(purpose="Purchase",1.00,
        IF(purpose="Remortgage",1.00,
            1.20)))</f>
        <v/>
      </c>
      <c r="L2188">
        <f>LET(
    arrears_months,'Loan Tape (S&amp;P)'!AN2188,
    IF(arrears_months=0,1.00,
    IF(arrears_months=1,3.00,
    IF(arrears_months=2,5.00,
    IF(arrears_months=3,8.00,
    IF(arrears_months=4,10.00,
    IF(arrears_months=5,12.00,15.00)))))))</f>
        <v/>
      </c>
      <c r="M2188">
        <f>LET(
    seasoning_years,DATEDIF('Loan Tape (S&amp;P)'!K2188,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88">
        <f>IF(AND('Loan Tape (S&amp;P)'!U2188="Yes",
        'Loan Tape (S&amp;P)'!T2188&lt;&gt;"Yes",
        DATEDIF('Loan Tape (S&amp;P)'!K2188, TODAY(), "M")&lt;18),
    1.10,
    1.00)</f>
        <v/>
      </c>
      <c r="O2188">
        <f>IF('Loan Tape (S&amp;P)'!T2188="Yes",
    1.35,
    1.00)</f>
        <v/>
      </c>
      <c r="P2188">
        <f>IF('Loan Tape (S&amp;P)'!S2188="Yes",
    1.15,
    1.00)</f>
        <v/>
      </c>
      <c r="Q2188">
        <f>IF('Loan Tape (S&amp;P)'!V2188="Yes",
    1.20,
    1.00)</f>
        <v/>
      </c>
      <c r="T2188">
        <f>LET(
    payment_method,'Loan Tape (S&amp;P)'!P2188,
    occupancy,'Loan Tape (S&amp;P)'!N2188,
    maturity_date,'Loan Tape (S&amp;P)'!L2188,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89">
      <c r="J2189">
        <f>LET(
    lien,'Loan Tape (S&amp;P)'!Q2189,
    IF(lien="First",1.00,
        IF(lien="Second",1.50,
            1.70)))</f>
        <v/>
      </c>
      <c r="K2189">
        <f>LET(
    purpose,'Loan Tape (S&amp;P)'!R2189,
    IF(purpose="Purchase",1.00,
        IF(purpose="Remortgage",1.00,
            1.20)))</f>
        <v/>
      </c>
      <c r="L2189">
        <f>LET(
    arrears_months,'Loan Tape (S&amp;P)'!AN2189,
    IF(arrears_months=0,1.00,
    IF(arrears_months=1,3.00,
    IF(arrears_months=2,5.00,
    IF(arrears_months=3,8.00,
    IF(arrears_months=4,10.00,
    IF(arrears_months=5,12.00,15.00)))))))</f>
        <v/>
      </c>
      <c r="M2189">
        <f>LET(
    seasoning_years,DATEDIF('Loan Tape (S&amp;P)'!K2189,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89">
        <f>IF(AND('Loan Tape (S&amp;P)'!U2189="Yes",
        'Loan Tape (S&amp;P)'!T2189&lt;&gt;"Yes",
        DATEDIF('Loan Tape (S&amp;P)'!K2189, TODAY(), "M")&lt;18),
    1.10,
    1.00)</f>
        <v/>
      </c>
      <c r="O2189">
        <f>IF('Loan Tape (S&amp;P)'!T2189="Yes",
    1.35,
    1.00)</f>
        <v/>
      </c>
      <c r="P2189">
        <f>IF('Loan Tape (S&amp;P)'!S2189="Yes",
    1.15,
    1.00)</f>
        <v/>
      </c>
      <c r="Q2189">
        <f>IF('Loan Tape (S&amp;P)'!V2189="Yes",
    1.20,
    1.00)</f>
        <v/>
      </c>
      <c r="T2189">
        <f>LET(
    payment_method,'Loan Tape (S&amp;P)'!P2189,
    occupancy,'Loan Tape (S&amp;P)'!N2189,
    maturity_date,'Loan Tape (S&amp;P)'!L2189,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90">
      <c r="J2190">
        <f>LET(
    lien,'Loan Tape (S&amp;P)'!Q2190,
    IF(lien="First",1.00,
        IF(lien="Second",1.50,
            1.70)))</f>
        <v/>
      </c>
      <c r="K2190">
        <f>LET(
    purpose,'Loan Tape (S&amp;P)'!R2190,
    IF(purpose="Purchase",1.00,
        IF(purpose="Remortgage",1.00,
            1.20)))</f>
        <v/>
      </c>
      <c r="L2190">
        <f>LET(
    arrears_months,'Loan Tape (S&amp;P)'!AN2190,
    IF(arrears_months=0,1.00,
    IF(arrears_months=1,3.00,
    IF(arrears_months=2,5.00,
    IF(arrears_months=3,8.00,
    IF(arrears_months=4,10.00,
    IF(arrears_months=5,12.00,15.00)))))))</f>
        <v/>
      </c>
      <c r="M2190">
        <f>LET(
    seasoning_years,DATEDIF('Loan Tape (S&amp;P)'!K2190,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90">
        <f>IF(AND('Loan Tape (S&amp;P)'!U2190="Yes",
        'Loan Tape (S&amp;P)'!T2190&lt;&gt;"Yes",
        DATEDIF('Loan Tape (S&amp;P)'!K2190, TODAY(), "M")&lt;18),
    1.10,
    1.00)</f>
        <v/>
      </c>
      <c r="O2190">
        <f>IF('Loan Tape (S&amp;P)'!T2190="Yes",
    1.35,
    1.00)</f>
        <v/>
      </c>
      <c r="P2190">
        <f>IF('Loan Tape (S&amp;P)'!S2190="Yes",
    1.15,
    1.00)</f>
        <v/>
      </c>
      <c r="Q2190">
        <f>IF('Loan Tape (S&amp;P)'!V2190="Yes",
    1.20,
    1.00)</f>
        <v/>
      </c>
      <c r="T2190">
        <f>LET(
    payment_method,'Loan Tape (S&amp;P)'!P2190,
    occupancy,'Loan Tape (S&amp;P)'!N2190,
    maturity_date,'Loan Tape (S&amp;P)'!L2190,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91">
      <c r="J2191">
        <f>LET(
    lien,'Loan Tape (S&amp;P)'!Q2191,
    IF(lien="First",1.00,
        IF(lien="Second",1.50,
            1.70)))</f>
        <v/>
      </c>
      <c r="K2191">
        <f>LET(
    purpose,'Loan Tape (S&amp;P)'!R2191,
    IF(purpose="Purchase",1.00,
        IF(purpose="Remortgage",1.00,
            1.20)))</f>
        <v/>
      </c>
      <c r="L2191">
        <f>LET(
    arrears_months,'Loan Tape (S&amp;P)'!AN2191,
    IF(arrears_months=0,1.00,
    IF(arrears_months=1,3.00,
    IF(arrears_months=2,5.00,
    IF(arrears_months=3,8.00,
    IF(arrears_months=4,10.00,
    IF(arrears_months=5,12.00,15.00)))))))</f>
        <v/>
      </c>
      <c r="M2191">
        <f>LET(
    seasoning_years,DATEDIF('Loan Tape (S&amp;P)'!K2191,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91">
        <f>IF(AND('Loan Tape (S&amp;P)'!U2191="Yes",
        'Loan Tape (S&amp;P)'!T2191&lt;&gt;"Yes",
        DATEDIF('Loan Tape (S&amp;P)'!K2191, TODAY(), "M")&lt;18),
    1.10,
    1.00)</f>
        <v/>
      </c>
      <c r="O2191">
        <f>IF('Loan Tape (S&amp;P)'!T2191="Yes",
    1.35,
    1.00)</f>
        <v/>
      </c>
      <c r="P2191">
        <f>IF('Loan Tape (S&amp;P)'!S2191="Yes",
    1.15,
    1.00)</f>
        <v/>
      </c>
      <c r="Q2191">
        <f>IF('Loan Tape (S&amp;P)'!V2191="Yes",
    1.20,
    1.00)</f>
        <v/>
      </c>
      <c r="T2191">
        <f>LET(
    payment_method,'Loan Tape (S&amp;P)'!P2191,
    occupancy,'Loan Tape (S&amp;P)'!N2191,
    maturity_date,'Loan Tape (S&amp;P)'!L2191,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92">
      <c r="J2192">
        <f>LET(
    lien,'Loan Tape (S&amp;P)'!Q2192,
    IF(lien="First",1.00,
        IF(lien="Second",1.50,
            1.70)))</f>
        <v/>
      </c>
      <c r="K2192">
        <f>LET(
    purpose,'Loan Tape (S&amp;P)'!R2192,
    IF(purpose="Purchase",1.00,
        IF(purpose="Remortgage",1.00,
            1.20)))</f>
        <v/>
      </c>
      <c r="L2192">
        <f>LET(
    arrears_months,'Loan Tape (S&amp;P)'!AN2192,
    IF(arrears_months=0,1.00,
    IF(arrears_months=1,3.00,
    IF(arrears_months=2,5.00,
    IF(arrears_months=3,8.00,
    IF(arrears_months=4,10.00,
    IF(arrears_months=5,12.00,15.00)))))))</f>
        <v/>
      </c>
      <c r="M2192">
        <f>LET(
    seasoning_years,DATEDIF('Loan Tape (S&amp;P)'!K2192,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92">
        <f>IF(AND('Loan Tape (S&amp;P)'!U2192="Yes",
        'Loan Tape (S&amp;P)'!T2192&lt;&gt;"Yes",
        DATEDIF('Loan Tape (S&amp;P)'!K2192, TODAY(), "M")&lt;18),
    1.10,
    1.00)</f>
        <v/>
      </c>
      <c r="O2192">
        <f>IF('Loan Tape (S&amp;P)'!T2192="Yes",
    1.35,
    1.00)</f>
        <v/>
      </c>
      <c r="P2192">
        <f>IF('Loan Tape (S&amp;P)'!S2192="Yes",
    1.15,
    1.00)</f>
        <v/>
      </c>
      <c r="Q2192">
        <f>IF('Loan Tape (S&amp;P)'!V2192="Yes",
    1.20,
    1.00)</f>
        <v/>
      </c>
      <c r="T2192">
        <f>LET(
    payment_method,'Loan Tape (S&amp;P)'!P2192,
    occupancy,'Loan Tape (S&amp;P)'!N2192,
    maturity_date,'Loan Tape (S&amp;P)'!L2192,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93">
      <c r="J2193">
        <f>LET(
    lien,'Loan Tape (S&amp;P)'!Q2193,
    IF(lien="First",1.00,
        IF(lien="Second",1.50,
            1.70)))</f>
        <v/>
      </c>
      <c r="K2193">
        <f>LET(
    purpose,'Loan Tape (S&amp;P)'!R2193,
    IF(purpose="Purchase",1.00,
        IF(purpose="Remortgage",1.00,
            1.20)))</f>
        <v/>
      </c>
      <c r="L2193">
        <f>LET(
    arrears_months,'Loan Tape (S&amp;P)'!AN2193,
    IF(arrears_months=0,1.00,
    IF(arrears_months=1,3.00,
    IF(arrears_months=2,5.00,
    IF(arrears_months=3,8.00,
    IF(arrears_months=4,10.00,
    IF(arrears_months=5,12.00,15.00)))))))</f>
        <v/>
      </c>
      <c r="M2193">
        <f>LET(
    seasoning_years,DATEDIF('Loan Tape (S&amp;P)'!K2193,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93">
        <f>IF(AND('Loan Tape (S&amp;P)'!U2193="Yes",
        'Loan Tape (S&amp;P)'!T2193&lt;&gt;"Yes",
        DATEDIF('Loan Tape (S&amp;P)'!K2193, TODAY(), "M")&lt;18),
    1.10,
    1.00)</f>
        <v/>
      </c>
      <c r="O2193">
        <f>IF('Loan Tape (S&amp;P)'!T2193="Yes",
    1.35,
    1.00)</f>
        <v/>
      </c>
      <c r="P2193">
        <f>IF('Loan Tape (S&amp;P)'!S2193="Yes",
    1.15,
    1.00)</f>
        <v/>
      </c>
      <c r="Q2193">
        <f>IF('Loan Tape (S&amp;P)'!V2193="Yes",
    1.20,
    1.00)</f>
        <v/>
      </c>
      <c r="T2193">
        <f>LET(
    payment_method,'Loan Tape (S&amp;P)'!P2193,
    occupancy,'Loan Tape (S&amp;P)'!N2193,
    maturity_date,'Loan Tape (S&amp;P)'!L2193,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94">
      <c r="J2194">
        <f>LET(
    lien,'Loan Tape (S&amp;P)'!Q2194,
    IF(lien="First",1.00,
        IF(lien="Second",1.50,
            1.70)))</f>
        <v/>
      </c>
      <c r="K2194">
        <f>LET(
    purpose,'Loan Tape (S&amp;P)'!R2194,
    IF(purpose="Purchase",1.00,
        IF(purpose="Remortgage",1.00,
            1.20)))</f>
        <v/>
      </c>
      <c r="L2194">
        <f>LET(
    arrears_months,'Loan Tape (S&amp;P)'!AN2194,
    IF(arrears_months=0,1.00,
    IF(arrears_months=1,3.00,
    IF(arrears_months=2,5.00,
    IF(arrears_months=3,8.00,
    IF(arrears_months=4,10.00,
    IF(arrears_months=5,12.00,15.00)))))))</f>
        <v/>
      </c>
      <c r="M2194">
        <f>LET(
    seasoning_years,DATEDIF('Loan Tape (S&amp;P)'!K2194,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94">
        <f>IF(AND('Loan Tape (S&amp;P)'!U2194="Yes",
        'Loan Tape (S&amp;P)'!T2194&lt;&gt;"Yes",
        DATEDIF('Loan Tape (S&amp;P)'!K2194, TODAY(), "M")&lt;18),
    1.10,
    1.00)</f>
        <v/>
      </c>
      <c r="O2194">
        <f>IF('Loan Tape (S&amp;P)'!T2194="Yes",
    1.35,
    1.00)</f>
        <v/>
      </c>
      <c r="P2194">
        <f>IF('Loan Tape (S&amp;P)'!S2194="Yes",
    1.15,
    1.00)</f>
        <v/>
      </c>
      <c r="Q2194">
        <f>IF('Loan Tape (S&amp;P)'!V2194="Yes",
    1.20,
    1.00)</f>
        <v/>
      </c>
      <c r="T2194">
        <f>LET(
    payment_method,'Loan Tape (S&amp;P)'!P2194,
    occupancy,'Loan Tape (S&amp;P)'!N2194,
    maturity_date,'Loan Tape (S&amp;P)'!L2194,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95">
      <c r="J2195">
        <f>LET(
    lien,'Loan Tape (S&amp;P)'!Q2195,
    IF(lien="First",1.00,
        IF(lien="Second",1.50,
            1.70)))</f>
        <v/>
      </c>
      <c r="K2195">
        <f>LET(
    purpose,'Loan Tape (S&amp;P)'!R2195,
    IF(purpose="Purchase",1.00,
        IF(purpose="Remortgage",1.00,
            1.20)))</f>
        <v/>
      </c>
      <c r="L2195">
        <f>LET(
    arrears_months,'Loan Tape (S&amp;P)'!AN2195,
    IF(arrears_months=0,1.00,
    IF(arrears_months=1,3.00,
    IF(arrears_months=2,5.00,
    IF(arrears_months=3,8.00,
    IF(arrears_months=4,10.00,
    IF(arrears_months=5,12.00,15.00)))))))</f>
        <v/>
      </c>
      <c r="M2195">
        <f>LET(
    seasoning_years,DATEDIF('Loan Tape (S&amp;P)'!K2195,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95">
        <f>IF(AND('Loan Tape (S&amp;P)'!U2195="Yes",
        'Loan Tape (S&amp;P)'!T2195&lt;&gt;"Yes",
        DATEDIF('Loan Tape (S&amp;P)'!K2195, TODAY(), "M")&lt;18),
    1.10,
    1.00)</f>
        <v/>
      </c>
      <c r="O2195">
        <f>IF('Loan Tape (S&amp;P)'!T2195="Yes",
    1.35,
    1.00)</f>
        <v/>
      </c>
      <c r="P2195">
        <f>IF('Loan Tape (S&amp;P)'!S2195="Yes",
    1.15,
    1.00)</f>
        <v/>
      </c>
      <c r="Q2195">
        <f>IF('Loan Tape (S&amp;P)'!V2195="Yes",
    1.20,
    1.00)</f>
        <v/>
      </c>
      <c r="T2195">
        <f>LET(
    payment_method,'Loan Tape (S&amp;P)'!P2195,
    occupancy,'Loan Tape (S&amp;P)'!N2195,
    maturity_date,'Loan Tape (S&amp;P)'!L2195,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96">
      <c r="J2196">
        <f>LET(
    lien,'Loan Tape (S&amp;P)'!Q2196,
    IF(lien="First",1.00,
        IF(lien="Second",1.50,
            1.70)))</f>
        <v/>
      </c>
      <c r="K2196">
        <f>LET(
    purpose,'Loan Tape (S&amp;P)'!R2196,
    IF(purpose="Purchase",1.00,
        IF(purpose="Remortgage",1.00,
            1.20)))</f>
        <v/>
      </c>
      <c r="L2196">
        <f>LET(
    arrears_months,'Loan Tape (S&amp;P)'!AN2196,
    IF(arrears_months=0,1.00,
    IF(arrears_months=1,3.00,
    IF(arrears_months=2,5.00,
    IF(arrears_months=3,8.00,
    IF(arrears_months=4,10.00,
    IF(arrears_months=5,12.00,15.00)))))))</f>
        <v/>
      </c>
      <c r="M2196">
        <f>LET(
    seasoning_years,DATEDIF('Loan Tape (S&amp;P)'!K2196,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96">
        <f>IF(AND('Loan Tape (S&amp;P)'!U2196="Yes",
        'Loan Tape (S&amp;P)'!T2196&lt;&gt;"Yes",
        DATEDIF('Loan Tape (S&amp;P)'!K2196, TODAY(), "M")&lt;18),
    1.10,
    1.00)</f>
        <v/>
      </c>
      <c r="O2196">
        <f>IF('Loan Tape (S&amp;P)'!T2196="Yes",
    1.35,
    1.00)</f>
        <v/>
      </c>
      <c r="P2196">
        <f>IF('Loan Tape (S&amp;P)'!S2196="Yes",
    1.15,
    1.00)</f>
        <v/>
      </c>
      <c r="Q2196">
        <f>IF('Loan Tape (S&amp;P)'!V2196="Yes",
    1.20,
    1.00)</f>
        <v/>
      </c>
      <c r="T2196">
        <f>LET(
    payment_method,'Loan Tape (S&amp;P)'!P2196,
    occupancy,'Loan Tape (S&amp;P)'!N2196,
    maturity_date,'Loan Tape (S&amp;P)'!L2196,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97">
      <c r="J2197">
        <f>LET(
    lien,'Loan Tape (S&amp;P)'!Q2197,
    IF(lien="First",1.00,
        IF(lien="Second",1.50,
            1.70)))</f>
        <v/>
      </c>
      <c r="K2197">
        <f>LET(
    purpose,'Loan Tape (S&amp;P)'!R2197,
    IF(purpose="Purchase",1.00,
        IF(purpose="Remortgage",1.00,
            1.20)))</f>
        <v/>
      </c>
      <c r="L2197">
        <f>LET(
    arrears_months,'Loan Tape (S&amp;P)'!AN2197,
    IF(arrears_months=0,1.00,
    IF(arrears_months=1,3.00,
    IF(arrears_months=2,5.00,
    IF(arrears_months=3,8.00,
    IF(arrears_months=4,10.00,
    IF(arrears_months=5,12.00,15.00)))))))</f>
        <v/>
      </c>
      <c r="M2197">
        <f>LET(
    seasoning_years,DATEDIF('Loan Tape (S&amp;P)'!K2197,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97">
        <f>IF(AND('Loan Tape (S&amp;P)'!U2197="Yes",
        'Loan Tape (S&amp;P)'!T2197&lt;&gt;"Yes",
        DATEDIF('Loan Tape (S&amp;P)'!K2197, TODAY(), "M")&lt;18),
    1.10,
    1.00)</f>
        <v/>
      </c>
      <c r="O2197">
        <f>IF('Loan Tape (S&amp;P)'!T2197="Yes",
    1.35,
    1.00)</f>
        <v/>
      </c>
      <c r="P2197">
        <f>IF('Loan Tape (S&amp;P)'!S2197="Yes",
    1.15,
    1.00)</f>
        <v/>
      </c>
      <c r="Q2197">
        <f>IF('Loan Tape (S&amp;P)'!V2197="Yes",
    1.20,
    1.00)</f>
        <v/>
      </c>
      <c r="T2197">
        <f>LET(
    payment_method,'Loan Tape (S&amp;P)'!P2197,
    occupancy,'Loan Tape (S&amp;P)'!N2197,
    maturity_date,'Loan Tape (S&amp;P)'!L2197,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98">
      <c r="J2198">
        <f>LET(
    lien,'Loan Tape (S&amp;P)'!Q2198,
    IF(lien="First",1.00,
        IF(lien="Second",1.50,
            1.70)))</f>
        <v/>
      </c>
      <c r="K2198">
        <f>LET(
    purpose,'Loan Tape (S&amp;P)'!R2198,
    IF(purpose="Purchase",1.00,
        IF(purpose="Remortgage",1.00,
            1.20)))</f>
        <v/>
      </c>
      <c r="L2198">
        <f>LET(
    arrears_months,'Loan Tape (S&amp;P)'!AN2198,
    IF(arrears_months=0,1.00,
    IF(arrears_months=1,3.00,
    IF(arrears_months=2,5.00,
    IF(arrears_months=3,8.00,
    IF(arrears_months=4,10.00,
    IF(arrears_months=5,12.00,15.00)))))))</f>
        <v/>
      </c>
      <c r="M2198">
        <f>LET(
    seasoning_years,DATEDIF('Loan Tape (S&amp;P)'!K2198,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98">
        <f>IF(AND('Loan Tape (S&amp;P)'!U2198="Yes",
        'Loan Tape (S&amp;P)'!T2198&lt;&gt;"Yes",
        DATEDIF('Loan Tape (S&amp;P)'!K2198, TODAY(), "M")&lt;18),
    1.10,
    1.00)</f>
        <v/>
      </c>
      <c r="O2198">
        <f>IF('Loan Tape (S&amp;P)'!T2198="Yes",
    1.35,
    1.00)</f>
        <v/>
      </c>
      <c r="P2198">
        <f>IF('Loan Tape (S&amp;P)'!S2198="Yes",
    1.15,
    1.00)</f>
        <v/>
      </c>
      <c r="Q2198">
        <f>IF('Loan Tape (S&amp;P)'!V2198="Yes",
    1.20,
    1.00)</f>
        <v/>
      </c>
      <c r="T2198">
        <f>LET(
    payment_method,'Loan Tape (S&amp;P)'!P2198,
    occupancy,'Loan Tape (S&amp;P)'!N2198,
    maturity_date,'Loan Tape (S&amp;P)'!L2198,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199">
      <c r="J2199">
        <f>LET(
    lien,'Loan Tape (S&amp;P)'!Q2199,
    IF(lien="First",1.00,
        IF(lien="Second",1.50,
            1.70)))</f>
        <v/>
      </c>
      <c r="K2199">
        <f>LET(
    purpose,'Loan Tape (S&amp;P)'!R2199,
    IF(purpose="Purchase",1.00,
        IF(purpose="Remortgage",1.00,
            1.20)))</f>
        <v/>
      </c>
      <c r="L2199">
        <f>LET(
    arrears_months,'Loan Tape (S&amp;P)'!AN2199,
    IF(arrears_months=0,1.00,
    IF(arrears_months=1,3.00,
    IF(arrears_months=2,5.00,
    IF(arrears_months=3,8.00,
    IF(arrears_months=4,10.00,
    IF(arrears_months=5,12.00,15.00)))))))</f>
        <v/>
      </c>
      <c r="M2199">
        <f>LET(
    seasoning_years,DATEDIF('Loan Tape (S&amp;P)'!K2199,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199">
        <f>IF(AND('Loan Tape (S&amp;P)'!U2199="Yes",
        'Loan Tape (S&amp;P)'!T2199&lt;&gt;"Yes",
        DATEDIF('Loan Tape (S&amp;P)'!K2199, TODAY(), "M")&lt;18),
    1.10,
    1.00)</f>
        <v/>
      </c>
      <c r="O2199">
        <f>IF('Loan Tape (S&amp;P)'!T2199="Yes",
    1.35,
    1.00)</f>
        <v/>
      </c>
      <c r="P2199">
        <f>IF('Loan Tape (S&amp;P)'!S2199="Yes",
    1.15,
    1.00)</f>
        <v/>
      </c>
      <c r="Q2199">
        <f>IF('Loan Tape (S&amp;P)'!V2199="Yes",
    1.20,
    1.00)</f>
        <v/>
      </c>
      <c r="T2199">
        <f>LET(
    payment_method,'Loan Tape (S&amp;P)'!P2199,
    occupancy,'Loan Tape (S&amp;P)'!N2199,
    maturity_date,'Loan Tape (S&amp;P)'!L2199,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00">
      <c r="J2200">
        <f>LET(
    lien,'Loan Tape (S&amp;P)'!Q2200,
    IF(lien="First",1.00,
        IF(lien="Second",1.50,
            1.70)))</f>
        <v/>
      </c>
      <c r="K2200">
        <f>LET(
    purpose,'Loan Tape (S&amp;P)'!R2200,
    IF(purpose="Purchase",1.00,
        IF(purpose="Remortgage",1.00,
            1.20)))</f>
        <v/>
      </c>
      <c r="L2200">
        <f>LET(
    arrears_months,'Loan Tape (S&amp;P)'!AN2200,
    IF(arrears_months=0,1.00,
    IF(arrears_months=1,3.00,
    IF(arrears_months=2,5.00,
    IF(arrears_months=3,8.00,
    IF(arrears_months=4,10.00,
    IF(arrears_months=5,12.00,15.00)))))))</f>
        <v/>
      </c>
      <c r="M2200">
        <f>LET(
    seasoning_years,DATEDIF('Loan Tape (S&amp;P)'!K2200,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00">
        <f>IF(AND('Loan Tape (S&amp;P)'!U2200="Yes",
        'Loan Tape (S&amp;P)'!T2200&lt;&gt;"Yes",
        DATEDIF('Loan Tape (S&amp;P)'!K2200, TODAY(), "M")&lt;18),
    1.10,
    1.00)</f>
        <v/>
      </c>
      <c r="O2200">
        <f>IF('Loan Tape (S&amp;P)'!T2200="Yes",
    1.35,
    1.00)</f>
        <v/>
      </c>
      <c r="P2200">
        <f>IF('Loan Tape (S&amp;P)'!S2200="Yes",
    1.15,
    1.00)</f>
        <v/>
      </c>
      <c r="Q2200">
        <f>IF('Loan Tape (S&amp;P)'!V2200="Yes",
    1.20,
    1.00)</f>
        <v/>
      </c>
      <c r="T2200">
        <f>LET(
    payment_method,'Loan Tape (S&amp;P)'!P2200,
    occupancy,'Loan Tape (S&amp;P)'!N2200,
    maturity_date,'Loan Tape (S&amp;P)'!L2200,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01">
      <c r="J2201">
        <f>LET(
    lien,'Loan Tape (S&amp;P)'!Q2201,
    IF(lien="First",1.00,
        IF(lien="Second",1.50,
            1.70)))</f>
        <v/>
      </c>
      <c r="K2201">
        <f>LET(
    purpose,'Loan Tape (S&amp;P)'!R2201,
    IF(purpose="Purchase",1.00,
        IF(purpose="Remortgage",1.00,
            1.20)))</f>
        <v/>
      </c>
      <c r="L2201">
        <f>LET(
    arrears_months,'Loan Tape (S&amp;P)'!AN2201,
    IF(arrears_months=0,1.00,
    IF(arrears_months=1,3.00,
    IF(arrears_months=2,5.00,
    IF(arrears_months=3,8.00,
    IF(arrears_months=4,10.00,
    IF(arrears_months=5,12.00,15.00)))))))</f>
        <v/>
      </c>
      <c r="M2201">
        <f>LET(
    seasoning_years,DATEDIF('Loan Tape (S&amp;P)'!K2201,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01">
        <f>IF(AND('Loan Tape (S&amp;P)'!U2201="Yes",
        'Loan Tape (S&amp;P)'!T2201&lt;&gt;"Yes",
        DATEDIF('Loan Tape (S&amp;P)'!K2201, TODAY(), "M")&lt;18),
    1.10,
    1.00)</f>
        <v/>
      </c>
      <c r="O2201">
        <f>IF('Loan Tape (S&amp;P)'!T2201="Yes",
    1.35,
    1.00)</f>
        <v/>
      </c>
      <c r="P2201">
        <f>IF('Loan Tape (S&amp;P)'!S2201="Yes",
    1.15,
    1.00)</f>
        <v/>
      </c>
      <c r="Q2201">
        <f>IF('Loan Tape (S&amp;P)'!V2201="Yes",
    1.20,
    1.00)</f>
        <v/>
      </c>
      <c r="T2201">
        <f>LET(
    payment_method,'Loan Tape (S&amp;P)'!P2201,
    occupancy,'Loan Tape (S&amp;P)'!N2201,
    maturity_date,'Loan Tape (S&amp;P)'!L2201,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02">
      <c r="J2202">
        <f>LET(
    lien,'Loan Tape (S&amp;P)'!Q2202,
    IF(lien="First",1.00,
        IF(lien="Second",1.50,
            1.70)))</f>
        <v/>
      </c>
      <c r="K2202">
        <f>LET(
    purpose,'Loan Tape (S&amp;P)'!R2202,
    IF(purpose="Purchase",1.00,
        IF(purpose="Remortgage",1.00,
            1.20)))</f>
        <v/>
      </c>
      <c r="L2202">
        <f>LET(
    arrears_months,'Loan Tape (S&amp;P)'!AN2202,
    IF(arrears_months=0,1.00,
    IF(arrears_months=1,3.00,
    IF(arrears_months=2,5.00,
    IF(arrears_months=3,8.00,
    IF(arrears_months=4,10.00,
    IF(arrears_months=5,12.00,15.00)))))))</f>
        <v/>
      </c>
      <c r="M2202">
        <f>LET(
    seasoning_years,DATEDIF('Loan Tape (S&amp;P)'!K2202,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02">
        <f>IF(AND('Loan Tape (S&amp;P)'!U2202="Yes",
        'Loan Tape (S&amp;P)'!T2202&lt;&gt;"Yes",
        DATEDIF('Loan Tape (S&amp;P)'!K2202, TODAY(), "M")&lt;18),
    1.10,
    1.00)</f>
        <v/>
      </c>
      <c r="O2202">
        <f>IF('Loan Tape (S&amp;P)'!T2202="Yes",
    1.35,
    1.00)</f>
        <v/>
      </c>
      <c r="P2202">
        <f>IF('Loan Tape (S&amp;P)'!S2202="Yes",
    1.15,
    1.00)</f>
        <v/>
      </c>
      <c r="Q2202">
        <f>IF('Loan Tape (S&amp;P)'!V2202="Yes",
    1.20,
    1.00)</f>
        <v/>
      </c>
      <c r="T2202">
        <f>LET(
    payment_method,'Loan Tape (S&amp;P)'!P2202,
    occupancy,'Loan Tape (S&amp;P)'!N2202,
    maturity_date,'Loan Tape (S&amp;P)'!L2202,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03">
      <c r="J2203">
        <f>LET(
    lien,'Loan Tape (S&amp;P)'!Q2203,
    IF(lien="First",1.00,
        IF(lien="Second",1.50,
            1.70)))</f>
        <v/>
      </c>
      <c r="K2203">
        <f>LET(
    purpose,'Loan Tape (S&amp;P)'!R2203,
    IF(purpose="Purchase",1.00,
        IF(purpose="Remortgage",1.00,
            1.20)))</f>
        <v/>
      </c>
      <c r="L2203">
        <f>LET(
    arrears_months,'Loan Tape (S&amp;P)'!AN2203,
    IF(arrears_months=0,1.00,
    IF(arrears_months=1,3.00,
    IF(arrears_months=2,5.00,
    IF(arrears_months=3,8.00,
    IF(arrears_months=4,10.00,
    IF(arrears_months=5,12.00,15.00)))))))</f>
        <v/>
      </c>
      <c r="M2203">
        <f>LET(
    seasoning_years,DATEDIF('Loan Tape (S&amp;P)'!K2203,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03">
        <f>IF(AND('Loan Tape (S&amp;P)'!U2203="Yes",
        'Loan Tape (S&amp;P)'!T2203&lt;&gt;"Yes",
        DATEDIF('Loan Tape (S&amp;P)'!K2203, TODAY(), "M")&lt;18),
    1.10,
    1.00)</f>
        <v/>
      </c>
      <c r="O2203">
        <f>IF('Loan Tape (S&amp;P)'!T2203="Yes",
    1.35,
    1.00)</f>
        <v/>
      </c>
      <c r="P2203">
        <f>IF('Loan Tape (S&amp;P)'!S2203="Yes",
    1.15,
    1.00)</f>
        <v/>
      </c>
      <c r="Q2203">
        <f>IF('Loan Tape (S&amp;P)'!V2203="Yes",
    1.20,
    1.00)</f>
        <v/>
      </c>
      <c r="T2203">
        <f>LET(
    payment_method,'Loan Tape (S&amp;P)'!P2203,
    occupancy,'Loan Tape (S&amp;P)'!N2203,
    maturity_date,'Loan Tape (S&amp;P)'!L2203,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04">
      <c r="J2204">
        <f>LET(
    lien,'Loan Tape (S&amp;P)'!Q2204,
    IF(lien="First",1.00,
        IF(lien="Second",1.50,
            1.70)))</f>
        <v/>
      </c>
      <c r="K2204">
        <f>LET(
    purpose,'Loan Tape (S&amp;P)'!R2204,
    IF(purpose="Purchase",1.00,
        IF(purpose="Remortgage",1.00,
            1.20)))</f>
        <v/>
      </c>
      <c r="L2204">
        <f>LET(
    arrears_months,'Loan Tape (S&amp;P)'!AN2204,
    IF(arrears_months=0,1.00,
    IF(arrears_months=1,3.00,
    IF(arrears_months=2,5.00,
    IF(arrears_months=3,8.00,
    IF(arrears_months=4,10.00,
    IF(arrears_months=5,12.00,15.00)))))))</f>
        <v/>
      </c>
      <c r="M2204">
        <f>LET(
    seasoning_years,DATEDIF('Loan Tape (S&amp;P)'!K2204,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04">
        <f>IF(AND('Loan Tape (S&amp;P)'!U2204="Yes",
        'Loan Tape (S&amp;P)'!T2204&lt;&gt;"Yes",
        DATEDIF('Loan Tape (S&amp;P)'!K2204, TODAY(), "M")&lt;18),
    1.10,
    1.00)</f>
        <v/>
      </c>
      <c r="O2204">
        <f>IF('Loan Tape (S&amp;P)'!T2204="Yes",
    1.35,
    1.00)</f>
        <v/>
      </c>
      <c r="P2204">
        <f>IF('Loan Tape (S&amp;P)'!S2204="Yes",
    1.15,
    1.00)</f>
        <v/>
      </c>
      <c r="Q2204">
        <f>IF('Loan Tape (S&amp;P)'!V2204="Yes",
    1.20,
    1.00)</f>
        <v/>
      </c>
      <c r="T2204">
        <f>LET(
    payment_method,'Loan Tape (S&amp;P)'!P2204,
    occupancy,'Loan Tape (S&amp;P)'!N2204,
    maturity_date,'Loan Tape (S&amp;P)'!L2204,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05">
      <c r="J2205">
        <f>LET(
    lien,'Loan Tape (S&amp;P)'!Q2205,
    IF(lien="First",1.00,
        IF(lien="Second",1.50,
            1.70)))</f>
        <v/>
      </c>
      <c r="K2205">
        <f>LET(
    purpose,'Loan Tape (S&amp;P)'!R2205,
    IF(purpose="Purchase",1.00,
        IF(purpose="Remortgage",1.00,
            1.20)))</f>
        <v/>
      </c>
      <c r="L2205">
        <f>LET(
    arrears_months,'Loan Tape (S&amp;P)'!AN2205,
    IF(arrears_months=0,1.00,
    IF(arrears_months=1,3.00,
    IF(arrears_months=2,5.00,
    IF(arrears_months=3,8.00,
    IF(arrears_months=4,10.00,
    IF(arrears_months=5,12.00,15.00)))))))</f>
        <v/>
      </c>
      <c r="M2205">
        <f>LET(
    seasoning_years,DATEDIF('Loan Tape (S&amp;P)'!K2205,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05">
        <f>IF(AND('Loan Tape (S&amp;P)'!U2205="Yes",
        'Loan Tape (S&amp;P)'!T2205&lt;&gt;"Yes",
        DATEDIF('Loan Tape (S&amp;P)'!K2205, TODAY(), "M")&lt;18),
    1.10,
    1.00)</f>
        <v/>
      </c>
      <c r="O2205">
        <f>IF('Loan Tape (S&amp;P)'!T2205="Yes",
    1.35,
    1.00)</f>
        <v/>
      </c>
      <c r="P2205">
        <f>IF('Loan Tape (S&amp;P)'!S2205="Yes",
    1.15,
    1.00)</f>
        <v/>
      </c>
      <c r="Q2205">
        <f>IF('Loan Tape (S&amp;P)'!V2205="Yes",
    1.20,
    1.00)</f>
        <v/>
      </c>
      <c r="T2205">
        <f>LET(
    payment_method,'Loan Tape (S&amp;P)'!P2205,
    occupancy,'Loan Tape (S&amp;P)'!N2205,
    maturity_date,'Loan Tape (S&amp;P)'!L2205,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06">
      <c r="J2206">
        <f>LET(
    lien,'Loan Tape (S&amp;P)'!Q2206,
    IF(lien="First",1.00,
        IF(lien="Second",1.50,
            1.70)))</f>
        <v/>
      </c>
      <c r="K2206">
        <f>LET(
    purpose,'Loan Tape (S&amp;P)'!R2206,
    IF(purpose="Purchase",1.00,
        IF(purpose="Remortgage",1.00,
            1.20)))</f>
        <v/>
      </c>
      <c r="L2206">
        <f>LET(
    arrears_months,'Loan Tape (S&amp;P)'!AN2206,
    IF(arrears_months=0,1.00,
    IF(arrears_months=1,3.00,
    IF(arrears_months=2,5.00,
    IF(arrears_months=3,8.00,
    IF(arrears_months=4,10.00,
    IF(arrears_months=5,12.00,15.00)))))))</f>
        <v/>
      </c>
      <c r="M2206">
        <f>LET(
    seasoning_years,DATEDIF('Loan Tape (S&amp;P)'!K2206,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06">
        <f>IF(AND('Loan Tape (S&amp;P)'!U2206="Yes",
        'Loan Tape (S&amp;P)'!T2206&lt;&gt;"Yes",
        DATEDIF('Loan Tape (S&amp;P)'!K2206, TODAY(), "M")&lt;18),
    1.10,
    1.00)</f>
        <v/>
      </c>
      <c r="O2206">
        <f>IF('Loan Tape (S&amp;P)'!T2206="Yes",
    1.35,
    1.00)</f>
        <v/>
      </c>
      <c r="P2206">
        <f>IF('Loan Tape (S&amp;P)'!S2206="Yes",
    1.15,
    1.00)</f>
        <v/>
      </c>
      <c r="Q2206">
        <f>IF('Loan Tape (S&amp;P)'!V2206="Yes",
    1.20,
    1.00)</f>
        <v/>
      </c>
      <c r="T2206">
        <f>LET(
    payment_method,'Loan Tape (S&amp;P)'!P2206,
    occupancy,'Loan Tape (S&amp;P)'!N2206,
    maturity_date,'Loan Tape (S&amp;P)'!L2206,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07">
      <c r="J2207">
        <f>LET(
    lien,'Loan Tape (S&amp;P)'!Q2207,
    IF(lien="First",1.00,
        IF(lien="Second",1.50,
            1.70)))</f>
        <v/>
      </c>
      <c r="K2207">
        <f>LET(
    purpose,'Loan Tape (S&amp;P)'!R2207,
    IF(purpose="Purchase",1.00,
        IF(purpose="Remortgage",1.00,
            1.20)))</f>
        <v/>
      </c>
      <c r="L2207">
        <f>LET(
    arrears_months,'Loan Tape (S&amp;P)'!AN2207,
    IF(arrears_months=0,1.00,
    IF(arrears_months=1,3.00,
    IF(arrears_months=2,5.00,
    IF(arrears_months=3,8.00,
    IF(arrears_months=4,10.00,
    IF(arrears_months=5,12.00,15.00)))))))</f>
        <v/>
      </c>
      <c r="M2207">
        <f>LET(
    seasoning_years,DATEDIF('Loan Tape (S&amp;P)'!K2207,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07">
        <f>IF(AND('Loan Tape (S&amp;P)'!U2207="Yes",
        'Loan Tape (S&amp;P)'!T2207&lt;&gt;"Yes",
        DATEDIF('Loan Tape (S&amp;P)'!K2207, TODAY(), "M")&lt;18),
    1.10,
    1.00)</f>
        <v/>
      </c>
      <c r="O2207">
        <f>IF('Loan Tape (S&amp;P)'!T2207="Yes",
    1.35,
    1.00)</f>
        <v/>
      </c>
      <c r="P2207">
        <f>IF('Loan Tape (S&amp;P)'!S2207="Yes",
    1.15,
    1.00)</f>
        <v/>
      </c>
      <c r="Q2207">
        <f>IF('Loan Tape (S&amp;P)'!V2207="Yes",
    1.20,
    1.00)</f>
        <v/>
      </c>
      <c r="T2207">
        <f>LET(
    payment_method,'Loan Tape (S&amp;P)'!P2207,
    occupancy,'Loan Tape (S&amp;P)'!N2207,
    maturity_date,'Loan Tape (S&amp;P)'!L2207,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08">
      <c r="J2208">
        <f>LET(
    lien,'Loan Tape (S&amp;P)'!Q2208,
    IF(lien="First",1.00,
        IF(lien="Second",1.50,
            1.70)))</f>
        <v/>
      </c>
      <c r="K2208">
        <f>LET(
    purpose,'Loan Tape (S&amp;P)'!R2208,
    IF(purpose="Purchase",1.00,
        IF(purpose="Remortgage",1.00,
            1.20)))</f>
        <v/>
      </c>
      <c r="L2208">
        <f>LET(
    arrears_months,'Loan Tape (S&amp;P)'!AN2208,
    IF(arrears_months=0,1.00,
    IF(arrears_months=1,3.00,
    IF(arrears_months=2,5.00,
    IF(arrears_months=3,8.00,
    IF(arrears_months=4,10.00,
    IF(arrears_months=5,12.00,15.00)))))))</f>
        <v/>
      </c>
      <c r="M2208">
        <f>LET(
    seasoning_years,DATEDIF('Loan Tape (S&amp;P)'!K2208,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08">
        <f>IF(AND('Loan Tape (S&amp;P)'!U2208="Yes",
        'Loan Tape (S&amp;P)'!T2208&lt;&gt;"Yes",
        DATEDIF('Loan Tape (S&amp;P)'!K2208, TODAY(), "M")&lt;18),
    1.10,
    1.00)</f>
        <v/>
      </c>
      <c r="O2208">
        <f>IF('Loan Tape (S&amp;P)'!T2208="Yes",
    1.35,
    1.00)</f>
        <v/>
      </c>
      <c r="P2208">
        <f>IF('Loan Tape (S&amp;P)'!S2208="Yes",
    1.15,
    1.00)</f>
        <v/>
      </c>
      <c r="Q2208">
        <f>IF('Loan Tape (S&amp;P)'!V2208="Yes",
    1.20,
    1.00)</f>
        <v/>
      </c>
      <c r="T2208">
        <f>LET(
    payment_method,'Loan Tape (S&amp;P)'!P2208,
    occupancy,'Loan Tape (S&amp;P)'!N2208,
    maturity_date,'Loan Tape (S&amp;P)'!L2208,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09">
      <c r="J2209">
        <f>LET(
    lien,'Loan Tape (S&amp;P)'!Q2209,
    IF(lien="First",1.00,
        IF(lien="Second",1.50,
            1.70)))</f>
        <v/>
      </c>
      <c r="K2209">
        <f>LET(
    purpose,'Loan Tape (S&amp;P)'!R2209,
    IF(purpose="Purchase",1.00,
        IF(purpose="Remortgage",1.00,
            1.20)))</f>
        <v/>
      </c>
      <c r="L2209">
        <f>LET(
    arrears_months,'Loan Tape (S&amp;P)'!AN2209,
    IF(arrears_months=0,1.00,
    IF(arrears_months=1,3.00,
    IF(arrears_months=2,5.00,
    IF(arrears_months=3,8.00,
    IF(arrears_months=4,10.00,
    IF(arrears_months=5,12.00,15.00)))))))</f>
        <v/>
      </c>
      <c r="M2209">
        <f>LET(
    seasoning_years,DATEDIF('Loan Tape (S&amp;P)'!K2209,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09">
        <f>IF(AND('Loan Tape (S&amp;P)'!U2209="Yes",
        'Loan Tape (S&amp;P)'!T2209&lt;&gt;"Yes",
        DATEDIF('Loan Tape (S&amp;P)'!K2209, TODAY(), "M")&lt;18),
    1.10,
    1.00)</f>
        <v/>
      </c>
      <c r="O2209">
        <f>IF('Loan Tape (S&amp;P)'!T2209="Yes",
    1.35,
    1.00)</f>
        <v/>
      </c>
      <c r="P2209">
        <f>IF('Loan Tape (S&amp;P)'!S2209="Yes",
    1.15,
    1.00)</f>
        <v/>
      </c>
      <c r="Q2209">
        <f>IF('Loan Tape (S&amp;P)'!V2209="Yes",
    1.20,
    1.00)</f>
        <v/>
      </c>
      <c r="T2209">
        <f>LET(
    payment_method,'Loan Tape (S&amp;P)'!P2209,
    occupancy,'Loan Tape (S&amp;P)'!N2209,
    maturity_date,'Loan Tape (S&amp;P)'!L2209,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10">
      <c r="J2210">
        <f>LET(
    lien,'Loan Tape (S&amp;P)'!Q2210,
    IF(lien="First",1.00,
        IF(lien="Second",1.50,
            1.70)))</f>
        <v/>
      </c>
      <c r="K2210">
        <f>LET(
    purpose,'Loan Tape (S&amp;P)'!R2210,
    IF(purpose="Purchase",1.00,
        IF(purpose="Remortgage",1.00,
            1.20)))</f>
        <v/>
      </c>
      <c r="L2210">
        <f>LET(
    arrears_months,'Loan Tape (S&amp;P)'!AN2210,
    IF(arrears_months=0,1.00,
    IF(arrears_months=1,3.00,
    IF(arrears_months=2,5.00,
    IF(arrears_months=3,8.00,
    IF(arrears_months=4,10.00,
    IF(arrears_months=5,12.00,15.00)))))))</f>
        <v/>
      </c>
      <c r="M2210">
        <f>LET(
    seasoning_years,DATEDIF('Loan Tape (S&amp;P)'!K2210,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10">
        <f>IF(AND('Loan Tape (S&amp;P)'!U2210="Yes",
        'Loan Tape (S&amp;P)'!T2210&lt;&gt;"Yes",
        DATEDIF('Loan Tape (S&amp;P)'!K2210, TODAY(), "M")&lt;18),
    1.10,
    1.00)</f>
        <v/>
      </c>
      <c r="O2210">
        <f>IF('Loan Tape (S&amp;P)'!T2210="Yes",
    1.35,
    1.00)</f>
        <v/>
      </c>
      <c r="P2210">
        <f>IF('Loan Tape (S&amp;P)'!S2210="Yes",
    1.15,
    1.00)</f>
        <v/>
      </c>
      <c r="Q2210">
        <f>IF('Loan Tape (S&amp;P)'!V2210="Yes",
    1.20,
    1.00)</f>
        <v/>
      </c>
      <c r="T2210">
        <f>LET(
    payment_method,'Loan Tape (S&amp;P)'!P2210,
    occupancy,'Loan Tape (S&amp;P)'!N2210,
    maturity_date,'Loan Tape (S&amp;P)'!L2210,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11">
      <c r="J2211">
        <f>LET(
    lien,'Loan Tape (S&amp;P)'!Q2211,
    IF(lien="First",1.00,
        IF(lien="Second",1.50,
            1.70)))</f>
        <v/>
      </c>
      <c r="K2211">
        <f>LET(
    purpose,'Loan Tape (S&amp;P)'!R2211,
    IF(purpose="Purchase",1.00,
        IF(purpose="Remortgage",1.00,
            1.20)))</f>
        <v/>
      </c>
      <c r="L2211">
        <f>LET(
    arrears_months,'Loan Tape (S&amp;P)'!AN2211,
    IF(arrears_months=0,1.00,
    IF(arrears_months=1,3.00,
    IF(arrears_months=2,5.00,
    IF(arrears_months=3,8.00,
    IF(arrears_months=4,10.00,
    IF(arrears_months=5,12.00,15.00)))))))</f>
        <v/>
      </c>
      <c r="M2211">
        <f>LET(
    seasoning_years,DATEDIF('Loan Tape (S&amp;P)'!K2211,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11">
        <f>IF(AND('Loan Tape (S&amp;P)'!U2211="Yes",
        'Loan Tape (S&amp;P)'!T2211&lt;&gt;"Yes",
        DATEDIF('Loan Tape (S&amp;P)'!K2211, TODAY(), "M")&lt;18),
    1.10,
    1.00)</f>
        <v/>
      </c>
      <c r="O2211">
        <f>IF('Loan Tape (S&amp;P)'!T2211="Yes",
    1.35,
    1.00)</f>
        <v/>
      </c>
      <c r="P2211">
        <f>IF('Loan Tape (S&amp;P)'!S2211="Yes",
    1.15,
    1.00)</f>
        <v/>
      </c>
      <c r="Q2211">
        <f>IF('Loan Tape (S&amp;P)'!V2211="Yes",
    1.20,
    1.00)</f>
        <v/>
      </c>
      <c r="T2211">
        <f>LET(
    payment_method,'Loan Tape (S&amp;P)'!P2211,
    occupancy,'Loan Tape (S&amp;P)'!N2211,
    maturity_date,'Loan Tape (S&amp;P)'!L2211,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12">
      <c r="J2212">
        <f>LET(
    lien,'Loan Tape (S&amp;P)'!Q2212,
    IF(lien="First",1.00,
        IF(lien="Second",1.50,
            1.70)))</f>
        <v/>
      </c>
      <c r="K2212">
        <f>LET(
    purpose,'Loan Tape (S&amp;P)'!R2212,
    IF(purpose="Purchase",1.00,
        IF(purpose="Remortgage",1.00,
            1.20)))</f>
        <v/>
      </c>
      <c r="L2212">
        <f>LET(
    arrears_months,'Loan Tape (S&amp;P)'!AN2212,
    IF(arrears_months=0,1.00,
    IF(arrears_months=1,3.00,
    IF(arrears_months=2,5.00,
    IF(arrears_months=3,8.00,
    IF(arrears_months=4,10.00,
    IF(arrears_months=5,12.00,15.00)))))))</f>
        <v/>
      </c>
      <c r="M2212">
        <f>LET(
    seasoning_years,DATEDIF('Loan Tape (S&amp;P)'!K2212,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12">
        <f>IF(AND('Loan Tape (S&amp;P)'!U2212="Yes",
        'Loan Tape (S&amp;P)'!T2212&lt;&gt;"Yes",
        DATEDIF('Loan Tape (S&amp;P)'!K2212, TODAY(), "M")&lt;18),
    1.10,
    1.00)</f>
        <v/>
      </c>
      <c r="O2212">
        <f>IF('Loan Tape (S&amp;P)'!T2212="Yes",
    1.35,
    1.00)</f>
        <v/>
      </c>
      <c r="P2212">
        <f>IF('Loan Tape (S&amp;P)'!S2212="Yes",
    1.15,
    1.00)</f>
        <v/>
      </c>
      <c r="Q2212">
        <f>IF('Loan Tape (S&amp;P)'!V2212="Yes",
    1.20,
    1.00)</f>
        <v/>
      </c>
      <c r="T2212">
        <f>LET(
    payment_method,'Loan Tape (S&amp;P)'!P2212,
    occupancy,'Loan Tape (S&amp;P)'!N2212,
    maturity_date,'Loan Tape (S&amp;P)'!L2212,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13">
      <c r="J2213">
        <f>LET(
    lien,'Loan Tape (S&amp;P)'!Q2213,
    IF(lien="First",1.00,
        IF(lien="Second",1.50,
            1.70)))</f>
        <v/>
      </c>
      <c r="K2213">
        <f>LET(
    purpose,'Loan Tape (S&amp;P)'!R2213,
    IF(purpose="Purchase",1.00,
        IF(purpose="Remortgage",1.00,
            1.20)))</f>
        <v/>
      </c>
      <c r="L2213">
        <f>LET(
    arrears_months,'Loan Tape (S&amp;P)'!AN2213,
    IF(arrears_months=0,1.00,
    IF(arrears_months=1,3.00,
    IF(arrears_months=2,5.00,
    IF(arrears_months=3,8.00,
    IF(arrears_months=4,10.00,
    IF(arrears_months=5,12.00,15.00)))))))</f>
        <v/>
      </c>
      <c r="M2213">
        <f>LET(
    seasoning_years,DATEDIF('Loan Tape (S&amp;P)'!K2213,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13">
        <f>IF(AND('Loan Tape (S&amp;P)'!U2213="Yes",
        'Loan Tape (S&amp;P)'!T2213&lt;&gt;"Yes",
        DATEDIF('Loan Tape (S&amp;P)'!K2213, TODAY(), "M")&lt;18),
    1.10,
    1.00)</f>
        <v/>
      </c>
      <c r="O2213">
        <f>IF('Loan Tape (S&amp;P)'!T2213="Yes",
    1.35,
    1.00)</f>
        <v/>
      </c>
      <c r="P2213">
        <f>IF('Loan Tape (S&amp;P)'!S2213="Yes",
    1.15,
    1.00)</f>
        <v/>
      </c>
      <c r="Q2213">
        <f>IF('Loan Tape (S&amp;P)'!V2213="Yes",
    1.20,
    1.00)</f>
        <v/>
      </c>
      <c r="T2213">
        <f>LET(
    payment_method,'Loan Tape (S&amp;P)'!P2213,
    occupancy,'Loan Tape (S&amp;P)'!N2213,
    maturity_date,'Loan Tape (S&amp;P)'!L2213,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14">
      <c r="J2214">
        <f>LET(
    lien,'Loan Tape (S&amp;P)'!Q2214,
    IF(lien="First",1.00,
        IF(lien="Second",1.50,
            1.70)))</f>
        <v/>
      </c>
      <c r="K2214">
        <f>LET(
    purpose,'Loan Tape (S&amp;P)'!R2214,
    IF(purpose="Purchase",1.00,
        IF(purpose="Remortgage",1.00,
            1.20)))</f>
        <v/>
      </c>
      <c r="L2214">
        <f>LET(
    arrears_months,'Loan Tape (S&amp;P)'!AN2214,
    IF(arrears_months=0,1.00,
    IF(arrears_months=1,3.00,
    IF(arrears_months=2,5.00,
    IF(arrears_months=3,8.00,
    IF(arrears_months=4,10.00,
    IF(arrears_months=5,12.00,15.00)))))))</f>
        <v/>
      </c>
      <c r="M2214">
        <f>LET(
    seasoning_years,DATEDIF('Loan Tape (S&amp;P)'!K2214,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14">
        <f>IF(AND('Loan Tape (S&amp;P)'!U2214="Yes",
        'Loan Tape (S&amp;P)'!T2214&lt;&gt;"Yes",
        DATEDIF('Loan Tape (S&amp;P)'!K2214, TODAY(), "M")&lt;18),
    1.10,
    1.00)</f>
        <v/>
      </c>
      <c r="O2214">
        <f>IF('Loan Tape (S&amp;P)'!T2214="Yes",
    1.35,
    1.00)</f>
        <v/>
      </c>
      <c r="P2214">
        <f>IF('Loan Tape (S&amp;P)'!S2214="Yes",
    1.15,
    1.00)</f>
        <v/>
      </c>
      <c r="Q2214">
        <f>IF('Loan Tape (S&amp;P)'!V2214="Yes",
    1.20,
    1.00)</f>
        <v/>
      </c>
      <c r="T2214">
        <f>LET(
    payment_method,'Loan Tape (S&amp;P)'!P2214,
    occupancy,'Loan Tape (S&amp;P)'!N2214,
    maturity_date,'Loan Tape (S&amp;P)'!L2214,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15">
      <c r="J2215">
        <f>LET(
    lien,'Loan Tape (S&amp;P)'!Q2215,
    IF(lien="First",1.00,
        IF(lien="Second",1.50,
            1.70)))</f>
        <v/>
      </c>
      <c r="K2215">
        <f>LET(
    purpose,'Loan Tape (S&amp;P)'!R2215,
    IF(purpose="Purchase",1.00,
        IF(purpose="Remortgage",1.00,
            1.20)))</f>
        <v/>
      </c>
      <c r="L2215">
        <f>LET(
    arrears_months,'Loan Tape (S&amp;P)'!AN2215,
    IF(arrears_months=0,1.00,
    IF(arrears_months=1,3.00,
    IF(arrears_months=2,5.00,
    IF(arrears_months=3,8.00,
    IF(arrears_months=4,10.00,
    IF(arrears_months=5,12.00,15.00)))))))</f>
        <v/>
      </c>
      <c r="M2215">
        <f>LET(
    seasoning_years,DATEDIF('Loan Tape (S&amp;P)'!K2215,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15">
        <f>IF(AND('Loan Tape (S&amp;P)'!U2215="Yes",
        'Loan Tape (S&amp;P)'!T2215&lt;&gt;"Yes",
        DATEDIF('Loan Tape (S&amp;P)'!K2215, TODAY(), "M")&lt;18),
    1.10,
    1.00)</f>
        <v/>
      </c>
      <c r="O2215">
        <f>IF('Loan Tape (S&amp;P)'!T2215="Yes",
    1.35,
    1.00)</f>
        <v/>
      </c>
      <c r="P2215">
        <f>IF('Loan Tape (S&amp;P)'!S2215="Yes",
    1.15,
    1.00)</f>
        <v/>
      </c>
      <c r="Q2215">
        <f>IF('Loan Tape (S&amp;P)'!V2215="Yes",
    1.20,
    1.00)</f>
        <v/>
      </c>
      <c r="T2215">
        <f>LET(
    payment_method,'Loan Tape (S&amp;P)'!P2215,
    occupancy,'Loan Tape (S&amp;P)'!N2215,
    maturity_date,'Loan Tape (S&amp;P)'!L2215,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16">
      <c r="J2216">
        <f>LET(
    lien,'Loan Tape (S&amp;P)'!Q2216,
    IF(lien="First",1.00,
        IF(lien="Second",1.50,
            1.70)))</f>
        <v/>
      </c>
      <c r="K2216">
        <f>LET(
    purpose,'Loan Tape (S&amp;P)'!R2216,
    IF(purpose="Purchase",1.00,
        IF(purpose="Remortgage",1.00,
            1.20)))</f>
        <v/>
      </c>
      <c r="L2216">
        <f>LET(
    arrears_months,'Loan Tape (S&amp;P)'!AN2216,
    IF(arrears_months=0,1.00,
    IF(arrears_months=1,3.00,
    IF(arrears_months=2,5.00,
    IF(arrears_months=3,8.00,
    IF(arrears_months=4,10.00,
    IF(arrears_months=5,12.00,15.00)))))))</f>
        <v/>
      </c>
      <c r="M2216">
        <f>LET(
    seasoning_years,DATEDIF('Loan Tape (S&amp;P)'!K2216,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16">
        <f>IF(AND('Loan Tape (S&amp;P)'!U2216="Yes",
        'Loan Tape (S&amp;P)'!T2216&lt;&gt;"Yes",
        DATEDIF('Loan Tape (S&amp;P)'!K2216, TODAY(), "M")&lt;18),
    1.10,
    1.00)</f>
        <v/>
      </c>
      <c r="O2216">
        <f>IF('Loan Tape (S&amp;P)'!T2216="Yes",
    1.35,
    1.00)</f>
        <v/>
      </c>
      <c r="P2216">
        <f>IF('Loan Tape (S&amp;P)'!S2216="Yes",
    1.15,
    1.00)</f>
        <v/>
      </c>
      <c r="Q2216">
        <f>IF('Loan Tape (S&amp;P)'!V2216="Yes",
    1.20,
    1.00)</f>
        <v/>
      </c>
      <c r="T2216">
        <f>LET(
    payment_method,'Loan Tape (S&amp;P)'!P2216,
    occupancy,'Loan Tape (S&amp;P)'!N2216,
    maturity_date,'Loan Tape (S&amp;P)'!L2216,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17">
      <c r="J2217">
        <f>LET(
    lien,'Loan Tape (S&amp;P)'!Q2217,
    IF(lien="First",1.00,
        IF(lien="Second",1.50,
            1.70)))</f>
        <v/>
      </c>
      <c r="K2217">
        <f>LET(
    purpose,'Loan Tape (S&amp;P)'!R2217,
    IF(purpose="Purchase",1.00,
        IF(purpose="Remortgage",1.00,
            1.20)))</f>
        <v/>
      </c>
      <c r="L2217">
        <f>LET(
    arrears_months,'Loan Tape (S&amp;P)'!AN2217,
    IF(arrears_months=0,1.00,
    IF(arrears_months=1,3.00,
    IF(arrears_months=2,5.00,
    IF(arrears_months=3,8.00,
    IF(arrears_months=4,10.00,
    IF(arrears_months=5,12.00,15.00)))))))</f>
        <v/>
      </c>
      <c r="M2217">
        <f>LET(
    seasoning_years,DATEDIF('Loan Tape (S&amp;P)'!K2217,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17">
        <f>IF(AND('Loan Tape (S&amp;P)'!U2217="Yes",
        'Loan Tape (S&amp;P)'!T2217&lt;&gt;"Yes",
        DATEDIF('Loan Tape (S&amp;P)'!K2217, TODAY(), "M")&lt;18),
    1.10,
    1.00)</f>
        <v/>
      </c>
      <c r="O2217">
        <f>IF('Loan Tape (S&amp;P)'!T2217="Yes",
    1.35,
    1.00)</f>
        <v/>
      </c>
      <c r="P2217">
        <f>IF('Loan Tape (S&amp;P)'!S2217="Yes",
    1.15,
    1.00)</f>
        <v/>
      </c>
      <c r="Q2217">
        <f>IF('Loan Tape (S&amp;P)'!V2217="Yes",
    1.20,
    1.00)</f>
        <v/>
      </c>
      <c r="T2217">
        <f>LET(
    payment_method,'Loan Tape (S&amp;P)'!P2217,
    occupancy,'Loan Tape (S&amp;P)'!N2217,
    maturity_date,'Loan Tape (S&amp;P)'!L2217,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18">
      <c r="J2218">
        <f>LET(
    lien,'Loan Tape (S&amp;P)'!Q2218,
    IF(lien="First",1.00,
        IF(lien="Second",1.50,
            1.70)))</f>
        <v/>
      </c>
      <c r="K2218">
        <f>LET(
    purpose,'Loan Tape (S&amp;P)'!R2218,
    IF(purpose="Purchase",1.00,
        IF(purpose="Remortgage",1.00,
            1.20)))</f>
        <v/>
      </c>
      <c r="L2218">
        <f>LET(
    arrears_months,'Loan Tape (S&amp;P)'!AN2218,
    IF(arrears_months=0,1.00,
    IF(arrears_months=1,3.00,
    IF(arrears_months=2,5.00,
    IF(arrears_months=3,8.00,
    IF(arrears_months=4,10.00,
    IF(arrears_months=5,12.00,15.00)))))))</f>
        <v/>
      </c>
      <c r="M2218">
        <f>LET(
    seasoning_years,DATEDIF('Loan Tape (S&amp;P)'!K2218,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18">
        <f>IF(AND('Loan Tape (S&amp;P)'!U2218="Yes",
        'Loan Tape (S&amp;P)'!T2218&lt;&gt;"Yes",
        DATEDIF('Loan Tape (S&amp;P)'!K2218, TODAY(), "M")&lt;18),
    1.10,
    1.00)</f>
        <v/>
      </c>
      <c r="O2218">
        <f>IF('Loan Tape (S&amp;P)'!T2218="Yes",
    1.35,
    1.00)</f>
        <v/>
      </c>
      <c r="P2218">
        <f>IF('Loan Tape (S&amp;P)'!S2218="Yes",
    1.15,
    1.00)</f>
        <v/>
      </c>
      <c r="Q2218">
        <f>IF('Loan Tape (S&amp;P)'!V2218="Yes",
    1.20,
    1.00)</f>
        <v/>
      </c>
      <c r="T2218">
        <f>LET(
    payment_method,'Loan Tape (S&amp;P)'!P2218,
    occupancy,'Loan Tape (S&amp;P)'!N2218,
    maturity_date,'Loan Tape (S&amp;P)'!L2218,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19">
      <c r="J2219">
        <f>LET(
    lien,'Loan Tape (S&amp;P)'!Q2219,
    IF(lien="First",1.00,
        IF(lien="Second",1.50,
            1.70)))</f>
        <v/>
      </c>
      <c r="K2219">
        <f>LET(
    purpose,'Loan Tape (S&amp;P)'!R2219,
    IF(purpose="Purchase",1.00,
        IF(purpose="Remortgage",1.00,
            1.20)))</f>
        <v/>
      </c>
      <c r="L2219">
        <f>LET(
    arrears_months,'Loan Tape (S&amp;P)'!AN2219,
    IF(arrears_months=0,1.00,
    IF(arrears_months=1,3.00,
    IF(arrears_months=2,5.00,
    IF(arrears_months=3,8.00,
    IF(arrears_months=4,10.00,
    IF(arrears_months=5,12.00,15.00)))))))</f>
        <v/>
      </c>
      <c r="M2219">
        <f>LET(
    seasoning_years,DATEDIF('Loan Tape (S&amp;P)'!K2219,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19">
        <f>IF(AND('Loan Tape (S&amp;P)'!U2219="Yes",
        'Loan Tape (S&amp;P)'!T2219&lt;&gt;"Yes",
        DATEDIF('Loan Tape (S&amp;P)'!K2219, TODAY(), "M")&lt;18),
    1.10,
    1.00)</f>
        <v/>
      </c>
      <c r="O2219">
        <f>IF('Loan Tape (S&amp;P)'!T2219="Yes",
    1.35,
    1.00)</f>
        <v/>
      </c>
      <c r="P2219">
        <f>IF('Loan Tape (S&amp;P)'!S2219="Yes",
    1.15,
    1.00)</f>
        <v/>
      </c>
      <c r="Q2219">
        <f>IF('Loan Tape (S&amp;P)'!V2219="Yes",
    1.20,
    1.00)</f>
        <v/>
      </c>
      <c r="T2219">
        <f>LET(
    payment_method,'Loan Tape (S&amp;P)'!P2219,
    occupancy,'Loan Tape (S&amp;P)'!N2219,
    maturity_date,'Loan Tape (S&amp;P)'!L2219,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20">
      <c r="J2220">
        <f>LET(
    lien,'Loan Tape (S&amp;P)'!Q2220,
    IF(lien="First",1.00,
        IF(lien="Second",1.50,
            1.70)))</f>
        <v/>
      </c>
      <c r="K2220">
        <f>LET(
    purpose,'Loan Tape (S&amp;P)'!R2220,
    IF(purpose="Purchase",1.00,
        IF(purpose="Remortgage",1.00,
            1.20)))</f>
        <v/>
      </c>
      <c r="L2220">
        <f>LET(
    arrears_months,'Loan Tape (S&amp;P)'!AN2220,
    IF(arrears_months=0,1.00,
    IF(arrears_months=1,3.00,
    IF(arrears_months=2,5.00,
    IF(arrears_months=3,8.00,
    IF(arrears_months=4,10.00,
    IF(arrears_months=5,12.00,15.00)))))))</f>
        <v/>
      </c>
      <c r="M2220">
        <f>LET(
    seasoning_years,DATEDIF('Loan Tape (S&amp;P)'!K2220,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20">
        <f>IF(AND('Loan Tape (S&amp;P)'!U2220="Yes",
        'Loan Tape (S&amp;P)'!T2220&lt;&gt;"Yes",
        DATEDIF('Loan Tape (S&amp;P)'!K2220, TODAY(), "M")&lt;18),
    1.10,
    1.00)</f>
        <v/>
      </c>
      <c r="O2220">
        <f>IF('Loan Tape (S&amp;P)'!T2220="Yes",
    1.35,
    1.00)</f>
        <v/>
      </c>
      <c r="P2220">
        <f>IF('Loan Tape (S&amp;P)'!S2220="Yes",
    1.15,
    1.00)</f>
        <v/>
      </c>
      <c r="Q2220">
        <f>IF('Loan Tape (S&amp;P)'!V2220="Yes",
    1.20,
    1.00)</f>
        <v/>
      </c>
      <c r="T2220">
        <f>LET(
    payment_method,'Loan Tape (S&amp;P)'!P2220,
    occupancy,'Loan Tape (S&amp;P)'!N2220,
    maturity_date,'Loan Tape (S&amp;P)'!L2220,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21">
      <c r="J2221">
        <f>LET(
    lien,'Loan Tape (S&amp;P)'!Q2221,
    IF(lien="First",1.00,
        IF(lien="Second",1.50,
            1.70)))</f>
        <v/>
      </c>
      <c r="K2221">
        <f>LET(
    purpose,'Loan Tape (S&amp;P)'!R2221,
    IF(purpose="Purchase",1.00,
        IF(purpose="Remortgage",1.00,
            1.20)))</f>
        <v/>
      </c>
      <c r="L2221">
        <f>LET(
    arrears_months,'Loan Tape (S&amp;P)'!AN2221,
    IF(arrears_months=0,1.00,
    IF(arrears_months=1,3.00,
    IF(arrears_months=2,5.00,
    IF(arrears_months=3,8.00,
    IF(arrears_months=4,10.00,
    IF(arrears_months=5,12.00,15.00)))))))</f>
        <v/>
      </c>
      <c r="M2221">
        <f>LET(
    seasoning_years,DATEDIF('Loan Tape (S&amp;P)'!K2221,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21">
        <f>IF(AND('Loan Tape (S&amp;P)'!U2221="Yes",
        'Loan Tape (S&amp;P)'!T2221&lt;&gt;"Yes",
        DATEDIF('Loan Tape (S&amp;P)'!K2221, TODAY(), "M")&lt;18),
    1.10,
    1.00)</f>
        <v/>
      </c>
      <c r="O2221">
        <f>IF('Loan Tape (S&amp;P)'!T2221="Yes",
    1.35,
    1.00)</f>
        <v/>
      </c>
      <c r="P2221">
        <f>IF('Loan Tape (S&amp;P)'!S2221="Yes",
    1.15,
    1.00)</f>
        <v/>
      </c>
      <c r="Q2221">
        <f>IF('Loan Tape (S&amp;P)'!V2221="Yes",
    1.20,
    1.00)</f>
        <v/>
      </c>
      <c r="T2221">
        <f>LET(
    payment_method,'Loan Tape (S&amp;P)'!P2221,
    occupancy,'Loan Tape (S&amp;P)'!N2221,
    maturity_date,'Loan Tape (S&amp;P)'!L2221,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22">
      <c r="J2222">
        <f>LET(
    lien,'Loan Tape (S&amp;P)'!Q2222,
    IF(lien="First",1.00,
        IF(lien="Second",1.50,
            1.70)))</f>
        <v/>
      </c>
      <c r="K2222">
        <f>LET(
    purpose,'Loan Tape (S&amp;P)'!R2222,
    IF(purpose="Purchase",1.00,
        IF(purpose="Remortgage",1.00,
            1.20)))</f>
        <v/>
      </c>
      <c r="L2222">
        <f>LET(
    arrears_months,'Loan Tape (S&amp;P)'!AN2222,
    IF(arrears_months=0,1.00,
    IF(arrears_months=1,3.00,
    IF(arrears_months=2,5.00,
    IF(arrears_months=3,8.00,
    IF(arrears_months=4,10.00,
    IF(arrears_months=5,12.00,15.00)))))))</f>
        <v/>
      </c>
      <c r="M2222">
        <f>LET(
    seasoning_years,DATEDIF('Loan Tape (S&amp;P)'!K2222,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22">
        <f>IF(AND('Loan Tape (S&amp;P)'!U2222="Yes",
        'Loan Tape (S&amp;P)'!T2222&lt;&gt;"Yes",
        DATEDIF('Loan Tape (S&amp;P)'!K2222, TODAY(), "M")&lt;18),
    1.10,
    1.00)</f>
        <v/>
      </c>
      <c r="O2222">
        <f>IF('Loan Tape (S&amp;P)'!T2222="Yes",
    1.35,
    1.00)</f>
        <v/>
      </c>
      <c r="P2222">
        <f>IF('Loan Tape (S&amp;P)'!S2222="Yes",
    1.15,
    1.00)</f>
        <v/>
      </c>
      <c r="Q2222">
        <f>IF('Loan Tape (S&amp;P)'!V2222="Yes",
    1.20,
    1.00)</f>
        <v/>
      </c>
      <c r="T2222">
        <f>LET(
    payment_method,'Loan Tape (S&amp;P)'!P2222,
    occupancy,'Loan Tape (S&amp;P)'!N2222,
    maturity_date,'Loan Tape (S&amp;P)'!L2222,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23">
      <c r="J2223">
        <f>LET(
    lien,'Loan Tape (S&amp;P)'!Q2223,
    IF(lien="First",1.00,
        IF(lien="Second",1.50,
            1.70)))</f>
        <v/>
      </c>
      <c r="K2223">
        <f>LET(
    purpose,'Loan Tape (S&amp;P)'!R2223,
    IF(purpose="Purchase",1.00,
        IF(purpose="Remortgage",1.00,
            1.20)))</f>
        <v/>
      </c>
      <c r="L2223">
        <f>LET(
    arrears_months,'Loan Tape (S&amp;P)'!AN2223,
    IF(arrears_months=0,1.00,
    IF(arrears_months=1,3.00,
    IF(arrears_months=2,5.00,
    IF(arrears_months=3,8.00,
    IF(arrears_months=4,10.00,
    IF(arrears_months=5,12.00,15.00)))))))</f>
        <v/>
      </c>
      <c r="M2223">
        <f>LET(
    seasoning_years,DATEDIF('Loan Tape (S&amp;P)'!K2223,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23">
        <f>IF(AND('Loan Tape (S&amp;P)'!U2223="Yes",
        'Loan Tape (S&amp;P)'!T2223&lt;&gt;"Yes",
        DATEDIF('Loan Tape (S&amp;P)'!K2223, TODAY(), "M")&lt;18),
    1.10,
    1.00)</f>
        <v/>
      </c>
      <c r="O2223">
        <f>IF('Loan Tape (S&amp;P)'!T2223="Yes",
    1.35,
    1.00)</f>
        <v/>
      </c>
      <c r="P2223">
        <f>IF('Loan Tape (S&amp;P)'!S2223="Yes",
    1.15,
    1.00)</f>
        <v/>
      </c>
      <c r="Q2223">
        <f>IF('Loan Tape (S&amp;P)'!V2223="Yes",
    1.20,
    1.00)</f>
        <v/>
      </c>
      <c r="T2223">
        <f>LET(
    payment_method,'Loan Tape (S&amp;P)'!P2223,
    occupancy,'Loan Tape (S&amp;P)'!N2223,
    maturity_date,'Loan Tape (S&amp;P)'!L2223,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24">
      <c r="J2224">
        <f>LET(
    lien,'Loan Tape (S&amp;P)'!Q2224,
    IF(lien="First",1.00,
        IF(lien="Second",1.50,
            1.70)))</f>
        <v/>
      </c>
      <c r="K2224">
        <f>LET(
    purpose,'Loan Tape (S&amp;P)'!R2224,
    IF(purpose="Purchase",1.00,
        IF(purpose="Remortgage",1.00,
            1.20)))</f>
        <v/>
      </c>
      <c r="L2224">
        <f>LET(
    arrears_months,'Loan Tape (S&amp;P)'!AN2224,
    IF(arrears_months=0,1.00,
    IF(arrears_months=1,3.00,
    IF(arrears_months=2,5.00,
    IF(arrears_months=3,8.00,
    IF(arrears_months=4,10.00,
    IF(arrears_months=5,12.00,15.00)))))))</f>
        <v/>
      </c>
      <c r="M2224">
        <f>LET(
    seasoning_years,DATEDIF('Loan Tape (S&amp;P)'!K2224,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24">
        <f>IF(AND('Loan Tape (S&amp;P)'!U2224="Yes",
        'Loan Tape (S&amp;P)'!T2224&lt;&gt;"Yes",
        DATEDIF('Loan Tape (S&amp;P)'!K2224, TODAY(), "M")&lt;18),
    1.10,
    1.00)</f>
        <v/>
      </c>
      <c r="O2224">
        <f>IF('Loan Tape (S&amp;P)'!T2224="Yes",
    1.35,
    1.00)</f>
        <v/>
      </c>
      <c r="P2224">
        <f>IF('Loan Tape (S&amp;P)'!S2224="Yes",
    1.15,
    1.00)</f>
        <v/>
      </c>
      <c r="Q2224">
        <f>IF('Loan Tape (S&amp;P)'!V2224="Yes",
    1.20,
    1.00)</f>
        <v/>
      </c>
      <c r="T2224">
        <f>LET(
    payment_method,'Loan Tape (S&amp;P)'!P2224,
    occupancy,'Loan Tape (S&amp;P)'!N2224,
    maturity_date,'Loan Tape (S&amp;P)'!L2224,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25">
      <c r="J2225">
        <f>LET(
    lien,'Loan Tape (S&amp;P)'!Q2225,
    IF(lien="First",1.00,
        IF(lien="Second",1.50,
            1.70)))</f>
        <v/>
      </c>
      <c r="K2225">
        <f>LET(
    purpose,'Loan Tape (S&amp;P)'!R2225,
    IF(purpose="Purchase",1.00,
        IF(purpose="Remortgage",1.00,
            1.20)))</f>
        <v/>
      </c>
      <c r="L2225">
        <f>LET(
    arrears_months,'Loan Tape (S&amp;P)'!AN2225,
    IF(arrears_months=0,1.00,
    IF(arrears_months=1,3.00,
    IF(arrears_months=2,5.00,
    IF(arrears_months=3,8.00,
    IF(arrears_months=4,10.00,
    IF(arrears_months=5,12.00,15.00)))))))</f>
        <v/>
      </c>
      <c r="M2225">
        <f>LET(
    seasoning_years,DATEDIF('Loan Tape (S&amp;P)'!K2225,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25">
        <f>IF(AND('Loan Tape (S&amp;P)'!U2225="Yes",
        'Loan Tape (S&amp;P)'!T2225&lt;&gt;"Yes",
        DATEDIF('Loan Tape (S&amp;P)'!K2225, TODAY(), "M")&lt;18),
    1.10,
    1.00)</f>
        <v/>
      </c>
      <c r="O2225">
        <f>IF('Loan Tape (S&amp;P)'!T2225="Yes",
    1.35,
    1.00)</f>
        <v/>
      </c>
      <c r="P2225">
        <f>IF('Loan Tape (S&amp;P)'!S2225="Yes",
    1.15,
    1.00)</f>
        <v/>
      </c>
      <c r="Q2225">
        <f>IF('Loan Tape (S&amp;P)'!V2225="Yes",
    1.20,
    1.00)</f>
        <v/>
      </c>
      <c r="T2225">
        <f>LET(
    payment_method,'Loan Tape (S&amp;P)'!P2225,
    occupancy,'Loan Tape (S&amp;P)'!N2225,
    maturity_date,'Loan Tape (S&amp;P)'!L2225,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26">
      <c r="J2226">
        <f>LET(
    lien,'Loan Tape (S&amp;P)'!Q2226,
    IF(lien="First",1.00,
        IF(lien="Second",1.50,
            1.70)))</f>
        <v/>
      </c>
      <c r="K2226">
        <f>LET(
    purpose,'Loan Tape (S&amp;P)'!R2226,
    IF(purpose="Purchase",1.00,
        IF(purpose="Remortgage",1.00,
            1.20)))</f>
        <v/>
      </c>
      <c r="L2226">
        <f>LET(
    arrears_months,'Loan Tape (S&amp;P)'!AN2226,
    IF(arrears_months=0,1.00,
    IF(arrears_months=1,3.00,
    IF(arrears_months=2,5.00,
    IF(arrears_months=3,8.00,
    IF(arrears_months=4,10.00,
    IF(arrears_months=5,12.00,15.00)))))))</f>
        <v/>
      </c>
      <c r="M2226">
        <f>LET(
    seasoning_years,DATEDIF('Loan Tape (S&amp;P)'!K2226,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26">
        <f>IF(AND('Loan Tape (S&amp;P)'!U2226="Yes",
        'Loan Tape (S&amp;P)'!T2226&lt;&gt;"Yes",
        DATEDIF('Loan Tape (S&amp;P)'!K2226, TODAY(), "M")&lt;18),
    1.10,
    1.00)</f>
        <v/>
      </c>
      <c r="O2226">
        <f>IF('Loan Tape (S&amp;P)'!T2226="Yes",
    1.35,
    1.00)</f>
        <v/>
      </c>
      <c r="P2226">
        <f>IF('Loan Tape (S&amp;P)'!S2226="Yes",
    1.15,
    1.00)</f>
        <v/>
      </c>
      <c r="Q2226">
        <f>IF('Loan Tape (S&amp;P)'!V2226="Yes",
    1.20,
    1.00)</f>
        <v/>
      </c>
      <c r="T2226">
        <f>LET(
    payment_method,'Loan Tape (S&amp;P)'!P2226,
    occupancy,'Loan Tape (S&amp;P)'!N2226,
    maturity_date,'Loan Tape (S&amp;P)'!L2226,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27">
      <c r="J2227">
        <f>LET(
    lien,'Loan Tape (S&amp;P)'!Q2227,
    IF(lien="First",1.00,
        IF(lien="Second",1.50,
            1.70)))</f>
        <v/>
      </c>
      <c r="K2227">
        <f>LET(
    purpose,'Loan Tape (S&amp;P)'!R2227,
    IF(purpose="Purchase",1.00,
        IF(purpose="Remortgage",1.00,
            1.20)))</f>
        <v/>
      </c>
      <c r="L2227">
        <f>LET(
    arrears_months,'Loan Tape (S&amp;P)'!AN2227,
    IF(arrears_months=0,1.00,
    IF(arrears_months=1,3.00,
    IF(arrears_months=2,5.00,
    IF(arrears_months=3,8.00,
    IF(arrears_months=4,10.00,
    IF(arrears_months=5,12.00,15.00)))))))</f>
        <v/>
      </c>
      <c r="M2227">
        <f>LET(
    seasoning_years,DATEDIF('Loan Tape (S&amp;P)'!K2227,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27">
        <f>IF(AND('Loan Tape (S&amp;P)'!U2227="Yes",
        'Loan Tape (S&amp;P)'!T2227&lt;&gt;"Yes",
        DATEDIF('Loan Tape (S&amp;P)'!K2227, TODAY(), "M")&lt;18),
    1.10,
    1.00)</f>
        <v/>
      </c>
      <c r="O2227">
        <f>IF('Loan Tape (S&amp;P)'!T2227="Yes",
    1.35,
    1.00)</f>
        <v/>
      </c>
      <c r="P2227">
        <f>IF('Loan Tape (S&amp;P)'!S2227="Yes",
    1.15,
    1.00)</f>
        <v/>
      </c>
      <c r="Q2227">
        <f>IF('Loan Tape (S&amp;P)'!V2227="Yes",
    1.20,
    1.00)</f>
        <v/>
      </c>
      <c r="T2227">
        <f>LET(
    payment_method,'Loan Tape (S&amp;P)'!P2227,
    occupancy,'Loan Tape (S&amp;P)'!N2227,
    maturity_date,'Loan Tape (S&amp;P)'!L2227,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28">
      <c r="J2228">
        <f>LET(
    lien,'Loan Tape (S&amp;P)'!Q2228,
    IF(lien="First",1.00,
        IF(lien="Second",1.50,
            1.70)))</f>
        <v/>
      </c>
      <c r="K2228">
        <f>LET(
    purpose,'Loan Tape (S&amp;P)'!R2228,
    IF(purpose="Purchase",1.00,
        IF(purpose="Remortgage",1.00,
            1.20)))</f>
        <v/>
      </c>
      <c r="L2228">
        <f>LET(
    arrears_months,'Loan Tape (S&amp;P)'!AN2228,
    IF(arrears_months=0,1.00,
    IF(arrears_months=1,3.00,
    IF(arrears_months=2,5.00,
    IF(arrears_months=3,8.00,
    IF(arrears_months=4,10.00,
    IF(arrears_months=5,12.00,15.00)))))))</f>
        <v/>
      </c>
      <c r="M2228">
        <f>LET(
    seasoning_years,DATEDIF('Loan Tape (S&amp;P)'!K2228,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28">
        <f>IF(AND('Loan Tape (S&amp;P)'!U2228="Yes",
        'Loan Tape (S&amp;P)'!T2228&lt;&gt;"Yes",
        DATEDIF('Loan Tape (S&amp;P)'!K2228, TODAY(), "M")&lt;18),
    1.10,
    1.00)</f>
        <v/>
      </c>
      <c r="O2228">
        <f>IF('Loan Tape (S&amp;P)'!T2228="Yes",
    1.35,
    1.00)</f>
        <v/>
      </c>
      <c r="P2228">
        <f>IF('Loan Tape (S&amp;P)'!S2228="Yes",
    1.15,
    1.00)</f>
        <v/>
      </c>
      <c r="Q2228">
        <f>IF('Loan Tape (S&amp;P)'!V2228="Yes",
    1.20,
    1.00)</f>
        <v/>
      </c>
      <c r="T2228">
        <f>LET(
    payment_method,'Loan Tape (S&amp;P)'!P2228,
    occupancy,'Loan Tape (S&amp;P)'!N2228,
    maturity_date,'Loan Tape (S&amp;P)'!L2228,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29">
      <c r="J2229">
        <f>LET(
    lien,'Loan Tape (S&amp;P)'!Q2229,
    IF(lien="First",1.00,
        IF(lien="Second",1.50,
            1.70)))</f>
        <v/>
      </c>
      <c r="K2229">
        <f>LET(
    purpose,'Loan Tape (S&amp;P)'!R2229,
    IF(purpose="Purchase",1.00,
        IF(purpose="Remortgage",1.00,
            1.20)))</f>
        <v/>
      </c>
      <c r="L2229">
        <f>LET(
    arrears_months,'Loan Tape (S&amp;P)'!AN2229,
    IF(arrears_months=0,1.00,
    IF(arrears_months=1,3.00,
    IF(arrears_months=2,5.00,
    IF(arrears_months=3,8.00,
    IF(arrears_months=4,10.00,
    IF(arrears_months=5,12.00,15.00)))))))</f>
        <v/>
      </c>
      <c r="M2229">
        <f>LET(
    seasoning_years,DATEDIF('Loan Tape (S&amp;P)'!K2229,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29">
        <f>IF(AND('Loan Tape (S&amp;P)'!U2229="Yes",
        'Loan Tape (S&amp;P)'!T2229&lt;&gt;"Yes",
        DATEDIF('Loan Tape (S&amp;P)'!K2229, TODAY(), "M")&lt;18),
    1.10,
    1.00)</f>
        <v/>
      </c>
      <c r="O2229">
        <f>IF('Loan Tape (S&amp;P)'!T2229="Yes",
    1.35,
    1.00)</f>
        <v/>
      </c>
      <c r="P2229">
        <f>IF('Loan Tape (S&amp;P)'!S2229="Yes",
    1.15,
    1.00)</f>
        <v/>
      </c>
      <c r="Q2229">
        <f>IF('Loan Tape (S&amp;P)'!V2229="Yes",
    1.20,
    1.00)</f>
        <v/>
      </c>
      <c r="T2229">
        <f>LET(
    payment_method,'Loan Tape (S&amp;P)'!P2229,
    occupancy,'Loan Tape (S&amp;P)'!N2229,
    maturity_date,'Loan Tape (S&amp;P)'!L2229,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30">
      <c r="J2230">
        <f>LET(
    lien,'Loan Tape (S&amp;P)'!Q2230,
    IF(lien="First",1.00,
        IF(lien="Second",1.50,
            1.70)))</f>
        <v/>
      </c>
      <c r="K2230">
        <f>LET(
    purpose,'Loan Tape (S&amp;P)'!R2230,
    IF(purpose="Purchase",1.00,
        IF(purpose="Remortgage",1.00,
            1.20)))</f>
        <v/>
      </c>
      <c r="L2230">
        <f>LET(
    arrears_months,'Loan Tape (S&amp;P)'!AN2230,
    IF(arrears_months=0,1.00,
    IF(arrears_months=1,3.00,
    IF(arrears_months=2,5.00,
    IF(arrears_months=3,8.00,
    IF(arrears_months=4,10.00,
    IF(arrears_months=5,12.00,15.00)))))))</f>
        <v/>
      </c>
      <c r="M2230">
        <f>LET(
    seasoning_years,DATEDIF('Loan Tape (S&amp;P)'!K2230,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30">
        <f>IF(AND('Loan Tape (S&amp;P)'!U2230="Yes",
        'Loan Tape (S&amp;P)'!T2230&lt;&gt;"Yes",
        DATEDIF('Loan Tape (S&amp;P)'!K2230, TODAY(), "M")&lt;18),
    1.10,
    1.00)</f>
        <v/>
      </c>
      <c r="O2230">
        <f>IF('Loan Tape (S&amp;P)'!T2230="Yes",
    1.35,
    1.00)</f>
        <v/>
      </c>
      <c r="P2230">
        <f>IF('Loan Tape (S&amp;P)'!S2230="Yes",
    1.15,
    1.00)</f>
        <v/>
      </c>
      <c r="Q2230">
        <f>IF('Loan Tape (S&amp;P)'!V2230="Yes",
    1.20,
    1.00)</f>
        <v/>
      </c>
      <c r="T2230">
        <f>LET(
    payment_method,'Loan Tape (S&amp;P)'!P2230,
    occupancy,'Loan Tape (S&amp;P)'!N2230,
    maturity_date,'Loan Tape (S&amp;P)'!L2230,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31">
      <c r="J2231">
        <f>LET(
    lien,'Loan Tape (S&amp;P)'!Q2231,
    IF(lien="First",1.00,
        IF(lien="Second",1.50,
            1.70)))</f>
        <v/>
      </c>
      <c r="K2231">
        <f>LET(
    purpose,'Loan Tape (S&amp;P)'!R2231,
    IF(purpose="Purchase",1.00,
        IF(purpose="Remortgage",1.00,
            1.20)))</f>
        <v/>
      </c>
      <c r="L2231">
        <f>LET(
    arrears_months,'Loan Tape (S&amp;P)'!AN2231,
    IF(arrears_months=0,1.00,
    IF(arrears_months=1,3.00,
    IF(arrears_months=2,5.00,
    IF(arrears_months=3,8.00,
    IF(arrears_months=4,10.00,
    IF(arrears_months=5,12.00,15.00)))))))</f>
        <v/>
      </c>
      <c r="M2231">
        <f>LET(
    seasoning_years,DATEDIF('Loan Tape (S&amp;P)'!K2231,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31">
        <f>IF(AND('Loan Tape (S&amp;P)'!U2231="Yes",
        'Loan Tape (S&amp;P)'!T2231&lt;&gt;"Yes",
        DATEDIF('Loan Tape (S&amp;P)'!K2231, TODAY(), "M")&lt;18),
    1.10,
    1.00)</f>
        <v/>
      </c>
      <c r="O2231">
        <f>IF('Loan Tape (S&amp;P)'!T2231="Yes",
    1.35,
    1.00)</f>
        <v/>
      </c>
      <c r="P2231">
        <f>IF('Loan Tape (S&amp;P)'!S2231="Yes",
    1.15,
    1.00)</f>
        <v/>
      </c>
      <c r="Q2231">
        <f>IF('Loan Tape (S&amp;P)'!V2231="Yes",
    1.20,
    1.00)</f>
        <v/>
      </c>
      <c r="T2231">
        <f>LET(
    payment_method,'Loan Tape (S&amp;P)'!P2231,
    occupancy,'Loan Tape (S&amp;P)'!N2231,
    maturity_date,'Loan Tape (S&amp;P)'!L2231,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32">
      <c r="J2232">
        <f>LET(
    lien,'Loan Tape (S&amp;P)'!Q2232,
    IF(lien="First",1.00,
        IF(lien="Second",1.50,
            1.70)))</f>
        <v/>
      </c>
      <c r="K2232">
        <f>LET(
    purpose,'Loan Tape (S&amp;P)'!R2232,
    IF(purpose="Purchase",1.00,
        IF(purpose="Remortgage",1.00,
            1.20)))</f>
        <v/>
      </c>
      <c r="L2232">
        <f>LET(
    arrears_months,'Loan Tape (S&amp;P)'!AN2232,
    IF(arrears_months=0,1.00,
    IF(arrears_months=1,3.00,
    IF(arrears_months=2,5.00,
    IF(arrears_months=3,8.00,
    IF(arrears_months=4,10.00,
    IF(arrears_months=5,12.00,15.00)))))))</f>
        <v/>
      </c>
      <c r="M2232">
        <f>LET(
    seasoning_years,DATEDIF('Loan Tape (S&amp;P)'!K2232,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32">
        <f>IF(AND('Loan Tape (S&amp;P)'!U2232="Yes",
        'Loan Tape (S&amp;P)'!T2232&lt;&gt;"Yes",
        DATEDIF('Loan Tape (S&amp;P)'!K2232, TODAY(), "M")&lt;18),
    1.10,
    1.00)</f>
        <v/>
      </c>
      <c r="O2232">
        <f>IF('Loan Tape (S&amp;P)'!T2232="Yes",
    1.35,
    1.00)</f>
        <v/>
      </c>
      <c r="P2232">
        <f>IF('Loan Tape (S&amp;P)'!S2232="Yes",
    1.15,
    1.00)</f>
        <v/>
      </c>
      <c r="Q2232">
        <f>IF('Loan Tape (S&amp;P)'!V2232="Yes",
    1.20,
    1.00)</f>
        <v/>
      </c>
      <c r="T2232">
        <f>LET(
    payment_method,'Loan Tape (S&amp;P)'!P2232,
    occupancy,'Loan Tape (S&amp;P)'!N2232,
    maturity_date,'Loan Tape (S&amp;P)'!L2232,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33">
      <c r="J2233">
        <f>LET(
    lien,'Loan Tape (S&amp;P)'!Q2233,
    IF(lien="First",1.00,
        IF(lien="Second",1.50,
            1.70)))</f>
        <v/>
      </c>
      <c r="K2233">
        <f>LET(
    purpose,'Loan Tape (S&amp;P)'!R2233,
    IF(purpose="Purchase",1.00,
        IF(purpose="Remortgage",1.00,
            1.20)))</f>
        <v/>
      </c>
      <c r="L2233">
        <f>LET(
    arrears_months,'Loan Tape (S&amp;P)'!AN2233,
    IF(arrears_months=0,1.00,
    IF(arrears_months=1,3.00,
    IF(arrears_months=2,5.00,
    IF(arrears_months=3,8.00,
    IF(arrears_months=4,10.00,
    IF(arrears_months=5,12.00,15.00)))))))</f>
        <v/>
      </c>
      <c r="M2233">
        <f>LET(
    seasoning_years,DATEDIF('Loan Tape (S&amp;P)'!K2233,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33">
        <f>IF(AND('Loan Tape (S&amp;P)'!U2233="Yes",
        'Loan Tape (S&amp;P)'!T2233&lt;&gt;"Yes",
        DATEDIF('Loan Tape (S&amp;P)'!K2233, TODAY(), "M")&lt;18),
    1.10,
    1.00)</f>
        <v/>
      </c>
      <c r="O2233">
        <f>IF('Loan Tape (S&amp;P)'!T2233="Yes",
    1.35,
    1.00)</f>
        <v/>
      </c>
      <c r="P2233">
        <f>IF('Loan Tape (S&amp;P)'!S2233="Yes",
    1.15,
    1.00)</f>
        <v/>
      </c>
      <c r="Q2233">
        <f>IF('Loan Tape (S&amp;P)'!V2233="Yes",
    1.20,
    1.00)</f>
        <v/>
      </c>
      <c r="T2233">
        <f>LET(
    payment_method,'Loan Tape (S&amp;P)'!P2233,
    occupancy,'Loan Tape (S&amp;P)'!N2233,
    maturity_date,'Loan Tape (S&amp;P)'!L2233,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34">
      <c r="J2234">
        <f>LET(
    lien,'Loan Tape (S&amp;P)'!Q2234,
    IF(lien="First",1.00,
        IF(lien="Second",1.50,
            1.70)))</f>
        <v/>
      </c>
      <c r="K2234">
        <f>LET(
    purpose,'Loan Tape (S&amp;P)'!R2234,
    IF(purpose="Purchase",1.00,
        IF(purpose="Remortgage",1.00,
            1.20)))</f>
        <v/>
      </c>
      <c r="L2234">
        <f>LET(
    arrears_months,'Loan Tape (S&amp;P)'!AN2234,
    IF(arrears_months=0,1.00,
    IF(arrears_months=1,3.00,
    IF(arrears_months=2,5.00,
    IF(arrears_months=3,8.00,
    IF(arrears_months=4,10.00,
    IF(arrears_months=5,12.00,15.00)))))))</f>
        <v/>
      </c>
      <c r="M2234">
        <f>LET(
    seasoning_years,DATEDIF('Loan Tape (S&amp;P)'!K2234,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34">
        <f>IF(AND('Loan Tape (S&amp;P)'!U2234="Yes",
        'Loan Tape (S&amp;P)'!T2234&lt;&gt;"Yes",
        DATEDIF('Loan Tape (S&amp;P)'!K2234, TODAY(), "M")&lt;18),
    1.10,
    1.00)</f>
        <v/>
      </c>
      <c r="O2234">
        <f>IF('Loan Tape (S&amp;P)'!T2234="Yes",
    1.35,
    1.00)</f>
        <v/>
      </c>
      <c r="P2234">
        <f>IF('Loan Tape (S&amp;P)'!S2234="Yes",
    1.15,
    1.00)</f>
        <v/>
      </c>
      <c r="Q2234">
        <f>IF('Loan Tape (S&amp;P)'!V2234="Yes",
    1.20,
    1.00)</f>
        <v/>
      </c>
      <c r="T2234">
        <f>LET(
    payment_method,'Loan Tape (S&amp;P)'!P2234,
    occupancy,'Loan Tape (S&amp;P)'!N2234,
    maturity_date,'Loan Tape (S&amp;P)'!L2234,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35">
      <c r="J2235">
        <f>LET(
    lien,'Loan Tape (S&amp;P)'!Q2235,
    IF(lien="First",1.00,
        IF(lien="Second",1.50,
            1.70)))</f>
        <v/>
      </c>
      <c r="K2235">
        <f>LET(
    purpose,'Loan Tape (S&amp;P)'!R2235,
    IF(purpose="Purchase",1.00,
        IF(purpose="Remortgage",1.00,
            1.20)))</f>
        <v/>
      </c>
      <c r="L2235">
        <f>LET(
    arrears_months,'Loan Tape (S&amp;P)'!AN2235,
    IF(arrears_months=0,1.00,
    IF(arrears_months=1,3.00,
    IF(arrears_months=2,5.00,
    IF(arrears_months=3,8.00,
    IF(arrears_months=4,10.00,
    IF(arrears_months=5,12.00,15.00)))))))</f>
        <v/>
      </c>
      <c r="M2235">
        <f>LET(
    seasoning_years,DATEDIF('Loan Tape (S&amp;P)'!K2235,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35">
        <f>IF(AND('Loan Tape (S&amp;P)'!U2235="Yes",
        'Loan Tape (S&amp;P)'!T2235&lt;&gt;"Yes",
        DATEDIF('Loan Tape (S&amp;P)'!K2235, TODAY(), "M")&lt;18),
    1.10,
    1.00)</f>
        <v/>
      </c>
      <c r="O2235">
        <f>IF('Loan Tape (S&amp;P)'!T2235="Yes",
    1.35,
    1.00)</f>
        <v/>
      </c>
      <c r="P2235">
        <f>IF('Loan Tape (S&amp;P)'!S2235="Yes",
    1.15,
    1.00)</f>
        <v/>
      </c>
      <c r="Q2235">
        <f>IF('Loan Tape (S&amp;P)'!V2235="Yes",
    1.20,
    1.00)</f>
        <v/>
      </c>
      <c r="T2235">
        <f>LET(
    payment_method,'Loan Tape (S&amp;P)'!P2235,
    occupancy,'Loan Tape (S&amp;P)'!N2235,
    maturity_date,'Loan Tape (S&amp;P)'!L2235,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36">
      <c r="J2236">
        <f>LET(
    lien,'Loan Tape (S&amp;P)'!Q2236,
    IF(lien="First",1.00,
        IF(lien="Second",1.50,
            1.70)))</f>
        <v/>
      </c>
      <c r="K2236">
        <f>LET(
    purpose,'Loan Tape (S&amp;P)'!R2236,
    IF(purpose="Purchase",1.00,
        IF(purpose="Remortgage",1.00,
            1.20)))</f>
        <v/>
      </c>
      <c r="L2236">
        <f>LET(
    arrears_months,'Loan Tape (S&amp;P)'!AN2236,
    IF(arrears_months=0,1.00,
    IF(arrears_months=1,3.00,
    IF(arrears_months=2,5.00,
    IF(arrears_months=3,8.00,
    IF(arrears_months=4,10.00,
    IF(arrears_months=5,12.00,15.00)))))))</f>
        <v/>
      </c>
      <c r="M2236">
        <f>LET(
    seasoning_years,DATEDIF('Loan Tape (S&amp;P)'!K2236,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36">
        <f>IF(AND('Loan Tape (S&amp;P)'!U2236="Yes",
        'Loan Tape (S&amp;P)'!T2236&lt;&gt;"Yes",
        DATEDIF('Loan Tape (S&amp;P)'!K2236, TODAY(), "M")&lt;18),
    1.10,
    1.00)</f>
        <v/>
      </c>
      <c r="O2236">
        <f>IF('Loan Tape (S&amp;P)'!T2236="Yes",
    1.35,
    1.00)</f>
        <v/>
      </c>
      <c r="P2236">
        <f>IF('Loan Tape (S&amp;P)'!S2236="Yes",
    1.15,
    1.00)</f>
        <v/>
      </c>
      <c r="Q2236">
        <f>IF('Loan Tape (S&amp;P)'!V2236="Yes",
    1.20,
    1.00)</f>
        <v/>
      </c>
      <c r="T2236">
        <f>LET(
    payment_method,'Loan Tape (S&amp;P)'!P2236,
    occupancy,'Loan Tape (S&amp;P)'!N2236,
    maturity_date,'Loan Tape (S&amp;P)'!L2236,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37">
      <c r="J2237">
        <f>LET(
    lien,'Loan Tape (S&amp;P)'!Q2237,
    IF(lien="First",1.00,
        IF(lien="Second",1.50,
            1.70)))</f>
        <v/>
      </c>
      <c r="K2237">
        <f>LET(
    purpose,'Loan Tape (S&amp;P)'!R2237,
    IF(purpose="Purchase",1.00,
        IF(purpose="Remortgage",1.00,
            1.20)))</f>
        <v/>
      </c>
      <c r="L2237">
        <f>LET(
    arrears_months,'Loan Tape (S&amp;P)'!AN2237,
    IF(arrears_months=0,1.00,
    IF(arrears_months=1,3.00,
    IF(arrears_months=2,5.00,
    IF(arrears_months=3,8.00,
    IF(arrears_months=4,10.00,
    IF(arrears_months=5,12.00,15.00)))))))</f>
        <v/>
      </c>
      <c r="M2237">
        <f>LET(
    seasoning_years,DATEDIF('Loan Tape (S&amp;P)'!K2237,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37">
        <f>IF(AND('Loan Tape (S&amp;P)'!U2237="Yes",
        'Loan Tape (S&amp;P)'!T2237&lt;&gt;"Yes",
        DATEDIF('Loan Tape (S&amp;P)'!K2237, TODAY(), "M")&lt;18),
    1.10,
    1.00)</f>
        <v/>
      </c>
      <c r="O2237">
        <f>IF('Loan Tape (S&amp;P)'!T2237="Yes",
    1.35,
    1.00)</f>
        <v/>
      </c>
      <c r="P2237">
        <f>IF('Loan Tape (S&amp;P)'!S2237="Yes",
    1.15,
    1.00)</f>
        <v/>
      </c>
      <c r="Q2237">
        <f>IF('Loan Tape (S&amp;P)'!V2237="Yes",
    1.20,
    1.00)</f>
        <v/>
      </c>
      <c r="T2237">
        <f>LET(
    payment_method,'Loan Tape (S&amp;P)'!P2237,
    occupancy,'Loan Tape (S&amp;P)'!N2237,
    maturity_date,'Loan Tape (S&amp;P)'!L2237,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38">
      <c r="J2238">
        <f>LET(
    lien,'Loan Tape (S&amp;P)'!Q2238,
    IF(lien="First",1.00,
        IF(lien="Second",1.50,
            1.70)))</f>
        <v/>
      </c>
      <c r="K2238">
        <f>LET(
    purpose,'Loan Tape (S&amp;P)'!R2238,
    IF(purpose="Purchase",1.00,
        IF(purpose="Remortgage",1.00,
            1.20)))</f>
        <v/>
      </c>
      <c r="L2238">
        <f>LET(
    arrears_months,'Loan Tape (S&amp;P)'!AN2238,
    IF(arrears_months=0,1.00,
    IF(arrears_months=1,3.00,
    IF(arrears_months=2,5.00,
    IF(arrears_months=3,8.00,
    IF(arrears_months=4,10.00,
    IF(arrears_months=5,12.00,15.00)))))))</f>
        <v/>
      </c>
      <c r="M2238">
        <f>LET(
    seasoning_years,DATEDIF('Loan Tape (S&amp;P)'!K2238,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38">
        <f>IF(AND('Loan Tape (S&amp;P)'!U2238="Yes",
        'Loan Tape (S&amp;P)'!T2238&lt;&gt;"Yes",
        DATEDIF('Loan Tape (S&amp;P)'!K2238, TODAY(), "M")&lt;18),
    1.10,
    1.00)</f>
        <v/>
      </c>
      <c r="O2238">
        <f>IF('Loan Tape (S&amp;P)'!T2238="Yes",
    1.35,
    1.00)</f>
        <v/>
      </c>
      <c r="P2238">
        <f>IF('Loan Tape (S&amp;P)'!S2238="Yes",
    1.15,
    1.00)</f>
        <v/>
      </c>
      <c r="Q2238">
        <f>IF('Loan Tape (S&amp;P)'!V2238="Yes",
    1.20,
    1.00)</f>
        <v/>
      </c>
      <c r="T2238">
        <f>LET(
    payment_method,'Loan Tape (S&amp;P)'!P2238,
    occupancy,'Loan Tape (S&amp;P)'!N2238,
    maturity_date,'Loan Tape (S&amp;P)'!L2238,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39">
      <c r="J2239">
        <f>LET(
    lien,'Loan Tape (S&amp;P)'!Q2239,
    IF(lien="First",1.00,
        IF(lien="Second",1.50,
            1.70)))</f>
        <v/>
      </c>
      <c r="K2239">
        <f>LET(
    purpose,'Loan Tape (S&amp;P)'!R2239,
    IF(purpose="Purchase",1.00,
        IF(purpose="Remortgage",1.00,
            1.20)))</f>
        <v/>
      </c>
      <c r="L2239">
        <f>LET(
    arrears_months,'Loan Tape (S&amp;P)'!AN2239,
    IF(arrears_months=0,1.00,
    IF(arrears_months=1,3.00,
    IF(arrears_months=2,5.00,
    IF(arrears_months=3,8.00,
    IF(arrears_months=4,10.00,
    IF(arrears_months=5,12.00,15.00)))))))</f>
        <v/>
      </c>
      <c r="M2239">
        <f>LET(
    seasoning_years,DATEDIF('Loan Tape (S&amp;P)'!K2239,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39">
        <f>IF(AND('Loan Tape (S&amp;P)'!U2239="Yes",
        'Loan Tape (S&amp;P)'!T2239&lt;&gt;"Yes",
        DATEDIF('Loan Tape (S&amp;P)'!K2239, TODAY(), "M")&lt;18),
    1.10,
    1.00)</f>
        <v/>
      </c>
      <c r="O2239">
        <f>IF('Loan Tape (S&amp;P)'!T2239="Yes",
    1.35,
    1.00)</f>
        <v/>
      </c>
      <c r="P2239">
        <f>IF('Loan Tape (S&amp;P)'!S2239="Yes",
    1.15,
    1.00)</f>
        <v/>
      </c>
      <c r="Q2239">
        <f>IF('Loan Tape (S&amp;P)'!V2239="Yes",
    1.20,
    1.00)</f>
        <v/>
      </c>
      <c r="T2239">
        <f>LET(
    payment_method,'Loan Tape (S&amp;P)'!P2239,
    occupancy,'Loan Tape (S&amp;P)'!N2239,
    maturity_date,'Loan Tape (S&amp;P)'!L2239,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40">
      <c r="J2240">
        <f>LET(
    lien,'Loan Tape (S&amp;P)'!Q2240,
    IF(lien="First",1.00,
        IF(lien="Second",1.50,
            1.70)))</f>
        <v/>
      </c>
      <c r="K2240">
        <f>LET(
    purpose,'Loan Tape (S&amp;P)'!R2240,
    IF(purpose="Purchase",1.00,
        IF(purpose="Remortgage",1.00,
            1.20)))</f>
        <v/>
      </c>
      <c r="L2240">
        <f>LET(
    arrears_months,'Loan Tape (S&amp;P)'!AN2240,
    IF(arrears_months=0,1.00,
    IF(arrears_months=1,3.00,
    IF(arrears_months=2,5.00,
    IF(arrears_months=3,8.00,
    IF(arrears_months=4,10.00,
    IF(arrears_months=5,12.00,15.00)))))))</f>
        <v/>
      </c>
      <c r="M2240">
        <f>LET(
    seasoning_years,DATEDIF('Loan Tape (S&amp;P)'!K2240,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40">
        <f>IF(AND('Loan Tape (S&amp;P)'!U2240="Yes",
        'Loan Tape (S&amp;P)'!T2240&lt;&gt;"Yes",
        DATEDIF('Loan Tape (S&amp;P)'!K2240, TODAY(), "M")&lt;18),
    1.10,
    1.00)</f>
        <v/>
      </c>
      <c r="O2240">
        <f>IF('Loan Tape (S&amp;P)'!T2240="Yes",
    1.35,
    1.00)</f>
        <v/>
      </c>
      <c r="P2240">
        <f>IF('Loan Tape (S&amp;P)'!S2240="Yes",
    1.15,
    1.00)</f>
        <v/>
      </c>
      <c r="Q2240">
        <f>IF('Loan Tape (S&amp;P)'!V2240="Yes",
    1.20,
    1.00)</f>
        <v/>
      </c>
      <c r="T2240">
        <f>LET(
    payment_method,'Loan Tape (S&amp;P)'!P2240,
    occupancy,'Loan Tape (S&amp;P)'!N2240,
    maturity_date,'Loan Tape (S&amp;P)'!L2240,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41">
      <c r="J2241">
        <f>LET(
    lien,'Loan Tape (S&amp;P)'!Q2241,
    IF(lien="First",1.00,
        IF(lien="Second",1.50,
            1.70)))</f>
        <v/>
      </c>
      <c r="K2241">
        <f>LET(
    purpose,'Loan Tape (S&amp;P)'!R2241,
    IF(purpose="Purchase",1.00,
        IF(purpose="Remortgage",1.00,
            1.20)))</f>
        <v/>
      </c>
      <c r="L2241">
        <f>LET(
    arrears_months,'Loan Tape (S&amp;P)'!AN2241,
    IF(arrears_months=0,1.00,
    IF(arrears_months=1,3.00,
    IF(arrears_months=2,5.00,
    IF(arrears_months=3,8.00,
    IF(arrears_months=4,10.00,
    IF(arrears_months=5,12.00,15.00)))))))</f>
        <v/>
      </c>
      <c r="M2241">
        <f>LET(
    seasoning_years,DATEDIF('Loan Tape (S&amp;P)'!K2241,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41">
        <f>IF(AND('Loan Tape (S&amp;P)'!U2241="Yes",
        'Loan Tape (S&amp;P)'!T2241&lt;&gt;"Yes",
        DATEDIF('Loan Tape (S&amp;P)'!K2241, TODAY(), "M")&lt;18),
    1.10,
    1.00)</f>
        <v/>
      </c>
      <c r="O2241">
        <f>IF('Loan Tape (S&amp;P)'!T2241="Yes",
    1.35,
    1.00)</f>
        <v/>
      </c>
      <c r="P2241">
        <f>IF('Loan Tape (S&amp;P)'!S2241="Yes",
    1.15,
    1.00)</f>
        <v/>
      </c>
      <c r="Q2241">
        <f>IF('Loan Tape (S&amp;P)'!V2241="Yes",
    1.20,
    1.00)</f>
        <v/>
      </c>
      <c r="T2241">
        <f>LET(
    payment_method,'Loan Tape (S&amp;P)'!P2241,
    occupancy,'Loan Tape (S&amp;P)'!N2241,
    maturity_date,'Loan Tape (S&amp;P)'!L2241,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42">
      <c r="J2242">
        <f>LET(
    lien,'Loan Tape (S&amp;P)'!Q2242,
    IF(lien="First",1.00,
        IF(lien="Second",1.50,
            1.70)))</f>
        <v/>
      </c>
      <c r="K2242">
        <f>LET(
    purpose,'Loan Tape (S&amp;P)'!R2242,
    IF(purpose="Purchase",1.00,
        IF(purpose="Remortgage",1.00,
            1.20)))</f>
        <v/>
      </c>
      <c r="L2242">
        <f>LET(
    arrears_months,'Loan Tape (S&amp;P)'!AN2242,
    IF(arrears_months=0,1.00,
    IF(arrears_months=1,3.00,
    IF(arrears_months=2,5.00,
    IF(arrears_months=3,8.00,
    IF(arrears_months=4,10.00,
    IF(arrears_months=5,12.00,15.00)))))))</f>
        <v/>
      </c>
      <c r="M2242">
        <f>LET(
    seasoning_years,DATEDIF('Loan Tape (S&amp;P)'!K2242,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42">
        <f>IF(AND('Loan Tape (S&amp;P)'!U2242="Yes",
        'Loan Tape (S&amp;P)'!T2242&lt;&gt;"Yes",
        DATEDIF('Loan Tape (S&amp;P)'!K2242, TODAY(), "M")&lt;18),
    1.10,
    1.00)</f>
        <v/>
      </c>
      <c r="O2242">
        <f>IF('Loan Tape (S&amp;P)'!T2242="Yes",
    1.35,
    1.00)</f>
        <v/>
      </c>
      <c r="P2242">
        <f>IF('Loan Tape (S&amp;P)'!S2242="Yes",
    1.15,
    1.00)</f>
        <v/>
      </c>
      <c r="Q2242">
        <f>IF('Loan Tape (S&amp;P)'!V2242="Yes",
    1.20,
    1.00)</f>
        <v/>
      </c>
      <c r="T2242">
        <f>LET(
    payment_method,'Loan Tape (S&amp;P)'!P2242,
    occupancy,'Loan Tape (S&amp;P)'!N2242,
    maturity_date,'Loan Tape (S&amp;P)'!L2242,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43">
      <c r="J2243">
        <f>LET(
    lien,'Loan Tape (S&amp;P)'!Q2243,
    IF(lien="First",1.00,
        IF(lien="Second",1.50,
            1.70)))</f>
        <v/>
      </c>
      <c r="K2243">
        <f>LET(
    purpose,'Loan Tape (S&amp;P)'!R2243,
    IF(purpose="Purchase",1.00,
        IF(purpose="Remortgage",1.00,
            1.20)))</f>
        <v/>
      </c>
      <c r="L2243">
        <f>LET(
    arrears_months,'Loan Tape (S&amp;P)'!AN2243,
    IF(arrears_months=0,1.00,
    IF(arrears_months=1,3.00,
    IF(arrears_months=2,5.00,
    IF(arrears_months=3,8.00,
    IF(arrears_months=4,10.00,
    IF(arrears_months=5,12.00,15.00)))))))</f>
        <v/>
      </c>
      <c r="M2243">
        <f>LET(
    seasoning_years,DATEDIF('Loan Tape (S&amp;P)'!K2243,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43">
        <f>IF(AND('Loan Tape (S&amp;P)'!U2243="Yes",
        'Loan Tape (S&amp;P)'!T2243&lt;&gt;"Yes",
        DATEDIF('Loan Tape (S&amp;P)'!K2243, TODAY(), "M")&lt;18),
    1.10,
    1.00)</f>
        <v/>
      </c>
      <c r="O2243">
        <f>IF('Loan Tape (S&amp;P)'!T2243="Yes",
    1.35,
    1.00)</f>
        <v/>
      </c>
      <c r="P2243">
        <f>IF('Loan Tape (S&amp;P)'!S2243="Yes",
    1.15,
    1.00)</f>
        <v/>
      </c>
      <c r="Q2243">
        <f>IF('Loan Tape (S&amp;P)'!V2243="Yes",
    1.20,
    1.00)</f>
        <v/>
      </c>
      <c r="T2243">
        <f>LET(
    payment_method,'Loan Tape (S&amp;P)'!P2243,
    occupancy,'Loan Tape (S&amp;P)'!N2243,
    maturity_date,'Loan Tape (S&amp;P)'!L2243,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44">
      <c r="J2244">
        <f>LET(
    lien,'Loan Tape (S&amp;P)'!Q2244,
    IF(lien="First",1.00,
        IF(lien="Second",1.50,
            1.70)))</f>
        <v/>
      </c>
      <c r="K2244">
        <f>LET(
    purpose,'Loan Tape (S&amp;P)'!R2244,
    IF(purpose="Purchase",1.00,
        IF(purpose="Remortgage",1.00,
            1.20)))</f>
        <v/>
      </c>
      <c r="L2244">
        <f>LET(
    arrears_months,'Loan Tape (S&amp;P)'!AN2244,
    IF(arrears_months=0,1.00,
    IF(arrears_months=1,3.00,
    IF(arrears_months=2,5.00,
    IF(arrears_months=3,8.00,
    IF(arrears_months=4,10.00,
    IF(arrears_months=5,12.00,15.00)))))))</f>
        <v/>
      </c>
      <c r="M2244">
        <f>LET(
    seasoning_years,DATEDIF('Loan Tape (S&amp;P)'!K2244,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44">
        <f>IF(AND('Loan Tape (S&amp;P)'!U2244="Yes",
        'Loan Tape (S&amp;P)'!T2244&lt;&gt;"Yes",
        DATEDIF('Loan Tape (S&amp;P)'!K2244, TODAY(), "M")&lt;18),
    1.10,
    1.00)</f>
        <v/>
      </c>
      <c r="O2244">
        <f>IF('Loan Tape (S&amp;P)'!T2244="Yes",
    1.35,
    1.00)</f>
        <v/>
      </c>
      <c r="P2244">
        <f>IF('Loan Tape (S&amp;P)'!S2244="Yes",
    1.15,
    1.00)</f>
        <v/>
      </c>
      <c r="Q2244">
        <f>IF('Loan Tape (S&amp;P)'!V2244="Yes",
    1.20,
    1.00)</f>
        <v/>
      </c>
      <c r="T2244">
        <f>LET(
    payment_method,'Loan Tape (S&amp;P)'!P2244,
    occupancy,'Loan Tape (S&amp;P)'!N2244,
    maturity_date,'Loan Tape (S&amp;P)'!L2244,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45">
      <c r="J2245">
        <f>LET(
    lien,'Loan Tape (S&amp;P)'!Q2245,
    IF(lien="First",1.00,
        IF(lien="Second",1.50,
            1.70)))</f>
        <v/>
      </c>
      <c r="K2245">
        <f>LET(
    purpose,'Loan Tape (S&amp;P)'!R2245,
    IF(purpose="Purchase",1.00,
        IF(purpose="Remortgage",1.00,
            1.20)))</f>
        <v/>
      </c>
      <c r="L2245">
        <f>LET(
    arrears_months,'Loan Tape (S&amp;P)'!AN2245,
    IF(arrears_months=0,1.00,
    IF(arrears_months=1,3.00,
    IF(arrears_months=2,5.00,
    IF(arrears_months=3,8.00,
    IF(arrears_months=4,10.00,
    IF(arrears_months=5,12.00,15.00)))))))</f>
        <v/>
      </c>
      <c r="M2245">
        <f>LET(
    seasoning_years,DATEDIF('Loan Tape (S&amp;P)'!K2245,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45">
        <f>IF(AND('Loan Tape (S&amp;P)'!U2245="Yes",
        'Loan Tape (S&amp;P)'!T2245&lt;&gt;"Yes",
        DATEDIF('Loan Tape (S&amp;P)'!K2245, TODAY(), "M")&lt;18),
    1.10,
    1.00)</f>
        <v/>
      </c>
      <c r="O2245">
        <f>IF('Loan Tape (S&amp;P)'!T2245="Yes",
    1.35,
    1.00)</f>
        <v/>
      </c>
      <c r="P2245">
        <f>IF('Loan Tape (S&amp;P)'!S2245="Yes",
    1.15,
    1.00)</f>
        <v/>
      </c>
      <c r="Q2245">
        <f>IF('Loan Tape (S&amp;P)'!V2245="Yes",
    1.20,
    1.00)</f>
        <v/>
      </c>
      <c r="T2245">
        <f>LET(
    payment_method,'Loan Tape (S&amp;P)'!P2245,
    occupancy,'Loan Tape (S&amp;P)'!N2245,
    maturity_date,'Loan Tape (S&amp;P)'!L2245,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46">
      <c r="J2246">
        <f>LET(
    lien,'Loan Tape (S&amp;P)'!Q2246,
    IF(lien="First",1.00,
        IF(lien="Second",1.50,
            1.70)))</f>
        <v/>
      </c>
      <c r="K2246">
        <f>LET(
    purpose,'Loan Tape (S&amp;P)'!R2246,
    IF(purpose="Purchase",1.00,
        IF(purpose="Remortgage",1.00,
            1.20)))</f>
        <v/>
      </c>
      <c r="L2246">
        <f>LET(
    arrears_months,'Loan Tape (S&amp;P)'!AN2246,
    IF(arrears_months=0,1.00,
    IF(arrears_months=1,3.00,
    IF(arrears_months=2,5.00,
    IF(arrears_months=3,8.00,
    IF(arrears_months=4,10.00,
    IF(arrears_months=5,12.00,15.00)))))))</f>
        <v/>
      </c>
      <c r="M2246">
        <f>LET(
    seasoning_years,DATEDIF('Loan Tape (S&amp;P)'!K2246,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46">
        <f>IF(AND('Loan Tape (S&amp;P)'!U2246="Yes",
        'Loan Tape (S&amp;P)'!T2246&lt;&gt;"Yes",
        DATEDIF('Loan Tape (S&amp;P)'!K2246, TODAY(), "M")&lt;18),
    1.10,
    1.00)</f>
        <v/>
      </c>
      <c r="O2246">
        <f>IF('Loan Tape (S&amp;P)'!T2246="Yes",
    1.35,
    1.00)</f>
        <v/>
      </c>
      <c r="P2246">
        <f>IF('Loan Tape (S&amp;P)'!S2246="Yes",
    1.15,
    1.00)</f>
        <v/>
      </c>
      <c r="Q2246">
        <f>IF('Loan Tape (S&amp;P)'!V2246="Yes",
    1.20,
    1.00)</f>
        <v/>
      </c>
      <c r="T2246">
        <f>LET(
    payment_method,'Loan Tape (S&amp;P)'!P2246,
    occupancy,'Loan Tape (S&amp;P)'!N2246,
    maturity_date,'Loan Tape (S&amp;P)'!L2246,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47">
      <c r="J2247">
        <f>LET(
    lien,'Loan Tape (S&amp;P)'!Q2247,
    IF(lien="First",1.00,
        IF(lien="Second",1.50,
            1.70)))</f>
        <v/>
      </c>
      <c r="K2247">
        <f>LET(
    purpose,'Loan Tape (S&amp;P)'!R2247,
    IF(purpose="Purchase",1.00,
        IF(purpose="Remortgage",1.00,
            1.20)))</f>
        <v/>
      </c>
      <c r="L2247">
        <f>LET(
    arrears_months,'Loan Tape (S&amp;P)'!AN2247,
    IF(arrears_months=0,1.00,
    IF(arrears_months=1,3.00,
    IF(arrears_months=2,5.00,
    IF(arrears_months=3,8.00,
    IF(arrears_months=4,10.00,
    IF(arrears_months=5,12.00,15.00)))))))</f>
        <v/>
      </c>
      <c r="M2247">
        <f>LET(
    seasoning_years,DATEDIF('Loan Tape (S&amp;P)'!K2247,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47">
        <f>IF(AND('Loan Tape (S&amp;P)'!U2247="Yes",
        'Loan Tape (S&amp;P)'!T2247&lt;&gt;"Yes",
        DATEDIF('Loan Tape (S&amp;P)'!K2247, TODAY(), "M")&lt;18),
    1.10,
    1.00)</f>
        <v/>
      </c>
      <c r="O2247">
        <f>IF('Loan Tape (S&amp;P)'!T2247="Yes",
    1.35,
    1.00)</f>
        <v/>
      </c>
      <c r="P2247">
        <f>IF('Loan Tape (S&amp;P)'!S2247="Yes",
    1.15,
    1.00)</f>
        <v/>
      </c>
      <c r="Q2247">
        <f>IF('Loan Tape (S&amp;P)'!V2247="Yes",
    1.20,
    1.00)</f>
        <v/>
      </c>
      <c r="T2247">
        <f>LET(
    payment_method,'Loan Tape (S&amp;P)'!P2247,
    occupancy,'Loan Tape (S&amp;P)'!N2247,
    maturity_date,'Loan Tape (S&amp;P)'!L2247,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48">
      <c r="J2248">
        <f>LET(
    lien,'Loan Tape (S&amp;P)'!Q2248,
    IF(lien="First",1.00,
        IF(lien="Second",1.50,
            1.70)))</f>
        <v/>
      </c>
      <c r="K2248">
        <f>LET(
    purpose,'Loan Tape (S&amp;P)'!R2248,
    IF(purpose="Purchase",1.00,
        IF(purpose="Remortgage",1.00,
            1.20)))</f>
        <v/>
      </c>
      <c r="L2248">
        <f>LET(
    arrears_months,'Loan Tape (S&amp;P)'!AN2248,
    IF(arrears_months=0,1.00,
    IF(arrears_months=1,3.00,
    IF(arrears_months=2,5.00,
    IF(arrears_months=3,8.00,
    IF(arrears_months=4,10.00,
    IF(arrears_months=5,12.00,15.00)))))))</f>
        <v/>
      </c>
      <c r="M2248">
        <f>LET(
    seasoning_years,DATEDIF('Loan Tape (S&amp;P)'!K2248,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48">
        <f>IF(AND('Loan Tape (S&amp;P)'!U2248="Yes",
        'Loan Tape (S&amp;P)'!T2248&lt;&gt;"Yes",
        DATEDIF('Loan Tape (S&amp;P)'!K2248, TODAY(), "M")&lt;18),
    1.10,
    1.00)</f>
        <v/>
      </c>
      <c r="O2248">
        <f>IF('Loan Tape (S&amp;P)'!T2248="Yes",
    1.35,
    1.00)</f>
        <v/>
      </c>
      <c r="P2248">
        <f>IF('Loan Tape (S&amp;P)'!S2248="Yes",
    1.15,
    1.00)</f>
        <v/>
      </c>
      <c r="Q2248">
        <f>IF('Loan Tape (S&amp;P)'!V2248="Yes",
    1.20,
    1.00)</f>
        <v/>
      </c>
      <c r="T2248">
        <f>LET(
    payment_method,'Loan Tape (S&amp;P)'!P2248,
    occupancy,'Loan Tape (S&amp;P)'!N2248,
    maturity_date,'Loan Tape (S&amp;P)'!L2248,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49">
      <c r="J2249">
        <f>LET(
    lien,'Loan Tape (S&amp;P)'!Q2249,
    IF(lien="First",1.00,
        IF(lien="Second",1.50,
            1.70)))</f>
        <v/>
      </c>
      <c r="K2249">
        <f>LET(
    purpose,'Loan Tape (S&amp;P)'!R2249,
    IF(purpose="Purchase",1.00,
        IF(purpose="Remortgage",1.00,
            1.20)))</f>
        <v/>
      </c>
      <c r="L2249">
        <f>LET(
    arrears_months,'Loan Tape (S&amp;P)'!AN2249,
    IF(arrears_months=0,1.00,
    IF(arrears_months=1,3.00,
    IF(arrears_months=2,5.00,
    IF(arrears_months=3,8.00,
    IF(arrears_months=4,10.00,
    IF(arrears_months=5,12.00,15.00)))))))</f>
        <v/>
      </c>
      <c r="M2249">
        <f>LET(
    seasoning_years,DATEDIF('Loan Tape (S&amp;P)'!K2249,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49">
        <f>IF(AND('Loan Tape (S&amp;P)'!U2249="Yes",
        'Loan Tape (S&amp;P)'!T2249&lt;&gt;"Yes",
        DATEDIF('Loan Tape (S&amp;P)'!K2249, TODAY(), "M")&lt;18),
    1.10,
    1.00)</f>
        <v/>
      </c>
      <c r="O2249">
        <f>IF('Loan Tape (S&amp;P)'!T2249="Yes",
    1.35,
    1.00)</f>
        <v/>
      </c>
      <c r="P2249">
        <f>IF('Loan Tape (S&amp;P)'!S2249="Yes",
    1.15,
    1.00)</f>
        <v/>
      </c>
      <c r="Q2249">
        <f>IF('Loan Tape (S&amp;P)'!V2249="Yes",
    1.20,
    1.00)</f>
        <v/>
      </c>
      <c r="T2249">
        <f>LET(
    payment_method,'Loan Tape (S&amp;P)'!P2249,
    occupancy,'Loan Tape (S&amp;P)'!N2249,
    maturity_date,'Loan Tape (S&amp;P)'!L2249,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50">
      <c r="J2250">
        <f>LET(
    lien,'Loan Tape (S&amp;P)'!Q2250,
    IF(lien="First",1.00,
        IF(lien="Second",1.50,
            1.70)))</f>
        <v/>
      </c>
      <c r="K2250">
        <f>LET(
    purpose,'Loan Tape (S&amp;P)'!R2250,
    IF(purpose="Purchase",1.00,
        IF(purpose="Remortgage",1.00,
            1.20)))</f>
        <v/>
      </c>
      <c r="L2250">
        <f>LET(
    arrears_months,'Loan Tape (S&amp;P)'!AN2250,
    IF(arrears_months=0,1.00,
    IF(arrears_months=1,3.00,
    IF(arrears_months=2,5.00,
    IF(arrears_months=3,8.00,
    IF(arrears_months=4,10.00,
    IF(arrears_months=5,12.00,15.00)))))))</f>
        <v/>
      </c>
      <c r="M2250">
        <f>LET(
    seasoning_years,DATEDIF('Loan Tape (S&amp;P)'!K2250,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50">
        <f>IF(AND('Loan Tape (S&amp;P)'!U2250="Yes",
        'Loan Tape (S&amp;P)'!T2250&lt;&gt;"Yes",
        DATEDIF('Loan Tape (S&amp;P)'!K2250, TODAY(), "M")&lt;18),
    1.10,
    1.00)</f>
        <v/>
      </c>
      <c r="O2250">
        <f>IF('Loan Tape (S&amp;P)'!T2250="Yes",
    1.35,
    1.00)</f>
        <v/>
      </c>
      <c r="P2250">
        <f>IF('Loan Tape (S&amp;P)'!S2250="Yes",
    1.15,
    1.00)</f>
        <v/>
      </c>
      <c r="Q2250">
        <f>IF('Loan Tape (S&amp;P)'!V2250="Yes",
    1.20,
    1.00)</f>
        <v/>
      </c>
      <c r="T2250">
        <f>LET(
    payment_method,'Loan Tape (S&amp;P)'!P2250,
    occupancy,'Loan Tape (S&amp;P)'!N2250,
    maturity_date,'Loan Tape (S&amp;P)'!L2250,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51">
      <c r="J2251">
        <f>LET(
    lien,'Loan Tape (S&amp;P)'!Q2251,
    IF(lien="First",1.00,
        IF(lien="Second",1.50,
            1.70)))</f>
        <v/>
      </c>
      <c r="K2251">
        <f>LET(
    purpose,'Loan Tape (S&amp;P)'!R2251,
    IF(purpose="Purchase",1.00,
        IF(purpose="Remortgage",1.00,
            1.20)))</f>
        <v/>
      </c>
      <c r="L2251">
        <f>LET(
    arrears_months,'Loan Tape (S&amp;P)'!AN2251,
    IF(arrears_months=0,1.00,
    IF(arrears_months=1,3.00,
    IF(arrears_months=2,5.00,
    IF(arrears_months=3,8.00,
    IF(arrears_months=4,10.00,
    IF(arrears_months=5,12.00,15.00)))))))</f>
        <v/>
      </c>
      <c r="M2251">
        <f>LET(
    seasoning_years,DATEDIF('Loan Tape (S&amp;P)'!K2251,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51">
        <f>IF(AND('Loan Tape (S&amp;P)'!U2251="Yes",
        'Loan Tape (S&amp;P)'!T2251&lt;&gt;"Yes",
        DATEDIF('Loan Tape (S&amp;P)'!K2251, TODAY(), "M")&lt;18),
    1.10,
    1.00)</f>
        <v/>
      </c>
      <c r="O2251">
        <f>IF('Loan Tape (S&amp;P)'!T2251="Yes",
    1.35,
    1.00)</f>
        <v/>
      </c>
      <c r="P2251">
        <f>IF('Loan Tape (S&amp;P)'!S2251="Yes",
    1.15,
    1.00)</f>
        <v/>
      </c>
      <c r="Q2251">
        <f>IF('Loan Tape (S&amp;P)'!V2251="Yes",
    1.20,
    1.00)</f>
        <v/>
      </c>
      <c r="T2251">
        <f>LET(
    payment_method,'Loan Tape (S&amp;P)'!P2251,
    occupancy,'Loan Tape (S&amp;P)'!N2251,
    maturity_date,'Loan Tape (S&amp;P)'!L2251,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52">
      <c r="J2252">
        <f>LET(
    lien,'Loan Tape (S&amp;P)'!Q2252,
    IF(lien="First",1.00,
        IF(lien="Second",1.50,
            1.70)))</f>
        <v/>
      </c>
      <c r="K2252">
        <f>LET(
    purpose,'Loan Tape (S&amp;P)'!R2252,
    IF(purpose="Purchase",1.00,
        IF(purpose="Remortgage",1.00,
            1.20)))</f>
        <v/>
      </c>
      <c r="L2252">
        <f>LET(
    arrears_months,'Loan Tape (S&amp;P)'!AN2252,
    IF(arrears_months=0,1.00,
    IF(arrears_months=1,3.00,
    IF(arrears_months=2,5.00,
    IF(arrears_months=3,8.00,
    IF(arrears_months=4,10.00,
    IF(arrears_months=5,12.00,15.00)))))))</f>
        <v/>
      </c>
      <c r="M2252">
        <f>LET(
    seasoning_years,DATEDIF('Loan Tape (S&amp;P)'!K2252,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52">
        <f>IF(AND('Loan Tape (S&amp;P)'!U2252="Yes",
        'Loan Tape (S&amp;P)'!T2252&lt;&gt;"Yes",
        DATEDIF('Loan Tape (S&amp;P)'!K2252, TODAY(), "M")&lt;18),
    1.10,
    1.00)</f>
        <v/>
      </c>
      <c r="O2252">
        <f>IF('Loan Tape (S&amp;P)'!T2252="Yes",
    1.35,
    1.00)</f>
        <v/>
      </c>
      <c r="P2252">
        <f>IF('Loan Tape (S&amp;P)'!S2252="Yes",
    1.15,
    1.00)</f>
        <v/>
      </c>
      <c r="Q2252">
        <f>IF('Loan Tape (S&amp;P)'!V2252="Yes",
    1.20,
    1.00)</f>
        <v/>
      </c>
      <c r="T2252">
        <f>LET(
    payment_method,'Loan Tape (S&amp;P)'!P2252,
    occupancy,'Loan Tape (S&amp;P)'!N2252,
    maturity_date,'Loan Tape (S&amp;P)'!L2252,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53">
      <c r="J2253">
        <f>LET(
    lien,'Loan Tape (S&amp;P)'!Q2253,
    IF(lien="First",1.00,
        IF(lien="Second",1.50,
            1.70)))</f>
        <v/>
      </c>
      <c r="K2253">
        <f>LET(
    purpose,'Loan Tape (S&amp;P)'!R2253,
    IF(purpose="Purchase",1.00,
        IF(purpose="Remortgage",1.00,
            1.20)))</f>
        <v/>
      </c>
      <c r="L2253">
        <f>LET(
    arrears_months,'Loan Tape (S&amp;P)'!AN2253,
    IF(arrears_months=0,1.00,
    IF(arrears_months=1,3.00,
    IF(arrears_months=2,5.00,
    IF(arrears_months=3,8.00,
    IF(arrears_months=4,10.00,
    IF(arrears_months=5,12.00,15.00)))))))</f>
        <v/>
      </c>
      <c r="M2253">
        <f>LET(
    seasoning_years,DATEDIF('Loan Tape (S&amp;P)'!K2253,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53">
        <f>IF(AND('Loan Tape (S&amp;P)'!U2253="Yes",
        'Loan Tape (S&amp;P)'!T2253&lt;&gt;"Yes",
        DATEDIF('Loan Tape (S&amp;P)'!K2253, TODAY(), "M")&lt;18),
    1.10,
    1.00)</f>
        <v/>
      </c>
      <c r="O2253">
        <f>IF('Loan Tape (S&amp;P)'!T2253="Yes",
    1.35,
    1.00)</f>
        <v/>
      </c>
      <c r="P2253">
        <f>IF('Loan Tape (S&amp;P)'!S2253="Yes",
    1.15,
    1.00)</f>
        <v/>
      </c>
      <c r="Q2253">
        <f>IF('Loan Tape (S&amp;P)'!V2253="Yes",
    1.20,
    1.00)</f>
        <v/>
      </c>
      <c r="T2253">
        <f>LET(
    payment_method,'Loan Tape (S&amp;P)'!P2253,
    occupancy,'Loan Tape (S&amp;P)'!N2253,
    maturity_date,'Loan Tape (S&amp;P)'!L2253,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54">
      <c r="J2254">
        <f>LET(
    lien,'Loan Tape (S&amp;P)'!Q2254,
    IF(lien="First",1.00,
        IF(lien="Second",1.50,
            1.70)))</f>
        <v/>
      </c>
      <c r="K2254">
        <f>LET(
    purpose,'Loan Tape (S&amp;P)'!R2254,
    IF(purpose="Purchase",1.00,
        IF(purpose="Remortgage",1.00,
            1.20)))</f>
        <v/>
      </c>
      <c r="L2254">
        <f>LET(
    arrears_months,'Loan Tape (S&amp;P)'!AN2254,
    IF(arrears_months=0,1.00,
    IF(arrears_months=1,3.00,
    IF(arrears_months=2,5.00,
    IF(arrears_months=3,8.00,
    IF(arrears_months=4,10.00,
    IF(arrears_months=5,12.00,15.00)))))))</f>
        <v/>
      </c>
      <c r="M2254">
        <f>LET(
    seasoning_years,DATEDIF('Loan Tape (S&amp;P)'!K2254,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54">
        <f>IF(AND('Loan Tape (S&amp;P)'!U2254="Yes",
        'Loan Tape (S&amp;P)'!T2254&lt;&gt;"Yes",
        DATEDIF('Loan Tape (S&amp;P)'!K2254, TODAY(), "M")&lt;18),
    1.10,
    1.00)</f>
        <v/>
      </c>
      <c r="O2254">
        <f>IF('Loan Tape (S&amp;P)'!T2254="Yes",
    1.35,
    1.00)</f>
        <v/>
      </c>
      <c r="P2254">
        <f>IF('Loan Tape (S&amp;P)'!S2254="Yes",
    1.15,
    1.00)</f>
        <v/>
      </c>
      <c r="Q2254">
        <f>IF('Loan Tape (S&amp;P)'!V2254="Yes",
    1.20,
    1.00)</f>
        <v/>
      </c>
      <c r="T2254">
        <f>LET(
    payment_method,'Loan Tape (S&amp;P)'!P2254,
    occupancy,'Loan Tape (S&amp;P)'!N2254,
    maturity_date,'Loan Tape (S&amp;P)'!L2254,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55">
      <c r="J2255">
        <f>LET(
    lien,'Loan Tape (S&amp;P)'!Q2255,
    IF(lien="First",1.00,
        IF(lien="Second",1.50,
            1.70)))</f>
        <v/>
      </c>
      <c r="K2255">
        <f>LET(
    purpose,'Loan Tape (S&amp;P)'!R2255,
    IF(purpose="Purchase",1.00,
        IF(purpose="Remortgage",1.00,
            1.20)))</f>
        <v/>
      </c>
      <c r="L2255">
        <f>LET(
    arrears_months,'Loan Tape (S&amp;P)'!AN2255,
    IF(arrears_months=0,1.00,
    IF(arrears_months=1,3.00,
    IF(arrears_months=2,5.00,
    IF(arrears_months=3,8.00,
    IF(arrears_months=4,10.00,
    IF(arrears_months=5,12.00,15.00)))))))</f>
        <v/>
      </c>
      <c r="M2255">
        <f>LET(
    seasoning_years,DATEDIF('Loan Tape (S&amp;P)'!K2255,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55">
        <f>IF(AND('Loan Tape (S&amp;P)'!U2255="Yes",
        'Loan Tape (S&amp;P)'!T2255&lt;&gt;"Yes",
        DATEDIF('Loan Tape (S&amp;P)'!K2255, TODAY(), "M")&lt;18),
    1.10,
    1.00)</f>
        <v/>
      </c>
      <c r="O2255">
        <f>IF('Loan Tape (S&amp;P)'!T2255="Yes",
    1.35,
    1.00)</f>
        <v/>
      </c>
      <c r="P2255">
        <f>IF('Loan Tape (S&amp;P)'!S2255="Yes",
    1.15,
    1.00)</f>
        <v/>
      </c>
      <c r="Q2255">
        <f>IF('Loan Tape (S&amp;P)'!V2255="Yes",
    1.20,
    1.00)</f>
        <v/>
      </c>
      <c r="T2255">
        <f>LET(
    payment_method,'Loan Tape (S&amp;P)'!P2255,
    occupancy,'Loan Tape (S&amp;P)'!N2255,
    maturity_date,'Loan Tape (S&amp;P)'!L2255,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56">
      <c r="J2256">
        <f>LET(
    lien,'Loan Tape (S&amp;P)'!Q2256,
    IF(lien="First",1.00,
        IF(lien="Second",1.50,
            1.70)))</f>
        <v/>
      </c>
      <c r="K2256">
        <f>LET(
    purpose,'Loan Tape (S&amp;P)'!R2256,
    IF(purpose="Purchase",1.00,
        IF(purpose="Remortgage",1.00,
            1.20)))</f>
        <v/>
      </c>
      <c r="L2256">
        <f>LET(
    arrears_months,'Loan Tape (S&amp;P)'!AN2256,
    IF(arrears_months=0,1.00,
    IF(arrears_months=1,3.00,
    IF(arrears_months=2,5.00,
    IF(arrears_months=3,8.00,
    IF(arrears_months=4,10.00,
    IF(arrears_months=5,12.00,15.00)))))))</f>
        <v/>
      </c>
      <c r="M2256">
        <f>LET(
    seasoning_years,DATEDIF('Loan Tape (S&amp;P)'!K2256,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56">
        <f>IF(AND('Loan Tape (S&amp;P)'!U2256="Yes",
        'Loan Tape (S&amp;P)'!T2256&lt;&gt;"Yes",
        DATEDIF('Loan Tape (S&amp;P)'!K2256, TODAY(), "M")&lt;18),
    1.10,
    1.00)</f>
        <v/>
      </c>
      <c r="O2256">
        <f>IF('Loan Tape (S&amp;P)'!T2256="Yes",
    1.35,
    1.00)</f>
        <v/>
      </c>
      <c r="P2256">
        <f>IF('Loan Tape (S&amp;P)'!S2256="Yes",
    1.15,
    1.00)</f>
        <v/>
      </c>
      <c r="Q2256">
        <f>IF('Loan Tape (S&amp;P)'!V2256="Yes",
    1.20,
    1.00)</f>
        <v/>
      </c>
      <c r="T2256">
        <f>LET(
    payment_method,'Loan Tape (S&amp;P)'!P2256,
    occupancy,'Loan Tape (S&amp;P)'!N2256,
    maturity_date,'Loan Tape (S&amp;P)'!L2256,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57">
      <c r="J2257">
        <f>LET(
    lien,'Loan Tape (S&amp;P)'!Q2257,
    IF(lien="First",1.00,
        IF(lien="Second",1.50,
            1.70)))</f>
        <v/>
      </c>
      <c r="K2257">
        <f>LET(
    purpose,'Loan Tape (S&amp;P)'!R2257,
    IF(purpose="Purchase",1.00,
        IF(purpose="Remortgage",1.00,
            1.20)))</f>
        <v/>
      </c>
      <c r="L2257">
        <f>LET(
    arrears_months,'Loan Tape (S&amp;P)'!AN2257,
    IF(arrears_months=0,1.00,
    IF(arrears_months=1,3.00,
    IF(arrears_months=2,5.00,
    IF(arrears_months=3,8.00,
    IF(arrears_months=4,10.00,
    IF(arrears_months=5,12.00,15.00)))))))</f>
        <v/>
      </c>
      <c r="M2257">
        <f>LET(
    seasoning_years,DATEDIF('Loan Tape (S&amp;P)'!K2257,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57">
        <f>IF(AND('Loan Tape (S&amp;P)'!U2257="Yes",
        'Loan Tape (S&amp;P)'!T2257&lt;&gt;"Yes",
        DATEDIF('Loan Tape (S&amp;P)'!K2257, TODAY(), "M")&lt;18),
    1.10,
    1.00)</f>
        <v/>
      </c>
      <c r="O2257">
        <f>IF('Loan Tape (S&amp;P)'!T2257="Yes",
    1.35,
    1.00)</f>
        <v/>
      </c>
      <c r="P2257">
        <f>IF('Loan Tape (S&amp;P)'!S2257="Yes",
    1.15,
    1.00)</f>
        <v/>
      </c>
      <c r="Q2257">
        <f>IF('Loan Tape (S&amp;P)'!V2257="Yes",
    1.20,
    1.00)</f>
        <v/>
      </c>
      <c r="T2257">
        <f>LET(
    payment_method,'Loan Tape (S&amp;P)'!P2257,
    occupancy,'Loan Tape (S&amp;P)'!N2257,
    maturity_date,'Loan Tape (S&amp;P)'!L2257,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58">
      <c r="J2258">
        <f>LET(
    lien,'Loan Tape (S&amp;P)'!Q2258,
    IF(lien="First",1.00,
        IF(lien="Second",1.50,
            1.70)))</f>
        <v/>
      </c>
      <c r="K2258">
        <f>LET(
    purpose,'Loan Tape (S&amp;P)'!R2258,
    IF(purpose="Purchase",1.00,
        IF(purpose="Remortgage",1.00,
            1.20)))</f>
        <v/>
      </c>
      <c r="L2258">
        <f>LET(
    arrears_months,'Loan Tape (S&amp;P)'!AN2258,
    IF(arrears_months=0,1.00,
    IF(arrears_months=1,3.00,
    IF(arrears_months=2,5.00,
    IF(arrears_months=3,8.00,
    IF(arrears_months=4,10.00,
    IF(arrears_months=5,12.00,15.00)))))))</f>
        <v/>
      </c>
      <c r="M2258">
        <f>LET(
    seasoning_years,DATEDIF('Loan Tape (S&amp;P)'!K2258,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58">
        <f>IF(AND('Loan Tape (S&amp;P)'!U2258="Yes",
        'Loan Tape (S&amp;P)'!T2258&lt;&gt;"Yes",
        DATEDIF('Loan Tape (S&amp;P)'!K2258, TODAY(), "M")&lt;18),
    1.10,
    1.00)</f>
        <v/>
      </c>
      <c r="O2258">
        <f>IF('Loan Tape (S&amp;P)'!T2258="Yes",
    1.35,
    1.00)</f>
        <v/>
      </c>
      <c r="P2258">
        <f>IF('Loan Tape (S&amp;P)'!S2258="Yes",
    1.15,
    1.00)</f>
        <v/>
      </c>
      <c r="Q2258">
        <f>IF('Loan Tape (S&amp;P)'!V2258="Yes",
    1.20,
    1.00)</f>
        <v/>
      </c>
      <c r="T2258">
        <f>LET(
    payment_method,'Loan Tape (S&amp;P)'!P2258,
    occupancy,'Loan Tape (S&amp;P)'!N2258,
    maturity_date,'Loan Tape (S&amp;P)'!L2258,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59">
      <c r="J2259">
        <f>LET(
    lien,'Loan Tape (S&amp;P)'!Q2259,
    IF(lien="First",1.00,
        IF(lien="Second",1.50,
            1.70)))</f>
        <v/>
      </c>
      <c r="K2259">
        <f>LET(
    purpose,'Loan Tape (S&amp;P)'!R2259,
    IF(purpose="Purchase",1.00,
        IF(purpose="Remortgage",1.00,
            1.20)))</f>
        <v/>
      </c>
      <c r="L2259">
        <f>LET(
    arrears_months,'Loan Tape (S&amp;P)'!AN2259,
    IF(arrears_months=0,1.00,
    IF(arrears_months=1,3.00,
    IF(arrears_months=2,5.00,
    IF(arrears_months=3,8.00,
    IF(arrears_months=4,10.00,
    IF(arrears_months=5,12.00,15.00)))))))</f>
        <v/>
      </c>
      <c r="M2259">
        <f>LET(
    seasoning_years,DATEDIF('Loan Tape (S&amp;P)'!K2259,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59">
        <f>IF(AND('Loan Tape (S&amp;P)'!U2259="Yes",
        'Loan Tape (S&amp;P)'!T2259&lt;&gt;"Yes",
        DATEDIF('Loan Tape (S&amp;P)'!K2259, TODAY(), "M")&lt;18),
    1.10,
    1.00)</f>
        <v/>
      </c>
      <c r="O2259">
        <f>IF('Loan Tape (S&amp;P)'!T2259="Yes",
    1.35,
    1.00)</f>
        <v/>
      </c>
      <c r="P2259">
        <f>IF('Loan Tape (S&amp;P)'!S2259="Yes",
    1.15,
    1.00)</f>
        <v/>
      </c>
      <c r="Q2259">
        <f>IF('Loan Tape (S&amp;P)'!V2259="Yes",
    1.20,
    1.00)</f>
        <v/>
      </c>
      <c r="T2259">
        <f>LET(
    payment_method,'Loan Tape (S&amp;P)'!P2259,
    occupancy,'Loan Tape (S&amp;P)'!N2259,
    maturity_date,'Loan Tape (S&amp;P)'!L2259,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60">
      <c r="J2260">
        <f>LET(
    lien,'Loan Tape (S&amp;P)'!Q2260,
    IF(lien="First",1.00,
        IF(lien="Second",1.50,
            1.70)))</f>
        <v/>
      </c>
      <c r="K2260">
        <f>LET(
    purpose,'Loan Tape (S&amp;P)'!R2260,
    IF(purpose="Purchase",1.00,
        IF(purpose="Remortgage",1.00,
            1.20)))</f>
        <v/>
      </c>
      <c r="L2260">
        <f>LET(
    arrears_months,'Loan Tape (S&amp;P)'!AN2260,
    IF(arrears_months=0,1.00,
    IF(arrears_months=1,3.00,
    IF(arrears_months=2,5.00,
    IF(arrears_months=3,8.00,
    IF(arrears_months=4,10.00,
    IF(arrears_months=5,12.00,15.00)))))))</f>
        <v/>
      </c>
      <c r="M2260">
        <f>LET(
    seasoning_years,DATEDIF('Loan Tape (S&amp;P)'!K2260,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60">
        <f>IF(AND('Loan Tape (S&amp;P)'!U2260="Yes",
        'Loan Tape (S&amp;P)'!T2260&lt;&gt;"Yes",
        DATEDIF('Loan Tape (S&amp;P)'!K2260, TODAY(), "M")&lt;18),
    1.10,
    1.00)</f>
        <v/>
      </c>
      <c r="O2260">
        <f>IF('Loan Tape (S&amp;P)'!T2260="Yes",
    1.35,
    1.00)</f>
        <v/>
      </c>
      <c r="P2260">
        <f>IF('Loan Tape (S&amp;P)'!S2260="Yes",
    1.15,
    1.00)</f>
        <v/>
      </c>
      <c r="Q2260">
        <f>IF('Loan Tape (S&amp;P)'!V2260="Yes",
    1.20,
    1.00)</f>
        <v/>
      </c>
      <c r="T2260">
        <f>LET(
    payment_method,'Loan Tape (S&amp;P)'!P2260,
    occupancy,'Loan Tape (S&amp;P)'!N2260,
    maturity_date,'Loan Tape (S&amp;P)'!L2260,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61">
      <c r="J2261">
        <f>LET(
    lien,'Loan Tape (S&amp;P)'!Q2261,
    IF(lien="First",1.00,
        IF(lien="Second",1.50,
            1.70)))</f>
        <v/>
      </c>
      <c r="K2261">
        <f>LET(
    purpose,'Loan Tape (S&amp;P)'!R2261,
    IF(purpose="Purchase",1.00,
        IF(purpose="Remortgage",1.00,
            1.20)))</f>
        <v/>
      </c>
      <c r="L2261">
        <f>LET(
    arrears_months,'Loan Tape (S&amp;P)'!AN2261,
    IF(arrears_months=0,1.00,
    IF(arrears_months=1,3.00,
    IF(arrears_months=2,5.00,
    IF(arrears_months=3,8.00,
    IF(arrears_months=4,10.00,
    IF(arrears_months=5,12.00,15.00)))))))</f>
        <v/>
      </c>
      <c r="M2261">
        <f>LET(
    seasoning_years,DATEDIF('Loan Tape (S&amp;P)'!K2261,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61">
        <f>IF(AND('Loan Tape (S&amp;P)'!U2261="Yes",
        'Loan Tape (S&amp;P)'!T2261&lt;&gt;"Yes",
        DATEDIF('Loan Tape (S&amp;P)'!K2261, TODAY(), "M")&lt;18),
    1.10,
    1.00)</f>
        <v/>
      </c>
      <c r="O2261">
        <f>IF('Loan Tape (S&amp;P)'!T2261="Yes",
    1.35,
    1.00)</f>
        <v/>
      </c>
      <c r="P2261">
        <f>IF('Loan Tape (S&amp;P)'!S2261="Yes",
    1.15,
    1.00)</f>
        <v/>
      </c>
      <c r="Q2261">
        <f>IF('Loan Tape (S&amp;P)'!V2261="Yes",
    1.20,
    1.00)</f>
        <v/>
      </c>
      <c r="T2261">
        <f>LET(
    payment_method,'Loan Tape (S&amp;P)'!P2261,
    occupancy,'Loan Tape (S&amp;P)'!N2261,
    maturity_date,'Loan Tape (S&amp;P)'!L2261,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62">
      <c r="J2262">
        <f>LET(
    lien,'Loan Tape (S&amp;P)'!Q2262,
    IF(lien="First",1.00,
        IF(lien="Second",1.50,
            1.70)))</f>
        <v/>
      </c>
      <c r="K2262">
        <f>LET(
    purpose,'Loan Tape (S&amp;P)'!R2262,
    IF(purpose="Purchase",1.00,
        IF(purpose="Remortgage",1.00,
            1.20)))</f>
        <v/>
      </c>
      <c r="L2262">
        <f>LET(
    arrears_months,'Loan Tape (S&amp;P)'!AN2262,
    IF(arrears_months=0,1.00,
    IF(arrears_months=1,3.00,
    IF(arrears_months=2,5.00,
    IF(arrears_months=3,8.00,
    IF(arrears_months=4,10.00,
    IF(arrears_months=5,12.00,15.00)))))))</f>
        <v/>
      </c>
      <c r="M2262">
        <f>LET(
    seasoning_years,DATEDIF('Loan Tape (S&amp;P)'!K2262,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62">
        <f>IF(AND('Loan Tape (S&amp;P)'!U2262="Yes",
        'Loan Tape (S&amp;P)'!T2262&lt;&gt;"Yes",
        DATEDIF('Loan Tape (S&amp;P)'!K2262, TODAY(), "M")&lt;18),
    1.10,
    1.00)</f>
        <v/>
      </c>
      <c r="O2262">
        <f>IF('Loan Tape (S&amp;P)'!T2262="Yes",
    1.35,
    1.00)</f>
        <v/>
      </c>
      <c r="P2262">
        <f>IF('Loan Tape (S&amp;P)'!S2262="Yes",
    1.15,
    1.00)</f>
        <v/>
      </c>
      <c r="Q2262">
        <f>IF('Loan Tape (S&amp;P)'!V2262="Yes",
    1.20,
    1.00)</f>
        <v/>
      </c>
      <c r="T2262">
        <f>LET(
    payment_method,'Loan Tape (S&amp;P)'!P2262,
    occupancy,'Loan Tape (S&amp;P)'!N2262,
    maturity_date,'Loan Tape (S&amp;P)'!L2262,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63">
      <c r="J2263">
        <f>LET(
    lien,'Loan Tape (S&amp;P)'!Q2263,
    IF(lien="First",1.00,
        IF(lien="Second",1.50,
            1.70)))</f>
        <v/>
      </c>
      <c r="K2263">
        <f>LET(
    purpose,'Loan Tape (S&amp;P)'!R2263,
    IF(purpose="Purchase",1.00,
        IF(purpose="Remortgage",1.00,
            1.20)))</f>
        <v/>
      </c>
      <c r="L2263">
        <f>LET(
    arrears_months,'Loan Tape (S&amp;P)'!AN2263,
    IF(arrears_months=0,1.00,
    IF(arrears_months=1,3.00,
    IF(arrears_months=2,5.00,
    IF(arrears_months=3,8.00,
    IF(arrears_months=4,10.00,
    IF(arrears_months=5,12.00,15.00)))))))</f>
        <v/>
      </c>
      <c r="M2263">
        <f>LET(
    seasoning_years,DATEDIF('Loan Tape (S&amp;P)'!K2263,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63">
        <f>IF(AND('Loan Tape (S&amp;P)'!U2263="Yes",
        'Loan Tape (S&amp;P)'!T2263&lt;&gt;"Yes",
        DATEDIF('Loan Tape (S&amp;P)'!K2263, TODAY(), "M")&lt;18),
    1.10,
    1.00)</f>
        <v/>
      </c>
      <c r="O2263">
        <f>IF('Loan Tape (S&amp;P)'!T2263="Yes",
    1.35,
    1.00)</f>
        <v/>
      </c>
      <c r="P2263">
        <f>IF('Loan Tape (S&amp;P)'!S2263="Yes",
    1.15,
    1.00)</f>
        <v/>
      </c>
      <c r="Q2263">
        <f>IF('Loan Tape (S&amp;P)'!V2263="Yes",
    1.20,
    1.00)</f>
        <v/>
      </c>
      <c r="T2263">
        <f>LET(
    payment_method,'Loan Tape (S&amp;P)'!P2263,
    occupancy,'Loan Tape (S&amp;P)'!N2263,
    maturity_date,'Loan Tape (S&amp;P)'!L2263,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64">
      <c r="J2264">
        <f>LET(
    lien,'Loan Tape (S&amp;P)'!Q2264,
    IF(lien="First",1.00,
        IF(lien="Second",1.50,
            1.70)))</f>
        <v/>
      </c>
      <c r="K2264">
        <f>LET(
    purpose,'Loan Tape (S&amp;P)'!R2264,
    IF(purpose="Purchase",1.00,
        IF(purpose="Remortgage",1.00,
            1.20)))</f>
        <v/>
      </c>
      <c r="L2264">
        <f>LET(
    arrears_months,'Loan Tape (S&amp;P)'!AN2264,
    IF(arrears_months=0,1.00,
    IF(arrears_months=1,3.00,
    IF(arrears_months=2,5.00,
    IF(arrears_months=3,8.00,
    IF(arrears_months=4,10.00,
    IF(arrears_months=5,12.00,15.00)))))))</f>
        <v/>
      </c>
      <c r="M2264">
        <f>LET(
    seasoning_years,DATEDIF('Loan Tape (S&amp;P)'!K2264,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64">
        <f>IF(AND('Loan Tape (S&amp;P)'!U2264="Yes",
        'Loan Tape (S&amp;P)'!T2264&lt;&gt;"Yes",
        DATEDIF('Loan Tape (S&amp;P)'!K2264, TODAY(), "M")&lt;18),
    1.10,
    1.00)</f>
        <v/>
      </c>
      <c r="O2264">
        <f>IF('Loan Tape (S&amp;P)'!T2264="Yes",
    1.35,
    1.00)</f>
        <v/>
      </c>
      <c r="P2264">
        <f>IF('Loan Tape (S&amp;P)'!S2264="Yes",
    1.15,
    1.00)</f>
        <v/>
      </c>
      <c r="Q2264">
        <f>IF('Loan Tape (S&amp;P)'!V2264="Yes",
    1.20,
    1.00)</f>
        <v/>
      </c>
      <c r="T2264">
        <f>LET(
    payment_method,'Loan Tape (S&amp;P)'!P2264,
    occupancy,'Loan Tape (S&amp;P)'!N2264,
    maturity_date,'Loan Tape (S&amp;P)'!L2264,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65">
      <c r="J2265">
        <f>LET(
    lien,'Loan Tape (S&amp;P)'!Q2265,
    IF(lien="First",1.00,
        IF(lien="Second",1.50,
            1.70)))</f>
        <v/>
      </c>
      <c r="K2265">
        <f>LET(
    purpose,'Loan Tape (S&amp;P)'!R2265,
    IF(purpose="Purchase",1.00,
        IF(purpose="Remortgage",1.00,
            1.20)))</f>
        <v/>
      </c>
      <c r="L2265">
        <f>LET(
    arrears_months,'Loan Tape (S&amp;P)'!AN2265,
    IF(arrears_months=0,1.00,
    IF(arrears_months=1,3.00,
    IF(arrears_months=2,5.00,
    IF(arrears_months=3,8.00,
    IF(arrears_months=4,10.00,
    IF(arrears_months=5,12.00,15.00)))))))</f>
        <v/>
      </c>
      <c r="M2265">
        <f>LET(
    seasoning_years,DATEDIF('Loan Tape (S&amp;P)'!K2265,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65">
        <f>IF(AND('Loan Tape (S&amp;P)'!U2265="Yes",
        'Loan Tape (S&amp;P)'!T2265&lt;&gt;"Yes",
        DATEDIF('Loan Tape (S&amp;P)'!K2265, TODAY(), "M")&lt;18),
    1.10,
    1.00)</f>
        <v/>
      </c>
      <c r="O2265">
        <f>IF('Loan Tape (S&amp;P)'!T2265="Yes",
    1.35,
    1.00)</f>
        <v/>
      </c>
      <c r="P2265">
        <f>IF('Loan Tape (S&amp;P)'!S2265="Yes",
    1.15,
    1.00)</f>
        <v/>
      </c>
      <c r="Q2265">
        <f>IF('Loan Tape (S&amp;P)'!V2265="Yes",
    1.20,
    1.00)</f>
        <v/>
      </c>
      <c r="T2265">
        <f>LET(
    payment_method,'Loan Tape (S&amp;P)'!P2265,
    occupancy,'Loan Tape (S&amp;P)'!N2265,
    maturity_date,'Loan Tape (S&amp;P)'!L2265,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66">
      <c r="J2266">
        <f>LET(
    lien,'Loan Tape (S&amp;P)'!Q2266,
    IF(lien="First",1.00,
        IF(lien="Second",1.50,
            1.70)))</f>
        <v/>
      </c>
      <c r="K2266">
        <f>LET(
    purpose,'Loan Tape (S&amp;P)'!R2266,
    IF(purpose="Purchase",1.00,
        IF(purpose="Remortgage",1.00,
            1.20)))</f>
        <v/>
      </c>
      <c r="L2266">
        <f>LET(
    arrears_months,'Loan Tape (S&amp;P)'!AN2266,
    IF(arrears_months=0,1.00,
    IF(arrears_months=1,3.00,
    IF(arrears_months=2,5.00,
    IF(arrears_months=3,8.00,
    IF(arrears_months=4,10.00,
    IF(arrears_months=5,12.00,15.00)))))))</f>
        <v/>
      </c>
      <c r="M2266">
        <f>LET(
    seasoning_years,DATEDIF('Loan Tape (S&amp;P)'!K2266,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66">
        <f>IF(AND('Loan Tape (S&amp;P)'!U2266="Yes",
        'Loan Tape (S&amp;P)'!T2266&lt;&gt;"Yes",
        DATEDIF('Loan Tape (S&amp;P)'!K2266, TODAY(), "M")&lt;18),
    1.10,
    1.00)</f>
        <v/>
      </c>
      <c r="O2266">
        <f>IF('Loan Tape (S&amp;P)'!T2266="Yes",
    1.35,
    1.00)</f>
        <v/>
      </c>
      <c r="P2266">
        <f>IF('Loan Tape (S&amp;P)'!S2266="Yes",
    1.15,
    1.00)</f>
        <v/>
      </c>
      <c r="Q2266">
        <f>IF('Loan Tape (S&amp;P)'!V2266="Yes",
    1.20,
    1.00)</f>
        <v/>
      </c>
      <c r="T2266">
        <f>LET(
    payment_method,'Loan Tape (S&amp;P)'!P2266,
    occupancy,'Loan Tape (S&amp;P)'!N2266,
    maturity_date,'Loan Tape (S&amp;P)'!L2266,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67">
      <c r="J2267">
        <f>LET(
    lien,'Loan Tape (S&amp;P)'!Q2267,
    IF(lien="First",1.00,
        IF(lien="Second",1.50,
            1.70)))</f>
        <v/>
      </c>
      <c r="K2267">
        <f>LET(
    purpose,'Loan Tape (S&amp;P)'!R2267,
    IF(purpose="Purchase",1.00,
        IF(purpose="Remortgage",1.00,
            1.20)))</f>
        <v/>
      </c>
      <c r="L2267">
        <f>LET(
    arrears_months,'Loan Tape (S&amp;P)'!AN2267,
    IF(arrears_months=0,1.00,
    IF(arrears_months=1,3.00,
    IF(arrears_months=2,5.00,
    IF(arrears_months=3,8.00,
    IF(arrears_months=4,10.00,
    IF(arrears_months=5,12.00,15.00)))))))</f>
        <v/>
      </c>
      <c r="M2267">
        <f>LET(
    seasoning_years,DATEDIF('Loan Tape (S&amp;P)'!K2267,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67">
        <f>IF(AND('Loan Tape (S&amp;P)'!U2267="Yes",
        'Loan Tape (S&amp;P)'!T2267&lt;&gt;"Yes",
        DATEDIF('Loan Tape (S&amp;P)'!K2267, TODAY(), "M")&lt;18),
    1.10,
    1.00)</f>
        <v/>
      </c>
      <c r="O2267">
        <f>IF('Loan Tape (S&amp;P)'!T2267="Yes",
    1.35,
    1.00)</f>
        <v/>
      </c>
      <c r="P2267">
        <f>IF('Loan Tape (S&amp;P)'!S2267="Yes",
    1.15,
    1.00)</f>
        <v/>
      </c>
      <c r="Q2267">
        <f>IF('Loan Tape (S&amp;P)'!V2267="Yes",
    1.20,
    1.00)</f>
        <v/>
      </c>
      <c r="T2267">
        <f>LET(
    payment_method,'Loan Tape (S&amp;P)'!P2267,
    occupancy,'Loan Tape (S&amp;P)'!N2267,
    maturity_date,'Loan Tape (S&amp;P)'!L2267,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68">
      <c r="J2268">
        <f>LET(
    lien,'Loan Tape (S&amp;P)'!Q2268,
    IF(lien="First",1.00,
        IF(lien="Second",1.50,
            1.70)))</f>
        <v/>
      </c>
      <c r="K2268">
        <f>LET(
    purpose,'Loan Tape (S&amp;P)'!R2268,
    IF(purpose="Purchase",1.00,
        IF(purpose="Remortgage",1.00,
            1.20)))</f>
        <v/>
      </c>
      <c r="L2268">
        <f>LET(
    arrears_months,'Loan Tape (S&amp;P)'!AN2268,
    IF(arrears_months=0,1.00,
    IF(arrears_months=1,3.00,
    IF(arrears_months=2,5.00,
    IF(arrears_months=3,8.00,
    IF(arrears_months=4,10.00,
    IF(arrears_months=5,12.00,15.00)))))))</f>
        <v/>
      </c>
      <c r="M2268">
        <f>LET(
    seasoning_years,DATEDIF('Loan Tape (S&amp;P)'!K2268,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68">
        <f>IF(AND('Loan Tape (S&amp;P)'!U2268="Yes",
        'Loan Tape (S&amp;P)'!T2268&lt;&gt;"Yes",
        DATEDIF('Loan Tape (S&amp;P)'!K2268, TODAY(), "M")&lt;18),
    1.10,
    1.00)</f>
        <v/>
      </c>
      <c r="O2268">
        <f>IF('Loan Tape (S&amp;P)'!T2268="Yes",
    1.35,
    1.00)</f>
        <v/>
      </c>
      <c r="P2268">
        <f>IF('Loan Tape (S&amp;P)'!S2268="Yes",
    1.15,
    1.00)</f>
        <v/>
      </c>
      <c r="Q2268">
        <f>IF('Loan Tape (S&amp;P)'!V2268="Yes",
    1.20,
    1.00)</f>
        <v/>
      </c>
      <c r="T2268">
        <f>LET(
    payment_method,'Loan Tape (S&amp;P)'!P2268,
    occupancy,'Loan Tape (S&amp;P)'!N2268,
    maturity_date,'Loan Tape (S&amp;P)'!L2268,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69">
      <c r="J2269">
        <f>LET(
    lien,'Loan Tape (S&amp;P)'!Q2269,
    IF(lien="First",1.00,
        IF(lien="Second",1.50,
            1.70)))</f>
        <v/>
      </c>
      <c r="K2269">
        <f>LET(
    purpose,'Loan Tape (S&amp;P)'!R2269,
    IF(purpose="Purchase",1.00,
        IF(purpose="Remortgage",1.00,
            1.20)))</f>
        <v/>
      </c>
      <c r="L2269">
        <f>LET(
    arrears_months,'Loan Tape (S&amp;P)'!AN2269,
    IF(arrears_months=0,1.00,
    IF(arrears_months=1,3.00,
    IF(arrears_months=2,5.00,
    IF(arrears_months=3,8.00,
    IF(arrears_months=4,10.00,
    IF(arrears_months=5,12.00,15.00)))))))</f>
        <v/>
      </c>
      <c r="M2269">
        <f>LET(
    seasoning_years,DATEDIF('Loan Tape (S&amp;P)'!K2269,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69">
        <f>IF(AND('Loan Tape (S&amp;P)'!U2269="Yes",
        'Loan Tape (S&amp;P)'!T2269&lt;&gt;"Yes",
        DATEDIF('Loan Tape (S&amp;P)'!K2269, TODAY(), "M")&lt;18),
    1.10,
    1.00)</f>
        <v/>
      </c>
      <c r="O2269">
        <f>IF('Loan Tape (S&amp;P)'!T2269="Yes",
    1.35,
    1.00)</f>
        <v/>
      </c>
      <c r="P2269">
        <f>IF('Loan Tape (S&amp;P)'!S2269="Yes",
    1.15,
    1.00)</f>
        <v/>
      </c>
      <c r="Q2269">
        <f>IF('Loan Tape (S&amp;P)'!V2269="Yes",
    1.20,
    1.00)</f>
        <v/>
      </c>
      <c r="T2269">
        <f>LET(
    payment_method,'Loan Tape (S&amp;P)'!P2269,
    occupancy,'Loan Tape (S&amp;P)'!N2269,
    maturity_date,'Loan Tape (S&amp;P)'!L2269,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70">
      <c r="J2270">
        <f>LET(
    lien,'Loan Tape (S&amp;P)'!Q2270,
    IF(lien="First",1.00,
        IF(lien="Second",1.50,
            1.70)))</f>
        <v/>
      </c>
      <c r="K2270">
        <f>LET(
    purpose,'Loan Tape (S&amp;P)'!R2270,
    IF(purpose="Purchase",1.00,
        IF(purpose="Remortgage",1.00,
            1.20)))</f>
        <v/>
      </c>
      <c r="L2270">
        <f>LET(
    arrears_months,'Loan Tape (S&amp;P)'!AN2270,
    IF(arrears_months=0,1.00,
    IF(arrears_months=1,3.00,
    IF(arrears_months=2,5.00,
    IF(arrears_months=3,8.00,
    IF(arrears_months=4,10.00,
    IF(arrears_months=5,12.00,15.00)))))))</f>
        <v/>
      </c>
      <c r="M2270">
        <f>LET(
    seasoning_years,DATEDIF('Loan Tape (S&amp;P)'!K2270,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70">
        <f>IF(AND('Loan Tape (S&amp;P)'!U2270="Yes",
        'Loan Tape (S&amp;P)'!T2270&lt;&gt;"Yes",
        DATEDIF('Loan Tape (S&amp;P)'!K2270, TODAY(), "M")&lt;18),
    1.10,
    1.00)</f>
        <v/>
      </c>
      <c r="O2270">
        <f>IF('Loan Tape (S&amp;P)'!T2270="Yes",
    1.35,
    1.00)</f>
        <v/>
      </c>
      <c r="P2270">
        <f>IF('Loan Tape (S&amp;P)'!S2270="Yes",
    1.15,
    1.00)</f>
        <v/>
      </c>
      <c r="Q2270">
        <f>IF('Loan Tape (S&amp;P)'!V2270="Yes",
    1.20,
    1.00)</f>
        <v/>
      </c>
      <c r="T2270">
        <f>LET(
    payment_method,'Loan Tape (S&amp;P)'!P2270,
    occupancy,'Loan Tape (S&amp;P)'!N2270,
    maturity_date,'Loan Tape (S&amp;P)'!L2270,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71">
      <c r="J2271">
        <f>LET(
    lien,'Loan Tape (S&amp;P)'!Q2271,
    IF(lien="First",1.00,
        IF(lien="Second",1.50,
            1.70)))</f>
        <v/>
      </c>
      <c r="K2271">
        <f>LET(
    purpose,'Loan Tape (S&amp;P)'!R2271,
    IF(purpose="Purchase",1.00,
        IF(purpose="Remortgage",1.00,
            1.20)))</f>
        <v/>
      </c>
      <c r="L2271">
        <f>LET(
    arrears_months,'Loan Tape (S&amp;P)'!AN2271,
    IF(arrears_months=0,1.00,
    IF(arrears_months=1,3.00,
    IF(arrears_months=2,5.00,
    IF(arrears_months=3,8.00,
    IF(arrears_months=4,10.00,
    IF(arrears_months=5,12.00,15.00)))))))</f>
        <v/>
      </c>
      <c r="M2271">
        <f>LET(
    seasoning_years,DATEDIF('Loan Tape (S&amp;P)'!K2271,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71">
        <f>IF(AND('Loan Tape (S&amp;P)'!U2271="Yes",
        'Loan Tape (S&amp;P)'!T2271&lt;&gt;"Yes",
        DATEDIF('Loan Tape (S&amp;P)'!K2271, TODAY(), "M")&lt;18),
    1.10,
    1.00)</f>
        <v/>
      </c>
      <c r="O2271">
        <f>IF('Loan Tape (S&amp;P)'!T2271="Yes",
    1.35,
    1.00)</f>
        <v/>
      </c>
      <c r="P2271">
        <f>IF('Loan Tape (S&amp;P)'!S2271="Yes",
    1.15,
    1.00)</f>
        <v/>
      </c>
      <c r="Q2271">
        <f>IF('Loan Tape (S&amp;P)'!V2271="Yes",
    1.20,
    1.00)</f>
        <v/>
      </c>
      <c r="T2271">
        <f>LET(
    payment_method,'Loan Tape (S&amp;P)'!P2271,
    occupancy,'Loan Tape (S&amp;P)'!N2271,
    maturity_date,'Loan Tape (S&amp;P)'!L2271,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72">
      <c r="J2272">
        <f>LET(
    lien,'Loan Tape (S&amp;P)'!Q2272,
    IF(lien="First",1.00,
        IF(lien="Second",1.50,
            1.70)))</f>
        <v/>
      </c>
      <c r="K2272">
        <f>LET(
    purpose,'Loan Tape (S&amp;P)'!R2272,
    IF(purpose="Purchase",1.00,
        IF(purpose="Remortgage",1.00,
            1.20)))</f>
        <v/>
      </c>
      <c r="L2272">
        <f>LET(
    arrears_months,'Loan Tape (S&amp;P)'!AN2272,
    IF(arrears_months=0,1.00,
    IF(arrears_months=1,3.00,
    IF(arrears_months=2,5.00,
    IF(arrears_months=3,8.00,
    IF(arrears_months=4,10.00,
    IF(arrears_months=5,12.00,15.00)))))))</f>
        <v/>
      </c>
      <c r="M2272">
        <f>LET(
    seasoning_years,DATEDIF('Loan Tape (S&amp;P)'!K2272,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72">
        <f>IF(AND('Loan Tape (S&amp;P)'!U2272="Yes",
        'Loan Tape (S&amp;P)'!T2272&lt;&gt;"Yes",
        DATEDIF('Loan Tape (S&amp;P)'!K2272, TODAY(), "M")&lt;18),
    1.10,
    1.00)</f>
        <v/>
      </c>
      <c r="O2272">
        <f>IF('Loan Tape (S&amp;P)'!T2272="Yes",
    1.35,
    1.00)</f>
        <v/>
      </c>
      <c r="P2272">
        <f>IF('Loan Tape (S&amp;P)'!S2272="Yes",
    1.15,
    1.00)</f>
        <v/>
      </c>
      <c r="Q2272">
        <f>IF('Loan Tape (S&amp;P)'!V2272="Yes",
    1.20,
    1.00)</f>
        <v/>
      </c>
      <c r="T2272">
        <f>LET(
    payment_method,'Loan Tape (S&amp;P)'!P2272,
    occupancy,'Loan Tape (S&amp;P)'!N2272,
    maturity_date,'Loan Tape (S&amp;P)'!L2272,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73">
      <c r="J2273">
        <f>LET(
    lien,'Loan Tape (S&amp;P)'!Q2273,
    IF(lien="First",1.00,
        IF(lien="Second",1.50,
            1.70)))</f>
        <v/>
      </c>
      <c r="K2273">
        <f>LET(
    purpose,'Loan Tape (S&amp;P)'!R2273,
    IF(purpose="Purchase",1.00,
        IF(purpose="Remortgage",1.00,
            1.20)))</f>
        <v/>
      </c>
      <c r="L2273">
        <f>LET(
    arrears_months,'Loan Tape (S&amp;P)'!AN2273,
    IF(arrears_months=0,1.00,
    IF(arrears_months=1,3.00,
    IF(arrears_months=2,5.00,
    IF(arrears_months=3,8.00,
    IF(arrears_months=4,10.00,
    IF(arrears_months=5,12.00,15.00)))))))</f>
        <v/>
      </c>
      <c r="M2273">
        <f>LET(
    seasoning_years,DATEDIF('Loan Tape (S&amp;P)'!K2273,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73">
        <f>IF(AND('Loan Tape (S&amp;P)'!U2273="Yes",
        'Loan Tape (S&amp;P)'!T2273&lt;&gt;"Yes",
        DATEDIF('Loan Tape (S&amp;P)'!K2273, TODAY(), "M")&lt;18),
    1.10,
    1.00)</f>
        <v/>
      </c>
      <c r="O2273">
        <f>IF('Loan Tape (S&amp;P)'!T2273="Yes",
    1.35,
    1.00)</f>
        <v/>
      </c>
      <c r="P2273">
        <f>IF('Loan Tape (S&amp;P)'!S2273="Yes",
    1.15,
    1.00)</f>
        <v/>
      </c>
      <c r="Q2273">
        <f>IF('Loan Tape (S&amp;P)'!V2273="Yes",
    1.20,
    1.00)</f>
        <v/>
      </c>
      <c r="T2273">
        <f>LET(
    payment_method,'Loan Tape (S&amp;P)'!P2273,
    occupancy,'Loan Tape (S&amp;P)'!N2273,
    maturity_date,'Loan Tape (S&amp;P)'!L2273,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74">
      <c r="J2274">
        <f>LET(
    lien,'Loan Tape (S&amp;P)'!Q2274,
    IF(lien="First",1.00,
        IF(lien="Second",1.50,
            1.70)))</f>
        <v/>
      </c>
      <c r="K2274">
        <f>LET(
    purpose,'Loan Tape (S&amp;P)'!R2274,
    IF(purpose="Purchase",1.00,
        IF(purpose="Remortgage",1.00,
            1.20)))</f>
        <v/>
      </c>
      <c r="L2274">
        <f>LET(
    arrears_months,'Loan Tape (S&amp;P)'!AN2274,
    IF(arrears_months=0,1.00,
    IF(arrears_months=1,3.00,
    IF(arrears_months=2,5.00,
    IF(arrears_months=3,8.00,
    IF(arrears_months=4,10.00,
    IF(arrears_months=5,12.00,15.00)))))))</f>
        <v/>
      </c>
      <c r="M2274">
        <f>LET(
    seasoning_years,DATEDIF('Loan Tape (S&amp;P)'!K2274,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74">
        <f>IF(AND('Loan Tape (S&amp;P)'!U2274="Yes",
        'Loan Tape (S&amp;P)'!T2274&lt;&gt;"Yes",
        DATEDIF('Loan Tape (S&amp;P)'!K2274, TODAY(), "M")&lt;18),
    1.10,
    1.00)</f>
        <v/>
      </c>
      <c r="O2274">
        <f>IF('Loan Tape (S&amp;P)'!T2274="Yes",
    1.35,
    1.00)</f>
        <v/>
      </c>
      <c r="P2274">
        <f>IF('Loan Tape (S&amp;P)'!S2274="Yes",
    1.15,
    1.00)</f>
        <v/>
      </c>
      <c r="Q2274">
        <f>IF('Loan Tape (S&amp;P)'!V2274="Yes",
    1.20,
    1.00)</f>
        <v/>
      </c>
      <c r="T2274">
        <f>LET(
    payment_method,'Loan Tape (S&amp;P)'!P2274,
    occupancy,'Loan Tape (S&amp;P)'!N2274,
    maturity_date,'Loan Tape (S&amp;P)'!L2274,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75">
      <c r="J2275">
        <f>LET(
    lien,'Loan Tape (S&amp;P)'!Q2275,
    IF(lien="First",1.00,
        IF(lien="Second",1.50,
            1.70)))</f>
        <v/>
      </c>
      <c r="K2275">
        <f>LET(
    purpose,'Loan Tape (S&amp;P)'!R2275,
    IF(purpose="Purchase",1.00,
        IF(purpose="Remortgage",1.00,
            1.20)))</f>
        <v/>
      </c>
      <c r="L2275">
        <f>LET(
    arrears_months,'Loan Tape (S&amp;P)'!AN2275,
    IF(arrears_months=0,1.00,
    IF(arrears_months=1,3.00,
    IF(arrears_months=2,5.00,
    IF(arrears_months=3,8.00,
    IF(arrears_months=4,10.00,
    IF(arrears_months=5,12.00,15.00)))))))</f>
        <v/>
      </c>
      <c r="M2275">
        <f>LET(
    seasoning_years,DATEDIF('Loan Tape (S&amp;P)'!K2275,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75">
        <f>IF(AND('Loan Tape (S&amp;P)'!U2275="Yes",
        'Loan Tape (S&amp;P)'!T2275&lt;&gt;"Yes",
        DATEDIF('Loan Tape (S&amp;P)'!K2275, TODAY(), "M")&lt;18),
    1.10,
    1.00)</f>
        <v/>
      </c>
      <c r="O2275">
        <f>IF('Loan Tape (S&amp;P)'!T2275="Yes",
    1.35,
    1.00)</f>
        <v/>
      </c>
      <c r="P2275">
        <f>IF('Loan Tape (S&amp;P)'!S2275="Yes",
    1.15,
    1.00)</f>
        <v/>
      </c>
      <c r="Q2275">
        <f>IF('Loan Tape (S&amp;P)'!V2275="Yes",
    1.20,
    1.00)</f>
        <v/>
      </c>
      <c r="T2275">
        <f>LET(
    payment_method,'Loan Tape (S&amp;P)'!P2275,
    occupancy,'Loan Tape (S&amp;P)'!N2275,
    maturity_date,'Loan Tape (S&amp;P)'!L2275,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76">
      <c r="J2276">
        <f>LET(
    lien,'Loan Tape (S&amp;P)'!Q2276,
    IF(lien="First",1.00,
        IF(lien="Second",1.50,
            1.70)))</f>
        <v/>
      </c>
      <c r="K2276">
        <f>LET(
    purpose,'Loan Tape (S&amp;P)'!R2276,
    IF(purpose="Purchase",1.00,
        IF(purpose="Remortgage",1.00,
            1.20)))</f>
        <v/>
      </c>
      <c r="L2276">
        <f>LET(
    arrears_months,'Loan Tape (S&amp;P)'!AN2276,
    IF(arrears_months=0,1.00,
    IF(arrears_months=1,3.00,
    IF(arrears_months=2,5.00,
    IF(arrears_months=3,8.00,
    IF(arrears_months=4,10.00,
    IF(arrears_months=5,12.00,15.00)))))))</f>
        <v/>
      </c>
      <c r="M2276">
        <f>LET(
    seasoning_years,DATEDIF('Loan Tape (S&amp;P)'!K2276,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76">
        <f>IF(AND('Loan Tape (S&amp;P)'!U2276="Yes",
        'Loan Tape (S&amp;P)'!T2276&lt;&gt;"Yes",
        DATEDIF('Loan Tape (S&amp;P)'!K2276, TODAY(), "M")&lt;18),
    1.10,
    1.00)</f>
        <v/>
      </c>
      <c r="O2276">
        <f>IF('Loan Tape (S&amp;P)'!T2276="Yes",
    1.35,
    1.00)</f>
        <v/>
      </c>
      <c r="P2276">
        <f>IF('Loan Tape (S&amp;P)'!S2276="Yes",
    1.15,
    1.00)</f>
        <v/>
      </c>
      <c r="Q2276">
        <f>IF('Loan Tape (S&amp;P)'!V2276="Yes",
    1.20,
    1.00)</f>
        <v/>
      </c>
      <c r="T2276">
        <f>LET(
    payment_method,'Loan Tape (S&amp;P)'!P2276,
    occupancy,'Loan Tape (S&amp;P)'!N2276,
    maturity_date,'Loan Tape (S&amp;P)'!L2276,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77">
      <c r="J2277">
        <f>LET(
    lien,'Loan Tape (S&amp;P)'!Q2277,
    IF(lien="First",1.00,
        IF(lien="Second",1.50,
            1.70)))</f>
        <v/>
      </c>
      <c r="K2277">
        <f>LET(
    purpose,'Loan Tape (S&amp;P)'!R2277,
    IF(purpose="Purchase",1.00,
        IF(purpose="Remortgage",1.00,
            1.20)))</f>
        <v/>
      </c>
      <c r="L2277">
        <f>LET(
    arrears_months,'Loan Tape (S&amp;P)'!AN2277,
    IF(arrears_months=0,1.00,
    IF(arrears_months=1,3.00,
    IF(arrears_months=2,5.00,
    IF(arrears_months=3,8.00,
    IF(arrears_months=4,10.00,
    IF(arrears_months=5,12.00,15.00)))))))</f>
        <v/>
      </c>
      <c r="M2277">
        <f>LET(
    seasoning_years,DATEDIF('Loan Tape (S&amp;P)'!K2277,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77">
        <f>IF(AND('Loan Tape (S&amp;P)'!U2277="Yes",
        'Loan Tape (S&amp;P)'!T2277&lt;&gt;"Yes",
        DATEDIF('Loan Tape (S&amp;P)'!K2277, TODAY(), "M")&lt;18),
    1.10,
    1.00)</f>
        <v/>
      </c>
      <c r="O2277">
        <f>IF('Loan Tape (S&amp;P)'!T2277="Yes",
    1.35,
    1.00)</f>
        <v/>
      </c>
      <c r="P2277">
        <f>IF('Loan Tape (S&amp;P)'!S2277="Yes",
    1.15,
    1.00)</f>
        <v/>
      </c>
      <c r="Q2277">
        <f>IF('Loan Tape (S&amp;P)'!V2277="Yes",
    1.20,
    1.00)</f>
        <v/>
      </c>
      <c r="T2277">
        <f>LET(
    payment_method,'Loan Tape (S&amp;P)'!P2277,
    occupancy,'Loan Tape (S&amp;P)'!N2277,
    maturity_date,'Loan Tape (S&amp;P)'!L2277,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78">
      <c r="J2278">
        <f>LET(
    lien,'Loan Tape (S&amp;P)'!Q2278,
    IF(lien="First",1.00,
        IF(lien="Second",1.50,
            1.70)))</f>
        <v/>
      </c>
      <c r="K2278">
        <f>LET(
    purpose,'Loan Tape (S&amp;P)'!R2278,
    IF(purpose="Purchase",1.00,
        IF(purpose="Remortgage",1.00,
            1.20)))</f>
        <v/>
      </c>
      <c r="L2278">
        <f>LET(
    arrears_months,'Loan Tape (S&amp;P)'!AN2278,
    IF(arrears_months=0,1.00,
    IF(arrears_months=1,3.00,
    IF(arrears_months=2,5.00,
    IF(arrears_months=3,8.00,
    IF(arrears_months=4,10.00,
    IF(arrears_months=5,12.00,15.00)))))))</f>
        <v/>
      </c>
      <c r="M2278">
        <f>LET(
    seasoning_years,DATEDIF('Loan Tape (S&amp;P)'!K2278,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78">
        <f>IF(AND('Loan Tape (S&amp;P)'!U2278="Yes",
        'Loan Tape (S&amp;P)'!T2278&lt;&gt;"Yes",
        DATEDIF('Loan Tape (S&amp;P)'!K2278, TODAY(), "M")&lt;18),
    1.10,
    1.00)</f>
        <v/>
      </c>
      <c r="O2278">
        <f>IF('Loan Tape (S&amp;P)'!T2278="Yes",
    1.35,
    1.00)</f>
        <v/>
      </c>
      <c r="P2278">
        <f>IF('Loan Tape (S&amp;P)'!S2278="Yes",
    1.15,
    1.00)</f>
        <v/>
      </c>
      <c r="Q2278">
        <f>IF('Loan Tape (S&amp;P)'!V2278="Yes",
    1.20,
    1.00)</f>
        <v/>
      </c>
      <c r="T2278">
        <f>LET(
    payment_method,'Loan Tape (S&amp;P)'!P2278,
    occupancy,'Loan Tape (S&amp;P)'!N2278,
    maturity_date,'Loan Tape (S&amp;P)'!L2278,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79">
      <c r="J2279">
        <f>LET(
    lien,'Loan Tape (S&amp;P)'!Q2279,
    IF(lien="First",1.00,
        IF(lien="Second",1.50,
            1.70)))</f>
        <v/>
      </c>
      <c r="K2279">
        <f>LET(
    purpose,'Loan Tape (S&amp;P)'!R2279,
    IF(purpose="Purchase",1.00,
        IF(purpose="Remortgage",1.00,
            1.20)))</f>
        <v/>
      </c>
      <c r="L2279">
        <f>LET(
    arrears_months,'Loan Tape (S&amp;P)'!AN2279,
    IF(arrears_months=0,1.00,
    IF(arrears_months=1,3.00,
    IF(arrears_months=2,5.00,
    IF(arrears_months=3,8.00,
    IF(arrears_months=4,10.00,
    IF(arrears_months=5,12.00,15.00)))))))</f>
        <v/>
      </c>
      <c r="M2279">
        <f>LET(
    seasoning_years,DATEDIF('Loan Tape (S&amp;P)'!K2279,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79">
        <f>IF(AND('Loan Tape (S&amp;P)'!U2279="Yes",
        'Loan Tape (S&amp;P)'!T2279&lt;&gt;"Yes",
        DATEDIF('Loan Tape (S&amp;P)'!K2279, TODAY(), "M")&lt;18),
    1.10,
    1.00)</f>
        <v/>
      </c>
      <c r="O2279">
        <f>IF('Loan Tape (S&amp;P)'!T2279="Yes",
    1.35,
    1.00)</f>
        <v/>
      </c>
      <c r="P2279">
        <f>IF('Loan Tape (S&amp;P)'!S2279="Yes",
    1.15,
    1.00)</f>
        <v/>
      </c>
      <c r="Q2279">
        <f>IF('Loan Tape (S&amp;P)'!V2279="Yes",
    1.20,
    1.00)</f>
        <v/>
      </c>
      <c r="T2279">
        <f>LET(
    payment_method,'Loan Tape (S&amp;P)'!P2279,
    occupancy,'Loan Tape (S&amp;P)'!N2279,
    maturity_date,'Loan Tape (S&amp;P)'!L2279,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80">
      <c r="J2280">
        <f>LET(
    lien,'Loan Tape (S&amp;P)'!Q2280,
    IF(lien="First",1.00,
        IF(lien="Second",1.50,
            1.70)))</f>
        <v/>
      </c>
      <c r="K2280">
        <f>LET(
    purpose,'Loan Tape (S&amp;P)'!R2280,
    IF(purpose="Purchase",1.00,
        IF(purpose="Remortgage",1.00,
            1.20)))</f>
        <v/>
      </c>
      <c r="L2280">
        <f>LET(
    arrears_months,'Loan Tape (S&amp;P)'!AN2280,
    IF(arrears_months=0,1.00,
    IF(arrears_months=1,3.00,
    IF(arrears_months=2,5.00,
    IF(arrears_months=3,8.00,
    IF(arrears_months=4,10.00,
    IF(arrears_months=5,12.00,15.00)))))))</f>
        <v/>
      </c>
      <c r="M2280">
        <f>LET(
    seasoning_years,DATEDIF('Loan Tape (S&amp;P)'!K2280,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80">
        <f>IF(AND('Loan Tape (S&amp;P)'!U2280="Yes",
        'Loan Tape (S&amp;P)'!T2280&lt;&gt;"Yes",
        DATEDIF('Loan Tape (S&amp;P)'!K2280, TODAY(), "M")&lt;18),
    1.10,
    1.00)</f>
        <v/>
      </c>
      <c r="O2280">
        <f>IF('Loan Tape (S&amp;P)'!T2280="Yes",
    1.35,
    1.00)</f>
        <v/>
      </c>
      <c r="P2280">
        <f>IF('Loan Tape (S&amp;P)'!S2280="Yes",
    1.15,
    1.00)</f>
        <v/>
      </c>
      <c r="Q2280">
        <f>IF('Loan Tape (S&amp;P)'!V2280="Yes",
    1.20,
    1.00)</f>
        <v/>
      </c>
      <c r="T2280">
        <f>LET(
    payment_method,'Loan Tape (S&amp;P)'!P2280,
    occupancy,'Loan Tape (S&amp;P)'!N2280,
    maturity_date,'Loan Tape (S&amp;P)'!L2280,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81">
      <c r="J2281">
        <f>LET(
    lien,'Loan Tape (S&amp;P)'!Q2281,
    IF(lien="First",1.00,
        IF(lien="Second",1.50,
            1.70)))</f>
        <v/>
      </c>
      <c r="K2281">
        <f>LET(
    purpose,'Loan Tape (S&amp;P)'!R2281,
    IF(purpose="Purchase",1.00,
        IF(purpose="Remortgage",1.00,
            1.20)))</f>
        <v/>
      </c>
      <c r="L2281">
        <f>LET(
    arrears_months,'Loan Tape (S&amp;P)'!AN2281,
    IF(arrears_months=0,1.00,
    IF(arrears_months=1,3.00,
    IF(arrears_months=2,5.00,
    IF(arrears_months=3,8.00,
    IF(arrears_months=4,10.00,
    IF(arrears_months=5,12.00,15.00)))))))</f>
        <v/>
      </c>
      <c r="M2281">
        <f>LET(
    seasoning_years,DATEDIF('Loan Tape (S&amp;P)'!K2281,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81">
        <f>IF(AND('Loan Tape (S&amp;P)'!U2281="Yes",
        'Loan Tape (S&amp;P)'!T2281&lt;&gt;"Yes",
        DATEDIF('Loan Tape (S&amp;P)'!K2281, TODAY(), "M")&lt;18),
    1.10,
    1.00)</f>
        <v/>
      </c>
      <c r="O2281">
        <f>IF('Loan Tape (S&amp;P)'!T2281="Yes",
    1.35,
    1.00)</f>
        <v/>
      </c>
      <c r="P2281">
        <f>IF('Loan Tape (S&amp;P)'!S2281="Yes",
    1.15,
    1.00)</f>
        <v/>
      </c>
      <c r="Q2281">
        <f>IF('Loan Tape (S&amp;P)'!V2281="Yes",
    1.20,
    1.00)</f>
        <v/>
      </c>
      <c r="T2281">
        <f>LET(
    payment_method,'Loan Tape (S&amp;P)'!P2281,
    occupancy,'Loan Tape (S&amp;P)'!N2281,
    maturity_date,'Loan Tape (S&amp;P)'!L2281,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82">
      <c r="J2282">
        <f>LET(
    lien,'Loan Tape (S&amp;P)'!Q2282,
    IF(lien="First",1.00,
        IF(lien="Second",1.50,
            1.70)))</f>
        <v/>
      </c>
      <c r="K2282">
        <f>LET(
    purpose,'Loan Tape (S&amp;P)'!R2282,
    IF(purpose="Purchase",1.00,
        IF(purpose="Remortgage",1.00,
            1.20)))</f>
        <v/>
      </c>
      <c r="L2282">
        <f>LET(
    arrears_months,'Loan Tape (S&amp;P)'!AN2282,
    IF(arrears_months=0,1.00,
    IF(arrears_months=1,3.00,
    IF(arrears_months=2,5.00,
    IF(arrears_months=3,8.00,
    IF(arrears_months=4,10.00,
    IF(arrears_months=5,12.00,15.00)))))))</f>
        <v/>
      </c>
      <c r="M2282">
        <f>LET(
    seasoning_years,DATEDIF('Loan Tape (S&amp;P)'!K2282,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82">
        <f>IF(AND('Loan Tape (S&amp;P)'!U2282="Yes",
        'Loan Tape (S&amp;P)'!T2282&lt;&gt;"Yes",
        DATEDIF('Loan Tape (S&amp;P)'!K2282, TODAY(), "M")&lt;18),
    1.10,
    1.00)</f>
        <v/>
      </c>
      <c r="O2282">
        <f>IF('Loan Tape (S&amp;P)'!T2282="Yes",
    1.35,
    1.00)</f>
        <v/>
      </c>
      <c r="P2282">
        <f>IF('Loan Tape (S&amp;P)'!S2282="Yes",
    1.15,
    1.00)</f>
        <v/>
      </c>
      <c r="Q2282">
        <f>IF('Loan Tape (S&amp;P)'!V2282="Yes",
    1.20,
    1.00)</f>
        <v/>
      </c>
      <c r="T2282">
        <f>LET(
    payment_method,'Loan Tape (S&amp;P)'!P2282,
    occupancy,'Loan Tape (S&amp;P)'!N2282,
    maturity_date,'Loan Tape (S&amp;P)'!L2282,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83">
      <c r="J2283">
        <f>LET(
    lien,'Loan Tape (S&amp;P)'!Q2283,
    IF(lien="First",1.00,
        IF(lien="Second",1.50,
            1.70)))</f>
        <v/>
      </c>
      <c r="K2283">
        <f>LET(
    purpose,'Loan Tape (S&amp;P)'!R2283,
    IF(purpose="Purchase",1.00,
        IF(purpose="Remortgage",1.00,
            1.20)))</f>
        <v/>
      </c>
      <c r="L2283">
        <f>LET(
    arrears_months,'Loan Tape (S&amp;P)'!AN2283,
    IF(arrears_months=0,1.00,
    IF(arrears_months=1,3.00,
    IF(arrears_months=2,5.00,
    IF(arrears_months=3,8.00,
    IF(arrears_months=4,10.00,
    IF(arrears_months=5,12.00,15.00)))))))</f>
        <v/>
      </c>
      <c r="M2283">
        <f>LET(
    seasoning_years,DATEDIF('Loan Tape (S&amp;P)'!K2283,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83">
        <f>IF(AND('Loan Tape (S&amp;P)'!U2283="Yes",
        'Loan Tape (S&amp;P)'!T2283&lt;&gt;"Yes",
        DATEDIF('Loan Tape (S&amp;P)'!K2283, TODAY(), "M")&lt;18),
    1.10,
    1.00)</f>
        <v/>
      </c>
      <c r="O2283">
        <f>IF('Loan Tape (S&amp;P)'!T2283="Yes",
    1.35,
    1.00)</f>
        <v/>
      </c>
      <c r="P2283">
        <f>IF('Loan Tape (S&amp;P)'!S2283="Yes",
    1.15,
    1.00)</f>
        <v/>
      </c>
      <c r="Q2283">
        <f>IF('Loan Tape (S&amp;P)'!V2283="Yes",
    1.20,
    1.00)</f>
        <v/>
      </c>
      <c r="T2283">
        <f>LET(
    payment_method,'Loan Tape (S&amp;P)'!P2283,
    occupancy,'Loan Tape (S&amp;P)'!N2283,
    maturity_date,'Loan Tape (S&amp;P)'!L2283,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84">
      <c r="J2284">
        <f>LET(
    lien,'Loan Tape (S&amp;P)'!Q2284,
    IF(lien="First",1.00,
        IF(lien="Second",1.50,
            1.70)))</f>
        <v/>
      </c>
      <c r="K2284">
        <f>LET(
    purpose,'Loan Tape (S&amp;P)'!R2284,
    IF(purpose="Purchase",1.00,
        IF(purpose="Remortgage",1.00,
            1.20)))</f>
        <v/>
      </c>
      <c r="L2284">
        <f>LET(
    arrears_months,'Loan Tape (S&amp;P)'!AN2284,
    IF(arrears_months=0,1.00,
    IF(arrears_months=1,3.00,
    IF(arrears_months=2,5.00,
    IF(arrears_months=3,8.00,
    IF(arrears_months=4,10.00,
    IF(arrears_months=5,12.00,15.00)))))))</f>
        <v/>
      </c>
      <c r="M2284">
        <f>LET(
    seasoning_years,DATEDIF('Loan Tape (S&amp;P)'!K2284,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84">
        <f>IF(AND('Loan Tape (S&amp;P)'!U2284="Yes",
        'Loan Tape (S&amp;P)'!T2284&lt;&gt;"Yes",
        DATEDIF('Loan Tape (S&amp;P)'!K2284, TODAY(), "M")&lt;18),
    1.10,
    1.00)</f>
        <v/>
      </c>
      <c r="O2284">
        <f>IF('Loan Tape (S&amp;P)'!T2284="Yes",
    1.35,
    1.00)</f>
        <v/>
      </c>
      <c r="P2284">
        <f>IF('Loan Tape (S&amp;P)'!S2284="Yes",
    1.15,
    1.00)</f>
        <v/>
      </c>
      <c r="Q2284">
        <f>IF('Loan Tape (S&amp;P)'!V2284="Yes",
    1.20,
    1.00)</f>
        <v/>
      </c>
      <c r="T2284">
        <f>LET(
    payment_method,'Loan Tape (S&amp;P)'!P2284,
    occupancy,'Loan Tape (S&amp;P)'!N2284,
    maturity_date,'Loan Tape (S&amp;P)'!L2284,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85">
      <c r="J2285">
        <f>LET(
    lien,'Loan Tape (S&amp;P)'!Q2285,
    IF(lien="First",1.00,
        IF(lien="Second",1.50,
            1.70)))</f>
        <v/>
      </c>
      <c r="K2285">
        <f>LET(
    purpose,'Loan Tape (S&amp;P)'!R2285,
    IF(purpose="Purchase",1.00,
        IF(purpose="Remortgage",1.00,
            1.20)))</f>
        <v/>
      </c>
      <c r="L2285">
        <f>LET(
    arrears_months,'Loan Tape (S&amp;P)'!AN2285,
    IF(arrears_months=0,1.00,
    IF(arrears_months=1,3.00,
    IF(arrears_months=2,5.00,
    IF(arrears_months=3,8.00,
    IF(arrears_months=4,10.00,
    IF(arrears_months=5,12.00,15.00)))))))</f>
        <v/>
      </c>
      <c r="M2285">
        <f>LET(
    seasoning_years,DATEDIF('Loan Tape (S&amp;P)'!K2285,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85">
        <f>IF(AND('Loan Tape (S&amp;P)'!U2285="Yes",
        'Loan Tape (S&amp;P)'!T2285&lt;&gt;"Yes",
        DATEDIF('Loan Tape (S&amp;P)'!K2285, TODAY(), "M")&lt;18),
    1.10,
    1.00)</f>
        <v/>
      </c>
      <c r="O2285">
        <f>IF('Loan Tape (S&amp;P)'!T2285="Yes",
    1.35,
    1.00)</f>
        <v/>
      </c>
      <c r="P2285">
        <f>IF('Loan Tape (S&amp;P)'!S2285="Yes",
    1.15,
    1.00)</f>
        <v/>
      </c>
      <c r="Q2285">
        <f>IF('Loan Tape (S&amp;P)'!V2285="Yes",
    1.20,
    1.00)</f>
        <v/>
      </c>
      <c r="T2285">
        <f>LET(
    payment_method,'Loan Tape (S&amp;P)'!P2285,
    occupancy,'Loan Tape (S&amp;P)'!N2285,
    maturity_date,'Loan Tape (S&amp;P)'!L2285,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86">
      <c r="J2286">
        <f>LET(
    lien,'Loan Tape (S&amp;P)'!Q2286,
    IF(lien="First",1.00,
        IF(lien="Second",1.50,
            1.70)))</f>
        <v/>
      </c>
      <c r="K2286">
        <f>LET(
    purpose,'Loan Tape (S&amp;P)'!R2286,
    IF(purpose="Purchase",1.00,
        IF(purpose="Remortgage",1.00,
            1.20)))</f>
        <v/>
      </c>
      <c r="L2286">
        <f>LET(
    arrears_months,'Loan Tape (S&amp;P)'!AN2286,
    IF(arrears_months=0,1.00,
    IF(arrears_months=1,3.00,
    IF(arrears_months=2,5.00,
    IF(arrears_months=3,8.00,
    IF(arrears_months=4,10.00,
    IF(arrears_months=5,12.00,15.00)))))))</f>
        <v/>
      </c>
      <c r="M2286">
        <f>LET(
    seasoning_years,DATEDIF('Loan Tape (S&amp;P)'!K2286,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86">
        <f>IF(AND('Loan Tape (S&amp;P)'!U2286="Yes",
        'Loan Tape (S&amp;P)'!T2286&lt;&gt;"Yes",
        DATEDIF('Loan Tape (S&amp;P)'!K2286, TODAY(), "M")&lt;18),
    1.10,
    1.00)</f>
        <v/>
      </c>
      <c r="O2286">
        <f>IF('Loan Tape (S&amp;P)'!T2286="Yes",
    1.35,
    1.00)</f>
        <v/>
      </c>
      <c r="P2286">
        <f>IF('Loan Tape (S&amp;P)'!S2286="Yes",
    1.15,
    1.00)</f>
        <v/>
      </c>
      <c r="Q2286">
        <f>IF('Loan Tape (S&amp;P)'!V2286="Yes",
    1.20,
    1.00)</f>
        <v/>
      </c>
      <c r="T2286">
        <f>LET(
    payment_method,'Loan Tape (S&amp;P)'!P2286,
    occupancy,'Loan Tape (S&amp;P)'!N2286,
    maturity_date,'Loan Tape (S&amp;P)'!L2286,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87">
      <c r="J2287">
        <f>LET(
    lien,'Loan Tape (S&amp;P)'!Q2287,
    IF(lien="First",1.00,
        IF(lien="Second",1.50,
            1.70)))</f>
        <v/>
      </c>
      <c r="K2287">
        <f>LET(
    purpose,'Loan Tape (S&amp;P)'!R2287,
    IF(purpose="Purchase",1.00,
        IF(purpose="Remortgage",1.00,
            1.20)))</f>
        <v/>
      </c>
      <c r="L2287">
        <f>LET(
    arrears_months,'Loan Tape (S&amp;P)'!AN2287,
    IF(arrears_months=0,1.00,
    IF(arrears_months=1,3.00,
    IF(arrears_months=2,5.00,
    IF(arrears_months=3,8.00,
    IF(arrears_months=4,10.00,
    IF(arrears_months=5,12.00,15.00)))))))</f>
        <v/>
      </c>
      <c r="M2287">
        <f>LET(
    seasoning_years,DATEDIF('Loan Tape (S&amp;P)'!K2287,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87">
        <f>IF(AND('Loan Tape (S&amp;P)'!U2287="Yes",
        'Loan Tape (S&amp;P)'!T2287&lt;&gt;"Yes",
        DATEDIF('Loan Tape (S&amp;P)'!K2287, TODAY(), "M")&lt;18),
    1.10,
    1.00)</f>
        <v/>
      </c>
      <c r="O2287">
        <f>IF('Loan Tape (S&amp;P)'!T2287="Yes",
    1.35,
    1.00)</f>
        <v/>
      </c>
      <c r="P2287">
        <f>IF('Loan Tape (S&amp;P)'!S2287="Yes",
    1.15,
    1.00)</f>
        <v/>
      </c>
      <c r="Q2287">
        <f>IF('Loan Tape (S&amp;P)'!V2287="Yes",
    1.20,
    1.00)</f>
        <v/>
      </c>
      <c r="T2287">
        <f>LET(
    payment_method,'Loan Tape (S&amp;P)'!P2287,
    occupancy,'Loan Tape (S&amp;P)'!N2287,
    maturity_date,'Loan Tape (S&amp;P)'!L2287,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88">
      <c r="J2288">
        <f>LET(
    lien,'Loan Tape (S&amp;P)'!Q2288,
    IF(lien="First",1.00,
        IF(lien="Second",1.50,
            1.70)))</f>
        <v/>
      </c>
      <c r="K2288">
        <f>LET(
    purpose,'Loan Tape (S&amp;P)'!R2288,
    IF(purpose="Purchase",1.00,
        IF(purpose="Remortgage",1.00,
            1.20)))</f>
        <v/>
      </c>
      <c r="L2288">
        <f>LET(
    arrears_months,'Loan Tape (S&amp;P)'!AN2288,
    IF(arrears_months=0,1.00,
    IF(arrears_months=1,3.00,
    IF(arrears_months=2,5.00,
    IF(arrears_months=3,8.00,
    IF(arrears_months=4,10.00,
    IF(arrears_months=5,12.00,15.00)))))))</f>
        <v/>
      </c>
      <c r="M2288">
        <f>LET(
    seasoning_years,DATEDIF('Loan Tape (S&amp;P)'!K2288,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88">
        <f>IF(AND('Loan Tape (S&amp;P)'!U2288="Yes",
        'Loan Tape (S&amp;P)'!T2288&lt;&gt;"Yes",
        DATEDIF('Loan Tape (S&amp;P)'!K2288, TODAY(), "M")&lt;18),
    1.10,
    1.00)</f>
        <v/>
      </c>
      <c r="O2288">
        <f>IF('Loan Tape (S&amp;P)'!T2288="Yes",
    1.35,
    1.00)</f>
        <v/>
      </c>
      <c r="P2288">
        <f>IF('Loan Tape (S&amp;P)'!S2288="Yes",
    1.15,
    1.00)</f>
        <v/>
      </c>
      <c r="Q2288">
        <f>IF('Loan Tape (S&amp;P)'!V2288="Yes",
    1.20,
    1.00)</f>
        <v/>
      </c>
      <c r="T2288">
        <f>LET(
    payment_method,'Loan Tape (S&amp;P)'!P2288,
    occupancy,'Loan Tape (S&amp;P)'!N2288,
    maturity_date,'Loan Tape (S&amp;P)'!L2288,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89">
      <c r="J2289">
        <f>LET(
    lien,'Loan Tape (S&amp;P)'!Q2289,
    IF(lien="First",1.00,
        IF(lien="Second",1.50,
            1.70)))</f>
        <v/>
      </c>
      <c r="K2289">
        <f>LET(
    purpose,'Loan Tape (S&amp;P)'!R2289,
    IF(purpose="Purchase",1.00,
        IF(purpose="Remortgage",1.00,
            1.20)))</f>
        <v/>
      </c>
      <c r="L2289">
        <f>LET(
    arrears_months,'Loan Tape (S&amp;P)'!AN2289,
    IF(arrears_months=0,1.00,
    IF(arrears_months=1,3.00,
    IF(arrears_months=2,5.00,
    IF(arrears_months=3,8.00,
    IF(arrears_months=4,10.00,
    IF(arrears_months=5,12.00,15.00)))))))</f>
        <v/>
      </c>
      <c r="M2289">
        <f>LET(
    seasoning_years,DATEDIF('Loan Tape (S&amp;P)'!K2289,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89">
        <f>IF(AND('Loan Tape (S&amp;P)'!U2289="Yes",
        'Loan Tape (S&amp;P)'!T2289&lt;&gt;"Yes",
        DATEDIF('Loan Tape (S&amp;P)'!K2289, TODAY(), "M")&lt;18),
    1.10,
    1.00)</f>
        <v/>
      </c>
      <c r="O2289">
        <f>IF('Loan Tape (S&amp;P)'!T2289="Yes",
    1.35,
    1.00)</f>
        <v/>
      </c>
      <c r="P2289">
        <f>IF('Loan Tape (S&amp;P)'!S2289="Yes",
    1.15,
    1.00)</f>
        <v/>
      </c>
      <c r="Q2289">
        <f>IF('Loan Tape (S&amp;P)'!V2289="Yes",
    1.20,
    1.00)</f>
        <v/>
      </c>
      <c r="T2289">
        <f>LET(
    payment_method,'Loan Tape (S&amp;P)'!P2289,
    occupancy,'Loan Tape (S&amp;P)'!N2289,
    maturity_date,'Loan Tape (S&amp;P)'!L2289,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90">
      <c r="J2290">
        <f>LET(
    lien,'Loan Tape (S&amp;P)'!Q2290,
    IF(lien="First",1.00,
        IF(lien="Second",1.50,
            1.70)))</f>
        <v/>
      </c>
      <c r="K2290">
        <f>LET(
    purpose,'Loan Tape (S&amp;P)'!R2290,
    IF(purpose="Purchase",1.00,
        IF(purpose="Remortgage",1.00,
            1.20)))</f>
        <v/>
      </c>
      <c r="L2290">
        <f>LET(
    arrears_months,'Loan Tape (S&amp;P)'!AN2290,
    IF(arrears_months=0,1.00,
    IF(arrears_months=1,3.00,
    IF(arrears_months=2,5.00,
    IF(arrears_months=3,8.00,
    IF(arrears_months=4,10.00,
    IF(arrears_months=5,12.00,15.00)))))))</f>
        <v/>
      </c>
      <c r="M2290">
        <f>LET(
    seasoning_years,DATEDIF('Loan Tape (S&amp;P)'!K2290,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90">
        <f>IF(AND('Loan Tape (S&amp;P)'!U2290="Yes",
        'Loan Tape (S&amp;P)'!T2290&lt;&gt;"Yes",
        DATEDIF('Loan Tape (S&amp;P)'!K2290, TODAY(), "M")&lt;18),
    1.10,
    1.00)</f>
        <v/>
      </c>
      <c r="O2290">
        <f>IF('Loan Tape (S&amp;P)'!T2290="Yes",
    1.35,
    1.00)</f>
        <v/>
      </c>
      <c r="P2290">
        <f>IF('Loan Tape (S&amp;P)'!S2290="Yes",
    1.15,
    1.00)</f>
        <v/>
      </c>
      <c r="Q2290">
        <f>IF('Loan Tape (S&amp;P)'!V2290="Yes",
    1.20,
    1.00)</f>
        <v/>
      </c>
      <c r="T2290">
        <f>LET(
    payment_method,'Loan Tape (S&amp;P)'!P2290,
    occupancy,'Loan Tape (S&amp;P)'!N2290,
    maturity_date,'Loan Tape (S&amp;P)'!L2290,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91">
      <c r="J2291">
        <f>LET(
    lien,'Loan Tape (S&amp;P)'!Q2291,
    IF(lien="First",1.00,
        IF(lien="Second",1.50,
            1.70)))</f>
        <v/>
      </c>
      <c r="K2291">
        <f>LET(
    purpose,'Loan Tape (S&amp;P)'!R2291,
    IF(purpose="Purchase",1.00,
        IF(purpose="Remortgage",1.00,
            1.20)))</f>
        <v/>
      </c>
      <c r="L2291">
        <f>LET(
    arrears_months,'Loan Tape (S&amp;P)'!AN2291,
    IF(arrears_months=0,1.00,
    IF(arrears_months=1,3.00,
    IF(arrears_months=2,5.00,
    IF(arrears_months=3,8.00,
    IF(arrears_months=4,10.00,
    IF(arrears_months=5,12.00,15.00)))))))</f>
        <v/>
      </c>
      <c r="M2291">
        <f>LET(
    seasoning_years,DATEDIF('Loan Tape (S&amp;P)'!K2291,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91">
        <f>IF(AND('Loan Tape (S&amp;P)'!U2291="Yes",
        'Loan Tape (S&amp;P)'!T2291&lt;&gt;"Yes",
        DATEDIF('Loan Tape (S&amp;P)'!K2291, TODAY(), "M")&lt;18),
    1.10,
    1.00)</f>
        <v/>
      </c>
      <c r="O2291">
        <f>IF('Loan Tape (S&amp;P)'!T2291="Yes",
    1.35,
    1.00)</f>
        <v/>
      </c>
      <c r="P2291">
        <f>IF('Loan Tape (S&amp;P)'!S2291="Yes",
    1.15,
    1.00)</f>
        <v/>
      </c>
      <c r="Q2291">
        <f>IF('Loan Tape (S&amp;P)'!V2291="Yes",
    1.20,
    1.00)</f>
        <v/>
      </c>
      <c r="T2291">
        <f>LET(
    payment_method,'Loan Tape (S&amp;P)'!P2291,
    occupancy,'Loan Tape (S&amp;P)'!N2291,
    maturity_date,'Loan Tape (S&amp;P)'!L2291,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92">
      <c r="J2292">
        <f>LET(
    lien,'Loan Tape (S&amp;P)'!Q2292,
    IF(lien="First",1.00,
        IF(lien="Second",1.50,
            1.70)))</f>
        <v/>
      </c>
      <c r="K2292">
        <f>LET(
    purpose,'Loan Tape (S&amp;P)'!R2292,
    IF(purpose="Purchase",1.00,
        IF(purpose="Remortgage",1.00,
            1.20)))</f>
        <v/>
      </c>
      <c r="L2292">
        <f>LET(
    arrears_months,'Loan Tape (S&amp;P)'!AN2292,
    IF(arrears_months=0,1.00,
    IF(arrears_months=1,3.00,
    IF(arrears_months=2,5.00,
    IF(arrears_months=3,8.00,
    IF(arrears_months=4,10.00,
    IF(arrears_months=5,12.00,15.00)))))))</f>
        <v/>
      </c>
      <c r="M2292">
        <f>LET(
    seasoning_years,DATEDIF('Loan Tape (S&amp;P)'!K2292,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92">
        <f>IF(AND('Loan Tape (S&amp;P)'!U2292="Yes",
        'Loan Tape (S&amp;P)'!T2292&lt;&gt;"Yes",
        DATEDIF('Loan Tape (S&amp;P)'!K2292, TODAY(), "M")&lt;18),
    1.10,
    1.00)</f>
        <v/>
      </c>
      <c r="O2292">
        <f>IF('Loan Tape (S&amp;P)'!T2292="Yes",
    1.35,
    1.00)</f>
        <v/>
      </c>
      <c r="P2292">
        <f>IF('Loan Tape (S&amp;P)'!S2292="Yes",
    1.15,
    1.00)</f>
        <v/>
      </c>
      <c r="Q2292">
        <f>IF('Loan Tape (S&amp;P)'!V2292="Yes",
    1.20,
    1.00)</f>
        <v/>
      </c>
      <c r="T2292">
        <f>LET(
    payment_method,'Loan Tape (S&amp;P)'!P2292,
    occupancy,'Loan Tape (S&amp;P)'!N2292,
    maturity_date,'Loan Tape (S&amp;P)'!L2292,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93">
      <c r="J2293">
        <f>LET(
    lien,'Loan Tape (S&amp;P)'!Q2293,
    IF(lien="First",1.00,
        IF(lien="Second",1.50,
            1.70)))</f>
        <v/>
      </c>
      <c r="K2293">
        <f>LET(
    purpose,'Loan Tape (S&amp;P)'!R2293,
    IF(purpose="Purchase",1.00,
        IF(purpose="Remortgage",1.00,
            1.20)))</f>
        <v/>
      </c>
      <c r="L2293">
        <f>LET(
    arrears_months,'Loan Tape (S&amp;P)'!AN2293,
    IF(arrears_months=0,1.00,
    IF(arrears_months=1,3.00,
    IF(arrears_months=2,5.00,
    IF(arrears_months=3,8.00,
    IF(arrears_months=4,10.00,
    IF(arrears_months=5,12.00,15.00)))))))</f>
        <v/>
      </c>
      <c r="M2293">
        <f>LET(
    seasoning_years,DATEDIF('Loan Tape (S&amp;P)'!K2293,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93">
        <f>IF(AND('Loan Tape (S&amp;P)'!U2293="Yes",
        'Loan Tape (S&amp;P)'!T2293&lt;&gt;"Yes",
        DATEDIF('Loan Tape (S&amp;P)'!K2293, TODAY(), "M")&lt;18),
    1.10,
    1.00)</f>
        <v/>
      </c>
      <c r="O2293">
        <f>IF('Loan Tape (S&amp;P)'!T2293="Yes",
    1.35,
    1.00)</f>
        <v/>
      </c>
      <c r="P2293">
        <f>IF('Loan Tape (S&amp;P)'!S2293="Yes",
    1.15,
    1.00)</f>
        <v/>
      </c>
      <c r="Q2293">
        <f>IF('Loan Tape (S&amp;P)'!V2293="Yes",
    1.20,
    1.00)</f>
        <v/>
      </c>
      <c r="T2293">
        <f>LET(
    payment_method,'Loan Tape (S&amp;P)'!P2293,
    occupancy,'Loan Tape (S&amp;P)'!N2293,
    maturity_date,'Loan Tape (S&amp;P)'!L2293,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94">
      <c r="J2294">
        <f>LET(
    lien,'Loan Tape (S&amp;P)'!Q2294,
    IF(lien="First",1.00,
        IF(lien="Second",1.50,
            1.70)))</f>
        <v/>
      </c>
      <c r="K2294">
        <f>LET(
    purpose,'Loan Tape (S&amp;P)'!R2294,
    IF(purpose="Purchase",1.00,
        IF(purpose="Remortgage",1.00,
            1.20)))</f>
        <v/>
      </c>
      <c r="L2294">
        <f>LET(
    arrears_months,'Loan Tape (S&amp;P)'!AN2294,
    IF(arrears_months=0,1.00,
    IF(arrears_months=1,3.00,
    IF(arrears_months=2,5.00,
    IF(arrears_months=3,8.00,
    IF(arrears_months=4,10.00,
    IF(arrears_months=5,12.00,15.00)))))))</f>
        <v/>
      </c>
      <c r="M2294">
        <f>LET(
    seasoning_years,DATEDIF('Loan Tape (S&amp;P)'!K2294,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94">
        <f>IF(AND('Loan Tape (S&amp;P)'!U2294="Yes",
        'Loan Tape (S&amp;P)'!T2294&lt;&gt;"Yes",
        DATEDIF('Loan Tape (S&amp;P)'!K2294, TODAY(), "M")&lt;18),
    1.10,
    1.00)</f>
        <v/>
      </c>
      <c r="O2294">
        <f>IF('Loan Tape (S&amp;P)'!T2294="Yes",
    1.35,
    1.00)</f>
        <v/>
      </c>
      <c r="P2294">
        <f>IF('Loan Tape (S&amp;P)'!S2294="Yes",
    1.15,
    1.00)</f>
        <v/>
      </c>
      <c r="Q2294">
        <f>IF('Loan Tape (S&amp;P)'!V2294="Yes",
    1.20,
    1.00)</f>
        <v/>
      </c>
      <c r="T2294">
        <f>LET(
    payment_method,'Loan Tape (S&amp;P)'!P2294,
    occupancy,'Loan Tape (S&amp;P)'!N2294,
    maturity_date,'Loan Tape (S&amp;P)'!L2294,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95">
      <c r="J2295">
        <f>LET(
    lien,'Loan Tape (S&amp;P)'!Q2295,
    IF(lien="First",1.00,
        IF(lien="Second",1.50,
            1.70)))</f>
        <v/>
      </c>
      <c r="K2295">
        <f>LET(
    purpose,'Loan Tape (S&amp;P)'!R2295,
    IF(purpose="Purchase",1.00,
        IF(purpose="Remortgage",1.00,
            1.20)))</f>
        <v/>
      </c>
      <c r="L2295">
        <f>LET(
    arrears_months,'Loan Tape (S&amp;P)'!AN2295,
    IF(arrears_months=0,1.00,
    IF(arrears_months=1,3.00,
    IF(arrears_months=2,5.00,
    IF(arrears_months=3,8.00,
    IF(arrears_months=4,10.00,
    IF(arrears_months=5,12.00,15.00)))))))</f>
        <v/>
      </c>
      <c r="M2295">
        <f>LET(
    seasoning_years,DATEDIF('Loan Tape (S&amp;P)'!K2295,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95">
        <f>IF(AND('Loan Tape (S&amp;P)'!U2295="Yes",
        'Loan Tape (S&amp;P)'!T2295&lt;&gt;"Yes",
        DATEDIF('Loan Tape (S&amp;P)'!K2295, TODAY(), "M")&lt;18),
    1.10,
    1.00)</f>
        <v/>
      </c>
      <c r="O2295">
        <f>IF('Loan Tape (S&amp;P)'!T2295="Yes",
    1.35,
    1.00)</f>
        <v/>
      </c>
      <c r="P2295">
        <f>IF('Loan Tape (S&amp;P)'!S2295="Yes",
    1.15,
    1.00)</f>
        <v/>
      </c>
      <c r="Q2295">
        <f>IF('Loan Tape (S&amp;P)'!V2295="Yes",
    1.20,
    1.00)</f>
        <v/>
      </c>
      <c r="T2295">
        <f>LET(
    payment_method,'Loan Tape (S&amp;P)'!P2295,
    occupancy,'Loan Tape (S&amp;P)'!N2295,
    maturity_date,'Loan Tape (S&amp;P)'!L2295,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96">
      <c r="J2296">
        <f>LET(
    lien,'Loan Tape (S&amp;P)'!Q2296,
    IF(lien="First",1.00,
        IF(lien="Second",1.50,
            1.70)))</f>
        <v/>
      </c>
      <c r="K2296">
        <f>LET(
    purpose,'Loan Tape (S&amp;P)'!R2296,
    IF(purpose="Purchase",1.00,
        IF(purpose="Remortgage",1.00,
            1.20)))</f>
        <v/>
      </c>
      <c r="L2296">
        <f>LET(
    arrears_months,'Loan Tape (S&amp;P)'!AN2296,
    IF(arrears_months=0,1.00,
    IF(arrears_months=1,3.00,
    IF(arrears_months=2,5.00,
    IF(arrears_months=3,8.00,
    IF(arrears_months=4,10.00,
    IF(arrears_months=5,12.00,15.00)))))))</f>
        <v/>
      </c>
      <c r="M2296">
        <f>LET(
    seasoning_years,DATEDIF('Loan Tape (S&amp;P)'!K2296,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96">
        <f>IF(AND('Loan Tape (S&amp;P)'!U2296="Yes",
        'Loan Tape (S&amp;P)'!T2296&lt;&gt;"Yes",
        DATEDIF('Loan Tape (S&amp;P)'!K2296, TODAY(), "M")&lt;18),
    1.10,
    1.00)</f>
        <v/>
      </c>
      <c r="O2296">
        <f>IF('Loan Tape (S&amp;P)'!T2296="Yes",
    1.35,
    1.00)</f>
        <v/>
      </c>
      <c r="P2296">
        <f>IF('Loan Tape (S&amp;P)'!S2296="Yes",
    1.15,
    1.00)</f>
        <v/>
      </c>
      <c r="Q2296">
        <f>IF('Loan Tape (S&amp;P)'!V2296="Yes",
    1.20,
    1.00)</f>
        <v/>
      </c>
      <c r="T2296">
        <f>LET(
    payment_method,'Loan Tape (S&amp;P)'!P2296,
    occupancy,'Loan Tape (S&amp;P)'!N2296,
    maturity_date,'Loan Tape (S&amp;P)'!L2296,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97">
      <c r="J2297">
        <f>LET(
    lien,'Loan Tape (S&amp;P)'!Q2297,
    IF(lien="First",1.00,
        IF(lien="Second",1.50,
            1.70)))</f>
        <v/>
      </c>
      <c r="K2297">
        <f>LET(
    purpose,'Loan Tape (S&amp;P)'!R2297,
    IF(purpose="Purchase",1.00,
        IF(purpose="Remortgage",1.00,
            1.20)))</f>
        <v/>
      </c>
      <c r="L2297">
        <f>LET(
    arrears_months,'Loan Tape (S&amp;P)'!AN2297,
    IF(arrears_months=0,1.00,
    IF(arrears_months=1,3.00,
    IF(arrears_months=2,5.00,
    IF(arrears_months=3,8.00,
    IF(arrears_months=4,10.00,
    IF(arrears_months=5,12.00,15.00)))))))</f>
        <v/>
      </c>
      <c r="M2297">
        <f>LET(
    seasoning_years,DATEDIF('Loan Tape (S&amp;P)'!K2297,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97">
        <f>IF(AND('Loan Tape (S&amp;P)'!U2297="Yes",
        'Loan Tape (S&amp;P)'!T2297&lt;&gt;"Yes",
        DATEDIF('Loan Tape (S&amp;P)'!K2297, TODAY(), "M")&lt;18),
    1.10,
    1.00)</f>
        <v/>
      </c>
      <c r="O2297">
        <f>IF('Loan Tape (S&amp;P)'!T2297="Yes",
    1.35,
    1.00)</f>
        <v/>
      </c>
      <c r="P2297">
        <f>IF('Loan Tape (S&amp;P)'!S2297="Yes",
    1.15,
    1.00)</f>
        <v/>
      </c>
      <c r="Q2297">
        <f>IF('Loan Tape (S&amp;P)'!V2297="Yes",
    1.20,
    1.00)</f>
        <v/>
      </c>
      <c r="T2297">
        <f>LET(
    payment_method,'Loan Tape (S&amp;P)'!P2297,
    occupancy,'Loan Tape (S&amp;P)'!N2297,
    maturity_date,'Loan Tape (S&amp;P)'!L2297,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98">
      <c r="J2298">
        <f>LET(
    lien,'Loan Tape (S&amp;P)'!Q2298,
    IF(lien="First",1.00,
        IF(lien="Second",1.50,
            1.70)))</f>
        <v/>
      </c>
      <c r="K2298">
        <f>LET(
    purpose,'Loan Tape (S&amp;P)'!R2298,
    IF(purpose="Purchase",1.00,
        IF(purpose="Remortgage",1.00,
            1.20)))</f>
        <v/>
      </c>
      <c r="L2298">
        <f>LET(
    arrears_months,'Loan Tape (S&amp;P)'!AN2298,
    IF(arrears_months=0,1.00,
    IF(arrears_months=1,3.00,
    IF(arrears_months=2,5.00,
    IF(arrears_months=3,8.00,
    IF(arrears_months=4,10.00,
    IF(arrears_months=5,12.00,15.00)))))))</f>
        <v/>
      </c>
      <c r="M2298">
        <f>LET(
    seasoning_years,DATEDIF('Loan Tape (S&amp;P)'!K2298,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98">
        <f>IF(AND('Loan Tape (S&amp;P)'!U2298="Yes",
        'Loan Tape (S&amp;P)'!T2298&lt;&gt;"Yes",
        DATEDIF('Loan Tape (S&amp;P)'!K2298, TODAY(), "M")&lt;18),
    1.10,
    1.00)</f>
        <v/>
      </c>
      <c r="O2298">
        <f>IF('Loan Tape (S&amp;P)'!T2298="Yes",
    1.35,
    1.00)</f>
        <v/>
      </c>
      <c r="P2298">
        <f>IF('Loan Tape (S&amp;P)'!S2298="Yes",
    1.15,
    1.00)</f>
        <v/>
      </c>
      <c r="Q2298">
        <f>IF('Loan Tape (S&amp;P)'!V2298="Yes",
    1.20,
    1.00)</f>
        <v/>
      </c>
      <c r="T2298">
        <f>LET(
    payment_method,'Loan Tape (S&amp;P)'!P2298,
    occupancy,'Loan Tape (S&amp;P)'!N2298,
    maturity_date,'Loan Tape (S&amp;P)'!L2298,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299">
      <c r="J2299">
        <f>LET(
    lien,'Loan Tape (S&amp;P)'!Q2299,
    IF(lien="First",1.00,
        IF(lien="Second",1.50,
            1.70)))</f>
        <v/>
      </c>
      <c r="K2299">
        <f>LET(
    purpose,'Loan Tape (S&amp;P)'!R2299,
    IF(purpose="Purchase",1.00,
        IF(purpose="Remortgage",1.00,
            1.20)))</f>
        <v/>
      </c>
      <c r="L2299">
        <f>LET(
    arrears_months,'Loan Tape (S&amp;P)'!AN2299,
    IF(arrears_months=0,1.00,
    IF(arrears_months=1,3.00,
    IF(arrears_months=2,5.00,
    IF(arrears_months=3,8.00,
    IF(arrears_months=4,10.00,
    IF(arrears_months=5,12.00,15.00)))))))</f>
        <v/>
      </c>
      <c r="M2299">
        <f>LET(
    seasoning_years,DATEDIF('Loan Tape (S&amp;P)'!K2299,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299">
        <f>IF(AND('Loan Tape (S&amp;P)'!U2299="Yes",
        'Loan Tape (S&amp;P)'!T2299&lt;&gt;"Yes",
        DATEDIF('Loan Tape (S&amp;P)'!K2299, TODAY(), "M")&lt;18),
    1.10,
    1.00)</f>
        <v/>
      </c>
      <c r="O2299">
        <f>IF('Loan Tape (S&amp;P)'!T2299="Yes",
    1.35,
    1.00)</f>
        <v/>
      </c>
      <c r="P2299">
        <f>IF('Loan Tape (S&amp;P)'!S2299="Yes",
    1.15,
    1.00)</f>
        <v/>
      </c>
      <c r="Q2299">
        <f>IF('Loan Tape (S&amp;P)'!V2299="Yes",
    1.20,
    1.00)</f>
        <v/>
      </c>
      <c r="T2299">
        <f>LET(
    payment_method,'Loan Tape (S&amp;P)'!P2299,
    occupancy,'Loan Tape (S&amp;P)'!N2299,
    maturity_date,'Loan Tape (S&amp;P)'!L2299,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00">
      <c r="J2300">
        <f>LET(
    lien,'Loan Tape (S&amp;P)'!Q2300,
    IF(lien="First",1.00,
        IF(lien="Second",1.50,
            1.70)))</f>
        <v/>
      </c>
      <c r="K2300">
        <f>LET(
    purpose,'Loan Tape (S&amp;P)'!R2300,
    IF(purpose="Purchase",1.00,
        IF(purpose="Remortgage",1.00,
            1.20)))</f>
        <v/>
      </c>
      <c r="L2300">
        <f>LET(
    arrears_months,'Loan Tape (S&amp;P)'!AN2300,
    IF(arrears_months=0,1.00,
    IF(arrears_months=1,3.00,
    IF(arrears_months=2,5.00,
    IF(arrears_months=3,8.00,
    IF(arrears_months=4,10.00,
    IF(arrears_months=5,12.00,15.00)))))))</f>
        <v/>
      </c>
      <c r="M2300">
        <f>LET(
    seasoning_years,DATEDIF('Loan Tape (S&amp;P)'!K2300,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00">
        <f>IF(AND('Loan Tape (S&amp;P)'!U2300="Yes",
        'Loan Tape (S&amp;P)'!T2300&lt;&gt;"Yes",
        DATEDIF('Loan Tape (S&amp;P)'!K2300, TODAY(), "M")&lt;18),
    1.10,
    1.00)</f>
        <v/>
      </c>
      <c r="O2300">
        <f>IF('Loan Tape (S&amp;P)'!T2300="Yes",
    1.35,
    1.00)</f>
        <v/>
      </c>
      <c r="P2300">
        <f>IF('Loan Tape (S&amp;P)'!S2300="Yes",
    1.15,
    1.00)</f>
        <v/>
      </c>
      <c r="Q2300">
        <f>IF('Loan Tape (S&amp;P)'!V2300="Yes",
    1.20,
    1.00)</f>
        <v/>
      </c>
      <c r="T2300">
        <f>LET(
    payment_method,'Loan Tape (S&amp;P)'!P2300,
    occupancy,'Loan Tape (S&amp;P)'!N2300,
    maturity_date,'Loan Tape (S&amp;P)'!L2300,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01">
      <c r="J2301">
        <f>LET(
    lien,'Loan Tape (S&amp;P)'!Q2301,
    IF(lien="First",1.00,
        IF(lien="Second",1.50,
            1.70)))</f>
        <v/>
      </c>
      <c r="K2301">
        <f>LET(
    purpose,'Loan Tape (S&amp;P)'!R2301,
    IF(purpose="Purchase",1.00,
        IF(purpose="Remortgage",1.00,
            1.20)))</f>
        <v/>
      </c>
      <c r="L2301">
        <f>LET(
    arrears_months,'Loan Tape (S&amp;P)'!AN2301,
    IF(arrears_months=0,1.00,
    IF(arrears_months=1,3.00,
    IF(arrears_months=2,5.00,
    IF(arrears_months=3,8.00,
    IF(arrears_months=4,10.00,
    IF(arrears_months=5,12.00,15.00)))))))</f>
        <v/>
      </c>
      <c r="M2301">
        <f>LET(
    seasoning_years,DATEDIF('Loan Tape (S&amp;P)'!K2301,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01">
        <f>IF(AND('Loan Tape (S&amp;P)'!U2301="Yes",
        'Loan Tape (S&amp;P)'!T2301&lt;&gt;"Yes",
        DATEDIF('Loan Tape (S&amp;P)'!K2301, TODAY(), "M")&lt;18),
    1.10,
    1.00)</f>
        <v/>
      </c>
      <c r="O2301">
        <f>IF('Loan Tape (S&amp;P)'!T2301="Yes",
    1.35,
    1.00)</f>
        <v/>
      </c>
      <c r="P2301">
        <f>IF('Loan Tape (S&amp;P)'!S2301="Yes",
    1.15,
    1.00)</f>
        <v/>
      </c>
      <c r="Q2301">
        <f>IF('Loan Tape (S&amp;P)'!V2301="Yes",
    1.20,
    1.00)</f>
        <v/>
      </c>
      <c r="T2301">
        <f>LET(
    payment_method,'Loan Tape (S&amp;P)'!P2301,
    occupancy,'Loan Tape (S&amp;P)'!N2301,
    maturity_date,'Loan Tape (S&amp;P)'!L2301,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02">
      <c r="J2302">
        <f>LET(
    lien,'Loan Tape (S&amp;P)'!Q2302,
    IF(lien="First",1.00,
        IF(lien="Second",1.50,
            1.70)))</f>
        <v/>
      </c>
      <c r="K2302">
        <f>LET(
    purpose,'Loan Tape (S&amp;P)'!R2302,
    IF(purpose="Purchase",1.00,
        IF(purpose="Remortgage",1.00,
            1.20)))</f>
        <v/>
      </c>
      <c r="L2302">
        <f>LET(
    arrears_months,'Loan Tape (S&amp;P)'!AN2302,
    IF(arrears_months=0,1.00,
    IF(arrears_months=1,3.00,
    IF(arrears_months=2,5.00,
    IF(arrears_months=3,8.00,
    IF(arrears_months=4,10.00,
    IF(arrears_months=5,12.00,15.00)))))))</f>
        <v/>
      </c>
      <c r="M2302">
        <f>LET(
    seasoning_years,DATEDIF('Loan Tape (S&amp;P)'!K2302,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02">
        <f>IF(AND('Loan Tape (S&amp;P)'!U2302="Yes",
        'Loan Tape (S&amp;P)'!T2302&lt;&gt;"Yes",
        DATEDIF('Loan Tape (S&amp;P)'!K2302, TODAY(), "M")&lt;18),
    1.10,
    1.00)</f>
        <v/>
      </c>
      <c r="O2302">
        <f>IF('Loan Tape (S&amp;P)'!T2302="Yes",
    1.35,
    1.00)</f>
        <v/>
      </c>
      <c r="P2302">
        <f>IF('Loan Tape (S&amp;P)'!S2302="Yes",
    1.15,
    1.00)</f>
        <v/>
      </c>
      <c r="Q2302">
        <f>IF('Loan Tape (S&amp;P)'!V2302="Yes",
    1.20,
    1.00)</f>
        <v/>
      </c>
      <c r="T2302">
        <f>LET(
    payment_method,'Loan Tape (S&amp;P)'!P2302,
    occupancy,'Loan Tape (S&amp;P)'!N2302,
    maturity_date,'Loan Tape (S&amp;P)'!L2302,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03">
      <c r="J2303">
        <f>LET(
    lien,'Loan Tape (S&amp;P)'!Q2303,
    IF(lien="First",1.00,
        IF(lien="Second",1.50,
            1.70)))</f>
        <v/>
      </c>
      <c r="K2303">
        <f>LET(
    purpose,'Loan Tape (S&amp;P)'!R2303,
    IF(purpose="Purchase",1.00,
        IF(purpose="Remortgage",1.00,
            1.20)))</f>
        <v/>
      </c>
      <c r="L2303">
        <f>LET(
    arrears_months,'Loan Tape (S&amp;P)'!AN2303,
    IF(arrears_months=0,1.00,
    IF(arrears_months=1,3.00,
    IF(arrears_months=2,5.00,
    IF(arrears_months=3,8.00,
    IF(arrears_months=4,10.00,
    IF(arrears_months=5,12.00,15.00)))))))</f>
        <v/>
      </c>
      <c r="M2303">
        <f>LET(
    seasoning_years,DATEDIF('Loan Tape (S&amp;P)'!K2303,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03">
        <f>IF(AND('Loan Tape (S&amp;P)'!U2303="Yes",
        'Loan Tape (S&amp;P)'!T2303&lt;&gt;"Yes",
        DATEDIF('Loan Tape (S&amp;P)'!K2303, TODAY(), "M")&lt;18),
    1.10,
    1.00)</f>
        <v/>
      </c>
      <c r="O2303">
        <f>IF('Loan Tape (S&amp;P)'!T2303="Yes",
    1.35,
    1.00)</f>
        <v/>
      </c>
      <c r="P2303">
        <f>IF('Loan Tape (S&amp;P)'!S2303="Yes",
    1.15,
    1.00)</f>
        <v/>
      </c>
      <c r="Q2303">
        <f>IF('Loan Tape (S&amp;P)'!V2303="Yes",
    1.20,
    1.00)</f>
        <v/>
      </c>
      <c r="T2303">
        <f>LET(
    payment_method,'Loan Tape (S&amp;P)'!P2303,
    occupancy,'Loan Tape (S&amp;P)'!N2303,
    maturity_date,'Loan Tape (S&amp;P)'!L2303,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04">
      <c r="J2304">
        <f>LET(
    lien,'Loan Tape (S&amp;P)'!Q2304,
    IF(lien="First",1.00,
        IF(lien="Second",1.50,
            1.70)))</f>
        <v/>
      </c>
      <c r="K2304">
        <f>LET(
    purpose,'Loan Tape (S&amp;P)'!R2304,
    IF(purpose="Purchase",1.00,
        IF(purpose="Remortgage",1.00,
            1.20)))</f>
        <v/>
      </c>
      <c r="L2304">
        <f>LET(
    arrears_months,'Loan Tape (S&amp;P)'!AN2304,
    IF(arrears_months=0,1.00,
    IF(arrears_months=1,3.00,
    IF(arrears_months=2,5.00,
    IF(arrears_months=3,8.00,
    IF(arrears_months=4,10.00,
    IF(arrears_months=5,12.00,15.00)))))))</f>
        <v/>
      </c>
      <c r="M2304">
        <f>LET(
    seasoning_years,DATEDIF('Loan Tape (S&amp;P)'!K2304,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04">
        <f>IF(AND('Loan Tape (S&amp;P)'!U2304="Yes",
        'Loan Tape (S&amp;P)'!T2304&lt;&gt;"Yes",
        DATEDIF('Loan Tape (S&amp;P)'!K2304, TODAY(), "M")&lt;18),
    1.10,
    1.00)</f>
        <v/>
      </c>
      <c r="O2304">
        <f>IF('Loan Tape (S&amp;P)'!T2304="Yes",
    1.35,
    1.00)</f>
        <v/>
      </c>
      <c r="P2304">
        <f>IF('Loan Tape (S&amp;P)'!S2304="Yes",
    1.15,
    1.00)</f>
        <v/>
      </c>
      <c r="Q2304">
        <f>IF('Loan Tape (S&amp;P)'!V2304="Yes",
    1.20,
    1.00)</f>
        <v/>
      </c>
      <c r="T2304">
        <f>LET(
    payment_method,'Loan Tape (S&amp;P)'!P2304,
    occupancy,'Loan Tape (S&amp;P)'!N2304,
    maturity_date,'Loan Tape (S&amp;P)'!L2304,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05">
      <c r="J2305">
        <f>LET(
    lien,'Loan Tape (S&amp;P)'!Q2305,
    IF(lien="First",1.00,
        IF(lien="Second",1.50,
            1.70)))</f>
        <v/>
      </c>
      <c r="K2305">
        <f>LET(
    purpose,'Loan Tape (S&amp;P)'!R2305,
    IF(purpose="Purchase",1.00,
        IF(purpose="Remortgage",1.00,
            1.20)))</f>
        <v/>
      </c>
      <c r="L2305">
        <f>LET(
    arrears_months,'Loan Tape (S&amp;P)'!AN2305,
    IF(arrears_months=0,1.00,
    IF(arrears_months=1,3.00,
    IF(arrears_months=2,5.00,
    IF(arrears_months=3,8.00,
    IF(arrears_months=4,10.00,
    IF(arrears_months=5,12.00,15.00)))))))</f>
        <v/>
      </c>
      <c r="M2305">
        <f>LET(
    seasoning_years,DATEDIF('Loan Tape (S&amp;P)'!K2305,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05">
        <f>IF(AND('Loan Tape (S&amp;P)'!U2305="Yes",
        'Loan Tape (S&amp;P)'!T2305&lt;&gt;"Yes",
        DATEDIF('Loan Tape (S&amp;P)'!K2305, TODAY(), "M")&lt;18),
    1.10,
    1.00)</f>
        <v/>
      </c>
      <c r="O2305">
        <f>IF('Loan Tape (S&amp;P)'!T2305="Yes",
    1.35,
    1.00)</f>
        <v/>
      </c>
      <c r="P2305">
        <f>IF('Loan Tape (S&amp;P)'!S2305="Yes",
    1.15,
    1.00)</f>
        <v/>
      </c>
      <c r="Q2305">
        <f>IF('Loan Tape (S&amp;P)'!V2305="Yes",
    1.20,
    1.00)</f>
        <v/>
      </c>
      <c r="T2305">
        <f>LET(
    payment_method,'Loan Tape (S&amp;P)'!P2305,
    occupancy,'Loan Tape (S&amp;P)'!N2305,
    maturity_date,'Loan Tape (S&amp;P)'!L2305,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06">
      <c r="J2306">
        <f>LET(
    lien,'Loan Tape (S&amp;P)'!Q2306,
    IF(lien="First",1.00,
        IF(lien="Second",1.50,
            1.70)))</f>
        <v/>
      </c>
      <c r="K2306">
        <f>LET(
    purpose,'Loan Tape (S&amp;P)'!R2306,
    IF(purpose="Purchase",1.00,
        IF(purpose="Remortgage",1.00,
            1.20)))</f>
        <v/>
      </c>
      <c r="L2306">
        <f>LET(
    arrears_months,'Loan Tape (S&amp;P)'!AN2306,
    IF(arrears_months=0,1.00,
    IF(arrears_months=1,3.00,
    IF(arrears_months=2,5.00,
    IF(arrears_months=3,8.00,
    IF(arrears_months=4,10.00,
    IF(arrears_months=5,12.00,15.00)))))))</f>
        <v/>
      </c>
      <c r="M2306">
        <f>LET(
    seasoning_years,DATEDIF('Loan Tape (S&amp;P)'!K2306,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06">
        <f>IF(AND('Loan Tape (S&amp;P)'!U2306="Yes",
        'Loan Tape (S&amp;P)'!T2306&lt;&gt;"Yes",
        DATEDIF('Loan Tape (S&amp;P)'!K2306, TODAY(), "M")&lt;18),
    1.10,
    1.00)</f>
        <v/>
      </c>
      <c r="O2306">
        <f>IF('Loan Tape (S&amp;P)'!T2306="Yes",
    1.35,
    1.00)</f>
        <v/>
      </c>
      <c r="P2306">
        <f>IF('Loan Tape (S&amp;P)'!S2306="Yes",
    1.15,
    1.00)</f>
        <v/>
      </c>
      <c r="Q2306">
        <f>IF('Loan Tape (S&amp;P)'!V2306="Yes",
    1.20,
    1.00)</f>
        <v/>
      </c>
      <c r="T2306">
        <f>LET(
    payment_method,'Loan Tape (S&amp;P)'!P2306,
    occupancy,'Loan Tape (S&amp;P)'!N2306,
    maturity_date,'Loan Tape (S&amp;P)'!L2306,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07">
      <c r="J2307">
        <f>LET(
    lien,'Loan Tape (S&amp;P)'!Q2307,
    IF(lien="First",1.00,
        IF(lien="Second",1.50,
            1.70)))</f>
        <v/>
      </c>
      <c r="K2307">
        <f>LET(
    purpose,'Loan Tape (S&amp;P)'!R2307,
    IF(purpose="Purchase",1.00,
        IF(purpose="Remortgage",1.00,
            1.20)))</f>
        <v/>
      </c>
      <c r="L2307">
        <f>LET(
    arrears_months,'Loan Tape (S&amp;P)'!AN2307,
    IF(arrears_months=0,1.00,
    IF(arrears_months=1,3.00,
    IF(arrears_months=2,5.00,
    IF(arrears_months=3,8.00,
    IF(arrears_months=4,10.00,
    IF(arrears_months=5,12.00,15.00)))))))</f>
        <v/>
      </c>
      <c r="M2307">
        <f>LET(
    seasoning_years,DATEDIF('Loan Tape (S&amp;P)'!K2307,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07">
        <f>IF(AND('Loan Tape (S&amp;P)'!U2307="Yes",
        'Loan Tape (S&amp;P)'!T2307&lt;&gt;"Yes",
        DATEDIF('Loan Tape (S&amp;P)'!K2307, TODAY(), "M")&lt;18),
    1.10,
    1.00)</f>
        <v/>
      </c>
      <c r="O2307">
        <f>IF('Loan Tape (S&amp;P)'!T2307="Yes",
    1.35,
    1.00)</f>
        <v/>
      </c>
      <c r="P2307">
        <f>IF('Loan Tape (S&amp;P)'!S2307="Yes",
    1.15,
    1.00)</f>
        <v/>
      </c>
      <c r="Q2307">
        <f>IF('Loan Tape (S&amp;P)'!V2307="Yes",
    1.20,
    1.00)</f>
        <v/>
      </c>
      <c r="T2307">
        <f>LET(
    payment_method,'Loan Tape (S&amp;P)'!P2307,
    occupancy,'Loan Tape (S&amp;P)'!N2307,
    maturity_date,'Loan Tape (S&amp;P)'!L2307,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08">
      <c r="J2308">
        <f>LET(
    lien,'Loan Tape (S&amp;P)'!Q2308,
    IF(lien="First",1.00,
        IF(lien="Second",1.50,
            1.70)))</f>
        <v/>
      </c>
      <c r="K2308">
        <f>LET(
    purpose,'Loan Tape (S&amp;P)'!R2308,
    IF(purpose="Purchase",1.00,
        IF(purpose="Remortgage",1.00,
            1.20)))</f>
        <v/>
      </c>
      <c r="L2308">
        <f>LET(
    arrears_months,'Loan Tape (S&amp;P)'!AN2308,
    IF(arrears_months=0,1.00,
    IF(arrears_months=1,3.00,
    IF(arrears_months=2,5.00,
    IF(arrears_months=3,8.00,
    IF(arrears_months=4,10.00,
    IF(arrears_months=5,12.00,15.00)))))))</f>
        <v/>
      </c>
      <c r="M2308">
        <f>LET(
    seasoning_years,DATEDIF('Loan Tape (S&amp;P)'!K2308,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08">
        <f>IF(AND('Loan Tape (S&amp;P)'!U2308="Yes",
        'Loan Tape (S&amp;P)'!T2308&lt;&gt;"Yes",
        DATEDIF('Loan Tape (S&amp;P)'!K2308, TODAY(), "M")&lt;18),
    1.10,
    1.00)</f>
        <v/>
      </c>
      <c r="O2308">
        <f>IF('Loan Tape (S&amp;P)'!T2308="Yes",
    1.35,
    1.00)</f>
        <v/>
      </c>
      <c r="P2308">
        <f>IF('Loan Tape (S&amp;P)'!S2308="Yes",
    1.15,
    1.00)</f>
        <v/>
      </c>
      <c r="Q2308">
        <f>IF('Loan Tape (S&amp;P)'!V2308="Yes",
    1.20,
    1.00)</f>
        <v/>
      </c>
      <c r="T2308">
        <f>LET(
    payment_method,'Loan Tape (S&amp;P)'!P2308,
    occupancy,'Loan Tape (S&amp;P)'!N2308,
    maturity_date,'Loan Tape (S&amp;P)'!L2308,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09">
      <c r="J2309">
        <f>LET(
    lien,'Loan Tape (S&amp;P)'!Q2309,
    IF(lien="First",1.00,
        IF(lien="Second",1.50,
            1.70)))</f>
        <v/>
      </c>
      <c r="K2309">
        <f>LET(
    purpose,'Loan Tape (S&amp;P)'!R2309,
    IF(purpose="Purchase",1.00,
        IF(purpose="Remortgage",1.00,
            1.20)))</f>
        <v/>
      </c>
      <c r="L2309">
        <f>LET(
    arrears_months,'Loan Tape (S&amp;P)'!AN2309,
    IF(arrears_months=0,1.00,
    IF(arrears_months=1,3.00,
    IF(arrears_months=2,5.00,
    IF(arrears_months=3,8.00,
    IF(arrears_months=4,10.00,
    IF(arrears_months=5,12.00,15.00)))))))</f>
        <v/>
      </c>
      <c r="M2309">
        <f>LET(
    seasoning_years,DATEDIF('Loan Tape (S&amp;P)'!K2309,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09">
        <f>IF(AND('Loan Tape (S&amp;P)'!U2309="Yes",
        'Loan Tape (S&amp;P)'!T2309&lt;&gt;"Yes",
        DATEDIF('Loan Tape (S&amp;P)'!K2309, TODAY(), "M")&lt;18),
    1.10,
    1.00)</f>
        <v/>
      </c>
      <c r="O2309">
        <f>IF('Loan Tape (S&amp;P)'!T2309="Yes",
    1.35,
    1.00)</f>
        <v/>
      </c>
      <c r="P2309">
        <f>IF('Loan Tape (S&amp;P)'!S2309="Yes",
    1.15,
    1.00)</f>
        <v/>
      </c>
      <c r="Q2309">
        <f>IF('Loan Tape (S&amp;P)'!V2309="Yes",
    1.20,
    1.00)</f>
        <v/>
      </c>
      <c r="T2309">
        <f>LET(
    payment_method,'Loan Tape (S&amp;P)'!P2309,
    occupancy,'Loan Tape (S&amp;P)'!N2309,
    maturity_date,'Loan Tape (S&amp;P)'!L2309,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10">
      <c r="J2310">
        <f>LET(
    lien,'Loan Tape (S&amp;P)'!Q2310,
    IF(lien="First",1.00,
        IF(lien="Second",1.50,
            1.70)))</f>
        <v/>
      </c>
      <c r="K2310">
        <f>LET(
    purpose,'Loan Tape (S&amp;P)'!R2310,
    IF(purpose="Purchase",1.00,
        IF(purpose="Remortgage",1.00,
            1.20)))</f>
        <v/>
      </c>
      <c r="L2310">
        <f>LET(
    arrears_months,'Loan Tape (S&amp;P)'!AN2310,
    IF(arrears_months=0,1.00,
    IF(arrears_months=1,3.00,
    IF(arrears_months=2,5.00,
    IF(arrears_months=3,8.00,
    IF(arrears_months=4,10.00,
    IF(arrears_months=5,12.00,15.00)))))))</f>
        <v/>
      </c>
      <c r="M2310">
        <f>LET(
    seasoning_years,DATEDIF('Loan Tape (S&amp;P)'!K2310,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10">
        <f>IF(AND('Loan Tape (S&amp;P)'!U2310="Yes",
        'Loan Tape (S&amp;P)'!T2310&lt;&gt;"Yes",
        DATEDIF('Loan Tape (S&amp;P)'!K2310, TODAY(), "M")&lt;18),
    1.10,
    1.00)</f>
        <v/>
      </c>
      <c r="O2310">
        <f>IF('Loan Tape (S&amp;P)'!T2310="Yes",
    1.35,
    1.00)</f>
        <v/>
      </c>
      <c r="P2310">
        <f>IF('Loan Tape (S&amp;P)'!S2310="Yes",
    1.15,
    1.00)</f>
        <v/>
      </c>
      <c r="Q2310">
        <f>IF('Loan Tape (S&amp;P)'!V2310="Yes",
    1.20,
    1.00)</f>
        <v/>
      </c>
      <c r="T2310">
        <f>LET(
    payment_method,'Loan Tape (S&amp;P)'!P2310,
    occupancy,'Loan Tape (S&amp;P)'!N2310,
    maturity_date,'Loan Tape (S&amp;P)'!L2310,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11">
      <c r="J2311">
        <f>LET(
    lien,'Loan Tape (S&amp;P)'!Q2311,
    IF(lien="First",1.00,
        IF(lien="Second",1.50,
            1.70)))</f>
        <v/>
      </c>
      <c r="K2311">
        <f>LET(
    purpose,'Loan Tape (S&amp;P)'!R2311,
    IF(purpose="Purchase",1.00,
        IF(purpose="Remortgage",1.00,
            1.20)))</f>
        <v/>
      </c>
      <c r="L2311">
        <f>LET(
    arrears_months,'Loan Tape (S&amp;P)'!AN2311,
    IF(arrears_months=0,1.00,
    IF(arrears_months=1,3.00,
    IF(arrears_months=2,5.00,
    IF(arrears_months=3,8.00,
    IF(arrears_months=4,10.00,
    IF(arrears_months=5,12.00,15.00)))))))</f>
        <v/>
      </c>
      <c r="M2311">
        <f>LET(
    seasoning_years,DATEDIF('Loan Tape (S&amp;P)'!K2311,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11">
        <f>IF(AND('Loan Tape (S&amp;P)'!U2311="Yes",
        'Loan Tape (S&amp;P)'!T2311&lt;&gt;"Yes",
        DATEDIF('Loan Tape (S&amp;P)'!K2311, TODAY(), "M")&lt;18),
    1.10,
    1.00)</f>
        <v/>
      </c>
      <c r="O2311">
        <f>IF('Loan Tape (S&amp;P)'!T2311="Yes",
    1.35,
    1.00)</f>
        <v/>
      </c>
      <c r="P2311">
        <f>IF('Loan Tape (S&amp;P)'!S2311="Yes",
    1.15,
    1.00)</f>
        <v/>
      </c>
      <c r="Q2311">
        <f>IF('Loan Tape (S&amp;P)'!V2311="Yes",
    1.20,
    1.00)</f>
        <v/>
      </c>
      <c r="T2311">
        <f>LET(
    payment_method,'Loan Tape (S&amp;P)'!P2311,
    occupancy,'Loan Tape (S&amp;P)'!N2311,
    maturity_date,'Loan Tape (S&amp;P)'!L2311,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12">
      <c r="J2312">
        <f>LET(
    lien,'Loan Tape (S&amp;P)'!Q2312,
    IF(lien="First",1.00,
        IF(lien="Second",1.50,
            1.70)))</f>
        <v/>
      </c>
      <c r="K2312">
        <f>LET(
    purpose,'Loan Tape (S&amp;P)'!R2312,
    IF(purpose="Purchase",1.00,
        IF(purpose="Remortgage",1.00,
            1.20)))</f>
        <v/>
      </c>
      <c r="L2312">
        <f>LET(
    arrears_months,'Loan Tape (S&amp;P)'!AN2312,
    IF(arrears_months=0,1.00,
    IF(arrears_months=1,3.00,
    IF(arrears_months=2,5.00,
    IF(arrears_months=3,8.00,
    IF(arrears_months=4,10.00,
    IF(arrears_months=5,12.00,15.00)))))))</f>
        <v/>
      </c>
      <c r="M2312">
        <f>LET(
    seasoning_years,DATEDIF('Loan Tape (S&amp;P)'!K2312,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12">
        <f>IF(AND('Loan Tape (S&amp;P)'!U2312="Yes",
        'Loan Tape (S&amp;P)'!T2312&lt;&gt;"Yes",
        DATEDIF('Loan Tape (S&amp;P)'!K2312, TODAY(), "M")&lt;18),
    1.10,
    1.00)</f>
        <v/>
      </c>
      <c r="O2312">
        <f>IF('Loan Tape (S&amp;P)'!T2312="Yes",
    1.35,
    1.00)</f>
        <v/>
      </c>
      <c r="P2312">
        <f>IF('Loan Tape (S&amp;P)'!S2312="Yes",
    1.15,
    1.00)</f>
        <v/>
      </c>
      <c r="Q2312">
        <f>IF('Loan Tape (S&amp;P)'!V2312="Yes",
    1.20,
    1.00)</f>
        <v/>
      </c>
      <c r="T2312">
        <f>LET(
    payment_method,'Loan Tape (S&amp;P)'!P2312,
    occupancy,'Loan Tape (S&amp;P)'!N2312,
    maturity_date,'Loan Tape (S&amp;P)'!L2312,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13">
      <c r="J2313">
        <f>LET(
    lien,'Loan Tape (S&amp;P)'!Q2313,
    IF(lien="First",1.00,
        IF(lien="Second",1.50,
            1.70)))</f>
        <v/>
      </c>
      <c r="K2313">
        <f>LET(
    purpose,'Loan Tape (S&amp;P)'!R2313,
    IF(purpose="Purchase",1.00,
        IF(purpose="Remortgage",1.00,
            1.20)))</f>
        <v/>
      </c>
      <c r="L2313">
        <f>LET(
    arrears_months,'Loan Tape (S&amp;P)'!AN2313,
    IF(arrears_months=0,1.00,
    IF(arrears_months=1,3.00,
    IF(arrears_months=2,5.00,
    IF(arrears_months=3,8.00,
    IF(arrears_months=4,10.00,
    IF(arrears_months=5,12.00,15.00)))))))</f>
        <v/>
      </c>
      <c r="M2313">
        <f>LET(
    seasoning_years,DATEDIF('Loan Tape (S&amp;P)'!K2313,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13">
        <f>IF(AND('Loan Tape (S&amp;P)'!U2313="Yes",
        'Loan Tape (S&amp;P)'!T2313&lt;&gt;"Yes",
        DATEDIF('Loan Tape (S&amp;P)'!K2313, TODAY(), "M")&lt;18),
    1.10,
    1.00)</f>
        <v/>
      </c>
      <c r="O2313">
        <f>IF('Loan Tape (S&amp;P)'!T2313="Yes",
    1.35,
    1.00)</f>
        <v/>
      </c>
      <c r="P2313">
        <f>IF('Loan Tape (S&amp;P)'!S2313="Yes",
    1.15,
    1.00)</f>
        <v/>
      </c>
      <c r="Q2313">
        <f>IF('Loan Tape (S&amp;P)'!V2313="Yes",
    1.20,
    1.00)</f>
        <v/>
      </c>
      <c r="T2313">
        <f>LET(
    payment_method,'Loan Tape (S&amp;P)'!P2313,
    occupancy,'Loan Tape (S&amp;P)'!N2313,
    maturity_date,'Loan Tape (S&amp;P)'!L2313,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14">
      <c r="J2314">
        <f>LET(
    lien,'Loan Tape (S&amp;P)'!Q2314,
    IF(lien="First",1.00,
        IF(lien="Second",1.50,
            1.70)))</f>
        <v/>
      </c>
      <c r="K2314">
        <f>LET(
    purpose,'Loan Tape (S&amp;P)'!R2314,
    IF(purpose="Purchase",1.00,
        IF(purpose="Remortgage",1.00,
            1.20)))</f>
        <v/>
      </c>
      <c r="L2314">
        <f>LET(
    arrears_months,'Loan Tape (S&amp;P)'!AN2314,
    IF(arrears_months=0,1.00,
    IF(arrears_months=1,3.00,
    IF(arrears_months=2,5.00,
    IF(arrears_months=3,8.00,
    IF(arrears_months=4,10.00,
    IF(arrears_months=5,12.00,15.00)))))))</f>
        <v/>
      </c>
      <c r="M2314">
        <f>LET(
    seasoning_years,DATEDIF('Loan Tape (S&amp;P)'!K2314,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14">
        <f>IF(AND('Loan Tape (S&amp;P)'!U2314="Yes",
        'Loan Tape (S&amp;P)'!T2314&lt;&gt;"Yes",
        DATEDIF('Loan Tape (S&amp;P)'!K2314, TODAY(), "M")&lt;18),
    1.10,
    1.00)</f>
        <v/>
      </c>
      <c r="O2314">
        <f>IF('Loan Tape (S&amp;P)'!T2314="Yes",
    1.35,
    1.00)</f>
        <v/>
      </c>
      <c r="P2314">
        <f>IF('Loan Tape (S&amp;P)'!S2314="Yes",
    1.15,
    1.00)</f>
        <v/>
      </c>
      <c r="Q2314">
        <f>IF('Loan Tape (S&amp;P)'!V2314="Yes",
    1.20,
    1.00)</f>
        <v/>
      </c>
      <c r="T2314">
        <f>LET(
    payment_method,'Loan Tape (S&amp;P)'!P2314,
    occupancy,'Loan Tape (S&amp;P)'!N2314,
    maturity_date,'Loan Tape (S&amp;P)'!L2314,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15">
      <c r="J2315">
        <f>LET(
    lien,'Loan Tape (S&amp;P)'!Q2315,
    IF(lien="First",1.00,
        IF(lien="Second",1.50,
            1.70)))</f>
        <v/>
      </c>
      <c r="K2315">
        <f>LET(
    purpose,'Loan Tape (S&amp;P)'!R2315,
    IF(purpose="Purchase",1.00,
        IF(purpose="Remortgage",1.00,
            1.20)))</f>
        <v/>
      </c>
      <c r="L2315">
        <f>LET(
    arrears_months,'Loan Tape (S&amp;P)'!AN2315,
    IF(arrears_months=0,1.00,
    IF(arrears_months=1,3.00,
    IF(arrears_months=2,5.00,
    IF(arrears_months=3,8.00,
    IF(arrears_months=4,10.00,
    IF(arrears_months=5,12.00,15.00)))))))</f>
        <v/>
      </c>
      <c r="M2315">
        <f>LET(
    seasoning_years,DATEDIF('Loan Tape (S&amp;P)'!K2315,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15">
        <f>IF(AND('Loan Tape (S&amp;P)'!U2315="Yes",
        'Loan Tape (S&amp;P)'!T2315&lt;&gt;"Yes",
        DATEDIF('Loan Tape (S&amp;P)'!K2315, TODAY(), "M")&lt;18),
    1.10,
    1.00)</f>
        <v/>
      </c>
      <c r="O2315">
        <f>IF('Loan Tape (S&amp;P)'!T2315="Yes",
    1.35,
    1.00)</f>
        <v/>
      </c>
      <c r="P2315">
        <f>IF('Loan Tape (S&amp;P)'!S2315="Yes",
    1.15,
    1.00)</f>
        <v/>
      </c>
      <c r="Q2315">
        <f>IF('Loan Tape (S&amp;P)'!V2315="Yes",
    1.20,
    1.00)</f>
        <v/>
      </c>
      <c r="T2315">
        <f>LET(
    payment_method,'Loan Tape (S&amp;P)'!P2315,
    occupancy,'Loan Tape (S&amp;P)'!N2315,
    maturity_date,'Loan Tape (S&amp;P)'!L2315,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16">
      <c r="J2316">
        <f>LET(
    lien,'Loan Tape (S&amp;P)'!Q2316,
    IF(lien="First",1.00,
        IF(lien="Second",1.50,
            1.70)))</f>
        <v/>
      </c>
      <c r="K2316">
        <f>LET(
    purpose,'Loan Tape (S&amp;P)'!R2316,
    IF(purpose="Purchase",1.00,
        IF(purpose="Remortgage",1.00,
            1.20)))</f>
        <v/>
      </c>
      <c r="L2316">
        <f>LET(
    arrears_months,'Loan Tape (S&amp;P)'!AN2316,
    IF(arrears_months=0,1.00,
    IF(arrears_months=1,3.00,
    IF(arrears_months=2,5.00,
    IF(arrears_months=3,8.00,
    IF(arrears_months=4,10.00,
    IF(arrears_months=5,12.00,15.00)))))))</f>
        <v/>
      </c>
      <c r="M2316">
        <f>LET(
    seasoning_years,DATEDIF('Loan Tape (S&amp;P)'!K2316,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16">
        <f>IF(AND('Loan Tape (S&amp;P)'!U2316="Yes",
        'Loan Tape (S&amp;P)'!T2316&lt;&gt;"Yes",
        DATEDIF('Loan Tape (S&amp;P)'!K2316, TODAY(), "M")&lt;18),
    1.10,
    1.00)</f>
        <v/>
      </c>
      <c r="O2316">
        <f>IF('Loan Tape (S&amp;P)'!T2316="Yes",
    1.35,
    1.00)</f>
        <v/>
      </c>
      <c r="P2316">
        <f>IF('Loan Tape (S&amp;P)'!S2316="Yes",
    1.15,
    1.00)</f>
        <v/>
      </c>
      <c r="Q2316">
        <f>IF('Loan Tape (S&amp;P)'!V2316="Yes",
    1.20,
    1.00)</f>
        <v/>
      </c>
      <c r="T2316">
        <f>LET(
    payment_method,'Loan Tape (S&amp;P)'!P2316,
    occupancy,'Loan Tape (S&amp;P)'!N2316,
    maturity_date,'Loan Tape (S&amp;P)'!L2316,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17">
      <c r="J2317">
        <f>LET(
    lien,'Loan Tape (S&amp;P)'!Q2317,
    IF(lien="First",1.00,
        IF(lien="Second",1.50,
            1.70)))</f>
        <v/>
      </c>
      <c r="K2317">
        <f>LET(
    purpose,'Loan Tape (S&amp;P)'!R2317,
    IF(purpose="Purchase",1.00,
        IF(purpose="Remortgage",1.00,
            1.20)))</f>
        <v/>
      </c>
      <c r="L2317">
        <f>LET(
    arrears_months,'Loan Tape (S&amp;P)'!AN2317,
    IF(arrears_months=0,1.00,
    IF(arrears_months=1,3.00,
    IF(arrears_months=2,5.00,
    IF(arrears_months=3,8.00,
    IF(arrears_months=4,10.00,
    IF(arrears_months=5,12.00,15.00)))))))</f>
        <v/>
      </c>
      <c r="M2317">
        <f>LET(
    seasoning_years,DATEDIF('Loan Tape (S&amp;P)'!K2317,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17">
        <f>IF(AND('Loan Tape (S&amp;P)'!U2317="Yes",
        'Loan Tape (S&amp;P)'!T2317&lt;&gt;"Yes",
        DATEDIF('Loan Tape (S&amp;P)'!K2317, TODAY(), "M")&lt;18),
    1.10,
    1.00)</f>
        <v/>
      </c>
      <c r="O2317">
        <f>IF('Loan Tape (S&amp;P)'!T2317="Yes",
    1.35,
    1.00)</f>
        <v/>
      </c>
      <c r="P2317">
        <f>IF('Loan Tape (S&amp;P)'!S2317="Yes",
    1.15,
    1.00)</f>
        <v/>
      </c>
      <c r="Q2317">
        <f>IF('Loan Tape (S&amp;P)'!V2317="Yes",
    1.20,
    1.00)</f>
        <v/>
      </c>
      <c r="T2317">
        <f>LET(
    payment_method,'Loan Tape (S&amp;P)'!P2317,
    occupancy,'Loan Tape (S&amp;P)'!N2317,
    maturity_date,'Loan Tape (S&amp;P)'!L2317,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18">
      <c r="J2318">
        <f>LET(
    lien,'Loan Tape (S&amp;P)'!Q2318,
    IF(lien="First",1.00,
        IF(lien="Second",1.50,
            1.70)))</f>
        <v/>
      </c>
      <c r="K2318">
        <f>LET(
    purpose,'Loan Tape (S&amp;P)'!R2318,
    IF(purpose="Purchase",1.00,
        IF(purpose="Remortgage",1.00,
            1.20)))</f>
        <v/>
      </c>
      <c r="L2318">
        <f>LET(
    arrears_months,'Loan Tape (S&amp;P)'!AN2318,
    IF(arrears_months=0,1.00,
    IF(arrears_months=1,3.00,
    IF(arrears_months=2,5.00,
    IF(arrears_months=3,8.00,
    IF(arrears_months=4,10.00,
    IF(arrears_months=5,12.00,15.00)))))))</f>
        <v/>
      </c>
      <c r="M2318">
        <f>LET(
    seasoning_years,DATEDIF('Loan Tape (S&amp;P)'!K2318,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18">
        <f>IF(AND('Loan Tape (S&amp;P)'!U2318="Yes",
        'Loan Tape (S&amp;P)'!T2318&lt;&gt;"Yes",
        DATEDIF('Loan Tape (S&amp;P)'!K2318, TODAY(), "M")&lt;18),
    1.10,
    1.00)</f>
        <v/>
      </c>
      <c r="O2318">
        <f>IF('Loan Tape (S&amp;P)'!T2318="Yes",
    1.35,
    1.00)</f>
        <v/>
      </c>
      <c r="P2318">
        <f>IF('Loan Tape (S&amp;P)'!S2318="Yes",
    1.15,
    1.00)</f>
        <v/>
      </c>
      <c r="Q2318">
        <f>IF('Loan Tape (S&amp;P)'!V2318="Yes",
    1.20,
    1.00)</f>
        <v/>
      </c>
      <c r="T2318">
        <f>LET(
    payment_method,'Loan Tape (S&amp;P)'!P2318,
    occupancy,'Loan Tape (S&amp;P)'!N2318,
    maturity_date,'Loan Tape (S&amp;P)'!L2318,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19">
      <c r="J2319">
        <f>LET(
    lien,'Loan Tape (S&amp;P)'!Q2319,
    IF(lien="First",1.00,
        IF(lien="Second",1.50,
            1.70)))</f>
        <v/>
      </c>
      <c r="K2319">
        <f>LET(
    purpose,'Loan Tape (S&amp;P)'!R2319,
    IF(purpose="Purchase",1.00,
        IF(purpose="Remortgage",1.00,
            1.20)))</f>
        <v/>
      </c>
      <c r="L2319">
        <f>LET(
    arrears_months,'Loan Tape (S&amp;P)'!AN2319,
    IF(arrears_months=0,1.00,
    IF(arrears_months=1,3.00,
    IF(arrears_months=2,5.00,
    IF(arrears_months=3,8.00,
    IF(arrears_months=4,10.00,
    IF(arrears_months=5,12.00,15.00)))))))</f>
        <v/>
      </c>
      <c r="M2319">
        <f>LET(
    seasoning_years,DATEDIF('Loan Tape (S&amp;P)'!K2319,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19">
        <f>IF(AND('Loan Tape (S&amp;P)'!U2319="Yes",
        'Loan Tape (S&amp;P)'!T2319&lt;&gt;"Yes",
        DATEDIF('Loan Tape (S&amp;P)'!K2319, TODAY(), "M")&lt;18),
    1.10,
    1.00)</f>
        <v/>
      </c>
      <c r="O2319">
        <f>IF('Loan Tape (S&amp;P)'!T2319="Yes",
    1.35,
    1.00)</f>
        <v/>
      </c>
      <c r="P2319">
        <f>IF('Loan Tape (S&amp;P)'!S2319="Yes",
    1.15,
    1.00)</f>
        <v/>
      </c>
      <c r="Q2319">
        <f>IF('Loan Tape (S&amp;P)'!V2319="Yes",
    1.20,
    1.00)</f>
        <v/>
      </c>
      <c r="T2319">
        <f>LET(
    payment_method,'Loan Tape (S&amp;P)'!P2319,
    occupancy,'Loan Tape (S&amp;P)'!N2319,
    maturity_date,'Loan Tape (S&amp;P)'!L2319,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20">
      <c r="J2320">
        <f>LET(
    lien,'Loan Tape (S&amp;P)'!Q2320,
    IF(lien="First",1.00,
        IF(lien="Second",1.50,
            1.70)))</f>
        <v/>
      </c>
      <c r="K2320">
        <f>LET(
    purpose,'Loan Tape (S&amp;P)'!R2320,
    IF(purpose="Purchase",1.00,
        IF(purpose="Remortgage",1.00,
            1.20)))</f>
        <v/>
      </c>
      <c r="L2320">
        <f>LET(
    arrears_months,'Loan Tape (S&amp;P)'!AN2320,
    IF(arrears_months=0,1.00,
    IF(arrears_months=1,3.00,
    IF(arrears_months=2,5.00,
    IF(arrears_months=3,8.00,
    IF(arrears_months=4,10.00,
    IF(arrears_months=5,12.00,15.00)))))))</f>
        <v/>
      </c>
      <c r="M2320">
        <f>LET(
    seasoning_years,DATEDIF('Loan Tape (S&amp;P)'!K2320,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20">
        <f>IF(AND('Loan Tape (S&amp;P)'!U2320="Yes",
        'Loan Tape (S&amp;P)'!T2320&lt;&gt;"Yes",
        DATEDIF('Loan Tape (S&amp;P)'!K2320, TODAY(), "M")&lt;18),
    1.10,
    1.00)</f>
        <v/>
      </c>
      <c r="O2320">
        <f>IF('Loan Tape (S&amp;P)'!T2320="Yes",
    1.35,
    1.00)</f>
        <v/>
      </c>
      <c r="P2320">
        <f>IF('Loan Tape (S&amp;P)'!S2320="Yes",
    1.15,
    1.00)</f>
        <v/>
      </c>
      <c r="Q2320">
        <f>IF('Loan Tape (S&amp;P)'!V2320="Yes",
    1.20,
    1.00)</f>
        <v/>
      </c>
      <c r="T2320">
        <f>LET(
    payment_method,'Loan Tape (S&amp;P)'!P2320,
    occupancy,'Loan Tape (S&amp;P)'!N2320,
    maturity_date,'Loan Tape (S&amp;P)'!L2320,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21">
      <c r="J2321">
        <f>LET(
    lien,'Loan Tape (S&amp;P)'!Q2321,
    IF(lien="First",1.00,
        IF(lien="Second",1.50,
            1.70)))</f>
        <v/>
      </c>
      <c r="K2321">
        <f>LET(
    purpose,'Loan Tape (S&amp;P)'!R2321,
    IF(purpose="Purchase",1.00,
        IF(purpose="Remortgage",1.00,
            1.20)))</f>
        <v/>
      </c>
      <c r="L2321">
        <f>LET(
    arrears_months,'Loan Tape (S&amp;P)'!AN2321,
    IF(arrears_months=0,1.00,
    IF(arrears_months=1,3.00,
    IF(arrears_months=2,5.00,
    IF(arrears_months=3,8.00,
    IF(arrears_months=4,10.00,
    IF(arrears_months=5,12.00,15.00)))))))</f>
        <v/>
      </c>
      <c r="M2321">
        <f>LET(
    seasoning_years,DATEDIF('Loan Tape (S&amp;P)'!K2321,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21">
        <f>IF(AND('Loan Tape (S&amp;P)'!U2321="Yes",
        'Loan Tape (S&amp;P)'!T2321&lt;&gt;"Yes",
        DATEDIF('Loan Tape (S&amp;P)'!K2321, TODAY(), "M")&lt;18),
    1.10,
    1.00)</f>
        <v/>
      </c>
      <c r="O2321">
        <f>IF('Loan Tape (S&amp;P)'!T2321="Yes",
    1.35,
    1.00)</f>
        <v/>
      </c>
      <c r="P2321">
        <f>IF('Loan Tape (S&amp;P)'!S2321="Yes",
    1.15,
    1.00)</f>
        <v/>
      </c>
      <c r="Q2321">
        <f>IF('Loan Tape (S&amp;P)'!V2321="Yes",
    1.20,
    1.00)</f>
        <v/>
      </c>
      <c r="T2321">
        <f>LET(
    payment_method,'Loan Tape (S&amp;P)'!P2321,
    occupancy,'Loan Tape (S&amp;P)'!N2321,
    maturity_date,'Loan Tape (S&amp;P)'!L2321,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22">
      <c r="J2322">
        <f>LET(
    lien,'Loan Tape (S&amp;P)'!Q2322,
    IF(lien="First",1.00,
        IF(lien="Second",1.50,
            1.70)))</f>
        <v/>
      </c>
      <c r="K2322">
        <f>LET(
    purpose,'Loan Tape (S&amp;P)'!R2322,
    IF(purpose="Purchase",1.00,
        IF(purpose="Remortgage",1.00,
            1.20)))</f>
        <v/>
      </c>
      <c r="L2322">
        <f>LET(
    arrears_months,'Loan Tape (S&amp;P)'!AN2322,
    IF(arrears_months=0,1.00,
    IF(arrears_months=1,3.00,
    IF(arrears_months=2,5.00,
    IF(arrears_months=3,8.00,
    IF(arrears_months=4,10.00,
    IF(arrears_months=5,12.00,15.00)))))))</f>
        <v/>
      </c>
      <c r="M2322">
        <f>LET(
    seasoning_years,DATEDIF('Loan Tape (S&amp;P)'!K2322,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22">
        <f>IF(AND('Loan Tape (S&amp;P)'!U2322="Yes",
        'Loan Tape (S&amp;P)'!T2322&lt;&gt;"Yes",
        DATEDIF('Loan Tape (S&amp;P)'!K2322, TODAY(), "M")&lt;18),
    1.10,
    1.00)</f>
        <v/>
      </c>
      <c r="O2322">
        <f>IF('Loan Tape (S&amp;P)'!T2322="Yes",
    1.35,
    1.00)</f>
        <v/>
      </c>
      <c r="P2322">
        <f>IF('Loan Tape (S&amp;P)'!S2322="Yes",
    1.15,
    1.00)</f>
        <v/>
      </c>
      <c r="Q2322">
        <f>IF('Loan Tape (S&amp;P)'!V2322="Yes",
    1.20,
    1.00)</f>
        <v/>
      </c>
      <c r="T2322">
        <f>LET(
    payment_method,'Loan Tape (S&amp;P)'!P2322,
    occupancy,'Loan Tape (S&amp;P)'!N2322,
    maturity_date,'Loan Tape (S&amp;P)'!L2322,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23">
      <c r="J2323">
        <f>LET(
    lien,'Loan Tape (S&amp;P)'!Q2323,
    IF(lien="First",1.00,
        IF(lien="Second",1.50,
            1.70)))</f>
        <v/>
      </c>
      <c r="K2323">
        <f>LET(
    purpose,'Loan Tape (S&amp;P)'!R2323,
    IF(purpose="Purchase",1.00,
        IF(purpose="Remortgage",1.00,
            1.20)))</f>
        <v/>
      </c>
      <c r="L2323">
        <f>LET(
    arrears_months,'Loan Tape (S&amp;P)'!AN2323,
    IF(arrears_months=0,1.00,
    IF(arrears_months=1,3.00,
    IF(arrears_months=2,5.00,
    IF(arrears_months=3,8.00,
    IF(arrears_months=4,10.00,
    IF(arrears_months=5,12.00,15.00)))))))</f>
        <v/>
      </c>
      <c r="M2323">
        <f>LET(
    seasoning_years,DATEDIF('Loan Tape (S&amp;P)'!K2323,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23">
        <f>IF(AND('Loan Tape (S&amp;P)'!U2323="Yes",
        'Loan Tape (S&amp;P)'!T2323&lt;&gt;"Yes",
        DATEDIF('Loan Tape (S&amp;P)'!K2323, TODAY(), "M")&lt;18),
    1.10,
    1.00)</f>
        <v/>
      </c>
      <c r="O2323">
        <f>IF('Loan Tape (S&amp;P)'!T2323="Yes",
    1.35,
    1.00)</f>
        <v/>
      </c>
      <c r="P2323">
        <f>IF('Loan Tape (S&amp;P)'!S2323="Yes",
    1.15,
    1.00)</f>
        <v/>
      </c>
      <c r="Q2323">
        <f>IF('Loan Tape (S&amp;P)'!V2323="Yes",
    1.20,
    1.00)</f>
        <v/>
      </c>
      <c r="T2323">
        <f>LET(
    payment_method,'Loan Tape (S&amp;P)'!P2323,
    occupancy,'Loan Tape (S&amp;P)'!N2323,
    maturity_date,'Loan Tape (S&amp;P)'!L2323,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24">
      <c r="J2324">
        <f>LET(
    lien,'Loan Tape (S&amp;P)'!Q2324,
    IF(lien="First",1.00,
        IF(lien="Second",1.50,
            1.70)))</f>
        <v/>
      </c>
      <c r="K2324">
        <f>LET(
    purpose,'Loan Tape (S&amp;P)'!R2324,
    IF(purpose="Purchase",1.00,
        IF(purpose="Remortgage",1.00,
            1.20)))</f>
        <v/>
      </c>
      <c r="L2324">
        <f>LET(
    arrears_months,'Loan Tape (S&amp;P)'!AN2324,
    IF(arrears_months=0,1.00,
    IF(arrears_months=1,3.00,
    IF(arrears_months=2,5.00,
    IF(arrears_months=3,8.00,
    IF(arrears_months=4,10.00,
    IF(arrears_months=5,12.00,15.00)))))))</f>
        <v/>
      </c>
      <c r="M2324">
        <f>LET(
    seasoning_years,DATEDIF('Loan Tape (S&amp;P)'!K2324,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24">
        <f>IF(AND('Loan Tape (S&amp;P)'!U2324="Yes",
        'Loan Tape (S&amp;P)'!T2324&lt;&gt;"Yes",
        DATEDIF('Loan Tape (S&amp;P)'!K2324, TODAY(), "M")&lt;18),
    1.10,
    1.00)</f>
        <v/>
      </c>
      <c r="O2324">
        <f>IF('Loan Tape (S&amp;P)'!T2324="Yes",
    1.35,
    1.00)</f>
        <v/>
      </c>
      <c r="P2324">
        <f>IF('Loan Tape (S&amp;P)'!S2324="Yes",
    1.15,
    1.00)</f>
        <v/>
      </c>
      <c r="Q2324">
        <f>IF('Loan Tape (S&amp;P)'!V2324="Yes",
    1.20,
    1.00)</f>
        <v/>
      </c>
      <c r="T2324">
        <f>LET(
    payment_method,'Loan Tape (S&amp;P)'!P2324,
    occupancy,'Loan Tape (S&amp;P)'!N2324,
    maturity_date,'Loan Tape (S&amp;P)'!L2324,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25">
      <c r="J2325">
        <f>LET(
    lien,'Loan Tape (S&amp;P)'!Q2325,
    IF(lien="First",1.00,
        IF(lien="Second",1.50,
            1.70)))</f>
        <v/>
      </c>
      <c r="K2325">
        <f>LET(
    purpose,'Loan Tape (S&amp;P)'!R2325,
    IF(purpose="Purchase",1.00,
        IF(purpose="Remortgage",1.00,
            1.20)))</f>
        <v/>
      </c>
      <c r="L2325">
        <f>LET(
    arrears_months,'Loan Tape (S&amp;P)'!AN2325,
    IF(arrears_months=0,1.00,
    IF(arrears_months=1,3.00,
    IF(arrears_months=2,5.00,
    IF(arrears_months=3,8.00,
    IF(arrears_months=4,10.00,
    IF(arrears_months=5,12.00,15.00)))))))</f>
        <v/>
      </c>
      <c r="M2325">
        <f>LET(
    seasoning_years,DATEDIF('Loan Tape (S&amp;P)'!K2325,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25">
        <f>IF(AND('Loan Tape (S&amp;P)'!U2325="Yes",
        'Loan Tape (S&amp;P)'!T2325&lt;&gt;"Yes",
        DATEDIF('Loan Tape (S&amp;P)'!K2325, TODAY(), "M")&lt;18),
    1.10,
    1.00)</f>
        <v/>
      </c>
      <c r="O2325">
        <f>IF('Loan Tape (S&amp;P)'!T2325="Yes",
    1.35,
    1.00)</f>
        <v/>
      </c>
      <c r="P2325">
        <f>IF('Loan Tape (S&amp;P)'!S2325="Yes",
    1.15,
    1.00)</f>
        <v/>
      </c>
      <c r="Q2325">
        <f>IF('Loan Tape (S&amp;P)'!V2325="Yes",
    1.20,
    1.00)</f>
        <v/>
      </c>
      <c r="T2325">
        <f>LET(
    payment_method,'Loan Tape (S&amp;P)'!P2325,
    occupancy,'Loan Tape (S&amp;P)'!N2325,
    maturity_date,'Loan Tape (S&amp;P)'!L2325,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26">
      <c r="J2326">
        <f>LET(
    lien,'Loan Tape (S&amp;P)'!Q2326,
    IF(lien="First",1.00,
        IF(lien="Second",1.50,
            1.70)))</f>
        <v/>
      </c>
      <c r="K2326">
        <f>LET(
    purpose,'Loan Tape (S&amp;P)'!R2326,
    IF(purpose="Purchase",1.00,
        IF(purpose="Remortgage",1.00,
            1.20)))</f>
        <v/>
      </c>
      <c r="L2326">
        <f>LET(
    arrears_months,'Loan Tape (S&amp;P)'!AN2326,
    IF(arrears_months=0,1.00,
    IF(arrears_months=1,3.00,
    IF(arrears_months=2,5.00,
    IF(arrears_months=3,8.00,
    IF(arrears_months=4,10.00,
    IF(arrears_months=5,12.00,15.00)))))))</f>
        <v/>
      </c>
      <c r="M2326">
        <f>LET(
    seasoning_years,DATEDIF('Loan Tape (S&amp;P)'!K2326,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26">
        <f>IF(AND('Loan Tape (S&amp;P)'!U2326="Yes",
        'Loan Tape (S&amp;P)'!T2326&lt;&gt;"Yes",
        DATEDIF('Loan Tape (S&amp;P)'!K2326, TODAY(), "M")&lt;18),
    1.10,
    1.00)</f>
        <v/>
      </c>
      <c r="O2326">
        <f>IF('Loan Tape (S&amp;P)'!T2326="Yes",
    1.35,
    1.00)</f>
        <v/>
      </c>
      <c r="P2326">
        <f>IF('Loan Tape (S&amp;P)'!S2326="Yes",
    1.15,
    1.00)</f>
        <v/>
      </c>
      <c r="Q2326">
        <f>IF('Loan Tape (S&amp;P)'!V2326="Yes",
    1.20,
    1.00)</f>
        <v/>
      </c>
      <c r="T2326">
        <f>LET(
    payment_method,'Loan Tape (S&amp;P)'!P2326,
    occupancy,'Loan Tape (S&amp;P)'!N2326,
    maturity_date,'Loan Tape (S&amp;P)'!L2326,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27">
      <c r="J2327">
        <f>LET(
    lien,'Loan Tape (S&amp;P)'!Q2327,
    IF(lien="First",1.00,
        IF(lien="Second",1.50,
            1.70)))</f>
        <v/>
      </c>
      <c r="K2327">
        <f>LET(
    purpose,'Loan Tape (S&amp;P)'!R2327,
    IF(purpose="Purchase",1.00,
        IF(purpose="Remortgage",1.00,
            1.20)))</f>
        <v/>
      </c>
      <c r="L2327">
        <f>LET(
    arrears_months,'Loan Tape (S&amp;P)'!AN2327,
    IF(arrears_months=0,1.00,
    IF(arrears_months=1,3.00,
    IF(arrears_months=2,5.00,
    IF(arrears_months=3,8.00,
    IF(arrears_months=4,10.00,
    IF(arrears_months=5,12.00,15.00)))))))</f>
        <v/>
      </c>
      <c r="M2327">
        <f>LET(
    seasoning_years,DATEDIF('Loan Tape (S&amp;P)'!K2327,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27">
        <f>IF(AND('Loan Tape (S&amp;P)'!U2327="Yes",
        'Loan Tape (S&amp;P)'!T2327&lt;&gt;"Yes",
        DATEDIF('Loan Tape (S&amp;P)'!K2327, TODAY(), "M")&lt;18),
    1.10,
    1.00)</f>
        <v/>
      </c>
      <c r="O2327">
        <f>IF('Loan Tape (S&amp;P)'!T2327="Yes",
    1.35,
    1.00)</f>
        <v/>
      </c>
      <c r="P2327">
        <f>IF('Loan Tape (S&amp;P)'!S2327="Yes",
    1.15,
    1.00)</f>
        <v/>
      </c>
      <c r="Q2327">
        <f>IF('Loan Tape (S&amp;P)'!V2327="Yes",
    1.20,
    1.00)</f>
        <v/>
      </c>
      <c r="T2327">
        <f>LET(
    payment_method,'Loan Tape (S&amp;P)'!P2327,
    occupancy,'Loan Tape (S&amp;P)'!N2327,
    maturity_date,'Loan Tape (S&amp;P)'!L2327,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28">
      <c r="J2328">
        <f>LET(
    lien,'Loan Tape (S&amp;P)'!Q2328,
    IF(lien="First",1.00,
        IF(lien="Second",1.50,
            1.70)))</f>
        <v/>
      </c>
      <c r="K2328">
        <f>LET(
    purpose,'Loan Tape (S&amp;P)'!R2328,
    IF(purpose="Purchase",1.00,
        IF(purpose="Remortgage",1.00,
            1.20)))</f>
        <v/>
      </c>
      <c r="L2328">
        <f>LET(
    arrears_months,'Loan Tape (S&amp;P)'!AN2328,
    IF(arrears_months=0,1.00,
    IF(arrears_months=1,3.00,
    IF(arrears_months=2,5.00,
    IF(arrears_months=3,8.00,
    IF(arrears_months=4,10.00,
    IF(arrears_months=5,12.00,15.00)))))))</f>
        <v/>
      </c>
      <c r="M2328">
        <f>LET(
    seasoning_years,DATEDIF('Loan Tape (S&amp;P)'!K2328,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28">
        <f>IF(AND('Loan Tape (S&amp;P)'!U2328="Yes",
        'Loan Tape (S&amp;P)'!T2328&lt;&gt;"Yes",
        DATEDIF('Loan Tape (S&amp;P)'!K2328, TODAY(), "M")&lt;18),
    1.10,
    1.00)</f>
        <v/>
      </c>
      <c r="O2328">
        <f>IF('Loan Tape (S&amp;P)'!T2328="Yes",
    1.35,
    1.00)</f>
        <v/>
      </c>
      <c r="P2328">
        <f>IF('Loan Tape (S&amp;P)'!S2328="Yes",
    1.15,
    1.00)</f>
        <v/>
      </c>
      <c r="Q2328">
        <f>IF('Loan Tape (S&amp;P)'!V2328="Yes",
    1.20,
    1.00)</f>
        <v/>
      </c>
      <c r="T2328">
        <f>LET(
    payment_method,'Loan Tape (S&amp;P)'!P2328,
    occupancy,'Loan Tape (S&amp;P)'!N2328,
    maturity_date,'Loan Tape (S&amp;P)'!L2328,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29">
      <c r="J2329">
        <f>LET(
    lien,'Loan Tape (S&amp;P)'!Q2329,
    IF(lien="First",1.00,
        IF(lien="Second",1.50,
            1.70)))</f>
        <v/>
      </c>
      <c r="K2329">
        <f>LET(
    purpose,'Loan Tape (S&amp;P)'!R2329,
    IF(purpose="Purchase",1.00,
        IF(purpose="Remortgage",1.00,
            1.20)))</f>
        <v/>
      </c>
      <c r="L2329">
        <f>LET(
    arrears_months,'Loan Tape (S&amp;P)'!AN2329,
    IF(arrears_months=0,1.00,
    IF(arrears_months=1,3.00,
    IF(arrears_months=2,5.00,
    IF(arrears_months=3,8.00,
    IF(arrears_months=4,10.00,
    IF(arrears_months=5,12.00,15.00)))))))</f>
        <v/>
      </c>
      <c r="M2329">
        <f>LET(
    seasoning_years,DATEDIF('Loan Tape (S&amp;P)'!K2329,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29">
        <f>IF(AND('Loan Tape (S&amp;P)'!U2329="Yes",
        'Loan Tape (S&amp;P)'!T2329&lt;&gt;"Yes",
        DATEDIF('Loan Tape (S&amp;P)'!K2329, TODAY(), "M")&lt;18),
    1.10,
    1.00)</f>
        <v/>
      </c>
      <c r="O2329">
        <f>IF('Loan Tape (S&amp;P)'!T2329="Yes",
    1.35,
    1.00)</f>
        <v/>
      </c>
      <c r="P2329">
        <f>IF('Loan Tape (S&amp;P)'!S2329="Yes",
    1.15,
    1.00)</f>
        <v/>
      </c>
      <c r="Q2329">
        <f>IF('Loan Tape (S&amp;P)'!V2329="Yes",
    1.20,
    1.00)</f>
        <v/>
      </c>
      <c r="T2329">
        <f>LET(
    payment_method,'Loan Tape (S&amp;P)'!P2329,
    occupancy,'Loan Tape (S&amp;P)'!N2329,
    maturity_date,'Loan Tape (S&amp;P)'!L2329,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30">
      <c r="J2330">
        <f>LET(
    lien,'Loan Tape (S&amp;P)'!Q2330,
    IF(lien="First",1.00,
        IF(lien="Second",1.50,
            1.70)))</f>
        <v/>
      </c>
      <c r="K2330">
        <f>LET(
    purpose,'Loan Tape (S&amp;P)'!R2330,
    IF(purpose="Purchase",1.00,
        IF(purpose="Remortgage",1.00,
            1.20)))</f>
        <v/>
      </c>
      <c r="L2330">
        <f>LET(
    arrears_months,'Loan Tape (S&amp;P)'!AN2330,
    IF(arrears_months=0,1.00,
    IF(arrears_months=1,3.00,
    IF(arrears_months=2,5.00,
    IF(arrears_months=3,8.00,
    IF(arrears_months=4,10.00,
    IF(arrears_months=5,12.00,15.00)))))))</f>
        <v/>
      </c>
      <c r="M2330">
        <f>LET(
    seasoning_years,DATEDIF('Loan Tape (S&amp;P)'!K2330,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30">
        <f>IF(AND('Loan Tape (S&amp;P)'!U2330="Yes",
        'Loan Tape (S&amp;P)'!T2330&lt;&gt;"Yes",
        DATEDIF('Loan Tape (S&amp;P)'!K2330, TODAY(), "M")&lt;18),
    1.10,
    1.00)</f>
        <v/>
      </c>
      <c r="O2330">
        <f>IF('Loan Tape (S&amp;P)'!T2330="Yes",
    1.35,
    1.00)</f>
        <v/>
      </c>
      <c r="P2330">
        <f>IF('Loan Tape (S&amp;P)'!S2330="Yes",
    1.15,
    1.00)</f>
        <v/>
      </c>
      <c r="Q2330">
        <f>IF('Loan Tape (S&amp;P)'!V2330="Yes",
    1.20,
    1.00)</f>
        <v/>
      </c>
      <c r="T2330">
        <f>LET(
    payment_method,'Loan Tape (S&amp;P)'!P2330,
    occupancy,'Loan Tape (S&amp;P)'!N2330,
    maturity_date,'Loan Tape (S&amp;P)'!L2330,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31">
      <c r="J2331">
        <f>LET(
    lien,'Loan Tape (S&amp;P)'!Q2331,
    IF(lien="First",1.00,
        IF(lien="Second",1.50,
            1.70)))</f>
        <v/>
      </c>
      <c r="K2331">
        <f>LET(
    purpose,'Loan Tape (S&amp;P)'!R2331,
    IF(purpose="Purchase",1.00,
        IF(purpose="Remortgage",1.00,
            1.20)))</f>
        <v/>
      </c>
      <c r="L2331">
        <f>LET(
    arrears_months,'Loan Tape (S&amp;P)'!AN2331,
    IF(arrears_months=0,1.00,
    IF(arrears_months=1,3.00,
    IF(arrears_months=2,5.00,
    IF(arrears_months=3,8.00,
    IF(arrears_months=4,10.00,
    IF(arrears_months=5,12.00,15.00)))))))</f>
        <v/>
      </c>
      <c r="M2331">
        <f>LET(
    seasoning_years,DATEDIF('Loan Tape (S&amp;P)'!K2331,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31">
        <f>IF(AND('Loan Tape (S&amp;P)'!U2331="Yes",
        'Loan Tape (S&amp;P)'!T2331&lt;&gt;"Yes",
        DATEDIF('Loan Tape (S&amp;P)'!K2331, TODAY(), "M")&lt;18),
    1.10,
    1.00)</f>
        <v/>
      </c>
      <c r="O2331">
        <f>IF('Loan Tape (S&amp;P)'!T2331="Yes",
    1.35,
    1.00)</f>
        <v/>
      </c>
      <c r="P2331">
        <f>IF('Loan Tape (S&amp;P)'!S2331="Yes",
    1.15,
    1.00)</f>
        <v/>
      </c>
      <c r="Q2331">
        <f>IF('Loan Tape (S&amp;P)'!V2331="Yes",
    1.20,
    1.00)</f>
        <v/>
      </c>
      <c r="T2331">
        <f>LET(
    payment_method,'Loan Tape (S&amp;P)'!P2331,
    occupancy,'Loan Tape (S&amp;P)'!N2331,
    maturity_date,'Loan Tape (S&amp;P)'!L2331,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32">
      <c r="J2332">
        <f>LET(
    lien,'Loan Tape (S&amp;P)'!Q2332,
    IF(lien="First",1.00,
        IF(lien="Second",1.50,
            1.70)))</f>
        <v/>
      </c>
      <c r="K2332">
        <f>LET(
    purpose,'Loan Tape (S&amp;P)'!R2332,
    IF(purpose="Purchase",1.00,
        IF(purpose="Remortgage",1.00,
            1.20)))</f>
        <v/>
      </c>
      <c r="L2332">
        <f>LET(
    arrears_months,'Loan Tape (S&amp;P)'!AN2332,
    IF(arrears_months=0,1.00,
    IF(arrears_months=1,3.00,
    IF(arrears_months=2,5.00,
    IF(arrears_months=3,8.00,
    IF(arrears_months=4,10.00,
    IF(arrears_months=5,12.00,15.00)))))))</f>
        <v/>
      </c>
      <c r="M2332">
        <f>LET(
    seasoning_years,DATEDIF('Loan Tape (S&amp;P)'!K2332,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32">
        <f>IF(AND('Loan Tape (S&amp;P)'!U2332="Yes",
        'Loan Tape (S&amp;P)'!T2332&lt;&gt;"Yes",
        DATEDIF('Loan Tape (S&amp;P)'!K2332, TODAY(), "M")&lt;18),
    1.10,
    1.00)</f>
        <v/>
      </c>
      <c r="O2332">
        <f>IF('Loan Tape (S&amp;P)'!T2332="Yes",
    1.35,
    1.00)</f>
        <v/>
      </c>
      <c r="P2332">
        <f>IF('Loan Tape (S&amp;P)'!S2332="Yes",
    1.15,
    1.00)</f>
        <v/>
      </c>
      <c r="Q2332">
        <f>IF('Loan Tape (S&amp;P)'!V2332="Yes",
    1.20,
    1.00)</f>
        <v/>
      </c>
      <c r="T2332">
        <f>LET(
    payment_method,'Loan Tape (S&amp;P)'!P2332,
    occupancy,'Loan Tape (S&amp;P)'!N2332,
    maturity_date,'Loan Tape (S&amp;P)'!L2332,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33">
      <c r="J2333">
        <f>LET(
    lien,'Loan Tape (S&amp;P)'!Q2333,
    IF(lien="First",1.00,
        IF(lien="Second",1.50,
            1.70)))</f>
        <v/>
      </c>
      <c r="K2333">
        <f>LET(
    purpose,'Loan Tape (S&amp;P)'!R2333,
    IF(purpose="Purchase",1.00,
        IF(purpose="Remortgage",1.00,
            1.20)))</f>
        <v/>
      </c>
      <c r="L2333">
        <f>LET(
    arrears_months,'Loan Tape (S&amp;P)'!AN2333,
    IF(arrears_months=0,1.00,
    IF(arrears_months=1,3.00,
    IF(arrears_months=2,5.00,
    IF(arrears_months=3,8.00,
    IF(arrears_months=4,10.00,
    IF(arrears_months=5,12.00,15.00)))))))</f>
        <v/>
      </c>
      <c r="M2333">
        <f>LET(
    seasoning_years,DATEDIF('Loan Tape (S&amp;P)'!K2333,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33">
        <f>IF(AND('Loan Tape (S&amp;P)'!U2333="Yes",
        'Loan Tape (S&amp;P)'!T2333&lt;&gt;"Yes",
        DATEDIF('Loan Tape (S&amp;P)'!K2333, TODAY(), "M")&lt;18),
    1.10,
    1.00)</f>
        <v/>
      </c>
      <c r="O2333">
        <f>IF('Loan Tape (S&amp;P)'!T2333="Yes",
    1.35,
    1.00)</f>
        <v/>
      </c>
      <c r="P2333">
        <f>IF('Loan Tape (S&amp;P)'!S2333="Yes",
    1.15,
    1.00)</f>
        <v/>
      </c>
      <c r="Q2333">
        <f>IF('Loan Tape (S&amp;P)'!V2333="Yes",
    1.20,
    1.00)</f>
        <v/>
      </c>
      <c r="T2333">
        <f>LET(
    payment_method,'Loan Tape (S&amp;P)'!P2333,
    occupancy,'Loan Tape (S&amp;P)'!N2333,
    maturity_date,'Loan Tape (S&amp;P)'!L2333,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34">
      <c r="J2334">
        <f>LET(
    lien,'Loan Tape (S&amp;P)'!Q2334,
    IF(lien="First",1.00,
        IF(lien="Second",1.50,
            1.70)))</f>
        <v/>
      </c>
      <c r="K2334">
        <f>LET(
    purpose,'Loan Tape (S&amp;P)'!R2334,
    IF(purpose="Purchase",1.00,
        IF(purpose="Remortgage",1.00,
            1.20)))</f>
        <v/>
      </c>
      <c r="L2334">
        <f>LET(
    arrears_months,'Loan Tape (S&amp;P)'!AN2334,
    IF(arrears_months=0,1.00,
    IF(arrears_months=1,3.00,
    IF(arrears_months=2,5.00,
    IF(arrears_months=3,8.00,
    IF(arrears_months=4,10.00,
    IF(arrears_months=5,12.00,15.00)))))))</f>
        <v/>
      </c>
      <c r="M2334">
        <f>LET(
    seasoning_years,DATEDIF('Loan Tape (S&amp;P)'!K2334,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34">
        <f>IF(AND('Loan Tape (S&amp;P)'!U2334="Yes",
        'Loan Tape (S&amp;P)'!T2334&lt;&gt;"Yes",
        DATEDIF('Loan Tape (S&amp;P)'!K2334, TODAY(), "M")&lt;18),
    1.10,
    1.00)</f>
        <v/>
      </c>
      <c r="O2334">
        <f>IF('Loan Tape (S&amp;P)'!T2334="Yes",
    1.35,
    1.00)</f>
        <v/>
      </c>
      <c r="P2334">
        <f>IF('Loan Tape (S&amp;P)'!S2334="Yes",
    1.15,
    1.00)</f>
        <v/>
      </c>
      <c r="Q2334">
        <f>IF('Loan Tape (S&amp;P)'!V2334="Yes",
    1.20,
    1.00)</f>
        <v/>
      </c>
      <c r="T2334">
        <f>LET(
    payment_method,'Loan Tape (S&amp;P)'!P2334,
    occupancy,'Loan Tape (S&amp;P)'!N2334,
    maturity_date,'Loan Tape (S&amp;P)'!L2334,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35">
      <c r="J2335">
        <f>LET(
    lien,'Loan Tape (S&amp;P)'!Q2335,
    IF(lien="First",1.00,
        IF(lien="Second",1.50,
            1.70)))</f>
        <v/>
      </c>
      <c r="K2335">
        <f>LET(
    purpose,'Loan Tape (S&amp;P)'!R2335,
    IF(purpose="Purchase",1.00,
        IF(purpose="Remortgage",1.00,
            1.20)))</f>
        <v/>
      </c>
      <c r="L2335">
        <f>LET(
    arrears_months,'Loan Tape (S&amp;P)'!AN2335,
    IF(arrears_months=0,1.00,
    IF(arrears_months=1,3.00,
    IF(arrears_months=2,5.00,
    IF(arrears_months=3,8.00,
    IF(arrears_months=4,10.00,
    IF(arrears_months=5,12.00,15.00)))))))</f>
        <v/>
      </c>
      <c r="M2335">
        <f>LET(
    seasoning_years,DATEDIF('Loan Tape (S&amp;P)'!K2335,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35">
        <f>IF(AND('Loan Tape (S&amp;P)'!U2335="Yes",
        'Loan Tape (S&amp;P)'!T2335&lt;&gt;"Yes",
        DATEDIF('Loan Tape (S&amp;P)'!K2335, TODAY(), "M")&lt;18),
    1.10,
    1.00)</f>
        <v/>
      </c>
      <c r="O2335">
        <f>IF('Loan Tape (S&amp;P)'!T2335="Yes",
    1.35,
    1.00)</f>
        <v/>
      </c>
      <c r="P2335">
        <f>IF('Loan Tape (S&amp;P)'!S2335="Yes",
    1.15,
    1.00)</f>
        <v/>
      </c>
      <c r="Q2335">
        <f>IF('Loan Tape (S&amp;P)'!V2335="Yes",
    1.20,
    1.00)</f>
        <v/>
      </c>
      <c r="T2335">
        <f>LET(
    payment_method,'Loan Tape (S&amp;P)'!P2335,
    occupancy,'Loan Tape (S&amp;P)'!N2335,
    maturity_date,'Loan Tape (S&amp;P)'!L2335,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36">
      <c r="J2336">
        <f>LET(
    lien,'Loan Tape (S&amp;P)'!Q2336,
    IF(lien="First",1.00,
        IF(lien="Second",1.50,
            1.70)))</f>
        <v/>
      </c>
      <c r="K2336">
        <f>LET(
    purpose,'Loan Tape (S&amp;P)'!R2336,
    IF(purpose="Purchase",1.00,
        IF(purpose="Remortgage",1.00,
            1.20)))</f>
        <v/>
      </c>
      <c r="L2336">
        <f>LET(
    arrears_months,'Loan Tape (S&amp;P)'!AN2336,
    IF(arrears_months=0,1.00,
    IF(arrears_months=1,3.00,
    IF(arrears_months=2,5.00,
    IF(arrears_months=3,8.00,
    IF(arrears_months=4,10.00,
    IF(arrears_months=5,12.00,15.00)))))))</f>
        <v/>
      </c>
      <c r="M2336">
        <f>LET(
    seasoning_years,DATEDIF('Loan Tape (S&amp;P)'!K2336,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36">
        <f>IF(AND('Loan Tape (S&amp;P)'!U2336="Yes",
        'Loan Tape (S&amp;P)'!T2336&lt;&gt;"Yes",
        DATEDIF('Loan Tape (S&amp;P)'!K2336, TODAY(), "M")&lt;18),
    1.10,
    1.00)</f>
        <v/>
      </c>
      <c r="O2336">
        <f>IF('Loan Tape (S&amp;P)'!T2336="Yes",
    1.35,
    1.00)</f>
        <v/>
      </c>
      <c r="P2336">
        <f>IF('Loan Tape (S&amp;P)'!S2336="Yes",
    1.15,
    1.00)</f>
        <v/>
      </c>
      <c r="Q2336">
        <f>IF('Loan Tape (S&amp;P)'!V2336="Yes",
    1.20,
    1.00)</f>
        <v/>
      </c>
      <c r="T2336">
        <f>LET(
    payment_method,'Loan Tape (S&amp;P)'!P2336,
    occupancy,'Loan Tape (S&amp;P)'!N2336,
    maturity_date,'Loan Tape (S&amp;P)'!L2336,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37">
      <c r="J2337">
        <f>LET(
    lien,'Loan Tape (S&amp;P)'!Q2337,
    IF(lien="First",1.00,
        IF(lien="Second",1.50,
            1.70)))</f>
        <v/>
      </c>
      <c r="K2337">
        <f>LET(
    purpose,'Loan Tape (S&amp;P)'!R2337,
    IF(purpose="Purchase",1.00,
        IF(purpose="Remortgage",1.00,
            1.20)))</f>
        <v/>
      </c>
      <c r="L2337">
        <f>LET(
    arrears_months,'Loan Tape (S&amp;P)'!AN2337,
    IF(arrears_months=0,1.00,
    IF(arrears_months=1,3.00,
    IF(arrears_months=2,5.00,
    IF(arrears_months=3,8.00,
    IF(arrears_months=4,10.00,
    IF(arrears_months=5,12.00,15.00)))))))</f>
        <v/>
      </c>
      <c r="M2337">
        <f>LET(
    seasoning_years,DATEDIF('Loan Tape (S&amp;P)'!K2337,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37">
        <f>IF(AND('Loan Tape (S&amp;P)'!U2337="Yes",
        'Loan Tape (S&amp;P)'!T2337&lt;&gt;"Yes",
        DATEDIF('Loan Tape (S&amp;P)'!K2337, TODAY(), "M")&lt;18),
    1.10,
    1.00)</f>
        <v/>
      </c>
      <c r="O2337">
        <f>IF('Loan Tape (S&amp;P)'!T2337="Yes",
    1.35,
    1.00)</f>
        <v/>
      </c>
      <c r="P2337">
        <f>IF('Loan Tape (S&amp;P)'!S2337="Yes",
    1.15,
    1.00)</f>
        <v/>
      </c>
      <c r="Q2337">
        <f>IF('Loan Tape (S&amp;P)'!V2337="Yes",
    1.20,
    1.00)</f>
        <v/>
      </c>
      <c r="T2337">
        <f>LET(
    payment_method,'Loan Tape (S&amp;P)'!P2337,
    occupancy,'Loan Tape (S&amp;P)'!N2337,
    maturity_date,'Loan Tape (S&amp;P)'!L2337,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38">
      <c r="J2338">
        <f>LET(
    lien,'Loan Tape (S&amp;P)'!Q2338,
    IF(lien="First",1.00,
        IF(lien="Second",1.50,
            1.70)))</f>
        <v/>
      </c>
      <c r="K2338">
        <f>LET(
    purpose,'Loan Tape (S&amp;P)'!R2338,
    IF(purpose="Purchase",1.00,
        IF(purpose="Remortgage",1.00,
            1.20)))</f>
        <v/>
      </c>
      <c r="L2338">
        <f>LET(
    arrears_months,'Loan Tape (S&amp;P)'!AN2338,
    IF(arrears_months=0,1.00,
    IF(arrears_months=1,3.00,
    IF(arrears_months=2,5.00,
    IF(arrears_months=3,8.00,
    IF(arrears_months=4,10.00,
    IF(arrears_months=5,12.00,15.00)))))))</f>
        <v/>
      </c>
      <c r="M2338">
        <f>LET(
    seasoning_years,DATEDIF('Loan Tape (S&amp;P)'!K2338,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38">
        <f>IF(AND('Loan Tape (S&amp;P)'!U2338="Yes",
        'Loan Tape (S&amp;P)'!T2338&lt;&gt;"Yes",
        DATEDIF('Loan Tape (S&amp;P)'!K2338, TODAY(), "M")&lt;18),
    1.10,
    1.00)</f>
        <v/>
      </c>
      <c r="O2338">
        <f>IF('Loan Tape (S&amp;P)'!T2338="Yes",
    1.35,
    1.00)</f>
        <v/>
      </c>
      <c r="P2338">
        <f>IF('Loan Tape (S&amp;P)'!S2338="Yes",
    1.15,
    1.00)</f>
        <v/>
      </c>
      <c r="Q2338">
        <f>IF('Loan Tape (S&amp;P)'!V2338="Yes",
    1.20,
    1.00)</f>
        <v/>
      </c>
      <c r="T2338">
        <f>LET(
    payment_method,'Loan Tape (S&amp;P)'!P2338,
    occupancy,'Loan Tape (S&amp;P)'!N2338,
    maturity_date,'Loan Tape (S&amp;P)'!L2338,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39">
      <c r="J2339">
        <f>LET(
    lien,'Loan Tape (S&amp;P)'!Q2339,
    IF(lien="First",1.00,
        IF(lien="Second",1.50,
            1.70)))</f>
        <v/>
      </c>
      <c r="K2339">
        <f>LET(
    purpose,'Loan Tape (S&amp;P)'!R2339,
    IF(purpose="Purchase",1.00,
        IF(purpose="Remortgage",1.00,
            1.20)))</f>
        <v/>
      </c>
      <c r="L2339">
        <f>LET(
    arrears_months,'Loan Tape (S&amp;P)'!AN2339,
    IF(arrears_months=0,1.00,
    IF(arrears_months=1,3.00,
    IF(arrears_months=2,5.00,
    IF(arrears_months=3,8.00,
    IF(arrears_months=4,10.00,
    IF(arrears_months=5,12.00,15.00)))))))</f>
        <v/>
      </c>
      <c r="M2339">
        <f>LET(
    seasoning_years,DATEDIF('Loan Tape (S&amp;P)'!K2339,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39">
        <f>IF(AND('Loan Tape (S&amp;P)'!U2339="Yes",
        'Loan Tape (S&amp;P)'!T2339&lt;&gt;"Yes",
        DATEDIF('Loan Tape (S&amp;P)'!K2339, TODAY(), "M")&lt;18),
    1.10,
    1.00)</f>
        <v/>
      </c>
      <c r="O2339">
        <f>IF('Loan Tape (S&amp;P)'!T2339="Yes",
    1.35,
    1.00)</f>
        <v/>
      </c>
      <c r="P2339">
        <f>IF('Loan Tape (S&amp;P)'!S2339="Yes",
    1.15,
    1.00)</f>
        <v/>
      </c>
      <c r="Q2339">
        <f>IF('Loan Tape (S&amp;P)'!V2339="Yes",
    1.20,
    1.00)</f>
        <v/>
      </c>
      <c r="T2339">
        <f>LET(
    payment_method,'Loan Tape (S&amp;P)'!P2339,
    occupancy,'Loan Tape (S&amp;P)'!N2339,
    maturity_date,'Loan Tape (S&amp;P)'!L2339,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40">
      <c r="J2340">
        <f>LET(
    lien,'Loan Tape (S&amp;P)'!Q2340,
    IF(lien="First",1.00,
        IF(lien="Second",1.50,
            1.70)))</f>
        <v/>
      </c>
      <c r="K2340">
        <f>LET(
    purpose,'Loan Tape (S&amp;P)'!R2340,
    IF(purpose="Purchase",1.00,
        IF(purpose="Remortgage",1.00,
            1.20)))</f>
        <v/>
      </c>
      <c r="L2340">
        <f>LET(
    arrears_months,'Loan Tape (S&amp;P)'!AN2340,
    IF(arrears_months=0,1.00,
    IF(arrears_months=1,3.00,
    IF(arrears_months=2,5.00,
    IF(arrears_months=3,8.00,
    IF(arrears_months=4,10.00,
    IF(arrears_months=5,12.00,15.00)))))))</f>
        <v/>
      </c>
      <c r="M2340">
        <f>LET(
    seasoning_years,DATEDIF('Loan Tape (S&amp;P)'!K2340,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40">
        <f>IF(AND('Loan Tape (S&amp;P)'!U2340="Yes",
        'Loan Tape (S&amp;P)'!T2340&lt;&gt;"Yes",
        DATEDIF('Loan Tape (S&amp;P)'!K2340, TODAY(), "M")&lt;18),
    1.10,
    1.00)</f>
        <v/>
      </c>
      <c r="O2340">
        <f>IF('Loan Tape (S&amp;P)'!T2340="Yes",
    1.35,
    1.00)</f>
        <v/>
      </c>
      <c r="P2340">
        <f>IF('Loan Tape (S&amp;P)'!S2340="Yes",
    1.15,
    1.00)</f>
        <v/>
      </c>
      <c r="Q2340">
        <f>IF('Loan Tape (S&amp;P)'!V2340="Yes",
    1.20,
    1.00)</f>
        <v/>
      </c>
      <c r="T2340">
        <f>LET(
    payment_method,'Loan Tape (S&amp;P)'!P2340,
    occupancy,'Loan Tape (S&amp;P)'!N2340,
    maturity_date,'Loan Tape (S&amp;P)'!L2340,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41">
      <c r="J2341">
        <f>LET(
    lien,'Loan Tape (S&amp;P)'!Q2341,
    IF(lien="First",1.00,
        IF(lien="Second",1.50,
            1.70)))</f>
        <v/>
      </c>
      <c r="K2341">
        <f>LET(
    purpose,'Loan Tape (S&amp;P)'!R2341,
    IF(purpose="Purchase",1.00,
        IF(purpose="Remortgage",1.00,
            1.20)))</f>
        <v/>
      </c>
      <c r="L2341">
        <f>LET(
    arrears_months,'Loan Tape (S&amp;P)'!AN2341,
    IF(arrears_months=0,1.00,
    IF(arrears_months=1,3.00,
    IF(arrears_months=2,5.00,
    IF(arrears_months=3,8.00,
    IF(arrears_months=4,10.00,
    IF(arrears_months=5,12.00,15.00)))))))</f>
        <v/>
      </c>
      <c r="M2341">
        <f>LET(
    seasoning_years,DATEDIF('Loan Tape (S&amp;P)'!K2341,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41">
        <f>IF(AND('Loan Tape (S&amp;P)'!U2341="Yes",
        'Loan Tape (S&amp;P)'!T2341&lt;&gt;"Yes",
        DATEDIF('Loan Tape (S&amp;P)'!K2341, TODAY(), "M")&lt;18),
    1.10,
    1.00)</f>
        <v/>
      </c>
      <c r="O2341">
        <f>IF('Loan Tape (S&amp;P)'!T2341="Yes",
    1.35,
    1.00)</f>
        <v/>
      </c>
      <c r="P2341">
        <f>IF('Loan Tape (S&amp;P)'!S2341="Yes",
    1.15,
    1.00)</f>
        <v/>
      </c>
      <c r="Q2341">
        <f>IF('Loan Tape (S&amp;P)'!V2341="Yes",
    1.20,
    1.00)</f>
        <v/>
      </c>
      <c r="T2341">
        <f>LET(
    payment_method,'Loan Tape (S&amp;P)'!P2341,
    occupancy,'Loan Tape (S&amp;P)'!N2341,
    maturity_date,'Loan Tape (S&amp;P)'!L2341,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42">
      <c r="J2342">
        <f>LET(
    lien,'Loan Tape (S&amp;P)'!Q2342,
    IF(lien="First",1.00,
        IF(lien="Second",1.50,
            1.70)))</f>
        <v/>
      </c>
      <c r="K2342">
        <f>LET(
    purpose,'Loan Tape (S&amp;P)'!R2342,
    IF(purpose="Purchase",1.00,
        IF(purpose="Remortgage",1.00,
            1.20)))</f>
        <v/>
      </c>
      <c r="L2342">
        <f>LET(
    arrears_months,'Loan Tape (S&amp;P)'!AN2342,
    IF(arrears_months=0,1.00,
    IF(arrears_months=1,3.00,
    IF(arrears_months=2,5.00,
    IF(arrears_months=3,8.00,
    IF(arrears_months=4,10.00,
    IF(arrears_months=5,12.00,15.00)))))))</f>
        <v/>
      </c>
      <c r="M2342">
        <f>LET(
    seasoning_years,DATEDIF('Loan Tape (S&amp;P)'!K2342,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42">
        <f>IF(AND('Loan Tape (S&amp;P)'!U2342="Yes",
        'Loan Tape (S&amp;P)'!T2342&lt;&gt;"Yes",
        DATEDIF('Loan Tape (S&amp;P)'!K2342, TODAY(), "M")&lt;18),
    1.10,
    1.00)</f>
        <v/>
      </c>
      <c r="O2342">
        <f>IF('Loan Tape (S&amp;P)'!T2342="Yes",
    1.35,
    1.00)</f>
        <v/>
      </c>
      <c r="P2342">
        <f>IF('Loan Tape (S&amp;P)'!S2342="Yes",
    1.15,
    1.00)</f>
        <v/>
      </c>
      <c r="Q2342">
        <f>IF('Loan Tape (S&amp;P)'!V2342="Yes",
    1.20,
    1.00)</f>
        <v/>
      </c>
      <c r="T2342">
        <f>LET(
    payment_method,'Loan Tape (S&amp;P)'!P2342,
    occupancy,'Loan Tape (S&amp;P)'!N2342,
    maturity_date,'Loan Tape (S&amp;P)'!L2342,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43">
      <c r="J2343">
        <f>LET(
    lien,'Loan Tape (S&amp;P)'!Q2343,
    IF(lien="First",1.00,
        IF(lien="Second",1.50,
            1.70)))</f>
        <v/>
      </c>
      <c r="K2343">
        <f>LET(
    purpose,'Loan Tape (S&amp;P)'!R2343,
    IF(purpose="Purchase",1.00,
        IF(purpose="Remortgage",1.00,
            1.20)))</f>
        <v/>
      </c>
      <c r="L2343">
        <f>LET(
    arrears_months,'Loan Tape (S&amp;P)'!AN2343,
    IF(arrears_months=0,1.00,
    IF(arrears_months=1,3.00,
    IF(arrears_months=2,5.00,
    IF(arrears_months=3,8.00,
    IF(arrears_months=4,10.00,
    IF(arrears_months=5,12.00,15.00)))))))</f>
        <v/>
      </c>
      <c r="M2343">
        <f>LET(
    seasoning_years,DATEDIF('Loan Tape (S&amp;P)'!K2343,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43">
        <f>IF(AND('Loan Tape (S&amp;P)'!U2343="Yes",
        'Loan Tape (S&amp;P)'!T2343&lt;&gt;"Yes",
        DATEDIF('Loan Tape (S&amp;P)'!K2343, TODAY(), "M")&lt;18),
    1.10,
    1.00)</f>
        <v/>
      </c>
      <c r="O2343">
        <f>IF('Loan Tape (S&amp;P)'!T2343="Yes",
    1.35,
    1.00)</f>
        <v/>
      </c>
      <c r="P2343">
        <f>IF('Loan Tape (S&amp;P)'!S2343="Yes",
    1.15,
    1.00)</f>
        <v/>
      </c>
      <c r="Q2343">
        <f>IF('Loan Tape (S&amp;P)'!V2343="Yes",
    1.20,
    1.00)</f>
        <v/>
      </c>
      <c r="T2343">
        <f>LET(
    payment_method,'Loan Tape (S&amp;P)'!P2343,
    occupancy,'Loan Tape (S&amp;P)'!N2343,
    maturity_date,'Loan Tape (S&amp;P)'!L2343,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44">
      <c r="J2344">
        <f>LET(
    lien,'Loan Tape (S&amp;P)'!Q2344,
    IF(lien="First",1.00,
        IF(lien="Second",1.50,
            1.70)))</f>
        <v/>
      </c>
      <c r="K2344">
        <f>LET(
    purpose,'Loan Tape (S&amp;P)'!R2344,
    IF(purpose="Purchase",1.00,
        IF(purpose="Remortgage",1.00,
            1.20)))</f>
        <v/>
      </c>
      <c r="L2344">
        <f>LET(
    arrears_months,'Loan Tape (S&amp;P)'!AN2344,
    IF(arrears_months=0,1.00,
    IF(arrears_months=1,3.00,
    IF(arrears_months=2,5.00,
    IF(arrears_months=3,8.00,
    IF(arrears_months=4,10.00,
    IF(arrears_months=5,12.00,15.00)))))))</f>
        <v/>
      </c>
      <c r="M2344">
        <f>LET(
    seasoning_years,DATEDIF('Loan Tape (S&amp;P)'!K2344,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44">
        <f>IF(AND('Loan Tape (S&amp;P)'!U2344="Yes",
        'Loan Tape (S&amp;P)'!T2344&lt;&gt;"Yes",
        DATEDIF('Loan Tape (S&amp;P)'!K2344, TODAY(), "M")&lt;18),
    1.10,
    1.00)</f>
        <v/>
      </c>
      <c r="O2344">
        <f>IF('Loan Tape (S&amp;P)'!T2344="Yes",
    1.35,
    1.00)</f>
        <v/>
      </c>
      <c r="P2344">
        <f>IF('Loan Tape (S&amp;P)'!S2344="Yes",
    1.15,
    1.00)</f>
        <v/>
      </c>
      <c r="Q2344">
        <f>IF('Loan Tape (S&amp;P)'!V2344="Yes",
    1.20,
    1.00)</f>
        <v/>
      </c>
      <c r="T2344">
        <f>LET(
    payment_method,'Loan Tape (S&amp;P)'!P2344,
    occupancy,'Loan Tape (S&amp;P)'!N2344,
    maturity_date,'Loan Tape (S&amp;P)'!L2344,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45">
      <c r="J2345">
        <f>LET(
    lien,'Loan Tape (S&amp;P)'!Q2345,
    IF(lien="First",1.00,
        IF(lien="Second",1.50,
            1.70)))</f>
        <v/>
      </c>
      <c r="K2345">
        <f>LET(
    purpose,'Loan Tape (S&amp;P)'!R2345,
    IF(purpose="Purchase",1.00,
        IF(purpose="Remortgage",1.00,
            1.20)))</f>
        <v/>
      </c>
      <c r="L2345">
        <f>LET(
    arrears_months,'Loan Tape (S&amp;P)'!AN2345,
    IF(arrears_months=0,1.00,
    IF(arrears_months=1,3.00,
    IF(arrears_months=2,5.00,
    IF(arrears_months=3,8.00,
    IF(arrears_months=4,10.00,
    IF(arrears_months=5,12.00,15.00)))))))</f>
        <v/>
      </c>
      <c r="M2345">
        <f>LET(
    seasoning_years,DATEDIF('Loan Tape (S&amp;P)'!K2345,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45">
        <f>IF(AND('Loan Tape (S&amp;P)'!U2345="Yes",
        'Loan Tape (S&amp;P)'!T2345&lt;&gt;"Yes",
        DATEDIF('Loan Tape (S&amp;P)'!K2345, TODAY(), "M")&lt;18),
    1.10,
    1.00)</f>
        <v/>
      </c>
      <c r="O2345">
        <f>IF('Loan Tape (S&amp;P)'!T2345="Yes",
    1.35,
    1.00)</f>
        <v/>
      </c>
      <c r="P2345">
        <f>IF('Loan Tape (S&amp;P)'!S2345="Yes",
    1.15,
    1.00)</f>
        <v/>
      </c>
      <c r="Q2345">
        <f>IF('Loan Tape (S&amp;P)'!V2345="Yes",
    1.20,
    1.00)</f>
        <v/>
      </c>
      <c r="T2345">
        <f>LET(
    payment_method,'Loan Tape (S&amp;P)'!P2345,
    occupancy,'Loan Tape (S&amp;P)'!N2345,
    maturity_date,'Loan Tape (S&amp;P)'!L2345,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46">
      <c r="J2346">
        <f>LET(
    lien,'Loan Tape (S&amp;P)'!Q2346,
    IF(lien="First",1.00,
        IF(lien="Second",1.50,
            1.70)))</f>
        <v/>
      </c>
      <c r="K2346">
        <f>LET(
    purpose,'Loan Tape (S&amp;P)'!R2346,
    IF(purpose="Purchase",1.00,
        IF(purpose="Remortgage",1.00,
            1.20)))</f>
        <v/>
      </c>
      <c r="L2346">
        <f>LET(
    arrears_months,'Loan Tape (S&amp;P)'!AN2346,
    IF(arrears_months=0,1.00,
    IF(arrears_months=1,3.00,
    IF(arrears_months=2,5.00,
    IF(arrears_months=3,8.00,
    IF(arrears_months=4,10.00,
    IF(arrears_months=5,12.00,15.00)))))))</f>
        <v/>
      </c>
      <c r="M2346">
        <f>LET(
    seasoning_years,DATEDIF('Loan Tape (S&amp;P)'!K2346,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46">
        <f>IF(AND('Loan Tape (S&amp;P)'!U2346="Yes",
        'Loan Tape (S&amp;P)'!T2346&lt;&gt;"Yes",
        DATEDIF('Loan Tape (S&amp;P)'!K2346, TODAY(), "M")&lt;18),
    1.10,
    1.00)</f>
        <v/>
      </c>
      <c r="O2346">
        <f>IF('Loan Tape (S&amp;P)'!T2346="Yes",
    1.35,
    1.00)</f>
        <v/>
      </c>
      <c r="P2346">
        <f>IF('Loan Tape (S&amp;P)'!S2346="Yes",
    1.15,
    1.00)</f>
        <v/>
      </c>
      <c r="Q2346">
        <f>IF('Loan Tape (S&amp;P)'!V2346="Yes",
    1.20,
    1.00)</f>
        <v/>
      </c>
      <c r="T2346">
        <f>LET(
    payment_method,'Loan Tape (S&amp;P)'!P2346,
    occupancy,'Loan Tape (S&amp;P)'!N2346,
    maturity_date,'Loan Tape (S&amp;P)'!L2346,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47">
      <c r="J2347">
        <f>LET(
    lien,'Loan Tape (S&amp;P)'!Q2347,
    IF(lien="First",1.00,
        IF(lien="Second",1.50,
            1.70)))</f>
        <v/>
      </c>
      <c r="K2347">
        <f>LET(
    purpose,'Loan Tape (S&amp;P)'!R2347,
    IF(purpose="Purchase",1.00,
        IF(purpose="Remortgage",1.00,
            1.20)))</f>
        <v/>
      </c>
      <c r="L2347">
        <f>LET(
    arrears_months,'Loan Tape (S&amp;P)'!AN2347,
    IF(arrears_months=0,1.00,
    IF(arrears_months=1,3.00,
    IF(arrears_months=2,5.00,
    IF(arrears_months=3,8.00,
    IF(arrears_months=4,10.00,
    IF(arrears_months=5,12.00,15.00)))))))</f>
        <v/>
      </c>
      <c r="M2347">
        <f>LET(
    seasoning_years,DATEDIF('Loan Tape (S&amp;P)'!K2347,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47">
        <f>IF(AND('Loan Tape (S&amp;P)'!U2347="Yes",
        'Loan Tape (S&amp;P)'!T2347&lt;&gt;"Yes",
        DATEDIF('Loan Tape (S&amp;P)'!K2347, TODAY(), "M")&lt;18),
    1.10,
    1.00)</f>
        <v/>
      </c>
      <c r="O2347">
        <f>IF('Loan Tape (S&amp;P)'!T2347="Yes",
    1.35,
    1.00)</f>
        <v/>
      </c>
      <c r="P2347">
        <f>IF('Loan Tape (S&amp;P)'!S2347="Yes",
    1.15,
    1.00)</f>
        <v/>
      </c>
      <c r="Q2347">
        <f>IF('Loan Tape (S&amp;P)'!V2347="Yes",
    1.20,
    1.00)</f>
        <v/>
      </c>
      <c r="T2347">
        <f>LET(
    payment_method,'Loan Tape (S&amp;P)'!P2347,
    occupancy,'Loan Tape (S&amp;P)'!N2347,
    maturity_date,'Loan Tape (S&amp;P)'!L2347,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48">
      <c r="J2348">
        <f>LET(
    lien,'Loan Tape (S&amp;P)'!Q2348,
    IF(lien="First",1.00,
        IF(lien="Second",1.50,
            1.70)))</f>
        <v/>
      </c>
      <c r="K2348">
        <f>LET(
    purpose,'Loan Tape (S&amp;P)'!R2348,
    IF(purpose="Purchase",1.00,
        IF(purpose="Remortgage",1.00,
            1.20)))</f>
        <v/>
      </c>
      <c r="L2348">
        <f>LET(
    arrears_months,'Loan Tape (S&amp;P)'!AN2348,
    IF(arrears_months=0,1.00,
    IF(arrears_months=1,3.00,
    IF(arrears_months=2,5.00,
    IF(arrears_months=3,8.00,
    IF(arrears_months=4,10.00,
    IF(arrears_months=5,12.00,15.00)))))))</f>
        <v/>
      </c>
      <c r="M2348">
        <f>LET(
    seasoning_years,DATEDIF('Loan Tape (S&amp;P)'!K2348,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48">
        <f>IF(AND('Loan Tape (S&amp;P)'!U2348="Yes",
        'Loan Tape (S&amp;P)'!T2348&lt;&gt;"Yes",
        DATEDIF('Loan Tape (S&amp;P)'!K2348, TODAY(), "M")&lt;18),
    1.10,
    1.00)</f>
        <v/>
      </c>
      <c r="O2348">
        <f>IF('Loan Tape (S&amp;P)'!T2348="Yes",
    1.35,
    1.00)</f>
        <v/>
      </c>
      <c r="P2348">
        <f>IF('Loan Tape (S&amp;P)'!S2348="Yes",
    1.15,
    1.00)</f>
        <v/>
      </c>
      <c r="Q2348">
        <f>IF('Loan Tape (S&amp;P)'!V2348="Yes",
    1.20,
    1.00)</f>
        <v/>
      </c>
      <c r="T2348">
        <f>LET(
    payment_method,'Loan Tape (S&amp;P)'!P2348,
    occupancy,'Loan Tape (S&amp;P)'!N2348,
    maturity_date,'Loan Tape (S&amp;P)'!L2348,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49">
      <c r="J2349">
        <f>LET(
    lien,'Loan Tape (S&amp;P)'!Q2349,
    IF(lien="First",1.00,
        IF(lien="Second",1.50,
            1.70)))</f>
        <v/>
      </c>
      <c r="K2349">
        <f>LET(
    purpose,'Loan Tape (S&amp;P)'!R2349,
    IF(purpose="Purchase",1.00,
        IF(purpose="Remortgage",1.00,
            1.20)))</f>
        <v/>
      </c>
      <c r="L2349">
        <f>LET(
    arrears_months,'Loan Tape (S&amp;P)'!AN2349,
    IF(arrears_months=0,1.00,
    IF(arrears_months=1,3.00,
    IF(arrears_months=2,5.00,
    IF(arrears_months=3,8.00,
    IF(arrears_months=4,10.00,
    IF(arrears_months=5,12.00,15.00)))))))</f>
        <v/>
      </c>
      <c r="M2349">
        <f>LET(
    seasoning_years,DATEDIF('Loan Tape (S&amp;P)'!K2349,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49">
        <f>IF(AND('Loan Tape (S&amp;P)'!U2349="Yes",
        'Loan Tape (S&amp;P)'!T2349&lt;&gt;"Yes",
        DATEDIF('Loan Tape (S&amp;P)'!K2349, TODAY(), "M")&lt;18),
    1.10,
    1.00)</f>
        <v/>
      </c>
      <c r="O2349">
        <f>IF('Loan Tape (S&amp;P)'!T2349="Yes",
    1.35,
    1.00)</f>
        <v/>
      </c>
      <c r="P2349">
        <f>IF('Loan Tape (S&amp;P)'!S2349="Yes",
    1.15,
    1.00)</f>
        <v/>
      </c>
      <c r="Q2349">
        <f>IF('Loan Tape (S&amp;P)'!V2349="Yes",
    1.20,
    1.00)</f>
        <v/>
      </c>
      <c r="T2349">
        <f>LET(
    payment_method,'Loan Tape (S&amp;P)'!P2349,
    occupancy,'Loan Tape (S&amp;P)'!N2349,
    maturity_date,'Loan Tape (S&amp;P)'!L2349,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50">
      <c r="J2350">
        <f>LET(
    lien,'Loan Tape (S&amp;P)'!Q2350,
    IF(lien="First",1.00,
        IF(lien="Second",1.50,
            1.70)))</f>
        <v/>
      </c>
      <c r="K2350">
        <f>LET(
    purpose,'Loan Tape (S&amp;P)'!R2350,
    IF(purpose="Purchase",1.00,
        IF(purpose="Remortgage",1.00,
            1.20)))</f>
        <v/>
      </c>
      <c r="L2350">
        <f>LET(
    arrears_months,'Loan Tape (S&amp;P)'!AN2350,
    IF(arrears_months=0,1.00,
    IF(arrears_months=1,3.00,
    IF(arrears_months=2,5.00,
    IF(arrears_months=3,8.00,
    IF(arrears_months=4,10.00,
    IF(arrears_months=5,12.00,15.00)))))))</f>
        <v/>
      </c>
      <c r="M2350">
        <f>LET(
    seasoning_years,DATEDIF('Loan Tape (S&amp;P)'!K2350,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50">
        <f>IF(AND('Loan Tape (S&amp;P)'!U2350="Yes",
        'Loan Tape (S&amp;P)'!T2350&lt;&gt;"Yes",
        DATEDIF('Loan Tape (S&amp;P)'!K2350, TODAY(), "M")&lt;18),
    1.10,
    1.00)</f>
        <v/>
      </c>
      <c r="O2350">
        <f>IF('Loan Tape (S&amp;P)'!T2350="Yes",
    1.35,
    1.00)</f>
        <v/>
      </c>
      <c r="P2350">
        <f>IF('Loan Tape (S&amp;P)'!S2350="Yes",
    1.15,
    1.00)</f>
        <v/>
      </c>
      <c r="Q2350">
        <f>IF('Loan Tape (S&amp;P)'!V2350="Yes",
    1.20,
    1.00)</f>
        <v/>
      </c>
      <c r="T2350">
        <f>LET(
    payment_method,'Loan Tape (S&amp;P)'!P2350,
    occupancy,'Loan Tape (S&amp;P)'!N2350,
    maturity_date,'Loan Tape (S&amp;P)'!L2350,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51">
      <c r="J2351">
        <f>LET(
    lien,'Loan Tape (S&amp;P)'!Q2351,
    IF(lien="First",1.00,
        IF(lien="Second",1.50,
            1.70)))</f>
        <v/>
      </c>
      <c r="K2351">
        <f>LET(
    purpose,'Loan Tape (S&amp;P)'!R2351,
    IF(purpose="Purchase",1.00,
        IF(purpose="Remortgage",1.00,
            1.20)))</f>
        <v/>
      </c>
      <c r="L2351">
        <f>LET(
    arrears_months,'Loan Tape (S&amp;P)'!AN2351,
    IF(arrears_months=0,1.00,
    IF(arrears_months=1,3.00,
    IF(arrears_months=2,5.00,
    IF(arrears_months=3,8.00,
    IF(arrears_months=4,10.00,
    IF(arrears_months=5,12.00,15.00)))))))</f>
        <v/>
      </c>
      <c r="M2351">
        <f>LET(
    seasoning_years,DATEDIF('Loan Tape (S&amp;P)'!K2351,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51">
        <f>IF(AND('Loan Tape (S&amp;P)'!U2351="Yes",
        'Loan Tape (S&amp;P)'!T2351&lt;&gt;"Yes",
        DATEDIF('Loan Tape (S&amp;P)'!K2351, TODAY(), "M")&lt;18),
    1.10,
    1.00)</f>
        <v/>
      </c>
      <c r="O2351">
        <f>IF('Loan Tape (S&amp;P)'!T2351="Yes",
    1.35,
    1.00)</f>
        <v/>
      </c>
      <c r="P2351">
        <f>IF('Loan Tape (S&amp;P)'!S2351="Yes",
    1.15,
    1.00)</f>
        <v/>
      </c>
      <c r="Q2351">
        <f>IF('Loan Tape (S&amp;P)'!V2351="Yes",
    1.20,
    1.00)</f>
        <v/>
      </c>
      <c r="T2351">
        <f>LET(
    payment_method,'Loan Tape (S&amp;P)'!P2351,
    occupancy,'Loan Tape (S&amp;P)'!N2351,
    maturity_date,'Loan Tape (S&amp;P)'!L2351,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52">
      <c r="J2352">
        <f>LET(
    lien,'Loan Tape (S&amp;P)'!Q2352,
    IF(lien="First",1.00,
        IF(lien="Second",1.50,
            1.70)))</f>
        <v/>
      </c>
      <c r="K2352">
        <f>LET(
    purpose,'Loan Tape (S&amp;P)'!R2352,
    IF(purpose="Purchase",1.00,
        IF(purpose="Remortgage",1.00,
            1.20)))</f>
        <v/>
      </c>
      <c r="L2352">
        <f>LET(
    arrears_months,'Loan Tape (S&amp;P)'!AN2352,
    IF(arrears_months=0,1.00,
    IF(arrears_months=1,3.00,
    IF(arrears_months=2,5.00,
    IF(arrears_months=3,8.00,
    IF(arrears_months=4,10.00,
    IF(arrears_months=5,12.00,15.00)))))))</f>
        <v/>
      </c>
      <c r="M2352">
        <f>LET(
    seasoning_years,DATEDIF('Loan Tape (S&amp;P)'!K2352,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52">
        <f>IF(AND('Loan Tape (S&amp;P)'!U2352="Yes",
        'Loan Tape (S&amp;P)'!T2352&lt;&gt;"Yes",
        DATEDIF('Loan Tape (S&amp;P)'!K2352, TODAY(), "M")&lt;18),
    1.10,
    1.00)</f>
        <v/>
      </c>
      <c r="O2352">
        <f>IF('Loan Tape (S&amp;P)'!T2352="Yes",
    1.35,
    1.00)</f>
        <v/>
      </c>
      <c r="P2352">
        <f>IF('Loan Tape (S&amp;P)'!S2352="Yes",
    1.15,
    1.00)</f>
        <v/>
      </c>
      <c r="Q2352">
        <f>IF('Loan Tape (S&amp;P)'!V2352="Yes",
    1.20,
    1.00)</f>
        <v/>
      </c>
      <c r="T2352">
        <f>LET(
    payment_method,'Loan Tape (S&amp;P)'!P2352,
    occupancy,'Loan Tape (S&amp;P)'!N2352,
    maturity_date,'Loan Tape (S&amp;P)'!L2352,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53">
      <c r="J2353">
        <f>LET(
    lien,'Loan Tape (S&amp;P)'!Q2353,
    IF(lien="First",1.00,
        IF(lien="Second",1.50,
            1.70)))</f>
        <v/>
      </c>
      <c r="K2353">
        <f>LET(
    purpose,'Loan Tape (S&amp;P)'!R2353,
    IF(purpose="Purchase",1.00,
        IF(purpose="Remortgage",1.00,
            1.20)))</f>
        <v/>
      </c>
      <c r="L2353">
        <f>LET(
    arrears_months,'Loan Tape (S&amp;P)'!AN2353,
    IF(arrears_months=0,1.00,
    IF(arrears_months=1,3.00,
    IF(arrears_months=2,5.00,
    IF(arrears_months=3,8.00,
    IF(arrears_months=4,10.00,
    IF(arrears_months=5,12.00,15.00)))))))</f>
        <v/>
      </c>
      <c r="M2353">
        <f>LET(
    seasoning_years,DATEDIF('Loan Tape (S&amp;P)'!K2353,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53">
        <f>IF(AND('Loan Tape (S&amp;P)'!U2353="Yes",
        'Loan Tape (S&amp;P)'!T2353&lt;&gt;"Yes",
        DATEDIF('Loan Tape (S&amp;P)'!K2353, TODAY(), "M")&lt;18),
    1.10,
    1.00)</f>
        <v/>
      </c>
      <c r="O2353">
        <f>IF('Loan Tape (S&amp;P)'!T2353="Yes",
    1.35,
    1.00)</f>
        <v/>
      </c>
      <c r="P2353">
        <f>IF('Loan Tape (S&amp;P)'!S2353="Yes",
    1.15,
    1.00)</f>
        <v/>
      </c>
      <c r="Q2353">
        <f>IF('Loan Tape (S&amp;P)'!V2353="Yes",
    1.20,
    1.00)</f>
        <v/>
      </c>
      <c r="T2353">
        <f>LET(
    payment_method,'Loan Tape (S&amp;P)'!P2353,
    occupancy,'Loan Tape (S&amp;P)'!N2353,
    maturity_date,'Loan Tape (S&amp;P)'!L2353,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54">
      <c r="J2354">
        <f>LET(
    lien,'Loan Tape (S&amp;P)'!Q2354,
    IF(lien="First",1.00,
        IF(lien="Second",1.50,
            1.70)))</f>
        <v/>
      </c>
      <c r="K2354">
        <f>LET(
    purpose,'Loan Tape (S&amp;P)'!R2354,
    IF(purpose="Purchase",1.00,
        IF(purpose="Remortgage",1.00,
            1.20)))</f>
        <v/>
      </c>
      <c r="L2354">
        <f>LET(
    arrears_months,'Loan Tape (S&amp;P)'!AN2354,
    IF(arrears_months=0,1.00,
    IF(arrears_months=1,3.00,
    IF(arrears_months=2,5.00,
    IF(arrears_months=3,8.00,
    IF(arrears_months=4,10.00,
    IF(arrears_months=5,12.00,15.00)))))))</f>
        <v/>
      </c>
      <c r="M2354">
        <f>LET(
    seasoning_years,DATEDIF('Loan Tape (S&amp;P)'!K2354,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54">
        <f>IF(AND('Loan Tape (S&amp;P)'!U2354="Yes",
        'Loan Tape (S&amp;P)'!T2354&lt;&gt;"Yes",
        DATEDIF('Loan Tape (S&amp;P)'!K2354, TODAY(), "M")&lt;18),
    1.10,
    1.00)</f>
        <v/>
      </c>
      <c r="O2354">
        <f>IF('Loan Tape (S&amp;P)'!T2354="Yes",
    1.35,
    1.00)</f>
        <v/>
      </c>
      <c r="P2354">
        <f>IF('Loan Tape (S&amp;P)'!S2354="Yes",
    1.15,
    1.00)</f>
        <v/>
      </c>
      <c r="Q2354">
        <f>IF('Loan Tape (S&amp;P)'!V2354="Yes",
    1.20,
    1.00)</f>
        <v/>
      </c>
      <c r="T2354">
        <f>LET(
    payment_method,'Loan Tape (S&amp;P)'!P2354,
    occupancy,'Loan Tape (S&amp;P)'!N2354,
    maturity_date,'Loan Tape (S&amp;P)'!L2354,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55">
      <c r="J2355">
        <f>LET(
    lien,'Loan Tape (S&amp;P)'!Q2355,
    IF(lien="First",1.00,
        IF(lien="Second",1.50,
            1.70)))</f>
        <v/>
      </c>
      <c r="K2355">
        <f>LET(
    purpose,'Loan Tape (S&amp;P)'!R2355,
    IF(purpose="Purchase",1.00,
        IF(purpose="Remortgage",1.00,
            1.20)))</f>
        <v/>
      </c>
      <c r="L2355">
        <f>LET(
    arrears_months,'Loan Tape (S&amp;P)'!AN2355,
    IF(arrears_months=0,1.00,
    IF(arrears_months=1,3.00,
    IF(arrears_months=2,5.00,
    IF(arrears_months=3,8.00,
    IF(arrears_months=4,10.00,
    IF(arrears_months=5,12.00,15.00)))))))</f>
        <v/>
      </c>
      <c r="M2355">
        <f>LET(
    seasoning_years,DATEDIF('Loan Tape (S&amp;P)'!K2355,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55">
        <f>IF(AND('Loan Tape (S&amp;P)'!U2355="Yes",
        'Loan Tape (S&amp;P)'!T2355&lt;&gt;"Yes",
        DATEDIF('Loan Tape (S&amp;P)'!K2355, TODAY(), "M")&lt;18),
    1.10,
    1.00)</f>
        <v/>
      </c>
      <c r="O2355">
        <f>IF('Loan Tape (S&amp;P)'!T2355="Yes",
    1.35,
    1.00)</f>
        <v/>
      </c>
      <c r="P2355">
        <f>IF('Loan Tape (S&amp;P)'!S2355="Yes",
    1.15,
    1.00)</f>
        <v/>
      </c>
      <c r="Q2355">
        <f>IF('Loan Tape (S&amp;P)'!V2355="Yes",
    1.20,
    1.00)</f>
        <v/>
      </c>
      <c r="T2355">
        <f>LET(
    payment_method,'Loan Tape (S&amp;P)'!P2355,
    occupancy,'Loan Tape (S&amp;P)'!N2355,
    maturity_date,'Loan Tape (S&amp;P)'!L2355,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56">
      <c r="J2356">
        <f>LET(
    lien,'Loan Tape (S&amp;P)'!Q2356,
    IF(lien="First",1.00,
        IF(lien="Second",1.50,
            1.70)))</f>
        <v/>
      </c>
      <c r="K2356">
        <f>LET(
    purpose,'Loan Tape (S&amp;P)'!R2356,
    IF(purpose="Purchase",1.00,
        IF(purpose="Remortgage",1.00,
            1.20)))</f>
        <v/>
      </c>
      <c r="L2356">
        <f>LET(
    arrears_months,'Loan Tape (S&amp;P)'!AN2356,
    IF(arrears_months=0,1.00,
    IF(arrears_months=1,3.00,
    IF(arrears_months=2,5.00,
    IF(arrears_months=3,8.00,
    IF(arrears_months=4,10.00,
    IF(arrears_months=5,12.00,15.00)))))))</f>
        <v/>
      </c>
      <c r="M2356">
        <f>LET(
    seasoning_years,DATEDIF('Loan Tape (S&amp;P)'!K2356,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56">
        <f>IF(AND('Loan Tape (S&amp;P)'!U2356="Yes",
        'Loan Tape (S&amp;P)'!T2356&lt;&gt;"Yes",
        DATEDIF('Loan Tape (S&amp;P)'!K2356, TODAY(), "M")&lt;18),
    1.10,
    1.00)</f>
        <v/>
      </c>
      <c r="O2356">
        <f>IF('Loan Tape (S&amp;P)'!T2356="Yes",
    1.35,
    1.00)</f>
        <v/>
      </c>
      <c r="P2356">
        <f>IF('Loan Tape (S&amp;P)'!S2356="Yes",
    1.15,
    1.00)</f>
        <v/>
      </c>
      <c r="Q2356">
        <f>IF('Loan Tape (S&amp;P)'!V2356="Yes",
    1.20,
    1.00)</f>
        <v/>
      </c>
      <c r="T2356">
        <f>LET(
    payment_method,'Loan Tape (S&amp;P)'!P2356,
    occupancy,'Loan Tape (S&amp;P)'!N2356,
    maturity_date,'Loan Tape (S&amp;P)'!L2356,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57">
      <c r="J2357">
        <f>LET(
    lien,'Loan Tape (S&amp;P)'!Q2357,
    IF(lien="First",1.00,
        IF(lien="Second",1.50,
            1.70)))</f>
        <v/>
      </c>
      <c r="K2357">
        <f>LET(
    purpose,'Loan Tape (S&amp;P)'!R2357,
    IF(purpose="Purchase",1.00,
        IF(purpose="Remortgage",1.00,
            1.20)))</f>
        <v/>
      </c>
      <c r="L2357">
        <f>LET(
    arrears_months,'Loan Tape (S&amp;P)'!AN2357,
    IF(arrears_months=0,1.00,
    IF(arrears_months=1,3.00,
    IF(arrears_months=2,5.00,
    IF(arrears_months=3,8.00,
    IF(arrears_months=4,10.00,
    IF(arrears_months=5,12.00,15.00)))))))</f>
        <v/>
      </c>
      <c r="M2357">
        <f>LET(
    seasoning_years,DATEDIF('Loan Tape (S&amp;P)'!K2357,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57">
        <f>IF(AND('Loan Tape (S&amp;P)'!U2357="Yes",
        'Loan Tape (S&amp;P)'!T2357&lt;&gt;"Yes",
        DATEDIF('Loan Tape (S&amp;P)'!K2357, TODAY(), "M")&lt;18),
    1.10,
    1.00)</f>
        <v/>
      </c>
      <c r="O2357">
        <f>IF('Loan Tape (S&amp;P)'!T2357="Yes",
    1.35,
    1.00)</f>
        <v/>
      </c>
      <c r="P2357">
        <f>IF('Loan Tape (S&amp;P)'!S2357="Yes",
    1.15,
    1.00)</f>
        <v/>
      </c>
      <c r="Q2357">
        <f>IF('Loan Tape (S&amp;P)'!V2357="Yes",
    1.20,
    1.00)</f>
        <v/>
      </c>
      <c r="T2357">
        <f>LET(
    payment_method,'Loan Tape (S&amp;P)'!P2357,
    occupancy,'Loan Tape (S&amp;P)'!N2357,
    maturity_date,'Loan Tape (S&amp;P)'!L2357,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58">
      <c r="J2358">
        <f>LET(
    lien,'Loan Tape (S&amp;P)'!Q2358,
    IF(lien="First",1.00,
        IF(lien="Second",1.50,
            1.70)))</f>
        <v/>
      </c>
      <c r="K2358">
        <f>LET(
    purpose,'Loan Tape (S&amp;P)'!R2358,
    IF(purpose="Purchase",1.00,
        IF(purpose="Remortgage",1.00,
            1.20)))</f>
        <v/>
      </c>
      <c r="L2358">
        <f>LET(
    arrears_months,'Loan Tape (S&amp;P)'!AN2358,
    IF(arrears_months=0,1.00,
    IF(arrears_months=1,3.00,
    IF(arrears_months=2,5.00,
    IF(arrears_months=3,8.00,
    IF(arrears_months=4,10.00,
    IF(arrears_months=5,12.00,15.00)))))))</f>
        <v/>
      </c>
      <c r="M2358">
        <f>LET(
    seasoning_years,DATEDIF('Loan Tape (S&amp;P)'!K2358,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58">
        <f>IF(AND('Loan Tape (S&amp;P)'!U2358="Yes",
        'Loan Tape (S&amp;P)'!T2358&lt;&gt;"Yes",
        DATEDIF('Loan Tape (S&amp;P)'!K2358, TODAY(), "M")&lt;18),
    1.10,
    1.00)</f>
        <v/>
      </c>
      <c r="O2358">
        <f>IF('Loan Tape (S&amp;P)'!T2358="Yes",
    1.35,
    1.00)</f>
        <v/>
      </c>
      <c r="P2358">
        <f>IF('Loan Tape (S&amp;P)'!S2358="Yes",
    1.15,
    1.00)</f>
        <v/>
      </c>
      <c r="Q2358">
        <f>IF('Loan Tape (S&amp;P)'!V2358="Yes",
    1.20,
    1.00)</f>
        <v/>
      </c>
      <c r="T2358">
        <f>LET(
    payment_method,'Loan Tape (S&amp;P)'!P2358,
    occupancy,'Loan Tape (S&amp;P)'!N2358,
    maturity_date,'Loan Tape (S&amp;P)'!L2358,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59">
      <c r="J2359">
        <f>LET(
    lien,'Loan Tape (S&amp;P)'!Q2359,
    IF(lien="First",1.00,
        IF(lien="Second",1.50,
            1.70)))</f>
        <v/>
      </c>
      <c r="K2359">
        <f>LET(
    purpose,'Loan Tape (S&amp;P)'!R2359,
    IF(purpose="Purchase",1.00,
        IF(purpose="Remortgage",1.00,
            1.20)))</f>
        <v/>
      </c>
      <c r="L2359">
        <f>LET(
    arrears_months,'Loan Tape (S&amp;P)'!AN2359,
    IF(arrears_months=0,1.00,
    IF(arrears_months=1,3.00,
    IF(arrears_months=2,5.00,
    IF(arrears_months=3,8.00,
    IF(arrears_months=4,10.00,
    IF(arrears_months=5,12.00,15.00)))))))</f>
        <v/>
      </c>
      <c r="M2359">
        <f>LET(
    seasoning_years,DATEDIF('Loan Tape (S&amp;P)'!K2359,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59">
        <f>IF(AND('Loan Tape (S&amp;P)'!U2359="Yes",
        'Loan Tape (S&amp;P)'!T2359&lt;&gt;"Yes",
        DATEDIF('Loan Tape (S&amp;P)'!K2359, TODAY(), "M")&lt;18),
    1.10,
    1.00)</f>
        <v/>
      </c>
      <c r="O2359">
        <f>IF('Loan Tape (S&amp;P)'!T2359="Yes",
    1.35,
    1.00)</f>
        <v/>
      </c>
      <c r="P2359">
        <f>IF('Loan Tape (S&amp;P)'!S2359="Yes",
    1.15,
    1.00)</f>
        <v/>
      </c>
      <c r="Q2359">
        <f>IF('Loan Tape (S&amp;P)'!V2359="Yes",
    1.20,
    1.00)</f>
        <v/>
      </c>
      <c r="T2359">
        <f>LET(
    payment_method,'Loan Tape (S&amp;P)'!P2359,
    occupancy,'Loan Tape (S&amp;P)'!N2359,
    maturity_date,'Loan Tape (S&amp;P)'!L2359,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60">
      <c r="J2360">
        <f>LET(
    lien,'Loan Tape (S&amp;P)'!Q2360,
    IF(lien="First",1.00,
        IF(lien="Second",1.50,
            1.70)))</f>
        <v/>
      </c>
      <c r="K2360">
        <f>LET(
    purpose,'Loan Tape (S&amp;P)'!R2360,
    IF(purpose="Purchase",1.00,
        IF(purpose="Remortgage",1.00,
            1.20)))</f>
        <v/>
      </c>
      <c r="L2360">
        <f>LET(
    arrears_months,'Loan Tape (S&amp;P)'!AN2360,
    IF(arrears_months=0,1.00,
    IF(arrears_months=1,3.00,
    IF(arrears_months=2,5.00,
    IF(arrears_months=3,8.00,
    IF(arrears_months=4,10.00,
    IF(arrears_months=5,12.00,15.00)))))))</f>
        <v/>
      </c>
      <c r="M2360">
        <f>LET(
    seasoning_years,DATEDIF('Loan Tape (S&amp;P)'!K2360,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60">
        <f>IF(AND('Loan Tape (S&amp;P)'!U2360="Yes",
        'Loan Tape (S&amp;P)'!T2360&lt;&gt;"Yes",
        DATEDIF('Loan Tape (S&amp;P)'!K2360, TODAY(), "M")&lt;18),
    1.10,
    1.00)</f>
        <v/>
      </c>
      <c r="O2360">
        <f>IF('Loan Tape (S&amp;P)'!T2360="Yes",
    1.35,
    1.00)</f>
        <v/>
      </c>
      <c r="P2360">
        <f>IF('Loan Tape (S&amp;P)'!S2360="Yes",
    1.15,
    1.00)</f>
        <v/>
      </c>
      <c r="Q2360">
        <f>IF('Loan Tape (S&amp;P)'!V2360="Yes",
    1.20,
    1.00)</f>
        <v/>
      </c>
      <c r="T2360">
        <f>LET(
    payment_method,'Loan Tape (S&amp;P)'!P2360,
    occupancy,'Loan Tape (S&amp;P)'!N2360,
    maturity_date,'Loan Tape (S&amp;P)'!L2360,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61">
      <c r="J2361">
        <f>LET(
    lien,'Loan Tape (S&amp;P)'!Q2361,
    IF(lien="First",1.00,
        IF(lien="Second",1.50,
            1.70)))</f>
        <v/>
      </c>
      <c r="K2361">
        <f>LET(
    purpose,'Loan Tape (S&amp;P)'!R2361,
    IF(purpose="Purchase",1.00,
        IF(purpose="Remortgage",1.00,
            1.20)))</f>
        <v/>
      </c>
      <c r="L2361">
        <f>LET(
    arrears_months,'Loan Tape (S&amp;P)'!AN2361,
    IF(arrears_months=0,1.00,
    IF(arrears_months=1,3.00,
    IF(arrears_months=2,5.00,
    IF(arrears_months=3,8.00,
    IF(arrears_months=4,10.00,
    IF(arrears_months=5,12.00,15.00)))))))</f>
        <v/>
      </c>
      <c r="M2361">
        <f>LET(
    seasoning_years,DATEDIF('Loan Tape (S&amp;P)'!K2361,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61">
        <f>IF(AND('Loan Tape (S&amp;P)'!U2361="Yes",
        'Loan Tape (S&amp;P)'!T2361&lt;&gt;"Yes",
        DATEDIF('Loan Tape (S&amp;P)'!K2361, TODAY(), "M")&lt;18),
    1.10,
    1.00)</f>
        <v/>
      </c>
      <c r="O2361">
        <f>IF('Loan Tape (S&amp;P)'!T2361="Yes",
    1.35,
    1.00)</f>
        <v/>
      </c>
      <c r="P2361">
        <f>IF('Loan Tape (S&amp;P)'!S2361="Yes",
    1.15,
    1.00)</f>
        <v/>
      </c>
      <c r="Q2361">
        <f>IF('Loan Tape (S&amp;P)'!V2361="Yes",
    1.20,
    1.00)</f>
        <v/>
      </c>
      <c r="T2361">
        <f>LET(
    payment_method,'Loan Tape (S&amp;P)'!P2361,
    occupancy,'Loan Tape (S&amp;P)'!N2361,
    maturity_date,'Loan Tape (S&amp;P)'!L2361,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62">
      <c r="J2362">
        <f>LET(
    lien,'Loan Tape (S&amp;P)'!Q2362,
    IF(lien="First",1.00,
        IF(lien="Second",1.50,
            1.70)))</f>
        <v/>
      </c>
      <c r="K2362">
        <f>LET(
    purpose,'Loan Tape (S&amp;P)'!R2362,
    IF(purpose="Purchase",1.00,
        IF(purpose="Remortgage",1.00,
            1.20)))</f>
        <v/>
      </c>
      <c r="L2362">
        <f>LET(
    arrears_months,'Loan Tape (S&amp;P)'!AN2362,
    IF(arrears_months=0,1.00,
    IF(arrears_months=1,3.00,
    IF(arrears_months=2,5.00,
    IF(arrears_months=3,8.00,
    IF(arrears_months=4,10.00,
    IF(arrears_months=5,12.00,15.00)))))))</f>
        <v/>
      </c>
      <c r="M2362">
        <f>LET(
    seasoning_years,DATEDIF('Loan Tape (S&amp;P)'!K2362,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62">
        <f>IF(AND('Loan Tape (S&amp;P)'!U2362="Yes",
        'Loan Tape (S&amp;P)'!T2362&lt;&gt;"Yes",
        DATEDIF('Loan Tape (S&amp;P)'!K2362, TODAY(), "M")&lt;18),
    1.10,
    1.00)</f>
        <v/>
      </c>
      <c r="O2362">
        <f>IF('Loan Tape (S&amp;P)'!T2362="Yes",
    1.35,
    1.00)</f>
        <v/>
      </c>
      <c r="P2362">
        <f>IF('Loan Tape (S&amp;P)'!S2362="Yes",
    1.15,
    1.00)</f>
        <v/>
      </c>
      <c r="Q2362">
        <f>IF('Loan Tape (S&amp;P)'!V2362="Yes",
    1.20,
    1.00)</f>
        <v/>
      </c>
      <c r="T2362">
        <f>LET(
    payment_method,'Loan Tape (S&amp;P)'!P2362,
    occupancy,'Loan Tape (S&amp;P)'!N2362,
    maturity_date,'Loan Tape (S&amp;P)'!L2362,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63">
      <c r="J2363">
        <f>LET(
    lien,'Loan Tape (S&amp;P)'!Q2363,
    IF(lien="First",1.00,
        IF(lien="Second",1.50,
            1.70)))</f>
        <v/>
      </c>
      <c r="K2363">
        <f>LET(
    purpose,'Loan Tape (S&amp;P)'!R2363,
    IF(purpose="Purchase",1.00,
        IF(purpose="Remortgage",1.00,
            1.20)))</f>
        <v/>
      </c>
      <c r="L2363">
        <f>LET(
    arrears_months,'Loan Tape (S&amp;P)'!AN2363,
    IF(arrears_months=0,1.00,
    IF(arrears_months=1,3.00,
    IF(arrears_months=2,5.00,
    IF(arrears_months=3,8.00,
    IF(arrears_months=4,10.00,
    IF(arrears_months=5,12.00,15.00)))))))</f>
        <v/>
      </c>
      <c r="M2363">
        <f>LET(
    seasoning_years,DATEDIF('Loan Tape (S&amp;P)'!K2363,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63">
        <f>IF(AND('Loan Tape (S&amp;P)'!U2363="Yes",
        'Loan Tape (S&amp;P)'!T2363&lt;&gt;"Yes",
        DATEDIF('Loan Tape (S&amp;P)'!K2363, TODAY(), "M")&lt;18),
    1.10,
    1.00)</f>
        <v/>
      </c>
      <c r="O2363">
        <f>IF('Loan Tape (S&amp;P)'!T2363="Yes",
    1.35,
    1.00)</f>
        <v/>
      </c>
      <c r="P2363">
        <f>IF('Loan Tape (S&amp;P)'!S2363="Yes",
    1.15,
    1.00)</f>
        <v/>
      </c>
      <c r="Q2363">
        <f>IF('Loan Tape (S&amp;P)'!V2363="Yes",
    1.20,
    1.00)</f>
        <v/>
      </c>
      <c r="T2363">
        <f>LET(
    payment_method,'Loan Tape (S&amp;P)'!P2363,
    occupancy,'Loan Tape (S&amp;P)'!N2363,
    maturity_date,'Loan Tape (S&amp;P)'!L2363,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64">
      <c r="J2364">
        <f>LET(
    lien,'Loan Tape (S&amp;P)'!Q2364,
    IF(lien="First",1.00,
        IF(lien="Second",1.50,
            1.70)))</f>
        <v/>
      </c>
      <c r="K2364">
        <f>LET(
    purpose,'Loan Tape (S&amp;P)'!R2364,
    IF(purpose="Purchase",1.00,
        IF(purpose="Remortgage",1.00,
            1.20)))</f>
        <v/>
      </c>
      <c r="L2364">
        <f>LET(
    arrears_months,'Loan Tape (S&amp;P)'!AN2364,
    IF(arrears_months=0,1.00,
    IF(arrears_months=1,3.00,
    IF(arrears_months=2,5.00,
    IF(arrears_months=3,8.00,
    IF(arrears_months=4,10.00,
    IF(arrears_months=5,12.00,15.00)))))))</f>
        <v/>
      </c>
      <c r="M2364">
        <f>LET(
    seasoning_years,DATEDIF('Loan Tape (S&amp;P)'!K2364,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64">
        <f>IF(AND('Loan Tape (S&amp;P)'!U2364="Yes",
        'Loan Tape (S&amp;P)'!T2364&lt;&gt;"Yes",
        DATEDIF('Loan Tape (S&amp;P)'!K2364, TODAY(), "M")&lt;18),
    1.10,
    1.00)</f>
        <v/>
      </c>
      <c r="O2364">
        <f>IF('Loan Tape (S&amp;P)'!T2364="Yes",
    1.35,
    1.00)</f>
        <v/>
      </c>
      <c r="P2364">
        <f>IF('Loan Tape (S&amp;P)'!S2364="Yes",
    1.15,
    1.00)</f>
        <v/>
      </c>
      <c r="Q2364">
        <f>IF('Loan Tape (S&amp;P)'!V2364="Yes",
    1.20,
    1.00)</f>
        <v/>
      </c>
      <c r="T2364">
        <f>LET(
    payment_method,'Loan Tape (S&amp;P)'!P2364,
    occupancy,'Loan Tape (S&amp;P)'!N2364,
    maturity_date,'Loan Tape (S&amp;P)'!L2364,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65">
      <c r="J2365">
        <f>LET(
    lien,'Loan Tape (S&amp;P)'!Q2365,
    IF(lien="First",1.00,
        IF(lien="Second",1.50,
            1.70)))</f>
        <v/>
      </c>
      <c r="K2365">
        <f>LET(
    purpose,'Loan Tape (S&amp;P)'!R2365,
    IF(purpose="Purchase",1.00,
        IF(purpose="Remortgage",1.00,
            1.20)))</f>
        <v/>
      </c>
      <c r="L2365">
        <f>LET(
    arrears_months,'Loan Tape (S&amp;P)'!AN2365,
    IF(arrears_months=0,1.00,
    IF(arrears_months=1,3.00,
    IF(arrears_months=2,5.00,
    IF(arrears_months=3,8.00,
    IF(arrears_months=4,10.00,
    IF(arrears_months=5,12.00,15.00)))))))</f>
        <v/>
      </c>
      <c r="M2365">
        <f>LET(
    seasoning_years,DATEDIF('Loan Tape (S&amp;P)'!K2365,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65">
        <f>IF(AND('Loan Tape (S&amp;P)'!U2365="Yes",
        'Loan Tape (S&amp;P)'!T2365&lt;&gt;"Yes",
        DATEDIF('Loan Tape (S&amp;P)'!K2365, TODAY(), "M")&lt;18),
    1.10,
    1.00)</f>
        <v/>
      </c>
      <c r="O2365">
        <f>IF('Loan Tape (S&amp;P)'!T2365="Yes",
    1.35,
    1.00)</f>
        <v/>
      </c>
      <c r="P2365">
        <f>IF('Loan Tape (S&amp;P)'!S2365="Yes",
    1.15,
    1.00)</f>
        <v/>
      </c>
      <c r="Q2365">
        <f>IF('Loan Tape (S&amp;P)'!V2365="Yes",
    1.20,
    1.00)</f>
        <v/>
      </c>
      <c r="T2365">
        <f>LET(
    payment_method,'Loan Tape (S&amp;P)'!P2365,
    occupancy,'Loan Tape (S&amp;P)'!N2365,
    maturity_date,'Loan Tape (S&amp;P)'!L2365,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66">
      <c r="J2366">
        <f>LET(
    lien,'Loan Tape (S&amp;P)'!Q2366,
    IF(lien="First",1.00,
        IF(lien="Second",1.50,
            1.70)))</f>
        <v/>
      </c>
      <c r="K2366">
        <f>LET(
    purpose,'Loan Tape (S&amp;P)'!R2366,
    IF(purpose="Purchase",1.00,
        IF(purpose="Remortgage",1.00,
            1.20)))</f>
        <v/>
      </c>
      <c r="L2366">
        <f>LET(
    arrears_months,'Loan Tape (S&amp;P)'!AN2366,
    IF(arrears_months=0,1.00,
    IF(arrears_months=1,3.00,
    IF(arrears_months=2,5.00,
    IF(arrears_months=3,8.00,
    IF(arrears_months=4,10.00,
    IF(arrears_months=5,12.00,15.00)))))))</f>
        <v/>
      </c>
      <c r="M2366">
        <f>LET(
    seasoning_years,DATEDIF('Loan Tape (S&amp;P)'!K2366,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66">
        <f>IF(AND('Loan Tape (S&amp;P)'!U2366="Yes",
        'Loan Tape (S&amp;P)'!T2366&lt;&gt;"Yes",
        DATEDIF('Loan Tape (S&amp;P)'!K2366, TODAY(), "M")&lt;18),
    1.10,
    1.00)</f>
        <v/>
      </c>
      <c r="O2366">
        <f>IF('Loan Tape (S&amp;P)'!T2366="Yes",
    1.35,
    1.00)</f>
        <v/>
      </c>
      <c r="P2366">
        <f>IF('Loan Tape (S&amp;P)'!S2366="Yes",
    1.15,
    1.00)</f>
        <v/>
      </c>
      <c r="Q2366">
        <f>IF('Loan Tape (S&amp;P)'!V2366="Yes",
    1.20,
    1.00)</f>
        <v/>
      </c>
      <c r="T2366">
        <f>LET(
    payment_method,'Loan Tape (S&amp;P)'!P2366,
    occupancy,'Loan Tape (S&amp;P)'!N2366,
    maturity_date,'Loan Tape (S&amp;P)'!L2366,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67">
      <c r="J2367">
        <f>LET(
    lien,'Loan Tape (S&amp;P)'!Q2367,
    IF(lien="First",1.00,
        IF(lien="Second",1.50,
            1.70)))</f>
        <v/>
      </c>
      <c r="K2367">
        <f>LET(
    purpose,'Loan Tape (S&amp;P)'!R2367,
    IF(purpose="Purchase",1.00,
        IF(purpose="Remortgage",1.00,
            1.20)))</f>
        <v/>
      </c>
      <c r="L2367">
        <f>LET(
    arrears_months,'Loan Tape (S&amp;P)'!AN2367,
    IF(arrears_months=0,1.00,
    IF(arrears_months=1,3.00,
    IF(arrears_months=2,5.00,
    IF(arrears_months=3,8.00,
    IF(arrears_months=4,10.00,
    IF(arrears_months=5,12.00,15.00)))))))</f>
        <v/>
      </c>
      <c r="M2367">
        <f>LET(
    seasoning_years,DATEDIF('Loan Tape (S&amp;P)'!K2367,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67">
        <f>IF(AND('Loan Tape (S&amp;P)'!U2367="Yes",
        'Loan Tape (S&amp;P)'!T2367&lt;&gt;"Yes",
        DATEDIF('Loan Tape (S&amp;P)'!K2367, TODAY(), "M")&lt;18),
    1.10,
    1.00)</f>
        <v/>
      </c>
      <c r="O2367">
        <f>IF('Loan Tape (S&amp;P)'!T2367="Yes",
    1.35,
    1.00)</f>
        <v/>
      </c>
      <c r="P2367">
        <f>IF('Loan Tape (S&amp;P)'!S2367="Yes",
    1.15,
    1.00)</f>
        <v/>
      </c>
      <c r="Q2367">
        <f>IF('Loan Tape (S&amp;P)'!V2367="Yes",
    1.20,
    1.00)</f>
        <v/>
      </c>
      <c r="T2367">
        <f>LET(
    payment_method,'Loan Tape (S&amp;P)'!P2367,
    occupancy,'Loan Tape (S&amp;P)'!N2367,
    maturity_date,'Loan Tape (S&amp;P)'!L2367,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68">
      <c r="J2368">
        <f>LET(
    lien,'Loan Tape (S&amp;P)'!Q2368,
    IF(lien="First",1.00,
        IF(lien="Second",1.50,
            1.70)))</f>
        <v/>
      </c>
      <c r="K2368">
        <f>LET(
    purpose,'Loan Tape (S&amp;P)'!R2368,
    IF(purpose="Purchase",1.00,
        IF(purpose="Remortgage",1.00,
            1.20)))</f>
        <v/>
      </c>
      <c r="L2368">
        <f>LET(
    arrears_months,'Loan Tape (S&amp;P)'!AN2368,
    IF(arrears_months=0,1.00,
    IF(arrears_months=1,3.00,
    IF(arrears_months=2,5.00,
    IF(arrears_months=3,8.00,
    IF(arrears_months=4,10.00,
    IF(arrears_months=5,12.00,15.00)))))))</f>
        <v/>
      </c>
      <c r="M2368">
        <f>LET(
    seasoning_years,DATEDIF('Loan Tape (S&amp;P)'!K2368,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68">
        <f>IF(AND('Loan Tape (S&amp;P)'!U2368="Yes",
        'Loan Tape (S&amp;P)'!T2368&lt;&gt;"Yes",
        DATEDIF('Loan Tape (S&amp;P)'!K2368, TODAY(), "M")&lt;18),
    1.10,
    1.00)</f>
        <v/>
      </c>
      <c r="O2368">
        <f>IF('Loan Tape (S&amp;P)'!T2368="Yes",
    1.35,
    1.00)</f>
        <v/>
      </c>
      <c r="P2368">
        <f>IF('Loan Tape (S&amp;P)'!S2368="Yes",
    1.15,
    1.00)</f>
        <v/>
      </c>
      <c r="Q2368">
        <f>IF('Loan Tape (S&amp;P)'!V2368="Yes",
    1.20,
    1.00)</f>
        <v/>
      </c>
      <c r="T2368">
        <f>LET(
    payment_method,'Loan Tape (S&amp;P)'!P2368,
    occupancy,'Loan Tape (S&amp;P)'!N2368,
    maturity_date,'Loan Tape (S&amp;P)'!L2368,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69">
      <c r="J2369">
        <f>LET(
    lien,'Loan Tape (S&amp;P)'!Q2369,
    IF(lien="First",1.00,
        IF(lien="Second",1.50,
            1.70)))</f>
        <v/>
      </c>
      <c r="K2369">
        <f>LET(
    purpose,'Loan Tape (S&amp;P)'!R2369,
    IF(purpose="Purchase",1.00,
        IF(purpose="Remortgage",1.00,
            1.20)))</f>
        <v/>
      </c>
      <c r="L2369">
        <f>LET(
    arrears_months,'Loan Tape (S&amp;P)'!AN2369,
    IF(arrears_months=0,1.00,
    IF(arrears_months=1,3.00,
    IF(arrears_months=2,5.00,
    IF(arrears_months=3,8.00,
    IF(arrears_months=4,10.00,
    IF(arrears_months=5,12.00,15.00)))))))</f>
        <v/>
      </c>
      <c r="M2369">
        <f>LET(
    seasoning_years,DATEDIF('Loan Tape (S&amp;P)'!K2369,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69">
        <f>IF(AND('Loan Tape (S&amp;P)'!U2369="Yes",
        'Loan Tape (S&amp;P)'!T2369&lt;&gt;"Yes",
        DATEDIF('Loan Tape (S&amp;P)'!K2369, TODAY(), "M")&lt;18),
    1.10,
    1.00)</f>
        <v/>
      </c>
      <c r="O2369">
        <f>IF('Loan Tape (S&amp;P)'!T2369="Yes",
    1.35,
    1.00)</f>
        <v/>
      </c>
      <c r="P2369">
        <f>IF('Loan Tape (S&amp;P)'!S2369="Yes",
    1.15,
    1.00)</f>
        <v/>
      </c>
      <c r="Q2369">
        <f>IF('Loan Tape (S&amp;P)'!V2369="Yes",
    1.20,
    1.00)</f>
        <v/>
      </c>
      <c r="T2369">
        <f>LET(
    payment_method,'Loan Tape (S&amp;P)'!P2369,
    occupancy,'Loan Tape (S&amp;P)'!N2369,
    maturity_date,'Loan Tape (S&amp;P)'!L2369,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70">
      <c r="J2370">
        <f>LET(
    lien,'Loan Tape (S&amp;P)'!Q2370,
    IF(lien="First",1.00,
        IF(lien="Second",1.50,
            1.70)))</f>
        <v/>
      </c>
      <c r="K2370">
        <f>LET(
    purpose,'Loan Tape (S&amp;P)'!R2370,
    IF(purpose="Purchase",1.00,
        IF(purpose="Remortgage",1.00,
            1.20)))</f>
        <v/>
      </c>
      <c r="L2370">
        <f>LET(
    arrears_months,'Loan Tape (S&amp;P)'!AN2370,
    IF(arrears_months=0,1.00,
    IF(arrears_months=1,3.00,
    IF(arrears_months=2,5.00,
    IF(arrears_months=3,8.00,
    IF(arrears_months=4,10.00,
    IF(arrears_months=5,12.00,15.00)))))))</f>
        <v/>
      </c>
      <c r="M2370">
        <f>LET(
    seasoning_years,DATEDIF('Loan Tape (S&amp;P)'!K2370,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70">
        <f>IF(AND('Loan Tape (S&amp;P)'!U2370="Yes",
        'Loan Tape (S&amp;P)'!T2370&lt;&gt;"Yes",
        DATEDIF('Loan Tape (S&amp;P)'!K2370, TODAY(), "M")&lt;18),
    1.10,
    1.00)</f>
        <v/>
      </c>
      <c r="O2370">
        <f>IF('Loan Tape (S&amp;P)'!T2370="Yes",
    1.35,
    1.00)</f>
        <v/>
      </c>
      <c r="P2370">
        <f>IF('Loan Tape (S&amp;P)'!S2370="Yes",
    1.15,
    1.00)</f>
        <v/>
      </c>
      <c r="Q2370">
        <f>IF('Loan Tape (S&amp;P)'!V2370="Yes",
    1.20,
    1.00)</f>
        <v/>
      </c>
      <c r="T2370">
        <f>LET(
    payment_method,'Loan Tape (S&amp;P)'!P2370,
    occupancy,'Loan Tape (S&amp;P)'!N2370,
    maturity_date,'Loan Tape (S&amp;P)'!L2370,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71">
      <c r="J2371">
        <f>LET(
    lien,'Loan Tape (S&amp;P)'!Q2371,
    IF(lien="First",1.00,
        IF(lien="Second",1.50,
            1.70)))</f>
        <v/>
      </c>
      <c r="K2371">
        <f>LET(
    purpose,'Loan Tape (S&amp;P)'!R2371,
    IF(purpose="Purchase",1.00,
        IF(purpose="Remortgage",1.00,
            1.20)))</f>
        <v/>
      </c>
      <c r="L2371">
        <f>LET(
    arrears_months,'Loan Tape (S&amp;P)'!AN2371,
    IF(arrears_months=0,1.00,
    IF(arrears_months=1,3.00,
    IF(arrears_months=2,5.00,
    IF(arrears_months=3,8.00,
    IF(arrears_months=4,10.00,
    IF(arrears_months=5,12.00,15.00)))))))</f>
        <v/>
      </c>
      <c r="M2371">
        <f>LET(
    seasoning_years,DATEDIF('Loan Tape (S&amp;P)'!K2371,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71">
        <f>IF(AND('Loan Tape (S&amp;P)'!U2371="Yes",
        'Loan Tape (S&amp;P)'!T2371&lt;&gt;"Yes",
        DATEDIF('Loan Tape (S&amp;P)'!K2371, TODAY(), "M")&lt;18),
    1.10,
    1.00)</f>
        <v/>
      </c>
      <c r="O2371">
        <f>IF('Loan Tape (S&amp;P)'!T2371="Yes",
    1.35,
    1.00)</f>
        <v/>
      </c>
      <c r="P2371">
        <f>IF('Loan Tape (S&amp;P)'!S2371="Yes",
    1.15,
    1.00)</f>
        <v/>
      </c>
      <c r="Q2371">
        <f>IF('Loan Tape (S&amp;P)'!V2371="Yes",
    1.20,
    1.00)</f>
        <v/>
      </c>
      <c r="T2371">
        <f>LET(
    payment_method,'Loan Tape (S&amp;P)'!P2371,
    occupancy,'Loan Tape (S&amp;P)'!N2371,
    maturity_date,'Loan Tape (S&amp;P)'!L2371,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72">
      <c r="J2372">
        <f>LET(
    lien,'Loan Tape (S&amp;P)'!Q2372,
    IF(lien="First",1.00,
        IF(lien="Second",1.50,
            1.70)))</f>
        <v/>
      </c>
      <c r="K2372">
        <f>LET(
    purpose,'Loan Tape (S&amp;P)'!R2372,
    IF(purpose="Purchase",1.00,
        IF(purpose="Remortgage",1.00,
            1.20)))</f>
        <v/>
      </c>
      <c r="L2372">
        <f>LET(
    arrears_months,'Loan Tape (S&amp;P)'!AN2372,
    IF(arrears_months=0,1.00,
    IF(arrears_months=1,3.00,
    IF(arrears_months=2,5.00,
    IF(arrears_months=3,8.00,
    IF(arrears_months=4,10.00,
    IF(arrears_months=5,12.00,15.00)))))))</f>
        <v/>
      </c>
      <c r="M2372">
        <f>LET(
    seasoning_years,DATEDIF('Loan Tape (S&amp;P)'!K2372,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72">
        <f>IF(AND('Loan Tape (S&amp;P)'!U2372="Yes",
        'Loan Tape (S&amp;P)'!T2372&lt;&gt;"Yes",
        DATEDIF('Loan Tape (S&amp;P)'!K2372, TODAY(), "M")&lt;18),
    1.10,
    1.00)</f>
        <v/>
      </c>
      <c r="O2372">
        <f>IF('Loan Tape (S&amp;P)'!T2372="Yes",
    1.35,
    1.00)</f>
        <v/>
      </c>
      <c r="P2372">
        <f>IF('Loan Tape (S&amp;P)'!S2372="Yes",
    1.15,
    1.00)</f>
        <v/>
      </c>
      <c r="Q2372">
        <f>IF('Loan Tape (S&amp;P)'!V2372="Yes",
    1.20,
    1.00)</f>
        <v/>
      </c>
      <c r="T2372">
        <f>LET(
    payment_method,'Loan Tape (S&amp;P)'!P2372,
    occupancy,'Loan Tape (S&amp;P)'!N2372,
    maturity_date,'Loan Tape (S&amp;P)'!L2372,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73">
      <c r="J2373">
        <f>LET(
    lien,'Loan Tape (S&amp;P)'!Q2373,
    IF(lien="First",1.00,
        IF(lien="Second",1.50,
            1.70)))</f>
        <v/>
      </c>
      <c r="K2373">
        <f>LET(
    purpose,'Loan Tape (S&amp;P)'!R2373,
    IF(purpose="Purchase",1.00,
        IF(purpose="Remortgage",1.00,
            1.20)))</f>
        <v/>
      </c>
      <c r="L2373">
        <f>LET(
    arrears_months,'Loan Tape (S&amp;P)'!AN2373,
    IF(arrears_months=0,1.00,
    IF(arrears_months=1,3.00,
    IF(arrears_months=2,5.00,
    IF(arrears_months=3,8.00,
    IF(arrears_months=4,10.00,
    IF(arrears_months=5,12.00,15.00)))))))</f>
        <v/>
      </c>
      <c r="M2373">
        <f>LET(
    seasoning_years,DATEDIF('Loan Tape (S&amp;P)'!K2373,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73">
        <f>IF(AND('Loan Tape (S&amp;P)'!U2373="Yes",
        'Loan Tape (S&amp;P)'!T2373&lt;&gt;"Yes",
        DATEDIF('Loan Tape (S&amp;P)'!K2373, TODAY(), "M")&lt;18),
    1.10,
    1.00)</f>
        <v/>
      </c>
      <c r="O2373">
        <f>IF('Loan Tape (S&amp;P)'!T2373="Yes",
    1.35,
    1.00)</f>
        <v/>
      </c>
      <c r="P2373">
        <f>IF('Loan Tape (S&amp;P)'!S2373="Yes",
    1.15,
    1.00)</f>
        <v/>
      </c>
      <c r="Q2373">
        <f>IF('Loan Tape (S&amp;P)'!V2373="Yes",
    1.20,
    1.00)</f>
        <v/>
      </c>
      <c r="T2373">
        <f>LET(
    payment_method,'Loan Tape (S&amp;P)'!P2373,
    occupancy,'Loan Tape (S&amp;P)'!N2373,
    maturity_date,'Loan Tape (S&amp;P)'!L2373,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74">
      <c r="J2374">
        <f>LET(
    lien,'Loan Tape (S&amp;P)'!Q2374,
    IF(lien="First",1.00,
        IF(lien="Second",1.50,
            1.70)))</f>
        <v/>
      </c>
      <c r="K2374">
        <f>LET(
    purpose,'Loan Tape (S&amp;P)'!R2374,
    IF(purpose="Purchase",1.00,
        IF(purpose="Remortgage",1.00,
            1.20)))</f>
        <v/>
      </c>
      <c r="L2374">
        <f>LET(
    arrears_months,'Loan Tape (S&amp;P)'!AN2374,
    IF(arrears_months=0,1.00,
    IF(arrears_months=1,3.00,
    IF(arrears_months=2,5.00,
    IF(arrears_months=3,8.00,
    IF(arrears_months=4,10.00,
    IF(arrears_months=5,12.00,15.00)))))))</f>
        <v/>
      </c>
      <c r="M2374">
        <f>LET(
    seasoning_years,DATEDIF('Loan Tape (S&amp;P)'!K2374,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74">
        <f>IF(AND('Loan Tape (S&amp;P)'!U2374="Yes",
        'Loan Tape (S&amp;P)'!T2374&lt;&gt;"Yes",
        DATEDIF('Loan Tape (S&amp;P)'!K2374, TODAY(), "M")&lt;18),
    1.10,
    1.00)</f>
        <v/>
      </c>
      <c r="O2374">
        <f>IF('Loan Tape (S&amp;P)'!T2374="Yes",
    1.35,
    1.00)</f>
        <v/>
      </c>
      <c r="P2374">
        <f>IF('Loan Tape (S&amp;P)'!S2374="Yes",
    1.15,
    1.00)</f>
        <v/>
      </c>
      <c r="Q2374">
        <f>IF('Loan Tape (S&amp;P)'!V2374="Yes",
    1.20,
    1.00)</f>
        <v/>
      </c>
      <c r="T2374">
        <f>LET(
    payment_method,'Loan Tape (S&amp;P)'!P2374,
    occupancy,'Loan Tape (S&amp;P)'!N2374,
    maturity_date,'Loan Tape (S&amp;P)'!L2374,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75">
      <c r="J2375">
        <f>LET(
    lien,'Loan Tape (S&amp;P)'!Q2375,
    IF(lien="First",1.00,
        IF(lien="Second",1.50,
            1.70)))</f>
        <v/>
      </c>
      <c r="K2375">
        <f>LET(
    purpose,'Loan Tape (S&amp;P)'!R2375,
    IF(purpose="Purchase",1.00,
        IF(purpose="Remortgage",1.00,
            1.20)))</f>
        <v/>
      </c>
      <c r="L2375">
        <f>LET(
    arrears_months,'Loan Tape (S&amp;P)'!AN2375,
    IF(arrears_months=0,1.00,
    IF(arrears_months=1,3.00,
    IF(arrears_months=2,5.00,
    IF(arrears_months=3,8.00,
    IF(arrears_months=4,10.00,
    IF(arrears_months=5,12.00,15.00)))))))</f>
        <v/>
      </c>
      <c r="M2375">
        <f>LET(
    seasoning_years,DATEDIF('Loan Tape (S&amp;P)'!K2375,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75">
        <f>IF(AND('Loan Tape (S&amp;P)'!U2375="Yes",
        'Loan Tape (S&amp;P)'!T2375&lt;&gt;"Yes",
        DATEDIF('Loan Tape (S&amp;P)'!K2375, TODAY(), "M")&lt;18),
    1.10,
    1.00)</f>
        <v/>
      </c>
      <c r="O2375">
        <f>IF('Loan Tape (S&amp;P)'!T2375="Yes",
    1.35,
    1.00)</f>
        <v/>
      </c>
      <c r="P2375">
        <f>IF('Loan Tape (S&amp;P)'!S2375="Yes",
    1.15,
    1.00)</f>
        <v/>
      </c>
      <c r="Q2375">
        <f>IF('Loan Tape (S&amp;P)'!V2375="Yes",
    1.20,
    1.00)</f>
        <v/>
      </c>
      <c r="T2375">
        <f>LET(
    payment_method,'Loan Tape (S&amp;P)'!P2375,
    occupancy,'Loan Tape (S&amp;P)'!N2375,
    maturity_date,'Loan Tape (S&amp;P)'!L2375,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76">
      <c r="J2376">
        <f>LET(
    lien,'Loan Tape (S&amp;P)'!Q2376,
    IF(lien="First",1.00,
        IF(lien="Second",1.50,
            1.70)))</f>
        <v/>
      </c>
      <c r="K2376">
        <f>LET(
    purpose,'Loan Tape (S&amp;P)'!R2376,
    IF(purpose="Purchase",1.00,
        IF(purpose="Remortgage",1.00,
            1.20)))</f>
        <v/>
      </c>
      <c r="L2376">
        <f>LET(
    arrears_months,'Loan Tape (S&amp;P)'!AN2376,
    IF(arrears_months=0,1.00,
    IF(arrears_months=1,3.00,
    IF(arrears_months=2,5.00,
    IF(arrears_months=3,8.00,
    IF(arrears_months=4,10.00,
    IF(arrears_months=5,12.00,15.00)))))))</f>
        <v/>
      </c>
      <c r="M2376">
        <f>LET(
    seasoning_years,DATEDIF('Loan Tape (S&amp;P)'!K2376,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76">
        <f>IF(AND('Loan Tape (S&amp;P)'!U2376="Yes",
        'Loan Tape (S&amp;P)'!T2376&lt;&gt;"Yes",
        DATEDIF('Loan Tape (S&amp;P)'!K2376, TODAY(), "M")&lt;18),
    1.10,
    1.00)</f>
        <v/>
      </c>
      <c r="O2376">
        <f>IF('Loan Tape (S&amp;P)'!T2376="Yes",
    1.35,
    1.00)</f>
        <v/>
      </c>
      <c r="P2376">
        <f>IF('Loan Tape (S&amp;P)'!S2376="Yes",
    1.15,
    1.00)</f>
        <v/>
      </c>
      <c r="Q2376">
        <f>IF('Loan Tape (S&amp;P)'!V2376="Yes",
    1.20,
    1.00)</f>
        <v/>
      </c>
      <c r="T2376">
        <f>LET(
    payment_method,'Loan Tape (S&amp;P)'!P2376,
    occupancy,'Loan Tape (S&amp;P)'!N2376,
    maturity_date,'Loan Tape (S&amp;P)'!L2376,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77">
      <c r="J2377">
        <f>LET(
    lien,'Loan Tape (S&amp;P)'!Q2377,
    IF(lien="First",1.00,
        IF(lien="Second",1.50,
            1.70)))</f>
        <v/>
      </c>
      <c r="K2377">
        <f>LET(
    purpose,'Loan Tape (S&amp;P)'!R2377,
    IF(purpose="Purchase",1.00,
        IF(purpose="Remortgage",1.00,
            1.20)))</f>
        <v/>
      </c>
      <c r="L2377">
        <f>LET(
    arrears_months,'Loan Tape (S&amp;P)'!AN2377,
    IF(arrears_months=0,1.00,
    IF(arrears_months=1,3.00,
    IF(arrears_months=2,5.00,
    IF(arrears_months=3,8.00,
    IF(arrears_months=4,10.00,
    IF(arrears_months=5,12.00,15.00)))))))</f>
        <v/>
      </c>
      <c r="M2377">
        <f>LET(
    seasoning_years,DATEDIF('Loan Tape (S&amp;P)'!K2377,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77">
        <f>IF(AND('Loan Tape (S&amp;P)'!U2377="Yes",
        'Loan Tape (S&amp;P)'!T2377&lt;&gt;"Yes",
        DATEDIF('Loan Tape (S&amp;P)'!K2377, TODAY(), "M")&lt;18),
    1.10,
    1.00)</f>
        <v/>
      </c>
      <c r="O2377">
        <f>IF('Loan Tape (S&amp;P)'!T2377="Yes",
    1.35,
    1.00)</f>
        <v/>
      </c>
      <c r="P2377">
        <f>IF('Loan Tape (S&amp;P)'!S2377="Yes",
    1.15,
    1.00)</f>
        <v/>
      </c>
      <c r="Q2377">
        <f>IF('Loan Tape (S&amp;P)'!V2377="Yes",
    1.20,
    1.00)</f>
        <v/>
      </c>
      <c r="T2377">
        <f>LET(
    payment_method,'Loan Tape (S&amp;P)'!P2377,
    occupancy,'Loan Tape (S&amp;P)'!N2377,
    maturity_date,'Loan Tape (S&amp;P)'!L2377,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78">
      <c r="J2378">
        <f>LET(
    lien,'Loan Tape (S&amp;P)'!Q2378,
    IF(lien="First",1.00,
        IF(lien="Second",1.50,
            1.70)))</f>
        <v/>
      </c>
      <c r="K2378">
        <f>LET(
    purpose,'Loan Tape (S&amp;P)'!R2378,
    IF(purpose="Purchase",1.00,
        IF(purpose="Remortgage",1.00,
            1.20)))</f>
        <v/>
      </c>
      <c r="L2378">
        <f>LET(
    arrears_months,'Loan Tape (S&amp;P)'!AN2378,
    IF(arrears_months=0,1.00,
    IF(arrears_months=1,3.00,
    IF(arrears_months=2,5.00,
    IF(arrears_months=3,8.00,
    IF(arrears_months=4,10.00,
    IF(arrears_months=5,12.00,15.00)))))))</f>
        <v/>
      </c>
      <c r="M2378">
        <f>LET(
    seasoning_years,DATEDIF('Loan Tape (S&amp;P)'!K2378,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78">
        <f>IF(AND('Loan Tape (S&amp;P)'!U2378="Yes",
        'Loan Tape (S&amp;P)'!T2378&lt;&gt;"Yes",
        DATEDIF('Loan Tape (S&amp;P)'!K2378, TODAY(), "M")&lt;18),
    1.10,
    1.00)</f>
        <v/>
      </c>
      <c r="O2378">
        <f>IF('Loan Tape (S&amp;P)'!T2378="Yes",
    1.35,
    1.00)</f>
        <v/>
      </c>
      <c r="P2378">
        <f>IF('Loan Tape (S&amp;P)'!S2378="Yes",
    1.15,
    1.00)</f>
        <v/>
      </c>
      <c r="Q2378">
        <f>IF('Loan Tape (S&amp;P)'!V2378="Yes",
    1.20,
    1.00)</f>
        <v/>
      </c>
      <c r="T2378">
        <f>LET(
    payment_method,'Loan Tape (S&amp;P)'!P2378,
    occupancy,'Loan Tape (S&amp;P)'!N2378,
    maturity_date,'Loan Tape (S&amp;P)'!L2378,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79">
      <c r="J2379">
        <f>LET(
    lien,'Loan Tape (S&amp;P)'!Q2379,
    IF(lien="First",1.00,
        IF(lien="Second",1.50,
            1.70)))</f>
        <v/>
      </c>
      <c r="K2379">
        <f>LET(
    purpose,'Loan Tape (S&amp;P)'!R2379,
    IF(purpose="Purchase",1.00,
        IF(purpose="Remortgage",1.00,
            1.20)))</f>
        <v/>
      </c>
      <c r="L2379">
        <f>LET(
    arrears_months,'Loan Tape (S&amp;P)'!AN2379,
    IF(arrears_months=0,1.00,
    IF(arrears_months=1,3.00,
    IF(arrears_months=2,5.00,
    IF(arrears_months=3,8.00,
    IF(arrears_months=4,10.00,
    IF(arrears_months=5,12.00,15.00)))))))</f>
        <v/>
      </c>
      <c r="M2379">
        <f>LET(
    seasoning_years,DATEDIF('Loan Tape (S&amp;P)'!K2379,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79">
        <f>IF(AND('Loan Tape (S&amp;P)'!U2379="Yes",
        'Loan Tape (S&amp;P)'!T2379&lt;&gt;"Yes",
        DATEDIF('Loan Tape (S&amp;P)'!K2379, TODAY(), "M")&lt;18),
    1.10,
    1.00)</f>
        <v/>
      </c>
      <c r="O2379">
        <f>IF('Loan Tape (S&amp;P)'!T2379="Yes",
    1.35,
    1.00)</f>
        <v/>
      </c>
      <c r="P2379">
        <f>IF('Loan Tape (S&amp;P)'!S2379="Yes",
    1.15,
    1.00)</f>
        <v/>
      </c>
      <c r="Q2379">
        <f>IF('Loan Tape (S&amp;P)'!V2379="Yes",
    1.20,
    1.00)</f>
        <v/>
      </c>
      <c r="T2379">
        <f>LET(
    payment_method,'Loan Tape (S&amp;P)'!P2379,
    occupancy,'Loan Tape (S&amp;P)'!N2379,
    maturity_date,'Loan Tape (S&amp;P)'!L2379,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80">
      <c r="J2380">
        <f>LET(
    lien,'Loan Tape (S&amp;P)'!Q2380,
    IF(lien="First",1.00,
        IF(lien="Second",1.50,
            1.70)))</f>
        <v/>
      </c>
      <c r="K2380">
        <f>LET(
    purpose,'Loan Tape (S&amp;P)'!R2380,
    IF(purpose="Purchase",1.00,
        IF(purpose="Remortgage",1.00,
            1.20)))</f>
        <v/>
      </c>
      <c r="L2380">
        <f>LET(
    arrears_months,'Loan Tape (S&amp;P)'!AN2380,
    IF(arrears_months=0,1.00,
    IF(arrears_months=1,3.00,
    IF(arrears_months=2,5.00,
    IF(arrears_months=3,8.00,
    IF(arrears_months=4,10.00,
    IF(arrears_months=5,12.00,15.00)))))))</f>
        <v/>
      </c>
      <c r="M2380">
        <f>LET(
    seasoning_years,DATEDIF('Loan Tape (S&amp;P)'!K2380,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80">
        <f>IF(AND('Loan Tape (S&amp;P)'!U2380="Yes",
        'Loan Tape (S&amp;P)'!T2380&lt;&gt;"Yes",
        DATEDIF('Loan Tape (S&amp;P)'!K2380, TODAY(), "M")&lt;18),
    1.10,
    1.00)</f>
        <v/>
      </c>
      <c r="O2380">
        <f>IF('Loan Tape (S&amp;P)'!T2380="Yes",
    1.35,
    1.00)</f>
        <v/>
      </c>
      <c r="P2380">
        <f>IF('Loan Tape (S&amp;P)'!S2380="Yes",
    1.15,
    1.00)</f>
        <v/>
      </c>
      <c r="Q2380">
        <f>IF('Loan Tape (S&amp;P)'!V2380="Yes",
    1.20,
    1.00)</f>
        <v/>
      </c>
      <c r="T2380">
        <f>LET(
    payment_method,'Loan Tape (S&amp;P)'!P2380,
    occupancy,'Loan Tape (S&amp;P)'!N2380,
    maturity_date,'Loan Tape (S&amp;P)'!L2380,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81">
      <c r="J2381">
        <f>LET(
    lien,'Loan Tape (S&amp;P)'!Q2381,
    IF(lien="First",1.00,
        IF(lien="Second",1.50,
            1.70)))</f>
        <v/>
      </c>
      <c r="K2381">
        <f>LET(
    purpose,'Loan Tape (S&amp;P)'!R2381,
    IF(purpose="Purchase",1.00,
        IF(purpose="Remortgage",1.00,
            1.20)))</f>
        <v/>
      </c>
      <c r="L2381">
        <f>LET(
    arrears_months,'Loan Tape (S&amp;P)'!AN2381,
    IF(arrears_months=0,1.00,
    IF(arrears_months=1,3.00,
    IF(arrears_months=2,5.00,
    IF(arrears_months=3,8.00,
    IF(arrears_months=4,10.00,
    IF(arrears_months=5,12.00,15.00)))))))</f>
        <v/>
      </c>
      <c r="M2381">
        <f>LET(
    seasoning_years,DATEDIF('Loan Tape (S&amp;P)'!K2381,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81">
        <f>IF(AND('Loan Tape (S&amp;P)'!U2381="Yes",
        'Loan Tape (S&amp;P)'!T2381&lt;&gt;"Yes",
        DATEDIF('Loan Tape (S&amp;P)'!K2381, TODAY(), "M")&lt;18),
    1.10,
    1.00)</f>
        <v/>
      </c>
      <c r="O2381">
        <f>IF('Loan Tape (S&amp;P)'!T2381="Yes",
    1.35,
    1.00)</f>
        <v/>
      </c>
      <c r="P2381">
        <f>IF('Loan Tape (S&amp;P)'!S2381="Yes",
    1.15,
    1.00)</f>
        <v/>
      </c>
      <c r="Q2381">
        <f>IF('Loan Tape (S&amp;P)'!V2381="Yes",
    1.20,
    1.00)</f>
        <v/>
      </c>
      <c r="T2381">
        <f>LET(
    payment_method,'Loan Tape (S&amp;P)'!P2381,
    occupancy,'Loan Tape (S&amp;P)'!N2381,
    maturity_date,'Loan Tape (S&amp;P)'!L2381,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82">
      <c r="J2382">
        <f>LET(
    lien,'Loan Tape (S&amp;P)'!Q2382,
    IF(lien="First",1.00,
        IF(lien="Second",1.50,
            1.70)))</f>
        <v/>
      </c>
      <c r="K2382">
        <f>LET(
    purpose,'Loan Tape (S&amp;P)'!R2382,
    IF(purpose="Purchase",1.00,
        IF(purpose="Remortgage",1.00,
            1.20)))</f>
        <v/>
      </c>
      <c r="L2382">
        <f>LET(
    arrears_months,'Loan Tape (S&amp;P)'!AN2382,
    IF(arrears_months=0,1.00,
    IF(arrears_months=1,3.00,
    IF(arrears_months=2,5.00,
    IF(arrears_months=3,8.00,
    IF(arrears_months=4,10.00,
    IF(arrears_months=5,12.00,15.00)))))))</f>
        <v/>
      </c>
      <c r="M2382">
        <f>LET(
    seasoning_years,DATEDIF('Loan Tape (S&amp;P)'!K2382,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82">
        <f>IF(AND('Loan Tape (S&amp;P)'!U2382="Yes",
        'Loan Tape (S&amp;P)'!T2382&lt;&gt;"Yes",
        DATEDIF('Loan Tape (S&amp;P)'!K2382, TODAY(), "M")&lt;18),
    1.10,
    1.00)</f>
        <v/>
      </c>
      <c r="O2382">
        <f>IF('Loan Tape (S&amp;P)'!T2382="Yes",
    1.35,
    1.00)</f>
        <v/>
      </c>
      <c r="P2382">
        <f>IF('Loan Tape (S&amp;P)'!S2382="Yes",
    1.15,
    1.00)</f>
        <v/>
      </c>
      <c r="Q2382">
        <f>IF('Loan Tape (S&amp;P)'!V2382="Yes",
    1.20,
    1.00)</f>
        <v/>
      </c>
      <c r="T2382">
        <f>LET(
    payment_method,'Loan Tape (S&amp;P)'!P2382,
    occupancy,'Loan Tape (S&amp;P)'!N2382,
    maturity_date,'Loan Tape (S&amp;P)'!L2382,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83">
      <c r="J2383">
        <f>LET(
    lien,'Loan Tape (S&amp;P)'!Q2383,
    IF(lien="First",1.00,
        IF(lien="Second",1.50,
            1.70)))</f>
        <v/>
      </c>
      <c r="K2383">
        <f>LET(
    purpose,'Loan Tape (S&amp;P)'!R2383,
    IF(purpose="Purchase",1.00,
        IF(purpose="Remortgage",1.00,
            1.20)))</f>
        <v/>
      </c>
      <c r="L2383">
        <f>LET(
    arrears_months,'Loan Tape (S&amp;P)'!AN2383,
    IF(arrears_months=0,1.00,
    IF(arrears_months=1,3.00,
    IF(arrears_months=2,5.00,
    IF(arrears_months=3,8.00,
    IF(arrears_months=4,10.00,
    IF(arrears_months=5,12.00,15.00)))))))</f>
        <v/>
      </c>
      <c r="M2383">
        <f>LET(
    seasoning_years,DATEDIF('Loan Tape (S&amp;P)'!K2383,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83">
        <f>IF(AND('Loan Tape (S&amp;P)'!U2383="Yes",
        'Loan Tape (S&amp;P)'!T2383&lt;&gt;"Yes",
        DATEDIF('Loan Tape (S&amp;P)'!K2383, TODAY(), "M")&lt;18),
    1.10,
    1.00)</f>
        <v/>
      </c>
      <c r="O2383">
        <f>IF('Loan Tape (S&amp;P)'!T2383="Yes",
    1.35,
    1.00)</f>
        <v/>
      </c>
      <c r="P2383">
        <f>IF('Loan Tape (S&amp;P)'!S2383="Yes",
    1.15,
    1.00)</f>
        <v/>
      </c>
      <c r="Q2383">
        <f>IF('Loan Tape (S&amp;P)'!V2383="Yes",
    1.20,
    1.00)</f>
        <v/>
      </c>
      <c r="T2383">
        <f>LET(
    payment_method,'Loan Tape (S&amp;P)'!P2383,
    occupancy,'Loan Tape (S&amp;P)'!N2383,
    maturity_date,'Loan Tape (S&amp;P)'!L2383,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84">
      <c r="J2384">
        <f>LET(
    lien,'Loan Tape (S&amp;P)'!Q2384,
    IF(lien="First",1.00,
        IF(lien="Second",1.50,
            1.70)))</f>
        <v/>
      </c>
      <c r="K2384">
        <f>LET(
    purpose,'Loan Tape (S&amp;P)'!R2384,
    IF(purpose="Purchase",1.00,
        IF(purpose="Remortgage",1.00,
            1.20)))</f>
        <v/>
      </c>
      <c r="L2384">
        <f>LET(
    arrears_months,'Loan Tape (S&amp;P)'!AN2384,
    IF(arrears_months=0,1.00,
    IF(arrears_months=1,3.00,
    IF(arrears_months=2,5.00,
    IF(arrears_months=3,8.00,
    IF(arrears_months=4,10.00,
    IF(arrears_months=5,12.00,15.00)))))))</f>
        <v/>
      </c>
      <c r="M2384">
        <f>LET(
    seasoning_years,DATEDIF('Loan Tape (S&amp;P)'!K2384,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84">
        <f>IF(AND('Loan Tape (S&amp;P)'!U2384="Yes",
        'Loan Tape (S&amp;P)'!T2384&lt;&gt;"Yes",
        DATEDIF('Loan Tape (S&amp;P)'!K2384, TODAY(), "M")&lt;18),
    1.10,
    1.00)</f>
        <v/>
      </c>
      <c r="O2384">
        <f>IF('Loan Tape (S&amp;P)'!T2384="Yes",
    1.35,
    1.00)</f>
        <v/>
      </c>
      <c r="P2384">
        <f>IF('Loan Tape (S&amp;P)'!S2384="Yes",
    1.15,
    1.00)</f>
        <v/>
      </c>
      <c r="Q2384">
        <f>IF('Loan Tape (S&amp;P)'!V2384="Yes",
    1.20,
    1.00)</f>
        <v/>
      </c>
      <c r="T2384">
        <f>LET(
    payment_method,'Loan Tape (S&amp;P)'!P2384,
    occupancy,'Loan Tape (S&amp;P)'!N2384,
    maturity_date,'Loan Tape (S&amp;P)'!L2384,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85">
      <c r="J2385">
        <f>LET(
    lien,'Loan Tape (S&amp;P)'!Q2385,
    IF(lien="First",1.00,
        IF(lien="Second",1.50,
            1.70)))</f>
        <v/>
      </c>
      <c r="K2385">
        <f>LET(
    purpose,'Loan Tape (S&amp;P)'!R2385,
    IF(purpose="Purchase",1.00,
        IF(purpose="Remortgage",1.00,
            1.20)))</f>
        <v/>
      </c>
      <c r="L2385">
        <f>LET(
    arrears_months,'Loan Tape (S&amp;P)'!AN2385,
    IF(arrears_months=0,1.00,
    IF(arrears_months=1,3.00,
    IF(arrears_months=2,5.00,
    IF(arrears_months=3,8.00,
    IF(arrears_months=4,10.00,
    IF(arrears_months=5,12.00,15.00)))))))</f>
        <v/>
      </c>
      <c r="M2385">
        <f>LET(
    seasoning_years,DATEDIF('Loan Tape (S&amp;P)'!K2385,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85">
        <f>IF(AND('Loan Tape (S&amp;P)'!U2385="Yes",
        'Loan Tape (S&amp;P)'!T2385&lt;&gt;"Yes",
        DATEDIF('Loan Tape (S&amp;P)'!K2385, TODAY(), "M")&lt;18),
    1.10,
    1.00)</f>
        <v/>
      </c>
      <c r="O2385">
        <f>IF('Loan Tape (S&amp;P)'!T2385="Yes",
    1.35,
    1.00)</f>
        <v/>
      </c>
      <c r="P2385">
        <f>IF('Loan Tape (S&amp;P)'!S2385="Yes",
    1.15,
    1.00)</f>
        <v/>
      </c>
      <c r="Q2385">
        <f>IF('Loan Tape (S&amp;P)'!V2385="Yes",
    1.20,
    1.00)</f>
        <v/>
      </c>
      <c r="T2385">
        <f>LET(
    payment_method,'Loan Tape (S&amp;P)'!P2385,
    occupancy,'Loan Tape (S&amp;P)'!N2385,
    maturity_date,'Loan Tape (S&amp;P)'!L2385,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86">
      <c r="J2386">
        <f>LET(
    lien,'Loan Tape (S&amp;P)'!Q2386,
    IF(lien="First",1.00,
        IF(lien="Second",1.50,
            1.70)))</f>
        <v/>
      </c>
      <c r="K2386">
        <f>LET(
    purpose,'Loan Tape (S&amp;P)'!R2386,
    IF(purpose="Purchase",1.00,
        IF(purpose="Remortgage",1.00,
            1.20)))</f>
        <v/>
      </c>
      <c r="L2386">
        <f>LET(
    arrears_months,'Loan Tape (S&amp;P)'!AN2386,
    IF(arrears_months=0,1.00,
    IF(arrears_months=1,3.00,
    IF(arrears_months=2,5.00,
    IF(arrears_months=3,8.00,
    IF(arrears_months=4,10.00,
    IF(arrears_months=5,12.00,15.00)))))))</f>
        <v/>
      </c>
      <c r="M2386">
        <f>LET(
    seasoning_years,DATEDIF('Loan Tape (S&amp;P)'!K2386,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86">
        <f>IF(AND('Loan Tape (S&amp;P)'!U2386="Yes",
        'Loan Tape (S&amp;P)'!T2386&lt;&gt;"Yes",
        DATEDIF('Loan Tape (S&amp;P)'!K2386, TODAY(), "M")&lt;18),
    1.10,
    1.00)</f>
        <v/>
      </c>
      <c r="O2386">
        <f>IF('Loan Tape (S&amp;P)'!T2386="Yes",
    1.35,
    1.00)</f>
        <v/>
      </c>
      <c r="P2386">
        <f>IF('Loan Tape (S&amp;P)'!S2386="Yes",
    1.15,
    1.00)</f>
        <v/>
      </c>
      <c r="Q2386">
        <f>IF('Loan Tape (S&amp;P)'!V2386="Yes",
    1.20,
    1.00)</f>
        <v/>
      </c>
      <c r="T2386">
        <f>LET(
    payment_method,'Loan Tape (S&amp;P)'!P2386,
    occupancy,'Loan Tape (S&amp;P)'!N2386,
    maturity_date,'Loan Tape (S&amp;P)'!L2386,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87">
      <c r="J2387">
        <f>LET(
    lien,'Loan Tape (S&amp;P)'!Q2387,
    IF(lien="First",1.00,
        IF(lien="Second",1.50,
            1.70)))</f>
        <v/>
      </c>
      <c r="K2387">
        <f>LET(
    purpose,'Loan Tape (S&amp;P)'!R2387,
    IF(purpose="Purchase",1.00,
        IF(purpose="Remortgage",1.00,
            1.20)))</f>
        <v/>
      </c>
      <c r="L2387">
        <f>LET(
    arrears_months,'Loan Tape (S&amp;P)'!AN2387,
    IF(arrears_months=0,1.00,
    IF(arrears_months=1,3.00,
    IF(arrears_months=2,5.00,
    IF(arrears_months=3,8.00,
    IF(arrears_months=4,10.00,
    IF(arrears_months=5,12.00,15.00)))))))</f>
        <v/>
      </c>
      <c r="M2387">
        <f>LET(
    seasoning_years,DATEDIF('Loan Tape (S&amp;P)'!K2387,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87">
        <f>IF(AND('Loan Tape (S&amp;P)'!U2387="Yes",
        'Loan Tape (S&amp;P)'!T2387&lt;&gt;"Yes",
        DATEDIF('Loan Tape (S&amp;P)'!K2387, TODAY(), "M")&lt;18),
    1.10,
    1.00)</f>
        <v/>
      </c>
      <c r="O2387">
        <f>IF('Loan Tape (S&amp;P)'!T2387="Yes",
    1.35,
    1.00)</f>
        <v/>
      </c>
      <c r="P2387">
        <f>IF('Loan Tape (S&amp;P)'!S2387="Yes",
    1.15,
    1.00)</f>
        <v/>
      </c>
      <c r="Q2387">
        <f>IF('Loan Tape (S&amp;P)'!V2387="Yes",
    1.20,
    1.00)</f>
        <v/>
      </c>
      <c r="T2387">
        <f>LET(
    payment_method,'Loan Tape (S&amp;P)'!P2387,
    occupancy,'Loan Tape (S&amp;P)'!N2387,
    maturity_date,'Loan Tape (S&amp;P)'!L2387,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88">
      <c r="J2388">
        <f>LET(
    lien,'Loan Tape (S&amp;P)'!Q2388,
    IF(lien="First",1.00,
        IF(lien="Second",1.50,
            1.70)))</f>
        <v/>
      </c>
      <c r="K2388">
        <f>LET(
    purpose,'Loan Tape (S&amp;P)'!R2388,
    IF(purpose="Purchase",1.00,
        IF(purpose="Remortgage",1.00,
            1.20)))</f>
        <v/>
      </c>
      <c r="L2388">
        <f>LET(
    arrears_months,'Loan Tape (S&amp;P)'!AN2388,
    IF(arrears_months=0,1.00,
    IF(arrears_months=1,3.00,
    IF(arrears_months=2,5.00,
    IF(arrears_months=3,8.00,
    IF(arrears_months=4,10.00,
    IF(arrears_months=5,12.00,15.00)))))))</f>
        <v/>
      </c>
      <c r="M2388">
        <f>LET(
    seasoning_years,DATEDIF('Loan Tape (S&amp;P)'!K2388,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88">
        <f>IF(AND('Loan Tape (S&amp;P)'!U2388="Yes",
        'Loan Tape (S&amp;P)'!T2388&lt;&gt;"Yes",
        DATEDIF('Loan Tape (S&amp;P)'!K2388, TODAY(), "M")&lt;18),
    1.10,
    1.00)</f>
        <v/>
      </c>
      <c r="O2388">
        <f>IF('Loan Tape (S&amp;P)'!T2388="Yes",
    1.35,
    1.00)</f>
        <v/>
      </c>
      <c r="P2388">
        <f>IF('Loan Tape (S&amp;P)'!S2388="Yes",
    1.15,
    1.00)</f>
        <v/>
      </c>
      <c r="Q2388">
        <f>IF('Loan Tape (S&amp;P)'!V2388="Yes",
    1.20,
    1.00)</f>
        <v/>
      </c>
      <c r="T2388">
        <f>LET(
    payment_method,'Loan Tape (S&amp;P)'!P2388,
    occupancy,'Loan Tape (S&amp;P)'!N2388,
    maturity_date,'Loan Tape (S&amp;P)'!L2388,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89">
      <c r="J2389">
        <f>LET(
    lien,'Loan Tape (S&amp;P)'!Q2389,
    IF(lien="First",1.00,
        IF(lien="Second",1.50,
            1.70)))</f>
        <v/>
      </c>
      <c r="K2389">
        <f>LET(
    purpose,'Loan Tape (S&amp;P)'!R2389,
    IF(purpose="Purchase",1.00,
        IF(purpose="Remortgage",1.00,
            1.20)))</f>
        <v/>
      </c>
      <c r="L2389">
        <f>LET(
    arrears_months,'Loan Tape (S&amp;P)'!AN2389,
    IF(arrears_months=0,1.00,
    IF(arrears_months=1,3.00,
    IF(arrears_months=2,5.00,
    IF(arrears_months=3,8.00,
    IF(arrears_months=4,10.00,
    IF(arrears_months=5,12.00,15.00)))))))</f>
        <v/>
      </c>
      <c r="M2389">
        <f>LET(
    seasoning_years,DATEDIF('Loan Tape (S&amp;P)'!K2389,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89">
        <f>IF(AND('Loan Tape (S&amp;P)'!U2389="Yes",
        'Loan Tape (S&amp;P)'!T2389&lt;&gt;"Yes",
        DATEDIF('Loan Tape (S&amp;P)'!K2389, TODAY(), "M")&lt;18),
    1.10,
    1.00)</f>
        <v/>
      </c>
      <c r="O2389">
        <f>IF('Loan Tape (S&amp;P)'!T2389="Yes",
    1.35,
    1.00)</f>
        <v/>
      </c>
      <c r="P2389">
        <f>IF('Loan Tape (S&amp;P)'!S2389="Yes",
    1.15,
    1.00)</f>
        <v/>
      </c>
      <c r="Q2389">
        <f>IF('Loan Tape (S&amp;P)'!V2389="Yes",
    1.20,
    1.00)</f>
        <v/>
      </c>
      <c r="T2389">
        <f>LET(
    payment_method,'Loan Tape (S&amp;P)'!P2389,
    occupancy,'Loan Tape (S&amp;P)'!N2389,
    maturity_date,'Loan Tape (S&amp;P)'!L2389,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90">
      <c r="J2390">
        <f>LET(
    lien,'Loan Tape (S&amp;P)'!Q2390,
    IF(lien="First",1.00,
        IF(lien="Second",1.50,
            1.70)))</f>
        <v/>
      </c>
      <c r="K2390">
        <f>LET(
    purpose,'Loan Tape (S&amp;P)'!R2390,
    IF(purpose="Purchase",1.00,
        IF(purpose="Remortgage",1.00,
            1.20)))</f>
        <v/>
      </c>
      <c r="L2390">
        <f>LET(
    arrears_months,'Loan Tape (S&amp;P)'!AN2390,
    IF(arrears_months=0,1.00,
    IF(arrears_months=1,3.00,
    IF(arrears_months=2,5.00,
    IF(arrears_months=3,8.00,
    IF(arrears_months=4,10.00,
    IF(arrears_months=5,12.00,15.00)))))))</f>
        <v/>
      </c>
      <c r="M2390">
        <f>LET(
    seasoning_years,DATEDIF('Loan Tape (S&amp;P)'!K2390,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90">
        <f>IF(AND('Loan Tape (S&amp;P)'!U2390="Yes",
        'Loan Tape (S&amp;P)'!T2390&lt;&gt;"Yes",
        DATEDIF('Loan Tape (S&amp;P)'!K2390, TODAY(), "M")&lt;18),
    1.10,
    1.00)</f>
        <v/>
      </c>
      <c r="O2390">
        <f>IF('Loan Tape (S&amp;P)'!T2390="Yes",
    1.35,
    1.00)</f>
        <v/>
      </c>
      <c r="P2390">
        <f>IF('Loan Tape (S&amp;P)'!S2390="Yes",
    1.15,
    1.00)</f>
        <v/>
      </c>
      <c r="Q2390">
        <f>IF('Loan Tape (S&amp;P)'!V2390="Yes",
    1.20,
    1.00)</f>
        <v/>
      </c>
      <c r="T2390">
        <f>LET(
    payment_method,'Loan Tape (S&amp;P)'!P2390,
    occupancy,'Loan Tape (S&amp;P)'!N2390,
    maturity_date,'Loan Tape (S&amp;P)'!L2390,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91">
      <c r="J2391">
        <f>LET(
    lien,'Loan Tape (S&amp;P)'!Q2391,
    IF(lien="First",1.00,
        IF(lien="Second",1.50,
            1.70)))</f>
        <v/>
      </c>
      <c r="K2391">
        <f>LET(
    purpose,'Loan Tape (S&amp;P)'!R2391,
    IF(purpose="Purchase",1.00,
        IF(purpose="Remortgage",1.00,
            1.20)))</f>
        <v/>
      </c>
      <c r="L2391">
        <f>LET(
    arrears_months,'Loan Tape (S&amp;P)'!AN2391,
    IF(arrears_months=0,1.00,
    IF(arrears_months=1,3.00,
    IF(arrears_months=2,5.00,
    IF(arrears_months=3,8.00,
    IF(arrears_months=4,10.00,
    IF(arrears_months=5,12.00,15.00)))))))</f>
        <v/>
      </c>
      <c r="M2391">
        <f>LET(
    seasoning_years,DATEDIF('Loan Tape (S&amp;P)'!K2391,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91">
        <f>IF(AND('Loan Tape (S&amp;P)'!U2391="Yes",
        'Loan Tape (S&amp;P)'!T2391&lt;&gt;"Yes",
        DATEDIF('Loan Tape (S&amp;P)'!K2391, TODAY(), "M")&lt;18),
    1.10,
    1.00)</f>
        <v/>
      </c>
      <c r="O2391">
        <f>IF('Loan Tape (S&amp;P)'!T2391="Yes",
    1.35,
    1.00)</f>
        <v/>
      </c>
      <c r="P2391">
        <f>IF('Loan Tape (S&amp;P)'!S2391="Yes",
    1.15,
    1.00)</f>
        <v/>
      </c>
      <c r="Q2391">
        <f>IF('Loan Tape (S&amp;P)'!V2391="Yes",
    1.20,
    1.00)</f>
        <v/>
      </c>
      <c r="T2391">
        <f>LET(
    payment_method,'Loan Tape (S&amp;P)'!P2391,
    occupancy,'Loan Tape (S&amp;P)'!N2391,
    maturity_date,'Loan Tape (S&amp;P)'!L2391,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92">
      <c r="J2392">
        <f>LET(
    lien,'Loan Tape (S&amp;P)'!Q2392,
    IF(lien="First",1.00,
        IF(lien="Second",1.50,
            1.70)))</f>
        <v/>
      </c>
      <c r="K2392">
        <f>LET(
    purpose,'Loan Tape (S&amp;P)'!R2392,
    IF(purpose="Purchase",1.00,
        IF(purpose="Remortgage",1.00,
            1.20)))</f>
        <v/>
      </c>
      <c r="L2392">
        <f>LET(
    arrears_months,'Loan Tape (S&amp;P)'!AN2392,
    IF(arrears_months=0,1.00,
    IF(arrears_months=1,3.00,
    IF(arrears_months=2,5.00,
    IF(arrears_months=3,8.00,
    IF(arrears_months=4,10.00,
    IF(arrears_months=5,12.00,15.00)))))))</f>
        <v/>
      </c>
      <c r="M2392">
        <f>LET(
    seasoning_years,DATEDIF('Loan Tape (S&amp;P)'!K2392,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92">
        <f>IF(AND('Loan Tape (S&amp;P)'!U2392="Yes",
        'Loan Tape (S&amp;P)'!T2392&lt;&gt;"Yes",
        DATEDIF('Loan Tape (S&amp;P)'!K2392, TODAY(), "M")&lt;18),
    1.10,
    1.00)</f>
        <v/>
      </c>
      <c r="O2392">
        <f>IF('Loan Tape (S&amp;P)'!T2392="Yes",
    1.35,
    1.00)</f>
        <v/>
      </c>
      <c r="P2392">
        <f>IF('Loan Tape (S&amp;P)'!S2392="Yes",
    1.15,
    1.00)</f>
        <v/>
      </c>
      <c r="Q2392">
        <f>IF('Loan Tape (S&amp;P)'!V2392="Yes",
    1.20,
    1.00)</f>
        <v/>
      </c>
      <c r="T2392">
        <f>LET(
    payment_method,'Loan Tape (S&amp;P)'!P2392,
    occupancy,'Loan Tape (S&amp;P)'!N2392,
    maturity_date,'Loan Tape (S&amp;P)'!L2392,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93">
      <c r="J2393">
        <f>LET(
    lien,'Loan Tape (S&amp;P)'!Q2393,
    IF(lien="First",1.00,
        IF(lien="Second",1.50,
            1.70)))</f>
        <v/>
      </c>
      <c r="K2393">
        <f>LET(
    purpose,'Loan Tape (S&amp;P)'!R2393,
    IF(purpose="Purchase",1.00,
        IF(purpose="Remortgage",1.00,
            1.20)))</f>
        <v/>
      </c>
      <c r="L2393">
        <f>LET(
    arrears_months,'Loan Tape (S&amp;P)'!AN2393,
    IF(arrears_months=0,1.00,
    IF(arrears_months=1,3.00,
    IF(arrears_months=2,5.00,
    IF(arrears_months=3,8.00,
    IF(arrears_months=4,10.00,
    IF(arrears_months=5,12.00,15.00)))))))</f>
        <v/>
      </c>
      <c r="M2393">
        <f>LET(
    seasoning_years,DATEDIF('Loan Tape (S&amp;P)'!K2393,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93">
        <f>IF(AND('Loan Tape (S&amp;P)'!U2393="Yes",
        'Loan Tape (S&amp;P)'!T2393&lt;&gt;"Yes",
        DATEDIF('Loan Tape (S&amp;P)'!K2393, TODAY(), "M")&lt;18),
    1.10,
    1.00)</f>
        <v/>
      </c>
      <c r="O2393">
        <f>IF('Loan Tape (S&amp;P)'!T2393="Yes",
    1.35,
    1.00)</f>
        <v/>
      </c>
      <c r="P2393">
        <f>IF('Loan Tape (S&amp;P)'!S2393="Yes",
    1.15,
    1.00)</f>
        <v/>
      </c>
      <c r="Q2393">
        <f>IF('Loan Tape (S&amp;P)'!V2393="Yes",
    1.20,
    1.00)</f>
        <v/>
      </c>
      <c r="T2393">
        <f>LET(
    payment_method,'Loan Tape (S&amp;P)'!P2393,
    occupancy,'Loan Tape (S&amp;P)'!N2393,
    maturity_date,'Loan Tape (S&amp;P)'!L2393,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94">
      <c r="J2394">
        <f>LET(
    lien,'Loan Tape (S&amp;P)'!Q2394,
    IF(lien="First",1.00,
        IF(lien="Second",1.50,
            1.70)))</f>
        <v/>
      </c>
      <c r="K2394">
        <f>LET(
    purpose,'Loan Tape (S&amp;P)'!R2394,
    IF(purpose="Purchase",1.00,
        IF(purpose="Remortgage",1.00,
            1.20)))</f>
        <v/>
      </c>
      <c r="L2394">
        <f>LET(
    arrears_months,'Loan Tape (S&amp;P)'!AN2394,
    IF(arrears_months=0,1.00,
    IF(arrears_months=1,3.00,
    IF(arrears_months=2,5.00,
    IF(arrears_months=3,8.00,
    IF(arrears_months=4,10.00,
    IF(arrears_months=5,12.00,15.00)))))))</f>
        <v/>
      </c>
      <c r="M2394">
        <f>LET(
    seasoning_years,DATEDIF('Loan Tape (S&amp;P)'!K2394,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94">
        <f>IF(AND('Loan Tape (S&amp;P)'!U2394="Yes",
        'Loan Tape (S&amp;P)'!T2394&lt;&gt;"Yes",
        DATEDIF('Loan Tape (S&amp;P)'!K2394, TODAY(), "M")&lt;18),
    1.10,
    1.00)</f>
        <v/>
      </c>
      <c r="O2394">
        <f>IF('Loan Tape (S&amp;P)'!T2394="Yes",
    1.35,
    1.00)</f>
        <v/>
      </c>
      <c r="P2394">
        <f>IF('Loan Tape (S&amp;P)'!S2394="Yes",
    1.15,
    1.00)</f>
        <v/>
      </c>
      <c r="Q2394">
        <f>IF('Loan Tape (S&amp;P)'!V2394="Yes",
    1.20,
    1.00)</f>
        <v/>
      </c>
      <c r="T2394">
        <f>LET(
    payment_method,'Loan Tape (S&amp;P)'!P2394,
    occupancy,'Loan Tape (S&amp;P)'!N2394,
    maturity_date,'Loan Tape (S&amp;P)'!L2394,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95">
      <c r="J2395">
        <f>LET(
    lien,'Loan Tape (S&amp;P)'!Q2395,
    IF(lien="First",1.00,
        IF(lien="Second",1.50,
            1.70)))</f>
        <v/>
      </c>
      <c r="K2395">
        <f>LET(
    purpose,'Loan Tape (S&amp;P)'!R2395,
    IF(purpose="Purchase",1.00,
        IF(purpose="Remortgage",1.00,
            1.20)))</f>
        <v/>
      </c>
      <c r="L2395">
        <f>LET(
    arrears_months,'Loan Tape (S&amp;P)'!AN2395,
    IF(arrears_months=0,1.00,
    IF(arrears_months=1,3.00,
    IF(arrears_months=2,5.00,
    IF(arrears_months=3,8.00,
    IF(arrears_months=4,10.00,
    IF(arrears_months=5,12.00,15.00)))))))</f>
        <v/>
      </c>
      <c r="M2395">
        <f>LET(
    seasoning_years,DATEDIF('Loan Tape (S&amp;P)'!K2395,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95">
        <f>IF(AND('Loan Tape (S&amp;P)'!U2395="Yes",
        'Loan Tape (S&amp;P)'!T2395&lt;&gt;"Yes",
        DATEDIF('Loan Tape (S&amp;P)'!K2395, TODAY(), "M")&lt;18),
    1.10,
    1.00)</f>
        <v/>
      </c>
      <c r="O2395">
        <f>IF('Loan Tape (S&amp;P)'!T2395="Yes",
    1.35,
    1.00)</f>
        <v/>
      </c>
      <c r="P2395">
        <f>IF('Loan Tape (S&amp;P)'!S2395="Yes",
    1.15,
    1.00)</f>
        <v/>
      </c>
      <c r="Q2395">
        <f>IF('Loan Tape (S&amp;P)'!V2395="Yes",
    1.20,
    1.00)</f>
        <v/>
      </c>
      <c r="T2395">
        <f>LET(
    payment_method,'Loan Tape (S&amp;P)'!P2395,
    occupancy,'Loan Tape (S&amp;P)'!N2395,
    maturity_date,'Loan Tape (S&amp;P)'!L2395,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96">
      <c r="J2396">
        <f>LET(
    lien,'Loan Tape (S&amp;P)'!Q2396,
    IF(lien="First",1.00,
        IF(lien="Second",1.50,
            1.70)))</f>
        <v/>
      </c>
      <c r="K2396">
        <f>LET(
    purpose,'Loan Tape (S&amp;P)'!R2396,
    IF(purpose="Purchase",1.00,
        IF(purpose="Remortgage",1.00,
            1.20)))</f>
        <v/>
      </c>
      <c r="L2396">
        <f>LET(
    arrears_months,'Loan Tape (S&amp;P)'!AN2396,
    IF(arrears_months=0,1.00,
    IF(arrears_months=1,3.00,
    IF(arrears_months=2,5.00,
    IF(arrears_months=3,8.00,
    IF(arrears_months=4,10.00,
    IF(arrears_months=5,12.00,15.00)))))))</f>
        <v/>
      </c>
      <c r="M2396">
        <f>LET(
    seasoning_years,DATEDIF('Loan Tape (S&amp;P)'!K2396,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96">
        <f>IF(AND('Loan Tape (S&amp;P)'!U2396="Yes",
        'Loan Tape (S&amp;P)'!T2396&lt;&gt;"Yes",
        DATEDIF('Loan Tape (S&amp;P)'!K2396, TODAY(), "M")&lt;18),
    1.10,
    1.00)</f>
        <v/>
      </c>
      <c r="O2396">
        <f>IF('Loan Tape (S&amp;P)'!T2396="Yes",
    1.35,
    1.00)</f>
        <v/>
      </c>
      <c r="P2396">
        <f>IF('Loan Tape (S&amp;P)'!S2396="Yes",
    1.15,
    1.00)</f>
        <v/>
      </c>
      <c r="Q2396">
        <f>IF('Loan Tape (S&amp;P)'!V2396="Yes",
    1.20,
    1.00)</f>
        <v/>
      </c>
      <c r="T2396">
        <f>LET(
    payment_method,'Loan Tape (S&amp;P)'!P2396,
    occupancy,'Loan Tape (S&amp;P)'!N2396,
    maturity_date,'Loan Tape (S&amp;P)'!L2396,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97">
      <c r="J2397">
        <f>LET(
    lien,'Loan Tape (S&amp;P)'!Q2397,
    IF(lien="First",1.00,
        IF(lien="Second",1.50,
            1.70)))</f>
        <v/>
      </c>
      <c r="K2397">
        <f>LET(
    purpose,'Loan Tape (S&amp;P)'!R2397,
    IF(purpose="Purchase",1.00,
        IF(purpose="Remortgage",1.00,
            1.20)))</f>
        <v/>
      </c>
      <c r="L2397">
        <f>LET(
    arrears_months,'Loan Tape (S&amp;P)'!AN2397,
    IF(arrears_months=0,1.00,
    IF(arrears_months=1,3.00,
    IF(arrears_months=2,5.00,
    IF(arrears_months=3,8.00,
    IF(arrears_months=4,10.00,
    IF(arrears_months=5,12.00,15.00)))))))</f>
        <v/>
      </c>
      <c r="M2397">
        <f>LET(
    seasoning_years,DATEDIF('Loan Tape (S&amp;P)'!K2397,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97">
        <f>IF(AND('Loan Tape (S&amp;P)'!U2397="Yes",
        'Loan Tape (S&amp;P)'!T2397&lt;&gt;"Yes",
        DATEDIF('Loan Tape (S&amp;P)'!K2397, TODAY(), "M")&lt;18),
    1.10,
    1.00)</f>
        <v/>
      </c>
      <c r="O2397">
        <f>IF('Loan Tape (S&amp;P)'!T2397="Yes",
    1.35,
    1.00)</f>
        <v/>
      </c>
      <c r="P2397">
        <f>IF('Loan Tape (S&amp;P)'!S2397="Yes",
    1.15,
    1.00)</f>
        <v/>
      </c>
      <c r="Q2397">
        <f>IF('Loan Tape (S&amp;P)'!V2397="Yes",
    1.20,
    1.00)</f>
        <v/>
      </c>
      <c r="T2397">
        <f>LET(
    payment_method,'Loan Tape (S&amp;P)'!P2397,
    occupancy,'Loan Tape (S&amp;P)'!N2397,
    maturity_date,'Loan Tape (S&amp;P)'!L2397,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98">
      <c r="J2398">
        <f>LET(
    lien,'Loan Tape (S&amp;P)'!Q2398,
    IF(lien="First",1.00,
        IF(lien="Second",1.50,
            1.70)))</f>
        <v/>
      </c>
      <c r="K2398">
        <f>LET(
    purpose,'Loan Tape (S&amp;P)'!R2398,
    IF(purpose="Purchase",1.00,
        IF(purpose="Remortgage",1.00,
            1.20)))</f>
        <v/>
      </c>
      <c r="L2398">
        <f>LET(
    arrears_months,'Loan Tape (S&amp;P)'!AN2398,
    IF(arrears_months=0,1.00,
    IF(arrears_months=1,3.00,
    IF(arrears_months=2,5.00,
    IF(arrears_months=3,8.00,
    IF(arrears_months=4,10.00,
    IF(arrears_months=5,12.00,15.00)))))))</f>
        <v/>
      </c>
      <c r="M2398">
        <f>LET(
    seasoning_years,DATEDIF('Loan Tape (S&amp;P)'!K2398,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98">
        <f>IF(AND('Loan Tape (S&amp;P)'!U2398="Yes",
        'Loan Tape (S&amp;P)'!T2398&lt;&gt;"Yes",
        DATEDIF('Loan Tape (S&amp;P)'!K2398, TODAY(), "M")&lt;18),
    1.10,
    1.00)</f>
        <v/>
      </c>
      <c r="O2398">
        <f>IF('Loan Tape (S&amp;P)'!T2398="Yes",
    1.35,
    1.00)</f>
        <v/>
      </c>
      <c r="P2398">
        <f>IF('Loan Tape (S&amp;P)'!S2398="Yes",
    1.15,
    1.00)</f>
        <v/>
      </c>
      <c r="Q2398">
        <f>IF('Loan Tape (S&amp;P)'!V2398="Yes",
    1.20,
    1.00)</f>
        <v/>
      </c>
      <c r="T2398">
        <f>LET(
    payment_method,'Loan Tape (S&amp;P)'!P2398,
    occupancy,'Loan Tape (S&amp;P)'!N2398,
    maturity_date,'Loan Tape (S&amp;P)'!L2398,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399">
      <c r="J2399">
        <f>LET(
    lien,'Loan Tape (S&amp;P)'!Q2399,
    IF(lien="First",1.00,
        IF(lien="Second",1.50,
            1.70)))</f>
        <v/>
      </c>
      <c r="K2399">
        <f>LET(
    purpose,'Loan Tape (S&amp;P)'!R2399,
    IF(purpose="Purchase",1.00,
        IF(purpose="Remortgage",1.00,
            1.20)))</f>
        <v/>
      </c>
      <c r="L2399">
        <f>LET(
    arrears_months,'Loan Tape (S&amp;P)'!AN2399,
    IF(arrears_months=0,1.00,
    IF(arrears_months=1,3.00,
    IF(arrears_months=2,5.00,
    IF(arrears_months=3,8.00,
    IF(arrears_months=4,10.00,
    IF(arrears_months=5,12.00,15.00)))))))</f>
        <v/>
      </c>
      <c r="M2399">
        <f>LET(
    seasoning_years,DATEDIF('Loan Tape (S&amp;P)'!K2399,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399">
        <f>IF(AND('Loan Tape (S&amp;P)'!U2399="Yes",
        'Loan Tape (S&amp;P)'!T2399&lt;&gt;"Yes",
        DATEDIF('Loan Tape (S&amp;P)'!K2399, TODAY(), "M")&lt;18),
    1.10,
    1.00)</f>
        <v/>
      </c>
      <c r="O2399">
        <f>IF('Loan Tape (S&amp;P)'!T2399="Yes",
    1.35,
    1.00)</f>
        <v/>
      </c>
      <c r="P2399">
        <f>IF('Loan Tape (S&amp;P)'!S2399="Yes",
    1.15,
    1.00)</f>
        <v/>
      </c>
      <c r="Q2399">
        <f>IF('Loan Tape (S&amp;P)'!V2399="Yes",
    1.20,
    1.00)</f>
        <v/>
      </c>
      <c r="T2399">
        <f>LET(
    payment_method,'Loan Tape (S&amp;P)'!P2399,
    occupancy,'Loan Tape (S&amp;P)'!N2399,
    maturity_date,'Loan Tape (S&amp;P)'!L2399,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00">
      <c r="J2400">
        <f>LET(
    lien,'Loan Tape (S&amp;P)'!Q2400,
    IF(lien="First",1.00,
        IF(lien="Second",1.50,
            1.70)))</f>
        <v/>
      </c>
      <c r="K2400">
        <f>LET(
    purpose,'Loan Tape (S&amp;P)'!R2400,
    IF(purpose="Purchase",1.00,
        IF(purpose="Remortgage",1.00,
            1.20)))</f>
        <v/>
      </c>
      <c r="L2400">
        <f>LET(
    arrears_months,'Loan Tape (S&amp;P)'!AN2400,
    IF(arrears_months=0,1.00,
    IF(arrears_months=1,3.00,
    IF(arrears_months=2,5.00,
    IF(arrears_months=3,8.00,
    IF(arrears_months=4,10.00,
    IF(arrears_months=5,12.00,15.00)))))))</f>
        <v/>
      </c>
      <c r="M2400">
        <f>LET(
    seasoning_years,DATEDIF('Loan Tape (S&amp;P)'!K2400,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00">
        <f>IF(AND('Loan Tape (S&amp;P)'!U2400="Yes",
        'Loan Tape (S&amp;P)'!T2400&lt;&gt;"Yes",
        DATEDIF('Loan Tape (S&amp;P)'!K2400, TODAY(), "M")&lt;18),
    1.10,
    1.00)</f>
        <v/>
      </c>
      <c r="O2400">
        <f>IF('Loan Tape (S&amp;P)'!T2400="Yes",
    1.35,
    1.00)</f>
        <v/>
      </c>
      <c r="P2400">
        <f>IF('Loan Tape (S&amp;P)'!S2400="Yes",
    1.15,
    1.00)</f>
        <v/>
      </c>
      <c r="Q2400">
        <f>IF('Loan Tape (S&amp;P)'!V2400="Yes",
    1.20,
    1.00)</f>
        <v/>
      </c>
      <c r="T2400">
        <f>LET(
    payment_method,'Loan Tape (S&amp;P)'!P2400,
    occupancy,'Loan Tape (S&amp;P)'!N2400,
    maturity_date,'Loan Tape (S&amp;P)'!L2400,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01">
      <c r="J2401">
        <f>LET(
    lien,'Loan Tape (S&amp;P)'!Q2401,
    IF(lien="First",1.00,
        IF(lien="Second",1.50,
            1.70)))</f>
        <v/>
      </c>
      <c r="K2401">
        <f>LET(
    purpose,'Loan Tape (S&amp;P)'!R2401,
    IF(purpose="Purchase",1.00,
        IF(purpose="Remortgage",1.00,
            1.20)))</f>
        <v/>
      </c>
      <c r="L2401">
        <f>LET(
    arrears_months,'Loan Tape (S&amp;P)'!AN2401,
    IF(arrears_months=0,1.00,
    IF(arrears_months=1,3.00,
    IF(arrears_months=2,5.00,
    IF(arrears_months=3,8.00,
    IF(arrears_months=4,10.00,
    IF(arrears_months=5,12.00,15.00)))))))</f>
        <v/>
      </c>
      <c r="M2401">
        <f>LET(
    seasoning_years,DATEDIF('Loan Tape (S&amp;P)'!K2401,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01">
        <f>IF(AND('Loan Tape (S&amp;P)'!U2401="Yes",
        'Loan Tape (S&amp;P)'!T2401&lt;&gt;"Yes",
        DATEDIF('Loan Tape (S&amp;P)'!K2401, TODAY(), "M")&lt;18),
    1.10,
    1.00)</f>
        <v/>
      </c>
      <c r="O2401">
        <f>IF('Loan Tape (S&amp;P)'!T2401="Yes",
    1.35,
    1.00)</f>
        <v/>
      </c>
      <c r="P2401">
        <f>IF('Loan Tape (S&amp;P)'!S2401="Yes",
    1.15,
    1.00)</f>
        <v/>
      </c>
      <c r="Q2401">
        <f>IF('Loan Tape (S&amp;P)'!V2401="Yes",
    1.20,
    1.00)</f>
        <v/>
      </c>
      <c r="T2401">
        <f>LET(
    payment_method,'Loan Tape (S&amp;P)'!P2401,
    occupancy,'Loan Tape (S&amp;P)'!N2401,
    maturity_date,'Loan Tape (S&amp;P)'!L2401,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02">
      <c r="J2402">
        <f>LET(
    lien,'Loan Tape (S&amp;P)'!Q2402,
    IF(lien="First",1.00,
        IF(lien="Second",1.50,
            1.70)))</f>
        <v/>
      </c>
      <c r="K2402">
        <f>LET(
    purpose,'Loan Tape (S&amp;P)'!R2402,
    IF(purpose="Purchase",1.00,
        IF(purpose="Remortgage",1.00,
            1.20)))</f>
        <v/>
      </c>
      <c r="L2402">
        <f>LET(
    arrears_months,'Loan Tape (S&amp;P)'!AN2402,
    IF(arrears_months=0,1.00,
    IF(arrears_months=1,3.00,
    IF(arrears_months=2,5.00,
    IF(arrears_months=3,8.00,
    IF(arrears_months=4,10.00,
    IF(arrears_months=5,12.00,15.00)))))))</f>
        <v/>
      </c>
      <c r="M2402">
        <f>LET(
    seasoning_years,DATEDIF('Loan Tape (S&amp;P)'!K2402,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02">
        <f>IF(AND('Loan Tape (S&amp;P)'!U2402="Yes",
        'Loan Tape (S&amp;P)'!T2402&lt;&gt;"Yes",
        DATEDIF('Loan Tape (S&amp;P)'!K2402, TODAY(), "M")&lt;18),
    1.10,
    1.00)</f>
        <v/>
      </c>
      <c r="O2402">
        <f>IF('Loan Tape (S&amp;P)'!T2402="Yes",
    1.35,
    1.00)</f>
        <v/>
      </c>
      <c r="P2402">
        <f>IF('Loan Tape (S&amp;P)'!S2402="Yes",
    1.15,
    1.00)</f>
        <v/>
      </c>
      <c r="Q2402">
        <f>IF('Loan Tape (S&amp;P)'!V2402="Yes",
    1.20,
    1.00)</f>
        <v/>
      </c>
      <c r="T2402">
        <f>LET(
    payment_method,'Loan Tape (S&amp;P)'!P2402,
    occupancy,'Loan Tape (S&amp;P)'!N2402,
    maturity_date,'Loan Tape (S&amp;P)'!L2402,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03">
      <c r="J2403">
        <f>LET(
    lien,'Loan Tape (S&amp;P)'!Q2403,
    IF(lien="First",1.00,
        IF(lien="Second",1.50,
            1.70)))</f>
        <v/>
      </c>
      <c r="K2403">
        <f>LET(
    purpose,'Loan Tape (S&amp;P)'!R2403,
    IF(purpose="Purchase",1.00,
        IF(purpose="Remortgage",1.00,
            1.20)))</f>
        <v/>
      </c>
      <c r="L2403">
        <f>LET(
    arrears_months,'Loan Tape (S&amp;P)'!AN2403,
    IF(arrears_months=0,1.00,
    IF(arrears_months=1,3.00,
    IF(arrears_months=2,5.00,
    IF(arrears_months=3,8.00,
    IF(arrears_months=4,10.00,
    IF(arrears_months=5,12.00,15.00)))))))</f>
        <v/>
      </c>
      <c r="M2403">
        <f>LET(
    seasoning_years,DATEDIF('Loan Tape (S&amp;P)'!K2403,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03">
        <f>IF(AND('Loan Tape (S&amp;P)'!U2403="Yes",
        'Loan Tape (S&amp;P)'!T2403&lt;&gt;"Yes",
        DATEDIF('Loan Tape (S&amp;P)'!K2403, TODAY(), "M")&lt;18),
    1.10,
    1.00)</f>
        <v/>
      </c>
      <c r="O2403">
        <f>IF('Loan Tape (S&amp;P)'!T2403="Yes",
    1.35,
    1.00)</f>
        <v/>
      </c>
      <c r="P2403">
        <f>IF('Loan Tape (S&amp;P)'!S2403="Yes",
    1.15,
    1.00)</f>
        <v/>
      </c>
      <c r="Q2403">
        <f>IF('Loan Tape (S&amp;P)'!V2403="Yes",
    1.20,
    1.00)</f>
        <v/>
      </c>
      <c r="T2403">
        <f>LET(
    payment_method,'Loan Tape (S&amp;P)'!P2403,
    occupancy,'Loan Tape (S&amp;P)'!N2403,
    maturity_date,'Loan Tape (S&amp;P)'!L2403,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04">
      <c r="J2404">
        <f>LET(
    lien,'Loan Tape (S&amp;P)'!Q2404,
    IF(lien="First",1.00,
        IF(lien="Second",1.50,
            1.70)))</f>
        <v/>
      </c>
      <c r="K2404">
        <f>LET(
    purpose,'Loan Tape (S&amp;P)'!R2404,
    IF(purpose="Purchase",1.00,
        IF(purpose="Remortgage",1.00,
            1.20)))</f>
        <v/>
      </c>
      <c r="L2404">
        <f>LET(
    arrears_months,'Loan Tape (S&amp;P)'!AN2404,
    IF(arrears_months=0,1.00,
    IF(arrears_months=1,3.00,
    IF(arrears_months=2,5.00,
    IF(arrears_months=3,8.00,
    IF(arrears_months=4,10.00,
    IF(arrears_months=5,12.00,15.00)))))))</f>
        <v/>
      </c>
      <c r="M2404">
        <f>LET(
    seasoning_years,DATEDIF('Loan Tape (S&amp;P)'!K2404,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04">
        <f>IF(AND('Loan Tape (S&amp;P)'!U2404="Yes",
        'Loan Tape (S&amp;P)'!T2404&lt;&gt;"Yes",
        DATEDIF('Loan Tape (S&amp;P)'!K2404, TODAY(), "M")&lt;18),
    1.10,
    1.00)</f>
        <v/>
      </c>
      <c r="O2404">
        <f>IF('Loan Tape (S&amp;P)'!T2404="Yes",
    1.35,
    1.00)</f>
        <v/>
      </c>
      <c r="P2404">
        <f>IF('Loan Tape (S&amp;P)'!S2404="Yes",
    1.15,
    1.00)</f>
        <v/>
      </c>
      <c r="Q2404">
        <f>IF('Loan Tape (S&amp;P)'!V2404="Yes",
    1.20,
    1.00)</f>
        <v/>
      </c>
      <c r="T2404">
        <f>LET(
    payment_method,'Loan Tape (S&amp;P)'!P2404,
    occupancy,'Loan Tape (S&amp;P)'!N2404,
    maturity_date,'Loan Tape (S&amp;P)'!L2404,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05">
      <c r="J2405">
        <f>LET(
    lien,'Loan Tape (S&amp;P)'!Q2405,
    IF(lien="First",1.00,
        IF(lien="Second",1.50,
            1.70)))</f>
        <v/>
      </c>
      <c r="K2405">
        <f>LET(
    purpose,'Loan Tape (S&amp;P)'!R2405,
    IF(purpose="Purchase",1.00,
        IF(purpose="Remortgage",1.00,
            1.20)))</f>
        <v/>
      </c>
      <c r="L2405">
        <f>LET(
    arrears_months,'Loan Tape (S&amp;P)'!AN2405,
    IF(arrears_months=0,1.00,
    IF(arrears_months=1,3.00,
    IF(arrears_months=2,5.00,
    IF(arrears_months=3,8.00,
    IF(arrears_months=4,10.00,
    IF(arrears_months=5,12.00,15.00)))))))</f>
        <v/>
      </c>
      <c r="M2405">
        <f>LET(
    seasoning_years,DATEDIF('Loan Tape (S&amp;P)'!K2405,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05">
        <f>IF(AND('Loan Tape (S&amp;P)'!U2405="Yes",
        'Loan Tape (S&amp;P)'!T2405&lt;&gt;"Yes",
        DATEDIF('Loan Tape (S&amp;P)'!K2405, TODAY(), "M")&lt;18),
    1.10,
    1.00)</f>
        <v/>
      </c>
      <c r="O2405">
        <f>IF('Loan Tape (S&amp;P)'!T2405="Yes",
    1.35,
    1.00)</f>
        <v/>
      </c>
      <c r="P2405">
        <f>IF('Loan Tape (S&amp;P)'!S2405="Yes",
    1.15,
    1.00)</f>
        <v/>
      </c>
      <c r="Q2405">
        <f>IF('Loan Tape (S&amp;P)'!V2405="Yes",
    1.20,
    1.00)</f>
        <v/>
      </c>
      <c r="T2405">
        <f>LET(
    payment_method,'Loan Tape (S&amp;P)'!P2405,
    occupancy,'Loan Tape (S&amp;P)'!N2405,
    maturity_date,'Loan Tape (S&amp;P)'!L2405,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06">
      <c r="J2406">
        <f>LET(
    lien,'Loan Tape (S&amp;P)'!Q2406,
    IF(lien="First",1.00,
        IF(lien="Second",1.50,
            1.70)))</f>
        <v/>
      </c>
      <c r="K2406">
        <f>LET(
    purpose,'Loan Tape (S&amp;P)'!R2406,
    IF(purpose="Purchase",1.00,
        IF(purpose="Remortgage",1.00,
            1.20)))</f>
        <v/>
      </c>
      <c r="L2406">
        <f>LET(
    arrears_months,'Loan Tape (S&amp;P)'!AN2406,
    IF(arrears_months=0,1.00,
    IF(arrears_months=1,3.00,
    IF(arrears_months=2,5.00,
    IF(arrears_months=3,8.00,
    IF(arrears_months=4,10.00,
    IF(arrears_months=5,12.00,15.00)))))))</f>
        <v/>
      </c>
      <c r="M2406">
        <f>LET(
    seasoning_years,DATEDIF('Loan Tape (S&amp;P)'!K2406,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06">
        <f>IF(AND('Loan Tape (S&amp;P)'!U2406="Yes",
        'Loan Tape (S&amp;P)'!T2406&lt;&gt;"Yes",
        DATEDIF('Loan Tape (S&amp;P)'!K2406, TODAY(), "M")&lt;18),
    1.10,
    1.00)</f>
        <v/>
      </c>
      <c r="O2406">
        <f>IF('Loan Tape (S&amp;P)'!T2406="Yes",
    1.35,
    1.00)</f>
        <v/>
      </c>
      <c r="P2406">
        <f>IF('Loan Tape (S&amp;P)'!S2406="Yes",
    1.15,
    1.00)</f>
        <v/>
      </c>
      <c r="Q2406">
        <f>IF('Loan Tape (S&amp;P)'!V2406="Yes",
    1.20,
    1.00)</f>
        <v/>
      </c>
      <c r="T2406">
        <f>LET(
    payment_method,'Loan Tape (S&amp;P)'!P2406,
    occupancy,'Loan Tape (S&amp;P)'!N2406,
    maturity_date,'Loan Tape (S&amp;P)'!L2406,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07">
      <c r="J2407">
        <f>LET(
    lien,'Loan Tape (S&amp;P)'!Q2407,
    IF(lien="First",1.00,
        IF(lien="Second",1.50,
            1.70)))</f>
        <v/>
      </c>
      <c r="K2407">
        <f>LET(
    purpose,'Loan Tape (S&amp;P)'!R2407,
    IF(purpose="Purchase",1.00,
        IF(purpose="Remortgage",1.00,
            1.20)))</f>
        <v/>
      </c>
      <c r="L2407">
        <f>LET(
    arrears_months,'Loan Tape (S&amp;P)'!AN2407,
    IF(arrears_months=0,1.00,
    IF(arrears_months=1,3.00,
    IF(arrears_months=2,5.00,
    IF(arrears_months=3,8.00,
    IF(arrears_months=4,10.00,
    IF(arrears_months=5,12.00,15.00)))))))</f>
        <v/>
      </c>
      <c r="M2407">
        <f>LET(
    seasoning_years,DATEDIF('Loan Tape (S&amp;P)'!K2407,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07">
        <f>IF(AND('Loan Tape (S&amp;P)'!U2407="Yes",
        'Loan Tape (S&amp;P)'!T2407&lt;&gt;"Yes",
        DATEDIF('Loan Tape (S&amp;P)'!K2407, TODAY(), "M")&lt;18),
    1.10,
    1.00)</f>
        <v/>
      </c>
      <c r="O2407">
        <f>IF('Loan Tape (S&amp;P)'!T2407="Yes",
    1.35,
    1.00)</f>
        <v/>
      </c>
      <c r="P2407">
        <f>IF('Loan Tape (S&amp;P)'!S2407="Yes",
    1.15,
    1.00)</f>
        <v/>
      </c>
      <c r="Q2407">
        <f>IF('Loan Tape (S&amp;P)'!V2407="Yes",
    1.20,
    1.00)</f>
        <v/>
      </c>
      <c r="T2407">
        <f>LET(
    payment_method,'Loan Tape (S&amp;P)'!P2407,
    occupancy,'Loan Tape (S&amp;P)'!N2407,
    maturity_date,'Loan Tape (S&amp;P)'!L2407,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08">
      <c r="J2408">
        <f>LET(
    lien,'Loan Tape (S&amp;P)'!Q2408,
    IF(lien="First",1.00,
        IF(lien="Second",1.50,
            1.70)))</f>
        <v/>
      </c>
      <c r="K2408">
        <f>LET(
    purpose,'Loan Tape (S&amp;P)'!R2408,
    IF(purpose="Purchase",1.00,
        IF(purpose="Remortgage",1.00,
            1.20)))</f>
        <v/>
      </c>
      <c r="L2408">
        <f>LET(
    arrears_months,'Loan Tape (S&amp;P)'!AN2408,
    IF(arrears_months=0,1.00,
    IF(arrears_months=1,3.00,
    IF(arrears_months=2,5.00,
    IF(arrears_months=3,8.00,
    IF(arrears_months=4,10.00,
    IF(arrears_months=5,12.00,15.00)))))))</f>
        <v/>
      </c>
      <c r="M2408">
        <f>LET(
    seasoning_years,DATEDIF('Loan Tape (S&amp;P)'!K2408,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08">
        <f>IF(AND('Loan Tape (S&amp;P)'!U2408="Yes",
        'Loan Tape (S&amp;P)'!T2408&lt;&gt;"Yes",
        DATEDIF('Loan Tape (S&amp;P)'!K2408, TODAY(), "M")&lt;18),
    1.10,
    1.00)</f>
        <v/>
      </c>
      <c r="O2408">
        <f>IF('Loan Tape (S&amp;P)'!T2408="Yes",
    1.35,
    1.00)</f>
        <v/>
      </c>
      <c r="P2408">
        <f>IF('Loan Tape (S&amp;P)'!S2408="Yes",
    1.15,
    1.00)</f>
        <v/>
      </c>
      <c r="Q2408">
        <f>IF('Loan Tape (S&amp;P)'!V2408="Yes",
    1.20,
    1.00)</f>
        <v/>
      </c>
      <c r="T2408">
        <f>LET(
    payment_method,'Loan Tape (S&amp;P)'!P2408,
    occupancy,'Loan Tape (S&amp;P)'!N2408,
    maturity_date,'Loan Tape (S&amp;P)'!L2408,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09">
      <c r="J2409">
        <f>LET(
    lien,'Loan Tape (S&amp;P)'!Q2409,
    IF(lien="First",1.00,
        IF(lien="Second",1.50,
            1.70)))</f>
        <v/>
      </c>
      <c r="K2409">
        <f>LET(
    purpose,'Loan Tape (S&amp;P)'!R2409,
    IF(purpose="Purchase",1.00,
        IF(purpose="Remortgage",1.00,
            1.20)))</f>
        <v/>
      </c>
      <c r="L2409">
        <f>LET(
    arrears_months,'Loan Tape (S&amp;P)'!AN2409,
    IF(arrears_months=0,1.00,
    IF(arrears_months=1,3.00,
    IF(arrears_months=2,5.00,
    IF(arrears_months=3,8.00,
    IF(arrears_months=4,10.00,
    IF(arrears_months=5,12.00,15.00)))))))</f>
        <v/>
      </c>
      <c r="M2409">
        <f>LET(
    seasoning_years,DATEDIF('Loan Tape (S&amp;P)'!K2409,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09">
        <f>IF(AND('Loan Tape (S&amp;P)'!U2409="Yes",
        'Loan Tape (S&amp;P)'!T2409&lt;&gt;"Yes",
        DATEDIF('Loan Tape (S&amp;P)'!K2409, TODAY(), "M")&lt;18),
    1.10,
    1.00)</f>
        <v/>
      </c>
      <c r="O2409">
        <f>IF('Loan Tape (S&amp;P)'!T2409="Yes",
    1.35,
    1.00)</f>
        <v/>
      </c>
      <c r="P2409">
        <f>IF('Loan Tape (S&amp;P)'!S2409="Yes",
    1.15,
    1.00)</f>
        <v/>
      </c>
      <c r="Q2409">
        <f>IF('Loan Tape (S&amp;P)'!V2409="Yes",
    1.20,
    1.00)</f>
        <v/>
      </c>
      <c r="T2409">
        <f>LET(
    payment_method,'Loan Tape (S&amp;P)'!P2409,
    occupancy,'Loan Tape (S&amp;P)'!N2409,
    maturity_date,'Loan Tape (S&amp;P)'!L2409,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10">
      <c r="J2410">
        <f>LET(
    lien,'Loan Tape (S&amp;P)'!Q2410,
    IF(lien="First",1.00,
        IF(lien="Second",1.50,
            1.70)))</f>
        <v/>
      </c>
      <c r="K2410">
        <f>LET(
    purpose,'Loan Tape (S&amp;P)'!R2410,
    IF(purpose="Purchase",1.00,
        IF(purpose="Remortgage",1.00,
            1.20)))</f>
        <v/>
      </c>
      <c r="L2410">
        <f>LET(
    arrears_months,'Loan Tape (S&amp;P)'!AN2410,
    IF(arrears_months=0,1.00,
    IF(arrears_months=1,3.00,
    IF(arrears_months=2,5.00,
    IF(arrears_months=3,8.00,
    IF(arrears_months=4,10.00,
    IF(arrears_months=5,12.00,15.00)))))))</f>
        <v/>
      </c>
      <c r="M2410">
        <f>LET(
    seasoning_years,DATEDIF('Loan Tape (S&amp;P)'!K2410,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10">
        <f>IF(AND('Loan Tape (S&amp;P)'!U2410="Yes",
        'Loan Tape (S&amp;P)'!T2410&lt;&gt;"Yes",
        DATEDIF('Loan Tape (S&amp;P)'!K2410, TODAY(), "M")&lt;18),
    1.10,
    1.00)</f>
        <v/>
      </c>
      <c r="O2410">
        <f>IF('Loan Tape (S&amp;P)'!T2410="Yes",
    1.35,
    1.00)</f>
        <v/>
      </c>
      <c r="P2410">
        <f>IF('Loan Tape (S&amp;P)'!S2410="Yes",
    1.15,
    1.00)</f>
        <v/>
      </c>
      <c r="Q2410">
        <f>IF('Loan Tape (S&amp;P)'!V2410="Yes",
    1.20,
    1.00)</f>
        <v/>
      </c>
      <c r="T2410">
        <f>LET(
    payment_method,'Loan Tape (S&amp;P)'!P2410,
    occupancy,'Loan Tape (S&amp;P)'!N2410,
    maturity_date,'Loan Tape (S&amp;P)'!L2410,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11">
      <c r="J2411">
        <f>LET(
    lien,'Loan Tape (S&amp;P)'!Q2411,
    IF(lien="First",1.00,
        IF(lien="Second",1.50,
            1.70)))</f>
        <v/>
      </c>
      <c r="K2411">
        <f>LET(
    purpose,'Loan Tape (S&amp;P)'!R2411,
    IF(purpose="Purchase",1.00,
        IF(purpose="Remortgage",1.00,
            1.20)))</f>
        <v/>
      </c>
      <c r="L2411">
        <f>LET(
    arrears_months,'Loan Tape (S&amp;P)'!AN2411,
    IF(arrears_months=0,1.00,
    IF(arrears_months=1,3.00,
    IF(arrears_months=2,5.00,
    IF(arrears_months=3,8.00,
    IF(arrears_months=4,10.00,
    IF(arrears_months=5,12.00,15.00)))))))</f>
        <v/>
      </c>
      <c r="M2411">
        <f>LET(
    seasoning_years,DATEDIF('Loan Tape (S&amp;P)'!K2411,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11">
        <f>IF(AND('Loan Tape (S&amp;P)'!U2411="Yes",
        'Loan Tape (S&amp;P)'!T2411&lt;&gt;"Yes",
        DATEDIF('Loan Tape (S&amp;P)'!K2411, TODAY(), "M")&lt;18),
    1.10,
    1.00)</f>
        <v/>
      </c>
      <c r="O2411">
        <f>IF('Loan Tape (S&amp;P)'!T2411="Yes",
    1.35,
    1.00)</f>
        <v/>
      </c>
      <c r="P2411">
        <f>IF('Loan Tape (S&amp;P)'!S2411="Yes",
    1.15,
    1.00)</f>
        <v/>
      </c>
      <c r="Q2411">
        <f>IF('Loan Tape (S&amp;P)'!V2411="Yes",
    1.20,
    1.00)</f>
        <v/>
      </c>
      <c r="T2411">
        <f>LET(
    payment_method,'Loan Tape (S&amp;P)'!P2411,
    occupancy,'Loan Tape (S&amp;P)'!N2411,
    maturity_date,'Loan Tape (S&amp;P)'!L2411,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12">
      <c r="J2412">
        <f>LET(
    lien,'Loan Tape (S&amp;P)'!Q2412,
    IF(lien="First",1.00,
        IF(lien="Second",1.50,
            1.70)))</f>
        <v/>
      </c>
      <c r="K2412">
        <f>LET(
    purpose,'Loan Tape (S&amp;P)'!R2412,
    IF(purpose="Purchase",1.00,
        IF(purpose="Remortgage",1.00,
            1.20)))</f>
        <v/>
      </c>
      <c r="L2412">
        <f>LET(
    arrears_months,'Loan Tape (S&amp;P)'!AN2412,
    IF(arrears_months=0,1.00,
    IF(arrears_months=1,3.00,
    IF(arrears_months=2,5.00,
    IF(arrears_months=3,8.00,
    IF(arrears_months=4,10.00,
    IF(arrears_months=5,12.00,15.00)))))))</f>
        <v/>
      </c>
      <c r="M2412">
        <f>LET(
    seasoning_years,DATEDIF('Loan Tape (S&amp;P)'!K2412,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12">
        <f>IF(AND('Loan Tape (S&amp;P)'!U2412="Yes",
        'Loan Tape (S&amp;P)'!T2412&lt;&gt;"Yes",
        DATEDIF('Loan Tape (S&amp;P)'!K2412, TODAY(), "M")&lt;18),
    1.10,
    1.00)</f>
        <v/>
      </c>
      <c r="O2412">
        <f>IF('Loan Tape (S&amp;P)'!T2412="Yes",
    1.35,
    1.00)</f>
        <v/>
      </c>
      <c r="P2412">
        <f>IF('Loan Tape (S&amp;P)'!S2412="Yes",
    1.15,
    1.00)</f>
        <v/>
      </c>
      <c r="Q2412">
        <f>IF('Loan Tape (S&amp;P)'!V2412="Yes",
    1.20,
    1.00)</f>
        <v/>
      </c>
      <c r="T2412">
        <f>LET(
    payment_method,'Loan Tape (S&amp;P)'!P2412,
    occupancy,'Loan Tape (S&amp;P)'!N2412,
    maturity_date,'Loan Tape (S&amp;P)'!L2412,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13">
      <c r="J2413">
        <f>LET(
    lien,'Loan Tape (S&amp;P)'!Q2413,
    IF(lien="First",1.00,
        IF(lien="Second",1.50,
            1.70)))</f>
        <v/>
      </c>
      <c r="K2413">
        <f>LET(
    purpose,'Loan Tape (S&amp;P)'!R2413,
    IF(purpose="Purchase",1.00,
        IF(purpose="Remortgage",1.00,
            1.20)))</f>
        <v/>
      </c>
      <c r="L2413">
        <f>LET(
    arrears_months,'Loan Tape (S&amp;P)'!AN2413,
    IF(arrears_months=0,1.00,
    IF(arrears_months=1,3.00,
    IF(arrears_months=2,5.00,
    IF(arrears_months=3,8.00,
    IF(arrears_months=4,10.00,
    IF(arrears_months=5,12.00,15.00)))))))</f>
        <v/>
      </c>
      <c r="M2413">
        <f>LET(
    seasoning_years,DATEDIF('Loan Tape (S&amp;P)'!K2413,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13">
        <f>IF(AND('Loan Tape (S&amp;P)'!U2413="Yes",
        'Loan Tape (S&amp;P)'!T2413&lt;&gt;"Yes",
        DATEDIF('Loan Tape (S&amp;P)'!K2413, TODAY(), "M")&lt;18),
    1.10,
    1.00)</f>
        <v/>
      </c>
      <c r="O2413">
        <f>IF('Loan Tape (S&amp;P)'!T2413="Yes",
    1.35,
    1.00)</f>
        <v/>
      </c>
      <c r="P2413">
        <f>IF('Loan Tape (S&amp;P)'!S2413="Yes",
    1.15,
    1.00)</f>
        <v/>
      </c>
      <c r="Q2413">
        <f>IF('Loan Tape (S&amp;P)'!V2413="Yes",
    1.20,
    1.00)</f>
        <v/>
      </c>
      <c r="T2413">
        <f>LET(
    payment_method,'Loan Tape (S&amp;P)'!P2413,
    occupancy,'Loan Tape (S&amp;P)'!N2413,
    maturity_date,'Loan Tape (S&amp;P)'!L2413,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14">
      <c r="J2414">
        <f>LET(
    lien,'Loan Tape (S&amp;P)'!Q2414,
    IF(lien="First",1.00,
        IF(lien="Second",1.50,
            1.70)))</f>
        <v/>
      </c>
      <c r="K2414">
        <f>LET(
    purpose,'Loan Tape (S&amp;P)'!R2414,
    IF(purpose="Purchase",1.00,
        IF(purpose="Remortgage",1.00,
            1.20)))</f>
        <v/>
      </c>
      <c r="L2414">
        <f>LET(
    arrears_months,'Loan Tape (S&amp;P)'!AN2414,
    IF(arrears_months=0,1.00,
    IF(arrears_months=1,3.00,
    IF(arrears_months=2,5.00,
    IF(arrears_months=3,8.00,
    IF(arrears_months=4,10.00,
    IF(arrears_months=5,12.00,15.00)))))))</f>
        <v/>
      </c>
      <c r="M2414">
        <f>LET(
    seasoning_years,DATEDIF('Loan Tape (S&amp;P)'!K2414,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14">
        <f>IF(AND('Loan Tape (S&amp;P)'!U2414="Yes",
        'Loan Tape (S&amp;P)'!T2414&lt;&gt;"Yes",
        DATEDIF('Loan Tape (S&amp;P)'!K2414, TODAY(), "M")&lt;18),
    1.10,
    1.00)</f>
        <v/>
      </c>
      <c r="O2414">
        <f>IF('Loan Tape (S&amp;P)'!T2414="Yes",
    1.35,
    1.00)</f>
        <v/>
      </c>
      <c r="P2414">
        <f>IF('Loan Tape (S&amp;P)'!S2414="Yes",
    1.15,
    1.00)</f>
        <v/>
      </c>
      <c r="Q2414">
        <f>IF('Loan Tape (S&amp;P)'!V2414="Yes",
    1.20,
    1.00)</f>
        <v/>
      </c>
      <c r="T2414">
        <f>LET(
    payment_method,'Loan Tape (S&amp;P)'!P2414,
    occupancy,'Loan Tape (S&amp;P)'!N2414,
    maturity_date,'Loan Tape (S&amp;P)'!L2414,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15">
      <c r="J2415">
        <f>LET(
    lien,'Loan Tape (S&amp;P)'!Q2415,
    IF(lien="First",1.00,
        IF(lien="Second",1.50,
            1.70)))</f>
        <v/>
      </c>
      <c r="K2415">
        <f>LET(
    purpose,'Loan Tape (S&amp;P)'!R2415,
    IF(purpose="Purchase",1.00,
        IF(purpose="Remortgage",1.00,
            1.20)))</f>
        <v/>
      </c>
      <c r="L2415">
        <f>LET(
    arrears_months,'Loan Tape (S&amp;P)'!AN2415,
    IF(arrears_months=0,1.00,
    IF(arrears_months=1,3.00,
    IF(arrears_months=2,5.00,
    IF(arrears_months=3,8.00,
    IF(arrears_months=4,10.00,
    IF(arrears_months=5,12.00,15.00)))))))</f>
        <v/>
      </c>
      <c r="M2415">
        <f>LET(
    seasoning_years,DATEDIF('Loan Tape (S&amp;P)'!K2415,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15">
        <f>IF(AND('Loan Tape (S&amp;P)'!U2415="Yes",
        'Loan Tape (S&amp;P)'!T2415&lt;&gt;"Yes",
        DATEDIF('Loan Tape (S&amp;P)'!K2415, TODAY(), "M")&lt;18),
    1.10,
    1.00)</f>
        <v/>
      </c>
      <c r="O2415">
        <f>IF('Loan Tape (S&amp;P)'!T2415="Yes",
    1.35,
    1.00)</f>
        <v/>
      </c>
      <c r="P2415">
        <f>IF('Loan Tape (S&amp;P)'!S2415="Yes",
    1.15,
    1.00)</f>
        <v/>
      </c>
      <c r="Q2415">
        <f>IF('Loan Tape (S&amp;P)'!V2415="Yes",
    1.20,
    1.00)</f>
        <v/>
      </c>
      <c r="T2415">
        <f>LET(
    payment_method,'Loan Tape (S&amp;P)'!P2415,
    occupancy,'Loan Tape (S&amp;P)'!N2415,
    maturity_date,'Loan Tape (S&amp;P)'!L2415,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16">
      <c r="J2416">
        <f>LET(
    lien,'Loan Tape (S&amp;P)'!Q2416,
    IF(lien="First",1.00,
        IF(lien="Second",1.50,
            1.70)))</f>
        <v/>
      </c>
      <c r="K2416">
        <f>LET(
    purpose,'Loan Tape (S&amp;P)'!R2416,
    IF(purpose="Purchase",1.00,
        IF(purpose="Remortgage",1.00,
            1.20)))</f>
        <v/>
      </c>
      <c r="L2416">
        <f>LET(
    arrears_months,'Loan Tape (S&amp;P)'!AN2416,
    IF(arrears_months=0,1.00,
    IF(arrears_months=1,3.00,
    IF(arrears_months=2,5.00,
    IF(arrears_months=3,8.00,
    IF(arrears_months=4,10.00,
    IF(arrears_months=5,12.00,15.00)))))))</f>
        <v/>
      </c>
      <c r="M2416">
        <f>LET(
    seasoning_years,DATEDIF('Loan Tape (S&amp;P)'!K2416,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16">
        <f>IF(AND('Loan Tape (S&amp;P)'!U2416="Yes",
        'Loan Tape (S&amp;P)'!T2416&lt;&gt;"Yes",
        DATEDIF('Loan Tape (S&amp;P)'!K2416, TODAY(), "M")&lt;18),
    1.10,
    1.00)</f>
        <v/>
      </c>
      <c r="O2416">
        <f>IF('Loan Tape (S&amp;P)'!T2416="Yes",
    1.35,
    1.00)</f>
        <v/>
      </c>
      <c r="P2416">
        <f>IF('Loan Tape (S&amp;P)'!S2416="Yes",
    1.15,
    1.00)</f>
        <v/>
      </c>
      <c r="Q2416">
        <f>IF('Loan Tape (S&amp;P)'!V2416="Yes",
    1.20,
    1.00)</f>
        <v/>
      </c>
      <c r="T2416">
        <f>LET(
    payment_method,'Loan Tape (S&amp;P)'!P2416,
    occupancy,'Loan Tape (S&amp;P)'!N2416,
    maturity_date,'Loan Tape (S&amp;P)'!L2416,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17">
      <c r="J2417">
        <f>LET(
    lien,'Loan Tape (S&amp;P)'!Q2417,
    IF(lien="First",1.00,
        IF(lien="Second",1.50,
            1.70)))</f>
        <v/>
      </c>
      <c r="K2417">
        <f>LET(
    purpose,'Loan Tape (S&amp;P)'!R2417,
    IF(purpose="Purchase",1.00,
        IF(purpose="Remortgage",1.00,
            1.20)))</f>
        <v/>
      </c>
      <c r="L2417">
        <f>LET(
    arrears_months,'Loan Tape (S&amp;P)'!AN2417,
    IF(arrears_months=0,1.00,
    IF(arrears_months=1,3.00,
    IF(arrears_months=2,5.00,
    IF(arrears_months=3,8.00,
    IF(arrears_months=4,10.00,
    IF(arrears_months=5,12.00,15.00)))))))</f>
        <v/>
      </c>
      <c r="M2417">
        <f>LET(
    seasoning_years,DATEDIF('Loan Tape (S&amp;P)'!K2417,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17">
        <f>IF(AND('Loan Tape (S&amp;P)'!U2417="Yes",
        'Loan Tape (S&amp;P)'!T2417&lt;&gt;"Yes",
        DATEDIF('Loan Tape (S&amp;P)'!K2417, TODAY(), "M")&lt;18),
    1.10,
    1.00)</f>
        <v/>
      </c>
      <c r="O2417">
        <f>IF('Loan Tape (S&amp;P)'!T2417="Yes",
    1.35,
    1.00)</f>
        <v/>
      </c>
      <c r="P2417">
        <f>IF('Loan Tape (S&amp;P)'!S2417="Yes",
    1.15,
    1.00)</f>
        <v/>
      </c>
      <c r="Q2417">
        <f>IF('Loan Tape (S&amp;P)'!V2417="Yes",
    1.20,
    1.00)</f>
        <v/>
      </c>
      <c r="T2417">
        <f>LET(
    payment_method,'Loan Tape (S&amp;P)'!P2417,
    occupancy,'Loan Tape (S&amp;P)'!N2417,
    maturity_date,'Loan Tape (S&amp;P)'!L2417,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18">
      <c r="J2418">
        <f>LET(
    lien,'Loan Tape (S&amp;P)'!Q2418,
    IF(lien="First",1.00,
        IF(lien="Second",1.50,
            1.70)))</f>
        <v/>
      </c>
      <c r="K2418">
        <f>LET(
    purpose,'Loan Tape (S&amp;P)'!R2418,
    IF(purpose="Purchase",1.00,
        IF(purpose="Remortgage",1.00,
            1.20)))</f>
        <v/>
      </c>
      <c r="L2418">
        <f>LET(
    arrears_months,'Loan Tape (S&amp;P)'!AN2418,
    IF(arrears_months=0,1.00,
    IF(arrears_months=1,3.00,
    IF(arrears_months=2,5.00,
    IF(arrears_months=3,8.00,
    IF(arrears_months=4,10.00,
    IF(arrears_months=5,12.00,15.00)))))))</f>
        <v/>
      </c>
      <c r="M2418">
        <f>LET(
    seasoning_years,DATEDIF('Loan Tape (S&amp;P)'!K2418,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18">
        <f>IF(AND('Loan Tape (S&amp;P)'!U2418="Yes",
        'Loan Tape (S&amp;P)'!T2418&lt;&gt;"Yes",
        DATEDIF('Loan Tape (S&amp;P)'!K2418, TODAY(), "M")&lt;18),
    1.10,
    1.00)</f>
        <v/>
      </c>
      <c r="O2418">
        <f>IF('Loan Tape (S&amp;P)'!T2418="Yes",
    1.35,
    1.00)</f>
        <v/>
      </c>
      <c r="P2418">
        <f>IF('Loan Tape (S&amp;P)'!S2418="Yes",
    1.15,
    1.00)</f>
        <v/>
      </c>
      <c r="Q2418">
        <f>IF('Loan Tape (S&amp;P)'!V2418="Yes",
    1.20,
    1.00)</f>
        <v/>
      </c>
      <c r="T2418">
        <f>LET(
    payment_method,'Loan Tape (S&amp;P)'!P2418,
    occupancy,'Loan Tape (S&amp;P)'!N2418,
    maturity_date,'Loan Tape (S&amp;P)'!L2418,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19">
      <c r="J2419">
        <f>LET(
    lien,'Loan Tape (S&amp;P)'!Q2419,
    IF(lien="First",1.00,
        IF(lien="Second",1.50,
            1.70)))</f>
        <v/>
      </c>
      <c r="K2419">
        <f>LET(
    purpose,'Loan Tape (S&amp;P)'!R2419,
    IF(purpose="Purchase",1.00,
        IF(purpose="Remortgage",1.00,
            1.20)))</f>
        <v/>
      </c>
      <c r="L2419">
        <f>LET(
    arrears_months,'Loan Tape (S&amp;P)'!AN2419,
    IF(arrears_months=0,1.00,
    IF(arrears_months=1,3.00,
    IF(arrears_months=2,5.00,
    IF(arrears_months=3,8.00,
    IF(arrears_months=4,10.00,
    IF(arrears_months=5,12.00,15.00)))))))</f>
        <v/>
      </c>
      <c r="M2419">
        <f>LET(
    seasoning_years,DATEDIF('Loan Tape (S&amp;P)'!K2419,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19">
        <f>IF(AND('Loan Tape (S&amp;P)'!U2419="Yes",
        'Loan Tape (S&amp;P)'!T2419&lt;&gt;"Yes",
        DATEDIF('Loan Tape (S&amp;P)'!K2419, TODAY(), "M")&lt;18),
    1.10,
    1.00)</f>
        <v/>
      </c>
      <c r="O2419">
        <f>IF('Loan Tape (S&amp;P)'!T2419="Yes",
    1.35,
    1.00)</f>
        <v/>
      </c>
      <c r="P2419">
        <f>IF('Loan Tape (S&amp;P)'!S2419="Yes",
    1.15,
    1.00)</f>
        <v/>
      </c>
      <c r="Q2419">
        <f>IF('Loan Tape (S&amp;P)'!V2419="Yes",
    1.20,
    1.00)</f>
        <v/>
      </c>
      <c r="T2419">
        <f>LET(
    payment_method,'Loan Tape (S&amp;P)'!P2419,
    occupancy,'Loan Tape (S&amp;P)'!N2419,
    maturity_date,'Loan Tape (S&amp;P)'!L2419,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20">
      <c r="J2420">
        <f>LET(
    lien,'Loan Tape (S&amp;P)'!Q2420,
    IF(lien="First",1.00,
        IF(lien="Second",1.50,
            1.70)))</f>
        <v/>
      </c>
      <c r="K2420">
        <f>LET(
    purpose,'Loan Tape (S&amp;P)'!R2420,
    IF(purpose="Purchase",1.00,
        IF(purpose="Remortgage",1.00,
            1.20)))</f>
        <v/>
      </c>
      <c r="L2420">
        <f>LET(
    arrears_months,'Loan Tape (S&amp;P)'!AN2420,
    IF(arrears_months=0,1.00,
    IF(arrears_months=1,3.00,
    IF(arrears_months=2,5.00,
    IF(arrears_months=3,8.00,
    IF(arrears_months=4,10.00,
    IF(arrears_months=5,12.00,15.00)))))))</f>
        <v/>
      </c>
      <c r="M2420">
        <f>LET(
    seasoning_years,DATEDIF('Loan Tape (S&amp;P)'!K2420,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20">
        <f>IF(AND('Loan Tape (S&amp;P)'!U2420="Yes",
        'Loan Tape (S&amp;P)'!T2420&lt;&gt;"Yes",
        DATEDIF('Loan Tape (S&amp;P)'!K2420, TODAY(), "M")&lt;18),
    1.10,
    1.00)</f>
        <v/>
      </c>
      <c r="O2420">
        <f>IF('Loan Tape (S&amp;P)'!T2420="Yes",
    1.35,
    1.00)</f>
        <v/>
      </c>
      <c r="P2420">
        <f>IF('Loan Tape (S&amp;P)'!S2420="Yes",
    1.15,
    1.00)</f>
        <v/>
      </c>
      <c r="Q2420">
        <f>IF('Loan Tape (S&amp;P)'!V2420="Yes",
    1.20,
    1.00)</f>
        <v/>
      </c>
      <c r="T2420">
        <f>LET(
    payment_method,'Loan Tape (S&amp;P)'!P2420,
    occupancy,'Loan Tape (S&amp;P)'!N2420,
    maturity_date,'Loan Tape (S&amp;P)'!L2420,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21">
      <c r="J2421">
        <f>LET(
    lien,'Loan Tape (S&amp;P)'!Q2421,
    IF(lien="First",1.00,
        IF(lien="Second",1.50,
            1.70)))</f>
        <v/>
      </c>
      <c r="K2421">
        <f>LET(
    purpose,'Loan Tape (S&amp;P)'!R2421,
    IF(purpose="Purchase",1.00,
        IF(purpose="Remortgage",1.00,
            1.20)))</f>
        <v/>
      </c>
      <c r="L2421">
        <f>LET(
    arrears_months,'Loan Tape (S&amp;P)'!AN2421,
    IF(arrears_months=0,1.00,
    IF(arrears_months=1,3.00,
    IF(arrears_months=2,5.00,
    IF(arrears_months=3,8.00,
    IF(arrears_months=4,10.00,
    IF(arrears_months=5,12.00,15.00)))))))</f>
        <v/>
      </c>
      <c r="M2421">
        <f>LET(
    seasoning_years,DATEDIF('Loan Tape (S&amp;P)'!K2421,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21">
        <f>IF(AND('Loan Tape (S&amp;P)'!U2421="Yes",
        'Loan Tape (S&amp;P)'!T2421&lt;&gt;"Yes",
        DATEDIF('Loan Tape (S&amp;P)'!K2421, TODAY(), "M")&lt;18),
    1.10,
    1.00)</f>
        <v/>
      </c>
      <c r="O2421">
        <f>IF('Loan Tape (S&amp;P)'!T2421="Yes",
    1.35,
    1.00)</f>
        <v/>
      </c>
      <c r="P2421">
        <f>IF('Loan Tape (S&amp;P)'!S2421="Yes",
    1.15,
    1.00)</f>
        <v/>
      </c>
      <c r="Q2421">
        <f>IF('Loan Tape (S&amp;P)'!V2421="Yes",
    1.20,
    1.00)</f>
        <v/>
      </c>
      <c r="T2421">
        <f>LET(
    payment_method,'Loan Tape (S&amp;P)'!P2421,
    occupancy,'Loan Tape (S&amp;P)'!N2421,
    maturity_date,'Loan Tape (S&amp;P)'!L2421,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22">
      <c r="J2422">
        <f>LET(
    lien,'Loan Tape (S&amp;P)'!Q2422,
    IF(lien="First",1.00,
        IF(lien="Second",1.50,
            1.70)))</f>
        <v/>
      </c>
      <c r="K2422">
        <f>LET(
    purpose,'Loan Tape (S&amp;P)'!R2422,
    IF(purpose="Purchase",1.00,
        IF(purpose="Remortgage",1.00,
            1.20)))</f>
        <v/>
      </c>
      <c r="L2422">
        <f>LET(
    arrears_months,'Loan Tape (S&amp;P)'!AN2422,
    IF(arrears_months=0,1.00,
    IF(arrears_months=1,3.00,
    IF(arrears_months=2,5.00,
    IF(arrears_months=3,8.00,
    IF(arrears_months=4,10.00,
    IF(arrears_months=5,12.00,15.00)))))))</f>
        <v/>
      </c>
      <c r="M2422">
        <f>LET(
    seasoning_years,DATEDIF('Loan Tape (S&amp;P)'!K2422,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22">
        <f>IF(AND('Loan Tape (S&amp;P)'!U2422="Yes",
        'Loan Tape (S&amp;P)'!T2422&lt;&gt;"Yes",
        DATEDIF('Loan Tape (S&amp;P)'!K2422, TODAY(), "M")&lt;18),
    1.10,
    1.00)</f>
        <v/>
      </c>
      <c r="O2422">
        <f>IF('Loan Tape (S&amp;P)'!T2422="Yes",
    1.35,
    1.00)</f>
        <v/>
      </c>
      <c r="P2422">
        <f>IF('Loan Tape (S&amp;P)'!S2422="Yes",
    1.15,
    1.00)</f>
        <v/>
      </c>
      <c r="Q2422">
        <f>IF('Loan Tape (S&amp;P)'!V2422="Yes",
    1.20,
    1.00)</f>
        <v/>
      </c>
      <c r="T2422">
        <f>LET(
    payment_method,'Loan Tape (S&amp;P)'!P2422,
    occupancy,'Loan Tape (S&amp;P)'!N2422,
    maturity_date,'Loan Tape (S&amp;P)'!L2422,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23">
      <c r="J2423">
        <f>LET(
    lien,'Loan Tape (S&amp;P)'!Q2423,
    IF(lien="First",1.00,
        IF(lien="Second",1.50,
            1.70)))</f>
        <v/>
      </c>
      <c r="K2423">
        <f>LET(
    purpose,'Loan Tape (S&amp;P)'!R2423,
    IF(purpose="Purchase",1.00,
        IF(purpose="Remortgage",1.00,
            1.20)))</f>
        <v/>
      </c>
      <c r="L2423">
        <f>LET(
    arrears_months,'Loan Tape (S&amp;P)'!AN2423,
    IF(arrears_months=0,1.00,
    IF(arrears_months=1,3.00,
    IF(arrears_months=2,5.00,
    IF(arrears_months=3,8.00,
    IF(arrears_months=4,10.00,
    IF(arrears_months=5,12.00,15.00)))))))</f>
        <v/>
      </c>
      <c r="M2423">
        <f>LET(
    seasoning_years,DATEDIF('Loan Tape (S&amp;P)'!K2423,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23">
        <f>IF(AND('Loan Tape (S&amp;P)'!U2423="Yes",
        'Loan Tape (S&amp;P)'!T2423&lt;&gt;"Yes",
        DATEDIF('Loan Tape (S&amp;P)'!K2423, TODAY(), "M")&lt;18),
    1.10,
    1.00)</f>
        <v/>
      </c>
      <c r="O2423">
        <f>IF('Loan Tape (S&amp;P)'!T2423="Yes",
    1.35,
    1.00)</f>
        <v/>
      </c>
      <c r="P2423">
        <f>IF('Loan Tape (S&amp;P)'!S2423="Yes",
    1.15,
    1.00)</f>
        <v/>
      </c>
      <c r="Q2423">
        <f>IF('Loan Tape (S&amp;P)'!V2423="Yes",
    1.20,
    1.00)</f>
        <v/>
      </c>
      <c r="T2423">
        <f>LET(
    payment_method,'Loan Tape (S&amp;P)'!P2423,
    occupancy,'Loan Tape (S&amp;P)'!N2423,
    maturity_date,'Loan Tape (S&amp;P)'!L2423,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24">
      <c r="J2424">
        <f>LET(
    lien,'Loan Tape (S&amp;P)'!Q2424,
    IF(lien="First",1.00,
        IF(lien="Second",1.50,
            1.70)))</f>
        <v/>
      </c>
      <c r="K2424">
        <f>LET(
    purpose,'Loan Tape (S&amp;P)'!R2424,
    IF(purpose="Purchase",1.00,
        IF(purpose="Remortgage",1.00,
            1.20)))</f>
        <v/>
      </c>
      <c r="L2424">
        <f>LET(
    arrears_months,'Loan Tape (S&amp;P)'!AN2424,
    IF(arrears_months=0,1.00,
    IF(arrears_months=1,3.00,
    IF(arrears_months=2,5.00,
    IF(arrears_months=3,8.00,
    IF(arrears_months=4,10.00,
    IF(arrears_months=5,12.00,15.00)))))))</f>
        <v/>
      </c>
      <c r="M2424">
        <f>LET(
    seasoning_years,DATEDIF('Loan Tape (S&amp;P)'!K2424,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24">
        <f>IF(AND('Loan Tape (S&amp;P)'!U2424="Yes",
        'Loan Tape (S&amp;P)'!T2424&lt;&gt;"Yes",
        DATEDIF('Loan Tape (S&amp;P)'!K2424, TODAY(), "M")&lt;18),
    1.10,
    1.00)</f>
        <v/>
      </c>
      <c r="O2424">
        <f>IF('Loan Tape (S&amp;P)'!T2424="Yes",
    1.35,
    1.00)</f>
        <v/>
      </c>
      <c r="P2424">
        <f>IF('Loan Tape (S&amp;P)'!S2424="Yes",
    1.15,
    1.00)</f>
        <v/>
      </c>
      <c r="Q2424">
        <f>IF('Loan Tape (S&amp;P)'!V2424="Yes",
    1.20,
    1.00)</f>
        <v/>
      </c>
      <c r="T2424">
        <f>LET(
    payment_method,'Loan Tape (S&amp;P)'!P2424,
    occupancy,'Loan Tape (S&amp;P)'!N2424,
    maturity_date,'Loan Tape (S&amp;P)'!L2424,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25">
      <c r="J2425">
        <f>LET(
    lien,'Loan Tape (S&amp;P)'!Q2425,
    IF(lien="First",1.00,
        IF(lien="Second",1.50,
            1.70)))</f>
        <v/>
      </c>
      <c r="K2425">
        <f>LET(
    purpose,'Loan Tape (S&amp;P)'!R2425,
    IF(purpose="Purchase",1.00,
        IF(purpose="Remortgage",1.00,
            1.20)))</f>
        <v/>
      </c>
      <c r="L2425">
        <f>LET(
    arrears_months,'Loan Tape (S&amp;P)'!AN2425,
    IF(arrears_months=0,1.00,
    IF(arrears_months=1,3.00,
    IF(arrears_months=2,5.00,
    IF(arrears_months=3,8.00,
    IF(arrears_months=4,10.00,
    IF(arrears_months=5,12.00,15.00)))))))</f>
        <v/>
      </c>
      <c r="M2425">
        <f>LET(
    seasoning_years,DATEDIF('Loan Tape (S&amp;P)'!K2425,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25">
        <f>IF(AND('Loan Tape (S&amp;P)'!U2425="Yes",
        'Loan Tape (S&amp;P)'!T2425&lt;&gt;"Yes",
        DATEDIF('Loan Tape (S&amp;P)'!K2425, TODAY(), "M")&lt;18),
    1.10,
    1.00)</f>
        <v/>
      </c>
      <c r="O2425">
        <f>IF('Loan Tape (S&amp;P)'!T2425="Yes",
    1.35,
    1.00)</f>
        <v/>
      </c>
      <c r="P2425">
        <f>IF('Loan Tape (S&amp;P)'!S2425="Yes",
    1.15,
    1.00)</f>
        <v/>
      </c>
      <c r="Q2425">
        <f>IF('Loan Tape (S&amp;P)'!V2425="Yes",
    1.20,
    1.00)</f>
        <v/>
      </c>
      <c r="T2425">
        <f>LET(
    payment_method,'Loan Tape (S&amp;P)'!P2425,
    occupancy,'Loan Tape (S&amp;P)'!N2425,
    maturity_date,'Loan Tape (S&amp;P)'!L2425,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26">
      <c r="J2426">
        <f>LET(
    lien,'Loan Tape (S&amp;P)'!Q2426,
    IF(lien="First",1.00,
        IF(lien="Second",1.50,
            1.70)))</f>
        <v/>
      </c>
      <c r="K2426">
        <f>LET(
    purpose,'Loan Tape (S&amp;P)'!R2426,
    IF(purpose="Purchase",1.00,
        IF(purpose="Remortgage",1.00,
            1.20)))</f>
        <v/>
      </c>
      <c r="L2426">
        <f>LET(
    arrears_months,'Loan Tape (S&amp;P)'!AN2426,
    IF(arrears_months=0,1.00,
    IF(arrears_months=1,3.00,
    IF(arrears_months=2,5.00,
    IF(arrears_months=3,8.00,
    IF(arrears_months=4,10.00,
    IF(arrears_months=5,12.00,15.00)))))))</f>
        <v/>
      </c>
      <c r="M2426">
        <f>LET(
    seasoning_years,DATEDIF('Loan Tape (S&amp;P)'!K2426,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26">
        <f>IF(AND('Loan Tape (S&amp;P)'!U2426="Yes",
        'Loan Tape (S&amp;P)'!T2426&lt;&gt;"Yes",
        DATEDIF('Loan Tape (S&amp;P)'!K2426, TODAY(), "M")&lt;18),
    1.10,
    1.00)</f>
        <v/>
      </c>
      <c r="O2426">
        <f>IF('Loan Tape (S&amp;P)'!T2426="Yes",
    1.35,
    1.00)</f>
        <v/>
      </c>
      <c r="P2426">
        <f>IF('Loan Tape (S&amp;P)'!S2426="Yes",
    1.15,
    1.00)</f>
        <v/>
      </c>
      <c r="Q2426">
        <f>IF('Loan Tape (S&amp;P)'!V2426="Yes",
    1.20,
    1.00)</f>
        <v/>
      </c>
      <c r="T2426">
        <f>LET(
    payment_method,'Loan Tape (S&amp;P)'!P2426,
    occupancy,'Loan Tape (S&amp;P)'!N2426,
    maturity_date,'Loan Tape (S&amp;P)'!L2426,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27">
      <c r="J2427">
        <f>LET(
    lien,'Loan Tape (S&amp;P)'!Q2427,
    IF(lien="First",1.00,
        IF(lien="Second",1.50,
            1.70)))</f>
        <v/>
      </c>
      <c r="K2427">
        <f>LET(
    purpose,'Loan Tape (S&amp;P)'!R2427,
    IF(purpose="Purchase",1.00,
        IF(purpose="Remortgage",1.00,
            1.20)))</f>
        <v/>
      </c>
      <c r="L2427">
        <f>LET(
    arrears_months,'Loan Tape (S&amp;P)'!AN2427,
    IF(arrears_months=0,1.00,
    IF(arrears_months=1,3.00,
    IF(arrears_months=2,5.00,
    IF(arrears_months=3,8.00,
    IF(arrears_months=4,10.00,
    IF(arrears_months=5,12.00,15.00)))))))</f>
        <v/>
      </c>
      <c r="M2427">
        <f>LET(
    seasoning_years,DATEDIF('Loan Tape (S&amp;P)'!K2427,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27">
        <f>IF(AND('Loan Tape (S&amp;P)'!U2427="Yes",
        'Loan Tape (S&amp;P)'!T2427&lt;&gt;"Yes",
        DATEDIF('Loan Tape (S&amp;P)'!K2427, TODAY(), "M")&lt;18),
    1.10,
    1.00)</f>
        <v/>
      </c>
      <c r="O2427">
        <f>IF('Loan Tape (S&amp;P)'!T2427="Yes",
    1.35,
    1.00)</f>
        <v/>
      </c>
      <c r="P2427">
        <f>IF('Loan Tape (S&amp;P)'!S2427="Yes",
    1.15,
    1.00)</f>
        <v/>
      </c>
      <c r="Q2427">
        <f>IF('Loan Tape (S&amp;P)'!V2427="Yes",
    1.20,
    1.00)</f>
        <v/>
      </c>
      <c r="T2427">
        <f>LET(
    payment_method,'Loan Tape (S&amp;P)'!P2427,
    occupancy,'Loan Tape (S&amp;P)'!N2427,
    maturity_date,'Loan Tape (S&amp;P)'!L2427,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28">
      <c r="J2428">
        <f>LET(
    lien,'Loan Tape (S&amp;P)'!Q2428,
    IF(lien="First",1.00,
        IF(lien="Second",1.50,
            1.70)))</f>
        <v/>
      </c>
      <c r="K2428">
        <f>LET(
    purpose,'Loan Tape (S&amp;P)'!R2428,
    IF(purpose="Purchase",1.00,
        IF(purpose="Remortgage",1.00,
            1.20)))</f>
        <v/>
      </c>
      <c r="L2428">
        <f>LET(
    arrears_months,'Loan Tape (S&amp;P)'!AN2428,
    IF(arrears_months=0,1.00,
    IF(arrears_months=1,3.00,
    IF(arrears_months=2,5.00,
    IF(arrears_months=3,8.00,
    IF(arrears_months=4,10.00,
    IF(arrears_months=5,12.00,15.00)))))))</f>
        <v/>
      </c>
      <c r="M2428">
        <f>LET(
    seasoning_years,DATEDIF('Loan Tape (S&amp;P)'!K2428,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28">
        <f>IF(AND('Loan Tape (S&amp;P)'!U2428="Yes",
        'Loan Tape (S&amp;P)'!T2428&lt;&gt;"Yes",
        DATEDIF('Loan Tape (S&amp;P)'!K2428, TODAY(), "M")&lt;18),
    1.10,
    1.00)</f>
        <v/>
      </c>
      <c r="O2428">
        <f>IF('Loan Tape (S&amp;P)'!T2428="Yes",
    1.35,
    1.00)</f>
        <v/>
      </c>
      <c r="P2428">
        <f>IF('Loan Tape (S&amp;P)'!S2428="Yes",
    1.15,
    1.00)</f>
        <v/>
      </c>
      <c r="Q2428">
        <f>IF('Loan Tape (S&amp;P)'!V2428="Yes",
    1.20,
    1.00)</f>
        <v/>
      </c>
      <c r="T2428">
        <f>LET(
    payment_method,'Loan Tape (S&amp;P)'!P2428,
    occupancy,'Loan Tape (S&amp;P)'!N2428,
    maturity_date,'Loan Tape (S&amp;P)'!L2428,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29">
      <c r="J2429">
        <f>LET(
    lien,'Loan Tape (S&amp;P)'!Q2429,
    IF(lien="First",1.00,
        IF(lien="Second",1.50,
            1.70)))</f>
        <v/>
      </c>
      <c r="K2429">
        <f>LET(
    purpose,'Loan Tape (S&amp;P)'!R2429,
    IF(purpose="Purchase",1.00,
        IF(purpose="Remortgage",1.00,
            1.20)))</f>
        <v/>
      </c>
      <c r="L2429">
        <f>LET(
    arrears_months,'Loan Tape (S&amp;P)'!AN2429,
    IF(arrears_months=0,1.00,
    IF(arrears_months=1,3.00,
    IF(arrears_months=2,5.00,
    IF(arrears_months=3,8.00,
    IF(arrears_months=4,10.00,
    IF(arrears_months=5,12.00,15.00)))))))</f>
        <v/>
      </c>
      <c r="M2429">
        <f>LET(
    seasoning_years,DATEDIF('Loan Tape (S&amp;P)'!K2429,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29">
        <f>IF(AND('Loan Tape (S&amp;P)'!U2429="Yes",
        'Loan Tape (S&amp;P)'!T2429&lt;&gt;"Yes",
        DATEDIF('Loan Tape (S&amp;P)'!K2429, TODAY(), "M")&lt;18),
    1.10,
    1.00)</f>
        <v/>
      </c>
      <c r="O2429">
        <f>IF('Loan Tape (S&amp;P)'!T2429="Yes",
    1.35,
    1.00)</f>
        <v/>
      </c>
      <c r="P2429">
        <f>IF('Loan Tape (S&amp;P)'!S2429="Yes",
    1.15,
    1.00)</f>
        <v/>
      </c>
      <c r="Q2429">
        <f>IF('Loan Tape (S&amp;P)'!V2429="Yes",
    1.20,
    1.00)</f>
        <v/>
      </c>
      <c r="T2429">
        <f>LET(
    payment_method,'Loan Tape (S&amp;P)'!P2429,
    occupancy,'Loan Tape (S&amp;P)'!N2429,
    maturity_date,'Loan Tape (S&amp;P)'!L2429,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30">
      <c r="J2430">
        <f>LET(
    lien,'Loan Tape (S&amp;P)'!Q2430,
    IF(lien="First",1.00,
        IF(lien="Second",1.50,
            1.70)))</f>
        <v/>
      </c>
      <c r="K2430">
        <f>LET(
    purpose,'Loan Tape (S&amp;P)'!R2430,
    IF(purpose="Purchase",1.00,
        IF(purpose="Remortgage",1.00,
            1.20)))</f>
        <v/>
      </c>
      <c r="L2430">
        <f>LET(
    arrears_months,'Loan Tape (S&amp;P)'!AN2430,
    IF(arrears_months=0,1.00,
    IF(arrears_months=1,3.00,
    IF(arrears_months=2,5.00,
    IF(arrears_months=3,8.00,
    IF(arrears_months=4,10.00,
    IF(arrears_months=5,12.00,15.00)))))))</f>
        <v/>
      </c>
      <c r="M2430">
        <f>LET(
    seasoning_years,DATEDIF('Loan Tape (S&amp;P)'!K2430,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30">
        <f>IF(AND('Loan Tape (S&amp;P)'!U2430="Yes",
        'Loan Tape (S&amp;P)'!T2430&lt;&gt;"Yes",
        DATEDIF('Loan Tape (S&amp;P)'!K2430, TODAY(), "M")&lt;18),
    1.10,
    1.00)</f>
        <v/>
      </c>
      <c r="O2430">
        <f>IF('Loan Tape (S&amp;P)'!T2430="Yes",
    1.35,
    1.00)</f>
        <v/>
      </c>
      <c r="P2430">
        <f>IF('Loan Tape (S&amp;P)'!S2430="Yes",
    1.15,
    1.00)</f>
        <v/>
      </c>
      <c r="Q2430">
        <f>IF('Loan Tape (S&amp;P)'!V2430="Yes",
    1.20,
    1.00)</f>
        <v/>
      </c>
      <c r="T2430">
        <f>LET(
    payment_method,'Loan Tape (S&amp;P)'!P2430,
    occupancy,'Loan Tape (S&amp;P)'!N2430,
    maturity_date,'Loan Tape (S&amp;P)'!L2430,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31">
      <c r="J2431">
        <f>LET(
    lien,'Loan Tape (S&amp;P)'!Q2431,
    IF(lien="First",1.00,
        IF(lien="Second",1.50,
            1.70)))</f>
        <v/>
      </c>
      <c r="K2431">
        <f>LET(
    purpose,'Loan Tape (S&amp;P)'!R2431,
    IF(purpose="Purchase",1.00,
        IF(purpose="Remortgage",1.00,
            1.20)))</f>
        <v/>
      </c>
      <c r="L2431">
        <f>LET(
    arrears_months,'Loan Tape (S&amp;P)'!AN2431,
    IF(arrears_months=0,1.00,
    IF(arrears_months=1,3.00,
    IF(arrears_months=2,5.00,
    IF(arrears_months=3,8.00,
    IF(arrears_months=4,10.00,
    IF(arrears_months=5,12.00,15.00)))))))</f>
        <v/>
      </c>
      <c r="M2431">
        <f>LET(
    seasoning_years,DATEDIF('Loan Tape (S&amp;P)'!K2431,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31">
        <f>IF(AND('Loan Tape (S&amp;P)'!U2431="Yes",
        'Loan Tape (S&amp;P)'!T2431&lt;&gt;"Yes",
        DATEDIF('Loan Tape (S&amp;P)'!K2431, TODAY(), "M")&lt;18),
    1.10,
    1.00)</f>
        <v/>
      </c>
      <c r="O2431">
        <f>IF('Loan Tape (S&amp;P)'!T2431="Yes",
    1.35,
    1.00)</f>
        <v/>
      </c>
      <c r="P2431">
        <f>IF('Loan Tape (S&amp;P)'!S2431="Yes",
    1.15,
    1.00)</f>
        <v/>
      </c>
      <c r="Q2431">
        <f>IF('Loan Tape (S&amp;P)'!V2431="Yes",
    1.20,
    1.00)</f>
        <v/>
      </c>
      <c r="T2431">
        <f>LET(
    payment_method,'Loan Tape (S&amp;P)'!P2431,
    occupancy,'Loan Tape (S&amp;P)'!N2431,
    maturity_date,'Loan Tape (S&amp;P)'!L2431,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32">
      <c r="J2432">
        <f>LET(
    lien,'Loan Tape (S&amp;P)'!Q2432,
    IF(lien="First",1.00,
        IF(lien="Second",1.50,
            1.70)))</f>
        <v/>
      </c>
      <c r="K2432">
        <f>LET(
    purpose,'Loan Tape (S&amp;P)'!R2432,
    IF(purpose="Purchase",1.00,
        IF(purpose="Remortgage",1.00,
            1.20)))</f>
        <v/>
      </c>
      <c r="L2432">
        <f>LET(
    arrears_months,'Loan Tape (S&amp;P)'!AN2432,
    IF(arrears_months=0,1.00,
    IF(arrears_months=1,3.00,
    IF(arrears_months=2,5.00,
    IF(arrears_months=3,8.00,
    IF(arrears_months=4,10.00,
    IF(arrears_months=5,12.00,15.00)))))))</f>
        <v/>
      </c>
      <c r="M2432">
        <f>LET(
    seasoning_years,DATEDIF('Loan Tape (S&amp;P)'!K2432,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32">
        <f>IF(AND('Loan Tape (S&amp;P)'!U2432="Yes",
        'Loan Tape (S&amp;P)'!T2432&lt;&gt;"Yes",
        DATEDIF('Loan Tape (S&amp;P)'!K2432, TODAY(), "M")&lt;18),
    1.10,
    1.00)</f>
        <v/>
      </c>
      <c r="O2432">
        <f>IF('Loan Tape (S&amp;P)'!T2432="Yes",
    1.35,
    1.00)</f>
        <v/>
      </c>
      <c r="P2432">
        <f>IF('Loan Tape (S&amp;P)'!S2432="Yes",
    1.15,
    1.00)</f>
        <v/>
      </c>
      <c r="Q2432">
        <f>IF('Loan Tape (S&amp;P)'!V2432="Yes",
    1.20,
    1.00)</f>
        <v/>
      </c>
      <c r="T2432">
        <f>LET(
    payment_method,'Loan Tape (S&amp;P)'!P2432,
    occupancy,'Loan Tape (S&amp;P)'!N2432,
    maturity_date,'Loan Tape (S&amp;P)'!L2432,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33">
      <c r="J2433">
        <f>LET(
    lien,'Loan Tape (S&amp;P)'!Q2433,
    IF(lien="First",1.00,
        IF(lien="Second",1.50,
            1.70)))</f>
        <v/>
      </c>
      <c r="K2433">
        <f>LET(
    purpose,'Loan Tape (S&amp;P)'!R2433,
    IF(purpose="Purchase",1.00,
        IF(purpose="Remortgage",1.00,
            1.20)))</f>
        <v/>
      </c>
      <c r="L2433">
        <f>LET(
    arrears_months,'Loan Tape (S&amp;P)'!AN2433,
    IF(arrears_months=0,1.00,
    IF(arrears_months=1,3.00,
    IF(arrears_months=2,5.00,
    IF(arrears_months=3,8.00,
    IF(arrears_months=4,10.00,
    IF(arrears_months=5,12.00,15.00)))))))</f>
        <v/>
      </c>
      <c r="M2433">
        <f>LET(
    seasoning_years,DATEDIF('Loan Tape (S&amp;P)'!K2433,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33">
        <f>IF(AND('Loan Tape (S&amp;P)'!U2433="Yes",
        'Loan Tape (S&amp;P)'!T2433&lt;&gt;"Yes",
        DATEDIF('Loan Tape (S&amp;P)'!K2433, TODAY(), "M")&lt;18),
    1.10,
    1.00)</f>
        <v/>
      </c>
      <c r="O2433">
        <f>IF('Loan Tape (S&amp;P)'!T2433="Yes",
    1.35,
    1.00)</f>
        <v/>
      </c>
      <c r="P2433">
        <f>IF('Loan Tape (S&amp;P)'!S2433="Yes",
    1.15,
    1.00)</f>
        <v/>
      </c>
      <c r="Q2433">
        <f>IF('Loan Tape (S&amp;P)'!V2433="Yes",
    1.20,
    1.00)</f>
        <v/>
      </c>
      <c r="T2433">
        <f>LET(
    payment_method,'Loan Tape (S&amp;P)'!P2433,
    occupancy,'Loan Tape (S&amp;P)'!N2433,
    maturity_date,'Loan Tape (S&amp;P)'!L2433,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34">
      <c r="J2434">
        <f>LET(
    lien,'Loan Tape (S&amp;P)'!Q2434,
    IF(lien="First",1.00,
        IF(lien="Second",1.50,
            1.70)))</f>
        <v/>
      </c>
      <c r="K2434">
        <f>LET(
    purpose,'Loan Tape (S&amp;P)'!R2434,
    IF(purpose="Purchase",1.00,
        IF(purpose="Remortgage",1.00,
            1.20)))</f>
        <v/>
      </c>
      <c r="L2434">
        <f>LET(
    arrears_months,'Loan Tape (S&amp;P)'!AN2434,
    IF(arrears_months=0,1.00,
    IF(arrears_months=1,3.00,
    IF(arrears_months=2,5.00,
    IF(arrears_months=3,8.00,
    IF(arrears_months=4,10.00,
    IF(arrears_months=5,12.00,15.00)))))))</f>
        <v/>
      </c>
      <c r="M2434">
        <f>LET(
    seasoning_years,DATEDIF('Loan Tape (S&amp;P)'!K2434,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34">
        <f>IF(AND('Loan Tape (S&amp;P)'!U2434="Yes",
        'Loan Tape (S&amp;P)'!T2434&lt;&gt;"Yes",
        DATEDIF('Loan Tape (S&amp;P)'!K2434, TODAY(), "M")&lt;18),
    1.10,
    1.00)</f>
        <v/>
      </c>
      <c r="O2434">
        <f>IF('Loan Tape (S&amp;P)'!T2434="Yes",
    1.35,
    1.00)</f>
        <v/>
      </c>
      <c r="P2434">
        <f>IF('Loan Tape (S&amp;P)'!S2434="Yes",
    1.15,
    1.00)</f>
        <v/>
      </c>
      <c r="Q2434">
        <f>IF('Loan Tape (S&amp;P)'!V2434="Yes",
    1.20,
    1.00)</f>
        <v/>
      </c>
      <c r="T2434">
        <f>LET(
    payment_method,'Loan Tape (S&amp;P)'!P2434,
    occupancy,'Loan Tape (S&amp;P)'!N2434,
    maturity_date,'Loan Tape (S&amp;P)'!L2434,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35">
      <c r="J2435">
        <f>LET(
    lien,'Loan Tape (S&amp;P)'!Q2435,
    IF(lien="First",1.00,
        IF(lien="Second",1.50,
            1.70)))</f>
        <v/>
      </c>
      <c r="K2435">
        <f>LET(
    purpose,'Loan Tape (S&amp;P)'!R2435,
    IF(purpose="Purchase",1.00,
        IF(purpose="Remortgage",1.00,
            1.20)))</f>
        <v/>
      </c>
      <c r="L2435">
        <f>LET(
    arrears_months,'Loan Tape (S&amp;P)'!AN2435,
    IF(arrears_months=0,1.00,
    IF(arrears_months=1,3.00,
    IF(arrears_months=2,5.00,
    IF(arrears_months=3,8.00,
    IF(arrears_months=4,10.00,
    IF(arrears_months=5,12.00,15.00)))))))</f>
        <v/>
      </c>
      <c r="M2435">
        <f>LET(
    seasoning_years,DATEDIF('Loan Tape (S&amp;P)'!K2435,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35">
        <f>IF(AND('Loan Tape (S&amp;P)'!U2435="Yes",
        'Loan Tape (S&amp;P)'!T2435&lt;&gt;"Yes",
        DATEDIF('Loan Tape (S&amp;P)'!K2435, TODAY(), "M")&lt;18),
    1.10,
    1.00)</f>
        <v/>
      </c>
      <c r="O2435">
        <f>IF('Loan Tape (S&amp;P)'!T2435="Yes",
    1.35,
    1.00)</f>
        <v/>
      </c>
      <c r="P2435">
        <f>IF('Loan Tape (S&amp;P)'!S2435="Yes",
    1.15,
    1.00)</f>
        <v/>
      </c>
      <c r="Q2435">
        <f>IF('Loan Tape (S&amp;P)'!V2435="Yes",
    1.20,
    1.00)</f>
        <v/>
      </c>
      <c r="T2435">
        <f>LET(
    payment_method,'Loan Tape (S&amp;P)'!P2435,
    occupancy,'Loan Tape (S&amp;P)'!N2435,
    maturity_date,'Loan Tape (S&amp;P)'!L2435,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36">
      <c r="J2436">
        <f>LET(
    lien,'Loan Tape (S&amp;P)'!Q2436,
    IF(lien="First",1.00,
        IF(lien="Second",1.50,
            1.70)))</f>
        <v/>
      </c>
      <c r="K2436">
        <f>LET(
    purpose,'Loan Tape (S&amp;P)'!R2436,
    IF(purpose="Purchase",1.00,
        IF(purpose="Remortgage",1.00,
            1.20)))</f>
        <v/>
      </c>
      <c r="L2436">
        <f>LET(
    arrears_months,'Loan Tape (S&amp;P)'!AN2436,
    IF(arrears_months=0,1.00,
    IF(arrears_months=1,3.00,
    IF(arrears_months=2,5.00,
    IF(arrears_months=3,8.00,
    IF(arrears_months=4,10.00,
    IF(arrears_months=5,12.00,15.00)))))))</f>
        <v/>
      </c>
      <c r="M2436">
        <f>LET(
    seasoning_years,DATEDIF('Loan Tape (S&amp;P)'!K2436,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36">
        <f>IF(AND('Loan Tape (S&amp;P)'!U2436="Yes",
        'Loan Tape (S&amp;P)'!T2436&lt;&gt;"Yes",
        DATEDIF('Loan Tape (S&amp;P)'!K2436, TODAY(), "M")&lt;18),
    1.10,
    1.00)</f>
        <v/>
      </c>
      <c r="O2436">
        <f>IF('Loan Tape (S&amp;P)'!T2436="Yes",
    1.35,
    1.00)</f>
        <v/>
      </c>
      <c r="P2436">
        <f>IF('Loan Tape (S&amp;P)'!S2436="Yes",
    1.15,
    1.00)</f>
        <v/>
      </c>
      <c r="Q2436">
        <f>IF('Loan Tape (S&amp;P)'!V2436="Yes",
    1.20,
    1.00)</f>
        <v/>
      </c>
      <c r="T2436">
        <f>LET(
    payment_method,'Loan Tape (S&amp;P)'!P2436,
    occupancy,'Loan Tape (S&amp;P)'!N2436,
    maturity_date,'Loan Tape (S&amp;P)'!L2436,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37">
      <c r="J2437">
        <f>LET(
    lien,'Loan Tape (S&amp;P)'!Q2437,
    IF(lien="First",1.00,
        IF(lien="Second",1.50,
            1.70)))</f>
        <v/>
      </c>
      <c r="K2437">
        <f>LET(
    purpose,'Loan Tape (S&amp;P)'!R2437,
    IF(purpose="Purchase",1.00,
        IF(purpose="Remortgage",1.00,
            1.20)))</f>
        <v/>
      </c>
      <c r="L2437">
        <f>LET(
    arrears_months,'Loan Tape (S&amp;P)'!AN2437,
    IF(arrears_months=0,1.00,
    IF(arrears_months=1,3.00,
    IF(arrears_months=2,5.00,
    IF(arrears_months=3,8.00,
    IF(arrears_months=4,10.00,
    IF(arrears_months=5,12.00,15.00)))))))</f>
        <v/>
      </c>
      <c r="M2437">
        <f>LET(
    seasoning_years,DATEDIF('Loan Tape (S&amp;P)'!K2437,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37">
        <f>IF(AND('Loan Tape (S&amp;P)'!U2437="Yes",
        'Loan Tape (S&amp;P)'!T2437&lt;&gt;"Yes",
        DATEDIF('Loan Tape (S&amp;P)'!K2437, TODAY(), "M")&lt;18),
    1.10,
    1.00)</f>
        <v/>
      </c>
      <c r="O2437">
        <f>IF('Loan Tape (S&amp;P)'!T2437="Yes",
    1.35,
    1.00)</f>
        <v/>
      </c>
      <c r="P2437">
        <f>IF('Loan Tape (S&amp;P)'!S2437="Yes",
    1.15,
    1.00)</f>
        <v/>
      </c>
      <c r="Q2437">
        <f>IF('Loan Tape (S&amp;P)'!V2437="Yes",
    1.20,
    1.00)</f>
        <v/>
      </c>
      <c r="T2437">
        <f>LET(
    payment_method,'Loan Tape (S&amp;P)'!P2437,
    occupancy,'Loan Tape (S&amp;P)'!N2437,
    maturity_date,'Loan Tape (S&amp;P)'!L2437,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38">
      <c r="J2438">
        <f>LET(
    lien,'Loan Tape (S&amp;P)'!Q2438,
    IF(lien="First",1.00,
        IF(lien="Second",1.50,
            1.70)))</f>
        <v/>
      </c>
      <c r="K2438">
        <f>LET(
    purpose,'Loan Tape (S&amp;P)'!R2438,
    IF(purpose="Purchase",1.00,
        IF(purpose="Remortgage",1.00,
            1.20)))</f>
        <v/>
      </c>
      <c r="L2438">
        <f>LET(
    arrears_months,'Loan Tape (S&amp;P)'!AN2438,
    IF(arrears_months=0,1.00,
    IF(arrears_months=1,3.00,
    IF(arrears_months=2,5.00,
    IF(arrears_months=3,8.00,
    IF(arrears_months=4,10.00,
    IF(arrears_months=5,12.00,15.00)))))))</f>
        <v/>
      </c>
      <c r="M2438">
        <f>LET(
    seasoning_years,DATEDIF('Loan Tape (S&amp;P)'!K2438,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38">
        <f>IF(AND('Loan Tape (S&amp;P)'!U2438="Yes",
        'Loan Tape (S&amp;P)'!T2438&lt;&gt;"Yes",
        DATEDIF('Loan Tape (S&amp;P)'!K2438, TODAY(), "M")&lt;18),
    1.10,
    1.00)</f>
        <v/>
      </c>
      <c r="O2438">
        <f>IF('Loan Tape (S&amp;P)'!T2438="Yes",
    1.35,
    1.00)</f>
        <v/>
      </c>
      <c r="P2438">
        <f>IF('Loan Tape (S&amp;P)'!S2438="Yes",
    1.15,
    1.00)</f>
        <v/>
      </c>
      <c r="Q2438">
        <f>IF('Loan Tape (S&amp;P)'!V2438="Yes",
    1.20,
    1.00)</f>
        <v/>
      </c>
      <c r="T2438">
        <f>LET(
    payment_method,'Loan Tape (S&amp;P)'!P2438,
    occupancy,'Loan Tape (S&amp;P)'!N2438,
    maturity_date,'Loan Tape (S&amp;P)'!L2438,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39">
      <c r="J2439">
        <f>LET(
    lien,'Loan Tape (S&amp;P)'!Q2439,
    IF(lien="First",1.00,
        IF(lien="Second",1.50,
            1.70)))</f>
        <v/>
      </c>
      <c r="K2439">
        <f>LET(
    purpose,'Loan Tape (S&amp;P)'!R2439,
    IF(purpose="Purchase",1.00,
        IF(purpose="Remortgage",1.00,
            1.20)))</f>
        <v/>
      </c>
      <c r="L2439">
        <f>LET(
    arrears_months,'Loan Tape (S&amp;P)'!AN2439,
    IF(arrears_months=0,1.00,
    IF(arrears_months=1,3.00,
    IF(arrears_months=2,5.00,
    IF(arrears_months=3,8.00,
    IF(arrears_months=4,10.00,
    IF(arrears_months=5,12.00,15.00)))))))</f>
        <v/>
      </c>
      <c r="M2439">
        <f>LET(
    seasoning_years,DATEDIF('Loan Tape (S&amp;P)'!K2439,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39">
        <f>IF(AND('Loan Tape (S&amp;P)'!U2439="Yes",
        'Loan Tape (S&amp;P)'!T2439&lt;&gt;"Yes",
        DATEDIF('Loan Tape (S&amp;P)'!K2439, TODAY(), "M")&lt;18),
    1.10,
    1.00)</f>
        <v/>
      </c>
      <c r="O2439">
        <f>IF('Loan Tape (S&amp;P)'!T2439="Yes",
    1.35,
    1.00)</f>
        <v/>
      </c>
      <c r="P2439">
        <f>IF('Loan Tape (S&amp;P)'!S2439="Yes",
    1.15,
    1.00)</f>
        <v/>
      </c>
      <c r="Q2439">
        <f>IF('Loan Tape (S&amp;P)'!V2439="Yes",
    1.20,
    1.00)</f>
        <v/>
      </c>
      <c r="T2439">
        <f>LET(
    payment_method,'Loan Tape (S&amp;P)'!P2439,
    occupancy,'Loan Tape (S&amp;P)'!N2439,
    maturity_date,'Loan Tape (S&amp;P)'!L2439,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40">
      <c r="J2440">
        <f>LET(
    lien,'Loan Tape (S&amp;P)'!Q2440,
    IF(lien="First",1.00,
        IF(lien="Second",1.50,
            1.70)))</f>
        <v/>
      </c>
      <c r="K2440">
        <f>LET(
    purpose,'Loan Tape (S&amp;P)'!R2440,
    IF(purpose="Purchase",1.00,
        IF(purpose="Remortgage",1.00,
            1.20)))</f>
        <v/>
      </c>
      <c r="L2440">
        <f>LET(
    arrears_months,'Loan Tape (S&amp;P)'!AN2440,
    IF(arrears_months=0,1.00,
    IF(arrears_months=1,3.00,
    IF(arrears_months=2,5.00,
    IF(arrears_months=3,8.00,
    IF(arrears_months=4,10.00,
    IF(arrears_months=5,12.00,15.00)))))))</f>
        <v/>
      </c>
      <c r="M2440">
        <f>LET(
    seasoning_years,DATEDIF('Loan Tape (S&amp;P)'!K2440,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40">
        <f>IF(AND('Loan Tape (S&amp;P)'!U2440="Yes",
        'Loan Tape (S&amp;P)'!T2440&lt;&gt;"Yes",
        DATEDIF('Loan Tape (S&amp;P)'!K2440, TODAY(), "M")&lt;18),
    1.10,
    1.00)</f>
        <v/>
      </c>
      <c r="O2440">
        <f>IF('Loan Tape (S&amp;P)'!T2440="Yes",
    1.35,
    1.00)</f>
        <v/>
      </c>
      <c r="P2440">
        <f>IF('Loan Tape (S&amp;P)'!S2440="Yes",
    1.15,
    1.00)</f>
        <v/>
      </c>
      <c r="Q2440">
        <f>IF('Loan Tape (S&amp;P)'!V2440="Yes",
    1.20,
    1.00)</f>
        <v/>
      </c>
      <c r="T2440">
        <f>LET(
    payment_method,'Loan Tape (S&amp;P)'!P2440,
    occupancy,'Loan Tape (S&amp;P)'!N2440,
    maturity_date,'Loan Tape (S&amp;P)'!L2440,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41">
      <c r="J2441">
        <f>LET(
    lien,'Loan Tape (S&amp;P)'!Q2441,
    IF(lien="First",1.00,
        IF(lien="Second",1.50,
            1.70)))</f>
        <v/>
      </c>
      <c r="K2441">
        <f>LET(
    purpose,'Loan Tape (S&amp;P)'!R2441,
    IF(purpose="Purchase",1.00,
        IF(purpose="Remortgage",1.00,
            1.20)))</f>
        <v/>
      </c>
      <c r="L2441">
        <f>LET(
    arrears_months,'Loan Tape (S&amp;P)'!AN2441,
    IF(arrears_months=0,1.00,
    IF(arrears_months=1,3.00,
    IF(arrears_months=2,5.00,
    IF(arrears_months=3,8.00,
    IF(arrears_months=4,10.00,
    IF(arrears_months=5,12.00,15.00)))))))</f>
        <v/>
      </c>
      <c r="M2441">
        <f>LET(
    seasoning_years,DATEDIF('Loan Tape (S&amp;P)'!K2441,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41">
        <f>IF(AND('Loan Tape (S&amp;P)'!U2441="Yes",
        'Loan Tape (S&amp;P)'!T2441&lt;&gt;"Yes",
        DATEDIF('Loan Tape (S&amp;P)'!K2441, TODAY(), "M")&lt;18),
    1.10,
    1.00)</f>
        <v/>
      </c>
      <c r="O2441">
        <f>IF('Loan Tape (S&amp;P)'!T2441="Yes",
    1.35,
    1.00)</f>
        <v/>
      </c>
      <c r="P2441">
        <f>IF('Loan Tape (S&amp;P)'!S2441="Yes",
    1.15,
    1.00)</f>
        <v/>
      </c>
      <c r="Q2441">
        <f>IF('Loan Tape (S&amp;P)'!V2441="Yes",
    1.20,
    1.00)</f>
        <v/>
      </c>
      <c r="T2441">
        <f>LET(
    payment_method,'Loan Tape (S&amp;P)'!P2441,
    occupancy,'Loan Tape (S&amp;P)'!N2441,
    maturity_date,'Loan Tape (S&amp;P)'!L2441,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42">
      <c r="J2442">
        <f>LET(
    lien,'Loan Tape (S&amp;P)'!Q2442,
    IF(lien="First",1.00,
        IF(lien="Second",1.50,
            1.70)))</f>
        <v/>
      </c>
      <c r="K2442">
        <f>LET(
    purpose,'Loan Tape (S&amp;P)'!R2442,
    IF(purpose="Purchase",1.00,
        IF(purpose="Remortgage",1.00,
            1.20)))</f>
        <v/>
      </c>
      <c r="L2442">
        <f>LET(
    arrears_months,'Loan Tape (S&amp;P)'!AN2442,
    IF(arrears_months=0,1.00,
    IF(arrears_months=1,3.00,
    IF(arrears_months=2,5.00,
    IF(arrears_months=3,8.00,
    IF(arrears_months=4,10.00,
    IF(arrears_months=5,12.00,15.00)))))))</f>
        <v/>
      </c>
      <c r="M2442">
        <f>LET(
    seasoning_years,DATEDIF('Loan Tape (S&amp;P)'!K2442,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42">
        <f>IF(AND('Loan Tape (S&amp;P)'!U2442="Yes",
        'Loan Tape (S&amp;P)'!T2442&lt;&gt;"Yes",
        DATEDIF('Loan Tape (S&amp;P)'!K2442, TODAY(), "M")&lt;18),
    1.10,
    1.00)</f>
        <v/>
      </c>
      <c r="O2442">
        <f>IF('Loan Tape (S&amp;P)'!T2442="Yes",
    1.35,
    1.00)</f>
        <v/>
      </c>
      <c r="P2442">
        <f>IF('Loan Tape (S&amp;P)'!S2442="Yes",
    1.15,
    1.00)</f>
        <v/>
      </c>
      <c r="Q2442">
        <f>IF('Loan Tape (S&amp;P)'!V2442="Yes",
    1.20,
    1.00)</f>
        <v/>
      </c>
      <c r="T2442">
        <f>LET(
    payment_method,'Loan Tape (S&amp;P)'!P2442,
    occupancy,'Loan Tape (S&amp;P)'!N2442,
    maturity_date,'Loan Tape (S&amp;P)'!L2442,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43">
      <c r="J2443">
        <f>LET(
    lien,'Loan Tape (S&amp;P)'!Q2443,
    IF(lien="First",1.00,
        IF(lien="Second",1.50,
            1.70)))</f>
        <v/>
      </c>
      <c r="K2443">
        <f>LET(
    purpose,'Loan Tape (S&amp;P)'!R2443,
    IF(purpose="Purchase",1.00,
        IF(purpose="Remortgage",1.00,
            1.20)))</f>
        <v/>
      </c>
      <c r="L2443">
        <f>LET(
    arrears_months,'Loan Tape (S&amp;P)'!AN2443,
    IF(arrears_months=0,1.00,
    IF(arrears_months=1,3.00,
    IF(arrears_months=2,5.00,
    IF(arrears_months=3,8.00,
    IF(arrears_months=4,10.00,
    IF(arrears_months=5,12.00,15.00)))))))</f>
        <v/>
      </c>
      <c r="M2443">
        <f>LET(
    seasoning_years,DATEDIF('Loan Tape (S&amp;P)'!K2443,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43">
        <f>IF(AND('Loan Tape (S&amp;P)'!U2443="Yes",
        'Loan Tape (S&amp;P)'!T2443&lt;&gt;"Yes",
        DATEDIF('Loan Tape (S&amp;P)'!K2443, TODAY(), "M")&lt;18),
    1.10,
    1.00)</f>
        <v/>
      </c>
      <c r="O2443">
        <f>IF('Loan Tape (S&amp;P)'!T2443="Yes",
    1.35,
    1.00)</f>
        <v/>
      </c>
      <c r="P2443">
        <f>IF('Loan Tape (S&amp;P)'!S2443="Yes",
    1.15,
    1.00)</f>
        <v/>
      </c>
      <c r="Q2443">
        <f>IF('Loan Tape (S&amp;P)'!V2443="Yes",
    1.20,
    1.00)</f>
        <v/>
      </c>
      <c r="T2443">
        <f>LET(
    payment_method,'Loan Tape (S&amp;P)'!P2443,
    occupancy,'Loan Tape (S&amp;P)'!N2443,
    maturity_date,'Loan Tape (S&amp;P)'!L2443,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44">
      <c r="J2444">
        <f>LET(
    lien,'Loan Tape (S&amp;P)'!Q2444,
    IF(lien="First",1.00,
        IF(lien="Second",1.50,
            1.70)))</f>
        <v/>
      </c>
      <c r="K2444">
        <f>LET(
    purpose,'Loan Tape (S&amp;P)'!R2444,
    IF(purpose="Purchase",1.00,
        IF(purpose="Remortgage",1.00,
            1.20)))</f>
        <v/>
      </c>
      <c r="L2444">
        <f>LET(
    arrears_months,'Loan Tape (S&amp;P)'!AN2444,
    IF(arrears_months=0,1.00,
    IF(arrears_months=1,3.00,
    IF(arrears_months=2,5.00,
    IF(arrears_months=3,8.00,
    IF(arrears_months=4,10.00,
    IF(arrears_months=5,12.00,15.00)))))))</f>
        <v/>
      </c>
      <c r="M2444">
        <f>LET(
    seasoning_years,DATEDIF('Loan Tape (S&amp;P)'!K2444,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44">
        <f>IF(AND('Loan Tape (S&amp;P)'!U2444="Yes",
        'Loan Tape (S&amp;P)'!T2444&lt;&gt;"Yes",
        DATEDIF('Loan Tape (S&amp;P)'!K2444, TODAY(), "M")&lt;18),
    1.10,
    1.00)</f>
        <v/>
      </c>
      <c r="O2444">
        <f>IF('Loan Tape (S&amp;P)'!T2444="Yes",
    1.35,
    1.00)</f>
        <v/>
      </c>
      <c r="P2444">
        <f>IF('Loan Tape (S&amp;P)'!S2444="Yes",
    1.15,
    1.00)</f>
        <v/>
      </c>
      <c r="Q2444">
        <f>IF('Loan Tape (S&amp;P)'!V2444="Yes",
    1.20,
    1.00)</f>
        <v/>
      </c>
      <c r="T2444">
        <f>LET(
    payment_method,'Loan Tape (S&amp;P)'!P2444,
    occupancy,'Loan Tape (S&amp;P)'!N2444,
    maturity_date,'Loan Tape (S&amp;P)'!L2444,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45">
      <c r="J2445">
        <f>LET(
    lien,'Loan Tape (S&amp;P)'!Q2445,
    IF(lien="First",1.00,
        IF(lien="Second",1.50,
            1.70)))</f>
        <v/>
      </c>
      <c r="K2445">
        <f>LET(
    purpose,'Loan Tape (S&amp;P)'!R2445,
    IF(purpose="Purchase",1.00,
        IF(purpose="Remortgage",1.00,
            1.20)))</f>
        <v/>
      </c>
      <c r="L2445">
        <f>LET(
    arrears_months,'Loan Tape (S&amp;P)'!AN2445,
    IF(arrears_months=0,1.00,
    IF(arrears_months=1,3.00,
    IF(arrears_months=2,5.00,
    IF(arrears_months=3,8.00,
    IF(arrears_months=4,10.00,
    IF(arrears_months=5,12.00,15.00)))))))</f>
        <v/>
      </c>
      <c r="M2445">
        <f>LET(
    seasoning_years,DATEDIF('Loan Tape (S&amp;P)'!K2445,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45">
        <f>IF(AND('Loan Tape (S&amp;P)'!U2445="Yes",
        'Loan Tape (S&amp;P)'!T2445&lt;&gt;"Yes",
        DATEDIF('Loan Tape (S&amp;P)'!K2445, TODAY(), "M")&lt;18),
    1.10,
    1.00)</f>
        <v/>
      </c>
      <c r="O2445">
        <f>IF('Loan Tape (S&amp;P)'!T2445="Yes",
    1.35,
    1.00)</f>
        <v/>
      </c>
      <c r="P2445">
        <f>IF('Loan Tape (S&amp;P)'!S2445="Yes",
    1.15,
    1.00)</f>
        <v/>
      </c>
      <c r="Q2445">
        <f>IF('Loan Tape (S&amp;P)'!V2445="Yes",
    1.20,
    1.00)</f>
        <v/>
      </c>
      <c r="T2445">
        <f>LET(
    payment_method,'Loan Tape (S&amp;P)'!P2445,
    occupancy,'Loan Tape (S&amp;P)'!N2445,
    maturity_date,'Loan Tape (S&amp;P)'!L2445,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46">
      <c r="J2446">
        <f>LET(
    lien,'Loan Tape (S&amp;P)'!Q2446,
    IF(lien="First",1.00,
        IF(lien="Second",1.50,
            1.70)))</f>
        <v/>
      </c>
      <c r="K2446">
        <f>LET(
    purpose,'Loan Tape (S&amp;P)'!R2446,
    IF(purpose="Purchase",1.00,
        IF(purpose="Remortgage",1.00,
            1.20)))</f>
        <v/>
      </c>
      <c r="L2446">
        <f>LET(
    arrears_months,'Loan Tape (S&amp;P)'!AN2446,
    IF(arrears_months=0,1.00,
    IF(arrears_months=1,3.00,
    IF(arrears_months=2,5.00,
    IF(arrears_months=3,8.00,
    IF(arrears_months=4,10.00,
    IF(arrears_months=5,12.00,15.00)))))))</f>
        <v/>
      </c>
      <c r="M2446">
        <f>LET(
    seasoning_years,DATEDIF('Loan Tape (S&amp;P)'!K2446,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46">
        <f>IF(AND('Loan Tape (S&amp;P)'!U2446="Yes",
        'Loan Tape (S&amp;P)'!T2446&lt;&gt;"Yes",
        DATEDIF('Loan Tape (S&amp;P)'!K2446, TODAY(), "M")&lt;18),
    1.10,
    1.00)</f>
        <v/>
      </c>
      <c r="O2446">
        <f>IF('Loan Tape (S&amp;P)'!T2446="Yes",
    1.35,
    1.00)</f>
        <v/>
      </c>
      <c r="P2446">
        <f>IF('Loan Tape (S&amp;P)'!S2446="Yes",
    1.15,
    1.00)</f>
        <v/>
      </c>
      <c r="Q2446">
        <f>IF('Loan Tape (S&amp;P)'!V2446="Yes",
    1.20,
    1.00)</f>
        <v/>
      </c>
      <c r="T2446">
        <f>LET(
    payment_method,'Loan Tape (S&amp;P)'!P2446,
    occupancy,'Loan Tape (S&amp;P)'!N2446,
    maturity_date,'Loan Tape (S&amp;P)'!L2446,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47">
      <c r="J2447">
        <f>LET(
    lien,'Loan Tape (S&amp;P)'!Q2447,
    IF(lien="First",1.00,
        IF(lien="Second",1.50,
            1.70)))</f>
        <v/>
      </c>
      <c r="K2447">
        <f>LET(
    purpose,'Loan Tape (S&amp;P)'!R2447,
    IF(purpose="Purchase",1.00,
        IF(purpose="Remortgage",1.00,
            1.20)))</f>
        <v/>
      </c>
      <c r="L2447">
        <f>LET(
    arrears_months,'Loan Tape (S&amp;P)'!AN2447,
    IF(arrears_months=0,1.00,
    IF(arrears_months=1,3.00,
    IF(arrears_months=2,5.00,
    IF(arrears_months=3,8.00,
    IF(arrears_months=4,10.00,
    IF(arrears_months=5,12.00,15.00)))))))</f>
        <v/>
      </c>
      <c r="M2447">
        <f>LET(
    seasoning_years,DATEDIF('Loan Tape (S&amp;P)'!K2447,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47">
        <f>IF(AND('Loan Tape (S&amp;P)'!U2447="Yes",
        'Loan Tape (S&amp;P)'!T2447&lt;&gt;"Yes",
        DATEDIF('Loan Tape (S&amp;P)'!K2447, TODAY(), "M")&lt;18),
    1.10,
    1.00)</f>
        <v/>
      </c>
      <c r="O2447">
        <f>IF('Loan Tape (S&amp;P)'!T2447="Yes",
    1.35,
    1.00)</f>
        <v/>
      </c>
      <c r="P2447">
        <f>IF('Loan Tape (S&amp;P)'!S2447="Yes",
    1.15,
    1.00)</f>
        <v/>
      </c>
      <c r="Q2447">
        <f>IF('Loan Tape (S&amp;P)'!V2447="Yes",
    1.20,
    1.00)</f>
        <v/>
      </c>
      <c r="T2447">
        <f>LET(
    payment_method,'Loan Tape (S&amp;P)'!P2447,
    occupancy,'Loan Tape (S&amp;P)'!N2447,
    maturity_date,'Loan Tape (S&amp;P)'!L2447,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48">
      <c r="J2448">
        <f>LET(
    lien,'Loan Tape (S&amp;P)'!Q2448,
    IF(lien="First",1.00,
        IF(lien="Second",1.50,
            1.70)))</f>
        <v/>
      </c>
      <c r="K2448">
        <f>LET(
    purpose,'Loan Tape (S&amp;P)'!R2448,
    IF(purpose="Purchase",1.00,
        IF(purpose="Remortgage",1.00,
            1.20)))</f>
        <v/>
      </c>
      <c r="L2448">
        <f>LET(
    arrears_months,'Loan Tape (S&amp;P)'!AN2448,
    IF(arrears_months=0,1.00,
    IF(arrears_months=1,3.00,
    IF(arrears_months=2,5.00,
    IF(arrears_months=3,8.00,
    IF(arrears_months=4,10.00,
    IF(arrears_months=5,12.00,15.00)))))))</f>
        <v/>
      </c>
      <c r="M2448">
        <f>LET(
    seasoning_years,DATEDIF('Loan Tape (S&amp;P)'!K2448,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48">
        <f>IF(AND('Loan Tape (S&amp;P)'!U2448="Yes",
        'Loan Tape (S&amp;P)'!T2448&lt;&gt;"Yes",
        DATEDIF('Loan Tape (S&amp;P)'!K2448, TODAY(), "M")&lt;18),
    1.10,
    1.00)</f>
        <v/>
      </c>
      <c r="O2448">
        <f>IF('Loan Tape (S&amp;P)'!T2448="Yes",
    1.35,
    1.00)</f>
        <v/>
      </c>
      <c r="P2448">
        <f>IF('Loan Tape (S&amp;P)'!S2448="Yes",
    1.15,
    1.00)</f>
        <v/>
      </c>
      <c r="Q2448">
        <f>IF('Loan Tape (S&amp;P)'!V2448="Yes",
    1.20,
    1.00)</f>
        <v/>
      </c>
      <c r="T2448">
        <f>LET(
    payment_method,'Loan Tape (S&amp;P)'!P2448,
    occupancy,'Loan Tape (S&amp;P)'!N2448,
    maturity_date,'Loan Tape (S&amp;P)'!L2448,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49">
      <c r="J2449">
        <f>LET(
    lien,'Loan Tape (S&amp;P)'!Q2449,
    IF(lien="First",1.00,
        IF(lien="Second",1.50,
            1.70)))</f>
        <v/>
      </c>
      <c r="K2449">
        <f>LET(
    purpose,'Loan Tape (S&amp;P)'!R2449,
    IF(purpose="Purchase",1.00,
        IF(purpose="Remortgage",1.00,
            1.20)))</f>
        <v/>
      </c>
      <c r="L2449">
        <f>LET(
    arrears_months,'Loan Tape (S&amp;P)'!AN2449,
    IF(arrears_months=0,1.00,
    IF(arrears_months=1,3.00,
    IF(arrears_months=2,5.00,
    IF(arrears_months=3,8.00,
    IF(arrears_months=4,10.00,
    IF(arrears_months=5,12.00,15.00)))))))</f>
        <v/>
      </c>
      <c r="M2449">
        <f>LET(
    seasoning_years,DATEDIF('Loan Tape (S&amp;P)'!K2449,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49">
        <f>IF(AND('Loan Tape (S&amp;P)'!U2449="Yes",
        'Loan Tape (S&amp;P)'!T2449&lt;&gt;"Yes",
        DATEDIF('Loan Tape (S&amp;P)'!K2449, TODAY(), "M")&lt;18),
    1.10,
    1.00)</f>
        <v/>
      </c>
      <c r="O2449">
        <f>IF('Loan Tape (S&amp;P)'!T2449="Yes",
    1.35,
    1.00)</f>
        <v/>
      </c>
      <c r="P2449">
        <f>IF('Loan Tape (S&amp;P)'!S2449="Yes",
    1.15,
    1.00)</f>
        <v/>
      </c>
      <c r="Q2449">
        <f>IF('Loan Tape (S&amp;P)'!V2449="Yes",
    1.20,
    1.00)</f>
        <v/>
      </c>
      <c r="T2449">
        <f>LET(
    payment_method,'Loan Tape (S&amp;P)'!P2449,
    occupancy,'Loan Tape (S&amp;P)'!N2449,
    maturity_date,'Loan Tape (S&amp;P)'!L2449,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50">
      <c r="J2450">
        <f>LET(
    lien,'Loan Tape (S&amp;P)'!Q2450,
    IF(lien="First",1.00,
        IF(lien="Second",1.50,
            1.70)))</f>
        <v/>
      </c>
      <c r="K2450">
        <f>LET(
    purpose,'Loan Tape (S&amp;P)'!R2450,
    IF(purpose="Purchase",1.00,
        IF(purpose="Remortgage",1.00,
            1.20)))</f>
        <v/>
      </c>
      <c r="L2450">
        <f>LET(
    arrears_months,'Loan Tape (S&amp;P)'!AN2450,
    IF(arrears_months=0,1.00,
    IF(arrears_months=1,3.00,
    IF(arrears_months=2,5.00,
    IF(arrears_months=3,8.00,
    IF(arrears_months=4,10.00,
    IF(arrears_months=5,12.00,15.00)))))))</f>
        <v/>
      </c>
      <c r="M2450">
        <f>LET(
    seasoning_years,DATEDIF('Loan Tape (S&amp;P)'!K2450,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50">
        <f>IF(AND('Loan Tape (S&amp;P)'!U2450="Yes",
        'Loan Tape (S&amp;P)'!T2450&lt;&gt;"Yes",
        DATEDIF('Loan Tape (S&amp;P)'!K2450, TODAY(), "M")&lt;18),
    1.10,
    1.00)</f>
        <v/>
      </c>
      <c r="O2450">
        <f>IF('Loan Tape (S&amp;P)'!T2450="Yes",
    1.35,
    1.00)</f>
        <v/>
      </c>
      <c r="P2450">
        <f>IF('Loan Tape (S&amp;P)'!S2450="Yes",
    1.15,
    1.00)</f>
        <v/>
      </c>
      <c r="Q2450">
        <f>IF('Loan Tape (S&amp;P)'!V2450="Yes",
    1.20,
    1.00)</f>
        <v/>
      </c>
      <c r="T2450">
        <f>LET(
    payment_method,'Loan Tape (S&amp;P)'!P2450,
    occupancy,'Loan Tape (S&amp;P)'!N2450,
    maturity_date,'Loan Tape (S&amp;P)'!L2450,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51">
      <c r="J2451">
        <f>LET(
    lien,'Loan Tape (S&amp;P)'!Q2451,
    IF(lien="First",1.00,
        IF(lien="Second",1.50,
            1.70)))</f>
        <v/>
      </c>
      <c r="K2451">
        <f>LET(
    purpose,'Loan Tape (S&amp;P)'!R2451,
    IF(purpose="Purchase",1.00,
        IF(purpose="Remortgage",1.00,
            1.20)))</f>
        <v/>
      </c>
      <c r="L2451">
        <f>LET(
    arrears_months,'Loan Tape (S&amp;P)'!AN2451,
    IF(arrears_months=0,1.00,
    IF(arrears_months=1,3.00,
    IF(arrears_months=2,5.00,
    IF(arrears_months=3,8.00,
    IF(arrears_months=4,10.00,
    IF(arrears_months=5,12.00,15.00)))))))</f>
        <v/>
      </c>
      <c r="M2451">
        <f>LET(
    seasoning_years,DATEDIF('Loan Tape (S&amp;P)'!K2451,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51">
        <f>IF(AND('Loan Tape (S&amp;P)'!U2451="Yes",
        'Loan Tape (S&amp;P)'!T2451&lt;&gt;"Yes",
        DATEDIF('Loan Tape (S&amp;P)'!K2451, TODAY(), "M")&lt;18),
    1.10,
    1.00)</f>
        <v/>
      </c>
      <c r="O2451">
        <f>IF('Loan Tape (S&amp;P)'!T2451="Yes",
    1.35,
    1.00)</f>
        <v/>
      </c>
      <c r="P2451">
        <f>IF('Loan Tape (S&amp;P)'!S2451="Yes",
    1.15,
    1.00)</f>
        <v/>
      </c>
      <c r="Q2451">
        <f>IF('Loan Tape (S&amp;P)'!V2451="Yes",
    1.20,
    1.00)</f>
        <v/>
      </c>
      <c r="T2451">
        <f>LET(
    payment_method,'Loan Tape (S&amp;P)'!P2451,
    occupancy,'Loan Tape (S&amp;P)'!N2451,
    maturity_date,'Loan Tape (S&amp;P)'!L2451,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52">
      <c r="J2452">
        <f>LET(
    lien,'Loan Tape (S&amp;P)'!Q2452,
    IF(lien="First",1.00,
        IF(lien="Second",1.50,
            1.70)))</f>
        <v/>
      </c>
      <c r="K2452">
        <f>LET(
    purpose,'Loan Tape (S&amp;P)'!R2452,
    IF(purpose="Purchase",1.00,
        IF(purpose="Remortgage",1.00,
            1.20)))</f>
        <v/>
      </c>
      <c r="L2452">
        <f>LET(
    arrears_months,'Loan Tape (S&amp;P)'!AN2452,
    IF(arrears_months=0,1.00,
    IF(arrears_months=1,3.00,
    IF(arrears_months=2,5.00,
    IF(arrears_months=3,8.00,
    IF(arrears_months=4,10.00,
    IF(arrears_months=5,12.00,15.00)))))))</f>
        <v/>
      </c>
      <c r="M2452">
        <f>LET(
    seasoning_years,DATEDIF('Loan Tape (S&amp;P)'!K2452,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52">
        <f>IF(AND('Loan Tape (S&amp;P)'!U2452="Yes",
        'Loan Tape (S&amp;P)'!T2452&lt;&gt;"Yes",
        DATEDIF('Loan Tape (S&amp;P)'!K2452, TODAY(), "M")&lt;18),
    1.10,
    1.00)</f>
        <v/>
      </c>
      <c r="O2452">
        <f>IF('Loan Tape (S&amp;P)'!T2452="Yes",
    1.35,
    1.00)</f>
        <v/>
      </c>
      <c r="P2452">
        <f>IF('Loan Tape (S&amp;P)'!S2452="Yes",
    1.15,
    1.00)</f>
        <v/>
      </c>
      <c r="Q2452">
        <f>IF('Loan Tape (S&amp;P)'!V2452="Yes",
    1.20,
    1.00)</f>
        <v/>
      </c>
      <c r="T2452">
        <f>LET(
    payment_method,'Loan Tape (S&amp;P)'!P2452,
    occupancy,'Loan Tape (S&amp;P)'!N2452,
    maturity_date,'Loan Tape (S&amp;P)'!L2452,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53">
      <c r="J2453">
        <f>LET(
    lien,'Loan Tape (S&amp;P)'!Q2453,
    IF(lien="First",1.00,
        IF(lien="Second",1.50,
            1.70)))</f>
        <v/>
      </c>
      <c r="K2453">
        <f>LET(
    purpose,'Loan Tape (S&amp;P)'!R2453,
    IF(purpose="Purchase",1.00,
        IF(purpose="Remortgage",1.00,
            1.20)))</f>
        <v/>
      </c>
      <c r="L2453">
        <f>LET(
    arrears_months,'Loan Tape (S&amp;P)'!AN2453,
    IF(arrears_months=0,1.00,
    IF(arrears_months=1,3.00,
    IF(arrears_months=2,5.00,
    IF(arrears_months=3,8.00,
    IF(arrears_months=4,10.00,
    IF(arrears_months=5,12.00,15.00)))))))</f>
        <v/>
      </c>
      <c r="M2453">
        <f>LET(
    seasoning_years,DATEDIF('Loan Tape (S&amp;P)'!K2453,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53">
        <f>IF(AND('Loan Tape (S&amp;P)'!U2453="Yes",
        'Loan Tape (S&amp;P)'!T2453&lt;&gt;"Yes",
        DATEDIF('Loan Tape (S&amp;P)'!K2453, TODAY(), "M")&lt;18),
    1.10,
    1.00)</f>
        <v/>
      </c>
      <c r="O2453">
        <f>IF('Loan Tape (S&amp;P)'!T2453="Yes",
    1.35,
    1.00)</f>
        <v/>
      </c>
      <c r="P2453">
        <f>IF('Loan Tape (S&amp;P)'!S2453="Yes",
    1.15,
    1.00)</f>
        <v/>
      </c>
      <c r="Q2453">
        <f>IF('Loan Tape (S&amp;P)'!V2453="Yes",
    1.20,
    1.00)</f>
        <v/>
      </c>
      <c r="T2453">
        <f>LET(
    payment_method,'Loan Tape (S&amp;P)'!P2453,
    occupancy,'Loan Tape (S&amp;P)'!N2453,
    maturity_date,'Loan Tape (S&amp;P)'!L2453,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54">
      <c r="J2454">
        <f>LET(
    lien,'Loan Tape (S&amp;P)'!Q2454,
    IF(lien="First",1.00,
        IF(lien="Second",1.50,
            1.70)))</f>
        <v/>
      </c>
      <c r="K2454">
        <f>LET(
    purpose,'Loan Tape (S&amp;P)'!R2454,
    IF(purpose="Purchase",1.00,
        IF(purpose="Remortgage",1.00,
            1.20)))</f>
        <v/>
      </c>
      <c r="L2454">
        <f>LET(
    arrears_months,'Loan Tape (S&amp;P)'!AN2454,
    IF(arrears_months=0,1.00,
    IF(arrears_months=1,3.00,
    IF(arrears_months=2,5.00,
    IF(arrears_months=3,8.00,
    IF(arrears_months=4,10.00,
    IF(arrears_months=5,12.00,15.00)))))))</f>
        <v/>
      </c>
      <c r="M2454">
        <f>LET(
    seasoning_years,DATEDIF('Loan Tape (S&amp;P)'!K2454,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54">
        <f>IF(AND('Loan Tape (S&amp;P)'!U2454="Yes",
        'Loan Tape (S&amp;P)'!T2454&lt;&gt;"Yes",
        DATEDIF('Loan Tape (S&amp;P)'!K2454, TODAY(), "M")&lt;18),
    1.10,
    1.00)</f>
        <v/>
      </c>
      <c r="O2454">
        <f>IF('Loan Tape (S&amp;P)'!T2454="Yes",
    1.35,
    1.00)</f>
        <v/>
      </c>
      <c r="P2454">
        <f>IF('Loan Tape (S&amp;P)'!S2454="Yes",
    1.15,
    1.00)</f>
        <v/>
      </c>
      <c r="Q2454">
        <f>IF('Loan Tape (S&amp;P)'!V2454="Yes",
    1.20,
    1.00)</f>
        <v/>
      </c>
      <c r="T2454">
        <f>LET(
    payment_method,'Loan Tape (S&amp;P)'!P2454,
    occupancy,'Loan Tape (S&amp;P)'!N2454,
    maturity_date,'Loan Tape (S&amp;P)'!L2454,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55">
      <c r="J2455">
        <f>LET(
    lien,'Loan Tape (S&amp;P)'!Q2455,
    IF(lien="First",1.00,
        IF(lien="Second",1.50,
            1.70)))</f>
        <v/>
      </c>
      <c r="K2455">
        <f>LET(
    purpose,'Loan Tape (S&amp;P)'!R2455,
    IF(purpose="Purchase",1.00,
        IF(purpose="Remortgage",1.00,
            1.20)))</f>
        <v/>
      </c>
      <c r="L2455">
        <f>LET(
    arrears_months,'Loan Tape (S&amp;P)'!AN2455,
    IF(arrears_months=0,1.00,
    IF(arrears_months=1,3.00,
    IF(arrears_months=2,5.00,
    IF(arrears_months=3,8.00,
    IF(arrears_months=4,10.00,
    IF(arrears_months=5,12.00,15.00)))))))</f>
        <v/>
      </c>
      <c r="M2455">
        <f>LET(
    seasoning_years,DATEDIF('Loan Tape (S&amp;P)'!K2455,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55">
        <f>IF(AND('Loan Tape (S&amp;P)'!U2455="Yes",
        'Loan Tape (S&amp;P)'!T2455&lt;&gt;"Yes",
        DATEDIF('Loan Tape (S&amp;P)'!K2455, TODAY(), "M")&lt;18),
    1.10,
    1.00)</f>
        <v/>
      </c>
      <c r="O2455">
        <f>IF('Loan Tape (S&amp;P)'!T2455="Yes",
    1.35,
    1.00)</f>
        <v/>
      </c>
      <c r="P2455">
        <f>IF('Loan Tape (S&amp;P)'!S2455="Yes",
    1.15,
    1.00)</f>
        <v/>
      </c>
      <c r="Q2455">
        <f>IF('Loan Tape (S&amp;P)'!V2455="Yes",
    1.20,
    1.00)</f>
        <v/>
      </c>
      <c r="T2455">
        <f>LET(
    payment_method,'Loan Tape (S&amp;P)'!P2455,
    occupancy,'Loan Tape (S&amp;P)'!N2455,
    maturity_date,'Loan Tape (S&amp;P)'!L2455,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56">
      <c r="J2456">
        <f>LET(
    lien,'Loan Tape (S&amp;P)'!Q2456,
    IF(lien="First",1.00,
        IF(lien="Second",1.50,
            1.70)))</f>
        <v/>
      </c>
      <c r="K2456">
        <f>LET(
    purpose,'Loan Tape (S&amp;P)'!R2456,
    IF(purpose="Purchase",1.00,
        IF(purpose="Remortgage",1.00,
            1.20)))</f>
        <v/>
      </c>
      <c r="L2456">
        <f>LET(
    arrears_months,'Loan Tape (S&amp;P)'!AN2456,
    IF(arrears_months=0,1.00,
    IF(arrears_months=1,3.00,
    IF(arrears_months=2,5.00,
    IF(arrears_months=3,8.00,
    IF(arrears_months=4,10.00,
    IF(arrears_months=5,12.00,15.00)))))))</f>
        <v/>
      </c>
      <c r="M2456">
        <f>LET(
    seasoning_years,DATEDIF('Loan Tape (S&amp;P)'!K2456,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56">
        <f>IF(AND('Loan Tape (S&amp;P)'!U2456="Yes",
        'Loan Tape (S&amp;P)'!T2456&lt;&gt;"Yes",
        DATEDIF('Loan Tape (S&amp;P)'!K2456, TODAY(), "M")&lt;18),
    1.10,
    1.00)</f>
        <v/>
      </c>
      <c r="O2456">
        <f>IF('Loan Tape (S&amp;P)'!T2456="Yes",
    1.35,
    1.00)</f>
        <v/>
      </c>
      <c r="P2456">
        <f>IF('Loan Tape (S&amp;P)'!S2456="Yes",
    1.15,
    1.00)</f>
        <v/>
      </c>
      <c r="Q2456">
        <f>IF('Loan Tape (S&amp;P)'!V2456="Yes",
    1.20,
    1.00)</f>
        <v/>
      </c>
      <c r="T2456">
        <f>LET(
    payment_method,'Loan Tape (S&amp;P)'!P2456,
    occupancy,'Loan Tape (S&amp;P)'!N2456,
    maturity_date,'Loan Tape (S&amp;P)'!L2456,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57">
      <c r="J2457">
        <f>LET(
    lien,'Loan Tape (S&amp;P)'!Q2457,
    IF(lien="First",1.00,
        IF(lien="Second",1.50,
            1.70)))</f>
        <v/>
      </c>
      <c r="K2457">
        <f>LET(
    purpose,'Loan Tape (S&amp;P)'!R2457,
    IF(purpose="Purchase",1.00,
        IF(purpose="Remortgage",1.00,
            1.20)))</f>
        <v/>
      </c>
      <c r="L2457">
        <f>LET(
    arrears_months,'Loan Tape (S&amp;P)'!AN2457,
    IF(arrears_months=0,1.00,
    IF(arrears_months=1,3.00,
    IF(arrears_months=2,5.00,
    IF(arrears_months=3,8.00,
    IF(arrears_months=4,10.00,
    IF(arrears_months=5,12.00,15.00)))))))</f>
        <v/>
      </c>
      <c r="M2457">
        <f>LET(
    seasoning_years,DATEDIF('Loan Tape (S&amp;P)'!K2457,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57">
        <f>IF(AND('Loan Tape (S&amp;P)'!U2457="Yes",
        'Loan Tape (S&amp;P)'!T2457&lt;&gt;"Yes",
        DATEDIF('Loan Tape (S&amp;P)'!K2457, TODAY(), "M")&lt;18),
    1.10,
    1.00)</f>
        <v/>
      </c>
      <c r="O2457">
        <f>IF('Loan Tape (S&amp;P)'!T2457="Yes",
    1.35,
    1.00)</f>
        <v/>
      </c>
      <c r="P2457">
        <f>IF('Loan Tape (S&amp;P)'!S2457="Yes",
    1.15,
    1.00)</f>
        <v/>
      </c>
      <c r="Q2457">
        <f>IF('Loan Tape (S&amp;P)'!V2457="Yes",
    1.20,
    1.00)</f>
        <v/>
      </c>
      <c r="T2457">
        <f>LET(
    payment_method,'Loan Tape (S&amp;P)'!P2457,
    occupancy,'Loan Tape (S&amp;P)'!N2457,
    maturity_date,'Loan Tape (S&amp;P)'!L2457,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58">
      <c r="J2458">
        <f>LET(
    lien,'Loan Tape (S&amp;P)'!Q2458,
    IF(lien="First",1.00,
        IF(lien="Second",1.50,
            1.70)))</f>
        <v/>
      </c>
      <c r="K2458">
        <f>LET(
    purpose,'Loan Tape (S&amp;P)'!R2458,
    IF(purpose="Purchase",1.00,
        IF(purpose="Remortgage",1.00,
            1.20)))</f>
        <v/>
      </c>
      <c r="L2458">
        <f>LET(
    arrears_months,'Loan Tape (S&amp;P)'!AN2458,
    IF(arrears_months=0,1.00,
    IF(arrears_months=1,3.00,
    IF(arrears_months=2,5.00,
    IF(arrears_months=3,8.00,
    IF(arrears_months=4,10.00,
    IF(arrears_months=5,12.00,15.00)))))))</f>
        <v/>
      </c>
      <c r="M2458">
        <f>LET(
    seasoning_years,DATEDIF('Loan Tape (S&amp;P)'!K2458,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58">
        <f>IF(AND('Loan Tape (S&amp;P)'!U2458="Yes",
        'Loan Tape (S&amp;P)'!T2458&lt;&gt;"Yes",
        DATEDIF('Loan Tape (S&amp;P)'!K2458, TODAY(), "M")&lt;18),
    1.10,
    1.00)</f>
        <v/>
      </c>
      <c r="O2458">
        <f>IF('Loan Tape (S&amp;P)'!T2458="Yes",
    1.35,
    1.00)</f>
        <v/>
      </c>
      <c r="P2458">
        <f>IF('Loan Tape (S&amp;P)'!S2458="Yes",
    1.15,
    1.00)</f>
        <v/>
      </c>
      <c r="Q2458">
        <f>IF('Loan Tape (S&amp;P)'!V2458="Yes",
    1.20,
    1.00)</f>
        <v/>
      </c>
      <c r="T2458">
        <f>LET(
    payment_method,'Loan Tape (S&amp;P)'!P2458,
    occupancy,'Loan Tape (S&amp;P)'!N2458,
    maturity_date,'Loan Tape (S&amp;P)'!L2458,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59">
      <c r="J2459">
        <f>LET(
    lien,'Loan Tape (S&amp;P)'!Q2459,
    IF(lien="First",1.00,
        IF(lien="Second",1.50,
            1.70)))</f>
        <v/>
      </c>
      <c r="K2459">
        <f>LET(
    purpose,'Loan Tape (S&amp;P)'!R2459,
    IF(purpose="Purchase",1.00,
        IF(purpose="Remortgage",1.00,
            1.20)))</f>
        <v/>
      </c>
      <c r="L2459">
        <f>LET(
    arrears_months,'Loan Tape (S&amp;P)'!AN2459,
    IF(arrears_months=0,1.00,
    IF(arrears_months=1,3.00,
    IF(arrears_months=2,5.00,
    IF(arrears_months=3,8.00,
    IF(arrears_months=4,10.00,
    IF(arrears_months=5,12.00,15.00)))))))</f>
        <v/>
      </c>
      <c r="M2459">
        <f>LET(
    seasoning_years,DATEDIF('Loan Tape (S&amp;P)'!K2459,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59">
        <f>IF(AND('Loan Tape (S&amp;P)'!U2459="Yes",
        'Loan Tape (S&amp;P)'!T2459&lt;&gt;"Yes",
        DATEDIF('Loan Tape (S&amp;P)'!K2459, TODAY(), "M")&lt;18),
    1.10,
    1.00)</f>
        <v/>
      </c>
      <c r="O2459">
        <f>IF('Loan Tape (S&amp;P)'!T2459="Yes",
    1.35,
    1.00)</f>
        <v/>
      </c>
      <c r="P2459">
        <f>IF('Loan Tape (S&amp;P)'!S2459="Yes",
    1.15,
    1.00)</f>
        <v/>
      </c>
      <c r="Q2459">
        <f>IF('Loan Tape (S&amp;P)'!V2459="Yes",
    1.20,
    1.00)</f>
        <v/>
      </c>
      <c r="T2459">
        <f>LET(
    payment_method,'Loan Tape (S&amp;P)'!P2459,
    occupancy,'Loan Tape (S&amp;P)'!N2459,
    maturity_date,'Loan Tape (S&amp;P)'!L2459,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60">
      <c r="J2460">
        <f>LET(
    lien,'Loan Tape (S&amp;P)'!Q2460,
    IF(lien="First",1.00,
        IF(lien="Second",1.50,
            1.70)))</f>
        <v/>
      </c>
      <c r="K2460">
        <f>LET(
    purpose,'Loan Tape (S&amp;P)'!R2460,
    IF(purpose="Purchase",1.00,
        IF(purpose="Remortgage",1.00,
            1.20)))</f>
        <v/>
      </c>
      <c r="L2460">
        <f>LET(
    arrears_months,'Loan Tape (S&amp;P)'!AN2460,
    IF(arrears_months=0,1.00,
    IF(arrears_months=1,3.00,
    IF(arrears_months=2,5.00,
    IF(arrears_months=3,8.00,
    IF(arrears_months=4,10.00,
    IF(arrears_months=5,12.00,15.00)))))))</f>
        <v/>
      </c>
      <c r="M2460">
        <f>LET(
    seasoning_years,DATEDIF('Loan Tape (S&amp;P)'!K2460,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60">
        <f>IF(AND('Loan Tape (S&amp;P)'!U2460="Yes",
        'Loan Tape (S&amp;P)'!T2460&lt;&gt;"Yes",
        DATEDIF('Loan Tape (S&amp;P)'!K2460, TODAY(), "M")&lt;18),
    1.10,
    1.00)</f>
        <v/>
      </c>
      <c r="O2460">
        <f>IF('Loan Tape (S&amp;P)'!T2460="Yes",
    1.35,
    1.00)</f>
        <v/>
      </c>
      <c r="P2460">
        <f>IF('Loan Tape (S&amp;P)'!S2460="Yes",
    1.15,
    1.00)</f>
        <v/>
      </c>
      <c r="Q2460">
        <f>IF('Loan Tape (S&amp;P)'!V2460="Yes",
    1.20,
    1.00)</f>
        <v/>
      </c>
      <c r="T2460">
        <f>LET(
    payment_method,'Loan Tape (S&amp;P)'!P2460,
    occupancy,'Loan Tape (S&amp;P)'!N2460,
    maturity_date,'Loan Tape (S&amp;P)'!L2460,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61">
      <c r="J2461">
        <f>LET(
    lien,'Loan Tape (S&amp;P)'!Q2461,
    IF(lien="First",1.00,
        IF(lien="Second",1.50,
            1.70)))</f>
        <v/>
      </c>
      <c r="K2461">
        <f>LET(
    purpose,'Loan Tape (S&amp;P)'!R2461,
    IF(purpose="Purchase",1.00,
        IF(purpose="Remortgage",1.00,
            1.20)))</f>
        <v/>
      </c>
      <c r="L2461">
        <f>LET(
    arrears_months,'Loan Tape (S&amp;P)'!AN2461,
    IF(arrears_months=0,1.00,
    IF(arrears_months=1,3.00,
    IF(arrears_months=2,5.00,
    IF(arrears_months=3,8.00,
    IF(arrears_months=4,10.00,
    IF(arrears_months=5,12.00,15.00)))))))</f>
        <v/>
      </c>
      <c r="M2461">
        <f>LET(
    seasoning_years,DATEDIF('Loan Tape (S&amp;P)'!K2461,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61">
        <f>IF(AND('Loan Tape (S&amp;P)'!U2461="Yes",
        'Loan Tape (S&amp;P)'!T2461&lt;&gt;"Yes",
        DATEDIF('Loan Tape (S&amp;P)'!K2461, TODAY(), "M")&lt;18),
    1.10,
    1.00)</f>
        <v/>
      </c>
      <c r="O2461">
        <f>IF('Loan Tape (S&amp;P)'!T2461="Yes",
    1.35,
    1.00)</f>
        <v/>
      </c>
      <c r="P2461">
        <f>IF('Loan Tape (S&amp;P)'!S2461="Yes",
    1.15,
    1.00)</f>
        <v/>
      </c>
      <c r="Q2461">
        <f>IF('Loan Tape (S&amp;P)'!V2461="Yes",
    1.20,
    1.00)</f>
        <v/>
      </c>
      <c r="T2461">
        <f>LET(
    payment_method,'Loan Tape (S&amp;P)'!P2461,
    occupancy,'Loan Tape (S&amp;P)'!N2461,
    maturity_date,'Loan Tape (S&amp;P)'!L2461,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62">
      <c r="J2462">
        <f>LET(
    lien,'Loan Tape (S&amp;P)'!Q2462,
    IF(lien="First",1.00,
        IF(lien="Second",1.50,
            1.70)))</f>
        <v/>
      </c>
      <c r="K2462">
        <f>LET(
    purpose,'Loan Tape (S&amp;P)'!R2462,
    IF(purpose="Purchase",1.00,
        IF(purpose="Remortgage",1.00,
            1.20)))</f>
        <v/>
      </c>
      <c r="L2462">
        <f>LET(
    arrears_months,'Loan Tape (S&amp;P)'!AN2462,
    IF(arrears_months=0,1.00,
    IF(arrears_months=1,3.00,
    IF(arrears_months=2,5.00,
    IF(arrears_months=3,8.00,
    IF(arrears_months=4,10.00,
    IF(arrears_months=5,12.00,15.00)))))))</f>
        <v/>
      </c>
      <c r="M2462">
        <f>LET(
    seasoning_years,DATEDIF('Loan Tape (S&amp;P)'!K2462,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62">
        <f>IF(AND('Loan Tape (S&amp;P)'!U2462="Yes",
        'Loan Tape (S&amp;P)'!T2462&lt;&gt;"Yes",
        DATEDIF('Loan Tape (S&amp;P)'!K2462, TODAY(), "M")&lt;18),
    1.10,
    1.00)</f>
        <v/>
      </c>
      <c r="O2462">
        <f>IF('Loan Tape (S&amp;P)'!T2462="Yes",
    1.35,
    1.00)</f>
        <v/>
      </c>
      <c r="P2462">
        <f>IF('Loan Tape (S&amp;P)'!S2462="Yes",
    1.15,
    1.00)</f>
        <v/>
      </c>
      <c r="Q2462">
        <f>IF('Loan Tape (S&amp;P)'!V2462="Yes",
    1.20,
    1.00)</f>
        <v/>
      </c>
      <c r="T2462">
        <f>LET(
    payment_method,'Loan Tape (S&amp;P)'!P2462,
    occupancy,'Loan Tape (S&amp;P)'!N2462,
    maturity_date,'Loan Tape (S&amp;P)'!L2462,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63">
      <c r="J2463">
        <f>LET(
    lien,'Loan Tape (S&amp;P)'!Q2463,
    IF(lien="First",1.00,
        IF(lien="Second",1.50,
            1.70)))</f>
        <v/>
      </c>
      <c r="K2463">
        <f>LET(
    purpose,'Loan Tape (S&amp;P)'!R2463,
    IF(purpose="Purchase",1.00,
        IF(purpose="Remortgage",1.00,
            1.20)))</f>
        <v/>
      </c>
      <c r="L2463">
        <f>LET(
    arrears_months,'Loan Tape (S&amp;P)'!AN2463,
    IF(arrears_months=0,1.00,
    IF(arrears_months=1,3.00,
    IF(arrears_months=2,5.00,
    IF(arrears_months=3,8.00,
    IF(arrears_months=4,10.00,
    IF(arrears_months=5,12.00,15.00)))))))</f>
        <v/>
      </c>
      <c r="M2463">
        <f>LET(
    seasoning_years,DATEDIF('Loan Tape (S&amp;P)'!K2463,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63">
        <f>IF(AND('Loan Tape (S&amp;P)'!U2463="Yes",
        'Loan Tape (S&amp;P)'!T2463&lt;&gt;"Yes",
        DATEDIF('Loan Tape (S&amp;P)'!K2463, TODAY(), "M")&lt;18),
    1.10,
    1.00)</f>
        <v/>
      </c>
      <c r="O2463">
        <f>IF('Loan Tape (S&amp;P)'!T2463="Yes",
    1.35,
    1.00)</f>
        <v/>
      </c>
      <c r="P2463">
        <f>IF('Loan Tape (S&amp;P)'!S2463="Yes",
    1.15,
    1.00)</f>
        <v/>
      </c>
      <c r="Q2463">
        <f>IF('Loan Tape (S&amp;P)'!V2463="Yes",
    1.20,
    1.00)</f>
        <v/>
      </c>
      <c r="T2463">
        <f>LET(
    payment_method,'Loan Tape (S&amp;P)'!P2463,
    occupancy,'Loan Tape (S&amp;P)'!N2463,
    maturity_date,'Loan Tape (S&amp;P)'!L2463,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64">
      <c r="J2464">
        <f>LET(
    lien,'Loan Tape (S&amp;P)'!Q2464,
    IF(lien="First",1.00,
        IF(lien="Second",1.50,
            1.70)))</f>
        <v/>
      </c>
      <c r="K2464">
        <f>LET(
    purpose,'Loan Tape (S&amp;P)'!R2464,
    IF(purpose="Purchase",1.00,
        IF(purpose="Remortgage",1.00,
            1.20)))</f>
        <v/>
      </c>
      <c r="L2464">
        <f>LET(
    arrears_months,'Loan Tape (S&amp;P)'!AN2464,
    IF(arrears_months=0,1.00,
    IF(arrears_months=1,3.00,
    IF(arrears_months=2,5.00,
    IF(arrears_months=3,8.00,
    IF(arrears_months=4,10.00,
    IF(arrears_months=5,12.00,15.00)))))))</f>
        <v/>
      </c>
      <c r="M2464">
        <f>LET(
    seasoning_years,DATEDIF('Loan Tape (S&amp;P)'!K2464,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64">
        <f>IF(AND('Loan Tape (S&amp;P)'!U2464="Yes",
        'Loan Tape (S&amp;P)'!T2464&lt;&gt;"Yes",
        DATEDIF('Loan Tape (S&amp;P)'!K2464, TODAY(), "M")&lt;18),
    1.10,
    1.00)</f>
        <v/>
      </c>
      <c r="O2464">
        <f>IF('Loan Tape (S&amp;P)'!T2464="Yes",
    1.35,
    1.00)</f>
        <v/>
      </c>
      <c r="P2464">
        <f>IF('Loan Tape (S&amp;P)'!S2464="Yes",
    1.15,
    1.00)</f>
        <v/>
      </c>
      <c r="Q2464">
        <f>IF('Loan Tape (S&amp;P)'!V2464="Yes",
    1.20,
    1.00)</f>
        <v/>
      </c>
      <c r="T2464">
        <f>LET(
    payment_method,'Loan Tape (S&amp;P)'!P2464,
    occupancy,'Loan Tape (S&amp;P)'!N2464,
    maturity_date,'Loan Tape (S&amp;P)'!L2464,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65">
      <c r="J2465">
        <f>LET(
    lien,'Loan Tape (S&amp;P)'!Q2465,
    IF(lien="First",1.00,
        IF(lien="Second",1.50,
            1.70)))</f>
        <v/>
      </c>
      <c r="K2465">
        <f>LET(
    purpose,'Loan Tape (S&amp;P)'!R2465,
    IF(purpose="Purchase",1.00,
        IF(purpose="Remortgage",1.00,
            1.20)))</f>
        <v/>
      </c>
      <c r="L2465">
        <f>LET(
    arrears_months,'Loan Tape (S&amp;P)'!AN2465,
    IF(arrears_months=0,1.00,
    IF(arrears_months=1,3.00,
    IF(arrears_months=2,5.00,
    IF(arrears_months=3,8.00,
    IF(arrears_months=4,10.00,
    IF(arrears_months=5,12.00,15.00)))))))</f>
        <v/>
      </c>
      <c r="M2465">
        <f>LET(
    seasoning_years,DATEDIF('Loan Tape (S&amp;P)'!K2465,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65">
        <f>IF(AND('Loan Tape (S&amp;P)'!U2465="Yes",
        'Loan Tape (S&amp;P)'!T2465&lt;&gt;"Yes",
        DATEDIF('Loan Tape (S&amp;P)'!K2465, TODAY(), "M")&lt;18),
    1.10,
    1.00)</f>
        <v/>
      </c>
      <c r="O2465">
        <f>IF('Loan Tape (S&amp;P)'!T2465="Yes",
    1.35,
    1.00)</f>
        <v/>
      </c>
      <c r="P2465">
        <f>IF('Loan Tape (S&amp;P)'!S2465="Yes",
    1.15,
    1.00)</f>
        <v/>
      </c>
      <c r="Q2465">
        <f>IF('Loan Tape (S&amp;P)'!V2465="Yes",
    1.20,
    1.00)</f>
        <v/>
      </c>
      <c r="T2465">
        <f>LET(
    payment_method,'Loan Tape (S&amp;P)'!P2465,
    occupancy,'Loan Tape (S&amp;P)'!N2465,
    maturity_date,'Loan Tape (S&amp;P)'!L2465,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66">
      <c r="J2466">
        <f>LET(
    lien,'Loan Tape (S&amp;P)'!Q2466,
    IF(lien="First",1.00,
        IF(lien="Second",1.50,
            1.70)))</f>
        <v/>
      </c>
      <c r="K2466">
        <f>LET(
    purpose,'Loan Tape (S&amp;P)'!R2466,
    IF(purpose="Purchase",1.00,
        IF(purpose="Remortgage",1.00,
            1.20)))</f>
        <v/>
      </c>
      <c r="L2466">
        <f>LET(
    arrears_months,'Loan Tape (S&amp;P)'!AN2466,
    IF(arrears_months=0,1.00,
    IF(arrears_months=1,3.00,
    IF(arrears_months=2,5.00,
    IF(arrears_months=3,8.00,
    IF(arrears_months=4,10.00,
    IF(arrears_months=5,12.00,15.00)))))))</f>
        <v/>
      </c>
      <c r="M2466">
        <f>LET(
    seasoning_years,DATEDIF('Loan Tape (S&amp;P)'!K2466,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66">
        <f>IF(AND('Loan Tape (S&amp;P)'!U2466="Yes",
        'Loan Tape (S&amp;P)'!T2466&lt;&gt;"Yes",
        DATEDIF('Loan Tape (S&amp;P)'!K2466, TODAY(), "M")&lt;18),
    1.10,
    1.00)</f>
        <v/>
      </c>
      <c r="O2466">
        <f>IF('Loan Tape (S&amp;P)'!T2466="Yes",
    1.35,
    1.00)</f>
        <v/>
      </c>
      <c r="P2466">
        <f>IF('Loan Tape (S&amp;P)'!S2466="Yes",
    1.15,
    1.00)</f>
        <v/>
      </c>
      <c r="Q2466">
        <f>IF('Loan Tape (S&amp;P)'!V2466="Yes",
    1.20,
    1.00)</f>
        <v/>
      </c>
      <c r="T2466">
        <f>LET(
    payment_method,'Loan Tape (S&amp;P)'!P2466,
    occupancy,'Loan Tape (S&amp;P)'!N2466,
    maturity_date,'Loan Tape (S&amp;P)'!L2466,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67">
      <c r="J2467">
        <f>LET(
    lien,'Loan Tape (S&amp;P)'!Q2467,
    IF(lien="First",1.00,
        IF(lien="Second",1.50,
            1.70)))</f>
        <v/>
      </c>
      <c r="K2467">
        <f>LET(
    purpose,'Loan Tape (S&amp;P)'!R2467,
    IF(purpose="Purchase",1.00,
        IF(purpose="Remortgage",1.00,
            1.20)))</f>
        <v/>
      </c>
      <c r="L2467">
        <f>LET(
    arrears_months,'Loan Tape (S&amp;P)'!AN2467,
    IF(arrears_months=0,1.00,
    IF(arrears_months=1,3.00,
    IF(arrears_months=2,5.00,
    IF(arrears_months=3,8.00,
    IF(arrears_months=4,10.00,
    IF(arrears_months=5,12.00,15.00)))))))</f>
        <v/>
      </c>
      <c r="M2467">
        <f>LET(
    seasoning_years,DATEDIF('Loan Tape (S&amp;P)'!K2467,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67">
        <f>IF(AND('Loan Tape (S&amp;P)'!U2467="Yes",
        'Loan Tape (S&amp;P)'!T2467&lt;&gt;"Yes",
        DATEDIF('Loan Tape (S&amp;P)'!K2467, TODAY(), "M")&lt;18),
    1.10,
    1.00)</f>
        <v/>
      </c>
      <c r="O2467">
        <f>IF('Loan Tape (S&amp;P)'!T2467="Yes",
    1.35,
    1.00)</f>
        <v/>
      </c>
      <c r="P2467">
        <f>IF('Loan Tape (S&amp;P)'!S2467="Yes",
    1.15,
    1.00)</f>
        <v/>
      </c>
      <c r="Q2467">
        <f>IF('Loan Tape (S&amp;P)'!V2467="Yes",
    1.20,
    1.00)</f>
        <v/>
      </c>
      <c r="T2467">
        <f>LET(
    payment_method,'Loan Tape (S&amp;P)'!P2467,
    occupancy,'Loan Tape (S&amp;P)'!N2467,
    maturity_date,'Loan Tape (S&amp;P)'!L2467,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68">
      <c r="J2468">
        <f>LET(
    lien,'Loan Tape (S&amp;P)'!Q2468,
    IF(lien="First",1.00,
        IF(lien="Second",1.50,
            1.70)))</f>
        <v/>
      </c>
      <c r="K2468">
        <f>LET(
    purpose,'Loan Tape (S&amp;P)'!R2468,
    IF(purpose="Purchase",1.00,
        IF(purpose="Remortgage",1.00,
            1.20)))</f>
        <v/>
      </c>
      <c r="L2468">
        <f>LET(
    arrears_months,'Loan Tape (S&amp;P)'!AN2468,
    IF(arrears_months=0,1.00,
    IF(arrears_months=1,3.00,
    IF(arrears_months=2,5.00,
    IF(arrears_months=3,8.00,
    IF(arrears_months=4,10.00,
    IF(arrears_months=5,12.00,15.00)))))))</f>
        <v/>
      </c>
      <c r="M2468">
        <f>LET(
    seasoning_years,DATEDIF('Loan Tape (S&amp;P)'!K2468,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68">
        <f>IF(AND('Loan Tape (S&amp;P)'!U2468="Yes",
        'Loan Tape (S&amp;P)'!T2468&lt;&gt;"Yes",
        DATEDIF('Loan Tape (S&amp;P)'!K2468, TODAY(), "M")&lt;18),
    1.10,
    1.00)</f>
        <v/>
      </c>
      <c r="O2468">
        <f>IF('Loan Tape (S&amp;P)'!T2468="Yes",
    1.35,
    1.00)</f>
        <v/>
      </c>
      <c r="P2468">
        <f>IF('Loan Tape (S&amp;P)'!S2468="Yes",
    1.15,
    1.00)</f>
        <v/>
      </c>
      <c r="Q2468">
        <f>IF('Loan Tape (S&amp;P)'!V2468="Yes",
    1.20,
    1.00)</f>
        <v/>
      </c>
      <c r="T2468">
        <f>LET(
    payment_method,'Loan Tape (S&amp;P)'!P2468,
    occupancy,'Loan Tape (S&amp;P)'!N2468,
    maturity_date,'Loan Tape (S&amp;P)'!L2468,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69">
      <c r="J2469">
        <f>LET(
    lien,'Loan Tape (S&amp;P)'!Q2469,
    IF(lien="First",1.00,
        IF(lien="Second",1.50,
            1.70)))</f>
        <v/>
      </c>
      <c r="K2469">
        <f>LET(
    purpose,'Loan Tape (S&amp;P)'!R2469,
    IF(purpose="Purchase",1.00,
        IF(purpose="Remortgage",1.00,
            1.20)))</f>
        <v/>
      </c>
      <c r="L2469">
        <f>LET(
    arrears_months,'Loan Tape (S&amp;P)'!AN2469,
    IF(arrears_months=0,1.00,
    IF(arrears_months=1,3.00,
    IF(arrears_months=2,5.00,
    IF(arrears_months=3,8.00,
    IF(arrears_months=4,10.00,
    IF(arrears_months=5,12.00,15.00)))))))</f>
        <v/>
      </c>
      <c r="M2469">
        <f>LET(
    seasoning_years,DATEDIF('Loan Tape (S&amp;P)'!K2469,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69">
        <f>IF(AND('Loan Tape (S&amp;P)'!U2469="Yes",
        'Loan Tape (S&amp;P)'!T2469&lt;&gt;"Yes",
        DATEDIF('Loan Tape (S&amp;P)'!K2469, TODAY(), "M")&lt;18),
    1.10,
    1.00)</f>
        <v/>
      </c>
      <c r="O2469">
        <f>IF('Loan Tape (S&amp;P)'!T2469="Yes",
    1.35,
    1.00)</f>
        <v/>
      </c>
      <c r="P2469">
        <f>IF('Loan Tape (S&amp;P)'!S2469="Yes",
    1.15,
    1.00)</f>
        <v/>
      </c>
      <c r="Q2469">
        <f>IF('Loan Tape (S&amp;P)'!V2469="Yes",
    1.20,
    1.00)</f>
        <v/>
      </c>
      <c r="T2469">
        <f>LET(
    payment_method,'Loan Tape (S&amp;P)'!P2469,
    occupancy,'Loan Tape (S&amp;P)'!N2469,
    maturity_date,'Loan Tape (S&amp;P)'!L2469,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70">
      <c r="J2470">
        <f>LET(
    lien,'Loan Tape (S&amp;P)'!Q2470,
    IF(lien="First",1.00,
        IF(lien="Second",1.50,
            1.70)))</f>
        <v/>
      </c>
      <c r="K2470">
        <f>LET(
    purpose,'Loan Tape (S&amp;P)'!R2470,
    IF(purpose="Purchase",1.00,
        IF(purpose="Remortgage",1.00,
            1.20)))</f>
        <v/>
      </c>
      <c r="L2470">
        <f>LET(
    arrears_months,'Loan Tape (S&amp;P)'!AN2470,
    IF(arrears_months=0,1.00,
    IF(arrears_months=1,3.00,
    IF(arrears_months=2,5.00,
    IF(arrears_months=3,8.00,
    IF(arrears_months=4,10.00,
    IF(arrears_months=5,12.00,15.00)))))))</f>
        <v/>
      </c>
      <c r="M2470">
        <f>LET(
    seasoning_years,DATEDIF('Loan Tape (S&amp;P)'!K2470,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70">
        <f>IF(AND('Loan Tape (S&amp;P)'!U2470="Yes",
        'Loan Tape (S&amp;P)'!T2470&lt;&gt;"Yes",
        DATEDIF('Loan Tape (S&amp;P)'!K2470, TODAY(), "M")&lt;18),
    1.10,
    1.00)</f>
        <v/>
      </c>
      <c r="O2470">
        <f>IF('Loan Tape (S&amp;P)'!T2470="Yes",
    1.35,
    1.00)</f>
        <v/>
      </c>
      <c r="P2470">
        <f>IF('Loan Tape (S&amp;P)'!S2470="Yes",
    1.15,
    1.00)</f>
        <v/>
      </c>
      <c r="Q2470">
        <f>IF('Loan Tape (S&amp;P)'!V2470="Yes",
    1.20,
    1.00)</f>
        <v/>
      </c>
      <c r="T2470">
        <f>LET(
    payment_method,'Loan Tape (S&amp;P)'!P2470,
    occupancy,'Loan Tape (S&amp;P)'!N2470,
    maturity_date,'Loan Tape (S&amp;P)'!L2470,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71">
      <c r="J2471">
        <f>LET(
    lien,'Loan Tape (S&amp;P)'!Q2471,
    IF(lien="First",1.00,
        IF(lien="Second",1.50,
            1.70)))</f>
        <v/>
      </c>
      <c r="K2471">
        <f>LET(
    purpose,'Loan Tape (S&amp;P)'!R2471,
    IF(purpose="Purchase",1.00,
        IF(purpose="Remortgage",1.00,
            1.20)))</f>
        <v/>
      </c>
      <c r="L2471">
        <f>LET(
    arrears_months,'Loan Tape (S&amp;P)'!AN2471,
    IF(arrears_months=0,1.00,
    IF(arrears_months=1,3.00,
    IF(arrears_months=2,5.00,
    IF(arrears_months=3,8.00,
    IF(arrears_months=4,10.00,
    IF(arrears_months=5,12.00,15.00)))))))</f>
        <v/>
      </c>
      <c r="M2471">
        <f>LET(
    seasoning_years,DATEDIF('Loan Tape (S&amp;P)'!K2471,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71">
        <f>IF(AND('Loan Tape (S&amp;P)'!U2471="Yes",
        'Loan Tape (S&amp;P)'!T2471&lt;&gt;"Yes",
        DATEDIF('Loan Tape (S&amp;P)'!K2471, TODAY(), "M")&lt;18),
    1.10,
    1.00)</f>
        <v/>
      </c>
      <c r="O2471">
        <f>IF('Loan Tape (S&amp;P)'!T2471="Yes",
    1.35,
    1.00)</f>
        <v/>
      </c>
      <c r="P2471">
        <f>IF('Loan Tape (S&amp;P)'!S2471="Yes",
    1.15,
    1.00)</f>
        <v/>
      </c>
      <c r="Q2471">
        <f>IF('Loan Tape (S&amp;P)'!V2471="Yes",
    1.20,
    1.00)</f>
        <v/>
      </c>
      <c r="T2471">
        <f>LET(
    payment_method,'Loan Tape (S&amp;P)'!P2471,
    occupancy,'Loan Tape (S&amp;P)'!N2471,
    maturity_date,'Loan Tape (S&amp;P)'!L2471,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72">
      <c r="J2472">
        <f>LET(
    lien,'Loan Tape (S&amp;P)'!Q2472,
    IF(lien="First",1.00,
        IF(lien="Second",1.50,
            1.70)))</f>
        <v/>
      </c>
      <c r="K2472">
        <f>LET(
    purpose,'Loan Tape (S&amp;P)'!R2472,
    IF(purpose="Purchase",1.00,
        IF(purpose="Remortgage",1.00,
            1.20)))</f>
        <v/>
      </c>
      <c r="L2472">
        <f>LET(
    arrears_months,'Loan Tape (S&amp;P)'!AN2472,
    IF(arrears_months=0,1.00,
    IF(arrears_months=1,3.00,
    IF(arrears_months=2,5.00,
    IF(arrears_months=3,8.00,
    IF(arrears_months=4,10.00,
    IF(arrears_months=5,12.00,15.00)))))))</f>
        <v/>
      </c>
      <c r="M2472">
        <f>LET(
    seasoning_years,DATEDIF('Loan Tape (S&amp;P)'!K2472,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72">
        <f>IF(AND('Loan Tape (S&amp;P)'!U2472="Yes",
        'Loan Tape (S&amp;P)'!T2472&lt;&gt;"Yes",
        DATEDIF('Loan Tape (S&amp;P)'!K2472, TODAY(), "M")&lt;18),
    1.10,
    1.00)</f>
        <v/>
      </c>
      <c r="O2472">
        <f>IF('Loan Tape (S&amp;P)'!T2472="Yes",
    1.35,
    1.00)</f>
        <v/>
      </c>
      <c r="P2472">
        <f>IF('Loan Tape (S&amp;P)'!S2472="Yes",
    1.15,
    1.00)</f>
        <v/>
      </c>
      <c r="Q2472">
        <f>IF('Loan Tape (S&amp;P)'!V2472="Yes",
    1.20,
    1.00)</f>
        <v/>
      </c>
      <c r="T2472">
        <f>LET(
    payment_method,'Loan Tape (S&amp;P)'!P2472,
    occupancy,'Loan Tape (S&amp;P)'!N2472,
    maturity_date,'Loan Tape (S&amp;P)'!L2472,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73">
      <c r="J2473">
        <f>LET(
    lien,'Loan Tape (S&amp;P)'!Q2473,
    IF(lien="First",1.00,
        IF(lien="Second",1.50,
            1.70)))</f>
        <v/>
      </c>
      <c r="K2473">
        <f>LET(
    purpose,'Loan Tape (S&amp;P)'!R2473,
    IF(purpose="Purchase",1.00,
        IF(purpose="Remortgage",1.00,
            1.20)))</f>
        <v/>
      </c>
      <c r="L2473">
        <f>LET(
    arrears_months,'Loan Tape (S&amp;P)'!AN2473,
    IF(arrears_months=0,1.00,
    IF(arrears_months=1,3.00,
    IF(arrears_months=2,5.00,
    IF(arrears_months=3,8.00,
    IF(arrears_months=4,10.00,
    IF(arrears_months=5,12.00,15.00)))))))</f>
        <v/>
      </c>
      <c r="M2473">
        <f>LET(
    seasoning_years,DATEDIF('Loan Tape (S&amp;P)'!K2473,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73">
        <f>IF(AND('Loan Tape (S&amp;P)'!U2473="Yes",
        'Loan Tape (S&amp;P)'!T2473&lt;&gt;"Yes",
        DATEDIF('Loan Tape (S&amp;P)'!K2473, TODAY(), "M")&lt;18),
    1.10,
    1.00)</f>
        <v/>
      </c>
      <c r="O2473">
        <f>IF('Loan Tape (S&amp;P)'!T2473="Yes",
    1.35,
    1.00)</f>
        <v/>
      </c>
      <c r="P2473">
        <f>IF('Loan Tape (S&amp;P)'!S2473="Yes",
    1.15,
    1.00)</f>
        <v/>
      </c>
      <c r="Q2473">
        <f>IF('Loan Tape (S&amp;P)'!V2473="Yes",
    1.20,
    1.00)</f>
        <v/>
      </c>
      <c r="T2473">
        <f>LET(
    payment_method,'Loan Tape (S&amp;P)'!P2473,
    occupancy,'Loan Tape (S&amp;P)'!N2473,
    maturity_date,'Loan Tape (S&amp;P)'!L2473,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74">
      <c r="J2474">
        <f>LET(
    lien,'Loan Tape (S&amp;P)'!Q2474,
    IF(lien="First",1.00,
        IF(lien="Second",1.50,
            1.70)))</f>
        <v/>
      </c>
      <c r="K2474">
        <f>LET(
    purpose,'Loan Tape (S&amp;P)'!R2474,
    IF(purpose="Purchase",1.00,
        IF(purpose="Remortgage",1.00,
            1.20)))</f>
        <v/>
      </c>
      <c r="L2474">
        <f>LET(
    arrears_months,'Loan Tape (S&amp;P)'!AN2474,
    IF(arrears_months=0,1.00,
    IF(arrears_months=1,3.00,
    IF(arrears_months=2,5.00,
    IF(arrears_months=3,8.00,
    IF(arrears_months=4,10.00,
    IF(arrears_months=5,12.00,15.00)))))))</f>
        <v/>
      </c>
      <c r="M2474">
        <f>LET(
    seasoning_years,DATEDIF('Loan Tape (S&amp;P)'!K2474,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74">
        <f>IF(AND('Loan Tape (S&amp;P)'!U2474="Yes",
        'Loan Tape (S&amp;P)'!T2474&lt;&gt;"Yes",
        DATEDIF('Loan Tape (S&amp;P)'!K2474, TODAY(), "M")&lt;18),
    1.10,
    1.00)</f>
        <v/>
      </c>
      <c r="O2474">
        <f>IF('Loan Tape (S&amp;P)'!T2474="Yes",
    1.35,
    1.00)</f>
        <v/>
      </c>
      <c r="P2474">
        <f>IF('Loan Tape (S&amp;P)'!S2474="Yes",
    1.15,
    1.00)</f>
        <v/>
      </c>
      <c r="Q2474">
        <f>IF('Loan Tape (S&amp;P)'!V2474="Yes",
    1.20,
    1.00)</f>
        <v/>
      </c>
      <c r="T2474">
        <f>LET(
    payment_method,'Loan Tape (S&amp;P)'!P2474,
    occupancy,'Loan Tape (S&amp;P)'!N2474,
    maturity_date,'Loan Tape (S&amp;P)'!L2474,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75">
      <c r="J2475">
        <f>LET(
    lien,'Loan Tape (S&amp;P)'!Q2475,
    IF(lien="First",1.00,
        IF(lien="Second",1.50,
            1.70)))</f>
        <v/>
      </c>
      <c r="K2475">
        <f>LET(
    purpose,'Loan Tape (S&amp;P)'!R2475,
    IF(purpose="Purchase",1.00,
        IF(purpose="Remortgage",1.00,
            1.20)))</f>
        <v/>
      </c>
      <c r="L2475">
        <f>LET(
    arrears_months,'Loan Tape (S&amp;P)'!AN2475,
    IF(arrears_months=0,1.00,
    IF(arrears_months=1,3.00,
    IF(arrears_months=2,5.00,
    IF(arrears_months=3,8.00,
    IF(arrears_months=4,10.00,
    IF(arrears_months=5,12.00,15.00)))))))</f>
        <v/>
      </c>
      <c r="M2475">
        <f>LET(
    seasoning_years,DATEDIF('Loan Tape (S&amp;P)'!K2475,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75">
        <f>IF(AND('Loan Tape (S&amp;P)'!U2475="Yes",
        'Loan Tape (S&amp;P)'!T2475&lt;&gt;"Yes",
        DATEDIF('Loan Tape (S&amp;P)'!K2475, TODAY(), "M")&lt;18),
    1.10,
    1.00)</f>
        <v/>
      </c>
      <c r="O2475">
        <f>IF('Loan Tape (S&amp;P)'!T2475="Yes",
    1.35,
    1.00)</f>
        <v/>
      </c>
      <c r="P2475">
        <f>IF('Loan Tape (S&amp;P)'!S2475="Yes",
    1.15,
    1.00)</f>
        <v/>
      </c>
      <c r="Q2475">
        <f>IF('Loan Tape (S&amp;P)'!V2475="Yes",
    1.20,
    1.00)</f>
        <v/>
      </c>
      <c r="T2475">
        <f>LET(
    payment_method,'Loan Tape (S&amp;P)'!P2475,
    occupancy,'Loan Tape (S&amp;P)'!N2475,
    maturity_date,'Loan Tape (S&amp;P)'!L2475,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76">
      <c r="J2476">
        <f>LET(
    lien,'Loan Tape (S&amp;P)'!Q2476,
    IF(lien="First",1.00,
        IF(lien="Second",1.50,
            1.70)))</f>
        <v/>
      </c>
      <c r="K2476">
        <f>LET(
    purpose,'Loan Tape (S&amp;P)'!R2476,
    IF(purpose="Purchase",1.00,
        IF(purpose="Remortgage",1.00,
            1.20)))</f>
        <v/>
      </c>
      <c r="L2476">
        <f>LET(
    arrears_months,'Loan Tape (S&amp;P)'!AN2476,
    IF(arrears_months=0,1.00,
    IF(arrears_months=1,3.00,
    IF(arrears_months=2,5.00,
    IF(arrears_months=3,8.00,
    IF(arrears_months=4,10.00,
    IF(arrears_months=5,12.00,15.00)))))))</f>
        <v/>
      </c>
      <c r="M2476">
        <f>LET(
    seasoning_years,DATEDIF('Loan Tape (S&amp;P)'!K2476,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76">
        <f>IF(AND('Loan Tape (S&amp;P)'!U2476="Yes",
        'Loan Tape (S&amp;P)'!T2476&lt;&gt;"Yes",
        DATEDIF('Loan Tape (S&amp;P)'!K2476, TODAY(), "M")&lt;18),
    1.10,
    1.00)</f>
        <v/>
      </c>
      <c r="O2476">
        <f>IF('Loan Tape (S&amp;P)'!T2476="Yes",
    1.35,
    1.00)</f>
        <v/>
      </c>
      <c r="P2476">
        <f>IF('Loan Tape (S&amp;P)'!S2476="Yes",
    1.15,
    1.00)</f>
        <v/>
      </c>
      <c r="Q2476">
        <f>IF('Loan Tape (S&amp;P)'!V2476="Yes",
    1.20,
    1.00)</f>
        <v/>
      </c>
      <c r="T2476">
        <f>LET(
    payment_method,'Loan Tape (S&amp;P)'!P2476,
    occupancy,'Loan Tape (S&amp;P)'!N2476,
    maturity_date,'Loan Tape (S&amp;P)'!L2476,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77">
      <c r="J2477">
        <f>LET(
    lien,'Loan Tape (S&amp;P)'!Q2477,
    IF(lien="First",1.00,
        IF(lien="Second",1.50,
            1.70)))</f>
        <v/>
      </c>
      <c r="K2477">
        <f>LET(
    purpose,'Loan Tape (S&amp;P)'!R2477,
    IF(purpose="Purchase",1.00,
        IF(purpose="Remortgage",1.00,
            1.20)))</f>
        <v/>
      </c>
      <c r="L2477">
        <f>LET(
    arrears_months,'Loan Tape (S&amp;P)'!AN2477,
    IF(arrears_months=0,1.00,
    IF(arrears_months=1,3.00,
    IF(arrears_months=2,5.00,
    IF(arrears_months=3,8.00,
    IF(arrears_months=4,10.00,
    IF(arrears_months=5,12.00,15.00)))))))</f>
        <v/>
      </c>
      <c r="M2477">
        <f>LET(
    seasoning_years,DATEDIF('Loan Tape (S&amp;P)'!K2477,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77">
        <f>IF(AND('Loan Tape (S&amp;P)'!U2477="Yes",
        'Loan Tape (S&amp;P)'!T2477&lt;&gt;"Yes",
        DATEDIF('Loan Tape (S&amp;P)'!K2477, TODAY(), "M")&lt;18),
    1.10,
    1.00)</f>
        <v/>
      </c>
      <c r="O2477">
        <f>IF('Loan Tape (S&amp;P)'!T2477="Yes",
    1.35,
    1.00)</f>
        <v/>
      </c>
      <c r="P2477">
        <f>IF('Loan Tape (S&amp;P)'!S2477="Yes",
    1.15,
    1.00)</f>
        <v/>
      </c>
      <c r="Q2477">
        <f>IF('Loan Tape (S&amp;P)'!V2477="Yes",
    1.20,
    1.00)</f>
        <v/>
      </c>
      <c r="T2477">
        <f>LET(
    payment_method,'Loan Tape (S&amp;P)'!P2477,
    occupancy,'Loan Tape (S&amp;P)'!N2477,
    maturity_date,'Loan Tape (S&amp;P)'!L2477,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78">
      <c r="J2478">
        <f>LET(
    lien,'Loan Tape (S&amp;P)'!Q2478,
    IF(lien="First",1.00,
        IF(lien="Second",1.50,
            1.70)))</f>
        <v/>
      </c>
      <c r="K2478">
        <f>LET(
    purpose,'Loan Tape (S&amp;P)'!R2478,
    IF(purpose="Purchase",1.00,
        IF(purpose="Remortgage",1.00,
            1.20)))</f>
        <v/>
      </c>
      <c r="L2478">
        <f>LET(
    arrears_months,'Loan Tape (S&amp;P)'!AN2478,
    IF(arrears_months=0,1.00,
    IF(arrears_months=1,3.00,
    IF(arrears_months=2,5.00,
    IF(arrears_months=3,8.00,
    IF(arrears_months=4,10.00,
    IF(arrears_months=5,12.00,15.00)))))))</f>
        <v/>
      </c>
      <c r="M2478">
        <f>LET(
    seasoning_years,DATEDIF('Loan Tape (S&amp;P)'!K2478,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78">
        <f>IF(AND('Loan Tape (S&amp;P)'!U2478="Yes",
        'Loan Tape (S&amp;P)'!T2478&lt;&gt;"Yes",
        DATEDIF('Loan Tape (S&amp;P)'!K2478, TODAY(), "M")&lt;18),
    1.10,
    1.00)</f>
        <v/>
      </c>
      <c r="O2478">
        <f>IF('Loan Tape (S&amp;P)'!T2478="Yes",
    1.35,
    1.00)</f>
        <v/>
      </c>
      <c r="P2478">
        <f>IF('Loan Tape (S&amp;P)'!S2478="Yes",
    1.15,
    1.00)</f>
        <v/>
      </c>
      <c r="Q2478">
        <f>IF('Loan Tape (S&amp;P)'!V2478="Yes",
    1.20,
    1.00)</f>
        <v/>
      </c>
      <c r="T2478">
        <f>LET(
    payment_method,'Loan Tape (S&amp;P)'!P2478,
    occupancy,'Loan Tape (S&amp;P)'!N2478,
    maturity_date,'Loan Tape (S&amp;P)'!L2478,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79">
      <c r="J2479">
        <f>LET(
    lien,'Loan Tape (S&amp;P)'!Q2479,
    IF(lien="First",1.00,
        IF(lien="Second",1.50,
            1.70)))</f>
        <v/>
      </c>
      <c r="K2479">
        <f>LET(
    purpose,'Loan Tape (S&amp;P)'!R2479,
    IF(purpose="Purchase",1.00,
        IF(purpose="Remortgage",1.00,
            1.20)))</f>
        <v/>
      </c>
      <c r="L2479">
        <f>LET(
    arrears_months,'Loan Tape (S&amp;P)'!AN2479,
    IF(arrears_months=0,1.00,
    IF(arrears_months=1,3.00,
    IF(arrears_months=2,5.00,
    IF(arrears_months=3,8.00,
    IF(arrears_months=4,10.00,
    IF(arrears_months=5,12.00,15.00)))))))</f>
        <v/>
      </c>
      <c r="M2479">
        <f>LET(
    seasoning_years,DATEDIF('Loan Tape (S&amp;P)'!K2479,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79">
        <f>IF(AND('Loan Tape (S&amp;P)'!U2479="Yes",
        'Loan Tape (S&amp;P)'!T2479&lt;&gt;"Yes",
        DATEDIF('Loan Tape (S&amp;P)'!K2479, TODAY(), "M")&lt;18),
    1.10,
    1.00)</f>
        <v/>
      </c>
      <c r="O2479">
        <f>IF('Loan Tape (S&amp;P)'!T2479="Yes",
    1.35,
    1.00)</f>
        <v/>
      </c>
      <c r="P2479">
        <f>IF('Loan Tape (S&amp;P)'!S2479="Yes",
    1.15,
    1.00)</f>
        <v/>
      </c>
      <c r="Q2479">
        <f>IF('Loan Tape (S&amp;P)'!V2479="Yes",
    1.20,
    1.00)</f>
        <v/>
      </c>
      <c r="T2479">
        <f>LET(
    payment_method,'Loan Tape (S&amp;P)'!P2479,
    occupancy,'Loan Tape (S&amp;P)'!N2479,
    maturity_date,'Loan Tape (S&amp;P)'!L2479,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80">
      <c r="J2480">
        <f>LET(
    lien,'Loan Tape (S&amp;P)'!Q2480,
    IF(lien="First",1.00,
        IF(lien="Second",1.50,
            1.70)))</f>
        <v/>
      </c>
      <c r="K2480">
        <f>LET(
    purpose,'Loan Tape (S&amp;P)'!R2480,
    IF(purpose="Purchase",1.00,
        IF(purpose="Remortgage",1.00,
            1.20)))</f>
        <v/>
      </c>
      <c r="L2480">
        <f>LET(
    arrears_months,'Loan Tape (S&amp;P)'!AN2480,
    IF(arrears_months=0,1.00,
    IF(arrears_months=1,3.00,
    IF(arrears_months=2,5.00,
    IF(arrears_months=3,8.00,
    IF(arrears_months=4,10.00,
    IF(arrears_months=5,12.00,15.00)))))))</f>
        <v/>
      </c>
      <c r="M2480">
        <f>LET(
    seasoning_years,DATEDIF('Loan Tape (S&amp;P)'!K2480,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80">
        <f>IF(AND('Loan Tape (S&amp;P)'!U2480="Yes",
        'Loan Tape (S&amp;P)'!T2480&lt;&gt;"Yes",
        DATEDIF('Loan Tape (S&amp;P)'!K2480, TODAY(), "M")&lt;18),
    1.10,
    1.00)</f>
        <v/>
      </c>
      <c r="O2480">
        <f>IF('Loan Tape (S&amp;P)'!T2480="Yes",
    1.35,
    1.00)</f>
        <v/>
      </c>
      <c r="P2480">
        <f>IF('Loan Tape (S&amp;P)'!S2480="Yes",
    1.15,
    1.00)</f>
        <v/>
      </c>
      <c r="Q2480">
        <f>IF('Loan Tape (S&amp;P)'!V2480="Yes",
    1.20,
    1.00)</f>
        <v/>
      </c>
      <c r="T2480">
        <f>LET(
    payment_method,'Loan Tape (S&amp;P)'!P2480,
    occupancy,'Loan Tape (S&amp;P)'!N2480,
    maturity_date,'Loan Tape (S&amp;P)'!L2480,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81">
      <c r="J2481">
        <f>LET(
    lien,'Loan Tape (S&amp;P)'!Q2481,
    IF(lien="First",1.00,
        IF(lien="Second",1.50,
            1.70)))</f>
        <v/>
      </c>
      <c r="K2481">
        <f>LET(
    purpose,'Loan Tape (S&amp;P)'!R2481,
    IF(purpose="Purchase",1.00,
        IF(purpose="Remortgage",1.00,
            1.20)))</f>
        <v/>
      </c>
      <c r="L2481">
        <f>LET(
    arrears_months,'Loan Tape (S&amp;P)'!AN2481,
    IF(arrears_months=0,1.00,
    IF(arrears_months=1,3.00,
    IF(arrears_months=2,5.00,
    IF(arrears_months=3,8.00,
    IF(arrears_months=4,10.00,
    IF(arrears_months=5,12.00,15.00)))))))</f>
        <v/>
      </c>
      <c r="M2481">
        <f>LET(
    seasoning_years,DATEDIF('Loan Tape (S&amp;P)'!K2481,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81">
        <f>IF(AND('Loan Tape (S&amp;P)'!U2481="Yes",
        'Loan Tape (S&amp;P)'!T2481&lt;&gt;"Yes",
        DATEDIF('Loan Tape (S&amp;P)'!K2481, TODAY(), "M")&lt;18),
    1.10,
    1.00)</f>
        <v/>
      </c>
      <c r="O2481">
        <f>IF('Loan Tape (S&amp;P)'!T2481="Yes",
    1.35,
    1.00)</f>
        <v/>
      </c>
      <c r="P2481">
        <f>IF('Loan Tape (S&amp;P)'!S2481="Yes",
    1.15,
    1.00)</f>
        <v/>
      </c>
      <c r="Q2481">
        <f>IF('Loan Tape (S&amp;P)'!V2481="Yes",
    1.20,
    1.00)</f>
        <v/>
      </c>
      <c r="T2481">
        <f>LET(
    payment_method,'Loan Tape (S&amp;P)'!P2481,
    occupancy,'Loan Tape (S&amp;P)'!N2481,
    maturity_date,'Loan Tape (S&amp;P)'!L2481,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82">
      <c r="J2482">
        <f>LET(
    lien,'Loan Tape (S&amp;P)'!Q2482,
    IF(lien="First",1.00,
        IF(lien="Second",1.50,
            1.70)))</f>
        <v/>
      </c>
      <c r="K2482">
        <f>LET(
    purpose,'Loan Tape (S&amp;P)'!R2482,
    IF(purpose="Purchase",1.00,
        IF(purpose="Remortgage",1.00,
            1.20)))</f>
        <v/>
      </c>
      <c r="L2482">
        <f>LET(
    arrears_months,'Loan Tape (S&amp;P)'!AN2482,
    IF(arrears_months=0,1.00,
    IF(arrears_months=1,3.00,
    IF(arrears_months=2,5.00,
    IF(arrears_months=3,8.00,
    IF(arrears_months=4,10.00,
    IF(arrears_months=5,12.00,15.00)))))))</f>
        <v/>
      </c>
      <c r="M2482">
        <f>LET(
    seasoning_years,DATEDIF('Loan Tape (S&amp;P)'!K2482,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82">
        <f>IF(AND('Loan Tape (S&amp;P)'!U2482="Yes",
        'Loan Tape (S&amp;P)'!T2482&lt;&gt;"Yes",
        DATEDIF('Loan Tape (S&amp;P)'!K2482, TODAY(), "M")&lt;18),
    1.10,
    1.00)</f>
        <v/>
      </c>
      <c r="O2482">
        <f>IF('Loan Tape (S&amp;P)'!T2482="Yes",
    1.35,
    1.00)</f>
        <v/>
      </c>
      <c r="P2482">
        <f>IF('Loan Tape (S&amp;P)'!S2482="Yes",
    1.15,
    1.00)</f>
        <v/>
      </c>
      <c r="Q2482">
        <f>IF('Loan Tape (S&amp;P)'!V2482="Yes",
    1.20,
    1.00)</f>
        <v/>
      </c>
      <c r="T2482">
        <f>LET(
    payment_method,'Loan Tape (S&amp;P)'!P2482,
    occupancy,'Loan Tape (S&amp;P)'!N2482,
    maturity_date,'Loan Tape (S&amp;P)'!L2482,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83">
      <c r="J2483">
        <f>LET(
    lien,'Loan Tape (S&amp;P)'!Q2483,
    IF(lien="First",1.00,
        IF(lien="Second",1.50,
            1.70)))</f>
        <v/>
      </c>
      <c r="K2483">
        <f>LET(
    purpose,'Loan Tape (S&amp;P)'!R2483,
    IF(purpose="Purchase",1.00,
        IF(purpose="Remortgage",1.00,
            1.20)))</f>
        <v/>
      </c>
      <c r="L2483">
        <f>LET(
    arrears_months,'Loan Tape (S&amp;P)'!AN2483,
    IF(arrears_months=0,1.00,
    IF(arrears_months=1,3.00,
    IF(arrears_months=2,5.00,
    IF(arrears_months=3,8.00,
    IF(arrears_months=4,10.00,
    IF(arrears_months=5,12.00,15.00)))))))</f>
        <v/>
      </c>
      <c r="M2483">
        <f>LET(
    seasoning_years,DATEDIF('Loan Tape (S&amp;P)'!K2483,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83">
        <f>IF(AND('Loan Tape (S&amp;P)'!U2483="Yes",
        'Loan Tape (S&amp;P)'!T2483&lt;&gt;"Yes",
        DATEDIF('Loan Tape (S&amp;P)'!K2483, TODAY(), "M")&lt;18),
    1.10,
    1.00)</f>
        <v/>
      </c>
      <c r="O2483">
        <f>IF('Loan Tape (S&amp;P)'!T2483="Yes",
    1.35,
    1.00)</f>
        <v/>
      </c>
      <c r="P2483">
        <f>IF('Loan Tape (S&amp;P)'!S2483="Yes",
    1.15,
    1.00)</f>
        <v/>
      </c>
      <c r="Q2483">
        <f>IF('Loan Tape (S&amp;P)'!V2483="Yes",
    1.20,
    1.00)</f>
        <v/>
      </c>
      <c r="T2483">
        <f>LET(
    payment_method,'Loan Tape (S&amp;P)'!P2483,
    occupancy,'Loan Tape (S&amp;P)'!N2483,
    maturity_date,'Loan Tape (S&amp;P)'!L2483,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84">
      <c r="J2484">
        <f>LET(
    lien,'Loan Tape (S&amp;P)'!Q2484,
    IF(lien="First",1.00,
        IF(lien="Second",1.50,
            1.70)))</f>
        <v/>
      </c>
      <c r="K2484">
        <f>LET(
    purpose,'Loan Tape (S&amp;P)'!R2484,
    IF(purpose="Purchase",1.00,
        IF(purpose="Remortgage",1.00,
            1.20)))</f>
        <v/>
      </c>
      <c r="L2484">
        <f>LET(
    arrears_months,'Loan Tape (S&amp;P)'!AN2484,
    IF(arrears_months=0,1.00,
    IF(arrears_months=1,3.00,
    IF(arrears_months=2,5.00,
    IF(arrears_months=3,8.00,
    IF(arrears_months=4,10.00,
    IF(arrears_months=5,12.00,15.00)))))))</f>
        <v/>
      </c>
      <c r="M2484">
        <f>LET(
    seasoning_years,DATEDIF('Loan Tape (S&amp;P)'!K2484,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84">
        <f>IF(AND('Loan Tape (S&amp;P)'!U2484="Yes",
        'Loan Tape (S&amp;P)'!T2484&lt;&gt;"Yes",
        DATEDIF('Loan Tape (S&amp;P)'!K2484, TODAY(), "M")&lt;18),
    1.10,
    1.00)</f>
        <v/>
      </c>
      <c r="O2484">
        <f>IF('Loan Tape (S&amp;P)'!T2484="Yes",
    1.35,
    1.00)</f>
        <v/>
      </c>
      <c r="P2484">
        <f>IF('Loan Tape (S&amp;P)'!S2484="Yes",
    1.15,
    1.00)</f>
        <v/>
      </c>
      <c r="Q2484">
        <f>IF('Loan Tape (S&amp;P)'!V2484="Yes",
    1.20,
    1.00)</f>
        <v/>
      </c>
      <c r="T2484">
        <f>LET(
    payment_method,'Loan Tape (S&amp;P)'!P2484,
    occupancy,'Loan Tape (S&amp;P)'!N2484,
    maturity_date,'Loan Tape (S&amp;P)'!L2484,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85">
      <c r="J2485">
        <f>LET(
    lien,'Loan Tape (S&amp;P)'!Q2485,
    IF(lien="First",1.00,
        IF(lien="Second",1.50,
            1.70)))</f>
        <v/>
      </c>
      <c r="K2485">
        <f>LET(
    purpose,'Loan Tape (S&amp;P)'!R2485,
    IF(purpose="Purchase",1.00,
        IF(purpose="Remortgage",1.00,
            1.20)))</f>
        <v/>
      </c>
      <c r="L2485">
        <f>LET(
    arrears_months,'Loan Tape (S&amp;P)'!AN2485,
    IF(arrears_months=0,1.00,
    IF(arrears_months=1,3.00,
    IF(arrears_months=2,5.00,
    IF(arrears_months=3,8.00,
    IF(arrears_months=4,10.00,
    IF(arrears_months=5,12.00,15.00)))))))</f>
        <v/>
      </c>
      <c r="M2485">
        <f>LET(
    seasoning_years,DATEDIF('Loan Tape (S&amp;P)'!K2485,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85">
        <f>IF(AND('Loan Tape (S&amp;P)'!U2485="Yes",
        'Loan Tape (S&amp;P)'!T2485&lt;&gt;"Yes",
        DATEDIF('Loan Tape (S&amp;P)'!K2485, TODAY(), "M")&lt;18),
    1.10,
    1.00)</f>
        <v/>
      </c>
      <c r="O2485">
        <f>IF('Loan Tape (S&amp;P)'!T2485="Yes",
    1.35,
    1.00)</f>
        <v/>
      </c>
      <c r="P2485">
        <f>IF('Loan Tape (S&amp;P)'!S2485="Yes",
    1.15,
    1.00)</f>
        <v/>
      </c>
      <c r="Q2485">
        <f>IF('Loan Tape (S&amp;P)'!V2485="Yes",
    1.20,
    1.00)</f>
        <v/>
      </c>
      <c r="T2485">
        <f>LET(
    payment_method,'Loan Tape (S&amp;P)'!P2485,
    occupancy,'Loan Tape (S&amp;P)'!N2485,
    maturity_date,'Loan Tape (S&amp;P)'!L2485,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86">
      <c r="J2486">
        <f>LET(
    lien,'Loan Tape (S&amp;P)'!Q2486,
    IF(lien="First",1.00,
        IF(lien="Second",1.50,
            1.70)))</f>
        <v/>
      </c>
      <c r="K2486">
        <f>LET(
    purpose,'Loan Tape (S&amp;P)'!R2486,
    IF(purpose="Purchase",1.00,
        IF(purpose="Remortgage",1.00,
            1.20)))</f>
        <v/>
      </c>
      <c r="L2486">
        <f>LET(
    arrears_months,'Loan Tape (S&amp;P)'!AN2486,
    IF(arrears_months=0,1.00,
    IF(arrears_months=1,3.00,
    IF(arrears_months=2,5.00,
    IF(arrears_months=3,8.00,
    IF(arrears_months=4,10.00,
    IF(arrears_months=5,12.00,15.00)))))))</f>
        <v/>
      </c>
      <c r="M2486">
        <f>LET(
    seasoning_years,DATEDIF('Loan Tape (S&amp;P)'!K2486,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86">
        <f>IF(AND('Loan Tape (S&amp;P)'!U2486="Yes",
        'Loan Tape (S&amp;P)'!T2486&lt;&gt;"Yes",
        DATEDIF('Loan Tape (S&amp;P)'!K2486, TODAY(), "M")&lt;18),
    1.10,
    1.00)</f>
        <v/>
      </c>
      <c r="O2486">
        <f>IF('Loan Tape (S&amp;P)'!T2486="Yes",
    1.35,
    1.00)</f>
        <v/>
      </c>
      <c r="P2486">
        <f>IF('Loan Tape (S&amp;P)'!S2486="Yes",
    1.15,
    1.00)</f>
        <v/>
      </c>
      <c r="Q2486">
        <f>IF('Loan Tape (S&amp;P)'!V2486="Yes",
    1.20,
    1.00)</f>
        <v/>
      </c>
      <c r="T2486">
        <f>LET(
    payment_method,'Loan Tape (S&amp;P)'!P2486,
    occupancy,'Loan Tape (S&amp;P)'!N2486,
    maturity_date,'Loan Tape (S&amp;P)'!L2486,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87">
      <c r="J2487">
        <f>LET(
    lien,'Loan Tape (S&amp;P)'!Q2487,
    IF(lien="First",1.00,
        IF(lien="Second",1.50,
            1.70)))</f>
        <v/>
      </c>
      <c r="K2487">
        <f>LET(
    purpose,'Loan Tape (S&amp;P)'!R2487,
    IF(purpose="Purchase",1.00,
        IF(purpose="Remortgage",1.00,
            1.20)))</f>
        <v/>
      </c>
      <c r="L2487">
        <f>LET(
    arrears_months,'Loan Tape (S&amp;P)'!AN2487,
    IF(arrears_months=0,1.00,
    IF(arrears_months=1,3.00,
    IF(arrears_months=2,5.00,
    IF(arrears_months=3,8.00,
    IF(arrears_months=4,10.00,
    IF(arrears_months=5,12.00,15.00)))))))</f>
        <v/>
      </c>
      <c r="M2487">
        <f>LET(
    seasoning_years,DATEDIF('Loan Tape (S&amp;P)'!K2487,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87">
        <f>IF(AND('Loan Tape (S&amp;P)'!U2487="Yes",
        'Loan Tape (S&amp;P)'!T2487&lt;&gt;"Yes",
        DATEDIF('Loan Tape (S&amp;P)'!K2487, TODAY(), "M")&lt;18),
    1.10,
    1.00)</f>
        <v/>
      </c>
      <c r="O2487">
        <f>IF('Loan Tape (S&amp;P)'!T2487="Yes",
    1.35,
    1.00)</f>
        <v/>
      </c>
      <c r="P2487">
        <f>IF('Loan Tape (S&amp;P)'!S2487="Yes",
    1.15,
    1.00)</f>
        <v/>
      </c>
      <c r="Q2487">
        <f>IF('Loan Tape (S&amp;P)'!V2487="Yes",
    1.20,
    1.00)</f>
        <v/>
      </c>
      <c r="T2487">
        <f>LET(
    payment_method,'Loan Tape (S&amp;P)'!P2487,
    occupancy,'Loan Tape (S&amp;P)'!N2487,
    maturity_date,'Loan Tape (S&amp;P)'!L2487,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88">
      <c r="J2488">
        <f>LET(
    lien,'Loan Tape (S&amp;P)'!Q2488,
    IF(lien="First",1.00,
        IF(lien="Second",1.50,
            1.70)))</f>
        <v/>
      </c>
      <c r="K2488">
        <f>LET(
    purpose,'Loan Tape (S&amp;P)'!R2488,
    IF(purpose="Purchase",1.00,
        IF(purpose="Remortgage",1.00,
            1.20)))</f>
        <v/>
      </c>
      <c r="L2488">
        <f>LET(
    arrears_months,'Loan Tape (S&amp;P)'!AN2488,
    IF(arrears_months=0,1.00,
    IF(arrears_months=1,3.00,
    IF(arrears_months=2,5.00,
    IF(arrears_months=3,8.00,
    IF(arrears_months=4,10.00,
    IF(arrears_months=5,12.00,15.00)))))))</f>
        <v/>
      </c>
      <c r="M2488">
        <f>LET(
    seasoning_years,DATEDIF('Loan Tape (S&amp;P)'!K2488,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88">
        <f>IF(AND('Loan Tape (S&amp;P)'!U2488="Yes",
        'Loan Tape (S&amp;P)'!T2488&lt;&gt;"Yes",
        DATEDIF('Loan Tape (S&amp;P)'!K2488, TODAY(), "M")&lt;18),
    1.10,
    1.00)</f>
        <v/>
      </c>
      <c r="O2488">
        <f>IF('Loan Tape (S&amp;P)'!T2488="Yes",
    1.35,
    1.00)</f>
        <v/>
      </c>
      <c r="P2488">
        <f>IF('Loan Tape (S&amp;P)'!S2488="Yes",
    1.15,
    1.00)</f>
        <v/>
      </c>
      <c r="Q2488">
        <f>IF('Loan Tape (S&amp;P)'!V2488="Yes",
    1.20,
    1.00)</f>
        <v/>
      </c>
      <c r="T2488">
        <f>LET(
    payment_method,'Loan Tape (S&amp;P)'!P2488,
    occupancy,'Loan Tape (S&amp;P)'!N2488,
    maturity_date,'Loan Tape (S&amp;P)'!L2488,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89">
      <c r="J2489">
        <f>LET(
    lien,'Loan Tape (S&amp;P)'!Q2489,
    IF(lien="First",1.00,
        IF(lien="Second",1.50,
            1.70)))</f>
        <v/>
      </c>
      <c r="K2489">
        <f>LET(
    purpose,'Loan Tape (S&amp;P)'!R2489,
    IF(purpose="Purchase",1.00,
        IF(purpose="Remortgage",1.00,
            1.20)))</f>
        <v/>
      </c>
      <c r="L2489">
        <f>LET(
    arrears_months,'Loan Tape (S&amp;P)'!AN2489,
    IF(arrears_months=0,1.00,
    IF(arrears_months=1,3.00,
    IF(arrears_months=2,5.00,
    IF(arrears_months=3,8.00,
    IF(arrears_months=4,10.00,
    IF(arrears_months=5,12.00,15.00)))))))</f>
        <v/>
      </c>
      <c r="M2489">
        <f>LET(
    seasoning_years,DATEDIF('Loan Tape (S&amp;P)'!K2489,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89">
        <f>IF(AND('Loan Tape (S&amp;P)'!U2489="Yes",
        'Loan Tape (S&amp;P)'!T2489&lt;&gt;"Yes",
        DATEDIF('Loan Tape (S&amp;P)'!K2489, TODAY(), "M")&lt;18),
    1.10,
    1.00)</f>
        <v/>
      </c>
      <c r="O2489">
        <f>IF('Loan Tape (S&amp;P)'!T2489="Yes",
    1.35,
    1.00)</f>
        <v/>
      </c>
      <c r="P2489">
        <f>IF('Loan Tape (S&amp;P)'!S2489="Yes",
    1.15,
    1.00)</f>
        <v/>
      </c>
      <c r="Q2489">
        <f>IF('Loan Tape (S&amp;P)'!V2489="Yes",
    1.20,
    1.00)</f>
        <v/>
      </c>
      <c r="T2489">
        <f>LET(
    payment_method,'Loan Tape (S&amp;P)'!P2489,
    occupancy,'Loan Tape (S&amp;P)'!N2489,
    maturity_date,'Loan Tape (S&amp;P)'!L2489,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90">
      <c r="J2490">
        <f>LET(
    lien,'Loan Tape (S&amp;P)'!Q2490,
    IF(lien="First",1.00,
        IF(lien="Second",1.50,
            1.70)))</f>
        <v/>
      </c>
      <c r="K2490">
        <f>LET(
    purpose,'Loan Tape (S&amp;P)'!R2490,
    IF(purpose="Purchase",1.00,
        IF(purpose="Remortgage",1.00,
            1.20)))</f>
        <v/>
      </c>
      <c r="L2490">
        <f>LET(
    arrears_months,'Loan Tape (S&amp;P)'!AN2490,
    IF(arrears_months=0,1.00,
    IF(arrears_months=1,3.00,
    IF(arrears_months=2,5.00,
    IF(arrears_months=3,8.00,
    IF(arrears_months=4,10.00,
    IF(arrears_months=5,12.00,15.00)))))))</f>
        <v/>
      </c>
      <c r="M2490">
        <f>LET(
    seasoning_years,DATEDIF('Loan Tape (S&amp;P)'!K2490,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90">
        <f>IF(AND('Loan Tape (S&amp;P)'!U2490="Yes",
        'Loan Tape (S&amp;P)'!T2490&lt;&gt;"Yes",
        DATEDIF('Loan Tape (S&amp;P)'!K2490, TODAY(), "M")&lt;18),
    1.10,
    1.00)</f>
        <v/>
      </c>
      <c r="O2490">
        <f>IF('Loan Tape (S&amp;P)'!T2490="Yes",
    1.35,
    1.00)</f>
        <v/>
      </c>
      <c r="P2490">
        <f>IF('Loan Tape (S&amp;P)'!S2490="Yes",
    1.15,
    1.00)</f>
        <v/>
      </c>
      <c r="Q2490">
        <f>IF('Loan Tape (S&amp;P)'!V2490="Yes",
    1.20,
    1.00)</f>
        <v/>
      </c>
      <c r="T2490">
        <f>LET(
    payment_method,'Loan Tape (S&amp;P)'!P2490,
    occupancy,'Loan Tape (S&amp;P)'!N2490,
    maturity_date,'Loan Tape (S&amp;P)'!L2490,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91">
      <c r="J2491">
        <f>LET(
    lien,'Loan Tape (S&amp;P)'!Q2491,
    IF(lien="First",1.00,
        IF(lien="Second",1.50,
            1.70)))</f>
        <v/>
      </c>
      <c r="K2491">
        <f>LET(
    purpose,'Loan Tape (S&amp;P)'!R2491,
    IF(purpose="Purchase",1.00,
        IF(purpose="Remortgage",1.00,
            1.20)))</f>
        <v/>
      </c>
      <c r="L2491">
        <f>LET(
    arrears_months,'Loan Tape (S&amp;P)'!AN2491,
    IF(arrears_months=0,1.00,
    IF(arrears_months=1,3.00,
    IF(arrears_months=2,5.00,
    IF(arrears_months=3,8.00,
    IF(arrears_months=4,10.00,
    IF(arrears_months=5,12.00,15.00)))))))</f>
        <v/>
      </c>
      <c r="M2491">
        <f>LET(
    seasoning_years,DATEDIF('Loan Tape (S&amp;P)'!K2491,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91">
        <f>IF(AND('Loan Tape (S&amp;P)'!U2491="Yes",
        'Loan Tape (S&amp;P)'!T2491&lt;&gt;"Yes",
        DATEDIF('Loan Tape (S&amp;P)'!K2491, TODAY(), "M")&lt;18),
    1.10,
    1.00)</f>
        <v/>
      </c>
      <c r="O2491">
        <f>IF('Loan Tape (S&amp;P)'!T2491="Yes",
    1.35,
    1.00)</f>
        <v/>
      </c>
      <c r="P2491">
        <f>IF('Loan Tape (S&amp;P)'!S2491="Yes",
    1.15,
    1.00)</f>
        <v/>
      </c>
      <c r="Q2491">
        <f>IF('Loan Tape (S&amp;P)'!V2491="Yes",
    1.20,
    1.00)</f>
        <v/>
      </c>
      <c r="T2491">
        <f>LET(
    payment_method,'Loan Tape (S&amp;P)'!P2491,
    occupancy,'Loan Tape (S&amp;P)'!N2491,
    maturity_date,'Loan Tape (S&amp;P)'!L2491,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92">
      <c r="J2492">
        <f>LET(
    lien,'Loan Tape (S&amp;P)'!Q2492,
    IF(lien="First",1.00,
        IF(lien="Second",1.50,
            1.70)))</f>
        <v/>
      </c>
      <c r="K2492">
        <f>LET(
    purpose,'Loan Tape (S&amp;P)'!R2492,
    IF(purpose="Purchase",1.00,
        IF(purpose="Remortgage",1.00,
            1.20)))</f>
        <v/>
      </c>
      <c r="L2492">
        <f>LET(
    arrears_months,'Loan Tape (S&amp;P)'!AN2492,
    IF(arrears_months=0,1.00,
    IF(arrears_months=1,3.00,
    IF(arrears_months=2,5.00,
    IF(arrears_months=3,8.00,
    IF(arrears_months=4,10.00,
    IF(arrears_months=5,12.00,15.00)))))))</f>
        <v/>
      </c>
      <c r="M2492">
        <f>LET(
    seasoning_years,DATEDIF('Loan Tape (S&amp;P)'!K2492,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92">
        <f>IF(AND('Loan Tape (S&amp;P)'!U2492="Yes",
        'Loan Tape (S&amp;P)'!T2492&lt;&gt;"Yes",
        DATEDIF('Loan Tape (S&amp;P)'!K2492, TODAY(), "M")&lt;18),
    1.10,
    1.00)</f>
        <v/>
      </c>
      <c r="O2492">
        <f>IF('Loan Tape (S&amp;P)'!T2492="Yes",
    1.35,
    1.00)</f>
        <v/>
      </c>
      <c r="P2492">
        <f>IF('Loan Tape (S&amp;P)'!S2492="Yes",
    1.15,
    1.00)</f>
        <v/>
      </c>
      <c r="Q2492">
        <f>IF('Loan Tape (S&amp;P)'!V2492="Yes",
    1.20,
    1.00)</f>
        <v/>
      </c>
      <c r="T2492">
        <f>LET(
    payment_method,'Loan Tape (S&amp;P)'!P2492,
    occupancy,'Loan Tape (S&amp;P)'!N2492,
    maturity_date,'Loan Tape (S&amp;P)'!L2492,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93">
      <c r="J2493">
        <f>LET(
    lien,'Loan Tape (S&amp;P)'!Q2493,
    IF(lien="First",1.00,
        IF(lien="Second",1.50,
            1.70)))</f>
        <v/>
      </c>
      <c r="K2493">
        <f>LET(
    purpose,'Loan Tape (S&amp;P)'!R2493,
    IF(purpose="Purchase",1.00,
        IF(purpose="Remortgage",1.00,
            1.20)))</f>
        <v/>
      </c>
      <c r="L2493">
        <f>LET(
    arrears_months,'Loan Tape (S&amp;P)'!AN2493,
    IF(arrears_months=0,1.00,
    IF(arrears_months=1,3.00,
    IF(arrears_months=2,5.00,
    IF(arrears_months=3,8.00,
    IF(arrears_months=4,10.00,
    IF(arrears_months=5,12.00,15.00)))))))</f>
        <v/>
      </c>
      <c r="M2493">
        <f>LET(
    seasoning_years,DATEDIF('Loan Tape (S&amp;P)'!K2493,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93">
        <f>IF(AND('Loan Tape (S&amp;P)'!U2493="Yes",
        'Loan Tape (S&amp;P)'!T2493&lt;&gt;"Yes",
        DATEDIF('Loan Tape (S&amp;P)'!K2493, TODAY(), "M")&lt;18),
    1.10,
    1.00)</f>
        <v/>
      </c>
      <c r="O2493">
        <f>IF('Loan Tape (S&amp;P)'!T2493="Yes",
    1.35,
    1.00)</f>
        <v/>
      </c>
      <c r="P2493">
        <f>IF('Loan Tape (S&amp;P)'!S2493="Yes",
    1.15,
    1.00)</f>
        <v/>
      </c>
      <c r="Q2493">
        <f>IF('Loan Tape (S&amp;P)'!V2493="Yes",
    1.20,
    1.00)</f>
        <v/>
      </c>
      <c r="T2493">
        <f>LET(
    payment_method,'Loan Tape (S&amp;P)'!P2493,
    occupancy,'Loan Tape (S&amp;P)'!N2493,
    maturity_date,'Loan Tape (S&amp;P)'!L2493,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94">
      <c r="J2494">
        <f>LET(
    lien,'Loan Tape (S&amp;P)'!Q2494,
    IF(lien="First",1.00,
        IF(lien="Second",1.50,
            1.70)))</f>
        <v/>
      </c>
      <c r="K2494">
        <f>LET(
    purpose,'Loan Tape (S&amp;P)'!R2494,
    IF(purpose="Purchase",1.00,
        IF(purpose="Remortgage",1.00,
            1.20)))</f>
        <v/>
      </c>
      <c r="L2494">
        <f>LET(
    arrears_months,'Loan Tape (S&amp;P)'!AN2494,
    IF(arrears_months=0,1.00,
    IF(arrears_months=1,3.00,
    IF(arrears_months=2,5.00,
    IF(arrears_months=3,8.00,
    IF(arrears_months=4,10.00,
    IF(arrears_months=5,12.00,15.00)))))))</f>
        <v/>
      </c>
      <c r="M2494">
        <f>LET(
    seasoning_years,DATEDIF('Loan Tape (S&amp;P)'!K2494,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94">
        <f>IF(AND('Loan Tape (S&amp;P)'!U2494="Yes",
        'Loan Tape (S&amp;P)'!T2494&lt;&gt;"Yes",
        DATEDIF('Loan Tape (S&amp;P)'!K2494, TODAY(), "M")&lt;18),
    1.10,
    1.00)</f>
        <v/>
      </c>
      <c r="O2494">
        <f>IF('Loan Tape (S&amp;P)'!T2494="Yes",
    1.35,
    1.00)</f>
        <v/>
      </c>
      <c r="P2494">
        <f>IF('Loan Tape (S&amp;P)'!S2494="Yes",
    1.15,
    1.00)</f>
        <v/>
      </c>
      <c r="Q2494">
        <f>IF('Loan Tape (S&amp;P)'!V2494="Yes",
    1.20,
    1.00)</f>
        <v/>
      </c>
      <c r="T2494">
        <f>LET(
    payment_method,'Loan Tape (S&amp;P)'!P2494,
    occupancy,'Loan Tape (S&amp;P)'!N2494,
    maturity_date,'Loan Tape (S&amp;P)'!L2494,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95">
      <c r="J2495">
        <f>LET(
    lien,'Loan Tape (S&amp;P)'!Q2495,
    IF(lien="First",1.00,
        IF(lien="Second",1.50,
            1.70)))</f>
        <v/>
      </c>
      <c r="K2495">
        <f>LET(
    purpose,'Loan Tape (S&amp;P)'!R2495,
    IF(purpose="Purchase",1.00,
        IF(purpose="Remortgage",1.00,
            1.20)))</f>
        <v/>
      </c>
      <c r="L2495">
        <f>LET(
    arrears_months,'Loan Tape (S&amp;P)'!AN2495,
    IF(arrears_months=0,1.00,
    IF(arrears_months=1,3.00,
    IF(arrears_months=2,5.00,
    IF(arrears_months=3,8.00,
    IF(arrears_months=4,10.00,
    IF(arrears_months=5,12.00,15.00)))))))</f>
        <v/>
      </c>
      <c r="M2495">
        <f>LET(
    seasoning_years,DATEDIF('Loan Tape (S&amp;P)'!K2495,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95">
        <f>IF(AND('Loan Tape (S&amp;P)'!U2495="Yes",
        'Loan Tape (S&amp;P)'!T2495&lt;&gt;"Yes",
        DATEDIF('Loan Tape (S&amp;P)'!K2495, TODAY(), "M")&lt;18),
    1.10,
    1.00)</f>
        <v/>
      </c>
      <c r="O2495">
        <f>IF('Loan Tape (S&amp;P)'!T2495="Yes",
    1.35,
    1.00)</f>
        <v/>
      </c>
      <c r="P2495">
        <f>IF('Loan Tape (S&amp;P)'!S2495="Yes",
    1.15,
    1.00)</f>
        <v/>
      </c>
      <c r="Q2495">
        <f>IF('Loan Tape (S&amp;P)'!V2495="Yes",
    1.20,
    1.00)</f>
        <v/>
      </c>
      <c r="T2495">
        <f>LET(
    payment_method,'Loan Tape (S&amp;P)'!P2495,
    occupancy,'Loan Tape (S&amp;P)'!N2495,
    maturity_date,'Loan Tape (S&amp;P)'!L2495,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96">
      <c r="J2496">
        <f>LET(
    lien,'Loan Tape (S&amp;P)'!Q2496,
    IF(lien="First",1.00,
        IF(lien="Second",1.50,
            1.70)))</f>
        <v/>
      </c>
      <c r="K2496">
        <f>LET(
    purpose,'Loan Tape (S&amp;P)'!R2496,
    IF(purpose="Purchase",1.00,
        IF(purpose="Remortgage",1.00,
            1.20)))</f>
        <v/>
      </c>
      <c r="L2496">
        <f>LET(
    arrears_months,'Loan Tape (S&amp;P)'!AN2496,
    IF(arrears_months=0,1.00,
    IF(arrears_months=1,3.00,
    IF(arrears_months=2,5.00,
    IF(arrears_months=3,8.00,
    IF(arrears_months=4,10.00,
    IF(arrears_months=5,12.00,15.00)))))))</f>
        <v/>
      </c>
      <c r="M2496">
        <f>LET(
    seasoning_years,DATEDIF('Loan Tape (S&amp;P)'!K2496,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96">
        <f>IF(AND('Loan Tape (S&amp;P)'!U2496="Yes",
        'Loan Tape (S&amp;P)'!T2496&lt;&gt;"Yes",
        DATEDIF('Loan Tape (S&amp;P)'!K2496, TODAY(), "M")&lt;18),
    1.10,
    1.00)</f>
        <v/>
      </c>
      <c r="O2496">
        <f>IF('Loan Tape (S&amp;P)'!T2496="Yes",
    1.35,
    1.00)</f>
        <v/>
      </c>
      <c r="P2496">
        <f>IF('Loan Tape (S&amp;P)'!S2496="Yes",
    1.15,
    1.00)</f>
        <v/>
      </c>
      <c r="Q2496">
        <f>IF('Loan Tape (S&amp;P)'!V2496="Yes",
    1.20,
    1.00)</f>
        <v/>
      </c>
      <c r="T2496">
        <f>LET(
    payment_method,'Loan Tape (S&amp;P)'!P2496,
    occupancy,'Loan Tape (S&amp;P)'!N2496,
    maturity_date,'Loan Tape (S&amp;P)'!L2496,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97">
      <c r="J2497">
        <f>LET(
    lien,'Loan Tape (S&amp;P)'!Q2497,
    IF(lien="First",1.00,
        IF(lien="Second",1.50,
            1.70)))</f>
        <v/>
      </c>
      <c r="K2497">
        <f>LET(
    purpose,'Loan Tape (S&amp;P)'!R2497,
    IF(purpose="Purchase",1.00,
        IF(purpose="Remortgage",1.00,
            1.20)))</f>
        <v/>
      </c>
      <c r="L2497">
        <f>LET(
    arrears_months,'Loan Tape (S&amp;P)'!AN2497,
    IF(arrears_months=0,1.00,
    IF(arrears_months=1,3.00,
    IF(arrears_months=2,5.00,
    IF(arrears_months=3,8.00,
    IF(arrears_months=4,10.00,
    IF(arrears_months=5,12.00,15.00)))))))</f>
        <v/>
      </c>
      <c r="M2497">
        <f>LET(
    seasoning_years,DATEDIF('Loan Tape (S&amp;P)'!K2497,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97">
        <f>IF(AND('Loan Tape (S&amp;P)'!U2497="Yes",
        'Loan Tape (S&amp;P)'!T2497&lt;&gt;"Yes",
        DATEDIF('Loan Tape (S&amp;P)'!K2497, TODAY(), "M")&lt;18),
    1.10,
    1.00)</f>
        <v/>
      </c>
      <c r="O2497">
        <f>IF('Loan Tape (S&amp;P)'!T2497="Yes",
    1.35,
    1.00)</f>
        <v/>
      </c>
      <c r="P2497">
        <f>IF('Loan Tape (S&amp;P)'!S2497="Yes",
    1.15,
    1.00)</f>
        <v/>
      </c>
      <c r="Q2497">
        <f>IF('Loan Tape (S&amp;P)'!V2497="Yes",
    1.20,
    1.00)</f>
        <v/>
      </c>
      <c r="T2497">
        <f>LET(
    payment_method,'Loan Tape (S&amp;P)'!P2497,
    occupancy,'Loan Tape (S&amp;P)'!N2497,
    maturity_date,'Loan Tape (S&amp;P)'!L2497,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98">
      <c r="J2498">
        <f>LET(
    lien,'Loan Tape (S&amp;P)'!Q2498,
    IF(lien="First",1.00,
        IF(lien="Second",1.50,
            1.70)))</f>
        <v/>
      </c>
      <c r="K2498">
        <f>LET(
    purpose,'Loan Tape (S&amp;P)'!R2498,
    IF(purpose="Purchase",1.00,
        IF(purpose="Remortgage",1.00,
            1.20)))</f>
        <v/>
      </c>
      <c r="L2498">
        <f>LET(
    arrears_months,'Loan Tape (S&amp;P)'!AN2498,
    IF(arrears_months=0,1.00,
    IF(arrears_months=1,3.00,
    IF(arrears_months=2,5.00,
    IF(arrears_months=3,8.00,
    IF(arrears_months=4,10.00,
    IF(arrears_months=5,12.00,15.00)))))))</f>
        <v/>
      </c>
      <c r="M2498">
        <f>LET(
    seasoning_years,DATEDIF('Loan Tape (S&amp;P)'!K2498,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98">
        <f>IF(AND('Loan Tape (S&amp;P)'!U2498="Yes",
        'Loan Tape (S&amp;P)'!T2498&lt;&gt;"Yes",
        DATEDIF('Loan Tape (S&amp;P)'!K2498, TODAY(), "M")&lt;18),
    1.10,
    1.00)</f>
        <v/>
      </c>
      <c r="O2498">
        <f>IF('Loan Tape (S&amp;P)'!T2498="Yes",
    1.35,
    1.00)</f>
        <v/>
      </c>
      <c r="P2498">
        <f>IF('Loan Tape (S&amp;P)'!S2498="Yes",
    1.15,
    1.00)</f>
        <v/>
      </c>
      <c r="Q2498">
        <f>IF('Loan Tape (S&amp;P)'!V2498="Yes",
    1.20,
    1.00)</f>
        <v/>
      </c>
      <c r="T2498">
        <f>LET(
    payment_method,'Loan Tape (S&amp;P)'!P2498,
    occupancy,'Loan Tape (S&amp;P)'!N2498,
    maturity_date,'Loan Tape (S&amp;P)'!L2498,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499">
      <c r="J2499">
        <f>LET(
    lien,'Loan Tape (S&amp;P)'!Q2499,
    IF(lien="First",1.00,
        IF(lien="Second",1.50,
            1.70)))</f>
        <v/>
      </c>
      <c r="K2499">
        <f>LET(
    purpose,'Loan Tape (S&amp;P)'!R2499,
    IF(purpose="Purchase",1.00,
        IF(purpose="Remortgage",1.00,
            1.20)))</f>
        <v/>
      </c>
      <c r="L2499">
        <f>LET(
    arrears_months,'Loan Tape (S&amp;P)'!AN2499,
    IF(arrears_months=0,1.00,
    IF(arrears_months=1,3.00,
    IF(arrears_months=2,5.00,
    IF(arrears_months=3,8.00,
    IF(arrears_months=4,10.00,
    IF(arrears_months=5,12.00,15.00)))))))</f>
        <v/>
      </c>
      <c r="M2499">
        <f>LET(
    seasoning_years,DATEDIF('Loan Tape (S&amp;P)'!K2499,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499">
        <f>IF(AND('Loan Tape (S&amp;P)'!U2499="Yes",
        'Loan Tape (S&amp;P)'!T2499&lt;&gt;"Yes",
        DATEDIF('Loan Tape (S&amp;P)'!K2499, TODAY(), "M")&lt;18),
    1.10,
    1.00)</f>
        <v/>
      </c>
      <c r="O2499">
        <f>IF('Loan Tape (S&amp;P)'!T2499="Yes",
    1.35,
    1.00)</f>
        <v/>
      </c>
      <c r="P2499">
        <f>IF('Loan Tape (S&amp;P)'!S2499="Yes",
    1.15,
    1.00)</f>
        <v/>
      </c>
      <c r="Q2499">
        <f>IF('Loan Tape (S&amp;P)'!V2499="Yes",
    1.20,
    1.00)</f>
        <v/>
      </c>
      <c r="T2499">
        <f>LET(
    payment_method,'Loan Tape (S&amp;P)'!P2499,
    occupancy,'Loan Tape (S&amp;P)'!N2499,
    maturity_date,'Loan Tape (S&amp;P)'!L2499,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00">
      <c r="J2500">
        <f>LET(
    lien,'Loan Tape (S&amp;P)'!Q2500,
    IF(lien="First",1.00,
        IF(lien="Second",1.50,
            1.70)))</f>
        <v/>
      </c>
      <c r="K2500">
        <f>LET(
    purpose,'Loan Tape (S&amp;P)'!R2500,
    IF(purpose="Purchase",1.00,
        IF(purpose="Remortgage",1.00,
            1.20)))</f>
        <v/>
      </c>
      <c r="L2500">
        <f>LET(
    arrears_months,'Loan Tape (S&amp;P)'!AN2500,
    IF(arrears_months=0,1.00,
    IF(arrears_months=1,3.00,
    IF(arrears_months=2,5.00,
    IF(arrears_months=3,8.00,
    IF(arrears_months=4,10.00,
    IF(arrears_months=5,12.00,15.00)))))))</f>
        <v/>
      </c>
      <c r="M2500">
        <f>LET(
    seasoning_years,DATEDIF('Loan Tape (S&amp;P)'!K2500,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00">
        <f>IF(AND('Loan Tape (S&amp;P)'!U2500="Yes",
        'Loan Tape (S&amp;P)'!T2500&lt;&gt;"Yes",
        DATEDIF('Loan Tape (S&amp;P)'!K2500, TODAY(), "M")&lt;18),
    1.10,
    1.00)</f>
        <v/>
      </c>
      <c r="O2500">
        <f>IF('Loan Tape (S&amp;P)'!T2500="Yes",
    1.35,
    1.00)</f>
        <v/>
      </c>
      <c r="P2500">
        <f>IF('Loan Tape (S&amp;P)'!S2500="Yes",
    1.15,
    1.00)</f>
        <v/>
      </c>
      <c r="Q2500">
        <f>IF('Loan Tape (S&amp;P)'!V2500="Yes",
    1.20,
    1.00)</f>
        <v/>
      </c>
      <c r="T2500">
        <f>LET(
    payment_method,'Loan Tape (S&amp;P)'!P2500,
    occupancy,'Loan Tape (S&amp;P)'!N2500,
    maturity_date,'Loan Tape (S&amp;P)'!L2500,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01">
      <c r="J2501">
        <f>LET(
    lien,'Loan Tape (S&amp;P)'!Q2501,
    IF(lien="First",1.00,
        IF(lien="Second",1.50,
            1.70)))</f>
        <v/>
      </c>
      <c r="K2501">
        <f>LET(
    purpose,'Loan Tape (S&amp;P)'!R2501,
    IF(purpose="Purchase",1.00,
        IF(purpose="Remortgage",1.00,
            1.20)))</f>
        <v/>
      </c>
      <c r="L2501">
        <f>LET(
    arrears_months,'Loan Tape (S&amp;P)'!AN2501,
    IF(arrears_months=0,1.00,
    IF(arrears_months=1,3.00,
    IF(arrears_months=2,5.00,
    IF(arrears_months=3,8.00,
    IF(arrears_months=4,10.00,
    IF(arrears_months=5,12.00,15.00)))))))</f>
        <v/>
      </c>
      <c r="M2501">
        <f>LET(
    seasoning_years,DATEDIF('Loan Tape (S&amp;P)'!K2501,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01">
        <f>IF(AND('Loan Tape (S&amp;P)'!U2501="Yes",
        'Loan Tape (S&amp;P)'!T2501&lt;&gt;"Yes",
        DATEDIF('Loan Tape (S&amp;P)'!K2501, TODAY(), "M")&lt;18),
    1.10,
    1.00)</f>
        <v/>
      </c>
      <c r="O2501">
        <f>IF('Loan Tape (S&amp;P)'!T2501="Yes",
    1.35,
    1.00)</f>
        <v/>
      </c>
      <c r="P2501">
        <f>IF('Loan Tape (S&amp;P)'!S2501="Yes",
    1.15,
    1.00)</f>
        <v/>
      </c>
      <c r="Q2501">
        <f>IF('Loan Tape (S&amp;P)'!V2501="Yes",
    1.20,
    1.00)</f>
        <v/>
      </c>
      <c r="T2501">
        <f>LET(
    payment_method,'Loan Tape (S&amp;P)'!P2501,
    occupancy,'Loan Tape (S&amp;P)'!N2501,
    maturity_date,'Loan Tape (S&amp;P)'!L2501,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02">
      <c r="J2502">
        <f>LET(
    lien,'Loan Tape (S&amp;P)'!Q2502,
    IF(lien="First",1.00,
        IF(lien="Second",1.50,
            1.70)))</f>
        <v/>
      </c>
      <c r="K2502">
        <f>LET(
    purpose,'Loan Tape (S&amp;P)'!R2502,
    IF(purpose="Purchase",1.00,
        IF(purpose="Remortgage",1.00,
            1.20)))</f>
        <v/>
      </c>
      <c r="L2502">
        <f>LET(
    arrears_months,'Loan Tape (S&amp;P)'!AN2502,
    IF(arrears_months=0,1.00,
    IF(arrears_months=1,3.00,
    IF(arrears_months=2,5.00,
    IF(arrears_months=3,8.00,
    IF(arrears_months=4,10.00,
    IF(arrears_months=5,12.00,15.00)))))))</f>
        <v/>
      </c>
      <c r="M2502">
        <f>LET(
    seasoning_years,DATEDIF('Loan Tape (S&amp;P)'!K2502,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02">
        <f>IF(AND('Loan Tape (S&amp;P)'!U2502="Yes",
        'Loan Tape (S&amp;P)'!T2502&lt;&gt;"Yes",
        DATEDIF('Loan Tape (S&amp;P)'!K2502, TODAY(), "M")&lt;18),
    1.10,
    1.00)</f>
        <v/>
      </c>
      <c r="O2502">
        <f>IF('Loan Tape (S&amp;P)'!T2502="Yes",
    1.35,
    1.00)</f>
        <v/>
      </c>
      <c r="P2502">
        <f>IF('Loan Tape (S&amp;P)'!S2502="Yes",
    1.15,
    1.00)</f>
        <v/>
      </c>
      <c r="Q2502">
        <f>IF('Loan Tape (S&amp;P)'!V2502="Yes",
    1.20,
    1.00)</f>
        <v/>
      </c>
      <c r="T2502">
        <f>LET(
    payment_method,'Loan Tape (S&amp;P)'!P2502,
    occupancy,'Loan Tape (S&amp;P)'!N2502,
    maturity_date,'Loan Tape (S&amp;P)'!L2502,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03">
      <c r="J2503">
        <f>LET(
    lien,'Loan Tape (S&amp;P)'!Q2503,
    IF(lien="First",1.00,
        IF(lien="Second",1.50,
            1.70)))</f>
        <v/>
      </c>
      <c r="K2503">
        <f>LET(
    purpose,'Loan Tape (S&amp;P)'!R2503,
    IF(purpose="Purchase",1.00,
        IF(purpose="Remortgage",1.00,
            1.20)))</f>
        <v/>
      </c>
      <c r="L2503">
        <f>LET(
    arrears_months,'Loan Tape (S&amp;P)'!AN2503,
    IF(arrears_months=0,1.00,
    IF(arrears_months=1,3.00,
    IF(arrears_months=2,5.00,
    IF(arrears_months=3,8.00,
    IF(arrears_months=4,10.00,
    IF(arrears_months=5,12.00,15.00)))))))</f>
        <v/>
      </c>
      <c r="M2503">
        <f>LET(
    seasoning_years,DATEDIF('Loan Tape (S&amp;P)'!K2503,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03">
        <f>IF(AND('Loan Tape (S&amp;P)'!U2503="Yes",
        'Loan Tape (S&amp;P)'!T2503&lt;&gt;"Yes",
        DATEDIF('Loan Tape (S&amp;P)'!K2503, TODAY(), "M")&lt;18),
    1.10,
    1.00)</f>
        <v/>
      </c>
      <c r="O2503">
        <f>IF('Loan Tape (S&amp;P)'!T2503="Yes",
    1.35,
    1.00)</f>
        <v/>
      </c>
      <c r="P2503">
        <f>IF('Loan Tape (S&amp;P)'!S2503="Yes",
    1.15,
    1.00)</f>
        <v/>
      </c>
      <c r="Q2503">
        <f>IF('Loan Tape (S&amp;P)'!V2503="Yes",
    1.20,
    1.00)</f>
        <v/>
      </c>
      <c r="T2503">
        <f>LET(
    payment_method,'Loan Tape (S&amp;P)'!P2503,
    occupancy,'Loan Tape (S&amp;P)'!N2503,
    maturity_date,'Loan Tape (S&amp;P)'!L2503,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04">
      <c r="J2504">
        <f>LET(
    lien,'Loan Tape (S&amp;P)'!Q2504,
    IF(lien="First",1.00,
        IF(lien="Second",1.50,
            1.70)))</f>
        <v/>
      </c>
      <c r="K2504">
        <f>LET(
    purpose,'Loan Tape (S&amp;P)'!R2504,
    IF(purpose="Purchase",1.00,
        IF(purpose="Remortgage",1.00,
            1.20)))</f>
        <v/>
      </c>
      <c r="L2504">
        <f>LET(
    arrears_months,'Loan Tape (S&amp;P)'!AN2504,
    IF(arrears_months=0,1.00,
    IF(arrears_months=1,3.00,
    IF(arrears_months=2,5.00,
    IF(arrears_months=3,8.00,
    IF(arrears_months=4,10.00,
    IF(arrears_months=5,12.00,15.00)))))))</f>
        <v/>
      </c>
      <c r="M2504">
        <f>LET(
    seasoning_years,DATEDIF('Loan Tape (S&amp;P)'!K2504,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04">
        <f>IF(AND('Loan Tape (S&amp;P)'!U2504="Yes",
        'Loan Tape (S&amp;P)'!T2504&lt;&gt;"Yes",
        DATEDIF('Loan Tape (S&amp;P)'!K2504, TODAY(), "M")&lt;18),
    1.10,
    1.00)</f>
        <v/>
      </c>
      <c r="O2504">
        <f>IF('Loan Tape (S&amp;P)'!T2504="Yes",
    1.35,
    1.00)</f>
        <v/>
      </c>
      <c r="P2504">
        <f>IF('Loan Tape (S&amp;P)'!S2504="Yes",
    1.15,
    1.00)</f>
        <v/>
      </c>
      <c r="Q2504">
        <f>IF('Loan Tape (S&amp;P)'!V2504="Yes",
    1.20,
    1.00)</f>
        <v/>
      </c>
      <c r="T2504">
        <f>LET(
    payment_method,'Loan Tape (S&amp;P)'!P2504,
    occupancy,'Loan Tape (S&amp;P)'!N2504,
    maturity_date,'Loan Tape (S&amp;P)'!L2504,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05">
      <c r="J2505">
        <f>LET(
    lien,'Loan Tape (S&amp;P)'!Q2505,
    IF(lien="First",1.00,
        IF(lien="Second",1.50,
            1.70)))</f>
        <v/>
      </c>
      <c r="K2505">
        <f>LET(
    purpose,'Loan Tape (S&amp;P)'!R2505,
    IF(purpose="Purchase",1.00,
        IF(purpose="Remortgage",1.00,
            1.20)))</f>
        <v/>
      </c>
      <c r="L2505">
        <f>LET(
    arrears_months,'Loan Tape (S&amp;P)'!AN2505,
    IF(arrears_months=0,1.00,
    IF(arrears_months=1,3.00,
    IF(arrears_months=2,5.00,
    IF(arrears_months=3,8.00,
    IF(arrears_months=4,10.00,
    IF(arrears_months=5,12.00,15.00)))))))</f>
        <v/>
      </c>
      <c r="M2505">
        <f>LET(
    seasoning_years,DATEDIF('Loan Tape (S&amp;P)'!K2505,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05">
        <f>IF(AND('Loan Tape (S&amp;P)'!U2505="Yes",
        'Loan Tape (S&amp;P)'!T2505&lt;&gt;"Yes",
        DATEDIF('Loan Tape (S&amp;P)'!K2505, TODAY(), "M")&lt;18),
    1.10,
    1.00)</f>
        <v/>
      </c>
      <c r="O2505">
        <f>IF('Loan Tape (S&amp;P)'!T2505="Yes",
    1.35,
    1.00)</f>
        <v/>
      </c>
      <c r="P2505">
        <f>IF('Loan Tape (S&amp;P)'!S2505="Yes",
    1.15,
    1.00)</f>
        <v/>
      </c>
      <c r="Q2505">
        <f>IF('Loan Tape (S&amp;P)'!V2505="Yes",
    1.20,
    1.00)</f>
        <v/>
      </c>
      <c r="T2505">
        <f>LET(
    payment_method,'Loan Tape (S&amp;P)'!P2505,
    occupancy,'Loan Tape (S&amp;P)'!N2505,
    maturity_date,'Loan Tape (S&amp;P)'!L2505,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06">
      <c r="J2506">
        <f>LET(
    lien,'Loan Tape (S&amp;P)'!Q2506,
    IF(lien="First",1.00,
        IF(lien="Second",1.50,
            1.70)))</f>
        <v/>
      </c>
      <c r="K2506">
        <f>LET(
    purpose,'Loan Tape (S&amp;P)'!R2506,
    IF(purpose="Purchase",1.00,
        IF(purpose="Remortgage",1.00,
            1.20)))</f>
        <v/>
      </c>
      <c r="L2506">
        <f>LET(
    arrears_months,'Loan Tape (S&amp;P)'!AN2506,
    IF(arrears_months=0,1.00,
    IF(arrears_months=1,3.00,
    IF(arrears_months=2,5.00,
    IF(arrears_months=3,8.00,
    IF(arrears_months=4,10.00,
    IF(arrears_months=5,12.00,15.00)))))))</f>
        <v/>
      </c>
      <c r="M2506">
        <f>LET(
    seasoning_years,DATEDIF('Loan Tape (S&amp;P)'!K2506,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06">
        <f>IF(AND('Loan Tape (S&amp;P)'!U2506="Yes",
        'Loan Tape (S&amp;P)'!T2506&lt;&gt;"Yes",
        DATEDIF('Loan Tape (S&amp;P)'!K2506, TODAY(), "M")&lt;18),
    1.10,
    1.00)</f>
        <v/>
      </c>
      <c r="O2506">
        <f>IF('Loan Tape (S&amp;P)'!T2506="Yes",
    1.35,
    1.00)</f>
        <v/>
      </c>
      <c r="P2506">
        <f>IF('Loan Tape (S&amp;P)'!S2506="Yes",
    1.15,
    1.00)</f>
        <v/>
      </c>
      <c r="Q2506">
        <f>IF('Loan Tape (S&amp;P)'!V2506="Yes",
    1.20,
    1.00)</f>
        <v/>
      </c>
      <c r="T2506">
        <f>LET(
    payment_method,'Loan Tape (S&amp;P)'!P2506,
    occupancy,'Loan Tape (S&amp;P)'!N2506,
    maturity_date,'Loan Tape (S&amp;P)'!L2506,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07">
      <c r="J2507">
        <f>LET(
    lien,'Loan Tape (S&amp;P)'!Q2507,
    IF(lien="First",1.00,
        IF(lien="Second",1.50,
            1.70)))</f>
        <v/>
      </c>
      <c r="K2507">
        <f>LET(
    purpose,'Loan Tape (S&amp;P)'!R2507,
    IF(purpose="Purchase",1.00,
        IF(purpose="Remortgage",1.00,
            1.20)))</f>
        <v/>
      </c>
      <c r="L2507">
        <f>LET(
    arrears_months,'Loan Tape (S&amp;P)'!AN2507,
    IF(arrears_months=0,1.00,
    IF(arrears_months=1,3.00,
    IF(arrears_months=2,5.00,
    IF(arrears_months=3,8.00,
    IF(arrears_months=4,10.00,
    IF(arrears_months=5,12.00,15.00)))))))</f>
        <v/>
      </c>
      <c r="M2507">
        <f>LET(
    seasoning_years,DATEDIF('Loan Tape (S&amp;P)'!K2507,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07">
        <f>IF(AND('Loan Tape (S&amp;P)'!U2507="Yes",
        'Loan Tape (S&amp;P)'!T2507&lt;&gt;"Yes",
        DATEDIF('Loan Tape (S&amp;P)'!K2507, TODAY(), "M")&lt;18),
    1.10,
    1.00)</f>
        <v/>
      </c>
      <c r="O2507">
        <f>IF('Loan Tape (S&amp;P)'!T2507="Yes",
    1.35,
    1.00)</f>
        <v/>
      </c>
      <c r="P2507">
        <f>IF('Loan Tape (S&amp;P)'!S2507="Yes",
    1.15,
    1.00)</f>
        <v/>
      </c>
      <c r="Q2507">
        <f>IF('Loan Tape (S&amp;P)'!V2507="Yes",
    1.20,
    1.00)</f>
        <v/>
      </c>
      <c r="T2507">
        <f>LET(
    payment_method,'Loan Tape (S&amp;P)'!P2507,
    occupancy,'Loan Tape (S&amp;P)'!N2507,
    maturity_date,'Loan Tape (S&amp;P)'!L2507,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08">
      <c r="J2508">
        <f>LET(
    lien,'Loan Tape (S&amp;P)'!Q2508,
    IF(lien="First",1.00,
        IF(lien="Second",1.50,
            1.70)))</f>
        <v/>
      </c>
      <c r="K2508">
        <f>LET(
    purpose,'Loan Tape (S&amp;P)'!R2508,
    IF(purpose="Purchase",1.00,
        IF(purpose="Remortgage",1.00,
            1.20)))</f>
        <v/>
      </c>
      <c r="L2508">
        <f>LET(
    arrears_months,'Loan Tape (S&amp;P)'!AN2508,
    IF(arrears_months=0,1.00,
    IF(arrears_months=1,3.00,
    IF(arrears_months=2,5.00,
    IF(arrears_months=3,8.00,
    IF(arrears_months=4,10.00,
    IF(arrears_months=5,12.00,15.00)))))))</f>
        <v/>
      </c>
      <c r="M2508">
        <f>LET(
    seasoning_years,DATEDIF('Loan Tape (S&amp;P)'!K2508,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08">
        <f>IF(AND('Loan Tape (S&amp;P)'!U2508="Yes",
        'Loan Tape (S&amp;P)'!T2508&lt;&gt;"Yes",
        DATEDIF('Loan Tape (S&amp;P)'!K2508, TODAY(), "M")&lt;18),
    1.10,
    1.00)</f>
        <v/>
      </c>
      <c r="O2508">
        <f>IF('Loan Tape (S&amp;P)'!T2508="Yes",
    1.35,
    1.00)</f>
        <v/>
      </c>
      <c r="P2508">
        <f>IF('Loan Tape (S&amp;P)'!S2508="Yes",
    1.15,
    1.00)</f>
        <v/>
      </c>
      <c r="Q2508">
        <f>IF('Loan Tape (S&amp;P)'!V2508="Yes",
    1.20,
    1.00)</f>
        <v/>
      </c>
      <c r="T2508">
        <f>LET(
    payment_method,'Loan Tape (S&amp;P)'!P2508,
    occupancy,'Loan Tape (S&amp;P)'!N2508,
    maturity_date,'Loan Tape (S&amp;P)'!L2508,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09">
      <c r="J2509">
        <f>LET(
    lien,'Loan Tape (S&amp;P)'!Q2509,
    IF(lien="First",1.00,
        IF(lien="Second",1.50,
            1.70)))</f>
        <v/>
      </c>
      <c r="K2509">
        <f>LET(
    purpose,'Loan Tape (S&amp;P)'!R2509,
    IF(purpose="Purchase",1.00,
        IF(purpose="Remortgage",1.00,
            1.20)))</f>
        <v/>
      </c>
      <c r="L2509">
        <f>LET(
    arrears_months,'Loan Tape (S&amp;P)'!AN2509,
    IF(arrears_months=0,1.00,
    IF(arrears_months=1,3.00,
    IF(arrears_months=2,5.00,
    IF(arrears_months=3,8.00,
    IF(arrears_months=4,10.00,
    IF(arrears_months=5,12.00,15.00)))))))</f>
        <v/>
      </c>
      <c r="M2509">
        <f>LET(
    seasoning_years,DATEDIF('Loan Tape (S&amp;P)'!K2509,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09">
        <f>IF(AND('Loan Tape (S&amp;P)'!U2509="Yes",
        'Loan Tape (S&amp;P)'!T2509&lt;&gt;"Yes",
        DATEDIF('Loan Tape (S&amp;P)'!K2509, TODAY(), "M")&lt;18),
    1.10,
    1.00)</f>
        <v/>
      </c>
      <c r="O2509">
        <f>IF('Loan Tape (S&amp;P)'!T2509="Yes",
    1.35,
    1.00)</f>
        <v/>
      </c>
      <c r="P2509">
        <f>IF('Loan Tape (S&amp;P)'!S2509="Yes",
    1.15,
    1.00)</f>
        <v/>
      </c>
      <c r="Q2509">
        <f>IF('Loan Tape (S&amp;P)'!V2509="Yes",
    1.20,
    1.00)</f>
        <v/>
      </c>
      <c r="T2509">
        <f>LET(
    payment_method,'Loan Tape (S&amp;P)'!P2509,
    occupancy,'Loan Tape (S&amp;P)'!N2509,
    maturity_date,'Loan Tape (S&amp;P)'!L2509,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10">
      <c r="J2510">
        <f>LET(
    lien,'Loan Tape (S&amp;P)'!Q2510,
    IF(lien="First",1.00,
        IF(lien="Second",1.50,
            1.70)))</f>
        <v/>
      </c>
      <c r="K2510">
        <f>LET(
    purpose,'Loan Tape (S&amp;P)'!R2510,
    IF(purpose="Purchase",1.00,
        IF(purpose="Remortgage",1.00,
            1.20)))</f>
        <v/>
      </c>
      <c r="L2510">
        <f>LET(
    arrears_months,'Loan Tape (S&amp;P)'!AN2510,
    IF(arrears_months=0,1.00,
    IF(arrears_months=1,3.00,
    IF(arrears_months=2,5.00,
    IF(arrears_months=3,8.00,
    IF(arrears_months=4,10.00,
    IF(arrears_months=5,12.00,15.00)))))))</f>
        <v/>
      </c>
      <c r="M2510">
        <f>LET(
    seasoning_years,DATEDIF('Loan Tape (S&amp;P)'!K2510,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10">
        <f>IF(AND('Loan Tape (S&amp;P)'!U2510="Yes",
        'Loan Tape (S&amp;P)'!T2510&lt;&gt;"Yes",
        DATEDIF('Loan Tape (S&amp;P)'!K2510, TODAY(), "M")&lt;18),
    1.10,
    1.00)</f>
        <v/>
      </c>
      <c r="O2510">
        <f>IF('Loan Tape (S&amp;P)'!T2510="Yes",
    1.35,
    1.00)</f>
        <v/>
      </c>
      <c r="P2510">
        <f>IF('Loan Tape (S&amp;P)'!S2510="Yes",
    1.15,
    1.00)</f>
        <v/>
      </c>
      <c r="Q2510">
        <f>IF('Loan Tape (S&amp;P)'!V2510="Yes",
    1.20,
    1.00)</f>
        <v/>
      </c>
      <c r="T2510">
        <f>LET(
    payment_method,'Loan Tape (S&amp;P)'!P2510,
    occupancy,'Loan Tape (S&amp;P)'!N2510,
    maturity_date,'Loan Tape (S&amp;P)'!L2510,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11">
      <c r="J2511">
        <f>LET(
    lien,'Loan Tape (S&amp;P)'!Q2511,
    IF(lien="First",1.00,
        IF(lien="Second",1.50,
            1.70)))</f>
        <v/>
      </c>
      <c r="K2511">
        <f>LET(
    purpose,'Loan Tape (S&amp;P)'!R2511,
    IF(purpose="Purchase",1.00,
        IF(purpose="Remortgage",1.00,
            1.20)))</f>
        <v/>
      </c>
      <c r="L2511">
        <f>LET(
    arrears_months,'Loan Tape (S&amp;P)'!AN2511,
    IF(arrears_months=0,1.00,
    IF(arrears_months=1,3.00,
    IF(arrears_months=2,5.00,
    IF(arrears_months=3,8.00,
    IF(arrears_months=4,10.00,
    IF(arrears_months=5,12.00,15.00)))))))</f>
        <v/>
      </c>
      <c r="M2511">
        <f>LET(
    seasoning_years,DATEDIF('Loan Tape (S&amp;P)'!K2511,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11">
        <f>IF(AND('Loan Tape (S&amp;P)'!U2511="Yes",
        'Loan Tape (S&amp;P)'!T2511&lt;&gt;"Yes",
        DATEDIF('Loan Tape (S&amp;P)'!K2511, TODAY(), "M")&lt;18),
    1.10,
    1.00)</f>
        <v/>
      </c>
      <c r="O2511">
        <f>IF('Loan Tape (S&amp;P)'!T2511="Yes",
    1.35,
    1.00)</f>
        <v/>
      </c>
      <c r="P2511">
        <f>IF('Loan Tape (S&amp;P)'!S2511="Yes",
    1.15,
    1.00)</f>
        <v/>
      </c>
      <c r="Q2511">
        <f>IF('Loan Tape (S&amp;P)'!V2511="Yes",
    1.20,
    1.00)</f>
        <v/>
      </c>
      <c r="T2511">
        <f>LET(
    payment_method,'Loan Tape (S&amp;P)'!P2511,
    occupancy,'Loan Tape (S&amp;P)'!N2511,
    maturity_date,'Loan Tape (S&amp;P)'!L2511,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12">
      <c r="J2512">
        <f>LET(
    lien,'Loan Tape (S&amp;P)'!Q2512,
    IF(lien="First",1.00,
        IF(lien="Second",1.50,
            1.70)))</f>
        <v/>
      </c>
      <c r="K2512">
        <f>LET(
    purpose,'Loan Tape (S&amp;P)'!R2512,
    IF(purpose="Purchase",1.00,
        IF(purpose="Remortgage",1.00,
            1.20)))</f>
        <v/>
      </c>
      <c r="L2512">
        <f>LET(
    arrears_months,'Loan Tape (S&amp;P)'!AN2512,
    IF(arrears_months=0,1.00,
    IF(arrears_months=1,3.00,
    IF(arrears_months=2,5.00,
    IF(arrears_months=3,8.00,
    IF(arrears_months=4,10.00,
    IF(arrears_months=5,12.00,15.00)))))))</f>
        <v/>
      </c>
      <c r="M2512">
        <f>LET(
    seasoning_years,DATEDIF('Loan Tape (S&amp;P)'!K2512,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12">
        <f>IF(AND('Loan Tape (S&amp;P)'!U2512="Yes",
        'Loan Tape (S&amp;P)'!T2512&lt;&gt;"Yes",
        DATEDIF('Loan Tape (S&amp;P)'!K2512, TODAY(), "M")&lt;18),
    1.10,
    1.00)</f>
        <v/>
      </c>
      <c r="O2512">
        <f>IF('Loan Tape (S&amp;P)'!T2512="Yes",
    1.35,
    1.00)</f>
        <v/>
      </c>
      <c r="P2512">
        <f>IF('Loan Tape (S&amp;P)'!S2512="Yes",
    1.15,
    1.00)</f>
        <v/>
      </c>
      <c r="Q2512">
        <f>IF('Loan Tape (S&amp;P)'!V2512="Yes",
    1.20,
    1.00)</f>
        <v/>
      </c>
      <c r="T2512">
        <f>LET(
    payment_method,'Loan Tape (S&amp;P)'!P2512,
    occupancy,'Loan Tape (S&amp;P)'!N2512,
    maturity_date,'Loan Tape (S&amp;P)'!L2512,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13">
      <c r="J2513">
        <f>LET(
    lien,'Loan Tape (S&amp;P)'!Q2513,
    IF(lien="First",1.00,
        IF(lien="Second",1.50,
            1.70)))</f>
        <v/>
      </c>
      <c r="K2513">
        <f>LET(
    purpose,'Loan Tape (S&amp;P)'!R2513,
    IF(purpose="Purchase",1.00,
        IF(purpose="Remortgage",1.00,
            1.20)))</f>
        <v/>
      </c>
      <c r="L2513">
        <f>LET(
    arrears_months,'Loan Tape (S&amp;P)'!AN2513,
    IF(arrears_months=0,1.00,
    IF(arrears_months=1,3.00,
    IF(arrears_months=2,5.00,
    IF(arrears_months=3,8.00,
    IF(arrears_months=4,10.00,
    IF(arrears_months=5,12.00,15.00)))))))</f>
        <v/>
      </c>
      <c r="M2513">
        <f>LET(
    seasoning_years,DATEDIF('Loan Tape (S&amp;P)'!K2513,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13">
        <f>IF(AND('Loan Tape (S&amp;P)'!U2513="Yes",
        'Loan Tape (S&amp;P)'!T2513&lt;&gt;"Yes",
        DATEDIF('Loan Tape (S&amp;P)'!K2513, TODAY(), "M")&lt;18),
    1.10,
    1.00)</f>
        <v/>
      </c>
      <c r="O2513">
        <f>IF('Loan Tape (S&amp;P)'!T2513="Yes",
    1.35,
    1.00)</f>
        <v/>
      </c>
      <c r="P2513">
        <f>IF('Loan Tape (S&amp;P)'!S2513="Yes",
    1.15,
    1.00)</f>
        <v/>
      </c>
      <c r="Q2513">
        <f>IF('Loan Tape (S&amp;P)'!V2513="Yes",
    1.20,
    1.00)</f>
        <v/>
      </c>
      <c r="T2513">
        <f>LET(
    payment_method,'Loan Tape (S&amp;P)'!P2513,
    occupancy,'Loan Tape (S&amp;P)'!N2513,
    maturity_date,'Loan Tape (S&amp;P)'!L2513,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14">
      <c r="J2514">
        <f>LET(
    lien,'Loan Tape (S&amp;P)'!Q2514,
    IF(lien="First",1.00,
        IF(lien="Second",1.50,
            1.70)))</f>
        <v/>
      </c>
      <c r="K2514">
        <f>LET(
    purpose,'Loan Tape (S&amp;P)'!R2514,
    IF(purpose="Purchase",1.00,
        IF(purpose="Remortgage",1.00,
            1.20)))</f>
        <v/>
      </c>
      <c r="L2514">
        <f>LET(
    arrears_months,'Loan Tape (S&amp;P)'!AN2514,
    IF(arrears_months=0,1.00,
    IF(arrears_months=1,3.00,
    IF(arrears_months=2,5.00,
    IF(arrears_months=3,8.00,
    IF(arrears_months=4,10.00,
    IF(arrears_months=5,12.00,15.00)))))))</f>
        <v/>
      </c>
      <c r="M2514">
        <f>LET(
    seasoning_years,DATEDIF('Loan Tape (S&amp;P)'!K2514,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14">
        <f>IF(AND('Loan Tape (S&amp;P)'!U2514="Yes",
        'Loan Tape (S&amp;P)'!T2514&lt;&gt;"Yes",
        DATEDIF('Loan Tape (S&amp;P)'!K2514, TODAY(), "M")&lt;18),
    1.10,
    1.00)</f>
        <v/>
      </c>
      <c r="O2514">
        <f>IF('Loan Tape (S&amp;P)'!T2514="Yes",
    1.35,
    1.00)</f>
        <v/>
      </c>
      <c r="P2514">
        <f>IF('Loan Tape (S&amp;P)'!S2514="Yes",
    1.15,
    1.00)</f>
        <v/>
      </c>
      <c r="Q2514">
        <f>IF('Loan Tape (S&amp;P)'!V2514="Yes",
    1.20,
    1.00)</f>
        <v/>
      </c>
      <c r="T2514">
        <f>LET(
    payment_method,'Loan Tape (S&amp;P)'!P2514,
    occupancy,'Loan Tape (S&amp;P)'!N2514,
    maturity_date,'Loan Tape (S&amp;P)'!L2514,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15">
      <c r="J2515">
        <f>LET(
    lien,'Loan Tape (S&amp;P)'!Q2515,
    IF(lien="First",1.00,
        IF(lien="Second",1.50,
            1.70)))</f>
        <v/>
      </c>
      <c r="K2515">
        <f>LET(
    purpose,'Loan Tape (S&amp;P)'!R2515,
    IF(purpose="Purchase",1.00,
        IF(purpose="Remortgage",1.00,
            1.20)))</f>
        <v/>
      </c>
      <c r="L2515">
        <f>LET(
    arrears_months,'Loan Tape (S&amp;P)'!AN2515,
    IF(arrears_months=0,1.00,
    IF(arrears_months=1,3.00,
    IF(arrears_months=2,5.00,
    IF(arrears_months=3,8.00,
    IF(arrears_months=4,10.00,
    IF(arrears_months=5,12.00,15.00)))))))</f>
        <v/>
      </c>
      <c r="M2515">
        <f>LET(
    seasoning_years,DATEDIF('Loan Tape (S&amp;P)'!K2515,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15">
        <f>IF(AND('Loan Tape (S&amp;P)'!U2515="Yes",
        'Loan Tape (S&amp;P)'!T2515&lt;&gt;"Yes",
        DATEDIF('Loan Tape (S&amp;P)'!K2515, TODAY(), "M")&lt;18),
    1.10,
    1.00)</f>
        <v/>
      </c>
      <c r="O2515">
        <f>IF('Loan Tape (S&amp;P)'!T2515="Yes",
    1.35,
    1.00)</f>
        <v/>
      </c>
      <c r="P2515">
        <f>IF('Loan Tape (S&amp;P)'!S2515="Yes",
    1.15,
    1.00)</f>
        <v/>
      </c>
      <c r="Q2515">
        <f>IF('Loan Tape (S&amp;P)'!V2515="Yes",
    1.20,
    1.00)</f>
        <v/>
      </c>
      <c r="T2515">
        <f>LET(
    payment_method,'Loan Tape (S&amp;P)'!P2515,
    occupancy,'Loan Tape (S&amp;P)'!N2515,
    maturity_date,'Loan Tape (S&amp;P)'!L2515,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16">
      <c r="J2516">
        <f>LET(
    lien,'Loan Tape (S&amp;P)'!Q2516,
    IF(lien="First",1.00,
        IF(lien="Second",1.50,
            1.70)))</f>
        <v/>
      </c>
      <c r="K2516">
        <f>LET(
    purpose,'Loan Tape (S&amp;P)'!R2516,
    IF(purpose="Purchase",1.00,
        IF(purpose="Remortgage",1.00,
            1.20)))</f>
        <v/>
      </c>
      <c r="L2516">
        <f>LET(
    arrears_months,'Loan Tape (S&amp;P)'!AN2516,
    IF(arrears_months=0,1.00,
    IF(arrears_months=1,3.00,
    IF(arrears_months=2,5.00,
    IF(arrears_months=3,8.00,
    IF(arrears_months=4,10.00,
    IF(arrears_months=5,12.00,15.00)))))))</f>
        <v/>
      </c>
      <c r="M2516">
        <f>LET(
    seasoning_years,DATEDIF('Loan Tape (S&amp;P)'!K2516,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16">
        <f>IF(AND('Loan Tape (S&amp;P)'!U2516="Yes",
        'Loan Tape (S&amp;P)'!T2516&lt;&gt;"Yes",
        DATEDIF('Loan Tape (S&amp;P)'!K2516, TODAY(), "M")&lt;18),
    1.10,
    1.00)</f>
        <v/>
      </c>
      <c r="O2516">
        <f>IF('Loan Tape (S&amp;P)'!T2516="Yes",
    1.35,
    1.00)</f>
        <v/>
      </c>
      <c r="P2516">
        <f>IF('Loan Tape (S&amp;P)'!S2516="Yes",
    1.15,
    1.00)</f>
        <v/>
      </c>
      <c r="Q2516">
        <f>IF('Loan Tape (S&amp;P)'!V2516="Yes",
    1.20,
    1.00)</f>
        <v/>
      </c>
      <c r="T2516">
        <f>LET(
    payment_method,'Loan Tape (S&amp;P)'!P2516,
    occupancy,'Loan Tape (S&amp;P)'!N2516,
    maturity_date,'Loan Tape (S&amp;P)'!L2516,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17">
      <c r="J2517">
        <f>LET(
    lien,'Loan Tape (S&amp;P)'!Q2517,
    IF(lien="First",1.00,
        IF(lien="Second",1.50,
            1.70)))</f>
        <v/>
      </c>
      <c r="K2517">
        <f>LET(
    purpose,'Loan Tape (S&amp;P)'!R2517,
    IF(purpose="Purchase",1.00,
        IF(purpose="Remortgage",1.00,
            1.20)))</f>
        <v/>
      </c>
      <c r="L2517">
        <f>LET(
    arrears_months,'Loan Tape (S&amp;P)'!AN2517,
    IF(arrears_months=0,1.00,
    IF(arrears_months=1,3.00,
    IF(arrears_months=2,5.00,
    IF(arrears_months=3,8.00,
    IF(arrears_months=4,10.00,
    IF(arrears_months=5,12.00,15.00)))))))</f>
        <v/>
      </c>
      <c r="M2517">
        <f>LET(
    seasoning_years,DATEDIF('Loan Tape (S&amp;P)'!K2517,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17">
        <f>IF(AND('Loan Tape (S&amp;P)'!U2517="Yes",
        'Loan Tape (S&amp;P)'!T2517&lt;&gt;"Yes",
        DATEDIF('Loan Tape (S&amp;P)'!K2517, TODAY(), "M")&lt;18),
    1.10,
    1.00)</f>
        <v/>
      </c>
      <c r="O2517">
        <f>IF('Loan Tape (S&amp;P)'!T2517="Yes",
    1.35,
    1.00)</f>
        <v/>
      </c>
      <c r="P2517">
        <f>IF('Loan Tape (S&amp;P)'!S2517="Yes",
    1.15,
    1.00)</f>
        <v/>
      </c>
      <c r="Q2517">
        <f>IF('Loan Tape (S&amp;P)'!V2517="Yes",
    1.20,
    1.00)</f>
        <v/>
      </c>
      <c r="T2517">
        <f>LET(
    payment_method,'Loan Tape (S&amp;P)'!P2517,
    occupancy,'Loan Tape (S&amp;P)'!N2517,
    maturity_date,'Loan Tape (S&amp;P)'!L2517,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18">
      <c r="J2518">
        <f>LET(
    lien,'Loan Tape (S&amp;P)'!Q2518,
    IF(lien="First",1.00,
        IF(lien="Second",1.50,
            1.70)))</f>
        <v/>
      </c>
      <c r="K2518">
        <f>LET(
    purpose,'Loan Tape (S&amp;P)'!R2518,
    IF(purpose="Purchase",1.00,
        IF(purpose="Remortgage",1.00,
            1.20)))</f>
        <v/>
      </c>
      <c r="L2518">
        <f>LET(
    arrears_months,'Loan Tape (S&amp;P)'!AN2518,
    IF(arrears_months=0,1.00,
    IF(arrears_months=1,3.00,
    IF(arrears_months=2,5.00,
    IF(arrears_months=3,8.00,
    IF(arrears_months=4,10.00,
    IF(arrears_months=5,12.00,15.00)))))))</f>
        <v/>
      </c>
      <c r="M2518">
        <f>LET(
    seasoning_years,DATEDIF('Loan Tape (S&amp;P)'!K2518,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18">
        <f>IF(AND('Loan Tape (S&amp;P)'!U2518="Yes",
        'Loan Tape (S&amp;P)'!T2518&lt;&gt;"Yes",
        DATEDIF('Loan Tape (S&amp;P)'!K2518, TODAY(), "M")&lt;18),
    1.10,
    1.00)</f>
        <v/>
      </c>
      <c r="O2518">
        <f>IF('Loan Tape (S&amp;P)'!T2518="Yes",
    1.35,
    1.00)</f>
        <v/>
      </c>
      <c r="P2518">
        <f>IF('Loan Tape (S&amp;P)'!S2518="Yes",
    1.15,
    1.00)</f>
        <v/>
      </c>
      <c r="Q2518">
        <f>IF('Loan Tape (S&amp;P)'!V2518="Yes",
    1.20,
    1.00)</f>
        <v/>
      </c>
      <c r="T2518">
        <f>LET(
    payment_method,'Loan Tape (S&amp;P)'!P2518,
    occupancy,'Loan Tape (S&amp;P)'!N2518,
    maturity_date,'Loan Tape (S&amp;P)'!L2518,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19">
      <c r="J2519">
        <f>LET(
    lien,'Loan Tape (S&amp;P)'!Q2519,
    IF(lien="First",1.00,
        IF(lien="Second",1.50,
            1.70)))</f>
        <v/>
      </c>
      <c r="K2519">
        <f>LET(
    purpose,'Loan Tape (S&amp;P)'!R2519,
    IF(purpose="Purchase",1.00,
        IF(purpose="Remortgage",1.00,
            1.20)))</f>
        <v/>
      </c>
      <c r="L2519">
        <f>LET(
    arrears_months,'Loan Tape (S&amp;P)'!AN2519,
    IF(arrears_months=0,1.00,
    IF(arrears_months=1,3.00,
    IF(arrears_months=2,5.00,
    IF(arrears_months=3,8.00,
    IF(arrears_months=4,10.00,
    IF(arrears_months=5,12.00,15.00)))))))</f>
        <v/>
      </c>
      <c r="M2519">
        <f>LET(
    seasoning_years,DATEDIF('Loan Tape (S&amp;P)'!K2519,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19">
        <f>IF(AND('Loan Tape (S&amp;P)'!U2519="Yes",
        'Loan Tape (S&amp;P)'!T2519&lt;&gt;"Yes",
        DATEDIF('Loan Tape (S&amp;P)'!K2519, TODAY(), "M")&lt;18),
    1.10,
    1.00)</f>
        <v/>
      </c>
      <c r="O2519">
        <f>IF('Loan Tape (S&amp;P)'!T2519="Yes",
    1.35,
    1.00)</f>
        <v/>
      </c>
      <c r="P2519">
        <f>IF('Loan Tape (S&amp;P)'!S2519="Yes",
    1.15,
    1.00)</f>
        <v/>
      </c>
      <c r="Q2519">
        <f>IF('Loan Tape (S&amp;P)'!V2519="Yes",
    1.20,
    1.00)</f>
        <v/>
      </c>
      <c r="T2519">
        <f>LET(
    payment_method,'Loan Tape (S&amp;P)'!P2519,
    occupancy,'Loan Tape (S&amp;P)'!N2519,
    maturity_date,'Loan Tape (S&amp;P)'!L2519,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20">
      <c r="J2520">
        <f>LET(
    lien,'Loan Tape (S&amp;P)'!Q2520,
    IF(lien="First",1.00,
        IF(lien="Second",1.50,
            1.70)))</f>
        <v/>
      </c>
      <c r="K2520">
        <f>LET(
    purpose,'Loan Tape (S&amp;P)'!R2520,
    IF(purpose="Purchase",1.00,
        IF(purpose="Remortgage",1.00,
            1.20)))</f>
        <v/>
      </c>
      <c r="L2520">
        <f>LET(
    arrears_months,'Loan Tape (S&amp;P)'!AN2520,
    IF(arrears_months=0,1.00,
    IF(arrears_months=1,3.00,
    IF(arrears_months=2,5.00,
    IF(arrears_months=3,8.00,
    IF(arrears_months=4,10.00,
    IF(arrears_months=5,12.00,15.00)))))))</f>
        <v/>
      </c>
      <c r="M2520">
        <f>LET(
    seasoning_years,DATEDIF('Loan Tape (S&amp;P)'!K2520,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20">
        <f>IF(AND('Loan Tape (S&amp;P)'!U2520="Yes",
        'Loan Tape (S&amp;P)'!T2520&lt;&gt;"Yes",
        DATEDIF('Loan Tape (S&amp;P)'!K2520, TODAY(), "M")&lt;18),
    1.10,
    1.00)</f>
        <v/>
      </c>
      <c r="O2520">
        <f>IF('Loan Tape (S&amp;P)'!T2520="Yes",
    1.35,
    1.00)</f>
        <v/>
      </c>
      <c r="P2520">
        <f>IF('Loan Tape (S&amp;P)'!S2520="Yes",
    1.15,
    1.00)</f>
        <v/>
      </c>
      <c r="Q2520">
        <f>IF('Loan Tape (S&amp;P)'!V2520="Yes",
    1.20,
    1.00)</f>
        <v/>
      </c>
      <c r="T2520">
        <f>LET(
    payment_method,'Loan Tape (S&amp;P)'!P2520,
    occupancy,'Loan Tape (S&amp;P)'!N2520,
    maturity_date,'Loan Tape (S&amp;P)'!L2520,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21">
      <c r="J2521">
        <f>LET(
    lien,'Loan Tape (S&amp;P)'!Q2521,
    IF(lien="First",1.00,
        IF(lien="Second",1.50,
            1.70)))</f>
        <v/>
      </c>
      <c r="K2521">
        <f>LET(
    purpose,'Loan Tape (S&amp;P)'!R2521,
    IF(purpose="Purchase",1.00,
        IF(purpose="Remortgage",1.00,
            1.20)))</f>
        <v/>
      </c>
      <c r="L2521">
        <f>LET(
    arrears_months,'Loan Tape (S&amp;P)'!AN2521,
    IF(arrears_months=0,1.00,
    IF(arrears_months=1,3.00,
    IF(arrears_months=2,5.00,
    IF(arrears_months=3,8.00,
    IF(arrears_months=4,10.00,
    IF(arrears_months=5,12.00,15.00)))))))</f>
        <v/>
      </c>
      <c r="M2521">
        <f>LET(
    seasoning_years,DATEDIF('Loan Tape (S&amp;P)'!K2521,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21">
        <f>IF(AND('Loan Tape (S&amp;P)'!U2521="Yes",
        'Loan Tape (S&amp;P)'!T2521&lt;&gt;"Yes",
        DATEDIF('Loan Tape (S&amp;P)'!K2521, TODAY(), "M")&lt;18),
    1.10,
    1.00)</f>
        <v/>
      </c>
      <c r="O2521">
        <f>IF('Loan Tape (S&amp;P)'!T2521="Yes",
    1.35,
    1.00)</f>
        <v/>
      </c>
      <c r="P2521">
        <f>IF('Loan Tape (S&amp;P)'!S2521="Yes",
    1.15,
    1.00)</f>
        <v/>
      </c>
      <c r="Q2521">
        <f>IF('Loan Tape (S&amp;P)'!V2521="Yes",
    1.20,
    1.00)</f>
        <v/>
      </c>
      <c r="T2521">
        <f>LET(
    payment_method,'Loan Tape (S&amp;P)'!P2521,
    occupancy,'Loan Tape (S&amp;P)'!N2521,
    maturity_date,'Loan Tape (S&amp;P)'!L2521,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22">
      <c r="J2522">
        <f>LET(
    lien,'Loan Tape (S&amp;P)'!Q2522,
    IF(lien="First",1.00,
        IF(lien="Second",1.50,
            1.70)))</f>
        <v/>
      </c>
      <c r="K2522">
        <f>LET(
    purpose,'Loan Tape (S&amp;P)'!R2522,
    IF(purpose="Purchase",1.00,
        IF(purpose="Remortgage",1.00,
            1.20)))</f>
        <v/>
      </c>
      <c r="L2522">
        <f>LET(
    arrears_months,'Loan Tape (S&amp;P)'!AN2522,
    IF(arrears_months=0,1.00,
    IF(arrears_months=1,3.00,
    IF(arrears_months=2,5.00,
    IF(arrears_months=3,8.00,
    IF(arrears_months=4,10.00,
    IF(arrears_months=5,12.00,15.00)))))))</f>
        <v/>
      </c>
      <c r="M2522">
        <f>LET(
    seasoning_years,DATEDIF('Loan Tape (S&amp;P)'!K2522,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22">
        <f>IF(AND('Loan Tape (S&amp;P)'!U2522="Yes",
        'Loan Tape (S&amp;P)'!T2522&lt;&gt;"Yes",
        DATEDIF('Loan Tape (S&amp;P)'!K2522, TODAY(), "M")&lt;18),
    1.10,
    1.00)</f>
        <v/>
      </c>
      <c r="O2522">
        <f>IF('Loan Tape (S&amp;P)'!T2522="Yes",
    1.35,
    1.00)</f>
        <v/>
      </c>
      <c r="P2522">
        <f>IF('Loan Tape (S&amp;P)'!S2522="Yes",
    1.15,
    1.00)</f>
        <v/>
      </c>
      <c r="Q2522">
        <f>IF('Loan Tape (S&amp;P)'!V2522="Yes",
    1.20,
    1.00)</f>
        <v/>
      </c>
      <c r="T2522">
        <f>LET(
    payment_method,'Loan Tape (S&amp;P)'!P2522,
    occupancy,'Loan Tape (S&amp;P)'!N2522,
    maturity_date,'Loan Tape (S&amp;P)'!L2522,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23">
      <c r="J2523">
        <f>LET(
    lien,'Loan Tape (S&amp;P)'!Q2523,
    IF(lien="First",1.00,
        IF(lien="Second",1.50,
            1.70)))</f>
        <v/>
      </c>
      <c r="K2523">
        <f>LET(
    purpose,'Loan Tape (S&amp;P)'!R2523,
    IF(purpose="Purchase",1.00,
        IF(purpose="Remortgage",1.00,
            1.20)))</f>
        <v/>
      </c>
      <c r="L2523">
        <f>LET(
    arrears_months,'Loan Tape (S&amp;P)'!AN2523,
    IF(arrears_months=0,1.00,
    IF(arrears_months=1,3.00,
    IF(arrears_months=2,5.00,
    IF(arrears_months=3,8.00,
    IF(arrears_months=4,10.00,
    IF(arrears_months=5,12.00,15.00)))))))</f>
        <v/>
      </c>
      <c r="M2523">
        <f>LET(
    seasoning_years,DATEDIF('Loan Tape (S&amp;P)'!K2523,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23">
        <f>IF(AND('Loan Tape (S&amp;P)'!U2523="Yes",
        'Loan Tape (S&amp;P)'!T2523&lt;&gt;"Yes",
        DATEDIF('Loan Tape (S&amp;P)'!K2523, TODAY(), "M")&lt;18),
    1.10,
    1.00)</f>
        <v/>
      </c>
      <c r="O2523">
        <f>IF('Loan Tape (S&amp;P)'!T2523="Yes",
    1.35,
    1.00)</f>
        <v/>
      </c>
      <c r="P2523">
        <f>IF('Loan Tape (S&amp;P)'!S2523="Yes",
    1.15,
    1.00)</f>
        <v/>
      </c>
      <c r="Q2523">
        <f>IF('Loan Tape (S&amp;P)'!V2523="Yes",
    1.20,
    1.00)</f>
        <v/>
      </c>
      <c r="T2523">
        <f>LET(
    payment_method,'Loan Tape (S&amp;P)'!P2523,
    occupancy,'Loan Tape (S&amp;P)'!N2523,
    maturity_date,'Loan Tape (S&amp;P)'!L2523,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24">
      <c r="J2524">
        <f>LET(
    lien,'Loan Tape (S&amp;P)'!Q2524,
    IF(lien="First",1.00,
        IF(lien="Second",1.50,
            1.70)))</f>
        <v/>
      </c>
      <c r="K2524">
        <f>LET(
    purpose,'Loan Tape (S&amp;P)'!R2524,
    IF(purpose="Purchase",1.00,
        IF(purpose="Remortgage",1.00,
            1.20)))</f>
        <v/>
      </c>
      <c r="L2524">
        <f>LET(
    arrears_months,'Loan Tape (S&amp;P)'!AN2524,
    IF(arrears_months=0,1.00,
    IF(arrears_months=1,3.00,
    IF(arrears_months=2,5.00,
    IF(arrears_months=3,8.00,
    IF(arrears_months=4,10.00,
    IF(arrears_months=5,12.00,15.00)))))))</f>
        <v/>
      </c>
      <c r="M2524">
        <f>LET(
    seasoning_years,DATEDIF('Loan Tape (S&amp;P)'!K2524,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24">
        <f>IF(AND('Loan Tape (S&amp;P)'!U2524="Yes",
        'Loan Tape (S&amp;P)'!T2524&lt;&gt;"Yes",
        DATEDIF('Loan Tape (S&amp;P)'!K2524, TODAY(), "M")&lt;18),
    1.10,
    1.00)</f>
        <v/>
      </c>
      <c r="O2524">
        <f>IF('Loan Tape (S&amp;P)'!T2524="Yes",
    1.35,
    1.00)</f>
        <v/>
      </c>
      <c r="P2524">
        <f>IF('Loan Tape (S&amp;P)'!S2524="Yes",
    1.15,
    1.00)</f>
        <v/>
      </c>
      <c r="Q2524">
        <f>IF('Loan Tape (S&amp;P)'!V2524="Yes",
    1.20,
    1.00)</f>
        <v/>
      </c>
      <c r="T2524">
        <f>LET(
    payment_method,'Loan Tape (S&amp;P)'!P2524,
    occupancy,'Loan Tape (S&amp;P)'!N2524,
    maturity_date,'Loan Tape (S&amp;P)'!L2524,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25">
      <c r="J2525">
        <f>LET(
    lien,'Loan Tape (S&amp;P)'!Q2525,
    IF(lien="First",1.00,
        IF(lien="Second",1.50,
            1.70)))</f>
        <v/>
      </c>
      <c r="K2525">
        <f>LET(
    purpose,'Loan Tape (S&amp;P)'!R2525,
    IF(purpose="Purchase",1.00,
        IF(purpose="Remortgage",1.00,
            1.20)))</f>
        <v/>
      </c>
      <c r="L2525">
        <f>LET(
    arrears_months,'Loan Tape (S&amp;P)'!AN2525,
    IF(arrears_months=0,1.00,
    IF(arrears_months=1,3.00,
    IF(arrears_months=2,5.00,
    IF(arrears_months=3,8.00,
    IF(arrears_months=4,10.00,
    IF(arrears_months=5,12.00,15.00)))))))</f>
        <v/>
      </c>
      <c r="M2525">
        <f>LET(
    seasoning_years,DATEDIF('Loan Tape (S&amp;P)'!K2525,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25">
        <f>IF(AND('Loan Tape (S&amp;P)'!U2525="Yes",
        'Loan Tape (S&amp;P)'!T2525&lt;&gt;"Yes",
        DATEDIF('Loan Tape (S&amp;P)'!K2525, TODAY(), "M")&lt;18),
    1.10,
    1.00)</f>
        <v/>
      </c>
      <c r="O2525">
        <f>IF('Loan Tape (S&amp;P)'!T2525="Yes",
    1.35,
    1.00)</f>
        <v/>
      </c>
      <c r="P2525">
        <f>IF('Loan Tape (S&amp;P)'!S2525="Yes",
    1.15,
    1.00)</f>
        <v/>
      </c>
      <c r="Q2525">
        <f>IF('Loan Tape (S&amp;P)'!V2525="Yes",
    1.20,
    1.00)</f>
        <v/>
      </c>
      <c r="T2525">
        <f>LET(
    payment_method,'Loan Tape (S&amp;P)'!P2525,
    occupancy,'Loan Tape (S&amp;P)'!N2525,
    maturity_date,'Loan Tape (S&amp;P)'!L2525,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26">
      <c r="J2526">
        <f>LET(
    lien,'Loan Tape (S&amp;P)'!Q2526,
    IF(lien="First",1.00,
        IF(lien="Second",1.50,
            1.70)))</f>
        <v/>
      </c>
      <c r="K2526">
        <f>LET(
    purpose,'Loan Tape (S&amp;P)'!R2526,
    IF(purpose="Purchase",1.00,
        IF(purpose="Remortgage",1.00,
            1.20)))</f>
        <v/>
      </c>
      <c r="L2526">
        <f>LET(
    arrears_months,'Loan Tape (S&amp;P)'!AN2526,
    IF(arrears_months=0,1.00,
    IF(arrears_months=1,3.00,
    IF(arrears_months=2,5.00,
    IF(arrears_months=3,8.00,
    IF(arrears_months=4,10.00,
    IF(arrears_months=5,12.00,15.00)))))))</f>
        <v/>
      </c>
      <c r="M2526">
        <f>LET(
    seasoning_years,DATEDIF('Loan Tape (S&amp;P)'!K2526,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26">
        <f>IF(AND('Loan Tape (S&amp;P)'!U2526="Yes",
        'Loan Tape (S&amp;P)'!T2526&lt;&gt;"Yes",
        DATEDIF('Loan Tape (S&amp;P)'!K2526, TODAY(), "M")&lt;18),
    1.10,
    1.00)</f>
        <v/>
      </c>
      <c r="O2526">
        <f>IF('Loan Tape (S&amp;P)'!T2526="Yes",
    1.35,
    1.00)</f>
        <v/>
      </c>
      <c r="P2526">
        <f>IF('Loan Tape (S&amp;P)'!S2526="Yes",
    1.15,
    1.00)</f>
        <v/>
      </c>
      <c r="Q2526">
        <f>IF('Loan Tape (S&amp;P)'!V2526="Yes",
    1.20,
    1.00)</f>
        <v/>
      </c>
      <c r="T2526">
        <f>LET(
    payment_method,'Loan Tape (S&amp;P)'!P2526,
    occupancy,'Loan Tape (S&amp;P)'!N2526,
    maturity_date,'Loan Tape (S&amp;P)'!L2526,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27">
      <c r="J2527">
        <f>LET(
    lien,'Loan Tape (S&amp;P)'!Q2527,
    IF(lien="First",1.00,
        IF(lien="Second",1.50,
            1.70)))</f>
        <v/>
      </c>
      <c r="K2527">
        <f>LET(
    purpose,'Loan Tape (S&amp;P)'!R2527,
    IF(purpose="Purchase",1.00,
        IF(purpose="Remortgage",1.00,
            1.20)))</f>
        <v/>
      </c>
      <c r="L2527">
        <f>LET(
    arrears_months,'Loan Tape (S&amp;P)'!AN2527,
    IF(arrears_months=0,1.00,
    IF(arrears_months=1,3.00,
    IF(arrears_months=2,5.00,
    IF(arrears_months=3,8.00,
    IF(arrears_months=4,10.00,
    IF(arrears_months=5,12.00,15.00)))))))</f>
        <v/>
      </c>
      <c r="M2527">
        <f>LET(
    seasoning_years,DATEDIF('Loan Tape (S&amp;P)'!K2527,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27">
        <f>IF(AND('Loan Tape (S&amp;P)'!U2527="Yes",
        'Loan Tape (S&amp;P)'!T2527&lt;&gt;"Yes",
        DATEDIF('Loan Tape (S&amp;P)'!K2527, TODAY(), "M")&lt;18),
    1.10,
    1.00)</f>
        <v/>
      </c>
      <c r="O2527">
        <f>IF('Loan Tape (S&amp;P)'!T2527="Yes",
    1.35,
    1.00)</f>
        <v/>
      </c>
      <c r="P2527">
        <f>IF('Loan Tape (S&amp;P)'!S2527="Yes",
    1.15,
    1.00)</f>
        <v/>
      </c>
      <c r="Q2527">
        <f>IF('Loan Tape (S&amp;P)'!V2527="Yes",
    1.20,
    1.00)</f>
        <v/>
      </c>
      <c r="T2527">
        <f>LET(
    payment_method,'Loan Tape (S&amp;P)'!P2527,
    occupancy,'Loan Tape (S&amp;P)'!N2527,
    maturity_date,'Loan Tape (S&amp;P)'!L2527,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28">
      <c r="J2528">
        <f>LET(
    lien,'Loan Tape (S&amp;P)'!Q2528,
    IF(lien="First",1.00,
        IF(lien="Second",1.50,
            1.70)))</f>
        <v/>
      </c>
      <c r="K2528">
        <f>LET(
    purpose,'Loan Tape (S&amp;P)'!R2528,
    IF(purpose="Purchase",1.00,
        IF(purpose="Remortgage",1.00,
            1.20)))</f>
        <v/>
      </c>
      <c r="L2528">
        <f>LET(
    arrears_months,'Loan Tape (S&amp;P)'!AN2528,
    IF(arrears_months=0,1.00,
    IF(arrears_months=1,3.00,
    IF(arrears_months=2,5.00,
    IF(arrears_months=3,8.00,
    IF(arrears_months=4,10.00,
    IF(arrears_months=5,12.00,15.00)))))))</f>
        <v/>
      </c>
      <c r="M2528">
        <f>LET(
    seasoning_years,DATEDIF('Loan Tape (S&amp;P)'!K2528,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28">
        <f>IF(AND('Loan Tape (S&amp;P)'!U2528="Yes",
        'Loan Tape (S&amp;P)'!T2528&lt;&gt;"Yes",
        DATEDIF('Loan Tape (S&amp;P)'!K2528, TODAY(), "M")&lt;18),
    1.10,
    1.00)</f>
        <v/>
      </c>
      <c r="O2528">
        <f>IF('Loan Tape (S&amp;P)'!T2528="Yes",
    1.35,
    1.00)</f>
        <v/>
      </c>
      <c r="P2528">
        <f>IF('Loan Tape (S&amp;P)'!S2528="Yes",
    1.15,
    1.00)</f>
        <v/>
      </c>
      <c r="Q2528">
        <f>IF('Loan Tape (S&amp;P)'!V2528="Yes",
    1.20,
    1.00)</f>
        <v/>
      </c>
      <c r="T2528">
        <f>LET(
    payment_method,'Loan Tape (S&amp;P)'!P2528,
    occupancy,'Loan Tape (S&amp;P)'!N2528,
    maturity_date,'Loan Tape (S&amp;P)'!L2528,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29">
      <c r="J2529">
        <f>LET(
    lien,'Loan Tape (S&amp;P)'!Q2529,
    IF(lien="First",1.00,
        IF(lien="Second",1.50,
            1.70)))</f>
        <v/>
      </c>
      <c r="K2529">
        <f>LET(
    purpose,'Loan Tape (S&amp;P)'!R2529,
    IF(purpose="Purchase",1.00,
        IF(purpose="Remortgage",1.00,
            1.20)))</f>
        <v/>
      </c>
      <c r="L2529">
        <f>LET(
    arrears_months,'Loan Tape (S&amp;P)'!AN2529,
    IF(arrears_months=0,1.00,
    IF(arrears_months=1,3.00,
    IF(arrears_months=2,5.00,
    IF(arrears_months=3,8.00,
    IF(arrears_months=4,10.00,
    IF(arrears_months=5,12.00,15.00)))))))</f>
        <v/>
      </c>
      <c r="M2529">
        <f>LET(
    seasoning_years,DATEDIF('Loan Tape (S&amp;P)'!K2529,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29">
        <f>IF(AND('Loan Tape (S&amp;P)'!U2529="Yes",
        'Loan Tape (S&amp;P)'!T2529&lt;&gt;"Yes",
        DATEDIF('Loan Tape (S&amp;P)'!K2529, TODAY(), "M")&lt;18),
    1.10,
    1.00)</f>
        <v/>
      </c>
      <c r="O2529">
        <f>IF('Loan Tape (S&amp;P)'!T2529="Yes",
    1.35,
    1.00)</f>
        <v/>
      </c>
      <c r="P2529">
        <f>IF('Loan Tape (S&amp;P)'!S2529="Yes",
    1.15,
    1.00)</f>
        <v/>
      </c>
      <c r="Q2529">
        <f>IF('Loan Tape (S&amp;P)'!V2529="Yes",
    1.20,
    1.00)</f>
        <v/>
      </c>
      <c r="T2529">
        <f>LET(
    payment_method,'Loan Tape (S&amp;P)'!P2529,
    occupancy,'Loan Tape (S&amp;P)'!N2529,
    maturity_date,'Loan Tape (S&amp;P)'!L2529,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30">
      <c r="J2530">
        <f>LET(
    lien,'Loan Tape (S&amp;P)'!Q2530,
    IF(lien="First",1.00,
        IF(lien="Second",1.50,
            1.70)))</f>
        <v/>
      </c>
      <c r="K2530">
        <f>LET(
    purpose,'Loan Tape (S&amp;P)'!R2530,
    IF(purpose="Purchase",1.00,
        IF(purpose="Remortgage",1.00,
            1.20)))</f>
        <v/>
      </c>
      <c r="L2530">
        <f>LET(
    arrears_months,'Loan Tape (S&amp;P)'!AN2530,
    IF(arrears_months=0,1.00,
    IF(arrears_months=1,3.00,
    IF(arrears_months=2,5.00,
    IF(arrears_months=3,8.00,
    IF(arrears_months=4,10.00,
    IF(arrears_months=5,12.00,15.00)))))))</f>
        <v/>
      </c>
      <c r="M2530">
        <f>LET(
    seasoning_years,DATEDIF('Loan Tape (S&amp;P)'!K2530,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30">
        <f>IF(AND('Loan Tape (S&amp;P)'!U2530="Yes",
        'Loan Tape (S&amp;P)'!T2530&lt;&gt;"Yes",
        DATEDIF('Loan Tape (S&amp;P)'!K2530, TODAY(), "M")&lt;18),
    1.10,
    1.00)</f>
        <v/>
      </c>
      <c r="O2530">
        <f>IF('Loan Tape (S&amp;P)'!T2530="Yes",
    1.35,
    1.00)</f>
        <v/>
      </c>
      <c r="P2530">
        <f>IF('Loan Tape (S&amp;P)'!S2530="Yes",
    1.15,
    1.00)</f>
        <v/>
      </c>
      <c r="Q2530">
        <f>IF('Loan Tape (S&amp;P)'!V2530="Yes",
    1.20,
    1.00)</f>
        <v/>
      </c>
      <c r="T2530">
        <f>LET(
    payment_method,'Loan Tape (S&amp;P)'!P2530,
    occupancy,'Loan Tape (S&amp;P)'!N2530,
    maturity_date,'Loan Tape (S&amp;P)'!L2530,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31">
      <c r="J2531">
        <f>LET(
    lien,'Loan Tape (S&amp;P)'!Q2531,
    IF(lien="First",1.00,
        IF(lien="Second",1.50,
            1.70)))</f>
        <v/>
      </c>
      <c r="K2531">
        <f>LET(
    purpose,'Loan Tape (S&amp;P)'!R2531,
    IF(purpose="Purchase",1.00,
        IF(purpose="Remortgage",1.00,
            1.20)))</f>
        <v/>
      </c>
      <c r="L2531">
        <f>LET(
    arrears_months,'Loan Tape (S&amp;P)'!AN2531,
    IF(arrears_months=0,1.00,
    IF(arrears_months=1,3.00,
    IF(arrears_months=2,5.00,
    IF(arrears_months=3,8.00,
    IF(arrears_months=4,10.00,
    IF(arrears_months=5,12.00,15.00)))))))</f>
        <v/>
      </c>
      <c r="M2531">
        <f>LET(
    seasoning_years,DATEDIF('Loan Tape (S&amp;P)'!K2531,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31">
        <f>IF(AND('Loan Tape (S&amp;P)'!U2531="Yes",
        'Loan Tape (S&amp;P)'!T2531&lt;&gt;"Yes",
        DATEDIF('Loan Tape (S&amp;P)'!K2531, TODAY(), "M")&lt;18),
    1.10,
    1.00)</f>
        <v/>
      </c>
      <c r="O2531">
        <f>IF('Loan Tape (S&amp;P)'!T2531="Yes",
    1.35,
    1.00)</f>
        <v/>
      </c>
      <c r="P2531">
        <f>IF('Loan Tape (S&amp;P)'!S2531="Yes",
    1.15,
    1.00)</f>
        <v/>
      </c>
      <c r="Q2531">
        <f>IF('Loan Tape (S&amp;P)'!V2531="Yes",
    1.20,
    1.00)</f>
        <v/>
      </c>
      <c r="T2531">
        <f>LET(
    payment_method,'Loan Tape (S&amp;P)'!P2531,
    occupancy,'Loan Tape (S&amp;P)'!N2531,
    maturity_date,'Loan Tape (S&amp;P)'!L2531,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32">
      <c r="J2532">
        <f>LET(
    lien,'Loan Tape (S&amp;P)'!Q2532,
    IF(lien="First",1.00,
        IF(lien="Second",1.50,
            1.70)))</f>
        <v/>
      </c>
      <c r="K2532">
        <f>LET(
    purpose,'Loan Tape (S&amp;P)'!R2532,
    IF(purpose="Purchase",1.00,
        IF(purpose="Remortgage",1.00,
            1.20)))</f>
        <v/>
      </c>
      <c r="L2532">
        <f>LET(
    arrears_months,'Loan Tape (S&amp;P)'!AN2532,
    IF(arrears_months=0,1.00,
    IF(arrears_months=1,3.00,
    IF(arrears_months=2,5.00,
    IF(arrears_months=3,8.00,
    IF(arrears_months=4,10.00,
    IF(arrears_months=5,12.00,15.00)))))))</f>
        <v/>
      </c>
      <c r="M2532">
        <f>LET(
    seasoning_years,DATEDIF('Loan Tape (S&amp;P)'!K2532,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32">
        <f>IF(AND('Loan Tape (S&amp;P)'!U2532="Yes",
        'Loan Tape (S&amp;P)'!T2532&lt;&gt;"Yes",
        DATEDIF('Loan Tape (S&amp;P)'!K2532, TODAY(), "M")&lt;18),
    1.10,
    1.00)</f>
        <v/>
      </c>
      <c r="O2532">
        <f>IF('Loan Tape (S&amp;P)'!T2532="Yes",
    1.35,
    1.00)</f>
        <v/>
      </c>
      <c r="P2532">
        <f>IF('Loan Tape (S&amp;P)'!S2532="Yes",
    1.15,
    1.00)</f>
        <v/>
      </c>
      <c r="Q2532">
        <f>IF('Loan Tape (S&amp;P)'!V2532="Yes",
    1.20,
    1.00)</f>
        <v/>
      </c>
      <c r="T2532">
        <f>LET(
    payment_method,'Loan Tape (S&amp;P)'!P2532,
    occupancy,'Loan Tape (S&amp;P)'!N2532,
    maturity_date,'Loan Tape (S&amp;P)'!L2532,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33">
      <c r="J2533">
        <f>LET(
    lien,'Loan Tape (S&amp;P)'!Q2533,
    IF(lien="First",1.00,
        IF(lien="Second",1.50,
            1.70)))</f>
        <v/>
      </c>
      <c r="K2533">
        <f>LET(
    purpose,'Loan Tape (S&amp;P)'!R2533,
    IF(purpose="Purchase",1.00,
        IF(purpose="Remortgage",1.00,
            1.20)))</f>
        <v/>
      </c>
      <c r="L2533">
        <f>LET(
    arrears_months,'Loan Tape (S&amp;P)'!AN2533,
    IF(arrears_months=0,1.00,
    IF(arrears_months=1,3.00,
    IF(arrears_months=2,5.00,
    IF(arrears_months=3,8.00,
    IF(arrears_months=4,10.00,
    IF(arrears_months=5,12.00,15.00)))))))</f>
        <v/>
      </c>
      <c r="M2533">
        <f>LET(
    seasoning_years,DATEDIF('Loan Tape (S&amp;P)'!K2533,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33">
        <f>IF(AND('Loan Tape (S&amp;P)'!U2533="Yes",
        'Loan Tape (S&amp;P)'!T2533&lt;&gt;"Yes",
        DATEDIF('Loan Tape (S&amp;P)'!K2533, TODAY(), "M")&lt;18),
    1.10,
    1.00)</f>
        <v/>
      </c>
      <c r="O2533">
        <f>IF('Loan Tape (S&amp;P)'!T2533="Yes",
    1.35,
    1.00)</f>
        <v/>
      </c>
      <c r="P2533">
        <f>IF('Loan Tape (S&amp;P)'!S2533="Yes",
    1.15,
    1.00)</f>
        <v/>
      </c>
      <c r="Q2533">
        <f>IF('Loan Tape (S&amp;P)'!V2533="Yes",
    1.20,
    1.00)</f>
        <v/>
      </c>
      <c r="T2533">
        <f>LET(
    payment_method,'Loan Tape (S&amp;P)'!P2533,
    occupancy,'Loan Tape (S&amp;P)'!N2533,
    maturity_date,'Loan Tape (S&amp;P)'!L2533,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34">
      <c r="J2534">
        <f>LET(
    lien,'Loan Tape (S&amp;P)'!Q2534,
    IF(lien="First",1.00,
        IF(lien="Second",1.50,
            1.70)))</f>
        <v/>
      </c>
      <c r="K2534">
        <f>LET(
    purpose,'Loan Tape (S&amp;P)'!R2534,
    IF(purpose="Purchase",1.00,
        IF(purpose="Remortgage",1.00,
            1.20)))</f>
        <v/>
      </c>
      <c r="L2534">
        <f>LET(
    arrears_months,'Loan Tape (S&amp;P)'!AN2534,
    IF(arrears_months=0,1.00,
    IF(arrears_months=1,3.00,
    IF(arrears_months=2,5.00,
    IF(arrears_months=3,8.00,
    IF(arrears_months=4,10.00,
    IF(arrears_months=5,12.00,15.00)))))))</f>
        <v/>
      </c>
      <c r="M2534">
        <f>LET(
    seasoning_years,DATEDIF('Loan Tape (S&amp;P)'!K2534,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34">
        <f>IF(AND('Loan Tape (S&amp;P)'!U2534="Yes",
        'Loan Tape (S&amp;P)'!T2534&lt;&gt;"Yes",
        DATEDIF('Loan Tape (S&amp;P)'!K2534, TODAY(), "M")&lt;18),
    1.10,
    1.00)</f>
        <v/>
      </c>
      <c r="O2534">
        <f>IF('Loan Tape (S&amp;P)'!T2534="Yes",
    1.35,
    1.00)</f>
        <v/>
      </c>
      <c r="P2534">
        <f>IF('Loan Tape (S&amp;P)'!S2534="Yes",
    1.15,
    1.00)</f>
        <v/>
      </c>
      <c r="Q2534">
        <f>IF('Loan Tape (S&amp;P)'!V2534="Yes",
    1.20,
    1.00)</f>
        <v/>
      </c>
      <c r="T2534">
        <f>LET(
    payment_method,'Loan Tape (S&amp;P)'!P2534,
    occupancy,'Loan Tape (S&amp;P)'!N2534,
    maturity_date,'Loan Tape (S&amp;P)'!L2534,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35">
      <c r="J2535">
        <f>LET(
    lien,'Loan Tape (S&amp;P)'!Q2535,
    IF(lien="First",1.00,
        IF(lien="Second",1.50,
            1.70)))</f>
        <v/>
      </c>
      <c r="K2535">
        <f>LET(
    purpose,'Loan Tape (S&amp;P)'!R2535,
    IF(purpose="Purchase",1.00,
        IF(purpose="Remortgage",1.00,
            1.20)))</f>
        <v/>
      </c>
      <c r="L2535">
        <f>LET(
    arrears_months,'Loan Tape (S&amp;P)'!AN2535,
    IF(arrears_months=0,1.00,
    IF(arrears_months=1,3.00,
    IF(arrears_months=2,5.00,
    IF(arrears_months=3,8.00,
    IF(arrears_months=4,10.00,
    IF(arrears_months=5,12.00,15.00)))))))</f>
        <v/>
      </c>
      <c r="M2535">
        <f>LET(
    seasoning_years,DATEDIF('Loan Tape (S&amp;P)'!K2535,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35">
        <f>IF(AND('Loan Tape (S&amp;P)'!U2535="Yes",
        'Loan Tape (S&amp;P)'!T2535&lt;&gt;"Yes",
        DATEDIF('Loan Tape (S&amp;P)'!K2535, TODAY(), "M")&lt;18),
    1.10,
    1.00)</f>
        <v/>
      </c>
      <c r="O2535">
        <f>IF('Loan Tape (S&amp;P)'!T2535="Yes",
    1.35,
    1.00)</f>
        <v/>
      </c>
      <c r="P2535">
        <f>IF('Loan Tape (S&amp;P)'!S2535="Yes",
    1.15,
    1.00)</f>
        <v/>
      </c>
      <c r="Q2535">
        <f>IF('Loan Tape (S&amp;P)'!V2535="Yes",
    1.20,
    1.00)</f>
        <v/>
      </c>
      <c r="T2535">
        <f>LET(
    payment_method,'Loan Tape (S&amp;P)'!P2535,
    occupancy,'Loan Tape (S&amp;P)'!N2535,
    maturity_date,'Loan Tape (S&amp;P)'!L2535,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36">
      <c r="J2536">
        <f>LET(
    lien,'Loan Tape (S&amp;P)'!Q2536,
    IF(lien="First",1.00,
        IF(lien="Second",1.50,
            1.70)))</f>
        <v/>
      </c>
      <c r="K2536">
        <f>LET(
    purpose,'Loan Tape (S&amp;P)'!R2536,
    IF(purpose="Purchase",1.00,
        IF(purpose="Remortgage",1.00,
            1.20)))</f>
        <v/>
      </c>
      <c r="L2536">
        <f>LET(
    arrears_months,'Loan Tape (S&amp;P)'!AN2536,
    IF(arrears_months=0,1.00,
    IF(arrears_months=1,3.00,
    IF(arrears_months=2,5.00,
    IF(arrears_months=3,8.00,
    IF(arrears_months=4,10.00,
    IF(arrears_months=5,12.00,15.00)))))))</f>
        <v/>
      </c>
      <c r="M2536">
        <f>LET(
    seasoning_years,DATEDIF('Loan Tape (S&amp;P)'!K2536,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36">
        <f>IF(AND('Loan Tape (S&amp;P)'!U2536="Yes",
        'Loan Tape (S&amp;P)'!T2536&lt;&gt;"Yes",
        DATEDIF('Loan Tape (S&amp;P)'!K2536, TODAY(), "M")&lt;18),
    1.10,
    1.00)</f>
        <v/>
      </c>
      <c r="O2536">
        <f>IF('Loan Tape (S&amp;P)'!T2536="Yes",
    1.35,
    1.00)</f>
        <v/>
      </c>
      <c r="P2536">
        <f>IF('Loan Tape (S&amp;P)'!S2536="Yes",
    1.15,
    1.00)</f>
        <v/>
      </c>
      <c r="Q2536">
        <f>IF('Loan Tape (S&amp;P)'!V2536="Yes",
    1.20,
    1.00)</f>
        <v/>
      </c>
      <c r="T2536">
        <f>LET(
    payment_method,'Loan Tape (S&amp;P)'!P2536,
    occupancy,'Loan Tape (S&amp;P)'!N2536,
    maturity_date,'Loan Tape (S&amp;P)'!L2536,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37">
      <c r="J2537">
        <f>LET(
    lien,'Loan Tape (S&amp;P)'!Q2537,
    IF(lien="First",1.00,
        IF(lien="Second",1.50,
            1.70)))</f>
        <v/>
      </c>
      <c r="K2537">
        <f>LET(
    purpose,'Loan Tape (S&amp;P)'!R2537,
    IF(purpose="Purchase",1.00,
        IF(purpose="Remortgage",1.00,
            1.20)))</f>
        <v/>
      </c>
      <c r="L2537">
        <f>LET(
    arrears_months,'Loan Tape (S&amp;P)'!AN2537,
    IF(arrears_months=0,1.00,
    IF(arrears_months=1,3.00,
    IF(arrears_months=2,5.00,
    IF(arrears_months=3,8.00,
    IF(arrears_months=4,10.00,
    IF(arrears_months=5,12.00,15.00)))))))</f>
        <v/>
      </c>
      <c r="M2537">
        <f>LET(
    seasoning_years,DATEDIF('Loan Tape (S&amp;P)'!K2537,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37">
        <f>IF(AND('Loan Tape (S&amp;P)'!U2537="Yes",
        'Loan Tape (S&amp;P)'!T2537&lt;&gt;"Yes",
        DATEDIF('Loan Tape (S&amp;P)'!K2537, TODAY(), "M")&lt;18),
    1.10,
    1.00)</f>
        <v/>
      </c>
      <c r="O2537">
        <f>IF('Loan Tape (S&amp;P)'!T2537="Yes",
    1.35,
    1.00)</f>
        <v/>
      </c>
      <c r="P2537">
        <f>IF('Loan Tape (S&amp;P)'!S2537="Yes",
    1.15,
    1.00)</f>
        <v/>
      </c>
      <c r="Q2537">
        <f>IF('Loan Tape (S&amp;P)'!V2537="Yes",
    1.20,
    1.00)</f>
        <v/>
      </c>
      <c r="T2537">
        <f>LET(
    payment_method,'Loan Tape (S&amp;P)'!P2537,
    occupancy,'Loan Tape (S&amp;P)'!N2537,
    maturity_date,'Loan Tape (S&amp;P)'!L2537,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38">
      <c r="J2538">
        <f>LET(
    lien,'Loan Tape (S&amp;P)'!Q2538,
    IF(lien="First",1.00,
        IF(lien="Second",1.50,
            1.70)))</f>
        <v/>
      </c>
      <c r="K2538">
        <f>LET(
    purpose,'Loan Tape (S&amp;P)'!R2538,
    IF(purpose="Purchase",1.00,
        IF(purpose="Remortgage",1.00,
            1.20)))</f>
        <v/>
      </c>
      <c r="L2538">
        <f>LET(
    arrears_months,'Loan Tape (S&amp;P)'!AN2538,
    IF(arrears_months=0,1.00,
    IF(arrears_months=1,3.00,
    IF(arrears_months=2,5.00,
    IF(arrears_months=3,8.00,
    IF(arrears_months=4,10.00,
    IF(arrears_months=5,12.00,15.00)))))))</f>
        <v/>
      </c>
      <c r="M2538">
        <f>LET(
    seasoning_years,DATEDIF('Loan Tape (S&amp;P)'!K2538,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38">
        <f>IF(AND('Loan Tape (S&amp;P)'!U2538="Yes",
        'Loan Tape (S&amp;P)'!T2538&lt;&gt;"Yes",
        DATEDIF('Loan Tape (S&amp;P)'!K2538, TODAY(), "M")&lt;18),
    1.10,
    1.00)</f>
        <v/>
      </c>
      <c r="O2538">
        <f>IF('Loan Tape (S&amp;P)'!T2538="Yes",
    1.35,
    1.00)</f>
        <v/>
      </c>
      <c r="P2538">
        <f>IF('Loan Tape (S&amp;P)'!S2538="Yes",
    1.15,
    1.00)</f>
        <v/>
      </c>
      <c r="Q2538">
        <f>IF('Loan Tape (S&amp;P)'!V2538="Yes",
    1.20,
    1.00)</f>
        <v/>
      </c>
      <c r="T2538">
        <f>LET(
    payment_method,'Loan Tape (S&amp;P)'!P2538,
    occupancy,'Loan Tape (S&amp;P)'!N2538,
    maturity_date,'Loan Tape (S&amp;P)'!L2538,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39">
      <c r="J2539">
        <f>LET(
    lien,'Loan Tape (S&amp;P)'!Q2539,
    IF(lien="First",1.00,
        IF(lien="Second",1.50,
            1.70)))</f>
        <v/>
      </c>
      <c r="K2539">
        <f>LET(
    purpose,'Loan Tape (S&amp;P)'!R2539,
    IF(purpose="Purchase",1.00,
        IF(purpose="Remortgage",1.00,
            1.20)))</f>
        <v/>
      </c>
      <c r="L2539">
        <f>LET(
    arrears_months,'Loan Tape (S&amp;P)'!AN2539,
    IF(arrears_months=0,1.00,
    IF(arrears_months=1,3.00,
    IF(arrears_months=2,5.00,
    IF(arrears_months=3,8.00,
    IF(arrears_months=4,10.00,
    IF(arrears_months=5,12.00,15.00)))))))</f>
        <v/>
      </c>
      <c r="M2539">
        <f>LET(
    seasoning_years,DATEDIF('Loan Tape (S&amp;P)'!K2539,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39">
        <f>IF(AND('Loan Tape (S&amp;P)'!U2539="Yes",
        'Loan Tape (S&amp;P)'!T2539&lt;&gt;"Yes",
        DATEDIF('Loan Tape (S&amp;P)'!K2539, TODAY(), "M")&lt;18),
    1.10,
    1.00)</f>
        <v/>
      </c>
      <c r="O2539">
        <f>IF('Loan Tape (S&amp;P)'!T2539="Yes",
    1.35,
    1.00)</f>
        <v/>
      </c>
      <c r="P2539">
        <f>IF('Loan Tape (S&amp;P)'!S2539="Yes",
    1.15,
    1.00)</f>
        <v/>
      </c>
      <c r="Q2539">
        <f>IF('Loan Tape (S&amp;P)'!V2539="Yes",
    1.20,
    1.00)</f>
        <v/>
      </c>
      <c r="T2539">
        <f>LET(
    payment_method,'Loan Tape (S&amp;P)'!P2539,
    occupancy,'Loan Tape (S&amp;P)'!N2539,
    maturity_date,'Loan Tape (S&amp;P)'!L2539,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40">
      <c r="J2540">
        <f>LET(
    lien,'Loan Tape (S&amp;P)'!Q2540,
    IF(lien="First",1.00,
        IF(lien="Second",1.50,
            1.70)))</f>
        <v/>
      </c>
      <c r="K2540">
        <f>LET(
    purpose,'Loan Tape (S&amp;P)'!R2540,
    IF(purpose="Purchase",1.00,
        IF(purpose="Remortgage",1.00,
            1.20)))</f>
        <v/>
      </c>
      <c r="L2540">
        <f>LET(
    arrears_months,'Loan Tape (S&amp;P)'!AN2540,
    IF(arrears_months=0,1.00,
    IF(arrears_months=1,3.00,
    IF(arrears_months=2,5.00,
    IF(arrears_months=3,8.00,
    IF(arrears_months=4,10.00,
    IF(arrears_months=5,12.00,15.00)))))))</f>
        <v/>
      </c>
      <c r="M2540">
        <f>LET(
    seasoning_years,DATEDIF('Loan Tape (S&amp;P)'!K2540,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40">
        <f>IF(AND('Loan Tape (S&amp;P)'!U2540="Yes",
        'Loan Tape (S&amp;P)'!T2540&lt;&gt;"Yes",
        DATEDIF('Loan Tape (S&amp;P)'!K2540, TODAY(), "M")&lt;18),
    1.10,
    1.00)</f>
        <v/>
      </c>
      <c r="O2540">
        <f>IF('Loan Tape (S&amp;P)'!T2540="Yes",
    1.35,
    1.00)</f>
        <v/>
      </c>
      <c r="P2540">
        <f>IF('Loan Tape (S&amp;P)'!S2540="Yes",
    1.15,
    1.00)</f>
        <v/>
      </c>
      <c r="Q2540">
        <f>IF('Loan Tape (S&amp;P)'!V2540="Yes",
    1.20,
    1.00)</f>
        <v/>
      </c>
      <c r="T2540">
        <f>LET(
    payment_method,'Loan Tape (S&amp;P)'!P2540,
    occupancy,'Loan Tape (S&amp;P)'!N2540,
    maturity_date,'Loan Tape (S&amp;P)'!L2540,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41">
      <c r="J2541">
        <f>LET(
    lien,'Loan Tape (S&amp;P)'!Q2541,
    IF(lien="First",1.00,
        IF(lien="Second",1.50,
            1.70)))</f>
        <v/>
      </c>
      <c r="K2541">
        <f>LET(
    purpose,'Loan Tape (S&amp;P)'!R2541,
    IF(purpose="Purchase",1.00,
        IF(purpose="Remortgage",1.00,
            1.20)))</f>
        <v/>
      </c>
      <c r="L2541">
        <f>LET(
    arrears_months,'Loan Tape (S&amp;P)'!AN2541,
    IF(arrears_months=0,1.00,
    IF(arrears_months=1,3.00,
    IF(arrears_months=2,5.00,
    IF(arrears_months=3,8.00,
    IF(arrears_months=4,10.00,
    IF(arrears_months=5,12.00,15.00)))))))</f>
        <v/>
      </c>
      <c r="M2541">
        <f>LET(
    seasoning_years,DATEDIF('Loan Tape (S&amp;P)'!K2541,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41">
        <f>IF(AND('Loan Tape (S&amp;P)'!U2541="Yes",
        'Loan Tape (S&amp;P)'!T2541&lt;&gt;"Yes",
        DATEDIF('Loan Tape (S&amp;P)'!K2541, TODAY(), "M")&lt;18),
    1.10,
    1.00)</f>
        <v/>
      </c>
      <c r="O2541">
        <f>IF('Loan Tape (S&amp;P)'!T2541="Yes",
    1.35,
    1.00)</f>
        <v/>
      </c>
      <c r="P2541">
        <f>IF('Loan Tape (S&amp;P)'!S2541="Yes",
    1.15,
    1.00)</f>
        <v/>
      </c>
      <c r="Q2541">
        <f>IF('Loan Tape (S&amp;P)'!V2541="Yes",
    1.20,
    1.00)</f>
        <v/>
      </c>
      <c r="T2541">
        <f>LET(
    payment_method,'Loan Tape (S&amp;P)'!P2541,
    occupancy,'Loan Tape (S&amp;P)'!N2541,
    maturity_date,'Loan Tape (S&amp;P)'!L2541,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42">
      <c r="J2542">
        <f>LET(
    lien,'Loan Tape (S&amp;P)'!Q2542,
    IF(lien="First",1.00,
        IF(lien="Second",1.50,
            1.70)))</f>
        <v/>
      </c>
      <c r="K2542">
        <f>LET(
    purpose,'Loan Tape (S&amp;P)'!R2542,
    IF(purpose="Purchase",1.00,
        IF(purpose="Remortgage",1.00,
            1.20)))</f>
        <v/>
      </c>
      <c r="L2542">
        <f>LET(
    arrears_months,'Loan Tape (S&amp;P)'!AN2542,
    IF(arrears_months=0,1.00,
    IF(arrears_months=1,3.00,
    IF(arrears_months=2,5.00,
    IF(arrears_months=3,8.00,
    IF(arrears_months=4,10.00,
    IF(arrears_months=5,12.00,15.00)))))))</f>
        <v/>
      </c>
      <c r="M2542">
        <f>LET(
    seasoning_years,DATEDIF('Loan Tape (S&amp;P)'!K2542,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42">
        <f>IF(AND('Loan Tape (S&amp;P)'!U2542="Yes",
        'Loan Tape (S&amp;P)'!T2542&lt;&gt;"Yes",
        DATEDIF('Loan Tape (S&amp;P)'!K2542, TODAY(), "M")&lt;18),
    1.10,
    1.00)</f>
        <v/>
      </c>
      <c r="O2542">
        <f>IF('Loan Tape (S&amp;P)'!T2542="Yes",
    1.35,
    1.00)</f>
        <v/>
      </c>
      <c r="P2542">
        <f>IF('Loan Tape (S&amp;P)'!S2542="Yes",
    1.15,
    1.00)</f>
        <v/>
      </c>
      <c r="Q2542">
        <f>IF('Loan Tape (S&amp;P)'!V2542="Yes",
    1.20,
    1.00)</f>
        <v/>
      </c>
      <c r="T2542">
        <f>LET(
    payment_method,'Loan Tape (S&amp;P)'!P2542,
    occupancy,'Loan Tape (S&amp;P)'!N2542,
    maturity_date,'Loan Tape (S&amp;P)'!L2542,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43">
      <c r="J2543">
        <f>LET(
    lien,'Loan Tape (S&amp;P)'!Q2543,
    IF(lien="First",1.00,
        IF(lien="Second",1.50,
            1.70)))</f>
        <v/>
      </c>
      <c r="K2543">
        <f>LET(
    purpose,'Loan Tape (S&amp;P)'!R2543,
    IF(purpose="Purchase",1.00,
        IF(purpose="Remortgage",1.00,
            1.20)))</f>
        <v/>
      </c>
      <c r="L2543">
        <f>LET(
    arrears_months,'Loan Tape (S&amp;P)'!AN2543,
    IF(arrears_months=0,1.00,
    IF(arrears_months=1,3.00,
    IF(arrears_months=2,5.00,
    IF(arrears_months=3,8.00,
    IF(arrears_months=4,10.00,
    IF(arrears_months=5,12.00,15.00)))))))</f>
        <v/>
      </c>
      <c r="M2543">
        <f>LET(
    seasoning_years,DATEDIF('Loan Tape (S&amp;P)'!K2543,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43">
        <f>IF(AND('Loan Tape (S&amp;P)'!U2543="Yes",
        'Loan Tape (S&amp;P)'!T2543&lt;&gt;"Yes",
        DATEDIF('Loan Tape (S&amp;P)'!K2543, TODAY(), "M")&lt;18),
    1.10,
    1.00)</f>
        <v/>
      </c>
      <c r="O2543">
        <f>IF('Loan Tape (S&amp;P)'!T2543="Yes",
    1.35,
    1.00)</f>
        <v/>
      </c>
      <c r="P2543">
        <f>IF('Loan Tape (S&amp;P)'!S2543="Yes",
    1.15,
    1.00)</f>
        <v/>
      </c>
      <c r="Q2543">
        <f>IF('Loan Tape (S&amp;P)'!V2543="Yes",
    1.20,
    1.00)</f>
        <v/>
      </c>
      <c r="T2543">
        <f>LET(
    payment_method,'Loan Tape (S&amp;P)'!P2543,
    occupancy,'Loan Tape (S&amp;P)'!N2543,
    maturity_date,'Loan Tape (S&amp;P)'!L2543,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44">
      <c r="J2544">
        <f>LET(
    lien,'Loan Tape (S&amp;P)'!Q2544,
    IF(lien="First",1.00,
        IF(lien="Second",1.50,
            1.70)))</f>
        <v/>
      </c>
      <c r="K2544">
        <f>LET(
    purpose,'Loan Tape (S&amp;P)'!R2544,
    IF(purpose="Purchase",1.00,
        IF(purpose="Remortgage",1.00,
            1.20)))</f>
        <v/>
      </c>
      <c r="L2544">
        <f>LET(
    arrears_months,'Loan Tape (S&amp;P)'!AN2544,
    IF(arrears_months=0,1.00,
    IF(arrears_months=1,3.00,
    IF(arrears_months=2,5.00,
    IF(arrears_months=3,8.00,
    IF(arrears_months=4,10.00,
    IF(arrears_months=5,12.00,15.00)))))))</f>
        <v/>
      </c>
      <c r="M2544">
        <f>LET(
    seasoning_years,DATEDIF('Loan Tape (S&amp;P)'!K2544,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44">
        <f>IF(AND('Loan Tape (S&amp;P)'!U2544="Yes",
        'Loan Tape (S&amp;P)'!T2544&lt;&gt;"Yes",
        DATEDIF('Loan Tape (S&amp;P)'!K2544, TODAY(), "M")&lt;18),
    1.10,
    1.00)</f>
        <v/>
      </c>
      <c r="O2544">
        <f>IF('Loan Tape (S&amp;P)'!T2544="Yes",
    1.35,
    1.00)</f>
        <v/>
      </c>
      <c r="P2544">
        <f>IF('Loan Tape (S&amp;P)'!S2544="Yes",
    1.15,
    1.00)</f>
        <v/>
      </c>
      <c r="Q2544">
        <f>IF('Loan Tape (S&amp;P)'!V2544="Yes",
    1.20,
    1.00)</f>
        <v/>
      </c>
      <c r="T2544">
        <f>LET(
    payment_method,'Loan Tape (S&amp;P)'!P2544,
    occupancy,'Loan Tape (S&amp;P)'!N2544,
    maturity_date,'Loan Tape (S&amp;P)'!L2544,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45">
      <c r="J2545">
        <f>LET(
    lien,'Loan Tape (S&amp;P)'!Q2545,
    IF(lien="First",1.00,
        IF(lien="Second",1.50,
            1.70)))</f>
        <v/>
      </c>
      <c r="K2545">
        <f>LET(
    purpose,'Loan Tape (S&amp;P)'!R2545,
    IF(purpose="Purchase",1.00,
        IF(purpose="Remortgage",1.00,
            1.20)))</f>
        <v/>
      </c>
      <c r="L2545">
        <f>LET(
    arrears_months,'Loan Tape (S&amp;P)'!AN2545,
    IF(arrears_months=0,1.00,
    IF(arrears_months=1,3.00,
    IF(arrears_months=2,5.00,
    IF(arrears_months=3,8.00,
    IF(arrears_months=4,10.00,
    IF(arrears_months=5,12.00,15.00)))))))</f>
        <v/>
      </c>
      <c r="M2545">
        <f>LET(
    seasoning_years,DATEDIF('Loan Tape (S&amp;P)'!K2545,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45">
        <f>IF(AND('Loan Tape (S&amp;P)'!U2545="Yes",
        'Loan Tape (S&amp;P)'!T2545&lt;&gt;"Yes",
        DATEDIF('Loan Tape (S&amp;P)'!K2545, TODAY(), "M")&lt;18),
    1.10,
    1.00)</f>
        <v/>
      </c>
      <c r="O2545">
        <f>IF('Loan Tape (S&amp;P)'!T2545="Yes",
    1.35,
    1.00)</f>
        <v/>
      </c>
      <c r="P2545">
        <f>IF('Loan Tape (S&amp;P)'!S2545="Yes",
    1.15,
    1.00)</f>
        <v/>
      </c>
      <c r="Q2545">
        <f>IF('Loan Tape (S&amp;P)'!V2545="Yes",
    1.20,
    1.00)</f>
        <v/>
      </c>
      <c r="T2545">
        <f>LET(
    payment_method,'Loan Tape (S&amp;P)'!P2545,
    occupancy,'Loan Tape (S&amp;P)'!N2545,
    maturity_date,'Loan Tape (S&amp;P)'!L2545,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46">
      <c r="J2546">
        <f>LET(
    lien,'Loan Tape (S&amp;P)'!Q2546,
    IF(lien="First",1.00,
        IF(lien="Second",1.50,
            1.70)))</f>
        <v/>
      </c>
      <c r="K2546">
        <f>LET(
    purpose,'Loan Tape (S&amp;P)'!R2546,
    IF(purpose="Purchase",1.00,
        IF(purpose="Remortgage",1.00,
            1.20)))</f>
        <v/>
      </c>
      <c r="L2546">
        <f>LET(
    arrears_months,'Loan Tape (S&amp;P)'!AN2546,
    IF(arrears_months=0,1.00,
    IF(arrears_months=1,3.00,
    IF(arrears_months=2,5.00,
    IF(arrears_months=3,8.00,
    IF(arrears_months=4,10.00,
    IF(arrears_months=5,12.00,15.00)))))))</f>
        <v/>
      </c>
      <c r="M2546">
        <f>LET(
    seasoning_years,DATEDIF('Loan Tape (S&amp;P)'!K2546,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46">
        <f>IF(AND('Loan Tape (S&amp;P)'!U2546="Yes",
        'Loan Tape (S&amp;P)'!T2546&lt;&gt;"Yes",
        DATEDIF('Loan Tape (S&amp;P)'!K2546, TODAY(), "M")&lt;18),
    1.10,
    1.00)</f>
        <v/>
      </c>
      <c r="O2546">
        <f>IF('Loan Tape (S&amp;P)'!T2546="Yes",
    1.35,
    1.00)</f>
        <v/>
      </c>
      <c r="P2546">
        <f>IF('Loan Tape (S&amp;P)'!S2546="Yes",
    1.15,
    1.00)</f>
        <v/>
      </c>
      <c r="Q2546">
        <f>IF('Loan Tape (S&amp;P)'!V2546="Yes",
    1.20,
    1.00)</f>
        <v/>
      </c>
      <c r="T2546">
        <f>LET(
    payment_method,'Loan Tape (S&amp;P)'!P2546,
    occupancy,'Loan Tape (S&amp;P)'!N2546,
    maturity_date,'Loan Tape (S&amp;P)'!L2546,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47">
      <c r="J2547">
        <f>LET(
    lien,'Loan Tape (S&amp;P)'!Q2547,
    IF(lien="First",1.00,
        IF(lien="Second",1.50,
            1.70)))</f>
        <v/>
      </c>
      <c r="K2547">
        <f>LET(
    purpose,'Loan Tape (S&amp;P)'!R2547,
    IF(purpose="Purchase",1.00,
        IF(purpose="Remortgage",1.00,
            1.20)))</f>
        <v/>
      </c>
      <c r="L2547">
        <f>LET(
    arrears_months,'Loan Tape (S&amp;P)'!AN2547,
    IF(arrears_months=0,1.00,
    IF(arrears_months=1,3.00,
    IF(arrears_months=2,5.00,
    IF(arrears_months=3,8.00,
    IF(arrears_months=4,10.00,
    IF(arrears_months=5,12.00,15.00)))))))</f>
        <v/>
      </c>
      <c r="M2547">
        <f>LET(
    seasoning_years,DATEDIF('Loan Tape (S&amp;P)'!K2547,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47">
        <f>IF(AND('Loan Tape (S&amp;P)'!U2547="Yes",
        'Loan Tape (S&amp;P)'!T2547&lt;&gt;"Yes",
        DATEDIF('Loan Tape (S&amp;P)'!K2547, TODAY(), "M")&lt;18),
    1.10,
    1.00)</f>
        <v/>
      </c>
      <c r="O2547">
        <f>IF('Loan Tape (S&amp;P)'!T2547="Yes",
    1.35,
    1.00)</f>
        <v/>
      </c>
      <c r="P2547">
        <f>IF('Loan Tape (S&amp;P)'!S2547="Yes",
    1.15,
    1.00)</f>
        <v/>
      </c>
      <c r="Q2547">
        <f>IF('Loan Tape (S&amp;P)'!V2547="Yes",
    1.20,
    1.00)</f>
        <v/>
      </c>
      <c r="T2547">
        <f>LET(
    payment_method,'Loan Tape (S&amp;P)'!P2547,
    occupancy,'Loan Tape (S&amp;P)'!N2547,
    maturity_date,'Loan Tape (S&amp;P)'!L2547,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48">
      <c r="J2548">
        <f>LET(
    lien,'Loan Tape (S&amp;P)'!Q2548,
    IF(lien="First",1.00,
        IF(lien="Second",1.50,
            1.70)))</f>
        <v/>
      </c>
      <c r="K2548">
        <f>LET(
    purpose,'Loan Tape (S&amp;P)'!R2548,
    IF(purpose="Purchase",1.00,
        IF(purpose="Remortgage",1.00,
            1.20)))</f>
        <v/>
      </c>
      <c r="L2548">
        <f>LET(
    arrears_months,'Loan Tape (S&amp;P)'!AN2548,
    IF(arrears_months=0,1.00,
    IF(arrears_months=1,3.00,
    IF(arrears_months=2,5.00,
    IF(arrears_months=3,8.00,
    IF(arrears_months=4,10.00,
    IF(arrears_months=5,12.00,15.00)))))))</f>
        <v/>
      </c>
      <c r="M2548">
        <f>LET(
    seasoning_years,DATEDIF('Loan Tape (S&amp;P)'!K2548,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48">
        <f>IF(AND('Loan Tape (S&amp;P)'!U2548="Yes",
        'Loan Tape (S&amp;P)'!T2548&lt;&gt;"Yes",
        DATEDIF('Loan Tape (S&amp;P)'!K2548, TODAY(), "M")&lt;18),
    1.10,
    1.00)</f>
        <v/>
      </c>
      <c r="O2548">
        <f>IF('Loan Tape (S&amp;P)'!T2548="Yes",
    1.35,
    1.00)</f>
        <v/>
      </c>
      <c r="P2548">
        <f>IF('Loan Tape (S&amp;P)'!S2548="Yes",
    1.15,
    1.00)</f>
        <v/>
      </c>
      <c r="Q2548">
        <f>IF('Loan Tape (S&amp;P)'!V2548="Yes",
    1.20,
    1.00)</f>
        <v/>
      </c>
      <c r="T2548">
        <f>LET(
    payment_method,'Loan Tape (S&amp;P)'!P2548,
    occupancy,'Loan Tape (S&amp;P)'!N2548,
    maturity_date,'Loan Tape (S&amp;P)'!L2548,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49">
      <c r="J2549">
        <f>LET(
    lien,'Loan Tape (S&amp;P)'!Q2549,
    IF(lien="First",1.00,
        IF(lien="Second",1.50,
            1.70)))</f>
        <v/>
      </c>
      <c r="K2549">
        <f>LET(
    purpose,'Loan Tape (S&amp;P)'!R2549,
    IF(purpose="Purchase",1.00,
        IF(purpose="Remortgage",1.00,
            1.20)))</f>
        <v/>
      </c>
      <c r="L2549">
        <f>LET(
    arrears_months,'Loan Tape (S&amp;P)'!AN2549,
    IF(arrears_months=0,1.00,
    IF(arrears_months=1,3.00,
    IF(arrears_months=2,5.00,
    IF(arrears_months=3,8.00,
    IF(arrears_months=4,10.00,
    IF(arrears_months=5,12.00,15.00)))))))</f>
        <v/>
      </c>
      <c r="M2549">
        <f>LET(
    seasoning_years,DATEDIF('Loan Tape (S&amp;P)'!K2549,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49">
        <f>IF(AND('Loan Tape (S&amp;P)'!U2549="Yes",
        'Loan Tape (S&amp;P)'!T2549&lt;&gt;"Yes",
        DATEDIF('Loan Tape (S&amp;P)'!K2549, TODAY(), "M")&lt;18),
    1.10,
    1.00)</f>
        <v/>
      </c>
      <c r="O2549">
        <f>IF('Loan Tape (S&amp;P)'!T2549="Yes",
    1.35,
    1.00)</f>
        <v/>
      </c>
      <c r="P2549">
        <f>IF('Loan Tape (S&amp;P)'!S2549="Yes",
    1.15,
    1.00)</f>
        <v/>
      </c>
      <c r="Q2549">
        <f>IF('Loan Tape (S&amp;P)'!V2549="Yes",
    1.20,
    1.00)</f>
        <v/>
      </c>
      <c r="T2549">
        <f>LET(
    payment_method,'Loan Tape (S&amp;P)'!P2549,
    occupancy,'Loan Tape (S&amp;P)'!N2549,
    maturity_date,'Loan Tape (S&amp;P)'!L2549,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50">
      <c r="J2550">
        <f>LET(
    lien,'Loan Tape (S&amp;P)'!Q2550,
    IF(lien="First",1.00,
        IF(lien="Second",1.50,
            1.70)))</f>
        <v/>
      </c>
      <c r="K2550">
        <f>LET(
    purpose,'Loan Tape (S&amp;P)'!R2550,
    IF(purpose="Purchase",1.00,
        IF(purpose="Remortgage",1.00,
            1.20)))</f>
        <v/>
      </c>
      <c r="L2550">
        <f>LET(
    arrears_months,'Loan Tape (S&amp;P)'!AN2550,
    IF(arrears_months=0,1.00,
    IF(arrears_months=1,3.00,
    IF(arrears_months=2,5.00,
    IF(arrears_months=3,8.00,
    IF(arrears_months=4,10.00,
    IF(arrears_months=5,12.00,15.00)))))))</f>
        <v/>
      </c>
      <c r="M2550">
        <f>LET(
    seasoning_years,DATEDIF('Loan Tape (S&amp;P)'!K2550,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50">
        <f>IF(AND('Loan Tape (S&amp;P)'!U2550="Yes",
        'Loan Tape (S&amp;P)'!T2550&lt;&gt;"Yes",
        DATEDIF('Loan Tape (S&amp;P)'!K2550, TODAY(), "M")&lt;18),
    1.10,
    1.00)</f>
        <v/>
      </c>
      <c r="O2550">
        <f>IF('Loan Tape (S&amp;P)'!T2550="Yes",
    1.35,
    1.00)</f>
        <v/>
      </c>
      <c r="P2550">
        <f>IF('Loan Tape (S&amp;P)'!S2550="Yes",
    1.15,
    1.00)</f>
        <v/>
      </c>
      <c r="Q2550">
        <f>IF('Loan Tape (S&amp;P)'!V2550="Yes",
    1.20,
    1.00)</f>
        <v/>
      </c>
      <c r="T2550">
        <f>LET(
    payment_method,'Loan Tape (S&amp;P)'!P2550,
    occupancy,'Loan Tape (S&amp;P)'!N2550,
    maturity_date,'Loan Tape (S&amp;P)'!L2550,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51">
      <c r="J2551">
        <f>LET(
    lien,'Loan Tape (S&amp;P)'!Q2551,
    IF(lien="First",1.00,
        IF(lien="Second",1.50,
            1.70)))</f>
        <v/>
      </c>
      <c r="K2551">
        <f>LET(
    purpose,'Loan Tape (S&amp;P)'!R2551,
    IF(purpose="Purchase",1.00,
        IF(purpose="Remortgage",1.00,
            1.20)))</f>
        <v/>
      </c>
      <c r="L2551">
        <f>LET(
    arrears_months,'Loan Tape (S&amp;P)'!AN2551,
    IF(arrears_months=0,1.00,
    IF(arrears_months=1,3.00,
    IF(arrears_months=2,5.00,
    IF(arrears_months=3,8.00,
    IF(arrears_months=4,10.00,
    IF(arrears_months=5,12.00,15.00)))))))</f>
        <v/>
      </c>
      <c r="M2551">
        <f>LET(
    seasoning_years,DATEDIF('Loan Tape (S&amp;P)'!K2551,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51">
        <f>IF(AND('Loan Tape (S&amp;P)'!U2551="Yes",
        'Loan Tape (S&amp;P)'!T2551&lt;&gt;"Yes",
        DATEDIF('Loan Tape (S&amp;P)'!K2551, TODAY(), "M")&lt;18),
    1.10,
    1.00)</f>
        <v/>
      </c>
      <c r="O2551">
        <f>IF('Loan Tape (S&amp;P)'!T2551="Yes",
    1.35,
    1.00)</f>
        <v/>
      </c>
      <c r="P2551">
        <f>IF('Loan Tape (S&amp;P)'!S2551="Yes",
    1.15,
    1.00)</f>
        <v/>
      </c>
      <c r="Q2551">
        <f>IF('Loan Tape (S&amp;P)'!V2551="Yes",
    1.20,
    1.00)</f>
        <v/>
      </c>
      <c r="T2551">
        <f>LET(
    payment_method,'Loan Tape (S&amp;P)'!P2551,
    occupancy,'Loan Tape (S&amp;P)'!N2551,
    maturity_date,'Loan Tape (S&amp;P)'!L2551,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52">
      <c r="J2552">
        <f>LET(
    lien,'Loan Tape (S&amp;P)'!Q2552,
    IF(lien="First",1.00,
        IF(lien="Second",1.50,
            1.70)))</f>
        <v/>
      </c>
      <c r="K2552">
        <f>LET(
    purpose,'Loan Tape (S&amp;P)'!R2552,
    IF(purpose="Purchase",1.00,
        IF(purpose="Remortgage",1.00,
            1.20)))</f>
        <v/>
      </c>
      <c r="L2552">
        <f>LET(
    arrears_months,'Loan Tape (S&amp;P)'!AN2552,
    IF(arrears_months=0,1.00,
    IF(arrears_months=1,3.00,
    IF(arrears_months=2,5.00,
    IF(arrears_months=3,8.00,
    IF(arrears_months=4,10.00,
    IF(arrears_months=5,12.00,15.00)))))))</f>
        <v/>
      </c>
      <c r="M2552">
        <f>LET(
    seasoning_years,DATEDIF('Loan Tape (S&amp;P)'!K2552,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52">
        <f>IF(AND('Loan Tape (S&amp;P)'!U2552="Yes",
        'Loan Tape (S&amp;P)'!T2552&lt;&gt;"Yes",
        DATEDIF('Loan Tape (S&amp;P)'!K2552, TODAY(), "M")&lt;18),
    1.10,
    1.00)</f>
        <v/>
      </c>
      <c r="O2552">
        <f>IF('Loan Tape (S&amp;P)'!T2552="Yes",
    1.35,
    1.00)</f>
        <v/>
      </c>
      <c r="P2552">
        <f>IF('Loan Tape (S&amp;P)'!S2552="Yes",
    1.15,
    1.00)</f>
        <v/>
      </c>
      <c r="Q2552">
        <f>IF('Loan Tape (S&amp;P)'!V2552="Yes",
    1.20,
    1.00)</f>
        <v/>
      </c>
      <c r="T2552">
        <f>LET(
    payment_method,'Loan Tape (S&amp;P)'!P2552,
    occupancy,'Loan Tape (S&amp;P)'!N2552,
    maturity_date,'Loan Tape (S&amp;P)'!L2552,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53">
      <c r="J2553">
        <f>LET(
    lien,'Loan Tape (S&amp;P)'!Q2553,
    IF(lien="First",1.00,
        IF(lien="Second",1.50,
            1.70)))</f>
        <v/>
      </c>
      <c r="K2553">
        <f>LET(
    purpose,'Loan Tape (S&amp;P)'!R2553,
    IF(purpose="Purchase",1.00,
        IF(purpose="Remortgage",1.00,
            1.20)))</f>
        <v/>
      </c>
      <c r="L2553">
        <f>LET(
    arrears_months,'Loan Tape (S&amp;P)'!AN2553,
    IF(arrears_months=0,1.00,
    IF(arrears_months=1,3.00,
    IF(arrears_months=2,5.00,
    IF(arrears_months=3,8.00,
    IF(arrears_months=4,10.00,
    IF(arrears_months=5,12.00,15.00)))))))</f>
        <v/>
      </c>
      <c r="M2553">
        <f>LET(
    seasoning_years,DATEDIF('Loan Tape (S&amp;P)'!K2553,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53">
        <f>IF(AND('Loan Tape (S&amp;P)'!U2553="Yes",
        'Loan Tape (S&amp;P)'!T2553&lt;&gt;"Yes",
        DATEDIF('Loan Tape (S&amp;P)'!K2553, TODAY(), "M")&lt;18),
    1.10,
    1.00)</f>
        <v/>
      </c>
      <c r="O2553">
        <f>IF('Loan Tape (S&amp;P)'!T2553="Yes",
    1.35,
    1.00)</f>
        <v/>
      </c>
      <c r="P2553">
        <f>IF('Loan Tape (S&amp;P)'!S2553="Yes",
    1.15,
    1.00)</f>
        <v/>
      </c>
      <c r="Q2553">
        <f>IF('Loan Tape (S&amp;P)'!V2553="Yes",
    1.20,
    1.00)</f>
        <v/>
      </c>
      <c r="T2553">
        <f>LET(
    payment_method,'Loan Tape (S&amp;P)'!P2553,
    occupancy,'Loan Tape (S&amp;P)'!N2553,
    maturity_date,'Loan Tape (S&amp;P)'!L2553,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54">
      <c r="J2554">
        <f>LET(
    lien,'Loan Tape (S&amp;P)'!Q2554,
    IF(lien="First",1.00,
        IF(lien="Second",1.50,
            1.70)))</f>
        <v/>
      </c>
      <c r="K2554">
        <f>LET(
    purpose,'Loan Tape (S&amp;P)'!R2554,
    IF(purpose="Purchase",1.00,
        IF(purpose="Remortgage",1.00,
            1.20)))</f>
        <v/>
      </c>
      <c r="L2554">
        <f>LET(
    arrears_months,'Loan Tape (S&amp;P)'!AN2554,
    IF(arrears_months=0,1.00,
    IF(arrears_months=1,3.00,
    IF(arrears_months=2,5.00,
    IF(arrears_months=3,8.00,
    IF(arrears_months=4,10.00,
    IF(arrears_months=5,12.00,15.00)))))))</f>
        <v/>
      </c>
      <c r="M2554">
        <f>LET(
    seasoning_years,DATEDIF('Loan Tape (S&amp;P)'!K2554,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54">
        <f>IF(AND('Loan Tape (S&amp;P)'!U2554="Yes",
        'Loan Tape (S&amp;P)'!T2554&lt;&gt;"Yes",
        DATEDIF('Loan Tape (S&amp;P)'!K2554, TODAY(), "M")&lt;18),
    1.10,
    1.00)</f>
        <v/>
      </c>
      <c r="O2554">
        <f>IF('Loan Tape (S&amp;P)'!T2554="Yes",
    1.35,
    1.00)</f>
        <v/>
      </c>
      <c r="P2554">
        <f>IF('Loan Tape (S&amp;P)'!S2554="Yes",
    1.15,
    1.00)</f>
        <v/>
      </c>
      <c r="Q2554">
        <f>IF('Loan Tape (S&amp;P)'!V2554="Yes",
    1.20,
    1.00)</f>
        <v/>
      </c>
      <c r="T2554">
        <f>LET(
    payment_method,'Loan Tape (S&amp;P)'!P2554,
    occupancy,'Loan Tape (S&amp;P)'!N2554,
    maturity_date,'Loan Tape (S&amp;P)'!L2554,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55">
      <c r="J2555">
        <f>LET(
    lien,'Loan Tape (S&amp;P)'!Q2555,
    IF(lien="First",1.00,
        IF(lien="Second",1.50,
            1.70)))</f>
        <v/>
      </c>
      <c r="K2555">
        <f>LET(
    purpose,'Loan Tape (S&amp;P)'!R2555,
    IF(purpose="Purchase",1.00,
        IF(purpose="Remortgage",1.00,
            1.20)))</f>
        <v/>
      </c>
      <c r="L2555">
        <f>LET(
    arrears_months,'Loan Tape (S&amp;P)'!AN2555,
    IF(arrears_months=0,1.00,
    IF(arrears_months=1,3.00,
    IF(arrears_months=2,5.00,
    IF(arrears_months=3,8.00,
    IF(arrears_months=4,10.00,
    IF(arrears_months=5,12.00,15.00)))))))</f>
        <v/>
      </c>
      <c r="M2555">
        <f>LET(
    seasoning_years,DATEDIF('Loan Tape (S&amp;P)'!K2555,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55">
        <f>IF(AND('Loan Tape (S&amp;P)'!U2555="Yes",
        'Loan Tape (S&amp;P)'!T2555&lt;&gt;"Yes",
        DATEDIF('Loan Tape (S&amp;P)'!K2555, TODAY(), "M")&lt;18),
    1.10,
    1.00)</f>
        <v/>
      </c>
      <c r="O2555">
        <f>IF('Loan Tape (S&amp;P)'!T2555="Yes",
    1.35,
    1.00)</f>
        <v/>
      </c>
      <c r="P2555">
        <f>IF('Loan Tape (S&amp;P)'!S2555="Yes",
    1.15,
    1.00)</f>
        <v/>
      </c>
      <c r="Q2555">
        <f>IF('Loan Tape (S&amp;P)'!V2555="Yes",
    1.20,
    1.00)</f>
        <v/>
      </c>
      <c r="T2555">
        <f>LET(
    payment_method,'Loan Tape (S&amp;P)'!P2555,
    occupancy,'Loan Tape (S&amp;P)'!N2555,
    maturity_date,'Loan Tape (S&amp;P)'!L2555,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56">
      <c r="J2556">
        <f>LET(
    lien,'Loan Tape (S&amp;P)'!Q2556,
    IF(lien="First",1.00,
        IF(lien="Second",1.50,
            1.70)))</f>
        <v/>
      </c>
      <c r="K2556">
        <f>LET(
    purpose,'Loan Tape (S&amp;P)'!R2556,
    IF(purpose="Purchase",1.00,
        IF(purpose="Remortgage",1.00,
            1.20)))</f>
        <v/>
      </c>
      <c r="L2556">
        <f>LET(
    arrears_months,'Loan Tape (S&amp;P)'!AN2556,
    IF(arrears_months=0,1.00,
    IF(arrears_months=1,3.00,
    IF(arrears_months=2,5.00,
    IF(arrears_months=3,8.00,
    IF(arrears_months=4,10.00,
    IF(arrears_months=5,12.00,15.00)))))))</f>
        <v/>
      </c>
      <c r="M2556">
        <f>LET(
    seasoning_years,DATEDIF('Loan Tape (S&amp;P)'!K2556,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56">
        <f>IF(AND('Loan Tape (S&amp;P)'!U2556="Yes",
        'Loan Tape (S&amp;P)'!T2556&lt;&gt;"Yes",
        DATEDIF('Loan Tape (S&amp;P)'!K2556, TODAY(), "M")&lt;18),
    1.10,
    1.00)</f>
        <v/>
      </c>
      <c r="O2556">
        <f>IF('Loan Tape (S&amp;P)'!T2556="Yes",
    1.35,
    1.00)</f>
        <v/>
      </c>
      <c r="P2556">
        <f>IF('Loan Tape (S&amp;P)'!S2556="Yes",
    1.15,
    1.00)</f>
        <v/>
      </c>
      <c r="Q2556">
        <f>IF('Loan Tape (S&amp;P)'!V2556="Yes",
    1.20,
    1.00)</f>
        <v/>
      </c>
      <c r="T2556">
        <f>LET(
    payment_method,'Loan Tape (S&amp;P)'!P2556,
    occupancy,'Loan Tape (S&amp;P)'!N2556,
    maturity_date,'Loan Tape (S&amp;P)'!L2556,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57">
      <c r="J2557">
        <f>LET(
    lien,'Loan Tape (S&amp;P)'!Q2557,
    IF(lien="First",1.00,
        IF(lien="Second",1.50,
            1.70)))</f>
        <v/>
      </c>
      <c r="K2557">
        <f>LET(
    purpose,'Loan Tape (S&amp;P)'!R2557,
    IF(purpose="Purchase",1.00,
        IF(purpose="Remortgage",1.00,
            1.20)))</f>
        <v/>
      </c>
      <c r="L2557">
        <f>LET(
    arrears_months,'Loan Tape (S&amp;P)'!AN2557,
    IF(arrears_months=0,1.00,
    IF(arrears_months=1,3.00,
    IF(arrears_months=2,5.00,
    IF(arrears_months=3,8.00,
    IF(arrears_months=4,10.00,
    IF(arrears_months=5,12.00,15.00)))))))</f>
        <v/>
      </c>
      <c r="M2557">
        <f>LET(
    seasoning_years,DATEDIF('Loan Tape (S&amp;P)'!K2557,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57">
        <f>IF(AND('Loan Tape (S&amp;P)'!U2557="Yes",
        'Loan Tape (S&amp;P)'!T2557&lt;&gt;"Yes",
        DATEDIF('Loan Tape (S&amp;P)'!K2557, TODAY(), "M")&lt;18),
    1.10,
    1.00)</f>
        <v/>
      </c>
      <c r="O2557">
        <f>IF('Loan Tape (S&amp;P)'!T2557="Yes",
    1.35,
    1.00)</f>
        <v/>
      </c>
      <c r="P2557">
        <f>IF('Loan Tape (S&amp;P)'!S2557="Yes",
    1.15,
    1.00)</f>
        <v/>
      </c>
      <c r="Q2557">
        <f>IF('Loan Tape (S&amp;P)'!V2557="Yes",
    1.20,
    1.00)</f>
        <v/>
      </c>
      <c r="T2557">
        <f>LET(
    payment_method,'Loan Tape (S&amp;P)'!P2557,
    occupancy,'Loan Tape (S&amp;P)'!N2557,
    maturity_date,'Loan Tape (S&amp;P)'!L2557,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58">
      <c r="J2558">
        <f>LET(
    lien,'Loan Tape (S&amp;P)'!Q2558,
    IF(lien="First",1.00,
        IF(lien="Second",1.50,
            1.70)))</f>
        <v/>
      </c>
      <c r="K2558">
        <f>LET(
    purpose,'Loan Tape (S&amp;P)'!R2558,
    IF(purpose="Purchase",1.00,
        IF(purpose="Remortgage",1.00,
            1.20)))</f>
        <v/>
      </c>
      <c r="L2558">
        <f>LET(
    arrears_months,'Loan Tape (S&amp;P)'!AN2558,
    IF(arrears_months=0,1.00,
    IF(arrears_months=1,3.00,
    IF(arrears_months=2,5.00,
    IF(arrears_months=3,8.00,
    IF(arrears_months=4,10.00,
    IF(arrears_months=5,12.00,15.00)))))))</f>
        <v/>
      </c>
      <c r="M2558">
        <f>LET(
    seasoning_years,DATEDIF('Loan Tape (S&amp;P)'!K2558,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58">
        <f>IF(AND('Loan Tape (S&amp;P)'!U2558="Yes",
        'Loan Tape (S&amp;P)'!T2558&lt;&gt;"Yes",
        DATEDIF('Loan Tape (S&amp;P)'!K2558, TODAY(), "M")&lt;18),
    1.10,
    1.00)</f>
        <v/>
      </c>
      <c r="O2558">
        <f>IF('Loan Tape (S&amp;P)'!T2558="Yes",
    1.35,
    1.00)</f>
        <v/>
      </c>
      <c r="P2558">
        <f>IF('Loan Tape (S&amp;P)'!S2558="Yes",
    1.15,
    1.00)</f>
        <v/>
      </c>
      <c r="Q2558">
        <f>IF('Loan Tape (S&amp;P)'!V2558="Yes",
    1.20,
    1.00)</f>
        <v/>
      </c>
      <c r="T2558">
        <f>LET(
    payment_method,'Loan Tape (S&amp;P)'!P2558,
    occupancy,'Loan Tape (S&amp;P)'!N2558,
    maturity_date,'Loan Tape (S&amp;P)'!L2558,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59">
      <c r="J2559">
        <f>LET(
    lien,'Loan Tape (S&amp;P)'!Q2559,
    IF(lien="First",1.00,
        IF(lien="Second",1.50,
            1.70)))</f>
        <v/>
      </c>
      <c r="K2559">
        <f>LET(
    purpose,'Loan Tape (S&amp;P)'!R2559,
    IF(purpose="Purchase",1.00,
        IF(purpose="Remortgage",1.00,
            1.20)))</f>
        <v/>
      </c>
      <c r="L2559">
        <f>LET(
    arrears_months,'Loan Tape (S&amp;P)'!AN2559,
    IF(arrears_months=0,1.00,
    IF(arrears_months=1,3.00,
    IF(arrears_months=2,5.00,
    IF(arrears_months=3,8.00,
    IF(arrears_months=4,10.00,
    IF(arrears_months=5,12.00,15.00)))))))</f>
        <v/>
      </c>
      <c r="M2559">
        <f>LET(
    seasoning_years,DATEDIF('Loan Tape (S&amp;P)'!K2559,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59">
        <f>IF(AND('Loan Tape (S&amp;P)'!U2559="Yes",
        'Loan Tape (S&amp;P)'!T2559&lt;&gt;"Yes",
        DATEDIF('Loan Tape (S&amp;P)'!K2559, TODAY(), "M")&lt;18),
    1.10,
    1.00)</f>
        <v/>
      </c>
      <c r="O2559">
        <f>IF('Loan Tape (S&amp;P)'!T2559="Yes",
    1.35,
    1.00)</f>
        <v/>
      </c>
      <c r="P2559">
        <f>IF('Loan Tape (S&amp;P)'!S2559="Yes",
    1.15,
    1.00)</f>
        <v/>
      </c>
      <c r="Q2559">
        <f>IF('Loan Tape (S&amp;P)'!V2559="Yes",
    1.20,
    1.00)</f>
        <v/>
      </c>
      <c r="T2559">
        <f>LET(
    payment_method,'Loan Tape (S&amp;P)'!P2559,
    occupancy,'Loan Tape (S&amp;P)'!N2559,
    maturity_date,'Loan Tape (S&amp;P)'!L2559,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60">
      <c r="J2560">
        <f>LET(
    lien,'Loan Tape (S&amp;P)'!Q2560,
    IF(lien="First",1.00,
        IF(lien="Second",1.50,
            1.70)))</f>
        <v/>
      </c>
      <c r="K2560">
        <f>LET(
    purpose,'Loan Tape (S&amp;P)'!R2560,
    IF(purpose="Purchase",1.00,
        IF(purpose="Remortgage",1.00,
            1.20)))</f>
        <v/>
      </c>
      <c r="L2560">
        <f>LET(
    arrears_months,'Loan Tape (S&amp;P)'!AN2560,
    IF(arrears_months=0,1.00,
    IF(arrears_months=1,3.00,
    IF(arrears_months=2,5.00,
    IF(arrears_months=3,8.00,
    IF(arrears_months=4,10.00,
    IF(arrears_months=5,12.00,15.00)))))))</f>
        <v/>
      </c>
      <c r="M2560">
        <f>LET(
    seasoning_years,DATEDIF('Loan Tape (S&amp;P)'!K2560,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60">
        <f>IF(AND('Loan Tape (S&amp;P)'!U2560="Yes",
        'Loan Tape (S&amp;P)'!T2560&lt;&gt;"Yes",
        DATEDIF('Loan Tape (S&amp;P)'!K2560, TODAY(), "M")&lt;18),
    1.10,
    1.00)</f>
        <v/>
      </c>
      <c r="O2560">
        <f>IF('Loan Tape (S&amp;P)'!T2560="Yes",
    1.35,
    1.00)</f>
        <v/>
      </c>
      <c r="P2560">
        <f>IF('Loan Tape (S&amp;P)'!S2560="Yes",
    1.15,
    1.00)</f>
        <v/>
      </c>
      <c r="Q2560">
        <f>IF('Loan Tape (S&amp;P)'!V2560="Yes",
    1.20,
    1.00)</f>
        <v/>
      </c>
      <c r="T2560">
        <f>LET(
    payment_method,'Loan Tape (S&amp;P)'!P2560,
    occupancy,'Loan Tape (S&amp;P)'!N2560,
    maturity_date,'Loan Tape (S&amp;P)'!L2560,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61">
      <c r="J2561">
        <f>LET(
    lien,'Loan Tape (S&amp;P)'!Q2561,
    IF(lien="First",1.00,
        IF(lien="Second",1.50,
            1.70)))</f>
        <v/>
      </c>
      <c r="K2561">
        <f>LET(
    purpose,'Loan Tape (S&amp;P)'!R2561,
    IF(purpose="Purchase",1.00,
        IF(purpose="Remortgage",1.00,
            1.20)))</f>
        <v/>
      </c>
      <c r="L2561">
        <f>LET(
    arrears_months,'Loan Tape (S&amp;P)'!AN2561,
    IF(arrears_months=0,1.00,
    IF(arrears_months=1,3.00,
    IF(arrears_months=2,5.00,
    IF(arrears_months=3,8.00,
    IF(arrears_months=4,10.00,
    IF(arrears_months=5,12.00,15.00)))))))</f>
        <v/>
      </c>
      <c r="M2561">
        <f>LET(
    seasoning_years,DATEDIF('Loan Tape (S&amp;P)'!K2561,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61">
        <f>IF(AND('Loan Tape (S&amp;P)'!U2561="Yes",
        'Loan Tape (S&amp;P)'!T2561&lt;&gt;"Yes",
        DATEDIF('Loan Tape (S&amp;P)'!K2561, TODAY(), "M")&lt;18),
    1.10,
    1.00)</f>
        <v/>
      </c>
      <c r="O2561">
        <f>IF('Loan Tape (S&amp;P)'!T2561="Yes",
    1.35,
    1.00)</f>
        <v/>
      </c>
      <c r="P2561">
        <f>IF('Loan Tape (S&amp;P)'!S2561="Yes",
    1.15,
    1.00)</f>
        <v/>
      </c>
      <c r="Q2561">
        <f>IF('Loan Tape (S&amp;P)'!V2561="Yes",
    1.20,
    1.00)</f>
        <v/>
      </c>
      <c r="T2561">
        <f>LET(
    payment_method,'Loan Tape (S&amp;P)'!P2561,
    occupancy,'Loan Tape (S&amp;P)'!N2561,
    maturity_date,'Loan Tape (S&amp;P)'!L2561,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62">
      <c r="J2562">
        <f>LET(
    lien,'Loan Tape (S&amp;P)'!Q2562,
    IF(lien="First",1.00,
        IF(lien="Second",1.50,
            1.70)))</f>
        <v/>
      </c>
      <c r="K2562">
        <f>LET(
    purpose,'Loan Tape (S&amp;P)'!R2562,
    IF(purpose="Purchase",1.00,
        IF(purpose="Remortgage",1.00,
            1.20)))</f>
        <v/>
      </c>
      <c r="L2562">
        <f>LET(
    arrears_months,'Loan Tape (S&amp;P)'!AN2562,
    IF(arrears_months=0,1.00,
    IF(arrears_months=1,3.00,
    IF(arrears_months=2,5.00,
    IF(arrears_months=3,8.00,
    IF(arrears_months=4,10.00,
    IF(arrears_months=5,12.00,15.00)))))))</f>
        <v/>
      </c>
      <c r="M2562">
        <f>LET(
    seasoning_years,DATEDIF('Loan Tape (S&amp;P)'!K2562,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62">
        <f>IF(AND('Loan Tape (S&amp;P)'!U2562="Yes",
        'Loan Tape (S&amp;P)'!T2562&lt;&gt;"Yes",
        DATEDIF('Loan Tape (S&amp;P)'!K2562, TODAY(), "M")&lt;18),
    1.10,
    1.00)</f>
        <v/>
      </c>
      <c r="O2562">
        <f>IF('Loan Tape (S&amp;P)'!T2562="Yes",
    1.35,
    1.00)</f>
        <v/>
      </c>
      <c r="P2562">
        <f>IF('Loan Tape (S&amp;P)'!S2562="Yes",
    1.15,
    1.00)</f>
        <v/>
      </c>
      <c r="Q2562">
        <f>IF('Loan Tape (S&amp;P)'!V2562="Yes",
    1.20,
    1.00)</f>
        <v/>
      </c>
      <c r="T2562">
        <f>LET(
    payment_method,'Loan Tape (S&amp;P)'!P2562,
    occupancy,'Loan Tape (S&amp;P)'!N2562,
    maturity_date,'Loan Tape (S&amp;P)'!L2562,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63">
      <c r="J2563">
        <f>LET(
    lien,'Loan Tape (S&amp;P)'!Q2563,
    IF(lien="First",1.00,
        IF(lien="Second",1.50,
            1.70)))</f>
        <v/>
      </c>
      <c r="K2563">
        <f>LET(
    purpose,'Loan Tape (S&amp;P)'!R2563,
    IF(purpose="Purchase",1.00,
        IF(purpose="Remortgage",1.00,
            1.20)))</f>
        <v/>
      </c>
      <c r="L2563">
        <f>LET(
    arrears_months,'Loan Tape (S&amp;P)'!AN2563,
    IF(arrears_months=0,1.00,
    IF(arrears_months=1,3.00,
    IF(arrears_months=2,5.00,
    IF(arrears_months=3,8.00,
    IF(arrears_months=4,10.00,
    IF(arrears_months=5,12.00,15.00)))))))</f>
        <v/>
      </c>
      <c r="M2563">
        <f>LET(
    seasoning_years,DATEDIF('Loan Tape (S&amp;P)'!K2563,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63">
        <f>IF(AND('Loan Tape (S&amp;P)'!U2563="Yes",
        'Loan Tape (S&amp;P)'!T2563&lt;&gt;"Yes",
        DATEDIF('Loan Tape (S&amp;P)'!K2563, TODAY(), "M")&lt;18),
    1.10,
    1.00)</f>
        <v/>
      </c>
      <c r="O2563">
        <f>IF('Loan Tape (S&amp;P)'!T2563="Yes",
    1.35,
    1.00)</f>
        <v/>
      </c>
      <c r="P2563">
        <f>IF('Loan Tape (S&amp;P)'!S2563="Yes",
    1.15,
    1.00)</f>
        <v/>
      </c>
      <c r="Q2563">
        <f>IF('Loan Tape (S&amp;P)'!V2563="Yes",
    1.20,
    1.00)</f>
        <v/>
      </c>
      <c r="T2563">
        <f>LET(
    payment_method,'Loan Tape (S&amp;P)'!P2563,
    occupancy,'Loan Tape (S&amp;P)'!N2563,
    maturity_date,'Loan Tape (S&amp;P)'!L2563,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64">
      <c r="J2564">
        <f>LET(
    lien,'Loan Tape (S&amp;P)'!Q2564,
    IF(lien="First",1.00,
        IF(lien="Second",1.50,
            1.70)))</f>
        <v/>
      </c>
      <c r="K2564">
        <f>LET(
    purpose,'Loan Tape (S&amp;P)'!R2564,
    IF(purpose="Purchase",1.00,
        IF(purpose="Remortgage",1.00,
            1.20)))</f>
        <v/>
      </c>
      <c r="L2564">
        <f>LET(
    arrears_months,'Loan Tape (S&amp;P)'!AN2564,
    IF(arrears_months=0,1.00,
    IF(arrears_months=1,3.00,
    IF(arrears_months=2,5.00,
    IF(arrears_months=3,8.00,
    IF(arrears_months=4,10.00,
    IF(arrears_months=5,12.00,15.00)))))))</f>
        <v/>
      </c>
      <c r="M2564">
        <f>LET(
    seasoning_years,DATEDIF('Loan Tape (S&amp;P)'!K2564,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64">
        <f>IF(AND('Loan Tape (S&amp;P)'!U2564="Yes",
        'Loan Tape (S&amp;P)'!T2564&lt;&gt;"Yes",
        DATEDIF('Loan Tape (S&amp;P)'!K2564, TODAY(), "M")&lt;18),
    1.10,
    1.00)</f>
        <v/>
      </c>
      <c r="O2564">
        <f>IF('Loan Tape (S&amp;P)'!T2564="Yes",
    1.35,
    1.00)</f>
        <v/>
      </c>
      <c r="P2564">
        <f>IF('Loan Tape (S&amp;P)'!S2564="Yes",
    1.15,
    1.00)</f>
        <v/>
      </c>
      <c r="Q2564">
        <f>IF('Loan Tape (S&amp;P)'!V2564="Yes",
    1.20,
    1.00)</f>
        <v/>
      </c>
      <c r="T2564">
        <f>LET(
    payment_method,'Loan Tape (S&amp;P)'!P2564,
    occupancy,'Loan Tape (S&amp;P)'!N2564,
    maturity_date,'Loan Tape (S&amp;P)'!L2564,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65">
      <c r="J2565">
        <f>LET(
    lien,'Loan Tape (S&amp;P)'!Q2565,
    IF(lien="First",1.00,
        IF(lien="Second",1.50,
            1.70)))</f>
        <v/>
      </c>
      <c r="K2565">
        <f>LET(
    purpose,'Loan Tape (S&amp;P)'!R2565,
    IF(purpose="Purchase",1.00,
        IF(purpose="Remortgage",1.00,
            1.20)))</f>
        <v/>
      </c>
      <c r="L2565">
        <f>LET(
    arrears_months,'Loan Tape (S&amp;P)'!AN2565,
    IF(arrears_months=0,1.00,
    IF(arrears_months=1,3.00,
    IF(arrears_months=2,5.00,
    IF(arrears_months=3,8.00,
    IF(arrears_months=4,10.00,
    IF(arrears_months=5,12.00,15.00)))))))</f>
        <v/>
      </c>
      <c r="M2565">
        <f>LET(
    seasoning_years,DATEDIF('Loan Tape (S&amp;P)'!K2565,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65">
        <f>IF(AND('Loan Tape (S&amp;P)'!U2565="Yes",
        'Loan Tape (S&amp;P)'!T2565&lt;&gt;"Yes",
        DATEDIF('Loan Tape (S&amp;P)'!K2565, TODAY(), "M")&lt;18),
    1.10,
    1.00)</f>
        <v/>
      </c>
      <c r="O2565">
        <f>IF('Loan Tape (S&amp;P)'!T2565="Yes",
    1.35,
    1.00)</f>
        <v/>
      </c>
      <c r="P2565">
        <f>IF('Loan Tape (S&amp;P)'!S2565="Yes",
    1.15,
    1.00)</f>
        <v/>
      </c>
      <c r="Q2565">
        <f>IF('Loan Tape (S&amp;P)'!V2565="Yes",
    1.20,
    1.00)</f>
        <v/>
      </c>
      <c r="T2565">
        <f>LET(
    payment_method,'Loan Tape (S&amp;P)'!P2565,
    occupancy,'Loan Tape (S&amp;P)'!N2565,
    maturity_date,'Loan Tape (S&amp;P)'!L2565,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66">
      <c r="J2566">
        <f>LET(
    lien,'Loan Tape (S&amp;P)'!Q2566,
    IF(lien="First",1.00,
        IF(lien="Second",1.50,
            1.70)))</f>
        <v/>
      </c>
      <c r="K2566">
        <f>LET(
    purpose,'Loan Tape (S&amp;P)'!R2566,
    IF(purpose="Purchase",1.00,
        IF(purpose="Remortgage",1.00,
            1.20)))</f>
        <v/>
      </c>
      <c r="L2566">
        <f>LET(
    arrears_months,'Loan Tape (S&amp;P)'!AN2566,
    IF(arrears_months=0,1.00,
    IF(arrears_months=1,3.00,
    IF(arrears_months=2,5.00,
    IF(arrears_months=3,8.00,
    IF(arrears_months=4,10.00,
    IF(arrears_months=5,12.00,15.00)))))))</f>
        <v/>
      </c>
      <c r="M2566">
        <f>LET(
    seasoning_years,DATEDIF('Loan Tape (S&amp;P)'!K2566,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66">
        <f>IF(AND('Loan Tape (S&amp;P)'!U2566="Yes",
        'Loan Tape (S&amp;P)'!T2566&lt;&gt;"Yes",
        DATEDIF('Loan Tape (S&amp;P)'!K2566, TODAY(), "M")&lt;18),
    1.10,
    1.00)</f>
        <v/>
      </c>
      <c r="O2566">
        <f>IF('Loan Tape (S&amp;P)'!T2566="Yes",
    1.35,
    1.00)</f>
        <v/>
      </c>
      <c r="P2566">
        <f>IF('Loan Tape (S&amp;P)'!S2566="Yes",
    1.15,
    1.00)</f>
        <v/>
      </c>
      <c r="Q2566">
        <f>IF('Loan Tape (S&amp;P)'!V2566="Yes",
    1.20,
    1.00)</f>
        <v/>
      </c>
      <c r="T2566">
        <f>LET(
    payment_method,'Loan Tape (S&amp;P)'!P2566,
    occupancy,'Loan Tape (S&amp;P)'!N2566,
    maturity_date,'Loan Tape (S&amp;P)'!L2566,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67">
      <c r="J2567">
        <f>LET(
    lien,'Loan Tape (S&amp;P)'!Q2567,
    IF(lien="First",1.00,
        IF(lien="Second",1.50,
            1.70)))</f>
        <v/>
      </c>
      <c r="K2567">
        <f>LET(
    purpose,'Loan Tape (S&amp;P)'!R2567,
    IF(purpose="Purchase",1.00,
        IF(purpose="Remortgage",1.00,
            1.20)))</f>
        <v/>
      </c>
      <c r="L2567">
        <f>LET(
    arrears_months,'Loan Tape (S&amp;P)'!AN2567,
    IF(arrears_months=0,1.00,
    IF(arrears_months=1,3.00,
    IF(arrears_months=2,5.00,
    IF(arrears_months=3,8.00,
    IF(arrears_months=4,10.00,
    IF(arrears_months=5,12.00,15.00)))))))</f>
        <v/>
      </c>
      <c r="M2567">
        <f>LET(
    seasoning_years,DATEDIF('Loan Tape (S&amp;P)'!K2567,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67">
        <f>IF(AND('Loan Tape (S&amp;P)'!U2567="Yes",
        'Loan Tape (S&amp;P)'!T2567&lt;&gt;"Yes",
        DATEDIF('Loan Tape (S&amp;P)'!K2567, TODAY(), "M")&lt;18),
    1.10,
    1.00)</f>
        <v/>
      </c>
      <c r="O2567">
        <f>IF('Loan Tape (S&amp;P)'!T2567="Yes",
    1.35,
    1.00)</f>
        <v/>
      </c>
      <c r="P2567">
        <f>IF('Loan Tape (S&amp;P)'!S2567="Yes",
    1.15,
    1.00)</f>
        <v/>
      </c>
      <c r="Q2567">
        <f>IF('Loan Tape (S&amp;P)'!V2567="Yes",
    1.20,
    1.00)</f>
        <v/>
      </c>
      <c r="T2567">
        <f>LET(
    payment_method,'Loan Tape (S&amp;P)'!P2567,
    occupancy,'Loan Tape (S&amp;P)'!N2567,
    maturity_date,'Loan Tape (S&amp;P)'!L2567,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68">
      <c r="J2568">
        <f>LET(
    lien,'Loan Tape (S&amp;P)'!Q2568,
    IF(lien="First",1.00,
        IF(lien="Second",1.50,
            1.70)))</f>
        <v/>
      </c>
      <c r="K2568">
        <f>LET(
    purpose,'Loan Tape (S&amp;P)'!R2568,
    IF(purpose="Purchase",1.00,
        IF(purpose="Remortgage",1.00,
            1.20)))</f>
        <v/>
      </c>
      <c r="L2568">
        <f>LET(
    arrears_months,'Loan Tape (S&amp;P)'!AN2568,
    IF(arrears_months=0,1.00,
    IF(arrears_months=1,3.00,
    IF(arrears_months=2,5.00,
    IF(arrears_months=3,8.00,
    IF(arrears_months=4,10.00,
    IF(arrears_months=5,12.00,15.00)))))))</f>
        <v/>
      </c>
      <c r="M2568">
        <f>LET(
    seasoning_years,DATEDIF('Loan Tape (S&amp;P)'!K2568,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68">
        <f>IF(AND('Loan Tape (S&amp;P)'!U2568="Yes",
        'Loan Tape (S&amp;P)'!T2568&lt;&gt;"Yes",
        DATEDIF('Loan Tape (S&amp;P)'!K2568, TODAY(), "M")&lt;18),
    1.10,
    1.00)</f>
        <v/>
      </c>
      <c r="O2568">
        <f>IF('Loan Tape (S&amp;P)'!T2568="Yes",
    1.35,
    1.00)</f>
        <v/>
      </c>
      <c r="P2568">
        <f>IF('Loan Tape (S&amp;P)'!S2568="Yes",
    1.15,
    1.00)</f>
        <v/>
      </c>
      <c r="Q2568">
        <f>IF('Loan Tape (S&amp;P)'!V2568="Yes",
    1.20,
    1.00)</f>
        <v/>
      </c>
      <c r="T2568">
        <f>LET(
    payment_method,'Loan Tape (S&amp;P)'!P2568,
    occupancy,'Loan Tape (S&amp;P)'!N2568,
    maturity_date,'Loan Tape (S&amp;P)'!L2568,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69">
      <c r="J2569">
        <f>LET(
    lien,'Loan Tape (S&amp;P)'!Q2569,
    IF(lien="First",1.00,
        IF(lien="Second",1.50,
            1.70)))</f>
        <v/>
      </c>
      <c r="K2569">
        <f>LET(
    purpose,'Loan Tape (S&amp;P)'!R2569,
    IF(purpose="Purchase",1.00,
        IF(purpose="Remortgage",1.00,
            1.20)))</f>
        <v/>
      </c>
      <c r="L2569">
        <f>LET(
    arrears_months,'Loan Tape (S&amp;P)'!AN2569,
    IF(arrears_months=0,1.00,
    IF(arrears_months=1,3.00,
    IF(arrears_months=2,5.00,
    IF(arrears_months=3,8.00,
    IF(arrears_months=4,10.00,
    IF(arrears_months=5,12.00,15.00)))))))</f>
        <v/>
      </c>
      <c r="M2569">
        <f>LET(
    seasoning_years,DATEDIF('Loan Tape (S&amp;P)'!K2569,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69">
        <f>IF(AND('Loan Tape (S&amp;P)'!U2569="Yes",
        'Loan Tape (S&amp;P)'!T2569&lt;&gt;"Yes",
        DATEDIF('Loan Tape (S&amp;P)'!K2569, TODAY(), "M")&lt;18),
    1.10,
    1.00)</f>
        <v/>
      </c>
      <c r="O2569">
        <f>IF('Loan Tape (S&amp;P)'!T2569="Yes",
    1.35,
    1.00)</f>
        <v/>
      </c>
      <c r="P2569">
        <f>IF('Loan Tape (S&amp;P)'!S2569="Yes",
    1.15,
    1.00)</f>
        <v/>
      </c>
      <c r="Q2569">
        <f>IF('Loan Tape (S&amp;P)'!V2569="Yes",
    1.20,
    1.00)</f>
        <v/>
      </c>
      <c r="T2569">
        <f>LET(
    payment_method,'Loan Tape (S&amp;P)'!P2569,
    occupancy,'Loan Tape (S&amp;P)'!N2569,
    maturity_date,'Loan Tape (S&amp;P)'!L2569,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70">
      <c r="J2570">
        <f>LET(
    lien,'Loan Tape (S&amp;P)'!Q2570,
    IF(lien="First",1.00,
        IF(lien="Second",1.50,
            1.70)))</f>
        <v/>
      </c>
      <c r="K2570">
        <f>LET(
    purpose,'Loan Tape (S&amp;P)'!R2570,
    IF(purpose="Purchase",1.00,
        IF(purpose="Remortgage",1.00,
            1.20)))</f>
        <v/>
      </c>
      <c r="L2570">
        <f>LET(
    arrears_months,'Loan Tape (S&amp;P)'!AN2570,
    IF(arrears_months=0,1.00,
    IF(arrears_months=1,3.00,
    IF(arrears_months=2,5.00,
    IF(arrears_months=3,8.00,
    IF(arrears_months=4,10.00,
    IF(arrears_months=5,12.00,15.00)))))))</f>
        <v/>
      </c>
      <c r="M2570">
        <f>LET(
    seasoning_years,DATEDIF('Loan Tape (S&amp;P)'!K2570,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70">
        <f>IF(AND('Loan Tape (S&amp;P)'!U2570="Yes",
        'Loan Tape (S&amp;P)'!T2570&lt;&gt;"Yes",
        DATEDIF('Loan Tape (S&amp;P)'!K2570, TODAY(), "M")&lt;18),
    1.10,
    1.00)</f>
        <v/>
      </c>
      <c r="O2570">
        <f>IF('Loan Tape (S&amp;P)'!T2570="Yes",
    1.35,
    1.00)</f>
        <v/>
      </c>
      <c r="P2570">
        <f>IF('Loan Tape (S&amp;P)'!S2570="Yes",
    1.15,
    1.00)</f>
        <v/>
      </c>
      <c r="Q2570">
        <f>IF('Loan Tape (S&amp;P)'!V2570="Yes",
    1.20,
    1.00)</f>
        <v/>
      </c>
      <c r="T2570">
        <f>LET(
    payment_method,'Loan Tape (S&amp;P)'!P2570,
    occupancy,'Loan Tape (S&amp;P)'!N2570,
    maturity_date,'Loan Tape (S&amp;P)'!L2570,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71">
      <c r="J2571">
        <f>LET(
    lien,'Loan Tape (S&amp;P)'!Q2571,
    IF(lien="First",1.00,
        IF(lien="Second",1.50,
            1.70)))</f>
        <v/>
      </c>
      <c r="K2571">
        <f>LET(
    purpose,'Loan Tape (S&amp;P)'!R2571,
    IF(purpose="Purchase",1.00,
        IF(purpose="Remortgage",1.00,
            1.20)))</f>
        <v/>
      </c>
      <c r="L2571">
        <f>LET(
    arrears_months,'Loan Tape (S&amp;P)'!AN2571,
    IF(arrears_months=0,1.00,
    IF(arrears_months=1,3.00,
    IF(arrears_months=2,5.00,
    IF(arrears_months=3,8.00,
    IF(arrears_months=4,10.00,
    IF(arrears_months=5,12.00,15.00)))))))</f>
        <v/>
      </c>
      <c r="M2571">
        <f>LET(
    seasoning_years,DATEDIF('Loan Tape (S&amp;P)'!K2571,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71">
        <f>IF(AND('Loan Tape (S&amp;P)'!U2571="Yes",
        'Loan Tape (S&amp;P)'!T2571&lt;&gt;"Yes",
        DATEDIF('Loan Tape (S&amp;P)'!K2571, TODAY(), "M")&lt;18),
    1.10,
    1.00)</f>
        <v/>
      </c>
      <c r="O2571">
        <f>IF('Loan Tape (S&amp;P)'!T2571="Yes",
    1.35,
    1.00)</f>
        <v/>
      </c>
      <c r="P2571">
        <f>IF('Loan Tape (S&amp;P)'!S2571="Yes",
    1.15,
    1.00)</f>
        <v/>
      </c>
      <c r="Q2571">
        <f>IF('Loan Tape (S&amp;P)'!V2571="Yes",
    1.20,
    1.00)</f>
        <v/>
      </c>
      <c r="T2571">
        <f>LET(
    payment_method,'Loan Tape (S&amp;P)'!P2571,
    occupancy,'Loan Tape (S&amp;P)'!N2571,
    maturity_date,'Loan Tape (S&amp;P)'!L2571,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72">
      <c r="J2572">
        <f>LET(
    lien,'Loan Tape (S&amp;P)'!Q2572,
    IF(lien="First",1.00,
        IF(lien="Second",1.50,
            1.70)))</f>
        <v/>
      </c>
      <c r="K2572">
        <f>LET(
    purpose,'Loan Tape (S&amp;P)'!R2572,
    IF(purpose="Purchase",1.00,
        IF(purpose="Remortgage",1.00,
            1.20)))</f>
        <v/>
      </c>
      <c r="L2572">
        <f>LET(
    arrears_months,'Loan Tape (S&amp;P)'!AN2572,
    IF(arrears_months=0,1.00,
    IF(arrears_months=1,3.00,
    IF(arrears_months=2,5.00,
    IF(arrears_months=3,8.00,
    IF(arrears_months=4,10.00,
    IF(arrears_months=5,12.00,15.00)))))))</f>
        <v/>
      </c>
      <c r="M2572">
        <f>LET(
    seasoning_years,DATEDIF('Loan Tape (S&amp;P)'!K2572,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72">
        <f>IF(AND('Loan Tape (S&amp;P)'!U2572="Yes",
        'Loan Tape (S&amp;P)'!T2572&lt;&gt;"Yes",
        DATEDIF('Loan Tape (S&amp;P)'!K2572, TODAY(), "M")&lt;18),
    1.10,
    1.00)</f>
        <v/>
      </c>
      <c r="O2572">
        <f>IF('Loan Tape (S&amp;P)'!T2572="Yes",
    1.35,
    1.00)</f>
        <v/>
      </c>
      <c r="P2572">
        <f>IF('Loan Tape (S&amp;P)'!S2572="Yes",
    1.15,
    1.00)</f>
        <v/>
      </c>
      <c r="Q2572">
        <f>IF('Loan Tape (S&amp;P)'!V2572="Yes",
    1.20,
    1.00)</f>
        <v/>
      </c>
      <c r="T2572">
        <f>LET(
    payment_method,'Loan Tape (S&amp;P)'!P2572,
    occupancy,'Loan Tape (S&amp;P)'!N2572,
    maturity_date,'Loan Tape (S&amp;P)'!L2572,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73">
      <c r="J2573">
        <f>LET(
    lien,'Loan Tape (S&amp;P)'!Q2573,
    IF(lien="First",1.00,
        IF(lien="Second",1.50,
            1.70)))</f>
        <v/>
      </c>
      <c r="K2573">
        <f>LET(
    purpose,'Loan Tape (S&amp;P)'!R2573,
    IF(purpose="Purchase",1.00,
        IF(purpose="Remortgage",1.00,
            1.20)))</f>
        <v/>
      </c>
      <c r="L2573">
        <f>LET(
    arrears_months,'Loan Tape (S&amp;P)'!AN2573,
    IF(arrears_months=0,1.00,
    IF(arrears_months=1,3.00,
    IF(arrears_months=2,5.00,
    IF(arrears_months=3,8.00,
    IF(arrears_months=4,10.00,
    IF(arrears_months=5,12.00,15.00)))))))</f>
        <v/>
      </c>
      <c r="M2573">
        <f>LET(
    seasoning_years,DATEDIF('Loan Tape (S&amp;P)'!K2573,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73">
        <f>IF(AND('Loan Tape (S&amp;P)'!U2573="Yes",
        'Loan Tape (S&amp;P)'!T2573&lt;&gt;"Yes",
        DATEDIF('Loan Tape (S&amp;P)'!K2573, TODAY(), "M")&lt;18),
    1.10,
    1.00)</f>
        <v/>
      </c>
      <c r="O2573">
        <f>IF('Loan Tape (S&amp;P)'!T2573="Yes",
    1.35,
    1.00)</f>
        <v/>
      </c>
      <c r="P2573">
        <f>IF('Loan Tape (S&amp;P)'!S2573="Yes",
    1.15,
    1.00)</f>
        <v/>
      </c>
      <c r="Q2573">
        <f>IF('Loan Tape (S&amp;P)'!V2573="Yes",
    1.20,
    1.00)</f>
        <v/>
      </c>
      <c r="T2573">
        <f>LET(
    payment_method,'Loan Tape (S&amp;P)'!P2573,
    occupancy,'Loan Tape (S&amp;P)'!N2573,
    maturity_date,'Loan Tape (S&amp;P)'!L2573,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74">
      <c r="J2574">
        <f>LET(
    lien,'Loan Tape (S&amp;P)'!Q2574,
    IF(lien="First",1.00,
        IF(lien="Second",1.50,
            1.70)))</f>
        <v/>
      </c>
      <c r="K2574">
        <f>LET(
    purpose,'Loan Tape (S&amp;P)'!R2574,
    IF(purpose="Purchase",1.00,
        IF(purpose="Remortgage",1.00,
            1.20)))</f>
        <v/>
      </c>
      <c r="L2574">
        <f>LET(
    arrears_months,'Loan Tape (S&amp;P)'!AN2574,
    IF(arrears_months=0,1.00,
    IF(arrears_months=1,3.00,
    IF(arrears_months=2,5.00,
    IF(arrears_months=3,8.00,
    IF(arrears_months=4,10.00,
    IF(arrears_months=5,12.00,15.00)))))))</f>
        <v/>
      </c>
      <c r="M2574">
        <f>LET(
    seasoning_years,DATEDIF('Loan Tape (S&amp;P)'!K2574,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74">
        <f>IF(AND('Loan Tape (S&amp;P)'!U2574="Yes",
        'Loan Tape (S&amp;P)'!T2574&lt;&gt;"Yes",
        DATEDIF('Loan Tape (S&amp;P)'!K2574, TODAY(), "M")&lt;18),
    1.10,
    1.00)</f>
        <v/>
      </c>
      <c r="O2574">
        <f>IF('Loan Tape (S&amp;P)'!T2574="Yes",
    1.35,
    1.00)</f>
        <v/>
      </c>
      <c r="P2574">
        <f>IF('Loan Tape (S&amp;P)'!S2574="Yes",
    1.15,
    1.00)</f>
        <v/>
      </c>
      <c r="Q2574">
        <f>IF('Loan Tape (S&amp;P)'!V2574="Yes",
    1.20,
    1.00)</f>
        <v/>
      </c>
      <c r="T2574">
        <f>LET(
    payment_method,'Loan Tape (S&amp;P)'!P2574,
    occupancy,'Loan Tape (S&amp;P)'!N2574,
    maturity_date,'Loan Tape (S&amp;P)'!L2574,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75">
      <c r="J2575">
        <f>LET(
    lien,'Loan Tape (S&amp;P)'!Q2575,
    IF(lien="First",1.00,
        IF(lien="Second",1.50,
            1.70)))</f>
        <v/>
      </c>
      <c r="K2575">
        <f>LET(
    purpose,'Loan Tape (S&amp;P)'!R2575,
    IF(purpose="Purchase",1.00,
        IF(purpose="Remortgage",1.00,
            1.20)))</f>
        <v/>
      </c>
      <c r="L2575">
        <f>LET(
    arrears_months,'Loan Tape (S&amp;P)'!AN2575,
    IF(arrears_months=0,1.00,
    IF(arrears_months=1,3.00,
    IF(arrears_months=2,5.00,
    IF(arrears_months=3,8.00,
    IF(arrears_months=4,10.00,
    IF(arrears_months=5,12.00,15.00)))))))</f>
        <v/>
      </c>
      <c r="M2575">
        <f>LET(
    seasoning_years,DATEDIF('Loan Tape (S&amp;P)'!K2575,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75">
        <f>IF(AND('Loan Tape (S&amp;P)'!U2575="Yes",
        'Loan Tape (S&amp;P)'!T2575&lt;&gt;"Yes",
        DATEDIF('Loan Tape (S&amp;P)'!K2575, TODAY(), "M")&lt;18),
    1.10,
    1.00)</f>
        <v/>
      </c>
      <c r="O2575">
        <f>IF('Loan Tape (S&amp;P)'!T2575="Yes",
    1.35,
    1.00)</f>
        <v/>
      </c>
      <c r="P2575">
        <f>IF('Loan Tape (S&amp;P)'!S2575="Yes",
    1.15,
    1.00)</f>
        <v/>
      </c>
      <c r="Q2575">
        <f>IF('Loan Tape (S&amp;P)'!V2575="Yes",
    1.20,
    1.00)</f>
        <v/>
      </c>
      <c r="T2575">
        <f>LET(
    payment_method,'Loan Tape (S&amp;P)'!P2575,
    occupancy,'Loan Tape (S&amp;P)'!N2575,
    maturity_date,'Loan Tape (S&amp;P)'!L2575,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76">
      <c r="J2576">
        <f>LET(
    lien,'Loan Tape (S&amp;P)'!Q2576,
    IF(lien="First",1.00,
        IF(lien="Second",1.50,
            1.70)))</f>
        <v/>
      </c>
      <c r="K2576">
        <f>LET(
    purpose,'Loan Tape (S&amp;P)'!R2576,
    IF(purpose="Purchase",1.00,
        IF(purpose="Remortgage",1.00,
            1.20)))</f>
        <v/>
      </c>
      <c r="L2576">
        <f>LET(
    arrears_months,'Loan Tape (S&amp;P)'!AN2576,
    IF(arrears_months=0,1.00,
    IF(arrears_months=1,3.00,
    IF(arrears_months=2,5.00,
    IF(arrears_months=3,8.00,
    IF(arrears_months=4,10.00,
    IF(arrears_months=5,12.00,15.00)))))))</f>
        <v/>
      </c>
      <c r="M2576">
        <f>LET(
    seasoning_years,DATEDIF('Loan Tape (S&amp;P)'!K2576,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76">
        <f>IF(AND('Loan Tape (S&amp;P)'!U2576="Yes",
        'Loan Tape (S&amp;P)'!T2576&lt;&gt;"Yes",
        DATEDIF('Loan Tape (S&amp;P)'!K2576, TODAY(), "M")&lt;18),
    1.10,
    1.00)</f>
        <v/>
      </c>
      <c r="O2576">
        <f>IF('Loan Tape (S&amp;P)'!T2576="Yes",
    1.35,
    1.00)</f>
        <v/>
      </c>
      <c r="P2576">
        <f>IF('Loan Tape (S&amp;P)'!S2576="Yes",
    1.15,
    1.00)</f>
        <v/>
      </c>
      <c r="Q2576">
        <f>IF('Loan Tape (S&amp;P)'!V2576="Yes",
    1.20,
    1.00)</f>
        <v/>
      </c>
      <c r="T2576">
        <f>LET(
    payment_method,'Loan Tape (S&amp;P)'!P2576,
    occupancy,'Loan Tape (S&amp;P)'!N2576,
    maturity_date,'Loan Tape (S&amp;P)'!L2576,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77">
      <c r="J2577">
        <f>LET(
    lien,'Loan Tape (S&amp;P)'!Q2577,
    IF(lien="First",1.00,
        IF(lien="Second",1.50,
            1.70)))</f>
        <v/>
      </c>
      <c r="K2577">
        <f>LET(
    purpose,'Loan Tape (S&amp;P)'!R2577,
    IF(purpose="Purchase",1.00,
        IF(purpose="Remortgage",1.00,
            1.20)))</f>
        <v/>
      </c>
      <c r="L2577">
        <f>LET(
    arrears_months,'Loan Tape (S&amp;P)'!AN2577,
    IF(arrears_months=0,1.00,
    IF(arrears_months=1,3.00,
    IF(arrears_months=2,5.00,
    IF(arrears_months=3,8.00,
    IF(arrears_months=4,10.00,
    IF(arrears_months=5,12.00,15.00)))))))</f>
        <v/>
      </c>
      <c r="M2577">
        <f>LET(
    seasoning_years,DATEDIF('Loan Tape (S&amp;P)'!K2577,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77">
        <f>IF(AND('Loan Tape (S&amp;P)'!U2577="Yes",
        'Loan Tape (S&amp;P)'!T2577&lt;&gt;"Yes",
        DATEDIF('Loan Tape (S&amp;P)'!K2577, TODAY(), "M")&lt;18),
    1.10,
    1.00)</f>
        <v/>
      </c>
      <c r="O2577">
        <f>IF('Loan Tape (S&amp;P)'!T2577="Yes",
    1.35,
    1.00)</f>
        <v/>
      </c>
      <c r="P2577">
        <f>IF('Loan Tape (S&amp;P)'!S2577="Yes",
    1.15,
    1.00)</f>
        <v/>
      </c>
      <c r="Q2577">
        <f>IF('Loan Tape (S&amp;P)'!V2577="Yes",
    1.20,
    1.00)</f>
        <v/>
      </c>
      <c r="T2577">
        <f>LET(
    payment_method,'Loan Tape (S&amp;P)'!P2577,
    occupancy,'Loan Tape (S&amp;P)'!N2577,
    maturity_date,'Loan Tape (S&amp;P)'!L2577,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78">
      <c r="J2578">
        <f>LET(
    lien,'Loan Tape (S&amp;P)'!Q2578,
    IF(lien="First",1.00,
        IF(lien="Second",1.50,
            1.70)))</f>
        <v/>
      </c>
      <c r="K2578">
        <f>LET(
    purpose,'Loan Tape (S&amp;P)'!R2578,
    IF(purpose="Purchase",1.00,
        IF(purpose="Remortgage",1.00,
            1.20)))</f>
        <v/>
      </c>
      <c r="L2578">
        <f>LET(
    arrears_months,'Loan Tape (S&amp;P)'!AN2578,
    IF(arrears_months=0,1.00,
    IF(arrears_months=1,3.00,
    IF(arrears_months=2,5.00,
    IF(arrears_months=3,8.00,
    IF(arrears_months=4,10.00,
    IF(arrears_months=5,12.00,15.00)))))))</f>
        <v/>
      </c>
      <c r="M2578">
        <f>LET(
    seasoning_years,DATEDIF('Loan Tape (S&amp;P)'!K2578,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78">
        <f>IF(AND('Loan Tape (S&amp;P)'!U2578="Yes",
        'Loan Tape (S&amp;P)'!T2578&lt;&gt;"Yes",
        DATEDIF('Loan Tape (S&amp;P)'!K2578, TODAY(), "M")&lt;18),
    1.10,
    1.00)</f>
        <v/>
      </c>
      <c r="O2578">
        <f>IF('Loan Tape (S&amp;P)'!T2578="Yes",
    1.35,
    1.00)</f>
        <v/>
      </c>
      <c r="P2578">
        <f>IF('Loan Tape (S&amp;P)'!S2578="Yes",
    1.15,
    1.00)</f>
        <v/>
      </c>
      <c r="Q2578">
        <f>IF('Loan Tape (S&amp;P)'!V2578="Yes",
    1.20,
    1.00)</f>
        <v/>
      </c>
      <c r="T2578">
        <f>LET(
    payment_method,'Loan Tape (S&amp;P)'!P2578,
    occupancy,'Loan Tape (S&amp;P)'!N2578,
    maturity_date,'Loan Tape (S&amp;P)'!L2578,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79">
      <c r="J2579">
        <f>LET(
    lien,'Loan Tape (S&amp;P)'!Q2579,
    IF(lien="First",1.00,
        IF(lien="Second",1.50,
            1.70)))</f>
        <v/>
      </c>
      <c r="K2579">
        <f>LET(
    purpose,'Loan Tape (S&amp;P)'!R2579,
    IF(purpose="Purchase",1.00,
        IF(purpose="Remortgage",1.00,
            1.20)))</f>
        <v/>
      </c>
      <c r="L2579">
        <f>LET(
    arrears_months,'Loan Tape (S&amp;P)'!AN2579,
    IF(arrears_months=0,1.00,
    IF(arrears_months=1,3.00,
    IF(arrears_months=2,5.00,
    IF(arrears_months=3,8.00,
    IF(arrears_months=4,10.00,
    IF(arrears_months=5,12.00,15.00)))))))</f>
        <v/>
      </c>
      <c r="M2579">
        <f>LET(
    seasoning_years,DATEDIF('Loan Tape (S&amp;P)'!K2579,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79">
        <f>IF(AND('Loan Tape (S&amp;P)'!U2579="Yes",
        'Loan Tape (S&amp;P)'!T2579&lt;&gt;"Yes",
        DATEDIF('Loan Tape (S&amp;P)'!K2579, TODAY(), "M")&lt;18),
    1.10,
    1.00)</f>
        <v/>
      </c>
      <c r="O2579">
        <f>IF('Loan Tape (S&amp;P)'!T2579="Yes",
    1.35,
    1.00)</f>
        <v/>
      </c>
      <c r="P2579">
        <f>IF('Loan Tape (S&amp;P)'!S2579="Yes",
    1.15,
    1.00)</f>
        <v/>
      </c>
      <c r="Q2579">
        <f>IF('Loan Tape (S&amp;P)'!V2579="Yes",
    1.20,
    1.00)</f>
        <v/>
      </c>
      <c r="T2579">
        <f>LET(
    payment_method,'Loan Tape (S&amp;P)'!P2579,
    occupancy,'Loan Tape (S&amp;P)'!N2579,
    maturity_date,'Loan Tape (S&amp;P)'!L2579,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80">
      <c r="J2580">
        <f>LET(
    lien,'Loan Tape (S&amp;P)'!Q2580,
    IF(lien="First",1.00,
        IF(lien="Second",1.50,
            1.70)))</f>
        <v/>
      </c>
      <c r="K2580">
        <f>LET(
    purpose,'Loan Tape (S&amp;P)'!R2580,
    IF(purpose="Purchase",1.00,
        IF(purpose="Remortgage",1.00,
            1.20)))</f>
        <v/>
      </c>
      <c r="L2580">
        <f>LET(
    arrears_months,'Loan Tape (S&amp;P)'!AN2580,
    IF(arrears_months=0,1.00,
    IF(arrears_months=1,3.00,
    IF(arrears_months=2,5.00,
    IF(arrears_months=3,8.00,
    IF(arrears_months=4,10.00,
    IF(arrears_months=5,12.00,15.00)))))))</f>
        <v/>
      </c>
      <c r="M2580">
        <f>LET(
    seasoning_years,DATEDIF('Loan Tape (S&amp;P)'!K2580,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80">
        <f>IF(AND('Loan Tape (S&amp;P)'!U2580="Yes",
        'Loan Tape (S&amp;P)'!T2580&lt;&gt;"Yes",
        DATEDIF('Loan Tape (S&amp;P)'!K2580, TODAY(), "M")&lt;18),
    1.10,
    1.00)</f>
        <v/>
      </c>
      <c r="O2580">
        <f>IF('Loan Tape (S&amp;P)'!T2580="Yes",
    1.35,
    1.00)</f>
        <v/>
      </c>
      <c r="P2580">
        <f>IF('Loan Tape (S&amp;P)'!S2580="Yes",
    1.15,
    1.00)</f>
        <v/>
      </c>
      <c r="Q2580">
        <f>IF('Loan Tape (S&amp;P)'!V2580="Yes",
    1.20,
    1.00)</f>
        <v/>
      </c>
      <c r="T2580">
        <f>LET(
    payment_method,'Loan Tape (S&amp;P)'!P2580,
    occupancy,'Loan Tape (S&amp;P)'!N2580,
    maturity_date,'Loan Tape (S&amp;P)'!L2580,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81">
      <c r="J2581">
        <f>LET(
    lien,'Loan Tape (S&amp;P)'!Q2581,
    IF(lien="First",1.00,
        IF(lien="Second",1.50,
            1.70)))</f>
        <v/>
      </c>
      <c r="K2581">
        <f>LET(
    purpose,'Loan Tape (S&amp;P)'!R2581,
    IF(purpose="Purchase",1.00,
        IF(purpose="Remortgage",1.00,
            1.20)))</f>
        <v/>
      </c>
      <c r="L2581">
        <f>LET(
    arrears_months,'Loan Tape (S&amp;P)'!AN2581,
    IF(arrears_months=0,1.00,
    IF(arrears_months=1,3.00,
    IF(arrears_months=2,5.00,
    IF(arrears_months=3,8.00,
    IF(arrears_months=4,10.00,
    IF(arrears_months=5,12.00,15.00)))))))</f>
        <v/>
      </c>
      <c r="M2581">
        <f>LET(
    seasoning_years,DATEDIF('Loan Tape (S&amp;P)'!K2581,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81">
        <f>IF(AND('Loan Tape (S&amp;P)'!U2581="Yes",
        'Loan Tape (S&amp;P)'!T2581&lt;&gt;"Yes",
        DATEDIF('Loan Tape (S&amp;P)'!K2581, TODAY(), "M")&lt;18),
    1.10,
    1.00)</f>
        <v/>
      </c>
      <c r="O2581">
        <f>IF('Loan Tape (S&amp;P)'!T2581="Yes",
    1.35,
    1.00)</f>
        <v/>
      </c>
      <c r="P2581">
        <f>IF('Loan Tape (S&amp;P)'!S2581="Yes",
    1.15,
    1.00)</f>
        <v/>
      </c>
      <c r="Q2581">
        <f>IF('Loan Tape (S&amp;P)'!V2581="Yes",
    1.20,
    1.00)</f>
        <v/>
      </c>
      <c r="T2581">
        <f>LET(
    payment_method,'Loan Tape (S&amp;P)'!P2581,
    occupancy,'Loan Tape (S&amp;P)'!N2581,
    maturity_date,'Loan Tape (S&amp;P)'!L2581,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82">
      <c r="J2582">
        <f>LET(
    lien,'Loan Tape (S&amp;P)'!Q2582,
    IF(lien="First",1.00,
        IF(lien="Second",1.50,
            1.70)))</f>
        <v/>
      </c>
      <c r="K2582">
        <f>LET(
    purpose,'Loan Tape (S&amp;P)'!R2582,
    IF(purpose="Purchase",1.00,
        IF(purpose="Remortgage",1.00,
            1.20)))</f>
        <v/>
      </c>
      <c r="L2582">
        <f>LET(
    arrears_months,'Loan Tape (S&amp;P)'!AN2582,
    IF(arrears_months=0,1.00,
    IF(arrears_months=1,3.00,
    IF(arrears_months=2,5.00,
    IF(arrears_months=3,8.00,
    IF(arrears_months=4,10.00,
    IF(arrears_months=5,12.00,15.00)))))))</f>
        <v/>
      </c>
      <c r="M2582">
        <f>LET(
    seasoning_years,DATEDIF('Loan Tape (S&amp;P)'!K2582,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82">
        <f>IF(AND('Loan Tape (S&amp;P)'!U2582="Yes",
        'Loan Tape (S&amp;P)'!T2582&lt;&gt;"Yes",
        DATEDIF('Loan Tape (S&amp;P)'!K2582, TODAY(), "M")&lt;18),
    1.10,
    1.00)</f>
        <v/>
      </c>
      <c r="O2582">
        <f>IF('Loan Tape (S&amp;P)'!T2582="Yes",
    1.35,
    1.00)</f>
        <v/>
      </c>
      <c r="P2582">
        <f>IF('Loan Tape (S&amp;P)'!S2582="Yes",
    1.15,
    1.00)</f>
        <v/>
      </c>
      <c r="Q2582">
        <f>IF('Loan Tape (S&amp;P)'!V2582="Yes",
    1.20,
    1.00)</f>
        <v/>
      </c>
      <c r="T2582">
        <f>LET(
    payment_method,'Loan Tape (S&amp;P)'!P2582,
    occupancy,'Loan Tape (S&amp;P)'!N2582,
    maturity_date,'Loan Tape (S&amp;P)'!L2582,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83">
      <c r="J2583">
        <f>LET(
    lien,'Loan Tape (S&amp;P)'!Q2583,
    IF(lien="First",1.00,
        IF(lien="Second",1.50,
            1.70)))</f>
        <v/>
      </c>
      <c r="K2583">
        <f>LET(
    purpose,'Loan Tape (S&amp;P)'!R2583,
    IF(purpose="Purchase",1.00,
        IF(purpose="Remortgage",1.00,
            1.20)))</f>
        <v/>
      </c>
      <c r="L2583">
        <f>LET(
    arrears_months,'Loan Tape (S&amp;P)'!AN2583,
    IF(arrears_months=0,1.00,
    IF(arrears_months=1,3.00,
    IF(arrears_months=2,5.00,
    IF(arrears_months=3,8.00,
    IF(arrears_months=4,10.00,
    IF(arrears_months=5,12.00,15.00)))))))</f>
        <v/>
      </c>
      <c r="M2583">
        <f>LET(
    seasoning_years,DATEDIF('Loan Tape (S&amp;P)'!K2583,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83">
        <f>IF(AND('Loan Tape (S&amp;P)'!U2583="Yes",
        'Loan Tape (S&amp;P)'!T2583&lt;&gt;"Yes",
        DATEDIF('Loan Tape (S&amp;P)'!K2583, TODAY(), "M")&lt;18),
    1.10,
    1.00)</f>
        <v/>
      </c>
      <c r="O2583">
        <f>IF('Loan Tape (S&amp;P)'!T2583="Yes",
    1.35,
    1.00)</f>
        <v/>
      </c>
      <c r="P2583">
        <f>IF('Loan Tape (S&amp;P)'!S2583="Yes",
    1.15,
    1.00)</f>
        <v/>
      </c>
      <c r="Q2583">
        <f>IF('Loan Tape (S&amp;P)'!V2583="Yes",
    1.20,
    1.00)</f>
        <v/>
      </c>
      <c r="T2583">
        <f>LET(
    payment_method,'Loan Tape (S&amp;P)'!P2583,
    occupancy,'Loan Tape (S&amp;P)'!N2583,
    maturity_date,'Loan Tape (S&amp;P)'!L2583,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84">
      <c r="J2584">
        <f>LET(
    lien,'Loan Tape (S&amp;P)'!Q2584,
    IF(lien="First",1.00,
        IF(lien="Second",1.50,
            1.70)))</f>
        <v/>
      </c>
      <c r="K2584">
        <f>LET(
    purpose,'Loan Tape (S&amp;P)'!R2584,
    IF(purpose="Purchase",1.00,
        IF(purpose="Remortgage",1.00,
            1.20)))</f>
        <v/>
      </c>
      <c r="L2584">
        <f>LET(
    arrears_months,'Loan Tape (S&amp;P)'!AN2584,
    IF(arrears_months=0,1.00,
    IF(arrears_months=1,3.00,
    IF(arrears_months=2,5.00,
    IF(arrears_months=3,8.00,
    IF(arrears_months=4,10.00,
    IF(arrears_months=5,12.00,15.00)))))))</f>
        <v/>
      </c>
      <c r="M2584">
        <f>LET(
    seasoning_years,DATEDIF('Loan Tape (S&amp;P)'!K2584,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84">
        <f>IF(AND('Loan Tape (S&amp;P)'!U2584="Yes",
        'Loan Tape (S&amp;P)'!T2584&lt;&gt;"Yes",
        DATEDIF('Loan Tape (S&amp;P)'!K2584, TODAY(), "M")&lt;18),
    1.10,
    1.00)</f>
        <v/>
      </c>
      <c r="O2584">
        <f>IF('Loan Tape (S&amp;P)'!T2584="Yes",
    1.35,
    1.00)</f>
        <v/>
      </c>
      <c r="P2584">
        <f>IF('Loan Tape (S&amp;P)'!S2584="Yes",
    1.15,
    1.00)</f>
        <v/>
      </c>
      <c r="Q2584">
        <f>IF('Loan Tape (S&amp;P)'!V2584="Yes",
    1.20,
    1.00)</f>
        <v/>
      </c>
      <c r="T2584">
        <f>LET(
    payment_method,'Loan Tape (S&amp;P)'!P2584,
    occupancy,'Loan Tape (S&amp;P)'!N2584,
    maturity_date,'Loan Tape (S&amp;P)'!L2584,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85">
      <c r="J2585">
        <f>LET(
    lien,'Loan Tape (S&amp;P)'!Q2585,
    IF(lien="First",1.00,
        IF(lien="Second",1.50,
            1.70)))</f>
        <v/>
      </c>
      <c r="K2585">
        <f>LET(
    purpose,'Loan Tape (S&amp;P)'!R2585,
    IF(purpose="Purchase",1.00,
        IF(purpose="Remortgage",1.00,
            1.20)))</f>
        <v/>
      </c>
      <c r="L2585">
        <f>LET(
    arrears_months,'Loan Tape (S&amp;P)'!AN2585,
    IF(arrears_months=0,1.00,
    IF(arrears_months=1,3.00,
    IF(arrears_months=2,5.00,
    IF(arrears_months=3,8.00,
    IF(arrears_months=4,10.00,
    IF(arrears_months=5,12.00,15.00)))))))</f>
        <v/>
      </c>
      <c r="M2585">
        <f>LET(
    seasoning_years,DATEDIF('Loan Tape (S&amp;P)'!K2585,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85">
        <f>IF(AND('Loan Tape (S&amp;P)'!U2585="Yes",
        'Loan Tape (S&amp;P)'!T2585&lt;&gt;"Yes",
        DATEDIF('Loan Tape (S&amp;P)'!K2585, TODAY(), "M")&lt;18),
    1.10,
    1.00)</f>
        <v/>
      </c>
      <c r="O2585">
        <f>IF('Loan Tape (S&amp;P)'!T2585="Yes",
    1.35,
    1.00)</f>
        <v/>
      </c>
      <c r="P2585">
        <f>IF('Loan Tape (S&amp;P)'!S2585="Yes",
    1.15,
    1.00)</f>
        <v/>
      </c>
      <c r="Q2585">
        <f>IF('Loan Tape (S&amp;P)'!V2585="Yes",
    1.20,
    1.00)</f>
        <v/>
      </c>
      <c r="T2585">
        <f>LET(
    payment_method,'Loan Tape (S&amp;P)'!P2585,
    occupancy,'Loan Tape (S&amp;P)'!N2585,
    maturity_date,'Loan Tape (S&amp;P)'!L2585,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86">
      <c r="J2586">
        <f>LET(
    lien,'Loan Tape (S&amp;P)'!Q2586,
    IF(lien="First",1.00,
        IF(lien="Second",1.50,
            1.70)))</f>
        <v/>
      </c>
      <c r="K2586">
        <f>LET(
    purpose,'Loan Tape (S&amp;P)'!R2586,
    IF(purpose="Purchase",1.00,
        IF(purpose="Remortgage",1.00,
            1.20)))</f>
        <v/>
      </c>
      <c r="L2586">
        <f>LET(
    arrears_months,'Loan Tape (S&amp;P)'!AN2586,
    IF(arrears_months=0,1.00,
    IF(arrears_months=1,3.00,
    IF(arrears_months=2,5.00,
    IF(arrears_months=3,8.00,
    IF(arrears_months=4,10.00,
    IF(arrears_months=5,12.00,15.00)))))))</f>
        <v/>
      </c>
      <c r="M2586">
        <f>LET(
    seasoning_years,DATEDIF('Loan Tape (S&amp;P)'!K2586,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86">
        <f>IF(AND('Loan Tape (S&amp;P)'!U2586="Yes",
        'Loan Tape (S&amp;P)'!T2586&lt;&gt;"Yes",
        DATEDIF('Loan Tape (S&amp;P)'!K2586, TODAY(), "M")&lt;18),
    1.10,
    1.00)</f>
        <v/>
      </c>
      <c r="O2586">
        <f>IF('Loan Tape (S&amp;P)'!T2586="Yes",
    1.35,
    1.00)</f>
        <v/>
      </c>
      <c r="P2586">
        <f>IF('Loan Tape (S&amp;P)'!S2586="Yes",
    1.15,
    1.00)</f>
        <v/>
      </c>
      <c r="Q2586">
        <f>IF('Loan Tape (S&amp;P)'!V2586="Yes",
    1.20,
    1.00)</f>
        <v/>
      </c>
      <c r="T2586">
        <f>LET(
    payment_method,'Loan Tape (S&amp;P)'!P2586,
    occupancy,'Loan Tape (S&amp;P)'!N2586,
    maturity_date,'Loan Tape (S&amp;P)'!L2586,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87">
      <c r="J2587">
        <f>LET(
    lien,'Loan Tape (S&amp;P)'!Q2587,
    IF(lien="First",1.00,
        IF(lien="Second",1.50,
            1.70)))</f>
        <v/>
      </c>
      <c r="K2587">
        <f>LET(
    purpose,'Loan Tape (S&amp;P)'!R2587,
    IF(purpose="Purchase",1.00,
        IF(purpose="Remortgage",1.00,
            1.20)))</f>
        <v/>
      </c>
      <c r="L2587">
        <f>LET(
    arrears_months,'Loan Tape (S&amp;P)'!AN2587,
    IF(arrears_months=0,1.00,
    IF(arrears_months=1,3.00,
    IF(arrears_months=2,5.00,
    IF(arrears_months=3,8.00,
    IF(arrears_months=4,10.00,
    IF(arrears_months=5,12.00,15.00)))))))</f>
        <v/>
      </c>
      <c r="M2587">
        <f>LET(
    seasoning_years,DATEDIF('Loan Tape (S&amp;P)'!K2587,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87">
        <f>IF(AND('Loan Tape (S&amp;P)'!U2587="Yes",
        'Loan Tape (S&amp;P)'!T2587&lt;&gt;"Yes",
        DATEDIF('Loan Tape (S&amp;P)'!K2587, TODAY(), "M")&lt;18),
    1.10,
    1.00)</f>
        <v/>
      </c>
      <c r="O2587">
        <f>IF('Loan Tape (S&amp;P)'!T2587="Yes",
    1.35,
    1.00)</f>
        <v/>
      </c>
      <c r="P2587">
        <f>IF('Loan Tape (S&amp;P)'!S2587="Yes",
    1.15,
    1.00)</f>
        <v/>
      </c>
      <c r="Q2587">
        <f>IF('Loan Tape (S&amp;P)'!V2587="Yes",
    1.20,
    1.00)</f>
        <v/>
      </c>
      <c r="T2587">
        <f>LET(
    payment_method,'Loan Tape (S&amp;P)'!P2587,
    occupancy,'Loan Tape (S&amp;P)'!N2587,
    maturity_date,'Loan Tape (S&amp;P)'!L2587,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88">
      <c r="J2588">
        <f>LET(
    lien,'Loan Tape (S&amp;P)'!Q2588,
    IF(lien="First",1.00,
        IF(lien="Second",1.50,
            1.70)))</f>
        <v/>
      </c>
      <c r="K2588">
        <f>LET(
    purpose,'Loan Tape (S&amp;P)'!R2588,
    IF(purpose="Purchase",1.00,
        IF(purpose="Remortgage",1.00,
            1.20)))</f>
        <v/>
      </c>
      <c r="L2588">
        <f>LET(
    arrears_months,'Loan Tape (S&amp;P)'!AN2588,
    IF(arrears_months=0,1.00,
    IF(arrears_months=1,3.00,
    IF(arrears_months=2,5.00,
    IF(arrears_months=3,8.00,
    IF(arrears_months=4,10.00,
    IF(arrears_months=5,12.00,15.00)))))))</f>
        <v/>
      </c>
      <c r="M2588">
        <f>LET(
    seasoning_years,DATEDIF('Loan Tape (S&amp;P)'!K2588,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88">
        <f>IF(AND('Loan Tape (S&amp;P)'!U2588="Yes",
        'Loan Tape (S&amp;P)'!T2588&lt;&gt;"Yes",
        DATEDIF('Loan Tape (S&amp;P)'!K2588, TODAY(), "M")&lt;18),
    1.10,
    1.00)</f>
        <v/>
      </c>
      <c r="O2588">
        <f>IF('Loan Tape (S&amp;P)'!T2588="Yes",
    1.35,
    1.00)</f>
        <v/>
      </c>
      <c r="P2588">
        <f>IF('Loan Tape (S&amp;P)'!S2588="Yes",
    1.15,
    1.00)</f>
        <v/>
      </c>
      <c r="Q2588">
        <f>IF('Loan Tape (S&amp;P)'!V2588="Yes",
    1.20,
    1.00)</f>
        <v/>
      </c>
      <c r="T2588">
        <f>LET(
    payment_method,'Loan Tape (S&amp;P)'!P2588,
    occupancy,'Loan Tape (S&amp;P)'!N2588,
    maturity_date,'Loan Tape (S&amp;P)'!L2588,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89">
      <c r="J2589">
        <f>LET(
    lien,'Loan Tape (S&amp;P)'!Q2589,
    IF(lien="First",1.00,
        IF(lien="Second",1.50,
            1.70)))</f>
        <v/>
      </c>
      <c r="K2589">
        <f>LET(
    purpose,'Loan Tape (S&amp;P)'!R2589,
    IF(purpose="Purchase",1.00,
        IF(purpose="Remortgage",1.00,
            1.20)))</f>
        <v/>
      </c>
      <c r="L2589">
        <f>LET(
    arrears_months,'Loan Tape (S&amp;P)'!AN2589,
    IF(arrears_months=0,1.00,
    IF(arrears_months=1,3.00,
    IF(arrears_months=2,5.00,
    IF(arrears_months=3,8.00,
    IF(arrears_months=4,10.00,
    IF(arrears_months=5,12.00,15.00)))))))</f>
        <v/>
      </c>
      <c r="M2589">
        <f>LET(
    seasoning_years,DATEDIF('Loan Tape (S&amp;P)'!K2589,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89">
        <f>IF(AND('Loan Tape (S&amp;P)'!U2589="Yes",
        'Loan Tape (S&amp;P)'!T2589&lt;&gt;"Yes",
        DATEDIF('Loan Tape (S&amp;P)'!K2589, TODAY(), "M")&lt;18),
    1.10,
    1.00)</f>
        <v/>
      </c>
      <c r="O2589">
        <f>IF('Loan Tape (S&amp;P)'!T2589="Yes",
    1.35,
    1.00)</f>
        <v/>
      </c>
      <c r="P2589">
        <f>IF('Loan Tape (S&amp;P)'!S2589="Yes",
    1.15,
    1.00)</f>
        <v/>
      </c>
      <c r="Q2589">
        <f>IF('Loan Tape (S&amp;P)'!V2589="Yes",
    1.20,
    1.00)</f>
        <v/>
      </c>
      <c r="T2589">
        <f>LET(
    payment_method,'Loan Tape (S&amp;P)'!P2589,
    occupancy,'Loan Tape (S&amp;P)'!N2589,
    maturity_date,'Loan Tape (S&amp;P)'!L2589,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90">
      <c r="J2590">
        <f>LET(
    lien,'Loan Tape (S&amp;P)'!Q2590,
    IF(lien="First",1.00,
        IF(lien="Second",1.50,
            1.70)))</f>
        <v/>
      </c>
      <c r="K2590">
        <f>LET(
    purpose,'Loan Tape (S&amp;P)'!R2590,
    IF(purpose="Purchase",1.00,
        IF(purpose="Remortgage",1.00,
            1.20)))</f>
        <v/>
      </c>
      <c r="L2590">
        <f>LET(
    arrears_months,'Loan Tape (S&amp;P)'!AN2590,
    IF(arrears_months=0,1.00,
    IF(arrears_months=1,3.00,
    IF(arrears_months=2,5.00,
    IF(arrears_months=3,8.00,
    IF(arrears_months=4,10.00,
    IF(arrears_months=5,12.00,15.00)))))))</f>
        <v/>
      </c>
      <c r="M2590">
        <f>LET(
    seasoning_years,DATEDIF('Loan Tape (S&amp;P)'!K2590,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90">
        <f>IF(AND('Loan Tape (S&amp;P)'!U2590="Yes",
        'Loan Tape (S&amp;P)'!T2590&lt;&gt;"Yes",
        DATEDIF('Loan Tape (S&amp;P)'!K2590, TODAY(), "M")&lt;18),
    1.10,
    1.00)</f>
        <v/>
      </c>
      <c r="O2590">
        <f>IF('Loan Tape (S&amp;P)'!T2590="Yes",
    1.35,
    1.00)</f>
        <v/>
      </c>
      <c r="P2590">
        <f>IF('Loan Tape (S&amp;P)'!S2590="Yes",
    1.15,
    1.00)</f>
        <v/>
      </c>
      <c r="Q2590">
        <f>IF('Loan Tape (S&amp;P)'!V2590="Yes",
    1.20,
    1.00)</f>
        <v/>
      </c>
      <c r="T2590">
        <f>LET(
    payment_method,'Loan Tape (S&amp;P)'!P2590,
    occupancy,'Loan Tape (S&amp;P)'!N2590,
    maturity_date,'Loan Tape (S&amp;P)'!L2590,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91">
      <c r="J2591">
        <f>LET(
    lien,'Loan Tape (S&amp;P)'!Q2591,
    IF(lien="First",1.00,
        IF(lien="Second",1.50,
            1.70)))</f>
        <v/>
      </c>
      <c r="K2591">
        <f>LET(
    purpose,'Loan Tape (S&amp;P)'!R2591,
    IF(purpose="Purchase",1.00,
        IF(purpose="Remortgage",1.00,
            1.20)))</f>
        <v/>
      </c>
      <c r="L2591">
        <f>LET(
    arrears_months,'Loan Tape (S&amp;P)'!AN2591,
    IF(arrears_months=0,1.00,
    IF(arrears_months=1,3.00,
    IF(arrears_months=2,5.00,
    IF(arrears_months=3,8.00,
    IF(arrears_months=4,10.00,
    IF(arrears_months=5,12.00,15.00)))))))</f>
        <v/>
      </c>
      <c r="M2591">
        <f>LET(
    seasoning_years,DATEDIF('Loan Tape (S&amp;P)'!K2591,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91">
        <f>IF(AND('Loan Tape (S&amp;P)'!U2591="Yes",
        'Loan Tape (S&amp;P)'!T2591&lt;&gt;"Yes",
        DATEDIF('Loan Tape (S&amp;P)'!K2591, TODAY(), "M")&lt;18),
    1.10,
    1.00)</f>
        <v/>
      </c>
      <c r="O2591">
        <f>IF('Loan Tape (S&amp;P)'!T2591="Yes",
    1.35,
    1.00)</f>
        <v/>
      </c>
      <c r="P2591">
        <f>IF('Loan Tape (S&amp;P)'!S2591="Yes",
    1.15,
    1.00)</f>
        <v/>
      </c>
      <c r="Q2591">
        <f>IF('Loan Tape (S&amp;P)'!V2591="Yes",
    1.20,
    1.00)</f>
        <v/>
      </c>
      <c r="T2591">
        <f>LET(
    payment_method,'Loan Tape (S&amp;P)'!P2591,
    occupancy,'Loan Tape (S&amp;P)'!N2591,
    maturity_date,'Loan Tape (S&amp;P)'!L2591,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92">
      <c r="J2592">
        <f>LET(
    lien,'Loan Tape (S&amp;P)'!Q2592,
    IF(lien="First",1.00,
        IF(lien="Second",1.50,
            1.70)))</f>
        <v/>
      </c>
      <c r="K2592">
        <f>LET(
    purpose,'Loan Tape (S&amp;P)'!R2592,
    IF(purpose="Purchase",1.00,
        IF(purpose="Remortgage",1.00,
            1.20)))</f>
        <v/>
      </c>
      <c r="L2592">
        <f>LET(
    arrears_months,'Loan Tape (S&amp;P)'!AN2592,
    IF(arrears_months=0,1.00,
    IF(arrears_months=1,3.00,
    IF(arrears_months=2,5.00,
    IF(arrears_months=3,8.00,
    IF(arrears_months=4,10.00,
    IF(arrears_months=5,12.00,15.00)))))))</f>
        <v/>
      </c>
      <c r="M2592">
        <f>LET(
    seasoning_years,DATEDIF('Loan Tape (S&amp;P)'!K2592,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92">
        <f>IF(AND('Loan Tape (S&amp;P)'!U2592="Yes",
        'Loan Tape (S&amp;P)'!T2592&lt;&gt;"Yes",
        DATEDIF('Loan Tape (S&amp;P)'!K2592, TODAY(), "M")&lt;18),
    1.10,
    1.00)</f>
        <v/>
      </c>
      <c r="O2592">
        <f>IF('Loan Tape (S&amp;P)'!T2592="Yes",
    1.35,
    1.00)</f>
        <v/>
      </c>
      <c r="P2592">
        <f>IF('Loan Tape (S&amp;P)'!S2592="Yes",
    1.15,
    1.00)</f>
        <v/>
      </c>
      <c r="Q2592">
        <f>IF('Loan Tape (S&amp;P)'!V2592="Yes",
    1.20,
    1.00)</f>
        <v/>
      </c>
      <c r="T2592">
        <f>LET(
    payment_method,'Loan Tape (S&amp;P)'!P2592,
    occupancy,'Loan Tape (S&amp;P)'!N2592,
    maturity_date,'Loan Tape (S&amp;P)'!L2592,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93">
      <c r="J2593">
        <f>LET(
    lien,'Loan Tape (S&amp;P)'!Q2593,
    IF(lien="First",1.00,
        IF(lien="Second",1.50,
            1.70)))</f>
        <v/>
      </c>
      <c r="K2593">
        <f>LET(
    purpose,'Loan Tape (S&amp;P)'!R2593,
    IF(purpose="Purchase",1.00,
        IF(purpose="Remortgage",1.00,
            1.20)))</f>
        <v/>
      </c>
      <c r="L2593">
        <f>LET(
    arrears_months,'Loan Tape (S&amp;P)'!AN2593,
    IF(arrears_months=0,1.00,
    IF(arrears_months=1,3.00,
    IF(arrears_months=2,5.00,
    IF(arrears_months=3,8.00,
    IF(arrears_months=4,10.00,
    IF(arrears_months=5,12.00,15.00)))))))</f>
        <v/>
      </c>
      <c r="M2593">
        <f>LET(
    seasoning_years,DATEDIF('Loan Tape (S&amp;P)'!K2593,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93">
        <f>IF(AND('Loan Tape (S&amp;P)'!U2593="Yes",
        'Loan Tape (S&amp;P)'!T2593&lt;&gt;"Yes",
        DATEDIF('Loan Tape (S&amp;P)'!K2593, TODAY(), "M")&lt;18),
    1.10,
    1.00)</f>
        <v/>
      </c>
      <c r="O2593">
        <f>IF('Loan Tape (S&amp;P)'!T2593="Yes",
    1.35,
    1.00)</f>
        <v/>
      </c>
      <c r="P2593">
        <f>IF('Loan Tape (S&amp;P)'!S2593="Yes",
    1.15,
    1.00)</f>
        <v/>
      </c>
      <c r="Q2593">
        <f>IF('Loan Tape (S&amp;P)'!V2593="Yes",
    1.20,
    1.00)</f>
        <v/>
      </c>
      <c r="T2593">
        <f>LET(
    payment_method,'Loan Tape (S&amp;P)'!P2593,
    occupancy,'Loan Tape (S&amp;P)'!N2593,
    maturity_date,'Loan Tape (S&amp;P)'!L2593,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94">
      <c r="J2594">
        <f>LET(
    lien,'Loan Tape (S&amp;P)'!Q2594,
    IF(lien="First",1.00,
        IF(lien="Second",1.50,
            1.70)))</f>
        <v/>
      </c>
      <c r="K2594">
        <f>LET(
    purpose,'Loan Tape (S&amp;P)'!R2594,
    IF(purpose="Purchase",1.00,
        IF(purpose="Remortgage",1.00,
            1.20)))</f>
        <v/>
      </c>
      <c r="L2594">
        <f>LET(
    arrears_months,'Loan Tape (S&amp;P)'!AN2594,
    IF(arrears_months=0,1.00,
    IF(arrears_months=1,3.00,
    IF(arrears_months=2,5.00,
    IF(arrears_months=3,8.00,
    IF(arrears_months=4,10.00,
    IF(arrears_months=5,12.00,15.00)))))))</f>
        <v/>
      </c>
      <c r="M2594">
        <f>LET(
    seasoning_years,DATEDIF('Loan Tape (S&amp;P)'!K2594,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94">
        <f>IF(AND('Loan Tape (S&amp;P)'!U2594="Yes",
        'Loan Tape (S&amp;P)'!T2594&lt;&gt;"Yes",
        DATEDIF('Loan Tape (S&amp;P)'!K2594, TODAY(), "M")&lt;18),
    1.10,
    1.00)</f>
        <v/>
      </c>
      <c r="O2594">
        <f>IF('Loan Tape (S&amp;P)'!T2594="Yes",
    1.35,
    1.00)</f>
        <v/>
      </c>
      <c r="P2594">
        <f>IF('Loan Tape (S&amp;P)'!S2594="Yes",
    1.15,
    1.00)</f>
        <v/>
      </c>
      <c r="Q2594">
        <f>IF('Loan Tape (S&amp;P)'!V2594="Yes",
    1.20,
    1.00)</f>
        <v/>
      </c>
      <c r="T2594">
        <f>LET(
    payment_method,'Loan Tape (S&amp;P)'!P2594,
    occupancy,'Loan Tape (S&amp;P)'!N2594,
    maturity_date,'Loan Tape (S&amp;P)'!L2594,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95">
      <c r="J2595">
        <f>LET(
    lien,'Loan Tape (S&amp;P)'!Q2595,
    IF(lien="First",1.00,
        IF(lien="Second",1.50,
            1.70)))</f>
        <v/>
      </c>
      <c r="K2595">
        <f>LET(
    purpose,'Loan Tape (S&amp;P)'!R2595,
    IF(purpose="Purchase",1.00,
        IF(purpose="Remortgage",1.00,
            1.20)))</f>
        <v/>
      </c>
      <c r="L2595">
        <f>LET(
    arrears_months,'Loan Tape (S&amp;P)'!AN2595,
    IF(arrears_months=0,1.00,
    IF(arrears_months=1,3.00,
    IF(arrears_months=2,5.00,
    IF(arrears_months=3,8.00,
    IF(arrears_months=4,10.00,
    IF(arrears_months=5,12.00,15.00)))))))</f>
        <v/>
      </c>
      <c r="M2595">
        <f>LET(
    seasoning_years,DATEDIF('Loan Tape (S&amp;P)'!K2595,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95">
        <f>IF(AND('Loan Tape (S&amp;P)'!U2595="Yes",
        'Loan Tape (S&amp;P)'!T2595&lt;&gt;"Yes",
        DATEDIF('Loan Tape (S&amp;P)'!K2595, TODAY(), "M")&lt;18),
    1.10,
    1.00)</f>
        <v/>
      </c>
      <c r="O2595">
        <f>IF('Loan Tape (S&amp;P)'!T2595="Yes",
    1.35,
    1.00)</f>
        <v/>
      </c>
      <c r="P2595">
        <f>IF('Loan Tape (S&amp;P)'!S2595="Yes",
    1.15,
    1.00)</f>
        <v/>
      </c>
      <c r="Q2595">
        <f>IF('Loan Tape (S&amp;P)'!V2595="Yes",
    1.20,
    1.00)</f>
        <v/>
      </c>
      <c r="T2595">
        <f>LET(
    payment_method,'Loan Tape (S&amp;P)'!P2595,
    occupancy,'Loan Tape (S&amp;P)'!N2595,
    maturity_date,'Loan Tape (S&amp;P)'!L2595,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96">
      <c r="J2596">
        <f>LET(
    lien,'Loan Tape (S&amp;P)'!Q2596,
    IF(lien="First",1.00,
        IF(lien="Second",1.50,
            1.70)))</f>
        <v/>
      </c>
      <c r="K2596">
        <f>LET(
    purpose,'Loan Tape (S&amp;P)'!R2596,
    IF(purpose="Purchase",1.00,
        IF(purpose="Remortgage",1.00,
            1.20)))</f>
        <v/>
      </c>
      <c r="L2596">
        <f>LET(
    arrears_months,'Loan Tape (S&amp;P)'!AN2596,
    IF(arrears_months=0,1.00,
    IF(arrears_months=1,3.00,
    IF(arrears_months=2,5.00,
    IF(arrears_months=3,8.00,
    IF(arrears_months=4,10.00,
    IF(arrears_months=5,12.00,15.00)))))))</f>
        <v/>
      </c>
      <c r="M2596">
        <f>LET(
    seasoning_years,DATEDIF('Loan Tape (S&amp;P)'!K2596,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96">
        <f>IF(AND('Loan Tape (S&amp;P)'!U2596="Yes",
        'Loan Tape (S&amp;P)'!T2596&lt;&gt;"Yes",
        DATEDIF('Loan Tape (S&amp;P)'!K2596, TODAY(), "M")&lt;18),
    1.10,
    1.00)</f>
        <v/>
      </c>
      <c r="O2596">
        <f>IF('Loan Tape (S&amp;P)'!T2596="Yes",
    1.35,
    1.00)</f>
        <v/>
      </c>
      <c r="P2596">
        <f>IF('Loan Tape (S&amp;P)'!S2596="Yes",
    1.15,
    1.00)</f>
        <v/>
      </c>
      <c r="Q2596">
        <f>IF('Loan Tape (S&amp;P)'!V2596="Yes",
    1.20,
    1.00)</f>
        <v/>
      </c>
      <c r="T2596">
        <f>LET(
    payment_method,'Loan Tape (S&amp;P)'!P2596,
    occupancy,'Loan Tape (S&amp;P)'!N2596,
    maturity_date,'Loan Tape (S&amp;P)'!L2596,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97">
      <c r="J2597">
        <f>LET(
    lien,'Loan Tape (S&amp;P)'!Q2597,
    IF(lien="First",1.00,
        IF(lien="Second",1.50,
            1.70)))</f>
        <v/>
      </c>
      <c r="K2597">
        <f>LET(
    purpose,'Loan Tape (S&amp;P)'!R2597,
    IF(purpose="Purchase",1.00,
        IF(purpose="Remortgage",1.00,
            1.20)))</f>
        <v/>
      </c>
      <c r="L2597">
        <f>LET(
    arrears_months,'Loan Tape (S&amp;P)'!AN2597,
    IF(arrears_months=0,1.00,
    IF(arrears_months=1,3.00,
    IF(arrears_months=2,5.00,
    IF(arrears_months=3,8.00,
    IF(arrears_months=4,10.00,
    IF(arrears_months=5,12.00,15.00)))))))</f>
        <v/>
      </c>
      <c r="M2597">
        <f>LET(
    seasoning_years,DATEDIF('Loan Tape (S&amp;P)'!K2597,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97">
        <f>IF(AND('Loan Tape (S&amp;P)'!U2597="Yes",
        'Loan Tape (S&amp;P)'!T2597&lt;&gt;"Yes",
        DATEDIF('Loan Tape (S&amp;P)'!K2597, TODAY(), "M")&lt;18),
    1.10,
    1.00)</f>
        <v/>
      </c>
      <c r="O2597">
        <f>IF('Loan Tape (S&amp;P)'!T2597="Yes",
    1.35,
    1.00)</f>
        <v/>
      </c>
      <c r="P2597">
        <f>IF('Loan Tape (S&amp;P)'!S2597="Yes",
    1.15,
    1.00)</f>
        <v/>
      </c>
      <c r="Q2597">
        <f>IF('Loan Tape (S&amp;P)'!V2597="Yes",
    1.20,
    1.00)</f>
        <v/>
      </c>
      <c r="T2597">
        <f>LET(
    payment_method,'Loan Tape (S&amp;P)'!P2597,
    occupancy,'Loan Tape (S&amp;P)'!N2597,
    maturity_date,'Loan Tape (S&amp;P)'!L2597,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98">
      <c r="J2598">
        <f>LET(
    lien,'Loan Tape (S&amp;P)'!Q2598,
    IF(lien="First",1.00,
        IF(lien="Second",1.50,
            1.70)))</f>
        <v/>
      </c>
      <c r="K2598">
        <f>LET(
    purpose,'Loan Tape (S&amp;P)'!R2598,
    IF(purpose="Purchase",1.00,
        IF(purpose="Remortgage",1.00,
            1.20)))</f>
        <v/>
      </c>
      <c r="L2598">
        <f>LET(
    arrears_months,'Loan Tape (S&amp;P)'!AN2598,
    IF(arrears_months=0,1.00,
    IF(arrears_months=1,3.00,
    IF(arrears_months=2,5.00,
    IF(arrears_months=3,8.00,
    IF(arrears_months=4,10.00,
    IF(arrears_months=5,12.00,15.00)))))))</f>
        <v/>
      </c>
      <c r="M2598">
        <f>LET(
    seasoning_years,DATEDIF('Loan Tape (S&amp;P)'!K2598,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98">
        <f>IF(AND('Loan Tape (S&amp;P)'!U2598="Yes",
        'Loan Tape (S&amp;P)'!T2598&lt;&gt;"Yes",
        DATEDIF('Loan Tape (S&amp;P)'!K2598, TODAY(), "M")&lt;18),
    1.10,
    1.00)</f>
        <v/>
      </c>
      <c r="O2598">
        <f>IF('Loan Tape (S&amp;P)'!T2598="Yes",
    1.35,
    1.00)</f>
        <v/>
      </c>
      <c r="P2598">
        <f>IF('Loan Tape (S&amp;P)'!S2598="Yes",
    1.15,
    1.00)</f>
        <v/>
      </c>
      <c r="Q2598">
        <f>IF('Loan Tape (S&amp;P)'!V2598="Yes",
    1.20,
    1.00)</f>
        <v/>
      </c>
      <c r="T2598">
        <f>LET(
    payment_method,'Loan Tape (S&amp;P)'!P2598,
    occupancy,'Loan Tape (S&amp;P)'!N2598,
    maturity_date,'Loan Tape (S&amp;P)'!L2598,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599">
      <c r="J2599">
        <f>LET(
    lien,'Loan Tape (S&amp;P)'!Q2599,
    IF(lien="First",1.00,
        IF(lien="Second",1.50,
            1.70)))</f>
        <v/>
      </c>
      <c r="K2599">
        <f>LET(
    purpose,'Loan Tape (S&amp;P)'!R2599,
    IF(purpose="Purchase",1.00,
        IF(purpose="Remortgage",1.00,
            1.20)))</f>
        <v/>
      </c>
      <c r="L2599">
        <f>LET(
    arrears_months,'Loan Tape (S&amp;P)'!AN2599,
    IF(arrears_months=0,1.00,
    IF(arrears_months=1,3.00,
    IF(arrears_months=2,5.00,
    IF(arrears_months=3,8.00,
    IF(arrears_months=4,10.00,
    IF(arrears_months=5,12.00,15.00)))))))</f>
        <v/>
      </c>
      <c r="M2599">
        <f>LET(
    seasoning_years,DATEDIF('Loan Tape (S&amp;P)'!K2599,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599">
        <f>IF(AND('Loan Tape (S&amp;P)'!U2599="Yes",
        'Loan Tape (S&amp;P)'!T2599&lt;&gt;"Yes",
        DATEDIF('Loan Tape (S&amp;P)'!K2599, TODAY(), "M")&lt;18),
    1.10,
    1.00)</f>
        <v/>
      </c>
      <c r="O2599">
        <f>IF('Loan Tape (S&amp;P)'!T2599="Yes",
    1.35,
    1.00)</f>
        <v/>
      </c>
      <c r="P2599">
        <f>IF('Loan Tape (S&amp;P)'!S2599="Yes",
    1.15,
    1.00)</f>
        <v/>
      </c>
      <c r="Q2599">
        <f>IF('Loan Tape (S&amp;P)'!V2599="Yes",
    1.20,
    1.00)</f>
        <v/>
      </c>
      <c r="T2599">
        <f>LET(
    payment_method,'Loan Tape (S&amp;P)'!P2599,
    occupancy,'Loan Tape (S&amp;P)'!N2599,
    maturity_date,'Loan Tape (S&amp;P)'!L2599,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00">
      <c r="J2600">
        <f>LET(
    lien,'Loan Tape (S&amp;P)'!Q2600,
    IF(lien="First",1.00,
        IF(lien="Second",1.50,
            1.70)))</f>
        <v/>
      </c>
      <c r="K2600">
        <f>LET(
    purpose,'Loan Tape (S&amp;P)'!R2600,
    IF(purpose="Purchase",1.00,
        IF(purpose="Remortgage",1.00,
            1.20)))</f>
        <v/>
      </c>
      <c r="L2600">
        <f>LET(
    arrears_months,'Loan Tape (S&amp;P)'!AN2600,
    IF(arrears_months=0,1.00,
    IF(arrears_months=1,3.00,
    IF(arrears_months=2,5.00,
    IF(arrears_months=3,8.00,
    IF(arrears_months=4,10.00,
    IF(arrears_months=5,12.00,15.00)))))))</f>
        <v/>
      </c>
      <c r="M2600">
        <f>LET(
    seasoning_years,DATEDIF('Loan Tape (S&amp;P)'!K2600,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00">
        <f>IF(AND('Loan Tape (S&amp;P)'!U2600="Yes",
        'Loan Tape (S&amp;P)'!T2600&lt;&gt;"Yes",
        DATEDIF('Loan Tape (S&amp;P)'!K2600, TODAY(), "M")&lt;18),
    1.10,
    1.00)</f>
        <v/>
      </c>
      <c r="O2600">
        <f>IF('Loan Tape (S&amp;P)'!T2600="Yes",
    1.35,
    1.00)</f>
        <v/>
      </c>
      <c r="P2600">
        <f>IF('Loan Tape (S&amp;P)'!S2600="Yes",
    1.15,
    1.00)</f>
        <v/>
      </c>
      <c r="Q2600">
        <f>IF('Loan Tape (S&amp;P)'!V2600="Yes",
    1.20,
    1.00)</f>
        <v/>
      </c>
      <c r="T2600">
        <f>LET(
    payment_method,'Loan Tape (S&amp;P)'!P2600,
    occupancy,'Loan Tape (S&amp;P)'!N2600,
    maturity_date,'Loan Tape (S&amp;P)'!L2600,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01">
      <c r="J2601">
        <f>LET(
    lien,'Loan Tape (S&amp;P)'!Q2601,
    IF(lien="First",1.00,
        IF(lien="Second",1.50,
            1.70)))</f>
        <v/>
      </c>
      <c r="K2601">
        <f>LET(
    purpose,'Loan Tape (S&amp;P)'!R2601,
    IF(purpose="Purchase",1.00,
        IF(purpose="Remortgage",1.00,
            1.20)))</f>
        <v/>
      </c>
      <c r="L2601">
        <f>LET(
    arrears_months,'Loan Tape (S&amp;P)'!AN2601,
    IF(arrears_months=0,1.00,
    IF(arrears_months=1,3.00,
    IF(arrears_months=2,5.00,
    IF(arrears_months=3,8.00,
    IF(arrears_months=4,10.00,
    IF(arrears_months=5,12.00,15.00)))))))</f>
        <v/>
      </c>
      <c r="M2601">
        <f>LET(
    seasoning_years,DATEDIF('Loan Tape (S&amp;P)'!K2601,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01">
        <f>IF(AND('Loan Tape (S&amp;P)'!U2601="Yes",
        'Loan Tape (S&amp;P)'!T2601&lt;&gt;"Yes",
        DATEDIF('Loan Tape (S&amp;P)'!K2601, TODAY(), "M")&lt;18),
    1.10,
    1.00)</f>
        <v/>
      </c>
      <c r="O2601">
        <f>IF('Loan Tape (S&amp;P)'!T2601="Yes",
    1.35,
    1.00)</f>
        <v/>
      </c>
      <c r="P2601">
        <f>IF('Loan Tape (S&amp;P)'!S2601="Yes",
    1.15,
    1.00)</f>
        <v/>
      </c>
      <c r="Q2601">
        <f>IF('Loan Tape (S&amp;P)'!V2601="Yes",
    1.20,
    1.00)</f>
        <v/>
      </c>
      <c r="T2601">
        <f>LET(
    payment_method,'Loan Tape (S&amp;P)'!P2601,
    occupancy,'Loan Tape (S&amp;P)'!N2601,
    maturity_date,'Loan Tape (S&amp;P)'!L2601,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02">
      <c r="J2602">
        <f>LET(
    lien,'Loan Tape (S&amp;P)'!Q2602,
    IF(lien="First",1.00,
        IF(lien="Second",1.50,
            1.70)))</f>
        <v/>
      </c>
      <c r="K2602">
        <f>LET(
    purpose,'Loan Tape (S&amp;P)'!R2602,
    IF(purpose="Purchase",1.00,
        IF(purpose="Remortgage",1.00,
            1.20)))</f>
        <v/>
      </c>
      <c r="L2602">
        <f>LET(
    arrears_months,'Loan Tape (S&amp;P)'!AN2602,
    IF(arrears_months=0,1.00,
    IF(arrears_months=1,3.00,
    IF(arrears_months=2,5.00,
    IF(arrears_months=3,8.00,
    IF(arrears_months=4,10.00,
    IF(arrears_months=5,12.00,15.00)))))))</f>
        <v/>
      </c>
      <c r="M2602">
        <f>LET(
    seasoning_years,DATEDIF('Loan Tape (S&amp;P)'!K2602,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02">
        <f>IF(AND('Loan Tape (S&amp;P)'!U2602="Yes",
        'Loan Tape (S&amp;P)'!T2602&lt;&gt;"Yes",
        DATEDIF('Loan Tape (S&amp;P)'!K2602, TODAY(), "M")&lt;18),
    1.10,
    1.00)</f>
        <v/>
      </c>
      <c r="O2602">
        <f>IF('Loan Tape (S&amp;P)'!T2602="Yes",
    1.35,
    1.00)</f>
        <v/>
      </c>
      <c r="P2602">
        <f>IF('Loan Tape (S&amp;P)'!S2602="Yes",
    1.15,
    1.00)</f>
        <v/>
      </c>
      <c r="Q2602">
        <f>IF('Loan Tape (S&amp;P)'!V2602="Yes",
    1.20,
    1.00)</f>
        <v/>
      </c>
      <c r="T2602">
        <f>LET(
    payment_method,'Loan Tape (S&amp;P)'!P2602,
    occupancy,'Loan Tape (S&amp;P)'!N2602,
    maturity_date,'Loan Tape (S&amp;P)'!L2602,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03">
      <c r="J2603">
        <f>LET(
    lien,'Loan Tape (S&amp;P)'!Q2603,
    IF(lien="First",1.00,
        IF(lien="Second",1.50,
            1.70)))</f>
        <v/>
      </c>
      <c r="K2603">
        <f>LET(
    purpose,'Loan Tape (S&amp;P)'!R2603,
    IF(purpose="Purchase",1.00,
        IF(purpose="Remortgage",1.00,
            1.20)))</f>
        <v/>
      </c>
      <c r="L2603">
        <f>LET(
    arrears_months,'Loan Tape (S&amp;P)'!AN2603,
    IF(arrears_months=0,1.00,
    IF(arrears_months=1,3.00,
    IF(arrears_months=2,5.00,
    IF(arrears_months=3,8.00,
    IF(arrears_months=4,10.00,
    IF(arrears_months=5,12.00,15.00)))))))</f>
        <v/>
      </c>
      <c r="M2603">
        <f>LET(
    seasoning_years,DATEDIF('Loan Tape (S&amp;P)'!K2603,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03">
        <f>IF(AND('Loan Tape (S&amp;P)'!U2603="Yes",
        'Loan Tape (S&amp;P)'!T2603&lt;&gt;"Yes",
        DATEDIF('Loan Tape (S&amp;P)'!K2603, TODAY(), "M")&lt;18),
    1.10,
    1.00)</f>
        <v/>
      </c>
      <c r="O2603">
        <f>IF('Loan Tape (S&amp;P)'!T2603="Yes",
    1.35,
    1.00)</f>
        <v/>
      </c>
      <c r="P2603">
        <f>IF('Loan Tape (S&amp;P)'!S2603="Yes",
    1.15,
    1.00)</f>
        <v/>
      </c>
      <c r="Q2603">
        <f>IF('Loan Tape (S&amp;P)'!V2603="Yes",
    1.20,
    1.00)</f>
        <v/>
      </c>
      <c r="T2603">
        <f>LET(
    payment_method,'Loan Tape (S&amp;P)'!P2603,
    occupancy,'Loan Tape (S&amp;P)'!N2603,
    maturity_date,'Loan Tape (S&amp;P)'!L2603,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04">
      <c r="J2604">
        <f>LET(
    lien,'Loan Tape (S&amp;P)'!Q2604,
    IF(lien="First",1.00,
        IF(lien="Second",1.50,
            1.70)))</f>
        <v/>
      </c>
      <c r="K2604">
        <f>LET(
    purpose,'Loan Tape (S&amp;P)'!R2604,
    IF(purpose="Purchase",1.00,
        IF(purpose="Remortgage",1.00,
            1.20)))</f>
        <v/>
      </c>
      <c r="L2604">
        <f>LET(
    arrears_months,'Loan Tape (S&amp;P)'!AN2604,
    IF(arrears_months=0,1.00,
    IF(arrears_months=1,3.00,
    IF(arrears_months=2,5.00,
    IF(arrears_months=3,8.00,
    IF(arrears_months=4,10.00,
    IF(arrears_months=5,12.00,15.00)))))))</f>
        <v/>
      </c>
      <c r="M2604">
        <f>LET(
    seasoning_years,DATEDIF('Loan Tape (S&amp;P)'!K2604,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04">
        <f>IF(AND('Loan Tape (S&amp;P)'!U2604="Yes",
        'Loan Tape (S&amp;P)'!T2604&lt;&gt;"Yes",
        DATEDIF('Loan Tape (S&amp;P)'!K2604, TODAY(), "M")&lt;18),
    1.10,
    1.00)</f>
        <v/>
      </c>
      <c r="O2604">
        <f>IF('Loan Tape (S&amp;P)'!T2604="Yes",
    1.35,
    1.00)</f>
        <v/>
      </c>
      <c r="P2604">
        <f>IF('Loan Tape (S&amp;P)'!S2604="Yes",
    1.15,
    1.00)</f>
        <v/>
      </c>
      <c r="Q2604">
        <f>IF('Loan Tape (S&amp;P)'!V2604="Yes",
    1.20,
    1.00)</f>
        <v/>
      </c>
      <c r="T2604">
        <f>LET(
    payment_method,'Loan Tape (S&amp;P)'!P2604,
    occupancy,'Loan Tape (S&amp;P)'!N2604,
    maturity_date,'Loan Tape (S&amp;P)'!L2604,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05">
      <c r="J2605">
        <f>LET(
    lien,'Loan Tape (S&amp;P)'!Q2605,
    IF(lien="First",1.00,
        IF(lien="Second",1.50,
            1.70)))</f>
        <v/>
      </c>
      <c r="K2605">
        <f>LET(
    purpose,'Loan Tape (S&amp;P)'!R2605,
    IF(purpose="Purchase",1.00,
        IF(purpose="Remortgage",1.00,
            1.20)))</f>
        <v/>
      </c>
      <c r="L2605">
        <f>LET(
    arrears_months,'Loan Tape (S&amp;P)'!AN2605,
    IF(arrears_months=0,1.00,
    IF(arrears_months=1,3.00,
    IF(arrears_months=2,5.00,
    IF(arrears_months=3,8.00,
    IF(arrears_months=4,10.00,
    IF(arrears_months=5,12.00,15.00)))))))</f>
        <v/>
      </c>
      <c r="M2605">
        <f>LET(
    seasoning_years,DATEDIF('Loan Tape (S&amp;P)'!K2605,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05">
        <f>IF(AND('Loan Tape (S&amp;P)'!U2605="Yes",
        'Loan Tape (S&amp;P)'!T2605&lt;&gt;"Yes",
        DATEDIF('Loan Tape (S&amp;P)'!K2605, TODAY(), "M")&lt;18),
    1.10,
    1.00)</f>
        <v/>
      </c>
      <c r="O2605">
        <f>IF('Loan Tape (S&amp;P)'!T2605="Yes",
    1.35,
    1.00)</f>
        <v/>
      </c>
      <c r="P2605">
        <f>IF('Loan Tape (S&amp;P)'!S2605="Yes",
    1.15,
    1.00)</f>
        <v/>
      </c>
      <c r="Q2605">
        <f>IF('Loan Tape (S&amp;P)'!V2605="Yes",
    1.20,
    1.00)</f>
        <v/>
      </c>
      <c r="T2605">
        <f>LET(
    payment_method,'Loan Tape (S&amp;P)'!P2605,
    occupancy,'Loan Tape (S&amp;P)'!N2605,
    maturity_date,'Loan Tape (S&amp;P)'!L2605,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06">
      <c r="J2606">
        <f>LET(
    lien,'Loan Tape (S&amp;P)'!Q2606,
    IF(lien="First",1.00,
        IF(lien="Second",1.50,
            1.70)))</f>
        <v/>
      </c>
      <c r="K2606">
        <f>LET(
    purpose,'Loan Tape (S&amp;P)'!R2606,
    IF(purpose="Purchase",1.00,
        IF(purpose="Remortgage",1.00,
            1.20)))</f>
        <v/>
      </c>
      <c r="L2606">
        <f>LET(
    arrears_months,'Loan Tape (S&amp;P)'!AN2606,
    IF(arrears_months=0,1.00,
    IF(arrears_months=1,3.00,
    IF(arrears_months=2,5.00,
    IF(arrears_months=3,8.00,
    IF(arrears_months=4,10.00,
    IF(arrears_months=5,12.00,15.00)))))))</f>
        <v/>
      </c>
      <c r="M2606">
        <f>LET(
    seasoning_years,DATEDIF('Loan Tape (S&amp;P)'!K2606,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06">
        <f>IF(AND('Loan Tape (S&amp;P)'!U2606="Yes",
        'Loan Tape (S&amp;P)'!T2606&lt;&gt;"Yes",
        DATEDIF('Loan Tape (S&amp;P)'!K2606, TODAY(), "M")&lt;18),
    1.10,
    1.00)</f>
        <v/>
      </c>
      <c r="O2606">
        <f>IF('Loan Tape (S&amp;P)'!T2606="Yes",
    1.35,
    1.00)</f>
        <v/>
      </c>
      <c r="P2606">
        <f>IF('Loan Tape (S&amp;P)'!S2606="Yes",
    1.15,
    1.00)</f>
        <v/>
      </c>
      <c r="Q2606">
        <f>IF('Loan Tape (S&amp;P)'!V2606="Yes",
    1.20,
    1.00)</f>
        <v/>
      </c>
      <c r="T2606">
        <f>LET(
    payment_method,'Loan Tape (S&amp;P)'!P2606,
    occupancy,'Loan Tape (S&amp;P)'!N2606,
    maturity_date,'Loan Tape (S&amp;P)'!L2606,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07">
      <c r="J2607">
        <f>LET(
    lien,'Loan Tape (S&amp;P)'!Q2607,
    IF(lien="First",1.00,
        IF(lien="Second",1.50,
            1.70)))</f>
        <v/>
      </c>
      <c r="K2607">
        <f>LET(
    purpose,'Loan Tape (S&amp;P)'!R2607,
    IF(purpose="Purchase",1.00,
        IF(purpose="Remortgage",1.00,
            1.20)))</f>
        <v/>
      </c>
      <c r="L2607">
        <f>LET(
    arrears_months,'Loan Tape (S&amp;P)'!AN2607,
    IF(arrears_months=0,1.00,
    IF(arrears_months=1,3.00,
    IF(arrears_months=2,5.00,
    IF(arrears_months=3,8.00,
    IF(arrears_months=4,10.00,
    IF(arrears_months=5,12.00,15.00)))))))</f>
        <v/>
      </c>
      <c r="M2607">
        <f>LET(
    seasoning_years,DATEDIF('Loan Tape (S&amp;P)'!K2607,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07">
        <f>IF(AND('Loan Tape (S&amp;P)'!U2607="Yes",
        'Loan Tape (S&amp;P)'!T2607&lt;&gt;"Yes",
        DATEDIF('Loan Tape (S&amp;P)'!K2607, TODAY(), "M")&lt;18),
    1.10,
    1.00)</f>
        <v/>
      </c>
      <c r="O2607">
        <f>IF('Loan Tape (S&amp;P)'!T2607="Yes",
    1.35,
    1.00)</f>
        <v/>
      </c>
      <c r="P2607">
        <f>IF('Loan Tape (S&amp;P)'!S2607="Yes",
    1.15,
    1.00)</f>
        <v/>
      </c>
      <c r="Q2607">
        <f>IF('Loan Tape (S&amp;P)'!V2607="Yes",
    1.20,
    1.00)</f>
        <v/>
      </c>
      <c r="T2607">
        <f>LET(
    payment_method,'Loan Tape (S&amp;P)'!P2607,
    occupancy,'Loan Tape (S&amp;P)'!N2607,
    maturity_date,'Loan Tape (S&amp;P)'!L2607,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08">
      <c r="J2608">
        <f>LET(
    lien,'Loan Tape (S&amp;P)'!Q2608,
    IF(lien="First",1.00,
        IF(lien="Second",1.50,
            1.70)))</f>
        <v/>
      </c>
      <c r="K2608">
        <f>LET(
    purpose,'Loan Tape (S&amp;P)'!R2608,
    IF(purpose="Purchase",1.00,
        IF(purpose="Remortgage",1.00,
            1.20)))</f>
        <v/>
      </c>
      <c r="L2608">
        <f>LET(
    arrears_months,'Loan Tape (S&amp;P)'!AN2608,
    IF(arrears_months=0,1.00,
    IF(arrears_months=1,3.00,
    IF(arrears_months=2,5.00,
    IF(arrears_months=3,8.00,
    IF(arrears_months=4,10.00,
    IF(arrears_months=5,12.00,15.00)))))))</f>
        <v/>
      </c>
      <c r="M2608">
        <f>LET(
    seasoning_years,DATEDIF('Loan Tape (S&amp;P)'!K2608,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08">
        <f>IF(AND('Loan Tape (S&amp;P)'!U2608="Yes",
        'Loan Tape (S&amp;P)'!T2608&lt;&gt;"Yes",
        DATEDIF('Loan Tape (S&amp;P)'!K2608, TODAY(), "M")&lt;18),
    1.10,
    1.00)</f>
        <v/>
      </c>
      <c r="O2608">
        <f>IF('Loan Tape (S&amp;P)'!T2608="Yes",
    1.35,
    1.00)</f>
        <v/>
      </c>
      <c r="P2608">
        <f>IF('Loan Tape (S&amp;P)'!S2608="Yes",
    1.15,
    1.00)</f>
        <v/>
      </c>
      <c r="Q2608">
        <f>IF('Loan Tape (S&amp;P)'!V2608="Yes",
    1.20,
    1.00)</f>
        <v/>
      </c>
      <c r="T2608">
        <f>LET(
    payment_method,'Loan Tape (S&amp;P)'!P2608,
    occupancy,'Loan Tape (S&amp;P)'!N2608,
    maturity_date,'Loan Tape (S&amp;P)'!L2608,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09">
      <c r="J2609">
        <f>LET(
    lien,'Loan Tape (S&amp;P)'!Q2609,
    IF(lien="First",1.00,
        IF(lien="Second",1.50,
            1.70)))</f>
        <v/>
      </c>
      <c r="K2609">
        <f>LET(
    purpose,'Loan Tape (S&amp;P)'!R2609,
    IF(purpose="Purchase",1.00,
        IF(purpose="Remortgage",1.00,
            1.20)))</f>
        <v/>
      </c>
      <c r="L2609">
        <f>LET(
    arrears_months,'Loan Tape (S&amp;P)'!AN2609,
    IF(arrears_months=0,1.00,
    IF(arrears_months=1,3.00,
    IF(arrears_months=2,5.00,
    IF(arrears_months=3,8.00,
    IF(arrears_months=4,10.00,
    IF(arrears_months=5,12.00,15.00)))))))</f>
        <v/>
      </c>
      <c r="M2609">
        <f>LET(
    seasoning_years,DATEDIF('Loan Tape (S&amp;P)'!K2609,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09">
        <f>IF(AND('Loan Tape (S&amp;P)'!U2609="Yes",
        'Loan Tape (S&amp;P)'!T2609&lt;&gt;"Yes",
        DATEDIF('Loan Tape (S&amp;P)'!K2609, TODAY(), "M")&lt;18),
    1.10,
    1.00)</f>
        <v/>
      </c>
      <c r="O2609">
        <f>IF('Loan Tape (S&amp;P)'!T2609="Yes",
    1.35,
    1.00)</f>
        <v/>
      </c>
      <c r="P2609">
        <f>IF('Loan Tape (S&amp;P)'!S2609="Yes",
    1.15,
    1.00)</f>
        <v/>
      </c>
      <c r="Q2609">
        <f>IF('Loan Tape (S&amp;P)'!V2609="Yes",
    1.20,
    1.00)</f>
        <v/>
      </c>
      <c r="T2609">
        <f>LET(
    payment_method,'Loan Tape (S&amp;P)'!P2609,
    occupancy,'Loan Tape (S&amp;P)'!N2609,
    maturity_date,'Loan Tape (S&amp;P)'!L2609,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10">
      <c r="J2610">
        <f>LET(
    lien,'Loan Tape (S&amp;P)'!Q2610,
    IF(lien="First",1.00,
        IF(lien="Second",1.50,
            1.70)))</f>
        <v/>
      </c>
      <c r="K2610">
        <f>LET(
    purpose,'Loan Tape (S&amp;P)'!R2610,
    IF(purpose="Purchase",1.00,
        IF(purpose="Remortgage",1.00,
            1.20)))</f>
        <v/>
      </c>
      <c r="L2610">
        <f>LET(
    arrears_months,'Loan Tape (S&amp;P)'!AN2610,
    IF(arrears_months=0,1.00,
    IF(arrears_months=1,3.00,
    IF(arrears_months=2,5.00,
    IF(arrears_months=3,8.00,
    IF(arrears_months=4,10.00,
    IF(arrears_months=5,12.00,15.00)))))))</f>
        <v/>
      </c>
      <c r="M2610">
        <f>LET(
    seasoning_years,DATEDIF('Loan Tape (S&amp;P)'!K2610,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10">
        <f>IF(AND('Loan Tape (S&amp;P)'!U2610="Yes",
        'Loan Tape (S&amp;P)'!T2610&lt;&gt;"Yes",
        DATEDIF('Loan Tape (S&amp;P)'!K2610, TODAY(), "M")&lt;18),
    1.10,
    1.00)</f>
        <v/>
      </c>
      <c r="O2610">
        <f>IF('Loan Tape (S&amp;P)'!T2610="Yes",
    1.35,
    1.00)</f>
        <v/>
      </c>
      <c r="P2610">
        <f>IF('Loan Tape (S&amp;P)'!S2610="Yes",
    1.15,
    1.00)</f>
        <v/>
      </c>
      <c r="Q2610">
        <f>IF('Loan Tape (S&amp;P)'!V2610="Yes",
    1.20,
    1.00)</f>
        <v/>
      </c>
      <c r="T2610">
        <f>LET(
    payment_method,'Loan Tape (S&amp;P)'!P2610,
    occupancy,'Loan Tape (S&amp;P)'!N2610,
    maturity_date,'Loan Tape (S&amp;P)'!L2610,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11">
      <c r="J2611">
        <f>LET(
    lien,'Loan Tape (S&amp;P)'!Q2611,
    IF(lien="First",1.00,
        IF(lien="Second",1.50,
            1.70)))</f>
        <v/>
      </c>
      <c r="K2611">
        <f>LET(
    purpose,'Loan Tape (S&amp;P)'!R2611,
    IF(purpose="Purchase",1.00,
        IF(purpose="Remortgage",1.00,
            1.20)))</f>
        <v/>
      </c>
      <c r="L2611">
        <f>LET(
    arrears_months,'Loan Tape (S&amp;P)'!AN2611,
    IF(arrears_months=0,1.00,
    IF(arrears_months=1,3.00,
    IF(arrears_months=2,5.00,
    IF(arrears_months=3,8.00,
    IF(arrears_months=4,10.00,
    IF(arrears_months=5,12.00,15.00)))))))</f>
        <v/>
      </c>
      <c r="M2611">
        <f>LET(
    seasoning_years,DATEDIF('Loan Tape (S&amp;P)'!K2611,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11">
        <f>IF(AND('Loan Tape (S&amp;P)'!U2611="Yes",
        'Loan Tape (S&amp;P)'!T2611&lt;&gt;"Yes",
        DATEDIF('Loan Tape (S&amp;P)'!K2611, TODAY(), "M")&lt;18),
    1.10,
    1.00)</f>
        <v/>
      </c>
      <c r="O2611">
        <f>IF('Loan Tape (S&amp;P)'!T2611="Yes",
    1.35,
    1.00)</f>
        <v/>
      </c>
      <c r="P2611">
        <f>IF('Loan Tape (S&amp;P)'!S2611="Yes",
    1.15,
    1.00)</f>
        <v/>
      </c>
      <c r="Q2611">
        <f>IF('Loan Tape (S&amp;P)'!V2611="Yes",
    1.20,
    1.00)</f>
        <v/>
      </c>
      <c r="T2611">
        <f>LET(
    payment_method,'Loan Tape (S&amp;P)'!P2611,
    occupancy,'Loan Tape (S&amp;P)'!N2611,
    maturity_date,'Loan Tape (S&amp;P)'!L2611,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12">
      <c r="J2612">
        <f>LET(
    lien,'Loan Tape (S&amp;P)'!Q2612,
    IF(lien="First",1.00,
        IF(lien="Second",1.50,
            1.70)))</f>
        <v/>
      </c>
      <c r="K2612">
        <f>LET(
    purpose,'Loan Tape (S&amp;P)'!R2612,
    IF(purpose="Purchase",1.00,
        IF(purpose="Remortgage",1.00,
            1.20)))</f>
        <v/>
      </c>
      <c r="L2612">
        <f>LET(
    arrears_months,'Loan Tape (S&amp;P)'!AN2612,
    IF(arrears_months=0,1.00,
    IF(arrears_months=1,3.00,
    IF(arrears_months=2,5.00,
    IF(arrears_months=3,8.00,
    IF(arrears_months=4,10.00,
    IF(arrears_months=5,12.00,15.00)))))))</f>
        <v/>
      </c>
      <c r="M2612">
        <f>LET(
    seasoning_years,DATEDIF('Loan Tape (S&amp;P)'!K2612,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12">
        <f>IF(AND('Loan Tape (S&amp;P)'!U2612="Yes",
        'Loan Tape (S&amp;P)'!T2612&lt;&gt;"Yes",
        DATEDIF('Loan Tape (S&amp;P)'!K2612, TODAY(), "M")&lt;18),
    1.10,
    1.00)</f>
        <v/>
      </c>
      <c r="O2612">
        <f>IF('Loan Tape (S&amp;P)'!T2612="Yes",
    1.35,
    1.00)</f>
        <v/>
      </c>
      <c r="P2612">
        <f>IF('Loan Tape (S&amp;P)'!S2612="Yes",
    1.15,
    1.00)</f>
        <v/>
      </c>
      <c r="Q2612">
        <f>IF('Loan Tape (S&amp;P)'!V2612="Yes",
    1.20,
    1.00)</f>
        <v/>
      </c>
      <c r="T2612">
        <f>LET(
    payment_method,'Loan Tape (S&amp;P)'!P2612,
    occupancy,'Loan Tape (S&amp;P)'!N2612,
    maturity_date,'Loan Tape (S&amp;P)'!L2612,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13">
      <c r="J2613">
        <f>LET(
    lien,'Loan Tape (S&amp;P)'!Q2613,
    IF(lien="First",1.00,
        IF(lien="Second",1.50,
            1.70)))</f>
        <v/>
      </c>
      <c r="K2613">
        <f>LET(
    purpose,'Loan Tape (S&amp;P)'!R2613,
    IF(purpose="Purchase",1.00,
        IF(purpose="Remortgage",1.00,
            1.20)))</f>
        <v/>
      </c>
      <c r="L2613">
        <f>LET(
    arrears_months,'Loan Tape (S&amp;P)'!AN2613,
    IF(arrears_months=0,1.00,
    IF(arrears_months=1,3.00,
    IF(arrears_months=2,5.00,
    IF(arrears_months=3,8.00,
    IF(arrears_months=4,10.00,
    IF(arrears_months=5,12.00,15.00)))))))</f>
        <v/>
      </c>
      <c r="M2613">
        <f>LET(
    seasoning_years,DATEDIF('Loan Tape (S&amp;P)'!K2613,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13">
        <f>IF(AND('Loan Tape (S&amp;P)'!U2613="Yes",
        'Loan Tape (S&amp;P)'!T2613&lt;&gt;"Yes",
        DATEDIF('Loan Tape (S&amp;P)'!K2613, TODAY(), "M")&lt;18),
    1.10,
    1.00)</f>
        <v/>
      </c>
      <c r="O2613">
        <f>IF('Loan Tape (S&amp;P)'!T2613="Yes",
    1.35,
    1.00)</f>
        <v/>
      </c>
      <c r="P2613">
        <f>IF('Loan Tape (S&amp;P)'!S2613="Yes",
    1.15,
    1.00)</f>
        <v/>
      </c>
      <c r="Q2613">
        <f>IF('Loan Tape (S&amp;P)'!V2613="Yes",
    1.20,
    1.00)</f>
        <v/>
      </c>
      <c r="T2613">
        <f>LET(
    payment_method,'Loan Tape (S&amp;P)'!P2613,
    occupancy,'Loan Tape (S&amp;P)'!N2613,
    maturity_date,'Loan Tape (S&amp;P)'!L2613,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14">
      <c r="J2614">
        <f>LET(
    lien,'Loan Tape (S&amp;P)'!Q2614,
    IF(lien="First",1.00,
        IF(lien="Second",1.50,
            1.70)))</f>
        <v/>
      </c>
      <c r="K2614">
        <f>LET(
    purpose,'Loan Tape (S&amp;P)'!R2614,
    IF(purpose="Purchase",1.00,
        IF(purpose="Remortgage",1.00,
            1.20)))</f>
        <v/>
      </c>
      <c r="L2614">
        <f>LET(
    arrears_months,'Loan Tape (S&amp;P)'!AN2614,
    IF(arrears_months=0,1.00,
    IF(arrears_months=1,3.00,
    IF(arrears_months=2,5.00,
    IF(arrears_months=3,8.00,
    IF(arrears_months=4,10.00,
    IF(arrears_months=5,12.00,15.00)))))))</f>
        <v/>
      </c>
      <c r="M2614">
        <f>LET(
    seasoning_years,DATEDIF('Loan Tape (S&amp;P)'!K2614,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14">
        <f>IF(AND('Loan Tape (S&amp;P)'!U2614="Yes",
        'Loan Tape (S&amp;P)'!T2614&lt;&gt;"Yes",
        DATEDIF('Loan Tape (S&amp;P)'!K2614, TODAY(), "M")&lt;18),
    1.10,
    1.00)</f>
        <v/>
      </c>
      <c r="O2614">
        <f>IF('Loan Tape (S&amp;P)'!T2614="Yes",
    1.35,
    1.00)</f>
        <v/>
      </c>
      <c r="P2614">
        <f>IF('Loan Tape (S&amp;P)'!S2614="Yes",
    1.15,
    1.00)</f>
        <v/>
      </c>
      <c r="Q2614">
        <f>IF('Loan Tape (S&amp;P)'!V2614="Yes",
    1.20,
    1.00)</f>
        <v/>
      </c>
      <c r="T2614">
        <f>LET(
    payment_method,'Loan Tape (S&amp;P)'!P2614,
    occupancy,'Loan Tape (S&amp;P)'!N2614,
    maturity_date,'Loan Tape (S&amp;P)'!L2614,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15">
      <c r="J2615">
        <f>LET(
    lien,'Loan Tape (S&amp;P)'!Q2615,
    IF(lien="First",1.00,
        IF(lien="Second",1.50,
            1.70)))</f>
        <v/>
      </c>
      <c r="K2615">
        <f>LET(
    purpose,'Loan Tape (S&amp;P)'!R2615,
    IF(purpose="Purchase",1.00,
        IF(purpose="Remortgage",1.00,
            1.20)))</f>
        <v/>
      </c>
      <c r="L2615">
        <f>LET(
    arrears_months,'Loan Tape (S&amp;P)'!AN2615,
    IF(arrears_months=0,1.00,
    IF(arrears_months=1,3.00,
    IF(arrears_months=2,5.00,
    IF(arrears_months=3,8.00,
    IF(arrears_months=4,10.00,
    IF(arrears_months=5,12.00,15.00)))))))</f>
        <v/>
      </c>
      <c r="M2615">
        <f>LET(
    seasoning_years,DATEDIF('Loan Tape (S&amp;P)'!K2615,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15">
        <f>IF(AND('Loan Tape (S&amp;P)'!U2615="Yes",
        'Loan Tape (S&amp;P)'!T2615&lt;&gt;"Yes",
        DATEDIF('Loan Tape (S&amp;P)'!K2615, TODAY(), "M")&lt;18),
    1.10,
    1.00)</f>
        <v/>
      </c>
      <c r="O2615">
        <f>IF('Loan Tape (S&amp;P)'!T2615="Yes",
    1.35,
    1.00)</f>
        <v/>
      </c>
      <c r="P2615">
        <f>IF('Loan Tape (S&amp;P)'!S2615="Yes",
    1.15,
    1.00)</f>
        <v/>
      </c>
      <c r="Q2615">
        <f>IF('Loan Tape (S&amp;P)'!V2615="Yes",
    1.20,
    1.00)</f>
        <v/>
      </c>
      <c r="T2615">
        <f>LET(
    payment_method,'Loan Tape (S&amp;P)'!P2615,
    occupancy,'Loan Tape (S&amp;P)'!N2615,
    maturity_date,'Loan Tape (S&amp;P)'!L2615,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16">
      <c r="J2616">
        <f>LET(
    lien,'Loan Tape (S&amp;P)'!Q2616,
    IF(lien="First",1.00,
        IF(lien="Second",1.50,
            1.70)))</f>
        <v/>
      </c>
      <c r="K2616">
        <f>LET(
    purpose,'Loan Tape (S&amp;P)'!R2616,
    IF(purpose="Purchase",1.00,
        IF(purpose="Remortgage",1.00,
            1.20)))</f>
        <v/>
      </c>
      <c r="L2616">
        <f>LET(
    arrears_months,'Loan Tape (S&amp;P)'!AN2616,
    IF(arrears_months=0,1.00,
    IF(arrears_months=1,3.00,
    IF(arrears_months=2,5.00,
    IF(arrears_months=3,8.00,
    IF(arrears_months=4,10.00,
    IF(arrears_months=5,12.00,15.00)))))))</f>
        <v/>
      </c>
      <c r="M2616">
        <f>LET(
    seasoning_years,DATEDIF('Loan Tape (S&amp;P)'!K2616,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16">
        <f>IF(AND('Loan Tape (S&amp;P)'!U2616="Yes",
        'Loan Tape (S&amp;P)'!T2616&lt;&gt;"Yes",
        DATEDIF('Loan Tape (S&amp;P)'!K2616, TODAY(), "M")&lt;18),
    1.10,
    1.00)</f>
        <v/>
      </c>
      <c r="O2616">
        <f>IF('Loan Tape (S&amp;P)'!T2616="Yes",
    1.35,
    1.00)</f>
        <v/>
      </c>
      <c r="P2616">
        <f>IF('Loan Tape (S&amp;P)'!S2616="Yes",
    1.15,
    1.00)</f>
        <v/>
      </c>
      <c r="Q2616">
        <f>IF('Loan Tape (S&amp;P)'!V2616="Yes",
    1.20,
    1.00)</f>
        <v/>
      </c>
      <c r="T2616">
        <f>LET(
    payment_method,'Loan Tape (S&amp;P)'!P2616,
    occupancy,'Loan Tape (S&amp;P)'!N2616,
    maturity_date,'Loan Tape (S&amp;P)'!L2616,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17">
      <c r="J2617">
        <f>LET(
    lien,'Loan Tape (S&amp;P)'!Q2617,
    IF(lien="First",1.00,
        IF(lien="Second",1.50,
            1.70)))</f>
        <v/>
      </c>
      <c r="K2617">
        <f>LET(
    purpose,'Loan Tape (S&amp;P)'!R2617,
    IF(purpose="Purchase",1.00,
        IF(purpose="Remortgage",1.00,
            1.20)))</f>
        <v/>
      </c>
      <c r="L2617">
        <f>LET(
    arrears_months,'Loan Tape (S&amp;P)'!AN2617,
    IF(arrears_months=0,1.00,
    IF(arrears_months=1,3.00,
    IF(arrears_months=2,5.00,
    IF(arrears_months=3,8.00,
    IF(arrears_months=4,10.00,
    IF(arrears_months=5,12.00,15.00)))))))</f>
        <v/>
      </c>
      <c r="M2617">
        <f>LET(
    seasoning_years,DATEDIF('Loan Tape (S&amp;P)'!K2617,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17">
        <f>IF(AND('Loan Tape (S&amp;P)'!U2617="Yes",
        'Loan Tape (S&amp;P)'!T2617&lt;&gt;"Yes",
        DATEDIF('Loan Tape (S&amp;P)'!K2617, TODAY(), "M")&lt;18),
    1.10,
    1.00)</f>
        <v/>
      </c>
      <c r="O2617">
        <f>IF('Loan Tape (S&amp;P)'!T2617="Yes",
    1.35,
    1.00)</f>
        <v/>
      </c>
      <c r="P2617">
        <f>IF('Loan Tape (S&amp;P)'!S2617="Yes",
    1.15,
    1.00)</f>
        <v/>
      </c>
      <c r="Q2617">
        <f>IF('Loan Tape (S&amp;P)'!V2617="Yes",
    1.20,
    1.00)</f>
        <v/>
      </c>
      <c r="T2617">
        <f>LET(
    payment_method,'Loan Tape (S&amp;P)'!P2617,
    occupancy,'Loan Tape (S&amp;P)'!N2617,
    maturity_date,'Loan Tape (S&amp;P)'!L2617,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18">
      <c r="J2618">
        <f>LET(
    lien,'Loan Tape (S&amp;P)'!Q2618,
    IF(lien="First",1.00,
        IF(lien="Second",1.50,
            1.70)))</f>
        <v/>
      </c>
      <c r="K2618">
        <f>LET(
    purpose,'Loan Tape (S&amp;P)'!R2618,
    IF(purpose="Purchase",1.00,
        IF(purpose="Remortgage",1.00,
            1.20)))</f>
        <v/>
      </c>
      <c r="L2618">
        <f>LET(
    arrears_months,'Loan Tape (S&amp;P)'!AN2618,
    IF(arrears_months=0,1.00,
    IF(arrears_months=1,3.00,
    IF(arrears_months=2,5.00,
    IF(arrears_months=3,8.00,
    IF(arrears_months=4,10.00,
    IF(arrears_months=5,12.00,15.00)))))))</f>
        <v/>
      </c>
      <c r="M2618">
        <f>LET(
    seasoning_years,DATEDIF('Loan Tape (S&amp;P)'!K2618,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18">
        <f>IF(AND('Loan Tape (S&amp;P)'!U2618="Yes",
        'Loan Tape (S&amp;P)'!T2618&lt;&gt;"Yes",
        DATEDIF('Loan Tape (S&amp;P)'!K2618, TODAY(), "M")&lt;18),
    1.10,
    1.00)</f>
        <v/>
      </c>
      <c r="O2618">
        <f>IF('Loan Tape (S&amp;P)'!T2618="Yes",
    1.35,
    1.00)</f>
        <v/>
      </c>
      <c r="P2618">
        <f>IF('Loan Tape (S&amp;P)'!S2618="Yes",
    1.15,
    1.00)</f>
        <v/>
      </c>
      <c r="Q2618">
        <f>IF('Loan Tape (S&amp;P)'!V2618="Yes",
    1.20,
    1.00)</f>
        <v/>
      </c>
      <c r="T2618">
        <f>LET(
    payment_method,'Loan Tape (S&amp;P)'!P2618,
    occupancy,'Loan Tape (S&amp;P)'!N2618,
    maturity_date,'Loan Tape (S&amp;P)'!L2618,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19">
      <c r="J2619">
        <f>LET(
    lien,'Loan Tape (S&amp;P)'!Q2619,
    IF(lien="First",1.00,
        IF(lien="Second",1.50,
            1.70)))</f>
        <v/>
      </c>
      <c r="K2619">
        <f>LET(
    purpose,'Loan Tape (S&amp;P)'!R2619,
    IF(purpose="Purchase",1.00,
        IF(purpose="Remortgage",1.00,
            1.20)))</f>
        <v/>
      </c>
      <c r="L2619">
        <f>LET(
    arrears_months,'Loan Tape (S&amp;P)'!AN2619,
    IF(arrears_months=0,1.00,
    IF(arrears_months=1,3.00,
    IF(arrears_months=2,5.00,
    IF(arrears_months=3,8.00,
    IF(arrears_months=4,10.00,
    IF(arrears_months=5,12.00,15.00)))))))</f>
        <v/>
      </c>
      <c r="M2619">
        <f>LET(
    seasoning_years,DATEDIF('Loan Tape (S&amp;P)'!K2619,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19">
        <f>IF(AND('Loan Tape (S&amp;P)'!U2619="Yes",
        'Loan Tape (S&amp;P)'!T2619&lt;&gt;"Yes",
        DATEDIF('Loan Tape (S&amp;P)'!K2619, TODAY(), "M")&lt;18),
    1.10,
    1.00)</f>
        <v/>
      </c>
      <c r="O2619">
        <f>IF('Loan Tape (S&amp;P)'!T2619="Yes",
    1.35,
    1.00)</f>
        <v/>
      </c>
      <c r="P2619">
        <f>IF('Loan Tape (S&amp;P)'!S2619="Yes",
    1.15,
    1.00)</f>
        <v/>
      </c>
      <c r="Q2619">
        <f>IF('Loan Tape (S&amp;P)'!V2619="Yes",
    1.20,
    1.00)</f>
        <v/>
      </c>
      <c r="T2619">
        <f>LET(
    payment_method,'Loan Tape (S&amp;P)'!P2619,
    occupancy,'Loan Tape (S&amp;P)'!N2619,
    maturity_date,'Loan Tape (S&amp;P)'!L2619,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20">
      <c r="J2620">
        <f>LET(
    lien,'Loan Tape (S&amp;P)'!Q2620,
    IF(lien="First",1.00,
        IF(lien="Second",1.50,
            1.70)))</f>
        <v/>
      </c>
      <c r="K2620">
        <f>LET(
    purpose,'Loan Tape (S&amp;P)'!R2620,
    IF(purpose="Purchase",1.00,
        IF(purpose="Remortgage",1.00,
            1.20)))</f>
        <v/>
      </c>
      <c r="L2620">
        <f>LET(
    arrears_months,'Loan Tape (S&amp;P)'!AN2620,
    IF(arrears_months=0,1.00,
    IF(arrears_months=1,3.00,
    IF(arrears_months=2,5.00,
    IF(arrears_months=3,8.00,
    IF(arrears_months=4,10.00,
    IF(arrears_months=5,12.00,15.00)))))))</f>
        <v/>
      </c>
      <c r="M2620">
        <f>LET(
    seasoning_years,DATEDIF('Loan Tape (S&amp;P)'!K2620,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20">
        <f>IF(AND('Loan Tape (S&amp;P)'!U2620="Yes",
        'Loan Tape (S&amp;P)'!T2620&lt;&gt;"Yes",
        DATEDIF('Loan Tape (S&amp;P)'!K2620, TODAY(), "M")&lt;18),
    1.10,
    1.00)</f>
        <v/>
      </c>
      <c r="O2620">
        <f>IF('Loan Tape (S&amp;P)'!T2620="Yes",
    1.35,
    1.00)</f>
        <v/>
      </c>
      <c r="P2620">
        <f>IF('Loan Tape (S&amp;P)'!S2620="Yes",
    1.15,
    1.00)</f>
        <v/>
      </c>
      <c r="Q2620">
        <f>IF('Loan Tape (S&amp;P)'!V2620="Yes",
    1.20,
    1.00)</f>
        <v/>
      </c>
      <c r="T2620">
        <f>LET(
    payment_method,'Loan Tape (S&amp;P)'!P2620,
    occupancy,'Loan Tape (S&amp;P)'!N2620,
    maturity_date,'Loan Tape (S&amp;P)'!L2620,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21">
      <c r="J2621">
        <f>LET(
    lien,'Loan Tape (S&amp;P)'!Q2621,
    IF(lien="First",1.00,
        IF(lien="Second",1.50,
            1.70)))</f>
        <v/>
      </c>
      <c r="K2621">
        <f>LET(
    purpose,'Loan Tape (S&amp;P)'!R2621,
    IF(purpose="Purchase",1.00,
        IF(purpose="Remortgage",1.00,
            1.20)))</f>
        <v/>
      </c>
      <c r="L2621">
        <f>LET(
    arrears_months,'Loan Tape (S&amp;P)'!AN2621,
    IF(arrears_months=0,1.00,
    IF(arrears_months=1,3.00,
    IF(arrears_months=2,5.00,
    IF(arrears_months=3,8.00,
    IF(arrears_months=4,10.00,
    IF(arrears_months=5,12.00,15.00)))))))</f>
        <v/>
      </c>
      <c r="M2621">
        <f>LET(
    seasoning_years,DATEDIF('Loan Tape (S&amp;P)'!K2621,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21">
        <f>IF(AND('Loan Tape (S&amp;P)'!U2621="Yes",
        'Loan Tape (S&amp;P)'!T2621&lt;&gt;"Yes",
        DATEDIF('Loan Tape (S&amp;P)'!K2621, TODAY(), "M")&lt;18),
    1.10,
    1.00)</f>
        <v/>
      </c>
      <c r="O2621">
        <f>IF('Loan Tape (S&amp;P)'!T2621="Yes",
    1.35,
    1.00)</f>
        <v/>
      </c>
      <c r="P2621">
        <f>IF('Loan Tape (S&amp;P)'!S2621="Yes",
    1.15,
    1.00)</f>
        <v/>
      </c>
      <c r="Q2621">
        <f>IF('Loan Tape (S&amp;P)'!V2621="Yes",
    1.20,
    1.00)</f>
        <v/>
      </c>
      <c r="T2621">
        <f>LET(
    payment_method,'Loan Tape (S&amp;P)'!P2621,
    occupancy,'Loan Tape (S&amp;P)'!N2621,
    maturity_date,'Loan Tape (S&amp;P)'!L2621,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22">
      <c r="J2622">
        <f>LET(
    lien,'Loan Tape (S&amp;P)'!Q2622,
    IF(lien="First",1.00,
        IF(lien="Second",1.50,
            1.70)))</f>
        <v/>
      </c>
      <c r="K2622">
        <f>LET(
    purpose,'Loan Tape (S&amp;P)'!R2622,
    IF(purpose="Purchase",1.00,
        IF(purpose="Remortgage",1.00,
            1.20)))</f>
        <v/>
      </c>
      <c r="L2622">
        <f>LET(
    arrears_months,'Loan Tape (S&amp;P)'!AN2622,
    IF(arrears_months=0,1.00,
    IF(arrears_months=1,3.00,
    IF(arrears_months=2,5.00,
    IF(arrears_months=3,8.00,
    IF(arrears_months=4,10.00,
    IF(arrears_months=5,12.00,15.00)))))))</f>
        <v/>
      </c>
      <c r="M2622">
        <f>LET(
    seasoning_years,DATEDIF('Loan Tape (S&amp;P)'!K2622,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22">
        <f>IF(AND('Loan Tape (S&amp;P)'!U2622="Yes",
        'Loan Tape (S&amp;P)'!T2622&lt;&gt;"Yes",
        DATEDIF('Loan Tape (S&amp;P)'!K2622, TODAY(), "M")&lt;18),
    1.10,
    1.00)</f>
        <v/>
      </c>
      <c r="O2622">
        <f>IF('Loan Tape (S&amp;P)'!T2622="Yes",
    1.35,
    1.00)</f>
        <v/>
      </c>
      <c r="P2622">
        <f>IF('Loan Tape (S&amp;P)'!S2622="Yes",
    1.15,
    1.00)</f>
        <v/>
      </c>
      <c r="Q2622">
        <f>IF('Loan Tape (S&amp;P)'!V2622="Yes",
    1.20,
    1.00)</f>
        <v/>
      </c>
      <c r="T2622">
        <f>LET(
    payment_method,'Loan Tape (S&amp;P)'!P2622,
    occupancy,'Loan Tape (S&amp;P)'!N2622,
    maturity_date,'Loan Tape (S&amp;P)'!L2622,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23">
      <c r="J2623">
        <f>LET(
    lien,'Loan Tape (S&amp;P)'!Q2623,
    IF(lien="First",1.00,
        IF(lien="Second",1.50,
            1.70)))</f>
        <v/>
      </c>
      <c r="K2623">
        <f>LET(
    purpose,'Loan Tape (S&amp;P)'!R2623,
    IF(purpose="Purchase",1.00,
        IF(purpose="Remortgage",1.00,
            1.20)))</f>
        <v/>
      </c>
      <c r="L2623">
        <f>LET(
    arrears_months,'Loan Tape (S&amp;P)'!AN2623,
    IF(arrears_months=0,1.00,
    IF(arrears_months=1,3.00,
    IF(arrears_months=2,5.00,
    IF(arrears_months=3,8.00,
    IF(arrears_months=4,10.00,
    IF(arrears_months=5,12.00,15.00)))))))</f>
        <v/>
      </c>
      <c r="M2623">
        <f>LET(
    seasoning_years,DATEDIF('Loan Tape (S&amp;P)'!K2623,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23">
        <f>IF(AND('Loan Tape (S&amp;P)'!U2623="Yes",
        'Loan Tape (S&amp;P)'!T2623&lt;&gt;"Yes",
        DATEDIF('Loan Tape (S&amp;P)'!K2623, TODAY(), "M")&lt;18),
    1.10,
    1.00)</f>
        <v/>
      </c>
      <c r="O2623">
        <f>IF('Loan Tape (S&amp;P)'!T2623="Yes",
    1.35,
    1.00)</f>
        <v/>
      </c>
      <c r="P2623">
        <f>IF('Loan Tape (S&amp;P)'!S2623="Yes",
    1.15,
    1.00)</f>
        <v/>
      </c>
      <c r="Q2623">
        <f>IF('Loan Tape (S&amp;P)'!V2623="Yes",
    1.20,
    1.00)</f>
        <v/>
      </c>
      <c r="T2623">
        <f>LET(
    payment_method,'Loan Tape (S&amp;P)'!P2623,
    occupancy,'Loan Tape (S&amp;P)'!N2623,
    maturity_date,'Loan Tape (S&amp;P)'!L2623,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24">
      <c r="J2624">
        <f>LET(
    lien,'Loan Tape (S&amp;P)'!Q2624,
    IF(lien="First",1.00,
        IF(lien="Second",1.50,
            1.70)))</f>
        <v/>
      </c>
      <c r="K2624">
        <f>LET(
    purpose,'Loan Tape (S&amp;P)'!R2624,
    IF(purpose="Purchase",1.00,
        IF(purpose="Remortgage",1.00,
            1.20)))</f>
        <v/>
      </c>
      <c r="L2624">
        <f>LET(
    arrears_months,'Loan Tape (S&amp;P)'!AN2624,
    IF(arrears_months=0,1.00,
    IF(arrears_months=1,3.00,
    IF(arrears_months=2,5.00,
    IF(arrears_months=3,8.00,
    IF(arrears_months=4,10.00,
    IF(arrears_months=5,12.00,15.00)))))))</f>
        <v/>
      </c>
      <c r="M2624">
        <f>LET(
    seasoning_years,DATEDIF('Loan Tape (S&amp;P)'!K2624,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24">
        <f>IF(AND('Loan Tape (S&amp;P)'!U2624="Yes",
        'Loan Tape (S&amp;P)'!T2624&lt;&gt;"Yes",
        DATEDIF('Loan Tape (S&amp;P)'!K2624, TODAY(), "M")&lt;18),
    1.10,
    1.00)</f>
        <v/>
      </c>
      <c r="O2624">
        <f>IF('Loan Tape (S&amp;P)'!T2624="Yes",
    1.35,
    1.00)</f>
        <v/>
      </c>
      <c r="P2624">
        <f>IF('Loan Tape (S&amp;P)'!S2624="Yes",
    1.15,
    1.00)</f>
        <v/>
      </c>
      <c r="Q2624">
        <f>IF('Loan Tape (S&amp;P)'!V2624="Yes",
    1.20,
    1.00)</f>
        <v/>
      </c>
      <c r="T2624">
        <f>LET(
    payment_method,'Loan Tape (S&amp;P)'!P2624,
    occupancy,'Loan Tape (S&amp;P)'!N2624,
    maturity_date,'Loan Tape (S&amp;P)'!L2624,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25">
      <c r="J2625">
        <f>LET(
    lien,'Loan Tape (S&amp;P)'!Q2625,
    IF(lien="First",1.00,
        IF(lien="Second",1.50,
            1.70)))</f>
        <v/>
      </c>
      <c r="K2625">
        <f>LET(
    purpose,'Loan Tape (S&amp;P)'!R2625,
    IF(purpose="Purchase",1.00,
        IF(purpose="Remortgage",1.00,
            1.20)))</f>
        <v/>
      </c>
      <c r="L2625">
        <f>LET(
    arrears_months,'Loan Tape (S&amp;P)'!AN2625,
    IF(arrears_months=0,1.00,
    IF(arrears_months=1,3.00,
    IF(arrears_months=2,5.00,
    IF(arrears_months=3,8.00,
    IF(arrears_months=4,10.00,
    IF(arrears_months=5,12.00,15.00)))))))</f>
        <v/>
      </c>
      <c r="M2625">
        <f>LET(
    seasoning_years,DATEDIF('Loan Tape (S&amp;P)'!K2625,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25">
        <f>IF(AND('Loan Tape (S&amp;P)'!U2625="Yes",
        'Loan Tape (S&amp;P)'!T2625&lt;&gt;"Yes",
        DATEDIF('Loan Tape (S&amp;P)'!K2625, TODAY(), "M")&lt;18),
    1.10,
    1.00)</f>
        <v/>
      </c>
      <c r="O2625">
        <f>IF('Loan Tape (S&amp;P)'!T2625="Yes",
    1.35,
    1.00)</f>
        <v/>
      </c>
      <c r="P2625">
        <f>IF('Loan Tape (S&amp;P)'!S2625="Yes",
    1.15,
    1.00)</f>
        <v/>
      </c>
      <c r="Q2625">
        <f>IF('Loan Tape (S&amp;P)'!V2625="Yes",
    1.20,
    1.00)</f>
        <v/>
      </c>
      <c r="T2625">
        <f>LET(
    payment_method,'Loan Tape (S&amp;P)'!P2625,
    occupancy,'Loan Tape (S&amp;P)'!N2625,
    maturity_date,'Loan Tape (S&amp;P)'!L2625,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26">
      <c r="J2626">
        <f>LET(
    lien,'Loan Tape (S&amp;P)'!Q2626,
    IF(lien="First",1.00,
        IF(lien="Second",1.50,
            1.70)))</f>
        <v/>
      </c>
      <c r="K2626">
        <f>LET(
    purpose,'Loan Tape (S&amp;P)'!R2626,
    IF(purpose="Purchase",1.00,
        IF(purpose="Remortgage",1.00,
            1.20)))</f>
        <v/>
      </c>
      <c r="L2626">
        <f>LET(
    arrears_months,'Loan Tape (S&amp;P)'!AN2626,
    IF(arrears_months=0,1.00,
    IF(arrears_months=1,3.00,
    IF(arrears_months=2,5.00,
    IF(arrears_months=3,8.00,
    IF(arrears_months=4,10.00,
    IF(arrears_months=5,12.00,15.00)))))))</f>
        <v/>
      </c>
      <c r="M2626">
        <f>LET(
    seasoning_years,DATEDIF('Loan Tape (S&amp;P)'!K2626,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26">
        <f>IF(AND('Loan Tape (S&amp;P)'!U2626="Yes",
        'Loan Tape (S&amp;P)'!T2626&lt;&gt;"Yes",
        DATEDIF('Loan Tape (S&amp;P)'!K2626, TODAY(), "M")&lt;18),
    1.10,
    1.00)</f>
        <v/>
      </c>
      <c r="O2626">
        <f>IF('Loan Tape (S&amp;P)'!T2626="Yes",
    1.35,
    1.00)</f>
        <v/>
      </c>
      <c r="P2626">
        <f>IF('Loan Tape (S&amp;P)'!S2626="Yes",
    1.15,
    1.00)</f>
        <v/>
      </c>
      <c r="Q2626">
        <f>IF('Loan Tape (S&amp;P)'!V2626="Yes",
    1.20,
    1.00)</f>
        <v/>
      </c>
      <c r="T2626">
        <f>LET(
    payment_method,'Loan Tape (S&amp;P)'!P2626,
    occupancy,'Loan Tape (S&amp;P)'!N2626,
    maturity_date,'Loan Tape (S&amp;P)'!L2626,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27">
      <c r="J2627">
        <f>LET(
    lien,'Loan Tape (S&amp;P)'!Q2627,
    IF(lien="First",1.00,
        IF(lien="Second",1.50,
            1.70)))</f>
        <v/>
      </c>
      <c r="K2627">
        <f>LET(
    purpose,'Loan Tape (S&amp;P)'!R2627,
    IF(purpose="Purchase",1.00,
        IF(purpose="Remortgage",1.00,
            1.20)))</f>
        <v/>
      </c>
      <c r="L2627">
        <f>LET(
    arrears_months,'Loan Tape (S&amp;P)'!AN2627,
    IF(arrears_months=0,1.00,
    IF(arrears_months=1,3.00,
    IF(arrears_months=2,5.00,
    IF(arrears_months=3,8.00,
    IF(arrears_months=4,10.00,
    IF(arrears_months=5,12.00,15.00)))))))</f>
        <v/>
      </c>
      <c r="M2627">
        <f>LET(
    seasoning_years,DATEDIF('Loan Tape (S&amp;P)'!K2627,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27">
        <f>IF(AND('Loan Tape (S&amp;P)'!U2627="Yes",
        'Loan Tape (S&amp;P)'!T2627&lt;&gt;"Yes",
        DATEDIF('Loan Tape (S&amp;P)'!K2627, TODAY(), "M")&lt;18),
    1.10,
    1.00)</f>
        <v/>
      </c>
      <c r="O2627">
        <f>IF('Loan Tape (S&amp;P)'!T2627="Yes",
    1.35,
    1.00)</f>
        <v/>
      </c>
      <c r="P2627">
        <f>IF('Loan Tape (S&amp;P)'!S2627="Yes",
    1.15,
    1.00)</f>
        <v/>
      </c>
      <c r="Q2627">
        <f>IF('Loan Tape (S&amp;P)'!V2627="Yes",
    1.20,
    1.00)</f>
        <v/>
      </c>
      <c r="T2627">
        <f>LET(
    payment_method,'Loan Tape (S&amp;P)'!P2627,
    occupancy,'Loan Tape (S&amp;P)'!N2627,
    maturity_date,'Loan Tape (S&amp;P)'!L2627,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28">
      <c r="J2628">
        <f>LET(
    lien,'Loan Tape (S&amp;P)'!Q2628,
    IF(lien="First",1.00,
        IF(lien="Second",1.50,
            1.70)))</f>
        <v/>
      </c>
      <c r="K2628">
        <f>LET(
    purpose,'Loan Tape (S&amp;P)'!R2628,
    IF(purpose="Purchase",1.00,
        IF(purpose="Remortgage",1.00,
            1.20)))</f>
        <v/>
      </c>
      <c r="L2628">
        <f>LET(
    arrears_months,'Loan Tape (S&amp;P)'!AN2628,
    IF(arrears_months=0,1.00,
    IF(arrears_months=1,3.00,
    IF(arrears_months=2,5.00,
    IF(arrears_months=3,8.00,
    IF(arrears_months=4,10.00,
    IF(arrears_months=5,12.00,15.00)))))))</f>
        <v/>
      </c>
      <c r="M2628">
        <f>LET(
    seasoning_years,DATEDIF('Loan Tape (S&amp;P)'!K2628,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28">
        <f>IF(AND('Loan Tape (S&amp;P)'!U2628="Yes",
        'Loan Tape (S&amp;P)'!T2628&lt;&gt;"Yes",
        DATEDIF('Loan Tape (S&amp;P)'!K2628, TODAY(), "M")&lt;18),
    1.10,
    1.00)</f>
        <v/>
      </c>
      <c r="O2628">
        <f>IF('Loan Tape (S&amp;P)'!T2628="Yes",
    1.35,
    1.00)</f>
        <v/>
      </c>
      <c r="P2628">
        <f>IF('Loan Tape (S&amp;P)'!S2628="Yes",
    1.15,
    1.00)</f>
        <v/>
      </c>
      <c r="Q2628">
        <f>IF('Loan Tape (S&amp;P)'!V2628="Yes",
    1.20,
    1.00)</f>
        <v/>
      </c>
      <c r="T2628">
        <f>LET(
    payment_method,'Loan Tape (S&amp;P)'!P2628,
    occupancy,'Loan Tape (S&amp;P)'!N2628,
    maturity_date,'Loan Tape (S&amp;P)'!L2628,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29">
      <c r="J2629">
        <f>LET(
    lien,'Loan Tape (S&amp;P)'!Q2629,
    IF(lien="First",1.00,
        IF(lien="Second",1.50,
            1.70)))</f>
        <v/>
      </c>
      <c r="K2629">
        <f>LET(
    purpose,'Loan Tape (S&amp;P)'!R2629,
    IF(purpose="Purchase",1.00,
        IF(purpose="Remortgage",1.00,
            1.20)))</f>
        <v/>
      </c>
      <c r="L2629">
        <f>LET(
    arrears_months,'Loan Tape (S&amp;P)'!AN2629,
    IF(arrears_months=0,1.00,
    IF(arrears_months=1,3.00,
    IF(arrears_months=2,5.00,
    IF(arrears_months=3,8.00,
    IF(arrears_months=4,10.00,
    IF(arrears_months=5,12.00,15.00)))))))</f>
        <v/>
      </c>
      <c r="M2629">
        <f>LET(
    seasoning_years,DATEDIF('Loan Tape (S&amp;P)'!K2629,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29">
        <f>IF(AND('Loan Tape (S&amp;P)'!U2629="Yes",
        'Loan Tape (S&amp;P)'!T2629&lt;&gt;"Yes",
        DATEDIF('Loan Tape (S&amp;P)'!K2629, TODAY(), "M")&lt;18),
    1.10,
    1.00)</f>
        <v/>
      </c>
      <c r="O2629">
        <f>IF('Loan Tape (S&amp;P)'!T2629="Yes",
    1.35,
    1.00)</f>
        <v/>
      </c>
      <c r="P2629">
        <f>IF('Loan Tape (S&amp;P)'!S2629="Yes",
    1.15,
    1.00)</f>
        <v/>
      </c>
      <c r="Q2629">
        <f>IF('Loan Tape (S&amp;P)'!V2629="Yes",
    1.20,
    1.00)</f>
        <v/>
      </c>
      <c r="T2629">
        <f>LET(
    payment_method,'Loan Tape (S&amp;P)'!P2629,
    occupancy,'Loan Tape (S&amp;P)'!N2629,
    maturity_date,'Loan Tape (S&amp;P)'!L2629,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30">
      <c r="J2630">
        <f>LET(
    lien,'Loan Tape (S&amp;P)'!Q2630,
    IF(lien="First",1.00,
        IF(lien="Second",1.50,
            1.70)))</f>
        <v/>
      </c>
      <c r="K2630">
        <f>LET(
    purpose,'Loan Tape (S&amp;P)'!R2630,
    IF(purpose="Purchase",1.00,
        IF(purpose="Remortgage",1.00,
            1.20)))</f>
        <v/>
      </c>
      <c r="L2630">
        <f>LET(
    arrears_months,'Loan Tape (S&amp;P)'!AN2630,
    IF(arrears_months=0,1.00,
    IF(arrears_months=1,3.00,
    IF(arrears_months=2,5.00,
    IF(arrears_months=3,8.00,
    IF(arrears_months=4,10.00,
    IF(arrears_months=5,12.00,15.00)))))))</f>
        <v/>
      </c>
      <c r="M2630">
        <f>LET(
    seasoning_years,DATEDIF('Loan Tape (S&amp;P)'!K2630,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30">
        <f>IF(AND('Loan Tape (S&amp;P)'!U2630="Yes",
        'Loan Tape (S&amp;P)'!T2630&lt;&gt;"Yes",
        DATEDIF('Loan Tape (S&amp;P)'!K2630, TODAY(), "M")&lt;18),
    1.10,
    1.00)</f>
        <v/>
      </c>
      <c r="O2630">
        <f>IF('Loan Tape (S&amp;P)'!T2630="Yes",
    1.35,
    1.00)</f>
        <v/>
      </c>
      <c r="P2630">
        <f>IF('Loan Tape (S&amp;P)'!S2630="Yes",
    1.15,
    1.00)</f>
        <v/>
      </c>
      <c r="Q2630">
        <f>IF('Loan Tape (S&amp;P)'!V2630="Yes",
    1.20,
    1.00)</f>
        <v/>
      </c>
      <c r="T2630">
        <f>LET(
    payment_method,'Loan Tape (S&amp;P)'!P2630,
    occupancy,'Loan Tape (S&amp;P)'!N2630,
    maturity_date,'Loan Tape (S&amp;P)'!L2630,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31">
      <c r="J2631">
        <f>LET(
    lien,'Loan Tape (S&amp;P)'!Q2631,
    IF(lien="First",1.00,
        IF(lien="Second",1.50,
            1.70)))</f>
        <v/>
      </c>
      <c r="K2631">
        <f>LET(
    purpose,'Loan Tape (S&amp;P)'!R2631,
    IF(purpose="Purchase",1.00,
        IF(purpose="Remortgage",1.00,
            1.20)))</f>
        <v/>
      </c>
      <c r="L2631">
        <f>LET(
    arrears_months,'Loan Tape (S&amp;P)'!AN2631,
    IF(arrears_months=0,1.00,
    IF(arrears_months=1,3.00,
    IF(arrears_months=2,5.00,
    IF(arrears_months=3,8.00,
    IF(arrears_months=4,10.00,
    IF(arrears_months=5,12.00,15.00)))))))</f>
        <v/>
      </c>
      <c r="M2631">
        <f>LET(
    seasoning_years,DATEDIF('Loan Tape (S&amp;P)'!K2631,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31">
        <f>IF(AND('Loan Tape (S&amp;P)'!U2631="Yes",
        'Loan Tape (S&amp;P)'!T2631&lt;&gt;"Yes",
        DATEDIF('Loan Tape (S&amp;P)'!K2631, TODAY(), "M")&lt;18),
    1.10,
    1.00)</f>
        <v/>
      </c>
      <c r="O2631">
        <f>IF('Loan Tape (S&amp;P)'!T2631="Yes",
    1.35,
    1.00)</f>
        <v/>
      </c>
      <c r="P2631">
        <f>IF('Loan Tape (S&amp;P)'!S2631="Yes",
    1.15,
    1.00)</f>
        <v/>
      </c>
      <c r="Q2631">
        <f>IF('Loan Tape (S&amp;P)'!V2631="Yes",
    1.20,
    1.00)</f>
        <v/>
      </c>
      <c r="T2631">
        <f>LET(
    payment_method,'Loan Tape (S&amp;P)'!P2631,
    occupancy,'Loan Tape (S&amp;P)'!N2631,
    maturity_date,'Loan Tape (S&amp;P)'!L2631,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32">
      <c r="J2632">
        <f>LET(
    lien,'Loan Tape (S&amp;P)'!Q2632,
    IF(lien="First",1.00,
        IF(lien="Second",1.50,
            1.70)))</f>
        <v/>
      </c>
      <c r="K2632">
        <f>LET(
    purpose,'Loan Tape (S&amp;P)'!R2632,
    IF(purpose="Purchase",1.00,
        IF(purpose="Remortgage",1.00,
            1.20)))</f>
        <v/>
      </c>
      <c r="L2632">
        <f>LET(
    arrears_months,'Loan Tape (S&amp;P)'!AN2632,
    IF(arrears_months=0,1.00,
    IF(arrears_months=1,3.00,
    IF(arrears_months=2,5.00,
    IF(arrears_months=3,8.00,
    IF(arrears_months=4,10.00,
    IF(arrears_months=5,12.00,15.00)))))))</f>
        <v/>
      </c>
      <c r="M2632">
        <f>LET(
    seasoning_years,DATEDIF('Loan Tape (S&amp;P)'!K2632,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32">
        <f>IF(AND('Loan Tape (S&amp;P)'!U2632="Yes",
        'Loan Tape (S&amp;P)'!T2632&lt;&gt;"Yes",
        DATEDIF('Loan Tape (S&amp;P)'!K2632, TODAY(), "M")&lt;18),
    1.10,
    1.00)</f>
        <v/>
      </c>
      <c r="O2632">
        <f>IF('Loan Tape (S&amp;P)'!T2632="Yes",
    1.35,
    1.00)</f>
        <v/>
      </c>
      <c r="P2632">
        <f>IF('Loan Tape (S&amp;P)'!S2632="Yes",
    1.15,
    1.00)</f>
        <v/>
      </c>
      <c r="Q2632">
        <f>IF('Loan Tape (S&amp;P)'!V2632="Yes",
    1.20,
    1.00)</f>
        <v/>
      </c>
      <c r="T2632">
        <f>LET(
    payment_method,'Loan Tape (S&amp;P)'!P2632,
    occupancy,'Loan Tape (S&amp;P)'!N2632,
    maturity_date,'Loan Tape (S&amp;P)'!L2632,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33">
      <c r="J2633">
        <f>LET(
    lien,'Loan Tape (S&amp;P)'!Q2633,
    IF(lien="First",1.00,
        IF(lien="Second",1.50,
            1.70)))</f>
        <v/>
      </c>
      <c r="K2633">
        <f>LET(
    purpose,'Loan Tape (S&amp;P)'!R2633,
    IF(purpose="Purchase",1.00,
        IF(purpose="Remortgage",1.00,
            1.20)))</f>
        <v/>
      </c>
      <c r="L2633">
        <f>LET(
    arrears_months,'Loan Tape (S&amp;P)'!AN2633,
    IF(arrears_months=0,1.00,
    IF(arrears_months=1,3.00,
    IF(arrears_months=2,5.00,
    IF(arrears_months=3,8.00,
    IF(arrears_months=4,10.00,
    IF(arrears_months=5,12.00,15.00)))))))</f>
        <v/>
      </c>
      <c r="M2633">
        <f>LET(
    seasoning_years,DATEDIF('Loan Tape (S&amp;P)'!K2633,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33">
        <f>IF(AND('Loan Tape (S&amp;P)'!U2633="Yes",
        'Loan Tape (S&amp;P)'!T2633&lt;&gt;"Yes",
        DATEDIF('Loan Tape (S&amp;P)'!K2633, TODAY(), "M")&lt;18),
    1.10,
    1.00)</f>
        <v/>
      </c>
      <c r="O2633">
        <f>IF('Loan Tape (S&amp;P)'!T2633="Yes",
    1.35,
    1.00)</f>
        <v/>
      </c>
      <c r="P2633">
        <f>IF('Loan Tape (S&amp;P)'!S2633="Yes",
    1.15,
    1.00)</f>
        <v/>
      </c>
      <c r="Q2633">
        <f>IF('Loan Tape (S&amp;P)'!V2633="Yes",
    1.20,
    1.00)</f>
        <v/>
      </c>
      <c r="T2633">
        <f>LET(
    payment_method,'Loan Tape (S&amp;P)'!P2633,
    occupancy,'Loan Tape (S&amp;P)'!N2633,
    maturity_date,'Loan Tape (S&amp;P)'!L2633,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34">
      <c r="J2634">
        <f>LET(
    lien,'Loan Tape (S&amp;P)'!Q2634,
    IF(lien="First",1.00,
        IF(lien="Second",1.50,
            1.70)))</f>
        <v/>
      </c>
      <c r="K2634">
        <f>LET(
    purpose,'Loan Tape (S&amp;P)'!R2634,
    IF(purpose="Purchase",1.00,
        IF(purpose="Remortgage",1.00,
            1.20)))</f>
        <v/>
      </c>
      <c r="L2634">
        <f>LET(
    arrears_months,'Loan Tape (S&amp;P)'!AN2634,
    IF(arrears_months=0,1.00,
    IF(arrears_months=1,3.00,
    IF(arrears_months=2,5.00,
    IF(arrears_months=3,8.00,
    IF(arrears_months=4,10.00,
    IF(arrears_months=5,12.00,15.00)))))))</f>
        <v/>
      </c>
      <c r="M2634">
        <f>LET(
    seasoning_years,DATEDIF('Loan Tape (S&amp;P)'!K2634,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34">
        <f>IF(AND('Loan Tape (S&amp;P)'!U2634="Yes",
        'Loan Tape (S&amp;P)'!T2634&lt;&gt;"Yes",
        DATEDIF('Loan Tape (S&amp;P)'!K2634, TODAY(), "M")&lt;18),
    1.10,
    1.00)</f>
        <v/>
      </c>
      <c r="O2634">
        <f>IF('Loan Tape (S&amp;P)'!T2634="Yes",
    1.35,
    1.00)</f>
        <v/>
      </c>
      <c r="P2634">
        <f>IF('Loan Tape (S&amp;P)'!S2634="Yes",
    1.15,
    1.00)</f>
        <v/>
      </c>
      <c r="Q2634">
        <f>IF('Loan Tape (S&amp;P)'!V2634="Yes",
    1.20,
    1.00)</f>
        <v/>
      </c>
      <c r="T2634">
        <f>LET(
    payment_method,'Loan Tape (S&amp;P)'!P2634,
    occupancy,'Loan Tape (S&amp;P)'!N2634,
    maturity_date,'Loan Tape (S&amp;P)'!L2634,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35">
      <c r="J2635">
        <f>LET(
    lien,'Loan Tape (S&amp;P)'!Q2635,
    IF(lien="First",1.00,
        IF(lien="Second",1.50,
            1.70)))</f>
        <v/>
      </c>
      <c r="K2635">
        <f>LET(
    purpose,'Loan Tape (S&amp;P)'!R2635,
    IF(purpose="Purchase",1.00,
        IF(purpose="Remortgage",1.00,
            1.20)))</f>
        <v/>
      </c>
      <c r="L2635">
        <f>LET(
    arrears_months,'Loan Tape (S&amp;P)'!AN2635,
    IF(arrears_months=0,1.00,
    IF(arrears_months=1,3.00,
    IF(arrears_months=2,5.00,
    IF(arrears_months=3,8.00,
    IF(arrears_months=4,10.00,
    IF(arrears_months=5,12.00,15.00)))))))</f>
        <v/>
      </c>
      <c r="M2635">
        <f>LET(
    seasoning_years,DATEDIF('Loan Tape (S&amp;P)'!K2635,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35">
        <f>IF(AND('Loan Tape (S&amp;P)'!U2635="Yes",
        'Loan Tape (S&amp;P)'!T2635&lt;&gt;"Yes",
        DATEDIF('Loan Tape (S&amp;P)'!K2635, TODAY(), "M")&lt;18),
    1.10,
    1.00)</f>
        <v/>
      </c>
      <c r="O2635">
        <f>IF('Loan Tape (S&amp;P)'!T2635="Yes",
    1.35,
    1.00)</f>
        <v/>
      </c>
      <c r="P2635">
        <f>IF('Loan Tape (S&amp;P)'!S2635="Yes",
    1.15,
    1.00)</f>
        <v/>
      </c>
      <c r="Q2635">
        <f>IF('Loan Tape (S&amp;P)'!V2635="Yes",
    1.20,
    1.00)</f>
        <v/>
      </c>
      <c r="T2635">
        <f>LET(
    payment_method,'Loan Tape (S&amp;P)'!P2635,
    occupancy,'Loan Tape (S&amp;P)'!N2635,
    maturity_date,'Loan Tape (S&amp;P)'!L2635,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36">
      <c r="J2636">
        <f>LET(
    lien,'Loan Tape (S&amp;P)'!Q2636,
    IF(lien="First",1.00,
        IF(lien="Second",1.50,
            1.70)))</f>
        <v/>
      </c>
      <c r="K2636">
        <f>LET(
    purpose,'Loan Tape (S&amp;P)'!R2636,
    IF(purpose="Purchase",1.00,
        IF(purpose="Remortgage",1.00,
            1.20)))</f>
        <v/>
      </c>
      <c r="L2636">
        <f>LET(
    arrears_months,'Loan Tape (S&amp;P)'!AN2636,
    IF(arrears_months=0,1.00,
    IF(arrears_months=1,3.00,
    IF(arrears_months=2,5.00,
    IF(arrears_months=3,8.00,
    IF(arrears_months=4,10.00,
    IF(arrears_months=5,12.00,15.00)))))))</f>
        <v/>
      </c>
      <c r="M2636">
        <f>LET(
    seasoning_years,DATEDIF('Loan Tape (S&amp;P)'!K2636,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36">
        <f>IF(AND('Loan Tape (S&amp;P)'!U2636="Yes",
        'Loan Tape (S&amp;P)'!T2636&lt;&gt;"Yes",
        DATEDIF('Loan Tape (S&amp;P)'!K2636, TODAY(), "M")&lt;18),
    1.10,
    1.00)</f>
        <v/>
      </c>
      <c r="O2636">
        <f>IF('Loan Tape (S&amp;P)'!T2636="Yes",
    1.35,
    1.00)</f>
        <v/>
      </c>
      <c r="P2636">
        <f>IF('Loan Tape (S&amp;P)'!S2636="Yes",
    1.15,
    1.00)</f>
        <v/>
      </c>
      <c r="Q2636">
        <f>IF('Loan Tape (S&amp;P)'!V2636="Yes",
    1.20,
    1.00)</f>
        <v/>
      </c>
      <c r="T2636">
        <f>LET(
    payment_method,'Loan Tape (S&amp;P)'!P2636,
    occupancy,'Loan Tape (S&amp;P)'!N2636,
    maturity_date,'Loan Tape (S&amp;P)'!L2636,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37">
      <c r="J2637">
        <f>LET(
    lien,'Loan Tape (S&amp;P)'!Q2637,
    IF(lien="First",1.00,
        IF(lien="Second",1.50,
            1.70)))</f>
        <v/>
      </c>
      <c r="K2637">
        <f>LET(
    purpose,'Loan Tape (S&amp;P)'!R2637,
    IF(purpose="Purchase",1.00,
        IF(purpose="Remortgage",1.00,
            1.20)))</f>
        <v/>
      </c>
      <c r="L2637">
        <f>LET(
    arrears_months,'Loan Tape (S&amp;P)'!AN2637,
    IF(arrears_months=0,1.00,
    IF(arrears_months=1,3.00,
    IF(arrears_months=2,5.00,
    IF(arrears_months=3,8.00,
    IF(arrears_months=4,10.00,
    IF(arrears_months=5,12.00,15.00)))))))</f>
        <v/>
      </c>
      <c r="M2637">
        <f>LET(
    seasoning_years,DATEDIF('Loan Tape (S&amp;P)'!K2637,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37">
        <f>IF(AND('Loan Tape (S&amp;P)'!U2637="Yes",
        'Loan Tape (S&amp;P)'!T2637&lt;&gt;"Yes",
        DATEDIF('Loan Tape (S&amp;P)'!K2637, TODAY(), "M")&lt;18),
    1.10,
    1.00)</f>
        <v/>
      </c>
      <c r="O2637">
        <f>IF('Loan Tape (S&amp;P)'!T2637="Yes",
    1.35,
    1.00)</f>
        <v/>
      </c>
      <c r="P2637">
        <f>IF('Loan Tape (S&amp;P)'!S2637="Yes",
    1.15,
    1.00)</f>
        <v/>
      </c>
      <c r="Q2637">
        <f>IF('Loan Tape (S&amp;P)'!V2637="Yes",
    1.20,
    1.00)</f>
        <v/>
      </c>
      <c r="T2637">
        <f>LET(
    payment_method,'Loan Tape (S&amp;P)'!P2637,
    occupancy,'Loan Tape (S&amp;P)'!N2637,
    maturity_date,'Loan Tape (S&amp;P)'!L2637,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38">
      <c r="J2638">
        <f>LET(
    lien,'Loan Tape (S&amp;P)'!Q2638,
    IF(lien="First",1.00,
        IF(lien="Second",1.50,
            1.70)))</f>
        <v/>
      </c>
      <c r="K2638">
        <f>LET(
    purpose,'Loan Tape (S&amp;P)'!R2638,
    IF(purpose="Purchase",1.00,
        IF(purpose="Remortgage",1.00,
            1.20)))</f>
        <v/>
      </c>
      <c r="L2638">
        <f>LET(
    arrears_months,'Loan Tape (S&amp;P)'!AN2638,
    IF(arrears_months=0,1.00,
    IF(arrears_months=1,3.00,
    IF(arrears_months=2,5.00,
    IF(arrears_months=3,8.00,
    IF(arrears_months=4,10.00,
    IF(arrears_months=5,12.00,15.00)))))))</f>
        <v/>
      </c>
      <c r="M2638">
        <f>LET(
    seasoning_years,DATEDIF('Loan Tape (S&amp;P)'!K2638,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38">
        <f>IF(AND('Loan Tape (S&amp;P)'!U2638="Yes",
        'Loan Tape (S&amp;P)'!T2638&lt;&gt;"Yes",
        DATEDIF('Loan Tape (S&amp;P)'!K2638, TODAY(), "M")&lt;18),
    1.10,
    1.00)</f>
        <v/>
      </c>
      <c r="O2638">
        <f>IF('Loan Tape (S&amp;P)'!T2638="Yes",
    1.35,
    1.00)</f>
        <v/>
      </c>
      <c r="P2638">
        <f>IF('Loan Tape (S&amp;P)'!S2638="Yes",
    1.15,
    1.00)</f>
        <v/>
      </c>
      <c r="Q2638">
        <f>IF('Loan Tape (S&amp;P)'!V2638="Yes",
    1.20,
    1.00)</f>
        <v/>
      </c>
      <c r="T2638">
        <f>LET(
    payment_method,'Loan Tape (S&amp;P)'!P2638,
    occupancy,'Loan Tape (S&amp;P)'!N2638,
    maturity_date,'Loan Tape (S&amp;P)'!L2638,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39">
      <c r="J2639">
        <f>LET(
    lien,'Loan Tape (S&amp;P)'!Q2639,
    IF(lien="First",1.00,
        IF(lien="Second",1.50,
            1.70)))</f>
        <v/>
      </c>
      <c r="K2639">
        <f>LET(
    purpose,'Loan Tape (S&amp;P)'!R2639,
    IF(purpose="Purchase",1.00,
        IF(purpose="Remortgage",1.00,
            1.20)))</f>
        <v/>
      </c>
      <c r="L2639">
        <f>LET(
    arrears_months,'Loan Tape (S&amp;P)'!AN2639,
    IF(arrears_months=0,1.00,
    IF(arrears_months=1,3.00,
    IF(arrears_months=2,5.00,
    IF(arrears_months=3,8.00,
    IF(arrears_months=4,10.00,
    IF(arrears_months=5,12.00,15.00)))))))</f>
        <v/>
      </c>
      <c r="M2639">
        <f>LET(
    seasoning_years,DATEDIF('Loan Tape (S&amp;P)'!K2639,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39">
        <f>IF(AND('Loan Tape (S&amp;P)'!U2639="Yes",
        'Loan Tape (S&amp;P)'!T2639&lt;&gt;"Yes",
        DATEDIF('Loan Tape (S&amp;P)'!K2639, TODAY(), "M")&lt;18),
    1.10,
    1.00)</f>
        <v/>
      </c>
      <c r="O2639">
        <f>IF('Loan Tape (S&amp;P)'!T2639="Yes",
    1.35,
    1.00)</f>
        <v/>
      </c>
      <c r="P2639">
        <f>IF('Loan Tape (S&amp;P)'!S2639="Yes",
    1.15,
    1.00)</f>
        <v/>
      </c>
      <c r="Q2639">
        <f>IF('Loan Tape (S&amp;P)'!V2639="Yes",
    1.20,
    1.00)</f>
        <v/>
      </c>
      <c r="T2639">
        <f>LET(
    payment_method,'Loan Tape (S&amp;P)'!P2639,
    occupancy,'Loan Tape (S&amp;P)'!N2639,
    maturity_date,'Loan Tape (S&amp;P)'!L2639,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40">
      <c r="J2640">
        <f>LET(
    lien,'Loan Tape (S&amp;P)'!Q2640,
    IF(lien="First",1.00,
        IF(lien="Second",1.50,
            1.70)))</f>
        <v/>
      </c>
      <c r="K2640">
        <f>LET(
    purpose,'Loan Tape (S&amp;P)'!R2640,
    IF(purpose="Purchase",1.00,
        IF(purpose="Remortgage",1.00,
            1.20)))</f>
        <v/>
      </c>
      <c r="L2640">
        <f>LET(
    arrears_months,'Loan Tape (S&amp;P)'!AN2640,
    IF(arrears_months=0,1.00,
    IF(arrears_months=1,3.00,
    IF(arrears_months=2,5.00,
    IF(arrears_months=3,8.00,
    IF(arrears_months=4,10.00,
    IF(arrears_months=5,12.00,15.00)))))))</f>
        <v/>
      </c>
      <c r="M2640">
        <f>LET(
    seasoning_years,DATEDIF('Loan Tape (S&amp;P)'!K2640,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40">
        <f>IF(AND('Loan Tape (S&amp;P)'!U2640="Yes",
        'Loan Tape (S&amp;P)'!T2640&lt;&gt;"Yes",
        DATEDIF('Loan Tape (S&amp;P)'!K2640, TODAY(), "M")&lt;18),
    1.10,
    1.00)</f>
        <v/>
      </c>
      <c r="O2640">
        <f>IF('Loan Tape (S&amp;P)'!T2640="Yes",
    1.35,
    1.00)</f>
        <v/>
      </c>
      <c r="P2640">
        <f>IF('Loan Tape (S&amp;P)'!S2640="Yes",
    1.15,
    1.00)</f>
        <v/>
      </c>
      <c r="Q2640">
        <f>IF('Loan Tape (S&amp;P)'!V2640="Yes",
    1.20,
    1.00)</f>
        <v/>
      </c>
      <c r="T2640">
        <f>LET(
    payment_method,'Loan Tape (S&amp;P)'!P2640,
    occupancy,'Loan Tape (S&amp;P)'!N2640,
    maturity_date,'Loan Tape (S&amp;P)'!L2640,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41">
      <c r="J2641">
        <f>LET(
    lien,'Loan Tape (S&amp;P)'!Q2641,
    IF(lien="First",1.00,
        IF(lien="Second",1.50,
            1.70)))</f>
        <v/>
      </c>
      <c r="K2641">
        <f>LET(
    purpose,'Loan Tape (S&amp;P)'!R2641,
    IF(purpose="Purchase",1.00,
        IF(purpose="Remortgage",1.00,
            1.20)))</f>
        <v/>
      </c>
      <c r="L2641">
        <f>LET(
    arrears_months,'Loan Tape (S&amp;P)'!AN2641,
    IF(arrears_months=0,1.00,
    IF(arrears_months=1,3.00,
    IF(arrears_months=2,5.00,
    IF(arrears_months=3,8.00,
    IF(arrears_months=4,10.00,
    IF(arrears_months=5,12.00,15.00)))))))</f>
        <v/>
      </c>
      <c r="M2641">
        <f>LET(
    seasoning_years,DATEDIF('Loan Tape (S&amp;P)'!K2641,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41">
        <f>IF(AND('Loan Tape (S&amp;P)'!U2641="Yes",
        'Loan Tape (S&amp;P)'!T2641&lt;&gt;"Yes",
        DATEDIF('Loan Tape (S&amp;P)'!K2641, TODAY(), "M")&lt;18),
    1.10,
    1.00)</f>
        <v/>
      </c>
      <c r="O2641">
        <f>IF('Loan Tape (S&amp;P)'!T2641="Yes",
    1.35,
    1.00)</f>
        <v/>
      </c>
      <c r="P2641">
        <f>IF('Loan Tape (S&amp;P)'!S2641="Yes",
    1.15,
    1.00)</f>
        <v/>
      </c>
      <c r="Q2641">
        <f>IF('Loan Tape (S&amp;P)'!V2641="Yes",
    1.20,
    1.00)</f>
        <v/>
      </c>
      <c r="T2641">
        <f>LET(
    payment_method,'Loan Tape (S&amp;P)'!P2641,
    occupancy,'Loan Tape (S&amp;P)'!N2641,
    maturity_date,'Loan Tape (S&amp;P)'!L2641,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42">
      <c r="J2642">
        <f>LET(
    lien,'Loan Tape (S&amp;P)'!Q2642,
    IF(lien="First",1.00,
        IF(lien="Second",1.50,
            1.70)))</f>
        <v/>
      </c>
      <c r="K2642">
        <f>LET(
    purpose,'Loan Tape (S&amp;P)'!R2642,
    IF(purpose="Purchase",1.00,
        IF(purpose="Remortgage",1.00,
            1.20)))</f>
        <v/>
      </c>
      <c r="L2642">
        <f>LET(
    arrears_months,'Loan Tape (S&amp;P)'!AN2642,
    IF(arrears_months=0,1.00,
    IF(arrears_months=1,3.00,
    IF(arrears_months=2,5.00,
    IF(arrears_months=3,8.00,
    IF(arrears_months=4,10.00,
    IF(arrears_months=5,12.00,15.00)))))))</f>
        <v/>
      </c>
      <c r="M2642">
        <f>LET(
    seasoning_years,DATEDIF('Loan Tape (S&amp;P)'!K2642,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42">
        <f>IF(AND('Loan Tape (S&amp;P)'!U2642="Yes",
        'Loan Tape (S&amp;P)'!T2642&lt;&gt;"Yes",
        DATEDIF('Loan Tape (S&amp;P)'!K2642, TODAY(), "M")&lt;18),
    1.10,
    1.00)</f>
        <v/>
      </c>
      <c r="O2642">
        <f>IF('Loan Tape (S&amp;P)'!T2642="Yes",
    1.35,
    1.00)</f>
        <v/>
      </c>
      <c r="P2642">
        <f>IF('Loan Tape (S&amp;P)'!S2642="Yes",
    1.15,
    1.00)</f>
        <v/>
      </c>
      <c r="Q2642">
        <f>IF('Loan Tape (S&amp;P)'!V2642="Yes",
    1.20,
    1.00)</f>
        <v/>
      </c>
      <c r="T2642">
        <f>LET(
    payment_method,'Loan Tape (S&amp;P)'!P2642,
    occupancy,'Loan Tape (S&amp;P)'!N2642,
    maturity_date,'Loan Tape (S&amp;P)'!L2642,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43">
      <c r="J2643">
        <f>LET(
    lien,'Loan Tape (S&amp;P)'!Q2643,
    IF(lien="First",1.00,
        IF(lien="Second",1.50,
            1.70)))</f>
        <v/>
      </c>
      <c r="K2643">
        <f>LET(
    purpose,'Loan Tape (S&amp;P)'!R2643,
    IF(purpose="Purchase",1.00,
        IF(purpose="Remortgage",1.00,
            1.20)))</f>
        <v/>
      </c>
      <c r="L2643">
        <f>LET(
    arrears_months,'Loan Tape (S&amp;P)'!AN2643,
    IF(arrears_months=0,1.00,
    IF(arrears_months=1,3.00,
    IF(arrears_months=2,5.00,
    IF(arrears_months=3,8.00,
    IF(arrears_months=4,10.00,
    IF(arrears_months=5,12.00,15.00)))))))</f>
        <v/>
      </c>
      <c r="M2643">
        <f>LET(
    seasoning_years,DATEDIF('Loan Tape (S&amp;P)'!K2643,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43">
        <f>IF(AND('Loan Tape (S&amp;P)'!U2643="Yes",
        'Loan Tape (S&amp;P)'!T2643&lt;&gt;"Yes",
        DATEDIF('Loan Tape (S&amp;P)'!K2643, TODAY(), "M")&lt;18),
    1.10,
    1.00)</f>
        <v/>
      </c>
      <c r="O2643">
        <f>IF('Loan Tape (S&amp;P)'!T2643="Yes",
    1.35,
    1.00)</f>
        <v/>
      </c>
      <c r="P2643">
        <f>IF('Loan Tape (S&amp;P)'!S2643="Yes",
    1.15,
    1.00)</f>
        <v/>
      </c>
      <c r="Q2643">
        <f>IF('Loan Tape (S&amp;P)'!V2643="Yes",
    1.20,
    1.00)</f>
        <v/>
      </c>
      <c r="T2643">
        <f>LET(
    payment_method,'Loan Tape (S&amp;P)'!P2643,
    occupancy,'Loan Tape (S&amp;P)'!N2643,
    maturity_date,'Loan Tape (S&amp;P)'!L2643,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44">
      <c r="J2644">
        <f>LET(
    lien,'Loan Tape (S&amp;P)'!Q2644,
    IF(lien="First",1.00,
        IF(lien="Second",1.50,
            1.70)))</f>
        <v/>
      </c>
      <c r="K2644">
        <f>LET(
    purpose,'Loan Tape (S&amp;P)'!R2644,
    IF(purpose="Purchase",1.00,
        IF(purpose="Remortgage",1.00,
            1.20)))</f>
        <v/>
      </c>
      <c r="L2644">
        <f>LET(
    arrears_months,'Loan Tape (S&amp;P)'!AN2644,
    IF(arrears_months=0,1.00,
    IF(arrears_months=1,3.00,
    IF(arrears_months=2,5.00,
    IF(arrears_months=3,8.00,
    IF(arrears_months=4,10.00,
    IF(arrears_months=5,12.00,15.00)))))))</f>
        <v/>
      </c>
      <c r="M2644">
        <f>LET(
    seasoning_years,DATEDIF('Loan Tape (S&amp;P)'!K2644,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44">
        <f>IF(AND('Loan Tape (S&amp;P)'!U2644="Yes",
        'Loan Tape (S&amp;P)'!T2644&lt;&gt;"Yes",
        DATEDIF('Loan Tape (S&amp;P)'!K2644, TODAY(), "M")&lt;18),
    1.10,
    1.00)</f>
        <v/>
      </c>
      <c r="O2644">
        <f>IF('Loan Tape (S&amp;P)'!T2644="Yes",
    1.35,
    1.00)</f>
        <v/>
      </c>
      <c r="P2644">
        <f>IF('Loan Tape (S&amp;P)'!S2644="Yes",
    1.15,
    1.00)</f>
        <v/>
      </c>
      <c r="Q2644">
        <f>IF('Loan Tape (S&amp;P)'!V2644="Yes",
    1.20,
    1.00)</f>
        <v/>
      </c>
      <c r="T2644">
        <f>LET(
    payment_method,'Loan Tape (S&amp;P)'!P2644,
    occupancy,'Loan Tape (S&amp;P)'!N2644,
    maturity_date,'Loan Tape (S&amp;P)'!L2644,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45">
      <c r="J2645">
        <f>LET(
    lien,'Loan Tape (S&amp;P)'!Q2645,
    IF(lien="First",1.00,
        IF(lien="Second",1.50,
            1.70)))</f>
        <v/>
      </c>
      <c r="K2645">
        <f>LET(
    purpose,'Loan Tape (S&amp;P)'!R2645,
    IF(purpose="Purchase",1.00,
        IF(purpose="Remortgage",1.00,
            1.20)))</f>
        <v/>
      </c>
      <c r="L2645">
        <f>LET(
    arrears_months,'Loan Tape (S&amp;P)'!AN2645,
    IF(arrears_months=0,1.00,
    IF(arrears_months=1,3.00,
    IF(arrears_months=2,5.00,
    IF(arrears_months=3,8.00,
    IF(arrears_months=4,10.00,
    IF(arrears_months=5,12.00,15.00)))))))</f>
        <v/>
      </c>
      <c r="M2645">
        <f>LET(
    seasoning_years,DATEDIF('Loan Tape (S&amp;P)'!K2645,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45">
        <f>IF(AND('Loan Tape (S&amp;P)'!U2645="Yes",
        'Loan Tape (S&amp;P)'!T2645&lt;&gt;"Yes",
        DATEDIF('Loan Tape (S&amp;P)'!K2645, TODAY(), "M")&lt;18),
    1.10,
    1.00)</f>
        <v/>
      </c>
      <c r="O2645">
        <f>IF('Loan Tape (S&amp;P)'!T2645="Yes",
    1.35,
    1.00)</f>
        <v/>
      </c>
      <c r="P2645">
        <f>IF('Loan Tape (S&amp;P)'!S2645="Yes",
    1.15,
    1.00)</f>
        <v/>
      </c>
      <c r="Q2645">
        <f>IF('Loan Tape (S&amp;P)'!V2645="Yes",
    1.20,
    1.00)</f>
        <v/>
      </c>
      <c r="T2645">
        <f>LET(
    payment_method,'Loan Tape (S&amp;P)'!P2645,
    occupancy,'Loan Tape (S&amp;P)'!N2645,
    maturity_date,'Loan Tape (S&amp;P)'!L2645,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46">
      <c r="J2646">
        <f>LET(
    lien,'Loan Tape (S&amp;P)'!Q2646,
    IF(lien="First",1.00,
        IF(lien="Second",1.50,
            1.70)))</f>
        <v/>
      </c>
      <c r="K2646">
        <f>LET(
    purpose,'Loan Tape (S&amp;P)'!R2646,
    IF(purpose="Purchase",1.00,
        IF(purpose="Remortgage",1.00,
            1.20)))</f>
        <v/>
      </c>
      <c r="L2646">
        <f>LET(
    arrears_months,'Loan Tape (S&amp;P)'!AN2646,
    IF(arrears_months=0,1.00,
    IF(arrears_months=1,3.00,
    IF(arrears_months=2,5.00,
    IF(arrears_months=3,8.00,
    IF(arrears_months=4,10.00,
    IF(arrears_months=5,12.00,15.00)))))))</f>
        <v/>
      </c>
      <c r="M2646">
        <f>LET(
    seasoning_years,DATEDIF('Loan Tape (S&amp;P)'!K2646,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46">
        <f>IF(AND('Loan Tape (S&amp;P)'!U2646="Yes",
        'Loan Tape (S&amp;P)'!T2646&lt;&gt;"Yes",
        DATEDIF('Loan Tape (S&amp;P)'!K2646, TODAY(), "M")&lt;18),
    1.10,
    1.00)</f>
        <v/>
      </c>
      <c r="O2646">
        <f>IF('Loan Tape (S&amp;P)'!T2646="Yes",
    1.35,
    1.00)</f>
        <v/>
      </c>
      <c r="P2646">
        <f>IF('Loan Tape (S&amp;P)'!S2646="Yes",
    1.15,
    1.00)</f>
        <v/>
      </c>
      <c r="Q2646">
        <f>IF('Loan Tape (S&amp;P)'!V2646="Yes",
    1.20,
    1.00)</f>
        <v/>
      </c>
      <c r="T2646">
        <f>LET(
    payment_method,'Loan Tape (S&amp;P)'!P2646,
    occupancy,'Loan Tape (S&amp;P)'!N2646,
    maturity_date,'Loan Tape (S&amp;P)'!L2646,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47">
      <c r="J2647">
        <f>LET(
    lien,'Loan Tape (S&amp;P)'!Q2647,
    IF(lien="First",1.00,
        IF(lien="Second",1.50,
            1.70)))</f>
        <v/>
      </c>
      <c r="K2647">
        <f>LET(
    purpose,'Loan Tape (S&amp;P)'!R2647,
    IF(purpose="Purchase",1.00,
        IF(purpose="Remortgage",1.00,
            1.20)))</f>
        <v/>
      </c>
      <c r="L2647">
        <f>LET(
    arrears_months,'Loan Tape (S&amp;P)'!AN2647,
    IF(arrears_months=0,1.00,
    IF(arrears_months=1,3.00,
    IF(arrears_months=2,5.00,
    IF(arrears_months=3,8.00,
    IF(arrears_months=4,10.00,
    IF(arrears_months=5,12.00,15.00)))))))</f>
        <v/>
      </c>
      <c r="M2647">
        <f>LET(
    seasoning_years,DATEDIF('Loan Tape (S&amp;P)'!K2647,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47">
        <f>IF(AND('Loan Tape (S&amp;P)'!U2647="Yes",
        'Loan Tape (S&amp;P)'!T2647&lt;&gt;"Yes",
        DATEDIF('Loan Tape (S&amp;P)'!K2647, TODAY(), "M")&lt;18),
    1.10,
    1.00)</f>
        <v/>
      </c>
      <c r="O2647">
        <f>IF('Loan Tape (S&amp;P)'!T2647="Yes",
    1.35,
    1.00)</f>
        <v/>
      </c>
      <c r="P2647">
        <f>IF('Loan Tape (S&amp;P)'!S2647="Yes",
    1.15,
    1.00)</f>
        <v/>
      </c>
      <c r="Q2647">
        <f>IF('Loan Tape (S&amp;P)'!V2647="Yes",
    1.20,
    1.00)</f>
        <v/>
      </c>
      <c r="T2647">
        <f>LET(
    payment_method,'Loan Tape (S&amp;P)'!P2647,
    occupancy,'Loan Tape (S&amp;P)'!N2647,
    maturity_date,'Loan Tape (S&amp;P)'!L2647,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48">
      <c r="J2648">
        <f>LET(
    lien,'Loan Tape (S&amp;P)'!Q2648,
    IF(lien="First",1.00,
        IF(lien="Second",1.50,
            1.70)))</f>
        <v/>
      </c>
      <c r="K2648">
        <f>LET(
    purpose,'Loan Tape (S&amp;P)'!R2648,
    IF(purpose="Purchase",1.00,
        IF(purpose="Remortgage",1.00,
            1.20)))</f>
        <v/>
      </c>
      <c r="L2648">
        <f>LET(
    arrears_months,'Loan Tape (S&amp;P)'!AN2648,
    IF(arrears_months=0,1.00,
    IF(arrears_months=1,3.00,
    IF(arrears_months=2,5.00,
    IF(arrears_months=3,8.00,
    IF(arrears_months=4,10.00,
    IF(arrears_months=5,12.00,15.00)))))))</f>
        <v/>
      </c>
      <c r="M2648">
        <f>LET(
    seasoning_years,DATEDIF('Loan Tape (S&amp;P)'!K2648,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48">
        <f>IF(AND('Loan Tape (S&amp;P)'!U2648="Yes",
        'Loan Tape (S&amp;P)'!T2648&lt;&gt;"Yes",
        DATEDIF('Loan Tape (S&amp;P)'!K2648, TODAY(), "M")&lt;18),
    1.10,
    1.00)</f>
        <v/>
      </c>
      <c r="O2648">
        <f>IF('Loan Tape (S&amp;P)'!T2648="Yes",
    1.35,
    1.00)</f>
        <v/>
      </c>
      <c r="P2648">
        <f>IF('Loan Tape (S&amp;P)'!S2648="Yes",
    1.15,
    1.00)</f>
        <v/>
      </c>
      <c r="Q2648">
        <f>IF('Loan Tape (S&amp;P)'!V2648="Yes",
    1.20,
    1.00)</f>
        <v/>
      </c>
      <c r="T2648">
        <f>LET(
    payment_method,'Loan Tape (S&amp;P)'!P2648,
    occupancy,'Loan Tape (S&amp;P)'!N2648,
    maturity_date,'Loan Tape (S&amp;P)'!L2648,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49">
      <c r="J2649">
        <f>LET(
    lien,'Loan Tape (S&amp;P)'!Q2649,
    IF(lien="First",1.00,
        IF(lien="Second",1.50,
            1.70)))</f>
        <v/>
      </c>
      <c r="K2649">
        <f>LET(
    purpose,'Loan Tape (S&amp;P)'!R2649,
    IF(purpose="Purchase",1.00,
        IF(purpose="Remortgage",1.00,
            1.20)))</f>
        <v/>
      </c>
      <c r="L2649">
        <f>LET(
    arrears_months,'Loan Tape (S&amp;P)'!AN2649,
    IF(arrears_months=0,1.00,
    IF(arrears_months=1,3.00,
    IF(arrears_months=2,5.00,
    IF(arrears_months=3,8.00,
    IF(arrears_months=4,10.00,
    IF(arrears_months=5,12.00,15.00)))))))</f>
        <v/>
      </c>
      <c r="M2649">
        <f>LET(
    seasoning_years,DATEDIF('Loan Tape (S&amp;P)'!K2649,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49">
        <f>IF(AND('Loan Tape (S&amp;P)'!U2649="Yes",
        'Loan Tape (S&amp;P)'!T2649&lt;&gt;"Yes",
        DATEDIF('Loan Tape (S&amp;P)'!K2649, TODAY(), "M")&lt;18),
    1.10,
    1.00)</f>
        <v/>
      </c>
      <c r="O2649">
        <f>IF('Loan Tape (S&amp;P)'!T2649="Yes",
    1.35,
    1.00)</f>
        <v/>
      </c>
      <c r="P2649">
        <f>IF('Loan Tape (S&amp;P)'!S2649="Yes",
    1.15,
    1.00)</f>
        <v/>
      </c>
      <c r="Q2649">
        <f>IF('Loan Tape (S&amp;P)'!V2649="Yes",
    1.20,
    1.00)</f>
        <v/>
      </c>
      <c r="T2649">
        <f>LET(
    payment_method,'Loan Tape (S&amp;P)'!P2649,
    occupancy,'Loan Tape (S&amp;P)'!N2649,
    maturity_date,'Loan Tape (S&amp;P)'!L2649,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50">
      <c r="J2650">
        <f>LET(
    lien,'Loan Tape (S&amp;P)'!Q2650,
    IF(lien="First",1.00,
        IF(lien="Second",1.50,
            1.70)))</f>
        <v/>
      </c>
      <c r="K2650">
        <f>LET(
    purpose,'Loan Tape (S&amp;P)'!R2650,
    IF(purpose="Purchase",1.00,
        IF(purpose="Remortgage",1.00,
            1.20)))</f>
        <v/>
      </c>
      <c r="L2650">
        <f>LET(
    arrears_months,'Loan Tape (S&amp;P)'!AN2650,
    IF(arrears_months=0,1.00,
    IF(arrears_months=1,3.00,
    IF(arrears_months=2,5.00,
    IF(arrears_months=3,8.00,
    IF(arrears_months=4,10.00,
    IF(arrears_months=5,12.00,15.00)))))))</f>
        <v/>
      </c>
      <c r="M2650">
        <f>LET(
    seasoning_years,DATEDIF('Loan Tape (S&amp;P)'!K2650,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50">
        <f>IF(AND('Loan Tape (S&amp;P)'!U2650="Yes",
        'Loan Tape (S&amp;P)'!T2650&lt;&gt;"Yes",
        DATEDIF('Loan Tape (S&amp;P)'!K2650, TODAY(), "M")&lt;18),
    1.10,
    1.00)</f>
        <v/>
      </c>
      <c r="O2650">
        <f>IF('Loan Tape (S&amp;P)'!T2650="Yes",
    1.35,
    1.00)</f>
        <v/>
      </c>
      <c r="P2650">
        <f>IF('Loan Tape (S&amp;P)'!S2650="Yes",
    1.15,
    1.00)</f>
        <v/>
      </c>
      <c r="Q2650">
        <f>IF('Loan Tape (S&amp;P)'!V2650="Yes",
    1.20,
    1.00)</f>
        <v/>
      </c>
      <c r="T2650">
        <f>LET(
    payment_method,'Loan Tape (S&amp;P)'!P2650,
    occupancy,'Loan Tape (S&amp;P)'!N2650,
    maturity_date,'Loan Tape (S&amp;P)'!L2650,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51">
      <c r="J2651">
        <f>LET(
    lien,'Loan Tape (S&amp;P)'!Q2651,
    IF(lien="First",1.00,
        IF(lien="Second",1.50,
            1.70)))</f>
        <v/>
      </c>
      <c r="K2651">
        <f>LET(
    purpose,'Loan Tape (S&amp;P)'!R2651,
    IF(purpose="Purchase",1.00,
        IF(purpose="Remortgage",1.00,
            1.20)))</f>
        <v/>
      </c>
      <c r="L2651">
        <f>LET(
    arrears_months,'Loan Tape (S&amp;P)'!AN2651,
    IF(arrears_months=0,1.00,
    IF(arrears_months=1,3.00,
    IF(arrears_months=2,5.00,
    IF(arrears_months=3,8.00,
    IF(arrears_months=4,10.00,
    IF(arrears_months=5,12.00,15.00)))))))</f>
        <v/>
      </c>
      <c r="M2651">
        <f>LET(
    seasoning_years,DATEDIF('Loan Tape (S&amp;P)'!K2651,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51">
        <f>IF(AND('Loan Tape (S&amp;P)'!U2651="Yes",
        'Loan Tape (S&amp;P)'!T2651&lt;&gt;"Yes",
        DATEDIF('Loan Tape (S&amp;P)'!K2651, TODAY(), "M")&lt;18),
    1.10,
    1.00)</f>
        <v/>
      </c>
      <c r="O2651">
        <f>IF('Loan Tape (S&amp;P)'!T2651="Yes",
    1.35,
    1.00)</f>
        <v/>
      </c>
      <c r="P2651">
        <f>IF('Loan Tape (S&amp;P)'!S2651="Yes",
    1.15,
    1.00)</f>
        <v/>
      </c>
      <c r="Q2651">
        <f>IF('Loan Tape (S&amp;P)'!V2651="Yes",
    1.20,
    1.00)</f>
        <v/>
      </c>
      <c r="T2651">
        <f>LET(
    payment_method,'Loan Tape (S&amp;P)'!P2651,
    occupancy,'Loan Tape (S&amp;P)'!N2651,
    maturity_date,'Loan Tape (S&amp;P)'!L2651,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52">
      <c r="J2652">
        <f>LET(
    lien,'Loan Tape (S&amp;P)'!Q2652,
    IF(lien="First",1.00,
        IF(lien="Second",1.50,
            1.70)))</f>
        <v/>
      </c>
      <c r="K2652">
        <f>LET(
    purpose,'Loan Tape (S&amp;P)'!R2652,
    IF(purpose="Purchase",1.00,
        IF(purpose="Remortgage",1.00,
            1.20)))</f>
        <v/>
      </c>
      <c r="L2652">
        <f>LET(
    arrears_months,'Loan Tape (S&amp;P)'!AN2652,
    IF(arrears_months=0,1.00,
    IF(arrears_months=1,3.00,
    IF(arrears_months=2,5.00,
    IF(arrears_months=3,8.00,
    IF(arrears_months=4,10.00,
    IF(arrears_months=5,12.00,15.00)))))))</f>
        <v/>
      </c>
      <c r="M2652">
        <f>LET(
    seasoning_years,DATEDIF('Loan Tape (S&amp;P)'!K2652,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52">
        <f>IF(AND('Loan Tape (S&amp;P)'!U2652="Yes",
        'Loan Tape (S&amp;P)'!T2652&lt;&gt;"Yes",
        DATEDIF('Loan Tape (S&amp;P)'!K2652, TODAY(), "M")&lt;18),
    1.10,
    1.00)</f>
        <v/>
      </c>
      <c r="O2652">
        <f>IF('Loan Tape (S&amp;P)'!T2652="Yes",
    1.35,
    1.00)</f>
        <v/>
      </c>
      <c r="P2652">
        <f>IF('Loan Tape (S&amp;P)'!S2652="Yes",
    1.15,
    1.00)</f>
        <v/>
      </c>
      <c r="Q2652">
        <f>IF('Loan Tape (S&amp;P)'!V2652="Yes",
    1.20,
    1.00)</f>
        <v/>
      </c>
      <c r="T2652">
        <f>LET(
    payment_method,'Loan Tape (S&amp;P)'!P2652,
    occupancy,'Loan Tape (S&amp;P)'!N2652,
    maturity_date,'Loan Tape (S&amp;P)'!L2652,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53">
      <c r="J2653">
        <f>LET(
    lien,'Loan Tape (S&amp;P)'!Q2653,
    IF(lien="First",1.00,
        IF(lien="Second",1.50,
            1.70)))</f>
        <v/>
      </c>
      <c r="K2653">
        <f>LET(
    purpose,'Loan Tape (S&amp;P)'!R2653,
    IF(purpose="Purchase",1.00,
        IF(purpose="Remortgage",1.00,
            1.20)))</f>
        <v/>
      </c>
      <c r="L2653">
        <f>LET(
    arrears_months,'Loan Tape (S&amp;P)'!AN2653,
    IF(arrears_months=0,1.00,
    IF(arrears_months=1,3.00,
    IF(arrears_months=2,5.00,
    IF(arrears_months=3,8.00,
    IF(arrears_months=4,10.00,
    IF(arrears_months=5,12.00,15.00)))))))</f>
        <v/>
      </c>
      <c r="M2653">
        <f>LET(
    seasoning_years,DATEDIF('Loan Tape (S&amp;P)'!K2653,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53">
        <f>IF(AND('Loan Tape (S&amp;P)'!U2653="Yes",
        'Loan Tape (S&amp;P)'!T2653&lt;&gt;"Yes",
        DATEDIF('Loan Tape (S&amp;P)'!K2653, TODAY(), "M")&lt;18),
    1.10,
    1.00)</f>
        <v/>
      </c>
      <c r="O2653">
        <f>IF('Loan Tape (S&amp;P)'!T2653="Yes",
    1.35,
    1.00)</f>
        <v/>
      </c>
      <c r="P2653">
        <f>IF('Loan Tape (S&amp;P)'!S2653="Yes",
    1.15,
    1.00)</f>
        <v/>
      </c>
      <c r="Q2653">
        <f>IF('Loan Tape (S&amp;P)'!V2653="Yes",
    1.20,
    1.00)</f>
        <v/>
      </c>
      <c r="T2653">
        <f>LET(
    payment_method,'Loan Tape (S&amp;P)'!P2653,
    occupancy,'Loan Tape (S&amp;P)'!N2653,
    maturity_date,'Loan Tape (S&amp;P)'!L2653,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54">
      <c r="J2654">
        <f>LET(
    lien,'Loan Tape (S&amp;P)'!Q2654,
    IF(lien="First",1.00,
        IF(lien="Second",1.50,
            1.70)))</f>
        <v/>
      </c>
      <c r="K2654">
        <f>LET(
    purpose,'Loan Tape (S&amp;P)'!R2654,
    IF(purpose="Purchase",1.00,
        IF(purpose="Remortgage",1.00,
            1.20)))</f>
        <v/>
      </c>
      <c r="L2654">
        <f>LET(
    arrears_months,'Loan Tape (S&amp;P)'!AN2654,
    IF(arrears_months=0,1.00,
    IF(arrears_months=1,3.00,
    IF(arrears_months=2,5.00,
    IF(arrears_months=3,8.00,
    IF(arrears_months=4,10.00,
    IF(arrears_months=5,12.00,15.00)))))))</f>
        <v/>
      </c>
      <c r="M2654">
        <f>LET(
    seasoning_years,DATEDIF('Loan Tape (S&amp;P)'!K2654,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54">
        <f>IF(AND('Loan Tape (S&amp;P)'!U2654="Yes",
        'Loan Tape (S&amp;P)'!T2654&lt;&gt;"Yes",
        DATEDIF('Loan Tape (S&amp;P)'!K2654, TODAY(), "M")&lt;18),
    1.10,
    1.00)</f>
        <v/>
      </c>
      <c r="O2654">
        <f>IF('Loan Tape (S&amp;P)'!T2654="Yes",
    1.35,
    1.00)</f>
        <v/>
      </c>
      <c r="P2654">
        <f>IF('Loan Tape (S&amp;P)'!S2654="Yes",
    1.15,
    1.00)</f>
        <v/>
      </c>
      <c r="Q2654">
        <f>IF('Loan Tape (S&amp;P)'!V2654="Yes",
    1.20,
    1.00)</f>
        <v/>
      </c>
      <c r="T2654">
        <f>LET(
    payment_method,'Loan Tape (S&amp;P)'!P2654,
    occupancy,'Loan Tape (S&amp;P)'!N2654,
    maturity_date,'Loan Tape (S&amp;P)'!L2654,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55">
      <c r="J2655">
        <f>LET(
    lien,'Loan Tape (S&amp;P)'!Q2655,
    IF(lien="First",1.00,
        IF(lien="Second",1.50,
            1.70)))</f>
        <v/>
      </c>
      <c r="K2655">
        <f>LET(
    purpose,'Loan Tape (S&amp;P)'!R2655,
    IF(purpose="Purchase",1.00,
        IF(purpose="Remortgage",1.00,
            1.20)))</f>
        <v/>
      </c>
      <c r="L2655">
        <f>LET(
    arrears_months,'Loan Tape (S&amp;P)'!AN2655,
    IF(arrears_months=0,1.00,
    IF(arrears_months=1,3.00,
    IF(arrears_months=2,5.00,
    IF(arrears_months=3,8.00,
    IF(arrears_months=4,10.00,
    IF(arrears_months=5,12.00,15.00)))))))</f>
        <v/>
      </c>
      <c r="M2655">
        <f>LET(
    seasoning_years,DATEDIF('Loan Tape (S&amp;P)'!K2655,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55">
        <f>IF(AND('Loan Tape (S&amp;P)'!U2655="Yes",
        'Loan Tape (S&amp;P)'!T2655&lt;&gt;"Yes",
        DATEDIF('Loan Tape (S&amp;P)'!K2655, TODAY(), "M")&lt;18),
    1.10,
    1.00)</f>
        <v/>
      </c>
      <c r="O2655">
        <f>IF('Loan Tape (S&amp;P)'!T2655="Yes",
    1.35,
    1.00)</f>
        <v/>
      </c>
      <c r="P2655">
        <f>IF('Loan Tape (S&amp;P)'!S2655="Yes",
    1.15,
    1.00)</f>
        <v/>
      </c>
      <c r="Q2655">
        <f>IF('Loan Tape (S&amp;P)'!V2655="Yes",
    1.20,
    1.00)</f>
        <v/>
      </c>
      <c r="T2655">
        <f>LET(
    payment_method,'Loan Tape (S&amp;P)'!P2655,
    occupancy,'Loan Tape (S&amp;P)'!N2655,
    maturity_date,'Loan Tape (S&amp;P)'!L2655,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56">
      <c r="J2656">
        <f>LET(
    lien,'Loan Tape (S&amp;P)'!Q2656,
    IF(lien="First",1.00,
        IF(lien="Second",1.50,
            1.70)))</f>
        <v/>
      </c>
      <c r="K2656">
        <f>LET(
    purpose,'Loan Tape (S&amp;P)'!R2656,
    IF(purpose="Purchase",1.00,
        IF(purpose="Remortgage",1.00,
            1.20)))</f>
        <v/>
      </c>
      <c r="L2656">
        <f>LET(
    arrears_months,'Loan Tape (S&amp;P)'!AN2656,
    IF(arrears_months=0,1.00,
    IF(arrears_months=1,3.00,
    IF(arrears_months=2,5.00,
    IF(arrears_months=3,8.00,
    IF(arrears_months=4,10.00,
    IF(arrears_months=5,12.00,15.00)))))))</f>
        <v/>
      </c>
      <c r="M2656">
        <f>LET(
    seasoning_years,DATEDIF('Loan Tape (S&amp;P)'!K2656,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56">
        <f>IF(AND('Loan Tape (S&amp;P)'!U2656="Yes",
        'Loan Tape (S&amp;P)'!T2656&lt;&gt;"Yes",
        DATEDIF('Loan Tape (S&amp;P)'!K2656, TODAY(), "M")&lt;18),
    1.10,
    1.00)</f>
        <v/>
      </c>
      <c r="O2656">
        <f>IF('Loan Tape (S&amp;P)'!T2656="Yes",
    1.35,
    1.00)</f>
        <v/>
      </c>
      <c r="P2656">
        <f>IF('Loan Tape (S&amp;P)'!S2656="Yes",
    1.15,
    1.00)</f>
        <v/>
      </c>
      <c r="Q2656">
        <f>IF('Loan Tape (S&amp;P)'!V2656="Yes",
    1.20,
    1.00)</f>
        <v/>
      </c>
      <c r="T2656">
        <f>LET(
    payment_method,'Loan Tape (S&amp;P)'!P2656,
    occupancy,'Loan Tape (S&amp;P)'!N2656,
    maturity_date,'Loan Tape (S&amp;P)'!L2656,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57">
      <c r="J2657">
        <f>LET(
    lien,'Loan Tape (S&amp;P)'!Q2657,
    IF(lien="First",1.00,
        IF(lien="Second",1.50,
            1.70)))</f>
        <v/>
      </c>
      <c r="K2657">
        <f>LET(
    purpose,'Loan Tape (S&amp;P)'!R2657,
    IF(purpose="Purchase",1.00,
        IF(purpose="Remortgage",1.00,
            1.20)))</f>
        <v/>
      </c>
      <c r="L2657">
        <f>LET(
    arrears_months,'Loan Tape (S&amp;P)'!AN2657,
    IF(arrears_months=0,1.00,
    IF(arrears_months=1,3.00,
    IF(arrears_months=2,5.00,
    IF(arrears_months=3,8.00,
    IF(arrears_months=4,10.00,
    IF(arrears_months=5,12.00,15.00)))))))</f>
        <v/>
      </c>
      <c r="M2657">
        <f>LET(
    seasoning_years,DATEDIF('Loan Tape (S&amp;P)'!K2657,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57">
        <f>IF(AND('Loan Tape (S&amp;P)'!U2657="Yes",
        'Loan Tape (S&amp;P)'!T2657&lt;&gt;"Yes",
        DATEDIF('Loan Tape (S&amp;P)'!K2657, TODAY(), "M")&lt;18),
    1.10,
    1.00)</f>
        <v/>
      </c>
      <c r="O2657">
        <f>IF('Loan Tape (S&amp;P)'!T2657="Yes",
    1.35,
    1.00)</f>
        <v/>
      </c>
      <c r="P2657">
        <f>IF('Loan Tape (S&amp;P)'!S2657="Yes",
    1.15,
    1.00)</f>
        <v/>
      </c>
      <c r="Q2657">
        <f>IF('Loan Tape (S&amp;P)'!V2657="Yes",
    1.20,
    1.00)</f>
        <v/>
      </c>
      <c r="T2657">
        <f>LET(
    payment_method,'Loan Tape (S&amp;P)'!P2657,
    occupancy,'Loan Tape (S&amp;P)'!N2657,
    maturity_date,'Loan Tape (S&amp;P)'!L2657,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58">
      <c r="J2658">
        <f>LET(
    lien,'Loan Tape (S&amp;P)'!Q2658,
    IF(lien="First",1.00,
        IF(lien="Second",1.50,
            1.70)))</f>
        <v/>
      </c>
      <c r="K2658">
        <f>LET(
    purpose,'Loan Tape (S&amp;P)'!R2658,
    IF(purpose="Purchase",1.00,
        IF(purpose="Remortgage",1.00,
            1.20)))</f>
        <v/>
      </c>
      <c r="L2658">
        <f>LET(
    arrears_months,'Loan Tape (S&amp;P)'!AN2658,
    IF(arrears_months=0,1.00,
    IF(arrears_months=1,3.00,
    IF(arrears_months=2,5.00,
    IF(arrears_months=3,8.00,
    IF(arrears_months=4,10.00,
    IF(arrears_months=5,12.00,15.00)))))))</f>
        <v/>
      </c>
      <c r="M2658">
        <f>LET(
    seasoning_years,DATEDIF('Loan Tape (S&amp;P)'!K2658,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58">
        <f>IF(AND('Loan Tape (S&amp;P)'!U2658="Yes",
        'Loan Tape (S&amp;P)'!T2658&lt;&gt;"Yes",
        DATEDIF('Loan Tape (S&amp;P)'!K2658, TODAY(), "M")&lt;18),
    1.10,
    1.00)</f>
        <v/>
      </c>
      <c r="O2658">
        <f>IF('Loan Tape (S&amp;P)'!T2658="Yes",
    1.35,
    1.00)</f>
        <v/>
      </c>
      <c r="P2658">
        <f>IF('Loan Tape (S&amp;P)'!S2658="Yes",
    1.15,
    1.00)</f>
        <v/>
      </c>
      <c r="Q2658">
        <f>IF('Loan Tape (S&amp;P)'!V2658="Yes",
    1.20,
    1.00)</f>
        <v/>
      </c>
      <c r="T2658">
        <f>LET(
    payment_method,'Loan Tape (S&amp;P)'!P2658,
    occupancy,'Loan Tape (S&amp;P)'!N2658,
    maturity_date,'Loan Tape (S&amp;P)'!L2658,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59">
      <c r="J2659">
        <f>LET(
    lien,'Loan Tape (S&amp;P)'!Q2659,
    IF(lien="First",1.00,
        IF(lien="Second",1.50,
            1.70)))</f>
        <v/>
      </c>
      <c r="K2659">
        <f>LET(
    purpose,'Loan Tape (S&amp;P)'!R2659,
    IF(purpose="Purchase",1.00,
        IF(purpose="Remortgage",1.00,
            1.20)))</f>
        <v/>
      </c>
      <c r="L2659">
        <f>LET(
    arrears_months,'Loan Tape (S&amp;P)'!AN2659,
    IF(arrears_months=0,1.00,
    IF(arrears_months=1,3.00,
    IF(arrears_months=2,5.00,
    IF(arrears_months=3,8.00,
    IF(arrears_months=4,10.00,
    IF(arrears_months=5,12.00,15.00)))))))</f>
        <v/>
      </c>
      <c r="M2659">
        <f>LET(
    seasoning_years,DATEDIF('Loan Tape (S&amp;P)'!K2659,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59">
        <f>IF(AND('Loan Tape (S&amp;P)'!U2659="Yes",
        'Loan Tape (S&amp;P)'!T2659&lt;&gt;"Yes",
        DATEDIF('Loan Tape (S&amp;P)'!K2659, TODAY(), "M")&lt;18),
    1.10,
    1.00)</f>
        <v/>
      </c>
      <c r="O2659">
        <f>IF('Loan Tape (S&amp;P)'!T2659="Yes",
    1.35,
    1.00)</f>
        <v/>
      </c>
      <c r="P2659">
        <f>IF('Loan Tape (S&amp;P)'!S2659="Yes",
    1.15,
    1.00)</f>
        <v/>
      </c>
      <c r="Q2659">
        <f>IF('Loan Tape (S&amp;P)'!V2659="Yes",
    1.20,
    1.00)</f>
        <v/>
      </c>
      <c r="T2659">
        <f>LET(
    payment_method,'Loan Tape (S&amp;P)'!P2659,
    occupancy,'Loan Tape (S&amp;P)'!N2659,
    maturity_date,'Loan Tape (S&amp;P)'!L2659,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60">
      <c r="J2660">
        <f>LET(
    lien,'Loan Tape (S&amp;P)'!Q2660,
    IF(lien="First",1.00,
        IF(lien="Second",1.50,
            1.70)))</f>
        <v/>
      </c>
      <c r="K2660">
        <f>LET(
    purpose,'Loan Tape (S&amp;P)'!R2660,
    IF(purpose="Purchase",1.00,
        IF(purpose="Remortgage",1.00,
            1.20)))</f>
        <v/>
      </c>
      <c r="L2660">
        <f>LET(
    arrears_months,'Loan Tape (S&amp;P)'!AN2660,
    IF(arrears_months=0,1.00,
    IF(arrears_months=1,3.00,
    IF(arrears_months=2,5.00,
    IF(arrears_months=3,8.00,
    IF(arrears_months=4,10.00,
    IF(arrears_months=5,12.00,15.00)))))))</f>
        <v/>
      </c>
      <c r="M2660">
        <f>LET(
    seasoning_years,DATEDIF('Loan Tape (S&amp;P)'!K2660,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60">
        <f>IF(AND('Loan Tape (S&amp;P)'!U2660="Yes",
        'Loan Tape (S&amp;P)'!T2660&lt;&gt;"Yes",
        DATEDIF('Loan Tape (S&amp;P)'!K2660, TODAY(), "M")&lt;18),
    1.10,
    1.00)</f>
        <v/>
      </c>
      <c r="O2660">
        <f>IF('Loan Tape (S&amp;P)'!T2660="Yes",
    1.35,
    1.00)</f>
        <v/>
      </c>
      <c r="P2660">
        <f>IF('Loan Tape (S&amp;P)'!S2660="Yes",
    1.15,
    1.00)</f>
        <v/>
      </c>
      <c r="Q2660">
        <f>IF('Loan Tape (S&amp;P)'!V2660="Yes",
    1.20,
    1.00)</f>
        <v/>
      </c>
      <c r="T2660">
        <f>LET(
    payment_method,'Loan Tape (S&amp;P)'!P2660,
    occupancy,'Loan Tape (S&amp;P)'!N2660,
    maturity_date,'Loan Tape (S&amp;P)'!L2660,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61">
      <c r="J2661">
        <f>LET(
    lien,'Loan Tape (S&amp;P)'!Q2661,
    IF(lien="First",1.00,
        IF(lien="Second",1.50,
            1.70)))</f>
        <v/>
      </c>
      <c r="K2661">
        <f>LET(
    purpose,'Loan Tape (S&amp;P)'!R2661,
    IF(purpose="Purchase",1.00,
        IF(purpose="Remortgage",1.00,
            1.20)))</f>
        <v/>
      </c>
      <c r="L2661">
        <f>LET(
    arrears_months,'Loan Tape (S&amp;P)'!AN2661,
    IF(arrears_months=0,1.00,
    IF(arrears_months=1,3.00,
    IF(arrears_months=2,5.00,
    IF(arrears_months=3,8.00,
    IF(arrears_months=4,10.00,
    IF(arrears_months=5,12.00,15.00)))))))</f>
        <v/>
      </c>
      <c r="M2661">
        <f>LET(
    seasoning_years,DATEDIF('Loan Tape (S&amp;P)'!K2661,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61">
        <f>IF(AND('Loan Tape (S&amp;P)'!U2661="Yes",
        'Loan Tape (S&amp;P)'!T2661&lt;&gt;"Yes",
        DATEDIF('Loan Tape (S&amp;P)'!K2661, TODAY(), "M")&lt;18),
    1.10,
    1.00)</f>
        <v/>
      </c>
      <c r="O2661">
        <f>IF('Loan Tape (S&amp;P)'!T2661="Yes",
    1.35,
    1.00)</f>
        <v/>
      </c>
      <c r="P2661">
        <f>IF('Loan Tape (S&amp;P)'!S2661="Yes",
    1.15,
    1.00)</f>
        <v/>
      </c>
      <c r="Q2661">
        <f>IF('Loan Tape (S&amp;P)'!V2661="Yes",
    1.20,
    1.00)</f>
        <v/>
      </c>
      <c r="T2661">
        <f>LET(
    payment_method,'Loan Tape (S&amp;P)'!P2661,
    occupancy,'Loan Tape (S&amp;P)'!N2661,
    maturity_date,'Loan Tape (S&amp;P)'!L2661,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62">
      <c r="J2662">
        <f>LET(
    lien,'Loan Tape (S&amp;P)'!Q2662,
    IF(lien="First",1.00,
        IF(lien="Second",1.50,
            1.70)))</f>
        <v/>
      </c>
      <c r="K2662">
        <f>LET(
    purpose,'Loan Tape (S&amp;P)'!R2662,
    IF(purpose="Purchase",1.00,
        IF(purpose="Remortgage",1.00,
            1.20)))</f>
        <v/>
      </c>
      <c r="L2662">
        <f>LET(
    arrears_months,'Loan Tape (S&amp;P)'!AN2662,
    IF(arrears_months=0,1.00,
    IF(arrears_months=1,3.00,
    IF(arrears_months=2,5.00,
    IF(arrears_months=3,8.00,
    IF(arrears_months=4,10.00,
    IF(arrears_months=5,12.00,15.00)))))))</f>
        <v/>
      </c>
      <c r="M2662">
        <f>LET(
    seasoning_years,DATEDIF('Loan Tape (S&amp;P)'!K2662,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62">
        <f>IF(AND('Loan Tape (S&amp;P)'!U2662="Yes",
        'Loan Tape (S&amp;P)'!T2662&lt;&gt;"Yes",
        DATEDIF('Loan Tape (S&amp;P)'!K2662, TODAY(), "M")&lt;18),
    1.10,
    1.00)</f>
        <v/>
      </c>
      <c r="O2662">
        <f>IF('Loan Tape (S&amp;P)'!T2662="Yes",
    1.35,
    1.00)</f>
        <v/>
      </c>
      <c r="P2662">
        <f>IF('Loan Tape (S&amp;P)'!S2662="Yes",
    1.15,
    1.00)</f>
        <v/>
      </c>
      <c r="Q2662">
        <f>IF('Loan Tape (S&amp;P)'!V2662="Yes",
    1.20,
    1.00)</f>
        <v/>
      </c>
      <c r="T2662">
        <f>LET(
    payment_method,'Loan Tape (S&amp;P)'!P2662,
    occupancy,'Loan Tape (S&amp;P)'!N2662,
    maturity_date,'Loan Tape (S&amp;P)'!L2662,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63">
      <c r="J2663">
        <f>LET(
    lien,'Loan Tape (S&amp;P)'!Q2663,
    IF(lien="First",1.00,
        IF(lien="Second",1.50,
            1.70)))</f>
        <v/>
      </c>
      <c r="K2663">
        <f>LET(
    purpose,'Loan Tape (S&amp;P)'!R2663,
    IF(purpose="Purchase",1.00,
        IF(purpose="Remortgage",1.00,
            1.20)))</f>
        <v/>
      </c>
      <c r="L2663">
        <f>LET(
    arrears_months,'Loan Tape (S&amp;P)'!AN2663,
    IF(arrears_months=0,1.00,
    IF(arrears_months=1,3.00,
    IF(arrears_months=2,5.00,
    IF(arrears_months=3,8.00,
    IF(arrears_months=4,10.00,
    IF(arrears_months=5,12.00,15.00)))))))</f>
        <v/>
      </c>
      <c r="M2663">
        <f>LET(
    seasoning_years,DATEDIF('Loan Tape (S&amp;P)'!K2663,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63">
        <f>IF(AND('Loan Tape (S&amp;P)'!U2663="Yes",
        'Loan Tape (S&amp;P)'!T2663&lt;&gt;"Yes",
        DATEDIF('Loan Tape (S&amp;P)'!K2663, TODAY(), "M")&lt;18),
    1.10,
    1.00)</f>
        <v/>
      </c>
      <c r="O2663">
        <f>IF('Loan Tape (S&amp;P)'!T2663="Yes",
    1.35,
    1.00)</f>
        <v/>
      </c>
      <c r="P2663">
        <f>IF('Loan Tape (S&amp;P)'!S2663="Yes",
    1.15,
    1.00)</f>
        <v/>
      </c>
      <c r="Q2663">
        <f>IF('Loan Tape (S&amp;P)'!V2663="Yes",
    1.20,
    1.00)</f>
        <v/>
      </c>
      <c r="T2663">
        <f>LET(
    payment_method,'Loan Tape (S&amp;P)'!P2663,
    occupancy,'Loan Tape (S&amp;P)'!N2663,
    maturity_date,'Loan Tape (S&amp;P)'!L2663,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64">
      <c r="J2664">
        <f>LET(
    lien,'Loan Tape (S&amp;P)'!Q2664,
    IF(lien="First",1.00,
        IF(lien="Second",1.50,
            1.70)))</f>
        <v/>
      </c>
      <c r="K2664">
        <f>LET(
    purpose,'Loan Tape (S&amp;P)'!R2664,
    IF(purpose="Purchase",1.00,
        IF(purpose="Remortgage",1.00,
            1.20)))</f>
        <v/>
      </c>
      <c r="L2664">
        <f>LET(
    arrears_months,'Loan Tape (S&amp;P)'!AN2664,
    IF(arrears_months=0,1.00,
    IF(arrears_months=1,3.00,
    IF(arrears_months=2,5.00,
    IF(arrears_months=3,8.00,
    IF(arrears_months=4,10.00,
    IF(arrears_months=5,12.00,15.00)))))))</f>
        <v/>
      </c>
      <c r="M2664">
        <f>LET(
    seasoning_years,DATEDIF('Loan Tape (S&amp;P)'!K2664,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64">
        <f>IF(AND('Loan Tape (S&amp;P)'!U2664="Yes",
        'Loan Tape (S&amp;P)'!T2664&lt;&gt;"Yes",
        DATEDIF('Loan Tape (S&amp;P)'!K2664, TODAY(), "M")&lt;18),
    1.10,
    1.00)</f>
        <v/>
      </c>
      <c r="O2664">
        <f>IF('Loan Tape (S&amp;P)'!T2664="Yes",
    1.35,
    1.00)</f>
        <v/>
      </c>
      <c r="P2664">
        <f>IF('Loan Tape (S&amp;P)'!S2664="Yes",
    1.15,
    1.00)</f>
        <v/>
      </c>
      <c r="Q2664">
        <f>IF('Loan Tape (S&amp;P)'!V2664="Yes",
    1.20,
    1.00)</f>
        <v/>
      </c>
      <c r="T2664">
        <f>LET(
    payment_method,'Loan Tape (S&amp;P)'!P2664,
    occupancy,'Loan Tape (S&amp;P)'!N2664,
    maturity_date,'Loan Tape (S&amp;P)'!L2664,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65">
      <c r="J2665">
        <f>LET(
    lien,'Loan Tape (S&amp;P)'!Q2665,
    IF(lien="First",1.00,
        IF(lien="Second",1.50,
            1.70)))</f>
        <v/>
      </c>
      <c r="K2665">
        <f>LET(
    purpose,'Loan Tape (S&amp;P)'!R2665,
    IF(purpose="Purchase",1.00,
        IF(purpose="Remortgage",1.00,
            1.20)))</f>
        <v/>
      </c>
      <c r="L2665">
        <f>LET(
    arrears_months,'Loan Tape (S&amp;P)'!AN2665,
    IF(arrears_months=0,1.00,
    IF(arrears_months=1,3.00,
    IF(arrears_months=2,5.00,
    IF(arrears_months=3,8.00,
    IF(arrears_months=4,10.00,
    IF(arrears_months=5,12.00,15.00)))))))</f>
        <v/>
      </c>
      <c r="M2665">
        <f>LET(
    seasoning_years,DATEDIF('Loan Tape (S&amp;P)'!K2665,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65">
        <f>IF(AND('Loan Tape (S&amp;P)'!U2665="Yes",
        'Loan Tape (S&amp;P)'!T2665&lt;&gt;"Yes",
        DATEDIF('Loan Tape (S&amp;P)'!K2665, TODAY(), "M")&lt;18),
    1.10,
    1.00)</f>
        <v/>
      </c>
      <c r="O2665">
        <f>IF('Loan Tape (S&amp;P)'!T2665="Yes",
    1.35,
    1.00)</f>
        <v/>
      </c>
      <c r="P2665">
        <f>IF('Loan Tape (S&amp;P)'!S2665="Yes",
    1.15,
    1.00)</f>
        <v/>
      </c>
      <c r="Q2665">
        <f>IF('Loan Tape (S&amp;P)'!V2665="Yes",
    1.20,
    1.00)</f>
        <v/>
      </c>
      <c r="T2665">
        <f>LET(
    payment_method,'Loan Tape (S&amp;P)'!P2665,
    occupancy,'Loan Tape (S&amp;P)'!N2665,
    maturity_date,'Loan Tape (S&amp;P)'!L2665,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66">
      <c r="J2666">
        <f>LET(
    lien,'Loan Tape (S&amp;P)'!Q2666,
    IF(lien="First",1.00,
        IF(lien="Second",1.50,
            1.70)))</f>
        <v/>
      </c>
      <c r="K2666">
        <f>LET(
    purpose,'Loan Tape (S&amp;P)'!R2666,
    IF(purpose="Purchase",1.00,
        IF(purpose="Remortgage",1.00,
            1.20)))</f>
        <v/>
      </c>
      <c r="L2666">
        <f>LET(
    arrears_months,'Loan Tape (S&amp;P)'!AN2666,
    IF(arrears_months=0,1.00,
    IF(arrears_months=1,3.00,
    IF(arrears_months=2,5.00,
    IF(arrears_months=3,8.00,
    IF(arrears_months=4,10.00,
    IF(arrears_months=5,12.00,15.00)))))))</f>
        <v/>
      </c>
      <c r="M2666">
        <f>LET(
    seasoning_years,DATEDIF('Loan Tape (S&amp;P)'!K2666,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66">
        <f>IF(AND('Loan Tape (S&amp;P)'!U2666="Yes",
        'Loan Tape (S&amp;P)'!T2666&lt;&gt;"Yes",
        DATEDIF('Loan Tape (S&amp;P)'!K2666, TODAY(), "M")&lt;18),
    1.10,
    1.00)</f>
        <v/>
      </c>
      <c r="O2666">
        <f>IF('Loan Tape (S&amp;P)'!T2666="Yes",
    1.35,
    1.00)</f>
        <v/>
      </c>
      <c r="P2666">
        <f>IF('Loan Tape (S&amp;P)'!S2666="Yes",
    1.15,
    1.00)</f>
        <v/>
      </c>
      <c r="Q2666">
        <f>IF('Loan Tape (S&amp;P)'!V2666="Yes",
    1.20,
    1.00)</f>
        <v/>
      </c>
      <c r="T2666">
        <f>LET(
    payment_method,'Loan Tape (S&amp;P)'!P2666,
    occupancy,'Loan Tape (S&amp;P)'!N2666,
    maturity_date,'Loan Tape (S&amp;P)'!L2666,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67">
      <c r="J2667">
        <f>LET(
    lien,'Loan Tape (S&amp;P)'!Q2667,
    IF(lien="First",1.00,
        IF(lien="Second",1.50,
            1.70)))</f>
        <v/>
      </c>
      <c r="K2667">
        <f>LET(
    purpose,'Loan Tape (S&amp;P)'!R2667,
    IF(purpose="Purchase",1.00,
        IF(purpose="Remortgage",1.00,
            1.20)))</f>
        <v/>
      </c>
      <c r="L2667">
        <f>LET(
    arrears_months,'Loan Tape (S&amp;P)'!AN2667,
    IF(arrears_months=0,1.00,
    IF(arrears_months=1,3.00,
    IF(arrears_months=2,5.00,
    IF(arrears_months=3,8.00,
    IF(arrears_months=4,10.00,
    IF(arrears_months=5,12.00,15.00)))))))</f>
        <v/>
      </c>
      <c r="M2667">
        <f>LET(
    seasoning_years,DATEDIF('Loan Tape (S&amp;P)'!K2667,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67">
        <f>IF(AND('Loan Tape (S&amp;P)'!U2667="Yes",
        'Loan Tape (S&amp;P)'!T2667&lt;&gt;"Yes",
        DATEDIF('Loan Tape (S&amp;P)'!K2667, TODAY(), "M")&lt;18),
    1.10,
    1.00)</f>
        <v/>
      </c>
      <c r="O2667">
        <f>IF('Loan Tape (S&amp;P)'!T2667="Yes",
    1.35,
    1.00)</f>
        <v/>
      </c>
      <c r="P2667">
        <f>IF('Loan Tape (S&amp;P)'!S2667="Yes",
    1.15,
    1.00)</f>
        <v/>
      </c>
      <c r="Q2667">
        <f>IF('Loan Tape (S&amp;P)'!V2667="Yes",
    1.20,
    1.00)</f>
        <v/>
      </c>
      <c r="T2667">
        <f>LET(
    payment_method,'Loan Tape (S&amp;P)'!P2667,
    occupancy,'Loan Tape (S&amp;P)'!N2667,
    maturity_date,'Loan Tape (S&amp;P)'!L2667,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68">
      <c r="J2668">
        <f>LET(
    lien,'Loan Tape (S&amp;P)'!Q2668,
    IF(lien="First",1.00,
        IF(lien="Second",1.50,
            1.70)))</f>
        <v/>
      </c>
      <c r="K2668">
        <f>LET(
    purpose,'Loan Tape (S&amp;P)'!R2668,
    IF(purpose="Purchase",1.00,
        IF(purpose="Remortgage",1.00,
            1.20)))</f>
        <v/>
      </c>
      <c r="L2668">
        <f>LET(
    arrears_months,'Loan Tape (S&amp;P)'!AN2668,
    IF(arrears_months=0,1.00,
    IF(arrears_months=1,3.00,
    IF(arrears_months=2,5.00,
    IF(arrears_months=3,8.00,
    IF(arrears_months=4,10.00,
    IF(arrears_months=5,12.00,15.00)))))))</f>
        <v/>
      </c>
      <c r="M2668">
        <f>LET(
    seasoning_years,DATEDIF('Loan Tape (S&amp;P)'!K2668,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68">
        <f>IF(AND('Loan Tape (S&amp;P)'!U2668="Yes",
        'Loan Tape (S&amp;P)'!T2668&lt;&gt;"Yes",
        DATEDIF('Loan Tape (S&amp;P)'!K2668, TODAY(), "M")&lt;18),
    1.10,
    1.00)</f>
        <v/>
      </c>
      <c r="O2668">
        <f>IF('Loan Tape (S&amp;P)'!T2668="Yes",
    1.35,
    1.00)</f>
        <v/>
      </c>
      <c r="P2668">
        <f>IF('Loan Tape (S&amp;P)'!S2668="Yes",
    1.15,
    1.00)</f>
        <v/>
      </c>
      <c r="Q2668">
        <f>IF('Loan Tape (S&amp;P)'!V2668="Yes",
    1.20,
    1.00)</f>
        <v/>
      </c>
      <c r="T2668">
        <f>LET(
    payment_method,'Loan Tape (S&amp;P)'!P2668,
    occupancy,'Loan Tape (S&amp;P)'!N2668,
    maturity_date,'Loan Tape (S&amp;P)'!L2668,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69">
      <c r="J2669">
        <f>LET(
    lien,'Loan Tape (S&amp;P)'!Q2669,
    IF(lien="First",1.00,
        IF(lien="Second",1.50,
            1.70)))</f>
        <v/>
      </c>
      <c r="K2669">
        <f>LET(
    purpose,'Loan Tape (S&amp;P)'!R2669,
    IF(purpose="Purchase",1.00,
        IF(purpose="Remortgage",1.00,
            1.20)))</f>
        <v/>
      </c>
      <c r="L2669">
        <f>LET(
    arrears_months,'Loan Tape (S&amp;P)'!AN2669,
    IF(arrears_months=0,1.00,
    IF(arrears_months=1,3.00,
    IF(arrears_months=2,5.00,
    IF(arrears_months=3,8.00,
    IF(arrears_months=4,10.00,
    IF(arrears_months=5,12.00,15.00)))))))</f>
        <v/>
      </c>
      <c r="M2669">
        <f>LET(
    seasoning_years,DATEDIF('Loan Tape (S&amp;P)'!K2669,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69">
        <f>IF(AND('Loan Tape (S&amp;P)'!U2669="Yes",
        'Loan Tape (S&amp;P)'!T2669&lt;&gt;"Yes",
        DATEDIF('Loan Tape (S&amp;P)'!K2669, TODAY(), "M")&lt;18),
    1.10,
    1.00)</f>
        <v/>
      </c>
      <c r="O2669">
        <f>IF('Loan Tape (S&amp;P)'!T2669="Yes",
    1.35,
    1.00)</f>
        <v/>
      </c>
      <c r="P2669">
        <f>IF('Loan Tape (S&amp;P)'!S2669="Yes",
    1.15,
    1.00)</f>
        <v/>
      </c>
      <c r="Q2669">
        <f>IF('Loan Tape (S&amp;P)'!V2669="Yes",
    1.20,
    1.00)</f>
        <v/>
      </c>
      <c r="T2669">
        <f>LET(
    payment_method,'Loan Tape (S&amp;P)'!P2669,
    occupancy,'Loan Tape (S&amp;P)'!N2669,
    maturity_date,'Loan Tape (S&amp;P)'!L2669,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70">
      <c r="J2670">
        <f>LET(
    lien,'Loan Tape (S&amp;P)'!Q2670,
    IF(lien="First",1.00,
        IF(lien="Second",1.50,
            1.70)))</f>
        <v/>
      </c>
      <c r="K2670">
        <f>LET(
    purpose,'Loan Tape (S&amp;P)'!R2670,
    IF(purpose="Purchase",1.00,
        IF(purpose="Remortgage",1.00,
            1.20)))</f>
        <v/>
      </c>
      <c r="L2670">
        <f>LET(
    arrears_months,'Loan Tape (S&amp;P)'!AN2670,
    IF(arrears_months=0,1.00,
    IF(arrears_months=1,3.00,
    IF(arrears_months=2,5.00,
    IF(arrears_months=3,8.00,
    IF(arrears_months=4,10.00,
    IF(arrears_months=5,12.00,15.00)))))))</f>
        <v/>
      </c>
      <c r="M2670">
        <f>LET(
    seasoning_years,DATEDIF('Loan Tape (S&amp;P)'!K2670,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70">
        <f>IF(AND('Loan Tape (S&amp;P)'!U2670="Yes",
        'Loan Tape (S&amp;P)'!T2670&lt;&gt;"Yes",
        DATEDIF('Loan Tape (S&amp;P)'!K2670, TODAY(), "M")&lt;18),
    1.10,
    1.00)</f>
        <v/>
      </c>
      <c r="O2670">
        <f>IF('Loan Tape (S&amp;P)'!T2670="Yes",
    1.35,
    1.00)</f>
        <v/>
      </c>
      <c r="P2670">
        <f>IF('Loan Tape (S&amp;P)'!S2670="Yes",
    1.15,
    1.00)</f>
        <v/>
      </c>
      <c r="Q2670">
        <f>IF('Loan Tape (S&amp;P)'!V2670="Yes",
    1.20,
    1.00)</f>
        <v/>
      </c>
      <c r="T2670">
        <f>LET(
    payment_method,'Loan Tape (S&amp;P)'!P2670,
    occupancy,'Loan Tape (S&amp;P)'!N2670,
    maturity_date,'Loan Tape (S&amp;P)'!L2670,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71">
      <c r="J2671">
        <f>LET(
    lien,'Loan Tape (S&amp;P)'!Q2671,
    IF(lien="First",1.00,
        IF(lien="Second",1.50,
            1.70)))</f>
        <v/>
      </c>
      <c r="K2671">
        <f>LET(
    purpose,'Loan Tape (S&amp;P)'!R2671,
    IF(purpose="Purchase",1.00,
        IF(purpose="Remortgage",1.00,
            1.20)))</f>
        <v/>
      </c>
      <c r="L2671">
        <f>LET(
    arrears_months,'Loan Tape (S&amp;P)'!AN2671,
    IF(arrears_months=0,1.00,
    IF(arrears_months=1,3.00,
    IF(arrears_months=2,5.00,
    IF(arrears_months=3,8.00,
    IF(arrears_months=4,10.00,
    IF(arrears_months=5,12.00,15.00)))))))</f>
        <v/>
      </c>
      <c r="M2671">
        <f>LET(
    seasoning_years,DATEDIF('Loan Tape (S&amp;P)'!K2671,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71">
        <f>IF(AND('Loan Tape (S&amp;P)'!U2671="Yes",
        'Loan Tape (S&amp;P)'!T2671&lt;&gt;"Yes",
        DATEDIF('Loan Tape (S&amp;P)'!K2671, TODAY(), "M")&lt;18),
    1.10,
    1.00)</f>
        <v/>
      </c>
      <c r="O2671">
        <f>IF('Loan Tape (S&amp;P)'!T2671="Yes",
    1.35,
    1.00)</f>
        <v/>
      </c>
      <c r="P2671">
        <f>IF('Loan Tape (S&amp;P)'!S2671="Yes",
    1.15,
    1.00)</f>
        <v/>
      </c>
      <c r="Q2671">
        <f>IF('Loan Tape (S&amp;P)'!V2671="Yes",
    1.20,
    1.00)</f>
        <v/>
      </c>
      <c r="T2671">
        <f>LET(
    payment_method,'Loan Tape (S&amp;P)'!P2671,
    occupancy,'Loan Tape (S&amp;P)'!N2671,
    maturity_date,'Loan Tape (S&amp;P)'!L2671,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72">
      <c r="J2672">
        <f>LET(
    lien,'Loan Tape (S&amp;P)'!Q2672,
    IF(lien="First",1.00,
        IF(lien="Second",1.50,
            1.70)))</f>
        <v/>
      </c>
      <c r="K2672">
        <f>LET(
    purpose,'Loan Tape (S&amp;P)'!R2672,
    IF(purpose="Purchase",1.00,
        IF(purpose="Remortgage",1.00,
            1.20)))</f>
        <v/>
      </c>
      <c r="L2672">
        <f>LET(
    arrears_months,'Loan Tape (S&amp;P)'!AN2672,
    IF(arrears_months=0,1.00,
    IF(arrears_months=1,3.00,
    IF(arrears_months=2,5.00,
    IF(arrears_months=3,8.00,
    IF(arrears_months=4,10.00,
    IF(arrears_months=5,12.00,15.00)))))))</f>
        <v/>
      </c>
      <c r="M2672">
        <f>LET(
    seasoning_years,DATEDIF('Loan Tape (S&amp;P)'!K2672,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72">
        <f>IF(AND('Loan Tape (S&amp;P)'!U2672="Yes",
        'Loan Tape (S&amp;P)'!T2672&lt;&gt;"Yes",
        DATEDIF('Loan Tape (S&amp;P)'!K2672, TODAY(), "M")&lt;18),
    1.10,
    1.00)</f>
        <v/>
      </c>
      <c r="O2672">
        <f>IF('Loan Tape (S&amp;P)'!T2672="Yes",
    1.35,
    1.00)</f>
        <v/>
      </c>
      <c r="P2672">
        <f>IF('Loan Tape (S&amp;P)'!S2672="Yes",
    1.15,
    1.00)</f>
        <v/>
      </c>
      <c r="Q2672">
        <f>IF('Loan Tape (S&amp;P)'!V2672="Yes",
    1.20,
    1.00)</f>
        <v/>
      </c>
      <c r="T2672">
        <f>LET(
    payment_method,'Loan Tape (S&amp;P)'!P2672,
    occupancy,'Loan Tape (S&amp;P)'!N2672,
    maturity_date,'Loan Tape (S&amp;P)'!L2672,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73">
      <c r="J2673">
        <f>LET(
    lien,'Loan Tape (S&amp;P)'!Q2673,
    IF(lien="First",1.00,
        IF(lien="Second",1.50,
            1.70)))</f>
        <v/>
      </c>
      <c r="K2673">
        <f>LET(
    purpose,'Loan Tape (S&amp;P)'!R2673,
    IF(purpose="Purchase",1.00,
        IF(purpose="Remortgage",1.00,
            1.20)))</f>
        <v/>
      </c>
      <c r="L2673">
        <f>LET(
    arrears_months,'Loan Tape (S&amp;P)'!AN2673,
    IF(arrears_months=0,1.00,
    IF(arrears_months=1,3.00,
    IF(arrears_months=2,5.00,
    IF(arrears_months=3,8.00,
    IF(arrears_months=4,10.00,
    IF(arrears_months=5,12.00,15.00)))))))</f>
        <v/>
      </c>
      <c r="M2673">
        <f>LET(
    seasoning_years,DATEDIF('Loan Tape (S&amp;P)'!K2673,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73">
        <f>IF(AND('Loan Tape (S&amp;P)'!U2673="Yes",
        'Loan Tape (S&amp;P)'!T2673&lt;&gt;"Yes",
        DATEDIF('Loan Tape (S&amp;P)'!K2673, TODAY(), "M")&lt;18),
    1.10,
    1.00)</f>
        <v/>
      </c>
      <c r="O2673">
        <f>IF('Loan Tape (S&amp;P)'!T2673="Yes",
    1.35,
    1.00)</f>
        <v/>
      </c>
      <c r="P2673">
        <f>IF('Loan Tape (S&amp;P)'!S2673="Yes",
    1.15,
    1.00)</f>
        <v/>
      </c>
      <c r="Q2673">
        <f>IF('Loan Tape (S&amp;P)'!V2673="Yes",
    1.20,
    1.00)</f>
        <v/>
      </c>
      <c r="T2673">
        <f>LET(
    payment_method,'Loan Tape (S&amp;P)'!P2673,
    occupancy,'Loan Tape (S&amp;P)'!N2673,
    maturity_date,'Loan Tape (S&amp;P)'!L2673,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74">
      <c r="J2674">
        <f>LET(
    lien,'Loan Tape (S&amp;P)'!Q2674,
    IF(lien="First",1.00,
        IF(lien="Second",1.50,
            1.70)))</f>
        <v/>
      </c>
      <c r="K2674">
        <f>LET(
    purpose,'Loan Tape (S&amp;P)'!R2674,
    IF(purpose="Purchase",1.00,
        IF(purpose="Remortgage",1.00,
            1.20)))</f>
        <v/>
      </c>
      <c r="L2674">
        <f>LET(
    arrears_months,'Loan Tape (S&amp;P)'!AN2674,
    IF(arrears_months=0,1.00,
    IF(arrears_months=1,3.00,
    IF(arrears_months=2,5.00,
    IF(arrears_months=3,8.00,
    IF(arrears_months=4,10.00,
    IF(arrears_months=5,12.00,15.00)))))))</f>
        <v/>
      </c>
      <c r="M2674">
        <f>LET(
    seasoning_years,DATEDIF('Loan Tape (S&amp;P)'!K2674,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74">
        <f>IF(AND('Loan Tape (S&amp;P)'!U2674="Yes",
        'Loan Tape (S&amp;P)'!T2674&lt;&gt;"Yes",
        DATEDIF('Loan Tape (S&amp;P)'!K2674, TODAY(), "M")&lt;18),
    1.10,
    1.00)</f>
        <v/>
      </c>
      <c r="O2674">
        <f>IF('Loan Tape (S&amp;P)'!T2674="Yes",
    1.35,
    1.00)</f>
        <v/>
      </c>
      <c r="P2674">
        <f>IF('Loan Tape (S&amp;P)'!S2674="Yes",
    1.15,
    1.00)</f>
        <v/>
      </c>
      <c r="Q2674">
        <f>IF('Loan Tape (S&amp;P)'!V2674="Yes",
    1.20,
    1.00)</f>
        <v/>
      </c>
      <c r="T2674">
        <f>LET(
    payment_method,'Loan Tape (S&amp;P)'!P2674,
    occupancy,'Loan Tape (S&amp;P)'!N2674,
    maturity_date,'Loan Tape (S&amp;P)'!L2674,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75">
      <c r="J2675">
        <f>LET(
    lien,'Loan Tape (S&amp;P)'!Q2675,
    IF(lien="First",1.00,
        IF(lien="Second",1.50,
            1.70)))</f>
        <v/>
      </c>
      <c r="K2675">
        <f>LET(
    purpose,'Loan Tape (S&amp;P)'!R2675,
    IF(purpose="Purchase",1.00,
        IF(purpose="Remortgage",1.00,
            1.20)))</f>
        <v/>
      </c>
      <c r="L2675">
        <f>LET(
    arrears_months,'Loan Tape (S&amp;P)'!AN2675,
    IF(arrears_months=0,1.00,
    IF(arrears_months=1,3.00,
    IF(arrears_months=2,5.00,
    IF(arrears_months=3,8.00,
    IF(arrears_months=4,10.00,
    IF(arrears_months=5,12.00,15.00)))))))</f>
        <v/>
      </c>
      <c r="M2675">
        <f>LET(
    seasoning_years,DATEDIF('Loan Tape (S&amp;P)'!K2675,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75">
        <f>IF(AND('Loan Tape (S&amp;P)'!U2675="Yes",
        'Loan Tape (S&amp;P)'!T2675&lt;&gt;"Yes",
        DATEDIF('Loan Tape (S&amp;P)'!K2675, TODAY(), "M")&lt;18),
    1.10,
    1.00)</f>
        <v/>
      </c>
      <c r="O2675">
        <f>IF('Loan Tape (S&amp;P)'!T2675="Yes",
    1.35,
    1.00)</f>
        <v/>
      </c>
      <c r="P2675">
        <f>IF('Loan Tape (S&amp;P)'!S2675="Yes",
    1.15,
    1.00)</f>
        <v/>
      </c>
      <c r="Q2675">
        <f>IF('Loan Tape (S&amp;P)'!V2675="Yes",
    1.20,
    1.00)</f>
        <v/>
      </c>
      <c r="T2675">
        <f>LET(
    payment_method,'Loan Tape (S&amp;P)'!P2675,
    occupancy,'Loan Tape (S&amp;P)'!N2675,
    maturity_date,'Loan Tape (S&amp;P)'!L2675,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76">
      <c r="J2676">
        <f>LET(
    lien,'Loan Tape (S&amp;P)'!Q2676,
    IF(lien="First",1.00,
        IF(lien="Second",1.50,
            1.70)))</f>
        <v/>
      </c>
      <c r="K2676">
        <f>LET(
    purpose,'Loan Tape (S&amp;P)'!R2676,
    IF(purpose="Purchase",1.00,
        IF(purpose="Remortgage",1.00,
            1.20)))</f>
        <v/>
      </c>
      <c r="L2676">
        <f>LET(
    arrears_months,'Loan Tape (S&amp;P)'!AN2676,
    IF(arrears_months=0,1.00,
    IF(arrears_months=1,3.00,
    IF(arrears_months=2,5.00,
    IF(arrears_months=3,8.00,
    IF(arrears_months=4,10.00,
    IF(arrears_months=5,12.00,15.00)))))))</f>
        <v/>
      </c>
      <c r="M2676">
        <f>LET(
    seasoning_years,DATEDIF('Loan Tape (S&amp;P)'!K2676,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76">
        <f>IF(AND('Loan Tape (S&amp;P)'!U2676="Yes",
        'Loan Tape (S&amp;P)'!T2676&lt;&gt;"Yes",
        DATEDIF('Loan Tape (S&amp;P)'!K2676, TODAY(), "M")&lt;18),
    1.10,
    1.00)</f>
        <v/>
      </c>
      <c r="O2676">
        <f>IF('Loan Tape (S&amp;P)'!T2676="Yes",
    1.35,
    1.00)</f>
        <v/>
      </c>
      <c r="P2676">
        <f>IF('Loan Tape (S&amp;P)'!S2676="Yes",
    1.15,
    1.00)</f>
        <v/>
      </c>
      <c r="Q2676">
        <f>IF('Loan Tape (S&amp;P)'!V2676="Yes",
    1.20,
    1.00)</f>
        <v/>
      </c>
      <c r="T2676">
        <f>LET(
    payment_method,'Loan Tape (S&amp;P)'!P2676,
    occupancy,'Loan Tape (S&amp;P)'!N2676,
    maturity_date,'Loan Tape (S&amp;P)'!L2676,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77">
      <c r="J2677">
        <f>LET(
    lien,'Loan Tape (S&amp;P)'!Q2677,
    IF(lien="First",1.00,
        IF(lien="Second",1.50,
            1.70)))</f>
        <v/>
      </c>
      <c r="K2677">
        <f>LET(
    purpose,'Loan Tape (S&amp;P)'!R2677,
    IF(purpose="Purchase",1.00,
        IF(purpose="Remortgage",1.00,
            1.20)))</f>
        <v/>
      </c>
      <c r="L2677">
        <f>LET(
    arrears_months,'Loan Tape (S&amp;P)'!AN2677,
    IF(arrears_months=0,1.00,
    IF(arrears_months=1,3.00,
    IF(arrears_months=2,5.00,
    IF(arrears_months=3,8.00,
    IF(arrears_months=4,10.00,
    IF(arrears_months=5,12.00,15.00)))))))</f>
        <v/>
      </c>
      <c r="M2677">
        <f>LET(
    seasoning_years,DATEDIF('Loan Tape (S&amp;P)'!K2677,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77">
        <f>IF(AND('Loan Tape (S&amp;P)'!U2677="Yes",
        'Loan Tape (S&amp;P)'!T2677&lt;&gt;"Yes",
        DATEDIF('Loan Tape (S&amp;P)'!K2677, TODAY(), "M")&lt;18),
    1.10,
    1.00)</f>
        <v/>
      </c>
      <c r="O2677">
        <f>IF('Loan Tape (S&amp;P)'!T2677="Yes",
    1.35,
    1.00)</f>
        <v/>
      </c>
      <c r="P2677">
        <f>IF('Loan Tape (S&amp;P)'!S2677="Yes",
    1.15,
    1.00)</f>
        <v/>
      </c>
      <c r="Q2677">
        <f>IF('Loan Tape (S&amp;P)'!V2677="Yes",
    1.20,
    1.00)</f>
        <v/>
      </c>
      <c r="T2677">
        <f>LET(
    payment_method,'Loan Tape (S&amp;P)'!P2677,
    occupancy,'Loan Tape (S&amp;P)'!N2677,
    maturity_date,'Loan Tape (S&amp;P)'!L2677,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78">
      <c r="J2678">
        <f>LET(
    lien,'Loan Tape (S&amp;P)'!Q2678,
    IF(lien="First",1.00,
        IF(lien="Second",1.50,
            1.70)))</f>
        <v/>
      </c>
      <c r="K2678">
        <f>LET(
    purpose,'Loan Tape (S&amp;P)'!R2678,
    IF(purpose="Purchase",1.00,
        IF(purpose="Remortgage",1.00,
            1.20)))</f>
        <v/>
      </c>
      <c r="L2678">
        <f>LET(
    arrears_months,'Loan Tape (S&amp;P)'!AN2678,
    IF(arrears_months=0,1.00,
    IF(arrears_months=1,3.00,
    IF(arrears_months=2,5.00,
    IF(arrears_months=3,8.00,
    IF(arrears_months=4,10.00,
    IF(arrears_months=5,12.00,15.00)))))))</f>
        <v/>
      </c>
      <c r="M2678">
        <f>LET(
    seasoning_years,DATEDIF('Loan Tape (S&amp;P)'!K2678,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78">
        <f>IF(AND('Loan Tape (S&amp;P)'!U2678="Yes",
        'Loan Tape (S&amp;P)'!T2678&lt;&gt;"Yes",
        DATEDIF('Loan Tape (S&amp;P)'!K2678, TODAY(), "M")&lt;18),
    1.10,
    1.00)</f>
        <v/>
      </c>
      <c r="O2678">
        <f>IF('Loan Tape (S&amp;P)'!T2678="Yes",
    1.35,
    1.00)</f>
        <v/>
      </c>
      <c r="P2678">
        <f>IF('Loan Tape (S&amp;P)'!S2678="Yes",
    1.15,
    1.00)</f>
        <v/>
      </c>
      <c r="Q2678">
        <f>IF('Loan Tape (S&amp;P)'!V2678="Yes",
    1.20,
    1.00)</f>
        <v/>
      </c>
      <c r="T2678">
        <f>LET(
    payment_method,'Loan Tape (S&amp;P)'!P2678,
    occupancy,'Loan Tape (S&amp;P)'!N2678,
    maturity_date,'Loan Tape (S&amp;P)'!L2678,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79">
      <c r="J2679">
        <f>LET(
    lien,'Loan Tape (S&amp;P)'!Q2679,
    IF(lien="First",1.00,
        IF(lien="Second",1.50,
            1.70)))</f>
        <v/>
      </c>
      <c r="K2679">
        <f>LET(
    purpose,'Loan Tape (S&amp;P)'!R2679,
    IF(purpose="Purchase",1.00,
        IF(purpose="Remortgage",1.00,
            1.20)))</f>
        <v/>
      </c>
      <c r="L2679">
        <f>LET(
    arrears_months,'Loan Tape (S&amp;P)'!AN2679,
    IF(arrears_months=0,1.00,
    IF(arrears_months=1,3.00,
    IF(arrears_months=2,5.00,
    IF(arrears_months=3,8.00,
    IF(arrears_months=4,10.00,
    IF(arrears_months=5,12.00,15.00)))))))</f>
        <v/>
      </c>
      <c r="M2679">
        <f>LET(
    seasoning_years,DATEDIF('Loan Tape (S&amp;P)'!K2679,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79">
        <f>IF(AND('Loan Tape (S&amp;P)'!U2679="Yes",
        'Loan Tape (S&amp;P)'!T2679&lt;&gt;"Yes",
        DATEDIF('Loan Tape (S&amp;P)'!K2679, TODAY(), "M")&lt;18),
    1.10,
    1.00)</f>
        <v/>
      </c>
      <c r="O2679">
        <f>IF('Loan Tape (S&amp;P)'!T2679="Yes",
    1.35,
    1.00)</f>
        <v/>
      </c>
      <c r="P2679">
        <f>IF('Loan Tape (S&amp;P)'!S2679="Yes",
    1.15,
    1.00)</f>
        <v/>
      </c>
      <c r="Q2679">
        <f>IF('Loan Tape (S&amp;P)'!V2679="Yes",
    1.20,
    1.00)</f>
        <v/>
      </c>
      <c r="T2679">
        <f>LET(
    payment_method,'Loan Tape (S&amp;P)'!P2679,
    occupancy,'Loan Tape (S&amp;P)'!N2679,
    maturity_date,'Loan Tape (S&amp;P)'!L2679,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80">
      <c r="J2680">
        <f>LET(
    lien,'Loan Tape (S&amp;P)'!Q2680,
    IF(lien="First",1.00,
        IF(lien="Second",1.50,
            1.70)))</f>
        <v/>
      </c>
      <c r="K2680">
        <f>LET(
    purpose,'Loan Tape (S&amp;P)'!R2680,
    IF(purpose="Purchase",1.00,
        IF(purpose="Remortgage",1.00,
            1.20)))</f>
        <v/>
      </c>
      <c r="L2680">
        <f>LET(
    arrears_months,'Loan Tape (S&amp;P)'!AN2680,
    IF(arrears_months=0,1.00,
    IF(arrears_months=1,3.00,
    IF(arrears_months=2,5.00,
    IF(arrears_months=3,8.00,
    IF(arrears_months=4,10.00,
    IF(arrears_months=5,12.00,15.00)))))))</f>
        <v/>
      </c>
      <c r="M2680">
        <f>LET(
    seasoning_years,DATEDIF('Loan Tape (S&amp;P)'!K2680,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80">
        <f>IF(AND('Loan Tape (S&amp;P)'!U2680="Yes",
        'Loan Tape (S&amp;P)'!T2680&lt;&gt;"Yes",
        DATEDIF('Loan Tape (S&amp;P)'!K2680, TODAY(), "M")&lt;18),
    1.10,
    1.00)</f>
        <v/>
      </c>
      <c r="O2680">
        <f>IF('Loan Tape (S&amp;P)'!T2680="Yes",
    1.35,
    1.00)</f>
        <v/>
      </c>
      <c r="P2680">
        <f>IF('Loan Tape (S&amp;P)'!S2680="Yes",
    1.15,
    1.00)</f>
        <v/>
      </c>
      <c r="Q2680">
        <f>IF('Loan Tape (S&amp;P)'!V2680="Yes",
    1.20,
    1.00)</f>
        <v/>
      </c>
      <c r="T2680">
        <f>LET(
    payment_method,'Loan Tape (S&amp;P)'!P2680,
    occupancy,'Loan Tape (S&amp;P)'!N2680,
    maturity_date,'Loan Tape (S&amp;P)'!L2680,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81">
      <c r="J2681">
        <f>LET(
    lien,'Loan Tape (S&amp;P)'!Q2681,
    IF(lien="First",1.00,
        IF(lien="Second",1.50,
            1.70)))</f>
        <v/>
      </c>
      <c r="K2681">
        <f>LET(
    purpose,'Loan Tape (S&amp;P)'!R2681,
    IF(purpose="Purchase",1.00,
        IF(purpose="Remortgage",1.00,
            1.20)))</f>
        <v/>
      </c>
      <c r="L2681">
        <f>LET(
    arrears_months,'Loan Tape (S&amp;P)'!AN2681,
    IF(arrears_months=0,1.00,
    IF(arrears_months=1,3.00,
    IF(arrears_months=2,5.00,
    IF(arrears_months=3,8.00,
    IF(arrears_months=4,10.00,
    IF(arrears_months=5,12.00,15.00)))))))</f>
        <v/>
      </c>
      <c r="M2681">
        <f>LET(
    seasoning_years,DATEDIF('Loan Tape (S&amp;P)'!K2681,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81">
        <f>IF(AND('Loan Tape (S&amp;P)'!U2681="Yes",
        'Loan Tape (S&amp;P)'!T2681&lt;&gt;"Yes",
        DATEDIF('Loan Tape (S&amp;P)'!K2681, TODAY(), "M")&lt;18),
    1.10,
    1.00)</f>
        <v/>
      </c>
      <c r="O2681">
        <f>IF('Loan Tape (S&amp;P)'!T2681="Yes",
    1.35,
    1.00)</f>
        <v/>
      </c>
      <c r="P2681">
        <f>IF('Loan Tape (S&amp;P)'!S2681="Yes",
    1.15,
    1.00)</f>
        <v/>
      </c>
      <c r="Q2681">
        <f>IF('Loan Tape (S&amp;P)'!V2681="Yes",
    1.20,
    1.00)</f>
        <v/>
      </c>
      <c r="T2681">
        <f>LET(
    payment_method,'Loan Tape (S&amp;P)'!P2681,
    occupancy,'Loan Tape (S&amp;P)'!N2681,
    maturity_date,'Loan Tape (S&amp;P)'!L2681,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82">
      <c r="J2682">
        <f>LET(
    lien,'Loan Tape (S&amp;P)'!Q2682,
    IF(lien="First",1.00,
        IF(lien="Second",1.50,
            1.70)))</f>
        <v/>
      </c>
      <c r="K2682">
        <f>LET(
    purpose,'Loan Tape (S&amp;P)'!R2682,
    IF(purpose="Purchase",1.00,
        IF(purpose="Remortgage",1.00,
            1.20)))</f>
        <v/>
      </c>
      <c r="L2682">
        <f>LET(
    arrears_months,'Loan Tape (S&amp;P)'!AN2682,
    IF(arrears_months=0,1.00,
    IF(arrears_months=1,3.00,
    IF(arrears_months=2,5.00,
    IF(arrears_months=3,8.00,
    IF(arrears_months=4,10.00,
    IF(arrears_months=5,12.00,15.00)))))))</f>
        <v/>
      </c>
      <c r="M2682">
        <f>LET(
    seasoning_years,DATEDIF('Loan Tape (S&amp;P)'!K2682,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82">
        <f>IF(AND('Loan Tape (S&amp;P)'!U2682="Yes",
        'Loan Tape (S&amp;P)'!T2682&lt;&gt;"Yes",
        DATEDIF('Loan Tape (S&amp;P)'!K2682, TODAY(), "M")&lt;18),
    1.10,
    1.00)</f>
        <v/>
      </c>
      <c r="O2682">
        <f>IF('Loan Tape (S&amp;P)'!T2682="Yes",
    1.35,
    1.00)</f>
        <v/>
      </c>
      <c r="P2682">
        <f>IF('Loan Tape (S&amp;P)'!S2682="Yes",
    1.15,
    1.00)</f>
        <v/>
      </c>
      <c r="Q2682">
        <f>IF('Loan Tape (S&amp;P)'!V2682="Yes",
    1.20,
    1.00)</f>
        <v/>
      </c>
      <c r="T2682">
        <f>LET(
    payment_method,'Loan Tape (S&amp;P)'!P2682,
    occupancy,'Loan Tape (S&amp;P)'!N2682,
    maturity_date,'Loan Tape (S&amp;P)'!L2682,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83">
      <c r="J2683">
        <f>LET(
    lien,'Loan Tape (S&amp;P)'!Q2683,
    IF(lien="First",1.00,
        IF(lien="Second",1.50,
            1.70)))</f>
        <v/>
      </c>
      <c r="K2683">
        <f>LET(
    purpose,'Loan Tape (S&amp;P)'!R2683,
    IF(purpose="Purchase",1.00,
        IF(purpose="Remortgage",1.00,
            1.20)))</f>
        <v/>
      </c>
      <c r="L2683">
        <f>LET(
    arrears_months,'Loan Tape (S&amp;P)'!AN2683,
    IF(arrears_months=0,1.00,
    IF(arrears_months=1,3.00,
    IF(arrears_months=2,5.00,
    IF(arrears_months=3,8.00,
    IF(arrears_months=4,10.00,
    IF(arrears_months=5,12.00,15.00)))))))</f>
        <v/>
      </c>
      <c r="M2683">
        <f>LET(
    seasoning_years,DATEDIF('Loan Tape (S&amp;P)'!K2683,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83">
        <f>IF(AND('Loan Tape (S&amp;P)'!U2683="Yes",
        'Loan Tape (S&amp;P)'!T2683&lt;&gt;"Yes",
        DATEDIF('Loan Tape (S&amp;P)'!K2683, TODAY(), "M")&lt;18),
    1.10,
    1.00)</f>
        <v/>
      </c>
      <c r="O2683">
        <f>IF('Loan Tape (S&amp;P)'!T2683="Yes",
    1.35,
    1.00)</f>
        <v/>
      </c>
      <c r="P2683">
        <f>IF('Loan Tape (S&amp;P)'!S2683="Yes",
    1.15,
    1.00)</f>
        <v/>
      </c>
      <c r="Q2683">
        <f>IF('Loan Tape (S&amp;P)'!V2683="Yes",
    1.20,
    1.00)</f>
        <v/>
      </c>
      <c r="T2683">
        <f>LET(
    payment_method,'Loan Tape (S&amp;P)'!P2683,
    occupancy,'Loan Tape (S&amp;P)'!N2683,
    maturity_date,'Loan Tape (S&amp;P)'!L2683,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84">
      <c r="J2684">
        <f>LET(
    lien,'Loan Tape (S&amp;P)'!Q2684,
    IF(lien="First",1.00,
        IF(lien="Second",1.50,
            1.70)))</f>
        <v/>
      </c>
      <c r="K2684">
        <f>LET(
    purpose,'Loan Tape (S&amp;P)'!R2684,
    IF(purpose="Purchase",1.00,
        IF(purpose="Remortgage",1.00,
            1.20)))</f>
        <v/>
      </c>
      <c r="L2684">
        <f>LET(
    arrears_months,'Loan Tape (S&amp;P)'!AN2684,
    IF(arrears_months=0,1.00,
    IF(arrears_months=1,3.00,
    IF(arrears_months=2,5.00,
    IF(arrears_months=3,8.00,
    IF(arrears_months=4,10.00,
    IF(arrears_months=5,12.00,15.00)))))))</f>
        <v/>
      </c>
      <c r="M2684">
        <f>LET(
    seasoning_years,DATEDIF('Loan Tape (S&amp;P)'!K2684,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84">
        <f>IF(AND('Loan Tape (S&amp;P)'!U2684="Yes",
        'Loan Tape (S&amp;P)'!T2684&lt;&gt;"Yes",
        DATEDIF('Loan Tape (S&amp;P)'!K2684, TODAY(), "M")&lt;18),
    1.10,
    1.00)</f>
        <v/>
      </c>
      <c r="O2684">
        <f>IF('Loan Tape (S&amp;P)'!T2684="Yes",
    1.35,
    1.00)</f>
        <v/>
      </c>
      <c r="P2684">
        <f>IF('Loan Tape (S&amp;P)'!S2684="Yes",
    1.15,
    1.00)</f>
        <v/>
      </c>
      <c r="Q2684">
        <f>IF('Loan Tape (S&amp;P)'!V2684="Yes",
    1.20,
    1.00)</f>
        <v/>
      </c>
      <c r="T2684">
        <f>LET(
    payment_method,'Loan Tape (S&amp;P)'!P2684,
    occupancy,'Loan Tape (S&amp;P)'!N2684,
    maturity_date,'Loan Tape (S&amp;P)'!L2684,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85">
      <c r="J2685">
        <f>LET(
    lien,'Loan Tape (S&amp;P)'!Q2685,
    IF(lien="First",1.00,
        IF(lien="Second",1.50,
            1.70)))</f>
        <v/>
      </c>
      <c r="K2685">
        <f>LET(
    purpose,'Loan Tape (S&amp;P)'!R2685,
    IF(purpose="Purchase",1.00,
        IF(purpose="Remortgage",1.00,
            1.20)))</f>
        <v/>
      </c>
      <c r="L2685">
        <f>LET(
    arrears_months,'Loan Tape (S&amp;P)'!AN2685,
    IF(arrears_months=0,1.00,
    IF(arrears_months=1,3.00,
    IF(arrears_months=2,5.00,
    IF(arrears_months=3,8.00,
    IF(arrears_months=4,10.00,
    IF(arrears_months=5,12.00,15.00)))))))</f>
        <v/>
      </c>
      <c r="M2685">
        <f>LET(
    seasoning_years,DATEDIF('Loan Tape (S&amp;P)'!K2685,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85">
        <f>IF(AND('Loan Tape (S&amp;P)'!U2685="Yes",
        'Loan Tape (S&amp;P)'!T2685&lt;&gt;"Yes",
        DATEDIF('Loan Tape (S&amp;P)'!K2685, TODAY(), "M")&lt;18),
    1.10,
    1.00)</f>
        <v/>
      </c>
      <c r="O2685">
        <f>IF('Loan Tape (S&amp;P)'!T2685="Yes",
    1.35,
    1.00)</f>
        <v/>
      </c>
      <c r="P2685">
        <f>IF('Loan Tape (S&amp;P)'!S2685="Yes",
    1.15,
    1.00)</f>
        <v/>
      </c>
      <c r="Q2685">
        <f>IF('Loan Tape (S&amp;P)'!V2685="Yes",
    1.20,
    1.00)</f>
        <v/>
      </c>
      <c r="T2685">
        <f>LET(
    payment_method,'Loan Tape (S&amp;P)'!P2685,
    occupancy,'Loan Tape (S&amp;P)'!N2685,
    maturity_date,'Loan Tape (S&amp;P)'!L2685,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86">
      <c r="J2686">
        <f>LET(
    lien,'Loan Tape (S&amp;P)'!Q2686,
    IF(lien="First",1.00,
        IF(lien="Second",1.50,
            1.70)))</f>
        <v/>
      </c>
      <c r="K2686">
        <f>LET(
    purpose,'Loan Tape (S&amp;P)'!R2686,
    IF(purpose="Purchase",1.00,
        IF(purpose="Remortgage",1.00,
            1.20)))</f>
        <v/>
      </c>
      <c r="L2686">
        <f>LET(
    arrears_months,'Loan Tape (S&amp;P)'!AN2686,
    IF(arrears_months=0,1.00,
    IF(arrears_months=1,3.00,
    IF(arrears_months=2,5.00,
    IF(arrears_months=3,8.00,
    IF(arrears_months=4,10.00,
    IF(arrears_months=5,12.00,15.00)))))))</f>
        <v/>
      </c>
      <c r="M2686">
        <f>LET(
    seasoning_years,DATEDIF('Loan Tape (S&amp;P)'!K2686,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86">
        <f>IF(AND('Loan Tape (S&amp;P)'!U2686="Yes",
        'Loan Tape (S&amp;P)'!T2686&lt;&gt;"Yes",
        DATEDIF('Loan Tape (S&amp;P)'!K2686, TODAY(), "M")&lt;18),
    1.10,
    1.00)</f>
        <v/>
      </c>
      <c r="O2686">
        <f>IF('Loan Tape (S&amp;P)'!T2686="Yes",
    1.35,
    1.00)</f>
        <v/>
      </c>
      <c r="P2686">
        <f>IF('Loan Tape (S&amp;P)'!S2686="Yes",
    1.15,
    1.00)</f>
        <v/>
      </c>
      <c r="Q2686">
        <f>IF('Loan Tape (S&amp;P)'!V2686="Yes",
    1.20,
    1.00)</f>
        <v/>
      </c>
      <c r="T2686">
        <f>LET(
    payment_method,'Loan Tape (S&amp;P)'!P2686,
    occupancy,'Loan Tape (S&amp;P)'!N2686,
    maturity_date,'Loan Tape (S&amp;P)'!L2686,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87">
      <c r="J2687">
        <f>LET(
    lien,'Loan Tape (S&amp;P)'!Q2687,
    IF(lien="First",1.00,
        IF(lien="Second",1.50,
            1.70)))</f>
        <v/>
      </c>
      <c r="K2687">
        <f>LET(
    purpose,'Loan Tape (S&amp;P)'!R2687,
    IF(purpose="Purchase",1.00,
        IF(purpose="Remortgage",1.00,
            1.20)))</f>
        <v/>
      </c>
      <c r="L2687">
        <f>LET(
    arrears_months,'Loan Tape (S&amp;P)'!AN2687,
    IF(arrears_months=0,1.00,
    IF(arrears_months=1,3.00,
    IF(arrears_months=2,5.00,
    IF(arrears_months=3,8.00,
    IF(arrears_months=4,10.00,
    IF(arrears_months=5,12.00,15.00)))))))</f>
        <v/>
      </c>
      <c r="M2687">
        <f>LET(
    seasoning_years,DATEDIF('Loan Tape (S&amp;P)'!K2687,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87">
        <f>IF(AND('Loan Tape (S&amp;P)'!U2687="Yes",
        'Loan Tape (S&amp;P)'!T2687&lt;&gt;"Yes",
        DATEDIF('Loan Tape (S&amp;P)'!K2687, TODAY(), "M")&lt;18),
    1.10,
    1.00)</f>
        <v/>
      </c>
      <c r="O2687">
        <f>IF('Loan Tape (S&amp;P)'!T2687="Yes",
    1.35,
    1.00)</f>
        <v/>
      </c>
      <c r="P2687">
        <f>IF('Loan Tape (S&amp;P)'!S2687="Yes",
    1.15,
    1.00)</f>
        <v/>
      </c>
      <c r="Q2687">
        <f>IF('Loan Tape (S&amp;P)'!V2687="Yes",
    1.20,
    1.00)</f>
        <v/>
      </c>
      <c r="T2687">
        <f>LET(
    payment_method,'Loan Tape (S&amp;P)'!P2687,
    occupancy,'Loan Tape (S&amp;P)'!N2687,
    maturity_date,'Loan Tape (S&amp;P)'!L2687,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88">
      <c r="J2688">
        <f>LET(
    lien,'Loan Tape (S&amp;P)'!Q2688,
    IF(lien="First",1.00,
        IF(lien="Second",1.50,
            1.70)))</f>
        <v/>
      </c>
      <c r="K2688">
        <f>LET(
    purpose,'Loan Tape (S&amp;P)'!R2688,
    IF(purpose="Purchase",1.00,
        IF(purpose="Remortgage",1.00,
            1.20)))</f>
        <v/>
      </c>
      <c r="L2688">
        <f>LET(
    arrears_months,'Loan Tape (S&amp;P)'!AN2688,
    IF(arrears_months=0,1.00,
    IF(arrears_months=1,3.00,
    IF(arrears_months=2,5.00,
    IF(arrears_months=3,8.00,
    IF(arrears_months=4,10.00,
    IF(arrears_months=5,12.00,15.00)))))))</f>
        <v/>
      </c>
      <c r="M2688">
        <f>LET(
    seasoning_years,DATEDIF('Loan Tape (S&amp;P)'!K2688,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88">
        <f>IF(AND('Loan Tape (S&amp;P)'!U2688="Yes",
        'Loan Tape (S&amp;P)'!T2688&lt;&gt;"Yes",
        DATEDIF('Loan Tape (S&amp;P)'!K2688, TODAY(), "M")&lt;18),
    1.10,
    1.00)</f>
        <v/>
      </c>
      <c r="O2688">
        <f>IF('Loan Tape (S&amp;P)'!T2688="Yes",
    1.35,
    1.00)</f>
        <v/>
      </c>
      <c r="P2688">
        <f>IF('Loan Tape (S&amp;P)'!S2688="Yes",
    1.15,
    1.00)</f>
        <v/>
      </c>
      <c r="Q2688">
        <f>IF('Loan Tape (S&amp;P)'!V2688="Yes",
    1.20,
    1.00)</f>
        <v/>
      </c>
      <c r="T2688">
        <f>LET(
    payment_method,'Loan Tape (S&amp;P)'!P2688,
    occupancy,'Loan Tape (S&amp;P)'!N2688,
    maturity_date,'Loan Tape (S&amp;P)'!L2688,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89">
      <c r="J2689">
        <f>LET(
    lien,'Loan Tape (S&amp;P)'!Q2689,
    IF(lien="First",1.00,
        IF(lien="Second",1.50,
            1.70)))</f>
        <v/>
      </c>
      <c r="K2689">
        <f>LET(
    purpose,'Loan Tape (S&amp;P)'!R2689,
    IF(purpose="Purchase",1.00,
        IF(purpose="Remortgage",1.00,
            1.20)))</f>
        <v/>
      </c>
      <c r="L2689">
        <f>LET(
    arrears_months,'Loan Tape (S&amp;P)'!AN2689,
    IF(arrears_months=0,1.00,
    IF(arrears_months=1,3.00,
    IF(arrears_months=2,5.00,
    IF(arrears_months=3,8.00,
    IF(arrears_months=4,10.00,
    IF(arrears_months=5,12.00,15.00)))))))</f>
        <v/>
      </c>
      <c r="M2689">
        <f>LET(
    seasoning_years,DATEDIF('Loan Tape (S&amp;P)'!K2689,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89">
        <f>IF(AND('Loan Tape (S&amp;P)'!U2689="Yes",
        'Loan Tape (S&amp;P)'!T2689&lt;&gt;"Yes",
        DATEDIF('Loan Tape (S&amp;P)'!K2689, TODAY(), "M")&lt;18),
    1.10,
    1.00)</f>
        <v/>
      </c>
      <c r="O2689">
        <f>IF('Loan Tape (S&amp;P)'!T2689="Yes",
    1.35,
    1.00)</f>
        <v/>
      </c>
      <c r="P2689">
        <f>IF('Loan Tape (S&amp;P)'!S2689="Yes",
    1.15,
    1.00)</f>
        <v/>
      </c>
      <c r="Q2689">
        <f>IF('Loan Tape (S&amp;P)'!V2689="Yes",
    1.20,
    1.00)</f>
        <v/>
      </c>
      <c r="T2689">
        <f>LET(
    payment_method,'Loan Tape (S&amp;P)'!P2689,
    occupancy,'Loan Tape (S&amp;P)'!N2689,
    maturity_date,'Loan Tape (S&amp;P)'!L2689,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90">
      <c r="J2690">
        <f>LET(
    lien,'Loan Tape (S&amp;P)'!Q2690,
    IF(lien="First",1.00,
        IF(lien="Second",1.50,
            1.70)))</f>
        <v/>
      </c>
      <c r="K2690">
        <f>LET(
    purpose,'Loan Tape (S&amp;P)'!R2690,
    IF(purpose="Purchase",1.00,
        IF(purpose="Remortgage",1.00,
            1.20)))</f>
        <v/>
      </c>
      <c r="L2690">
        <f>LET(
    arrears_months,'Loan Tape (S&amp;P)'!AN2690,
    IF(arrears_months=0,1.00,
    IF(arrears_months=1,3.00,
    IF(arrears_months=2,5.00,
    IF(arrears_months=3,8.00,
    IF(arrears_months=4,10.00,
    IF(arrears_months=5,12.00,15.00)))))))</f>
        <v/>
      </c>
      <c r="M2690">
        <f>LET(
    seasoning_years,DATEDIF('Loan Tape (S&amp;P)'!K2690,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90">
        <f>IF(AND('Loan Tape (S&amp;P)'!U2690="Yes",
        'Loan Tape (S&amp;P)'!T2690&lt;&gt;"Yes",
        DATEDIF('Loan Tape (S&amp;P)'!K2690, TODAY(), "M")&lt;18),
    1.10,
    1.00)</f>
        <v/>
      </c>
      <c r="O2690">
        <f>IF('Loan Tape (S&amp;P)'!T2690="Yes",
    1.35,
    1.00)</f>
        <v/>
      </c>
      <c r="P2690">
        <f>IF('Loan Tape (S&amp;P)'!S2690="Yes",
    1.15,
    1.00)</f>
        <v/>
      </c>
      <c r="Q2690">
        <f>IF('Loan Tape (S&amp;P)'!V2690="Yes",
    1.20,
    1.00)</f>
        <v/>
      </c>
      <c r="T2690">
        <f>LET(
    payment_method,'Loan Tape (S&amp;P)'!P2690,
    occupancy,'Loan Tape (S&amp;P)'!N2690,
    maturity_date,'Loan Tape (S&amp;P)'!L2690,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91">
      <c r="J2691">
        <f>LET(
    lien,'Loan Tape (S&amp;P)'!Q2691,
    IF(lien="First",1.00,
        IF(lien="Second",1.50,
            1.70)))</f>
        <v/>
      </c>
      <c r="K2691">
        <f>LET(
    purpose,'Loan Tape (S&amp;P)'!R2691,
    IF(purpose="Purchase",1.00,
        IF(purpose="Remortgage",1.00,
            1.20)))</f>
        <v/>
      </c>
      <c r="L2691">
        <f>LET(
    arrears_months,'Loan Tape (S&amp;P)'!AN2691,
    IF(arrears_months=0,1.00,
    IF(arrears_months=1,3.00,
    IF(arrears_months=2,5.00,
    IF(arrears_months=3,8.00,
    IF(arrears_months=4,10.00,
    IF(arrears_months=5,12.00,15.00)))))))</f>
        <v/>
      </c>
      <c r="M2691">
        <f>LET(
    seasoning_years,DATEDIF('Loan Tape (S&amp;P)'!K2691,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91">
        <f>IF(AND('Loan Tape (S&amp;P)'!U2691="Yes",
        'Loan Tape (S&amp;P)'!T2691&lt;&gt;"Yes",
        DATEDIF('Loan Tape (S&amp;P)'!K2691, TODAY(), "M")&lt;18),
    1.10,
    1.00)</f>
        <v/>
      </c>
      <c r="O2691">
        <f>IF('Loan Tape (S&amp;P)'!T2691="Yes",
    1.35,
    1.00)</f>
        <v/>
      </c>
      <c r="P2691">
        <f>IF('Loan Tape (S&amp;P)'!S2691="Yes",
    1.15,
    1.00)</f>
        <v/>
      </c>
      <c r="Q2691">
        <f>IF('Loan Tape (S&amp;P)'!V2691="Yes",
    1.20,
    1.00)</f>
        <v/>
      </c>
      <c r="T2691">
        <f>LET(
    payment_method,'Loan Tape (S&amp;P)'!P2691,
    occupancy,'Loan Tape (S&amp;P)'!N2691,
    maturity_date,'Loan Tape (S&amp;P)'!L2691,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92">
      <c r="J2692">
        <f>LET(
    lien,'Loan Tape (S&amp;P)'!Q2692,
    IF(lien="First",1.00,
        IF(lien="Second",1.50,
            1.70)))</f>
        <v/>
      </c>
      <c r="K2692">
        <f>LET(
    purpose,'Loan Tape (S&amp;P)'!R2692,
    IF(purpose="Purchase",1.00,
        IF(purpose="Remortgage",1.00,
            1.20)))</f>
        <v/>
      </c>
      <c r="L2692">
        <f>LET(
    arrears_months,'Loan Tape (S&amp;P)'!AN2692,
    IF(arrears_months=0,1.00,
    IF(arrears_months=1,3.00,
    IF(arrears_months=2,5.00,
    IF(arrears_months=3,8.00,
    IF(arrears_months=4,10.00,
    IF(arrears_months=5,12.00,15.00)))))))</f>
        <v/>
      </c>
      <c r="M2692">
        <f>LET(
    seasoning_years,DATEDIF('Loan Tape (S&amp;P)'!K2692,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92">
        <f>IF(AND('Loan Tape (S&amp;P)'!U2692="Yes",
        'Loan Tape (S&amp;P)'!T2692&lt;&gt;"Yes",
        DATEDIF('Loan Tape (S&amp;P)'!K2692, TODAY(), "M")&lt;18),
    1.10,
    1.00)</f>
        <v/>
      </c>
      <c r="O2692">
        <f>IF('Loan Tape (S&amp;P)'!T2692="Yes",
    1.35,
    1.00)</f>
        <v/>
      </c>
      <c r="P2692">
        <f>IF('Loan Tape (S&amp;P)'!S2692="Yes",
    1.15,
    1.00)</f>
        <v/>
      </c>
      <c r="Q2692">
        <f>IF('Loan Tape (S&amp;P)'!V2692="Yes",
    1.20,
    1.00)</f>
        <v/>
      </c>
      <c r="T2692">
        <f>LET(
    payment_method,'Loan Tape (S&amp;P)'!P2692,
    occupancy,'Loan Tape (S&amp;P)'!N2692,
    maturity_date,'Loan Tape (S&amp;P)'!L2692,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93">
      <c r="J2693">
        <f>LET(
    lien,'Loan Tape (S&amp;P)'!Q2693,
    IF(lien="First",1.00,
        IF(lien="Second",1.50,
            1.70)))</f>
        <v/>
      </c>
      <c r="K2693">
        <f>LET(
    purpose,'Loan Tape (S&amp;P)'!R2693,
    IF(purpose="Purchase",1.00,
        IF(purpose="Remortgage",1.00,
            1.20)))</f>
        <v/>
      </c>
      <c r="L2693">
        <f>LET(
    arrears_months,'Loan Tape (S&amp;P)'!AN2693,
    IF(arrears_months=0,1.00,
    IF(arrears_months=1,3.00,
    IF(arrears_months=2,5.00,
    IF(arrears_months=3,8.00,
    IF(arrears_months=4,10.00,
    IF(arrears_months=5,12.00,15.00)))))))</f>
        <v/>
      </c>
      <c r="M2693">
        <f>LET(
    seasoning_years,DATEDIF('Loan Tape (S&amp;P)'!K2693,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93">
        <f>IF(AND('Loan Tape (S&amp;P)'!U2693="Yes",
        'Loan Tape (S&amp;P)'!T2693&lt;&gt;"Yes",
        DATEDIF('Loan Tape (S&amp;P)'!K2693, TODAY(), "M")&lt;18),
    1.10,
    1.00)</f>
        <v/>
      </c>
      <c r="O2693">
        <f>IF('Loan Tape (S&amp;P)'!T2693="Yes",
    1.35,
    1.00)</f>
        <v/>
      </c>
      <c r="P2693">
        <f>IF('Loan Tape (S&amp;P)'!S2693="Yes",
    1.15,
    1.00)</f>
        <v/>
      </c>
      <c r="Q2693">
        <f>IF('Loan Tape (S&amp;P)'!V2693="Yes",
    1.20,
    1.00)</f>
        <v/>
      </c>
      <c r="T2693">
        <f>LET(
    payment_method,'Loan Tape (S&amp;P)'!P2693,
    occupancy,'Loan Tape (S&amp;P)'!N2693,
    maturity_date,'Loan Tape (S&amp;P)'!L2693,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94">
      <c r="J2694">
        <f>LET(
    lien,'Loan Tape (S&amp;P)'!Q2694,
    IF(lien="First",1.00,
        IF(lien="Second",1.50,
            1.70)))</f>
        <v/>
      </c>
      <c r="K2694">
        <f>LET(
    purpose,'Loan Tape (S&amp;P)'!R2694,
    IF(purpose="Purchase",1.00,
        IF(purpose="Remortgage",1.00,
            1.20)))</f>
        <v/>
      </c>
      <c r="L2694">
        <f>LET(
    arrears_months,'Loan Tape (S&amp;P)'!AN2694,
    IF(arrears_months=0,1.00,
    IF(arrears_months=1,3.00,
    IF(arrears_months=2,5.00,
    IF(arrears_months=3,8.00,
    IF(arrears_months=4,10.00,
    IF(arrears_months=5,12.00,15.00)))))))</f>
        <v/>
      </c>
      <c r="M2694">
        <f>LET(
    seasoning_years,DATEDIF('Loan Tape (S&amp;P)'!K2694,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94">
        <f>IF(AND('Loan Tape (S&amp;P)'!U2694="Yes",
        'Loan Tape (S&amp;P)'!T2694&lt;&gt;"Yes",
        DATEDIF('Loan Tape (S&amp;P)'!K2694, TODAY(), "M")&lt;18),
    1.10,
    1.00)</f>
        <v/>
      </c>
      <c r="O2694">
        <f>IF('Loan Tape (S&amp;P)'!T2694="Yes",
    1.35,
    1.00)</f>
        <v/>
      </c>
      <c r="P2694">
        <f>IF('Loan Tape (S&amp;P)'!S2694="Yes",
    1.15,
    1.00)</f>
        <v/>
      </c>
      <c r="Q2694">
        <f>IF('Loan Tape (S&amp;P)'!V2694="Yes",
    1.20,
    1.00)</f>
        <v/>
      </c>
      <c r="T2694">
        <f>LET(
    payment_method,'Loan Tape (S&amp;P)'!P2694,
    occupancy,'Loan Tape (S&amp;P)'!N2694,
    maturity_date,'Loan Tape (S&amp;P)'!L2694,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95">
      <c r="J2695">
        <f>LET(
    lien,'Loan Tape (S&amp;P)'!Q2695,
    IF(lien="First",1.00,
        IF(lien="Second",1.50,
            1.70)))</f>
        <v/>
      </c>
      <c r="K2695">
        <f>LET(
    purpose,'Loan Tape (S&amp;P)'!R2695,
    IF(purpose="Purchase",1.00,
        IF(purpose="Remortgage",1.00,
            1.20)))</f>
        <v/>
      </c>
      <c r="L2695">
        <f>LET(
    arrears_months,'Loan Tape (S&amp;P)'!AN2695,
    IF(arrears_months=0,1.00,
    IF(arrears_months=1,3.00,
    IF(arrears_months=2,5.00,
    IF(arrears_months=3,8.00,
    IF(arrears_months=4,10.00,
    IF(arrears_months=5,12.00,15.00)))))))</f>
        <v/>
      </c>
      <c r="M2695">
        <f>LET(
    seasoning_years,DATEDIF('Loan Tape (S&amp;P)'!K2695,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95">
        <f>IF(AND('Loan Tape (S&amp;P)'!U2695="Yes",
        'Loan Tape (S&amp;P)'!T2695&lt;&gt;"Yes",
        DATEDIF('Loan Tape (S&amp;P)'!K2695, TODAY(), "M")&lt;18),
    1.10,
    1.00)</f>
        <v/>
      </c>
      <c r="O2695">
        <f>IF('Loan Tape (S&amp;P)'!T2695="Yes",
    1.35,
    1.00)</f>
        <v/>
      </c>
      <c r="P2695">
        <f>IF('Loan Tape (S&amp;P)'!S2695="Yes",
    1.15,
    1.00)</f>
        <v/>
      </c>
      <c r="Q2695">
        <f>IF('Loan Tape (S&amp;P)'!V2695="Yes",
    1.20,
    1.00)</f>
        <v/>
      </c>
      <c r="T2695">
        <f>LET(
    payment_method,'Loan Tape (S&amp;P)'!P2695,
    occupancy,'Loan Tape (S&amp;P)'!N2695,
    maturity_date,'Loan Tape (S&amp;P)'!L2695,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96">
      <c r="J2696">
        <f>LET(
    lien,'Loan Tape (S&amp;P)'!Q2696,
    IF(lien="First",1.00,
        IF(lien="Second",1.50,
            1.70)))</f>
        <v/>
      </c>
      <c r="K2696">
        <f>LET(
    purpose,'Loan Tape (S&amp;P)'!R2696,
    IF(purpose="Purchase",1.00,
        IF(purpose="Remortgage",1.00,
            1.20)))</f>
        <v/>
      </c>
      <c r="L2696">
        <f>LET(
    arrears_months,'Loan Tape (S&amp;P)'!AN2696,
    IF(arrears_months=0,1.00,
    IF(arrears_months=1,3.00,
    IF(arrears_months=2,5.00,
    IF(arrears_months=3,8.00,
    IF(arrears_months=4,10.00,
    IF(arrears_months=5,12.00,15.00)))))))</f>
        <v/>
      </c>
      <c r="M2696">
        <f>LET(
    seasoning_years,DATEDIF('Loan Tape (S&amp;P)'!K2696,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96">
        <f>IF(AND('Loan Tape (S&amp;P)'!U2696="Yes",
        'Loan Tape (S&amp;P)'!T2696&lt;&gt;"Yes",
        DATEDIF('Loan Tape (S&amp;P)'!K2696, TODAY(), "M")&lt;18),
    1.10,
    1.00)</f>
        <v/>
      </c>
      <c r="O2696">
        <f>IF('Loan Tape (S&amp;P)'!T2696="Yes",
    1.35,
    1.00)</f>
        <v/>
      </c>
      <c r="P2696">
        <f>IF('Loan Tape (S&amp;P)'!S2696="Yes",
    1.15,
    1.00)</f>
        <v/>
      </c>
      <c r="Q2696">
        <f>IF('Loan Tape (S&amp;P)'!V2696="Yes",
    1.20,
    1.00)</f>
        <v/>
      </c>
      <c r="T2696">
        <f>LET(
    payment_method,'Loan Tape (S&amp;P)'!P2696,
    occupancy,'Loan Tape (S&amp;P)'!N2696,
    maturity_date,'Loan Tape (S&amp;P)'!L2696,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97">
      <c r="J2697">
        <f>LET(
    lien,'Loan Tape (S&amp;P)'!Q2697,
    IF(lien="First",1.00,
        IF(lien="Second",1.50,
            1.70)))</f>
        <v/>
      </c>
      <c r="K2697">
        <f>LET(
    purpose,'Loan Tape (S&amp;P)'!R2697,
    IF(purpose="Purchase",1.00,
        IF(purpose="Remortgage",1.00,
            1.20)))</f>
        <v/>
      </c>
      <c r="L2697">
        <f>LET(
    arrears_months,'Loan Tape (S&amp;P)'!AN2697,
    IF(arrears_months=0,1.00,
    IF(arrears_months=1,3.00,
    IF(arrears_months=2,5.00,
    IF(arrears_months=3,8.00,
    IF(arrears_months=4,10.00,
    IF(arrears_months=5,12.00,15.00)))))))</f>
        <v/>
      </c>
      <c r="M2697">
        <f>LET(
    seasoning_years,DATEDIF('Loan Tape (S&amp;P)'!K2697,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97">
        <f>IF(AND('Loan Tape (S&amp;P)'!U2697="Yes",
        'Loan Tape (S&amp;P)'!T2697&lt;&gt;"Yes",
        DATEDIF('Loan Tape (S&amp;P)'!K2697, TODAY(), "M")&lt;18),
    1.10,
    1.00)</f>
        <v/>
      </c>
      <c r="O2697">
        <f>IF('Loan Tape (S&amp;P)'!T2697="Yes",
    1.35,
    1.00)</f>
        <v/>
      </c>
      <c r="P2697">
        <f>IF('Loan Tape (S&amp;P)'!S2697="Yes",
    1.15,
    1.00)</f>
        <v/>
      </c>
      <c r="Q2697">
        <f>IF('Loan Tape (S&amp;P)'!V2697="Yes",
    1.20,
    1.00)</f>
        <v/>
      </c>
      <c r="T2697">
        <f>LET(
    payment_method,'Loan Tape (S&amp;P)'!P2697,
    occupancy,'Loan Tape (S&amp;P)'!N2697,
    maturity_date,'Loan Tape (S&amp;P)'!L2697,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98">
      <c r="J2698">
        <f>LET(
    lien,'Loan Tape (S&amp;P)'!Q2698,
    IF(lien="First",1.00,
        IF(lien="Second",1.50,
            1.70)))</f>
        <v/>
      </c>
      <c r="K2698">
        <f>LET(
    purpose,'Loan Tape (S&amp;P)'!R2698,
    IF(purpose="Purchase",1.00,
        IF(purpose="Remortgage",1.00,
            1.20)))</f>
        <v/>
      </c>
      <c r="L2698">
        <f>LET(
    arrears_months,'Loan Tape (S&amp;P)'!AN2698,
    IF(arrears_months=0,1.00,
    IF(arrears_months=1,3.00,
    IF(arrears_months=2,5.00,
    IF(arrears_months=3,8.00,
    IF(arrears_months=4,10.00,
    IF(arrears_months=5,12.00,15.00)))))))</f>
        <v/>
      </c>
      <c r="M2698">
        <f>LET(
    seasoning_years,DATEDIF('Loan Tape (S&amp;P)'!K2698,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98">
        <f>IF(AND('Loan Tape (S&amp;P)'!U2698="Yes",
        'Loan Tape (S&amp;P)'!T2698&lt;&gt;"Yes",
        DATEDIF('Loan Tape (S&amp;P)'!K2698, TODAY(), "M")&lt;18),
    1.10,
    1.00)</f>
        <v/>
      </c>
      <c r="O2698">
        <f>IF('Loan Tape (S&amp;P)'!T2698="Yes",
    1.35,
    1.00)</f>
        <v/>
      </c>
      <c r="P2698">
        <f>IF('Loan Tape (S&amp;P)'!S2698="Yes",
    1.15,
    1.00)</f>
        <v/>
      </c>
      <c r="Q2698">
        <f>IF('Loan Tape (S&amp;P)'!V2698="Yes",
    1.20,
    1.00)</f>
        <v/>
      </c>
      <c r="T2698">
        <f>LET(
    payment_method,'Loan Tape (S&amp;P)'!P2698,
    occupancy,'Loan Tape (S&amp;P)'!N2698,
    maturity_date,'Loan Tape (S&amp;P)'!L2698,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699">
      <c r="J2699">
        <f>LET(
    lien,'Loan Tape (S&amp;P)'!Q2699,
    IF(lien="First",1.00,
        IF(lien="Second",1.50,
            1.70)))</f>
        <v/>
      </c>
      <c r="K2699">
        <f>LET(
    purpose,'Loan Tape (S&amp;P)'!R2699,
    IF(purpose="Purchase",1.00,
        IF(purpose="Remortgage",1.00,
            1.20)))</f>
        <v/>
      </c>
      <c r="L2699">
        <f>LET(
    arrears_months,'Loan Tape (S&amp;P)'!AN2699,
    IF(arrears_months=0,1.00,
    IF(arrears_months=1,3.00,
    IF(arrears_months=2,5.00,
    IF(arrears_months=3,8.00,
    IF(arrears_months=4,10.00,
    IF(arrears_months=5,12.00,15.00)))))))</f>
        <v/>
      </c>
      <c r="M2699">
        <f>LET(
    seasoning_years,DATEDIF('Loan Tape (S&amp;P)'!K2699,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699">
        <f>IF(AND('Loan Tape (S&amp;P)'!U2699="Yes",
        'Loan Tape (S&amp;P)'!T2699&lt;&gt;"Yes",
        DATEDIF('Loan Tape (S&amp;P)'!K2699, TODAY(), "M")&lt;18),
    1.10,
    1.00)</f>
        <v/>
      </c>
      <c r="O2699">
        <f>IF('Loan Tape (S&amp;P)'!T2699="Yes",
    1.35,
    1.00)</f>
        <v/>
      </c>
      <c r="P2699">
        <f>IF('Loan Tape (S&amp;P)'!S2699="Yes",
    1.15,
    1.00)</f>
        <v/>
      </c>
      <c r="Q2699">
        <f>IF('Loan Tape (S&amp;P)'!V2699="Yes",
    1.20,
    1.00)</f>
        <v/>
      </c>
      <c r="T2699">
        <f>LET(
    payment_method,'Loan Tape (S&amp;P)'!P2699,
    occupancy,'Loan Tape (S&amp;P)'!N2699,
    maturity_date,'Loan Tape (S&amp;P)'!L2699,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00">
      <c r="J2700">
        <f>LET(
    lien,'Loan Tape (S&amp;P)'!Q2700,
    IF(lien="First",1.00,
        IF(lien="Second",1.50,
            1.70)))</f>
        <v/>
      </c>
      <c r="K2700">
        <f>LET(
    purpose,'Loan Tape (S&amp;P)'!R2700,
    IF(purpose="Purchase",1.00,
        IF(purpose="Remortgage",1.00,
            1.20)))</f>
        <v/>
      </c>
      <c r="L2700">
        <f>LET(
    arrears_months,'Loan Tape (S&amp;P)'!AN2700,
    IF(arrears_months=0,1.00,
    IF(arrears_months=1,3.00,
    IF(arrears_months=2,5.00,
    IF(arrears_months=3,8.00,
    IF(arrears_months=4,10.00,
    IF(arrears_months=5,12.00,15.00)))))))</f>
        <v/>
      </c>
      <c r="M2700">
        <f>LET(
    seasoning_years,DATEDIF('Loan Tape (S&amp;P)'!K2700,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00">
        <f>IF(AND('Loan Tape (S&amp;P)'!U2700="Yes",
        'Loan Tape (S&amp;P)'!T2700&lt;&gt;"Yes",
        DATEDIF('Loan Tape (S&amp;P)'!K2700, TODAY(), "M")&lt;18),
    1.10,
    1.00)</f>
        <v/>
      </c>
      <c r="O2700">
        <f>IF('Loan Tape (S&amp;P)'!T2700="Yes",
    1.35,
    1.00)</f>
        <v/>
      </c>
      <c r="P2700">
        <f>IF('Loan Tape (S&amp;P)'!S2700="Yes",
    1.15,
    1.00)</f>
        <v/>
      </c>
      <c r="Q2700">
        <f>IF('Loan Tape (S&amp;P)'!V2700="Yes",
    1.20,
    1.00)</f>
        <v/>
      </c>
      <c r="T2700">
        <f>LET(
    payment_method,'Loan Tape (S&amp;P)'!P2700,
    occupancy,'Loan Tape (S&amp;P)'!N2700,
    maturity_date,'Loan Tape (S&amp;P)'!L2700,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01">
      <c r="J2701">
        <f>LET(
    lien,'Loan Tape (S&amp;P)'!Q2701,
    IF(lien="First",1.00,
        IF(lien="Second",1.50,
            1.70)))</f>
        <v/>
      </c>
      <c r="K2701">
        <f>LET(
    purpose,'Loan Tape (S&amp;P)'!R2701,
    IF(purpose="Purchase",1.00,
        IF(purpose="Remortgage",1.00,
            1.20)))</f>
        <v/>
      </c>
      <c r="L2701">
        <f>LET(
    arrears_months,'Loan Tape (S&amp;P)'!AN2701,
    IF(arrears_months=0,1.00,
    IF(arrears_months=1,3.00,
    IF(arrears_months=2,5.00,
    IF(arrears_months=3,8.00,
    IF(arrears_months=4,10.00,
    IF(arrears_months=5,12.00,15.00)))))))</f>
        <v/>
      </c>
      <c r="M2701">
        <f>LET(
    seasoning_years,DATEDIF('Loan Tape (S&amp;P)'!K2701,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01">
        <f>IF(AND('Loan Tape (S&amp;P)'!U2701="Yes",
        'Loan Tape (S&amp;P)'!T2701&lt;&gt;"Yes",
        DATEDIF('Loan Tape (S&amp;P)'!K2701, TODAY(), "M")&lt;18),
    1.10,
    1.00)</f>
        <v/>
      </c>
      <c r="O2701">
        <f>IF('Loan Tape (S&amp;P)'!T2701="Yes",
    1.35,
    1.00)</f>
        <v/>
      </c>
      <c r="P2701">
        <f>IF('Loan Tape (S&amp;P)'!S2701="Yes",
    1.15,
    1.00)</f>
        <v/>
      </c>
      <c r="Q2701">
        <f>IF('Loan Tape (S&amp;P)'!V2701="Yes",
    1.20,
    1.00)</f>
        <v/>
      </c>
      <c r="T2701">
        <f>LET(
    payment_method,'Loan Tape (S&amp;P)'!P2701,
    occupancy,'Loan Tape (S&amp;P)'!N2701,
    maturity_date,'Loan Tape (S&amp;P)'!L2701,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02">
      <c r="J2702">
        <f>LET(
    lien,'Loan Tape (S&amp;P)'!Q2702,
    IF(lien="First",1.00,
        IF(lien="Second",1.50,
            1.70)))</f>
        <v/>
      </c>
      <c r="K2702">
        <f>LET(
    purpose,'Loan Tape (S&amp;P)'!R2702,
    IF(purpose="Purchase",1.00,
        IF(purpose="Remortgage",1.00,
            1.20)))</f>
        <v/>
      </c>
      <c r="L2702">
        <f>LET(
    arrears_months,'Loan Tape (S&amp;P)'!AN2702,
    IF(arrears_months=0,1.00,
    IF(arrears_months=1,3.00,
    IF(arrears_months=2,5.00,
    IF(arrears_months=3,8.00,
    IF(arrears_months=4,10.00,
    IF(arrears_months=5,12.00,15.00)))))))</f>
        <v/>
      </c>
      <c r="M2702">
        <f>LET(
    seasoning_years,DATEDIF('Loan Tape (S&amp;P)'!K2702,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02">
        <f>IF(AND('Loan Tape (S&amp;P)'!U2702="Yes",
        'Loan Tape (S&amp;P)'!T2702&lt;&gt;"Yes",
        DATEDIF('Loan Tape (S&amp;P)'!K2702, TODAY(), "M")&lt;18),
    1.10,
    1.00)</f>
        <v/>
      </c>
      <c r="O2702">
        <f>IF('Loan Tape (S&amp;P)'!T2702="Yes",
    1.35,
    1.00)</f>
        <v/>
      </c>
      <c r="P2702">
        <f>IF('Loan Tape (S&amp;P)'!S2702="Yes",
    1.15,
    1.00)</f>
        <v/>
      </c>
      <c r="Q2702">
        <f>IF('Loan Tape (S&amp;P)'!V2702="Yes",
    1.20,
    1.00)</f>
        <v/>
      </c>
      <c r="T2702">
        <f>LET(
    payment_method,'Loan Tape (S&amp;P)'!P2702,
    occupancy,'Loan Tape (S&amp;P)'!N2702,
    maturity_date,'Loan Tape (S&amp;P)'!L2702,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03">
      <c r="J2703">
        <f>LET(
    lien,'Loan Tape (S&amp;P)'!Q2703,
    IF(lien="First",1.00,
        IF(lien="Second",1.50,
            1.70)))</f>
        <v/>
      </c>
      <c r="K2703">
        <f>LET(
    purpose,'Loan Tape (S&amp;P)'!R2703,
    IF(purpose="Purchase",1.00,
        IF(purpose="Remortgage",1.00,
            1.20)))</f>
        <v/>
      </c>
      <c r="L2703">
        <f>LET(
    arrears_months,'Loan Tape (S&amp;P)'!AN2703,
    IF(arrears_months=0,1.00,
    IF(arrears_months=1,3.00,
    IF(arrears_months=2,5.00,
    IF(arrears_months=3,8.00,
    IF(arrears_months=4,10.00,
    IF(arrears_months=5,12.00,15.00)))))))</f>
        <v/>
      </c>
      <c r="M2703">
        <f>LET(
    seasoning_years,DATEDIF('Loan Tape (S&amp;P)'!K2703,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03">
        <f>IF(AND('Loan Tape (S&amp;P)'!U2703="Yes",
        'Loan Tape (S&amp;P)'!T2703&lt;&gt;"Yes",
        DATEDIF('Loan Tape (S&amp;P)'!K2703, TODAY(), "M")&lt;18),
    1.10,
    1.00)</f>
        <v/>
      </c>
      <c r="O2703">
        <f>IF('Loan Tape (S&amp;P)'!T2703="Yes",
    1.35,
    1.00)</f>
        <v/>
      </c>
      <c r="P2703">
        <f>IF('Loan Tape (S&amp;P)'!S2703="Yes",
    1.15,
    1.00)</f>
        <v/>
      </c>
      <c r="Q2703">
        <f>IF('Loan Tape (S&amp;P)'!V2703="Yes",
    1.20,
    1.00)</f>
        <v/>
      </c>
      <c r="T2703">
        <f>LET(
    payment_method,'Loan Tape (S&amp;P)'!P2703,
    occupancy,'Loan Tape (S&amp;P)'!N2703,
    maturity_date,'Loan Tape (S&amp;P)'!L2703,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04">
      <c r="J2704">
        <f>LET(
    lien,'Loan Tape (S&amp;P)'!Q2704,
    IF(lien="First",1.00,
        IF(lien="Second",1.50,
            1.70)))</f>
        <v/>
      </c>
      <c r="K2704">
        <f>LET(
    purpose,'Loan Tape (S&amp;P)'!R2704,
    IF(purpose="Purchase",1.00,
        IF(purpose="Remortgage",1.00,
            1.20)))</f>
        <v/>
      </c>
      <c r="L2704">
        <f>LET(
    arrears_months,'Loan Tape (S&amp;P)'!AN2704,
    IF(arrears_months=0,1.00,
    IF(arrears_months=1,3.00,
    IF(arrears_months=2,5.00,
    IF(arrears_months=3,8.00,
    IF(arrears_months=4,10.00,
    IF(arrears_months=5,12.00,15.00)))))))</f>
        <v/>
      </c>
      <c r="M2704">
        <f>LET(
    seasoning_years,DATEDIF('Loan Tape (S&amp;P)'!K2704,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04">
        <f>IF(AND('Loan Tape (S&amp;P)'!U2704="Yes",
        'Loan Tape (S&amp;P)'!T2704&lt;&gt;"Yes",
        DATEDIF('Loan Tape (S&amp;P)'!K2704, TODAY(), "M")&lt;18),
    1.10,
    1.00)</f>
        <v/>
      </c>
      <c r="O2704">
        <f>IF('Loan Tape (S&amp;P)'!T2704="Yes",
    1.35,
    1.00)</f>
        <v/>
      </c>
      <c r="P2704">
        <f>IF('Loan Tape (S&amp;P)'!S2704="Yes",
    1.15,
    1.00)</f>
        <v/>
      </c>
      <c r="Q2704">
        <f>IF('Loan Tape (S&amp;P)'!V2704="Yes",
    1.20,
    1.00)</f>
        <v/>
      </c>
      <c r="T2704">
        <f>LET(
    payment_method,'Loan Tape (S&amp;P)'!P2704,
    occupancy,'Loan Tape (S&amp;P)'!N2704,
    maturity_date,'Loan Tape (S&amp;P)'!L2704,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05">
      <c r="J2705">
        <f>LET(
    lien,'Loan Tape (S&amp;P)'!Q2705,
    IF(lien="First",1.00,
        IF(lien="Second",1.50,
            1.70)))</f>
        <v/>
      </c>
      <c r="K2705">
        <f>LET(
    purpose,'Loan Tape (S&amp;P)'!R2705,
    IF(purpose="Purchase",1.00,
        IF(purpose="Remortgage",1.00,
            1.20)))</f>
        <v/>
      </c>
      <c r="L2705">
        <f>LET(
    arrears_months,'Loan Tape (S&amp;P)'!AN2705,
    IF(arrears_months=0,1.00,
    IF(arrears_months=1,3.00,
    IF(arrears_months=2,5.00,
    IF(arrears_months=3,8.00,
    IF(arrears_months=4,10.00,
    IF(arrears_months=5,12.00,15.00)))))))</f>
        <v/>
      </c>
      <c r="M2705">
        <f>LET(
    seasoning_years,DATEDIF('Loan Tape (S&amp;P)'!K2705,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05">
        <f>IF(AND('Loan Tape (S&amp;P)'!U2705="Yes",
        'Loan Tape (S&amp;P)'!T2705&lt;&gt;"Yes",
        DATEDIF('Loan Tape (S&amp;P)'!K2705, TODAY(), "M")&lt;18),
    1.10,
    1.00)</f>
        <v/>
      </c>
      <c r="O2705">
        <f>IF('Loan Tape (S&amp;P)'!T2705="Yes",
    1.35,
    1.00)</f>
        <v/>
      </c>
      <c r="P2705">
        <f>IF('Loan Tape (S&amp;P)'!S2705="Yes",
    1.15,
    1.00)</f>
        <v/>
      </c>
      <c r="Q2705">
        <f>IF('Loan Tape (S&amp;P)'!V2705="Yes",
    1.20,
    1.00)</f>
        <v/>
      </c>
      <c r="T2705">
        <f>LET(
    payment_method,'Loan Tape (S&amp;P)'!P2705,
    occupancy,'Loan Tape (S&amp;P)'!N2705,
    maturity_date,'Loan Tape (S&amp;P)'!L2705,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06">
      <c r="J2706">
        <f>LET(
    lien,'Loan Tape (S&amp;P)'!Q2706,
    IF(lien="First",1.00,
        IF(lien="Second",1.50,
            1.70)))</f>
        <v/>
      </c>
      <c r="K2706">
        <f>LET(
    purpose,'Loan Tape (S&amp;P)'!R2706,
    IF(purpose="Purchase",1.00,
        IF(purpose="Remortgage",1.00,
            1.20)))</f>
        <v/>
      </c>
      <c r="L2706">
        <f>LET(
    arrears_months,'Loan Tape (S&amp;P)'!AN2706,
    IF(arrears_months=0,1.00,
    IF(arrears_months=1,3.00,
    IF(arrears_months=2,5.00,
    IF(arrears_months=3,8.00,
    IF(arrears_months=4,10.00,
    IF(arrears_months=5,12.00,15.00)))))))</f>
        <v/>
      </c>
      <c r="M2706">
        <f>LET(
    seasoning_years,DATEDIF('Loan Tape (S&amp;P)'!K2706,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06">
        <f>IF(AND('Loan Tape (S&amp;P)'!U2706="Yes",
        'Loan Tape (S&amp;P)'!T2706&lt;&gt;"Yes",
        DATEDIF('Loan Tape (S&amp;P)'!K2706, TODAY(), "M")&lt;18),
    1.10,
    1.00)</f>
        <v/>
      </c>
      <c r="O2706">
        <f>IF('Loan Tape (S&amp;P)'!T2706="Yes",
    1.35,
    1.00)</f>
        <v/>
      </c>
      <c r="P2706">
        <f>IF('Loan Tape (S&amp;P)'!S2706="Yes",
    1.15,
    1.00)</f>
        <v/>
      </c>
      <c r="Q2706">
        <f>IF('Loan Tape (S&amp;P)'!V2706="Yes",
    1.20,
    1.00)</f>
        <v/>
      </c>
      <c r="T2706">
        <f>LET(
    payment_method,'Loan Tape (S&amp;P)'!P2706,
    occupancy,'Loan Tape (S&amp;P)'!N2706,
    maturity_date,'Loan Tape (S&amp;P)'!L2706,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07">
      <c r="J2707">
        <f>LET(
    lien,'Loan Tape (S&amp;P)'!Q2707,
    IF(lien="First",1.00,
        IF(lien="Second",1.50,
            1.70)))</f>
        <v/>
      </c>
      <c r="K2707">
        <f>LET(
    purpose,'Loan Tape (S&amp;P)'!R2707,
    IF(purpose="Purchase",1.00,
        IF(purpose="Remortgage",1.00,
            1.20)))</f>
        <v/>
      </c>
      <c r="L2707">
        <f>LET(
    arrears_months,'Loan Tape (S&amp;P)'!AN2707,
    IF(arrears_months=0,1.00,
    IF(arrears_months=1,3.00,
    IF(arrears_months=2,5.00,
    IF(arrears_months=3,8.00,
    IF(arrears_months=4,10.00,
    IF(arrears_months=5,12.00,15.00)))))))</f>
        <v/>
      </c>
      <c r="M2707">
        <f>LET(
    seasoning_years,DATEDIF('Loan Tape (S&amp;P)'!K2707,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07">
        <f>IF(AND('Loan Tape (S&amp;P)'!U2707="Yes",
        'Loan Tape (S&amp;P)'!T2707&lt;&gt;"Yes",
        DATEDIF('Loan Tape (S&amp;P)'!K2707, TODAY(), "M")&lt;18),
    1.10,
    1.00)</f>
        <v/>
      </c>
      <c r="O2707">
        <f>IF('Loan Tape (S&amp;P)'!T2707="Yes",
    1.35,
    1.00)</f>
        <v/>
      </c>
      <c r="P2707">
        <f>IF('Loan Tape (S&amp;P)'!S2707="Yes",
    1.15,
    1.00)</f>
        <v/>
      </c>
      <c r="Q2707">
        <f>IF('Loan Tape (S&amp;P)'!V2707="Yes",
    1.20,
    1.00)</f>
        <v/>
      </c>
      <c r="T2707">
        <f>LET(
    payment_method,'Loan Tape (S&amp;P)'!P2707,
    occupancy,'Loan Tape (S&amp;P)'!N2707,
    maturity_date,'Loan Tape (S&amp;P)'!L2707,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08">
      <c r="J2708">
        <f>LET(
    lien,'Loan Tape (S&amp;P)'!Q2708,
    IF(lien="First",1.00,
        IF(lien="Second",1.50,
            1.70)))</f>
        <v/>
      </c>
      <c r="K2708">
        <f>LET(
    purpose,'Loan Tape (S&amp;P)'!R2708,
    IF(purpose="Purchase",1.00,
        IF(purpose="Remortgage",1.00,
            1.20)))</f>
        <v/>
      </c>
      <c r="L2708">
        <f>LET(
    arrears_months,'Loan Tape (S&amp;P)'!AN2708,
    IF(arrears_months=0,1.00,
    IF(arrears_months=1,3.00,
    IF(arrears_months=2,5.00,
    IF(arrears_months=3,8.00,
    IF(arrears_months=4,10.00,
    IF(arrears_months=5,12.00,15.00)))))))</f>
        <v/>
      </c>
      <c r="M2708">
        <f>LET(
    seasoning_years,DATEDIF('Loan Tape (S&amp;P)'!K2708,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08">
        <f>IF(AND('Loan Tape (S&amp;P)'!U2708="Yes",
        'Loan Tape (S&amp;P)'!T2708&lt;&gt;"Yes",
        DATEDIF('Loan Tape (S&amp;P)'!K2708, TODAY(), "M")&lt;18),
    1.10,
    1.00)</f>
        <v/>
      </c>
      <c r="O2708">
        <f>IF('Loan Tape (S&amp;P)'!T2708="Yes",
    1.35,
    1.00)</f>
        <v/>
      </c>
      <c r="P2708">
        <f>IF('Loan Tape (S&amp;P)'!S2708="Yes",
    1.15,
    1.00)</f>
        <v/>
      </c>
      <c r="Q2708">
        <f>IF('Loan Tape (S&amp;P)'!V2708="Yes",
    1.20,
    1.00)</f>
        <v/>
      </c>
      <c r="T2708">
        <f>LET(
    payment_method,'Loan Tape (S&amp;P)'!P2708,
    occupancy,'Loan Tape (S&amp;P)'!N2708,
    maturity_date,'Loan Tape (S&amp;P)'!L2708,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09">
      <c r="J2709">
        <f>LET(
    lien,'Loan Tape (S&amp;P)'!Q2709,
    IF(lien="First",1.00,
        IF(lien="Second",1.50,
            1.70)))</f>
        <v/>
      </c>
      <c r="K2709">
        <f>LET(
    purpose,'Loan Tape (S&amp;P)'!R2709,
    IF(purpose="Purchase",1.00,
        IF(purpose="Remortgage",1.00,
            1.20)))</f>
        <v/>
      </c>
      <c r="L2709">
        <f>LET(
    arrears_months,'Loan Tape (S&amp;P)'!AN2709,
    IF(arrears_months=0,1.00,
    IF(arrears_months=1,3.00,
    IF(arrears_months=2,5.00,
    IF(arrears_months=3,8.00,
    IF(arrears_months=4,10.00,
    IF(arrears_months=5,12.00,15.00)))))))</f>
        <v/>
      </c>
      <c r="M2709">
        <f>LET(
    seasoning_years,DATEDIF('Loan Tape (S&amp;P)'!K2709,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09">
        <f>IF(AND('Loan Tape (S&amp;P)'!U2709="Yes",
        'Loan Tape (S&amp;P)'!T2709&lt;&gt;"Yes",
        DATEDIF('Loan Tape (S&amp;P)'!K2709, TODAY(), "M")&lt;18),
    1.10,
    1.00)</f>
        <v/>
      </c>
      <c r="O2709">
        <f>IF('Loan Tape (S&amp;P)'!T2709="Yes",
    1.35,
    1.00)</f>
        <v/>
      </c>
      <c r="P2709">
        <f>IF('Loan Tape (S&amp;P)'!S2709="Yes",
    1.15,
    1.00)</f>
        <v/>
      </c>
      <c r="Q2709">
        <f>IF('Loan Tape (S&amp;P)'!V2709="Yes",
    1.20,
    1.00)</f>
        <v/>
      </c>
      <c r="T2709">
        <f>LET(
    payment_method,'Loan Tape (S&amp;P)'!P2709,
    occupancy,'Loan Tape (S&amp;P)'!N2709,
    maturity_date,'Loan Tape (S&amp;P)'!L2709,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10">
      <c r="J2710">
        <f>LET(
    lien,'Loan Tape (S&amp;P)'!Q2710,
    IF(lien="First",1.00,
        IF(lien="Second",1.50,
            1.70)))</f>
        <v/>
      </c>
      <c r="K2710">
        <f>LET(
    purpose,'Loan Tape (S&amp;P)'!R2710,
    IF(purpose="Purchase",1.00,
        IF(purpose="Remortgage",1.00,
            1.20)))</f>
        <v/>
      </c>
      <c r="L2710">
        <f>LET(
    arrears_months,'Loan Tape (S&amp;P)'!AN2710,
    IF(arrears_months=0,1.00,
    IF(arrears_months=1,3.00,
    IF(arrears_months=2,5.00,
    IF(arrears_months=3,8.00,
    IF(arrears_months=4,10.00,
    IF(arrears_months=5,12.00,15.00)))))))</f>
        <v/>
      </c>
      <c r="M2710">
        <f>LET(
    seasoning_years,DATEDIF('Loan Tape (S&amp;P)'!K2710,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10">
        <f>IF(AND('Loan Tape (S&amp;P)'!U2710="Yes",
        'Loan Tape (S&amp;P)'!T2710&lt;&gt;"Yes",
        DATEDIF('Loan Tape (S&amp;P)'!K2710, TODAY(), "M")&lt;18),
    1.10,
    1.00)</f>
        <v/>
      </c>
      <c r="O2710">
        <f>IF('Loan Tape (S&amp;P)'!T2710="Yes",
    1.35,
    1.00)</f>
        <v/>
      </c>
      <c r="P2710">
        <f>IF('Loan Tape (S&amp;P)'!S2710="Yes",
    1.15,
    1.00)</f>
        <v/>
      </c>
      <c r="Q2710">
        <f>IF('Loan Tape (S&amp;P)'!V2710="Yes",
    1.20,
    1.00)</f>
        <v/>
      </c>
      <c r="T2710">
        <f>LET(
    payment_method,'Loan Tape (S&amp;P)'!P2710,
    occupancy,'Loan Tape (S&amp;P)'!N2710,
    maturity_date,'Loan Tape (S&amp;P)'!L2710,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11">
      <c r="J2711">
        <f>LET(
    lien,'Loan Tape (S&amp;P)'!Q2711,
    IF(lien="First",1.00,
        IF(lien="Second",1.50,
            1.70)))</f>
        <v/>
      </c>
      <c r="K2711">
        <f>LET(
    purpose,'Loan Tape (S&amp;P)'!R2711,
    IF(purpose="Purchase",1.00,
        IF(purpose="Remortgage",1.00,
            1.20)))</f>
        <v/>
      </c>
      <c r="L2711">
        <f>LET(
    arrears_months,'Loan Tape (S&amp;P)'!AN2711,
    IF(arrears_months=0,1.00,
    IF(arrears_months=1,3.00,
    IF(arrears_months=2,5.00,
    IF(arrears_months=3,8.00,
    IF(arrears_months=4,10.00,
    IF(arrears_months=5,12.00,15.00)))))))</f>
        <v/>
      </c>
      <c r="M2711">
        <f>LET(
    seasoning_years,DATEDIF('Loan Tape (S&amp;P)'!K2711,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11">
        <f>IF(AND('Loan Tape (S&amp;P)'!U2711="Yes",
        'Loan Tape (S&amp;P)'!T2711&lt;&gt;"Yes",
        DATEDIF('Loan Tape (S&amp;P)'!K2711, TODAY(), "M")&lt;18),
    1.10,
    1.00)</f>
        <v/>
      </c>
      <c r="O2711">
        <f>IF('Loan Tape (S&amp;P)'!T2711="Yes",
    1.35,
    1.00)</f>
        <v/>
      </c>
      <c r="P2711">
        <f>IF('Loan Tape (S&amp;P)'!S2711="Yes",
    1.15,
    1.00)</f>
        <v/>
      </c>
      <c r="Q2711">
        <f>IF('Loan Tape (S&amp;P)'!V2711="Yes",
    1.20,
    1.00)</f>
        <v/>
      </c>
      <c r="T2711">
        <f>LET(
    payment_method,'Loan Tape (S&amp;P)'!P2711,
    occupancy,'Loan Tape (S&amp;P)'!N2711,
    maturity_date,'Loan Tape (S&amp;P)'!L2711,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12">
      <c r="J2712">
        <f>LET(
    lien,'Loan Tape (S&amp;P)'!Q2712,
    IF(lien="First",1.00,
        IF(lien="Second",1.50,
            1.70)))</f>
        <v/>
      </c>
      <c r="K2712">
        <f>LET(
    purpose,'Loan Tape (S&amp;P)'!R2712,
    IF(purpose="Purchase",1.00,
        IF(purpose="Remortgage",1.00,
            1.20)))</f>
        <v/>
      </c>
      <c r="L2712">
        <f>LET(
    arrears_months,'Loan Tape (S&amp;P)'!AN2712,
    IF(arrears_months=0,1.00,
    IF(arrears_months=1,3.00,
    IF(arrears_months=2,5.00,
    IF(arrears_months=3,8.00,
    IF(arrears_months=4,10.00,
    IF(arrears_months=5,12.00,15.00)))))))</f>
        <v/>
      </c>
      <c r="M2712">
        <f>LET(
    seasoning_years,DATEDIF('Loan Tape (S&amp;P)'!K2712,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12">
        <f>IF(AND('Loan Tape (S&amp;P)'!U2712="Yes",
        'Loan Tape (S&amp;P)'!T2712&lt;&gt;"Yes",
        DATEDIF('Loan Tape (S&amp;P)'!K2712, TODAY(), "M")&lt;18),
    1.10,
    1.00)</f>
        <v/>
      </c>
      <c r="O2712">
        <f>IF('Loan Tape (S&amp;P)'!T2712="Yes",
    1.35,
    1.00)</f>
        <v/>
      </c>
      <c r="P2712">
        <f>IF('Loan Tape (S&amp;P)'!S2712="Yes",
    1.15,
    1.00)</f>
        <v/>
      </c>
      <c r="Q2712">
        <f>IF('Loan Tape (S&amp;P)'!V2712="Yes",
    1.20,
    1.00)</f>
        <v/>
      </c>
      <c r="T2712">
        <f>LET(
    payment_method,'Loan Tape (S&amp;P)'!P2712,
    occupancy,'Loan Tape (S&amp;P)'!N2712,
    maturity_date,'Loan Tape (S&amp;P)'!L2712,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13">
      <c r="J2713">
        <f>LET(
    lien,'Loan Tape (S&amp;P)'!Q2713,
    IF(lien="First",1.00,
        IF(lien="Second",1.50,
            1.70)))</f>
        <v/>
      </c>
      <c r="K2713">
        <f>LET(
    purpose,'Loan Tape (S&amp;P)'!R2713,
    IF(purpose="Purchase",1.00,
        IF(purpose="Remortgage",1.00,
            1.20)))</f>
        <v/>
      </c>
      <c r="L2713">
        <f>LET(
    arrears_months,'Loan Tape (S&amp;P)'!AN2713,
    IF(arrears_months=0,1.00,
    IF(arrears_months=1,3.00,
    IF(arrears_months=2,5.00,
    IF(arrears_months=3,8.00,
    IF(arrears_months=4,10.00,
    IF(arrears_months=5,12.00,15.00)))))))</f>
        <v/>
      </c>
      <c r="M2713">
        <f>LET(
    seasoning_years,DATEDIF('Loan Tape (S&amp;P)'!K2713,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13">
        <f>IF(AND('Loan Tape (S&amp;P)'!U2713="Yes",
        'Loan Tape (S&amp;P)'!T2713&lt;&gt;"Yes",
        DATEDIF('Loan Tape (S&amp;P)'!K2713, TODAY(), "M")&lt;18),
    1.10,
    1.00)</f>
        <v/>
      </c>
      <c r="O2713">
        <f>IF('Loan Tape (S&amp;P)'!T2713="Yes",
    1.35,
    1.00)</f>
        <v/>
      </c>
      <c r="P2713">
        <f>IF('Loan Tape (S&amp;P)'!S2713="Yes",
    1.15,
    1.00)</f>
        <v/>
      </c>
      <c r="Q2713">
        <f>IF('Loan Tape (S&amp;P)'!V2713="Yes",
    1.20,
    1.00)</f>
        <v/>
      </c>
      <c r="T2713">
        <f>LET(
    payment_method,'Loan Tape (S&amp;P)'!P2713,
    occupancy,'Loan Tape (S&amp;P)'!N2713,
    maturity_date,'Loan Tape (S&amp;P)'!L2713,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14">
      <c r="J2714">
        <f>LET(
    lien,'Loan Tape (S&amp;P)'!Q2714,
    IF(lien="First",1.00,
        IF(lien="Second",1.50,
            1.70)))</f>
        <v/>
      </c>
      <c r="K2714">
        <f>LET(
    purpose,'Loan Tape (S&amp;P)'!R2714,
    IF(purpose="Purchase",1.00,
        IF(purpose="Remortgage",1.00,
            1.20)))</f>
        <v/>
      </c>
      <c r="L2714">
        <f>LET(
    arrears_months,'Loan Tape (S&amp;P)'!AN2714,
    IF(arrears_months=0,1.00,
    IF(arrears_months=1,3.00,
    IF(arrears_months=2,5.00,
    IF(arrears_months=3,8.00,
    IF(arrears_months=4,10.00,
    IF(arrears_months=5,12.00,15.00)))))))</f>
        <v/>
      </c>
      <c r="M2714">
        <f>LET(
    seasoning_years,DATEDIF('Loan Tape (S&amp;P)'!K2714,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14">
        <f>IF(AND('Loan Tape (S&amp;P)'!U2714="Yes",
        'Loan Tape (S&amp;P)'!T2714&lt;&gt;"Yes",
        DATEDIF('Loan Tape (S&amp;P)'!K2714, TODAY(), "M")&lt;18),
    1.10,
    1.00)</f>
        <v/>
      </c>
      <c r="O2714">
        <f>IF('Loan Tape (S&amp;P)'!T2714="Yes",
    1.35,
    1.00)</f>
        <v/>
      </c>
      <c r="P2714">
        <f>IF('Loan Tape (S&amp;P)'!S2714="Yes",
    1.15,
    1.00)</f>
        <v/>
      </c>
      <c r="Q2714">
        <f>IF('Loan Tape (S&amp;P)'!V2714="Yes",
    1.20,
    1.00)</f>
        <v/>
      </c>
      <c r="T2714">
        <f>LET(
    payment_method,'Loan Tape (S&amp;P)'!P2714,
    occupancy,'Loan Tape (S&amp;P)'!N2714,
    maturity_date,'Loan Tape (S&amp;P)'!L2714,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15">
      <c r="J2715">
        <f>LET(
    lien,'Loan Tape (S&amp;P)'!Q2715,
    IF(lien="First",1.00,
        IF(lien="Second",1.50,
            1.70)))</f>
        <v/>
      </c>
      <c r="K2715">
        <f>LET(
    purpose,'Loan Tape (S&amp;P)'!R2715,
    IF(purpose="Purchase",1.00,
        IF(purpose="Remortgage",1.00,
            1.20)))</f>
        <v/>
      </c>
      <c r="L2715">
        <f>LET(
    arrears_months,'Loan Tape (S&amp;P)'!AN2715,
    IF(arrears_months=0,1.00,
    IF(arrears_months=1,3.00,
    IF(arrears_months=2,5.00,
    IF(arrears_months=3,8.00,
    IF(arrears_months=4,10.00,
    IF(arrears_months=5,12.00,15.00)))))))</f>
        <v/>
      </c>
      <c r="M2715">
        <f>LET(
    seasoning_years,DATEDIF('Loan Tape (S&amp;P)'!K2715,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15">
        <f>IF(AND('Loan Tape (S&amp;P)'!U2715="Yes",
        'Loan Tape (S&amp;P)'!T2715&lt;&gt;"Yes",
        DATEDIF('Loan Tape (S&amp;P)'!K2715, TODAY(), "M")&lt;18),
    1.10,
    1.00)</f>
        <v/>
      </c>
      <c r="O2715">
        <f>IF('Loan Tape (S&amp;P)'!T2715="Yes",
    1.35,
    1.00)</f>
        <v/>
      </c>
      <c r="P2715">
        <f>IF('Loan Tape (S&amp;P)'!S2715="Yes",
    1.15,
    1.00)</f>
        <v/>
      </c>
      <c r="Q2715">
        <f>IF('Loan Tape (S&amp;P)'!V2715="Yes",
    1.20,
    1.00)</f>
        <v/>
      </c>
      <c r="T2715">
        <f>LET(
    payment_method,'Loan Tape (S&amp;P)'!P2715,
    occupancy,'Loan Tape (S&amp;P)'!N2715,
    maturity_date,'Loan Tape (S&amp;P)'!L2715,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16">
      <c r="J2716">
        <f>LET(
    lien,'Loan Tape (S&amp;P)'!Q2716,
    IF(lien="First",1.00,
        IF(lien="Second",1.50,
            1.70)))</f>
        <v/>
      </c>
      <c r="K2716">
        <f>LET(
    purpose,'Loan Tape (S&amp;P)'!R2716,
    IF(purpose="Purchase",1.00,
        IF(purpose="Remortgage",1.00,
            1.20)))</f>
        <v/>
      </c>
      <c r="L2716">
        <f>LET(
    arrears_months,'Loan Tape (S&amp;P)'!AN2716,
    IF(arrears_months=0,1.00,
    IF(arrears_months=1,3.00,
    IF(arrears_months=2,5.00,
    IF(arrears_months=3,8.00,
    IF(arrears_months=4,10.00,
    IF(arrears_months=5,12.00,15.00)))))))</f>
        <v/>
      </c>
      <c r="M2716">
        <f>LET(
    seasoning_years,DATEDIF('Loan Tape (S&amp;P)'!K2716,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16">
        <f>IF(AND('Loan Tape (S&amp;P)'!U2716="Yes",
        'Loan Tape (S&amp;P)'!T2716&lt;&gt;"Yes",
        DATEDIF('Loan Tape (S&amp;P)'!K2716, TODAY(), "M")&lt;18),
    1.10,
    1.00)</f>
        <v/>
      </c>
      <c r="O2716">
        <f>IF('Loan Tape (S&amp;P)'!T2716="Yes",
    1.35,
    1.00)</f>
        <v/>
      </c>
      <c r="P2716">
        <f>IF('Loan Tape (S&amp;P)'!S2716="Yes",
    1.15,
    1.00)</f>
        <v/>
      </c>
      <c r="Q2716">
        <f>IF('Loan Tape (S&amp;P)'!V2716="Yes",
    1.20,
    1.00)</f>
        <v/>
      </c>
      <c r="T2716">
        <f>LET(
    payment_method,'Loan Tape (S&amp;P)'!P2716,
    occupancy,'Loan Tape (S&amp;P)'!N2716,
    maturity_date,'Loan Tape (S&amp;P)'!L2716,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17">
      <c r="J2717">
        <f>LET(
    lien,'Loan Tape (S&amp;P)'!Q2717,
    IF(lien="First",1.00,
        IF(lien="Second",1.50,
            1.70)))</f>
        <v/>
      </c>
      <c r="K2717">
        <f>LET(
    purpose,'Loan Tape (S&amp;P)'!R2717,
    IF(purpose="Purchase",1.00,
        IF(purpose="Remortgage",1.00,
            1.20)))</f>
        <v/>
      </c>
      <c r="L2717">
        <f>LET(
    arrears_months,'Loan Tape (S&amp;P)'!AN2717,
    IF(arrears_months=0,1.00,
    IF(arrears_months=1,3.00,
    IF(arrears_months=2,5.00,
    IF(arrears_months=3,8.00,
    IF(arrears_months=4,10.00,
    IF(arrears_months=5,12.00,15.00)))))))</f>
        <v/>
      </c>
      <c r="M2717">
        <f>LET(
    seasoning_years,DATEDIF('Loan Tape (S&amp;P)'!K2717,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17">
        <f>IF(AND('Loan Tape (S&amp;P)'!U2717="Yes",
        'Loan Tape (S&amp;P)'!T2717&lt;&gt;"Yes",
        DATEDIF('Loan Tape (S&amp;P)'!K2717, TODAY(), "M")&lt;18),
    1.10,
    1.00)</f>
        <v/>
      </c>
      <c r="O2717">
        <f>IF('Loan Tape (S&amp;P)'!T2717="Yes",
    1.35,
    1.00)</f>
        <v/>
      </c>
      <c r="P2717">
        <f>IF('Loan Tape (S&amp;P)'!S2717="Yes",
    1.15,
    1.00)</f>
        <v/>
      </c>
      <c r="Q2717">
        <f>IF('Loan Tape (S&amp;P)'!V2717="Yes",
    1.20,
    1.00)</f>
        <v/>
      </c>
      <c r="T2717">
        <f>LET(
    payment_method,'Loan Tape (S&amp;P)'!P2717,
    occupancy,'Loan Tape (S&amp;P)'!N2717,
    maturity_date,'Loan Tape (S&amp;P)'!L2717,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18">
      <c r="J2718">
        <f>LET(
    lien,'Loan Tape (S&amp;P)'!Q2718,
    IF(lien="First",1.00,
        IF(lien="Second",1.50,
            1.70)))</f>
        <v/>
      </c>
      <c r="K2718">
        <f>LET(
    purpose,'Loan Tape (S&amp;P)'!R2718,
    IF(purpose="Purchase",1.00,
        IF(purpose="Remortgage",1.00,
            1.20)))</f>
        <v/>
      </c>
      <c r="L2718">
        <f>LET(
    arrears_months,'Loan Tape (S&amp;P)'!AN2718,
    IF(arrears_months=0,1.00,
    IF(arrears_months=1,3.00,
    IF(arrears_months=2,5.00,
    IF(arrears_months=3,8.00,
    IF(arrears_months=4,10.00,
    IF(arrears_months=5,12.00,15.00)))))))</f>
        <v/>
      </c>
      <c r="M2718">
        <f>LET(
    seasoning_years,DATEDIF('Loan Tape (S&amp;P)'!K2718,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18">
        <f>IF(AND('Loan Tape (S&amp;P)'!U2718="Yes",
        'Loan Tape (S&amp;P)'!T2718&lt;&gt;"Yes",
        DATEDIF('Loan Tape (S&amp;P)'!K2718, TODAY(), "M")&lt;18),
    1.10,
    1.00)</f>
        <v/>
      </c>
      <c r="O2718">
        <f>IF('Loan Tape (S&amp;P)'!T2718="Yes",
    1.35,
    1.00)</f>
        <v/>
      </c>
      <c r="P2718">
        <f>IF('Loan Tape (S&amp;P)'!S2718="Yes",
    1.15,
    1.00)</f>
        <v/>
      </c>
      <c r="Q2718">
        <f>IF('Loan Tape (S&amp;P)'!V2718="Yes",
    1.20,
    1.00)</f>
        <v/>
      </c>
      <c r="T2718">
        <f>LET(
    payment_method,'Loan Tape (S&amp;P)'!P2718,
    occupancy,'Loan Tape (S&amp;P)'!N2718,
    maturity_date,'Loan Tape (S&amp;P)'!L2718,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19">
      <c r="J2719">
        <f>LET(
    lien,'Loan Tape (S&amp;P)'!Q2719,
    IF(lien="First",1.00,
        IF(lien="Second",1.50,
            1.70)))</f>
        <v/>
      </c>
      <c r="K2719">
        <f>LET(
    purpose,'Loan Tape (S&amp;P)'!R2719,
    IF(purpose="Purchase",1.00,
        IF(purpose="Remortgage",1.00,
            1.20)))</f>
        <v/>
      </c>
      <c r="L2719">
        <f>LET(
    arrears_months,'Loan Tape (S&amp;P)'!AN2719,
    IF(arrears_months=0,1.00,
    IF(arrears_months=1,3.00,
    IF(arrears_months=2,5.00,
    IF(arrears_months=3,8.00,
    IF(arrears_months=4,10.00,
    IF(arrears_months=5,12.00,15.00)))))))</f>
        <v/>
      </c>
      <c r="M2719">
        <f>LET(
    seasoning_years,DATEDIF('Loan Tape (S&amp;P)'!K2719,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19">
        <f>IF(AND('Loan Tape (S&amp;P)'!U2719="Yes",
        'Loan Tape (S&amp;P)'!T2719&lt;&gt;"Yes",
        DATEDIF('Loan Tape (S&amp;P)'!K2719, TODAY(), "M")&lt;18),
    1.10,
    1.00)</f>
        <v/>
      </c>
      <c r="O2719">
        <f>IF('Loan Tape (S&amp;P)'!T2719="Yes",
    1.35,
    1.00)</f>
        <v/>
      </c>
      <c r="P2719">
        <f>IF('Loan Tape (S&amp;P)'!S2719="Yes",
    1.15,
    1.00)</f>
        <v/>
      </c>
      <c r="Q2719">
        <f>IF('Loan Tape (S&amp;P)'!V2719="Yes",
    1.20,
    1.00)</f>
        <v/>
      </c>
      <c r="T2719">
        <f>LET(
    payment_method,'Loan Tape (S&amp;P)'!P2719,
    occupancy,'Loan Tape (S&amp;P)'!N2719,
    maturity_date,'Loan Tape (S&amp;P)'!L2719,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20">
      <c r="J2720">
        <f>LET(
    lien,'Loan Tape (S&amp;P)'!Q2720,
    IF(lien="First",1.00,
        IF(lien="Second",1.50,
            1.70)))</f>
        <v/>
      </c>
      <c r="K2720">
        <f>LET(
    purpose,'Loan Tape (S&amp;P)'!R2720,
    IF(purpose="Purchase",1.00,
        IF(purpose="Remortgage",1.00,
            1.20)))</f>
        <v/>
      </c>
      <c r="L2720">
        <f>LET(
    arrears_months,'Loan Tape (S&amp;P)'!AN2720,
    IF(arrears_months=0,1.00,
    IF(arrears_months=1,3.00,
    IF(arrears_months=2,5.00,
    IF(arrears_months=3,8.00,
    IF(arrears_months=4,10.00,
    IF(arrears_months=5,12.00,15.00)))))))</f>
        <v/>
      </c>
      <c r="M2720">
        <f>LET(
    seasoning_years,DATEDIF('Loan Tape (S&amp;P)'!K2720,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20">
        <f>IF(AND('Loan Tape (S&amp;P)'!U2720="Yes",
        'Loan Tape (S&amp;P)'!T2720&lt;&gt;"Yes",
        DATEDIF('Loan Tape (S&amp;P)'!K2720, TODAY(), "M")&lt;18),
    1.10,
    1.00)</f>
        <v/>
      </c>
      <c r="O2720">
        <f>IF('Loan Tape (S&amp;P)'!T2720="Yes",
    1.35,
    1.00)</f>
        <v/>
      </c>
      <c r="P2720">
        <f>IF('Loan Tape (S&amp;P)'!S2720="Yes",
    1.15,
    1.00)</f>
        <v/>
      </c>
      <c r="Q2720">
        <f>IF('Loan Tape (S&amp;P)'!V2720="Yes",
    1.20,
    1.00)</f>
        <v/>
      </c>
      <c r="T2720">
        <f>LET(
    payment_method,'Loan Tape (S&amp;P)'!P2720,
    occupancy,'Loan Tape (S&amp;P)'!N2720,
    maturity_date,'Loan Tape (S&amp;P)'!L2720,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21">
      <c r="J2721">
        <f>LET(
    lien,'Loan Tape (S&amp;P)'!Q2721,
    IF(lien="First",1.00,
        IF(lien="Second",1.50,
            1.70)))</f>
        <v/>
      </c>
      <c r="K2721">
        <f>LET(
    purpose,'Loan Tape (S&amp;P)'!R2721,
    IF(purpose="Purchase",1.00,
        IF(purpose="Remortgage",1.00,
            1.20)))</f>
        <v/>
      </c>
      <c r="L2721">
        <f>LET(
    arrears_months,'Loan Tape (S&amp;P)'!AN2721,
    IF(arrears_months=0,1.00,
    IF(arrears_months=1,3.00,
    IF(arrears_months=2,5.00,
    IF(arrears_months=3,8.00,
    IF(arrears_months=4,10.00,
    IF(arrears_months=5,12.00,15.00)))))))</f>
        <v/>
      </c>
      <c r="M2721">
        <f>LET(
    seasoning_years,DATEDIF('Loan Tape (S&amp;P)'!K2721,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21">
        <f>IF(AND('Loan Tape (S&amp;P)'!U2721="Yes",
        'Loan Tape (S&amp;P)'!T2721&lt;&gt;"Yes",
        DATEDIF('Loan Tape (S&amp;P)'!K2721, TODAY(), "M")&lt;18),
    1.10,
    1.00)</f>
        <v/>
      </c>
      <c r="O2721">
        <f>IF('Loan Tape (S&amp;P)'!T2721="Yes",
    1.35,
    1.00)</f>
        <v/>
      </c>
      <c r="P2721">
        <f>IF('Loan Tape (S&amp;P)'!S2721="Yes",
    1.15,
    1.00)</f>
        <v/>
      </c>
      <c r="Q2721">
        <f>IF('Loan Tape (S&amp;P)'!V2721="Yes",
    1.20,
    1.00)</f>
        <v/>
      </c>
      <c r="T2721">
        <f>LET(
    payment_method,'Loan Tape (S&amp;P)'!P2721,
    occupancy,'Loan Tape (S&amp;P)'!N2721,
    maturity_date,'Loan Tape (S&amp;P)'!L2721,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22">
      <c r="J2722">
        <f>LET(
    lien,'Loan Tape (S&amp;P)'!Q2722,
    IF(lien="First",1.00,
        IF(lien="Second",1.50,
            1.70)))</f>
        <v/>
      </c>
      <c r="K2722">
        <f>LET(
    purpose,'Loan Tape (S&amp;P)'!R2722,
    IF(purpose="Purchase",1.00,
        IF(purpose="Remortgage",1.00,
            1.20)))</f>
        <v/>
      </c>
      <c r="L2722">
        <f>LET(
    arrears_months,'Loan Tape (S&amp;P)'!AN2722,
    IF(arrears_months=0,1.00,
    IF(arrears_months=1,3.00,
    IF(arrears_months=2,5.00,
    IF(arrears_months=3,8.00,
    IF(arrears_months=4,10.00,
    IF(arrears_months=5,12.00,15.00)))))))</f>
        <v/>
      </c>
      <c r="M2722">
        <f>LET(
    seasoning_years,DATEDIF('Loan Tape (S&amp;P)'!K2722,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22">
        <f>IF(AND('Loan Tape (S&amp;P)'!U2722="Yes",
        'Loan Tape (S&amp;P)'!T2722&lt;&gt;"Yes",
        DATEDIF('Loan Tape (S&amp;P)'!K2722, TODAY(), "M")&lt;18),
    1.10,
    1.00)</f>
        <v/>
      </c>
      <c r="O2722">
        <f>IF('Loan Tape (S&amp;P)'!T2722="Yes",
    1.35,
    1.00)</f>
        <v/>
      </c>
      <c r="P2722">
        <f>IF('Loan Tape (S&amp;P)'!S2722="Yes",
    1.15,
    1.00)</f>
        <v/>
      </c>
      <c r="Q2722">
        <f>IF('Loan Tape (S&amp;P)'!V2722="Yes",
    1.20,
    1.00)</f>
        <v/>
      </c>
      <c r="T2722">
        <f>LET(
    payment_method,'Loan Tape (S&amp;P)'!P2722,
    occupancy,'Loan Tape (S&amp;P)'!N2722,
    maturity_date,'Loan Tape (S&amp;P)'!L2722,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23">
      <c r="J2723">
        <f>LET(
    lien,'Loan Tape (S&amp;P)'!Q2723,
    IF(lien="First",1.00,
        IF(lien="Second",1.50,
            1.70)))</f>
        <v/>
      </c>
      <c r="K2723">
        <f>LET(
    purpose,'Loan Tape (S&amp;P)'!R2723,
    IF(purpose="Purchase",1.00,
        IF(purpose="Remortgage",1.00,
            1.20)))</f>
        <v/>
      </c>
      <c r="L2723">
        <f>LET(
    arrears_months,'Loan Tape (S&amp;P)'!AN2723,
    IF(arrears_months=0,1.00,
    IF(arrears_months=1,3.00,
    IF(arrears_months=2,5.00,
    IF(arrears_months=3,8.00,
    IF(arrears_months=4,10.00,
    IF(arrears_months=5,12.00,15.00)))))))</f>
        <v/>
      </c>
      <c r="M2723">
        <f>LET(
    seasoning_years,DATEDIF('Loan Tape (S&amp;P)'!K2723,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23">
        <f>IF(AND('Loan Tape (S&amp;P)'!U2723="Yes",
        'Loan Tape (S&amp;P)'!T2723&lt;&gt;"Yes",
        DATEDIF('Loan Tape (S&amp;P)'!K2723, TODAY(), "M")&lt;18),
    1.10,
    1.00)</f>
        <v/>
      </c>
      <c r="O2723">
        <f>IF('Loan Tape (S&amp;P)'!T2723="Yes",
    1.35,
    1.00)</f>
        <v/>
      </c>
      <c r="P2723">
        <f>IF('Loan Tape (S&amp;P)'!S2723="Yes",
    1.15,
    1.00)</f>
        <v/>
      </c>
      <c r="Q2723">
        <f>IF('Loan Tape (S&amp;P)'!V2723="Yes",
    1.20,
    1.00)</f>
        <v/>
      </c>
      <c r="T2723">
        <f>LET(
    payment_method,'Loan Tape (S&amp;P)'!P2723,
    occupancy,'Loan Tape (S&amp;P)'!N2723,
    maturity_date,'Loan Tape (S&amp;P)'!L2723,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24">
      <c r="J2724">
        <f>LET(
    lien,'Loan Tape (S&amp;P)'!Q2724,
    IF(lien="First",1.00,
        IF(lien="Second",1.50,
            1.70)))</f>
        <v/>
      </c>
      <c r="K2724">
        <f>LET(
    purpose,'Loan Tape (S&amp;P)'!R2724,
    IF(purpose="Purchase",1.00,
        IF(purpose="Remortgage",1.00,
            1.20)))</f>
        <v/>
      </c>
      <c r="L2724">
        <f>LET(
    arrears_months,'Loan Tape (S&amp;P)'!AN2724,
    IF(arrears_months=0,1.00,
    IF(arrears_months=1,3.00,
    IF(arrears_months=2,5.00,
    IF(arrears_months=3,8.00,
    IF(arrears_months=4,10.00,
    IF(arrears_months=5,12.00,15.00)))))))</f>
        <v/>
      </c>
      <c r="M2724">
        <f>LET(
    seasoning_years,DATEDIF('Loan Tape (S&amp;P)'!K2724,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24">
        <f>IF(AND('Loan Tape (S&amp;P)'!U2724="Yes",
        'Loan Tape (S&amp;P)'!T2724&lt;&gt;"Yes",
        DATEDIF('Loan Tape (S&amp;P)'!K2724, TODAY(), "M")&lt;18),
    1.10,
    1.00)</f>
        <v/>
      </c>
      <c r="O2724">
        <f>IF('Loan Tape (S&amp;P)'!T2724="Yes",
    1.35,
    1.00)</f>
        <v/>
      </c>
      <c r="P2724">
        <f>IF('Loan Tape (S&amp;P)'!S2724="Yes",
    1.15,
    1.00)</f>
        <v/>
      </c>
      <c r="Q2724">
        <f>IF('Loan Tape (S&amp;P)'!V2724="Yes",
    1.20,
    1.00)</f>
        <v/>
      </c>
      <c r="T2724">
        <f>LET(
    payment_method,'Loan Tape (S&amp;P)'!P2724,
    occupancy,'Loan Tape (S&amp;P)'!N2724,
    maturity_date,'Loan Tape (S&amp;P)'!L2724,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25">
      <c r="J2725">
        <f>LET(
    lien,'Loan Tape (S&amp;P)'!Q2725,
    IF(lien="First",1.00,
        IF(lien="Second",1.50,
            1.70)))</f>
        <v/>
      </c>
      <c r="K2725">
        <f>LET(
    purpose,'Loan Tape (S&amp;P)'!R2725,
    IF(purpose="Purchase",1.00,
        IF(purpose="Remortgage",1.00,
            1.20)))</f>
        <v/>
      </c>
      <c r="L2725">
        <f>LET(
    arrears_months,'Loan Tape (S&amp;P)'!AN2725,
    IF(arrears_months=0,1.00,
    IF(arrears_months=1,3.00,
    IF(arrears_months=2,5.00,
    IF(arrears_months=3,8.00,
    IF(arrears_months=4,10.00,
    IF(arrears_months=5,12.00,15.00)))))))</f>
        <v/>
      </c>
      <c r="M2725">
        <f>LET(
    seasoning_years,DATEDIF('Loan Tape (S&amp;P)'!K2725,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25">
        <f>IF(AND('Loan Tape (S&amp;P)'!U2725="Yes",
        'Loan Tape (S&amp;P)'!T2725&lt;&gt;"Yes",
        DATEDIF('Loan Tape (S&amp;P)'!K2725, TODAY(), "M")&lt;18),
    1.10,
    1.00)</f>
        <v/>
      </c>
      <c r="O2725">
        <f>IF('Loan Tape (S&amp;P)'!T2725="Yes",
    1.35,
    1.00)</f>
        <v/>
      </c>
      <c r="P2725">
        <f>IF('Loan Tape (S&amp;P)'!S2725="Yes",
    1.15,
    1.00)</f>
        <v/>
      </c>
      <c r="Q2725">
        <f>IF('Loan Tape (S&amp;P)'!V2725="Yes",
    1.20,
    1.00)</f>
        <v/>
      </c>
      <c r="T2725">
        <f>LET(
    payment_method,'Loan Tape (S&amp;P)'!P2725,
    occupancy,'Loan Tape (S&amp;P)'!N2725,
    maturity_date,'Loan Tape (S&amp;P)'!L2725,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26">
      <c r="J2726">
        <f>LET(
    lien,'Loan Tape (S&amp;P)'!Q2726,
    IF(lien="First",1.00,
        IF(lien="Second",1.50,
            1.70)))</f>
        <v/>
      </c>
      <c r="K2726">
        <f>LET(
    purpose,'Loan Tape (S&amp;P)'!R2726,
    IF(purpose="Purchase",1.00,
        IF(purpose="Remortgage",1.00,
            1.20)))</f>
        <v/>
      </c>
      <c r="L2726">
        <f>LET(
    arrears_months,'Loan Tape (S&amp;P)'!AN2726,
    IF(arrears_months=0,1.00,
    IF(arrears_months=1,3.00,
    IF(arrears_months=2,5.00,
    IF(arrears_months=3,8.00,
    IF(arrears_months=4,10.00,
    IF(arrears_months=5,12.00,15.00)))))))</f>
        <v/>
      </c>
      <c r="M2726">
        <f>LET(
    seasoning_years,DATEDIF('Loan Tape (S&amp;P)'!K2726,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26">
        <f>IF(AND('Loan Tape (S&amp;P)'!U2726="Yes",
        'Loan Tape (S&amp;P)'!T2726&lt;&gt;"Yes",
        DATEDIF('Loan Tape (S&amp;P)'!K2726, TODAY(), "M")&lt;18),
    1.10,
    1.00)</f>
        <v/>
      </c>
      <c r="O2726">
        <f>IF('Loan Tape (S&amp;P)'!T2726="Yes",
    1.35,
    1.00)</f>
        <v/>
      </c>
      <c r="P2726">
        <f>IF('Loan Tape (S&amp;P)'!S2726="Yes",
    1.15,
    1.00)</f>
        <v/>
      </c>
      <c r="Q2726">
        <f>IF('Loan Tape (S&amp;P)'!V2726="Yes",
    1.20,
    1.00)</f>
        <v/>
      </c>
      <c r="T2726">
        <f>LET(
    payment_method,'Loan Tape (S&amp;P)'!P2726,
    occupancy,'Loan Tape (S&amp;P)'!N2726,
    maturity_date,'Loan Tape (S&amp;P)'!L2726,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27">
      <c r="J2727">
        <f>LET(
    lien,'Loan Tape (S&amp;P)'!Q2727,
    IF(lien="First",1.00,
        IF(lien="Second",1.50,
            1.70)))</f>
        <v/>
      </c>
      <c r="K2727">
        <f>LET(
    purpose,'Loan Tape (S&amp;P)'!R2727,
    IF(purpose="Purchase",1.00,
        IF(purpose="Remortgage",1.00,
            1.20)))</f>
        <v/>
      </c>
      <c r="L2727">
        <f>LET(
    arrears_months,'Loan Tape (S&amp;P)'!AN2727,
    IF(arrears_months=0,1.00,
    IF(arrears_months=1,3.00,
    IF(arrears_months=2,5.00,
    IF(arrears_months=3,8.00,
    IF(arrears_months=4,10.00,
    IF(arrears_months=5,12.00,15.00)))))))</f>
        <v/>
      </c>
      <c r="M2727">
        <f>LET(
    seasoning_years,DATEDIF('Loan Tape (S&amp;P)'!K2727,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27">
        <f>IF(AND('Loan Tape (S&amp;P)'!U2727="Yes",
        'Loan Tape (S&amp;P)'!T2727&lt;&gt;"Yes",
        DATEDIF('Loan Tape (S&amp;P)'!K2727, TODAY(), "M")&lt;18),
    1.10,
    1.00)</f>
        <v/>
      </c>
      <c r="O2727">
        <f>IF('Loan Tape (S&amp;P)'!T2727="Yes",
    1.35,
    1.00)</f>
        <v/>
      </c>
      <c r="P2727">
        <f>IF('Loan Tape (S&amp;P)'!S2727="Yes",
    1.15,
    1.00)</f>
        <v/>
      </c>
      <c r="Q2727">
        <f>IF('Loan Tape (S&amp;P)'!V2727="Yes",
    1.20,
    1.00)</f>
        <v/>
      </c>
      <c r="T2727">
        <f>LET(
    payment_method,'Loan Tape (S&amp;P)'!P2727,
    occupancy,'Loan Tape (S&amp;P)'!N2727,
    maturity_date,'Loan Tape (S&amp;P)'!L2727,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28">
      <c r="J2728">
        <f>LET(
    lien,'Loan Tape (S&amp;P)'!Q2728,
    IF(lien="First",1.00,
        IF(lien="Second",1.50,
            1.70)))</f>
        <v/>
      </c>
      <c r="K2728">
        <f>LET(
    purpose,'Loan Tape (S&amp;P)'!R2728,
    IF(purpose="Purchase",1.00,
        IF(purpose="Remortgage",1.00,
            1.20)))</f>
        <v/>
      </c>
      <c r="L2728">
        <f>LET(
    arrears_months,'Loan Tape (S&amp;P)'!AN2728,
    IF(arrears_months=0,1.00,
    IF(arrears_months=1,3.00,
    IF(arrears_months=2,5.00,
    IF(arrears_months=3,8.00,
    IF(arrears_months=4,10.00,
    IF(arrears_months=5,12.00,15.00)))))))</f>
        <v/>
      </c>
      <c r="M2728">
        <f>LET(
    seasoning_years,DATEDIF('Loan Tape (S&amp;P)'!K2728,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28">
        <f>IF(AND('Loan Tape (S&amp;P)'!U2728="Yes",
        'Loan Tape (S&amp;P)'!T2728&lt;&gt;"Yes",
        DATEDIF('Loan Tape (S&amp;P)'!K2728, TODAY(), "M")&lt;18),
    1.10,
    1.00)</f>
        <v/>
      </c>
      <c r="O2728">
        <f>IF('Loan Tape (S&amp;P)'!T2728="Yes",
    1.35,
    1.00)</f>
        <v/>
      </c>
      <c r="P2728">
        <f>IF('Loan Tape (S&amp;P)'!S2728="Yes",
    1.15,
    1.00)</f>
        <v/>
      </c>
      <c r="Q2728">
        <f>IF('Loan Tape (S&amp;P)'!V2728="Yes",
    1.20,
    1.00)</f>
        <v/>
      </c>
      <c r="T2728">
        <f>LET(
    payment_method,'Loan Tape (S&amp;P)'!P2728,
    occupancy,'Loan Tape (S&amp;P)'!N2728,
    maturity_date,'Loan Tape (S&amp;P)'!L2728,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29">
      <c r="J2729">
        <f>LET(
    lien,'Loan Tape (S&amp;P)'!Q2729,
    IF(lien="First",1.00,
        IF(lien="Second",1.50,
            1.70)))</f>
        <v/>
      </c>
      <c r="K2729">
        <f>LET(
    purpose,'Loan Tape (S&amp;P)'!R2729,
    IF(purpose="Purchase",1.00,
        IF(purpose="Remortgage",1.00,
            1.20)))</f>
        <v/>
      </c>
      <c r="L2729">
        <f>LET(
    arrears_months,'Loan Tape (S&amp;P)'!AN2729,
    IF(arrears_months=0,1.00,
    IF(arrears_months=1,3.00,
    IF(arrears_months=2,5.00,
    IF(arrears_months=3,8.00,
    IF(arrears_months=4,10.00,
    IF(arrears_months=5,12.00,15.00)))))))</f>
        <v/>
      </c>
      <c r="M2729">
        <f>LET(
    seasoning_years,DATEDIF('Loan Tape (S&amp;P)'!K2729,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29">
        <f>IF(AND('Loan Tape (S&amp;P)'!U2729="Yes",
        'Loan Tape (S&amp;P)'!T2729&lt;&gt;"Yes",
        DATEDIF('Loan Tape (S&amp;P)'!K2729, TODAY(), "M")&lt;18),
    1.10,
    1.00)</f>
        <v/>
      </c>
      <c r="O2729">
        <f>IF('Loan Tape (S&amp;P)'!T2729="Yes",
    1.35,
    1.00)</f>
        <v/>
      </c>
      <c r="P2729">
        <f>IF('Loan Tape (S&amp;P)'!S2729="Yes",
    1.15,
    1.00)</f>
        <v/>
      </c>
      <c r="Q2729">
        <f>IF('Loan Tape (S&amp;P)'!V2729="Yes",
    1.20,
    1.00)</f>
        <v/>
      </c>
      <c r="T2729">
        <f>LET(
    payment_method,'Loan Tape (S&amp;P)'!P2729,
    occupancy,'Loan Tape (S&amp;P)'!N2729,
    maturity_date,'Loan Tape (S&amp;P)'!L2729,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30">
      <c r="J2730">
        <f>LET(
    lien,'Loan Tape (S&amp;P)'!Q2730,
    IF(lien="First",1.00,
        IF(lien="Second",1.50,
            1.70)))</f>
        <v/>
      </c>
      <c r="K2730">
        <f>LET(
    purpose,'Loan Tape (S&amp;P)'!R2730,
    IF(purpose="Purchase",1.00,
        IF(purpose="Remortgage",1.00,
            1.20)))</f>
        <v/>
      </c>
      <c r="L2730">
        <f>LET(
    arrears_months,'Loan Tape (S&amp;P)'!AN2730,
    IF(arrears_months=0,1.00,
    IF(arrears_months=1,3.00,
    IF(arrears_months=2,5.00,
    IF(arrears_months=3,8.00,
    IF(arrears_months=4,10.00,
    IF(arrears_months=5,12.00,15.00)))))))</f>
        <v/>
      </c>
      <c r="M2730">
        <f>LET(
    seasoning_years,DATEDIF('Loan Tape (S&amp;P)'!K2730,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30">
        <f>IF(AND('Loan Tape (S&amp;P)'!U2730="Yes",
        'Loan Tape (S&amp;P)'!T2730&lt;&gt;"Yes",
        DATEDIF('Loan Tape (S&amp;P)'!K2730, TODAY(), "M")&lt;18),
    1.10,
    1.00)</f>
        <v/>
      </c>
      <c r="O2730">
        <f>IF('Loan Tape (S&amp;P)'!T2730="Yes",
    1.35,
    1.00)</f>
        <v/>
      </c>
      <c r="P2730">
        <f>IF('Loan Tape (S&amp;P)'!S2730="Yes",
    1.15,
    1.00)</f>
        <v/>
      </c>
      <c r="Q2730">
        <f>IF('Loan Tape (S&amp;P)'!V2730="Yes",
    1.20,
    1.00)</f>
        <v/>
      </c>
      <c r="T2730">
        <f>LET(
    payment_method,'Loan Tape (S&amp;P)'!P2730,
    occupancy,'Loan Tape (S&amp;P)'!N2730,
    maturity_date,'Loan Tape (S&amp;P)'!L2730,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31">
      <c r="J2731">
        <f>LET(
    lien,'Loan Tape (S&amp;P)'!Q2731,
    IF(lien="First",1.00,
        IF(lien="Second",1.50,
            1.70)))</f>
        <v/>
      </c>
      <c r="K2731">
        <f>LET(
    purpose,'Loan Tape (S&amp;P)'!R2731,
    IF(purpose="Purchase",1.00,
        IF(purpose="Remortgage",1.00,
            1.20)))</f>
        <v/>
      </c>
      <c r="L2731">
        <f>LET(
    arrears_months,'Loan Tape (S&amp;P)'!AN2731,
    IF(arrears_months=0,1.00,
    IF(arrears_months=1,3.00,
    IF(arrears_months=2,5.00,
    IF(arrears_months=3,8.00,
    IF(arrears_months=4,10.00,
    IF(arrears_months=5,12.00,15.00)))))))</f>
        <v/>
      </c>
      <c r="M2731">
        <f>LET(
    seasoning_years,DATEDIF('Loan Tape (S&amp;P)'!K2731,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31">
        <f>IF(AND('Loan Tape (S&amp;P)'!U2731="Yes",
        'Loan Tape (S&amp;P)'!T2731&lt;&gt;"Yes",
        DATEDIF('Loan Tape (S&amp;P)'!K2731, TODAY(), "M")&lt;18),
    1.10,
    1.00)</f>
        <v/>
      </c>
      <c r="O2731">
        <f>IF('Loan Tape (S&amp;P)'!T2731="Yes",
    1.35,
    1.00)</f>
        <v/>
      </c>
      <c r="P2731">
        <f>IF('Loan Tape (S&amp;P)'!S2731="Yes",
    1.15,
    1.00)</f>
        <v/>
      </c>
      <c r="Q2731">
        <f>IF('Loan Tape (S&amp;P)'!V2731="Yes",
    1.20,
    1.00)</f>
        <v/>
      </c>
      <c r="T2731">
        <f>LET(
    payment_method,'Loan Tape (S&amp;P)'!P2731,
    occupancy,'Loan Tape (S&amp;P)'!N2731,
    maturity_date,'Loan Tape (S&amp;P)'!L2731,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32">
      <c r="J2732">
        <f>LET(
    lien,'Loan Tape (S&amp;P)'!Q2732,
    IF(lien="First",1.00,
        IF(lien="Second",1.50,
            1.70)))</f>
        <v/>
      </c>
      <c r="K2732">
        <f>LET(
    purpose,'Loan Tape (S&amp;P)'!R2732,
    IF(purpose="Purchase",1.00,
        IF(purpose="Remortgage",1.00,
            1.20)))</f>
        <v/>
      </c>
      <c r="L2732">
        <f>LET(
    arrears_months,'Loan Tape (S&amp;P)'!AN2732,
    IF(arrears_months=0,1.00,
    IF(arrears_months=1,3.00,
    IF(arrears_months=2,5.00,
    IF(arrears_months=3,8.00,
    IF(arrears_months=4,10.00,
    IF(arrears_months=5,12.00,15.00)))))))</f>
        <v/>
      </c>
      <c r="M2732">
        <f>LET(
    seasoning_years,DATEDIF('Loan Tape (S&amp;P)'!K2732,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32">
        <f>IF(AND('Loan Tape (S&amp;P)'!U2732="Yes",
        'Loan Tape (S&amp;P)'!T2732&lt;&gt;"Yes",
        DATEDIF('Loan Tape (S&amp;P)'!K2732, TODAY(), "M")&lt;18),
    1.10,
    1.00)</f>
        <v/>
      </c>
      <c r="O2732">
        <f>IF('Loan Tape (S&amp;P)'!T2732="Yes",
    1.35,
    1.00)</f>
        <v/>
      </c>
      <c r="P2732">
        <f>IF('Loan Tape (S&amp;P)'!S2732="Yes",
    1.15,
    1.00)</f>
        <v/>
      </c>
      <c r="Q2732">
        <f>IF('Loan Tape (S&amp;P)'!V2732="Yes",
    1.20,
    1.00)</f>
        <v/>
      </c>
      <c r="T2732">
        <f>LET(
    payment_method,'Loan Tape (S&amp;P)'!P2732,
    occupancy,'Loan Tape (S&amp;P)'!N2732,
    maturity_date,'Loan Tape (S&amp;P)'!L2732,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33">
      <c r="J2733">
        <f>LET(
    lien,'Loan Tape (S&amp;P)'!Q2733,
    IF(lien="First",1.00,
        IF(lien="Second",1.50,
            1.70)))</f>
        <v/>
      </c>
      <c r="K2733">
        <f>LET(
    purpose,'Loan Tape (S&amp;P)'!R2733,
    IF(purpose="Purchase",1.00,
        IF(purpose="Remortgage",1.00,
            1.20)))</f>
        <v/>
      </c>
      <c r="L2733">
        <f>LET(
    arrears_months,'Loan Tape (S&amp;P)'!AN2733,
    IF(arrears_months=0,1.00,
    IF(arrears_months=1,3.00,
    IF(arrears_months=2,5.00,
    IF(arrears_months=3,8.00,
    IF(arrears_months=4,10.00,
    IF(arrears_months=5,12.00,15.00)))))))</f>
        <v/>
      </c>
      <c r="M2733">
        <f>LET(
    seasoning_years,DATEDIF('Loan Tape (S&amp;P)'!K2733,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33">
        <f>IF(AND('Loan Tape (S&amp;P)'!U2733="Yes",
        'Loan Tape (S&amp;P)'!T2733&lt;&gt;"Yes",
        DATEDIF('Loan Tape (S&amp;P)'!K2733, TODAY(), "M")&lt;18),
    1.10,
    1.00)</f>
        <v/>
      </c>
      <c r="O2733">
        <f>IF('Loan Tape (S&amp;P)'!T2733="Yes",
    1.35,
    1.00)</f>
        <v/>
      </c>
      <c r="P2733">
        <f>IF('Loan Tape (S&amp;P)'!S2733="Yes",
    1.15,
    1.00)</f>
        <v/>
      </c>
      <c r="Q2733">
        <f>IF('Loan Tape (S&amp;P)'!V2733="Yes",
    1.20,
    1.00)</f>
        <v/>
      </c>
      <c r="T2733">
        <f>LET(
    payment_method,'Loan Tape (S&amp;P)'!P2733,
    occupancy,'Loan Tape (S&amp;P)'!N2733,
    maturity_date,'Loan Tape (S&amp;P)'!L2733,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34">
      <c r="J2734">
        <f>LET(
    lien,'Loan Tape (S&amp;P)'!Q2734,
    IF(lien="First",1.00,
        IF(lien="Second",1.50,
            1.70)))</f>
        <v/>
      </c>
      <c r="K2734">
        <f>LET(
    purpose,'Loan Tape (S&amp;P)'!R2734,
    IF(purpose="Purchase",1.00,
        IF(purpose="Remortgage",1.00,
            1.20)))</f>
        <v/>
      </c>
      <c r="L2734">
        <f>LET(
    arrears_months,'Loan Tape (S&amp;P)'!AN2734,
    IF(arrears_months=0,1.00,
    IF(arrears_months=1,3.00,
    IF(arrears_months=2,5.00,
    IF(arrears_months=3,8.00,
    IF(arrears_months=4,10.00,
    IF(arrears_months=5,12.00,15.00)))))))</f>
        <v/>
      </c>
      <c r="M2734">
        <f>LET(
    seasoning_years,DATEDIF('Loan Tape (S&amp;P)'!K2734,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34">
        <f>IF(AND('Loan Tape (S&amp;P)'!U2734="Yes",
        'Loan Tape (S&amp;P)'!T2734&lt;&gt;"Yes",
        DATEDIF('Loan Tape (S&amp;P)'!K2734, TODAY(), "M")&lt;18),
    1.10,
    1.00)</f>
        <v/>
      </c>
      <c r="O2734">
        <f>IF('Loan Tape (S&amp;P)'!T2734="Yes",
    1.35,
    1.00)</f>
        <v/>
      </c>
      <c r="P2734">
        <f>IF('Loan Tape (S&amp;P)'!S2734="Yes",
    1.15,
    1.00)</f>
        <v/>
      </c>
      <c r="Q2734">
        <f>IF('Loan Tape (S&amp;P)'!V2734="Yes",
    1.20,
    1.00)</f>
        <v/>
      </c>
      <c r="T2734">
        <f>LET(
    payment_method,'Loan Tape (S&amp;P)'!P2734,
    occupancy,'Loan Tape (S&amp;P)'!N2734,
    maturity_date,'Loan Tape (S&amp;P)'!L2734,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35">
      <c r="J2735">
        <f>LET(
    lien,'Loan Tape (S&amp;P)'!Q2735,
    IF(lien="First",1.00,
        IF(lien="Second",1.50,
            1.70)))</f>
        <v/>
      </c>
      <c r="K2735">
        <f>LET(
    purpose,'Loan Tape (S&amp;P)'!R2735,
    IF(purpose="Purchase",1.00,
        IF(purpose="Remortgage",1.00,
            1.20)))</f>
        <v/>
      </c>
      <c r="L2735">
        <f>LET(
    arrears_months,'Loan Tape (S&amp;P)'!AN2735,
    IF(arrears_months=0,1.00,
    IF(arrears_months=1,3.00,
    IF(arrears_months=2,5.00,
    IF(arrears_months=3,8.00,
    IF(arrears_months=4,10.00,
    IF(arrears_months=5,12.00,15.00)))))))</f>
        <v/>
      </c>
      <c r="M2735">
        <f>LET(
    seasoning_years,DATEDIF('Loan Tape (S&amp;P)'!K2735,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35">
        <f>IF(AND('Loan Tape (S&amp;P)'!U2735="Yes",
        'Loan Tape (S&amp;P)'!T2735&lt;&gt;"Yes",
        DATEDIF('Loan Tape (S&amp;P)'!K2735, TODAY(), "M")&lt;18),
    1.10,
    1.00)</f>
        <v/>
      </c>
      <c r="O2735">
        <f>IF('Loan Tape (S&amp;P)'!T2735="Yes",
    1.35,
    1.00)</f>
        <v/>
      </c>
      <c r="P2735">
        <f>IF('Loan Tape (S&amp;P)'!S2735="Yes",
    1.15,
    1.00)</f>
        <v/>
      </c>
      <c r="Q2735">
        <f>IF('Loan Tape (S&amp;P)'!V2735="Yes",
    1.20,
    1.00)</f>
        <v/>
      </c>
      <c r="T2735">
        <f>LET(
    payment_method,'Loan Tape (S&amp;P)'!P2735,
    occupancy,'Loan Tape (S&amp;P)'!N2735,
    maturity_date,'Loan Tape (S&amp;P)'!L2735,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36">
      <c r="J2736">
        <f>LET(
    lien,'Loan Tape (S&amp;P)'!Q2736,
    IF(lien="First",1.00,
        IF(lien="Second",1.50,
            1.70)))</f>
        <v/>
      </c>
      <c r="K2736">
        <f>LET(
    purpose,'Loan Tape (S&amp;P)'!R2736,
    IF(purpose="Purchase",1.00,
        IF(purpose="Remortgage",1.00,
            1.20)))</f>
        <v/>
      </c>
      <c r="L2736">
        <f>LET(
    arrears_months,'Loan Tape (S&amp;P)'!AN2736,
    IF(arrears_months=0,1.00,
    IF(arrears_months=1,3.00,
    IF(arrears_months=2,5.00,
    IF(arrears_months=3,8.00,
    IF(arrears_months=4,10.00,
    IF(arrears_months=5,12.00,15.00)))))))</f>
        <v/>
      </c>
      <c r="M2736">
        <f>LET(
    seasoning_years,DATEDIF('Loan Tape (S&amp;P)'!K2736,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36">
        <f>IF(AND('Loan Tape (S&amp;P)'!U2736="Yes",
        'Loan Tape (S&amp;P)'!T2736&lt;&gt;"Yes",
        DATEDIF('Loan Tape (S&amp;P)'!K2736, TODAY(), "M")&lt;18),
    1.10,
    1.00)</f>
        <v/>
      </c>
      <c r="O2736">
        <f>IF('Loan Tape (S&amp;P)'!T2736="Yes",
    1.35,
    1.00)</f>
        <v/>
      </c>
      <c r="P2736">
        <f>IF('Loan Tape (S&amp;P)'!S2736="Yes",
    1.15,
    1.00)</f>
        <v/>
      </c>
      <c r="Q2736">
        <f>IF('Loan Tape (S&amp;P)'!V2736="Yes",
    1.20,
    1.00)</f>
        <v/>
      </c>
      <c r="T2736">
        <f>LET(
    payment_method,'Loan Tape (S&amp;P)'!P2736,
    occupancy,'Loan Tape (S&amp;P)'!N2736,
    maturity_date,'Loan Tape (S&amp;P)'!L2736,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37">
      <c r="J2737">
        <f>LET(
    lien,'Loan Tape (S&amp;P)'!Q2737,
    IF(lien="First",1.00,
        IF(lien="Second",1.50,
            1.70)))</f>
        <v/>
      </c>
      <c r="K2737">
        <f>LET(
    purpose,'Loan Tape (S&amp;P)'!R2737,
    IF(purpose="Purchase",1.00,
        IF(purpose="Remortgage",1.00,
            1.20)))</f>
        <v/>
      </c>
      <c r="L2737">
        <f>LET(
    arrears_months,'Loan Tape (S&amp;P)'!AN2737,
    IF(arrears_months=0,1.00,
    IF(arrears_months=1,3.00,
    IF(arrears_months=2,5.00,
    IF(arrears_months=3,8.00,
    IF(arrears_months=4,10.00,
    IF(arrears_months=5,12.00,15.00)))))))</f>
        <v/>
      </c>
      <c r="M2737">
        <f>LET(
    seasoning_years,DATEDIF('Loan Tape (S&amp;P)'!K2737,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37">
        <f>IF(AND('Loan Tape (S&amp;P)'!U2737="Yes",
        'Loan Tape (S&amp;P)'!T2737&lt;&gt;"Yes",
        DATEDIF('Loan Tape (S&amp;P)'!K2737, TODAY(), "M")&lt;18),
    1.10,
    1.00)</f>
        <v/>
      </c>
      <c r="O2737">
        <f>IF('Loan Tape (S&amp;P)'!T2737="Yes",
    1.35,
    1.00)</f>
        <v/>
      </c>
      <c r="P2737">
        <f>IF('Loan Tape (S&amp;P)'!S2737="Yes",
    1.15,
    1.00)</f>
        <v/>
      </c>
      <c r="Q2737">
        <f>IF('Loan Tape (S&amp;P)'!V2737="Yes",
    1.20,
    1.00)</f>
        <v/>
      </c>
      <c r="T2737">
        <f>LET(
    payment_method,'Loan Tape (S&amp;P)'!P2737,
    occupancy,'Loan Tape (S&amp;P)'!N2737,
    maturity_date,'Loan Tape (S&amp;P)'!L2737,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38">
      <c r="J2738">
        <f>LET(
    lien,'Loan Tape (S&amp;P)'!Q2738,
    IF(lien="First",1.00,
        IF(lien="Second",1.50,
            1.70)))</f>
        <v/>
      </c>
      <c r="K2738">
        <f>LET(
    purpose,'Loan Tape (S&amp;P)'!R2738,
    IF(purpose="Purchase",1.00,
        IF(purpose="Remortgage",1.00,
            1.20)))</f>
        <v/>
      </c>
      <c r="L2738">
        <f>LET(
    arrears_months,'Loan Tape (S&amp;P)'!AN2738,
    IF(arrears_months=0,1.00,
    IF(arrears_months=1,3.00,
    IF(arrears_months=2,5.00,
    IF(arrears_months=3,8.00,
    IF(arrears_months=4,10.00,
    IF(arrears_months=5,12.00,15.00)))))))</f>
        <v/>
      </c>
      <c r="M2738">
        <f>LET(
    seasoning_years,DATEDIF('Loan Tape (S&amp;P)'!K2738,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38">
        <f>IF(AND('Loan Tape (S&amp;P)'!U2738="Yes",
        'Loan Tape (S&amp;P)'!T2738&lt;&gt;"Yes",
        DATEDIF('Loan Tape (S&amp;P)'!K2738, TODAY(), "M")&lt;18),
    1.10,
    1.00)</f>
        <v/>
      </c>
      <c r="O2738">
        <f>IF('Loan Tape (S&amp;P)'!T2738="Yes",
    1.35,
    1.00)</f>
        <v/>
      </c>
      <c r="P2738">
        <f>IF('Loan Tape (S&amp;P)'!S2738="Yes",
    1.15,
    1.00)</f>
        <v/>
      </c>
      <c r="Q2738">
        <f>IF('Loan Tape (S&amp;P)'!V2738="Yes",
    1.20,
    1.00)</f>
        <v/>
      </c>
      <c r="T2738">
        <f>LET(
    payment_method,'Loan Tape (S&amp;P)'!P2738,
    occupancy,'Loan Tape (S&amp;P)'!N2738,
    maturity_date,'Loan Tape (S&amp;P)'!L2738,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39">
      <c r="J2739">
        <f>LET(
    lien,'Loan Tape (S&amp;P)'!Q2739,
    IF(lien="First",1.00,
        IF(lien="Second",1.50,
            1.70)))</f>
        <v/>
      </c>
      <c r="K2739">
        <f>LET(
    purpose,'Loan Tape (S&amp;P)'!R2739,
    IF(purpose="Purchase",1.00,
        IF(purpose="Remortgage",1.00,
            1.20)))</f>
        <v/>
      </c>
      <c r="L2739">
        <f>LET(
    arrears_months,'Loan Tape (S&amp;P)'!AN2739,
    IF(arrears_months=0,1.00,
    IF(arrears_months=1,3.00,
    IF(arrears_months=2,5.00,
    IF(arrears_months=3,8.00,
    IF(arrears_months=4,10.00,
    IF(arrears_months=5,12.00,15.00)))))))</f>
        <v/>
      </c>
      <c r="M2739">
        <f>LET(
    seasoning_years,DATEDIF('Loan Tape (S&amp;P)'!K2739,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39">
        <f>IF(AND('Loan Tape (S&amp;P)'!U2739="Yes",
        'Loan Tape (S&amp;P)'!T2739&lt;&gt;"Yes",
        DATEDIF('Loan Tape (S&amp;P)'!K2739, TODAY(), "M")&lt;18),
    1.10,
    1.00)</f>
        <v/>
      </c>
      <c r="O2739">
        <f>IF('Loan Tape (S&amp;P)'!T2739="Yes",
    1.35,
    1.00)</f>
        <v/>
      </c>
      <c r="P2739">
        <f>IF('Loan Tape (S&amp;P)'!S2739="Yes",
    1.15,
    1.00)</f>
        <v/>
      </c>
      <c r="Q2739">
        <f>IF('Loan Tape (S&amp;P)'!V2739="Yes",
    1.20,
    1.00)</f>
        <v/>
      </c>
      <c r="T2739">
        <f>LET(
    payment_method,'Loan Tape (S&amp;P)'!P2739,
    occupancy,'Loan Tape (S&amp;P)'!N2739,
    maturity_date,'Loan Tape (S&amp;P)'!L2739,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40">
      <c r="J2740">
        <f>LET(
    lien,'Loan Tape (S&amp;P)'!Q2740,
    IF(lien="First",1.00,
        IF(lien="Second",1.50,
            1.70)))</f>
        <v/>
      </c>
      <c r="K2740">
        <f>LET(
    purpose,'Loan Tape (S&amp;P)'!R2740,
    IF(purpose="Purchase",1.00,
        IF(purpose="Remortgage",1.00,
            1.20)))</f>
        <v/>
      </c>
      <c r="L2740">
        <f>LET(
    arrears_months,'Loan Tape (S&amp;P)'!AN2740,
    IF(arrears_months=0,1.00,
    IF(arrears_months=1,3.00,
    IF(arrears_months=2,5.00,
    IF(arrears_months=3,8.00,
    IF(arrears_months=4,10.00,
    IF(arrears_months=5,12.00,15.00)))))))</f>
        <v/>
      </c>
      <c r="M2740">
        <f>LET(
    seasoning_years,DATEDIF('Loan Tape (S&amp;P)'!K2740,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40">
        <f>IF(AND('Loan Tape (S&amp;P)'!U2740="Yes",
        'Loan Tape (S&amp;P)'!T2740&lt;&gt;"Yes",
        DATEDIF('Loan Tape (S&amp;P)'!K2740, TODAY(), "M")&lt;18),
    1.10,
    1.00)</f>
        <v/>
      </c>
      <c r="O2740">
        <f>IF('Loan Tape (S&amp;P)'!T2740="Yes",
    1.35,
    1.00)</f>
        <v/>
      </c>
      <c r="P2740">
        <f>IF('Loan Tape (S&amp;P)'!S2740="Yes",
    1.15,
    1.00)</f>
        <v/>
      </c>
      <c r="Q2740">
        <f>IF('Loan Tape (S&amp;P)'!V2740="Yes",
    1.20,
    1.00)</f>
        <v/>
      </c>
      <c r="T2740">
        <f>LET(
    payment_method,'Loan Tape (S&amp;P)'!P2740,
    occupancy,'Loan Tape (S&amp;P)'!N2740,
    maturity_date,'Loan Tape (S&amp;P)'!L2740,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41">
      <c r="J2741">
        <f>LET(
    lien,'Loan Tape (S&amp;P)'!Q2741,
    IF(lien="First",1.00,
        IF(lien="Second",1.50,
            1.70)))</f>
        <v/>
      </c>
      <c r="K2741">
        <f>LET(
    purpose,'Loan Tape (S&amp;P)'!R2741,
    IF(purpose="Purchase",1.00,
        IF(purpose="Remortgage",1.00,
            1.20)))</f>
        <v/>
      </c>
      <c r="L2741">
        <f>LET(
    arrears_months,'Loan Tape (S&amp;P)'!AN2741,
    IF(arrears_months=0,1.00,
    IF(arrears_months=1,3.00,
    IF(arrears_months=2,5.00,
    IF(arrears_months=3,8.00,
    IF(arrears_months=4,10.00,
    IF(arrears_months=5,12.00,15.00)))))))</f>
        <v/>
      </c>
      <c r="M2741">
        <f>LET(
    seasoning_years,DATEDIF('Loan Tape (S&amp;P)'!K2741,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41">
        <f>IF(AND('Loan Tape (S&amp;P)'!U2741="Yes",
        'Loan Tape (S&amp;P)'!T2741&lt;&gt;"Yes",
        DATEDIF('Loan Tape (S&amp;P)'!K2741, TODAY(), "M")&lt;18),
    1.10,
    1.00)</f>
        <v/>
      </c>
      <c r="O2741">
        <f>IF('Loan Tape (S&amp;P)'!T2741="Yes",
    1.35,
    1.00)</f>
        <v/>
      </c>
      <c r="P2741">
        <f>IF('Loan Tape (S&amp;P)'!S2741="Yes",
    1.15,
    1.00)</f>
        <v/>
      </c>
      <c r="Q2741">
        <f>IF('Loan Tape (S&amp;P)'!V2741="Yes",
    1.20,
    1.00)</f>
        <v/>
      </c>
      <c r="T2741">
        <f>LET(
    payment_method,'Loan Tape (S&amp;P)'!P2741,
    occupancy,'Loan Tape (S&amp;P)'!N2741,
    maturity_date,'Loan Tape (S&amp;P)'!L2741,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42">
      <c r="J2742">
        <f>LET(
    lien,'Loan Tape (S&amp;P)'!Q2742,
    IF(lien="First",1.00,
        IF(lien="Second",1.50,
            1.70)))</f>
        <v/>
      </c>
      <c r="K2742">
        <f>LET(
    purpose,'Loan Tape (S&amp;P)'!R2742,
    IF(purpose="Purchase",1.00,
        IF(purpose="Remortgage",1.00,
            1.20)))</f>
        <v/>
      </c>
      <c r="L2742">
        <f>LET(
    arrears_months,'Loan Tape (S&amp;P)'!AN2742,
    IF(arrears_months=0,1.00,
    IF(arrears_months=1,3.00,
    IF(arrears_months=2,5.00,
    IF(arrears_months=3,8.00,
    IF(arrears_months=4,10.00,
    IF(arrears_months=5,12.00,15.00)))))))</f>
        <v/>
      </c>
      <c r="M2742">
        <f>LET(
    seasoning_years,DATEDIF('Loan Tape (S&amp;P)'!K2742,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42">
        <f>IF(AND('Loan Tape (S&amp;P)'!U2742="Yes",
        'Loan Tape (S&amp;P)'!T2742&lt;&gt;"Yes",
        DATEDIF('Loan Tape (S&amp;P)'!K2742, TODAY(), "M")&lt;18),
    1.10,
    1.00)</f>
        <v/>
      </c>
      <c r="O2742">
        <f>IF('Loan Tape (S&amp;P)'!T2742="Yes",
    1.35,
    1.00)</f>
        <v/>
      </c>
      <c r="P2742">
        <f>IF('Loan Tape (S&amp;P)'!S2742="Yes",
    1.15,
    1.00)</f>
        <v/>
      </c>
      <c r="Q2742">
        <f>IF('Loan Tape (S&amp;P)'!V2742="Yes",
    1.20,
    1.00)</f>
        <v/>
      </c>
      <c r="T2742">
        <f>LET(
    payment_method,'Loan Tape (S&amp;P)'!P2742,
    occupancy,'Loan Tape (S&amp;P)'!N2742,
    maturity_date,'Loan Tape (S&amp;P)'!L2742,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43">
      <c r="J2743">
        <f>LET(
    lien,'Loan Tape (S&amp;P)'!Q2743,
    IF(lien="First",1.00,
        IF(lien="Second",1.50,
            1.70)))</f>
        <v/>
      </c>
      <c r="K2743">
        <f>LET(
    purpose,'Loan Tape (S&amp;P)'!R2743,
    IF(purpose="Purchase",1.00,
        IF(purpose="Remortgage",1.00,
            1.20)))</f>
        <v/>
      </c>
      <c r="L2743">
        <f>LET(
    arrears_months,'Loan Tape (S&amp;P)'!AN2743,
    IF(arrears_months=0,1.00,
    IF(arrears_months=1,3.00,
    IF(arrears_months=2,5.00,
    IF(arrears_months=3,8.00,
    IF(arrears_months=4,10.00,
    IF(arrears_months=5,12.00,15.00)))))))</f>
        <v/>
      </c>
      <c r="M2743">
        <f>LET(
    seasoning_years,DATEDIF('Loan Tape (S&amp;P)'!K2743,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43">
        <f>IF(AND('Loan Tape (S&amp;P)'!U2743="Yes",
        'Loan Tape (S&amp;P)'!T2743&lt;&gt;"Yes",
        DATEDIF('Loan Tape (S&amp;P)'!K2743, TODAY(), "M")&lt;18),
    1.10,
    1.00)</f>
        <v/>
      </c>
      <c r="O2743">
        <f>IF('Loan Tape (S&amp;P)'!T2743="Yes",
    1.35,
    1.00)</f>
        <v/>
      </c>
      <c r="P2743">
        <f>IF('Loan Tape (S&amp;P)'!S2743="Yes",
    1.15,
    1.00)</f>
        <v/>
      </c>
      <c r="Q2743">
        <f>IF('Loan Tape (S&amp;P)'!V2743="Yes",
    1.20,
    1.00)</f>
        <v/>
      </c>
      <c r="T2743">
        <f>LET(
    payment_method,'Loan Tape (S&amp;P)'!P2743,
    occupancy,'Loan Tape (S&amp;P)'!N2743,
    maturity_date,'Loan Tape (S&amp;P)'!L2743,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44">
      <c r="J2744">
        <f>LET(
    lien,'Loan Tape (S&amp;P)'!Q2744,
    IF(lien="First",1.00,
        IF(lien="Second",1.50,
            1.70)))</f>
        <v/>
      </c>
      <c r="K2744">
        <f>LET(
    purpose,'Loan Tape (S&amp;P)'!R2744,
    IF(purpose="Purchase",1.00,
        IF(purpose="Remortgage",1.00,
            1.20)))</f>
        <v/>
      </c>
      <c r="L2744">
        <f>LET(
    arrears_months,'Loan Tape (S&amp;P)'!AN2744,
    IF(arrears_months=0,1.00,
    IF(arrears_months=1,3.00,
    IF(arrears_months=2,5.00,
    IF(arrears_months=3,8.00,
    IF(arrears_months=4,10.00,
    IF(arrears_months=5,12.00,15.00)))))))</f>
        <v/>
      </c>
      <c r="M2744">
        <f>LET(
    seasoning_years,DATEDIF('Loan Tape (S&amp;P)'!K2744,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44">
        <f>IF(AND('Loan Tape (S&amp;P)'!U2744="Yes",
        'Loan Tape (S&amp;P)'!T2744&lt;&gt;"Yes",
        DATEDIF('Loan Tape (S&amp;P)'!K2744, TODAY(), "M")&lt;18),
    1.10,
    1.00)</f>
        <v/>
      </c>
      <c r="O2744">
        <f>IF('Loan Tape (S&amp;P)'!T2744="Yes",
    1.35,
    1.00)</f>
        <v/>
      </c>
      <c r="P2744">
        <f>IF('Loan Tape (S&amp;P)'!S2744="Yes",
    1.15,
    1.00)</f>
        <v/>
      </c>
      <c r="Q2744">
        <f>IF('Loan Tape (S&amp;P)'!V2744="Yes",
    1.20,
    1.00)</f>
        <v/>
      </c>
      <c r="T2744">
        <f>LET(
    payment_method,'Loan Tape (S&amp;P)'!P2744,
    occupancy,'Loan Tape (S&amp;P)'!N2744,
    maturity_date,'Loan Tape (S&amp;P)'!L2744,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45">
      <c r="J2745">
        <f>LET(
    lien,'Loan Tape (S&amp;P)'!Q2745,
    IF(lien="First",1.00,
        IF(lien="Second",1.50,
            1.70)))</f>
        <v/>
      </c>
      <c r="K2745">
        <f>LET(
    purpose,'Loan Tape (S&amp;P)'!R2745,
    IF(purpose="Purchase",1.00,
        IF(purpose="Remortgage",1.00,
            1.20)))</f>
        <v/>
      </c>
      <c r="L2745">
        <f>LET(
    arrears_months,'Loan Tape (S&amp;P)'!AN2745,
    IF(arrears_months=0,1.00,
    IF(arrears_months=1,3.00,
    IF(arrears_months=2,5.00,
    IF(arrears_months=3,8.00,
    IF(arrears_months=4,10.00,
    IF(arrears_months=5,12.00,15.00)))))))</f>
        <v/>
      </c>
      <c r="M2745">
        <f>LET(
    seasoning_years,DATEDIF('Loan Tape (S&amp;P)'!K2745,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45">
        <f>IF(AND('Loan Tape (S&amp;P)'!U2745="Yes",
        'Loan Tape (S&amp;P)'!T2745&lt;&gt;"Yes",
        DATEDIF('Loan Tape (S&amp;P)'!K2745, TODAY(), "M")&lt;18),
    1.10,
    1.00)</f>
        <v/>
      </c>
      <c r="O2745">
        <f>IF('Loan Tape (S&amp;P)'!T2745="Yes",
    1.35,
    1.00)</f>
        <v/>
      </c>
      <c r="P2745">
        <f>IF('Loan Tape (S&amp;P)'!S2745="Yes",
    1.15,
    1.00)</f>
        <v/>
      </c>
      <c r="Q2745">
        <f>IF('Loan Tape (S&amp;P)'!V2745="Yes",
    1.20,
    1.00)</f>
        <v/>
      </c>
      <c r="T2745">
        <f>LET(
    payment_method,'Loan Tape (S&amp;P)'!P2745,
    occupancy,'Loan Tape (S&amp;P)'!N2745,
    maturity_date,'Loan Tape (S&amp;P)'!L2745,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46">
      <c r="J2746">
        <f>LET(
    lien,'Loan Tape (S&amp;P)'!Q2746,
    IF(lien="First",1.00,
        IF(lien="Second",1.50,
            1.70)))</f>
        <v/>
      </c>
      <c r="K2746">
        <f>LET(
    purpose,'Loan Tape (S&amp;P)'!R2746,
    IF(purpose="Purchase",1.00,
        IF(purpose="Remortgage",1.00,
            1.20)))</f>
        <v/>
      </c>
      <c r="L2746">
        <f>LET(
    arrears_months,'Loan Tape (S&amp;P)'!AN2746,
    IF(arrears_months=0,1.00,
    IF(arrears_months=1,3.00,
    IF(arrears_months=2,5.00,
    IF(arrears_months=3,8.00,
    IF(arrears_months=4,10.00,
    IF(arrears_months=5,12.00,15.00)))))))</f>
        <v/>
      </c>
      <c r="M2746">
        <f>LET(
    seasoning_years,DATEDIF('Loan Tape (S&amp;P)'!K2746,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46">
        <f>IF(AND('Loan Tape (S&amp;P)'!U2746="Yes",
        'Loan Tape (S&amp;P)'!T2746&lt;&gt;"Yes",
        DATEDIF('Loan Tape (S&amp;P)'!K2746, TODAY(), "M")&lt;18),
    1.10,
    1.00)</f>
        <v/>
      </c>
      <c r="O2746">
        <f>IF('Loan Tape (S&amp;P)'!T2746="Yes",
    1.35,
    1.00)</f>
        <v/>
      </c>
      <c r="P2746">
        <f>IF('Loan Tape (S&amp;P)'!S2746="Yes",
    1.15,
    1.00)</f>
        <v/>
      </c>
      <c r="Q2746">
        <f>IF('Loan Tape (S&amp;P)'!V2746="Yes",
    1.20,
    1.00)</f>
        <v/>
      </c>
      <c r="T2746">
        <f>LET(
    payment_method,'Loan Tape (S&amp;P)'!P2746,
    occupancy,'Loan Tape (S&amp;P)'!N2746,
    maturity_date,'Loan Tape (S&amp;P)'!L2746,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47">
      <c r="J2747">
        <f>LET(
    lien,'Loan Tape (S&amp;P)'!Q2747,
    IF(lien="First",1.00,
        IF(lien="Second",1.50,
            1.70)))</f>
        <v/>
      </c>
      <c r="K2747">
        <f>LET(
    purpose,'Loan Tape (S&amp;P)'!R2747,
    IF(purpose="Purchase",1.00,
        IF(purpose="Remortgage",1.00,
            1.20)))</f>
        <v/>
      </c>
      <c r="L2747">
        <f>LET(
    arrears_months,'Loan Tape (S&amp;P)'!AN2747,
    IF(arrears_months=0,1.00,
    IF(arrears_months=1,3.00,
    IF(arrears_months=2,5.00,
    IF(arrears_months=3,8.00,
    IF(arrears_months=4,10.00,
    IF(arrears_months=5,12.00,15.00)))))))</f>
        <v/>
      </c>
      <c r="M2747">
        <f>LET(
    seasoning_years,DATEDIF('Loan Tape (S&amp;P)'!K2747,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47">
        <f>IF(AND('Loan Tape (S&amp;P)'!U2747="Yes",
        'Loan Tape (S&amp;P)'!T2747&lt;&gt;"Yes",
        DATEDIF('Loan Tape (S&amp;P)'!K2747, TODAY(), "M")&lt;18),
    1.10,
    1.00)</f>
        <v/>
      </c>
      <c r="O2747">
        <f>IF('Loan Tape (S&amp;P)'!T2747="Yes",
    1.35,
    1.00)</f>
        <v/>
      </c>
      <c r="P2747">
        <f>IF('Loan Tape (S&amp;P)'!S2747="Yes",
    1.15,
    1.00)</f>
        <v/>
      </c>
      <c r="Q2747">
        <f>IF('Loan Tape (S&amp;P)'!V2747="Yes",
    1.20,
    1.00)</f>
        <v/>
      </c>
      <c r="T2747">
        <f>LET(
    payment_method,'Loan Tape (S&amp;P)'!P2747,
    occupancy,'Loan Tape (S&amp;P)'!N2747,
    maturity_date,'Loan Tape (S&amp;P)'!L2747,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48">
      <c r="J2748">
        <f>LET(
    lien,'Loan Tape (S&amp;P)'!Q2748,
    IF(lien="First",1.00,
        IF(lien="Second",1.50,
            1.70)))</f>
        <v/>
      </c>
      <c r="K2748">
        <f>LET(
    purpose,'Loan Tape (S&amp;P)'!R2748,
    IF(purpose="Purchase",1.00,
        IF(purpose="Remortgage",1.00,
            1.20)))</f>
        <v/>
      </c>
      <c r="L2748">
        <f>LET(
    arrears_months,'Loan Tape (S&amp;P)'!AN2748,
    IF(arrears_months=0,1.00,
    IF(arrears_months=1,3.00,
    IF(arrears_months=2,5.00,
    IF(arrears_months=3,8.00,
    IF(arrears_months=4,10.00,
    IF(arrears_months=5,12.00,15.00)))))))</f>
        <v/>
      </c>
      <c r="M2748">
        <f>LET(
    seasoning_years,DATEDIF('Loan Tape (S&amp;P)'!K2748,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48">
        <f>IF(AND('Loan Tape (S&amp;P)'!U2748="Yes",
        'Loan Tape (S&amp;P)'!T2748&lt;&gt;"Yes",
        DATEDIF('Loan Tape (S&amp;P)'!K2748, TODAY(), "M")&lt;18),
    1.10,
    1.00)</f>
        <v/>
      </c>
      <c r="O2748">
        <f>IF('Loan Tape (S&amp;P)'!T2748="Yes",
    1.35,
    1.00)</f>
        <v/>
      </c>
      <c r="P2748">
        <f>IF('Loan Tape (S&amp;P)'!S2748="Yes",
    1.15,
    1.00)</f>
        <v/>
      </c>
      <c r="Q2748">
        <f>IF('Loan Tape (S&amp;P)'!V2748="Yes",
    1.20,
    1.00)</f>
        <v/>
      </c>
      <c r="T2748">
        <f>LET(
    payment_method,'Loan Tape (S&amp;P)'!P2748,
    occupancy,'Loan Tape (S&amp;P)'!N2748,
    maturity_date,'Loan Tape (S&amp;P)'!L2748,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49">
      <c r="J2749">
        <f>LET(
    lien,'Loan Tape (S&amp;P)'!Q2749,
    IF(lien="First",1.00,
        IF(lien="Second",1.50,
            1.70)))</f>
        <v/>
      </c>
      <c r="K2749">
        <f>LET(
    purpose,'Loan Tape (S&amp;P)'!R2749,
    IF(purpose="Purchase",1.00,
        IF(purpose="Remortgage",1.00,
            1.20)))</f>
        <v/>
      </c>
      <c r="L2749">
        <f>LET(
    arrears_months,'Loan Tape (S&amp;P)'!AN2749,
    IF(arrears_months=0,1.00,
    IF(arrears_months=1,3.00,
    IF(arrears_months=2,5.00,
    IF(arrears_months=3,8.00,
    IF(arrears_months=4,10.00,
    IF(arrears_months=5,12.00,15.00)))))))</f>
        <v/>
      </c>
      <c r="M2749">
        <f>LET(
    seasoning_years,DATEDIF('Loan Tape (S&amp;P)'!K2749,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49">
        <f>IF(AND('Loan Tape (S&amp;P)'!U2749="Yes",
        'Loan Tape (S&amp;P)'!T2749&lt;&gt;"Yes",
        DATEDIF('Loan Tape (S&amp;P)'!K2749, TODAY(), "M")&lt;18),
    1.10,
    1.00)</f>
        <v/>
      </c>
      <c r="O2749">
        <f>IF('Loan Tape (S&amp;P)'!T2749="Yes",
    1.35,
    1.00)</f>
        <v/>
      </c>
      <c r="P2749">
        <f>IF('Loan Tape (S&amp;P)'!S2749="Yes",
    1.15,
    1.00)</f>
        <v/>
      </c>
      <c r="Q2749">
        <f>IF('Loan Tape (S&amp;P)'!V2749="Yes",
    1.20,
    1.00)</f>
        <v/>
      </c>
      <c r="T2749">
        <f>LET(
    payment_method,'Loan Tape (S&amp;P)'!P2749,
    occupancy,'Loan Tape (S&amp;P)'!N2749,
    maturity_date,'Loan Tape (S&amp;P)'!L2749,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50">
      <c r="J2750">
        <f>LET(
    lien,'Loan Tape (S&amp;P)'!Q2750,
    IF(lien="First",1.00,
        IF(lien="Second",1.50,
            1.70)))</f>
        <v/>
      </c>
      <c r="K2750">
        <f>LET(
    purpose,'Loan Tape (S&amp;P)'!R2750,
    IF(purpose="Purchase",1.00,
        IF(purpose="Remortgage",1.00,
            1.20)))</f>
        <v/>
      </c>
      <c r="L2750">
        <f>LET(
    arrears_months,'Loan Tape (S&amp;P)'!AN2750,
    IF(arrears_months=0,1.00,
    IF(arrears_months=1,3.00,
    IF(arrears_months=2,5.00,
    IF(arrears_months=3,8.00,
    IF(arrears_months=4,10.00,
    IF(arrears_months=5,12.00,15.00)))))))</f>
        <v/>
      </c>
      <c r="M2750">
        <f>LET(
    seasoning_years,DATEDIF('Loan Tape (S&amp;P)'!K2750,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50">
        <f>IF(AND('Loan Tape (S&amp;P)'!U2750="Yes",
        'Loan Tape (S&amp;P)'!T2750&lt;&gt;"Yes",
        DATEDIF('Loan Tape (S&amp;P)'!K2750, TODAY(), "M")&lt;18),
    1.10,
    1.00)</f>
        <v/>
      </c>
      <c r="O2750">
        <f>IF('Loan Tape (S&amp;P)'!T2750="Yes",
    1.35,
    1.00)</f>
        <v/>
      </c>
      <c r="P2750">
        <f>IF('Loan Tape (S&amp;P)'!S2750="Yes",
    1.15,
    1.00)</f>
        <v/>
      </c>
      <c r="Q2750">
        <f>IF('Loan Tape (S&amp;P)'!V2750="Yes",
    1.20,
    1.00)</f>
        <v/>
      </c>
      <c r="T2750">
        <f>LET(
    payment_method,'Loan Tape (S&amp;P)'!P2750,
    occupancy,'Loan Tape (S&amp;P)'!N2750,
    maturity_date,'Loan Tape (S&amp;P)'!L2750,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51">
      <c r="J2751">
        <f>LET(
    lien,'Loan Tape (S&amp;P)'!Q2751,
    IF(lien="First",1.00,
        IF(lien="Second",1.50,
            1.70)))</f>
        <v/>
      </c>
      <c r="K2751">
        <f>LET(
    purpose,'Loan Tape (S&amp;P)'!R2751,
    IF(purpose="Purchase",1.00,
        IF(purpose="Remortgage",1.00,
            1.20)))</f>
        <v/>
      </c>
      <c r="L2751">
        <f>LET(
    arrears_months,'Loan Tape (S&amp;P)'!AN2751,
    IF(arrears_months=0,1.00,
    IF(arrears_months=1,3.00,
    IF(arrears_months=2,5.00,
    IF(arrears_months=3,8.00,
    IF(arrears_months=4,10.00,
    IF(arrears_months=5,12.00,15.00)))))))</f>
        <v/>
      </c>
      <c r="M2751">
        <f>LET(
    seasoning_years,DATEDIF('Loan Tape (S&amp;P)'!K2751,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51">
        <f>IF(AND('Loan Tape (S&amp;P)'!U2751="Yes",
        'Loan Tape (S&amp;P)'!T2751&lt;&gt;"Yes",
        DATEDIF('Loan Tape (S&amp;P)'!K2751, TODAY(), "M")&lt;18),
    1.10,
    1.00)</f>
        <v/>
      </c>
      <c r="O2751">
        <f>IF('Loan Tape (S&amp;P)'!T2751="Yes",
    1.35,
    1.00)</f>
        <v/>
      </c>
      <c r="P2751">
        <f>IF('Loan Tape (S&amp;P)'!S2751="Yes",
    1.15,
    1.00)</f>
        <v/>
      </c>
      <c r="Q2751">
        <f>IF('Loan Tape (S&amp;P)'!V2751="Yes",
    1.20,
    1.00)</f>
        <v/>
      </c>
      <c r="T2751">
        <f>LET(
    payment_method,'Loan Tape (S&amp;P)'!P2751,
    occupancy,'Loan Tape (S&amp;P)'!N2751,
    maturity_date,'Loan Tape (S&amp;P)'!L2751,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52">
      <c r="J2752">
        <f>LET(
    lien,'Loan Tape (S&amp;P)'!Q2752,
    IF(lien="First",1.00,
        IF(lien="Second",1.50,
            1.70)))</f>
        <v/>
      </c>
      <c r="K2752">
        <f>LET(
    purpose,'Loan Tape (S&amp;P)'!R2752,
    IF(purpose="Purchase",1.00,
        IF(purpose="Remortgage",1.00,
            1.20)))</f>
        <v/>
      </c>
      <c r="L2752">
        <f>LET(
    arrears_months,'Loan Tape (S&amp;P)'!AN2752,
    IF(arrears_months=0,1.00,
    IF(arrears_months=1,3.00,
    IF(arrears_months=2,5.00,
    IF(arrears_months=3,8.00,
    IF(arrears_months=4,10.00,
    IF(arrears_months=5,12.00,15.00)))))))</f>
        <v/>
      </c>
      <c r="M2752">
        <f>LET(
    seasoning_years,DATEDIF('Loan Tape (S&amp;P)'!K2752,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52">
        <f>IF(AND('Loan Tape (S&amp;P)'!U2752="Yes",
        'Loan Tape (S&amp;P)'!T2752&lt;&gt;"Yes",
        DATEDIF('Loan Tape (S&amp;P)'!K2752, TODAY(), "M")&lt;18),
    1.10,
    1.00)</f>
        <v/>
      </c>
      <c r="O2752">
        <f>IF('Loan Tape (S&amp;P)'!T2752="Yes",
    1.35,
    1.00)</f>
        <v/>
      </c>
      <c r="P2752">
        <f>IF('Loan Tape (S&amp;P)'!S2752="Yes",
    1.15,
    1.00)</f>
        <v/>
      </c>
      <c r="Q2752">
        <f>IF('Loan Tape (S&amp;P)'!V2752="Yes",
    1.20,
    1.00)</f>
        <v/>
      </c>
      <c r="T2752">
        <f>LET(
    payment_method,'Loan Tape (S&amp;P)'!P2752,
    occupancy,'Loan Tape (S&amp;P)'!N2752,
    maturity_date,'Loan Tape (S&amp;P)'!L2752,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53">
      <c r="J2753">
        <f>LET(
    lien,'Loan Tape (S&amp;P)'!Q2753,
    IF(lien="First",1.00,
        IF(lien="Second",1.50,
            1.70)))</f>
        <v/>
      </c>
      <c r="K2753">
        <f>LET(
    purpose,'Loan Tape (S&amp;P)'!R2753,
    IF(purpose="Purchase",1.00,
        IF(purpose="Remortgage",1.00,
            1.20)))</f>
        <v/>
      </c>
      <c r="L2753">
        <f>LET(
    arrears_months,'Loan Tape (S&amp;P)'!AN2753,
    IF(arrears_months=0,1.00,
    IF(arrears_months=1,3.00,
    IF(arrears_months=2,5.00,
    IF(arrears_months=3,8.00,
    IF(arrears_months=4,10.00,
    IF(arrears_months=5,12.00,15.00)))))))</f>
        <v/>
      </c>
      <c r="M2753">
        <f>LET(
    seasoning_years,DATEDIF('Loan Tape (S&amp;P)'!K2753,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53">
        <f>IF(AND('Loan Tape (S&amp;P)'!U2753="Yes",
        'Loan Tape (S&amp;P)'!T2753&lt;&gt;"Yes",
        DATEDIF('Loan Tape (S&amp;P)'!K2753, TODAY(), "M")&lt;18),
    1.10,
    1.00)</f>
        <v/>
      </c>
      <c r="O2753">
        <f>IF('Loan Tape (S&amp;P)'!T2753="Yes",
    1.35,
    1.00)</f>
        <v/>
      </c>
      <c r="P2753">
        <f>IF('Loan Tape (S&amp;P)'!S2753="Yes",
    1.15,
    1.00)</f>
        <v/>
      </c>
      <c r="Q2753">
        <f>IF('Loan Tape (S&amp;P)'!V2753="Yes",
    1.20,
    1.00)</f>
        <v/>
      </c>
      <c r="T2753">
        <f>LET(
    payment_method,'Loan Tape (S&amp;P)'!P2753,
    occupancy,'Loan Tape (S&amp;P)'!N2753,
    maturity_date,'Loan Tape (S&amp;P)'!L2753,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54">
      <c r="J2754">
        <f>LET(
    lien,'Loan Tape (S&amp;P)'!Q2754,
    IF(lien="First",1.00,
        IF(lien="Second",1.50,
            1.70)))</f>
        <v/>
      </c>
      <c r="K2754">
        <f>LET(
    purpose,'Loan Tape (S&amp;P)'!R2754,
    IF(purpose="Purchase",1.00,
        IF(purpose="Remortgage",1.00,
            1.20)))</f>
        <v/>
      </c>
      <c r="L2754">
        <f>LET(
    arrears_months,'Loan Tape (S&amp;P)'!AN2754,
    IF(arrears_months=0,1.00,
    IF(arrears_months=1,3.00,
    IF(arrears_months=2,5.00,
    IF(arrears_months=3,8.00,
    IF(arrears_months=4,10.00,
    IF(arrears_months=5,12.00,15.00)))))))</f>
        <v/>
      </c>
      <c r="M2754">
        <f>LET(
    seasoning_years,DATEDIF('Loan Tape (S&amp;P)'!K2754,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54">
        <f>IF(AND('Loan Tape (S&amp;P)'!U2754="Yes",
        'Loan Tape (S&amp;P)'!T2754&lt;&gt;"Yes",
        DATEDIF('Loan Tape (S&amp;P)'!K2754, TODAY(), "M")&lt;18),
    1.10,
    1.00)</f>
        <v/>
      </c>
      <c r="O2754">
        <f>IF('Loan Tape (S&amp;P)'!T2754="Yes",
    1.35,
    1.00)</f>
        <v/>
      </c>
      <c r="P2754">
        <f>IF('Loan Tape (S&amp;P)'!S2754="Yes",
    1.15,
    1.00)</f>
        <v/>
      </c>
      <c r="Q2754">
        <f>IF('Loan Tape (S&amp;P)'!V2754="Yes",
    1.20,
    1.00)</f>
        <v/>
      </c>
      <c r="T2754">
        <f>LET(
    payment_method,'Loan Tape (S&amp;P)'!P2754,
    occupancy,'Loan Tape (S&amp;P)'!N2754,
    maturity_date,'Loan Tape (S&amp;P)'!L2754,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55">
      <c r="J2755">
        <f>LET(
    lien,'Loan Tape (S&amp;P)'!Q2755,
    IF(lien="First",1.00,
        IF(lien="Second",1.50,
            1.70)))</f>
        <v/>
      </c>
      <c r="K2755">
        <f>LET(
    purpose,'Loan Tape (S&amp;P)'!R2755,
    IF(purpose="Purchase",1.00,
        IF(purpose="Remortgage",1.00,
            1.20)))</f>
        <v/>
      </c>
      <c r="L2755">
        <f>LET(
    arrears_months,'Loan Tape (S&amp;P)'!AN2755,
    IF(arrears_months=0,1.00,
    IF(arrears_months=1,3.00,
    IF(arrears_months=2,5.00,
    IF(arrears_months=3,8.00,
    IF(arrears_months=4,10.00,
    IF(arrears_months=5,12.00,15.00)))))))</f>
        <v/>
      </c>
      <c r="M2755">
        <f>LET(
    seasoning_years,DATEDIF('Loan Tape (S&amp;P)'!K2755,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55">
        <f>IF(AND('Loan Tape (S&amp;P)'!U2755="Yes",
        'Loan Tape (S&amp;P)'!T2755&lt;&gt;"Yes",
        DATEDIF('Loan Tape (S&amp;P)'!K2755, TODAY(), "M")&lt;18),
    1.10,
    1.00)</f>
        <v/>
      </c>
      <c r="O2755">
        <f>IF('Loan Tape (S&amp;P)'!T2755="Yes",
    1.35,
    1.00)</f>
        <v/>
      </c>
      <c r="P2755">
        <f>IF('Loan Tape (S&amp;P)'!S2755="Yes",
    1.15,
    1.00)</f>
        <v/>
      </c>
      <c r="Q2755">
        <f>IF('Loan Tape (S&amp;P)'!V2755="Yes",
    1.20,
    1.00)</f>
        <v/>
      </c>
      <c r="T2755">
        <f>LET(
    payment_method,'Loan Tape (S&amp;P)'!P2755,
    occupancy,'Loan Tape (S&amp;P)'!N2755,
    maturity_date,'Loan Tape (S&amp;P)'!L2755,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56">
      <c r="J2756">
        <f>LET(
    lien,'Loan Tape (S&amp;P)'!Q2756,
    IF(lien="First",1.00,
        IF(lien="Second",1.50,
            1.70)))</f>
        <v/>
      </c>
      <c r="K2756">
        <f>LET(
    purpose,'Loan Tape (S&amp;P)'!R2756,
    IF(purpose="Purchase",1.00,
        IF(purpose="Remortgage",1.00,
            1.20)))</f>
        <v/>
      </c>
      <c r="L2756">
        <f>LET(
    arrears_months,'Loan Tape (S&amp;P)'!AN2756,
    IF(arrears_months=0,1.00,
    IF(arrears_months=1,3.00,
    IF(arrears_months=2,5.00,
    IF(arrears_months=3,8.00,
    IF(arrears_months=4,10.00,
    IF(arrears_months=5,12.00,15.00)))))))</f>
        <v/>
      </c>
      <c r="M2756">
        <f>LET(
    seasoning_years,DATEDIF('Loan Tape (S&amp;P)'!K2756,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56">
        <f>IF(AND('Loan Tape (S&amp;P)'!U2756="Yes",
        'Loan Tape (S&amp;P)'!T2756&lt;&gt;"Yes",
        DATEDIF('Loan Tape (S&amp;P)'!K2756, TODAY(), "M")&lt;18),
    1.10,
    1.00)</f>
        <v/>
      </c>
      <c r="O2756">
        <f>IF('Loan Tape (S&amp;P)'!T2756="Yes",
    1.35,
    1.00)</f>
        <v/>
      </c>
      <c r="P2756">
        <f>IF('Loan Tape (S&amp;P)'!S2756="Yes",
    1.15,
    1.00)</f>
        <v/>
      </c>
      <c r="Q2756">
        <f>IF('Loan Tape (S&amp;P)'!V2756="Yes",
    1.20,
    1.00)</f>
        <v/>
      </c>
      <c r="T2756">
        <f>LET(
    payment_method,'Loan Tape (S&amp;P)'!P2756,
    occupancy,'Loan Tape (S&amp;P)'!N2756,
    maturity_date,'Loan Tape (S&amp;P)'!L2756,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57">
      <c r="J2757">
        <f>LET(
    lien,'Loan Tape (S&amp;P)'!Q2757,
    IF(lien="First",1.00,
        IF(lien="Second",1.50,
            1.70)))</f>
        <v/>
      </c>
      <c r="K2757">
        <f>LET(
    purpose,'Loan Tape (S&amp;P)'!R2757,
    IF(purpose="Purchase",1.00,
        IF(purpose="Remortgage",1.00,
            1.20)))</f>
        <v/>
      </c>
      <c r="L2757">
        <f>LET(
    arrears_months,'Loan Tape (S&amp;P)'!AN2757,
    IF(arrears_months=0,1.00,
    IF(arrears_months=1,3.00,
    IF(arrears_months=2,5.00,
    IF(arrears_months=3,8.00,
    IF(arrears_months=4,10.00,
    IF(arrears_months=5,12.00,15.00)))))))</f>
        <v/>
      </c>
      <c r="M2757">
        <f>LET(
    seasoning_years,DATEDIF('Loan Tape (S&amp;P)'!K2757,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57">
        <f>IF(AND('Loan Tape (S&amp;P)'!U2757="Yes",
        'Loan Tape (S&amp;P)'!T2757&lt;&gt;"Yes",
        DATEDIF('Loan Tape (S&amp;P)'!K2757, TODAY(), "M")&lt;18),
    1.10,
    1.00)</f>
        <v/>
      </c>
      <c r="O2757">
        <f>IF('Loan Tape (S&amp;P)'!T2757="Yes",
    1.35,
    1.00)</f>
        <v/>
      </c>
      <c r="P2757">
        <f>IF('Loan Tape (S&amp;P)'!S2757="Yes",
    1.15,
    1.00)</f>
        <v/>
      </c>
      <c r="Q2757">
        <f>IF('Loan Tape (S&amp;P)'!V2757="Yes",
    1.20,
    1.00)</f>
        <v/>
      </c>
      <c r="T2757">
        <f>LET(
    payment_method,'Loan Tape (S&amp;P)'!P2757,
    occupancy,'Loan Tape (S&amp;P)'!N2757,
    maturity_date,'Loan Tape (S&amp;P)'!L2757,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58">
      <c r="J2758">
        <f>LET(
    lien,'Loan Tape (S&amp;P)'!Q2758,
    IF(lien="First",1.00,
        IF(lien="Second",1.50,
            1.70)))</f>
        <v/>
      </c>
      <c r="K2758">
        <f>LET(
    purpose,'Loan Tape (S&amp;P)'!R2758,
    IF(purpose="Purchase",1.00,
        IF(purpose="Remortgage",1.00,
            1.20)))</f>
        <v/>
      </c>
      <c r="L2758">
        <f>LET(
    arrears_months,'Loan Tape (S&amp;P)'!AN2758,
    IF(arrears_months=0,1.00,
    IF(arrears_months=1,3.00,
    IF(arrears_months=2,5.00,
    IF(arrears_months=3,8.00,
    IF(arrears_months=4,10.00,
    IF(arrears_months=5,12.00,15.00)))))))</f>
        <v/>
      </c>
      <c r="M2758">
        <f>LET(
    seasoning_years,DATEDIF('Loan Tape (S&amp;P)'!K2758,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58">
        <f>IF(AND('Loan Tape (S&amp;P)'!U2758="Yes",
        'Loan Tape (S&amp;P)'!T2758&lt;&gt;"Yes",
        DATEDIF('Loan Tape (S&amp;P)'!K2758, TODAY(), "M")&lt;18),
    1.10,
    1.00)</f>
        <v/>
      </c>
      <c r="O2758">
        <f>IF('Loan Tape (S&amp;P)'!T2758="Yes",
    1.35,
    1.00)</f>
        <v/>
      </c>
      <c r="P2758">
        <f>IF('Loan Tape (S&amp;P)'!S2758="Yes",
    1.15,
    1.00)</f>
        <v/>
      </c>
      <c r="Q2758">
        <f>IF('Loan Tape (S&amp;P)'!V2758="Yes",
    1.20,
    1.00)</f>
        <v/>
      </c>
      <c r="T2758">
        <f>LET(
    payment_method,'Loan Tape (S&amp;P)'!P2758,
    occupancy,'Loan Tape (S&amp;P)'!N2758,
    maturity_date,'Loan Tape (S&amp;P)'!L2758,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59">
      <c r="J2759">
        <f>LET(
    lien,'Loan Tape (S&amp;P)'!Q2759,
    IF(lien="First",1.00,
        IF(lien="Second",1.50,
            1.70)))</f>
        <v/>
      </c>
      <c r="K2759">
        <f>LET(
    purpose,'Loan Tape (S&amp;P)'!R2759,
    IF(purpose="Purchase",1.00,
        IF(purpose="Remortgage",1.00,
            1.20)))</f>
        <v/>
      </c>
      <c r="L2759">
        <f>LET(
    arrears_months,'Loan Tape (S&amp;P)'!AN2759,
    IF(arrears_months=0,1.00,
    IF(arrears_months=1,3.00,
    IF(arrears_months=2,5.00,
    IF(arrears_months=3,8.00,
    IF(arrears_months=4,10.00,
    IF(arrears_months=5,12.00,15.00)))))))</f>
        <v/>
      </c>
      <c r="M2759">
        <f>LET(
    seasoning_years,DATEDIF('Loan Tape (S&amp;P)'!K2759,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59">
        <f>IF(AND('Loan Tape (S&amp;P)'!U2759="Yes",
        'Loan Tape (S&amp;P)'!T2759&lt;&gt;"Yes",
        DATEDIF('Loan Tape (S&amp;P)'!K2759, TODAY(), "M")&lt;18),
    1.10,
    1.00)</f>
        <v/>
      </c>
      <c r="O2759">
        <f>IF('Loan Tape (S&amp;P)'!T2759="Yes",
    1.35,
    1.00)</f>
        <v/>
      </c>
      <c r="P2759">
        <f>IF('Loan Tape (S&amp;P)'!S2759="Yes",
    1.15,
    1.00)</f>
        <v/>
      </c>
      <c r="Q2759">
        <f>IF('Loan Tape (S&amp;P)'!V2759="Yes",
    1.20,
    1.00)</f>
        <v/>
      </c>
      <c r="T2759">
        <f>LET(
    payment_method,'Loan Tape (S&amp;P)'!P2759,
    occupancy,'Loan Tape (S&amp;P)'!N2759,
    maturity_date,'Loan Tape (S&amp;P)'!L2759,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60">
      <c r="J2760">
        <f>LET(
    lien,'Loan Tape (S&amp;P)'!Q2760,
    IF(lien="First",1.00,
        IF(lien="Second",1.50,
            1.70)))</f>
        <v/>
      </c>
      <c r="K2760">
        <f>LET(
    purpose,'Loan Tape (S&amp;P)'!R2760,
    IF(purpose="Purchase",1.00,
        IF(purpose="Remortgage",1.00,
            1.20)))</f>
        <v/>
      </c>
      <c r="L2760">
        <f>LET(
    arrears_months,'Loan Tape (S&amp;P)'!AN2760,
    IF(arrears_months=0,1.00,
    IF(arrears_months=1,3.00,
    IF(arrears_months=2,5.00,
    IF(arrears_months=3,8.00,
    IF(arrears_months=4,10.00,
    IF(arrears_months=5,12.00,15.00)))))))</f>
        <v/>
      </c>
      <c r="M2760">
        <f>LET(
    seasoning_years,DATEDIF('Loan Tape (S&amp;P)'!K2760,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60">
        <f>IF(AND('Loan Tape (S&amp;P)'!U2760="Yes",
        'Loan Tape (S&amp;P)'!T2760&lt;&gt;"Yes",
        DATEDIF('Loan Tape (S&amp;P)'!K2760, TODAY(), "M")&lt;18),
    1.10,
    1.00)</f>
        <v/>
      </c>
      <c r="O2760">
        <f>IF('Loan Tape (S&amp;P)'!T2760="Yes",
    1.35,
    1.00)</f>
        <v/>
      </c>
      <c r="P2760">
        <f>IF('Loan Tape (S&amp;P)'!S2760="Yes",
    1.15,
    1.00)</f>
        <v/>
      </c>
      <c r="Q2760">
        <f>IF('Loan Tape (S&amp;P)'!V2760="Yes",
    1.20,
    1.00)</f>
        <v/>
      </c>
      <c r="T2760">
        <f>LET(
    payment_method,'Loan Tape (S&amp;P)'!P2760,
    occupancy,'Loan Tape (S&amp;P)'!N2760,
    maturity_date,'Loan Tape (S&amp;P)'!L2760,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61">
      <c r="J2761">
        <f>LET(
    lien,'Loan Tape (S&amp;P)'!Q2761,
    IF(lien="First",1.00,
        IF(lien="Second",1.50,
            1.70)))</f>
        <v/>
      </c>
      <c r="K2761">
        <f>LET(
    purpose,'Loan Tape (S&amp;P)'!R2761,
    IF(purpose="Purchase",1.00,
        IF(purpose="Remortgage",1.00,
            1.20)))</f>
        <v/>
      </c>
      <c r="L2761">
        <f>LET(
    arrears_months,'Loan Tape (S&amp;P)'!AN2761,
    IF(arrears_months=0,1.00,
    IF(arrears_months=1,3.00,
    IF(arrears_months=2,5.00,
    IF(arrears_months=3,8.00,
    IF(arrears_months=4,10.00,
    IF(arrears_months=5,12.00,15.00)))))))</f>
        <v/>
      </c>
      <c r="M2761">
        <f>LET(
    seasoning_years,DATEDIF('Loan Tape (S&amp;P)'!K2761,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61">
        <f>IF(AND('Loan Tape (S&amp;P)'!U2761="Yes",
        'Loan Tape (S&amp;P)'!T2761&lt;&gt;"Yes",
        DATEDIF('Loan Tape (S&amp;P)'!K2761, TODAY(), "M")&lt;18),
    1.10,
    1.00)</f>
        <v/>
      </c>
      <c r="O2761">
        <f>IF('Loan Tape (S&amp;P)'!T2761="Yes",
    1.35,
    1.00)</f>
        <v/>
      </c>
      <c r="P2761">
        <f>IF('Loan Tape (S&amp;P)'!S2761="Yes",
    1.15,
    1.00)</f>
        <v/>
      </c>
      <c r="Q2761">
        <f>IF('Loan Tape (S&amp;P)'!V2761="Yes",
    1.20,
    1.00)</f>
        <v/>
      </c>
      <c r="T2761">
        <f>LET(
    payment_method,'Loan Tape (S&amp;P)'!P2761,
    occupancy,'Loan Tape (S&amp;P)'!N2761,
    maturity_date,'Loan Tape (S&amp;P)'!L2761,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62">
      <c r="J2762">
        <f>LET(
    lien,'Loan Tape (S&amp;P)'!Q2762,
    IF(lien="First",1.00,
        IF(lien="Second",1.50,
            1.70)))</f>
        <v/>
      </c>
      <c r="K2762">
        <f>LET(
    purpose,'Loan Tape (S&amp;P)'!R2762,
    IF(purpose="Purchase",1.00,
        IF(purpose="Remortgage",1.00,
            1.20)))</f>
        <v/>
      </c>
      <c r="L2762">
        <f>LET(
    arrears_months,'Loan Tape (S&amp;P)'!AN2762,
    IF(arrears_months=0,1.00,
    IF(arrears_months=1,3.00,
    IF(arrears_months=2,5.00,
    IF(arrears_months=3,8.00,
    IF(arrears_months=4,10.00,
    IF(arrears_months=5,12.00,15.00)))))))</f>
        <v/>
      </c>
      <c r="M2762">
        <f>LET(
    seasoning_years,DATEDIF('Loan Tape (S&amp;P)'!K2762,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62">
        <f>IF(AND('Loan Tape (S&amp;P)'!U2762="Yes",
        'Loan Tape (S&amp;P)'!T2762&lt;&gt;"Yes",
        DATEDIF('Loan Tape (S&amp;P)'!K2762, TODAY(), "M")&lt;18),
    1.10,
    1.00)</f>
        <v/>
      </c>
      <c r="O2762">
        <f>IF('Loan Tape (S&amp;P)'!T2762="Yes",
    1.35,
    1.00)</f>
        <v/>
      </c>
      <c r="P2762">
        <f>IF('Loan Tape (S&amp;P)'!S2762="Yes",
    1.15,
    1.00)</f>
        <v/>
      </c>
      <c r="Q2762">
        <f>IF('Loan Tape (S&amp;P)'!V2762="Yes",
    1.20,
    1.00)</f>
        <v/>
      </c>
      <c r="T2762">
        <f>LET(
    payment_method,'Loan Tape (S&amp;P)'!P2762,
    occupancy,'Loan Tape (S&amp;P)'!N2762,
    maturity_date,'Loan Tape (S&amp;P)'!L2762,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63">
      <c r="J2763">
        <f>LET(
    lien,'Loan Tape (S&amp;P)'!Q2763,
    IF(lien="First",1.00,
        IF(lien="Second",1.50,
            1.70)))</f>
        <v/>
      </c>
      <c r="K2763">
        <f>LET(
    purpose,'Loan Tape (S&amp;P)'!R2763,
    IF(purpose="Purchase",1.00,
        IF(purpose="Remortgage",1.00,
            1.20)))</f>
        <v/>
      </c>
      <c r="L2763">
        <f>LET(
    arrears_months,'Loan Tape (S&amp;P)'!AN2763,
    IF(arrears_months=0,1.00,
    IF(arrears_months=1,3.00,
    IF(arrears_months=2,5.00,
    IF(arrears_months=3,8.00,
    IF(arrears_months=4,10.00,
    IF(arrears_months=5,12.00,15.00)))))))</f>
        <v/>
      </c>
      <c r="M2763">
        <f>LET(
    seasoning_years,DATEDIF('Loan Tape (S&amp;P)'!K2763,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63">
        <f>IF(AND('Loan Tape (S&amp;P)'!U2763="Yes",
        'Loan Tape (S&amp;P)'!T2763&lt;&gt;"Yes",
        DATEDIF('Loan Tape (S&amp;P)'!K2763, TODAY(), "M")&lt;18),
    1.10,
    1.00)</f>
        <v/>
      </c>
      <c r="O2763">
        <f>IF('Loan Tape (S&amp;P)'!T2763="Yes",
    1.35,
    1.00)</f>
        <v/>
      </c>
      <c r="P2763">
        <f>IF('Loan Tape (S&amp;P)'!S2763="Yes",
    1.15,
    1.00)</f>
        <v/>
      </c>
      <c r="Q2763">
        <f>IF('Loan Tape (S&amp;P)'!V2763="Yes",
    1.20,
    1.00)</f>
        <v/>
      </c>
      <c r="T2763">
        <f>LET(
    payment_method,'Loan Tape (S&amp;P)'!P2763,
    occupancy,'Loan Tape (S&amp;P)'!N2763,
    maturity_date,'Loan Tape (S&amp;P)'!L2763,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64">
      <c r="J2764">
        <f>LET(
    lien,'Loan Tape (S&amp;P)'!Q2764,
    IF(lien="First",1.00,
        IF(lien="Second",1.50,
            1.70)))</f>
        <v/>
      </c>
      <c r="K2764">
        <f>LET(
    purpose,'Loan Tape (S&amp;P)'!R2764,
    IF(purpose="Purchase",1.00,
        IF(purpose="Remortgage",1.00,
            1.20)))</f>
        <v/>
      </c>
      <c r="L2764">
        <f>LET(
    arrears_months,'Loan Tape (S&amp;P)'!AN2764,
    IF(arrears_months=0,1.00,
    IF(arrears_months=1,3.00,
    IF(arrears_months=2,5.00,
    IF(arrears_months=3,8.00,
    IF(arrears_months=4,10.00,
    IF(arrears_months=5,12.00,15.00)))))))</f>
        <v/>
      </c>
      <c r="M2764">
        <f>LET(
    seasoning_years,DATEDIF('Loan Tape (S&amp;P)'!K2764,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64">
        <f>IF(AND('Loan Tape (S&amp;P)'!U2764="Yes",
        'Loan Tape (S&amp;P)'!T2764&lt;&gt;"Yes",
        DATEDIF('Loan Tape (S&amp;P)'!K2764, TODAY(), "M")&lt;18),
    1.10,
    1.00)</f>
        <v/>
      </c>
      <c r="O2764">
        <f>IF('Loan Tape (S&amp;P)'!T2764="Yes",
    1.35,
    1.00)</f>
        <v/>
      </c>
      <c r="P2764">
        <f>IF('Loan Tape (S&amp;P)'!S2764="Yes",
    1.15,
    1.00)</f>
        <v/>
      </c>
      <c r="Q2764">
        <f>IF('Loan Tape (S&amp;P)'!V2764="Yes",
    1.20,
    1.00)</f>
        <v/>
      </c>
      <c r="T2764">
        <f>LET(
    payment_method,'Loan Tape (S&amp;P)'!P2764,
    occupancy,'Loan Tape (S&amp;P)'!N2764,
    maturity_date,'Loan Tape (S&amp;P)'!L2764,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65">
      <c r="J2765">
        <f>LET(
    lien,'Loan Tape (S&amp;P)'!Q2765,
    IF(lien="First",1.00,
        IF(lien="Second",1.50,
            1.70)))</f>
        <v/>
      </c>
      <c r="K2765">
        <f>LET(
    purpose,'Loan Tape (S&amp;P)'!R2765,
    IF(purpose="Purchase",1.00,
        IF(purpose="Remortgage",1.00,
            1.20)))</f>
        <v/>
      </c>
      <c r="L2765">
        <f>LET(
    arrears_months,'Loan Tape (S&amp;P)'!AN2765,
    IF(arrears_months=0,1.00,
    IF(arrears_months=1,3.00,
    IF(arrears_months=2,5.00,
    IF(arrears_months=3,8.00,
    IF(arrears_months=4,10.00,
    IF(arrears_months=5,12.00,15.00)))))))</f>
        <v/>
      </c>
      <c r="M2765">
        <f>LET(
    seasoning_years,DATEDIF('Loan Tape (S&amp;P)'!K2765,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65">
        <f>IF(AND('Loan Tape (S&amp;P)'!U2765="Yes",
        'Loan Tape (S&amp;P)'!T2765&lt;&gt;"Yes",
        DATEDIF('Loan Tape (S&amp;P)'!K2765, TODAY(), "M")&lt;18),
    1.10,
    1.00)</f>
        <v/>
      </c>
      <c r="O2765">
        <f>IF('Loan Tape (S&amp;P)'!T2765="Yes",
    1.35,
    1.00)</f>
        <v/>
      </c>
      <c r="P2765">
        <f>IF('Loan Tape (S&amp;P)'!S2765="Yes",
    1.15,
    1.00)</f>
        <v/>
      </c>
      <c r="Q2765">
        <f>IF('Loan Tape (S&amp;P)'!V2765="Yes",
    1.20,
    1.00)</f>
        <v/>
      </c>
      <c r="T2765">
        <f>LET(
    payment_method,'Loan Tape (S&amp;P)'!P2765,
    occupancy,'Loan Tape (S&amp;P)'!N2765,
    maturity_date,'Loan Tape (S&amp;P)'!L2765,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66">
      <c r="J2766">
        <f>LET(
    lien,'Loan Tape (S&amp;P)'!Q2766,
    IF(lien="First",1.00,
        IF(lien="Second",1.50,
            1.70)))</f>
        <v/>
      </c>
      <c r="K2766">
        <f>LET(
    purpose,'Loan Tape (S&amp;P)'!R2766,
    IF(purpose="Purchase",1.00,
        IF(purpose="Remortgage",1.00,
            1.20)))</f>
        <v/>
      </c>
      <c r="L2766">
        <f>LET(
    arrears_months,'Loan Tape (S&amp;P)'!AN2766,
    IF(arrears_months=0,1.00,
    IF(arrears_months=1,3.00,
    IF(arrears_months=2,5.00,
    IF(arrears_months=3,8.00,
    IF(arrears_months=4,10.00,
    IF(arrears_months=5,12.00,15.00)))))))</f>
        <v/>
      </c>
      <c r="M2766">
        <f>LET(
    seasoning_years,DATEDIF('Loan Tape (S&amp;P)'!K2766,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66">
        <f>IF(AND('Loan Tape (S&amp;P)'!U2766="Yes",
        'Loan Tape (S&amp;P)'!T2766&lt;&gt;"Yes",
        DATEDIF('Loan Tape (S&amp;P)'!K2766, TODAY(), "M")&lt;18),
    1.10,
    1.00)</f>
        <v/>
      </c>
      <c r="O2766">
        <f>IF('Loan Tape (S&amp;P)'!T2766="Yes",
    1.35,
    1.00)</f>
        <v/>
      </c>
      <c r="P2766">
        <f>IF('Loan Tape (S&amp;P)'!S2766="Yes",
    1.15,
    1.00)</f>
        <v/>
      </c>
      <c r="Q2766">
        <f>IF('Loan Tape (S&amp;P)'!V2766="Yes",
    1.20,
    1.00)</f>
        <v/>
      </c>
      <c r="T2766">
        <f>LET(
    payment_method,'Loan Tape (S&amp;P)'!P2766,
    occupancy,'Loan Tape (S&amp;P)'!N2766,
    maturity_date,'Loan Tape (S&amp;P)'!L2766,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67">
      <c r="J2767">
        <f>LET(
    lien,'Loan Tape (S&amp;P)'!Q2767,
    IF(lien="First",1.00,
        IF(lien="Second",1.50,
            1.70)))</f>
        <v/>
      </c>
      <c r="K2767">
        <f>LET(
    purpose,'Loan Tape (S&amp;P)'!R2767,
    IF(purpose="Purchase",1.00,
        IF(purpose="Remortgage",1.00,
            1.20)))</f>
        <v/>
      </c>
      <c r="L2767">
        <f>LET(
    arrears_months,'Loan Tape (S&amp;P)'!AN2767,
    IF(arrears_months=0,1.00,
    IF(arrears_months=1,3.00,
    IF(arrears_months=2,5.00,
    IF(arrears_months=3,8.00,
    IF(arrears_months=4,10.00,
    IF(arrears_months=5,12.00,15.00)))))))</f>
        <v/>
      </c>
      <c r="M2767">
        <f>LET(
    seasoning_years,DATEDIF('Loan Tape (S&amp;P)'!K2767,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67">
        <f>IF(AND('Loan Tape (S&amp;P)'!U2767="Yes",
        'Loan Tape (S&amp;P)'!T2767&lt;&gt;"Yes",
        DATEDIF('Loan Tape (S&amp;P)'!K2767, TODAY(), "M")&lt;18),
    1.10,
    1.00)</f>
        <v/>
      </c>
      <c r="O2767">
        <f>IF('Loan Tape (S&amp;P)'!T2767="Yes",
    1.35,
    1.00)</f>
        <v/>
      </c>
      <c r="P2767">
        <f>IF('Loan Tape (S&amp;P)'!S2767="Yes",
    1.15,
    1.00)</f>
        <v/>
      </c>
      <c r="Q2767">
        <f>IF('Loan Tape (S&amp;P)'!V2767="Yes",
    1.20,
    1.00)</f>
        <v/>
      </c>
      <c r="T2767">
        <f>LET(
    payment_method,'Loan Tape (S&amp;P)'!P2767,
    occupancy,'Loan Tape (S&amp;P)'!N2767,
    maturity_date,'Loan Tape (S&amp;P)'!L2767,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68">
      <c r="J2768">
        <f>LET(
    lien,'Loan Tape (S&amp;P)'!Q2768,
    IF(lien="First",1.00,
        IF(lien="Second",1.50,
            1.70)))</f>
        <v/>
      </c>
      <c r="K2768">
        <f>LET(
    purpose,'Loan Tape (S&amp;P)'!R2768,
    IF(purpose="Purchase",1.00,
        IF(purpose="Remortgage",1.00,
            1.20)))</f>
        <v/>
      </c>
      <c r="L2768">
        <f>LET(
    arrears_months,'Loan Tape (S&amp;P)'!AN2768,
    IF(arrears_months=0,1.00,
    IF(arrears_months=1,3.00,
    IF(arrears_months=2,5.00,
    IF(arrears_months=3,8.00,
    IF(arrears_months=4,10.00,
    IF(arrears_months=5,12.00,15.00)))))))</f>
        <v/>
      </c>
      <c r="M2768">
        <f>LET(
    seasoning_years,DATEDIF('Loan Tape (S&amp;P)'!K2768,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68">
        <f>IF(AND('Loan Tape (S&amp;P)'!U2768="Yes",
        'Loan Tape (S&amp;P)'!T2768&lt;&gt;"Yes",
        DATEDIF('Loan Tape (S&amp;P)'!K2768, TODAY(), "M")&lt;18),
    1.10,
    1.00)</f>
        <v/>
      </c>
      <c r="O2768">
        <f>IF('Loan Tape (S&amp;P)'!T2768="Yes",
    1.35,
    1.00)</f>
        <v/>
      </c>
      <c r="P2768">
        <f>IF('Loan Tape (S&amp;P)'!S2768="Yes",
    1.15,
    1.00)</f>
        <v/>
      </c>
      <c r="Q2768">
        <f>IF('Loan Tape (S&amp;P)'!V2768="Yes",
    1.20,
    1.00)</f>
        <v/>
      </c>
      <c r="T2768">
        <f>LET(
    payment_method,'Loan Tape (S&amp;P)'!P2768,
    occupancy,'Loan Tape (S&amp;P)'!N2768,
    maturity_date,'Loan Tape (S&amp;P)'!L2768,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69">
      <c r="J2769">
        <f>LET(
    lien,'Loan Tape (S&amp;P)'!Q2769,
    IF(lien="First",1.00,
        IF(lien="Second",1.50,
            1.70)))</f>
        <v/>
      </c>
      <c r="K2769">
        <f>LET(
    purpose,'Loan Tape (S&amp;P)'!R2769,
    IF(purpose="Purchase",1.00,
        IF(purpose="Remortgage",1.00,
            1.20)))</f>
        <v/>
      </c>
      <c r="L2769">
        <f>LET(
    arrears_months,'Loan Tape (S&amp;P)'!AN2769,
    IF(arrears_months=0,1.00,
    IF(arrears_months=1,3.00,
    IF(arrears_months=2,5.00,
    IF(arrears_months=3,8.00,
    IF(arrears_months=4,10.00,
    IF(arrears_months=5,12.00,15.00)))))))</f>
        <v/>
      </c>
      <c r="M2769">
        <f>LET(
    seasoning_years,DATEDIF('Loan Tape (S&amp;P)'!K2769,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69">
        <f>IF(AND('Loan Tape (S&amp;P)'!U2769="Yes",
        'Loan Tape (S&amp;P)'!T2769&lt;&gt;"Yes",
        DATEDIF('Loan Tape (S&amp;P)'!K2769, TODAY(), "M")&lt;18),
    1.10,
    1.00)</f>
        <v/>
      </c>
      <c r="O2769">
        <f>IF('Loan Tape (S&amp;P)'!T2769="Yes",
    1.35,
    1.00)</f>
        <v/>
      </c>
      <c r="P2769">
        <f>IF('Loan Tape (S&amp;P)'!S2769="Yes",
    1.15,
    1.00)</f>
        <v/>
      </c>
      <c r="Q2769">
        <f>IF('Loan Tape (S&amp;P)'!V2769="Yes",
    1.20,
    1.00)</f>
        <v/>
      </c>
      <c r="T2769">
        <f>LET(
    payment_method,'Loan Tape (S&amp;P)'!P2769,
    occupancy,'Loan Tape (S&amp;P)'!N2769,
    maturity_date,'Loan Tape (S&amp;P)'!L2769,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70">
      <c r="J2770">
        <f>LET(
    lien,'Loan Tape (S&amp;P)'!Q2770,
    IF(lien="First",1.00,
        IF(lien="Second",1.50,
            1.70)))</f>
        <v/>
      </c>
      <c r="K2770">
        <f>LET(
    purpose,'Loan Tape (S&amp;P)'!R2770,
    IF(purpose="Purchase",1.00,
        IF(purpose="Remortgage",1.00,
            1.20)))</f>
        <v/>
      </c>
      <c r="L2770">
        <f>LET(
    arrears_months,'Loan Tape (S&amp;P)'!AN2770,
    IF(arrears_months=0,1.00,
    IF(arrears_months=1,3.00,
    IF(arrears_months=2,5.00,
    IF(arrears_months=3,8.00,
    IF(arrears_months=4,10.00,
    IF(arrears_months=5,12.00,15.00)))))))</f>
        <v/>
      </c>
      <c r="M2770">
        <f>LET(
    seasoning_years,DATEDIF('Loan Tape (S&amp;P)'!K2770,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70">
        <f>IF(AND('Loan Tape (S&amp;P)'!U2770="Yes",
        'Loan Tape (S&amp;P)'!T2770&lt;&gt;"Yes",
        DATEDIF('Loan Tape (S&amp;P)'!K2770, TODAY(), "M")&lt;18),
    1.10,
    1.00)</f>
        <v/>
      </c>
      <c r="O2770">
        <f>IF('Loan Tape (S&amp;P)'!T2770="Yes",
    1.35,
    1.00)</f>
        <v/>
      </c>
      <c r="P2770">
        <f>IF('Loan Tape (S&amp;P)'!S2770="Yes",
    1.15,
    1.00)</f>
        <v/>
      </c>
      <c r="Q2770">
        <f>IF('Loan Tape (S&amp;P)'!V2770="Yes",
    1.20,
    1.00)</f>
        <v/>
      </c>
      <c r="T2770">
        <f>LET(
    payment_method,'Loan Tape (S&amp;P)'!P2770,
    occupancy,'Loan Tape (S&amp;P)'!N2770,
    maturity_date,'Loan Tape (S&amp;P)'!L2770,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71">
      <c r="J2771">
        <f>LET(
    lien,'Loan Tape (S&amp;P)'!Q2771,
    IF(lien="First",1.00,
        IF(lien="Second",1.50,
            1.70)))</f>
        <v/>
      </c>
      <c r="K2771">
        <f>LET(
    purpose,'Loan Tape (S&amp;P)'!R2771,
    IF(purpose="Purchase",1.00,
        IF(purpose="Remortgage",1.00,
            1.20)))</f>
        <v/>
      </c>
      <c r="L2771">
        <f>LET(
    arrears_months,'Loan Tape (S&amp;P)'!AN2771,
    IF(arrears_months=0,1.00,
    IF(arrears_months=1,3.00,
    IF(arrears_months=2,5.00,
    IF(arrears_months=3,8.00,
    IF(arrears_months=4,10.00,
    IF(arrears_months=5,12.00,15.00)))))))</f>
        <v/>
      </c>
      <c r="M2771">
        <f>LET(
    seasoning_years,DATEDIF('Loan Tape (S&amp;P)'!K2771,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71">
        <f>IF(AND('Loan Tape (S&amp;P)'!U2771="Yes",
        'Loan Tape (S&amp;P)'!T2771&lt;&gt;"Yes",
        DATEDIF('Loan Tape (S&amp;P)'!K2771, TODAY(), "M")&lt;18),
    1.10,
    1.00)</f>
        <v/>
      </c>
      <c r="O2771">
        <f>IF('Loan Tape (S&amp;P)'!T2771="Yes",
    1.35,
    1.00)</f>
        <v/>
      </c>
      <c r="P2771">
        <f>IF('Loan Tape (S&amp;P)'!S2771="Yes",
    1.15,
    1.00)</f>
        <v/>
      </c>
      <c r="Q2771">
        <f>IF('Loan Tape (S&amp;P)'!V2771="Yes",
    1.20,
    1.00)</f>
        <v/>
      </c>
      <c r="T2771">
        <f>LET(
    payment_method,'Loan Tape (S&amp;P)'!P2771,
    occupancy,'Loan Tape (S&amp;P)'!N2771,
    maturity_date,'Loan Tape (S&amp;P)'!L2771,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72">
      <c r="J2772">
        <f>LET(
    lien,'Loan Tape (S&amp;P)'!Q2772,
    IF(lien="First",1.00,
        IF(lien="Second",1.50,
            1.70)))</f>
        <v/>
      </c>
      <c r="K2772">
        <f>LET(
    purpose,'Loan Tape (S&amp;P)'!R2772,
    IF(purpose="Purchase",1.00,
        IF(purpose="Remortgage",1.00,
            1.20)))</f>
        <v/>
      </c>
      <c r="L2772">
        <f>LET(
    arrears_months,'Loan Tape (S&amp;P)'!AN2772,
    IF(arrears_months=0,1.00,
    IF(arrears_months=1,3.00,
    IF(arrears_months=2,5.00,
    IF(arrears_months=3,8.00,
    IF(arrears_months=4,10.00,
    IF(arrears_months=5,12.00,15.00)))))))</f>
        <v/>
      </c>
      <c r="M2772">
        <f>LET(
    seasoning_years,DATEDIF('Loan Tape (S&amp;P)'!K2772,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72">
        <f>IF(AND('Loan Tape (S&amp;P)'!U2772="Yes",
        'Loan Tape (S&amp;P)'!T2772&lt;&gt;"Yes",
        DATEDIF('Loan Tape (S&amp;P)'!K2772, TODAY(), "M")&lt;18),
    1.10,
    1.00)</f>
        <v/>
      </c>
      <c r="O2772">
        <f>IF('Loan Tape (S&amp;P)'!T2772="Yes",
    1.35,
    1.00)</f>
        <v/>
      </c>
      <c r="P2772">
        <f>IF('Loan Tape (S&amp;P)'!S2772="Yes",
    1.15,
    1.00)</f>
        <v/>
      </c>
      <c r="Q2772">
        <f>IF('Loan Tape (S&amp;P)'!V2772="Yes",
    1.20,
    1.00)</f>
        <v/>
      </c>
      <c r="T2772">
        <f>LET(
    payment_method,'Loan Tape (S&amp;P)'!P2772,
    occupancy,'Loan Tape (S&amp;P)'!N2772,
    maturity_date,'Loan Tape (S&amp;P)'!L2772,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73">
      <c r="J2773">
        <f>LET(
    lien,'Loan Tape (S&amp;P)'!Q2773,
    IF(lien="First",1.00,
        IF(lien="Second",1.50,
            1.70)))</f>
        <v/>
      </c>
      <c r="K2773">
        <f>LET(
    purpose,'Loan Tape (S&amp;P)'!R2773,
    IF(purpose="Purchase",1.00,
        IF(purpose="Remortgage",1.00,
            1.20)))</f>
        <v/>
      </c>
      <c r="L2773">
        <f>LET(
    arrears_months,'Loan Tape (S&amp;P)'!AN2773,
    IF(arrears_months=0,1.00,
    IF(arrears_months=1,3.00,
    IF(arrears_months=2,5.00,
    IF(arrears_months=3,8.00,
    IF(arrears_months=4,10.00,
    IF(arrears_months=5,12.00,15.00)))))))</f>
        <v/>
      </c>
      <c r="M2773">
        <f>LET(
    seasoning_years,DATEDIF('Loan Tape (S&amp;P)'!K2773,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73">
        <f>IF(AND('Loan Tape (S&amp;P)'!U2773="Yes",
        'Loan Tape (S&amp;P)'!T2773&lt;&gt;"Yes",
        DATEDIF('Loan Tape (S&amp;P)'!K2773, TODAY(), "M")&lt;18),
    1.10,
    1.00)</f>
        <v/>
      </c>
      <c r="O2773">
        <f>IF('Loan Tape (S&amp;P)'!T2773="Yes",
    1.35,
    1.00)</f>
        <v/>
      </c>
      <c r="P2773">
        <f>IF('Loan Tape (S&amp;P)'!S2773="Yes",
    1.15,
    1.00)</f>
        <v/>
      </c>
      <c r="Q2773">
        <f>IF('Loan Tape (S&amp;P)'!V2773="Yes",
    1.20,
    1.00)</f>
        <v/>
      </c>
      <c r="T2773">
        <f>LET(
    payment_method,'Loan Tape (S&amp;P)'!P2773,
    occupancy,'Loan Tape (S&amp;P)'!N2773,
    maturity_date,'Loan Tape (S&amp;P)'!L2773,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74">
      <c r="J2774">
        <f>LET(
    lien,'Loan Tape (S&amp;P)'!Q2774,
    IF(lien="First",1.00,
        IF(lien="Second",1.50,
            1.70)))</f>
        <v/>
      </c>
      <c r="K2774">
        <f>LET(
    purpose,'Loan Tape (S&amp;P)'!R2774,
    IF(purpose="Purchase",1.00,
        IF(purpose="Remortgage",1.00,
            1.20)))</f>
        <v/>
      </c>
      <c r="L2774">
        <f>LET(
    arrears_months,'Loan Tape (S&amp;P)'!AN2774,
    IF(arrears_months=0,1.00,
    IF(arrears_months=1,3.00,
    IF(arrears_months=2,5.00,
    IF(arrears_months=3,8.00,
    IF(arrears_months=4,10.00,
    IF(arrears_months=5,12.00,15.00)))))))</f>
        <v/>
      </c>
      <c r="M2774">
        <f>LET(
    seasoning_years,DATEDIF('Loan Tape (S&amp;P)'!K2774,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74">
        <f>IF(AND('Loan Tape (S&amp;P)'!U2774="Yes",
        'Loan Tape (S&amp;P)'!T2774&lt;&gt;"Yes",
        DATEDIF('Loan Tape (S&amp;P)'!K2774, TODAY(), "M")&lt;18),
    1.10,
    1.00)</f>
        <v/>
      </c>
      <c r="O2774">
        <f>IF('Loan Tape (S&amp;P)'!T2774="Yes",
    1.35,
    1.00)</f>
        <v/>
      </c>
      <c r="P2774">
        <f>IF('Loan Tape (S&amp;P)'!S2774="Yes",
    1.15,
    1.00)</f>
        <v/>
      </c>
      <c r="Q2774">
        <f>IF('Loan Tape (S&amp;P)'!V2774="Yes",
    1.20,
    1.00)</f>
        <v/>
      </c>
      <c r="T2774">
        <f>LET(
    payment_method,'Loan Tape (S&amp;P)'!P2774,
    occupancy,'Loan Tape (S&amp;P)'!N2774,
    maturity_date,'Loan Tape (S&amp;P)'!L2774,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75">
      <c r="J2775">
        <f>LET(
    lien,'Loan Tape (S&amp;P)'!Q2775,
    IF(lien="First",1.00,
        IF(lien="Second",1.50,
            1.70)))</f>
        <v/>
      </c>
      <c r="K2775">
        <f>LET(
    purpose,'Loan Tape (S&amp;P)'!R2775,
    IF(purpose="Purchase",1.00,
        IF(purpose="Remortgage",1.00,
            1.20)))</f>
        <v/>
      </c>
      <c r="L2775">
        <f>LET(
    arrears_months,'Loan Tape (S&amp;P)'!AN2775,
    IF(arrears_months=0,1.00,
    IF(arrears_months=1,3.00,
    IF(arrears_months=2,5.00,
    IF(arrears_months=3,8.00,
    IF(arrears_months=4,10.00,
    IF(arrears_months=5,12.00,15.00)))))))</f>
        <v/>
      </c>
      <c r="M2775">
        <f>LET(
    seasoning_years,DATEDIF('Loan Tape (S&amp;P)'!K2775,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75">
        <f>IF(AND('Loan Tape (S&amp;P)'!U2775="Yes",
        'Loan Tape (S&amp;P)'!T2775&lt;&gt;"Yes",
        DATEDIF('Loan Tape (S&amp;P)'!K2775, TODAY(), "M")&lt;18),
    1.10,
    1.00)</f>
        <v/>
      </c>
      <c r="O2775">
        <f>IF('Loan Tape (S&amp;P)'!T2775="Yes",
    1.35,
    1.00)</f>
        <v/>
      </c>
      <c r="P2775">
        <f>IF('Loan Tape (S&amp;P)'!S2775="Yes",
    1.15,
    1.00)</f>
        <v/>
      </c>
      <c r="Q2775">
        <f>IF('Loan Tape (S&amp;P)'!V2775="Yes",
    1.20,
    1.00)</f>
        <v/>
      </c>
      <c r="T2775">
        <f>LET(
    payment_method,'Loan Tape (S&amp;P)'!P2775,
    occupancy,'Loan Tape (S&amp;P)'!N2775,
    maturity_date,'Loan Tape (S&amp;P)'!L2775,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76">
      <c r="J2776">
        <f>LET(
    lien,'Loan Tape (S&amp;P)'!Q2776,
    IF(lien="First",1.00,
        IF(lien="Second",1.50,
            1.70)))</f>
        <v/>
      </c>
      <c r="K2776">
        <f>LET(
    purpose,'Loan Tape (S&amp;P)'!R2776,
    IF(purpose="Purchase",1.00,
        IF(purpose="Remortgage",1.00,
            1.20)))</f>
        <v/>
      </c>
      <c r="L2776">
        <f>LET(
    arrears_months,'Loan Tape (S&amp;P)'!AN2776,
    IF(arrears_months=0,1.00,
    IF(arrears_months=1,3.00,
    IF(arrears_months=2,5.00,
    IF(arrears_months=3,8.00,
    IF(arrears_months=4,10.00,
    IF(arrears_months=5,12.00,15.00)))))))</f>
        <v/>
      </c>
      <c r="M2776">
        <f>LET(
    seasoning_years,DATEDIF('Loan Tape (S&amp;P)'!K2776,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76">
        <f>IF(AND('Loan Tape (S&amp;P)'!U2776="Yes",
        'Loan Tape (S&amp;P)'!T2776&lt;&gt;"Yes",
        DATEDIF('Loan Tape (S&amp;P)'!K2776, TODAY(), "M")&lt;18),
    1.10,
    1.00)</f>
        <v/>
      </c>
      <c r="O2776">
        <f>IF('Loan Tape (S&amp;P)'!T2776="Yes",
    1.35,
    1.00)</f>
        <v/>
      </c>
      <c r="P2776">
        <f>IF('Loan Tape (S&amp;P)'!S2776="Yes",
    1.15,
    1.00)</f>
        <v/>
      </c>
      <c r="Q2776">
        <f>IF('Loan Tape (S&amp;P)'!V2776="Yes",
    1.20,
    1.00)</f>
        <v/>
      </c>
      <c r="T2776">
        <f>LET(
    payment_method,'Loan Tape (S&amp;P)'!P2776,
    occupancy,'Loan Tape (S&amp;P)'!N2776,
    maturity_date,'Loan Tape (S&amp;P)'!L2776,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77">
      <c r="J2777">
        <f>LET(
    lien,'Loan Tape (S&amp;P)'!Q2777,
    IF(lien="First",1.00,
        IF(lien="Second",1.50,
            1.70)))</f>
        <v/>
      </c>
      <c r="K2777">
        <f>LET(
    purpose,'Loan Tape (S&amp;P)'!R2777,
    IF(purpose="Purchase",1.00,
        IF(purpose="Remortgage",1.00,
            1.20)))</f>
        <v/>
      </c>
      <c r="L2777">
        <f>LET(
    arrears_months,'Loan Tape (S&amp;P)'!AN2777,
    IF(arrears_months=0,1.00,
    IF(arrears_months=1,3.00,
    IF(arrears_months=2,5.00,
    IF(arrears_months=3,8.00,
    IF(arrears_months=4,10.00,
    IF(arrears_months=5,12.00,15.00)))))))</f>
        <v/>
      </c>
      <c r="M2777">
        <f>LET(
    seasoning_years,DATEDIF('Loan Tape (S&amp;P)'!K2777,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77">
        <f>IF(AND('Loan Tape (S&amp;P)'!U2777="Yes",
        'Loan Tape (S&amp;P)'!T2777&lt;&gt;"Yes",
        DATEDIF('Loan Tape (S&amp;P)'!K2777, TODAY(), "M")&lt;18),
    1.10,
    1.00)</f>
        <v/>
      </c>
      <c r="O2777">
        <f>IF('Loan Tape (S&amp;P)'!T2777="Yes",
    1.35,
    1.00)</f>
        <v/>
      </c>
      <c r="P2777">
        <f>IF('Loan Tape (S&amp;P)'!S2777="Yes",
    1.15,
    1.00)</f>
        <v/>
      </c>
      <c r="Q2777">
        <f>IF('Loan Tape (S&amp;P)'!V2777="Yes",
    1.20,
    1.00)</f>
        <v/>
      </c>
      <c r="T2777">
        <f>LET(
    payment_method,'Loan Tape (S&amp;P)'!P2777,
    occupancy,'Loan Tape (S&amp;P)'!N2777,
    maturity_date,'Loan Tape (S&amp;P)'!L2777,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78">
      <c r="J2778">
        <f>LET(
    lien,'Loan Tape (S&amp;P)'!Q2778,
    IF(lien="First",1.00,
        IF(lien="Second",1.50,
            1.70)))</f>
        <v/>
      </c>
      <c r="K2778">
        <f>LET(
    purpose,'Loan Tape (S&amp;P)'!R2778,
    IF(purpose="Purchase",1.00,
        IF(purpose="Remortgage",1.00,
            1.20)))</f>
        <v/>
      </c>
      <c r="L2778">
        <f>LET(
    arrears_months,'Loan Tape (S&amp;P)'!AN2778,
    IF(arrears_months=0,1.00,
    IF(arrears_months=1,3.00,
    IF(arrears_months=2,5.00,
    IF(arrears_months=3,8.00,
    IF(arrears_months=4,10.00,
    IF(arrears_months=5,12.00,15.00)))))))</f>
        <v/>
      </c>
      <c r="M2778">
        <f>LET(
    seasoning_years,DATEDIF('Loan Tape (S&amp;P)'!K2778,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78">
        <f>IF(AND('Loan Tape (S&amp;P)'!U2778="Yes",
        'Loan Tape (S&amp;P)'!T2778&lt;&gt;"Yes",
        DATEDIF('Loan Tape (S&amp;P)'!K2778, TODAY(), "M")&lt;18),
    1.10,
    1.00)</f>
        <v/>
      </c>
      <c r="O2778">
        <f>IF('Loan Tape (S&amp;P)'!T2778="Yes",
    1.35,
    1.00)</f>
        <v/>
      </c>
      <c r="P2778">
        <f>IF('Loan Tape (S&amp;P)'!S2778="Yes",
    1.15,
    1.00)</f>
        <v/>
      </c>
      <c r="Q2778">
        <f>IF('Loan Tape (S&amp;P)'!V2778="Yes",
    1.20,
    1.00)</f>
        <v/>
      </c>
      <c r="T2778">
        <f>LET(
    payment_method,'Loan Tape (S&amp;P)'!P2778,
    occupancy,'Loan Tape (S&amp;P)'!N2778,
    maturity_date,'Loan Tape (S&amp;P)'!L2778,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79">
      <c r="J2779">
        <f>LET(
    lien,'Loan Tape (S&amp;P)'!Q2779,
    IF(lien="First",1.00,
        IF(lien="Second",1.50,
            1.70)))</f>
        <v/>
      </c>
      <c r="K2779">
        <f>LET(
    purpose,'Loan Tape (S&amp;P)'!R2779,
    IF(purpose="Purchase",1.00,
        IF(purpose="Remortgage",1.00,
            1.20)))</f>
        <v/>
      </c>
      <c r="L2779">
        <f>LET(
    arrears_months,'Loan Tape (S&amp;P)'!AN2779,
    IF(arrears_months=0,1.00,
    IF(arrears_months=1,3.00,
    IF(arrears_months=2,5.00,
    IF(arrears_months=3,8.00,
    IF(arrears_months=4,10.00,
    IF(arrears_months=5,12.00,15.00)))))))</f>
        <v/>
      </c>
      <c r="M2779">
        <f>LET(
    seasoning_years,DATEDIF('Loan Tape (S&amp;P)'!K2779,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79">
        <f>IF(AND('Loan Tape (S&amp;P)'!U2779="Yes",
        'Loan Tape (S&amp;P)'!T2779&lt;&gt;"Yes",
        DATEDIF('Loan Tape (S&amp;P)'!K2779, TODAY(), "M")&lt;18),
    1.10,
    1.00)</f>
        <v/>
      </c>
      <c r="O2779">
        <f>IF('Loan Tape (S&amp;P)'!T2779="Yes",
    1.35,
    1.00)</f>
        <v/>
      </c>
      <c r="P2779">
        <f>IF('Loan Tape (S&amp;P)'!S2779="Yes",
    1.15,
    1.00)</f>
        <v/>
      </c>
      <c r="Q2779">
        <f>IF('Loan Tape (S&amp;P)'!V2779="Yes",
    1.20,
    1.00)</f>
        <v/>
      </c>
      <c r="T2779">
        <f>LET(
    payment_method,'Loan Tape (S&amp;P)'!P2779,
    occupancy,'Loan Tape (S&amp;P)'!N2779,
    maturity_date,'Loan Tape (S&amp;P)'!L2779,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80">
      <c r="J2780">
        <f>LET(
    lien,'Loan Tape (S&amp;P)'!Q2780,
    IF(lien="First",1.00,
        IF(lien="Second",1.50,
            1.70)))</f>
        <v/>
      </c>
      <c r="K2780">
        <f>LET(
    purpose,'Loan Tape (S&amp;P)'!R2780,
    IF(purpose="Purchase",1.00,
        IF(purpose="Remortgage",1.00,
            1.20)))</f>
        <v/>
      </c>
      <c r="L2780">
        <f>LET(
    arrears_months,'Loan Tape (S&amp;P)'!AN2780,
    IF(arrears_months=0,1.00,
    IF(arrears_months=1,3.00,
    IF(arrears_months=2,5.00,
    IF(arrears_months=3,8.00,
    IF(arrears_months=4,10.00,
    IF(arrears_months=5,12.00,15.00)))))))</f>
        <v/>
      </c>
      <c r="M2780">
        <f>LET(
    seasoning_years,DATEDIF('Loan Tape (S&amp;P)'!K2780,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80">
        <f>IF(AND('Loan Tape (S&amp;P)'!U2780="Yes",
        'Loan Tape (S&amp;P)'!T2780&lt;&gt;"Yes",
        DATEDIF('Loan Tape (S&amp;P)'!K2780, TODAY(), "M")&lt;18),
    1.10,
    1.00)</f>
        <v/>
      </c>
      <c r="O2780">
        <f>IF('Loan Tape (S&amp;P)'!T2780="Yes",
    1.35,
    1.00)</f>
        <v/>
      </c>
      <c r="P2780">
        <f>IF('Loan Tape (S&amp;P)'!S2780="Yes",
    1.15,
    1.00)</f>
        <v/>
      </c>
      <c r="Q2780">
        <f>IF('Loan Tape (S&amp;P)'!V2780="Yes",
    1.20,
    1.00)</f>
        <v/>
      </c>
      <c r="T2780">
        <f>LET(
    payment_method,'Loan Tape (S&amp;P)'!P2780,
    occupancy,'Loan Tape (S&amp;P)'!N2780,
    maturity_date,'Loan Tape (S&amp;P)'!L2780,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81">
      <c r="J2781">
        <f>LET(
    lien,'Loan Tape (S&amp;P)'!Q2781,
    IF(lien="First",1.00,
        IF(lien="Second",1.50,
            1.70)))</f>
        <v/>
      </c>
      <c r="K2781">
        <f>LET(
    purpose,'Loan Tape (S&amp;P)'!R2781,
    IF(purpose="Purchase",1.00,
        IF(purpose="Remortgage",1.00,
            1.20)))</f>
        <v/>
      </c>
      <c r="L2781">
        <f>LET(
    arrears_months,'Loan Tape (S&amp;P)'!AN2781,
    IF(arrears_months=0,1.00,
    IF(arrears_months=1,3.00,
    IF(arrears_months=2,5.00,
    IF(arrears_months=3,8.00,
    IF(arrears_months=4,10.00,
    IF(arrears_months=5,12.00,15.00)))))))</f>
        <v/>
      </c>
      <c r="M2781">
        <f>LET(
    seasoning_years,DATEDIF('Loan Tape (S&amp;P)'!K2781,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81">
        <f>IF(AND('Loan Tape (S&amp;P)'!U2781="Yes",
        'Loan Tape (S&amp;P)'!T2781&lt;&gt;"Yes",
        DATEDIF('Loan Tape (S&amp;P)'!K2781, TODAY(), "M")&lt;18),
    1.10,
    1.00)</f>
        <v/>
      </c>
      <c r="O2781">
        <f>IF('Loan Tape (S&amp;P)'!T2781="Yes",
    1.35,
    1.00)</f>
        <v/>
      </c>
      <c r="P2781">
        <f>IF('Loan Tape (S&amp;P)'!S2781="Yes",
    1.15,
    1.00)</f>
        <v/>
      </c>
      <c r="Q2781">
        <f>IF('Loan Tape (S&amp;P)'!V2781="Yes",
    1.20,
    1.00)</f>
        <v/>
      </c>
      <c r="T2781">
        <f>LET(
    payment_method,'Loan Tape (S&amp;P)'!P2781,
    occupancy,'Loan Tape (S&amp;P)'!N2781,
    maturity_date,'Loan Tape (S&amp;P)'!L2781,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82">
      <c r="J2782">
        <f>LET(
    lien,'Loan Tape (S&amp;P)'!Q2782,
    IF(lien="First",1.00,
        IF(lien="Second",1.50,
            1.70)))</f>
        <v/>
      </c>
      <c r="K2782">
        <f>LET(
    purpose,'Loan Tape (S&amp;P)'!R2782,
    IF(purpose="Purchase",1.00,
        IF(purpose="Remortgage",1.00,
            1.20)))</f>
        <v/>
      </c>
      <c r="L2782">
        <f>LET(
    arrears_months,'Loan Tape (S&amp;P)'!AN2782,
    IF(arrears_months=0,1.00,
    IF(arrears_months=1,3.00,
    IF(arrears_months=2,5.00,
    IF(arrears_months=3,8.00,
    IF(arrears_months=4,10.00,
    IF(arrears_months=5,12.00,15.00)))))))</f>
        <v/>
      </c>
      <c r="M2782">
        <f>LET(
    seasoning_years,DATEDIF('Loan Tape (S&amp;P)'!K2782,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82">
        <f>IF(AND('Loan Tape (S&amp;P)'!U2782="Yes",
        'Loan Tape (S&amp;P)'!T2782&lt;&gt;"Yes",
        DATEDIF('Loan Tape (S&amp;P)'!K2782, TODAY(), "M")&lt;18),
    1.10,
    1.00)</f>
        <v/>
      </c>
      <c r="O2782">
        <f>IF('Loan Tape (S&amp;P)'!T2782="Yes",
    1.35,
    1.00)</f>
        <v/>
      </c>
      <c r="P2782">
        <f>IF('Loan Tape (S&amp;P)'!S2782="Yes",
    1.15,
    1.00)</f>
        <v/>
      </c>
      <c r="Q2782">
        <f>IF('Loan Tape (S&amp;P)'!V2782="Yes",
    1.20,
    1.00)</f>
        <v/>
      </c>
      <c r="T2782">
        <f>LET(
    payment_method,'Loan Tape (S&amp;P)'!P2782,
    occupancy,'Loan Tape (S&amp;P)'!N2782,
    maturity_date,'Loan Tape (S&amp;P)'!L2782,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83">
      <c r="J2783">
        <f>LET(
    lien,'Loan Tape (S&amp;P)'!Q2783,
    IF(lien="First",1.00,
        IF(lien="Second",1.50,
            1.70)))</f>
        <v/>
      </c>
      <c r="K2783">
        <f>LET(
    purpose,'Loan Tape (S&amp;P)'!R2783,
    IF(purpose="Purchase",1.00,
        IF(purpose="Remortgage",1.00,
            1.20)))</f>
        <v/>
      </c>
      <c r="L2783">
        <f>LET(
    arrears_months,'Loan Tape (S&amp;P)'!AN2783,
    IF(arrears_months=0,1.00,
    IF(arrears_months=1,3.00,
    IF(arrears_months=2,5.00,
    IF(arrears_months=3,8.00,
    IF(arrears_months=4,10.00,
    IF(arrears_months=5,12.00,15.00)))))))</f>
        <v/>
      </c>
      <c r="M2783">
        <f>LET(
    seasoning_years,DATEDIF('Loan Tape (S&amp;P)'!K2783,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83">
        <f>IF(AND('Loan Tape (S&amp;P)'!U2783="Yes",
        'Loan Tape (S&amp;P)'!T2783&lt;&gt;"Yes",
        DATEDIF('Loan Tape (S&amp;P)'!K2783, TODAY(), "M")&lt;18),
    1.10,
    1.00)</f>
        <v/>
      </c>
      <c r="O2783">
        <f>IF('Loan Tape (S&amp;P)'!T2783="Yes",
    1.35,
    1.00)</f>
        <v/>
      </c>
      <c r="P2783">
        <f>IF('Loan Tape (S&amp;P)'!S2783="Yes",
    1.15,
    1.00)</f>
        <v/>
      </c>
      <c r="Q2783">
        <f>IF('Loan Tape (S&amp;P)'!V2783="Yes",
    1.20,
    1.00)</f>
        <v/>
      </c>
      <c r="T2783">
        <f>LET(
    payment_method,'Loan Tape (S&amp;P)'!P2783,
    occupancy,'Loan Tape (S&amp;P)'!N2783,
    maturity_date,'Loan Tape (S&amp;P)'!L2783,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84">
      <c r="J2784">
        <f>LET(
    lien,'Loan Tape (S&amp;P)'!Q2784,
    IF(lien="First",1.00,
        IF(lien="Second",1.50,
            1.70)))</f>
        <v/>
      </c>
      <c r="K2784">
        <f>LET(
    purpose,'Loan Tape (S&amp;P)'!R2784,
    IF(purpose="Purchase",1.00,
        IF(purpose="Remortgage",1.00,
            1.20)))</f>
        <v/>
      </c>
      <c r="L2784">
        <f>LET(
    arrears_months,'Loan Tape (S&amp;P)'!AN2784,
    IF(arrears_months=0,1.00,
    IF(arrears_months=1,3.00,
    IF(arrears_months=2,5.00,
    IF(arrears_months=3,8.00,
    IF(arrears_months=4,10.00,
    IF(arrears_months=5,12.00,15.00)))))))</f>
        <v/>
      </c>
      <c r="M2784">
        <f>LET(
    seasoning_years,DATEDIF('Loan Tape (S&amp;P)'!K2784,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84">
        <f>IF(AND('Loan Tape (S&amp;P)'!U2784="Yes",
        'Loan Tape (S&amp;P)'!T2784&lt;&gt;"Yes",
        DATEDIF('Loan Tape (S&amp;P)'!K2784, TODAY(), "M")&lt;18),
    1.10,
    1.00)</f>
        <v/>
      </c>
      <c r="O2784">
        <f>IF('Loan Tape (S&amp;P)'!T2784="Yes",
    1.35,
    1.00)</f>
        <v/>
      </c>
      <c r="P2784">
        <f>IF('Loan Tape (S&amp;P)'!S2784="Yes",
    1.15,
    1.00)</f>
        <v/>
      </c>
      <c r="Q2784">
        <f>IF('Loan Tape (S&amp;P)'!V2784="Yes",
    1.20,
    1.00)</f>
        <v/>
      </c>
      <c r="T2784">
        <f>LET(
    payment_method,'Loan Tape (S&amp;P)'!P2784,
    occupancy,'Loan Tape (S&amp;P)'!N2784,
    maturity_date,'Loan Tape (S&amp;P)'!L2784,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85">
      <c r="J2785">
        <f>LET(
    lien,'Loan Tape (S&amp;P)'!Q2785,
    IF(lien="First",1.00,
        IF(lien="Second",1.50,
            1.70)))</f>
        <v/>
      </c>
      <c r="K2785">
        <f>LET(
    purpose,'Loan Tape (S&amp;P)'!R2785,
    IF(purpose="Purchase",1.00,
        IF(purpose="Remortgage",1.00,
            1.20)))</f>
        <v/>
      </c>
      <c r="L2785">
        <f>LET(
    arrears_months,'Loan Tape (S&amp;P)'!AN2785,
    IF(arrears_months=0,1.00,
    IF(arrears_months=1,3.00,
    IF(arrears_months=2,5.00,
    IF(arrears_months=3,8.00,
    IF(arrears_months=4,10.00,
    IF(arrears_months=5,12.00,15.00)))))))</f>
        <v/>
      </c>
      <c r="M2785">
        <f>LET(
    seasoning_years,DATEDIF('Loan Tape (S&amp;P)'!K2785,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85">
        <f>IF(AND('Loan Tape (S&amp;P)'!U2785="Yes",
        'Loan Tape (S&amp;P)'!T2785&lt;&gt;"Yes",
        DATEDIF('Loan Tape (S&amp;P)'!K2785, TODAY(), "M")&lt;18),
    1.10,
    1.00)</f>
        <v/>
      </c>
      <c r="O2785">
        <f>IF('Loan Tape (S&amp;P)'!T2785="Yes",
    1.35,
    1.00)</f>
        <v/>
      </c>
      <c r="P2785">
        <f>IF('Loan Tape (S&amp;P)'!S2785="Yes",
    1.15,
    1.00)</f>
        <v/>
      </c>
      <c r="Q2785">
        <f>IF('Loan Tape (S&amp;P)'!V2785="Yes",
    1.20,
    1.00)</f>
        <v/>
      </c>
      <c r="T2785">
        <f>LET(
    payment_method,'Loan Tape (S&amp;P)'!P2785,
    occupancy,'Loan Tape (S&amp;P)'!N2785,
    maturity_date,'Loan Tape (S&amp;P)'!L2785,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86">
      <c r="J2786">
        <f>LET(
    lien,'Loan Tape (S&amp;P)'!Q2786,
    IF(lien="First",1.00,
        IF(lien="Second",1.50,
            1.70)))</f>
        <v/>
      </c>
      <c r="K2786">
        <f>LET(
    purpose,'Loan Tape (S&amp;P)'!R2786,
    IF(purpose="Purchase",1.00,
        IF(purpose="Remortgage",1.00,
            1.20)))</f>
        <v/>
      </c>
      <c r="L2786">
        <f>LET(
    arrears_months,'Loan Tape (S&amp;P)'!AN2786,
    IF(arrears_months=0,1.00,
    IF(arrears_months=1,3.00,
    IF(arrears_months=2,5.00,
    IF(arrears_months=3,8.00,
    IF(arrears_months=4,10.00,
    IF(arrears_months=5,12.00,15.00)))))))</f>
        <v/>
      </c>
      <c r="M2786">
        <f>LET(
    seasoning_years,DATEDIF('Loan Tape (S&amp;P)'!K2786,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86">
        <f>IF(AND('Loan Tape (S&amp;P)'!U2786="Yes",
        'Loan Tape (S&amp;P)'!T2786&lt;&gt;"Yes",
        DATEDIF('Loan Tape (S&amp;P)'!K2786, TODAY(), "M")&lt;18),
    1.10,
    1.00)</f>
        <v/>
      </c>
      <c r="O2786">
        <f>IF('Loan Tape (S&amp;P)'!T2786="Yes",
    1.35,
    1.00)</f>
        <v/>
      </c>
      <c r="P2786">
        <f>IF('Loan Tape (S&amp;P)'!S2786="Yes",
    1.15,
    1.00)</f>
        <v/>
      </c>
      <c r="Q2786">
        <f>IF('Loan Tape (S&amp;P)'!V2786="Yes",
    1.20,
    1.00)</f>
        <v/>
      </c>
      <c r="T2786">
        <f>LET(
    payment_method,'Loan Tape (S&amp;P)'!P2786,
    occupancy,'Loan Tape (S&amp;P)'!N2786,
    maturity_date,'Loan Tape (S&amp;P)'!L2786,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87">
      <c r="J2787">
        <f>LET(
    lien,'Loan Tape (S&amp;P)'!Q2787,
    IF(lien="First",1.00,
        IF(lien="Second",1.50,
            1.70)))</f>
        <v/>
      </c>
      <c r="K2787">
        <f>LET(
    purpose,'Loan Tape (S&amp;P)'!R2787,
    IF(purpose="Purchase",1.00,
        IF(purpose="Remortgage",1.00,
            1.20)))</f>
        <v/>
      </c>
      <c r="L2787">
        <f>LET(
    arrears_months,'Loan Tape (S&amp;P)'!AN2787,
    IF(arrears_months=0,1.00,
    IF(arrears_months=1,3.00,
    IF(arrears_months=2,5.00,
    IF(arrears_months=3,8.00,
    IF(arrears_months=4,10.00,
    IF(arrears_months=5,12.00,15.00)))))))</f>
        <v/>
      </c>
      <c r="M2787">
        <f>LET(
    seasoning_years,DATEDIF('Loan Tape (S&amp;P)'!K2787,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87">
        <f>IF(AND('Loan Tape (S&amp;P)'!U2787="Yes",
        'Loan Tape (S&amp;P)'!T2787&lt;&gt;"Yes",
        DATEDIF('Loan Tape (S&amp;P)'!K2787, TODAY(), "M")&lt;18),
    1.10,
    1.00)</f>
        <v/>
      </c>
      <c r="O2787">
        <f>IF('Loan Tape (S&amp;P)'!T2787="Yes",
    1.35,
    1.00)</f>
        <v/>
      </c>
      <c r="P2787">
        <f>IF('Loan Tape (S&amp;P)'!S2787="Yes",
    1.15,
    1.00)</f>
        <v/>
      </c>
      <c r="Q2787">
        <f>IF('Loan Tape (S&amp;P)'!V2787="Yes",
    1.20,
    1.00)</f>
        <v/>
      </c>
      <c r="T2787">
        <f>LET(
    payment_method,'Loan Tape (S&amp;P)'!P2787,
    occupancy,'Loan Tape (S&amp;P)'!N2787,
    maturity_date,'Loan Tape (S&amp;P)'!L2787,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88">
      <c r="J2788">
        <f>LET(
    lien,'Loan Tape (S&amp;P)'!Q2788,
    IF(lien="First",1.00,
        IF(lien="Second",1.50,
            1.70)))</f>
        <v/>
      </c>
      <c r="K2788">
        <f>LET(
    purpose,'Loan Tape (S&amp;P)'!R2788,
    IF(purpose="Purchase",1.00,
        IF(purpose="Remortgage",1.00,
            1.20)))</f>
        <v/>
      </c>
      <c r="L2788">
        <f>LET(
    arrears_months,'Loan Tape (S&amp;P)'!AN2788,
    IF(arrears_months=0,1.00,
    IF(arrears_months=1,3.00,
    IF(arrears_months=2,5.00,
    IF(arrears_months=3,8.00,
    IF(arrears_months=4,10.00,
    IF(arrears_months=5,12.00,15.00)))))))</f>
        <v/>
      </c>
      <c r="M2788">
        <f>LET(
    seasoning_years,DATEDIF('Loan Tape (S&amp;P)'!K2788,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88">
        <f>IF(AND('Loan Tape (S&amp;P)'!U2788="Yes",
        'Loan Tape (S&amp;P)'!T2788&lt;&gt;"Yes",
        DATEDIF('Loan Tape (S&amp;P)'!K2788, TODAY(), "M")&lt;18),
    1.10,
    1.00)</f>
        <v/>
      </c>
      <c r="O2788">
        <f>IF('Loan Tape (S&amp;P)'!T2788="Yes",
    1.35,
    1.00)</f>
        <v/>
      </c>
      <c r="P2788">
        <f>IF('Loan Tape (S&amp;P)'!S2788="Yes",
    1.15,
    1.00)</f>
        <v/>
      </c>
      <c r="Q2788">
        <f>IF('Loan Tape (S&amp;P)'!V2788="Yes",
    1.20,
    1.00)</f>
        <v/>
      </c>
      <c r="T2788">
        <f>LET(
    payment_method,'Loan Tape (S&amp;P)'!P2788,
    occupancy,'Loan Tape (S&amp;P)'!N2788,
    maturity_date,'Loan Tape (S&amp;P)'!L2788,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89">
      <c r="J2789">
        <f>LET(
    lien,'Loan Tape (S&amp;P)'!Q2789,
    IF(lien="First",1.00,
        IF(lien="Second",1.50,
            1.70)))</f>
        <v/>
      </c>
      <c r="K2789">
        <f>LET(
    purpose,'Loan Tape (S&amp;P)'!R2789,
    IF(purpose="Purchase",1.00,
        IF(purpose="Remortgage",1.00,
            1.20)))</f>
        <v/>
      </c>
      <c r="L2789">
        <f>LET(
    arrears_months,'Loan Tape (S&amp;P)'!AN2789,
    IF(arrears_months=0,1.00,
    IF(arrears_months=1,3.00,
    IF(arrears_months=2,5.00,
    IF(arrears_months=3,8.00,
    IF(arrears_months=4,10.00,
    IF(arrears_months=5,12.00,15.00)))))))</f>
        <v/>
      </c>
      <c r="M2789">
        <f>LET(
    seasoning_years,DATEDIF('Loan Tape (S&amp;P)'!K2789,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89">
        <f>IF(AND('Loan Tape (S&amp;P)'!U2789="Yes",
        'Loan Tape (S&amp;P)'!T2789&lt;&gt;"Yes",
        DATEDIF('Loan Tape (S&amp;P)'!K2789, TODAY(), "M")&lt;18),
    1.10,
    1.00)</f>
        <v/>
      </c>
      <c r="O2789">
        <f>IF('Loan Tape (S&amp;P)'!T2789="Yes",
    1.35,
    1.00)</f>
        <v/>
      </c>
      <c r="P2789">
        <f>IF('Loan Tape (S&amp;P)'!S2789="Yes",
    1.15,
    1.00)</f>
        <v/>
      </c>
      <c r="Q2789">
        <f>IF('Loan Tape (S&amp;P)'!V2789="Yes",
    1.20,
    1.00)</f>
        <v/>
      </c>
      <c r="T2789">
        <f>LET(
    payment_method,'Loan Tape (S&amp;P)'!P2789,
    occupancy,'Loan Tape (S&amp;P)'!N2789,
    maturity_date,'Loan Tape (S&amp;P)'!L2789,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90">
      <c r="J2790">
        <f>LET(
    lien,'Loan Tape (S&amp;P)'!Q2790,
    IF(lien="First",1.00,
        IF(lien="Second",1.50,
            1.70)))</f>
        <v/>
      </c>
      <c r="K2790">
        <f>LET(
    purpose,'Loan Tape (S&amp;P)'!R2790,
    IF(purpose="Purchase",1.00,
        IF(purpose="Remortgage",1.00,
            1.20)))</f>
        <v/>
      </c>
      <c r="L2790">
        <f>LET(
    arrears_months,'Loan Tape (S&amp;P)'!AN2790,
    IF(arrears_months=0,1.00,
    IF(arrears_months=1,3.00,
    IF(arrears_months=2,5.00,
    IF(arrears_months=3,8.00,
    IF(arrears_months=4,10.00,
    IF(arrears_months=5,12.00,15.00)))))))</f>
        <v/>
      </c>
      <c r="M2790">
        <f>LET(
    seasoning_years,DATEDIF('Loan Tape (S&amp;P)'!K2790,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90">
        <f>IF(AND('Loan Tape (S&amp;P)'!U2790="Yes",
        'Loan Tape (S&amp;P)'!T2790&lt;&gt;"Yes",
        DATEDIF('Loan Tape (S&amp;P)'!K2790, TODAY(), "M")&lt;18),
    1.10,
    1.00)</f>
        <v/>
      </c>
      <c r="O2790">
        <f>IF('Loan Tape (S&amp;P)'!T2790="Yes",
    1.35,
    1.00)</f>
        <v/>
      </c>
      <c r="P2790">
        <f>IF('Loan Tape (S&amp;P)'!S2790="Yes",
    1.15,
    1.00)</f>
        <v/>
      </c>
      <c r="Q2790">
        <f>IF('Loan Tape (S&amp;P)'!V2790="Yes",
    1.20,
    1.00)</f>
        <v/>
      </c>
      <c r="T2790">
        <f>LET(
    payment_method,'Loan Tape (S&amp;P)'!P2790,
    occupancy,'Loan Tape (S&amp;P)'!N2790,
    maturity_date,'Loan Tape (S&amp;P)'!L2790,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91">
      <c r="J2791">
        <f>LET(
    lien,'Loan Tape (S&amp;P)'!Q2791,
    IF(lien="First",1.00,
        IF(lien="Second",1.50,
            1.70)))</f>
        <v/>
      </c>
      <c r="K2791">
        <f>LET(
    purpose,'Loan Tape (S&amp;P)'!R2791,
    IF(purpose="Purchase",1.00,
        IF(purpose="Remortgage",1.00,
            1.20)))</f>
        <v/>
      </c>
      <c r="L2791">
        <f>LET(
    arrears_months,'Loan Tape (S&amp;P)'!AN2791,
    IF(arrears_months=0,1.00,
    IF(arrears_months=1,3.00,
    IF(arrears_months=2,5.00,
    IF(arrears_months=3,8.00,
    IF(arrears_months=4,10.00,
    IF(arrears_months=5,12.00,15.00)))))))</f>
        <v/>
      </c>
      <c r="M2791">
        <f>LET(
    seasoning_years,DATEDIF('Loan Tape (S&amp;P)'!K2791,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91">
        <f>IF(AND('Loan Tape (S&amp;P)'!U2791="Yes",
        'Loan Tape (S&amp;P)'!T2791&lt;&gt;"Yes",
        DATEDIF('Loan Tape (S&amp;P)'!K2791, TODAY(), "M")&lt;18),
    1.10,
    1.00)</f>
        <v/>
      </c>
      <c r="O2791">
        <f>IF('Loan Tape (S&amp;P)'!T2791="Yes",
    1.35,
    1.00)</f>
        <v/>
      </c>
      <c r="P2791">
        <f>IF('Loan Tape (S&amp;P)'!S2791="Yes",
    1.15,
    1.00)</f>
        <v/>
      </c>
      <c r="Q2791">
        <f>IF('Loan Tape (S&amp;P)'!V2791="Yes",
    1.20,
    1.00)</f>
        <v/>
      </c>
      <c r="T2791">
        <f>LET(
    payment_method,'Loan Tape (S&amp;P)'!P2791,
    occupancy,'Loan Tape (S&amp;P)'!N2791,
    maturity_date,'Loan Tape (S&amp;P)'!L2791,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92">
      <c r="J2792">
        <f>LET(
    lien,'Loan Tape (S&amp;P)'!Q2792,
    IF(lien="First",1.00,
        IF(lien="Second",1.50,
            1.70)))</f>
        <v/>
      </c>
      <c r="K2792">
        <f>LET(
    purpose,'Loan Tape (S&amp;P)'!R2792,
    IF(purpose="Purchase",1.00,
        IF(purpose="Remortgage",1.00,
            1.20)))</f>
        <v/>
      </c>
      <c r="L2792">
        <f>LET(
    arrears_months,'Loan Tape (S&amp;P)'!AN2792,
    IF(arrears_months=0,1.00,
    IF(arrears_months=1,3.00,
    IF(arrears_months=2,5.00,
    IF(arrears_months=3,8.00,
    IF(arrears_months=4,10.00,
    IF(arrears_months=5,12.00,15.00)))))))</f>
        <v/>
      </c>
      <c r="M2792">
        <f>LET(
    seasoning_years,DATEDIF('Loan Tape (S&amp;P)'!K2792,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92">
        <f>IF(AND('Loan Tape (S&amp;P)'!U2792="Yes",
        'Loan Tape (S&amp;P)'!T2792&lt;&gt;"Yes",
        DATEDIF('Loan Tape (S&amp;P)'!K2792, TODAY(), "M")&lt;18),
    1.10,
    1.00)</f>
        <v/>
      </c>
      <c r="O2792">
        <f>IF('Loan Tape (S&amp;P)'!T2792="Yes",
    1.35,
    1.00)</f>
        <v/>
      </c>
      <c r="P2792">
        <f>IF('Loan Tape (S&amp;P)'!S2792="Yes",
    1.15,
    1.00)</f>
        <v/>
      </c>
      <c r="Q2792">
        <f>IF('Loan Tape (S&amp;P)'!V2792="Yes",
    1.20,
    1.00)</f>
        <v/>
      </c>
      <c r="T2792">
        <f>LET(
    payment_method,'Loan Tape (S&amp;P)'!P2792,
    occupancy,'Loan Tape (S&amp;P)'!N2792,
    maturity_date,'Loan Tape (S&amp;P)'!L2792,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93">
      <c r="J2793">
        <f>LET(
    lien,'Loan Tape (S&amp;P)'!Q2793,
    IF(lien="First",1.00,
        IF(lien="Second",1.50,
            1.70)))</f>
        <v/>
      </c>
      <c r="K2793">
        <f>LET(
    purpose,'Loan Tape (S&amp;P)'!R2793,
    IF(purpose="Purchase",1.00,
        IF(purpose="Remortgage",1.00,
            1.20)))</f>
        <v/>
      </c>
      <c r="L2793">
        <f>LET(
    arrears_months,'Loan Tape (S&amp;P)'!AN2793,
    IF(arrears_months=0,1.00,
    IF(arrears_months=1,3.00,
    IF(arrears_months=2,5.00,
    IF(arrears_months=3,8.00,
    IF(arrears_months=4,10.00,
    IF(arrears_months=5,12.00,15.00)))))))</f>
        <v/>
      </c>
      <c r="M2793">
        <f>LET(
    seasoning_years,DATEDIF('Loan Tape (S&amp;P)'!K2793,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93">
        <f>IF(AND('Loan Tape (S&amp;P)'!U2793="Yes",
        'Loan Tape (S&amp;P)'!T2793&lt;&gt;"Yes",
        DATEDIF('Loan Tape (S&amp;P)'!K2793, TODAY(), "M")&lt;18),
    1.10,
    1.00)</f>
        <v/>
      </c>
      <c r="O2793">
        <f>IF('Loan Tape (S&amp;P)'!T2793="Yes",
    1.35,
    1.00)</f>
        <v/>
      </c>
      <c r="P2793">
        <f>IF('Loan Tape (S&amp;P)'!S2793="Yes",
    1.15,
    1.00)</f>
        <v/>
      </c>
      <c r="Q2793">
        <f>IF('Loan Tape (S&amp;P)'!V2793="Yes",
    1.20,
    1.00)</f>
        <v/>
      </c>
      <c r="T2793">
        <f>LET(
    payment_method,'Loan Tape (S&amp;P)'!P2793,
    occupancy,'Loan Tape (S&amp;P)'!N2793,
    maturity_date,'Loan Tape (S&amp;P)'!L2793,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94">
      <c r="J2794">
        <f>LET(
    lien,'Loan Tape (S&amp;P)'!Q2794,
    IF(lien="First",1.00,
        IF(lien="Second",1.50,
            1.70)))</f>
        <v/>
      </c>
      <c r="K2794">
        <f>LET(
    purpose,'Loan Tape (S&amp;P)'!R2794,
    IF(purpose="Purchase",1.00,
        IF(purpose="Remortgage",1.00,
            1.20)))</f>
        <v/>
      </c>
      <c r="L2794">
        <f>LET(
    arrears_months,'Loan Tape (S&amp;P)'!AN2794,
    IF(arrears_months=0,1.00,
    IF(arrears_months=1,3.00,
    IF(arrears_months=2,5.00,
    IF(arrears_months=3,8.00,
    IF(arrears_months=4,10.00,
    IF(arrears_months=5,12.00,15.00)))))))</f>
        <v/>
      </c>
      <c r="M2794">
        <f>LET(
    seasoning_years,DATEDIF('Loan Tape (S&amp;P)'!K2794,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94">
        <f>IF(AND('Loan Tape (S&amp;P)'!U2794="Yes",
        'Loan Tape (S&amp;P)'!T2794&lt;&gt;"Yes",
        DATEDIF('Loan Tape (S&amp;P)'!K2794, TODAY(), "M")&lt;18),
    1.10,
    1.00)</f>
        <v/>
      </c>
      <c r="O2794">
        <f>IF('Loan Tape (S&amp;P)'!T2794="Yes",
    1.35,
    1.00)</f>
        <v/>
      </c>
      <c r="P2794">
        <f>IF('Loan Tape (S&amp;P)'!S2794="Yes",
    1.15,
    1.00)</f>
        <v/>
      </c>
      <c r="Q2794">
        <f>IF('Loan Tape (S&amp;P)'!V2794="Yes",
    1.20,
    1.00)</f>
        <v/>
      </c>
      <c r="T2794">
        <f>LET(
    payment_method,'Loan Tape (S&amp;P)'!P2794,
    occupancy,'Loan Tape (S&amp;P)'!N2794,
    maturity_date,'Loan Tape (S&amp;P)'!L2794,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95">
      <c r="J2795">
        <f>LET(
    lien,'Loan Tape (S&amp;P)'!Q2795,
    IF(lien="First",1.00,
        IF(lien="Second",1.50,
            1.70)))</f>
        <v/>
      </c>
      <c r="K2795">
        <f>LET(
    purpose,'Loan Tape (S&amp;P)'!R2795,
    IF(purpose="Purchase",1.00,
        IF(purpose="Remortgage",1.00,
            1.20)))</f>
        <v/>
      </c>
      <c r="L2795">
        <f>LET(
    arrears_months,'Loan Tape (S&amp;P)'!AN2795,
    IF(arrears_months=0,1.00,
    IF(arrears_months=1,3.00,
    IF(arrears_months=2,5.00,
    IF(arrears_months=3,8.00,
    IF(arrears_months=4,10.00,
    IF(arrears_months=5,12.00,15.00)))))))</f>
        <v/>
      </c>
      <c r="M2795">
        <f>LET(
    seasoning_years,DATEDIF('Loan Tape (S&amp;P)'!K2795,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95">
        <f>IF(AND('Loan Tape (S&amp;P)'!U2795="Yes",
        'Loan Tape (S&amp;P)'!T2795&lt;&gt;"Yes",
        DATEDIF('Loan Tape (S&amp;P)'!K2795, TODAY(), "M")&lt;18),
    1.10,
    1.00)</f>
        <v/>
      </c>
      <c r="O2795">
        <f>IF('Loan Tape (S&amp;P)'!T2795="Yes",
    1.35,
    1.00)</f>
        <v/>
      </c>
      <c r="P2795">
        <f>IF('Loan Tape (S&amp;P)'!S2795="Yes",
    1.15,
    1.00)</f>
        <v/>
      </c>
      <c r="Q2795">
        <f>IF('Loan Tape (S&amp;P)'!V2795="Yes",
    1.20,
    1.00)</f>
        <v/>
      </c>
      <c r="T2795">
        <f>LET(
    payment_method,'Loan Tape (S&amp;P)'!P2795,
    occupancy,'Loan Tape (S&amp;P)'!N2795,
    maturity_date,'Loan Tape (S&amp;P)'!L2795,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96">
      <c r="J2796">
        <f>LET(
    lien,'Loan Tape (S&amp;P)'!Q2796,
    IF(lien="First",1.00,
        IF(lien="Second",1.50,
            1.70)))</f>
        <v/>
      </c>
      <c r="K2796">
        <f>LET(
    purpose,'Loan Tape (S&amp;P)'!R2796,
    IF(purpose="Purchase",1.00,
        IF(purpose="Remortgage",1.00,
            1.20)))</f>
        <v/>
      </c>
      <c r="L2796">
        <f>LET(
    arrears_months,'Loan Tape (S&amp;P)'!AN2796,
    IF(arrears_months=0,1.00,
    IF(arrears_months=1,3.00,
    IF(arrears_months=2,5.00,
    IF(arrears_months=3,8.00,
    IF(arrears_months=4,10.00,
    IF(arrears_months=5,12.00,15.00)))))))</f>
        <v/>
      </c>
      <c r="M2796">
        <f>LET(
    seasoning_years,DATEDIF('Loan Tape (S&amp;P)'!K2796,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96">
        <f>IF(AND('Loan Tape (S&amp;P)'!U2796="Yes",
        'Loan Tape (S&amp;P)'!T2796&lt;&gt;"Yes",
        DATEDIF('Loan Tape (S&amp;P)'!K2796, TODAY(), "M")&lt;18),
    1.10,
    1.00)</f>
        <v/>
      </c>
      <c r="O2796">
        <f>IF('Loan Tape (S&amp;P)'!T2796="Yes",
    1.35,
    1.00)</f>
        <v/>
      </c>
      <c r="P2796">
        <f>IF('Loan Tape (S&amp;P)'!S2796="Yes",
    1.15,
    1.00)</f>
        <v/>
      </c>
      <c r="Q2796">
        <f>IF('Loan Tape (S&amp;P)'!V2796="Yes",
    1.20,
    1.00)</f>
        <v/>
      </c>
      <c r="T2796">
        <f>LET(
    payment_method,'Loan Tape (S&amp;P)'!P2796,
    occupancy,'Loan Tape (S&amp;P)'!N2796,
    maturity_date,'Loan Tape (S&amp;P)'!L2796,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97">
      <c r="J2797">
        <f>LET(
    lien,'Loan Tape (S&amp;P)'!Q2797,
    IF(lien="First",1.00,
        IF(lien="Second",1.50,
            1.70)))</f>
        <v/>
      </c>
      <c r="K2797">
        <f>LET(
    purpose,'Loan Tape (S&amp;P)'!R2797,
    IF(purpose="Purchase",1.00,
        IF(purpose="Remortgage",1.00,
            1.20)))</f>
        <v/>
      </c>
      <c r="L2797">
        <f>LET(
    arrears_months,'Loan Tape (S&amp;P)'!AN2797,
    IF(arrears_months=0,1.00,
    IF(arrears_months=1,3.00,
    IF(arrears_months=2,5.00,
    IF(arrears_months=3,8.00,
    IF(arrears_months=4,10.00,
    IF(arrears_months=5,12.00,15.00)))))))</f>
        <v/>
      </c>
      <c r="M2797">
        <f>LET(
    seasoning_years,DATEDIF('Loan Tape (S&amp;P)'!K2797,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97">
        <f>IF(AND('Loan Tape (S&amp;P)'!U2797="Yes",
        'Loan Tape (S&amp;P)'!T2797&lt;&gt;"Yes",
        DATEDIF('Loan Tape (S&amp;P)'!K2797, TODAY(), "M")&lt;18),
    1.10,
    1.00)</f>
        <v/>
      </c>
      <c r="O2797">
        <f>IF('Loan Tape (S&amp;P)'!T2797="Yes",
    1.35,
    1.00)</f>
        <v/>
      </c>
      <c r="P2797">
        <f>IF('Loan Tape (S&amp;P)'!S2797="Yes",
    1.15,
    1.00)</f>
        <v/>
      </c>
      <c r="Q2797">
        <f>IF('Loan Tape (S&amp;P)'!V2797="Yes",
    1.20,
    1.00)</f>
        <v/>
      </c>
      <c r="T2797">
        <f>LET(
    payment_method,'Loan Tape (S&amp;P)'!P2797,
    occupancy,'Loan Tape (S&amp;P)'!N2797,
    maturity_date,'Loan Tape (S&amp;P)'!L2797,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98">
      <c r="J2798">
        <f>LET(
    lien,'Loan Tape (S&amp;P)'!Q2798,
    IF(lien="First",1.00,
        IF(lien="Second",1.50,
            1.70)))</f>
        <v/>
      </c>
      <c r="K2798">
        <f>LET(
    purpose,'Loan Tape (S&amp;P)'!R2798,
    IF(purpose="Purchase",1.00,
        IF(purpose="Remortgage",1.00,
            1.20)))</f>
        <v/>
      </c>
      <c r="L2798">
        <f>LET(
    arrears_months,'Loan Tape (S&amp;P)'!AN2798,
    IF(arrears_months=0,1.00,
    IF(arrears_months=1,3.00,
    IF(arrears_months=2,5.00,
    IF(arrears_months=3,8.00,
    IF(arrears_months=4,10.00,
    IF(arrears_months=5,12.00,15.00)))))))</f>
        <v/>
      </c>
      <c r="M2798">
        <f>LET(
    seasoning_years,DATEDIF('Loan Tape (S&amp;P)'!K2798,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98">
        <f>IF(AND('Loan Tape (S&amp;P)'!U2798="Yes",
        'Loan Tape (S&amp;P)'!T2798&lt;&gt;"Yes",
        DATEDIF('Loan Tape (S&amp;P)'!K2798, TODAY(), "M")&lt;18),
    1.10,
    1.00)</f>
        <v/>
      </c>
      <c r="O2798">
        <f>IF('Loan Tape (S&amp;P)'!T2798="Yes",
    1.35,
    1.00)</f>
        <v/>
      </c>
      <c r="P2798">
        <f>IF('Loan Tape (S&amp;P)'!S2798="Yes",
    1.15,
    1.00)</f>
        <v/>
      </c>
      <c r="Q2798">
        <f>IF('Loan Tape (S&amp;P)'!V2798="Yes",
    1.20,
    1.00)</f>
        <v/>
      </c>
      <c r="T2798">
        <f>LET(
    payment_method,'Loan Tape (S&amp;P)'!P2798,
    occupancy,'Loan Tape (S&amp;P)'!N2798,
    maturity_date,'Loan Tape (S&amp;P)'!L2798,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799">
      <c r="J2799">
        <f>LET(
    lien,'Loan Tape (S&amp;P)'!Q2799,
    IF(lien="First",1.00,
        IF(lien="Second",1.50,
            1.70)))</f>
        <v/>
      </c>
      <c r="K2799">
        <f>LET(
    purpose,'Loan Tape (S&amp;P)'!R2799,
    IF(purpose="Purchase",1.00,
        IF(purpose="Remortgage",1.00,
            1.20)))</f>
        <v/>
      </c>
      <c r="L2799">
        <f>LET(
    arrears_months,'Loan Tape (S&amp;P)'!AN2799,
    IF(arrears_months=0,1.00,
    IF(arrears_months=1,3.00,
    IF(arrears_months=2,5.00,
    IF(arrears_months=3,8.00,
    IF(arrears_months=4,10.00,
    IF(arrears_months=5,12.00,15.00)))))))</f>
        <v/>
      </c>
      <c r="M2799">
        <f>LET(
    seasoning_years,DATEDIF('Loan Tape (S&amp;P)'!K2799,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799">
        <f>IF(AND('Loan Tape (S&amp;P)'!U2799="Yes",
        'Loan Tape (S&amp;P)'!T2799&lt;&gt;"Yes",
        DATEDIF('Loan Tape (S&amp;P)'!K2799, TODAY(), "M")&lt;18),
    1.10,
    1.00)</f>
        <v/>
      </c>
      <c r="O2799">
        <f>IF('Loan Tape (S&amp;P)'!T2799="Yes",
    1.35,
    1.00)</f>
        <v/>
      </c>
      <c r="P2799">
        <f>IF('Loan Tape (S&amp;P)'!S2799="Yes",
    1.15,
    1.00)</f>
        <v/>
      </c>
      <c r="Q2799">
        <f>IF('Loan Tape (S&amp;P)'!V2799="Yes",
    1.20,
    1.00)</f>
        <v/>
      </c>
      <c r="T2799">
        <f>LET(
    payment_method,'Loan Tape (S&amp;P)'!P2799,
    occupancy,'Loan Tape (S&amp;P)'!N2799,
    maturity_date,'Loan Tape (S&amp;P)'!L2799,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00">
      <c r="J2800">
        <f>LET(
    lien,'Loan Tape (S&amp;P)'!Q2800,
    IF(lien="First",1.00,
        IF(lien="Second",1.50,
            1.70)))</f>
        <v/>
      </c>
      <c r="K2800">
        <f>LET(
    purpose,'Loan Tape (S&amp;P)'!R2800,
    IF(purpose="Purchase",1.00,
        IF(purpose="Remortgage",1.00,
            1.20)))</f>
        <v/>
      </c>
      <c r="L2800">
        <f>LET(
    arrears_months,'Loan Tape (S&amp;P)'!AN2800,
    IF(arrears_months=0,1.00,
    IF(arrears_months=1,3.00,
    IF(arrears_months=2,5.00,
    IF(arrears_months=3,8.00,
    IF(arrears_months=4,10.00,
    IF(arrears_months=5,12.00,15.00)))))))</f>
        <v/>
      </c>
      <c r="M2800">
        <f>LET(
    seasoning_years,DATEDIF('Loan Tape (S&amp;P)'!K2800,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00">
        <f>IF(AND('Loan Tape (S&amp;P)'!U2800="Yes",
        'Loan Tape (S&amp;P)'!T2800&lt;&gt;"Yes",
        DATEDIF('Loan Tape (S&amp;P)'!K2800, TODAY(), "M")&lt;18),
    1.10,
    1.00)</f>
        <v/>
      </c>
      <c r="O2800">
        <f>IF('Loan Tape (S&amp;P)'!T2800="Yes",
    1.35,
    1.00)</f>
        <v/>
      </c>
      <c r="P2800">
        <f>IF('Loan Tape (S&amp;P)'!S2800="Yes",
    1.15,
    1.00)</f>
        <v/>
      </c>
      <c r="Q2800">
        <f>IF('Loan Tape (S&amp;P)'!V2800="Yes",
    1.20,
    1.00)</f>
        <v/>
      </c>
      <c r="T2800">
        <f>LET(
    payment_method,'Loan Tape (S&amp;P)'!P2800,
    occupancy,'Loan Tape (S&amp;P)'!N2800,
    maturity_date,'Loan Tape (S&amp;P)'!L2800,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01">
      <c r="J2801">
        <f>LET(
    lien,'Loan Tape (S&amp;P)'!Q2801,
    IF(lien="First",1.00,
        IF(lien="Second",1.50,
            1.70)))</f>
        <v/>
      </c>
      <c r="K2801">
        <f>LET(
    purpose,'Loan Tape (S&amp;P)'!R2801,
    IF(purpose="Purchase",1.00,
        IF(purpose="Remortgage",1.00,
            1.20)))</f>
        <v/>
      </c>
      <c r="L2801">
        <f>LET(
    arrears_months,'Loan Tape (S&amp;P)'!AN2801,
    IF(arrears_months=0,1.00,
    IF(arrears_months=1,3.00,
    IF(arrears_months=2,5.00,
    IF(arrears_months=3,8.00,
    IF(arrears_months=4,10.00,
    IF(arrears_months=5,12.00,15.00)))))))</f>
        <v/>
      </c>
      <c r="M2801">
        <f>LET(
    seasoning_years,DATEDIF('Loan Tape (S&amp;P)'!K2801,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01">
        <f>IF(AND('Loan Tape (S&amp;P)'!U2801="Yes",
        'Loan Tape (S&amp;P)'!T2801&lt;&gt;"Yes",
        DATEDIF('Loan Tape (S&amp;P)'!K2801, TODAY(), "M")&lt;18),
    1.10,
    1.00)</f>
        <v/>
      </c>
      <c r="O2801">
        <f>IF('Loan Tape (S&amp;P)'!T2801="Yes",
    1.35,
    1.00)</f>
        <v/>
      </c>
      <c r="P2801">
        <f>IF('Loan Tape (S&amp;P)'!S2801="Yes",
    1.15,
    1.00)</f>
        <v/>
      </c>
      <c r="Q2801">
        <f>IF('Loan Tape (S&amp;P)'!V2801="Yes",
    1.20,
    1.00)</f>
        <v/>
      </c>
      <c r="T2801">
        <f>LET(
    payment_method,'Loan Tape (S&amp;P)'!P2801,
    occupancy,'Loan Tape (S&amp;P)'!N2801,
    maturity_date,'Loan Tape (S&amp;P)'!L2801,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02">
      <c r="J2802">
        <f>LET(
    lien,'Loan Tape (S&amp;P)'!Q2802,
    IF(lien="First",1.00,
        IF(lien="Second",1.50,
            1.70)))</f>
        <v/>
      </c>
      <c r="K2802">
        <f>LET(
    purpose,'Loan Tape (S&amp;P)'!R2802,
    IF(purpose="Purchase",1.00,
        IF(purpose="Remortgage",1.00,
            1.20)))</f>
        <v/>
      </c>
      <c r="L2802">
        <f>LET(
    arrears_months,'Loan Tape (S&amp;P)'!AN2802,
    IF(arrears_months=0,1.00,
    IF(arrears_months=1,3.00,
    IF(arrears_months=2,5.00,
    IF(arrears_months=3,8.00,
    IF(arrears_months=4,10.00,
    IF(arrears_months=5,12.00,15.00)))))))</f>
        <v/>
      </c>
      <c r="M2802">
        <f>LET(
    seasoning_years,DATEDIF('Loan Tape (S&amp;P)'!K2802,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02">
        <f>IF(AND('Loan Tape (S&amp;P)'!U2802="Yes",
        'Loan Tape (S&amp;P)'!T2802&lt;&gt;"Yes",
        DATEDIF('Loan Tape (S&amp;P)'!K2802, TODAY(), "M")&lt;18),
    1.10,
    1.00)</f>
        <v/>
      </c>
      <c r="O2802">
        <f>IF('Loan Tape (S&amp;P)'!T2802="Yes",
    1.35,
    1.00)</f>
        <v/>
      </c>
      <c r="P2802">
        <f>IF('Loan Tape (S&amp;P)'!S2802="Yes",
    1.15,
    1.00)</f>
        <v/>
      </c>
      <c r="Q2802">
        <f>IF('Loan Tape (S&amp;P)'!V2802="Yes",
    1.20,
    1.00)</f>
        <v/>
      </c>
      <c r="T2802">
        <f>LET(
    payment_method,'Loan Tape (S&amp;P)'!P2802,
    occupancy,'Loan Tape (S&amp;P)'!N2802,
    maturity_date,'Loan Tape (S&amp;P)'!L2802,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03">
      <c r="J2803">
        <f>LET(
    lien,'Loan Tape (S&amp;P)'!Q2803,
    IF(lien="First",1.00,
        IF(lien="Second",1.50,
            1.70)))</f>
        <v/>
      </c>
      <c r="K2803">
        <f>LET(
    purpose,'Loan Tape (S&amp;P)'!R2803,
    IF(purpose="Purchase",1.00,
        IF(purpose="Remortgage",1.00,
            1.20)))</f>
        <v/>
      </c>
      <c r="L2803">
        <f>LET(
    arrears_months,'Loan Tape (S&amp;P)'!AN2803,
    IF(arrears_months=0,1.00,
    IF(arrears_months=1,3.00,
    IF(arrears_months=2,5.00,
    IF(arrears_months=3,8.00,
    IF(arrears_months=4,10.00,
    IF(arrears_months=5,12.00,15.00)))))))</f>
        <v/>
      </c>
      <c r="M2803">
        <f>LET(
    seasoning_years,DATEDIF('Loan Tape (S&amp;P)'!K2803,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03">
        <f>IF(AND('Loan Tape (S&amp;P)'!U2803="Yes",
        'Loan Tape (S&amp;P)'!T2803&lt;&gt;"Yes",
        DATEDIF('Loan Tape (S&amp;P)'!K2803, TODAY(), "M")&lt;18),
    1.10,
    1.00)</f>
        <v/>
      </c>
      <c r="O2803">
        <f>IF('Loan Tape (S&amp;P)'!T2803="Yes",
    1.35,
    1.00)</f>
        <v/>
      </c>
      <c r="P2803">
        <f>IF('Loan Tape (S&amp;P)'!S2803="Yes",
    1.15,
    1.00)</f>
        <v/>
      </c>
      <c r="Q2803">
        <f>IF('Loan Tape (S&amp;P)'!V2803="Yes",
    1.20,
    1.00)</f>
        <v/>
      </c>
      <c r="T2803">
        <f>LET(
    payment_method,'Loan Tape (S&amp;P)'!P2803,
    occupancy,'Loan Tape (S&amp;P)'!N2803,
    maturity_date,'Loan Tape (S&amp;P)'!L2803,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04">
      <c r="J2804">
        <f>LET(
    lien,'Loan Tape (S&amp;P)'!Q2804,
    IF(lien="First",1.00,
        IF(lien="Second",1.50,
            1.70)))</f>
        <v/>
      </c>
      <c r="K2804">
        <f>LET(
    purpose,'Loan Tape (S&amp;P)'!R2804,
    IF(purpose="Purchase",1.00,
        IF(purpose="Remortgage",1.00,
            1.20)))</f>
        <v/>
      </c>
      <c r="L2804">
        <f>LET(
    arrears_months,'Loan Tape (S&amp;P)'!AN2804,
    IF(arrears_months=0,1.00,
    IF(arrears_months=1,3.00,
    IF(arrears_months=2,5.00,
    IF(arrears_months=3,8.00,
    IF(arrears_months=4,10.00,
    IF(arrears_months=5,12.00,15.00)))))))</f>
        <v/>
      </c>
      <c r="M2804">
        <f>LET(
    seasoning_years,DATEDIF('Loan Tape (S&amp;P)'!K2804,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04">
        <f>IF(AND('Loan Tape (S&amp;P)'!U2804="Yes",
        'Loan Tape (S&amp;P)'!T2804&lt;&gt;"Yes",
        DATEDIF('Loan Tape (S&amp;P)'!K2804, TODAY(), "M")&lt;18),
    1.10,
    1.00)</f>
        <v/>
      </c>
      <c r="O2804">
        <f>IF('Loan Tape (S&amp;P)'!T2804="Yes",
    1.35,
    1.00)</f>
        <v/>
      </c>
      <c r="P2804">
        <f>IF('Loan Tape (S&amp;P)'!S2804="Yes",
    1.15,
    1.00)</f>
        <v/>
      </c>
      <c r="Q2804">
        <f>IF('Loan Tape (S&amp;P)'!V2804="Yes",
    1.20,
    1.00)</f>
        <v/>
      </c>
      <c r="T2804">
        <f>LET(
    payment_method,'Loan Tape (S&amp;P)'!P2804,
    occupancy,'Loan Tape (S&amp;P)'!N2804,
    maturity_date,'Loan Tape (S&amp;P)'!L2804,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05">
      <c r="J2805">
        <f>LET(
    lien,'Loan Tape (S&amp;P)'!Q2805,
    IF(lien="First",1.00,
        IF(lien="Second",1.50,
            1.70)))</f>
        <v/>
      </c>
      <c r="K2805">
        <f>LET(
    purpose,'Loan Tape (S&amp;P)'!R2805,
    IF(purpose="Purchase",1.00,
        IF(purpose="Remortgage",1.00,
            1.20)))</f>
        <v/>
      </c>
      <c r="L2805">
        <f>LET(
    arrears_months,'Loan Tape (S&amp;P)'!AN2805,
    IF(arrears_months=0,1.00,
    IF(arrears_months=1,3.00,
    IF(arrears_months=2,5.00,
    IF(arrears_months=3,8.00,
    IF(arrears_months=4,10.00,
    IF(arrears_months=5,12.00,15.00)))))))</f>
        <v/>
      </c>
      <c r="M2805">
        <f>LET(
    seasoning_years,DATEDIF('Loan Tape (S&amp;P)'!K2805,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05">
        <f>IF(AND('Loan Tape (S&amp;P)'!U2805="Yes",
        'Loan Tape (S&amp;P)'!T2805&lt;&gt;"Yes",
        DATEDIF('Loan Tape (S&amp;P)'!K2805, TODAY(), "M")&lt;18),
    1.10,
    1.00)</f>
        <v/>
      </c>
      <c r="O2805">
        <f>IF('Loan Tape (S&amp;P)'!T2805="Yes",
    1.35,
    1.00)</f>
        <v/>
      </c>
      <c r="P2805">
        <f>IF('Loan Tape (S&amp;P)'!S2805="Yes",
    1.15,
    1.00)</f>
        <v/>
      </c>
      <c r="Q2805">
        <f>IF('Loan Tape (S&amp;P)'!V2805="Yes",
    1.20,
    1.00)</f>
        <v/>
      </c>
      <c r="T2805">
        <f>LET(
    payment_method,'Loan Tape (S&amp;P)'!P2805,
    occupancy,'Loan Tape (S&amp;P)'!N2805,
    maturity_date,'Loan Tape (S&amp;P)'!L2805,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06">
      <c r="J2806">
        <f>LET(
    lien,'Loan Tape (S&amp;P)'!Q2806,
    IF(lien="First",1.00,
        IF(lien="Second",1.50,
            1.70)))</f>
        <v/>
      </c>
      <c r="K2806">
        <f>LET(
    purpose,'Loan Tape (S&amp;P)'!R2806,
    IF(purpose="Purchase",1.00,
        IF(purpose="Remortgage",1.00,
            1.20)))</f>
        <v/>
      </c>
      <c r="L2806">
        <f>LET(
    arrears_months,'Loan Tape (S&amp;P)'!AN2806,
    IF(arrears_months=0,1.00,
    IF(arrears_months=1,3.00,
    IF(arrears_months=2,5.00,
    IF(arrears_months=3,8.00,
    IF(arrears_months=4,10.00,
    IF(arrears_months=5,12.00,15.00)))))))</f>
        <v/>
      </c>
      <c r="M2806">
        <f>LET(
    seasoning_years,DATEDIF('Loan Tape (S&amp;P)'!K2806,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06">
        <f>IF(AND('Loan Tape (S&amp;P)'!U2806="Yes",
        'Loan Tape (S&amp;P)'!T2806&lt;&gt;"Yes",
        DATEDIF('Loan Tape (S&amp;P)'!K2806, TODAY(), "M")&lt;18),
    1.10,
    1.00)</f>
        <v/>
      </c>
      <c r="O2806">
        <f>IF('Loan Tape (S&amp;P)'!T2806="Yes",
    1.35,
    1.00)</f>
        <v/>
      </c>
      <c r="P2806">
        <f>IF('Loan Tape (S&amp;P)'!S2806="Yes",
    1.15,
    1.00)</f>
        <v/>
      </c>
      <c r="Q2806">
        <f>IF('Loan Tape (S&amp;P)'!V2806="Yes",
    1.20,
    1.00)</f>
        <v/>
      </c>
      <c r="T2806">
        <f>LET(
    payment_method,'Loan Tape (S&amp;P)'!P2806,
    occupancy,'Loan Tape (S&amp;P)'!N2806,
    maturity_date,'Loan Tape (S&amp;P)'!L2806,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07">
      <c r="J2807">
        <f>LET(
    lien,'Loan Tape (S&amp;P)'!Q2807,
    IF(lien="First",1.00,
        IF(lien="Second",1.50,
            1.70)))</f>
        <v/>
      </c>
      <c r="K2807">
        <f>LET(
    purpose,'Loan Tape (S&amp;P)'!R2807,
    IF(purpose="Purchase",1.00,
        IF(purpose="Remortgage",1.00,
            1.20)))</f>
        <v/>
      </c>
      <c r="L2807">
        <f>LET(
    arrears_months,'Loan Tape (S&amp;P)'!AN2807,
    IF(arrears_months=0,1.00,
    IF(arrears_months=1,3.00,
    IF(arrears_months=2,5.00,
    IF(arrears_months=3,8.00,
    IF(arrears_months=4,10.00,
    IF(arrears_months=5,12.00,15.00)))))))</f>
        <v/>
      </c>
      <c r="M2807">
        <f>LET(
    seasoning_years,DATEDIF('Loan Tape (S&amp;P)'!K2807,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07">
        <f>IF(AND('Loan Tape (S&amp;P)'!U2807="Yes",
        'Loan Tape (S&amp;P)'!T2807&lt;&gt;"Yes",
        DATEDIF('Loan Tape (S&amp;P)'!K2807, TODAY(), "M")&lt;18),
    1.10,
    1.00)</f>
        <v/>
      </c>
      <c r="O2807">
        <f>IF('Loan Tape (S&amp;P)'!T2807="Yes",
    1.35,
    1.00)</f>
        <v/>
      </c>
      <c r="P2807">
        <f>IF('Loan Tape (S&amp;P)'!S2807="Yes",
    1.15,
    1.00)</f>
        <v/>
      </c>
      <c r="Q2807">
        <f>IF('Loan Tape (S&amp;P)'!V2807="Yes",
    1.20,
    1.00)</f>
        <v/>
      </c>
      <c r="T2807">
        <f>LET(
    payment_method,'Loan Tape (S&amp;P)'!P2807,
    occupancy,'Loan Tape (S&amp;P)'!N2807,
    maturity_date,'Loan Tape (S&amp;P)'!L2807,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08">
      <c r="J2808">
        <f>LET(
    lien,'Loan Tape (S&amp;P)'!Q2808,
    IF(lien="First",1.00,
        IF(lien="Second",1.50,
            1.70)))</f>
        <v/>
      </c>
      <c r="K2808">
        <f>LET(
    purpose,'Loan Tape (S&amp;P)'!R2808,
    IF(purpose="Purchase",1.00,
        IF(purpose="Remortgage",1.00,
            1.20)))</f>
        <v/>
      </c>
      <c r="L2808">
        <f>LET(
    arrears_months,'Loan Tape (S&amp;P)'!AN2808,
    IF(arrears_months=0,1.00,
    IF(arrears_months=1,3.00,
    IF(arrears_months=2,5.00,
    IF(arrears_months=3,8.00,
    IF(arrears_months=4,10.00,
    IF(arrears_months=5,12.00,15.00)))))))</f>
        <v/>
      </c>
      <c r="M2808">
        <f>LET(
    seasoning_years,DATEDIF('Loan Tape (S&amp;P)'!K2808,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08">
        <f>IF(AND('Loan Tape (S&amp;P)'!U2808="Yes",
        'Loan Tape (S&amp;P)'!T2808&lt;&gt;"Yes",
        DATEDIF('Loan Tape (S&amp;P)'!K2808, TODAY(), "M")&lt;18),
    1.10,
    1.00)</f>
        <v/>
      </c>
      <c r="O2808">
        <f>IF('Loan Tape (S&amp;P)'!T2808="Yes",
    1.35,
    1.00)</f>
        <v/>
      </c>
      <c r="P2808">
        <f>IF('Loan Tape (S&amp;P)'!S2808="Yes",
    1.15,
    1.00)</f>
        <v/>
      </c>
      <c r="Q2808">
        <f>IF('Loan Tape (S&amp;P)'!V2808="Yes",
    1.20,
    1.00)</f>
        <v/>
      </c>
      <c r="T2808">
        <f>LET(
    payment_method,'Loan Tape (S&amp;P)'!P2808,
    occupancy,'Loan Tape (S&amp;P)'!N2808,
    maturity_date,'Loan Tape (S&amp;P)'!L2808,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09">
      <c r="J2809">
        <f>LET(
    lien,'Loan Tape (S&amp;P)'!Q2809,
    IF(lien="First",1.00,
        IF(lien="Second",1.50,
            1.70)))</f>
        <v/>
      </c>
      <c r="K2809">
        <f>LET(
    purpose,'Loan Tape (S&amp;P)'!R2809,
    IF(purpose="Purchase",1.00,
        IF(purpose="Remortgage",1.00,
            1.20)))</f>
        <v/>
      </c>
      <c r="L2809">
        <f>LET(
    arrears_months,'Loan Tape (S&amp;P)'!AN2809,
    IF(arrears_months=0,1.00,
    IF(arrears_months=1,3.00,
    IF(arrears_months=2,5.00,
    IF(arrears_months=3,8.00,
    IF(arrears_months=4,10.00,
    IF(arrears_months=5,12.00,15.00)))))))</f>
        <v/>
      </c>
      <c r="M2809">
        <f>LET(
    seasoning_years,DATEDIF('Loan Tape (S&amp;P)'!K2809,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09">
        <f>IF(AND('Loan Tape (S&amp;P)'!U2809="Yes",
        'Loan Tape (S&amp;P)'!T2809&lt;&gt;"Yes",
        DATEDIF('Loan Tape (S&amp;P)'!K2809, TODAY(), "M")&lt;18),
    1.10,
    1.00)</f>
        <v/>
      </c>
      <c r="O2809">
        <f>IF('Loan Tape (S&amp;P)'!T2809="Yes",
    1.35,
    1.00)</f>
        <v/>
      </c>
      <c r="P2809">
        <f>IF('Loan Tape (S&amp;P)'!S2809="Yes",
    1.15,
    1.00)</f>
        <v/>
      </c>
      <c r="Q2809">
        <f>IF('Loan Tape (S&amp;P)'!V2809="Yes",
    1.20,
    1.00)</f>
        <v/>
      </c>
      <c r="T2809">
        <f>LET(
    payment_method,'Loan Tape (S&amp;P)'!P2809,
    occupancy,'Loan Tape (S&amp;P)'!N2809,
    maturity_date,'Loan Tape (S&amp;P)'!L2809,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10">
      <c r="J2810">
        <f>LET(
    lien,'Loan Tape (S&amp;P)'!Q2810,
    IF(lien="First",1.00,
        IF(lien="Second",1.50,
            1.70)))</f>
        <v/>
      </c>
      <c r="K2810">
        <f>LET(
    purpose,'Loan Tape (S&amp;P)'!R2810,
    IF(purpose="Purchase",1.00,
        IF(purpose="Remortgage",1.00,
            1.20)))</f>
        <v/>
      </c>
      <c r="L2810">
        <f>LET(
    arrears_months,'Loan Tape (S&amp;P)'!AN2810,
    IF(arrears_months=0,1.00,
    IF(arrears_months=1,3.00,
    IF(arrears_months=2,5.00,
    IF(arrears_months=3,8.00,
    IF(arrears_months=4,10.00,
    IF(arrears_months=5,12.00,15.00)))))))</f>
        <v/>
      </c>
      <c r="M2810">
        <f>LET(
    seasoning_years,DATEDIF('Loan Tape (S&amp;P)'!K2810,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10">
        <f>IF(AND('Loan Tape (S&amp;P)'!U2810="Yes",
        'Loan Tape (S&amp;P)'!T2810&lt;&gt;"Yes",
        DATEDIF('Loan Tape (S&amp;P)'!K2810, TODAY(), "M")&lt;18),
    1.10,
    1.00)</f>
        <v/>
      </c>
      <c r="O2810">
        <f>IF('Loan Tape (S&amp;P)'!T2810="Yes",
    1.35,
    1.00)</f>
        <v/>
      </c>
      <c r="P2810">
        <f>IF('Loan Tape (S&amp;P)'!S2810="Yes",
    1.15,
    1.00)</f>
        <v/>
      </c>
      <c r="Q2810">
        <f>IF('Loan Tape (S&amp;P)'!V2810="Yes",
    1.20,
    1.00)</f>
        <v/>
      </c>
      <c r="T2810">
        <f>LET(
    payment_method,'Loan Tape (S&amp;P)'!P2810,
    occupancy,'Loan Tape (S&amp;P)'!N2810,
    maturity_date,'Loan Tape (S&amp;P)'!L2810,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11">
      <c r="J2811">
        <f>LET(
    lien,'Loan Tape (S&amp;P)'!Q2811,
    IF(lien="First",1.00,
        IF(lien="Second",1.50,
            1.70)))</f>
        <v/>
      </c>
      <c r="K2811">
        <f>LET(
    purpose,'Loan Tape (S&amp;P)'!R2811,
    IF(purpose="Purchase",1.00,
        IF(purpose="Remortgage",1.00,
            1.20)))</f>
        <v/>
      </c>
      <c r="L2811">
        <f>LET(
    arrears_months,'Loan Tape (S&amp;P)'!AN2811,
    IF(arrears_months=0,1.00,
    IF(arrears_months=1,3.00,
    IF(arrears_months=2,5.00,
    IF(arrears_months=3,8.00,
    IF(arrears_months=4,10.00,
    IF(arrears_months=5,12.00,15.00)))))))</f>
        <v/>
      </c>
      <c r="M2811">
        <f>LET(
    seasoning_years,DATEDIF('Loan Tape (S&amp;P)'!K2811,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11">
        <f>IF(AND('Loan Tape (S&amp;P)'!U2811="Yes",
        'Loan Tape (S&amp;P)'!T2811&lt;&gt;"Yes",
        DATEDIF('Loan Tape (S&amp;P)'!K2811, TODAY(), "M")&lt;18),
    1.10,
    1.00)</f>
        <v/>
      </c>
      <c r="O2811">
        <f>IF('Loan Tape (S&amp;P)'!T2811="Yes",
    1.35,
    1.00)</f>
        <v/>
      </c>
      <c r="P2811">
        <f>IF('Loan Tape (S&amp;P)'!S2811="Yes",
    1.15,
    1.00)</f>
        <v/>
      </c>
      <c r="Q2811">
        <f>IF('Loan Tape (S&amp;P)'!V2811="Yes",
    1.20,
    1.00)</f>
        <v/>
      </c>
      <c r="T2811">
        <f>LET(
    payment_method,'Loan Tape (S&amp;P)'!P2811,
    occupancy,'Loan Tape (S&amp;P)'!N2811,
    maturity_date,'Loan Tape (S&amp;P)'!L2811,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12">
      <c r="J2812">
        <f>LET(
    lien,'Loan Tape (S&amp;P)'!Q2812,
    IF(lien="First",1.00,
        IF(lien="Second",1.50,
            1.70)))</f>
        <v/>
      </c>
      <c r="K2812">
        <f>LET(
    purpose,'Loan Tape (S&amp;P)'!R2812,
    IF(purpose="Purchase",1.00,
        IF(purpose="Remortgage",1.00,
            1.20)))</f>
        <v/>
      </c>
      <c r="L2812">
        <f>LET(
    arrears_months,'Loan Tape (S&amp;P)'!AN2812,
    IF(arrears_months=0,1.00,
    IF(arrears_months=1,3.00,
    IF(arrears_months=2,5.00,
    IF(arrears_months=3,8.00,
    IF(arrears_months=4,10.00,
    IF(arrears_months=5,12.00,15.00)))))))</f>
        <v/>
      </c>
      <c r="M2812">
        <f>LET(
    seasoning_years,DATEDIF('Loan Tape (S&amp;P)'!K2812,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12">
        <f>IF(AND('Loan Tape (S&amp;P)'!U2812="Yes",
        'Loan Tape (S&amp;P)'!T2812&lt;&gt;"Yes",
        DATEDIF('Loan Tape (S&amp;P)'!K2812, TODAY(), "M")&lt;18),
    1.10,
    1.00)</f>
        <v/>
      </c>
      <c r="O2812">
        <f>IF('Loan Tape (S&amp;P)'!T2812="Yes",
    1.35,
    1.00)</f>
        <v/>
      </c>
      <c r="P2812">
        <f>IF('Loan Tape (S&amp;P)'!S2812="Yes",
    1.15,
    1.00)</f>
        <v/>
      </c>
      <c r="Q2812">
        <f>IF('Loan Tape (S&amp;P)'!V2812="Yes",
    1.20,
    1.00)</f>
        <v/>
      </c>
      <c r="T2812">
        <f>LET(
    payment_method,'Loan Tape (S&amp;P)'!P2812,
    occupancy,'Loan Tape (S&amp;P)'!N2812,
    maturity_date,'Loan Tape (S&amp;P)'!L2812,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13">
      <c r="J2813">
        <f>LET(
    lien,'Loan Tape (S&amp;P)'!Q2813,
    IF(lien="First",1.00,
        IF(lien="Second",1.50,
            1.70)))</f>
        <v/>
      </c>
      <c r="K2813">
        <f>LET(
    purpose,'Loan Tape (S&amp;P)'!R2813,
    IF(purpose="Purchase",1.00,
        IF(purpose="Remortgage",1.00,
            1.20)))</f>
        <v/>
      </c>
      <c r="L2813">
        <f>LET(
    arrears_months,'Loan Tape (S&amp;P)'!AN2813,
    IF(arrears_months=0,1.00,
    IF(arrears_months=1,3.00,
    IF(arrears_months=2,5.00,
    IF(arrears_months=3,8.00,
    IF(arrears_months=4,10.00,
    IF(arrears_months=5,12.00,15.00)))))))</f>
        <v/>
      </c>
      <c r="M2813">
        <f>LET(
    seasoning_years,DATEDIF('Loan Tape (S&amp;P)'!K2813,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13">
        <f>IF(AND('Loan Tape (S&amp;P)'!U2813="Yes",
        'Loan Tape (S&amp;P)'!T2813&lt;&gt;"Yes",
        DATEDIF('Loan Tape (S&amp;P)'!K2813, TODAY(), "M")&lt;18),
    1.10,
    1.00)</f>
        <v/>
      </c>
      <c r="O2813">
        <f>IF('Loan Tape (S&amp;P)'!T2813="Yes",
    1.35,
    1.00)</f>
        <v/>
      </c>
      <c r="P2813">
        <f>IF('Loan Tape (S&amp;P)'!S2813="Yes",
    1.15,
    1.00)</f>
        <v/>
      </c>
      <c r="Q2813">
        <f>IF('Loan Tape (S&amp;P)'!V2813="Yes",
    1.20,
    1.00)</f>
        <v/>
      </c>
      <c r="T2813">
        <f>LET(
    payment_method,'Loan Tape (S&amp;P)'!P2813,
    occupancy,'Loan Tape (S&amp;P)'!N2813,
    maturity_date,'Loan Tape (S&amp;P)'!L2813,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14">
      <c r="J2814">
        <f>LET(
    lien,'Loan Tape (S&amp;P)'!Q2814,
    IF(lien="First",1.00,
        IF(lien="Second",1.50,
            1.70)))</f>
        <v/>
      </c>
      <c r="K2814">
        <f>LET(
    purpose,'Loan Tape (S&amp;P)'!R2814,
    IF(purpose="Purchase",1.00,
        IF(purpose="Remortgage",1.00,
            1.20)))</f>
        <v/>
      </c>
      <c r="L2814">
        <f>LET(
    arrears_months,'Loan Tape (S&amp;P)'!AN2814,
    IF(arrears_months=0,1.00,
    IF(arrears_months=1,3.00,
    IF(arrears_months=2,5.00,
    IF(arrears_months=3,8.00,
    IF(arrears_months=4,10.00,
    IF(arrears_months=5,12.00,15.00)))))))</f>
        <v/>
      </c>
      <c r="M2814">
        <f>LET(
    seasoning_years,DATEDIF('Loan Tape (S&amp;P)'!K2814,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14">
        <f>IF(AND('Loan Tape (S&amp;P)'!U2814="Yes",
        'Loan Tape (S&amp;P)'!T2814&lt;&gt;"Yes",
        DATEDIF('Loan Tape (S&amp;P)'!K2814, TODAY(), "M")&lt;18),
    1.10,
    1.00)</f>
        <v/>
      </c>
      <c r="O2814">
        <f>IF('Loan Tape (S&amp;P)'!T2814="Yes",
    1.35,
    1.00)</f>
        <v/>
      </c>
      <c r="P2814">
        <f>IF('Loan Tape (S&amp;P)'!S2814="Yes",
    1.15,
    1.00)</f>
        <v/>
      </c>
      <c r="Q2814">
        <f>IF('Loan Tape (S&amp;P)'!V2814="Yes",
    1.20,
    1.00)</f>
        <v/>
      </c>
      <c r="T2814">
        <f>LET(
    payment_method,'Loan Tape (S&amp;P)'!P2814,
    occupancy,'Loan Tape (S&amp;P)'!N2814,
    maturity_date,'Loan Tape (S&amp;P)'!L2814,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15">
      <c r="J2815">
        <f>LET(
    lien,'Loan Tape (S&amp;P)'!Q2815,
    IF(lien="First",1.00,
        IF(lien="Second",1.50,
            1.70)))</f>
        <v/>
      </c>
      <c r="K2815">
        <f>LET(
    purpose,'Loan Tape (S&amp;P)'!R2815,
    IF(purpose="Purchase",1.00,
        IF(purpose="Remortgage",1.00,
            1.20)))</f>
        <v/>
      </c>
      <c r="L2815">
        <f>LET(
    arrears_months,'Loan Tape (S&amp;P)'!AN2815,
    IF(arrears_months=0,1.00,
    IF(arrears_months=1,3.00,
    IF(arrears_months=2,5.00,
    IF(arrears_months=3,8.00,
    IF(arrears_months=4,10.00,
    IF(arrears_months=5,12.00,15.00)))))))</f>
        <v/>
      </c>
      <c r="M2815">
        <f>LET(
    seasoning_years,DATEDIF('Loan Tape (S&amp;P)'!K2815,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15">
        <f>IF(AND('Loan Tape (S&amp;P)'!U2815="Yes",
        'Loan Tape (S&amp;P)'!T2815&lt;&gt;"Yes",
        DATEDIF('Loan Tape (S&amp;P)'!K2815, TODAY(), "M")&lt;18),
    1.10,
    1.00)</f>
        <v/>
      </c>
      <c r="O2815">
        <f>IF('Loan Tape (S&amp;P)'!T2815="Yes",
    1.35,
    1.00)</f>
        <v/>
      </c>
      <c r="P2815">
        <f>IF('Loan Tape (S&amp;P)'!S2815="Yes",
    1.15,
    1.00)</f>
        <v/>
      </c>
      <c r="Q2815">
        <f>IF('Loan Tape (S&amp;P)'!V2815="Yes",
    1.20,
    1.00)</f>
        <v/>
      </c>
      <c r="T2815">
        <f>LET(
    payment_method,'Loan Tape (S&amp;P)'!P2815,
    occupancy,'Loan Tape (S&amp;P)'!N2815,
    maturity_date,'Loan Tape (S&amp;P)'!L2815,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16">
      <c r="J2816">
        <f>LET(
    lien,'Loan Tape (S&amp;P)'!Q2816,
    IF(lien="First",1.00,
        IF(lien="Second",1.50,
            1.70)))</f>
        <v/>
      </c>
      <c r="K2816">
        <f>LET(
    purpose,'Loan Tape (S&amp;P)'!R2816,
    IF(purpose="Purchase",1.00,
        IF(purpose="Remortgage",1.00,
            1.20)))</f>
        <v/>
      </c>
      <c r="L2816">
        <f>LET(
    arrears_months,'Loan Tape (S&amp;P)'!AN2816,
    IF(arrears_months=0,1.00,
    IF(arrears_months=1,3.00,
    IF(arrears_months=2,5.00,
    IF(arrears_months=3,8.00,
    IF(arrears_months=4,10.00,
    IF(arrears_months=5,12.00,15.00)))))))</f>
        <v/>
      </c>
      <c r="M2816">
        <f>LET(
    seasoning_years,DATEDIF('Loan Tape (S&amp;P)'!K2816,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16">
        <f>IF(AND('Loan Tape (S&amp;P)'!U2816="Yes",
        'Loan Tape (S&amp;P)'!T2816&lt;&gt;"Yes",
        DATEDIF('Loan Tape (S&amp;P)'!K2816, TODAY(), "M")&lt;18),
    1.10,
    1.00)</f>
        <v/>
      </c>
      <c r="O2816">
        <f>IF('Loan Tape (S&amp;P)'!T2816="Yes",
    1.35,
    1.00)</f>
        <v/>
      </c>
      <c r="P2816">
        <f>IF('Loan Tape (S&amp;P)'!S2816="Yes",
    1.15,
    1.00)</f>
        <v/>
      </c>
      <c r="Q2816">
        <f>IF('Loan Tape (S&amp;P)'!V2816="Yes",
    1.20,
    1.00)</f>
        <v/>
      </c>
      <c r="T2816">
        <f>LET(
    payment_method,'Loan Tape (S&amp;P)'!P2816,
    occupancy,'Loan Tape (S&amp;P)'!N2816,
    maturity_date,'Loan Tape (S&amp;P)'!L2816,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17">
      <c r="J2817">
        <f>LET(
    lien,'Loan Tape (S&amp;P)'!Q2817,
    IF(lien="First",1.00,
        IF(lien="Second",1.50,
            1.70)))</f>
        <v/>
      </c>
      <c r="K2817">
        <f>LET(
    purpose,'Loan Tape (S&amp;P)'!R2817,
    IF(purpose="Purchase",1.00,
        IF(purpose="Remortgage",1.00,
            1.20)))</f>
        <v/>
      </c>
      <c r="L2817">
        <f>LET(
    arrears_months,'Loan Tape (S&amp;P)'!AN2817,
    IF(arrears_months=0,1.00,
    IF(arrears_months=1,3.00,
    IF(arrears_months=2,5.00,
    IF(arrears_months=3,8.00,
    IF(arrears_months=4,10.00,
    IF(arrears_months=5,12.00,15.00)))))))</f>
        <v/>
      </c>
      <c r="M2817">
        <f>LET(
    seasoning_years,DATEDIF('Loan Tape (S&amp;P)'!K2817,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17">
        <f>IF(AND('Loan Tape (S&amp;P)'!U2817="Yes",
        'Loan Tape (S&amp;P)'!T2817&lt;&gt;"Yes",
        DATEDIF('Loan Tape (S&amp;P)'!K2817, TODAY(), "M")&lt;18),
    1.10,
    1.00)</f>
        <v/>
      </c>
      <c r="O2817">
        <f>IF('Loan Tape (S&amp;P)'!T2817="Yes",
    1.35,
    1.00)</f>
        <v/>
      </c>
      <c r="P2817">
        <f>IF('Loan Tape (S&amp;P)'!S2817="Yes",
    1.15,
    1.00)</f>
        <v/>
      </c>
      <c r="Q2817">
        <f>IF('Loan Tape (S&amp;P)'!V2817="Yes",
    1.20,
    1.00)</f>
        <v/>
      </c>
      <c r="T2817">
        <f>LET(
    payment_method,'Loan Tape (S&amp;P)'!P2817,
    occupancy,'Loan Tape (S&amp;P)'!N2817,
    maturity_date,'Loan Tape (S&amp;P)'!L2817,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18">
      <c r="J2818">
        <f>LET(
    lien,'Loan Tape (S&amp;P)'!Q2818,
    IF(lien="First",1.00,
        IF(lien="Second",1.50,
            1.70)))</f>
        <v/>
      </c>
      <c r="K2818">
        <f>LET(
    purpose,'Loan Tape (S&amp;P)'!R2818,
    IF(purpose="Purchase",1.00,
        IF(purpose="Remortgage",1.00,
            1.20)))</f>
        <v/>
      </c>
      <c r="L2818">
        <f>LET(
    arrears_months,'Loan Tape (S&amp;P)'!AN2818,
    IF(arrears_months=0,1.00,
    IF(arrears_months=1,3.00,
    IF(arrears_months=2,5.00,
    IF(arrears_months=3,8.00,
    IF(arrears_months=4,10.00,
    IF(arrears_months=5,12.00,15.00)))))))</f>
        <v/>
      </c>
      <c r="M2818">
        <f>LET(
    seasoning_years,DATEDIF('Loan Tape (S&amp;P)'!K2818,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18">
        <f>IF(AND('Loan Tape (S&amp;P)'!U2818="Yes",
        'Loan Tape (S&amp;P)'!T2818&lt;&gt;"Yes",
        DATEDIF('Loan Tape (S&amp;P)'!K2818, TODAY(), "M")&lt;18),
    1.10,
    1.00)</f>
        <v/>
      </c>
      <c r="O2818">
        <f>IF('Loan Tape (S&amp;P)'!T2818="Yes",
    1.35,
    1.00)</f>
        <v/>
      </c>
      <c r="P2818">
        <f>IF('Loan Tape (S&amp;P)'!S2818="Yes",
    1.15,
    1.00)</f>
        <v/>
      </c>
      <c r="Q2818">
        <f>IF('Loan Tape (S&amp;P)'!V2818="Yes",
    1.20,
    1.00)</f>
        <v/>
      </c>
      <c r="T2818">
        <f>LET(
    payment_method,'Loan Tape (S&amp;P)'!P2818,
    occupancy,'Loan Tape (S&amp;P)'!N2818,
    maturity_date,'Loan Tape (S&amp;P)'!L2818,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19">
      <c r="J2819">
        <f>LET(
    lien,'Loan Tape (S&amp;P)'!Q2819,
    IF(lien="First",1.00,
        IF(lien="Second",1.50,
            1.70)))</f>
        <v/>
      </c>
      <c r="K2819">
        <f>LET(
    purpose,'Loan Tape (S&amp;P)'!R2819,
    IF(purpose="Purchase",1.00,
        IF(purpose="Remortgage",1.00,
            1.20)))</f>
        <v/>
      </c>
      <c r="L2819">
        <f>LET(
    arrears_months,'Loan Tape (S&amp;P)'!AN2819,
    IF(arrears_months=0,1.00,
    IF(arrears_months=1,3.00,
    IF(arrears_months=2,5.00,
    IF(arrears_months=3,8.00,
    IF(arrears_months=4,10.00,
    IF(arrears_months=5,12.00,15.00)))))))</f>
        <v/>
      </c>
      <c r="M2819">
        <f>LET(
    seasoning_years,DATEDIF('Loan Tape (S&amp;P)'!K2819,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19">
        <f>IF(AND('Loan Tape (S&amp;P)'!U2819="Yes",
        'Loan Tape (S&amp;P)'!T2819&lt;&gt;"Yes",
        DATEDIF('Loan Tape (S&amp;P)'!K2819, TODAY(), "M")&lt;18),
    1.10,
    1.00)</f>
        <v/>
      </c>
      <c r="O2819">
        <f>IF('Loan Tape (S&amp;P)'!T2819="Yes",
    1.35,
    1.00)</f>
        <v/>
      </c>
      <c r="P2819">
        <f>IF('Loan Tape (S&amp;P)'!S2819="Yes",
    1.15,
    1.00)</f>
        <v/>
      </c>
      <c r="Q2819">
        <f>IF('Loan Tape (S&amp;P)'!V2819="Yes",
    1.20,
    1.00)</f>
        <v/>
      </c>
      <c r="T2819">
        <f>LET(
    payment_method,'Loan Tape (S&amp;P)'!P2819,
    occupancy,'Loan Tape (S&amp;P)'!N2819,
    maturity_date,'Loan Tape (S&amp;P)'!L2819,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20">
      <c r="J2820">
        <f>LET(
    lien,'Loan Tape (S&amp;P)'!Q2820,
    IF(lien="First",1.00,
        IF(lien="Second",1.50,
            1.70)))</f>
        <v/>
      </c>
      <c r="K2820">
        <f>LET(
    purpose,'Loan Tape (S&amp;P)'!R2820,
    IF(purpose="Purchase",1.00,
        IF(purpose="Remortgage",1.00,
            1.20)))</f>
        <v/>
      </c>
      <c r="L2820">
        <f>LET(
    arrears_months,'Loan Tape (S&amp;P)'!AN2820,
    IF(arrears_months=0,1.00,
    IF(arrears_months=1,3.00,
    IF(arrears_months=2,5.00,
    IF(arrears_months=3,8.00,
    IF(arrears_months=4,10.00,
    IF(arrears_months=5,12.00,15.00)))))))</f>
        <v/>
      </c>
      <c r="M2820">
        <f>LET(
    seasoning_years,DATEDIF('Loan Tape (S&amp;P)'!K2820,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20">
        <f>IF(AND('Loan Tape (S&amp;P)'!U2820="Yes",
        'Loan Tape (S&amp;P)'!T2820&lt;&gt;"Yes",
        DATEDIF('Loan Tape (S&amp;P)'!K2820, TODAY(), "M")&lt;18),
    1.10,
    1.00)</f>
        <v/>
      </c>
      <c r="O2820">
        <f>IF('Loan Tape (S&amp;P)'!T2820="Yes",
    1.35,
    1.00)</f>
        <v/>
      </c>
      <c r="P2820">
        <f>IF('Loan Tape (S&amp;P)'!S2820="Yes",
    1.15,
    1.00)</f>
        <v/>
      </c>
      <c r="Q2820">
        <f>IF('Loan Tape (S&amp;P)'!V2820="Yes",
    1.20,
    1.00)</f>
        <v/>
      </c>
      <c r="T2820">
        <f>LET(
    payment_method,'Loan Tape (S&amp;P)'!P2820,
    occupancy,'Loan Tape (S&amp;P)'!N2820,
    maturity_date,'Loan Tape (S&amp;P)'!L2820,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21">
      <c r="J2821">
        <f>LET(
    lien,'Loan Tape (S&amp;P)'!Q2821,
    IF(lien="First",1.00,
        IF(lien="Second",1.50,
            1.70)))</f>
        <v/>
      </c>
      <c r="K2821">
        <f>LET(
    purpose,'Loan Tape (S&amp;P)'!R2821,
    IF(purpose="Purchase",1.00,
        IF(purpose="Remortgage",1.00,
            1.20)))</f>
        <v/>
      </c>
      <c r="L2821">
        <f>LET(
    arrears_months,'Loan Tape (S&amp;P)'!AN2821,
    IF(arrears_months=0,1.00,
    IF(arrears_months=1,3.00,
    IF(arrears_months=2,5.00,
    IF(arrears_months=3,8.00,
    IF(arrears_months=4,10.00,
    IF(arrears_months=5,12.00,15.00)))))))</f>
        <v/>
      </c>
      <c r="M2821">
        <f>LET(
    seasoning_years,DATEDIF('Loan Tape (S&amp;P)'!K2821,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21">
        <f>IF(AND('Loan Tape (S&amp;P)'!U2821="Yes",
        'Loan Tape (S&amp;P)'!T2821&lt;&gt;"Yes",
        DATEDIF('Loan Tape (S&amp;P)'!K2821, TODAY(), "M")&lt;18),
    1.10,
    1.00)</f>
        <v/>
      </c>
      <c r="O2821">
        <f>IF('Loan Tape (S&amp;P)'!T2821="Yes",
    1.35,
    1.00)</f>
        <v/>
      </c>
      <c r="P2821">
        <f>IF('Loan Tape (S&amp;P)'!S2821="Yes",
    1.15,
    1.00)</f>
        <v/>
      </c>
      <c r="Q2821">
        <f>IF('Loan Tape (S&amp;P)'!V2821="Yes",
    1.20,
    1.00)</f>
        <v/>
      </c>
      <c r="T2821">
        <f>LET(
    payment_method,'Loan Tape (S&amp;P)'!P2821,
    occupancy,'Loan Tape (S&amp;P)'!N2821,
    maturity_date,'Loan Tape (S&amp;P)'!L2821,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22">
      <c r="J2822">
        <f>LET(
    lien,'Loan Tape (S&amp;P)'!Q2822,
    IF(lien="First",1.00,
        IF(lien="Second",1.50,
            1.70)))</f>
        <v/>
      </c>
      <c r="K2822">
        <f>LET(
    purpose,'Loan Tape (S&amp;P)'!R2822,
    IF(purpose="Purchase",1.00,
        IF(purpose="Remortgage",1.00,
            1.20)))</f>
        <v/>
      </c>
      <c r="L2822">
        <f>LET(
    arrears_months,'Loan Tape (S&amp;P)'!AN2822,
    IF(arrears_months=0,1.00,
    IF(arrears_months=1,3.00,
    IF(arrears_months=2,5.00,
    IF(arrears_months=3,8.00,
    IF(arrears_months=4,10.00,
    IF(arrears_months=5,12.00,15.00)))))))</f>
        <v/>
      </c>
      <c r="M2822">
        <f>LET(
    seasoning_years,DATEDIF('Loan Tape (S&amp;P)'!K2822,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22">
        <f>IF(AND('Loan Tape (S&amp;P)'!U2822="Yes",
        'Loan Tape (S&amp;P)'!T2822&lt;&gt;"Yes",
        DATEDIF('Loan Tape (S&amp;P)'!K2822, TODAY(), "M")&lt;18),
    1.10,
    1.00)</f>
        <v/>
      </c>
      <c r="O2822">
        <f>IF('Loan Tape (S&amp;P)'!T2822="Yes",
    1.35,
    1.00)</f>
        <v/>
      </c>
      <c r="P2822">
        <f>IF('Loan Tape (S&amp;P)'!S2822="Yes",
    1.15,
    1.00)</f>
        <v/>
      </c>
      <c r="Q2822">
        <f>IF('Loan Tape (S&amp;P)'!V2822="Yes",
    1.20,
    1.00)</f>
        <v/>
      </c>
      <c r="T2822">
        <f>LET(
    payment_method,'Loan Tape (S&amp;P)'!P2822,
    occupancy,'Loan Tape (S&amp;P)'!N2822,
    maturity_date,'Loan Tape (S&amp;P)'!L2822,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23">
      <c r="J2823">
        <f>LET(
    lien,'Loan Tape (S&amp;P)'!Q2823,
    IF(lien="First",1.00,
        IF(lien="Second",1.50,
            1.70)))</f>
        <v/>
      </c>
      <c r="K2823">
        <f>LET(
    purpose,'Loan Tape (S&amp;P)'!R2823,
    IF(purpose="Purchase",1.00,
        IF(purpose="Remortgage",1.00,
            1.20)))</f>
        <v/>
      </c>
      <c r="L2823">
        <f>LET(
    arrears_months,'Loan Tape (S&amp;P)'!AN2823,
    IF(arrears_months=0,1.00,
    IF(arrears_months=1,3.00,
    IF(arrears_months=2,5.00,
    IF(arrears_months=3,8.00,
    IF(arrears_months=4,10.00,
    IF(arrears_months=5,12.00,15.00)))))))</f>
        <v/>
      </c>
      <c r="M2823">
        <f>LET(
    seasoning_years,DATEDIF('Loan Tape (S&amp;P)'!K2823,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23">
        <f>IF(AND('Loan Tape (S&amp;P)'!U2823="Yes",
        'Loan Tape (S&amp;P)'!T2823&lt;&gt;"Yes",
        DATEDIF('Loan Tape (S&amp;P)'!K2823, TODAY(), "M")&lt;18),
    1.10,
    1.00)</f>
        <v/>
      </c>
      <c r="O2823">
        <f>IF('Loan Tape (S&amp;P)'!T2823="Yes",
    1.35,
    1.00)</f>
        <v/>
      </c>
      <c r="P2823">
        <f>IF('Loan Tape (S&amp;P)'!S2823="Yes",
    1.15,
    1.00)</f>
        <v/>
      </c>
      <c r="Q2823">
        <f>IF('Loan Tape (S&amp;P)'!V2823="Yes",
    1.20,
    1.00)</f>
        <v/>
      </c>
      <c r="T2823">
        <f>LET(
    payment_method,'Loan Tape (S&amp;P)'!P2823,
    occupancy,'Loan Tape (S&amp;P)'!N2823,
    maturity_date,'Loan Tape (S&amp;P)'!L2823,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24">
      <c r="J2824">
        <f>LET(
    lien,'Loan Tape (S&amp;P)'!Q2824,
    IF(lien="First",1.00,
        IF(lien="Second",1.50,
            1.70)))</f>
        <v/>
      </c>
      <c r="K2824">
        <f>LET(
    purpose,'Loan Tape (S&amp;P)'!R2824,
    IF(purpose="Purchase",1.00,
        IF(purpose="Remortgage",1.00,
            1.20)))</f>
        <v/>
      </c>
      <c r="L2824">
        <f>LET(
    arrears_months,'Loan Tape (S&amp;P)'!AN2824,
    IF(arrears_months=0,1.00,
    IF(arrears_months=1,3.00,
    IF(arrears_months=2,5.00,
    IF(arrears_months=3,8.00,
    IF(arrears_months=4,10.00,
    IF(arrears_months=5,12.00,15.00)))))))</f>
        <v/>
      </c>
      <c r="M2824">
        <f>LET(
    seasoning_years,DATEDIF('Loan Tape (S&amp;P)'!K2824,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24">
        <f>IF(AND('Loan Tape (S&amp;P)'!U2824="Yes",
        'Loan Tape (S&amp;P)'!T2824&lt;&gt;"Yes",
        DATEDIF('Loan Tape (S&amp;P)'!K2824, TODAY(), "M")&lt;18),
    1.10,
    1.00)</f>
        <v/>
      </c>
      <c r="O2824">
        <f>IF('Loan Tape (S&amp;P)'!T2824="Yes",
    1.35,
    1.00)</f>
        <v/>
      </c>
      <c r="P2824">
        <f>IF('Loan Tape (S&amp;P)'!S2824="Yes",
    1.15,
    1.00)</f>
        <v/>
      </c>
      <c r="Q2824">
        <f>IF('Loan Tape (S&amp;P)'!V2824="Yes",
    1.20,
    1.00)</f>
        <v/>
      </c>
      <c r="T2824">
        <f>LET(
    payment_method,'Loan Tape (S&amp;P)'!P2824,
    occupancy,'Loan Tape (S&amp;P)'!N2824,
    maturity_date,'Loan Tape (S&amp;P)'!L2824,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25">
      <c r="J2825">
        <f>LET(
    lien,'Loan Tape (S&amp;P)'!Q2825,
    IF(lien="First",1.00,
        IF(lien="Second",1.50,
            1.70)))</f>
        <v/>
      </c>
      <c r="K2825">
        <f>LET(
    purpose,'Loan Tape (S&amp;P)'!R2825,
    IF(purpose="Purchase",1.00,
        IF(purpose="Remortgage",1.00,
            1.20)))</f>
        <v/>
      </c>
      <c r="L2825">
        <f>LET(
    arrears_months,'Loan Tape (S&amp;P)'!AN2825,
    IF(arrears_months=0,1.00,
    IF(arrears_months=1,3.00,
    IF(arrears_months=2,5.00,
    IF(arrears_months=3,8.00,
    IF(arrears_months=4,10.00,
    IF(arrears_months=5,12.00,15.00)))))))</f>
        <v/>
      </c>
      <c r="M2825">
        <f>LET(
    seasoning_years,DATEDIF('Loan Tape (S&amp;P)'!K2825,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25">
        <f>IF(AND('Loan Tape (S&amp;P)'!U2825="Yes",
        'Loan Tape (S&amp;P)'!T2825&lt;&gt;"Yes",
        DATEDIF('Loan Tape (S&amp;P)'!K2825, TODAY(), "M")&lt;18),
    1.10,
    1.00)</f>
        <v/>
      </c>
      <c r="O2825">
        <f>IF('Loan Tape (S&amp;P)'!T2825="Yes",
    1.35,
    1.00)</f>
        <v/>
      </c>
      <c r="P2825">
        <f>IF('Loan Tape (S&amp;P)'!S2825="Yes",
    1.15,
    1.00)</f>
        <v/>
      </c>
      <c r="Q2825">
        <f>IF('Loan Tape (S&amp;P)'!V2825="Yes",
    1.20,
    1.00)</f>
        <v/>
      </c>
      <c r="T2825">
        <f>LET(
    payment_method,'Loan Tape (S&amp;P)'!P2825,
    occupancy,'Loan Tape (S&amp;P)'!N2825,
    maturity_date,'Loan Tape (S&amp;P)'!L2825,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26">
      <c r="J2826">
        <f>LET(
    lien,'Loan Tape (S&amp;P)'!Q2826,
    IF(lien="First",1.00,
        IF(lien="Second",1.50,
            1.70)))</f>
        <v/>
      </c>
      <c r="K2826">
        <f>LET(
    purpose,'Loan Tape (S&amp;P)'!R2826,
    IF(purpose="Purchase",1.00,
        IF(purpose="Remortgage",1.00,
            1.20)))</f>
        <v/>
      </c>
      <c r="L2826">
        <f>LET(
    arrears_months,'Loan Tape (S&amp;P)'!AN2826,
    IF(arrears_months=0,1.00,
    IF(arrears_months=1,3.00,
    IF(arrears_months=2,5.00,
    IF(arrears_months=3,8.00,
    IF(arrears_months=4,10.00,
    IF(arrears_months=5,12.00,15.00)))))))</f>
        <v/>
      </c>
      <c r="M2826">
        <f>LET(
    seasoning_years,DATEDIF('Loan Tape (S&amp;P)'!K2826,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26">
        <f>IF(AND('Loan Tape (S&amp;P)'!U2826="Yes",
        'Loan Tape (S&amp;P)'!T2826&lt;&gt;"Yes",
        DATEDIF('Loan Tape (S&amp;P)'!K2826, TODAY(), "M")&lt;18),
    1.10,
    1.00)</f>
        <v/>
      </c>
      <c r="O2826">
        <f>IF('Loan Tape (S&amp;P)'!T2826="Yes",
    1.35,
    1.00)</f>
        <v/>
      </c>
      <c r="P2826">
        <f>IF('Loan Tape (S&amp;P)'!S2826="Yes",
    1.15,
    1.00)</f>
        <v/>
      </c>
      <c r="Q2826">
        <f>IF('Loan Tape (S&amp;P)'!V2826="Yes",
    1.20,
    1.00)</f>
        <v/>
      </c>
      <c r="T2826">
        <f>LET(
    payment_method,'Loan Tape (S&amp;P)'!P2826,
    occupancy,'Loan Tape (S&amp;P)'!N2826,
    maturity_date,'Loan Tape (S&amp;P)'!L2826,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27">
      <c r="J2827">
        <f>LET(
    lien,'Loan Tape (S&amp;P)'!Q2827,
    IF(lien="First",1.00,
        IF(lien="Second",1.50,
            1.70)))</f>
        <v/>
      </c>
      <c r="K2827">
        <f>LET(
    purpose,'Loan Tape (S&amp;P)'!R2827,
    IF(purpose="Purchase",1.00,
        IF(purpose="Remortgage",1.00,
            1.20)))</f>
        <v/>
      </c>
      <c r="L2827">
        <f>LET(
    arrears_months,'Loan Tape (S&amp;P)'!AN2827,
    IF(arrears_months=0,1.00,
    IF(arrears_months=1,3.00,
    IF(arrears_months=2,5.00,
    IF(arrears_months=3,8.00,
    IF(arrears_months=4,10.00,
    IF(arrears_months=5,12.00,15.00)))))))</f>
        <v/>
      </c>
      <c r="M2827">
        <f>LET(
    seasoning_years,DATEDIF('Loan Tape (S&amp;P)'!K2827,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27">
        <f>IF(AND('Loan Tape (S&amp;P)'!U2827="Yes",
        'Loan Tape (S&amp;P)'!T2827&lt;&gt;"Yes",
        DATEDIF('Loan Tape (S&amp;P)'!K2827, TODAY(), "M")&lt;18),
    1.10,
    1.00)</f>
        <v/>
      </c>
      <c r="O2827">
        <f>IF('Loan Tape (S&amp;P)'!T2827="Yes",
    1.35,
    1.00)</f>
        <v/>
      </c>
      <c r="P2827">
        <f>IF('Loan Tape (S&amp;P)'!S2827="Yes",
    1.15,
    1.00)</f>
        <v/>
      </c>
      <c r="Q2827">
        <f>IF('Loan Tape (S&amp;P)'!V2827="Yes",
    1.20,
    1.00)</f>
        <v/>
      </c>
      <c r="T2827">
        <f>LET(
    payment_method,'Loan Tape (S&amp;P)'!P2827,
    occupancy,'Loan Tape (S&amp;P)'!N2827,
    maturity_date,'Loan Tape (S&amp;P)'!L2827,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28">
      <c r="J2828">
        <f>LET(
    lien,'Loan Tape (S&amp;P)'!Q2828,
    IF(lien="First",1.00,
        IF(lien="Second",1.50,
            1.70)))</f>
        <v/>
      </c>
      <c r="K2828">
        <f>LET(
    purpose,'Loan Tape (S&amp;P)'!R2828,
    IF(purpose="Purchase",1.00,
        IF(purpose="Remortgage",1.00,
            1.20)))</f>
        <v/>
      </c>
      <c r="L2828">
        <f>LET(
    arrears_months,'Loan Tape (S&amp;P)'!AN2828,
    IF(arrears_months=0,1.00,
    IF(arrears_months=1,3.00,
    IF(arrears_months=2,5.00,
    IF(arrears_months=3,8.00,
    IF(arrears_months=4,10.00,
    IF(arrears_months=5,12.00,15.00)))))))</f>
        <v/>
      </c>
      <c r="M2828">
        <f>LET(
    seasoning_years,DATEDIF('Loan Tape (S&amp;P)'!K2828,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28">
        <f>IF(AND('Loan Tape (S&amp;P)'!U2828="Yes",
        'Loan Tape (S&amp;P)'!T2828&lt;&gt;"Yes",
        DATEDIF('Loan Tape (S&amp;P)'!K2828, TODAY(), "M")&lt;18),
    1.10,
    1.00)</f>
        <v/>
      </c>
      <c r="O2828">
        <f>IF('Loan Tape (S&amp;P)'!T2828="Yes",
    1.35,
    1.00)</f>
        <v/>
      </c>
      <c r="P2828">
        <f>IF('Loan Tape (S&amp;P)'!S2828="Yes",
    1.15,
    1.00)</f>
        <v/>
      </c>
      <c r="Q2828">
        <f>IF('Loan Tape (S&amp;P)'!V2828="Yes",
    1.20,
    1.00)</f>
        <v/>
      </c>
      <c r="T2828">
        <f>LET(
    payment_method,'Loan Tape (S&amp;P)'!P2828,
    occupancy,'Loan Tape (S&amp;P)'!N2828,
    maturity_date,'Loan Tape (S&amp;P)'!L2828,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29">
      <c r="J2829">
        <f>LET(
    lien,'Loan Tape (S&amp;P)'!Q2829,
    IF(lien="First",1.00,
        IF(lien="Second",1.50,
            1.70)))</f>
        <v/>
      </c>
      <c r="K2829">
        <f>LET(
    purpose,'Loan Tape (S&amp;P)'!R2829,
    IF(purpose="Purchase",1.00,
        IF(purpose="Remortgage",1.00,
            1.20)))</f>
        <v/>
      </c>
      <c r="L2829">
        <f>LET(
    arrears_months,'Loan Tape (S&amp;P)'!AN2829,
    IF(arrears_months=0,1.00,
    IF(arrears_months=1,3.00,
    IF(arrears_months=2,5.00,
    IF(arrears_months=3,8.00,
    IF(arrears_months=4,10.00,
    IF(arrears_months=5,12.00,15.00)))))))</f>
        <v/>
      </c>
      <c r="M2829">
        <f>LET(
    seasoning_years,DATEDIF('Loan Tape (S&amp;P)'!K2829,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29">
        <f>IF(AND('Loan Tape (S&amp;P)'!U2829="Yes",
        'Loan Tape (S&amp;P)'!T2829&lt;&gt;"Yes",
        DATEDIF('Loan Tape (S&amp;P)'!K2829, TODAY(), "M")&lt;18),
    1.10,
    1.00)</f>
        <v/>
      </c>
      <c r="O2829">
        <f>IF('Loan Tape (S&amp;P)'!T2829="Yes",
    1.35,
    1.00)</f>
        <v/>
      </c>
      <c r="P2829">
        <f>IF('Loan Tape (S&amp;P)'!S2829="Yes",
    1.15,
    1.00)</f>
        <v/>
      </c>
      <c r="Q2829">
        <f>IF('Loan Tape (S&amp;P)'!V2829="Yes",
    1.20,
    1.00)</f>
        <v/>
      </c>
      <c r="T2829">
        <f>LET(
    payment_method,'Loan Tape (S&amp;P)'!P2829,
    occupancy,'Loan Tape (S&amp;P)'!N2829,
    maturity_date,'Loan Tape (S&amp;P)'!L2829,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30">
      <c r="J2830">
        <f>LET(
    lien,'Loan Tape (S&amp;P)'!Q2830,
    IF(lien="First",1.00,
        IF(lien="Second",1.50,
            1.70)))</f>
        <v/>
      </c>
      <c r="K2830">
        <f>LET(
    purpose,'Loan Tape (S&amp;P)'!R2830,
    IF(purpose="Purchase",1.00,
        IF(purpose="Remortgage",1.00,
            1.20)))</f>
        <v/>
      </c>
      <c r="L2830">
        <f>LET(
    arrears_months,'Loan Tape (S&amp;P)'!AN2830,
    IF(arrears_months=0,1.00,
    IF(arrears_months=1,3.00,
    IF(arrears_months=2,5.00,
    IF(arrears_months=3,8.00,
    IF(arrears_months=4,10.00,
    IF(arrears_months=5,12.00,15.00)))))))</f>
        <v/>
      </c>
      <c r="M2830">
        <f>LET(
    seasoning_years,DATEDIF('Loan Tape (S&amp;P)'!K2830,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30">
        <f>IF(AND('Loan Tape (S&amp;P)'!U2830="Yes",
        'Loan Tape (S&amp;P)'!T2830&lt;&gt;"Yes",
        DATEDIF('Loan Tape (S&amp;P)'!K2830, TODAY(), "M")&lt;18),
    1.10,
    1.00)</f>
        <v/>
      </c>
      <c r="O2830">
        <f>IF('Loan Tape (S&amp;P)'!T2830="Yes",
    1.35,
    1.00)</f>
        <v/>
      </c>
      <c r="P2830">
        <f>IF('Loan Tape (S&amp;P)'!S2830="Yes",
    1.15,
    1.00)</f>
        <v/>
      </c>
      <c r="Q2830">
        <f>IF('Loan Tape (S&amp;P)'!V2830="Yes",
    1.20,
    1.00)</f>
        <v/>
      </c>
      <c r="T2830">
        <f>LET(
    payment_method,'Loan Tape (S&amp;P)'!P2830,
    occupancy,'Loan Tape (S&amp;P)'!N2830,
    maturity_date,'Loan Tape (S&amp;P)'!L2830,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31">
      <c r="J2831">
        <f>LET(
    lien,'Loan Tape (S&amp;P)'!Q2831,
    IF(lien="First",1.00,
        IF(lien="Second",1.50,
            1.70)))</f>
        <v/>
      </c>
      <c r="K2831">
        <f>LET(
    purpose,'Loan Tape (S&amp;P)'!R2831,
    IF(purpose="Purchase",1.00,
        IF(purpose="Remortgage",1.00,
            1.20)))</f>
        <v/>
      </c>
      <c r="L2831">
        <f>LET(
    arrears_months,'Loan Tape (S&amp;P)'!AN2831,
    IF(arrears_months=0,1.00,
    IF(arrears_months=1,3.00,
    IF(arrears_months=2,5.00,
    IF(arrears_months=3,8.00,
    IF(arrears_months=4,10.00,
    IF(arrears_months=5,12.00,15.00)))))))</f>
        <v/>
      </c>
      <c r="M2831">
        <f>LET(
    seasoning_years,DATEDIF('Loan Tape (S&amp;P)'!K2831,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31">
        <f>IF(AND('Loan Tape (S&amp;P)'!U2831="Yes",
        'Loan Tape (S&amp;P)'!T2831&lt;&gt;"Yes",
        DATEDIF('Loan Tape (S&amp;P)'!K2831, TODAY(), "M")&lt;18),
    1.10,
    1.00)</f>
        <v/>
      </c>
      <c r="O2831">
        <f>IF('Loan Tape (S&amp;P)'!T2831="Yes",
    1.35,
    1.00)</f>
        <v/>
      </c>
      <c r="P2831">
        <f>IF('Loan Tape (S&amp;P)'!S2831="Yes",
    1.15,
    1.00)</f>
        <v/>
      </c>
      <c r="Q2831">
        <f>IF('Loan Tape (S&amp;P)'!V2831="Yes",
    1.20,
    1.00)</f>
        <v/>
      </c>
      <c r="T2831">
        <f>LET(
    payment_method,'Loan Tape (S&amp;P)'!P2831,
    occupancy,'Loan Tape (S&amp;P)'!N2831,
    maturity_date,'Loan Tape (S&amp;P)'!L2831,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32">
      <c r="J2832">
        <f>LET(
    lien,'Loan Tape (S&amp;P)'!Q2832,
    IF(lien="First",1.00,
        IF(lien="Second",1.50,
            1.70)))</f>
        <v/>
      </c>
      <c r="K2832">
        <f>LET(
    purpose,'Loan Tape (S&amp;P)'!R2832,
    IF(purpose="Purchase",1.00,
        IF(purpose="Remortgage",1.00,
            1.20)))</f>
        <v/>
      </c>
      <c r="L2832">
        <f>LET(
    arrears_months,'Loan Tape (S&amp;P)'!AN2832,
    IF(arrears_months=0,1.00,
    IF(arrears_months=1,3.00,
    IF(arrears_months=2,5.00,
    IF(arrears_months=3,8.00,
    IF(arrears_months=4,10.00,
    IF(arrears_months=5,12.00,15.00)))))))</f>
        <v/>
      </c>
      <c r="M2832">
        <f>LET(
    seasoning_years,DATEDIF('Loan Tape (S&amp;P)'!K2832,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32">
        <f>IF(AND('Loan Tape (S&amp;P)'!U2832="Yes",
        'Loan Tape (S&amp;P)'!T2832&lt;&gt;"Yes",
        DATEDIF('Loan Tape (S&amp;P)'!K2832, TODAY(), "M")&lt;18),
    1.10,
    1.00)</f>
        <v/>
      </c>
      <c r="O2832">
        <f>IF('Loan Tape (S&amp;P)'!T2832="Yes",
    1.35,
    1.00)</f>
        <v/>
      </c>
      <c r="P2832">
        <f>IF('Loan Tape (S&amp;P)'!S2832="Yes",
    1.15,
    1.00)</f>
        <v/>
      </c>
      <c r="Q2832">
        <f>IF('Loan Tape (S&amp;P)'!V2832="Yes",
    1.20,
    1.00)</f>
        <v/>
      </c>
      <c r="T2832">
        <f>LET(
    payment_method,'Loan Tape (S&amp;P)'!P2832,
    occupancy,'Loan Tape (S&amp;P)'!N2832,
    maturity_date,'Loan Tape (S&amp;P)'!L2832,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33">
      <c r="J2833">
        <f>LET(
    lien,'Loan Tape (S&amp;P)'!Q2833,
    IF(lien="First",1.00,
        IF(lien="Second",1.50,
            1.70)))</f>
        <v/>
      </c>
      <c r="K2833">
        <f>LET(
    purpose,'Loan Tape (S&amp;P)'!R2833,
    IF(purpose="Purchase",1.00,
        IF(purpose="Remortgage",1.00,
            1.20)))</f>
        <v/>
      </c>
      <c r="L2833">
        <f>LET(
    arrears_months,'Loan Tape (S&amp;P)'!AN2833,
    IF(arrears_months=0,1.00,
    IF(arrears_months=1,3.00,
    IF(arrears_months=2,5.00,
    IF(arrears_months=3,8.00,
    IF(arrears_months=4,10.00,
    IF(arrears_months=5,12.00,15.00)))))))</f>
        <v/>
      </c>
      <c r="M2833">
        <f>LET(
    seasoning_years,DATEDIF('Loan Tape (S&amp;P)'!K2833,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33">
        <f>IF(AND('Loan Tape (S&amp;P)'!U2833="Yes",
        'Loan Tape (S&amp;P)'!T2833&lt;&gt;"Yes",
        DATEDIF('Loan Tape (S&amp;P)'!K2833, TODAY(), "M")&lt;18),
    1.10,
    1.00)</f>
        <v/>
      </c>
      <c r="O2833">
        <f>IF('Loan Tape (S&amp;P)'!T2833="Yes",
    1.35,
    1.00)</f>
        <v/>
      </c>
      <c r="P2833">
        <f>IF('Loan Tape (S&amp;P)'!S2833="Yes",
    1.15,
    1.00)</f>
        <v/>
      </c>
      <c r="Q2833">
        <f>IF('Loan Tape (S&amp;P)'!V2833="Yes",
    1.20,
    1.00)</f>
        <v/>
      </c>
      <c r="T2833">
        <f>LET(
    payment_method,'Loan Tape (S&amp;P)'!P2833,
    occupancy,'Loan Tape (S&amp;P)'!N2833,
    maturity_date,'Loan Tape (S&amp;P)'!L2833,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34">
      <c r="J2834">
        <f>LET(
    lien,'Loan Tape (S&amp;P)'!Q2834,
    IF(lien="First",1.00,
        IF(lien="Second",1.50,
            1.70)))</f>
        <v/>
      </c>
      <c r="K2834">
        <f>LET(
    purpose,'Loan Tape (S&amp;P)'!R2834,
    IF(purpose="Purchase",1.00,
        IF(purpose="Remortgage",1.00,
            1.20)))</f>
        <v/>
      </c>
      <c r="L2834">
        <f>LET(
    arrears_months,'Loan Tape (S&amp;P)'!AN2834,
    IF(arrears_months=0,1.00,
    IF(arrears_months=1,3.00,
    IF(arrears_months=2,5.00,
    IF(arrears_months=3,8.00,
    IF(arrears_months=4,10.00,
    IF(arrears_months=5,12.00,15.00)))))))</f>
        <v/>
      </c>
      <c r="M2834">
        <f>LET(
    seasoning_years,DATEDIF('Loan Tape (S&amp;P)'!K2834,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34">
        <f>IF(AND('Loan Tape (S&amp;P)'!U2834="Yes",
        'Loan Tape (S&amp;P)'!T2834&lt;&gt;"Yes",
        DATEDIF('Loan Tape (S&amp;P)'!K2834, TODAY(), "M")&lt;18),
    1.10,
    1.00)</f>
        <v/>
      </c>
      <c r="O2834">
        <f>IF('Loan Tape (S&amp;P)'!T2834="Yes",
    1.35,
    1.00)</f>
        <v/>
      </c>
      <c r="P2834">
        <f>IF('Loan Tape (S&amp;P)'!S2834="Yes",
    1.15,
    1.00)</f>
        <v/>
      </c>
      <c r="Q2834">
        <f>IF('Loan Tape (S&amp;P)'!V2834="Yes",
    1.20,
    1.00)</f>
        <v/>
      </c>
      <c r="T2834">
        <f>LET(
    payment_method,'Loan Tape (S&amp;P)'!P2834,
    occupancy,'Loan Tape (S&amp;P)'!N2834,
    maturity_date,'Loan Tape (S&amp;P)'!L2834,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35">
      <c r="J2835">
        <f>LET(
    lien,'Loan Tape (S&amp;P)'!Q2835,
    IF(lien="First",1.00,
        IF(lien="Second",1.50,
            1.70)))</f>
        <v/>
      </c>
      <c r="K2835">
        <f>LET(
    purpose,'Loan Tape (S&amp;P)'!R2835,
    IF(purpose="Purchase",1.00,
        IF(purpose="Remortgage",1.00,
            1.20)))</f>
        <v/>
      </c>
      <c r="L2835">
        <f>LET(
    arrears_months,'Loan Tape (S&amp;P)'!AN2835,
    IF(arrears_months=0,1.00,
    IF(arrears_months=1,3.00,
    IF(arrears_months=2,5.00,
    IF(arrears_months=3,8.00,
    IF(arrears_months=4,10.00,
    IF(arrears_months=5,12.00,15.00)))))))</f>
        <v/>
      </c>
      <c r="M2835">
        <f>LET(
    seasoning_years,DATEDIF('Loan Tape (S&amp;P)'!K2835,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35">
        <f>IF(AND('Loan Tape (S&amp;P)'!U2835="Yes",
        'Loan Tape (S&amp;P)'!T2835&lt;&gt;"Yes",
        DATEDIF('Loan Tape (S&amp;P)'!K2835, TODAY(), "M")&lt;18),
    1.10,
    1.00)</f>
        <v/>
      </c>
      <c r="O2835">
        <f>IF('Loan Tape (S&amp;P)'!T2835="Yes",
    1.35,
    1.00)</f>
        <v/>
      </c>
      <c r="P2835">
        <f>IF('Loan Tape (S&amp;P)'!S2835="Yes",
    1.15,
    1.00)</f>
        <v/>
      </c>
      <c r="Q2835">
        <f>IF('Loan Tape (S&amp;P)'!V2835="Yes",
    1.20,
    1.00)</f>
        <v/>
      </c>
      <c r="T2835">
        <f>LET(
    payment_method,'Loan Tape (S&amp;P)'!P2835,
    occupancy,'Loan Tape (S&amp;P)'!N2835,
    maturity_date,'Loan Tape (S&amp;P)'!L2835,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36">
      <c r="J2836">
        <f>LET(
    lien,'Loan Tape (S&amp;P)'!Q2836,
    IF(lien="First",1.00,
        IF(lien="Second",1.50,
            1.70)))</f>
        <v/>
      </c>
      <c r="K2836">
        <f>LET(
    purpose,'Loan Tape (S&amp;P)'!R2836,
    IF(purpose="Purchase",1.00,
        IF(purpose="Remortgage",1.00,
            1.20)))</f>
        <v/>
      </c>
      <c r="L2836">
        <f>LET(
    arrears_months,'Loan Tape (S&amp;P)'!AN2836,
    IF(arrears_months=0,1.00,
    IF(arrears_months=1,3.00,
    IF(arrears_months=2,5.00,
    IF(arrears_months=3,8.00,
    IF(arrears_months=4,10.00,
    IF(arrears_months=5,12.00,15.00)))))))</f>
        <v/>
      </c>
      <c r="M2836">
        <f>LET(
    seasoning_years,DATEDIF('Loan Tape (S&amp;P)'!K2836,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36">
        <f>IF(AND('Loan Tape (S&amp;P)'!U2836="Yes",
        'Loan Tape (S&amp;P)'!T2836&lt;&gt;"Yes",
        DATEDIF('Loan Tape (S&amp;P)'!K2836, TODAY(), "M")&lt;18),
    1.10,
    1.00)</f>
        <v/>
      </c>
      <c r="O2836">
        <f>IF('Loan Tape (S&amp;P)'!T2836="Yes",
    1.35,
    1.00)</f>
        <v/>
      </c>
      <c r="P2836">
        <f>IF('Loan Tape (S&amp;P)'!S2836="Yes",
    1.15,
    1.00)</f>
        <v/>
      </c>
      <c r="Q2836">
        <f>IF('Loan Tape (S&amp;P)'!V2836="Yes",
    1.20,
    1.00)</f>
        <v/>
      </c>
      <c r="T2836">
        <f>LET(
    payment_method,'Loan Tape (S&amp;P)'!P2836,
    occupancy,'Loan Tape (S&amp;P)'!N2836,
    maturity_date,'Loan Tape (S&amp;P)'!L2836,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37">
      <c r="J2837">
        <f>LET(
    lien,'Loan Tape (S&amp;P)'!Q2837,
    IF(lien="First",1.00,
        IF(lien="Second",1.50,
            1.70)))</f>
        <v/>
      </c>
      <c r="K2837">
        <f>LET(
    purpose,'Loan Tape (S&amp;P)'!R2837,
    IF(purpose="Purchase",1.00,
        IF(purpose="Remortgage",1.00,
            1.20)))</f>
        <v/>
      </c>
      <c r="L2837">
        <f>LET(
    arrears_months,'Loan Tape (S&amp;P)'!AN2837,
    IF(arrears_months=0,1.00,
    IF(arrears_months=1,3.00,
    IF(arrears_months=2,5.00,
    IF(arrears_months=3,8.00,
    IF(arrears_months=4,10.00,
    IF(arrears_months=5,12.00,15.00)))))))</f>
        <v/>
      </c>
      <c r="M2837">
        <f>LET(
    seasoning_years,DATEDIF('Loan Tape (S&amp;P)'!K2837,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37">
        <f>IF(AND('Loan Tape (S&amp;P)'!U2837="Yes",
        'Loan Tape (S&amp;P)'!T2837&lt;&gt;"Yes",
        DATEDIF('Loan Tape (S&amp;P)'!K2837, TODAY(), "M")&lt;18),
    1.10,
    1.00)</f>
        <v/>
      </c>
      <c r="O2837">
        <f>IF('Loan Tape (S&amp;P)'!T2837="Yes",
    1.35,
    1.00)</f>
        <v/>
      </c>
      <c r="P2837">
        <f>IF('Loan Tape (S&amp;P)'!S2837="Yes",
    1.15,
    1.00)</f>
        <v/>
      </c>
      <c r="Q2837">
        <f>IF('Loan Tape (S&amp;P)'!V2837="Yes",
    1.20,
    1.00)</f>
        <v/>
      </c>
      <c r="T2837">
        <f>LET(
    payment_method,'Loan Tape (S&amp;P)'!P2837,
    occupancy,'Loan Tape (S&amp;P)'!N2837,
    maturity_date,'Loan Tape (S&amp;P)'!L2837,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38">
      <c r="J2838">
        <f>LET(
    lien,'Loan Tape (S&amp;P)'!Q2838,
    IF(lien="First",1.00,
        IF(lien="Second",1.50,
            1.70)))</f>
        <v/>
      </c>
      <c r="K2838">
        <f>LET(
    purpose,'Loan Tape (S&amp;P)'!R2838,
    IF(purpose="Purchase",1.00,
        IF(purpose="Remortgage",1.00,
            1.20)))</f>
        <v/>
      </c>
      <c r="L2838">
        <f>LET(
    arrears_months,'Loan Tape (S&amp;P)'!AN2838,
    IF(arrears_months=0,1.00,
    IF(arrears_months=1,3.00,
    IF(arrears_months=2,5.00,
    IF(arrears_months=3,8.00,
    IF(arrears_months=4,10.00,
    IF(arrears_months=5,12.00,15.00)))))))</f>
        <v/>
      </c>
      <c r="M2838">
        <f>LET(
    seasoning_years,DATEDIF('Loan Tape (S&amp;P)'!K2838,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38">
        <f>IF(AND('Loan Tape (S&amp;P)'!U2838="Yes",
        'Loan Tape (S&amp;P)'!T2838&lt;&gt;"Yes",
        DATEDIF('Loan Tape (S&amp;P)'!K2838, TODAY(), "M")&lt;18),
    1.10,
    1.00)</f>
        <v/>
      </c>
      <c r="O2838">
        <f>IF('Loan Tape (S&amp;P)'!T2838="Yes",
    1.35,
    1.00)</f>
        <v/>
      </c>
      <c r="P2838">
        <f>IF('Loan Tape (S&amp;P)'!S2838="Yes",
    1.15,
    1.00)</f>
        <v/>
      </c>
      <c r="Q2838">
        <f>IF('Loan Tape (S&amp;P)'!V2838="Yes",
    1.20,
    1.00)</f>
        <v/>
      </c>
      <c r="T2838">
        <f>LET(
    payment_method,'Loan Tape (S&amp;P)'!P2838,
    occupancy,'Loan Tape (S&amp;P)'!N2838,
    maturity_date,'Loan Tape (S&amp;P)'!L2838,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39">
      <c r="J2839">
        <f>LET(
    lien,'Loan Tape (S&amp;P)'!Q2839,
    IF(lien="First",1.00,
        IF(lien="Second",1.50,
            1.70)))</f>
        <v/>
      </c>
      <c r="K2839">
        <f>LET(
    purpose,'Loan Tape (S&amp;P)'!R2839,
    IF(purpose="Purchase",1.00,
        IF(purpose="Remortgage",1.00,
            1.20)))</f>
        <v/>
      </c>
      <c r="L2839">
        <f>LET(
    arrears_months,'Loan Tape (S&amp;P)'!AN2839,
    IF(arrears_months=0,1.00,
    IF(arrears_months=1,3.00,
    IF(arrears_months=2,5.00,
    IF(arrears_months=3,8.00,
    IF(arrears_months=4,10.00,
    IF(arrears_months=5,12.00,15.00)))))))</f>
        <v/>
      </c>
      <c r="M2839">
        <f>LET(
    seasoning_years,DATEDIF('Loan Tape (S&amp;P)'!K2839,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39">
        <f>IF(AND('Loan Tape (S&amp;P)'!U2839="Yes",
        'Loan Tape (S&amp;P)'!T2839&lt;&gt;"Yes",
        DATEDIF('Loan Tape (S&amp;P)'!K2839, TODAY(), "M")&lt;18),
    1.10,
    1.00)</f>
        <v/>
      </c>
      <c r="O2839">
        <f>IF('Loan Tape (S&amp;P)'!T2839="Yes",
    1.35,
    1.00)</f>
        <v/>
      </c>
      <c r="P2839">
        <f>IF('Loan Tape (S&amp;P)'!S2839="Yes",
    1.15,
    1.00)</f>
        <v/>
      </c>
      <c r="Q2839">
        <f>IF('Loan Tape (S&amp;P)'!V2839="Yes",
    1.20,
    1.00)</f>
        <v/>
      </c>
      <c r="T2839">
        <f>LET(
    payment_method,'Loan Tape (S&amp;P)'!P2839,
    occupancy,'Loan Tape (S&amp;P)'!N2839,
    maturity_date,'Loan Tape (S&amp;P)'!L2839,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40">
      <c r="J2840">
        <f>LET(
    lien,'Loan Tape (S&amp;P)'!Q2840,
    IF(lien="First",1.00,
        IF(lien="Second",1.50,
            1.70)))</f>
        <v/>
      </c>
      <c r="K2840">
        <f>LET(
    purpose,'Loan Tape (S&amp;P)'!R2840,
    IF(purpose="Purchase",1.00,
        IF(purpose="Remortgage",1.00,
            1.20)))</f>
        <v/>
      </c>
      <c r="L2840">
        <f>LET(
    arrears_months,'Loan Tape (S&amp;P)'!AN2840,
    IF(arrears_months=0,1.00,
    IF(arrears_months=1,3.00,
    IF(arrears_months=2,5.00,
    IF(arrears_months=3,8.00,
    IF(arrears_months=4,10.00,
    IF(arrears_months=5,12.00,15.00)))))))</f>
        <v/>
      </c>
      <c r="M2840">
        <f>LET(
    seasoning_years,DATEDIF('Loan Tape (S&amp;P)'!K2840,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40">
        <f>IF(AND('Loan Tape (S&amp;P)'!U2840="Yes",
        'Loan Tape (S&amp;P)'!T2840&lt;&gt;"Yes",
        DATEDIF('Loan Tape (S&amp;P)'!K2840, TODAY(), "M")&lt;18),
    1.10,
    1.00)</f>
        <v/>
      </c>
      <c r="O2840">
        <f>IF('Loan Tape (S&amp;P)'!T2840="Yes",
    1.35,
    1.00)</f>
        <v/>
      </c>
      <c r="P2840">
        <f>IF('Loan Tape (S&amp;P)'!S2840="Yes",
    1.15,
    1.00)</f>
        <v/>
      </c>
      <c r="Q2840">
        <f>IF('Loan Tape (S&amp;P)'!V2840="Yes",
    1.20,
    1.00)</f>
        <v/>
      </c>
      <c r="T2840">
        <f>LET(
    payment_method,'Loan Tape (S&amp;P)'!P2840,
    occupancy,'Loan Tape (S&amp;P)'!N2840,
    maturity_date,'Loan Tape (S&amp;P)'!L2840,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41">
      <c r="J2841">
        <f>LET(
    lien,'Loan Tape (S&amp;P)'!Q2841,
    IF(lien="First",1.00,
        IF(lien="Second",1.50,
            1.70)))</f>
        <v/>
      </c>
      <c r="K2841">
        <f>LET(
    purpose,'Loan Tape (S&amp;P)'!R2841,
    IF(purpose="Purchase",1.00,
        IF(purpose="Remortgage",1.00,
            1.20)))</f>
        <v/>
      </c>
      <c r="L2841">
        <f>LET(
    arrears_months,'Loan Tape (S&amp;P)'!AN2841,
    IF(arrears_months=0,1.00,
    IF(arrears_months=1,3.00,
    IF(arrears_months=2,5.00,
    IF(arrears_months=3,8.00,
    IF(arrears_months=4,10.00,
    IF(arrears_months=5,12.00,15.00)))))))</f>
        <v/>
      </c>
      <c r="M2841">
        <f>LET(
    seasoning_years,DATEDIF('Loan Tape (S&amp;P)'!K2841,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41">
        <f>IF(AND('Loan Tape (S&amp;P)'!U2841="Yes",
        'Loan Tape (S&amp;P)'!T2841&lt;&gt;"Yes",
        DATEDIF('Loan Tape (S&amp;P)'!K2841, TODAY(), "M")&lt;18),
    1.10,
    1.00)</f>
        <v/>
      </c>
      <c r="O2841">
        <f>IF('Loan Tape (S&amp;P)'!T2841="Yes",
    1.35,
    1.00)</f>
        <v/>
      </c>
      <c r="P2841">
        <f>IF('Loan Tape (S&amp;P)'!S2841="Yes",
    1.15,
    1.00)</f>
        <v/>
      </c>
      <c r="Q2841">
        <f>IF('Loan Tape (S&amp;P)'!V2841="Yes",
    1.20,
    1.00)</f>
        <v/>
      </c>
      <c r="T2841">
        <f>LET(
    payment_method,'Loan Tape (S&amp;P)'!P2841,
    occupancy,'Loan Tape (S&amp;P)'!N2841,
    maturity_date,'Loan Tape (S&amp;P)'!L2841,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42">
      <c r="J2842">
        <f>LET(
    lien,'Loan Tape (S&amp;P)'!Q2842,
    IF(lien="First",1.00,
        IF(lien="Second",1.50,
            1.70)))</f>
        <v/>
      </c>
      <c r="K2842">
        <f>LET(
    purpose,'Loan Tape (S&amp;P)'!R2842,
    IF(purpose="Purchase",1.00,
        IF(purpose="Remortgage",1.00,
            1.20)))</f>
        <v/>
      </c>
      <c r="L2842">
        <f>LET(
    arrears_months,'Loan Tape (S&amp;P)'!AN2842,
    IF(arrears_months=0,1.00,
    IF(arrears_months=1,3.00,
    IF(arrears_months=2,5.00,
    IF(arrears_months=3,8.00,
    IF(arrears_months=4,10.00,
    IF(arrears_months=5,12.00,15.00)))))))</f>
        <v/>
      </c>
      <c r="M2842">
        <f>LET(
    seasoning_years,DATEDIF('Loan Tape (S&amp;P)'!K2842,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42">
        <f>IF(AND('Loan Tape (S&amp;P)'!U2842="Yes",
        'Loan Tape (S&amp;P)'!T2842&lt;&gt;"Yes",
        DATEDIF('Loan Tape (S&amp;P)'!K2842, TODAY(), "M")&lt;18),
    1.10,
    1.00)</f>
        <v/>
      </c>
      <c r="O2842">
        <f>IF('Loan Tape (S&amp;P)'!T2842="Yes",
    1.35,
    1.00)</f>
        <v/>
      </c>
      <c r="P2842">
        <f>IF('Loan Tape (S&amp;P)'!S2842="Yes",
    1.15,
    1.00)</f>
        <v/>
      </c>
      <c r="Q2842">
        <f>IF('Loan Tape (S&amp;P)'!V2842="Yes",
    1.20,
    1.00)</f>
        <v/>
      </c>
      <c r="T2842">
        <f>LET(
    payment_method,'Loan Tape (S&amp;P)'!P2842,
    occupancy,'Loan Tape (S&amp;P)'!N2842,
    maturity_date,'Loan Tape (S&amp;P)'!L2842,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43">
      <c r="J2843">
        <f>LET(
    lien,'Loan Tape (S&amp;P)'!Q2843,
    IF(lien="First",1.00,
        IF(lien="Second",1.50,
            1.70)))</f>
        <v/>
      </c>
      <c r="K2843">
        <f>LET(
    purpose,'Loan Tape (S&amp;P)'!R2843,
    IF(purpose="Purchase",1.00,
        IF(purpose="Remortgage",1.00,
            1.20)))</f>
        <v/>
      </c>
      <c r="L2843">
        <f>LET(
    arrears_months,'Loan Tape (S&amp;P)'!AN2843,
    IF(arrears_months=0,1.00,
    IF(arrears_months=1,3.00,
    IF(arrears_months=2,5.00,
    IF(arrears_months=3,8.00,
    IF(arrears_months=4,10.00,
    IF(arrears_months=5,12.00,15.00)))))))</f>
        <v/>
      </c>
      <c r="M2843">
        <f>LET(
    seasoning_years,DATEDIF('Loan Tape (S&amp;P)'!K2843,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43">
        <f>IF(AND('Loan Tape (S&amp;P)'!U2843="Yes",
        'Loan Tape (S&amp;P)'!T2843&lt;&gt;"Yes",
        DATEDIF('Loan Tape (S&amp;P)'!K2843, TODAY(), "M")&lt;18),
    1.10,
    1.00)</f>
        <v/>
      </c>
      <c r="O2843">
        <f>IF('Loan Tape (S&amp;P)'!T2843="Yes",
    1.35,
    1.00)</f>
        <v/>
      </c>
      <c r="P2843">
        <f>IF('Loan Tape (S&amp;P)'!S2843="Yes",
    1.15,
    1.00)</f>
        <v/>
      </c>
      <c r="Q2843">
        <f>IF('Loan Tape (S&amp;P)'!V2843="Yes",
    1.20,
    1.00)</f>
        <v/>
      </c>
      <c r="T2843">
        <f>LET(
    payment_method,'Loan Tape (S&amp;P)'!P2843,
    occupancy,'Loan Tape (S&amp;P)'!N2843,
    maturity_date,'Loan Tape (S&amp;P)'!L2843,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44">
      <c r="J2844">
        <f>LET(
    lien,'Loan Tape (S&amp;P)'!Q2844,
    IF(lien="First",1.00,
        IF(lien="Second",1.50,
            1.70)))</f>
        <v/>
      </c>
      <c r="K2844">
        <f>LET(
    purpose,'Loan Tape (S&amp;P)'!R2844,
    IF(purpose="Purchase",1.00,
        IF(purpose="Remortgage",1.00,
            1.20)))</f>
        <v/>
      </c>
      <c r="L2844">
        <f>LET(
    arrears_months,'Loan Tape (S&amp;P)'!AN2844,
    IF(arrears_months=0,1.00,
    IF(arrears_months=1,3.00,
    IF(arrears_months=2,5.00,
    IF(arrears_months=3,8.00,
    IF(arrears_months=4,10.00,
    IF(arrears_months=5,12.00,15.00)))))))</f>
        <v/>
      </c>
      <c r="M2844">
        <f>LET(
    seasoning_years,DATEDIF('Loan Tape (S&amp;P)'!K2844,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44">
        <f>IF(AND('Loan Tape (S&amp;P)'!U2844="Yes",
        'Loan Tape (S&amp;P)'!T2844&lt;&gt;"Yes",
        DATEDIF('Loan Tape (S&amp;P)'!K2844, TODAY(), "M")&lt;18),
    1.10,
    1.00)</f>
        <v/>
      </c>
      <c r="O2844">
        <f>IF('Loan Tape (S&amp;P)'!T2844="Yes",
    1.35,
    1.00)</f>
        <v/>
      </c>
      <c r="P2844">
        <f>IF('Loan Tape (S&amp;P)'!S2844="Yes",
    1.15,
    1.00)</f>
        <v/>
      </c>
      <c r="Q2844">
        <f>IF('Loan Tape (S&amp;P)'!V2844="Yes",
    1.20,
    1.00)</f>
        <v/>
      </c>
      <c r="T2844">
        <f>LET(
    payment_method,'Loan Tape (S&amp;P)'!P2844,
    occupancy,'Loan Tape (S&amp;P)'!N2844,
    maturity_date,'Loan Tape (S&amp;P)'!L2844,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45">
      <c r="J2845">
        <f>LET(
    lien,'Loan Tape (S&amp;P)'!Q2845,
    IF(lien="First",1.00,
        IF(lien="Second",1.50,
            1.70)))</f>
        <v/>
      </c>
      <c r="K2845">
        <f>LET(
    purpose,'Loan Tape (S&amp;P)'!R2845,
    IF(purpose="Purchase",1.00,
        IF(purpose="Remortgage",1.00,
            1.20)))</f>
        <v/>
      </c>
      <c r="L2845">
        <f>LET(
    arrears_months,'Loan Tape (S&amp;P)'!AN2845,
    IF(arrears_months=0,1.00,
    IF(arrears_months=1,3.00,
    IF(arrears_months=2,5.00,
    IF(arrears_months=3,8.00,
    IF(arrears_months=4,10.00,
    IF(arrears_months=5,12.00,15.00)))))))</f>
        <v/>
      </c>
      <c r="M2845">
        <f>LET(
    seasoning_years,DATEDIF('Loan Tape (S&amp;P)'!K2845,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45">
        <f>IF(AND('Loan Tape (S&amp;P)'!U2845="Yes",
        'Loan Tape (S&amp;P)'!T2845&lt;&gt;"Yes",
        DATEDIF('Loan Tape (S&amp;P)'!K2845, TODAY(), "M")&lt;18),
    1.10,
    1.00)</f>
        <v/>
      </c>
      <c r="O2845">
        <f>IF('Loan Tape (S&amp;P)'!T2845="Yes",
    1.35,
    1.00)</f>
        <v/>
      </c>
      <c r="P2845">
        <f>IF('Loan Tape (S&amp;P)'!S2845="Yes",
    1.15,
    1.00)</f>
        <v/>
      </c>
      <c r="Q2845">
        <f>IF('Loan Tape (S&amp;P)'!V2845="Yes",
    1.20,
    1.00)</f>
        <v/>
      </c>
      <c r="T2845">
        <f>LET(
    payment_method,'Loan Tape (S&amp;P)'!P2845,
    occupancy,'Loan Tape (S&amp;P)'!N2845,
    maturity_date,'Loan Tape (S&amp;P)'!L2845,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46">
      <c r="J2846">
        <f>LET(
    lien,'Loan Tape (S&amp;P)'!Q2846,
    IF(lien="First",1.00,
        IF(lien="Second",1.50,
            1.70)))</f>
        <v/>
      </c>
      <c r="K2846">
        <f>LET(
    purpose,'Loan Tape (S&amp;P)'!R2846,
    IF(purpose="Purchase",1.00,
        IF(purpose="Remortgage",1.00,
            1.20)))</f>
        <v/>
      </c>
      <c r="L2846">
        <f>LET(
    arrears_months,'Loan Tape (S&amp;P)'!AN2846,
    IF(arrears_months=0,1.00,
    IF(arrears_months=1,3.00,
    IF(arrears_months=2,5.00,
    IF(arrears_months=3,8.00,
    IF(arrears_months=4,10.00,
    IF(arrears_months=5,12.00,15.00)))))))</f>
        <v/>
      </c>
      <c r="M2846">
        <f>LET(
    seasoning_years,DATEDIF('Loan Tape (S&amp;P)'!K2846,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46">
        <f>IF(AND('Loan Tape (S&amp;P)'!U2846="Yes",
        'Loan Tape (S&amp;P)'!T2846&lt;&gt;"Yes",
        DATEDIF('Loan Tape (S&amp;P)'!K2846, TODAY(), "M")&lt;18),
    1.10,
    1.00)</f>
        <v/>
      </c>
      <c r="O2846">
        <f>IF('Loan Tape (S&amp;P)'!T2846="Yes",
    1.35,
    1.00)</f>
        <v/>
      </c>
      <c r="P2846">
        <f>IF('Loan Tape (S&amp;P)'!S2846="Yes",
    1.15,
    1.00)</f>
        <v/>
      </c>
      <c r="Q2846">
        <f>IF('Loan Tape (S&amp;P)'!V2846="Yes",
    1.20,
    1.00)</f>
        <v/>
      </c>
      <c r="T2846">
        <f>LET(
    payment_method,'Loan Tape (S&amp;P)'!P2846,
    occupancy,'Loan Tape (S&amp;P)'!N2846,
    maturity_date,'Loan Tape (S&amp;P)'!L2846,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47">
      <c r="J2847">
        <f>LET(
    lien,'Loan Tape (S&amp;P)'!Q2847,
    IF(lien="First",1.00,
        IF(lien="Second",1.50,
            1.70)))</f>
        <v/>
      </c>
      <c r="K2847">
        <f>LET(
    purpose,'Loan Tape (S&amp;P)'!R2847,
    IF(purpose="Purchase",1.00,
        IF(purpose="Remortgage",1.00,
            1.20)))</f>
        <v/>
      </c>
      <c r="L2847">
        <f>LET(
    arrears_months,'Loan Tape (S&amp;P)'!AN2847,
    IF(arrears_months=0,1.00,
    IF(arrears_months=1,3.00,
    IF(arrears_months=2,5.00,
    IF(arrears_months=3,8.00,
    IF(arrears_months=4,10.00,
    IF(arrears_months=5,12.00,15.00)))))))</f>
        <v/>
      </c>
      <c r="M2847">
        <f>LET(
    seasoning_years,DATEDIF('Loan Tape (S&amp;P)'!K2847,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47">
        <f>IF(AND('Loan Tape (S&amp;P)'!U2847="Yes",
        'Loan Tape (S&amp;P)'!T2847&lt;&gt;"Yes",
        DATEDIF('Loan Tape (S&amp;P)'!K2847, TODAY(), "M")&lt;18),
    1.10,
    1.00)</f>
        <v/>
      </c>
      <c r="O2847">
        <f>IF('Loan Tape (S&amp;P)'!T2847="Yes",
    1.35,
    1.00)</f>
        <v/>
      </c>
      <c r="P2847">
        <f>IF('Loan Tape (S&amp;P)'!S2847="Yes",
    1.15,
    1.00)</f>
        <v/>
      </c>
      <c r="Q2847">
        <f>IF('Loan Tape (S&amp;P)'!V2847="Yes",
    1.20,
    1.00)</f>
        <v/>
      </c>
      <c r="T2847">
        <f>LET(
    payment_method,'Loan Tape (S&amp;P)'!P2847,
    occupancy,'Loan Tape (S&amp;P)'!N2847,
    maturity_date,'Loan Tape (S&amp;P)'!L2847,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48">
      <c r="J2848">
        <f>LET(
    lien,'Loan Tape (S&amp;P)'!Q2848,
    IF(lien="First",1.00,
        IF(lien="Second",1.50,
            1.70)))</f>
        <v/>
      </c>
      <c r="K2848">
        <f>LET(
    purpose,'Loan Tape (S&amp;P)'!R2848,
    IF(purpose="Purchase",1.00,
        IF(purpose="Remortgage",1.00,
            1.20)))</f>
        <v/>
      </c>
      <c r="L2848">
        <f>LET(
    arrears_months,'Loan Tape (S&amp;P)'!AN2848,
    IF(arrears_months=0,1.00,
    IF(arrears_months=1,3.00,
    IF(arrears_months=2,5.00,
    IF(arrears_months=3,8.00,
    IF(arrears_months=4,10.00,
    IF(arrears_months=5,12.00,15.00)))))))</f>
        <v/>
      </c>
      <c r="M2848">
        <f>LET(
    seasoning_years,DATEDIF('Loan Tape (S&amp;P)'!K2848,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48">
        <f>IF(AND('Loan Tape (S&amp;P)'!U2848="Yes",
        'Loan Tape (S&amp;P)'!T2848&lt;&gt;"Yes",
        DATEDIF('Loan Tape (S&amp;P)'!K2848, TODAY(), "M")&lt;18),
    1.10,
    1.00)</f>
        <v/>
      </c>
      <c r="O2848">
        <f>IF('Loan Tape (S&amp;P)'!T2848="Yes",
    1.35,
    1.00)</f>
        <v/>
      </c>
      <c r="P2848">
        <f>IF('Loan Tape (S&amp;P)'!S2848="Yes",
    1.15,
    1.00)</f>
        <v/>
      </c>
      <c r="Q2848">
        <f>IF('Loan Tape (S&amp;P)'!V2848="Yes",
    1.20,
    1.00)</f>
        <v/>
      </c>
      <c r="T2848">
        <f>LET(
    payment_method,'Loan Tape (S&amp;P)'!P2848,
    occupancy,'Loan Tape (S&amp;P)'!N2848,
    maturity_date,'Loan Tape (S&amp;P)'!L2848,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49">
      <c r="J2849">
        <f>LET(
    lien,'Loan Tape (S&amp;P)'!Q2849,
    IF(lien="First",1.00,
        IF(lien="Second",1.50,
            1.70)))</f>
        <v/>
      </c>
      <c r="K2849">
        <f>LET(
    purpose,'Loan Tape (S&amp;P)'!R2849,
    IF(purpose="Purchase",1.00,
        IF(purpose="Remortgage",1.00,
            1.20)))</f>
        <v/>
      </c>
      <c r="L2849">
        <f>LET(
    arrears_months,'Loan Tape (S&amp;P)'!AN2849,
    IF(arrears_months=0,1.00,
    IF(arrears_months=1,3.00,
    IF(arrears_months=2,5.00,
    IF(arrears_months=3,8.00,
    IF(arrears_months=4,10.00,
    IF(arrears_months=5,12.00,15.00)))))))</f>
        <v/>
      </c>
      <c r="M2849">
        <f>LET(
    seasoning_years,DATEDIF('Loan Tape (S&amp;P)'!K2849,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49">
        <f>IF(AND('Loan Tape (S&amp;P)'!U2849="Yes",
        'Loan Tape (S&amp;P)'!T2849&lt;&gt;"Yes",
        DATEDIF('Loan Tape (S&amp;P)'!K2849, TODAY(), "M")&lt;18),
    1.10,
    1.00)</f>
        <v/>
      </c>
      <c r="O2849">
        <f>IF('Loan Tape (S&amp;P)'!T2849="Yes",
    1.35,
    1.00)</f>
        <v/>
      </c>
      <c r="P2849">
        <f>IF('Loan Tape (S&amp;P)'!S2849="Yes",
    1.15,
    1.00)</f>
        <v/>
      </c>
      <c r="Q2849">
        <f>IF('Loan Tape (S&amp;P)'!V2849="Yes",
    1.20,
    1.00)</f>
        <v/>
      </c>
      <c r="T2849">
        <f>LET(
    payment_method,'Loan Tape (S&amp;P)'!P2849,
    occupancy,'Loan Tape (S&amp;P)'!N2849,
    maturity_date,'Loan Tape (S&amp;P)'!L2849,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50">
      <c r="J2850">
        <f>LET(
    lien,'Loan Tape (S&amp;P)'!Q2850,
    IF(lien="First",1.00,
        IF(lien="Second",1.50,
            1.70)))</f>
        <v/>
      </c>
      <c r="K2850">
        <f>LET(
    purpose,'Loan Tape (S&amp;P)'!R2850,
    IF(purpose="Purchase",1.00,
        IF(purpose="Remortgage",1.00,
            1.20)))</f>
        <v/>
      </c>
      <c r="L2850">
        <f>LET(
    arrears_months,'Loan Tape (S&amp;P)'!AN2850,
    IF(arrears_months=0,1.00,
    IF(arrears_months=1,3.00,
    IF(arrears_months=2,5.00,
    IF(arrears_months=3,8.00,
    IF(arrears_months=4,10.00,
    IF(arrears_months=5,12.00,15.00)))))))</f>
        <v/>
      </c>
      <c r="M2850">
        <f>LET(
    seasoning_years,DATEDIF('Loan Tape (S&amp;P)'!K2850,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50">
        <f>IF(AND('Loan Tape (S&amp;P)'!U2850="Yes",
        'Loan Tape (S&amp;P)'!T2850&lt;&gt;"Yes",
        DATEDIF('Loan Tape (S&amp;P)'!K2850, TODAY(), "M")&lt;18),
    1.10,
    1.00)</f>
        <v/>
      </c>
      <c r="O2850">
        <f>IF('Loan Tape (S&amp;P)'!T2850="Yes",
    1.35,
    1.00)</f>
        <v/>
      </c>
      <c r="P2850">
        <f>IF('Loan Tape (S&amp;P)'!S2850="Yes",
    1.15,
    1.00)</f>
        <v/>
      </c>
      <c r="Q2850">
        <f>IF('Loan Tape (S&amp;P)'!V2850="Yes",
    1.20,
    1.00)</f>
        <v/>
      </c>
      <c r="T2850">
        <f>LET(
    payment_method,'Loan Tape (S&amp;P)'!P2850,
    occupancy,'Loan Tape (S&amp;P)'!N2850,
    maturity_date,'Loan Tape (S&amp;P)'!L2850,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51">
      <c r="J2851">
        <f>LET(
    lien,'Loan Tape (S&amp;P)'!Q2851,
    IF(lien="First",1.00,
        IF(lien="Second",1.50,
            1.70)))</f>
        <v/>
      </c>
      <c r="K2851">
        <f>LET(
    purpose,'Loan Tape (S&amp;P)'!R2851,
    IF(purpose="Purchase",1.00,
        IF(purpose="Remortgage",1.00,
            1.20)))</f>
        <v/>
      </c>
      <c r="L2851">
        <f>LET(
    arrears_months,'Loan Tape (S&amp;P)'!AN2851,
    IF(arrears_months=0,1.00,
    IF(arrears_months=1,3.00,
    IF(arrears_months=2,5.00,
    IF(arrears_months=3,8.00,
    IF(arrears_months=4,10.00,
    IF(arrears_months=5,12.00,15.00)))))))</f>
        <v/>
      </c>
      <c r="M2851">
        <f>LET(
    seasoning_years,DATEDIF('Loan Tape (S&amp;P)'!K2851,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51">
        <f>IF(AND('Loan Tape (S&amp;P)'!U2851="Yes",
        'Loan Tape (S&amp;P)'!T2851&lt;&gt;"Yes",
        DATEDIF('Loan Tape (S&amp;P)'!K2851, TODAY(), "M")&lt;18),
    1.10,
    1.00)</f>
        <v/>
      </c>
      <c r="O2851">
        <f>IF('Loan Tape (S&amp;P)'!T2851="Yes",
    1.35,
    1.00)</f>
        <v/>
      </c>
      <c r="P2851">
        <f>IF('Loan Tape (S&amp;P)'!S2851="Yes",
    1.15,
    1.00)</f>
        <v/>
      </c>
      <c r="Q2851">
        <f>IF('Loan Tape (S&amp;P)'!V2851="Yes",
    1.20,
    1.00)</f>
        <v/>
      </c>
      <c r="T2851">
        <f>LET(
    payment_method,'Loan Tape (S&amp;P)'!P2851,
    occupancy,'Loan Tape (S&amp;P)'!N2851,
    maturity_date,'Loan Tape (S&amp;P)'!L2851,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52">
      <c r="J2852">
        <f>LET(
    lien,'Loan Tape (S&amp;P)'!Q2852,
    IF(lien="First",1.00,
        IF(lien="Second",1.50,
            1.70)))</f>
        <v/>
      </c>
      <c r="K2852">
        <f>LET(
    purpose,'Loan Tape (S&amp;P)'!R2852,
    IF(purpose="Purchase",1.00,
        IF(purpose="Remortgage",1.00,
            1.20)))</f>
        <v/>
      </c>
      <c r="L2852">
        <f>LET(
    arrears_months,'Loan Tape (S&amp;P)'!AN2852,
    IF(arrears_months=0,1.00,
    IF(arrears_months=1,3.00,
    IF(arrears_months=2,5.00,
    IF(arrears_months=3,8.00,
    IF(arrears_months=4,10.00,
    IF(arrears_months=5,12.00,15.00)))))))</f>
        <v/>
      </c>
      <c r="M2852">
        <f>LET(
    seasoning_years,DATEDIF('Loan Tape (S&amp;P)'!K2852,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52">
        <f>IF(AND('Loan Tape (S&amp;P)'!U2852="Yes",
        'Loan Tape (S&amp;P)'!T2852&lt;&gt;"Yes",
        DATEDIF('Loan Tape (S&amp;P)'!K2852, TODAY(), "M")&lt;18),
    1.10,
    1.00)</f>
        <v/>
      </c>
      <c r="O2852">
        <f>IF('Loan Tape (S&amp;P)'!T2852="Yes",
    1.35,
    1.00)</f>
        <v/>
      </c>
      <c r="P2852">
        <f>IF('Loan Tape (S&amp;P)'!S2852="Yes",
    1.15,
    1.00)</f>
        <v/>
      </c>
      <c r="Q2852">
        <f>IF('Loan Tape (S&amp;P)'!V2852="Yes",
    1.20,
    1.00)</f>
        <v/>
      </c>
      <c r="T2852">
        <f>LET(
    payment_method,'Loan Tape (S&amp;P)'!P2852,
    occupancy,'Loan Tape (S&amp;P)'!N2852,
    maturity_date,'Loan Tape (S&amp;P)'!L2852,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53">
      <c r="J2853">
        <f>LET(
    lien,'Loan Tape (S&amp;P)'!Q2853,
    IF(lien="First",1.00,
        IF(lien="Second",1.50,
            1.70)))</f>
        <v/>
      </c>
      <c r="K2853">
        <f>LET(
    purpose,'Loan Tape (S&amp;P)'!R2853,
    IF(purpose="Purchase",1.00,
        IF(purpose="Remortgage",1.00,
            1.20)))</f>
        <v/>
      </c>
      <c r="L2853">
        <f>LET(
    arrears_months,'Loan Tape (S&amp;P)'!AN2853,
    IF(arrears_months=0,1.00,
    IF(arrears_months=1,3.00,
    IF(arrears_months=2,5.00,
    IF(arrears_months=3,8.00,
    IF(arrears_months=4,10.00,
    IF(arrears_months=5,12.00,15.00)))))))</f>
        <v/>
      </c>
      <c r="M2853">
        <f>LET(
    seasoning_years,DATEDIF('Loan Tape (S&amp;P)'!K2853,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53">
        <f>IF(AND('Loan Tape (S&amp;P)'!U2853="Yes",
        'Loan Tape (S&amp;P)'!T2853&lt;&gt;"Yes",
        DATEDIF('Loan Tape (S&amp;P)'!K2853, TODAY(), "M")&lt;18),
    1.10,
    1.00)</f>
        <v/>
      </c>
      <c r="O2853">
        <f>IF('Loan Tape (S&amp;P)'!T2853="Yes",
    1.35,
    1.00)</f>
        <v/>
      </c>
      <c r="P2853">
        <f>IF('Loan Tape (S&amp;P)'!S2853="Yes",
    1.15,
    1.00)</f>
        <v/>
      </c>
      <c r="Q2853">
        <f>IF('Loan Tape (S&amp;P)'!V2853="Yes",
    1.20,
    1.00)</f>
        <v/>
      </c>
      <c r="T2853">
        <f>LET(
    payment_method,'Loan Tape (S&amp;P)'!P2853,
    occupancy,'Loan Tape (S&amp;P)'!N2853,
    maturity_date,'Loan Tape (S&amp;P)'!L2853,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54">
      <c r="J2854">
        <f>LET(
    lien,'Loan Tape (S&amp;P)'!Q2854,
    IF(lien="First",1.00,
        IF(lien="Second",1.50,
            1.70)))</f>
        <v/>
      </c>
      <c r="K2854">
        <f>LET(
    purpose,'Loan Tape (S&amp;P)'!R2854,
    IF(purpose="Purchase",1.00,
        IF(purpose="Remortgage",1.00,
            1.20)))</f>
        <v/>
      </c>
      <c r="L2854">
        <f>LET(
    arrears_months,'Loan Tape (S&amp;P)'!AN2854,
    IF(arrears_months=0,1.00,
    IF(arrears_months=1,3.00,
    IF(arrears_months=2,5.00,
    IF(arrears_months=3,8.00,
    IF(arrears_months=4,10.00,
    IF(arrears_months=5,12.00,15.00)))))))</f>
        <v/>
      </c>
      <c r="M2854">
        <f>LET(
    seasoning_years,DATEDIF('Loan Tape (S&amp;P)'!K2854,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54">
        <f>IF(AND('Loan Tape (S&amp;P)'!U2854="Yes",
        'Loan Tape (S&amp;P)'!T2854&lt;&gt;"Yes",
        DATEDIF('Loan Tape (S&amp;P)'!K2854, TODAY(), "M")&lt;18),
    1.10,
    1.00)</f>
        <v/>
      </c>
      <c r="O2854">
        <f>IF('Loan Tape (S&amp;P)'!T2854="Yes",
    1.35,
    1.00)</f>
        <v/>
      </c>
      <c r="P2854">
        <f>IF('Loan Tape (S&amp;P)'!S2854="Yes",
    1.15,
    1.00)</f>
        <v/>
      </c>
      <c r="Q2854">
        <f>IF('Loan Tape (S&amp;P)'!V2854="Yes",
    1.20,
    1.00)</f>
        <v/>
      </c>
      <c r="T2854">
        <f>LET(
    payment_method,'Loan Tape (S&amp;P)'!P2854,
    occupancy,'Loan Tape (S&amp;P)'!N2854,
    maturity_date,'Loan Tape (S&amp;P)'!L2854,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55">
      <c r="J2855">
        <f>LET(
    lien,'Loan Tape (S&amp;P)'!Q2855,
    IF(lien="First",1.00,
        IF(lien="Second",1.50,
            1.70)))</f>
        <v/>
      </c>
      <c r="K2855">
        <f>LET(
    purpose,'Loan Tape (S&amp;P)'!R2855,
    IF(purpose="Purchase",1.00,
        IF(purpose="Remortgage",1.00,
            1.20)))</f>
        <v/>
      </c>
      <c r="L2855">
        <f>LET(
    arrears_months,'Loan Tape (S&amp;P)'!AN2855,
    IF(arrears_months=0,1.00,
    IF(arrears_months=1,3.00,
    IF(arrears_months=2,5.00,
    IF(arrears_months=3,8.00,
    IF(arrears_months=4,10.00,
    IF(arrears_months=5,12.00,15.00)))))))</f>
        <v/>
      </c>
      <c r="M2855">
        <f>LET(
    seasoning_years,DATEDIF('Loan Tape (S&amp;P)'!K2855,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55">
        <f>IF(AND('Loan Tape (S&amp;P)'!U2855="Yes",
        'Loan Tape (S&amp;P)'!T2855&lt;&gt;"Yes",
        DATEDIF('Loan Tape (S&amp;P)'!K2855, TODAY(), "M")&lt;18),
    1.10,
    1.00)</f>
        <v/>
      </c>
      <c r="O2855">
        <f>IF('Loan Tape (S&amp;P)'!T2855="Yes",
    1.35,
    1.00)</f>
        <v/>
      </c>
      <c r="P2855">
        <f>IF('Loan Tape (S&amp;P)'!S2855="Yes",
    1.15,
    1.00)</f>
        <v/>
      </c>
      <c r="Q2855">
        <f>IF('Loan Tape (S&amp;P)'!V2855="Yes",
    1.20,
    1.00)</f>
        <v/>
      </c>
      <c r="T2855">
        <f>LET(
    payment_method,'Loan Tape (S&amp;P)'!P2855,
    occupancy,'Loan Tape (S&amp;P)'!N2855,
    maturity_date,'Loan Tape (S&amp;P)'!L2855,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56">
      <c r="J2856">
        <f>LET(
    lien,'Loan Tape (S&amp;P)'!Q2856,
    IF(lien="First",1.00,
        IF(lien="Second",1.50,
            1.70)))</f>
        <v/>
      </c>
      <c r="K2856">
        <f>LET(
    purpose,'Loan Tape (S&amp;P)'!R2856,
    IF(purpose="Purchase",1.00,
        IF(purpose="Remortgage",1.00,
            1.20)))</f>
        <v/>
      </c>
      <c r="L2856">
        <f>LET(
    arrears_months,'Loan Tape (S&amp;P)'!AN2856,
    IF(arrears_months=0,1.00,
    IF(arrears_months=1,3.00,
    IF(arrears_months=2,5.00,
    IF(arrears_months=3,8.00,
    IF(arrears_months=4,10.00,
    IF(arrears_months=5,12.00,15.00)))))))</f>
        <v/>
      </c>
      <c r="M2856">
        <f>LET(
    seasoning_years,DATEDIF('Loan Tape (S&amp;P)'!K2856,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56">
        <f>IF(AND('Loan Tape (S&amp;P)'!U2856="Yes",
        'Loan Tape (S&amp;P)'!T2856&lt;&gt;"Yes",
        DATEDIF('Loan Tape (S&amp;P)'!K2856, TODAY(), "M")&lt;18),
    1.10,
    1.00)</f>
        <v/>
      </c>
      <c r="O2856">
        <f>IF('Loan Tape (S&amp;P)'!T2856="Yes",
    1.35,
    1.00)</f>
        <v/>
      </c>
      <c r="P2856">
        <f>IF('Loan Tape (S&amp;P)'!S2856="Yes",
    1.15,
    1.00)</f>
        <v/>
      </c>
      <c r="Q2856">
        <f>IF('Loan Tape (S&amp;P)'!V2856="Yes",
    1.20,
    1.00)</f>
        <v/>
      </c>
      <c r="T2856">
        <f>LET(
    payment_method,'Loan Tape (S&amp;P)'!P2856,
    occupancy,'Loan Tape (S&amp;P)'!N2856,
    maturity_date,'Loan Tape (S&amp;P)'!L2856,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57">
      <c r="J2857">
        <f>LET(
    lien,'Loan Tape (S&amp;P)'!Q2857,
    IF(lien="First",1.00,
        IF(lien="Second",1.50,
            1.70)))</f>
        <v/>
      </c>
      <c r="K2857">
        <f>LET(
    purpose,'Loan Tape (S&amp;P)'!R2857,
    IF(purpose="Purchase",1.00,
        IF(purpose="Remortgage",1.00,
            1.20)))</f>
        <v/>
      </c>
      <c r="L2857">
        <f>LET(
    arrears_months,'Loan Tape (S&amp;P)'!AN2857,
    IF(arrears_months=0,1.00,
    IF(arrears_months=1,3.00,
    IF(arrears_months=2,5.00,
    IF(arrears_months=3,8.00,
    IF(arrears_months=4,10.00,
    IF(arrears_months=5,12.00,15.00)))))))</f>
        <v/>
      </c>
      <c r="M2857">
        <f>LET(
    seasoning_years,DATEDIF('Loan Tape (S&amp;P)'!K2857,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57">
        <f>IF(AND('Loan Tape (S&amp;P)'!U2857="Yes",
        'Loan Tape (S&amp;P)'!T2857&lt;&gt;"Yes",
        DATEDIF('Loan Tape (S&amp;P)'!K2857, TODAY(), "M")&lt;18),
    1.10,
    1.00)</f>
        <v/>
      </c>
      <c r="O2857">
        <f>IF('Loan Tape (S&amp;P)'!T2857="Yes",
    1.35,
    1.00)</f>
        <v/>
      </c>
      <c r="P2857">
        <f>IF('Loan Tape (S&amp;P)'!S2857="Yes",
    1.15,
    1.00)</f>
        <v/>
      </c>
      <c r="Q2857">
        <f>IF('Loan Tape (S&amp;P)'!V2857="Yes",
    1.20,
    1.00)</f>
        <v/>
      </c>
      <c r="T2857">
        <f>LET(
    payment_method,'Loan Tape (S&amp;P)'!P2857,
    occupancy,'Loan Tape (S&amp;P)'!N2857,
    maturity_date,'Loan Tape (S&amp;P)'!L2857,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58">
      <c r="J2858">
        <f>LET(
    lien,'Loan Tape (S&amp;P)'!Q2858,
    IF(lien="First",1.00,
        IF(lien="Second",1.50,
            1.70)))</f>
        <v/>
      </c>
      <c r="K2858">
        <f>LET(
    purpose,'Loan Tape (S&amp;P)'!R2858,
    IF(purpose="Purchase",1.00,
        IF(purpose="Remortgage",1.00,
            1.20)))</f>
        <v/>
      </c>
      <c r="L2858">
        <f>LET(
    arrears_months,'Loan Tape (S&amp;P)'!AN2858,
    IF(arrears_months=0,1.00,
    IF(arrears_months=1,3.00,
    IF(arrears_months=2,5.00,
    IF(arrears_months=3,8.00,
    IF(arrears_months=4,10.00,
    IF(arrears_months=5,12.00,15.00)))))))</f>
        <v/>
      </c>
      <c r="M2858">
        <f>LET(
    seasoning_years,DATEDIF('Loan Tape (S&amp;P)'!K2858,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58">
        <f>IF(AND('Loan Tape (S&amp;P)'!U2858="Yes",
        'Loan Tape (S&amp;P)'!T2858&lt;&gt;"Yes",
        DATEDIF('Loan Tape (S&amp;P)'!K2858, TODAY(), "M")&lt;18),
    1.10,
    1.00)</f>
        <v/>
      </c>
      <c r="O2858">
        <f>IF('Loan Tape (S&amp;P)'!T2858="Yes",
    1.35,
    1.00)</f>
        <v/>
      </c>
      <c r="P2858">
        <f>IF('Loan Tape (S&amp;P)'!S2858="Yes",
    1.15,
    1.00)</f>
        <v/>
      </c>
      <c r="Q2858">
        <f>IF('Loan Tape (S&amp;P)'!V2858="Yes",
    1.20,
    1.00)</f>
        <v/>
      </c>
      <c r="T2858">
        <f>LET(
    payment_method,'Loan Tape (S&amp;P)'!P2858,
    occupancy,'Loan Tape (S&amp;P)'!N2858,
    maturity_date,'Loan Tape (S&amp;P)'!L2858,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59">
      <c r="J2859">
        <f>LET(
    lien,'Loan Tape (S&amp;P)'!Q2859,
    IF(lien="First",1.00,
        IF(lien="Second",1.50,
            1.70)))</f>
        <v/>
      </c>
      <c r="K2859">
        <f>LET(
    purpose,'Loan Tape (S&amp;P)'!R2859,
    IF(purpose="Purchase",1.00,
        IF(purpose="Remortgage",1.00,
            1.20)))</f>
        <v/>
      </c>
      <c r="L2859">
        <f>LET(
    arrears_months,'Loan Tape (S&amp;P)'!AN2859,
    IF(arrears_months=0,1.00,
    IF(arrears_months=1,3.00,
    IF(arrears_months=2,5.00,
    IF(arrears_months=3,8.00,
    IF(arrears_months=4,10.00,
    IF(arrears_months=5,12.00,15.00)))))))</f>
        <v/>
      </c>
      <c r="M2859">
        <f>LET(
    seasoning_years,DATEDIF('Loan Tape (S&amp;P)'!K2859,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59">
        <f>IF(AND('Loan Tape (S&amp;P)'!U2859="Yes",
        'Loan Tape (S&amp;P)'!T2859&lt;&gt;"Yes",
        DATEDIF('Loan Tape (S&amp;P)'!K2859, TODAY(), "M")&lt;18),
    1.10,
    1.00)</f>
        <v/>
      </c>
      <c r="O2859">
        <f>IF('Loan Tape (S&amp;P)'!T2859="Yes",
    1.35,
    1.00)</f>
        <v/>
      </c>
      <c r="P2859">
        <f>IF('Loan Tape (S&amp;P)'!S2859="Yes",
    1.15,
    1.00)</f>
        <v/>
      </c>
      <c r="Q2859">
        <f>IF('Loan Tape (S&amp;P)'!V2859="Yes",
    1.20,
    1.00)</f>
        <v/>
      </c>
      <c r="T2859">
        <f>LET(
    payment_method,'Loan Tape (S&amp;P)'!P2859,
    occupancy,'Loan Tape (S&amp;P)'!N2859,
    maturity_date,'Loan Tape (S&amp;P)'!L2859,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60">
      <c r="J2860">
        <f>LET(
    lien,'Loan Tape (S&amp;P)'!Q2860,
    IF(lien="First",1.00,
        IF(lien="Second",1.50,
            1.70)))</f>
        <v/>
      </c>
      <c r="K2860">
        <f>LET(
    purpose,'Loan Tape (S&amp;P)'!R2860,
    IF(purpose="Purchase",1.00,
        IF(purpose="Remortgage",1.00,
            1.20)))</f>
        <v/>
      </c>
      <c r="L2860">
        <f>LET(
    arrears_months,'Loan Tape (S&amp;P)'!AN2860,
    IF(arrears_months=0,1.00,
    IF(arrears_months=1,3.00,
    IF(arrears_months=2,5.00,
    IF(arrears_months=3,8.00,
    IF(arrears_months=4,10.00,
    IF(arrears_months=5,12.00,15.00)))))))</f>
        <v/>
      </c>
      <c r="M2860">
        <f>LET(
    seasoning_years,DATEDIF('Loan Tape (S&amp;P)'!K2860,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60">
        <f>IF(AND('Loan Tape (S&amp;P)'!U2860="Yes",
        'Loan Tape (S&amp;P)'!T2860&lt;&gt;"Yes",
        DATEDIF('Loan Tape (S&amp;P)'!K2860, TODAY(), "M")&lt;18),
    1.10,
    1.00)</f>
        <v/>
      </c>
      <c r="O2860">
        <f>IF('Loan Tape (S&amp;P)'!T2860="Yes",
    1.35,
    1.00)</f>
        <v/>
      </c>
      <c r="P2860">
        <f>IF('Loan Tape (S&amp;P)'!S2860="Yes",
    1.15,
    1.00)</f>
        <v/>
      </c>
      <c r="Q2860">
        <f>IF('Loan Tape (S&amp;P)'!V2860="Yes",
    1.20,
    1.00)</f>
        <v/>
      </c>
      <c r="T2860">
        <f>LET(
    payment_method,'Loan Tape (S&amp;P)'!P2860,
    occupancy,'Loan Tape (S&amp;P)'!N2860,
    maturity_date,'Loan Tape (S&amp;P)'!L2860,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61">
      <c r="J2861">
        <f>LET(
    lien,'Loan Tape (S&amp;P)'!Q2861,
    IF(lien="First",1.00,
        IF(lien="Second",1.50,
            1.70)))</f>
        <v/>
      </c>
      <c r="K2861">
        <f>LET(
    purpose,'Loan Tape (S&amp;P)'!R2861,
    IF(purpose="Purchase",1.00,
        IF(purpose="Remortgage",1.00,
            1.20)))</f>
        <v/>
      </c>
      <c r="L2861">
        <f>LET(
    arrears_months,'Loan Tape (S&amp;P)'!AN2861,
    IF(arrears_months=0,1.00,
    IF(arrears_months=1,3.00,
    IF(arrears_months=2,5.00,
    IF(arrears_months=3,8.00,
    IF(arrears_months=4,10.00,
    IF(arrears_months=5,12.00,15.00)))))))</f>
        <v/>
      </c>
      <c r="M2861">
        <f>LET(
    seasoning_years,DATEDIF('Loan Tape (S&amp;P)'!K2861,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61">
        <f>IF(AND('Loan Tape (S&amp;P)'!U2861="Yes",
        'Loan Tape (S&amp;P)'!T2861&lt;&gt;"Yes",
        DATEDIF('Loan Tape (S&amp;P)'!K2861, TODAY(), "M")&lt;18),
    1.10,
    1.00)</f>
        <v/>
      </c>
      <c r="O2861">
        <f>IF('Loan Tape (S&amp;P)'!T2861="Yes",
    1.35,
    1.00)</f>
        <v/>
      </c>
      <c r="P2861">
        <f>IF('Loan Tape (S&amp;P)'!S2861="Yes",
    1.15,
    1.00)</f>
        <v/>
      </c>
      <c r="Q2861">
        <f>IF('Loan Tape (S&amp;P)'!V2861="Yes",
    1.20,
    1.00)</f>
        <v/>
      </c>
      <c r="T2861">
        <f>LET(
    payment_method,'Loan Tape (S&amp;P)'!P2861,
    occupancy,'Loan Tape (S&amp;P)'!N2861,
    maturity_date,'Loan Tape (S&amp;P)'!L2861,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62">
      <c r="J2862">
        <f>LET(
    lien,'Loan Tape (S&amp;P)'!Q2862,
    IF(lien="First",1.00,
        IF(lien="Second",1.50,
            1.70)))</f>
        <v/>
      </c>
      <c r="K2862">
        <f>LET(
    purpose,'Loan Tape (S&amp;P)'!R2862,
    IF(purpose="Purchase",1.00,
        IF(purpose="Remortgage",1.00,
            1.20)))</f>
        <v/>
      </c>
      <c r="L2862">
        <f>LET(
    arrears_months,'Loan Tape (S&amp;P)'!AN2862,
    IF(arrears_months=0,1.00,
    IF(arrears_months=1,3.00,
    IF(arrears_months=2,5.00,
    IF(arrears_months=3,8.00,
    IF(arrears_months=4,10.00,
    IF(arrears_months=5,12.00,15.00)))))))</f>
        <v/>
      </c>
      <c r="M2862">
        <f>LET(
    seasoning_years,DATEDIF('Loan Tape (S&amp;P)'!K2862,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62">
        <f>IF(AND('Loan Tape (S&amp;P)'!U2862="Yes",
        'Loan Tape (S&amp;P)'!T2862&lt;&gt;"Yes",
        DATEDIF('Loan Tape (S&amp;P)'!K2862, TODAY(), "M")&lt;18),
    1.10,
    1.00)</f>
        <v/>
      </c>
      <c r="O2862">
        <f>IF('Loan Tape (S&amp;P)'!T2862="Yes",
    1.35,
    1.00)</f>
        <v/>
      </c>
      <c r="P2862">
        <f>IF('Loan Tape (S&amp;P)'!S2862="Yes",
    1.15,
    1.00)</f>
        <v/>
      </c>
      <c r="Q2862">
        <f>IF('Loan Tape (S&amp;P)'!V2862="Yes",
    1.20,
    1.00)</f>
        <v/>
      </c>
      <c r="T2862">
        <f>LET(
    payment_method,'Loan Tape (S&amp;P)'!P2862,
    occupancy,'Loan Tape (S&amp;P)'!N2862,
    maturity_date,'Loan Tape (S&amp;P)'!L2862,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63">
      <c r="J2863">
        <f>LET(
    lien,'Loan Tape (S&amp;P)'!Q2863,
    IF(lien="First",1.00,
        IF(lien="Second",1.50,
            1.70)))</f>
        <v/>
      </c>
      <c r="K2863">
        <f>LET(
    purpose,'Loan Tape (S&amp;P)'!R2863,
    IF(purpose="Purchase",1.00,
        IF(purpose="Remortgage",1.00,
            1.20)))</f>
        <v/>
      </c>
      <c r="L2863">
        <f>LET(
    arrears_months,'Loan Tape (S&amp;P)'!AN2863,
    IF(arrears_months=0,1.00,
    IF(arrears_months=1,3.00,
    IF(arrears_months=2,5.00,
    IF(arrears_months=3,8.00,
    IF(arrears_months=4,10.00,
    IF(arrears_months=5,12.00,15.00)))))))</f>
        <v/>
      </c>
      <c r="M2863">
        <f>LET(
    seasoning_years,DATEDIF('Loan Tape (S&amp;P)'!K2863,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63">
        <f>IF(AND('Loan Tape (S&amp;P)'!U2863="Yes",
        'Loan Tape (S&amp;P)'!T2863&lt;&gt;"Yes",
        DATEDIF('Loan Tape (S&amp;P)'!K2863, TODAY(), "M")&lt;18),
    1.10,
    1.00)</f>
        <v/>
      </c>
      <c r="O2863">
        <f>IF('Loan Tape (S&amp;P)'!T2863="Yes",
    1.35,
    1.00)</f>
        <v/>
      </c>
      <c r="P2863">
        <f>IF('Loan Tape (S&amp;P)'!S2863="Yes",
    1.15,
    1.00)</f>
        <v/>
      </c>
      <c r="Q2863">
        <f>IF('Loan Tape (S&amp;P)'!V2863="Yes",
    1.20,
    1.00)</f>
        <v/>
      </c>
      <c r="T2863">
        <f>LET(
    payment_method,'Loan Tape (S&amp;P)'!P2863,
    occupancy,'Loan Tape (S&amp;P)'!N2863,
    maturity_date,'Loan Tape (S&amp;P)'!L2863,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64">
      <c r="J2864">
        <f>LET(
    lien,'Loan Tape (S&amp;P)'!Q2864,
    IF(lien="First",1.00,
        IF(lien="Second",1.50,
            1.70)))</f>
        <v/>
      </c>
      <c r="K2864">
        <f>LET(
    purpose,'Loan Tape (S&amp;P)'!R2864,
    IF(purpose="Purchase",1.00,
        IF(purpose="Remortgage",1.00,
            1.20)))</f>
        <v/>
      </c>
      <c r="L2864">
        <f>LET(
    arrears_months,'Loan Tape (S&amp;P)'!AN2864,
    IF(arrears_months=0,1.00,
    IF(arrears_months=1,3.00,
    IF(arrears_months=2,5.00,
    IF(arrears_months=3,8.00,
    IF(arrears_months=4,10.00,
    IF(arrears_months=5,12.00,15.00)))))))</f>
        <v/>
      </c>
      <c r="M2864">
        <f>LET(
    seasoning_years,DATEDIF('Loan Tape (S&amp;P)'!K2864,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64">
        <f>IF(AND('Loan Tape (S&amp;P)'!U2864="Yes",
        'Loan Tape (S&amp;P)'!T2864&lt;&gt;"Yes",
        DATEDIF('Loan Tape (S&amp;P)'!K2864, TODAY(), "M")&lt;18),
    1.10,
    1.00)</f>
        <v/>
      </c>
      <c r="O2864">
        <f>IF('Loan Tape (S&amp;P)'!T2864="Yes",
    1.35,
    1.00)</f>
        <v/>
      </c>
      <c r="P2864">
        <f>IF('Loan Tape (S&amp;P)'!S2864="Yes",
    1.15,
    1.00)</f>
        <v/>
      </c>
      <c r="Q2864">
        <f>IF('Loan Tape (S&amp;P)'!V2864="Yes",
    1.20,
    1.00)</f>
        <v/>
      </c>
      <c r="T2864">
        <f>LET(
    payment_method,'Loan Tape (S&amp;P)'!P2864,
    occupancy,'Loan Tape (S&amp;P)'!N2864,
    maturity_date,'Loan Tape (S&amp;P)'!L2864,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65">
      <c r="J2865">
        <f>LET(
    lien,'Loan Tape (S&amp;P)'!Q2865,
    IF(lien="First",1.00,
        IF(lien="Second",1.50,
            1.70)))</f>
        <v/>
      </c>
      <c r="K2865">
        <f>LET(
    purpose,'Loan Tape (S&amp;P)'!R2865,
    IF(purpose="Purchase",1.00,
        IF(purpose="Remortgage",1.00,
            1.20)))</f>
        <v/>
      </c>
      <c r="L2865">
        <f>LET(
    arrears_months,'Loan Tape (S&amp;P)'!AN2865,
    IF(arrears_months=0,1.00,
    IF(arrears_months=1,3.00,
    IF(arrears_months=2,5.00,
    IF(arrears_months=3,8.00,
    IF(arrears_months=4,10.00,
    IF(arrears_months=5,12.00,15.00)))))))</f>
        <v/>
      </c>
      <c r="M2865">
        <f>LET(
    seasoning_years,DATEDIF('Loan Tape (S&amp;P)'!K2865,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65">
        <f>IF(AND('Loan Tape (S&amp;P)'!U2865="Yes",
        'Loan Tape (S&amp;P)'!T2865&lt;&gt;"Yes",
        DATEDIF('Loan Tape (S&amp;P)'!K2865, TODAY(), "M")&lt;18),
    1.10,
    1.00)</f>
        <v/>
      </c>
      <c r="O2865">
        <f>IF('Loan Tape (S&amp;P)'!T2865="Yes",
    1.35,
    1.00)</f>
        <v/>
      </c>
      <c r="P2865">
        <f>IF('Loan Tape (S&amp;P)'!S2865="Yes",
    1.15,
    1.00)</f>
        <v/>
      </c>
      <c r="Q2865">
        <f>IF('Loan Tape (S&amp;P)'!V2865="Yes",
    1.20,
    1.00)</f>
        <v/>
      </c>
      <c r="T2865">
        <f>LET(
    payment_method,'Loan Tape (S&amp;P)'!P2865,
    occupancy,'Loan Tape (S&amp;P)'!N2865,
    maturity_date,'Loan Tape (S&amp;P)'!L2865,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66">
      <c r="J2866">
        <f>LET(
    lien,'Loan Tape (S&amp;P)'!Q2866,
    IF(lien="First",1.00,
        IF(lien="Second",1.50,
            1.70)))</f>
        <v/>
      </c>
      <c r="K2866">
        <f>LET(
    purpose,'Loan Tape (S&amp;P)'!R2866,
    IF(purpose="Purchase",1.00,
        IF(purpose="Remortgage",1.00,
            1.20)))</f>
        <v/>
      </c>
      <c r="L2866">
        <f>LET(
    arrears_months,'Loan Tape (S&amp;P)'!AN2866,
    IF(arrears_months=0,1.00,
    IF(arrears_months=1,3.00,
    IF(arrears_months=2,5.00,
    IF(arrears_months=3,8.00,
    IF(arrears_months=4,10.00,
    IF(arrears_months=5,12.00,15.00)))))))</f>
        <v/>
      </c>
      <c r="M2866">
        <f>LET(
    seasoning_years,DATEDIF('Loan Tape (S&amp;P)'!K2866,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66">
        <f>IF(AND('Loan Tape (S&amp;P)'!U2866="Yes",
        'Loan Tape (S&amp;P)'!T2866&lt;&gt;"Yes",
        DATEDIF('Loan Tape (S&amp;P)'!K2866, TODAY(), "M")&lt;18),
    1.10,
    1.00)</f>
        <v/>
      </c>
      <c r="O2866">
        <f>IF('Loan Tape (S&amp;P)'!T2866="Yes",
    1.35,
    1.00)</f>
        <v/>
      </c>
      <c r="P2866">
        <f>IF('Loan Tape (S&amp;P)'!S2866="Yes",
    1.15,
    1.00)</f>
        <v/>
      </c>
      <c r="Q2866">
        <f>IF('Loan Tape (S&amp;P)'!V2866="Yes",
    1.20,
    1.00)</f>
        <v/>
      </c>
      <c r="T2866">
        <f>LET(
    payment_method,'Loan Tape (S&amp;P)'!P2866,
    occupancy,'Loan Tape (S&amp;P)'!N2866,
    maturity_date,'Loan Tape (S&amp;P)'!L2866,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67">
      <c r="J2867">
        <f>LET(
    lien,'Loan Tape (S&amp;P)'!Q2867,
    IF(lien="First",1.00,
        IF(lien="Second",1.50,
            1.70)))</f>
        <v/>
      </c>
      <c r="K2867">
        <f>LET(
    purpose,'Loan Tape (S&amp;P)'!R2867,
    IF(purpose="Purchase",1.00,
        IF(purpose="Remortgage",1.00,
            1.20)))</f>
        <v/>
      </c>
      <c r="L2867">
        <f>LET(
    arrears_months,'Loan Tape (S&amp;P)'!AN2867,
    IF(arrears_months=0,1.00,
    IF(arrears_months=1,3.00,
    IF(arrears_months=2,5.00,
    IF(arrears_months=3,8.00,
    IF(arrears_months=4,10.00,
    IF(arrears_months=5,12.00,15.00)))))))</f>
        <v/>
      </c>
      <c r="M2867">
        <f>LET(
    seasoning_years,DATEDIF('Loan Tape (S&amp;P)'!K2867,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67">
        <f>IF(AND('Loan Tape (S&amp;P)'!U2867="Yes",
        'Loan Tape (S&amp;P)'!T2867&lt;&gt;"Yes",
        DATEDIF('Loan Tape (S&amp;P)'!K2867, TODAY(), "M")&lt;18),
    1.10,
    1.00)</f>
        <v/>
      </c>
      <c r="O2867">
        <f>IF('Loan Tape (S&amp;P)'!T2867="Yes",
    1.35,
    1.00)</f>
        <v/>
      </c>
      <c r="P2867">
        <f>IF('Loan Tape (S&amp;P)'!S2867="Yes",
    1.15,
    1.00)</f>
        <v/>
      </c>
      <c r="Q2867">
        <f>IF('Loan Tape (S&amp;P)'!V2867="Yes",
    1.20,
    1.00)</f>
        <v/>
      </c>
      <c r="T2867">
        <f>LET(
    payment_method,'Loan Tape (S&amp;P)'!P2867,
    occupancy,'Loan Tape (S&amp;P)'!N2867,
    maturity_date,'Loan Tape (S&amp;P)'!L2867,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68">
      <c r="J2868">
        <f>LET(
    lien,'Loan Tape (S&amp;P)'!Q2868,
    IF(lien="First",1.00,
        IF(lien="Second",1.50,
            1.70)))</f>
        <v/>
      </c>
      <c r="K2868">
        <f>LET(
    purpose,'Loan Tape (S&amp;P)'!R2868,
    IF(purpose="Purchase",1.00,
        IF(purpose="Remortgage",1.00,
            1.20)))</f>
        <v/>
      </c>
      <c r="L2868">
        <f>LET(
    arrears_months,'Loan Tape (S&amp;P)'!AN2868,
    IF(arrears_months=0,1.00,
    IF(arrears_months=1,3.00,
    IF(arrears_months=2,5.00,
    IF(arrears_months=3,8.00,
    IF(arrears_months=4,10.00,
    IF(arrears_months=5,12.00,15.00)))))))</f>
        <v/>
      </c>
      <c r="M2868">
        <f>LET(
    seasoning_years,DATEDIF('Loan Tape (S&amp;P)'!K2868,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68">
        <f>IF(AND('Loan Tape (S&amp;P)'!U2868="Yes",
        'Loan Tape (S&amp;P)'!T2868&lt;&gt;"Yes",
        DATEDIF('Loan Tape (S&amp;P)'!K2868, TODAY(), "M")&lt;18),
    1.10,
    1.00)</f>
        <v/>
      </c>
      <c r="O2868">
        <f>IF('Loan Tape (S&amp;P)'!T2868="Yes",
    1.35,
    1.00)</f>
        <v/>
      </c>
      <c r="P2868">
        <f>IF('Loan Tape (S&amp;P)'!S2868="Yes",
    1.15,
    1.00)</f>
        <v/>
      </c>
      <c r="Q2868">
        <f>IF('Loan Tape (S&amp;P)'!V2868="Yes",
    1.20,
    1.00)</f>
        <v/>
      </c>
      <c r="T2868">
        <f>LET(
    payment_method,'Loan Tape (S&amp;P)'!P2868,
    occupancy,'Loan Tape (S&amp;P)'!N2868,
    maturity_date,'Loan Tape (S&amp;P)'!L2868,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69">
      <c r="J2869">
        <f>LET(
    lien,'Loan Tape (S&amp;P)'!Q2869,
    IF(lien="First",1.00,
        IF(lien="Second",1.50,
            1.70)))</f>
        <v/>
      </c>
      <c r="K2869">
        <f>LET(
    purpose,'Loan Tape (S&amp;P)'!R2869,
    IF(purpose="Purchase",1.00,
        IF(purpose="Remortgage",1.00,
            1.20)))</f>
        <v/>
      </c>
      <c r="L2869">
        <f>LET(
    arrears_months,'Loan Tape (S&amp;P)'!AN2869,
    IF(arrears_months=0,1.00,
    IF(arrears_months=1,3.00,
    IF(arrears_months=2,5.00,
    IF(arrears_months=3,8.00,
    IF(arrears_months=4,10.00,
    IF(arrears_months=5,12.00,15.00)))))))</f>
        <v/>
      </c>
      <c r="M2869">
        <f>LET(
    seasoning_years,DATEDIF('Loan Tape (S&amp;P)'!K2869,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69">
        <f>IF(AND('Loan Tape (S&amp;P)'!U2869="Yes",
        'Loan Tape (S&amp;P)'!T2869&lt;&gt;"Yes",
        DATEDIF('Loan Tape (S&amp;P)'!K2869, TODAY(), "M")&lt;18),
    1.10,
    1.00)</f>
        <v/>
      </c>
      <c r="O2869">
        <f>IF('Loan Tape (S&amp;P)'!T2869="Yes",
    1.35,
    1.00)</f>
        <v/>
      </c>
      <c r="P2869">
        <f>IF('Loan Tape (S&amp;P)'!S2869="Yes",
    1.15,
    1.00)</f>
        <v/>
      </c>
      <c r="Q2869">
        <f>IF('Loan Tape (S&amp;P)'!V2869="Yes",
    1.20,
    1.00)</f>
        <v/>
      </c>
      <c r="T2869">
        <f>LET(
    payment_method,'Loan Tape (S&amp;P)'!P2869,
    occupancy,'Loan Tape (S&amp;P)'!N2869,
    maturity_date,'Loan Tape (S&amp;P)'!L2869,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70">
      <c r="J2870">
        <f>LET(
    lien,'Loan Tape (S&amp;P)'!Q2870,
    IF(lien="First",1.00,
        IF(lien="Second",1.50,
            1.70)))</f>
        <v/>
      </c>
      <c r="K2870">
        <f>LET(
    purpose,'Loan Tape (S&amp;P)'!R2870,
    IF(purpose="Purchase",1.00,
        IF(purpose="Remortgage",1.00,
            1.20)))</f>
        <v/>
      </c>
      <c r="L2870">
        <f>LET(
    arrears_months,'Loan Tape (S&amp;P)'!AN2870,
    IF(arrears_months=0,1.00,
    IF(arrears_months=1,3.00,
    IF(arrears_months=2,5.00,
    IF(arrears_months=3,8.00,
    IF(arrears_months=4,10.00,
    IF(arrears_months=5,12.00,15.00)))))))</f>
        <v/>
      </c>
      <c r="M2870">
        <f>LET(
    seasoning_years,DATEDIF('Loan Tape (S&amp;P)'!K2870,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70">
        <f>IF(AND('Loan Tape (S&amp;P)'!U2870="Yes",
        'Loan Tape (S&amp;P)'!T2870&lt;&gt;"Yes",
        DATEDIF('Loan Tape (S&amp;P)'!K2870, TODAY(), "M")&lt;18),
    1.10,
    1.00)</f>
        <v/>
      </c>
      <c r="O2870">
        <f>IF('Loan Tape (S&amp;P)'!T2870="Yes",
    1.35,
    1.00)</f>
        <v/>
      </c>
      <c r="P2870">
        <f>IF('Loan Tape (S&amp;P)'!S2870="Yes",
    1.15,
    1.00)</f>
        <v/>
      </c>
      <c r="Q2870">
        <f>IF('Loan Tape (S&amp;P)'!V2870="Yes",
    1.20,
    1.00)</f>
        <v/>
      </c>
      <c r="T2870">
        <f>LET(
    payment_method,'Loan Tape (S&amp;P)'!P2870,
    occupancy,'Loan Tape (S&amp;P)'!N2870,
    maturity_date,'Loan Tape (S&amp;P)'!L2870,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71">
      <c r="J2871">
        <f>LET(
    lien,'Loan Tape (S&amp;P)'!Q2871,
    IF(lien="First",1.00,
        IF(lien="Second",1.50,
            1.70)))</f>
        <v/>
      </c>
      <c r="K2871">
        <f>LET(
    purpose,'Loan Tape (S&amp;P)'!R2871,
    IF(purpose="Purchase",1.00,
        IF(purpose="Remortgage",1.00,
            1.20)))</f>
        <v/>
      </c>
      <c r="L2871">
        <f>LET(
    arrears_months,'Loan Tape (S&amp;P)'!AN2871,
    IF(arrears_months=0,1.00,
    IF(arrears_months=1,3.00,
    IF(arrears_months=2,5.00,
    IF(arrears_months=3,8.00,
    IF(arrears_months=4,10.00,
    IF(arrears_months=5,12.00,15.00)))))))</f>
        <v/>
      </c>
      <c r="M2871">
        <f>LET(
    seasoning_years,DATEDIF('Loan Tape (S&amp;P)'!K2871,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71">
        <f>IF(AND('Loan Tape (S&amp;P)'!U2871="Yes",
        'Loan Tape (S&amp;P)'!T2871&lt;&gt;"Yes",
        DATEDIF('Loan Tape (S&amp;P)'!K2871, TODAY(), "M")&lt;18),
    1.10,
    1.00)</f>
        <v/>
      </c>
      <c r="O2871">
        <f>IF('Loan Tape (S&amp;P)'!T2871="Yes",
    1.35,
    1.00)</f>
        <v/>
      </c>
      <c r="P2871">
        <f>IF('Loan Tape (S&amp;P)'!S2871="Yes",
    1.15,
    1.00)</f>
        <v/>
      </c>
      <c r="Q2871">
        <f>IF('Loan Tape (S&amp;P)'!V2871="Yes",
    1.20,
    1.00)</f>
        <v/>
      </c>
      <c r="T2871">
        <f>LET(
    payment_method,'Loan Tape (S&amp;P)'!P2871,
    occupancy,'Loan Tape (S&amp;P)'!N2871,
    maturity_date,'Loan Tape (S&amp;P)'!L2871,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72">
      <c r="J2872">
        <f>LET(
    lien,'Loan Tape (S&amp;P)'!Q2872,
    IF(lien="First",1.00,
        IF(lien="Second",1.50,
            1.70)))</f>
        <v/>
      </c>
      <c r="K2872">
        <f>LET(
    purpose,'Loan Tape (S&amp;P)'!R2872,
    IF(purpose="Purchase",1.00,
        IF(purpose="Remortgage",1.00,
            1.20)))</f>
        <v/>
      </c>
      <c r="L2872">
        <f>LET(
    arrears_months,'Loan Tape (S&amp;P)'!AN2872,
    IF(arrears_months=0,1.00,
    IF(arrears_months=1,3.00,
    IF(arrears_months=2,5.00,
    IF(arrears_months=3,8.00,
    IF(arrears_months=4,10.00,
    IF(arrears_months=5,12.00,15.00)))))))</f>
        <v/>
      </c>
      <c r="M2872">
        <f>LET(
    seasoning_years,DATEDIF('Loan Tape (S&amp;P)'!K2872,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72">
        <f>IF(AND('Loan Tape (S&amp;P)'!U2872="Yes",
        'Loan Tape (S&amp;P)'!T2872&lt;&gt;"Yes",
        DATEDIF('Loan Tape (S&amp;P)'!K2872, TODAY(), "M")&lt;18),
    1.10,
    1.00)</f>
        <v/>
      </c>
      <c r="O2872">
        <f>IF('Loan Tape (S&amp;P)'!T2872="Yes",
    1.35,
    1.00)</f>
        <v/>
      </c>
      <c r="P2872">
        <f>IF('Loan Tape (S&amp;P)'!S2872="Yes",
    1.15,
    1.00)</f>
        <v/>
      </c>
      <c r="Q2872">
        <f>IF('Loan Tape (S&amp;P)'!V2872="Yes",
    1.20,
    1.00)</f>
        <v/>
      </c>
      <c r="T2872">
        <f>LET(
    payment_method,'Loan Tape (S&amp;P)'!P2872,
    occupancy,'Loan Tape (S&amp;P)'!N2872,
    maturity_date,'Loan Tape (S&amp;P)'!L2872,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73">
      <c r="J2873">
        <f>LET(
    lien,'Loan Tape (S&amp;P)'!Q2873,
    IF(lien="First",1.00,
        IF(lien="Second",1.50,
            1.70)))</f>
        <v/>
      </c>
      <c r="K2873">
        <f>LET(
    purpose,'Loan Tape (S&amp;P)'!R2873,
    IF(purpose="Purchase",1.00,
        IF(purpose="Remortgage",1.00,
            1.20)))</f>
        <v/>
      </c>
      <c r="L2873">
        <f>LET(
    arrears_months,'Loan Tape (S&amp;P)'!AN2873,
    IF(arrears_months=0,1.00,
    IF(arrears_months=1,3.00,
    IF(arrears_months=2,5.00,
    IF(arrears_months=3,8.00,
    IF(arrears_months=4,10.00,
    IF(arrears_months=5,12.00,15.00)))))))</f>
        <v/>
      </c>
      <c r="M2873">
        <f>LET(
    seasoning_years,DATEDIF('Loan Tape (S&amp;P)'!K2873,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73">
        <f>IF(AND('Loan Tape (S&amp;P)'!U2873="Yes",
        'Loan Tape (S&amp;P)'!T2873&lt;&gt;"Yes",
        DATEDIF('Loan Tape (S&amp;P)'!K2873, TODAY(), "M")&lt;18),
    1.10,
    1.00)</f>
        <v/>
      </c>
      <c r="O2873">
        <f>IF('Loan Tape (S&amp;P)'!T2873="Yes",
    1.35,
    1.00)</f>
        <v/>
      </c>
      <c r="P2873">
        <f>IF('Loan Tape (S&amp;P)'!S2873="Yes",
    1.15,
    1.00)</f>
        <v/>
      </c>
      <c r="Q2873">
        <f>IF('Loan Tape (S&amp;P)'!V2873="Yes",
    1.20,
    1.00)</f>
        <v/>
      </c>
      <c r="T2873">
        <f>LET(
    payment_method,'Loan Tape (S&amp;P)'!P2873,
    occupancy,'Loan Tape (S&amp;P)'!N2873,
    maturity_date,'Loan Tape (S&amp;P)'!L2873,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74">
      <c r="J2874">
        <f>LET(
    lien,'Loan Tape (S&amp;P)'!Q2874,
    IF(lien="First",1.00,
        IF(lien="Second",1.50,
            1.70)))</f>
        <v/>
      </c>
      <c r="K2874">
        <f>LET(
    purpose,'Loan Tape (S&amp;P)'!R2874,
    IF(purpose="Purchase",1.00,
        IF(purpose="Remortgage",1.00,
            1.20)))</f>
        <v/>
      </c>
      <c r="L2874">
        <f>LET(
    arrears_months,'Loan Tape (S&amp;P)'!AN2874,
    IF(arrears_months=0,1.00,
    IF(arrears_months=1,3.00,
    IF(arrears_months=2,5.00,
    IF(arrears_months=3,8.00,
    IF(arrears_months=4,10.00,
    IF(arrears_months=5,12.00,15.00)))))))</f>
        <v/>
      </c>
      <c r="M2874">
        <f>LET(
    seasoning_years,DATEDIF('Loan Tape (S&amp;P)'!K2874,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74">
        <f>IF(AND('Loan Tape (S&amp;P)'!U2874="Yes",
        'Loan Tape (S&amp;P)'!T2874&lt;&gt;"Yes",
        DATEDIF('Loan Tape (S&amp;P)'!K2874, TODAY(), "M")&lt;18),
    1.10,
    1.00)</f>
        <v/>
      </c>
      <c r="O2874">
        <f>IF('Loan Tape (S&amp;P)'!T2874="Yes",
    1.35,
    1.00)</f>
        <v/>
      </c>
      <c r="P2874">
        <f>IF('Loan Tape (S&amp;P)'!S2874="Yes",
    1.15,
    1.00)</f>
        <v/>
      </c>
      <c r="Q2874">
        <f>IF('Loan Tape (S&amp;P)'!V2874="Yes",
    1.20,
    1.00)</f>
        <v/>
      </c>
      <c r="T2874">
        <f>LET(
    payment_method,'Loan Tape (S&amp;P)'!P2874,
    occupancy,'Loan Tape (S&amp;P)'!N2874,
    maturity_date,'Loan Tape (S&amp;P)'!L2874,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75">
      <c r="J2875">
        <f>LET(
    lien,'Loan Tape (S&amp;P)'!Q2875,
    IF(lien="First",1.00,
        IF(lien="Second",1.50,
            1.70)))</f>
        <v/>
      </c>
      <c r="K2875">
        <f>LET(
    purpose,'Loan Tape (S&amp;P)'!R2875,
    IF(purpose="Purchase",1.00,
        IF(purpose="Remortgage",1.00,
            1.20)))</f>
        <v/>
      </c>
      <c r="L2875">
        <f>LET(
    arrears_months,'Loan Tape (S&amp;P)'!AN2875,
    IF(arrears_months=0,1.00,
    IF(arrears_months=1,3.00,
    IF(arrears_months=2,5.00,
    IF(arrears_months=3,8.00,
    IF(arrears_months=4,10.00,
    IF(arrears_months=5,12.00,15.00)))))))</f>
        <v/>
      </c>
      <c r="M2875">
        <f>LET(
    seasoning_years,DATEDIF('Loan Tape (S&amp;P)'!K2875,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75">
        <f>IF(AND('Loan Tape (S&amp;P)'!U2875="Yes",
        'Loan Tape (S&amp;P)'!T2875&lt;&gt;"Yes",
        DATEDIF('Loan Tape (S&amp;P)'!K2875, TODAY(), "M")&lt;18),
    1.10,
    1.00)</f>
        <v/>
      </c>
      <c r="O2875">
        <f>IF('Loan Tape (S&amp;P)'!T2875="Yes",
    1.35,
    1.00)</f>
        <v/>
      </c>
      <c r="P2875">
        <f>IF('Loan Tape (S&amp;P)'!S2875="Yes",
    1.15,
    1.00)</f>
        <v/>
      </c>
      <c r="Q2875">
        <f>IF('Loan Tape (S&amp;P)'!V2875="Yes",
    1.20,
    1.00)</f>
        <v/>
      </c>
      <c r="T2875">
        <f>LET(
    payment_method,'Loan Tape (S&amp;P)'!P2875,
    occupancy,'Loan Tape (S&amp;P)'!N2875,
    maturity_date,'Loan Tape (S&amp;P)'!L2875,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76">
      <c r="J2876">
        <f>LET(
    lien,'Loan Tape (S&amp;P)'!Q2876,
    IF(lien="First",1.00,
        IF(lien="Second",1.50,
            1.70)))</f>
        <v/>
      </c>
      <c r="K2876">
        <f>LET(
    purpose,'Loan Tape (S&amp;P)'!R2876,
    IF(purpose="Purchase",1.00,
        IF(purpose="Remortgage",1.00,
            1.20)))</f>
        <v/>
      </c>
      <c r="L2876">
        <f>LET(
    arrears_months,'Loan Tape (S&amp;P)'!AN2876,
    IF(arrears_months=0,1.00,
    IF(arrears_months=1,3.00,
    IF(arrears_months=2,5.00,
    IF(arrears_months=3,8.00,
    IF(arrears_months=4,10.00,
    IF(arrears_months=5,12.00,15.00)))))))</f>
        <v/>
      </c>
      <c r="M2876">
        <f>LET(
    seasoning_years,DATEDIF('Loan Tape (S&amp;P)'!K2876,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76">
        <f>IF(AND('Loan Tape (S&amp;P)'!U2876="Yes",
        'Loan Tape (S&amp;P)'!T2876&lt;&gt;"Yes",
        DATEDIF('Loan Tape (S&amp;P)'!K2876, TODAY(), "M")&lt;18),
    1.10,
    1.00)</f>
        <v/>
      </c>
      <c r="O2876">
        <f>IF('Loan Tape (S&amp;P)'!T2876="Yes",
    1.35,
    1.00)</f>
        <v/>
      </c>
      <c r="P2876">
        <f>IF('Loan Tape (S&amp;P)'!S2876="Yes",
    1.15,
    1.00)</f>
        <v/>
      </c>
      <c r="Q2876">
        <f>IF('Loan Tape (S&amp;P)'!V2876="Yes",
    1.20,
    1.00)</f>
        <v/>
      </c>
      <c r="T2876">
        <f>LET(
    payment_method,'Loan Tape (S&amp;P)'!P2876,
    occupancy,'Loan Tape (S&amp;P)'!N2876,
    maturity_date,'Loan Tape (S&amp;P)'!L2876,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77">
      <c r="J2877">
        <f>LET(
    lien,'Loan Tape (S&amp;P)'!Q2877,
    IF(lien="First",1.00,
        IF(lien="Second",1.50,
            1.70)))</f>
        <v/>
      </c>
      <c r="K2877">
        <f>LET(
    purpose,'Loan Tape (S&amp;P)'!R2877,
    IF(purpose="Purchase",1.00,
        IF(purpose="Remortgage",1.00,
            1.20)))</f>
        <v/>
      </c>
      <c r="L2877">
        <f>LET(
    arrears_months,'Loan Tape (S&amp;P)'!AN2877,
    IF(arrears_months=0,1.00,
    IF(arrears_months=1,3.00,
    IF(arrears_months=2,5.00,
    IF(arrears_months=3,8.00,
    IF(arrears_months=4,10.00,
    IF(arrears_months=5,12.00,15.00)))))))</f>
        <v/>
      </c>
      <c r="M2877">
        <f>LET(
    seasoning_years,DATEDIF('Loan Tape (S&amp;P)'!K2877,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77">
        <f>IF(AND('Loan Tape (S&amp;P)'!U2877="Yes",
        'Loan Tape (S&amp;P)'!T2877&lt;&gt;"Yes",
        DATEDIF('Loan Tape (S&amp;P)'!K2877, TODAY(), "M")&lt;18),
    1.10,
    1.00)</f>
        <v/>
      </c>
      <c r="O2877">
        <f>IF('Loan Tape (S&amp;P)'!T2877="Yes",
    1.35,
    1.00)</f>
        <v/>
      </c>
      <c r="P2877">
        <f>IF('Loan Tape (S&amp;P)'!S2877="Yes",
    1.15,
    1.00)</f>
        <v/>
      </c>
      <c r="Q2877">
        <f>IF('Loan Tape (S&amp;P)'!V2877="Yes",
    1.20,
    1.00)</f>
        <v/>
      </c>
      <c r="T2877">
        <f>LET(
    payment_method,'Loan Tape (S&amp;P)'!P2877,
    occupancy,'Loan Tape (S&amp;P)'!N2877,
    maturity_date,'Loan Tape (S&amp;P)'!L2877,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78">
      <c r="J2878">
        <f>LET(
    lien,'Loan Tape (S&amp;P)'!Q2878,
    IF(lien="First",1.00,
        IF(lien="Second",1.50,
            1.70)))</f>
        <v/>
      </c>
      <c r="K2878">
        <f>LET(
    purpose,'Loan Tape (S&amp;P)'!R2878,
    IF(purpose="Purchase",1.00,
        IF(purpose="Remortgage",1.00,
            1.20)))</f>
        <v/>
      </c>
      <c r="L2878">
        <f>LET(
    arrears_months,'Loan Tape (S&amp;P)'!AN2878,
    IF(arrears_months=0,1.00,
    IF(arrears_months=1,3.00,
    IF(arrears_months=2,5.00,
    IF(arrears_months=3,8.00,
    IF(arrears_months=4,10.00,
    IF(arrears_months=5,12.00,15.00)))))))</f>
        <v/>
      </c>
      <c r="M2878">
        <f>LET(
    seasoning_years,DATEDIF('Loan Tape (S&amp;P)'!K2878,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78">
        <f>IF(AND('Loan Tape (S&amp;P)'!U2878="Yes",
        'Loan Tape (S&amp;P)'!T2878&lt;&gt;"Yes",
        DATEDIF('Loan Tape (S&amp;P)'!K2878, TODAY(), "M")&lt;18),
    1.10,
    1.00)</f>
        <v/>
      </c>
      <c r="O2878">
        <f>IF('Loan Tape (S&amp;P)'!T2878="Yes",
    1.35,
    1.00)</f>
        <v/>
      </c>
      <c r="P2878">
        <f>IF('Loan Tape (S&amp;P)'!S2878="Yes",
    1.15,
    1.00)</f>
        <v/>
      </c>
      <c r="Q2878">
        <f>IF('Loan Tape (S&amp;P)'!V2878="Yes",
    1.20,
    1.00)</f>
        <v/>
      </c>
      <c r="T2878">
        <f>LET(
    payment_method,'Loan Tape (S&amp;P)'!P2878,
    occupancy,'Loan Tape (S&amp;P)'!N2878,
    maturity_date,'Loan Tape (S&amp;P)'!L2878,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79">
      <c r="J2879">
        <f>LET(
    lien,'Loan Tape (S&amp;P)'!Q2879,
    IF(lien="First",1.00,
        IF(lien="Second",1.50,
            1.70)))</f>
        <v/>
      </c>
      <c r="K2879">
        <f>LET(
    purpose,'Loan Tape (S&amp;P)'!R2879,
    IF(purpose="Purchase",1.00,
        IF(purpose="Remortgage",1.00,
            1.20)))</f>
        <v/>
      </c>
      <c r="L2879">
        <f>LET(
    arrears_months,'Loan Tape (S&amp;P)'!AN2879,
    IF(arrears_months=0,1.00,
    IF(arrears_months=1,3.00,
    IF(arrears_months=2,5.00,
    IF(arrears_months=3,8.00,
    IF(arrears_months=4,10.00,
    IF(arrears_months=5,12.00,15.00)))))))</f>
        <v/>
      </c>
      <c r="M2879">
        <f>LET(
    seasoning_years,DATEDIF('Loan Tape (S&amp;P)'!K2879,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79">
        <f>IF(AND('Loan Tape (S&amp;P)'!U2879="Yes",
        'Loan Tape (S&amp;P)'!T2879&lt;&gt;"Yes",
        DATEDIF('Loan Tape (S&amp;P)'!K2879, TODAY(), "M")&lt;18),
    1.10,
    1.00)</f>
        <v/>
      </c>
      <c r="O2879">
        <f>IF('Loan Tape (S&amp;P)'!T2879="Yes",
    1.35,
    1.00)</f>
        <v/>
      </c>
      <c r="P2879">
        <f>IF('Loan Tape (S&amp;P)'!S2879="Yes",
    1.15,
    1.00)</f>
        <v/>
      </c>
      <c r="Q2879">
        <f>IF('Loan Tape (S&amp;P)'!V2879="Yes",
    1.20,
    1.00)</f>
        <v/>
      </c>
      <c r="T2879">
        <f>LET(
    payment_method,'Loan Tape (S&amp;P)'!P2879,
    occupancy,'Loan Tape (S&amp;P)'!N2879,
    maturity_date,'Loan Tape (S&amp;P)'!L2879,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80">
      <c r="J2880">
        <f>LET(
    lien,'Loan Tape (S&amp;P)'!Q2880,
    IF(lien="First",1.00,
        IF(lien="Second",1.50,
            1.70)))</f>
        <v/>
      </c>
      <c r="K2880">
        <f>LET(
    purpose,'Loan Tape (S&amp;P)'!R2880,
    IF(purpose="Purchase",1.00,
        IF(purpose="Remortgage",1.00,
            1.20)))</f>
        <v/>
      </c>
      <c r="L2880">
        <f>LET(
    arrears_months,'Loan Tape (S&amp;P)'!AN2880,
    IF(arrears_months=0,1.00,
    IF(arrears_months=1,3.00,
    IF(arrears_months=2,5.00,
    IF(arrears_months=3,8.00,
    IF(arrears_months=4,10.00,
    IF(arrears_months=5,12.00,15.00)))))))</f>
        <v/>
      </c>
      <c r="M2880">
        <f>LET(
    seasoning_years,DATEDIF('Loan Tape (S&amp;P)'!K2880,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80">
        <f>IF(AND('Loan Tape (S&amp;P)'!U2880="Yes",
        'Loan Tape (S&amp;P)'!T2880&lt;&gt;"Yes",
        DATEDIF('Loan Tape (S&amp;P)'!K2880, TODAY(), "M")&lt;18),
    1.10,
    1.00)</f>
        <v/>
      </c>
      <c r="O2880">
        <f>IF('Loan Tape (S&amp;P)'!T2880="Yes",
    1.35,
    1.00)</f>
        <v/>
      </c>
      <c r="P2880">
        <f>IF('Loan Tape (S&amp;P)'!S2880="Yes",
    1.15,
    1.00)</f>
        <v/>
      </c>
      <c r="Q2880">
        <f>IF('Loan Tape (S&amp;P)'!V2880="Yes",
    1.20,
    1.00)</f>
        <v/>
      </c>
      <c r="T2880">
        <f>LET(
    payment_method,'Loan Tape (S&amp;P)'!P2880,
    occupancy,'Loan Tape (S&amp;P)'!N2880,
    maturity_date,'Loan Tape (S&amp;P)'!L2880,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81">
      <c r="J2881">
        <f>LET(
    lien,'Loan Tape (S&amp;P)'!Q2881,
    IF(lien="First",1.00,
        IF(lien="Second",1.50,
            1.70)))</f>
        <v/>
      </c>
      <c r="K2881">
        <f>LET(
    purpose,'Loan Tape (S&amp;P)'!R2881,
    IF(purpose="Purchase",1.00,
        IF(purpose="Remortgage",1.00,
            1.20)))</f>
        <v/>
      </c>
      <c r="L2881">
        <f>LET(
    arrears_months,'Loan Tape (S&amp;P)'!AN2881,
    IF(arrears_months=0,1.00,
    IF(arrears_months=1,3.00,
    IF(arrears_months=2,5.00,
    IF(arrears_months=3,8.00,
    IF(arrears_months=4,10.00,
    IF(arrears_months=5,12.00,15.00)))))))</f>
        <v/>
      </c>
      <c r="M2881">
        <f>LET(
    seasoning_years,DATEDIF('Loan Tape (S&amp;P)'!K2881,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81">
        <f>IF(AND('Loan Tape (S&amp;P)'!U2881="Yes",
        'Loan Tape (S&amp;P)'!T2881&lt;&gt;"Yes",
        DATEDIF('Loan Tape (S&amp;P)'!K2881, TODAY(), "M")&lt;18),
    1.10,
    1.00)</f>
        <v/>
      </c>
      <c r="O2881">
        <f>IF('Loan Tape (S&amp;P)'!T2881="Yes",
    1.35,
    1.00)</f>
        <v/>
      </c>
      <c r="P2881">
        <f>IF('Loan Tape (S&amp;P)'!S2881="Yes",
    1.15,
    1.00)</f>
        <v/>
      </c>
      <c r="Q2881">
        <f>IF('Loan Tape (S&amp;P)'!V2881="Yes",
    1.20,
    1.00)</f>
        <v/>
      </c>
      <c r="T2881">
        <f>LET(
    payment_method,'Loan Tape (S&amp;P)'!P2881,
    occupancy,'Loan Tape (S&amp;P)'!N2881,
    maturity_date,'Loan Tape (S&amp;P)'!L2881,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82">
      <c r="J2882">
        <f>LET(
    lien,'Loan Tape (S&amp;P)'!Q2882,
    IF(lien="First",1.00,
        IF(lien="Second",1.50,
            1.70)))</f>
        <v/>
      </c>
      <c r="K2882">
        <f>LET(
    purpose,'Loan Tape (S&amp;P)'!R2882,
    IF(purpose="Purchase",1.00,
        IF(purpose="Remortgage",1.00,
            1.20)))</f>
        <v/>
      </c>
      <c r="L2882">
        <f>LET(
    arrears_months,'Loan Tape (S&amp;P)'!AN2882,
    IF(arrears_months=0,1.00,
    IF(arrears_months=1,3.00,
    IF(arrears_months=2,5.00,
    IF(arrears_months=3,8.00,
    IF(arrears_months=4,10.00,
    IF(arrears_months=5,12.00,15.00)))))))</f>
        <v/>
      </c>
      <c r="M2882">
        <f>LET(
    seasoning_years,DATEDIF('Loan Tape (S&amp;P)'!K2882,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82">
        <f>IF(AND('Loan Tape (S&amp;P)'!U2882="Yes",
        'Loan Tape (S&amp;P)'!T2882&lt;&gt;"Yes",
        DATEDIF('Loan Tape (S&amp;P)'!K2882, TODAY(), "M")&lt;18),
    1.10,
    1.00)</f>
        <v/>
      </c>
      <c r="O2882">
        <f>IF('Loan Tape (S&amp;P)'!T2882="Yes",
    1.35,
    1.00)</f>
        <v/>
      </c>
      <c r="P2882">
        <f>IF('Loan Tape (S&amp;P)'!S2882="Yes",
    1.15,
    1.00)</f>
        <v/>
      </c>
      <c r="Q2882">
        <f>IF('Loan Tape (S&amp;P)'!V2882="Yes",
    1.20,
    1.00)</f>
        <v/>
      </c>
      <c r="T2882">
        <f>LET(
    payment_method,'Loan Tape (S&amp;P)'!P2882,
    occupancy,'Loan Tape (S&amp;P)'!N2882,
    maturity_date,'Loan Tape (S&amp;P)'!L2882,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83">
      <c r="J2883">
        <f>LET(
    lien,'Loan Tape (S&amp;P)'!Q2883,
    IF(lien="First",1.00,
        IF(lien="Second",1.50,
            1.70)))</f>
        <v/>
      </c>
      <c r="K2883">
        <f>LET(
    purpose,'Loan Tape (S&amp;P)'!R2883,
    IF(purpose="Purchase",1.00,
        IF(purpose="Remortgage",1.00,
            1.20)))</f>
        <v/>
      </c>
      <c r="L2883">
        <f>LET(
    arrears_months,'Loan Tape (S&amp;P)'!AN2883,
    IF(arrears_months=0,1.00,
    IF(arrears_months=1,3.00,
    IF(arrears_months=2,5.00,
    IF(arrears_months=3,8.00,
    IF(arrears_months=4,10.00,
    IF(arrears_months=5,12.00,15.00)))))))</f>
        <v/>
      </c>
      <c r="M2883">
        <f>LET(
    seasoning_years,DATEDIF('Loan Tape (S&amp;P)'!K2883,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83">
        <f>IF(AND('Loan Tape (S&amp;P)'!U2883="Yes",
        'Loan Tape (S&amp;P)'!T2883&lt;&gt;"Yes",
        DATEDIF('Loan Tape (S&amp;P)'!K2883, TODAY(), "M")&lt;18),
    1.10,
    1.00)</f>
        <v/>
      </c>
      <c r="O2883">
        <f>IF('Loan Tape (S&amp;P)'!T2883="Yes",
    1.35,
    1.00)</f>
        <v/>
      </c>
      <c r="P2883">
        <f>IF('Loan Tape (S&amp;P)'!S2883="Yes",
    1.15,
    1.00)</f>
        <v/>
      </c>
      <c r="Q2883">
        <f>IF('Loan Tape (S&amp;P)'!V2883="Yes",
    1.20,
    1.00)</f>
        <v/>
      </c>
      <c r="T2883">
        <f>LET(
    payment_method,'Loan Tape (S&amp;P)'!P2883,
    occupancy,'Loan Tape (S&amp;P)'!N2883,
    maturity_date,'Loan Tape (S&amp;P)'!L2883,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84">
      <c r="J2884">
        <f>LET(
    lien,'Loan Tape (S&amp;P)'!Q2884,
    IF(lien="First",1.00,
        IF(lien="Second",1.50,
            1.70)))</f>
        <v/>
      </c>
      <c r="K2884">
        <f>LET(
    purpose,'Loan Tape (S&amp;P)'!R2884,
    IF(purpose="Purchase",1.00,
        IF(purpose="Remortgage",1.00,
            1.20)))</f>
        <v/>
      </c>
      <c r="L2884">
        <f>LET(
    arrears_months,'Loan Tape (S&amp;P)'!AN2884,
    IF(arrears_months=0,1.00,
    IF(arrears_months=1,3.00,
    IF(arrears_months=2,5.00,
    IF(arrears_months=3,8.00,
    IF(arrears_months=4,10.00,
    IF(arrears_months=5,12.00,15.00)))))))</f>
        <v/>
      </c>
      <c r="M2884">
        <f>LET(
    seasoning_years,DATEDIF('Loan Tape (S&amp;P)'!K2884,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84">
        <f>IF(AND('Loan Tape (S&amp;P)'!U2884="Yes",
        'Loan Tape (S&amp;P)'!T2884&lt;&gt;"Yes",
        DATEDIF('Loan Tape (S&amp;P)'!K2884, TODAY(), "M")&lt;18),
    1.10,
    1.00)</f>
        <v/>
      </c>
      <c r="O2884">
        <f>IF('Loan Tape (S&amp;P)'!T2884="Yes",
    1.35,
    1.00)</f>
        <v/>
      </c>
      <c r="P2884">
        <f>IF('Loan Tape (S&amp;P)'!S2884="Yes",
    1.15,
    1.00)</f>
        <v/>
      </c>
      <c r="Q2884">
        <f>IF('Loan Tape (S&amp;P)'!V2884="Yes",
    1.20,
    1.00)</f>
        <v/>
      </c>
      <c r="T2884">
        <f>LET(
    payment_method,'Loan Tape (S&amp;P)'!P2884,
    occupancy,'Loan Tape (S&amp;P)'!N2884,
    maturity_date,'Loan Tape (S&amp;P)'!L2884,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85">
      <c r="J2885">
        <f>LET(
    lien,'Loan Tape (S&amp;P)'!Q2885,
    IF(lien="First",1.00,
        IF(lien="Second",1.50,
            1.70)))</f>
        <v/>
      </c>
      <c r="K2885">
        <f>LET(
    purpose,'Loan Tape (S&amp;P)'!R2885,
    IF(purpose="Purchase",1.00,
        IF(purpose="Remortgage",1.00,
            1.20)))</f>
        <v/>
      </c>
      <c r="L2885">
        <f>LET(
    arrears_months,'Loan Tape (S&amp;P)'!AN2885,
    IF(arrears_months=0,1.00,
    IF(arrears_months=1,3.00,
    IF(arrears_months=2,5.00,
    IF(arrears_months=3,8.00,
    IF(arrears_months=4,10.00,
    IF(arrears_months=5,12.00,15.00)))))))</f>
        <v/>
      </c>
      <c r="M2885">
        <f>LET(
    seasoning_years,DATEDIF('Loan Tape (S&amp;P)'!K2885,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85">
        <f>IF(AND('Loan Tape (S&amp;P)'!U2885="Yes",
        'Loan Tape (S&amp;P)'!T2885&lt;&gt;"Yes",
        DATEDIF('Loan Tape (S&amp;P)'!K2885, TODAY(), "M")&lt;18),
    1.10,
    1.00)</f>
        <v/>
      </c>
      <c r="O2885">
        <f>IF('Loan Tape (S&amp;P)'!T2885="Yes",
    1.35,
    1.00)</f>
        <v/>
      </c>
      <c r="P2885">
        <f>IF('Loan Tape (S&amp;P)'!S2885="Yes",
    1.15,
    1.00)</f>
        <v/>
      </c>
      <c r="Q2885">
        <f>IF('Loan Tape (S&amp;P)'!V2885="Yes",
    1.20,
    1.00)</f>
        <v/>
      </c>
      <c r="T2885">
        <f>LET(
    payment_method,'Loan Tape (S&amp;P)'!P2885,
    occupancy,'Loan Tape (S&amp;P)'!N2885,
    maturity_date,'Loan Tape (S&amp;P)'!L2885,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86">
      <c r="J2886">
        <f>LET(
    lien,'Loan Tape (S&amp;P)'!Q2886,
    IF(lien="First",1.00,
        IF(lien="Second",1.50,
            1.70)))</f>
        <v/>
      </c>
      <c r="K2886">
        <f>LET(
    purpose,'Loan Tape (S&amp;P)'!R2886,
    IF(purpose="Purchase",1.00,
        IF(purpose="Remortgage",1.00,
            1.20)))</f>
        <v/>
      </c>
      <c r="L2886">
        <f>LET(
    arrears_months,'Loan Tape (S&amp;P)'!AN2886,
    IF(arrears_months=0,1.00,
    IF(arrears_months=1,3.00,
    IF(arrears_months=2,5.00,
    IF(arrears_months=3,8.00,
    IF(arrears_months=4,10.00,
    IF(arrears_months=5,12.00,15.00)))))))</f>
        <v/>
      </c>
      <c r="M2886">
        <f>LET(
    seasoning_years,DATEDIF('Loan Tape (S&amp;P)'!K2886,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86">
        <f>IF(AND('Loan Tape (S&amp;P)'!U2886="Yes",
        'Loan Tape (S&amp;P)'!T2886&lt;&gt;"Yes",
        DATEDIF('Loan Tape (S&amp;P)'!K2886, TODAY(), "M")&lt;18),
    1.10,
    1.00)</f>
        <v/>
      </c>
      <c r="O2886">
        <f>IF('Loan Tape (S&amp;P)'!T2886="Yes",
    1.35,
    1.00)</f>
        <v/>
      </c>
      <c r="P2886">
        <f>IF('Loan Tape (S&amp;P)'!S2886="Yes",
    1.15,
    1.00)</f>
        <v/>
      </c>
      <c r="Q2886">
        <f>IF('Loan Tape (S&amp;P)'!V2886="Yes",
    1.20,
    1.00)</f>
        <v/>
      </c>
      <c r="T2886">
        <f>LET(
    payment_method,'Loan Tape (S&amp;P)'!P2886,
    occupancy,'Loan Tape (S&amp;P)'!N2886,
    maturity_date,'Loan Tape (S&amp;P)'!L2886,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87">
      <c r="J2887">
        <f>LET(
    lien,'Loan Tape (S&amp;P)'!Q2887,
    IF(lien="First",1.00,
        IF(lien="Second",1.50,
            1.70)))</f>
        <v/>
      </c>
      <c r="K2887">
        <f>LET(
    purpose,'Loan Tape (S&amp;P)'!R2887,
    IF(purpose="Purchase",1.00,
        IF(purpose="Remortgage",1.00,
            1.20)))</f>
        <v/>
      </c>
      <c r="L2887">
        <f>LET(
    arrears_months,'Loan Tape (S&amp;P)'!AN2887,
    IF(arrears_months=0,1.00,
    IF(arrears_months=1,3.00,
    IF(arrears_months=2,5.00,
    IF(arrears_months=3,8.00,
    IF(arrears_months=4,10.00,
    IF(arrears_months=5,12.00,15.00)))))))</f>
        <v/>
      </c>
      <c r="M2887">
        <f>LET(
    seasoning_years,DATEDIF('Loan Tape (S&amp;P)'!K2887,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87">
        <f>IF(AND('Loan Tape (S&amp;P)'!U2887="Yes",
        'Loan Tape (S&amp;P)'!T2887&lt;&gt;"Yes",
        DATEDIF('Loan Tape (S&amp;P)'!K2887, TODAY(), "M")&lt;18),
    1.10,
    1.00)</f>
        <v/>
      </c>
      <c r="O2887">
        <f>IF('Loan Tape (S&amp;P)'!T2887="Yes",
    1.35,
    1.00)</f>
        <v/>
      </c>
      <c r="P2887">
        <f>IF('Loan Tape (S&amp;P)'!S2887="Yes",
    1.15,
    1.00)</f>
        <v/>
      </c>
      <c r="Q2887">
        <f>IF('Loan Tape (S&amp;P)'!V2887="Yes",
    1.20,
    1.00)</f>
        <v/>
      </c>
      <c r="T2887">
        <f>LET(
    payment_method,'Loan Tape (S&amp;P)'!P2887,
    occupancy,'Loan Tape (S&amp;P)'!N2887,
    maturity_date,'Loan Tape (S&amp;P)'!L2887,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88">
      <c r="J2888">
        <f>LET(
    lien,'Loan Tape (S&amp;P)'!Q2888,
    IF(lien="First",1.00,
        IF(lien="Second",1.50,
            1.70)))</f>
        <v/>
      </c>
      <c r="K2888">
        <f>LET(
    purpose,'Loan Tape (S&amp;P)'!R2888,
    IF(purpose="Purchase",1.00,
        IF(purpose="Remortgage",1.00,
            1.20)))</f>
        <v/>
      </c>
      <c r="L2888">
        <f>LET(
    arrears_months,'Loan Tape (S&amp;P)'!AN2888,
    IF(arrears_months=0,1.00,
    IF(arrears_months=1,3.00,
    IF(arrears_months=2,5.00,
    IF(arrears_months=3,8.00,
    IF(arrears_months=4,10.00,
    IF(arrears_months=5,12.00,15.00)))))))</f>
        <v/>
      </c>
      <c r="M2888">
        <f>LET(
    seasoning_years,DATEDIF('Loan Tape (S&amp;P)'!K2888,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88">
        <f>IF(AND('Loan Tape (S&amp;P)'!U2888="Yes",
        'Loan Tape (S&amp;P)'!T2888&lt;&gt;"Yes",
        DATEDIF('Loan Tape (S&amp;P)'!K2888, TODAY(), "M")&lt;18),
    1.10,
    1.00)</f>
        <v/>
      </c>
      <c r="O2888">
        <f>IF('Loan Tape (S&amp;P)'!T2888="Yes",
    1.35,
    1.00)</f>
        <v/>
      </c>
      <c r="P2888">
        <f>IF('Loan Tape (S&amp;P)'!S2888="Yes",
    1.15,
    1.00)</f>
        <v/>
      </c>
      <c r="Q2888">
        <f>IF('Loan Tape (S&amp;P)'!V2888="Yes",
    1.20,
    1.00)</f>
        <v/>
      </c>
      <c r="T2888">
        <f>LET(
    payment_method,'Loan Tape (S&amp;P)'!P2888,
    occupancy,'Loan Tape (S&amp;P)'!N2888,
    maturity_date,'Loan Tape (S&amp;P)'!L2888,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89">
      <c r="J2889">
        <f>LET(
    lien,'Loan Tape (S&amp;P)'!Q2889,
    IF(lien="First",1.00,
        IF(lien="Second",1.50,
            1.70)))</f>
        <v/>
      </c>
      <c r="K2889">
        <f>LET(
    purpose,'Loan Tape (S&amp;P)'!R2889,
    IF(purpose="Purchase",1.00,
        IF(purpose="Remortgage",1.00,
            1.20)))</f>
        <v/>
      </c>
      <c r="L2889">
        <f>LET(
    arrears_months,'Loan Tape (S&amp;P)'!AN2889,
    IF(arrears_months=0,1.00,
    IF(arrears_months=1,3.00,
    IF(arrears_months=2,5.00,
    IF(arrears_months=3,8.00,
    IF(arrears_months=4,10.00,
    IF(arrears_months=5,12.00,15.00)))))))</f>
        <v/>
      </c>
      <c r="M2889">
        <f>LET(
    seasoning_years,DATEDIF('Loan Tape (S&amp;P)'!K2889,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89">
        <f>IF(AND('Loan Tape (S&amp;P)'!U2889="Yes",
        'Loan Tape (S&amp;P)'!T2889&lt;&gt;"Yes",
        DATEDIF('Loan Tape (S&amp;P)'!K2889, TODAY(), "M")&lt;18),
    1.10,
    1.00)</f>
        <v/>
      </c>
      <c r="O2889">
        <f>IF('Loan Tape (S&amp;P)'!T2889="Yes",
    1.35,
    1.00)</f>
        <v/>
      </c>
      <c r="P2889">
        <f>IF('Loan Tape (S&amp;P)'!S2889="Yes",
    1.15,
    1.00)</f>
        <v/>
      </c>
      <c r="Q2889">
        <f>IF('Loan Tape (S&amp;P)'!V2889="Yes",
    1.20,
    1.00)</f>
        <v/>
      </c>
      <c r="T2889">
        <f>LET(
    payment_method,'Loan Tape (S&amp;P)'!P2889,
    occupancy,'Loan Tape (S&amp;P)'!N2889,
    maturity_date,'Loan Tape (S&amp;P)'!L2889,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90">
      <c r="J2890">
        <f>LET(
    lien,'Loan Tape (S&amp;P)'!Q2890,
    IF(lien="First",1.00,
        IF(lien="Second",1.50,
            1.70)))</f>
        <v/>
      </c>
      <c r="K2890">
        <f>LET(
    purpose,'Loan Tape (S&amp;P)'!R2890,
    IF(purpose="Purchase",1.00,
        IF(purpose="Remortgage",1.00,
            1.20)))</f>
        <v/>
      </c>
      <c r="L2890">
        <f>LET(
    arrears_months,'Loan Tape (S&amp;P)'!AN2890,
    IF(arrears_months=0,1.00,
    IF(arrears_months=1,3.00,
    IF(arrears_months=2,5.00,
    IF(arrears_months=3,8.00,
    IF(arrears_months=4,10.00,
    IF(arrears_months=5,12.00,15.00)))))))</f>
        <v/>
      </c>
      <c r="M2890">
        <f>LET(
    seasoning_years,DATEDIF('Loan Tape (S&amp;P)'!K2890,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90">
        <f>IF(AND('Loan Tape (S&amp;P)'!U2890="Yes",
        'Loan Tape (S&amp;P)'!T2890&lt;&gt;"Yes",
        DATEDIF('Loan Tape (S&amp;P)'!K2890, TODAY(), "M")&lt;18),
    1.10,
    1.00)</f>
        <v/>
      </c>
      <c r="O2890">
        <f>IF('Loan Tape (S&amp;P)'!T2890="Yes",
    1.35,
    1.00)</f>
        <v/>
      </c>
      <c r="P2890">
        <f>IF('Loan Tape (S&amp;P)'!S2890="Yes",
    1.15,
    1.00)</f>
        <v/>
      </c>
      <c r="Q2890">
        <f>IF('Loan Tape (S&amp;P)'!V2890="Yes",
    1.20,
    1.00)</f>
        <v/>
      </c>
      <c r="T2890">
        <f>LET(
    payment_method,'Loan Tape (S&amp;P)'!P2890,
    occupancy,'Loan Tape (S&amp;P)'!N2890,
    maturity_date,'Loan Tape (S&amp;P)'!L2890,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91">
      <c r="J2891">
        <f>LET(
    lien,'Loan Tape (S&amp;P)'!Q2891,
    IF(lien="First",1.00,
        IF(lien="Second",1.50,
            1.70)))</f>
        <v/>
      </c>
      <c r="K2891">
        <f>LET(
    purpose,'Loan Tape (S&amp;P)'!R2891,
    IF(purpose="Purchase",1.00,
        IF(purpose="Remortgage",1.00,
            1.20)))</f>
        <v/>
      </c>
      <c r="L2891">
        <f>LET(
    arrears_months,'Loan Tape (S&amp;P)'!AN2891,
    IF(arrears_months=0,1.00,
    IF(arrears_months=1,3.00,
    IF(arrears_months=2,5.00,
    IF(arrears_months=3,8.00,
    IF(arrears_months=4,10.00,
    IF(arrears_months=5,12.00,15.00)))))))</f>
        <v/>
      </c>
      <c r="M2891">
        <f>LET(
    seasoning_years,DATEDIF('Loan Tape (S&amp;P)'!K2891,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91">
        <f>IF(AND('Loan Tape (S&amp;P)'!U2891="Yes",
        'Loan Tape (S&amp;P)'!T2891&lt;&gt;"Yes",
        DATEDIF('Loan Tape (S&amp;P)'!K2891, TODAY(), "M")&lt;18),
    1.10,
    1.00)</f>
        <v/>
      </c>
      <c r="O2891">
        <f>IF('Loan Tape (S&amp;P)'!T2891="Yes",
    1.35,
    1.00)</f>
        <v/>
      </c>
      <c r="P2891">
        <f>IF('Loan Tape (S&amp;P)'!S2891="Yes",
    1.15,
    1.00)</f>
        <v/>
      </c>
      <c r="Q2891">
        <f>IF('Loan Tape (S&amp;P)'!V2891="Yes",
    1.20,
    1.00)</f>
        <v/>
      </c>
      <c r="T2891">
        <f>LET(
    payment_method,'Loan Tape (S&amp;P)'!P2891,
    occupancy,'Loan Tape (S&amp;P)'!N2891,
    maturity_date,'Loan Tape (S&amp;P)'!L2891,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92">
      <c r="J2892">
        <f>LET(
    lien,'Loan Tape (S&amp;P)'!Q2892,
    IF(lien="First",1.00,
        IF(lien="Second",1.50,
            1.70)))</f>
        <v/>
      </c>
      <c r="K2892">
        <f>LET(
    purpose,'Loan Tape (S&amp;P)'!R2892,
    IF(purpose="Purchase",1.00,
        IF(purpose="Remortgage",1.00,
            1.20)))</f>
        <v/>
      </c>
      <c r="L2892">
        <f>LET(
    arrears_months,'Loan Tape (S&amp;P)'!AN2892,
    IF(arrears_months=0,1.00,
    IF(arrears_months=1,3.00,
    IF(arrears_months=2,5.00,
    IF(arrears_months=3,8.00,
    IF(arrears_months=4,10.00,
    IF(arrears_months=5,12.00,15.00)))))))</f>
        <v/>
      </c>
      <c r="M2892">
        <f>LET(
    seasoning_years,DATEDIF('Loan Tape (S&amp;P)'!K2892,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92">
        <f>IF(AND('Loan Tape (S&amp;P)'!U2892="Yes",
        'Loan Tape (S&amp;P)'!T2892&lt;&gt;"Yes",
        DATEDIF('Loan Tape (S&amp;P)'!K2892, TODAY(), "M")&lt;18),
    1.10,
    1.00)</f>
        <v/>
      </c>
      <c r="O2892">
        <f>IF('Loan Tape (S&amp;P)'!T2892="Yes",
    1.35,
    1.00)</f>
        <v/>
      </c>
      <c r="P2892">
        <f>IF('Loan Tape (S&amp;P)'!S2892="Yes",
    1.15,
    1.00)</f>
        <v/>
      </c>
      <c r="Q2892">
        <f>IF('Loan Tape (S&amp;P)'!V2892="Yes",
    1.20,
    1.00)</f>
        <v/>
      </c>
      <c r="T2892">
        <f>LET(
    payment_method,'Loan Tape (S&amp;P)'!P2892,
    occupancy,'Loan Tape (S&amp;P)'!N2892,
    maturity_date,'Loan Tape (S&amp;P)'!L2892,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93">
      <c r="J2893">
        <f>LET(
    lien,'Loan Tape (S&amp;P)'!Q2893,
    IF(lien="First",1.00,
        IF(lien="Second",1.50,
            1.70)))</f>
        <v/>
      </c>
      <c r="K2893">
        <f>LET(
    purpose,'Loan Tape (S&amp;P)'!R2893,
    IF(purpose="Purchase",1.00,
        IF(purpose="Remortgage",1.00,
            1.20)))</f>
        <v/>
      </c>
      <c r="L2893">
        <f>LET(
    arrears_months,'Loan Tape (S&amp;P)'!AN2893,
    IF(arrears_months=0,1.00,
    IF(arrears_months=1,3.00,
    IF(arrears_months=2,5.00,
    IF(arrears_months=3,8.00,
    IF(arrears_months=4,10.00,
    IF(arrears_months=5,12.00,15.00)))))))</f>
        <v/>
      </c>
      <c r="M2893">
        <f>LET(
    seasoning_years,DATEDIF('Loan Tape (S&amp;P)'!K2893,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93">
        <f>IF(AND('Loan Tape (S&amp;P)'!U2893="Yes",
        'Loan Tape (S&amp;P)'!T2893&lt;&gt;"Yes",
        DATEDIF('Loan Tape (S&amp;P)'!K2893, TODAY(), "M")&lt;18),
    1.10,
    1.00)</f>
        <v/>
      </c>
      <c r="O2893">
        <f>IF('Loan Tape (S&amp;P)'!T2893="Yes",
    1.35,
    1.00)</f>
        <v/>
      </c>
      <c r="P2893">
        <f>IF('Loan Tape (S&amp;P)'!S2893="Yes",
    1.15,
    1.00)</f>
        <v/>
      </c>
      <c r="Q2893">
        <f>IF('Loan Tape (S&amp;P)'!V2893="Yes",
    1.20,
    1.00)</f>
        <v/>
      </c>
      <c r="T2893">
        <f>LET(
    payment_method,'Loan Tape (S&amp;P)'!P2893,
    occupancy,'Loan Tape (S&amp;P)'!N2893,
    maturity_date,'Loan Tape (S&amp;P)'!L2893,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94">
      <c r="J2894">
        <f>LET(
    lien,'Loan Tape (S&amp;P)'!Q2894,
    IF(lien="First",1.00,
        IF(lien="Second",1.50,
            1.70)))</f>
        <v/>
      </c>
      <c r="K2894">
        <f>LET(
    purpose,'Loan Tape (S&amp;P)'!R2894,
    IF(purpose="Purchase",1.00,
        IF(purpose="Remortgage",1.00,
            1.20)))</f>
        <v/>
      </c>
      <c r="L2894">
        <f>LET(
    arrears_months,'Loan Tape (S&amp;P)'!AN2894,
    IF(arrears_months=0,1.00,
    IF(arrears_months=1,3.00,
    IF(arrears_months=2,5.00,
    IF(arrears_months=3,8.00,
    IF(arrears_months=4,10.00,
    IF(arrears_months=5,12.00,15.00)))))))</f>
        <v/>
      </c>
      <c r="M2894">
        <f>LET(
    seasoning_years,DATEDIF('Loan Tape (S&amp;P)'!K2894,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94">
        <f>IF(AND('Loan Tape (S&amp;P)'!U2894="Yes",
        'Loan Tape (S&amp;P)'!T2894&lt;&gt;"Yes",
        DATEDIF('Loan Tape (S&amp;P)'!K2894, TODAY(), "M")&lt;18),
    1.10,
    1.00)</f>
        <v/>
      </c>
      <c r="O2894">
        <f>IF('Loan Tape (S&amp;P)'!T2894="Yes",
    1.35,
    1.00)</f>
        <v/>
      </c>
      <c r="P2894">
        <f>IF('Loan Tape (S&amp;P)'!S2894="Yes",
    1.15,
    1.00)</f>
        <v/>
      </c>
      <c r="Q2894">
        <f>IF('Loan Tape (S&amp;P)'!V2894="Yes",
    1.20,
    1.00)</f>
        <v/>
      </c>
      <c r="T2894">
        <f>LET(
    payment_method,'Loan Tape (S&amp;P)'!P2894,
    occupancy,'Loan Tape (S&amp;P)'!N2894,
    maturity_date,'Loan Tape (S&amp;P)'!L2894,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95">
      <c r="J2895">
        <f>LET(
    lien,'Loan Tape (S&amp;P)'!Q2895,
    IF(lien="First",1.00,
        IF(lien="Second",1.50,
            1.70)))</f>
        <v/>
      </c>
      <c r="K2895">
        <f>LET(
    purpose,'Loan Tape (S&amp;P)'!R2895,
    IF(purpose="Purchase",1.00,
        IF(purpose="Remortgage",1.00,
            1.20)))</f>
        <v/>
      </c>
      <c r="L2895">
        <f>LET(
    arrears_months,'Loan Tape (S&amp;P)'!AN2895,
    IF(arrears_months=0,1.00,
    IF(arrears_months=1,3.00,
    IF(arrears_months=2,5.00,
    IF(arrears_months=3,8.00,
    IF(arrears_months=4,10.00,
    IF(arrears_months=5,12.00,15.00)))))))</f>
        <v/>
      </c>
      <c r="M2895">
        <f>LET(
    seasoning_years,DATEDIF('Loan Tape (S&amp;P)'!K2895,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95">
        <f>IF(AND('Loan Tape (S&amp;P)'!U2895="Yes",
        'Loan Tape (S&amp;P)'!T2895&lt;&gt;"Yes",
        DATEDIF('Loan Tape (S&amp;P)'!K2895, TODAY(), "M")&lt;18),
    1.10,
    1.00)</f>
        <v/>
      </c>
      <c r="O2895">
        <f>IF('Loan Tape (S&amp;P)'!T2895="Yes",
    1.35,
    1.00)</f>
        <v/>
      </c>
      <c r="P2895">
        <f>IF('Loan Tape (S&amp;P)'!S2895="Yes",
    1.15,
    1.00)</f>
        <v/>
      </c>
      <c r="Q2895">
        <f>IF('Loan Tape (S&amp;P)'!V2895="Yes",
    1.20,
    1.00)</f>
        <v/>
      </c>
      <c r="T2895">
        <f>LET(
    payment_method,'Loan Tape (S&amp;P)'!P2895,
    occupancy,'Loan Tape (S&amp;P)'!N2895,
    maturity_date,'Loan Tape (S&amp;P)'!L2895,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96">
      <c r="J2896">
        <f>LET(
    lien,'Loan Tape (S&amp;P)'!Q2896,
    IF(lien="First",1.00,
        IF(lien="Second",1.50,
            1.70)))</f>
        <v/>
      </c>
      <c r="K2896">
        <f>LET(
    purpose,'Loan Tape (S&amp;P)'!R2896,
    IF(purpose="Purchase",1.00,
        IF(purpose="Remortgage",1.00,
            1.20)))</f>
        <v/>
      </c>
      <c r="L2896">
        <f>LET(
    arrears_months,'Loan Tape (S&amp;P)'!AN2896,
    IF(arrears_months=0,1.00,
    IF(arrears_months=1,3.00,
    IF(arrears_months=2,5.00,
    IF(arrears_months=3,8.00,
    IF(arrears_months=4,10.00,
    IF(arrears_months=5,12.00,15.00)))))))</f>
        <v/>
      </c>
      <c r="M2896">
        <f>LET(
    seasoning_years,DATEDIF('Loan Tape (S&amp;P)'!K2896,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96">
        <f>IF(AND('Loan Tape (S&amp;P)'!U2896="Yes",
        'Loan Tape (S&amp;P)'!T2896&lt;&gt;"Yes",
        DATEDIF('Loan Tape (S&amp;P)'!K2896, TODAY(), "M")&lt;18),
    1.10,
    1.00)</f>
        <v/>
      </c>
      <c r="O2896">
        <f>IF('Loan Tape (S&amp;P)'!T2896="Yes",
    1.35,
    1.00)</f>
        <v/>
      </c>
      <c r="P2896">
        <f>IF('Loan Tape (S&amp;P)'!S2896="Yes",
    1.15,
    1.00)</f>
        <v/>
      </c>
      <c r="Q2896">
        <f>IF('Loan Tape (S&amp;P)'!V2896="Yes",
    1.20,
    1.00)</f>
        <v/>
      </c>
      <c r="T2896">
        <f>LET(
    payment_method,'Loan Tape (S&amp;P)'!P2896,
    occupancy,'Loan Tape (S&amp;P)'!N2896,
    maturity_date,'Loan Tape (S&amp;P)'!L2896,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97">
      <c r="J2897">
        <f>LET(
    lien,'Loan Tape (S&amp;P)'!Q2897,
    IF(lien="First",1.00,
        IF(lien="Second",1.50,
            1.70)))</f>
        <v/>
      </c>
      <c r="K2897">
        <f>LET(
    purpose,'Loan Tape (S&amp;P)'!R2897,
    IF(purpose="Purchase",1.00,
        IF(purpose="Remortgage",1.00,
            1.20)))</f>
        <v/>
      </c>
      <c r="L2897">
        <f>LET(
    arrears_months,'Loan Tape (S&amp;P)'!AN2897,
    IF(arrears_months=0,1.00,
    IF(arrears_months=1,3.00,
    IF(arrears_months=2,5.00,
    IF(arrears_months=3,8.00,
    IF(arrears_months=4,10.00,
    IF(arrears_months=5,12.00,15.00)))))))</f>
        <v/>
      </c>
      <c r="M2897">
        <f>LET(
    seasoning_years,DATEDIF('Loan Tape (S&amp;P)'!K2897,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97">
        <f>IF(AND('Loan Tape (S&amp;P)'!U2897="Yes",
        'Loan Tape (S&amp;P)'!T2897&lt;&gt;"Yes",
        DATEDIF('Loan Tape (S&amp;P)'!K2897, TODAY(), "M")&lt;18),
    1.10,
    1.00)</f>
        <v/>
      </c>
      <c r="O2897">
        <f>IF('Loan Tape (S&amp;P)'!T2897="Yes",
    1.35,
    1.00)</f>
        <v/>
      </c>
      <c r="P2897">
        <f>IF('Loan Tape (S&amp;P)'!S2897="Yes",
    1.15,
    1.00)</f>
        <v/>
      </c>
      <c r="Q2897">
        <f>IF('Loan Tape (S&amp;P)'!V2897="Yes",
    1.20,
    1.00)</f>
        <v/>
      </c>
      <c r="T2897">
        <f>LET(
    payment_method,'Loan Tape (S&amp;P)'!P2897,
    occupancy,'Loan Tape (S&amp;P)'!N2897,
    maturity_date,'Loan Tape (S&amp;P)'!L2897,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98">
      <c r="J2898">
        <f>LET(
    lien,'Loan Tape (S&amp;P)'!Q2898,
    IF(lien="First",1.00,
        IF(lien="Second",1.50,
            1.70)))</f>
        <v/>
      </c>
      <c r="K2898">
        <f>LET(
    purpose,'Loan Tape (S&amp;P)'!R2898,
    IF(purpose="Purchase",1.00,
        IF(purpose="Remortgage",1.00,
            1.20)))</f>
        <v/>
      </c>
      <c r="L2898">
        <f>LET(
    arrears_months,'Loan Tape (S&amp;P)'!AN2898,
    IF(arrears_months=0,1.00,
    IF(arrears_months=1,3.00,
    IF(arrears_months=2,5.00,
    IF(arrears_months=3,8.00,
    IF(arrears_months=4,10.00,
    IF(arrears_months=5,12.00,15.00)))))))</f>
        <v/>
      </c>
      <c r="M2898">
        <f>LET(
    seasoning_years,DATEDIF('Loan Tape (S&amp;P)'!K2898,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98">
        <f>IF(AND('Loan Tape (S&amp;P)'!U2898="Yes",
        'Loan Tape (S&amp;P)'!T2898&lt;&gt;"Yes",
        DATEDIF('Loan Tape (S&amp;P)'!K2898, TODAY(), "M")&lt;18),
    1.10,
    1.00)</f>
        <v/>
      </c>
      <c r="O2898">
        <f>IF('Loan Tape (S&amp;P)'!T2898="Yes",
    1.35,
    1.00)</f>
        <v/>
      </c>
      <c r="P2898">
        <f>IF('Loan Tape (S&amp;P)'!S2898="Yes",
    1.15,
    1.00)</f>
        <v/>
      </c>
      <c r="Q2898">
        <f>IF('Loan Tape (S&amp;P)'!V2898="Yes",
    1.20,
    1.00)</f>
        <v/>
      </c>
      <c r="T2898">
        <f>LET(
    payment_method,'Loan Tape (S&amp;P)'!P2898,
    occupancy,'Loan Tape (S&amp;P)'!N2898,
    maturity_date,'Loan Tape (S&amp;P)'!L2898,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899">
      <c r="J2899">
        <f>LET(
    lien,'Loan Tape (S&amp;P)'!Q2899,
    IF(lien="First",1.00,
        IF(lien="Second",1.50,
            1.70)))</f>
        <v/>
      </c>
      <c r="K2899">
        <f>LET(
    purpose,'Loan Tape (S&amp;P)'!R2899,
    IF(purpose="Purchase",1.00,
        IF(purpose="Remortgage",1.00,
            1.20)))</f>
        <v/>
      </c>
      <c r="L2899">
        <f>LET(
    arrears_months,'Loan Tape (S&amp;P)'!AN2899,
    IF(arrears_months=0,1.00,
    IF(arrears_months=1,3.00,
    IF(arrears_months=2,5.00,
    IF(arrears_months=3,8.00,
    IF(arrears_months=4,10.00,
    IF(arrears_months=5,12.00,15.00)))))))</f>
        <v/>
      </c>
      <c r="M2899">
        <f>LET(
    seasoning_years,DATEDIF('Loan Tape (S&amp;P)'!K2899,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899">
        <f>IF(AND('Loan Tape (S&amp;P)'!U2899="Yes",
        'Loan Tape (S&amp;P)'!T2899&lt;&gt;"Yes",
        DATEDIF('Loan Tape (S&amp;P)'!K2899, TODAY(), "M")&lt;18),
    1.10,
    1.00)</f>
        <v/>
      </c>
      <c r="O2899">
        <f>IF('Loan Tape (S&amp;P)'!T2899="Yes",
    1.35,
    1.00)</f>
        <v/>
      </c>
      <c r="P2899">
        <f>IF('Loan Tape (S&amp;P)'!S2899="Yes",
    1.15,
    1.00)</f>
        <v/>
      </c>
      <c r="Q2899">
        <f>IF('Loan Tape (S&amp;P)'!V2899="Yes",
    1.20,
    1.00)</f>
        <v/>
      </c>
      <c r="T2899">
        <f>LET(
    payment_method,'Loan Tape (S&amp;P)'!P2899,
    occupancy,'Loan Tape (S&amp;P)'!N2899,
    maturity_date,'Loan Tape (S&amp;P)'!L2899,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00">
      <c r="J2900">
        <f>LET(
    lien,'Loan Tape (S&amp;P)'!Q2900,
    IF(lien="First",1.00,
        IF(lien="Second",1.50,
            1.70)))</f>
        <v/>
      </c>
      <c r="K2900">
        <f>LET(
    purpose,'Loan Tape (S&amp;P)'!R2900,
    IF(purpose="Purchase",1.00,
        IF(purpose="Remortgage",1.00,
            1.20)))</f>
        <v/>
      </c>
      <c r="L2900">
        <f>LET(
    arrears_months,'Loan Tape (S&amp;P)'!AN2900,
    IF(arrears_months=0,1.00,
    IF(arrears_months=1,3.00,
    IF(arrears_months=2,5.00,
    IF(arrears_months=3,8.00,
    IF(arrears_months=4,10.00,
    IF(arrears_months=5,12.00,15.00)))))))</f>
        <v/>
      </c>
      <c r="M2900">
        <f>LET(
    seasoning_years,DATEDIF('Loan Tape (S&amp;P)'!K2900,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00">
        <f>IF(AND('Loan Tape (S&amp;P)'!U2900="Yes",
        'Loan Tape (S&amp;P)'!T2900&lt;&gt;"Yes",
        DATEDIF('Loan Tape (S&amp;P)'!K2900, TODAY(), "M")&lt;18),
    1.10,
    1.00)</f>
        <v/>
      </c>
      <c r="O2900">
        <f>IF('Loan Tape (S&amp;P)'!T2900="Yes",
    1.35,
    1.00)</f>
        <v/>
      </c>
      <c r="P2900">
        <f>IF('Loan Tape (S&amp;P)'!S2900="Yes",
    1.15,
    1.00)</f>
        <v/>
      </c>
      <c r="Q2900">
        <f>IF('Loan Tape (S&amp;P)'!V2900="Yes",
    1.20,
    1.00)</f>
        <v/>
      </c>
      <c r="T2900">
        <f>LET(
    payment_method,'Loan Tape (S&amp;P)'!P2900,
    occupancy,'Loan Tape (S&amp;P)'!N2900,
    maturity_date,'Loan Tape (S&amp;P)'!L2900,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01">
      <c r="J2901">
        <f>LET(
    lien,'Loan Tape (S&amp;P)'!Q2901,
    IF(lien="First",1.00,
        IF(lien="Second",1.50,
            1.70)))</f>
        <v/>
      </c>
      <c r="K2901">
        <f>LET(
    purpose,'Loan Tape (S&amp;P)'!R2901,
    IF(purpose="Purchase",1.00,
        IF(purpose="Remortgage",1.00,
            1.20)))</f>
        <v/>
      </c>
      <c r="L2901">
        <f>LET(
    arrears_months,'Loan Tape (S&amp;P)'!AN2901,
    IF(arrears_months=0,1.00,
    IF(arrears_months=1,3.00,
    IF(arrears_months=2,5.00,
    IF(arrears_months=3,8.00,
    IF(arrears_months=4,10.00,
    IF(arrears_months=5,12.00,15.00)))))))</f>
        <v/>
      </c>
      <c r="M2901">
        <f>LET(
    seasoning_years,DATEDIF('Loan Tape (S&amp;P)'!K2901,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01">
        <f>IF(AND('Loan Tape (S&amp;P)'!U2901="Yes",
        'Loan Tape (S&amp;P)'!T2901&lt;&gt;"Yes",
        DATEDIF('Loan Tape (S&amp;P)'!K2901, TODAY(), "M")&lt;18),
    1.10,
    1.00)</f>
        <v/>
      </c>
      <c r="O2901">
        <f>IF('Loan Tape (S&amp;P)'!T2901="Yes",
    1.35,
    1.00)</f>
        <v/>
      </c>
      <c r="P2901">
        <f>IF('Loan Tape (S&amp;P)'!S2901="Yes",
    1.15,
    1.00)</f>
        <v/>
      </c>
      <c r="Q2901">
        <f>IF('Loan Tape (S&amp;P)'!V2901="Yes",
    1.20,
    1.00)</f>
        <v/>
      </c>
      <c r="T2901">
        <f>LET(
    payment_method,'Loan Tape (S&amp;P)'!P2901,
    occupancy,'Loan Tape (S&amp;P)'!N2901,
    maturity_date,'Loan Tape (S&amp;P)'!L2901,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02">
      <c r="J2902">
        <f>LET(
    lien,'Loan Tape (S&amp;P)'!Q2902,
    IF(lien="First",1.00,
        IF(lien="Second",1.50,
            1.70)))</f>
        <v/>
      </c>
      <c r="K2902">
        <f>LET(
    purpose,'Loan Tape (S&amp;P)'!R2902,
    IF(purpose="Purchase",1.00,
        IF(purpose="Remortgage",1.00,
            1.20)))</f>
        <v/>
      </c>
      <c r="L2902">
        <f>LET(
    arrears_months,'Loan Tape (S&amp;P)'!AN2902,
    IF(arrears_months=0,1.00,
    IF(arrears_months=1,3.00,
    IF(arrears_months=2,5.00,
    IF(arrears_months=3,8.00,
    IF(arrears_months=4,10.00,
    IF(arrears_months=5,12.00,15.00)))))))</f>
        <v/>
      </c>
      <c r="M2902">
        <f>LET(
    seasoning_years,DATEDIF('Loan Tape (S&amp;P)'!K2902,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02">
        <f>IF(AND('Loan Tape (S&amp;P)'!U2902="Yes",
        'Loan Tape (S&amp;P)'!T2902&lt;&gt;"Yes",
        DATEDIF('Loan Tape (S&amp;P)'!K2902, TODAY(), "M")&lt;18),
    1.10,
    1.00)</f>
        <v/>
      </c>
      <c r="O2902">
        <f>IF('Loan Tape (S&amp;P)'!T2902="Yes",
    1.35,
    1.00)</f>
        <v/>
      </c>
      <c r="P2902">
        <f>IF('Loan Tape (S&amp;P)'!S2902="Yes",
    1.15,
    1.00)</f>
        <v/>
      </c>
      <c r="Q2902">
        <f>IF('Loan Tape (S&amp;P)'!V2902="Yes",
    1.20,
    1.00)</f>
        <v/>
      </c>
      <c r="T2902">
        <f>LET(
    payment_method,'Loan Tape (S&amp;P)'!P2902,
    occupancy,'Loan Tape (S&amp;P)'!N2902,
    maturity_date,'Loan Tape (S&amp;P)'!L2902,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03">
      <c r="J2903">
        <f>LET(
    lien,'Loan Tape (S&amp;P)'!Q2903,
    IF(lien="First",1.00,
        IF(lien="Second",1.50,
            1.70)))</f>
        <v/>
      </c>
      <c r="K2903">
        <f>LET(
    purpose,'Loan Tape (S&amp;P)'!R2903,
    IF(purpose="Purchase",1.00,
        IF(purpose="Remortgage",1.00,
            1.20)))</f>
        <v/>
      </c>
      <c r="L2903">
        <f>LET(
    arrears_months,'Loan Tape (S&amp;P)'!AN2903,
    IF(arrears_months=0,1.00,
    IF(arrears_months=1,3.00,
    IF(arrears_months=2,5.00,
    IF(arrears_months=3,8.00,
    IF(arrears_months=4,10.00,
    IF(arrears_months=5,12.00,15.00)))))))</f>
        <v/>
      </c>
      <c r="M2903">
        <f>LET(
    seasoning_years,DATEDIF('Loan Tape (S&amp;P)'!K2903,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03">
        <f>IF(AND('Loan Tape (S&amp;P)'!U2903="Yes",
        'Loan Tape (S&amp;P)'!T2903&lt;&gt;"Yes",
        DATEDIF('Loan Tape (S&amp;P)'!K2903, TODAY(), "M")&lt;18),
    1.10,
    1.00)</f>
        <v/>
      </c>
      <c r="O2903">
        <f>IF('Loan Tape (S&amp;P)'!T2903="Yes",
    1.35,
    1.00)</f>
        <v/>
      </c>
      <c r="P2903">
        <f>IF('Loan Tape (S&amp;P)'!S2903="Yes",
    1.15,
    1.00)</f>
        <v/>
      </c>
      <c r="Q2903">
        <f>IF('Loan Tape (S&amp;P)'!V2903="Yes",
    1.20,
    1.00)</f>
        <v/>
      </c>
      <c r="T2903">
        <f>LET(
    payment_method,'Loan Tape (S&amp;P)'!P2903,
    occupancy,'Loan Tape (S&amp;P)'!N2903,
    maturity_date,'Loan Tape (S&amp;P)'!L2903,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04">
      <c r="J2904">
        <f>LET(
    lien,'Loan Tape (S&amp;P)'!Q2904,
    IF(lien="First",1.00,
        IF(lien="Second",1.50,
            1.70)))</f>
        <v/>
      </c>
      <c r="K2904">
        <f>LET(
    purpose,'Loan Tape (S&amp;P)'!R2904,
    IF(purpose="Purchase",1.00,
        IF(purpose="Remortgage",1.00,
            1.20)))</f>
        <v/>
      </c>
      <c r="L2904">
        <f>LET(
    arrears_months,'Loan Tape (S&amp;P)'!AN2904,
    IF(arrears_months=0,1.00,
    IF(arrears_months=1,3.00,
    IF(arrears_months=2,5.00,
    IF(arrears_months=3,8.00,
    IF(arrears_months=4,10.00,
    IF(arrears_months=5,12.00,15.00)))))))</f>
        <v/>
      </c>
      <c r="M2904">
        <f>LET(
    seasoning_years,DATEDIF('Loan Tape (S&amp;P)'!K2904,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04">
        <f>IF(AND('Loan Tape (S&amp;P)'!U2904="Yes",
        'Loan Tape (S&amp;P)'!T2904&lt;&gt;"Yes",
        DATEDIF('Loan Tape (S&amp;P)'!K2904, TODAY(), "M")&lt;18),
    1.10,
    1.00)</f>
        <v/>
      </c>
      <c r="O2904">
        <f>IF('Loan Tape (S&amp;P)'!T2904="Yes",
    1.35,
    1.00)</f>
        <v/>
      </c>
      <c r="P2904">
        <f>IF('Loan Tape (S&amp;P)'!S2904="Yes",
    1.15,
    1.00)</f>
        <v/>
      </c>
      <c r="Q2904">
        <f>IF('Loan Tape (S&amp;P)'!V2904="Yes",
    1.20,
    1.00)</f>
        <v/>
      </c>
      <c r="T2904">
        <f>LET(
    payment_method,'Loan Tape (S&amp;P)'!P2904,
    occupancy,'Loan Tape (S&amp;P)'!N2904,
    maturity_date,'Loan Tape (S&amp;P)'!L2904,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05">
      <c r="J2905">
        <f>LET(
    lien,'Loan Tape (S&amp;P)'!Q2905,
    IF(lien="First",1.00,
        IF(lien="Second",1.50,
            1.70)))</f>
        <v/>
      </c>
      <c r="K2905">
        <f>LET(
    purpose,'Loan Tape (S&amp;P)'!R2905,
    IF(purpose="Purchase",1.00,
        IF(purpose="Remortgage",1.00,
            1.20)))</f>
        <v/>
      </c>
      <c r="L2905">
        <f>LET(
    arrears_months,'Loan Tape (S&amp;P)'!AN2905,
    IF(arrears_months=0,1.00,
    IF(arrears_months=1,3.00,
    IF(arrears_months=2,5.00,
    IF(arrears_months=3,8.00,
    IF(arrears_months=4,10.00,
    IF(arrears_months=5,12.00,15.00)))))))</f>
        <v/>
      </c>
      <c r="M2905">
        <f>LET(
    seasoning_years,DATEDIF('Loan Tape (S&amp;P)'!K2905,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05">
        <f>IF(AND('Loan Tape (S&amp;P)'!U2905="Yes",
        'Loan Tape (S&amp;P)'!T2905&lt;&gt;"Yes",
        DATEDIF('Loan Tape (S&amp;P)'!K2905, TODAY(), "M")&lt;18),
    1.10,
    1.00)</f>
        <v/>
      </c>
      <c r="O2905">
        <f>IF('Loan Tape (S&amp;P)'!T2905="Yes",
    1.35,
    1.00)</f>
        <v/>
      </c>
      <c r="P2905">
        <f>IF('Loan Tape (S&amp;P)'!S2905="Yes",
    1.15,
    1.00)</f>
        <v/>
      </c>
      <c r="Q2905">
        <f>IF('Loan Tape (S&amp;P)'!V2905="Yes",
    1.20,
    1.00)</f>
        <v/>
      </c>
      <c r="T2905">
        <f>LET(
    payment_method,'Loan Tape (S&amp;P)'!P2905,
    occupancy,'Loan Tape (S&amp;P)'!N2905,
    maturity_date,'Loan Tape (S&amp;P)'!L2905,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06">
      <c r="J2906">
        <f>LET(
    lien,'Loan Tape (S&amp;P)'!Q2906,
    IF(lien="First",1.00,
        IF(lien="Second",1.50,
            1.70)))</f>
        <v/>
      </c>
      <c r="K2906">
        <f>LET(
    purpose,'Loan Tape (S&amp;P)'!R2906,
    IF(purpose="Purchase",1.00,
        IF(purpose="Remortgage",1.00,
            1.20)))</f>
        <v/>
      </c>
      <c r="L2906">
        <f>LET(
    arrears_months,'Loan Tape (S&amp;P)'!AN2906,
    IF(arrears_months=0,1.00,
    IF(arrears_months=1,3.00,
    IF(arrears_months=2,5.00,
    IF(arrears_months=3,8.00,
    IF(arrears_months=4,10.00,
    IF(arrears_months=5,12.00,15.00)))))))</f>
        <v/>
      </c>
      <c r="M2906">
        <f>LET(
    seasoning_years,DATEDIF('Loan Tape (S&amp;P)'!K2906,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06">
        <f>IF(AND('Loan Tape (S&amp;P)'!U2906="Yes",
        'Loan Tape (S&amp;P)'!T2906&lt;&gt;"Yes",
        DATEDIF('Loan Tape (S&amp;P)'!K2906, TODAY(), "M")&lt;18),
    1.10,
    1.00)</f>
        <v/>
      </c>
      <c r="O2906">
        <f>IF('Loan Tape (S&amp;P)'!T2906="Yes",
    1.35,
    1.00)</f>
        <v/>
      </c>
      <c r="P2906">
        <f>IF('Loan Tape (S&amp;P)'!S2906="Yes",
    1.15,
    1.00)</f>
        <v/>
      </c>
      <c r="Q2906">
        <f>IF('Loan Tape (S&amp;P)'!V2906="Yes",
    1.20,
    1.00)</f>
        <v/>
      </c>
      <c r="T2906">
        <f>LET(
    payment_method,'Loan Tape (S&amp;P)'!P2906,
    occupancy,'Loan Tape (S&amp;P)'!N2906,
    maturity_date,'Loan Tape (S&amp;P)'!L2906,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07">
      <c r="J2907">
        <f>LET(
    lien,'Loan Tape (S&amp;P)'!Q2907,
    IF(lien="First",1.00,
        IF(lien="Second",1.50,
            1.70)))</f>
        <v/>
      </c>
      <c r="K2907">
        <f>LET(
    purpose,'Loan Tape (S&amp;P)'!R2907,
    IF(purpose="Purchase",1.00,
        IF(purpose="Remortgage",1.00,
            1.20)))</f>
        <v/>
      </c>
      <c r="L2907">
        <f>LET(
    arrears_months,'Loan Tape (S&amp;P)'!AN2907,
    IF(arrears_months=0,1.00,
    IF(arrears_months=1,3.00,
    IF(arrears_months=2,5.00,
    IF(arrears_months=3,8.00,
    IF(arrears_months=4,10.00,
    IF(arrears_months=5,12.00,15.00)))))))</f>
        <v/>
      </c>
      <c r="M2907">
        <f>LET(
    seasoning_years,DATEDIF('Loan Tape (S&amp;P)'!K2907,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07">
        <f>IF(AND('Loan Tape (S&amp;P)'!U2907="Yes",
        'Loan Tape (S&amp;P)'!T2907&lt;&gt;"Yes",
        DATEDIF('Loan Tape (S&amp;P)'!K2907, TODAY(), "M")&lt;18),
    1.10,
    1.00)</f>
        <v/>
      </c>
      <c r="O2907">
        <f>IF('Loan Tape (S&amp;P)'!T2907="Yes",
    1.35,
    1.00)</f>
        <v/>
      </c>
      <c r="P2907">
        <f>IF('Loan Tape (S&amp;P)'!S2907="Yes",
    1.15,
    1.00)</f>
        <v/>
      </c>
      <c r="Q2907">
        <f>IF('Loan Tape (S&amp;P)'!V2907="Yes",
    1.20,
    1.00)</f>
        <v/>
      </c>
      <c r="T2907">
        <f>LET(
    payment_method,'Loan Tape (S&amp;P)'!P2907,
    occupancy,'Loan Tape (S&amp;P)'!N2907,
    maturity_date,'Loan Tape (S&amp;P)'!L2907,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08">
      <c r="J2908">
        <f>LET(
    lien,'Loan Tape (S&amp;P)'!Q2908,
    IF(lien="First",1.00,
        IF(lien="Second",1.50,
            1.70)))</f>
        <v/>
      </c>
      <c r="K2908">
        <f>LET(
    purpose,'Loan Tape (S&amp;P)'!R2908,
    IF(purpose="Purchase",1.00,
        IF(purpose="Remortgage",1.00,
            1.20)))</f>
        <v/>
      </c>
      <c r="L2908">
        <f>LET(
    arrears_months,'Loan Tape (S&amp;P)'!AN2908,
    IF(arrears_months=0,1.00,
    IF(arrears_months=1,3.00,
    IF(arrears_months=2,5.00,
    IF(arrears_months=3,8.00,
    IF(arrears_months=4,10.00,
    IF(arrears_months=5,12.00,15.00)))))))</f>
        <v/>
      </c>
      <c r="M2908">
        <f>LET(
    seasoning_years,DATEDIF('Loan Tape (S&amp;P)'!K2908,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08">
        <f>IF(AND('Loan Tape (S&amp;P)'!U2908="Yes",
        'Loan Tape (S&amp;P)'!T2908&lt;&gt;"Yes",
        DATEDIF('Loan Tape (S&amp;P)'!K2908, TODAY(), "M")&lt;18),
    1.10,
    1.00)</f>
        <v/>
      </c>
      <c r="O2908">
        <f>IF('Loan Tape (S&amp;P)'!T2908="Yes",
    1.35,
    1.00)</f>
        <v/>
      </c>
      <c r="P2908">
        <f>IF('Loan Tape (S&amp;P)'!S2908="Yes",
    1.15,
    1.00)</f>
        <v/>
      </c>
      <c r="Q2908">
        <f>IF('Loan Tape (S&amp;P)'!V2908="Yes",
    1.20,
    1.00)</f>
        <v/>
      </c>
      <c r="T2908">
        <f>LET(
    payment_method,'Loan Tape (S&amp;P)'!P2908,
    occupancy,'Loan Tape (S&amp;P)'!N2908,
    maturity_date,'Loan Tape (S&amp;P)'!L2908,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09">
      <c r="J2909">
        <f>LET(
    lien,'Loan Tape (S&amp;P)'!Q2909,
    IF(lien="First",1.00,
        IF(lien="Second",1.50,
            1.70)))</f>
        <v/>
      </c>
      <c r="K2909">
        <f>LET(
    purpose,'Loan Tape (S&amp;P)'!R2909,
    IF(purpose="Purchase",1.00,
        IF(purpose="Remortgage",1.00,
            1.20)))</f>
        <v/>
      </c>
      <c r="L2909">
        <f>LET(
    arrears_months,'Loan Tape (S&amp;P)'!AN2909,
    IF(arrears_months=0,1.00,
    IF(arrears_months=1,3.00,
    IF(arrears_months=2,5.00,
    IF(arrears_months=3,8.00,
    IF(arrears_months=4,10.00,
    IF(arrears_months=5,12.00,15.00)))))))</f>
        <v/>
      </c>
      <c r="M2909">
        <f>LET(
    seasoning_years,DATEDIF('Loan Tape (S&amp;P)'!K2909,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09">
        <f>IF(AND('Loan Tape (S&amp;P)'!U2909="Yes",
        'Loan Tape (S&amp;P)'!T2909&lt;&gt;"Yes",
        DATEDIF('Loan Tape (S&amp;P)'!K2909, TODAY(), "M")&lt;18),
    1.10,
    1.00)</f>
        <v/>
      </c>
      <c r="O2909">
        <f>IF('Loan Tape (S&amp;P)'!T2909="Yes",
    1.35,
    1.00)</f>
        <v/>
      </c>
      <c r="P2909">
        <f>IF('Loan Tape (S&amp;P)'!S2909="Yes",
    1.15,
    1.00)</f>
        <v/>
      </c>
      <c r="Q2909">
        <f>IF('Loan Tape (S&amp;P)'!V2909="Yes",
    1.20,
    1.00)</f>
        <v/>
      </c>
      <c r="T2909">
        <f>LET(
    payment_method,'Loan Tape (S&amp;P)'!P2909,
    occupancy,'Loan Tape (S&amp;P)'!N2909,
    maturity_date,'Loan Tape (S&amp;P)'!L2909,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10">
      <c r="J2910">
        <f>LET(
    lien,'Loan Tape (S&amp;P)'!Q2910,
    IF(lien="First",1.00,
        IF(lien="Second",1.50,
            1.70)))</f>
        <v/>
      </c>
      <c r="K2910">
        <f>LET(
    purpose,'Loan Tape (S&amp;P)'!R2910,
    IF(purpose="Purchase",1.00,
        IF(purpose="Remortgage",1.00,
            1.20)))</f>
        <v/>
      </c>
      <c r="L2910">
        <f>LET(
    arrears_months,'Loan Tape (S&amp;P)'!AN2910,
    IF(arrears_months=0,1.00,
    IF(arrears_months=1,3.00,
    IF(arrears_months=2,5.00,
    IF(arrears_months=3,8.00,
    IF(arrears_months=4,10.00,
    IF(arrears_months=5,12.00,15.00)))))))</f>
        <v/>
      </c>
      <c r="M2910">
        <f>LET(
    seasoning_years,DATEDIF('Loan Tape (S&amp;P)'!K2910,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10">
        <f>IF(AND('Loan Tape (S&amp;P)'!U2910="Yes",
        'Loan Tape (S&amp;P)'!T2910&lt;&gt;"Yes",
        DATEDIF('Loan Tape (S&amp;P)'!K2910, TODAY(), "M")&lt;18),
    1.10,
    1.00)</f>
        <v/>
      </c>
      <c r="O2910">
        <f>IF('Loan Tape (S&amp;P)'!T2910="Yes",
    1.35,
    1.00)</f>
        <v/>
      </c>
      <c r="P2910">
        <f>IF('Loan Tape (S&amp;P)'!S2910="Yes",
    1.15,
    1.00)</f>
        <v/>
      </c>
      <c r="Q2910">
        <f>IF('Loan Tape (S&amp;P)'!V2910="Yes",
    1.20,
    1.00)</f>
        <v/>
      </c>
      <c r="T2910">
        <f>LET(
    payment_method,'Loan Tape (S&amp;P)'!P2910,
    occupancy,'Loan Tape (S&amp;P)'!N2910,
    maturity_date,'Loan Tape (S&amp;P)'!L2910,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11">
      <c r="J2911">
        <f>LET(
    lien,'Loan Tape (S&amp;P)'!Q2911,
    IF(lien="First",1.00,
        IF(lien="Second",1.50,
            1.70)))</f>
        <v/>
      </c>
      <c r="K2911">
        <f>LET(
    purpose,'Loan Tape (S&amp;P)'!R2911,
    IF(purpose="Purchase",1.00,
        IF(purpose="Remortgage",1.00,
            1.20)))</f>
        <v/>
      </c>
      <c r="L2911">
        <f>LET(
    arrears_months,'Loan Tape (S&amp;P)'!AN2911,
    IF(arrears_months=0,1.00,
    IF(arrears_months=1,3.00,
    IF(arrears_months=2,5.00,
    IF(arrears_months=3,8.00,
    IF(arrears_months=4,10.00,
    IF(arrears_months=5,12.00,15.00)))))))</f>
        <v/>
      </c>
      <c r="M2911">
        <f>LET(
    seasoning_years,DATEDIF('Loan Tape (S&amp;P)'!K2911,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11">
        <f>IF(AND('Loan Tape (S&amp;P)'!U2911="Yes",
        'Loan Tape (S&amp;P)'!T2911&lt;&gt;"Yes",
        DATEDIF('Loan Tape (S&amp;P)'!K2911, TODAY(), "M")&lt;18),
    1.10,
    1.00)</f>
        <v/>
      </c>
      <c r="O2911">
        <f>IF('Loan Tape (S&amp;P)'!T2911="Yes",
    1.35,
    1.00)</f>
        <v/>
      </c>
      <c r="P2911">
        <f>IF('Loan Tape (S&amp;P)'!S2911="Yes",
    1.15,
    1.00)</f>
        <v/>
      </c>
      <c r="Q2911">
        <f>IF('Loan Tape (S&amp;P)'!V2911="Yes",
    1.20,
    1.00)</f>
        <v/>
      </c>
      <c r="T2911">
        <f>LET(
    payment_method,'Loan Tape (S&amp;P)'!P2911,
    occupancy,'Loan Tape (S&amp;P)'!N2911,
    maturity_date,'Loan Tape (S&amp;P)'!L2911,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12">
      <c r="J2912">
        <f>LET(
    lien,'Loan Tape (S&amp;P)'!Q2912,
    IF(lien="First",1.00,
        IF(lien="Second",1.50,
            1.70)))</f>
        <v/>
      </c>
      <c r="K2912">
        <f>LET(
    purpose,'Loan Tape (S&amp;P)'!R2912,
    IF(purpose="Purchase",1.00,
        IF(purpose="Remortgage",1.00,
            1.20)))</f>
        <v/>
      </c>
      <c r="L2912">
        <f>LET(
    arrears_months,'Loan Tape (S&amp;P)'!AN2912,
    IF(arrears_months=0,1.00,
    IF(arrears_months=1,3.00,
    IF(arrears_months=2,5.00,
    IF(arrears_months=3,8.00,
    IF(arrears_months=4,10.00,
    IF(arrears_months=5,12.00,15.00)))))))</f>
        <v/>
      </c>
      <c r="M2912">
        <f>LET(
    seasoning_years,DATEDIF('Loan Tape (S&amp;P)'!K2912,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12">
        <f>IF(AND('Loan Tape (S&amp;P)'!U2912="Yes",
        'Loan Tape (S&amp;P)'!T2912&lt;&gt;"Yes",
        DATEDIF('Loan Tape (S&amp;P)'!K2912, TODAY(), "M")&lt;18),
    1.10,
    1.00)</f>
        <v/>
      </c>
      <c r="O2912">
        <f>IF('Loan Tape (S&amp;P)'!T2912="Yes",
    1.35,
    1.00)</f>
        <v/>
      </c>
      <c r="P2912">
        <f>IF('Loan Tape (S&amp;P)'!S2912="Yes",
    1.15,
    1.00)</f>
        <v/>
      </c>
      <c r="Q2912">
        <f>IF('Loan Tape (S&amp;P)'!V2912="Yes",
    1.20,
    1.00)</f>
        <v/>
      </c>
      <c r="T2912">
        <f>LET(
    payment_method,'Loan Tape (S&amp;P)'!P2912,
    occupancy,'Loan Tape (S&amp;P)'!N2912,
    maturity_date,'Loan Tape (S&amp;P)'!L2912,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13">
      <c r="J2913">
        <f>LET(
    lien,'Loan Tape (S&amp;P)'!Q2913,
    IF(lien="First",1.00,
        IF(lien="Second",1.50,
            1.70)))</f>
        <v/>
      </c>
      <c r="K2913">
        <f>LET(
    purpose,'Loan Tape (S&amp;P)'!R2913,
    IF(purpose="Purchase",1.00,
        IF(purpose="Remortgage",1.00,
            1.20)))</f>
        <v/>
      </c>
      <c r="L2913">
        <f>LET(
    arrears_months,'Loan Tape (S&amp;P)'!AN2913,
    IF(arrears_months=0,1.00,
    IF(arrears_months=1,3.00,
    IF(arrears_months=2,5.00,
    IF(arrears_months=3,8.00,
    IF(arrears_months=4,10.00,
    IF(arrears_months=5,12.00,15.00)))))))</f>
        <v/>
      </c>
      <c r="M2913">
        <f>LET(
    seasoning_years,DATEDIF('Loan Tape (S&amp;P)'!K2913,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13">
        <f>IF(AND('Loan Tape (S&amp;P)'!U2913="Yes",
        'Loan Tape (S&amp;P)'!T2913&lt;&gt;"Yes",
        DATEDIF('Loan Tape (S&amp;P)'!K2913, TODAY(), "M")&lt;18),
    1.10,
    1.00)</f>
        <v/>
      </c>
      <c r="O2913">
        <f>IF('Loan Tape (S&amp;P)'!T2913="Yes",
    1.35,
    1.00)</f>
        <v/>
      </c>
      <c r="P2913">
        <f>IF('Loan Tape (S&amp;P)'!S2913="Yes",
    1.15,
    1.00)</f>
        <v/>
      </c>
      <c r="Q2913">
        <f>IF('Loan Tape (S&amp;P)'!V2913="Yes",
    1.20,
    1.00)</f>
        <v/>
      </c>
      <c r="T2913">
        <f>LET(
    payment_method,'Loan Tape (S&amp;P)'!P2913,
    occupancy,'Loan Tape (S&amp;P)'!N2913,
    maturity_date,'Loan Tape (S&amp;P)'!L2913,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14">
      <c r="J2914">
        <f>LET(
    lien,'Loan Tape (S&amp;P)'!Q2914,
    IF(lien="First",1.00,
        IF(lien="Second",1.50,
            1.70)))</f>
        <v/>
      </c>
      <c r="K2914">
        <f>LET(
    purpose,'Loan Tape (S&amp;P)'!R2914,
    IF(purpose="Purchase",1.00,
        IF(purpose="Remortgage",1.00,
            1.20)))</f>
        <v/>
      </c>
      <c r="L2914">
        <f>LET(
    arrears_months,'Loan Tape (S&amp;P)'!AN2914,
    IF(arrears_months=0,1.00,
    IF(arrears_months=1,3.00,
    IF(arrears_months=2,5.00,
    IF(arrears_months=3,8.00,
    IF(arrears_months=4,10.00,
    IF(arrears_months=5,12.00,15.00)))))))</f>
        <v/>
      </c>
      <c r="M2914">
        <f>LET(
    seasoning_years,DATEDIF('Loan Tape (S&amp;P)'!K2914,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14">
        <f>IF(AND('Loan Tape (S&amp;P)'!U2914="Yes",
        'Loan Tape (S&amp;P)'!T2914&lt;&gt;"Yes",
        DATEDIF('Loan Tape (S&amp;P)'!K2914, TODAY(), "M")&lt;18),
    1.10,
    1.00)</f>
        <v/>
      </c>
      <c r="O2914">
        <f>IF('Loan Tape (S&amp;P)'!T2914="Yes",
    1.35,
    1.00)</f>
        <v/>
      </c>
      <c r="P2914">
        <f>IF('Loan Tape (S&amp;P)'!S2914="Yes",
    1.15,
    1.00)</f>
        <v/>
      </c>
      <c r="Q2914">
        <f>IF('Loan Tape (S&amp;P)'!V2914="Yes",
    1.20,
    1.00)</f>
        <v/>
      </c>
      <c r="T2914">
        <f>LET(
    payment_method,'Loan Tape (S&amp;P)'!P2914,
    occupancy,'Loan Tape (S&amp;P)'!N2914,
    maturity_date,'Loan Tape (S&amp;P)'!L2914,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15">
      <c r="J2915">
        <f>LET(
    lien,'Loan Tape (S&amp;P)'!Q2915,
    IF(lien="First",1.00,
        IF(lien="Second",1.50,
            1.70)))</f>
        <v/>
      </c>
      <c r="K2915">
        <f>LET(
    purpose,'Loan Tape (S&amp;P)'!R2915,
    IF(purpose="Purchase",1.00,
        IF(purpose="Remortgage",1.00,
            1.20)))</f>
        <v/>
      </c>
      <c r="L2915">
        <f>LET(
    arrears_months,'Loan Tape (S&amp;P)'!AN2915,
    IF(arrears_months=0,1.00,
    IF(arrears_months=1,3.00,
    IF(arrears_months=2,5.00,
    IF(arrears_months=3,8.00,
    IF(arrears_months=4,10.00,
    IF(arrears_months=5,12.00,15.00)))))))</f>
        <v/>
      </c>
      <c r="M2915">
        <f>LET(
    seasoning_years,DATEDIF('Loan Tape (S&amp;P)'!K2915,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15">
        <f>IF(AND('Loan Tape (S&amp;P)'!U2915="Yes",
        'Loan Tape (S&amp;P)'!T2915&lt;&gt;"Yes",
        DATEDIF('Loan Tape (S&amp;P)'!K2915, TODAY(), "M")&lt;18),
    1.10,
    1.00)</f>
        <v/>
      </c>
      <c r="O2915">
        <f>IF('Loan Tape (S&amp;P)'!T2915="Yes",
    1.35,
    1.00)</f>
        <v/>
      </c>
      <c r="P2915">
        <f>IF('Loan Tape (S&amp;P)'!S2915="Yes",
    1.15,
    1.00)</f>
        <v/>
      </c>
      <c r="Q2915">
        <f>IF('Loan Tape (S&amp;P)'!V2915="Yes",
    1.20,
    1.00)</f>
        <v/>
      </c>
      <c r="T2915">
        <f>LET(
    payment_method,'Loan Tape (S&amp;P)'!P2915,
    occupancy,'Loan Tape (S&amp;P)'!N2915,
    maturity_date,'Loan Tape (S&amp;P)'!L2915,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16">
      <c r="J2916">
        <f>LET(
    lien,'Loan Tape (S&amp;P)'!Q2916,
    IF(lien="First",1.00,
        IF(lien="Second",1.50,
            1.70)))</f>
        <v/>
      </c>
      <c r="K2916">
        <f>LET(
    purpose,'Loan Tape (S&amp;P)'!R2916,
    IF(purpose="Purchase",1.00,
        IF(purpose="Remortgage",1.00,
            1.20)))</f>
        <v/>
      </c>
      <c r="L2916">
        <f>LET(
    arrears_months,'Loan Tape (S&amp;P)'!AN2916,
    IF(arrears_months=0,1.00,
    IF(arrears_months=1,3.00,
    IF(arrears_months=2,5.00,
    IF(arrears_months=3,8.00,
    IF(arrears_months=4,10.00,
    IF(arrears_months=5,12.00,15.00)))))))</f>
        <v/>
      </c>
      <c r="M2916">
        <f>LET(
    seasoning_years,DATEDIF('Loan Tape (S&amp;P)'!K2916,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16">
        <f>IF(AND('Loan Tape (S&amp;P)'!U2916="Yes",
        'Loan Tape (S&amp;P)'!T2916&lt;&gt;"Yes",
        DATEDIF('Loan Tape (S&amp;P)'!K2916, TODAY(), "M")&lt;18),
    1.10,
    1.00)</f>
        <v/>
      </c>
      <c r="O2916">
        <f>IF('Loan Tape (S&amp;P)'!T2916="Yes",
    1.35,
    1.00)</f>
        <v/>
      </c>
      <c r="P2916">
        <f>IF('Loan Tape (S&amp;P)'!S2916="Yes",
    1.15,
    1.00)</f>
        <v/>
      </c>
      <c r="Q2916">
        <f>IF('Loan Tape (S&amp;P)'!V2916="Yes",
    1.20,
    1.00)</f>
        <v/>
      </c>
      <c r="T2916">
        <f>LET(
    payment_method,'Loan Tape (S&amp;P)'!P2916,
    occupancy,'Loan Tape (S&amp;P)'!N2916,
    maturity_date,'Loan Tape (S&amp;P)'!L2916,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17">
      <c r="J2917">
        <f>LET(
    lien,'Loan Tape (S&amp;P)'!Q2917,
    IF(lien="First",1.00,
        IF(lien="Second",1.50,
            1.70)))</f>
        <v/>
      </c>
      <c r="K2917">
        <f>LET(
    purpose,'Loan Tape (S&amp;P)'!R2917,
    IF(purpose="Purchase",1.00,
        IF(purpose="Remortgage",1.00,
            1.20)))</f>
        <v/>
      </c>
      <c r="L2917">
        <f>LET(
    arrears_months,'Loan Tape (S&amp;P)'!AN2917,
    IF(arrears_months=0,1.00,
    IF(arrears_months=1,3.00,
    IF(arrears_months=2,5.00,
    IF(arrears_months=3,8.00,
    IF(arrears_months=4,10.00,
    IF(arrears_months=5,12.00,15.00)))))))</f>
        <v/>
      </c>
      <c r="M2917">
        <f>LET(
    seasoning_years,DATEDIF('Loan Tape (S&amp;P)'!K2917,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17">
        <f>IF(AND('Loan Tape (S&amp;P)'!U2917="Yes",
        'Loan Tape (S&amp;P)'!T2917&lt;&gt;"Yes",
        DATEDIF('Loan Tape (S&amp;P)'!K2917, TODAY(), "M")&lt;18),
    1.10,
    1.00)</f>
        <v/>
      </c>
      <c r="O2917">
        <f>IF('Loan Tape (S&amp;P)'!T2917="Yes",
    1.35,
    1.00)</f>
        <v/>
      </c>
      <c r="P2917">
        <f>IF('Loan Tape (S&amp;P)'!S2917="Yes",
    1.15,
    1.00)</f>
        <v/>
      </c>
      <c r="Q2917">
        <f>IF('Loan Tape (S&amp;P)'!V2917="Yes",
    1.20,
    1.00)</f>
        <v/>
      </c>
      <c r="T2917">
        <f>LET(
    payment_method,'Loan Tape (S&amp;P)'!P2917,
    occupancy,'Loan Tape (S&amp;P)'!N2917,
    maturity_date,'Loan Tape (S&amp;P)'!L2917,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18">
      <c r="J2918">
        <f>LET(
    lien,'Loan Tape (S&amp;P)'!Q2918,
    IF(lien="First",1.00,
        IF(lien="Second",1.50,
            1.70)))</f>
        <v/>
      </c>
      <c r="K2918">
        <f>LET(
    purpose,'Loan Tape (S&amp;P)'!R2918,
    IF(purpose="Purchase",1.00,
        IF(purpose="Remortgage",1.00,
            1.20)))</f>
        <v/>
      </c>
      <c r="L2918">
        <f>LET(
    arrears_months,'Loan Tape (S&amp;P)'!AN2918,
    IF(arrears_months=0,1.00,
    IF(arrears_months=1,3.00,
    IF(arrears_months=2,5.00,
    IF(arrears_months=3,8.00,
    IF(arrears_months=4,10.00,
    IF(arrears_months=5,12.00,15.00)))))))</f>
        <v/>
      </c>
      <c r="M2918">
        <f>LET(
    seasoning_years,DATEDIF('Loan Tape (S&amp;P)'!K2918,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18">
        <f>IF(AND('Loan Tape (S&amp;P)'!U2918="Yes",
        'Loan Tape (S&amp;P)'!T2918&lt;&gt;"Yes",
        DATEDIF('Loan Tape (S&amp;P)'!K2918, TODAY(), "M")&lt;18),
    1.10,
    1.00)</f>
        <v/>
      </c>
      <c r="O2918">
        <f>IF('Loan Tape (S&amp;P)'!T2918="Yes",
    1.35,
    1.00)</f>
        <v/>
      </c>
      <c r="P2918">
        <f>IF('Loan Tape (S&amp;P)'!S2918="Yes",
    1.15,
    1.00)</f>
        <v/>
      </c>
      <c r="Q2918">
        <f>IF('Loan Tape (S&amp;P)'!V2918="Yes",
    1.20,
    1.00)</f>
        <v/>
      </c>
      <c r="T2918">
        <f>LET(
    payment_method,'Loan Tape (S&amp;P)'!P2918,
    occupancy,'Loan Tape (S&amp;P)'!N2918,
    maturity_date,'Loan Tape (S&amp;P)'!L2918,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19">
      <c r="J2919">
        <f>LET(
    lien,'Loan Tape (S&amp;P)'!Q2919,
    IF(lien="First",1.00,
        IF(lien="Second",1.50,
            1.70)))</f>
        <v/>
      </c>
      <c r="K2919">
        <f>LET(
    purpose,'Loan Tape (S&amp;P)'!R2919,
    IF(purpose="Purchase",1.00,
        IF(purpose="Remortgage",1.00,
            1.20)))</f>
        <v/>
      </c>
      <c r="L2919">
        <f>LET(
    arrears_months,'Loan Tape (S&amp;P)'!AN2919,
    IF(arrears_months=0,1.00,
    IF(arrears_months=1,3.00,
    IF(arrears_months=2,5.00,
    IF(arrears_months=3,8.00,
    IF(arrears_months=4,10.00,
    IF(arrears_months=5,12.00,15.00)))))))</f>
        <v/>
      </c>
      <c r="M2919">
        <f>LET(
    seasoning_years,DATEDIF('Loan Tape (S&amp;P)'!K2919,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19">
        <f>IF(AND('Loan Tape (S&amp;P)'!U2919="Yes",
        'Loan Tape (S&amp;P)'!T2919&lt;&gt;"Yes",
        DATEDIF('Loan Tape (S&amp;P)'!K2919, TODAY(), "M")&lt;18),
    1.10,
    1.00)</f>
        <v/>
      </c>
      <c r="O2919">
        <f>IF('Loan Tape (S&amp;P)'!T2919="Yes",
    1.35,
    1.00)</f>
        <v/>
      </c>
      <c r="P2919">
        <f>IF('Loan Tape (S&amp;P)'!S2919="Yes",
    1.15,
    1.00)</f>
        <v/>
      </c>
      <c r="Q2919">
        <f>IF('Loan Tape (S&amp;P)'!V2919="Yes",
    1.20,
    1.00)</f>
        <v/>
      </c>
      <c r="T2919">
        <f>LET(
    payment_method,'Loan Tape (S&amp;P)'!P2919,
    occupancy,'Loan Tape (S&amp;P)'!N2919,
    maturity_date,'Loan Tape (S&amp;P)'!L2919,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20">
      <c r="J2920">
        <f>LET(
    lien,'Loan Tape (S&amp;P)'!Q2920,
    IF(lien="First",1.00,
        IF(lien="Second",1.50,
            1.70)))</f>
        <v/>
      </c>
      <c r="K2920">
        <f>LET(
    purpose,'Loan Tape (S&amp;P)'!R2920,
    IF(purpose="Purchase",1.00,
        IF(purpose="Remortgage",1.00,
            1.20)))</f>
        <v/>
      </c>
      <c r="L2920">
        <f>LET(
    arrears_months,'Loan Tape (S&amp;P)'!AN2920,
    IF(arrears_months=0,1.00,
    IF(arrears_months=1,3.00,
    IF(arrears_months=2,5.00,
    IF(arrears_months=3,8.00,
    IF(arrears_months=4,10.00,
    IF(arrears_months=5,12.00,15.00)))))))</f>
        <v/>
      </c>
      <c r="M2920">
        <f>LET(
    seasoning_years,DATEDIF('Loan Tape (S&amp;P)'!K2920,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20">
        <f>IF(AND('Loan Tape (S&amp;P)'!U2920="Yes",
        'Loan Tape (S&amp;P)'!T2920&lt;&gt;"Yes",
        DATEDIF('Loan Tape (S&amp;P)'!K2920, TODAY(), "M")&lt;18),
    1.10,
    1.00)</f>
        <v/>
      </c>
      <c r="O2920">
        <f>IF('Loan Tape (S&amp;P)'!T2920="Yes",
    1.35,
    1.00)</f>
        <v/>
      </c>
      <c r="P2920">
        <f>IF('Loan Tape (S&amp;P)'!S2920="Yes",
    1.15,
    1.00)</f>
        <v/>
      </c>
      <c r="Q2920">
        <f>IF('Loan Tape (S&amp;P)'!V2920="Yes",
    1.20,
    1.00)</f>
        <v/>
      </c>
      <c r="T2920">
        <f>LET(
    payment_method,'Loan Tape (S&amp;P)'!P2920,
    occupancy,'Loan Tape (S&amp;P)'!N2920,
    maturity_date,'Loan Tape (S&amp;P)'!L2920,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21">
      <c r="J2921">
        <f>LET(
    lien,'Loan Tape (S&amp;P)'!Q2921,
    IF(lien="First",1.00,
        IF(lien="Second",1.50,
            1.70)))</f>
        <v/>
      </c>
      <c r="K2921">
        <f>LET(
    purpose,'Loan Tape (S&amp;P)'!R2921,
    IF(purpose="Purchase",1.00,
        IF(purpose="Remortgage",1.00,
            1.20)))</f>
        <v/>
      </c>
      <c r="L2921">
        <f>LET(
    arrears_months,'Loan Tape (S&amp;P)'!AN2921,
    IF(arrears_months=0,1.00,
    IF(arrears_months=1,3.00,
    IF(arrears_months=2,5.00,
    IF(arrears_months=3,8.00,
    IF(arrears_months=4,10.00,
    IF(arrears_months=5,12.00,15.00)))))))</f>
        <v/>
      </c>
      <c r="M2921">
        <f>LET(
    seasoning_years,DATEDIF('Loan Tape (S&amp;P)'!K2921,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21">
        <f>IF(AND('Loan Tape (S&amp;P)'!U2921="Yes",
        'Loan Tape (S&amp;P)'!T2921&lt;&gt;"Yes",
        DATEDIF('Loan Tape (S&amp;P)'!K2921, TODAY(), "M")&lt;18),
    1.10,
    1.00)</f>
        <v/>
      </c>
      <c r="O2921">
        <f>IF('Loan Tape (S&amp;P)'!T2921="Yes",
    1.35,
    1.00)</f>
        <v/>
      </c>
      <c r="P2921">
        <f>IF('Loan Tape (S&amp;P)'!S2921="Yes",
    1.15,
    1.00)</f>
        <v/>
      </c>
      <c r="Q2921">
        <f>IF('Loan Tape (S&amp;P)'!V2921="Yes",
    1.20,
    1.00)</f>
        <v/>
      </c>
      <c r="T2921">
        <f>LET(
    payment_method,'Loan Tape (S&amp;P)'!P2921,
    occupancy,'Loan Tape (S&amp;P)'!N2921,
    maturity_date,'Loan Tape (S&amp;P)'!L2921,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22">
      <c r="J2922">
        <f>LET(
    lien,'Loan Tape (S&amp;P)'!Q2922,
    IF(lien="First",1.00,
        IF(lien="Second",1.50,
            1.70)))</f>
        <v/>
      </c>
      <c r="K2922">
        <f>LET(
    purpose,'Loan Tape (S&amp;P)'!R2922,
    IF(purpose="Purchase",1.00,
        IF(purpose="Remortgage",1.00,
            1.20)))</f>
        <v/>
      </c>
      <c r="L2922">
        <f>LET(
    arrears_months,'Loan Tape (S&amp;P)'!AN2922,
    IF(arrears_months=0,1.00,
    IF(arrears_months=1,3.00,
    IF(arrears_months=2,5.00,
    IF(arrears_months=3,8.00,
    IF(arrears_months=4,10.00,
    IF(arrears_months=5,12.00,15.00)))))))</f>
        <v/>
      </c>
      <c r="M2922">
        <f>LET(
    seasoning_years,DATEDIF('Loan Tape (S&amp;P)'!K2922,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22">
        <f>IF(AND('Loan Tape (S&amp;P)'!U2922="Yes",
        'Loan Tape (S&amp;P)'!T2922&lt;&gt;"Yes",
        DATEDIF('Loan Tape (S&amp;P)'!K2922, TODAY(), "M")&lt;18),
    1.10,
    1.00)</f>
        <v/>
      </c>
      <c r="O2922">
        <f>IF('Loan Tape (S&amp;P)'!T2922="Yes",
    1.35,
    1.00)</f>
        <v/>
      </c>
      <c r="P2922">
        <f>IF('Loan Tape (S&amp;P)'!S2922="Yes",
    1.15,
    1.00)</f>
        <v/>
      </c>
      <c r="Q2922">
        <f>IF('Loan Tape (S&amp;P)'!V2922="Yes",
    1.20,
    1.00)</f>
        <v/>
      </c>
      <c r="T2922">
        <f>LET(
    payment_method,'Loan Tape (S&amp;P)'!P2922,
    occupancy,'Loan Tape (S&amp;P)'!N2922,
    maturity_date,'Loan Tape (S&amp;P)'!L2922,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23">
      <c r="J2923">
        <f>LET(
    lien,'Loan Tape (S&amp;P)'!Q2923,
    IF(lien="First",1.00,
        IF(lien="Second",1.50,
            1.70)))</f>
        <v/>
      </c>
      <c r="K2923">
        <f>LET(
    purpose,'Loan Tape (S&amp;P)'!R2923,
    IF(purpose="Purchase",1.00,
        IF(purpose="Remortgage",1.00,
            1.20)))</f>
        <v/>
      </c>
      <c r="L2923">
        <f>LET(
    arrears_months,'Loan Tape (S&amp;P)'!AN2923,
    IF(arrears_months=0,1.00,
    IF(arrears_months=1,3.00,
    IF(arrears_months=2,5.00,
    IF(arrears_months=3,8.00,
    IF(arrears_months=4,10.00,
    IF(arrears_months=5,12.00,15.00)))))))</f>
        <v/>
      </c>
      <c r="M2923">
        <f>LET(
    seasoning_years,DATEDIF('Loan Tape (S&amp;P)'!K2923,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23">
        <f>IF(AND('Loan Tape (S&amp;P)'!U2923="Yes",
        'Loan Tape (S&amp;P)'!T2923&lt;&gt;"Yes",
        DATEDIF('Loan Tape (S&amp;P)'!K2923, TODAY(), "M")&lt;18),
    1.10,
    1.00)</f>
        <v/>
      </c>
      <c r="O2923">
        <f>IF('Loan Tape (S&amp;P)'!T2923="Yes",
    1.35,
    1.00)</f>
        <v/>
      </c>
      <c r="P2923">
        <f>IF('Loan Tape (S&amp;P)'!S2923="Yes",
    1.15,
    1.00)</f>
        <v/>
      </c>
      <c r="Q2923">
        <f>IF('Loan Tape (S&amp;P)'!V2923="Yes",
    1.20,
    1.00)</f>
        <v/>
      </c>
      <c r="T2923">
        <f>LET(
    payment_method,'Loan Tape (S&amp;P)'!P2923,
    occupancy,'Loan Tape (S&amp;P)'!N2923,
    maturity_date,'Loan Tape (S&amp;P)'!L2923,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24">
      <c r="J2924">
        <f>LET(
    lien,'Loan Tape (S&amp;P)'!Q2924,
    IF(lien="First",1.00,
        IF(lien="Second",1.50,
            1.70)))</f>
        <v/>
      </c>
      <c r="K2924">
        <f>LET(
    purpose,'Loan Tape (S&amp;P)'!R2924,
    IF(purpose="Purchase",1.00,
        IF(purpose="Remortgage",1.00,
            1.20)))</f>
        <v/>
      </c>
      <c r="L2924">
        <f>LET(
    arrears_months,'Loan Tape (S&amp;P)'!AN2924,
    IF(arrears_months=0,1.00,
    IF(arrears_months=1,3.00,
    IF(arrears_months=2,5.00,
    IF(arrears_months=3,8.00,
    IF(arrears_months=4,10.00,
    IF(arrears_months=5,12.00,15.00)))))))</f>
        <v/>
      </c>
      <c r="M2924">
        <f>LET(
    seasoning_years,DATEDIF('Loan Tape (S&amp;P)'!K2924,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24">
        <f>IF(AND('Loan Tape (S&amp;P)'!U2924="Yes",
        'Loan Tape (S&amp;P)'!T2924&lt;&gt;"Yes",
        DATEDIF('Loan Tape (S&amp;P)'!K2924, TODAY(), "M")&lt;18),
    1.10,
    1.00)</f>
        <v/>
      </c>
      <c r="O2924">
        <f>IF('Loan Tape (S&amp;P)'!T2924="Yes",
    1.35,
    1.00)</f>
        <v/>
      </c>
      <c r="P2924">
        <f>IF('Loan Tape (S&amp;P)'!S2924="Yes",
    1.15,
    1.00)</f>
        <v/>
      </c>
      <c r="Q2924">
        <f>IF('Loan Tape (S&amp;P)'!V2924="Yes",
    1.20,
    1.00)</f>
        <v/>
      </c>
      <c r="T2924">
        <f>LET(
    payment_method,'Loan Tape (S&amp;P)'!P2924,
    occupancy,'Loan Tape (S&amp;P)'!N2924,
    maturity_date,'Loan Tape (S&amp;P)'!L2924,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25">
      <c r="J2925">
        <f>LET(
    lien,'Loan Tape (S&amp;P)'!Q2925,
    IF(lien="First",1.00,
        IF(lien="Second",1.50,
            1.70)))</f>
        <v/>
      </c>
      <c r="K2925">
        <f>LET(
    purpose,'Loan Tape (S&amp;P)'!R2925,
    IF(purpose="Purchase",1.00,
        IF(purpose="Remortgage",1.00,
            1.20)))</f>
        <v/>
      </c>
      <c r="L2925">
        <f>LET(
    arrears_months,'Loan Tape (S&amp;P)'!AN2925,
    IF(arrears_months=0,1.00,
    IF(arrears_months=1,3.00,
    IF(arrears_months=2,5.00,
    IF(arrears_months=3,8.00,
    IF(arrears_months=4,10.00,
    IF(arrears_months=5,12.00,15.00)))))))</f>
        <v/>
      </c>
      <c r="M2925">
        <f>LET(
    seasoning_years,DATEDIF('Loan Tape (S&amp;P)'!K2925,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25">
        <f>IF(AND('Loan Tape (S&amp;P)'!U2925="Yes",
        'Loan Tape (S&amp;P)'!T2925&lt;&gt;"Yes",
        DATEDIF('Loan Tape (S&amp;P)'!K2925, TODAY(), "M")&lt;18),
    1.10,
    1.00)</f>
        <v/>
      </c>
      <c r="O2925">
        <f>IF('Loan Tape (S&amp;P)'!T2925="Yes",
    1.35,
    1.00)</f>
        <v/>
      </c>
      <c r="P2925">
        <f>IF('Loan Tape (S&amp;P)'!S2925="Yes",
    1.15,
    1.00)</f>
        <v/>
      </c>
      <c r="Q2925">
        <f>IF('Loan Tape (S&amp;P)'!V2925="Yes",
    1.20,
    1.00)</f>
        <v/>
      </c>
      <c r="T2925">
        <f>LET(
    payment_method,'Loan Tape (S&amp;P)'!P2925,
    occupancy,'Loan Tape (S&amp;P)'!N2925,
    maturity_date,'Loan Tape (S&amp;P)'!L2925,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26">
      <c r="J2926">
        <f>LET(
    lien,'Loan Tape (S&amp;P)'!Q2926,
    IF(lien="First",1.00,
        IF(lien="Second",1.50,
            1.70)))</f>
        <v/>
      </c>
      <c r="K2926">
        <f>LET(
    purpose,'Loan Tape (S&amp;P)'!R2926,
    IF(purpose="Purchase",1.00,
        IF(purpose="Remortgage",1.00,
            1.20)))</f>
        <v/>
      </c>
      <c r="L2926">
        <f>LET(
    arrears_months,'Loan Tape (S&amp;P)'!AN2926,
    IF(arrears_months=0,1.00,
    IF(arrears_months=1,3.00,
    IF(arrears_months=2,5.00,
    IF(arrears_months=3,8.00,
    IF(arrears_months=4,10.00,
    IF(arrears_months=5,12.00,15.00)))))))</f>
        <v/>
      </c>
      <c r="M2926">
        <f>LET(
    seasoning_years,DATEDIF('Loan Tape (S&amp;P)'!K2926,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26">
        <f>IF(AND('Loan Tape (S&amp;P)'!U2926="Yes",
        'Loan Tape (S&amp;P)'!T2926&lt;&gt;"Yes",
        DATEDIF('Loan Tape (S&amp;P)'!K2926, TODAY(), "M")&lt;18),
    1.10,
    1.00)</f>
        <v/>
      </c>
      <c r="O2926">
        <f>IF('Loan Tape (S&amp;P)'!T2926="Yes",
    1.35,
    1.00)</f>
        <v/>
      </c>
      <c r="P2926">
        <f>IF('Loan Tape (S&amp;P)'!S2926="Yes",
    1.15,
    1.00)</f>
        <v/>
      </c>
      <c r="Q2926">
        <f>IF('Loan Tape (S&amp;P)'!V2926="Yes",
    1.20,
    1.00)</f>
        <v/>
      </c>
      <c r="T2926">
        <f>LET(
    payment_method,'Loan Tape (S&amp;P)'!P2926,
    occupancy,'Loan Tape (S&amp;P)'!N2926,
    maturity_date,'Loan Tape (S&amp;P)'!L2926,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27">
      <c r="J2927">
        <f>LET(
    lien,'Loan Tape (S&amp;P)'!Q2927,
    IF(lien="First",1.00,
        IF(lien="Second",1.50,
            1.70)))</f>
        <v/>
      </c>
      <c r="K2927">
        <f>LET(
    purpose,'Loan Tape (S&amp;P)'!R2927,
    IF(purpose="Purchase",1.00,
        IF(purpose="Remortgage",1.00,
            1.20)))</f>
        <v/>
      </c>
      <c r="L2927">
        <f>LET(
    arrears_months,'Loan Tape (S&amp;P)'!AN2927,
    IF(arrears_months=0,1.00,
    IF(arrears_months=1,3.00,
    IF(arrears_months=2,5.00,
    IF(arrears_months=3,8.00,
    IF(arrears_months=4,10.00,
    IF(arrears_months=5,12.00,15.00)))))))</f>
        <v/>
      </c>
      <c r="M2927">
        <f>LET(
    seasoning_years,DATEDIF('Loan Tape (S&amp;P)'!K2927,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27">
        <f>IF(AND('Loan Tape (S&amp;P)'!U2927="Yes",
        'Loan Tape (S&amp;P)'!T2927&lt;&gt;"Yes",
        DATEDIF('Loan Tape (S&amp;P)'!K2927, TODAY(), "M")&lt;18),
    1.10,
    1.00)</f>
        <v/>
      </c>
      <c r="O2927">
        <f>IF('Loan Tape (S&amp;P)'!T2927="Yes",
    1.35,
    1.00)</f>
        <v/>
      </c>
      <c r="P2927">
        <f>IF('Loan Tape (S&amp;P)'!S2927="Yes",
    1.15,
    1.00)</f>
        <v/>
      </c>
      <c r="Q2927">
        <f>IF('Loan Tape (S&amp;P)'!V2927="Yes",
    1.20,
    1.00)</f>
        <v/>
      </c>
      <c r="T2927">
        <f>LET(
    payment_method,'Loan Tape (S&amp;P)'!P2927,
    occupancy,'Loan Tape (S&amp;P)'!N2927,
    maturity_date,'Loan Tape (S&amp;P)'!L2927,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28">
      <c r="J2928">
        <f>LET(
    lien,'Loan Tape (S&amp;P)'!Q2928,
    IF(lien="First",1.00,
        IF(lien="Second",1.50,
            1.70)))</f>
        <v/>
      </c>
      <c r="K2928">
        <f>LET(
    purpose,'Loan Tape (S&amp;P)'!R2928,
    IF(purpose="Purchase",1.00,
        IF(purpose="Remortgage",1.00,
            1.20)))</f>
        <v/>
      </c>
      <c r="L2928">
        <f>LET(
    arrears_months,'Loan Tape (S&amp;P)'!AN2928,
    IF(arrears_months=0,1.00,
    IF(arrears_months=1,3.00,
    IF(arrears_months=2,5.00,
    IF(arrears_months=3,8.00,
    IF(arrears_months=4,10.00,
    IF(arrears_months=5,12.00,15.00)))))))</f>
        <v/>
      </c>
      <c r="M2928">
        <f>LET(
    seasoning_years,DATEDIF('Loan Tape (S&amp;P)'!K2928,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28">
        <f>IF(AND('Loan Tape (S&amp;P)'!U2928="Yes",
        'Loan Tape (S&amp;P)'!T2928&lt;&gt;"Yes",
        DATEDIF('Loan Tape (S&amp;P)'!K2928, TODAY(), "M")&lt;18),
    1.10,
    1.00)</f>
        <v/>
      </c>
      <c r="O2928">
        <f>IF('Loan Tape (S&amp;P)'!T2928="Yes",
    1.35,
    1.00)</f>
        <v/>
      </c>
      <c r="P2928">
        <f>IF('Loan Tape (S&amp;P)'!S2928="Yes",
    1.15,
    1.00)</f>
        <v/>
      </c>
      <c r="Q2928">
        <f>IF('Loan Tape (S&amp;P)'!V2928="Yes",
    1.20,
    1.00)</f>
        <v/>
      </c>
      <c r="T2928">
        <f>LET(
    payment_method,'Loan Tape (S&amp;P)'!P2928,
    occupancy,'Loan Tape (S&amp;P)'!N2928,
    maturity_date,'Loan Tape (S&amp;P)'!L2928,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29">
      <c r="J2929">
        <f>LET(
    lien,'Loan Tape (S&amp;P)'!Q2929,
    IF(lien="First",1.00,
        IF(lien="Second",1.50,
            1.70)))</f>
        <v/>
      </c>
      <c r="K2929">
        <f>LET(
    purpose,'Loan Tape (S&amp;P)'!R2929,
    IF(purpose="Purchase",1.00,
        IF(purpose="Remortgage",1.00,
            1.20)))</f>
        <v/>
      </c>
      <c r="L2929">
        <f>LET(
    arrears_months,'Loan Tape (S&amp;P)'!AN2929,
    IF(arrears_months=0,1.00,
    IF(arrears_months=1,3.00,
    IF(arrears_months=2,5.00,
    IF(arrears_months=3,8.00,
    IF(arrears_months=4,10.00,
    IF(arrears_months=5,12.00,15.00)))))))</f>
        <v/>
      </c>
      <c r="M2929">
        <f>LET(
    seasoning_years,DATEDIF('Loan Tape (S&amp;P)'!K2929,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29">
        <f>IF(AND('Loan Tape (S&amp;P)'!U2929="Yes",
        'Loan Tape (S&amp;P)'!T2929&lt;&gt;"Yes",
        DATEDIF('Loan Tape (S&amp;P)'!K2929, TODAY(), "M")&lt;18),
    1.10,
    1.00)</f>
        <v/>
      </c>
      <c r="O2929">
        <f>IF('Loan Tape (S&amp;P)'!T2929="Yes",
    1.35,
    1.00)</f>
        <v/>
      </c>
      <c r="P2929">
        <f>IF('Loan Tape (S&amp;P)'!S2929="Yes",
    1.15,
    1.00)</f>
        <v/>
      </c>
      <c r="Q2929">
        <f>IF('Loan Tape (S&amp;P)'!V2929="Yes",
    1.20,
    1.00)</f>
        <v/>
      </c>
      <c r="T2929">
        <f>LET(
    payment_method,'Loan Tape (S&amp;P)'!P2929,
    occupancy,'Loan Tape (S&amp;P)'!N2929,
    maturity_date,'Loan Tape (S&amp;P)'!L2929,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30">
      <c r="J2930">
        <f>LET(
    lien,'Loan Tape (S&amp;P)'!Q2930,
    IF(lien="First",1.00,
        IF(lien="Second",1.50,
            1.70)))</f>
        <v/>
      </c>
      <c r="K2930">
        <f>LET(
    purpose,'Loan Tape (S&amp;P)'!R2930,
    IF(purpose="Purchase",1.00,
        IF(purpose="Remortgage",1.00,
            1.20)))</f>
        <v/>
      </c>
      <c r="L2930">
        <f>LET(
    arrears_months,'Loan Tape (S&amp;P)'!AN2930,
    IF(arrears_months=0,1.00,
    IF(arrears_months=1,3.00,
    IF(arrears_months=2,5.00,
    IF(arrears_months=3,8.00,
    IF(arrears_months=4,10.00,
    IF(arrears_months=5,12.00,15.00)))))))</f>
        <v/>
      </c>
      <c r="M2930">
        <f>LET(
    seasoning_years,DATEDIF('Loan Tape (S&amp;P)'!K2930,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30">
        <f>IF(AND('Loan Tape (S&amp;P)'!U2930="Yes",
        'Loan Tape (S&amp;P)'!T2930&lt;&gt;"Yes",
        DATEDIF('Loan Tape (S&amp;P)'!K2930, TODAY(), "M")&lt;18),
    1.10,
    1.00)</f>
        <v/>
      </c>
      <c r="O2930">
        <f>IF('Loan Tape (S&amp;P)'!T2930="Yes",
    1.35,
    1.00)</f>
        <v/>
      </c>
      <c r="P2930">
        <f>IF('Loan Tape (S&amp;P)'!S2930="Yes",
    1.15,
    1.00)</f>
        <v/>
      </c>
      <c r="Q2930">
        <f>IF('Loan Tape (S&amp;P)'!V2930="Yes",
    1.20,
    1.00)</f>
        <v/>
      </c>
      <c r="T2930">
        <f>LET(
    payment_method,'Loan Tape (S&amp;P)'!P2930,
    occupancy,'Loan Tape (S&amp;P)'!N2930,
    maturity_date,'Loan Tape (S&amp;P)'!L2930,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31">
      <c r="J2931">
        <f>LET(
    lien,'Loan Tape (S&amp;P)'!Q2931,
    IF(lien="First",1.00,
        IF(lien="Second",1.50,
            1.70)))</f>
        <v/>
      </c>
      <c r="K2931">
        <f>LET(
    purpose,'Loan Tape (S&amp;P)'!R2931,
    IF(purpose="Purchase",1.00,
        IF(purpose="Remortgage",1.00,
            1.20)))</f>
        <v/>
      </c>
      <c r="L2931">
        <f>LET(
    arrears_months,'Loan Tape (S&amp;P)'!AN2931,
    IF(arrears_months=0,1.00,
    IF(arrears_months=1,3.00,
    IF(arrears_months=2,5.00,
    IF(arrears_months=3,8.00,
    IF(arrears_months=4,10.00,
    IF(arrears_months=5,12.00,15.00)))))))</f>
        <v/>
      </c>
      <c r="M2931">
        <f>LET(
    seasoning_years,DATEDIF('Loan Tape (S&amp;P)'!K2931,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31">
        <f>IF(AND('Loan Tape (S&amp;P)'!U2931="Yes",
        'Loan Tape (S&amp;P)'!T2931&lt;&gt;"Yes",
        DATEDIF('Loan Tape (S&amp;P)'!K2931, TODAY(), "M")&lt;18),
    1.10,
    1.00)</f>
        <v/>
      </c>
      <c r="O2931">
        <f>IF('Loan Tape (S&amp;P)'!T2931="Yes",
    1.35,
    1.00)</f>
        <v/>
      </c>
      <c r="P2931">
        <f>IF('Loan Tape (S&amp;P)'!S2931="Yes",
    1.15,
    1.00)</f>
        <v/>
      </c>
      <c r="Q2931">
        <f>IF('Loan Tape (S&amp;P)'!V2931="Yes",
    1.20,
    1.00)</f>
        <v/>
      </c>
      <c r="T2931">
        <f>LET(
    payment_method,'Loan Tape (S&amp;P)'!P2931,
    occupancy,'Loan Tape (S&amp;P)'!N2931,
    maturity_date,'Loan Tape (S&amp;P)'!L2931,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32">
      <c r="J2932">
        <f>LET(
    lien,'Loan Tape (S&amp;P)'!Q2932,
    IF(lien="First",1.00,
        IF(lien="Second",1.50,
            1.70)))</f>
        <v/>
      </c>
      <c r="K2932">
        <f>LET(
    purpose,'Loan Tape (S&amp;P)'!R2932,
    IF(purpose="Purchase",1.00,
        IF(purpose="Remortgage",1.00,
            1.20)))</f>
        <v/>
      </c>
      <c r="L2932">
        <f>LET(
    arrears_months,'Loan Tape (S&amp;P)'!AN2932,
    IF(arrears_months=0,1.00,
    IF(arrears_months=1,3.00,
    IF(arrears_months=2,5.00,
    IF(arrears_months=3,8.00,
    IF(arrears_months=4,10.00,
    IF(arrears_months=5,12.00,15.00)))))))</f>
        <v/>
      </c>
      <c r="M2932">
        <f>LET(
    seasoning_years,DATEDIF('Loan Tape (S&amp;P)'!K2932,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32">
        <f>IF(AND('Loan Tape (S&amp;P)'!U2932="Yes",
        'Loan Tape (S&amp;P)'!T2932&lt;&gt;"Yes",
        DATEDIF('Loan Tape (S&amp;P)'!K2932, TODAY(), "M")&lt;18),
    1.10,
    1.00)</f>
        <v/>
      </c>
      <c r="O2932">
        <f>IF('Loan Tape (S&amp;P)'!T2932="Yes",
    1.35,
    1.00)</f>
        <v/>
      </c>
      <c r="P2932">
        <f>IF('Loan Tape (S&amp;P)'!S2932="Yes",
    1.15,
    1.00)</f>
        <v/>
      </c>
      <c r="Q2932">
        <f>IF('Loan Tape (S&amp;P)'!V2932="Yes",
    1.20,
    1.00)</f>
        <v/>
      </c>
      <c r="T2932">
        <f>LET(
    payment_method,'Loan Tape (S&amp;P)'!P2932,
    occupancy,'Loan Tape (S&amp;P)'!N2932,
    maturity_date,'Loan Tape (S&amp;P)'!L2932,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33">
      <c r="J2933">
        <f>LET(
    lien,'Loan Tape (S&amp;P)'!Q2933,
    IF(lien="First",1.00,
        IF(lien="Second",1.50,
            1.70)))</f>
        <v/>
      </c>
      <c r="K2933">
        <f>LET(
    purpose,'Loan Tape (S&amp;P)'!R2933,
    IF(purpose="Purchase",1.00,
        IF(purpose="Remortgage",1.00,
            1.20)))</f>
        <v/>
      </c>
      <c r="L2933">
        <f>LET(
    arrears_months,'Loan Tape (S&amp;P)'!AN2933,
    IF(arrears_months=0,1.00,
    IF(arrears_months=1,3.00,
    IF(arrears_months=2,5.00,
    IF(arrears_months=3,8.00,
    IF(arrears_months=4,10.00,
    IF(arrears_months=5,12.00,15.00)))))))</f>
        <v/>
      </c>
      <c r="M2933">
        <f>LET(
    seasoning_years,DATEDIF('Loan Tape (S&amp;P)'!K2933,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33">
        <f>IF(AND('Loan Tape (S&amp;P)'!U2933="Yes",
        'Loan Tape (S&amp;P)'!T2933&lt;&gt;"Yes",
        DATEDIF('Loan Tape (S&amp;P)'!K2933, TODAY(), "M")&lt;18),
    1.10,
    1.00)</f>
        <v/>
      </c>
      <c r="O2933">
        <f>IF('Loan Tape (S&amp;P)'!T2933="Yes",
    1.35,
    1.00)</f>
        <v/>
      </c>
      <c r="P2933">
        <f>IF('Loan Tape (S&amp;P)'!S2933="Yes",
    1.15,
    1.00)</f>
        <v/>
      </c>
      <c r="Q2933">
        <f>IF('Loan Tape (S&amp;P)'!V2933="Yes",
    1.20,
    1.00)</f>
        <v/>
      </c>
      <c r="T2933">
        <f>LET(
    payment_method,'Loan Tape (S&amp;P)'!P2933,
    occupancy,'Loan Tape (S&amp;P)'!N2933,
    maturity_date,'Loan Tape (S&amp;P)'!L2933,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34">
      <c r="J2934">
        <f>LET(
    lien,'Loan Tape (S&amp;P)'!Q2934,
    IF(lien="First",1.00,
        IF(lien="Second",1.50,
            1.70)))</f>
        <v/>
      </c>
      <c r="K2934">
        <f>LET(
    purpose,'Loan Tape (S&amp;P)'!R2934,
    IF(purpose="Purchase",1.00,
        IF(purpose="Remortgage",1.00,
            1.20)))</f>
        <v/>
      </c>
      <c r="L2934">
        <f>LET(
    arrears_months,'Loan Tape (S&amp;P)'!AN2934,
    IF(arrears_months=0,1.00,
    IF(arrears_months=1,3.00,
    IF(arrears_months=2,5.00,
    IF(arrears_months=3,8.00,
    IF(arrears_months=4,10.00,
    IF(arrears_months=5,12.00,15.00)))))))</f>
        <v/>
      </c>
      <c r="M2934">
        <f>LET(
    seasoning_years,DATEDIF('Loan Tape (S&amp;P)'!K2934,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34">
        <f>IF(AND('Loan Tape (S&amp;P)'!U2934="Yes",
        'Loan Tape (S&amp;P)'!T2934&lt;&gt;"Yes",
        DATEDIF('Loan Tape (S&amp;P)'!K2934, TODAY(), "M")&lt;18),
    1.10,
    1.00)</f>
        <v/>
      </c>
      <c r="O2934">
        <f>IF('Loan Tape (S&amp;P)'!T2934="Yes",
    1.35,
    1.00)</f>
        <v/>
      </c>
      <c r="P2934">
        <f>IF('Loan Tape (S&amp;P)'!S2934="Yes",
    1.15,
    1.00)</f>
        <v/>
      </c>
      <c r="Q2934">
        <f>IF('Loan Tape (S&amp;P)'!V2934="Yes",
    1.20,
    1.00)</f>
        <v/>
      </c>
      <c r="T2934">
        <f>LET(
    payment_method,'Loan Tape (S&amp;P)'!P2934,
    occupancy,'Loan Tape (S&amp;P)'!N2934,
    maturity_date,'Loan Tape (S&amp;P)'!L2934,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35">
      <c r="J2935">
        <f>LET(
    lien,'Loan Tape (S&amp;P)'!Q2935,
    IF(lien="First",1.00,
        IF(lien="Second",1.50,
            1.70)))</f>
        <v/>
      </c>
      <c r="K2935">
        <f>LET(
    purpose,'Loan Tape (S&amp;P)'!R2935,
    IF(purpose="Purchase",1.00,
        IF(purpose="Remortgage",1.00,
            1.20)))</f>
        <v/>
      </c>
      <c r="L2935">
        <f>LET(
    arrears_months,'Loan Tape (S&amp;P)'!AN2935,
    IF(arrears_months=0,1.00,
    IF(arrears_months=1,3.00,
    IF(arrears_months=2,5.00,
    IF(arrears_months=3,8.00,
    IF(arrears_months=4,10.00,
    IF(arrears_months=5,12.00,15.00)))))))</f>
        <v/>
      </c>
      <c r="M2935">
        <f>LET(
    seasoning_years,DATEDIF('Loan Tape (S&amp;P)'!K2935,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35">
        <f>IF(AND('Loan Tape (S&amp;P)'!U2935="Yes",
        'Loan Tape (S&amp;P)'!T2935&lt;&gt;"Yes",
        DATEDIF('Loan Tape (S&amp;P)'!K2935, TODAY(), "M")&lt;18),
    1.10,
    1.00)</f>
        <v/>
      </c>
      <c r="O2935">
        <f>IF('Loan Tape (S&amp;P)'!T2935="Yes",
    1.35,
    1.00)</f>
        <v/>
      </c>
      <c r="P2935">
        <f>IF('Loan Tape (S&amp;P)'!S2935="Yes",
    1.15,
    1.00)</f>
        <v/>
      </c>
      <c r="Q2935">
        <f>IF('Loan Tape (S&amp;P)'!V2935="Yes",
    1.20,
    1.00)</f>
        <v/>
      </c>
      <c r="T2935">
        <f>LET(
    payment_method,'Loan Tape (S&amp;P)'!P2935,
    occupancy,'Loan Tape (S&amp;P)'!N2935,
    maturity_date,'Loan Tape (S&amp;P)'!L2935,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36">
      <c r="J2936">
        <f>LET(
    lien,'Loan Tape (S&amp;P)'!Q2936,
    IF(lien="First",1.00,
        IF(lien="Second",1.50,
            1.70)))</f>
        <v/>
      </c>
      <c r="K2936">
        <f>LET(
    purpose,'Loan Tape (S&amp;P)'!R2936,
    IF(purpose="Purchase",1.00,
        IF(purpose="Remortgage",1.00,
            1.20)))</f>
        <v/>
      </c>
      <c r="L2936">
        <f>LET(
    arrears_months,'Loan Tape (S&amp;P)'!AN2936,
    IF(arrears_months=0,1.00,
    IF(arrears_months=1,3.00,
    IF(arrears_months=2,5.00,
    IF(arrears_months=3,8.00,
    IF(arrears_months=4,10.00,
    IF(arrears_months=5,12.00,15.00)))))))</f>
        <v/>
      </c>
      <c r="M2936">
        <f>LET(
    seasoning_years,DATEDIF('Loan Tape (S&amp;P)'!K2936,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36">
        <f>IF(AND('Loan Tape (S&amp;P)'!U2936="Yes",
        'Loan Tape (S&amp;P)'!T2936&lt;&gt;"Yes",
        DATEDIF('Loan Tape (S&amp;P)'!K2936, TODAY(), "M")&lt;18),
    1.10,
    1.00)</f>
        <v/>
      </c>
      <c r="O2936">
        <f>IF('Loan Tape (S&amp;P)'!T2936="Yes",
    1.35,
    1.00)</f>
        <v/>
      </c>
      <c r="P2936">
        <f>IF('Loan Tape (S&amp;P)'!S2936="Yes",
    1.15,
    1.00)</f>
        <v/>
      </c>
      <c r="Q2936">
        <f>IF('Loan Tape (S&amp;P)'!V2936="Yes",
    1.20,
    1.00)</f>
        <v/>
      </c>
      <c r="T2936">
        <f>LET(
    payment_method,'Loan Tape (S&amp;P)'!P2936,
    occupancy,'Loan Tape (S&amp;P)'!N2936,
    maturity_date,'Loan Tape (S&amp;P)'!L2936,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37">
      <c r="J2937">
        <f>LET(
    lien,'Loan Tape (S&amp;P)'!Q2937,
    IF(lien="First",1.00,
        IF(lien="Second",1.50,
            1.70)))</f>
        <v/>
      </c>
      <c r="K2937">
        <f>LET(
    purpose,'Loan Tape (S&amp;P)'!R2937,
    IF(purpose="Purchase",1.00,
        IF(purpose="Remortgage",1.00,
            1.20)))</f>
        <v/>
      </c>
      <c r="L2937">
        <f>LET(
    arrears_months,'Loan Tape (S&amp;P)'!AN2937,
    IF(arrears_months=0,1.00,
    IF(arrears_months=1,3.00,
    IF(arrears_months=2,5.00,
    IF(arrears_months=3,8.00,
    IF(arrears_months=4,10.00,
    IF(arrears_months=5,12.00,15.00)))))))</f>
        <v/>
      </c>
      <c r="M2937">
        <f>LET(
    seasoning_years,DATEDIF('Loan Tape (S&amp;P)'!K2937,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37">
        <f>IF(AND('Loan Tape (S&amp;P)'!U2937="Yes",
        'Loan Tape (S&amp;P)'!T2937&lt;&gt;"Yes",
        DATEDIF('Loan Tape (S&amp;P)'!K2937, TODAY(), "M")&lt;18),
    1.10,
    1.00)</f>
        <v/>
      </c>
      <c r="O2937">
        <f>IF('Loan Tape (S&amp;P)'!T2937="Yes",
    1.35,
    1.00)</f>
        <v/>
      </c>
      <c r="P2937">
        <f>IF('Loan Tape (S&amp;P)'!S2937="Yes",
    1.15,
    1.00)</f>
        <v/>
      </c>
      <c r="Q2937">
        <f>IF('Loan Tape (S&amp;P)'!V2937="Yes",
    1.20,
    1.00)</f>
        <v/>
      </c>
      <c r="T2937">
        <f>LET(
    payment_method,'Loan Tape (S&amp;P)'!P2937,
    occupancy,'Loan Tape (S&amp;P)'!N2937,
    maturity_date,'Loan Tape (S&amp;P)'!L2937,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38">
      <c r="J2938">
        <f>LET(
    lien,'Loan Tape (S&amp;P)'!Q2938,
    IF(lien="First",1.00,
        IF(lien="Second",1.50,
            1.70)))</f>
        <v/>
      </c>
      <c r="K2938">
        <f>LET(
    purpose,'Loan Tape (S&amp;P)'!R2938,
    IF(purpose="Purchase",1.00,
        IF(purpose="Remortgage",1.00,
            1.20)))</f>
        <v/>
      </c>
      <c r="L2938">
        <f>LET(
    arrears_months,'Loan Tape (S&amp;P)'!AN2938,
    IF(arrears_months=0,1.00,
    IF(arrears_months=1,3.00,
    IF(arrears_months=2,5.00,
    IF(arrears_months=3,8.00,
    IF(arrears_months=4,10.00,
    IF(arrears_months=5,12.00,15.00)))))))</f>
        <v/>
      </c>
      <c r="M2938">
        <f>LET(
    seasoning_years,DATEDIF('Loan Tape (S&amp;P)'!K2938,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38">
        <f>IF(AND('Loan Tape (S&amp;P)'!U2938="Yes",
        'Loan Tape (S&amp;P)'!T2938&lt;&gt;"Yes",
        DATEDIF('Loan Tape (S&amp;P)'!K2938, TODAY(), "M")&lt;18),
    1.10,
    1.00)</f>
        <v/>
      </c>
      <c r="O2938">
        <f>IF('Loan Tape (S&amp;P)'!T2938="Yes",
    1.35,
    1.00)</f>
        <v/>
      </c>
      <c r="P2938">
        <f>IF('Loan Tape (S&amp;P)'!S2938="Yes",
    1.15,
    1.00)</f>
        <v/>
      </c>
      <c r="Q2938">
        <f>IF('Loan Tape (S&amp;P)'!V2938="Yes",
    1.20,
    1.00)</f>
        <v/>
      </c>
      <c r="T2938">
        <f>LET(
    payment_method,'Loan Tape (S&amp;P)'!P2938,
    occupancy,'Loan Tape (S&amp;P)'!N2938,
    maturity_date,'Loan Tape (S&amp;P)'!L2938,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39">
      <c r="J2939">
        <f>LET(
    lien,'Loan Tape (S&amp;P)'!Q2939,
    IF(lien="First",1.00,
        IF(lien="Second",1.50,
            1.70)))</f>
        <v/>
      </c>
      <c r="K2939">
        <f>LET(
    purpose,'Loan Tape (S&amp;P)'!R2939,
    IF(purpose="Purchase",1.00,
        IF(purpose="Remortgage",1.00,
            1.20)))</f>
        <v/>
      </c>
      <c r="L2939">
        <f>LET(
    arrears_months,'Loan Tape (S&amp;P)'!AN2939,
    IF(arrears_months=0,1.00,
    IF(arrears_months=1,3.00,
    IF(arrears_months=2,5.00,
    IF(arrears_months=3,8.00,
    IF(arrears_months=4,10.00,
    IF(arrears_months=5,12.00,15.00)))))))</f>
        <v/>
      </c>
      <c r="M2939">
        <f>LET(
    seasoning_years,DATEDIF('Loan Tape (S&amp;P)'!K2939,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39">
        <f>IF(AND('Loan Tape (S&amp;P)'!U2939="Yes",
        'Loan Tape (S&amp;P)'!T2939&lt;&gt;"Yes",
        DATEDIF('Loan Tape (S&amp;P)'!K2939, TODAY(), "M")&lt;18),
    1.10,
    1.00)</f>
        <v/>
      </c>
      <c r="O2939">
        <f>IF('Loan Tape (S&amp;P)'!T2939="Yes",
    1.35,
    1.00)</f>
        <v/>
      </c>
      <c r="P2939">
        <f>IF('Loan Tape (S&amp;P)'!S2939="Yes",
    1.15,
    1.00)</f>
        <v/>
      </c>
      <c r="Q2939">
        <f>IF('Loan Tape (S&amp;P)'!V2939="Yes",
    1.20,
    1.00)</f>
        <v/>
      </c>
      <c r="T2939">
        <f>LET(
    payment_method,'Loan Tape (S&amp;P)'!P2939,
    occupancy,'Loan Tape (S&amp;P)'!N2939,
    maturity_date,'Loan Tape (S&amp;P)'!L2939,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40">
      <c r="J2940">
        <f>LET(
    lien,'Loan Tape (S&amp;P)'!Q2940,
    IF(lien="First",1.00,
        IF(lien="Second",1.50,
            1.70)))</f>
        <v/>
      </c>
      <c r="K2940">
        <f>LET(
    purpose,'Loan Tape (S&amp;P)'!R2940,
    IF(purpose="Purchase",1.00,
        IF(purpose="Remortgage",1.00,
            1.20)))</f>
        <v/>
      </c>
      <c r="L2940">
        <f>LET(
    arrears_months,'Loan Tape (S&amp;P)'!AN2940,
    IF(arrears_months=0,1.00,
    IF(arrears_months=1,3.00,
    IF(arrears_months=2,5.00,
    IF(arrears_months=3,8.00,
    IF(arrears_months=4,10.00,
    IF(arrears_months=5,12.00,15.00)))))))</f>
        <v/>
      </c>
      <c r="M2940">
        <f>LET(
    seasoning_years,DATEDIF('Loan Tape (S&amp;P)'!K2940,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40">
        <f>IF(AND('Loan Tape (S&amp;P)'!U2940="Yes",
        'Loan Tape (S&amp;P)'!T2940&lt;&gt;"Yes",
        DATEDIF('Loan Tape (S&amp;P)'!K2940, TODAY(), "M")&lt;18),
    1.10,
    1.00)</f>
        <v/>
      </c>
      <c r="O2940">
        <f>IF('Loan Tape (S&amp;P)'!T2940="Yes",
    1.35,
    1.00)</f>
        <v/>
      </c>
      <c r="P2940">
        <f>IF('Loan Tape (S&amp;P)'!S2940="Yes",
    1.15,
    1.00)</f>
        <v/>
      </c>
      <c r="Q2940">
        <f>IF('Loan Tape (S&amp;P)'!V2940="Yes",
    1.20,
    1.00)</f>
        <v/>
      </c>
      <c r="T2940">
        <f>LET(
    payment_method,'Loan Tape (S&amp;P)'!P2940,
    occupancy,'Loan Tape (S&amp;P)'!N2940,
    maturity_date,'Loan Tape (S&amp;P)'!L2940,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41">
      <c r="J2941">
        <f>LET(
    lien,'Loan Tape (S&amp;P)'!Q2941,
    IF(lien="First",1.00,
        IF(lien="Second",1.50,
            1.70)))</f>
        <v/>
      </c>
      <c r="K2941">
        <f>LET(
    purpose,'Loan Tape (S&amp;P)'!R2941,
    IF(purpose="Purchase",1.00,
        IF(purpose="Remortgage",1.00,
            1.20)))</f>
        <v/>
      </c>
      <c r="L2941">
        <f>LET(
    arrears_months,'Loan Tape (S&amp;P)'!AN2941,
    IF(arrears_months=0,1.00,
    IF(arrears_months=1,3.00,
    IF(arrears_months=2,5.00,
    IF(arrears_months=3,8.00,
    IF(arrears_months=4,10.00,
    IF(arrears_months=5,12.00,15.00)))))))</f>
        <v/>
      </c>
      <c r="M2941">
        <f>LET(
    seasoning_years,DATEDIF('Loan Tape (S&amp;P)'!K2941,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41">
        <f>IF(AND('Loan Tape (S&amp;P)'!U2941="Yes",
        'Loan Tape (S&amp;P)'!T2941&lt;&gt;"Yes",
        DATEDIF('Loan Tape (S&amp;P)'!K2941, TODAY(), "M")&lt;18),
    1.10,
    1.00)</f>
        <v/>
      </c>
      <c r="O2941">
        <f>IF('Loan Tape (S&amp;P)'!T2941="Yes",
    1.35,
    1.00)</f>
        <v/>
      </c>
      <c r="P2941">
        <f>IF('Loan Tape (S&amp;P)'!S2941="Yes",
    1.15,
    1.00)</f>
        <v/>
      </c>
      <c r="Q2941">
        <f>IF('Loan Tape (S&amp;P)'!V2941="Yes",
    1.20,
    1.00)</f>
        <v/>
      </c>
      <c r="T2941">
        <f>LET(
    payment_method,'Loan Tape (S&amp;P)'!P2941,
    occupancy,'Loan Tape (S&amp;P)'!N2941,
    maturity_date,'Loan Tape (S&amp;P)'!L2941,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42">
      <c r="J2942">
        <f>LET(
    lien,'Loan Tape (S&amp;P)'!Q2942,
    IF(lien="First",1.00,
        IF(lien="Second",1.50,
            1.70)))</f>
        <v/>
      </c>
      <c r="K2942">
        <f>LET(
    purpose,'Loan Tape (S&amp;P)'!R2942,
    IF(purpose="Purchase",1.00,
        IF(purpose="Remortgage",1.00,
            1.20)))</f>
        <v/>
      </c>
      <c r="L2942">
        <f>LET(
    arrears_months,'Loan Tape (S&amp;P)'!AN2942,
    IF(arrears_months=0,1.00,
    IF(arrears_months=1,3.00,
    IF(arrears_months=2,5.00,
    IF(arrears_months=3,8.00,
    IF(arrears_months=4,10.00,
    IF(arrears_months=5,12.00,15.00)))))))</f>
        <v/>
      </c>
      <c r="M2942">
        <f>LET(
    seasoning_years,DATEDIF('Loan Tape (S&amp;P)'!K2942,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42">
        <f>IF(AND('Loan Tape (S&amp;P)'!U2942="Yes",
        'Loan Tape (S&amp;P)'!T2942&lt;&gt;"Yes",
        DATEDIF('Loan Tape (S&amp;P)'!K2942, TODAY(), "M")&lt;18),
    1.10,
    1.00)</f>
        <v/>
      </c>
      <c r="O2942">
        <f>IF('Loan Tape (S&amp;P)'!T2942="Yes",
    1.35,
    1.00)</f>
        <v/>
      </c>
      <c r="P2942">
        <f>IF('Loan Tape (S&amp;P)'!S2942="Yes",
    1.15,
    1.00)</f>
        <v/>
      </c>
      <c r="Q2942">
        <f>IF('Loan Tape (S&amp;P)'!V2942="Yes",
    1.20,
    1.00)</f>
        <v/>
      </c>
      <c r="T2942">
        <f>LET(
    payment_method,'Loan Tape (S&amp;P)'!P2942,
    occupancy,'Loan Tape (S&amp;P)'!N2942,
    maturity_date,'Loan Tape (S&amp;P)'!L2942,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43">
      <c r="J2943">
        <f>LET(
    lien,'Loan Tape (S&amp;P)'!Q2943,
    IF(lien="First",1.00,
        IF(lien="Second",1.50,
            1.70)))</f>
        <v/>
      </c>
      <c r="K2943">
        <f>LET(
    purpose,'Loan Tape (S&amp;P)'!R2943,
    IF(purpose="Purchase",1.00,
        IF(purpose="Remortgage",1.00,
            1.20)))</f>
        <v/>
      </c>
      <c r="L2943">
        <f>LET(
    arrears_months,'Loan Tape (S&amp;P)'!AN2943,
    IF(arrears_months=0,1.00,
    IF(arrears_months=1,3.00,
    IF(arrears_months=2,5.00,
    IF(arrears_months=3,8.00,
    IF(arrears_months=4,10.00,
    IF(arrears_months=5,12.00,15.00)))))))</f>
        <v/>
      </c>
      <c r="M2943">
        <f>LET(
    seasoning_years,DATEDIF('Loan Tape (S&amp;P)'!K2943,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43">
        <f>IF(AND('Loan Tape (S&amp;P)'!U2943="Yes",
        'Loan Tape (S&amp;P)'!T2943&lt;&gt;"Yes",
        DATEDIF('Loan Tape (S&amp;P)'!K2943, TODAY(), "M")&lt;18),
    1.10,
    1.00)</f>
        <v/>
      </c>
      <c r="O2943">
        <f>IF('Loan Tape (S&amp;P)'!T2943="Yes",
    1.35,
    1.00)</f>
        <v/>
      </c>
      <c r="P2943">
        <f>IF('Loan Tape (S&amp;P)'!S2943="Yes",
    1.15,
    1.00)</f>
        <v/>
      </c>
      <c r="Q2943">
        <f>IF('Loan Tape (S&amp;P)'!V2943="Yes",
    1.20,
    1.00)</f>
        <v/>
      </c>
      <c r="T2943">
        <f>LET(
    payment_method,'Loan Tape (S&amp;P)'!P2943,
    occupancy,'Loan Tape (S&amp;P)'!N2943,
    maturity_date,'Loan Tape (S&amp;P)'!L2943,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44">
      <c r="J2944">
        <f>LET(
    lien,'Loan Tape (S&amp;P)'!Q2944,
    IF(lien="First",1.00,
        IF(lien="Second",1.50,
            1.70)))</f>
        <v/>
      </c>
      <c r="K2944">
        <f>LET(
    purpose,'Loan Tape (S&amp;P)'!R2944,
    IF(purpose="Purchase",1.00,
        IF(purpose="Remortgage",1.00,
            1.20)))</f>
        <v/>
      </c>
      <c r="L2944">
        <f>LET(
    arrears_months,'Loan Tape (S&amp;P)'!AN2944,
    IF(arrears_months=0,1.00,
    IF(arrears_months=1,3.00,
    IF(arrears_months=2,5.00,
    IF(arrears_months=3,8.00,
    IF(arrears_months=4,10.00,
    IF(arrears_months=5,12.00,15.00)))))))</f>
        <v/>
      </c>
      <c r="M2944">
        <f>LET(
    seasoning_years,DATEDIF('Loan Tape (S&amp;P)'!K2944,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44">
        <f>IF(AND('Loan Tape (S&amp;P)'!U2944="Yes",
        'Loan Tape (S&amp;P)'!T2944&lt;&gt;"Yes",
        DATEDIF('Loan Tape (S&amp;P)'!K2944, TODAY(), "M")&lt;18),
    1.10,
    1.00)</f>
        <v/>
      </c>
      <c r="O2944">
        <f>IF('Loan Tape (S&amp;P)'!T2944="Yes",
    1.35,
    1.00)</f>
        <v/>
      </c>
      <c r="P2944">
        <f>IF('Loan Tape (S&amp;P)'!S2944="Yes",
    1.15,
    1.00)</f>
        <v/>
      </c>
      <c r="Q2944">
        <f>IF('Loan Tape (S&amp;P)'!V2944="Yes",
    1.20,
    1.00)</f>
        <v/>
      </c>
      <c r="T2944">
        <f>LET(
    payment_method,'Loan Tape (S&amp;P)'!P2944,
    occupancy,'Loan Tape (S&amp;P)'!N2944,
    maturity_date,'Loan Tape (S&amp;P)'!L2944,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45">
      <c r="J2945">
        <f>LET(
    lien,'Loan Tape (S&amp;P)'!Q2945,
    IF(lien="First",1.00,
        IF(lien="Second",1.50,
            1.70)))</f>
        <v/>
      </c>
      <c r="K2945">
        <f>LET(
    purpose,'Loan Tape (S&amp;P)'!R2945,
    IF(purpose="Purchase",1.00,
        IF(purpose="Remortgage",1.00,
            1.20)))</f>
        <v/>
      </c>
      <c r="L2945">
        <f>LET(
    arrears_months,'Loan Tape (S&amp;P)'!AN2945,
    IF(arrears_months=0,1.00,
    IF(arrears_months=1,3.00,
    IF(arrears_months=2,5.00,
    IF(arrears_months=3,8.00,
    IF(arrears_months=4,10.00,
    IF(arrears_months=5,12.00,15.00)))))))</f>
        <v/>
      </c>
      <c r="M2945">
        <f>LET(
    seasoning_years,DATEDIF('Loan Tape (S&amp;P)'!K2945,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45">
        <f>IF(AND('Loan Tape (S&amp;P)'!U2945="Yes",
        'Loan Tape (S&amp;P)'!T2945&lt;&gt;"Yes",
        DATEDIF('Loan Tape (S&amp;P)'!K2945, TODAY(), "M")&lt;18),
    1.10,
    1.00)</f>
        <v/>
      </c>
      <c r="O2945">
        <f>IF('Loan Tape (S&amp;P)'!T2945="Yes",
    1.35,
    1.00)</f>
        <v/>
      </c>
      <c r="P2945">
        <f>IF('Loan Tape (S&amp;P)'!S2945="Yes",
    1.15,
    1.00)</f>
        <v/>
      </c>
      <c r="Q2945">
        <f>IF('Loan Tape (S&amp;P)'!V2945="Yes",
    1.20,
    1.00)</f>
        <v/>
      </c>
      <c r="T2945">
        <f>LET(
    payment_method,'Loan Tape (S&amp;P)'!P2945,
    occupancy,'Loan Tape (S&amp;P)'!N2945,
    maturity_date,'Loan Tape (S&amp;P)'!L2945,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46">
      <c r="J2946">
        <f>LET(
    lien,'Loan Tape (S&amp;P)'!Q2946,
    IF(lien="First",1.00,
        IF(lien="Second",1.50,
            1.70)))</f>
        <v/>
      </c>
      <c r="K2946">
        <f>LET(
    purpose,'Loan Tape (S&amp;P)'!R2946,
    IF(purpose="Purchase",1.00,
        IF(purpose="Remortgage",1.00,
            1.20)))</f>
        <v/>
      </c>
      <c r="L2946">
        <f>LET(
    arrears_months,'Loan Tape (S&amp;P)'!AN2946,
    IF(arrears_months=0,1.00,
    IF(arrears_months=1,3.00,
    IF(arrears_months=2,5.00,
    IF(arrears_months=3,8.00,
    IF(arrears_months=4,10.00,
    IF(arrears_months=5,12.00,15.00)))))))</f>
        <v/>
      </c>
      <c r="M2946">
        <f>LET(
    seasoning_years,DATEDIF('Loan Tape (S&amp;P)'!K2946,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46">
        <f>IF(AND('Loan Tape (S&amp;P)'!U2946="Yes",
        'Loan Tape (S&amp;P)'!T2946&lt;&gt;"Yes",
        DATEDIF('Loan Tape (S&amp;P)'!K2946, TODAY(), "M")&lt;18),
    1.10,
    1.00)</f>
        <v/>
      </c>
      <c r="O2946">
        <f>IF('Loan Tape (S&amp;P)'!T2946="Yes",
    1.35,
    1.00)</f>
        <v/>
      </c>
      <c r="P2946">
        <f>IF('Loan Tape (S&amp;P)'!S2946="Yes",
    1.15,
    1.00)</f>
        <v/>
      </c>
      <c r="Q2946">
        <f>IF('Loan Tape (S&amp;P)'!V2946="Yes",
    1.20,
    1.00)</f>
        <v/>
      </c>
      <c r="T2946">
        <f>LET(
    payment_method,'Loan Tape (S&amp;P)'!P2946,
    occupancy,'Loan Tape (S&amp;P)'!N2946,
    maturity_date,'Loan Tape (S&amp;P)'!L2946,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47">
      <c r="J2947">
        <f>LET(
    lien,'Loan Tape (S&amp;P)'!Q2947,
    IF(lien="First",1.00,
        IF(lien="Second",1.50,
            1.70)))</f>
        <v/>
      </c>
      <c r="K2947">
        <f>LET(
    purpose,'Loan Tape (S&amp;P)'!R2947,
    IF(purpose="Purchase",1.00,
        IF(purpose="Remortgage",1.00,
            1.20)))</f>
        <v/>
      </c>
      <c r="L2947">
        <f>LET(
    arrears_months,'Loan Tape (S&amp;P)'!AN2947,
    IF(arrears_months=0,1.00,
    IF(arrears_months=1,3.00,
    IF(arrears_months=2,5.00,
    IF(arrears_months=3,8.00,
    IF(arrears_months=4,10.00,
    IF(arrears_months=5,12.00,15.00)))))))</f>
        <v/>
      </c>
      <c r="M2947">
        <f>LET(
    seasoning_years,DATEDIF('Loan Tape (S&amp;P)'!K2947,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47">
        <f>IF(AND('Loan Tape (S&amp;P)'!U2947="Yes",
        'Loan Tape (S&amp;P)'!T2947&lt;&gt;"Yes",
        DATEDIF('Loan Tape (S&amp;P)'!K2947, TODAY(), "M")&lt;18),
    1.10,
    1.00)</f>
        <v/>
      </c>
      <c r="O2947">
        <f>IF('Loan Tape (S&amp;P)'!T2947="Yes",
    1.35,
    1.00)</f>
        <v/>
      </c>
      <c r="P2947">
        <f>IF('Loan Tape (S&amp;P)'!S2947="Yes",
    1.15,
    1.00)</f>
        <v/>
      </c>
      <c r="Q2947">
        <f>IF('Loan Tape (S&amp;P)'!V2947="Yes",
    1.20,
    1.00)</f>
        <v/>
      </c>
      <c r="T2947">
        <f>LET(
    payment_method,'Loan Tape (S&amp;P)'!P2947,
    occupancy,'Loan Tape (S&amp;P)'!N2947,
    maturity_date,'Loan Tape (S&amp;P)'!L2947,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48">
      <c r="J2948">
        <f>LET(
    lien,'Loan Tape (S&amp;P)'!Q2948,
    IF(lien="First",1.00,
        IF(lien="Second",1.50,
            1.70)))</f>
        <v/>
      </c>
      <c r="K2948">
        <f>LET(
    purpose,'Loan Tape (S&amp;P)'!R2948,
    IF(purpose="Purchase",1.00,
        IF(purpose="Remortgage",1.00,
            1.20)))</f>
        <v/>
      </c>
      <c r="L2948">
        <f>LET(
    arrears_months,'Loan Tape (S&amp;P)'!AN2948,
    IF(arrears_months=0,1.00,
    IF(arrears_months=1,3.00,
    IF(arrears_months=2,5.00,
    IF(arrears_months=3,8.00,
    IF(arrears_months=4,10.00,
    IF(arrears_months=5,12.00,15.00)))))))</f>
        <v/>
      </c>
      <c r="M2948">
        <f>LET(
    seasoning_years,DATEDIF('Loan Tape (S&amp;P)'!K2948,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48">
        <f>IF(AND('Loan Tape (S&amp;P)'!U2948="Yes",
        'Loan Tape (S&amp;P)'!T2948&lt;&gt;"Yes",
        DATEDIF('Loan Tape (S&amp;P)'!K2948, TODAY(), "M")&lt;18),
    1.10,
    1.00)</f>
        <v/>
      </c>
      <c r="O2948">
        <f>IF('Loan Tape (S&amp;P)'!T2948="Yes",
    1.35,
    1.00)</f>
        <v/>
      </c>
      <c r="P2948">
        <f>IF('Loan Tape (S&amp;P)'!S2948="Yes",
    1.15,
    1.00)</f>
        <v/>
      </c>
      <c r="Q2948">
        <f>IF('Loan Tape (S&amp;P)'!V2948="Yes",
    1.20,
    1.00)</f>
        <v/>
      </c>
      <c r="T2948">
        <f>LET(
    payment_method,'Loan Tape (S&amp;P)'!P2948,
    occupancy,'Loan Tape (S&amp;P)'!N2948,
    maturity_date,'Loan Tape (S&amp;P)'!L2948,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49">
      <c r="J2949">
        <f>LET(
    lien,'Loan Tape (S&amp;P)'!Q2949,
    IF(lien="First",1.00,
        IF(lien="Second",1.50,
            1.70)))</f>
        <v/>
      </c>
      <c r="K2949">
        <f>LET(
    purpose,'Loan Tape (S&amp;P)'!R2949,
    IF(purpose="Purchase",1.00,
        IF(purpose="Remortgage",1.00,
            1.20)))</f>
        <v/>
      </c>
      <c r="L2949">
        <f>LET(
    arrears_months,'Loan Tape (S&amp;P)'!AN2949,
    IF(arrears_months=0,1.00,
    IF(arrears_months=1,3.00,
    IF(arrears_months=2,5.00,
    IF(arrears_months=3,8.00,
    IF(arrears_months=4,10.00,
    IF(arrears_months=5,12.00,15.00)))))))</f>
        <v/>
      </c>
      <c r="M2949">
        <f>LET(
    seasoning_years,DATEDIF('Loan Tape (S&amp;P)'!K2949,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49">
        <f>IF(AND('Loan Tape (S&amp;P)'!U2949="Yes",
        'Loan Tape (S&amp;P)'!T2949&lt;&gt;"Yes",
        DATEDIF('Loan Tape (S&amp;P)'!K2949, TODAY(), "M")&lt;18),
    1.10,
    1.00)</f>
        <v/>
      </c>
      <c r="O2949">
        <f>IF('Loan Tape (S&amp;P)'!T2949="Yes",
    1.35,
    1.00)</f>
        <v/>
      </c>
      <c r="P2949">
        <f>IF('Loan Tape (S&amp;P)'!S2949="Yes",
    1.15,
    1.00)</f>
        <v/>
      </c>
      <c r="Q2949">
        <f>IF('Loan Tape (S&amp;P)'!V2949="Yes",
    1.20,
    1.00)</f>
        <v/>
      </c>
      <c r="T2949">
        <f>LET(
    payment_method,'Loan Tape (S&amp;P)'!P2949,
    occupancy,'Loan Tape (S&amp;P)'!N2949,
    maturity_date,'Loan Tape (S&amp;P)'!L2949,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50">
      <c r="J2950">
        <f>LET(
    lien,'Loan Tape (S&amp;P)'!Q2950,
    IF(lien="First",1.00,
        IF(lien="Second",1.50,
            1.70)))</f>
        <v/>
      </c>
      <c r="K2950">
        <f>LET(
    purpose,'Loan Tape (S&amp;P)'!R2950,
    IF(purpose="Purchase",1.00,
        IF(purpose="Remortgage",1.00,
            1.20)))</f>
        <v/>
      </c>
      <c r="L2950">
        <f>LET(
    arrears_months,'Loan Tape (S&amp;P)'!AN2950,
    IF(arrears_months=0,1.00,
    IF(arrears_months=1,3.00,
    IF(arrears_months=2,5.00,
    IF(arrears_months=3,8.00,
    IF(arrears_months=4,10.00,
    IF(arrears_months=5,12.00,15.00)))))))</f>
        <v/>
      </c>
      <c r="M2950">
        <f>LET(
    seasoning_years,DATEDIF('Loan Tape (S&amp;P)'!K2950,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50">
        <f>IF(AND('Loan Tape (S&amp;P)'!U2950="Yes",
        'Loan Tape (S&amp;P)'!T2950&lt;&gt;"Yes",
        DATEDIF('Loan Tape (S&amp;P)'!K2950, TODAY(), "M")&lt;18),
    1.10,
    1.00)</f>
        <v/>
      </c>
      <c r="O2950">
        <f>IF('Loan Tape (S&amp;P)'!T2950="Yes",
    1.35,
    1.00)</f>
        <v/>
      </c>
      <c r="P2950">
        <f>IF('Loan Tape (S&amp;P)'!S2950="Yes",
    1.15,
    1.00)</f>
        <v/>
      </c>
      <c r="Q2950">
        <f>IF('Loan Tape (S&amp;P)'!V2950="Yes",
    1.20,
    1.00)</f>
        <v/>
      </c>
      <c r="T2950">
        <f>LET(
    payment_method,'Loan Tape (S&amp;P)'!P2950,
    occupancy,'Loan Tape (S&amp;P)'!N2950,
    maturity_date,'Loan Tape (S&amp;P)'!L2950,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51">
      <c r="J2951">
        <f>LET(
    lien,'Loan Tape (S&amp;P)'!Q2951,
    IF(lien="First",1.00,
        IF(lien="Second",1.50,
            1.70)))</f>
        <v/>
      </c>
      <c r="K2951">
        <f>LET(
    purpose,'Loan Tape (S&amp;P)'!R2951,
    IF(purpose="Purchase",1.00,
        IF(purpose="Remortgage",1.00,
            1.20)))</f>
        <v/>
      </c>
      <c r="L2951">
        <f>LET(
    arrears_months,'Loan Tape (S&amp;P)'!AN2951,
    IF(arrears_months=0,1.00,
    IF(arrears_months=1,3.00,
    IF(arrears_months=2,5.00,
    IF(arrears_months=3,8.00,
    IF(arrears_months=4,10.00,
    IF(arrears_months=5,12.00,15.00)))))))</f>
        <v/>
      </c>
      <c r="M2951">
        <f>LET(
    seasoning_years,DATEDIF('Loan Tape (S&amp;P)'!K2951,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51">
        <f>IF(AND('Loan Tape (S&amp;P)'!U2951="Yes",
        'Loan Tape (S&amp;P)'!T2951&lt;&gt;"Yes",
        DATEDIF('Loan Tape (S&amp;P)'!K2951, TODAY(), "M")&lt;18),
    1.10,
    1.00)</f>
        <v/>
      </c>
      <c r="O2951">
        <f>IF('Loan Tape (S&amp;P)'!T2951="Yes",
    1.35,
    1.00)</f>
        <v/>
      </c>
      <c r="P2951">
        <f>IF('Loan Tape (S&amp;P)'!S2951="Yes",
    1.15,
    1.00)</f>
        <v/>
      </c>
      <c r="Q2951">
        <f>IF('Loan Tape (S&amp;P)'!V2951="Yes",
    1.20,
    1.00)</f>
        <v/>
      </c>
      <c r="T2951">
        <f>LET(
    payment_method,'Loan Tape (S&amp;P)'!P2951,
    occupancy,'Loan Tape (S&amp;P)'!N2951,
    maturity_date,'Loan Tape (S&amp;P)'!L2951,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52">
      <c r="J2952">
        <f>LET(
    lien,'Loan Tape (S&amp;P)'!Q2952,
    IF(lien="First",1.00,
        IF(lien="Second",1.50,
            1.70)))</f>
        <v/>
      </c>
      <c r="K2952">
        <f>LET(
    purpose,'Loan Tape (S&amp;P)'!R2952,
    IF(purpose="Purchase",1.00,
        IF(purpose="Remortgage",1.00,
            1.20)))</f>
        <v/>
      </c>
      <c r="L2952">
        <f>LET(
    arrears_months,'Loan Tape (S&amp;P)'!AN2952,
    IF(arrears_months=0,1.00,
    IF(arrears_months=1,3.00,
    IF(arrears_months=2,5.00,
    IF(arrears_months=3,8.00,
    IF(arrears_months=4,10.00,
    IF(arrears_months=5,12.00,15.00)))))))</f>
        <v/>
      </c>
      <c r="M2952">
        <f>LET(
    seasoning_years,DATEDIF('Loan Tape (S&amp;P)'!K2952,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52">
        <f>IF(AND('Loan Tape (S&amp;P)'!U2952="Yes",
        'Loan Tape (S&amp;P)'!T2952&lt;&gt;"Yes",
        DATEDIF('Loan Tape (S&amp;P)'!K2952, TODAY(), "M")&lt;18),
    1.10,
    1.00)</f>
        <v/>
      </c>
      <c r="O2952">
        <f>IF('Loan Tape (S&amp;P)'!T2952="Yes",
    1.35,
    1.00)</f>
        <v/>
      </c>
      <c r="P2952">
        <f>IF('Loan Tape (S&amp;P)'!S2952="Yes",
    1.15,
    1.00)</f>
        <v/>
      </c>
      <c r="Q2952">
        <f>IF('Loan Tape (S&amp;P)'!V2952="Yes",
    1.20,
    1.00)</f>
        <v/>
      </c>
      <c r="T2952">
        <f>LET(
    payment_method,'Loan Tape (S&amp;P)'!P2952,
    occupancy,'Loan Tape (S&amp;P)'!N2952,
    maturity_date,'Loan Tape (S&amp;P)'!L2952,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53">
      <c r="J2953">
        <f>LET(
    lien,'Loan Tape (S&amp;P)'!Q2953,
    IF(lien="First",1.00,
        IF(lien="Second",1.50,
            1.70)))</f>
        <v/>
      </c>
      <c r="K2953">
        <f>LET(
    purpose,'Loan Tape (S&amp;P)'!R2953,
    IF(purpose="Purchase",1.00,
        IF(purpose="Remortgage",1.00,
            1.20)))</f>
        <v/>
      </c>
      <c r="L2953">
        <f>LET(
    arrears_months,'Loan Tape (S&amp;P)'!AN2953,
    IF(arrears_months=0,1.00,
    IF(arrears_months=1,3.00,
    IF(arrears_months=2,5.00,
    IF(arrears_months=3,8.00,
    IF(arrears_months=4,10.00,
    IF(arrears_months=5,12.00,15.00)))))))</f>
        <v/>
      </c>
      <c r="M2953">
        <f>LET(
    seasoning_years,DATEDIF('Loan Tape (S&amp;P)'!K2953,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53">
        <f>IF(AND('Loan Tape (S&amp;P)'!U2953="Yes",
        'Loan Tape (S&amp;P)'!T2953&lt;&gt;"Yes",
        DATEDIF('Loan Tape (S&amp;P)'!K2953, TODAY(), "M")&lt;18),
    1.10,
    1.00)</f>
        <v/>
      </c>
      <c r="O2953">
        <f>IF('Loan Tape (S&amp;P)'!T2953="Yes",
    1.35,
    1.00)</f>
        <v/>
      </c>
      <c r="P2953">
        <f>IF('Loan Tape (S&amp;P)'!S2953="Yes",
    1.15,
    1.00)</f>
        <v/>
      </c>
      <c r="Q2953">
        <f>IF('Loan Tape (S&amp;P)'!V2953="Yes",
    1.20,
    1.00)</f>
        <v/>
      </c>
      <c r="T2953">
        <f>LET(
    payment_method,'Loan Tape (S&amp;P)'!P2953,
    occupancy,'Loan Tape (S&amp;P)'!N2953,
    maturity_date,'Loan Tape (S&amp;P)'!L2953,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54">
      <c r="J2954">
        <f>LET(
    lien,'Loan Tape (S&amp;P)'!Q2954,
    IF(lien="First",1.00,
        IF(lien="Second",1.50,
            1.70)))</f>
        <v/>
      </c>
      <c r="K2954">
        <f>LET(
    purpose,'Loan Tape (S&amp;P)'!R2954,
    IF(purpose="Purchase",1.00,
        IF(purpose="Remortgage",1.00,
            1.20)))</f>
        <v/>
      </c>
      <c r="L2954">
        <f>LET(
    arrears_months,'Loan Tape (S&amp;P)'!AN2954,
    IF(arrears_months=0,1.00,
    IF(arrears_months=1,3.00,
    IF(arrears_months=2,5.00,
    IF(arrears_months=3,8.00,
    IF(arrears_months=4,10.00,
    IF(arrears_months=5,12.00,15.00)))))))</f>
        <v/>
      </c>
      <c r="M2954">
        <f>LET(
    seasoning_years,DATEDIF('Loan Tape (S&amp;P)'!K2954,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54">
        <f>IF(AND('Loan Tape (S&amp;P)'!U2954="Yes",
        'Loan Tape (S&amp;P)'!T2954&lt;&gt;"Yes",
        DATEDIF('Loan Tape (S&amp;P)'!K2954, TODAY(), "M")&lt;18),
    1.10,
    1.00)</f>
        <v/>
      </c>
      <c r="O2954">
        <f>IF('Loan Tape (S&amp;P)'!T2954="Yes",
    1.35,
    1.00)</f>
        <v/>
      </c>
      <c r="P2954">
        <f>IF('Loan Tape (S&amp;P)'!S2954="Yes",
    1.15,
    1.00)</f>
        <v/>
      </c>
      <c r="Q2954">
        <f>IF('Loan Tape (S&amp;P)'!V2954="Yes",
    1.20,
    1.00)</f>
        <v/>
      </c>
      <c r="T2954">
        <f>LET(
    payment_method,'Loan Tape (S&amp;P)'!P2954,
    occupancy,'Loan Tape (S&amp;P)'!N2954,
    maturity_date,'Loan Tape (S&amp;P)'!L2954,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55">
      <c r="J2955">
        <f>LET(
    lien,'Loan Tape (S&amp;P)'!Q2955,
    IF(lien="First",1.00,
        IF(lien="Second",1.50,
            1.70)))</f>
        <v/>
      </c>
      <c r="K2955">
        <f>LET(
    purpose,'Loan Tape (S&amp;P)'!R2955,
    IF(purpose="Purchase",1.00,
        IF(purpose="Remortgage",1.00,
            1.20)))</f>
        <v/>
      </c>
      <c r="L2955">
        <f>LET(
    arrears_months,'Loan Tape (S&amp;P)'!AN2955,
    IF(arrears_months=0,1.00,
    IF(arrears_months=1,3.00,
    IF(arrears_months=2,5.00,
    IF(arrears_months=3,8.00,
    IF(arrears_months=4,10.00,
    IF(arrears_months=5,12.00,15.00)))))))</f>
        <v/>
      </c>
      <c r="M2955">
        <f>LET(
    seasoning_years,DATEDIF('Loan Tape (S&amp;P)'!K2955,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55">
        <f>IF(AND('Loan Tape (S&amp;P)'!U2955="Yes",
        'Loan Tape (S&amp;P)'!T2955&lt;&gt;"Yes",
        DATEDIF('Loan Tape (S&amp;P)'!K2955, TODAY(), "M")&lt;18),
    1.10,
    1.00)</f>
        <v/>
      </c>
      <c r="O2955">
        <f>IF('Loan Tape (S&amp;P)'!T2955="Yes",
    1.35,
    1.00)</f>
        <v/>
      </c>
      <c r="P2955">
        <f>IF('Loan Tape (S&amp;P)'!S2955="Yes",
    1.15,
    1.00)</f>
        <v/>
      </c>
      <c r="Q2955">
        <f>IF('Loan Tape (S&amp;P)'!V2955="Yes",
    1.20,
    1.00)</f>
        <v/>
      </c>
      <c r="T2955">
        <f>LET(
    payment_method,'Loan Tape (S&amp;P)'!P2955,
    occupancy,'Loan Tape (S&amp;P)'!N2955,
    maturity_date,'Loan Tape (S&amp;P)'!L2955,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56">
      <c r="J2956">
        <f>LET(
    lien,'Loan Tape (S&amp;P)'!Q2956,
    IF(lien="First",1.00,
        IF(lien="Second",1.50,
            1.70)))</f>
        <v/>
      </c>
      <c r="K2956">
        <f>LET(
    purpose,'Loan Tape (S&amp;P)'!R2956,
    IF(purpose="Purchase",1.00,
        IF(purpose="Remortgage",1.00,
            1.20)))</f>
        <v/>
      </c>
      <c r="L2956">
        <f>LET(
    arrears_months,'Loan Tape (S&amp;P)'!AN2956,
    IF(arrears_months=0,1.00,
    IF(arrears_months=1,3.00,
    IF(arrears_months=2,5.00,
    IF(arrears_months=3,8.00,
    IF(arrears_months=4,10.00,
    IF(arrears_months=5,12.00,15.00)))))))</f>
        <v/>
      </c>
      <c r="M2956">
        <f>LET(
    seasoning_years,DATEDIF('Loan Tape (S&amp;P)'!K2956,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56">
        <f>IF(AND('Loan Tape (S&amp;P)'!U2956="Yes",
        'Loan Tape (S&amp;P)'!T2956&lt;&gt;"Yes",
        DATEDIF('Loan Tape (S&amp;P)'!K2956, TODAY(), "M")&lt;18),
    1.10,
    1.00)</f>
        <v/>
      </c>
      <c r="O2956">
        <f>IF('Loan Tape (S&amp;P)'!T2956="Yes",
    1.35,
    1.00)</f>
        <v/>
      </c>
      <c r="P2956">
        <f>IF('Loan Tape (S&amp;P)'!S2956="Yes",
    1.15,
    1.00)</f>
        <v/>
      </c>
      <c r="Q2956">
        <f>IF('Loan Tape (S&amp;P)'!V2956="Yes",
    1.20,
    1.00)</f>
        <v/>
      </c>
      <c r="T2956">
        <f>LET(
    payment_method,'Loan Tape (S&amp;P)'!P2956,
    occupancy,'Loan Tape (S&amp;P)'!N2956,
    maturity_date,'Loan Tape (S&amp;P)'!L2956,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57">
      <c r="J2957">
        <f>LET(
    lien,'Loan Tape (S&amp;P)'!Q2957,
    IF(lien="First",1.00,
        IF(lien="Second",1.50,
            1.70)))</f>
        <v/>
      </c>
      <c r="K2957">
        <f>LET(
    purpose,'Loan Tape (S&amp;P)'!R2957,
    IF(purpose="Purchase",1.00,
        IF(purpose="Remortgage",1.00,
            1.20)))</f>
        <v/>
      </c>
      <c r="L2957">
        <f>LET(
    arrears_months,'Loan Tape (S&amp;P)'!AN2957,
    IF(arrears_months=0,1.00,
    IF(arrears_months=1,3.00,
    IF(arrears_months=2,5.00,
    IF(arrears_months=3,8.00,
    IF(arrears_months=4,10.00,
    IF(arrears_months=5,12.00,15.00)))))))</f>
        <v/>
      </c>
      <c r="M2957">
        <f>LET(
    seasoning_years,DATEDIF('Loan Tape (S&amp;P)'!K2957,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57">
        <f>IF(AND('Loan Tape (S&amp;P)'!U2957="Yes",
        'Loan Tape (S&amp;P)'!T2957&lt;&gt;"Yes",
        DATEDIF('Loan Tape (S&amp;P)'!K2957, TODAY(), "M")&lt;18),
    1.10,
    1.00)</f>
        <v/>
      </c>
      <c r="O2957">
        <f>IF('Loan Tape (S&amp;P)'!T2957="Yes",
    1.35,
    1.00)</f>
        <v/>
      </c>
      <c r="P2957">
        <f>IF('Loan Tape (S&amp;P)'!S2957="Yes",
    1.15,
    1.00)</f>
        <v/>
      </c>
      <c r="Q2957">
        <f>IF('Loan Tape (S&amp;P)'!V2957="Yes",
    1.20,
    1.00)</f>
        <v/>
      </c>
      <c r="T2957">
        <f>LET(
    payment_method,'Loan Tape (S&amp;P)'!P2957,
    occupancy,'Loan Tape (S&amp;P)'!N2957,
    maturity_date,'Loan Tape (S&amp;P)'!L2957,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58">
      <c r="J2958">
        <f>LET(
    lien,'Loan Tape (S&amp;P)'!Q2958,
    IF(lien="First",1.00,
        IF(lien="Second",1.50,
            1.70)))</f>
        <v/>
      </c>
      <c r="K2958">
        <f>LET(
    purpose,'Loan Tape (S&amp;P)'!R2958,
    IF(purpose="Purchase",1.00,
        IF(purpose="Remortgage",1.00,
            1.20)))</f>
        <v/>
      </c>
      <c r="L2958">
        <f>LET(
    arrears_months,'Loan Tape (S&amp;P)'!AN2958,
    IF(arrears_months=0,1.00,
    IF(arrears_months=1,3.00,
    IF(arrears_months=2,5.00,
    IF(arrears_months=3,8.00,
    IF(arrears_months=4,10.00,
    IF(arrears_months=5,12.00,15.00)))))))</f>
        <v/>
      </c>
      <c r="M2958">
        <f>LET(
    seasoning_years,DATEDIF('Loan Tape (S&amp;P)'!K2958,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58">
        <f>IF(AND('Loan Tape (S&amp;P)'!U2958="Yes",
        'Loan Tape (S&amp;P)'!T2958&lt;&gt;"Yes",
        DATEDIF('Loan Tape (S&amp;P)'!K2958, TODAY(), "M")&lt;18),
    1.10,
    1.00)</f>
        <v/>
      </c>
      <c r="O2958">
        <f>IF('Loan Tape (S&amp;P)'!T2958="Yes",
    1.35,
    1.00)</f>
        <v/>
      </c>
      <c r="P2958">
        <f>IF('Loan Tape (S&amp;P)'!S2958="Yes",
    1.15,
    1.00)</f>
        <v/>
      </c>
      <c r="Q2958">
        <f>IF('Loan Tape (S&amp;P)'!V2958="Yes",
    1.20,
    1.00)</f>
        <v/>
      </c>
      <c r="T2958">
        <f>LET(
    payment_method,'Loan Tape (S&amp;P)'!P2958,
    occupancy,'Loan Tape (S&amp;P)'!N2958,
    maturity_date,'Loan Tape (S&amp;P)'!L2958,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59">
      <c r="J2959">
        <f>LET(
    lien,'Loan Tape (S&amp;P)'!Q2959,
    IF(lien="First",1.00,
        IF(lien="Second",1.50,
            1.70)))</f>
        <v/>
      </c>
      <c r="K2959">
        <f>LET(
    purpose,'Loan Tape (S&amp;P)'!R2959,
    IF(purpose="Purchase",1.00,
        IF(purpose="Remortgage",1.00,
            1.20)))</f>
        <v/>
      </c>
      <c r="L2959">
        <f>LET(
    arrears_months,'Loan Tape (S&amp;P)'!AN2959,
    IF(arrears_months=0,1.00,
    IF(arrears_months=1,3.00,
    IF(arrears_months=2,5.00,
    IF(arrears_months=3,8.00,
    IF(arrears_months=4,10.00,
    IF(arrears_months=5,12.00,15.00)))))))</f>
        <v/>
      </c>
      <c r="M2959">
        <f>LET(
    seasoning_years,DATEDIF('Loan Tape (S&amp;P)'!K2959,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59">
        <f>IF(AND('Loan Tape (S&amp;P)'!U2959="Yes",
        'Loan Tape (S&amp;P)'!T2959&lt;&gt;"Yes",
        DATEDIF('Loan Tape (S&amp;P)'!K2959, TODAY(), "M")&lt;18),
    1.10,
    1.00)</f>
        <v/>
      </c>
      <c r="O2959">
        <f>IF('Loan Tape (S&amp;P)'!T2959="Yes",
    1.35,
    1.00)</f>
        <v/>
      </c>
      <c r="P2959">
        <f>IF('Loan Tape (S&amp;P)'!S2959="Yes",
    1.15,
    1.00)</f>
        <v/>
      </c>
      <c r="Q2959">
        <f>IF('Loan Tape (S&amp;P)'!V2959="Yes",
    1.20,
    1.00)</f>
        <v/>
      </c>
      <c r="T2959">
        <f>LET(
    payment_method,'Loan Tape (S&amp;P)'!P2959,
    occupancy,'Loan Tape (S&amp;P)'!N2959,
    maturity_date,'Loan Tape (S&amp;P)'!L2959,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60">
      <c r="J2960">
        <f>LET(
    lien,'Loan Tape (S&amp;P)'!Q2960,
    IF(lien="First",1.00,
        IF(lien="Second",1.50,
            1.70)))</f>
        <v/>
      </c>
      <c r="K2960">
        <f>LET(
    purpose,'Loan Tape (S&amp;P)'!R2960,
    IF(purpose="Purchase",1.00,
        IF(purpose="Remortgage",1.00,
            1.20)))</f>
        <v/>
      </c>
      <c r="L2960">
        <f>LET(
    arrears_months,'Loan Tape (S&amp;P)'!AN2960,
    IF(arrears_months=0,1.00,
    IF(arrears_months=1,3.00,
    IF(arrears_months=2,5.00,
    IF(arrears_months=3,8.00,
    IF(arrears_months=4,10.00,
    IF(arrears_months=5,12.00,15.00)))))))</f>
        <v/>
      </c>
      <c r="M2960">
        <f>LET(
    seasoning_years,DATEDIF('Loan Tape (S&amp;P)'!K2960,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60">
        <f>IF(AND('Loan Tape (S&amp;P)'!U2960="Yes",
        'Loan Tape (S&amp;P)'!T2960&lt;&gt;"Yes",
        DATEDIF('Loan Tape (S&amp;P)'!K2960, TODAY(), "M")&lt;18),
    1.10,
    1.00)</f>
        <v/>
      </c>
      <c r="O2960">
        <f>IF('Loan Tape (S&amp;P)'!T2960="Yes",
    1.35,
    1.00)</f>
        <v/>
      </c>
      <c r="P2960">
        <f>IF('Loan Tape (S&amp;P)'!S2960="Yes",
    1.15,
    1.00)</f>
        <v/>
      </c>
      <c r="Q2960">
        <f>IF('Loan Tape (S&amp;P)'!V2960="Yes",
    1.20,
    1.00)</f>
        <v/>
      </c>
      <c r="T2960">
        <f>LET(
    payment_method,'Loan Tape (S&amp;P)'!P2960,
    occupancy,'Loan Tape (S&amp;P)'!N2960,
    maturity_date,'Loan Tape (S&amp;P)'!L2960,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61">
      <c r="J2961">
        <f>LET(
    lien,'Loan Tape (S&amp;P)'!Q2961,
    IF(lien="First",1.00,
        IF(lien="Second",1.50,
            1.70)))</f>
        <v/>
      </c>
      <c r="K2961">
        <f>LET(
    purpose,'Loan Tape (S&amp;P)'!R2961,
    IF(purpose="Purchase",1.00,
        IF(purpose="Remortgage",1.00,
            1.20)))</f>
        <v/>
      </c>
      <c r="L2961">
        <f>LET(
    arrears_months,'Loan Tape (S&amp;P)'!AN2961,
    IF(arrears_months=0,1.00,
    IF(arrears_months=1,3.00,
    IF(arrears_months=2,5.00,
    IF(arrears_months=3,8.00,
    IF(arrears_months=4,10.00,
    IF(arrears_months=5,12.00,15.00)))))))</f>
        <v/>
      </c>
      <c r="M2961">
        <f>LET(
    seasoning_years,DATEDIF('Loan Tape (S&amp;P)'!K2961,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61">
        <f>IF(AND('Loan Tape (S&amp;P)'!U2961="Yes",
        'Loan Tape (S&amp;P)'!T2961&lt;&gt;"Yes",
        DATEDIF('Loan Tape (S&amp;P)'!K2961, TODAY(), "M")&lt;18),
    1.10,
    1.00)</f>
        <v/>
      </c>
      <c r="O2961">
        <f>IF('Loan Tape (S&amp;P)'!T2961="Yes",
    1.35,
    1.00)</f>
        <v/>
      </c>
      <c r="P2961">
        <f>IF('Loan Tape (S&amp;P)'!S2961="Yes",
    1.15,
    1.00)</f>
        <v/>
      </c>
      <c r="Q2961">
        <f>IF('Loan Tape (S&amp;P)'!V2961="Yes",
    1.20,
    1.00)</f>
        <v/>
      </c>
      <c r="T2961">
        <f>LET(
    payment_method,'Loan Tape (S&amp;P)'!P2961,
    occupancy,'Loan Tape (S&amp;P)'!N2961,
    maturity_date,'Loan Tape (S&amp;P)'!L2961,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62">
      <c r="J2962">
        <f>LET(
    lien,'Loan Tape (S&amp;P)'!Q2962,
    IF(lien="First",1.00,
        IF(lien="Second",1.50,
            1.70)))</f>
        <v/>
      </c>
      <c r="K2962">
        <f>LET(
    purpose,'Loan Tape (S&amp;P)'!R2962,
    IF(purpose="Purchase",1.00,
        IF(purpose="Remortgage",1.00,
            1.20)))</f>
        <v/>
      </c>
      <c r="L2962">
        <f>LET(
    arrears_months,'Loan Tape (S&amp;P)'!AN2962,
    IF(arrears_months=0,1.00,
    IF(arrears_months=1,3.00,
    IF(arrears_months=2,5.00,
    IF(arrears_months=3,8.00,
    IF(arrears_months=4,10.00,
    IF(arrears_months=5,12.00,15.00)))))))</f>
        <v/>
      </c>
      <c r="M2962">
        <f>LET(
    seasoning_years,DATEDIF('Loan Tape (S&amp;P)'!K2962,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62">
        <f>IF(AND('Loan Tape (S&amp;P)'!U2962="Yes",
        'Loan Tape (S&amp;P)'!T2962&lt;&gt;"Yes",
        DATEDIF('Loan Tape (S&amp;P)'!K2962, TODAY(), "M")&lt;18),
    1.10,
    1.00)</f>
        <v/>
      </c>
      <c r="O2962">
        <f>IF('Loan Tape (S&amp;P)'!T2962="Yes",
    1.35,
    1.00)</f>
        <v/>
      </c>
      <c r="P2962">
        <f>IF('Loan Tape (S&amp;P)'!S2962="Yes",
    1.15,
    1.00)</f>
        <v/>
      </c>
      <c r="Q2962">
        <f>IF('Loan Tape (S&amp;P)'!V2962="Yes",
    1.20,
    1.00)</f>
        <v/>
      </c>
      <c r="T2962">
        <f>LET(
    payment_method,'Loan Tape (S&amp;P)'!P2962,
    occupancy,'Loan Tape (S&amp;P)'!N2962,
    maturity_date,'Loan Tape (S&amp;P)'!L2962,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63">
      <c r="J2963">
        <f>LET(
    lien,'Loan Tape (S&amp;P)'!Q2963,
    IF(lien="First",1.00,
        IF(lien="Second",1.50,
            1.70)))</f>
        <v/>
      </c>
      <c r="K2963">
        <f>LET(
    purpose,'Loan Tape (S&amp;P)'!R2963,
    IF(purpose="Purchase",1.00,
        IF(purpose="Remortgage",1.00,
            1.20)))</f>
        <v/>
      </c>
      <c r="L2963">
        <f>LET(
    arrears_months,'Loan Tape (S&amp;P)'!AN2963,
    IF(arrears_months=0,1.00,
    IF(arrears_months=1,3.00,
    IF(arrears_months=2,5.00,
    IF(arrears_months=3,8.00,
    IF(arrears_months=4,10.00,
    IF(arrears_months=5,12.00,15.00)))))))</f>
        <v/>
      </c>
      <c r="M2963">
        <f>LET(
    seasoning_years,DATEDIF('Loan Tape (S&amp;P)'!K2963,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63">
        <f>IF(AND('Loan Tape (S&amp;P)'!U2963="Yes",
        'Loan Tape (S&amp;P)'!T2963&lt;&gt;"Yes",
        DATEDIF('Loan Tape (S&amp;P)'!K2963, TODAY(), "M")&lt;18),
    1.10,
    1.00)</f>
        <v/>
      </c>
      <c r="O2963">
        <f>IF('Loan Tape (S&amp;P)'!T2963="Yes",
    1.35,
    1.00)</f>
        <v/>
      </c>
      <c r="P2963">
        <f>IF('Loan Tape (S&amp;P)'!S2963="Yes",
    1.15,
    1.00)</f>
        <v/>
      </c>
      <c r="Q2963">
        <f>IF('Loan Tape (S&amp;P)'!V2963="Yes",
    1.20,
    1.00)</f>
        <v/>
      </c>
      <c r="T2963">
        <f>LET(
    payment_method,'Loan Tape (S&amp;P)'!P2963,
    occupancy,'Loan Tape (S&amp;P)'!N2963,
    maturity_date,'Loan Tape (S&amp;P)'!L2963,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64">
      <c r="J2964">
        <f>LET(
    lien,'Loan Tape (S&amp;P)'!Q2964,
    IF(lien="First",1.00,
        IF(lien="Second",1.50,
            1.70)))</f>
        <v/>
      </c>
      <c r="K2964">
        <f>LET(
    purpose,'Loan Tape (S&amp;P)'!R2964,
    IF(purpose="Purchase",1.00,
        IF(purpose="Remortgage",1.00,
            1.20)))</f>
        <v/>
      </c>
      <c r="L2964">
        <f>LET(
    arrears_months,'Loan Tape (S&amp;P)'!AN2964,
    IF(arrears_months=0,1.00,
    IF(arrears_months=1,3.00,
    IF(arrears_months=2,5.00,
    IF(arrears_months=3,8.00,
    IF(arrears_months=4,10.00,
    IF(arrears_months=5,12.00,15.00)))))))</f>
        <v/>
      </c>
      <c r="M2964">
        <f>LET(
    seasoning_years,DATEDIF('Loan Tape (S&amp;P)'!K2964,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64">
        <f>IF(AND('Loan Tape (S&amp;P)'!U2964="Yes",
        'Loan Tape (S&amp;P)'!T2964&lt;&gt;"Yes",
        DATEDIF('Loan Tape (S&amp;P)'!K2964, TODAY(), "M")&lt;18),
    1.10,
    1.00)</f>
        <v/>
      </c>
      <c r="O2964">
        <f>IF('Loan Tape (S&amp;P)'!T2964="Yes",
    1.35,
    1.00)</f>
        <v/>
      </c>
      <c r="P2964">
        <f>IF('Loan Tape (S&amp;P)'!S2964="Yes",
    1.15,
    1.00)</f>
        <v/>
      </c>
      <c r="Q2964">
        <f>IF('Loan Tape (S&amp;P)'!V2964="Yes",
    1.20,
    1.00)</f>
        <v/>
      </c>
      <c r="T2964">
        <f>LET(
    payment_method,'Loan Tape (S&amp;P)'!P2964,
    occupancy,'Loan Tape (S&amp;P)'!N2964,
    maturity_date,'Loan Tape (S&amp;P)'!L2964,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65">
      <c r="J2965">
        <f>LET(
    lien,'Loan Tape (S&amp;P)'!Q2965,
    IF(lien="First",1.00,
        IF(lien="Second",1.50,
            1.70)))</f>
        <v/>
      </c>
      <c r="K2965">
        <f>LET(
    purpose,'Loan Tape (S&amp;P)'!R2965,
    IF(purpose="Purchase",1.00,
        IF(purpose="Remortgage",1.00,
            1.20)))</f>
        <v/>
      </c>
      <c r="L2965">
        <f>LET(
    arrears_months,'Loan Tape (S&amp;P)'!AN2965,
    IF(arrears_months=0,1.00,
    IF(arrears_months=1,3.00,
    IF(arrears_months=2,5.00,
    IF(arrears_months=3,8.00,
    IF(arrears_months=4,10.00,
    IF(arrears_months=5,12.00,15.00)))))))</f>
        <v/>
      </c>
      <c r="M2965">
        <f>LET(
    seasoning_years,DATEDIF('Loan Tape (S&amp;P)'!K2965,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65">
        <f>IF(AND('Loan Tape (S&amp;P)'!U2965="Yes",
        'Loan Tape (S&amp;P)'!T2965&lt;&gt;"Yes",
        DATEDIF('Loan Tape (S&amp;P)'!K2965, TODAY(), "M")&lt;18),
    1.10,
    1.00)</f>
        <v/>
      </c>
      <c r="O2965">
        <f>IF('Loan Tape (S&amp;P)'!T2965="Yes",
    1.35,
    1.00)</f>
        <v/>
      </c>
      <c r="P2965">
        <f>IF('Loan Tape (S&amp;P)'!S2965="Yes",
    1.15,
    1.00)</f>
        <v/>
      </c>
      <c r="Q2965">
        <f>IF('Loan Tape (S&amp;P)'!V2965="Yes",
    1.20,
    1.00)</f>
        <v/>
      </c>
      <c r="T2965">
        <f>LET(
    payment_method,'Loan Tape (S&amp;P)'!P2965,
    occupancy,'Loan Tape (S&amp;P)'!N2965,
    maturity_date,'Loan Tape (S&amp;P)'!L2965,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66">
      <c r="J2966">
        <f>LET(
    lien,'Loan Tape (S&amp;P)'!Q2966,
    IF(lien="First",1.00,
        IF(lien="Second",1.50,
            1.70)))</f>
        <v/>
      </c>
      <c r="K2966">
        <f>LET(
    purpose,'Loan Tape (S&amp;P)'!R2966,
    IF(purpose="Purchase",1.00,
        IF(purpose="Remortgage",1.00,
            1.20)))</f>
        <v/>
      </c>
      <c r="L2966">
        <f>LET(
    arrears_months,'Loan Tape (S&amp;P)'!AN2966,
    IF(arrears_months=0,1.00,
    IF(arrears_months=1,3.00,
    IF(arrears_months=2,5.00,
    IF(arrears_months=3,8.00,
    IF(arrears_months=4,10.00,
    IF(arrears_months=5,12.00,15.00)))))))</f>
        <v/>
      </c>
      <c r="M2966">
        <f>LET(
    seasoning_years,DATEDIF('Loan Tape (S&amp;P)'!K2966,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66">
        <f>IF(AND('Loan Tape (S&amp;P)'!U2966="Yes",
        'Loan Tape (S&amp;P)'!T2966&lt;&gt;"Yes",
        DATEDIF('Loan Tape (S&amp;P)'!K2966, TODAY(), "M")&lt;18),
    1.10,
    1.00)</f>
        <v/>
      </c>
      <c r="O2966">
        <f>IF('Loan Tape (S&amp;P)'!T2966="Yes",
    1.35,
    1.00)</f>
        <v/>
      </c>
      <c r="P2966">
        <f>IF('Loan Tape (S&amp;P)'!S2966="Yes",
    1.15,
    1.00)</f>
        <v/>
      </c>
      <c r="Q2966">
        <f>IF('Loan Tape (S&amp;P)'!V2966="Yes",
    1.20,
    1.00)</f>
        <v/>
      </c>
      <c r="T2966">
        <f>LET(
    payment_method,'Loan Tape (S&amp;P)'!P2966,
    occupancy,'Loan Tape (S&amp;P)'!N2966,
    maturity_date,'Loan Tape (S&amp;P)'!L2966,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67">
      <c r="J2967">
        <f>LET(
    lien,'Loan Tape (S&amp;P)'!Q2967,
    IF(lien="First",1.00,
        IF(lien="Second",1.50,
            1.70)))</f>
        <v/>
      </c>
      <c r="K2967">
        <f>LET(
    purpose,'Loan Tape (S&amp;P)'!R2967,
    IF(purpose="Purchase",1.00,
        IF(purpose="Remortgage",1.00,
            1.20)))</f>
        <v/>
      </c>
      <c r="L2967">
        <f>LET(
    arrears_months,'Loan Tape (S&amp;P)'!AN2967,
    IF(arrears_months=0,1.00,
    IF(arrears_months=1,3.00,
    IF(arrears_months=2,5.00,
    IF(arrears_months=3,8.00,
    IF(arrears_months=4,10.00,
    IF(arrears_months=5,12.00,15.00)))))))</f>
        <v/>
      </c>
      <c r="M2967">
        <f>LET(
    seasoning_years,DATEDIF('Loan Tape (S&amp;P)'!K2967,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67">
        <f>IF(AND('Loan Tape (S&amp;P)'!U2967="Yes",
        'Loan Tape (S&amp;P)'!T2967&lt;&gt;"Yes",
        DATEDIF('Loan Tape (S&amp;P)'!K2967, TODAY(), "M")&lt;18),
    1.10,
    1.00)</f>
        <v/>
      </c>
      <c r="O2967">
        <f>IF('Loan Tape (S&amp;P)'!T2967="Yes",
    1.35,
    1.00)</f>
        <v/>
      </c>
      <c r="P2967">
        <f>IF('Loan Tape (S&amp;P)'!S2967="Yes",
    1.15,
    1.00)</f>
        <v/>
      </c>
      <c r="Q2967">
        <f>IF('Loan Tape (S&amp;P)'!V2967="Yes",
    1.20,
    1.00)</f>
        <v/>
      </c>
      <c r="T2967">
        <f>LET(
    payment_method,'Loan Tape (S&amp;P)'!P2967,
    occupancy,'Loan Tape (S&amp;P)'!N2967,
    maturity_date,'Loan Tape (S&amp;P)'!L2967,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68">
      <c r="J2968">
        <f>LET(
    lien,'Loan Tape (S&amp;P)'!Q2968,
    IF(lien="First",1.00,
        IF(lien="Second",1.50,
            1.70)))</f>
        <v/>
      </c>
      <c r="K2968">
        <f>LET(
    purpose,'Loan Tape (S&amp;P)'!R2968,
    IF(purpose="Purchase",1.00,
        IF(purpose="Remortgage",1.00,
            1.20)))</f>
        <v/>
      </c>
      <c r="L2968">
        <f>LET(
    arrears_months,'Loan Tape (S&amp;P)'!AN2968,
    IF(arrears_months=0,1.00,
    IF(arrears_months=1,3.00,
    IF(arrears_months=2,5.00,
    IF(arrears_months=3,8.00,
    IF(arrears_months=4,10.00,
    IF(arrears_months=5,12.00,15.00)))))))</f>
        <v/>
      </c>
      <c r="M2968">
        <f>LET(
    seasoning_years,DATEDIF('Loan Tape (S&amp;P)'!K2968,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68">
        <f>IF(AND('Loan Tape (S&amp;P)'!U2968="Yes",
        'Loan Tape (S&amp;P)'!T2968&lt;&gt;"Yes",
        DATEDIF('Loan Tape (S&amp;P)'!K2968, TODAY(), "M")&lt;18),
    1.10,
    1.00)</f>
        <v/>
      </c>
      <c r="O2968">
        <f>IF('Loan Tape (S&amp;P)'!T2968="Yes",
    1.35,
    1.00)</f>
        <v/>
      </c>
      <c r="P2968">
        <f>IF('Loan Tape (S&amp;P)'!S2968="Yes",
    1.15,
    1.00)</f>
        <v/>
      </c>
      <c r="Q2968">
        <f>IF('Loan Tape (S&amp;P)'!V2968="Yes",
    1.20,
    1.00)</f>
        <v/>
      </c>
      <c r="T2968">
        <f>LET(
    payment_method,'Loan Tape (S&amp;P)'!P2968,
    occupancy,'Loan Tape (S&amp;P)'!N2968,
    maturity_date,'Loan Tape (S&amp;P)'!L2968,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69">
      <c r="J2969">
        <f>LET(
    lien,'Loan Tape (S&amp;P)'!Q2969,
    IF(lien="First",1.00,
        IF(lien="Second",1.50,
            1.70)))</f>
        <v/>
      </c>
      <c r="K2969">
        <f>LET(
    purpose,'Loan Tape (S&amp;P)'!R2969,
    IF(purpose="Purchase",1.00,
        IF(purpose="Remortgage",1.00,
            1.20)))</f>
        <v/>
      </c>
      <c r="L2969">
        <f>LET(
    arrears_months,'Loan Tape (S&amp;P)'!AN2969,
    IF(arrears_months=0,1.00,
    IF(arrears_months=1,3.00,
    IF(arrears_months=2,5.00,
    IF(arrears_months=3,8.00,
    IF(arrears_months=4,10.00,
    IF(arrears_months=5,12.00,15.00)))))))</f>
        <v/>
      </c>
      <c r="M2969">
        <f>LET(
    seasoning_years,DATEDIF('Loan Tape (S&amp;P)'!K2969,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69">
        <f>IF(AND('Loan Tape (S&amp;P)'!U2969="Yes",
        'Loan Tape (S&amp;P)'!T2969&lt;&gt;"Yes",
        DATEDIF('Loan Tape (S&amp;P)'!K2969, TODAY(), "M")&lt;18),
    1.10,
    1.00)</f>
        <v/>
      </c>
      <c r="O2969">
        <f>IF('Loan Tape (S&amp;P)'!T2969="Yes",
    1.35,
    1.00)</f>
        <v/>
      </c>
      <c r="P2969">
        <f>IF('Loan Tape (S&amp;P)'!S2969="Yes",
    1.15,
    1.00)</f>
        <v/>
      </c>
      <c r="Q2969">
        <f>IF('Loan Tape (S&amp;P)'!V2969="Yes",
    1.20,
    1.00)</f>
        <v/>
      </c>
      <c r="T2969">
        <f>LET(
    payment_method,'Loan Tape (S&amp;P)'!P2969,
    occupancy,'Loan Tape (S&amp;P)'!N2969,
    maturity_date,'Loan Tape (S&amp;P)'!L2969,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70">
      <c r="J2970">
        <f>LET(
    lien,'Loan Tape (S&amp;P)'!Q2970,
    IF(lien="First",1.00,
        IF(lien="Second",1.50,
            1.70)))</f>
        <v/>
      </c>
      <c r="K2970">
        <f>LET(
    purpose,'Loan Tape (S&amp;P)'!R2970,
    IF(purpose="Purchase",1.00,
        IF(purpose="Remortgage",1.00,
            1.20)))</f>
        <v/>
      </c>
      <c r="L2970">
        <f>LET(
    arrears_months,'Loan Tape (S&amp;P)'!AN2970,
    IF(arrears_months=0,1.00,
    IF(arrears_months=1,3.00,
    IF(arrears_months=2,5.00,
    IF(arrears_months=3,8.00,
    IF(arrears_months=4,10.00,
    IF(arrears_months=5,12.00,15.00)))))))</f>
        <v/>
      </c>
      <c r="M2970">
        <f>LET(
    seasoning_years,DATEDIF('Loan Tape (S&amp;P)'!K2970,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70">
        <f>IF(AND('Loan Tape (S&amp;P)'!U2970="Yes",
        'Loan Tape (S&amp;P)'!T2970&lt;&gt;"Yes",
        DATEDIF('Loan Tape (S&amp;P)'!K2970, TODAY(), "M")&lt;18),
    1.10,
    1.00)</f>
        <v/>
      </c>
      <c r="O2970">
        <f>IF('Loan Tape (S&amp;P)'!T2970="Yes",
    1.35,
    1.00)</f>
        <v/>
      </c>
      <c r="P2970">
        <f>IF('Loan Tape (S&amp;P)'!S2970="Yes",
    1.15,
    1.00)</f>
        <v/>
      </c>
      <c r="Q2970">
        <f>IF('Loan Tape (S&amp;P)'!V2970="Yes",
    1.20,
    1.00)</f>
        <v/>
      </c>
      <c r="T2970">
        <f>LET(
    payment_method,'Loan Tape (S&amp;P)'!P2970,
    occupancy,'Loan Tape (S&amp;P)'!N2970,
    maturity_date,'Loan Tape (S&amp;P)'!L2970,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71">
      <c r="J2971">
        <f>LET(
    lien,'Loan Tape (S&amp;P)'!Q2971,
    IF(lien="First",1.00,
        IF(lien="Second",1.50,
            1.70)))</f>
        <v/>
      </c>
      <c r="K2971">
        <f>LET(
    purpose,'Loan Tape (S&amp;P)'!R2971,
    IF(purpose="Purchase",1.00,
        IF(purpose="Remortgage",1.00,
            1.20)))</f>
        <v/>
      </c>
      <c r="L2971">
        <f>LET(
    arrears_months,'Loan Tape (S&amp;P)'!AN2971,
    IF(arrears_months=0,1.00,
    IF(arrears_months=1,3.00,
    IF(arrears_months=2,5.00,
    IF(arrears_months=3,8.00,
    IF(arrears_months=4,10.00,
    IF(arrears_months=5,12.00,15.00)))))))</f>
        <v/>
      </c>
      <c r="M2971">
        <f>LET(
    seasoning_years,DATEDIF('Loan Tape (S&amp;P)'!K2971,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71">
        <f>IF(AND('Loan Tape (S&amp;P)'!U2971="Yes",
        'Loan Tape (S&amp;P)'!T2971&lt;&gt;"Yes",
        DATEDIF('Loan Tape (S&amp;P)'!K2971, TODAY(), "M")&lt;18),
    1.10,
    1.00)</f>
        <v/>
      </c>
      <c r="O2971">
        <f>IF('Loan Tape (S&amp;P)'!T2971="Yes",
    1.35,
    1.00)</f>
        <v/>
      </c>
      <c r="P2971">
        <f>IF('Loan Tape (S&amp;P)'!S2971="Yes",
    1.15,
    1.00)</f>
        <v/>
      </c>
      <c r="Q2971">
        <f>IF('Loan Tape (S&amp;P)'!V2971="Yes",
    1.20,
    1.00)</f>
        <v/>
      </c>
      <c r="T2971">
        <f>LET(
    payment_method,'Loan Tape (S&amp;P)'!P2971,
    occupancy,'Loan Tape (S&amp;P)'!N2971,
    maturity_date,'Loan Tape (S&amp;P)'!L2971,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72">
      <c r="J2972">
        <f>LET(
    lien,'Loan Tape (S&amp;P)'!Q2972,
    IF(lien="First",1.00,
        IF(lien="Second",1.50,
            1.70)))</f>
        <v/>
      </c>
      <c r="K2972">
        <f>LET(
    purpose,'Loan Tape (S&amp;P)'!R2972,
    IF(purpose="Purchase",1.00,
        IF(purpose="Remortgage",1.00,
            1.20)))</f>
        <v/>
      </c>
      <c r="L2972">
        <f>LET(
    arrears_months,'Loan Tape (S&amp;P)'!AN2972,
    IF(arrears_months=0,1.00,
    IF(arrears_months=1,3.00,
    IF(arrears_months=2,5.00,
    IF(arrears_months=3,8.00,
    IF(arrears_months=4,10.00,
    IF(arrears_months=5,12.00,15.00)))))))</f>
        <v/>
      </c>
      <c r="M2972">
        <f>LET(
    seasoning_years,DATEDIF('Loan Tape (S&amp;P)'!K2972,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72">
        <f>IF(AND('Loan Tape (S&amp;P)'!U2972="Yes",
        'Loan Tape (S&amp;P)'!T2972&lt;&gt;"Yes",
        DATEDIF('Loan Tape (S&amp;P)'!K2972, TODAY(), "M")&lt;18),
    1.10,
    1.00)</f>
        <v/>
      </c>
      <c r="O2972">
        <f>IF('Loan Tape (S&amp;P)'!T2972="Yes",
    1.35,
    1.00)</f>
        <v/>
      </c>
      <c r="P2972">
        <f>IF('Loan Tape (S&amp;P)'!S2972="Yes",
    1.15,
    1.00)</f>
        <v/>
      </c>
      <c r="Q2972">
        <f>IF('Loan Tape (S&amp;P)'!V2972="Yes",
    1.20,
    1.00)</f>
        <v/>
      </c>
      <c r="T2972">
        <f>LET(
    payment_method,'Loan Tape (S&amp;P)'!P2972,
    occupancy,'Loan Tape (S&amp;P)'!N2972,
    maturity_date,'Loan Tape (S&amp;P)'!L2972,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73">
      <c r="J2973">
        <f>LET(
    lien,'Loan Tape (S&amp;P)'!Q2973,
    IF(lien="First",1.00,
        IF(lien="Second",1.50,
            1.70)))</f>
        <v/>
      </c>
      <c r="K2973">
        <f>LET(
    purpose,'Loan Tape (S&amp;P)'!R2973,
    IF(purpose="Purchase",1.00,
        IF(purpose="Remortgage",1.00,
            1.20)))</f>
        <v/>
      </c>
      <c r="L2973">
        <f>LET(
    arrears_months,'Loan Tape (S&amp;P)'!AN2973,
    IF(arrears_months=0,1.00,
    IF(arrears_months=1,3.00,
    IF(arrears_months=2,5.00,
    IF(arrears_months=3,8.00,
    IF(arrears_months=4,10.00,
    IF(arrears_months=5,12.00,15.00)))))))</f>
        <v/>
      </c>
      <c r="M2973">
        <f>LET(
    seasoning_years,DATEDIF('Loan Tape (S&amp;P)'!K2973,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73">
        <f>IF(AND('Loan Tape (S&amp;P)'!U2973="Yes",
        'Loan Tape (S&amp;P)'!T2973&lt;&gt;"Yes",
        DATEDIF('Loan Tape (S&amp;P)'!K2973, TODAY(), "M")&lt;18),
    1.10,
    1.00)</f>
        <v/>
      </c>
      <c r="O2973">
        <f>IF('Loan Tape (S&amp;P)'!T2973="Yes",
    1.35,
    1.00)</f>
        <v/>
      </c>
      <c r="P2973">
        <f>IF('Loan Tape (S&amp;P)'!S2973="Yes",
    1.15,
    1.00)</f>
        <v/>
      </c>
      <c r="Q2973">
        <f>IF('Loan Tape (S&amp;P)'!V2973="Yes",
    1.20,
    1.00)</f>
        <v/>
      </c>
      <c r="T2973">
        <f>LET(
    payment_method,'Loan Tape (S&amp;P)'!P2973,
    occupancy,'Loan Tape (S&amp;P)'!N2973,
    maturity_date,'Loan Tape (S&amp;P)'!L2973,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74">
      <c r="J2974">
        <f>LET(
    lien,'Loan Tape (S&amp;P)'!Q2974,
    IF(lien="First",1.00,
        IF(lien="Second",1.50,
            1.70)))</f>
        <v/>
      </c>
      <c r="K2974">
        <f>LET(
    purpose,'Loan Tape (S&amp;P)'!R2974,
    IF(purpose="Purchase",1.00,
        IF(purpose="Remortgage",1.00,
            1.20)))</f>
        <v/>
      </c>
      <c r="L2974">
        <f>LET(
    arrears_months,'Loan Tape (S&amp;P)'!AN2974,
    IF(arrears_months=0,1.00,
    IF(arrears_months=1,3.00,
    IF(arrears_months=2,5.00,
    IF(arrears_months=3,8.00,
    IF(arrears_months=4,10.00,
    IF(arrears_months=5,12.00,15.00)))))))</f>
        <v/>
      </c>
      <c r="M2974">
        <f>LET(
    seasoning_years,DATEDIF('Loan Tape (S&amp;P)'!K2974,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74">
        <f>IF(AND('Loan Tape (S&amp;P)'!U2974="Yes",
        'Loan Tape (S&amp;P)'!T2974&lt;&gt;"Yes",
        DATEDIF('Loan Tape (S&amp;P)'!K2974, TODAY(), "M")&lt;18),
    1.10,
    1.00)</f>
        <v/>
      </c>
      <c r="O2974">
        <f>IF('Loan Tape (S&amp;P)'!T2974="Yes",
    1.35,
    1.00)</f>
        <v/>
      </c>
      <c r="P2974">
        <f>IF('Loan Tape (S&amp;P)'!S2974="Yes",
    1.15,
    1.00)</f>
        <v/>
      </c>
      <c r="Q2974">
        <f>IF('Loan Tape (S&amp;P)'!V2974="Yes",
    1.20,
    1.00)</f>
        <v/>
      </c>
      <c r="T2974">
        <f>LET(
    payment_method,'Loan Tape (S&amp;P)'!P2974,
    occupancy,'Loan Tape (S&amp;P)'!N2974,
    maturity_date,'Loan Tape (S&amp;P)'!L2974,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75">
      <c r="J2975">
        <f>LET(
    lien,'Loan Tape (S&amp;P)'!Q2975,
    IF(lien="First",1.00,
        IF(lien="Second",1.50,
            1.70)))</f>
        <v/>
      </c>
      <c r="K2975">
        <f>LET(
    purpose,'Loan Tape (S&amp;P)'!R2975,
    IF(purpose="Purchase",1.00,
        IF(purpose="Remortgage",1.00,
            1.20)))</f>
        <v/>
      </c>
      <c r="L2975">
        <f>LET(
    arrears_months,'Loan Tape (S&amp;P)'!AN2975,
    IF(arrears_months=0,1.00,
    IF(arrears_months=1,3.00,
    IF(arrears_months=2,5.00,
    IF(arrears_months=3,8.00,
    IF(arrears_months=4,10.00,
    IF(arrears_months=5,12.00,15.00)))))))</f>
        <v/>
      </c>
      <c r="M2975">
        <f>LET(
    seasoning_years,DATEDIF('Loan Tape (S&amp;P)'!K2975,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75">
        <f>IF(AND('Loan Tape (S&amp;P)'!U2975="Yes",
        'Loan Tape (S&amp;P)'!T2975&lt;&gt;"Yes",
        DATEDIF('Loan Tape (S&amp;P)'!K2975, TODAY(), "M")&lt;18),
    1.10,
    1.00)</f>
        <v/>
      </c>
      <c r="O2975">
        <f>IF('Loan Tape (S&amp;P)'!T2975="Yes",
    1.35,
    1.00)</f>
        <v/>
      </c>
      <c r="P2975">
        <f>IF('Loan Tape (S&amp;P)'!S2975="Yes",
    1.15,
    1.00)</f>
        <v/>
      </c>
      <c r="Q2975">
        <f>IF('Loan Tape (S&amp;P)'!V2975="Yes",
    1.20,
    1.00)</f>
        <v/>
      </c>
      <c r="T2975">
        <f>LET(
    payment_method,'Loan Tape (S&amp;P)'!P2975,
    occupancy,'Loan Tape (S&amp;P)'!N2975,
    maturity_date,'Loan Tape (S&amp;P)'!L2975,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76">
      <c r="J2976">
        <f>LET(
    lien,'Loan Tape (S&amp;P)'!Q2976,
    IF(lien="First",1.00,
        IF(lien="Second",1.50,
            1.70)))</f>
        <v/>
      </c>
      <c r="K2976">
        <f>LET(
    purpose,'Loan Tape (S&amp;P)'!R2976,
    IF(purpose="Purchase",1.00,
        IF(purpose="Remortgage",1.00,
            1.20)))</f>
        <v/>
      </c>
      <c r="L2976">
        <f>LET(
    arrears_months,'Loan Tape (S&amp;P)'!AN2976,
    IF(arrears_months=0,1.00,
    IF(arrears_months=1,3.00,
    IF(arrears_months=2,5.00,
    IF(arrears_months=3,8.00,
    IF(arrears_months=4,10.00,
    IF(arrears_months=5,12.00,15.00)))))))</f>
        <v/>
      </c>
      <c r="M2976">
        <f>LET(
    seasoning_years,DATEDIF('Loan Tape (S&amp;P)'!K2976,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76">
        <f>IF(AND('Loan Tape (S&amp;P)'!U2976="Yes",
        'Loan Tape (S&amp;P)'!T2976&lt;&gt;"Yes",
        DATEDIF('Loan Tape (S&amp;P)'!K2976, TODAY(), "M")&lt;18),
    1.10,
    1.00)</f>
        <v/>
      </c>
      <c r="O2976">
        <f>IF('Loan Tape (S&amp;P)'!T2976="Yes",
    1.35,
    1.00)</f>
        <v/>
      </c>
      <c r="P2976">
        <f>IF('Loan Tape (S&amp;P)'!S2976="Yes",
    1.15,
    1.00)</f>
        <v/>
      </c>
      <c r="Q2976">
        <f>IF('Loan Tape (S&amp;P)'!V2976="Yes",
    1.20,
    1.00)</f>
        <v/>
      </c>
      <c r="T2976">
        <f>LET(
    payment_method,'Loan Tape (S&amp;P)'!P2976,
    occupancy,'Loan Tape (S&amp;P)'!N2976,
    maturity_date,'Loan Tape (S&amp;P)'!L2976,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77">
      <c r="J2977">
        <f>LET(
    lien,'Loan Tape (S&amp;P)'!Q2977,
    IF(lien="First",1.00,
        IF(lien="Second",1.50,
            1.70)))</f>
        <v/>
      </c>
      <c r="K2977">
        <f>LET(
    purpose,'Loan Tape (S&amp;P)'!R2977,
    IF(purpose="Purchase",1.00,
        IF(purpose="Remortgage",1.00,
            1.20)))</f>
        <v/>
      </c>
      <c r="L2977">
        <f>LET(
    arrears_months,'Loan Tape (S&amp;P)'!AN2977,
    IF(arrears_months=0,1.00,
    IF(arrears_months=1,3.00,
    IF(arrears_months=2,5.00,
    IF(arrears_months=3,8.00,
    IF(arrears_months=4,10.00,
    IF(arrears_months=5,12.00,15.00)))))))</f>
        <v/>
      </c>
      <c r="M2977">
        <f>LET(
    seasoning_years,DATEDIF('Loan Tape (S&amp;P)'!K2977,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77">
        <f>IF(AND('Loan Tape (S&amp;P)'!U2977="Yes",
        'Loan Tape (S&amp;P)'!T2977&lt;&gt;"Yes",
        DATEDIF('Loan Tape (S&amp;P)'!K2977, TODAY(), "M")&lt;18),
    1.10,
    1.00)</f>
        <v/>
      </c>
      <c r="O2977">
        <f>IF('Loan Tape (S&amp;P)'!T2977="Yes",
    1.35,
    1.00)</f>
        <v/>
      </c>
      <c r="P2977">
        <f>IF('Loan Tape (S&amp;P)'!S2977="Yes",
    1.15,
    1.00)</f>
        <v/>
      </c>
      <c r="Q2977">
        <f>IF('Loan Tape (S&amp;P)'!V2977="Yes",
    1.20,
    1.00)</f>
        <v/>
      </c>
      <c r="T2977">
        <f>LET(
    payment_method,'Loan Tape (S&amp;P)'!P2977,
    occupancy,'Loan Tape (S&amp;P)'!N2977,
    maturity_date,'Loan Tape (S&amp;P)'!L2977,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78">
      <c r="J2978">
        <f>LET(
    lien,'Loan Tape (S&amp;P)'!Q2978,
    IF(lien="First",1.00,
        IF(lien="Second",1.50,
            1.70)))</f>
        <v/>
      </c>
      <c r="K2978">
        <f>LET(
    purpose,'Loan Tape (S&amp;P)'!R2978,
    IF(purpose="Purchase",1.00,
        IF(purpose="Remortgage",1.00,
            1.20)))</f>
        <v/>
      </c>
      <c r="L2978">
        <f>LET(
    arrears_months,'Loan Tape (S&amp;P)'!AN2978,
    IF(arrears_months=0,1.00,
    IF(arrears_months=1,3.00,
    IF(arrears_months=2,5.00,
    IF(arrears_months=3,8.00,
    IF(arrears_months=4,10.00,
    IF(arrears_months=5,12.00,15.00)))))))</f>
        <v/>
      </c>
      <c r="M2978">
        <f>LET(
    seasoning_years,DATEDIF('Loan Tape (S&amp;P)'!K2978,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78">
        <f>IF(AND('Loan Tape (S&amp;P)'!U2978="Yes",
        'Loan Tape (S&amp;P)'!T2978&lt;&gt;"Yes",
        DATEDIF('Loan Tape (S&amp;P)'!K2978, TODAY(), "M")&lt;18),
    1.10,
    1.00)</f>
        <v/>
      </c>
      <c r="O2978">
        <f>IF('Loan Tape (S&amp;P)'!T2978="Yes",
    1.35,
    1.00)</f>
        <v/>
      </c>
      <c r="P2978">
        <f>IF('Loan Tape (S&amp;P)'!S2978="Yes",
    1.15,
    1.00)</f>
        <v/>
      </c>
      <c r="Q2978">
        <f>IF('Loan Tape (S&amp;P)'!V2978="Yes",
    1.20,
    1.00)</f>
        <v/>
      </c>
      <c r="T2978">
        <f>LET(
    payment_method,'Loan Tape (S&amp;P)'!P2978,
    occupancy,'Loan Tape (S&amp;P)'!N2978,
    maturity_date,'Loan Tape (S&amp;P)'!L2978,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79">
      <c r="J2979">
        <f>LET(
    lien,'Loan Tape (S&amp;P)'!Q2979,
    IF(lien="First",1.00,
        IF(lien="Second",1.50,
            1.70)))</f>
        <v/>
      </c>
      <c r="K2979">
        <f>LET(
    purpose,'Loan Tape (S&amp;P)'!R2979,
    IF(purpose="Purchase",1.00,
        IF(purpose="Remortgage",1.00,
            1.20)))</f>
        <v/>
      </c>
      <c r="L2979">
        <f>LET(
    arrears_months,'Loan Tape (S&amp;P)'!AN2979,
    IF(arrears_months=0,1.00,
    IF(arrears_months=1,3.00,
    IF(arrears_months=2,5.00,
    IF(arrears_months=3,8.00,
    IF(arrears_months=4,10.00,
    IF(arrears_months=5,12.00,15.00)))))))</f>
        <v/>
      </c>
      <c r="M2979">
        <f>LET(
    seasoning_years,DATEDIF('Loan Tape (S&amp;P)'!K2979,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79">
        <f>IF(AND('Loan Tape (S&amp;P)'!U2979="Yes",
        'Loan Tape (S&amp;P)'!T2979&lt;&gt;"Yes",
        DATEDIF('Loan Tape (S&amp;P)'!K2979, TODAY(), "M")&lt;18),
    1.10,
    1.00)</f>
        <v/>
      </c>
      <c r="O2979">
        <f>IF('Loan Tape (S&amp;P)'!T2979="Yes",
    1.35,
    1.00)</f>
        <v/>
      </c>
      <c r="P2979">
        <f>IF('Loan Tape (S&amp;P)'!S2979="Yes",
    1.15,
    1.00)</f>
        <v/>
      </c>
      <c r="Q2979">
        <f>IF('Loan Tape (S&amp;P)'!V2979="Yes",
    1.20,
    1.00)</f>
        <v/>
      </c>
      <c r="T2979">
        <f>LET(
    payment_method,'Loan Tape (S&amp;P)'!P2979,
    occupancy,'Loan Tape (S&amp;P)'!N2979,
    maturity_date,'Loan Tape (S&amp;P)'!L2979,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80">
      <c r="J2980">
        <f>LET(
    lien,'Loan Tape (S&amp;P)'!Q2980,
    IF(lien="First",1.00,
        IF(lien="Second",1.50,
            1.70)))</f>
        <v/>
      </c>
      <c r="K2980">
        <f>LET(
    purpose,'Loan Tape (S&amp;P)'!R2980,
    IF(purpose="Purchase",1.00,
        IF(purpose="Remortgage",1.00,
            1.20)))</f>
        <v/>
      </c>
      <c r="L2980">
        <f>LET(
    arrears_months,'Loan Tape (S&amp;P)'!AN2980,
    IF(arrears_months=0,1.00,
    IF(arrears_months=1,3.00,
    IF(arrears_months=2,5.00,
    IF(arrears_months=3,8.00,
    IF(arrears_months=4,10.00,
    IF(arrears_months=5,12.00,15.00)))))))</f>
        <v/>
      </c>
      <c r="M2980">
        <f>LET(
    seasoning_years,DATEDIF('Loan Tape (S&amp;P)'!K2980,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80">
        <f>IF(AND('Loan Tape (S&amp;P)'!U2980="Yes",
        'Loan Tape (S&amp;P)'!T2980&lt;&gt;"Yes",
        DATEDIF('Loan Tape (S&amp;P)'!K2980, TODAY(), "M")&lt;18),
    1.10,
    1.00)</f>
        <v/>
      </c>
      <c r="O2980">
        <f>IF('Loan Tape (S&amp;P)'!T2980="Yes",
    1.35,
    1.00)</f>
        <v/>
      </c>
      <c r="P2980">
        <f>IF('Loan Tape (S&amp;P)'!S2980="Yes",
    1.15,
    1.00)</f>
        <v/>
      </c>
      <c r="Q2980">
        <f>IF('Loan Tape (S&amp;P)'!V2980="Yes",
    1.20,
    1.00)</f>
        <v/>
      </c>
      <c r="T2980">
        <f>LET(
    payment_method,'Loan Tape (S&amp;P)'!P2980,
    occupancy,'Loan Tape (S&amp;P)'!N2980,
    maturity_date,'Loan Tape (S&amp;P)'!L2980,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81">
      <c r="J2981">
        <f>LET(
    lien,'Loan Tape (S&amp;P)'!Q2981,
    IF(lien="First",1.00,
        IF(lien="Second",1.50,
            1.70)))</f>
        <v/>
      </c>
      <c r="K2981">
        <f>LET(
    purpose,'Loan Tape (S&amp;P)'!R2981,
    IF(purpose="Purchase",1.00,
        IF(purpose="Remortgage",1.00,
            1.20)))</f>
        <v/>
      </c>
      <c r="L2981">
        <f>LET(
    arrears_months,'Loan Tape (S&amp;P)'!AN2981,
    IF(arrears_months=0,1.00,
    IF(arrears_months=1,3.00,
    IF(arrears_months=2,5.00,
    IF(arrears_months=3,8.00,
    IF(arrears_months=4,10.00,
    IF(arrears_months=5,12.00,15.00)))))))</f>
        <v/>
      </c>
      <c r="M2981">
        <f>LET(
    seasoning_years,DATEDIF('Loan Tape (S&amp;P)'!K2981,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81">
        <f>IF(AND('Loan Tape (S&amp;P)'!U2981="Yes",
        'Loan Tape (S&amp;P)'!T2981&lt;&gt;"Yes",
        DATEDIF('Loan Tape (S&amp;P)'!K2981, TODAY(), "M")&lt;18),
    1.10,
    1.00)</f>
        <v/>
      </c>
      <c r="O2981">
        <f>IF('Loan Tape (S&amp;P)'!T2981="Yes",
    1.35,
    1.00)</f>
        <v/>
      </c>
      <c r="P2981">
        <f>IF('Loan Tape (S&amp;P)'!S2981="Yes",
    1.15,
    1.00)</f>
        <v/>
      </c>
      <c r="Q2981">
        <f>IF('Loan Tape (S&amp;P)'!V2981="Yes",
    1.20,
    1.00)</f>
        <v/>
      </c>
      <c r="T2981">
        <f>LET(
    payment_method,'Loan Tape (S&amp;P)'!P2981,
    occupancy,'Loan Tape (S&amp;P)'!N2981,
    maturity_date,'Loan Tape (S&amp;P)'!L2981,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82">
      <c r="J2982">
        <f>LET(
    lien,'Loan Tape (S&amp;P)'!Q2982,
    IF(lien="First",1.00,
        IF(lien="Second",1.50,
            1.70)))</f>
        <v/>
      </c>
      <c r="K2982">
        <f>LET(
    purpose,'Loan Tape (S&amp;P)'!R2982,
    IF(purpose="Purchase",1.00,
        IF(purpose="Remortgage",1.00,
            1.20)))</f>
        <v/>
      </c>
      <c r="L2982">
        <f>LET(
    arrears_months,'Loan Tape (S&amp;P)'!AN2982,
    IF(arrears_months=0,1.00,
    IF(arrears_months=1,3.00,
    IF(arrears_months=2,5.00,
    IF(arrears_months=3,8.00,
    IF(arrears_months=4,10.00,
    IF(arrears_months=5,12.00,15.00)))))))</f>
        <v/>
      </c>
      <c r="M2982">
        <f>LET(
    seasoning_years,DATEDIF('Loan Tape (S&amp;P)'!K2982,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82">
        <f>IF(AND('Loan Tape (S&amp;P)'!U2982="Yes",
        'Loan Tape (S&amp;P)'!T2982&lt;&gt;"Yes",
        DATEDIF('Loan Tape (S&amp;P)'!K2982, TODAY(), "M")&lt;18),
    1.10,
    1.00)</f>
        <v/>
      </c>
      <c r="O2982">
        <f>IF('Loan Tape (S&amp;P)'!T2982="Yes",
    1.35,
    1.00)</f>
        <v/>
      </c>
      <c r="P2982">
        <f>IF('Loan Tape (S&amp;P)'!S2982="Yes",
    1.15,
    1.00)</f>
        <v/>
      </c>
      <c r="Q2982">
        <f>IF('Loan Tape (S&amp;P)'!V2982="Yes",
    1.20,
    1.00)</f>
        <v/>
      </c>
      <c r="T2982">
        <f>LET(
    payment_method,'Loan Tape (S&amp;P)'!P2982,
    occupancy,'Loan Tape (S&amp;P)'!N2982,
    maturity_date,'Loan Tape (S&amp;P)'!L2982,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83">
      <c r="J2983">
        <f>LET(
    lien,'Loan Tape (S&amp;P)'!Q2983,
    IF(lien="First",1.00,
        IF(lien="Second",1.50,
            1.70)))</f>
        <v/>
      </c>
      <c r="K2983">
        <f>LET(
    purpose,'Loan Tape (S&amp;P)'!R2983,
    IF(purpose="Purchase",1.00,
        IF(purpose="Remortgage",1.00,
            1.20)))</f>
        <v/>
      </c>
      <c r="L2983">
        <f>LET(
    arrears_months,'Loan Tape (S&amp;P)'!AN2983,
    IF(arrears_months=0,1.00,
    IF(arrears_months=1,3.00,
    IF(arrears_months=2,5.00,
    IF(arrears_months=3,8.00,
    IF(arrears_months=4,10.00,
    IF(arrears_months=5,12.00,15.00)))))))</f>
        <v/>
      </c>
      <c r="M2983">
        <f>LET(
    seasoning_years,DATEDIF('Loan Tape (S&amp;P)'!K2983,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83">
        <f>IF(AND('Loan Tape (S&amp;P)'!U2983="Yes",
        'Loan Tape (S&amp;P)'!T2983&lt;&gt;"Yes",
        DATEDIF('Loan Tape (S&amp;P)'!K2983, TODAY(), "M")&lt;18),
    1.10,
    1.00)</f>
        <v/>
      </c>
      <c r="O2983">
        <f>IF('Loan Tape (S&amp;P)'!T2983="Yes",
    1.35,
    1.00)</f>
        <v/>
      </c>
      <c r="P2983">
        <f>IF('Loan Tape (S&amp;P)'!S2983="Yes",
    1.15,
    1.00)</f>
        <v/>
      </c>
      <c r="Q2983">
        <f>IF('Loan Tape (S&amp;P)'!V2983="Yes",
    1.20,
    1.00)</f>
        <v/>
      </c>
      <c r="T2983">
        <f>LET(
    payment_method,'Loan Tape (S&amp;P)'!P2983,
    occupancy,'Loan Tape (S&amp;P)'!N2983,
    maturity_date,'Loan Tape (S&amp;P)'!L2983,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84">
      <c r="J2984">
        <f>LET(
    lien,'Loan Tape (S&amp;P)'!Q2984,
    IF(lien="First",1.00,
        IF(lien="Second",1.50,
            1.70)))</f>
        <v/>
      </c>
      <c r="K2984">
        <f>LET(
    purpose,'Loan Tape (S&amp;P)'!R2984,
    IF(purpose="Purchase",1.00,
        IF(purpose="Remortgage",1.00,
            1.20)))</f>
        <v/>
      </c>
      <c r="L2984">
        <f>LET(
    arrears_months,'Loan Tape (S&amp;P)'!AN2984,
    IF(arrears_months=0,1.00,
    IF(arrears_months=1,3.00,
    IF(arrears_months=2,5.00,
    IF(arrears_months=3,8.00,
    IF(arrears_months=4,10.00,
    IF(arrears_months=5,12.00,15.00)))))))</f>
        <v/>
      </c>
      <c r="M2984">
        <f>LET(
    seasoning_years,DATEDIF('Loan Tape (S&amp;P)'!K2984,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84">
        <f>IF(AND('Loan Tape (S&amp;P)'!U2984="Yes",
        'Loan Tape (S&amp;P)'!T2984&lt;&gt;"Yes",
        DATEDIF('Loan Tape (S&amp;P)'!K2984, TODAY(), "M")&lt;18),
    1.10,
    1.00)</f>
        <v/>
      </c>
      <c r="O2984">
        <f>IF('Loan Tape (S&amp;P)'!T2984="Yes",
    1.35,
    1.00)</f>
        <v/>
      </c>
      <c r="P2984">
        <f>IF('Loan Tape (S&amp;P)'!S2984="Yes",
    1.15,
    1.00)</f>
        <v/>
      </c>
      <c r="Q2984">
        <f>IF('Loan Tape (S&amp;P)'!V2984="Yes",
    1.20,
    1.00)</f>
        <v/>
      </c>
      <c r="T2984">
        <f>LET(
    payment_method,'Loan Tape (S&amp;P)'!P2984,
    occupancy,'Loan Tape (S&amp;P)'!N2984,
    maturity_date,'Loan Tape (S&amp;P)'!L2984,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85">
      <c r="J2985">
        <f>LET(
    lien,'Loan Tape (S&amp;P)'!Q2985,
    IF(lien="First",1.00,
        IF(lien="Second",1.50,
            1.70)))</f>
        <v/>
      </c>
      <c r="K2985">
        <f>LET(
    purpose,'Loan Tape (S&amp;P)'!R2985,
    IF(purpose="Purchase",1.00,
        IF(purpose="Remortgage",1.00,
            1.20)))</f>
        <v/>
      </c>
      <c r="L2985">
        <f>LET(
    arrears_months,'Loan Tape (S&amp;P)'!AN2985,
    IF(arrears_months=0,1.00,
    IF(arrears_months=1,3.00,
    IF(arrears_months=2,5.00,
    IF(arrears_months=3,8.00,
    IF(arrears_months=4,10.00,
    IF(arrears_months=5,12.00,15.00)))))))</f>
        <v/>
      </c>
      <c r="M2985">
        <f>LET(
    seasoning_years,DATEDIF('Loan Tape (S&amp;P)'!K2985,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85">
        <f>IF(AND('Loan Tape (S&amp;P)'!U2985="Yes",
        'Loan Tape (S&amp;P)'!T2985&lt;&gt;"Yes",
        DATEDIF('Loan Tape (S&amp;P)'!K2985, TODAY(), "M")&lt;18),
    1.10,
    1.00)</f>
        <v/>
      </c>
      <c r="O2985">
        <f>IF('Loan Tape (S&amp;P)'!T2985="Yes",
    1.35,
    1.00)</f>
        <v/>
      </c>
      <c r="P2985">
        <f>IF('Loan Tape (S&amp;P)'!S2985="Yes",
    1.15,
    1.00)</f>
        <v/>
      </c>
      <c r="Q2985">
        <f>IF('Loan Tape (S&amp;P)'!V2985="Yes",
    1.20,
    1.00)</f>
        <v/>
      </c>
      <c r="T2985">
        <f>LET(
    payment_method,'Loan Tape (S&amp;P)'!P2985,
    occupancy,'Loan Tape (S&amp;P)'!N2985,
    maturity_date,'Loan Tape (S&amp;P)'!L2985,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86">
      <c r="J2986">
        <f>LET(
    lien,'Loan Tape (S&amp;P)'!Q2986,
    IF(lien="First",1.00,
        IF(lien="Second",1.50,
            1.70)))</f>
        <v/>
      </c>
      <c r="K2986">
        <f>LET(
    purpose,'Loan Tape (S&amp;P)'!R2986,
    IF(purpose="Purchase",1.00,
        IF(purpose="Remortgage",1.00,
            1.20)))</f>
        <v/>
      </c>
      <c r="L2986">
        <f>LET(
    arrears_months,'Loan Tape (S&amp;P)'!AN2986,
    IF(arrears_months=0,1.00,
    IF(arrears_months=1,3.00,
    IF(arrears_months=2,5.00,
    IF(arrears_months=3,8.00,
    IF(arrears_months=4,10.00,
    IF(arrears_months=5,12.00,15.00)))))))</f>
        <v/>
      </c>
      <c r="M2986">
        <f>LET(
    seasoning_years,DATEDIF('Loan Tape (S&amp;P)'!K2986,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86">
        <f>IF(AND('Loan Tape (S&amp;P)'!U2986="Yes",
        'Loan Tape (S&amp;P)'!T2986&lt;&gt;"Yes",
        DATEDIF('Loan Tape (S&amp;P)'!K2986, TODAY(), "M")&lt;18),
    1.10,
    1.00)</f>
        <v/>
      </c>
      <c r="O2986">
        <f>IF('Loan Tape (S&amp;P)'!T2986="Yes",
    1.35,
    1.00)</f>
        <v/>
      </c>
      <c r="P2986">
        <f>IF('Loan Tape (S&amp;P)'!S2986="Yes",
    1.15,
    1.00)</f>
        <v/>
      </c>
      <c r="Q2986">
        <f>IF('Loan Tape (S&amp;P)'!V2986="Yes",
    1.20,
    1.00)</f>
        <v/>
      </c>
      <c r="T2986">
        <f>LET(
    payment_method,'Loan Tape (S&amp;P)'!P2986,
    occupancy,'Loan Tape (S&amp;P)'!N2986,
    maturity_date,'Loan Tape (S&amp;P)'!L2986,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87">
      <c r="J2987">
        <f>LET(
    lien,'Loan Tape (S&amp;P)'!Q2987,
    IF(lien="First",1.00,
        IF(lien="Second",1.50,
            1.70)))</f>
        <v/>
      </c>
      <c r="K2987">
        <f>LET(
    purpose,'Loan Tape (S&amp;P)'!R2987,
    IF(purpose="Purchase",1.00,
        IF(purpose="Remortgage",1.00,
            1.20)))</f>
        <v/>
      </c>
      <c r="L2987">
        <f>LET(
    arrears_months,'Loan Tape (S&amp;P)'!AN2987,
    IF(arrears_months=0,1.00,
    IF(arrears_months=1,3.00,
    IF(arrears_months=2,5.00,
    IF(arrears_months=3,8.00,
    IF(arrears_months=4,10.00,
    IF(arrears_months=5,12.00,15.00)))))))</f>
        <v/>
      </c>
      <c r="M2987">
        <f>LET(
    seasoning_years,DATEDIF('Loan Tape (S&amp;P)'!K2987,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87">
        <f>IF(AND('Loan Tape (S&amp;P)'!U2987="Yes",
        'Loan Tape (S&amp;P)'!T2987&lt;&gt;"Yes",
        DATEDIF('Loan Tape (S&amp;P)'!K2987, TODAY(), "M")&lt;18),
    1.10,
    1.00)</f>
        <v/>
      </c>
      <c r="O2987">
        <f>IF('Loan Tape (S&amp;P)'!T2987="Yes",
    1.35,
    1.00)</f>
        <v/>
      </c>
      <c r="P2987">
        <f>IF('Loan Tape (S&amp;P)'!S2987="Yes",
    1.15,
    1.00)</f>
        <v/>
      </c>
      <c r="Q2987">
        <f>IF('Loan Tape (S&amp;P)'!V2987="Yes",
    1.20,
    1.00)</f>
        <v/>
      </c>
      <c r="T2987">
        <f>LET(
    payment_method,'Loan Tape (S&amp;P)'!P2987,
    occupancy,'Loan Tape (S&amp;P)'!N2987,
    maturity_date,'Loan Tape (S&amp;P)'!L2987,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88">
      <c r="J2988">
        <f>LET(
    lien,'Loan Tape (S&amp;P)'!Q2988,
    IF(lien="First",1.00,
        IF(lien="Second",1.50,
            1.70)))</f>
        <v/>
      </c>
      <c r="K2988">
        <f>LET(
    purpose,'Loan Tape (S&amp;P)'!R2988,
    IF(purpose="Purchase",1.00,
        IF(purpose="Remortgage",1.00,
            1.20)))</f>
        <v/>
      </c>
      <c r="L2988">
        <f>LET(
    arrears_months,'Loan Tape (S&amp;P)'!AN2988,
    IF(arrears_months=0,1.00,
    IF(arrears_months=1,3.00,
    IF(arrears_months=2,5.00,
    IF(arrears_months=3,8.00,
    IF(arrears_months=4,10.00,
    IF(arrears_months=5,12.00,15.00)))))))</f>
        <v/>
      </c>
      <c r="M2988">
        <f>LET(
    seasoning_years,DATEDIF('Loan Tape (S&amp;P)'!K2988,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88">
        <f>IF(AND('Loan Tape (S&amp;P)'!U2988="Yes",
        'Loan Tape (S&amp;P)'!T2988&lt;&gt;"Yes",
        DATEDIF('Loan Tape (S&amp;P)'!K2988, TODAY(), "M")&lt;18),
    1.10,
    1.00)</f>
        <v/>
      </c>
      <c r="O2988">
        <f>IF('Loan Tape (S&amp;P)'!T2988="Yes",
    1.35,
    1.00)</f>
        <v/>
      </c>
      <c r="P2988">
        <f>IF('Loan Tape (S&amp;P)'!S2988="Yes",
    1.15,
    1.00)</f>
        <v/>
      </c>
      <c r="Q2988">
        <f>IF('Loan Tape (S&amp;P)'!V2988="Yes",
    1.20,
    1.00)</f>
        <v/>
      </c>
      <c r="T2988">
        <f>LET(
    payment_method,'Loan Tape (S&amp;P)'!P2988,
    occupancy,'Loan Tape (S&amp;P)'!N2988,
    maturity_date,'Loan Tape (S&amp;P)'!L2988,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89">
      <c r="J2989">
        <f>LET(
    lien,'Loan Tape (S&amp;P)'!Q2989,
    IF(lien="First",1.00,
        IF(lien="Second",1.50,
            1.70)))</f>
        <v/>
      </c>
      <c r="K2989">
        <f>LET(
    purpose,'Loan Tape (S&amp;P)'!R2989,
    IF(purpose="Purchase",1.00,
        IF(purpose="Remortgage",1.00,
            1.20)))</f>
        <v/>
      </c>
      <c r="L2989">
        <f>LET(
    arrears_months,'Loan Tape (S&amp;P)'!AN2989,
    IF(arrears_months=0,1.00,
    IF(arrears_months=1,3.00,
    IF(arrears_months=2,5.00,
    IF(arrears_months=3,8.00,
    IF(arrears_months=4,10.00,
    IF(arrears_months=5,12.00,15.00)))))))</f>
        <v/>
      </c>
      <c r="M2989">
        <f>LET(
    seasoning_years,DATEDIF('Loan Tape (S&amp;P)'!K2989,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89">
        <f>IF(AND('Loan Tape (S&amp;P)'!U2989="Yes",
        'Loan Tape (S&amp;P)'!T2989&lt;&gt;"Yes",
        DATEDIF('Loan Tape (S&amp;P)'!K2989, TODAY(), "M")&lt;18),
    1.10,
    1.00)</f>
        <v/>
      </c>
      <c r="O2989">
        <f>IF('Loan Tape (S&amp;P)'!T2989="Yes",
    1.35,
    1.00)</f>
        <v/>
      </c>
      <c r="P2989">
        <f>IF('Loan Tape (S&amp;P)'!S2989="Yes",
    1.15,
    1.00)</f>
        <v/>
      </c>
      <c r="Q2989">
        <f>IF('Loan Tape (S&amp;P)'!V2989="Yes",
    1.20,
    1.00)</f>
        <v/>
      </c>
      <c r="T2989">
        <f>LET(
    payment_method,'Loan Tape (S&amp;P)'!P2989,
    occupancy,'Loan Tape (S&amp;P)'!N2989,
    maturity_date,'Loan Tape (S&amp;P)'!L2989,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90">
      <c r="J2990">
        <f>LET(
    lien,'Loan Tape (S&amp;P)'!Q2990,
    IF(lien="First",1.00,
        IF(lien="Second",1.50,
            1.70)))</f>
        <v/>
      </c>
      <c r="K2990">
        <f>LET(
    purpose,'Loan Tape (S&amp;P)'!R2990,
    IF(purpose="Purchase",1.00,
        IF(purpose="Remortgage",1.00,
            1.20)))</f>
        <v/>
      </c>
      <c r="L2990">
        <f>LET(
    arrears_months,'Loan Tape (S&amp;P)'!AN2990,
    IF(arrears_months=0,1.00,
    IF(arrears_months=1,3.00,
    IF(arrears_months=2,5.00,
    IF(arrears_months=3,8.00,
    IF(arrears_months=4,10.00,
    IF(arrears_months=5,12.00,15.00)))))))</f>
        <v/>
      </c>
      <c r="M2990">
        <f>LET(
    seasoning_years,DATEDIF('Loan Tape (S&amp;P)'!K2990,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90">
        <f>IF(AND('Loan Tape (S&amp;P)'!U2990="Yes",
        'Loan Tape (S&amp;P)'!T2990&lt;&gt;"Yes",
        DATEDIF('Loan Tape (S&amp;P)'!K2990, TODAY(), "M")&lt;18),
    1.10,
    1.00)</f>
        <v/>
      </c>
      <c r="O2990">
        <f>IF('Loan Tape (S&amp;P)'!T2990="Yes",
    1.35,
    1.00)</f>
        <v/>
      </c>
      <c r="P2990">
        <f>IF('Loan Tape (S&amp;P)'!S2990="Yes",
    1.15,
    1.00)</f>
        <v/>
      </c>
      <c r="Q2990">
        <f>IF('Loan Tape (S&amp;P)'!V2990="Yes",
    1.20,
    1.00)</f>
        <v/>
      </c>
      <c r="T2990">
        <f>LET(
    payment_method,'Loan Tape (S&amp;P)'!P2990,
    occupancy,'Loan Tape (S&amp;P)'!N2990,
    maturity_date,'Loan Tape (S&amp;P)'!L2990,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91">
      <c r="J2991">
        <f>LET(
    lien,'Loan Tape (S&amp;P)'!Q2991,
    IF(lien="First",1.00,
        IF(lien="Second",1.50,
            1.70)))</f>
        <v/>
      </c>
      <c r="K2991">
        <f>LET(
    purpose,'Loan Tape (S&amp;P)'!R2991,
    IF(purpose="Purchase",1.00,
        IF(purpose="Remortgage",1.00,
            1.20)))</f>
        <v/>
      </c>
      <c r="L2991">
        <f>LET(
    arrears_months,'Loan Tape (S&amp;P)'!AN2991,
    IF(arrears_months=0,1.00,
    IF(arrears_months=1,3.00,
    IF(arrears_months=2,5.00,
    IF(arrears_months=3,8.00,
    IF(arrears_months=4,10.00,
    IF(arrears_months=5,12.00,15.00)))))))</f>
        <v/>
      </c>
      <c r="M2991">
        <f>LET(
    seasoning_years,DATEDIF('Loan Tape (S&amp;P)'!K2991,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91">
        <f>IF(AND('Loan Tape (S&amp;P)'!U2991="Yes",
        'Loan Tape (S&amp;P)'!T2991&lt;&gt;"Yes",
        DATEDIF('Loan Tape (S&amp;P)'!K2991, TODAY(), "M")&lt;18),
    1.10,
    1.00)</f>
        <v/>
      </c>
      <c r="O2991">
        <f>IF('Loan Tape (S&amp;P)'!T2991="Yes",
    1.35,
    1.00)</f>
        <v/>
      </c>
      <c r="P2991">
        <f>IF('Loan Tape (S&amp;P)'!S2991="Yes",
    1.15,
    1.00)</f>
        <v/>
      </c>
      <c r="Q2991">
        <f>IF('Loan Tape (S&amp;P)'!V2991="Yes",
    1.20,
    1.00)</f>
        <v/>
      </c>
      <c r="T2991">
        <f>LET(
    payment_method,'Loan Tape (S&amp;P)'!P2991,
    occupancy,'Loan Tape (S&amp;P)'!N2991,
    maturity_date,'Loan Tape (S&amp;P)'!L2991,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92">
      <c r="J2992">
        <f>LET(
    lien,'Loan Tape (S&amp;P)'!Q2992,
    IF(lien="First",1.00,
        IF(lien="Second",1.50,
            1.70)))</f>
        <v/>
      </c>
      <c r="K2992">
        <f>LET(
    purpose,'Loan Tape (S&amp;P)'!R2992,
    IF(purpose="Purchase",1.00,
        IF(purpose="Remortgage",1.00,
            1.20)))</f>
        <v/>
      </c>
      <c r="L2992">
        <f>LET(
    arrears_months,'Loan Tape (S&amp;P)'!AN2992,
    IF(arrears_months=0,1.00,
    IF(arrears_months=1,3.00,
    IF(arrears_months=2,5.00,
    IF(arrears_months=3,8.00,
    IF(arrears_months=4,10.00,
    IF(arrears_months=5,12.00,15.00)))))))</f>
        <v/>
      </c>
      <c r="M2992">
        <f>LET(
    seasoning_years,DATEDIF('Loan Tape (S&amp;P)'!K2992,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92">
        <f>IF(AND('Loan Tape (S&amp;P)'!U2992="Yes",
        'Loan Tape (S&amp;P)'!T2992&lt;&gt;"Yes",
        DATEDIF('Loan Tape (S&amp;P)'!K2992, TODAY(), "M")&lt;18),
    1.10,
    1.00)</f>
        <v/>
      </c>
      <c r="O2992">
        <f>IF('Loan Tape (S&amp;P)'!T2992="Yes",
    1.35,
    1.00)</f>
        <v/>
      </c>
      <c r="P2992">
        <f>IF('Loan Tape (S&amp;P)'!S2992="Yes",
    1.15,
    1.00)</f>
        <v/>
      </c>
      <c r="Q2992">
        <f>IF('Loan Tape (S&amp;P)'!V2992="Yes",
    1.20,
    1.00)</f>
        <v/>
      </c>
      <c r="T2992">
        <f>LET(
    payment_method,'Loan Tape (S&amp;P)'!P2992,
    occupancy,'Loan Tape (S&amp;P)'!N2992,
    maturity_date,'Loan Tape (S&amp;P)'!L2992,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93">
      <c r="J2993">
        <f>LET(
    lien,'Loan Tape (S&amp;P)'!Q2993,
    IF(lien="First",1.00,
        IF(lien="Second",1.50,
            1.70)))</f>
        <v/>
      </c>
      <c r="K2993">
        <f>LET(
    purpose,'Loan Tape (S&amp;P)'!R2993,
    IF(purpose="Purchase",1.00,
        IF(purpose="Remortgage",1.00,
            1.20)))</f>
        <v/>
      </c>
      <c r="L2993">
        <f>LET(
    arrears_months,'Loan Tape (S&amp;P)'!AN2993,
    IF(arrears_months=0,1.00,
    IF(arrears_months=1,3.00,
    IF(arrears_months=2,5.00,
    IF(arrears_months=3,8.00,
    IF(arrears_months=4,10.00,
    IF(arrears_months=5,12.00,15.00)))))))</f>
        <v/>
      </c>
      <c r="M2993">
        <f>LET(
    seasoning_years,DATEDIF('Loan Tape (S&amp;P)'!K2993,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93">
        <f>IF(AND('Loan Tape (S&amp;P)'!U2993="Yes",
        'Loan Tape (S&amp;P)'!T2993&lt;&gt;"Yes",
        DATEDIF('Loan Tape (S&amp;P)'!K2993, TODAY(), "M")&lt;18),
    1.10,
    1.00)</f>
        <v/>
      </c>
      <c r="O2993">
        <f>IF('Loan Tape (S&amp;P)'!T2993="Yes",
    1.35,
    1.00)</f>
        <v/>
      </c>
      <c r="P2993">
        <f>IF('Loan Tape (S&amp;P)'!S2993="Yes",
    1.15,
    1.00)</f>
        <v/>
      </c>
      <c r="Q2993">
        <f>IF('Loan Tape (S&amp;P)'!V2993="Yes",
    1.20,
    1.00)</f>
        <v/>
      </c>
      <c r="T2993">
        <f>LET(
    payment_method,'Loan Tape (S&amp;P)'!P2993,
    occupancy,'Loan Tape (S&amp;P)'!N2993,
    maturity_date,'Loan Tape (S&amp;P)'!L2993,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94">
      <c r="J2994">
        <f>LET(
    lien,'Loan Tape (S&amp;P)'!Q2994,
    IF(lien="First",1.00,
        IF(lien="Second",1.50,
            1.70)))</f>
        <v/>
      </c>
      <c r="K2994">
        <f>LET(
    purpose,'Loan Tape (S&amp;P)'!R2994,
    IF(purpose="Purchase",1.00,
        IF(purpose="Remortgage",1.00,
            1.20)))</f>
        <v/>
      </c>
      <c r="L2994">
        <f>LET(
    arrears_months,'Loan Tape (S&amp;P)'!AN2994,
    IF(arrears_months=0,1.00,
    IF(arrears_months=1,3.00,
    IF(arrears_months=2,5.00,
    IF(arrears_months=3,8.00,
    IF(arrears_months=4,10.00,
    IF(arrears_months=5,12.00,15.00)))))))</f>
        <v/>
      </c>
      <c r="M2994">
        <f>LET(
    seasoning_years,DATEDIF('Loan Tape (S&amp;P)'!K2994,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94">
        <f>IF(AND('Loan Tape (S&amp;P)'!U2994="Yes",
        'Loan Tape (S&amp;P)'!T2994&lt;&gt;"Yes",
        DATEDIF('Loan Tape (S&amp;P)'!K2994, TODAY(), "M")&lt;18),
    1.10,
    1.00)</f>
        <v/>
      </c>
      <c r="O2994">
        <f>IF('Loan Tape (S&amp;P)'!T2994="Yes",
    1.35,
    1.00)</f>
        <v/>
      </c>
      <c r="P2994">
        <f>IF('Loan Tape (S&amp;P)'!S2994="Yes",
    1.15,
    1.00)</f>
        <v/>
      </c>
      <c r="Q2994">
        <f>IF('Loan Tape (S&amp;P)'!V2994="Yes",
    1.20,
    1.00)</f>
        <v/>
      </c>
      <c r="T2994">
        <f>LET(
    payment_method,'Loan Tape (S&amp;P)'!P2994,
    occupancy,'Loan Tape (S&amp;P)'!N2994,
    maturity_date,'Loan Tape (S&amp;P)'!L2994,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95">
      <c r="J2995">
        <f>LET(
    lien,'Loan Tape (S&amp;P)'!Q2995,
    IF(lien="First",1.00,
        IF(lien="Second",1.50,
            1.70)))</f>
        <v/>
      </c>
      <c r="K2995">
        <f>LET(
    purpose,'Loan Tape (S&amp;P)'!R2995,
    IF(purpose="Purchase",1.00,
        IF(purpose="Remortgage",1.00,
            1.20)))</f>
        <v/>
      </c>
      <c r="L2995">
        <f>LET(
    arrears_months,'Loan Tape (S&amp;P)'!AN2995,
    IF(arrears_months=0,1.00,
    IF(arrears_months=1,3.00,
    IF(arrears_months=2,5.00,
    IF(arrears_months=3,8.00,
    IF(arrears_months=4,10.00,
    IF(arrears_months=5,12.00,15.00)))))))</f>
        <v/>
      </c>
      <c r="M2995">
        <f>LET(
    seasoning_years,DATEDIF('Loan Tape (S&amp;P)'!K2995,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95">
        <f>IF(AND('Loan Tape (S&amp;P)'!U2995="Yes",
        'Loan Tape (S&amp;P)'!T2995&lt;&gt;"Yes",
        DATEDIF('Loan Tape (S&amp;P)'!K2995, TODAY(), "M")&lt;18),
    1.10,
    1.00)</f>
        <v/>
      </c>
      <c r="O2995">
        <f>IF('Loan Tape (S&amp;P)'!T2995="Yes",
    1.35,
    1.00)</f>
        <v/>
      </c>
      <c r="P2995">
        <f>IF('Loan Tape (S&amp;P)'!S2995="Yes",
    1.15,
    1.00)</f>
        <v/>
      </c>
      <c r="Q2995">
        <f>IF('Loan Tape (S&amp;P)'!V2995="Yes",
    1.20,
    1.00)</f>
        <v/>
      </c>
      <c r="T2995">
        <f>LET(
    payment_method,'Loan Tape (S&amp;P)'!P2995,
    occupancy,'Loan Tape (S&amp;P)'!N2995,
    maturity_date,'Loan Tape (S&amp;P)'!L2995,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96">
      <c r="J2996">
        <f>LET(
    lien,'Loan Tape (S&amp;P)'!Q2996,
    IF(lien="First",1.00,
        IF(lien="Second",1.50,
            1.70)))</f>
        <v/>
      </c>
      <c r="K2996">
        <f>LET(
    purpose,'Loan Tape (S&amp;P)'!R2996,
    IF(purpose="Purchase",1.00,
        IF(purpose="Remortgage",1.00,
            1.20)))</f>
        <v/>
      </c>
      <c r="L2996">
        <f>LET(
    arrears_months,'Loan Tape (S&amp;P)'!AN2996,
    IF(arrears_months=0,1.00,
    IF(arrears_months=1,3.00,
    IF(arrears_months=2,5.00,
    IF(arrears_months=3,8.00,
    IF(arrears_months=4,10.00,
    IF(arrears_months=5,12.00,15.00)))))))</f>
        <v/>
      </c>
      <c r="M2996">
        <f>LET(
    seasoning_years,DATEDIF('Loan Tape (S&amp;P)'!K2996,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96">
        <f>IF(AND('Loan Tape (S&amp;P)'!U2996="Yes",
        'Loan Tape (S&amp;P)'!T2996&lt;&gt;"Yes",
        DATEDIF('Loan Tape (S&amp;P)'!K2996, TODAY(), "M")&lt;18),
    1.10,
    1.00)</f>
        <v/>
      </c>
      <c r="O2996">
        <f>IF('Loan Tape (S&amp;P)'!T2996="Yes",
    1.35,
    1.00)</f>
        <v/>
      </c>
      <c r="P2996">
        <f>IF('Loan Tape (S&amp;P)'!S2996="Yes",
    1.15,
    1.00)</f>
        <v/>
      </c>
      <c r="Q2996">
        <f>IF('Loan Tape (S&amp;P)'!V2996="Yes",
    1.20,
    1.00)</f>
        <v/>
      </c>
      <c r="T2996">
        <f>LET(
    payment_method,'Loan Tape (S&amp;P)'!P2996,
    occupancy,'Loan Tape (S&amp;P)'!N2996,
    maturity_date,'Loan Tape (S&amp;P)'!L2996,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97">
      <c r="J2997">
        <f>LET(
    lien,'Loan Tape (S&amp;P)'!Q2997,
    IF(lien="First",1.00,
        IF(lien="Second",1.50,
            1.70)))</f>
        <v/>
      </c>
      <c r="K2997">
        <f>LET(
    purpose,'Loan Tape (S&amp;P)'!R2997,
    IF(purpose="Purchase",1.00,
        IF(purpose="Remortgage",1.00,
            1.20)))</f>
        <v/>
      </c>
      <c r="L2997">
        <f>LET(
    arrears_months,'Loan Tape (S&amp;P)'!AN2997,
    IF(arrears_months=0,1.00,
    IF(arrears_months=1,3.00,
    IF(arrears_months=2,5.00,
    IF(arrears_months=3,8.00,
    IF(arrears_months=4,10.00,
    IF(arrears_months=5,12.00,15.00)))))))</f>
        <v/>
      </c>
      <c r="M2997">
        <f>LET(
    seasoning_years,DATEDIF('Loan Tape (S&amp;P)'!K2997,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97">
        <f>IF(AND('Loan Tape (S&amp;P)'!U2997="Yes",
        'Loan Tape (S&amp;P)'!T2997&lt;&gt;"Yes",
        DATEDIF('Loan Tape (S&amp;P)'!K2997, TODAY(), "M")&lt;18),
    1.10,
    1.00)</f>
        <v/>
      </c>
      <c r="O2997">
        <f>IF('Loan Tape (S&amp;P)'!T2997="Yes",
    1.35,
    1.00)</f>
        <v/>
      </c>
      <c r="P2997">
        <f>IF('Loan Tape (S&amp;P)'!S2997="Yes",
    1.15,
    1.00)</f>
        <v/>
      </c>
      <c r="Q2997">
        <f>IF('Loan Tape (S&amp;P)'!V2997="Yes",
    1.20,
    1.00)</f>
        <v/>
      </c>
      <c r="T2997">
        <f>LET(
    payment_method,'Loan Tape (S&amp;P)'!P2997,
    occupancy,'Loan Tape (S&amp;P)'!N2997,
    maturity_date,'Loan Tape (S&amp;P)'!L2997,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98">
      <c r="J2998">
        <f>LET(
    lien,'Loan Tape (S&amp;P)'!Q2998,
    IF(lien="First",1.00,
        IF(lien="Second",1.50,
            1.70)))</f>
        <v/>
      </c>
      <c r="K2998">
        <f>LET(
    purpose,'Loan Tape (S&amp;P)'!R2998,
    IF(purpose="Purchase",1.00,
        IF(purpose="Remortgage",1.00,
            1.20)))</f>
        <v/>
      </c>
      <c r="L2998">
        <f>LET(
    arrears_months,'Loan Tape (S&amp;P)'!AN2998,
    IF(arrears_months=0,1.00,
    IF(arrears_months=1,3.00,
    IF(arrears_months=2,5.00,
    IF(arrears_months=3,8.00,
    IF(arrears_months=4,10.00,
    IF(arrears_months=5,12.00,15.00)))))))</f>
        <v/>
      </c>
      <c r="M2998">
        <f>LET(
    seasoning_years,DATEDIF('Loan Tape (S&amp;P)'!K2998,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98">
        <f>IF(AND('Loan Tape (S&amp;P)'!U2998="Yes",
        'Loan Tape (S&amp;P)'!T2998&lt;&gt;"Yes",
        DATEDIF('Loan Tape (S&amp;P)'!K2998, TODAY(), "M")&lt;18),
    1.10,
    1.00)</f>
        <v/>
      </c>
      <c r="O2998">
        <f>IF('Loan Tape (S&amp;P)'!T2998="Yes",
    1.35,
    1.00)</f>
        <v/>
      </c>
      <c r="P2998">
        <f>IF('Loan Tape (S&amp;P)'!S2998="Yes",
    1.15,
    1.00)</f>
        <v/>
      </c>
      <c r="Q2998">
        <f>IF('Loan Tape (S&amp;P)'!V2998="Yes",
    1.20,
    1.00)</f>
        <v/>
      </c>
      <c r="T2998">
        <f>LET(
    payment_method,'Loan Tape (S&amp;P)'!P2998,
    occupancy,'Loan Tape (S&amp;P)'!N2998,
    maturity_date,'Loan Tape (S&amp;P)'!L2998,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2999">
      <c r="J2999">
        <f>LET(
    lien,'Loan Tape (S&amp;P)'!Q2999,
    IF(lien="First",1.00,
        IF(lien="Second",1.50,
            1.70)))</f>
        <v/>
      </c>
      <c r="K2999">
        <f>LET(
    purpose,'Loan Tape (S&amp;P)'!R2999,
    IF(purpose="Purchase",1.00,
        IF(purpose="Remortgage",1.00,
            1.20)))</f>
        <v/>
      </c>
      <c r="L2999">
        <f>LET(
    arrears_months,'Loan Tape (S&amp;P)'!AN2999,
    IF(arrears_months=0,1.00,
    IF(arrears_months=1,3.00,
    IF(arrears_months=2,5.00,
    IF(arrears_months=3,8.00,
    IF(arrears_months=4,10.00,
    IF(arrears_months=5,12.00,15.00)))))))</f>
        <v/>
      </c>
      <c r="M2999">
        <f>LET(
    seasoning_years,DATEDIF('Loan Tape (S&amp;P)'!K2999,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2999">
        <f>IF(AND('Loan Tape (S&amp;P)'!U2999="Yes",
        'Loan Tape (S&amp;P)'!T2999&lt;&gt;"Yes",
        DATEDIF('Loan Tape (S&amp;P)'!K2999, TODAY(), "M")&lt;18),
    1.10,
    1.00)</f>
        <v/>
      </c>
      <c r="O2999">
        <f>IF('Loan Tape (S&amp;P)'!T2999="Yes",
    1.35,
    1.00)</f>
        <v/>
      </c>
      <c r="P2999">
        <f>IF('Loan Tape (S&amp;P)'!S2999="Yes",
    1.15,
    1.00)</f>
        <v/>
      </c>
      <c r="Q2999">
        <f>IF('Loan Tape (S&amp;P)'!V2999="Yes",
    1.20,
    1.00)</f>
        <v/>
      </c>
      <c r="T2999">
        <f>LET(
    payment_method,'Loan Tape (S&amp;P)'!P2999,
    occupancy,'Loan Tape (S&amp;P)'!N2999,
    maturity_date,'Loan Tape (S&amp;P)'!L2999,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00">
      <c r="J3000">
        <f>LET(
    lien,'Loan Tape (S&amp;P)'!Q3000,
    IF(lien="First",1.00,
        IF(lien="Second",1.50,
            1.70)))</f>
        <v/>
      </c>
      <c r="K3000">
        <f>LET(
    purpose,'Loan Tape (S&amp;P)'!R3000,
    IF(purpose="Purchase",1.00,
        IF(purpose="Remortgage",1.00,
            1.20)))</f>
        <v/>
      </c>
      <c r="L3000">
        <f>LET(
    arrears_months,'Loan Tape (S&amp;P)'!AN3000,
    IF(arrears_months=0,1.00,
    IF(arrears_months=1,3.00,
    IF(arrears_months=2,5.00,
    IF(arrears_months=3,8.00,
    IF(arrears_months=4,10.00,
    IF(arrears_months=5,12.00,15.00)))))))</f>
        <v/>
      </c>
      <c r="M3000">
        <f>LET(
    seasoning_years,DATEDIF('Loan Tape (S&amp;P)'!K3000,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00">
        <f>IF(AND('Loan Tape (S&amp;P)'!U3000="Yes",
        'Loan Tape (S&amp;P)'!T3000&lt;&gt;"Yes",
        DATEDIF('Loan Tape (S&amp;P)'!K3000, TODAY(), "M")&lt;18),
    1.10,
    1.00)</f>
        <v/>
      </c>
      <c r="O3000">
        <f>IF('Loan Tape (S&amp;P)'!T3000="Yes",
    1.35,
    1.00)</f>
        <v/>
      </c>
      <c r="P3000">
        <f>IF('Loan Tape (S&amp;P)'!S3000="Yes",
    1.15,
    1.00)</f>
        <v/>
      </c>
      <c r="Q3000">
        <f>IF('Loan Tape (S&amp;P)'!V3000="Yes",
    1.20,
    1.00)</f>
        <v/>
      </c>
      <c r="T3000">
        <f>LET(
    payment_method,'Loan Tape (S&amp;P)'!P3000,
    occupancy,'Loan Tape (S&amp;P)'!N3000,
    maturity_date,'Loan Tape (S&amp;P)'!L3000,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01">
      <c r="J3001">
        <f>LET(
    lien,'Loan Tape (S&amp;P)'!Q3001,
    IF(lien="First",1.00,
        IF(lien="Second",1.50,
            1.70)))</f>
        <v/>
      </c>
      <c r="K3001">
        <f>LET(
    purpose,'Loan Tape (S&amp;P)'!R3001,
    IF(purpose="Purchase",1.00,
        IF(purpose="Remortgage",1.00,
            1.20)))</f>
        <v/>
      </c>
      <c r="L3001">
        <f>LET(
    arrears_months,'Loan Tape (S&amp;P)'!AN3001,
    IF(arrears_months=0,1.00,
    IF(arrears_months=1,3.00,
    IF(arrears_months=2,5.00,
    IF(arrears_months=3,8.00,
    IF(arrears_months=4,10.00,
    IF(arrears_months=5,12.00,15.00)))))))</f>
        <v/>
      </c>
      <c r="M3001">
        <f>LET(
    seasoning_years,DATEDIF('Loan Tape (S&amp;P)'!K3001,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01">
        <f>IF(AND('Loan Tape (S&amp;P)'!U3001="Yes",
        'Loan Tape (S&amp;P)'!T3001&lt;&gt;"Yes",
        DATEDIF('Loan Tape (S&amp;P)'!K3001, TODAY(), "M")&lt;18),
    1.10,
    1.00)</f>
        <v/>
      </c>
      <c r="O3001">
        <f>IF('Loan Tape (S&amp;P)'!T3001="Yes",
    1.35,
    1.00)</f>
        <v/>
      </c>
      <c r="P3001">
        <f>IF('Loan Tape (S&amp;P)'!S3001="Yes",
    1.15,
    1.00)</f>
        <v/>
      </c>
      <c r="Q3001">
        <f>IF('Loan Tape (S&amp;P)'!V3001="Yes",
    1.20,
    1.00)</f>
        <v/>
      </c>
      <c r="T3001">
        <f>LET(
    payment_method,'Loan Tape (S&amp;P)'!P3001,
    occupancy,'Loan Tape (S&amp;P)'!N3001,
    maturity_date,'Loan Tape (S&amp;P)'!L3001,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02">
      <c r="J3002">
        <f>LET(
    lien,'Loan Tape (S&amp;P)'!Q3002,
    IF(lien="First",1.00,
        IF(lien="Second",1.50,
            1.70)))</f>
        <v/>
      </c>
      <c r="K3002">
        <f>LET(
    purpose,'Loan Tape (S&amp;P)'!R3002,
    IF(purpose="Purchase",1.00,
        IF(purpose="Remortgage",1.00,
            1.20)))</f>
        <v/>
      </c>
      <c r="L3002">
        <f>LET(
    arrears_months,'Loan Tape (S&amp;P)'!AN3002,
    IF(arrears_months=0,1.00,
    IF(arrears_months=1,3.00,
    IF(arrears_months=2,5.00,
    IF(arrears_months=3,8.00,
    IF(arrears_months=4,10.00,
    IF(arrears_months=5,12.00,15.00)))))))</f>
        <v/>
      </c>
      <c r="M3002">
        <f>LET(
    seasoning_years,DATEDIF('Loan Tape (S&amp;P)'!K3002,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02">
        <f>IF(AND('Loan Tape (S&amp;P)'!U3002="Yes",
        'Loan Tape (S&amp;P)'!T3002&lt;&gt;"Yes",
        DATEDIF('Loan Tape (S&amp;P)'!K3002, TODAY(), "M")&lt;18),
    1.10,
    1.00)</f>
        <v/>
      </c>
      <c r="O3002">
        <f>IF('Loan Tape (S&amp;P)'!T3002="Yes",
    1.35,
    1.00)</f>
        <v/>
      </c>
      <c r="P3002">
        <f>IF('Loan Tape (S&amp;P)'!S3002="Yes",
    1.15,
    1.00)</f>
        <v/>
      </c>
      <c r="Q3002">
        <f>IF('Loan Tape (S&amp;P)'!V3002="Yes",
    1.20,
    1.00)</f>
        <v/>
      </c>
      <c r="T3002">
        <f>LET(
    payment_method,'Loan Tape (S&amp;P)'!P3002,
    occupancy,'Loan Tape (S&amp;P)'!N3002,
    maturity_date,'Loan Tape (S&amp;P)'!L3002,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03">
      <c r="J3003">
        <f>LET(
    lien,'Loan Tape (S&amp;P)'!Q3003,
    IF(lien="First",1.00,
        IF(lien="Second",1.50,
            1.70)))</f>
        <v/>
      </c>
      <c r="K3003">
        <f>LET(
    purpose,'Loan Tape (S&amp;P)'!R3003,
    IF(purpose="Purchase",1.00,
        IF(purpose="Remortgage",1.00,
            1.20)))</f>
        <v/>
      </c>
      <c r="L3003">
        <f>LET(
    arrears_months,'Loan Tape (S&amp;P)'!AN3003,
    IF(arrears_months=0,1.00,
    IF(arrears_months=1,3.00,
    IF(arrears_months=2,5.00,
    IF(arrears_months=3,8.00,
    IF(arrears_months=4,10.00,
    IF(arrears_months=5,12.00,15.00)))))))</f>
        <v/>
      </c>
      <c r="M3003">
        <f>LET(
    seasoning_years,DATEDIF('Loan Tape (S&amp;P)'!K3003,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03">
        <f>IF(AND('Loan Tape (S&amp;P)'!U3003="Yes",
        'Loan Tape (S&amp;P)'!T3003&lt;&gt;"Yes",
        DATEDIF('Loan Tape (S&amp;P)'!K3003, TODAY(), "M")&lt;18),
    1.10,
    1.00)</f>
        <v/>
      </c>
      <c r="O3003">
        <f>IF('Loan Tape (S&amp;P)'!T3003="Yes",
    1.35,
    1.00)</f>
        <v/>
      </c>
      <c r="P3003">
        <f>IF('Loan Tape (S&amp;P)'!S3003="Yes",
    1.15,
    1.00)</f>
        <v/>
      </c>
      <c r="Q3003">
        <f>IF('Loan Tape (S&amp;P)'!V3003="Yes",
    1.20,
    1.00)</f>
        <v/>
      </c>
      <c r="T3003">
        <f>LET(
    payment_method,'Loan Tape (S&amp;P)'!P3003,
    occupancy,'Loan Tape (S&amp;P)'!N3003,
    maturity_date,'Loan Tape (S&amp;P)'!L3003,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04">
      <c r="J3004">
        <f>LET(
    lien,'Loan Tape (S&amp;P)'!Q3004,
    IF(lien="First",1.00,
        IF(lien="Second",1.50,
            1.70)))</f>
        <v/>
      </c>
      <c r="K3004">
        <f>LET(
    purpose,'Loan Tape (S&amp;P)'!R3004,
    IF(purpose="Purchase",1.00,
        IF(purpose="Remortgage",1.00,
            1.20)))</f>
        <v/>
      </c>
      <c r="L3004">
        <f>LET(
    arrears_months,'Loan Tape (S&amp;P)'!AN3004,
    IF(arrears_months=0,1.00,
    IF(arrears_months=1,3.00,
    IF(arrears_months=2,5.00,
    IF(arrears_months=3,8.00,
    IF(arrears_months=4,10.00,
    IF(arrears_months=5,12.00,15.00)))))))</f>
        <v/>
      </c>
      <c r="M3004">
        <f>LET(
    seasoning_years,DATEDIF('Loan Tape (S&amp;P)'!K3004,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04">
        <f>IF(AND('Loan Tape (S&amp;P)'!U3004="Yes",
        'Loan Tape (S&amp;P)'!T3004&lt;&gt;"Yes",
        DATEDIF('Loan Tape (S&amp;P)'!K3004, TODAY(), "M")&lt;18),
    1.10,
    1.00)</f>
        <v/>
      </c>
      <c r="O3004">
        <f>IF('Loan Tape (S&amp;P)'!T3004="Yes",
    1.35,
    1.00)</f>
        <v/>
      </c>
      <c r="P3004">
        <f>IF('Loan Tape (S&amp;P)'!S3004="Yes",
    1.15,
    1.00)</f>
        <v/>
      </c>
      <c r="Q3004">
        <f>IF('Loan Tape (S&amp;P)'!V3004="Yes",
    1.20,
    1.00)</f>
        <v/>
      </c>
      <c r="T3004">
        <f>LET(
    payment_method,'Loan Tape (S&amp;P)'!P3004,
    occupancy,'Loan Tape (S&amp;P)'!N3004,
    maturity_date,'Loan Tape (S&amp;P)'!L3004,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05">
      <c r="J3005">
        <f>LET(
    lien,'Loan Tape (S&amp;P)'!Q3005,
    IF(lien="First",1.00,
        IF(lien="Second",1.50,
            1.70)))</f>
        <v/>
      </c>
      <c r="K3005">
        <f>LET(
    purpose,'Loan Tape (S&amp;P)'!R3005,
    IF(purpose="Purchase",1.00,
        IF(purpose="Remortgage",1.00,
            1.20)))</f>
        <v/>
      </c>
      <c r="L3005">
        <f>LET(
    arrears_months,'Loan Tape (S&amp;P)'!AN3005,
    IF(arrears_months=0,1.00,
    IF(arrears_months=1,3.00,
    IF(arrears_months=2,5.00,
    IF(arrears_months=3,8.00,
    IF(arrears_months=4,10.00,
    IF(arrears_months=5,12.00,15.00)))))))</f>
        <v/>
      </c>
      <c r="M3005">
        <f>LET(
    seasoning_years,DATEDIF('Loan Tape (S&amp;P)'!K3005,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05">
        <f>IF(AND('Loan Tape (S&amp;P)'!U3005="Yes",
        'Loan Tape (S&amp;P)'!T3005&lt;&gt;"Yes",
        DATEDIF('Loan Tape (S&amp;P)'!K3005, TODAY(), "M")&lt;18),
    1.10,
    1.00)</f>
        <v/>
      </c>
      <c r="O3005">
        <f>IF('Loan Tape (S&amp;P)'!T3005="Yes",
    1.35,
    1.00)</f>
        <v/>
      </c>
      <c r="P3005">
        <f>IF('Loan Tape (S&amp;P)'!S3005="Yes",
    1.15,
    1.00)</f>
        <v/>
      </c>
      <c r="Q3005">
        <f>IF('Loan Tape (S&amp;P)'!V3005="Yes",
    1.20,
    1.00)</f>
        <v/>
      </c>
      <c r="T3005">
        <f>LET(
    payment_method,'Loan Tape (S&amp;P)'!P3005,
    occupancy,'Loan Tape (S&amp;P)'!N3005,
    maturity_date,'Loan Tape (S&amp;P)'!L3005,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06">
      <c r="J3006">
        <f>LET(
    lien,'Loan Tape (S&amp;P)'!Q3006,
    IF(lien="First",1.00,
        IF(lien="Second",1.50,
            1.70)))</f>
        <v/>
      </c>
      <c r="K3006">
        <f>LET(
    purpose,'Loan Tape (S&amp;P)'!R3006,
    IF(purpose="Purchase",1.00,
        IF(purpose="Remortgage",1.00,
            1.20)))</f>
        <v/>
      </c>
      <c r="L3006">
        <f>LET(
    arrears_months,'Loan Tape (S&amp;P)'!AN3006,
    IF(arrears_months=0,1.00,
    IF(arrears_months=1,3.00,
    IF(arrears_months=2,5.00,
    IF(arrears_months=3,8.00,
    IF(arrears_months=4,10.00,
    IF(arrears_months=5,12.00,15.00)))))))</f>
        <v/>
      </c>
      <c r="M3006">
        <f>LET(
    seasoning_years,DATEDIF('Loan Tape (S&amp;P)'!K3006,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06">
        <f>IF(AND('Loan Tape (S&amp;P)'!U3006="Yes",
        'Loan Tape (S&amp;P)'!T3006&lt;&gt;"Yes",
        DATEDIF('Loan Tape (S&amp;P)'!K3006, TODAY(), "M")&lt;18),
    1.10,
    1.00)</f>
        <v/>
      </c>
      <c r="O3006">
        <f>IF('Loan Tape (S&amp;P)'!T3006="Yes",
    1.35,
    1.00)</f>
        <v/>
      </c>
      <c r="P3006">
        <f>IF('Loan Tape (S&amp;P)'!S3006="Yes",
    1.15,
    1.00)</f>
        <v/>
      </c>
      <c r="Q3006">
        <f>IF('Loan Tape (S&amp;P)'!V3006="Yes",
    1.20,
    1.00)</f>
        <v/>
      </c>
      <c r="T3006">
        <f>LET(
    payment_method,'Loan Tape (S&amp;P)'!P3006,
    occupancy,'Loan Tape (S&amp;P)'!N3006,
    maturity_date,'Loan Tape (S&amp;P)'!L3006,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07">
      <c r="J3007">
        <f>LET(
    lien,'Loan Tape (S&amp;P)'!Q3007,
    IF(lien="First",1.00,
        IF(lien="Second",1.50,
            1.70)))</f>
        <v/>
      </c>
      <c r="K3007">
        <f>LET(
    purpose,'Loan Tape (S&amp;P)'!R3007,
    IF(purpose="Purchase",1.00,
        IF(purpose="Remortgage",1.00,
            1.20)))</f>
        <v/>
      </c>
      <c r="L3007">
        <f>LET(
    arrears_months,'Loan Tape (S&amp;P)'!AN3007,
    IF(arrears_months=0,1.00,
    IF(arrears_months=1,3.00,
    IF(arrears_months=2,5.00,
    IF(arrears_months=3,8.00,
    IF(arrears_months=4,10.00,
    IF(arrears_months=5,12.00,15.00)))))))</f>
        <v/>
      </c>
      <c r="M3007">
        <f>LET(
    seasoning_years,DATEDIF('Loan Tape (S&amp;P)'!K3007,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07">
        <f>IF(AND('Loan Tape (S&amp;P)'!U3007="Yes",
        'Loan Tape (S&amp;P)'!T3007&lt;&gt;"Yes",
        DATEDIF('Loan Tape (S&amp;P)'!K3007, TODAY(), "M")&lt;18),
    1.10,
    1.00)</f>
        <v/>
      </c>
      <c r="O3007">
        <f>IF('Loan Tape (S&amp;P)'!T3007="Yes",
    1.35,
    1.00)</f>
        <v/>
      </c>
      <c r="P3007">
        <f>IF('Loan Tape (S&amp;P)'!S3007="Yes",
    1.15,
    1.00)</f>
        <v/>
      </c>
      <c r="Q3007">
        <f>IF('Loan Tape (S&amp;P)'!V3007="Yes",
    1.20,
    1.00)</f>
        <v/>
      </c>
      <c r="T3007">
        <f>LET(
    payment_method,'Loan Tape (S&amp;P)'!P3007,
    occupancy,'Loan Tape (S&amp;P)'!N3007,
    maturity_date,'Loan Tape (S&amp;P)'!L3007,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08">
      <c r="J3008">
        <f>LET(
    lien,'Loan Tape (S&amp;P)'!Q3008,
    IF(lien="First",1.00,
        IF(lien="Second",1.50,
            1.70)))</f>
        <v/>
      </c>
      <c r="K3008">
        <f>LET(
    purpose,'Loan Tape (S&amp;P)'!R3008,
    IF(purpose="Purchase",1.00,
        IF(purpose="Remortgage",1.00,
            1.20)))</f>
        <v/>
      </c>
      <c r="L3008">
        <f>LET(
    arrears_months,'Loan Tape (S&amp;P)'!AN3008,
    IF(arrears_months=0,1.00,
    IF(arrears_months=1,3.00,
    IF(arrears_months=2,5.00,
    IF(arrears_months=3,8.00,
    IF(arrears_months=4,10.00,
    IF(arrears_months=5,12.00,15.00)))))))</f>
        <v/>
      </c>
      <c r="M3008">
        <f>LET(
    seasoning_years,DATEDIF('Loan Tape (S&amp;P)'!K3008,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08">
        <f>IF(AND('Loan Tape (S&amp;P)'!U3008="Yes",
        'Loan Tape (S&amp;P)'!T3008&lt;&gt;"Yes",
        DATEDIF('Loan Tape (S&amp;P)'!K3008, TODAY(), "M")&lt;18),
    1.10,
    1.00)</f>
        <v/>
      </c>
      <c r="O3008">
        <f>IF('Loan Tape (S&amp;P)'!T3008="Yes",
    1.35,
    1.00)</f>
        <v/>
      </c>
      <c r="P3008">
        <f>IF('Loan Tape (S&amp;P)'!S3008="Yes",
    1.15,
    1.00)</f>
        <v/>
      </c>
      <c r="Q3008">
        <f>IF('Loan Tape (S&amp;P)'!V3008="Yes",
    1.20,
    1.00)</f>
        <v/>
      </c>
      <c r="T3008">
        <f>LET(
    payment_method,'Loan Tape (S&amp;P)'!P3008,
    occupancy,'Loan Tape (S&amp;P)'!N3008,
    maturity_date,'Loan Tape (S&amp;P)'!L3008,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09">
      <c r="J3009">
        <f>LET(
    lien,'Loan Tape (S&amp;P)'!Q3009,
    IF(lien="First",1.00,
        IF(lien="Second",1.50,
            1.70)))</f>
        <v/>
      </c>
      <c r="K3009">
        <f>LET(
    purpose,'Loan Tape (S&amp;P)'!R3009,
    IF(purpose="Purchase",1.00,
        IF(purpose="Remortgage",1.00,
            1.20)))</f>
        <v/>
      </c>
      <c r="L3009">
        <f>LET(
    arrears_months,'Loan Tape (S&amp;P)'!AN3009,
    IF(arrears_months=0,1.00,
    IF(arrears_months=1,3.00,
    IF(arrears_months=2,5.00,
    IF(arrears_months=3,8.00,
    IF(arrears_months=4,10.00,
    IF(arrears_months=5,12.00,15.00)))))))</f>
        <v/>
      </c>
      <c r="M3009">
        <f>LET(
    seasoning_years,DATEDIF('Loan Tape (S&amp;P)'!K3009,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09">
        <f>IF(AND('Loan Tape (S&amp;P)'!U3009="Yes",
        'Loan Tape (S&amp;P)'!T3009&lt;&gt;"Yes",
        DATEDIF('Loan Tape (S&amp;P)'!K3009, TODAY(), "M")&lt;18),
    1.10,
    1.00)</f>
        <v/>
      </c>
      <c r="O3009">
        <f>IF('Loan Tape (S&amp;P)'!T3009="Yes",
    1.35,
    1.00)</f>
        <v/>
      </c>
      <c r="P3009">
        <f>IF('Loan Tape (S&amp;P)'!S3009="Yes",
    1.15,
    1.00)</f>
        <v/>
      </c>
      <c r="Q3009">
        <f>IF('Loan Tape (S&amp;P)'!V3009="Yes",
    1.20,
    1.00)</f>
        <v/>
      </c>
      <c r="T3009">
        <f>LET(
    payment_method,'Loan Tape (S&amp;P)'!P3009,
    occupancy,'Loan Tape (S&amp;P)'!N3009,
    maturity_date,'Loan Tape (S&amp;P)'!L3009,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10">
      <c r="J3010">
        <f>LET(
    lien,'Loan Tape (S&amp;P)'!Q3010,
    IF(lien="First",1.00,
        IF(lien="Second",1.50,
            1.70)))</f>
        <v/>
      </c>
      <c r="K3010">
        <f>LET(
    purpose,'Loan Tape (S&amp;P)'!R3010,
    IF(purpose="Purchase",1.00,
        IF(purpose="Remortgage",1.00,
            1.20)))</f>
        <v/>
      </c>
      <c r="L3010">
        <f>LET(
    arrears_months,'Loan Tape (S&amp;P)'!AN3010,
    IF(arrears_months=0,1.00,
    IF(arrears_months=1,3.00,
    IF(arrears_months=2,5.00,
    IF(arrears_months=3,8.00,
    IF(arrears_months=4,10.00,
    IF(arrears_months=5,12.00,15.00)))))))</f>
        <v/>
      </c>
      <c r="M3010">
        <f>LET(
    seasoning_years,DATEDIF('Loan Tape (S&amp;P)'!K3010,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10">
        <f>IF(AND('Loan Tape (S&amp;P)'!U3010="Yes",
        'Loan Tape (S&amp;P)'!T3010&lt;&gt;"Yes",
        DATEDIF('Loan Tape (S&amp;P)'!K3010, TODAY(), "M")&lt;18),
    1.10,
    1.00)</f>
        <v/>
      </c>
      <c r="O3010">
        <f>IF('Loan Tape (S&amp;P)'!T3010="Yes",
    1.35,
    1.00)</f>
        <v/>
      </c>
      <c r="P3010">
        <f>IF('Loan Tape (S&amp;P)'!S3010="Yes",
    1.15,
    1.00)</f>
        <v/>
      </c>
      <c r="Q3010">
        <f>IF('Loan Tape (S&amp;P)'!V3010="Yes",
    1.20,
    1.00)</f>
        <v/>
      </c>
      <c r="T3010">
        <f>LET(
    payment_method,'Loan Tape (S&amp;P)'!P3010,
    occupancy,'Loan Tape (S&amp;P)'!N3010,
    maturity_date,'Loan Tape (S&amp;P)'!L3010,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11">
      <c r="J3011">
        <f>LET(
    lien,'Loan Tape (S&amp;P)'!Q3011,
    IF(lien="First",1.00,
        IF(lien="Second",1.50,
            1.70)))</f>
        <v/>
      </c>
      <c r="K3011">
        <f>LET(
    purpose,'Loan Tape (S&amp;P)'!R3011,
    IF(purpose="Purchase",1.00,
        IF(purpose="Remortgage",1.00,
            1.20)))</f>
        <v/>
      </c>
      <c r="L3011">
        <f>LET(
    arrears_months,'Loan Tape (S&amp;P)'!AN3011,
    IF(arrears_months=0,1.00,
    IF(arrears_months=1,3.00,
    IF(arrears_months=2,5.00,
    IF(arrears_months=3,8.00,
    IF(arrears_months=4,10.00,
    IF(arrears_months=5,12.00,15.00)))))))</f>
        <v/>
      </c>
      <c r="M3011">
        <f>LET(
    seasoning_years,DATEDIF('Loan Tape (S&amp;P)'!K3011,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11">
        <f>IF(AND('Loan Tape (S&amp;P)'!U3011="Yes",
        'Loan Tape (S&amp;P)'!T3011&lt;&gt;"Yes",
        DATEDIF('Loan Tape (S&amp;P)'!K3011, TODAY(), "M")&lt;18),
    1.10,
    1.00)</f>
        <v/>
      </c>
      <c r="O3011">
        <f>IF('Loan Tape (S&amp;P)'!T3011="Yes",
    1.35,
    1.00)</f>
        <v/>
      </c>
      <c r="P3011">
        <f>IF('Loan Tape (S&amp;P)'!S3011="Yes",
    1.15,
    1.00)</f>
        <v/>
      </c>
      <c r="Q3011">
        <f>IF('Loan Tape (S&amp;P)'!V3011="Yes",
    1.20,
    1.00)</f>
        <v/>
      </c>
      <c r="T3011">
        <f>LET(
    payment_method,'Loan Tape (S&amp;P)'!P3011,
    occupancy,'Loan Tape (S&amp;P)'!N3011,
    maturity_date,'Loan Tape (S&amp;P)'!L3011,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12">
      <c r="J3012">
        <f>LET(
    lien,'Loan Tape (S&amp;P)'!Q3012,
    IF(lien="First",1.00,
        IF(lien="Second",1.50,
            1.70)))</f>
        <v/>
      </c>
      <c r="K3012">
        <f>LET(
    purpose,'Loan Tape (S&amp;P)'!R3012,
    IF(purpose="Purchase",1.00,
        IF(purpose="Remortgage",1.00,
            1.20)))</f>
        <v/>
      </c>
      <c r="L3012">
        <f>LET(
    arrears_months,'Loan Tape (S&amp;P)'!AN3012,
    IF(arrears_months=0,1.00,
    IF(arrears_months=1,3.00,
    IF(arrears_months=2,5.00,
    IF(arrears_months=3,8.00,
    IF(arrears_months=4,10.00,
    IF(arrears_months=5,12.00,15.00)))))))</f>
        <v/>
      </c>
      <c r="M3012">
        <f>LET(
    seasoning_years,DATEDIF('Loan Tape (S&amp;P)'!K3012,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12">
        <f>IF(AND('Loan Tape (S&amp;P)'!U3012="Yes",
        'Loan Tape (S&amp;P)'!T3012&lt;&gt;"Yes",
        DATEDIF('Loan Tape (S&amp;P)'!K3012, TODAY(), "M")&lt;18),
    1.10,
    1.00)</f>
        <v/>
      </c>
      <c r="O3012">
        <f>IF('Loan Tape (S&amp;P)'!T3012="Yes",
    1.35,
    1.00)</f>
        <v/>
      </c>
      <c r="P3012">
        <f>IF('Loan Tape (S&amp;P)'!S3012="Yes",
    1.15,
    1.00)</f>
        <v/>
      </c>
      <c r="Q3012">
        <f>IF('Loan Tape (S&amp;P)'!V3012="Yes",
    1.20,
    1.00)</f>
        <v/>
      </c>
      <c r="T3012">
        <f>LET(
    payment_method,'Loan Tape (S&amp;P)'!P3012,
    occupancy,'Loan Tape (S&amp;P)'!N3012,
    maturity_date,'Loan Tape (S&amp;P)'!L3012,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13">
      <c r="J3013">
        <f>LET(
    lien,'Loan Tape (S&amp;P)'!Q3013,
    IF(lien="First",1.00,
        IF(lien="Second",1.50,
            1.70)))</f>
        <v/>
      </c>
      <c r="K3013">
        <f>LET(
    purpose,'Loan Tape (S&amp;P)'!R3013,
    IF(purpose="Purchase",1.00,
        IF(purpose="Remortgage",1.00,
            1.20)))</f>
        <v/>
      </c>
      <c r="L3013">
        <f>LET(
    arrears_months,'Loan Tape (S&amp;P)'!AN3013,
    IF(arrears_months=0,1.00,
    IF(arrears_months=1,3.00,
    IF(arrears_months=2,5.00,
    IF(arrears_months=3,8.00,
    IF(arrears_months=4,10.00,
    IF(arrears_months=5,12.00,15.00)))))))</f>
        <v/>
      </c>
      <c r="M3013">
        <f>LET(
    seasoning_years,DATEDIF('Loan Tape (S&amp;P)'!K3013,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13">
        <f>IF(AND('Loan Tape (S&amp;P)'!U3013="Yes",
        'Loan Tape (S&amp;P)'!T3013&lt;&gt;"Yes",
        DATEDIF('Loan Tape (S&amp;P)'!K3013, TODAY(), "M")&lt;18),
    1.10,
    1.00)</f>
        <v/>
      </c>
      <c r="O3013">
        <f>IF('Loan Tape (S&amp;P)'!T3013="Yes",
    1.35,
    1.00)</f>
        <v/>
      </c>
      <c r="P3013">
        <f>IF('Loan Tape (S&amp;P)'!S3013="Yes",
    1.15,
    1.00)</f>
        <v/>
      </c>
      <c r="Q3013">
        <f>IF('Loan Tape (S&amp;P)'!V3013="Yes",
    1.20,
    1.00)</f>
        <v/>
      </c>
      <c r="T3013">
        <f>LET(
    payment_method,'Loan Tape (S&amp;P)'!P3013,
    occupancy,'Loan Tape (S&amp;P)'!N3013,
    maturity_date,'Loan Tape (S&amp;P)'!L3013,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14">
      <c r="J3014">
        <f>LET(
    lien,'Loan Tape (S&amp;P)'!Q3014,
    IF(lien="First",1.00,
        IF(lien="Second",1.50,
            1.70)))</f>
        <v/>
      </c>
      <c r="K3014">
        <f>LET(
    purpose,'Loan Tape (S&amp;P)'!R3014,
    IF(purpose="Purchase",1.00,
        IF(purpose="Remortgage",1.00,
            1.20)))</f>
        <v/>
      </c>
      <c r="L3014">
        <f>LET(
    arrears_months,'Loan Tape (S&amp;P)'!AN3014,
    IF(arrears_months=0,1.00,
    IF(arrears_months=1,3.00,
    IF(arrears_months=2,5.00,
    IF(arrears_months=3,8.00,
    IF(arrears_months=4,10.00,
    IF(arrears_months=5,12.00,15.00)))))))</f>
        <v/>
      </c>
      <c r="M3014">
        <f>LET(
    seasoning_years,DATEDIF('Loan Tape (S&amp;P)'!K3014,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14">
        <f>IF(AND('Loan Tape (S&amp;P)'!U3014="Yes",
        'Loan Tape (S&amp;P)'!T3014&lt;&gt;"Yes",
        DATEDIF('Loan Tape (S&amp;P)'!K3014, TODAY(), "M")&lt;18),
    1.10,
    1.00)</f>
        <v/>
      </c>
      <c r="O3014">
        <f>IF('Loan Tape (S&amp;P)'!T3014="Yes",
    1.35,
    1.00)</f>
        <v/>
      </c>
      <c r="P3014">
        <f>IF('Loan Tape (S&amp;P)'!S3014="Yes",
    1.15,
    1.00)</f>
        <v/>
      </c>
      <c r="Q3014">
        <f>IF('Loan Tape (S&amp;P)'!V3014="Yes",
    1.20,
    1.00)</f>
        <v/>
      </c>
      <c r="T3014">
        <f>LET(
    payment_method,'Loan Tape (S&amp;P)'!P3014,
    occupancy,'Loan Tape (S&amp;P)'!N3014,
    maturity_date,'Loan Tape (S&amp;P)'!L3014,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15">
      <c r="J3015">
        <f>LET(
    lien,'Loan Tape (S&amp;P)'!Q3015,
    IF(lien="First",1.00,
        IF(lien="Second",1.50,
            1.70)))</f>
        <v/>
      </c>
      <c r="K3015">
        <f>LET(
    purpose,'Loan Tape (S&amp;P)'!R3015,
    IF(purpose="Purchase",1.00,
        IF(purpose="Remortgage",1.00,
            1.20)))</f>
        <v/>
      </c>
      <c r="L3015">
        <f>LET(
    arrears_months,'Loan Tape (S&amp;P)'!AN3015,
    IF(arrears_months=0,1.00,
    IF(arrears_months=1,3.00,
    IF(arrears_months=2,5.00,
    IF(arrears_months=3,8.00,
    IF(arrears_months=4,10.00,
    IF(arrears_months=5,12.00,15.00)))))))</f>
        <v/>
      </c>
      <c r="M3015">
        <f>LET(
    seasoning_years,DATEDIF('Loan Tape (S&amp;P)'!K3015,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15">
        <f>IF(AND('Loan Tape (S&amp;P)'!U3015="Yes",
        'Loan Tape (S&amp;P)'!T3015&lt;&gt;"Yes",
        DATEDIF('Loan Tape (S&amp;P)'!K3015, TODAY(), "M")&lt;18),
    1.10,
    1.00)</f>
        <v/>
      </c>
      <c r="O3015">
        <f>IF('Loan Tape (S&amp;P)'!T3015="Yes",
    1.35,
    1.00)</f>
        <v/>
      </c>
      <c r="P3015">
        <f>IF('Loan Tape (S&amp;P)'!S3015="Yes",
    1.15,
    1.00)</f>
        <v/>
      </c>
      <c r="Q3015">
        <f>IF('Loan Tape (S&amp;P)'!V3015="Yes",
    1.20,
    1.00)</f>
        <v/>
      </c>
      <c r="T3015">
        <f>LET(
    payment_method,'Loan Tape (S&amp;P)'!P3015,
    occupancy,'Loan Tape (S&amp;P)'!N3015,
    maturity_date,'Loan Tape (S&amp;P)'!L3015,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16">
      <c r="J3016">
        <f>LET(
    lien,'Loan Tape (S&amp;P)'!Q3016,
    IF(lien="First",1.00,
        IF(lien="Second",1.50,
            1.70)))</f>
        <v/>
      </c>
      <c r="K3016">
        <f>LET(
    purpose,'Loan Tape (S&amp;P)'!R3016,
    IF(purpose="Purchase",1.00,
        IF(purpose="Remortgage",1.00,
            1.20)))</f>
        <v/>
      </c>
      <c r="L3016">
        <f>LET(
    arrears_months,'Loan Tape (S&amp;P)'!AN3016,
    IF(arrears_months=0,1.00,
    IF(arrears_months=1,3.00,
    IF(arrears_months=2,5.00,
    IF(arrears_months=3,8.00,
    IF(arrears_months=4,10.00,
    IF(arrears_months=5,12.00,15.00)))))))</f>
        <v/>
      </c>
      <c r="M3016">
        <f>LET(
    seasoning_years,DATEDIF('Loan Tape (S&amp;P)'!K3016,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16">
        <f>IF(AND('Loan Tape (S&amp;P)'!U3016="Yes",
        'Loan Tape (S&amp;P)'!T3016&lt;&gt;"Yes",
        DATEDIF('Loan Tape (S&amp;P)'!K3016, TODAY(), "M")&lt;18),
    1.10,
    1.00)</f>
        <v/>
      </c>
      <c r="O3016">
        <f>IF('Loan Tape (S&amp;P)'!T3016="Yes",
    1.35,
    1.00)</f>
        <v/>
      </c>
      <c r="P3016">
        <f>IF('Loan Tape (S&amp;P)'!S3016="Yes",
    1.15,
    1.00)</f>
        <v/>
      </c>
      <c r="Q3016">
        <f>IF('Loan Tape (S&amp;P)'!V3016="Yes",
    1.20,
    1.00)</f>
        <v/>
      </c>
      <c r="T3016">
        <f>LET(
    payment_method,'Loan Tape (S&amp;P)'!P3016,
    occupancy,'Loan Tape (S&amp;P)'!N3016,
    maturity_date,'Loan Tape (S&amp;P)'!L3016,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17">
      <c r="J3017">
        <f>LET(
    lien,'Loan Tape (S&amp;P)'!Q3017,
    IF(lien="First",1.00,
        IF(lien="Second",1.50,
            1.70)))</f>
        <v/>
      </c>
      <c r="K3017">
        <f>LET(
    purpose,'Loan Tape (S&amp;P)'!R3017,
    IF(purpose="Purchase",1.00,
        IF(purpose="Remortgage",1.00,
            1.20)))</f>
        <v/>
      </c>
      <c r="L3017">
        <f>LET(
    arrears_months,'Loan Tape (S&amp;P)'!AN3017,
    IF(arrears_months=0,1.00,
    IF(arrears_months=1,3.00,
    IF(arrears_months=2,5.00,
    IF(arrears_months=3,8.00,
    IF(arrears_months=4,10.00,
    IF(arrears_months=5,12.00,15.00)))))))</f>
        <v/>
      </c>
      <c r="M3017">
        <f>LET(
    seasoning_years,DATEDIF('Loan Tape (S&amp;P)'!K3017,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17">
        <f>IF(AND('Loan Tape (S&amp;P)'!U3017="Yes",
        'Loan Tape (S&amp;P)'!T3017&lt;&gt;"Yes",
        DATEDIF('Loan Tape (S&amp;P)'!K3017, TODAY(), "M")&lt;18),
    1.10,
    1.00)</f>
        <v/>
      </c>
      <c r="O3017">
        <f>IF('Loan Tape (S&amp;P)'!T3017="Yes",
    1.35,
    1.00)</f>
        <v/>
      </c>
      <c r="P3017">
        <f>IF('Loan Tape (S&amp;P)'!S3017="Yes",
    1.15,
    1.00)</f>
        <v/>
      </c>
      <c r="Q3017">
        <f>IF('Loan Tape (S&amp;P)'!V3017="Yes",
    1.20,
    1.00)</f>
        <v/>
      </c>
      <c r="T3017">
        <f>LET(
    payment_method,'Loan Tape (S&amp;P)'!P3017,
    occupancy,'Loan Tape (S&amp;P)'!N3017,
    maturity_date,'Loan Tape (S&amp;P)'!L3017,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18">
      <c r="J3018">
        <f>LET(
    lien,'Loan Tape (S&amp;P)'!Q3018,
    IF(lien="First",1.00,
        IF(lien="Second",1.50,
            1.70)))</f>
        <v/>
      </c>
      <c r="K3018">
        <f>LET(
    purpose,'Loan Tape (S&amp;P)'!R3018,
    IF(purpose="Purchase",1.00,
        IF(purpose="Remortgage",1.00,
            1.20)))</f>
        <v/>
      </c>
      <c r="L3018">
        <f>LET(
    arrears_months,'Loan Tape (S&amp;P)'!AN3018,
    IF(arrears_months=0,1.00,
    IF(arrears_months=1,3.00,
    IF(arrears_months=2,5.00,
    IF(arrears_months=3,8.00,
    IF(arrears_months=4,10.00,
    IF(arrears_months=5,12.00,15.00)))))))</f>
        <v/>
      </c>
      <c r="M3018">
        <f>LET(
    seasoning_years,DATEDIF('Loan Tape (S&amp;P)'!K3018,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18">
        <f>IF(AND('Loan Tape (S&amp;P)'!U3018="Yes",
        'Loan Tape (S&amp;P)'!T3018&lt;&gt;"Yes",
        DATEDIF('Loan Tape (S&amp;P)'!K3018, TODAY(), "M")&lt;18),
    1.10,
    1.00)</f>
        <v/>
      </c>
      <c r="O3018">
        <f>IF('Loan Tape (S&amp;P)'!T3018="Yes",
    1.35,
    1.00)</f>
        <v/>
      </c>
      <c r="P3018">
        <f>IF('Loan Tape (S&amp;P)'!S3018="Yes",
    1.15,
    1.00)</f>
        <v/>
      </c>
      <c r="Q3018">
        <f>IF('Loan Tape (S&amp;P)'!V3018="Yes",
    1.20,
    1.00)</f>
        <v/>
      </c>
      <c r="T3018">
        <f>LET(
    payment_method,'Loan Tape (S&amp;P)'!P3018,
    occupancy,'Loan Tape (S&amp;P)'!N3018,
    maturity_date,'Loan Tape (S&amp;P)'!L3018,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19">
      <c r="J3019">
        <f>LET(
    lien,'Loan Tape (S&amp;P)'!Q3019,
    IF(lien="First",1.00,
        IF(lien="Second",1.50,
            1.70)))</f>
        <v/>
      </c>
      <c r="K3019">
        <f>LET(
    purpose,'Loan Tape (S&amp;P)'!R3019,
    IF(purpose="Purchase",1.00,
        IF(purpose="Remortgage",1.00,
            1.20)))</f>
        <v/>
      </c>
      <c r="L3019">
        <f>LET(
    arrears_months,'Loan Tape (S&amp;P)'!AN3019,
    IF(arrears_months=0,1.00,
    IF(arrears_months=1,3.00,
    IF(arrears_months=2,5.00,
    IF(arrears_months=3,8.00,
    IF(arrears_months=4,10.00,
    IF(arrears_months=5,12.00,15.00)))))))</f>
        <v/>
      </c>
      <c r="M3019">
        <f>LET(
    seasoning_years,DATEDIF('Loan Tape (S&amp;P)'!K3019,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19">
        <f>IF(AND('Loan Tape (S&amp;P)'!U3019="Yes",
        'Loan Tape (S&amp;P)'!T3019&lt;&gt;"Yes",
        DATEDIF('Loan Tape (S&amp;P)'!K3019, TODAY(), "M")&lt;18),
    1.10,
    1.00)</f>
        <v/>
      </c>
      <c r="O3019">
        <f>IF('Loan Tape (S&amp;P)'!T3019="Yes",
    1.35,
    1.00)</f>
        <v/>
      </c>
      <c r="P3019">
        <f>IF('Loan Tape (S&amp;P)'!S3019="Yes",
    1.15,
    1.00)</f>
        <v/>
      </c>
      <c r="Q3019">
        <f>IF('Loan Tape (S&amp;P)'!V3019="Yes",
    1.20,
    1.00)</f>
        <v/>
      </c>
      <c r="T3019">
        <f>LET(
    payment_method,'Loan Tape (S&amp;P)'!P3019,
    occupancy,'Loan Tape (S&amp;P)'!N3019,
    maturity_date,'Loan Tape (S&amp;P)'!L3019,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20">
      <c r="J3020">
        <f>LET(
    lien,'Loan Tape (S&amp;P)'!Q3020,
    IF(lien="First",1.00,
        IF(lien="Second",1.50,
            1.70)))</f>
        <v/>
      </c>
      <c r="K3020">
        <f>LET(
    purpose,'Loan Tape (S&amp;P)'!R3020,
    IF(purpose="Purchase",1.00,
        IF(purpose="Remortgage",1.00,
            1.20)))</f>
        <v/>
      </c>
      <c r="L3020">
        <f>LET(
    arrears_months,'Loan Tape (S&amp;P)'!AN3020,
    IF(arrears_months=0,1.00,
    IF(arrears_months=1,3.00,
    IF(arrears_months=2,5.00,
    IF(arrears_months=3,8.00,
    IF(arrears_months=4,10.00,
    IF(arrears_months=5,12.00,15.00)))))))</f>
        <v/>
      </c>
      <c r="M3020">
        <f>LET(
    seasoning_years,DATEDIF('Loan Tape (S&amp;P)'!K3020,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20">
        <f>IF(AND('Loan Tape (S&amp;P)'!U3020="Yes",
        'Loan Tape (S&amp;P)'!T3020&lt;&gt;"Yes",
        DATEDIF('Loan Tape (S&amp;P)'!K3020, TODAY(), "M")&lt;18),
    1.10,
    1.00)</f>
        <v/>
      </c>
      <c r="O3020">
        <f>IF('Loan Tape (S&amp;P)'!T3020="Yes",
    1.35,
    1.00)</f>
        <v/>
      </c>
      <c r="P3020">
        <f>IF('Loan Tape (S&amp;P)'!S3020="Yes",
    1.15,
    1.00)</f>
        <v/>
      </c>
      <c r="Q3020">
        <f>IF('Loan Tape (S&amp;P)'!V3020="Yes",
    1.20,
    1.00)</f>
        <v/>
      </c>
      <c r="T3020">
        <f>LET(
    payment_method,'Loan Tape (S&amp;P)'!P3020,
    occupancy,'Loan Tape (S&amp;P)'!N3020,
    maturity_date,'Loan Tape (S&amp;P)'!L3020,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21">
      <c r="J3021">
        <f>LET(
    lien,'Loan Tape (S&amp;P)'!Q3021,
    IF(lien="First",1.00,
        IF(lien="Second",1.50,
            1.70)))</f>
        <v/>
      </c>
      <c r="K3021">
        <f>LET(
    purpose,'Loan Tape (S&amp;P)'!R3021,
    IF(purpose="Purchase",1.00,
        IF(purpose="Remortgage",1.00,
            1.20)))</f>
        <v/>
      </c>
      <c r="L3021">
        <f>LET(
    arrears_months,'Loan Tape (S&amp;P)'!AN3021,
    IF(arrears_months=0,1.00,
    IF(arrears_months=1,3.00,
    IF(arrears_months=2,5.00,
    IF(arrears_months=3,8.00,
    IF(arrears_months=4,10.00,
    IF(arrears_months=5,12.00,15.00)))))))</f>
        <v/>
      </c>
      <c r="M3021">
        <f>LET(
    seasoning_years,DATEDIF('Loan Tape (S&amp;P)'!K3021,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21">
        <f>IF(AND('Loan Tape (S&amp;P)'!U3021="Yes",
        'Loan Tape (S&amp;P)'!T3021&lt;&gt;"Yes",
        DATEDIF('Loan Tape (S&amp;P)'!K3021, TODAY(), "M")&lt;18),
    1.10,
    1.00)</f>
        <v/>
      </c>
      <c r="O3021">
        <f>IF('Loan Tape (S&amp;P)'!T3021="Yes",
    1.35,
    1.00)</f>
        <v/>
      </c>
      <c r="P3021">
        <f>IF('Loan Tape (S&amp;P)'!S3021="Yes",
    1.15,
    1.00)</f>
        <v/>
      </c>
      <c r="Q3021">
        <f>IF('Loan Tape (S&amp;P)'!V3021="Yes",
    1.20,
    1.00)</f>
        <v/>
      </c>
      <c r="T3021">
        <f>LET(
    payment_method,'Loan Tape (S&amp;P)'!P3021,
    occupancy,'Loan Tape (S&amp;P)'!N3021,
    maturity_date,'Loan Tape (S&amp;P)'!L3021,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22">
      <c r="J3022">
        <f>LET(
    lien,'Loan Tape (S&amp;P)'!Q3022,
    IF(lien="First",1.00,
        IF(lien="Second",1.50,
            1.70)))</f>
        <v/>
      </c>
      <c r="K3022">
        <f>LET(
    purpose,'Loan Tape (S&amp;P)'!R3022,
    IF(purpose="Purchase",1.00,
        IF(purpose="Remortgage",1.00,
            1.20)))</f>
        <v/>
      </c>
      <c r="L3022">
        <f>LET(
    arrears_months,'Loan Tape (S&amp;P)'!AN3022,
    IF(arrears_months=0,1.00,
    IF(arrears_months=1,3.00,
    IF(arrears_months=2,5.00,
    IF(arrears_months=3,8.00,
    IF(arrears_months=4,10.00,
    IF(arrears_months=5,12.00,15.00)))))))</f>
        <v/>
      </c>
      <c r="M3022">
        <f>LET(
    seasoning_years,DATEDIF('Loan Tape (S&amp;P)'!K3022,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22">
        <f>IF(AND('Loan Tape (S&amp;P)'!U3022="Yes",
        'Loan Tape (S&amp;P)'!T3022&lt;&gt;"Yes",
        DATEDIF('Loan Tape (S&amp;P)'!K3022, TODAY(), "M")&lt;18),
    1.10,
    1.00)</f>
        <v/>
      </c>
      <c r="O3022">
        <f>IF('Loan Tape (S&amp;P)'!T3022="Yes",
    1.35,
    1.00)</f>
        <v/>
      </c>
      <c r="P3022">
        <f>IF('Loan Tape (S&amp;P)'!S3022="Yes",
    1.15,
    1.00)</f>
        <v/>
      </c>
      <c r="Q3022">
        <f>IF('Loan Tape (S&amp;P)'!V3022="Yes",
    1.20,
    1.00)</f>
        <v/>
      </c>
      <c r="T3022">
        <f>LET(
    payment_method,'Loan Tape (S&amp;P)'!P3022,
    occupancy,'Loan Tape (S&amp;P)'!N3022,
    maturity_date,'Loan Tape (S&amp;P)'!L3022,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23">
      <c r="J3023">
        <f>LET(
    lien,'Loan Tape (S&amp;P)'!Q3023,
    IF(lien="First",1.00,
        IF(lien="Second",1.50,
            1.70)))</f>
        <v/>
      </c>
      <c r="K3023">
        <f>LET(
    purpose,'Loan Tape (S&amp;P)'!R3023,
    IF(purpose="Purchase",1.00,
        IF(purpose="Remortgage",1.00,
            1.20)))</f>
        <v/>
      </c>
      <c r="L3023">
        <f>LET(
    arrears_months,'Loan Tape (S&amp;P)'!AN3023,
    IF(arrears_months=0,1.00,
    IF(arrears_months=1,3.00,
    IF(arrears_months=2,5.00,
    IF(arrears_months=3,8.00,
    IF(arrears_months=4,10.00,
    IF(arrears_months=5,12.00,15.00)))))))</f>
        <v/>
      </c>
      <c r="M3023">
        <f>LET(
    seasoning_years,DATEDIF('Loan Tape (S&amp;P)'!K3023,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23">
        <f>IF(AND('Loan Tape (S&amp;P)'!U3023="Yes",
        'Loan Tape (S&amp;P)'!T3023&lt;&gt;"Yes",
        DATEDIF('Loan Tape (S&amp;P)'!K3023, TODAY(), "M")&lt;18),
    1.10,
    1.00)</f>
        <v/>
      </c>
      <c r="O3023">
        <f>IF('Loan Tape (S&amp;P)'!T3023="Yes",
    1.35,
    1.00)</f>
        <v/>
      </c>
      <c r="P3023">
        <f>IF('Loan Tape (S&amp;P)'!S3023="Yes",
    1.15,
    1.00)</f>
        <v/>
      </c>
      <c r="Q3023">
        <f>IF('Loan Tape (S&amp;P)'!V3023="Yes",
    1.20,
    1.00)</f>
        <v/>
      </c>
      <c r="T3023">
        <f>LET(
    payment_method,'Loan Tape (S&amp;P)'!P3023,
    occupancy,'Loan Tape (S&amp;P)'!N3023,
    maturity_date,'Loan Tape (S&amp;P)'!L3023,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24">
      <c r="J3024">
        <f>LET(
    lien,'Loan Tape (S&amp;P)'!Q3024,
    IF(lien="First",1.00,
        IF(lien="Second",1.50,
            1.70)))</f>
        <v/>
      </c>
      <c r="K3024">
        <f>LET(
    purpose,'Loan Tape (S&amp;P)'!R3024,
    IF(purpose="Purchase",1.00,
        IF(purpose="Remortgage",1.00,
            1.20)))</f>
        <v/>
      </c>
      <c r="L3024">
        <f>LET(
    arrears_months,'Loan Tape (S&amp;P)'!AN3024,
    IF(arrears_months=0,1.00,
    IF(arrears_months=1,3.00,
    IF(arrears_months=2,5.00,
    IF(arrears_months=3,8.00,
    IF(arrears_months=4,10.00,
    IF(arrears_months=5,12.00,15.00)))))))</f>
        <v/>
      </c>
      <c r="M3024">
        <f>LET(
    seasoning_years,DATEDIF('Loan Tape (S&amp;P)'!K3024,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24">
        <f>IF(AND('Loan Tape (S&amp;P)'!U3024="Yes",
        'Loan Tape (S&amp;P)'!T3024&lt;&gt;"Yes",
        DATEDIF('Loan Tape (S&amp;P)'!K3024, TODAY(), "M")&lt;18),
    1.10,
    1.00)</f>
        <v/>
      </c>
      <c r="O3024">
        <f>IF('Loan Tape (S&amp;P)'!T3024="Yes",
    1.35,
    1.00)</f>
        <v/>
      </c>
      <c r="P3024">
        <f>IF('Loan Tape (S&amp;P)'!S3024="Yes",
    1.15,
    1.00)</f>
        <v/>
      </c>
      <c r="Q3024">
        <f>IF('Loan Tape (S&amp;P)'!V3024="Yes",
    1.20,
    1.00)</f>
        <v/>
      </c>
      <c r="T3024">
        <f>LET(
    payment_method,'Loan Tape (S&amp;P)'!P3024,
    occupancy,'Loan Tape (S&amp;P)'!N3024,
    maturity_date,'Loan Tape (S&amp;P)'!L3024,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25">
      <c r="J3025">
        <f>LET(
    lien,'Loan Tape (S&amp;P)'!Q3025,
    IF(lien="First",1.00,
        IF(lien="Second",1.50,
            1.70)))</f>
        <v/>
      </c>
      <c r="K3025">
        <f>LET(
    purpose,'Loan Tape (S&amp;P)'!R3025,
    IF(purpose="Purchase",1.00,
        IF(purpose="Remortgage",1.00,
            1.20)))</f>
        <v/>
      </c>
      <c r="L3025">
        <f>LET(
    arrears_months,'Loan Tape (S&amp;P)'!AN3025,
    IF(arrears_months=0,1.00,
    IF(arrears_months=1,3.00,
    IF(arrears_months=2,5.00,
    IF(arrears_months=3,8.00,
    IF(arrears_months=4,10.00,
    IF(arrears_months=5,12.00,15.00)))))))</f>
        <v/>
      </c>
      <c r="M3025">
        <f>LET(
    seasoning_years,DATEDIF('Loan Tape (S&amp;P)'!K3025,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25">
        <f>IF(AND('Loan Tape (S&amp;P)'!U3025="Yes",
        'Loan Tape (S&amp;P)'!T3025&lt;&gt;"Yes",
        DATEDIF('Loan Tape (S&amp;P)'!K3025, TODAY(), "M")&lt;18),
    1.10,
    1.00)</f>
        <v/>
      </c>
      <c r="O3025">
        <f>IF('Loan Tape (S&amp;P)'!T3025="Yes",
    1.35,
    1.00)</f>
        <v/>
      </c>
      <c r="P3025">
        <f>IF('Loan Tape (S&amp;P)'!S3025="Yes",
    1.15,
    1.00)</f>
        <v/>
      </c>
      <c r="Q3025">
        <f>IF('Loan Tape (S&amp;P)'!V3025="Yes",
    1.20,
    1.00)</f>
        <v/>
      </c>
      <c r="T3025">
        <f>LET(
    payment_method,'Loan Tape (S&amp;P)'!P3025,
    occupancy,'Loan Tape (S&amp;P)'!N3025,
    maturity_date,'Loan Tape (S&amp;P)'!L3025,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26">
      <c r="J3026">
        <f>LET(
    lien,'Loan Tape (S&amp;P)'!Q3026,
    IF(lien="First",1.00,
        IF(lien="Second",1.50,
            1.70)))</f>
        <v/>
      </c>
      <c r="K3026">
        <f>LET(
    purpose,'Loan Tape (S&amp;P)'!R3026,
    IF(purpose="Purchase",1.00,
        IF(purpose="Remortgage",1.00,
            1.20)))</f>
        <v/>
      </c>
      <c r="L3026">
        <f>LET(
    arrears_months,'Loan Tape (S&amp;P)'!AN3026,
    IF(arrears_months=0,1.00,
    IF(arrears_months=1,3.00,
    IF(arrears_months=2,5.00,
    IF(arrears_months=3,8.00,
    IF(arrears_months=4,10.00,
    IF(arrears_months=5,12.00,15.00)))))))</f>
        <v/>
      </c>
      <c r="M3026">
        <f>LET(
    seasoning_years,DATEDIF('Loan Tape (S&amp;P)'!K3026,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26">
        <f>IF(AND('Loan Tape (S&amp;P)'!U3026="Yes",
        'Loan Tape (S&amp;P)'!T3026&lt;&gt;"Yes",
        DATEDIF('Loan Tape (S&amp;P)'!K3026, TODAY(), "M")&lt;18),
    1.10,
    1.00)</f>
        <v/>
      </c>
      <c r="O3026">
        <f>IF('Loan Tape (S&amp;P)'!T3026="Yes",
    1.35,
    1.00)</f>
        <v/>
      </c>
      <c r="P3026">
        <f>IF('Loan Tape (S&amp;P)'!S3026="Yes",
    1.15,
    1.00)</f>
        <v/>
      </c>
      <c r="Q3026">
        <f>IF('Loan Tape (S&amp;P)'!V3026="Yes",
    1.20,
    1.00)</f>
        <v/>
      </c>
      <c r="T3026">
        <f>LET(
    payment_method,'Loan Tape (S&amp;P)'!P3026,
    occupancy,'Loan Tape (S&amp;P)'!N3026,
    maturity_date,'Loan Tape (S&amp;P)'!L3026,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27">
      <c r="J3027">
        <f>LET(
    lien,'Loan Tape (S&amp;P)'!Q3027,
    IF(lien="First",1.00,
        IF(lien="Second",1.50,
            1.70)))</f>
        <v/>
      </c>
      <c r="K3027">
        <f>LET(
    purpose,'Loan Tape (S&amp;P)'!R3027,
    IF(purpose="Purchase",1.00,
        IF(purpose="Remortgage",1.00,
            1.20)))</f>
        <v/>
      </c>
      <c r="L3027">
        <f>LET(
    arrears_months,'Loan Tape (S&amp;P)'!AN3027,
    IF(arrears_months=0,1.00,
    IF(arrears_months=1,3.00,
    IF(arrears_months=2,5.00,
    IF(arrears_months=3,8.00,
    IF(arrears_months=4,10.00,
    IF(arrears_months=5,12.00,15.00)))))))</f>
        <v/>
      </c>
      <c r="M3027">
        <f>LET(
    seasoning_years,DATEDIF('Loan Tape (S&amp;P)'!K3027,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27">
        <f>IF(AND('Loan Tape (S&amp;P)'!U3027="Yes",
        'Loan Tape (S&amp;P)'!T3027&lt;&gt;"Yes",
        DATEDIF('Loan Tape (S&amp;P)'!K3027, TODAY(), "M")&lt;18),
    1.10,
    1.00)</f>
        <v/>
      </c>
      <c r="O3027">
        <f>IF('Loan Tape (S&amp;P)'!T3027="Yes",
    1.35,
    1.00)</f>
        <v/>
      </c>
      <c r="P3027">
        <f>IF('Loan Tape (S&amp;P)'!S3027="Yes",
    1.15,
    1.00)</f>
        <v/>
      </c>
      <c r="Q3027">
        <f>IF('Loan Tape (S&amp;P)'!V3027="Yes",
    1.20,
    1.00)</f>
        <v/>
      </c>
      <c r="T3027">
        <f>LET(
    payment_method,'Loan Tape (S&amp;P)'!P3027,
    occupancy,'Loan Tape (S&amp;P)'!N3027,
    maturity_date,'Loan Tape (S&amp;P)'!L3027,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28">
      <c r="J3028">
        <f>LET(
    lien,'Loan Tape (S&amp;P)'!Q3028,
    IF(lien="First",1.00,
        IF(lien="Second",1.50,
            1.70)))</f>
        <v/>
      </c>
      <c r="K3028">
        <f>LET(
    purpose,'Loan Tape (S&amp;P)'!R3028,
    IF(purpose="Purchase",1.00,
        IF(purpose="Remortgage",1.00,
            1.20)))</f>
        <v/>
      </c>
      <c r="L3028">
        <f>LET(
    arrears_months,'Loan Tape (S&amp;P)'!AN3028,
    IF(arrears_months=0,1.00,
    IF(arrears_months=1,3.00,
    IF(arrears_months=2,5.00,
    IF(arrears_months=3,8.00,
    IF(arrears_months=4,10.00,
    IF(arrears_months=5,12.00,15.00)))))))</f>
        <v/>
      </c>
      <c r="M3028">
        <f>LET(
    seasoning_years,DATEDIF('Loan Tape (S&amp;P)'!K3028,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28">
        <f>IF(AND('Loan Tape (S&amp;P)'!U3028="Yes",
        'Loan Tape (S&amp;P)'!T3028&lt;&gt;"Yes",
        DATEDIF('Loan Tape (S&amp;P)'!K3028, TODAY(), "M")&lt;18),
    1.10,
    1.00)</f>
        <v/>
      </c>
      <c r="O3028">
        <f>IF('Loan Tape (S&amp;P)'!T3028="Yes",
    1.35,
    1.00)</f>
        <v/>
      </c>
      <c r="P3028">
        <f>IF('Loan Tape (S&amp;P)'!S3028="Yes",
    1.15,
    1.00)</f>
        <v/>
      </c>
      <c r="Q3028">
        <f>IF('Loan Tape (S&amp;P)'!V3028="Yes",
    1.20,
    1.00)</f>
        <v/>
      </c>
      <c r="T3028">
        <f>LET(
    payment_method,'Loan Tape (S&amp;P)'!P3028,
    occupancy,'Loan Tape (S&amp;P)'!N3028,
    maturity_date,'Loan Tape (S&amp;P)'!L3028,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29">
      <c r="J3029">
        <f>LET(
    lien,'Loan Tape (S&amp;P)'!Q3029,
    IF(lien="First",1.00,
        IF(lien="Second",1.50,
            1.70)))</f>
        <v/>
      </c>
      <c r="K3029">
        <f>LET(
    purpose,'Loan Tape (S&amp;P)'!R3029,
    IF(purpose="Purchase",1.00,
        IF(purpose="Remortgage",1.00,
            1.20)))</f>
        <v/>
      </c>
      <c r="L3029">
        <f>LET(
    arrears_months,'Loan Tape (S&amp;P)'!AN3029,
    IF(arrears_months=0,1.00,
    IF(arrears_months=1,3.00,
    IF(arrears_months=2,5.00,
    IF(arrears_months=3,8.00,
    IF(arrears_months=4,10.00,
    IF(arrears_months=5,12.00,15.00)))))))</f>
        <v/>
      </c>
      <c r="M3029">
        <f>LET(
    seasoning_years,DATEDIF('Loan Tape (S&amp;P)'!K3029,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29">
        <f>IF(AND('Loan Tape (S&amp;P)'!U3029="Yes",
        'Loan Tape (S&amp;P)'!T3029&lt;&gt;"Yes",
        DATEDIF('Loan Tape (S&amp;P)'!K3029, TODAY(), "M")&lt;18),
    1.10,
    1.00)</f>
        <v/>
      </c>
      <c r="O3029">
        <f>IF('Loan Tape (S&amp;P)'!T3029="Yes",
    1.35,
    1.00)</f>
        <v/>
      </c>
      <c r="P3029">
        <f>IF('Loan Tape (S&amp;P)'!S3029="Yes",
    1.15,
    1.00)</f>
        <v/>
      </c>
      <c r="Q3029">
        <f>IF('Loan Tape (S&amp;P)'!V3029="Yes",
    1.20,
    1.00)</f>
        <v/>
      </c>
      <c r="T3029">
        <f>LET(
    payment_method,'Loan Tape (S&amp;P)'!P3029,
    occupancy,'Loan Tape (S&amp;P)'!N3029,
    maturity_date,'Loan Tape (S&amp;P)'!L3029,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30">
      <c r="J3030">
        <f>LET(
    lien,'Loan Tape (S&amp;P)'!Q3030,
    IF(lien="First",1.00,
        IF(lien="Second",1.50,
            1.70)))</f>
        <v/>
      </c>
      <c r="K3030">
        <f>LET(
    purpose,'Loan Tape (S&amp;P)'!R3030,
    IF(purpose="Purchase",1.00,
        IF(purpose="Remortgage",1.00,
            1.20)))</f>
        <v/>
      </c>
      <c r="L3030">
        <f>LET(
    arrears_months,'Loan Tape (S&amp;P)'!AN3030,
    IF(arrears_months=0,1.00,
    IF(arrears_months=1,3.00,
    IF(arrears_months=2,5.00,
    IF(arrears_months=3,8.00,
    IF(arrears_months=4,10.00,
    IF(arrears_months=5,12.00,15.00)))))))</f>
        <v/>
      </c>
      <c r="M3030">
        <f>LET(
    seasoning_years,DATEDIF('Loan Tape (S&amp;P)'!K3030,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30">
        <f>IF(AND('Loan Tape (S&amp;P)'!U3030="Yes",
        'Loan Tape (S&amp;P)'!T3030&lt;&gt;"Yes",
        DATEDIF('Loan Tape (S&amp;P)'!K3030, TODAY(), "M")&lt;18),
    1.10,
    1.00)</f>
        <v/>
      </c>
      <c r="O3030">
        <f>IF('Loan Tape (S&amp;P)'!T3030="Yes",
    1.35,
    1.00)</f>
        <v/>
      </c>
      <c r="P3030">
        <f>IF('Loan Tape (S&amp;P)'!S3030="Yes",
    1.15,
    1.00)</f>
        <v/>
      </c>
      <c r="Q3030">
        <f>IF('Loan Tape (S&amp;P)'!V3030="Yes",
    1.20,
    1.00)</f>
        <v/>
      </c>
      <c r="T3030">
        <f>LET(
    payment_method,'Loan Tape (S&amp;P)'!P3030,
    occupancy,'Loan Tape (S&amp;P)'!N3030,
    maturity_date,'Loan Tape (S&amp;P)'!L3030,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31">
      <c r="J3031">
        <f>LET(
    lien,'Loan Tape (S&amp;P)'!Q3031,
    IF(lien="First",1.00,
        IF(lien="Second",1.50,
            1.70)))</f>
        <v/>
      </c>
      <c r="K3031">
        <f>LET(
    purpose,'Loan Tape (S&amp;P)'!R3031,
    IF(purpose="Purchase",1.00,
        IF(purpose="Remortgage",1.00,
            1.20)))</f>
        <v/>
      </c>
      <c r="L3031">
        <f>LET(
    arrears_months,'Loan Tape (S&amp;P)'!AN3031,
    IF(arrears_months=0,1.00,
    IF(arrears_months=1,3.00,
    IF(arrears_months=2,5.00,
    IF(arrears_months=3,8.00,
    IF(arrears_months=4,10.00,
    IF(arrears_months=5,12.00,15.00)))))))</f>
        <v/>
      </c>
      <c r="M3031">
        <f>LET(
    seasoning_years,DATEDIF('Loan Tape (S&amp;P)'!K3031,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31">
        <f>IF(AND('Loan Tape (S&amp;P)'!U3031="Yes",
        'Loan Tape (S&amp;P)'!T3031&lt;&gt;"Yes",
        DATEDIF('Loan Tape (S&amp;P)'!K3031, TODAY(), "M")&lt;18),
    1.10,
    1.00)</f>
        <v/>
      </c>
      <c r="O3031">
        <f>IF('Loan Tape (S&amp;P)'!T3031="Yes",
    1.35,
    1.00)</f>
        <v/>
      </c>
      <c r="P3031">
        <f>IF('Loan Tape (S&amp;P)'!S3031="Yes",
    1.15,
    1.00)</f>
        <v/>
      </c>
      <c r="Q3031">
        <f>IF('Loan Tape (S&amp;P)'!V3031="Yes",
    1.20,
    1.00)</f>
        <v/>
      </c>
      <c r="T3031">
        <f>LET(
    payment_method,'Loan Tape (S&amp;P)'!P3031,
    occupancy,'Loan Tape (S&amp;P)'!N3031,
    maturity_date,'Loan Tape (S&amp;P)'!L3031,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32">
      <c r="J3032">
        <f>LET(
    lien,'Loan Tape (S&amp;P)'!Q3032,
    IF(lien="First",1.00,
        IF(lien="Second",1.50,
            1.70)))</f>
        <v/>
      </c>
      <c r="K3032">
        <f>LET(
    purpose,'Loan Tape (S&amp;P)'!R3032,
    IF(purpose="Purchase",1.00,
        IF(purpose="Remortgage",1.00,
            1.20)))</f>
        <v/>
      </c>
      <c r="L3032">
        <f>LET(
    arrears_months,'Loan Tape (S&amp;P)'!AN3032,
    IF(arrears_months=0,1.00,
    IF(arrears_months=1,3.00,
    IF(arrears_months=2,5.00,
    IF(arrears_months=3,8.00,
    IF(arrears_months=4,10.00,
    IF(arrears_months=5,12.00,15.00)))))))</f>
        <v/>
      </c>
      <c r="M3032">
        <f>LET(
    seasoning_years,DATEDIF('Loan Tape (S&amp;P)'!K3032,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32">
        <f>IF(AND('Loan Tape (S&amp;P)'!U3032="Yes",
        'Loan Tape (S&amp;P)'!T3032&lt;&gt;"Yes",
        DATEDIF('Loan Tape (S&amp;P)'!K3032, TODAY(), "M")&lt;18),
    1.10,
    1.00)</f>
        <v/>
      </c>
      <c r="O3032">
        <f>IF('Loan Tape (S&amp;P)'!T3032="Yes",
    1.35,
    1.00)</f>
        <v/>
      </c>
      <c r="P3032">
        <f>IF('Loan Tape (S&amp;P)'!S3032="Yes",
    1.15,
    1.00)</f>
        <v/>
      </c>
      <c r="Q3032">
        <f>IF('Loan Tape (S&amp;P)'!V3032="Yes",
    1.20,
    1.00)</f>
        <v/>
      </c>
      <c r="T3032">
        <f>LET(
    payment_method,'Loan Tape (S&amp;P)'!P3032,
    occupancy,'Loan Tape (S&amp;P)'!N3032,
    maturity_date,'Loan Tape (S&amp;P)'!L3032,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33">
      <c r="J3033">
        <f>LET(
    lien,'Loan Tape (S&amp;P)'!Q3033,
    IF(lien="First",1.00,
        IF(lien="Second",1.50,
            1.70)))</f>
        <v/>
      </c>
      <c r="K3033">
        <f>LET(
    purpose,'Loan Tape (S&amp;P)'!R3033,
    IF(purpose="Purchase",1.00,
        IF(purpose="Remortgage",1.00,
            1.20)))</f>
        <v/>
      </c>
      <c r="L3033">
        <f>LET(
    arrears_months,'Loan Tape (S&amp;P)'!AN3033,
    IF(arrears_months=0,1.00,
    IF(arrears_months=1,3.00,
    IF(arrears_months=2,5.00,
    IF(arrears_months=3,8.00,
    IF(arrears_months=4,10.00,
    IF(arrears_months=5,12.00,15.00)))))))</f>
        <v/>
      </c>
      <c r="M3033">
        <f>LET(
    seasoning_years,DATEDIF('Loan Tape (S&amp;P)'!K3033,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33">
        <f>IF(AND('Loan Tape (S&amp;P)'!U3033="Yes",
        'Loan Tape (S&amp;P)'!T3033&lt;&gt;"Yes",
        DATEDIF('Loan Tape (S&amp;P)'!K3033, TODAY(), "M")&lt;18),
    1.10,
    1.00)</f>
        <v/>
      </c>
      <c r="O3033">
        <f>IF('Loan Tape (S&amp;P)'!T3033="Yes",
    1.35,
    1.00)</f>
        <v/>
      </c>
      <c r="P3033">
        <f>IF('Loan Tape (S&amp;P)'!S3033="Yes",
    1.15,
    1.00)</f>
        <v/>
      </c>
      <c r="Q3033">
        <f>IF('Loan Tape (S&amp;P)'!V3033="Yes",
    1.20,
    1.00)</f>
        <v/>
      </c>
      <c r="T3033">
        <f>LET(
    payment_method,'Loan Tape (S&amp;P)'!P3033,
    occupancy,'Loan Tape (S&amp;P)'!N3033,
    maturity_date,'Loan Tape (S&amp;P)'!L3033,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34">
      <c r="J3034">
        <f>LET(
    lien,'Loan Tape (S&amp;P)'!Q3034,
    IF(lien="First",1.00,
        IF(lien="Second",1.50,
            1.70)))</f>
        <v/>
      </c>
      <c r="K3034">
        <f>LET(
    purpose,'Loan Tape (S&amp;P)'!R3034,
    IF(purpose="Purchase",1.00,
        IF(purpose="Remortgage",1.00,
            1.20)))</f>
        <v/>
      </c>
      <c r="L3034">
        <f>LET(
    arrears_months,'Loan Tape (S&amp;P)'!AN3034,
    IF(arrears_months=0,1.00,
    IF(arrears_months=1,3.00,
    IF(arrears_months=2,5.00,
    IF(arrears_months=3,8.00,
    IF(arrears_months=4,10.00,
    IF(arrears_months=5,12.00,15.00)))))))</f>
        <v/>
      </c>
      <c r="M3034">
        <f>LET(
    seasoning_years,DATEDIF('Loan Tape (S&amp;P)'!K3034,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34">
        <f>IF(AND('Loan Tape (S&amp;P)'!U3034="Yes",
        'Loan Tape (S&amp;P)'!T3034&lt;&gt;"Yes",
        DATEDIF('Loan Tape (S&amp;P)'!K3034, TODAY(), "M")&lt;18),
    1.10,
    1.00)</f>
        <v/>
      </c>
      <c r="O3034">
        <f>IF('Loan Tape (S&amp;P)'!T3034="Yes",
    1.35,
    1.00)</f>
        <v/>
      </c>
      <c r="P3034">
        <f>IF('Loan Tape (S&amp;P)'!S3034="Yes",
    1.15,
    1.00)</f>
        <v/>
      </c>
      <c r="Q3034">
        <f>IF('Loan Tape (S&amp;P)'!V3034="Yes",
    1.20,
    1.00)</f>
        <v/>
      </c>
      <c r="T3034">
        <f>LET(
    payment_method,'Loan Tape (S&amp;P)'!P3034,
    occupancy,'Loan Tape (S&amp;P)'!N3034,
    maturity_date,'Loan Tape (S&amp;P)'!L3034,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35">
      <c r="J3035">
        <f>LET(
    lien,'Loan Tape (S&amp;P)'!Q3035,
    IF(lien="First",1.00,
        IF(lien="Second",1.50,
            1.70)))</f>
        <v/>
      </c>
      <c r="K3035">
        <f>LET(
    purpose,'Loan Tape (S&amp;P)'!R3035,
    IF(purpose="Purchase",1.00,
        IF(purpose="Remortgage",1.00,
            1.20)))</f>
        <v/>
      </c>
      <c r="L3035">
        <f>LET(
    arrears_months,'Loan Tape (S&amp;P)'!AN3035,
    IF(arrears_months=0,1.00,
    IF(arrears_months=1,3.00,
    IF(arrears_months=2,5.00,
    IF(arrears_months=3,8.00,
    IF(arrears_months=4,10.00,
    IF(arrears_months=5,12.00,15.00)))))))</f>
        <v/>
      </c>
      <c r="M3035">
        <f>LET(
    seasoning_years,DATEDIF('Loan Tape (S&amp;P)'!K3035,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35">
        <f>IF(AND('Loan Tape (S&amp;P)'!U3035="Yes",
        'Loan Tape (S&amp;P)'!T3035&lt;&gt;"Yes",
        DATEDIF('Loan Tape (S&amp;P)'!K3035, TODAY(), "M")&lt;18),
    1.10,
    1.00)</f>
        <v/>
      </c>
      <c r="O3035">
        <f>IF('Loan Tape (S&amp;P)'!T3035="Yes",
    1.35,
    1.00)</f>
        <v/>
      </c>
      <c r="P3035">
        <f>IF('Loan Tape (S&amp;P)'!S3035="Yes",
    1.15,
    1.00)</f>
        <v/>
      </c>
      <c r="Q3035">
        <f>IF('Loan Tape (S&amp;P)'!V3035="Yes",
    1.20,
    1.00)</f>
        <v/>
      </c>
      <c r="T3035">
        <f>LET(
    payment_method,'Loan Tape (S&amp;P)'!P3035,
    occupancy,'Loan Tape (S&amp;P)'!N3035,
    maturity_date,'Loan Tape (S&amp;P)'!L3035,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36">
      <c r="J3036">
        <f>LET(
    lien,'Loan Tape (S&amp;P)'!Q3036,
    IF(lien="First",1.00,
        IF(lien="Second",1.50,
            1.70)))</f>
        <v/>
      </c>
      <c r="K3036">
        <f>LET(
    purpose,'Loan Tape (S&amp;P)'!R3036,
    IF(purpose="Purchase",1.00,
        IF(purpose="Remortgage",1.00,
            1.20)))</f>
        <v/>
      </c>
      <c r="L3036">
        <f>LET(
    arrears_months,'Loan Tape (S&amp;P)'!AN3036,
    IF(arrears_months=0,1.00,
    IF(arrears_months=1,3.00,
    IF(arrears_months=2,5.00,
    IF(arrears_months=3,8.00,
    IF(arrears_months=4,10.00,
    IF(arrears_months=5,12.00,15.00)))))))</f>
        <v/>
      </c>
      <c r="M3036">
        <f>LET(
    seasoning_years,DATEDIF('Loan Tape (S&amp;P)'!K3036,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36">
        <f>IF(AND('Loan Tape (S&amp;P)'!U3036="Yes",
        'Loan Tape (S&amp;P)'!T3036&lt;&gt;"Yes",
        DATEDIF('Loan Tape (S&amp;P)'!K3036, TODAY(), "M")&lt;18),
    1.10,
    1.00)</f>
        <v/>
      </c>
      <c r="O3036">
        <f>IF('Loan Tape (S&amp;P)'!T3036="Yes",
    1.35,
    1.00)</f>
        <v/>
      </c>
      <c r="P3036">
        <f>IF('Loan Tape (S&amp;P)'!S3036="Yes",
    1.15,
    1.00)</f>
        <v/>
      </c>
      <c r="Q3036">
        <f>IF('Loan Tape (S&amp;P)'!V3036="Yes",
    1.20,
    1.00)</f>
        <v/>
      </c>
      <c r="T3036">
        <f>LET(
    payment_method,'Loan Tape (S&amp;P)'!P3036,
    occupancy,'Loan Tape (S&amp;P)'!N3036,
    maturity_date,'Loan Tape (S&amp;P)'!L3036,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37">
      <c r="J3037">
        <f>LET(
    lien,'Loan Tape (S&amp;P)'!Q3037,
    IF(lien="First",1.00,
        IF(lien="Second",1.50,
            1.70)))</f>
        <v/>
      </c>
      <c r="K3037">
        <f>LET(
    purpose,'Loan Tape (S&amp;P)'!R3037,
    IF(purpose="Purchase",1.00,
        IF(purpose="Remortgage",1.00,
            1.20)))</f>
        <v/>
      </c>
      <c r="L3037">
        <f>LET(
    arrears_months,'Loan Tape (S&amp;P)'!AN3037,
    IF(arrears_months=0,1.00,
    IF(arrears_months=1,3.00,
    IF(arrears_months=2,5.00,
    IF(arrears_months=3,8.00,
    IF(arrears_months=4,10.00,
    IF(arrears_months=5,12.00,15.00)))))))</f>
        <v/>
      </c>
      <c r="M3037">
        <f>LET(
    seasoning_years,DATEDIF('Loan Tape (S&amp;P)'!K3037,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37">
        <f>IF(AND('Loan Tape (S&amp;P)'!U3037="Yes",
        'Loan Tape (S&amp;P)'!T3037&lt;&gt;"Yes",
        DATEDIF('Loan Tape (S&amp;P)'!K3037, TODAY(), "M")&lt;18),
    1.10,
    1.00)</f>
        <v/>
      </c>
      <c r="O3037">
        <f>IF('Loan Tape (S&amp;P)'!T3037="Yes",
    1.35,
    1.00)</f>
        <v/>
      </c>
      <c r="P3037">
        <f>IF('Loan Tape (S&amp;P)'!S3037="Yes",
    1.15,
    1.00)</f>
        <v/>
      </c>
      <c r="Q3037">
        <f>IF('Loan Tape (S&amp;P)'!V3037="Yes",
    1.20,
    1.00)</f>
        <v/>
      </c>
      <c r="T3037">
        <f>LET(
    payment_method,'Loan Tape (S&amp;P)'!P3037,
    occupancy,'Loan Tape (S&amp;P)'!N3037,
    maturity_date,'Loan Tape (S&amp;P)'!L3037,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38">
      <c r="J3038">
        <f>LET(
    lien,'Loan Tape (S&amp;P)'!Q3038,
    IF(lien="First",1.00,
        IF(lien="Second",1.50,
            1.70)))</f>
        <v/>
      </c>
      <c r="K3038">
        <f>LET(
    purpose,'Loan Tape (S&amp;P)'!R3038,
    IF(purpose="Purchase",1.00,
        IF(purpose="Remortgage",1.00,
            1.20)))</f>
        <v/>
      </c>
      <c r="L3038">
        <f>LET(
    arrears_months,'Loan Tape (S&amp;P)'!AN3038,
    IF(arrears_months=0,1.00,
    IF(arrears_months=1,3.00,
    IF(arrears_months=2,5.00,
    IF(arrears_months=3,8.00,
    IF(arrears_months=4,10.00,
    IF(arrears_months=5,12.00,15.00)))))))</f>
        <v/>
      </c>
      <c r="M3038">
        <f>LET(
    seasoning_years,DATEDIF('Loan Tape (S&amp;P)'!K3038,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38">
        <f>IF(AND('Loan Tape (S&amp;P)'!U3038="Yes",
        'Loan Tape (S&amp;P)'!T3038&lt;&gt;"Yes",
        DATEDIF('Loan Tape (S&amp;P)'!K3038, TODAY(), "M")&lt;18),
    1.10,
    1.00)</f>
        <v/>
      </c>
      <c r="O3038">
        <f>IF('Loan Tape (S&amp;P)'!T3038="Yes",
    1.35,
    1.00)</f>
        <v/>
      </c>
      <c r="P3038">
        <f>IF('Loan Tape (S&amp;P)'!S3038="Yes",
    1.15,
    1.00)</f>
        <v/>
      </c>
      <c r="Q3038">
        <f>IF('Loan Tape (S&amp;P)'!V3038="Yes",
    1.20,
    1.00)</f>
        <v/>
      </c>
      <c r="T3038">
        <f>LET(
    payment_method,'Loan Tape (S&amp;P)'!P3038,
    occupancy,'Loan Tape (S&amp;P)'!N3038,
    maturity_date,'Loan Tape (S&amp;P)'!L3038,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39">
      <c r="J3039">
        <f>LET(
    lien,'Loan Tape (S&amp;P)'!Q3039,
    IF(lien="First",1.00,
        IF(lien="Second",1.50,
            1.70)))</f>
        <v/>
      </c>
      <c r="K3039">
        <f>LET(
    purpose,'Loan Tape (S&amp;P)'!R3039,
    IF(purpose="Purchase",1.00,
        IF(purpose="Remortgage",1.00,
            1.20)))</f>
        <v/>
      </c>
      <c r="L3039">
        <f>LET(
    arrears_months,'Loan Tape (S&amp;P)'!AN3039,
    IF(arrears_months=0,1.00,
    IF(arrears_months=1,3.00,
    IF(arrears_months=2,5.00,
    IF(arrears_months=3,8.00,
    IF(arrears_months=4,10.00,
    IF(arrears_months=5,12.00,15.00)))))))</f>
        <v/>
      </c>
      <c r="M3039">
        <f>LET(
    seasoning_years,DATEDIF('Loan Tape (S&amp;P)'!K3039,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39">
        <f>IF(AND('Loan Tape (S&amp;P)'!U3039="Yes",
        'Loan Tape (S&amp;P)'!T3039&lt;&gt;"Yes",
        DATEDIF('Loan Tape (S&amp;P)'!K3039, TODAY(), "M")&lt;18),
    1.10,
    1.00)</f>
        <v/>
      </c>
      <c r="O3039">
        <f>IF('Loan Tape (S&amp;P)'!T3039="Yes",
    1.35,
    1.00)</f>
        <v/>
      </c>
      <c r="P3039">
        <f>IF('Loan Tape (S&amp;P)'!S3039="Yes",
    1.15,
    1.00)</f>
        <v/>
      </c>
      <c r="Q3039">
        <f>IF('Loan Tape (S&amp;P)'!V3039="Yes",
    1.20,
    1.00)</f>
        <v/>
      </c>
      <c r="T3039">
        <f>LET(
    payment_method,'Loan Tape (S&amp;P)'!P3039,
    occupancy,'Loan Tape (S&amp;P)'!N3039,
    maturity_date,'Loan Tape (S&amp;P)'!L3039,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40">
      <c r="J3040">
        <f>LET(
    lien,'Loan Tape (S&amp;P)'!Q3040,
    IF(lien="First",1.00,
        IF(lien="Second",1.50,
            1.70)))</f>
        <v/>
      </c>
      <c r="K3040">
        <f>LET(
    purpose,'Loan Tape (S&amp;P)'!R3040,
    IF(purpose="Purchase",1.00,
        IF(purpose="Remortgage",1.00,
            1.20)))</f>
        <v/>
      </c>
      <c r="L3040">
        <f>LET(
    arrears_months,'Loan Tape (S&amp;P)'!AN3040,
    IF(arrears_months=0,1.00,
    IF(arrears_months=1,3.00,
    IF(arrears_months=2,5.00,
    IF(arrears_months=3,8.00,
    IF(arrears_months=4,10.00,
    IF(arrears_months=5,12.00,15.00)))))))</f>
        <v/>
      </c>
      <c r="M3040">
        <f>LET(
    seasoning_years,DATEDIF('Loan Tape (S&amp;P)'!K3040,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40">
        <f>IF(AND('Loan Tape (S&amp;P)'!U3040="Yes",
        'Loan Tape (S&amp;P)'!T3040&lt;&gt;"Yes",
        DATEDIF('Loan Tape (S&amp;P)'!K3040, TODAY(), "M")&lt;18),
    1.10,
    1.00)</f>
        <v/>
      </c>
      <c r="O3040">
        <f>IF('Loan Tape (S&amp;P)'!T3040="Yes",
    1.35,
    1.00)</f>
        <v/>
      </c>
      <c r="P3040">
        <f>IF('Loan Tape (S&amp;P)'!S3040="Yes",
    1.15,
    1.00)</f>
        <v/>
      </c>
      <c r="Q3040">
        <f>IF('Loan Tape (S&amp;P)'!V3040="Yes",
    1.20,
    1.00)</f>
        <v/>
      </c>
      <c r="T3040">
        <f>LET(
    payment_method,'Loan Tape (S&amp;P)'!P3040,
    occupancy,'Loan Tape (S&amp;P)'!N3040,
    maturity_date,'Loan Tape (S&amp;P)'!L3040,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41">
      <c r="J3041">
        <f>LET(
    lien,'Loan Tape (S&amp;P)'!Q3041,
    IF(lien="First",1.00,
        IF(lien="Second",1.50,
            1.70)))</f>
        <v/>
      </c>
      <c r="K3041">
        <f>LET(
    purpose,'Loan Tape (S&amp;P)'!R3041,
    IF(purpose="Purchase",1.00,
        IF(purpose="Remortgage",1.00,
            1.20)))</f>
        <v/>
      </c>
      <c r="L3041">
        <f>LET(
    arrears_months,'Loan Tape (S&amp;P)'!AN3041,
    IF(arrears_months=0,1.00,
    IF(arrears_months=1,3.00,
    IF(arrears_months=2,5.00,
    IF(arrears_months=3,8.00,
    IF(arrears_months=4,10.00,
    IF(arrears_months=5,12.00,15.00)))))))</f>
        <v/>
      </c>
      <c r="M3041">
        <f>LET(
    seasoning_years,DATEDIF('Loan Tape (S&amp;P)'!K3041,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41">
        <f>IF(AND('Loan Tape (S&amp;P)'!U3041="Yes",
        'Loan Tape (S&amp;P)'!T3041&lt;&gt;"Yes",
        DATEDIF('Loan Tape (S&amp;P)'!K3041, TODAY(), "M")&lt;18),
    1.10,
    1.00)</f>
        <v/>
      </c>
      <c r="O3041">
        <f>IF('Loan Tape (S&amp;P)'!T3041="Yes",
    1.35,
    1.00)</f>
        <v/>
      </c>
      <c r="P3041">
        <f>IF('Loan Tape (S&amp;P)'!S3041="Yes",
    1.15,
    1.00)</f>
        <v/>
      </c>
      <c r="Q3041">
        <f>IF('Loan Tape (S&amp;P)'!V3041="Yes",
    1.20,
    1.00)</f>
        <v/>
      </c>
      <c r="T3041">
        <f>LET(
    payment_method,'Loan Tape (S&amp;P)'!P3041,
    occupancy,'Loan Tape (S&amp;P)'!N3041,
    maturity_date,'Loan Tape (S&amp;P)'!L3041,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42">
      <c r="J3042">
        <f>LET(
    lien,'Loan Tape (S&amp;P)'!Q3042,
    IF(lien="First",1.00,
        IF(lien="Second",1.50,
            1.70)))</f>
        <v/>
      </c>
      <c r="K3042">
        <f>LET(
    purpose,'Loan Tape (S&amp;P)'!R3042,
    IF(purpose="Purchase",1.00,
        IF(purpose="Remortgage",1.00,
            1.20)))</f>
        <v/>
      </c>
      <c r="L3042">
        <f>LET(
    arrears_months,'Loan Tape (S&amp;P)'!AN3042,
    IF(arrears_months=0,1.00,
    IF(arrears_months=1,3.00,
    IF(arrears_months=2,5.00,
    IF(arrears_months=3,8.00,
    IF(arrears_months=4,10.00,
    IF(arrears_months=5,12.00,15.00)))))))</f>
        <v/>
      </c>
      <c r="M3042">
        <f>LET(
    seasoning_years,DATEDIF('Loan Tape (S&amp;P)'!K3042,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42">
        <f>IF(AND('Loan Tape (S&amp;P)'!U3042="Yes",
        'Loan Tape (S&amp;P)'!T3042&lt;&gt;"Yes",
        DATEDIF('Loan Tape (S&amp;P)'!K3042, TODAY(), "M")&lt;18),
    1.10,
    1.00)</f>
        <v/>
      </c>
      <c r="O3042">
        <f>IF('Loan Tape (S&amp;P)'!T3042="Yes",
    1.35,
    1.00)</f>
        <v/>
      </c>
      <c r="P3042">
        <f>IF('Loan Tape (S&amp;P)'!S3042="Yes",
    1.15,
    1.00)</f>
        <v/>
      </c>
      <c r="Q3042">
        <f>IF('Loan Tape (S&amp;P)'!V3042="Yes",
    1.20,
    1.00)</f>
        <v/>
      </c>
      <c r="T3042">
        <f>LET(
    payment_method,'Loan Tape (S&amp;P)'!P3042,
    occupancy,'Loan Tape (S&amp;P)'!N3042,
    maturity_date,'Loan Tape (S&amp;P)'!L3042,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43">
      <c r="J3043">
        <f>LET(
    lien,'Loan Tape (S&amp;P)'!Q3043,
    IF(lien="First",1.00,
        IF(lien="Second",1.50,
            1.70)))</f>
        <v/>
      </c>
      <c r="K3043">
        <f>LET(
    purpose,'Loan Tape (S&amp;P)'!R3043,
    IF(purpose="Purchase",1.00,
        IF(purpose="Remortgage",1.00,
            1.20)))</f>
        <v/>
      </c>
      <c r="L3043">
        <f>LET(
    arrears_months,'Loan Tape (S&amp;P)'!AN3043,
    IF(arrears_months=0,1.00,
    IF(arrears_months=1,3.00,
    IF(arrears_months=2,5.00,
    IF(arrears_months=3,8.00,
    IF(arrears_months=4,10.00,
    IF(arrears_months=5,12.00,15.00)))))))</f>
        <v/>
      </c>
      <c r="M3043">
        <f>LET(
    seasoning_years,DATEDIF('Loan Tape (S&amp;P)'!K3043,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43">
        <f>IF(AND('Loan Tape (S&amp;P)'!U3043="Yes",
        'Loan Tape (S&amp;P)'!T3043&lt;&gt;"Yes",
        DATEDIF('Loan Tape (S&amp;P)'!K3043, TODAY(), "M")&lt;18),
    1.10,
    1.00)</f>
        <v/>
      </c>
      <c r="O3043">
        <f>IF('Loan Tape (S&amp;P)'!T3043="Yes",
    1.35,
    1.00)</f>
        <v/>
      </c>
      <c r="P3043">
        <f>IF('Loan Tape (S&amp;P)'!S3043="Yes",
    1.15,
    1.00)</f>
        <v/>
      </c>
      <c r="Q3043">
        <f>IF('Loan Tape (S&amp;P)'!V3043="Yes",
    1.20,
    1.00)</f>
        <v/>
      </c>
      <c r="T3043">
        <f>LET(
    payment_method,'Loan Tape (S&amp;P)'!P3043,
    occupancy,'Loan Tape (S&amp;P)'!N3043,
    maturity_date,'Loan Tape (S&amp;P)'!L3043,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44">
      <c r="J3044">
        <f>LET(
    lien,'Loan Tape (S&amp;P)'!Q3044,
    IF(lien="First",1.00,
        IF(lien="Second",1.50,
            1.70)))</f>
        <v/>
      </c>
      <c r="K3044">
        <f>LET(
    purpose,'Loan Tape (S&amp;P)'!R3044,
    IF(purpose="Purchase",1.00,
        IF(purpose="Remortgage",1.00,
            1.20)))</f>
        <v/>
      </c>
      <c r="L3044">
        <f>LET(
    arrears_months,'Loan Tape (S&amp;P)'!AN3044,
    IF(arrears_months=0,1.00,
    IF(arrears_months=1,3.00,
    IF(arrears_months=2,5.00,
    IF(arrears_months=3,8.00,
    IF(arrears_months=4,10.00,
    IF(arrears_months=5,12.00,15.00)))))))</f>
        <v/>
      </c>
      <c r="M3044">
        <f>LET(
    seasoning_years,DATEDIF('Loan Tape (S&amp;P)'!K3044,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44">
        <f>IF(AND('Loan Tape (S&amp;P)'!U3044="Yes",
        'Loan Tape (S&amp;P)'!T3044&lt;&gt;"Yes",
        DATEDIF('Loan Tape (S&amp;P)'!K3044, TODAY(), "M")&lt;18),
    1.10,
    1.00)</f>
        <v/>
      </c>
      <c r="O3044">
        <f>IF('Loan Tape (S&amp;P)'!T3044="Yes",
    1.35,
    1.00)</f>
        <v/>
      </c>
      <c r="P3044">
        <f>IF('Loan Tape (S&amp;P)'!S3044="Yes",
    1.15,
    1.00)</f>
        <v/>
      </c>
      <c r="Q3044">
        <f>IF('Loan Tape (S&amp;P)'!V3044="Yes",
    1.20,
    1.00)</f>
        <v/>
      </c>
      <c r="T3044">
        <f>LET(
    payment_method,'Loan Tape (S&amp;P)'!P3044,
    occupancy,'Loan Tape (S&amp;P)'!N3044,
    maturity_date,'Loan Tape (S&amp;P)'!L3044,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45">
      <c r="J3045">
        <f>LET(
    lien,'Loan Tape (S&amp;P)'!Q3045,
    IF(lien="First",1.00,
        IF(lien="Second",1.50,
            1.70)))</f>
        <v/>
      </c>
      <c r="K3045">
        <f>LET(
    purpose,'Loan Tape (S&amp;P)'!R3045,
    IF(purpose="Purchase",1.00,
        IF(purpose="Remortgage",1.00,
            1.20)))</f>
        <v/>
      </c>
      <c r="L3045">
        <f>LET(
    arrears_months,'Loan Tape (S&amp;P)'!AN3045,
    IF(arrears_months=0,1.00,
    IF(arrears_months=1,3.00,
    IF(arrears_months=2,5.00,
    IF(arrears_months=3,8.00,
    IF(arrears_months=4,10.00,
    IF(arrears_months=5,12.00,15.00)))))))</f>
        <v/>
      </c>
      <c r="M3045">
        <f>LET(
    seasoning_years,DATEDIF('Loan Tape (S&amp;P)'!K3045,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45">
        <f>IF(AND('Loan Tape (S&amp;P)'!U3045="Yes",
        'Loan Tape (S&amp;P)'!T3045&lt;&gt;"Yes",
        DATEDIF('Loan Tape (S&amp;P)'!K3045, TODAY(), "M")&lt;18),
    1.10,
    1.00)</f>
        <v/>
      </c>
      <c r="O3045">
        <f>IF('Loan Tape (S&amp;P)'!T3045="Yes",
    1.35,
    1.00)</f>
        <v/>
      </c>
      <c r="P3045">
        <f>IF('Loan Tape (S&amp;P)'!S3045="Yes",
    1.15,
    1.00)</f>
        <v/>
      </c>
      <c r="Q3045">
        <f>IF('Loan Tape (S&amp;P)'!V3045="Yes",
    1.20,
    1.00)</f>
        <v/>
      </c>
      <c r="T3045">
        <f>LET(
    payment_method,'Loan Tape (S&amp;P)'!P3045,
    occupancy,'Loan Tape (S&amp;P)'!N3045,
    maturity_date,'Loan Tape (S&amp;P)'!L3045,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46">
      <c r="J3046">
        <f>LET(
    lien,'Loan Tape (S&amp;P)'!Q3046,
    IF(lien="First",1.00,
        IF(lien="Second",1.50,
            1.70)))</f>
        <v/>
      </c>
      <c r="K3046">
        <f>LET(
    purpose,'Loan Tape (S&amp;P)'!R3046,
    IF(purpose="Purchase",1.00,
        IF(purpose="Remortgage",1.00,
            1.20)))</f>
        <v/>
      </c>
      <c r="L3046">
        <f>LET(
    arrears_months,'Loan Tape (S&amp;P)'!AN3046,
    IF(arrears_months=0,1.00,
    IF(arrears_months=1,3.00,
    IF(arrears_months=2,5.00,
    IF(arrears_months=3,8.00,
    IF(arrears_months=4,10.00,
    IF(arrears_months=5,12.00,15.00)))))))</f>
        <v/>
      </c>
      <c r="M3046">
        <f>LET(
    seasoning_years,DATEDIF('Loan Tape (S&amp;P)'!K3046,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46">
        <f>IF(AND('Loan Tape (S&amp;P)'!U3046="Yes",
        'Loan Tape (S&amp;P)'!T3046&lt;&gt;"Yes",
        DATEDIF('Loan Tape (S&amp;P)'!K3046, TODAY(), "M")&lt;18),
    1.10,
    1.00)</f>
        <v/>
      </c>
      <c r="O3046">
        <f>IF('Loan Tape (S&amp;P)'!T3046="Yes",
    1.35,
    1.00)</f>
        <v/>
      </c>
      <c r="P3046">
        <f>IF('Loan Tape (S&amp;P)'!S3046="Yes",
    1.15,
    1.00)</f>
        <v/>
      </c>
      <c r="Q3046">
        <f>IF('Loan Tape (S&amp;P)'!V3046="Yes",
    1.20,
    1.00)</f>
        <v/>
      </c>
      <c r="T3046">
        <f>LET(
    payment_method,'Loan Tape (S&amp;P)'!P3046,
    occupancy,'Loan Tape (S&amp;P)'!N3046,
    maturity_date,'Loan Tape (S&amp;P)'!L3046,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47">
      <c r="J3047">
        <f>LET(
    lien,'Loan Tape (S&amp;P)'!Q3047,
    IF(lien="First",1.00,
        IF(lien="Second",1.50,
            1.70)))</f>
        <v/>
      </c>
      <c r="K3047">
        <f>LET(
    purpose,'Loan Tape (S&amp;P)'!R3047,
    IF(purpose="Purchase",1.00,
        IF(purpose="Remortgage",1.00,
            1.20)))</f>
        <v/>
      </c>
      <c r="L3047">
        <f>LET(
    arrears_months,'Loan Tape (S&amp;P)'!AN3047,
    IF(arrears_months=0,1.00,
    IF(arrears_months=1,3.00,
    IF(arrears_months=2,5.00,
    IF(arrears_months=3,8.00,
    IF(arrears_months=4,10.00,
    IF(arrears_months=5,12.00,15.00)))))))</f>
        <v/>
      </c>
      <c r="M3047">
        <f>LET(
    seasoning_years,DATEDIF('Loan Tape (S&amp;P)'!K3047,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47">
        <f>IF(AND('Loan Tape (S&amp;P)'!U3047="Yes",
        'Loan Tape (S&amp;P)'!T3047&lt;&gt;"Yes",
        DATEDIF('Loan Tape (S&amp;P)'!K3047, TODAY(), "M")&lt;18),
    1.10,
    1.00)</f>
        <v/>
      </c>
      <c r="O3047">
        <f>IF('Loan Tape (S&amp;P)'!T3047="Yes",
    1.35,
    1.00)</f>
        <v/>
      </c>
      <c r="P3047">
        <f>IF('Loan Tape (S&amp;P)'!S3047="Yes",
    1.15,
    1.00)</f>
        <v/>
      </c>
      <c r="Q3047">
        <f>IF('Loan Tape (S&amp;P)'!V3047="Yes",
    1.20,
    1.00)</f>
        <v/>
      </c>
      <c r="T3047">
        <f>LET(
    payment_method,'Loan Tape (S&amp;P)'!P3047,
    occupancy,'Loan Tape (S&amp;P)'!N3047,
    maturity_date,'Loan Tape (S&amp;P)'!L3047,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48">
      <c r="J3048">
        <f>LET(
    lien,'Loan Tape (S&amp;P)'!Q3048,
    IF(lien="First",1.00,
        IF(lien="Second",1.50,
            1.70)))</f>
        <v/>
      </c>
      <c r="K3048">
        <f>LET(
    purpose,'Loan Tape (S&amp;P)'!R3048,
    IF(purpose="Purchase",1.00,
        IF(purpose="Remortgage",1.00,
            1.20)))</f>
        <v/>
      </c>
      <c r="L3048">
        <f>LET(
    arrears_months,'Loan Tape (S&amp;P)'!AN3048,
    IF(arrears_months=0,1.00,
    IF(arrears_months=1,3.00,
    IF(arrears_months=2,5.00,
    IF(arrears_months=3,8.00,
    IF(arrears_months=4,10.00,
    IF(arrears_months=5,12.00,15.00)))))))</f>
        <v/>
      </c>
      <c r="M3048">
        <f>LET(
    seasoning_years,DATEDIF('Loan Tape (S&amp;P)'!K3048,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48">
        <f>IF(AND('Loan Tape (S&amp;P)'!U3048="Yes",
        'Loan Tape (S&amp;P)'!T3048&lt;&gt;"Yes",
        DATEDIF('Loan Tape (S&amp;P)'!K3048, TODAY(), "M")&lt;18),
    1.10,
    1.00)</f>
        <v/>
      </c>
      <c r="O3048">
        <f>IF('Loan Tape (S&amp;P)'!T3048="Yes",
    1.35,
    1.00)</f>
        <v/>
      </c>
      <c r="P3048">
        <f>IF('Loan Tape (S&amp;P)'!S3048="Yes",
    1.15,
    1.00)</f>
        <v/>
      </c>
      <c r="Q3048">
        <f>IF('Loan Tape (S&amp;P)'!V3048="Yes",
    1.20,
    1.00)</f>
        <v/>
      </c>
      <c r="T3048">
        <f>LET(
    payment_method,'Loan Tape (S&amp;P)'!P3048,
    occupancy,'Loan Tape (S&amp;P)'!N3048,
    maturity_date,'Loan Tape (S&amp;P)'!L3048,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49">
      <c r="J3049">
        <f>LET(
    lien,'Loan Tape (S&amp;P)'!Q3049,
    IF(lien="First",1.00,
        IF(lien="Second",1.50,
            1.70)))</f>
        <v/>
      </c>
      <c r="K3049">
        <f>LET(
    purpose,'Loan Tape (S&amp;P)'!R3049,
    IF(purpose="Purchase",1.00,
        IF(purpose="Remortgage",1.00,
            1.20)))</f>
        <v/>
      </c>
      <c r="L3049">
        <f>LET(
    arrears_months,'Loan Tape (S&amp;P)'!AN3049,
    IF(arrears_months=0,1.00,
    IF(arrears_months=1,3.00,
    IF(arrears_months=2,5.00,
    IF(arrears_months=3,8.00,
    IF(arrears_months=4,10.00,
    IF(arrears_months=5,12.00,15.00)))))))</f>
        <v/>
      </c>
      <c r="M3049">
        <f>LET(
    seasoning_years,DATEDIF('Loan Tape (S&amp;P)'!K3049,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49">
        <f>IF(AND('Loan Tape (S&amp;P)'!U3049="Yes",
        'Loan Tape (S&amp;P)'!T3049&lt;&gt;"Yes",
        DATEDIF('Loan Tape (S&amp;P)'!K3049, TODAY(), "M")&lt;18),
    1.10,
    1.00)</f>
        <v/>
      </c>
      <c r="O3049">
        <f>IF('Loan Tape (S&amp;P)'!T3049="Yes",
    1.35,
    1.00)</f>
        <v/>
      </c>
      <c r="P3049">
        <f>IF('Loan Tape (S&amp;P)'!S3049="Yes",
    1.15,
    1.00)</f>
        <v/>
      </c>
      <c r="Q3049">
        <f>IF('Loan Tape (S&amp;P)'!V3049="Yes",
    1.20,
    1.00)</f>
        <v/>
      </c>
      <c r="T3049">
        <f>LET(
    payment_method,'Loan Tape (S&amp;P)'!P3049,
    occupancy,'Loan Tape (S&amp;P)'!N3049,
    maturity_date,'Loan Tape (S&amp;P)'!L3049,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50">
      <c r="J3050">
        <f>LET(
    lien,'Loan Tape (S&amp;P)'!Q3050,
    IF(lien="First",1.00,
        IF(lien="Second",1.50,
            1.70)))</f>
        <v/>
      </c>
      <c r="K3050">
        <f>LET(
    purpose,'Loan Tape (S&amp;P)'!R3050,
    IF(purpose="Purchase",1.00,
        IF(purpose="Remortgage",1.00,
            1.20)))</f>
        <v/>
      </c>
      <c r="L3050">
        <f>LET(
    arrears_months,'Loan Tape (S&amp;P)'!AN3050,
    IF(arrears_months=0,1.00,
    IF(arrears_months=1,3.00,
    IF(arrears_months=2,5.00,
    IF(arrears_months=3,8.00,
    IF(arrears_months=4,10.00,
    IF(arrears_months=5,12.00,15.00)))))))</f>
        <v/>
      </c>
      <c r="M3050">
        <f>LET(
    seasoning_years,DATEDIF('Loan Tape (S&amp;P)'!K3050,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50">
        <f>IF(AND('Loan Tape (S&amp;P)'!U3050="Yes",
        'Loan Tape (S&amp;P)'!T3050&lt;&gt;"Yes",
        DATEDIF('Loan Tape (S&amp;P)'!K3050, TODAY(), "M")&lt;18),
    1.10,
    1.00)</f>
        <v/>
      </c>
      <c r="O3050">
        <f>IF('Loan Tape (S&amp;P)'!T3050="Yes",
    1.35,
    1.00)</f>
        <v/>
      </c>
      <c r="P3050">
        <f>IF('Loan Tape (S&amp;P)'!S3050="Yes",
    1.15,
    1.00)</f>
        <v/>
      </c>
      <c r="Q3050">
        <f>IF('Loan Tape (S&amp;P)'!V3050="Yes",
    1.20,
    1.00)</f>
        <v/>
      </c>
      <c r="T3050">
        <f>LET(
    payment_method,'Loan Tape (S&amp;P)'!P3050,
    occupancy,'Loan Tape (S&amp;P)'!N3050,
    maturity_date,'Loan Tape (S&amp;P)'!L3050,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51">
      <c r="J3051">
        <f>LET(
    lien,'Loan Tape (S&amp;P)'!Q3051,
    IF(lien="First",1.00,
        IF(lien="Second",1.50,
            1.70)))</f>
        <v/>
      </c>
      <c r="K3051">
        <f>LET(
    purpose,'Loan Tape (S&amp;P)'!R3051,
    IF(purpose="Purchase",1.00,
        IF(purpose="Remortgage",1.00,
            1.20)))</f>
        <v/>
      </c>
      <c r="L3051">
        <f>LET(
    arrears_months,'Loan Tape (S&amp;P)'!AN3051,
    IF(arrears_months=0,1.00,
    IF(arrears_months=1,3.00,
    IF(arrears_months=2,5.00,
    IF(arrears_months=3,8.00,
    IF(arrears_months=4,10.00,
    IF(arrears_months=5,12.00,15.00)))))))</f>
        <v/>
      </c>
      <c r="M3051">
        <f>LET(
    seasoning_years,DATEDIF('Loan Tape (S&amp;P)'!K3051,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51">
        <f>IF(AND('Loan Tape (S&amp;P)'!U3051="Yes",
        'Loan Tape (S&amp;P)'!T3051&lt;&gt;"Yes",
        DATEDIF('Loan Tape (S&amp;P)'!K3051, TODAY(), "M")&lt;18),
    1.10,
    1.00)</f>
        <v/>
      </c>
      <c r="O3051">
        <f>IF('Loan Tape (S&amp;P)'!T3051="Yes",
    1.35,
    1.00)</f>
        <v/>
      </c>
      <c r="P3051">
        <f>IF('Loan Tape (S&amp;P)'!S3051="Yes",
    1.15,
    1.00)</f>
        <v/>
      </c>
      <c r="Q3051">
        <f>IF('Loan Tape (S&amp;P)'!V3051="Yes",
    1.20,
    1.00)</f>
        <v/>
      </c>
      <c r="T3051">
        <f>LET(
    payment_method,'Loan Tape (S&amp;P)'!P3051,
    occupancy,'Loan Tape (S&amp;P)'!N3051,
    maturity_date,'Loan Tape (S&amp;P)'!L3051,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52">
      <c r="J3052">
        <f>LET(
    lien,'Loan Tape (S&amp;P)'!Q3052,
    IF(lien="First",1.00,
        IF(lien="Second",1.50,
            1.70)))</f>
        <v/>
      </c>
      <c r="K3052">
        <f>LET(
    purpose,'Loan Tape (S&amp;P)'!R3052,
    IF(purpose="Purchase",1.00,
        IF(purpose="Remortgage",1.00,
            1.20)))</f>
        <v/>
      </c>
      <c r="L3052">
        <f>LET(
    arrears_months,'Loan Tape (S&amp;P)'!AN3052,
    IF(arrears_months=0,1.00,
    IF(arrears_months=1,3.00,
    IF(arrears_months=2,5.00,
    IF(arrears_months=3,8.00,
    IF(arrears_months=4,10.00,
    IF(arrears_months=5,12.00,15.00)))))))</f>
        <v/>
      </c>
      <c r="M3052">
        <f>LET(
    seasoning_years,DATEDIF('Loan Tape (S&amp;P)'!K3052,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52">
        <f>IF(AND('Loan Tape (S&amp;P)'!U3052="Yes",
        'Loan Tape (S&amp;P)'!T3052&lt;&gt;"Yes",
        DATEDIF('Loan Tape (S&amp;P)'!K3052, TODAY(), "M")&lt;18),
    1.10,
    1.00)</f>
        <v/>
      </c>
      <c r="O3052">
        <f>IF('Loan Tape (S&amp;P)'!T3052="Yes",
    1.35,
    1.00)</f>
        <v/>
      </c>
      <c r="P3052">
        <f>IF('Loan Tape (S&amp;P)'!S3052="Yes",
    1.15,
    1.00)</f>
        <v/>
      </c>
      <c r="Q3052">
        <f>IF('Loan Tape (S&amp;P)'!V3052="Yes",
    1.20,
    1.00)</f>
        <v/>
      </c>
      <c r="T3052">
        <f>LET(
    payment_method,'Loan Tape (S&amp;P)'!P3052,
    occupancy,'Loan Tape (S&amp;P)'!N3052,
    maturity_date,'Loan Tape (S&amp;P)'!L3052,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53">
      <c r="J3053">
        <f>LET(
    lien,'Loan Tape (S&amp;P)'!Q3053,
    IF(lien="First",1.00,
        IF(lien="Second",1.50,
            1.70)))</f>
        <v/>
      </c>
      <c r="K3053">
        <f>LET(
    purpose,'Loan Tape (S&amp;P)'!R3053,
    IF(purpose="Purchase",1.00,
        IF(purpose="Remortgage",1.00,
            1.20)))</f>
        <v/>
      </c>
      <c r="L3053">
        <f>LET(
    arrears_months,'Loan Tape (S&amp;P)'!AN3053,
    IF(arrears_months=0,1.00,
    IF(arrears_months=1,3.00,
    IF(arrears_months=2,5.00,
    IF(arrears_months=3,8.00,
    IF(arrears_months=4,10.00,
    IF(arrears_months=5,12.00,15.00)))))))</f>
        <v/>
      </c>
      <c r="M3053">
        <f>LET(
    seasoning_years,DATEDIF('Loan Tape (S&amp;P)'!K3053,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53">
        <f>IF(AND('Loan Tape (S&amp;P)'!U3053="Yes",
        'Loan Tape (S&amp;P)'!T3053&lt;&gt;"Yes",
        DATEDIF('Loan Tape (S&amp;P)'!K3053, TODAY(), "M")&lt;18),
    1.10,
    1.00)</f>
        <v/>
      </c>
      <c r="O3053">
        <f>IF('Loan Tape (S&amp;P)'!T3053="Yes",
    1.35,
    1.00)</f>
        <v/>
      </c>
      <c r="P3053">
        <f>IF('Loan Tape (S&amp;P)'!S3053="Yes",
    1.15,
    1.00)</f>
        <v/>
      </c>
      <c r="Q3053">
        <f>IF('Loan Tape (S&amp;P)'!V3053="Yes",
    1.20,
    1.00)</f>
        <v/>
      </c>
      <c r="T3053">
        <f>LET(
    payment_method,'Loan Tape (S&amp;P)'!P3053,
    occupancy,'Loan Tape (S&amp;P)'!N3053,
    maturity_date,'Loan Tape (S&amp;P)'!L3053,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54">
      <c r="J3054">
        <f>LET(
    lien,'Loan Tape (S&amp;P)'!Q3054,
    IF(lien="First",1.00,
        IF(lien="Second",1.50,
            1.70)))</f>
        <v/>
      </c>
      <c r="K3054">
        <f>LET(
    purpose,'Loan Tape (S&amp;P)'!R3054,
    IF(purpose="Purchase",1.00,
        IF(purpose="Remortgage",1.00,
            1.20)))</f>
        <v/>
      </c>
      <c r="L3054">
        <f>LET(
    arrears_months,'Loan Tape (S&amp;P)'!AN3054,
    IF(arrears_months=0,1.00,
    IF(arrears_months=1,3.00,
    IF(arrears_months=2,5.00,
    IF(arrears_months=3,8.00,
    IF(arrears_months=4,10.00,
    IF(arrears_months=5,12.00,15.00)))))))</f>
        <v/>
      </c>
      <c r="M3054">
        <f>LET(
    seasoning_years,DATEDIF('Loan Tape (S&amp;P)'!K3054,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54">
        <f>IF(AND('Loan Tape (S&amp;P)'!U3054="Yes",
        'Loan Tape (S&amp;P)'!T3054&lt;&gt;"Yes",
        DATEDIF('Loan Tape (S&amp;P)'!K3054, TODAY(), "M")&lt;18),
    1.10,
    1.00)</f>
        <v/>
      </c>
      <c r="O3054">
        <f>IF('Loan Tape (S&amp;P)'!T3054="Yes",
    1.35,
    1.00)</f>
        <v/>
      </c>
      <c r="P3054">
        <f>IF('Loan Tape (S&amp;P)'!S3054="Yes",
    1.15,
    1.00)</f>
        <v/>
      </c>
      <c r="Q3054">
        <f>IF('Loan Tape (S&amp;P)'!V3054="Yes",
    1.20,
    1.00)</f>
        <v/>
      </c>
      <c r="T3054">
        <f>LET(
    payment_method,'Loan Tape (S&amp;P)'!P3054,
    occupancy,'Loan Tape (S&amp;P)'!N3054,
    maturity_date,'Loan Tape (S&amp;P)'!L3054,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55">
      <c r="J3055">
        <f>LET(
    lien,'Loan Tape (S&amp;P)'!Q3055,
    IF(lien="First",1.00,
        IF(lien="Second",1.50,
            1.70)))</f>
        <v/>
      </c>
      <c r="K3055">
        <f>LET(
    purpose,'Loan Tape (S&amp;P)'!R3055,
    IF(purpose="Purchase",1.00,
        IF(purpose="Remortgage",1.00,
            1.20)))</f>
        <v/>
      </c>
      <c r="L3055">
        <f>LET(
    arrears_months,'Loan Tape (S&amp;P)'!AN3055,
    IF(arrears_months=0,1.00,
    IF(arrears_months=1,3.00,
    IF(arrears_months=2,5.00,
    IF(arrears_months=3,8.00,
    IF(arrears_months=4,10.00,
    IF(arrears_months=5,12.00,15.00)))))))</f>
        <v/>
      </c>
      <c r="M3055">
        <f>LET(
    seasoning_years,DATEDIF('Loan Tape (S&amp;P)'!K3055,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55">
        <f>IF(AND('Loan Tape (S&amp;P)'!U3055="Yes",
        'Loan Tape (S&amp;P)'!T3055&lt;&gt;"Yes",
        DATEDIF('Loan Tape (S&amp;P)'!K3055, TODAY(), "M")&lt;18),
    1.10,
    1.00)</f>
        <v/>
      </c>
      <c r="O3055">
        <f>IF('Loan Tape (S&amp;P)'!T3055="Yes",
    1.35,
    1.00)</f>
        <v/>
      </c>
      <c r="P3055">
        <f>IF('Loan Tape (S&amp;P)'!S3055="Yes",
    1.15,
    1.00)</f>
        <v/>
      </c>
      <c r="Q3055">
        <f>IF('Loan Tape (S&amp;P)'!V3055="Yes",
    1.20,
    1.00)</f>
        <v/>
      </c>
      <c r="T3055">
        <f>LET(
    payment_method,'Loan Tape (S&amp;P)'!P3055,
    occupancy,'Loan Tape (S&amp;P)'!N3055,
    maturity_date,'Loan Tape (S&amp;P)'!L3055,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56">
      <c r="J3056">
        <f>LET(
    lien,'Loan Tape (S&amp;P)'!Q3056,
    IF(lien="First",1.00,
        IF(lien="Second",1.50,
            1.70)))</f>
        <v/>
      </c>
      <c r="K3056">
        <f>LET(
    purpose,'Loan Tape (S&amp;P)'!R3056,
    IF(purpose="Purchase",1.00,
        IF(purpose="Remortgage",1.00,
            1.20)))</f>
        <v/>
      </c>
      <c r="L3056">
        <f>LET(
    arrears_months,'Loan Tape (S&amp;P)'!AN3056,
    IF(arrears_months=0,1.00,
    IF(arrears_months=1,3.00,
    IF(arrears_months=2,5.00,
    IF(arrears_months=3,8.00,
    IF(arrears_months=4,10.00,
    IF(arrears_months=5,12.00,15.00)))))))</f>
        <v/>
      </c>
      <c r="M3056">
        <f>LET(
    seasoning_years,DATEDIF('Loan Tape (S&amp;P)'!K3056,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56">
        <f>IF(AND('Loan Tape (S&amp;P)'!U3056="Yes",
        'Loan Tape (S&amp;P)'!T3056&lt;&gt;"Yes",
        DATEDIF('Loan Tape (S&amp;P)'!K3056, TODAY(), "M")&lt;18),
    1.10,
    1.00)</f>
        <v/>
      </c>
      <c r="O3056">
        <f>IF('Loan Tape (S&amp;P)'!T3056="Yes",
    1.35,
    1.00)</f>
        <v/>
      </c>
      <c r="P3056">
        <f>IF('Loan Tape (S&amp;P)'!S3056="Yes",
    1.15,
    1.00)</f>
        <v/>
      </c>
      <c r="Q3056">
        <f>IF('Loan Tape (S&amp;P)'!V3056="Yes",
    1.20,
    1.00)</f>
        <v/>
      </c>
      <c r="T3056">
        <f>LET(
    payment_method,'Loan Tape (S&amp;P)'!P3056,
    occupancy,'Loan Tape (S&amp;P)'!N3056,
    maturity_date,'Loan Tape (S&amp;P)'!L3056,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57">
      <c r="J3057">
        <f>LET(
    lien,'Loan Tape (S&amp;P)'!Q3057,
    IF(lien="First",1.00,
        IF(lien="Second",1.50,
            1.70)))</f>
        <v/>
      </c>
      <c r="K3057">
        <f>LET(
    purpose,'Loan Tape (S&amp;P)'!R3057,
    IF(purpose="Purchase",1.00,
        IF(purpose="Remortgage",1.00,
            1.20)))</f>
        <v/>
      </c>
      <c r="L3057">
        <f>LET(
    arrears_months,'Loan Tape (S&amp;P)'!AN3057,
    IF(arrears_months=0,1.00,
    IF(arrears_months=1,3.00,
    IF(arrears_months=2,5.00,
    IF(arrears_months=3,8.00,
    IF(arrears_months=4,10.00,
    IF(arrears_months=5,12.00,15.00)))))))</f>
        <v/>
      </c>
      <c r="M3057">
        <f>LET(
    seasoning_years,DATEDIF('Loan Tape (S&amp;P)'!K3057,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57">
        <f>IF(AND('Loan Tape (S&amp;P)'!U3057="Yes",
        'Loan Tape (S&amp;P)'!T3057&lt;&gt;"Yes",
        DATEDIF('Loan Tape (S&amp;P)'!K3057, TODAY(), "M")&lt;18),
    1.10,
    1.00)</f>
        <v/>
      </c>
      <c r="O3057">
        <f>IF('Loan Tape (S&amp;P)'!T3057="Yes",
    1.35,
    1.00)</f>
        <v/>
      </c>
      <c r="P3057">
        <f>IF('Loan Tape (S&amp;P)'!S3057="Yes",
    1.15,
    1.00)</f>
        <v/>
      </c>
      <c r="Q3057">
        <f>IF('Loan Tape (S&amp;P)'!V3057="Yes",
    1.20,
    1.00)</f>
        <v/>
      </c>
      <c r="T3057">
        <f>LET(
    payment_method,'Loan Tape (S&amp;P)'!P3057,
    occupancy,'Loan Tape (S&amp;P)'!N3057,
    maturity_date,'Loan Tape (S&amp;P)'!L3057,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58">
      <c r="J3058">
        <f>LET(
    lien,'Loan Tape (S&amp;P)'!Q3058,
    IF(lien="First",1.00,
        IF(lien="Second",1.50,
            1.70)))</f>
        <v/>
      </c>
      <c r="K3058">
        <f>LET(
    purpose,'Loan Tape (S&amp;P)'!R3058,
    IF(purpose="Purchase",1.00,
        IF(purpose="Remortgage",1.00,
            1.20)))</f>
        <v/>
      </c>
      <c r="L3058">
        <f>LET(
    arrears_months,'Loan Tape (S&amp;P)'!AN3058,
    IF(arrears_months=0,1.00,
    IF(arrears_months=1,3.00,
    IF(arrears_months=2,5.00,
    IF(arrears_months=3,8.00,
    IF(arrears_months=4,10.00,
    IF(arrears_months=5,12.00,15.00)))))))</f>
        <v/>
      </c>
      <c r="M3058">
        <f>LET(
    seasoning_years,DATEDIF('Loan Tape (S&amp;P)'!K3058,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58">
        <f>IF(AND('Loan Tape (S&amp;P)'!U3058="Yes",
        'Loan Tape (S&amp;P)'!T3058&lt;&gt;"Yes",
        DATEDIF('Loan Tape (S&amp;P)'!K3058, TODAY(), "M")&lt;18),
    1.10,
    1.00)</f>
        <v/>
      </c>
      <c r="O3058">
        <f>IF('Loan Tape (S&amp;P)'!T3058="Yes",
    1.35,
    1.00)</f>
        <v/>
      </c>
      <c r="P3058">
        <f>IF('Loan Tape (S&amp;P)'!S3058="Yes",
    1.15,
    1.00)</f>
        <v/>
      </c>
      <c r="Q3058">
        <f>IF('Loan Tape (S&amp;P)'!V3058="Yes",
    1.20,
    1.00)</f>
        <v/>
      </c>
      <c r="T3058">
        <f>LET(
    payment_method,'Loan Tape (S&amp;P)'!P3058,
    occupancy,'Loan Tape (S&amp;P)'!N3058,
    maturity_date,'Loan Tape (S&amp;P)'!L3058,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59">
      <c r="J3059">
        <f>LET(
    lien,'Loan Tape (S&amp;P)'!Q3059,
    IF(lien="First",1.00,
        IF(lien="Second",1.50,
            1.70)))</f>
        <v/>
      </c>
      <c r="K3059">
        <f>LET(
    purpose,'Loan Tape (S&amp;P)'!R3059,
    IF(purpose="Purchase",1.00,
        IF(purpose="Remortgage",1.00,
            1.20)))</f>
        <v/>
      </c>
      <c r="L3059">
        <f>LET(
    arrears_months,'Loan Tape (S&amp;P)'!AN3059,
    IF(arrears_months=0,1.00,
    IF(arrears_months=1,3.00,
    IF(arrears_months=2,5.00,
    IF(arrears_months=3,8.00,
    IF(arrears_months=4,10.00,
    IF(arrears_months=5,12.00,15.00)))))))</f>
        <v/>
      </c>
      <c r="M3059">
        <f>LET(
    seasoning_years,DATEDIF('Loan Tape (S&amp;P)'!K3059,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59">
        <f>IF(AND('Loan Tape (S&amp;P)'!U3059="Yes",
        'Loan Tape (S&amp;P)'!T3059&lt;&gt;"Yes",
        DATEDIF('Loan Tape (S&amp;P)'!K3059, TODAY(), "M")&lt;18),
    1.10,
    1.00)</f>
        <v/>
      </c>
      <c r="O3059">
        <f>IF('Loan Tape (S&amp;P)'!T3059="Yes",
    1.35,
    1.00)</f>
        <v/>
      </c>
      <c r="P3059">
        <f>IF('Loan Tape (S&amp;P)'!S3059="Yes",
    1.15,
    1.00)</f>
        <v/>
      </c>
      <c r="Q3059">
        <f>IF('Loan Tape (S&amp;P)'!V3059="Yes",
    1.20,
    1.00)</f>
        <v/>
      </c>
      <c r="T3059">
        <f>LET(
    payment_method,'Loan Tape (S&amp;P)'!P3059,
    occupancy,'Loan Tape (S&amp;P)'!N3059,
    maturity_date,'Loan Tape (S&amp;P)'!L3059,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60">
      <c r="J3060">
        <f>LET(
    lien,'Loan Tape (S&amp;P)'!Q3060,
    IF(lien="First",1.00,
        IF(lien="Second",1.50,
            1.70)))</f>
        <v/>
      </c>
      <c r="K3060">
        <f>LET(
    purpose,'Loan Tape (S&amp;P)'!R3060,
    IF(purpose="Purchase",1.00,
        IF(purpose="Remortgage",1.00,
            1.20)))</f>
        <v/>
      </c>
      <c r="L3060">
        <f>LET(
    arrears_months,'Loan Tape (S&amp;P)'!AN3060,
    IF(arrears_months=0,1.00,
    IF(arrears_months=1,3.00,
    IF(arrears_months=2,5.00,
    IF(arrears_months=3,8.00,
    IF(arrears_months=4,10.00,
    IF(arrears_months=5,12.00,15.00)))))))</f>
        <v/>
      </c>
      <c r="M3060">
        <f>LET(
    seasoning_years,DATEDIF('Loan Tape (S&amp;P)'!K3060,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60">
        <f>IF(AND('Loan Tape (S&amp;P)'!U3060="Yes",
        'Loan Tape (S&amp;P)'!T3060&lt;&gt;"Yes",
        DATEDIF('Loan Tape (S&amp;P)'!K3060, TODAY(), "M")&lt;18),
    1.10,
    1.00)</f>
        <v/>
      </c>
      <c r="O3060">
        <f>IF('Loan Tape (S&amp;P)'!T3060="Yes",
    1.35,
    1.00)</f>
        <v/>
      </c>
      <c r="P3060">
        <f>IF('Loan Tape (S&amp;P)'!S3060="Yes",
    1.15,
    1.00)</f>
        <v/>
      </c>
      <c r="Q3060">
        <f>IF('Loan Tape (S&amp;P)'!V3060="Yes",
    1.20,
    1.00)</f>
        <v/>
      </c>
      <c r="T3060">
        <f>LET(
    payment_method,'Loan Tape (S&amp;P)'!P3060,
    occupancy,'Loan Tape (S&amp;P)'!N3060,
    maturity_date,'Loan Tape (S&amp;P)'!L3060,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61">
      <c r="J3061">
        <f>LET(
    lien,'Loan Tape (S&amp;P)'!Q3061,
    IF(lien="First",1.00,
        IF(lien="Second",1.50,
            1.70)))</f>
        <v/>
      </c>
      <c r="K3061">
        <f>LET(
    purpose,'Loan Tape (S&amp;P)'!R3061,
    IF(purpose="Purchase",1.00,
        IF(purpose="Remortgage",1.00,
            1.20)))</f>
        <v/>
      </c>
      <c r="L3061">
        <f>LET(
    arrears_months,'Loan Tape (S&amp;P)'!AN3061,
    IF(arrears_months=0,1.00,
    IF(arrears_months=1,3.00,
    IF(arrears_months=2,5.00,
    IF(arrears_months=3,8.00,
    IF(arrears_months=4,10.00,
    IF(arrears_months=5,12.00,15.00)))))))</f>
        <v/>
      </c>
      <c r="M3061">
        <f>LET(
    seasoning_years,DATEDIF('Loan Tape (S&amp;P)'!K3061,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61">
        <f>IF(AND('Loan Tape (S&amp;P)'!U3061="Yes",
        'Loan Tape (S&amp;P)'!T3061&lt;&gt;"Yes",
        DATEDIF('Loan Tape (S&amp;P)'!K3061, TODAY(), "M")&lt;18),
    1.10,
    1.00)</f>
        <v/>
      </c>
      <c r="O3061">
        <f>IF('Loan Tape (S&amp;P)'!T3061="Yes",
    1.35,
    1.00)</f>
        <v/>
      </c>
      <c r="P3061">
        <f>IF('Loan Tape (S&amp;P)'!S3061="Yes",
    1.15,
    1.00)</f>
        <v/>
      </c>
      <c r="Q3061">
        <f>IF('Loan Tape (S&amp;P)'!V3061="Yes",
    1.20,
    1.00)</f>
        <v/>
      </c>
      <c r="T3061">
        <f>LET(
    payment_method,'Loan Tape (S&amp;P)'!P3061,
    occupancy,'Loan Tape (S&amp;P)'!N3061,
    maturity_date,'Loan Tape (S&amp;P)'!L3061,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62">
      <c r="J3062">
        <f>LET(
    lien,'Loan Tape (S&amp;P)'!Q3062,
    IF(lien="First",1.00,
        IF(lien="Second",1.50,
            1.70)))</f>
        <v/>
      </c>
      <c r="K3062">
        <f>LET(
    purpose,'Loan Tape (S&amp;P)'!R3062,
    IF(purpose="Purchase",1.00,
        IF(purpose="Remortgage",1.00,
            1.20)))</f>
        <v/>
      </c>
      <c r="L3062">
        <f>LET(
    arrears_months,'Loan Tape (S&amp;P)'!AN3062,
    IF(arrears_months=0,1.00,
    IF(arrears_months=1,3.00,
    IF(arrears_months=2,5.00,
    IF(arrears_months=3,8.00,
    IF(arrears_months=4,10.00,
    IF(arrears_months=5,12.00,15.00)))))))</f>
        <v/>
      </c>
      <c r="M3062">
        <f>LET(
    seasoning_years,DATEDIF('Loan Tape (S&amp;P)'!K3062,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62">
        <f>IF(AND('Loan Tape (S&amp;P)'!U3062="Yes",
        'Loan Tape (S&amp;P)'!T3062&lt;&gt;"Yes",
        DATEDIF('Loan Tape (S&amp;P)'!K3062, TODAY(), "M")&lt;18),
    1.10,
    1.00)</f>
        <v/>
      </c>
      <c r="O3062">
        <f>IF('Loan Tape (S&amp;P)'!T3062="Yes",
    1.35,
    1.00)</f>
        <v/>
      </c>
      <c r="P3062">
        <f>IF('Loan Tape (S&amp;P)'!S3062="Yes",
    1.15,
    1.00)</f>
        <v/>
      </c>
      <c r="Q3062">
        <f>IF('Loan Tape (S&amp;P)'!V3062="Yes",
    1.20,
    1.00)</f>
        <v/>
      </c>
      <c r="T3062">
        <f>LET(
    payment_method,'Loan Tape (S&amp;P)'!P3062,
    occupancy,'Loan Tape (S&amp;P)'!N3062,
    maturity_date,'Loan Tape (S&amp;P)'!L3062,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63">
      <c r="J3063">
        <f>LET(
    lien,'Loan Tape (S&amp;P)'!Q3063,
    IF(lien="First",1.00,
        IF(lien="Second",1.50,
            1.70)))</f>
        <v/>
      </c>
      <c r="K3063">
        <f>LET(
    purpose,'Loan Tape (S&amp;P)'!R3063,
    IF(purpose="Purchase",1.00,
        IF(purpose="Remortgage",1.00,
            1.20)))</f>
        <v/>
      </c>
      <c r="L3063">
        <f>LET(
    arrears_months,'Loan Tape (S&amp;P)'!AN3063,
    IF(arrears_months=0,1.00,
    IF(arrears_months=1,3.00,
    IF(arrears_months=2,5.00,
    IF(arrears_months=3,8.00,
    IF(arrears_months=4,10.00,
    IF(arrears_months=5,12.00,15.00)))))))</f>
        <v/>
      </c>
      <c r="M3063">
        <f>LET(
    seasoning_years,DATEDIF('Loan Tape (S&amp;P)'!K3063,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63">
        <f>IF(AND('Loan Tape (S&amp;P)'!U3063="Yes",
        'Loan Tape (S&amp;P)'!T3063&lt;&gt;"Yes",
        DATEDIF('Loan Tape (S&amp;P)'!K3063, TODAY(), "M")&lt;18),
    1.10,
    1.00)</f>
        <v/>
      </c>
      <c r="O3063">
        <f>IF('Loan Tape (S&amp;P)'!T3063="Yes",
    1.35,
    1.00)</f>
        <v/>
      </c>
      <c r="P3063">
        <f>IF('Loan Tape (S&amp;P)'!S3063="Yes",
    1.15,
    1.00)</f>
        <v/>
      </c>
      <c r="Q3063">
        <f>IF('Loan Tape (S&amp;P)'!V3063="Yes",
    1.20,
    1.00)</f>
        <v/>
      </c>
      <c r="T3063">
        <f>LET(
    payment_method,'Loan Tape (S&amp;P)'!P3063,
    occupancy,'Loan Tape (S&amp;P)'!N3063,
    maturity_date,'Loan Tape (S&amp;P)'!L3063,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64">
      <c r="J3064">
        <f>LET(
    lien,'Loan Tape (S&amp;P)'!Q3064,
    IF(lien="First",1.00,
        IF(lien="Second",1.50,
            1.70)))</f>
        <v/>
      </c>
      <c r="K3064">
        <f>LET(
    purpose,'Loan Tape (S&amp;P)'!R3064,
    IF(purpose="Purchase",1.00,
        IF(purpose="Remortgage",1.00,
            1.20)))</f>
        <v/>
      </c>
      <c r="L3064">
        <f>LET(
    arrears_months,'Loan Tape (S&amp;P)'!AN3064,
    IF(arrears_months=0,1.00,
    IF(arrears_months=1,3.00,
    IF(arrears_months=2,5.00,
    IF(arrears_months=3,8.00,
    IF(arrears_months=4,10.00,
    IF(arrears_months=5,12.00,15.00)))))))</f>
        <v/>
      </c>
      <c r="M3064">
        <f>LET(
    seasoning_years,DATEDIF('Loan Tape (S&amp;P)'!K3064,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64">
        <f>IF(AND('Loan Tape (S&amp;P)'!U3064="Yes",
        'Loan Tape (S&amp;P)'!T3064&lt;&gt;"Yes",
        DATEDIF('Loan Tape (S&amp;P)'!K3064, TODAY(), "M")&lt;18),
    1.10,
    1.00)</f>
        <v/>
      </c>
      <c r="O3064">
        <f>IF('Loan Tape (S&amp;P)'!T3064="Yes",
    1.35,
    1.00)</f>
        <v/>
      </c>
      <c r="P3064">
        <f>IF('Loan Tape (S&amp;P)'!S3064="Yes",
    1.15,
    1.00)</f>
        <v/>
      </c>
      <c r="Q3064">
        <f>IF('Loan Tape (S&amp;P)'!V3064="Yes",
    1.20,
    1.00)</f>
        <v/>
      </c>
      <c r="T3064">
        <f>LET(
    payment_method,'Loan Tape (S&amp;P)'!P3064,
    occupancy,'Loan Tape (S&amp;P)'!N3064,
    maturity_date,'Loan Tape (S&amp;P)'!L3064,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65">
      <c r="J3065">
        <f>LET(
    lien,'Loan Tape (S&amp;P)'!Q3065,
    IF(lien="First",1.00,
        IF(lien="Second",1.50,
            1.70)))</f>
        <v/>
      </c>
      <c r="K3065">
        <f>LET(
    purpose,'Loan Tape (S&amp;P)'!R3065,
    IF(purpose="Purchase",1.00,
        IF(purpose="Remortgage",1.00,
            1.20)))</f>
        <v/>
      </c>
      <c r="L3065">
        <f>LET(
    arrears_months,'Loan Tape (S&amp;P)'!AN3065,
    IF(arrears_months=0,1.00,
    IF(arrears_months=1,3.00,
    IF(arrears_months=2,5.00,
    IF(arrears_months=3,8.00,
    IF(arrears_months=4,10.00,
    IF(arrears_months=5,12.00,15.00)))))))</f>
        <v/>
      </c>
      <c r="M3065">
        <f>LET(
    seasoning_years,DATEDIF('Loan Tape (S&amp;P)'!K3065,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65">
        <f>IF(AND('Loan Tape (S&amp;P)'!U3065="Yes",
        'Loan Tape (S&amp;P)'!T3065&lt;&gt;"Yes",
        DATEDIF('Loan Tape (S&amp;P)'!K3065, TODAY(), "M")&lt;18),
    1.10,
    1.00)</f>
        <v/>
      </c>
      <c r="O3065">
        <f>IF('Loan Tape (S&amp;P)'!T3065="Yes",
    1.35,
    1.00)</f>
        <v/>
      </c>
      <c r="P3065">
        <f>IF('Loan Tape (S&amp;P)'!S3065="Yes",
    1.15,
    1.00)</f>
        <v/>
      </c>
      <c r="Q3065">
        <f>IF('Loan Tape (S&amp;P)'!V3065="Yes",
    1.20,
    1.00)</f>
        <v/>
      </c>
      <c r="T3065">
        <f>LET(
    payment_method,'Loan Tape (S&amp;P)'!P3065,
    occupancy,'Loan Tape (S&amp;P)'!N3065,
    maturity_date,'Loan Tape (S&amp;P)'!L3065,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66">
      <c r="J3066">
        <f>LET(
    lien,'Loan Tape (S&amp;P)'!Q3066,
    IF(lien="First",1.00,
        IF(lien="Second",1.50,
            1.70)))</f>
        <v/>
      </c>
      <c r="K3066">
        <f>LET(
    purpose,'Loan Tape (S&amp;P)'!R3066,
    IF(purpose="Purchase",1.00,
        IF(purpose="Remortgage",1.00,
            1.20)))</f>
        <v/>
      </c>
      <c r="L3066">
        <f>LET(
    arrears_months,'Loan Tape (S&amp;P)'!AN3066,
    IF(arrears_months=0,1.00,
    IF(arrears_months=1,3.00,
    IF(arrears_months=2,5.00,
    IF(arrears_months=3,8.00,
    IF(arrears_months=4,10.00,
    IF(arrears_months=5,12.00,15.00)))))))</f>
        <v/>
      </c>
      <c r="M3066">
        <f>LET(
    seasoning_years,DATEDIF('Loan Tape (S&amp;P)'!K3066,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66">
        <f>IF(AND('Loan Tape (S&amp;P)'!U3066="Yes",
        'Loan Tape (S&amp;P)'!T3066&lt;&gt;"Yes",
        DATEDIF('Loan Tape (S&amp;P)'!K3066, TODAY(), "M")&lt;18),
    1.10,
    1.00)</f>
        <v/>
      </c>
      <c r="O3066">
        <f>IF('Loan Tape (S&amp;P)'!T3066="Yes",
    1.35,
    1.00)</f>
        <v/>
      </c>
      <c r="P3066">
        <f>IF('Loan Tape (S&amp;P)'!S3066="Yes",
    1.15,
    1.00)</f>
        <v/>
      </c>
      <c r="Q3066">
        <f>IF('Loan Tape (S&amp;P)'!V3066="Yes",
    1.20,
    1.00)</f>
        <v/>
      </c>
      <c r="T3066">
        <f>LET(
    payment_method,'Loan Tape (S&amp;P)'!P3066,
    occupancy,'Loan Tape (S&amp;P)'!N3066,
    maturity_date,'Loan Tape (S&amp;P)'!L3066,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67">
      <c r="J3067">
        <f>LET(
    lien,'Loan Tape (S&amp;P)'!Q3067,
    IF(lien="First",1.00,
        IF(lien="Second",1.50,
            1.70)))</f>
        <v/>
      </c>
      <c r="K3067">
        <f>LET(
    purpose,'Loan Tape (S&amp;P)'!R3067,
    IF(purpose="Purchase",1.00,
        IF(purpose="Remortgage",1.00,
            1.20)))</f>
        <v/>
      </c>
      <c r="L3067">
        <f>LET(
    arrears_months,'Loan Tape (S&amp;P)'!AN3067,
    IF(arrears_months=0,1.00,
    IF(arrears_months=1,3.00,
    IF(arrears_months=2,5.00,
    IF(arrears_months=3,8.00,
    IF(arrears_months=4,10.00,
    IF(arrears_months=5,12.00,15.00)))))))</f>
        <v/>
      </c>
      <c r="M3067">
        <f>LET(
    seasoning_years,DATEDIF('Loan Tape (S&amp;P)'!K3067,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67">
        <f>IF(AND('Loan Tape (S&amp;P)'!U3067="Yes",
        'Loan Tape (S&amp;P)'!T3067&lt;&gt;"Yes",
        DATEDIF('Loan Tape (S&amp;P)'!K3067, TODAY(), "M")&lt;18),
    1.10,
    1.00)</f>
        <v/>
      </c>
      <c r="O3067">
        <f>IF('Loan Tape (S&amp;P)'!T3067="Yes",
    1.35,
    1.00)</f>
        <v/>
      </c>
      <c r="P3067">
        <f>IF('Loan Tape (S&amp;P)'!S3067="Yes",
    1.15,
    1.00)</f>
        <v/>
      </c>
      <c r="Q3067">
        <f>IF('Loan Tape (S&amp;P)'!V3067="Yes",
    1.20,
    1.00)</f>
        <v/>
      </c>
      <c r="T3067">
        <f>LET(
    payment_method,'Loan Tape (S&amp;P)'!P3067,
    occupancy,'Loan Tape (S&amp;P)'!N3067,
    maturity_date,'Loan Tape (S&amp;P)'!L3067,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68">
      <c r="J3068">
        <f>LET(
    lien,'Loan Tape (S&amp;P)'!Q3068,
    IF(lien="First",1.00,
        IF(lien="Second",1.50,
            1.70)))</f>
        <v/>
      </c>
      <c r="K3068">
        <f>LET(
    purpose,'Loan Tape (S&amp;P)'!R3068,
    IF(purpose="Purchase",1.00,
        IF(purpose="Remortgage",1.00,
            1.20)))</f>
        <v/>
      </c>
      <c r="L3068">
        <f>LET(
    arrears_months,'Loan Tape (S&amp;P)'!AN3068,
    IF(arrears_months=0,1.00,
    IF(arrears_months=1,3.00,
    IF(arrears_months=2,5.00,
    IF(arrears_months=3,8.00,
    IF(arrears_months=4,10.00,
    IF(arrears_months=5,12.00,15.00)))))))</f>
        <v/>
      </c>
      <c r="M3068">
        <f>LET(
    seasoning_years,DATEDIF('Loan Tape (S&amp;P)'!K3068,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68">
        <f>IF(AND('Loan Tape (S&amp;P)'!U3068="Yes",
        'Loan Tape (S&amp;P)'!T3068&lt;&gt;"Yes",
        DATEDIF('Loan Tape (S&amp;P)'!K3068, TODAY(), "M")&lt;18),
    1.10,
    1.00)</f>
        <v/>
      </c>
      <c r="O3068">
        <f>IF('Loan Tape (S&amp;P)'!T3068="Yes",
    1.35,
    1.00)</f>
        <v/>
      </c>
      <c r="P3068">
        <f>IF('Loan Tape (S&amp;P)'!S3068="Yes",
    1.15,
    1.00)</f>
        <v/>
      </c>
      <c r="Q3068">
        <f>IF('Loan Tape (S&amp;P)'!V3068="Yes",
    1.20,
    1.00)</f>
        <v/>
      </c>
      <c r="T3068">
        <f>LET(
    payment_method,'Loan Tape (S&amp;P)'!P3068,
    occupancy,'Loan Tape (S&amp;P)'!N3068,
    maturity_date,'Loan Tape (S&amp;P)'!L3068,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69">
      <c r="J3069">
        <f>LET(
    lien,'Loan Tape (S&amp;P)'!Q3069,
    IF(lien="First",1.00,
        IF(lien="Second",1.50,
            1.70)))</f>
        <v/>
      </c>
      <c r="K3069">
        <f>LET(
    purpose,'Loan Tape (S&amp;P)'!R3069,
    IF(purpose="Purchase",1.00,
        IF(purpose="Remortgage",1.00,
            1.20)))</f>
        <v/>
      </c>
      <c r="L3069">
        <f>LET(
    arrears_months,'Loan Tape (S&amp;P)'!AN3069,
    IF(arrears_months=0,1.00,
    IF(arrears_months=1,3.00,
    IF(arrears_months=2,5.00,
    IF(arrears_months=3,8.00,
    IF(arrears_months=4,10.00,
    IF(arrears_months=5,12.00,15.00)))))))</f>
        <v/>
      </c>
      <c r="M3069">
        <f>LET(
    seasoning_years,DATEDIF('Loan Tape (S&amp;P)'!K3069,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69">
        <f>IF(AND('Loan Tape (S&amp;P)'!U3069="Yes",
        'Loan Tape (S&amp;P)'!T3069&lt;&gt;"Yes",
        DATEDIF('Loan Tape (S&amp;P)'!K3069, TODAY(), "M")&lt;18),
    1.10,
    1.00)</f>
        <v/>
      </c>
      <c r="O3069">
        <f>IF('Loan Tape (S&amp;P)'!T3069="Yes",
    1.35,
    1.00)</f>
        <v/>
      </c>
      <c r="P3069">
        <f>IF('Loan Tape (S&amp;P)'!S3069="Yes",
    1.15,
    1.00)</f>
        <v/>
      </c>
      <c r="Q3069">
        <f>IF('Loan Tape (S&amp;P)'!V3069="Yes",
    1.20,
    1.00)</f>
        <v/>
      </c>
      <c r="T3069">
        <f>LET(
    payment_method,'Loan Tape (S&amp;P)'!P3069,
    occupancy,'Loan Tape (S&amp;P)'!N3069,
    maturity_date,'Loan Tape (S&amp;P)'!L3069,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70">
      <c r="J3070">
        <f>LET(
    lien,'Loan Tape (S&amp;P)'!Q3070,
    IF(lien="First",1.00,
        IF(lien="Second",1.50,
            1.70)))</f>
        <v/>
      </c>
      <c r="K3070">
        <f>LET(
    purpose,'Loan Tape (S&amp;P)'!R3070,
    IF(purpose="Purchase",1.00,
        IF(purpose="Remortgage",1.00,
            1.20)))</f>
        <v/>
      </c>
      <c r="L3070">
        <f>LET(
    arrears_months,'Loan Tape (S&amp;P)'!AN3070,
    IF(arrears_months=0,1.00,
    IF(arrears_months=1,3.00,
    IF(arrears_months=2,5.00,
    IF(arrears_months=3,8.00,
    IF(arrears_months=4,10.00,
    IF(arrears_months=5,12.00,15.00)))))))</f>
        <v/>
      </c>
      <c r="M3070">
        <f>LET(
    seasoning_years,DATEDIF('Loan Tape (S&amp;P)'!K3070,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70">
        <f>IF(AND('Loan Tape (S&amp;P)'!U3070="Yes",
        'Loan Tape (S&amp;P)'!T3070&lt;&gt;"Yes",
        DATEDIF('Loan Tape (S&amp;P)'!K3070, TODAY(), "M")&lt;18),
    1.10,
    1.00)</f>
        <v/>
      </c>
      <c r="O3070">
        <f>IF('Loan Tape (S&amp;P)'!T3070="Yes",
    1.35,
    1.00)</f>
        <v/>
      </c>
      <c r="P3070">
        <f>IF('Loan Tape (S&amp;P)'!S3070="Yes",
    1.15,
    1.00)</f>
        <v/>
      </c>
      <c r="Q3070">
        <f>IF('Loan Tape (S&amp;P)'!V3070="Yes",
    1.20,
    1.00)</f>
        <v/>
      </c>
      <c r="T3070">
        <f>LET(
    payment_method,'Loan Tape (S&amp;P)'!P3070,
    occupancy,'Loan Tape (S&amp;P)'!N3070,
    maturity_date,'Loan Tape (S&amp;P)'!L3070,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71">
      <c r="J3071">
        <f>LET(
    lien,'Loan Tape (S&amp;P)'!Q3071,
    IF(lien="First",1.00,
        IF(lien="Second",1.50,
            1.70)))</f>
        <v/>
      </c>
      <c r="K3071">
        <f>LET(
    purpose,'Loan Tape (S&amp;P)'!R3071,
    IF(purpose="Purchase",1.00,
        IF(purpose="Remortgage",1.00,
            1.20)))</f>
        <v/>
      </c>
      <c r="L3071">
        <f>LET(
    arrears_months,'Loan Tape (S&amp;P)'!AN3071,
    IF(arrears_months=0,1.00,
    IF(arrears_months=1,3.00,
    IF(arrears_months=2,5.00,
    IF(arrears_months=3,8.00,
    IF(arrears_months=4,10.00,
    IF(arrears_months=5,12.00,15.00)))))))</f>
        <v/>
      </c>
      <c r="M3071">
        <f>LET(
    seasoning_years,DATEDIF('Loan Tape (S&amp;P)'!K3071,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71">
        <f>IF(AND('Loan Tape (S&amp;P)'!U3071="Yes",
        'Loan Tape (S&amp;P)'!T3071&lt;&gt;"Yes",
        DATEDIF('Loan Tape (S&amp;P)'!K3071, TODAY(), "M")&lt;18),
    1.10,
    1.00)</f>
        <v/>
      </c>
      <c r="O3071">
        <f>IF('Loan Tape (S&amp;P)'!T3071="Yes",
    1.35,
    1.00)</f>
        <v/>
      </c>
      <c r="P3071">
        <f>IF('Loan Tape (S&amp;P)'!S3071="Yes",
    1.15,
    1.00)</f>
        <v/>
      </c>
      <c r="Q3071">
        <f>IF('Loan Tape (S&amp;P)'!V3071="Yes",
    1.20,
    1.00)</f>
        <v/>
      </c>
      <c r="T3071">
        <f>LET(
    payment_method,'Loan Tape (S&amp;P)'!P3071,
    occupancy,'Loan Tape (S&amp;P)'!N3071,
    maturity_date,'Loan Tape (S&amp;P)'!L3071,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72">
      <c r="J3072">
        <f>LET(
    lien,'Loan Tape (S&amp;P)'!Q3072,
    IF(lien="First",1.00,
        IF(lien="Second",1.50,
            1.70)))</f>
        <v/>
      </c>
      <c r="K3072">
        <f>LET(
    purpose,'Loan Tape (S&amp;P)'!R3072,
    IF(purpose="Purchase",1.00,
        IF(purpose="Remortgage",1.00,
            1.20)))</f>
        <v/>
      </c>
      <c r="L3072">
        <f>LET(
    arrears_months,'Loan Tape (S&amp;P)'!AN3072,
    IF(arrears_months=0,1.00,
    IF(arrears_months=1,3.00,
    IF(arrears_months=2,5.00,
    IF(arrears_months=3,8.00,
    IF(arrears_months=4,10.00,
    IF(arrears_months=5,12.00,15.00)))))))</f>
        <v/>
      </c>
      <c r="M3072">
        <f>LET(
    seasoning_years,DATEDIF('Loan Tape (S&amp;P)'!K3072,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72">
        <f>IF(AND('Loan Tape (S&amp;P)'!U3072="Yes",
        'Loan Tape (S&amp;P)'!T3072&lt;&gt;"Yes",
        DATEDIF('Loan Tape (S&amp;P)'!K3072, TODAY(), "M")&lt;18),
    1.10,
    1.00)</f>
        <v/>
      </c>
      <c r="O3072">
        <f>IF('Loan Tape (S&amp;P)'!T3072="Yes",
    1.35,
    1.00)</f>
        <v/>
      </c>
      <c r="P3072">
        <f>IF('Loan Tape (S&amp;P)'!S3072="Yes",
    1.15,
    1.00)</f>
        <v/>
      </c>
      <c r="Q3072">
        <f>IF('Loan Tape (S&amp;P)'!V3072="Yes",
    1.20,
    1.00)</f>
        <v/>
      </c>
      <c r="T3072">
        <f>LET(
    payment_method,'Loan Tape (S&amp;P)'!P3072,
    occupancy,'Loan Tape (S&amp;P)'!N3072,
    maturity_date,'Loan Tape (S&amp;P)'!L3072,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73">
      <c r="J3073">
        <f>LET(
    lien,'Loan Tape (S&amp;P)'!Q3073,
    IF(lien="First",1.00,
        IF(lien="Second",1.50,
            1.70)))</f>
        <v/>
      </c>
      <c r="K3073">
        <f>LET(
    purpose,'Loan Tape (S&amp;P)'!R3073,
    IF(purpose="Purchase",1.00,
        IF(purpose="Remortgage",1.00,
            1.20)))</f>
        <v/>
      </c>
      <c r="L3073">
        <f>LET(
    arrears_months,'Loan Tape (S&amp;P)'!AN3073,
    IF(arrears_months=0,1.00,
    IF(arrears_months=1,3.00,
    IF(arrears_months=2,5.00,
    IF(arrears_months=3,8.00,
    IF(arrears_months=4,10.00,
    IF(arrears_months=5,12.00,15.00)))))))</f>
        <v/>
      </c>
      <c r="M3073">
        <f>LET(
    seasoning_years,DATEDIF('Loan Tape (S&amp;P)'!K3073,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73">
        <f>IF(AND('Loan Tape (S&amp;P)'!U3073="Yes",
        'Loan Tape (S&amp;P)'!T3073&lt;&gt;"Yes",
        DATEDIF('Loan Tape (S&amp;P)'!K3073, TODAY(), "M")&lt;18),
    1.10,
    1.00)</f>
        <v/>
      </c>
      <c r="O3073">
        <f>IF('Loan Tape (S&amp;P)'!T3073="Yes",
    1.35,
    1.00)</f>
        <v/>
      </c>
      <c r="P3073">
        <f>IF('Loan Tape (S&amp;P)'!S3073="Yes",
    1.15,
    1.00)</f>
        <v/>
      </c>
      <c r="Q3073">
        <f>IF('Loan Tape (S&amp;P)'!V3073="Yes",
    1.20,
    1.00)</f>
        <v/>
      </c>
      <c r="T3073">
        <f>LET(
    payment_method,'Loan Tape (S&amp;P)'!P3073,
    occupancy,'Loan Tape (S&amp;P)'!N3073,
    maturity_date,'Loan Tape (S&amp;P)'!L3073,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74">
      <c r="J3074">
        <f>LET(
    lien,'Loan Tape (S&amp;P)'!Q3074,
    IF(lien="First",1.00,
        IF(lien="Second",1.50,
            1.70)))</f>
        <v/>
      </c>
      <c r="K3074">
        <f>LET(
    purpose,'Loan Tape (S&amp;P)'!R3074,
    IF(purpose="Purchase",1.00,
        IF(purpose="Remortgage",1.00,
            1.20)))</f>
        <v/>
      </c>
      <c r="L3074">
        <f>LET(
    arrears_months,'Loan Tape (S&amp;P)'!AN3074,
    IF(arrears_months=0,1.00,
    IF(arrears_months=1,3.00,
    IF(arrears_months=2,5.00,
    IF(arrears_months=3,8.00,
    IF(arrears_months=4,10.00,
    IF(arrears_months=5,12.00,15.00)))))))</f>
        <v/>
      </c>
      <c r="M3074">
        <f>LET(
    seasoning_years,DATEDIF('Loan Tape (S&amp;P)'!K3074,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74">
        <f>IF(AND('Loan Tape (S&amp;P)'!U3074="Yes",
        'Loan Tape (S&amp;P)'!T3074&lt;&gt;"Yes",
        DATEDIF('Loan Tape (S&amp;P)'!K3074, TODAY(), "M")&lt;18),
    1.10,
    1.00)</f>
        <v/>
      </c>
      <c r="O3074">
        <f>IF('Loan Tape (S&amp;P)'!T3074="Yes",
    1.35,
    1.00)</f>
        <v/>
      </c>
      <c r="P3074">
        <f>IF('Loan Tape (S&amp;P)'!S3074="Yes",
    1.15,
    1.00)</f>
        <v/>
      </c>
      <c r="Q3074">
        <f>IF('Loan Tape (S&amp;P)'!V3074="Yes",
    1.20,
    1.00)</f>
        <v/>
      </c>
      <c r="T3074">
        <f>LET(
    payment_method,'Loan Tape (S&amp;P)'!P3074,
    occupancy,'Loan Tape (S&amp;P)'!N3074,
    maturity_date,'Loan Tape (S&amp;P)'!L3074,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75">
      <c r="J3075">
        <f>LET(
    lien,'Loan Tape (S&amp;P)'!Q3075,
    IF(lien="First",1.00,
        IF(lien="Second",1.50,
            1.70)))</f>
        <v/>
      </c>
      <c r="K3075">
        <f>LET(
    purpose,'Loan Tape (S&amp;P)'!R3075,
    IF(purpose="Purchase",1.00,
        IF(purpose="Remortgage",1.00,
            1.20)))</f>
        <v/>
      </c>
      <c r="L3075">
        <f>LET(
    arrears_months,'Loan Tape (S&amp;P)'!AN3075,
    IF(arrears_months=0,1.00,
    IF(arrears_months=1,3.00,
    IF(arrears_months=2,5.00,
    IF(arrears_months=3,8.00,
    IF(arrears_months=4,10.00,
    IF(arrears_months=5,12.00,15.00)))))))</f>
        <v/>
      </c>
      <c r="M3075">
        <f>LET(
    seasoning_years,DATEDIF('Loan Tape (S&amp;P)'!K3075,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75">
        <f>IF(AND('Loan Tape (S&amp;P)'!U3075="Yes",
        'Loan Tape (S&amp;P)'!T3075&lt;&gt;"Yes",
        DATEDIF('Loan Tape (S&amp;P)'!K3075, TODAY(), "M")&lt;18),
    1.10,
    1.00)</f>
        <v/>
      </c>
      <c r="O3075">
        <f>IF('Loan Tape (S&amp;P)'!T3075="Yes",
    1.35,
    1.00)</f>
        <v/>
      </c>
      <c r="P3075">
        <f>IF('Loan Tape (S&amp;P)'!S3075="Yes",
    1.15,
    1.00)</f>
        <v/>
      </c>
      <c r="Q3075">
        <f>IF('Loan Tape (S&amp;P)'!V3075="Yes",
    1.20,
    1.00)</f>
        <v/>
      </c>
      <c r="T3075">
        <f>LET(
    payment_method,'Loan Tape (S&amp;P)'!P3075,
    occupancy,'Loan Tape (S&amp;P)'!N3075,
    maturity_date,'Loan Tape (S&amp;P)'!L3075,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76">
      <c r="J3076">
        <f>LET(
    lien,'Loan Tape (S&amp;P)'!Q3076,
    IF(lien="First",1.00,
        IF(lien="Second",1.50,
            1.70)))</f>
        <v/>
      </c>
      <c r="K3076">
        <f>LET(
    purpose,'Loan Tape (S&amp;P)'!R3076,
    IF(purpose="Purchase",1.00,
        IF(purpose="Remortgage",1.00,
            1.20)))</f>
        <v/>
      </c>
      <c r="L3076">
        <f>LET(
    arrears_months,'Loan Tape (S&amp;P)'!AN3076,
    IF(arrears_months=0,1.00,
    IF(arrears_months=1,3.00,
    IF(arrears_months=2,5.00,
    IF(arrears_months=3,8.00,
    IF(arrears_months=4,10.00,
    IF(arrears_months=5,12.00,15.00)))))))</f>
        <v/>
      </c>
      <c r="M3076">
        <f>LET(
    seasoning_years,DATEDIF('Loan Tape (S&amp;P)'!K3076,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76">
        <f>IF(AND('Loan Tape (S&amp;P)'!U3076="Yes",
        'Loan Tape (S&amp;P)'!T3076&lt;&gt;"Yes",
        DATEDIF('Loan Tape (S&amp;P)'!K3076, TODAY(), "M")&lt;18),
    1.10,
    1.00)</f>
        <v/>
      </c>
      <c r="O3076">
        <f>IF('Loan Tape (S&amp;P)'!T3076="Yes",
    1.35,
    1.00)</f>
        <v/>
      </c>
      <c r="P3076">
        <f>IF('Loan Tape (S&amp;P)'!S3076="Yes",
    1.15,
    1.00)</f>
        <v/>
      </c>
      <c r="Q3076">
        <f>IF('Loan Tape (S&amp;P)'!V3076="Yes",
    1.20,
    1.00)</f>
        <v/>
      </c>
      <c r="T3076">
        <f>LET(
    payment_method,'Loan Tape (S&amp;P)'!P3076,
    occupancy,'Loan Tape (S&amp;P)'!N3076,
    maturity_date,'Loan Tape (S&amp;P)'!L3076,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77">
      <c r="J3077">
        <f>LET(
    lien,'Loan Tape (S&amp;P)'!Q3077,
    IF(lien="First",1.00,
        IF(lien="Second",1.50,
            1.70)))</f>
        <v/>
      </c>
      <c r="K3077">
        <f>LET(
    purpose,'Loan Tape (S&amp;P)'!R3077,
    IF(purpose="Purchase",1.00,
        IF(purpose="Remortgage",1.00,
            1.20)))</f>
        <v/>
      </c>
      <c r="L3077">
        <f>LET(
    arrears_months,'Loan Tape (S&amp;P)'!AN3077,
    IF(arrears_months=0,1.00,
    IF(arrears_months=1,3.00,
    IF(arrears_months=2,5.00,
    IF(arrears_months=3,8.00,
    IF(arrears_months=4,10.00,
    IF(arrears_months=5,12.00,15.00)))))))</f>
        <v/>
      </c>
      <c r="M3077">
        <f>LET(
    seasoning_years,DATEDIF('Loan Tape (S&amp;P)'!K3077,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77">
        <f>IF(AND('Loan Tape (S&amp;P)'!U3077="Yes",
        'Loan Tape (S&amp;P)'!T3077&lt;&gt;"Yes",
        DATEDIF('Loan Tape (S&amp;P)'!K3077, TODAY(), "M")&lt;18),
    1.10,
    1.00)</f>
        <v/>
      </c>
      <c r="O3077">
        <f>IF('Loan Tape (S&amp;P)'!T3077="Yes",
    1.35,
    1.00)</f>
        <v/>
      </c>
      <c r="P3077">
        <f>IF('Loan Tape (S&amp;P)'!S3077="Yes",
    1.15,
    1.00)</f>
        <v/>
      </c>
      <c r="Q3077">
        <f>IF('Loan Tape (S&amp;P)'!V3077="Yes",
    1.20,
    1.00)</f>
        <v/>
      </c>
      <c r="T3077">
        <f>LET(
    payment_method,'Loan Tape (S&amp;P)'!P3077,
    occupancy,'Loan Tape (S&amp;P)'!N3077,
    maturity_date,'Loan Tape (S&amp;P)'!L3077,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78">
      <c r="J3078">
        <f>LET(
    lien,'Loan Tape (S&amp;P)'!Q3078,
    IF(lien="First",1.00,
        IF(lien="Second",1.50,
            1.70)))</f>
        <v/>
      </c>
      <c r="K3078">
        <f>LET(
    purpose,'Loan Tape (S&amp;P)'!R3078,
    IF(purpose="Purchase",1.00,
        IF(purpose="Remortgage",1.00,
            1.20)))</f>
        <v/>
      </c>
      <c r="L3078">
        <f>LET(
    arrears_months,'Loan Tape (S&amp;P)'!AN3078,
    IF(arrears_months=0,1.00,
    IF(arrears_months=1,3.00,
    IF(arrears_months=2,5.00,
    IF(arrears_months=3,8.00,
    IF(arrears_months=4,10.00,
    IF(arrears_months=5,12.00,15.00)))))))</f>
        <v/>
      </c>
      <c r="M3078">
        <f>LET(
    seasoning_years,DATEDIF('Loan Tape (S&amp;P)'!K3078,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78">
        <f>IF(AND('Loan Tape (S&amp;P)'!U3078="Yes",
        'Loan Tape (S&amp;P)'!T3078&lt;&gt;"Yes",
        DATEDIF('Loan Tape (S&amp;P)'!K3078, TODAY(), "M")&lt;18),
    1.10,
    1.00)</f>
        <v/>
      </c>
      <c r="O3078">
        <f>IF('Loan Tape (S&amp;P)'!T3078="Yes",
    1.35,
    1.00)</f>
        <v/>
      </c>
      <c r="P3078">
        <f>IF('Loan Tape (S&amp;P)'!S3078="Yes",
    1.15,
    1.00)</f>
        <v/>
      </c>
      <c r="Q3078">
        <f>IF('Loan Tape (S&amp;P)'!V3078="Yes",
    1.20,
    1.00)</f>
        <v/>
      </c>
      <c r="T3078">
        <f>LET(
    payment_method,'Loan Tape (S&amp;P)'!P3078,
    occupancy,'Loan Tape (S&amp;P)'!N3078,
    maturity_date,'Loan Tape (S&amp;P)'!L3078,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79">
      <c r="J3079">
        <f>LET(
    lien,'Loan Tape (S&amp;P)'!Q3079,
    IF(lien="First",1.00,
        IF(lien="Second",1.50,
            1.70)))</f>
        <v/>
      </c>
      <c r="K3079">
        <f>LET(
    purpose,'Loan Tape (S&amp;P)'!R3079,
    IF(purpose="Purchase",1.00,
        IF(purpose="Remortgage",1.00,
            1.20)))</f>
        <v/>
      </c>
      <c r="L3079">
        <f>LET(
    arrears_months,'Loan Tape (S&amp;P)'!AN3079,
    IF(arrears_months=0,1.00,
    IF(arrears_months=1,3.00,
    IF(arrears_months=2,5.00,
    IF(arrears_months=3,8.00,
    IF(arrears_months=4,10.00,
    IF(arrears_months=5,12.00,15.00)))))))</f>
        <v/>
      </c>
      <c r="M3079">
        <f>LET(
    seasoning_years,DATEDIF('Loan Tape (S&amp;P)'!K3079,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79">
        <f>IF(AND('Loan Tape (S&amp;P)'!U3079="Yes",
        'Loan Tape (S&amp;P)'!T3079&lt;&gt;"Yes",
        DATEDIF('Loan Tape (S&amp;P)'!K3079, TODAY(), "M")&lt;18),
    1.10,
    1.00)</f>
        <v/>
      </c>
      <c r="O3079">
        <f>IF('Loan Tape (S&amp;P)'!T3079="Yes",
    1.35,
    1.00)</f>
        <v/>
      </c>
      <c r="P3079">
        <f>IF('Loan Tape (S&amp;P)'!S3079="Yes",
    1.15,
    1.00)</f>
        <v/>
      </c>
      <c r="Q3079">
        <f>IF('Loan Tape (S&amp;P)'!V3079="Yes",
    1.20,
    1.00)</f>
        <v/>
      </c>
      <c r="T3079">
        <f>LET(
    payment_method,'Loan Tape (S&amp;P)'!P3079,
    occupancy,'Loan Tape (S&amp;P)'!N3079,
    maturity_date,'Loan Tape (S&amp;P)'!L3079,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80">
      <c r="J3080">
        <f>LET(
    lien,'Loan Tape (S&amp;P)'!Q3080,
    IF(lien="First",1.00,
        IF(lien="Second",1.50,
            1.70)))</f>
        <v/>
      </c>
      <c r="K3080">
        <f>LET(
    purpose,'Loan Tape (S&amp;P)'!R3080,
    IF(purpose="Purchase",1.00,
        IF(purpose="Remortgage",1.00,
            1.20)))</f>
        <v/>
      </c>
      <c r="L3080">
        <f>LET(
    arrears_months,'Loan Tape (S&amp;P)'!AN3080,
    IF(arrears_months=0,1.00,
    IF(arrears_months=1,3.00,
    IF(arrears_months=2,5.00,
    IF(arrears_months=3,8.00,
    IF(arrears_months=4,10.00,
    IF(arrears_months=5,12.00,15.00)))))))</f>
        <v/>
      </c>
      <c r="M3080">
        <f>LET(
    seasoning_years,DATEDIF('Loan Tape (S&amp;P)'!K3080,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80">
        <f>IF(AND('Loan Tape (S&amp;P)'!U3080="Yes",
        'Loan Tape (S&amp;P)'!T3080&lt;&gt;"Yes",
        DATEDIF('Loan Tape (S&amp;P)'!K3080, TODAY(), "M")&lt;18),
    1.10,
    1.00)</f>
        <v/>
      </c>
      <c r="O3080">
        <f>IF('Loan Tape (S&amp;P)'!T3080="Yes",
    1.35,
    1.00)</f>
        <v/>
      </c>
      <c r="P3080">
        <f>IF('Loan Tape (S&amp;P)'!S3080="Yes",
    1.15,
    1.00)</f>
        <v/>
      </c>
      <c r="Q3080">
        <f>IF('Loan Tape (S&amp;P)'!V3080="Yes",
    1.20,
    1.00)</f>
        <v/>
      </c>
      <c r="T3080">
        <f>LET(
    payment_method,'Loan Tape (S&amp;P)'!P3080,
    occupancy,'Loan Tape (S&amp;P)'!N3080,
    maturity_date,'Loan Tape (S&amp;P)'!L3080,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81">
      <c r="J3081">
        <f>LET(
    lien,'Loan Tape (S&amp;P)'!Q3081,
    IF(lien="First",1.00,
        IF(lien="Second",1.50,
            1.70)))</f>
        <v/>
      </c>
      <c r="K3081">
        <f>LET(
    purpose,'Loan Tape (S&amp;P)'!R3081,
    IF(purpose="Purchase",1.00,
        IF(purpose="Remortgage",1.00,
            1.20)))</f>
        <v/>
      </c>
      <c r="L3081">
        <f>LET(
    arrears_months,'Loan Tape (S&amp;P)'!AN3081,
    IF(arrears_months=0,1.00,
    IF(arrears_months=1,3.00,
    IF(arrears_months=2,5.00,
    IF(arrears_months=3,8.00,
    IF(arrears_months=4,10.00,
    IF(arrears_months=5,12.00,15.00)))))))</f>
        <v/>
      </c>
      <c r="M3081">
        <f>LET(
    seasoning_years,DATEDIF('Loan Tape (S&amp;P)'!K3081,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81">
        <f>IF(AND('Loan Tape (S&amp;P)'!U3081="Yes",
        'Loan Tape (S&amp;P)'!T3081&lt;&gt;"Yes",
        DATEDIF('Loan Tape (S&amp;P)'!K3081, TODAY(), "M")&lt;18),
    1.10,
    1.00)</f>
        <v/>
      </c>
      <c r="O3081">
        <f>IF('Loan Tape (S&amp;P)'!T3081="Yes",
    1.35,
    1.00)</f>
        <v/>
      </c>
      <c r="P3081">
        <f>IF('Loan Tape (S&amp;P)'!S3081="Yes",
    1.15,
    1.00)</f>
        <v/>
      </c>
      <c r="Q3081">
        <f>IF('Loan Tape (S&amp;P)'!V3081="Yes",
    1.20,
    1.00)</f>
        <v/>
      </c>
      <c r="T3081">
        <f>LET(
    payment_method,'Loan Tape (S&amp;P)'!P3081,
    occupancy,'Loan Tape (S&amp;P)'!N3081,
    maturity_date,'Loan Tape (S&amp;P)'!L3081,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82">
      <c r="J3082">
        <f>LET(
    lien,'Loan Tape (S&amp;P)'!Q3082,
    IF(lien="First",1.00,
        IF(lien="Second",1.50,
            1.70)))</f>
        <v/>
      </c>
      <c r="K3082">
        <f>LET(
    purpose,'Loan Tape (S&amp;P)'!R3082,
    IF(purpose="Purchase",1.00,
        IF(purpose="Remortgage",1.00,
            1.20)))</f>
        <v/>
      </c>
      <c r="L3082">
        <f>LET(
    arrears_months,'Loan Tape (S&amp;P)'!AN3082,
    IF(arrears_months=0,1.00,
    IF(arrears_months=1,3.00,
    IF(arrears_months=2,5.00,
    IF(arrears_months=3,8.00,
    IF(arrears_months=4,10.00,
    IF(arrears_months=5,12.00,15.00)))))))</f>
        <v/>
      </c>
      <c r="M3082">
        <f>LET(
    seasoning_years,DATEDIF('Loan Tape (S&amp;P)'!K3082,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82">
        <f>IF(AND('Loan Tape (S&amp;P)'!U3082="Yes",
        'Loan Tape (S&amp;P)'!T3082&lt;&gt;"Yes",
        DATEDIF('Loan Tape (S&amp;P)'!K3082, TODAY(), "M")&lt;18),
    1.10,
    1.00)</f>
        <v/>
      </c>
      <c r="O3082">
        <f>IF('Loan Tape (S&amp;P)'!T3082="Yes",
    1.35,
    1.00)</f>
        <v/>
      </c>
      <c r="P3082">
        <f>IF('Loan Tape (S&amp;P)'!S3082="Yes",
    1.15,
    1.00)</f>
        <v/>
      </c>
      <c r="Q3082">
        <f>IF('Loan Tape (S&amp;P)'!V3082="Yes",
    1.20,
    1.00)</f>
        <v/>
      </c>
      <c r="T3082">
        <f>LET(
    payment_method,'Loan Tape (S&amp;P)'!P3082,
    occupancy,'Loan Tape (S&amp;P)'!N3082,
    maturity_date,'Loan Tape (S&amp;P)'!L3082,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83">
      <c r="J3083">
        <f>LET(
    lien,'Loan Tape (S&amp;P)'!Q3083,
    IF(lien="First",1.00,
        IF(lien="Second",1.50,
            1.70)))</f>
        <v/>
      </c>
      <c r="K3083">
        <f>LET(
    purpose,'Loan Tape (S&amp;P)'!R3083,
    IF(purpose="Purchase",1.00,
        IF(purpose="Remortgage",1.00,
            1.20)))</f>
        <v/>
      </c>
      <c r="L3083">
        <f>LET(
    arrears_months,'Loan Tape (S&amp;P)'!AN3083,
    IF(arrears_months=0,1.00,
    IF(arrears_months=1,3.00,
    IF(arrears_months=2,5.00,
    IF(arrears_months=3,8.00,
    IF(arrears_months=4,10.00,
    IF(arrears_months=5,12.00,15.00)))))))</f>
        <v/>
      </c>
      <c r="M3083">
        <f>LET(
    seasoning_years,DATEDIF('Loan Tape (S&amp;P)'!K3083,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83">
        <f>IF(AND('Loan Tape (S&amp;P)'!U3083="Yes",
        'Loan Tape (S&amp;P)'!T3083&lt;&gt;"Yes",
        DATEDIF('Loan Tape (S&amp;P)'!K3083, TODAY(), "M")&lt;18),
    1.10,
    1.00)</f>
        <v/>
      </c>
      <c r="O3083">
        <f>IF('Loan Tape (S&amp;P)'!T3083="Yes",
    1.35,
    1.00)</f>
        <v/>
      </c>
      <c r="P3083">
        <f>IF('Loan Tape (S&amp;P)'!S3083="Yes",
    1.15,
    1.00)</f>
        <v/>
      </c>
      <c r="Q3083">
        <f>IF('Loan Tape (S&amp;P)'!V3083="Yes",
    1.20,
    1.00)</f>
        <v/>
      </c>
      <c r="T3083">
        <f>LET(
    payment_method,'Loan Tape (S&amp;P)'!P3083,
    occupancy,'Loan Tape (S&amp;P)'!N3083,
    maturity_date,'Loan Tape (S&amp;P)'!L3083,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84">
      <c r="J3084">
        <f>LET(
    lien,'Loan Tape (S&amp;P)'!Q3084,
    IF(lien="First",1.00,
        IF(lien="Second",1.50,
            1.70)))</f>
        <v/>
      </c>
      <c r="K3084">
        <f>LET(
    purpose,'Loan Tape (S&amp;P)'!R3084,
    IF(purpose="Purchase",1.00,
        IF(purpose="Remortgage",1.00,
            1.20)))</f>
        <v/>
      </c>
      <c r="L3084">
        <f>LET(
    arrears_months,'Loan Tape (S&amp;P)'!AN3084,
    IF(arrears_months=0,1.00,
    IF(arrears_months=1,3.00,
    IF(arrears_months=2,5.00,
    IF(arrears_months=3,8.00,
    IF(arrears_months=4,10.00,
    IF(arrears_months=5,12.00,15.00)))))))</f>
        <v/>
      </c>
      <c r="M3084">
        <f>LET(
    seasoning_years,DATEDIF('Loan Tape (S&amp;P)'!K3084,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84">
        <f>IF(AND('Loan Tape (S&amp;P)'!U3084="Yes",
        'Loan Tape (S&amp;P)'!T3084&lt;&gt;"Yes",
        DATEDIF('Loan Tape (S&amp;P)'!K3084, TODAY(), "M")&lt;18),
    1.10,
    1.00)</f>
        <v/>
      </c>
      <c r="O3084">
        <f>IF('Loan Tape (S&amp;P)'!T3084="Yes",
    1.35,
    1.00)</f>
        <v/>
      </c>
      <c r="P3084">
        <f>IF('Loan Tape (S&amp;P)'!S3084="Yes",
    1.15,
    1.00)</f>
        <v/>
      </c>
      <c r="Q3084">
        <f>IF('Loan Tape (S&amp;P)'!V3084="Yes",
    1.20,
    1.00)</f>
        <v/>
      </c>
      <c r="T3084">
        <f>LET(
    payment_method,'Loan Tape (S&amp;P)'!P3084,
    occupancy,'Loan Tape (S&amp;P)'!N3084,
    maturity_date,'Loan Tape (S&amp;P)'!L3084,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85">
      <c r="J3085">
        <f>LET(
    lien,'Loan Tape (S&amp;P)'!Q3085,
    IF(lien="First",1.00,
        IF(lien="Second",1.50,
            1.70)))</f>
        <v/>
      </c>
      <c r="K3085">
        <f>LET(
    purpose,'Loan Tape (S&amp;P)'!R3085,
    IF(purpose="Purchase",1.00,
        IF(purpose="Remortgage",1.00,
            1.20)))</f>
        <v/>
      </c>
      <c r="L3085">
        <f>LET(
    arrears_months,'Loan Tape (S&amp;P)'!AN3085,
    IF(arrears_months=0,1.00,
    IF(arrears_months=1,3.00,
    IF(arrears_months=2,5.00,
    IF(arrears_months=3,8.00,
    IF(arrears_months=4,10.00,
    IF(arrears_months=5,12.00,15.00)))))))</f>
        <v/>
      </c>
      <c r="M3085">
        <f>LET(
    seasoning_years,DATEDIF('Loan Tape (S&amp;P)'!K3085,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85">
        <f>IF(AND('Loan Tape (S&amp;P)'!U3085="Yes",
        'Loan Tape (S&amp;P)'!T3085&lt;&gt;"Yes",
        DATEDIF('Loan Tape (S&amp;P)'!K3085, TODAY(), "M")&lt;18),
    1.10,
    1.00)</f>
        <v/>
      </c>
      <c r="O3085">
        <f>IF('Loan Tape (S&amp;P)'!T3085="Yes",
    1.35,
    1.00)</f>
        <v/>
      </c>
      <c r="P3085">
        <f>IF('Loan Tape (S&amp;P)'!S3085="Yes",
    1.15,
    1.00)</f>
        <v/>
      </c>
      <c r="Q3085">
        <f>IF('Loan Tape (S&amp;P)'!V3085="Yes",
    1.20,
    1.00)</f>
        <v/>
      </c>
      <c r="T3085">
        <f>LET(
    payment_method,'Loan Tape (S&amp;P)'!P3085,
    occupancy,'Loan Tape (S&amp;P)'!N3085,
    maturity_date,'Loan Tape (S&amp;P)'!L3085,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86">
      <c r="J3086">
        <f>LET(
    lien,'Loan Tape (S&amp;P)'!Q3086,
    IF(lien="First",1.00,
        IF(lien="Second",1.50,
            1.70)))</f>
        <v/>
      </c>
      <c r="K3086">
        <f>LET(
    purpose,'Loan Tape (S&amp;P)'!R3086,
    IF(purpose="Purchase",1.00,
        IF(purpose="Remortgage",1.00,
            1.20)))</f>
        <v/>
      </c>
      <c r="L3086">
        <f>LET(
    arrears_months,'Loan Tape (S&amp;P)'!AN3086,
    IF(arrears_months=0,1.00,
    IF(arrears_months=1,3.00,
    IF(arrears_months=2,5.00,
    IF(arrears_months=3,8.00,
    IF(arrears_months=4,10.00,
    IF(arrears_months=5,12.00,15.00)))))))</f>
        <v/>
      </c>
      <c r="M3086">
        <f>LET(
    seasoning_years,DATEDIF('Loan Tape (S&amp;P)'!K3086,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86">
        <f>IF(AND('Loan Tape (S&amp;P)'!U3086="Yes",
        'Loan Tape (S&amp;P)'!T3086&lt;&gt;"Yes",
        DATEDIF('Loan Tape (S&amp;P)'!K3086, TODAY(), "M")&lt;18),
    1.10,
    1.00)</f>
        <v/>
      </c>
      <c r="O3086">
        <f>IF('Loan Tape (S&amp;P)'!T3086="Yes",
    1.35,
    1.00)</f>
        <v/>
      </c>
      <c r="P3086">
        <f>IF('Loan Tape (S&amp;P)'!S3086="Yes",
    1.15,
    1.00)</f>
        <v/>
      </c>
      <c r="Q3086">
        <f>IF('Loan Tape (S&amp;P)'!V3086="Yes",
    1.20,
    1.00)</f>
        <v/>
      </c>
      <c r="T3086">
        <f>LET(
    payment_method,'Loan Tape (S&amp;P)'!P3086,
    occupancy,'Loan Tape (S&amp;P)'!N3086,
    maturity_date,'Loan Tape (S&amp;P)'!L3086,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87">
      <c r="J3087">
        <f>LET(
    lien,'Loan Tape (S&amp;P)'!Q3087,
    IF(lien="First",1.00,
        IF(lien="Second",1.50,
            1.70)))</f>
        <v/>
      </c>
      <c r="K3087">
        <f>LET(
    purpose,'Loan Tape (S&amp;P)'!R3087,
    IF(purpose="Purchase",1.00,
        IF(purpose="Remortgage",1.00,
            1.20)))</f>
        <v/>
      </c>
      <c r="L3087">
        <f>LET(
    arrears_months,'Loan Tape (S&amp;P)'!AN3087,
    IF(arrears_months=0,1.00,
    IF(arrears_months=1,3.00,
    IF(arrears_months=2,5.00,
    IF(arrears_months=3,8.00,
    IF(arrears_months=4,10.00,
    IF(arrears_months=5,12.00,15.00)))))))</f>
        <v/>
      </c>
      <c r="M3087">
        <f>LET(
    seasoning_years,DATEDIF('Loan Tape (S&amp;P)'!K3087,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87">
        <f>IF(AND('Loan Tape (S&amp;P)'!U3087="Yes",
        'Loan Tape (S&amp;P)'!T3087&lt;&gt;"Yes",
        DATEDIF('Loan Tape (S&amp;P)'!K3087, TODAY(), "M")&lt;18),
    1.10,
    1.00)</f>
        <v/>
      </c>
      <c r="O3087">
        <f>IF('Loan Tape (S&amp;P)'!T3087="Yes",
    1.35,
    1.00)</f>
        <v/>
      </c>
      <c r="P3087">
        <f>IF('Loan Tape (S&amp;P)'!S3087="Yes",
    1.15,
    1.00)</f>
        <v/>
      </c>
      <c r="Q3087">
        <f>IF('Loan Tape (S&amp;P)'!V3087="Yes",
    1.20,
    1.00)</f>
        <v/>
      </c>
      <c r="T3087">
        <f>LET(
    payment_method,'Loan Tape (S&amp;P)'!P3087,
    occupancy,'Loan Tape (S&amp;P)'!N3087,
    maturity_date,'Loan Tape (S&amp;P)'!L3087,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88">
      <c r="J3088">
        <f>LET(
    lien,'Loan Tape (S&amp;P)'!Q3088,
    IF(lien="First",1.00,
        IF(lien="Second",1.50,
            1.70)))</f>
        <v/>
      </c>
      <c r="K3088">
        <f>LET(
    purpose,'Loan Tape (S&amp;P)'!R3088,
    IF(purpose="Purchase",1.00,
        IF(purpose="Remortgage",1.00,
            1.20)))</f>
        <v/>
      </c>
      <c r="L3088">
        <f>LET(
    arrears_months,'Loan Tape (S&amp;P)'!AN3088,
    IF(arrears_months=0,1.00,
    IF(arrears_months=1,3.00,
    IF(arrears_months=2,5.00,
    IF(arrears_months=3,8.00,
    IF(arrears_months=4,10.00,
    IF(arrears_months=5,12.00,15.00)))))))</f>
        <v/>
      </c>
      <c r="M3088">
        <f>LET(
    seasoning_years,DATEDIF('Loan Tape (S&amp;P)'!K3088,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88">
        <f>IF(AND('Loan Tape (S&amp;P)'!U3088="Yes",
        'Loan Tape (S&amp;P)'!T3088&lt;&gt;"Yes",
        DATEDIF('Loan Tape (S&amp;P)'!K3088, TODAY(), "M")&lt;18),
    1.10,
    1.00)</f>
        <v/>
      </c>
      <c r="O3088">
        <f>IF('Loan Tape (S&amp;P)'!T3088="Yes",
    1.35,
    1.00)</f>
        <v/>
      </c>
      <c r="P3088">
        <f>IF('Loan Tape (S&amp;P)'!S3088="Yes",
    1.15,
    1.00)</f>
        <v/>
      </c>
      <c r="Q3088">
        <f>IF('Loan Tape (S&amp;P)'!V3088="Yes",
    1.20,
    1.00)</f>
        <v/>
      </c>
      <c r="T3088">
        <f>LET(
    payment_method,'Loan Tape (S&amp;P)'!P3088,
    occupancy,'Loan Tape (S&amp;P)'!N3088,
    maturity_date,'Loan Tape (S&amp;P)'!L3088,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89">
      <c r="J3089">
        <f>LET(
    lien,'Loan Tape (S&amp;P)'!Q3089,
    IF(lien="First",1.00,
        IF(lien="Second",1.50,
            1.70)))</f>
        <v/>
      </c>
      <c r="K3089">
        <f>LET(
    purpose,'Loan Tape (S&amp;P)'!R3089,
    IF(purpose="Purchase",1.00,
        IF(purpose="Remortgage",1.00,
            1.20)))</f>
        <v/>
      </c>
      <c r="L3089">
        <f>LET(
    arrears_months,'Loan Tape (S&amp;P)'!AN3089,
    IF(arrears_months=0,1.00,
    IF(arrears_months=1,3.00,
    IF(arrears_months=2,5.00,
    IF(arrears_months=3,8.00,
    IF(arrears_months=4,10.00,
    IF(arrears_months=5,12.00,15.00)))))))</f>
        <v/>
      </c>
      <c r="M3089">
        <f>LET(
    seasoning_years,DATEDIF('Loan Tape (S&amp;P)'!K3089,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89">
        <f>IF(AND('Loan Tape (S&amp;P)'!U3089="Yes",
        'Loan Tape (S&amp;P)'!T3089&lt;&gt;"Yes",
        DATEDIF('Loan Tape (S&amp;P)'!K3089, TODAY(), "M")&lt;18),
    1.10,
    1.00)</f>
        <v/>
      </c>
      <c r="O3089">
        <f>IF('Loan Tape (S&amp;P)'!T3089="Yes",
    1.35,
    1.00)</f>
        <v/>
      </c>
      <c r="P3089">
        <f>IF('Loan Tape (S&amp;P)'!S3089="Yes",
    1.15,
    1.00)</f>
        <v/>
      </c>
      <c r="Q3089">
        <f>IF('Loan Tape (S&amp;P)'!V3089="Yes",
    1.20,
    1.00)</f>
        <v/>
      </c>
      <c r="T3089">
        <f>LET(
    payment_method,'Loan Tape (S&amp;P)'!P3089,
    occupancy,'Loan Tape (S&amp;P)'!N3089,
    maturity_date,'Loan Tape (S&amp;P)'!L3089,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90">
      <c r="J3090">
        <f>LET(
    lien,'Loan Tape (S&amp;P)'!Q3090,
    IF(lien="First",1.00,
        IF(lien="Second",1.50,
            1.70)))</f>
        <v/>
      </c>
      <c r="K3090">
        <f>LET(
    purpose,'Loan Tape (S&amp;P)'!R3090,
    IF(purpose="Purchase",1.00,
        IF(purpose="Remortgage",1.00,
            1.20)))</f>
        <v/>
      </c>
      <c r="L3090">
        <f>LET(
    arrears_months,'Loan Tape (S&amp;P)'!AN3090,
    IF(arrears_months=0,1.00,
    IF(arrears_months=1,3.00,
    IF(arrears_months=2,5.00,
    IF(arrears_months=3,8.00,
    IF(arrears_months=4,10.00,
    IF(arrears_months=5,12.00,15.00)))))))</f>
        <v/>
      </c>
      <c r="M3090">
        <f>LET(
    seasoning_years,DATEDIF('Loan Tape (S&amp;P)'!K3090,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90">
        <f>IF(AND('Loan Tape (S&amp;P)'!U3090="Yes",
        'Loan Tape (S&amp;P)'!T3090&lt;&gt;"Yes",
        DATEDIF('Loan Tape (S&amp;P)'!K3090, TODAY(), "M")&lt;18),
    1.10,
    1.00)</f>
        <v/>
      </c>
      <c r="O3090">
        <f>IF('Loan Tape (S&amp;P)'!T3090="Yes",
    1.35,
    1.00)</f>
        <v/>
      </c>
      <c r="P3090">
        <f>IF('Loan Tape (S&amp;P)'!S3090="Yes",
    1.15,
    1.00)</f>
        <v/>
      </c>
      <c r="Q3090">
        <f>IF('Loan Tape (S&amp;P)'!V3090="Yes",
    1.20,
    1.00)</f>
        <v/>
      </c>
      <c r="T3090">
        <f>LET(
    payment_method,'Loan Tape (S&amp;P)'!P3090,
    occupancy,'Loan Tape (S&amp;P)'!N3090,
    maturity_date,'Loan Tape (S&amp;P)'!L3090,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91">
      <c r="J3091">
        <f>LET(
    lien,'Loan Tape (S&amp;P)'!Q3091,
    IF(lien="First",1.00,
        IF(lien="Second",1.50,
            1.70)))</f>
        <v/>
      </c>
      <c r="K3091">
        <f>LET(
    purpose,'Loan Tape (S&amp;P)'!R3091,
    IF(purpose="Purchase",1.00,
        IF(purpose="Remortgage",1.00,
            1.20)))</f>
        <v/>
      </c>
      <c r="L3091">
        <f>LET(
    arrears_months,'Loan Tape (S&amp;P)'!AN3091,
    IF(arrears_months=0,1.00,
    IF(arrears_months=1,3.00,
    IF(arrears_months=2,5.00,
    IF(arrears_months=3,8.00,
    IF(arrears_months=4,10.00,
    IF(arrears_months=5,12.00,15.00)))))))</f>
        <v/>
      </c>
      <c r="M3091">
        <f>LET(
    seasoning_years,DATEDIF('Loan Tape (S&amp;P)'!K3091,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91">
        <f>IF(AND('Loan Tape (S&amp;P)'!U3091="Yes",
        'Loan Tape (S&amp;P)'!T3091&lt;&gt;"Yes",
        DATEDIF('Loan Tape (S&amp;P)'!K3091, TODAY(), "M")&lt;18),
    1.10,
    1.00)</f>
        <v/>
      </c>
      <c r="O3091">
        <f>IF('Loan Tape (S&amp;P)'!T3091="Yes",
    1.35,
    1.00)</f>
        <v/>
      </c>
      <c r="P3091">
        <f>IF('Loan Tape (S&amp;P)'!S3091="Yes",
    1.15,
    1.00)</f>
        <v/>
      </c>
      <c r="Q3091">
        <f>IF('Loan Tape (S&amp;P)'!V3091="Yes",
    1.20,
    1.00)</f>
        <v/>
      </c>
      <c r="T3091">
        <f>LET(
    payment_method,'Loan Tape (S&amp;P)'!P3091,
    occupancy,'Loan Tape (S&amp;P)'!N3091,
    maturity_date,'Loan Tape (S&amp;P)'!L3091,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92">
      <c r="J3092">
        <f>LET(
    lien,'Loan Tape (S&amp;P)'!Q3092,
    IF(lien="First",1.00,
        IF(lien="Second",1.50,
            1.70)))</f>
        <v/>
      </c>
      <c r="K3092">
        <f>LET(
    purpose,'Loan Tape (S&amp;P)'!R3092,
    IF(purpose="Purchase",1.00,
        IF(purpose="Remortgage",1.00,
            1.20)))</f>
        <v/>
      </c>
      <c r="L3092">
        <f>LET(
    arrears_months,'Loan Tape (S&amp;P)'!AN3092,
    IF(arrears_months=0,1.00,
    IF(arrears_months=1,3.00,
    IF(arrears_months=2,5.00,
    IF(arrears_months=3,8.00,
    IF(arrears_months=4,10.00,
    IF(arrears_months=5,12.00,15.00)))))))</f>
        <v/>
      </c>
      <c r="M3092">
        <f>LET(
    seasoning_years,DATEDIF('Loan Tape (S&amp;P)'!K3092,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92">
        <f>IF(AND('Loan Tape (S&amp;P)'!U3092="Yes",
        'Loan Tape (S&amp;P)'!T3092&lt;&gt;"Yes",
        DATEDIF('Loan Tape (S&amp;P)'!K3092, TODAY(), "M")&lt;18),
    1.10,
    1.00)</f>
        <v/>
      </c>
      <c r="O3092">
        <f>IF('Loan Tape (S&amp;P)'!T3092="Yes",
    1.35,
    1.00)</f>
        <v/>
      </c>
      <c r="P3092">
        <f>IF('Loan Tape (S&amp;P)'!S3092="Yes",
    1.15,
    1.00)</f>
        <v/>
      </c>
      <c r="Q3092">
        <f>IF('Loan Tape (S&amp;P)'!V3092="Yes",
    1.20,
    1.00)</f>
        <v/>
      </c>
      <c r="T3092">
        <f>LET(
    payment_method,'Loan Tape (S&amp;P)'!P3092,
    occupancy,'Loan Tape (S&amp;P)'!N3092,
    maturity_date,'Loan Tape (S&amp;P)'!L3092,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93">
      <c r="J3093">
        <f>LET(
    lien,'Loan Tape (S&amp;P)'!Q3093,
    IF(lien="First",1.00,
        IF(lien="Second",1.50,
            1.70)))</f>
        <v/>
      </c>
      <c r="K3093">
        <f>LET(
    purpose,'Loan Tape (S&amp;P)'!R3093,
    IF(purpose="Purchase",1.00,
        IF(purpose="Remortgage",1.00,
            1.20)))</f>
        <v/>
      </c>
      <c r="L3093">
        <f>LET(
    arrears_months,'Loan Tape (S&amp;P)'!AN3093,
    IF(arrears_months=0,1.00,
    IF(arrears_months=1,3.00,
    IF(arrears_months=2,5.00,
    IF(arrears_months=3,8.00,
    IF(arrears_months=4,10.00,
    IF(arrears_months=5,12.00,15.00)))))))</f>
        <v/>
      </c>
      <c r="M3093">
        <f>LET(
    seasoning_years,DATEDIF('Loan Tape (S&amp;P)'!K3093,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93">
        <f>IF(AND('Loan Tape (S&amp;P)'!U3093="Yes",
        'Loan Tape (S&amp;P)'!T3093&lt;&gt;"Yes",
        DATEDIF('Loan Tape (S&amp;P)'!K3093, TODAY(), "M")&lt;18),
    1.10,
    1.00)</f>
        <v/>
      </c>
      <c r="O3093">
        <f>IF('Loan Tape (S&amp;P)'!T3093="Yes",
    1.35,
    1.00)</f>
        <v/>
      </c>
      <c r="P3093">
        <f>IF('Loan Tape (S&amp;P)'!S3093="Yes",
    1.15,
    1.00)</f>
        <v/>
      </c>
      <c r="Q3093">
        <f>IF('Loan Tape (S&amp;P)'!V3093="Yes",
    1.20,
    1.00)</f>
        <v/>
      </c>
      <c r="T3093">
        <f>LET(
    payment_method,'Loan Tape (S&amp;P)'!P3093,
    occupancy,'Loan Tape (S&amp;P)'!N3093,
    maturity_date,'Loan Tape (S&amp;P)'!L3093,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94">
      <c r="J3094">
        <f>LET(
    lien,'Loan Tape (S&amp;P)'!Q3094,
    IF(lien="First",1.00,
        IF(lien="Second",1.50,
            1.70)))</f>
        <v/>
      </c>
      <c r="K3094">
        <f>LET(
    purpose,'Loan Tape (S&amp;P)'!R3094,
    IF(purpose="Purchase",1.00,
        IF(purpose="Remortgage",1.00,
            1.20)))</f>
        <v/>
      </c>
      <c r="L3094">
        <f>LET(
    arrears_months,'Loan Tape (S&amp;P)'!AN3094,
    IF(arrears_months=0,1.00,
    IF(arrears_months=1,3.00,
    IF(arrears_months=2,5.00,
    IF(arrears_months=3,8.00,
    IF(arrears_months=4,10.00,
    IF(arrears_months=5,12.00,15.00)))))))</f>
        <v/>
      </c>
      <c r="M3094">
        <f>LET(
    seasoning_years,DATEDIF('Loan Tape (S&amp;P)'!K3094,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94">
        <f>IF(AND('Loan Tape (S&amp;P)'!U3094="Yes",
        'Loan Tape (S&amp;P)'!T3094&lt;&gt;"Yes",
        DATEDIF('Loan Tape (S&amp;P)'!K3094, TODAY(), "M")&lt;18),
    1.10,
    1.00)</f>
        <v/>
      </c>
      <c r="O3094">
        <f>IF('Loan Tape (S&amp;P)'!T3094="Yes",
    1.35,
    1.00)</f>
        <v/>
      </c>
      <c r="P3094">
        <f>IF('Loan Tape (S&amp;P)'!S3094="Yes",
    1.15,
    1.00)</f>
        <v/>
      </c>
      <c r="Q3094">
        <f>IF('Loan Tape (S&amp;P)'!V3094="Yes",
    1.20,
    1.00)</f>
        <v/>
      </c>
      <c r="T3094">
        <f>LET(
    payment_method,'Loan Tape (S&amp;P)'!P3094,
    occupancy,'Loan Tape (S&amp;P)'!N3094,
    maturity_date,'Loan Tape (S&amp;P)'!L3094,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95">
      <c r="J3095">
        <f>LET(
    lien,'Loan Tape (S&amp;P)'!Q3095,
    IF(lien="First",1.00,
        IF(lien="Second",1.50,
            1.70)))</f>
        <v/>
      </c>
      <c r="K3095">
        <f>LET(
    purpose,'Loan Tape (S&amp;P)'!R3095,
    IF(purpose="Purchase",1.00,
        IF(purpose="Remortgage",1.00,
            1.20)))</f>
        <v/>
      </c>
      <c r="L3095">
        <f>LET(
    arrears_months,'Loan Tape (S&amp;P)'!AN3095,
    IF(arrears_months=0,1.00,
    IF(arrears_months=1,3.00,
    IF(arrears_months=2,5.00,
    IF(arrears_months=3,8.00,
    IF(arrears_months=4,10.00,
    IF(arrears_months=5,12.00,15.00)))))))</f>
        <v/>
      </c>
      <c r="M3095">
        <f>LET(
    seasoning_years,DATEDIF('Loan Tape (S&amp;P)'!K3095,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95">
        <f>IF(AND('Loan Tape (S&amp;P)'!U3095="Yes",
        'Loan Tape (S&amp;P)'!T3095&lt;&gt;"Yes",
        DATEDIF('Loan Tape (S&amp;P)'!K3095, TODAY(), "M")&lt;18),
    1.10,
    1.00)</f>
        <v/>
      </c>
      <c r="O3095">
        <f>IF('Loan Tape (S&amp;P)'!T3095="Yes",
    1.35,
    1.00)</f>
        <v/>
      </c>
      <c r="P3095">
        <f>IF('Loan Tape (S&amp;P)'!S3095="Yes",
    1.15,
    1.00)</f>
        <v/>
      </c>
      <c r="Q3095">
        <f>IF('Loan Tape (S&amp;P)'!V3095="Yes",
    1.20,
    1.00)</f>
        <v/>
      </c>
      <c r="T3095">
        <f>LET(
    payment_method,'Loan Tape (S&amp;P)'!P3095,
    occupancy,'Loan Tape (S&amp;P)'!N3095,
    maturity_date,'Loan Tape (S&amp;P)'!L3095,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96">
      <c r="J3096">
        <f>LET(
    lien,'Loan Tape (S&amp;P)'!Q3096,
    IF(lien="First",1.00,
        IF(lien="Second",1.50,
            1.70)))</f>
        <v/>
      </c>
      <c r="K3096">
        <f>LET(
    purpose,'Loan Tape (S&amp;P)'!R3096,
    IF(purpose="Purchase",1.00,
        IF(purpose="Remortgage",1.00,
            1.20)))</f>
        <v/>
      </c>
      <c r="L3096">
        <f>LET(
    arrears_months,'Loan Tape (S&amp;P)'!AN3096,
    IF(arrears_months=0,1.00,
    IF(arrears_months=1,3.00,
    IF(arrears_months=2,5.00,
    IF(arrears_months=3,8.00,
    IF(arrears_months=4,10.00,
    IF(arrears_months=5,12.00,15.00)))))))</f>
        <v/>
      </c>
      <c r="M3096">
        <f>LET(
    seasoning_years,DATEDIF('Loan Tape (S&amp;P)'!K3096,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96">
        <f>IF(AND('Loan Tape (S&amp;P)'!U3096="Yes",
        'Loan Tape (S&amp;P)'!T3096&lt;&gt;"Yes",
        DATEDIF('Loan Tape (S&amp;P)'!K3096, TODAY(), "M")&lt;18),
    1.10,
    1.00)</f>
        <v/>
      </c>
      <c r="O3096">
        <f>IF('Loan Tape (S&amp;P)'!T3096="Yes",
    1.35,
    1.00)</f>
        <v/>
      </c>
      <c r="P3096">
        <f>IF('Loan Tape (S&amp;P)'!S3096="Yes",
    1.15,
    1.00)</f>
        <v/>
      </c>
      <c r="Q3096">
        <f>IF('Loan Tape (S&amp;P)'!V3096="Yes",
    1.20,
    1.00)</f>
        <v/>
      </c>
      <c r="T3096">
        <f>LET(
    payment_method,'Loan Tape (S&amp;P)'!P3096,
    occupancy,'Loan Tape (S&amp;P)'!N3096,
    maturity_date,'Loan Tape (S&amp;P)'!L3096,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97">
      <c r="J3097">
        <f>LET(
    lien,'Loan Tape (S&amp;P)'!Q3097,
    IF(lien="First",1.00,
        IF(lien="Second",1.50,
            1.70)))</f>
        <v/>
      </c>
      <c r="K3097">
        <f>LET(
    purpose,'Loan Tape (S&amp;P)'!R3097,
    IF(purpose="Purchase",1.00,
        IF(purpose="Remortgage",1.00,
            1.20)))</f>
        <v/>
      </c>
      <c r="L3097">
        <f>LET(
    arrears_months,'Loan Tape (S&amp;P)'!AN3097,
    IF(arrears_months=0,1.00,
    IF(arrears_months=1,3.00,
    IF(arrears_months=2,5.00,
    IF(arrears_months=3,8.00,
    IF(arrears_months=4,10.00,
    IF(arrears_months=5,12.00,15.00)))))))</f>
        <v/>
      </c>
      <c r="M3097">
        <f>LET(
    seasoning_years,DATEDIF('Loan Tape (S&amp;P)'!K3097,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97">
        <f>IF(AND('Loan Tape (S&amp;P)'!U3097="Yes",
        'Loan Tape (S&amp;P)'!T3097&lt;&gt;"Yes",
        DATEDIF('Loan Tape (S&amp;P)'!K3097, TODAY(), "M")&lt;18),
    1.10,
    1.00)</f>
        <v/>
      </c>
      <c r="O3097">
        <f>IF('Loan Tape (S&amp;P)'!T3097="Yes",
    1.35,
    1.00)</f>
        <v/>
      </c>
      <c r="P3097">
        <f>IF('Loan Tape (S&amp;P)'!S3097="Yes",
    1.15,
    1.00)</f>
        <v/>
      </c>
      <c r="Q3097">
        <f>IF('Loan Tape (S&amp;P)'!V3097="Yes",
    1.20,
    1.00)</f>
        <v/>
      </c>
      <c r="T3097">
        <f>LET(
    payment_method,'Loan Tape (S&amp;P)'!P3097,
    occupancy,'Loan Tape (S&amp;P)'!N3097,
    maturity_date,'Loan Tape (S&amp;P)'!L3097,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98">
      <c r="J3098">
        <f>LET(
    lien,'Loan Tape (S&amp;P)'!Q3098,
    IF(lien="First",1.00,
        IF(lien="Second",1.50,
            1.70)))</f>
        <v/>
      </c>
      <c r="K3098">
        <f>LET(
    purpose,'Loan Tape (S&amp;P)'!R3098,
    IF(purpose="Purchase",1.00,
        IF(purpose="Remortgage",1.00,
            1.20)))</f>
        <v/>
      </c>
      <c r="L3098">
        <f>LET(
    arrears_months,'Loan Tape (S&amp;P)'!AN3098,
    IF(arrears_months=0,1.00,
    IF(arrears_months=1,3.00,
    IF(arrears_months=2,5.00,
    IF(arrears_months=3,8.00,
    IF(arrears_months=4,10.00,
    IF(arrears_months=5,12.00,15.00)))))))</f>
        <v/>
      </c>
      <c r="M3098">
        <f>LET(
    seasoning_years,DATEDIF('Loan Tape (S&amp;P)'!K3098,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98">
        <f>IF(AND('Loan Tape (S&amp;P)'!U3098="Yes",
        'Loan Tape (S&amp;P)'!T3098&lt;&gt;"Yes",
        DATEDIF('Loan Tape (S&amp;P)'!K3098, TODAY(), "M")&lt;18),
    1.10,
    1.00)</f>
        <v/>
      </c>
      <c r="O3098">
        <f>IF('Loan Tape (S&amp;P)'!T3098="Yes",
    1.35,
    1.00)</f>
        <v/>
      </c>
      <c r="P3098">
        <f>IF('Loan Tape (S&amp;P)'!S3098="Yes",
    1.15,
    1.00)</f>
        <v/>
      </c>
      <c r="Q3098">
        <f>IF('Loan Tape (S&amp;P)'!V3098="Yes",
    1.20,
    1.00)</f>
        <v/>
      </c>
      <c r="T3098">
        <f>LET(
    payment_method,'Loan Tape (S&amp;P)'!P3098,
    occupancy,'Loan Tape (S&amp;P)'!N3098,
    maturity_date,'Loan Tape (S&amp;P)'!L3098,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099">
      <c r="J3099">
        <f>LET(
    lien,'Loan Tape (S&amp;P)'!Q3099,
    IF(lien="First",1.00,
        IF(lien="Second",1.50,
            1.70)))</f>
        <v/>
      </c>
      <c r="K3099">
        <f>LET(
    purpose,'Loan Tape (S&amp;P)'!R3099,
    IF(purpose="Purchase",1.00,
        IF(purpose="Remortgage",1.00,
            1.20)))</f>
        <v/>
      </c>
      <c r="L3099">
        <f>LET(
    arrears_months,'Loan Tape (S&amp;P)'!AN3099,
    IF(arrears_months=0,1.00,
    IF(arrears_months=1,3.00,
    IF(arrears_months=2,5.00,
    IF(arrears_months=3,8.00,
    IF(arrears_months=4,10.00,
    IF(arrears_months=5,12.00,15.00)))))))</f>
        <v/>
      </c>
      <c r="M3099">
        <f>LET(
    seasoning_years,DATEDIF('Loan Tape (S&amp;P)'!K3099,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099">
        <f>IF(AND('Loan Tape (S&amp;P)'!U3099="Yes",
        'Loan Tape (S&amp;P)'!T3099&lt;&gt;"Yes",
        DATEDIF('Loan Tape (S&amp;P)'!K3099, TODAY(), "M")&lt;18),
    1.10,
    1.00)</f>
        <v/>
      </c>
      <c r="O3099">
        <f>IF('Loan Tape (S&amp;P)'!T3099="Yes",
    1.35,
    1.00)</f>
        <v/>
      </c>
      <c r="P3099">
        <f>IF('Loan Tape (S&amp;P)'!S3099="Yes",
    1.15,
    1.00)</f>
        <v/>
      </c>
      <c r="Q3099">
        <f>IF('Loan Tape (S&amp;P)'!V3099="Yes",
    1.20,
    1.00)</f>
        <v/>
      </c>
      <c r="T3099">
        <f>LET(
    payment_method,'Loan Tape (S&amp;P)'!P3099,
    occupancy,'Loan Tape (S&amp;P)'!N3099,
    maturity_date,'Loan Tape (S&amp;P)'!L3099,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00">
      <c r="J3100">
        <f>LET(
    lien,'Loan Tape (S&amp;P)'!Q3100,
    IF(lien="First",1.00,
        IF(lien="Second",1.50,
            1.70)))</f>
        <v/>
      </c>
      <c r="K3100">
        <f>LET(
    purpose,'Loan Tape (S&amp;P)'!R3100,
    IF(purpose="Purchase",1.00,
        IF(purpose="Remortgage",1.00,
            1.20)))</f>
        <v/>
      </c>
      <c r="L3100">
        <f>LET(
    arrears_months,'Loan Tape (S&amp;P)'!AN3100,
    IF(arrears_months=0,1.00,
    IF(arrears_months=1,3.00,
    IF(arrears_months=2,5.00,
    IF(arrears_months=3,8.00,
    IF(arrears_months=4,10.00,
    IF(arrears_months=5,12.00,15.00)))))))</f>
        <v/>
      </c>
      <c r="M3100">
        <f>LET(
    seasoning_years,DATEDIF('Loan Tape (S&amp;P)'!K3100,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00">
        <f>IF(AND('Loan Tape (S&amp;P)'!U3100="Yes",
        'Loan Tape (S&amp;P)'!T3100&lt;&gt;"Yes",
        DATEDIF('Loan Tape (S&amp;P)'!K3100, TODAY(), "M")&lt;18),
    1.10,
    1.00)</f>
        <v/>
      </c>
      <c r="O3100">
        <f>IF('Loan Tape (S&amp;P)'!T3100="Yes",
    1.35,
    1.00)</f>
        <v/>
      </c>
      <c r="P3100">
        <f>IF('Loan Tape (S&amp;P)'!S3100="Yes",
    1.15,
    1.00)</f>
        <v/>
      </c>
      <c r="Q3100">
        <f>IF('Loan Tape (S&amp;P)'!V3100="Yes",
    1.20,
    1.00)</f>
        <v/>
      </c>
      <c r="T3100">
        <f>LET(
    payment_method,'Loan Tape (S&amp;P)'!P3100,
    occupancy,'Loan Tape (S&amp;P)'!N3100,
    maturity_date,'Loan Tape (S&amp;P)'!L3100,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01">
      <c r="J3101">
        <f>LET(
    lien,'Loan Tape (S&amp;P)'!Q3101,
    IF(lien="First",1.00,
        IF(lien="Second",1.50,
            1.70)))</f>
        <v/>
      </c>
      <c r="K3101">
        <f>LET(
    purpose,'Loan Tape (S&amp;P)'!R3101,
    IF(purpose="Purchase",1.00,
        IF(purpose="Remortgage",1.00,
            1.20)))</f>
        <v/>
      </c>
      <c r="L3101">
        <f>LET(
    arrears_months,'Loan Tape (S&amp;P)'!AN3101,
    IF(arrears_months=0,1.00,
    IF(arrears_months=1,3.00,
    IF(arrears_months=2,5.00,
    IF(arrears_months=3,8.00,
    IF(arrears_months=4,10.00,
    IF(arrears_months=5,12.00,15.00)))))))</f>
        <v/>
      </c>
      <c r="M3101">
        <f>LET(
    seasoning_years,DATEDIF('Loan Tape (S&amp;P)'!K3101,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01">
        <f>IF(AND('Loan Tape (S&amp;P)'!U3101="Yes",
        'Loan Tape (S&amp;P)'!T3101&lt;&gt;"Yes",
        DATEDIF('Loan Tape (S&amp;P)'!K3101, TODAY(), "M")&lt;18),
    1.10,
    1.00)</f>
        <v/>
      </c>
      <c r="O3101">
        <f>IF('Loan Tape (S&amp;P)'!T3101="Yes",
    1.35,
    1.00)</f>
        <v/>
      </c>
      <c r="P3101">
        <f>IF('Loan Tape (S&amp;P)'!S3101="Yes",
    1.15,
    1.00)</f>
        <v/>
      </c>
      <c r="Q3101">
        <f>IF('Loan Tape (S&amp;P)'!V3101="Yes",
    1.20,
    1.00)</f>
        <v/>
      </c>
      <c r="T3101">
        <f>LET(
    payment_method,'Loan Tape (S&amp;P)'!P3101,
    occupancy,'Loan Tape (S&amp;P)'!N3101,
    maturity_date,'Loan Tape (S&amp;P)'!L3101,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02">
      <c r="J3102">
        <f>LET(
    lien,'Loan Tape (S&amp;P)'!Q3102,
    IF(lien="First",1.00,
        IF(lien="Second",1.50,
            1.70)))</f>
        <v/>
      </c>
      <c r="K3102">
        <f>LET(
    purpose,'Loan Tape (S&amp;P)'!R3102,
    IF(purpose="Purchase",1.00,
        IF(purpose="Remortgage",1.00,
            1.20)))</f>
        <v/>
      </c>
      <c r="L3102">
        <f>LET(
    arrears_months,'Loan Tape (S&amp;P)'!AN3102,
    IF(arrears_months=0,1.00,
    IF(arrears_months=1,3.00,
    IF(arrears_months=2,5.00,
    IF(arrears_months=3,8.00,
    IF(arrears_months=4,10.00,
    IF(arrears_months=5,12.00,15.00)))))))</f>
        <v/>
      </c>
      <c r="M3102">
        <f>LET(
    seasoning_years,DATEDIF('Loan Tape (S&amp;P)'!K3102,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02">
        <f>IF(AND('Loan Tape (S&amp;P)'!U3102="Yes",
        'Loan Tape (S&amp;P)'!T3102&lt;&gt;"Yes",
        DATEDIF('Loan Tape (S&amp;P)'!K3102, TODAY(), "M")&lt;18),
    1.10,
    1.00)</f>
        <v/>
      </c>
      <c r="O3102">
        <f>IF('Loan Tape (S&amp;P)'!T3102="Yes",
    1.35,
    1.00)</f>
        <v/>
      </c>
      <c r="P3102">
        <f>IF('Loan Tape (S&amp;P)'!S3102="Yes",
    1.15,
    1.00)</f>
        <v/>
      </c>
      <c r="Q3102">
        <f>IF('Loan Tape (S&amp;P)'!V3102="Yes",
    1.20,
    1.00)</f>
        <v/>
      </c>
      <c r="T3102">
        <f>LET(
    payment_method,'Loan Tape (S&amp;P)'!P3102,
    occupancy,'Loan Tape (S&amp;P)'!N3102,
    maturity_date,'Loan Tape (S&amp;P)'!L3102,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03">
      <c r="J3103">
        <f>LET(
    lien,'Loan Tape (S&amp;P)'!Q3103,
    IF(lien="First",1.00,
        IF(lien="Second",1.50,
            1.70)))</f>
        <v/>
      </c>
      <c r="K3103">
        <f>LET(
    purpose,'Loan Tape (S&amp;P)'!R3103,
    IF(purpose="Purchase",1.00,
        IF(purpose="Remortgage",1.00,
            1.20)))</f>
        <v/>
      </c>
      <c r="L3103">
        <f>LET(
    arrears_months,'Loan Tape (S&amp;P)'!AN3103,
    IF(arrears_months=0,1.00,
    IF(arrears_months=1,3.00,
    IF(arrears_months=2,5.00,
    IF(arrears_months=3,8.00,
    IF(arrears_months=4,10.00,
    IF(arrears_months=5,12.00,15.00)))))))</f>
        <v/>
      </c>
      <c r="M3103">
        <f>LET(
    seasoning_years,DATEDIF('Loan Tape (S&amp;P)'!K3103,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03">
        <f>IF(AND('Loan Tape (S&amp;P)'!U3103="Yes",
        'Loan Tape (S&amp;P)'!T3103&lt;&gt;"Yes",
        DATEDIF('Loan Tape (S&amp;P)'!K3103, TODAY(), "M")&lt;18),
    1.10,
    1.00)</f>
        <v/>
      </c>
      <c r="O3103">
        <f>IF('Loan Tape (S&amp;P)'!T3103="Yes",
    1.35,
    1.00)</f>
        <v/>
      </c>
      <c r="P3103">
        <f>IF('Loan Tape (S&amp;P)'!S3103="Yes",
    1.15,
    1.00)</f>
        <v/>
      </c>
      <c r="Q3103">
        <f>IF('Loan Tape (S&amp;P)'!V3103="Yes",
    1.20,
    1.00)</f>
        <v/>
      </c>
      <c r="T3103">
        <f>LET(
    payment_method,'Loan Tape (S&amp;P)'!P3103,
    occupancy,'Loan Tape (S&amp;P)'!N3103,
    maturity_date,'Loan Tape (S&amp;P)'!L3103,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04">
      <c r="J3104">
        <f>LET(
    lien,'Loan Tape (S&amp;P)'!Q3104,
    IF(lien="First",1.00,
        IF(lien="Second",1.50,
            1.70)))</f>
        <v/>
      </c>
      <c r="K3104">
        <f>LET(
    purpose,'Loan Tape (S&amp;P)'!R3104,
    IF(purpose="Purchase",1.00,
        IF(purpose="Remortgage",1.00,
            1.20)))</f>
        <v/>
      </c>
      <c r="L3104">
        <f>LET(
    arrears_months,'Loan Tape (S&amp;P)'!AN3104,
    IF(arrears_months=0,1.00,
    IF(arrears_months=1,3.00,
    IF(arrears_months=2,5.00,
    IF(arrears_months=3,8.00,
    IF(arrears_months=4,10.00,
    IF(arrears_months=5,12.00,15.00)))))))</f>
        <v/>
      </c>
      <c r="M3104">
        <f>LET(
    seasoning_years,DATEDIF('Loan Tape (S&amp;P)'!K3104,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04">
        <f>IF(AND('Loan Tape (S&amp;P)'!U3104="Yes",
        'Loan Tape (S&amp;P)'!T3104&lt;&gt;"Yes",
        DATEDIF('Loan Tape (S&amp;P)'!K3104, TODAY(), "M")&lt;18),
    1.10,
    1.00)</f>
        <v/>
      </c>
      <c r="O3104">
        <f>IF('Loan Tape (S&amp;P)'!T3104="Yes",
    1.35,
    1.00)</f>
        <v/>
      </c>
      <c r="P3104">
        <f>IF('Loan Tape (S&amp;P)'!S3104="Yes",
    1.15,
    1.00)</f>
        <v/>
      </c>
      <c r="Q3104">
        <f>IF('Loan Tape (S&amp;P)'!V3104="Yes",
    1.20,
    1.00)</f>
        <v/>
      </c>
      <c r="T3104">
        <f>LET(
    payment_method,'Loan Tape (S&amp;P)'!P3104,
    occupancy,'Loan Tape (S&amp;P)'!N3104,
    maturity_date,'Loan Tape (S&amp;P)'!L3104,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05">
      <c r="J3105">
        <f>LET(
    lien,'Loan Tape (S&amp;P)'!Q3105,
    IF(lien="First",1.00,
        IF(lien="Second",1.50,
            1.70)))</f>
        <v/>
      </c>
      <c r="K3105">
        <f>LET(
    purpose,'Loan Tape (S&amp;P)'!R3105,
    IF(purpose="Purchase",1.00,
        IF(purpose="Remortgage",1.00,
            1.20)))</f>
        <v/>
      </c>
      <c r="L3105">
        <f>LET(
    arrears_months,'Loan Tape (S&amp;P)'!AN3105,
    IF(arrears_months=0,1.00,
    IF(arrears_months=1,3.00,
    IF(arrears_months=2,5.00,
    IF(arrears_months=3,8.00,
    IF(arrears_months=4,10.00,
    IF(arrears_months=5,12.00,15.00)))))))</f>
        <v/>
      </c>
      <c r="M3105">
        <f>LET(
    seasoning_years,DATEDIF('Loan Tape (S&amp;P)'!K3105,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05">
        <f>IF(AND('Loan Tape (S&amp;P)'!U3105="Yes",
        'Loan Tape (S&amp;P)'!T3105&lt;&gt;"Yes",
        DATEDIF('Loan Tape (S&amp;P)'!K3105, TODAY(), "M")&lt;18),
    1.10,
    1.00)</f>
        <v/>
      </c>
      <c r="O3105">
        <f>IF('Loan Tape (S&amp;P)'!T3105="Yes",
    1.35,
    1.00)</f>
        <v/>
      </c>
      <c r="P3105">
        <f>IF('Loan Tape (S&amp;P)'!S3105="Yes",
    1.15,
    1.00)</f>
        <v/>
      </c>
      <c r="Q3105">
        <f>IF('Loan Tape (S&amp;P)'!V3105="Yes",
    1.20,
    1.00)</f>
        <v/>
      </c>
      <c r="T3105">
        <f>LET(
    payment_method,'Loan Tape (S&amp;P)'!P3105,
    occupancy,'Loan Tape (S&amp;P)'!N3105,
    maturity_date,'Loan Tape (S&amp;P)'!L3105,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06">
      <c r="J3106">
        <f>LET(
    lien,'Loan Tape (S&amp;P)'!Q3106,
    IF(lien="First",1.00,
        IF(lien="Second",1.50,
            1.70)))</f>
        <v/>
      </c>
      <c r="K3106">
        <f>LET(
    purpose,'Loan Tape (S&amp;P)'!R3106,
    IF(purpose="Purchase",1.00,
        IF(purpose="Remortgage",1.00,
            1.20)))</f>
        <v/>
      </c>
      <c r="L3106">
        <f>LET(
    arrears_months,'Loan Tape (S&amp;P)'!AN3106,
    IF(arrears_months=0,1.00,
    IF(arrears_months=1,3.00,
    IF(arrears_months=2,5.00,
    IF(arrears_months=3,8.00,
    IF(arrears_months=4,10.00,
    IF(arrears_months=5,12.00,15.00)))))))</f>
        <v/>
      </c>
      <c r="M3106">
        <f>LET(
    seasoning_years,DATEDIF('Loan Tape (S&amp;P)'!K3106,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06">
        <f>IF(AND('Loan Tape (S&amp;P)'!U3106="Yes",
        'Loan Tape (S&amp;P)'!T3106&lt;&gt;"Yes",
        DATEDIF('Loan Tape (S&amp;P)'!K3106, TODAY(), "M")&lt;18),
    1.10,
    1.00)</f>
        <v/>
      </c>
      <c r="O3106">
        <f>IF('Loan Tape (S&amp;P)'!T3106="Yes",
    1.35,
    1.00)</f>
        <v/>
      </c>
      <c r="P3106">
        <f>IF('Loan Tape (S&amp;P)'!S3106="Yes",
    1.15,
    1.00)</f>
        <v/>
      </c>
      <c r="Q3106">
        <f>IF('Loan Tape (S&amp;P)'!V3106="Yes",
    1.20,
    1.00)</f>
        <v/>
      </c>
      <c r="T3106">
        <f>LET(
    payment_method,'Loan Tape (S&amp;P)'!P3106,
    occupancy,'Loan Tape (S&amp;P)'!N3106,
    maturity_date,'Loan Tape (S&amp;P)'!L3106,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07">
      <c r="J3107">
        <f>LET(
    lien,'Loan Tape (S&amp;P)'!Q3107,
    IF(lien="First",1.00,
        IF(lien="Second",1.50,
            1.70)))</f>
        <v/>
      </c>
      <c r="K3107">
        <f>LET(
    purpose,'Loan Tape (S&amp;P)'!R3107,
    IF(purpose="Purchase",1.00,
        IF(purpose="Remortgage",1.00,
            1.20)))</f>
        <v/>
      </c>
      <c r="L3107">
        <f>LET(
    arrears_months,'Loan Tape (S&amp;P)'!AN3107,
    IF(arrears_months=0,1.00,
    IF(arrears_months=1,3.00,
    IF(arrears_months=2,5.00,
    IF(arrears_months=3,8.00,
    IF(arrears_months=4,10.00,
    IF(arrears_months=5,12.00,15.00)))))))</f>
        <v/>
      </c>
      <c r="M3107">
        <f>LET(
    seasoning_years,DATEDIF('Loan Tape (S&amp;P)'!K3107,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07">
        <f>IF(AND('Loan Tape (S&amp;P)'!U3107="Yes",
        'Loan Tape (S&amp;P)'!T3107&lt;&gt;"Yes",
        DATEDIF('Loan Tape (S&amp;P)'!K3107, TODAY(), "M")&lt;18),
    1.10,
    1.00)</f>
        <v/>
      </c>
      <c r="O3107">
        <f>IF('Loan Tape (S&amp;P)'!T3107="Yes",
    1.35,
    1.00)</f>
        <v/>
      </c>
      <c r="P3107">
        <f>IF('Loan Tape (S&amp;P)'!S3107="Yes",
    1.15,
    1.00)</f>
        <v/>
      </c>
      <c r="Q3107">
        <f>IF('Loan Tape (S&amp;P)'!V3107="Yes",
    1.20,
    1.00)</f>
        <v/>
      </c>
      <c r="T3107">
        <f>LET(
    payment_method,'Loan Tape (S&amp;P)'!P3107,
    occupancy,'Loan Tape (S&amp;P)'!N3107,
    maturity_date,'Loan Tape (S&amp;P)'!L3107,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08">
      <c r="J3108">
        <f>LET(
    lien,'Loan Tape (S&amp;P)'!Q3108,
    IF(lien="First",1.00,
        IF(lien="Second",1.50,
            1.70)))</f>
        <v/>
      </c>
      <c r="K3108">
        <f>LET(
    purpose,'Loan Tape (S&amp;P)'!R3108,
    IF(purpose="Purchase",1.00,
        IF(purpose="Remortgage",1.00,
            1.20)))</f>
        <v/>
      </c>
      <c r="L3108">
        <f>LET(
    arrears_months,'Loan Tape (S&amp;P)'!AN3108,
    IF(arrears_months=0,1.00,
    IF(arrears_months=1,3.00,
    IF(arrears_months=2,5.00,
    IF(arrears_months=3,8.00,
    IF(arrears_months=4,10.00,
    IF(arrears_months=5,12.00,15.00)))))))</f>
        <v/>
      </c>
      <c r="M3108">
        <f>LET(
    seasoning_years,DATEDIF('Loan Tape (S&amp;P)'!K3108,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08">
        <f>IF(AND('Loan Tape (S&amp;P)'!U3108="Yes",
        'Loan Tape (S&amp;P)'!T3108&lt;&gt;"Yes",
        DATEDIF('Loan Tape (S&amp;P)'!K3108, TODAY(), "M")&lt;18),
    1.10,
    1.00)</f>
        <v/>
      </c>
      <c r="O3108">
        <f>IF('Loan Tape (S&amp;P)'!T3108="Yes",
    1.35,
    1.00)</f>
        <v/>
      </c>
      <c r="P3108">
        <f>IF('Loan Tape (S&amp;P)'!S3108="Yes",
    1.15,
    1.00)</f>
        <v/>
      </c>
      <c r="Q3108">
        <f>IF('Loan Tape (S&amp;P)'!V3108="Yes",
    1.20,
    1.00)</f>
        <v/>
      </c>
      <c r="T3108">
        <f>LET(
    payment_method,'Loan Tape (S&amp;P)'!P3108,
    occupancy,'Loan Tape (S&amp;P)'!N3108,
    maturity_date,'Loan Tape (S&amp;P)'!L3108,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09">
      <c r="J3109">
        <f>LET(
    lien,'Loan Tape (S&amp;P)'!Q3109,
    IF(lien="First",1.00,
        IF(lien="Second",1.50,
            1.70)))</f>
        <v/>
      </c>
      <c r="K3109">
        <f>LET(
    purpose,'Loan Tape (S&amp;P)'!R3109,
    IF(purpose="Purchase",1.00,
        IF(purpose="Remortgage",1.00,
            1.20)))</f>
        <v/>
      </c>
      <c r="L3109">
        <f>LET(
    arrears_months,'Loan Tape (S&amp;P)'!AN3109,
    IF(arrears_months=0,1.00,
    IF(arrears_months=1,3.00,
    IF(arrears_months=2,5.00,
    IF(arrears_months=3,8.00,
    IF(arrears_months=4,10.00,
    IF(arrears_months=5,12.00,15.00)))))))</f>
        <v/>
      </c>
      <c r="M3109">
        <f>LET(
    seasoning_years,DATEDIF('Loan Tape (S&amp;P)'!K3109,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09">
        <f>IF(AND('Loan Tape (S&amp;P)'!U3109="Yes",
        'Loan Tape (S&amp;P)'!T3109&lt;&gt;"Yes",
        DATEDIF('Loan Tape (S&amp;P)'!K3109, TODAY(), "M")&lt;18),
    1.10,
    1.00)</f>
        <v/>
      </c>
      <c r="O3109">
        <f>IF('Loan Tape (S&amp;P)'!T3109="Yes",
    1.35,
    1.00)</f>
        <v/>
      </c>
      <c r="P3109">
        <f>IF('Loan Tape (S&amp;P)'!S3109="Yes",
    1.15,
    1.00)</f>
        <v/>
      </c>
      <c r="Q3109">
        <f>IF('Loan Tape (S&amp;P)'!V3109="Yes",
    1.20,
    1.00)</f>
        <v/>
      </c>
      <c r="T3109">
        <f>LET(
    payment_method,'Loan Tape (S&amp;P)'!P3109,
    occupancy,'Loan Tape (S&amp;P)'!N3109,
    maturity_date,'Loan Tape (S&amp;P)'!L3109,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10">
      <c r="J3110">
        <f>LET(
    lien,'Loan Tape (S&amp;P)'!Q3110,
    IF(lien="First",1.00,
        IF(lien="Second",1.50,
            1.70)))</f>
        <v/>
      </c>
      <c r="K3110">
        <f>LET(
    purpose,'Loan Tape (S&amp;P)'!R3110,
    IF(purpose="Purchase",1.00,
        IF(purpose="Remortgage",1.00,
            1.20)))</f>
        <v/>
      </c>
      <c r="L3110">
        <f>LET(
    arrears_months,'Loan Tape (S&amp;P)'!AN3110,
    IF(arrears_months=0,1.00,
    IF(arrears_months=1,3.00,
    IF(arrears_months=2,5.00,
    IF(arrears_months=3,8.00,
    IF(arrears_months=4,10.00,
    IF(arrears_months=5,12.00,15.00)))))))</f>
        <v/>
      </c>
      <c r="M3110">
        <f>LET(
    seasoning_years,DATEDIF('Loan Tape (S&amp;P)'!K3110,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10">
        <f>IF(AND('Loan Tape (S&amp;P)'!U3110="Yes",
        'Loan Tape (S&amp;P)'!T3110&lt;&gt;"Yes",
        DATEDIF('Loan Tape (S&amp;P)'!K3110, TODAY(), "M")&lt;18),
    1.10,
    1.00)</f>
        <v/>
      </c>
      <c r="O3110">
        <f>IF('Loan Tape (S&amp;P)'!T3110="Yes",
    1.35,
    1.00)</f>
        <v/>
      </c>
      <c r="P3110">
        <f>IF('Loan Tape (S&amp;P)'!S3110="Yes",
    1.15,
    1.00)</f>
        <v/>
      </c>
      <c r="Q3110">
        <f>IF('Loan Tape (S&amp;P)'!V3110="Yes",
    1.20,
    1.00)</f>
        <v/>
      </c>
      <c r="T3110">
        <f>LET(
    payment_method,'Loan Tape (S&amp;P)'!P3110,
    occupancy,'Loan Tape (S&amp;P)'!N3110,
    maturity_date,'Loan Tape (S&amp;P)'!L3110,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11">
      <c r="J3111">
        <f>LET(
    lien,'Loan Tape (S&amp;P)'!Q3111,
    IF(lien="First",1.00,
        IF(lien="Second",1.50,
            1.70)))</f>
        <v/>
      </c>
      <c r="K3111">
        <f>LET(
    purpose,'Loan Tape (S&amp;P)'!R3111,
    IF(purpose="Purchase",1.00,
        IF(purpose="Remortgage",1.00,
            1.20)))</f>
        <v/>
      </c>
      <c r="L3111">
        <f>LET(
    arrears_months,'Loan Tape (S&amp;P)'!AN3111,
    IF(arrears_months=0,1.00,
    IF(arrears_months=1,3.00,
    IF(arrears_months=2,5.00,
    IF(arrears_months=3,8.00,
    IF(arrears_months=4,10.00,
    IF(arrears_months=5,12.00,15.00)))))))</f>
        <v/>
      </c>
      <c r="M3111">
        <f>LET(
    seasoning_years,DATEDIF('Loan Tape (S&amp;P)'!K3111,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11">
        <f>IF(AND('Loan Tape (S&amp;P)'!U3111="Yes",
        'Loan Tape (S&amp;P)'!T3111&lt;&gt;"Yes",
        DATEDIF('Loan Tape (S&amp;P)'!K3111, TODAY(), "M")&lt;18),
    1.10,
    1.00)</f>
        <v/>
      </c>
      <c r="O3111">
        <f>IF('Loan Tape (S&amp;P)'!T3111="Yes",
    1.35,
    1.00)</f>
        <v/>
      </c>
      <c r="P3111">
        <f>IF('Loan Tape (S&amp;P)'!S3111="Yes",
    1.15,
    1.00)</f>
        <v/>
      </c>
      <c r="Q3111">
        <f>IF('Loan Tape (S&amp;P)'!V3111="Yes",
    1.20,
    1.00)</f>
        <v/>
      </c>
      <c r="T3111">
        <f>LET(
    payment_method,'Loan Tape (S&amp;P)'!P3111,
    occupancy,'Loan Tape (S&amp;P)'!N3111,
    maturity_date,'Loan Tape (S&amp;P)'!L3111,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12">
      <c r="J3112">
        <f>LET(
    lien,'Loan Tape (S&amp;P)'!Q3112,
    IF(lien="First",1.00,
        IF(lien="Second",1.50,
            1.70)))</f>
        <v/>
      </c>
      <c r="K3112">
        <f>LET(
    purpose,'Loan Tape (S&amp;P)'!R3112,
    IF(purpose="Purchase",1.00,
        IF(purpose="Remortgage",1.00,
            1.20)))</f>
        <v/>
      </c>
      <c r="L3112">
        <f>LET(
    arrears_months,'Loan Tape (S&amp;P)'!AN3112,
    IF(arrears_months=0,1.00,
    IF(arrears_months=1,3.00,
    IF(arrears_months=2,5.00,
    IF(arrears_months=3,8.00,
    IF(arrears_months=4,10.00,
    IF(arrears_months=5,12.00,15.00)))))))</f>
        <v/>
      </c>
      <c r="M3112">
        <f>LET(
    seasoning_years,DATEDIF('Loan Tape (S&amp;P)'!K3112,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12">
        <f>IF(AND('Loan Tape (S&amp;P)'!U3112="Yes",
        'Loan Tape (S&amp;P)'!T3112&lt;&gt;"Yes",
        DATEDIF('Loan Tape (S&amp;P)'!K3112, TODAY(), "M")&lt;18),
    1.10,
    1.00)</f>
        <v/>
      </c>
      <c r="O3112">
        <f>IF('Loan Tape (S&amp;P)'!T3112="Yes",
    1.35,
    1.00)</f>
        <v/>
      </c>
      <c r="P3112">
        <f>IF('Loan Tape (S&amp;P)'!S3112="Yes",
    1.15,
    1.00)</f>
        <v/>
      </c>
      <c r="Q3112">
        <f>IF('Loan Tape (S&amp;P)'!V3112="Yes",
    1.20,
    1.00)</f>
        <v/>
      </c>
      <c r="T3112">
        <f>LET(
    payment_method,'Loan Tape (S&amp;P)'!P3112,
    occupancy,'Loan Tape (S&amp;P)'!N3112,
    maturity_date,'Loan Tape (S&amp;P)'!L3112,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13">
      <c r="J3113">
        <f>LET(
    lien,'Loan Tape (S&amp;P)'!Q3113,
    IF(lien="First",1.00,
        IF(lien="Second",1.50,
            1.70)))</f>
        <v/>
      </c>
      <c r="K3113">
        <f>LET(
    purpose,'Loan Tape (S&amp;P)'!R3113,
    IF(purpose="Purchase",1.00,
        IF(purpose="Remortgage",1.00,
            1.20)))</f>
        <v/>
      </c>
      <c r="L3113">
        <f>LET(
    arrears_months,'Loan Tape (S&amp;P)'!AN3113,
    IF(arrears_months=0,1.00,
    IF(arrears_months=1,3.00,
    IF(arrears_months=2,5.00,
    IF(arrears_months=3,8.00,
    IF(arrears_months=4,10.00,
    IF(arrears_months=5,12.00,15.00)))))))</f>
        <v/>
      </c>
      <c r="M3113">
        <f>LET(
    seasoning_years,DATEDIF('Loan Tape (S&amp;P)'!K3113,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13">
        <f>IF(AND('Loan Tape (S&amp;P)'!U3113="Yes",
        'Loan Tape (S&amp;P)'!T3113&lt;&gt;"Yes",
        DATEDIF('Loan Tape (S&amp;P)'!K3113, TODAY(), "M")&lt;18),
    1.10,
    1.00)</f>
        <v/>
      </c>
      <c r="O3113">
        <f>IF('Loan Tape (S&amp;P)'!T3113="Yes",
    1.35,
    1.00)</f>
        <v/>
      </c>
      <c r="P3113">
        <f>IF('Loan Tape (S&amp;P)'!S3113="Yes",
    1.15,
    1.00)</f>
        <v/>
      </c>
      <c r="Q3113">
        <f>IF('Loan Tape (S&amp;P)'!V3113="Yes",
    1.20,
    1.00)</f>
        <v/>
      </c>
      <c r="T3113">
        <f>LET(
    payment_method,'Loan Tape (S&amp;P)'!P3113,
    occupancy,'Loan Tape (S&amp;P)'!N3113,
    maturity_date,'Loan Tape (S&amp;P)'!L3113,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14">
      <c r="J3114">
        <f>LET(
    lien,'Loan Tape (S&amp;P)'!Q3114,
    IF(lien="First",1.00,
        IF(lien="Second",1.50,
            1.70)))</f>
        <v/>
      </c>
      <c r="K3114">
        <f>LET(
    purpose,'Loan Tape (S&amp;P)'!R3114,
    IF(purpose="Purchase",1.00,
        IF(purpose="Remortgage",1.00,
            1.20)))</f>
        <v/>
      </c>
      <c r="L3114">
        <f>LET(
    arrears_months,'Loan Tape (S&amp;P)'!AN3114,
    IF(arrears_months=0,1.00,
    IF(arrears_months=1,3.00,
    IF(arrears_months=2,5.00,
    IF(arrears_months=3,8.00,
    IF(arrears_months=4,10.00,
    IF(arrears_months=5,12.00,15.00)))))))</f>
        <v/>
      </c>
      <c r="M3114">
        <f>LET(
    seasoning_years,DATEDIF('Loan Tape (S&amp;P)'!K3114,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14">
        <f>IF(AND('Loan Tape (S&amp;P)'!U3114="Yes",
        'Loan Tape (S&amp;P)'!T3114&lt;&gt;"Yes",
        DATEDIF('Loan Tape (S&amp;P)'!K3114, TODAY(), "M")&lt;18),
    1.10,
    1.00)</f>
        <v/>
      </c>
      <c r="O3114">
        <f>IF('Loan Tape (S&amp;P)'!T3114="Yes",
    1.35,
    1.00)</f>
        <v/>
      </c>
      <c r="P3114">
        <f>IF('Loan Tape (S&amp;P)'!S3114="Yes",
    1.15,
    1.00)</f>
        <v/>
      </c>
      <c r="Q3114">
        <f>IF('Loan Tape (S&amp;P)'!V3114="Yes",
    1.20,
    1.00)</f>
        <v/>
      </c>
      <c r="T3114">
        <f>LET(
    payment_method,'Loan Tape (S&amp;P)'!P3114,
    occupancy,'Loan Tape (S&amp;P)'!N3114,
    maturity_date,'Loan Tape (S&amp;P)'!L3114,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15">
      <c r="J3115">
        <f>LET(
    lien,'Loan Tape (S&amp;P)'!Q3115,
    IF(lien="First",1.00,
        IF(lien="Second",1.50,
            1.70)))</f>
        <v/>
      </c>
      <c r="K3115">
        <f>LET(
    purpose,'Loan Tape (S&amp;P)'!R3115,
    IF(purpose="Purchase",1.00,
        IF(purpose="Remortgage",1.00,
            1.20)))</f>
        <v/>
      </c>
      <c r="L3115">
        <f>LET(
    arrears_months,'Loan Tape (S&amp;P)'!AN3115,
    IF(arrears_months=0,1.00,
    IF(arrears_months=1,3.00,
    IF(arrears_months=2,5.00,
    IF(arrears_months=3,8.00,
    IF(arrears_months=4,10.00,
    IF(arrears_months=5,12.00,15.00)))))))</f>
        <v/>
      </c>
      <c r="M3115">
        <f>LET(
    seasoning_years,DATEDIF('Loan Tape (S&amp;P)'!K3115,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15">
        <f>IF(AND('Loan Tape (S&amp;P)'!U3115="Yes",
        'Loan Tape (S&amp;P)'!T3115&lt;&gt;"Yes",
        DATEDIF('Loan Tape (S&amp;P)'!K3115, TODAY(), "M")&lt;18),
    1.10,
    1.00)</f>
        <v/>
      </c>
      <c r="O3115">
        <f>IF('Loan Tape (S&amp;P)'!T3115="Yes",
    1.35,
    1.00)</f>
        <v/>
      </c>
      <c r="P3115">
        <f>IF('Loan Tape (S&amp;P)'!S3115="Yes",
    1.15,
    1.00)</f>
        <v/>
      </c>
      <c r="Q3115">
        <f>IF('Loan Tape (S&amp;P)'!V3115="Yes",
    1.20,
    1.00)</f>
        <v/>
      </c>
      <c r="T3115">
        <f>LET(
    payment_method,'Loan Tape (S&amp;P)'!P3115,
    occupancy,'Loan Tape (S&amp;P)'!N3115,
    maturity_date,'Loan Tape (S&amp;P)'!L3115,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16">
      <c r="J3116">
        <f>LET(
    lien,'Loan Tape (S&amp;P)'!Q3116,
    IF(lien="First",1.00,
        IF(lien="Second",1.50,
            1.70)))</f>
        <v/>
      </c>
      <c r="K3116">
        <f>LET(
    purpose,'Loan Tape (S&amp;P)'!R3116,
    IF(purpose="Purchase",1.00,
        IF(purpose="Remortgage",1.00,
            1.20)))</f>
        <v/>
      </c>
      <c r="L3116">
        <f>LET(
    arrears_months,'Loan Tape (S&amp;P)'!AN3116,
    IF(arrears_months=0,1.00,
    IF(arrears_months=1,3.00,
    IF(arrears_months=2,5.00,
    IF(arrears_months=3,8.00,
    IF(arrears_months=4,10.00,
    IF(arrears_months=5,12.00,15.00)))))))</f>
        <v/>
      </c>
      <c r="M3116">
        <f>LET(
    seasoning_years,DATEDIF('Loan Tape (S&amp;P)'!K3116,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16">
        <f>IF(AND('Loan Tape (S&amp;P)'!U3116="Yes",
        'Loan Tape (S&amp;P)'!T3116&lt;&gt;"Yes",
        DATEDIF('Loan Tape (S&amp;P)'!K3116, TODAY(), "M")&lt;18),
    1.10,
    1.00)</f>
        <v/>
      </c>
      <c r="O3116">
        <f>IF('Loan Tape (S&amp;P)'!T3116="Yes",
    1.35,
    1.00)</f>
        <v/>
      </c>
      <c r="P3116">
        <f>IF('Loan Tape (S&amp;P)'!S3116="Yes",
    1.15,
    1.00)</f>
        <v/>
      </c>
      <c r="Q3116">
        <f>IF('Loan Tape (S&amp;P)'!V3116="Yes",
    1.20,
    1.00)</f>
        <v/>
      </c>
      <c r="T3116">
        <f>LET(
    payment_method,'Loan Tape (S&amp;P)'!P3116,
    occupancy,'Loan Tape (S&amp;P)'!N3116,
    maturity_date,'Loan Tape (S&amp;P)'!L3116,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17">
      <c r="J3117">
        <f>LET(
    lien,'Loan Tape (S&amp;P)'!Q3117,
    IF(lien="First",1.00,
        IF(lien="Second",1.50,
            1.70)))</f>
        <v/>
      </c>
      <c r="K3117">
        <f>LET(
    purpose,'Loan Tape (S&amp;P)'!R3117,
    IF(purpose="Purchase",1.00,
        IF(purpose="Remortgage",1.00,
            1.20)))</f>
        <v/>
      </c>
      <c r="L3117">
        <f>LET(
    arrears_months,'Loan Tape (S&amp;P)'!AN3117,
    IF(arrears_months=0,1.00,
    IF(arrears_months=1,3.00,
    IF(arrears_months=2,5.00,
    IF(arrears_months=3,8.00,
    IF(arrears_months=4,10.00,
    IF(arrears_months=5,12.00,15.00)))))))</f>
        <v/>
      </c>
      <c r="M3117">
        <f>LET(
    seasoning_years,DATEDIF('Loan Tape (S&amp;P)'!K3117,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17">
        <f>IF(AND('Loan Tape (S&amp;P)'!U3117="Yes",
        'Loan Tape (S&amp;P)'!T3117&lt;&gt;"Yes",
        DATEDIF('Loan Tape (S&amp;P)'!K3117, TODAY(), "M")&lt;18),
    1.10,
    1.00)</f>
        <v/>
      </c>
      <c r="O3117">
        <f>IF('Loan Tape (S&amp;P)'!T3117="Yes",
    1.35,
    1.00)</f>
        <v/>
      </c>
      <c r="P3117">
        <f>IF('Loan Tape (S&amp;P)'!S3117="Yes",
    1.15,
    1.00)</f>
        <v/>
      </c>
      <c r="Q3117">
        <f>IF('Loan Tape (S&amp;P)'!V3117="Yes",
    1.20,
    1.00)</f>
        <v/>
      </c>
      <c r="T3117">
        <f>LET(
    payment_method,'Loan Tape (S&amp;P)'!P3117,
    occupancy,'Loan Tape (S&amp;P)'!N3117,
    maturity_date,'Loan Tape (S&amp;P)'!L3117,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18">
      <c r="J3118">
        <f>LET(
    lien,'Loan Tape (S&amp;P)'!Q3118,
    IF(lien="First",1.00,
        IF(lien="Second",1.50,
            1.70)))</f>
        <v/>
      </c>
      <c r="K3118">
        <f>LET(
    purpose,'Loan Tape (S&amp;P)'!R3118,
    IF(purpose="Purchase",1.00,
        IF(purpose="Remortgage",1.00,
            1.20)))</f>
        <v/>
      </c>
      <c r="L3118">
        <f>LET(
    arrears_months,'Loan Tape (S&amp;P)'!AN3118,
    IF(arrears_months=0,1.00,
    IF(arrears_months=1,3.00,
    IF(arrears_months=2,5.00,
    IF(arrears_months=3,8.00,
    IF(arrears_months=4,10.00,
    IF(arrears_months=5,12.00,15.00)))))))</f>
        <v/>
      </c>
      <c r="M3118">
        <f>LET(
    seasoning_years,DATEDIF('Loan Tape (S&amp;P)'!K3118,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18">
        <f>IF(AND('Loan Tape (S&amp;P)'!U3118="Yes",
        'Loan Tape (S&amp;P)'!T3118&lt;&gt;"Yes",
        DATEDIF('Loan Tape (S&amp;P)'!K3118, TODAY(), "M")&lt;18),
    1.10,
    1.00)</f>
        <v/>
      </c>
      <c r="O3118">
        <f>IF('Loan Tape (S&amp;P)'!T3118="Yes",
    1.35,
    1.00)</f>
        <v/>
      </c>
      <c r="P3118">
        <f>IF('Loan Tape (S&amp;P)'!S3118="Yes",
    1.15,
    1.00)</f>
        <v/>
      </c>
      <c r="Q3118">
        <f>IF('Loan Tape (S&amp;P)'!V3118="Yes",
    1.20,
    1.00)</f>
        <v/>
      </c>
      <c r="T3118">
        <f>LET(
    payment_method,'Loan Tape (S&amp;P)'!P3118,
    occupancy,'Loan Tape (S&amp;P)'!N3118,
    maturity_date,'Loan Tape (S&amp;P)'!L3118,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19">
      <c r="J3119">
        <f>LET(
    lien,'Loan Tape (S&amp;P)'!Q3119,
    IF(lien="First",1.00,
        IF(lien="Second",1.50,
            1.70)))</f>
        <v/>
      </c>
      <c r="K3119">
        <f>LET(
    purpose,'Loan Tape (S&amp;P)'!R3119,
    IF(purpose="Purchase",1.00,
        IF(purpose="Remortgage",1.00,
            1.20)))</f>
        <v/>
      </c>
      <c r="L3119">
        <f>LET(
    arrears_months,'Loan Tape (S&amp;P)'!AN3119,
    IF(arrears_months=0,1.00,
    IF(arrears_months=1,3.00,
    IF(arrears_months=2,5.00,
    IF(arrears_months=3,8.00,
    IF(arrears_months=4,10.00,
    IF(arrears_months=5,12.00,15.00)))))))</f>
        <v/>
      </c>
      <c r="M3119">
        <f>LET(
    seasoning_years,DATEDIF('Loan Tape (S&amp;P)'!K3119,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19">
        <f>IF(AND('Loan Tape (S&amp;P)'!U3119="Yes",
        'Loan Tape (S&amp;P)'!T3119&lt;&gt;"Yes",
        DATEDIF('Loan Tape (S&amp;P)'!K3119, TODAY(), "M")&lt;18),
    1.10,
    1.00)</f>
        <v/>
      </c>
      <c r="O3119">
        <f>IF('Loan Tape (S&amp;P)'!T3119="Yes",
    1.35,
    1.00)</f>
        <v/>
      </c>
      <c r="P3119">
        <f>IF('Loan Tape (S&amp;P)'!S3119="Yes",
    1.15,
    1.00)</f>
        <v/>
      </c>
      <c r="Q3119">
        <f>IF('Loan Tape (S&amp;P)'!V3119="Yes",
    1.20,
    1.00)</f>
        <v/>
      </c>
      <c r="T3119">
        <f>LET(
    payment_method,'Loan Tape (S&amp;P)'!P3119,
    occupancy,'Loan Tape (S&amp;P)'!N3119,
    maturity_date,'Loan Tape (S&amp;P)'!L3119,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20">
      <c r="J3120">
        <f>LET(
    lien,'Loan Tape (S&amp;P)'!Q3120,
    IF(lien="First",1.00,
        IF(lien="Second",1.50,
            1.70)))</f>
        <v/>
      </c>
      <c r="K3120">
        <f>LET(
    purpose,'Loan Tape (S&amp;P)'!R3120,
    IF(purpose="Purchase",1.00,
        IF(purpose="Remortgage",1.00,
            1.20)))</f>
        <v/>
      </c>
      <c r="L3120">
        <f>LET(
    arrears_months,'Loan Tape (S&amp;P)'!AN3120,
    IF(arrears_months=0,1.00,
    IF(arrears_months=1,3.00,
    IF(arrears_months=2,5.00,
    IF(arrears_months=3,8.00,
    IF(arrears_months=4,10.00,
    IF(arrears_months=5,12.00,15.00)))))))</f>
        <v/>
      </c>
      <c r="M3120">
        <f>LET(
    seasoning_years,DATEDIF('Loan Tape (S&amp;P)'!K3120,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20">
        <f>IF(AND('Loan Tape (S&amp;P)'!U3120="Yes",
        'Loan Tape (S&amp;P)'!T3120&lt;&gt;"Yes",
        DATEDIF('Loan Tape (S&amp;P)'!K3120, TODAY(), "M")&lt;18),
    1.10,
    1.00)</f>
        <v/>
      </c>
      <c r="O3120">
        <f>IF('Loan Tape (S&amp;P)'!T3120="Yes",
    1.35,
    1.00)</f>
        <v/>
      </c>
      <c r="P3120">
        <f>IF('Loan Tape (S&amp;P)'!S3120="Yes",
    1.15,
    1.00)</f>
        <v/>
      </c>
      <c r="Q3120">
        <f>IF('Loan Tape (S&amp;P)'!V3120="Yes",
    1.20,
    1.00)</f>
        <v/>
      </c>
      <c r="T3120">
        <f>LET(
    payment_method,'Loan Tape (S&amp;P)'!P3120,
    occupancy,'Loan Tape (S&amp;P)'!N3120,
    maturity_date,'Loan Tape (S&amp;P)'!L3120,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21">
      <c r="J3121">
        <f>LET(
    lien,'Loan Tape (S&amp;P)'!Q3121,
    IF(lien="First",1.00,
        IF(lien="Second",1.50,
            1.70)))</f>
        <v/>
      </c>
      <c r="K3121">
        <f>LET(
    purpose,'Loan Tape (S&amp;P)'!R3121,
    IF(purpose="Purchase",1.00,
        IF(purpose="Remortgage",1.00,
            1.20)))</f>
        <v/>
      </c>
      <c r="L3121">
        <f>LET(
    arrears_months,'Loan Tape (S&amp;P)'!AN3121,
    IF(arrears_months=0,1.00,
    IF(arrears_months=1,3.00,
    IF(arrears_months=2,5.00,
    IF(arrears_months=3,8.00,
    IF(arrears_months=4,10.00,
    IF(arrears_months=5,12.00,15.00)))))))</f>
        <v/>
      </c>
      <c r="M3121">
        <f>LET(
    seasoning_years,DATEDIF('Loan Tape (S&amp;P)'!K3121,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21">
        <f>IF(AND('Loan Tape (S&amp;P)'!U3121="Yes",
        'Loan Tape (S&amp;P)'!T3121&lt;&gt;"Yes",
        DATEDIF('Loan Tape (S&amp;P)'!K3121, TODAY(), "M")&lt;18),
    1.10,
    1.00)</f>
        <v/>
      </c>
      <c r="O3121">
        <f>IF('Loan Tape (S&amp;P)'!T3121="Yes",
    1.35,
    1.00)</f>
        <v/>
      </c>
      <c r="P3121">
        <f>IF('Loan Tape (S&amp;P)'!S3121="Yes",
    1.15,
    1.00)</f>
        <v/>
      </c>
      <c r="Q3121">
        <f>IF('Loan Tape (S&amp;P)'!V3121="Yes",
    1.20,
    1.00)</f>
        <v/>
      </c>
      <c r="T3121">
        <f>LET(
    payment_method,'Loan Tape (S&amp;P)'!P3121,
    occupancy,'Loan Tape (S&amp;P)'!N3121,
    maturity_date,'Loan Tape (S&amp;P)'!L3121,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22">
      <c r="J3122">
        <f>LET(
    lien,'Loan Tape (S&amp;P)'!Q3122,
    IF(lien="First",1.00,
        IF(lien="Second",1.50,
            1.70)))</f>
        <v/>
      </c>
      <c r="K3122">
        <f>LET(
    purpose,'Loan Tape (S&amp;P)'!R3122,
    IF(purpose="Purchase",1.00,
        IF(purpose="Remortgage",1.00,
            1.20)))</f>
        <v/>
      </c>
      <c r="L3122">
        <f>LET(
    arrears_months,'Loan Tape (S&amp;P)'!AN3122,
    IF(arrears_months=0,1.00,
    IF(arrears_months=1,3.00,
    IF(arrears_months=2,5.00,
    IF(arrears_months=3,8.00,
    IF(arrears_months=4,10.00,
    IF(arrears_months=5,12.00,15.00)))))))</f>
        <v/>
      </c>
      <c r="M3122">
        <f>LET(
    seasoning_years,DATEDIF('Loan Tape (S&amp;P)'!K3122,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22">
        <f>IF(AND('Loan Tape (S&amp;P)'!U3122="Yes",
        'Loan Tape (S&amp;P)'!T3122&lt;&gt;"Yes",
        DATEDIF('Loan Tape (S&amp;P)'!K3122, TODAY(), "M")&lt;18),
    1.10,
    1.00)</f>
        <v/>
      </c>
      <c r="O3122">
        <f>IF('Loan Tape (S&amp;P)'!T3122="Yes",
    1.35,
    1.00)</f>
        <v/>
      </c>
      <c r="P3122">
        <f>IF('Loan Tape (S&amp;P)'!S3122="Yes",
    1.15,
    1.00)</f>
        <v/>
      </c>
      <c r="Q3122">
        <f>IF('Loan Tape (S&amp;P)'!V3122="Yes",
    1.20,
    1.00)</f>
        <v/>
      </c>
      <c r="T3122">
        <f>LET(
    payment_method,'Loan Tape (S&amp;P)'!P3122,
    occupancy,'Loan Tape (S&amp;P)'!N3122,
    maturity_date,'Loan Tape (S&amp;P)'!L3122,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23">
      <c r="J3123">
        <f>LET(
    lien,'Loan Tape (S&amp;P)'!Q3123,
    IF(lien="First",1.00,
        IF(lien="Second",1.50,
            1.70)))</f>
        <v/>
      </c>
      <c r="K3123">
        <f>LET(
    purpose,'Loan Tape (S&amp;P)'!R3123,
    IF(purpose="Purchase",1.00,
        IF(purpose="Remortgage",1.00,
            1.20)))</f>
        <v/>
      </c>
      <c r="L3123">
        <f>LET(
    arrears_months,'Loan Tape (S&amp;P)'!AN3123,
    IF(arrears_months=0,1.00,
    IF(arrears_months=1,3.00,
    IF(arrears_months=2,5.00,
    IF(arrears_months=3,8.00,
    IF(arrears_months=4,10.00,
    IF(arrears_months=5,12.00,15.00)))))))</f>
        <v/>
      </c>
      <c r="M3123">
        <f>LET(
    seasoning_years,DATEDIF('Loan Tape (S&amp;P)'!K3123,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23">
        <f>IF(AND('Loan Tape (S&amp;P)'!U3123="Yes",
        'Loan Tape (S&amp;P)'!T3123&lt;&gt;"Yes",
        DATEDIF('Loan Tape (S&amp;P)'!K3123, TODAY(), "M")&lt;18),
    1.10,
    1.00)</f>
        <v/>
      </c>
      <c r="O3123">
        <f>IF('Loan Tape (S&amp;P)'!T3123="Yes",
    1.35,
    1.00)</f>
        <v/>
      </c>
      <c r="P3123">
        <f>IF('Loan Tape (S&amp;P)'!S3123="Yes",
    1.15,
    1.00)</f>
        <v/>
      </c>
      <c r="Q3123">
        <f>IF('Loan Tape (S&amp;P)'!V3123="Yes",
    1.20,
    1.00)</f>
        <v/>
      </c>
      <c r="T3123">
        <f>LET(
    payment_method,'Loan Tape (S&amp;P)'!P3123,
    occupancy,'Loan Tape (S&amp;P)'!N3123,
    maturity_date,'Loan Tape (S&amp;P)'!L3123,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24">
      <c r="J3124">
        <f>LET(
    lien,'Loan Tape (S&amp;P)'!Q3124,
    IF(lien="First",1.00,
        IF(lien="Second",1.50,
            1.70)))</f>
        <v/>
      </c>
      <c r="K3124">
        <f>LET(
    purpose,'Loan Tape (S&amp;P)'!R3124,
    IF(purpose="Purchase",1.00,
        IF(purpose="Remortgage",1.00,
            1.20)))</f>
        <v/>
      </c>
      <c r="L3124">
        <f>LET(
    arrears_months,'Loan Tape (S&amp;P)'!AN3124,
    IF(arrears_months=0,1.00,
    IF(arrears_months=1,3.00,
    IF(arrears_months=2,5.00,
    IF(arrears_months=3,8.00,
    IF(arrears_months=4,10.00,
    IF(arrears_months=5,12.00,15.00)))))))</f>
        <v/>
      </c>
      <c r="M3124">
        <f>LET(
    seasoning_years,DATEDIF('Loan Tape (S&amp;P)'!K3124,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24">
        <f>IF(AND('Loan Tape (S&amp;P)'!U3124="Yes",
        'Loan Tape (S&amp;P)'!T3124&lt;&gt;"Yes",
        DATEDIF('Loan Tape (S&amp;P)'!K3124, TODAY(), "M")&lt;18),
    1.10,
    1.00)</f>
        <v/>
      </c>
      <c r="O3124">
        <f>IF('Loan Tape (S&amp;P)'!T3124="Yes",
    1.35,
    1.00)</f>
        <v/>
      </c>
      <c r="P3124">
        <f>IF('Loan Tape (S&amp;P)'!S3124="Yes",
    1.15,
    1.00)</f>
        <v/>
      </c>
      <c r="Q3124">
        <f>IF('Loan Tape (S&amp;P)'!V3124="Yes",
    1.20,
    1.00)</f>
        <v/>
      </c>
      <c r="T3124">
        <f>LET(
    payment_method,'Loan Tape (S&amp;P)'!P3124,
    occupancy,'Loan Tape (S&amp;P)'!N3124,
    maturity_date,'Loan Tape (S&amp;P)'!L3124,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25">
      <c r="J3125">
        <f>LET(
    lien,'Loan Tape (S&amp;P)'!Q3125,
    IF(lien="First",1.00,
        IF(lien="Second",1.50,
            1.70)))</f>
        <v/>
      </c>
      <c r="K3125">
        <f>LET(
    purpose,'Loan Tape (S&amp;P)'!R3125,
    IF(purpose="Purchase",1.00,
        IF(purpose="Remortgage",1.00,
            1.20)))</f>
        <v/>
      </c>
      <c r="L3125">
        <f>LET(
    arrears_months,'Loan Tape (S&amp;P)'!AN3125,
    IF(arrears_months=0,1.00,
    IF(arrears_months=1,3.00,
    IF(arrears_months=2,5.00,
    IF(arrears_months=3,8.00,
    IF(arrears_months=4,10.00,
    IF(arrears_months=5,12.00,15.00)))))))</f>
        <v/>
      </c>
      <c r="M3125">
        <f>LET(
    seasoning_years,DATEDIF('Loan Tape (S&amp;P)'!K3125,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25">
        <f>IF(AND('Loan Tape (S&amp;P)'!U3125="Yes",
        'Loan Tape (S&amp;P)'!T3125&lt;&gt;"Yes",
        DATEDIF('Loan Tape (S&amp;P)'!K3125, TODAY(), "M")&lt;18),
    1.10,
    1.00)</f>
        <v/>
      </c>
      <c r="O3125">
        <f>IF('Loan Tape (S&amp;P)'!T3125="Yes",
    1.35,
    1.00)</f>
        <v/>
      </c>
      <c r="P3125">
        <f>IF('Loan Tape (S&amp;P)'!S3125="Yes",
    1.15,
    1.00)</f>
        <v/>
      </c>
      <c r="Q3125">
        <f>IF('Loan Tape (S&amp;P)'!V3125="Yes",
    1.20,
    1.00)</f>
        <v/>
      </c>
      <c r="T3125">
        <f>LET(
    payment_method,'Loan Tape (S&amp;P)'!P3125,
    occupancy,'Loan Tape (S&amp;P)'!N3125,
    maturity_date,'Loan Tape (S&amp;P)'!L3125,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26">
      <c r="J3126">
        <f>LET(
    lien,'Loan Tape (S&amp;P)'!Q3126,
    IF(lien="First",1.00,
        IF(lien="Second",1.50,
            1.70)))</f>
        <v/>
      </c>
      <c r="K3126">
        <f>LET(
    purpose,'Loan Tape (S&amp;P)'!R3126,
    IF(purpose="Purchase",1.00,
        IF(purpose="Remortgage",1.00,
            1.20)))</f>
        <v/>
      </c>
      <c r="L3126">
        <f>LET(
    arrears_months,'Loan Tape (S&amp;P)'!AN3126,
    IF(arrears_months=0,1.00,
    IF(arrears_months=1,3.00,
    IF(arrears_months=2,5.00,
    IF(arrears_months=3,8.00,
    IF(arrears_months=4,10.00,
    IF(arrears_months=5,12.00,15.00)))))))</f>
        <v/>
      </c>
      <c r="M3126">
        <f>LET(
    seasoning_years,DATEDIF('Loan Tape (S&amp;P)'!K3126,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26">
        <f>IF(AND('Loan Tape (S&amp;P)'!U3126="Yes",
        'Loan Tape (S&amp;P)'!T3126&lt;&gt;"Yes",
        DATEDIF('Loan Tape (S&amp;P)'!K3126, TODAY(), "M")&lt;18),
    1.10,
    1.00)</f>
        <v/>
      </c>
      <c r="O3126">
        <f>IF('Loan Tape (S&amp;P)'!T3126="Yes",
    1.35,
    1.00)</f>
        <v/>
      </c>
      <c r="P3126">
        <f>IF('Loan Tape (S&amp;P)'!S3126="Yes",
    1.15,
    1.00)</f>
        <v/>
      </c>
      <c r="Q3126">
        <f>IF('Loan Tape (S&amp;P)'!V3126="Yes",
    1.20,
    1.00)</f>
        <v/>
      </c>
      <c r="T3126">
        <f>LET(
    payment_method,'Loan Tape (S&amp;P)'!P3126,
    occupancy,'Loan Tape (S&amp;P)'!N3126,
    maturity_date,'Loan Tape (S&amp;P)'!L3126,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27">
      <c r="J3127">
        <f>LET(
    lien,'Loan Tape (S&amp;P)'!Q3127,
    IF(lien="First",1.00,
        IF(lien="Second",1.50,
            1.70)))</f>
        <v/>
      </c>
      <c r="K3127">
        <f>LET(
    purpose,'Loan Tape (S&amp;P)'!R3127,
    IF(purpose="Purchase",1.00,
        IF(purpose="Remortgage",1.00,
            1.20)))</f>
        <v/>
      </c>
      <c r="L3127">
        <f>LET(
    arrears_months,'Loan Tape (S&amp;P)'!AN3127,
    IF(arrears_months=0,1.00,
    IF(arrears_months=1,3.00,
    IF(arrears_months=2,5.00,
    IF(arrears_months=3,8.00,
    IF(arrears_months=4,10.00,
    IF(arrears_months=5,12.00,15.00)))))))</f>
        <v/>
      </c>
      <c r="M3127">
        <f>LET(
    seasoning_years,DATEDIF('Loan Tape (S&amp;P)'!K3127,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27">
        <f>IF(AND('Loan Tape (S&amp;P)'!U3127="Yes",
        'Loan Tape (S&amp;P)'!T3127&lt;&gt;"Yes",
        DATEDIF('Loan Tape (S&amp;P)'!K3127, TODAY(), "M")&lt;18),
    1.10,
    1.00)</f>
        <v/>
      </c>
      <c r="O3127">
        <f>IF('Loan Tape (S&amp;P)'!T3127="Yes",
    1.35,
    1.00)</f>
        <v/>
      </c>
      <c r="P3127">
        <f>IF('Loan Tape (S&amp;P)'!S3127="Yes",
    1.15,
    1.00)</f>
        <v/>
      </c>
      <c r="Q3127">
        <f>IF('Loan Tape (S&amp;P)'!V3127="Yes",
    1.20,
    1.00)</f>
        <v/>
      </c>
      <c r="T3127">
        <f>LET(
    payment_method,'Loan Tape (S&amp;P)'!P3127,
    occupancy,'Loan Tape (S&amp;P)'!N3127,
    maturity_date,'Loan Tape (S&amp;P)'!L3127,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28">
      <c r="J3128">
        <f>LET(
    lien,'Loan Tape (S&amp;P)'!Q3128,
    IF(lien="First",1.00,
        IF(lien="Second",1.50,
            1.70)))</f>
        <v/>
      </c>
      <c r="K3128">
        <f>LET(
    purpose,'Loan Tape (S&amp;P)'!R3128,
    IF(purpose="Purchase",1.00,
        IF(purpose="Remortgage",1.00,
            1.20)))</f>
        <v/>
      </c>
      <c r="L3128">
        <f>LET(
    arrears_months,'Loan Tape (S&amp;P)'!AN3128,
    IF(arrears_months=0,1.00,
    IF(arrears_months=1,3.00,
    IF(arrears_months=2,5.00,
    IF(arrears_months=3,8.00,
    IF(arrears_months=4,10.00,
    IF(arrears_months=5,12.00,15.00)))))))</f>
        <v/>
      </c>
      <c r="M3128">
        <f>LET(
    seasoning_years,DATEDIF('Loan Tape (S&amp;P)'!K3128,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28">
        <f>IF(AND('Loan Tape (S&amp;P)'!U3128="Yes",
        'Loan Tape (S&amp;P)'!T3128&lt;&gt;"Yes",
        DATEDIF('Loan Tape (S&amp;P)'!K3128, TODAY(), "M")&lt;18),
    1.10,
    1.00)</f>
        <v/>
      </c>
      <c r="O3128">
        <f>IF('Loan Tape (S&amp;P)'!T3128="Yes",
    1.35,
    1.00)</f>
        <v/>
      </c>
      <c r="P3128">
        <f>IF('Loan Tape (S&amp;P)'!S3128="Yes",
    1.15,
    1.00)</f>
        <v/>
      </c>
      <c r="Q3128">
        <f>IF('Loan Tape (S&amp;P)'!V3128="Yes",
    1.20,
    1.00)</f>
        <v/>
      </c>
      <c r="T3128">
        <f>LET(
    payment_method,'Loan Tape (S&amp;P)'!P3128,
    occupancy,'Loan Tape (S&amp;P)'!N3128,
    maturity_date,'Loan Tape (S&amp;P)'!L3128,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29">
      <c r="J3129">
        <f>LET(
    lien,'Loan Tape (S&amp;P)'!Q3129,
    IF(lien="First",1.00,
        IF(lien="Second",1.50,
            1.70)))</f>
        <v/>
      </c>
      <c r="K3129">
        <f>LET(
    purpose,'Loan Tape (S&amp;P)'!R3129,
    IF(purpose="Purchase",1.00,
        IF(purpose="Remortgage",1.00,
            1.20)))</f>
        <v/>
      </c>
      <c r="L3129">
        <f>LET(
    arrears_months,'Loan Tape (S&amp;P)'!AN3129,
    IF(arrears_months=0,1.00,
    IF(arrears_months=1,3.00,
    IF(arrears_months=2,5.00,
    IF(arrears_months=3,8.00,
    IF(arrears_months=4,10.00,
    IF(arrears_months=5,12.00,15.00)))))))</f>
        <v/>
      </c>
      <c r="M3129">
        <f>LET(
    seasoning_years,DATEDIF('Loan Tape (S&amp;P)'!K3129,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29">
        <f>IF(AND('Loan Tape (S&amp;P)'!U3129="Yes",
        'Loan Tape (S&amp;P)'!T3129&lt;&gt;"Yes",
        DATEDIF('Loan Tape (S&amp;P)'!K3129, TODAY(), "M")&lt;18),
    1.10,
    1.00)</f>
        <v/>
      </c>
      <c r="O3129">
        <f>IF('Loan Tape (S&amp;P)'!T3129="Yes",
    1.35,
    1.00)</f>
        <v/>
      </c>
      <c r="P3129">
        <f>IF('Loan Tape (S&amp;P)'!S3129="Yes",
    1.15,
    1.00)</f>
        <v/>
      </c>
      <c r="Q3129">
        <f>IF('Loan Tape (S&amp;P)'!V3129="Yes",
    1.20,
    1.00)</f>
        <v/>
      </c>
      <c r="T3129">
        <f>LET(
    payment_method,'Loan Tape (S&amp;P)'!P3129,
    occupancy,'Loan Tape (S&amp;P)'!N3129,
    maturity_date,'Loan Tape (S&amp;P)'!L3129,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30">
      <c r="J3130">
        <f>LET(
    lien,'Loan Tape (S&amp;P)'!Q3130,
    IF(lien="First",1.00,
        IF(lien="Second",1.50,
            1.70)))</f>
        <v/>
      </c>
      <c r="K3130">
        <f>LET(
    purpose,'Loan Tape (S&amp;P)'!R3130,
    IF(purpose="Purchase",1.00,
        IF(purpose="Remortgage",1.00,
            1.20)))</f>
        <v/>
      </c>
      <c r="L3130">
        <f>LET(
    arrears_months,'Loan Tape (S&amp;P)'!AN3130,
    IF(arrears_months=0,1.00,
    IF(arrears_months=1,3.00,
    IF(arrears_months=2,5.00,
    IF(arrears_months=3,8.00,
    IF(arrears_months=4,10.00,
    IF(arrears_months=5,12.00,15.00)))))))</f>
        <v/>
      </c>
      <c r="M3130">
        <f>LET(
    seasoning_years,DATEDIF('Loan Tape (S&amp;P)'!K3130,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30">
        <f>IF(AND('Loan Tape (S&amp;P)'!U3130="Yes",
        'Loan Tape (S&amp;P)'!T3130&lt;&gt;"Yes",
        DATEDIF('Loan Tape (S&amp;P)'!K3130, TODAY(), "M")&lt;18),
    1.10,
    1.00)</f>
        <v/>
      </c>
      <c r="O3130">
        <f>IF('Loan Tape (S&amp;P)'!T3130="Yes",
    1.35,
    1.00)</f>
        <v/>
      </c>
      <c r="P3130">
        <f>IF('Loan Tape (S&amp;P)'!S3130="Yes",
    1.15,
    1.00)</f>
        <v/>
      </c>
      <c r="Q3130">
        <f>IF('Loan Tape (S&amp;P)'!V3130="Yes",
    1.20,
    1.00)</f>
        <v/>
      </c>
      <c r="T3130">
        <f>LET(
    payment_method,'Loan Tape (S&amp;P)'!P3130,
    occupancy,'Loan Tape (S&amp;P)'!N3130,
    maturity_date,'Loan Tape (S&amp;P)'!L3130,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31">
      <c r="J3131">
        <f>LET(
    lien,'Loan Tape (S&amp;P)'!Q3131,
    IF(lien="First",1.00,
        IF(lien="Second",1.50,
            1.70)))</f>
        <v/>
      </c>
      <c r="K3131">
        <f>LET(
    purpose,'Loan Tape (S&amp;P)'!R3131,
    IF(purpose="Purchase",1.00,
        IF(purpose="Remortgage",1.00,
            1.20)))</f>
        <v/>
      </c>
      <c r="L3131">
        <f>LET(
    arrears_months,'Loan Tape (S&amp;P)'!AN3131,
    IF(arrears_months=0,1.00,
    IF(arrears_months=1,3.00,
    IF(arrears_months=2,5.00,
    IF(arrears_months=3,8.00,
    IF(arrears_months=4,10.00,
    IF(arrears_months=5,12.00,15.00)))))))</f>
        <v/>
      </c>
      <c r="M3131">
        <f>LET(
    seasoning_years,DATEDIF('Loan Tape (S&amp;P)'!K3131,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31">
        <f>IF(AND('Loan Tape (S&amp;P)'!U3131="Yes",
        'Loan Tape (S&amp;P)'!T3131&lt;&gt;"Yes",
        DATEDIF('Loan Tape (S&amp;P)'!K3131, TODAY(), "M")&lt;18),
    1.10,
    1.00)</f>
        <v/>
      </c>
      <c r="O3131">
        <f>IF('Loan Tape (S&amp;P)'!T3131="Yes",
    1.35,
    1.00)</f>
        <v/>
      </c>
      <c r="P3131">
        <f>IF('Loan Tape (S&amp;P)'!S3131="Yes",
    1.15,
    1.00)</f>
        <v/>
      </c>
      <c r="Q3131">
        <f>IF('Loan Tape (S&amp;P)'!V3131="Yes",
    1.20,
    1.00)</f>
        <v/>
      </c>
      <c r="T3131">
        <f>LET(
    payment_method,'Loan Tape (S&amp;P)'!P3131,
    occupancy,'Loan Tape (S&amp;P)'!N3131,
    maturity_date,'Loan Tape (S&amp;P)'!L3131,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32">
      <c r="J3132">
        <f>LET(
    lien,'Loan Tape (S&amp;P)'!Q3132,
    IF(lien="First",1.00,
        IF(lien="Second",1.50,
            1.70)))</f>
        <v/>
      </c>
      <c r="K3132">
        <f>LET(
    purpose,'Loan Tape (S&amp;P)'!R3132,
    IF(purpose="Purchase",1.00,
        IF(purpose="Remortgage",1.00,
            1.20)))</f>
        <v/>
      </c>
      <c r="L3132">
        <f>LET(
    arrears_months,'Loan Tape (S&amp;P)'!AN3132,
    IF(arrears_months=0,1.00,
    IF(arrears_months=1,3.00,
    IF(arrears_months=2,5.00,
    IF(arrears_months=3,8.00,
    IF(arrears_months=4,10.00,
    IF(arrears_months=5,12.00,15.00)))))))</f>
        <v/>
      </c>
      <c r="M3132">
        <f>LET(
    seasoning_years,DATEDIF('Loan Tape (S&amp;P)'!K3132,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32">
        <f>IF(AND('Loan Tape (S&amp;P)'!U3132="Yes",
        'Loan Tape (S&amp;P)'!T3132&lt;&gt;"Yes",
        DATEDIF('Loan Tape (S&amp;P)'!K3132, TODAY(), "M")&lt;18),
    1.10,
    1.00)</f>
        <v/>
      </c>
      <c r="O3132">
        <f>IF('Loan Tape (S&amp;P)'!T3132="Yes",
    1.35,
    1.00)</f>
        <v/>
      </c>
      <c r="P3132">
        <f>IF('Loan Tape (S&amp;P)'!S3132="Yes",
    1.15,
    1.00)</f>
        <v/>
      </c>
      <c r="Q3132">
        <f>IF('Loan Tape (S&amp;P)'!V3132="Yes",
    1.20,
    1.00)</f>
        <v/>
      </c>
      <c r="T3132">
        <f>LET(
    payment_method,'Loan Tape (S&amp;P)'!P3132,
    occupancy,'Loan Tape (S&amp;P)'!N3132,
    maturity_date,'Loan Tape (S&amp;P)'!L3132,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33">
      <c r="J3133">
        <f>LET(
    lien,'Loan Tape (S&amp;P)'!Q3133,
    IF(lien="First",1.00,
        IF(lien="Second",1.50,
            1.70)))</f>
        <v/>
      </c>
      <c r="K3133">
        <f>LET(
    purpose,'Loan Tape (S&amp;P)'!R3133,
    IF(purpose="Purchase",1.00,
        IF(purpose="Remortgage",1.00,
            1.20)))</f>
        <v/>
      </c>
      <c r="L3133">
        <f>LET(
    arrears_months,'Loan Tape (S&amp;P)'!AN3133,
    IF(arrears_months=0,1.00,
    IF(arrears_months=1,3.00,
    IF(arrears_months=2,5.00,
    IF(arrears_months=3,8.00,
    IF(arrears_months=4,10.00,
    IF(arrears_months=5,12.00,15.00)))))))</f>
        <v/>
      </c>
      <c r="M3133">
        <f>LET(
    seasoning_years,DATEDIF('Loan Tape (S&amp;P)'!K3133,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33">
        <f>IF(AND('Loan Tape (S&amp;P)'!U3133="Yes",
        'Loan Tape (S&amp;P)'!T3133&lt;&gt;"Yes",
        DATEDIF('Loan Tape (S&amp;P)'!K3133, TODAY(), "M")&lt;18),
    1.10,
    1.00)</f>
        <v/>
      </c>
      <c r="O3133">
        <f>IF('Loan Tape (S&amp;P)'!T3133="Yes",
    1.35,
    1.00)</f>
        <v/>
      </c>
      <c r="P3133">
        <f>IF('Loan Tape (S&amp;P)'!S3133="Yes",
    1.15,
    1.00)</f>
        <v/>
      </c>
      <c r="Q3133">
        <f>IF('Loan Tape (S&amp;P)'!V3133="Yes",
    1.20,
    1.00)</f>
        <v/>
      </c>
      <c r="T3133">
        <f>LET(
    payment_method,'Loan Tape (S&amp;P)'!P3133,
    occupancy,'Loan Tape (S&amp;P)'!N3133,
    maturity_date,'Loan Tape (S&amp;P)'!L3133,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34">
      <c r="J3134">
        <f>LET(
    lien,'Loan Tape (S&amp;P)'!Q3134,
    IF(lien="First",1.00,
        IF(lien="Second",1.50,
            1.70)))</f>
        <v/>
      </c>
      <c r="K3134">
        <f>LET(
    purpose,'Loan Tape (S&amp;P)'!R3134,
    IF(purpose="Purchase",1.00,
        IF(purpose="Remortgage",1.00,
            1.20)))</f>
        <v/>
      </c>
      <c r="L3134">
        <f>LET(
    arrears_months,'Loan Tape (S&amp;P)'!AN3134,
    IF(arrears_months=0,1.00,
    IF(arrears_months=1,3.00,
    IF(arrears_months=2,5.00,
    IF(arrears_months=3,8.00,
    IF(arrears_months=4,10.00,
    IF(arrears_months=5,12.00,15.00)))))))</f>
        <v/>
      </c>
      <c r="M3134">
        <f>LET(
    seasoning_years,DATEDIF('Loan Tape (S&amp;P)'!K3134,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34">
        <f>IF(AND('Loan Tape (S&amp;P)'!U3134="Yes",
        'Loan Tape (S&amp;P)'!T3134&lt;&gt;"Yes",
        DATEDIF('Loan Tape (S&amp;P)'!K3134, TODAY(), "M")&lt;18),
    1.10,
    1.00)</f>
        <v/>
      </c>
      <c r="O3134">
        <f>IF('Loan Tape (S&amp;P)'!T3134="Yes",
    1.35,
    1.00)</f>
        <v/>
      </c>
      <c r="P3134">
        <f>IF('Loan Tape (S&amp;P)'!S3134="Yes",
    1.15,
    1.00)</f>
        <v/>
      </c>
      <c r="Q3134">
        <f>IF('Loan Tape (S&amp;P)'!V3134="Yes",
    1.20,
    1.00)</f>
        <v/>
      </c>
      <c r="T3134">
        <f>LET(
    payment_method,'Loan Tape (S&amp;P)'!P3134,
    occupancy,'Loan Tape (S&amp;P)'!N3134,
    maturity_date,'Loan Tape (S&amp;P)'!L3134,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35">
      <c r="J3135">
        <f>LET(
    lien,'Loan Tape (S&amp;P)'!Q3135,
    IF(lien="First",1.00,
        IF(lien="Second",1.50,
            1.70)))</f>
        <v/>
      </c>
      <c r="K3135">
        <f>LET(
    purpose,'Loan Tape (S&amp;P)'!R3135,
    IF(purpose="Purchase",1.00,
        IF(purpose="Remortgage",1.00,
            1.20)))</f>
        <v/>
      </c>
      <c r="L3135">
        <f>LET(
    arrears_months,'Loan Tape (S&amp;P)'!AN3135,
    IF(arrears_months=0,1.00,
    IF(arrears_months=1,3.00,
    IF(arrears_months=2,5.00,
    IF(arrears_months=3,8.00,
    IF(arrears_months=4,10.00,
    IF(arrears_months=5,12.00,15.00)))))))</f>
        <v/>
      </c>
      <c r="M3135">
        <f>LET(
    seasoning_years,DATEDIF('Loan Tape (S&amp;P)'!K3135,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35">
        <f>IF(AND('Loan Tape (S&amp;P)'!U3135="Yes",
        'Loan Tape (S&amp;P)'!T3135&lt;&gt;"Yes",
        DATEDIF('Loan Tape (S&amp;P)'!K3135, TODAY(), "M")&lt;18),
    1.10,
    1.00)</f>
        <v/>
      </c>
      <c r="O3135">
        <f>IF('Loan Tape (S&amp;P)'!T3135="Yes",
    1.35,
    1.00)</f>
        <v/>
      </c>
      <c r="P3135">
        <f>IF('Loan Tape (S&amp;P)'!S3135="Yes",
    1.15,
    1.00)</f>
        <v/>
      </c>
      <c r="Q3135">
        <f>IF('Loan Tape (S&amp;P)'!V3135="Yes",
    1.20,
    1.00)</f>
        <v/>
      </c>
      <c r="T3135">
        <f>LET(
    payment_method,'Loan Tape (S&amp;P)'!P3135,
    occupancy,'Loan Tape (S&amp;P)'!N3135,
    maturity_date,'Loan Tape (S&amp;P)'!L3135,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36">
      <c r="J3136">
        <f>LET(
    lien,'Loan Tape (S&amp;P)'!Q3136,
    IF(lien="First",1.00,
        IF(lien="Second",1.50,
            1.70)))</f>
        <v/>
      </c>
      <c r="K3136">
        <f>LET(
    purpose,'Loan Tape (S&amp;P)'!R3136,
    IF(purpose="Purchase",1.00,
        IF(purpose="Remortgage",1.00,
            1.20)))</f>
        <v/>
      </c>
      <c r="L3136">
        <f>LET(
    arrears_months,'Loan Tape (S&amp;P)'!AN3136,
    IF(arrears_months=0,1.00,
    IF(arrears_months=1,3.00,
    IF(arrears_months=2,5.00,
    IF(arrears_months=3,8.00,
    IF(arrears_months=4,10.00,
    IF(arrears_months=5,12.00,15.00)))))))</f>
        <v/>
      </c>
      <c r="M3136">
        <f>LET(
    seasoning_years,DATEDIF('Loan Tape (S&amp;P)'!K3136,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36">
        <f>IF(AND('Loan Tape (S&amp;P)'!U3136="Yes",
        'Loan Tape (S&amp;P)'!T3136&lt;&gt;"Yes",
        DATEDIF('Loan Tape (S&amp;P)'!K3136, TODAY(), "M")&lt;18),
    1.10,
    1.00)</f>
        <v/>
      </c>
      <c r="O3136">
        <f>IF('Loan Tape (S&amp;P)'!T3136="Yes",
    1.35,
    1.00)</f>
        <v/>
      </c>
      <c r="P3136">
        <f>IF('Loan Tape (S&amp;P)'!S3136="Yes",
    1.15,
    1.00)</f>
        <v/>
      </c>
      <c r="Q3136">
        <f>IF('Loan Tape (S&amp;P)'!V3136="Yes",
    1.20,
    1.00)</f>
        <v/>
      </c>
      <c r="T3136">
        <f>LET(
    payment_method,'Loan Tape (S&amp;P)'!P3136,
    occupancy,'Loan Tape (S&amp;P)'!N3136,
    maturity_date,'Loan Tape (S&amp;P)'!L3136,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37">
      <c r="J3137">
        <f>LET(
    lien,'Loan Tape (S&amp;P)'!Q3137,
    IF(lien="First",1.00,
        IF(lien="Second",1.50,
            1.70)))</f>
        <v/>
      </c>
      <c r="K3137">
        <f>LET(
    purpose,'Loan Tape (S&amp;P)'!R3137,
    IF(purpose="Purchase",1.00,
        IF(purpose="Remortgage",1.00,
            1.20)))</f>
        <v/>
      </c>
      <c r="L3137">
        <f>LET(
    arrears_months,'Loan Tape (S&amp;P)'!AN3137,
    IF(arrears_months=0,1.00,
    IF(arrears_months=1,3.00,
    IF(arrears_months=2,5.00,
    IF(arrears_months=3,8.00,
    IF(arrears_months=4,10.00,
    IF(arrears_months=5,12.00,15.00)))))))</f>
        <v/>
      </c>
      <c r="M3137">
        <f>LET(
    seasoning_years,DATEDIF('Loan Tape (S&amp;P)'!K3137,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37">
        <f>IF(AND('Loan Tape (S&amp;P)'!U3137="Yes",
        'Loan Tape (S&amp;P)'!T3137&lt;&gt;"Yes",
        DATEDIF('Loan Tape (S&amp;P)'!K3137, TODAY(), "M")&lt;18),
    1.10,
    1.00)</f>
        <v/>
      </c>
      <c r="O3137">
        <f>IF('Loan Tape (S&amp;P)'!T3137="Yes",
    1.35,
    1.00)</f>
        <v/>
      </c>
      <c r="P3137">
        <f>IF('Loan Tape (S&amp;P)'!S3137="Yes",
    1.15,
    1.00)</f>
        <v/>
      </c>
      <c r="Q3137">
        <f>IF('Loan Tape (S&amp;P)'!V3137="Yes",
    1.20,
    1.00)</f>
        <v/>
      </c>
      <c r="T3137">
        <f>LET(
    payment_method,'Loan Tape (S&amp;P)'!P3137,
    occupancy,'Loan Tape (S&amp;P)'!N3137,
    maturity_date,'Loan Tape (S&amp;P)'!L3137,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38">
      <c r="J3138">
        <f>LET(
    lien,'Loan Tape (S&amp;P)'!Q3138,
    IF(lien="First",1.00,
        IF(lien="Second",1.50,
            1.70)))</f>
        <v/>
      </c>
      <c r="K3138">
        <f>LET(
    purpose,'Loan Tape (S&amp;P)'!R3138,
    IF(purpose="Purchase",1.00,
        IF(purpose="Remortgage",1.00,
            1.20)))</f>
        <v/>
      </c>
      <c r="L3138">
        <f>LET(
    arrears_months,'Loan Tape (S&amp;P)'!AN3138,
    IF(arrears_months=0,1.00,
    IF(arrears_months=1,3.00,
    IF(arrears_months=2,5.00,
    IF(arrears_months=3,8.00,
    IF(arrears_months=4,10.00,
    IF(arrears_months=5,12.00,15.00)))))))</f>
        <v/>
      </c>
      <c r="M3138">
        <f>LET(
    seasoning_years,DATEDIF('Loan Tape (S&amp;P)'!K3138,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38">
        <f>IF(AND('Loan Tape (S&amp;P)'!U3138="Yes",
        'Loan Tape (S&amp;P)'!T3138&lt;&gt;"Yes",
        DATEDIF('Loan Tape (S&amp;P)'!K3138, TODAY(), "M")&lt;18),
    1.10,
    1.00)</f>
        <v/>
      </c>
      <c r="O3138">
        <f>IF('Loan Tape (S&amp;P)'!T3138="Yes",
    1.35,
    1.00)</f>
        <v/>
      </c>
      <c r="P3138">
        <f>IF('Loan Tape (S&amp;P)'!S3138="Yes",
    1.15,
    1.00)</f>
        <v/>
      </c>
      <c r="Q3138">
        <f>IF('Loan Tape (S&amp;P)'!V3138="Yes",
    1.20,
    1.00)</f>
        <v/>
      </c>
      <c r="T3138">
        <f>LET(
    payment_method,'Loan Tape (S&amp;P)'!P3138,
    occupancy,'Loan Tape (S&amp;P)'!N3138,
    maturity_date,'Loan Tape (S&amp;P)'!L3138,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39">
      <c r="J3139">
        <f>LET(
    lien,'Loan Tape (S&amp;P)'!Q3139,
    IF(lien="First",1.00,
        IF(lien="Second",1.50,
            1.70)))</f>
        <v/>
      </c>
      <c r="K3139">
        <f>LET(
    purpose,'Loan Tape (S&amp;P)'!R3139,
    IF(purpose="Purchase",1.00,
        IF(purpose="Remortgage",1.00,
            1.20)))</f>
        <v/>
      </c>
      <c r="L3139">
        <f>LET(
    arrears_months,'Loan Tape (S&amp;P)'!AN3139,
    IF(arrears_months=0,1.00,
    IF(arrears_months=1,3.00,
    IF(arrears_months=2,5.00,
    IF(arrears_months=3,8.00,
    IF(arrears_months=4,10.00,
    IF(arrears_months=5,12.00,15.00)))))))</f>
        <v/>
      </c>
      <c r="M3139">
        <f>LET(
    seasoning_years,DATEDIF('Loan Tape (S&amp;P)'!K3139,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39">
        <f>IF(AND('Loan Tape (S&amp;P)'!U3139="Yes",
        'Loan Tape (S&amp;P)'!T3139&lt;&gt;"Yes",
        DATEDIF('Loan Tape (S&amp;P)'!K3139, TODAY(), "M")&lt;18),
    1.10,
    1.00)</f>
        <v/>
      </c>
      <c r="O3139">
        <f>IF('Loan Tape (S&amp;P)'!T3139="Yes",
    1.35,
    1.00)</f>
        <v/>
      </c>
      <c r="P3139">
        <f>IF('Loan Tape (S&amp;P)'!S3139="Yes",
    1.15,
    1.00)</f>
        <v/>
      </c>
      <c r="Q3139">
        <f>IF('Loan Tape (S&amp;P)'!V3139="Yes",
    1.20,
    1.00)</f>
        <v/>
      </c>
      <c r="T3139">
        <f>LET(
    payment_method,'Loan Tape (S&amp;P)'!P3139,
    occupancy,'Loan Tape (S&amp;P)'!N3139,
    maturity_date,'Loan Tape (S&amp;P)'!L3139,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40">
      <c r="J3140">
        <f>LET(
    lien,'Loan Tape (S&amp;P)'!Q3140,
    IF(lien="First",1.00,
        IF(lien="Second",1.50,
            1.70)))</f>
        <v/>
      </c>
      <c r="K3140">
        <f>LET(
    purpose,'Loan Tape (S&amp;P)'!R3140,
    IF(purpose="Purchase",1.00,
        IF(purpose="Remortgage",1.00,
            1.20)))</f>
        <v/>
      </c>
      <c r="L3140">
        <f>LET(
    arrears_months,'Loan Tape (S&amp;P)'!AN3140,
    IF(arrears_months=0,1.00,
    IF(arrears_months=1,3.00,
    IF(arrears_months=2,5.00,
    IF(arrears_months=3,8.00,
    IF(arrears_months=4,10.00,
    IF(arrears_months=5,12.00,15.00)))))))</f>
        <v/>
      </c>
      <c r="M3140">
        <f>LET(
    seasoning_years,DATEDIF('Loan Tape (S&amp;P)'!K3140,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40">
        <f>IF(AND('Loan Tape (S&amp;P)'!U3140="Yes",
        'Loan Tape (S&amp;P)'!T3140&lt;&gt;"Yes",
        DATEDIF('Loan Tape (S&amp;P)'!K3140, TODAY(), "M")&lt;18),
    1.10,
    1.00)</f>
        <v/>
      </c>
      <c r="O3140">
        <f>IF('Loan Tape (S&amp;P)'!T3140="Yes",
    1.35,
    1.00)</f>
        <v/>
      </c>
      <c r="P3140">
        <f>IF('Loan Tape (S&amp;P)'!S3140="Yes",
    1.15,
    1.00)</f>
        <v/>
      </c>
      <c r="Q3140">
        <f>IF('Loan Tape (S&amp;P)'!V3140="Yes",
    1.20,
    1.00)</f>
        <v/>
      </c>
      <c r="T3140">
        <f>LET(
    payment_method,'Loan Tape (S&amp;P)'!P3140,
    occupancy,'Loan Tape (S&amp;P)'!N3140,
    maturity_date,'Loan Tape (S&amp;P)'!L3140,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41">
      <c r="J3141">
        <f>LET(
    lien,'Loan Tape (S&amp;P)'!Q3141,
    IF(lien="First",1.00,
        IF(lien="Second",1.50,
            1.70)))</f>
        <v/>
      </c>
      <c r="K3141">
        <f>LET(
    purpose,'Loan Tape (S&amp;P)'!R3141,
    IF(purpose="Purchase",1.00,
        IF(purpose="Remortgage",1.00,
            1.20)))</f>
        <v/>
      </c>
      <c r="L3141">
        <f>LET(
    arrears_months,'Loan Tape (S&amp;P)'!AN3141,
    IF(arrears_months=0,1.00,
    IF(arrears_months=1,3.00,
    IF(arrears_months=2,5.00,
    IF(arrears_months=3,8.00,
    IF(arrears_months=4,10.00,
    IF(arrears_months=5,12.00,15.00)))))))</f>
        <v/>
      </c>
      <c r="M3141">
        <f>LET(
    seasoning_years,DATEDIF('Loan Tape (S&amp;P)'!K3141,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41">
        <f>IF(AND('Loan Tape (S&amp;P)'!U3141="Yes",
        'Loan Tape (S&amp;P)'!T3141&lt;&gt;"Yes",
        DATEDIF('Loan Tape (S&amp;P)'!K3141, TODAY(), "M")&lt;18),
    1.10,
    1.00)</f>
        <v/>
      </c>
      <c r="O3141">
        <f>IF('Loan Tape (S&amp;P)'!T3141="Yes",
    1.35,
    1.00)</f>
        <v/>
      </c>
      <c r="P3141">
        <f>IF('Loan Tape (S&amp;P)'!S3141="Yes",
    1.15,
    1.00)</f>
        <v/>
      </c>
      <c r="Q3141">
        <f>IF('Loan Tape (S&amp;P)'!V3141="Yes",
    1.20,
    1.00)</f>
        <v/>
      </c>
      <c r="T3141">
        <f>LET(
    payment_method,'Loan Tape (S&amp;P)'!P3141,
    occupancy,'Loan Tape (S&amp;P)'!N3141,
    maturity_date,'Loan Tape (S&amp;P)'!L3141,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42">
      <c r="J3142">
        <f>LET(
    lien,'Loan Tape (S&amp;P)'!Q3142,
    IF(lien="First",1.00,
        IF(lien="Second",1.50,
            1.70)))</f>
        <v/>
      </c>
      <c r="K3142">
        <f>LET(
    purpose,'Loan Tape (S&amp;P)'!R3142,
    IF(purpose="Purchase",1.00,
        IF(purpose="Remortgage",1.00,
            1.20)))</f>
        <v/>
      </c>
      <c r="L3142">
        <f>LET(
    arrears_months,'Loan Tape (S&amp;P)'!AN3142,
    IF(arrears_months=0,1.00,
    IF(arrears_months=1,3.00,
    IF(arrears_months=2,5.00,
    IF(arrears_months=3,8.00,
    IF(arrears_months=4,10.00,
    IF(arrears_months=5,12.00,15.00)))))))</f>
        <v/>
      </c>
      <c r="M3142">
        <f>LET(
    seasoning_years,DATEDIF('Loan Tape (S&amp;P)'!K3142,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42">
        <f>IF(AND('Loan Tape (S&amp;P)'!U3142="Yes",
        'Loan Tape (S&amp;P)'!T3142&lt;&gt;"Yes",
        DATEDIF('Loan Tape (S&amp;P)'!K3142, TODAY(), "M")&lt;18),
    1.10,
    1.00)</f>
        <v/>
      </c>
      <c r="O3142">
        <f>IF('Loan Tape (S&amp;P)'!T3142="Yes",
    1.35,
    1.00)</f>
        <v/>
      </c>
      <c r="P3142">
        <f>IF('Loan Tape (S&amp;P)'!S3142="Yes",
    1.15,
    1.00)</f>
        <v/>
      </c>
      <c r="Q3142">
        <f>IF('Loan Tape (S&amp;P)'!V3142="Yes",
    1.20,
    1.00)</f>
        <v/>
      </c>
      <c r="T3142">
        <f>LET(
    payment_method,'Loan Tape (S&amp;P)'!P3142,
    occupancy,'Loan Tape (S&amp;P)'!N3142,
    maturity_date,'Loan Tape (S&amp;P)'!L3142,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43">
      <c r="J3143">
        <f>LET(
    lien,'Loan Tape (S&amp;P)'!Q3143,
    IF(lien="First",1.00,
        IF(lien="Second",1.50,
            1.70)))</f>
        <v/>
      </c>
      <c r="K3143">
        <f>LET(
    purpose,'Loan Tape (S&amp;P)'!R3143,
    IF(purpose="Purchase",1.00,
        IF(purpose="Remortgage",1.00,
            1.20)))</f>
        <v/>
      </c>
      <c r="L3143">
        <f>LET(
    arrears_months,'Loan Tape (S&amp;P)'!AN3143,
    IF(arrears_months=0,1.00,
    IF(arrears_months=1,3.00,
    IF(arrears_months=2,5.00,
    IF(arrears_months=3,8.00,
    IF(arrears_months=4,10.00,
    IF(arrears_months=5,12.00,15.00)))))))</f>
        <v/>
      </c>
      <c r="M3143">
        <f>LET(
    seasoning_years,DATEDIF('Loan Tape (S&amp;P)'!K3143,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43">
        <f>IF(AND('Loan Tape (S&amp;P)'!U3143="Yes",
        'Loan Tape (S&amp;P)'!T3143&lt;&gt;"Yes",
        DATEDIF('Loan Tape (S&amp;P)'!K3143, TODAY(), "M")&lt;18),
    1.10,
    1.00)</f>
        <v/>
      </c>
      <c r="O3143">
        <f>IF('Loan Tape (S&amp;P)'!T3143="Yes",
    1.35,
    1.00)</f>
        <v/>
      </c>
      <c r="P3143">
        <f>IF('Loan Tape (S&amp;P)'!S3143="Yes",
    1.15,
    1.00)</f>
        <v/>
      </c>
      <c r="Q3143">
        <f>IF('Loan Tape (S&amp;P)'!V3143="Yes",
    1.20,
    1.00)</f>
        <v/>
      </c>
      <c r="T3143">
        <f>LET(
    payment_method,'Loan Tape (S&amp;P)'!P3143,
    occupancy,'Loan Tape (S&amp;P)'!N3143,
    maturity_date,'Loan Tape (S&amp;P)'!L3143,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44">
      <c r="J3144">
        <f>LET(
    lien,'Loan Tape (S&amp;P)'!Q3144,
    IF(lien="First",1.00,
        IF(lien="Second",1.50,
            1.70)))</f>
        <v/>
      </c>
      <c r="K3144">
        <f>LET(
    purpose,'Loan Tape (S&amp;P)'!R3144,
    IF(purpose="Purchase",1.00,
        IF(purpose="Remortgage",1.00,
            1.20)))</f>
        <v/>
      </c>
      <c r="L3144">
        <f>LET(
    arrears_months,'Loan Tape (S&amp;P)'!AN3144,
    IF(arrears_months=0,1.00,
    IF(arrears_months=1,3.00,
    IF(arrears_months=2,5.00,
    IF(arrears_months=3,8.00,
    IF(arrears_months=4,10.00,
    IF(arrears_months=5,12.00,15.00)))))))</f>
        <v/>
      </c>
      <c r="M3144">
        <f>LET(
    seasoning_years,DATEDIF('Loan Tape (S&amp;P)'!K3144,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44">
        <f>IF(AND('Loan Tape (S&amp;P)'!U3144="Yes",
        'Loan Tape (S&amp;P)'!T3144&lt;&gt;"Yes",
        DATEDIF('Loan Tape (S&amp;P)'!K3144, TODAY(), "M")&lt;18),
    1.10,
    1.00)</f>
        <v/>
      </c>
      <c r="O3144">
        <f>IF('Loan Tape (S&amp;P)'!T3144="Yes",
    1.35,
    1.00)</f>
        <v/>
      </c>
      <c r="P3144">
        <f>IF('Loan Tape (S&amp;P)'!S3144="Yes",
    1.15,
    1.00)</f>
        <v/>
      </c>
      <c r="Q3144">
        <f>IF('Loan Tape (S&amp;P)'!V3144="Yes",
    1.20,
    1.00)</f>
        <v/>
      </c>
      <c r="T3144">
        <f>LET(
    payment_method,'Loan Tape (S&amp;P)'!P3144,
    occupancy,'Loan Tape (S&amp;P)'!N3144,
    maturity_date,'Loan Tape (S&amp;P)'!L3144,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45">
      <c r="J3145">
        <f>LET(
    lien,'Loan Tape (S&amp;P)'!Q3145,
    IF(lien="First",1.00,
        IF(lien="Second",1.50,
            1.70)))</f>
        <v/>
      </c>
      <c r="K3145">
        <f>LET(
    purpose,'Loan Tape (S&amp;P)'!R3145,
    IF(purpose="Purchase",1.00,
        IF(purpose="Remortgage",1.00,
            1.20)))</f>
        <v/>
      </c>
      <c r="L3145">
        <f>LET(
    arrears_months,'Loan Tape (S&amp;P)'!AN3145,
    IF(arrears_months=0,1.00,
    IF(arrears_months=1,3.00,
    IF(arrears_months=2,5.00,
    IF(arrears_months=3,8.00,
    IF(arrears_months=4,10.00,
    IF(arrears_months=5,12.00,15.00)))))))</f>
        <v/>
      </c>
      <c r="M3145">
        <f>LET(
    seasoning_years,DATEDIF('Loan Tape (S&amp;P)'!K3145,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45">
        <f>IF(AND('Loan Tape (S&amp;P)'!U3145="Yes",
        'Loan Tape (S&amp;P)'!T3145&lt;&gt;"Yes",
        DATEDIF('Loan Tape (S&amp;P)'!K3145, TODAY(), "M")&lt;18),
    1.10,
    1.00)</f>
        <v/>
      </c>
      <c r="O3145">
        <f>IF('Loan Tape (S&amp;P)'!T3145="Yes",
    1.35,
    1.00)</f>
        <v/>
      </c>
      <c r="P3145">
        <f>IF('Loan Tape (S&amp;P)'!S3145="Yes",
    1.15,
    1.00)</f>
        <v/>
      </c>
      <c r="Q3145">
        <f>IF('Loan Tape (S&amp;P)'!V3145="Yes",
    1.20,
    1.00)</f>
        <v/>
      </c>
      <c r="T3145">
        <f>LET(
    payment_method,'Loan Tape (S&amp;P)'!P3145,
    occupancy,'Loan Tape (S&amp;P)'!N3145,
    maturity_date,'Loan Tape (S&amp;P)'!L3145,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46">
      <c r="J3146">
        <f>LET(
    lien,'Loan Tape (S&amp;P)'!Q3146,
    IF(lien="First",1.00,
        IF(lien="Second",1.50,
            1.70)))</f>
        <v/>
      </c>
      <c r="K3146">
        <f>LET(
    purpose,'Loan Tape (S&amp;P)'!R3146,
    IF(purpose="Purchase",1.00,
        IF(purpose="Remortgage",1.00,
            1.20)))</f>
        <v/>
      </c>
      <c r="L3146">
        <f>LET(
    arrears_months,'Loan Tape (S&amp;P)'!AN3146,
    IF(arrears_months=0,1.00,
    IF(arrears_months=1,3.00,
    IF(arrears_months=2,5.00,
    IF(arrears_months=3,8.00,
    IF(arrears_months=4,10.00,
    IF(arrears_months=5,12.00,15.00)))))))</f>
        <v/>
      </c>
      <c r="M3146">
        <f>LET(
    seasoning_years,DATEDIF('Loan Tape (S&amp;P)'!K3146,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46">
        <f>IF(AND('Loan Tape (S&amp;P)'!U3146="Yes",
        'Loan Tape (S&amp;P)'!T3146&lt;&gt;"Yes",
        DATEDIF('Loan Tape (S&amp;P)'!K3146, TODAY(), "M")&lt;18),
    1.10,
    1.00)</f>
        <v/>
      </c>
      <c r="O3146">
        <f>IF('Loan Tape (S&amp;P)'!T3146="Yes",
    1.35,
    1.00)</f>
        <v/>
      </c>
      <c r="P3146">
        <f>IF('Loan Tape (S&amp;P)'!S3146="Yes",
    1.15,
    1.00)</f>
        <v/>
      </c>
      <c r="Q3146">
        <f>IF('Loan Tape (S&amp;P)'!V3146="Yes",
    1.20,
    1.00)</f>
        <v/>
      </c>
      <c r="T3146">
        <f>LET(
    payment_method,'Loan Tape (S&amp;P)'!P3146,
    occupancy,'Loan Tape (S&amp;P)'!N3146,
    maturity_date,'Loan Tape (S&amp;P)'!L3146,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47">
      <c r="J3147">
        <f>LET(
    lien,'Loan Tape (S&amp;P)'!Q3147,
    IF(lien="First",1.00,
        IF(lien="Second",1.50,
            1.70)))</f>
        <v/>
      </c>
      <c r="K3147">
        <f>LET(
    purpose,'Loan Tape (S&amp;P)'!R3147,
    IF(purpose="Purchase",1.00,
        IF(purpose="Remortgage",1.00,
            1.20)))</f>
        <v/>
      </c>
      <c r="L3147">
        <f>LET(
    arrears_months,'Loan Tape (S&amp;P)'!AN3147,
    IF(arrears_months=0,1.00,
    IF(arrears_months=1,3.00,
    IF(arrears_months=2,5.00,
    IF(arrears_months=3,8.00,
    IF(arrears_months=4,10.00,
    IF(arrears_months=5,12.00,15.00)))))))</f>
        <v/>
      </c>
      <c r="M3147">
        <f>LET(
    seasoning_years,DATEDIF('Loan Tape (S&amp;P)'!K3147,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47">
        <f>IF(AND('Loan Tape (S&amp;P)'!U3147="Yes",
        'Loan Tape (S&amp;P)'!T3147&lt;&gt;"Yes",
        DATEDIF('Loan Tape (S&amp;P)'!K3147, TODAY(), "M")&lt;18),
    1.10,
    1.00)</f>
        <v/>
      </c>
      <c r="O3147">
        <f>IF('Loan Tape (S&amp;P)'!T3147="Yes",
    1.35,
    1.00)</f>
        <v/>
      </c>
      <c r="P3147">
        <f>IF('Loan Tape (S&amp;P)'!S3147="Yes",
    1.15,
    1.00)</f>
        <v/>
      </c>
      <c r="Q3147">
        <f>IF('Loan Tape (S&amp;P)'!V3147="Yes",
    1.20,
    1.00)</f>
        <v/>
      </c>
      <c r="T3147">
        <f>LET(
    payment_method,'Loan Tape (S&amp;P)'!P3147,
    occupancy,'Loan Tape (S&amp;P)'!N3147,
    maturity_date,'Loan Tape (S&amp;P)'!L3147,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48">
      <c r="J3148">
        <f>LET(
    lien,'Loan Tape (S&amp;P)'!Q3148,
    IF(lien="First",1.00,
        IF(lien="Second",1.50,
            1.70)))</f>
        <v/>
      </c>
      <c r="K3148">
        <f>LET(
    purpose,'Loan Tape (S&amp;P)'!R3148,
    IF(purpose="Purchase",1.00,
        IF(purpose="Remortgage",1.00,
            1.20)))</f>
        <v/>
      </c>
      <c r="L3148">
        <f>LET(
    arrears_months,'Loan Tape (S&amp;P)'!AN3148,
    IF(arrears_months=0,1.00,
    IF(arrears_months=1,3.00,
    IF(arrears_months=2,5.00,
    IF(arrears_months=3,8.00,
    IF(arrears_months=4,10.00,
    IF(arrears_months=5,12.00,15.00)))))))</f>
        <v/>
      </c>
      <c r="M3148">
        <f>LET(
    seasoning_years,DATEDIF('Loan Tape (S&amp;P)'!K3148,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48">
        <f>IF(AND('Loan Tape (S&amp;P)'!U3148="Yes",
        'Loan Tape (S&amp;P)'!T3148&lt;&gt;"Yes",
        DATEDIF('Loan Tape (S&amp;P)'!K3148, TODAY(), "M")&lt;18),
    1.10,
    1.00)</f>
        <v/>
      </c>
      <c r="O3148">
        <f>IF('Loan Tape (S&amp;P)'!T3148="Yes",
    1.35,
    1.00)</f>
        <v/>
      </c>
      <c r="P3148">
        <f>IF('Loan Tape (S&amp;P)'!S3148="Yes",
    1.15,
    1.00)</f>
        <v/>
      </c>
      <c r="Q3148">
        <f>IF('Loan Tape (S&amp;P)'!V3148="Yes",
    1.20,
    1.00)</f>
        <v/>
      </c>
      <c r="T3148">
        <f>LET(
    payment_method,'Loan Tape (S&amp;P)'!P3148,
    occupancy,'Loan Tape (S&amp;P)'!N3148,
    maturity_date,'Loan Tape (S&amp;P)'!L3148,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49">
      <c r="J3149">
        <f>LET(
    lien,'Loan Tape (S&amp;P)'!Q3149,
    IF(lien="First",1.00,
        IF(lien="Second",1.50,
            1.70)))</f>
        <v/>
      </c>
      <c r="K3149">
        <f>LET(
    purpose,'Loan Tape (S&amp;P)'!R3149,
    IF(purpose="Purchase",1.00,
        IF(purpose="Remortgage",1.00,
            1.20)))</f>
        <v/>
      </c>
      <c r="L3149">
        <f>LET(
    arrears_months,'Loan Tape (S&amp;P)'!AN3149,
    IF(arrears_months=0,1.00,
    IF(arrears_months=1,3.00,
    IF(arrears_months=2,5.00,
    IF(arrears_months=3,8.00,
    IF(arrears_months=4,10.00,
    IF(arrears_months=5,12.00,15.00)))))))</f>
        <v/>
      </c>
      <c r="M3149">
        <f>LET(
    seasoning_years,DATEDIF('Loan Tape (S&amp;P)'!K3149,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49">
        <f>IF(AND('Loan Tape (S&amp;P)'!U3149="Yes",
        'Loan Tape (S&amp;P)'!T3149&lt;&gt;"Yes",
        DATEDIF('Loan Tape (S&amp;P)'!K3149, TODAY(), "M")&lt;18),
    1.10,
    1.00)</f>
        <v/>
      </c>
      <c r="O3149">
        <f>IF('Loan Tape (S&amp;P)'!T3149="Yes",
    1.35,
    1.00)</f>
        <v/>
      </c>
      <c r="P3149">
        <f>IF('Loan Tape (S&amp;P)'!S3149="Yes",
    1.15,
    1.00)</f>
        <v/>
      </c>
      <c r="Q3149">
        <f>IF('Loan Tape (S&amp;P)'!V3149="Yes",
    1.20,
    1.00)</f>
        <v/>
      </c>
      <c r="T3149">
        <f>LET(
    payment_method,'Loan Tape (S&amp;P)'!P3149,
    occupancy,'Loan Tape (S&amp;P)'!N3149,
    maturity_date,'Loan Tape (S&amp;P)'!L3149,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50">
      <c r="J3150">
        <f>LET(
    lien,'Loan Tape (S&amp;P)'!Q3150,
    IF(lien="First",1.00,
        IF(lien="Second",1.50,
            1.70)))</f>
        <v/>
      </c>
      <c r="K3150">
        <f>LET(
    purpose,'Loan Tape (S&amp;P)'!R3150,
    IF(purpose="Purchase",1.00,
        IF(purpose="Remortgage",1.00,
            1.20)))</f>
        <v/>
      </c>
      <c r="L3150">
        <f>LET(
    arrears_months,'Loan Tape (S&amp;P)'!AN3150,
    IF(arrears_months=0,1.00,
    IF(arrears_months=1,3.00,
    IF(arrears_months=2,5.00,
    IF(arrears_months=3,8.00,
    IF(arrears_months=4,10.00,
    IF(arrears_months=5,12.00,15.00)))))))</f>
        <v/>
      </c>
      <c r="M3150">
        <f>LET(
    seasoning_years,DATEDIF('Loan Tape (S&amp;P)'!K3150,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50">
        <f>IF(AND('Loan Tape (S&amp;P)'!U3150="Yes",
        'Loan Tape (S&amp;P)'!T3150&lt;&gt;"Yes",
        DATEDIF('Loan Tape (S&amp;P)'!K3150, TODAY(), "M")&lt;18),
    1.10,
    1.00)</f>
        <v/>
      </c>
      <c r="O3150">
        <f>IF('Loan Tape (S&amp;P)'!T3150="Yes",
    1.35,
    1.00)</f>
        <v/>
      </c>
      <c r="P3150">
        <f>IF('Loan Tape (S&amp;P)'!S3150="Yes",
    1.15,
    1.00)</f>
        <v/>
      </c>
      <c r="Q3150">
        <f>IF('Loan Tape (S&amp;P)'!V3150="Yes",
    1.20,
    1.00)</f>
        <v/>
      </c>
      <c r="T3150">
        <f>LET(
    payment_method,'Loan Tape (S&amp;P)'!P3150,
    occupancy,'Loan Tape (S&amp;P)'!N3150,
    maturity_date,'Loan Tape (S&amp;P)'!L3150,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51">
      <c r="J3151">
        <f>LET(
    lien,'Loan Tape (S&amp;P)'!Q3151,
    IF(lien="First",1.00,
        IF(lien="Second",1.50,
            1.70)))</f>
        <v/>
      </c>
      <c r="K3151">
        <f>LET(
    purpose,'Loan Tape (S&amp;P)'!R3151,
    IF(purpose="Purchase",1.00,
        IF(purpose="Remortgage",1.00,
            1.20)))</f>
        <v/>
      </c>
      <c r="L3151">
        <f>LET(
    arrears_months,'Loan Tape (S&amp;P)'!AN3151,
    IF(arrears_months=0,1.00,
    IF(arrears_months=1,3.00,
    IF(arrears_months=2,5.00,
    IF(arrears_months=3,8.00,
    IF(arrears_months=4,10.00,
    IF(arrears_months=5,12.00,15.00)))))))</f>
        <v/>
      </c>
      <c r="M3151">
        <f>LET(
    seasoning_years,DATEDIF('Loan Tape (S&amp;P)'!K3151,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51">
        <f>IF(AND('Loan Tape (S&amp;P)'!U3151="Yes",
        'Loan Tape (S&amp;P)'!T3151&lt;&gt;"Yes",
        DATEDIF('Loan Tape (S&amp;P)'!K3151, TODAY(), "M")&lt;18),
    1.10,
    1.00)</f>
        <v/>
      </c>
      <c r="O3151">
        <f>IF('Loan Tape (S&amp;P)'!T3151="Yes",
    1.35,
    1.00)</f>
        <v/>
      </c>
      <c r="P3151">
        <f>IF('Loan Tape (S&amp;P)'!S3151="Yes",
    1.15,
    1.00)</f>
        <v/>
      </c>
      <c r="Q3151">
        <f>IF('Loan Tape (S&amp;P)'!V3151="Yes",
    1.20,
    1.00)</f>
        <v/>
      </c>
      <c r="T3151">
        <f>LET(
    payment_method,'Loan Tape (S&amp;P)'!P3151,
    occupancy,'Loan Tape (S&amp;P)'!N3151,
    maturity_date,'Loan Tape (S&amp;P)'!L3151,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52">
      <c r="J3152">
        <f>LET(
    lien,'Loan Tape (S&amp;P)'!Q3152,
    IF(lien="First",1.00,
        IF(lien="Second",1.50,
            1.70)))</f>
        <v/>
      </c>
      <c r="K3152">
        <f>LET(
    purpose,'Loan Tape (S&amp;P)'!R3152,
    IF(purpose="Purchase",1.00,
        IF(purpose="Remortgage",1.00,
            1.20)))</f>
        <v/>
      </c>
      <c r="L3152">
        <f>LET(
    arrears_months,'Loan Tape (S&amp;P)'!AN3152,
    IF(arrears_months=0,1.00,
    IF(arrears_months=1,3.00,
    IF(arrears_months=2,5.00,
    IF(arrears_months=3,8.00,
    IF(arrears_months=4,10.00,
    IF(arrears_months=5,12.00,15.00)))))))</f>
        <v/>
      </c>
      <c r="M3152">
        <f>LET(
    seasoning_years,DATEDIF('Loan Tape (S&amp;P)'!K3152,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52">
        <f>IF(AND('Loan Tape (S&amp;P)'!U3152="Yes",
        'Loan Tape (S&amp;P)'!T3152&lt;&gt;"Yes",
        DATEDIF('Loan Tape (S&amp;P)'!K3152, TODAY(), "M")&lt;18),
    1.10,
    1.00)</f>
        <v/>
      </c>
      <c r="O3152">
        <f>IF('Loan Tape (S&amp;P)'!T3152="Yes",
    1.35,
    1.00)</f>
        <v/>
      </c>
      <c r="P3152">
        <f>IF('Loan Tape (S&amp;P)'!S3152="Yes",
    1.15,
    1.00)</f>
        <v/>
      </c>
      <c r="Q3152">
        <f>IF('Loan Tape (S&amp;P)'!V3152="Yes",
    1.20,
    1.00)</f>
        <v/>
      </c>
      <c r="T3152">
        <f>LET(
    payment_method,'Loan Tape (S&amp;P)'!P3152,
    occupancy,'Loan Tape (S&amp;P)'!N3152,
    maturity_date,'Loan Tape (S&amp;P)'!L3152,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53">
      <c r="J3153">
        <f>LET(
    lien,'Loan Tape (S&amp;P)'!Q3153,
    IF(lien="First",1.00,
        IF(lien="Second",1.50,
            1.70)))</f>
        <v/>
      </c>
      <c r="K3153">
        <f>LET(
    purpose,'Loan Tape (S&amp;P)'!R3153,
    IF(purpose="Purchase",1.00,
        IF(purpose="Remortgage",1.00,
            1.20)))</f>
        <v/>
      </c>
      <c r="L3153">
        <f>LET(
    arrears_months,'Loan Tape (S&amp;P)'!AN3153,
    IF(arrears_months=0,1.00,
    IF(arrears_months=1,3.00,
    IF(arrears_months=2,5.00,
    IF(arrears_months=3,8.00,
    IF(arrears_months=4,10.00,
    IF(arrears_months=5,12.00,15.00)))))))</f>
        <v/>
      </c>
      <c r="M3153">
        <f>LET(
    seasoning_years,DATEDIF('Loan Tape (S&amp;P)'!K3153,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53">
        <f>IF(AND('Loan Tape (S&amp;P)'!U3153="Yes",
        'Loan Tape (S&amp;P)'!T3153&lt;&gt;"Yes",
        DATEDIF('Loan Tape (S&amp;P)'!K3153, TODAY(), "M")&lt;18),
    1.10,
    1.00)</f>
        <v/>
      </c>
      <c r="O3153">
        <f>IF('Loan Tape (S&amp;P)'!T3153="Yes",
    1.35,
    1.00)</f>
        <v/>
      </c>
      <c r="P3153">
        <f>IF('Loan Tape (S&amp;P)'!S3153="Yes",
    1.15,
    1.00)</f>
        <v/>
      </c>
      <c r="Q3153">
        <f>IF('Loan Tape (S&amp;P)'!V3153="Yes",
    1.20,
    1.00)</f>
        <v/>
      </c>
      <c r="T3153">
        <f>LET(
    payment_method,'Loan Tape (S&amp;P)'!P3153,
    occupancy,'Loan Tape (S&amp;P)'!N3153,
    maturity_date,'Loan Tape (S&amp;P)'!L3153,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54">
      <c r="J3154">
        <f>LET(
    lien,'Loan Tape (S&amp;P)'!Q3154,
    IF(lien="First",1.00,
        IF(lien="Second",1.50,
            1.70)))</f>
        <v/>
      </c>
      <c r="K3154">
        <f>LET(
    purpose,'Loan Tape (S&amp;P)'!R3154,
    IF(purpose="Purchase",1.00,
        IF(purpose="Remortgage",1.00,
            1.20)))</f>
        <v/>
      </c>
      <c r="L3154">
        <f>LET(
    arrears_months,'Loan Tape (S&amp;P)'!AN3154,
    IF(arrears_months=0,1.00,
    IF(arrears_months=1,3.00,
    IF(arrears_months=2,5.00,
    IF(arrears_months=3,8.00,
    IF(arrears_months=4,10.00,
    IF(arrears_months=5,12.00,15.00)))))))</f>
        <v/>
      </c>
      <c r="M3154">
        <f>LET(
    seasoning_years,DATEDIF('Loan Tape (S&amp;P)'!K3154,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54">
        <f>IF(AND('Loan Tape (S&amp;P)'!U3154="Yes",
        'Loan Tape (S&amp;P)'!T3154&lt;&gt;"Yes",
        DATEDIF('Loan Tape (S&amp;P)'!K3154, TODAY(), "M")&lt;18),
    1.10,
    1.00)</f>
        <v/>
      </c>
      <c r="O3154">
        <f>IF('Loan Tape (S&amp;P)'!T3154="Yes",
    1.35,
    1.00)</f>
        <v/>
      </c>
      <c r="P3154">
        <f>IF('Loan Tape (S&amp;P)'!S3154="Yes",
    1.15,
    1.00)</f>
        <v/>
      </c>
      <c r="Q3154">
        <f>IF('Loan Tape (S&amp;P)'!V3154="Yes",
    1.20,
    1.00)</f>
        <v/>
      </c>
      <c r="T3154">
        <f>LET(
    payment_method,'Loan Tape (S&amp;P)'!P3154,
    occupancy,'Loan Tape (S&amp;P)'!N3154,
    maturity_date,'Loan Tape (S&amp;P)'!L3154,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55">
      <c r="J3155">
        <f>LET(
    lien,'Loan Tape (S&amp;P)'!Q3155,
    IF(lien="First",1.00,
        IF(lien="Second",1.50,
            1.70)))</f>
        <v/>
      </c>
      <c r="K3155">
        <f>LET(
    purpose,'Loan Tape (S&amp;P)'!R3155,
    IF(purpose="Purchase",1.00,
        IF(purpose="Remortgage",1.00,
            1.20)))</f>
        <v/>
      </c>
      <c r="L3155">
        <f>LET(
    arrears_months,'Loan Tape (S&amp;P)'!AN3155,
    IF(arrears_months=0,1.00,
    IF(arrears_months=1,3.00,
    IF(arrears_months=2,5.00,
    IF(arrears_months=3,8.00,
    IF(arrears_months=4,10.00,
    IF(arrears_months=5,12.00,15.00)))))))</f>
        <v/>
      </c>
      <c r="M3155">
        <f>LET(
    seasoning_years,DATEDIF('Loan Tape (S&amp;P)'!K3155,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55">
        <f>IF(AND('Loan Tape (S&amp;P)'!U3155="Yes",
        'Loan Tape (S&amp;P)'!T3155&lt;&gt;"Yes",
        DATEDIF('Loan Tape (S&amp;P)'!K3155, TODAY(), "M")&lt;18),
    1.10,
    1.00)</f>
        <v/>
      </c>
      <c r="O3155">
        <f>IF('Loan Tape (S&amp;P)'!T3155="Yes",
    1.35,
    1.00)</f>
        <v/>
      </c>
      <c r="P3155">
        <f>IF('Loan Tape (S&amp;P)'!S3155="Yes",
    1.15,
    1.00)</f>
        <v/>
      </c>
      <c r="Q3155">
        <f>IF('Loan Tape (S&amp;P)'!V3155="Yes",
    1.20,
    1.00)</f>
        <v/>
      </c>
      <c r="T3155">
        <f>LET(
    payment_method,'Loan Tape (S&amp;P)'!P3155,
    occupancy,'Loan Tape (S&amp;P)'!N3155,
    maturity_date,'Loan Tape (S&amp;P)'!L3155,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56">
      <c r="J3156">
        <f>LET(
    lien,'Loan Tape (S&amp;P)'!Q3156,
    IF(lien="First",1.00,
        IF(lien="Second",1.50,
            1.70)))</f>
        <v/>
      </c>
      <c r="K3156">
        <f>LET(
    purpose,'Loan Tape (S&amp;P)'!R3156,
    IF(purpose="Purchase",1.00,
        IF(purpose="Remortgage",1.00,
            1.20)))</f>
        <v/>
      </c>
      <c r="L3156">
        <f>LET(
    arrears_months,'Loan Tape (S&amp;P)'!AN3156,
    IF(arrears_months=0,1.00,
    IF(arrears_months=1,3.00,
    IF(arrears_months=2,5.00,
    IF(arrears_months=3,8.00,
    IF(arrears_months=4,10.00,
    IF(arrears_months=5,12.00,15.00)))))))</f>
        <v/>
      </c>
      <c r="M3156">
        <f>LET(
    seasoning_years,DATEDIF('Loan Tape (S&amp;P)'!K3156,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56">
        <f>IF(AND('Loan Tape (S&amp;P)'!U3156="Yes",
        'Loan Tape (S&amp;P)'!T3156&lt;&gt;"Yes",
        DATEDIF('Loan Tape (S&amp;P)'!K3156, TODAY(), "M")&lt;18),
    1.10,
    1.00)</f>
        <v/>
      </c>
      <c r="O3156">
        <f>IF('Loan Tape (S&amp;P)'!T3156="Yes",
    1.35,
    1.00)</f>
        <v/>
      </c>
      <c r="P3156">
        <f>IF('Loan Tape (S&amp;P)'!S3156="Yes",
    1.15,
    1.00)</f>
        <v/>
      </c>
      <c r="Q3156">
        <f>IF('Loan Tape (S&amp;P)'!V3156="Yes",
    1.20,
    1.00)</f>
        <v/>
      </c>
      <c r="T3156">
        <f>LET(
    payment_method,'Loan Tape (S&amp;P)'!P3156,
    occupancy,'Loan Tape (S&amp;P)'!N3156,
    maturity_date,'Loan Tape (S&amp;P)'!L3156,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57">
      <c r="J3157">
        <f>LET(
    lien,'Loan Tape (S&amp;P)'!Q3157,
    IF(lien="First",1.00,
        IF(lien="Second",1.50,
            1.70)))</f>
        <v/>
      </c>
      <c r="K3157">
        <f>LET(
    purpose,'Loan Tape (S&amp;P)'!R3157,
    IF(purpose="Purchase",1.00,
        IF(purpose="Remortgage",1.00,
            1.20)))</f>
        <v/>
      </c>
      <c r="L3157">
        <f>LET(
    arrears_months,'Loan Tape (S&amp;P)'!AN3157,
    IF(arrears_months=0,1.00,
    IF(arrears_months=1,3.00,
    IF(arrears_months=2,5.00,
    IF(arrears_months=3,8.00,
    IF(arrears_months=4,10.00,
    IF(arrears_months=5,12.00,15.00)))))))</f>
        <v/>
      </c>
      <c r="M3157">
        <f>LET(
    seasoning_years,DATEDIF('Loan Tape (S&amp;P)'!K3157,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57">
        <f>IF(AND('Loan Tape (S&amp;P)'!U3157="Yes",
        'Loan Tape (S&amp;P)'!T3157&lt;&gt;"Yes",
        DATEDIF('Loan Tape (S&amp;P)'!K3157, TODAY(), "M")&lt;18),
    1.10,
    1.00)</f>
        <v/>
      </c>
      <c r="O3157">
        <f>IF('Loan Tape (S&amp;P)'!T3157="Yes",
    1.35,
    1.00)</f>
        <v/>
      </c>
      <c r="P3157">
        <f>IF('Loan Tape (S&amp;P)'!S3157="Yes",
    1.15,
    1.00)</f>
        <v/>
      </c>
      <c r="Q3157">
        <f>IF('Loan Tape (S&amp;P)'!V3157="Yes",
    1.20,
    1.00)</f>
        <v/>
      </c>
      <c r="T3157">
        <f>LET(
    payment_method,'Loan Tape (S&amp;P)'!P3157,
    occupancy,'Loan Tape (S&amp;P)'!N3157,
    maturity_date,'Loan Tape (S&amp;P)'!L3157,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58">
      <c r="J3158">
        <f>LET(
    lien,'Loan Tape (S&amp;P)'!Q3158,
    IF(lien="First",1.00,
        IF(lien="Second",1.50,
            1.70)))</f>
        <v/>
      </c>
      <c r="K3158">
        <f>LET(
    purpose,'Loan Tape (S&amp;P)'!R3158,
    IF(purpose="Purchase",1.00,
        IF(purpose="Remortgage",1.00,
            1.20)))</f>
        <v/>
      </c>
      <c r="L3158">
        <f>LET(
    arrears_months,'Loan Tape (S&amp;P)'!AN3158,
    IF(arrears_months=0,1.00,
    IF(arrears_months=1,3.00,
    IF(arrears_months=2,5.00,
    IF(arrears_months=3,8.00,
    IF(arrears_months=4,10.00,
    IF(arrears_months=5,12.00,15.00)))))))</f>
        <v/>
      </c>
      <c r="M3158">
        <f>LET(
    seasoning_years,DATEDIF('Loan Tape (S&amp;P)'!K3158,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58">
        <f>IF(AND('Loan Tape (S&amp;P)'!U3158="Yes",
        'Loan Tape (S&amp;P)'!T3158&lt;&gt;"Yes",
        DATEDIF('Loan Tape (S&amp;P)'!K3158, TODAY(), "M")&lt;18),
    1.10,
    1.00)</f>
        <v/>
      </c>
      <c r="O3158">
        <f>IF('Loan Tape (S&amp;P)'!T3158="Yes",
    1.35,
    1.00)</f>
        <v/>
      </c>
      <c r="P3158">
        <f>IF('Loan Tape (S&amp;P)'!S3158="Yes",
    1.15,
    1.00)</f>
        <v/>
      </c>
      <c r="Q3158">
        <f>IF('Loan Tape (S&amp;P)'!V3158="Yes",
    1.20,
    1.00)</f>
        <v/>
      </c>
      <c r="T3158">
        <f>LET(
    payment_method,'Loan Tape (S&amp;P)'!P3158,
    occupancy,'Loan Tape (S&amp;P)'!N3158,
    maturity_date,'Loan Tape (S&amp;P)'!L3158,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59">
      <c r="J3159">
        <f>LET(
    lien,'Loan Tape (S&amp;P)'!Q3159,
    IF(lien="First",1.00,
        IF(lien="Second",1.50,
            1.70)))</f>
        <v/>
      </c>
      <c r="K3159">
        <f>LET(
    purpose,'Loan Tape (S&amp;P)'!R3159,
    IF(purpose="Purchase",1.00,
        IF(purpose="Remortgage",1.00,
            1.20)))</f>
        <v/>
      </c>
      <c r="L3159">
        <f>LET(
    arrears_months,'Loan Tape (S&amp;P)'!AN3159,
    IF(arrears_months=0,1.00,
    IF(arrears_months=1,3.00,
    IF(arrears_months=2,5.00,
    IF(arrears_months=3,8.00,
    IF(arrears_months=4,10.00,
    IF(arrears_months=5,12.00,15.00)))))))</f>
        <v/>
      </c>
      <c r="M3159">
        <f>LET(
    seasoning_years,DATEDIF('Loan Tape (S&amp;P)'!K3159,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59">
        <f>IF(AND('Loan Tape (S&amp;P)'!U3159="Yes",
        'Loan Tape (S&amp;P)'!T3159&lt;&gt;"Yes",
        DATEDIF('Loan Tape (S&amp;P)'!K3159, TODAY(), "M")&lt;18),
    1.10,
    1.00)</f>
        <v/>
      </c>
      <c r="O3159">
        <f>IF('Loan Tape (S&amp;P)'!T3159="Yes",
    1.35,
    1.00)</f>
        <v/>
      </c>
      <c r="P3159">
        <f>IF('Loan Tape (S&amp;P)'!S3159="Yes",
    1.15,
    1.00)</f>
        <v/>
      </c>
      <c r="Q3159">
        <f>IF('Loan Tape (S&amp;P)'!V3159="Yes",
    1.20,
    1.00)</f>
        <v/>
      </c>
      <c r="T3159">
        <f>LET(
    payment_method,'Loan Tape (S&amp;P)'!P3159,
    occupancy,'Loan Tape (S&amp;P)'!N3159,
    maturity_date,'Loan Tape (S&amp;P)'!L3159,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60">
      <c r="J3160">
        <f>LET(
    lien,'Loan Tape (S&amp;P)'!Q3160,
    IF(lien="First",1.00,
        IF(lien="Second",1.50,
            1.70)))</f>
        <v/>
      </c>
      <c r="K3160">
        <f>LET(
    purpose,'Loan Tape (S&amp;P)'!R3160,
    IF(purpose="Purchase",1.00,
        IF(purpose="Remortgage",1.00,
            1.20)))</f>
        <v/>
      </c>
      <c r="L3160">
        <f>LET(
    arrears_months,'Loan Tape (S&amp;P)'!AN3160,
    IF(arrears_months=0,1.00,
    IF(arrears_months=1,3.00,
    IF(arrears_months=2,5.00,
    IF(arrears_months=3,8.00,
    IF(arrears_months=4,10.00,
    IF(arrears_months=5,12.00,15.00)))))))</f>
        <v/>
      </c>
      <c r="M3160">
        <f>LET(
    seasoning_years,DATEDIF('Loan Tape (S&amp;P)'!K3160,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60">
        <f>IF(AND('Loan Tape (S&amp;P)'!U3160="Yes",
        'Loan Tape (S&amp;P)'!T3160&lt;&gt;"Yes",
        DATEDIF('Loan Tape (S&amp;P)'!K3160, TODAY(), "M")&lt;18),
    1.10,
    1.00)</f>
        <v/>
      </c>
      <c r="O3160">
        <f>IF('Loan Tape (S&amp;P)'!T3160="Yes",
    1.35,
    1.00)</f>
        <v/>
      </c>
      <c r="P3160">
        <f>IF('Loan Tape (S&amp;P)'!S3160="Yes",
    1.15,
    1.00)</f>
        <v/>
      </c>
      <c r="Q3160">
        <f>IF('Loan Tape (S&amp;P)'!V3160="Yes",
    1.20,
    1.00)</f>
        <v/>
      </c>
      <c r="T3160">
        <f>LET(
    payment_method,'Loan Tape (S&amp;P)'!P3160,
    occupancy,'Loan Tape (S&amp;P)'!N3160,
    maturity_date,'Loan Tape (S&amp;P)'!L3160,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61">
      <c r="J3161">
        <f>LET(
    lien,'Loan Tape (S&amp;P)'!Q3161,
    IF(lien="First",1.00,
        IF(lien="Second",1.50,
            1.70)))</f>
        <v/>
      </c>
      <c r="K3161">
        <f>LET(
    purpose,'Loan Tape (S&amp;P)'!R3161,
    IF(purpose="Purchase",1.00,
        IF(purpose="Remortgage",1.00,
            1.20)))</f>
        <v/>
      </c>
      <c r="L3161">
        <f>LET(
    arrears_months,'Loan Tape (S&amp;P)'!AN3161,
    IF(arrears_months=0,1.00,
    IF(arrears_months=1,3.00,
    IF(arrears_months=2,5.00,
    IF(arrears_months=3,8.00,
    IF(arrears_months=4,10.00,
    IF(arrears_months=5,12.00,15.00)))))))</f>
        <v/>
      </c>
      <c r="M3161">
        <f>LET(
    seasoning_years,DATEDIF('Loan Tape (S&amp;P)'!K3161,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61">
        <f>IF(AND('Loan Tape (S&amp;P)'!U3161="Yes",
        'Loan Tape (S&amp;P)'!T3161&lt;&gt;"Yes",
        DATEDIF('Loan Tape (S&amp;P)'!K3161, TODAY(), "M")&lt;18),
    1.10,
    1.00)</f>
        <v/>
      </c>
      <c r="O3161">
        <f>IF('Loan Tape (S&amp;P)'!T3161="Yes",
    1.35,
    1.00)</f>
        <v/>
      </c>
      <c r="P3161">
        <f>IF('Loan Tape (S&amp;P)'!S3161="Yes",
    1.15,
    1.00)</f>
        <v/>
      </c>
      <c r="Q3161">
        <f>IF('Loan Tape (S&amp;P)'!V3161="Yes",
    1.20,
    1.00)</f>
        <v/>
      </c>
      <c r="T3161">
        <f>LET(
    payment_method,'Loan Tape (S&amp;P)'!P3161,
    occupancy,'Loan Tape (S&amp;P)'!N3161,
    maturity_date,'Loan Tape (S&amp;P)'!L3161,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62">
      <c r="J3162">
        <f>LET(
    lien,'Loan Tape (S&amp;P)'!Q3162,
    IF(lien="First",1.00,
        IF(lien="Second",1.50,
            1.70)))</f>
        <v/>
      </c>
      <c r="K3162">
        <f>LET(
    purpose,'Loan Tape (S&amp;P)'!R3162,
    IF(purpose="Purchase",1.00,
        IF(purpose="Remortgage",1.00,
            1.20)))</f>
        <v/>
      </c>
      <c r="L3162">
        <f>LET(
    arrears_months,'Loan Tape (S&amp;P)'!AN3162,
    IF(arrears_months=0,1.00,
    IF(arrears_months=1,3.00,
    IF(arrears_months=2,5.00,
    IF(arrears_months=3,8.00,
    IF(arrears_months=4,10.00,
    IF(arrears_months=5,12.00,15.00)))))))</f>
        <v/>
      </c>
      <c r="M3162">
        <f>LET(
    seasoning_years,DATEDIF('Loan Tape (S&amp;P)'!K3162,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62">
        <f>IF(AND('Loan Tape (S&amp;P)'!U3162="Yes",
        'Loan Tape (S&amp;P)'!T3162&lt;&gt;"Yes",
        DATEDIF('Loan Tape (S&amp;P)'!K3162, TODAY(), "M")&lt;18),
    1.10,
    1.00)</f>
        <v/>
      </c>
      <c r="O3162">
        <f>IF('Loan Tape (S&amp;P)'!T3162="Yes",
    1.35,
    1.00)</f>
        <v/>
      </c>
      <c r="P3162">
        <f>IF('Loan Tape (S&amp;P)'!S3162="Yes",
    1.15,
    1.00)</f>
        <v/>
      </c>
      <c r="Q3162">
        <f>IF('Loan Tape (S&amp;P)'!V3162="Yes",
    1.20,
    1.00)</f>
        <v/>
      </c>
      <c r="T3162">
        <f>LET(
    payment_method,'Loan Tape (S&amp;P)'!P3162,
    occupancy,'Loan Tape (S&amp;P)'!N3162,
    maturity_date,'Loan Tape (S&amp;P)'!L3162,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63">
      <c r="J3163">
        <f>LET(
    lien,'Loan Tape (S&amp;P)'!Q3163,
    IF(lien="First",1.00,
        IF(lien="Second",1.50,
            1.70)))</f>
        <v/>
      </c>
      <c r="K3163">
        <f>LET(
    purpose,'Loan Tape (S&amp;P)'!R3163,
    IF(purpose="Purchase",1.00,
        IF(purpose="Remortgage",1.00,
            1.20)))</f>
        <v/>
      </c>
      <c r="L3163">
        <f>LET(
    arrears_months,'Loan Tape (S&amp;P)'!AN3163,
    IF(arrears_months=0,1.00,
    IF(arrears_months=1,3.00,
    IF(arrears_months=2,5.00,
    IF(arrears_months=3,8.00,
    IF(arrears_months=4,10.00,
    IF(arrears_months=5,12.00,15.00)))))))</f>
        <v/>
      </c>
      <c r="M3163">
        <f>LET(
    seasoning_years,DATEDIF('Loan Tape (S&amp;P)'!K3163,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63">
        <f>IF(AND('Loan Tape (S&amp;P)'!U3163="Yes",
        'Loan Tape (S&amp;P)'!T3163&lt;&gt;"Yes",
        DATEDIF('Loan Tape (S&amp;P)'!K3163, TODAY(), "M")&lt;18),
    1.10,
    1.00)</f>
        <v/>
      </c>
      <c r="O3163">
        <f>IF('Loan Tape (S&amp;P)'!T3163="Yes",
    1.35,
    1.00)</f>
        <v/>
      </c>
      <c r="P3163">
        <f>IF('Loan Tape (S&amp;P)'!S3163="Yes",
    1.15,
    1.00)</f>
        <v/>
      </c>
      <c r="Q3163">
        <f>IF('Loan Tape (S&amp;P)'!V3163="Yes",
    1.20,
    1.00)</f>
        <v/>
      </c>
      <c r="T3163">
        <f>LET(
    payment_method,'Loan Tape (S&amp;P)'!P3163,
    occupancy,'Loan Tape (S&amp;P)'!N3163,
    maturity_date,'Loan Tape (S&amp;P)'!L3163,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64">
      <c r="J3164">
        <f>LET(
    lien,'Loan Tape (S&amp;P)'!Q3164,
    IF(lien="First",1.00,
        IF(lien="Second",1.50,
            1.70)))</f>
        <v/>
      </c>
      <c r="K3164">
        <f>LET(
    purpose,'Loan Tape (S&amp;P)'!R3164,
    IF(purpose="Purchase",1.00,
        IF(purpose="Remortgage",1.00,
            1.20)))</f>
        <v/>
      </c>
      <c r="L3164">
        <f>LET(
    arrears_months,'Loan Tape (S&amp;P)'!AN3164,
    IF(arrears_months=0,1.00,
    IF(arrears_months=1,3.00,
    IF(arrears_months=2,5.00,
    IF(arrears_months=3,8.00,
    IF(arrears_months=4,10.00,
    IF(arrears_months=5,12.00,15.00)))))))</f>
        <v/>
      </c>
      <c r="M3164">
        <f>LET(
    seasoning_years,DATEDIF('Loan Tape (S&amp;P)'!K3164,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64">
        <f>IF(AND('Loan Tape (S&amp;P)'!U3164="Yes",
        'Loan Tape (S&amp;P)'!T3164&lt;&gt;"Yes",
        DATEDIF('Loan Tape (S&amp;P)'!K3164, TODAY(), "M")&lt;18),
    1.10,
    1.00)</f>
        <v/>
      </c>
      <c r="O3164">
        <f>IF('Loan Tape (S&amp;P)'!T3164="Yes",
    1.35,
    1.00)</f>
        <v/>
      </c>
      <c r="P3164">
        <f>IF('Loan Tape (S&amp;P)'!S3164="Yes",
    1.15,
    1.00)</f>
        <v/>
      </c>
      <c r="Q3164">
        <f>IF('Loan Tape (S&amp;P)'!V3164="Yes",
    1.20,
    1.00)</f>
        <v/>
      </c>
      <c r="T3164">
        <f>LET(
    payment_method,'Loan Tape (S&amp;P)'!P3164,
    occupancy,'Loan Tape (S&amp;P)'!N3164,
    maturity_date,'Loan Tape (S&amp;P)'!L3164,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65">
      <c r="J3165">
        <f>LET(
    lien,'Loan Tape (S&amp;P)'!Q3165,
    IF(lien="First",1.00,
        IF(lien="Second",1.50,
            1.70)))</f>
        <v/>
      </c>
      <c r="K3165">
        <f>LET(
    purpose,'Loan Tape (S&amp;P)'!R3165,
    IF(purpose="Purchase",1.00,
        IF(purpose="Remortgage",1.00,
            1.20)))</f>
        <v/>
      </c>
      <c r="L3165">
        <f>LET(
    arrears_months,'Loan Tape (S&amp;P)'!AN3165,
    IF(arrears_months=0,1.00,
    IF(arrears_months=1,3.00,
    IF(arrears_months=2,5.00,
    IF(arrears_months=3,8.00,
    IF(arrears_months=4,10.00,
    IF(arrears_months=5,12.00,15.00)))))))</f>
        <v/>
      </c>
      <c r="M3165">
        <f>LET(
    seasoning_years,DATEDIF('Loan Tape (S&amp;P)'!K3165,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65">
        <f>IF(AND('Loan Tape (S&amp;P)'!U3165="Yes",
        'Loan Tape (S&amp;P)'!T3165&lt;&gt;"Yes",
        DATEDIF('Loan Tape (S&amp;P)'!K3165, TODAY(), "M")&lt;18),
    1.10,
    1.00)</f>
        <v/>
      </c>
      <c r="O3165">
        <f>IF('Loan Tape (S&amp;P)'!T3165="Yes",
    1.35,
    1.00)</f>
        <v/>
      </c>
      <c r="P3165">
        <f>IF('Loan Tape (S&amp;P)'!S3165="Yes",
    1.15,
    1.00)</f>
        <v/>
      </c>
      <c r="Q3165">
        <f>IF('Loan Tape (S&amp;P)'!V3165="Yes",
    1.20,
    1.00)</f>
        <v/>
      </c>
      <c r="T3165">
        <f>LET(
    payment_method,'Loan Tape (S&amp;P)'!P3165,
    occupancy,'Loan Tape (S&amp;P)'!N3165,
    maturity_date,'Loan Tape (S&amp;P)'!L3165,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66">
      <c r="J3166">
        <f>LET(
    lien,'Loan Tape (S&amp;P)'!Q3166,
    IF(lien="First",1.00,
        IF(lien="Second",1.50,
            1.70)))</f>
        <v/>
      </c>
      <c r="K3166">
        <f>LET(
    purpose,'Loan Tape (S&amp;P)'!R3166,
    IF(purpose="Purchase",1.00,
        IF(purpose="Remortgage",1.00,
            1.20)))</f>
        <v/>
      </c>
      <c r="L3166">
        <f>LET(
    arrears_months,'Loan Tape (S&amp;P)'!AN3166,
    IF(arrears_months=0,1.00,
    IF(arrears_months=1,3.00,
    IF(arrears_months=2,5.00,
    IF(arrears_months=3,8.00,
    IF(arrears_months=4,10.00,
    IF(arrears_months=5,12.00,15.00)))))))</f>
        <v/>
      </c>
      <c r="M3166">
        <f>LET(
    seasoning_years,DATEDIF('Loan Tape (S&amp;P)'!K3166,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66">
        <f>IF(AND('Loan Tape (S&amp;P)'!U3166="Yes",
        'Loan Tape (S&amp;P)'!T3166&lt;&gt;"Yes",
        DATEDIF('Loan Tape (S&amp;P)'!K3166, TODAY(), "M")&lt;18),
    1.10,
    1.00)</f>
        <v/>
      </c>
      <c r="O3166">
        <f>IF('Loan Tape (S&amp;P)'!T3166="Yes",
    1.35,
    1.00)</f>
        <v/>
      </c>
      <c r="P3166">
        <f>IF('Loan Tape (S&amp;P)'!S3166="Yes",
    1.15,
    1.00)</f>
        <v/>
      </c>
      <c r="Q3166">
        <f>IF('Loan Tape (S&amp;P)'!V3166="Yes",
    1.20,
    1.00)</f>
        <v/>
      </c>
      <c r="T3166">
        <f>LET(
    payment_method,'Loan Tape (S&amp;P)'!P3166,
    occupancy,'Loan Tape (S&amp;P)'!N3166,
    maturity_date,'Loan Tape (S&amp;P)'!L3166,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67">
      <c r="J3167">
        <f>LET(
    lien,'Loan Tape (S&amp;P)'!Q3167,
    IF(lien="First",1.00,
        IF(lien="Second",1.50,
            1.70)))</f>
        <v/>
      </c>
      <c r="K3167">
        <f>LET(
    purpose,'Loan Tape (S&amp;P)'!R3167,
    IF(purpose="Purchase",1.00,
        IF(purpose="Remortgage",1.00,
            1.20)))</f>
        <v/>
      </c>
      <c r="L3167">
        <f>LET(
    arrears_months,'Loan Tape (S&amp;P)'!AN3167,
    IF(arrears_months=0,1.00,
    IF(arrears_months=1,3.00,
    IF(arrears_months=2,5.00,
    IF(arrears_months=3,8.00,
    IF(arrears_months=4,10.00,
    IF(arrears_months=5,12.00,15.00)))))))</f>
        <v/>
      </c>
      <c r="M3167">
        <f>LET(
    seasoning_years,DATEDIF('Loan Tape (S&amp;P)'!K3167,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67">
        <f>IF(AND('Loan Tape (S&amp;P)'!U3167="Yes",
        'Loan Tape (S&amp;P)'!T3167&lt;&gt;"Yes",
        DATEDIF('Loan Tape (S&amp;P)'!K3167, TODAY(), "M")&lt;18),
    1.10,
    1.00)</f>
        <v/>
      </c>
      <c r="O3167">
        <f>IF('Loan Tape (S&amp;P)'!T3167="Yes",
    1.35,
    1.00)</f>
        <v/>
      </c>
      <c r="P3167">
        <f>IF('Loan Tape (S&amp;P)'!S3167="Yes",
    1.15,
    1.00)</f>
        <v/>
      </c>
      <c r="Q3167">
        <f>IF('Loan Tape (S&amp;P)'!V3167="Yes",
    1.20,
    1.00)</f>
        <v/>
      </c>
      <c r="T3167">
        <f>LET(
    payment_method,'Loan Tape (S&amp;P)'!P3167,
    occupancy,'Loan Tape (S&amp;P)'!N3167,
    maturity_date,'Loan Tape (S&amp;P)'!L3167,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68">
      <c r="J3168">
        <f>LET(
    lien,'Loan Tape (S&amp;P)'!Q3168,
    IF(lien="First",1.00,
        IF(lien="Second",1.50,
            1.70)))</f>
        <v/>
      </c>
      <c r="K3168">
        <f>LET(
    purpose,'Loan Tape (S&amp;P)'!R3168,
    IF(purpose="Purchase",1.00,
        IF(purpose="Remortgage",1.00,
            1.20)))</f>
        <v/>
      </c>
      <c r="L3168">
        <f>LET(
    arrears_months,'Loan Tape (S&amp;P)'!AN3168,
    IF(arrears_months=0,1.00,
    IF(arrears_months=1,3.00,
    IF(arrears_months=2,5.00,
    IF(arrears_months=3,8.00,
    IF(arrears_months=4,10.00,
    IF(arrears_months=5,12.00,15.00)))))))</f>
        <v/>
      </c>
      <c r="M3168">
        <f>LET(
    seasoning_years,DATEDIF('Loan Tape (S&amp;P)'!K3168,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68">
        <f>IF(AND('Loan Tape (S&amp;P)'!U3168="Yes",
        'Loan Tape (S&amp;P)'!T3168&lt;&gt;"Yes",
        DATEDIF('Loan Tape (S&amp;P)'!K3168, TODAY(), "M")&lt;18),
    1.10,
    1.00)</f>
        <v/>
      </c>
      <c r="O3168">
        <f>IF('Loan Tape (S&amp;P)'!T3168="Yes",
    1.35,
    1.00)</f>
        <v/>
      </c>
      <c r="P3168">
        <f>IF('Loan Tape (S&amp;P)'!S3168="Yes",
    1.15,
    1.00)</f>
        <v/>
      </c>
      <c r="Q3168">
        <f>IF('Loan Tape (S&amp;P)'!V3168="Yes",
    1.20,
    1.00)</f>
        <v/>
      </c>
      <c r="T3168">
        <f>LET(
    payment_method,'Loan Tape (S&amp;P)'!P3168,
    occupancy,'Loan Tape (S&amp;P)'!N3168,
    maturity_date,'Loan Tape (S&amp;P)'!L3168,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69">
      <c r="J3169">
        <f>LET(
    lien,'Loan Tape (S&amp;P)'!Q3169,
    IF(lien="First",1.00,
        IF(lien="Second",1.50,
            1.70)))</f>
        <v/>
      </c>
      <c r="K3169">
        <f>LET(
    purpose,'Loan Tape (S&amp;P)'!R3169,
    IF(purpose="Purchase",1.00,
        IF(purpose="Remortgage",1.00,
            1.20)))</f>
        <v/>
      </c>
      <c r="L3169">
        <f>LET(
    arrears_months,'Loan Tape (S&amp;P)'!AN3169,
    IF(arrears_months=0,1.00,
    IF(arrears_months=1,3.00,
    IF(arrears_months=2,5.00,
    IF(arrears_months=3,8.00,
    IF(arrears_months=4,10.00,
    IF(arrears_months=5,12.00,15.00)))))))</f>
        <v/>
      </c>
      <c r="M3169">
        <f>LET(
    seasoning_years,DATEDIF('Loan Tape (S&amp;P)'!K3169,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69">
        <f>IF(AND('Loan Tape (S&amp;P)'!U3169="Yes",
        'Loan Tape (S&amp;P)'!T3169&lt;&gt;"Yes",
        DATEDIF('Loan Tape (S&amp;P)'!K3169, TODAY(), "M")&lt;18),
    1.10,
    1.00)</f>
        <v/>
      </c>
      <c r="O3169">
        <f>IF('Loan Tape (S&amp;P)'!T3169="Yes",
    1.35,
    1.00)</f>
        <v/>
      </c>
      <c r="P3169">
        <f>IF('Loan Tape (S&amp;P)'!S3169="Yes",
    1.15,
    1.00)</f>
        <v/>
      </c>
      <c r="Q3169">
        <f>IF('Loan Tape (S&amp;P)'!V3169="Yes",
    1.20,
    1.00)</f>
        <v/>
      </c>
      <c r="T3169">
        <f>LET(
    payment_method,'Loan Tape (S&amp;P)'!P3169,
    occupancy,'Loan Tape (S&amp;P)'!N3169,
    maturity_date,'Loan Tape (S&amp;P)'!L3169,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70">
      <c r="J3170">
        <f>LET(
    lien,'Loan Tape (S&amp;P)'!Q3170,
    IF(lien="First",1.00,
        IF(lien="Second",1.50,
            1.70)))</f>
        <v/>
      </c>
      <c r="K3170">
        <f>LET(
    purpose,'Loan Tape (S&amp;P)'!R3170,
    IF(purpose="Purchase",1.00,
        IF(purpose="Remortgage",1.00,
            1.20)))</f>
        <v/>
      </c>
      <c r="L3170">
        <f>LET(
    arrears_months,'Loan Tape (S&amp;P)'!AN3170,
    IF(arrears_months=0,1.00,
    IF(arrears_months=1,3.00,
    IF(arrears_months=2,5.00,
    IF(arrears_months=3,8.00,
    IF(arrears_months=4,10.00,
    IF(arrears_months=5,12.00,15.00)))))))</f>
        <v/>
      </c>
      <c r="M3170">
        <f>LET(
    seasoning_years,DATEDIF('Loan Tape (S&amp;P)'!K3170,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70">
        <f>IF(AND('Loan Tape (S&amp;P)'!U3170="Yes",
        'Loan Tape (S&amp;P)'!T3170&lt;&gt;"Yes",
        DATEDIF('Loan Tape (S&amp;P)'!K3170, TODAY(), "M")&lt;18),
    1.10,
    1.00)</f>
        <v/>
      </c>
      <c r="O3170">
        <f>IF('Loan Tape (S&amp;P)'!T3170="Yes",
    1.35,
    1.00)</f>
        <v/>
      </c>
      <c r="P3170">
        <f>IF('Loan Tape (S&amp;P)'!S3170="Yes",
    1.15,
    1.00)</f>
        <v/>
      </c>
      <c r="Q3170">
        <f>IF('Loan Tape (S&amp;P)'!V3170="Yes",
    1.20,
    1.00)</f>
        <v/>
      </c>
      <c r="T3170">
        <f>LET(
    payment_method,'Loan Tape (S&amp;P)'!P3170,
    occupancy,'Loan Tape (S&amp;P)'!N3170,
    maturity_date,'Loan Tape (S&amp;P)'!L3170,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71">
      <c r="J3171">
        <f>LET(
    lien,'Loan Tape (S&amp;P)'!Q3171,
    IF(lien="First",1.00,
        IF(lien="Second",1.50,
            1.70)))</f>
        <v/>
      </c>
      <c r="K3171">
        <f>LET(
    purpose,'Loan Tape (S&amp;P)'!R3171,
    IF(purpose="Purchase",1.00,
        IF(purpose="Remortgage",1.00,
            1.20)))</f>
        <v/>
      </c>
      <c r="L3171">
        <f>LET(
    arrears_months,'Loan Tape (S&amp;P)'!AN3171,
    IF(arrears_months=0,1.00,
    IF(arrears_months=1,3.00,
    IF(arrears_months=2,5.00,
    IF(arrears_months=3,8.00,
    IF(arrears_months=4,10.00,
    IF(arrears_months=5,12.00,15.00)))))))</f>
        <v/>
      </c>
      <c r="M3171">
        <f>LET(
    seasoning_years,DATEDIF('Loan Tape (S&amp;P)'!K3171,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71">
        <f>IF(AND('Loan Tape (S&amp;P)'!U3171="Yes",
        'Loan Tape (S&amp;P)'!T3171&lt;&gt;"Yes",
        DATEDIF('Loan Tape (S&amp;P)'!K3171, TODAY(), "M")&lt;18),
    1.10,
    1.00)</f>
        <v/>
      </c>
      <c r="O3171">
        <f>IF('Loan Tape (S&amp;P)'!T3171="Yes",
    1.35,
    1.00)</f>
        <v/>
      </c>
      <c r="P3171">
        <f>IF('Loan Tape (S&amp;P)'!S3171="Yes",
    1.15,
    1.00)</f>
        <v/>
      </c>
      <c r="Q3171">
        <f>IF('Loan Tape (S&amp;P)'!V3171="Yes",
    1.20,
    1.00)</f>
        <v/>
      </c>
      <c r="T3171">
        <f>LET(
    payment_method,'Loan Tape (S&amp;P)'!P3171,
    occupancy,'Loan Tape (S&amp;P)'!N3171,
    maturity_date,'Loan Tape (S&amp;P)'!L3171,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72">
      <c r="J3172">
        <f>LET(
    lien,'Loan Tape (S&amp;P)'!Q3172,
    IF(lien="First",1.00,
        IF(lien="Second",1.50,
            1.70)))</f>
        <v/>
      </c>
      <c r="K3172">
        <f>LET(
    purpose,'Loan Tape (S&amp;P)'!R3172,
    IF(purpose="Purchase",1.00,
        IF(purpose="Remortgage",1.00,
            1.20)))</f>
        <v/>
      </c>
      <c r="L3172">
        <f>LET(
    arrears_months,'Loan Tape (S&amp;P)'!AN3172,
    IF(arrears_months=0,1.00,
    IF(arrears_months=1,3.00,
    IF(arrears_months=2,5.00,
    IF(arrears_months=3,8.00,
    IF(arrears_months=4,10.00,
    IF(arrears_months=5,12.00,15.00)))))))</f>
        <v/>
      </c>
      <c r="M3172">
        <f>LET(
    seasoning_years,DATEDIF('Loan Tape (S&amp;P)'!K3172,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72">
        <f>IF(AND('Loan Tape (S&amp;P)'!U3172="Yes",
        'Loan Tape (S&amp;P)'!T3172&lt;&gt;"Yes",
        DATEDIF('Loan Tape (S&amp;P)'!K3172, TODAY(), "M")&lt;18),
    1.10,
    1.00)</f>
        <v/>
      </c>
      <c r="O3172">
        <f>IF('Loan Tape (S&amp;P)'!T3172="Yes",
    1.35,
    1.00)</f>
        <v/>
      </c>
      <c r="P3172">
        <f>IF('Loan Tape (S&amp;P)'!S3172="Yes",
    1.15,
    1.00)</f>
        <v/>
      </c>
      <c r="Q3172">
        <f>IF('Loan Tape (S&amp;P)'!V3172="Yes",
    1.20,
    1.00)</f>
        <v/>
      </c>
      <c r="T3172">
        <f>LET(
    payment_method,'Loan Tape (S&amp;P)'!P3172,
    occupancy,'Loan Tape (S&amp;P)'!N3172,
    maturity_date,'Loan Tape (S&amp;P)'!L3172,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73">
      <c r="J3173">
        <f>LET(
    lien,'Loan Tape (S&amp;P)'!Q3173,
    IF(lien="First",1.00,
        IF(lien="Second",1.50,
            1.70)))</f>
        <v/>
      </c>
      <c r="K3173">
        <f>LET(
    purpose,'Loan Tape (S&amp;P)'!R3173,
    IF(purpose="Purchase",1.00,
        IF(purpose="Remortgage",1.00,
            1.20)))</f>
        <v/>
      </c>
      <c r="L3173">
        <f>LET(
    arrears_months,'Loan Tape (S&amp;P)'!AN3173,
    IF(arrears_months=0,1.00,
    IF(arrears_months=1,3.00,
    IF(arrears_months=2,5.00,
    IF(arrears_months=3,8.00,
    IF(arrears_months=4,10.00,
    IF(arrears_months=5,12.00,15.00)))))))</f>
        <v/>
      </c>
      <c r="M3173">
        <f>LET(
    seasoning_years,DATEDIF('Loan Tape (S&amp;P)'!K3173,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73">
        <f>IF(AND('Loan Tape (S&amp;P)'!U3173="Yes",
        'Loan Tape (S&amp;P)'!T3173&lt;&gt;"Yes",
        DATEDIF('Loan Tape (S&amp;P)'!K3173, TODAY(), "M")&lt;18),
    1.10,
    1.00)</f>
        <v/>
      </c>
      <c r="O3173">
        <f>IF('Loan Tape (S&amp;P)'!T3173="Yes",
    1.35,
    1.00)</f>
        <v/>
      </c>
      <c r="P3173">
        <f>IF('Loan Tape (S&amp;P)'!S3173="Yes",
    1.15,
    1.00)</f>
        <v/>
      </c>
      <c r="Q3173">
        <f>IF('Loan Tape (S&amp;P)'!V3173="Yes",
    1.20,
    1.00)</f>
        <v/>
      </c>
      <c r="T3173">
        <f>LET(
    payment_method,'Loan Tape (S&amp;P)'!P3173,
    occupancy,'Loan Tape (S&amp;P)'!N3173,
    maturity_date,'Loan Tape (S&amp;P)'!L3173,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74">
      <c r="J3174">
        <f>LET(
    lien,'Loan Tape (S&amp;P)'!Q3174,
    IF(lien="First",1.00,
        IF(lien="Second",1.50,
            1.70)))</f>
        <v/>
      </c>
      <c r="K3174">
        <f>LET(
    purpose,'Loan Tape (S&amp;P)'!R3174,
    IF(purpose="Purchase",1.00,
        IF(purpose="Remortgage",1.00,
            1.20)))</f>
        <v/>
      </c>
      <c r="L3174">
        <f>LET(
    arrears_months,'Loan Tape (S&amp;P)'!AN3174,
    IF(arrears_months=0,1.00,
    IF(arrears_months=1,3.00,
    IF(arrears_months=2,5.00,
    IF(arrears_months=3,8.00,
    IF(arrears_months=4,10.00,
    IF(arrears_months=5,12.00,15.00)))))))</f>
        <v/>
      </c>
      <c r="M3174">
        <f>LET(
    seasoning_years,DATEDIF('Loan Tape (S&amp;P)'!K3174,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74">
        <f>IF(AND('Loan Tape (S&amp;P)'!U3174="Yes",
        'Loan Tape (S&amp;P)'!T3174&lt;&gt;"Yes",
        DATEDIF('Loan Tape (S&amp;P)'!K3174, TODAY(), "M")&lt;18),
    1.10,
    1.00)</f>
        <v/>
      </c>
      <c r="O3174">
        <f>IF('Loan Tape (S&amp;P)'!T3174="Yes",
    1.35,
    1.00)</f>
        <v/>
      </c>
      <c r="P3174">
        <f>IF('Loan Tape (S&amp;P)'!S3174="Yes",
    1.15,
    1.00)</f>
        <v/>
      </c>
      <c r="Q3174">
        <f>IF('Loan Tape (S&amp;P)'!V3174="Yes",
    1.20,
    1.00)</f>
        <v/>
      </c>
      <c r="T3174">
        <f>LET(
    payment_method,'Loan Tape (S&amp;P)'!P3174,
    occupancy,'Loan Tape (S&amp;P)'!N3174,
    maturity_date,'Loan Tape (S&amp;P)'!L3174,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75">
      <c r="J3175">
        <f>LET(
    lien,'Loan Tape (S&amp;P)'!Q3175,
    IF(lien="First",1.00,
        IF(lien="Second",1.50,
            1.70)))</f>
        <v/>
      </c>
      <c r="K3175">
        <f>LET(
    purpose,'Loan Tape (S&amp;P)'!R3175,
    IF(purpose="Purchase",1.00,
        IF(purpose="Remortgage",1.00,
            1.20)))</f>
        <v/>
      </c>
      <c r="L3175">
        <f>LET(
    arrears_months,'Loan Tape (S&amp;P)'!AN3175,
    IF(arrears_months=0,1.00,
    IF(arrears_months=1,3.00,
    IF(arrears_months=2,5.00,
    IF(arrears_months=3,8.00,
    IF(arrears_months=4,10.00,
    IF(arrears_months=5,12.00,15.00)))))))</f>
        <v/>
      </c>
      <c r="M3175">
        <f>LET(
    seasoning_years,DATEDIF('Loan Tape (S&amp;P)'!K3175,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75">
        <f>IF(AND('Loan Tape (S&amp;P)'!U3175="Yes",
        'Loan Tape (S&amp;P)'!T3175&lt;&gt;"Yes",
        DATEDIF('Loan Tape (S&amp;P)'!K3175, TODAY(), "M")&lt;18),
    1.10,
    1.00)</f>
        <v/>
      </c>
      <c r="O3175">
        <f>IF('Loan Tape (S&amp;P)'!T3175="Yes",
    1.35,
    1.00)</f>
        <v/>
      </c>
      <c r="P3175">
        <f>IF('Loan Tape (S&amp;P)'!S3175="Yes",
    1.15,
    1.00)</f>
        <v/>
      </c>
      <c r="Q3175">
        <f>IF('Loan Tape (S&amp;P)'!V3175="Yes",
    1.20,
    1.00)</f>
        <v/>
      </c>
      <c r="T3175">
        <f>LET(
    payment_method,'Loan Tape (S&amp;P)'!P3175,
    occupancy,'Loan Tape (S&amp;P)'!N3175,
    maturity_date,'Loan Tape (S&amp;P)'!L3175,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76">
      <c r="J3176">
        <f>LET(
    lien,'Loan Tape (S&amp;P)'!Q3176,
    IF(lien="First",1.00,
        IF(lien="Second",1.50,
            1.70)))</f>
        <v/>
      </c>
      <c r="K3176">
        <f>LET(
    purpose,'Loan Tape (S&amp;P)'!R3176,
    IF(purpose="Purchase",1.00,
        IF(purpose="Remortgage",1.00,
            1.20)))</f>
        <v/>
      </c>
      <c r="L3176">
        <f>LET(
    arrears_months,'Loan Tape (S&amp;P)'!AN3176,
    IF(arrears_months=0,1.00,
    IF(arrears_months=1,3.00,
    IF(arrears_months=2,5.00,
    IF(arrears_months=3,8.00,
    IF(arrears_months=4,10.00,
    IF(arrears_months=5,12.00,15.00)))))))</f>
        <v/>
      </c>
      <c r="M3176">
        <f>LET(
    seasoning_years,DATEDIF('Loan Tape (S&amp;P)'!K3176,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76">
        <f>IF(AND('Loan Tape (S&amp;P)'!U3176="Yes",
        'Loan Tape (S&amp;P)'!T3176&lt;&gt;"Yes",
        DATEDIF('Loan Tape (S&amp;P)'!K3176, TODAY(), "M")&lt;18),
    1.10,
    1.00)</f>
        <v/>
      </c>
      <c r="O3176">
        <f>IF('Loan Tape (S&amp;P)'!T3176="Yes",
    1.35,
    1.00)</f>
        <v/>
      </c>
      <c r="P3176">
        <f>IF('Loan Tape (S&amp;P)'!S3176="Yes",
    1.15,
    1.00)</f>
        <v/>
      </c>
      <c r="Q3176">
        <f>IF('Loan Tape (S&amp;P)'!V3176="Yes",
    1.20,
    1.00)</f>
        <v/>
      </c>
      <c r="T3176">
        <f>LET(
    payment_method,'Loan Tape (S&amp;P)'!P3176,
    occupancy,'Loan Tape (S&amp;P)'!N3176,
    maturity_date,'Loan Tape (S&amp;P)'!L3176,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77">
      <c r="J3177">
        <f>LET(
    lien,'Loan Tape (S&amp;P)'!Q3177,
    IF(lien="First",1.00,
        IF(lien="Second",1.50,
            1.70)))</f>
        <v/>
      </c>
      <c r="K3177">
        <f>LET(
    purpose,'Loan Tape (S&amp;P)'!R3177,
    IF(purpose="Purchase",1.00,
        IF(purpose="Remortgage",1.00,
            1.20)))</f>
        <v/>
      </c>
      <c r="L3177">
        <f>LET(
    arrears_months,'Loan Tape (S&amp;P)'!AN3177,
    IF(arrears_months=0,1.00,
    IF(arrears_months=1,3.00,
    IF(arrears_months=2,5.00,
    IF(arrears_months=3,8.00,
    IF(arrears_months=4,10.00,
    IF(arrears_months=5,12.00,15.00)))))))</f>
        <v/>
      </c>
      <c r="M3177">
        <f>LET(
    seasoning_years,DATEDIF('Loan Tape (S&amp;P)'!K3177,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77">
        <f>IF(AND('Loan Tape (S&amp;P)'!U3177="Yes",
        'Loan Tape (S&amp;P)'!T3177&lt;&gt;"Yes",
        DATEDIF('Loan Tape (S&amp;P)'!K3177, TODAY(), "M")&lt;18),
    1.10,
    1.00)</f>
        <v/>
      </c>
      <c r="O3177">
        <f>IF('Loan Tape (S&amp;P)'!T3177="Yes",
    1.35,
    1.00)</f>
        <v/>
      </c>
      <c r="P3177">
        <f>IF('Loan Tape (S&amp;P)'!S3177="Yes",
    1.15,
    1.00)</f>
        <v/>
      </c>
      <c r="Q3177">
        <f>IF('Loan Tape (S&amp;P)'!V3177="Yes",
    1.20,
    1.00)</f>
        <v/>
      </c>
      <c r="T3177">
        <f>LET(
    payment_method,'Loan Tape (S&amp;P)'!P3177,
    occupancy,'Loan Tape (S&amp;P)'!N3177,
    maturity_date,'Loan Tape (S&amp;P)'!L3177,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78">
      <c r="J3178">
        <f>LET(
    lien,'Loan Tape (S&amp;P)'!Q3178,
    IF(lien="First",1.00,
        IF(lien="Second",1.50,
            1.70)))</f>
        <v/>
      </c>
      <c r="K3178">
        <f>LET(
    purpose,'Loan Tape (S&amp;P)'!R3178,
    IF(purpose="Purchase",1.00,
        IF(purpose="Remortgage",1.00,
            1.20)))</f>
        <v/>
      </c>
      <c r="L3178">
        <f>LET(
    arrears_months,'Loan Tape (S&amp;P)'!AN3178,
    IF(arrears_months=0,1.00,
    IF(arrears_months=1,3.00,
    IF(arrears_months=2,5.00,
    IF(arrears_months=3,8.00,
    IF(arrears_months=4,10.00,
    IF(arrears_months=5,12.00,15.00)))))))</f>
        <v/>
      </c>
      <c r="M3178">
        <f>LET(
    seasoning_years,DATEDIF('Loan Tape (S&amp;P)'!K3178,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78">
        <f>IF(AND('Loan Tape (S&amp;P)'!U3178="Yes",
        'Loan Tape (S&amp;P)'!T3178&lt;&gt;"Yes",
        DATEDIF('Loan Tape (S&amp;P)'!K3178, TODAY(), "M")&lt;18),
    1.10,
    1.00)</f>
        <v/>
      </c>
      <c r="O3178">
        <f>IF('Loan Tape (S&amp;P)'!T3178="Yes",
    1.35,
    1.00)</f>
        <v/>
      </c>
      <c r="P3178">
        <f>IF('Loan Tape (S&amp;P)'!S3178="Yes",
    1.15,
    1.00)</f>
        <v/>
      </c>
      <c r="Q3178">
        <f>IF('Loan Tape (S&amp;P)'!V3178="Yes",
    1.20,
    1.00)</f>
        <v/>
      </c>
      <c r="T3178">
        <f>LET(
    payment_method,'Loan Tape (S&amp;P)'!P3178,
    occupancy,'Loan Tape (S&amp;P)'!N3178,
    maturity_date,'Loan Tape (S&amp;P)'!L3178,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79">
      <c r="J3179">
        <f>LET(
    lien,'Loan Tape (S&amp;P)'!Q3179,
    IF(lien="First",1.00,
        IF(lien="Second",1.50,
            1.70)))</f>
        <v/>
      </c>
      <c r="K3179">
        <f>LET(
    purpose,'Loan Tape (S&amp;P)'!R3179,
    IF(purpose="Purchase",1.00,
        IF(purpose="Remortgage",1.00,
            1.20)))</f>
        <v/>
      </c>
      <c r="L3179">
        <f>LET(
    arrears_months,'Loan Tape (S&amp;P)'!AN3179,
    IF(arrears_months=0,1.00,
    IF(arrears_months=1,3.00,
    IF(arrears_months=2,5.00,
    IF(arrears_months=3,8.00,
    IF(arrears_months=4,10.00,
    IF(arrears_months=5,12.00,15.00)))))))</f>
        <v/>
      </c>
      <c r="M3179">
        <f>LET(
    seasoning_years,DATEDIF('Loan Tape (S&amp;P)'!K3179,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79">
        <f>IF(AND('Loan Tape (S&amp;P)'!U3179="Yes",
        'Loan Tape (S&amp;P)'!T3179&lt;&gt;"Yes",
        DATEDIF('Loan Tape (S&amp;P)'!K3179, TODAY(), "M")&lt;18),
    1.10,
    1.00)</f>
        <v/>
      </c>
      <c r="O3179">
        <f>IF('Loan Tape (S&amp;P)'!T3179="Yes",
    1.35,
    1.00)</f>
        <v/>
      </c>
      <c r="P3179">
        <f>IF('Loan Tape (S&amp;P)'!S3179="Yes",
    1.15,
    1.00)</f>
        <v/>
      </c>
      <c r="Q3179">
        <f>IF('Loan Tape (S&amp;P)'!V3179="Yes",
    1.20,
    1.00)</f>
        <v/>
      </c>
      <c r="T3179">
        <f>LET(
    payment_method,'Loan Tape (S&amp;P)'!P3179,
    occupancy,'Loan Tape (S&amp;P)'!N3179,
    maturity_date,'Loan Tape (S&amp;P)'!L3179,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80">
      <c r="J3180">
        <f>LET(
    lien,'Loan Tape (S&amp;P)'!Q3180,
    IF(lien="First",1.00,
        IF(lien="Second",1.50,
            1.70)))</f>
        <v/>
      </c>
      <c r="K3180">
        <f>LET(
    purpose,'Loan Tape (S&amp;P)'!R3180,
    IF(purpose="Purchase",1.00,
        IF(purpose="Remortgage",1.00,
            1.20)))</f>
        <v/>
      </c>
      <c r="L3180">
        <f>LET(
    arrears_months,'Loan Tape (S&amp;P)'!AN3180,
    IF(arrears_months=0,1.00,
    IF(arrears_months=1,3.00,
    IF(arrears_months=2,5.00,
    IF(arrears_months=3,8.00,
    IF(arrears_months=4,10.00,
    IF(arrears_months=5,12.00,15.00)))))))</f>
        <v/>
      </c>
      <c r="M3180">
        <f>LET(
    seasoning_years,DATEDIF('Loan Tape (S&amp;P)'!K3180,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80">
        <f>IF(AND('Loan Tape (S&amp;P)'!U3180="Yes",
        'Loan Tape (S&amp;P)'!T3180&lt;&gt;"Yes",
        DATEDIF('Loan Tape (S&amp;P)'!K3180, TODAY(), "M")&lt;18),
    1.10,
    1.00)</f>
        <v/>
      </c>
      <c r="O3180">
        <f>IF('Loan Tape (S&amp;P)'!T3180="Yes",
    1.35,
    1.00)</f>
        <v/>
      </c>
      <c r="P3180">
        <f>IF('Loan Tape (S&amp;P)'!S3180="Yes",
    1.15,
    1.00)</f>
        <v/>
      </c>
      <c r="Q3180">
        <f>IF('Loan Tape (S&amp;P)'!V3180="Yes",
    1.20,
    1.00)</f>
        <v/>
      </c>
      <c r="T3180">
        <f>LET(
    payment_method,'Loan Tape (S&amp;P)'!P3180,
    occupancy,'Loan Tape (S&amp;P)'!N3180,
    maturity_date,'Loan Tape (S&amp;P)'!L3180,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81">
      <c r="J3181">
        <f>LET(
    lien,'Loan Tape (S&amp;P)'!Q3181,
    IF(lien="First",1.00,
        IF(lien="Second",1.50,
            1.70)))</f>
        <v/>
      </c>
      <c r="K3181">
        <f>LET(
    purpose,'Loan Tape (S&amp;P)'!R3181,
    IF(purpose="Purchase",1.00,
        IF(purpose="Remortgage",1.00,
            1.20)))</f>
        <v/>
      </c>
      <c r="L3181">
        <f>LET(
    arrears_months,'Loan Tape (S&amp;P)'!AN3181,
    IF(arrears_months=0,1.00,
    IF(arrears_months=1,3.00,
    IF(arrears_months=2,5.00,
    IF(arrears_months=3,8.00,
    IF(arrears_months=4,10.00,
    IF(arrears_months=5,12.00,15.00)))))))</f>
        <v/>
      </c>
      <c r="M3181">
        <f>LET(
    seasoning_years,DATEDIF('Loan Tape (S&amp;P)'!K3181,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81">
        <f>IF(AND('Loan Tape (S&amp;P)'!U3181="Yes",
        'Loan Tape (S&amp;P)'!T3181&lt;&gt;"Yes",
        DATEDIF('Loan Tape (S&amp;P)'!K3181, TODAY(), "M")&lt;18),
    1.10,
    1.00)</f>
        <v/>
      </c>
      <c r="O3181">
        <f>IF('Loan Tape (S&amp;P)'!T3181="Yes",
    1.35,
    1.00)</f>
        <v/>
      </c>
      <c r="P3181">
        <f>IF('Loan Tape (S&amp;P)'!S3181="Yes",
    1.15,
    1.00)</f>
        <v/>
      </c>
      <c r="Q3181">
        <f>IF('Loan Tape (S&amp;P)'!V3181="Yes",
    1.20,
    1.00)</f>
        <v/>
      </c>
      <c r="T3181">
        <f>LET(
    payment_method,'Loan Tape (S&amp;P)'!P3181,
    occupancy,'Loan Tape (S&amp;P)'!N3181,
    maturity_date,'Loan Tape (S&amp;P)'!L3181,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82">
      <c r="J3182">
        <f>LET(
    lien,'Loan Tape (S&amp;P)'!Q3182,
    IF(lien="First",1.00,
        IF(lien="Second",1.50,
            1.70)))</f>
        <v/>
      </c>
      <c r="K3182">
        <f>LET(
    purpose,'Loan Tape (S&amp;P)'!R3182,
    IF(purpose="Purchase",1.00,
        IF(purpose="Remortgage",1.00,
            1.20)))</f>
        <v/>
      </c>
      <c r="L3182">
        <f>LET(
    arrears_months,'Loan Tape (S&amp;P)'!AN3182,
    IF(arrears_months=0,1.00,
    IF(arrears_months=1,3.00,
    IF(arrears_months=2,5.00,
    IF(arrears_months=3,8.00,
    IF(arrears_months=4,10.00,
    IF(arrears_months=5,12.00,15.00)))))))</f>
        <v/>
      </c>
      <c r="M3182">
        <f>LET(
    seasoning_years,DATEDIF('Loan Tape (S&amp;P)'!K3182,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82">
        <f>IF(AND('Loan Tape (S&amp;P)'!U3182="Yes",
        'Loan Tape (S&amp;P)'!T3182&lt;&gt;"Yes",
        DATEDIF('Loan Tape (S&amp;P)'!K3182, TODAY(), "M")&lt;18),
    1.10,
    1.00)</f>
        <v/>
      </c>
      <c r="O3182">
        <f>IF('Loan Tape (S&amp;P)'!T3182="Yes",
    1.35,
    1.00)</f>
        <v/>
      </c>
      <c r="P3182">
        <f>IF('Loan Tape (S&amp;P)'!S3182="Yes",
    1.15,
    1.00)</f>
        <v/>
      </c>
      <c r="Q3182">
        <f>IF('Loan Tape (S&amp;P)'!V3182="Yes",
    1.20,
    1.00)</f>
        <v/>
      </c>
      <c r="T3182">
        <f>LET(
    payment_method,'Loan Tape (S&amp;P)'!P3182,
    occupancy,'Loan Tape (S&amp;P)'!N3182,
    maturity_date,'Loan Tape (S&amp;P)'!L3182,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83">
      <c r="J3183">
        <f>LET(
    lien,'Loan Tape (S&amp;P)'!Q3183,
    IF(lien="First",1.00,
        IF(lien="Second",1.50,
            1.70)))</f>
        <v/>
      </c>
      <c r="K3183">
        <f>LET(
    purpose,'Loan Tape (S&amp;P)'!R3183,
    IF(purpose="Purchase",1.00,
        IF(purpose="Remortgage",1.00,
            1.20)))</f>
        <v/>
      </c>
      <c r="L3183">
        <f>LET(
    arrears_months,'Loan Tape (S&amp;P)'!AN3183,
    IF(arrears_months=0,1.00,
    IF(arrears_months=1,3.00,
    IF(arrears_months=2,5.00,
    IF(arrears_months=3,8.00,
    IF(arrears_months=4,10.00,
    IF(arrears_months=5,12.00,15.00)))))))</f>
        <v/>
      </c>
      <c r="M3183">
        <f>LET(
    seasoning_years,DATEDIF('Loan Tape (S&amp;P)'!K3183,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83">
        <f>IF(AND('Loan Tape (S&amp;P)'!U3183="Yes",
        'Loan Tape (S&amp;P)'!T3183&lt;&gt;"Yes",
        DATEDIF('Loan Tape (S&amp;P)'!K3183, TODAY(), "M")&lt;18),
    1.10,
    1.00)</f>
        <v/>
      </c>
      <c r="O3183">
        <f>IF('Loan Tape (S&amp;P)'!T3183="Yes",
    1.35,
    1.00)</f>
        <v/>
      </c>
      <c r="P3183">
        <f>IF('Loan Tape (S&amp;P)'!S3183="Yes",
    1.15,
    1.00)</f>
        <v/>
      </c>
      <c r="Q3183">
        <f>IF('Loan Tape (S&amp;P)'!V3183="Yes",
    1.20,
    1.00)</f>
        <v/>
      </c>
      <c r="T3183">
        <f>LET(
    payment_method,'Loan Tape (S&amp;P)'!P3183,
    occupancy,'Loan Tape (S&amp;P)'!N3183,
    maturity_date,'Loan Tape (S&amp;P)'!L3183,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84">
      <c r="J3184">
        <f>LET(
    lien,'Loan Tape (S&amp;P)'!Q3184,
    IF(lien="First",1.00,
        IF(lien="Second",1.50,
            1.70)))</f>
        <v/>
      </c>
      <c r="K3184">
        <f>LET(
    purpose,'Loan Tape (S&amp;P)'!R3184,
    IF(purpose="Purchase",1.00,
        IF(purpose="Remortgage",1.00,
            1.20)))</f>
        <v/>
      </c>
      <c r="L3184">
        <f>LET(
    arrears_months,'Loan Tape (S&amp;P)'!AN3184,
    IF(arrears_months=0,1.00,
    IF(arrears_months=1,3.00,
    IF(arrears_months=2,5.00,
    IF(arrears_months=3,8.00,
    IF(arrears_months=4,10.00,
    IF(arrears_months=5,12.00,15.00)))))))</f>
        <v/>
      </c>
      <c r="M3184">
        <f>LET(
    seasoning_years,DATEDIF('Loan Tape (S&amp;P)'!K3184,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84">
        <f>IF(AND('Loan Tape (S&amp;P)'!U3184="Yes",
        'Loan Tape (S&amp;P)'!T3184&lt;&gt;"Yes",
        DATEDIF('Loan Tape (S&amp;P)'!K3184, TODAY(), "M")&lt;18),
    1.10,
    1.00)</f>
        <v/>
      </c>
      <c r="O3184">
        <f>IF('Loan Tape (S&amp;P)'!T3184="Yes",
    1.35,
    1.00)</f>
        <v/>
      </c>
      <c r="P3184">
        <f>IF('Loan Tape (S&amp;P)'!S3184="Yes",
    1.15,
    1.00)</f>
        <v/>
      </c>
      <c r="Q3184">
        <f>IF('Loan Tape (S&amp;P)'!V3184="Yes",
    1.20,
    1.00)</f>
        <v/>
      </c>
      <c r="T3184">
        <f>LET(
    payment_method,'Loan Tape (S&amp;P)'!P3184,
    occupancy,'Loan Tape (S&amp;P)'!N3184,
    maturity_date,'Loan Tape (S&amp;P)'!L3184,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85">
      <c r="J3185">
        <f>LET(
    lien,'Loan Tape (S&amp;P)'!Q3185,
    IF(lien="First",1.00,
        IF(lien="Second",1.50,
            1.70)))</f>
        <v/>
      </c>
      <c r="K3185">
        <f>LET(
    purpose,'Loan Tape (S&amp;P)'!R3185,
    IF(purpose="Purchase",1.00,
        IF(purpose="Remortgage",1.00,
            1.20)))</f>
        <v/>
      </c>
      <c r="L3185">
        <f>LET(
    arrears_months,'Loan Tape (S&amp;P)'!AN3185,
    IF(arrears_months=0,1.00,
    IF(arrears_months=1,3.00,
    IF(arrears_months=2,5.00,
    IF(arrears_months=3,8.00,
    IF(arrears_months=4,10.00,
    IF(arrears_months=5,12.00,15.00)))))))</f>
        <v/>
      </c>
      <c r="M3185">
        <f>LET(
    seasoning_years,DATEDIF('Loan Tape (S&amp;P)'!K3185,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85">
        <f>IF(AND('Loan Tape (S&amp;P)'!U3185="Yes",
        'Loan Tape (S&amp;P)'!T3185&lt;&gt;"Yes",
        DATEDIF('Loan Tape (S&amp;P)'!K3185, TODAY(), "M")&lt;18),
    1.10,
    1.00)</f>
        <v/>
      </c>
      <c r="O3185">
        <f>IF('Loan Tape (S&amp;P)'!T3185="Yes",
    1.35,
    1.00)</f>
        <v/>
      </c>
      <c r="P3185">
        <f>IF('Loan Tape (S&amp;P)'!S3185="Yes",
    1.15,
    1.00)</f>
        <v/>
      </c>
      <c r="Q3185">
        <f>IF('Loan Tape (S&amp;P)'!V3185="Yes",
    1.20,
    1.00)</f>
        <v/>
      </c>
      <c r="T3185">
        <f>LET(
    payment_method,'Loan Tape (S&amp;P)'!P3185,
    occupancy,'Loan Tape (S&amp;P)'!N3185,
    maturity_date,'Loan Tape (S&amp;P)'!L3185,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86">
      <c r="J3186">
        <f>LET(
    lien,'Loan Tape (S&amp;P)'!Q3186,
    IF(lien="First",1.00,
        IF(lien="Second",1.50,
            1.70)))</f>
        <v/>
      </c>
      <c r="K3186">
        <f>LET(
    purpose,'Loan Tape (S&amp;P)'!R3186,
    IF(purpose="Purchase",1.00,
        IF(purpose="Remortgage",1.00,
            1.20)))</f>
        <v/>
      </c>
      <c r="L3186">
        <f>LET(
    arrears_months,'Loan Tape (S&amp;P)'!AN3186,
    IF(arrears_months=0,1.00,
    IF(arrears_months=1,3.00,
    IF(arrears_months=2,5.00,
    IF(arrears_months=3,8.00,
    IF(arrears_months=4,10.00,
    IF(arrears_months=5,12.00,15.00)))))))</f>
        <v/>
      </c>
      <c r="M3186">
        <f>LET(
    seasoning_years,DATEDIF('Loan Tape (S&amp;P)'!K3186,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86">
        <f>IF(AND('Loan Tape (S&amp;P)'!U3186="Yes",
        'Loan Tape (S&amp;P)'!T3186&lt;&gt;"Yes",
        DATEDIF('Loan Tape (S&amp;P)'!K3186, TODAY(), "M")&lt;18),
    1.10,
    1.00)</f>
        <v/>
      </c>
      <c r="O3186">
        <f>IF('Loan Tape (S&amp;P)'!T3186="Yes",
    1.35,
    1.00)</f>
        <v/>
      </c>
      <c r="P3186">
        <f>IF('Loan Tape (S&amp;P)'!S3186="Yes",
    1.15,
    1.00)</f>
        <v/>
      </c>
      <c r="Q3186">
        <f>IF('Loan Tape (S&amp;P)'!V3186="Yes",
    1.20,
    1.00)</f>
        <v/>
      </c>
      <c r="T3186">
        <f>LET(
    payment_method,'Loan Tape (S&amp;P)'!P3186,
    occupancy,'Loan Tape (S&amp;P)'!N3186,
    maturity_date,'Loan Tape (S&amp;P)'!L3186,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87">
      <c r="J3187">
        <f>LET(
    lien,'Loan Tape (S&amp;P)'!Q3187,
    IF(lien="First",1.00,
        IF(lien="Second",1.50,
            1.70)))</f>
        <v/>
      </c>
      <c r="K3187">
        <f>LET(
    purpose,'Loan Tape (S&amp;P)'!R3187,
    IF(purpose="Purchase",1.00,
        IF(purpose="Remortgage",1.00,
            1.20)))</f>
        <v/>
      </c>
      <c r="L3187">
        <f>LET(
    arrears_months,'Loan Tape (S&amp;P)'!AN3187,
    IF(arrears_months=0,1.00,
    IF(arrears_months=1,3.00,
    IF(arrears_months=2,5.00,
    IF(arrears_months=3,8.00,
    IF(arrears_months=4,10.00,
    IF(arrears_months=5,12.00,15.00)))))))</f>
        <v/>
      </c>
      <c r="M3187">
        <f>LET(
    seasoning_years,DATEDIF('Loan Tape (S&amp;P)'!K3187,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87">
        <f>IF(AND('Loan Tape (S&amp;P)'!U3187="Yes",
        'Loan Tape (S&amp;P)'!T3187&lt;&gt;"Yes",
        DATEDIF('Loan Tape (S&amp;P)'!K3187, TODAY(), "M")&lt;18),
    1.10,
    1.00)</f>
        <v/>
      </c>
      <c r="O3187">
        <f>IF('Loan Tape (S&amp;P)'!T3187="Yes",
    1.35,
    1.00)</f>
        <v/>
      </c>
      <c r="P3187">
        <f>IF('Loan Tape (S&amp;P)'!S3187="Yes",
    1.15,
    1.00)</f>
        <v/>
      </c>
      <c r="Q3187">
        <f>IF('Loan Tape (S&amp;P)'!V3187="Yes",
    1.20,
    1.00)</f>
        <v/>
      </c>
      <c r="T3187">
        <f>LET(
    payment_method,'Loan Tape (S&amp;P)'!P3187,
    occupancy,'Loan Tape (S&amp;P)'!N3187,
    maturity_date,'Loan Tape (S&amp;P)'!L3187,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88">
      <c r="J3188">
        <f>LET(
    lien,'Loan Tape (S&amp;P)'!Q3188,
    IF(lien="First",1.00,
        IF(lien="Second",1.50,
            1.70)))</f>
        <v/>
      </c>
      <c r="K3188">
        <f>LET(
    purpose,'Loan Tape (S&amp;P)'!R3188,
    IF(purpose="Purchase",1.00,
        IF(purpose="Remortgage",1.00,
            1.20)))</f>
        <v/>
      </c>
      <c r="L3188">
        <f>LET(
    arrears_months,'Loan Tape (S&amp;P)'!AN3188,
    IF(arrears_months=0,1.00,
    IF(arrears_months=1,3.00,
    IF(arrears_months=2,5.00,
    IF(arrears_months=3,8.00,
    IF(arrears_months=4,10.00,
    IF(arrears_months=5,12.00,15.00)))))))</f>
        <v/>
      </c>
      <c r="M3188">
        <f>LET(
    seasoning_years,DATEDIF('Loan Tape (S&amp;P)'!K3188,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88">
        <f>IF(AND('Loan Tape (S&amp;P)'!U3188="Yes",
        'Loan Tape (S&amp;P)'!T3188&lt;&gt;"Yes",
        DATEDIF('Loan Tape (S&amp;P)'!K3188, TODAY(), "M")&lt;18),
    1.10,
    1.00)</f>
        <v/>
      </c>
      <c r="O3188">
        <f>IF('Loan Tape (S&amp;P)'!T3188="Yes",
    1.35,
    1.00)</f>
        <v/>
      </c>
      <c r="P3188">
        <f>IF('Loan Tape (S&amp;P)'!S3188="Yes",
    1.15,
    1.00)</f>
        <v/>
      </c>
      <c r="Q3188">
        <f>IF('Loan Tape (S&amp;P)'!V3188="Yes",
    1.20,
    1.00)</f>
        <v/>
      </c>
      <c r="T3188">
        <f>LET(
    payment_method,'Loan Tape (S&amp;P)'!P3188,
    occupancy,'Loan Tape (S&amp;P)'!N3188,
    maturity_date,'Loan Tape (S&amp;P)'!L3188,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89">
      <c r="J3189">
        <f>LET(
    lien,'Loan Tape (S&amp;P)'!Q3189,
    IF(lien="First",1.00,
        IF(lien="Second",1.50,
            1.70)))</f>
        <v/>
      </c>
      <c r="K3189">
        <f>LET(
    purpose,'Loan Tape (S&amp;P)'!R3189,
    IF(purpose="Purchase",1.00,
        IF(purpose="Remortgage",1.00,
            1.20)))</f>
        <v/>
      </c>
      <c r="L3189">
        <f>LET(
    arrears_months,'Loan Tape (S&amp;P)'!AN3189,
    IF(arrears_months=0,1.00,
    IF(arrears_months=1,3.00,
    IF(arrears_months=2,5.00,
    IF(arrears_months=3,8.00,
    IF(arrears_months=4,10.00,
    IF(arrears_months=5,12.00,15.00)))))))</f>
        <v/>
      </c>
      <c r="M3189">
        <f>LET(
    seasoning_years,DATEDIF('Loan Tape (S&amp;P)'!K3189,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89">
        <f>IF(AND('Loan Tape (S&amp;P)'!U3189="Yes",
        'Loan Tape (S&amp;P)'!T3189&lt;&gt;"Yes",
        DATEDIF('Loan Tape (S&amp;P)'!K3189, TODAY(), "M")&lt;18),
    1.10,
    1.00)</f>
        <v/>
      </c>
      <c r="O3189">
        <f>IF('Loan Tape (S&amp;P)'!T3189="Yes",
    1.35,
    1.00)</f>
        <v/>
      </c>
      <c r="P3189">
        <f>IF('Loan Tape (S&amp;P)'!S3189="Yes",
    1.15,
    1.00)</f>
        <v/>
      </c>
      <c r="Q3189">
        <f>IF('Loan Tape (S&amp;P)'!V3189="Yes",
    1.20,
    1.00)</f>
        <v/>
      </c>
      <c r="T3189">
        <f>LET(
    payment_method,'Loan Tape (S&amp;P)'!P3189,
    occupancy,'Loan Tape (S&amp;P)'!N3189,
    maturity_date,'Loan Tape (S&amp;P)'!L3189,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90">
      <c r="J3190">
        <f>LET(
    lien,'Loan Tape (S&amp;P)'!Q3190,
    IF(lien="First",1.00,
        IF(lien="Second",1.50,
            1.70)))</f>
        <v/>
      </c>
      <c r="K3190">
        <f>LET(
    purpose,'Loan Tape (S&amp;P)'!R3190,
    IF(purpose="Purchase",1.00,
        IF(purpose="Remortgage",1.00,
            1.20)))</f>
        <v/>
      </c>
      <c r="L3190">
        <f>LET(
    arrears_months,'Loan Tape (S&amp;P)'!AN3190,
    IF(arrears_months=0,1.00,
    IF(arrears_months=1,3.00,
    IF(arrears_months=2,5.00,
    IF(arrears_months=3,8.00,
    IF(arrears_months=4,10.00,
    IF(arrears_months=5,12.00,15.00)))))))</f>
        <v/>
      </c>
      <c r="M3190">
        <f>LET(
    seasoning_years,DATEDIF('Loan Tape (S&amp;P)'!K3190,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90">
        <f>IF(AND('Loan Tape (S&amp;P)'!U3190="Yes",
        'Loan Tape (S&amp;P)'!T3190&lt;&gt;"Yes",
        DATEDIF('Loan Tape (S&amp;P)'!K3190, TODAY(), "M")&lt;18),
    1.10,
    1.00)</f>
        <v/>
      </c>
      <c r="O3190">
        <f>IF('Loan Tape (S&amp;P)'!T3190="Yes",
    1.35,
    1.00)</f>
        <v/>
      </c>
      <c r="P3190">
        <f>IF('Loan Tape (S&amp;P)'!S3190="Yes",
    1.15,
    1.00)</f>
        <v/>
      </c>
      <c r="Q3190">
        <f>IF('Loan Tape (S&amp;P)'!V3190="Yes",
    1.20,
    1.00)</f>
        <v/>
      </c>
      <c r="T3190">
        <f>LET(
    payment_method,'Loan Tape (S&amp;P)'!P3190,
    occupancy,'Loan Tape (S&amp;P)'!N3190,
    maturity_date,'Loan Tape (S&amp;P)'!L3190,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91">
      <c r="J3191">
        <f>LET(
    lien,'Loan Tape (S&amp;P)'!Q3191,
    IF(lien="First",1.00,
        IF(lien="Second",1.50,
            1.70)))</f>
        <v/>
      </c>
      <c r="K3191">
        <f>LET(
    purpose,'Loan Tape (S&amp;P)'!R3191,
    IF(purpose="Purchase",1.00,
        IF(purpose="Remortgage",1.00,
            1.20)))</f>
        <v/>
      </c>
      <c r="L3191">
        <f>LET(
    arrears_months,'Loan Tape (S&amp;P)'!AN3191,
    IF(arrears_months=0,1.00,
    IF(arrears_months=1,3.00,
    IF(arrears_months=2,5.00,
    IF(arrears_months=3,8.00,
    IF(arrears_months=4,10.00,
    IF(arrears_months=5,12.00,15.00)))))))</f>
        <v/>
      </c>
      <c r="M3191">
        <f>LET(
    seasoning_years,DATEDIF('Loan Tape (S&amp;P)'!K3191,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91">
        <f>IF(AND('Loan Tape (S&amp;P)'!U3191="Yes",
        'Loan Tape (S&amp;P)'!T3191&lt;&gt;"Yes",
        DATEDIF('Loan Tape (S&amp;P)'!K3191, TODAY(), "M")&lt;18),
    1.10,
    1.00)</f>
        <v/>
      </c>
      <c r="O3191">
        <f>IF('Loan Tape (S&amp;P)'!T3191="Yes",
    1.35,
    1.00)</f>
        <v/>
      </c>
      <c r="P3191">
        <f>IF('Loan Tape (S&amp;P)'!S3191="Yes",
    1.15,
    1.00)</f>
        <v/>
      </c>
      <c r="Q3191">
        <f>IF('Loan Tape (S&amp;P)'!V3191="Yes",
    1.20,
    1.00)</f>
        <v/>
      </c>
      <c r="T3191">
        <f>LET(
    payment_method,'Loan Tape (S&amp;P)'!P3191,
    occupancy,'Loan Tape (S&amp;P)'!N3191,
    maturity_date,'Loan Tape (S&amp;P)'!L3191,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92">
      <c r="J3192">
        <f>LET(
    lien,'Loan Tape (S&amp;P)'!Q3192,
    IF(lien="First",1.00,
        IF(lien="Second",1.50,
            1.70)))</f>
        <v/>
      </c>
      <c r="K3192">
        <f>LET(
    purpose,'Loan Tape (S&amp;P)'!R3192,
    IF(purpose="Purchase",1.00,
        IF(purpose="Remortgage",1.00,
            1.20)))</f>
        <v/>
      </c>
      <c r="L3192">
        <f>LET(
    arrears_months,'Loan Tape (S&amp;P)'!AN3192,
    IF(arrears_months=0,1.00,
    IF(arrears_months=1,3.00,
    IF(arrears_months=2,5.00,
    IF(arrears_months=3,8.00,
    IF(arrears_months=4,10.00,
    IF(arrears_months=5,12.00,15.00)))))))</f>
        <v/>
      </c>
      <c r="M3192">
        <f>LET(
    seasoning_years,DATEDIF('Loan Tape (S&amp;P)'!K3192,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92">
        <f>IF(AND('Loan Tape (S&amp;P)'!U3192="Yes",
        'Loan Tape (S&amp;P)'!T3192&lt;&gt;"Yes",
        DATEDIF('Loan Tape (S&amp;P)'!K3192, TODAY(), "M")&lt;18),
    1.10,
    1.00)</f>
        <v/>
      </c>
      <c r="O3192">
        <f>IF('Loan Tape (S&amp;P)'!T3192="Yes",
    1.35,
    1.00)</f>
        <v/>
      </c>
      <c r="P3192">
        <f>IF('Loan Tape (S&amp;P)'!S3192="Yes",
    1.15,
    1.00)</f>
        <v/>
      </c>
      <c r="Q3192">
        <f>IF('Loan Tape (S&amp;P)'!V3192="Yes",
    1.20,
    1.00)</f>
        <v/>
      </c>
      <c r="T3192">
        <f>LET(
    payment_method,'Loan Tape (S&amp;P)'!P3192,
    occupancy,'Loan Tape (S&amp;P)'!N3192,
    maturity_date,'Loan Tape (S&amp;P)'!L3192,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93">
      <c r="J3193">
        <f>LET(
    lien,'Loan Tape (S&amp;P)'!Q3193,
    IF(lien="First",1.00,
        IF(lien="Second",1.50,
            1.70)))</f>
        <v/>
      </c>
      <c r="K3193">
        <f>LET(
    purpose,'Loan Tape (S&amp;P)'!R3193,
    IF(purpose="Purchase",1.00,
        IF(purpose="Remortgage",1.00,
            1.20)))</f>
        <v/>
      </c>
      <c r="L3193">
        <f>LET(
    arrears_months,'Loan Tape (S&amp;P)'!AN3193,
    IF(arrears_months=0,1.00,
    IF(arrears_months=1,3.00,
    IF(arrears_months=2,5.00,
    IF(arrears_months=3,8.00,
    IF(arrears_months=4,10.00,
    IF(arrears_months=5,12.00,15.00)))))))</f>
        <v/>
      </c>
      <c r="M3193">
        <f>LET(
    seasoning_years,DATEDIF('Loan Tape (S&amp;P)'!K3193,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93">
        <f>IF(AND('Loan Tape (S&amp;P)'!U3193="Yes",
        'Loan Tape (S&amp;P)'!T3193&lt;&gt;"Yes",
        DATEDIF('Loan Tape (S&amp;P)'!K3193, TODAY(), "M")&lt;18),
    1.10,
    1.00)</f>
        <v/>
      </c>
      <c r="O3193">
        <f>IF('Loan Tape (S&amp;P)'!T3193="Yes",
    1.35,
    1.00)</f>
        <v/>
      </c>
      <c r="P3193">
        <f>IF('Loan Tape (S&amp;P)'!S3193="Yes",
    1.15,
    1.00)</f>
        <v/>
      </c>
      <c r="Q3193">
        <f>IF('Loan Tape (S&amp;P)'!V3193="Yes",
    1.20,
    1.00)</f>
        <v/>
      </c>
      <c r="T3193">
        <f>LET(
    payment_method,'Loan Tape (S&amp;P)'!P3193,
    occupancy,'Loan Tape (S&amp;P)'!N3193,
    maturity_date,'Loan Tape (S&amp;P)'!L3193,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94">
      <c r="J3194">
        <f>LET(
    lien,'Loan Tape (S&amp;P)'!Q3194,
    IF(lien="First",1.00,
        IF(lien="Second",1.50,
            1.70)))</f>
        <v/>
      </c>
      <c r="K3194">
        <f>LET(
    purpose,'Loan Tape (S&amp;P)'!R3194,
    IF(purpose="Purchase",1.00,
        IF(purpose="Remortgage",1.00,
            1.20)))</f>
        <v/>
      </c>
      <c r="L3194">
        <f>LET(
    arrears_months,'Loan Tape (S&amp;P)'!AN3194,
    IF(arrears_months=0,1.00,
    IF(arrears_months=1,3.00,
    IF(arrears_months=2,5.00,
    IF(arrears_months=3,8.00,
    IF(arrears_months=4,10.00,
    IF(arrears_months=5,12.00,15.00)))))))</f>
        <v/>
      </c>
      <c r="M3194">
        <f>LET(
    seasoning_years,DATEDIF('Loan Tape (S&amp;P)'!K3194,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94">
        <f>IF(AND('Loan Tape (S&amp;P)'!U3194="Yes",
        'Loan Tape (S&amp;P)'!T3194&lt;&gt;"Yes",
        DATEDIF('Loan Tape (S&amp;P)'!K3194, TODAY(), "M")&lt;18),
    1.10,
    1.00)</f>
        <v/>
      </c>
      <c r="O3194">
        <f>IF('Loan Tape (S&amp;P)'!T3194="Yes",
    1.35,
    1.00)</f>
        <v/>
      </c>
      <c r="P3194">
        <f>IF('Loan Tape (S&amp;P)'!S3194="Yes",
    1.15,
    1.00)</f>
        <v/>
      </c>
      <c r="Q3194">
        <f>IF('Loan Tape (S&amp;P)'!V3194="Yes",
    1.20,
    1.00)</f>
        <v/>
      </c>
      <c r="T3194">
        <f>LET(
    payment_method,'Loan Tape (S&amp;P)'!P3194,
    occupancy,'Loan Tape (S&amp;P)'!N3194,
    maturity_date,'Loan Tape (S&amp;P)'!L3194,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95">
      <c r="J3195">
        <f>LET(
    lien,'Loan Tape (S&amp;P)'!Q3195,
    IF(lien="First",1.00,
        IF(lien="Second",1.50,
            1.70)))</f>
        <v/>
      </c>
      <c r="K3195">
        <f>LET(
    purpose,'Loan Tape (S&amp;P)'!R3195,
    IF(purpose="Purchase",1.00,
        IF(purpose="Remortgage",1.00,
            1.20)))</f>
        <v/>
      </c>
      <c r="L3195">
        <f>LET(
    arrears_months,'Loan Tape (S&amp;P)'!AN3195,
    IF(arrears_months=0,1.00,
    IF(arrears_months=1,3.00,
    IF(arrears_months=2,5.00,
    IF(arrears_months=3,8.00,
    IF(arrears_months=4,10.00,
    IF(arrears_months=5,12.00,15.00)))))))</f>
        <v/>
      </c>
      <c r="M3195">
        <f>LET(
    seasoning_years,DATEDIF('Loan Tape (S&amp;P)'!K3195,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95">
        <f>IF(AND('Loan Tape (S&amp;P)'!U3195="Yes",
        'Loan Tape (S&amp;P)'!T3195&lt;&gt;"Yes",
        DATEDIF('Loan Tape (S&amp;P)'!K3195, TODAY(), "M")&lt;18),
    1.10,
    1.00)</f>
        <v/>
      </c>
      <c r="O3195">
        <f>IF('Loan Tape (S&amp;P)'!T3195="Yes",
    1.35,
    1.00)</f>
        <v/>
      </c>
      <c r="P3195">
        <f>IF('Loan Tape (S&amp;P)'!S3195="Yes",
    1.15,
    1.00)</f>
        <v/>
      </c>
      <c r="Q3195">
        <f>IF('Loan Tape (S&amp;P)'!V3195="Yes",
    1.20,
    1.00)</f>
        <v/>
      </c>
      <c r="T3195">
        <f>LET(
    payment_method,'Loan Tape (S&amp;P)'!P3195,
    occupancy,'Loan Tape (S&amp;P)'!N3195,
    maturity_date,'Loan Tape (S&amp;P)'!L3195,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96">
      <c r="J3196">
        <f>LET(
    lien,'Loan Tape (S&amp;P)'!Q3196,
    IF(lien="First",1.00,
        IF(lien="Second",1.50,
            1.70)))</f>
        <v/>
      </c>
      <c r="K3196">
        <f>LET(
    purpose,'Loan Tape (S&amp;P)'!R3196,
    IF(purpose="Purchase",1.00,
        IF(purpose="Remortgage",1.00,
            1.20)))</f>
        <v/>
      </c>
      <c r="L3196">
        <f>LET(
    arrears_months,'Loan Tape (S&amp;P)'!AN3196,
    IF(arrears_months=0,1.00,
    IF(arrears_months=1,3.00,
    IF(arrears_months=2,5.00,
    IF(arrears_months=3,8.00,
    IF(arrears_months=4,10.00,
    IF(arrears_months=5,12.00,15.00)))))))</f>
        <v/>
      </c>
      <c r="M3196">
        <f>LET(
    seasoning_years,DATEDIF('Loan Tape (S&amp;P)'!K3196,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96">
        <f>IF(AND('Loan Tape (S&amp;P)'!U3196="Yes",
        'Loan Tape (S&amp;P)'!T3196&lt;&gt;"Yes",
        DATEDIF('Loan Tape (S&amp;P)'!K3196, TODAY(), "M")&lt;18),
    1.10,
    1.00)</f>
        <v/>
      </c>
      <c r="O3196">
        <f>IF('Loan Tape (S&amp;P)'!T3196="Yes",
    1.35,
    1.00)</f>
        <v/>
      </c>
      <c r="P3196">
        <f>IF('Loan Tape (S&amp;P)'!S3196="Yes",
    1.15,
    1.00)</f>
        <v/>
      </c>
      <c r="Q3196">
        <f>IF('Loan Tape (S&amp;P)'!V3196="Yes",
    1.20,
    1.00)</f>
        <v/>
      </c>
      <c r="T3196">
        <f>LET(
    payment_method,'Loan Tape (S&amp;P)'!P3196,
    occupancy,'Loan Tape (S&amp;P)'!N3196,
    maturity_date,'Loan Tape (S&amp;P)'!L3196,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97">
      <c r="J3197">
        <f>LET(
    lien,'Loan Tape (S&amp;P)'!Q3197,
    IF(lien="First",1.00,
        IF(lien="Second",1.50,
            1.70)))</f>
        <v/>
      </c>
      <c r="K3197">
        <f>LET(
    purpose,'Loan Tape (S&amp;P)'!R3197,
    IF(purpose="Purchase",1.00,
        IF(purpose="Remortgage",1.00,
            1.20)))</f>
        <v/>
      </c>
      <c r="L3197">
        <f>LET(
    arrears_months,'Loan Tape (S&amp;P)'!AN3197,
    IF(arrears_months=0,1.00,
    IF(arrears_months=1,3.00,
    IF(arrears_months=2,5.00,
    IF(arrears_months=3,8.00,
    IF(arrears_months=4,10.00,
    IF(arrears_months=5,12.00,15.00)))))))</f>
        <v/>
      </c>
      <c r="M3197">
        <f>LET(
    seasoning_years,DATEDIF('Loan Tape (S&amp;P)'!K3197,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97">
        <f>IF(AND('Loan Tape (S&amp;P)'!U3197="Yes",
        'Loan Tape (S&amp;P)'!T3197&lt;&gt;"Yes",
        DATEDIF('Loan Tape (S&amp;P)'!K3197, TODAY(), "M")&lt;18),
    1.10,
    1.00)</f>
        <v/>
      </c>
      <c r="O3197">
        <f>IF('Loan Tape (S&amp;P)'!T3197="Yes",
    1.35,
    1.00)</f>
        <v/>
      </c>
      <c r="P3197">
        <f>IF('Loan Tape (S&amp;P)'!S3197="Yes",
    1.15,
    1.00)</f>
        <v/>
      </c>
      <c r="Q3197">
        <f>IF('Loan Tape (S&amp;P)'!V3197="Yes",
    1.20,
    1.00)</f>
        <v/>
      </c>
      <c r="T3197">
        <f>LET(
    payment_method,'Loan Tape (S&amp;P)'!P3197,
    occupancy,'Loan Tape (S&amp;P)'!N3197,
    maturity_date,'Loan Tape (S&amp;P)'!L3197,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98">
      <c r="J3198">
        <f>LET(
    lien,'Loan Tape (S&amp;P)'!Q3198,
    IF(lien="First",1.00,
        IF(lien="Second",1.50,
            1.70)))</f>
        <v/>
      </c>
      <c r="K3198">
        <f>LET(
    purpose,'Loan Tape (S&amp;P)'!R3198,
    IF(purpose="Purchase",1.00,
        IF(purpose="Remortgage",1.00,
            1.20)))</f>
        <v/>
      </c>
      <c r="L3198">
        <f>LET(
    arrears_months,'Loan Tape (S&amp;P)'!AN3198,
    IF(arrears_months=0,1.00,
    IF(arrears_months=1,3.00,
    IF(arrears_months=2,5.00,
    IF(arrears_months=3,8.00,
    IF(arrears_months=4,10.00,
    IF(arrears_months=5,12.00,15.00)))))))</f>
        <v/>
      </c>
      <c r="M3198">
        <f>LET(
    seasoning_years,DATEDIF('Loan Tape (S&amp;P)'!K3198,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98">
        <f>IF(AND('Loan Tape (S&amp;P)'!U3198="Yes",
        'Loan Tape (S&amp;P)'!T3198&lt;&gt;"Yes",
        DATEDIF('Loan Tape (S&amp;P)'!K3198, TODAY(), "M")&lt;18),
    1.10,
    1.00)</f>
        <v/>
      </c>
      <c r="O3198">
        <f>IF('Loan Tape (S&amp;P)'!T3198="Yes",
    1.35,
    1.00)</f>
        <v/>
      </c>
      <c r="P3198">
        <f>IF('Loan Tape (S&amp;P)'!S3198="Yes",
    1.15,
    1.00)</f>
        <v/>
      </c>
      <c r="Q3198">
        <f>IF('Loan Tape (S&amp;P)'!V3198="Yes",
    1.20,
    1.00)</f>
        <v/>
      </c>
      <c r="T3198">
        <f>LET(
    payment_method,'Loan Tape (S&amp;P)'!P3198,
    occupancy,'Loan Tape (S&amp;P)'!N3198,
    maturity_date,'Loan Tape (S&amp;P)'!L3198,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199">
      <c r="J3199">
        <f>LET(
    lien,'Loan Tape (S&amp;P)'!Q3199,
    IF(lien="First",1.00,
        IF(lien="Second",1.50,
            1.70)))</f>
        <v/>
      </c>
      <c r="K3199">
        <f>LET(
    purpose,'Loan Tape (S&amp;P)'!R3199,
    IF(purpose="Purchase",1.00,
        IF(purpose="Remortgage",1.00,
            1.20)))</f>
        <v/>
      </c>
      <c r="L3199">
        <f>LET(
    arrears_months,'Loan Tape (S&amp;P)'!AN3199,
    IF(arrears_months=0,1.00,
    IF(arrears_months=1,3.00,
    IF(arrears_months=2,5.00,
    IF(arrears_months=3,8.00,
    IF(arrears_months=4,10.00,
    IF(arrears_months=5,12.00,15.00)))))))</f>
        <v/>
      </c>
      <c r="M3199">
        <f>LET(
    seasoning_years,DATEDIF('Loan Tape (S&amp;P)'!K3199,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199">
        <f>IF(AND('Loan Tape (S&amp;P)'!U3199="Yes",
        'Loan Tape (S&amp;P)'!T3199&lt;&gt;"Yes",
        DATEDIF('Loan Tape (S&amp;P)'!K3199, TODAY(), "M")&lt;18),
    1.10,
    1.00)</f>
        <v/>
      </c>
      <c r="O3199">
        <f>IF('Loan Tape (S&amp;P)'!T3199="Yes",
    1.35,
    1.00)</f>
        <v/>
      </c>
      <c r="P3199">
        <f>IF('Loan Tape (S&amp;P)'!S3199="Yes",
    1.15,
    1.00)</f>
        <v/>
      </c>
      <c r="Q3199">
        <f>IF('Loan Tape (S&amp;P)'!V3199="Yes",
    1.20,
    1.00)</f>
        <v/>
      </c>
      <c r="T3199">
        <f>LET(
    payment_method,'Loan Tape (S&amp;P)'!P3199,
    occupancy,'Loan Tape (S&amp;P)'!N3199,
    maturity_date,'Loan Tape (S&amp;P)'!L3199,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00">
      <c r="J3200">
        <f>LET(
    lien,'Loan Tape (S&amp;P)'!Q3200,
    IF(lien="First",1.00,
        IF(lien="Second",1.50,
            1.70)))</f>
        <v/>
      </c>
      <c r="K3200">
        <f>LET(
    purpose,'Loan Tape (S&amp;P)'!R3200,
    IF(purpose="Purchase",1.00,
        IF(purpose="Remortgage",1.00,
            1.20)))</f>
        <v/>
      </c>
      <c r="L3200">
        <f>LET(
    arrears_months,'Loan Tape (S&amp;P)'!AN3200,
    IF(arrears_months=0,1.00,
    IF(arrears_months=1,3.00,
    IF(arrears_months=2,5.00,
    IF(arrears_months=3,8.00,
    IF(arrears_months=4,10.00,
    IF(arrears_months=5,12.00,15.00)))))))</f>
        <v/>
      </c>
      <c r="M3200">
        <f>LET(
    seasoning_years,DATEDIF('Loan Tape (S&amp;P)'!K3200,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00">
        <f>IF(AND('Loan Tape (S&amp;P)'!U3200="Yes",
        'Loan Tape (S&amp;P)'!T3200&lt;&gt;"Yes",
        DATEDIF('Loan Tape (S&amp;P)'!K3200, TODAY(), "M")&lt;18),
    1.10,
    1.00)</f>
        <v/>
      </c>
      <c r="O3200">
        <f>IF('Loan Tape (S&amp;P)'!T3200="Yes",
    1.35,
    1.00)</f>
        <v/>
      </c>
      <c r="P3200">
        <f>IF('Loan Tape (S&amp;P)'!S3200="Yes",
    1.15,
    1.00)</f>
        <v/>
      </c>
      <c r="Q3200">
        <f>IF('Loan Tape (S&amp;P)'!V3200="Yes",
    1.20,
    1.00)</f>
        <v/>
      </c>
      <c r="T3200">
        <f>LET(
    payment_method,'Loan Tape (S&amp;P)'!P3200,
    occupancy,'Loan Tape (S&amp;P)'!N3200,
    maturity_date,'Loan Tape (S&amp;P)'!L3200,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01">
      <c r="J3201">
        <f>LET(
    lien,'Loan Tape (S&amp;P)'!Q3201,
    IF(lien="First",1.00,
        IF(lien="Second",1.50,
            1.70)))</f>
        <v/>
      </c>
      <c r="K3201">
        <f>LET(
    purpose,'Loan Tape (S&amp;P)'!R3201,
    IF(purpose="Purchase",1.00,
        IF(purpose="Remortgage",1.00,
            1.20)))</f>
        <v/>
      </c>
      <c r="L3201">
        <f>LET(
    arrears_months,'Loan Tape (S&amp;P)'!AN3201,
    IF(arrears_months=0,1.00,
    IF(arrears_months=1,3.00,
    IF(arrears_months=2,5.00,
    IF(arrears_months=3,8.00,
    IF(arrears_months=4,10.00,
    IF(arrears_months=5,12.00,15.00)))))))</f>
        <v/>
      </c>
      <c r="M3201">
        <f>LET(
    seasoning_years,DATEDIF('Loan Tape (S&amp;P)'!K3201,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01">
        <f>IF(AND('Loan Tape (S&amp;P)'!U3201="Yes",
        'Loan Tape (S&amp;P)'!T3201&lt;&gt;"Yes",
        DATEDIF('Loan Tape (S&amp;P)'!K3201, TODAY(), "M")&lt;18),
    1.10,
    1.00)</f>
        <v/>
      </c>
      <c r="O3201">
        <f>IF('Loan Tape (S&amp;P)'!T3201="Yes",
    1.35,
    1.00)</f>
        <v/>
      </c>
      <c r="P3201">
        <f>IF('Loan Tape (S&amp;P)'!S3201="Yes",
    1.15,
    1.00)</f>
        <v/>
      </c>
      <c r="Q3201">
        <f>IF('Loan Tape (S&amp;P)'!V3201="Yes",
    1.20,
    1.00)</f>
        <v/>
      </c>
      <c r="T3201">
        <f>LET(
    payment_method,'Loan Tape (S&amp;P)'!P3201,
    occupancy,'Loan Tape (S&amp;P)'!N3201,
    maturity_date,'Loan Tape (S&amp;P)'!L3201,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02">
      <c r="J3202">
        <f>LET(
    lien,'Loan Tape (S&amp;P)'!Q3202,
    IF(lien="First",1.00,
        IF(lien="Second",1.50,
            1.70)))</f>
        <v/>
      </c>
      <c r="K3202">
        <f>LET(
    purpose,'Loan Tape (S&amp;P)'!R3202,
    IF(purpose="Purchase",1.00,
        IF(purpose="Remortgage",1.00,
            1.20)))</f>
        <v/>
      </c>
      <c r="L3202">
        <f>LET(
    arrears_months,'Loan Tape (S&amp;P)'!AN3202,
    IF(arrears_months=0,1.00,
    IF(arrears_months=1,3.00,
    IF(arrears_months=2,5.00,
    IF(arrears_months=3,8.00,
    IF(arrears_months=4,10.00,
    IF(arrears_months=5,12.00,15.00)))))))</f>
        <v/>
      </c>
      <c r="M3202">
        <f>LET(
    seasoning_years,DATEDIF('Loan Tape (S&amp;P)'!K3202,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02">
        <f>IF(AND('Loan Tape (S&amp;P)'!U3202="Yes",
        'Loan Tape (S&amp;P)'!T3202&lt;&gt;"Yes",
        DATEDIF('Loan Tape (S&amp;P)'!K3202, TODAY(), "M")&lt;18),
    1.10,
    1.00)</f>
        <v/>
      </c>
      <c r="O3202">
        <f>IF('Loan Tape (S&amp;P)'!T3202="Yes",
    1.35,
    1.00)</f>
        <v/>
      </c>
      <c r="P3202">
        <f>IF('Loan Tape (S&amp;P)'!S3202="Yes",
    1.15,
    1.00)</f>
        <v/>
      </c>
      <c r="Q3202">
        <f>IF('Loan Tape (S&amp;P)'!V3202="Yes",
    1.20,
    1.00)</f>
        <v/>
      </c>
      <c r="T3202">
        <f>LET(
    payment_method,'Loan Tape (S&amp;P)'!P3202,
    occupancy,'Loan Tape (S&amp;P)'!N3202,
    maturity_date,'Loan Tape (S&amp;P)'!L3202,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03">
      <c r="J3203">
        <f>LET(
    lien,'Loan Tape (S&amp;P)'!Q3203,
    IF(lien="First",1.00,
        IF(lien="Second",1.50,
            1.70)))</f>
        <v/>
      </c>
      <c r="K3203">
        <f>LET(
    purpose,'Loan Tape (S&amp;P)'!R3203,
    IF(purpose="Purchase",1.00,
        IF(purpose="Remortgage",1.00,
            1.20)))</f>
        <v/>
      </c>
      <c r="L3203">
        <f>LET(
    arrears_months,'Loan Tape (S&amp;P)'!AN3203,
    IF(arrears_months=0,1.00,
    IF(arrears_months=1,3.00,
    IF(arrears_months=2,5.00,
    IF(arrears_months=3,8.00,
    IF(arrears_months=4,10.00,
    IF(arrears_months=5,12.00,15.00)))))))</f>
        <v/>
      </c>
      <c r="M3203">
        <f>LET(
    seasoning_years,DATEDIF('Loan Tape (S&amp;P)'!K3203,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03">
        <f>IF(AND('Loan Tape (S&amp;P)'!U3203="Yes",
        'Loan Tape (S&amp;P)'!T3203&lt;&gt;"Yes",
        DATEDIF('Loan Tape (S&amp;P)'!K3203, TODAY(), "M")&lt;18),
    1.10,
    1.00)</f>
        <v/>
      </c>
      <c r="O3203">
        <f>IF('Loan Tape (S&amp;P)'!T3203="Yes",
    1.35,
    1.00)</f>
        <v/>
      </c>
      <c r="P3203">
        <f>IF('Loan Tape (S&amp;P)'!S3203="Yes",
    1.15,
    1.00)</f>
        <v/>
      </c>
      <c r="Q3203">
        <f>IF('Loan Tape (S&amp;P)'!V3203="Yes",
    1.20,
    1.00)</f>
        <v/>
      </c>
      <c r="T3203">
        <f>LET(
    payment_method,'Loan Tape (S&amp;P)'!P3203,
    occupancy,'Loan Tape (S&amp;P)'!N3203,
    maturity_date,'Loan Tape (S&amp;P)'!L3203,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04">
      <c r="J3204">
        <f>LET(
    lien,'Loan Tape (S&amp;P)'!Q3204,
    IF(lien="First",1.00,
        IF(lien="Second",1.50,
            1.70)))</f>
        <v/>
      </c>
      <c r="K3204">
        <f>LET(
    purpose,'Loan Tape (S&amp;P)'!R3204,
    IF(purpose="Purchase",1.00,
        IF(purpose="Remortgage",1.00,
            1.20)))</f>
        <v/>
      </c>
      <c r="L3204">
        <f>LET(
    arrears_months,'Loan Tape (S&amp;P)'!AN3204,
    IF(arrears_months=0,1.00,
    IF(arrears_months=1,3.00,
    IF(arrears_months=2,5.00,
    IF(arrears_months=3,8.00,
    IF(arrears_months=4,10.00,
    IF(arrears_months=5,12.00,15.00)))))))</f>
        <v/>
      </c>
      <c r="M3204">
        <f>LET(
    seasoning_years,DATEDIF('Loan Tape (S&amp;P)'!K3204,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04">
        <f>IF(AND('Loan Tape (S&amp;P)'!U3204="Yes",
        'Loan Tape (S&amp;P)'!T3204&lt;&gt;"Yes",
        DATEDIF('Loan Tape (S&amp;P)'!K3204, TODAY(), "M")&lt;18),
    1.10,
    1.00)</f>
        <v/>
      </c>
      <c r="O3204">
        <f>IF('Loan Tape (S&amp;P)'!T3204="Yes",
    1.35,
    1.00)</f>
        <v/>
      </c>
      <c r="P3204">
        <f>IF('Loan Tape (S&amp;P)'!S3204="Yes",
    1.15,
    1.00)</f>
        <v/>
      </c>
      <c r="Q3204">
        <f>IF('Loan Tape (S&amp;P)'!V3204="Yes",
    1.20,
    1.00)</f>
        <v/>
      </c>
      <c r="T3204">
        <f>LET(
    payment_method,'Loan Tape (S&amp;P)'!P3204,
    occupancy,'Loan Tape (S&amp;P)'!N3204,
    maturity_date,'Loan Tape (S&amp;P)'!L3204,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05">
      <c r="J3205">
        <f>LET(
    lien,'Loan Tape (S&amp;P)'!Q3205,
    IF(lien="First",1.00,
        IF(lien="Second",1.50,
            1.70)))</f>
        <v/>
      </c>
      <c r="K3205">
        <f>LET(
    purpose,'Loan Tape (S&amp;P)'!R3205,
    IF(purpose="Purchase",1.00,
        IF(purpose="Remortgage",1.00,
            1.20)))</f>
        <v/>
      </c>
      <c r="L3205">
        <f>LET(
    arrears_months,'Loan Tape (S&amp;P)'!AN3205,
    IF(arrears_months=0,1.00,
    IF(arrears_months=1,3.00,
    IF(arrears_months=2,5.00,
    IF(arrears_months=3,8.00,
    IF(arrears_months=4,10.00,
    IF(arrears_months=5,12.00,15.00)))))))</f>
        <v/>
      </c>
      <c r="M3205">
        <f>LET(
    seasoning_years,DATEDIF('Loan Tape (S&amp;P)'!K3205,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05">
        <f>IF(AND('Loan Tape (S&amp;P)'!U3205="Yes",
        'Loan Tape (S&amp;P)'!T3205&lt;&gt;"Yes",
        DATEDIF('Loan Tape (S&amp;P)'!K3205, TODAY(), "M")&lt;18),
    1.10,
    1.00)</f>
        <v/>
      </c>
      <c r="O3205">
        <f>IF('Loan Tape (S&amp;P)'!T3205="Yes",
    1.35,
    1.00)</f>
        <v/>
      </c>
      <c r="P3205">
        <f>IF('Loan Tape (S&amp;P)'!S3205="Yes",
    1.15,
    1.00)</f>
        <v/>
      </c>
      <c r="Q3205">
        <f>IF('Loan Tape (S&amp;P)'!V3205="Yes",
    1.20,
    1.00)</f>
        <v/>
      </c>
      <c r="T3205">
        <f>LET(
    payment_method,'Loan Tape (S&amp;P)'!P3205,
    occupancy,'Loan Tape (S&amp;P)'!N3205,
    maturity_date,'Loan Tape (S&amp;P)'!L3205,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06">
      <c r="J3206">
        <f>LET(
    lien,'Loan Tape (S&amp;P)'!Q3206,
    IF(lien="First",1.00,
        IF(lien="Second",1.50,
            1.70)))</f>
        <v/>
      </c>
      <c r="K3206">
        <f>LET(
    purpose,'Loan Tape (S&amp;P)'!R3206,
    IF(purpose="Purchase",1.00,
        IF(purpose="Remortgage",1.00,
            1.20)))</f>
        <v/>
      </c>
      <c r="L3206">
        <f>LET(
    arrears_months,'Loan Tape (S&amp;P)'!AN3206,
    IF(arrears_months=0,1.00,
    IF(arrears_months=1,3.00,
    IF(arrears_months=2,5.00,
    IF(arrears_months=3,8.00,
    IF(arrears_months=4,10.00,
    IF(arrears_months=5,12.00,15.00)))))))</f>
        <v/>
      </c>
      <c r="M3206">
        <f>LET(
    seasoning_years,DATEDIF('Loan Tape (S&amp;P)'!K3206,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06">
        <f>IF(AND('Loan Tape (S&amp;P)'!U3206="Yes",
        'Loan Tape (S&amp;P)'!T3206&lt;&gt;"Yes",
        DATEDIF('Loan Tape (S&amp;P)'!K3206, TODAY(), "M")&lt;18),
    1.10,
    1.00)</f>
        <v/>
      </c>
      <c r="O3206">
        <f>IF('Loan Tape (S&amp;P)'!T3206="Yes",
    1.35,
    1.00)</f>
        <v/>
      </c>
      <c r="P3206">
        <f>IF('Loan Tape (S&amp;P)'!S3206="Yes",
    1.15,
    1.00)</f>
        <v/>
      </c>
      <c r="Q3206">
        <f>IF('Loan Tape (S&amp;P)'!V3206="Yes",
    1.20,
    1.00)</f>
        <v/>
      </c>
      <c r="T3206">
        <f>LET(
    payment_method,'Loan Tape (S&amp;P)'!P3206,
    occupancy,'Loan Tape (S&amp;P)'!N3206,
    maturity_date,'Loan Tape (S&amp;P)'!L3206,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07">
      <c r="J3207">
        <f>LET(
    lien,'Loan Tape (S&amp;P)'!Q3207,
    IF(lien="First",1.00,
        IF(lien="Second",1.50,
            1.70)))</f>
        <v/>
      </c>
      <c r="K3207">
        <f>LET(
    purpose,'Loan Tape (S&amp;P)'!R3207,
    IF(purpose="Purchase",1.00,
        IF(purpose="Remortgage",1.00,
            1.20)))</f>
        <v/>
      </c>
      <c r="L3207">
        <f>LET(
    arrears_months,'Loan Tape (S&amp;P)'!AN3207,
    IF(arrears_months=0,1.00,
    IF(arrears_months=1,3.00,
    IF(arrears_months=2,5.00,
    IF(arrears_months=3,8.00,
    IF(arrears_months=4,10.00,
    IF(arrears_months=5,12.00,15.00)))))))</f>
        <v/>
      </c>
      <c r="M3207">
        <f>LET(
    seasoning_years,DATEDIF('Loan Tape (S&amp;P)'!K3207,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07">
        <f>IF(AND('Loan Tape (S&amp;P)'!U3207="Yes",
        'Loan Tape (S&amp;P)'!T3207&lt;&gt;"Yes",
        DATEDIF('Loan Tape (S&amp;P)'!K3207, TODAY(), "M")&lt;18),
    1.10,
    1.00)</f>
        <v/>
      </c>
      <c r="O3207">
        <f>IF('Loan Tape (S&amp;P)'!T3207="Yes",
    1.35,
    1.00)</f>
        <v/>
      </c>
      <c r="P3207">
        <f>IF('Loan Tape (S&amp;P)'!S3207="Yes",
    1.15,
    1.00)</f>
        <v/>
      </c>
      <c r="Q3207">
        <f>IF('Loan Tape (S&amp;P)'!V3207="Yes",
    1.20,
    1.00)</f>
        <v/>
      </c>
      <c r="T3207">
        <f>LET(
    payment_method,'Loan Tape (S&amp;P)'!P3207,
    occupancy,'Loan Tape (S&amp;P)'!N3207,
    maturity_date,'Loan Tape (S&amp;P)'!L3207,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08">
      <c r="J3208">
        <f>LET(
    lien,'Loan Tape (S&amp;P)'!Q3208,
    IF(lien="First",1.00,
        IF(lien="Second",1.50,
            1.70)))</f>
        <v/>
      </c>
      <c r="K3208">
        <f>LET(
    purpose,'Loan Tape (S&amp;P)'!R3208,
    IF(purpose="Purchase",1.00,
        IF(purpose="Remortgage",1.00,
            1.20)))</f>
        <v/>
      </c>
      <c r="L3208">
        <f>LET(
    arrears_months,'Loan Tape (S&amp;P)'!AN3208,
    IF(arrears_months=0,1.00,
    IF(arrears_months=1,3.00,
    IF(arrears_months=2,5.00,
    IF(arrears_months=3,8.00,
    IF(arrears_months=4,10.00,
    IF(arrears_months=5,12.00,15.00)))))))</f>
        <v/>
      </c>
      <c r="M3208">
        <f>LET(
    seasoning_years,DATEDIF('Loan Tape (S&amp;P)'!K3208,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08">
        <f>IF(AND('Loan Tape (S&amp;P)'!U3208="Yes",
        'Loan Tape (S&amp;P)'!T3208&lt;&gt;"Yes",
        DATEDIF('Loan Tape (S&amp;P)'!K3208, TODAY(), "M")&lt;18),
    1.10,
    1.00)</f>
        <v/>
      </c>
      <c r="O3208">
        <f>IF('Loan Tape (S&amp;P)'!T3208="Yes",
    1.35,
    1.00)</f>
        <v/>
      </c>
      <c r="P3208">
        <f>IF('Loan Tape (S&amp;P)'!S3208="Yes",
    1.15,
    1.00)</f>
        <v/>
      </c>
      <c r="Q3208">
        <f>IF('Loan Tape (S&amp;P)'!V3208="Yes",
    1.20,
    1.00)</f>
        <v/>
      </c>
      <c r="T3208">
        <f>LET(
    payment_method,'Loan Tape (S&amp;P)'!P3208,
    occupancy,'Loan Tape (S&amp;P)'!N3208,
    maturity_date,'Loan Tape (S&amp;P)'!L3208,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09">
      <c r="J3209">
        <f>LET(
    lien,'Loan Tape (S&amp;P)'!Q3209,
    IF(lien="First",1.00,
        IF(lien="Second",1.50,
            1.70)))</f>
        <v/>
      </c>
      <c r="K3209">
        <f>LET(
    purpose,'Loan Tape (S&amp;P)'!R3209,
    IF(purpose="Purchase",1.00,
        IF(purpose="Remortgage",1.00,
            1.20)))</f>
        <v/>
      </c>
      <c r="L3209">
        <f>LET(
    arrears_months,'Loan Tape (S&amp;P)'!AN3209,
    IF(arrears_months=0,1.00,
    IF(arrears_months=1,3.00,
    IF(arrears_months=2,5.00,
    IF(arrears_months=3,8.00,
    IF(arrears_months=4,10.00,
    IF(arrears_months=5,12.00,15.00)))))))</f>
        <v/>
      </c>
      <c r="M3209">
        <f>LET(
    seasoning_years,DATEDIF('Loan Tape (S&amp;P)'!K3209,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09">
        <f>IF(AND('Loan Tape (S&amp;P)'!U3209="Yes",
        'Loan Tape (S&amp;P)'!T3209&lt;&gt;"Yes",
        DATEDIF('Loan Tape (S&amp;P)'!K3209, TODAY(), "M")&lt;18),
    1.10,
    1.00)</f>
        <v/>
      </c>
      <c r="O3209">
        <f>IF('Loan Tape (S&amp;P)'!T3209="Yes",
    1.35,
    1.00)</f>
        <v/>
      </c>
      <c r="P3209">
        <f>IF('Loan Tape (S&amp;P)'!S3209="Yes",
    1.15,
    1.00)</f>
        <v/>
      </c>
      <c r="Q3209">
        <f>IF('Loan Tape (S&amp;P)'!V3209="Yes",
    1.20,
    1.00)</f>
        <v/>
      </c>
      <c r="T3209">
        <f>LET(
    payment_method,'Loan Tape (S&amp;P)'!P3209,
    occupancy,'Loan Tape (S&amp;P)'!N3209,
    maturity_date,'Loan Tape (S&amp;P)'!L3209,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10">
      <c r="J3210">
        <f>LET(
    lien,'Loan Tape (S&amp;P)'!Q3210,
    IF(lien="First",1.00,
        IF(lien="Second",1.50,
            1.70)))</f>
        <v/>
      </c>
      <c r="K3210">
        <f>LET(
    purpose,'Loan Tape (S&amp;P)'!R3210,
    IF(purpose="Purchase",1.00,
        IF(purpose="Remortgage",1.00,
            1.20)))</f>
        <v/>
      </c>
      <c r="L3210">
        <f>LET(
    arrears_months,'Loan Tape (S&amp;P)'!AN3210,
    IF(arrears_months=0,1.00,
    IF(arrears_months=1,3.00,
    IF(arrears_months=2,5.00,
    IF(arrears_months=3,8.00,
    IF(arrears_months=4,10.00,
    IF(arrears_months=5,12.00,15.00)))))))</f>
        <v/>
      </c>
      <c r="M3210">
        <f>LET(
    seasoning_years,DATEDIF('Loan Tape (S&amp;P)'!K3210,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10">
        <f>IF(AND('Loan Tape (S&amp;P)'!U3210="Yes",
        'Loan Tape (S&amp;P)'!T3210&lt;&gt;"Yes",
        DATEDIF('Loan Tape (S&amp;P)'!K3210, TODAY(), "M")&lt;18),
    1.10,
    1.00)</f>
        <v/>
      </c>
      <c r="O3210">
        <f>IF('Loan Tape (S&amp;P)'!T3210="Yes",
    1.35,
    1.00)</f>
        <v/>
      </c>
      <c r="P3210">
        <f>IF('Loan Tape (S&amp;P)'!S3210="Yes",
    1.15,
    1.00)</f>
        <v/>
      </c>
      <c r="Q3210">
        <f>IF('Loan Tape (S&amp;P)'!V3210="Yes",
    1.20,
    1.00)</f>
        <v/>
      </c>
      <c r="T3210">
        <f>LET(
    payment_method,'Loan Tape (S&amp;P)'!P3210,
    occupancy,'Loan Tape (S&amp;P)'!N3210,
    maturity_date,'Loan Tape (S&amp;P)'!L3210,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11">
      <c r="J3211">
        <f>LET(
    lien,'Loan Tape (S&amp;P)'!Q3211,
    IF(lien="First",1.00,
        IF(lien="Second",1.50,
            1.70)))</f>
        <v/>
      </c>
      <c r="K3211">
        <f>LET(
    purpose,'Loan Tape (S&amp;P)'!R3211,
    IF(purpose="Purchase",1.00,
        IF(purpose="Remortgage",1.00,
            1.20)))</f>
        <v/>
      </c>
      <c r="L3211">
        <f>LET(
    arrears_months,'Loan Tape (S&amp;P)'!AN3211,
    IF(arrears_months=0,1.00,
    IF(arrears_months=1,3.00,
    IF(arrears_months=2,5.00,
    IF(arrears_months=3,8.00,
    IF(arrears_months=4,10.00,
    IF(arrears_months=5,12.00,15.00)))))))</f>
        <v/>
      </c>
      <c r="M3211">
        <f>LET(
    seasoning_years,DATEDIF('Loan Tape (S&amp;P)'!K3211,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11">
        <f>IF(AND('Loan Tape (S&amp;P)'!U3211="Yes",
        'Loan Tape (S&amp;P)'!T3211&lt;&gt;"Yes",
        DATEDIF('Loan Tape (S&amp;P)'!K3211, TODAY(), "M")&lt;18),
    1.10,
    1.00)</f>
        <v/>
      </c>
      <c r="O3211">
        <f>IF('Loan Tape (S&amp;P)'!T3211="Yes",
    1.35,
    1.00)</f>
        <v/>
      </c>
      <c r="P3211">
        <f>IF('Loan Tape (S&amp;P)'!S3211="Yes",
    1.15,
    1.00)</f>
        <v/>
      </c>
      <c r="Q3211">
        <f>IF('Loan Tape (S&amp;P)'!V3211="Yes",
    1.20,
    1.00)</f>
        <v/>
      </c>
      <c r="T3211">
        <f>LET(
    payment_method,'Loan Tape (S&amp;P)'!P3211,
    occupancy,'Loan Tape (S&amp;P)'!N3211,
    maturity_date,'Loan Tape (S&amp;P)'!L3211,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12">
      <c r="J3212">
        <f>LET(
    lien,'Loan Tape (S&amp;P)'!Q3212,
    IF(lien="First",1.00,
        IF(lien="Second",1.50,
            1.70)))</f>
        <v/>
      </c>
      <c r="K3212">
        <f>LET(
    purpose,'Loan Tape (S&amp;P)'!R3212,
    IF(purpose="Purchase",1.00,
        IF(purpose="Remortgage",1.00,
            1.20)))</f>
        <v/>
      </c>
      <c r="L3212">
        <f>LET(
    arrears_months,'Loan Tape (S&amp;P)'!AN3212,
    IF(arrears_months=0,1.00,
    IF(arrears_months=1,3.00,
    IF(arrears_months=2,5.00,
    IF(arrears_months=3,8.00,
    IF(arrears_months=4,10.00,
    IF(arrears_months=5,12.00,15.00)))))))</f>
        <v/>
      </c>
      <c r="M3212">
        <f>LET(
    seasoning_years,DATEDIF('Loan Tape (S&amp;P)'!K3212,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12">
        <f>IF(AND('Loan Tape (S&amp;P)'!U3212="Yes",
        'Loan Tape (S&amp;P)'!T3212&lt;&gt;"Yes",
        DATEDIF('Loan Tape (S&amp;P)'!K3212, TODAY(), "M")&lt;18),
    1.10,
    1.00)</f>
        <v/>
      </c>
      <c r="O3212">
        <f>IF('Loan Tape (S&amp;P)'!T3212="Yes",
    1.35,
    1.00)</f>
        <v/>
      </c>
      <c r="P3212">
        <f>IF('Loan Tape (S&amp;P)'!S3212="Yes",
    1.15,
    1.00)</f>
        <v/>
      </c>
      <c r="Q3212">
        <f>IF('Loan Tape (S&amp;P)'!V3212="Yes",
    1.20,
    1.00)</f>
        <v/>
      </c>
      <c r="T3212">
        <f>LET(
    payment_method,'Loan Tape (S&amp;P)'!P3212,
    occupancy,'Loan Tape (S&amp;P)'!N3212,
    maturity_date,'Loan Tape (S&amp;P)'!L3212,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13">
      <c r="J3213">
        <f>LET(
    lien,'Loan Tape (S&amp;P)'!Q3213,
    IF(lien="First",1.00,
        IF(lien="Second",1.50,
            1.70)))</f>
        <v/>
      </c>
      <c r="K3213">
        <f>LET(
    purpose,'Loan Tape (S&amp;P)'!R3213,
    IF(purpose="Purchase",1.00,
        IF(purpose="Remortgage",1.00,
            1.20)))</f>
        <v/>
      </c>
      <c r="L3213">
        <f>LET(
    arrears_months,'Loan Tape (S&amp;P)'!AN3213,
    IF(arrears_months=0,1.00,
    IF(arrears_months=1,3.00,
    IF(arrears_months=2,5.00,
    IF(arrears_months=3,8.00,
    IF(arrears_months=4,10.00,
    IF(arrears_months=5,12.00,15.00)))))))</f>
        <v/>
      </c>
      <c r="M3213">
        <f>LET(
    seasoning_years,DATEDIF('Loan Tape (S&amp;P)'!K3213,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13">
        <f>IF(AND('Loan Tape (S&amp;P)'!U3213="Yes",
        'Loan Tape (S&amp;P)'!T3213&lt;&gt;"Yes",
        DATEDIF('Loan Tape (S&amp;P)'!K3213, TODAY(), "M")&lt;18),
    1.10,
    1.00)</f>
        <v/>
      </c>
      <c r="O3213">
        <f>IF('Loan Tape (S&amp;P)'!T3213="Yes",
    1.35,
    1.00)</f>
        <v/>
      </c>
      <c r="P3213">
        <f>IF('Loan Tape (S&amp;P)'!S3213="Yes",
    1.15,
    1.00)</f>
        <v/>
      </c>
      <c r="Q3213">
        <f>IF('Loan Tape (S&amp;P)'!V3213="Yes",
    1.20,
    1.00)</f>
        <v/>
      </c>
      <c r="T3213">
        <f>LET(
    payment_method,'Loan Tape (S&amp;P)'!P3213,
    occupancy,'Loan Tape (S&amp;P)'!N3213,
    maturity_date,'Loan Tape (S&amp;P)'!L3213,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14">
      <c r="J3214">
        <f>LET(
    lien,'Loan Tape (S&amp;P)'!Q3214,
    IF(lien="First",1.00,
        IF(lien="Second",1.50,
            1.70)))</f>
        <v/>
      </c>
      <c r="K3214">
        <f>LET(
    purpose,'Loan Tape (S&amp;P)'!R3214,
    IF(purpose="Purchase",1.00,
        IF(purpose="Remortgage",1.00,
            1.20)))</f>
        <v/>
      </c>
      <c r="L3214">
        <f>LET(
    arrears_months,'Loan Tape (S&amp;P)'!AN3214,
    IF(arrears_months=0,1.00,
    IF(arrears_months=1,3.00,
    IF(arrears_months=2,5.00,
    IF(arrears_months=3,8.00,
    IF(arrears_months=4,10.00,
    IF(arrears_months=5,12.00,15.00)))))))</f>
        <v/>
      </c>
      <c r="M3214">
        <f>LET(
    seasoning_years,DATEDIF('Loan Tape (S&amp;P)'!K3214,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14">
        <f>IF(AND('Loan Tape (S&amp;P)'!U3214="Yes",
        'Loan Tape (S&amp;P)'!T3214&lt;&gt;"Yes",
        DATEDIF('Loan Tape (S&amp;P)'!K3214, TODAY(), "M")&lt;18),
    1.10,
    1.00)</f>
        <v/>
      </c>
      <c r="O3214">
        <f>IF('Loan Tape (S&amp;P)'!T3214="Yes",
    1.35,
    1.00)</f>
        <v/>
      </c>
      <c r="P3214">
        <f>IF('Loan Tape (S&amp;P)'!S3214="Yes",
    1.15,
    1.00)</f>
        <v/>
      </c>
      <c r="Q3214">
        <f>IF('Loan Tape (S&amp;P)'!V3214="Yes",
    1.20,
    1.00)</f>
        <v/>
      </c>
      <c r="T3214">
        <f>LET(
    payment_method,'Loan Tape (S&amp;P)'!P3214,
    occupancy,'Loan Tape (S&amp;P)'!N3214,
    maturity_date,'Loan Tape (S&amp;P)'!L3214,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15">
      <c r="J3215">
        <f>LET(
    lien,'Loan Tape (S&amp;P)'!Q3215,
    IF(lien="First",1.00,
        IF(lien="Second",1.50,
            1.70)))</f>
        <v/>
      </c>
      <c r="K3215">
        <f>LET(
    purpose,'Loan Tape (S&amp;P)'!R3215,
    IF(purpose="Purchase",1.00,
        IF(purpose="Remortgage",1.00,
            1.20)))</f>
        <v/>
      </c>
      <c r="L3215">
        <f>LET(
    arrears_months,'Loan Tape (S&amp;P)'!AN3215,
    IF(arrears_months=0,1.00,
    IF(arrears_months=1,3.00,
    IF(arrears_months=2,5.00,
    IF(arrears_months=3,8.00,
    IF(arrears_months=4,10.00,
    IF(arrears_months=5,12.00,15.00)))))))</f>
        <v/>
      </c>
      <c r="M3215">
        <f>LET(
    seasoning_years,DATEDIF('Loan Tape (S&amp;P)'!K3215,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15">
        <f>IF(AND('Loan Tape (S&amp;P)'!U3215="Yes",
        'Loan Tape (S&amp;P)'!T3215&lt;&gt;"Yes",
        DATEDIF('Loan Tape (S&amp;P)'!K3215, TODAY(), "M")&lt;18),
    1.10,
    1.00)</f>
        <v/>
      </c>
      <c r="O3215">
        <f>IF('Loan Tape (S&amp;P)'!T3215="Yes",
    1.35,
    1.00)</f>
        <v/>
      </c>
      <c r="P3215">
        <f>IF('Loan Tape (S&amp;P)'!S3215="Yes",
    1.15,
    1.00)</f>
        <v/>
      </c>
      <c r="Q3215">
        <f>IF('Loan Tape (S&amp;P)'!V3215="Yes",
    1.20,
    1.00)</f>
        <v/>
      </c>
      <c r="T3215">
        <f>LET(
    payment_method,'Loan Tape (S&amp;P)'!P3215,
    occupancy,'Loan Tape (S&amp;P)'!N3215,
    maturity_date,'Loan Tape (S&amp;P)'!L3215,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16">
      <c r="J3216">
        <f>LET(
    lien,'Loan Tape (S&amp;P)'!Q3216,
    IF(lien="First",1.00,
        IF(lien="Second",1.50,
            1.70)))</f>
        <v/>
      </c>
      <c r="K3216">
        <f>LET(
    purpose,'Loan Tape (S&amp;P)'!R3216,
    IF(purpose="Purchase",1.00,
        IF(purpose="Remortgage",1.00,
            1.20)))</f>
        <v/>
      </c>
      <c r="L3216">
        <f>LET(
    arrears_months,'Loan Tape (S&amp;P)'!AN3216,
    IF(arrears_months=0,1.00,
    IF(arrears_months=1,3.00,
    IF(arrears_months=2,5.00,
    IF(arrears_months=3,8.00,
    IF(arrears_months=4,10.00,
    IF(arrears_months=5,12.00,15.00)))))))</f>
        <v/>
      </c>
      <c r="M3216">
        <f>LET(
    seasoning_years,DATEDIF('Loan Tape (S&amp;P)'!K3216,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16">
        <f>IF(AND('Loan Tape (S&amp;P)'!U3216="Yes",
        'Loan Tape (S&amp;P)'!T3216&lt;&gt;"Yes",
        DATEDIF('Loan Tape (S&amp;P)'!K3216, TODAY(), "M")&lt;18),
    1.10,
    1.00)</f>
        <v/>
      </c>
      <c r="O3216">
        <f>IF('Loan Tape (S&amp;P)'!T3216="Yes",
    1.35,
    1.00)</f>
        <v/>
      </c>
      <c r="P3216">
        <f>IF('Loan Tape (S&amp;P)'!S3216="Yes",
    1.15,
    1.00)</f>
        <v/>
      </c>
      <c r="Q3216">
        <f>IF('Loan Tape (S&amp;P)'!V3216="Yes",
    1.20,
    1.00)</f>
        <v/>
      </c>
      <c r="T3216">
        <f>LET(
    payment_method,'Loan Tape (S&amp;P)'!P3216,
    occupancy,'Loan Tape (S&amp;P)'!N3216,
    maturity_date,'Loan Tape (S&amp;P)'!L3216,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17">
      <c r="J3217">
        <f>LET(
    lien,'Loan Tape (S&amp;P)'!Q3217,
    IF(lien="First",1.00,
        IF(lien="Second",1.50,
            1.70)))</f>
        <v/>
      </c>
      <c r="K3217">
        <f>LET(
    purpose,'Loan Tape (S&amp;P)'!R3217,
    IF(purpose="Purchase",1.00,
        IF(purpose="Remortgage",1.00,
            1.20)))</f>
        <v/>
      </c>
      <c r="L3217">
        <f>LET(
    arrears_months,'Loan Tape (S&amp;P)'!AN3217,
    IF(arrears_months=0,1.00,
    IF(arrears_months=1,3.00,
    IF(arrears_months=2,5.00,
    IF(arrears_months=3,8.00,
    IF(arrears_months=4,10.00,
    IF(arrears_months=5,12.00,15.00)))))))</f>
        <v/>
      </c>
      <c r="M3217">
        <f>LET(
    seasoning_years,DATEDIF('Loan Tape (S&amp;P)'!K3217,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17">
        <f>IF(AND('Loan Tape (S&amp;P)'!U3217="Yes",
        'Loan Tape (S&amp;P)'!T3217&lt;&gt;"Yes",
        DATEDIF('Loan Tape (S&amp;P)'!K3217, TODAY(), "M")&lt;18),
    1.10,
    1.00)</f>
        <v/>
      </c>
      <c r="O3217">
        <f>IF('Loan Tape (S&amp;P)'!T3217="Yes",
    1.35,
    1.00)</f>
        <v/>
      </c>
      <c r="P3217">
        <f>IF('Loan Tape (S&amp;P)'!S3217="Yes",
    1.15,
    1.00)</f>
        <v/>
      </c>
      <c r="Q3217">
        <f>IF('Loan Tape (S&amp;P)'!V3217="Yes",
    1.20,
    1.00)</f>
        <v/>
      </c>
      <c r="T3217">
        <f>LET(
    payment_method,'Loan Tape (S&amp;P)'!P3217,
    occupancy,'Loan Tape (S&amp;P)'!N3217,
    maturity_date,'Loan Tape (S&amp;P)'!L3217,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18">
      <c r="J3218">
        <f>LET(
    lien,'Loan Tape (S&amp;P)'!Q3218,
    IF(lien="First",1.00,
        IF(lien="Second",1.50,
            1.70)))</f>
        <v/>
      </c>
      <c r="K3218">
        <f>LET(
    purpose,'Loan Tape (S&amp;P)'!R3218,
    IF(purpose="Purchase",1.00,
        IF(purpose="Remortgage",1.00,
            1.20)))</f>
        <v/>
      </c>
      <c r="L3218">
        <f>LET(
    arrears_months,'Loan Tape (S&amp;P)'!AN3218,
    IF(arrears_months=0,1.00,
    IF(arrears_months=1,3.00,
    IF(arrears_months=2,5.00,
    IF(arrears_months=3,8.00,
    IF(arrears_months=4,10.00,
    IF(arrears_months=5,12.00,15.00)))))))</f>
        <v/>
      </c>
      <c r="M3218">
        <f>LET(
    seasoning_years,DATEDIF('Loan Tape (S&amp;P)'!K3218,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18">
        <f>IF(AND('Loan Tape (S&amp;P)'!U3218="Yes",
        'Loan Tape (S&amp;P)'!T3218&lt;&gt;"Yes",
        DATEDIF('Loan Tape (S&amp;P)'!K3218, TODAY(), "M")&lt;18),
    1.10,
    1.00)</f>
        <v/>
      </c>
      <c r="O3218">
        <f>IF('Loan Tape (S&amp;P)'!T3218="Yes",
    1.35,
    1.00)</f>
        <v/>
      </c>
      <c r="P3218">
        <f>IF('Loan Tape (S&amp;P)'!S3218="Yes",
    1.15,
    1.00)</f>
        <v/>
      </c>
      <c r="Q3218">
        <f>IF('Loan Tape (S&amp;P)'!V3218="Yes",
    1.20,
    1.00)</f>
        <v/>
      </c>
      <c r="T3218">
        <f>LET(
    payment_method,'Loan Tape (S&amp;P)'!P3218,
    occupancy,'Loan Tape (S&amp;P)'!N3218,
    maturity_date,'Loan Tape (S&amp;P)'!L3218,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19">
      <c r="J3219">
        <f>LET(
    lien,'Loan Tape (S&amp;P)'!Q3219,
    IF(lien="First",1.00,
        IF(lien="Second",1.50,
            1.70)))</f>
        <v/>
      </c>
      <c r="K3219">
        <f>LET(
    purpose,'Loan Tape (S&amp;P)'!R3219,
    IF(purpose="Purchase",1.00,
        IF(purpose="Remortgage",1.00,
            1.20)))</f>
        <v/>
      </c>
      <c r="L3219">
        <f>LET(
    arrears_months,'Loan Tape (S&amp;P)'!AN3219,
    IF(arrears_months=0,1.00,
    IF(arrears_months=1,3.00,
    IF(arrears_months=2,5.00,
    IF(arrears_months=3,8.00,
    IF(arrears_months=4,10.00,
    IF(arrears_months=5,12.00,15.00)))))))</f>
        <v/>
      </c>
      <c r="M3219">
        <f>LET(
    seasoning_years,DATEDIF('Loan Tape (S&amp;P)'!K3219,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19">
        <f>IF(AND('Loan Tape (S&amp;P)'!U3219="Yes",
        'Loan Tape (S&amp;P)'!T3219&lt;&gt;"Yes",
        DATEDIF('Loan Tape (S&amp;P)'!K3219, TODAY(), "M")&lt;18),
    1.10,
    1.00)</f>
        <v/>
      </c>
      <c r="O3219">
        <f>IF('Loan Tape (S&amp;P)'!T3219="Yes",
    1.35,
    1.00)</f>
        <v/>
      </c>
      <c r="P3219">
        <f>IF('Loan Tape (S&amp;P)'!S3219="Yes",
    1.15,
    1.00)</f>
        <v/>
      </c>
      <c r="Q3219">
        <f>IF('Loan Tape (S&amp;P)'!V3219="Yes",
    1.20,
    1.00)</f>
        <v/>
      </c>
      <c r="T3219">
        <f>LET(
    payment_method,'Loan Tape (S&amp;P)'!P3219,
    occupancy,'Loan Tape (S&amp;P)'!N3219,
    maturity_date,'Loan Tape (S&amp;P)'!L3219,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20">
      <c r="J3220">
        <f>LET(
    lien,'Loan Tape (S&amp;P)'!Q3220,
    IF(lien="First",1.00,
        IF(lien="Second",1.50,
            1.70)))</f>
        <v/>
      </c>
      <c r="K3220">
        <f>LET(
    purpose,'Loan Tape (S&amp;P)'!R3220,
    IF(purpose="Purchase",1.00,
        IF(purpose="Remortgage",1.00,
            1.20)))</f>
        <v/>
      </c>
      <c r="L3220">
        <f>LET(
    arrears_months,'Loan Tape (S&amp;P)'!AN3220,
    IF(arrears_months=0,1.00,
    IF(arrears_months=1,3.00,
    IF(arrears_months=2,5.00,
    IF(arrears_months=3,8.00,
    IF(arrears_months=4,10.00,
    IF(arrears_months=5,12.00,15.00)))))))</f>
        <v/>
      </c>
      <c r="M3220">
        <f>LET(
    seasoning_years,DATEDIF('Loan Tape (S&amp;P)'!K3220,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20">
        <f>IF(AND('Loan Tape (S&amp;P)'!U3220="Yes",
        'Loan Tape (S&amp;P)'!T3220&lt;&gt;"Yes",
        DATEDIF('Loan Tape (S&amp;P)'!K3220, TODAY(), "M")&lt;18),
    1.10,
    1.00)</f>
        <v/>
      </c>
      <c r="O3220">
        <f>IF('Loan Tape (S&amp;P)'!T3220="Yes",
    1.35,
    1.00)</f>
        <v/>
      </c>
      <c r="P3220">
        <f>IF('Loan Tape (S&amp;P)'!S3220="Yes",
    1.15,
    1.00)</f>
        <v/>
      </c>
      <c r="Q3220">
        <f>IF('Loan Tape (S&amp;P)'!V3220="Yes",
    1.20,
    1.00)</f>
        <v/>
      </c>
      <c r="T3220">
        <f>LET(
    payment_method,'Loan Tape (S&amp;P)'!P3220,
    occupancy,'Loan Tape (S&amp;P)'!N3220,
    maturity_date,'Loan Tape (S&amp;P)'!L3220,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21">
      <c r="J3221">
        <f>LET(
    lien,'Loan Tape (S&amp;P)'!Q3221,
    IF(lien="First",1.00,
        IF(lien="Second",1.50,
            1.70)))</f>
        <v/>
      </c>
      <c r="K3221">
        <f>LET(
    purpose,'Loan Tape (S&amp;P)'!R3221,
    IF(purpose="Purchase",1.00,
        IF(purpose="Remortgage",1.00,
            1.20)))</f>
        <v/>
      </c>
      <c r="L3221">
        <f>LET(
    arrears_months,'Loan Tape (S&amp;P)'!AN3221,
    IF(arrears_months=0,1.00,
    IF(arrears_months=1,3.00,
    IF(arrears_months=2,5.00,
    IF(arrears_months=3,8.00,
    IF(arrears_months=4,10.00,
    IF(arrears_months=5,12.00,15.00)))))))</f>
        <v/>
      </c>
      <c r="M3221">
        <f>LET(
    seasoning_years,DATEDIF('Loan Tape (S&amp;P)'!K3221,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21">
        <f>IF(AND('Loan Tape (S&amp;P)'!U3221="Yes",
        'Loan Tape (S&amp;P)'!T3221&lt;&gt;"Yes",
        DATEDIF('Loan Tape (S&amp;P)'!K3221, TODAY(), "M")&lt;18),
    1.10,
    1.00)</f>
        <v/>
      </c>
      <c r="O3221">
        <f>IF('Loan Tape (S&amp;P)'!T3221="Yes",
    1.35,
    1.00)</f>
        <v/>
      </c>
      <c r="P3221">
        <f>IF('Loan Tape (S&amp;P)'!S3221="Yes",
    1.15,
    1.00)</f>
        <v/>
      </c>
      <c r="Q3221">
        <f>IF('Loan Tape (S&amp;P)'!V3221="Yes",
    1.20,
    1.00)</f>
        <v/>
      </c>
      <c r="T3221">
        <f>LET(
    payment_method,'Loan Tape (S&amp;P)'!P3221,
    occupancy,'Loan Tape (S&amp;P)'!N3221,
    maturity_date,'Loan Tape (S&amp;P)'!L3221,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22">
      <c r="J3222">
        <f>LET(
    lien,'Loan Tape (S&amp;P)'!Q3222,
    IF(lien="First",1.00,
        IF(lien="Second",1.50,
            1.70)))</f>
        <v/>
      </c>
      <c r="K3222">
        <f>LET(
    purpose,'Loan Tape (S&amp;P)'!R3222,
    IF(purpose="Purchase",1.00,
        IF(purpose="Remortgage",1.00,
            1.20)))</f>
        <v/>
      </c>
      <c r="L3222">
        <f>LET(
    arrears_months,'Loan Tape (S&amp;P)'!AN3222,
    IF(arrears_months=0,1.00,
    IF(arrears_months=1,3.00,
    IF(arrears_months=2,5.00,
    IF(arrears_months=3,8.00,
    IF(arrears_months=4,10.00,
    IF(arrears_months=5,12.00,15.00)))))))</f>
        <v/>
      </c>
      <c r="M3222">
        <f>LET(
    seasoning_years,DATEDIF('Loan Tape (S&amp;P)'!K3222,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22">
        <f>IF(AND('Loan Tape (S&amp;P)'!U3222="Yes",
        'Loan Tape (S&amp;P)'!T3222&lt;&gt;"Yes",
        DATEDIF('Loan Tape (S&amp;P)'!K3222, TODAY(), "M")&lt;18),
    1.10,
    1.00)</f>
        <v/>
      </c>
      <c r="O3222">
        <f>IF('Loan Tape (S&amp;P)'!T3222="Yes",
    1.35,
    1.00)</f>
        <v/>
      </c>
      <c r="P3222">
        <f>IF('Loan Tape (S&amp;P)'!S3222="Yes",
    1.15,
    1.00)</f>
        <v/>
      </c>
      <c r="Q3222">
        <f>IF('Loan Tape (S&amp;P)'!V3222="Yes",
    1.20,
    1.00)</f>
        <v/>
      </c>
      <c r="T3222">
        <f>LET(
    payment_method,'Loan Tape (S&amp;P)'!P3222,
    occupancy,'Loan Tape (S&amp;P)'!N3222,
    maturity_date,'Loan Tape (S&amp;P)'!L3222,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23">
      <c r="J3223">
        <f>LET(
    lien,'Loan Tape (S&amp;P)'!Q3223,
    IF(lien="First",1.00,
        IF(lien="Second",1.50,
            1.70)))</f>
        <v/>
      </c>
      <c r="K3223">
        <f>LET(
    purpose,'Loan Tape (S&amp;P)'!R3223,
    IF(purpose="Purchase",1.00,
        IF(purpose="Remortgage",1.00,
            1.20)))</f>
        <v/>
      </c>
      <c r="L3223">
        <f>LET(
    arrears_months,'Loan Tape (S&amp;P)'!AN3223,
    IF(arrears_months=0,1.00,
    IF(arrears_months=1,3.00,
    IF(arrears_months=2,5.00,
    IF(arrears_months=3,8.00,
    IF(arrears_months=4,10.00,
    IF(arrears_months=5,12.00,15.00)))))))</f>
        <v/>
      </c>
      <c r="M3223">
        <f>LET(
    seasoning_years,DATEDIF('Loan Tape (S&amp;P)'!K3223,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23">
        <f>IF(AND('Loan Tape (S&amp;P)'!U3223="Yes",
        'Loan Tape (S&amp;P)'!T3223&lt;&gt;"Yes",
        DATEDIF('Loan Tape (S&amp;P)'!K3223, TODAY(), "M")&lt;18),
    1.10,
    1.00)</f>
        <v/>
      </c>
      <c r="O3223">
        <f>IF('Loan Tape (S&amp;P)'!T3223="Yes",
    1.35,
    1.00)</f>
        <v/>
      </c>
      <c r="P3223">
        <f>IF('Loan Tape (S&amp;P)'!S3223="Yes",
    1.15,
    1.00)</f>
        <v/>
      </c>
      <c r="Q3223">
        <f>IF('Loan Tape (S&amp;P)'!V3223="Yes",
    1.20,
    1.00)</f>
        <v/>
      </c>
      <c r="T3223">
        <f>LET(
    payment_method,'Loan Tape (S&amp;P)'!P3223,
    occupancy,'Loan Tape (S&amp;P)'!N3223,
    maturity_date,'Loan Tape (S&amp;P)'!L3223,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24">
      <c r="J3224">
        <f>LET(
    lien,'Loan Tape (S&amp;P)'!Q3224,
    IF(lien="First",1.00,
        IF(lien="Second",1.50,
            1.70)))</f>
        <v/>
      </c>
      <c r="K3224">
        <f>LET(
    purpose,'Loan Tape (S&amp;P)'!R3224,
    IF(purpose="Purchase",1.00,
        IF(purpose="Remortgage",1.00,
            1.20)))</f>
        <v/>
      </c>
      <c r="L3224">
        <f>LET(
    arrears_months,'Loan Tape (S&amp;P)'!AN3224,
    IF(arrears_months=0,1.00,
    IF(arrears_months=1,3.00,
    IF(arrears_months=2,5.00,
    IF(arrears_months=3,8.00,
    IF(arrears_months=4,10.00,
    IF(arrears_months=5,12.00,15.00)))))))</f>
        <v/>
      </c>
      <c r="M3224">
        <f>LET(
    seasoning_years,DATEDIF('Loan Tape (S&amp;P)'!K3224,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24">
        <f>IF(AND('Loan Tape (S&amp;P)'!U3224="Yes",
        'Loan Tape (S&amp;P)'!T3224&lt;&gt;"Yes",
        DATEDIF('Loan Tape (S&amp;P)'!K3224, TODAY(), "M")&lt;18),
    1.10,
    1.00)</f>
        <v/>
      </c>
      <c r="O3224">
        <f>IF('Loan Tape (S&amp;P)'!T3224="Yes",
    1.35,
    1.00)</f>
        <v/>
      </c>
      <c r="P3224">
        <f>IF('Loan Tape (S&amp;P)'!S3224="Yes",
    1.15,
    1.00)</f>
        <v/>
      </c>
      <c r="Q3224">
        <f>IF('Loan Tape (S&amp;P)'!V3224="Yes",
    1.20,
    1.00)</f>
        <v/>
      </c>
      <c r="T3224">
        <f>LET(
    payment_method,'Loan Tape (S&amp;P)'!P3224,
    occupancy,'Loan Tape (S&amp;P)'!N3224,
    maturity_date,'Loan Tape (S&amp;P)'!L3224,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25">
      <c r="J3225">
        <f>LET(
    lien,'Loan Tape (S&amp;P)'!Q3225,
    IF(lien="First",1.00,
        IF(lien="Second",1.50,
            1.70)))</f>
        <v/>
      </c>
      <c r="K3225">
        <f>LET(
    purpose,'Loan Tape (S&amp;P)'!R3225,
    IF(purpose="Purchase",1.00,
        IF(purpose="Remortgage",1.00,
            1.20)))</f>
        <v/>
      </c>
      <c r="L3225">
        <f>LET(
    arrears_months,'Loan Tape (S&amp;P)'!AN3225,
    IF(arrears_months=0,1.00,
    IF(arrears_months=1,3.00,
    IF(arrears_months=2,5.00,
    IF(arrears_months=3,8.00,
    IF(arrears_months=4,10.00,
    IF(arrears_months=5,12.00,15.00)))))))</f>
        <v/>
      </c>
      <c r="M3225">
        <f>LET(
    seasoning_years,DATEDIF('Loan Tape (S&amp;P)'!K3225,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25">
        <f>IF(AND('Loan Tape (S&amp;P)'!U3225="Yes",
        'Loan Tape (S&amp;P)'!T3225&lt;&gt;"Yes",
        DATEDIF('Loan Tape (S&amp;P)'!K3225, TODAY(), "M")&lt;18),
    1.10,
    1.00)</f>
        <v/>
      </c>
      <c r="O3225">
        <f>IF('Loan Tape (S&amp;P)'!T3225="Yes",
    1.35,
    1.00)</f>
        <v/>
      </c>
      <c r="P3225">
        <f>IF('Loan Tape (S&amp;P)'!S3225="Yes",
    1.15,
    1.00)</f>
        <v/>
      </c>
      <c r="Q3225">
        <f>IF('Loan Tape (S&amp;P)'!V3225="Yes",
    1.20,
    1.00)</f>
        <v/>
      </c>
      <c r="T3225">
        <f>LET(
    payment_method,'Loan Tape (S&amp;P)'!P3225,
    occupancy,'Loan Tape (S&amp;P)'!N3225,
    maturity_date,'Loan Tape (S&amp;P)'!L3225,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26">
      <c r="J3226">
        <f>LET(
    lien,'Loan Tape (S&amp;P)'!Q3226,
    IF(lien="First",1.00,
        IF(lien="Second",1.50,
            1.70)))</f>
        <v/>
      </c>
      <c r="K3226">
        <f>LET(
    purpose,'Loan Tape (S&amp;P)'!R3226,
    IF(purpose="Purchase",1.00,
        IF(purpose="Remortgage",1.00,
            1.20)))</f>
        <v/>
      </c>
      <c r="L3226">
        <f>LET(
    arrears_months,'Loan Tape (S&amp;P)'!AN3226,
    IF(arrears_months=0,1.00,
    IF(arrears_months=1,3.00,
    IF(arrears_months=2,5.00,
    IF(arrears_months=3,8.00,
    IF(arrears_months=4,10.00,
    IF(arrears_months=5,12.00,15.00)))))))</f>
        <v/>
      </c>
      <c r="M3226">
        <f>LET(
    seasoning_years,DATEDIF('Loan Tape (S&amp;P)'!K3226,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26">
        <f>IF(AND('Loan Tape (S&amp;P)'!U3226="Yes",
        'Loan Tape (S&amp;P)'!T3226&lt;&gt;"Yes",
        DATEDIF('Loan Tape (S&amp;P)'!K3226, TODAY(), "M")&lt;18),
    1.10,
    1.00)</f>
        <v/>
      </c>
      <c r="O3226">
        <f>IF('Loan Tape (S&amp;P)'!T3226="Yes",
    1.35,
    1.00)</f>
        <v/>
      </c>
      <c r="P3226">
        <f>IF('Loan Tape (S&amp;P)'!S3226="Yes",
    1.15,
    1.00)</f>
        <v/>
      </c>
      <c r="Q3226">
        <f>IF('Loan Tape (S&amp;P)'!V3226="Yes",
    1.20,
    1.00)</f>
        <v/>
      </c>
      <c r="T3226">
        <f>LET(
    payment_method,'Loan Tape (S&amp;P)'!P3226,
    occupancy,'Loan Tape (S&amp;P)'!N3226,
    maturity_date,'Loan Tape (S&amp;P)'!L3226,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27">
      <c r="J3227">
        <f>LET(
    lien,'Loan Tape (S&amp;P)'!Q3227,
    IF(lien="First",1.00,
        IF(lien="Second",1.50,
            1.70)))</f>
        <v/>
      </c>
      <c r="K3227">
        <f>LET(
    purpose,'Loan Tape (S&amp;P)'!R3227,
    IF(purpose="Purchase",1.00,
        IF(purpose="Remortgage",1.00,
            1.20)))</f>
        <v/>
      </c>
      <c r="L3227">
        <f>LET(
    arrears_months,'Loan Tape (S&amp;P)'!AN3227,
    IF(arrears_months=0,1.00,
    IF(arrears_months=1,3.00,
    IF(arrears_months=2,5.00,
    IF(arrears_months=3,8.00,
    IF(arrears_months=4,10.00,
    IF(arrears_months=5,12.00,15.00)))))))</f>
        <v/>
      </c>
      <c r="M3227">
        <f>LET(
    seasoning_years,DATEDIF('Loan Tape (S&amp;P)'!K3227,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27">
        <f>IF(AND('Loan Tape (S&amp;P)'!U3227="Yes",
        'Loan Tape (S&amp;P)'!T3227&lt;&gt;"Yes",
        DATEDIF('Loan Tape (S&amp;P)'!K3227, TODAY(), "M")&lt;18),
    1.10,
    1.00)</f>
        <v/>
      </c>
      <c r="O3227">
        <f>IF('Loan Tape (S&amp;P)'!T3227="Yes",
    1.35,
    1.00)</f>
        <v/>
      </c>
      <c r="P3227">
        <f>IF('Loan Tape (S&amp;P)'!S3227="Yes",
    1.15,
    1.00)</f>
        <v/>
      </c>
      <c r="Q3227">
        <f>IF('Loan Tape (S&amp;P)'!V3227="Yes",
    1.20,
    1.00)</f>
        <v/>
      </c>
      <c r="T3227">
        <f>LET(
    payment_method,'Loan Tape (S&amp;P)'!P3227,
    occupancy,'Loan Tape (S&amp;P)'!N3227,
    maturity_date,'Loan Tape (S&amp;P)'!L3227,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28">
      <c r="J3228">
        <f>LET(
    lien,'Loan Tape (S&amp;P)'!Q3228,
    IF(lien="First",1.00,
        IF(lien="Second",1.50,
            1.70)))</f>
        <v/>
      </c>
      <c r="K3228">
        <f>LET(
    purpose,'Loan Tape (S&amp;P)'!R3228,
    IF(purpose="Purchase",1.00,
        IF(purpose="Remortgage",1.00,
            1.20)))</f>
        <v/>
      </c>
      <c r="L3228">
        <f>LET(
    arrears_months,'Loan Tape (S&amp;P)'!AN3228,
    IF(arrears_months=0,1.00,
    IF(arrears_months=1,3.00,
    IF(arrears_months=2,5.00,
    IF(arrears_months=3,8.00,
    IF(arrears_months=4,10.00,
    IF(arrears_months=5,12.00,15.00)))))))</f>
        <v/>
      </c>
      <c r="M3228">
        <f>LET(
    seasoning_years,DATEDIF('Loan Tape (S&amp;P)'!K3228,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28">
        <f>IF(AND('Loan Tape (S&amp;P)'!U3228="Yes",
        'Loan Tape (S&amp;P)'!T3228&lt;&gt;"Yes",
        DATEDIF('Loan Tape (S&amp;P)'!K3228, TODAY(), "M")&lt;18),
    1.10,
    1.00)</f>
        <v/>
      </c>
      <c r="O3228">
        <f>IF('Loan Tape (S&amp;P)'!T3228="Yes",
    1.35,
    1.00)</f>
        <v/>
      </c>
      <c r="P3228">
        <f>IF('Loan Tape (S&amp;P)'!S3228="Yes",
    1.15,
    1.00)</f>
        <v/>
      </c>
      <c r="Q3228">
        <f>IF('Loan Tape (S&amp;P)'!V3228="Yes",
    1.20,
    1.00)</f>
        <v/>
      </c>
      <c r="T3228">
        <f>LET(
    payment_method,'Loan Tape (S&amp;P)'!P3228,
    occupancy,'Loan Tape (S&amp;P)'!N3228,
    maturity_date,'Loan Tape (S&amp;P)'!L3228,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29">
      <c r="J3229">
        <f>LET(
    lien,'Loan Tape (S&amp;P)'!Q3229,
    IF(lien="First",1.00,
        IF(lien="Second",1.50,
            1.70)))</f>
        <v/>
      </c>
      <c r="K3229">
        <f>LET(
    purpose,'Loan Tape (S&amp;P)'!R3229,
    IF(purpose="Purchase",1.00,
        IF(purpose="Remortgage",1.00,
            1.20)))</f>
        <v/>
      </c>
      <c r="L3229">
        <f>LET(
    arrears_months,'Loan Tape (S&amp;P)'!AN3229,
    IF(arrears_months=0,1.00,
    IF(arrears_months=1,3.00,
    IF(arrears_months=2,5.00,
    IF(arrears_months=3,8.00,
    IF(arrears_months=4,10.00,
    IF(arrears_months=5,12.00,15.00)))))))</f>
        <v/>
      </c>
      <c r="M3229">
        <f>LET(
    seasoning_years,DATEDIF('Loan Tape (S&amp;P)'!K3229,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29">
        <f>IF(AND('Loan Tape (S&amp;P)'!U3229="Yes",
        'Loan Tape (S&amp;P)'!T3229&lt;&gt;"Yes",
        DATEDIF('Loan Tape (S&amp;P)'!K3229, TODAY(), "M")&lt;18),
    1.10,
    1.00)</f>
        <v/>
      </c>
      <c r="O3229">
        <f>IF('Loan Tape (S&amp;P)'!T3229="Yes",
    1.35,
    1.00)</f>
        <v/>
      </c>
      <c r="P3229">
        <f>IF('Loan Tape (S&amp;P)'!S3229="Yes",
    1.15,
    1.00)</f>
        <v/>
      </c>
      <c r="Q3229">
        <f>IF('Loan Tape (S&amp;P)'!V3229="Yes",
    1.20,
    1.00)</f>
        <v/>
      </c>
      <c r="T3229">
        <f>LET(
    payment_method,'Loan Tape (S&amp;P)'!P3229,
    occupancy,'Loan Tape (S&amp;P)'!N3229,
    maturity_date,'Loan Tape (S&amp;P)'!L3229,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30">
      <c r="J3230">
        <f>LET(
    lien,'Loan Tape (S&amp;P)'!Q3230,
    IF(lien="First",1.00,
        IF(lien="Second",1.50,
            1.70)))</f>
        <v/>
      </c>
      <c r="K3230">
        <f>LET(
    purpose,'Loan Tape (S&amp;P)'!R3230,
    IF(purpose="Purchase",1.00,
        IF(purpose="Remortgage",1.00,
            1.20)))</f>
        <v/>
      </c>
      <c r="L3230">
        <f>LET(
    arrears_months,'Loan Tape (S&amp;P)'!AN3230,
    IF(arrears_months=0,1.00,
    IF(arrears_months=1,3.00,
    IF(arrears_months=2,5.00,
    IF(arrears_months=3,8.00,
    IF(arrears_months=4,10.00,
    IF(arrears_months=5,12.00,15.00)))))))</f>
        <v/>
      </c>
      <c r="M3230">
        <f>LET(
    seasoning_years,DATEDIF('Loan Tape (S&amp;P)'!K3230,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30">
        <f>IF(AND('Loan Tape (S&amp;P)'!U3230="Yes",
        'Loan Tape (S&amp;P)'!T3230&lt;&gt;"Yes",
        DATEDIF('Loan Tape (S&amp;P)'!K3230, TODAY(), "M")&lt;18),
    1.10,
    1.00)</f>
        <v/>
      </c>
      <c r="O3230">
        <f>IF('Loan Tape (S&amp;P)'!T3230="Yes",
    1.35,
    1.00)</f>
        <v/>
      </c>
      <c r="P3230">
        <f>IF('Loan Tape (S&amp;P)'!S3230="Yes",
    1.15,
    1.00)</f>
        <v/>
      </c>
      <c r="Q3230">
        <f>IF('Loan Tape (S&amp;P)'!V3230="Yes",
    1.20,
    1.00)</f>
        <v/>
      </c>
      <c r="T3230">
        <f>LET(
    payment_method,'Loan Tape (S&amp;P)'!P3230,
    occupancy,'Loan Tape (S&amp;P)'!N3230,
    maturity_date,'Loan Tape (S&amp;P)'!L3230,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31">
      <c r="J3231">
        <f>LET(
    lien,'Loan Tape (S&amp;P)'!Q3231,
    IF(lien="First",1.00,
        IF(lien="Second",1.50,
            1.70)))</f>
        <v/>
      </c>
      <c r="K3231">
        <f>LET(
    purpose,'Loan Tape (S&amp;P)'!R3231,
    IF(purpose="Purchase",1.00,
        IF(purpose="Remortgage",1.00,
            1.20)))</f>
        <v/>
      </c>
      <c r="L3231">
        <f>LET(
    arrears_months,'Loan Tape (S&amp;P)'!AN3231,
    IF(arrears_months=0,1.00,
    IF(arrears_months=1,3.00,
    IF(arrears_months=2,5.00,
    IF(arrears_months=3,8.00,
    IF(arrears_months=4,10.00,
    IF(arrears_months=5,12.00,15.00)))))))</f>
        <v/>
      </c>
      <c r="M3231">
        <f>LET(
    seasoning_years,DATEDIF('Loan Tape (S&amp;P)'!K3231,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31">
        <f>IF(AND('Loan Tape (S&amp;P)'!U3231="Yes",
        'Loan Tape (S&amp;P)'!T3231&lt;&gt;"Yes",
        DATEDIF('Loan Tape (S&amp;P)'!K3231, TODAY(), "M")&lt;18),
    1.10,
    1.00)</f>
        <v/>
      </c>
      <c r="O3231">
        <f>IF('Loan Tape (S&amp;P)'!T3231="Yes",
    1.35,
    1.00)</f>
        <v/>
      </c>
      <c r="P3231">
        <f>IF('Loan Tape (S&amp;P)'!S3231="Yes",
    1.15,
    1.00)</f>
        <v/>
      </c>
      <c r="Q3231">
        <f>IF('Loan Tape (S&amp;P)'!V3231="Yes",
    1.20,
    1.00)</f>
        <v/>
      </c>
      <c r="T3231">
        <f>LET(
    payment_method,'Loan Tape (S&amp;P)'!P3231,
    occupancy,'Loan Tape (S&amp;P)'!N3231,
    maturity_date,'Loan Tape (S&amp;P)'!L3231,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32">
      <c r="J3232">
        <f>LET(
    lien,'Loan Tape (S&amp;P)'!Q3232,
    IF(lien="First",1.00,
        IF(lien="Second",1.50,
            1.70)))</f>
        <v/>
      </c>
      <c r="K3232">
        <f>LET(
    purpose,'Loan Tape (S&amp;P)'!R3232,
    IF(purpose="Purchase",1.00,
        IF(purpose="Remortgage",1.00,
            1.20)))</f>
        <v/>
      </c>
      <c r="L3232">
        <f>LET(
    arrears_months,'Loan Tape (S&amp;P)'!AN3232,
    IF(arrears_months=0,1.00,
    IF(arrears_months=1,3.00,
    IF(arrears_months=2,5.00,
    IF(arrears_months=3,8.00,
    IF(arrears_months=4,10.00,
    IF(arrears_months=5,12.00,15.00)))))))</f>
        <v/>
      </c>
      <c r="M3232">
        <f>LET(
    seasoning_years,DATEDIF('Loan Tape (S&amp;P)'!K3232,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32">
        <f>IF(AND('Loan Tape (S&amp;P)'!U3232="Yes",
        'Loan Tape (S&amp;P)'!T3232&lt;&gt;"Yes",
        DATEDIF('Loan Tape (S&amp;P)'!K3232, TODAY(), "M")&lt;18),
    1.10,
    1.00)</f>
        <v/>
      </c>
      <c r="O3232">
        <f>IF('Loan Tape (S&amp;P)'!T3232="Yes",
    1.35,
    1.00)</f>
        <v/>
      </c>
      <c r="P3232">
        <f>IF('Loan Tape (S&amp;P)'!S3232="Yes",
    1.15,
    1.00)</f>
        <v/>
      </c>
      <c r="Q3232">
        <f>IF('Loan Tape (S&amp;P)'!V3232="Yes",
    1.20,
    1.00)</f>
        <v/>
      </c>
      <c r="T3232">
        <f>LET(
    payment_method,'Loan Tape (S&amp;P)'!P3232,
    occupancy,'Loan Tape (S&amp;P)'!N3232,
    maturity_date,'Loan Tape (S&amp;P)'!L3232,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33">
      <c r="J3233">
        <f>LET(
    lien,'Loan Tape (S&amp;P)'!Q3233,
    IF(lien="First",1.00,
        IF(lien="Second",1.50,
            1.70)))</f>
        <v/>
      </c>
      <c r="K3233">
        <f>LET(
    purpose,'Loan Tape (S&amp;P)'!R3233,
    IF(purpose="Purchase",1.00,
        IF(purpose="Remortgage",1.00,
            1.20)))</f>
        <v/>
      </c>
      <c r="L3233">
        <f>LET(
    arrears_months,'Loan Tape (S&amp;P)'!AN3233,
    IF(arrears_months=0,1.00,
    IF(arrears_months=1,3.00,
    IF(arrears_months=2,5.00,
    IF(arrears_months=3,8.00,
    IF(arrears_months=4,10.00,
    IF(arrears_months=5,12.00,15.00)))))))</f>
        <v/>
      </c>
      <c r="M3233">
        <f>LET(
    seasoning_years,DATEDIF('Loan Tape (S&amp;P)'!K3233,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33">
        <f>IF(AND('Loan Tape (S&amp;P)'!U3233="Yes",
        'Loan Tape (S&amp;P)'!T3233&lt;&gt;"Yes",
        DATEDIF('Loan Tape (S&amp;P)'!K3233, TODAY(), "M")&lt;18),
    1.10,
    1.00)</f>
        <v/>
      </c>
      <c r="O3233">
        <f>IF('Loan Tape (S&amp;P)'!T3233="Yes",
    1.35,
    1.00)</f>
        <v/>
      </c>
      <c r="P3233">
        <f>IF('Loan Tape (S&amp;P)'!S3233="Yes",
    1.15,
    1.00)</f>
        <v/>
      </c>
      <c r="Q3233">
        <f>IF('Loan Tape (S&amp;P)'!V3233="Yes",
    1.20,
    1.00)</f>
        <v/>
      </c>
      <c r="T3233">
        <f>LET(
    payment_method,'Loan Tape (S&amp;P)'!P3233,
    occupancy,'Loan Tape (S&amp;P)'!N3233,
    maturity_date,'Loan Tape (S&amp;P)'!L3233,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34">
      <c r="J3234">
        <f>LET(
    lien,'Loan Tape (S&amp;P)'!Q3234,
    IF(lien="First",1.00,
        IF(lien="Second",1.50,
            1.70)))</f>
        <v/>
      </c>
      <c r="K3234">
        <f>LET(
    purpose,'Loan Tape (S&amp;P)'!R3234,
    IF(purpose="Purchase",1.00,
        IF(purpose="Remortgage",1.00,
            1.20)))</f>
        <v/>
      </c>
      <c r="L3234">
        <f>LET(
    arrears_months,'Loan Tape (S&amp;P)'!AN3234,
    IF(arrears_months=0,1.00,
    IF(arrears_months=1,3.00,
    IF(arrears_months=2,5.00,
    IF(arrears_months=3,8.00,
    IF(arrears_months=4,10.00,
    IF(arrears_months=5,12.00,15.00)))))))</f>
        <v/>
      </c>
      <c r="M3234">
        <f>LET(
    seasoning_years,DATEDIF('Loan Tape (S&amp;P)'!K3234,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34">
        <f>IF(AND('Loan Tape (S&amp;P)'!U3234="Yes",
        'Loan Tape (S&amp;P)'!T3234&lt;&gt;"Yes",
        DATEDIF('Loan Tape (S&amp;P)'!K3234, TODAY(), "M")&lt;18),
    1.10,
    1.00)</f>
        <v/>
      </c>
      <c r="O3234">
        <f>IF('Loan Tape (S&amp;P)'!T3234="Yes",
    1.35,
    1.00)</f>
        <v/>
      </c>
      <c r="P3234">
        <f>IF('Loan Tape (S&amp;P)'!S3234="Yes",
    1.15,
    1.00)</f>
        <v/>
      </c>
      <c r="Q3234">
        <f>IF('Loan Tape (S&amp;P)'!V3234="Yes",
    1.20,
    1.00)</f>
        <v/>
      </c>
      <c r="T3234">
        <f>LET(
    payment_method,'Loan Tape (S&amp;P)'!P3234,
    occupancy,'Loan Tape (S&amp;P)'!N3234,
    maturity_date,'Loan Tape (S&amp;P)'!L3234,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35">
      <c r="J3235">
        <f>LET(
    lien,'Loan Tape (S&amp;P)'!Q3235,
    IF(lien="First",1.00,
        IF(lien="Second",1.50,
            1.70)))</f>
        <v/>
      </c>
      <c r="K3235">
        <f>LET(
    purpose,'Loan Tape (S&amp;P)'!R3235,
    IF(purpose="Purchase",1.00,
        IF(purpose="Remortgage",1.00,
            1.20)))</f>
        <v/>
      </c>
      <c r="L3235">
        <f>LET(
    arrears_months,'Loan Tape (S&amp;P)'!AN3235,
    IF(arrears_months=0,1.00,
    IF(arrears_months=1,3.00,
    IF(arrears_months=2,5.00,
    IF(arrears_months=3,8.00,
    IF(arrears_months=4,10.00,
    IF(arrears_months=5,12.00,15.00)))))))</f>
        <v/>
      </c>
      <c r="M3235">
        <f>LET(
    seasoning_years,DATEDIF('Loan Tape (S&amp;P)'!K3235,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35">
        <f>IF(AND('Loan Tape (S&amp;P)'!U3235="Yes",
        'Loan Tape (S&amp;P)'!T3235&lt;&gt;"Yes",
        DATEDIF('Loan Tape (S&amp;P)'!K3235, TODAY(), "M")&lt;18),
    1.10,
    1.00)</f>
        <v/>
      </c>
      <c r="O3235">
        <f>IF('Loan Tape (S&amp;P)'!T3235="Yes",
    1.35,
    1.00)</f>
        <v/>
      </c>
      <c r="P3235">
        <f>IF('Loan Tape (S&amp;P)'!S3235="Yes",
    1.15,
    1.00)</f>
        <v/>
      </c>
      <c r="Q3235">
        <f>IF('Loan Tape (S&amp;P)'!V3235="Yes",
    1.20,
    1.00)</f>
        <v/>
      </c>
      <c r="T3235">
        <f>LET(
    payment_method,'Loan Tape (S&amp;P)'!P3235,
    occupancy,'Loan Tape (S&amp;P)'!N3235,
    maturity_date,'Loan Tape (S&amp;P)'!L3235,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36">
      <c r="J3236">
        <f>LET(
    lien,'Loan Tape (S&amp;P)'!Q3236,
    IF(lien="First",1.00,
        IF(lien="Second",1.50,
            1.70)))</f>
        <v/>
      </c>
      <c r="K3236">
        <f>LET(
    purpose,'Loan Tape (S&amp;P)'!R3236,
    IF(purpose="Purchase",1.00,
        IF(purpose="Remortgage",1.00,
            1.20)))</f>
        <v/>
      </c>
      <c r="L3236">
        <f>LET(
    arrears_months,'Loan Tape (S&amp;P)'!AN3236,
    IF(arrears_months=0,1.00,
    IF(arrears_months=1,3.00,
    IF(arrears_months=2,5.00,
    IF(arrears_months=3,8.00,
    IF(arrears_months=4,10.00,
    IF(arrears_months=5,12.00,15.00)))))))</f>
        <v/>
      </c>
      <c r="M3236">
        <f>LET(
    seasoning_years,DATEDIF('Loan Tape (S&amp;P)'!K3236,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36">
        <f>IF(AND('Loan Tape (S&amp;P)'!U3236="Yes",
        'Loan Tape (S&amp;P)'!T3236&lt;&gt;"Yes",
        DATEDIF('Loan Tape (S&amp;P)'!K3236, TODAY(), "M")&lt;18),
    1.10,
    1.00)</f>
        <v/>
      </c>
      <c r="O3236">
        <f>IF('Loan Tape (S&amp;P)'!T3236="Yes",
    1.35,
    1.00)</f>
        <v/>
      </c>
      <c r="P3236">
        <f>IF('Loan Tape (S&amp;P)'!S3236="Yes",
    1.15,
    1.00)</f>
        <v/>
      </c>
      <c r="Q3236">
        <f>IF('Loan Tape (S&amp;P)'!V3236="Yes",
    1.20,
    1.00)</f>
        <v/>
      </c>
      <c r="T3236">
        <f>LET(
    payment_method,'Loan Tape (S&amp;P)'!P3236,
    occupancy,'Loan Tape (S&amp;P)'!N3236,
    maturity_date,'Loan Tape (S&amp;P)'!L3236,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37">
      <c r="J3237">
        <f>LET(
    lien,'Loan Tape (S&amp;P)'!Q3237,
    IF(lien="First",1.00,
        IF(lien="Second",1.50,
            1.70)))</f>
        <v/>
      </c>
      <c r="K3237">
        <f>LET(
    purpose,'Loan Tape (S&amp;P)'!R3237,
    IF(purpose="Purchase",1.00,
        IF(purpose="Remortgage",1.00,
            1.20)))</f>
        <v/>
      </c>
      <c r="L3237">
        <f>LET(
    arrears_months,'Loan Tape (S&amp;P)'!AN3237,
    IF(arrears_months=0,1.00,
    IF(arrears_months=1,3.00,
    IF(arrears_months=2,5.00,
    IF(arrears_months=3,8.00,
    IF(arrears_months=4,10.00,
    IF(arrears_months=5,12.00,15.00)))))))</f>
        <v/>
      </c>
      <c r="M3237">
        <f>LET(
    seasoning_years,DATEDIF('Loan Tape (S&amp;P)'!K3237,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37">
        <f>IF(AND('Loan Tape (S&amp;P)'!U3237="Yes",
        'Loan Tape (S&amp;P)'!T3237&lt;&gt;"Yes",
        DATEDIF('Loan Tape (S&amp;P)'!K3237, TODAY(), "M")&lt;18),
    1.10,
    1.00)</f>
        <v/>
      </c>
      <c r="O3237">
        <f>IF('Loan Tape (S&amp;P)'!T3237="Yes",
    1.35,
    1.00)</f>
        <v/>
      </c>
      <c r="P3237">
        <f>IF('Loan Tape (S&amp;P)'!S3237="Yes",
    1.15,
    1.00)</f>
        <v/>
      </c>
      <c r="Q3237">
        <f>IF('Loan Tape (S&amp;P)'!V3237="Yes",
    1.20,
    1.00)</f>
        <v/>
      </c>
      <c r="T3237">
        <f>LET(
    payment_method,'Loan Tape (S&amp;P)'!P3237,
    occupancy,'Loan Tape (S&amp;P)'!N3237,
    maturity_date,'Loan Tape (S&amp;P)'!L3237,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38">
      <c r="J3238">
        <f>LET(
    lien,'Loan Tape (S&amp;P)'!Q3238,
    IF(lien="First",1.00,
        IF(lien="Second",1.50,
            1.70)))</f>
        <v/>
      </c>
      <c r="K3238">
        <f>LET(
    purpose,'Loan Tape (S&amp;P)'!R3238,
    IF(purpose="Purchase",1.00,
        IF(purpose="Remortgage",1.00,
            1.20)))</f>
        <v/>
      </c>
      <c r="L3238">
        <f>LET(
    arrears_months,'Loan Tape (S&amp;P)'!AN3238,
    IF(arrears_months=0,1.00,
    IF(arrears_months=1,3.00,
    IF(arrears_months=2,5.00,
    IF(arrears_months=3,8.00,
    IF(arrears_months=4,10.00,
    IF(arrears_months=5,12.00,15.00)))))))</f>
        <v/>
      </c>
      <c r="M3238">
        <f>LET(
    seasoning_years,DATEDIF('Loan Tape (S&amp;P)'!K3238,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38">
        <f>IF(AND('Loan Tape (S&amp;P)'!U3238="Yes",
        'Loan Tape (S&amp;P)'!T3238&lt;&gt;"Yes",
        DATEDIF('Loan Tape (S&amp;P)'!K3238, TODAY(), "M")&lt;18),
    1.10,
    1.00)</f>
        <v/>
      </c>
      <c r="O3238">
        <f>IF('Loan Tape (S&amp;P)'!T3238="Yes",
    1.35,
    1.00)</f>
        <v/>
      </c>
      <c r="P3238">
        <f>IF('Loan Tape (S&amp;P)'!S3238="Yes",
    1.15,
    1.00)</f>
        <v/>
      </c>
      <c r="Q3238">
        <f>IF('Loan Tape (S&amp;P)'!V3238="Yes",
    1.20,
    1.00)</f>
        <v/>
      </c>
      <c r="T3238">
        <f>LET(
    payment_method,'Loan Tape (S&amp;P)'!P3238,
    occupancy,'Loan Tape (S&amp;P)'!N3238,
    maturity_date,'Loan Tape (S&amp;P)'!L3238,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39">
      <c r="J3239">
        <f>LET(
    lien,'Loan Tape (S&amp;P)'!Q3239,
    IF(lien="First",1.00,
        IF(lien="Second",1.50,
            1.70)))</f>
        <v/>
      </c>
      <c r="K3239">
        <f>LET(
    purpose,'Loan Tape (S&amp;P)'!R3239,
    IF(purpose="Purchase",1.00,
        IF(purpose="Remortgage",1.00,
            1.20)))</f>
        <v/>
      </c>
      <c r="L3239">
        <f>LET(
    arrears_months,'Loan Tape (S&amp;P)'!AN3239,
    IF(arrears_months=0,1.00,
    IF(arrears_months=1,3.00,
    IF(arrears_months=2,5.00,
    IF(arrears_months=3,8.00,
    IF(arrears_months=4,10.00,
    IF(arrears_months=5,12.00,15.00)))))))</f>
        <v/>
      </c>
      <c r="M3239">
        <f>LET(
    seasoning_years,DATEDIF('Loan Tape (S&amp;P)'!K3239,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39">
        <f>IF(AND('Loan Tape (S&amp;P)'!U3239="Yes",
        'Loan Tape (S&amp;P)'!T3239&lt;&gt;"Yes",
        DATEDIF('Loan Tape (S&amp;P)'!K3239, TODAY(), "M")&lt;18),
    1.10,
    1.00)</f>
        <v/>
      </c>
      <c r="O3239">
        <f>IF('Loan Tape (S&amp;P)'!T3239="Yes",
    1.35,
    1.00)</f>
        <v/>
      </c>
      <c r="P3239">
        <f>IF('Loan Tape (S&amp;P)'!S3239="Yes",
    1.15,
    1.00)</f>
        <v/>
      </c>
      <c r="Q3239">
        <f>IF('Loan Tape (S&amp;P)'!V3239="Yes",
    1.20,
    1.00)</f>
        <v/>
      </c>
      <c r="T3239">
        <f>LET(
    payment_method,'Loan Tape (S&amp;P)'!P3239,
    occupancy,'Loan Tape (S&amp;P)'!N3239,
    maturity_date,'Loan Tape (S&amp;P)'!L3239,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40">
      <c r="J3240">
        <f>LET(
    lien,'Loan Tape (S&amp;P)'!Q3240,
    IF(lien="First",1.00,
        IF(lien="Second",1.50,
            1.70)))</f>
        <v/>
      </c>
      <c r="K3240">
        <f>LET(
    purpose,'Loan Tape (S&amp;P)'!R3240,
    IF(purpose="Purchase",1.00,
        IF(purpose="Remortgage",1.00,
            1.20)))</f>
        <v/>
      </c>
      <c r="L3240">
        <f>LET(
    arrears_months,'Loan Tape (S&amp;P)'!AN3240,
    IF(arrears_months=0,1.00,
    IF(arrears_months=1,3.00,
    IF(arrears_months=2,5.00,
    IF(arrears_months=3,8.00,
    IF(arrears_months=4,10.00,
    IF(arrears_months=5,12.00,15.00)))))))</f>
        <v/>
      </c>
      <c r="M3240">
        <f>LET(
    seasoning_years,DATEDIF('Loan Tape (S&amp;P)'!K3240,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40">
        <f>IF(AND('Loan Tape (S&amp;P)'!U3240="Yes",
        'Loan Tape (S&amp;P)'!T3240&lt;&gt;"Yes",
        DATEDIF('Loan Tape (S&amp;P)'!K3240, TODAY(), "M")&lt;18),
    1.10,
    1.00)</f>
        <v/>
      </c>
      <c r="O3240">
        <f>IF('Loan Tape (S&amp;P)'!T3240="Yes",
    1.35,
    1.00)</f>
        <v/>
      </c>
      <c r="P3240">
        <f>IF('Loan Tape (S&amp;P)'!S3240="Yes",
    1.15,
    1.00)</f>
        <v/>
      </c>
      <c r="Q3240">
        <f>IF('Loan Tape (S&amp;P)'!V3240="Yes",
    1.20,
    1.00)</f>
        <v/>
      </c>
      <c r="T3240">
        <f>LET(
    payment_method,'Loan Tape (S&amp;P)'!P3240,
    occupancy,'Loan Tape (S&amp;P)'!N3240,
    maturity_date,'Loan Tape (S&amp;P)'!L3240,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41">
      <c r="J3241">
        <f>LET(
    lien,'Loan Tape (S&amp;P)'!Q3241,
    IF(lien="First",1.00,
        IF(lien="Second",1.50,
            1.70)))</f>
        <v/>
      </c>
      <c r="K3241">
        <f>LET(
    purpose,'Loan Tape (S&amp;P)'!R3241,
    IF(purpose="Purchase",1.00,
        IF(purpose="Remortgage",1.00,
            1.20)))</f>
        <v/>
      </c>
      <c r="L3241">
        <f>LET(
    arrears_months,'Loan Tape (S&amp;P)'!AN3241,
    IF(arrears_months=0,1.00,
    IF(arrears_months=1,3.00,
    IF(arrears_months=2,5.00,
    IF(arrears_months=3,8.00,
    IF(arrears_months=4,10.00,
    IF(arrears_months=5,12.00,15.00)))))))</f>
        <v/>
      </c>
      <c r="M3241">
        <f>LET(
    seasoning_years,DATEDIF('Loan Tape (S&amp;P)'!K3241,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41">
        <f>IF(AND('Loan Tape (S&amp;P)'!U3241="Yes",
        'Loan Tape (S&amp;P)'!T3241&lt;&gt;"Yes",
        DATEDIF('Loan Tape (S&amp;P)'!K3241, TODAY(), "M")&lt;18),
    1.10,
    1.00)</f>
        <v/>
      </c>
      <c r="O3241">
        <f>IF('Loan Tape (S&amp;P)'!T3241="Yes",
    1.35,
    1.00)</f>
        <v/>
      </c>
      <c r="P3241">
        <f>IF('Loan Tape (S&amp;P)'!S3241="Yes",
    1.15,
    1.00)</f>
        <v/>
      </c>
      <c r="Q3241">
        <f>IF('Loan Tape (S&amp;P)'!V3241="Yes",
    1.20,
    1.00)</f>
        <v/>
      </c>
      <c r="T3241">
        <f>LET(
    payment_method,'Loan Tape (S&amp;P)'!P3241,
    occupancy,'Loan Tape (S&amp;P)'!N3241,
    maturity_date,'Loan Tape (S&amp;P)'!L3241,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42">
      <c r="J3242">
        <f>LET(
    lien,'Loan Tape (S&amp;P)'!Q3242,
    IF(lien="First",1.00,
        IF(lien="Second",1.50,
            1.70)))</f>
        <v/>
      </c>
      <c r="K3242">
        <f>LET(
    purpose,'Loan Tape (S&amp;P)'!R3242,
    IF(purpose="Purchase",1.00,
        IF(purpose="Remortgage",1.00,
            1.20)))</f>
        <v/>
      </c>
      <c r="L3242">
        <f>LET(
    arrears_months,'Loan Tape (S&amp;P)'!AN3242,
    IF(arrears_months=0,1.00,
    IF(arrears_months=1,3.00,
    IF(arrears_months=2,5.00,
    IF(arrears_months=3,8.00,
    IF(arrears_months=4,10.00,
    IF(arrears_months=5,12.00,15.00)))))))</f>
        <v/>
      </c>
      <c r="M3242">
        <f>LET(
    seasoning_years,DATEDIF('Loan Tape (S&amp;P)'!K3242,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42">
        <f>IF(AND('Loan Tape (S&amp;P)'!U3242="Yes",
        'Loan Tape (S&amp;P)'!T3242&lt;&gt;"Yes",
        DATEDIF('Loan Tape (S&amp;P)'!K3242, TODAY(), "M")&lt;18),
    1.10,
    1.00)</f>
        <v/>
      </c>
      <c r="O3242">
        <f>IF('Loan Tape (S&amp;P)'!T3242="Yes",
    1.35,
    1.00)</f>
        <v/>
      </c>
      <c r="P3242">
        <f>IF('Loan Tape (S&amp;P)'!S3242="Yes",
    1.15,
    1.00)</f>
        <v/>
      </c>
      <c r="Q3242">
        <f>IF('Loan Tape (S&amp;P)'!V3242="Yes",
    1.20,
    1.00)</f>
        <v/>
      </c>
      <c r="T3242">
        <f>LET(
    payment_method,'Loan Tape (S&amp;P)'!P3242,
    occupancy,'Loan Tape (S&amp;P)'!N3242,
    maturity_date,'Loan Tape (S&amp;P)'!L3242,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43">
      <c r="J3243">
        <f>LET(
    lien,'Loan Tape (S&amp;P)'!Q3243,
    IF(lien="First",1.00,
        IF(lien="Second",1.50,
            1.70)))</f>
        <v/>
      </c>
      <c r="K3243">
        <f>LET(
    purpose,'Loan Tape (S&amp;P)'!R3243,
    IF(purpose="Purchase",1.00,
        IF(purpose="Remortgage",1.00,
            1.20)))</f>
        <v/>
      </c>
      <c r="L3243">
        <f>LET(
    arrears_months,'Loan Tape (S&amp;P)'!AN3243,
    IF(arrears_months=0,1.00,
    IF(arrears_months=1,3.00,
    IF(arrears_months=2,5.00,
    IF(arrears_months=3,8.00,
    IF(arrears_months=4,10.00,
    IF(arrears_months=5,12.00,15.00)))))))</f>
        <v/>
      </c>
      <c r="M3243">
        <f>LET(
    seasoning_years,DATEDIF('Loan Tape (S&amp;P)'!K3243,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43">
        <f>IF(AND('Loan Tape (S&amp;P)'!U3243="Yes",
        'Loan Tape (S&amp;P)'!T3243&lt;&gt;"Yes",
        DATEDIF('Loan Tape (S&amp;P)'!K3243, TODAY(), "M")&lt;18),
    1.10,
    1.00)</f>
        <v/>
      </c>
      <c r="O3243">
        <f>IF('Loan Tape (S&amp;P)'!T3243="Yes",
    1.35,
    1.00)</f>
        <v/>
      </c>
      <c r="P3243">
        <f>IF('Loan Tape (S&amp;P)'!S3243="Yes",
    1.15,
    1.00)</f>
        <v/>
      </c>
      <c r="Q3243">
        <f>IF('Loan Tape (S&amp;P)'!V3243="Yes",
    1.20,
    1.00)</f>
        <v/>
      </c>
      <c r="T3243">
        <f>LET(
    payment_method,'Loan Tape (S&amp;P)'!P3243,
    occupancy,'Loan Tape (S&amp;P)'!N3243,
    maturity_date,'Loan Tape (S&amp;P)'!L3243,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44">
      <c r="J3244">
        <f>LET(
    lien,'Loan Tape (S&amp;P)'!Q3244,
    IF(lien="First",1.00,
        IF(lien="Second",1.50,
            1.70)))</f>
        <v/>
      </c>
      <c r="K3244">
        <f>LET(
    purpose,'Loan Tape (S&amp;P)'!R3244,
    IF(purpose="Purchase",1.00,
        IF(purpose="Remortgage",1.00,
            1.20)))</f>
        <v/>
      </c>
      <c r="L3244">
        <f>LET(
    arrears_months,'Loan Tape (S&amp;P)'!AN3244,
    IF(arrears_months=0,1.00,
    IF(arrears_months=1,3.00,
    IF(arrears_months=2,5.00,
    IF(arrears_months=3,8.00,
    IF(arrears_months=4,10.00,
    IF(arrears_months=5,12.00,15.00)))))))</f>
        <v/>
      </c>
      <c r="M3244">
        <f>LET(
    seasoning_years,DATEDIF('Loan Tape (S&amp;P)'!K3244,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44">
        <f>IF(AND('Loan Tape (S&amp;P)'!U3244="Yes",
        'Loan Tape (S&amp;P)'!T3244&lt;&gt;"Yes",
        DATEDIF('Loan Tape (S&amp;P)'!K3244, TODAY(), "M")&lt;18),
    1.10,
    1.00)</f>
        <v/>
      </c>
      <c r="O3244">
        <f>IF('Loan Tape (S&amp;P)'!T3244="Yes",
    1.35,
    1.00)</f>
        <v/>
      </c>
      <c r="P3244">
        <f>IF('Loan Tape (S&amp;P)'!S3244="Yes",
    1.15,
    1.00)</f>
        <v/>
      </c>
      <c r="Q3244">
        <f>IF('Loan Tape (S&amp;P)'!V3244="Yes",
    1.20,
    1.00)</f>
        <v/>
      </c>
      <c r="T3244">
        <f>LET(
    payment_method,'Loan Tape (S&amp;P)'!P3244,
    occupancy,'Loan Tape (S&amp;P)'!N3244,
    maturity_date,'Loan Tape (S&amp;P)'!L3244,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45">
      <c r="J3245">
        <f>LET(
    lien,'Loan Tape (S&amp;P)'!Q3245,
    IF(lien="First",1.00,
        IF(lien="Second",1.50,
            1.70)))</f>
        <v/>
      </c>
      <c r="K3245">
        <f>LET(
    purpose,'Loan Tape (S&amp;P)'!R3245,
    IF(purpose="Purchase",1.00,
        IF(purpose="Remortgage",1.00,
            1.20)))</f>
        <v/>
      </c>
      <c r="L3245">
        <f>LET(
    arrears_months,'Loan Tape (S&amp;P)'!AN3245,
    IF(arrears_months=0,1.00,
    IF(arrears_months=1,3.00,
    IF(arrears_months=2,5.00,
    IF(arrears_months=3,8.00,
    IF(arrears_months=4,10.00,
    IF(arrears_months=5,12.00,15.00)))))))</f>
        <v/>
      </c>
      <c r="M3245">
        <f>LET(
    seasoning_years,DATEDIF('Loan Tape (S&amp;P)'!K3245,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45">
        <f>IF(AND('Loan Tape (S&amp;P)'!U3245="Yes",
        'Loan Tape (S&amp;P)'!T3245&lt;&gt;"Yes",
        DATEDIF('Loan Tape (S&amp;P)'!K3245, TODAY(), "M")&lt;18),
    1.10,
    1.00)</f>
        <v/>
      </c>
      <c r="O3245">
        <f>IF('Loan Tape (S&amp;P)'!T3245="Yes",
    1.35,
    1.00)</f>
        <v/>
      </c>
      <c r="P3245">
        <f>IF('Loan Tape (S&amp;P)'!S3245="Yes",
    1.15,
    1.00)</f>
        <v/>
      </c>
      <c r="Q3245">
        <f>IF('Loan Tape (S&amp;P)'!V3245="Yes",
    1.20,
    1.00)</f>
        <v/>
      </c>
      <c r="T3245">
        <f>LET(
    payment_method,'Loan Tape (S&amp;P)'!P3245,
    occupancy,'Loan Tape (S&amp;P)'!N3245,
    maturity_date,'Loan Tape (S&amp;P)'!L3245,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46">
      <c r="J3246">
        <f>LET(
    lien,'Loan Tape (S&amp;P)'!Q3246,
    IF(lien="First",1.00,
        IF(lien="Second",1.50,
            1.70)))</f>
        <v/>
      </c>
      <c r="K3246">
        <f>LET(
    purpose,'Loan Tape (S&amp;P)'!R3246,
    IF(purpose="Purchase",1.00,
        IF(purpose="Remortgage",1.00,
            1.20)))</f>
        <v/>
      </c>
      <c r="L3246">
        <f>LET(
    arrears_months,'Loan Tape (S&amp;P)'!AN3246,
    IF(arrears_months=0,1.00,
    IF(arrears_months=1,3.00,
    IF(arrears_months=2,5.00,
    IF(arrears_months=3,8.00,
    IF(arrears_months=4,10.00,
    IF(arrears_months=5,12.00,15.00)))))))</f>
        <v/>
      </c>
      <c r="M3246">
        <f>LET(
    seasoning_years,DATEDIF('Loan Tape (S&amp;P)'!K3246,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46">
        <f>IF(AND('Loan Tape (S&amp;P)'!U3246="Yes",
        'Loan Tape (S&amp;P)'!T3246&lt;&gt;"Yes",
        DATEDIF('Loan Tape (S&amp;P)'!K3246, TODAY(), "M")&lt;18),
    1.10,
    1.00)</f>
        <v/>
      </c>
      <c r="O3246">
        <f>IF('Loan Tape (S&amp;P)'!T3246="Yes",
    1.35,
    1.00)</f>
        <v/>
      </c>
      <c r="P3246">
        <f>IF('Loan Tape (S&amp;P)'!S3246="Yes",
    1.15,
    1.00)</f>
        <v/>
      </c>
      <c r="Q3246">
        <f>IF('Loan Tape (S&amp;P)'!V3246="Yes",
    1.20,
    1.00)</f>
        <v/>
      </c>
      <c r="T3246">
        <f>LET(
    payment_method,'Loan Tape (S&amp;P)'!P3246,
    occupancy,'Loan Tape (S&amp;P)'!N3246,
    maturity_date,'Loan Tape (S&amp;P)'!L3246,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47">
      <c r="J3247">
        <f>LET(
    lien,'Loan Tape (S&amp;P)'!Q3247,
    IF(lien="First",1.00,
        IF(lien="Second",1.50,
            1.70)))</f>
        <v/>
      </c>
      <c r="K3247">
        <f>LET(
    purpose,'Loan Tape (S&amp;P)'!R3247,
    IF(purpose="Purchase",1.00,
        IF(purpose="Remortgage",1.00,
            1.20)))</f>
        <v/>
      </c>
      <c r="L3247">
        <f>LET(
    arrears_months,'Loan Tape (S&amp;P)'!AN3247,
    IF(arrears_months=0,1.00,
    IF(arrears_months=1,3.00,
    IF(arrears_months=2,5.00,
    IF(arrears_months=3,8.00,
    IF(arrears_months=4,10.00,
    IF(arrears_months=5,12.00,15.00)))))))</f>
        <v/>
      </c>
      <c r="M3247">
        <f>LET(
    seasoning_years,DATEDIF('Loan Tape (S&amp;P)'!K3247,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47">
        <f>IF(AND('Loan Tape (S&amp;P)'!U3247="Yes",
        'Loan Tape (S&amp;P)'!T3247&lt;&gt;"Yes",
        DATEDIF('Loan Tape (S&amp;P)'!K3247, TODAY(), "M")&lt;18),
    1.10,
    1.00)</f>
        <v/>
      </c>
      <c r="O3247">
        <f>IF('Loan Tape (S&amp;P)'!T3247="Yes",
    1.35,
    1.00)</f>
        <v/>
      </c>
      <c r="P3247">
        <f>IF('Loan Tape (S&amp;P)'!S3247="Yes",
    1.15,
    1.00)</f>
        <v/>
      </c>
      <c r="Q3247">
        <f>IF('Loan Tape (S&amp;P)'!V3247="Yes",
    1.20,
    1.00)</f>
        <v/>
      </c>
      <c r="T3247">
        <f>LET(
    payment_method,'Loan Tape (S&amp;P)'!P3247,
    occupancy,'Loan Tape (S&amp;P)'!N3247,
    maturity_date,'Loan Tape (S&amp;P)'!L3247,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48">
      <c r="J3248">
        <f>LET(
    lien,'Loan Tape (S&amp;P)'!Q3248,
    IF(lien="First",1.00,
        IF(lien="Second",1.50,
            1.70)))</f>
        <v/>
      </c>
      <c r="K3248">
        <f>LET(
    purpose,'Loan Tape (S&amp;P)'!R3248,
    IF(purpose="Purchase",1.00,
        IF(purpose="Remortgage",1.00,
            1.20)))</f>
        <v/>
      </c>
      <c r="L3248">
        <f>LET(
    arrears_months,'Loan Tape (S&amp;P)'!AN3248,
    IF(arrears_months=0,1.00,
    IF(arrears_months=1,3.00,
    IF(arrears_months=2,5.00,
    IF(arrears_months=3,8.00,
    IF(arrears_months=4,10.00,
    IF(arrears_months=5,12.00,15.00)))))))</f>
        <v/>
      </c>
      <c r="M3248">
        <f>LET(
    seasoning_years,DATEDIF('Loan Tape (S&amp;P)'!K3248,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48">
        <f>IF(AND('Loan Tape (S&amp;P)'!U3248="Yes",
        'Loan Tape (S&amp;P)'!T3248&lt;&gt;"Yes",
        DATEDIF('Loan Tape (S&amp;P)'!K3248, TODAY(), "M")&lt;18),
    1.10,
    1.00)</f>
        <v/>
      </c>
      <c r="O3248">
        <f>IF('Loan Tape (S&amp;P)'!T3248="Yes",
    1.35,
    1.00)</f>
        <v/>
      </c>
      <c r="P3248">
        <f>IF('Loan Tape (S&amp;P)'!S3248="Yes",
    1.15,
    1.00)</f>
        <v/>
      </c>
      <c r="Q3248">
        <f>IF('Loan Tape (S&amp;P)'!V3248="Yes",
    1.20,
    1.00)</f>
        <v/>
      </c>
      <c r="T3248">
        <f>LET(
    payment_method,'Loan Tape (S&amp;P)'!P3248,
    occupancy,'Loan Tape (S&amp;P)'!N3248,
    maturity_date,'Loan Tape (S&amp;P)'!L3248,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49">
      <c r="J3249">
        <f>LET(
    lien,'Loan Tape (S&amp;P)'!Q3249,
    IF(lien="First",1.00,
        IF(lien="Second",1.50,
            1.70)))</f>
        <v/>
      </c>
      <c r="K3249">
        <f>LET(
    purpose,'Loan Tape (S&amp;P)'!R3249,
    IF(purpose="Purchase",1.00,
        IF(purpose="Remortgage",1.00,
            1.20)))</f>
        <v/>
      </c>
      <c r="L3249">
        <f>LET(
    arrears_months,'Loan Tape (S&amp;P)'!AN3249,
    IF(arrears_months=0,1.00,
    IF(arrears_months=1,3.00,
    IF(arrears_months=2,5.00,
    IF(arrears_months=3,8.00,
    IF(arrears_months=4,10.00,
    IF(arrears_months=5,12.00,15.00)))))))</f>
        <v/>
      </c>
      <c r="M3249">
        <f>LET(
    seasoning_years,DATEDIF('Loan Tape (S&amp;P)'!K3249,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49">
        <f>IF(AND('Loan Tape (S&amp;P)'!U3249="Yes",
        'Loan Tape (S&amp;P)'!T3249&lt;&gt;"Yes",
        DATEDIF('Loan Tape (S&amp;P)'!K3249, TODAY(), "M")&lt;18),
    1.10,
    1.00)</f>
        <v/>
      </c>
      <c r="O3249">
        <f>IF('Loan Tape (S&amp;P)'!T3249="Yes",
    1.35,
    1.00)</f>
        <v/>
      </c>
      <c r="P3249">
        <f>IF('Loan Tape (S&amp;P)'!S3249="Yes",
    1.15,
    1.00)</f>
        <v/>
      </c>
      <c r="Q3249">
        <f>IF('Loan Tape (S&amp;P)'!V3249="Yes",
    1.20,
    1.00)</f>
        <v/>
      </c>
      <c r="T3249">
        <f>LET(
    payment_method,'Loan Tape (S&amp;P)'!P3249,
    occupancy,'Loan Tape (S&amp;P)'!N3249,
    maturity_date,'Loan Tape (S&amp;P)'!L3249,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50">
      <c r="J3250">
        <f>LET(
    lien,'Loan Tape (S&amp;P)'!Q3250,
    IF(lien="First",1.00,
        IF(lien="Second",1.50,
            1.70)))</f>
        <v/>
      </c>
      <c r="K3250">
        <f>LET(
    purpose,'Loan Tape (S&amp;P)'!R3250,
    IF(purpose="Purchase",1.00,
        IF(purpose="Remortgage",1.00,
            1.20)))</f>
        <v/>
      </c>
      <c r="L3250">
        <f>LET(
    arrears_months,'Loan Tape (S&amp;P)'!AN3250,
    IF(arrears_months=0,1.00,
    IF(arrears_months=1,3.00,
    IF(arrears_months=2,5.00,
    IF(arrears_months=3,8.00,
    IF(arrears_months=4,10.00,
    IF(arrears_months=5,12.00,15.00)))))))</f>
        <v/>
      </c>
      <c r="M3250">
        <f>LET(
    seasoning_years,DATEDIF('Loan Tape (S&amp;P)'!K3250,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50">
        <f>IF(AND('Loan Tape (S&amp;P)'!U3250="Yes",
        'Loan Tape (S&amp;P)'!T3250&lt;&gt;"Yes",
        DATEDIF('Loan Tape (S&amp;P)'!K3250, TODAY(), "M")&lt;18),
    1.10,
    1.00)</f>
        <v/>
      </c>
      <c r="O3250">
        <f>IF('Loan Tape (S&amp;P)'!T3250="Yes",
    1.35,
    1.00)</f>
        <v/>
      </c>
      <c r="P3250">
        <f>IF('Loan Tape (S&amp;P)'!S3250="Yes",
    1.15,
    1.00)</f>
        <v/>
      </c>
      <c r="Q3250">
        <f>IF('Loan Tape (S&amp;P)'!V3250="Yes",
    1.20,
    1.00)</f>
        <v/>
      </c>
      <c r="T3250">
        <f>LET(
    payment_method,'Loan Tape (S&amp;P)'!P3250,
    occupancy,'Loan Tape (S&amp;P)'!N3250,
    maturity_date,'Loan Tape (S&amp;P)'!L3250,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51">
      <c r="J3251">
        <f>LET(
    lien,'Loan Tape (S&amp;P)'!Q3251,
    IF(lien="First",1.00,
        IF(lien="Second",1.50,
            1.70)))</f>
        <v/>
      </c>
      <c r="K3251">
        <f>LET(
    purpose,'Loan Tape (S&amp;P)'!R3251,
    IF(purpose="Purchase",1.00,
        IF(purpose="Remortgage",1.00,
            1.20)))</f>
        <v/>
      </c>
      <c r="L3251">
        <f>LET(
    arrears_months,'Loan Tape (S&amp;P)'!AN3251,
    IF(arrears_months=0,1.00,
    IF(arrears_months=1,3.00,
    IF(arrears_months=2,5.00,
    IF(arrears_months=3,8.00,
    IF(arrears_months=4,10.00,
    IF(arrears_months=5,12.00,15.00)))))))</f>
        <v/>
      </c>
      <c r="M3251">
        <f>LET(
    seasoning_years,DATEDIF('Loan Tape (S&amp;P)'!K3251,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51">
        <f>IF(AND('Loan Tape (S&amp;P)'!U3251="Yes",
        'Loan Tape (S&amp;P)'!T3251&lt;&gt;"Yes",
        DATEDIF('Loan Tape (S&amp;P)'!K3251, TODAY(), "M")&lt;18),
    1.10,
    1.00)</f>
        <v/>
      </c>
      <c r="O3251">
        <f>IF('Loan Tape (S&amp;P)'!T3251="Yes",
    1.35,
    1.00)</f>
        <v/>
      </c>
      <c r="P3251">
        <f>IF('Loan Tape (S&amp;P)'!S3251="Yes",
    1.15,
    1.00)</f>
        <v/>
      </c>
      <c r="Q3251">
        <f>IF('Loan Tape (S&amp;P)'!V3251="Yes",
    1.20,
    1.00)</f>
        <v/>
      </c>
      <c r="T3251">
        <f>LET(
    payment_method,'Loan Tape (S&amp;P)'!P3251,
    occupancy,'Loan Tape (S&amp;P)'!N3251,
    maturity_date,'Loan Tape (S&amp;P)'!L3251,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52">
      <c r="J3252">
        <f>LET(
    lien,'Loan Tape (S&amp;P)'!Q3252,
    IF(lien="First",1.00,
        IF(lien="Second",1.50,
            1.70)))</f>
        <v/>
      </c>
      <c r="K3252">
        <f>LET(
    purpose,'Loan Tape (S&amp;P)'!R3252,
    IF(purpose="Purchase",1.00,
        IF(purpose="Remortgage",1.00,
            1.20)))</f>
        <v/>
      </c>
      <c r="L3252">
        <f>LET(
    arrears_months,'Loan Tape (S&amp;P)'!AN3252,
    IF(arrears_months=0,1.00,
    IF(arrears_months=1,3.00,
    IF(arrears_months=2,5.00,
    IF(arrears_months=3,8.00,
    IF(arrears_months=4,10.00,
    IF(arrears_months=5,12.00,15.00)))))))</f>
        <v/>
      </c>
      <c r="M3252">
        <f>LET(
    seasoning_years,DATEDIF('Loan Tape (S&amp;P)'!K3252,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52">
        <f>IF(AND('Loan Tape (S&amp;P)'!U3252="Yes",
        'Loan Tape (S&amp;P)'!T3252&lt;&gt;"Yes",
        DATEDIF('Loan Tape (S&amp;P)'!K3252, TODAY(), "M")&lt;18),
    1.10,
    1.00)</f>
        <v/>
      </c>
      <c r="O3252">
        <f>IF('Loan Tape (S&amp;P)'!T3252="Yes",
    1.35,
    1.00)</f>
        <v/>
      </c>
      <c r="P3252">
        <f>IF('Loan Tape (S&amp;P)'!S3252="Yes",
    1.15,
    1.00)</f>
        <v/>
      </c>
      <c r="Q3252">
        <f>IF('Loan Tape (S&amp;P)'!V3252="Yes",
    1.20,
    1.00)</f>
        <v/>
      </c>
      <c r="T3252">
        <f>LET(
    payment_method,'Loan Tape (S&amp;P)'!P3252,
    occupancy,'Loan Tape (S&amp;P)'!N3252,
    maturity_date,'Loan Tape (S&amp;P)'!L3252,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53">
      <c r="J3253">
        <f>LET(
    lien,'Loan Tape (S&amp;P)'!Q3253,
    IF(lien="First",1.00,
        IF(lien="Second",1.50,
            1.70)))</f>
        <v/>
      </c>
      <c r="K3253">
        <f>LET(
    purpose,'Loan Tape (S&amp;P)'!R3253,
    IF(purpose="Purchase",1.00,
        IF(purpose="Remortgage",1.00,
            1.20)))</f>
        <v/>
      </c>
      <c r="L3253">
        <f>LET(
    arrears_months,'Loan Tape (S&amp;P)'!AN3253,
    IF(arrears_months=0,1.00,
    IF(arrears_months=1,3.00,
    IF(arrears_months=2,5.00,
    IF(arrears_months=3,8.00,
    IF(arrears_months=4,10.00,
    IF(arrears_months=5,12.00,15.00)))))))</f>
        <v/>
      </c>
      <c r="M3253">
        <f>LET(
    seasoning_years,DATEDIF('Loan Tape (S&amp;P)'!K3253,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53">
        <f>IF(AND('Loan Tape (S&amp;P)'!U3253="Yes",
        'Loan Tape (S&amp;P)'!T3253&lt;&gt;"Yes",
        DATEDIF('Loan Tape (S&amp;P)'!K3253, TODAY(), "M")&lt;18),
    1.10,
    1.00)</f>
        <v/>
      </c>
      <c r="O3253">
        <f>IF('Loan Tape (S&amp;P)'!T3253="Yes",
    1.35,
    1.00)</f>
        <v/>
      </c>
      <c r="P3253">
        <f>IF('Loan Tape (S&amp;P)'!S3253="Yes",
    1.15,
    1.00)</f>
        <v/>
      </c>
      <c r="Q3253">
        <f>IF('Loan Tape (S&amp;P)'!V3253="Yes",
    1.20,
    1.00)</f>
        <v/>
      </c>
      <c r="T3253">
        <f>LET(
    payment_method,'Loan Tape (S&amp;P)'!P3253,
    occupancy,'Loan Tape (S&amp;P)'!N3253,
    maturity_date,'Loan Tape (S&amp;P)'!L3253,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54">
      <c r="J3254">
        <f>LET(
    lien,'Loan Tape (S&amp;P)'!Q3254,
    IF(lien="First",1.00,
        IF(lien="Second",1.50,
            1.70)))</f>
        <v/>
      </c>
      <c r="K3254">
        <f>LET(
    purpose,'Loan Tape (S&amp;P)'!R3254,
    IF(purpose="Purchase",1.00,
        IF(purpose="Remortgage",1.00,
            1.20)))</f>
        <v/>
      </c>
      <c r="L3254">
        <f>LET(
    arrears_months,'Loan Tape (S&amp;P)'!AN3254,
    IF(arrears_months=0,1.00,
    IF(arrears_months=1,3.00,
    IF(arrears_months=2,5.00,
    IF(arrears_months=3,8.00,
    IF(arrears_months=4,10.00,
    IF(arrears_months=5,12.00,15.00)))))))</f>
        <v/>
      </c>
      <c r="M3254">
        <f>LET(
    seasoning_years,DATEDIF('Loan Tape (S&amp;P)'!K3254,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54">
        <f>IF(AND('Loan Tape (S&amp;P)'!U3254="Yes",
        'Loan Tape (S&amp;P)'!T3254&lt;&gt;"Yes",
        DATEDIF('Loan Tape (S&amp;P)'!K3254, TODAY(), "M")&lt;18),
    1.10,
    1.00)</f>
        <v/>
      </c>
      <c r="O3254">
        <f>IF('Loan Tape (S&amp;P)'!T3254="Yes",
    1.35,
    1.00)</f>
        <v/>
      </c>
      <c r="P3254">
        <f>IF('Loan Tape (S&amp;P)'!S3254="Yes",
    1.15,
    1.00)</f>
        <v/>
      </c>
      <c r="Q3254">
        <f>IF('Loan Tape (S&amp;P)'!V3254="Yes",
    1.20,
    1.00)</f>
        <v/>
      </c>
      <c r="T3254">
        <f>LET(
    payment_method,'Loan Tape (S&amp;P)'!P3254,
    occupancy,'Loan Tape (S&amp;P)'!N3254,
    maturity_date,'Loan Tape (S&amp;P)'!L3254,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55">
      <c r="J3255">
        <f>LET(
    lien,'Loan Tape (S&amp;P)'!Q3255,
    IF(lien="First",1.00,
        IF(lien="Second",1.50,
            1.70)))</f>
        <v/>
      </c>
      <c r="K3255">
        <f>LET(
    purpose,'Loan Tape (S&amp;P)'!R3255,
    IF(purpose="Purchase",1.00,
        IF(purpose="Remortgage",1.00,
            1.20)))</f>
        <v/>
      </c>
      <c r="L3255">
        <f>LET(
    arrears_months,'Loan Tape (S&amp;P)'!AN3255,
    IF(arrears_months=0,1.00,
    IF(arrears_months=1,3.00,
    IF(arrears_months=2,5.00,
    IF(arrears_months=3,8.00,
    IF(arrears_months=4,10.00,
    IF(arrears_months=5,12.00,15.00)))))))</f>
        <v/>
      </c>
      <c r="M3255">
        <f>LET(
    seasoning_years,DATEDIF('Loan Tape (S&amp;P)'!K3255,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55">
        <f>IF(AND('Loan Tape (S&amp;P)'!U3255="Yes",
        'Loan Tape (S&amp;P)'!T3255&lt;&gt;"Yes",
        DATEDIF('Loan Tape (S&amp;P)'!K3255, TODAY(), "M")&lt;18),
    1.10,
    1.00)</f>
        <v/>
      </c>
      <c r="O3255">
        <f>IF('Loan Tape (S&amp;P)'!T3255="Yes",
    1.35,
    1.00)</f>
        <v/>
      </c>
      <c r="P3255">
        <f>IF('Loan Tape (S&amp;P)'!S3255="Yes",
    1.15,
    1.00)</f>
        <v/>
      </c>
      <c r="Q3255">
        <f>IF('Loan Tape (S&amp;P)'!V3255="Yes",
    1.20,
    1.00)</f>
        <v/>
      </c>
      <c r="T3255">
        <f>LET(
    payment_method,'Loan Tape (S&amp;P)'!P3255,
    occupancy,'Loan Tape (S&amp;P)'!N3255,
    maturity_date,'Loan Tape (S&amp;P)'!L3255,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56">
      <c r="J3256">
        <f>LET(
    lien,'Loan Tape (S&amp;P)'!Q3256,
    IF(lien="First",1.00,
        IF(lien="Second",1.50,
            1.70)))</f>
        <v/>
      </c>
      <c r="K3256">
        <f>LET(
    purpose,'Loan Tape (S&amp;P)'!R3256,
    IF(purpose="Purchase",1.00,
        IF(purpose="Remortgage",1.00,
            1.20)))</f>
        <v/>
      </c>
      <c r="L3256">
        <f>LET(
    arrears_months,'Loan Tape (S&amp;P)'!AN3256,
    IF(arrears_months=0,1.00,
    IF(arrears_months=1,3.00,
    IF(arrears_months=2,5.00,
    IF(arrears_months=3,8.00,
    IF(arrears_months=4,10.00,
    IF(arrears_months=5,12.00,15.00)))))))</f>
        <v/>
      </c>
      <c r="M3256">
        <f>LET(
    seasoning_years,DATEDIF('Loan Tape (S&amp;P)'!K3256,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56">
        <f>IF(AND('Loan Tape (S&amp;P)'!U3256="Yes",
        'Loan Tape (S&amp;P)'!T3256&lt;&gt;"Yes",
        DATEDIF('Loan Tape (S&amp;P)'!K3256, TODAY(), "M")&lt;18),
    1.10,
    1.00)</f>
        <v/>
      </c>
      <c r="O3256">
        <f>IF('Loan Tape (S&amp;P)'!T3256="Yes",
    1.35,
    1.00)</f>
        <v/>
      </c>
      <c r="P3256">
        <f>IF('Loan Tape (S&amp;P)'!S3256="Yes",
    1.15,
    1.00)</f>
        <v/>
      </c>
      <c r="Q3256">
        <f>IF('Loan Tape (S&amp;P)'!V3256="Yes",
    1.20,
    1.00)</f>
        <v/>
      </c>
      <c r="T3256">
        <f>LET(
    payment_method,'Loan Tape (S&amp;P)'!P3256,
    occupancy,'Loan Tape (S&amp;P)'!N3256,
    maturity_date,'Loan Tape (S&amp;P)'!L3256,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57">
      <c r="J3257">
        <f>LET(
    lien,'Loan Tape (S&amp;P)'!Q3257,
    IF(lien="First",1.00,
        IF(lien="Second",1.50,
            1.70)))</f>
        <v/>
      </c>
      <c r="K3257">
        <f>LET(
    purpose,'Loan Tape (S&amp;P)'!R3257,
    IF(purpose="Purchase",1.00,
        IF(purpose="Remortgage",1.00,
            1.20)))</f>
        <v/>
      </c>
      <c r="L3257">
        <f>LET(
    arrears_months,'Loan Tape (S&amp;P)'!AN3257,
    IF(arrears_months=0,1.00,
    IF(arrears_months=1,3.00,
    IF(arrears_months=2,5.00,
    IF(arrears_months=3,8.00,
    IF(arrears_months=4,10.00,
    IF(arrears_months=5,12.00,15.00)))))))</f>
        <v/>
      </c>
      <c r="M3257">
        <f>LET(
    seasoning_years,DATEDIF('Loan Tape (S&amp;P)'!K3257,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57">
        <f>IF(AND('Loan Tape (S&amp;P)'!U3257="Yes",
        'Loan Tape (S&amp;P)'!T3257&lt;&gt;"Yes",
        DATEDIF('Loan Tape (S&amp;P)'!K3257, TODAY(), "M")&lt;18),
    1.10,
    1.00)</f>
        <v/>
      </c>
      <c r="O3257">
        <f>IF('Loan Tape (S&amp;P)'!T3257="Yes",
    1.35,
    1.00)</f>
        <v/>
      </c>
      <c r="P3257">
        <f>IF('Loan Tape (S&amp;P)'!S3257="Yes",
    1.15,
    1.00)</f>
        <v/>
      </c>
      <c r="Q3257">
        <f>IF('Loan Tape (S&amp;P)'!V3257="Yes",
    1.20,
    1.00)</f>
        <v/>
      </c>
      <c r="T3257">
        <f>LET(
    payment_method,'Loan Tape (S&amp;P)'!P3257,
    occupancy,'Loan Tape (S&amp;P)'!N3257,
    maturity_date,'Loan Tape (S&amp;P)'!L3257,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58">
      <c r="J3258">
        <f>LET(
    lien,'Loan Tape (S&amp;P)'!Q3258,
    IF(lien="First",1.00,
        IF(lien="Second",1.50,
            1.70)))</f>
        <v/>
      </c>
      <c r="K3258">
        <f>LET(
    purpose,'Loan Tape (S&amp;P)'!R3258,
    IF(purpose="Purchase",1.00,
        IF(purpose="Remortgage",1.00,
            1.20)))</f>
        <v/>
      </c>
      <c r="L3258">
        <f>LET(
    arrears_months,'Loan Tape (S&amp;P)'!AN3258,
    IF(arrears_months=0,1.00,
    IF(arrears_months=1,3.00,
    IF(arrears_months=2,5.00,
    IF(arrears_months=3,8.00,
    IF(arrears_months=4,10.00,
    IF(arrears_months=5,12.00,15.00)))))))</f>
        <v/>
      </c>
      <c r="M3258">
        <f>LET(
    seasoning_years,DATEDIF('Loan Tape (S&amp;P)'!K3258,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58">
        <f>IF(AND('Loan Tape (S&amp;P)'!U3258="Yes",
        'Loan Tape (S&amp;P)'!T3258&lt;&gt;"Yes",
        DATEDIF('Loan Tape (S&amp;P)'!K3258, TODAY(), "M")&lt;18),
    1.10,
    1.00)</f>
        <v/>
      </c>
      <c r="O3258">
        <f>IF('Loan Tape (S&amp;P)'!T3258="Yes",
    1.35,
    1.00)</f>
        <v/>
      </c>
      <c r="P3258">
        <f>IF('Loan Tape (S&amp;P)'!S3258="Yes",
    1.15,
    1.00)</f>
        <v/>
      </c>
      <c r="Q3258">
        <f>IF('Loan Tape (S&amp;P)'!V3258="Yes",
    1.20,
    1.00)</f>
        <v/>
      </c>
      <c r="T3258">
        <f>LET(
    payment_method,'Loan Tape (S&amp;P)'!P3258,
    occupancy,'Loan Tape (S&amp;P)'!N3258,
    maturity_date,'Loan Tape (S&amp;P)'!L3258,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59">
      <c r="J3259">
        <f>LET(
    lien,'Loan Tape (S&amp;P)'!Q3259,
    IF(lien="First",1.00,
        IF(lien="Second",1.50,
            1.70)))</f>
        <v/>
      </c>
      <c r="K3259">
        <f>LET(
    purpose,'Loan Tape (S&amp;P)'!R3259,
    IF(purpose="Purchase",1.00,
        IF(purpose="Remortgage",1.00,
            1.20)))</f>
        <v/>
      </c>
      <c r="L3259">
        <f>LET(
    arrears_months,'Loan Tape (S&amp;P)'!AN3259,
    IF(arrears_months=0,1.00,
    IF(arrears_months=1,3.00,
    IF(arrears_months=2,5.00,
    IF(arrears_months=3,8.00,
    IF(arrears_months=4,10.00,
    IF(arrears_months=5,12.00,15.00)))))))</f>
        <v/>
      </c>
      <c r="M3259">
        <f>LET(
    seasoning_years,DATEDIF('Loan Tape (S&amp;P)'!K3259,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59">
        <f>IF(AND('Loan Tape (S&amp;P)'!U3259="Yes",
        'Loan Tape (S&amp;P)'!T3259&lt;&gt;"Yes",
        DATEDIF('Loan Tape (S&amp;P)'!K3259, TODAY(), "M")&lt;18),
    1.10,
    1.00)</f>
        <v/>
      </c>
      <c r="O3259">
        <f>IF('Loan Tape (S&amp;P)'!T3259="Yes",
    1.35,
    1.00)</f>
        <v/>
      </c>
      <c r="P3259">
        <f>IF('Loan Tape (S&amp;P)'!S3259="Yes",
    1.15,
    1.00)</f>
        <v/>
      </c>
      <c r="Q3259">
        <f>IF('Loan Tape (S&amp;P)'!V3259="Yes",
    1.20,
    1.00)</f>
        <v/>
      </c>
      <c r="T3259">
        <f>LET(
    payment_method,'Loan Tape (S&amp;P)'!P3259,
    occupancy,'Loan Tape (S&amp;P)'!N3259,
    maturity_date,'Loan Tape (S&amp;P)'!L3259,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60">
      <c r="J3260">
        <f>LET(
    lien,'Loan Tape (S&amp;P)'!Q3260,
    IF(lien="First",1.00,
        IF(lien="Second",1.50,
            1.70)))</f>
        <v/>
      </c>
      <c r="K3260">
        <f>LET(
    purpose,'Loan Tape (S&amp;P)'!R3260,
    IF(purpose="Purchase",1.00,
        IF(purpose="Remortgage",1.00,
            1.20)))</f>
        <v/>
      </c>
      <c r="L3260">
        <f>LET(
    arrears_months,'Loan Tape (S&amp;P)'!AN3260,
    IF(arrears_months=0,1.00,
    IF(arrears_months=1,3.00,
    IF(arrears_months=2,5.00,
    IF(arrears_months=3,8.00,
    IF(arrears_months=4,10.00,
    IF(arrears_months=5,12.00,15.00)))))))</f>
        <v/>
      </c>
      <c r="M3260">
        <f>LET(
    seasoning_years,DATEDIF('Loan Tape (S&amp;P)'!K3260,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60">
        <f>IF(AND('Loan Tape (S&amp;P)'!U3260="Yes",
        'Loan Tape (S&amp;P)'!T3260&lt;&gt;"Yes",
        DATEDIF('Loan Tape (S&amp;P)'!K3260, TODAY(), "M")&lt;18),
    1.10,
    1.00)</f>
        <v/>
      </c>
      <c r="O3260">
        <f>IF('Loan Tape (S&amp;P)'!T3260="Yes",
    1.35,
    1.00)</f>
        <v/>
      </c>
      <c r="P3260">
        <f>IF('Loan Tape (S&amp;P)'!S3260="Yes",
    1.15,
    1.00)</f>
        <v/>
      </c>
      <c r="Q3260">
        <f>IF('Loan Tape (S&amp;P)'!V3260="Yes",
    1.20,
    1.00)</f>
        <v/>
      </c>
      <c r="T3260">
        <f>LET(
    payment_method,'Loan Tape (S&amp;P)'!P3260,
    occupancy,'Loan Tape (S&amp;P)'!N3260,
    maturity_date,'Loan Tape (S&amp;P)'!L3260,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61">
      <c r="J3261">
        <f>LET(
    lien,'Loan Tape (S&amp;P)'!Q3261,
    IF(lien="First",1.00,
        IF(lien="Second",1.50,
            1.70)))</f>
        <v/>
      </c>
      <c r="K3261">
        <f>LET(
    purpose,'Loan Tape (S&amp;P)'!R3261,
    IF(purpose="Purchase",1.00,
        IF(purpose="Remortgage",1.00,
            1.20)))</f>
        <v/>
      </c>
      <c r="L3261">
        <f>LET(
    arrears_months,'Loan Tape (S&amp;P)'!AN3261,
    IF(arrears_months=0,1.00,
    IF(arrears_months=1,3.00,
    IF(arrears_months=2,5.00,
    IF(arrears_months=3,8.00,
    IF(arrears_months=4,10.00,
    IF(arrears_months=5,12.00,15.00)))))))</f>
        <v/>
      </c>
      <c r="M3261">
        <f>LET(
    seasoning_years,DATEDIF('Loan Tape (S&amp;P)'!K3261,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61">
        <f>IF(AND('Loan Tape (S&amp;P)'!U3261="Yes",
        'Loan Tape (S&amp;P)'!T3261&lt;&gt;"Yes",
        DATEDIF('Loan Tape (S&amp;P)'!K3261, TODAY(), "M")&lt;18),
    1.10,
    1.00)</f>
        <v/>
      </c>
      <c r="O3261">
        <f>IF('Loan Tape (S&amp;P)'!T3261="Yes",
    1.35,
    1.00)</f>
        <v/>
      </c>
      <c r="P3261">
        <f>IF('Loan Tape (S&amp;P)'!S3261="Yes",
    1.15,
    1.00)</f>
        <v/>
      </c>
      <c r="Q3261">
        <f>IF('Loan Tape (S&amp;P)'!V3261="Yes",
    1.20,
    1.00)</f>
        <v/>
      </c>
      <c r="T3261">
        <f>LET(
    payment_method,'Loan Tape (S&amp;P)'!P3261,
    occupancy,'Loan Tape (S&amp;P)'!N3261,
    maturity_date,'Loan Tape (S&amp;P)'!L3261,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62">
      <c r="J3262">
        <f>LET(
    lien,'Loan Tape (S&amp;P)'!Q3262,
    IF(lien="First",1.00,
        IF(lien="Second",1.50,
            1.70)))</f>
        <v/>
      </c>
      <c r="K3262">
        <f>LET(
    purpose,'Loan Tape (S&amp;P)'!R3262,
    IF(purpose="Purchase",1.00,
        IF(purpose="Remortgage",1.00,
            1.20)))</f>
        <v/>
      </c>
      <c r="L3262">
        <f>LET(
    arrears_months,'Loan Tape (S&amp;P)'!AN3262,
    IF(arrears_months=0,1.00,
    IF(arrears_months=1,3.00,
    IF(arrears_months=2,5.00,
    IF(arrears_months=3,8.00,
    IF(arrears_months=4,10.00,
    IF(arrears_months=5,12.00,15.00)))))))</f>
        <v/>
      </c>
      <c r="M3262">
        <f>LET(
    seasoning_years,DATEDIF('Loan Tape (S&amp;P)'!K3262,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62">
        <f>IF(AND('Loan Tape (S&amp;P)'!U3262="Yes",
        'Loan Tape (S&amp;P)'!T3262&lt;&gt;"Yes",
        DATEDIF('Loan Tape (S&amp;P)'!K3262, TODAY(), "M")&lt;18),
    1.10,
    1.00)</f>
        <v/>
      </c>
      <c r="O3262">
        <f>IF('Loan Tape (S&amp;P)'!T3262="Yes",
    1.35,
    1.00)</f>
        <v/>
      </c>
      <c r="P3262">
        <f>IF('Loan Tape (S&amp;P)'!S3262="Yes",
    1.15,
    1.00)</f>
        <v/>
      </c>
      <c r="Q3262">
        <f>IF('Loan Tape (S&amp;P)'!V3262="Yes",
    1.20,
    1.00)</f>
        <v/>
      </c>
      <c r="T3262">
        <f>LET(
    payment_method,'Loan Tape (S&amp;P)'!P3262,
    occupancy,'Loan Tape (S&amp;P)'!N3262,
    maturity_date,'Loan Tape (S&amp;P)'!L3262,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63">
      <c r="J3263">
        <f>LET(
    lien,'Loan Tape (S&amp;P)'!Q3263,
    IF(lien="First",1.00,
        IF(lien="Second",1.50,
            1.70)))</f>
        <v/>
      </c>
      <c r="K3263">
        <f>LET(
    purpose,'Loan Tape (S&amp;P)'!R3263,
    IF(purpose="Purchase",1.00,
        IF(purpose="Remortgage",1.00,
            1.20)))</f>
        <v/>
      </c>
      <c r="L3263">
        <f>LET(
    arrears_months,'Loan Tape (S&amp;P)'!AN3263,
    IF(arrears_months=0,1.00,
    IF(arrears_months=1,3.00,
    IF(arrears_months=2,5.00,
    IF(arrears_months=3,8.00,
    IF(arrears_months=4,10.00,
    IF(arrears_months=5,12.00,15.00)))))))</f>
        <v/>
      </c>
      <c r="M3263">
        <f>LET(
    seasoning_years,DATEDIF('Loan Tape (S&amp;P)'!K3263,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63">
        <f>IF(AND('Loan Tape (S&amp;P)'!U3263="Yes",
        'Loan Tape (S&amp;P)'!T3263&lt;&gt;"Yes",
        DATEDIF('Loan Tape (S&amp;P)'!K3263, TODAY(), "M")&lt;18),
    1.10,
    1.00)</f>
        <v/>
      </c>
      <c r="O3263">
        <f>IF('Loan Tape (S&amp;P)'!T3263="Yes",
    1.35,
    1.00)</f>
        <v/>
      </c>
      <c r="P3263">
        <f>IF('Loan Tape (S&amp;P)'!S3263="Yes",
    1.15,
    1.00)</f>
        <v/>
      </c>
      <c r="Q3263">
        <f>IF('Loan Tape (S&amp;P)'!V3263="Yes",
    1.20,
    1.00)</f>
        <v/>
      </c>
      <c r="T3263">
        <f>LET(
    payment_method,'Loan Tape (S&amp;P)'!P3263,
    occupancy,'Loan Tape (S&amp;P)'!N3263,
    maturity_date,'Loan Tape (S&amp;P)'!L3263,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64">
      <c r="J3264">
        <f>LET(
    lien,'Loan Tape (S&amp;P)'!Q3264,
    IF(lien="First",1.00,
        IF(lien="Second",1.50,
            1.70)))</f>
        <v/>
      </c>
      <c r="K3264">
        <f>LET(
    purpose,'Loan Tape (S&amp;P)'!R3264,
    IF(purpose="Purchase",1.00,
        IF(purpose="Remortgage",1.00,
            1.20)))</f>
        <v/>
      </c>
      <c r="L3264">
        <f>LET(
    arrears_months,'Loan Tape (S&amp;P)'!AN3264,
    IF(arrears_months=0,1.00,
    IF(arrears_months=1,3.00,
    IF(arrears_months=2,5.00,
    IF(arrears_months=3,8.00,
    IF(arrears_months=4,10.00,
    IF(arrears_months=5,12.00,15.00)))))))</f>
        <v/>
      </c>
      <c r="M3264">
        <f>LET(
    seasoning_years,DATEDIF('Loan Tape (S&amp;P)'!K3264,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64">
        <f>IF(AND('Loan Tape (S&amp;P)'!U3264="Yes",
        'Loan Tape (S&amp;P)'!T3264&lt;&gt;"Yes",
        DATEDIF('Loan Tape (S&amp;P)'!K3264, TODAY(), "M")&lt;18),
    1.10,
    1.00)</f>
        <v/>
      </c>
      <c r="O3264">
        <f>IF('Loan Tape (S&amp;P)'!T3264="Yes",
    1.35,
    1.00)</f>
        <v/>
      </c>
      <c r="P3264">
        <f>IF('Loan Tape (S&amp;P)'!S3264="Yes",
    1.15,
    1.00)</f>
        <v/>
      </c>
      <c r="Q3264">
        <f>IF('Loan Tape (S&amp;P)'!V3264="Yes",
    1.20,
    1.00)</f>
        <v/>
      </c>
      <c r="T3264">
        <f>LET(
    payment_method,'Loan Tape (S&amp;P)'!P3264,
    occupancy,'Loan Tape (S&amp;P)'!N3264,
    maturity_date,'Loan Tape (S&amp;P)'!L3264,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65">
      <c r="J3265">
        <f>LET(
    lien,'Loan Tape (S&amp;P)'!Q3265,
    IF(lien="First",1.00,
        IF(lien="Second",1.50,
            1.70)))</f>
        <v/>
      </c>
      <c r="K3265">
        <f>LET(
    purpose,'Loan Tape (S&amp;P)'!R3265,
    IF(purpose="Purchase",1.00,
        IF(purpose="Remortgage",1.00,
            1.20)))</f>
        <v/>
      </c>
      <c r="L3265">
        <f>LET(
    arrears_months,'Loan Tape (S&amp;P)'!AN3265,
    IF(arrears_months=0,1.00,
    IF(arrears_months=1,3.00,
    IF(arrears_months=2,5.00,
    IF(arrears_months=3,8.00,
    IF(arrears_months=4,10.00,
    IF(arrears_months=5,12.00,15.00)))))))</f>
        <v/>
      </c>
      <c r="M3265">
        <f>LET(
    seasoning_years,DATEDIF('Loan Tape (S&amp;P)'!K3265,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65">
        <f>IF(AND('Loan Tape (S&amp;P)'!U3265="Yes",
        'Loan Tape (S&amp;P)'!T3265&lt;&gt;"Yes",
        DATEDIF('Loan Tape (S&amp;P)'!K3265, TODAY(), "M")&lt;18),
    1.10,
    1.00)</f>
        <v/>
      </c>
      <c r="O3265">
        <f>IF('Loan Tape (S&amp;P)'!T3265="Yes",
    1.35,
    1.00)</f>
        <v/>
      </c>
      <c r="P3265">
        <f>IF('Loan Tape (S&amp;P)'!S3265="Yes",
    1.15,
    1.00)</f>
        <v/>
      </c>
      <c r="Q3265">
        <f>IF('Loan Tape (S&amp;P)'!V3265="Yes",
    1.20,
    1.00)</f>
        <v/>
      </c>
      <c r="T3265">
        <f>LET(
    payment_method,'Loan Tape (S&amp;P)'!P3265,
    occupancy,'Loan Tape (S&amp;P)'!N3265,
    maturity_date,'Loan Tape (S&amp;P)'!L3265,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66">
      <c r="J3266">
        <f>LET(
    lien,'Loan Tape (S&amp;P)'!Q3266,
    IF(lien="First",1.00,
        IF(lien="Second",1.50,
            1.70)))</f>
        <v/>
      </c>
      <c r="K3266">
        <f>LET(
    purpose,'Loan Tape (S&amp;P)'!R3266,
    IF(purpose="Purchase",1.00,
        IF(purpose="Remortgage",1.00,
            1.20)))</f>
        <v/>
      </c>
      <c r="L3266">
        <f>LET(
    arrears_months,'Loan Tape (S&amp;P)'!AN3266,
    IF(arrears_months=0,1.00,
    IF(arrears_months=1,3.00,
    IF(arrears_months=2,5.00,
    IF(arrears_months=3,8.00,
    IF(arrears_months=4,10.00,
    IF(arrears_months=5,12.00,15.00)))))))</f>
        <v/>
      </c>
      <c r="M3266">
        <f>LET(
    seasoning_years,DATEDIF('Loan Tape (S&amp;P)'!K3266,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66">
        <f>IF(AND('Loan Tape (S&amp;P)'!U3266="Yes",
        'Loan Tape (S&amp;P)'!T3266&lt;&gt;"Yes",
        DATEDIF('Loan Tape (S&amp;P)'!K3266, TODAY(), "M")&lt;18),
    1.10,
    1.00)</f>
        <v/>
      </c>
      <c r="O3266">
        <f>IF('Loan Tape (S&amp;P)'!T3266="Yes",
    1.35,
    1.00)</f>
        <v/>
      </c>
      <c r="P3266">
        <f>IF('Loan Tape (S&amp;P)'!S3266="Yes",
    1.15,
    1.00)</f>
        <v/>
      </c>
      <c r="Q3266">
        <f>IF('Loan Tape (S&amp;P)'!V3266="Yes",
    1.20,
    1.00)</f>
        <v/>
      </c>
      <c r="T3266">
        <f>LET(
    payment_method,'Loan Tape (S&amp;P)'!P3266,
    occupancy,'Loan Tape (S&amp;P)'!N3266,
    maturity_date,'Loan Tape (S&amp;P)'!L3266,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67">
      <c r="J3267">
        <f>LET(
    lien,'Loan Tape (S&amp;P)'!Q3267,
    IF(lien="First",1.00,
        IF(lien="Second",1.50,
            1.70)))</f>
        <v/>
      </c>
      <c r="K3267">
        <f>LET(
    purpose,'Loan Tape (S&amp;P)'!R3267,
    IF(purpose="Purchase",1.00,
        IF(purpose="Remortgage",1.00,
            1.20)))</f>
        <v/>
      </c>
      <c r="L3267">
        <f>LET(
    arrears_months,'Loan Tape (S&amp;P)'!AN3267,
    IF(arrears_months=0,1.00,
    IF(arrears_months=1,3.00,
    IF(arrears_months=2,5.00,
    IF(arrears_months=3,8.00,
    IF(arrears_months=4,10.00,
    IF(arrears_months=5,12.00,15.00)))))))</f>
        <v/>
      </c>
      <c r="M3267">
        <f>LET(
    seasoning_years,DATEDIF('Loan Tape (S&amp;P)'!K3267,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67">
        <f>IF(AND('Loan Tape (S&amp;P)'!U3267="Yes",
        'Loan Tape (S&amp;P)'!T3267&lt;&gt;"Yes",
        DATEDIF('Loan Tape (S&amp;P)'!K3267, TODAY(), "M")&lt;18),
    1.10,
    1.00)</f>
        <v/>
      </c>
      <c r="O3267">
        <f>IF('Loan Tape (S&amp;P)'!T3267="Yes",
    1.35,
    1.00)</f>
        <v/>
      </c>
      <c r="P3267">
        <f>IF('Loan Tape (S&amp;P)'!S3267="Yes",
    1.15,
    1.00)</f>
        <v/>
      </c>
      <c r="Q3267">
        <f>IF('Loan Tape (S&amp;P)'!V3267="Yes",
    1.20,
    1.00)</f>
        <v/>
      </c>
      <c r="T3267">
        <f>LET(
    payment_method,'Loan Tape (S&amp;P)'!P3267,
    occupancy,'Loan Tape (S&amp;P)'!N3267,
    maturity_date,'Loan Tape (S&amp;P)'!L3267,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68">
      <c r="J3268">
        <f>LET(
    lien,'Loan Tape (S&amp;P)'!Q3268,
    IF(lien="First",1.00,
        IF(lien="Second",1.50,
            1.70)))</f>
        <v/>
      </c>
      <c r="K3268">
        <f>LET(
    purpose,'Loan Tape (S&amp;P)'!R3268,
    IF(purpose="Purchase",1.00,
        IF(purpose="Remortgage",1.00,
            1.20)))</f>
        <v/>
      </c>
      <c r="L3268">
        <f>LET(
    arrears_months,'Loan Tape (S&amp;P)'!AN3268,
    IF(arrears_months=0,1.00,
    IF(arrears_months=1,3.00,
    IF(arrears_months=2,5.00,
    IF(arrears_months=3,8.00,
    IF(arrears_months=4,10.00,
    IF(arrears_months=5,12.00,15.00)))))))</f>
        <v/>
      </c>
      <c r="M3268">
        <f>LET(
    seasoning_years,DATEDIF('Loan Tape (S&amp;P)'!K3268,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68">
        <f>IF(AND('Loan Tape (S&amp;P)'!U3268="Yes",
        'Loan Tape (S&amp;P)'!T3268&lt;&gt;"Yes",
        DATEDIF('Loan Tape (S&amp;P)'!K3268, TODAY(), "M")&lt;18),
    1.10,
    1.00)</f>
        <v/>
      </c>
      <c r="O3268">
        <f>IF('Loan Tape (S&amp;P)'!T3268="Yes",
    1.35,
    1.00)</f>
        <v/>
      </c>
      <c r="P3268">
        <f>IF('Loan Tape (S&amp;P)'!S3268="Yes",
    1.15,
    1.00)</f>
        <v/>
      </c>
      <c r="Q3268">
        <f>IF('Loan Tape (S&amp;P)'!V3268="Yes",
    1.20,
    1.00)</f>
        <v/>
      </c>
      <c r="T3268">
        <f>LET(
    payment_method,'Loan Tape (S&amp;P)'!P3268,
    occupancy,'Loan Tape (S&amp;P)'!N3268,
    maturity_date,'Loan Tape (S&amp;P)'!L3268,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69">
      <c r="J3269">
        <f>LET(
    lien,'Loan Tape (S&amp;P)'!Q3269,
    IF(lien="First",1.00,
        IF(lien="Second",1.50,
            1.70)))</f>
        <v/>
      </c>
      <c r="K3269">
        <f>LET(
    purpose,'Loan Tape (S&amp;P)'!R3269,
    IF(purpose="Purchase",1.00,
        IF(purpose="Remortgage",1.00,
            1.20)))</f>
        <v/>
      </c>
      <c r="L3269">
        <f>LET(
    arrears_months,'Loan Tape (S&amp;P)'!AN3269,
    IF(arrears_months=0,1.00,
    IF(arrears_months=1,3.00,
    IF(arrears_months=2,5.00,
    IF(arrears_months=3,8.00,
    IF(arrears_months=4,10.00,
    IF(arrears_months=5,12.00,15.00)))))))</f>
        <v/>
      </c>
      <c r="M3269">
        <f>LET(
    seasoning_years,DATEDIF('Loan Tape (S&amp;P)'!K3269,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69">
        <f>IF(AND('Loan Tape (S&amp;P)'!U3269="Yes",
        'Loan Tape (S&amp;P)'!T3269&lt;&gt;"Yes",
        DATEDIF('Loan Tape (S&amp;P)'!K3269, TODAY(), "M")&lt;18),
    1.10,
    1.00)</f>
        <v/>
      </c>
      <c r="O3269">
        <f>IF('Loan Tape (S&amp;P)'!T3269="Yes",
    1.35,
    1.00)</f>
        <v/>
      </c>
      <c r="P3269">
        <f>IF('Loan Tape (S&amp;P)'!S3269="Yes",
    1.15,
    1.00)</f>
        <v/>
      </c>
      <c r="Q3269">
        <f>IF('Loan Tape (S&amp;P)'!V3269="Yes",
    1.20,
    1.00)</f>
        <v/>
      </c>
      <c r="T3269">
        <f>LET(
    payment_method,'Loan Tape (S&amp;P)'!P3269,
    occupancy,'Loan Tape (S&amp;P)'!N3269,
    maturity_date,'Loan Tape (S&amp;P)'!L3269,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70">
      <c r="J3270">
        <f>LET(
    lien,'Loan Tape (S&amp;P)'!Q3270,
    IF(lien="First",1.00,
        IF(lien="Second",1.50,
            1.70)))</f>
        <v/>
      </c>
      <c r="K3270">
        <f>LET(
    purpose,'Loan Tape (S&amp;P)'!R3270,
    IF(purpose="Purchase",1.00,
        IF(purpose="Remortgage",1.00,
            1.20)))</f>
        <v/>
      </c>
      <c r="L3270">
        <f>LET(
    arrears_months,'Loan Tape (S&amp;P)'!AN3270,
    IF(arrears_months=0,1.00,
    IF(arrears_months=1,3.00,
    IF(arrears_months=2,5.00,
    IF(arrears_months=3,8.00,
    IF(arrears_months=4,10.00,
    IF(arrears_months=5,12.00,15.00)))))))</f>
        <v/>
      </c>
      <c r="M3270">
        <f>LET(
    seasoning_years,DATEDIF('Loan Tape (S&amp;P)'!K3270,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70">
        <f>IF(AND('Loan Tape (S&amp;P)'!U3270="Yes",
        'Loan Tape (S&amp;P)'!T3270&lt;&gt;"Yes",
        DATEDIF('Loan Tape (S&amp;P)'!K3270, TODAY(), "M")&lt;18),
    1.10,
    1.00)</f>
        <v/>
      </c>
      <c r="O3270">
        <f>IF('Loan Tape (S&amp;P)'!T3270="Yes",
    1.35,
    1.00)</f>
        <v/>
      </c>
      <c r="P3270">
        <f>IF('Loan Tape (S&amp;P)'!S3270="Yes",
    1.15,
    1.00)</f>
        <v/>
      </c>
      <c r="Q3270">
        <f>IF('Loan Tape (S&amp;P)'!V3270="Yes",
    1.20,
    1.00)</f>
        <v/>
      </c>
      <c r="T3270">
        <f>LET(
    payment_method,'Loan Tape (S&amp;P)'!P3270,
    occupancy,'Loan Tape (S&amp;P)'!N3270,
    maturity_date,'Loan Tape (S&amp;P)'!L3270,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71">
      <c r="J3271">
        <f>LET(
    lien,'Loan Tape (S&amp;P)'!Q3271,
    IF(lien="First",1.00,
        IF(lien="Second",1.50,
            1.70)))</f>
        <v/>
      </c>
      <c r="K3271">
        <f>LET(
    purpose,'Loan Tape (S&amp;P)'!R3271,
    IF(purpose="Purchase",1.00,
        IF(purpose="Remortgage",1.00,
            1.20)))</f>
        <v/>
      </c>
      <c r="L3271">
        <f>LET(
    arrears_months,'Loan Tape (S&amp;P)'!AN3271,
    IF(arrears_months=0,1.00,
    IF(arrears_months=1,3.00,
    IF(arrears_months=2,5.00,
    IF(arrears_months=3,8.00,
    IF(arrears_months=4,10.00,
    IF(arrears_months=5,12.00,15.00)))))))</f>
        <v/>
      </c>
      <c r="M3271">
        <f>LET(
    seasoning_years,DATEDIF('Loan Tape (S&amp;P)'!K3271,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71">
        <f>IF(AND('Loan Tape (S&amp;P)'!U3271="Yes",
        'Loan Tape (S&amp;P)'!T3271&lt;&gt;"Yes",
        DATEDIF('Loan Tape (S&amp;P)'!K3271, TODAY(), "M")&lt;18),
    1.10,
    1.00)</f>
        <v/>
      </c>
      <c r="O3271">
        <f>IF('Loan Tape (S&amp;P)'!T3271="Yes",
    1.35,
    1.00)</f>
        <v/>
      </c>
      <c r="P3271">
        <f>IF('Loan Tape (S&amp;P)'!S3271="Yes",
    1.15,
    1.00)</f>
        <v/>
      </c>
      <c r="Q3271">
        <f>IF('Loan Tape (S&amp;P)'!V3271="Yes",
    1.20,
    1.00)</f>
        <v/>
      </c>
      <c r="T3271">
        <f>LET(
    payment_method,'Loan Tape (S&amp;P)'!P3271,
    occupancy,'Loan Tape (S&amp;P)'!N3271,
    maturity_date,'Loan Tape (S&amp;P)'!L3271,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72">
      <c r="J3272">
        <f>LET(
    lien,'Loan Tape (S&amp;P)'!Q3272,
    IF(lien="First",1.00,
        IF(lien="Second",1.50,
            1.70)))</f>
        <v/>
      </c>
      <c r="K3272">
        <f>LET(
    purpose,'Loan Tape (S&amp;P)'!R3272,
    IF(purpose="Purchase",1.00,
        IF(purpose="Remortgage",1.00,
            1.20)))</f>
        <v/>
      </c>
      <c r="L3272">
        <f>LET(
    arrears_months,'Loan Tape (S&amp;P)'!AN3272,
    IF(arrears_months=0,1.00,
    IF(arrears_months=1,3.00,
    IF(arrears_months=2,5.00,
    IF(arrears_months=3,8.00,
    IF(arrears_months=4,10.00,
    IF(arrears_months=5,12.00,15.00)))))))</f>
        <v/>
      </c>
      <c r="M3272">
        <f>LET(
    seasoning_years,DATEDIF('Loan Tape (S&amp;P)'!K3272,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72">
        <f>IF(AND('Loan Tape (S&amp;P)'!U3272="Yes",
        'Loan Tape (S&amp;P)'!T3272&lt;&gt;"Yes",
        DATEDIF('Loan Tape (S&amp;P)'!K3272, TODAY(), "M")&lt;18),
    1.10,
    1.00)</f>
        <v/>
      </c>
      <c r="O3272">
        <f>IF('Loan Tape (S&amp;P)'!T3272="Yes",
    1.35,
    1.00)</f>
        <v/>
      </c>
      <c r="P3272">
        <f>IF('Loan Tape (S&amp;P)'!S3272="Yes",
    1.15,
    1.00)</f>
        <v/>
      </c>
      <c r="Q3272">
        <f>IF('Loan Tape (S&amp;P)'!V3272="Yes",
    1.20,
    1.00)</f>
        <v/>
      </c>
      <c r="T3272">
        <f>LET(
    payment_method,'Loan Tape (S&amp;P)'!P3272,
    occupancy,'Loan Tape (S&amp;P)'!N3272,
    maturity_date,'Loan Tape (S&amp;P)'!L3272,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73">
      <c r="J3273">
        <f>LET(
    lien,'Loan Tape (S&amp;P)'!Q3273,
    IF(lien="First",1.00,
        IF(lien="Second",1.50,
            1.70)))</f>
        <v/>
      </c>
      <c r="K3273">
        <f>LET(
    purpose,'Loan Tape (S&amp;P)'!R3273,
    IF(purpose="Purchase",1.00,
        IF(purpose="Remortgage",1.00,
            1.20)))</f>
        <v/>
      </c>
      <c r="L3273">
        <f>LET(
    arrears_months,'Loan Tape (S&amp;P)'!AN3273,
    IF(arrears_months=0,1.00,
    IF(arrears_months=1,3.00,
    IF(arrears_months=2,5.00,
    IF(arrears_months=3,8.00,
    IF(arrears_months=4,10.00,
    IF(arrears_months=5,12.00,15.00)))))))</f>
        <v/>
      </c>
      <c r="M3273">
        <f>LET(
    seasoning_years,DATEDIF('Loan Tape (S&amp;P)'!K3273,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73">
        <f>IF(AND('Loan Tape (S&amp;P)'!U3273="Yes",
        'Loan Tape (S&amp;P)'!T3273&lt;&gt;"Yes",
        DATEDIF('Loan Tape (S&amp;P)'!K3273, TODAY(), "M")&lt;18),
    1.10,
    1.00)</f>
        <v/>
      </c>
      <c r="O3273">
        <f>IF('Loan Tape (S&amp;P)'!T3273="Yes",
    1.35,
    1.00)</f>
        <v/>
      </c>
      <c r="P3273">
        <f>IF('Loan Tape (S&amp;P)'!S3273="Yes",
    1.15,
    1.00)</f>
        <v/>
      </c>
      <c r="Q3273">
        <f>IF('Loan Tape (S&amp;P)'!V3273="Yes",
    1.20,
    1.00)</f>
        <v/>
      </c>
      <c r="T3273">
        <f>LET(
    payment_method,'Loan Tape (S&amp;P)'!P3273,
    occupancy,'Loan Tape (S&amp;P)'!N3273,
    maturity_date,'Loan Tape (S&amp;P)'!L3273,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74">
      <c r="J3274">
        <f>LET(
    lien,'Loan Tape (S&amp;P)'!Q3274,
    IF(lien="First",1.00,
        IF(lien="Second",1.50,
            1.70)))</f>
        <v/>
      </c>
      <c r="K3274">
        <f>LET(
    purpose,'Loan Tape (S&amp;P)'!R3274,
    IF(purpose="Purchase",1.00,
        IF(purpose="Remortgage",1.00,
            1.20)))</f>
        <v/>
      </c>
      <c r="L3274">
        <f>LET(
    arrears_months,'Loan Tape (S&amp;P)'!AN3274,
    IF(arrears_months=0,1.00,
    IF(arrears_months=1,3.00,
    IF(arrears_months=2,5.00,
    IF(arrears_months=3,8.00,
    IF(arrears_months=4,10.00,
    IF(arrears_months=5,12.00,15.00)))))))</f>
        <v/>
      </c>
      <c r="M3274">
        <f>LET(
    seasoning_years,DATEDIF('Loan Tape (S&amp;P)'!K3274,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74">
        <f>IF(AND('Loan Tape (S&amp;P)'!U3274="Yes",
        'Loan Tape (S&amp;P)'!T3274&lt;&gt;"Yes",
        DATEDIF('Loan Tape (S&amp;P)'!K3274, TODAY(), "M")&lt;18),
    1.10,
    1.00)</f>
        <v/>
      </c>
      <c r="O3274">
        <f>IF('Loan Tape (S&amp;P)'!T3274="Yes",
    1.35,
    1.00)</f>
        <v/>
      </c>
      <c r="P3274">
        <f>IF('Loan Tape (S&amp;P)'!S3274="Yes",
    1.15,
    1.00)</f>
        <v/>
      </c>
      <c r="Q3274">
        <f>IF('Loan Tape (S&amp;P)'!V3274="Yes",
    1.20,
    1.00)</f>
        <v/>
      </c>
      <c r="T3274">
        <f>LET(
    payment_method,'Loan Tape (S&amp;P)'!P3274,
    occupancy,'Loan Tape (S&amp;P)'!N3274,
    maturity_date,'Loan Tape (S&amp;P)'!L3274,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75">
      <c r="J3275">
        <f>LET(
    lien,'Loan Tape (S&amp;P)'!Q3275,
    IF(lien="First",1.00,
        IF(lien="Second",1.50,
            1.70)))</f>
        <v/>
      </c>
      <c r="K3275">
        <f>LET(
    purpose,'Loan Tape (S&amp;P)'!R3275,
    IF(purpose="Purchase",1.00,
        IF(purpose="Remortgage",1.00,
            1.20)))</f>
        <v/>
      </c>
      <c r="L3275">
        <f>LET(
    arrears_months,'Loan Tape (S&amp;P)'!AN3275,
    IF(arrears_months=0,1.00,
    IF(arrears_months=1,3.00,
    IF(arrears_months=2,5.00,
    IF(arrears_months=3,8.00,
    IF(arrears_months=4,10.00,
    IF(arrears_months=5,12.00,15.00)))))))</f>
        <v/>
      </c>
      <c r="M3275">
        <f>LET(
    seasoning_years,DATEDIF('Loan Tape (S&amp;P)'!K3275,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75">
        <f>IF(AND('Loan Tape (S&amp;P)'!U3275="Yes",
        'Loan Tape (S&amp;P)'!T3275&lt;&gt;"Yes",
        DATEDIF('Loan Tape (S&amp;P)'!K3275, TODAY(), "M")&lt;18),
    1.10,
    1.00)</f>
        <v/>
      </c>
      <c r="O3275">
        <f>IF('Loan Tape (S&amp;P)'!T3275="Yes",
    1.35,
    1.00)</f>
        <v/>
      </c>
      <c r="P3275">
        <f>IF('Loan Tape (S&amp;P)'!S3275="Yes",
    1.15,
    1.00)</f>
        <v/>
      </c>
      <c r="Q3275">
        <f>IF('Loan Tape (S&amp;P)'!V3275="Yes",
    1.20,
    1.00)</f>
        <v/>
      </c>
      <c r="T3275">
        <f>LET(
    payment_method,'Loan Tape (S&amp;P)'!P3275,
    occupancy,'Loan Tape (S&amp;P)'!N3275,
    maturity_date,'Loan Tape (S&amp;P)'!L3275,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76">
      <c r="J3276">
        <f>LET(
    lien,'Loan Tape (S&amp;P)'!Q3276,
    IF(lien="First",1.00,
        IF(lien="Second",1.50,
            1.70)))</f>
        <v/>
      </c>
      <c r="K3276">
        <f>LET(
    purpose,'Loan Tape (S&amp;P)'!R3276,
    IF(purpose="Purchase",1.00,
        IF(purpose="Remortgage",1.00,
            1.20)))</f>
        <v/>
      </c>
      <c r="L3276">
        <f>LET(
    arrears_months,'Loan Tape (S&amp;P)'!AN3276,
    IF(arrears_months=0,1.00,
    IF(arrears_months=1,3.00,
    IF(arrears_months=2,5.00,
    IF(arrears_months=3,8.00,
    IF(arrears_months=4,10.00,
    IF(arrears_months=5,12.00,15.00)))))))</f>
        <v/>
      </c>
      <c r="M3276">
        <f>LET(
    seasoning_years,DATEDIF('Loan Tape (S&amp;P)'!K3276,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76">
        <f>IF(AND('Loan Tape (S&amp;P)'!U3276="Yes",
        'Loan Tape (S&amp;P)'!T3276&lt;&gt;"Yes",
        DATEDIF('Loan Tape (S&amp;P)'!K3276, TODAY(), "M")&lt;18),
    1.10,
    1.00)</f>
        <v/>
      </c>
      <c r="O3276">
        <f>IF('Loan Tape (S&amp;P)'!T3276="Yes",
    1.35,
    1.00)</f>
        <v/>
      </c>
      <c r="P3276">
        <f>IF('Loan Tape (S&amp;P)'!S3276="Yes",
    1.15,
    1.00)</f>
        <v/>
      </c>
      <c r="Q3276">
        <f>IF('Loan Tape (S&amp;P)'!V3276="Yes",
    1.20,
    1.00)</f>
        <v/>
      </c>
      <c r="T3276">
        <f>LET(
    payment_method,'Loan Tape (S&amp;P)'!P3276,
    occupancy,'Loan Tape (S&amp;P)'!N3276,
    maturity_date,'Loan Tape (S&amp;P)'!L3276,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77">
      <c r="J3277">
        <f>LET(
    lien,'Loan Tape (S&amp;P)'!Q3277,
    IF(lien="First",1.00,
        IF(lien="Second",1.50,
            1.70)))</f>
        <v/>
      </c>
      <c r="K3277">
        <f>LET(
    purpose,'Loan Tape (S&amp;P)'!R3277,
    IF(purpose="Purchase",1.00,
        IF(purpose="Remortgage",1.00,
            1.20)))</f>
        <v/>
      </c>
      <c r="L3277">
        <f>LET(
    arrears_months,'Loan Tape (S&amp;P)'!AN3277,
    IF(arrears_months=0,1.00,
    IF(arrears_months=1,3.00,
    IF(arrears_months=2,5.00,
    IF(arrears_months=3,8.00,
    IF(arrears_months=4,10.00,
    IF(arrears_months=5,12.00,15.00)))))))</f>
        <v/>
      </c>
      <c r="M3277">
        <f>LET(
    seasoning_years,DATEDIF('Loan Tape (S&amp;P)'!K3277,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77">
        <f>IF(AND('Loan Tape (S&amp;P)'!U3277="Yes",
        'Loan Tape (S&amp;P)'!T3277&lt;&gt;"Yes",
        DATEDIF('Loan Tape (S&amp;P)'!K3277, TODAY(), "M")&lt;18),
    1.10,
    1.00)</f>
        <v/>
      </c>
      <c r="O3277">
        <f>IF('Loan Tape (S&amp;P)'!T3277="Yes",
    1.35,
    1.00)</f>
        <v/>
      </c>
      <c r="P3277">
        <f>IF('Loan Tape (S&amp;P)'!S3277="Yes",
    1.15,
    1.00)</f>
        <v/>
      </c>
      <c r="Q3277">
        <f>IF('Loan Tape (S&amp;P)'!V3277="Yes",
    1.20,
    1.00)</f>
        <v/>
      </c>
      <c r="T3277">
        <f>LET(
    payment_method,'Loan Tape (S&amp;P)'!P3277,
    occupancy,'Loan Tape (S&amp;P)'!N3277,
    maturity_date,'Loan Tape (S&amp;P)'!L3277,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78">
      <c r="J3278">
        <f>LET(
    lien,'Loan Tape (S&amp;P)'!Q3278,
    IF(lien="First",1.00,
        IF(lien="Second",1.50,
            1.70)))</f>
        <v/>
      </c>
      <c r="K3278">
        <f>LET(
    purpose,'Loan Tape (S&amp;P)'!R3278,
    IF(purpose="Purchase",1.00,
        IF(purpose="Remortgage",1.00,
            1.20)))</f>
        <v/>
      </c>
      <c r="L3278">
        <f>LET(
    arrears_months,'Loan Tape (S&amp;P)'!AN3278,
    IF(arrears_months=0,1.00,
    IF(arrears_months=1,3.00,
    IF(arrears_months=2,5.00,
    IF(arrears_months=3,8.00,
    IF(arrears_months=4,10.00,
    IF(arrears_months=5,12.00,15.00)))))))</f>
        <v/>
      </c>
      <c r="M3278">
        <f>LET(
    seasoning_years,DATEDIF('Loan Tape (S&amp;P)'!K3278,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78">
        <f>IF(AND('Loan Tape (S&amp;P)'!U3278="Yes",
        'Loan Tape (S&amp;P)'!T3278&lt;&gt;"Yes",
        DATEDIF('Loan Tape (S&amp;P)'!K3278, TODAY(), "M")&lt;18),
    1.10,
    1.00)</f>
        <v/>
      </c>
      <c r="O3278">
        <f>IF('Loan Tape (S&amp;P)'!T3278="Yes",
    1.35,
    1.00)</f>
        <v/>
      </c>
      <c r="P3278">
        <f>IF('Loan Tape (S&amp;P)'!S3278="Yes",
    1.15,
    1.00)</f>
        <v/>
      </c>
      <c r="Q3278">
        <f>IF('Loan Tape (S&amp;P)'!V3278="Yes",
    1.20,
    1.00)</f>
        <v/>
      </c>
      <c r="T3278">
        <f>LET(
    payment_method,'Loan Tape (S&amp;P)'!P3278,
    occupancy,'Loan Tape (S&amp;P)'!N3278,
    maturity_date,'Loan Tape (S&amp;P)'!L3278,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79">
      <c r="J3279">
        <f>LET(
    lien,'Loan Tape (S&amp;P)'!Q3279,
    IF(lien="First",1.00,
        IF(lien="Second",1.50,
            1.70)))</f>
        <v/>
      </c>
      <c r="K3279">
        <f>LET(
    purpose,'Loan Tape (S&amp;P)'!R3279,
    IF(purpose="Purchase",1.00,
        IF(purpose="Remortgage",1.00,
            1.20)))</f>
        <v/>
      </c>
      <c r="L3279">
        <f>LET(
    arrears_months,'Loan Tape (S&amp;P)'!AN3279,
    IF(arrears_months=0,1.00,
    IF(arrears_months=1,3.00,
    IF(arrears_months=2,5.00,
    IF(arrears_months=3,8.00,
    IF(arrears_months=4,10.00,
    IF(arrears_months=5,12.00,15.00)))))))</f>
        <v/>
      </c>
      <c r="M3279">
        <f>LET(
    seasoning_years,DATEDIF('Loan Tape (S&amp;P)'!K3279,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79">
        <f>IF(AND('Loan Tape (S&amp;P)'!U3279="Yes",
        'Loan Tape (S&amp;P)'!T3279&lt;&gt;"Yes",
        DATEDIF('Loan Tape (S&amp;P)'!K3279, TODAY(), "M")&lt;18),
    1.10,
    1.00)</f>
        <v/>
      </c>
      <c r="O3279">
        <f>IF('Loan Tape (S&amp;P)'!T3279="Yes",
    1.35,
    1.00)</f>
        <v/>
      </c>
      <c r="P3279">
        <f>IF('Loan Tape (S&amp;P)'!S3279="Yes",
    1.15,
    1.00)</f>
        <v/>
      </c>
      <c r="Q3279">
        <f>IF('Loan Tape (S&amp;P)'!V3279="Yes",
    1.20,
    1.00)</f>
        <v/>
      </c>
      <c r="T3279">
        <f>LET(
    payment_method,'Loan Tape (S&amp;P)'!P3279,
    occupancy,'Loan Tape (S&amp;P)'!N3279,
    maturity_date,'Loan Tape (S&amp;P)'!L3279,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80">
      <c r="J3280">
        <f>LET(
    lien,'Loan Tape (S&amp;P)'!Q3280,
    IF(lien="First",1.00,
        IF(lien="Second",1.50,
            1.70)))</f>
        <v/>
      </c>
      <c r="K3280">
        <f>LET(
    purpose,'Loan Tape (S&amp;P)'!R3280,
    IF(purpose="Purchase",1.00,
        IF(purpose="Remortgage",1.00,
            1.20)))</f>
        <v/>
      </c>
      <c r="L3280">
        <f>LET(
    arrears_months,'Loan Tape (S&amp;P)'!AN3280,
    IF(arrears_months=0,1.00,
    IF(arrears_months=1,3.00,
    IF(arrears_months=2,5.00,
    IF(arrears_months=3,8.00,
    IF(arrears_months=4,10.00,
    IF(arrears_months=5,12.00,15.00)))))))</f>
        <v/>
      </c>
      <c r="M3280">
        <f>LET(
    seasoning_years,DATEDIF('Loan Tape (S&amp;P)'!K3280,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80">
        <f>IF(AND('Loan Tape (S&amp;P)'!U3280="Yes",
        'Loan Tape (S&amp;P)'!T3280&lt;&gt;"Yes",
        DATEDIF('Loan Tape (S&amp;P)'!K3280, TODAY(), "M")&lt;18),
    1.10,
    1.00)</f>
        <v/>
      </c>
      <c r="O3280">
        <f>IF('Loan Tape (S&amp;P)'!T3280="Yes",
    1.35,
    1.00)</f>
        <v/>
      </c>
      <c r="P3280">
        <f>IF('Loan Tape (S&amp;P)'!S3280="Yes",
    1.15,
    1.00)</f>
        <v/>
      </c>
      <c r="Q3280">
        <f>IF('Loan Tape (S&amp;P)'!V3280="Yes",
    1.20,
    1.00)</f>
        <v/>
      </c>
      <c r="T3280">
        <f>LET(
    payment_method,'Loan Tape (S&amp;P)'!P3280,
    occupancy,'Loan Tape (S&amp;P)'!N3280,
    maturity_date,'Loan Tape (S&amp;P)'!L3280,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81">
      <c r="J3281">
        <f>LET(
    lien,'Loan Tape (S&amp;P)'!Q3281,
    IF(lien="First",1.00,
        IF(lien="Second",1.50,
            1.70)))</f>
        <v/>
      </c>
      <c r="K3281">
        <f>LET(
    purpose,'Loan Tape (S&amp;P)'!R3281,
    IF(purpose="Purchase",1.00,
        IF(purpose="Remortgage",1.00,
            1.20)))</f>
        <v/>
      </c>
      <c r="L3281">
        <f>LET(
    arrears_months,'Loan Tape (S&amp;P)'!AN3281,
    IF(arrears_months=0,1.00,
    IF(arrears_months=1,3.00,
    IF(arrears_months=2,5.00,
    IF(arrears_months=3,8.00,
    IF(arrears_months=4,10.00,
    IF(arrears_months=5,12.00,15.00)))))))</f>
        <v/>
      </c>
      <c r="M3281">
        <f>LET(
    seasoning_years,DATEDIF('Loan Tape (S&amp;P)'!K3281,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81">
        <f>IF(AND('Loan Tape (S&amp;P)'!U3281="Yes",
        'Loan Tape (S&amp;P)'!T3281&lt;&gt;"Yes",
        DATEDIF('Loan Tape (S&amp;P)'!K3281, TODAY(), "M")&lt;18),
    1.10,
    1.00)</f>
        <v/>
      </c>
      <c r="O3281">
        <f>IF('Loan Tape (S&amp;P)'!T3281="Yes",
    1.35,
    1.00)</f>
        <v/>
      </c>
      <c r="P3281">
        <f>IF('Loan Tape (S&amp;P)'!S3281="Yes",
    1.15,
    1.00)</f>
        <v/>
      </c>
      <c r="Q3281">
        <f>IF('Loan Tape (S&amp;P)'!V3281="Yes",
    1.20,
    1.00)</f>
        <v/>
      </c>
      <c r="T3281">
        <f>LET(
    payment_method,'Loan Tape (S&amp;P)'!P3281,
    occupancy,'Loan Tape (S&amp;P)'!N3281,
    maturity_date,'Loan Tape (S&amp;P)'!L3281,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82">
      <c r="J3282">
        <f>LET(
    lien,'Loan Tape (S&amp;P)'!Q3282,
    IF(lien="First",1.00,
        IF(lien="Second",1.50,
            1.70)))</f>
        <v/>
      </c>
      <c r="K3282">
        <f>LET(
    purpose,'Loan Tape (S&amp;P)'!R3282,
    IF(purpose="Purchase",1.00,
        IF(purpose="Remortgage",1.00,
            1.20)))</f>
        <v/>
      </c>
      <c r="L3282">
        <f>LET(
    arrears_months,'Loan Tape (S&amp;P)'!AN3282,
    IF(arrears_months=0,1.00,
    IF(arrears_months=1,3.00,
    IF(arrears_months=2,5.00,
    IF(arrears_months=3,8.00,
    IF(arrears_months=4,10.00,
    IF(arrears_months=5,12.00,15.00)))))))</f>
        <v/>
      </c>
      <c r="M3282">
        <f>LET(
    seasoning_years,DATEDIF('Loan Tape (S&amp;P)'!K3282,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82">
        <f>IF(AND('Loan Tape (S&amp;P)'!U3282="Yes",
        'Loan Tape (S&amp;P)'!T3282&lt;&gt;"Yes",
        DATEDIF('Loan Tape (S&amp;P)'!K3282, TODAY(), "M")&lt;18),
    1.10,
    1.00)</f>
        <v/>
      </c>
      <c r="O3282">
        <f>IF('Loan Tape (S&amp;P)'!T3282="Yes",
    1.35,
    1.00)</f>
        <v/>
      </c>
      <c r="P3282">
        <f>IF('Loan Tape (S&amp;P)'!S3282="Yes",
    1.15,
    1.00)</f>
        <v/>
      </c>
      <c r="Q3282">
        <f>IF('Loan Tape (S&amp;P)'!V3282="Yes",
    1.20,
    1.00)</f>
        <v/>
      </c>
      <c r="T3282">
        <f>LET(
    payment_method,'Loan Tape (S&amp;P)'!P3282,
    occupancy,'Loan Tape (S&amp;P)'!N3282,
    maturity_date,'Loan Tape (S&amp;P)'!L3282,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83">
      <c r="J3283">
        <f>LET(
    lien,'Loan Tape (S&amp;P)'!Q3283,
    IF(lien="First",1.00,
        IF(lien="Second",1.50,
            1.70)))</f>
        <v/>
      </c>
      <c r="K3283">
        <f>LET(
    purpose,'Loan Tape (S&amp;P)'!R3283,
    IF(purpose="Purchase",1.00,
        IF(purpose="Remortgage",1.00,
            1.20)))</f>
        <v/>
      </c>
      <c r="L3283">
        <f>LET(
    arrears_months,'Loan Tape (S&amp;P)'!AN3283,
    IF(arrears_months=0,1.00,
    IF(arrears_months=1,3.00,
    IF(arrears_months=2,5.00,
    IF(arrears_months=3,8.00,
    IF(arrears_months=4,10.00,
    IF(arrears_months=5,12.00,15.00)))))))</f>
        <v/>
      </c>
      <c r="M3283">
        <f>LET(
    seasoning_years,DATEDIF('Loan Tape (S&amp;P)'!K3283,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83">
        <f>IF(AND('Loan Tape (S&amp;P)'!U3283="Yes",
        'Loan Tape (S&amp;P)'!T3283&lt;&gt;"Yes",
        DATEDIF('Loan Tape (S&amp;P)'!K3283, TODAY(), "M")&lt;18),
    1.10,
    1.00)</f>
        <v/>
      </c>
      <c r="O3283">
        <f>IF('Loan Tape (S&amp;P)'!T3283="Yes",
    1.35,
    1.00)</f>
        <v/>
      </c>
      <c r="P3283">
        <f>IF('Loan Tape (S&amp;P)'!S3283="Yes",
    1.15,
    1.00)</f>
        <v/>
      </c>
      <c r="Q3283">
        <f>IF('Loan Tape (S&amp;P)'!V3283="Yes",
    1.20,
    1.00)</f>
        <v/>
      </c>
      <c r="T3283">
        <f>LET(
    payment_method,'Loan Tape (S&amp;P)'!P3283,
    occupancy,'Loan Tape (S&amp;P)'!N3283,
    maturity_date,'Loan Tape (S&amp;P)'!L3283,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84">
      <c r="J3284">
        <f>LET(
    lien,'Loan Tape (S&amp;P)'!Q3284,
    IF(lien="First",1.00,
        IF(lien="Second",1.50,
            1.70)))</f>
        <v/>
      </c>
      <c r="K3284">
        <f>LET(
    purpose,'Loan Tape (S&amp;P)'!R3284,
    IF(purpose="Purchase",1.00,
        IF(purpose="Remortgage",1.00,
            1.20)))</f>
        <v/>
      </c>
      <c r="L3284">
        <f>LET(
    arrears_months,'Loan Tape (S&amp;P)'!AN3284,
    IF(arrears_months=0,1.00,
    IF(arrears_months=1,3.00,
    IF(arrears_months=2,5.00,
    IF(arrears_months=3,8.00,
    IF(arrears_months=4,10.00,
    IF(arrears_months=5,12.00,15.00)))))))</f>
        <v/>
      </c>
      <c r="M3284">
        <f>LET(
    seasoning_years,DATEDIF('Loan Tape (S&amp;P)'!K3284,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84">
        <f>IF(AND('Loan Tape (S&amp;P)'!U3284="Yes",
        'Loan Tape (S&amp;P)'!T3284&lt;&gt;"Yes",
        DATEDIF('Loan Tape (S&amp;P)'!K3284, TODAY(), "M")&lt;18),
    1.10,
    1.00)</f>
        <v/>
      </c>
      <c r="O3284">
        <f>IF('Loan Tape (S&amp;P)'!T3284="Yes",
    1.35,
    1.00)</f>
        <v/>
      </c>
      <c r="P3284">
        <f>IF('Loan Tape (S&amp;P)'!S3284="Yes",
    1.15,
    1.00)</f>
        <v/>
      </c>
      <c r="Q3284">
        <f>IF('Loan Tape (S&amp;P)'!V3284="Yes",
    1.20,
    1.00)</f>
        <v/>
      </c>
      <c r="T3284">
        <f>LET(
    payment_method,'Loan Tape (S&amp;P)'!P3284,
    occupancy,'Loan Tape (S&amp;P)'!N3284,
    maturity_date,'Loan Tape (S&amp;P)'!L3284,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85">
      <c r="J3285">
        <f>LET(
    lien,'Loan Tape (S&amp;P)'!Q3285,
    IF(lien="First",1.00,
        IF(lien="Second",1.50,
            1.70)))</f>
        <v/>
      </c>
      <c r="K3285">
        <f>LET(
    purpose,'Loan Tape (S&amp;P)'!R3285,
    IF(purpose="Purchase",1.00,
        IF(purpose="Remortgage",1.00,
            1.20)))</f>
        <v/>
      </c>
      <c r="L3285">
        <f>LET(
    arrears_months,'Loan Tape (S&amp;P)'!AN3285,
    IF(arrears_months=0,1.00,
    IF(arrears_months=1,3.00,
    IF(arrears_months=2,5.00,
    IF(arrears_months=3,8.00,
    IF(arrears_months=4,10.00,
    IF(arrears_months=5,12.00,15.00)))))))</f>
        <v/>
      </c>
      <c r="M3285">
        <f>LET(
    seasoning_years,DATEDIF('Loan Tape (S&amp;P)'!K3285,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85">
        <f>IF(AND('Loan Tape (S&amp;P)'!U3285="Yes",
        'Loan Tape (S&amp;P)'!T3285&lt;&gt;"Yes",
        DATEDIF('Loan Tape (S&amp;P)'!K3285, TODAY(), "M")&lt;18),
    1.10,
    1.00)</f>
        <v/>
      </c>
      <c r="O3285">
        <f>IF('Loan Tape (S&amp;P)'!T3285="Yes",
    1.35,
    1.00)</f>
        <v/>
      </c>
      <c r="P3285">
        <f>IF('Loan Tape (S&amp;P)'!S3285="Yes",
    1.15,
    1.00)</f>
        <v/>
      </c>
      <c r="Q3285">
        <f>IF('Loan Tape (S&amp;P)'!V3285="Yes",
    1.20,
    1.00)</f>
        <v/>
      </c>
      <c r="T3285">
        <f>LET(
    payment_method,'Loan Tape (S&amp;P)'!P3285,
    occupancy,'Loan Tape (S&amp;P)'!N3285,
    maturity_date,'Loan Tape (S&amp;P)'!L3285,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86">
      <c r="J3286">
        <f>LET(
    lien,'Loan Tape (S&amp;P)'!Q3286,
    IF(lien="First",1.00,
        IF(lien="Second",1.50,
            1.70)))</f>
        <v/>
      </c>
      <c r="K3286">
        <f>LET(
    purpose,'Loan Tape (S&amp;P)'!R3286,
    IF(purpose="Purchase",1.00,
        IF(purpose="Remortgage",1.00,
            1.20)))</f>
        <v/>
      </c>
      <c r="L3286">
        <f>LET(
    arrears_months,'Loan Tape (S&amp;P)'!AN3286,
    IF(arrears_months=0,1.00,
    IF(arrears_months=1,3.00,
    IF(arrears_months=2,5.00,
    IF(arrears_months=3,8.00,
    IF(arrears_months=4,10.00,
    IF(arrears_months=5,12.00,15.00)))))))</f>
        <v/>
      </c>
      <c r="M3286">
        <f>LET(
    seasoning_years,DATEDIF('Loan Tape (S&amp;P)'!K3286,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86">
        <f>IF(AND('Loan Tape (S&amp;P)'!U3286="Yes",
        'Loan Tape (S&amp;P)'!T3286&lt;&gt;"Yes",
        DATEDIF('Loan Tape (S&amp;P)'!K3286, TODAY(), "M")&lt;18),
    1.10,
    1.00)</f>
        <v/>
      </c>
      <c r="O3286">
        <f>IF('Loan Tape (S&amp;P)'!T3286="Yes",
    1.35,
    1.00)</f>
        <v/>
      </c>
      <c r="P3286">
        <f>IF('Loan Tape (S&amp;P)'!S3286="Yes",
    1.15,
    1.00)</f>
        <v/>
      </c>
      <c r="Q3286">
        <f>IF('Loan Tape (S&amp;P)'!V3286="Yes",
    1.20,
    1.00)</f>
        <v/>
      </c>
      <c r="T3286">
        <f>LET(
    payment_method,'Loan Tape (S&amp;P)'!P3286,
    occupancy,'Loan Tape (S&amp;P)'!N3286,
    maturity_date,'Loan Tape (S&amp;P)'!L3286,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87">
      <c r="J3287">
        <f>LET(
    lien,'Loan Tape (S&amp;P)'!Q3287,
    IF(lien="First",1.00,
        IF(lien="Second",1.50,
            1.70)))</f>
        <v/>
      </c>
      <c r="K3287">
        <f>LET(
    purpose,'Loan Tape (S&amp;P)'!R3287,
    IF(purpose="Purchase",1.00,
        IF(purpose="Remortgage",1.00,
            1.20)))</f>
        <v/>
      </c>
      <c r="L3287">
        <f>LET(
    arrears_months,'Loan Tape (S&amp;P)'!AN3287,
    IF(arrears_months=0,1.00,
    IF(arrears_months=1,3.00,
    IF(arrears_months=2,5.00,
    IF(arrears_months=3,8.00,
    IF(arrears_months=4,10.00,
    IF(arrears_months=5,12.00,15.00)))))))</f>
        <v/>
      </c>
      <c r="M3287">
        <f>LET(
    seasoning_years,DATEDIF('Loan Tape (S&amp;P)'!K3287,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87">
        <f>IF(AND('Loan Tape (S&amp;P)'!U3287="Yes",
        'Loan Tape (S&amp;P)'!T3287&lt;&gt;"Yes",
        DATEDIF('Loan Tape (S&amp;P)'!K3287, TODAY(), "M")&lt;18),
    1.10,
    1.00)</f>
        <v/>
      </c>
      <c r="O3287">
        <f>IF('Loan Tape (S&amp;P)'!T3287="Yes",
    1.35,
    1.00)</f>
        <v/>
      </c>
      <c r="P3287">
        <f>IF('Loan Tape (S&amp;P)'!S3287="Yes",
    1.15,
    1.00)</f>
        <v/>
      </c>
      <c r="Q3287">
        <f>IF('Loan Tape (S&amp;P)'!V3287="Yes",
    1.20,
    1.00)</f>
        <v/>
      </c>
      <c r="T3287">
        <f>LET(
    payment_method,'Loan Tape (S&amp;P)'!P3287,
    occupancy,'Loan Tape (S&amp;P)'!N3287,
    maturity_date,'Loan Tape (S&amp;P)'!L3287,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88">
      <c r="J3288">
        <f>LET(
    lien,'Loan Tape (S&amp;P)'!Q3288,
    IF(lien="First",1.00,
        IF(lien="Second",1.50,
            1.70)))</f>
        <v/>
      </c>
      <c r="K3288">
        <f>LET(
    purpose,'Loan Tape (S&amp;P)'!R3288,
    IF(purpose="Purchase",1.00,
        IF(purpose="Remortgage",1.00,
            1.20)))</f>
        <v/>
      </c>
      <c r="L3288">
        <f>LET(
    arrears_months,'Loan Tape (S&amp;P)'!AN3288,
    IF(arrears_months=0,1.00,
    IF(arrears_months=1,3.00,
    IF(arrears_months=2,5.00,
    IF(arrears_months=3,8.00,
    IF(arrears_months=4,10.00,
    IF(arrears_months=5,12.00,15.00)))))))</f>
        <v/>
      </c>
      <c r="M3288">
        <f>LET(
    seasoning_years,DATEDIF('Loan Tape (S&amp;P)'!K3288,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88">
        <f>IF(AND('Loan Tape (S&amp;P)'!U3288="Yes",
        'Loan Tape (S&amp;P)'!T3288&lt;&gt;"Yes",
        DATEDIF('Loan Tape (S&amp;P)'!K3288, TODAY(), "M")&lt;18),
    1.10,
    1.00)</f>
        <v/>
      </c>
      <c r="O3288">
        <f>IF('Loan Tape (S&amp;P)'!T3288="Yes",
    1.35,
    1.00)</f>
        <v/>
      </c>
      <c r="P3288">
        <f>IF('Loan Tape (S&amp;P)'!S3288="Yes",
    1.15,
    1.00)</f>
        <v/>
      </c>
      <c r="Q3288">
        <f>IF('Loan Tape (S&amp;P)'!V3288="Yes",
    1.20,
    1.00)</f>
        <v/>
      </c>
      <c r="T3288">
        <f>LET(
    payment_method,'Loan Tape (S&amp;P)'!P3288,
    occupancy,'Loan Tape (S&amp;P)'!N3288,
    maturity_date,'Loan Tape (S&amp;P)'!L3288,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89">
      <c r="J3289">
        <f>LET(
    lien,'Loan Tape (S&amp;P)'!Q3289,
    IF(lien="First",1.00,
        IF(lien="Second",1.50,
            1.70)))</f>
        <v/>
      </c>
      <c r="K3289">
        <f>LET(
    purpose,'Loan Tape (S&amp;P)'!R3289,
    IF(purpose="Purchase",1.00,
        IF(purpose="Remortgage",1.00,
            1.20)))</f>
        <v/>
      </c>
      <c r="L3289">
        <f>LET(
    arrears_months,'Loan Tape (S&amp;P)'!AN3289,
    IF(arrears_months=0,1.00,
    IF(arrears_months=1,3.00,
    IF(arrears_months=2,5.00,
    IF(arrears_months=3,8.00,
    IF(arrears_months=4,10.00,
    IF(arrears_months=5,12.00,15.00)))))))</f>
        <v/>
      </c>
      <c r="M3289">
        <f>LET(
    seasoning_years,DATEDIF('Loan Tape (S&amp;P)'!K3289,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89">
        <f>IF(AND('Loan Tape (S&amp;P)'!U3289="Yes",
        'Loan Tape (S&amp;P)'!T3289&lt;&gt;"Yes",
        DATEDIF('Loan Tape (S&amp;P)'!K3289, TODAY(), "M")&lt;18),
    1.10,
    1.00)</f>
        <v/>
      </c>
      <c r="O3289">
        <f>IF('Loan Tape (S&amp;P)'!T3289="Yes",
    1.35,
    1.00)</f>
        <v/>
      </c>
      <c r="P3289">
        <f>IF('Loan Tape (S&amp;P)'!S3289="Yes",
    1.15,
    1.00)</f>
        <v/>
      </c>
      <c r="Q3289">
        <f>IF('Loan Tape (S&amp;P)'!V3289="Yes",
    1.20,
    1.00)</f>
        <v/>
      </c>
      <c r="T3289">
        <f>LET(
    payment_method,'Loan Tape (S&amp;P)'!P3289,
    occupancy,'Loan Tape (S&amp;P)'!N3289,
    maturity_date,'Loan Tape (S&amp;P)'!L3289,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90">
      <c r="J3290">
        <f>LET(
    lien,'Loan Tape (S&amp;P)'!Q3290,
    IF(lien="First",1.00,
        IF(lien="Second",1.50,
            1.70)))</f>
        <v/>
      </c>
      <c r="K3290">
        <f>LET(
    purpose,'Loan Tape (S&amp;P)'!R3290,
    IF(purpose="Purchase",1.00,
        IF(purpose="Remortgage",1.00,
            1.20)))</f>
        <v/>
      </c>
      <c r="L3290">
        <f>LET(
    arrears_months,'Loan Tape (S&amp;P)'!AN3290,
    IF(arrears_months=0,1.00,
    IF(arrears_months=1,3.00,
    IF(arrears_months=2,5.00,
    IF(arrears_months=3,8.00,
    IF(arrears_months=4,10.00,
    IF(arrears_months=5,12.00,15.00)))))))</f>
        <v/>
      </c>
      <c r="M3290">
        <f>LET(
    seasoning_years,DATEDIF('Loan Tape (S&amp;P)'!K3290,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90">
        <f>IF(AND('Loan Tape (S&amp;P)'!U3290="Yes",
        'Loan Tape (S&amp;P)'!T3290&lt;&gt;"Yes",
        DATEDIF('Loan Tape (S&amp;P)'!K3290, TODAY(), "M")&lt;18),
    1.10,
    1.00)</f>
        <v/>
      </c>
      <c r="O3290">
        <f>IF('Loan Tape (S&amp;P)'!T3290="Yes",
    1.35,
    1.00)</f>
        <v/>
      </c>
      <c r="P3290">
        <f>IF('Loan Tape (S&amp;P)'!S3290="Yes",
    1.15,
    1.00)</f>
        <v/>
      </c>
      <c r="Q3290">
        <f>IF('Loan Tape (S&amp;P)'!V3290="Yes",
    1.20,
    1.00)</f>
        <v/>
      </c>
      <c r="T3290">
        <f>LET(
    payment_method,'Loan Tape (S&amp;P)'!P3290,
    occupancy,'Loan Tape (S&amp;P)'!N3290,
    maturity_date,'Loan Tape (S&amp;P)'!L3290,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91">
      <c r="J3291">
        <f>LET(
    lien,'Loan Tape (S&amp;P)'!Q3291,
    IF(lien="First",1.00,
        IF(lien="Second",1.50,
            1.70)))</f>
        <v/>
      </c>
      <c r="K3291">
        <f>LET(
    purpose,'Loan Tape (S&amp;P)'!R3291,
    IF(purpose="Purchase",1.00,
        IF(purpose="Remortgage",1.00,
            1.20)))</f>
        <v/>
      </c>
      <c r="L3291">
        <f>LET(
    arrears_months,'Loan Tape (S&amp;P)'!AN3291,
    IF(arrears_months=0,1.00,
    IF(arrears_months=1,3.00,
    IF(arrears_months=2,5.00,
    IF(arrears_months=3,8.00,
    IF(arrears_months=4,10.00,
    IF(arrears_months=5,12.00,15.00)))))))</f>
        <v/>
      </c>
      <c r="M3291">
        <f>LET(
    seasoning_years,DATEDIF('Loan Tape (S&amp;P)'!K3291,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91">
        <f>IF(AND('Loan Tape (S&amp;P)'!U3291="Yes",
        'Loan Tape (S&amp;P)'!T3291&lt;&gt;"Yes",
        DATEDIF('Loan Tape (S&amp;P)'!K3291, TODAY(), "M")&lt;18),
    1.10,
    1.00)</f>
        <v/>
      </c>
      <c r="O3291">
        <f>IF('Loan Tape (S&amp;P)'!T3291="Yes",
    1.35,
    1.00)</f>
        <v/>
      </c>
      <c r="P3291">
        <f>IF('Loan Tape (S&amp;P)'!S3291="Yes",
    1.15,
    1.00)</f>
        <v/>
      </c>
      <c r="Q3291">
        <f>IF('Loan Tape (S&amp;P)'!V3291="Yes",
    1.20,
    1.00)</f>
        <v/>
      </c>
      <c r="T3291">
        <f>LET(
    payment_method,'Loan Tape (S&amp;P)'!P3291,
    occupancy,'Loan Tape (S&amp;P)'!N3291,
    maturity_date,'Loan Tape (S&amp;P)'!L3291,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92">
      <c r="J3292">
        <f>LET(
    lien,'Loan Tape (S&amp;P)'!Q3292,
    IF(lien="First",1.00,
        IF(lien="Second",1.50,
            1.70)))</f>
        <v/>
      </c>
      <c r="K3292">
        <f>LET(
    purpose,'Loan Tape (S&amp;P)'!R3292,
    IF(purpose="Purchase",1.00,
        IF(purpose="Remortgage",1.00,
            1.20)))</f>
        <v/>
      </c>
      <c r="L3292">
        <f>LET(
    arrears_months,'Loan Tape (S&amp;P)'!AN3292,
    IF(arrears_months=0,1.00,
    IF(arrears_months=1,3.00,
    IF(arrears_months=2,5.00,
    IF(arrears_months=3,8.00,
    IF(arrears_months=4,10.00,
    IF(arrears_months=5,12.00,15.00)))))))</f>
        <v/>
      </c>
      <c r="M3292">
        <f>LET(
    seasoning_years,DATEDIF('Loan Tape (S&amp;P)'!K3292,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92">
        <f>IF(AND('Loan Tape (S&amp;P)'!U3292="Yes",
        'Loan Tape (S&amp;P)'!T3292&lt;&gt;"Yes",
        DATEDIF('Loan Tape (S&amp;P)'!K3292, TODAY(), "M")&lt;18),
    1.10,
    1.00)</f>
        <v/>
      </c>
      <c r="O3292">
        <f>IF('Loan Tape (S&amp;P)'!T3292="Yes",
    1.35,
    1.00)</f>
        <v/>
      </c>
      <c r="P3292">
        <f>IF('Loan Tape (S&amp;P)'!S3292="Yes",
    1.15,
    1.00)</f>
        <v/>
      </c>
      <c r="Q3292">
        <f>IF('Loan Tape (S&amp;P)'!V3292="Yes",
    1.20,
    1.00)</f>
        <v/>
      </c>
      <c r="T3292">
        <f>LET(
    payment_method,'Loan Tape (S&amp;P)'!P3292,
    occupancy,'Loan Tape (S&amp;P)'!N3292,
    maturity_date,'Loan Tape (S&amp;P)'!L3292,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93">
      <c r="J3293">
        <f>LET(
    lien,'Loan Tape (S&amp;P)'!Q3293,
    IF(lien="First",1.00,
        IF(lien="Second",1.50,
            1.70)))</f>
        <v/>
      </c>
      <c r="K3293">
        <f>LET(
    purpose,'Loan Tape (S&amp;P)'!R3293,
    IF(purpose="Purchase",1.00,
        IF(purpose="Remortgage",1.00,
            1.20)))</f>
        <v/>
      </c>
      <c r="L3293">
        <f>LET(
    arrears_months,'Loan Tape (S&amp;P)'!AN3293,
    IF(arrears_months=0,1.00,
    IF(arrears_months=1,3.00,
    IF(arrears_months=2,5.00,
    IF(arrears_months=3,8.00,
    IF(arrears_months=4,10.00,
    IF(arrears_months=5,12.00,15.00)))))))</f>
        <v/>
      </c>
      <c r="M3293">
        <f>LET(
    seasoning_years,DATEDIF('Loan Tape (S&amp;P)'!K3293,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93">
        <f>IF(AND('Loan Tape (S&amp;P)'!U3293="Yes",
        'Loan Tape (S&amp;P)'!T3293&lt;&gt;"Yes",
        DATEDIF('Loan Tape (S&amp;P)'!K3293, TODAY(), "M")&lt;18),
    1.10,
    1.00)</f>
        <v/>
      </c>
      <c r="O3293">
        <f>IF('Loan Tape (S&amp;P)'!T3293="Yes",
    1.35,
    1.00)</f>
        <v/>
      </c>
      <c r="P3293">
        <f>IF('Loan Tape (S&amp;P)'!S3293="Yes",
    1.15,
    1.00)</f>
        <v/>
      </c>
      <c r="Q3293">
        <f>IF('Loan Tape (S&amp;P)'!V3293="Yes",
    1.20,
    1.00)</f>
        <v/>
      </c>
      <c r="T3293">
        <f>LET(
    payment_method,'Loan Tape (S&amp;P)'!P3293,
    occupancy,'Loan Tape (S&amp;P)'!N3293,
    maturity_date,'Loan Tape (S&amp;P)'!L3293,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94">
      <c r="J3294">
        <f>LET(
    lien,'Loan Tape (S&amp;P)'!Q3294,
    IF(lien="First",1.00,
        IF(lien="Second",1.50,
            1.70)))</f>
        <v/>
      </c>
      <c r="K3294">
        <f>LET(
    purpose,'Loan Tape (S&amp;P)'!R3294,
    IF(purpose="Purchase",1.00,
        IF(purpose="Remortgage",1.00,
            1.20)))</f>
        <v/>
      </c>
      <c r="L3294">
        <f>LET(
    arrears_months,'Loan Tape (S&amp;P)'!AN3294,
    IF(arrears_months=0,1.00,
    IF(arrears_months=1,3.00,
    IF(arrears_months=2,5.00,
    IF(arrears_months=3,8.00,
    IF(arrears_months=4,10.00,
    IF(arrears_months=5,12.00,15.00)))))))</f>
        <v/>
      </c>
      <c r="M3294">
        <f>LET(
    seasoning_years,DATEDIF('Loan Tape (S&amp;P)'!K3294,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94">
        <f>IF(AND('Loan Tape (S&amp;P)'!U3294="Yes",
        'Loan Tape (S&amp;P)'!T3294&lt;&gt;"Yes",
        DATEDIF('Loan Tape (S&amp;P)'!K3294, TODAY(), "M")&lt;18),
    1.10,
    1.00)</f>
        <v/>
      </c>
      <c r="O3294">
        <f>IF('Loan Tape (S&amp;P)'!T3294="Yes",
    1.35,
    1.00)</f>
        <v/>
      </c>
      <c r="P3294">
        <f>IF('Loan Tape (S&amp;P)'!S3294="Yes",
    1.15,
    1.00)</f>
        <v/>
      </c>
      <c r="Q3294">
        <f>IF('Loan Tape (S&amp;P)'!V3294="Yes",
    1.20,
    1.00)</f>
        <v/>
      </c>
      <c r="T3294">
        <f>LET(
    payment_method,'Loan Tape (S&amp;P)'!P3294,
    occupancy,'Loan Tape (S&amp;P)'!N3294,
    maturity_date,'Loan Tape (S&amp;P)'!L3294,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95">
      <c r="J3295">
        <f>LET(
    lien,'Loan Tape (S&amp;P)'!Q3295,
    IF(lien="First",1.00,
        IF(lien="Second",1.50,
            1.70)))</f>
        <v/>
      </c>
      <c r="K3295">
        <f>LET(
    purpose,'Loan Tape (S&amp;P)'!R3295,
    IF(purpose="Purchase",1.00,
        IF(purpose="Remortgage",1.00,
            1.20)))</f>
        <v/>
      </c>
      <c r="L3295">
        <f>LET(
    arrears_months,'Loan Tape (S&amp;P)'!AN3295,
    IF(arrears_months=0,1.00,
    IF(arrears_months=1,3.00,
    IF(arrears_months=2,5.00,
    IF(arrears_months=3,8.00,
    IF(arrears_months=4,10.00,
    IF(arrears_months=5,12.00,15.00)))))))</f>
        <v/>
      </c>
      <c r="M3295">
        <f>LET(
    seasoning_years,DATEDIF('Loan Tape (S&amp;P)'!K3295,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95">
        <f>IF(AND('Loan Tape (S&amp;P)'!U3295="Yes",
        'Loan Tape (S&amp;P)'!T3295&lt;&gt;"Yes",
        DATEDIF('Loan Tape (S&amp;P)'!K3295, TODAY(), "M")&lt;18),
    1.10,
    1.00)</f>
        <v/>
      </c>
      <c r="O3295">
        <f>IF('Loan Tape (S&amp;P)'!T3295="Yes",
    1.35,
    1.00)</f>
        <v/>
      </c>
      <c r="P3295">
        <f>IF('Loan Tape (S&amp;P)'!S3295="Yes",
    1.15,
    1.00)</f>
        <v/>
      </c>
      <c r="Q3295">
        <f>IF('Loan Tape (S&amp;P)'!V3295="Yes",
    1.20,
    1.00)</f>
        <v/>
      </c>
      <c r="T3295">
        <f>LET(
    payment_method,'Loan Tape (S&amp;P)'!P3295,
    occupancy,'Loan Tape (S&amp;P)'!N3295,
    maturity_date,'Loan Tape (S&amp;P)'!L3295,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96">
      <c r="J3296">
        <f>LET(
    lien,'Loan Tape (S&amp;P)'!Q3296,
    IF(lien="First",1.00,
        IF(lien="Second",1.50,
            1.70)))</f>
        <v/>
      </c>
      <c r="K3296">
        <f>LET(
    purpose,'Loan Tape (S&amp;P)'!R3296,
    IF(purpose="Purchase",1.00,
        IF(purpose="Remortgage",1.00,
            1.20)))</f>
        <v/>
      </c>
      <c r="L3296">
        <f>LET(
    arrears_months,'Loan Tape (S&amp;P)'!AN3296,
    IF(arrears_months=0,1.00,
    IF(arrears_months=1,3.00,
    IF(arrears_months=2,5.00,
    IF(arrears_months=3,8.00,
    IF(arrears_months=4,10.00,
    IF(arrears_months=5,12.00,15.00)))))))</f>
        <v/>
      </c>
      <c r="M3296">
        <f>LET(
    seasoning_years,DATEDIF('Loan Tape (S&amp;P)'!K3296,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96">
        <f>IF(AND('Loan Tape (S&amp;P)'!U3296="Yes",
        'Loan Tape (S&amp;P)'!T3296&lt;&gt;"Yes",
        DATEDIF('Loan Tape (S&amp;P)'!K3296, TODAY(), "M")&lt;18),
    1.10,
    1.00)</f>
        <v/>
      </c>
      <c r="O3296">
        <f>IF('Loan Tape (S&amp;P)'!T3296="Yes",
    1.35,
    1.00)</f>
        <v/>
      </c>
      <c r="P3296">
        <f>IF('Loan Tape (S&amp;P)'!S3296="Yes",
    1.15,
    1.00)</f>
        <v/>
      </c>
      <c r="Q3296">
        <f>IF('Loan Tape (S&amp;P)'!V3296="Yes",
    1.20,
    1.00)</f>
        <v/>
      </c>
      <c r="T3296">
        <f>LET(
    payment_method,'Loan Tape (S&amp;P)'!P3296,
    occupancy,'Loan Tape (S&amp;P)'!N3296,
    maturity_date,'Loan Tape (S&amp;P)'!L3296,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97">
      <c r="J3297">
        <f>LET(
    lien,'Loan Tape (S&amp;P)'!Q3297,
    IF(lien="First",1.00,
        IF(lien="Second",1.50,
            1.70)))</f>
        <v/>
      </c>
      <c r="K3297">
        <f>LET(
    purpose,'Loan Tape (S&amp;P)'!R3297,
    IF(purpose="Purchase",1.00,
        IF(purpose="Remortgage",1.00,
            1.20)))</f>
        <v/>
      </c>
      <c r="L3297">
        <f>LET(
    arrears_months,'Loan Tape (S&amp;P)'!AN3297,
    IF(arrears_months=0,1.00,
    IF(arrears_months=1,3.00,
    IF(arrears_months=2,5.00,
    IF(arrears_months=3,8.00,
    IF(arrears_months=4,10.00,
    IF(arrears_months=5,12.00,15.00)))))))</f>
        <v/>
      </c>
      <c r="M3297">
        <f>LET(
    seasoning_years,DATEDIF('Loan Tape (S&amp;P)'!K3297,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97">
        <f>IF(AND('Loan Tape (S&amp;P)'!U3297="Yes",
        'Loan Tape (S&amp;P)'!T3297&lt;&gt;"Yes",
        DATEDIF('Loan Tape (S&amp;P)'!K3297, TODAY(), "M")&lt;18),
    1.10,
    1.00)</f>
        <v/>
      </c>
      <c r="O3297">
        <f>IF('Loan Tape (S&amp;P)'!T3297="Yes",
    1.35,
    1.00)</f>
        <v/>
      </c>
      <c r="P3297">
        <f>IF('Loan Tape (S&amp;P)'!S3297="Yes",
    1.15,
    1.00)</f>
        <v/>
      </c>
      <c r="Q3297">
        <f>IF('Loan Tape (S&amp;P)'!V3297="Yes",
    1.20,
    1.00)</f>
        <v/>
      </c>
      <c r="T3297">
        <f>LET(
    payment_method,'Loan Tape (S&amp;P)'!P3297,
    occupancy,'Loan Tape (S&amp;P)'!N3297,
    maturity_date,'Loan Tape (S&amp;P)'!L3297,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98">
      <c r="J3298">
        <f>LET(
    lien,'Loan Tape (S&amp;P)'!Q3298,
    IF(lien="First",1.00,
        IF(lien="Second",1.50,
            1.70)))</f>
        <v/>
      </c>
      <c r="K3298">
        <f>LET(
    purpose,'Loan Tape (S&amp;P)'!R3298,
    IF(purpose="Purchase",1.00,
        IF(purpose="Remortgage",1.00,
            1.20)))</f>
        <v/>
      </c>
      <c r="L3298">
        <f>LET(
    arrears_months,'Loan Tape (S&amp;P)'!AN3298,
    IF(arrears_months=0,1.00,
    IF(arrears_months=1,3.00,
    IF(arrears_months=2,5.00,
    IF(arrears_months=3,8.00,
    IF(arrears_months=4,10.00,
    IF(arrears_months=5,12.00,15.00)))))))</f>
        <v/>
      </c>
      <c r="M3298">
        <f>LET(
    seasoning_years,DATEDIF('Loan Tape (S&amp;P)'!K3298,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98">
        <f>IF(AND('Loan Tape (S&amp;P)'!U3298="Yes",
        'Loan Tape (S&amp;P)'!T3298&lt;&gt;"Yes",
        DATEDIF('Loan Tape (S&amp;P)'!K3298, TODAY(), "M")&lt;18),
    1.10,
    1.00)</f>
        <v/>
      </c>
      <c r="O3298">
        <f>IF('Loan Tape (S&amp;P)'!T3298="Yes",
    1.35,
    1.00)</f>
        <v/>
      </c>
      <c r="P3298">
        <f>IF('Loan Tape (S&amp;P)'!S3298="Yes",
    1.15,
    1.00)</f>
        <v/>
      </c>
      <c r="Q3298">
        <f>IF('Loan Tape (S&amp;P)'!V3298="Yes",
    1.20,
    1.00)</f>
        <v/>
      </c>
      <c r="T3298">
        <f>LET(
    payment_method,'Loan Tape (S&amp;P)'!P3298,
    occupancy,'Loan Tape (S&amp;P)'!N3298,
    maturity_date,'Loan Tape (S&amp;P)'!L3298,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299">
      <c r="J3299">
        <f>LET(
    lien,'Loan Tape (S&amp;P)'!Q3299,
    IF(lien="First",1.00,
        IF(lien="Second",1.50,
            1.70)))</f>
        <v/>
      </c>
      <c r="K3299">
        <f>LET(
    purpose,'Loan Tape (S&amp;P)'!R3299,
    IF(purpose="Purchase",1.00,
        IF(purpose="Remortgage",1.00,
            1.20)))</f>
        <v/>
      </c>
      <c r="L3299">
        <f>LET(
    arrears_months,'Loan Tape (S&amp;P)'!AN3299,
    IF(arrears_months=0,1.00,
    IF(arrears_months=1,3.00,
    IF(arrears_months=2,5.00,
    IF(arrears_months=3,8.00,
    IF(arrears_months=4,10.00,
    IF(arrears_months=5,12.00,15.00)))))))</f>
        <v/>
      </c>
      <c r="M3299">
        <f>LET(
    seasoning_years,DATEDIF('Loan Tape (S&amp;P)'!K3299,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299">
        <f>IF(AND('Loan Tape (S&amp;P)'!U3299="Yes",
        'Loan Tape (S&amp;P)'!T3299&lt;&gt;"Yes",
        DATEDIF('Loan Tape (S&amp;P)'!K3299, TODAY(), "M")&lt;18),
    1.10,
    1.00)</f>
        <v/>
      </c>
      <c r="O3299">
        <f>IF('Loan Tape (S&amp;P)'!T3299="Yes",
    1.35,
    1.00)</f>
        <v/>
      </c>
      <c r="P3299">
        <f>IF('Loan Tape (S&amp;P)'!S3299="Yes",
    1.15,
    1.00)</f>
        <v/>
      </c>
      <c r="Q3299">
        <f>IF('Loan Tape (S&amp;P)'!V3299="Yes",
    1.20,
    1.00)</f>
        <v/>
      </c>
      <c r="T3299">
        <f>LET(
    payment_method,'Loan Tape (S&amp;P)'!P3299,
    occupancy,'Loan Tape (S&amp;P)'!N3299,
    maturity_date,'Loan Tape (S&amp;P)'!L3299,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00">
      <c r="J3300">
        <f>LET(
    lien,'Loan Tape (S&amp;P)'!Q3300,
    IF(lien="First",1.00,
        IF(lien="Second",1.50,
            1.70)))</f>
        <v/>
      </c>
      <c r="K3300">
        <f>LET(
    purpose,'Loan Tape (S&amp;P)'!R3300,
    IF(purpose="Purchase",1.00,
        IF(purpose="Remortgage",1.00,
            1.20)))</f>
        <v/>
      </c>
      <c r="L3300">
        <f>LET(
    arrears_months,'Loan Tape (S&amp;P)'!AN3300,
    IF(arrears_months=0,1.00,
    IF(arrears_months=1,3.00,
    IF(arrears_months=2,5.00,
    IF(arrears_months=3,8.00,
    IF(arrears_months=4,10.00,
    IF(arrears_months=5,12.00,15.00)))))))</f>
        <v/>
      </c>
      <c r="M3300">
        <f>LET(
    seasoning_years,DATEDIF('Loan Tape (S&amp;P)'!K3300,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00">
        <f>IF(AND('Loan Tape (S&amp;P)'!U3300="Yes",
        'Loan Tape (S&amp;P)'!T3300&lt;&gt;"Yes",
        DATEDIF('Loan Tape (S&amp;P)'!K3300, TODAY(), "M")&lt;18),
    1.10,
    1.00)</f>
        <v/>
      </c>
      <c r="O3300">
        <f>IF('Loan Tape (S&amp;P)'!T3300="Yes",
    1.35,
    1.00)</f>
        <v/>
      </c>
      <c r="P3300">
        <f>IF('Loan Tape (S&amp;P)'!S3300="Yes",
    1.15,
    1.00)</f>
        <v/>
      </c>
      <c r="Q3300">
        <f>IF('Loan Tape (S&amp;P)'!V3300="Yes",
    1.20,
    1.00)</f>
        <v/>
      </c>
      <c r="T3300">
        <f>LET(
    payment_method,'Loan Tape (S&amp;P)'!P3300,
    occupancy,'Loan Tape (S&amp;P)'!N3300,
    maturity_date,'Loan Tape (S&amp;P)'!L3300,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01">
      <c r="J3301">
        <f>LET(
    lien,'Loan Tape (S&amp;P)'!Q3301,
    IF(lien="First",1.00,
        IF(lien="Second",1.50,
            1.70)))</f>
        <v/>
      </c>
      <c r="K3301">
        <f>LET(
    purpose,'Loan Tape (S&amp;P)'!R3301,
    IF(purpose="Purchase",1.00,
        IF(purpose="Remortgage",1.00,
            1.20)))</f>
        <v/>
      </c>
      <c r="L3301">
        <f>LET(
    arrears_months,'Loan Tape (S&amp;P)'!AN3301,
    IF(arrears_months=0,1.00,
    IF(arrears_months=1,3.00,
    IF(arrears_months=2,5.00,
    IF(arrears_months=3,8.00,
    IF(arrears_months=4,10.00,
    IF(arrears_months=5,12.00,15.00)))))))</f>
        <v/>
      </c>
      <c r="M3301">
        <f>LET(
    seasoning_years,DATEDIF('Loan Tape (S&amp;P)'!K3301,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01">
        <f>IF(AND('Loan Tape (S&amp;P)'!U3301="Yes",
        'Loan Tape (S&amp;P)'!T3301&lt;&gt;"Yes",
        DATEDIF('Loan Tape (S&amp;P)'!K3301, TODAY(), "M")&lt;18),
    1.10,
    1.00)</f>
        <v/>
      </c>
      <c r="O3301">
        <f>IF('Loan Tape (S&amp;P)'!T3301="Yes",
    1.35,
    1.00)</f>
        <v/>
      </c>
      <c r="P3301">
        <f>IF('Loan Tape (S&amp;P)'!S3301="Yes",
    1.15,
    1.00)</f>
        <v/>
      </c>
      <c r="Q3301">
        <f>IF('Loan Tape (S&amp;P)'!V3301="Yes",
    1.20,
    1.00)</f>
        <v/>
      </c>
      <c r="T3301">
        <f>LET(
    payment_method,'Loan Tape (S&amp;P)'!P3301,
    occupancy,'Loan Tape (S&amp;P)'!N3301,
    maturity_date,'Loan Tape (S&amp;P)'!L3301,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02">
      <c r="J3302">
        <f>LET(
    lien,'Loan Tape (S&amp;P)'!Q3302,
    IF(lien="First",1.00,
        IF(lien="Second",1.50,
            1.70)))</f>
        <v/>
      </c>
      <c r="K3302">
        <f>LET(
    purpose,'Loan Tape (S&amp;P)'!R3302,
    IF(purpose="Purchase",1.00,
        IF(purpose="Remortgage",1.00,
            1.20)))</f>
        <v/>
      </c>
      <c r="L3302">
        <f>LET(
    arrears_months,'Loan Tape (S&amp;P)'!AN3302,
    IF(arrears_months=0,1.00,
    IF(arrears_months=1,3.00,
    IF(arrears_months=2,5.00,
    IF(arrears_months=3,8.00,
    IF(arrears_months=4,10.00,
    IF(arrears_months=5,12.00,15.00)))))))</f>
        <v/>
      </c>
      <c r="M3302">
        <f>LET(
    seasoning_years,DATEDIF('Loan Tape (S&amp;P)'!K3302,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02">
        <f>IF(AND('Loan Tape (S&amp;P)'!U3302="Yes",
        'Loan Tape (S&amp;P)'!T3302&lt;&gt;"Yes",
        DATEDIF('Loan Tape (S&amp;P)'!K3302, TODAY(), "M")&lt;18),
    1.10,
    1.00)</f>
        <v/>
      </c>
      <c r="O3302">
        <f>IF('Loan Tape (S&amp;P)'!T3302="Yes",
    1.35,
    1.00)</f>
        <v/>
      </c>
      <c r="P3302">
        <f>IF('Loan Tape (S&amp;P)'!S3302="Yes",
    1.15,
    1.00)</f>
        <v/>
      </c>
      <c r="Q3302">
        <f>IF('Loan Tape (S&amp;P)'!V3302="Yes",
    1.20,
    1.00)</f>
        <v/>
      </c>
      <c r="T3302">
        <f>LET(
    payment_method,'Loan Tape (S&amp;P)'!P3302,
    occupancy,'Loan Tape (S&amp;P)'!N3302,
    maturity_date,'Loan Tape (S&amp;P)'!L3302,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03">
      <c r="J3303">
        <f>LET(
    lien,'Loan Tape (S&amp;P)'!Q3303,
    IF(lien="First",1.00,
        IF(lien="Second",1.50,
            1.70)))</f>
        <v/>
      </c>
      <c r="K3303">
        <f>LET(
    purpose,'Loan Tape (S&amp;P)'!R3303,
    IF(purpose="Purchase",1.00,
        IF(purpose="Remortgage",1.00,
            1.20)))</f>
        <v/>
      </c>
      <c r="L3303">
        <f>LET(
    arrears_months,'Loan Tape (S&amp;P)'!AN3303,
    IF(arrears_months=0,1.00,
    IF(arrears_months=1,3.00,
    IF(arrears_months=2,5.00,
    IF(arrears_months=3,8.00,
    IF(arrears_months=4,10.00,
    IF(arrears_months=5,12.00,15.00)))))))</f>
        <v/>
      </c>
      <c r="M3303">
        <f>LET(
    seasoning_years,DATEDIF('Loan Tape (S&amp;P)'!K3303,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03">
        <f>IF(AND('Loan Tape (S&amp;P)'!U3303="Yes",
        'Loan Tape (S&amp;P)'!T3303&lt;&gt;"Yes",
        DATEDIF('Loan Tape (S&amp;P)'!K3303, TODAY(), "M")&lt;18),
    1.10,
    1.00)</f>
        <v/>
      </c>
      <c r="O3303">
        <f>IF('Loan Tape (S&amp;P)'!T3303="Yes",
    1.35,
    1.00)</f>
        <v/>
      </c>
      <c r="P3303">
        <f>IF('Loan Tape (S&amp;P)'!S3303="Yes",
    1.15,
    1.00)</f>
        <v/>
      </c>
      <c r="Q3303">
        <f>IF('Loan Tape (S&amp;P)'!V3303="Yes",
    1.20,
    1.00)</f>
        <v/>
      </c>
      <c r="T3303">
        <f>LET(
    payment_method,'Loan Tape (S&amp;P)'!P3303,
    occupancy,'Loan Tape (S&amp;P)'!N3303,
    maturity_date,'Loan Tape (S&amp;P)'!L3303,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04">
      <c r="J3304">
        <f>LET(
    lien,'Loan Tape (S&amp;P)'!Q3304,
    IF(lien="First",1.00,
        IF(lien="Second",1.50,
            1.70)))</f>
        <v/>
      </c>
      <c r="K3304">
        <f>LET(
    purpose,'Loan Tape (S&amp;P)'!R3304,
    IF(purpose="Purchase",1.00,
        IF(purpose="Remortgage",1.00,
            1.20)))</f>
        <v/>
      </c>
      <c r="L3304">
        <f>LET(
    arrears_months,'Loan Tape (S&amp;P)'!AN3304,
    IF(arrears_months=0,1.00,
    IF(arrears_months=1,3.00,
    IF(arrears_months=2,5.00,
    IF(arrears_months=3,8.00,
    IF(arrears_months=4,10.00,
    IF(arrears_months=5,12.00,15.00)))))))</f>
        <v/>
      </c>
      <c r="M3304">
        <f>LET(
    seasoning_years,DATEDIF('Loan Tape (S&amp;P)'!K3304,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04">
        <f>IF(AND('Loan Tape (S&amp;P)'!U3304="Yes",
        'Loan Tape (S&amp;P)'!T3304&lt;&gt;"Yes",
        DATEDIF('Loan Tape (S&amp;P)'!K3304, TODAY(), "M")&lt;18),
    1.10,
    1.00)</f>
        <v/>
      </c>
      <c r="O3304">
        <f>IF('Loan Tape (S&amp;P)'!T3304="Yes",
    1.35,
    1.00)</f>
        <v/>
      </c>
      <c r="P3304">
        <f>IF('Loan Tape (S&amp;P)'!S3304="Yes",
    1.15,
    1.00)</f>
        <v/>
      </c>
      <c r="Q3304">
        <f>IF('Loan Tape (S&amp;P)'!V3304="Yes",
    1.20,
    1.00)</f>
        <v/>
      </c>
      <c r="T3304">
        <f>LET(
    payment_method,'Loan Tape (S&amp;P)'!P3304,
    occupancy,'Loan Tape (S&amp;P)'!N3304,
    maturity_date,'Loan Tape (S&amp;P)'!L3304,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05">
      <c r="J3305">
        <f>LET(
    lien,'Loan Tape (S&amp;P)'!Q3305,
    IF(lien="First",1.00,
        IF(lien="Second",1.50,
            1.70)))</f>
        <v/>
      </c>
      <c r="K3305">
        <f>LET(
    purpose,'Loan Tape (S&amp;P)'!R3305,
    IF(purpose="Purchase",1.00,
        IF(purpose="Remortgage",1.00,
            1.20)))</f>
        <v/>
      </c>
      <c r="L3305">
        <f>LET(
    arrears_months,'Loan Tape (S&amp;P)'!AN3305,
    IF(arrears_months=0,1.00,
    IF(arrears_months=1,3.00,
    IF(arrears_months=2,5.00,
    IF(arrears_months=3,8.00,
    IF(arrears_months=4,10.00,
    IF(arrears_months=5,12.00,15.00)))))))</f>
        <v/>
      </c>
      <c r="M3305">
        <f>LET(
    seasoning_years,DATEDIF('Loan Tape (S&amp;P)'!K3305,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05">
        <f>IF(AND('Loan Tape (S&amp;P)'!U3305="Yes",
        'Loan Tape (S&amp;P)'!T3305&lt;&gt;"Yes",
        DATEDIF('Loan Tape (S&amp;P)'!K3305, TODAY(), "M")&lt;18),
    1.10,
    1.00)</f>
        <v/>
      </c>
      <c r="O3305">
        <f>IF('Loan Tape (S&amp;P)'!T3305="Yes",
    1.35,
    1.00)</f>
        <v/>
      </c>
      <c r="P3305">
        <f>IF('Loan Tape (S&amp;P)'!S3305="Yes",
    1.15,
    1.00)</f>
        <v/>
      </c>
      <c r="Q3305">
        <f>IF('Loan Tape (S&amp;P)'!V3305="Yes",
    1.20,
    1.00)</f>
        <v/>
      </c>
      <c r="T3305">
        <f>LET(
    payment_method,'Loan Tape (S&amp;P)'!P3305,
    occupancy,'Loan Tape (S&amp;P)'!N3305,
    maturity_date,'Loan Tape (S&amp;P)'!L3305,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06">
      <c r="J3306">
        <f>LET(
    lien,'Loan Tape (S&amp;P)'!Q3306,
    IF(lien="First",1.00,
        IF(lien="Second",1.50,
            1.70)))</f>
        <v/>
      </c>
      <c r="K3306">
        <f>LET(
    purpose,'Loan Tape (S&amp;P)'!R3306,
    IF(purpose="Purchase",1.00,
        IF(purpose="Remortgage",1.00,
            1.20)))</f>
        <v/>
      </c>
      <c r="L3306">
        <f>LET(
    arrears_months,'Loan Tape (S&amp;P)'!AN3306,
    IF(arrears_months=0,1.00,
    IF(arrears_months=1,3.00,
    IF(arrears_months=2,5.00,
    IF(arrears_months=3,8.00,
    IF(arrears_months=4,10.00,
    IF(arrears_months=5,12.00,15.00)))))))</f>
        <v/>
      </c>
      <c r="M3306">
        <f>LET(
    seasoning_years,DATEDIF('Loan Tape (S&amp;P)'!K3306,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06">
        <f>IF(AND('Loan Tape (S&amp;P)'!U3306="Yes",
        'Loan Tape (S&amp;P)'!T3306&lt;&gt;"Yes",
        DATEDIF('Loan Tape (S&amp;P)'!K3306, TODAY(), "M")&lt;18),
    1.10,
    1.00)</f>
        <v/>
      </c>
      <c r="O3306">
        <f>IF('Loan Tape (S&amp;P)'!T3306="Yes",
    1.35,
    1.00)</f>
        <v/>
      </c>
      <c r="P3306">
        <f>IF('Loan Tape (S&amp;P)'!S3306="Yes",
    1.15,
    1.00)</f>
        <v/>
      </c>
      <c r="Q3306">
        <f>IF('Loan Tape (S&amp;P)'!V3306="Yes",
    1.20,
    1.00)</f>
        <v/>
      </c>
      <c r="T3306">
        <f>LET(
    payment_method,'Loan Tape (S&amp;P)'!P3306,
    occupancy,'Loan Tape (S&amp;P)'!N3306,
    maturity_date,'Loan Tape (S&amp;P)'!L3306,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07">
      <c r="J3307">
        <f>LET(
    lien,'Loan Tape (S&amp;P)'!Q3307,
    IF(lien="First",1.00,
        IF(lien="Second",1.50,
            1.70)))</f>
        <v/>
      </c>
      <c r="K3307">
        <f>LET(
    purpose,'Loan Tape (S&amp;P)'!R3307,
    IF(purpose="Purchase",1.00,
        IF(purpose="Remortgage",1.00,
            1.20)))</f>
        <v/>
      </c>
      <c r="L3307">
        <f>LET(
    arrears_months,'Loan Tape (S&amp;P)'!AN3307,
    IF(arrears_months=0,1.00,
    IF(arrears_months=1,3.00,
    IF(arrears_months=2,5.00,
    IF(arrears_months=3,8.00,
    IF(arrears_months=4,10.00,
    IF(arrears_months=5,12.00,15.00)))))))</f>
        <v/>
      </c>
      <c r="M3307">
        <f>LET(
    seasoning_years,DATEDIF('Loan Tape (S&amp;P)'!K3307,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07">
        <f>IF(AND('Loan Tape (S&amp;P)'!U3307="Yes",
        'Loan Tape (S&amp;P)'!T3307&lt;&gt;"Yes",
        DATEDIF('Loan Tape (S&amp;P)'!K3307, TODAY(), "M")&lt;18),
    1.10,
    1.00)</f>
        <v/>
      </c>
      <c r="O3307">
        <f>IF('Loan Tape (S&amp;P)'!T3307="Yes",
    1.35,
    1.00)</f>
        <v/>
      </c>
      <c r="P3307">
        <f>IF('Loan Tape (S&amp;P)'!S3307="Yes",
    1.15,
    1.00)</f>
        <v/>
      </c>
      <c r="Q3307">
        <f>IF('Loan Tape (S&amp;P)'!V3307="Yes",
    1.20,
    1.00)</f>
        <v/>
      </c>
      <c r="T3307">
        <f>LET(
    payment_method,'Loan Tape (S&amp;P)'!P3307,
    occupancy,'Loan Tape (S&amp;P)'!N3307,
    maturity_date,'Loan Tape (S&amp;P)'!L3307,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08">
      <c r="J3308">
        <f>LET(
    lien,'Loan Tape (S&amp;P)'!Q3308,
    IF(lien="First",1.00,
        IF(lien="Second",1.50,
            1.70)))</f>
        <v/>
      </c>
      <c r="K3308">
        <f>LET(
    purpose,'Loan Tape (S&amp;P)'!R3308,
    IF(purpose="Purchase",1.00,
        IF(purpose="Remortgage",1.00,
            1.20)))</f>
        <v/>
      </c>
      <c r="L3308">
        <f>LET(
    arrears_months,'Loan Tape (S&amp;P)'!AN3308,
    IF(arrears_months=0,1.00,
    IF(arrears_months=1,3.00,
    IF(arrears_months=2,5.00,
    IF(arrears_months=3,8.00,
    IF(arrears_months=4,10.00,
    IF(arrears_months=5,12.00,15.00)))))))</f>
        <v/>
      </c>
      <c r="M3308">
        <f>LET(
    seasoning_years,DATEDIF('Loan Tape (S&amp;P)'!K3308,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08">
        <f>IF(AND('Loan Tape (S&amp;P)'!U3308="Yes",
        'Loan Tape (S&amp;P)'!T3308&lt;&gt;"Yes",
        DATEDIF('Loan Tape (S&amp;P)'!K3308, TODAY(), "M")&lt;18),
    1.10,
    1.00)</f>
        <v/>
      </c>
      <c r="O3308">
        <f>IF('Loan Tape (S&amp;P)'!T3308="Yes",
    1.35,
    1.00)</f>
        <v/>
      </c>
      <c r="P3308">
        <f>IF('Loan Tape (S&amp;P)'!S3308="Yes",
    1.15,
    1.00)</f>
        <v/>
      </c>
      <c r="Q3308">
        <f>IF('Loan Tape (S&amp;P)'!V3308="Yes",
    1.20,
    1.00)</f>
        <v/>
      </c>
      <c r="T3308">
        <f>LET(
    payment_method,'Loan Tape (S&amp;P)'!P3308,
    occupancy,'Loan Tape (S&amp;P)'!N3308,
    maturity_date,'Loan Tape (S&amp;P)'!L3308,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09">
      <c r="J3309">
        <f>LET(
    lien,'Loan Tape (S&amp;P)'!Q3309,
    IF(lien="First",1.00,
        IF(lien="Second",1.50,
            1.70)))</f>
        <v/>
      </c>
      <c r="K3309">
        <f>LET(
    purpose,'Loan Tape (S&amp;P)'!R3309,
    IF(purpose="Purchase",1.00,
        IF(purpose="Remortgage",1.00,
            1.20)))</f>
        <v/>
      </c>
      <c r="L3309">
        <f>LET(
    arrears_months,'Loan Tape (S&amp;P)'!AN3309,
    IF(arrears_months=0,1.00,
    IF(arrears_months=1,3.00,
    IF(arrears_months=2,5.00,
    IF(arrears_months=3,8.00,
    IF(arrears_months=4,10.00,
    IF(arrears_months=5,12.00,15.00)))))))</f>
        <v/>
      </c>
      <c r="M3309">
        <f>LET(
    seasoning_years,DATEDIF('Loan Tape (S&amp;P)'!K3309,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09">
        <f>IF(AND('Loan Tape (S&amp;P)'!U3309="Yes",
        'Loan Tape (S&amp;P)'!T3309&lt;&gt;"Yes",
        DATEDIF('Loan Tape (S&amp;P)'!K3309, TODAY(), "M")&lt;18),
    1.10,
    1.00)</f>
        <v/>
      </c>
      <c r="O3309">
        <f>IF('Loan Tape (S&amp;P)'!T3309="Yes",
    1.35,
    1.00)</f>
        <v/>
      </c>
      <c r="P3309">
        <f>IF('Loan Tape (S&amp;P)'!S3309="Yes",
    1.15,
    1.00)</f>
        <v/>
      </c>
      <c r="Q3309">
        <f>IF('Loan Tape (S&amp;P)'!V3309="Yes",
    1.20,
    1.00)</f>
        <v/>
      </c>
      <c r="T3309">
        <f>LET(
    payment_method,'Loan Tape (S&amp;P)'!P3309,
    occupancy,'Loan Tape (S&amp;P)'!N3309,
    maturity_date,'Loan Tape (S&amp;P)'!L3309,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10">
      <c r="J3310">
        <f>LET(
    lien,'Loan Tape (S&amp;P)'!Q3310,
    IF(lien="First",1.00,
        IF(lien="Second",1.50,
            1.70)))</f>
        <v/>
      </c>
      <c r="K3310">
        <f>LET(
    purpose,'Loan Tape (S&amp;P)'!R3310,
    IF(purpose="Purchase",1.00,
        IF(purpose="Remortgage",1.00,
            1.20)))</f>
        <v/>
      </c>
      <c r="L3310">
        <f>LET(
    arrears_months,'Loan Tape (S&amp;P)'!AN3310,
    IF(arrears_months=0,1.00,
    IF(arrears_months=1,3.00,
    IF(arrears_months=2,5.00,
    IF(arrears_months=3,8.00,
    IF(arrears_months=4,10.00,
    IF(arrears_months=5,12.00,15.00)))))))</f>
        <v/>
      </c>
      <c r="M3310">
        <f>LET(
    seasoning_years,DATEDIF('Loan Tape (S&amp;P)'!K3310,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10">
        <f>IF(AND('Loan Tape (S&amp;P)'!U3310="Yes",
        'Loan Tape (S&amp;P)'!T3310&lt;&gt;"Yes",
        DATEDIF('Loan Tape (S&amp;P)'!K3310, TODAY(), "M")&lt;18),
    1.10,
    1.00)</f>
        <v/>
      </c>
      <c r="O3310">
        <f>IF('Loan Tape (S&amp;P)'!T3310="Yes",
    1.35,
    1.00)</f>
        <v/>
      </c>
      <c r="P3310">
        <f>IF('Loan Tape (S&amp;P)'!S3310="Yes",
    1.15,
    1.00)</f>
        <v/>
      </c>
      <c r="Q3310">
        <f>IF('Loan Tape (S&amp;P)'!V3310="Yes",
    1.20,
    1.00)</f>
        <v/>
      </c>
      <c r="T3310">
        <f>LET(
    payment_method,'Loan Tape (S&amp;P)'!P3310,
    occupancy,'Loan Tape (S&amp;P)'!N3310,
    maturity_date,'Loan Tape (S&amp;P)'!L3310,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11">
      <c r="J3311">
        <f>LET(
    lien,'Loan Tape (S&amp;P)'!Q3311,
    IF(lien="First",1.00,
        IF(lien="Second",1.50,
            1.70)))</f>
        <v/>
      </c>
      <c r="K3311">
        <f>LET(
    purpose,'Loan Tape (S&amp;P)'!R3311,
    IF(purpose="Purchase",1.00,
        IF(purpose="Remortgage",1.00,
            1.20)))</f>
        <v/>
      </c>
      <c r="L3311">
        <f>LET(
    arrears_months,'Loan Tape (S&amp;P)'!AN3311,
    IF(arrears_months=0,1.00,
    IF(arrears_months=1,3.00,
    IF(arrears_months=2,5.00,
    IF(arrears_months=3,8.00,
    IF(arrears_months=4,10.00,
    IF(arrears_months=5,12.00,15.00)))))))</f>
        <v/>
      </c>
      <c r="M3311">
        <f>LET(
    seasoning_years,DATEDIF('Loan Tape (S&amp;P)'!K3311,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11">
        <f>IF(AND('Loan Tape (S&amp;P)'!U3311="Yes",
        'Loan Tape (S&amp;P)'!T3311&lt;&gt;"Yes",
        DATEDIF('Loan Tape (S&amp;P)'!K3311, TODAY(), "M")&lt;18),
    1.10,
    1.00)</f>
        <v/>
      </c>
      <c r="O3311">
        <f>IF('Loan Tape (S&amp;P)'!T3311="Yes",
    1.35,
    1.00)</f>
        <v/>
      </c>
      <c r="P3311">
        <f>IF('Loan Tape (S&amp;P)'!S3311="Yes",
    1.15,
    1.00)</f>
        <v/>
      </c>
      <c r="Q3311">
        <f>IF('Loan Tape (S&amp;P)'!V3311="Yes",
    1.20,
    1.00)</f>
        <v/>
      </c>
      <c r="T3311">
        <f>LET(
    payment_method,'Loan Tape (S&amp;P)'!P3311,
    occupancy,'Loan Tape (S&amp;P)'!N3311,
    maturity_date,'Loan Tape (S&amp;P)'!L3311,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12">
      <c r="J3312">
        <f>LET(
    lien,'Loan Tape (S&amp;P)'!Q3312,
    IF(lien="First",1.00,
        IF(lien="Second",1.50,
            1.70)))</f>
        <v/>
      </c>
      <c r="K3312">
        <f>LET(
    purpose,'Loan Tape (S&amp;P)'!R3312,
    IF(purpose="Purchase",1.00,
        IF(purpose="Remortgage",1.00,
            1.20)))</f>
        <v/>
      </c>
      <c r="L3312">
        <f>LET(
    arrears_months,'Loan Tape (S&amp;P)'!AN3312,
    IF(arrears_months=0,1.00,
    IF(arrears_months=1,3.00,
    IF(arrears_months=2,5.00,
    IF(arrears_months=3,8.00,
    IF(arrears_months=4,10.00,
    IF(arrears_months=5,12.00,15.00)))))))</f>
        <v/>
      </c>
      <c r="M3312">
        <f>LET(
    seasoning_years,DATEDIF('Loan Tape (S&amp;P)'!K3312,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12">
        <f>IF(AND('Loan Tape (S&amp;P)'!U3312="Yes",
        'Loan Tape (S&amp;P)'!T3312&lt;&gt;"Yes",
        DATEDIF('Loan Tape (S&amp;P)'!K3312, TODAY(), "M")&lt;18),
    1.10,
    1.00)</f>
        <v/>
      </c>
      <c r="O3312">
        <f>IF('Loan Tape (S&amp;P)'!T3312="Yes",
    1.35,
    1.00)</f>
        <v/>
      </c>
      <c r="P3312">
        <f>IF('Loan Tape (S&amp;P)'!S3312="Yes",
    1.15,
    1.00)</f>
        <v/>
      </c>
      <c r="Q3312">
        <f>IF('Loan Tape (S&amp;P)'!V3312="Yes",
    1.20,
    1.00)</f>
        <v/>
      </c>
      <c r="T3312">
        <f>LET(
    payment_method,'Loan Tape (S&amp;P)'!P3312,
    occupancy,'Loan Tape (S&amp;P)'!N3312,
    maturity_date,'Loan Tape (S&amp;P)'!L3312,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13">
      <c r="J3313">
        <f>LET(
    lien,'Loan Tape (S&amp;P)'!Q3313,
    IF(lien="First",1.00,
        IF(lien="Second",1.50,
            1.70)))</f>
        <v/>
      </c>
      <c r="K3313">
        <f>LET(
    purpose,'Loan Tape (S&amp;P)'!R3313,
    IF(purpose="Purchase",1.00,
        IF(purpose="Remortgage",1.00,
            1.20)))</f>
        <v/>
      </c>
      <c r="L3313">
        <f>LET(
    arrears_months,'Loan Tape (S&amp;P)'!AN3313,
    IF(arrears_months=0,1.00,
    IF(arrears_months=1,3.00,
    IF(arrears_months=2,5.00,
    IF(arrears_months=3,8.00,
    IF(arrears_months=4,10.00,
    IF(arrears_months=5,12.00,15.00)))))))</f>
        <v/>
      </c>
      <c r="M3313">
        <f>LET(
    seasoning_years,DATEDIF('Loan Tape (S&amp;P)'!K3313,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13">
        <f>IF(AND('Loan Tape (S&amp;P)'!U3313="Yes",
        'Loan Tape (S&amp;P)'!T3313&lt;&gt;"Yes",
        DATEDIF('Loan Tape (S&amp;P)'!K3313, TODAY(), "M")&lt;18),
    1.10,
    1.00)</f>
        <v/>
      </c>
      <c r="O3313">
        <f>IF('Loan Tape (S&amp;P)'!T3313="Yes",
    1.35,
    1.00)</f>
        <v/>
      </c>
      <c r="P3313">
        <f>IF('Loan Tape (S&amp;P)'!S3313="Yes",
    1.15,
    1.00)</f>
        <v/>
      </c>
      <c r="Q3313">
        <f>IF('Loan Tape (S&amp;P)'!V3313="Yes",
    1.20,
    1.00)</f>
        <v/>
      </c>
      <c r="T3313">
        <f>LET(
    payment_method,'Loan Tape (S&amp;P)'!P3313,
    occupancy,'Loan Tape (S&amp;P)'!N3313,
    maturity_date,'Loan Tape (S&amp;P)'!L3313,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14">
      <c r="J3314">
        <f>LET(
    lien,'Loan Tape (S&amp;P)'!Q3314,
    IF(lien="First",1.00,
        IF(lien="Second",1.50,
            1.70)))</f>
        <v/>
      </c>
      <c r="K3314">
        <f>LET(
    purpose,'Loan Tape (S&amp;P)'!R3314,
    IF(purpose="Purchase",1.00,
        IF(purpose="Remortgage",1.00,
            1.20)))</f>
        <v/>
      </c>
      <c r="L3314">
        <f>LET(
    arrears_months,'Loan Tape (S&amp;P)'!AN3314,
    IF(arrears_months=0,1.00,
    IF(arrears_months=1,3.00,
    IF(arrears_months=2,5.00,
    IF(arrears_months=3,8.00,
    IF(arrears_months=4,10.00,
    IF(arrears_months=5,12.00,15.00)))))))</f>
        <v/>
      </c>
      <c r="M3314">
        <f>LET(
    seasoning_years,DATEDIF('Loan Tape (S&amp;P)'!K3314,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14">
        <f>IF(AND('Loan Tape (S&amp;P)'!U3314="Yes",
        'Loan Tape (S&amp;P)'!T3314&lt;&gt;"Yes",
        DATEDIF('Loan Tape (S&amp;P)'!K3314, TODAY(), "M")&lt;18),
    1.10,
    1.00)</f>
        <v/>
      </c>
      <c r="O3314">
        <f>IF('Loan Tape (S&amp;P)'!T3314="Yes",
    1.35,
    1.00)</f>
        <v/>
      </c>
      <c r="P3314">
        <f>IF('Loan Tape (S&amp;P)'!S3314="Yes",
    1.15,
    1.00)</f>
        <v/>
      </c>
      <c r="Q3314">
        <f>IF('Loan Tape (S&amp;P)'!V3314="Yes",
    1.20,
    1.00)</f>
        <v/>
      </c>
      <c r="T3314">
        <f>LET(
    payment_method,'Loan Tape (S&amp;P)'!P3314,
    occupancy,'Loan Tape (S&amp;P)'!N3314,
    maturity_date,'Loan Tape (S&amp;P)'!L3314,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15">
      <c r="J3315">
        <f>LET(
    lien,'Loan Tape (S&amp;P)'!Q3315,
    IF(lien="First",1.00,
        IF(lien="Second",1.50,
            1.70)))</f>
        <v/>
      </c>
      <c r="K3315">
        <f>LET(
    purpose,'Loan Tape (S&amp;P)'!R3315,
    IF(purpose="Purchase",1.00,
        IF(purpose="Remortgage",1.00,
            1.20)))</f>
        <v/>
      </c>
      <c r="L3315">
        <f>LET(
    arrears_months,'Loan Tape (S&amp;P)'!AN3315,
    IF(arrears_months=0,1.00,
    IF(arrears_months=1,3.00,
    IF(arrears_months=2,5.00,
    IF(arrears_months=3,8.00,
    IF(arrears_months=4,10.00,
    IF(arrears_months=5,12.00,15.00)))))))</f>
        <v/>
      </c>
      <c r="M3315">
        <f>LET(
    seasoning_years,DATEDIF('Loan Tape (S&amp;P)'!K3315,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15">
        <f>IF(AND('Loan Tape (S&amp;P)'!U3315="Yes",
        'Loan Tape (S&amp;P)'!T3315&lt;&gt;"Yes",
        DATEDIF('Loan Tape (S&amp;P)'!K3315, TODAY(), "M")&lt;18),
    1.10,
    1.00)</f>
        <v/>
      </c>
      <c r="O3315">
        <f>IF('Loan Tape (S&amp;P)'!T3315="Yes",
    1.35,
    1.00)</f>
        <v/>
      </c>
      <c r="P3315">
        <f>IF('Loan Tape (S&amp;P)'!S3315="Yes",
    1.15,
    1.00)</f>
        <v/>
      </c>
      <c r="Q3315">
        <f>IF('Loan Tape (S&amp;P)'!V3315="Yes",
    1.20,
    1.00)</f>
        <v/>
      </c>
      <c r="T3315">
        <f>LET(
    payment_method,'Loan Tape (S&amp;P)'!P3315,
    occupancy,'Loan Tape (S&amp;P)'!N3315,
    maturity_date,'Loan Tape (S&amp;P)'!L3315,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16">
      <c r="J3316">
        <f>LET(
    lien,'Loan Tape (S&amp;P)'!Q3316,
    IF(lien="First",1.00,
        IF(lien="Second",1.50,
            1.70)))</f>
        <v/>
      </c>
      <c r="K3316">
        <f>LET(
    purpose,'Loan Tape (S&amp;P)'!R3316,
    IF(purpose="Purchase",1.00,
        IF(purpose="Remortgage",1.00,
            1.20)))</f>
        <v/>
      </c>
      <c r="L3316">
        <f>LET(
    arrears_months,'Loan Tape (S&amp;P)'!AN3316,
    IF(arrears_months=0,1.00,
    IF(arrears_months=1,3.00,
    IF(arrears_months=2,5.00,
    IF(arrears_months=3,8.00,
    IF(arrears_months=4,10.00,
    IF(arrears_months=5,12.00,15.00)))))))</f>
        <v/>
      </c>
      <c r="M3316">
        <f>LET(
    seasoning_years,DATEDIF('Loan Tape (S&amp;P)'!K3316,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16">
        <f>IF(AND('Loan Tape (S&amp;P)'!U3316="Yes",
        'Loan Tape (S&amp;P)'!T3316&lt;&gt;"Yes",
        DATEDIF('Loan Tape (S&amp;P)'!K3316, TODAY(), "M")&lt;18),
    1.10,
    1.00)</f>
        <v/>
      </c>
      <c r="O3316">
        <f>IF('Loan Tape (S&amp;P)'!T3316="Yes",
    1.35,
    1.00)</f>
        <v/>
      </c>
      <c r="P3316">
        <f>IF('Loan Tape (S&amp;P)'!S3316="Yes",
    1.15,
    1.00)</f>
        <v/>
      </c>
      <c r="Q3316">
        <f>IF('Loan Tape (S&amp;P)'!V3316="Yes",
    1.20,
    1.00)</f>
        <v/>
      </c>
      <c r="T3316">
        <f>LET(
    payment_method,'Loan Tape (S&amp;P)'!P3316,
    occupancy,'Loan Tape (S&amp;P)'!N3316,
    maturity_date,'Loan Tape (S&amp;P)'!L3316,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17">
      <c r="J3317">
        <f>LET(
    lien,'Loan Tape (S&amp;P)'!Q3317,
    IF(lien="First",1.00,
        IF(lien="Second",1.50,
            1.70)))</f>
        <v/>
      </c>
      <c r="K3317">
        <f>LET(
    purpose,'Loan Tape (S&amp;P)'!R3317,
    IF(purpose="Purchase",1.00,
        IF(purpose="Remortgage",1.00,
            1.20)))</f>
        <v/>
      </c>
      <c r="L3317">
        <f>LET(
    arrears_months,'Loan Tape (S&amp;P)'!AN3317,
    IF(arrears_months=0,1.00,
    IF(arrears_months=1,3.00,
    IF(arrears_months=2,5.00,
    IF(arrears_months=3,8.00,
    IF(arrears_months=4,10.00,
    IF(arrears_months=5,12.00,15.00)))))))</f>
        <v/>
      </c>
      <c r="M3317">
        <f>LET(
    seasoning_years,DATEDIF('Loan Tape (S&amp;P)'!K3317,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17">
        <f>IF(AND('Loan Tape (S&amp;P)'!U3317="Yes",
        'Loan Tape (S&amp;P)'!T3317&lt;&gt;"Yes",
        DATEDIF('Loan Tape (S&amp;P)'!K3317, TODAY(), "M")&lt;18),
    1.10,
    1.00)</f>
        <v/>
      </c>
      <c r="O3317">
        <f>IF('Loan Tape (S&amp;P)'!T3317="Yes",
    1.35,
    1.00)</f>
        <v/>
      </c>
      <c r="P3317">
        <f>IF('Loan Tape (S&amp;P)'!S3317="Yes",
    1.15,
    1.00)</f>
        <v/>
      </c>
      <c r="Q3317">
        <f>IF('Loan Tape (S&amp;P)'!V3317="Yes",
    1.20,
    1.00)</f>
        <v/>
      </c>
      <c r="T3317">
        <f>LET(
    payment_method,'Loan Tape (S&amp;P)'!P3317,
    occupancy,'Loan Tape (S&amp;P)'!N3317,
    maturity_date,'Loan Tape (S&amp;P)'!L3317,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18">
      <c r="J3318">
        <f>LET(
    lien,'Loan Tape (S&amp;P)'!Q3318,
    IF(lien="First",1.00,
        IF(lien="Second",1.50,
            1.70)))</f>
        <v/>
      </c>
      <c r="K3318">
        <f>LET(
    purpose,'Loan Tape (S&amp;P)'!R3318,
    IF(purpose="Purchase",1.00,
        IF(purpose="Remortgage",1.00,
            1.20)))</f>
        <v/>
      </c>
      <c r="L3318">
        <f>LET(
    arrears_months,'Loan Tape (S&amp;P)'!AN3318,
    IF(arrears_months=0,1.00,
    IF(arrears_months=1,3.00,
    IF(arrears_months=2,5.00,
    IF(arrears_months=3,8.00,
    IF(arrears_months=4,10.00,
    IF(arrears_months=5,12.00,15.00)))))))</f>
        <v/>
      </c>
      <c r="M3318">
        <f>LET(
    seasoning_years,DATEDIF('Loan Tape (S&amp;P)'!K3318,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18">
        <f>IF(AND('Loan Tape (S&amp;P)'!U3318="Yes",
        'Loan Tape (S&amp;P)'!T3318&lt;&gt;"Yes",
        DATEDIF('Loan Tape (S&amp;P)'!K3318, TODAY(), "M")&lt;18),
    1.10,
    1.00)</f>
        <v/>
      </c>
      <c r="O3318">
        <f>IF('Loan Tape (S&amp;P)'!T3318="Yes",
    1.35,
    1.00)</f>
        <v/>
      </c>
      <c r="P3318">
        <f>IF('Loan Tape (S&amp;P)'!S3318="Yes",
    1.15,
    1.00)</f>
        <v/>
      </c>
      <c r="Q3318">
        <f>IF('Loan Tape (S&amp;P)'!V3318="Yes",
    1.20,
    1.00)</f>
        <v/>
      </c>
      <c r="T3318">
        <f>LET(
    payment_method,'Loan Tape (S&amp;P)'!P3318,
    occupancy,'Loan Tape (S&amp;P)'!N3318,
    maturity_date,'Loan Tape (S&amp;P)'!L3318,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19">
      <c r="J3319">
        <f>LET(
    lien,'Loan Tape (S&amp;P)'!Q3319,
    IF(lien="First",1.00,
        IF(lien="Second",1.50,
            1.70)))</f>
        <v/>
      </c>
      <c r="K3319">
        <f>LET(
    purpose,'Loan Tape (S&amp;P)'!R3319,
    IF(purpose="Purchase",1.00,
        IF(purpose="Remortgage",1.00,
            1.20)))</f>
        <v/>
      </c>
      <c r="L3319">
        <f>LET(
    arrears_months,'Loan Tape (S&amp;P)'!AN3319,
    IF(arrears_months=0,1.00,
    IF(arrears_months=1,3.00,
    IF(arrears_months=2,5.00,
    IF(arrears_months=3,8.00,
    IF(arrears_months=4,10.00,
    IF(arrears_months=5,12.00,15.00)))))))</f>
        <v/>
      </c>
      <c r="M3319">
        <f>LET(
    seasoning_years,DATEDIF('Loan Tape (S&amp;P)'!K3319,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19">
        <f>IF(AND('Loan Tape (S&amp;P)'!U3319="Yes",
        'Loan Tape (S&amp;P)'!T3319&lt;&gt;"Yes",
        DATEDIF('Loan Tape (S&amp;P)'!K3319, TODAY(), "M")&lt;18),
    1.10,
    1.00)</f>
        <v/>
      </c>
      <c r="O3319">
        <f>IF('Loan Tape (S&amp;P)'!T3319="Yes",
    1.35,
    1.00)</f>
        <v/>
      </c>
      <c r="P3319">
        <f>IF('Loan Tape (S&amp;P)'!S3319="Yes",
    1.15,
    1.00)</f>
        <v/>
      </c>
      <c r="Q3319">
        <f>IF('Loan Tape (S&amp;P)'!V3319="Yes",
    1.20,
    1.00)</f>
        <v/>
      </c>
      <c r="T3319">
        <f>LET(
    payment_method,'Loan Tape (S&amp;P)'!P3319,
    occupancy,'Loan Tape (S&amp;P)'!N3319,
    maturity_date,'Loan Tape (S&amp;P)'!L3319,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20">
      <c r="J3320">
        <f>LET(
    lien,'Loan Tape (S&amp;P)'!Q3320,
    IF(lien="First",1.00,
        IF(lien="Second",1.50,
            1.70)))</f>
        <v/>
      </c>
      <c r="K3320">
        <f>LET(
    purpose,'Loan Tape (S&amp;P)'!R3320,
    IF(purpose="Purchase",1.00,
        IF(purpose="Remortgage",1.00,
            1.20)))</f>
        <v/>
      </c>
      <c r="L3320">
        <f>LET(
    arrears_months,'Loan Tape (S&amp;P)'!AN3320,
    IF(arrears_months=0,1.00,
    IF(arrears_months=1,3.00,
    IF(arrears_months=2,5.00,
    IF(arrears_months=3,8.00,
    IF(arrears_months=4,10.00,
    IF(arrears_months=5,12.00,15.00)))))))</f>
        <v/>
      </c>
      <c r="M3320">
        <f>LET(
    seasoning_years,DATEDIF('Loan Tape (S&amp;P)'!K3320,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20">
        <f>IF(AND('Loan Tape (S&amp;P)'!U3320="Yes",
        'Loan Tape (S&amp;P)'!T3320&lt;&gt;"Yes",
        DATEDIF('Loan Tape (S&amp;P)'!K3320, TODAY(), "M")&lt;18),
    1.10,
    1.00)</f>
        <v/>
      </c>
      <c r="O3320">
        <f>IF('Loan Tape (S&amp;P)'!T3320="Yes",
    1.35,
    1.00)</f>
        <v/>
      </c>
      <c r="P3320">
        <f>IF('Loan Tape (S&amp;P)'!S3320="Yes",
    1.15,
    1.00)</f>
        <v/>
      </c>
      <c r="Q3320">
        <f>IF('Loan Tape (S&amp;P)'!V3320="Yes",
    1.20,
    1.00)</f>
        <v/>
      </c>
      <c r="T3320">
        <f>LET(
    payment_method,'Loan Tape (S&amp;P)'!P3320,
    occupancy,'Loan Tape (S&amp;P)'!N3320,
    maturity_date,'Loan Tape (S&amp;P)'!L3320,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21">
      <c r="J3321">
        <f>LET(
    lien,'Loan Tape (S&amp;P)'!Q3321,
    IF(lien="First",1.00,
        IF(lien="Second",1.50,
            1.70)))</f>
        <v/>
      </c>
      <c r="K3321">
        <f>LET(
    purpose,'Loan Tape (S&amp;P)'!R3321,
    IF(purpose="Purchase",1.00,
        IF(purpose="Remortgage",1.00,
            1.20)))</f>
        <v/>
      </c>
      <c r="L3321">
        <f>LET(
    arrears_months,'Loan Tape (S&amp;P)'!AN3321,
    IF(arrears_months=0,1.00,
    IF(arrears_months=1,3.00,
    IF(arrears_months=2,5.00,
    IF(arrears_months=3,8.00,
    IF(arrears_months=4,10.00,
    IF(arrears_months=5,12.00,15.00)))))))</f>
        <v/>
      </c>
      <c r="M3321">
        <f>LET(
    seasoning_years,DATEDIF('Loan Tape (S&amp;P)'!K3321,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21">
        <f>IF(AND('Loan Tape (S&amp;P)'!U3321="Yes",
        'Loan Tape (S&amp;P)'!T3321&lt;&gt;"Yes",
        DATEDIF('Loan Tape (S&amp;P)'!K3321, TODAY(), "M")&lt;18),
    1.10,
    1.00)</f>
        <v/>
      </c>
      <c r="O3321">
        <f>IF('Loan Tape (S&amp;P)'!T3321="Yes",
    1.35,
    1.00)</f>
        <v/>
      </c>
      <c r="P3321">
        <f>IF('Loan Tape (S&amp;P)'!S3321="Yes",
    1.15,
    1.00)</f>
        <v/>
      </c>
      <c r="Q3321">
        <f>IF('Loan Tape (S&amp;P)'!V3321="Yes",
    1.20,
    1.00)</f>
        <v/>
      </c>
      <c r="T3321">
        <f>LET(
    payment_method,'Loan Tape (S&amp;P)'!P3321,
    occupancy,'Loan Tape (S&amp;P)'!N3321,
    maturity_date,'Loan Tape (S&amp;P)'!L3321,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22">
      <c r="J3322">
        <f>LET(
    lien,'Loan Tape (S&amp;P)'!Q3322,
    IF(lien="First",1.00,
        IF(lien="Second",1.50,
            1.70)))</f>
        <v/>
      </c>
      <c r="K3322">
        <f>LET(
    purpose,'Loan Tape (S&amp;P)'!R3322,
    IF(purpose="Purchase",1.00,
        IF(purpose="Remortgage",1.00,
            1.20)))</f>
        <v/>
      </c>
      <c r="L3322">
        <f>LET(
    arrears_months,'Loan Tape (S&amp;P)'!AN3322,
    IF(arrears_months=0,1.00,
    IF(arrears_months=1,3.00,
    IF(arrears_months=2,5.00,
    IF(arrears_months=3,8.00,
    IF(arrears_months=4,10.00,
    IF(arrears_months=5,12.00,15.00)))))))</f>
        <v/>
      </c>
      <c r="M3322">
        <f>LET(
    seasoning_years,DATEDIF('Loan Tape (S&amp;P)'!K3322,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22">
        <f>IF(AND('Loan Tape (S&amp;P)'!U3322="Yes",
        'Loan Tape (S&amp;P)'!T3322&lt;&gt;"Yes",
        DATEDIF('Loan Tape (S&amp;P)'!K3322, TODAY(), "M")&lt;18),
    1.10,
    1.00)</f>
        <v/>
      </c>
      <c r="O3322">
        <f>IF('Loan Tape (S&amp;P)'!T3322="Yes",
    1.35,
    1.00)</f>
        <v/>
      </c>
      <c r="P3322">
        <f>IF('Loan Tape (S&amp;P)'!S3322="Yes",
    1.15,
    1.00)</f>
        <v/>
      </c>
      <c r="Q3322">
        <f>IF('Loan Tape (S&amp;P)'!V3322="Yes",
    1.20,
    1.00)</f>
        <v/>
      </c>
      <c r="T3322">
        <f>LET(
    payment_method,'Loan Tape (S&amp;P)'!P3322,
    occupancy,'Loan Tape (S&amp;P)'!N3322,
    maturity_date,'Loan Tape (S&amp;P)'!L3322,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23">
      <c r="J3323">
        <f>LET(
    lien,'Loan Tape (S&amp;P)'!Q3323,
    IF(lien="First",1.00,
        IF(lien="Second",1.50,
            1.70)))</f>
        <v/>
      </c>
      <c r="K3323">
        <f>LET(
    purpose,'Loan Tape (S&amp;P)'!R3323,
    IF(purpose="Purchase",1.00,
        IF(purpose="Remortgage",1.00,
            1.20)))</f>
        <v/>
      </c>
      <c r="L3323">
        <f>LET(
    arrears_months,'Loan Tape (S&amp;P)'!AN3323,
    IF(arrears_months=0,1.00,
    IF(arrears_months=1,3.00,
    IF(arrears_months=2,5.00,
    IF(arrears_months=3,8.00,
    IF(arrears_months=4,10.00,
    IF(arrears_months=5,12.00,15.00)))))))</f>
        <v/>
      </c>
      <c r="M3323">
        <f>LET(
    seasoning_years,DATEDIF('Loan Tape (S&amp;P)'!K3323,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23">
        <f>IF(AND('Loan Tape (S&amp;P)'!U3323="Yes",
        'Loan Tape (S&amp;P)'!T3323&lt;&gt;"Yes",
        DATEDIF('Loan Tape (S&amp;P)'!K3323, TODAY(), "M")&lt;18),
    1.10,
    1.00)</f>
        <v/>
      </c>
      <c r="O3323">
        <f>IF('Loan Tape (S&amp;P)'!T3323="Yes",
    1.35,
    1.00)</f>
        <v/>
      </c>
      <c r="P3323">
        <f>IF('Loan Tape (S&amp;P)'!S3323="Yes",
    1.15,
    1.00)</f>
        <v/>
      </c>
      <c r="Q3323">
        <f>IF('Loan Tape (S&amp;P)'!V3323="Yes",
    1.20,
    1.00)</f>
        <v/>
      </c>
      <c r="T3323">
        <f>LET(
    payment_method,'Loan Tape (S&amp;P)'!P3323,
    occupancy,'Loan Tape (S&amp;P)'!N3323,
    maturity_date,'Loan Tape (S&amp;P)'!L3323,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24">
      <c r="J3324">
        <f>LET(
    lien,'Loan Tape (S&amp;P)'!Q3324,
    IF(lien="First",1.00,
        IF(lien="Second",1.50,
            1.70)))</f>
        <v/>
      </c>
      <c r="K3324">
        <f>LET(
    purpose,'Loan Tape (S&amp;P)'!R3324,
    IF(purpose="Purchase",1.00,
        IF(purpose="Remortgage",1.00,
            1.20)))</f>
        <v/>
      </c>
      <c r="L3324">
        <f>LET(
    arrears_months,'Loan Tape (S&amp;P)'!AN3324,
    IF(arrears_months=0,1.00,
    IF(arrears_months=1,3.00,
    IF(arrears_months=2,5.00,
    IF(arrears_months=3,8.00,
    IF(arrears_months=4,10.00,
    IF(arrears_months=5,12.00,15.00)))))))</f>
        <v/>
      </c>
      <c r="M3324">
        <f>LET(
    seasoning_years,DATEDIF('Loan Tape (S&amp;P)'!K3324,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24">
        <f>IF(AND('Loan Tape (S&amp;P)'!U3324="Yes",
        'Loan Tape (S&amp;P)'!T3324&lt;&gt;"Yes",
        DATEDIF('Loan Tape (S&amp;P)'!K3324, TODAY(), "M")&lt;18),
    1.10,
    1.00)</f>
        <v/>
      </c>
      <c r="O3324">
        <f>IF('Loan Tape (S&amp;P)'!T3324="Yes",
    1.35,
    1.00)</f>
        <v/>
      </c>
      <c r="P3324">
        <f>IF('Loan Tape (S&amp;P)'!S3324="Yes",
    1.15,
    1.00)</f>
        <v/>
      </c>
      <c r="Q3324">
        <f>IF('Loan Tape (S&amp;P)'!V3324="Yes",
    1.20,
    1.00)</f>
        <v/>
      </c>
      <c r="T3324">
        <f>LET(
    payment_method,'Loan Tape (S&amp;P)'!P3324,
    occupancy,'Loan Tape (S&amp;P)'!N3324,
    maturity_date,'Loan Tape (S&amp;P)'!L3324,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25">
      <c r="J3325">
        <f>LET(
    lien,'Loan Tape (S&amp;P)'!Q3325,
    IF(lien="First",1.00,
        IF(lien="Second",1.50,
            1.70)))</f>
        <v/>
      </c>
      <c r="K3325">
        <f>LET(
    purpose,'Loan Tape (S&amp;P)'!R3325,
    IF(purpose="Purchase",1.00,
        IF(purpose="Remortgage",1.00,
            1.20)))</f>
        <v/>
      </c>
      <c r="L3325">
        <f>LET(
    arrears_months,'Loan Tape (S&amp;P)'!AN3325,
    IF(arrears_months=0,1.00,
    IF(arrears_months=1,3.00,
    IF(arrears_months=2,5.00,
    IF(arrears_months=3,8.00,
    IF(arrears_months=4,10.00,
    IF(arrears_months=5,12.00,15.00)))))))</f>
        <v/>
      </c>
      <c r="M3325">
        <f>LET(
    seasoning_years,DATEDIF('Loan Tape (S&amp;P)'!K3325,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25">
        <f>IF(AND('Loan Tape (S&amp;P)'!U3325="Yes",
        'Loan Tape (S&amp;P)'!T3325&lt;&gt;"Yes",
        DATEDIF('Loan Tape (S&amp;P)'!K3325, TODAY(), "M")&lt;18),
    1.10,
    1.00)</f>
        <v/>
      </c>
      <c r="O3325">
        <f>IF('Loan Tape (S&amp;P)'!T3325="Yes",
    1.35,
    1.00)</f>
        <v/>
      </c>
      <c r="P3325">
        <f>IF('Loan Tape (S&amp;P)'!S3325="Yes",
    1.15,
    1.00)</f>
        <v/>
      </c>
      <c r="Q3325">
        <f>IF('Loan Tape (S&amp;P)'!V3325="Yes",
    1.20,
    1.00)</f>
        <v/>
      </c>
      <c r="T3325">
        <f>LET(
    payment_method,'Loan Tape (S&amp;P)'!P3325,
    occupancy,'Loan Tape (S&amp;P)'!N3325,
    maturity_date,'Loan Tape (S&amp;P)'!L3325,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26">
      <c r="J3326">
        <f>LET(
    lien,'Loan Tape (S&amp;P)'!Q3326,
    IF(lien="First",1.00,
        IF(lien="Second",1.50,
            1.70)))</f>
        <v/>
      </c>
      <c r="K3326">
        <f>LET(
    purpose,'Loan Tape (S&amp;P)'!R3326,
    IF(purpose="Purchase",1.00,
        IF(purpose="Remortgage",1.00,
            1.20)))</f>
        <v/>
      </c>
      <c r="L3326">
        <f>LET(
    arrears_months,'Loan Tape (S&amp;P)'!AN3326,
    IF(arrears_months=0,1.00,
    IF(arrears_months=1,3.00,
    IF(arrears_months=2,5.00,
    IF(arrears_months=3,8.00,
    IF(arrears_months=4,10.00,
    IF(arrears_months=5,12.00,15.00)))))))</f>
        <v/>
      </c>
      <c r="M3326">
        <f>LET(
    seasoning_years,DATEDIF('Loan Tape (S&amp;P)'!K3326,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26">
        <f>IF(AND('Loan Tape (S&amp;P)'!U3326="Yes",
        'Loan Tape (S&amp;P)'!T3326&lt;&gt;"Yes",
        DATEDIF('Loan Tape (S&amp;P)'!K3326, TODAY(), "M")&lt;18),
    1.10,
    1.00)</f>
        <v/>
      </c>
      <c r="O3326">
        <f>IF('Loan Tape (S&amp;P)'!T3326="Yes",
    1.35,
    1.00)</f>
        <v/>
      </c>
      <c r="P3326">
        <f>IF('Loan Tape (S&amp;P)'!S3326="Yes",
    1.15,
    1.00)</f>
        <v/>
      </c>
      <c r="Q3326">
        <f>IF('Loan Tape (S&amp;P)'!V3326="Yes",
    1.20,
    1.00)</f>
        <v/>
      </c>
      <c r="T3326">
        <f>LET(
    payment_method,'Loan Tape (S&amp;P)'!P3326,
    occupancy,'Loan Tape (S&amp;P)'!N3326,
    maturity_date,'Loan Tape (S&amp;P)'!L3326,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27">
      <c r="J3327">
        <f>LET(
    lien,'Loan Tape (S&amp;P)'!Q3327,
    IF(lien="First",1.00,
        IF(lien="Second",1.50,
            1.70)))</f>
        <v/>
      </c>
      <c r="K3327">
        <f>LET(
    purpose,'Loan Tape (S&amp;P)'!R3327,
    IF(purpose="Purchase",1.00,
        IF(purpose="Remortgage",1.00,
            1.20)))</f>
        <v/>
      </c>
      <c r="L3327">
        <f>LET(
    arrears_months,'Loan Tape (S&amp;P)'!AN3327,
    IF(arrears_months=0,1.00,
    IF(arrears_months=1,3.00,
    IF(arrears_months=2,5.00,
    IF(arrears_months=3,8.00,
    IF(arrears_months=4,10.00,
    IF(arrears_months=5,12.00,15.00)))))))</f>
        <v/>
      </c>
      <c r="M3327">
        <f>LET(
    seasoning_years,DATEDIF('Loan Tape (S&amp;P)'!K3327,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27">
        <f>IF(AND('Loan Tape (S&amp;P)'!U3327="Yes",
        'Loan Tape (S&amp;P)'!T3327&lt;&gt;"Yes",
        DATEDIF('Loan Tape (S&amp;P)'!K3327, TODAY(), "M")&lt;18),
    1.10,
    1.00)</f>
        <v/>
      </c>
      <c r="O3327">
        <f>IF('Loan Tape (S&amp;P)'!T3327="Yes",
    1.35,
    1.00)</f>
        <v/>
      </c>
      <c r="P3327">
        <f>IF('Loan Tape (S&amp;P)'!S3327="Yes",
    1.15,
    1.00)</f>
        <v/>
      </c>
      <c r="Q3327">
        <f>IF('Loan Tape (S&amp;P)'!V3327="Yes",
    1.20,
    1.00)</f>
        <v/>
      </c>
      <c r="T3327">
        <f>LET(
    payment_method,'Loan Tape (S&amp;P)'!P3327,
    occupancy,'Loan Tape (S&amp;P)'!N3327,
    maturity_date,'Loan Tape (S&amp;P)'!L3327,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28">
      <c r="J3328">
        <f>LET(
    lien,'Loan Tape (S&amp;P)'!Q3328,
    IF(lien="First",1.00,
        IF(lien="Second",1.50,
            1.70)))</f>
        <v/>
      </c>
      <c r="K3328">
        <f>LET(
    purpose,'Loan Tape (S&amp;P)'!R3328,
    IF(purpose="Purchase",1.00,
        IF(purpose="Remortgage",1.00,
            1.20)))</f>
        <v/>
      </c>
      <c r="L3328">
        <f>LET(
    arrears_months,'Loan Tape (S&amp;P)'!AN3328,
    IF(arrears_months=0,1.00,
    IF(arrears_months=1,3.00,
    IF(arrears_months=2,5.00,
    IF(arrears_months=3,8.00,
    IF(arrears_months=4,10.00,
    IF(arrears_months=5,12.00,15.00)))))))</f>
        <v/>
      </c>
      <c r="M3328">
        <f>LET(
    seasoning_years,DATEDIF('Loan Tape (S&amp;P)'!K3328,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28">
        <f>IF(AND('Loan Tape (S&amp;P)'!U3328="Yes",
        'Loan Tape (S&amp;P)'!T3328&lt;&gt;"Yes",
        DATEDIF('Loan Tape (S&amp;P)'!K3328, TODAY(), "M")&lt;18),
    1.10,
    1.00)</f>
        <v/>
      </c>
      <c r="O3328">
        <f>IF('Loan Tape (S&amp;P)'!T3328="Yes",
    1.35,
    1.00)</f>
        <v/>
      </c>
      <c r="P3328">
        <f>IF('Loan Tape (S&amp;P)'!S3328="Yes",
    1.15,
    1.00)</f>
        <v/>
      </c>
      <c r="Q3328">
        <f>IF('Loan Tape (S&amp;P)'!V3328="Yes",
    1.20,
    1.00)</f>
        <v/>
      </c>
      <c r="T3328">
        <f>LET(
    payment_method,'Loan Tape (S&amp;P)'!P3328,
    occupancy,'Loan Tape (S&amp;P)'!N3328,
    maturity_date,'Loan Tape (S&amp;P)'!L3328,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29">
      <c r="J3329">
        <f>LET(
    lien,'Loan Tape (S&amp;P)'!Q3329,
    IF(lien="First",1.00,
        IF(lien="Second",1.50,
            1.70)))</f>
        <v/>
      </c>
      <c r="K3329">
        <f>LET(
    purpose,'Loan Tape (S&amp;P)'!R3329,
    IF(purpose="Purchase",1.00,
        IF(purpose="Remortgage",1.00,
            1.20)))</f>
        <v/>
      </c>
      <c r="L3329">
        <f>LET(
    arrears_months,'Loan Tape (S&amp;P)'!AN3329,
    IF(arrears_months=0,1.00,
    IF(arrears_months=1,3.00,
    IF(arrears_months=2,5.00,
    IF(arrears_months=3,8.00,
    IF(arrears_months=4,10.00,
    IF(arrears_months=5,12.00,15.00)))))))</f>
        <v/>
      </c>
      <c r="M3329">
        <f>LET(
    seasoning_years,DATEDIF('Loan Tape (S&amp;P)'!K3329,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29">
        <f>IF(AND('Loan Tape (S&amp;P)'!U3329="Yes",
        'Loan Tape (S&amp;P)'!T3329&lt;&gt;"Yes",
        DATEDIF('Loan Tape (S&amp;P)'!K3329, TODAY(), "M")&lt;18),
    1.10,
    1.00)</f>
        <v/>
      </c>
      <c r="O3329">
        <f>IF('Loan Tape (S&amp;P)'!T3329="Yes",
    1.35,
    1.00)</f>
        <v/>
      </c>
      <c r="P3329">
        <f>IF('Loan Tape (S&amp;P)'!S3329="Yes",
    1.15,
    1.00)</f>
        <v/>
      </c>
      <c r="Q3329">
        <f>IF('Loan Tape (S&amp;P)'!V3329="Yes",
    1.20,
    1.00)</f>
        <v/>
      </c>
      <c r="T3329">
        <f>LET(
    payment_method,'Loan Tape (S&amp;P)'!P3329,
    occupancy,'Loan Tape (S&amp;P)'!N3329,
    maturity_date,'Loan Tape (S&amp;P)'!L3329,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30">
      <c r="J3330">
        <f>LET(
    lien,'Loan Tape (S&amp;P)'!Q3330,
    IF(lien="First",1.00,
        IF(lien="Second",1.50,
            1.70)))</f>
        <v/>
      </c>
      <c r="K3330">
        <f>LET(
    purpose,'Loan Tape (S&amp;P)'!R3330,
    IF(purpose="Purchase",1.00,
        IF(purpose="Remortgage",1.00,
            1.20)))</f>
        <v/>
      </c>
      <c r="L3330">
        <f>LET(
    arrears_months,'Loan Tape (S&amp;P)'!AN3330,
    IF(arrears_months=0,1.00,
    IF(arrears_months=1,3.00,
    IF(arrears_months=2,5.00,
    IF(arrears_months=3,8.00,
    IF(arrears_months=4,10.00,
    IF(arrears_months=5,12.00,15.00)))))))</f>
        <v/>
      </c>
      <c r="M3330">
        <f>LET(
    seasoning_years,DATEDIF('Loan Tape (S&amp;P)'!K3330,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30">
        <f>IF(AND('Loan Tape (S&amp;P)'!U3330="Yes",
        'Loan Tape (S&amp;P)'!T3330&lt;&gt;"Yes",
        DATEDIF('Loan Tape (S&amp;P)'!K3330, TODAY(), "M")&lt;18),
    1.10,
    1.00)</f>
        <v/>
      </c>
      <c r="O3330">
        <f>IF('Loan Tape (S&amp;P)'!T3330="Yes",
    1.35,
    1.00)</f>
        <v/>
      </c>
      <c r="P3330">
        <f>IF('Loan Tape (S&amp;P)'!S3330="Yes",
    1.15,
    1.00)</f>
        <v/>
      </c>
      <c r="Q3330">
        <f>IF('Loan Tape (S&amp;P)'!V3330="Yes",
    1.20,
    1.00)</f>
        <v/>
      </c>
      <c r="T3330">
        <f>LET(
    payment_method,'Loan Tape (S&amp;P)'!P3330,
    occupancy,'Loan Tape (S&amp;P)'!N3330,
    maturity_date,'Loan Tape (S&amp;P)'!L3330,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31">
      <c r="J3331">
        <f>LET(
    lien,'Loan Tape (S&amp;P)'!Q3331,
    IF(lien="First",1.00,
        IF(lien="Second",1.50,
            1.70)))</f>
        <v/>
      </c>
      <c r="K3331">
        <f>LET(
    purpose,'Loan Tape (S&amp;P)'!R3331,
    IF(purpose="Purchase",1.00,
        IF(purpose="Remortgage",1.00,
            1.20)))</f>
        <v/>
      </c>
      <c r="L3331">
        <f>LET(
    arrears_months,'Loan Tape (S&amp;P)'!AN3331,
    IF(arrears_months=0,1.00,
    IF(arrears_months=1,3.00,
    IF(arrears_months=2,5.00,
    IF(arrears_months=3,8.00,
    IF(arrears_months=4,10.00,
    IF(arrears_months=5,12.00,15.00)))))))</f>
        <v/>
      </c>
      <c r="M3331">
        <f>LET(
    seasoning_years,DATEDIF('Loan Tape (S&amp;P)'!K3331,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31">
        <f>IF(AND('Loan Tape (S&amp;P)'!U3331="Yes",
        'Loan Tape (S&amp;P)'!T3331&lt;&gt;"Yes",
        DATEDIF('Loan Tape (S&amp;P)'!K3331, TODAY(), "M")&lt;18),
    1.10,
    1.00)</f>
        <v/>
      </c>
      <c r="O3331">
        <f>IF('Loan Tape (S&amp;P)'!T3331="Yes",
    1.35,
    1.00)</f>
        <v/>
      </c>
      <c r="P3331">
        <f>IF('Loan Tape (S&amp;P)'!S3331="Yes",
    1.15,
    1.00)</f>
        <v/>
      </c>
      <c r="Q3331">
        <f>IF('Loan Tape (S&amp;P)'!V3331="Yes",
    1.20,
    1.00)</f>
        <v/>
      </c>
      <c r="T3331">
        <f>LET(
    payment_method,'Loan Tape (S&amp;P)'!P3331,
    occupancy,'Loan Tape (S&amp;P)'!N3331,
    maturity_date,'Loan Tape (S&amp;P)'!L3331,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32">
      <c r="J3332">
        <f>LET(
    lien,'Loan Tape (S&amp;P)'!Q3332,
    IF(lien="First",1.00,
        IF(lien="Second",1.50,
            1.70)))</f>
        <v/>
      </c>
      <c r="K3332">
        <f>LET(
    purpose,'Loan Tape (S&amp;P)'!R3332,
    IF(purpose="Purchase",1.00,
        IF(purpose="Remortgage",1.00,
            1.20)))</f>
        <v/>
      </c>
      <c r="L3332">
        <f>LET(
    arrears_months,'Loan Tape (S&amp;P)'!AN3332,
    IF(arrears_months=0,1.00,
    IF(arrears_months=1,3.00,
    IF(arrears_months=2,5.00,
    IF(arrears_months=3,8.00,
    IF(arrears_months=4,10.00,
    IF(arrears_months=5,12.00,15.00)))))))</f>
        <v/>
      </c>
      <c r="M3332">
        <f>LET(
    seasoning_years,DATEDIF('Loan Tape (S&amp;P)'!K3332,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32">
        <f>IF(AND('Loan Tape (S&amp;P)'!U3332="Yes",
        'Loan Tape (S&amp;P)'!T3332&lt;&gt;"Yes",
        DATEDIF('Loan Tape (S&amp;P)'!K3332, TODAY(), "M")&lt;18),
    1.10,
    1.00)</f>
        <v/>
      </c>
      <c r="O3332">
        <f>IF('Loan Tape (S&amp;P)'!T3332="Yes",
    1.35,
    1.00)</f>
        <v/>
      </c>
      <c r="P3332">
        <f>IF('Loan Tape (S&amp;P)'!S3332="Yes",
    1.15,
    1.00)</f>
        <v/>
      </c>
      <c r="Q3332">
        <f>IF('Loan Tape (S&amp;P)'!V3332="Yes",
    1.20,
    1.00)</f>
        <v/>
      </c>
      <c r="T3332">
        <f>LET(
    payment_method,'Loan Tape (S&amp;P)'!P3332,
    occupancy,'Loan Tape (S&amp;P)'!N3332,
    maturity_date,'Loan Tape (S&amp;P)'!L3332,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33">
      <c r="J3333">
        <f>LET(
    lien,'Loan Tape (S&amp;P)'!Q3333,
    IF(lien="First",1.00,
        IF(lien="Second",1.50,
            1.70)))</f>
        <v/>
      </c>
      <c r="K3333">
        <f>LET(
    purpose,'Loan Tape (S&amp;P)'!R3333,
    IF(purpose="Purchase",1.00,
        IF(purpose="Remortgage",1.00,
            1.20)))</f>
        <v/>
      </c>
      <c r="L3333">
        <f>LET(
    arrears_months,'Loan Tape (S&amp;P)'!AN3333,
    IF(arrears_months=0,1.00,
    IF(arrears_months=1,3.00,
    IF(arrears_months=2,5.00,
    IF(arrears_months=3,8.00,
    IF(arrears_months=4,10.00,
    IF(arrears_months=5,12.00,15.00)))))))</f>
        <v/>
      </c>
      <c r="M3333">
        <f>LET(
    seasoning_years,DATEDIF('Loan Tape (S&amp;P)'!K3333,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33">
        <f>IF(AND('Loan Tape (S&amp;P)'!U3333="Yes",
        'Loan Tape (S&amp;P)'!T3333&lt;&gt;"Yes",
        DATEDIF('Loan Tape (S&amp;P)'!K3333, TODAY(), "M")&lt;18),
    1.10,
    1.00)</f>
        <v/>
      </c>
      <c r="O3333">
        <f>IF('Loan Tape (S&amp;P)'!T3333="Yes",
    1.35,
    1.00)</f>
        <v/>
      </c>
      <c r="P3333">
        <f>IF('Loan Tape (S&amp;P)'!S3333="Yes",
    1.15,
    1.00)</f>
        <v/>
      </c>
      <c r="Q3333">
        <f>IF('Loan Tape (S&amp;P)'!V3333="Yes",
    1.20,
    1.00)</f>
        <v/>
      </c>
      <c r="T3333">
        <f>LET(
    payment_method,'Loan Tape (S&amp;P)'!P3333,
    occupancy,'Loan Tape (S&amp;P)'!N3333,
    maturity_date,'Loan Tape (S&amp;P)'!L3333,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34">
      <c r="J3334">
        <f>LET(
    lien,'Loan Tape (S&amp;P)'!Q3334,
    IF(lien="First",1.00,
        IF(lien="Second",1.50,
            1.70)))</f>
        <v/>
      </c>
      <c r="K3334">
        <f>LET(
    purpose,'Loan Tape (S&amp;P)'!R3334,
    IF(purpose="Purchase",1.00,
        IF(purpose="Remortgage",1.00,
            1.20)))</f>
        <v/>
      </c>
      <c r="L3334">
        <f>LET(
    arrears_months,'Loan Tape (S&amp;P)'!AN3334,
    IF(arrears_months=0,1.00,
    IF(arrears_months=1,3.00,
    IF(arrears_months=2,5.00,
    IF(arrears_months=3,8.00,
    IF(arrears_months=4,10.00,
    IF(arrears_months=5,12.00,15.00)))))))</f>
        <v/>
      </c>
      <c r="M3334">
        <f>LET(
    seasoning_years,DATEDIF('Loan Tape (S&amp;P)'!K3334,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34">
        <f>IF(AND('Loan Tape (S&amp;P)'!U3334="Yes",
        'Loan Tape (S&amp;P)'!T3334&lt;&gt;"Yes",
        DATEDIF('Loan Tape (S&amp;P)'!K3334, TODAY(), "M")&lt;18),
    1.10,
    1.00)</f>
        <v/>
      </c>
      <c r="O3334">
        <f>IF('Loan Tape (S&amp;P)'!T3334="Yes",
    1.35,
    1.00)</f>
        <v/>
      </c>
      <c r="P3334">
        <f>IF('Loan Tape (S&amp;P)'!S3334="Yes",
    1.15,
    1.00)</f>
        <v/>
      </c>
      <c r="Q3334">
        <f>IF('Loan Tape (S&amp;P)'!V3334="Yes",
    1.20,
    1.00)</f>
        <v/>
      </c>
      <c r="T3334">
        <f>LET(
    payment_method,'Loan Tape (S&amp;P)'!P3334,
    occupancy,'Loan Tape (S&amp;P)'!N3334,
    maturity_date,'Loan Tape (S&amp;P)'!L3334,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35">
      <c r="J3335">
        <f>LET(
    lien,'Loan Tape (S&amp;P)'!Q3335,
    IF(lien="First",1.00,
        IF(lien="Second",1.50,
            1.70)))</f>
        <v/>
      </c>
      <c r="K3335">
        <f>LET(
    purpose,'Loan Tape (S&amp;P)'!R3335,
    IF(purpose="Purchase",1.00,
        IF(purpose="Remortgage",1.00,
            1.20)))</f>
        <v/>
      </c>
      <c r="L3335">
        <f>LET(
    arrears_months,'Loan Tape (S&amp;P)'!AN3335,
    IF(arrears_months=0,1.00,
    IF(arrears_months=1,3.00,
    IF(arrears_months=2,5.00,
    IF(arrears_months=3,8.00,
    IF(arrears_months=4,10.00,
    IF(arrears_months=5,12.00,15.00)))))))</f>
        <v/>
      </c>
      <c r="M3335">
        <f>LET(
    seasoning_years,DATEDIF('Loan Tape (S&amp;P)'!K3335,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35">
        <f>IF(AND('Loan Tape (S&amp;P)'!U3335="Yes",
        'Loan Tape (S&amp;P)'!T3335&lt;&gt;"Yes",
        DATEDIF('Loan Tape (S&amp;P)'!K3335, TODAY(), "M")&lt;18),
    1.10,
    1.00)</f>
        <v/>
      </c>
      <c r="O3335">
        <f>IF('Loan Tape (S&amp;P)'!T3335="Yes",
    1.35,
    1.00)</f>
        <v/>
      </c>
      <c r="P3335">
        <f>IF('Loan Tape (S&amp;P)'!S3335="Yes",
    1.15,
    1.00)</f>
        <v/>
      </c>
      <c r="Q3335">
        <f>IF('Loan Tape (S&amp;P)'!V3335="Yes",
    1.20,
    1.00)</f>
        <v/>
      </c>
      <c r="T3335">
        <f>LET(
    payment_method,'Loan Tape (S&amp;P)'!P3335,
    occupancy,'Loan Tape (S&amp;P)'!N3335,
    maturity_date,'Loan Tape (S&amp;P)'!L3335,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36">
      <c r="J3336">
        <f>LET(
    lien,'Loan Tape (S&amp;P)'!Q3336,
    IF(lien="First",1.00,
        IF(lien="Second",1.50,
            1.70)))</f>
        <v/>
      </c>
      <c r="K3336">
        <f>LET(
    purpose,'Loan Tape (S&amp;P)'!R3336,
    IF(purpose="Purchase",1.00,
        IF(purpose="Remortgage",1.00,
            1.20)))</f>
        <v/>
      </c>
      <c r="L3336">
        <f>LET(
    arrears_months,'Loan Tape (S&amp;P)'!AN3336,
    IF(arrears_months=0,1.00,
    IF(arrears_months=1,3.00,
    IF(arrears_months=2,5.00,
    IF(arrears_months=3,8.00,
    IF(arrears_months=4,10.00,
    IF(arrears_months=5,12.00,15.00)))))))</f>
        <v/>
      </c>
      <c r="M3336">
        <f>LET(
    seasoning_years,DATEDIF('Loan Tape (S&amp;P)'!K3336,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36">
        <f>IF(AND('Loan Tape (S&amp;P)'!U3336="Yes",
        'Loan Tape (S&amp;P)'!T3336&lt;&gt;"Yes",
        DATEDIF('Loan Tape (S&amp;P)'!K3336, TODAY(), "M")&lt;18),
    1.10,
    1.00)</f>
        <v/>
      </c>
      <c r="O3336">
        <f>IF('Loan Tape (S&amp;P)'!T3336="Yes",
    1.35,
    1.00)</f>
        <v/>
      </c>
      <c r="P3336">
        <f>IF('Loan Tape (S&amp;P)'!S3336="Yes",
    1.15,
    1.00)</f>
        <v/>
      </c>
      <c r="Q3336">
        <f>IF('Loan Tape (S&amp;P)'!V3336="Yes",
    1.20,
    1.00)</f>
        <v/>
      </c>
      <c r="T3336">
        <f>LET(
    payment_method,'Loan Tape (S&amp;P)'!P3336,
    occupancy,'Loan Tape (S&amp;P)'!N3336,
    maturity_date,'Loan Tape (S&amp;P)'!L3336,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37">
      <c r="J3337">
        <f>LET(
    lien,'Loan Tape (S&amp;P)'!Q3337,
    IF(lien="First",1.00,
        IF(lien="Second",1.50,
            1.70)))</f>
        <v/>
      </c>
      <c r="K3337">
        <f>LET(
    purpose,'Loan Tape (S&amp;P)'!R3337,
    IF(purpose="Purchase",1.00,
        IF(purpose="Remortgage",1.00,
            1.20)))</f>
        <v/>
      </c>
      <c r="L3337">
        <f>LET(
    arrears_months,'Loan Tape (S&amp;P)'!AN3337,
    IF(arrears_months=0,1.00,
    IF(arrears_months=1,3.00,
    IF(arrears_months=2,5.00,
    IF(arrears_months=3,8.00,
    IF(arrears_months=4,10.00,
    IF(arrears_months=5,12.00,15.00)))))))</f>
        <v/>
      </c>
      <c r="M3337">
        <f>LET(
    seasoning_years,DATEDIF('Loan Tape (S&amp;P)'!K3337,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37">
        <f>IF(AND('Loan Tape (S&amp;P)'!U3337="Yes",
        'Loan Tape (S&amp;P)'!T3337&lt;&gt;"Yes",
        DATEDIF('Loan Tape (S&amp;P)'!K3337, TODAY(), "M")&lt;18),
    1.10,
    1.00)</f>
        <v/>
      </c>
      <c r="O3337">
        <f>IF('Loan Tape (S&amp;P)'!T3337="Yes",
    1.35,
    1.00)</f>
        <v/>
      </c>
      <c r="P3337">
        <f>IF('Loan Tape (S&amp;P)'!S3337="Yes",
    1.15,
    1.00)</f>
        <v/>
      </c>
      <c r="Q3337">
        <f>IF('Loan Tape (S&amp;P)'!V3337="Yes",
    1.20,
    1.00)</f>
        <v/>
      </c>
      <c r="T3337">
        <f>LET(
    payment_method,'Loan Tape (S&amp;P)'!P3337,
    occupancy,'Loan Tape (S&amp;P)'!N3337,
    maturity_date,'Loan Tape (S&amp;P)'!L3337,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38">
      <c r="J3338">
        <f>LET(
    lien,'Loan Tape (S&amp;P)'!Q3338,
    IF(lien="First",1.00,
        IF(lien="Second",1.50,
            1.70)))</f>
        <v/>
      </c>
      <c r="K3338">
        <f>LET(
    purpose,'Loan Tape (S&amp;P)'!R3338,
    IF(purpose="Purchase",1.00,
        IF(purpose="Remortgage",1.00,
            1.20)))</f>
        <v/>
      </c>
      <c r="L3338">
        <f>LET(
    arrears_months,'Loan Tape (S&amp;P)'!AN3338,
    IF(arrears_months=0,1.00,
    IF(arrears_months=1,3.00,
    IF(arrears_months=2,5.00,
    IF(arrears_months=3,8.00,
    IF(arrears_months=4,10.00,
    IF(arrears_months=5,12.00,15.00)))))))</f>
        <v/>
      </c>
      <c r="M3338">
        <f>LET(
    seasoning_years,DATEDIF('Loan Tape (S&amp;P)'!K3338,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38">
        <f>IF(AND('Loan Tape (S&amp;P)'!U3338="Yes",
        'Loan Tape (S&amp;P)'!T3338&lt;&gt;"Yes",
        DATEDIF('Loan Tape (S&amp;P)'!K3338, TODAY(), "M")&lt;18),
    1.10,
    1.00)</f>
        <v/>
      </c>
      <c r="O3338">
        <f>IF('Loan Tape (S&amp;P)'!T3338="Yes",
    1.35,
    1.00)</f>
        <v/>
      </c>
      <c r="P3338">
        <f>IF('Loan Tape (S&amp;P)'!S3338="Yes",
    1.15,
    1.00)</f>
        <v/>
      </c>
      <c r="Q3338">
        <f>IF('Loan Tape (S&amp;P)'!V3338="Yes",
    1.20,
    1.00)</f>
        <v/>
      </c>
      <c r="T3338">
        <f>LET(
    payment_method,'Loan Tape (S&amp;P)'!P3338,
    occupancy,'Loan Tape (S&amp;P)'!N3338,
    maturity_date,'Loan Tape (S&amp;P)'!L3338,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39">
      <c r="J3339">
        <f>LET(
    lien,'Loan Tape (S&amp;P)'!Q3339,
    IF(lien="First",1.00,
        IF(lien="Second",1.50,
            1.70)))</f>
        <v/>
      </c>
      <c r="K3339">
        <f>LET(
    purpose,'Loan Tape (S&amp;P)'!R3339,
    IF(purpose="Purchase",1.00,
        IF(purpose="Remortgage",1.00,
            1.20)))</f>
        <v/>
      </c>
      <c r="L3339">
        <f>LET(
    arrears_months,'Loan Tape (S&amp;P)'!AN3339,
    IF(arrears_months=0,1.00,
    IF(arrears_months=1,3.00,
    IF(arrears_months=2,5.00,
    IF(arrears_months=3,8.00,
    IF(arrears_months=4,10.00,
    IF(arrears_months=5,12.00,15.00)))))))</f>
        <v/>
      </c>
      <c r="M3339">
        <f>LET(
    seasoning_years,DATEDIF('Loan Tape (S&amp;P)'!K3339,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39">
        <f>IF(AND('Loan Tape (S&amp;P)'!U3339="Yes",
        'Loan Tape (S&amp;P)'!T3339&lt;&gt;"Yes",
        DATEDIF('Loan Tape (S&amp;P)'!K3339, TODAY(), "M")&lt;18),
    1.10,
    1.00)</f>
        <v/>
      </c>
      <c r="O3339">
        <f>IF('Loan Tape (S&amp;P)'!T3339="Yes",
    1.35,
    1.00)</f>
        <v/>
      </c>
      <c r="P3339">
        <f>IF('Loan Tape (S&amp;P)'!S3339="Yes",
    1.15,
    1.00)</f>
        <v/>
      </c>
      <c r="Q3339">
        <f>IF('Loan Tape (S&amp;P)'!V3339="Yes",
    1.20,
    1.00)</f>
        <v/>
      </c>
      <c r="T3339">
        <f>LET(
    payment_method,'Loan Tape (S&amp;P)'!P3339,
    occupancy,'Loan Tape (S&amp;P)'!N3339,
    maturity_date,'Loan Tape (S&amp;P)'!L3339,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40">
      <c r="J3340">
        <f>LET(
    lien,'Loan Tape (S&amp;P)'!Q3340,
    IF(lien="First",1.00,
        IF(lien="Second",1.50,
            1.70)))</f>
        <v/>
      </c>
      <c r="K3340">
        <f>LET(
    purpose,'Loan Tape (S&amp;P)'!R3340,
    IF(purpose="Purchase",1.00,
        IF(purpose="Remortgage",1.00,
            1.20)))</f>
        <v/>
      </c>
      <c r="L3340">
        <f>LET(
    arrears_months,'Loan Tape (S&amp;P)'!AN3340,
    IF(arrears_months=0,1.00,
    IF(arrears_months=1,3.00,
    IF(arrears_months=2,5.00,
    IF(arrears_months=3,8.00,
    IF(arrears_months=4,10.00,
    IF(arrears_months=5,12.00,15.00)))))))</f>
        <v/>
      </c>
      <c r="M3340">
        <f>LET(
    seasoning_years,DATEDIF('Loan Tape (S&amp;P)'!K3340,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40">
        <f>IF(AND('Loan Tape (S&amp;P)'!U3340="Yes",
        'Loan Tape (S&amp;P)'!T3340&lt;&gt;"Yes",
        DATEDIF('Loan Tape (S&amp;P)'!K3340, TODAY(), "M")&lt;18),
    1.10,
    1.00)</f>
        <v/>
      </c>
      <c r="O3340">
        <f>IF('Loan Tape (S&amp;P)'!T3340="Yes",
    1.35,
    1.00)</f>
        <v/>
      </c>
      <c r="P3340">
        <f>IF('Loan Tape (S&amp;P)'!S3340="Yes",
    1.15,
    1.00)</f>
        <v/>
      </c>
      <c r="Q3340">
        <f>IF('Loan Tape (S&amp;P)'!V3340="Yes",
    1.20,
    1.00)</f>
        <v/>
      </c>
      <c r="T3340">
        <f>LET(
    payment_method,'Loan Tape (S&amp;P)'!P3340,
    occupancy,'Loan Tape (S&amp;P)'!N3340,
    maturity_date,'Loan Tape (S&amp;P)'!L3340,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41">
      <c r="J3341">
        <f>LET(
    lien,'Loan Tape (S&amp;P)'!Q3341,
    IF(lien="First",1.00,
        IF(lien="Second",1.50,
            1.70)))</f>
        <v/>
      </c>
      <c r="K3341">
        <f>LET(
    purpose,'Loan Tape (S&amp;P)'!R3341,
    IF(purpose="Purchase",1.00,
        IF(purpose="Remortgage",1.00,
            1.20)))</f>
        <v/>
      </c>
      <c r="L3341">
        <f>LET(
    arrears_months,'Loan Tape (S&amp;P)'!AN3341,
    IF(arrears_months=0,1.00,
    IF(arrears_months=1,3.00,
    IF(arrears_months=2,5.00,
    IF(arrears_months=3,8.00,
    IF(arrears_months=4,10.00,
    IF(arrears_months=5,12.00,15.00)))))))</f>
        <v/>
      </c>
      <c r="M3341">
        <f>LET(
    seasoning_years,DATEDIF('Loan Tape (S&amp;P)'!K3341,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41">
        <f>IF(AND('Loan Tape (S&amp;P)'!U3341="Yes",
        'Loan Tape (S&amp;P)'!T3341&lt;&gt;"Yes",
        DATEDIF('Loan Tape (S&amp;P)'!K3341, TODAY(), "M")&lt;18),
    1.10,
    1.00)</f>
        <v/>
      </c>
      <c r="O3341">
        <f>IF('Loan Tape (S&amp;P)'!T3341="Yes",
    1.35,
    1.00)</f>
        <v/>
      </c>
      <c r="P3341">
        <f>IF('Loan Tape (S&amp;P)'!S3341="Yes",
    1.15,
    1.00)</f>
        <v/>
      </c>
      <c r="Q3341">
        <f>IF('Loan Tape (S&amp;P)'!V3341="Yes",
    1.20,
    1.00)</f>
        <v/>
      </c>
      <c r="T3341">
        <f>LET(
    payment_method,'Loan Tape (S&amp;P)'!P3341,
    occupancy,'Loan Tape (S&amp;P)'!N3341,
    maturity_date,'Loan Tape (S&amp;P)'!L3341,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42">
      <c r="J3342">
        <f>LET(
    lien,'Loan Tape (S&amp;P)'!Q3342,
    IF(lien="First",1.00,
        IF(lien="Second",1.50,
            1.70)))</f>
        <v/>
      </c>
      <c r="K3342">
        <f>LET(
    purpose,'Loan Tape (S&amp;P)'!R3342,
    IF(purpose="Purchase",1.00,
        IF(purpose="Remortgage",1.00,
            1.20)))</f>
        <v/>
      </c>
      <c r="L3342">
        <f>LET(
    arrears_months,'Loan Tape (S&amp;P)'!AN3342,
    IF(arrears_months=0,1.00,
    IF(arrears_months=1,3.00,
    IF(arrears_months=2,5.00,
    IF(arrears_months=3,8.00,
    IF(arrears_months=4,10.00,
    IF(arrears_months=5,12.00,15.00)))))))</f>
        <v/>
      </c>
      <c r="M3342">
        <f>LET(
    seasoning_years,DATEDIF('Loan Tape (S&amp;P)'!K3342,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42">
        <f>IF(AND('Loan Tape (S&amp;P)'!U3342="Yes",
        'Loan Tape (S&amp;P)'!T3342&lt;&gt;"Yes",
        DATEDIF('Loan Tape (S&amp;P)'!K3342, TODAY(), "M")&lt;18),
    1.10,
    1.00)</f>
        <v/>
      </c>
      <c r="O3342">
        <f>IF('Loan Tape (S&amp;P)'!T3342="Yes",
    1.35,
    1.00)</f>
        <v/>
      </c>
      <c r="P3342">
        <f>IF('Loan Tape (S&amp;P)'!S3342="Yes",
    1.15,
    1.00)</f>
        <v/>
      </c>
      <c r="Q3342">
        <f>IF('Loan Tape (S&amp;P)'!V3342="Yes",
    1.20,
    1.00)</f>
        <v/>
      </c>
      <c r="T3342">
        <f>LET(
    payment_method,'Loan Tape (S&amp;P)'!P3342,
    occupancy,'Loan Tape (S&amp;P)'!N3342,
    maturity_date,'Loan Tape (S&amp;P)'!L3342,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43">
      <c r="J3343">
        <f>LET(
    lien,'Loan Tape (S&amp;P)'!Q3343,
    IF(lien="First",1.00,
        IF(lien="Second",1.50,
            1.70)))</f>
        <v/>
      </c>
      <c r="K3343">
        <f>LET(
    purpose,'Loan Tape (S&amp;P)'!R3343,
    IF(purpose="Purchase",1.00,
        IF(purpose="Remortgage",1.00,
            1.20)))</f>
        <v/>
      </c>
      <c r="L3343">
        <f>LET(
    arrears_months,'Loan Tape (S&amp;P)'!AN3343,
    IF(arrears_months=0,1.00,
    IF(arrears_months=1,3.00,
    IF(arrears_months=2,5.00,
    IF(arrears_months=3,8.00,
    IF(arrears_months=4,10.00,
    IF(arrears_months=5,12.00,15.00)))))))</f>
        <v/>
      </c>
      <c r="M3343">
        <f>LET(
    seasoning_years,DATEDIF('Loan Tape (S&amp;P)'!K3343,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43">
        <f>IF(AND('Loan Tape (S&amp;P)'!U3343="Yes",
        'Loan Tape (S&amp;P)'!T3343&lt;&gt;"Yes",
        DATEDIF('Loan Tape (S&amp;P)'!K3343, TODAY(), "M")&lt;18),
    1.10,
    1.00)</f>
        <v/>
      </c>
      <c r="O3343">
        <f>IF('Loan Tape (S&amp;P)'!T3343="Yes",
    1.35,
    1.00)</f>
        <v/>
      </c>
      <c r="P3343">
        <f>IF('Loan Tape (S&amp;P)'!S3343="Yes",
    1.15,
    1.00)</f>
        <v/>
      </c>
      <c r="Q3343">
        <f>IF('Loan Tape (S&amp;P)'!V3343="Yes",
    1.20,
    1.00)</f>
        <v/>
      </c>
      <c r="T3343">
        <f>LET(
    payment_method,'Loan Tape (S&amp;P)'!P3343,
    occupancy,'Loan Tape (S&amp;P)'!N3343,
    maturity_date,'Loan Tape (S&amp;P)'!L3343,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44">
      <c r="J3344">
        <f>LET(
    lien,'Loan Tape (S&amp;P)'!Q3344,
    IF(lien="First",1.00,
        IF(lien="Second",1.50,
            1.70)))</f>
        <v/>
      </c>
      <c r="K3344">
        <f>LET(
    purpose,'Loan Tape (S&amp;P)'!R3344,
    IF(purpose="Purchase",1.00,
        IF(purpose="Remortgage",1.00,
            1.20)))</f>
        <v/>
      </c>
      <c r="L3344">
        <f>LET(
    arrears_months,'Loan Tape (S&amp;P)'!AN3344,
    IF(arrears_months=0,1.00,
    IF(arrears_months=1,3.00,
    IF(arrears_months=2,5.00,
    IF(arrears_months=3,8.00,
    IF(arrears_months=4,10.00,
    IF(arrears_months=5,12.00,15.00)))))))</f>
        <v/>
      </c>
      <c r="M3344">
        <f>LET(
    seasoning_years,DATEDIF('Loan Tape (S&amp;P)'!K3344,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44">
        <f>IF(AND('Loan Tape (S&amp;P)'!U3344="Yes",
        'Loan Tape (S&amp;P)'!T3344&lt;&gt;"Yes",
        DATEDIF('Loan Tape (S&amp;P)'!K3344, TODAY(), "M")&lt;18),
    1.10,
    1.00)</f>
        <v/>
      </c>
      <c r="O3344">
        <f>IF('Loan Tape (S&amp;P)'!T3344="Yes",
    1.35,
    1.00)</f>
        <v/>
      </c>
      <c r="P3344">
        <f>IF('Loan Tape (S&amp;P)'!S3344="Yes",
    1.15,
    1.00)</f>
        <v/>
      </c>
      <c r="Q3344">
        <f>IF('Loan Tape (S&amp;P)'!V3344="Yes",
    1.20,
    1.00)</f>
        <v/>
      </c>
      <c r="T3344">
        <f>LET(
    payment_method,'Loan Tape (S&amp;P)'!P3344,
    occupancy,'Loan Tape (S&amp;P)'!N3344,
    maturity_date,'Loan Tape (S&amp;P)'!L3344,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45">
      <c r="J3345">
        <f>LET(
    lien,'Loan Tape (S&amp;P)'!Q3345,
    IF(lien="First",1.00,
        IF(lien="Second",1.50,
            1.70)))</f>
        <v/>
      </c>
      <c r="K3345">
        <f>LET(
    purpose,'Loan Tape (S&amp;P)'!R3345,
    IF(purpose="Purchase",1.00,
        IF(purpose="Remortgage",1.00,
            1.20)))</f>
        <v/>
      </c>
      <c r="L3345">
        <f>LET(
    arrears_months,'Loan Tape (S&amp;P)'!AN3345,
    IF(arrears_months=0,1.00,
    IF(arrears_months=1,3.00,
    IF(arrears_months=2,5.00,
    IF(arrears_months=3,8.00,
    IF(arrears_months=4,10.00,
    IF(arrears_months=5,12.00,15.00)))))))</f>
        <v/>
      </c>
      <c r="M3345">
        <f>LET(
    seasoning_years,DATEDIF('Loan Tape (S&amp;P)'!K3345,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45">
        <f>IF(AND('Loan Tape (S&amp;P)'!U3345="Yes",
        'Loan Tape (S&amp;P)'!T3345&lt;&gt;"Yes",
        DATEDIF('Loan Tape (S&amp;P)'!K3345, TODAY(), "M")&lt;18),
    1.10,
    1.00)</f>
        <v/>
      </c>
      <c r="O3345">
        <f>IF('Loan Tape (S&amp;P)'!T3345="Yes",
    1.35,
    1.00)</f>
        <v/>
      </c>
      <c r="P3345">
        <f>IF('Loan Tape (S&amp;P)'!S3345="Yes",
    1.15,
    1.00)</f>
        <v/>
      </c>
      <c r="Q3345">
        <f>IF('Loan Tape (S&amp;P)'!V3345="Yes",
    1.20,
    1.00)</f>
        <v/>
      </c>
      <c r="T3345">
        <f>LET(
    payment_method,'Loan Tape (S&amp;P)'!P3345,
    occupancy,'Loan Tape (S&amp;P)'!N3345,
    maturity_date,'Loan Tape (S&amp;P)'!L3345,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46">
      <c r="J3346">
        <f>LET(
    lien,'Loan Tape (S&amp;P)'!Q3346,
    IF(lien="First",1.00,
        IF(lien="Second",1.50,
            1.70)))</f>
        <v/>
      </c>
      <c r="K3346">
        <f>LET(
    purpose,'Loan Tape (S&amp;P)'!R3346,
    IF(purpose="Purchase",1.00,
        IF(purpose="Remortgage",1.00,
            1.20)))</f>
        <v/>
      </c>
      <c r="L3346">
        <f>LET(
    arrears_months,'Loan Tape (S&amp;P)'!AN3346,
    IF(arrears_months=0,1.00,
    IF(arrears_months=1,3.00,
    IF(arrears_months=2,5.00,
    IF(arrears_months=3,8.00,
    IF(arrears_months=4,10.00,
    IF(arrears_months=5,12.00,15.00)))))))</f>
        <v/>
      </c>
      <c r="M3346">
        <f>LET(
    seasoning_years,DATEDIF('Loan Tape (S&amp;P)'!K3346,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46">
        <f>IF(AND('Loan Tape (S&amp;P)'!U3346="Yes",
        'Loan Tape (S&amp;P)'!T3346&lt;&gt;"Yes",
        DATEDIF('Loan Tape (S&amp;P)'!K3346, TODAY(), "M")&lt;18),
    1.10,
    1.00)</f>
        <v/>
      </c>
      <c r="O3346">
        <f>IF('Loan Tape (S&amp;P)'!T3346="Yes",
    1.35,
    1.00)</f>
        <v/>
      </c>
      <c r="P3346">
        <f>IF('Loan Tape (S&amp;P)'!S3346="Yes",
    1.15,
    1.00)</f>
        <v/>
      </c>
      <c r="Q3346">
        <f>IF('Loan Tape (S&amp;P)'!V3346="Yes",
    1.20,
    1.00)</f>
        <v/>
      </c>
      <c r="T3346">
        <f>LET(
    payment_method,'Loan Tape (S&amp;P)'!P3346,
    occupancy,'Loan Tape (S&amp;P)'!N3346,
    maturity_date,'Loan Tape (S&amp;P)'!L3346,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47">
      <c r="J3347">
        <f>LET(
    lien,'Loan Tape (S&amp;P)'!Q3347,
    IF(lien="First",1.00,
        IF(lien="Second",1.50,
            1.70)))</f>
        <v/>
      </c>
      <c r="K3347">
        <f>LET(
    purpose,'Loan Tape (S&amp;P)'!R3347,
    IF(purpose="Purchase",1.00,
        IF(purpose="Remortgage",1.00,
            1.20)))</f>
        <v/>
      </c>
      <c r="L3347">
        <f>LET(
    arrears_months,'Loan Tape (S&amp;P)'!AN3347,
    IF(arrears_months=0,1.00,
    IF(arrears_months=1,3.00,
    IF(arrears_months=2,5.00,
    IF(arrears_months=3,8.00,
    IF(arrears_months=4,10.00,
    IF(arrears_months=5,12.00,15.00)))))))</f>
        <v/>
      </c>
      <c r="M3347">
        <f>LET(
    seasoning_years,DATEDIF('Loan Tape (S&amp;P)'!K3347,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47">
        <f>IF(AND('Loan Tape (S&amp;P)'!U3347="Yes",
        'Loan Tape (S&amp;P)'!T3347&lt;&gt;"Yes",
        DATEDIF('Loan Tape (S&amp;P)'!K3347, TODAY(), "M")&lt;18),
    1.10,
    1.00)</f>
        <v/>
      </c>
      <c r="O3347">
        <f>IF('Loan Tape (S&amp;P)'!T3347="Yes",
    1.35,
    1.00)</f>
        <v/>
      </c>
      <c r="P3347">
        <f>IF('Loan Tape (S&amp;P)'!S3347="Yes",
    1.15,
    1.00)</f>
        <v/>
      </c>
      <c r="Q3347">
        <f>IF('Loan Tape (S&amp;P)'!V3347="Yes",
    1.20,
    1.00)</f>
        <v/>
      </c>
      <c r="T3347">
        <f>LET(
    payment_method,'Loan Tape (S&amp;P)'!P3347,
    occupancy,'Loan Tape (S&amp;P)'!N3347,
    maturity_date,'Loan Tape (S&amp;P)'!L3347,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48">
      <c r="J3348">
        <f>LET(
    lien,'Loan Tape (S&amp;P)'!Q3348,
    IF(lien="First",1.00,
        IF(lien="Second",1.50,
            1.70)))</f>
        <v/>
      </c>
      <c r="K3348">
        <f>LET(
    purpose,'Loan Tape (S&amp;P)'!R3348,
    IF(purpose="Purchase",1.00,
        IF(purpose="Remortgage",1.00,
            1.20)))</f>
        <v/>
      </c>
      <c r="L3348">
        <f>LET(
    arrears_months,'Loan Tape (S&amp;P)'!AN3348,
    IF(arrears_months=0,1.00,
    IF(arrears_months=1,3.00,
    IF(arrears_months=2,5.00,
    IF(arrears_months=3,8.00,
    IF(arrears_months=4,10.00,
    IF(arrears_months=5,12.00,15.00)))))))</f>
        <v/>
      </c>
      <c r="M3348">
        <f>LET(
    seasoning_years,DATEDIF('Loan Tape (S&amp;P)'!K3348,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48">
        <f>IF(AND('Loan Tape (S&amp;P)'!U3348="Yes",
        'Loan Tape (S&amp;P)'!T3348&lt;&gt;"Yes",
        DATEDIF('Loan Tape (S&amp;P)'!K3348, TODAY(), "M")&lt;18),
    1.10,
    1.00)</f>
        <v/>
      </c>
      <c r="O3348">
        <f>IF('Loan Tape (S&amp;P)'!T3348="Yes",
    1.35,
    1.00)</f>
        <v/>
      </c>
      <c r="P3348">
        <f>IF('Loan Tape (S&amp;P)'!S3348="Yes",
    1.15,
    1.00)</f>
        <v/>
      </c>
      <c r="Q3348">
        <f>IF('Loan Tape (S&amp;P)'!V3348="Yes",
    1.20,
    1.00)</f>
        <v/>
      </c>
      <c r="T3348">
        <f>LET(
    payment_method,'Loan Tape (S&amp;P)'!P3348,
    occupancy,'Loan Tape (S&amp;P)'!N3348,
    maturity_date,'Loan Tape (S&amp;P)'!L3348,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49">
      <c r="J3349">
        <f>LET(
    lien,'Loan Tape (S&amp;P)'!Q3349,
    IF(lien="First",1.00,
        IF(lien="Second",1.50,
            1.70)))</f>
        <v/>
      </c>
      <c r="K3349">
        <f>LET(
    purpose,'Loan Tape (S&amp;P)'!R3349,
    IF(purpose="Purchase",1.00,
        IF(purpose="Remortgage",1.00,
            1.20)))</f>
        <v/>
      </c>
      <c r="L3349">
        <f>LET(
    arrears_months,'Loan Tape (S&amp;P)'!AN3349,
    IF(arrears_months=0,1.00,
    IF(arrears_months=1,3.00,
    IF(arrears_months=2,5.00,
    IF(arrears_months=3,8.00,
    IF(arrears_months=4,10.00,
    IF(arrears_months=5,12.00,15.00)))))))</f>
        <v/>
      </c>
      <c r="M3349">
        <f>LET(
    seasoning_years,DATEDIF('Loan Tape (S&amp;P)'!K3349,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49">
        <f>IF(AND('Loan Tape (S&amp;P)'!U3349="Yes",
        'Loan Tape (S&amp;P)'!T3349&lt;&gt;"Yes",
        DATEDIF('Loan Tape (S&amp;P)'!K3349, TODAY(), "M")&lt;18),
    1.10,
    1.00)</f>
        <v/>
      </c>
      <c r="O3349">
        <f>IF('Loan Tape (S&amp;P)'!T3349="Yes",
    1.35,
    1.00)</f>
        <v/>
      </c>
      <c r="P3349">
        <f>IF('Loan Tape (S&amp;P)'!S3349="Yes",
    1.15,
    1.00)</f>
        <v/>
      </c>
      <c r="Q3349">
        <f>IF('Loan Tape (S&amp;P)'!V3349="Yes",
    1.20,
    1.00)</f>
        <v/>
      </c>
      <c r="T3349">
        <f>LET(
    payment_method,'Loan Tape (S&amp;P)'!P3349,
    occupancy,'Loan Tape (S&amp;P)'!N3349,
    maturity_date,'Loan Tape (S&amp;P)'!L3349,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50">
      <c r="J3350">
        <f>LET(
    lien,'Loan Tape (S&amp;P)'!Q3350,
    IF(lien="First",1.00,
        IF(lien="Second",1.50,
            1.70)))</f>
        <v/>
      </c>
      <c r="K3350">
        <f>LET(
    purpose,'Loan Tape (S&amp;P)'!R3350,
    IF(purpose="Purchase",1.00,
        IF(purpose="Remortgage",1.00,
            1.20)))</f>
        <v/>
      </c>
      <c r="L3350">
        <f>LET(
    arrears_months,'Loan Tape (S&amp;P)'!AN3350,
    IF(arrears_months=0,1.00,
    IF(arrears_months=1,3.00,
    IF(arrears_months=2,5.00,
    IF(arrears_months=3,8.00,
    IF(arrears_months=4,10.00,
    IF(arrears_months=5,12.00,15.00)))))))</f>
        <v/>
      </c>
      <c r="M3350">
        <f>LET(
    seasoning_years,DATEDIF('Loan Tape (S&amp;P)'!K3350,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50">
        <f>IF(AND('Loan Tape (S&amp;P)'!U3350="Yes",
        'Loan Tape (S&amp;P)'!T3350&lt;&gt;"Yes",
        DATEDIF('Loan Tape (S&amp;P)'!K3350, TODAY(), "M")&lt;18),
    1.10,
    1.00)</f>
        <v/>
      </c>
      <c r="O3350">
        <f>IF('Loan Tape (S&amp;P)'!T3350="Yes",
    1.35,
    1.00)</f>
        <v/>
      </c>
      <c r="P3350">
        <f>IF('Loan Tape (S&amp;P)'!S3350="Yes",
    1.15,
    1.00)</f>
        <v/>
      </c>
      <c r="Q3350">
        <f>IF('Loan Tape (S&amp;P)'!V3350="Yes",
    1.20,
    1.00)</f>
        <v/>
      </c>
      <c r="T3350">
        <f>LET(
    payment_method,'Loan Tape (S&amp;P)'!P3350,
    occupancy,'Loan Tape (S&amp;P)'!N3350,
    maturity_date,'Loan Tape (S&amp;P)'!L3350,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51">
      <c r="J3351">
        <f>LET(
    lien,'Loan Tape (S&amp;P)'!Q3351,
    IF(lien="First",1.00,
        IF(lien="Second",1.50,
            1.70)))</f>
        <v/>
      </c>
      <c r="K3351">
        <f>LET(
    purpose,'Loan Tape (S&amp;P)'!R3351,
    IF(purpose="Purchase",1.00,
        IF(purpose="Remortgage",1.00,
            1.20)))</f>
        <v/>
      </c>
      <c r="L3351">
        <f>LET(
    arrears_months,'Loan Tape (S&amp;P)'!AN3351,
    IF(arrears_months=0,1.00,
    IF(arrears_months=1,3.00,
    IF(arrears_months=2,5.00,
    IF(arrears_months=3,8.00,
    IF(arrears_months=4,10.00,
    IF(arrears_months=5,12.00,15.00)))))))</f>
        <v/>
      </c>
      <c r="M3351">
        <f>LET(
    seasoning_years,DATEDIF('Loan Tape (S&amp;P)'!K3351,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51">
        <f>IF(AND('Loan Tape (S&amp;P)'!U3351="Yes",
        'Loan Tape (S&amp;P)'!T3351&lt;&gt;"Yes",
        DATEDIF('Loan Tape (S&amp;P)'!K3351, TODAY(), "M")&lt;18),
    1.10,
    1.00)</f>
        <v/>
      </c>
      <c r="O3351">
        <f>IF('Loan Tape (S&amp;P)'!T3351="Yes",
    1.35,
    1.00)</f>
        <v/>
      </c>
      <c r="P3351">
        <f>IF('Loan Tape (S&amp;P)'!S3351="Yes",
    1.15,
    1.00)</f>
        <v/>
      </c>
      <c r="Q3351">
        <f>IF('Loan Tape (S&amp;P)'!V3351="Yes",
    1.20,
    1.00)</f>
        <v/>
      </c>
      <c r="T3351">
        <f>LET(
    payment_method,'Loan Tape (S&amp;P)'!P3351,
    occupancy,'Loan Tape (S&amp;P)'!N3351,
    maturity_date,'Loan Tape (S&amp;P)'!L3351,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52">
      <c r="J3352">
        <f>LET(
    lien,'Loan Tape (S&amp;P)'!Q3352,
    IF(lien="First",1.00,
        IF(lien="Second",1.50,
            1.70)))</f>
        <v/>
      </c>
      <c r="K3352">
        <f>LET(
    purpose,'Loan Tape (S&amp;P)'!R3352,
    IF(purpose="Purchase",1.00,
        IF(purpose="Remortgage",1.00,
            1.20)))</f>
        <v/>
      </c>
      <c r="L3352">
        <f>LET(
    arrears_months,'Loan Tape (S&amp;P)'!AN3352,
    IF(arrears_months=0,1.00,
    IF(arrears_months=1,3.00,
    IF(arrears_months=2,5.00,
    IF(arrears_months=3,8.00,
    IF(arrears_months=4,10.00,
    IF(arrears_months=5,12.00,15.00)))))))</f>
        <v/>
      </c>
      <c r="M3352">
        <f>LET(
    seasoning_years,DATEDIF('Loan Tape (S&amp;P)'!K3352,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52">
        <f>IF(AND('Loan Tape (S&amp;P)'!U3352="Yes",
        'Loan Tape (S&amp;P)'!T3352&lt;&gt;"Yes",
        DATEDIF('Loan Tape (S&amp;P)'!K3352, TODAY(), "M")&lt;18),
    1.10,
    1.00)</f>
        <v/>
      </c>
      <c r="O3352">
        <f>IF('Loan Tape (S&amp;P)'!T3352="Yes",
    1.35,
    1.00)</f>
        <v/>
      </c>
      <c r="P3352">
        <f>IF('Loan Tape (S&amp;P)'!S3352="Yes",
    1.15,
    1.00)</f>
        <v/>
      </c>
      <c r="Q3352">
        <f>IF('Loan Tape (S&amp;P)'!V3352="Yes",
    1.20,
    1.00)</f>
        <v/>
      </c>
      <c r="T3352">
        <f>LET(
    payment_method,'Loan Tape (S&amp;P)'!P3352,
    occupancy,'Loan Tape (S&amp;P)'!N3352,
    maturity_date,'Loan Tape (S&amp;P)'!L3352,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53">
      <c r="J3353">
        <f>LET(
    lien,'Loan Tape (S&amp;P)'!Q3353,
    IF(lien="First",1.00,
        IF(lien="Second",1.50,
            1.70)))</f>
        <v/>
      </c>
      <c r="K3353">
        <f>LET(
    purpose,'Loan Tape (S&amp;P)'!R3353,
    IF(purpose="Purchase",1.00,
        IF(purpose="Remortgage",1.00,
            1.20)))</f>
        <v/>
      </c>
      <c r="L3353">
        <f>LET(
    arrears_months,'Loan Tape (S&amp;P)'!AN3353,
    IF(arrears_months=0,1.00,
    IF(arrears_months=1,3.00,
    IF(arrears_months=2,5.00,
    IF(arrears_months=3,8.00,
    IF(arrears_months=4,10.00,
    IF(arrears_months=5,12.00,15.00)))))))</f>
        <v/>
      </c>
      <c r="M3353">
        <f>LET(
    seasoning_years,DATEDIF('Loan Tape (S&amp;P)'!K3353,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53">
        <f>IF(AND('Loan Tape (S&amp;P)'!U3353="Yes",
        'Loan Tape (S&amp;P)'!T3353&lt;&gt;"Yes",
        DATEDIF('Loan Tape (S&amp;P)'!K3353, TODAY(), "M")&lt;18),
    1.10,
    1.00)</f>
        <v/>
      </c>
      <c r="O3353">
        <f>IF('Loan Tape (S&amp;P)'!T3353="Yes",
    1.35,
    1.00)</f>
        <v/>
      </c>
      <c r="P3353">
        <f>IF('Loan Tape (S&amp;P)'!S3353="Yes",
    1.15,
    1.00)</f>
        <v/>
      </c>
      <c r="Q3353">
        <f>IF('Loan Tape (S&amp;P)'!V3353="Yes",
    1.20,
    1.00)</f>
        <v/>
      </c>
      <c r="T3353">
        <f>LET(
    payment_method,'Loan Tape (S&amp;P)'!P3353,
    occupancy,'Loan Tape (S&amp;P)'!N3353,
    maturity_date,'Loan Tape (S&amp;P)'!L3353,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54">
      <c r="J3354">
        <f>LET(
    lien,'Loan Tape (S&amp;P)'!Q3354,
    IF(lien="First",1.00,
        IF(lien="Second",1.50,
            1.70)))</f>
        <v/>
      </c>
      <c r="K3354">
        <f>LET(
    purpose,'Loan Tape (S&amp;P)'!R3354,
    IF(purpose="Purchase",1.00,
        IF(purpose="Remortgage",1.00,
            1.20)))</f>
        <v/>
      </c>
      <c r="L3354">
        <f>LET(
    arrears_months,'Loan Tape (S&amp;P)'!AN3354,
    IF(arrears_months=0,1.00,
    IF(arrears_months=1,3.00,
    IF(arrears_months=2,5.00,
    IF(arrears_months=3,8.00,
    IF(arrears_months=4,10.00,
    IF(arrears_months=5,12.00,15.00)))))))</f>
        <v/>
      </c>
      <c r="M3354">
        <f>LET(
    seasoning_years,DATEDIF('Loan Tape (S&amp;P)'!K3354,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54">
        <f>IF(AND('Loan Tape (S&amp;P)'!U3354="Yes",
        'Loan Tape (S&amp;P)'!T3354&lt;&gt;"Yes",
        DATEDIF('Loan Tape (S&amp;P)'!K3354, TODAY(), "M")&lt;18),
    1.10,
    1.00)</f>
        <v/>
      </c>
      <c r="O3354">
        <f>IF('Loan Tape (S&amp;P)'!T3354="Yes",
    1.35,
    1.00)</f>
        <v/>
      </c>
      <c r="P3354">
        <f>IF('Loan Tape (S&amp;P)'!S3354="Yes",
    1.15,
    1.00)</f>
        <v/>
      </c>
      <c r="Q3354">
        <f>IF('Loan Tape (S&amp;P)'!V3354="Yes",
    1.20,
    1.00)</f>
        <v/>
      </c>
      <c r="T3354">
        <f>LET(
    payment_method,'Loan Tape (S&amp;P)'!P3354,
    occupancy,'Loan Tape (S&amp;P)'!N3354,
    maturity_date,'Loan Tape (S&amp;P)'!L3354,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55">
      <c r="J3355">
        <f>LET(
    lien,'Loan Tape (S&amp;P)'!Q3355,
    IF(lien="First",1.00,
        IF(lien="Second",1.50,
            1.70)))</f>
        <v/>
      </c>
      <c r="K3355">
        <f>LET(
    purpose,'Loan Tape (S&amp;P)'!R3355,
    IF(purpose="Purchase",1.00,
        IF(purpose="Remortgage",1.00,
            1.20)))</f>
        <v/>
      </c>
      <c r="L3355">
        <f>LET(
    arrears_months,'Loan Tape (S&amp;P)'!AN3355,
    IF(arrears_months=0,1.00,
    IF(arrears_months=1,3.00,
    IF(arrears_months=2,5.00,
    IF(arrears_months=3,8.00,
    IF(arrears_months=4,10.00,
    IF(arrears_months=5,12.00,15.00)))))))</f>
        <v/>
      </c>
      <c r="M3355">
        <f>LET(
    seasoning_years,DATEDIF('Loan Tape (S&amp;P)'!K3355,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55">
        <f>IF(AND('Loan Tape (S&amp;P)'!U3355="Yes",
        'Loan Tape (S&amp;P)'!T3355&lt;&gt;"Yes",
        DATEDIF('Loan Tape (S&amp;P)'!K3355, TODAY(), "M")&lt;18),
    1.10,
    1.00)</f>
        <v/>
      </c>
      <c r="O3355">
        <f>IF('Loan Tape (S&amp;P)'!T3355="Yes",
    1.35,
    1.00)</f>
        <v/>
      </c>
      <c r="P3355">
        <f>IF('Loan Tape (S&amp;P)'!S3355="Yes",
    1.15,
    1.00)</f>
        <v/>
      </c>
      <c r="Q3355">
        <f>IF('Loan Tape (S&amp;P)'!V3355="Yes",
    1.20,
    1.00)</f>
        <v/>
      </c>
      <c r="T3355">
        <f>LET(
    payment_method,'Loan Tape (S&amp;P)'!P3355,
    occupancy,'Loan Tape (S&amp;P)'!N3355,
    maturity_date,'Loan Tape (S&amp;P)'!L3355,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56">
      <c r="J3356">
        <f>LET(
    lien,'Loan Tape (S&amp;P)'!Q3356,
    IF(lien="First",1.00,
        IF(lien="Second",1.50,
            1.70)))</f>
        <v/>
      </c>
      <c r="K3356">
        <f>LET(
    purpose,'Loan Tape (S&amp;P)'!R3356,
    IF(purpose="Purchase",1.00,
        IF(purpose="Remortgage",1.00,
            1.20)))</f>
        <v/>
      </c>
      <c r="L3356">
        <f>LET(
    arrears_months,'Loan Tape (S&amp;P)'!AN3356,
    IF(arrears_months=0,1.00,
    IF(arrears_months=1,3.00,
    IF(arrears_months=2,5.00,
    IF(arrears_months=3,8.00,
    IF(arrears_months=4,10.00,
    IF(arrears_months=5,12.00,15.00)))))))</f>
        <v/>
      </c>
      <c r="M3356">
        <f>LET(
    seasoning_years,DATEDIF('Loan Tape (S&amp;P)'!K3356,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56">
        <f>IF(AND('Loan Tape (S&amp;P)'!U3356="Yes",
        'Loan Tape (S&amp;P)'!T3356&lt;&gt;"Yes",
        DATEDIF('Loan Tape (S&amp;P)'!K3356, TODAY(), "M")&lt;18),
    1.10,
    1.00)</f>
        <v/>
      </c>
      <c r="O3356">
        <f>IF('Loan Tape (S&amp;P)'!T3356="Yes",
    1.35,
    1.00)</f>
        <v/>
      </c>
      <c r="P3356">
        <f>IF('Loan Tape (S&amp;P)'!S3356="Yes",
    1.15,
    1.00)</f>
        <v/>
      </c>
      <c r="Q3356">
        <f>IF('Loan Tape (S&amp;P)'!V3356="Yes",
    1.20,
    1.00)</f>
        <v/>
      </c>
      <c r="T3356">
        <f>LET(
    payment_method,'Loan Tape (S&amp;P)'!P3356,
    occupancy,'Loan Tape (S&amp;P)'!N3356,
    maturity_date,'Loan Tape (S&amp;P)'!L3356,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57">
      <c r="J3357">
        <f>LET(
    lien,'Loan Tape (S&amp;P)'!Q3357,
    IF(lien="First",1.00,
        IF(lien="Second",1.50,
            1.70)))</f>
        <v/>
      </c>
      <c r="K3357">
        <f>LET(
    purpose,'Loan Tape (S&amp;P)'!R3357,
    IF(purpose="Purchase",1.00,
        IF(purpose="Remortgage",1.00,
            1.20)))</f>
        <v/>
      </c>
      <c r="L3357">
        <f>LET(
    arrears_months,'Loan Tape (S&amp;P)'!AN3357,
    IF(arrears_months=0,1.00,
    IF(arrears_months=1,3.00,
    IF(arrears_months=2,5.00,
    IF(arrears_months=3,8.00,
    IF(arrears_months=4,10.00,
    IF(arrears_months=5,12.00,15.00)))))))</f>
        <v/>
      </c>
      <c r="M3357">
        <f>LET(
    seasoning_years,DATEDIF('Loan Tape (S&amp;P)'!K3357,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57">
        <f>IF(AND('Loan Tape (S&amp;P)'!U3357="Yes",
        'Loan Tape (S&amp;P)'!T3357&lt;&gt;"Yes",
        DATEDIF('Loan Tape (S&amp;P)'!K3357, TODAY(), "M")&lt;18),
    1.10,
    1.00)</f>
        <v/>
      </c>
      <c r="O3357">
        <f>IF('Loan Tape (S&amp;P)'!T3357="Yes",
    1.35,
    1.00)</f>
        <v/>
      </c>
      <c r="P3357">
        <f>IF('Loan Tape (S&amp;P)'!S3357="Yes",
    1.15,
    1.00)</f>
        <v/>
      </c>
      <c r="Q3357">
        <f>IF('Loan Tape (S&amp;P)'!V3357="Yes",
    1.20,
    1.00)</f>
        <v/>
      </c>
      <c r="T3357">
        <f>LET(
    payment_method,'Loan Tape (S&amp;P)'!P3357,
    occupancy,'Loan Tape (S&amp;P)'!N3357,
    maturity_date,'Loan Tape (S&amp;P)'!L3357,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58">
      <c r="J3358">
        <f>LET(
    lien,'Loan Tape (S&amp;P)'!Q3358,
    IF(lien="First",1.00,
        IF(lien="Second",1.50,
            1.70)))</f>
        <v/>
      </c>
      <c r="K3358">
        <f>LET(
    purpose,'Loan Tape (S&amp;P)'!R3358,
    IF(purpose="Purchase",1.00,
        IF(purpose="Remortgage",1.00,
            1.20)))</f>
        <v/>
      </c>
      <c r="L3358">
        <f>LET(
    arrears_months,'Loan Tape (S&amp;P)'!AN3358,
    IF(arrears_months=0,1.00,
    IF(arrears_months=1,3.00,
    IF(arrears_months=2,5.00,
    IF(arrears_months=3,8.00,
    IF(arrears_months=4,10.00,
    IF(arrears_months=5,12.00,15.00)))))))</f>
        <v/>
      </c>
      <c r="M3358">
        <f>LET(
    seasoning_years,DATEDIF('Loan Tape (S&amp;P)'!K3358,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58">
        <f>IF(AND('Loan Tape (S&amp;P)'!U3358="Yes",
        'Loan Tape (S&amp;P)'!T3358&lt;&gt;"Yes",
        DATEDIF('Loan Tape (S&amp;P)'!K3358, TODAY(), "M")&lt;18),
    1.10,
    1.00)</f>
        <v/>
      </c>
      <c r="O3358">
        <f>IF('Loan Tape (S&amp;P)'!T3358="Yes",
    1.35,
    1.00)</f>
        <v/>
      </c>
      <c r="P3358">
        <f>IF('Loan Tape (S&amp;P)'!S3358="Yes",
    1.15,
    1.00)</f>
        <v/>
      </c>
      <c r="Q3358">
        <f>IF('Loan Tape (S&amp;P)'!V3358="Yes",
    1.20,
    1.00)</f>
        <v/>
      </c>
      <c r="T3358">
        <f>LET(
    payment_method,'Loan Tape (S&amp;P)'!P3358,
    occupancy,'Loan Tape (S&amp;P)'!N3358,
    maturity_date,'Loan Tape (S&amp;P)'!L3358,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59">
      <c r="J3359">
        <f>LET(
    lien,'Loan Tape (S&amp;P)'!Q3359,
    IF(lien="First",1.00,
        IF(lien="Second",1.50,
            1.70)))</f>
        <v/>
      </c>
      <c r="K3359">
        <f>LET(
    purpose,'Loan Tape (S&amp;P)'!R3359,
    IF(purpose="Purchase",1.00,
        IF(purpose="Remortgage",1.00,
            1.20)))</f>
        <v/>
      </c>
      <c r="L3359">
        <f>LET(
    arrears_months,'Loan Tape (S&amp;P)'!AN3359,
    IF(arrears_months=0,1.00,
    IF(arrears_months=1,3.00,
    IF(arrears_months=2,5.00,
    IF(arrears_months=3,8.00,
    IF(arrears_months=4,10.00,
    IF(arrears_months=5,12.00,15.00)))))))</f>
        <v/>
      </c>
      <c r="M3359">
        <f>LET(
    seasoning_years,DATEDIF('Loan Tape (S&amp;P)'!K3359,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59">
        <f>IF(AND('Loan Tape (S&amp;P)'!U3359="Yes",
        'Loan Tape (S&amp;P)'!T3359&lt;&gt;"Yes",
        DATEDIF('Loan Tape (S&amp;P)'!K3359, TODAY(), "M")&lt;18),
    1.10,
    1.00)</f>
        <v/>
      </c>
      <c r="O3359">
        <f>IF('Loan Tape (S&amp;P)'!T3359="Yes",
    1.35,
    1.00)</f>
        <v/>
      </c>
      <c r="P3359">
        <f>IF('Loan Tape (S&amp;P)'!S3359="Yes",
    1.15,
    1.00)</f>
        <v/>
      </c>
      <c r="Q3359">
        <f>IF('Loan Tape (S&amp;P)'!V3359="Yes",
    1.20,
    1.00)</f>
        <v/>
      </c>
      <c r="T3359">
        <f>LET(
    payment_method,'Loan Tape (S&amp;P)'!P3359,
    occupancy,'Loan Tape (S&amp;P)'!N3359,
    maturity_date,'Loan Tape (S&amp;P)'!L3359,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60">
      <c r="J3360">
        <f>LET(
    lien,'Loan Tape (S&amp;P)'!Q3360,
    IF(lien="First",1.00,
        IF(lien="Second",1.50,
            1.70)))</f>
        <v/>
      </c>
      <c r="K3360">
        <f>LET(
    purpose,'Loan Tape (S&amp;P)'!R3360,
    IF(purpose="Purchase",1.00,
        IF(purpose="Remortgage",1.00,
            1.20)))</f>
        <v/>
      </c>
      <c r="L3360">
        <f>LET(
    arrears_months,'Loan Tape (S&amp;P)'!AN3360,
    IF(arrears_months=0,1.00,
    IF(arrears_months=1,3.00,
    IF(arrears_months=2,5.00,
    IF(arrears_months=3,8.00,
    IF(arrears_months=4,10.00,
    IF(arrears_months=5,12.00,15.00)))))))</f>
        <v/>
      </c>
      <c r="M3360">
        <f>LET(
    seasoning_years,DATEDIF('Loan Tape (S&amp;P)'!K3360,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60">
        <f>IF(AND('Loan Tape (S&amp;P)'!U3360="Yes",
        'Loan Tape (S&amp;P)'!T3360&lt;&gt;"Yes",
        DATEDIF('Loan Tape (S&amp;P)'!K3360, TODAY(), "M")&lt;18),
    1.10,
    1.00)</f>
        <v/>
      </c>
      <c r="O3360">
        <f>IF('Loan Tape (S&amp;P)'!T3360="Yes",
    1.35,
    1.00)</f>
        <v/>
      </c>
      <c r="P3360">
        <f>IF('Loan Tape (S&amp;P)'!S3360="Yes",
    1.15,
    1.00)</f>
        <v/>
      </c>
      <c r="Q3360">
        <f>IF('Loan Tape (S&amp;P)'!V3360="Yes",
    1.20,
    1.00)</f>
        <v/>
      </c>
      <c r="T3360">
        <f>LET(
    payment_method,'Loan Tape (S&amp;P)'!P3360,
    occupancy,'Loan Tape (S&amp;P)'!N3360,
    maturity_date,'Loan Tape (S&amp;P)'!L3360,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61">
      <c r="J3361">
        <f>LET(
    lien,'Loan Tape (S&amp;P)'!Q3361,
    IF(lien="First",1.00,
        IF(lien="Second",1.50,
            1.70)))</f>
        <v/>
      </c>
      <c r="K3361">
        <f>LET(
    purpose,'Loan Tape (S&amp;P)'!R3361,
    IF(purpose="Purchase",1.00,
        IF(purpose="Remortgage",1.00,
            1.20)))</f>
        <v/>
      </c>
      <c r="L3361">
        <f>LET(
    arrears_months,'Loan Tape (S&amp;P)'!AN3361,
    IF(arrears_months=0,1.00,
    IF(arrears_months=1,3.00,
    IF(arrears_months=2,5.00,
    IF(arrears_months=3,8.00,
    IF(arrears_months=4,10.00,
    IF(arrears_months=5,12.00,15.00)))))))</f>
        <v/>
      </c>
      <c r="M3361">
        <f>LET(
    seasoning_years,DATEDIF('Loan Tape (S&amp;P)'!K3361,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61">
        <f>IF(AND('Loan Tape (S&amp;P)'!U3361="Yes",
        'Loan Tape (S&amp;P)'!T3361&lt;&gt;"Yes",
        DATEDIF('Loan Tape (S&amp;P)'!K3361, TODAY(), "M")&lt;18),
    1.10,
    1.00)</f>
        <v/>
      </c>
      <c r="O3361">
        <f>IF('Loan Tape (S&amp;P)'!T3361="Yes",
    1.35,
    1.00)</f>
        <v/>
      </c>
      <c r="P3361">
        <f>IF('Loan Tape (S&amp;P)'!S3361="Yes",
    1.15,
    1.00)</f>
        <v/>
      </c>
      <c r="Q3361">
        <f>IF('Loan Tape (S&amp;P)'!V3361="Yes",
    1.20,
    1.00)</f>
        <v/>
      </c>
      <c r="T3361">
        <f>LET(
    payment_method,'Loan Tape (S&amp;P)'!P3361,
    occupancy,'Loan Tape (S&amp;P)'!N3361,
    maturity_date,'Loan Tape (S&amp;P)'!L3361,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62">
      <c r="J3362">
        <f>LET(
    lien,'Loan Tape (S&amp;P)'!Q3362,
    IF(lien="First",1.00,
        IF(lien="Second",1.50,
            1.70)))</f>
        <v/>
      </c>
      <c r="K3362">
        <f>LET(
    purpose,'Loan Tape (S&amp;P)'!R3362,
    IF(purpose="Purchase",1.00,
        IF(purpose="Remortgage",1.00,
            1.20)))</f>
        <v/>
      </c>
      <c r="L3362">
        <f>LET(
    arrears_months,'Loan Tape (S&amp;P)'!AN3362,
    IF(arrears_months=0,1.00,
    IF(arrears_months=1,3.00,
    IF(arrears_months=2,5.00,
    IF(arrears_months=3,8.00,
    IF(arrears_months=4,10.00,
    IF(arrears_months=5,12.00,15.00)))))))</f>
        <v/>
      </c>
      <c r="M3362">
        <f>LET(
    seasoning_years,DATEDIF('Loan Tape (S&amp;P)'!K3362,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62">
        <f>IF(AND('Loan Tape (S&amp;P)'!U3362="Yes",
        'Loan Tape (S&amp;P)'!T3362&lt;&gt;"Yes",
        DATEDIF('Loan Tape (S&amp;P)'!K3362, TODAY(), "M")&lt;18),
    1.10,
    1.00)</f>
        <v/>
      </c>
      <c r="O3362">
        <f>IF('Loan Tape (S&amp;P)'!T3362="Yes",
    1.35,
    1.00)</f>
        <v/>
      </c>
      <c r="P3362">
        <f>IF('Loan Tape (S&amp;P)'!S3362="Yes",
    1.15,
    1.00)</f>
        <v/>
      </c>
      <c r="Q3362">
        <f>IF('Loan Tape (S&amp;P)'!V3362="Yes",
    1.20,
    1.00)</f>
        <v/>
      </c>
      <c r="T3362">
        <f>LET(
    payment_method,'Loan Tape (S&amp;P)'!P3362,
    occupancy,'Loan Tape (S&amp;P)'!N3362,
    maturity_date,'Loan Tape (S&amp;P)'!L3362,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63">
      <c r="J3363">
        <f>LET(
    lien,'Loan Tape (S&amp;P)'!Q3363,
    IF(lien="First",1.00,
        IF(lien="Second",1.50,
            1.70)))</f>
        <v/>
      </c>
      <c r="K3363">
        <f>LET(
    purpose,'Loan Tape (S&amp;P)'!R3363,
    IF(purpose="Purchase",1.00,
        IF(purpose="Remortgage",1.00,
            1.20)))</f>
        <v/>
      </c>
      <c r="L3363">
        <f>LET(
    arrears_months,'Loan Tape (S&amp;P)'!AN3363,
    IF(arrears_months=0,1.00,
    IF(arrears_months=1,3.00,
    IF(arrears_months=2,5.00,
    IF(arrears_months=3,8.00,
    IF(arrears_months=4,10.00,
    IF(arrears_months=5,12.00,15.00)))))))</f>
        <v/>
      </c>
      <c r="M3363">
        <f>LET(
    seasoning_years,DATEDIF('Loan Tape (S&amp;P)'!K3363,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63">
        <f>IF(AND('Loan Tape (S&amp;P)'!U3363="Yes",
        'Loan Tape (S&amp;P)'!T3363&lt;&gt;"Yes",
        DATEDIF('Loan Tape (S&amp;P)'!K3363, TODAY(), "M")&lt;18),
    1.10,
    1.00)</f>
        <v/>
      </c>
      <c r="O3363">
        <f>IF('Loan Tape (S&amp;P)'!T3363="Yes",
    1.35,
    1.00)</f>
        <v/>
      </c>
      <c r="P3363">
        <f>IF('Loan Tape (S&amp;P)'!S3363="Yes",
    1.15,
    1.00)</f>
        <v/>
      </c>
      <c r="Q3363">
        <f>IF('Loan Tape (S&amp;P)'!V3363="Yes",
    1.20,
    1.00)</f>
        <v/>
      </c>
      <c r="T3363">
        <f>LET(
    payment_method,'Loan Tape (S&amp;P)'!P3363,
    occupancy,'Loan Tape (S&amp;P)'!N3363,
    maturity_date,'Loan Tape (S&amp;P)'!L3363,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64">
      <c r="J3364">
        <f>LET(
    lien,'Loan Tape (S&amp;P)'!Q3364,
    IF(lien="First",1.00,
        IF(lien="Second",1.50,
            1.70)))</f>
        <v/>
      </c>
      <c r="K3364">
        <f>LET(
    purpose,'Loan Tape (S&amp;P)'!R3364,
    IF(purpose="Purchase",1.00,
        IF(purpose="Remortgage",1.00,
            1.20)))</f>
        <v/>
      </c>
      <c r="L3364">
        <f>LET(
    arrears_months,'Loan Tape (S&amp;P)'!AN3364,
    IF(arrears_months=0,1.00,
    IF(arrears_months=1,3.00,
    IF(arrears_months=2,5.00,
    IF(arrears_months=3,8.00,
    IF(arrears_months=4,10.00,
    IF(arrears_months=5,12.00,15.00)))))))</f>
        <v/>
      </c>
      <c r="M3364">
        <f>LET(
    seasoning_years,DATEDIF('Loan Tape (S&amp;P)'!K3364,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64">
        <f>IF(AND('Loan Tape (S&amp;P)'!U3364="Yes",
        'Loan Tape (S&amp;P)'!T3364&lt;&gt;"Yes",
        DATEDIF('Loan Tape (S&amp;P)'!K3364, TODAY(), "M")&lt;18),
    1.10,
    1.00)</f>
        <v/>
      </c>
      <c r="O3364">
        <f>IF('Loan Tape (S&amp;P)'!T3364="Yes",
    1.35,
    1.00)</f>
        <v/>
      </c>
      <c r="P3364">
        <f>IF('Loan Tape (S&amp;P)'!S3364="Yes",
    1.15,
    1.00)</f>
        <v/>
      </c>
      <c r="Q3364">
        <f>IF('Loan Tape (S&amp;P)'!V3364="Yes",
    1.20,
    1.00)</f>
        <v/>
      </c>
      <c r="T3364">
        <f>LET(
    payment_method,'Loan Tape (S&amp;P)'!P3364,
    occupancy,'Loan Tape (S&amp;P)'!N3364,
    maturity_date,'Loan Tape (S&amp;P)'!L3364,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65">
      <c r="J3365">
        <f>LET(
    lien,'Loan Tape (S&amp;P)'!Q3365,
    IF(lien="First",1.00,
        IF(lien="Second",1.50,
            1.70)))</f>
        <v/>
      </c>
      <c r="K3365">
        <f>LET(
    purpose,'Loan Tape (S&amp;P)'!R3365,
    IF(purpose="Purchase",1.00,
        IF(purpose="Remortgage",1.00,
            1.20)))</f>
        <v/>
      </c>
      <c r="L3365">
        <f>LET(
    arrears_months,'Loan Tape (S&amp;P)'!AN3365,
    IF(arrears_months=0,1.00,
    IF(arrears_months=1,3.00,
    IF(arrears_months=2,5.00,
    IF(arrears_months=3,8.00,
    IF(arrears_months=4,10.00,
    IF(arrears_months=5,12.00,15.00)))))))</f>
        <v/>
      </c>
      <c r="M3365">
        <f>LET(
    seasoning_years,DATEDIF('Loan Tape (S&amp;P)'!K3365,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65">
        <f>IF(AND('Loan Tape (S&amp;P)'!U3365="Yes",
        'Loan Tape (S&amp;P)'!T3365&lt;&gt;"Yes",
        DATEDIF('Loan Tape (S&amp;P)'!K3365, TODAY(), "M")&lt;18),
    1.10,
    1.00)</f>
        <v/>
      </c>
      <c r="O3365">
        <f>IF('Loan Tape (S&amp;P)'!T3365="Yes",
    1.35,
    1.00)</f>
        <v/>
      </c>
      <c r="P3365">
        <f>IF('Loan Tape (S&amp;P)'!S3365="Yes",
    1.15,
    1.00)</f>
        <v/>
      </c>
      <c r="Q3365">
        <f>IF('Loan Tape (S&amp;P)'!V3365="Yes",
    1.20,
    1.00)</f>
        <v/>
      </c>
      <c r="T3365">
        <f>LET(
    payment_method,'Loan Tape (S&amp;P)'!P3365,
    occupancy,'Loan Tape (S&amp;P)'!N3365,
    maturity_date,'Loan Tape (S&amp;P)'!L3365,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66">
      <c r="J3366">
        <f>LET(
    lien,'Loan Tape (S&amp;P)'!Q3366,
    IF(lien="First",1.00,
        IF(lien="Second",1.50,
            1.70)))</f>
        <v/>
      </c>
      <c r="K3366">
        <f>LET(
    purpose,'Loan Tape (S&amp;P)'!R3366,
    IF(purpose="Purchase",1.00,
        IF(purpose="Remortgage",1.00,
            1.20)))</f>
        <v/>
      </c>
      <c r="L3366">
        <f>LET(
    arrears_months,'Loan Tape (S&amp;P)'!AN3366,
    IF(arrears_months=0,1.00,
    IF(arrears_months=1,3.00,
    IF(arrears_months=2,5.00,
    IF(arrears_months=3,8.00,
    IF(arrears_months=4,10.00,
    IF(arrears_months=5,12.00,15.00)))))))</f>
        <v/>
      </c>
      <c r="M3366">
        <f>LET(
    seasoning_years,DATEDIF('Loan Tape (S&amp;P)'!K3366,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66">
        <f>IF(AND('Loan Tape (S&amp;P)'!U3366="Yes",
        'Loan Tape (S&amp;P)'!T3366&lt;&gt;"Yes",
        DATEDIF('Loan Tape (S&amp;P)'!K3366, TODAY(), "M")&lt;18),
    1.10,
    1.00)</f>
        <v/>
      </c>
      <c r="O3366">
        <f>IF('Loan Tape (S&amp;P)'!T3366="Yes",
    1.35,
    1.00)</f>
        <v/>
      </c>
      <c r="P3366">
        <f>IF('Loan Tape (S&amp;P)'!S3366="Yes",
    1.15,
    1.00)</f>
        <v/>
      </c>
      <c r="Q3366">
        <f>IF('Loan Tape (S&amp;P)'!V3366="Yes",
    1.20,
    1.00)</f>
        <v/>
      </c>
      <c r="T3366">
        <f>LET(
    payment_method,'Loan Tape (S&amp;P)'!P3366,
    occupancy,'Loan Tape (S&amp;P)'!N3366,
    maturity_date,'Loan Tape (S&amp;P)'!L3366,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67">
      <c r="J3367">
        <f>LET(
    lien,'Loan Tape (S&amp;P)'!Q3367,
    IF(lien="First",1.00,
        IF(lien="Second",1.50,
            1.70)))</f>
        <v/>
      </c>
      <c r="K3367">
        <f>LET(
    purpose,'Loan Tape (S&amp;P)'!R3367,
    IF(purpose="Purchase",1.00,
        IF(purpose="Remortgage",1.00,
            1.20)))</f>
        <v/>
      </c>
      <c r="L3367">
        <f>LET(
    arrears_months,'Loan Tape (S&amp;P)'!AN3367,
    IF(arrears_months=0,1.00,
    IF(arrears_months=1,3.00,
    IF(arrears_months=2,5.00,
    IF(arrears_months=3,8.00,
    IF(arrears_months=4,10.00,
    IF(arrears_months=5,12.00,15.00)))))))</f>
        <v/>
      </c>
      <c r="M3367">
        <f>LET(
    seasoning_years,DATEDIF('Loan Tape (S&amp;P)'!K3367,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67">
        <f>IF(AND('Loan Tape (S&amp;P)'!U3367="Yes",
        'Loan Tape (S&amp;P)'!T3367&lt;&gt;"Yes",
        DATEDIF('Loan Tape (S&amp;P)'!K3367, TODAY(), "M")&lt;18),
    1.10,
    1.00)</f>
        <v/>
      </c>
      <c r="O3367">
        <f>IF('Loan Tape (S&amp;P)'!T3367="Yes",
    1.35,
    1.00)</f>
        <v/>
      </c>
      <c r="P3367">
        <f>IF('Loan Tape (S&amp;P)'!S3367="Yes",
    1.15,
    1.00)</f>
        <v/>
      </c>
      <c r="Q3367">
        <f>IF('Loan Tape (S&amp;P)'!V3367="Yes",
    1.20,
    1.00)</f>
        <v/>
      </c>
      <c r="T3367">
        <f>LET(
    payment_method,'Loan Tape (S&amp;P)'!P3367,
    occupancy,'Loan Tape (S&amp;P)'!N3367,
    maturity_date,'Loan Tape (S&amp;P)'!L3367,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68">
      <c r="J3368">
        <f>LET(
    lien,'Loan Tape (S&amp;P)'!Q3368,
    IF(lien="First",1.00,
        IF(lien="Second",1.50,
            1.70)))</f>
        <v/>
      </c>
      <c r="K3368">
        <f>LET(
    purpose,'Loan Tape (S&amp;P)'!R3368,
    IF(purpose="Purchase",1.00,
        IF(purpose="Remortgage",1.00,
            1.20)))</f>
        <v/>
      </c>
      <c r="L3368">
        <f>LET(
    arrears_months,'Loan Tape (S&amp;P)'!AN3368,
    IF(arrears_months=0,1.00,
    IF(arrears_months=1,3.00,
    IF(arrears_months=2,5.00,
    IF(arrears_months=3,8.00,
    IF(arrears_months=4,10.00,
    IF(arrears_months=5,12.00,15.00)))))))</f>
        <v/>
      </c>
      <c r="M3368">
        <f>LET(
    seasoning_years,DATEDIF('Loan Tape (S&amp;P)'!K3368,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68">
        <f>IF(AND('Loan Tape (S&amp;P)'!U3368="Yes",
        'Loan Tape (S&amp;P)'!T3368&lt;&gt;"Yes",
        DATEDIF('Loan Tape (S&amp;P)'!K3368, TODAY(), "M")&lt;18),
    1.10,
    1.00)</f>
        <v/>
      </c>
      <c r="O3368">
        <f>IF('Loan Tape (S&amp;P)'!T3368="Yes",
    1.35,
    1.00)</f>
        <v/>
      </c>
      <c r="P3368">
        <f>IF('Loan Tape (S&amp;P)'!S3368="Yes",
    1.15,
    1.00)</f>
        <v/>
      </c>
      <c r="Q3368">
        <f>IF('Loan Tape (S&amp;P)'!V3368="Yes",
    1.20,
    1.00)</f>
        <v/>
      </c>
      <c r="T3368">
        <f>LET(
    payment_method,'Loan Tape (S&amp;P)'!P3368,
    occupancy,'Loan Tape (S&amp;P)'!N3368,
    maturity_date,'Loan Tape (S&amp;P)'!L3368,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69">
      <c r="J3369">
        <f>LET(
    lien,'Loan Tape (S&amp;P)'!Q3369,
    IF(lien="First",1.00,
        IF(lien="Second",1.50,
            1.70)))</f>
        <v/>
      </c>
      <c r="K3369">
        <f>LET(
    purpose,'Loan Tape (S&amp;P)'!R3369,
    IF(purpose="Purchase",1.00,
        IF(purpose="Remortgage",1.00,
            1.20)))</f>
        <v/>
      </c>
      <c r="L3369">
        <f>LET(
    arrears_months,'Loan Tape (S&amp;P)'!AN3369,
    IF(arrears_months=0,1.00,
    IF(arrears_months=1,3.00,
    IF(arrears_months=2,5.00,
    IF(arrears_months=3,8.00,
    IF(arrears_months=4,10.00,
    IF(arrears_months=5,12.00,15.00)))))))</f>
        <v/>
      </c>
      <c r="M3369">
        <f>LET(
    seasoning_years,DATEDIF('Loan Tape (S&amp;P)'!K3369,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69">
        <f>IF(AND('Loan Tape (S&amp;P)'!U3369="Yes",
        'Loan Tape (S&amp;P)'!T3369&lt;&gt;"Yes",
        DATEDIF('Loan Tape (S&amp;P)'!K3369, TODAY(), "M")&lt;18),
    1.10,
    1.00)</f>
        <v/>
      </c>
      <c r="O3369">
        <f>IF('Loan Tape (S&amp;P)'!T3369="Yes",
    1.35,
    1.00)</f>
        <v/>
      </c>
      <c r="P3369">
        <f>IF('Loan Tape (S&amp;P)'!S3369="Yes",
    1.15,
    1.00)</f>
        <v/>
      </c>
      <c r="Q3369">
        <f>IF('Loan Tape (S&amp;P)'!V3369="Yes",
    1.20,
    1.00)</f>
        <v/>
      </c>
      <c r="T3369">
        <f>LET(
    payment_method,'Loan Tape (S&amp;P)'!P3369,
    occupancy,'Loan Tape (S&amp;P)'!N3369,
    maturity_date,'Loan Tape (S&amp;P)'!L3369,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70">
      <c r="J3370">
        <f>LET(
    lien,'Loan Tape (S&amp;P)'!Q3370,
    IF(lien="First",1.00,
        IF(lien="Second",1.50,
            1.70)))</f>
        <v/>
      </c>
      <c r="K3370">
        <f>LET(
    purpose,'Loan Tape (S&amp;P)'!R3370,
    IF(purpose="Purchase",1.00,
        IF(purpose="Remortgage",1.00,
            1.20)))</f>
        <v/>
      </c>
      <c r="L3370">
        <f>LET(
    arrears_months,'Loan Tape (S&amp;P)'!AN3370,
    IF(arrears_months=0,1.00,
    IF(arrears_months=1,3.00,
    IF(arrears_months=2,5.00,
    IF(arrears_months=3,8.00,
    IF(arrears_months=4,10.00,
    IF(arrears_months=5,12.00,15.00)))))))</f>
        <v/>
      </c>
      <c r="M3370">
        <f>LET(
    seasoning_years,DATEDIF('Loan Tape (S&amp;P)'!K3370,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70">
        <f>IF(AND('Loan Tape (S&amp;P)'!U3370="Yes",
        'Loan Tape (S&amp;P)'!T3370&lt;&gt;"Yes",
        DATEDIF('Loan Tape (S&amp;P)'!K3370, TODAY(), "M")&lt;18),
    1.10,
    1.00)</f>
        <v/>
      </c>
      <c r="O3370">
        <f>IF('Loan Tape (S&amp;P)'!T3370="Yes",
    1.35,
    1.00)</f>
        <v/>
      </c>
      <c r="P3370">
        <f>IF('Loan Tape (S&amp;P)'!S3370="Yes",
    1.15,
    1.00)</f>
        <v/>
      </c>
      <c r="Q3370">
        <f>IF('Loan Tape (S&amp;P)'!V3370="Yes",
    1.20,
    1.00)</f>
        <v/>
      </c>
      <c r="T3370">
        <f>LET(
    payment_method,'Loan Tape (S&amp;P)'!P3370,
    occupancy,'Loan Tape (S&amp;P)'!N3370,
    maturity_date,'Loan Tape (S&amp;P)'!L3370,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71">
      <c r="J3371">
        <f>LET(
    lien,'Loan Tape (S&amp;P)'!Q3371,
    IF(lien="First",1.00,
        IF(lien="Second",1.50,
            1.70)))</f>
        <v/>
      </c>
      <c r="K3371">
        <f>LET(
    purpose,'Loan Tape (S&amp;P)'!R3371,
    IF(purpose="Purchase",1.00,
        IF(purpose="Remortgage",1.00,
            1.20)))</f>
        <v/>
      </c>
      <c r="L3371">
        <f>LET(
    arrears_months,'Loan Tape (S&amp;P)'!AN3371,
    IF(arrears_months=0,1.00,
    IF(arrears_months=1,3.00,
    IF(arrears_months=2,5.00,
    IF(arrears_months=3,8.00,
    IF(arrears_months=4,10.00,
    IF(arrears_months=5,12.00,15.00)))))))</f>
        <v/>
      </c>
      <c r="M3371">
        <f>LET(
    seasoning_years,DATEDIF('Loan Tape (S&amp;P)'!K3371,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71">
        <f>IF(AND('Loan Tape (S&amp;P)'!U3371="Yes",
        'Loan Tape (S&amp;P)'!T3371&lt;&gt;"Yes",
        DATEDIF('Loan Tape (S&amp;P)'!K3371, TODAY(), "M")&lt;18),
    1.10,
    1.00)</f>
        <v/>
      </c>
      <c r="O3371">
        <f>IF('Loan Tape (S&amp;P)'!T3371="Yes",
    1.35,
    1.00)</f>
        <v/>
      </c>
      <c r="P3371">
        <f>IF('Loan Tape (S&amp;P)'!S3371="Yes",
    1.15,
    1.00)</f>
        <v/>
      </c>
      <c r="Q3371">
        <f>IF('Loan Tape (S&amp;P)'!V3371="Yes",
    1.20,
    1.00)</f>
        <v/>
      </c>
      <c r="T3371">
        <f>LET(
    payment_method,'Loan Tape (S&amp;P)'!P3371,
    occupancy,'Loan Tape (S&amp;P)'!N3371,
    maturity_date,'Loan Tape (S&amp;P)'!L3371,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72">
      <c r="J3372">
        <f>LET(
    lien,'Loan Tape (S&amp;P)'!Q3372,
    IF(lien="First",1.00,
        IF(lien="Second",1.50,
            1.70)))</f>
        <v/>
      </c>
      <c r="K3372">
        <f>LET(
    purpose,'Loan Tape (S&amp;P)'!R3372,
    IF(purpose="Purchase",1.00,
        IF(purpose="Remortgage",1.00,
            1.20)))</f>
        <v/>
      </c>
      <c r="L3372">
        <f>LET(
    arrears_months,'Loan Tape (S&amp;P)'!AN3372,
    IF(arrears_months=0,1.00,
    IF(arrears_months=1,3.00,
    IF(arrears_months=2,5.00,
    IF(arrears_months=3,8.00,
    IF(arrears_months=4,10.00,
    IF(arrears_months=5,12.00,15.00)))))))</f>
        <v/>
      </c>
      <c r="M3372">
        <f>LET(
    seasoning_years,DATEDIF('Loan Tape (S&amp;P)'!K3372,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72">
        <f>IF(AND('Loan Tape (S&amp;P)'!U3372="Yes",
        'Loan Tape (S&amp;P)'!T3372&lt;&gt;"Yes",
        DATEDIF('Loan Tape (S&amp;P)'!K3372, TODAY(), "M")&lt;18),
    1.10,
    1.00)</f>
        <v/>
      </c>
      <c r="O3372">
        <f>IF('Loan Tape (S&amp;P)'!T3372="Yes",
    1.35,
    1.00)</f>
        <v/>
      </c>
      <c r="P3372">
        <f>IF('Loan Tape (S&amp;P)'!S3372="Yes",
    1.15,
    1.00)</f>
        <v/>
      </c>
      <c r="Q3372">
        <f>IF('Loan Tape (S&amp;P)'!V3372="Yes",
    1.20,
    1.00)</f>
        <v/>
      </c>
      <c r="T3372">
        <f>LET(
    payment_method,'Loan Tape (S&amp;P)'!P3372,
    occupancy,'Loan Tape (S&amp;P)'!N3372,
    maturity_date,'Loan Tape (S&amp;P)'!L3372,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73">
      <c r="J3373">
        <f>LET(
    lien,'Loan Tape (S&amp;P)'!Q3373,
    IF(lien="First",1.00,
        IF(lien="Second",1.50,
            1.70)))</f>
        <v/>
      </c>
      <c r="K3373">
        <f>LET(
    purpose,'Loan Tape (S&amp;P)'!R3373,
    IF(purpose="Purchase",1.00,
        IF(purpose="Remortgage",1.00,
            1.20)))</f>
        <v/>
      </c>
      <c r="L3373">
        <f>LET(
    arrears_months,'Loan Tape (S&amp;P)'!AN3373,
    IF(arrears_months=0,1.00,
    IF(arrears_months=1,3.00,
    IF(arrears_months=2,5.00,
    IF(arrears_months=3,8.00,
    IF(arrears_months=4,10.00,
    IF(arrears_months=5,12.00,15.00)))))))</f>
        <v/>
      </c>
      <c r="M3373">
        <f>LET(
    seasoning_years,DATEDIF('Loan Tape (S&amp;P)'!K3373,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73">
        <f>IF(AND('Loan Tape (S&amp;P)'!U3373="Yes",
        'Loan Tape (S&amp;P)'!T3373&lt;&gt;"Yes",
        DATEDIF('Loan Tape (S&amp;P)'!K3373, TODAY(), "M")&lt;18),
    1.10,
    1.00)</f>
        <v/>
      </c>
      <c r="O3373">
        <f>IF('Loan Tape (S&amp;P)'!T3373="Yes",
    1.35,
    1.00)</f>
        <v/>
      </c>
      <c r="P3373">
        <f>IF('Loan Tape (S&amp;P)'!S3373="Yes",
    1.15,
    1.00)</f>
        <v/>
      </c>
      <c r="Q3373">
        <f>IF('Loan Tape (S&amp;P)'!V3373="Yes",
    1.20,
    1.00)</f>
        <v/>
      </c>
      <c r="T3373">
        <f>LET(
    payment_method,'Loan Tape (S&amp;P)'!P3373,
    occupancy,'Loan Tape (S&amp;P)'!N3373,
    maturity_date,'Loan Tape (S&amp;P)'!L3373,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74">
      <c r="J3374">
        <f>LET(
    lien,'Loan Tape (S&amp;P)'!Q3374,
    IF(lien="First",1.00,
        IF(lien="Second",1.50,
            1.70)))</f>
        <v/>
      </c>
      <c r="K3374">
        <f>LET(
    purpose,'Loan Tape (S&amp;P)'!R3374,
    IF(purpose="Purchase",1.00,
        IF(purpose="Remortgage",1.00,
            1.20)))</f>
        <v/>
      </c>
      <c r="L3374">
        <f>LET(
    arrears_months,'Loan Tape (S&amp;P)'!AN3374,
    IF(arrears_months=0,1.00,
    IF(arrears_months=1,3.00,
    IF(arrears_months=2,5.00,
    IF(arrears_months=3,8.00,
    IF(arrears_months=4,10.00,
    IF(arrears_months=5,12.00,15.00)))))))</f>
        <v/>
      </c>
      <c r="M3374">
        <f>LET(
    seasoning_years,DATEDIF('Loan Tape (S&amp;P)'!K3374,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74">
        <f>IF(AND('Loan Tape (S&amp;P)'!U3374="Yes",
        'Loan Tape (S&amp;P)'!T3374&lt;&gt;"Yes",
        DATEDIF('Loan Tape (S&amp;P)'!K3374, TODAY(), "M")&lt;18),
    1.10,
    1.00)</f>
        <v/>
      </c>
      <c r="O3374">
        <f>IF('Loan Tape (S&amp;P)'!T3374="Yes",
    1.35,
    1.00)</f>
        <v/>
      </c>
      <c r="P3374">
        <f>IF('Loan Tape (S&amp;P)'!S3374="Yes",
    1.15,
    1.00)</f>
        <v/>
      </c>
      <c r="Q3374">
        <f>IF('Loan Tape (S&amp;P)'!V3374="Yes",
    1.20,
    1.00)</f>
        <v/>
      </c>
      <c r="T3374">
        <f>LET(
    payment_method,'Loan Tape (S&amp;P)'!P3374,
    occupancy,'Loan Tape (S&amp;P)'!N3374,
    maturity_date,'Loan Tape (S&amp;P)'!L3374,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75">
      <c r="J3375">
        <f>LET(
    lien,'Loan Tape (S&amp;P)'!Q3375,
    IF(lien="First",1.00,
        IF(lien="Second",1.50,
            1.70)))</f>
        <v/>
      </c>
      <c r="K3375">
        <f>LET(
    purpose,'Loan Tape (S&amp;P)'!R3375,
    IF(purpose="Purchase",1.00,
        IF(purpose="Remortgage",1.00,
            1.20)))</f>
        <v/>
      </c>
      <c r="L3375">
        <f>LET(
    arrears_months,'Loan Tape (S&amp;P)'!AN3375,
    IF(arrears_months=0,1.00,
    IF(arrears_months=1,3.00,
    IF(arrears_months=2,5.00,
    IF(arrears_months=3,8.00,
    IF(arrears_months=4,10.00,
    IF(arrears_months=5,12.00,15.00)))))))</f>
        <v/>
      </c>
      <c r="M3375">
        <f>LET(
    seasoning_years,DATEDIF('Loan Tape (S&amp;P)'!K3375,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75">
        <f>IF(AND('Loan Tape (S&amp;P)'!U3375="Yes",
        'Loan Tape (S&amp;P)'!T3375&lt;&gt;"Yes",
        DATEDIF('Loan Tape (S&amp;P)'!K3375, TODAY(), "M")&lt;18),
    1.10,
    1.00)</f>
        <v/>
      </c>
      <c r="O3375">
        <f>IF('Loan Tape (S&amp;P)'!T3375="Yes",
    1.35,
    1.00)</f>
        <v/>
      </c>
      <c r="P3375">
        <f>IF('Loan Tape (S&amp;P)'!S3375="Yes",
    1.15,
    1.00)</f>
        <v/>
      </c>
      <c r="Q3375">
        <f>IF('Loan Tape (S&amp;P)'!V3375="Yes",
    1.20,
    1.00)</f>
        <v/>
      </c>
      <c r="T3375">
        <f>LET(
    payment_method,'Loan Tape (S&amp;P)'!P3375,
    occupancy,'Loan Tape (S&amp;P)'!N3375,
    maturity_date,'Loan Tape (S&amp;P)'!L3375,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76">
      <c r="J3376">
        <f>LET(
    lien,'Loan Tape (S&amp;P)'!Q3376,
    IF(lien="First",1.00,
        IF(lien="Second",1.50,
            1.70)))</f>
        <v/>
      </c>
      <c r="K3376">
        <f>LET(
    purpose,'Loan Tape (S&amp;P)'!R3376,
    IF(purpose="Purchase",1.00,
        IF(purpose="Remortgage",1.00,
            1.20)))</f>
        <v/>
      </c>
      <c r="L3376">
        <f>LET(
    arrears_months,'Loan Tape (S&amp;P)'!AN3376,
    IF(arrears_months=0,1.00,
    IF(arrears_months=1,3.00,
    IF(arrears_months=2,5.00,
    IF(arrears_months=3,8.00,
    IF(arrears_months=4,10.00,
    IF(arrears_months=5,12.00,15.00)))))))</f>
        <v/>
      </c>
      <c r="M3376">
        <f>LET(
    seasoning_years,DATEDIF('Loan Tape (S&amp;P)'!K3376,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76">
        <f>IF(AND('Loan Tape (S&amp;P)'!U3376="Yes",
        'Loan Tape (S&amp;P)'!T3376&lt;&gt;"Yes",
        DATEDIF('Loan Tape (S&amp;P)'!K3376, TODAY(), "M")&lt;18),
    1.10,
    1.00)</f>
        <v/>
      </c>
      <c r="O3376">
        <f>IF('Loan Tape (S&amp;P)'!T3376="Yes",
    1.35,
    1.00)</f>
        <v/>
      </c>
      <c r="P3376">
        <f>IF('Loan Tape (S&amp;P)'!S3376="Yes",
    1.15,
    1.00)</f>
        <v/>
      </c>
      <c r="Q3376">
        <f>IF('Loan Tape (S&amp;P)'!V3376="Yes",
    1.20,
    1.00)</f>
        <v/>
      </c>
      <c r="T3376">
        <f>LET(
    payment_method,'Loan Tape (S&amp;P)'!P3376,
    occupancy,'Loan Tape (S&amp;P)'!N3376,
    maturity_date,'Loan Tape (S&amp;P)'!L3376,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77">
      <c r="J3377">
        <f>LET(
    lien,'Loan Tape (S&amp;P)'!Q3377,
    IF(lien="First",1.00,
        IF(lien="Second",1.50,
            1.70)))</f>
        <v/>
      </c>
      <c r="K3377">
        <f>LET(
    purpose,'Loan Tape (S&amp;P)'!R3377,
    IF(purpose="Purchase",1.00,
        IF(purpose="Remortgage",1.00,
            1.20)))</f>
        <v/>
      </c>
      <c r="L3377">
        <f>LET(
    arrears_months,'Loan Tape (S&amp;P)'!AN3377,
    IF(arrears_months=0,1.00,
    IF(arrears_months=1,3.00,
    IF(arrears_months=2,5.00,
    IF(arrears_months=3,8.00,
    IF(arrears_months=4,10.00,
    IF(arrears_months=5,12.00,15.00)))))))</f>
        <v/>
      </c>
      <c r="M3377">
        <f>LET(
    seasoning_years,DATEDIF('Loan Tape (S&amp;P)'!K3377,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77">
        <f>IF(AND('Loan Tape (S&amp;P)'!U3377="Yes",
        'Loan Tape (S&amp;P)'!T3377&lt;&gt;"Yes",
        DATEDIF('Loan Tape (S&amp;P)'!K3377, TODAY(), "M")&lt;18),
    1.10,
    1.00)</f>
        <v/>
      </c>
      <c r="O3377">
        <f>IF('Loan Tape (S&amp;P)'!T3377="Yes",
    1.35,
    1.00)</f>
        <v/>
      </c>
      <c r="P3377">
        <f>IF('Loan Tape (S&amp;P)'!S3377="Yes",
    1.15,
    1.00)</f>
        <v/>
      </c>
      <c r="Q3377">
        <f>IF('Loan Tape (S&amp;P)'!V3377="Yes",
    1.20,
    1.00)</f>
        <v/>
      </c>
      <c r="T3377">
        <f>LET(
    payment_method,'Loan Tape (S&amp;P)'!P3377,
    occupancy,'Loan Tape (S&amp;P)'!N3377,
    maturity_date,'Loan Tape (S&amp;P)'!L3377,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78">
      <c r="J3378">
        <f>LET(
    lien,'Loan Tape (S&amp;P)'!Q3378,
    IF(lien="First",1.00,
        IF(lien="Second",1.50,
            1.70)))</f>
        <v/>
      </c>
      <c r="K3378">
        <f>LET(
    purpose,'Loan Tape (S&amp;P)'!R3378,
    IF(purpose="Purchase",1.00,
        IF(purpose="Remortgage",1.00,
            1.20)))</f>
        <v/>
      </c>
      <c r="L3378">
        <f>LET(
    arrears_months,'Loan Tape (S&amp;P)'!AN3378,
    IF(arrears_months=0,1.00,
    IF(arrears_months=1,3.00,
    IF(arrears_months=2,5.00,
    IF(arrears_months=3,8.00,
    IF(arrears_months=4,10.00,
    IF(arrears_months=5,12.00,15.00)))))))</f>
        <v/>
      </c>
      <c r="M3378">
        <f>LET(
    seasoning_years,DATEDIF('Loan Tape (S&amp;P)'!K3378,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78">
        <f>IF(AND('Loan Tape (S&amp;P)'!U3378="Yes",
        'Loan Tape (S&amp;P)'!T3378&lt;&gt;"Yes",
        DATEDIF('Loan Tape (S&amp;P)'!K3378, TODAY(), "M")&lt;18),
    1.10,
    1.00)</f>
        <v/>
      </c>
      <c r="O3378">
        <f>IF('Loan Tape (S&amp;P)'!T3378="Yes",
    1.35,
    1.00)</f>
        <v/>
      </c>
      <c r="P3378">
        <f>IF('Loan Tape (S&amp;P)'!S3378="Yes",
    1.15,
    1.00)</f>
        <v/>
      </c>
      <c r="Q3378">
        <f>IF('Loan Tape (S&amp;P)'!V3378="Yes",
    1.20,
    1.00)</f>
        <v/>
      </c>
      <c r="T3378">
        <f>LET(
    payment_method,'Loan Tape (S&amp;P)'!P3378,
    occupancy,'Loan Tape (S&amp;P)'!N3378,
    maturity_date,'Loan Tape (S&amp;P)'!L3378,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79">
      <c r="J3379">
        <f>LET(
    lien,'Loan Tape (S&amp;P)'!Q3379,
    IF(lien="First",1.00,
        IF(lien="Second",1.50,
            1.70)))</f>
        <v/>
      </c>
      <c r="K3379">
        <f>LET(
    purpose,'Loan Tape (S&amp;P)'!R3379,
    IF(purpose="Purchase",1.00,
        IF(purpose="Remortgage",1.00,
            1.20)))</f>
        <v/>
      </c>
      <c r="L3379">
        <f>LET(
    arrears_months,'Loan Tape (S&amp;P)'!AN3379,
    IF(arrears_months=0,1.00,
    IF(arrears_months=1,3.00,
    IF(arrears_months=2,5.00,
    IF(arrears_months=3,8.00,
    IF(arrears_months=4,10.00,
    IF(arrears_months=5,12.00,15.00)))))))</f>
        <v/>
      </c>
      <c r="M3379">
        <f>LET(
    seasoning_years,DATEDIF('Loan Tape (S&amp;P)'!K3379,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79">
        <f>IF(AND('Loan Tape (S&amp;P)'!U3379="Yes",
        'Loan Tape (S&amp;P)'!T3379&lt;&gt;"Yes",
        DATEDIF('Loan Tape (S&amp;P)'!K3379, TODAY(), "M")&lt;18),
    1.10,
    1.00)</f>
        <v/>
      </c>
      <c r="O3379">
        <f>IF('Loan Tape (S&amp;P)'!T3379="Yes",
    1.35,
    1.00)</f>
        <v/>
      </c>
      <c r="P3379">
        <f>IF('Loan Tape (S&amp;P)'!S3379="Yes",
    1.15,
    1.00)</f>
        <v/>
      </c>
      <c r="Q3379">
        <f>IF('Loan Tape (S&amp;P)'!V3379="Yes",
    1.20,
    1.00)</f>
        <v/>
      </c>
      <c r="T3379">
        <f>LET(
    payment_method,'Loan Tape (S&amp;P)'!P3379,
    occupancy,'Loan Tape (S&amp;P)'!N3379,
    maturity_date,'Loan Tape (S&amp;P)'!L3379,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80">
      <c r="J3380">
        <f>LET(
    lien,'Loan Tape (S&amp;P)'!Q3380,
    IF(lien="First",1.00,
        IF(lien="Second",1.50,
            1.70)))</f>
        <v/>
      </c>
      <c r="K3380">
        <f>LET(
    purpose,'Loan Tape (S&amp;P)'!R3380,
    IF(purpose="Purchase",1.00,
        IF(purpose="Remortgage",1.00,
            1.20)))</f>
        <v/>
      </c>
      <c r="L3380">
        <f>LET(
    arrears_months,'Loan Tape (S&amp;P)'!AN3380,
    IF(arrears_months=0,1.00,
    IF(arrears_months=1,3.00,
    IF(arrears_months=2,5.00,
    IF(arrears_months=3,8.00,
    IF(arrears_months=4,10.00,
    IF(arrears_months=5,12.00,15.00)))))))</f>
        <v/>
      </c>
      <c r="M3380">
        <f>LET(
    seasoning_years,DATEDIF('Loan Tape (S&amp;P)'!K3380,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80">
        <f>IF(AND('Loan Tape (S&amp;P)'!U3380="Yes",
        'Loan Tape (S&amp;P)'!T3380&lt;&gt;"Yes",
        DATEDIF('Loan Tape (S&amp;P)'!K3380, TODAY(), "M")&lt;18),
    1.10,
    1.00)</f>
        <v/>
      </c>
      <c r="O3380">
        <f>IF('Loan Tape (S&amp;P)'!T3380="Yes",
    1.35,
    1.00)</f>
        <v/>
      </c>
      <c r="P3380">
        <f>IF('Loan Tape (S&amp;P)'!S3380="Yes",
    1.15,
    1.00)</f>
        <v/>
      </c>
      <c r="Q3380">
        <f>IF('Loan Tape (S&amp;P)'!V3380="Yes",
    1.20,
    1.00)</f>
        <v/>
      </c>
      <c r="T3380">
        <f>LET(
    payment_method,'Loan Tape (S&amp;P)'!P3380,
    occupancy,'Loan Tape (S&amp;P)'!N3380,
    maturity_date,'Loan Tape (S&amp;P)'!L3380,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81">
      <c r="J3381">
        <f>LET(
    lien,'Loan Tape (S&amp;P)'!Q3381,
    IF(lien="First",1.00,
        IF(lien="Second",1.50,
            1.70)))</f>
        <v/>
      </c>
      <c r="K3381">
        <f>LET(
    purpose,'Loan Tape (S&amp;P)'!R3381,
    IF(purpose="Purchase",1.00,
        IF(purpose="Remortgage",1.00,
            1.20)))</f>
        <v/>
      </c>
      <c r="L3381">
        <f>LET(
    arrears_months,'Loan Tape (S&amp;P)'!AN3381,
    IF(arrears_months=0,1.00,
    IF(arrears_months=1,3.00,
    IF(arrears_months=2,5.00,
    IF(arrears_months=3,8.00,
    IF(arrears_months=4,10.00,
    IF(arrears_months=5,12.00,15.00)))))))</f>
        <v/>
      </c>
      <c r="M3381">
        <f>LET(
    seasoning_years,DATEDIF('Loan Tape (S&amp;P)'!K3381,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81">
        <f>IF(AND('Loan Tape (S&amp;P)'!U3381="Yes",
        'Loan Tape (S&amp;P)'!T3381&lt;&gt;"Yes",
        DATEDIF('Loan Tape (S&amp;P)'!K3381, TODAY(), "M")&lt;18),
    1.10,
    1.00)</f>
        <v/>
      </c>
      <c r="O3381">
        <f>IF('Loan Tape (S&amp;P)'!T3381="Yes",
    1.35,
    1.00)</f>
        <v/>
      </c>
      <c r="P3381">
        <f>IF('Loan Tape (S&amp;P)'!S3381="Yes",
    1.15,
    1.00)</f>
        <v/>
      </c>
      <c r="Q3381">
        <f>IF('Loan Tape (S&amp;P)'!V3381="Yes",
    1.20,
    1.00)</f>
        <v/>
      </c>
      <c r="T3381">
        <f>LET(
    payment_method,'Loan Tape (S&amp;P)'!P3381,
    occupancy,'Loan Tape (S&amp;P)'!N3381,
    maturity_date,'Loan Tape (S&amp;P)'!L3381,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82">
      <c r="J3382">
        <f>LET(
    lien,'Loan Tape (S&amp;P)'!Q3382,
    IF(lien="First",1.00,
        IF(lien="Second",1.50,
            1.70)))</f>
        <v/>
      </c>
      <c r="K3382">
        <f>LET(
    purpose,'Loan Tape (S&amp;P)'!R3382,
    IF(purpose="Purchase",1.00,
        IF(purpose="Remortgage",1.00,
            1.20)))</f>
        <v/>
      </c>
      <c r="L3382">
        <f>LET(
    arrears_months,'Loan Tape (S&amp;P)'!AN3382,
    IF(arrears_months=0,1.00,
    IF(arrears_months=1,3.00,
    IF(arrears_months=2,5.00,
    IF(arrears_months=3,8.00,
    IF(arrears_months=4,10.00,
    IF(arrears_months=5,12.00,15.00)))))))</f>
        <v/>
      </c>
      <c r="M3382">
        <f>LET(
    seasoning_years,DATEDIF('Loan Tape (S&amp;P)'!K3382,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82">
        <f>IF(AND('Loan Tape (S&amp;P)'!U3382="Yes",
        'Loan Tape (S&amp;P)'!T3382&lt;&gt;"Yes",
        DATEDIF('Loan Tape (S&amp;P)'!K3382, TODAY(), "M")&lt;18),
    1.10,
    1.00)</f>
        <v/>
      </c>
      <c r="O3382">
        <f>IF('Loan Tape (S&amp;P)'!T3382="Yes",
    1.35,
    1.00)</f>
        <v/>
      </c>
      <c r="P3382">
        <f>IF('Loan Tape (S&amp;P)'!S3382="Yes",
    1.15,
    1.00)</f>
        <v/>
      </c>
      <c r="Q3382">
        <f>IF('Loan Tape (S&amp;P)'!V3382="Yes",
    1.20,
    1.00)</f>
        <v/>
      </c>
      <c r="T3382">
        <f>LET(
    payment_method,'Loan Tape (S&amp;P)'!P3382,
    occupancy,'Loan Tape (S&amp;P)'!N3382,
    maturity_date,'Loan Tape (S&amp;P)'!L3382,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83">
      <c r="J3383">
        <f>LET(
    lien,'Loan Tape (S&amp;P)'!Q3383,
    IF(lien="First",1.00,
        IF(lien="Second",1.50,
            1.70)))</f>
        <v/>
      </c>
      <c r="K3383">
        <f>LET(
    purpose,'Loan Tape (S&amp;P)'!R3383,
    IF(purpose="Purchase",1.00,
        IF(purpose="Remortgage",1.00,
            1.20)))</f>
        <v/>
      </c>
      <c r="L3383">
        <f>LET(
    arrears_months,'Loan Tape (S&amp;P)'!AN3383,
    IF(arrears_months=0,1.00,
    IF(arrears_months=1,3.00,
    IF(arrears_months=2,5.00,
    IF(arrears_months=3,8.00,
    IF(arrears_months=4,10.00,
    IF(arrears_months=5,12.00,15.00)))))))</f>
        <v/>
      </c>
      <c r="M3383">
        <f>LET(
    seasoning_years,DATEDIF('Loan Tape (S&amp;P)'!K3383,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83">
        <f>IF(AND('Loan Tape (S&amp;P)'!U3383="Yes",
        'Loan Tape (S&amp;P)'!T3383&lt;&gt;"Yes",
        DATEDIF('Loan Tape (S&amp;P)'!K3383, TODAY(), "M")&lt;18),
    1.10,
    1.00)</f>
        <v/>
      </c>
      <c r="O3383">
        <f>IF('Loan Tape (S&amp;P)'!T3383="Yes",
    1.35,
    1.00)</f>
        <v/>
      </c>
      <c r="P3383">
        <f>IF('Loan Tape (S&amp;P)'!S3383="Yes",
    1.15,
    1.00)</f>
        <v/>
      </c>
      <c r="Q3383">
        <f>IF('Loan Tape (S&amp;P)'!V3383="Yes",
    1.20,
    1.00)</f>
        <v/>
      </c>
      <c r="T3383">
        <f>LET(
    payment_method,'Loan Tape (S&amp;P)'!P3383,
    occupancy,'Loan Tape (S&amp;P)'!N3383,
    maturity_date,'Loan Tape (S&amp;P)'!L3383,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84">
      <c r="J3384">
        <f>LET(
    lien,'Loan Tape (S&amp;P)'!Q3384,
    IF(lien="First",1.00,
        IF(lien="Second",1.50,
            1.70)))</f>
        <v/>
      </c>
      <c r="K3384">
        <f>LET(
    purpose,'Loan Tape (S&amp;P)'!R3384,
    IF(purpose="Purchase",1.00,
        IF(purpose="Remortgage",1.00,
            1.20)))</f>
        <v/>
      </c>
      <c r="L3384">
        <f>LET(
    arrears_months,'Loan Tape (S&amp;P)'!AN3384,
    IF(arrears_months=0,1.00,
    IF(arrears_months=1,3.00,
    IF(arrears_months=2,5.00,
    IF(arrears_months=3,8.00,
    IF(arrears_months=4,10.00,
    IF(arrears_months=5,12.00,15.00)))))))</f>
        <v/>
      </c>
      <c r="M3384">
        <f>LET(
    seasoning_years,DATEDIF('Loan Tape (S&amp;P)'!K3384,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84">
        <f>IF(AND('Loan Tape (S&amp;P)'!U3384="Yes",
        'Loan Tape (S&amp;P)'!T3384&lt;&gt;"Yes",
        DATEDIF('Loan Tape (S&amp;P)'!K3384, TODAY(), "M")&lt;18),
    1.10,
    1.00)</f>
        <v/>
      </c>
      <c r="O3384">
        <f>IF('Loan Tape (S&amp;P)'!T3384="Yes",
    1.35,
    1.00)</f>
        <v/>
      </c>
      <c r="P3384">
        <f>IF('Loan Tape (S&amp;P)'!S3384="Yes",
    1.15,
    1.00)</f>
        <v/>
      </c>
      <c r="Q3384">
        <f>IF('Loan Tape (S&amp;P)'!V3384="Yes",
    1.20,
    1.00)</f>
        <v/>
      </c>
      <c r="T3384">
        <f>LET(
    payment_method,'Loan Tape (S&amp;P)'!P3384,
    occupancy,'Loan Tape (S&amp;P)'!N3384,
    maturity_date,'Loan Tape (S&amp;P)'!L3384,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85">
      <c r="J3385">
        <f>LET(
    lien,'Loan Tape (S&amp;P)'!Q3385,
    IF(lien="First",1.00,
        IF(lien="Second",1.50,
            1.70)))</f>
        <v/>
      </c>
      <c r="K3385">
        <f>LET(
    purpose,'Loan Tape (S&amp;P)'!R3385,
    IF(purpose="Purchase",1.00,
        IF(purpose="Remortgage",1.00,
            1.20)))</f>
        <v/>
      </c>
      <c r="L3385">
        <f>LET(
    arrears_months,'Loan Tape (S&amp;P)'!AN3385,
    IF(arrears_months=0,1.00,
    IF(arrears_months=1,3.00,
    IF(arrears_months=2,5.00,
    IF(arrears_months=3,8.00,
    IF(arrears_months=4,10.00,
    IF(arrears_months=5,12.00,15.00)))))))</f>
        <v/>
      </c>
      <c r="M3385">
        <f>LET(
    seasoning_years,DATEDIF('Loan Tape (S&amp;P)'!K3385,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85">
        <f>IF(AND('Loan Tape (S&amp;P)'!U3385="Yes",
        'Loan Tape (S&amp;P)'!T3385&lt;&gt;"Yes",
        DATEDIF('Loan Tape (S&amp;P)'!K3385, TODAY(), "M")&lt;18),
    1.10,
    1.00)</f>
        <v/>
      </c>
      <c r="O3385">
        <f>IF('Loan Tape (S&amp;P)'!T3385="Yes",
    1.35,
    1.00)</f>
        <v/>
      </c>
      <c r="P3385">
        <f>IF('Loan Tape (S&amp;P)'!S3385="Yes",
    1.15,
    1.00)</f>
        <v/>
      </c>
      <c r="Q3385">
        <f>IF('Loan Tape (S&amp;P)'!V3385="Yes",
    1.20,
    1.00)</f>
        <v/>
      </c>
      <c r="T3385">
        <f>LET(
    payment_method,'Loan Tape (S&amp;P)'!P3385,
    occupancy,'Loan Tape (S&amp;P)'!N3385,
    maturity_date,'Loan Tape (S&amp;P)'!L3385,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86">
      <c r="J3386">
        <f>LET(
    lien,'Loan Tape (S&amp;P)'!Q3386,
    IF(lien="First",1.00,
        IF(lien="Second",1.50,
            1.70)))</f>
        <v/>
      </c>
      <c r="K3386">
        <f>LET(
    purpose,'Loan Tape (S&amp;P)'!R3386,
    IF(purpose="Purchase",1.00,
        IF(purpose="Remortgage",1.00,
            1.20)))</f>
        <v/>
      </c>
      <c r="L3386">
        <f>LET(
    arrears_months,'Loan Tape (S&amp;P)'!AN3386,
    IF(arrears_months=0,1.00,
    IF(arrears_months=1,3.00,
    IF(arrears_months=2,5.00,
    IF(arrears_months=3,8.00,
    IF(arrears_months=4,10.00,
    IF(arrears_months=5,12.00,15.00)))))))</f>
        <v/>
      </c>
      <c r="M3386">
        <f>LET(
    seasoning_years,DATEDIF('Loan Tape (S&amp;P)'!K3386,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86">
        <f>IF(AND('Loan Tape (S&amp;P)'!U3386="Yes",
        'Loan Tape (S&amp;P)'!T3386&lt;&gt;"Yes",
        DATEDIF('Loan Tape (S&amp;P)'!K3386, TODAY(), "M")&lt;18),
    1.10,
    1.00)</f>
        <v/>
      </c>
      <c r="O3386">
        <f>IF('Loan Tape (S&amp;P)'!T3386="Yes",
    1.35,
    1.00)</f>
        <v/>
      </c>
      <c r="P3386">
        <f>IF('Loan Tape (S&amp;P)'!S3386="Yes",
    1.15,
    1.00)</f>
        <v/>
      </c>
      <c r="Q3386">
        <f>IF('Loan Tape (S&amp;P)'!V3386="Yes",
    1.20,
    1.00)</f>
        <v/>
      </c>
      <c r="T3386">
        <f>LET(
    payment_method,'Loan Tape (S&amp;P)'!P3386,
    occupancy,'Loan Tape (S&amp;P)'!N3386,
    maturity_date,'Loan Tape (S&amp;P)'!L3386,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87">
      <c r="J3387">
        <f>LET(
    lien,'Loan Tape (S&amp;P)'!Q3387,
    IF(lien="First",1.00,
        IF(lien="Second",1.50,
            1.70)))</f>
        <v/>
      </c>
      <c r="K3387">
        <f>LET(
    purpose,'Loan Tape (S&amp;P)'!R3387,
    IF(purpose="Purchase",1.00,
        IF(purpose="Remortgage",1.00,
            1.20)))</f>
        <v/>
      </c>
      <c r="L3387">
        <f>LET(
    arrears_months,'Loan Tape (S&amp;P)'!AN3387,
    IF(arrears_months=0,1.00,
    IF(arrears_months=1,3.00,
    IF(arrears_months=2,5.00,
    IF(arrears_months=3,8.00,
    IF(arrears_months=4,10.00,
    IF(arrears_months=5,12.00,15.00)))))))</f>
        <v/>
      </c>
      <c r="M3387">
        <f>LET(
    seasoning_years,DATEDIF('Loan Tape (S&amp;P)'!K3387,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87">
        <f>IF(AND('Loan Tape (S&amp;P)'!U3387="Yes",
        'Loan Tape (S&amp;P)'!T3387&lt;&gt;"Yes",
        DATEDIF('Loan Tape (S&amp;P)'!K3387, TODAY(), "M")&lt;18),
    1.10,
    1.00)</f>
        <v/>
      </c>
      <c r="O3387">
        <f>IF('Loan Tape (S&amp;P)'!T3387="Yes",
    1.35,
    1.00)</f>
        <v/>
      </c>
      <c r="P3387">
        <f>IF('Loan Tape (S&amp;P)'!S3387="Yes",
    1.15,
    1.00)</f>
        <v/>
      </c>
      <c r="Q3387">
        <f>IF('Loan Tape (S&amp;P)'!V3387="Yes",
    1.20,
    1.00)</f>
        <v/>
      </c>
      <c r="T3387">
        <f>LET(
    payment_method,'Loan Tape (S&amp;P)'!P3387,
    occupancy,'Loan Tape (S&amp;P)'!N3387,
    maturity_date,'Loan Tape (S&amp;P)'!L3387,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88">
      <c r="J3388">
        <f>LET(
    lien,'Loan Tape (S&amp;P)'!Q3388,
    IF(lien="First",1.00,
        IF(lien="Second",1.50,
            1.70)))</f>
        <v/>
      </c>
      <c r="K3388">
        <f>LET(
    purpose,'Loan Tape (S&amp;P)'!R3388,
    IF(purpose="Purchase",1.00,
        IF(purpose="Remortgage",1.00,
            1.20)))</f>
        <v/>
      </c>
      <c r="L3388">
        <f>LET(
    arrears_months,'Loan Tape (S&amp;P)'!AN3388,
    IF(arrears_months=0,1.00,
    IF(arrears_months=1,3.00,
    IF(arrears_months=2,5.00,
    IF(arrears_months=3,8.00,
    IF(arrears_months=4,10.00,
    IF(arrears_months=5,12.00,15.00)))))))</f>
        <v/>
      </c>
      <c r="M3388">
        <f>LET(
    seasoning_years,DATEDIF('Loan Tape (S&amp;P)'!K3388,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88">
        <f>IF(AND('Loan Tape (S&amp;P)'!U3388="Yes",
        'Loan Tape (S&amp;P)'!T3388&lt;&gt;"Yes",
        DATEDIF('Loan Tape (S&amp;P)'!K3388, TODAY(), "M")&lt;18),
    1.10,
    1.00)</f>
        <v/>
      </c>
      <c r="O3388">
        <f>IF('Loan Tape (S&amp;P)'!T3388="Yes",
    1.35,
    1.00)</f>
        <v/>
      </c>
      <c r="P3388">
        <f>IF('Loan Tape (S&amp;P)'!S3388="Yes",
    1.15,
    1.00)</f>
        <v/>
      </c>
      <c r="Q3388">
        <f>IF('Loan Tape (S&amp;P)'!V3388="Yes",
    1.20,
    1.00)</f>
        <v/>
      </c>
      <c r="T3388">
        <f>LET(
    payment_method,'Loan Tape (S&amp;P)'!P3388,
    occupancy,'Loan Tape (S&amp;P)'!N3388,
    maturity_date,'Loan Tape (S&amp;P)'!L3388,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89">
      <c r="J3389">
        <f>LET(
    lien,'Loan Tape (S&amp;P)'!Q3389,
    IF(lien="First",1.00,
        IF(lien="Second",1.50,
            1.70)))</f>
        <v/>
      </c>
      <c r="K3389">
        <f>LET(
    purpose,'Loan Tape (S&amp;P)'!R3389,
    IF(purpose="Purchase",1.00,
        IF(purpose="Remortgage",1.00,
            1.20)))</f>
        <v/>
      </c>
      <c r="L3389">
        <f>LET(
    arrears_months,'Loan Tape (S&amp;P)'!AN3389,
    IF(arrears_months=0,1.00,
    IF(arrears_months=1,3.00,
    IF(arrears_months=2,5.00,
    IF(arrears_months=3,8.00,
    IF(arrears_months=4,10.00,
    IF(arrears_months=5,12.00,15.00)))))))</f>
        <v/>
      </c>
      <c r="M3389">
        <f>LET(
    seasoning_years,DATEDIF('Loan Tape (S&amp;P)'!K3389,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89">
        <f>IF(AND('Loan Tape (S&amp;P)'!U3389="Yes",
        'Loan Tape (S&amp;P)'!T3389&lt;&gt;"Yes",
        DATEDIF('Loan Tape (S&amp;P)'!K3389, TODAY(), "M")&lt;18),
    1.10,
    1.00)</f>
        <v/>
      </c>
      <c r="O3389">
        <f>IF('Loan Tape (S&amp;P)'!T3389="Yes",
    1.35,
    1.00)</f>
        <v/>
      </c>
      <c r="P3389">
        <f>IF('Loan Tape (S&amp;P)'!S3389="Yes",
    1.15,
    1.00)</f>
        <v/>
      </c>
      <c r="Q3389">
        <f>IF('Loan Tape (S&amp;P)'!V3389="Yes",
    1.20,
    1.00)</f>
        <v/>
      </c>
      <c r="T3389">
        <f>LET(
    payment_method,'Loan Tape (S&amp;P)'!P3389,
    occupancy,'Loan Tape (S&amp;P)'!N3389,
    maturity_date,'Loan Tape (S&amp;P)'!L3389,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90">
      <c r="J3390">
        <f>LET(
    lien,'Loan Tape (S&amp;P)'!Q3390,
    IF(lien="First",1.00,
        IF(lien="Second",1.50,
            1.70)))</f>
        <v/>
      </c>
      <c r="K3390">
        <f>LET(
    purpose,'Loan Tape (S&amp;P)'!R3390,
    IF(purpose="Purchase",1.00,
        IF(purpose="Remortgage",1.00,
            1.20)))</f>
        <v/>
      </c>
      <c r="L3390">
        <f>LET(
    arrears_months,'Loan Tape (S&amp;P)'!AN3390,
    IF(arrears_months=0,1.00,
    IF(arrears_months=1,3.00,
    IF(arrears_months=2,5.00,
    IF(arrears_months=3,8.00,
    IF(arrears_months=4,10.00,
    IF(arrears_months=5,12.00,15.00)))))))</f>
        <v/>
      </c>
      <c r="M3390">
        <f>LET(
    seasoning_years,DATEDIF('Loan Tape (S&amp;P)'!K3390,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90">
        <f>IF(AND('Loan Tape (S&amp;P)'!U3390="Yes",
        'Loan Tape (S&amp;P)'!T3390&lt;&gt;"Yes",
        DATEDIF('Loan Tape (S&amp;P)'!K3390, TODAY(), "M")&lt;18),
    1.10,
    1.00)</f>
        <v/>
      </c>
      <c r="O3390">
        <f>IF('Loan Tape (S&amp;P)'!T3390="Yes",
    1.35,
    1.00)</f>
        <v/>
      </c>
      <c r="P3390">
        <f>IF('Loan Tape (S&amp;P)'!S3390="Yes",
    1.15,
    1.00)</f>
        <v/>
      </c>
      <c r="Q3390">
        <f>IF('Loan Tape (S&amp;P)'!V3390="Yes",
    1.20,
    1.00)</f>
        <v/>
      </c>
      <c r="T3390">
        <f>LET(
    payment_method,'Loan Tape (S&amp;P)'!P3390,
    occupancy,'Loan Tape (S&amp;P)'!N3390,
    maturity_date,'Loan Tape (S&amp;P)'!L3390,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91">
      <c r="J3391">
        <f>LET(
    lien,'Loan Tape (S&amp;P)'!Q3391,
    IF(lien="First",1.00,
        IF(lien="Second",1.50,
            1.70)))</f>
        <v/>
      </c>
      <c r="K3391">
        <f>LET(
    purpose,'Loan Tape (S&amp;P)'!R3391,
    IF(purpose="Purchase",1.00,
        IF(purpose="Remortgage",1.00,
            1.20)))</f>
        <v/>
      </c>
      <c r="L3391">
        <f>LET(
    arrears_months,'Loan Tape (S&amp;P)'!AN3391,
    IF(arrears_months=0,1.00,
    IF(arrears_months=1,3.00,
    IF(arrears_months=2,5.00,
    IF(arrears_months=3,8.00,
    IF(arrears_months=4,10.00,
    IF(arrears_months=5,12.00,15.00)))))))</f>
        <v/>
      </c>
      <c r="M3391">
        <f>LET(
    seasoning_years,DATEDIF('Loan Tape (S&amp;P)'!K3391,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91">
        <f>IF(AND('Loan Tape (S&amp;P)'!U3391="Yes",
        'Loan Tape (S&amp;P)'!T3391&lt;&gt;"Yes",
        DATEDIF('Loan Tape (S&amp;P)'!K3391, TODAY(), "M")&lt;18),
    1.10,
    1.00)</f>
        <v/>
      </c>
      <c r="O3391">
        <f>IF('Loan Tape (S&amp;P)'!T3391="Yes",
    1.35,
    1.00)</f>
        <v/>
      </c>
      <c r="P3391">
        <f>IF('Loan Tape (S&amp;P)'!S3391="Yes",
    1.15,
    1.00)</f>
        <v/>
      </c>
      <c r="Q3391">
        <f>IF('Loan Tape (S&amp;P)'!V3391="Yes",
    1.20,
    1.00)</f>
        <v/>
      </c>
      <c r="T3391">
        <f>LET(
    payment_method,'Loan Tape (S&amp;P)'!P3391,
    occupancy,'Loan Tape (S&amp;P)'!N3391,
    maturity_date,'Loan Tape (S&amp;P)'!L3391,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92">
      <c r="J3392">
        <f>LET(
    lien,'Loan Tape (S&amp;P)'!Q3392,
    IF(lien="First",1.00,
        IF(lien="Second",1.50,
            1.70)))</f>
        <v/>
      </c>
      <c r="K3392">
        <f>LET(
    purpose,'Loan Tape (S&amp;P)'!R3392,
    IF(purpose="Purchase",1.00,
        IF(purpose="Remortgage",1.00,
            1.20)))</f>
        <v/>
      </c>
      <c r="L3392">
        <f>LET(
    arrears_months,'Loan Tape (S&amp;P)'!AN3392,
    IF(arrears_months=0,1.00,
    IF(arrears_months=1,3.00,
    IF(arrears_months=2,5.00,
    IF(arrears_months=3,8.00,
    IF(arrears_months=4,10.00,
    IF(arrears_months=5,12.00,15.00)))))))</f>
        <v/>
      </c>
      <c r="M3392">
        <f>LET(
    seasoning_years,DATEDIF('Loan Tape (S&amp;P)'!K3392,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92">
        <f>IF(AND('Loan Tape (S&amp;P)'!U3392="Yes",
        'Loan Tape (S&amp;P)'!T3392&lt;&gt;"Yes",
        DATEDIF('Loan Tape (S&amp;P)'!K3392, TODAY(), "M")&lt;18),
    1.10,
    1.00)</f>
        <v/>
      </c>
      <c r="O3392">
        <f>IF('Loan Tape (S&amp;P)'!T3392="Yes",
    1.35,
    1.00)</f>
        <v/>
      </c>
      <c r="P3392">
        <f>IF('Loan Tape (S&amp;P)'!S3392="Yes",
    1.15,
    1.00)</f>
        <v/>
      </c>
      <c r="Q3392">
        <f>IF('Loan Tape (S&amp;P)'!V3392="Yes",
    1.20,
    1.00)</f>
        <v/>
      </c>
      <c r="T3392">
        <f>LET(
    payment_method,'Loan Tape (S&amp;P)'!P3392,
    occupancy,'Loan Tape (S&amp;P)'!N3392,
    maturity_date,'Loan Tape (S&amp;P)'!L3392,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93">
      <c r="J3393">
        <f>LET(
    lien,'Loan Tape (S&amp;P)'!Q3393,
    IF(lien="First",1.00,
        IF(lien="Second",1.50,
            1.70)))</f>
        <v/>
      </c>
      <c r="K3393">
        <f>LET(
    purpose,'Loan Tape (S&amp;P)'!R3393,
    IF(purpose="Purchase",1.00,
        IF(purpose="Remortgage",1.00,
            1.20)))</f>
        <v/>
      </c>
      <c r="L3393">
        <f>LET(
    arrears_months,'Loan Tape (S&amp;P)'!AN3393,
    IF(arrears_months=0,1.00,
    IF(arrears_months=1,3.00,
    IF(arrears_months=2,5.00,
    IF(arrears_months=3,8.00,
    IF(arrears_months=4,10.00,
    IF(arrears_months=5,12.00,15.00)))))))</f>
        <v/>
      </c>
      <c r="M3393">
        <f>LET(
    seasoning_years,DATEDIF('Loan Tape (S&amp;P)'!K3393,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93">
        <f>IF(AND('Loan Tape (S&amp;P)'!U3393="Yes",
        'Loan Tape (S&amp;P)'!T3393&lt;&gt;"Yes",
        DATEDIF('Loan Tape (S&amp;P)'!K3393, TODAY(), "M")&lt;18),
    1.10,
    1.00)</f>
        <v/>
      </c>
      <c r="O3393">
        <f>IF('Loan Tape (S&amp;P)'!T3393="Yes",
    1.35,
    1.00)</f>
        <v/>
      </c>
      <c r="P3393">
        <f>IF('Loan Tape (S&amp;P)'!S3393="Yes",
    1.15,
    1.00)</f>
        <v/>
      </c>
      <c r="Q3393">
        <f>IF('Loan Tape (S&amp;P)'!V3393="Yes",
    1.20,
    1.00)</f>
        <v/>
      </c>
      <c r="T3393">
        <f>LET(
    payment_method,'Loan Tape (S&amp;P)'!P3393,
    occupancy,'Loan Tape (S&amp;P)'!N3393,
    maturity_date,'Loan Tape (S&amp;P)'!L3393,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94">
      <c r="J3394">
        <f>LET(
    lien,'Loan Tape (S&amp;P)'!Q3394,
    IF(lien="First",1.00,
        IF(lien="Second",1.50,
            1.70)))</f>
        <v/>
      </c>
      <c r="K3394">
        <f>LET(
    purpose,'Loan Tape (S&amp;P)'!R3394,
    IF(purpose="Purchase",1.00,
        IF(purpose="Remortgage",1.00,
            1.20)))</f>
        <v/>
      </c>
      <c r="L3394">
        <f>LET(
    arrears_months,'Loan Tape (S&amp;P)'!AN3394,
    IF(arrears_months=0,1.00,
    IF(arrears_months=1,3.00,
    IF(arrears_months=2,5.00,
    IF(arrears_months=3,8.00,
    IF(arrears_months=4,10.00,
    IF(arrears_months=5,12.00,15.00)))))))</f>
        <v/>
      </c>
      <c r="M3394">
        <f>LET(
    seasoning_years,DATEDIF('Loan Tape (S&amp;P)'!K3394,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94">
        <f>IF(AND('Loan Tape (S&amp;P)'!U3394="Yes",
        'Loan Tape (S&amp;P)'!T3394&lt;&gt;"Yes",
        DATEDIF('Loan Tape (S&amp;P)'!K3394, TODAY(), "M")&lt;18),
    1.10,
    1.00)</f>
        <v/>
      </c>
      <c r="O3394">
        <f>IF('Loan Tape (S&amp;P)'!T3394="Yes",
    1.35,
    1.00)</f>
        <v/>
      </c>
      <c r="P3394">
        <f>IF('Loan Tape (S&amp;P)'!S3394="Yes",
    1.15,
    1.00)</f>
        <v/>
      </c>
      <c r="Q3394">
        <f>IF('Loan Tape (S&amp;P)'!V3394="Yes",
    1.20,
    1.00)</f>
        <v/>
      </c>
      <c r="T3394">
        <f>LET(
    payment_method,'Loan Tape (S&amp;P)'!P3394,
    occupancy,'Loan Tape (S&amp;P)'!N3394,
    maturity_date,'Loan Tape (S&amp;P)'!L3394,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95">
      <c r="J3395">
        <f>LET(
    lien,'Loan Tape (S&amp;P)'!Q3395,
    IF(lien="First",1.00,
        IF(lien="Second",1.50,
            1.70)))</f>
        <v/>
      </c>
      <c r="K3395">
        <f>LET(
    purpose,'Loan Tape (S&amp;P)'!R3395,
    IF(purpose="Purchase",1.00,
        IF(purpose="Remortgage",1.00,
            1.20)))</f>
        <v/>
      </c>
      <c r="L3395">
        <f>LET(
    arrears_months,'Loan Tape (S&amp;P)'!AN3395,
    IF(arrears_months=0,1.00,
    IF(arrears_months=1,3.00,
    IF(arrears_months=2,5.00,
    IF(arrears_months=3,8.00,
    IF(arrears_months=4,10.00,
    IF(arrears_months=5,12.00,15.00)))))))</f>
        <v/>
      </c>
      <c r="M3395">
        <f>LET(
    seasoning_years,DATEDIF('Loan Tape (S&amp;P)'!K3395,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95">
        <f>IF(AND('Loan Tape (S&amp;P)'!U3395="Yes",
        'Loan Tape (S&amp;P)'!T3395&lt;&gt;"Yes",
        DATEDIF('Loan Tape (S&amp;P)'!K3395, TODAY(), "M")&lt;18),
    1.10,
    1.00)</f>
        <v/>
      </c>
      <c r="O3395">
        <f>IF('Loan Tape (S&amp;P)'!T3395="Yes",
    1.35,
    1.00)</f>
        <v/>
      </c>
      <c r="P3395">
        <f>IF('Loan Tape (S&amp;P)'!S3395="Yes",
    1.15,
    1.00)</f>
        <v/>
      </c>
      <c r="Q3395">
        <f>IF('Loan Tape (S&amp;P)'!V3395="Yes",
    1.20,
    1.00)</f>
        <v/>
      </c>
      <c r="T3395">
        <f>LET(
    payment_method,'Loan Tape (S&amp;P)'!P3395,
    occupancy,'Loan Tape (S&amp;P)'!N3395,
    maturity_date,'Loan Tape (S&amp;P)'!L3395,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96">
      <c r="J3396">
        <f>LET(
    lien,'Loan Tape (S&amp;P)'!Q3396,
    IF(lien="First",1.00,
        IF(lien="Second",1.50,
            1.70)))</f>
        <v/>
      </c>
      <c r="K3396">
        <f>LET(
    purpose,'Loan Tape (S&amp;P)'!R3396,
    IF(purpose="Purchase",1.00,
        IF(purpose="Remortgage",1.00,
            1.20)))</f>
        <v/>
      </c>
      <c r="L3396">
        <f>LET(
    arrears_months,'Loan Tape (S&amp;P)'!AN3396,
    IF(arrears_months=0,1.00,
    IF(arrears_months=1,3.00,
    IF(arrears_months=2,5.00,
    IF(arrears_months=3,8.00,
    IF(arrears_months=4,10.00,
    IF(arrears_months=5,12.00,15.00)))))))</f>
        <v/>
      </c>
      <c r="M3396">
        <f>LET(
    seasoning_years,DATEDIF('Loan Tape (S&amp;P)'!K3396,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96">
        <f>IF(AND('Loan Tape (S&amp;P)'!U3396="Yes",
        'Loan Tape (S&amp;P)'!T3396&lt;&gt;"Yes",
        DATEDIF('Loan Tape (S&amp;P)'!K3396, TODAY(), "M")&lt;18),
    1.10,
    1.00)</f>
        <v/>
      </c>
      <c r="O3396">
        <f>IF('Loan Tape (S&amp;P)'!T3396="Yes",
    1.35,
    1.00)</f>
        <v/>
      </c>
      <c r="P3396">
        <f>IF('Loan Tape (S&amp;P)'!S3396="Yes",
    1.15,
    1.00)</f>
        <v/>
      </c>
      <c r="Q3396">
        <f>IF('Loan Tape (S&amp;P)'!V3396="Yes",
    1.20,
    1.00)</f>
        <v/>
      </c>
      <c r="T3396">
        <f>LET(
    payment_method,'Loan Tape (S&amp;P)'!P3396,
    occupancy,'Loan Tape (S&amp;P)'!N3396,
    maturity_date,'Loan Tape (S&amp;P)'!L3396,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97">
      <c r="J3397">
        <f>LET(
    lien,'Loan Tape (S&amp;P)'!Q3397,
    IF(lien="First",1.00,
        IF(lien="Second",1.50,
            1.70)))</f>
        <v/>
      </c>
      <c r="K3397">
        <f>LET(
    purpose,'Loan Tape (S&amp;P)'!R3397,
    IF(purpose="Purchase",1.00,
        IF(purpose="Remortgage",1.00,
            1.20)))</f>
        <v/>
      </c>
      <c r="L3397">
        <f>LET(
    arrears_months,'Loan Tape (S&amp;P)'!AN3397,
    IF(arrears_months=0,1.00,
    IF(arrears_months=1,3.00,
    IF(arrears_months=2,5.00,
    IF(arrears_months=3,8.00,
    IF(arrears_months=4,10.00,
    IF(arrears_months=5,12.00,15.00)))))))</f>
        <v/>
      </c>
      <c r="M3397">
        <f>LET(
    seasoning_years,DATEDIF('Loan Tape (S&amp;P)'!K3397,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97">
        <f>IF(AND('Loan Tape (S&amp;P)'!U3397="Yes",
        'Loan Tape (S&amp;P)'!T3397&lt;&gt;"Yes",
        DATEDIF('Loan Tape (S&amp;P)'!K3397, TODAY(), "M")&lt;18),
    1.10,
    1.00)</f>
        <v/>
      </c>
      <c r="O3397">
        <f>IF('Loan Tape (S&amp;P)'!T3397="Yes",
    1.35,
    1.00)</f>
        <v/>
      </c>
      <c r="P3397">
        <f>IF('Loan Tape (S&amp;P)'!S3397="Yes",
    1.15,
    1.00)</f>
        <v/>
      </c>
      <c r="Q3397">
        <f>IF('Loan Tape (S&amp;P)'!V3397="Yes",
    1.20,
    1.00)</f>
        <v/>
      </c>
      <c r="T3397">
        <f>LET(
    payment_method,'Loan Tape (S&amp;P)'!P3397,
    occupancy,'Loan Tape (S&amp;P)'!N3397,
    maturity_date,'Loan Tape (S&amp;P)'!L3397,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98">
      <c r="J3398">
        <f>LET(
    lien,'Loan Tape (S&amp;P)'!Q3398,
    IF(lien="First",1.00,
        IF(lien="Second",1.50,
            1.70)))</f>
        <v/>
      </c>
      <c r="K3398">
        <f>LET(
    purpose,'Loan Tape (S&amp;P)'!R3398,
    IF(purpose="Purchase",1.00,
        IF(purpose="Remortgage",1.00,
            1.20)))</f>
        <v/>
      </c>
      <c r="L3398">
        <f>LET(
    arrears_months,'Loan Tape (S&amp;P)'!AN3398,
    IF(arrears_months=0,1.00,
    IF(arrears_months=1,3.00,
    IF(arrears_months=2,5.00,
    IF(arrears_months=3,8.00,
    IF(arrears_months=4,10.00,
    IF(arrears_months=5,12.00,15.00)))))))</f>
        <v/>
      </c>
      <c r="M3398">
        <f>LET(
    seasoning_years,DATEDIF('Loan Tape (S&amp;P)'!K3398,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98">
        <f>IF(AND('Loan Tape (S&amp;P)'!U3398="Yes",
        'Loan Tape (S&amp;P)'!T3398&lt;&gt;"Yes",
        DATEDIF('Loan Tape (S&amp;P)'!K3398, TODAY(), "M")&lt;18),
    1.10,
    1.00)</f>
        <v/>
      </c>
      <c r="O3398">
        <f>IF('Loan Tape (S&amp;P)'!T3398="Yes",
    1.35,
    1.00)</f>
        <v/>
      </c>
      <c r="P3398">
        <f>IF('Loan Tape (S&amp;P)'!S3398="Yes",
    1.15,
    1.00)</f>
        <v/>
      </c>
      <c r="Q3398">
        <f>IF('Loan Tape (S&amp;P)'!V3398="Yes",
    1.20,
    1.00)</f>
        <v/>
      </c>
      <c r="T3398">
        <f>LET(
    payment_method,'Loan Tape (S&amp;P)'!P3398,
    occupancy,'Loan Tape (S&amp;P)'!N3398,
    maturity_date,'Loan Tape (S&amp;P)'!L3398,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399">
      <c r="J3399">
        <f>LET(
    lien,'Loan Tape (S&amp;P)'!Q3399,
    IF(lien="First",1.00,
        IF(lien="Second",1.50,
            1.70)))</f>
        <v/>
      </c>
      <c r="K3399">
        <f>LET(
    purpose,'Loan Tape (S&amp;P)'!R3399,
    IF(purpose="Purchase",1.00,
        IF(purpose="Remortgage",1.00,
            1.20)))</f>
        <v/>
      </c>
      <c r="L3399">
        <f>LET(
    arrears_months,'Loan Tape (S&amp;P)'!AN3399,
    IF(arrears_months=0,1.00,
    IF(arrears_months=1,3.00,
    IF(arrears_months=2,5.00,
    IF(arrears_months=3,8.00,
    IF(arrears_months=4,10.00,
    IF(arrears_months=5,12.00,15.00)))))))</f>
        <v/>
      </c>
      <c r="M3399">
        <f>LET(
    seasoning_years,DATEDIF('Loan Tape (S&amp;P)'!K3399,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399">
        <f>IF(AND('Loan Tape (S&amp;P)'!U3399="Yes",
        'Loan Tape (S&amp;P)'!T3399&lt;&gt;"Yes",
        DATEDIF('Loan Tape (S&amp;P)'!K3399, TODAY(), "M")&lt;18),
    1.10,
    1.00)</f>
        <v/>
      </c>
      <c r="O3399">
        <f>IF('Loan Tape (S&amp;P)'!T3399="Yes",
    1.35,
    1.00)</f>
        <v/>
      </c>
      <c r="P3399">
        <f>IF('Loan Tape (S&amp;P)'!S3399="Yes",
    1.15,
    1.00)</f>
        <v/>
      </c>
      <c r="Q3399">
        <f>IF('Loan Tape (S&amp;P)'!V3399="Yes",
    1.20,
    1.00)</f>
        <v/>
      </c>
      <c r="T3399">
        <f>LET(
    payment_method,'Loan Tape (S&amp;P)'!P3399,
    occupancy,'Loan Tape (S&amp;P)'!N3399,
    maturity_date,'Loan Tape (S&amp;P)'!L3399,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00">
      <c r="J3400">
        <f>LET(
    lien,'Loan Tape (S&amp;P)'!Q3400,
    IF(lien="First",1.00,
        IF(lien="Second",1.50,
            1.70)))</f>
        <v/>
      </c>
      <c r="K3400">
        <f>LET(
    purpose,'Loan Tape (S&amp;P)'!R3400,
    IF(purpose="Purchase",1.00,
        IF(purpose="Remortgage",1.00,
            1.20)))</f>
        <v/>
      </c>
      <c r="L3400">
        <f>LET(
    arrears_months,'Loan Tape (S&amp;P)'!AN3400,
    IF(arrears_months=0,1.00,
    IF(arrears_months=1,3.00,
    IF(arrears_months=2,5.00,
    IF(arrears_months=3,8.00,
    IF(arrears_months=4,10.00,
    IF(arrears_months=5,12.00,15.00)))))))</f>
        <v/>
      </c>
      <c r="M3400">
        <f>LET(
    seasoning_years,DATEDIF('Loan Tape (S&amp;P)'!K3400,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00">
        <f>IF(AND('Loan Tape (S&amp;P)'!U3400="Yes",
        'Loan Tape (S&amp;P)'!T3400&lt;&gt;"Yes",
        DATEDIF('Loan Tape (S&amp;P)'!K3400, TODAY(), "M")&lt;18),
    1.10,
    1.00)</f>
        <v/>
      </c>
      <c r="O3400">
        <f>IF('Loan Tape (S&amp;P)'!T3400="Yes",
    1.35,
    1.00)</f>
        <v/>
      </c>
      <c r="P3400">
        <f>IF('Loan Tape (S&amp;P)'!S3400="Yes",
    1.15,
    1.00)</f>
        <v/>
      </c>
      <c r="Q3400">
        <f>IF('Loan Tape (S&amp;P)'!V3400="Yes",
    1.20,
    1.00)</f>
        <v/>
      </c>
      <c r="T3400">
        <f>LET(
    payment_method,'Loan Tape (S&amp;P)'!P3400,
    occupancy,'Loan Tape (S&amp;P)'!N3400,
    maturity_date,'Loan Tape (S&amp;P)'!L3400,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01">
      <c r="J3401">
        <f>LET(
    lien,'Loan Tape (S&amp;P)'!Q3401,
    IF(lien="First",1.00,
        IF(lien="Second",1.50,
            1.70)))</f>
        <v/>
      </c>
      <c r="K3401">
        <f>LET(
    purpose,'Loan Tape (S&amp;P)'!R3401,
    IF(purpose="Purchase",1.00,
        IF(purpose="Remortgage",1.00,
            1.20)))</f>
        <v/>
      </c>
      <c r="L3401">
        <f>LET(
    arrears_months,'Loan Tape (S&amp;P)'!AN3401,
    IF(arrears_months=0,1.00,
    IF(arrears_months=1,3.00,
    IF(arrears_months=2,5.00,
    IF(arrears_months=3,8.00,
    IF(arrears_months=4,10.00,
    IF(arrears_months=5,12.00,15.00)))))))</f>
        <v/>
      </c>
      <c r="M3401">
        <f>LET(
    seasoning_years,DATEDIF('Loan Tape (S&amp;P)'!K3401,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01">
        <f>IF(AND('Loan Tape (S&amp;P)'!U3401="Yes",
        'Loan Tape (S&amp;P)'!T3401&lt;&gt;"Yes",
        DATEDIF('Loan Tape (S&amp;P)'!K3401, TODAY(), "M")&lt;18),
    1.10,
    1.00)</f>
        <v/>
      </c>
      <c r="O3401">
        <f>IF('Loan Tape (S&amp;P)'!T3401="Yes",
    1.35,
    1.00)</f>
        <v/>
      </c>
      <c r="P3401">
        <f>IF('Loan Tape (S&amp;P)'!S3401="Yes",
    1.15,
    1.00)</f>
        <v/>
      </c>
      <c r="Q3401">
        <f>IF('Loan Tape (S&amp;P)'!V3401="Yes",
    1.20,
    1.00)</f>
        <v/>
      </c>
      <c r="T3401">
        <f>LET(
    payment_method,'Loan Tape (S&amp;P)'!P3401,
    occupancy,'Loan Tape (S&amp;P)'!N3401,
    maturity_date,'Loan Tape (S&amp;P)'!L3401,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02">
      <c r="J3402">
        <f>LET(
    lien,'Loan Tape (S&amp;P)'!Q3402,
    IF(lien="First",1.00,
        IF(lien="Second",1.50,
            1.70)))</f>
        <v/>
      </c>
      <c r="K3402">
        <f>LET(
    purpose,'Loan Tape (S&amp;P)'!R3402,
    IF(purpose="Purchase",1.00,
        IF(purpose="Remortgage",1.00,
            1.20)))</f>
        <v/>
      </c>
      <c r="L3402">
        <f>LET(
    arrears_months,'Loan Tape (S&amp;P)'!AN3402,
    IF(arrears_months=0,1.00,
    IF(arrears_months=1,3.00,
    IF(arrears_months=2,5.00,
    IF(arrears_months=3,8.00,
    IF(arrears_months=4,10.00,
    IF(arrears_months=5,12.00,15.00)))))))</f>
        <v/>
      </c>
      <c r="M3402">
        <f>LET(
    seasoning_years,DATEDIF('Loan Tape (S&amp;P)'!K3402,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02">
        <f>IF(AND('Loan Tape (S&amp;P)'!U3402="Yes",
        'Loan Tape (S&amp;P)'!T3402&lt;&gt;"Yes",
        DATEDIF('Loan Tape (S&amp;P)'!K3402, TODAY(), "M")&lt;18),
    1.10,
    1.00)</f>
        <v/>
      </c>
      <c r="O3402">
        <f>IF('Loan Tape (S&amp;P)'!T3402="Yes",
    1.35,
    1.00)</f>
        <v/>
      </c>
      <c r="P3402">
        <f>IF('Loan Tape (S&amp;P)'!S3402="Yes",
    1.15,
    1.00)</f>
        <v/>
      </c>
      <c r="Q3402">
        <f>IF('Loan Tape (S&amp;P)'!V3402="Yes",
    1.20,
    1.00)</f>
        <v/>
      </c>
      <c r="T3402">
        <f>LET(
    payment_method,'Loan Tape (S&amp;P)'!P3402,
    occupancy,'Loan Tape (S&amp;P)'!N3402,
    maturity_date,'Loan Tape (S&amp;P)'!L3402,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03">
      <c r="J3403">
        <f>LET(
    lien,'Loan Tape (S&amp;P)'!Q3403,
    IF(lien="First",1.00,
        IF(lien="Second",1.50,
            1.70)))</f>
        <v/>
      </c>
      <c r="K3403">
        <f>LET(
    purpose,'Loan Tape (S&amp;P)'!R3403,
    IF(purpose="Purchase",1.00,
        IF(purpose="Remortgage",1.00,
            1.20)))</f>
        <v/>
      </c>
      <c r="L3403">
        <f>LET(
    arrears_months,'Loan Tape (S&amp;P)'!AN3403,
    IF(arrears_months=0,1.00,
    IF(arrears_months=1,3.00,
    IF(arrears_months=2,5.00,
    IF(arrears_months=3,8.00,
    IF(arrears_months=4,10.00,
    IF(arrears_months=5,12.00,15.00)))))))</f>
        <v/>
      </c>
      <c r="M3403">
        <f>LET(
    seasoning_years,DATEDIF('Loan Tape (S&amp;P)'!K3403,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03">
        <f>IF(AND('Loan Tape (S&amp;P)'!U3403="Yes",
        'Loan Tape (S&amp;P)'!T3403&lt;&gt;"Yes",
        DATEDIF('Loan Tape (S&amp;P)'!K3403, TODAY(), "M")&lt;18),
    1.10,
    1.00)</f>
        <v/>
      </c>
      <c r="O3403">
        <f>IF('Loan Tape (S&amp;P)'!T3403="Yes",
    1.35,
    1.00)</f>
        <v/>
      </c>
      <c r="P3403">
        <f>IF('Loan Tape (S&amp;P)'!S3403="Yes",
    1.15,
    1.00)</f>
        <v/>
      </c>
      <c r="Q3403">
        <f>IF('Loan Tape (S&amp;P)'!V3403="Yes",
    1.20,
    1.00)</f>
        <v/>
      </c>
      <c r="T3403">
        <f>LET(
    payment_method,'Loan Tape (S&amp;P)'!P3403,
    occupancy,'Loan Tape (S&amp;P)'!N3403,
    maturity_date,'Loan Tape (S&amp;P)'!L3403,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04">
      <c r="J3404">
        <f>LET(
    lien,'Loan Tape (S&amp;P)'!Q3404,
    IF(lien="First",1.00,
        IF(lien="Second",1.50,
            1.70)))</f>
        <v/>
      </c>
      <c r="K3404">
        <f>LET(
    purpose,'Loan Tape (S&amp;P)'!R3404,
    IF(purpose="Purchase",1.00,
        IF(purpose="Remortgage",1.00,
            1.20)))</f>
        <v/>
      </c>
      <c r="L3404">
        <f>LET(
    arrears_months,'Loan Tape (S&amp;P)'!AN3404,
    IF(arrears_months=0,1.00,
    IF(arrears_months=1,3.00,
    IF(arrears_months=2,5.00,
    IF(arrears_months=3,8.00,
    IF(arrears_months=4,10.00,
    IF(arrears_months=5,12.00,15.00)))))))</f>
        <v/>
      </c>
      <c r="M3404">
        <f>LET(
    seasoning_years,DATEDIF('Loan Tape (S&amp;P)'!K3404,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04">
        <f>IF(AND('Loan Tape (S&amp;P)'!U3404="Yes",
        'Loan Tape (S&amp;P)'!T3404&lt;&gt;"Yes",
        DATEDIF('Loan Tape (S&amp;P)'!K3404, TODAY(), "M")&lt;18),
    1.10,
    1.00)</f>
        <v/>
      </c>
      <c r="O3404">
        <f>IF('Loan Tape (S&amp;P)'!T3404="Yes",
    1.35,
    1.00)</f>
        <v/>
      </c>
      <c r="P3404">
        <f>IF('Loan Tape (S&amp;P)'!S3404="Yes",
    1.15,
    1.00)</f>
        <v/>
      </c>
      <c r="Q3404">
        <f>IF('Loan Tape (S&amp;P)'!V3404="Yes",
    1.20,
    1.00)</f>
        <v/>
      </c>
      <c r="T3404">
        <f>LET(
    payment_method,'Loan Tape (S&amp;P)'!P3404,
    occupancy,'Loan Tape (S&amp;P)'!N3404,
    maturity_date,'Loan Tape (S&amp;P)'!L3404,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05">
      <c r="J3405">
        <f>LET(
    lien,'Loan Tape (S&amp;P)'!Q3405,
    IF(lien="First",1.00,
        IF(lien="Second",1.50,
            1.70)))</f>
        <v/>
      </c>
      <c r="K3405">
        <f>LET(
    purpose,'Loan Tape (S&amp;P)'!R3405,
    IF(purpose="Purchase",1.00,
        IF(purpose="Remortgage",1.00,
            1.20)))</f>
        <v/>
      </c>
      <c r="L3405">
        <f>LET(
    arrears_months,'Loan Tape (S&amp;P)'!AN3405,
    IF(arrears_months=0,1.00,
    IF(arrears_months=1,3.00,
    IF(arrears_months=2,5.00,
    IF(arrears_months=3,8.00,
    IF(arrears_months=4,10.00,
    IF(arrears_months=5,12.00,15.00)))))))</f>
        <v/>
      </c>
      <c r="M3405">
        <f>LET(
    seasoning_years,DATEDIF('Loan Tape (S&amp;P)'!K3405,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05">
        <f>IF(AND('Loan Tape (S&amp;P)'!U3405="Yes",
        'Loan Tape (S&amp;P)'!T3405&lt;&gt;"Yes",
        DATEDIF('Loan Tape (S&amp;P)'!K3405, TODAY(), "M")&lt;18),
    1.10,
    1.00)</f>
        <v/>
      </c>
      <c r="O3405">
        <f>IF('Loan Tape (S&amp;P)'!T3405="Yes",
    1.35,
    1.00)</f>
        <v/>
      </c>
      <c r="P3405">
        <f>IF('Loan Tape (S&amp;P)'!S3405="Yes",
    1.15,
    1.00)</f>
        <v/>
      </c>
      <c r="Q3405">
        <f>IF('Loan Tape (S&amp;P)'!V3405="Yes",
    1.20,
    1.00)</f>
        <v/>
      </c>
      <c r="T3405">
        <f>LET(
    payment_method,'Loan Tape (S&amp;P)'!P3405,
    occupancy,'Loan Tape (S&amp;P)'!N3405,
    maturity_date,'Loan Tape (S&amp;P)'!L3405,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06">
      <c r="J3406">
        <f>LET(
    lien,'Loan Tape (S&amp;P)'!Q3406,
    IF(lien="First",1.00,
        IF(lien="Second",1.50,
            1.70)))</f>
        <v/>
      </c>
      <c r="K3406">
        <f>LET(
    purpose,'Loan Tape (S&amp;P)'!R3406,
    IF(purpose="Purchase",1.00,
        IF(purpose="Remortgage",1.00,
            1.20)))</f>
        <v/>
      </c>
      <c r="L3406">
        <f>LET(
    arrears_months,'Loan Tape (S&amp;P)'!AN3406,
    IF(arrears_months=0,1.00,
    IF(arrears_months=1,3.00,
    IF(arrears_months=2,5.00,
    IF(arrears_months=3,8.00,
    IF(arrears_months=4,10.00,
    IF(arrears_months=5,12.00,15.00)))))))</f>
        <v/>
      </c>
      <c r="M3406">
        <f>LET(
    seasoning_years,DATEDIF('Loan Tape (S&amp;P)'!K3406,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06">
        <f>IF(AND('Loan Tape (S&amp;P)'!U3406="Yes",
        'Loan Tape (S&amp;P)'!T3406&lt;&gt;"Yes",
        DATEDIF('Loan Tape (S&amp;P)'!K3406, TODAY(), "M")&lt;18),
    1.10,
    1.00)</f>
        <v/>
      </c>
      <c r="O3406">
        <f>IF('Loan Tape (S&amp;P)'!T3406="Yes",
    1.35,
    1.00)</f>
        <v/>
      </c>
      <c r="P3406">
        <f>IF('Loan Tape (S&amp;P)'!S3406="Yes",
    1.15,
    1.00)</f>
        <v/>
      </c>
      <c r="Q3406">
        <f>IF('Loan Tape (S&amp;P)'!V3406="Yes",
    1.20,
    1.00)</f>
        <v/>
      </c>
      <c r="T3406">
        <f>LET(
    payment_method,'Loan Tape (S&amp;P)'!P3406,
    occupancy,'Loan Tape (S&amp;P)'!N3406,
    maturity_date,'Loan Tape (S&amp;P)'!L3406,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07">
      <c r="J3407">
        <f>LET(
    lien,'Loan Tape (S&amp;P)'!Q3407,
    IF(lien="First",1.00,
        IF(lien="Second",1.50,
            1.70)))</f>
        <v/>
      </c>
      <c r="K3407">
        <f>LET(
    purpose,'Loan Tape (S&amp;P)'!R3407,
    IF(purpose="Purchase",1.00,
        IF(purpose="Remortgage",1.00,
            1.20)))</f>
        <v/>
      </c>
      <c r="L3407">
        <f>LET(
    arrears_months,'Loan Tape (S&amp;P)'!AN3407,
    IF(arrears_months=0,1.00,
    IF(arrears_months=1,3.00,
    IF(arrears_months=2,5.00,
    IF(arrears_months=3,8.00,
    IF(arrears_months=4,10.00,
    IF(arrears_months=5,12.00,15.00)))))))</f>
        <v/>
      </c>
      <c r="M3407">
        <f>LET(
    seasoning_years,DATEDIF('Loan Tape (S&amp;P)'!K3407,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07">
        <f>IF(AND('Loan Tape (S&amp;P)'!U3407="Yes",
        'Loan Tape (S&amp;P)'!T3407&lt;&gt;"Yes",
        DATEDIF('Loan Tape (S&amp;P)'!K3407, TODAY(), "M")&lt;18),
    1.10,
    1.00)</f>
        <v/>
      </c>
      <c r="O3407">
        <f>IF('Loan Tape (S&amp;P)'!T3407="Yes",
    1.35,
    1.00)</f>
        <v/>
      </c>
      <c r="P3407">
        <f>IF('Loan Tape (S&amp;P)'!S3407="Yes",
    1.15,
    1.00)</f>
        <v/>
      </c>
      <c r="Q3407">
        <f>IF('Loan Tape (S&amp;P)'!V3407="Yes",
    1.20,
    1.00)</f>
        <v/>
      </c>
      <c r="T3407">
        <f>LET(
    payment_method,'Loan Tape (S&amp;P)'!P3407,
    occupancy,'Loan Tape (S&amp;P)'!N3407,
    maturity_date,'Loan Tape (S&amp;P)'!L3407,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08">
      <c r="J3408">
        <f>LET(
    lien,'Loan Tape (S&amp;P)'!Q3408,
    IF(lien="First",1.00,
        IF(lien="Second",1.50,
            1.70)))</f>
        <v/>
      </c>
      <c r="K3408">
        <f>LET(
    purpose,'Loan Tape (S&amp;P)'!R3408,
    IF(purpose="Purchase",1.00,
        IF(purpose="Remortgage",1.00,
            1.20)))</f>
        <v/>
      </c>
      <c r="L3408">
        <f>LET(
    arrears_months,'Loan Tape (S&amp;P)'!AN3408,
    IF(arrears_months=0,1.00,
    IF(arrears_months=1,3.00,
    IF(arrears_months=2,5.00,
    IF(arrears_months=3,8.00,
    IF(arrears_months=4,10.00,
    IF(arrears_months=5,12.00,15.00)))))))</f>
        <v/>
      </c>
      <c r="M3408">
        <f>LET(
    seasoning_years,DATEDIF('Loan Tape (S&amp;P)'!K3408,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08">
        <f>IF(AND('Loan Tape (S&amp;P)'!U3408="Yes",
        'Loan Tape (S&amp;P)'!T3408&lt;&gt;"Yes",
        DATEDIF('Loan Tape (S&amp;P)'!K3408, TODAY(), "M")&lt;18),
    1.10,
    1.00)</f>
        <v/>
      </c>
      <c r="O3408">
        <f>IF('Loan Tape (S&amp;P)'!T3408="Yes",
    1.35,
    1.00)</f>
        <v/>
      </c>
      <c r="P3408">
        <f>IF('Loan Tape (S&amp;P)'!S3408="Yes",
    1.15,
    1.00)</f>
        <v/>
      </c>
      <c r="Q3408">
        <f>IF('Loan Tape (S&amp;P)'!V3408="Yes",
    1.20,
    1.00)</f>
        <v/>
      </c>
      <c r="T3408">
        <f>LET(
    payment_method,'Loan Tape (S&amp;P)'!P3408,
    occupancy,'Loan Tape (S&amp;P)'!N3408,
    maturity_date,'Loan Tape (S&amp;P)'!L3408,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09">
      <c r="J3409">
        <f>LET(
    lien,'Loan Tape (S&amp;P)'!Q3409,
    IF(lien="First",1.00,
        IF(lien="Second",1.50,
            1.70)))</f>
        <v/>
      </c>
      <c r="K3409">
        <f>LET(
    purpose,'Loan Tape (S&amp;P)'!R3409,
    IF(purpose="Purchase",1.00,
        IF(purpose="Remortgage",1.00,
            1.20)))</f>
        <v/>
      </c>
      <c r="L3409">
        <f>LET(
    arrears_months,'Loan Tape (S&amp;P)'!AN3409,
    IF(arrears_months=0,1.00,
    IF(arrears_months=1,3.00,
    IF(arrears_months=2,5.00,
    IF(arrears_months=3,8.00,
    IF(arrears_months=4,10.00,
    IF(arrears_months=5,12.00,15.00)))))))</f>
        <v/>
      </c>
      <c r="M3409">
        <f>LET(
    seasoning_years,DATEDIF('Loan Tape (S&amp;P)'!K3409,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09">
        <f>IF(AND('Loan Tape (S&amp;P)'!U3409="Yes",
        'Loan Tape (S&amp;P)'!T3409&lt;&gt;"Yes",
        DATEDIF('Loan Tape (S&amp;P)'!K3409, TODAY(), "M")&lt;18),
    1.10,
    1.00)</f>
        <v/>
      </c>
      <c r="O3409">
        <f>IF('Loan Tape (S&amp;P)'!T3409="Yes",
    1.35,
    1.00)</f>
        <v/>
      </c>
      <c r="P3409">
        <f>IF('Loan Tape (S&amp;P)'!S3409="Yes",
    1.15,
    1.00)</f>
        <v/>
      </c>
      <c r="Q3409">
        <f>IF('Loan Tape (S&amp;P)'!V3409="Yes",
    1.20,
    1.00)</f>
        <v/>
      </c>
      <c r="T3409">
        <f>LET(
    payment_method,'Loan Tape (S&amp;P)'!P3409,
    occupancy,'Loan Tape (S&amp;P)'!N3409,
    maturity_date,'Loan Tape (S&amp;P)'!L3409,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10">
      <c r="J3410">
        <f>LET(
    lien,'Loan Tape (S&amp;P)'!Q3410,
    IF(lien="First",1.00,
        IF(lien="Second",1.50,
            1.70)))</f>
        <v/>
      </c>
      <c r="K3410">
        <f>LET(
    purpose,'Loan Tape (S&amp;P)'!R3410,
    IF(purpose="Purchase",1.00,
        IF(purpose="Remortgage",1.00,
            1.20)))</f>
        <v/>
      </c>
      <c r="L3410">
        <f>LET(
    arrears_months,'Loan Tape (S&amp;P)'!AN3410,
    IF(arrears_months=0,1.00,
    IF(arrears_months=1,3.00,
    IF(arrears_months=2,5.00,
    IF(arrears_months=3,8.00,
    IF(arrears_months=4,10.00,
    IF(arrears_months=5,12.00,15.00)))))))</f>
        <v/>
      </c>
      <c r="M3410">
        <f>LET(
    seasoning_years,DATEDIF('Loan Tape (S&amp;P)'!K3410,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10">
        <f>IF(AND('Loan Tape (S&amp;P)'!U3410="Yes",
        'Loan Tape (S&amp;P)'!T3410&lt;&gt;"Yes",
        DATEDIF('Loan Tape (S&amp;P)'!K3410, TODAY(), "M")&lt;18),
    1.10,
    1.00)</f>
        <v/>
      </c>
      <c r="O3410">
        <f>IF('Loan Tape (S&amp;P)'!T3410="Yes",
    1.35,
    1.00)</f>
        <v/>
      </c>
      <c r="P3410">
        <f>IF('Loan Tape (S&amp;P)'!S3410="Yes",
    1.15,
    1.00)</f>
        <v/>
      </c>
      <c r="Q3410">
        <f>IF('Loan Tape (S&amp;P)'!V3410="Yes",
    1.20,
    1.00)</f>
        <v/>
      </c>
      <c r="T3410">
        <f>LET(
    payment_method,'Loan Tape (S&amp;P)'!P3410,
    occupancy,'Loan Tape (S&amp;P)'!N3410,
    maturity_date,'Loan Tape (S&amp;P)'!L3410,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11">
      <c r="J3411">
        <f>LET(
    lien,'Loan Tape (S&amp;P)'!Q3411,
    IF(lien="First",1.00,
        IF(lien="Second",1.50,
            1.70)))</f>
        <v/>
      </c>
      <c r="K3411">
        <f>LET(
    purpose,'Loan Tape (S&amp;P)'!R3411,
    IF(purpose="Purchase",1.00,
        IF(purpose="Remortgage",1.00,
            1.20)))</f>
        <v/>
      </c>
      <c r="L3411">
        <f>LET(
    arrears_months,'Loan Tape (S&amp;P)'!AN3411,
    IF(arrears_months=0,1.00,
    IF(arrears_months=1,3.00,
    IF(arrears_months=2,5.00,
    IF(arrears_months=3,8.00,
    IF(arrears_months=4,10.00,
    IF(arrears_months=5,12.00,15.00)))))))</f>
        <v/>
      </c>
      <c r="M3411">
        <f>LET(
    seasoning_years,DATEDIF('Loan Tape (S&amp;P)'!K3411,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11">
        <f>IF(AND('Loan Tape (S&amp;P)'!U3411="Yes",
        'Loan Tape (S&amp;P)'!T3411&lt;&gt;"Yes",
        DATEDIF('Loan Tape (S&amp;P)'!K3411, TODAY(), "M")&lt;18),
    1.10,
    1.00)</f>
        <v/>
      </c>
      <c r="O3411">
        <f>IF('Loan Tape (S&amp;P)'!T3411="Yes",
    1.35,
    1.00)</f>
        <v/>
      </c>
      <c r="P3411">
        <f>IF('Loan Tape (S&amp;P)'!S3411="Yes",
    1.15,
    1.00)</f>
        <v/>
      </c>
      <c r="Q3411">
        <f>IF('Loan Tape (S&amp;P)'!V3411="Yes",
    1.20,
    1.00)</f>
        <v/>
      </c>
      <c r="T3411">
        <f>LET(
    payment_method,'Loan Tape (S&amp;P)'!P3411,
    occupancy,'Loan Tape (S&amp;P)'!N3411,
    maturity_date,'Loan Tape (S&amp;P)'!L3411,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12">
      <c r="J3412">
        <f>LET(
    lien,'Loan Tape (S&amp;P)'!Q3412,
    IF(lien="First",1.00,
        IF(lien="Second",1.50,
            1.70)))</f>
        <v/>
      </c>
      <c r="K3412">
        <f>LET(
    purpose,'Loan Tape (S&amp;P)'!R3412,
    IF(purpose="Purchase",1.00,
        IF(purpose="Remortgage",1.00,
            1.20)))</f>
        <v/>
      </c>
      <c r="L3412">
        <f>LET(
    arrears_months,'Loan Tape (S&amp;P)'!AN3412,
    IF(arrears_months=0,1.00,
    IF(arrears_months=1,3.00,
    IF(arrears_months=2,5.00,
    IF(arrears_months=3,8.00,
    IF(arrears_months=4,10.00,
    IF(arrears_months=5,12.00,15.00)))))))</f>
        <v/>
      </c>
      <c r="M3412">
        <f>LET(
    seasoning_years,DATEDIF('Loan Tape (S&amp;P)'!K3412,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12">
        <f>IF(AND('Loan Tape (S&amp;P)'!U3412="Yes",
        'Loan Tape (S&amp;P)'!T3412&lt;&gt;"Yes",
        DATEDIF('Loan Tape (S&amp;P)'!K3412, TODAY(), "M")&lt;18),
    1.10,
    1.00)</f>
        <v/>
      </c>
      <c r="O3412">
        <f>IF('Loan Tape (S&amp;P)'!T3412="Yes",
    1.35,
    1.00)</f>
        <v/>
      </c>
      <c r="P3412">
        <f>IF('Loan Tape (S&amp;P)'!S3412="Yes",
    1.15,
    1.00)</f>
        <v/>
      </c>
      <c r="Q3412">
        <f>IF('Loan Tape (S&amp;P)'!V3412="Yes",
    1.20,
    1.00)</f>
        <v/>
      </c>
      <c r="T3412">
        <f>LET(
    payment_method,'Loan Tape (S&amp;P)'!P3412,
    occupancy,'Loan Tape (S&amp;P)'!N3412,
    maturity_date,'Loan Tape (S&amp;P)'!L3412,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13">
      <c r="J3413">
        <f>LET(
    lien,'Loan Tape (S&amp;P)'!Q3413,
    IF(lien="First",1.00,
        IF(lien="Second",1.50,
            1.70)))</f>
        <v/>
      </c>
      <c r="K3413">
        <f>LET(
    purpose,'Loan Tape (S&amp;P)'!R3413,
    IF(purpose="Purchase",1.00,
        IF(purpose="Remortgage",1.00,
            1.20)))</f>
        <v/>
      </c>
      <c r="L3413">
        <f>LET(
    arrears_months,'Loan Tape (S&amp;P)'!AN3413,
    IF(arrears_months=0,1.00,
    IF(arrears_months=1,3.00,
    IF(arrears_months=2,5.00,
    IF(arrears_months=3,8.00,
    IF(arrears_months=4,10.00,
    IF(arrears_months=5,12.00,15.00)))))))</f>
        <v/>
      </c>
      <c r="M3413">
        <f>LET(
    seasoning_years,DATEDIF('Loan Tape (S&amp;P)'!K3413,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13">
        <f>IF(AND('Loan Tape (S&amp;P)'!U3413="Yes",
        'Loan Tape (S&amp;P)'!T3413&lt;&gt;"Yes",
        DATEDIF('Loan Tape (S&amp;P)'!K3413, TODAY(), "M")&lt;18),
    1.10,
    1.00)</f>
        <v/>
      </c>
      <c r="O3413">
        <f>IF('Loan Tape (S&amp;P)'!T3413="Yes",
    1.35,
    1.00)</f>
        <v/>
      </c>
      <c r="P3413">
        <f>IF('Loan Tape (S&amp;P)'!S3413="Yes",
    1.15,
    1.00)</f>
        <v/>
      </c>
      <c r="Q3413">
        <f>IF('Loan Tape (S&amp;P)'!V3413="Yes",
    1.20,
    1.00)</f>
        <v/>
      </c>
      <c r="T3413">
        <f>LET(
    payment_method,'Loan Tape (S&amp;P)'!P3413,
    occupancy,'Loan Tape (S&amp;P)'!N3413,
    maturity_date,'Loan Tape (S&amp;P)'!L3413,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14">
      <c r="J3414">
        <f>LET(
    lien,'Loan Tape (S&amp;P)'!Q3414,
    IF(lien="First",1.00,
        IF(lien="Second",1.50,
            1.70)))</f>
        <v/>
      </c>
      <c r="K3414">
        <f>LET(
    purpose,'Loan Tape (S&amp;P)'!R3414,
    IF(purpose="Purchase",1.00,
        IF(purpose="Remortgage",1.00,
            1.20)))</f>
        <v/>
      </c>
      <c r="L3414">
        <f>LET(
    arrears_months,'Loan Tape (S&amp;P)'!AN3414,
    IF(arrears_months=0,1.00,
    IF(arrears_months=1,3.00,
    IF(arrears_months=2,5.00,
    IF(arrears_months=3,8.00,
    IF(arrears_months=4,10.00,
    IF(arrears_months=5,12.00,15.00)))))))</f>
        <v/>
      </c>
      <c r="M3414">
        <f>LET(
    seasoning_years,DATEDIF('Loan Tape (S&amp;P)'!K3414,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14">
        <f>IF(AND('Loan Tape (S&amp;P)'!U3414="Yes",
        'Loan Tape (S&amp;P)'!T3414&lt;&gt;"Yes",
        DATEDIF('Loan Tape (S&amp;P)'!K3414, TODAY(), "M")&lt;18),
    1.10,
    1.00)</f>
        <v/>
      </c>
      <c r="O3414">
        <f>IF('Loan Tape (S&amp;P)'!T3414="Yes",
    1.35,
    1.00)</f>
        <v/>
      </c>
      <c r="P3414">
        <f>IF('Loan Tape (S&amp;P)'!S3414="Yes",
    1.15,
    1.00)</f>
        <v/>
      </c>
      <c r="Q3414">
        <f>IF('Loan Tape (S&amp;P)'!V3414="Yes",
    1.20,
    1.00)</f>
        <v/>
      </c>
      <c r="T3414">
        <f>LET(
    payment_method,'Loan Tape (S&amp;P)'!P3414,
    occupancy,'Loan Tape (S&amp;P)'!N3414,
    maturity_date,'Loan Tape (S&amp;P)'!L3414,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15">
      <c r="J3415">
        <f>LET(
    lien,'Loan Tape (S&amp;P)'!Q3415,
    IF(lien="First",1.00,
        IF(lien="Second",1.50,
            1.70)))</f>
        <v/>
      </c>
      <c r="K3415">
        <f>LET(
    purpose,'Loan Tape (S&amp;P)'!R3415,
    IF(purpose="Purchase",1.00,
        IF(purpose="Remortgage",1.00,
            1.20)))</f>
        <v/>
      </c>
      <c r="L3415">
        <f>LET(
    arrears_months,'Loan Tape (S&amp;P)'!AN3415,
    IF(arrears_months=0,1.00,
    IF(arrears_months=1,3.00,
    IF(arrears_months=2,5.00,
    IF(arrears_months=3,8.00,
    IF(arrears_months=4,10.00,
    IF(arrears_months=5,12.00,15.00)))))))</f>
        <v/>
      </c>
      <c r="M3415">
        <f>LET(
    seasoning_years,DATEDIF('Loan Tape (S&amp;P)'!K3415,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15">
        <f>IF(AND('Loan Tape (S&amp;P)'!U3415="Yes",
        'Loan Tape (S&amp;P)'!T3415&lt;&gt;"Yes",
        DATEDIF('Loan Tape (S&amp;P)'!K3415, TODAY(), "M")&lt;18),
    1.10,
    1.00)</f>
        <v/>
      </c>
      <c r="O3415">
        <f>IF('Loan Tape (S&amp;P)'!T3415="Yes",
    1.35,
    1.00)</f>
        <v/>
      </c>
      <c r="P3415">
        <f>IF('Loan Tape (S&amp;P)'!S3415="Yes",
    1.15,
    1.00)</f>
        <v/>
      </c>
      <c r="Q3415">
        <f>IF('Loan Tape (S&amp;P)'!V3415="Yes",
    1.20,
    1.00)</f>
        <v/>
      </c>
      <c r="T3415">
        <f>LET(
    payment_method,'Loan Tape (S&amp;P)'!P3415,
    occupancy,'Loan Tape (S&amp;P)'!N3415,
    maturity_date,'Loan Tape (S&amp;P)'!L3415,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16">
      <c r="J3416">
        <f>LET(
    lien,'Loan Tape (S&amp;P)'!Q3416,
    IF(lien="First",1.00,
        IF(lien="Second",1.50,
            1.70)))</f>
        <v/>
      </c>
      <c r="K3416">
        <f>LET(
    purpose,'Loan Tape (S&amp;P)'!R3416,
    IF(purpose="Purchase",1.00,
        IF(purpose="Remortgage",1.00,
            1.20)))</f>
        <v/>
      </c>
      <c r="L3416">
        <f>LET(
    arrears_months,'Loan Tape (S&amp;P)'!AN3416,
    IF(arrears_months=0,1.00,
    IF(arrears_months=1,3.00,
    IF(arrears_months=2,5.00,
    IF(arrears_months=3,8.00,
    IF(arrears_months=4,10.00,
    IF(arrears_months=5,12.00,15.00)))))))</f>
        <v/>
      </c>
      <c r="M3416">
        <f>LET(
    seasoning_years,DATEDIF('Loan Tape (S&amp;P)'!K3416,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16">
        <f>IF(AND('Loan Tape (S&amp;P)'!U3416="Yes",
        'Loan Tape (S&amp;P)'!T3416&lt;&gt;"Yes",
        DATEDIF('Loan Tape (S&amp;P)'!K3416, TODAY(), "M")&lt;18),
    1.10,
    1.00)</f>
        <v/>
      </c>
      <c r="O3416">
        <f>IF('Loan Tape (S&amp;P)'!T3416="Yes",
    1.35,
    1.00)</f>
        <v/>
      </c>
      <c r="P3416">
        <f>IF('Loan Tape (S&amp;P)'!S3416="Yes",
    1.15,
    1.00)</f>
        <v/>
      </c>
      <c r="Q3416">
        <f>IF('Loan Tape (S&amp;P)'!V3416="Yes",
    1.20,
    1.00)</f>
        <v/>
      </c>
      <c r="T3416">
        <f>LET(
    payment_method,'Loan Tape (S&amp;P)'!P3416,
    occupancy,'Loan Tape (S&amp;P)'!N3416,
    maturity_date,'Loan Tape (S&amp;P)'!L3416,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17">
      <c r="J3417">
        <f>LET(
    lien,'Loan Tape (S&amp;P)'!Q3417,
    IF(lien="First",1.00,
        IF(lien="Second",1.50,
            1.70)))</f>
        <v/>
      </c>
      <c r="K3417">
        <f>LET(
    purpose,'Loan Tape (S&amp;P)'!R3417,
    IF(purpose="Purchase",1.00,
        IF(purpose="Remortgage",1.00,
            1.20)))</f>
        <v/>
      </c>
      <c r="L3417">
        <f>LET(
    arrears_months,'Loan Tape (S&amp;P)'!AN3417,
    IF(arrears_months=0,1.00,
    IF(arrears_months=1,3.00,
    IF(arrears_months=2,5.00,
    IF(arrears_months=3,8.00,
    IF(arrears_months=4,10.00,
    IF(arrears_months=5,12.00,15.00)))))))</f>
        <v/>
      </c>
      <c r="M3417">
        <f>LET(
    seasoning_years,DATEDIF('Loan Tape (S&amp;P)'!K3417,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17">
        <f>IF(AND('Loan Tape (S&amp;P)'!U3417="Yes",
        'Loan Tape (S&amp;P)'!T3417&lt;&gt;"Yes",
        DATEDIF('Loan Tape (S&amp;P)'!K3417, TODAY(), "M")&lt;18),
    1.10,
    1.00)</f>
        <v/>
      </c>
      <c r="O3417">
        <f>IF('Loan Tape (S&amp;P)'!T3417="Yes",
    1.35,
    1.00)</f>
        <v/>
      </c>
      <c r="P3417">
        <f>IF('Loan Tape (S&amp;P)'!S3417="Yes",
    1.15,
    1.00)</f>
        <v/>
      </c>
      <c r="Q3417">
        <f>IF('Loan Tape (S&amp;P)'!V3417="Yes",
    1.20,
    1.00)</f>
        <v/>
      </c>
      <c r="T3417">
        <f>LET(
    payment_method,'Loan Tape (S&amp;P)'!P3417,
    occupancy,'Loan Tape (S&amp;P)'!N3417,
    maturity_date,'Loan Tape (S&amp;P)'!L3417,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18">
      <c r="J3418">
        <f>LET(
    lien,'Loan Tape (S&amp;P)'!Q3418,
    IF(lien="First",1.00,
        IF(lien="Second",1.50,
            1.70)))</f>
        <v/>
      </c>
      <c r="K3418">
        <f>LET(
    purpose,'Loan Tape (S&amp;P)'!R3418,
    IF(purpose="Purchase",1.00,
        IF(purpose="Remortgage",1.00,
            1.20)))</f>
        <v/>
      </c>
      <c r="L3418">
        <f>LET(
    arrears_months,'Loan Tape (S&amp;P)'!AN3418,
    IF(arrears_months=0,1.00,
    IF(arrears_months=1,3.00,
    IF(arrears_months=2,5.00,
    IF(arrears_months=3,8.00,
    IF(arrears_months=4,10.00,
    IF(arrears_months=5,12.00,15.00)))))))</f>
        <v/>
      </c>
      <c r="M3418">
        <f>LET(
    seasoning_years,DATEDIF('Loan Tape (S&amp;P)'!K3418,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18">
        <f>IF(AND('Loan Tape (S&amp;P)'!U3418="Yes",
        'Loan Tape (S&amp;P)'!T3418&lt;&gt;"Yes",
        DATEDIF('Loan Tape (S&amp;P)'!K3418, TODAY(), "M")&lt;18),
    1.10,
    1.00)</f>
        <v/>
      </c>
      <c r="O3418">
        <f>IF('Loan Tape (S&amp;P)'!T3418="Yes",
    1.35,
    1.00)</f>
        <v/>
      </c>
      <c r="P3418">
        <f>IF('Loan Tape (S&amp;P)'!S3418="Yes",
    1.15,
    1.00)</f>
        <v/>
      </c>
      <c r="Q3418">
        <f>IF('Loan Tape (S&amp;P)'!V3418="Yes",
    1.20,
    1.00)</f>
        <v/>
      </c>
      <c r="T3418">
        <f>LET(
    payment_method,'Loan Tape (S&amp;P)'!P3418,
    occupancy,'Loan Tape (S&amp;P)'!N3418,
    maturity_date,'Loan Tape (S&amp;P)'!L3418,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19">
      <c r="J3419">
        <f>LET(
    lien,'Loan Tape (S&amp;P)'!Q3419,
    IF(lien="First",1.00,
        IF(lien="Second",1.50,
            1.70)))</f>
        <v/>
      </c>
      <c r="K3419">
        <f>LET(
    purpose,'Loan Tape (S&amp;P)'!R3419,
    IF(purpose="Purchase",1.00,
        IF(purpose="Remortgage",1.00,
            1.20)))</f>
        <v/>
      </c>
      <c r="L3419">
        <f>LET(
    arrears_months,'Loan Tape (S&amp;P)'!AN3419,
    IF(arrears_months=0,1.00,
    IF(arrears_months=1,3.00,
    IF(arrears_months=2,5.00,
    IF(arrears_months=3,8.00,
    IF(arrears_months=4,10.00,
    IF(arrears_months=5,12.00,15.00)))))))</f>
        <v/>
      </c>
      <c r="M3419">
        <f>LET(
    seasoning_years,DATEDIF('Loan Tape (S&amp;P)'!K3419,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19">
        <f>IF(AND('Loan Tape (S&amp;P)'!U3419="Yes",
        'Loan Tape (S&amp;P)'!T3419&lt;&gt;"Yes",
        DATEDIF('Loan Tape (S&amp;P)'!K3419, TODAY(), "M")&lt;18),
    1.10,
    1.00)</f>
        <v/>
      </c>
      <c r="O3419">
        <f>IF('Loan Tape (S&amp;P)'!T3419="Yes",
    1.35,
    1.00)</f>
        <v/>
      </c>
      <c r="P3419">
        <f>IF('Loan Tape (S&amp;P)'!S3419="Yes",
    1.15,
    1.00)</f>
        <v/>
      </c>
      <c r="Q3419">
        <f>IF('Loan Tape (S&amp;P)'!V3419="Yes",
    1.20,
    1.00)</f>
        <v/>
      </c>
      <c r="T3419">
        <f>LET(
    payment_method,'Loan Tape (S&amp;P)'!P3419,
    occupancy,'Loan Tape (S&amp;P)'!N3419,
    maturity_date,'Loan Tape (S&amp;P)'!L3419,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20">
      <c r="J3420">
        <f>LET(
    lien,'Loan Tape (S&amp;P)'!Q3420,
    IF(lien="First",1.00,
        IF(lien="Second",1.50,
            1.70)))</f>
        <v/>
      </c>
      <c r="K3420">
        <f>LET(
    purpose,'Loan Tape (S&amp;P)'!R3420,
    IF(purpose="Purchase",1.00,
        IF(purpose="Remortgage",1.00,
            1.20)))</f>
        <v/>
      </c>
      <c r="L3420">
        <f>LET(
    arrears_months,'Loan Tape (S&amp;P)'!AN3420,
    IF(arrears_months=0,1.00,
    IF(arrears_months=1,3.00,
    IF(arrears_months=2,5.00,
    IF(arrears_months=3,8.00,
    IF(arrears_months=4,10.00,
    IF(arrears_months=5,12.00,15.00)))))))</f>
        <v/>
      </c>
      <c r="M3420">
        <f>LET(
    seasoning_years,DATEDIF('Loan Tape (S&amp;P)'!K3420,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20">
        <f>IF(AND('Loan Tape (S&amp;P)'!U3420="Yes",
        'Loan Tape (S&amp;P)'!T3420&lt;&gt;"Yes",
        DATEDIF('Loan Tape (S&amp;P)'!K3420, TODAY(), "M")&lt;18),
    1.10,
    1.00)</f>
        <v/>
      </c>
      <c r="O3420">
        <f>IF('Loan Tape (S&amp;P)'!T3420="Yes",
    1.35,
    1.00)</f>
        <v/>
      </c>
      <c r="P3420">
        <f>IF('Loan Tape (S&amp;P)'!S3420="Yes",
    1.15,
    1.00)</f>
        <v/>
      </c>
      <c r="Q3420">
        <f>IF('Loan Tape (S&amp;P)'!V3420="Yes",
    1.20,
    1.00)</f>
        <v/>
      </c>
      <c r="T3420">
        <f>LET(
    payment_method,'Loan Tape (S&amp;P)'!P3420,
    occupancy,'Loan Tape (S&amp;P)'!N3420,
    maturity_date,'Loan Tape (S&amp;P)'!L3420,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21">
      <c r="J3421">
        <f>LET(
    lien,'Loan Tape (S&amp;P)'!Q3421,
    IF(lien="First",1.00,
        IF(lien="Second",1.50,
            1.70)))</f>
        <v/>
      </c>
      <c r="K3421">
        <f>LET(
    purpose,'Loan Tape (S&amp;P)'!R3421,
    IF(purpose="Purchase",1.00,
        IF(purpose="Remortgage",1.00,
            1.20)))</f>
        <v/>
      </c>
      <c r="L3421">
        <f>LET(
    arrears_months,'Loan Tape (S&amp;P)'!AN3421,
    IF(arrears_months=0,1.00,
    IF(arrears_months=1,3.00,
    IF(arrears_months=2,5.00,
    IF(arrears_months=3,8.00,
    IF(arrears_months=4,10.00,
    IF(arrears_months=5,12.00,15.00)))))))</f>
        <v/>
      </c>
      <c r="M3421">
        <f>LET(
    seasoning_years,DATEDIF('Loan Tape (S&amp;P)'!K3421,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21">
        <f>IF(AND('Loan Tape (S&amp;P)'!U3421="Yes",
        'Loan Tape (S&amp;P)'!T3421&lt;&gt;"Yes",
        DATEDIF('Loan Tape (S&amp;P)'!K3421, TODAY(), "M")&lt;18),
    1.10,
    1.00)</f>
        <v/>
      </c>
      <c r="O3421">
        <f>IF('Loan Tape (S&amp;P)'!T3421="Yes",
    1.35,
    1.00)</f>
        <v/>
      </c>
      <c r="P3421">
        <f>IF('Loan Tape (S&amp;P)'!S3421="Yes",
    1.15,
    1.00)</f>
        <v/>
      </c>
      <c r="Q3421">
        <f>IF('Loan Tape (S&amp;P)'!V3421="Yes",
    1.20,
    1.00)</f>
        <v/>
      </c>
      <c r="T3421">
        <f>LET(
    payment_method,'Loan Tape (S&amp;P)'!P3421,
    occupancy,'Loan Tape (S&amp;P)'!N3421,
    maturity_date,'Loan Tape (S&amp;P)'!L3421,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22">
      <c r="J3422">
        <f>LET(
    lien,'Loan Tape (S&amp;P)'!Q3422,
    IF(lien="First",1.00,
        IF(lien="Second",1.50,
            1.70)))</f>
        <v/>
      </c>
      <c r="K3422">
        <f>LET(
    purpose,'Loan Tape (S&amp;P)'!R3422,
    IF(purpose="Purchase",1.00,
        IF(purpose="Remortgage",1.00,
            1.20)))</f>
        <v/>
      </c>
      <c r="L3422">
        <f>LET(
    arrears_months,'Loan Tape (S&amp;P)'!AN3422,
    IF(arrears_months=0,1.00,
    IF(arrears_months=1,3.00,
    IF(arrears_months=2,5.00,
    IF(arrears_months=3,8.00,
    IF(arrears_months=4,10.00,
    IF(arrears_months=5,12.00,15.00)))))))</f>
        <v/>
      </c>
      <c r="M3422">
        <f>LET(
    seasoning_years,DATEDIF('Loan Tape (S&amp;P)'!K3422,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22">
        <f>IF(AND('Loan Tape (S&amp;P)'!U3422="Yes",
        'Loan Tape (S&amp;P)'!T3422&lt;&gt;"Yes",
        DATEDIF('Loan Tape (S&amp;P)'!K3422, TODAY(), "M")&lt;18),
    1.10,
    1.00)</f>
        <v/>
      </c>
      <c r="O3422">
        <f>IF('Loan Tape (S&amp;P)'!T3422="Yes",
    1.35,
    1.00)</f>
        <v/>
      </c>
      <c r="P3422">
        <f>IF('Loan Tape (S&amp;P)'!S3422="Yes",
    1.15,
    1.00)</f>
        <v/>
      </c>
      <c r="Q3422">
        <f>IF('Loan Tape (S&amp;P)'!V3422="Yes",
    1.20,
    1.00)</f>
        <v/>
      </c>
      <c r="T3422">
        <f>LET(
    payment_method,'Loan Tape (S&amp;P)'!P3422,
    occupancy,'Loan Tape (S&amp;P)'!N3422,
    maturity_date,'Loan Tape (S&amp;P)'!L3422,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23">
      <c r="J3423">
        <f>LET(
    lien,'Loan Tape (S&amp;P)'!Q3423,
    IF(lien="First",1.00,
        IF(lien="Second",1.50,
            1.70)))</f>
        <v/>
      </c>
      <c r="K3423">
        <f>LET(
    purpose,'Loan Tape (S&amp;P)'!R3423,
    IF(purpose="Purchase",1.00,
        IF(purpose="Remortgage",1.00,
            1.20)))</f>
        <v/>
      </c>
      <c r="L3423">
        <f>LET(
    arrears_months,'Loan Tape (S&amp;P)'!AN3423,
    IF(arrears_months=0,1.00,
    IF(arrears_months=1,3.00,
    IF(arrears_months=2,5.00,
    IF(arrears_months=3,8.00,
    IF(arrears_months=4,10.00,
    IF(arrears_months=5,12.00,15.00)))))))</f>
        <v/>
      </c>
      <c r="M3423">
        <f>LET(
    seasoning_years,DATEDIF('Loan Tape (S&amp;P)'!K3423,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23">
        <f>IF(AND('Loan Tape (S&amp;P)'!U3423="Yes",
        'Loan Tape (S&amp;P)'!T3423&lt;&gt;"Yes",
        DATEDIF('Loan Tape (S&amp;P)'!K3423, TODAY(), "M")&lt;18),
    1.10,
    1.00)</f>
        <v/>
      </c>
      <c r="O3423">
        <f>IF('Loan Tape (S&amp;P)'!T3423="Yes",
    1.35,
    1.00)</f>
        <v/>
      </c>
      <c r="P3423">
        <f>IF('Loan Tape (S&amp;P)'!S3423="Yes",
    1.15,
    1.00)</f>
        <v/>
      </c>
      <c r="Q3423">
        <f>IF('Loan Tape (S&amp;P)'!V3423="Yes",
    1.20,
    1.00)</f>
        <v/>
      </c>
      <c r="T3423">
        <f>LET(
    payment_method,'Loan Tape (S&amp;P)'!P3423,
    occupancy,'Loan Tape (S&amp;P)'!N3423,
    maturity_date,'Loan Tape (S&amp;P)'!L3423,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24">
      <c r="J3424">
        <f>LET(
    lien,'Loan Tape (S&amp;P)'!Q3424,
    IF(lien="First",1.00,
        IF(lien="Second",1.50,
            1.70)))</f>
        <v/>
      </c>
      <c r="K3424">
        <f>LET(
    purpose,'Loan Tape (S&amp;P)'!R3424,
    IF(purpose="Purchase",1.00,
        IF(purpose="Remortgage",1.00,
            1.20)))</f>
        <v/>
      </c>
      <c r="L3424">
        <f>LET(
    arrears_months,'Loan Tape (S&amp;P)'!AN3424,
    IF(arrears_months=0,1.00,
    IF(arrears_months=1,3.00,
    IF(arrears_months=2,5.00,
    IF(arrears_months=3,8.00,
    IF(arrears_months=4,10.00,
    IF(arrears_months=5,12.00,15.00)))))))</f>
        <v/>
      </c>
      <c r="M3424">
        <f>LET(
    seasoning_years,DATEDIF('Loan Tape (S&amp;P)'!K3424,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24">
        <f>IF(AND('Loan Tape (S&amp;P)'!U3424="Yes",
        'Loan Tape (S&amp;P)'!T3424&lt;&gt;"Yes",
        DATEDIF('Loan Tape (S&amp;P)'!K3424, TODAY(), "M")&lt;18),
    1.10,
    1.00)</f>
        <v/>
      </c>
      <c r="O3424">
        <f>IF('Loan Tape (S&amp;P)'!T3424="Yes",
    1.35,
    1.00)</f>
        <v/>
      </c>
      <c r="P3424">
        <f>IF('Loan Tape (S&amp;P)'!S3424="Yes",
    1.15,
    1.00)</f>
        <v/>
      </c>
      <c r="Q3424">
        <f>IF('Loan Tape (S&amp;P)'!V3424="Yes",
    1.20,
    1.00)</f>
        <v/>
      </c>
      <c r="T3424">
        <f>LET(
    payment_method,'Loan Tape (S&amp;P)'!P3424,
    occupancy,'Loan Tape (S&amp;P)'!N3424,
    maturity_date,'Loan Tape (S&amp;P)'!L3424,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25">
      <c r="J3425">
        <f>LET(
    lien,'Loan Tape (S&amp;P)'!Q3425,
    IF(lien="First",1.00,
        IF(lien="Second",1.50,
            1.70)))</f>
        <v/>
      </c>
      <c r="K3425">
        <f>LET(
    purpose,'Loan Tape (S&amp;P)'!R3425,
    IF(purpose="Purchase",1.00,
        IF(purpose="Remortgage",1.00,
            1.20)))</f>
        <v/>
      </c>
      <c r="L3425">
        <f>LET(
    arrears_months,'Loan Tape (S&amp;P)'!AN3425,
    IF(arrears_months=0,1.00,
    IF(arrears_months=1,3.00,
    IF(arrears_months=2,5.00,
    IF(arrears_months=3,8.00,
    IF(arrears_months=4,10.00,
    IF(arrears_months=5,12.00,15.00)))))))</f>
        <v/>
      </c>
      <c r="M3425">
        <f>LET(
    seasoning_years,DATEDIF('Loan Tape (S&amp;P)'!K3425,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25">
        <f>IF(AND('Loan Tape (S&amp;P)'!U3425="Yes",
        'Loan Tape (S&amp;P)'!T3425&lt;&gt;"Yes",
        DATEDIF('Loan Tape (S&amp;P)'!K3425, TODAY(), "M")&lt;18),
    1.10,
    1.00)</f>
        <v/>
      </c>
      <c r="O3425">
        <f>IF('Loan Tape (S&amp;P)'!T3425="Yes",
    1.35,
    1.00)</f>
        <v/>
      </c>
      <c r="P3425">
        <f>IF('Loan Tape (S&amp;P)'!S3425="Yes",
    1.15,
    1.00)</f>
        <v/>
      </c>
      <c r="Q3425">
        <f>IF('Loan Tape (S&amp;P)'!V3425="Yes",
    1.20,
    1.00)</f>
        <v/>
      </c>
      <c r="T3425">
        <f>LET(
    payment_method,'Loan Tape (S&amp;P)'!P3425,
    occupancy,'Loan Tape (S&amp;P)'!N3425,
    maturity_date,'Loan Tape (S&amp;P)'!L3425,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26">
      <c r="J3426">
        <f>LET(
    lien,'Loan Tape (S&amp;P)'!Q3426,
    IF(lien="First",1.00,
        IF(lien="Second",1.50,
            1.70)))</f>
        <v/>
      </c>
      <c r="K3426">
        <f>LET(
    purpose,'Loan Tape (S&amp;P)'!R3426,
    IF(purpose="Purchase",1.00,
        IF(purpose="Remortgage",1.00,
            1.20)))</f>
        <v/>
      </c>
      <c r="L3426">
        <f>LET(
    arrears_months,'Loan Tape (S&amp;P)'!AN3426,
    IF(arrears_months=0,1.00,
    IF(arrears_months=1,3.00,
    IF(arrears_months=2,5.00,
    IF(arrears_months=3,8.00,
    IF(arrears_months=4,10.00,
    IF(arrears_months=5,12.00,15.00)))))))</f>
        <v/>
      </c>
      <c r="M3426">
        <f>LET(
    seasoning_years,DATEDIF('Loan Tape (S&amp;P)'!K3426,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26">
        <f>IF(AND('Loan Tape (S&amp;P)'!U3426="Yes",
        'Loan Tape (S&amp;P)'!T3426&lt;&gt;"Yes",
        DATEDIF('Loan Tape (S&amp;P)'!K3426, TODAY(), "M")&lt;18),
    1.10,
    1.00)</f>
        <v/>
      </c>
      <c r="O3426">
        <f>IF('Loan Tape (S&amp;P)'!T3426="Yes",
    1.35,
    1.00)</f>
        <v/>
      </c>
      <c r="P3426">
        <f>IF('Loan Tape (S&amp;P)'!S3426="Yes",
    1.15,
    1.00)</f>
        <v/>
      </c>
      <c r="Q3426">
        <f>IF('Loan Tape (S&amp;P)'!V3426="Yes",
    1.20,
    1.00)</f>
        <v/>
      </c>
      <c r="T3426">
        <f>LET(
    payment_method,'Loan Tape (S&amp;P)'!P3426,
    occupancy,'Loan Tape (S&amp;P)'!N3426,
    maturity_date,'Loan Tape (S&amp;P)'!L3426,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27">
      <c r="J3427">
        <f>LET(
    lien,'Loan Tape (S&amp;P)'!Q3427,
    IF(lien="First",1.00,
        IF(lien="Second",1.50,
            1.70)))</f>
        <v/>
      </c>
      <c r="K3427">
        <f>LET(
    purpose,'Loan Tape (S&amp;P)'!R3427,
    IF(purpose="Purchase",1.00,
        IF(purpose="Remortgage",1.00,
            1.20)))</f>
        <v/>
      </c>
      <c r="L3427">
        <f>LET(
    arrears_months,'Loan Tape (S&amp;P)'!AN3427,
    IF(arrears_months=0,1.00,
    IF(arrears_months=1,3.00,
    IF(arrears_months=2,5.00,
    IF(arrears_months=3,8.00,
    IF(arrears_months=4,10.00,
    IF(arrears_months=5,12.00,15.00)))))))</f>
        <v/>
      </c>
      <c r="M3427">
        <f>LET(
    seasoning_years,DATEDIF('Loan Tape (S&amp;P)'!K3427,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27">
        <f>IF(AND('Loan Tape (S&amp;P)'!U3427="Yes",
        'Loan Tape (S&amp;P)'!T3427&lt;&gt;"Yes",
        DATEDIF('Loan Tape (S&amp;P)'!K3427, TODAY(), "M")&lt;18),
    1.10,
    1.00)</f>
        <v/>
      </c>
      <c r="O3427">
        <f>IF('Loan Tape (S&amp;P)'!T3427="Yes",
    1.35,
    1.00)</f>
        <v/>
      </c>
      <c r="P3427">
        <f>IF('Loan Tape (S&amp;P)'!S3427="Yes",
    1.15,
    1.00)</f>
        <v/>
      </c>
      <c r="Q3427">
        <f>IF('Loan Tape (S&amp;P)'!V3427="Yes",
    1.20,
    1.00)</f>
        <v/>
      </c>
      <c r="T3427">
        <f>LET(
    payment_method,'Loan Tape (S&amp;P)'!P3427,
    occupancy,'Loan Tape (S&amp;P)'!N3427,
    maturity_date,'Loan Tape (S&amp;P)'!L3427,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28">
      <c r="J3428">
        <f>LET(
    lien,'Loan Tape (S&amp;P)'!Q3428,
    IF(lien="First",1.00,
        IF(lien="Second",1.50,
            1.70)))</f>
        <v/>
      </c>
      <c r="K3428">
        <f>LET(
    purpose,'Loan Tape (S&amp;P)'!R3428,
    IF(purpose="Purchase",1.00,
        IF(purpose="Remortgage",1.00,
            1.20)))</f>
        <v/>
      </c>
      <c r="L3428">
        <f>LET(
    arrears_months,'Loan Tape (S&amp;P)'!AN3428,
    IF(arrears_months=0,1.00,
    IF(arrears_months=1,3.00,
    IF(arrears_months=2,5.00,
    IF(arrears_months=3,8.00,
    IF(arrears_months=4,10.00,
    IF(arrears_months=5,12.00,15.00)))))))</f>
        <v/>
      </c>
      <c r="M3428">
        <f>LET(
    seasoning_years,DATEDIF('Loan Tape (S&amp;P)'!K3428,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28">
        <f>IF(AND('Loan Tape (S&amp;P)'!U3428="Yes",
        'Loan Tape (S&amp;P)'!T3428&lt;&gt;"Yes",
        DATEDIF('Loan Tape (S&amp;P)'!K3428, TODAY(), "M")&lt;18),
    1.10,
    1.00)</f>
        <v/>
      </c>
      <c r="O3428">
        <f>IF('Loan Tape (S&amp;P)'!T3428="Yes",
    1.35,
    1.00)</f>
        <v/>
      </c>
      <c r="P3428">
        <f>IF('Loan Tape (S&amp;P)'!S3428="Yes",
    1.15,
    1.00)</f>
        <v/>
      </c>
      <c r="Q3428">
        <f>IF('Loan Tape (S&amp;P)'!V3428="Yes",
    1.20,
    1.00)</f>
        <v/>
      </c>
      <c r="T3428">
        <f>LET(
    payment_method,'Loan Tape (S&amp;P)'!P3428,
    occupancy,'Loan Tape (S&amp;P)'!N3428,
    maturity_date,'Loan Tape (S&amp;P)'!L3428,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29">
      <c r="J3429">
        <f>LET(
    lien,'Loan Tape (S&amp;P)'!Q3429,
    IF(lien="First",1.00,
        IF(lien="Second",1.50,
            1.70)))</f>
        <v/>
      </c>
      <c r="K3429">
        <f>LET(
    purpose,'Loan Tape (S&amp;P)'!R3429,
    IF(purpose="Purchase",1.00,
        IF(purpose="Remortgage",1.00,
            1.20)))</f>
        <v/>
      </c>
      <c r="L3429">
        <f>LET(
    arrears_months,'Loan Tape (S&amp;P)'!AN3429,
    IF(arrears_months=0,1.00,
    IF(arrears_months=1,3.00,
    IF(arrears_months=2,5.00,
    IF(arrears_months=3,8.00,
    IF(arrears_months=4,10.00,
    IF(arrears_months=5,12.00,15.00)))))))</f>
        <v/>
      </c>
      <c r="M3429">
        <f>LET(
    seasoning_years,DATEDIF('Loan Tape (S&amp;P)'!K3429,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29">
        <f>IF(AND('Loan Tape (S&amp;P)'!U3429="Yes",
        'Loan Tape (S&amp;P)'!T3429&lt;&gt;"Yes",
        DATEDIF('Loan Tape (S&amp;P)'!K3429, TODAY(), "M")&lt;18),
    1.10,
    1.00)</f>
        <v/>
      </c>
      <c r="O3429">
        <f>IF('Loan Tape (S&amp;P)'!T3429="Yes",
    1.35,
    1.00)</f>
        <v/>
      </c>
      <c r="P3429">
        <f>IF('Loan Tape (S&amp;P)'!S3429="Yes",
    1.15,
    1.00)</f>
        <v/>
      </c>
      <c r="Q3429">
        <f>IF('Loan Tape (S&amp;P)'!V3429="Yes",
    1.20,
    1.00)</f>
        <v/>
      </c>
      <c r="T3429">
        <f>LET(
    payment_method,'Loan Tape (S&amp;P)'!P3429,
    occupancy,'Loan Tape (S&amp;P)'!N3429,
    maturity_date,'Loan Tape (S&amp;P)'!L3429,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30">
      <c r="J3430">
        <f>LET(
    lien,'Loan Tape (S&amp;P)'!Q3430,
    IF(lien="First",1.00,
        IF(lien="Second",1.50,
            1.70)))</f>
        <v/>
      </c>
      <c r="K3430">
        <f>LET(
    purpose,'Loan Tape (S&amp;P)'!R3430,
    IF(purpose="Purchase",1.00,
        IF(purpose="Remortgage",1.00,
            1.20)))</f>
        <v/>
      </c>
      <c r="L3430">
        <f>LET(
    arrears_months,'Loan Tape (S&amp;P)'!AN3430,
    IF(arrears_months=0,1.00,
    IF(arrears_months=1,3.00,
    IF(arrears_months=2,5.00,
    IF(arrears_months=3,8.00,
    IF(arrears_months=4,10.00,
    IF(arrears_months=5,12.00,15.00)))))))</f>
        <v/>
      </c>
      <c r="M3430">
        <f>LET(
    seasoning_years,DATEDIF('Loan Tape (S&amp;P)'!K3430,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30">
        <f>IF(AND('Loan Tape (S&amp;P)'!U3430="Yes",
        'Loan Tape (S&amp;P)'!T3430&lt;&gt;"Yes",
        DATEDIF('Loan Tape (S&amp;P)'!K3430, TODAY(), "M")&lt;18),
    1.10,
    1.00)</f>
        <v/>
      </c>
      <c r="O3430">
        <f>IF('Loan Tape (S&amp;P)'!T3430="Yes",
    1.35,
    1.00)</f>
        <v/>
      </c>
      <c r="P3430">
        <f>IF('Loan Tape (S&amp;P)'!S3430="Yes",
    1.15,
    1.00)</f>
        <v/>
      </c>
      <c r="Q3430">
        <f>IF('Loan Tape (S&amp;P)'!V3430="Yes",
    1.20,
    1.00)</f>
        <v/>
      </c>
      <c r="T3430">
        <f>LET(
    payment_method,'Loan Tape (S&amp;P)'!P3430,
    occupancy,'Loan Tape (S&amp;P)'!N3430,
    maturity_date,'Loan Tape (S&amp;P)'!L3430,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31">
      <c r="J3431">
        <f>LET(
    lien,'Loan Tape (S&amp;P)'!Q3431,
    IF(lien="First",1.00,
        IF(lien="Second",1.50,
            1.70)))</f>
        <v/>
      </c>
      <c r="K3431">
        <f>LET(
    purpose,'Loan Tape (S&amp;P)'!R3431,
    IF(purpose="Purchase",1.00,
        IF(purpose="Remortgage",1.00,
            1.20)))</f>
        <v/>
      </c>
      <c r="L3431">
        <f>LET(
    arrears_months,'Loan Tape (S&amp;P)'!AN3431,
    IF(arrears_months=0,1.00,
    IF(arrears_months=1,3.00,
    IF(arrears_months=2,5.00,
    IF(arrears_months=3,8.00,
    IF(arrears_months=4,10.00,
    IF(arrears_months=5,12.00,15.00)))))))</f>
        <v/>
      </c>
      <c r="M3431">
        <f>LET(
    seasoning_years,DATEDIF('Loan Tape (S&amp;P)'!K3431,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31">
        <f>IF(AND('Loan Tape (S&amp;P)'!U3431="Yes",
        'Loan Tape (S&amp;P)'!T3431&lt;&gt;"Yes",
        DATEDIF('Loan Tape (S&amp;P)'!K3431, TODAY(), "M")&lt;18),
    1.10,
    1.00)</f>
        <v/>
      </c>
      <c r="O3431">
        <f>IF('Loan Tape (S&amp;P)'!T3431="Yes",
    1.35,
    1.00)</f>
        <v/>
      </c>
      <c r="P3431">
        <f>IF('Loan Tape (S&amp;P)'!S3431="Yes",
    1.15,
    1.00)</f>
        <v/>
      </c>
      <c r="Q3431">
        <f>IF('Loan Tape (S&amp;P)'!V3431="Yes",
    1.20,
    1.00)</f>
        <v/>
      </c>
      <c r="T3431">
        <f>LET(
    payment_method,'Loan Tape (S&amp;P)'!P3431,
    occupancy,'Loan Tape (S&amp;P)'!N3431,
    maturity_date,'Loan Tape (S&amp;P)'!L3431,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32">
      <c r="J3432">
        <f>LET(
    lien,'Loan Tape (S&amp;P)'!Q3432,
    IF(lien="First",1.00,
        IF(lien="Second",1.50,
            1.70)))</f>
        <v/>
      </c>
      <c r="K3432">
        <f>LET(
    purpose,'Loan Tape (S&amp;P)'!R3432,
    IF(purpose="Purchase",1.00,
        IF(purpose="Remortgage",1.00,
            1.20)))</f>
        <v/>
      </c>
      <c r="L3432">
        <f>LET(
    arrears_months,'Loan Tape (S&amp;P)'!AN3432,
    IF(arrears_months=0,1.00,
    IF(arrears_months=1,3.00,
    IF(arrears_months=2,5.00,
    IF(arrears_months=3,8.00,
    IF(arrears_months=4,10.00,
    IF(arrears_months=5,12.00,15.00)))))))</f>
        <v/>
      </c>
      <c r="M3432">
        <f>LET(
    seasoning_years,DATEDIF('Loan Tape (S&amp;P)'!K3432,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32">
        <f>IF(AND('Loan Tape (S&amp;P)'!U3432="Yes",
        'Loan Tape (S&amp;P)'!T3432&lt;&gt;"Yes",
        DATEDIF('Loan Tape (S&amp;P)'!K3432, TODAY(), "M")&lt;18),
    1.10,
    1.00)</f>
        <v/>
      </c>
      <c r="O3432">
        <f>IF('Loan Tape (S&amp;P)'!T3432="Yes",
    1.35,
    1.00)</f>
        <v/>
      </c>
      <c r="P3432">
        <f>IF('Loan Tape (S&amp;P)'!S3432="Yes",
    1.15,
    1.00)</f>
        <v/>
      </c>
      <c r="Q3432">
        <f>IF('Loan Tape (S&amp;P)'!V3432="Yes",
    1.20,
    1.00)</f>
        <v/>
      </c>
      <c r="T3432">
        <f>LET(
    payment_method,'Loan Tape (S&amp;P)'!P3432,
    occupancy,'Loan Tape (S&amp;P)'!N3432,
    maturity_date,'Loan Tape (S&amp;P)'!L3432,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33">
      <c r="J3433">
        <f>LET(
    lien,'Loan Tape (S&amp;P)'!Q3433,
    IF(lien="First",1.00,
        IF(lien="Second",1.50,
            1.70)))</f>
        <v/>
      </c>
      <c r="K3433">
        <f>LET(
    purpose,'Loan Tape (S&amp;P)'!R3433,
    IF(purpose="Purchase",1.00,
        IF(purpose="Remortgage",1.00,
            1.20)))</f>
        <v/>
      </c>
      <c r="L3433">
        <f>LET(
    arrears_months,'Loan Tape (S&amp;P)'!AN3433,
    IF(arrears_months=0,1.00,
    IF(arrears_months=1,3.00,
    IF(arrears_months=2,5.00,
    IF(arrears_months=3,8.00,
    IF(arrears_months=4,10.00,
    IF(arrears_months=5,12.00,15.00)))))))</f>
        <v/>
      </c>
      <c r="M3433">
        <f>LET(
    seasoning_years,DATEDIF('Loan Tape (S&amp;P)'!K3433,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33">
        <f>IF(AND('Loan Tape (S&amp;P)'!U3433="Yes",
        'Loan Tape (S&amp;P)'!T3433&lt;&gt;"Yes",
        DATEDIF('Loan Tape (S&amp;P)'!K3433, TODAY(), "M")&lt;18),
    1.10,
    1.00)</f>
        <v/>
      </c>
      <c r="O3433">
        <f>IF('Loan Tape (S&amp;P)'!T3433="Yes",
    1.35,
    1.00)</f>
        <v/>
      </c>
      <c r="P3433">
        <f>IF('Loan Tape (S&amp;P)'!S3433="Yes",
    1.15,
    1.00)</f>
        <v/>
      </c>
      <c r="Q3433">
        <f>IF('Loan Tape (S&amp;P)'!V3433="Yes",
    1.20,
    1.00)</f>
        <v/>
      </c>
      <c r="T3433">
        <f>LET(
    payment_method,'Loan Tape (S&amp;P)'!P3433,
    occupancy,'Loan Tape (S&amp;P)'!N3433,
    maturity_date,'Loan Tape (S&amp;P)'!L3433,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34">
      <c r="J3434">
        <f>LET(
    lien,'Loan Tape (S&amp;P)'!Q3434,
    IF(lien="First",1.00,
        IF(lien="Second",1.50,
            1.70)))</f>
        <v/>
      </c>
      <c r="K3434">
        <f>LET(
    purpose,'Loan Tape (S&amp;P)'!R3434,
    IF(purpose="Purchase",1.00,
        IF(purpose="Remortgage",1.00,
            1.20)))</f>
        <v/>
      </c>
      <c r="L3434">
        <f>LET(
    arrears_months,'Loan Tape (S&amp;P)'!AN3434,
    IF(arrears_months=0,1.00,
    IF(arrears_months=1,3.00,
    IF(arrears_months=2,5.00,
    IF(arrears_months=3,8.00,
    IF(arrears_months=4,10.00,
    IF(arrears_months=5,12.00,15.00)))))))</f>
        <v/>
      </c>
      <c r="M3434">
        <f>LET(
    seasoning_years,DATEDIF('Loan Tape (S&amp;P)'!K3434,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34">
        <f>IF(AND('Loan Tape (S&amp;P)'!U3434="Yes",
        'Loan Tape (S&amp;P)'!T3434&lt;&gt;"Yes",
        DATEDIF('Loan Tape (S&amp;P)'!K3434, TODAY(), "M")&lt;18),
    1.10,
    1.00)</f>
        <v/>
      </c>
      <c r="O3434">
        <f>IF('Loan Tape (S&amp;P)'!T3434="Yes",
    1.35,
    1.00)</f>
        <v/>
      </c>
      <c r="P3434">
        <f>IF('Loan Tape (S&amp;P)'!S3434="Yes",
    1.15,
    1.00)</f>
        <v/>
      </c>
      <c r="Q3434">
        <f>IF('Loan Tape (S&amp;P)'!V3434="Yes",
    1.20,
    1.00)</f>
        <v/>
      </c>
      <c r="T3434">
        <f>LET(
    payment_method,'Loan Tape (S&amp;P)'!P3434,
    occupancy,'Loan Tape (S&amp;P)'!N3434,
    maturity_date,'Loan Tape (S&amp;P)'!L3434,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35">
      <c r="J3435">
        <f>LET(
    lien,'Loan Tape (S&amp;P)'!Q3435,
    IF(lien="First",1.00,
        IF(lien="Second",1.50,
            1.70)))</f>
        <v/>
      </c>
      <c r="K3435">
        <f>LET(
    purpose,'Loan Tape (S&amp;P)'!R3435,
    IF(purpose="Purchase",1.00,
        IF(purpose="Remortgage",1.00,
            1.20)))</f>
        <v/>
      </c>
      <c r="L3435">
        <f>LET(
    arrears_months,'Loan Tape (S&amp;P)'!AN3435,
    IF(arrears_months=0,1.00,
    IF(arrears_months=1,3.00,
    IF(arrears_months=2,5.00,
    IF(arrears_months=3,8.00,
    IF(arrears_months=4,10.00,
    IF(arrears_months=5,12.00,15.00)))))))</f>
        <v/>
      </c>
      <c r="M3435">
        <f>LET(
    seasoning_years,DATEDIF('Loan Tape (S&amp;P)'!K3435,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35">
        <f>IF(AND('Loan Tape (S&amp;P)'!U3435="Yes",
        'Loan Tape (S&amp;P)'!T3435&lt;&gt;"Yes",
        DATEDIF('Loan Tape (S&amp;P)'!K3435, TODAY(), "M")&lt;18),
    1.10,
    1.00)</f>
        <v/>
      </c>
      <c r="O3435">
        <f>IF('Loan Tape (S&amp;P)'!T3435="Yes",
    1.35,
    1.00)</f>
        <v/>
      </c>
      <c r="P3435">
        <f>IF('Loan Tape (S&amp;P)'!S3435="Yes",
    1.15,
    1.00)</f>
        <v/>
      </c>
      <c r="Q3435">
        <f>IF('Loan Tape (S&amp;P)'!V3435="Yes",
    1.20,
    1.00)</f>
        <v/>
      </c>
      <c r="T3435">
        <f>LET(
    payment_method,'Loan Tape (S&amp;P)'!P3435,
    occupancy,'Loan Tape (S&amp;P)'!N3435,
    maturity_date,'Loan Tape (S&amp;P)'!L3435,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36">
      <c r="J3436">
        <f>LET(
    lien,'Loan Tape (S&amp;P)'!Q3436,
    IF(lien="First",1.00,
        IF(lien="Second",1.50,
            1.70)))</f>
        <v/>
      </c>
      <c r="K3436">
        <f>LET(
    purpose,'Loan Tape (S&amp;P)'!R3436,
    IF(purpose="Purchase",1.00,
        IF(purpose="Remortgage",1.00,
            1.20)))</f>
        <v/>
      </c>
      <c r="L3436">
        <f>LET(
    arrears_months,'Loan Tape (S&amp;P)'!AN3436,
    IF(arrears_months=0,1.00,
    IF(arrears_months=1,3.00,
    IF(arrears_months=2,5.00,
    IF(arrears_months=3,8.00,
    IF(arrears_months=4,10.00,
    IF(arrears_months=5,12.00,15.00)))))))</f>
        <v/>
      </c>
      <c r="M3436">
        <f>LET(
    seasoning_years,DATEDIF('Loan Tape (S&amp;P)'!K3436,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36">
        <f>IF(AND('Loan Tape (S&amp;P)'!U3436="Yes",
        'Loan Tape (S&amp;P)'!T3436&lt;&gt;"Yes",
        DATEDIF('Loan Tape (S&amp;P)'!K3436, TODAY(), "M")&lt;18),
    1.10,
    1.00)</f>
        <v/>
      </c>
      <c r="O3436">
        <f>IF('Loan Tape (S&amp;P)'!T3436="Yes",
    1.35,
    1.00)</f>
        <v/>
      </c>
      <c r="P3436">
        <f>IF('Loan Tape (S&amp;P)'!S3436="Yes",
    1.15,
    1.00)</f>
        <v/>
      </c>
      <c r="Q3436">
        <f>IF('Loan Tape (S&amp;P)'!V3436="Yes",
    1.20,
    1.00)</f>
        <v/>
      </c>
      <c r="T3436">
        <f>LET(
    payment_method,'Loan Tape (S&amp;P)'!P3436,
    occupancy,'Loan Tape (S&amp;P)'!N3436,
    maturity_date,'Loan Tape (S&amp;P)'!L3436,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37">
      <c r="J3437">
        <f>LET(
    lien,'Loan Tape (S&amp;P)'!Q3437,
    IF(lien="First",1.00,
        IF(lien="Second",1.50,
            1.70)))</f>
        <v/>
      </c>
      <c r="K3437">
        <f>LET(
    purpose,'Loan Tape (S&amp;P)'!R3437,
    IF(purpose="Purchase",1.00,
        IF(purpose="Remortgage",1.00,
            1.20)))</f>
        <v/>
      </c>
      <c r="L3437">
        <f>LET(
    arrears_months,'Loan Tape (S&amp;P)'!AN3437,
    IF(arrears_months=0,1.00,
    IF(arrears_months=1,3.00,
    IF(arrears_months=2,5.00,
    IF(arrears_months=3,8.00,
    IF(arrears_months=4,10.00,
    IF(arrears_months=5,12.00,15.00)))))))</f>
        <v/>
      </c>
      <c r="M3437">
        <f>LET(
    seasoning_years,DATEDIF('Loan Tape (S&amp;P)'!K3437,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37">
        <f>IF(AND('Loan Tape (S&amp;P)'!U3437="Yes",
        'Loan Tape (S&amp;P)'!T3437&lt;&gt;"Yes",
        DATEDIF('Loan Tape (S&amp;P)'!K3437, TODAY(), "M")&lt;18),
    1.10,
    1.00)</f>
        <v/>
      </c>
      <c r="O3437">
        <f>IF('Loan Tape (S&amp;P)'!T3437="Yes",
    1.35,
    1.00)</f>
        <v/>
      </c>
      <c r="P3437">
        <f>IF('Loan Tape (S&amp;P)'!S3437="Yes",
    1.15,
    1.00)</f>
        <v/>
      </c>
      <c r="Q3437">
        <f>IF('Loan Tape (S&amp;P)'!V3437="Yes",
    1.20,
    1.00)</f>
        <v/>
      </c>
      <c r="T3437">
        <f>LET(
    payment_method,'Loan Tape (S&amp;P)'!P3437,
    occupancy,'Loan Tape (S&amp;P)'!N3437,
    maturity_date,'Loan Tape (S&amp;P)'!L3437,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38">
      <c r="J3438">
        <f>LET(
    lien,'Loan Tape (S&amp;P)'!Q3438,
    IF(lien="First",1.00,
        IF(lien="Second",1.50,
            1.70)))</f>
        <v/>
      </c>
      <c r="K3438">
        <f>LET(
    purpose,'Loan Tape (S&amp;P)'!R3438,
    IF(purpose="Purchase",1.00,
        IF(purpose="Remortgage",1.00,
            1.20)))</f>
        <v/>
      </c>
      <c r="L3438">
        <f>LET(
    arrears_months,'Loan Tape (S&amp;P)'!AN3438,
    IF(arrears_months=0,1.00,
    IF(arrears_months=1,3.00,
    IF(arrears_months=2,5.00,
    IF(arrears_months=3,8.00,
    IF(arrears_months=4,10.00,
    IF(arrears_months=5,12.00,15.00)))))))</f>
        <v/>
      </c>
      <c r="M3438">
        <f>LET(
    seasoning_years,DATEDIF('Loan Tape (S&amp;P)'!K3438,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38">
        <f>IF(AND('Loan Tape (S&amp;P)'!U3438="Yes",
        'Loan Tape (S&amp;P)'!T3438&lt;&gt;"Yes",
        DATEDIF('Loan Tape (S&amp;P)'!K3438, TODAY(), "M")&lt;18),
    1.10,
    1.00)</f>
        <v/>
      </c>
      <c r="O3438">
        <f>IF('Loan Tape (S&amp;P)'!T3438="Yes",
    1.35,
    1.00)</f>
        <v/>
      </c>
      <c r="P3438">
        <f>IF('Loan Tape (S&amp;P)'!S3438="Yes",
    1.15,
    1.00)</f>
        <v/>
      </c>
      <c r="Q3438">
        <f>IF('Loan Tape (S&amp;P)'!V3438="Yes",
    1.20,
    1.00)</f>
        <v/>
      </c>
      <c r="T3438">
        <f>LET(
    payment_method,'Loan Tape (S&amp;P)'!P3438,
    occupancy,'Loan Tape (S&amp;P)'!N3438,
    maturity_date,'Loan Tape (S&amp;P)'!L3438,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39">
      <c r="J3439">
        <f>LET(
    lien,'Loan Tape (S&amp;P)'!Q3439,
    IF(lien="First",1.00,
        IF(lien="Second",1.50,
            1.70)))</f>
        <v/>
      </c>
      <c r="K3439">
        <f>LET(
    purpose,'Loan Tape (S&amp;P)'!R3439,
    IF(purpose="Purchase",1.00,
        IF(purpose="Remortgage",1.00,
            1.20)))</f>
        <v/>
      </c>
      <c r="L3439">
        <f>LET(
    arrears_months,'Loan Tape (S&amp;P)'!AN3439,
    IF(arrears_months=0,1.00,
    IF(arrears_months=1,3.00,
    IF(arrears_months=2,5.00,
    IF(arrears_months=3,8.00,
    IF(arrears_months=4,10.00,
    IF(arrears_months=5,12.00,15.00)))))))</f>
        <v/>
      </c>
      <c r="M3439">
        <f>LET(
    seasoning_years,DATEDIF('Loan Tape (S&amp;P)'!K3439,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39">
        <f>IF(AND('Loan Tape (S&amp;P)'!U3439="Yes",
        'Loan Tape (S&amp;P)'!T3439&lt;&gt;"Yes",
        DATEDIF('Loan Tape (S&amp;P)'!K3439, TODAY(), "M")&lt;18),
    1.10,
    1.00)</f>
        <v/>
      </c>
      <c r="O3439">
        <f>IF('Loan Tape (S&amp;P)'!T3439="Yes",
    1.35,
    1.00)</f>
        <v/>
      </c>
      <c r="P3439">
        <f>IF('Loan Tape (S&amp;P)'!S3439="Yes",
    1.15,
    1.00)</f>
        <v/>
      </c>
      <c r="Q3439">
        <f>IF('Loan Tape (S&amp;P)'!V3439="Yes",
    1.20,
    1.00)</f>
        <v/>
      </c>
      <c r="T3439">
        <f>LET(
    payment_method,'Loan Tape (S&amp;P)'!P3439,
    occupancy,'Loan Tape (S&amp;P)'!N3439,
    maturity_date,'Loan Tape (S&amp;P)'!L3439,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40">
      <c r="J3440">
        <f>LET(
    lien,'Loan Tape (S&amp;P)'!Q3440,
    IF(lien="First",1.00,
        IF(lien="Second",1.50,
            1.70)))</f>
        <v/>
      </c>
      <c r="K3440">
        <f>LET(
    purpose,'Loan Tape (S&amp;P)'!R3440,
    IF(purpose="Purchase",1.00,
        IF(purpose="Remortgage",1.00,
            1.20)))</f>
        <v/>
      </c>
      <c r="L3440">
        <f>LET(
    arrears_months,'Loan Tape (S&amp;P)'!AN3440,
    IF(arrears_months=0,1.00,
    IF(arrears_months=1,3.00,
    IF(arrears_months=2,5.00,
    IF(arrears_months=3,8.00,
    IF(arrears_months=4,10.00,
    IF(arrears_months=5,12.00,15.00)))))))</f>
        <v/>
      </c>
      <c r="M3440">
        <f>LET(
    seasoning_years,DATEDIF('Loan Tape (S&amp;P)'!K3440,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40">
        <f>IF(AND('Loan Tape (S&amp;P)'!U3440="Yes",
        'Loan Tape (S&amp;P)'!T3440&lt;&gt;"Yes",
        DATEDIF('Loan Tape (S&amp;P)'!K3440, TODAY(), "M")&lt;18),
    1.10,
    1.00)</f>
        <v/>
      </c>
      <c r="O3440">
        <f>IF('Loan Tape (S&amp;P)'!T3440="Yes",
    1.35,
    1.00)</f>
        <v/>
      </c>
      <c r="P3440">
        <f>IF('Loan Tape (S&amp;P)'!S3440="Yes",
    1.15,
    1.00)</f>
        <v/>
      </c>
      <c r="Q3440">
        <f>IF('Loan Tape (S&amp;P)'!V3440="Yes",
    1.20,
    1.00)</f>
        <v/>
      </c>
      <c r="T3440">
        <f>LET(
    payment_method,'Loan Tape (S&amp;P)'!P3440,
    occupancy,'Loan Tape (S&amp;P)'!N3440,
    maturity_date,'Loan Tape (S&amp;P)'!L3440,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41">
      <c r="J3441">
        <f>LET(
    lien,'Loan Tape (S&amp;P)'!Q3441,
    IF(lien="First",1.00,
        IF(lien="Second",1.50,
            1.70)))</f>
        <v/>
      </c>
      <c r="K3441">
        <f>LET(
    purpose,'Loan Tape (S&amp;P)'!R3441,
    IF(purpose="Purchase",1.00,
        IF(purpose="Remortgage",1.00,
            1.20)))</f>
        <v/>
      </c>
      <c r="L3441">
        <f>LET(
    arrears_months,'Loan Tape (S&amp;P)'!AN3441,
    IF(arrears_months=0,1.00,
    IF(arrears_months=1,3.00,
    IF(arrears_months=2,5.00,
    IF(arrears_months=3,8.00,
    IF(arrears_months=4,10.00,
    IF(arrears_months=5,12.00,15.00)))))))</f>
        <v/>
      </c>
      <c r="M3441">
        <f>LET(
    seasoning_years,DATEDIF('Loan Tape (S&amp;P)'!K3441,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41">
        <f>IF(AND('Loan Tape (S&amp;P)'!U3441="Yes",
        'Loan Tape (S&amp;P)'!T3441&lt;&gt;"Yes",
        DATEDIF('Loan Tape (S&amp;P)'!K3441, TODAY(), "M")&lt;18),
    1.10,
    1.00)</f>
        <v/>
      </c>
      <c r="O3441">
        <f>IF('Loan Tape (S&amp;P)'!T3441="Yes",
    1.35,
    1.00)</f>
        <v/>
      </c>
      <c r="P3441">
        <f>IF('Loan Tape (S&amp;P)'!S3441="Yes",
    1.15,
    1.00)</f>
        <v/>
      </c>
      <c r="Q3441">
        <f>IF('Loan Tape (S&amp;P)'!V3441="Yes",
    1.20,
    1.00)</f>
        <v/>
      </c>
      <c r="T3441">
        <f>LET(
    payment_method,'Loan Tape (S&amp;P)'!P3441,
    occupancy,'Loan Tape (S&amp;P)'!N3441,
    maturity_date,'Loan Tape (S&amp;P)'!L3441,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42">
      <c r="J3442">
        <f>LET(
    lien,'Loan Tape (S&amp;P)'!Q3442,
    IF(lien="First",1.00,
        IF(lien="Second",1.50,
            1.70)))</f>
        <v/>
      </c>
      <c r="K3442">
        <f>LET(
    purpose,'Loan Tape (S&amp;P)'!R3442,
    IF(purpose="Purchase",1.00,
        IF(purpose="Remortgage",1.00,
            1.20)))</f>
        <v/>
      </c>
      <c r="L3442">
        <f>LET(
    arrears_months,'Loan Tape (S&amp;P)'!AN3442,
    IF(arrears_months=0,1.00,
    IF(arrears_months=1,3.00,
    IF(arrears_months=2,5.00,
    IF(arrears_months=3,8.00,
    IF(arrears_months=4,10.00,
    IF(arrears_months=5,12.00,15.00)))))))</f>
        <v/>
      </c>
      <c r="M3442">
        <f>LET(
    seasoning_years,DATEDIF('Loan Tape (S&amp;P)'!K3442,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42">
        <f>IF(AND('Loan Tape (S&amp;P)'!U3442="Yes",
        'Loan Tape (S&amp;P)'!T3442&lt;&gt;"Yes",
        DATEDIF('Loan Tape (S&amp;P)'!K3442, TODAY(), "M")&lt;18),
    1.10,
    1.00)</f>
        <v/>
      </c>
      <c r="O3442">
        <f>IF('Loan Tape (S&amp;P)'!T3442="Yes",
    1.35,
    1.00)</f>
        <v/>
      </c>
      <c r="P3442">
        <f>IF('Loan Tape (S&amp;P)'!S3442="Yes",
    1.15,
    1.00)</f>
        <v/>
      </c>
      <c r="Q3442">
        <f>IF('Loan Tape (S&amp;P)'!V3442="Yes",
    1.20,
    1.00)</f>
        <v/>
      </c>
      <c r="T3442">
        <f>LET(
    payment_method,'Loan Tape (S&amp;P)'!P3442,
    occupancy,'Loan Tape (S&amp;P)'!N3442,
    maturity_date,'Loan Tape (S&amp;P)'!L3442,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43">
      <c r="J3443">
        <f>LET(
    lien,'Loan Tape (S&amp;P)'!Q3443,
    IF(lien="First",1.00,
        IF(lien="Second",1.50,
            1.70)))</f>
        <v/>
      </c>
      <c r="K3443">
        <f>LET(
    purpose,'Loan Tape (S&amp;P)'!R3443,
    IF(purpose="Purchase",1.00,
        IF(purpose="Remortgage",1.00,
            1.20)))</f>
        <v/>
      </c>
      <c r="L3443">
        <f>LET(
    arrears_months,'Loan Tape (S&amp;P)'!AN3443,
    IF(arrears_months=0,1.00,
    IF(arrears_months=1,3.00,
    IF(arrears_months=2,5.00,
    IF(arrears_months=3,8.00,
    IF(arrears_months=4,10.00,
    IF(arrears_months=5,12.00,15.00)))))))</f>
        <v/>
      </c>
      <c r="M3443">
        <f>LET(
    seasoning_years,DATEDIF('Loan Tape (S&amp;P)'!K3443,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43">
        <f>IF(AND('Loan Tape (S&amp;P)'!U3443="Yes",
        'Loan Tape (S&amp;P)'!T3443&lt;&gt;"Yes",
        DATEDIF('Loan Tape (S&amp;P)'!K3443, TODAY(), "M")&lt;18),
    1.10,
    1.00)</f>
        <v/>
      </c>
      <c r="O3443">
        <f>IF('Loan Tape (S&amp;P)'!T3443="Yes",
    1.35,
    1.00)</f>
        <v/>
      </c>
      <c r="P3443">
        <f>IF('Loan Tape (S&amp;P)'!S3443="Yes",
    1.15,
    1.00)</f>
        <v/>
      </c>
      <c r="Q3443">
        <f>IF('Loan Tape (S&amp;P)'!V3443="Yes",
    1.20,
    1.00)</f>
        <v/>
      </c>
      <c r="T3443">
        <f>LET(
    payment_method,'Loan Tape (S&amp;P)'!P3443,
    occupancy,'Loan Tape (S&amp;P)'!N3443,
    maturity_date,'Loan Tape (S&amp;P)'!L3443,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44">
      <c r="J3444">
        <f>LET(
    lien,'Loan Tape (S&amp;P)'!Q3444,
    IF(lien="First",1.00,
        IF(lien="Second",1.50,
            1.70)))</f>
        <v/>
      </c>
      <c r="K3444">
        <f>LET(
    purpose,'Loan Tape (S&amp;P)'!R3444,
    IF(purpose="Purchase",1.00,
        IF(purpose="Remortgage",1.00,
            1.20)))</f>
        <v/>
      </c>
      <c r="L3444">
        <f>LET(
    arrears_months,'Loan Tape (S&amp;P)'!AN3444,
    IF(arrears_months=0,1.00,
    IF(arrears_months=1,3.00,
    IF(arrears_months=2,5.00,
    IF(arrears_months=3,8.00,
    IF(arrears_months=4,10.00,
    IF(arrears_months=5,12.00,15.00)))))))</f>
        <v/>
      </c>
      <c r="M3444">
        <f>LET(
    seasoning_years,DATEDIF('Loan Tape (S&amp;P)'!K3444,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44">
        <f>IF(AND('Loan Tape (S&amp;P)'!U3444="Yes",
        'Loan Tape (S&amp;P)'!T3444&lt;&gt;"Yes",
        DATEDIF('Loan Tape (S&amp;P)'!K3444, TODAY(), "M")&lt;18),
    1.10,
    1.00)</f>
        <v/>
      </c>
      <c r="O3444">
        <f>IF('Loan Tape (S&amp;P)'!T3444="Yes",
    1.35,
    1.00)</f>
        <v/>
      </c>
      <c r="P3444">
        <f>IF('Loan Tape (S&amp;P)'!S3444="Yes",
    1.15,
    1.00)</f>
        <v/>
      </c>
      <c r="Q3444">
        <f>IF('Loan Tape (S&amp;P)'!V3444="Yes",
    1.20,
    1.00)</f>
        <v/>
      </c>
      <c r="T3444">
        <f>LET(
    payment_method,'Loan Tape (S&amp;P)'!P3444,
    occupancy,'Loan Tape (S&amp;P)'!N3444,
    maturity_date,'Loan Tape (S&amp;P)'!L3444,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45">
      <c r="J3445">
        <f>LET(
    lien,'Loan Tape (S&amp;P)'!Q3445,
    IF(lien="First",1.00,
        IF(lien="Second",1.50,
            1.70)))</f>
        <v/>
      </c>
      <c r="K3445">
        <f>LET(
    purpose,'Loan Tape (S&amp;P)'!R3445,
    IF(purpose="Purchase",1.00,
        IF(purpose="Remortgage",1.00,
            1.20)))</f>
        <v/>
      </c>
      <c r="L3445">
        <f>LET(
    arrears_months,'Loan Tape (S&amp;P)'!AN3445,
    IF(arrears_months=0,1.00,
    IF(arrears_months=1,3.00,
    IF(arrears_months=2,5.00,
    IF(arrears_months=3,8.00,
    IF(arrears_months=4,10.00,
    IF(arrears_months=5,12.00,15.00)))))))</f>
        <v/>
      </c>
      <c r="M3445">
        <f>LET(
    seasoning_years,DATEDIF('Loan Tape (S&amp;P)'!K3445,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45">
        <f>IF(AND('Loan Tape (S&amp;P)'!U3445="Yes",
        'Loan Tape (S&amp;P)'!T3445&lt;&gt;"Yes",
        DATEDIF('Loan Tape (S&amp;P)'!K3445, TODAY(), "M")&lt;18),
    1.10,
    1.00)</f>
        <v/>
      </c>
      <c r="O3445">
        <f>IF('Loan Tape (S&amp;P)'!T3445="Yes",
    1.35,
    1.00)</f>
        <v/>
      </c>
      <c r="P3445">
        <f>IF('Loan Tape (S&amp;P)'!S3445="Yes",
    1.15,
    1.00)</f>
        <v/>
      </c>
      <c r="Q3445">
        <f>IF('Loan Tape (S&amp;P)'!V3445="Yes",
    1.20,
    1.00)</f>
        <v/>
      </c>
      <c r="T3445">
        <f>LET(
    payment_method,'Loan Tape (S&amp;P)'!P3445,
    occupancy,'Loan Tape (S&amp;P)'!N3445,
    maturity_date,'Loan Tape (S&amp;P)'!L3445,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46">
      <c r="J3446">
        <f>LET(
    lien,'Loan Tape (S&amp;P)'!Q3446,
    IF(lien="First",1.00,
        IF(lien="Second",1.50,
            1.70)))</f>
        <v/>
      </c>
      <c r="K3446">
        <f>LET(
    purpose,'Loan Tape (S&amp;P)'!R3446,
    IF(purpose="Purchase",1.00,
        IF(purpose="Remortgage",1.00,
            1.20)))</f>
        <v/>
      </c>
      <c r="L3446">
        <f>LET(
    arrears_months,'Loan Tape (S&amp;P)'!AN3446,
    IF(arrears_months=0,1.00,
    IF(arrears_months=1,3.00,
    IF(arrears_months=2,5.00,
    IF(arrears_months=3,8.00,
    IF(arrears_months=4,10.00,
    IF(arrears_months=5,12.00,15.00)))))))</f>
        <v/>
      </c>
      <c r="M3446">
        <f>LET(
    seasoning_years,DATEDIF('Loan Tape (S&amp;P)'!K3446,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46">
        <f>IF(AND('Loan Tape (S&amp;P)'!U3446="Yes",
        'Loan Tape (S&amp;P)'!T3446&lt;&gt;"Yes",
        DATEDIF('Loan Tape (S&amp;P)'!K3446, TODAY(), "M")&lt;18),
    1.10,
    1.00)</f>
        <v/>
      </c>
      <c r="O3446">
        <f>IF('Loan Tape (S&amp;P)'!T3446="Yes",
    1.35,
    1.00)</f>
        <v/>
      </c>
      <c r="P3446">
        <f>IF('Loan Tape (S&amp;P)'!S3446="Yes",
    1.15,
    1.00)</f>
        <v/>
      </c>
      <c r="Q3446">
        <f>IF('Loan Tape (S&amp;P)'!V3446="Yes",
    1.20,
    1.00)</f>
        <v/>
      </c>
      <c r="T3446">
        <f>LET(
    payment_method,'Loan Tape (S&amp;P)'!P3446,
    occupancy,'Loan Tape (S&amp;P)'!N3446,
    maturity_date,'Loan Tape (S&amp;P)'!L3446,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47">
      <c r="J3447">
        <f>LET(
    lien,'Loan Tape (S&amp;P)'!Q3447,
    IF(lien="First",1.00,
        IF(lien="Second",1.50,
            1.70)))</f>
        <v/>
      </c>
      <c r="K3447">
        <f>LET(
    purpose,'Loan Tape (S&amp;P)'!R3447,
    IF(purpose="Purchase",1.00,
        IF(purpose="Remortgage",1.00,
            1.20)))</f>
        <v/>
      </c>
      <c r="L3447">
        <f>LET(
    arrears_months,'Loan Tape (S&amp;P)'!AN3447,
    IF(arrears_months=0,1.00,
    IF(arrears_months=1,3.00,
    IF(arrears_months=2,5.00,
    IF(arrears_months=3,8.00,
    IF(arrears_months=4,10.00,
    IF(arrears_months=5,12.00,15.00)))))))</f>
        <v/>
      </c>
      <c r="M3447">
        <f>LET(
    seasoning_years,DATEDIF('Loan Tape (S&amp;P)'!K3447,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47">
        <f>IF(AND('Loan Tape (S&amp;P)'!U3447="Yes",
        'Loan Tape (S&amp;P)'!T3447&lt;&gt;"Yes",
        DATEDIF('Loan Tape (S&amp;P)'!K3447, TODAY(), "M")&lt;18),
    1.10,
    1.00)</f>
        <v/>
      </c>
      <c r="O3447">
        <f>IF('Loan Tape (S&amp;P)'!T3447="Yes",
    1.35,
    1.00)</f>
        <v/>
      </c>
      <c r="P3447">
        <f>IF('Loan Tape (S&amp;P)'!S3447="Yes",
    1.15,
    1.00)</f>
        <v/>
      </c>
      <c r="Q3447">
        <f>IF('Loan Tape (S&amp;P)'!V3447="Yes",
    1.20,
    1.00)</f>
        <v/>
      </c>
      <c r="T3447">
        <f>LET(
    payment_method,'Loan Tape (S&amp;P)'!P3447,
    occupancy,'Loan Tape (S&amp;P)'!N3447,
    maturity_date,'Loan Tape (S&amp;P)'!L3447,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48">
      <c r="J3448">
        <f>LET(
    lien,'Loan Tape (S&amp;P)'!Q3448,
    IF(lien="First",1.00,
        IF(lien="Second",1.50,
            1.70)))</f>
        <v/>
      </c>
      <c r="K3448">
        <f>LET(
    purpose,'Loan Tape (S&amp;P)'!R3448,
    IF(purpose="Purchase",1.00,
        IF(purpose="Remortgage",1.00,
            1.20)))</f>
        <v/>
      </c>
      <c r="L3448">
        <f>LET(
    arrears_months,'Loan Tape (S&amp;P)'!AN3448,
    IF(arrears_months=0,1.00,
    IF(arrears_months=1,3.00,
    IF(arrears_months=2,5.00,
    IF(arrears_months=3,8.00,
    IF(arrears_months=4,10.00,
    IF(arrears_months=5,12.00,15.00)))))))</f>
        <v/>
      </c>
      <c r="M3448">
        <f>LET(
    seasoning_years,DATEDIF('Loan Tape (S&amp;P)'!K3448,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48">
        <f>IF(AND('Loan Tape (S&amp;P)'!U3448="Yes",
        'Loan Tape (S&amp;P)'!T3448&lt;&gt;"Yes",
        DATEDIF('Loan Tape (S&amp;P)'!K3448, TODAY(), "M")&lt;18),
    1.10,
    1.00)</f>
        <v/>
      </c>
      <c r="O3448">
        <f>IF('Loan Tape (S&amp;P)'!T3448="Yes",
    1.35,
    1.00)</f>
        <v/>
      </c>
      <c r="P3448">
        <f>IF('Loan Tape (S&amp;P)'!S3448="Yes",
    1.15,
    1.00)</f>
        <v/>
      </c>
      <c r="Q3448">
        <f>IF('Loan Tape (S&amp;P)'!V3448="Yes",
    1.20,
    1.00)</f>
        <v/>
      </c>
      <c r="T3448">
        <f>LET(
    payment_method,'Loan Tape (S&amp;P)'!P3448,
    occupancy,'Loan Tape (S&amp;P)'!N3448,
    maturity_date,'Loan Tape (S&amp;P)'!L3448,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49">
      <c r="J3449">
        <f>LET(
    lien,'Loan Tape (S&amp;P)'!Q3449,
    IF(lien="First",1.00,
        IF(lien="Second",1.50,
            1.70)))</f>
        <v/>
      </c>
      <c r="K3449">
        <f>LET(
    purpose,'Loan Tape (S&amp;P)'!R3449,
    IF(purpose="Purchase",1.00,
        IF(purpose="Remortgage",1.00,
            1.20)))</f>
        <v/>
      </c>
      <c r="L3449">
        <f>LET(
    arrears_months,'Loan Tape (S&amp;P)'!AN3449,
    IF(arrears_months=0,1.00,
    IF(arrears_months=1,3.00,
    IF(arrears_months=2,5.00,
    IF(arrears_months=3,8.00,
    IF(arrears_months=4,10.00,
    IF(arrears_months=5,12.00,15.00)))))))</f>
        <v/>
      </c>
      <c r="M3449">
        <f>LET(
    seasoning_years,DATEDIF('Loan Tape (S&amp;P)'!K3449,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49">
        <f>IF(AND('Loan Tape (S&amp;P)'!U3449="Yes",
        'Loan Tape (S&amp;P)'!T3449&lt;&gt;"Yes",
        DATEDIF('Loan Tape (S&amp;P)'!K3449, TODAY(), "M")&lt;18),
    1.10,
    1.00)</f>
        <v/>
      </c>
      <c r="O3449">
        <f>IF('Loan Tape (S&amp;P)'!T3449="Yes",
    1.35,
    1.00)</f>
        <v/>
      </c>
      <c r="P3449">
        <f>IF('Loan Tape (S&amp;P)'!S3449="Yes",
    1.15,
    1.00)</f>
        <v/>
      </c>
      <c r="Q3449">
        <f>IF('Loan Tape (S&amp;P)'!V3449="Yes",
    1.20,
    1.00)</f>
        <v/>
      </c>
      <c r="T3449">
        <f>LET(
    payment_method,'Loan Tape (S&amp;P)'!P3449,
    occupancy,'Loan Tape (S&amp;P)'!N3449,
    maturity_date,'Loan Tape (S&amp;P)'!L3449,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50">
      <c r="J3450">
        <f>LET(
    lien,'Loan Tape (S&amp;P)'!Q3450,
    IF(lien="First",1.00,
        IF(lien="Second",1.50,
            1.70)))</f>
        <v/>
      </c>
      <c r="K3450">
        <f>LET(
    purpose,'Loan Tape (S&amp;P)'!R3450,
    IF(purpose="Purchase",1.00,
        IF(purpose="Remortgage",1.00,
            1.20)))</f>
        <v/>
      </c>
      <c r="L3450">
        <f>LET(
    arrears_months,'Loan Tape (S&amp;P)'!AN3450,
    IF(arrears_months=0,1.00,
    IF(arrears_months=1,3.00,
    IF(arrears_months=2,5.00,
    IF(arrears_months=3,8.00,
    IF(arrears_months=4,10.00,
    IF(arrears_months=5,12.00,15.00)))))))</f>
        <v/>
      </c>
      <c r="M3450">
        <f>LET(
    seasoning_years,DATEDIF('Loan Tape (S&amp;P)'!K3450,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50">
        <f>IF(AND('Loan Tape (S&amp;P)'!U3450="Yes",
        'Loan Tape (S&amp;P)'!T3450&lt;&gt;"Yes",
        DATEDIF('Loan Tape (S&amp;P)'!K3450, TODAY(), "M")&lt;18),
    1.10,
    1.00)</f>
        <v/>
      </c>
      <c r="O3450">
        <f>IF('Loan Tape (S&amp;P)'!T3450="Yes",
    1.35,
    1.00)</f>
        <v/>
      </c>
      <c r="P3450">
        <f>IF('Loan Tape (S&amp;P)'!S3450="Yes",
    1.15,
    1.00)</f>
        <v/>
      </c>
      <c r="Q3450">
        <f>IF('Loan Tape (S&amp;P)'!V3450="Yes",
    1.20,
    1.00)</f>
        <v/>
      </c>
      <c r="T3450">
        <f>LET(
    payment_method,'Loan Tape (S&amp;P)'!P3450,
    occupancy,'Loan Tape (S&amp;P)'!N3450,
    maturity_date,'Loan Tape (S&amp;P)'!L3450,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51">
      <c r="J3451">
        <f>LET(
    lien,'Loan Tape (S&amp;P)'!Q3451,
    IF(lien="First",1.00,
        IF(lien="Second",1.50,
            1.70)))</f>
        <v/>
      </c>
      <c r="K3451">
        <f>LET(
    purpose,'Loan Tape (S&amp;P)'!R3451,
    IF(purpose="Purchase",1.00,
        IF(purpose="Remortgage",1.00,
            1.20)))</f>
        <v/>
      </c>
      <c r="L3451">
        <f>LET(
    arrears_months,'Loan Tape (S&amp;P)'!AN3451,
    IF(arrears_months=0,1.00,
    IF(arrears_months=1,3.00,
    IF(arrears_months=2,5.00,
    IF(arrears_months=3,8.00,
    IF(arrears_months=4,10.00,
    IF(arrears_months=5,12.00,15.00)))))))</f>
        <v/>
      </c>
      <c r="M3451">
        <f>LET(
    seasoning_years,DATEDIF('Loan Tape (S&amp;P)'!K3451,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51">
        <f>IF(AND('Loan Tape (S&amp;P)'!U3451="Yes",
        'Loan Tape (S&amp;P)'!T3451&lt;&gt;"Yes",
        DATEDIF('Loan Tape (S&amp;P)'!K3451, TODAY(), "M")&lt;18),
    1.10,
    1.00)</f>
        <v/>
      </c>
      <c r="O3451">
        <f>IF('Loan Tape (S&amp;P)'!T3451="Yes",
    1.35,
    1.00)</f>
        <v/>
      </c>
      <c r="P3451">
        <f>IF('Loan Tape (S&amp;P)'!S3451="Yes",
    1.15,
    1.00)</f>
        <v/>
      </c>
      <c r="Q3451">
        <f>IF('Loan Tape (S&amp;P)'!V3451="Yes",
    1.20,
    1.00)</f>
        <v/>
      </c>
      <c r="T3451">
        <f>LET(
    payment_method,'Loan Tape (S&amp;P)'!P3451,
    occupancy,'Loan Tape (S&amp;P)'!N3451,
    maturity_date,'Loan Tape (S&amp;P)'!L3451,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52">
      <c r="J3452">
        <f>LET(
    lien,'Loan Tape (S&amp;P)'!Q3452,
    IF(lien="First",1.00,
        IF(lien="Second",1.50,
            1.70)))</f>
        <v/>
      </c>
      <c r="K3452">
        <f>LET(
    purpose,'Loan Tape (S&amp;P)'!R3452,
    IF(purpose="Purchase",1.00,
        IF(purpose="Remortgage",1.00,
            1.20)))</f>
        <v/>
      </c>
      <c r="L3452">
        <f>LET(
    arrears_months,'Loan Tape (S&amp;P)'!AN3452,
    IF(arrears_months=0,1.00,
    IF(arrears_months=1,3.00,
    IF(arrears_months=2,5.00,
    IF(arrears_months=3,8.00,
    IF(arrears_months=4,10.00,
    IF(arrears_months=5,12.00,15.00)))))))</f>
        <v/>
      </c>
      <c r="M3452">
        <f>LET(
    seasoning_years,DATEDIF('Loan Tape (S&amp;P)'!K3452,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52">
        <f>IF(AND('Loan Tape (S&amp;P)'!U3452="Yes",
        'Loan Tape (S&amp;P)'!T3452&lt;&gt;"Yes",
        DATEDIF('Loan Tape (S&amp;P)'!K3452, TODAY(), "M")&lt;18),
    1.10,
    1.00)</f>
        <v/>
      </c>
      <c r="O3452">
        <f>IF('Loan Tape (S&amp;P)'!T3452="Yes",
    1.35,
    1.00)</f>
        <v/>
      </c>
      <c r="P3452">
        <f>IF('Loan Tape (S&amp;P)'!S3452="Yes",
    1.15,
    1.00)</f>
        <v/>
      </c>
      <c r="Q3452">
        <f>IF('Loan Tape (S&amp;P)'!V3452="Yes",
    1.20,
    1.00)</f>
        <v/>
      </c>
      <c r="T3452">
        <f>LET(
    payment_method,'Loan Tape (S&amp;P)'!P3452,
    occupancy,'Loan Tape (S&amp;P)'!N3452,
    maturity_date,'Loan Tape (S&amp;P)'!L3452,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53">
      <c r="J3453">
        <f>LET(
    lien,'Loan Tape (S&amp;P)'!Q3453,
    IF(lien="First",1.00,
        IF(lien="Second",1.50,
            1.70)))</f>
        <v/>
      </c>
      <c r="K3453">
        <f>LET(
    purpose,'Loan Tape (S&amp;P)'!R3453,
    IF(purpose="Purchase",1.00,
        IF(purpose="Remortgage",1.00,
            1.20)))</f>
        <v/>
      </c>
      <c r="L3453">
        <f>LET(
    arrears_months,'Loan Tape (S&amp;P)'!AN3453,
    IF(arrears_months=0,1.00,
    IF(arrears_months=1,3.00,
    IF(arrears_months=2,5.00,
    IF(arrears_months=3,8.00,
    IF(arrears_months=4,10.00,
    IF(arrears_months=5,12.00,15.00)))))))</f>
        <v/>
      </c>
      <c r="M3453">
        <f>LET(
    seasoning_years,DATEDIF('Loan Tape (S&amp;P)'!K3453,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53">
        <f>IF(AND('Loan Tape (S&amp;P)'!U3453="Yes",
        'Loan Tape (S&amp;P)'!T3453&lt;&gt;"Yes",
        DATEDIF('Loan Tape (S&amp;P)'!K3453, TODAY(), "M")&lt;18),
    1.10,
    1.00)</f>
        <v/>
      </c>
      <c r="O3453">
        <f>IF('Loan Tape (S&amp;P)'!T3453="Yes",
    1.35,
    1.00)</f>
        <v/>
      </c>
      <c r="P3453">
        <f>IF('Loan Tape (S&amp;P)'!S3453="Yes",
    1.15,
    1.00)</f>
        <v/>
      </c>
      <c r="Q3453">
        <f>IF('Loan Tape (S&amp;P)'!V3453="Yes",
    1.20,
    1.00)</f>
        <v/>
      </c>
      <c r="T3453">
        <f>LET(
    payment_method,'Loan Tape (S&amp;P)'!P3453,
    occupancy,'Loan Tape (S&amp;P)'!N3453,
    maturity_date,'Loan Tape (S&amp;P)'!L3453,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54">
      <c r="J3454">
        <f>LET(
    lien,'Loan Tape (S&amp;P)'!Q3454,
    IF(lien="First",1.00,
        IF(lien="Second",1.50,
            1.70)))</f>
        <v/>
      </c>
      <c r="K3454">
        <f>LET(
    purpose,'Loan Tape (S&amp;P)'!R3454,
    IF(purpose="Purchase",1.00,
        IF(purpose="Remortgage",1.00,
            1.20)))</f>
        <v/>
      </c>
      <c r="L3454">
        <f>LET(
    arrears_months,'Loan Tape (S&amp;P)'!AN3454,
    IF(arrears_months=0,1.00,
    IF(arrears_months=1,3.00,
    IF(arrears_months=2,5.00,
    IF(arrears_months=3,8.00,
    IF(arrears_months=4,10.00,
    IF(arrears_months=5,12.00,15.00)))))))</f>
        <v/>
      </c>
      <c r="M3454">
        <f>LET(
    seasoning_years,DATEDIF('Loan Tape (S&amp;P)'!K3454,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54">
        <f>IF(AND('Loan Tape (S&amp;P)'!U3454="Yes",
        'Loan Tape (S&amp;P)'!T3454&lt;&gt;"Yes",
        DATEDIF('Loan Tape (S&amp;P)'!K3454, TODAY(), "M")&lt;18),
    1.10,
    1.00)</f>
        <v/>
      </c>
      <c r="O3454">
        <f>IF('Loan Tape (S&amp;P)'!T3454="Yes",
    1.35,
    1.00)</f>
        <v/>
      </c>
      <c r="P3454">
        <f>IF('Loan Tape (S&amp;P)'!S3454="Yes",
    1.15,
    1.00)</f>
        <v/>
      </c>
      <c r="Q3454">
        <f>IF('Loan Tape (S&amp;P)'!V3454="Yes",
    1.20,
    1.00)</f>
        <v/>
      </c>
      <c r="T3454">
        <f>LET(
    payment_method,'Loan Tape (S&amp;P)'!P3454,
    occupancy,'Loan Tape (S&amp;P)'!N3454,
    maturity_date,'Loan Tape (S&amp;P)'!L3454,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55">
      <c r="J3455">
        <f>LET(
    lien,'Loan Tape (S&amp;P)'!Q3455,
    IF(lien="First",1.00,
        IF(lien="Second",1.50,
            1.70)))</f>
        <v/>
      </c>
      <c r="K3455">
        <f>LET(
    purpose,'Loan Tape (S&amp;P)'!R3455,
    IF(purpose="Purchase",1.00,
        IF(purpose="Remortgage",1.00,
            1.20)))</f>
        <v/>
      </c>
      <c r="L3455">
        <f>LET(
    arrears_months,'Loan Tape (S&amp;P)'!AN3455,
    IF(arrears_months=0,1.00,
    IF(arrears_months=1,3.00,
    IF(arrears_months=2,5.00,
    IF(arrears_months=3,8.00,
    IF(arrears_months=4,10.00,
    IF(arrears_months=5,12.00,15.00)))))))</f>
        <v/>
      </c>
      <c r="M3455">
        <f>LET(
    seasoning_years,DATEDIF('Loan Tape (S&amp;P)'!K3455,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55">
        <f>IF(AND('Loan Tape (S&amp;P)'!U3455="Yes",
        'Loan Tape (S&amp;P)'!T3455&lt;&gt;"Yes",
        DATEDIF('Loan Tape (S&amp;P)'!K3455, TODAY(), "M")&lt;18),
    1.10,
    1.00)</f>
        <v/>
      </c>
      <c r="O3455">
        <f>IF('Loan Tape (S&amp;P)'!T3455="Yes",
    1.35,
    1.00)</f>
        <v/>
      </c>
      <c r="P3455">
        <f>IF('Loan Tape (S&amp;P)'!S3455="Yes",
    1.15,
    1.00)</f>
        <v/>
      </c>
      <c r="Q3455">
        <f>IF('Loan Tape (S&amp;P)'!V3455="Yes",
    1.20,
    1.00)</f>
        <v/>
      </c>
      <c r="T3455">
        <f>LET(
    payment_method,'Loan Tape (S&amp;P)'!P3455,
    occupancy,'Loan Tape (S&amp;P)'!N3455,
    maturity_date,'Loan Tape (S&amp;P)'!L3455,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56">
      <c r="J3456">
        <f>LET(
    lien,'Loan Tape (S&amp;P)'!Q3456,
    IF(lien="First",1.00,
        IF(lien="Second",1.50,
            1.70)))</f>
        <v/>
      </c>
      <c r="K3456">
        <f>LET(
    purpose,'Loan Tape (S&amp;P)'!R3456,
    IF(purpose="Purchase",1.00,
        IF(purpose="Remortgage",1.00,
            1.20)))</f>
        <v/>
      </c>
      <c r="L3456">
        <f>LET(
    arrears_months,'Loan Tape (S&amp;P)'!AN3456,
    IF(arrears_months=0,1.00,
    IF(arrears_months=1,3.00,
    IF(arrears_months=2,5.00,
    IF(arrears_months=3,8.00,
    IF(arrears_months=4,10.00,
    IF(arrears_months=5,12.00,15.00)))))))</f>
        <v/>
      </c>
      <c r="M3456">
        <f>LET(
    seasoning_years,DATEDIF('Loan Tape (S&amp;P)'!K3456,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56">
        <f>IF(AND('Loan Tape (S&amp;P)'!U3456="Yes",
        'Loan Tape (S&amp;P)'!T3456&lt;&gt;"Yes",
        DATEDIF('Loan Tape (S&amp;P)'!K3456, TODAY(), "M")&lt;18),
    1.10,
    1.00)</f>
        <v/>
      </c>
      <c r="O3456">
        <f>IF('Loan Tape (S&amp;P)'!T3456="Yes",
    1.35,
    1.00)</f>
        <v/>
      </c>
      <c r="P3456">
        <f>IF('Loan Tape (S&amp;P)'!S3456="Yes",
    1.15,
    1.00)</f>
        <v/>
      </c>
      <c r="Q3456">
        <f>IF('Loan Tape (S&amp;P)'!V3456="Yes",
    1.20,
    1.00)</f>
        <v/>
      </c>
      <c r="T3456">
        <f>LET(
    payment_method,'Loan Tape (S&amp;P)'!P3456,
    occupancy,'Loan Tape (S&amp;P)'!N3456,
    maturity_date,'Loan Tape (S&amp;P)'!L3456,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57">
      <c r="J3457">
        <f>LET(
    lien,'Loan Tape (S&amp;P)'!Q3457,
    IF(lien="First",1.00,
        IF(lien="Second",1.50,
            1.70)))</f>
        <v/>
      </c>
      <c r="K3457">
        <f>LET(
    purpose,'Loan Tape (S&amp;P)'!R3457,
    IF(purpose="Purchase",1.00,
        IF(purpose="Remortgage",1.00,
            1.20)))</f>
        <v/>
      </c>
      <c r="L3457">
        <f>LET(
    arrears_months,'Loan Tape (S&amp;P)'!AN3457,
    IF(arrears_months=0,1.00,
    IF(arrears_months=1,3.00,
    IF(arrears_months=2,5.00,
    IF(arrears_months=3,8.00,
    IF(arrears_months=4,10.00,
    IF(arrears_months=5,12.00,15.00)))))))</f>
        <v/>
      </c>
      <c r="M3457">
        <f>LET(
    seasoning_years,DATEDIF('Loan Tape (S&amp;P)'!K3457,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57">
        <f>IF(AND('Loan Tape (S&amp;P)'!U3457="Yes",
        'Loan Tape (S&amp;P)'!T3457&lt;&gt;"Yes",
        DATEDIF('Loan Tape (S&amp;P)'!K3457, TODAY(), "M")&lt;18),
    1.10,
    1.00)</f>
        <v/>
      </c>
      <c r="O3457">
        <f>IF('Loan Tape (S&amp;P)'!T3457="Yes",
    1.35,
    1.00)</f>
        <v/>
      </c>
      <c r="P3457">
        <f>IF('Loan Tape (S&amp;P)'!S3457="Yes",
    1.15,
    1.00)</f>
        <v/>
      </c>
      <c r="Q3457">
        <f>IF('Loan Tape (S&amp;P)'!V3457="Yes",
    1.20,
    1.00)</f>
        <v/>
      </c>
      <c r="T3457">
        <f>LET(
    payment_method,'Loan Tape (S&amp;P)'!P3457,
    occupancy,'Loan Tape (S&amp;P)'!N3457,
    maturity_date,'Loan Tape (S&amp;P)'!L3457,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58">
      <c r="J3458">
        <f>LET(
    lien,'Loan Tape (S&amp;P)'!Q3458,
    IF(lien="First",1.00,
        IF(lien="Second",1.50,
            1.70)))</f>
        <v/>
      </c>
      <c r="K3458">
        <f>LET(
    purpose,'Loan Tape (S&amp;P)'!R3458,
    IF(purpose="Purchase",1.00,
        IF(purpose="Remortgage",1.00,
            1.20)))</f>
        <v/>
      </c>
      <c r="L3458">
        <f>LET(
    arrears_months,'Loan Tape (S&amp;P)'!AN3458,
    IF(arrears_months=0,1.00,
    IF(arrears_months=1,3.00,
    IF(arrears_months=2,5.00,
    IF(arrears_months=3,8.00,
    IF(arrears_months=4,10.00,
    IF(arrears_months=5,12.00,15.00)))))))</f>
        <v/>
      </c>
      <c r="M3458">
        <f>LET(
    seasoning_years,DATEDIF('Loan Tape (S&amp;P)'!K3458,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58">
        <f>IF(AND('Loan Tape (S&amp;P)'!U3458="Yes",
        'Loan Tape (S&amp;P)'!T3458&lt;&gt;"Yes",
        DATEDIF('Loan Tape (S&amp;P)'!K3458, TODAY(), "M")&lt;18),
    1.10,
    1.00)</f>
        <v/>
      </c>
      <c r="O3458">
        <f>IF('Loan Tape (S&amp;P)'!T3458="Yes",
    1.35,
    1.00)</f>
        <v/>
      </c>
      <c r="P3458">
        <f>IF('Loan Tape (S&amp;P)'!S3458="Yes",
    1.15,
    1.00)</f>
        <v/>
      </c>
      <c r="Q3458">
        <f>IF('Loan Tape (S&amp;P)'!V3458="Yes",
    1.20,
    1.00)</f>
        <v/>
      </c>
      <c r="T3458">
        <f>LET(
    payment_method,'Loan Tape (S&amp;P)'!P3458,
    occupancy,'Loan Tape (S&amp;P)'!N3458,
    maturity_date,'Loan Tape (S&amp;P)'!L3458,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59">
      <c r="J3459">
        <f>LET(
    lien,'Loan Tape (S&amp;P)'!Q3459,
    IF(lien="First",1.00,
        IF(lien="Second",1.50,
            1.70)))</f>
        <v/>
      </c>
      <c r="K3459">
        <f>LET(
    purpose,'Loan Tape (S&amp;P)'!R3459,
    IF(purpose="Purchase",1.00,
        IF(purpose="Remortgage",1.00,
            1.20)))</f>
        <v/>
      </c>
      <c r="L3459">
        <f>LET(
    arrears_months,'Loan Tape (S&amp;P)'!AN3459,
    IF(arrears_months=0,1.00,
    IF(arrears_months=1,3.00,
    IF(arrears_months=2,5.00,
    IF(arrears_months=3,8.00,
    IF(arrears_months=4,10.00,
    IF(arrears_months=5,12.00,15.00)))))))</f>
        <v/>
      </c>
      <c r="M3459">
        <f>LET(
    seasoning_years,DATEDIF('Loan Tape (S&amp;P)'!K3459,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59">
        <f>IF(AND('Loan Tape (S&amp;P)'!U3459="Yes",
        'Loan Tape (S&amp;P)'!T3459&lt;&gt;"Yes",
        DATEDIF('Loan Tape (S&amp;P)'!K3459, TODAY(), "M")&lt;18),
    1.10,
    1.00)</f>
        <v/>
      </c>
      <c r="O3459">
        <f>IF('Loan Tape (S&amp;P)'!T3459="Yes",
    1.35,
    1.00)</f>
        <v/>
      </c>
      <c r="P3459">
        <f>IF('Loan Tape (S&amp;P)'!S3459="Yes",
    1.15,
    1.00)</f>
        <v/>
      </c>
      <c r="Q3459">
        <f>IF('Loan Tape (S&amp;P)'!V3459="Yes",
    1.20,
    1.00)</f>
        <v/>
      </c>
      <c r="T3459">
        <f>LET(
    payment_method,'Loan Tape (S&amp;P)'!P3459,
    occupancy,'Loan Tape (S&amp;P)'!N3459,
    maturity_date,'Loan Tape (S&amp;P)'!L3459,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60">
      <c r="J3460">
        <f>LET(
    lien,'Loan Tape (S&amp;P)'!Q3460,
    IF(lien="First",1.00,
        IF(lien="Second",1.50,
            1.70)))</f>
        <v/>
      </c>
      <c r="K3460">
        <f>LET(
    purpose,'Loan Tape (S&amp;P)'!R3460,
    IF(purpose="Purchase",1.00,
        IF(purpose="Remortgage",1.00,
            1.20)))</f>
        <v/>
      </c>
      <c r="L3460">
        <f>LET(
    arrears_months,'Loan Tape (S&amp;P)'!AN3460,
    IF(arrears_months=0,1.00,
    IF(arrears_months=1,3.00,
    IF(arrears_months=2,5.00,
    IF(arrears_months=3,8.00,
    IF(arrears_months=4,10.00,
    IF(arrears_months=5,12.00,15.00)))))))</f>
        <v/>
      </c>
      <c r="M3460">
        <f>LET(
    seasoning_years,DATEDIF('Loan Tape (S&amp;P)'!K3460,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60">
        <f>IF(AND('Loan Tape (S&amp;P)'!U3460="Yes",
        'Loan Tape (S&amp;P)'!T3460&lt;&gt;"Yes",
        DATEDIF('Loan Tape (S&amp;P)'!K3460, TODAY(), "M")&lt;18),
    1.10,
    1.00)</f>
        <v/>
      </c>
      <c r="O3460">
        <f>IF('Loan Tape (S&amp;P)'!T3460="Yes",
    1.35,
    1.00)</f>
        <v/>
      </c>
      <c r="P3460">
        <f>IF('Loan Tape (S&amp;P)'!S3460="Yes",
    1.15,
    1.00)</f>
        <v/>
      </c>
      <c r="Q3460">
        <f>IF('Loan Tape (S&amp;P)'!V3460="Yes",
    1.20,
    1.00)</f>
        <v/>
      </c>
      <c r="T3460">
        <f>LET(
    payment_method,'Loan Tape (S&amp;P)'!P3460,
    occupancy,'Loan Tape (S&amp;P)'!N3460,
    maturity_date,'Loan Tape (S&amp;P)'!L3460,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61">
      <c r="J3461">
        <f>LET(
    lien,'Loan Tape (S&amp;P)'!Q3461,
    IF(lien="First",1.00,
        IF(lien="Second",1.50,
            1.70)))</f>
        <v/>
      </c>
      <c r="K3461">
        <f>LET(
    purpose,'Loan Tape (S&amp;P)'!R3461,
    IF(purpose="Purchase",1.00,
        IF(purpose="Remortgage",1.00,
            1.20)))</f>
        <v/>
      </c>
      <c r="L3461">
        <f>LET(
    arrears_months,'Loan Tape (S&amp;P)'!AN3461,
    IF(arrears_months=0,1.00,
    IF(arrears_months=1,3.00,
    IF(arrears_months=2,5.00,
    IF(arrears_months=3,8.00,
    IF(arrears_months=4,10.00,
    IF(arrears_months=5,12.00,15.00)))))))</f>
        <v/>
      </c>
      <c r="M3461">
        <f>LET(
    seasoning_years,DATEDIF('Loan Tape (S&amp;P)'!K3461,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61">
        <f>IF(AND('Loan Tape (S&amp;P)'!U3461="Yes",
        'Loan Tape (S&amp;P)'!T3461&lt;&gt;"Yes",
        DATEDIF('Loan Tape (S&amp;P)'!K3461, TODAY(), "M")&lt;18),
    1.10,
    1.00)</f>
        <v/>
      </c>
      <c r="O3461">
        <f>IF('Loan Tape (S&amp;P)'!T3461="Yes",
    1.35,
    1.00)</f>
        <v/>
      </c>
      <c r="P3461">
        <f>IF('Loan Tape (S&amp;P)'!S3461="Yes",
    1.15,
    1.00)</f>
        <v/>
      </c>
      <c r="Q3461">
        <f>IF('Loan Tape (S&amp;P)'!V3461="Yes",
    1.20,
    1.00)</f>
        <v/>
      </c>
      <c r="T3461">
        <f>LET(
    payment_method,'Loan Tape (S&amp;P)'!P3461,
    occupancy,'Loan Tape (S&amp;P)'!N3461,
    maturity_date,'Loan Tape (S&amp;P)'!L3461,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62">
      <c r="J3462">
        <f>LET(
    lien,'Loan Tape (S&amp;P)'!Q3462,
    IF(lien="First",1.00,
        IF(lien="Second",1.50,
            1.70)))</f>
        <v/>
      </c>
      <c r="K3462">
        <f>LET(
    purpose,'Loan Tape (S&amp;P)'!R3462,
    IF(purpose="Purchase",1.00,
        IF(purpose="Remortgage",1.00,
            1.20)))</f>
        <v/>
      </c>
      <c r="L3462">
        <f>LET(
    arrears_months,'Loan Tape (S&amp;P)'!AN3462,
    IF(arrears_months=0,1.00,
    IF(arrears_months=1,3.00,
    IF(arrears_months=2,5.00,
    IF(arrears_months=3,8.00,
    IF(arrears_months=4,10.00,
    IF(arrears_months=5,12.00,15.00)))))))</f>
        <v/>
      </c>
      <c r="M3462">
        <f>LET(
    seasoning_years,DATEDIF('Loan Tape (S&amp;P)'!K3462,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62">
        <f>IF(AND('Loan Tape (S&amp;P)'!U3462="Yes",
        'Loan Tape (S&amp;P)'!T3462&lt;&gt;"Yes",
        DATEDIF('Loan Tape (S&amp;P)'!K3462, TODAY(), "M")&lt;18),
    1.10,
    1.00)</f>
        <v/>
      </c>
      <c r="O3462">
        <f>IF('Loan Tape (S&amp;P)'!T3462="Yes",
    1.35,
    1.00)</f>
        <v/>
      </c>
      <c r="P3462">
        <f>IF('Loan Tape (S&amp;P)'!S3462="Yes",
    1.15,
    1.00)</f>
        <v/>
      </c>
      <c r="Q3462">
        <f>IF('Loan Tape (S&amp;P)'!V3462="Yes",
    1.20,
    1.00)</f>
        <v/>
      </c>
      <c r="T3462">
        <f>LET(
    payment_method,'Loan Tape (S&amp;P)'!P3462,
    occupancy,'Loan Tape (S&amp;P)'!N3462,
    maturity_date,'Loan Tape (S&amp;P)'!L3462,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63">
      <c r="J3463">
        <f>LET(
    lien,'Loan Tape (S&amp;P)'!Q3463,
    IF(lien="First",1.00,
        IF(lien="Second",1.50,
            1.70)))</f>
        <v/>
      </c>
      <c r="K3463">
        <f>LET(
    purpose,'Loan Tape (S&amp;P)'!R3463,
    IF(purpose="Purchase",1.00,
        IF(purpose="Remortgage",1.00,
            1.20)))</f>
        <v/>
      </c>
      <c r="L3463">
        <f>LET(
    arrears_months,'Loan Tape (S&amp;P)'!AN3463,
    IF(arrears_months=0,1.00,
    IF(arrears_months=1,3.00,
    IF(arrears_months=2,5.00,
    IF(arrears_months=3,8.00,
    IF(arrears_months=4,10.00,
    IF(arrears_months=5,12.00,15.00)))))))</f>
        <v/>
      </c>
      <c r="M3463">
        <f>LET(
    seasoning_years,DATEDIF('Loan Tape (S&amp;P)'!K3463,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63">
        <f>IF(AND('Loan Tape (S&amp;P)'!U3463="Yes",
        'Loan Tape (S&amp;P)'!T3463&lt;&gt;"Yes",
        DATEDIF('Loan Tape (S&amp;P)'!K3463, TODAY(), "M")&lt;18),
    1.10,
    1.00)</f>
        <v/>
      </c>
      <c r="O3463">
        <f>IF('Loan Tape (S&amp;P)'!T3463="Yes",
    1.35,
    1.00)</f>
        <v/>
      </c>
      <c r="P3463">
        <f>IF('Loan Tape (S&amp;P)'!S3463="Yes",
    1.15,
    1.00)</f>
        <v/>
      </c>
      <c r="Q3463">
        <f>IF('Loan Tape (S&amp;P)'!V3463="Yes",
    1.20,
    1.00)</f>
        <v/>
      </c>
      <c r="T3463">
        <f>LET(
    payment_method,'Loan Tape (S&amp;P)'!P3463,
    occupancy,'Loan Tape (S&amp;P)'!N3463,
    maturity_date,'Loan Tape (S&amp;P)'!L3463,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64">
      <c r="J3464">
        <f>LET(
    lien,'Loan Tape (S&amp;P)'!Q3464,
    IF(lien="First",1.00,
        IF(lien="Second",1.50,
            1.70)))</f>
        <v/>
      </c>
      <c r="K3464">
        <f>LET(
    purpose,'Loan Tape (S&amp;P)'!R3464,
    IF(purpose="Purchase",1.00,
        IF(purpose="Remortgage",1.00,
            1.20)))</f>
        <v/>
      </c>
      <c r="L3464">
        <f>LET(
    arrears_months,'Loan Tape (S&amp;P)'!AN3464,
    IF(arrears_months=0,1.00,
    IF(arrears_months=1,3.00,
    IF(arrears_months=2,5.00,
    IF(arrears_months=3,8.00,
    IF(arrears_months=4,10.00,
    IF(arrears_months=5,12.00,15.00)))))))</f>
        <v/>
      </c>
      <c r="M3464">
        <f>LET(
    seasoning_years,DATEDIF('Loan Tape (S&amp;P)'!K3464,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64">
        <f>IF(AND('Loan Tape (S&amp;P)'!U3464="Yes",
        'Loan Tape (S&amp;P)'!T3464&lt;&gt;"Yes",
        DATEDIF('Loan Tape (S&amp;P)'!K3464, TODAY(), "M")&lt;18),
    1.10,
    1.00)</f>
        <v/>
      </c>
      <c r="O3464">
        <f>IF('Loan Tape (S&amp;P)'!T3464="Yes",
    1.35,
    1.00)</f>
        <v/>
      </c>
      <c r="P3464">
        <f>IF('Loan Tape (S&amp;P)'!S3464="Yes",
    1.15,
    1.00)</f>
        <v/>
      </c>
      <c r="Q3464">
        <f>IF('Loan Tape (S&amp;P)'!V3464="Yes",
    1.20,
    1.00)</f>
        <v/>
      </c>
      <c r="T3464">
        <f>LET(
    payment_method,'Loan Tape (S&amp;P)'!P3464,
    occupancy,'Loan Tape (S&amp;P)'!N3464,
    maturity_date,'Loan Tape (S&amp;P)'!L3464,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65">
      <c r="J3465">
        <f>LET(
    lien,'Loan Tape (S&amp;P)'!Q3465,
    IF(lien="First",1.00,
        IF(lien="Second",1.50,
            1.70)))</f>
        <v/>
      </c>
      <c r="K3465">
        <f>LET(
    purpose,'Loan Tape (S&amp;P)'!R3465,
    IF(purpose="Purchase",1.00,
        IF(purpose="Remortgage",1.00,
            1.20)))</f>
        <v/>
      </c>
      <c r="L3465">
        <f>LET(
    arrears_months,'Loan Tape (S&amp;P)'!AN3465,
    IF(arrears_months=0,1.00,
    IF(arrears_months=1,3.00,
    IF(arrears_months=2,5.00,
    IF(arrears_months=3,8.00,
    IF(arrears_months=4,10.00,
    IF(arrears_months=5,12.00,15.00)))))))</f>
        <v/>
      </c>
      <c r="M3465">
        <f>LET(
    seasoning_years,DATEDIF('Loan Tape (S&amp;P)'!K3465,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65">
        <f>IF(AND('Loan Tape (S&amp;P)'!U3465="Yes",
        'Loan Tape (S&amp;P)'!T3465&lt;&gt;"Yes",
        DATEDIF('Loan Tape (S&amp;P)'!K3465, TODAY(), "M")&lt;18),
    1.10,
    1.00)</f>
        <v/>
      </c>
      <c r="O3465">
        <f>IF('Loan Tape (S&amp;P)'!T3465="Yes",
    1.35,
    1.00)</f>
        <v/>
      </c>
      <c r="P3465">
        <f>IF('Loan Tape (S&amp;P)'!S3465="Yes",
    1.15,
    1.00)</f>
        <v/>
      </c>
      <c r="Q3465">
        <f>IF('Loan Tape (S&amp;P)'!V3465="Yes",
    1.20,
    1.00)</f>
        <v/>
      </c>
      <c r="T3465">
        <f>LET(
    payment_method,'Loan Tape (S&amp;P)'!P3465,
    occupancy,'Loan Tape (S&amp;P)'!N3465,
    maturity_date,'Loan Tape (S&amp;P)'!L3465,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66">
      <c r="J3466">
        <f>LET(
    lien,'Loan Tape (S&amp;P)'!Q3466,
    IF(lien="First",1.00,
        IF(lien="Second",1.50,
            1.70)))</f>
        <v/>
      </c>
      <c r="K3466">
        <f>LET(
    purpose,'Loan Tape (S&amp;P)'!R3466,
    IF(purpose="Purchase",1.00,
        IF(purpose="Remortgage",1.00,
            1.20)))</f>
        <v/>
      </c>
      <c r="L3466">
        <f>LET(
    arrears_months,'Loan Tape (S&amp;P)'!AN3466,
    IF(arrears_months=0,1.00,
    IF(arrears_months=1,3.00,
    IF(arrears_months=2,5.00,
    IF(arrears_months=3,8.00,
    IF(arrears_months=4,10.00,
    IF(arrears_months=5,12.00,15.00)))))))</f>
        <v/>
      </c>
      <c r="M3466">
        <f>LET(
    seasoning_years,DATEDIF('Loan Tape (S&amp;P)'!K3466,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66">
        <f>IF(AND('Loan Tape (S&amp;P)'!U3466="Yes",
        'Loan Tape (S&amp;P)'!T3466&lt;&gt;"Yes",
        DATEDIF('Loan Tape (S&amp;P)'!K3466, TODAY(), "M")&lt;18),
    1.10,
    1.00)</f>
        <v/>
      </c>
      <c r="O3466">
        <f>IF('Loan Tape (S&amp;P)'!T3466="Yes",
    1.35,
    1.00)</f>
        <v/>
      </c>
      <c r="P3466">
        <f>IF('Loan Tape (S&amp;P)'!S3466="Yes",
    1.15,
    1.00)</f>
        <v/>
      </c>
      <c r="Q3466">
        <f>IF('Loan Tape (S&amp;P)'!V3466="Yes",
    1.20,
    1.00)</f>
        <v/>
      </c>
      <c r="T3466">
        <f>LET(
    payment_method,'Loan Tape (S&amp;P)'!P3466,
    occupancy,'Loan Tape (S&amp;P)'!N3466,
    maturity_date,'Loan Tape (S&amp;P)'!L3466,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67">
      <c r="J3467">
        <f>LET(
    lien,'Loan Tape (S&amp;P)'!Q3467,
    IF(lien="First",1.00,
        IF(lien="Second",1.50,
            1.70)))</f>
        <v/>
      </c>
      <c r="K3467">
        <f>LET(
    purpose,'Loan Tape (S&amp;P)'!R3467,
    IF(purpose="Purchase",1.00,
        IF(purpose="Remortgage",1.00,
            1.20)))</f>
        <v/>
      </c>
      <c r="L3467">
        <f>LET(
    arrears_months,'Loan Tape (S&amp;P)'!AN3467,
    IF(arrears_months=0,1.00,
    IF(arrears_months=1,3.00,
    IF(arrears_months=2,5.00,
    IF(arrears_months=3,8.00,
    IF(arrears_months=4,10.00,
    IF(arrears_months=5,12.00,15.00)))))))</f>
        <v/>
      </c>
      <c r="M3467">
        <f>LET(
    seasoning_years,DATEDIF('Loan Tape (S&amp;P)'!K3467,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67">
        <f>IF(AND('Loan Tape (S&amp;P)'!U3467="Yes",
        'Loan Tape (S&amp;P)'!T3467&lt;&gt;"Yes",
        DATEDIF('Loan Tape (S&amp;P)'!K3467, TODAY(), "M")&lt;18),
    1.10,
    1.00)</f>
        <v/>
      </c>
      <c r="O3467">
        <f>IF('Loan Tape (S&amp;P)'!T3467="Yes",
    1.35,
    1.00)</f>
        <v/>
      </c>
      <c r="P3467">
        <f>IF('Loan Tape (S&amp;P)'!S3467="Yes",
    1.15,
    1.00)</f>
        <v/>
      </c>
      <c r="Q3467">
        <f>IF('Loan Tape (S&amp;P)'!V3467="Yes",
    1.20,
    1.00)</f>
        <v/>
      </c>
      <c r="T3467">
        <f>LET(
    payment_method,'Loan Tape (S&amp;P)'!P3467,
    occupancy,'Loan Tape (S&amp;P)'!N3467,
    maturity_date,'Loan Tape (S&amp;P)'!L3467,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68">
      <c r="J3468">
        <f>LET(
    lien,'Loan Tape (S&amp;P)'!Q3468,
    IF(lien="First",1.00,
        IF(lien="Second",1.50,
            1.70)))</f>
        <v/>
      </c>
      <c r="K3468">
        <f>LET(
    purpose,'Loan Tape (S&amp;P)'!R3468,
    IF(purpose="Purchase",1.00,
        IF(purpose="Remortgage",1.00,
            1.20)))</f>
        <v/>
      </c>
      <c r="L3468">
        <f>LET(
    arrears_months,'Loan Tape (S&amp;P)'!AN3468,
    IF(arrears_months=0,1.00,
    IF(arrears_months=1,3.00,
    IF(arrears_months=2,5.00,
    IF(arrears_months=3,8.00,
    IF(arrears_months=4,10.00,
    IF(arrears_months=5,12.00,15.00)))))))</f>
        <v/>
      </c>
      <c r="M3468">
        <f>LET(
    seasoning_years,DATEDIF('Loan Tape (S&amp;P)'!K3468,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68">
        <f>IF(AND('Loan Tape (S&amp;P)'!U3468="Yes",
        'Loan Tape (S&amp;P)'!T3468&lt;&gt;"Yes",
        DATEDIF('Loan Tape (S&amp;P)'!K3468, TODAY(), "M")&lt;18),
    1.10,
    1.00)</f>
        <v/>
      </c>
      <c r="O3468">
        <f>IF('Loan Tape (S&amp;P)'!T3468="Yes",
    1.35,
    1.00)</f>
        <v/>
      </c>
      <c r="P3468">
        <f>IF('Loan Tape (S&amp;P)'!S3468="Yes",
    1.15,
    1.00)</f>
        <v/>
      </c>
      <c r="Q3468">
        <f>IF('Loan Tape (S&amp;P)'!V3468="Yes",
    1.20,
    1.00)</f>
        <v/>
      </c>
      <c r="T3468">
        <f>LET(
    payment_method,'Loan Tape (S&amp;P)'!P3468,
    occupancy,'Loan Tape (S&amp;P)'!N3468,
    maturity_date,'Loan Tape (S&amp;P)'!L3468,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69">
      <c r="J3469">
        <f>LET(
    lien,'Loan Tape (S&amp;P)'!Q3469,
    IF(lien="First",1.00,
        IF(lien="Second",1.50,
            1.70)))</f>
        <v/>
      </c>
      <c r="K3469">
        <f>LET(
    purpose,'Loan Tape (S&amp;P)'!R3469,
    IF(purpose="Purchase",1.00,
        IF(purpose="Remortgage",1.00,
            1.20)))</f>
        <v/>
      </c>
      <c r="L3469">
        <f>LET(
    arrears_months,'Loan Tape (S&amp;P)'!AN3469,
    IF(arrears_months=0,1.00,
    IF(arrears_months=1,3.00,
    IF(arrears_months=2,5.00,
    IF(arrears_months=3,8.00,
    IF(arrears_months=4,10.00,
    IF(arrears_months=5,12.00,15.00)))))))</f>
        <v/>
      </c>
      <c r="M3469">
        <f>LET(
    seasoning_years,DATEDIF('Loan Tape (S&amp;P)'!K3469,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69">
        <f>IF(AND('Loan Tape (S&amp;P)'!U3469="Yes",
        'Loan Tape (S&amp;P)'!T3469&lt;&gt;"Yes",
        DATEDIF('Loan Tape (S&amp;P)'!K3469, TODAY(), "M")&lt;18),
    1.10,
    1.00)</f>
        <v/>
      </c>
      <c r="O3469">
        <f>IF('Loan Tape (S&amp;P)'!T3469="Yes",
    1.35,
    1.00)</f>
        <v/>
      </c>
      <c r="P3469">
        <f>IF('Loan Tape (S&amp;P)'!S3469="Yes",
    1.15,
    1.00)</f>
        <v/>
      </c>
      <c r="Q3469">
        <f>IF('Loan Tape (S&amp;P)'!V3469="Yes",
    1.20,
    1.00)</f>
        <v/>
      </c>
      <c r="T3469">
        <f>LET(
    payment_method,'Loan Tape (S&amp;P)'!P3469,
    occupancy,'Loan Tape (S&amp;P)'!N3469,
    maturity_date,'Loan Tape (S&amp;P)'!L3469,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70">
      <c r="J3470">
        <f>LET(
    lien,'Loan Tape (S&amp;P)'!Q3470,
    IF(lien="First",1.00,
        IF(lien="Second",1.50,
            1.70)))</f>
        <v/>
      </c>
      <c r="K3470">
        <f>LET(
    purpose,'Loan Tape (S&amp;P)'!R3470,
    IF(purpose="Purchase",1.00,
        IF(purpose="Remortgage",1.00,
            1.20)))</f>
        <v/>
      </c>
      <c r="L3470">
        <f>LET(
    arrears_months,'Loan Tape (S&amp;P)'!AN3470,
    IF(arrears_months=0,1.00,
    IF(arrears_months=1,3.00,
    IF(arrears_months=2,5.00,
    IF(arrears_months=3,8.00,
    IF(arrears_months=4,10.00,
    IF(arrears_months=5,12.00,15.00)))))))</f>
        <v/>
      </c>
      <c r="M3470">
        <f>LET(
    seasoning_years,DATEDIF('Loan Tape (S&amp;P)'!K3470,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70">
        <f>IF(AND('Loan Tape (S&amp;P)'!U3470="Yes",
        'Loan Tape (S&amp;P)'!T3470&lt;&gt;"Yes",
        DATEDIF('Loan Tape (S&amp;P)'!K3470, TODAY(), "M")&lt;18),
    1.10,
    1.00)</f>
        <v/>
      </c>
      <c r="O3470">
        <f>IF('Loan Tape (S&amp;P)'!T3470="Yes",
    1.35,
    1.00)</f>
        <v/>
      </c>
      <c r="P3470">
        <f>IF('Loan Tape (S&amp;P)'!S3470="Yes",
    1.15,
    1.00)</f>
        <v/>
      </c>
      <c r="Q3470">
        <f>IF('Loan Tape (S&amp;P)'!V3470="Yes",
    1.20,
    1.00)</f>
        <v/>
      </c>
      <c r="T3470">
        <f>LET(
    payment_method,'Loan Tape (S&amp;P)'!P3470,
    occupancy,'Loan Tape (S&amp;P)'!N3470,
    maturity_date,'Loan Tape (S&amp;P)'!L3470,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71">
      <c r="J3471">
        <f>LET(
    lien,'Loan Tape (S&amp;P)'!Q3471,
    IF(lien="First",1.00,
        IF(lien="Second",1.50,
            1.70)))</f>
        <v/>
      </c>
      <c r="K3471">
        <f>LET(
    purpose,'Loan Tape (S&amp;P)'!R3471,
    IF(purpose="Purchase",1.00,
        IF(purpose="Remortgage",1.00,
            1.20)))</f>
        <v/>
      </c>
      <c r="L3471">
        <f>LET(
    arrears_months,'Loan Tape (S&amp;P)'!AN3471,
    IF(arrears_months=0,1.00,
    IF(arrears_months=1,3.00,
    IF(arrears_months=2,5.00,
    IF(arrears_months=3,8.00,
    IF(arrears_months=4,10.00,
    IF(arrears_months=5,12.00,15.00)))))))</f>
        <v/>
      </c>
      <c r="M3471">
        <f>LET(
    seasoning_years,DATEDIF('Loan Tape (S&amp;P)'!K3471,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71">
        <f>IF(AND('Loan Tape (S&amp;P)'!U3471="Yes",
        'Loan Tape (S&amp;P)'!T3471&lt;&gt;"Yes",
        DATEDIF('Loan Tape (S&amp;P)'!K3471, TODAY(), "M")&lt;18),
    1.10,
    1.00)</f>
        <v/>
      </c>
      <c r="O3471">
        <f>IF('Loan Tape (S&amp;P)'!T3471="Yes",
    1.35,
    1.00)</f>
        <v/>
      </c>
      <c r="P3471">
        <f>IF('Loan Tape (S&amp;P)'!S3471="Yes",
    1.15,
    1.00)</f>
        <v/>
      </c>
      <c r="Q3471">
        <f>IF('Loan Tape (S&amp;P)'!V3471="Yes",
    1.20,
    1.00)</f>
        <v/>
      </c>
      <c r="T3471">
        <f>LET(
    payment_method,'Loan Tape (S&amp;P)'!P3471,
    occupancy,'Loan Tape (S&amp;P)'!N3471,
    maturity_date,'Loan Tape (S&amp;P)'!L3471,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72">
      <c r="J3472">
        <f>LET(
    lien,'Loan Tape (S&amp;P)'!Q3472,
    IF(lien="First",1.00,
        IF(lien="Second",1.50,
            1.70)))</f>
        <v/>
      </c>
      <c r="K3472">
        <f>LET(
    purpose,'Loan Tape (S&amp;P)'!R3472,
    IF(purpose="Purchase",1.00,
        IF(purpose="Remortgage",1.00,
            1.20)))</f>
        <v/>
      </c>
      <c r="L3472">
        <f>LET(
    arrears_months,'Loan Tape (S&amp;P)'!AN3472,
    IF(arrears_months=0,1.00,
    IF(arrears_months=1,3.00,
    IF(arrears_months=2,5.00,
    IF(arrears_months=3,8.00,
    IF(arrears_months=4,10.00,
    IF(arrears_months=5,12.00,15.00)))))))</f>
        <v/>
      </c>
      <c r="M3472">
        <f>LET(
    seasoning_years,DATEDIF('Loan Tape (S&amp;P)'!K3472,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72">
        <f>IF(AND('Loan Tape (S&amp;P)'!U3472="Yes",
        'Loan Tape (S&amp;P)'!T3472&lt;&gt;"Yes",
        DATEDIF('Loan Tape (S&amp;P)'!K3472, TODAY(), "M")&lt;18),
    1.10,
    1.00)</f>
        <v/>
      </c>
      <c r="O3472">
        <f>IF('Loan Tape (S&amp;P)'!T3472="Yes",
    1.35,
    1.00)</f>
        <v/>
      </c>
      <c r="P3472">
        <f>IF('Loan Tape (S&amp;P)'!S3472="Yes",
    1.15,
    1.00)</f>
        <v/>
      </c>
      <c r="Q3472">
        <f>IF('Loan Tape (S&amp;P)'!V3472="Yes",
    1.20,
    1.00)</f>
        <v/>
      </c>
      <c r="T3472">
        <f>LET(
    payment_method,'Loan Tape (S&amp;P)'!P3472,
    occupancy,'Loan Tape (S&amp;P)'!N3472,
    maturity_date,'Loan Tape (S&amp;P)'!L3472,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73">
      <c r="J3473">
        <f>LET(
    lien,'Loan Tape (S&amp;P)'!Q3473,
    IF(lien="First",1.00,
        IF(lien="Second",1.50,
            1.70)))</f>
        <v/>
      </c>
      <c r="K3473">
        <f>LET(
    purpose,'Loan Tape (S&amp;P)'!R3473,
    IF(purpose="Purchase",1.00,
        IF(purpose="Remortgage",1.00,
            1.20)))</f>
        <v/>
      </c>
      <c r="L3473">
        <f>LET(
    arrears_months,'Loan Tape (S&amp;P)'!AN3473,
    IF(arrears_months=0,1.00,
    IF(arrears_months=1,3.00,
    IF(arrears_months=2,5.00,
    IF(arrears_months=3,8.00,
    IF(arrears_months=4,10.00,
    IF(arrears_months=5,12.00,15.00)))))))</f>
        <v/>
      </c>
      <c r="M3473">
        <f>LET(
    seasoning_years,DATEDIF('Loan Tape (S&amp;P)'!K3473,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73">
        <f>IF(AND('Loan Tape (S&amp;P)'!U3473="Yes",
        'Loan Tape (S&amp;P)'!T3473&lt;&gt;"Yes",
        DATEDIF('Loan Tape (S&amp;P)'!K3473, TODAY(), "M")&lt;18),
    1.10,
    1.00)</f>
        <v/>
      </c>
      <c r="O3473">
        <f>IF('Loan Tape (S&amp;P)'!T3473="Yes",
    1.35,
    1.00)</f>
        <v/>
      </c>
      <c r="P3473">
        <f>IF('Loan Tape (S&amp;P)'!S3473="Yes",
    1.15,
    1.00)</f>
        <v/>
      </c>
      <c r="Q3473">
        <f>IF('Loan Tape (S&amp;P)'!V3473="Yes",
    1.20,
    1.00)</f>
        <v/>
      </c>
      <c r="T3473">
        <f>LET(
    payment_method,'Loan Tape (S&amp;P)'!P3473,
    occupancy,'Loan Tape (S&amp;P)'!N3473,
    maturity_date,'Loan Tape (S&amp;P)'!L3473,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74">
      <c r="J3474">
        <f>LET(
    lien,'Loan Tape (S&amp;P)'!Q3474,
    IF(lien="First",1.00,
        IF(lien="Second",1.50,
            1.70)))</f>
        <v/>
      </c>
      <c r="K3474">
        <f>LET(
    purpose,'Loan Tape (S&amp;P)'!R3474,
    IF(purpose="Purchase",1.00,
        IF(purpose="Remortgage",1.00,
            1.20)))</f>
        <v/>
      </c>
      <c r="L3474">
        <f>LET(
    arrears_months,'Loan Tape (S&amp;P)'!AN3474,
    IF(arrears_months=0,1.00,
    IF(arrears_months=1,3.00,
    IF(arrears_months=2,5.00,
    IF(arrears_months=3,8.00,
    IF(arrears_months=4,10.00,
    IF(arrears_months=5,12.00,15.00)))))))</f>
        <v/>
      </c>
      <c r="M3474">
        <f>LET(
    seasoning_years,DATEDIF('Loan Tape (S&amp;P)'!K3474,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74">
        <f>IF(AND('Loan Tape (S&amp;P)'!U3474="Yes",
        'Loan Tape (S&amp;P)'!T3474&lt;&gt;"Yes",
        DATEDIF('Loan Tape (S&amp;P)'!K3474, TODAY(), "M")&lt;18),
    1.10,
    1.00)</f>
        <v/>
      </c>
      <c r="O3474">
        <f>IF('Loan Tape (S&amp;P)'!T3474="Yes",
    1.35,
    1.00)</f>
        <v/>
      </c>
      <c r="P3474">
        <f>IF('Loan Tape (S&amp;P)'!S3474="Yes",
    1.15,
    1.00)</f>
        <v/>
      </c>
      <c r="Q3474">
        <f>IF('Loan Tape (S&amp;P)'!V3474="Yes",
    1.20,
    1.00)</f>
        <v/>
      </c>
      <c r="T3474">
        <f>LET(
    payment_method,'Loan Tape (S&amp;P)'!P3474,
    occupancy,'Loan Tape (S&amp;P)'!N3474,
    maturity_date,'Loan Tape (S&amp;P)'!L3474,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75">
      <c r="J3475">
        <f>LET(
    lien,'Loan Tape (S&amp;P)'!Q3475,
    IF(lien="First",1.00,
        IF(lien="Second",1.50,
            1.70)))</f>
        <v/>
      </c>
      <c r="K3475">
        <f>LET(
    purpose,'Loan Tape (S&amp;P)'!R3475,
    IF(purpose="Purchase",1.00,
        IF(purpose="Remortgage",1.00,
            1.20)))</f>
        <v/>
      </c>
      <c r="L3475">
        <f>LET(
    arrears_months,'Loan Tape (S&amp;P)'!AN3475,
    IF(arrears_months=0,1.00,
    IF(arrears_months=1,3.00,
    IF(arrears_months=2,5.00,
    IF(arrears_months=3,8.00,
    IF(arrears_months=4,10.00,
    IF(arrears_months=5,12.00,15.00)))))))</f>
        <v/>
      </c>
      <c r="M3475">
        <f>LET(
    seasoning_years,DATEDIF('Loan Tape (S&amp;P)'!K3475,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75">
        <f>IF(AND('Loan Tape (S&amp;P)'!U3475="Yes",
        'Loan Tape (S&amp;P)'!T3475&lt;&gt;"Yes",
        DATEDIF('Loan Tape (S&amp;P)'!K3475, TODAY(), "M")&lt;18),
    1.10,
    1.00)</f>
        <v/>
      </c>
      <c r="O3475">
        <f>IF('Loan Tape (S&amp;P)'!T3475="Yes",
    1.35,
    1.00)</f>
        <v/>
      </c>
      <c r="P3475">
        <f>IF('Loan Tape (S&amp;P)'!S3475="Yes",
    1.15,
    1.00)</f>
        <v/>
      </c>
      <c r="Q3475">
        <f>IF('Loan Tape (S&amp;P)'!V3475="Yes",
    1.20,
    1.00)</f>
        <v/>
      </c>
      <c r="T3475">
        <f>LET(
    payment_method,'Loan Tape (S&amp;P)'!P3475,
    occupancy,'Loan Tape (S&amp;P)'!N3475,
    maturity_date,'Loan Tape (S&amp;P)'!L3475,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76">
      <c r="J3476">
        <f>LET(
    lien,'Loan Tape (S&amp;P)'!Q3476,
    IF(lien="First",1.00,
        IF(lien="Second",1.50,
            1.70)))</f>
        <v/>
      </c>
      <c r="K3476">
        <f>LET(
    purpose,'Loan Tape (S&amp;P)'!R3476,
    IF(purpose="Purchase",1.00,
        IF(purpose="Remortgage",1.00,
            1.20)))</f>
        <v/>
      </c>
      <c r="L3476">
        <f>LET(
    arrears_months,'Loan Tape (S&amp;P)'!AN3476,
    IF(arrears_months=0,1.00,
    IF(arrears_months=1,3.00,
    IF(arrears_months=2,5.00,
    IF(arrears_months=3,8.00,
    IF(arrears_months=4,10.00,
    IF(arrears_months=5,12.00,15.00)))))))</f>
        <v/>
      </c>
      <c r="M3476">
        <f>LET(
    seasoning_years,DATEDIF('Loan Tape (S&amp;P)'!K3476,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76">
        <f>IF(AND('Loan Tape (S&amp;P)'!U3476="Yes",
        'Loan Tape (S&amp;P)'!T3476&lt;&gt;"Yes",
        DATEDIF('Loan Tape (S&amp;P)'!K3476, TODAY(), "M")&lt;18),
    1.10,
    1.00)</f>
        <v/>
      </c>
      <c r="O3476">
        <f>IF('Loan Tape (S&amp;P)'!T3476="Yes",
    1.35,
    1.00)</f>
        <v/>
      </c>
      <c r="P3476">
        <f>IF('Loan Tape (S&amp;P)'!S3476="Yes",
    1.15,
    1.00)</f>
        <v/>
      </c>
      <c r="Q3476">
        <f>IF('Loan Tape (S&amp;P)'!V3476="Yes",
    1.20,
    1.00)</f>
        <v/>
      </c>
      <c r="T3476">
        <f>LET(
    payment_method,'Loan Tape (S&amp;P)'!P3476,
    occupancy,'Loan Tape (S&amp;P)'!N3476,
    maturity_date,'Loan Tape (S&amp;P)'!L3476,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77">
      <c r="J3477">
        <f>LET(
    lien,'Loan Tape (S&amp;P)'!Q3477,
    IF(lien="First",1.00,
        IF(lien="Second",1.50,
            1.70)))</f>
        <v/>
      </c>
      <c r="K3477">
        <f>LET(
    purpose,'Loan Tape (S&amp;P)'!R3477,
    IF(purpose="Purchase",1.00,
        IF(purpose="Remortgage",1.00,
            1.20)))</f>
        <v/>
      </c>
      <c r="L3477">
        <f>LET(
    arrears_months,'Loan Tape (S&amp;P)'!AN3477,
    IF(arrears_months=0,1.00,
    IF(arrears_months=1,3.00,
    IF(arrears_months=2,5.00,
    IF(arrears_months=3,8.00,
    IF(arrears_months=4,10.00,
    IF(arrears_months=5,12.00,15.00)))))))</f>
        <v/>
      </c>
      <c r="M3477">
        <f>LET(
    seasoning_years,DATEDIF('Loan Tape (S&amp;P)'!K3477,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77">
        <f>IF(AND('Loan Tape (S&amp;P)'!U3477="Yes",
        'Loan Tape (S&amp;P)'!T3477&lt;&gt;"Yes",
        DATEDIF('Loan Tape (S&amp;P)'!K3477, TODAY(), "M")&lt;18),
    1.10,
    1.00)</f>
        <v/>
      </c>
      <c r="O3477">
        <f>IF('Loan Tape (S&amp;P)'!T3477="Yes",
    1.35,
    1.00)</f>
        <v/>
      </c>
      <c r="P3477">
        <f>IF('Loan Tape (S&amp;P)'!S3477="Yes",
    1.15,
    1.00)</f>
        <v/>
      </c>
      <c r="Q3477">
        <f>IF('Loan Tape (S&amp;P)'!V3477="Yes",
    1.20,
    1.00)</f>
        <v/>
      </c>
      <c r="T3477">
        <f>LET(
    payment_method,'Loan Tape (S&amp;P)'!P3477,
    occupancy,'Loan Tape (S&amp;P)'!N3477,
    maturity_date,'Loan Tape (S&amp;P)'!L3477,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78">
      <c r="J3478">
        <f>LET(
    lien,'Loan Tape (S&amp;P)'!Q3478,
    IF(lien="First",1.00,
        IF(lien="Second",1.50,
            1.70)))</f>
        <v/>
      </c>
      <c r="K3478">
        <f>LET(
    purpose,'Loan Tape (S&amp;P)'!R3478,
    IF(purpose="Purchase",1.00,
        IF(purpose="Remortgage",1.00,
            1.20)))</f>
        <v/>
      </c>
      <c r="L3478">
        <f>LET(
    arrears_months,'Loan Tape (S&amp;P)'!AN3478,
    IF(arrears_months=0,1.00,
    IF(arrears_months=1,3.00,
    IF(arrears_months=2,5.00,
    IF(arrears_months=3,8.00,
    IF(arrears_months=4,10.00,
    IF(arrears_months=5,12.00,15.00)))))))</f>
        <v/>
      </c>
      <c r="M3478">
        <f>LET(
    seasoning_years,DATEDIF('Loan Tape (S&amp;P)'!K3478,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78">
        <f>IF(AND('Loan Tape (S&amp;P)'!U3478="Yes",
        'Loan Tape (S&amp;P)'!T3478&lt;&gt;"Yes",
        DATEDIF('Loan Tape (S&amp;P)'!K3478, TODAY(), "M")&lt;18),
    1.10,
    1.00)</f>
        <v/>
      </c>
      <c r="O3478">
        <f>IF('Loan Tape (S&amp;P)'!T3478="Yes",
    1.35,
    1.00)</f>
        <v/>
      </c>
      <c r="P3478">
        <f>IF('Loan Tape (S&amp;P)'!S3478="Yes",
    1.15,
    1.00)</f>
        <v/>
      </c>
      <c r="Q3478">
        <f>IF('Loan Tape (S&amp;P)'!V3478="Yes",
    1.20,
    1.00)</f>
        <v/>
      </c>
      <c r="T3478">
        <f>LET(
    payment_method,'Loan Tape (S&amp;P)'!P3478,
    occupancy,'Loan Tape (S&amp;P)'!N3478,
    maturity_date,'Loan Tape (S&amp;P)'!L3478,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79">
      <c r="J3479">
        <f>LET(
    lien,'Loan Tape (S&amp;P)'!Q3479,
    IF(lien="First",1.00,
        IF(lien="Second",1.50,
            1.70)))</f>
        <v/>
      </c>
      <c r="K3479">
        <f>LET(
    purpose,'Loan Tape (S&amp;P)'!R3479,
    IF(purpose="Purchase",1.00,
        IF(purpose="Remortgage",1.00,
            1.20)))</f>
        <v/>
      </c>
      <c r="L3479">
        <f>LET(
    arrears_months,'Loan Tape (S&amp;P)'!AN3479,
    IF(arrears_months=0,1.00,
    IF(arrears_months=1,3.00,
    IF(arrears_months=2,5.00,
    IF(arrears_months=3,8.00,
    IF(arrears_months=4,10.00,
    IF(arrears_months=5,12.00,15.00)))))))</f>
        <v/>
      </c>
      <c r="M3479">
        <f>LET(
    seasoning_years,DATEDIF('Loan Tape (S&amp;P)'!K3479,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79">
        <f>IF(AND('Loan Tape (S&amp;P)'!U3479="Yes",
        'Loan Tape (S&amp;P)'!T3479&lt;&gt;"Yes",
        DATEDIF('Loan Tape (S&amp;P)'!K3479, TODAY(), "M")&lt;18),
    1.10,
    1.00)</f>
        <v/>
      </c>
      <c r="O3479">
        <f>IF('Loan Tape (S&amp;P)'!T3479="Yes",
    1.35,
    1.00)</f>
        <v/>
      </c>
      <c r="P3479">
        <f>IF('Loan Tape (S&amp;P)'!S3479="Yes",
    1.15,
    1.00)</f>
        <v/>
      </c>
      <c r="Q3479">
        <f>IF('Loan Tape (S&amp;P)'!V3479="Yes",
    1.20,
    1.00)</f>
        <v/>
      </c>
      <c r="T3479">
        <f>LET(
    payment_method,'Loan Tape (S&amp;P)'!P3479,
    occupancy,'Loan Tape (S&amp;P)'!N3479,
    maturity_date,'Loan Tape (S&amp;P)'!L3479,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80">
      <c r="J3480">
        <f>LET(
    lien,'Loan Tape (S&amp;P)'!Q3480,
    IF(lien="First",1.00,
        IF(lien="Second",1.50,
            1.70)))</f>
        <v/>
      </c>
      <c r="K3480">
        <f>LET(
    purpose,'Loan Tape (S&amp;P)'!R3480,
    IF(purpose="Purchase",1.00,
        IF(purpose="Remortgage",1.00,
            1.20)))</f>
        <v/>
      </c>
      <c r="L3480">
        <f>LET(
    arrears_months,'Loan Tape (S&amp;P)'!AN3480,
    IF(arrears_months=0,1.00,
    IF(arrears_months=1,3.00,
    IF(arrears_months=2,5.00,
    IF(arrears_months=3,8.00,
    IF(arrears_months=4,10.00,
    IF(arrears_months=5,12.00,15.00)))))))</f>
        <v/>
      </c>
      <c r="M3480">
        <f>LET(
    seasoning_years,DATEDIF('Loan Tape (S&amp;P)'!K3480,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80">
        <f>IF(AND('Loan Tape (S&amp;P)'!U3480="Yes",
        'Loan Tape (S&amp;P)'!T3480&lt;&gt;"Yes",
        DATEDIF('Loan Tape (S&amp;P)'!K3480, TODAY(), "M")&lt;18),
    1.10,
    1.00)</f>
        <v/>
      </c>
      <c r="O3480">
        <f>IF('Loan Tape (S&amp;P)'!T3480="Yes",
    1.35,
    1.00)</f>
        <v/>
      </c>
      <c r="P3480">
        <f>IF('Loan Tape (S&amp;P)'!S3480="Yes",
    1.15,
    1.00)</f>
        <v/>
      </c>
      <c r="Q3480">
        <f>IF('Loan Tape (S&amp;P)'!V3480="Yes",
    1.20,
    1.00)</f>
        <v/>
      </c>
      <c r="T3480">
        <f>LET(
    payment_method,'Loan Tape (S&amp;P)'!P3480,
    occupancy,'Loan Tape (S&amp;P)'!N3480,
    maturity_date,'Loan Tape (S&amp;P)'!L3480,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81">
      <c r="J3481">
        <f>LET(
    lien,'Loan Tape (S&amp;P)'!Q3481,
    IF(lien="First",1.00,
        IF(lien="Second",1.50,
            1.70)))</f>
        <v/>
      </c>
      <c r="K3481">
        <f>LET(
    purpose,'Loan Tape (S&amp;P)'!R3481,
    IF(purpose="Purchase",1.00,
        IF(purpose="Remortgage",1.00,
            1.20)))</f>
        <v/>
      </c>
      <c r="L3481">
        <f>LET(
    arrears_months,'Loan Tape (S&amp;P)'!AN3481,
    IF(arrears_months=0,1.00,
    IF(arrears_months=1,3.00,
    IF(arrears_months=2,5.00,
    IF(arrears_months=3,8.00,
    IF(arrears_months=4,10.00,
    IF(arrears_months=5,12.00,15.00)))))))</f>
        <v/>
      </c>
      <c r="M3481">
        <f>LET(
    seasoning_years,DATEDIF('Loan Tape (S&amp;P)'!K3481,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81">
        <f>IF(AND('Loan Tape (S&amp;P)'!U3481="Yes",
        'Loan Tape (S&amp;P)'!T3481&lt;&gt;"Yes",
        DATEDIF('Loan Tape (S&amp;P)'!K3481, TODAY(), "M")&lt;18),
    1.10,
    1.00)</f>
        <v/>
      </c>
      <c r="O3481">
        <f>IF('Loan Tape (S&amp;P)'!T3481="Yes",
    1.35,
    1.00)</f>
        <v/>
      </c>
      <c r="P3481">
        <f>IF('Loan Tape (S&amp;P)'!S3481="Yes",
    1.15,
    1.00)</f>
        <v/>
      </c>
      <c r="Q3481">
        <f>IF('Loan Tape (S&amp;P)'!V3481="Yes",
    1.20,
    1.00)</f>
        <v/>
      </c>
      <c r="T3481">
        <f>LET(
    payment_method,'Loan Tape (S&amp;P)'!P3481,
    occupancy,'Loan Tape (S&amp;P)'!N3481,
    maturity_date,'Loan Tape (S&amp;P)'!L3481,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82">
      <c r="J3482">
        <f>LET(
    lien,'Loan Tape (S&amp;P)'!Q3482,
    IF(lien="First",1.00,
        IF(lien="Second",1.50,
            1.70)))</f>
        <v/>
      </c>
      <c r="K3482">
        <f>LET(
    purpose,'Loan Tape (S&amp;P)'!R3482,
    IF(purpose="Purchase",1.00,
        IF(purpose="Remortgage",1.00,
            1.20)))</f>
        <v/>
      </c>
      <c r="L3482">
        <f>LET(
    arrears_months,'Loan Tape (S&amp;P)'!AN3482,
    IF(arrears_months=0,1.00,
    IF(arrears_months=1,3.00,
    IF(arrears_months=2,5.00,
    IF(arrears_months=3,8.00,
    IF(arrears_months=4,10.00,
    IF(arrears_months=5,12.00,15.00)))))))</f>
        <v/>
      </c>
      <c r="M3482">
        <f>LET(
    seasoning_years,DATEDIF('Loan Tape (S&amp;P)'!K3482,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82">
        <f>IF(AND('Loan Tape (S&amp;P)'!U3482="Yes",
        'Loan Tape (S&amp;P)'!T3482&lt;&gt;"Yes",
        DATEDIF('Loan Tape (S&amp;P)'!K3482, TODAY(), "M")&lt;18),
    1.10,
    1.00)</f>
        <v/>
      </c>
      <c r="O3482">
        <f>IF('Loan Tape (S&amp;P)'!T3482="Yes",
    1.35,
    1.00)</f>
        <v/>
      </c>
      <c r="P3482">
        <f>IF('Loan Tape (S&amp;P)'!S3482="Yes",
    1.15,
    1.00)</f>
        <v/>
      </c>
      <c r="Q3482">
        <f>IF('Loan Tape (S&amp;P)'!V3482="Yes",
    1.20,
    1.00)</f>
        <v/>
      </c>
      <c r="T3482">
        <f>LET(
    payment_method,'Loan Tape (S&amp;P)'!P3482,
    occupancy,'Loan Tape (S&amp;P)'!N3482,
    maturity_date,'Loan Tape (S&amp;P)'!L3482,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83">
      <c r="J3483">
        <f>LET(
    lien,'Loan Tape (S&amp;P)'!Q3483,
    IF(lien="First",1.00,
        IF(lien="Second",1.50,
            1.70)))</f>
        <v/>
      </c>
      <c r="K3483">
        <f>LET(
    purpose,'Loan Tape (S&amp;P)'!R3483,
    IF(purpose="Purchase",1.00,
        IF(purpose="Remortgage",1.00,
            1.20)))</f>
        <v/>
      </c>
      <c r="L3483">
        <f>LET(
    arrears_months,'Loan Tape (S&amp;P)'!AN3483,
    IF(arrears_months=0,1.00,
    IF(arrears_months=1,3.00,
    IF(arrears_months=2,5.00,
    IF(arrears_months=3,8.00,
    IF(arrears_months=4,10.00,
    IF(arrears_months=5,12.00,15.00)))))))</f>
        <v/>
      </c>
      <c r="M3483">
        <f>LET(
    seasoning_years,DATEDIF('Loan Tape (S&amp;P)'!K3483,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83">
        <f>IF(AND('Loan Tape (S&amp;P)'!U3483="Yes",
        'Loan Tape (S&amp;P)'!T3483&lt;&gt;"Yes",
        DATEDIF('Loan Tape (S&amp;P)'!K3483, TODAY(), "M")&lt;18),
    1.10,
    1.00)</f>
        <v/>
      </c>
      <c r="O3483">
        <f>IF('Loan Tape (S&amp;P)'!T3483="Yes",
    1.35,
    1.00)</f>
        <v/>
      </c>
      <c r="P3483">
        <f>IF('Loan Tape (S&amp;P)'!S3483="Yes",
    1.15,
    1.00)</f>
        <v/>
      </c>
      <c r="Q3483">
        <f>IF('Loan Tape (S&amp;P)'!V3483="Yes",
    1.20,
    1.00)</f>
        <v/>
      </c>
      <c r="T3483">
        <f>LET(
    payment_method,'Loan Tape (S&amp;P)'!P3483,
    occupancy,'Loan Tape (S&amp;P)'!N3483,
    maturity_date,'Loan Tape (S&amp;P)'!L3483,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84">
      <c r="J3484">
        <f>LET(
    lien,'Loan Tape (S&amp;P)'!Q3484,
    IF(lien="First",1.00,
        IF(lien="Second",1.50,
            1.70)))</f>
        <v/>
      </c>
      <c r="K3484">
        <f>LET(
    purpose,'Loan Tape (S&amp;P)'!R3484,
    IF(purpose="Purchase",1.00,
        IF(purpose="Remortgage",1.00,
            1.20)))</f>
        <v/>
      </c>
      <c r="L3484">
        <f>LET(
    arrears_months,'Loan Tape (S&amp;P)'!AN3484,
    IF(arrears_months=0,1.00,
    IF(arrears_months=1,3.00,
    IF(arrears_months=2,5.00,
    IF(arrears_months=3,8.00,
    IF(arrears_months=4,10.00,
    IF(arrears_months=5,12.00,15.00)))))))</f>
        <v/>
      </c>
      <c r="M3484">
        <f>LET(
    seasoning_years,DATEDIF('Loan Tape (S&amp;P)'!K3484,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84">
        <f>IF(AND('Loan Tape (S&amp;P)'!U3484="Yes",
        'Loan Tape (S&amp;P)'!T3484&lt;&gt;"Yes",
        DATEDIF('Loan Tape (S&amp;P)'!K3484, TODAY(), "M")&lt;18),
    1.10,
    1.00)</f>
        <v/>
      </c>
      <c r="O3484">
        <f>IF('Loan Tape (S&amp;P)'!T3484="Yes",
    1.35,
    1.00)</f>
        <v/>
      </c>
      <c r="P3484">
        <f>IF('Loan Tape (S&amp;P)'!S3484="Yes",
    1.15,
    1.00)</f>
        <v/>
      </c>
      <c r="Q3484">
        <f>IF('Loan Tape (S&amp;P)'!V3484="Yes",
    1.20,
    1.00)</f>
        <v/>
      </c>
      <c r="T3484">
        <f>LET(
    payment_method,'Loan Tape (S&amp;P)'!P3484,
    occupancy,'Loan Tape (S&amp;P)'!N3484,
    maturity_date,'Loan Tape (S&amp;P)'!L3484,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85">
      <c r="J3485">
        <f>LET(
    lien,'Loan Tape (S&amp;P)'!Q3485,
    IF(lien="First",1.00,
        IF(lien="Second",1.50,
            1.70)))</f>
        <v/>
      </c>
      <c r="K3485">
        <f>LET(
    purpose,'Loan Tape (S&amp;P)'!R3485,
    IF(purpose="Purchase",1.00,
        IF(purpose="Remortgage",1.00,
            1.20)))</f>
        <v/>
      </c>
      <c r="L3485">
        <f>LET(
    arrears_months,'Loan Tape (S&amp;P)'!AN3485,
    IF(arrears_months=0,1.00,
    IF(arrears_months=1,3.00,
    IF(arrears_months=2,5.00,
    IF(arrears_months=3,8.00,
    IF(arrears_months=4,10.00,
    IF(arrears_months=5,12.00,15.00)))))))</f>
        <v/>
      </c>
      <c r="M3485">
        <f>LET(
    seasoning_years,DATEDIF('Loan Tape (S&amp;P)'!K3485,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85">
        <f>IF(AND('Loan Tape (S&amp;P)'!U3485="Yes",
        'Loan Tape (S&amp;P)'!T3485&lt;&gt;"Yes",
        DATEDIF('Loan Tape (S&amp;P)'!K3485, TODAY(), "M")&lt;18),
    1.10,
    1.00)</f>
        <v/>
      </c>
      <c r="O3485">
        <f>IF('Loan Tape (S&amp;P)'!T3485="Yes",
    1.35,
    1.00)</f>
        <v/>
      </c>
      <c r="P3485">
        <f>IF('Loan Tape (S&amp;P)'!S3485="Yes",
    1.15,
    1.00)</f>
        <v/>
      </c>
      <c r="Q3485">
        <f>IF('Loan Tape (S&amp;P)'!V3485="Yes",
    1.20,
    1.00)</f>
        <v/>
      </c>
      <c r="T3485">
        <f>LET(
    payment_method,'Loan Tape (S&amp;P)'!P3485,
    occupancy,'Loan Tape (S&amp;P)'!N3485,
    maturity_date,'Loan Tape (S&amp;P)'!L3485,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86">
      <c r="J3486">
        <f>LET(
    lien,'Loan Tape (S&amp;P)'!Q3486,
    IF(lien="First",1.00,
        IF(lien="Second",1.50,
            1.70)))</f>
        <v/>
      </c>
      <c r="K3486">
        <f>LET(
    purpose,'Loan Tape (S&amp;P)'!R3486,
    IF(purpose="Purchase",1.00,
        IF(purpose="Remortgage",1.00,
            1.20)))</f>
        <v/>
      </c>
      <c r="L3486">
        <f>LET(
    arrears_months,'Loan Tape (S&amp;P)'!AN3486,
    IF(arrears_months=0,1.00,
    IF(arrears_months=1,3.00,
    IF(arrears_months=2,5.00,
    IF(arrears_months=3,8.00,
    IF(arrears_months=4,10.00,
    IF(arrears_months=5,12.00,15.00)))))))</f>
        <v/>
      </c>
      <c r="M3486">
        <f>LET(
    seasoning_years,DATEDIF('Loan Tape (S&amp;P)'!K3486,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86">
        <f>IF(AND('Loan Tape (S&amp;P)'!U3486="Yes",
        'Loan Tape (S&amp;P)'!T3486&lt;&gt;"Yes",
        DATEDIF('Loan Tape (S&amp;P)'!K3486, TODAY(), "M")&lt;18),
    1.10,
    1.00)</f>
        <v/>
      </c>
      <c r="O3486">
        <f>IF('Loan Tape (S&amp;P)'!T3486="Yes",
    1.35,
    1.00)</f>
        <v/>
      </c>
      <c r="P3486">
        <f>IF('Loan Tape (S&amp;P)'!S3486="Yes",
    1.15,
    1.00)</f>
        <v/>
      </c>
      <c r="Q3486">
        <f>IF('Loan Tape (S&amp;P)'!V3486="Yes",
    1.20,
    1.00)</f>
        <v/>
      </c>
      <c r="T3486">
        <f>LET(
    payment_method,'Loan Tape (S&amp;P)'!P3486,
    occupancy,'Loan Tape (S&amp;P)'!N3486,
    maturity_date,'Loan Tape (S&amp;P)'!L3486,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87">
      <c r="J3487">
        <f>LET(
    lien,'Loan Tape (S&amp;P)'!Q3487,
    IF(lien="First",1.00,
        IF(lien="Second",1.50,
            1.70)))</f>
        <v/>
      </c>
      <c r="K3487">
        <f>LET(
    purpose,'Loan Tape (S&amp;P)'!R3487,
    IF(purpose="Purchase",1.00,
        IF(purpose="Remortgage",1.00,
            1.20)))</f>
        <v/>
      </c>
      <c r="L3487">
        <f>LET(
    arrears_months,'Loan Tape (S&amp;P)'!AN3487,
    IF(arrears_months=0,1.00,
    IF(arrears_months=1,3.00,
    IF(arrears_months=2,5.00,
    IF(arrears_months=3,8.00,
    IF(arrears_months=4,10.00,
    IF(arrears_months=5,12.00,15.00)))))))</f>
        <v/>
      </c>
      <c r="M3487">
        <f>LET(
    seasoning_years,DATEDIF('Loan Tape (S&amp;P)'!K3487,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87">
        <f>IF(AND('Loan Tape (S&amp;P)'!U3487="Yes",
        'Loan Tape (S&amp;P)'!T3487&lt;&gt;"Yes",
        DATEDIF('Loan Tape (S&amp;P)'!K3487, TODAY(), "M")&lt;18),
    1.10,
    1.00)</f>
        <v/>
      </c>
      <c r="O3487">
        <f>IF('Loan Tape (S&amp;P)'!T3487="Yes",
    1.35,
    1.00)</f>
        <v/>
      </c>
      <c r="P3487">
        <f>IF('Loan Tape (S&amp;P)'!S3487="Yes",
    1.15,
    1.00)</f>
        <v/>
      </c>
      <c r="Q3487">
        <f>IF('Loan Tape (S&amp;P)'!V3487="Yes",
    1.20,
    1.00)</f>
        <v/>
      </c>
      <c r="T3487">
        <f>LET(
    payment_method,'Loan Tape (S&amp;P)'!P3487,
    occupancy,'Loan Tape (S&amp;P)'!N3487,
    maturity_date,'Loan Tape (S&amp;P)'!L3487,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88">
      <c r="J3488">
        <f>LET(
    lien,'Loan Tape (S&amp;P)'!Q3488,
    IF(lien="First",1.00,
        IF(lien="Second",1.50,
            1.70)))</f>
        <v/>
      </c>
      <c r="K3488">
        <f>LET(
    purpose,'Loan Tape (S&amp;P)'!R3488,
    IF(purpose="Purchase",1.00,
        IF(purpose="Remortgage",1.00,
            1.20)))</f>
        <v/>
      </c>
      <c r="L3488">
        <f>LET(
    arrears_months,'Loan Tape (S&amp;P)'!AN3488,
    IF(arrears_months=0,1.00,
    IF(arrears_months=1,3.00,
    IF(arrears_months=2,5.00,
    IF(arrears_months=3,8.00,
    IF(arrears_months=4,10.00,
    IF(arrears_months=5,12.00,15.00)))))))</f>
        <v/>
      </c>
      <c r="M3488">
        <f>LET(
    seasoning_years,DATEDIF('Loan Tape (S&amp;P)'!K3488,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88">
        <f>IF(AND('Loan Tape (S&amp;P)'!U3488="Yes",
        'Loan Tape (S&amp;P)'!T3488&lt;&gt;"Yes",
        DATEDIF('Loan Tape (S&amp;P)'!K3488, TODAY(), "M")&lt;18),
    1.10,
    1.00)</f>
        <v/>
      </c>
      <c r="O3488">
        <f>IF('Loan Tape (S&amp;P)'!T3488="Yes",
    1.35,
    1.00)</f>
        <v/>
      </c>
      <c r="P3488">
        <f>IF('Loan Tape (S&amp;P)'!S3488="Yes",
    1.15,
    1.00)</f>
        <v/>
      </c>
      <c r="Q3488">
        <f>IF('Loan Tape (S&amp;P)'!V3488="Yes",
    1.20,
    1.00)</f>
        <v/>
      </c>
      <c r="T3488">
        <f>LET(
    payment_method,'Loan Tape (S&amp;P)'!P3488,
    occupancy,'Loan Tape (S&amp;P)'!N3488,
    maturity_date,'Loan Tape (S&amp;P)'!L3488,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89">
      <c r="J3489">
        <f>LET(
    lien,'Loan Tape (S&amp;P)'!Q3489,
    IF(lien="First",1.00,
        IF(lien="Second",1.50,
            1.70)))</f>
        <v/>
      </c>
      <c r="K3489">
        <f>LET(
    purpose,'Loan Tape (S&amp;P)'!R3489,
    IF(purpose="Purchase",1.00,
        IF(purpose="Remortgage",1.00,
            1.20)))</f>
        <v/>
      </c>
      <c r="L3489">
        <f>LET(
    arrears_months,'Loan Tape (S&amp;P)'!AN3489,
    IF(arrears_months=0,1.00,
    IF(arrears_months=1,3.00,
    IF(arrears_months=2,5.00,
    IF(arrears_months=3,8.00,
    IF(arrears_months=4,10.00,
    IF(arrears_months=5,12.00,15.00)))))))</f>
        <v/>
      </c>
      <c r="M3489">
        <f>LET(
    seasoning_years,DATEDIF('Loan Tape (S&amp;P)'!K3489,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89">
        <f>IF(AND('Loan Tape (S&amp;P)'!U3489="Yes",
        'Loan Tape (S&amp;P)'!T3489&lt;&gt;"Yes",
        DATEDIF('Loan Tape (S&amp;P)'!K3489, TODAY(), "M")&lt;18),
    1.10,
    1.00)</f>
        <v/>
      </c>
      <c r="O3489">
        <f>IF('Loan Tape (S&amp;P)'!T3489="Yes",
    1.35,
    1.00)</f>
        <v/>
      </c>
      <c r="P3489">
        <f>IF('Loan Tape (S&amp;P)'!S3489="Yes",
    1.15,
    1.00)</f>
        <v/>
      </c>
      <c r="Q3489">
        <f>IF('Loan Tape (S&amp;P)'!V3489="Yes",
    1.20,
    1.00)</f>
        <v/>
      </c>
      <c r="T3489">
        <f>LET(
    payment_method,'Loan Tape (S&amp;P)'!P3489,
    occupancy,'Loan Tape (S&amp;P)'!N3489,
    maturity_date,'Loan Tape (S&amp;P)'!L3489,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90">
      <c r="J3490">
        <f>LET(
    lien,'Loan Tape (S&amp;P)'!Q3490,
    IF(lien="First",1.00,
        IF(lien="Second",1.50,
            1.70)))</f>
        <v/>
      </c>
      <c r="K3490">
        <f>LET(
    purpose,'Loan Tape (S&amp;P)'!R3490,
    IF(purpose="Purchase",1.00,
        IF(purpose="Remortgage",1.00,
            1.20)))</f>
        <v/>
      </c>
      <c r="L3490">
        <f>LET(
    arrears_months,'Loan Tape (S&amp;P)'!AN3490,
    IF(arrears_months=0,1.00,
    IF(arrears_months=1,3.00,
    IF(arrears_months=2,5.00,
    IF(arrears_months=3,8.00,
    IF(arrears_months=4,10.00,
    IF(arrears_months=5,12.00,15.00)))))))</f>
        <v/>
      </c>
      <c r="M3490">
        <f>LET(
    seasoning_years,DATEDIF('Loan Tape (S&amp;P)'!K3490,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90">
        <f>IF(AND('Loan Tape (S&amp;P)'!U3490="Yes",
        'Loan Tape (S&amp;P)'!T3490&lt;&gt;"Yes",
        DATEDIF('Loan Tape (S&amp;P)'!K3490, TODAY(), "M")&lt;18),
    1.10,
    1.00)</f>
        <v/>
      </c>
      <c r="O3490">
        <f>IF('Loan Tape (S&amp;P)'!T3490="Yes",
    1.35,
    1.00)</f>
        <v/>
      </c>
      <c r="P3490">
        <f>IF('Loan Tape (S&amp;P)'!S3490="Yes",
    1.15,
    1.00)</f>
        <v/>
      </c>
      <c r="Q3490">
        <f>IF('Loan Tape (S&amp;P)'!V3490="Yes",
    1.20,
    1.00)</f>
        <v/>
      </c>
      <c r="T3490">
        <f>LET(
    payment_method,'Loan Tape (S&amp;P)'!P3490,
    occupancy,'Loan Tape (S&amp;P)'!N3490,
    maturity_date,'Loan Tape (S&amp;P)'!L3490,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91">
      <c r="J3491">
        <f>LET(
    lien,'Loan Tape (S&amp;P)'!Q3491,
    IF(lien="First",1.00,
        IF(lien="Second",1.50,
            1.70)))</f>
        <v/>
      </c>
      <c r="K3491">
        <f>LET(
    purpose,'Loan Tape (S&amp;P)'!R3491,
    IF(purpose="Purchase",1.00,
        IF(purpose="Remortgage",1.00,
            1.20)))</f>
        <v/>
      </c>
      <c r="L3491">
        <f>LET(
    arrears_months,'Loan Tape (S&amp;P)'!AN3491,
    IF(arrears_months=0,1.00,
    IF(arrears_months=1,3.00,
    IF(arrears_months=2,5.00,
    IF(arrears_months=3,8.00,
    IF(arrears_months=4,10.00,
    IF(arrears_months=5,12.00,15.00)))))))</f>
        <v/>
      </c>
      <c r="M3491">
        <f>LET(
    seasoning_years,DATEDIF('Loan Tape (S&amp;P)'!K3491,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91">
        <f>IF(AND('Loan Tape (S&amp;P)'!U3491="Yes",
        'Loan Tape (S&amp;P)'!T3491&lt;&gt;"Yes",
        DATEDIF('Loan Tape (S&amp;P)'!K3491, TODAY(), "M")&lt;18),
    1.10,
    1.00)</f>
        <v/>
      </c>
      <c r="O3491">
        <f>IF('Loan Tape (S&amp;P)'!T3491="Yes",
    1.35,
    1.00)</f>
        <v/>
      </c>
      <c r="P3491">
        <f>IF('Loan Tape (S&amp;P)'!S3491="Yes",
    1.15,
    1.00)</f>
        <v/>
      </c>
      <c r="Q3491">
        <f>IF('Loan Tape (S&amp;P)'!V3491="Yes",
    1.20,
    1.00)</f>
        <v/>
      </c>
      <c r="T3491">
        <f>LET(
    payment_method,'Loan Tape (S&amp;P)'!P3491,
    occupancy,'Loan Tape (S&amp;P)'!N3491,
    maturity_date,'Loan Tape (S&amp;P)'!L3491,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92">
      <c r="J3492">
        <f>LET(
    lien,'Loan Tape (S&amp;P)'!Q3492,
    IF(lien="First",1.00,
        IF(lien="Second",1.50,
            1.70)))</f>
        <v/>
      </c>
      <c r="K3492">
        <f>LET(
    purpose,'Loan Tape (S&amp;P)'!R3492,
    IF(purpose="Purchase",1.00,
        IF(purpose="Remortgage",1.00,
            1.20)))</f>
        <v/>
      </c>
      <c r="L3492">
        <f>LET(
    arrears_months,'Loan Tape (S&amp;P)'!AN3492,
    IF(arrears_months=0,1.00,
    IF(arrears_months=1,3.00,
    IF(arrears_months=2,5.00,
    IF(arrears_months=3,8.00,
    IF(arrears_months=4,10.00,
    IF(arrears_months=5,12.00,15.00)))))))</f>
        <v/>
      </c>
      <c r="M3492">
        <f>LET(
    seasoning_years,DATEDIF('Loan Tape (S&amp;P)'!K3492,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92">
        <f>IF(AND('Loan Tape (S&amp;P)'!U3492="Yes",
        'Loan Tape (S&amp;P)'!T3492&lt;&gt;"Yes",
        DATEDIF('Loan Tape (S&amp;P)'!K3492, TODAY(), "M")&lt;18),
    1.10,
    1.00)</f>
        <v/>
      </c>
      <c r="O3492">
        <f>IF('Loan Tape (S&amp;P)'!T3492="Yes",
    1.35,
    1.00)</f>
        <v/>
      </c>
      <c r="P3492">
        <f>IF('Loan Tape (S&amp;P)'!S3492="Yes",
    1.15,
    1.00)</f>
        <v/>
      </c>
      <c r="Q3492">
        <f>IF('Loan Tape (S&amp;P)'!V3492="Yes",
    1.20,
    1.00)</f>
        <v/>
      </c>
      <c r="T3492">
        <f>LET(
    payment_method,'Loan Tape (S&amp;P)'!P3492,
    occupancy,'Loan Tape (S&amp;P)'!N3492,
    maturity_date,'Loan Tape (S&amp;P)'!L3492,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93">
      <c r="J3493">
        <f>LET(
    lien,'Loan Tape (S&amp;P)'!Q3493,
    IF(lien="First",1.00,
        IF(lien="Second",1.50,
            1.70)))</f>
        <v/>
      </c>
      <c r="K3493">
        <f>LET(
    purpose,'Loan Tape (S&amp;P)'!R3493,
    IF(purpose="Purchase",1.00,
        IF(purpose="Remortgage",1.00,
            1.20)))</f>
        <v/>
      </c>
      <c r="L3493">
        <f>LET(
    arrears_months,'Loan Tape (S&amp;P)'!AN3493,
    IF(arrears_months=0,1.00,
    IF(arrears_months=1,3.00,
    IF(arrears_months=2,5.00,
    IF(arrears_months=3,8.00,
    IF(arrears_months=4,10.00,
    IF(arrears_months=5,12.00,15.00)))))))</f>
        <v/>
      </c>
      <c r="M3493">
        <f>LET(
    seasoning_years,DATEDIF('Loan Tape (S&amp;P)'!K3493,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93">
        <f>IF(AND('Loan Tape (S&amp;P)'!U3493="Yes",
        'Loan Tape (S&amp;P)'!T3493&lt;&gt;"Yes",
        DATEDIF('Loan Tape (S&amp;P)'!K3493, TODAY(), "M")&lt;18),
    1.10,
    1.00)</f>
        <v/>
      </c>
      <c r="O3493">
        <f>IF('Loan Tape (S&amp;P)'!T3493="Yes",
    1.35,
    1.00)</f>
        <v/>
      </c>
      <c r="P3493">
        <f>IF('Loan Tape (S&amp;P)'!S3493="Yes",
    1.15,
    1.00)</f>
        <v/>
      </c>
      <c r="Q3493">
        <f>IF('Loan Tape (S&amp;P)'!V3493="Yes",
    1.20,
    1.00)</f>
        <v/>
      </c>
      <c r="T3493">
        <f>LET(
    payment_method,'Loan Tape (S&amp;P)'!P3493,
    occupancy,'Loan Tape (S&amp;P)'!N3493,
    maturity_date,'Loan Tape (S&amp;P)'!L3493,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94">
      <c r="J3494">
        <f>LET(
    lien,'Loan Tape (S&amp;P)'!Q3494,
    IF(lien="First",1.00,
        IF(lien="Second",1.50,
            1.70)))</f>
        <v/>
      </c>
      <c r="K3494">
        <f>LET(
    purpose,'Loan Tape (S&amp;P)'!R3494,
    IF(purpose="Purchase",1.00,
        IF(purpose="Remortgage",1.00,
            1.20)))</f>
        <v/>
      </c>
      <c r="L3494">
        <f>LET(
    arrears_months,'Loan Tape (S&amp;P)'!AN3494,
    IF(arrears_months=0,1.00,
    IF(arrears_months=1,3.00,
    IF(arrears_months=2,5.00,
    IF(arrears_months=3,8.00,
    IF(arrears_months=4,10.00,
    IF(arrears_months=5,12.00,15.00)))))))</f>
        <v/>
      </c>
      <c r="M3494">
        <f>LET(
    seasoning_years,DATEDIF('Loan Tape (S&amp;P)'!K3494,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94">
        <f>IF(AND('Loan Tape (S&amp;P)'!U3494="Yes",
        'Loan Tape (S&amp;P)'!T3494&lt;&gt;"Yes",
        DATEDIF('Loan Tape (S&amp;P)'!K3494, TODAY(), "M")&lt;18),
    1.10,
    1.00)</f>
        <v/>
      </c>
      <c r="O3494">
        <f>IF('Loan Tape (S&amp;P)'!T3494="Yes",
    1.35,
    1.00)</f>
        <v/>
      </c>
      <c r="P3494">
        <f>IF('Loan Tape (S&amp;P)'!S3494="Yes",
    1.15,
    1.00)</f>
        <v/>
      </c>
      <c r="Q3494">
        <f>IF('Loan Tape (S&amp;P)'!V3494="Yes",
    1.20,
    1.00)</f>
        <v/>
      </c>
      <c r="T3494">
        <f>LET(
    payment_method,'Loan Tape (S&amp;P)'!P3494,
    occupancy,'Loan Tape (S&amp;P)'!N3494,
    maturity_date,'Loan Tape (S&amp;P)'!L3494,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95">
      <c r="J3495">
        <f>LET(
    lien,'Loan Tape (S&amp;P)'!Q3495,
    IF(lien="First",1.00,
        IF(lien="Second",1.50,
            1.70)))</f>
        <v/>
      </c>
      <c r="K3495">
        <f>LET(
    purpose,'Loan Tape (S&amp;P)'!R3495,
    IF(purpose="Purchase",1.00,
        IF(purpose="Remortgage",1.00,
            1.20)))</f>
        <v/>
      </c>
      <c r="L3495">
        <f>LET(
    arrears_months,'Loan Tape (S&amp;P)'!AN3495,
    IF(arrears_months=0,1.00,
    IF(arrears_months=1,3.00,
    IF(arrears_months=2,5.00,
    IF(arrears_months=3,8.00,
    IF(arrears_months=4,10.00,
    IF(arrears_months=5,12.00,15.00)))))))</f>
        <v/>
      </c>
      <c r="M3495">
        <f>LET(
    seasoning_years,DATEDIF('Loan Tape (S&amp;P)'!K3495,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95">
        <f>IF(AND('Loan Tape (S&amp;P)'!U3495="Yes",
        'Loan Tape (S&amp;P)'!T3495&lt;&gt;"Yes",
        DATEDIF('Loan Tape (S&amp;P)'!K3495, TODAY(), "M")&lt;18),
    1.10,
    1.00)</f>
        <v/>
      </c>
      <c r="O3495">
        <f>IF('Loan Tape (S&amp;P)'!T3495="Yes",
    1.35,
    1.00)</f>
        <v/>
      </c>
      <c r="P3495">
        <f>IF('Loan Tape (S&amp;P)'!S3495="Yes",
    1.15,
    1.00)</f>
        <v/>
      </c>
      <c r="Q3495">
        <f>IF('Loan Tape (S&amp;P)'!V3495="Yes",
    1.20,
    1.00)</f>
        <v/>
      </c>
      <c r="T3495">
        <f>LET(
    payment_method,'Loan Tape (S&amp;P)'!P3495,
    occupancy,'Loan Tape (S&amp;P)'!N3495,
    maturity_date,'Loan Tape (S&amp;P)'!L3495,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96">
      <c r="J3496">
        <f>LET(
    lien,'Loan Tape (S&amp;P)'!Q3496,
    IF(lien="First",1.00,
        IF(lien="Second",1.50,
            1.70)))</f>
        <v/>
      </c>
      <c r="K3496">
        <f>LET(
    purpose,'Loan Tape (S&amp;P)'!R3496,
    IF(purpose="Purchase",1.00,
        IF(purpose="Remortgage",1.00,
            1.20)))</f>
        <v/>
      </c>
      <c r="L3496">
        <f>LET(
    arrears_months,'Loan Tape (S&amp;P)'!AN3496,
    IF(arrears_months=0,1.00,
    IF(arrears_months=1,3.00,
    IF(arrears_months=2,5.00,
    IF(arrears_months=3,8.00,
    IF(arrears_months=4,10.00,
    IF(arrears_months=5,12.00,15.00)))))))</f>
        <v/>
      </c>
      <c r="M3496">
        <f>LET(
    seasoning_years,DATEDIF('Loan Tape (S&amp;P)'!K3496,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96">
        <f>IF(AND('Loan Tape (S&amp;P)'!U3496="Yes",
        'Loan Tape (S&amp;P)'!T3496&lt;&gt;"Yes",
        DATEDIF('Loan Tape (S&amp;P)'!K3496, TODAY(), "M")&lt;18),
    1.10,
    1.00)</f>
        <v/>
      </c>
      <c r="O3496">
        <f>IF('Loan Tape (S&amp;P)'!T3496="Yes",
    1.35,
    1.00)</f>
        <v/>
      </c>
      <c r="P3496">
        <f>IF('Loan Tape (S&amp;P)'!S3496="Yes",
    1.15,
    1.00)</f>
        <v/>
      </c>
      <c r="Q3496">
        <f>IF('Loan Tape (S&amp;P)'!V3496="Yes",
    1.20,
    1.00)</f>
        <v/>
      </c>
      <c r="T3496">
        <f>LET(
    payment_method,'Loan Tape (S&amp;P)'!P3496,
    occupancy,'Loan Tape (S&amp;P)'!N3496,
    maturity_date,'Loan Tape (S&amp;P)'!L3496,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97">
      <c r="J3497">
        <f>LET(
    lien,'Loan Tape (S&amp;P)'!Q3497,
    IF(lien="First",1.00,
        IF(lien="Second",1.50,
            1.70)))</f>
        <v/>
      </c>
      <c r="K3497">
        <f>LET(
    purpose,'Loan Tape (S&amp;P)'!R3497,
    IF(purpose="Purchase",1.00,
        IF(purpose="Remortgage",1.00,
            1.20)))</f>
        <v/>
      </c>
      <c r="L3497">
        <f>LET(
    arrears_months,'Loan Tape (S&amp;P)'!AN3497,
    IF(arrears_months=0,1.00,
    IF(arrears_months=1,3.00,
    IF(arrears_months=2,5.00,
    IF(arrears_months=3,8.00,
    IF(arrears_months=4,10.00,
    IF(arrears_months=5,12.00,15.00)))))))</f>
        <v/>
      </c>
      <c r="M3497">
        <f>LET(
    seasoning_years,DATEDIF('Loan Tape (S&amp;P)'!K3497,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97">
        <f>IF(AND('Loan Tape (S&amp;P)'!U3497="Yes",
        'Loan Tape (S&amp;P)'!T3497&lt;&gt;"Yes",
        DATEDIF('Loan Tape (S&amp;P)'!K3497, TODAY(), "M")&lt;18),
    1.10,
    1.00)</f>
        <v/>
      </c>
      <c r="O3497">
        <f>IF('Loan Tape (S&amp;P)'!T3497="Yes",
    1.35,
    1.00)</f>
        <v/>
      </c>
      <c r="P3497">
        <f>IF('Loan Tape (S&amp;P)'!S3497="Yes",
    1.15,
    1.00)</f>
        <v/>
      </c>
      <c r="Q3497">
        <f>IF('Loan Tape (S&amp;P)'!V3497="Yes",
    1.20,
    1.00)</f>
        <v/>
      </c>
      <c r="T3497">
        <f>LET(
    payment_method,'Loan Tape (S&amp;P)'!P3497,
    occupancy,'Loan Tape (S&amp;P)'!N3497,
    maturity_date,'Loan Tape (S&amp;P)'!L3497,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98">
      <c r="J3498">
        <f>LET(
    lien,'Loan Tape (S&amp;P)'!Q3498,
    IF(lien="First",1.00,
        IF(lien="Second",1.50,
            1.70)))</f>
        <v/>
      </c>
      <c r="K3498">
        <f>LET(
    purpose,'Loan Tape (S&amp;P)'!R3498,
    IF(purpose="Purchase",1.00,
        IF(purpose="Remortgage",1.00,
            1.20)))</f>
        <v/>
      </c>
      <c r="L3498">
        <f>LET(
    arrears_months,'Loan Tape (S&amp;P)'!AN3498,
    IF(arrears_months=0,1.00,
    IF(arrears_months=1,3.00,
    IF(arrears_months=2,5.00,
    IF(arrears_months=3,8.00,
    IF(arrears_months=4,10.00,
    IF(arrears_months=5,12.00,15.00)))))))</f>
        <v/>
      </c>
      <c r="M3498">
        <f>LET(
    seasoning_years,DATEDIF('Loan Tape (S&amp;P)'!K3498,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98">
        <f>IF(AND('Loan Tape (S&amp;P)'!U3498="Yes",
        'Loan Tape (S&amp;P)'!T3498&lt;&gt;"Yes",
        DATEDIF('Loan Tape (S&amp;P)'!K3498, TODAY(), "M")&lt;18),
    1.10,
    1.00)</f>
        <v/>
      </c>
      <c r="O3498">
        <f>IF('Loan Tape (S&amp;P)'!T3498="Yes",
    1.35,
    1.00)</f>
        <v/>
      </c>
      <c r="P3498">
        <f>IF('Loan Tape (S&amp;P)'!S3498="Yes",
    1.15,
    1.00)</f>
        <v/>
      </c>
      <c r="Q3498">
        <f>IF('Loan Tape (S&amp;P)'!V3498="Yes",
    1.20,
    1.00)</f>
        <v/>
      </c>
      <c r="T3498">
        <f>LET(
    payment_method,'Loan Tape (S&amp;P)'!P3498,
    occupancy,'Loan Tape (S&amp;P)'!N3498,
    maturity_date,'Loan Tape (S&amp;P)'!L3498,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499">
      <c r="J3499">
        <f>LET(
    lien,'Loan Tape (S&amp;P)'!Q3499,
    IF(lien="First",1.00,
        IF(lien="Second",1.50,
            1.70)))</f>
        <v/>
      </c>
      <c r="K3499">
        <f>LET(
    purpose,'Loan Tape (S&amp;P)'!R3499,
    IF(purpose="Purchase",1.00,
        IF(purpose="Remortgage",1.00,
            1.20)))</f>
        <v/>
      </c>
      <c r="L3499">
        <f>LET(
    arrears_months,'Loan Tape (S&amp;P)'!AN3499,
    IF(arrears_months=0,1.00,
    IF(arrears_months=1,3.00,
    IF(arrears_months=2,5.00,
    IF(arrears_months=3,8.00,
    IF(arrears_months=4,10.00,
    IF(arrears_months=5,12.00,15.00)))))))</f>
        <v/>
      </c>
      <c r="M3499">
        <f>LET(
    seasoning_years,DATEDIF('Loan Tape (S&amp;P)'!K3499,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499">
        <f>IF(AND('Loan Tape (S&amp;P)'!U3499="Yes",
        'Loan Tape (S&amp;P)'!T3499&lt;&gt;"Yes",
        DATEDIF('Loan Tape (S&amp;P)'!K3499, TODAY(), "M")&lt;18),
    1.10,
    1.00)</f>
        <v/>
      </c>
      <c r="O3499">
        <f>IF('Loan Tape (S&amp;P)'!T3499="Yes",
    1.35,
    1.00)</f>
        <v/>
      </c>
      <c r="P3499">
        <f>IF('Loan Tape (S&amp;P)'!S3499="Yes",
    1.15,
    1.00)</f>
        <v/>
      </c>
      <c r="Q3499">
        <f>IF('Loan Tape (S&amp;P)'!V3499="Yes",
    1.20,
    1.00)</f>
        <v/>
      </c>
      <c r="T3499">
        <f>LET(
    payment_method,'Loan Tape (S&amp;P)'!P3499,
    occupancy,'Loan Tape (S&amp;P)'!N3499,
    maturity_date,'Loan Tape (S&amp;P)'!L3499,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00">
      <c r="J3500">
        <f>LET(
    lien,'Loan Tape (S&amp;P)'!Q3500,
    IF(lien="First",1.00,
        IF(lien="Second",1.50,
            1.70)))</f>
        <v/>
      </c>
      <c r="K3500">
        <f>LET(
    purpose,'Loan Tape (S&amp;P)'!R3500,
    IF(purpose="Purchase",1.00,
        IF(purpose="Remortgage",1.00,
            1.20)))</f>
        <v/>
      </c>
      <c r="L3500">
        <f>LET(
    arrears_months,'Loan Tape (S&amp;P)'!AN3500,
    IF(arrears_months=0,1.00,
    IF(arrears_months=1,3.00,
    IF(arrears_months=2,5.00,
    IF(arrears_months=3,8.00,
    IF(arrears_months=4,10.00,
    IF(arrears_months=5,12.00,15.00)))))))</f>
        <v/>
      </c>
      <c r="M3500">
        <f>LET(
    seasoning_years,DATEDIF('Loan Tape (S&amp;P)'!K3500,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00">
        <f>IF(AND('Loan Tape (S&amp;P)'!U3500="Yes",
        'Loan Tape (S&amp;P)'!T3500&lt;&gt;"Yes",
        DATEDIF('Loan Tape (S&amp;P)'!K3500, TODAY(), "M")&lt;18),
    1.10,
    1.00)</f>
        <v/>
      </c>
      <c r="O3500">
        <f>IF('Loan Tape (S&amp;P)'!T3500="Yes",
    1.35,
    1.00)</f>
        <v/>
      </c>
      <c r="P3500">
        <f>IF('Loan Tape (S&amp;P)'!S3500="Yes",
    1.15,
    1.00)</f>
        <v/>
      </c>
      <c r="Q3500">
        <f>IF('Loan Tape (S&amp;P)'!V3500="Yes",
    1.20,
    1.00)</f>
        <v/>
      </c>
      <c r="T3500">
        <f>LET(
    payment_method,'Loan Tape (S&amp;P)'!P3500,
    occupancy,'Loan Tape (S&amp;P)'!N3500,
    maturity_date,'Loan Tape (S&amp;P)'!L3500,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01">
      <c r="J3501">
        <f>LET(
    lien,'Loan Tape (S&amp;P)'!Q3501,
    IF(lien="First",1.00,
        IF(lien="Second",1.50,
            1.70)))</f>
        <v/>
      </c>
      <c r="K3501">
        <f>LET(
    purpose,'Loan Tape (S&amp;P)'!R3501,
    IF(purpose="Purchase",1.00,
        IF(purpose="Remortgage",1.00,
            1.20)))</f>
        <v/>
      </c>
      <c r="L3501">
        <f>LET(
    arrears_months,'Loan Tape (S&amp;P)'!AN3501,
    IF(arrears_months=0,1.00,
    IF(arrears_months=1,3.00,
    IF(arrears_months=2,5.00,
    IF(arrears_months=3,8.00,
    IF(arrears_months=4,10.00,
    IF(arrears_months=5,12.00,15.00)))))))</f>
        <v/>
      </c>
      <c r="M3501">
        <f>LET(
    seasoning_years,DATEDIF('Loan Tape (S&amp;P)'!K3501,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01">
        <f>IF(AND('Loan Tape (S&amp;P)'!U3501="Yes",
        'Loan Tape (S&amp;P)'!T3501&lt;&gt;"Yes",
        DATEDIF('Loan Tape (S&amp;P)'!K3501, TODAY(), "M")&lt;18),
    1.10,
    1.00)</f>
        <v/>
      </c>
      <c r="O3501">
        <f>IF('Loan Tape (S&amp;P)'!T3501="Yes",
    1.35,
    1.00)</f>
        <v/>
      </c>
      <c r="P3501">
        <f>IF('Loan Tape (S&amp;P)'!S3501="Yes",
    1.15,
    1.00)</f>
        <v/>
      </c>
      <c r="Q3501">
        <f>IF('Loan Tape (S&amp;P)'!V3501="Yes",
    1.20,
    1.00)</f>
        <v/>
      </c>
      <c r="T3501">
        <f>LET(
    payment_method,'Loan Tape (S&amp;P)'!P3501,
    occupancy,'Loan Tape (S&amp;P)'!N3501,
    maturity_date,'Loan Tape (S&amp;P)'!L3501,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02">
      <c r="J3502">
        <f>LET(
    lien,'Loan Tape (S&amp;P)'!Q3502,
    IF(lien="First",1.00,
        IF(lien="Second",1.50,
            1.70)))</f>
        <v/>
      </c>
      <c r="K3502">
        <f>LET(
    purpose,'Loan Tape (S&amp;P)'!R3502,
    IF(purpose="Purchase",1.00,
        IF(purpose="Remortgage",1.00,
            1.20)))</f>
        <v/>
      </c>
      <c r="L3502">
        <f>LET(
    arrears_months,'Loan Tape (S&amp;P)'!AN3502,
    IF(arrears_months=0,1.00,
    IF(arrears_months=1,3.00,
    IF(arrears_months=2,5.00,
    IF(arrears_months=3,8.00,
    IF(arrears_months=4,10.00,
    IF(arrears_months=5,12.00,15.00)))))))</f>
        <v/>
      </c>
      <c r="M3502">
        <f>LET(
    seasoning_years,DATEDIF('Loan Tape (S&amp;P)'!K3502,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02">
        <f>IF(AND('Loan Tape (S&amp;P)'!U3502="Yes",
        'Loan Tape (S&amp;P)'!T3502&lt;&gt;"Yes",
        DATEDIF('Loan Tape (S&amp;P)'!K3502, TODAY(), "M")&lt;18),
    1.10,
    1.00)</f>
        <v/>
      </c>
      <c r="O3502">
        <f>IF('Loan Tape (S&amp;P)'!T3502="Yes",
    1.35,
    1.00)</f>
        <v/>
      </c>
      <c r="P3502">
        <f>IF('Loan Tape (S&amp;P)'!S3502="Yes",
    1.15,
    1.00)</f>
        <v/>
      </c>
      <c r="Q3502">
        <f>IF('Loan Tape (S&amp;P)'!V3502="Yes",
    1.20,
    1.00)</f>
        <v/>
      </c>
      <c r="T3502">
        <f>LET(
    payment_method,'Loan Tape (S&amp;P)'!P3502,
    occupancy,'Loan Tape (S&amp;P)'!N3502,
    maturity_date,'Loan Tape (S&amp;P)'!L3502,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03">
      <c r="J3503">
        <f>LET(
    lien,'Loan Tape (S&amp;P)'!Q3503,
    IF(lien="First",1.00,
        IF(lien="Second",1.50,
            1.70)))</f>
        <v/>
      </c>
      <c r="K3503">
        <f>LET(
    purpose,'Loan Tape (S&amp;P)'!R3503,
    IF(purpose="Purchase",1.00,
        IF(purpose="Remortgage",1.00,
            1.20)))</f>
        <v/>
      </c>
      <c r="L3503">
        <f>LET(
    arrears_months,'Loan Tape (S&amp;P)'!AN3503,
    IF(arrears_months=0,1.00,
    IF(arrears_months=1,3.00,
    IF(arrears_months=2,5.00,
    IF(arrears_months=3,8.00,
    IF(arrears_months=4,10.00,
    IF(arrears_months=5,12.00,15.00)))))))</f>
        <v/>
      </c>
      <c r="M3503">
        <f>LET(
    seasoning_years,DATEDIF('Loan Tape (S&amp;P)'!K3503,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03">
        <f>IF(AND('Loan Tape (S&amp;P)'!U3503="Yes",
        'Loan Tape (S&amp;P)'!T3503&lt;&gt;"Yes",
        DATEDIF('Loan Tape (S&amp;P)'!K3503, TODAY(), "M")&lt;18),
    1.10,
    1.00)</f>
        <v/>
      </c>
      <c r="O3503">
        <f>IF('Loan Tape (S&amp;P)'!T3503="Yes",
    1.35,
    1.00)</f>
        <v/>
      </c>
      <c r="P3503">
        <f>IF('Loan Tape (S&amp;P)'!S3503="Yes",
    1.15,
    1.00)</f>
        <v/>
      </c>
      <c r="Q3503">
        <f>IF('Loan Tape (S&amp;P)'!V3503="Yes",
    1.20,
    1.00)</f>
        <v/>
      </c>
      <c r="T3503">
        <f>LET(
    payment_method,'Loan Tape (S&amp;P)'!P3503,
    occupancy,'Loan Tape (S&amp;P)'!N3503,
    maturity_date,'Loan Tape (S&amp;P)'!L3503,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04">
      <c r="J3504">
        <f>LET(
    lien,'Loan Tape (S&amp;P)'!Q3504,
    IF(lien="First",1.00,
        IF(lien="Second",1.50,
            1.70)))</f>
        <v/>
      </c>
      <c r="K3504">
        <f>LET(
    purpose,'Loan Tape (S&amp;P)'!R3504,
    IF(purpose="Purchase",1.00,
        IF(purpose="Remortgage",1.00,
            1.20)))</f>
        <v/>
      </c>
      <c r="L3504">
        <f>LET(
    arrears_months,'Loan Tape (S&amp;P)'!AN3504,
    IF(arrears_months=0,1.00,
    IF(arrears_months=1,3.00,
    IF(arrears_months=2,5.00,
    IF(arrears_months=3,8.00,
    IF(arrears_months=4,10.00,
    IF(arrears_months=5,12.00,15.00)))))))</f>
        <v/>
      </c>
      <c r="M3504">
        <f>LET(
    seasoning_years,DATEDIF('Loan Tape (S&amp;P)'!K3504,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04">
        <f>IF(AND('Loan Tape (S&amp;P)'!U3504="Yes",
        'Loan Tape (S&amp;P)'!T3504&lt;&gt;"Yes",
        DATEDIF('Loan Tape (S&amp;P)'!K3504, TODAY(), "M")&lt;18),
    1.10,
    1.00)</f>
        <v/>
      </c>
      <c r="O3504">
        <f>IF('Loan Tape (S&amp;P)'!T3504="Yes",
    1.35,
    1.00)</f>
        <v/>
      </c>
      <c r="P3504">
        <f>IF('Loan Tape (S&amp;P)'!S3504="Yes",
    1.15,
    1.00)</f>
        <v/>
      </c>
      <c r="Q3504">
        <f>IF('Loan Tape (S&amp;P)'!V3504="Yes",
    1.20,
    1.00)</f>
        <v/>
      </c>
      <c r="T3504">
        <f>LET(
    payment_method,'Loan Tape (S&amp;P)'!P3504,
    occupancy,'Loan Tape (S&amp;P)'!N3504,
    maturity_date,'Loan Tape (S&amp;P)'!L3504,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05">
      <c r="J3505">
        <f>LET(
    lien,'Loan Tape (S&amp;P)'!Q3505,
    IF(lien="First",1.00,
        IF(lien="Second",1.50,
            1.70)))</f>
        <v/>
      </c>
      <c r="K3505">
        <f>LET(
    purpose,'Loan Tape (S&amp;P)'!R3505,
    IF(purpose="Purchase",1.00,
        IF(purpose="Remortgage",1.00,
            1.20)))</f>
        <v/>
      </c>
      <c r="L3505">
        <f>LET(
    arrears_months,'Loan Tape (S&amp;P)'!AN3505,
    IF(arrears_months=0,1.00,
    IF(arrears_months=1,3.00,
    IF(arrears_months=2,5.00,
    IF(arrears_months=3,8.00,
    IF(arrears_months=4,10.00,
    IF(arrears_months=5,12.00,15.00)))))))</f>
        <v/>
      </c>
      <c r="M3505">
        <f>LET(
    seasoning_years,DATEDIF('Loan Tape (S&amp;P)'!K3505,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05">
        <f>IF(AND('Loan Tape (S&amp;P)'!U3505="Yes",
        'Loan Tape (S&amp;P)'!T3505&lt;&gt;"Yes",
        DATEDIF('Loan Tape (S&amp;P)'!K3505, TODAY(), "M")&lt;18),
    1.10,
    1.00)</f>
        <v/>
      </c>
      <c r="O3505">
        <f>IF('Loan Tape (S&amp;P)'!T3505="Yes",
    1.35,
    1.00)</f>
        <v/>
      </c>
      <c r="P3505">
        <f>IF('Loan Tape (S&amp;P)'!S3505="Yes",
    1.15,
    1.00)</f>
        <v/>
      </c>
      <c r="Q3505">
        <f>IF('Loan Tape (S&amp;P)'!V3505="Yes",
    1.20,
    1.00)</f>
        <v/>
      </c>
      <c r="T3505">
        <f>LET(
    payment_method,'Loan Tape (S&amp;P)'!P3505,
    occupancy,'Loan Tape (S&amp;P)'!N3505,
    maturity_date,'Loan Tape (S&amp;P)'!L3505,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06">
      <c r="J3506">
        <f>LET(
    lien,'Loan Tape (S&amp;P)'!Q3506,
    IF(lien="First",1.00,
        IF(lien="Second",1.50,
            1.70)))</f>
        <v/>
      </c>
      <c r="K3506">
        <f>LET(
    purpose,'Loan Tape (S&amp;P)'!R3506,
    IF(purpose="Purchase",1.00,
        IF(purpose="Remortgage",1.00,
            1.20)))</f>
        <v/>
      </c>
      <c r="L3506">
        <f>LET(
    arrears_months,'Loan Tape (S&amp;P)'!AN3506,
    IF(arrears_months=0,1.00,
    IF(arrears_months=1,3.00,
    IF(arrears_months=2,5.00,
    IF(arrears_months=3,8.00,
    IF(arrears_months=4,10.00,
    IF(arrears_months=5,12.00,15.00)))))))</f>
        <v/>
      </c>
      <c r="M3506">
        <f>LET(
    seasoning_years,DATEDIF('Loan Tape (S&amp;P)'!K3506,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06">
        <f>IF(AND('Loan Tape (S&amp;P)'!U3506="Yes",
        'Loan Tape (S&amp;P)'!T3506&lt;&gt;"Yes",
        DATEDIF('Loan Tape (S&amp;P)'!K3506, TODAY(), "M")&lt;18),
    1.10,
    1.00)</f>
        <v/>
      </c>
      <c r="O3506">
        <f>IF('Loan Tape (S&amp;P)'!T3506="Yes",
    1.35,
    1.00)</f>
        <v/>
      </c>
      <c r="P3506">
        <f>IF('Loan Tape (S&amp;P)'!S3506="Yes",
    1.15,
    1.00)</f>
        <v/>
      </c>
      <c r="Q3506">
        <f>IF('Loan Tape (S&amp;P)'!V3506="Yes",
    1.20,
    1.00)</f>
        <v/>
      </c>
      <c r="T3506">
        <f>LET(
    payment_method,'Loan Tape (S&amp;P)'!P3506,
    occupancy,'Loan Tape (S&amp;P)'!N3506,
    maturity_date,'Loan Tape (S&amp;P)'!L3506,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07">
      <c r="J3507">
        <f>LET(
    lien,'Loan Tape (S&amp;P)'!Q3507,
    IF(lien="First",1.00,
        IF(lien="Second",1.50,
            1.70)))</f>
        <v/>
      </c>
      <c r="K3507">
        <f>LET(
    purpose,'Loan Tape (S&amp;P)'!R3507,
    IF(purpose="Purchase",1.00,
        IF(purpose="Remortgage",1.00,
            1.20)))</f>
        <v/>
      </c>
      <c r="L3507">
        <f>LET(
    arrears_months,'Loan Tape (S&amp;P)'!AN3507,
    IF(arrears_months=0,1.00,
    IF(arrears_months=1,3.00,
    IF(arrears_months=2,5.00,
    IF(arrears_months=3,8.00,
    IF(arrears_months=4,10.00,
    IF(arrears_months=5,12.00,15.00)))))))</f>
        <v/>
      </c>
      <c r="M3507">
        <f>LET(
    seasoning_years,DATEDIF('Loan Tape (S&amp;P)'!K3507,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07">
        <f>IF(AND('Loan Tape (S&amp;P)'!U3507="Yes",
        'Loan Tape (S&amp;P)'!T3507&lt;&gt;"Yes",
        DATEDIF('Loan Tape (S&amp;P)'!K3507, TODAY(), "M")&lt;18),
    1.10,
    1.00)</f>
        <v/>
      </c>
      <c r="O3507">
        <f>IF('Loan Tape (S&amp;P)'!T3507="Yes",
    1.35,
    1.00)</f>
        <v/>
      </c>
      <c r="P3507">
        <f>IF('Loan Tape (S&amp;P)'!S3507="Yes",
    1.15,
    1.00)</f>
        <v/>
      </c>
      <c r="Q3507">
        <f>IF('Loan Tape (S&amp;P)'!V3507="Yes",
    1.20,
    1.00)</f>
        <v/>
      </c>
      <c r="T3507">
        <f>LET(
    payment_method,'Loan Tape (S&amp;P)'!P3507,
    occupancy,'Loan Tape (S&amp;P)'!N3507,
    maturity_date,'Loan Tape (S&amp;P)'!L3507,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08">
      <c r="J3508">
        <f>LET(
    lien,'Loan Tape (S&amp;P)'!Q3508,
    IF(lien="First",1.00,
        IF(lien="Second",1.50,
            1.70)))</f>
        <v/>
      </c>
      <c r="K3508">
        <f>LET(
    purpose,'Loan Tape (S&amp;P)'!R3508,
    IF(purpose="Purchase",1.00,
        IF(purpose="Remortgage",1.00,
            1.20)))</f>
        <v/>
      </c>
      <c r="L3508">
        <f>LET(
    arrears_months,'Loan Tape (S&amp;P)'!AN3508,
    IF(arrears_months=0,1.00,
    IF(arrears_months=1,3.00,
    IF(arrears_months=2,5.00,
    IF(arrears_months=3,8.00,
    IF(arrears_months=4,10.00,
    IF(arrears_months=5,12.00,15.00)))))))</f>
        <v/>
      </c>
      <c r="M3508">
        <f>LET(
    seasoning_years,DATEDIF('Loan Tape (S&amp;P)'!K3508,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08">
        <f>IF(AND('Loan Tape (S&amp;P)'!U3508="Yes",
        'Loan Tape (S&amp;P)'!T3508&lt;&gt;"Yes",
        DATEDIF('Loan Tape (S&amp;P)'!K3508, TODAY(), "M")&lt;18),
    1.10,
    1.00)</f>
        <v/>
      </c>
      <c r="O3508">
        <f>IF('Loan Tape (S&amp;P)'!T3508="Yes",
    1.35,
    1.00)</f>
        <v/>
      </c>
      <c r="P3508">
        <f>IF('Loan Tape (S&amp;P)'!S3508="Yes",
    1.15,
    1.00)</f>
        <v/>
      </c>
      <c r="Q3508">
        <f>IF('Loan Tape (S&amp;P)'!V3508="Yes",
    1.20,
    1.00)</f>
        <v/>
      </c>
      <c r="T3508">
        <f>LET(
    payment_method,'Loan Tape (S&amp;P)'!P3508,
    occupancy,'Loan Tape (S&amp;P)'!N3508,
    maturity_date,'Loan Tape (S&amp;P)'!L3508,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09">
      <c r="J3509">
        <f>LET(
    lien,'Loan Tape (S&amp;P)'!Q3509,
    IF(lien="First",1.00,
        IF(lien="Second",1.50,
            1.70)))</f>
        <v/>
      </c>
      <c r="K3509">
        <f>LET(
    purpose,'Loan Tape (S&amp;P)'!R3509,
    IF(purpose="Purchase",1.00,
        IF(purpose="Remortgage",1.00,
            1.20)))</f>
        <v/>
      </c>
      <c r="L3509">
        <f>LET(
    arrears_months,'Loan Tape (S&amp;P)'!AN3509,
    IF(arrears_months=0,1.00,
    IF(arrears_months=1,3.00,
    IF(arrears_months=2,5.00,
    IF(arrears_months=3,8.00,
    IF(arrears_months=4,10.00,
    IF(arrears_months=5,12.00,15.00)))))))</f>
        <v/>
      </c>
      <c r="M3509">
        <f>LET(
    seasoning_years,DATEDIF('Loan Tape (S&amp;P)'!K3509,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09">
        <f>IF(AND('Loan Tape (S&amp;P)'!U3509="Yes",
        'Loan Tape (S&amp;P)'!T3509&lt;&gt;"Yes",
        DATEDIF('Loan Tape (S&amp;P)'!K3509, TODAY(), "M")&lt;18),
    1.10,
    1.00)</f>
        <v/>
      </c>
      <c r="O3509">
        <f>IF('Loan Tape (S&amp;P)'!T3509="Yes",
    1.35,
    1.00)</f>
        <v/>
      </c>
      <c r="P3509">
        <f>IF('Loan Tape (S&amp;P)'!S3509="Yes",
    1.15,
    1.00)</f>
        <v/>
      </c>
      <c r="Q3509">
        <f>IF('Loan Tape (S&amp;P)'!V3509="Yes",
    1.20,
    1.00)</f>
        <v/>
      </c>
      <c r="T3509">
        <f>LET(
    payment_method,'Loan Tape (S&amp;P)'!P3509,
    occupancy,'Loan Tape (S&amp;P)'!N3509,
    maturity_date,'Loan Tape (S&amp;P)'!L3509,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10">
      <c r="J3510">
        <f>LET(
    lien,'Loan Tape (S&amp;P)'!Q3510,
    IF(lien="First",1.00,
        IF(lien="Second",1.50,
            1.70)))</f>
        <v/>
      </c>
      <c r="K3510">
        <f>LET(
    purpose,'Loan Tape (S&amp;P)'!R3510,
    IF(purpose="Purchase",1.00,
        IF(purpose="Remortgage",1.00,
            1.20)))</f>
        <v/>
      </c>
      <c r="L3510">
        <f>LET(
    arrears_months,'Loan Tape (S&amp;P)'!AN3510,
    IF(arrears_months=0,1.00,
    IF(arrears_months=1,3.00,
    IF(arrears_months=2,5.00,
    IF(arrears_months=3,8.00,
    IF(arrears_months=4,10.00,
    IF(arrears_months=5,12.00,15.00)))))))</f>
        <v/>
      </c>
      <c r="M3510">
        <f>LET(
    seasoning_years,DATEDIF('Loan Tape (S&amp;P)'!K3510,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10">
        <f>IF(AND('Loan Tape (S&amp;P)'!U3510="Yes",
        'Loan Tape (S&amp;P)'!T3510&lt;&gt;"Yes",
        DATEDIF('Loan Tape (S&amp;P)'!K3510, TODAY(), "M")&lt;18),
    1.10,
    1.00)</f>
        <v/>
      </c>
      <c r="O3510">
        <f>IF('Loan Tape (S&amp;P)'!T3510="Yes",
    1.35,
    1.00)</f>
        <v/>
      </c>
      <c r="P3510">
        <f>IF('Loan Tape (S&amp;P)'!S3510="Yes",
    1.15,
    1.00)</f>
        <v/>
      </c>
      <c r="Q3510">
        <f>IF('Loan Tape (S&amp;P)'!V3510="Yes",
    1.20,
    1.00)</f>
        <v/>
      </c>
      <c r="T3510">
        <f>LET(
    payment_method,'Loan Tape (S&amp;P)'!P3510,
    occupancy,'Loan Tape (S&amp;P)'!N3510,
    maturity_date,'Loan Tape (S&amp;P)'!L3510,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11">
      <c r="J3511">
        <f>LET(
    lien,'Loan Tape (S&amp;P)'!Q3511,
    IF(lien="First",1.00,
        IF(lien="Second",1.50,
            1.70)))</f>
        <v/>
      </c>
      <c r="K3511">
        <f>LET(
    purpose,'Loan Tape (S&amp;P)'!R3511,
    IF(purpose="Purchase",1.00,
        IF(purpose="Remortgage",1.00,
            1.20)))</f>
        <v/>
      </c>
      <c r="L3511">
        <f>LET(
    arrears_months,'Loan Tape (S&amp;P)'!AN3511,
    IF(arrears_months=0,1.00,
    IF(arrears_months=1,3.00,
    IF(arrears_months=2,5.00,
    IF(arrears_months=3,8.00,
    IF(arrears_months=4,10.00,
    IF(arrears_months=5,12.00,15.00)))))))</f>
        <v/>
      </c>
      <c r="M3511">
        <f>LET(
    seasoning_years,DATEDIF('Loan Tape (S&amp;P)'!K3511,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11">
        <f>IF(AND('Loan Tape (S&amp;P)'!U3511="Yes",
        'Loan Tape (S&amp;P)'!T3511&lt;&gt;"Yes",
        DATEDIF('Loan Tape (S&amp;P)'!K3511, TODAY(), "M")&lt;18),
    1.10,
    1.00)</f>
        <v/>
      </c>
      <c r="O3511">
        <f>IF('Loan Tape (S&amp;P)'!T3511="Yes",
    1.35,
    1.00)</f>
        <v/>
      </c>
      <c r="P3511">
        <f>IF('Loan Tape (S&amp;P)'!S3511="Yes",
    1.15,
    1.00)</f>
        <v/>
      </c>
      <c r="Q3511">
        <f>IF('Loan Tape (S&amp;P)'!V3511="Yes",
    1.20,
    1.00)</f>
        <v/>
      </c>
      <c r="T3511">
        <f>LET(
    payment_method,'Loan Tape (S&amp;P)'!P3511,
    occupancy,'Loan Tape (S&amp;P)'!N3511,
    maturity_date,'Loan Tape (S&amp;P)'!L3511,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12">
      <c r="J3512">
        <f>LET(
    lien,'Loan Tape (S&amp;P)'!Q3512,
    IF(lien="First",1.00,
        IF(lien="Second",1.50,
            1.70)))</f>
        <v/>
      </c>
      <c r="K3512">
        <f>LET(
    purpose,'Loan Tape (S&amp;P)'!R3512,
    IF(purpose="Purchase",1.00,
        IF(purpose="Remortgage",1.00,
            1.20)))</f>
        <v/>
      </c>
      <c r="L3512">
        <f>LET(
    arrears_months,'Loan Tape (S&amp;P)'!AN3512,
    IF(arrears_months=0,1.00,
    IF(arrears_months=1,3.00,
    IF(arrears_months=2,5.00,
    IF(arrears_months=3,8.00,
    IF(arrears_months=4,10.00,
    IF(arrears_months=5,12.00,15.00)))))))</f>
        <v/>
      </c>
      <c r="M3512">
        <f>LET(
    seasoning_years,DATEDIF('Loan Tape (S&amp;P)'!K3512,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12">
        <f>IF(AND('Loan Tape (S&amp;P)'!U3512="Yes",
        'Loan Tape (S&amp;P)'!T3512&lt;&gt;"Yes",
        DATEDIF('Loan Tape (S&amp;P)'!K3512, TODAY(), "M")&lt;18),
    1.10,
    1.00)</f>
        <v/>
      </c>
      <c r="O3512">
        <f>IF('Loan Tape (S&amp;P)'!T3512="Yes",
    1.35,
    1.00)</f>
        <v/>
      </c>
      <c r="P3512">
        <f>IF('Loan Tape (S&amp;P)'!S3512="Yes",
    1.15,
    1.00)</f>
        <v/>
      </c>
      <c r="Q3512">
        <f>IF('Loan Tape (S&amp;P)'!V3512="Yes",
    1.20,
    1.00)</f>
        <v/>
      </c>
      <c r="T3512">
        <f>LET(
    payment_method,'Loan Tape (S&amp;P)'!P3512,
    occupancy,'Loan Tape (S&amp;P)'!N3512,
    maturity_date,'Loan Tape (S&amp;P)'!L3512,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13">
      <c r="J3513">
        <f>LET(
    lien,'Loan Tape (S&amp;P)'!Q3513,
    IF(lien="First",1.00,
        IF(lien="Second",1.50,
            1.70)))</f>
        <v/>
      </c>
      <c r="K3513">
        <f>LET(
    purpose,'Loan Tape (S&amp;P)'!R3513,
    IF(purpose="Purchase",1.00,
        IF(purpose="Remortgage",1.00,
            1.20)))</f>
        <v/>
      </c>
      <c r="L3513">
        <f>LET(
    arrears_months,'Loan Tape (S&amp;P)'!AN3513,
    IF(arrears_months=0,1.00,
    IF(arrears_months=1,3.00,
    IF(arrears_months=2,5.00,
    IF(arrears_months=3,8.00,
    IF(arrears_months=4,10.00,
    IF(arrears_months=5,12.00,15.00)))))))</f>
        <v/>
      </c>
      <c r="M3513">
        <f>LET(
    seasoning_years,DATEDIF('Loan Tape (S&amp;P)'!K3513,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13">
        <f>IF(AND('Loan Tape (S&amp;P)'!U3513="Yes",
        'Loan Tape (S&amp;P)'!T3513&lt;&gt;"Yes",
        DATEDIF('Loan Tape (S&amp;P)'!K3513, TODAY(), "M")&lt;18),
    1.10,
    1.00)</f>
        <v/>
      </c>
      <c r="O3513">
        <f>IF('Loan Tape (S&amp;P)'!T3513="Yes",
    1.35,
    1.00)</f>
        <v/>
      </c>
      <c r="P3513">
        <f>IF('Loan Tape (S&amp;P)'!S3513="Yes",
    1.15,
    1.00)</f>
        <v/>
      </c>
      <c r="Q3513">
        <f>IF('Loan Tape (S&amp;P)'!V3513="Yes",
    1.20,
    1.00)</f>
        <v/>
      </c>
      <c r="T3513">
        <f>LET(
    payment_method,'Loan Tape (S&amp;P)'!P3513,
    occupancy,'Loan Tape (S&amp;P)'!N3513,
    maturity_date,'Loan Tape (S&amp;P)'!L3513,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14">
      <c r="J3514">
        <f>LET(
    lien,'Loan Tape (S&amp;P)'!Q3514,
    IF(lien="First",1.00,
        IF(lien="Second",1.50,
            1.70)))</f>
        <v/>
      </c>
      <c r="K3514">
        <f>LET(
    purpose,'Loan Tape (S&amp;P)'!R3514,
    IF(purpose="Purchase",1.00,
        IF(purpose="Remortgage",1.00,
            1.20)))</f>
        <v/>
      </c>
      <c r="L3514">
        <f>LET(
    arrears_months,'Loan Tape (S&amp;P)'!AN3514,
    IF(arrears_months=0,1.00,
    IF(arrears_months=1,3.00,
    IF(arrears_months=2,5.00,
    IF(arrears_months=3,8.00,
    IF(arrears_months=4,10.00,
    IF(arrears_months=5,12.00,15.00)))))))</f>
        <v/>
      </c>
      <c r="M3514">
        <f>LET(
    seasoning_years,DATEDIF('Loan Tape (S&amp;P)'!K3514,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14">
        <f>IF(AND('Loan Tape (S&amp;P)'!U3514="Yes",
        'Loan Tape (S&amp;P)'!T3514&lt;&gt;"Yes",
        DATEDIF('Loan Tape (S&amp;P)'!K3514, TODAY(), "M")&lt;18),
    1.10,
    1.00)</f>
        <v/>
      </c>
      <c r="O3514">
        <f>IF('Loan Tape (S&amp;P)'!T3514="Yes",
    1.35,
    1.00)</f>
        <v/>
      </c>
      <c r="P3514">
        <f>IF('Loan Tape (S&amp;P)'!S3514="Yes",
    1.15,
    1.00)</f>
        <v/>
      </c>
      <c r="Q3514">
        <f>IF('Loan Tape (S&amp;P)'!V3514="Yes",
    1.20,
    1.00)</f>
        <v/>
      </c>
      <c r="T3514">
        <f>LET(
    payment_method,'Loan Tape (S&amp;P)'!P3514,
    occupancy,'Loan Tape (S&amp;P)'!N3514,
    maturity_date,'Loan Tape (S&amp;P)'!L3514,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15">
      <c r="J3515">
        <f>LET(
    lien,'Loan Tape (S&amp;P)'!Q3515,
    IF(lien="First",1.00,
        IF(lien="Second",1.50,
            1.70)))</f>
        <v/>
      </c>
      <c r="K3515">
        <f>LET(
    purpose,'Loan Tape (S&amp;P)'!R3515,
    IF(purpose="Purchase",1.00,
        IF(purpose="Remortgage",1.00,
            1.20)))</f>
        <v/>
      </c>
      <c r="L3515">
        <f>LET(
    arrears_months,'Loan Tape (S&amp;P)'!AN3515,
    IF(arrears_months=0,1.00,
    IF(arrears_months=1,3.00,
    IF(arrears_months=2,5.00,
    IF(arrears_months=3,8.00,
    IF(arrears_months=4,10.00,
    IF(arrears_months=5,12.00,15.00)))))))</f>
        <v/>
      </c>
      <c r="M3515">
        <f>LET(
    seasoning_years,DATEDIF('Loan Tape (S&amp;P)'!K3515,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15">
        <f>IF(AND('Loan Tape (S&amp;P)'!U3515="Yes",
        'Loan Tape (S&amp;P)'!T3515&lt;&gt;"Yes",
        DATEDIF('Loan Tape (S&amp;P)'!K3515, TODAY(), "M")&lt;18),
    1.10,
    1.00)</f>
        <v/>
      </c>
      <c r="O3515">
        <f>IF('Loan Tape (S&amp;P)'!T3515="Yes",
    1.35,
    1.00)</f>
        <v/>
      </c>
      <c r="P3515">
        <f>IF('Loan Tape (S&amp;P)'!S3515="Yes",
    1.15,
    1.00)</f>
        <v/>
      </c>
      <c r="Q3515">
        <f>IF('Loan Tape (S&amp;P)'!V3515="Yes",
    1.20,
    1.00)</f>
        <v/>
      </c>
      <c r="T3515">
        <f>LET(
    payment_method,'Loan Tape (S&amp;P)'!P3515,
    occupancy,'Loan Tape (S&amp;P)'!N3515,
    maturity_date,'Loan Tape (S&amp;P)'!L3515,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16">
      <c r="J3516">
        <f>LET(
    lien,'Loan Tape (S&amp;P)'!Q3516,
    IF(lien="First",1.00,
        IF(lien="Second",1.50,
            1.70)))</f>
        <v/>
      </c>
      <c r="K3516">
        <f>LET(
    purpose,'Loan Tape (S&amp;P)'!R3516,
    IF(purpose="Purchase",1.00,
        IF(purpose="Remortgage",1.00,
            1.20)))</f>
        <v/>
      </c>
      <c r="L3516">
        <f>LET(
    arrears_months,'Loan Tape (S&amp;P)'!AN3516,
    IF(arrears_months=0,1.00,
    IF(arrears_months=1,3.00,
    IF(arrears_months=2,5.00,
    IF(arrears_months=3,8.00,
    IF(arrears_months=4,10.00,
    IF(arrears_months=5,12.00,15.00)))))))</f>
        <v/>
      </c>
      <c r="M3516">
        <f>LET(
    seasoning_years,DATEDIF('Loan Tape (S&amp;P)'!K3516,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16">
        <f>IF(AND('Loan Tape (S&amp;P)'!U3516="Yes",
        'Loan Tape (S&amp;P)'!T3516&lt;&gt;"Yes",
        DATEDIF('Loan Tape (S&amp;P)'!K3516, TODAY(), "M")&lt;18),
    1.10,
    1.00)</f>
        <v/>
      </c>
      <c r="O3516">
        <f>IF('Loan Tape (S&amp;P)'!T3516="Yes",
    1.35,
    1.00)</f>
        <v/>
      </c>
      <c r="P3516">
        <f>IF('Loan Tape (S&amp;P)'!S3516="Yes",
    1.15,
    1.00)</f>
        <v/>
      </c>
      <c r="Q3516">
        <f>IF('Loan Tape (S&amp;P)'!V3516="Yes",
    1.20,
    1.00)</f>
        <v/>
      </c>
      <c r="T3516">
        <f>LET(
    payment_method,'Loan Tape (S&amp;P)'!P3516,
    occupancy,'Loan Tape (S&amp;P)'!N3516,
    maturity_date,'Loan Tape (S&amp;P)'!L3516,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17">
      <c r="J3517">
        <f>LET(
    lien,'Loan Tape (S&amp;P)'!Q3517,
    IF(lien="First",1.00,
        IF(lien="Second",1.50,
            1.70)))</f>
        <v/>
      </c>
      <c r="K3517">
        <f>LET(
    purpose,'Loan Tape (S&amp;P)'!R3517,
    IF(purpose="Purchase",1.00,
        IF(purpose="Remortgage",1.00,
            1.20)))</f>
        <v/>
      </c>
      <c r="L3517">
        <f>LET(
    arrears_months,'Loan Tape (S&amp;P)'!AN3517,
    IF(arrears_months=0,1.00,
    IF(arrears_months=1,3.00,
    IF(arrears_months=2,5.00,
    IF(arrears_months=3,8.00,
    IF(arrears_months=4,10.00,
    IF(arrears_months=5,12.00,15.00)))))))</f>
        <v/>
      </c>
      <c r="M3517">
        <f>LET(
    seasoning_years,DATEDIF('Loan Tape (S&amp;P)'!K3517,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17">
        <f>IF(AND('Loan Tape (S&amp;P)'!U3517="Yes",
        'Loan Tape (S&amp;P)'!T3517&lt;&gt;"Yes",
        DATEDIF('Loan Tape (S&amp;P)'!K3517, TODAY(), "M")&lt;18),
    1.10,
    1.00)</f>
        <v/>
      </c>
      <c r="O3517">
        <f>IF('Loan Tape (S&amp;P)'!T3517="Yes",
    1.35,
    1.00)</f>
        <v/>
      </c>
      <c r="P3517">
        <f>IF('Loan Tape (S&amp;P)'!S3517="Yes",
    1.15,
    1.00)</f>
        <v/>
      </c>
      <c r="Q3517">
        <f>IF('Loan Tape (S&amp;P)'!V3517="Yes",
    1.20,
    1.00)</f>
        <v/>
      </c>
      <c r="T3517">
        <f>LET(
    payment_method,'Loan Tape (S&amp;P)'!P3517,
    occupancy,'Loan Tape (S&amp;P)'!N3517,
    maturity_date,'Loan Tape (S&amp;P)'!L3517,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18">
      <c r="J3518">
        <f>LET(
    lien,'Loan Tape (S&amp;P)'!Q3518,
    IF(lien="First",1.00,
        IF(lien="Second",1.50,
            1.70)))</f>
        <v/>
      </c>
      <c r="K3518">
        <f>LET(
    purpose,'Loan Tape (S&amp;P)'!R3518,
    IF(purpose="Purchase",1.00,
        IF(purpose="Remortgage",1.00,
            1.20)))</f>
        <v/>
      </c>
      <c r="L3518">
        <f>LET(
    arrears_months,'Loan Tape (S&amp;P)'!AN3518,
    IF(arrears_months=0,1.00,
    IF(arrears_months=1,3.00,
    IF(arrears_months=2,5.00,
    IF(arrears_months=3,8.00,
    IF(arrears_months=4,10.00,
    IF(arrears_months=5,12.00,15.00)))))))</f>
        <v/>
      </c>
      <c r="M3518">
        <f>LET(
    seasoning_years,DATEDIF('Loan Tape (S&amp;P)'!K3518,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18">
        <f>IF(AND('Loan Tape (S&amp;P)'!U3518="Yes",
        'Loan Tape (S&amp;P)'!T3518&lt;&gt;"Yes",
        DATEDIF('Loan Tape (S&amp;P)'!K3518, TODAY(), "M")&lt;18),
    1.10,
    1.00)</f>
        <v/>
      </c>
      <c r="O3518">
        <f>IF('Loan Tape (S&amp;P)'!T3518="Yes",
    1.35,
    1.00)</f>
        <v/>
      </c>
      <c r="P3518">
        <f>IF('Loan Tape (S&amp;P)'!S3518="Yes",
    1.15,
    1.00)</f>
        <v/>
      </c>
      <c r="Q3518">
        <f>IF('Loan Tape (S&amp;P)'!V3518="Yes",
    1.20,
    1.00)</f>
        <v/>
      </c>
      <c r="T3518">
        <f>LET(
    payment_method,'Loan Tape (S&amp;P)'!P3518,
    occupancy,'Loan Tape (S&amp;P)'!N3518,
    maturity_date,'Loan Tape (S&amp;P)'!L3518,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19">
      <c r="J3519">
        <f>LET(
    lien,'Loan Tape (S&amp;P)'!Q3519,
    IF(lien="First",1.00,
        IF(lien="Second",1.50,
            1.70)))</f>
        <v/>
      </c>
      <c r="K3519">
        <f>LET(
    purpose,'Loan Tape (S&amp;P)'!R3519,
    IF(purpose="Purchase",1.00,
        IF(purpose="Remortgage",1.00,
            1.20)))</f>
        <v/>
      </c>
      <c r="L3519">
        <f>LET(
    arrears_months,'Loan Tape (S&amp;P)'!AN3519,
    IF(arrears_months=0,1.00,
    IF(arrears_months=1,3.00,
    IF(arrears_months=2,5.00,
    IF(arrears_months=3,8.00,
    IF(arrears_months=4,10.00,
    IF(arrears_months=5,12.00,15.00)))))))</f>
        <v/>
      </c>
      <c r="M3519">
        <f>LET(
    seasoning_years,DATEDIF('Loan Tape (S&amp;P)'!K3519,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19">
        <f>IF(AND('Loan Tape (S&amp;P)'!U3519="Yes",
        'Loan Tape (S&amp;P)'!T3519&lt;&gt;"Yes",
        DATEDIF('Loan Tape (S&amp;P)'!K3519, TODAY(), "M")&lt;18),
    1.10,
    1.00)</f>
        <v/>
      </c>
      <c r="O3519">
        <f>IF('Loan Tape (S&amp;P)'!T3519="Yes",
    1.35,
    1.00)</f>
        <v/>
      </c>
      <c r="P3519">
        <f>IF('Loan Tape (S&amp;P)'!S3519="Yes",
    1.15,
    1.00)</f>
        <v/>
      </c>
      <c r="Q3519">
        <f>IF('Loan Tape (S&amp;P)'!V3519="Yes",
    1.20,
    1.00)</f>
        <v/>
      </c>
      <c r="T3519">
        <f>LET(
    payment_method,'Loan Tape (S&amp;P)'!P3519,
    occupancy,'Loan Tape (S&amp;P)'!N3519,
    maturity_date,'Loan Tape (S&amp;P)'!L3519,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20">
      <c r="J3520">
        <f>LET(
    lien,'Loan Tape (S&amp;P)'!Q3520,
    IF(lien="First",1.00,
        IF(lien="Second",1.50,
            1.70)))</f>
        <v/>
      </c>
      <c r="K3520">
        <f>LET(
    purpose,'Loan Tape (S&amp;P)'!R3520,
    IF(purpose="Purchase",1.00,
        IF(purpose="Remortgage",1.00,
            1.20)))</f>
        <v/>
      </c>
      <c r="L3520">
        <f>LET(
    arrears_months,'Loan Tape (S&amp;P)'!AN3520,
    IF(arrears_months=0,1.00,
    IF(arrears_months=1,3.00,
    IF(arrears_months=2,5.00,
    IF(arrears_months=3,8.00,
    IF(arrears_months=4,10.00,
    IF(arrears_months=5,12.00,15.00)))))))</f>
        <v/>
      </c>
      <c r="M3520">
        <f>LET(
    seasoning_years,DATEDIF('Loan Tape (S&amp;P)'!K3520,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20">
        <f>IF(AND('Loan Tape (S&amp;P)'!U3520="Yes",
        'Loan Tape (S&amp;P)'!T3520&lt;&gt;"Yes",
        DATEDIF('Loan Tape (S&amp;P)'!K3520, TODAY(), "M")&lt;18),
    1.10,
    1.00)</f>
        <v/>
      </c>
      <c r="O3520">
        <f>IF('Loan Tape (S&amp;P)'!T3520="Yes",
    1.35,
    1.00)</f>
        <v/>
      </c>
      <c r="P3520">
        <f>IF('Loan Tape (S&amp;P)'!S3520="Yes",
    1.15,
    1.00)</f>
        <v/>
      </c>
      <c r="Q3520">
        <f>IF('Loan Tape (S&amp;P)'!V3520="Yes",
    1.20,
    1.00)</f>
        <v/>
      </c>
      <c r="T3520">
        <f>LET(
    payment_method,'Loan Tape (S&amp;P)'!P3520,
    occupancy,'Loan Tape (S&amp;P)'!N3520,
    maturity_date,'Loan Tape (S&amp;P)'!L3520,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21">
      <c r="J3521">
        <f>LET(
    lien,'Loan Tape (S&amp;P)'!Q3521,
    IF(lien="First",1.00,
        IF(lien="Second",1.50,
            1.70)))</f>
        <v/>
      </c>
      <c r="K3521">
        <f>LET(
    purpose,'Loan Tape (S&amp;P)'!R3521,
    IF(purpose="Purchase",1.00,
        IF(purpose="Remortgage",1.00,
            1.20)))</f>
        <v/>
      </c>
      <c r="L3521">
        <f>LET(
    arrears_months,'Loan Tape (S&amp;P)'!AN3521,
    IF(arrears_months=0,1.00,
    IF(arrears_months=1,3.00,
    IF(arrears_months=2,5.00,
    IF(arrears_months=3,8.00,
    IF(arrears_months=4,10.00,
    IF(arrears_months=5,12.00,15.00)))))))</f>
        <v/>
      </c>
      <c r="M3521">
        <f>LET(
    seasoning_years,DATEDIF('Loan Tape (S&amp;P)'!K3521,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21">
        <f>IF(AND('Loan Tape (S&amp;P)'!U3521="Yes",
        'Loan Tape (S&amp;P)'!T3521&lt;&gt;"Yes",
        DATEDIF('Loan Tape (S&amp;P)'!K3521, TODAY(), "M")&lt;18),
    1.10,
    1.00)</f>
        <v/>
      </c>
      <c r="O3521">
        <f>IF('Loan Tape (S&amp;P)'!T3521="Yes",
    1.35,
    1.00)</f>
        <v/>
      </c>
      <c r="P3521">
        <f>IF('Loan Tape (S&amp;P)'!S3521="Yes",
    1.15,
    1.00)</f>
        <v/>
      </c>
      <c r="Q3521">
        <f>IF('Loan Tape (S&amp;P)'!V3521="Yes",
    1.20,
    1.00)</f>
        <v/>
      </c>
      <c r="T3521">
        <f>LET(
    payment_method,'Loan Tape (S&amp;P)'!P3521,
    occupancy,'Loan Tape (S&amp;P)'!N3521,
    maturity_date,'Loan Tape (S&amp;P)'!L3521,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22">
      <c r="J3522">
        <f>LET(
    lien,'Loan Tape (S&amp;P)'!Q3522,
    IF(lien="First",1.00,
        IF(lien="Second",1.50,
            1.70)))</f>
        <v/>
      </c>
      <c r="K3522">
        <f>LET(
    purpose,'Loan Tape (S&amp;P)'!R3522,
    IF(purpose="Purchase",1.00,
        IF(purpose="Remortgage",1.00,
            1.20)))</f>
        <v/>
      </c>
      <c r="L3522">
        <f>LET(
    arrears_months,'Loan Tape (S&amp;P)'!AN3522,
    IF(arrears_months=0,1.00,
    IF(arrears_months=1,3.00,
    IF(arrears_months=2,5.00,
    IF(arrears_months=3,8.00,
    IF(arrears_months=4,10.00,
    IF(arrears_months=5,12.00,15.00)))))))</f>
        <v/>
      </c>
      <c r="M3522">
        <f>LET(
    seasoning_years,DATEDIF('Loan Tape (S&amp;P)'!K3522,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22">
        <f>IF(AND('Loan Tape (S&amp;P)'!U3522="Yes",
        'Loan Tape (S&amp;P)'!T3522&lt;&gt;"Yes",
        DATEDIF('Loan Tape (S&amp;P)'!K3522, TODAY(), "M")&lt;18),
    1.10,
    1.00)</f>
        <v/>
      </c>
      <c r="O3522">
        <f>IF('Loan Tape (S&amp;P)'!T3522="Yes",
    1.35,
    1.00)</f>
        <v/>
      </c>
      <c r="P3522">
        <f>IF('Loan Tape (S&amp;P)'!S3522="Yes",
    1.15,
    1.00)</f>
        <v/>
      </c>
      <c r="Q3522">
        <f>IF('Loan Tape (S&amp;P)'!V3522="Yes",
    1.20,
    1.00)</f>
        <v/>
      </c>
      <c r="T3522">
        <f>LET(
    payment_method,'Loan Tape (S&amp;P)'!P3522,
    occupancy,'Loan Tape (S&amp;P)'!N3522,
    maturity_date,'Loan Tape (S&amp;P)'!L3522,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23">
      <c r="J3523">
        <f>LET(
    lien,'Loan Tape (S&amp;P)'!Q3523,
    IF(lien="First",1.00,
        IF(lien="Second",1.50,
            1.70)))</f>
        <v/>
      </c>
      <c r="K3523">
        <f>LET(
    purpose,'Loan Tape (S&amp;P)'!R3523,
    IF(purpose="Purchase",1.00,
        IF(purpose="Remortgage",1.00,
            1.20)))</f>
        <v/>
      </c>
      <c r="L3523">
        <f>LET(
    arrears_months,'Loan Tape (S&amp;P)'!AN3523,
    IF(arrears_months=0,1.00,
    IF(arrears_months=1,3.00,
    IF(arrears_months=2,5.00,
    IF(arrears_months=3,8.00,
    IF(arrears_months=4,10.00,
    IF(arrears_months=5,12.00,15.00)))))))</f>
        <v/>
      </c>
      <c r="M3523">
        <f>LET(
    seasoning_years,DATEDIF('Loan Tape (S&amp;P)'!K3523,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23">
        <f>IF(AND('Loan Tape (S&amp;P)'!U3523="Yes",
        'Loan Tape (S&amp;P)'!T3523&lt;&gt;"Yes",
        DATEDIF('Loan Tape (S&amp;P)'!K3523, TODAY(), "M")&lt;18),
    1.10,
    1.00)</f>
        <v/>
      </c>
      <c r="O3523">
        <f>IF('Loan Tape (S&amp;P)'!T3523="Yes",
    1.35,
    1.00)</f>
        <v/>
      </c>
      <c r="P3523">
        <f>IF('Loan Tape (S&amp;P)'!S3523="Yes",
    1.15,
    1.00)</f>
        <v/>
      </c>
      <c r="Q3523">
        <f>IF('Loan Tape (S&amp;P)'!V3523="Yes",
    1.20,
    1.00)</f>
        <v/>
      </c>
      <c r="T3523">
        <f>LET(
    payment_method,'Loan Tape (S&amp;P)'!P3523,
    occupancy,'Loan Tape (S&amp;P)'!N3523,
    maturity_date,'Loan Tape (S&amp;P)'!L3523,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24">
      <c r="J3524">
        <f>LET(
    lien,'Loan Tape (S&amp;P)'!Q3524,
    IF(lien="First",1.00,
        IF(lien="Second",1.50,
            1.70)))</f>
        <v/>
      </c>
      <c r="K3524">
        <f>LET(
    purpose,'Loan Tape (S&amp;P)'!R3524,
    IF(purpose="Purchase",1.00,
        IF(purpose="Remortgage",1.00,
            1.20)))</f>
        <v/>
      </c>
      <c r="L3524">
        <f>LET(
    arrears_months,'Loan Tape (S&amp;P)'!AN3524,
    IF(arrears_months=0,1.00,
    IF(arrears_months=1,3.00,
    IF(arrears_months=2,5.00,
    IF(arrears_months=3,8.00,
    IF(arrears_months=4,10.00,
    IF(arrears_months=5,12.00,15.00)))))))</f>
        <v/>
      </c>
      <c r="M3524">
        <f>LET(
    seasoning_years,DATEDIF('Loan Tape (S&amp;P)'!K3524,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24">
        <f>IF(AND('Loan Tape (S&amp;P)'!U3524="Yes",
        'Loan Tape (S&amp;P)'!T3524&lt;&gt;"Yes",
        DATEDIF('Loan Tape (S&amp;P)'!K3524, TODAY(), "M")&lt;18),
    1.10,
    1.00)</f>
        <v/>
      </c>
      <c r="O3524">
        <f>IF('Loan Tape (S&amp;P)'!T3524="Yes",
    1.35,
    1.00)</f>
        <v/>
      </c>
      <c r="P3524">
        <f>IF('Loan Tape (S&amp;P)'!S3524="Yes",
    1.15,
    1.00)</f>
        <v/>
      </c>
      <c r="Q3524">
        <f>IF('Loan Tape (S&amp;P)'!V3524="Yes",
    1.20,
    1.00)</f>
        <v/>
      </c>
      <c r="T3524">
        <f>LET(
    payment_method,'Loan Tape (S&amp;P)'!P3524,
    occupancy,'Loan Tape (S&amp;P)'!N3524,
    maturity_date,'Loan Tape (S&amp;P)'!L3524,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25">
      <c r="J3525">
        <f>LET(
    lien,'Loan Tape (S&amp;P)'!Q3525,
    IF(lien="First",1.00,
        IF(lien="Second",1.50,
            1.70)))</f>
        <v/>
      </c>
      <c r="K3525">
        <f>LET(
    purpose,'Loan Tape (S&amp;P)'!R3525,
    IF(purpose="Purchase",1.00,
        IF(purpose="Remortgage",1.00,
            1.20)))</f>
        <v/>
      </c>
      <c r="L3525">
        <f>LET(
    arrears_months,'Loan Tape (S&amp;P)'!AN3525,
    IF(arrears_months=0,1.00,
    IF(arrears_months=1,3.00,
    IF(arrears_months=2,5.00,
    IF(arrears_months=3,8.00,
    IF(arrears_months=4,10.00,
    IF(arrears_months=5,12.00,15.00)))))))</f>
        <v/>
      </c>
      <c r="M3525">
        <f>LET(
    seasoning_years,DATEDIF('Loan Tape (S&amp;P)'!K3525,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25">
        <f>IF(AND('Loan Tape (S&amp;P)'!U3525="Yes",
        'Loan Tape (S&amp;P)'!T3525&lt;&gt;"Yes",
        DATEDIF('Loan Tape (S&amp;P)'!K3525, TODAY(), "M")&lt;18),
    1.10,
    1.00)</f>
        <v/>
      </c>
      <c r="O3525">
        <f>IF('Loan Tape (S&amp;P)'!T3525="Yes",
    1.35,
    1.00)</f>
        <v/>
      </c>
      <c r="P3525">
        <f>IF('Loan Tape (S&amp;P)'!S3525="Yes",
    1.15,
    1.00)</f>
        <v/>
      </c>
      <c r="Q3525">
        <f>IF('Loan Tape (S&amp;P)'!V3525="Yes",
    1.20,
    1.00)</f>
        <v/>
      </c>
      <c r="T3525">
        <f>LET(
    payment_method,'Loan Tape (S&amp;P)'!P3525,
    occupancy,'Loan Tape (S&amp;P)'!N3525,
    maturity_date,'Loan Tape (S&amp;P)'!L3525,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26">
      <c r="J3526">
        <f>LET(
    lien,'Loan Tape (S&amp;P)'!Q3526,
    IF(lien="First",1.00,
        IF(lien="Second",1.50,
            1.70)))</f>
        <v/>
      </c>
      <c r="K3526">
        <f>LET(
    purpose,'Loan Tape (S&amp;P)'!R3526,
    IF(purpose="Purchase",1.00,
        IF(purpose="Remortgage",1.00,
            1.20)))</f>
        <v/>
      </c>
      <c r="L3526">
        <f>LET(
    arrears_months,'Loan Tape (S&amp;P)'!AN3526,
    IF(arrears_months=0,1.00,
    IF(arrears_months=1,3.00,
    IF(arrears_months=2,5.00,
    IF(arrears_months=3,8.00,
    IF(arrears_months=4,10.00,
    IF(arrears_months=5,12.00,15.00)))))))</f>
        <v/>
      </c>
      <c r="M3526">
        <f>LET(
    seasoning_years,DATEDIF('Loan Tape (S&amp;P)'!K3526,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26">
        <f>IF(AND('Loan Tape (S&amp;P)'!U3526="Yes",
        'Loan Tape (S&amp;P)'!T3526&lt;&gt;"Yes",
        DATEDIF('Loan Tape (S&amp;P)'!K3526, TODAY(), "M")&lt;18),
    1.10,
    1.00)</f>
        <v/>
      </c>
      <c r="O3526">
        <f>IF('Loan Tape (S&amp;P)'!T3526="Yes",
    1.35,
    1.00)</f>
        <v/>
      </c>
      <c r="P3526">
        <f>IF('Loan Tape (S&amp;P)'!S3526="Yes",
    1.15,
    1.00)</f>
        <v/>
      </c>
      <c r="Q3526">
        <f>IF('Loan Tape (S&amp;P)'!V3526="Yes",
    1.20,
    1.00)</f>
        <v/>
      </c>
      <c r="T3526">
        <f>LET(
    payment_method,'Loan Tape (S&amp;P)'!P3526,
    occupancy,'Loan Tape (S&amp;P)'!N3526,
    maturity_date,'Loan Tape (S&amp;P)'!L3526,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27">
      <c r="J3527">
        <f>LET(
    lien,'Loan Tape (S&amp;P)'!Q3527,
    IF(lien="First",1.00,
        IF(lien="Second",1.50,
            1.70)))</f>
        <v/>
      </c>
      <c r="K3527">
        <f>LET(
    purpose,'Loan Tape (S&amp;P)'!R3527,
    IF(purpose="Purchase",1.00,
        IF(purpose="Remortgage",1.00,
            1.20)))</f>
        <v/>
      </c>
      <c r="L3527">
        <f>LET(
    arrears_months,'Loan Tape (S&amp;P)'!AN3527,
    IF(arrears_months=0,1.00,
    IF(arrears_months=1,3.00,
    IF(arrears_months=2,5.00,
    IF(arrears_months=3,8.00,
    IF(arrears_months=4,10.00,
    IF(arrears_months=5,12.00,15.00)))))))</f>
        <v/>
      </c>
      <c r="M3527">
        <f>LET(
    seasoning_years,DATEDIF('Loan Tape (S&amp;P)'!K3527,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27">
        <f>IF(AND('Loan Tape (S&amp;P)'!U3527="Yes",
        'Loan Tape (S&amp;P)'!T3527&lt;&gt;"Yes",
        DATEDIF('Loan Tape (S&amp;P)'!K3527, TODAY(), "M")&lt;18),
    1.10,
    1.00)</f>
        <v/>
      </c>
      <c r="O3527">
        <f>IF('Loan Tape (S&amp;P)'!T3527="Yes",
    1.35,
    1.00)</f>
        <v/>
      </c>
      <c r="P3527">
        <f>IF('Loan Tape (S&amp;P)'!S3527="Yes",
    1.15,
    1.00)</f>
        <v/>
      </c>
      <c r="Q3527">
        <f>IF('Loan Tape (S&amp;P)'!V3527="Yes",
    1.20,
    1.00)</f>
        <v/>
      </c>
      <c r="T3527">
        <f>LET(
    payment_method,'Loan Tape (S&amp;P)'!P3527,
    occupancy,'Loan Tape (S&amp;P)'!N3527,
    maturity_date,'Loan Tape (S&amp;P)'!L3527,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28">
      <c r="J3528">
        <f>LET(
    lien,'Loan Tape (S&amp;P)'!Q3528,
    IF(lien="First",1.00,
        IF(lien="Second",1.50,
            1.70)))</f>
        <v/>
      </c>
      <c r="K3528">
        <f>LET(
    purpose,'Loan Tape (S&amp;P)'!R3528,
    IF(purpose="Purchase",1.00,
        IF(purpose="Remortgage",1.00,
            1.20)))</f>
        <v/>
      </c>
      <c r="L3528">
        <f>LET(
    arrears_months,'Loan Tape (S&amp;P)'!AN3528,
    IF(arrears_months=0,1.00,
    IF(arrears_months=1,3.00,
    IF(arrears_months=2,5.00,
    IF(arrears_months=3,8.00,
    IF(arrears_months=4,10.00,
    IF(arrears_months=5,12.00,15.00)))))))</f>
        <v/>
      </c>
      <c r="M3528">
        <f>LET(
    seasoning_years,DATEDIF('Loan Tape (S&amp;P)'!K3528,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28">
        <f>IF(AND('Loan Tape (S&amp;P)'!U3528="Yes",
        'Loan Tape (S&amp;P)'!T3528&lt;&gt;"Yes",
        DATEDIF('Loan Tape (S&amp;P)'!K3528, TODAY(), "M")&lt;18),
    1.10,
    1.00)</f>
        <v/>
      </c>
      <c r="O3528">
        <f>IF('Loan Tape (S&amp;P)'!T3528="Yes",
    1.35,
    1.00)</f>
        <v/>
      </c>
      <c r="P3528">
        <f>IF('Loan Tape (S&amp;P)'!S3528="Yes",
    1.15,
    1.00)</f>
        <v/>
      </c>
      <c r="Q3528">
        <f>IF('Loan Tape (S&amp;P)'!V3528="Yes",
    1.20,
    1.00)</f>
        <v/>
      </c>
      <c r="T3528">
        <f>LET(
    payment_method,'Loan Tape (S&amp;P)'!P3528,
    occupancy,'Loan Tape (S&amp;P)'!N3528,
    maturity_date,'Loan Tape (S&amp;P)'!L3528,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29">
      <c r="J3529">
        <f>LET(
    lien,'Loan Tape (S&amp;P)'!Q3529,
    IF(lien="First",1.00,
        IF(lien="Second",1.50,
            1.70)))</f>
        <v/>
      </c>
      <c r="K3529">
        <f>LET(
    purpose,'Loan Tape (S&amp;P)'!R3529,
    IF(purpose="Purchase",1.00,
        IF(purpose="Remortgage",1.00,
            1.20)))</f>
        <v/>
      </c>
      <c r="L3529">
        <f>LET(
    arrears_months,'Loan Tape (S&amp;P)'!AN3529,
    IF(arrears_months=0,1.00,
    IF(arrears_months=1,3.00,
    IF(arrears_months=2,5.00,
    IF(arrears_months=3,8.00,
    IF(arrears_months=4,10.00,
    IF(arrears_months=5,12.00,15.00)))))))</f>
        <v/>
      </c>
      <c r="M3529">
        <f>LET(
    seasoning_years,DATEDIF('Loan Tape (S&amp;P)'!K3529,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29">
        <f>IF(AND('Loan Tape (S&amp;P)'!U3529="Yes",
        'Loan Tape (S&amp;P)'!T3529&lt;&gt;"Yes",
        DATEDIF('Loan Tape (S&amp;P)'!K3529, TODAY(), "M")&lt;18),
    1.10,
    1.00)</f>
        <v/>
      </c>
      <c r="O3529">
        <f>IF('Loan Tape (S&amp;P)'!T3529="Yes",
    1.35,
    1.00)</f>
        <v/>
      </c>
      <c r="P3529">
        <f>IF('Loan Tape (S&amp;P)'!S3529="Yes",
    1.15,
    1.00)</f>
        <v/>
      </c>
      <c r="Q3529">
        <f>IF('Loan Tape (S&amp;P)'!V3529="Yes",
    1.20,
    1.00)</f>
        <v/>
      </c>
      <c r="T3529">
        <f>LET(
    payment_method,'Loan Tape (S&amp;P)'!P3529,
    occupancy,'Loan Tape (S&amp;P)'!N3529,
    maturity_date,'Loan Tape (S&amp;P)'!L3529,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30">
      <c r="J3530">
        <f>LET(
    lien,'Loan Tape (S&amp;P)'!Q3530,
    IF(lien="First",1.00,
        IF(lien="Second",1.50,
            1.70)))</f>
        <v/>
      </c>
      <c r="K3530">
        <f>LET(
    purpose,'Loan Tape (S&amp;P)'!R3530,
    IF(purpose="Purchase",1.00,
        IF(purpose="Remortgage",1.00,
            1.20)))</f>
        <v/>
      </c>
      <c r="L3530">
        <f>LET(
    arrears_months,'Loan Tape (S&amp;P)'!AN3530,
    IF(arrears_months=0,1.00,
    IF(arrears_months=1,3.00,
    IF(arrears_months=2,5.00,
    IF(arrears_months=3,8.00,
    IF(arrears_months=4,10.00,
    IF(arrears_months=5,12.00,15.00)))))))</f>
        <v/>
      </c>
      <c r="M3530">
        <f>LET(
    seasoning_years,DATEDIF('Loan Tape (S&amp;P)'!K3530,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30">
        <f>IF(AND('Loan Tape (S&amp;P)'!U3530="Yes",
        'Loan Tape (S&amp;P)'!T3530&lt;&gt;"Yes",
        DATEDIF('Loan Tape (S&amp;P)'!K3530, TODAY(), "M")&lt;18),
    1.10,
    1.00)</f>
        <v/>
      </c>
      <c r="O3530">
        <f>IF('Loan Tape (S&amp;P)'!T3530="Yes",
    1.35,
    1.00)</f>
        <v/>
      </c>
      <c r="P3530">
        <f>IF('Loan Tape (S&amp;P)'!S3530="Yes",
    1.15,
    1.00)</f>
        <v/>
      </c>
      <c r="Q3530">
        <f>IF('Loan Tape (S&amp;P)'!V3530="Yes",
    1.20,
    1.00)</f>
        <v/>
      </c>
      <c r="T3530">
        <f>LET(
    payment_method,'Loan Tape (S&amp;P)'!P3530,
    occupancy,'Loan Tape (S&amp;P)'!N3530,
    maturity_date,'Loan Tape (S&amp;P)'!L3530,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31">
      <c r="J3531">
        <f>LET(
    lien,'Loan Tape (S&amp;P)'!Q3531,
    IF(lien="First",1.00,
        IF(lien="Second",1.50,
            1.70)))</f>
        <v/>
      </c>
      <c r="K3531">
        <f>LET(
    purpose,'Loan Tape (S&amp;P)'!R3531,
    IF(purpose="Purchase",1.00,
        IF(purpose="Remortgage",1.00,
            1.20)))</f>
        <v/>
      </c>
      <c r="L3531">
        <f>LET(
    arrears_months,'Loan Tape (S&amp;P)'!AN3531,
    IF(arrears_months=0,1.00,
    IF(arrears_months=1,3.00,
    IF(arrears_months=2,5.00,
    IF(arrears_months=3,8.00,
    IF(arrears_months=4,10.00,
    IF(arrears_months=5,12.00,15.00)))))))</f>
        <v/>
      </c>
      <c r="M3531">
        <f>LET(
    seasoning_years,DATEDIF('Loan Tape (S&amp;P)'!K3531,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31">
        <f>IF(AND('Loan Tape (S&amp;P)'!U3531="Yes",
        'Loan Tape (S&amp;P)'!T3531&lt;&gt;"Yes",
        DATEDIF('Loan Tape (S&amp;P)'!K3531, TODAY(), "M")&lt;18),
    1.10,
    1.00)</f>
        <v/>
      </c>
      <c r="O3531">
        <f>IF('Loan Tape (S&amp;P)'!T3531="Yes",
    1.35,
    1.00)</f>
        <v/>
      </c>
      <c r="P3531">
        <f>IF('Loan Tape (S&amp;P)'!S3531="Yes",
    1.15,
    1.00)</f>
        <v/>
      </c>
      <c r="Q3531">
        <f>IF('Loan Tape (S&amp;P)'!V3531="Yes",
    1.20,
    1.00)</f>
        <v/>
      </c>
      <c r="T3531">
        <f>LET(
    payment_method,'Loan Tape (S&amp;P)'!P3531,
    occupancy,'Loan Tape (S&amp;P)'!N3531,
    maturity_date,'Loan Tape (S&amp;P)'!L3531,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32">
      <c r="J3532">
        <f>LET(
    lien,'Loan Tape (S&amp;P)'!Q3532,
    IF(lien="First",1.00,
        IF(lien="Second",1.50,
            1.70)))</f>
        <v/>
      </c>
      <c r="K3532">
        <f>LET(
    purpose,'Loan Tape (S&amp;P)'!R3532,
    IF(purpose="Purchase",1.00,
        IF(purpose="Remortgage",1.00,
            1.20)))</f>
        <v/>
      </c>
      <c r="L3532">
        <f>LET(
    arrears_months,'Loan Tape (S&amp;P)'!AN3532,
    IF(arrears_months=0,1.00,
    IF(arrears_months=1,3.00,
    IF(arrears_months=2,5.00,
    IF(arrears_months=3,8.00,
    IF(arrears_months=4,10.00,
    IF(arrears_months=5,12.00,15.00)))))))</f>
        <v/>
      </c>
      <c r="M3532">
        <f>LET(
    seasoning_years,DATEDIF('Loan Tape (S&amp;P)'!K3532,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32">
        <f>IF(AND('Loan Tape (S&amp;P)'!U3532="Yes",
        'Loan Tape (S&amp;P)'!T3532&lt;&gt;"Yes",
        DATEDIF('Loan Tape (S&amp;P)'!K3532, TODAY(), "M")&lt;18),
    1.10,
    1.00)</f>
        <v/>
      </c>
      <c r="O3532">
        <f>IF('Loan Tape (S&amp;P)'!T3532="Yes",
    1.35,
    1.00)</f>
        <v/>
      </c>
      <c r="P3532">
        <f>IF('Loan Tape (S&amp;P)'!S3532="Yes",
    1.15,
    1.00)</f>
        <v/>
      </c>
      <c r="Q3532">
        <f>IF('Loan Tape (S&amp;P)'!V3532="Yes",
    1.20,
    1.00)</f>
        <v/>
      </c>
      <c r="T3532">
        <f>LET(
    payment_method,'Loan Tape (S&amp;P)'!P3532,
    occupancy,'Loan Tape (S&amp;P)'!N3532,
    maturity_date,'Loan Tape (S&amp;P)'!L3532,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33">
      <c r="J3533">
        <f>LET(
    lien,'Loan Tape (S&amp;P)'!Q3533,
    IF(lien="First",1.00,
        IF(lien="Second",1.50,
            1.70)))</f>
        <v/>
      </c>
      <c r="K3533">
        <f>LET(
    purpose,'Loan Tape (S&amp;P)'!R3533,
    IF(purpose="Purchase",1.00,
        IF(purpose="Remortgage",1.00,
            1.20)))</f>
        <v/>
      </c>
      <c r="L3533">
        <f>LET(
    arrears_months,'Loan Tape (S&amp;P)'!AN3533,
    IF(arrears_months=0,1.00,
    IF(arrears_months=1,3.00,
    IF(arrears_months=2,5.00,
    IF(arrears_months=3,8.00,
    IF(arrears_months=4,10.00,
    IF(arrears_months=5,12.00,15.00)))))))</f>
        <v/>
      </c>
      <c r="M3533">
        <f>LET(
    seasoning_years,DATEDIF('Loan Tape (S&amp;P)'!K3533,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33">
        <f>IF(AND('Loan Tape (S&amp;P)'!U3533="Yes",
        'Loan Tape (S&amp;P)'!T3533&lt;&gt;"Yes",
        DATEDIF('Loan Tape (S&amp;P)'!K3533, TODAY(), "M")&lt;18),
    1.10,
    1.00)</f>
        <v/>
      </c>
      <c r="O3533">
        <f>IF('Loan Tape (S&amp;P)'!T3533="Yes",
    1.35,
    1.00)</f>
        <v/>
      </c>
      <c r="P3533">
        <f>IF('Loan Tape (S&amp;P)'!S3533="Yes",
    1.15,
    1.00)</f>
        <v/>
      </c>
      <c r="Q3533">
        <f>IF('Loan Tape (S&amp;P)'!V3533="Yes",
    1.20,
    1.00)</f>
        <v/>
      </c>
      <c r="T3533">
        <f>LET(
    payment_method,'Loan Tape (S&amp;P)'!P3533,
    occupancy,'Loan Tape (S&amp;P)'!N3533,
    maturity_date,'Loan Tape (S&amp;P)'!L3533,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34">
      <c r="J3534">
        <f>LET(
    lien,'Loan Tape (S&amp;P)'!Q3534,
    IF(lien="First",1.00,
        IF(lien="Second",1.50,
            1.70)))</f>
        <v/>
      </c>
      <c r="K3534">
        <f>LET(
    purpose,'Loan Tape (S&amp;P)'!R3534,
    IF(purpose="Purchase",1.00,
        IF(purpose="Remortgage",1.00,
            1.20)))</f>
        <v/>
      </c>
      <c r="L3534">
        <f>LET(
    arrears_months,'Loan Tape (S&amp;P)'!AN3534,
    IF(arrears_months=0,1.00,
    IF(arrears_months=1,3.00,
    IF(arrears_months=2,5.00,
    IF(arrears_months=3,8.00,
    IF(arrears_months=4,10.00,
    IF(arrears_months=5,12.00,15.00)))))))</f>
        <v/>
      </c>
      <c r="M3534">
        <f>LET(
    seasoning_years,DATEDIF('Loan Tape (S&amp;P)'!K3534,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34">
        <f>IF(AND('Loan Tape (S&amp;P)'!U3534="Yes",
        'Loan Tape (S&amp;P)'!T3534&lt;&gt;"Yes",
        DATEDIF('Loan Tape (S&amp;P)'!K3534, TODAY(), "M")&lt;18),
    1.10,
    1.00)</f>
        <v/>
      </c>
      <c r="O3534">
        <f>IF('Loan Tape (S&amp;P)'!T3534="Yes",
    1.35,
    1.00)</f>
        <v/>
      </c>
      <c r="P3534">
        <f>IF('Loan Tape (S&amp;P)'!S3534="Yes",
    1.15,
    1.00)</f>
        <v/>
      </c>
      <c r="Q3534">
        <f>IF('Loan Tape (S&amp;P)'!V3534="Yes",
    1.20,
    1.00)</f>
        <v/>
      </c>
      <c r="T3534">
        <f>LET(
    payment_method,'Loan Tape (S&amp;P)'!P3534,
    occupancy,'Loan Tape (S&amp;P)'!N3534,
    maturity_date,'Loan Tape (S&amp;P)'!L3534,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35">
      <c r="J3535">
        <f>LET(
    lien,'Loan Tape (S&amp;P)'!Q3535,
    IF(lien="First",1.00,
        IF(lien="Second",1.50,
            1.70)))</f>
        <v/>
      </c>
      <c r="K3535">
        <f>LET(
    purpose,'Loan Tape (S&amp;P)'!R3535,
    IF(purpose="Purchase",1.00,
        IF(purpose="Remortgage",1.00,
            1.20)))</f>
        <v/>
      </c>
      <c r="L3535">
        <f>LET(
    arrears_months,'Loan Tape (S&amp;P)'!AN3535,
    IF(arrears_months=0,1.00,
    IF(arrears_months=1,3.00,
    IF(arrears_months=2,5.00,
    IF(arrears_months=3,8.00,
    IF(arrears_months=4,10.00,
    IF(arrears_months=5,12.00,15.00)))))))</f>
        <v/>
      </c>
      <c r="M3535">
        <f>LET(
    seasoning_years,DATEDIF('Loan Tape (S&amp;P)'!K3535,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35">
        <f>IF(AND('Loan Tape (S&amp;P)'!U3535="Yes",
        'Loan Tape (S&amp;P)'!T3535&lt;&gt;"Yes",
        DATEDIF('Loan Tape (S&amp;P)'!K3535, TODAY(), "M")&lt;18),
    1.10,
    1.00)</f>
        <v/>
      </c>
      <c r="O3535">
        <f>IF('Loan Tape (S&amp;P)'!T3535="Yes",
    1.35,
    1.00)</f>
        <v/>
      </c>
      <c r="P3535">
        <f>IF('Loan Tape (S&amp;P)'!S3535="Yes",
    1.15,
    1.00)</f>
        <v/>
      </c>
      <c r="Q3535">
        <f>IF('Loan Tape (S&amp;P)'!V3535="Yes",
    1.20,
    1.00)</f>
        <v/>
      </c>
      <c r="T3535">
        <f>LET(
    payment_method,'Loan Tape (S&amp;P)'!P3535,
    occupancy,'Loan Tape (S&amp;P)'!N3535,
    maturity_date,'Loan Tape (S&amp;P)'!L3535,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36">
      <c r="J3536">
        <f>LET(
    lien,'Loan Tape (S&amp;P)'!Q3536,
    IF(lien="First",1.00,
        IF(lien="Second",1.50,
            1.70)))</f>
        <v/>
      </c>
      <c r="K3536">
        <f>LET(
    purpose,'Loan Tape (S&amp;P)'!R3536,
    IF(purpose="Purchase",1.00,
        IF(purpose="Remortgage",1.00,
            1.20)))</f>
        <v/>
      </c>
      <c r="L3536">
        <f>LET(
    arrears_months,'Loan Tape (S&amp;P)'!AN3536,
    IF(arrears_months=0,1.00,
    IF(arrears_months=1,3.00,
    IF(arrears_months=2,5.00,
    IF(arrears_months=3,8.00,
    IF(arrears_months=4,10.00,
    IF(arrears_months=5,12.00,15.00)))))))</f>
        <v/>
      </c>
      <c r="M3536">
        <f>LET(
    seasoning_years,DATEDIF('Loan Tape (S&amp;P)'!K3536,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36">
        <f>IF(AND('Loan Tape (S&amp;P)'!U3536="Yes",
        'Loan Tape (S&amp;P)'!T3536&lt;&gt;"Yes",
        DATEDIF('Loan Tape (S&amp;P)'!K3536, TODAY(), "M")&lt;18),
    1.10,
    1.00)</f>
        <v/>
      </c>
      <c r="O3536">
        <f>IF('Loan Tape (S&amp;P)'!T3536="Yes",
    1.35,
    1.00)</f>
        <v/>
      </c>
      <c r="P3536">
        <f>IF('Loan Tape (S&amp;P)'!S3536="Yes",
    1.15,
    1.00)</f>
        <v/>
      </c>
      <c r="Q3536">
        <f>IF('Loan Tape (S&amp;P)'!V3536="Yes",
    1.20,
    1.00)</f>
        <v/>
      </c>
      <c r="T3536">
        <f>LET(
    payment_method,'Loan Tape (S&amp;P)'!P3536,
    occupancy,'Loan Tape (S&amp;P)'!N3536,
    maturity_date,'Loan Tape (S&amp;P)'!L3536,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37">
      <c r="J3537">
        <f>LET(
    lien,'Loan Tape (S&amp;P)'!Q3537,
    IF(lien="First",1.00,
        IF(lien="Second",1.50,
            1.70)))</f>
        <v/>
      </c>
      <c r="K3537">
        <f>LET(
    purpose,'Loan Tape (S&amp;P)'!R3537,
    IF(purpose="Purchase",1.00,
        IF(purpose="Remortgage",1.00,
            1.20)))</f>
        <v/>
      </c>
      <c r="L3537">
        <f>LET(
    arrears_months,'Loan Tape (S&amp;P)'!AN3537,
    IF(arrears_months=0,1.00,
    IF(arrears_months=1,3.00,
    IF(arrears_months=2,5.00,
    IF(arrears_months=3,8.00,
    IF(arrears_months=4,10.00,
    IF(arrears_months=5,12.00,15.00)))))))</f>
        <v/>
      </c>
      <c r="M3537">
        <f>LET(
    seasoning_years,DATEDIF('Loan Tape (S&amp;P)'!K3537,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37">
        <f>IF(AND('Loan Tape (S&amp;P)'!U3537="Yes",
        'Loan Tape (S&amp;P)'!T3537&lt;&gt;"Yes",
        DATEDIF('Loan Tape (S&amp;P)'!K3537, TODAY(), "M")&lt;18),
    1.10,
    1.00)</f>
        <v/>
      </c>
      <c r="O3537">
        <f>IF('Loan Tape (S&amp;P)'!T3537="Yes",
    1.35,
    1.00)</f>
        <v/>
      </c>
      <c r="P3537">
        <f>IF('Loan Tape (S&amp;P)'!S3537="Yes",
    1.15,
    1.00)</f>
        <v/>
      </c>
      <c r="Q3537">
        <f>IF('Loan Tape (S&amp;P)'!V3537="Yes",
    1.20,
    1.00)</f>
        <v/>
      </c>
      <c r="T3537">
        <f>LET(
    payment_method,'Loan Tape (S&amp;P)'!P3537,
    occupancy,'Loan Tape (S&amp;P)'!N3537,
    maturity_date,'Loan Tape (S&amp;P)'!L3537,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38">
      <c r="J3538">
        <f>LET(
    lien,'Loan Tape (S&amp;P)'!Q3538,
    IF(lien="First",1.00,
        IF(lien="Second",1.50,
            1.70)))</f>
        <v/>
      </c>
      <c r="K3538">
        <f>LET(
    purpose,'Loan Tape (S&amp;P)'!R3538,
    IF(purpose="Purchase",1.00,
        IF(purpose="Remortgage",1.00,
            1.20)))</f>
        <v/>
      </c>
      <c r="L3538">
        <f>LET(
    arrears_months,'Loan Tape (S&amp;P)'!AN3538,
    IF(arrears_months=0,1.00,
    IF(arrears_months=1,3.00,
    IF(arrears_months=2,5.00,
    IF(arrears_months=3,8.00,
    IF(arrears_months=4,10.00,
    IF(arrears_months=5,12.00,15.00)))))))</f>
        <v/>
      </c>
      <c r="M3538">
        <f>LET(
    seasoning_years,DATEDIF('Loan Tape (S&amp;P)'!K3538,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38">
        <f>IF(AND('Loan Tape (S&amp;P)'!U3538="Yes",
        'Loan Tape (S&amp;P)'!T3538&lt;&gt;"Yes",
        DATEDIF('Loan Tape (S&amp;P)'!K3538, TODAY(), "M")&lt;18),
    1.10,
    1.00)</f>
        <v/>
      </c>
      <c r="O3538">
        <f>IF('Loan Tape (S&amp;P)'!T3538="Yes",
    1.35,
    1.00)</f>
        <v/>
      </c>
      <c r="P3538">
        <f>IF('Loan Tape (S&amp;P)'!S3538="Yes",
    1.15,
    1.00)</f>
        <v/>
      </c>
      <c r="Q3538">
        <f>IF('Loan Tape (S&amp;P)'!V3538="Yes",
    1.20,
    1.00)</f>
        <v/>
      </c>
      <c r="T3538">
        <f>LET(
    payment_method,'Loan Tape (S&amp;P)'!P3538,
    occupancy,'Loan Tape (S&amp;P)'!N3538,
    maturity_date,'Loan Tape (S&amp;P)'!L3538,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39">
      <c r="J3539">
        <f>LET(
    lien,'Loan Tape (S&amp;P)'!Q3539,
    IF(lien="First",1.00,
        IF(lien="Second",1.50,
            1.70)))</f>
        <v/>
      </c>
      <c r="K3539">
        <f>LET(
    purpose,'Loan Tape (S&amp;P)'!R3539,
    IF(purpose="Purchase",1.00,
        IF(purpose="Remortgage",1.00,
            1.20)))</f>
        <v/>
      </c>
      <c r="L3539">
        <f>LET(
    arrears_months,'Loan Tape (S&amp;P)'!AN3539,
    IF(arrears_months=0,1.00,
    IF(arrears_months=1,3.00,
    IF(arrears_months=2,5.00,
    IF(arrears_months=3,8.00,
    IF(arrears_months=4,10.00,
    IF(arrears_months=5,12.00,15.00)))))))</f>
        <v/>
      </c>
      <c r="M3539">
        <f>LET(
    seasoning_years,DATEDIF('Loan Tape (S&amp;P)'!K3539,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39">
        <f>IF(AND('Loan Tape (S&amp;P)'!U3539="Yes",
        'Loan Tape (S&amp;P)'!T3539&lt;&gt;"Yes",
        DATEDIF('Loan Tape (S&amp;P)'!K3539, TODAY(), "M")&lt;18),
    1.10,
    1.00)</f>
        <v/>
      </c>
      <c r="O3539">
        <f>IF('Loan Tape (S&amp;P)'!T3539="Yes",
    1.35,
    1.00)</f>
        <v/>
      </c>
      <c r="P3539">
        <f>IF('Loan Tape (S&amp;P)'!S3539="Yes",
    1.15,
    1.00)</f>
        <v/>
      </c>
      <c r="Q3539">
        <f>IF('Loan Tape (S&amp;P)'!V3539="Yes",
    1.20,
    1.00)</f>
        <v/>
      </c>
      <c r="T3539">
        <f>LET(
    payment_method,'Loan Tape (S&amp;P)'!P3539,
    occupancy,'Loan Tape (S&amp;P)'!N3539,
    maturity_date,'Loan Tape (S&amp;P)'!L3539,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40">
      <c r="J3540">
        <f>LET(
    lien,'Loan Tape (S&amp;P)'!Q3540,
    IF(lien="First",1.00,
        IF(lien="Second",1.50,
            1.70)))</f>
        <v/>
      </c>
      <c r="K3540">
        <f>LET(
    purpose,'Loan Tape (S&amp;P)'!R3540,
    IF(purpose="Purchase",1.00,
        IF(purpose="Remortgage",1.00,
            1.20)))</f>
        <v/>
      </c>
      <c r="L3540">
        <f>LET(
    arrears_months,'Loan Tape (S&amp;P)'!AN3540,
    IF(arrears_months=0,1.00,
    IF(arrears_months=1,3.00,
    IF(arrears_months=2,5.00,
    IF(arrears_months=3,8.00,
    IF(arrears_months=4,10.00,
    IF(arrears_months=5,12.00,15.00)))))))</f>
        <v/>
      </c>
      <c r="M3540">
        <f>LET(
    seasoning_years,DATEDIF('Loan Tape (S&amp;P)'!K3540,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40">
        <f>IF(AND('Loan Tape (S&amp;P)'!U3540="Yes",
        'Loan Tape (S&amp;P)'!T3540&lt;&gt;"Yes",
        DATEDIF('Loan Tape (S&amp;P)'!K3540, TODAY(), "M")&lt;18),
    1.10,
    1.00)</f>
        <v/>
      </c>
      <c r="O3540">
        <f>IF('Loan Tape (S&amp;P)'!T3540="Yes",
    1.35,
    1.00)</f>
        <v/>
      </c>
      <c r="P3540">
        <f>IF('Loan Tape (S&amp;P)'!S3540="Yes",
    1.15,
    1.00)</f>
        <v/>
      </c>
      <c r="Q3540">
        <f>IF('Loan Tape (S&amp;P)'!V3540="Yes",
    1.20,
    1.00)</f>
        <v/>
      </c>
      <c r="T3540">
        <f>LET(
    payment_method,'Loan Tape (S&amp;P)'!P3540,
    occupancy,'Loan Tape (S&amp;P)'!N3540,
    maturity_date,'Loan Tape (S&amp;P)'!L3540,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41">
      <c r="J3541">
        <f>LET(
    lien,'Loan Tape (S&amp;P)'!Q3541,
    IF(lien="First",1.00,
        IF(lien="Second",1.50,
            1.70)))</f>
        <v/>
      </c>
      <c r="K3541">
        <f>LET(
    purpose,'Loan Tape (S&amp;P)'!R3541,
    IF(purpose="Purchase",1.00,
        IF(purpose="Remortgage",1.00,
            1.20)))</f>
        <v/>
      </c>
      <c r="L3541">
        <f>LET(
    arrears_months,'Loan Tape (S&amp;P)'!AN3541,
    IF(arrears_months=0,1.00,
    IF(arrears_months=1,3.00,
    IF(arrears_months=2,5.00,
    IF(arrears_months=3,8.00,
    IF(arrears_months=4,10.00,
    IF(arrears_months=5,12.00,15.00)))))))</f>
        <v/>
      </c>
      <c r="M3541">
        <f>LET(
    seasoning_years,DATEDIF('Loan Tape (S&amp;P)'!K3541,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41">
        <f>IF(AND('Loan Tape (S&amp;P)'!U3541="Yes",
        'Loan Tape (S&amp;P)'!T3541&lt;&gt;"Yes",
        DATEDIF('Loan Tape (S&amp;P)'!K3541, TODAY(), "M")&lt;18),
    1.10,
    1.00)</f>
        <v/>
      </c>
      <c r="O3541">
        <f>IF('Loan Tape (S&amp;P)'!T3541="Yes",
    1.35,
    1.00)</f>
        <v/>
      </c>
      <c r="P3541">
        <f>IF('Loan Tape (S&amp;P)'!S3541="Yes",
    1.15,
    1.00)</f>
        <v/>
      </c>
      <c r="Q3541">
        <f>IF('Loan Tape (S&amp;P)'!V3541="Yes",
    1.20,
    1.00)</f>
        <v/>
      </c>
      <c r="T3541">
        <f>LET(
    payment_method,'Loan Tape (S&amp;P)'!P3541,
    occupancy,'Loan Tape (S&amp;P)'!N3541,
    maturity_date,'Loan Tape (S&amp;P)'!L3541,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42">
      <c r="J3542">
        <f>LET(
    lien,'Loan Tape (S&amp;P)'!Q3542,
    IF(lien="First",1.00,
        IF(lien="Second",1.50,
            1.70)))</f>
        <v/>
      </c>
      <c r="K3542">
        <f>LET(
    purpose,'Loan Tape (S&amp;P)'!R3542,
    IF(purpose="Purchase",1.00,
        IF(purpose="Remortgage",1.00,
            1.20)))</f>
        <v/>
      </c>
      <c r="L3542">
        <f>LET(
    arrears_months,'Loan Tape (S&amp;P)'!AN3542,
    IF(arrears_months=0,1.00,
    IF(arrears_months=1,3.00,
    IF(arrears_months=2,5.00,
    IF(arrears_months=3,8.00,
    IF(arrears_months=4,10.00,
    IF(arrears_months=5,12.00,15.00)))))))</f>
        <v/>
      </c>
      <c r="M3542">
        <f>LET(
    seasoning_years,DATEDIF('Loan Tape (S&amp;P)'!K3542,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42">
        <f>IF(AND('Loan Tape (S&amp;P)'!U3542="Yes",
        'Loan Tape (S&amp;P)'!T3542&lt;&gt;"Yes",
        DATEDIF('Loan Tape (S&amp;P)'!K3542, TODAY(), "M")&lt;18),
    1.10,
    1.00)</f>
        <v/>
      </c>
      <c r="O3542">
        <f>IF('Loan Tape (S&amp;P)'!T3542="Yes",
    1.35,
    1.00)</f>
        <v/>
      </c>
      <c r="P3542">
        <f>IF('Loan Tape (S&amp;P)'!S3542="Yes",
    1.15,
    1.00)</f>
        <v/>
      </c>
      <c r="Q3542">
        <f>IF('Loan Tape (S&amp;P)'!V3542="Yes",
    1.20,
    1.00)</f>
        <v/>
      </c>
      <c r="T3542">
        <f>LET(
    payment_method,'Loan Tape (S&amp;P)'!P3542,
    occupancy,'Loan Tape (S&amp;P)'!N3542,
    maturity_date,'Loan Tape (S&amp;P)'!L3542,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43">
      <c r="J3543">
        <f>LET(
    lien,'Loan Tape (S&amp;P)'!Q3543,
    IF(lien="First",1.00,
        IF(lien="Second",1.50,
            1.70)))</f>
        <v/>
      </c>
      <c r="K3543">
        <f>LET(
    purpose,'Loan Tape (S&amp;P)'!R3543,
    IF(purpose="Purchase",1.00,
        IF(purpose="Remortgage",1.00,
            1.20)))</f>
        <v/>
      </c>
      <c r="L3543">
        <f>LET(
    arrears_months,'Loan Tape (S&amp;P)'!AN3543,
    IF(arrears_months=0,1.00,
    IF(arrears_months=1,3.00,
    IF(arrears_months=2,5.00,
    IF(arrears_months=3,8.00,
    IF(arrears_months=4,10.00,
    IF(arrears_months=5,12.00,15.00)))))))</f>
        <v/>
      </c>
      <c r="M3543">
        <f>LET(
    seasoning_years,DATEDIF('Loan Tape (S&amp;P)'!K3543,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43">
        <f>IF(AND('Loan Tape (S&amp;P)'!U3543="Yes",
        'Loan Tape (S&amp;P)'!T3543&lt;&gt;"Yes",
        DATEDIF('Loan Tape (S&amp;P)'!K3543, TODAY(), "M")&lt;18),
    1.10,
    1.00)</f>
        <v/>
      </c>
      <c r="O3543">
        <f>IF('Loan Tape (S&amp;P)'!T3543="Yes",
    1.35,
    1.00)</f>
        <v/>
      </c>
      <c r="P3543">
        <f>IF('Loan Tape (S&amp;P)'!S3543="Yes",
    1.15,
    1.00)</f>
        <v/>
      </c>
      <c r="Q3543">
        <f>IF('Loan Tape (S&amp;P)'!V3543="Yes",
    1.20,
    1.00)</f>
        <v/>
      </c>
      <c r="T3543">
        <f>LET(
    payment_method,'Loan Tape (S&amp;P)'!P3543,
    occupancy,'Loan Tape (S&amp;P)'!N3543,
    maturity_date,'Loan Tape (S&amp;P)'!L3543,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44">
      <c r="J3544">
        <f>LET(
    lien,'Loan Tape (S&amp;P)'!Q3544,
    IF(lien="First",1.00,
        IF(lien="Second",1.50,
            1.70)))</f>
        <v/>
      </c>
      <c r="K3544">
        <f>LET(
    purpose,'Loan Tape (S&amp;P)'!R3544,
    IF(purpose="Purchase",1.00,
        IF(purpose="Remortgage",1.00,
            1.20)))</f>
        <v/>
      </c>
      <c r="L3544">
        <f>LET(
    arrears_months,'Loan Tape (S&amp;P)'!AN3544,
    IF(arrears_months=0,1.00,
    IF(arrears_months=1,3.00,
    IF(arrears_months=2,5.00,
    IF(arrears_months=3,8.00,
    IF(arrears_months=4,10.00,
    IF(arrears_months=5,12.00,15.00)))))))</f>
        <v/>
      </c>
      <c r="M3544">
        <f>LET(
    seasoning_years,DATEDIF('Loan Tape (S&amp;P)'!K3544,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44">
        <f>IF(AND('Loan Tape (S&amp;P)'!U3544="Yes",
        'Loan Tape (S&amp;P)'!T3544&lt;&gt;"Yes",
        DATEDIF('Loan Tape (S&amp;P)'!K3544, TODAY(), "M")&lt;18),
    1.10,
    1.00)</f>
        <v/>
      </c>
      <c r="O3544">
        <f>IF('Loan Tape (S&amp;P)'!T3544="Yes",
    1.35,
    1.00)</f>
        <v/>
      </c>
      <c r="P3544">
        <f>IF('Loan Tape (S&amp;P)'!S3544="Yes",
    1.15,
    1.00)</f>
        <v/>
      </c>
      <c r="Q3544">
        <f>IF('Loan Tape (S&amp;P)'!V3544="Yes",
    1.20,
    1.00)</f>
        <v/>
      </c>
      <c r="T3544">
        <f>LET(
    payment_method,'Loan Tape (S&amp;P)'!P3544,
    occupancy,'Loan Tape (S&amp;P)'!N3544,
    maturity_date,'Loan Tape (S&amp;P)'!L3544,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45">
      <c r="J3545">
        <f>LET(
    lien,'Loan Tape (S&amp;P)'!Q3545,
    IF(lien="First",1.00,
        IF(lien="Second",1.50,
            1.70)))</f>
        <v/>
      </c>
      <c r="K3545">
        <f>LET(
    purpose,'Loan Tape (S&amp;P)'!R3545,
    IF(purpose="Purchase",1.00,
        IF(purpose="Remortgage",1.00,
            1.20)))</f>
        <v/>
      </c>
      <c r="L3545">
        <f>LET(
    arrears_months,'Loan Tape (S&amp;P)'!AN3545,
    IF(arrears_months=0,1.00,
    IF(arrears_months=1,3.00,
    IF(arrears_months=2,5.00,
    IF(arrears_months=3,8.00,
    IF(arrears_months=4,10.00,
    IF(arrears_months=5,12.00,15.00)))))))</f>
        <v/>
      </c>
      <c r="M3545">
        <f>LET(
    seasoning_years,DATEDIF('Loan Tape (S&amp;P)'!K3545,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45">
        <f>IF(AND('Loan Tape (S&amp;P)'!U3545="Yes",
        'Loan Tape (S&amp;P)'!T3545&lt;&gt;"Yes",
        DATEDIF('Loan Tape (S&amp;P)'!K3545, TODAY(), "M")&lt;18),
    1.10,
    1.00)</f>
        <v/>
      </c>
      <c r="O3545">
        <f>IF('Loan Tape (S&amp;P)'!T3545="Yes",
    1.35,
    1.00)</f>
        <v/>
      </c>
      <c r="P3545">
        <f>IF('Loan Tape (S&amp;P)'!S3545="Yes",
    1.15,
    1.00)</f>
        <v/>
      </c>
      <c r="Q3545">
        <f>IF('Loan Tape (S&amp;P)'!V3545="Yes",
    1.20,
    1.00)</f>
        <v/>
      </c>
      <c r="T3545">
        <f>LET(
    payment_method,'Loan Tape (S&amp;P)'!P3545,
    occupancy,'Loan Tape (S&amp;P)'!N3545,
    maturity_date,'Loan Tape (S&amp;P)'!L3545,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46">
      <c r="J3546">
        <f>LET(
    lien,'Loan Tape (S&amp;P)'!Q3546,
    IF(lien="First",1.00,
        IF(lien="Second",1.50,
            1.70)))</f>
        <v/>
      </c>
      <c r="K3546">
        <f>LET(
    purpose,'Loan Tape (S&amp;P)'!R3546,
    IF(purpose="Purchase",1.00,
        IF(purpose="Remortgage",1.00,
            1.20)))</f>
        <v/>
      </c>
      <c r="L3546">
        <f>LET(
    arrears_months,'Loan Tape (S&amp;P)'!AN3546,
    IF(arrears_months=0,1.00,
    IF(arrears_months=1,3.00,
    IF(arrears_months=2,5.00,
    IF(arrears_months=3,8.00,
    IF(arrears_months=4,10.00,
    IF(arrears_months=5,12.00,15.00)))))))</f>
        <v/>
      </c>
      <c r="M3546">
        <f>LET(
    seasoning_years,DATEDIF('Loan Tape (S&amp;P)'!K3546,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46">
        <f>IF(AND('Loan Tape (S&amp;P)'!U3546="Yes",
        'Loan Tape (S&amp;P)'!T3546&lt;&gt;"Yes",
        DATEDIF('Loan Tape (S&amp;P)'!K3546, TODAY(), "M")&lt;18),
    1.10,
    1.00)</f>
        <v/>
      </c>
      <c r="O3546">
        <f>IF('Loan Tape (S&amp;P)'!T3546="Yes",
    1.35,
    1.00)</f>
        <v/>
      </c>
      <c r="P3546">
        <f>IF('Loan Tape (S&amp;P)'!S3546="Yes",
    1.15,
    1.00)</f>
        <v/>
      </c>
      <c r="Q3546">
        <f>IF('Loan Tape (S&amp;P)'!V3546="Yes",
    1.20,
    1.00)</f>
        <v/>
      </c>
      <c r="T3546">
        <f>LET(
    payment_method,'Loan Tape (S&amp;P)'!P3546,
    occupancy,'Loan Tape (S&amp;P)'!N3546,
    maturity_date,'Loan Tape (S&amp;P)'!L3546,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47">
      <c r="J3547">
        <f>LET(
    lien,'Loan Tape (S&amp;P)'!Q3547,
    IF(lien="First",1.00,
        IF(lien="Second",1.50,
            1.70)))</f>
        <v/>
      </c>
      <c r="K3547">
        <f>LET(
    purpose,'Loan Tape (S&amp;P)'!R3547,
    IF(purpose="Purchase",1.00,
        IF(purpose="Remortgage",1.00,
            1.20)))</f>
        <v/>
      </c>
      <c r="L3547">
        <f>LET(
    arrears_months,'Loan Tape (S&amp;P)'!AN3547,
    IF(arrears_months=0,1.00,
    IF(arrears_months=1,3.00,
    IF(arrears_months=2,5.00,
    IF(arrears_months=3,8.00,
    IF(arrears_months=4,10.00,
    IF(arrears_months=5,12.00,15.00)))))))</f>
        <v/>
      </c>
      <c r="M3547">
        <f>LET(
    seasoning_years,DATEDIF('Loan Tape (S&amp;P)'!K3547,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47">
        <f>IF(AND('Loan Tape (S&amp;P)'!U3547="Yes",
        'Loan Tape (S&amp;P)'!T3547&lt;&gt;"Yes",
        DATEDIF('Loan Tape (S&amp;P)'!K3547, TODAY(), "M")&lt;18),
    1.10,
    1.00)</f>
        <v/>
      </c>
      <c r="O3547">
        <f>IF('Loan Tape (S&amp;P)'!T3547="Yes",
    1.35,
    1.00)</f>
        <v/>
      </c>
      <c r="P3547">
        <f>IF('Loan Tape (S&amp;P)'!S3547="Yes",
    1.15,
    1.00)</f>
        <v/>
      </c>
      <c r="Q3547">
        <f>IF('Loan Tape (S&amp;P)'!V3547="Yes",
    1.20,
    1.00)</f>
        <v/>
      </c>
      <c r="T3547">
        <f>LET(
    payment_method,'Loan Tape (S&amp;P)'!P3547,
    occupancy,'Loan Tape (S&amp;P)'!N3547,
    maturity_date,'Loan Tape (S&amp;P)'!L3547,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48">
      <c r="J3548">
        <f>LET(
    lien,'Loan Tape (S&amp;P)'!Q3548,
    IF(lien="First",1.00,
        IF(lien="Second",1.50,
            1.70)))</f>
        <v/>
      </c>
      <c r="K3548">
        <f>LET(
    purpose,'Loan Tape (S&amp;P)'!R3548,
    IF(purpose="Purchase",1.00,
        IF(purpose="Remortgage",1.00,
            1.20)))</f>
        <v/>
      </c>
      <c r="L3548">
        <f>LET(
    arrears_months,'Loan Tape (S&amp;P)'!AN3548,
    IF(arrears_months=0,1.00,
    IF(arrears_months=1,3.00,
    IF(arrears_months=2,5.00,
    IF(arrears_months=3,8.00,
    IF(arrears_months=4,10.00,
    IF(arrears_months=5,12.00,15.00)))))))</f>
        <v/>
      </c>
      <c r="M3548">
        <f>LET(
    seasoning_years,DATEDIF('Loan Tape (S&amp;P)'!K3548,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48">
        <f>IF(AND('Loan Tape (S&amp;P)'!U3548="Yes",
        'Loan Tape (S&amp;P)'!T3548&lt;&gt;"Yes",
        DATEDIF('Loan Tape (S&amp;P)'!K3548, TODAY(), "M")&lt;18),
    1.10,
    1.00)</f>
        <v/>
      </c>
      <c r="O3548">
        <f>IF('Loan Tape (S&amp;P)'!T3548="Yes",
    1.35,
    1.00)</f>
        <v/>
      </c>
      <c r="P3548">
        <f>IF('Loan Tape (S&amp;P)'!S3548="Yes",
    1.15,
    1.00)</f>
        <v/>
      </c>
      <c r="Q3548">
        <f>IF('Loan Tape (S&amp;P)'!V3548="Yes",
    1.20,
    1.00)</f>
        <v/>
      </c>
      <c r="T3548">
        <f>LET(
    payment_method,'Loan Tape (S&amp;P)'!P3548,
    occupancy,'Loan Tape (S&amp;P)'!N3548,
    maturity_date,'Loan Tape (S&amp;P)'!L3548,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49">
      <c r="J3549">
        <f>LET(
    lien,'Loan Tape (S&amp;P)'!Q3549,
    IF(lien="First",1.00,
        IF(lien="Second",1.50,
            1.70)))</f>
        <v/>
      </c>
      <c r="K3549">
        <f>LET(
    purpose,'Loan Tape (S&amp;P)'!R3549,
    IF(purpose="Purchase",1.00,
        IF(purpose="Remortgage",1.00,
            1.20)))</f>
        <v/>
      </c>
      <c r="L3549">
        <f>LET(
    arrears_months,'Loan Tape (S&amp;P)'!AN3549,
    IF(arrears_months=0,1.00,
    IF(arrears_months=1,3.00,
    IF(arrears_months=2,5.00,
    IF(arrears_months=3,8.00,
    IF(arrears_months=4,10.00,
    IF(arrears_months=5,12.00,15.00)))))))</f>
        <v/>
      </c>
      <c r="M3549">
        <f>LET(
    seasoning_years,DATEDIF('Loan Tape (S&amp;P)'!K3549,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49">
        <f>IF(AND('Loan Tape (S&amp;P)'!U3549="Yes",
        'Loan Tape (S&amp;P)'!T3549&lt;&gt;"Yes",
        DATEDIF('Loan Tape (S&amp;P)'!K3549, TODAY(), "M")&lt;18),
    1.10,
    1.00)</f>
        <v/>
      </c>
      <c r="O3549">
        <f>IF('Loan Tape (S&amp;P)'!T3549="Yes",
    1.35,
    1.00)</f>
        <v/>
      </c>
      <c r="P3549">
        <f>IF('Loan Tape (S&amp;P)'!S3549="Yes",
    1.15,
    1.00)</f>
        <v/>
      </c>
      <c r="Q3549">
        <f>IF('Loan Tape (S&amp;P)'!V3549="Yes",
    1.20,
    1.00)</f>
        <v/>
      </c>
      <c r="T3549">
        <f>LET(
    payment_method,'Loan Tape (S&amp;P)'!P3549,
    occupancy,'Loan Tape (S&amp;P)'!N3549,
    maturity_date,'Loan Tape (S&amp;P)'!L3549,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50">
      <c r="J3550">
        <f>LET(
    lien,'Loan Tape (S&amp;P)'!Q3550,
    IF(lien="First",1.00,
        IF(lien="Second",1.50,
            1.70)))</f>
        <v/>
      </c>
      <c r="K3550">
        <f>LET(
    purpose,'Loan Tape (S&amp;P)'!R3550,
    IF(purpose="Purchase",1.00,
        IF(purpose="Remortgage",1.00,
            1.20)))</f>
        <v/>
      </c>
      <c r="L3550">
        <f>LET(
    arrears_months,'Loan Tape (S&amp;P)'!AN3550,
    IF(arrears_months=0,1.00,
    IF(arrears_months=1,3.00,
    IF(arrears_months=2,5.00,
    IF(arrears_months=3,8.00,
    IF(arrears_months=4,10.00,
    IF(arrears_months=5,12.00,15.00)))))))</f>
        <v/>
      </c>
      <c r="M3550">
        <f>LET(
    seasoning_years,DATEDIF('Loan Tape (S&amp;P)'!K3550,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50">
        <f>IF(AND('Loan Tape (S&amp;P)'!U3550="Yes",
        'Loan Tape (S&amp;P)'!T3550&lt;&gt;"Yes",
        DATEDIF('Loan Tape (S&amp;P)'!K3550, TODAY(), "M")&lt;18),
    1.10,
    1.00)</f>
        <v/>
      </c>
      <c r="O3550">
        <f>IF('Loan Tape (S&amp;P)'!T3550="Yes",
    1.35,
    1.00)</f>
        <v/>
      </c>
      <c r="P3550">
        <f>IF('Loan Tape (S&amp;P)'!S3550="Yes",
    1.15,
    1.00)</f>
        <v/>
      </c>
      <c r="Q3550">
        <f>IF('Loan Tape (S&amp;P)'!V3550="Yes",
    1.20,
    1.00)</f>
        <v/>
      </c>
      <c r="T3550">
        <f>LET(
    payment_method,'Loan Tape (S&amp;P)'!P3550,
    occupancy,'Loan Tape (S&amp;P)'!N3550,
    maturity_date,'Loan Tape (S&amp;P)'!L3550,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51">
      <c r="J3551">
        <f>LET(
    lien,'Loan Tape (S&amp;P)'!Q3551,
    IF(lien="First",1.00,
        IF(lien="Second",1.50,
            1.70)))</f>
        <v/>
      </c>
      <c r="K3551">
        <f>LET(
    purpose,'Loan Tape (S&amp;P)'!R3551,
    IF(purpose="Purchase",1.00,
        IF(purpose="Remortgage",1.00,
            1.20)))</f>
        <v/>
      </c>
      <c r="L3551">
        <f>LET(
    arrears_months,'Loan Tape (S&amp;P)'!AN3551,
    IF(arrears_months=0,1.00,
    IF(arrears_months=1,3.00,
    IF(arrears_months=2,5.00,
    IF(arrears_months=3,8.00,
    IF(arrears_months=4,10.00,
    IF(arrears_months=5,12.00,15.00)))))))</f>
        <v/>
      </c>
      <c r="M3551">
        <f>LET(
    seasoning_years,DATEDIF('Loan Tape (S&amp;P)'!K3551,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51">
        <f>IF(AND('Loan Tape (S&amp;P)'!U3551="Yes",
        'Loan Tape (S&amp;P)'!T3551&lt;&gt;"Yes",
        DATEDIF('Loan Tape (S&amp;P)'!K3551, TODAY(), "M")&lt;18),
    1.10,
    1.00)</f>
        <v/>
      </c>
      <c r="O3551">
        <f>IF('Loan Tape (S&amp;P)'!T3551="Yes",
    1.35,
    1.00)</f>
        <v/>
      </c>
      <c r="P3551">
        <f>IF('Loan Tape (S&amp;P)'!S3551="Yes",
    1.15,
    1.00)</f>
        <v/>
      </c>
      <c r="Q3551">
        <f>IF('Loan Tape (S&amp;P)'!V3551="Yes",
    1.20,
    1.00)</f>
        <v/>
      </c>
      <c r="T3551">
        <f>LET(
    payment_method,'Loan Tape (S&amp;P)'!P3551,
    occupancy,'Loan Tape (S&amp;P)'!N3551,
    maturity_date,'Loan Tape (S&amp;P)'!L3551,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52">
      <c r="J3552">
        <f>LET(
    lien,'Loan Tape (S&amp;P)'!Q3552,
    IF(lien="First",1.00,
        IF(lien="Second",1.50,
            1.70)))</f>
        <v/>
      </c>
      <c r="K3552">
        <f>LET(
    purpose,'Loan Tape (S&amp;P)'!R3552,
    IF(purpose="Purchase",1.00,
        IF(purpose="Remortgage",1.00,
            1.20)))</f>
        <v/>
      </c>
      <c r="L3552">
        <f>LET(
    arrears_months,'Loan Tape (S&amp;P)'!AN3552,
    IF(arrears_months=0,1.00,
    IF(arrears_months=1,3.00,
    IF(arrears_months=2,5.00,
    IF(arrears_months=3,8.00,
    IF(arrears_months=4,10.00,
    IF(arrears_months=5,12.00,15.00)))))))</f>
        <v/>
      </c>
      <c r="M3552">
        <f>LET(
    seasoning_years,DATEDIF('Loan Tape (S&amp;P)'!K3552,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52">
        <f>IF(AND('Loan Tape (S&amp;P)'!U3552="Yes",
        'Loan Tape (S&amp;P)'!T3552&lt;&gt;"Yes",
        DATEDIF('Loan Tape (S&amp;P)'!K3552, TODAY(), "M")&lt;18),
    1.10,
    1.00)</f>
        <v/>
      </c>
      <c r="O3552">
        <f>IF('Loan Tape (S&amp;P)'!T3552="Yes",
    1.35,
    1.00)</f>
        <v/>
      </c>
      <c r="P3552">
        <f>IF('Loan Tape (S&amp;P)'!S3552="Yes",
    1.15,
    1.00)</f>
        <v/>
      </c>
      <c r="Q3552">
        <f>IF('Loan Tape (S&amp;P)'!V3552="Yes",
    1.20,
    1.00)</f>
        <v/>
      </c>
      <c r="T3552">
        <f>LET(
    payment_method,'Loan Tape (S&amp;P)'!P3552,
    occupancy,'Loan Tape (S&amp;P)'!N3552,
    maturity_date,'Loan Tape (S&amp;P)'!L3552,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53">
      <c r="J3553">
        <f>LET(
    lien,'Loan Tape (S&amp;P)'!Q3553,
    IF(lien="First",1.00,
        IF(lien="Second",1.50,
            1.70)))</f>
        <v/>
      </c>
      <c r="K3553">
        <f>LET(
    purpose,'Loan Tape (S&amp;P)'!R3553,
    IF(purpose="Purchase",1.00,
        IF(purpose="Remortgage",1.00,
            1.20)))</f>
        <v/>
      </c>
      <c r="L3553">
        <f>LET(
    arrears_months,'Loan Tape (S&amp;P)'!AN3553,
    IF(arrears_months=0,1.00,
    IF(arrears_months=1,3.00,
    IF(arrears_months=2,5.00,
    IF(arrears_months=3,8.00,
    IF(arrears_months=4,10.00,
    IF(arrears_months=5,12.00,15.00)))))))</f>
        <v/>
      </c>
      <c r="M3553">
        <f>LET(
    seasoning_years,DATEDIF('Loan Tape (S&amp;P)'!K3553,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53">
        <f>IF(AND('Loan Tape (S&amp;P)'!U3553="Yes",
        'Loan Tape (S&amp;P)'!T3553&lt;&gt;"Yes",
        DATEDIF('Loan Tape (S&amp;P)'!K3553, TODAY(), "M")&lt;18),
    1.10,
    1.00)</f>
        <v/>
      </c>
      <c r="O3553">
        <f>IF('Loan Tape (S&amp;P)'!T3553="Yes",
    1.35,
    1.00)</f>
        <v/>
      </c>
      <c r="P3553">
        <f>IF('Loan Tape (S&amp;P)'!S3553="Yes",
    1.15,
    1.00)</f>
        <v/>
      </c>
      <c r="Q3553">
        <f>IF('Loan Tape (S&amp;P)'!V3553="Yes",
    1.20,
    1.00)</f>
        <v/>
      </c>
      <c r="T3553">
        <f>LET(
    payment_method,'Loan Tape (S&amp;P)'!P3553,
    occupancy,'Loan Tape (S&amp;P)'!N3553,
    maturity_date,'Loan Tape (S&amp;P)'!L3553,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54">
      <c r="J3554">
        <f>LET(
    lien,'Loan Tape (S&amp;P)'!Q3554,
    IF(lien="First",1.00,
        IF(lien="Second",1.50,
            1.70)))</f>
        <v/>
      </c>
      <c r="K3554">
        <f>LET(
    purpose,'Loan Tape (S&amp;P)'!R3554,
    IF(purpose="Purchase",1.00,
        IF(purpose="Remortgage",1.00,
            1.20)))</f>
        <v/>
      </c>
      <c r="L3554">
        <f>LET(
    arrears_months,'Loan Tape (S&amp;P)'!AN3554,
    IF(arrears_months=0,1.00,
    IF(arrears_months=1,3.00,
    IF(arrears_months=2,5.00,
    IF(arrears_months=3,8.00,
    IF(arrears_months=4,10.00,
    IF(arrears_months=5,12.00,15.00)))))))</f>
        <v/>
      </c>
      <c r="M3554">
        <f>LET(
    seasoning_years,DATEDIF('Loan Tape (S&amp;P)'!K3554,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54">
        <f>IF(AND('Loan Tape (S&amp;P)'!U3554="Yes",
        'Loan Tape (S&amp;P)'!T3554&lt;&gt;"Yes",
        DATEDIF('Loan Tape (S&amp;P)'!K3554, TODAY(), "M")&lt;18),
    1.10,
    1.00)</f>
        <v/>
      </c>
      <c r="O3554">
        <f>IF('Loan Tape (S&amp;P)'!T3554="Yes",
    1.35,
    1.00)</f>
        <v/>
      </c>
      <c r="P3554">
        <f>IF('Loan Tape (S&amp;P)'!S3554="Yes",
    1.15,
    1.00)</f>
        <v/>
      </c>
      <c r="Q3554">
        <f>IF('Loan Tape (S&amp;P)'!V3554="Yes",
    1.20,
    1.00)</f>
        <v/>
      </c>
      <c r="T3554">
        <f>LET(
    payment_method,'Loan Tape (S&amp;P)'!P3554,
    occupancy,'Loan Tape (S&amp;P)'!N3554,
    maturity_date,'Loan Tape (S&amp;P)'!L3554,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55">
      <c r="J3555">
        <f>LET(
    lien,'Loan Tape (S&amp;P)'!Q3555,
    IF(lien="First",1.00,
        IF(lien="Second",1.50,
            1.70)))</f>
        <v/>
      </c>
      <c r="K3555">
        <f>LET(
    purpose,'Loan Tape (S&amp;P)'!R3555,
    IF(purpose="Purchase",1.00,
        IF(purpose="Remortgage",1.00,
            1.20)))</f>
        <v/>
      </c>
      <c r="L3555">
        <f>LET(
    arrears_months,'Loan Tape (S&amp;P)'!AN3555,
    IF(arrears_months=0,1.00,
    IF(arrears_months=1,3.00,
    IF(arrears_months=2,5.00,
    IF(arrears_months=3,8.00,
    IF(arrears_months=4,10.00,
    IF(arrears_months=5,12.00,15.00)))))))</f>
        <v/>
      </c>
      <c r="M3555">
        <f>LET(
    seasoning_years,DATEDIF('Loan Tape (S&amp;P)'!K3555,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55">
        <f>IF(AND('Loan Tape (S&amp;P)'!U3555="Yes",
        'Loan Tape (S&amp;P)'!T3555&lt;&gt;"Yes",
        DATEDIF('Loan Tape (S&amp;P)'!K3555, TODAY(), "M")&lt;18),
    1.10,
    1.00)</f>
        <v/>
      </c>
      <c r="O3555">
        <f>IF('Loan Tape (S&amp;P)'!T3555="Yes",
    1.35,
    1.00)</f>
        <v/>
      </c>
      <c r="P3555">
        <f>IF('Loan Tape (S&amp;P)'!S3555="Yes",
    1.15,
    1.00)</f>
        <v/>
      </c>
      <c r="Q3555">
        <f>IF('Loan Tape (S&amp;P)'!V3555="Yes",
    1.20,
    1.00)</f>
        <v/>
      </c>
      <c r="T3555">
        <f>LET(
    payment_method,'Loan Tape (S&amp;P)'!P3555,
    occupancy,'Loan Tape (S&amp;P)'!N3555,
    maturity_date,'Loan Tape (S&amp;P)'!L3555,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56">
      <c r="J3556">
        <f>LET(
    lien,'Loan Tape (S&amp;P)'!Q3556,
    IF(lien="First",1.00,
        IF(lien="Second",1.50,
            1.70)))</f>
        <v/>
      </c>
      <c r="K3556">
        <f>LET(
    purpose,'Loan Tape (S&amp;P)'!R3556,
    IF(purpose="Purchase",1.00,
        IF(purpose="Remortgage",1.00,
            1.20)))</f>
        <v/>
      </c>
      <c r="L3556">
        <f>LET(
    arrears_months,'Loan Tape (S&amp;P)'!AN3556,
    IF(arrears_months=0,1.00,
    IF(arrears_months=1,3.00,
    IF(arrears_months=2,5.00,
    IF(arrears_months=3,8.00,
    IF(arrears_months=4,10.00,
    IF(arrears_months=5,12.00,15.00)))))))</f>
        <v/>
      </c>
      <c r="M3556">
        <f>LET(
    seasoning_years,DATEDIF('Loan Tape (S&amp;P)'!K3556,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56">
        <f>IF(AND('Loan Tape (S&amp;P)'!U3556="Yes",
        'Loan Tape (S&amp;P)'!T3556&lt;&gt;"Yes",
        DATEDIF('Loan Tape (S&amp;P)'!K3556, TODAY(), "M")&lt;18),
    1.10,
    1.00)</f>
        <v/>
      </c>
      <c r="O3556">
        <f>IF('Loan Tape (S&amp;P)'!T3556="Yes",
    1.35,
    1.00)</f>
        <v/>
      </c>
      <c r="P3556">
        <f>IF('Loan Tape (S&amp;P)'!S3556="Yes",
    1.15,
    1.00)</f>
        <v/>
      </c>
      <c r="Q3556">
        <f>IF('Loan Tape (S&amp;P)'!V3556="Yes",
    1.20,
    1.00)</f>
        <v/>
      </c>
      <c r="T3556">
        <f>LET(
    payment_method,'Loan Tape (S&amp;P)'!P3556,
    occupancy,'Loan Tape (S&amp;P)'!N3556,
    maturity_date,'Loan Tape (S&amp;P)'!L3556,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57">
      <c r="J3557">
        <f>LET(
    lien,'Loan Tape (S&amp;P)'!Q3557,
    IF(lien="First",1.00,
        IF(lien="Second",1.50,
            1.70)))</f>
        <v/>
      </c>
      <c r="K3557">
        <f>LET(
    purpose,'Loan Tape (S&amp;P)'!R3557,
    IF(purpose="Purchase",1.00,
        IF(purpose="Remortgage",1.00,
            1.20)))</f>
        <v/>
      </c>
      <c r="L3557">
        <f>LET(
    arrears_months,'Loan Tape (S&amp;P)'!AN3557,
    IF(arrears_months=0,1.00,
    IF(arrears_months=1,3.00,
    IF(arrears_months=2,5.00,
    IF(arrears_months=3,8.00,
    IF(arrears_months=4,10.00,
    IF(arrears_months=5,12.00,15.00)))))))</f>
        <v/>
      </c>
      <c r="M3557">
        <f>LET(
    seasoning_years,DATEDIF('Loan Tape (S&amp;P)'!K3557,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57">
        <f>IF(AND('Loan Tape (S&amp;P)'!U3557="Yes",
        'Loan Tape (S&amp;P)'!T3557&lt;&gt;"Yes",
        DATEDIF('Loan Tape (S&amp;P)'!K3557, TODAY(), "M")&lt;18),
    1.10,
    1.00)</f>
        <v/>
      </c>
      <c r="O3557">
        <f>IF('Loan Tape (S&amp;P)'!T3557="Yes",
    1.35,
    1.00)</f>
        <v/>
      </c>
      <c r="P3557">
        <f>IF('Loan Tape (S&amp;P)'!S3557="Yes",
    1.15,
    1.00)</f>
        <v/>
      </c>
      <c r="Q3557">
        <f>IF('Loan Tape (S&amp;P)'!V3557="Yes",
    1.20,
    1.00)</f>
        <v/>
      </c>
      <c r="T3557">
        <f>LET(
    payment_method,'Loan Tape (S&amp;P)'!P3557,
    occupancy,'Loan Tape (S&amp;P)'!N3557,
    maturity_date,'Loan Tape (S&amp;P)'!L3557,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58">
      <c r="J3558">
        <f>LET(
    lien,'Loan Tape (S&amp;P)'!Q3558,
    IF(lien="First",1.00,
        IF(lien="Second",1.50,
            1.70)))</f>
        <v/>
      </c>
      <c r="K3558">
        <f>LET(
    purpose,'Loan Tape (S&amp;P)'!R3558,
    IF(purpose="Purchase",1.00,
        IF(purpose="Remortgage",1.00,
            1.20)))</f>
        <v/>
      </c>
      <c r="L3558">
        <f>LET(
    arrears_months,'Loan Tape (S&amp;P)'!AN3558,
    IF(arrears_months=0,1.00,
    IF(arrears_months=1,3.00,
    IF(arrears_months=2,5.00,
    IF(arrears_months=3,8.00,
    IF(arrears_months=4,10.00,
    IF(arrears_months=5,12.00,15.00)))))))</f>
        <v/>
      </c>
      <c r="M3558">
        <f>LET(
    seasoning_years,DATEDIF('Loan Tape (S&amp;P)'!K3558,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58">
        <f>IF(AND('Loan Tape (S&amp;P)'!U3558="Yes",
        'Loan Tape (S&amp;P)'!T3558&lt;&gt;"Yes",
        DATEDIF('Loan Tape (S&amp;P)'!K3558, TODAY(), "M")&lt;18),
    1.10,
    1.00)</f>
        <v/>
      </c>
      <c r="O3558">
        <f>IF('Loan Tape (S&amp;P)'!T3558="Yes",
    1.35,
    1.00)</f>
        <v/>
      </c>
      <c r="P3558">
        <f>IF('Loan Tape (S&amp;P)'!S3558="Yes",
    1.15,
    1.00)</f>
        <v/>
      </c>
      <c r="Q3558">
        <f>IF('Loan Tape (S&amp;P)'!V3558="Yes",
    1.20,
    1.00)</f>
        <v/>
      </c>
      <c r="T3558">
        <f>LET(
    payment_method,'Loan Tape (S&amp;P)'!P3558,
    occupancy,'Loan Tape (S&amp;P)'!N3558,
    maturity_date,'Loan Tape (S&amp;P)'!L3558,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59">
      <c r="J3559">
        <f>LET(
    lien,'Loan Tape (S&amp;P)'!Q3559,
    IF(lien="First",1.00,
        IF(lien="Second",1.50,
            1.70)))</f>
        <v/>
      </c>
      <c r="K3559">
        <f>LET(
    purpose,'Loan Tape (S&amp;P)'!R3559,
    IF(purpose="Purchase",1.00,
        IF(purpose="Remortgage",1.00,
            1.20)))</f>
        <v/>
      </c>
      <c r="L3559">
        <f>LET(
    arrears_months,'Loan Tape (S&amp;P)'!AN3559,
    IF(arrears_months=0,1.00,
    IF(arrears_months=1,3.00,
    IF(arrears_months=2,5.00,
    IF(arrears_months=3,8.00,
    IF(arrears_months=4,10.00,
    IF(arrears_months=5,12.00,15.00)))))))</f>
        <v/>
      </c>
      <c r="M3559">
        <f>LET(
    seasoning_years,DATEDIF('Loan Tape (S&amp;P)'!K3559,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59">
        <f>IF(AND('Loan Tape (S&amp;P)'!U3559="Yes",
        'Loan Tape (S&amp;P)'!T3559&lt;&gt;"Yes",
        DATEDIF('Loan Tape (S&amp;P)'!K3559, TODAY(), "M")&lt;18),
    1.10,
    1.00)</f>
        <v/>
      </c>
      <c r="O3559">
        <f>IF('Loan Tape (S&amp;P)'!T3559="Yes",
    1.35,
    1.00)</f>
        <v/>
      </c>
      <c r="P3559">
        <f>IF('Loan Tape (S&amp;P)'!S3559="Yes",
    1.15,
    1.00)</f>
        <v/>
      </c>
      <c r="Q3559">
        <f>IF('Loan Tape (S&amp;P)'!V3559="Yes",
    1.20,
    1.00)</f>
        <v/>
      </c>
      <c r="T3559">
        <f>LET(
    payment_method,'Loan Tape (S&amp;P)'!P3559,
    occupancy,'Loan Tape (S&amp;P)'!N3559,
    maturity_date,'Loan Tape (S&amp;P)'!L3559,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60">
      <c r="J3560">
        <f>LET(
    lien,'Loan Tape (S&amp;P)'!Q3560,
    IF(lien="First",1.00,
        IF(lien="Second",1.50,
            1.70)))</f>
        <v/>
      </c>
      <c r="K3560">
        <f>LET(
    purpose,'Loan Tape (S&amp;P)'!R3560,
    IF(purpose="Purchase",1.00,
        IF(purpose="Remortgage",1.00,
            1.20)))</f>
        <v/>
      </c>
      <c r="L3560">
        <f>LET(
    arrears_months,'Loan Tape (S&amp;P)'!AN3560,
    IF(arrears_months=0,1.00,
    IF(arrears_months=1,3.00,
    IF(arrears_months=2,5.00,
    IF(arrears_months=3,8.00,
    IF(arrears_months=4,10.00,
    IF(arrears_months=5,12.00,15.00)))))))</f>
        <v/>
      </c>
      <c r="M3560">
        <f>LET(
    seasoning_years,DATEDIF('Loan Tape (S&amp;P)'!K3560,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60">
        <f>IF(AND('Loan Tape (S&amp;P)'!U3560="Yes",
        'Loan Tape (S&amp;P)'!T3560&lt;&gt;"Yes",
        DATEDIF('Loan Tape (S&amp;P)'!K3560, TODAY(), "M")&lt;18),
    1.10,
    1.00)</f>
        <v/>
      </c>
      <c r="O3560">
        <f>IF('Loan Tape (S&amp;P)'!T3560="Yes",
    1.35,
    1.00)</f>
        <v/>
      </c>
      <c r="P3560">
        <f>IF('Loan Tape (S&amp;P)'!S3560="Yes",
    1.15,
    1.00)</f>
        <v/>
      </c>
      <c r="Q3560">
        <f>IF('Loan Tape (S&amp;P)'!V3560="Yes",
    1.20,
    1.00)</f>
        <v/>
      </c>
      <c r="T3560">
        <f>LET(
    payment_method,'Loan Tape (S&amp;P)'!P3560,
    occupancy,'Loan Tape (S&amp;P)'!N3560,
    maturity_date,'Loan Tape (S&amp;P)'!L3560,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61">
      <c r="J3561">
        <f>LET(
    lien,'Loan Tape (S&amp;P)'!Q3561,
    IF(lien="First",1.00,
        IF(lien="Second",1.50,
            1.70)))</f>
        <v/>
      </c>
      <c r="K3561">
        <f>LET(
    purpose,'Loan Tape (S&amp;P)'!R3561,
    IF(purpose="Purchase",1.00,
        IF(purpose="Remortgage",1.00,
            1.20)))</f>
        <v/>
      </c>
      <c r="L3561">
        <f>LET(
    arrears_months,'Loan Tape (S&amp;P)'!AN3561,
    IF(arrears_months=0,1.00,
    IF(arrears_months=1,3.00,
    IF(arrears_months=2,5.00,
    IF(arrears_months=3,8.00,
    IF(arrears_months=4,10.00,
    IF(arrears_months=5,12.00,15.00)))))))</f>
        <v/>
      </c>
      <c r="M3561">
        <f>LET(
    seasoning_years,DATEDIF('Loan Tape (S&amp;P)'!K3561,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61">
        <f>IF(AND('Loan Tape (S&amp;P)'!U3561="Yes",
        'Loan Tape (S&amp;P)'!T3561&lt;&gt;"Yes",
        DATEDIF('Loan Tape (S&amp;P)'!K3561, TODAY(), "M")&lt;18),
    1.10,
    1.00)</f>
        <v/>
      </c>
      <c r="O3561">
        <f>IF('Loan Tape (S&amp;P)'!T3561="Yes",
    1.35,
    1.00)</f>
        <v/>
      </c>
      <c r="P3561">
        <f>IF('Loan Tape (S&amp;P)'!S3561="Yes",
    1.15,
    1.00)</f>
        <v/>
      </c>
      <c r="Q3561">
        <f>IF('Loan Tape (S&amp;P)'!V3561="Yes",
    1.20,
    1.00)</f>
        <v/>
      </c>
      <c r="T3561">
        <f>LET(
    payment_method,'Loan Tape (S&amp;P)'!P3561,
    occupancy,'Loan Tape (S&amp;P)'!N3561,
    maturity_date,'Loan Tape (S&amp;P)'!L3561,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62">
      <c r="J3562">
        <f>LET(
    lien,'Loan Tape (S&amp;P)'!Q3562,
    IF(lien="First",1.00,
        IF(lien="Second",1.50,
            1.70)))</f>
        <v/>
      </c>
      <c r="K3562">
        <f>LET(
    purpose,'Loan Tape (S&amp;P)'!R3562,
    IF(purpose="Purchase",1.00,
        IF(purpose="Remortgage",1.00,
            1.20)))</f>
        <v/>
      </c>
      <c r="L3562">
        <f>LET(
    arrears_months,'Loan Tape (S&amp;P)'!AN3562,
    IF(arrears_months=0,1.00,
    IF(arrears_months=1,3.00,
    IF(arrears_months=2,5.00,
    IF(arrears_months=3,8.00,
    IF(arrears_months=4,10.00,
    IF(arrears_months=5,12.00,15.00)))))))</f>
        <v/>
      </c>
      <c r="M3562">
        <f>LET(
    seasoning_years,DATEDIF('Loan Tape (S&amp;P)'!K3562,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62">
        <f>IF(AND('Loan Tape (S&amp;P)'!U3562="Yes",
        'Loan Tape (S&amp;P)'!T3562&lt;&gt;"Yes",
        DATEDIF('Loan Tape (S&amp;P)'!K3562, TODAY(), "M")&lt;18),
    1.10,
    1.00)</f>
        <v/>
      </c>
      <c r="O3562">
        <f>IF('Loan Tape (S&amp;P)'!T3562="Yes",
    1.35,
    1.00)</f>
        <v/>
      </c>
      <c r="P3562">
        <f>IF('Loan Tape (S&amp;P)'!S3562="Yes",
    1.15,
    1.00)</f>
        <v/>
      </c>
      <c r="Q3562">
        <f>IF('Loan Tape (S&amp;P)'!V3562="Yes",
    1.20,
    1.00)</f>
        <v/>
      </c>
      <c r="T3562">
        <f>LET(
    payment_method,'Loan Tape (S&amp;P)'!P3562,
    occupancy,'Loan Tape (S&amp;P)'!N3562,
    maturity_date,'Loan Tape (S&amp;P)'!L3562,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63">
      <c r="J3563">
        <f>LET(
    lien,'Loan Tape (S&amp;P)'!Q3563,
    IF(lien="First",1.00,
        IF(lien="Second",1.50,
            1.70)))</f>
        <v/>
      </c>
      <c r="K3563">
        <f>LET(
    purpose,'Loan Tape (S&amp;P)'!R3563,
    IF(purpose="Purchase",1.00,
        IF(purpose="Remortgage",1.00,
            1.20)))</f>
        <v/>
      </c>
      <c r="L3563">
        <f>LET(
    arrears_months,'Loan Tape (S&amp;P)'!AN3563,
    IF(arrears_months=0,1.00,
    IF(arrears_months=1,3.00,
    IF(arrears_months=2,5.00,
    IF(arrears_months=3,8.00,
    IF(arrears_months=4,10.00,
    IF(arrears_months=5,12.00,15.00)))))))</f>
        <v/>
      </c>
      <c r="M3563">
        <f>LET(
    seasoning_years,DATEDIF('Loan Tape (S&amp;P)'!K3563,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63">
        <f>IF(AND('Loan Tape (S&amp;P)'!U3563="Yes",
        'Loan Tape (S&amp;P)'!T3563&lt;&gt;"Yes",
        DATEDIF('Loan Tape (S&amp;P)'!K3563, TODAY(), "M")&lt;18),
    1.10,
    1.00)</f>
        <v/>
      </c>
      <c r="O3563">
        <f>IF('Loan Tape (S&amp;P)'!T3563="Yes",
    1.35,
    1.00)</f>
        <v/>
      </c>
      <c r="P3563">
        <f>IF('Loan Tape (S&amp;P)'!S3563="Yes",
    1.15,
    1.00)</f>
        <v/>
      </c>
      <c r="Q3563">
        <f>IF('Loan Tape (S&amp;P)'!V3563="Yes",
    1.20,
    1.00)</f>
        <v/>
      </c>
      <c r="T3563">
        <f>LET(
    payment_method,'Loan Tape (S&amp;P)'!P3563,
    occupancy,'Loan Tape (S&amp;P)'!N3563,
    maturity_date,'Loan Tape (S&amp;P)'!L3563,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64">
      <c r="J3564">
        <f>LET(
    lien,'Loan Tape (S&amp;P)'!Q3564,
    IF(lien="First",1.00,
        IF(lien="Second",1.50,
            1.70)))</f>
        <v/>
      </c>
      <c r="K3564">
        <f>LET(
    purpose,'Loan Tape (S&amp;P)'!R3564,
    IF(purpose="Purchase",1.00,
        IF(purpose="Remortgage",1.00,
            1.20)))</f>
        <v/>
      </c>
      <c r="L3564">
        <f>LET(
    arrears_months,'Loan Tape (S&amp;P)'!AN3564,
    IF(arrears_months=0,1.00,
    IF(arrears_months=1,3.00,
    IF(arrears_months=2,5.00,
    IF(arrears_months=3,8.00,
    IF(arrears_months=4,10.00,
    IF(arrears_months=5,12.00,15.00)))))))</f>
        <v/>
      </c>
      <c r="M3564">
        <f>LET(
    seasoning_years,DATEDIF('Loan Tape (S&amp;P)'!K3564,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64">
        <f>IF(AND('Loan Tape (S&amp;P)'!U3564="Yes",
        'Loan Tape (S&amp;P)'!T3564&lt;&gt;"Yes",
        DATEDIF('Loan Tape (S&amp;P)'!K3564, TODAY(), "M")&lt;18),
    1.10,
    1.00)</f>
        <v/>
      </c>
      <c r="O3564">
        <f>IF('Loan Tape (S&amp;P)'!T3564="Yes",
    1.35,
    1.00)</f>
        <v/>
      </c>
      <c r="P3564">
        <f>IF('Loan Tape (S&amp;P)'!S3564="Yes",
    1.15,
    1.00)</f>
        <v/>
      </c>
      <c r="Q3564">
        <f>IF('Loan Tape (S&amp;P)'!V3564="Yes",
    1.20,
    1.00)</f>
        <v/>
      </c>
      <c r="T3564">
        <f>LET(
    payment_method,'Loan Tape (S&amp;P)'!P3564,
    occupancy,'Loan Tape (S&amp;P)'!N3564,
    maturity_date,'Loan Tape (S&amp;P)'!L3564,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65">
      <c r="J3565">
        <f>LET(
    lien,'Loan Tape (S&amp;P)'!Q3565,
    IF(lien="First",1.00,
        IF(lien="Second",1.50,
            1.70)))</f>
        <v/>
      </c>
      <c r="K3565">
        <f>LET(
    purpose,'Loan Tape (S&amp;P)'!R3565,
    IF(purpose="Purchase",1.00,
        IF(purpose="Remortgage",1.00,
            1.20)))</f>
        <v/>
      </c>
      <c r="L3565">
        <f>LET(
    arrears_months,'Loan Tape (S&amp;P)'!AN3565,
    IF(arrears_months=0,1.00,
    IF(arrears_months=1,3.00,
    IF(arrears_months=2,5.00,
    IF(arrears_months=3,8.00,
    IF(arrears_months=4,10.00,
    IF(arrears_months=5,12.00,15.00)))))))</f>
        <v/>
      </c>
      <c r="M3565">
        <f>LET(
    seasoning_years,DATEDIF('Loan Tape (S&amp;P)'!K3565,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65">
        <f>IF(AND('Loan Tape (S&amp;P)'!U3565="Yes",
        'Loan Tape (S&amp;P)'!T3565&lt;&gt;"Yes",
        DATEDIF('Loan Tape (S&amp;P)'!K3565, TODAY(), "M")&lt;18),
    1.10,
    1.00)</f>
        <v/>
      </c>
      <c r="O3565">
        <f>IF('Loan Tape (S&amp;P)'!T3565="Yes",
    1.35,
    1.00)</f>
        <v/>
      </c>
      <c r="P3565">
        <f>IF('Loan Tape (S&amp;P)'!S3565="Yes",
    1.15,
    1.00)</f>
        <v/>
      </c>
      <c r="Q3565">
        <f>IF('Loan Tape (S&amp;P)'!V3565="Yes",
    1.20,
    1.00)</f>
        <v/>
      </c>
      <c r="T3565">
        <f>LET(
    payment_method,'Loan Tape (S&amp;P)'!P3565,
    occupancy,'Loan Tape (S&amp;P)'!N3565,
    maturity_date,'Loan Tape (S&amp;P)'!L3565,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66">
      <c r="J3566">
        <f>LET(
    lien,'Loan Tape (S&amp;P)'!Q3566,
    IF(lien="First",1.00,
        IF(lien="Second",1.50,
            1.70)))</f>
        <v/>
      </c>
      <c r="K3566">
        <f>LET(
    purpose,'Loan Tape (S&amp;P)'!R3566,
    IF(purpose="Purchase",1.00,
        IF(purpose="Remortgage",1.00,
            1.20)))</f>
        <v/>
      </c>
      <c r="L3566">
        <f>LET(
    arrears_months,'Loan Tape (S&amp;P)'!AN3566,
    IF(arrears_months=0,1.00,
    IF(arrears_months=1,3.00,
    IF(arrears_months=2,5.00,
    IF(arrears_months=3,8.00,
    IF(arrears_months=4,10.00,
    IF(arrears_months=5,12.00,15.00)))))))</f>
        <v/>
      </c>
      <c r="M3566">
        <f>LET(
    seasoning_years,DATEDIF('Loan Tape (S&amp;P)'!K3566,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66">
        <f>IF(AND('Loan Tape (S&amp;P)'!U3566="Yes",
        'Loan Tape (S&amp;P)'!T3566&lt;&gt;"Yes",
        DATEDIF('Loan Tape (S&amp;P)'!K3566, TODAY(), "M")&lt;18),
    1.10,
    1.00)</f>
        <v/>
      </c>
      <c r="O3566">
        <f>IF('Loan Tape (S&amp;P)'!T3566="Yes",
    1.35,
    1.00)</f>
        <v/>
      </c>
      <c r="P3566">
        <f>IF('Loan Tape (S&amp;P)'!S3566="Yes",
    1.15,
    1.00)</f>
        <v/>
      </c>
      <c r="Q3566">
        <f>IF('Loan Tape (S&amp;P)'!V3566="Yes",
    1.20,
    1.00)</f>
        <v/>
      </c>
      <c r="T3566">
        <f>LET(
    payment_method,'Loan Tape (S&amp;P)'!P3566,
    occupancy,'Loan Tape (S&amp;P)'!N3566,
    maturity_date,'Loan Tape (S&amp;P)'!L3566,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67">
      <c r="J3567">
        <f>LET(
    lien,'Loan Tape (S&amp;P)'!Q3567,
    IF(lien="First",1.00,
        IF(lien="Second",1.50,
            1.70)))</f>
        <v/>
      </c>
      <c r="K3567">
        <f>LET(
    purpose,'Loan Tape (S&amp;P)'!R3567,
    IF(purpose="Purchase",1.00,
        IF(purpose="Remortgage",1.00,
            1.20)))</f>
        <v/>
      </c>
      <c r="L3567">
        <f>LET(
    arrears_months,'Loan Tape (S&amp;P)'!AN3567,
    IF(arrears_months=0,1.00,
    IF(arrears_months=1,3.00,
    IF(arrears_months=2,5.00,
    IF(arrears_months=3,8.00,
    IF(arrears_months=4,10.00,
    IF(arrears_months=5,12.00,15.00)))))))</f>
        <v/>
      </c>
      <c r="M3567">
        <f>LET(
    seasoning_years,DATEDIF('Loan Tape (S&amp;P)'!K3567,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67">
        <f>IF(AND('Loan Tape (S&amp;P)'!U3567="Yes",
        'Loan Tape (S&amp;P)'!T3567&lt;&gt;"Yes",
        DATEDIF('Loan Tape (S&amp;P)'!K3567, TODAY(), "M")&lt;18),
    1.10,
    1.00)</f>
        <v/>
      </c>
      <c r="O3567">
        <f>IF('Loan Tape (S&amp;P)'!T3567="Yes",
    1.35,
    1.00)</f>
        <v/>
      </c>
      <c r="P3567">
        <f>IF('Loan Tape (S&amp;P)'!S3567="Yes",
    1.15,
    1.00)</f>
        <v/>
      </c>
      <c r="Q3567">
        <f>IF('Loan Tape (S&amp;P)'!V3567="Yes",
    1.20,
    1.00)</f>
        <v/>
      </c>
      <c r="T3567">
        <f>LET(
    payment_method,'Loan Tape (S&amp;P)'!P3567,
    occupancy,'Loan Tape (S&amp;P)'!N3567,
    maturity_date,'Loan Tape (S&amp;P)'!L3567,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68">
      <c r="J3568">
        <f>LET(
    lien,'Loan Tape (S&amp;P)'!Q3568,
    IF(lien="First",1.00,
        IF(lien="Second",1.50,
            1.70)))</f>
        <v/>
      </c>
      <c r="K3568">
        <f>LET(
    purpose,'Loan Tape (S&amp;P)'!R3568,
    IF(purpose="Purchase",1.00,
        IF(purpose="Remortgage",1.00,
            1.20)))</f>
        <v/>
      </c>
      <c r="L3568">
        <f>LET(
    arrears_months,'Loan Tape (S&amp;P)'!AN3568,
    IF(arrears_months=0,1.00,
    IF(arrears_months=1,3.00,
    IF(arrears_months=2,5.00,
    IF(arrears_months=3,8.00,
    IF(arrears_months=4,10.00,
    IF(arrears_months=5,12.00,15.00)))))))</f>
        <v/>
      </c>
      <c r="M3568">
        <f>LET(
    seasoning_years,DATEDIF('Loan Tape (S&amp;P)'!K3568,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68">
        <f>IF(AND('Loan Tape (S&amp;P)'!U3568="Yes",
        'Loan Tape (S&amp;P)'!T3568&lt;&gt;"Yes",
        DATEDIF('Loan Tape (S&amp;P)'!K3568, TODAY(), "M")&lt;18),
    1.10,
    1.00)</f>
        <v/>
      </c>
      <c r="O3568">
        <f>IF('Loan Tape (S&amp;P)'!T3568="Yes",
    1.35,
    1.00)</f>
        <v/>
      </c>
      <c r="P3568">
        <f>IF('Loan Tape (S&amp;P)'!S3568="Yes",
    1.15,
    1.00)</f>
        <v/>
      </c>
      <c r="Q3568">
        <f>IF('Loan Tape (S&amp;P)'!V3568="Yes",
    1.20,
    1.00)</f>
        <v/>
      </c>
      <c r="T3568">
        <f>LET(
    payment_method,'Loan Tape (S&amp;P)'!P3568,
    occupancy,'Loan Tape (S&amp;P)'!N3568,
    maturity_date,'Loan Tape (S&amp;P)'!L3568,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69">
      <c r="J3569">
        <f>LET(
    lien,'Loan Tape (S&amp;P)'!Q3569,
    IF(lien="First",1.00,
        IF(lien="Second",1.50,
            1.70)))</f>
        <v/>
      </c>
      <c r="K3569">
        <f>LET(
    purpose,'Loan Tape (S&amp;P)'!R3569,
    IF(purpose="Purchase",1.00,
        IF(purpose="Remortgage",1.00,
            1.20)))</f>
        <v/>
      </c>
      <c r="L3569">
        <f>LET(
    arrears_months,'Loan Tape (S&amp;P)'!AN3569,
    IF(arrears_months=0,1.00,
    IF(arrears_months=1,3.00,
    IF(arrears_months=2,5.00,
    IF(arrears_months=3,8.00,
    IF(arrears_months=4,10.00,
    IF(arrears_months=5,12.00,15.00)))))))</f>
        <v/>
      </c>
      <c r="M3569">
        <f>LET(
    seasoning_years,DATEDIF('Loan Tape (S&amp;P)'!K3569,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69">
        <f>IF(AND('Loan Tape (S&amp;P)'!U3569="Yes",
        'Loan Tape (S&amp;P)'!T3569&lt;&gt;"Yes",
        DATEDIF('Loan Tape (S&amp;P)'!K3569, TODAY(), "M")&lt;18),
    1.10,
    1.00)</f>
        <v/>
      </c>
      <c r="O3569">
        <f>IF('Loan Tape (S&amp;P)'!T3569="Yes",
    1.35,
    1.00)</f>
        <v/>
      </c>
      <c r="P3569">
        <f>IF('Loan Tape (S&amp;P)'!S3569="Yes",
    1.15,
    1.00)</f>
        <v/>
      </c>
      <c r="Q3569">
        <f>IF('Loan Tape (S&amp;P)'!V3569="Yes",
    1.20,
    1.00)</f>
        <v/>
      </c>
      <c r="T3569">
        <f>LET(
    payment_method,'Loan Tape (S&amp;P)'!P3569,
    occupancy,'Loan Tape (S&amp;P)'!N3569,
    maturity_date,'Loan Tape (S&amp;P)'!L3569,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70">
      <c r="J3570">
        <f>LET(
    lien,'Loan Tape (S&amp;P)'!Q3570,
    IF(lien="First",1.00,
        IF(lien="Second",1.50,
            1.70)))</f>
        <v/>
      </c>
      <c r="K3570">
        <f>LET(
    purpose,'Loan Tape (S&amp;P)'!R3570,
    IF(purpose="Purchase",1.00,
        IF(purpose="Remortgage",1.00,
            1.20)))</f>
        <v/>
      </c>
      <c r="L3570">
        <f>LET(
    arrears_months,'Loan Tape (S&amp;P)'!AN3570,
    IF(arrears_months=0,1.00,
    IF(arrears_months=1,3.00,
    IF(arrears_months=2,5.00,
    IF(arrears_months=3,8.00,
    IF(arrears_months=4,10.00,
    IF(arrears_months=5,12.00,15.00)))))))</f>
        <v/>
      </c>
      <c r="M3570">
        <f>LET(
    seasoning_years,DATEDIF('Loan Tape (S&amp;P)'!K3570,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70">
        <f>IF(AND('Loan Tape (S&amp;P)'!U3570="Yes",
        'Loan Tape (S&amp;P)'!T3570&lt;&gt;"Yes",
        DATEDIF('Loan Tape (S&amp;P)'!K3570, TODAY(), "M")&lt;18),
    1.10,
    1.00)</f>
        <v/>
      </c>
      <c r="O3570">
        <f>IF('Loan Tape (S&amp;P)'!T3570="Yes",
    1.35,
    1.00)</f>
        <v/>
      </c>
      <c r="P3570">
        <f>IF('Loan Tape (S&amp;P)'!S3570="Yes",
    1.15,
    1.00)</f>
        <v/>
      </c>
      <c r="Q3570">
        <f>IF('Loan Tape (S&amp;P)'!V3570="Yes",
    1.20,
    1.00)</f>
        <v/>
      </c>
      <c r="T3570">
        <f>LET(
    payment_method,'Loan Tape (S&amp;P)'!P3570,
    occupancy,'Loan Tape (S&amp;P)'!N3570,
    maturity_date,'Loan Tape (S&amp;P)'!L3570,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71">
      <c r="J3571">
        <f>LET(
    lien,'Loan Tape (S&amp;P)'!Q3571,
    IF(lien="First",1.00,
        IF(lien="Second",1.50,
            1.70)))</f>
        <v/>
      </c>
      <c r="K3571">
        <f>LET(
    purpose,'Loan Tape (S&amp;P)'!R3571,
    IF(purpose="Purchase",1.00,
        IF(purpose="Remortgage",1.00,
            1.20)))</f>
        <v/>
      </c>
      <c r="L3571">
        <f>LET(
    arrears_months,'Loan Tape (S&amp;P)'!AN3571,
    IF(arrears_months=0,1.00,
    IF(arrears_months=1,3.00,
    IF(arrears_months=2,5.00,
    IF(arrears_months=3,8.00,
    IF(arrears_months=4,10.00,
    IF(arrears_months=5,12.00,15.00)))))))</f>
        <v/>
      </c>
      <c r="M3571">
        <f>LET(
    seasoning_years,DATEDIF('Loan Tape (S&amp;P)'!K3571,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71">
        <f>IF(AND('Loan Tape (S&amp;P)'!U3571="Yes",
        'Loan Tape (S&amp;P)'!T3571&lt;&gt;"Yes",
        DATEDIF('Loan Tape (S&amp;P)'!K3571, TODAY(), "M")&lt;18),
    1.10,
    1.00)</f>
        <v/>
      </c>
      <c r="O3571">
        <f>IF('Loan Tape (S&amp;P)'!T3571="Yes",
    1.35,
    1.00)</f>
        <v/>
      </c>
      <c r="P3571">
        <f>IF('Loan Tape (S&amp;P)'!S3571="Yes",
    1.15,
    1.00)</f>
        <v/>
      </c>
      <c r="Q3571">
        <f>IF('Loan Tape (S&amp;P)'!V3571="Yes",
    1.20,
    1.00)</f>
        <v/>
      </c>
      <c r="T3571">
        <f>LET(
    payment_method,'Loan Tape (S&amp;P)'!P3571,
    occupancy,'Loan Tape (S&amp;P)'!N3571,
    maturity_date,'Loan Tape (S&amp;P)'!L3571,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72">
      <c r="J3572">
        <f>LET(
    lien,'Loan Tape (S&amp;P)'!Q3572,
    IF(lien="First",1.00,
        IF(lien="Second",1.50,
            1.70)))</f>
        <v/>
      </c>
      <c r="K3572">
        <f>LET(
    purpose,'Loan Tape (S&amp;P)'!R3572,
    IF(purpose="Purchase",1.00,
        IF(purpose="Remortgage",1.00,
            1.20)))</f>
        <v/>
      </c>
      <c r="L3572">
        <f>LET(
    arrears_months,'Loan Tape (S&amp;P)'!AN3572,
    IF(arrears_months=0,1.00,
    IF(arrears_months=1,3.00,
    IF(arrears_months=2,5.00,
    IF(arrears_months=3,8.00,
    IF(arrears_months=4,10.00,
    IF(arrears_months=5,12.00,15.00)))))))</f>
        <v/>
      </c>
      <c r="M3572">
        <f>LET(
    seasoning_years,DATEDIF('Loan Tape (S&amp;P)'!K3572,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72">
        <f>IF(AND('Loan Tape (S&amp;P)'!U3572="Yes",
        'Loan Tape (S&amp;P)'!T3572&lt;&gt;"Yes",
        DATEDIF('Loan Tape (S&amp;P)'!K3572, TODAY(), "M")&lt;18),
    1.10,
    1.00)</f>
        <v/>
      </c>
      <c r="O3572">
        <f>IF('Loan Tape (S&amp;P)'!T3572="Yes",
    1.35,
    1.00)</f>
        <v/>
      </c>
      <c r="P3572">
        <f>IF('Loan Tape (S&amp;P)'!S3572="Yes",
    1.15,
    1.00)</f>
        <v/>
      </c>
      <c r="Q3572">
        <f>IF('Loan Tape (S&amp;P)'!V3572="Yes",
    1.20,
    1.00)</f>
        <v/>
      </c>
      <c r="T3572">
        <f>LET(
    payment_method,'Loan Tape (S&amp;P)'!P3572,
    occupancy,'Loan Tape (S&amp;P)'!N3572,
    maturity_date,'Loan Tape (S&amp;P)'!L3572,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73">
      <c r="J3573">
        <f>LET(
    lien,'Loan Tape (S&amp;P)'!Q3573,
    IF(lien="First",1.00,
        IF(lien="Second",1.50,
            1.70)))</f>
        <v/>
      </c>
      <c r="K3573">
        <f>LET(
    purpose,'Loan Tape (S&amp;P)'!R3573,
    IF(purpose="Purchase",1.00,
        IF(purpose="Remortgage",1.00,
            1.20)))</f>
        <v/>
      </c>
      <c r="L3573">
        <f>LET(
    arrears_months,'Loan Tape (S&amp;P)'!AN3573,
    IF(arrears_months=0,1.00,
    IF(arrears_months=1,3.00,
    IF(arrears_months=2,5.00,
    IF(arrears_months=3,8.00,
    IF(arrears_months=4,10.00,
    IF(arrears_months=5,12.00,15.00)))))))</f>
        <v/>
      </c>
      <c r="M3573">
        <f>LET(
    seasoning_years,DATEDIF('Loan Tape (S&amp;P)'!K3573,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73">
        <f>IF(AND('Loan Tape (S&amp;P)'!U3573="Yes",
        'Loan Tape (S&amp;P)'!T3573&lt;&gt;"Yes",
        DATEDIF('Loan Tape (S&amp;P)'!K3573, TODAY(), "M")&lt;18),
    1.10,
    1.00)</f>
        <v/>
      </c>
      <c r="O3573">
        <f>IF('Loan Tape (S&amp;P)'!T3573="Yes",
    1.35,
    1.00)</f>
        <v/>
      </c>
      <c r="P3573">
        <f>IF('Loan Tape (S&amp;P)'!S3573="Yes",
    1.15,
    1.00)</f>
        <v/>
      </c>
      <c r="Q3573">
        <f>IF('Loan Tape (S&amp;P)'!V3573="Yes",
    1.20,
    1.00)</f>
        <v/>
      </c>
      <c r="T3573">
        <f>LET(
    payment_method,'Loan Tape (S&amp;P)'!P3573,
    occupancy,'Loan Tape (S&amp;P)'!N3573,
    maturity_date,'Loan Tape (S&amp;P)'!L3573,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74">
      <c r="J3574">
        <f>LET(
    lien,'Loan Tape (S&amp;P)'!Q3574,
    IF(lien="First",1.00,
        IF(lien="Second",1.50,
            1.70)))</f>
        <v/>
      </c>
      <c r="K3574">
        <f>LET(
    purpose,'Loan Tape (S&amp;P)'!R3574,
    IF(purpose="Purchase",1.00,
        IF(purpose="Remortgage",1.00,
            1.20)))</f>
        <v/>
      </c>
      <c r="L3574">
        <f>LET(
    arrears_months,'Loan Tape (S&amp;P)'!AN3574,
    IF(arrears_months=0,1.00,
    IF(arrears_months=1,3.00,
    IF(arrears_months=2,5.00,
    IF(arrears_months=3,8.00,
    IF(arrears_months=4,10.00,
    IF(arrears_months=5,12.00,15.00)))))))</f>
        <v/>
      </c>
      <c r="M3574">
        <f>LET(
    seasoning_years,DATEDIF('Loan Tape (S&amp;P)'!K3574,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74">
        <f>IF(AND('Loan Tape (S&amp;P)'!U3574="Yes",
        'Loan Tape (S&amp;P)'!T3574&lt;&gt;"Yes",
        DATEDIF('Loan Tape (S&amp;P)'!K3574, TODAY(), "M")&lt;18),
    1.10,
    1.00)</f>
        <v/>
      </c>
      <c r="O3574">
        <f>IF('Loan Tape (S&amp;P)'!T3574="Yes",
    1.35,
    1.00)</f>
        <v/>
      </c>
      <c r="P3574">
        <f>IF('Loan Tape (S&amp;P)'!S3574="Yes",
    1.15,
    1.00)</f>
        <v/>
      </c>
      <c r="Q3574">
        <f>IF('Loan Tape (S&amp;P)'!V3574="Yes",
    1.20,
    1.00)</f>
        <v/>
      </c>
      <c r="T3574">
        <f>LET(
    payment_method,'Loan Tape (S&amp;P)'!P3574,
    occupancy,'Loan Tape (S&amp;P)'!N3574,
    maturity_date,'Loan Tape (S&amp;P)'!L3574,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75">
      <c r="J3575">
        <f>LET(
    lien,'Loan Tape (S&amp;P)'!Q3575,
    IF(lien="First",1.00,
        IF(lien="Second",1.50,
            1.70)))</f>
        <v/>
      </c>
      <c r="K3575">
        <f>LET(
    purpose,'Loan Tape (S&amp;P)'!R3575,
    IF(purpose="Purchase",1.00,
        IF(purpose="Remortgage",1.00,
            1.20)))</f>
        <v/>
      </c>
      <c r="L3575">
        <f>LET(
    arrears_months,'Loan Tape (S&amp;P)'!AN3575,
    IF(arrears_months=0,1.00,
    IF(arrears_months=1,3.00,
    IF(arrears_months=2,5.00,
    IF(arrears_months=3,8.00,
    IF(arrears_months=4,10.00,
    IF(arrears_months=5,12.00,15.00)))))))</f>
        <v/>
      </c>
      <c r="M3575">
        <f>LET(
    seasoning_years,DATEDIF('Loan Tape (S&amp;P)'!K3575,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75">
        <f>IF(AND('Loan Tape (S&amp;P)'!U3575="Yes",
        'Loan Tape (S&amp;P)'!T3575&lt;&gt;"Yes",
        DATEDIF('Loan Tape (S&amp;P)'!K3575, TODAY(), "M")&lt;18),
    1.10,
    1.00)</f>
        <v/>
      </c>
      <c r="O3575">
        <f>IF('Loan Tape (S&amp;P)'!T3575="Yes",
    1.35,
    1.00)</f>
        <v/>
      </c>
      <c r="P3575">
        <f>IF('Loan Tape (S&amp;P)'!S3575="Yes",
    1.15,
    1.00)</f>
        <v/>
      </c>
      <c r="Q3575">
        <f>IF('Loan Tape (S&amp;P)'!V3575="Yes",
    1.20,
    1.00)</f>
        <v/>
      </c>
      <c r="T3575">
        <f>LET(
    payment_method,'Loan Tape (S&amp;P)'!P3575,
    occupancy,'Loan Tape (S&amp;P)'!N3575,
    maturity_date,'Loan Tape (S&amp;P)'!L3575,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76">
      <c r="J3576">
        <f>LET(
    lien,'Loan Tape (S&amp;P)'!Q3576,
    IF(lien="First",1.00,
        IF(lien="Second",1.50,
            1.70)))</f>
        <v/>
      </c>
      <c r="K3576">
        <f>LET(
    purpose,'Loan Tape (S&amp;P)'!R3576,
    IF(purpose="Purchase",1.00,
        IF(purpose="Remortgage",1.00,
            1.20)))</f>
        <v/>
      </c>
      <c r="L3576">
        <f>LET(
    arrears_months,'Loan Tape (S&amp;P)'!AN3576,
    IF(arrears_months=0,1.00,
    IF(arrears_months=1,3.00,
    IF(arrears_months=2,5.00,
    IF(arrears_months=3,8.00,
    IF(arrears_months=4,10.00,
    IF(arrears_months=5,12.00,15.00)))))))</f>
        <v/>
      </c>
      <c r="M3576">
        <f>LET(
    seasoning_years,DATEDIF('Loan Tape (S&amp;P)'!K3576,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76">
        <f>IF(AND('Loan Tape (S&amp;P)'!U3576="Yes",
        'Loan Tape (S&amp;P)'!T3576&lt;&gt;"Yes",
        DATEDIF('Loan Tape (S&amp;P)'!K3576, TODAY(), "M")&lt;18),
    1.10,
    1.00)</f>
        <v/>
      </c>
      <c r="O3576">
        <f>IF('Loan Tape (S&amp;P)'!T3576="Yes",
    1.35,
    1.00)</f>
        <v/>
      </c>
      <c r="P3576">
        <f>IF('Loan Tape (S&amp;P)'!S3576="Yes",
    1.15,
    1.00)</f>
        <v/>
      </c>
      <c r="Q3576">
        <f>IF('Loan Tape (S&amp;P)'!V3576="Yes",
    1.20,
    1.00)</f>
        <v/>
      </c>
      <c r="T3576">
        <f>LET(
    payment_method,'Loan Tape (S&amp;P)'!P3576,
    occupancy,'Loan Tape (S&amp;P)'!N3576,
    maturity_date,'Loan Tape (S&amp;P)'!L3576,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77">
      <c r="J3577">
        <f>LET(
    lien,'Loan Tape (S&amp;P)'!Q3577,
    IF(lien="First",1.00,
        IF(lien="Second",1.50,
            1.70)))</f>
        <v/>
      </c>
      <c r="K3577">
        <f>LET(
    purpose,'Loan Tape (S&amp;P)'!R3577,
    IF(purpose="Purchase",1.00,
        IF(purpose="Remortgage",1.00,
            1.20)))</f>
        <v/>
      </c>
      <c r="L3577">
        <f>LET(
    arrears_months,'Loan Tape (S&amp;P)'!AN3577,
    IF(arrears_months=0,1.00,
    IF(arrears_months=1,3.00,
    IF(arrears_months=2,5.00,
    IF(arrears_months=3,8.00,
    IF(arrears_months=4,10.00,
    IF(arrears_months=5,12.00,15.00)))))))</f>
        <v/>
      </c>
      <c r="M3577">
        <f>LET(
    seasoning_years,DATEDIF('Loan Tape (S&amp;P)'!K3577,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77">
        <f>IF(AND('Loan Tape (S&amp;P)'!U3577="Yes",
        'Loan Tape (S&amp;P)'!T3577&lt;&gt;"Yes",
        DATEDIF('Loan Tape (S&amp;P)'!K3577, TODAY(), "M")&lt;18),
    1.10,
    1.00)</f>
        <v/>
      </c>
      <c r="O3577">
        <f>IF('Loan Tape (S&amp;P)'!T3577="Yes",
    1.35,
    1.00)</f>
        <v/>
      </c>
      <c r="P3577">
        <f>IF('Loan Tape (S&amp;P)'!S3577="Yes",
    1.15,
    1.00)</f>
        <v/>
      </c>
      <c r="Q3577">
        <f>IF('Loan Tape (S&amp;P)'!V3577="Yes",
    1.20,
    1.00)</f>
        <v/>
      </c>
      <c r="T3577">
        <f>LET(
    payment_method,'Loan Tape (S&amp;P)'!P3577,
    occupancy,'Loan Tape (S&amp;P)'!N3577,
    maturity_date,'Loan Tape (S&amp;P)'!L3577,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78">
      <c r="J3578">
        <f>LET(
    lien,'Loan Tape (S&amp;P)'!Q3578,
    IF(lien="First",1.00,
        IF(lien="Second",1.50,
            1.70)))</f>
        <v/>
      </c>
      <c r="K3578">
        <f>LET(
    purpose,'Loan Tape (S&amp;P)'!R3578,
    IF(purpose="Purchase",1.00,
        IF(purpose="Remortgage",1.00,
            1.20)))</f>
        <v/>
      </c>
      <c r="L3578">
        <f>LET(
    arrears_months,'Loan Tape (S&amp;P)'!AN3578,
    IF(arrears_months=0,1.00,
    IF(arrears_months=1,3.00,
    IF(arrears_months=2,5.00,
    IF(arrears_months=3,8.00,
    IF(arrears_months=4,10.00,
    IF(arrears_months=5,12.00,15.00)))))))</f>
        <v/>
      </c>
      <c r="M3578">
        <f>LET(
    seasoning_years,DATEDIF('Loan Tape (S&amp;P)'!K3578,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78">
        <f>IF(AND('Loan Tape (S&amp;P)'!U3578="Yes",
        'Loan Tape (S&amp;P)'!T3578&lt;&gt;"Yes",
        DATEDIF('Loan Tape (S&amp;P)'!K3578, TODAY(), "M")&lt;18),
    1.10,
    1.00)</f>
        <v/>
      </c>
      <c r="O3578">
        <f>IF('Loan Tape (S&amp;P)'!T3578="Yes",
    1.35,
    1.00)</f>
        <v/>
      </c>
      <c r="P3578">
        <f>IF('Loan Tape (S&amp;P)'!S3578="Yes",
    1.15,
    1.00)</f>
        <v/>
      </c>
      <c r="Q3578">
        <f>IF('Loan Tape (S&amp;P)'!V3578="Yes",
    1.20,
    1.00)</f>
        <v/>
      </c>
      <c r="T3578">
        <f>LET(
    payment_method,'Loan Tape (S&amp;P)'!P3578,
    occupancy,'Loan Tape (S&amp;P)'!N3578,
    maturity_date,'Loan Tape (S&amp;P)'!L3578,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79">
      <c r="J3579">
        <f>LET(
    lien,'Loan Tape (S&amp;P)'!Q3579,
    IF(lien="First",1.00,
        IF(lien="Second",1.50,
            1.70)))</f>
        <v/>
      </c>
      <c r="K3579">
        <f>LET(
    purpose,'Loan Tape (S&amp;P)'!R3579,
    IF(purpose="Purchase",1.00,
        IF(purpose="Remortgage",1.00,
            1.20)))</f>
        <v/>
      </c>
      <c r="L3579">
        <f>LET(
    arrears_months,'Loan Tape (S&amp;P)'!AN3579,
    IF(arrears_months=0,1.00,
    IF(arrears_months=1,3.00,
    IF(arrears_months=2,5.00,
    IF(arrears_months=3,8.00,
    IF(arrears_months=4,10.00,
    IF(arrears_months=5,12.00,15.00)))))))</f>
        <v/>
      </c>
      <c r="M3579">
        <f>LET(
    seasoning_years,DATEDIF('Loan Tape (S&amp;P)'!K3579,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79">
        <f>IF(AND('Loan Tape (S&amp;P)'!U3579="Yes",
        'Loan Tape (S&amp;P)'!T3579&lt;&gt;"Yes",
        DATEDIF('Loan Tape (S&amp;P)'!K3579, TODAY(), "M")&lt;18),
    1.10,
    1.00)</f>
        <v/>
      </c>
      <c r="O3579">
        <f>IF('Loan Tape (S&amp;P)'!T3579="Yes",
    1.35,
    1.00)</f>
        <v/>
      </c>
      <c r="P3579">
        <f>IF('Loan Tape (S&amp;P)'!S3579="Yes",
    1.15,
    1.00)</f>
        <v/>
      </c>
      <c r="Q3579">
        <f>IF('Loan Tape (S&amp;P)'!V3579="Yes",
    1.20,
    1.00)</f>
        <v/>
      </c>
      <c r="T3579">
        <f>LET(
    payment_method,'Loan Tape (S&amp;P)'!P3579,
    occupancy,'Loan Tape (S&amp;P)'!N3579,
    maturity_date,'Loan Tape (S&amp;P)'!L3579,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80">
      <c r="J3580">
        <f>LET(
    lien,'Loan Tape (S&amp;P)'!Q3580,
    IF(lien="First",1.00,
        IF(lien="Second",1.50,
            1.70)))</f>
        <v/>
      </c>
      <c r="K3580">
        <f>LET(
    purpose,'Loan Tape (S&amp;P)'!R3580,
    IF(purpose="Purchase",1.00,
        IF(purpose="Remortgage",1.00,
            1.20)))</f>
        <v/>
      </c>
      <c r="L3580">
        <f>LET(
    arrears_months,'Loan Tape (S&amp;P)'!AN3580,
    IF(arrears_months=0,1.00,
    IF(arrears_months=1,3.00,
    IF(arrears_months=2,5.00,
    IF(arrears_months=3,8.00,
    IF(arrears_months=4,10.00,
    IF(arrears_months=5,12.00,15.00)))))))</f>
        <v/>
      </c>
      <c r="M3580">
        <f>LET(
    seasoning_years,DATEDIF('Loan Tape (S&amp;P)'!K3580,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80">
        <f>IF(AND('Loan Tape (S&amp;P)'!U3580="Yes",
        'Loan Tape (S&amp;P)'!T3580&lt;&gt;"Yes",
        DATEDIF('Loan Tape (S&amp;P)'!K3580, TODAY(), "M")&lt;18),
    1.10,
    1.00)</f>
        <v/>
      </c>
      <c r="O3580">
        <f>IF('Loan Tape (S&amp;P)'!T3580="Yes",
    1.35,
    1.00)</f>
        <v/>
      </c>
      <c r="P3580">
        <f>IF('Loan Tape (S&amp;P)'!S3580="Yes",
    1.15,
    1.00)</f>
        <v/>
      </c>
      <c r="Q3580">
        <f>IF('Loan Tape (S&amp;P)'!V3580="Yes",
    1.20,
    1.00)</f>
        <v/>
      </c>
      <c r="T3580">
        <f>LET(
    payment_method,'Loan Tape (S&amp;P)'!P3580,
    occupancy,'Loan Tape (S&amp;P)'!N3580,
    maturity_date,'Loan Tape (S&amp;P)'!L3580,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81">
      <c r="J3581">
        <f>LET(
    lien,'Loan Tape (S&amp;P)'!Q3581,
    IF(lien="First",1.00,
        IF(lien="Second",1.50,
            1.70)))</f>
        <v/>
      </c>
      <c r="K3581">
        <f>LET(
    purpose,'Loan Tape (S&amp;P)'!R3581,
    IF(purpose="Purchase",1.00,
        IF(purpose="Remortgage",1.00,
            1.20)))</f>
        <v/>
      </c>
      <c r="L3581">
        <f>LET(
    arrears_months,'Loan Tape (S&amp;P)'!AN3581,
    IF(arrears_months=0,1.00,
    IF(arrears_months=1,3.00,
    IF(arrears_months=2,5.00,
    IF(arrears_months=3,8.00,
    IF(arrears_months=4,10.00,
    IF(arrears_months=5,12.00,15.00)))))))</f>
        <v/>
      </c>
      <c r="M3581">
        <f>LET(
    seasoning_years,DATEDIF('Loan Tape (S&amp;P)'!K3581,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81">
        <f>IF(AND('Loan Tape (S&amp;P)'!U3581="Yes",
        'Loan Tape (S&amp;P)'!T3581&lt;&gt;"Yes",
        DATEDIF('Loan Tape (S&amp;P)'!K3581, TODAY(), "M")&lt;18),
    1.10,
    1.00)</f>
        <v/>
      </c>
      <c r="O3581">
        <f>IF('Loan Tape (S&amp;P)'!T3581="Yes",
    1.35,
    1.00)</f>
        <v/>
      </c>
      <c r="P3581">
        <f>IF('Loan Tape (S&amp;P)'!S3581="Yes",
    1.15,
    1.00)</f>
        <v/>
      </c>
      <c r="Q3581">
        <f>IF('Loan Tape (S&amp;P)'!V3581="Yes",
    1.20,
    1.00)</f>
        <v/>
      </c>
      <c r="T3581">
        <f>LET(
    payment_method,'Loan Tape (S&amp;P)'!P3581,
    occupancy,'Loan Tape (S&amp;P)'!N3581,
    maturity_date,'Loan Tape (S&amp;P)'!L3581,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82">
      <c r="J3582">
        <f>LET(
    lien,'Loan Tape (S&amp;P)'!Q3582,
    IF(lien="First",1.00,
        IF(lien="Second",1.50,
            1.70)))</f>
        <v/>
      </c>
      <c r="K3582">
        <f>LET(
    purpose,'Loan Tape (S&amp;P)'!R3582,
    IF(purpose="Purchase",1.00,
        IF(purpose="Remortgage",1.00,
            1.20)))</f>
        <v/>
      </c>
      <c r="L3582">
        <f>LET(
    arrears_months,'Loan Tape (S&amp;P)'!AN3582,
    IF(arrears_months=0,1.00,
    IF(arrears_months=1,3.00,
    IF(arrears_months=2,5.00,
    IF(arrears_months=3,8.00,
    IF(arrears_months=4,10.00,
    IF(arrears_months=5,12.00,15.00)))))))</f>
        <v/>
      </c>
      <c r="M3582">
        <f>LET(
    seasoning_years,DATEDIF('Loan Tape (S&amp;P)'!K3582,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82">
        <f>IF(AND('Loan Tape (S&amp;P)'!U3582="Yes",
        'Loan Tape (S&amp;P)'!T3582&lt;&gt;"Yes",
        DATEDIF('Loan Tape (S&amp;P)'!K3582, TODAY(), "M")&lt;18),
    1.10,
    1.00)</f>
        <v/>
      </c>
      <c r="O3582">
        <f>IF('Loan Tape (S&amp;P)'!T3582="Yes",
    1.35,
    1.00)</f>
        <v/>
      </c>
      <c r="P3582">
        <f>IF('Loan Tape (S&amp;P)'!S3582="Yes",
    1.15,
    1.00)</f>
        <v/>
      </c>
      <c r="Q3582">
        <f>IF('Loan Tape (S&amp;P)'!V3582="Yes",
    1.20,
    1.00)</f>
        <v/>
      </c>
      <c r="T3582">
        <f>LET(
    payment_method,'Loan Tape (S&amp;P)'!P3582,
    occupancy,'Loan Tape (S&amp;P)'!N3582,
    maturity_date,'Loan Tape (S&amp;P)'!L3582,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83">
      <c r="J3583">
        <f>LET(
    lien,'Loan Tape (S&amp;P)'!Q3583,
    IF(lien="First",1.00,
        IF(lien="Second",1.50,
            1.70)))</f>
        <v/>
      </c>
      <c r="K3583">
        <f>LET(
    purpose,'Loan Tape (S&amp;P)'!R3583,
    IF(purpose="Purchase",1.00,
        IF(purpose="Remortgage",1.00,
            1.20)))</f>
        <v/>
      </c>
      <c r="L3583">
        <f>LET(
    arrears_months,'Loan Tape (S&amp;P)'!AN3583,
    IF(arrears_months=0,1.00,
    IF(arrears_months=1,3.00,
    IF(arrears_months=2,5.00,
    IF(arrears_months=3,8.00,
    IF(arrears_months=4,10.00,
    IF(arrears_months=5,12.00,15.00)))))))</f>
        <v/>
      </c>
      <c r="M3583">
        <f>LET(
    seasoning_years,DATEDIF('Loan Tape (S&amp;P)'!K3583,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83">
        <f>IF(AND('Loan Tape (S&amp;P)'!U3583="Yes",
        'Loan Tape (S&amp;P)'!T3583&lt;&gt;"Yes",
        DATEDIF('Loan Tape (S&amp;P)'!K3583, TODAY(), "M")&lt;18),
    1.10,
    1.00)</f>
        <v/>
      </c>
      <c r="O3583">
        <f>IF('Loan Tape (S&amp;P)'!T3583="Yes",
    1.35,
    1.00)</f>
        <v/>
      </c>
      <c r="P3583">
        <f>IF('Loan Tape (S&amp;P)'!S3583="Yes",
    1.15,
    1.00)</f>
        <v/>
      </c>
      <c r="Q3583">
        <f>IF('Loan Tape (S&amp;P)'!V3583="Yes",
    1.20,
    1.00)</f>
        <v/>
      </c>
      <c r="T3583">
        <f>LET(
    payment_method,'Loan Tape (S&amp;P)'!P3583,
    occupancy,'Loan Tape (S&amp;P)'!N3583,
    maturity_date,'Loan Tape (S&amp;P)'!L3583,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84">
      <c r="J3584">
        <f>LET(
    lien,'Loan Tape (S&amp;P)'!Q3584,
    IF(lien="First",1.00,
        IF(lien="Second",1.50,
            1.70)))</f>
        <v/>
      </c>
      <c r="K3584">
        <f>LET(
    purpose,'Loan Tape (S&amp;P)'!R3584,
    IF(purpose="Purchase",1.00,
        IF(purpose="Remortgage",1.00,
            1.20)))</f>
        <v/>
      </c>
      <c r="L3584">
        <f>LET(
    arrears_months,'Loan Tape (S&amp;P)'!AN3584,
    IF(arrears_months=0,1.00,
    IF(arrears_months=1,3.00,
    IF(arrears_months=2,5.00,
    IF(arrears_months=3,8.00,
    IF(arrears_months=4,10.00,
    IF(arrears_months=5,12.00,15.00)))))))</f>
        <v/>
      </c>
      <c r="M3584">
        <f>LET(
    seasoning_years,DATEDIF('Loan Tape (S&amp;P)'!K3584,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84">
        <f>IF(AND('Loan Tape (S&amp;P)'!U3584="Yes",
        'Loan Tape (S&amp;P)'!T3584&lt;&gt;"Yes",
        DATEDIF('Loan Tape (S&amp;P)'!K3584, TODAY(), "M")&lt;18),
    1.10,
    1.00)</f>
        <v/>
      </c>
      <c r="O3584">
        <f>IF('Loan Tape (S&amp;P)'!T3584="Yes",
    1.35,
    1.00)</f>
        <v/>
      </c>
      <c r="P3584">
        <f>IF('Loan Tape (S&amp;P)'!S3584="Yes",
    1.15,
    1.00)</f>
        <v/>
      </c>
      <c r="Q3584">
        <f>IF('Loan Tape (S&amp;P)'!V3584="Yes",
    1.20,
    1.00)</f>
        <v/>
      </c>
      <c r="T3584">
        <f>LET(
    payment_method,'Loan Tape (S&amp;P)'!P3584,
    occupancy,'Loan Tape (S&amp;P)'!N3584,
    maturity_date,'Loan Tape (S&amp;P)'!L3584,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85">
      <c r="J3585">
        <f>LET(
    lien,'Loan Tape (S&amp;P)'!Q3585,
    IF(lien="First",1.00,
        IF(lien="Second",1.50,
            1.70)))</f>
        <v/>
      </c>
      <c r="K3585">
        <f>LET(
    purpose,'Loan Tape (S&amp;P)'!R3585,
    IF(purpose="Purchase",1.00,
        IF(purpose="Remortgage",1.00,
            1.20)))</f>
        <v/>
      </c>
      <c r="L3585">
        <f>LET(
    arrears_months,'Loan Tape (S&amp;P)'!AN3585,
    IF(arrears_months=0,1.00,
    IF(arrears_months=1,3.00,
    IF(arrears_months=2,5.00,
    IF(arrears_months=3,8.00,
    IF(arrears_months=4,10.00,
    IF(arrears_months=5,12.00,15.00)))))))</f>
        <v/>
      </c>
      <c r="M3585">
        <f>LET(
    seasoning_years,DATEDIF('Loan Tape (S&amp;P)'!K3585,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85">
        <f>IF(AND('Loan Tape (S&amp;P)'!U3585="Yes",
        'Loan Tape (S&amp;P)'!T3585&lt;&gt;"Yes",
        DATEDIF('Loan Tape (S&amp;P)'!K3585, TODAY(), "M")&lt;18),
    1.10,
    1.00)</f>
        <v/>
      </c>
      <c r="O3585">
        <f>IF('Loan Tape (S&amp;P)'!T3585="Yes",
    1.35,
    1.00)</f>
        <v/>
      </c>
      <c r="P3585">
        <f>IF('Loan Tape (S&amp;P)'!S3585="Yes",
    1.15,
    1.00)</f>
        <v/>
      </c>
      <c r="Q3585">
        <f>IF('Loan Tape (S&amp;P)'!V3585="Yes",
    1.20,
    1.00)</f>
        <v/>
      </c>
      <c r="T3585">
        <f>LET(
    payment_method,'Loan Tape (S&amp;P)'!P3585,
    occupancy,'Loan Tape (S&amp;P)'!N3585,
    maturity_date,'Loan Tape (S&amp;P)'!L3585,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86">
      <c r="J3586">
        <f>LET(
    lien,'Loan Tape (S&amp;P)'!Q3586,
    IF(lien="First",1.00,
        IF(lien="Second",1.50,
            1.70)))</f>
        <v/>
      </c>
      <c r="K3586">
        <f>LET(
    purpose,'Loan Tape (S&amp;P)'!R3586,
    IF(purpose="Purchase",1.00,
        IF(purpose="Remortgage",1.00,
            1.20)))</f>
        <v/>
      </c>
      <c r="L3586">
        <f>LET(
    arrears_months,'Loan Tape (S&amp;P)'!AN3586,
    IF(arrears_months=0,1.00,
    IF(arrears_months=1,3.00,
    IF(arrears_months=2,5.00,
    IF(arrears_months=3,8.00,
    IF(arrears_months=4,10.00,
    IF(arrears_months=5,12.00,15.00)))))))</f>
        <v/>
      </c>
      <c r="M3586">
        <f>LET(
    seasoning_years,DATEDIF('Loan Tape (S&amp;P)'!K3586,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86">
        <f>IF(AND('Loan Tape (S&amp;P)'!U3586="Yes",
        'Loan Tape (S&amp;P)'!T3586&lt;&gt;"Yes",
        DATEDIF('Loan Tape (S&amp;P)'!K3586, TODAY(), "M")&lt;18),
    1.10,
    1.00)</f>
        <v/>
      </c>
      <c r="O3586">
        <f>IF('Loan Tape (S&amp;P)'!T3586="Yes",
    1.35,
    1.00)</f>
        <v/>
      </c>
      <c r="P3586">
        <f>IF('Loan Tape (S&amp;P)'!S3586="Yes",
    1.15,
    1.00)</f>
        <v/>
      </c>
      <c r="Q3586">
        <f>IF('Loan Tape (S&amp;P)'!V3586="Yes",
    1.20,
    1.00)</f>
        <v/>
      </c>
      <c r="T3586">
        <f>LET(
    payment_method,'Loan Tape (S&amp;P)'!P3586,
    occupancy,'Loan Tape (S&amp;P)'!N3586,
    maturity_date,'Loan Tape (S&amp;P)'!L3586,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87">
      <c r="J3587">
        <f>LET(
    lien,'Loan Tape (S&amp;P)'!Q3587,
    IF(lien="First",1.00,
        IF(lien="Second",1.50,
            1.70)))</f>
        <v/>
      </c>
      <c r="K3587">
        <f>LET(
    purpose,'Loan Tape (S&amp;P)'!R3587,
    IF(purpose="Purchase",1.00,
        IF(purpose="Remortgage",1.00,
            1.20)))</f>
        <v/>
      </c>
      <c r="L3587">
        <f>LET(
    arrears_months,'Loan Tape (S&amp;P)'!AN3587,
    IF(arrears_months=0,1.00,
    IF(arrears_months=1,3.00,
    IF(arrears_months=2,5.00,
    IF(arrears_months=3,8.00,
    IF(arrears_months=4,10.00,
    IF(arrears_months=5,12.00,15.00)))))))</f>
        <v/>
      </c>
      <c r="M3587">
        <f>LET(
    seasoning_years,DATEDIF('Loan Tape (S&amp;P)'!K3587,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87">
        <f>IF(AND('Loan Tape (S&amp;P)'!U3587="Yes",
        'Loan Tape (S&amp;P)'!T3587&lt;&gt;"Yes",
        DATEDIF('Loan Tape (S&amp;P)'!K3587, TODAY(), "M")&lt;18),
    1.10,
    1.00)</f>
        <v/>
      </c>
      <c r="O3587">
        <f>IF('Loan Tape (S&amp;P)'!T3587="Yes",
    1.35,
    1.00)</f>
        <v/>
      </c>
      <c r="P3587">
        <f>IF('Loan Tape (S&amp;P)'!S3587="Yes",
    1.15,
    1.00)</f>
        <v/>
      </c>
      <c r="Q3587">
        <f>IF('Loan Tape (S&amp;P)'!V3587="Yes",
    1.20,
    1.00)</f>
        <v/>
      </c>
      <c r="T3587">
        <f>LET(
    payment_method,'Loan Tape (S&amp;P)'!P3587,
    occupancy,'Loan Tape (S&amp;P)'!N3587,
    maturity_date,'Loan Tape (S&amp;P)'!L3587,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88">
      <c r="J3588">
        <f>LET(
    lien,'Loan Tape (S&amp;P)'!Q3588,
    IF(lien="First",1.00,
        IF(lien="Second",1.50,
            1.70)))</f>
        <v/>
      </c>
      <c r="K3588">
        <f>LET(
    purpose,'Loan Tape (S&amp;P)'!R3588,
    IF(purpose="Purchase",1.00,
        IF(purpose="Remortgage",1.00,
            1.20)))</f>
        <v/>
      </c>
      <c r="L3588">
        <f>LET(
    arrears_months,'Loan Tape (S&amp;P)'!AN3588,
    IF(arrears_months=0,1.00,
    IF(arrears_months=1,3.00,
    IF(arrears_months=2,5.00,
    IF(arrears_months=3,8.00,
    IF(arrears_months=4,10.00,
    IF(arrears_months=5,12.00,15.00)))))))</f>
        <v/>
      </c>
      <c r="M3588">
        <f>LET(
    seasoning_years,DATEDIF('Loan Tape (S&amp;P)'!K3588,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88">
        <f>IF(AND('Loan Tape (S&amp;P)'!U3588="Yes",
        'Loan Tape (S&amp;P)'!T3588&lt;&gt;"Yes",
        DATEDIF('Loan Tape (S&amp;P)'!K3588, TODAY(), "M")&lt;18),
    1.10,
    1.00)</f>
        <v/>
      </c>
      <c r="O3588">
        <f>IF('Loan Tape (S&amp;P)'!T3588="Yes",
    1.35,
    1.00)</f>
        <v/>
      </c>
      <c r="P3588">
        <f>IF('Loan Tape (S&amp;P)'!S3588="Yes",
    1.15,
    1.00)</f>
        <v/>
      </c>
      <c r="Q3588">
        <f>IF('Loan Tape (S&amp;P)'!V3588="Yes",
    1.20,
    1.00)</f>
        <v/>
      </c>
      <c r="T3588">
        <f>LET(
    payment_method,'Loan Tape (S&amp;P)'!P3588,
    occupancy,'Loan Tape (S&amp;P)'!N3588,
    maturity_date,'Loan Tape (S&amp;P)'!L3588,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89">
      <c r="J3589">
        <f>LET(
    lien,'Loan Tape (S&amp;P)'!Q3589,
    IF(lien="First",1.00,
        IF(lien="Second",1.50,
            1.70)))</f>
        <v/>
      </c>
      <c r="K3589">
        <f>LET(
    purpose,'Loan Tape (S&amp;P)'!R3589,
    IF(purpose="Purchase",1.00,
        IF(purpose="Remortgage",1.00,
            1.20)))</f>
        <v/>
      </c>
      <c r="L3589">
        <f>LET(
    arrears_months,'Loan Tape (S&amp;P)'!AN3589,
    IF(arrears_months=0,1.00,
    IF(arrears_months=1,3.00,
    IF(arrears_months=2,5.00,
    IF(arrears_months=3,8.00,
    IF(arrears_months=4,10.00,
    IF(arrears_months=5,12.00,15.00)))))))</f>
        <v/>
      </c>
      <c r="M3589">
        <f>LET(
    seasoning_years,DATEDIF('Loan Tape (S&amp;P)'!K3589,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89">
        <f>IF(AND('Loan Tape (S&amp;P)'!U3589="Yes",
        'Loan Tape (S&amp;P)'!T3589&lt;&gt;"Yes",
        DATEDIF('Loan Tape (S&amp;P)'!K3589, TODAY(), "M")&lt;18),
    1.10,
    1.00)</f>
        <v/>
      </c>
      <c r="O3589">
        <f>IF('Loan Tape (S&amp;P)'!T3589="Yes",
    1.35,
    1.00)</f>
        <v/>
      </c>
      <c r="P3589">
        <f>IF('Loan Tape (S&amp;P)'!S3589="Yes",
    1.15,
    1.00)</f>
        <v/>
      </c>
      <c r="Q3589">
        <f>IF('Loan Tape (S&amp;P)'!V3589="Yes",
    1.20,
    1.00)</f>
        <v/>
      </c>
      <c r="T3589">
        <f>LET(
    payment_method,'Loan Tape (S&amp;P)'!P3589,
    occupancy,'Loan Tape (S&amp;P)'!N3589,
    maturity_date,'Loan Tape (S&amp;P)'!L3589,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90">
      <c r="J3590">
        <f>LET(
    lien,'Loan Tape (S&amp;P)'!Q3590,
    IF(lien="First",1.00,
        IF(lien="Second",1.50,
            1.70)))</f>
        <v/>
      </c>
      <c r="K3590">
        <f>LET(
    purpose,'Loan Tape (S&amp;P)'!R3590,
    IF(purpose="Purchase",1.00,
        IF(purpose="Remortgage",1.00,
            1.20)))</f>
        <v/>
      </c>
      <c r="L3590">
        <f>LET(
    arrears_months,'Loan Tape (S&amp;P)'!AN3590,
    IF(arrears_months=0,1.00,
    IF(arrears_months=1,3.00,
    IF(arrears_months=2,5.00,
    IF(arrears_months=3,8.00,
    IF(arrears_months=4,10.00,
    IF(arrears_months=5,12.00,15.00)))))))</f>
        <v/>
      </c>
      <c r="M3590">
        <f>LET(
    seasoning_years,DATEDIF('Loan Tape (S&amp;P)'!K3590,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90">
        <f>IF(AND('Loan Tape (S&amp;P)'!U3590="Yes",
        'Loan Tape (S&amp;P)'!T3590&lt;&gt;"Yes",
        DATEDIF('Loan Tape (S&amp;P)'!K3590, TODAY(), "M")&lt;18),
    1.10,
    1.00)</f>
        <v/>
      </c>
      <c r="O3590">
        <f>IF('Loan Tape (S&amp;P)'!T3590="Yes",
    1.35,
    1.00)</f>
        <v/>
      </c>
      <c r="P3590">
        <f>IF('Loan Tape (S&amp;P)'!S3590="Yes",
    1.15,
    1.00)</f>
        <v/>
      </c>
      <c r="Q3590">
        <f>IF('Loan Tape (S&amp;P)'!V3590="Yes",
    1.20,
    1.00)</f>
        <v/>
      </c>
      <c r="T3590">
        <f>LET(
    payment_method,'Loan Tape (S&amp;P)'!P3590,
    occupancy,'Loan Tape (S&amp;P)'!N3590,
    maturity_date,'Loan Tape (S&amp;P)'!L3590,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91">
      <c r="J3591">
        <f>LET(
    lien,'Loan Tape (S&amp;P)'!Q3591,
    IF(lien="First",1.00,
        IF(lien="Second",1.50,
            1.70)))</f>
        <v/>
      </c>
      <c r="K3591">
        <f>LET(
    purpose,'Loan Tape (S&amp;P)'!R3591,
    IF(purpose="Purchase",1.00,
        IF(purpose="Remortgage",1.00,
            1.20)))</f>
        <v/>
      </c>
      <c r="L3591">
        <f>LET(
    arrears_months,'Loan Tape (S&amp;P)'!AN3591,
    IF(arrears_months=0,1.00,
    IF(arrears_months=1,3.00,
    IF(arrears_months=2,5.00,
    IF(arrears_months=3,8.00,
    IF(arrears_months=4,10.00,
    IF(arrears_months=5,12.00,15.00)))))))</f>
        <v/>
      </c>
      <c r="M3591">
        <f>LET(
    seasoning_years,DATEDIF('Loan Tape (S&amp;P)'!K3591,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91">
        <f>IF(AND('Loan Tape (S&amp;P)'!U3591="Yes",
        'Loan Tape (S&amp;P)'!T3591&lt;&gt;"Yes",
        DATEDIF('Loan Tape (S&amp;P)'!K3591, TODAY(), "M")&lt;18),
    1.10,
    1.00)</f>
        <v/>
      </c>
      <c r="O3591">
        <f>IF('Loan Tape (S&amp;P)'!T3591="Yes",
    1.35,
    1.00)</f>
        <v/>
      </c>
      <c r="P3591">
        <f>IF('Loan Tape (S&amp;P)'!S3591="Yes",
    1.15,
    1.00)</f>
        <v/>
      </c>
      <c r="Q3591">
        <f>IF('Loan Tape (S&amp;P)'!V3591="Yes",
    1.20,
    1.00)</f>
        <v/>
      </c>
      <c r="T3591">
        <f>LET(
    payment_method,'Loan Tape (S&amp;P)'!P3591,
    occupancy,'Loan Tape (S&amp;P)'!N3591,
    maturity_date,'Loan Tape (S&amp;P)'!L3591,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92">
      <c r="J3592">
        <f>LET(
    lien,'Loan Tape (S&amp;P)'!Q3592,
    IF(lien="First",1.00,
        IF(lien="Second",1.50,
            1.70)))</f>
        <v/>
      </c>
      <c r="K3592">
        <f>LET(
    purpose,'Loan Tape (S&amp;P)'!R3592,
    IF(purpose="Purchase",1.00,
        IF(purpose="Remortgage",1.00,
            1.20)))</f>
        <v/>
      </c>
      <c r="L3592">
        <f>LET(
    arrears_months,'Loan Tape (S&amp;P)'!AN3592,
    IF(arrears_months=0,1.00,
    IF(arrears_months=1,3.00,
    IF(arrears_months=2,5.00,
    IF(arrears_months=3,8.00,
    IF(arrears_months=4,10.00,
    IF(arrears_months=5,12.00,15.00)))))))</f>
        <v/>
      </c>
      <c r="M3592">
        <f>LET(
    seasoning_years,DATEDIF('Loan Tape (S&amp;P)'!K3592,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92">
        <f>IF(AND('Loan Tape (S&amp;P)'!U3592="Yes",
        'Loan Tape (S&amp;P)'!T3592&lt;&gt;"Yes",
        DATEDIF('Loan Tape (S&amp;P)'!K3592, TODAY(), "M")&lt;18),
    1.10,
    1.00)</f>
        <v/>
      </c>
      <c r="O3592">
        <f>IF('Loan Tape (S&amp;P)'!T3592="Yes",
    1.35,
    1.00)</f>
        <v/>
      </c>
      <c r="P3592">
        <f>IF('Loan Tape (S&amp;P)'!S3592="Yes",
    1.15,
    1.00)</f>
        <v/>
      </c>
      <c r="Q3592">
        <f>IF('Loan Tape (S&amp;P)'!V3592="Yes",
    1.20,
    1.00)</f>
        <v/>
      </c>
      <c r="T3592">
        <f>LET(
    payment_method,'Loan Tape (S&amp;P)'!P3592,
    occupancy,'Loan Tape (S&amp;P)'!N3592,
    maturity_date,'Loan Tape (S&amp;P)'!L3592,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93">
      <c r="J3593">
        <f>LET(
    lien,'Loan Tape (S&amp;P)'!Q3593,
    IF(lien="First",1.00,
        IF(lien="Second",1.50,
            1.70)))</f>
        <v/>
      </c>
      <c r="K3593">
        <f>LET(
    purpose,'Loan Tape (S&amp;P)'!R3593,
    IF(purpose="Purchase",1.00,
        IF(purpose="Remortgage",1.00,
            1.20)))</f>
        <v/>
      </c>
      <c r="L3593">
        <f>LET(
    arrears_months,'Loan Tape (S&amp;P)'!AN3593,
    IF(arrears_months=0,1.00,
    IF(arrears_months=1,3.00,
    IF(arrears_months=2,5.00,
    IF(arrears_months=3,8.00,
    IF(arrears_months=4,10.00,
    IF(arrears_months=5,12.00,15.00)))))))</f>
        <v/>
      </c>
      <c r="M3593">
        <f>LET(
    seasoning_years,DATEDIF('Loan Tape (S&amp;P)'!K3593,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93">
        <f>IF(AND('Loan Tape (S&amp;P)'!U3593="Yes",
        'Loan Tape (S&amp;P)'!T3593&lt;&gt;"Yes",
        DATEDIF('Loan Tape (S&amp;P)'!K3593, TODAY(), "M")&lt;18),
    1.10,
    1.00)</f>
        <v/>
      </c>
      <c r="O3593">
        <f>IF('Loan Tape (S&amp;P)'!T3593="Yes",
    1.35,
    1.00)</f>
        <v/>
      </c>
      <c r="P3593">
        <f>IF('Loan Tape (S&amp;P)'!S3593="Yes",
    1.15,
    1.00)</f>
        <v/>
      </c>
      <c r="Q3593">
        <f>IF('Loan Tape (S&amp;P)'!V3593="Yes",
    1.20,
    1.00)</f>
        <v/>
      </c>
      <c r="T3593">
        <f>LET(
    payment_method,'Loan Tape (S&amp;P)'!P3593,
    occupancy,'Loan Tape (S&amp;P)'!N3593,
    maturity_date,'Loan Tape (S&amp;P)'!L3593,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94">
      <c r="J3594">
        <f>LET(
    lien,'Loan Tape (S&amp;P)'!Q3594,
    IF(lien="First",1.00,
        IF(lien="Second",1.50,
            1.70)))</f>
        <v/>
      </c>
      <c r="K3594">
        <f>LET(
    purpose,'Loan Tape (S&amp;P)'!R3594,
    IF(purpose="Purchase",1.00,
        IF(purpose="Remortgage",1.00,
            1.20)))</f>
        <v/>
      </c>
      <c r="L3594">
        <f>LET(
    arrears_months,'Loan Tape (S&amp;P)'!AN3594,
    IF(arrears_months=0,1.00,
    IF(arrears_months=1,3.00,
    IF(arrears_months=2,5.00,
    IF(arrears_months=3,8.00,
    IF(arrears_months=4,10.00,
    IF(arrears_months=5,12.00,15.00)))))))</f>
        <v/>
      </c>
      <c r="M3594">
        <f>LET(
    seasoning_years,DATEDIF('Loan Tape (S&amp;P)'!K3594,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94">
        <f>IF(AND('Loan Tape (S&amp;P)'!U3594="Yes",
        'Loan Tape (S&amp;P)'!T3594&lt;&gt;"Yes",
        DATEDIF('Loan Tape (S&amp;P)'!K3594, TODAY(), "M")&lt;18),
    1.10,
    1.00)</f>
        <v/>
      </c>
      <c r="O3594">
        <f>IF('Loan Tape (S&amp;P)'!T3594="Yes",
    1.35,
    1.00)</f>
        <v/>
      </c>
      <c r="P3594">
        <f>IF('Loan Tape (S&amp;P)'!S3594="Yes",
    1.15,
    1.00)</f>
        <v/>
      </c>
      <c r="Q3594">
        <f>IF('Loan Tape (S&amp;P)'!V3594="Yes",
    1.20,
    1.00)</f>
        <v/>
      </c>
      <c r="T3594">
        <f>LET(
    payment_method,'Loan Tape (S&amp;P)'!P3594,
    occupancy,'Loan Tape (S&amp;P)'!N3594,
    maturity_date,'Loan Tape (S&amp;P)'!L3594,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95">
      <c r="J3595">
        <f>LET(
    lien,'Loan Tape (S&amp;P)'!Q3595,
    IF(lien="First",1.00,
        IF(lien="Second",1.50,
            1.70)))</f>
        <v/>
      </c>
      <c r="K3595">
        <f>LET(
    purpose,'Loan Tape (S&amp;P)'!R3595,
    IF(purpose="Purchase",1.00,
        IF(purpose="Remortgage",1.00,
            1.20)))</f>
        <v/>
      </c>
      <c r="L3595">
        <f>LET(
    arrears_months,'Loan Tape (S&amp;P)'!AN3595,
    IF(arrears_months=0,1.00,
    IF(arrears_months=1,3.00,
    IF(arrears_months=2,5.00,
    IF(arrears_months=3,8.00,
    IF(arrears_months=4,10.00,
    IF(arrears_months=5,12.00,15.00)))))))</f>
        <v/>
      </c>
      <c r="M3595">
        <f>LET(
    seasoning_years,DATEDIF('Loan Tape (S&amp;P)'!K3595,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95">
        <f>IF(AND('Loan Tape (S&amp;P)'!U3595="Yes",
        'Loan Tape (S&amp;P)'!T3595&lt;&gt;"Yes",
        DATEDIF('Loan Tape (S&amp;P)'!K3595, TODAY(), "M")&lt;18),
    1.10,
    1.00)</f>
        <v/>
      </c>
      <c r="O3595">
        <f>IF('Loan Tape (S&amp;P)'!T3595="Yes",
    1.35,
    1.00)</f>
        <v/>
      </c>
      <c r="P3595">
        <f>IF('Loan Tape (S&amp;P)'!S3595="Yes",
    1.15,
    1.00)</f>
        <v/>
      </c>
      <c r="Q3595">
        <f>IF('Loan Tape (S&amp;P)'!V3595="Yes",
    1.20,
    1.00)</f>
        <v/>
      </c>
      <c r="T3595">
        <f>LET(
    payment_method,'Loan Tape (S&amp;P)'!P3595,
    occupancy,'Loan Tape (S&amp;P)'!N3595,
    maturity_date,'Loan Tape (S&amp;P)'!L3595,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96">
      <c r="J3596">
        <f>LET(
    lien,'Loan Tape (S&amp;P)'!Q3596,
    IF(lien="First",1.00,
        IF(lien="Second",1.50,
            1.70)))</f>
        <v/>
      </c>
      <c r="K3596">
        <f>LET(
    purpose,'Loan Tape (S&amp;P)'!R3596,
    IF(purpose="Purchase",1.00,
        IF(purpose="Remortgage",1.00,
            1.20)))</f>
        <v/>
      </c>
      <c r="L3596">
        <f>LET(
    arrears_months,'Loan Tape (S&amp;P)'!AN3596,
    IF(arrears_months=0,1.00,
    IF(arrears_months=1,3.00,
    IF(arrears_months=2,5.00,
    IF(arrears_months=3,8.00,
    IF(arrears_months=4,10.00,
    IF(arrears_months=5,12.00,15.00)))))))</f>
        <v/>
      </c>
      <c r="M3596">
        <f>LET(
    seasoning_years,DATEDIF('Loan Tape (S&amp;P)'!K3596,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96">
        <f>IF(AND('Loan Tape (S&amp;P)'!U3596="Yes",
        'Loan Tape (S&amp;P)'!T3596&lt;&gt;"Yes",
        DATEDIF('Loan Tape (S&amp;P)'!K3596, TODAY(), "M")&lt;18),
    1.10,
    1.00)</f>
        <v/>
      </c>
      <c r="O3596">
        <f>IF('Loan Tape (S&amp;P)'!T3596="Yes",
    1.35,
    1.00)</f>
        <v/>
      </c>
      <c r="P3596">
        <f>IF('Loan Tape (S&amp;P)'!S3596="Yes",
    1.15,
    1.00)</f>
        <v/>
      </c>
      <c r="Q3596">
        <f>IF('Loan Tape (S&amp;P)'!V3596="Yes",
    1.20,
    1.00)</f>
        <v/>
      </c>
      <c r="T3596">
        <f>LET(
    payment_method,'Loan Tape (S&amp;P)'!P3596,
    occupancy,'Loan Tape (S&amp;P)'!N3596,
    maturity_date,'Loan Tape (S&amp;P)'!L3596,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97">
      <c r="J3597">
        <f>LET(
    lien,'Loan Tape (S&amp;P)'!Q3597,
    IF(lien="First",1.00,
        IF(lien="Second",1.50,
            1.70)))</f>
        <v/>
      </c>
      <c r="K3597">
        <f>LET(
    purpose,'Loan Tape (S&amp;P)'!R3597,
    IF(purpose="Purchase",1.00,
        IF(purpose="Remortgage",1.00,
            1.20)))</f>
        <v/>
      </c>
      <c r="L3597">
        <f>LET(
    arrears_months,'Loan Tape (S&amp;P)'!AN3597,
    IF(arrears_months=0,1.00,
    IF(arrears_months=1,3.00,
    IF(arrears_months=2,5.00,
    IF(arrears_months=3,8.00,
    IF(arrears_months=4,10.00,
    IF(arrears_months=5,12.00,15.00)))))))</f>
        <v/>
      </c>
      <c r="M3597">
        <f>LET(
    seasoning_years,DATEDIF('Loan Tape (S&amp;P)'!K3597,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97">
        <f>IF(AND('Loan Tape (S&amp;P)'!U3597="Yes",
        'Loan Tape (S&amp;P)'!T3597&lt;&gt;"Yes",
        DATEDIF('Loan Tape (S&amp;P)'!K3597, TODAY(), "M")&lt;18),
    1.10,
    1.00)</f>
        <v/>
      </c>
      <c r="O3597">
        <f>IF('Loan Tape (S&amp;P)'!T3597="Yes",
    1.35,
    1.00)</f>
        <v/>
      </c>
      <c r="P3597">
        <f>IF('Loan Tape (S&amp;P)'!S3597="Yes",
    1.15,
    1.00)</f>
        <v/>
      </c>
      <c r="Q3597">
        <f>IF('Loan Tape (S&amp;P)'!V3597="Yes",
    1.20,
    1.00)</f>
        <v/>
      </c>
      <c r="T3597">
        <f>LET(
    payment_method,'Loan Tape (S&amp;P)'!P3597,
    occupancy,'Loan Tape (S&amp;P)'!N3597,
    maturity_date,'Loan Tape (S&amp;P)'!L3597,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98">
      <c r="J3598">
        <f>LET(
    lien,'Loan Tape (S&amp;P)'!Q3598,
    IF(lien="First",1.00,
        IF(lien="Second",1.50,
            1.70)))</f>
        <v/>
      </c>
      <c r="K3598">
        <f>LET(
    purpose,'Loan Tape (S&amp;P)'!R3598,
    IF(purpose="Purchase",1.00,
        IF(purpose="Remortgage",1.00,
            1.20)))</f>
        <v/>
      </c>
      <c r="L3598">
        <f>LET(
    arrears_months,'Loan Tape (S&amp;P)'!AN3598,
    IF(arrears_months=0,1.00,
    IF(arrears_months=1,3.00,
    IF(arrears_months=2,5.00,
    IF(arrears_months=3,8.00,
    IF(arrears_months=4,10.00,
    IF(arrears_months=5,12.00,15.00)))))))</f>
        <v/>
      </c>
      <c r="M3598">
        <f>LET(
    seasoning_years,DATEDIF('Loan Tape (S&amp;P)'!K3598,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98">
        <f>IF(AND('Loan Tape (S&amp;P)'!U3598="Yes",
        'Loan Tape (S&amp;P)'!T3598&lt;&gt;"Yes",
        DATEDIF('Loan Tape (S&amp;P)'!K3598, TODAY(), "M")&lt;18),
    1.10,
    1.00)</f>
        <v/>
      </c>
      <c r="O3598">
        <f>IF('Loan Tape (S&amp;P)'!T3598="Yes",
    1.35,
    1.00)</f>
        <v/>
      </c>
      <c r="P3598">
        <f>IF('Loan Tape (S&amp;P)'!S3598="Yes",
    1.15,
    1.00)</f>
        <v/>
      </c>
      <c r="Q3598">
        <f>IF('Loan Tape (S&amp;P)'!V3598="Yes",
    1.20,
    1.00)</f>
        <v/>
      </c>
      <c r="T3598">
        <f>LET(
    payment_method,'Loan Tape (S&amp;P)'!P3598,
    occupancy,'Loan Tape (S&amp;P)'!N3598,
    maturity_date,'Loan Tape (S&amp;P)'!L3598,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599">
      <c r="J3599">
        <f>LET(
    lien,'Loan Tape (S&amp;P)'!Q3599,
    IF(lien="First",1.00,
        IF(lien="Second",1.50,
            1.70)))</f>
        <v/>
      </c>
      <c r="K3599">
        <f>LET(
    purpose,'Loan Tape (S&amp;P)'!R3599,
    IF(purpose="Purchase",1.00,
        IF(purpose="Remortgage",1.00,
            1.20)))</f>
        <v/>
      </c>
      <c r="L3599">
        <f>LET(
    arrears_months,'Loan Tape (S&amp;P)'!AN3599,
    IF(arrears_months=0,1.00,
    IF(arrears_months=1,3.00,
    IF(arrears_months=2,5.00,
    IF(arrears_months=3,8.00,
    IF(arrears_months=4,10.00,
    IF(arrears_months=5,12.00,15.00)))))))</f>
        <v/>
      </c>
      <c r="M3599">
        <f>LET(
    seasoning_years,DATEDIF('Loan Tape (S&amp;P)'!K3599,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599">
        <f>IF(AND('Loan Tape (S&amp;P)'!U3599="Yes",
        'Loan Tape (S&amp;P)'!T3599&lt;&gt;"Yes",
        DATEDIF('Loan Tape (S&amp;P)'!K3599, TODAY(), "M")&lt;18),
    1.10,
    1.00)</f>
        <v/>
      </c>
      <c r="O3599">
        <f>IF('Loan Tape (S&amp;P)'!T3599="Yes",
    1.35,
    1.00)</f>
        <v/>
      </c>
      <c r="P3599">
        <f>IF('Loan Tape (S&amp;P)'!S3599="Yes",
    1.15,
    1.00)</f>
        <v/>
      </c>
      <c r="Q3599">
        <f>IF('Loan Tape (S&amp;P)'!V3599="Yes",
    1.20,
    1.00)</f>
        <v/>
      </c>
      <c r="T3599">
        <f>LET(
    payment_method,'Loan Tape (S&amp;P)'!P3599,
    occupancy,'Loan Tape (S&amp;P)'!N3599,
    maturity_date,'Loan Tape (S&amp;P)'!L3599,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00">
      <c r="J3600">
        <f>LET(
    lien,'Loan Tape (S&amp;P)'!Q3600,
    IF(lien="First",1.00,
        IF(lien="Second",1.50,
            1.70)))</f>
        <v/>
      </c>
      <c r="K3600">
        <f>LET(
    purpose,'Loan Tape (S&amp;P)'!R3600,
    IF(purpose="Purchase",1.00,
        IF(purpose="Remortgage",1.00,
            1.20)))</f>
        <v/>
      </c>
      <c r="L3600">
        <f>LET(
    arrears_months,'Loan Tape (S&amp;P)'!AN3600,
    IF(arrears_months=0,1.00,
    IF(arrears_months=1,3.00,
    IF(arrears_months=2,5.00,
    IF(arrears_months=3,8.00,
    IF(arrears_months=4,10.00,
    IF(arrears_months=5,12.00,15.00)))))))</f>
        <v/>
      </c>
      <c r="M3600">
        <f>LET(
    seasoning_years,DATEDIF('Loan Tape (S&amp;P)'!K3600,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00">
        <f>IF(AND('Loan Tape (S&amp;P)'!U3600="Yes",
        'Loan Tape (S&amp;P)'!T3600&lt;&gt;"Yes",
        DATEDIF('Loan Tape (S&amp;P)'!K3600, TODAY(), "M")&lt;18),
    1.10,
    1.00)</f>
        <v/>
      </c>
      <c r="O3600">
        <f>IF('Loan Tape (S&amp;P)'!T3600="Yes",
    1.35,
    1.00)</f>
        <v/>
      </c>
      <c r="P3600">
        <f>IF('Loan Tape (S&amp;P)'!S3600="Yes",
    1.15,
    1.00)</f>
        <v/>
      </c>
      <c r="Q3600">
        <f>IF('Loan Tape (S&amp;P)'!V3600="Yes",
    1.20,
    1.00)</f>
        <v/>
      </c>
      <c r="T3600">
        <f>LET(
    payment_method,'Loan Tape (S&amp;P)'!P3600,
    occupancy,'Loan Tape (S&amp;P)'!N3600,
    maturity_date,'Loan Tape (S&amp;P)'!L3600,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01">
      <c r="J3601">
        <f>LET(
    lien,'Loan Tape (S&amp;P)'!Q3601,
    IF(lien="First",1.00,
        IF(lien="Second",1.50,
            1.70)))</f>
        <v/>
      </c>
      <c r="K3601">
        <f>LET(
    purpose,'Loan Tape (S&amp;P)'!R3601,
    IF(purpose="Purchase",1.00,
        IF(purpose="Remortgage",1.00,
            1.20)))</f>
        <v/>
      </c>
      <c r="L3601">
        <f>LET(
    arrears_months,'Loan Tape (S&amp;P)'!AN3601,
    IF(arrears_months=0,1.00,
    IF(arrears_months=1,3.00,
    IF(arrears_months=2,5.00,
    IF(arrears_months=3,8.00,
    IF(arrears_months=4,10.00,
    IF(arrears_months=5,12.00,15.00)))))))</f>
        <v/>
      </c>
      <c r="M3601">
        <f>LET(
    seasoning_years,DATEDIF('Loan Tape (S&amp;P)'!K3601,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01">
        <f>IF(AND('Loan Tape (S&amp;P)'!U3601="Yes",
        'Loan Tape (S&amp;P)'!T3601&lt;&gt;"Yes",
        DATEDIF('Loan Tape (S&amp;P)'!K3601, TODAY(), "M")&lt;18),
    1.10,
    1.00)</f>
        <v/>
      </c>
      <c r="O3601">
        <f>IF('Loan Tape (S&amp;P)'!T3601="Yes",
    1.35,
    1.00)</f>
        <v/>
      </c>
      <c r="P3601">
        <f>IF('Loan Tape (S&amp;P)'!S3601="Yes",
    1.15,
    1.00)</f>
        <v/>
      </c>
      <c r="Q3601">
        <f>IF('Loan Tape (S&amp;P)'!V3601="Yes",
    1.20,
    1.00)</f>
        <v/>
      </c>
      <c r="T3601">
        <f>LET(
    payment_method,'Loan Tape (S&amp;P)'!P3601,
    occupancy,'Loan Tape (S&amp;P)'!N3601,
    maturity_date,'Loan Tape (S&amp;P)'!L3601,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02">
      <c r="J3602">
        <f>LET(
    lien,'Loan Tape (S&amp;P)'!Q3602,
    IF(lien="First",1.00,
        IF(lien="Second",1.50,
            1.70)))</f>
        <v/>
      </c>
      <c r="K3602">
        <f>LET(
    purpose,'Loan Tape (S&amp;P)'!R3602,
    IF(purpose="Purchase",1.00,
        IF(purpose="Remortgage",1.00,
            1.20)))</f>
        <v/>
      </c>
      <c r="L3602">
        <f>LET(
    arrears_months,'Loan Tape (S&amp;P)'!AN3602,
    IF(arrears_months=0,1.00,
    IF(arrears_months=1,3.00,
    IF(arrears_months=2,5.00,
    IF(arrears_months=3,8.00,
    IF(arrears_months=4,10.00,
    IF(arrears_months=5,12.00,15.00)))))))</f>
        <v/>
      </c>
      <c r="M3602">
        <f>LET(
    seasoning_years,DATEDIF('Loan Tape (S&amp;P)'!K3602,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02">
        <f>IF(AND('Loan Tape (S&amp;P)'!U3602="Yes",
        'Loan Tape (S&amp;P)'!T3602&lt;&gt;"Yes",
        DATEDIF('Loan Tape (S&amp;P)'!K3602, TODAY(), "M")&lt;18),
    1.10,
    1.00)</f>
        <v/>
      </c>
      <c r="O3602">
        <f>IF('Loan Tape (S&amp;P)'!T3602="Yes",
    1.35,
    1.00)</f>
        <v/>
      </c>
      <c r="P3602">
        <f>IF('Loan Tape (S&amp;P)'!S3602="Yes",
    1.15,
    1.00)</f>
        <v/>
      </c>
      <c r="Q3602">
        <f>IF('Loan Tape (S&amp;P)'!V3602="Yes",
    1.20,
    1.00)</f>
        <v/>
      </c>
      <c r="T3602">
        <f>LET(
    payment_method,'Loan Tape (S&amp;P)'!P3602,
    occupancy,'Loan Tape (S&amp;P)'!N3602,
    maturity_date,'Loan Tape (S&amp;P)'!L3602,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03">
      <c r="J3603">
        <f>LET(
    lien,'Loan Tape (S&amp;P)'!Q3603,
    IF(lien="First",1.00,
        IF(lien="Second",1.50,
            1.70)))</f>
        <v/>
      </c>
      <c r="K3603">
        <f>LET(
    purpose,'Loan Tape (S&amp;P)'!R3603,
    IF(purpose="Purchase",1.00,
        IF(purpose="Remortgage",1.00,
            1.20)))</f>
        <v/>
      </c>
      <c r="L3603">
        <f>LET(
    arrears_months,'Loan Tape (S&amp;P)'!AN3603,
    IF(arrears_months=0,1.00,
    IF(arrears_months=1,3.00,
    IF(arrears_months=2,5.00,
    IF(arrears_months=3,8.00,
    IF(arrears_months=4,10.00,
    IF(arrears_months=5,12.00,15.00)))))))</f>
        <v/>
      </c>
      <c r="M3603">
        <f>LET(
    seasoning_years,DATEDIF('Loan Tape (S&amp;P)'!K3603,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03">
        <f>IF(AND('Loan Tape (S&amp;P)'!U3603="Yes",
        'Loan Tape (S&amp;P)'!T3603&lt;&gt;"Yes",
        DATEDIF('Loan Tape (S&amp;P)'!K3603, TODAY(), "M")&lt;18),
    1.10,
    1.00)</f>
        <v/>
      </c>
      <c r="O3603">
        <f>IF('Loan Tape (S&amp;P)'!T3603="Yes",
    1.35,
    1.00)</f>
        <v/>
      </c>
      <c r="P3603">
        <f>IF('Loan Tape (S&amp;P)'!S3603="Yes",
    1.15,
    1.00)</f>
        <v/>
      </c>
      <c r="Q3603">
        <f>IF('Loan Tape (S&amp;P)'!V3603="Yes",
    1.20,
    1.00)</f>
        <v/>
      </c>
      <c r="T3603">
        <f>LET(
    payment_method,'Loan Tape (S&amp;P)'!P3603,
    occupancy,'Loan Tape (S&amp;P)'!N3603,
    maturity_date,'Loan Tape (S&amp;P)'!L3603,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04">
      <c r="J3604">
        <f>LET(
    lien,'Loan Tape (S&amp;P)'!Q3604,
    IF(lien="First",1.00,
        IF(lien="Second",1.50,
            1.70)))</f>
        <v/>
      </c>
      <c r="K3604">
        <f>LET(
    purpose,'Loan Tape (S&amp;P)'!R3604,
    IF(purpose="Purchase",1.00,
        IF(purpose="Remortgage",1.00,
            1.20)))</f>
        <v/>
      </c>
      <c r="L3604">
        <f>LET(
    arrears_months,'Loan Tape (S&amp;P)'!AN3604,
    IF(arrears_months=0,1.00,
    IF(arrears_months=1,3.00,
    IF(arrears_months=2,5.00,
    IF(arrears_months=3,8.00,
    IF(arrears_months=4,10.00,
    IF(arrears_months=5,12.00,15.00)))))))</f>
        <v/>
      </c>
      <c r="M3604">
        <f>LET(
    seasoning_years,DATEDIF('Loan Tape (S&amp;P)'!K3604,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04">
        <f>IF(AND('Loan Tape (S&amp;P)'!U3604="Yes",
        'Loan Tape (S&amp;P)'!T3604&lt;&gt;"Yes",
        DATEDIF('Loan Tape (S&amp;P)'!K3604, TODAY(), "M")&lt;18),
    1.10,
    1.00)</f>
        <v/>
      </c>
      <c r="O3604">
        <f>IF('Loan Tape (S&amp;P)'!T3604="Yes",
    1.35,
    1.00)</f>
        <v/>
      </c>
      <c r="P3604">
        <f>IF('Loan Tape (S&amp;P)'!S3604="Yes",
    1.15,
    1.00)</f>
        <v/>
      </c>
      <c r="Q3604">
        <f>IF('Loan Tape (S&amp;P)'!V3604="Yes",
    1.20,
    1.00)</f>
        <v/>
      </c>
      <c r="T3604">
        <f>LET(
    payment_method,'Loan Tape (S&amp;P)'!P3604,
    occupancy,'Loan Tape (S&amp;P)'!N3604,
    maturity_date,'Loan Tape (S&amp;P)'!L3604,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05">
      <c r="J3605">
        <f>LET(
    lien,'Loan Tape (S&amp;P)'!Q3605,
    IF(lien="First",1.00,
        IF(lien="Second",1.50,
            1.70)))</f>
        <v/>
      </c>
      <c r="K3605">
        <f>LET(
    purpose,'Loan Tape (S&amp;P)'!R3605,
    IF(purpose="Purchase",1.00,
        IF(purpose="Remortgage",1.00,
            1.20)))</f>
        <v/>
      </c>
      <c r="L3605">
        <f>LET(
    arrears_months,'Loan Tape (S&amp;P)'!AN3605,
    IF(arrears_months=0,1.00,
    IF(arrears_months=1,3.00,
    IF(arrears_months=2,5.00,
    IF(arrears_months=3,8.00,
    IF(arrears_months=4,10.00,
    IF(arrears_months=5,12.00,15.00)))))))</f>
        <v/>
      </c>
      <c r="M3605">
        <f>LET(
    seasoning_years,DATEDIF('Loan Tape (S&amp;P)'!K3605,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05">
        <f>IF(AND('Loan Tape (S&amp;P)'!U3605="Yes",
        'Loan Tape (S&amp;P)'!T3605&lt;&gt;"Yes",
        DATEDIF('Loan Tape (S&amp;P)'!K3605, TODAY(), "M")&lt;18),
    1.10,
    1.00)</f>
        <v/>
      </c>
      <c r="O3605">
        <f>IF('Loan Tape (S&amp;P)'!T3605="Yes",
    1.35,
    1.00)</f>
        <v/>
      </c>
      <c r="P3605">
        <f>IF('Loan Tape (S&amp;P)'!S3605="Yes",
    1.15,
    1.00)</f>
        <v/>
      </c>
      <c r="Q3605">
        <f>IF('Loan Tape (S&amp;P)'!V3605="Yes",
    1.20,
    1.00)</f>
        <v/>
      </c>
      <c r="T3605">
        <f>LET(
    payment_method,'Loan Tape (S&amp;P)'!P3605,
    occupancy,'Loan Tape (S&amp;P)'!N3605,
    maturity_date,'Loan Tape (S&amp;P)'!L3605,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06">
      <c r="J3606">
        <f>LET(
    lien,'Loan Tape (S&amp;P)'!Q3606,
    IF(lien="First",1.00,
        IF(lien="Second",1.50,
            1.70)))</f>
        <v/>
      </c>
      <c r="K3606">
        <f>LET(
    purpose,'Loan Tape (S&amp;P)'!R3606,
    IF(purpose="Purchase",1.00,
        IF(purpose="Remortgage",1.00,
            1.20)))</f>
        <v/>
      </c>
      <c r="L3606">
        <f>LET(
    arrears_months,'Loan Tape (S&amp;P)'!AN3606,
    IF(arrears_months=0,1.00,
    IF(arrears_months=1,3.00,
    IF(arrears_months=2,5.00,
    IF(arrears_months=3,8.00,
    IF(arrears_months=4,10.00,
    IF(arrears_months=5,12.00,15.00)))))))</f>
        <v/>
      </c>
      <c r="M3606">
        <f>LET(
    seasoning_years,DATEDIF('Loan Tape (S&amp;P)'!K3606,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06">
        <f>IF(AND('Loan Tape (S&amp;P)'!U3606="Yes",
        'Loan Tape (S&amp;P)'!T3606&lt;&gt;"Yes",
        DATEDIF('Loan Tape (S&amp;P)'!K3606, TODAY(), "M")&lt;18),
    1.10,
    1.00)</f>
        <v/>
      </c>
      <c r="O3606">
        <f>IF('Loan Tape (S&amp;P)'!T3606="Yes",
    1.35,
    1.00)</f>
        <v/>
      </c>
      <c r="P3606">
        <f>IF('Loan Tape (S&amp;P)'!S3606="Yes",
    1.15,
    1.00)</f>
        <v/>
      </c>
      <c r="Q3606">
        <f>IF('Loan Tape (S&amp;P)'!V3606="Yes",
    1.20,
    1.00)</f>
        <v/>
      </c>
      <c r="T3606">
        <f>LET(
    payment_method,'Loan Tape (S&amp;P)'!P3606,
    occupancy,'Loan Tape (S&amp;P)'!N3606,
    maturity_date,'Loan Tape (S&amp;P)'!L3606,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07">
      <c r="J3607">
        <f>LET(
    lien,'Loan Tape (S&amp;P)'!Q3607,
    IF(lien="First",1.00,
        IF(lien="Second",1.50,
            1.70)))</f>
        <v/>
      </c>
      <c r="K3607">
        <f>LET(
    purpose,'Loan Tape (S&amp;P)'!R3607,
    IF(purpose="Purchase",1.00,
        IF(purpose="Remortgage",1.00,
            1.20)))</f>
        <v/>
      </c>
      <c r="L3607">
        <f>LET(
    arrears_months,'Loan Tape (S&amp;P)'!AN3607,
    IF(arrears_months=0,1.00,
    IF(arrears_months=1,3.00,
    IF(arrears_months=2,5.00,
    IF(arrears_months=3,8.00,
    IF(arrears_months=4,10.00,
    IF(arrears_months=5,12.00,15.00)))))))</f>
        <v/>
      </c>
      <c r="M3607">
        <f>LET(
    seasoning_years,DATEDIF('Loan Tape (S&amp;P)'!K3607,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07">
        <f>IF(AND('Loan Tape (S&amp;P)'!U3607="Yes",
        'Loan Tape (S&amp;P)'!T3607&lt;&gt;"Yes",
        DATEDIF('Loan Tape (S&amp;P)'!K3607, TODAY(), "M")&lt;18),
    1.10,
    1.00)</f>
        <v/>
      </c>
      <c r="O3607">
        <f>IF('Loan Tape (S&amp;P)'!T3607="Yes",
    1.35,
    1.00)</f>
        <v/>
      </c>
      <c r="P3607">
        <f>IF('Loan Tape (S&amp;P)'!S3607="Yes",
    1.15,
    1.00)</f>
        <v/>
      </c>
      <c r="Q3607">
        <f>IF('Loan Tape (S&amp;P)'!V3607="Yes",
    1.20,
    1.00)</f>
        <v/>
      </c>
      <c r="T3607">
        <f>LET(
    payment_method,'Loan Tape (S&amp;P)'!P3607,
    occupancy,'Loan Tape (S&amp;P)'!N3607,
    maturity_date,'Loan Tape (S&amp;P)'!L3607,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08">
      <c r="J3608">
        <f>LET(
    lien,'Loan Tape (S&amp;P)'!Q3608,
    IF(lien="First",1.00,
        IF(lien="Second",1.50,
            1.70)))</f>
        <v/>
      </c>
      <c r="K3608">
        <f>LET(
    purpose,'Loan Tape (S&amp;P)'!R3608,
    IF(purpose="Purchase",1.00,
        IF(purpose="Remortgage",1.00,
            1.20)))</f>
        <v/>
      </c>
      <c r="L3608">
        <f>LET(
    arrears_months,'Loan Tape (S&amp;P)'!AN3608,
    IF(arrears_months=0,1.00,
    IF(arrears_months=1,3.00,
    IF(arrears_months=2,5.00,
    IF(arrears_months=3,8.00,
    IF(arrears_months=4,10.00,
    IF(arrears_months=5,12.00,15.00)))))))</f>
        <v/>
      </c>
      <c r="M3608">
        <f>LET(
    seasoning_years,DATEDIF('Loan Tape (S&amp;P)'!K3608,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08">
        <f>IF(AND('Loan Tape (S&amp;P)'!U3608="Yes",
        'Loan Tape (S&amp;P)'!T3608&lt;&gt;"Yes",
        DATEDIF('Loan Tape (S&amp;P)'!K3608, TODAY(), "M")&lt;18),
    1.10,
    1.00)</f>
        <v/>
      </c>
      <c r="O3608">
        <f>IF('Loan Tape (S&amp;P)'!T3608="Yes",
    1.35,
    1.00)</f>
        <v/>
      </c>
      <c r="P3608">
        <f>IF('Loan Tape (S&amp;P)'!S3608="Yes",
    1.15,
    1.00)</f>
        <v/>
      </c>
      <c r="Q3608">
        <f>IF('Loan Tape (S&amp;P)'!V3608="Yes",
    1.20,
    1.00)</f>
        <v/>
      </c>
      <c r="T3608">
        <f>LET(
    payment_method,'Loan Tape (S&amp;P)'!P3608,
    occupancy,'Loan Tape (S&amp;P)'!N3608,
    maturity_date,'Loan Tape (S&amp;P)'!L3608,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09">
      <c r="J3609">
        <f>LET(
    lien,'Loan Tape (S&amp;P)'!Q3609,
    IF(lien="First",1.00,
        IF(lien="Second",1.50,
            1.70)))</f>
        <v/>
      </c>
      <c r="K3609">
        <f>LET(
    purpose,'Loan Tape (S&amp;P)'!R3609,
    IF(purpose="Purchase",1.00,
        IF(purpose="Remortgage",1.00,
            1.20)))</f>
        <v/>
      </c>
      <c r="L3609">
        <f>LET(
    arrears_months,'Loan Tape (S&amp;P)'!AN3609,
    IF(arrears_months=0,1.00,
    IF(arrears_months=1,3.00,
    IF(arrears_months=2,5.00,
    IF(arrears_months=3,8.00,
    IF(arrears_months=4,10.00,
    IF(arrears_months=5,12.00,15.00)))))))</f>
        <v/>
      </c>
      <c r="M3609">
        <f>LET(
    seasoning_years,DATEDIF('Loan Tape (S&amp;P)'!K3609,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09">
        <f>IF(AND('Loan Tape (S&amp;P)'!U3609="Yes",
        'Loan Tape (S&amp;P)'!T3609&lt;&gt;"Yes",
        DATEDIF('Loan Tape (S&amp;P)'!K3609, TODAY(), "M")&lt;18),
    1.10,
    1.00)</f>
        <v/>
      </c>
      <c r="O3609">
        <f>IF('Loan Tape (S&amp;P)'!T3609="Yes",
    1.35,
    1.00)</f>
        <v/>
      </c>
      <c r="P3609">
        <f>IF('Loan Tape (S&amp;P)'!S3609="Yes",
    1.15,
    1.00)</f>
        <v/>
      </c>
      <c r="Q3609">
        <f>IF('Loan Tape (S&amp;P)'!V3609="Yes",
    1.20,
    1.00)</f>
        <v/>
      </c>
      <c r="T3609">
        <f>LET(
    payment_method,'Loan Tape (S&amp;P)'!P3609,
    occupancy,'Loan Tape (S&amp;P)'!N3609,
    maturity_date,'Loan Tape (S&amp;P)'!L3609,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10">
      <c r="J3610">
        <f>LET(
    lien,'Loan Tape (S&amp;P)'!Q3610,
    IF(lien="First",1.00,
        IF(lien="Second",1.50,
            1.70)))</f>
        <v/>
      </c>
      <c r="K3610">
        <f>LET(
    purpose,'Loan Tape (S&amp;P)'!R3610,
    IF(purpose="Purchase",1.00,
        IF(purpose="Remortgage",1.00,
            1.20)))</f>
        <v/>
      </c>
      <c r="L3610">
        <f>LET(
    arrears_months,'Loan Tape (S&amp;P)'!AN3610,
    IF(arrears_months=0,1.00,
    IF(arrears_months=1,3.00,
    IF(arrears_months=2,5.00,
    IF(arrears_months=3,8.00,
    IF(arrears_months=4,10.00,
    IF(arrears_months=5,12.00,15.00)))))))</f>
        <v/>
      </c>
      <c r="M3610">
        <f>LET(
    seasoning_years,DATEDIF('Loan Tape (S&amp;P)'!K3610,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10">
        <f>IF(AND('Loan Tape (S&amp;P)'!U3610="Yes",
        'Loan Tape (S&amp;P)'!T3610&lt;&gt;"Yes",
        DATEDIF('Loan Tape (S&amp;P)'!K3610, TODAY(), "M")&lt;18),
    1.10,
    1.00)</f>
        <v/>
      </c>
      <c r="O3610">
        <f>IF('Loan Tape (S&amp;P)'!T3610="Yes",
    1.35,
    1.00)</f>
        <v/>
      </c>
      <c r="P3610">
        <f>IF('Loan Tape (S&amp;P)'!S3610="Yes",
    1.15,
    1.00)</f>
        <v/>
      </c>
      <c r="Q3610">
        <f>IF('Loan Tape (S&amp;P)'!V3610="Yes",
    1.20,
    1.00)</f>
        <v/>
      </c>
      <c r="T3610">
        <f>LET(
    payment_method,'Loan Tape (S&amp;P)'!P3610,
    occupancy,'Loan Tape (S&amp;P)'!N3610,
    maturity_date,'Loan Tape (S&amp;P)'!L3610,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11">
      <c r="J3611">
        <f>LET(
    lien,'Loan Tape (S&amp;P)'!Q3611,
    IF(lien="First",1.00,
        IF(lien="Second",1.50,
            1.70)))</f>
        <v/>
      </c>
      <c r="K3611">
        <f>LET(
    purpose,'Loan Tape (S&amp;P)'!R3611,
    IF(purpose="Purchase",1.00,
        IF(purpose="Remortgage",1.00,
            1.20)))</f>
        <v/>
      </c>
      <c r="L3611">
        <f>LET(
    arrears_months,'Loan Tape (S&amp;P)'!AN3611,
    IF(arrears_months=0,1.00,
    IF(arrears_months=1,3.00,
    IF(arrears_months=2,5.00,
    IF(arrears_months=3,8.00,
    IF(arrears_months=4,10.00,
    IF(arrears_months=5,12.00,15.00)))))))</f>
        <v/>
      </c>
      <c r="M3611">
        <f>LET(
    seasoning_years,DATEDIF('Loan Tape (S&amp;P)'!K3611,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11">
        <f>IF(AND('Loan Tape (S&amp;P)'!U3611="Yes",
        'Loan Tape (S&amp;P)'!T3611&lt;&gt;"Yes",
        DATEDIF('Loan Tape (S&amp;P)'!K3611, TODAY(), "M")&lt;18),
    1.10,
    1.00)</f>
        <v/>
      </c>
      <c r="O3611">
        <f>IF('Loan Tape (S&amp;P)'!T3611="Yes",
    1.35,
    1.00)</f>
        <v/>
      </c>
      <c r="P3611">
        <f>IF('Loan Tape (S&amp;P)'!S3611="Yes",
    1.15,
    1.00)</f>
        <v/>
      </c>
      <c r="Q3611">
        <f>IF('Loan Tape (S&amp;P)'!V3611="Yes",
    1.20,
    1.00)</f>
        <v/>
      </c>
      <c r="T3611">
        <f>LET(
    payment_method,'Loan Tape (S&amp;P)'!P3611,
    occupancy,'Loan Tape (S&amp;P)'!N3611,
    maturity_date,'Loan Tape (S&amp;P)'!L3611,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12">
      <c r="J3612">
        <f>LET(
    lien,'Loan Tape (S&amp;P)'!Q3612,
    IF(lien="First",1.00,
        IF(lien="Second",1.50,
            1.70)))</f>
        <v/>
      </c>
      <c r="K3612">
        <f>LET(
    purpose,'Loan Tape (S&amp;P)'!R3612,
    IF(purpose="Purchase",1.00,
        IF(purpose="Remortgage",1.00,
            1.20)))</f>
        <v/>
      </c>
      <c r="L3612">
        <f>LET(
    arrears_months,'Loan Tape (S&amp;P)'!AN3612,
    IF(arrears_months=0,1.00,
    IF(arrears_months=1,3.00,
    IF(arrears_months=2,5.00,
    IF(arrears_months=3,8.00,
    IF(arrears_months=4,10.00,
    IF(arrears_months=5,12.00,15.00)))))))</f>
        <v/>
      </c>
      <c r="M3612">
        <f>LET(
    seasoning_years,DATEDIF('Loan Tape (S&amp;P)'!K3612,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12">
        <f>IF(AND('Loan Tape (S&amp;P)'!U3612="Yes",
        'Loan Tape (S&amp;P)'!T3612&lt;&gt;"Yes",
        DATEDIF('Loan Tape (S&amp;P)'!K3612, TODAY(), "M")&lt;18),
    1.10,
    1.00)</f>
        <v/>
      </c>
      <c r="O3612">
        <f>IF('Loan Tape (S&amp;P)'!T3612="Yes",
    1.35,
    1.00)</f>
        <v/>
      </c>
      <c r="P3612">
        <f>IF('Loan Tape (S&amp;P)'!S3612="Yes",
    1.15,
    1.00)</f>
        <v/>
      </c>
      <c r="Q3612">
        <f>IF('Loan Tape (S&amp;P)'!V3612="Yes",
    1.20,
    1.00)</f>
        <v/>
      </c>
      <c r="T3612">
        <f>LET(
    payment_method,'Loan Tape (S&amp;P)'!P3612,
    occupancy,'Loan Tape (S&amp;P)'!N3612,
    maturity_date,'Loan Tape (S&amp;P)'!L3612,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13">
      <c r="J3613">
        <f>LET(
    lien,'Loan Tape (S&amp;P)'!Q3613,
    IF(lien="First",1.00,
        IF(lien="Second",1.50,
            1.70)))</f>
        <v/>
      </c>
      <c r="K3613">
        <f>LET(
    purpose,'Loan Tape (S&amp;P)'!R3613,
    IF(purpose="Purchase",1.00,
        IF(purpose="Remortgage",1.00,
            1.20)))</f>
        <v/>
      </c>
      <c r="L3613">
        <f>LET(
    arrears_months,'Loan Tape (S&amp;P)'!AN3613,
    IF(arrears_months=0,1.00,
    IF(arrears_months=1,3.00,
    IF(arrears_months=2,5.00,
    IF(arrears_months=3,8.00,
    IF(arrears_months=4,10.00,
    IF(arrears_months=5,12.00,15.00)))))))</f>
        <v/>
      </c>
      <c r="M3613">
        <f>LET(
    seasoning_years,DATEDIF('Loan Tape (S&amp;P)'!K3613,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13">
        <f>IF(AND('Loan Tape (S&amp;P)'!U3613="Yes",
        'Loan Tape (S&amp;P)'!T3613&lt;&gt;"Yes",
        DATEDIF('Loan Tape (S&amp;P)'!K3613, TODAY(), "M")&lt;18),
    1.10,
    1.00)</f>
        <v/>
      </c>
      <c r="O3613">
        <f>IF('Loan Tape (S&amp;P)'!T3613="Yes",
    1.35,
    1.00)</f>
        <v/>
      </c>
      <c r="P3613">
        <f>IF('Loan Tape (S&amp;P)'!S3613="Yes",
    1.15,
    1.00)</f>
        <v/>
      </c>
      <c r="Q3613">
        <f>IF('Loan Tape (S&amp;P)'!V3613="Yes",
    1.20,
    1.00)</f>
        <v/>
      </c>
      <c r="T3613">
        <f>LET(
    payment_method,'Loan Tape (S&amp;P)'!P3613,
    occupancy,'Loan Tape (S&amp;P)'!N3613,
    maturity_date,'Loan Tape (S&amp;P)'!L3613,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14">
      <c r="J3614">
        <f>LET(
    lien,'Loan Tape (S&amp;P)'!Q3614,
    IF(lien="First",1.00,
        IF(lien="Second",1.50,
            1.70)))</f>
        <v/>
      </c>
      <c r="K3614">
        <f>LET(
    purpose,'Loan Tape (S&amp;P)'!R3614,
    IF(purpose="Purchase",1.00,
        IF(purpose="Remortgage",1.00,
            1.20)))</f>
        <v/>
      </c>
      <c r="L3614">
        <f>LET(
    arrears_months,'Loan Tape (S&amp;P)'!AN3614,
    IF(arrears_months=0,1.00,
    IF(arrears_months=1,3.00,
    IF(arrears_months=2,5.00,
    IF(arrears_months=3,8.00,
    IF(arrears_months=4,10.00,
    IF(arrears_months=5,12.00,15.00)))))))</f>
        <v/>
      </c>
      <c r="M3614">
        <f>LET(
    seasoning_years,DATEDIF('Loan Tape (S&amp;P)'!K3614,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14">
        <f>IF(AND('Loan Tape (S&amp;P)'!U3614="Yes",
        'Loan Tape (S&amp;P)'!T3614&lt;&gt;"Yes",
        DATEDIF('Loan Tape (S&amp;P)'!K3614, TODAY(), "M")&lt;18),
    1.10,
    1.00)</f>
        <v/>
      </c>
      <c r="O3614">
        <f>IF('Loan Tape (S&amp;P)'!T3614="Yes",
    1.35,
    1.00)</f>
        <v/>
      </c>
      <c r="P3614">
        <f>IF('Loan Tape (S&amp;P)'!S3614="Yes",
    1.15,
    1.00)</f>
        <v/>
      </c>
      <c r="Q3614">
        <f>IF('Loan Tape (S&amp;P)'!V3614="Yes",
    1.20,
    1.00)</f>
        <v/>
      </c>
      <c r="T3614">
        <f>LET(
    payment_method,'Loan Tape (S&amp;P)'!P3614,
    occupancy,'Loan Tape (S&amp;P)'!N3614,
    maturity_date,'Loan Tape (S&amp;P)'!L3614,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15">
      <c r="J3615">
        <f>LET(
    lien,'Loan Tape (S&amp;P)'!Q3615,
    IF(lien="First",1.00,
        IF(lien="Second",1.50,
            1.70)))</f>
        <v/>
      </c>
      <c r="K3615">
        <f>LET(
    purpose,'Loan Tape (S&amp;P)'!R3615,
    IF(purpose="Purchase",1.00,
        IF(purpose="Remortgage",1.00,
            1.20)))</f>
        <v/>
      </c>
      <c r="L3615">
        <f>LET(
    arrears_months,'Loan Tape (S&amp;P)'!AN3615,
    IF(arrears_months=0,1.00,
    IF(arrears_months=1,3.00,
    IF(arrears_months=2,5.00,
    IF(arrears_months=3,8.00,
    IF(arrears_months=4,10.00,
    IF(arrears_months=5,12.00,15.00)))))))</f>
        <v/>
      </c>
      <c r="M3615">
        <f>LET(
    seasoning_years,DATEDIF('Loan Tape (S&amp;P)'!K3615,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15">
        <f>IF(AND('Loan Tape (S&amp;P)'!U3615="Yes",
        'Loan Tape (S&amp;P)'!T3615&lt;&gt;"Yes",
        DATEDIF('Loan Tape (S&amp;P)'!K3615, TODAY(), "M")&lt;18),
    1.10,
    1.00)</f>
        <v/>
      </c>
      <c r="O3615">
        <f>IF('Loan Tape (S&amp;P)'!T3615="Yes",
    1.35,
    1.00)</f>
        <v/>
      </c>
      <c r="P3615">
        <f>IF('Loan Tape (S&amp;P)'!S3615="Yes",
    1.15,
    1.00)</f>
        <v/>
      </c>
      <c r="Q3615">
        <f>IF('Loan Tape (S&amp;P)'!V3615="Yes",
    1.20,
    1.00)</f>
        <v/>
      </c>
      <c r="T3615">
        <f>LET(
    payment_method,'Loan Tape (S&amp;P)'!P3615,
    occupancy,'Loan Tape (S&amp;P)'!N3615,
    maturity_date,'Loan Tape (S&amp;P)'!L3615,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16">
      <c r="J3616">
        <f>LET(
    lien,'Loan Tape (S&amp;P)'!Q3616,
    IF(lien="First",1.00,
        IF(lien="Second",1.50,
            1.70)))</f>
        <v/>
      </c>
      <c r="K3616">
        <f>LET(
    purpose,'Loan Tape (S&amp;P)'!R3616,
    IF(purpose="Purchase",1.00,
        IF(purpose="Remortgage",1.00,
            1.20)))</f>
        <v/>
      </c>
      <c r="L3616">
        <f>LET(
    arrears_months,'Loan Tape (S&amp;P)'!AN3616,
    IF(arrears_months=0,1.00,
    IF(arrears_months=1,3.00,
    IF(arrears_months=2,5.00,
    IF(arrears_months=3,8.00,
    IF(arrears_months=4,10.00,
    IF(arrears_months=5,12.00,15.00)))))))</f>
        <v/>
      </c>
      <c r="M3616">
        <f>LET(
    seasoning_years,DATEDIF('Loan Tape (S&amp;P)'!K3616,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16">
        <f>IF(AND('Loan Tape (S&amp;P)'!U3616="Yes",
        'Loan Tape (S&amp;P)'!T3616&lt;&gt;"Yes",
        DATEDIF('Loan Tape (S&amp;P)'!K3616, TODAY(), "M")&lt;18),
    1.10,
    1.00)</f>
        <v/>
      </c>
      <c r="O3616">
        <f>IF('Loan Tape (S&amp;P)'!T3616="Yes",
    1.35,
    1.00)</f>
        <v/>
      </c>
      <c r="P3616">
        <f>IF('Loan Tape (S&amp;P)'!S3616="Yes",
    1.15,
    1.00)</f>
        <v/>
      </c>
      <c r="Q3616">
        <f>IF('Loan Tape (S&amp;P)'!V3616="Yes",
    1.20,
    1.00)</f>
        <v/>
      </c>
      <c r="T3616">
        <f>LET(
    payment_method,'Loan Tape (S&amp;P)'!P3616,
    occupancy,'Loan Tape (S&amp;P)'!N3616,
    maturity_date,'Loan Tape (S&amp;P)'!L3616,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17">
      <c r="J3617">
        <f>LET(
    lien,'Loan Tape (S&amp;P)'!Q3617,
    IF(lien="First",1.00,
        IF(lien="Second",1.50,
            1.70)))</f>
        <v/>
      </c>
      <c r="K3617">
        <f>LET(
    purpose,'Loan Tape (S&amp;P)'!R3617,
    IF(purpose="Purchase",1.00,
        IF(purpose="Remortgage",1.00,
            1.20)))</f>
        <v/>
      </c>
      <c r="L3617">
        <f>LET(
    arrears_months,'Loan Tape (S&amp;P)'!AN3617,
    IF(arrears_months=0,1.00,
    IF(arrears_months=1,3.00,
    IF(arrears_months=2,5.00,
    IF(arrears_months=3,8.00,
    IF(arrears_months=4,10.00,
    IF(arrears_months=5,12.00,15.00)))))))</f>
        <v/>
      </c>
      <c r="M3617">
        <f>LET(
    seasoning_years,DATEDIF('Loan Tape (S&amp;P)'!K3617,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17">
        <f>IF(AND('Loan Tape (S&amp;P)'!U3617="Yes",
        'Loan Tape (S&amp;P)'!T3617&lt;&gt;"Yes",
        DATEDIF('Loan Tape (S&amp;P)'!K3617, TODAY(), "M")&lt;18),
    1.10,
    1.00)</f>
        <v/>
      </c>
      <c r="O3617">
        <f>IF('Loan Tape (S&amp;P)'!T3617="Yes",
    1.35,
    1.00)</f>
        <v/>
      </c>
      <c r="P3617">
        <f>IF('Loan Tape (S&amp;P)'!S3617="Yes",
    1.15,
    1.00)</f>
        <v/>
      </c>
      <c r="Q3617">
        <f>IF('Loan Tape (S&amp;P)'!V3617="Yes",
    1.20,
    1.00)</f>
        <v/>
      </c>
      <c r="T3617">
        <f>LET(
    payment_method,'Loan Tape (S&amp;P)'!P3617,
    occupancy,'Loan Tape (S&amp;P)'!N3617,
    maturity_date,'Loan Tape (S&amp;P)'!L3617,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18">
      <c r="J3618">
        <f>LET(
    lien,'Loan Tape (S&amp;P)'!Q3618,
    IF(lien="First",1.00,
        IF(lien="Second",1.50,
            1.70)))</f>
        <v/>
      </c>
      <c r="K3618">
        <f>LET(
    purpose,'Loan Tape (S&amp;P)'!R3618,
    IF(purpose="Purchase",1.00,
        IF(purpose="Remortgage",1.00,
            1.20)))</f>
        <v/>
      </c>
      <c r="L3618">
        <f>LET(
    arrears_months,'Loan Tape (S&amp;P)'!AN3618,
    IF(arrears_months=0,1.00,
    IF(arrears_months=1,3.00,
    IF(arrears_months=2,5.00,
    IF(arrears_months=3,8.00,
    IF(arrears_months=4,10.00,
    IF(arrears_months=5,12.00,15.00)))))))</f>
        <v/>
      </c>
      <c r="M3618">
        <f>LET(
    seasoning_years,DATEDIF('Loan Tape (S&amp;P)'!K3618,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18">
        <f>IF(AND('Loan Tape (S&amp;P)'!U3618="Yes",
        'Loan Tape (S&amp;P)'!T3618&lt;&gt;"Yes",
        DATEDIF('Loan Tape (S&amp;P)'!K3618, TODAY(), "M")&lt;18),
    1.10,
    1.00)</f>
        <v/>
      </c>
      <c r="O3618">
        <f>IF('Loan Tape (S&amp;P)'!T3618="Yes",
    1.35,
    1.00)</f>
        <v/>
      </c>
      <c r="P3618">
        <f>IF('Loan Tape (S&amp;P)'!S3618="Yes",
    1.15,
    1.00)</f>
        <v/>
      </c>
      <c r="Q3618">
        <f>IF('Loan Tape (S&amp;P)'!V3618="Yes",
    1.20,
    1.00)</f>
        <v/>
      </c>
      <c r="T3618">
        <f>LET(
    payment_method,'Loan Tape (S&amp;P)'!P3618,
    occupancy,'Loan Tape (S&amp;P)'!N3618,
    maturity_date,'Loan Tape (S&amp;P)'!L3618,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19">
      <c r="J3619">
        <f>LET(
    lien,'Loan Tape (S&amp;P)'!Q3619,
    IF(lien="First",1.00,
        IF(lien="Second",1.50,
            1.70)))</f>
        <v/>
      </c>
      <c r="K3619">
        <f>LET(
    purpose,'Loan Tape (S&amp;P)'!R3619,
    IF(purpose="Purchase",1.00,
        IF(purpose="Remortgage",1.00,
            1.20)))</f>
        <v/>
      </c>
      <c r="L3619">
        <f>LET(
    arrears_months,'Loan Tape (S&amp;P)'!AN3619,
    IF(arrears_months=0,1.00,
    IF(arrears_months=1,3.00,
    IF(arrears_months=2,5.00,
    IF(arrears_months=3,8.00,
    IF(arrears_months=4,10.00,
    IF(arrears_months=5,12.00,15.00)))))))</f>
        <v/>
      </c>
      <c r="M3619">
        <f>LET(
    seasoning_years,DATEDIF('Loan Tape (S&amp;P)'!K3619,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19">
        <f>IF(AND('Loan Tape (S&amp;P)'!U3619="Yes",
        'Loan Tape (S&amp;P)'!T3619&lt;&gt;"Yes",
        DATEDIF('Loan Tape (S&amp;P)'!K3619, TODAY(), "M")&lt;18),
    1.10,
    1.00)</f>
        <v/>
      </c>
      <c r="O3619">
        <f>IF('Loan Tape (S&amp;P)'!T3619="Yes",
    1.35,
    1.00)</f>
        <v/>
      </c>
      <c r="P3619">
        <f>IF('Loan Tape (S&amp;P)'!S3619="Yes",
    1.15,
    1.00)</f>
        <v/>
      </c>
      <c r="Q3619">
        <f>IF('Loan Tape (S&amp;P)'!V3619="Yes",
    1.20,
    1.00)</f>
        <v/>
      </c>
      <c r="T3619">
        <f>LET(
    payment_method,'Loan Tape (S&amp;P)'!P3619,
    occupancy,'Loan Tape (S&amp;P)'!N3619,
    maturity_date,'Loan Tape (S&amp;P)'!L3619,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20">
      <c r="J3620">
        <f>LET(
    lien,'Loan Tape (S&amp;P)'!Q3620,
    IF(lien="First",1.00,
        IF(lien="Second",1.50,
            1.70)))</f>
        <v/>
      </c>
      <c r="K3620">
        <f>LET(
    purpose,'Loan Tape (S&amp;P)'!R3620,
    IF(purpose="Purchase",1.00,
        IF(purpose="Remortgage",1.00,
            1.20)))</f>
        <v/>
      </c>
      <c r="L3620">
        <f>LET(
    arrears_months,'Loan Tape (S&amp;P)'!AN3620,
    IF(arrears_months=0,1.00,
    IF(arrears_months=1,3.00,
    IF(arrears_months=2,5.00,
    IF(arrears_months=3,8.00,
    IF(arrears_months=4,10.00,
    IF(arrears_months=5,12.00,15.00)))))))</f>
        <v/>
      </c>
      <c r="M3620">
        <f>LET(
    seasoning_years,DATEDIF('Loan Tape (S&amp;P)'!K3620,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20">
        <f>IF(AND('Loan Tape (S&amp;P)'!U3620="Yes",
        'Loan Tape (S&amp;P)'!T3620&lt;&gt;"Yes",
        DATEDIF('Loan Tape (S&amp;P)'!K3620, TODAY(), "M")&lt;18),
    1.10,
    1.00)</f>
        <v/>
      </c>
      <c r="O3620">
        <f>IF('Loan Tape (S&amp;P)'!T3620="Yes",
    1.35,
    1.00)</f>
        <v/>
      </c>
      <c r="P3620">
        <f>IF('Loan Tape (S&amp;P)'!S3620="Yes",
    1.15,
    1.00)</f>
        <v/>
      </c>
      <c r="Q3620">
        <f>IF('Loan Tape (S&amp;P)'!V3620="Yes",
    1.20,
    1.00)</f>
        <v/>
      </c>
      <c r="T3620">
        <f>LET(
    payment_method,'Loan Tape (S&amp;P)'!P3620,
    occupancy,'Loan Tape (S&amp;P)'!N3620,
    maturity_date,'Loan Tape (S&amp;P)'!L3620,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21">
      <c r="J3621">
        <f>LET(
    lien,'Loan Tape (S&amp;P)'!Q3621,
    IF(lien="First",1.00,
        IF(lien="Second",1.50,
            1.70)))</f>
        <v/>
      </c>
      <c r="K3621">
        <f>LET(
    purpose,'Loan Tape (S&amp;P)'!R3621,
    IF(purpose="Purchase",1.00,
        IF(purpose="Remortgage",1.00,
            1.20)))</f>
        <v/>
      </c>
      <c r="L3621">
        <f>LET(
    arrears_months,'Loan Tape (S&amp;P)'!AN3621,
    IF(arrears_months=0,1.00,
    IF(arrears_months=1,3.00,
    IF(arrears_months=2,5.00,
    IF(arrears_months=3,8.00,
    IF(arrears_months=4,10.00,
    IF(arrears_months=5,12.00,15.00)))))))</f>
        <v/>
      </c>
      <c r="M3621">
        <f>LET(
    seasoning_years,DATEDIF('Loan Tape (S&amp;P)'!K3621,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21">
        <f>IF(AND('Loan Tape (S&amp;P)'!U3621="Yes",
        'Loan Tape (S&amp;P)'!T3621&lt;&gt;"Yes",
        DATEDIF('Loan Tape (S&amp;P)'!K3621, TODAY(), "M")&lt;18),
    1.10,
    1.00)</f>
        <v/>
      </c>
      <c r="O3621">
        <f>IF('Loan Tape (S&amp;P)'!T3621="Yes",
    1.35,
    1.00)</f>
        <v/>
      </c>
      <c r="P3621">
        <f>IF('Loan Tape (S&amp;P)'!S3621="Yes",
    1.15,
    1.00)</f>
        <v/>
      </c>
      <c r="Q3621">
        <f>IF('Loan Tape (S&amp;P)'!V3621="Yes",
    1.20,
    1.00)</f>
        <v/>
      </c>
      <c r="T3621">
        <f>LET(
    payment_method,'Loan Tape (S&amp;P)'!P3621,
    occupancy,'Loan Tape (S&amp;P)'!N3621,
    maturity_date,'Loan Tape (S&amp;P)'!L3621,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22">
      <c r="J3622">
        <f>LET(
    lien,'Loan Tape (S&amp;P)'!Q3622,
    IF(lien="First",1.00,
        IF(lien="Second",1.50,
            1.70)))</f>
        <v/>
      </c>
      <c r="K3622">
        <f>LET(
    purpose,'Loan Tape (S&amp;P)'!R3622,
    IF(purpose="Purchase",1.00,
        IF(purpose="Remortgage",1.00,
            1.20)))</f>
        <v/>
      </c>
      <c r="L3622">
        <f>LET(
    arrears_months,'Loan Tape (S&amp;P)'!AN3622,
    IF(arrears_months=0,1.00,
    IF(arrears_months=1,3.00,
    IF(arrears_months=2,5.00,
    IF(arrears_months=3,8.00,
    IF(arrears_months=4,10.00,
    IF(arrears_months=5,12.00,15.00)))))))</f>
        <v/>
      </c>
      <c r="M3622">
        <f>LET(
    seasoning_years,DATEDIF('Loan Tape (S&amp;P)'!K3622,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22">
        <f>IF(AND('Loan Tape (S&amp;P)'!U3622="Yes",
        'Loan Tape (S&amp;P)'!T3622&lt;&gt;"Yes",
        DATEDIF('Loan Tape (S&amp;P)'!K3622, TODAY(), "M")&lt;18),
    1.10,
    1.00)</f>
        <v/>
      </c>
      <c r="O3622">
        <f>IF('Loan Tape (S&amp;P)'!T3622="Yes",
    1.35,
    1.00)</f>
        <v/>
      </c>
      <c r="P3622">
        <f>IF('Loan Tape (S&amp;P)'!S3622="Yes",
    1.15,
    1.00)</f>
        <v/>
      </c>
      <c r="Q3622">
        <f>IF('Loan Tape (S&amp;P)'!V3622="Yes",
    1.20,
    1.00)</f>
        <v/>
      </c>
      <c r="T3622">
        <f>LET(
    payment_method,'Loan Tape (S&amp;P)'!P3622,
    occupancy,'Loan Tape (S&amp;P)'!N3622,
    maturity_date,'Loan Tape (S&amp;P)'!L3622,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23">
      <c r="J3623">
        <f>LET(
    lien,'Loan Tape (S&amp;P)'!Q3623,
    IF(lien="First",1.00,
        IF(lien="Second",1.50,
            1.70)))</f>
        <v/>
      </c>
      <c r="K3623">
        <f>LET(
    purpose,'Loan Tape (S&amp;P)'!R3623,
    IF(purpose="Purchase",1.00,
        IF(purpose="Remortgage",1.00,
            1.20)))</f>
        <v/>
      </c>
      <c r="L3623">
        <f>LET(
    arrears_months,'Loan Tape (S&amp;P)'!AN3623,
    IF(arrears_months=0,1.00,
    IF(arrears_months=1,3.00,
    IF(arrears_months=2,5.00,
    IF(arrears_months=3,8.00,
    IF(arrears_months=4,10.00,
    IF(arrears_months=5,12.00,15.00)))))))</f>
        <v/>
      </c>
      <c r="M3623">
        <f>LET(
    seasoning_years,DATEDIF('Loan Tape (S&amp;P)'!K3623,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23">
        <f>IF(AND('Loan Tape (S&amp;P)'!U3623="Yes",
        'Loan Tape (S&amp;P)'!T3623&lt;&gt;"Yes",
        DATEDIF('Loan Tape (S&amp;P)'!K3623, TODAY(), "M")&lt;18),
    1.10,
    1.00)</f>
        <v/>
      </c>
      <c r="O3623">
        <f>IF('Loan Tape (S&amp;P)'!T3623="Yes",
    1.35,
    1.00)</f>
        <v/>
      </c>
      <c r="P3623">
        <f>IF('Loan Tape (S&amp;P)'!S3623="Yes",
    1.15,
    1.00)</f>
        <v/>
      </c>
      <c r="Q3623">
        <f>IF('Loan Tape (S&amp;P)'!V3623="Yes",
    1.20,
    1.00)</f>
        <v/>
      </c>
      <c r="T3623">
        <f>LET(
    payment_method,'Loan Tape (S&amp;P)'!P3623,
    occupancy,'Loan Tape (S&amp;P)'!N3623,
    maturity_date,'Loan Tape (S&amp;P)'!L3623,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24">
      <c r="J3624">
        <f>LET(
    lien,'Loan Tape (S&amp;P)'!Q3624,
    IF(lien="First",1.00,
        IF(lien="Second",1.50,
            1.70)))</f>
        <v/>
      </c>
      <c r="K3624">
        <f>LET(
    purpose,'Loan Tape (S&amp;P)'!R3624,
    IF(purpose="Purchase",1.00,
        IF(purpose="Remortgage",1.00,
            1.20)))</f>
        <v/>
      </c>
      <c r="L3624">
        <f>LET(
    arrears_months,'Loan Tape (S&amp;P)'!AN3624,
    IF(arrears_months=0,1.00,
    IF(arrears_months=1,3.00,
    IF(arrears_months=2,5.00,
    IF(arrears_months=3,8.00,
    IF(arrears_months=4,10.00,
    IF(arrears_months=5,12.00,15.00)))))))</f>
        <v/>
      </c>
      <c r="M3624">
        <f>LET(
    seasoning_years,DATEDIF('Loan Tape (S&amp;P)'!K3624,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24">
        <f>IF(AND('Loan Tape (S&amp;P)'!U3624="Yes",
        'Loan Tape (S&amp;P)'!T3624&lt;&gt;"Yes",
        DATEDIF('Loan Tape (S&amp;P)'!K3624, TODAY(), "M")&lt;18),
    1.10,
    1.00)</f>
        <v/>
      </c>
      <c r="O3624">
        <f>IF('Loan Tape (S&amp;P)'!T3624="Yes",
    1.35,
    1.00)</f>
        <v/>
      </c>
      <c r="P3624">
        <f>IF('Loan Tape (S&amp;P)'!S3624="Yes",
    1.15,
    1.00)</f>
        <v/>
      </c>
      <c r="Q3624">
        <f>IF('Loan Tape (S&amp;P)'!V3624="Yes",
    1.20,
    1.00)</f>
        <v/>
      </c>
      <c r="T3624">
        <f>LET(
    payment_method,'Loan Tape (S&amp;P)'!P3624,
    occupancy,'Loan Tape (S&amp;P)'!N3624,
    maturity_date,'Loan Tape (S&amp;P)'!L3624,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25">
      <c r="J3625">
        <f>LET(
    lien,'Loan Tape (S&amp;P)'!Q3625,
    IF(lien="First",1.00,
        IF(lien="Second",1.50,
            1.70)))</f>
        <v/>
      </c>
      <c r="K3625">
        <f>LET(
    purpose,'Loan Tape (S&amp;P)'!R3625,
    IF(purpose="Purchase",1.00,
        IF(purpose="Remortgage",1.00,
            1.20)))</f>
        <v/>
      </c>
      <c r="L3625">
        <f>LET(
    arrears_months,'Loan Tape (S&amp;P)'!AN3625,
    IF(arrears_months=0,1.00,
    IF(arrears_months=1,3.00,
    IF(arrears_months=2,5.00,
    IF(arrears_months=3,8.00,
    IF(arrears_months=4,10.00,
    IF(arrears_months=5,12.00,15.00)))))))</f>
        <v/>
      </c>
      <c r="M3625">
        <f>LET(
    seasoning_years,DATEDIF('Loan Tape (S&amp;P)'!K3625,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25">
        <f>IF(AND('Loan Tape (S&amp;P)'!U3625="Yes",
        'Loan Tape (S&amp;P)'!T3625&lt;&gt;"Yes",
        DATEDIF('Loan Tape (S&amp;P)'!K3625, TODAY(), "M")&lt;18),
    1.10,
    1.00)</f>
        <v/>
      </c>
      <c r="O3625">
        <f>IF('Loan Tape (S&amp;P)'!T3625="Yes",
    1.35,
    1.00)</f>
        <v/>
      </c>
      <c r="P3625">
        <f>IF('Loan Tape (S&amp;P)'!S3625="Yes",
    1.15,
    1.00)</f>
        <v/>
      </c>
      <c r="Q3625">
        <f>IF('Loan Tape (S&amp;P)'!V3625="Yes",
    1.20,
    1.00)</f>
        <v/>
      </c>
      <c r="T3625">
        <f>LET(
    payment_method,'Loan Tape (S&amp;P)'!P3625,
    occupancy,'Loan Tape (S&amp;P)'!N3625,
    maturity_date,'Loan Tape (S&amp;P)'!L3625,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26">
      <c r="J3626">
        <f>LET(
    lien,'Loan Tape (S&amp;P)'!Q3626,
    IF(lien="First",1.00,
        IF(lien="Second",1.50,
            1.70)))</f>
        <v/>
      </c>
      <c r="K3626">
        <f>LET(
    purpose,'Loan Tape (S&amp;P)'!R3626,
    IF(purpose="Purchase",1.00,
        IF(purpose="Remortgage",1.00,
            1.20)))</f>
        <v/>
      </c>
      <c r="L3626">
        <f>LET(
    arrears_months,'Loan Tape (S&amp;P)'!AN3626,
    IF(arrears_months=0,1.00,
    IF(arrears_months=1,3.00,
    IF(arrears_months=2,5.00,
    IF(arrears_months=3,8.00,
    IF(arrears_months=4,10.00,
    IF(arrears_months=5,12.00,15.00)))))))</f>
        <v/>
      </c>
      <c r="M3626">
        <f>LET(
    seasoning_years,DATEDIF('Loan Tape (S&amp;P)'!K3626,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26">
        <f>IF(AND('Loan Tape (S&amp;P)'!U3626="Yes",
        'Loan Tape (S&amp;P)'!T3626&lt;&gt;"Yes",
        DATEDIF('Loan Tape (S&amp;P)'!K3626, TODAY(), "M")&lt;18),
    1.10,
    1.00)</f>
        <v/>
      </c>
      <c r="O3626">
        <f>IF('Loan Tape (S&amp;P)'!T3626="Yes",
    1.35,
    1.00)</f>
        <v/>
      </c>
      <c r="P3626">
        <f>IF('Loan Tape (S&amp;P)'!S3626="Yes",
    1.15,
    1.00)</f>
        <v/>
      </c>
      <c r="Q3626">
        <f>IF('Loan Tape (S&amp;P)'!V3626="Yes",
    1.20,
    1.00)</f>
        <v/>
      </c>
      <c r="T3626">
        <f>LET(
    payment_method,'Loan Tape (S&amp;P)'!P3626,
    occupancy,'Loan Tape (S&amp;P)'!N3626,
    maturity_date,'Loan Tape (S&amp;P)'!L3626,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27">
      <c r="J3627">
        <f>LET(
    lien,'Loan Tape (S&amp;P)'!Q3627,
    IF(lien="First",1.00,
        IF(lien="Second",1.50,
            1.70)))</f>
        <v/>
      </c>
      <c r="K3627">
        <f>LET(
    purpose,'Loan Tape (S&amp;P)'!R3627,
    IF(purpose="Purchase",1.00,
        IF(purpose="Remortgage",1.00,
            1.20)))</f>
        <v/>
      </c>
      <c r="L3627">
        <f>LET(
    arrears_months,'Loan Tape (S&amp;P)'!AN3627,
    IF(arrears_months=0,1.00,
    IF(arrears_months=1,3.00,
    IF(arrears_months=2,5.00,
    IF(arrears_months=3,8.00,
    IF(arrears_months=4,10.00,
    IF(arrears_months=5,12.00,15.00)))))))</f>
        <v/>
      </c>
      <c r="M3627">
        <f>LET(
    seasoning_years,DATEDIF('Loan Tape (S&amp;P)'!K3627,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27">
        <f>IF(AND('Loan Tape (S&amp;P)'!U3627="Yes",
        'Loan Tape (S&amp;P)'!T3627&lt;&gt;"Yes",
        DATEDIF('Loan Tape (S&amp;P)'!K3627, TODAY(), "M")&lt;18),
    1.10,
    1.00)</f>
        <v/>
      </c>
      <c r="O3627">
        <f>IF('Loan Tape (S&amp;P)'!T3627="Yes",
    1.35,
    1.00)</f>
        <v/>
      </c>
      <c r="P3627">
        <f>IF('Loan Tape (S&amp;P)'!S3627="Yes",
    1.15,
    1.00)</f>
        <v/>
      </c>
      <c r="Q3627">
        <f>IF('Loan Tape (S&amp;P)'!V3627="Yes",
    1.20,
    1.00)</f>
        <v/>
      </c>
      <c r="T3627">
        <f>LET(
    payment_method,'Loan Tape (S&amp;P)'!P3627,
    occupancy,'Loan Tape (S&amp;P)'!N3627,
    maturity_date,'Loan Tape (S&amp;P)'!L3627,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28">
      <c r="J3628">
        <f>LET(
    lien,'Loan Tape (S&amp;P)'!Q3628,
    IF(lien="First",1.00,
        IF(lien="Second",1.50,
            1.70)))</f>
        <v/>
      </c>
      <c r="K3628">
        <f>LET(
    purpose,'Loan Tape (S&amp;P)'!R3628,
    IF(purpose="Purchase",1.00,
        IF(purpose="Remortgage",1.00,
            1.20)))</f>
        <v/>
      </c>
      <c r="L3628">
        <f>LET(
    arrears_months,'Loan Tape (S&amp;P)'!AN3628,
    IF(arrears_months=0,1.00,
    IF(arrears_months=1,3.00,
    IF(arrears_months=2,5.00,
    IF(arrears_months=3,8.00,
    IF(arrears_months=4,10.00,
    IF(arrears_months=5,12.00,15.00)))))))</f>
        <v/>
      </c>
      <c r="M3628">
        <f>LET(
    seasoning_years,DATEDIF('Loan Tape (S&amp;P)'!K3628,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28">
        <f>IF(AND('Loan Tape (S&amp;P)'!U3628="Yes",
        'Loan Tape (S&amp;P)'!T3628&lt;&gt;"Yes",
        DATEDIF('Loan Tape (S&amp;P)'!K3628, TODAY(), "M")&lt;18),
    1.10,
    1.00)</f>
        <v/>
      </c>
      <c r="O3628">
        <f>IF('Loan Tape (S&amp;P)'!T3628="Yes",
    1.35,
    1.00)</f>
        <v/>
      </c>
      <c r="P3628">
        <f>IF('Loan Tape (S&amp;P)'!S3628="Yes",
    1.15,
    1.00)</f>
        <v/>
      </c>
      <c r="Q3628">
        <f>IF('Loan Tape (S&amp;P)'!V3628="Yes",
    1.20,
    1.00)</f>
        <v/>
      </c>
      <c r="T3628">
        <f>LET(
    payment_method,'Loan Tape (S&amp;P)'!P3628,
    occupancy,'Loan Tape (S&amp;P)'!N3628,
    maturity_date,'Loan Tape (S&amp;P)'!L3628,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29">
      <c r="J3629">
        <f>LET(
    lien,'Loan Tape (S&amp;P)'!Q3629,
    IF(lien="First",1.00,
        IF(lien="Second",1.50,
            1.70)))</f>
        <v/>
      </c>
      <c r="K3629">
        <f>LET(
    purpose,'Loan Tape (S&amp;P)'!R3629,
    IF(purpose="Purchase",1.00,
        IF(purpose="Remortgage",1.00,
            1.20)))</f>
        <v/>
      </c>
      <c r="L3629">
        <f>LET(
    arrears_months,'Loan Tape (S&amp;P)'!AN3629,
    IF(arrears_months=0,1.00,
    IF(arrears_months=1,3.00,
    IF(arrears_months=2,5.00,
    IF(arrears_months=3,8.00,
    IF(arrears_months=4,10.00,
    IF(arrears_months=5,12.00,15.00)))))))</f>
        <v/>
      </c>
      <c r="M3629">
        <f>LET(
    seasoning_years,DATEDIF('Loan Tape (S&amp;P)'!K3629,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29">
        <f>IF(AND('Loan Tape (S&amp;P)'!U3629="Yes",
        'Loan Tape (S&amp;P)'!T3629&lt;&gt;"Yes",
        DATEDIF('Loan Tape (S&amp;P)'!K3629, TODAY(), "M")&lt;18),
    1.10,
    1.00)</f>
        <v/>
      </c>
      <c r="O3629">
        <f>IF('Loan Tape (S&amp;P)'!T3629="Yes",
    1.35,
    1.00)</f>
        <v/>
      </c>
      <c r="P3629">
        <f>IF('Loan Tape (S&amp;P)'!S3629="Yes",
    1.15,
    1.00)</f>
        <v/>
      </c>
      <c r="Q3629">
        <f>IF('Loan Tape (S&amp;P)'!V3629="Yes",
    1.20,
    1.00)</f>
        <v/>
      </c>
      <c r="T3629">
        <f>LET(
    payment_method,'Loan Tape (S&amp;P)'!P3629,
    occupancy,'Loan Tape (S&amp;P)'!N3629,
    maturity_date,'Loan Tape (S&amp;P)'!L3629,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30">
      <c r="J3630">
        <f>LET(
    lien,'Loan Tape (S&amp;P)'!Q3630,
    IF(lien="First",1.00,
        IF(lien="Second",1.50,
            1.70)))</f>
        <v/>
      </c>
      <c r="K3630">
        <f>LET(
    purpose,'Loan Tape (S&amp;P)'!R3630,
    IF(purpose="Purchase",1.00,
        IF(purpose="Remortgage",1.00,
            1.20)))</f>
        <v/>
      </c>
      <c r="L3630">
        <f>LET(
    arrears_months,'Loan Tape (S&amp;P)'!AN3630,
    IF(arrears_months=0,1.00,
    IF(arrears_months=1,3.00,
    IF(arrears_months=2,5.00,
    IF(arrears_months=3,8.00,
    IF(arrears_months=4,10.00,
    IF(arrears_months=5,12.00,15.00)))))))</f>
        <v/>
      </c>
      <c r="M3630">
        <f>LET(
    seasoning_years,DATEDIF('Loan Tape (S&amp;P)'!K3630,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30">
        <f>IF(AND('Loan Tape (S&amp;P)'!U3630="Yes",
        'Loan Tape (S&amp;P)'!T3630&lt;&gt;"Yes",
        DATEDIF('Loan Tape (S&amp;P)'!K3630, TODAY(), "M")&lt;18),
    1.10,
    1.00)</f>
        <v/>
      </c>
      <c r="O3630">
        <f>IF('Loan Tape (S&amp;P)'!T3630="Yes",
    1.35,
    1.00)</f>
        <v/>
      </c>
      <c r="P3630">
        <f>IF('Loan Tape (S&amp;P)'!S3630="Yes",
    1.15,
    1.00)</f>
        <v/>
      </c>
      <c r="Q3630">
        <f>IF('Loan Tape (S&amp;P)'!V3630="Yes",
    1.20,
    1.00)</f>
        <v/>
      </c>
      <c r="T3630">
        <f>LET(
    payment_method,'Loan Tape (S&amp;P)'!P3630,
    occupancy,'Loan Tape (S&amp;P)'!N3630,
    maturity_date,'Loan Tape (S&amp;P)'!L3630,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31">
      <c r="J3631">
        <f>LET(
    lien,'Loan Tape (S&amp;P)'!Q3631,
    IF(lien="First",1.00,
        IF(lien="Second",1.50,
            1.70)))</f>
        <v/>
      </c>
      <c r="K3631">
        <f>LET(
    purpose,'Loan Tape (S&amp;P)'!R3631,
    IF(purpose="Purchase",1.00,
        IF(purpose="Remortgage",1.00,
            1.20)))</f>
        <v/>
      </c>
      <c r="L3631">
        <f>LET(
    arrears_months,'Loan Tape (S&amp;P)'!AN3631,
    IF(arrears_months=0,1.00,
    IF(arrears_months=1,3.00,
    IF(arrears_months=2,5.00,
    IF(arrears_months=3,8.00,
    IF(arrears_months=4,10.00,
    IF(arrears_months=5,12.00,15.00)))))))</f>
        <v/>
      </c>
      <c r="M3631">
        <f>LET(
    seasoning_years,DATEDIF('Loan Tape (S&amp;P)'!K3631,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31">
        <f>IF(AND('Loan Tape (S&amp;P)'!U3631="Yes",
        'Loan Tape (S&amp;P)'!T3631&lt;&gt;"Yes",
        DATEDIF('Loan Tape (S&amp;P)'!K3631, TODAY(), "M")&lt;18),
    1.10,
    1.00)</f>
        <v/>
      </c>
      <c r="O3631">
        <f>IF('Loan Tape (S&amp;P)'!T3631="Yes",
    1.35,
    1.00)</f>
        <v/>
      </c>
      <c r="P3631">
        <f>IF('Loan Tape (S&amp;P)'!S3631="Yes",
    1.15,
    1.00)</f>
        <v/>
      </c>
      <c r="Q3631">
        <f>IF('Loan Tape (S&amp;P)'!V3631="Yes",
    1.20,
    1.00)</f>
        <v/>
      </c>
      <c r="T3631">
        <f>LET(
    payment_method,'Loan Tape (S&amp;P)'!P3631,
    occupancy,'Loan Tape (S&amp;P)'!N3631,
    maturity_date,'Loan Tape (S&amp;P)'!L3631,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32">
      <c r="J3632">
        <f>LET(
    lien,'Loan Tape (S&amp;P)'!Q3632,
    IF(lien="First",1.00,
        IF(lien="Second",1.50,
            1.70)))</f>
        <v/>
      </c>
      <c r="K3632">
        <f>LET(
    purpose,'Loan Tape (S&amp;P)'!R3632,
    IF(purpose="Purchase",1.00,
        IF(purpose="Remortgage",1.00,
            1.20)))</f>
        <v/>
      </c>
      <c r="L3632">
        <f>LET(
    arrears_months,'Loan Tape (S&amp;P)'!AN3632,
    IF(arrears_months=0,1.00,
    IF(arrears_months=1,3.00,
    IF(arrears_months=2,5.00,
    IF(arrears_months=3,8.00,
    IF(arrears_months=4,10.00,
    IF(arrears_months=5,12.00,15.00)))))))</f>
        <v/>
      </c>
      <c r="M3632">
        <f>LET(
    seasoning_years,DATEDIF('Loan Tape (S&amp;P)'!K3632,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32">
        <f>IF(AND('Loan Tape (S&amp;P)'!U3632="Yes",
        'Loan Tape (S&amp;P)'!T3632&lt;&gt;"Yes",
        DATEDIF('Loan Tape (S&amp;P)'!K3632, TODAY(), "M")&lt;18),
    1.10,
    1.00)</f>
        <v/>
      </c>
      <c r="O3632">
        <f>IF('Loan Tape (S&amp;P)'!T3632="Yes",
    1.35,
    1.00)</f>
        <v/>
      </c>
      <c r="P3632">
        <f>IF('Loan Tape (S&amp;P)'!S3632="Yes",
    1.15,
    1.00)</f>
        <v/>
      </c>
      <c r="Q3632">
        <f>IF('Loan Tape (S&amp;P)'!V3632="Yes",
    1.20,
    1.00)</f>
        <v/>
      </c>
      <c r="T3632">
        <f>LET(
    payment_method,'Loan Tape (S&amp;P)'!P3632,
    occupancy,'Loan Tape (S&amp;P)'!N3632,
    maturity_date,'Loan Tape (S&amp;P)'!L3632,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33">
      <c r="J3633">
        <f>LET(
    lien,'Loan Tape (S&amp;P)'!Q3633,
    IF(lien="First",1.00,
        IF(lien="Second",1.50,
            1.70)))</f>
        <v/>
      </c>
      <c r="K3633">
        <f>LET(
    purpose,'Loan Tape (S&amp;P)'!R3633,
    IF(purpose="Purchase",1.00,
        IF(purpose="Remortgage",1.00,
            1.20)))</f>
        <v/>
      </c>
      <c r="L3633">
        <f>LET(
    arrears_months,'Loan Tape (S&amp;P)'!AN3633,
    IF(arrears_months=0,1.00,
    IF(arrears_months=1,3.00,
    IF(arrears_months=2,5.00,
    IF(arrears_months=3,8.00,
    IF(arrears_months=4,10.00,
    IF(arrears_months=5,12.00,15.00)))))))</f>
        <v/>
      </c>
      <c r="M3633">
        <f>LET(
    seasoning_years,DATEDIF('Loan Tape (S&amp;P)'!K3633,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33">
        <f>IF(AND('Loan Tape (S&amp;P)'!U3633="Yes",
        'Loan Tape (S&amp;P)'!T3633&lt;&gt;"Yes",
        DATEDIF('Loan Tape (S&amp;P)'!K3633, TODAY(), "M")&lt;18),
    1.10,
    1.00)</f>
        <v/>
      </c>
      <c r="O3633">
        <f>IF('Loan Tape (S&amp;P)'!T3633="Yes",
    1.35,
    1.00)</f>
        <v/>
      </c>
      <c r="P3633">
        <f>IF('Loan Tape (S&amp;P)'!S3633="Yes",
    1.15,
    1.00)</f>
        <v/>
      </c>
      <c r="Q3633">
        <f>IF('Loan Tape (S&amp;P)'!V3633="Yes",
    1.20,
    1.00)</f>
        <v/>
      </c>
      <c r="T3633">
        <f>LET(
    payment_method,'Loan Tape (S&amp;P)'!P3633,
    occupancy,'Loan Tape (S&amp;P)'!N3633,
    maturity_date,'Loan Tape (S&amp;P)'!L3633,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34">
      <c r="J3634">
        <f>LET(
    lien,'Loan Tape (S&amp;P)'!Q3634,
    IF(lien="First",1.00,
        IF(lien="Second",1.50,
            1.70)))</f>
        <v/>
      </c>
      <c r="K3634">
        <f>LET(
    purpose,'Loan Tape (S&amp;P)'!R3634,
    IF(purpose="Purchase",1.00,
        IF(purpose="Remortgage",1.00,
            1.20)))</f>
        <v/>
      </c>
      <c r="L3634">
        <f>LET(
    arrears_months,'Loan Tape (S&amp;P)'!AN3634,
    IF(arrears_months=0,1.00,
    IF(arrears_months=1,3.00,
    IF(arrears_months=2,5.00,
    IF(arrears_months=3,8.00,
    IF(arrears_months=4,10.00,
    IF(arrears_months=5,12.00,15.00)))))))</f>
        <v/>
      </c>
      <c r="M3634">
        <f>LET(
    seasoning_years,DATEDIF('Loan Tape (S&amp;P)'!K3634,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34">
        <f>IF(AND('Loan Tape (S&amp;P)'!U3634="Yes",
        'Loan Tape (S&amp;P)'!T3634&lt;&gt;"Yes",
        DATEDIF('Loan Tape (S&amp;P)'!K3634, TODAY(), "M")&lt;18),
    1.10,
    1.00)</f>
        <v/>
      </c>
      <c r="O3634">
        <f>IF('Loan Tape (S&amp;P)'!T3634="Yes",
    1.35,
    1.00)</f>
        <v/>
      </c>
      <c r="P3634">
        <f>IF('Loan Tape (S&amp;P)'!S3634="Yes",
    1.15,
    1.00)</f>
        <v/>
      </c>
      <c r="Q3634">
        <f>IF('Loan Tape (S&amp;P)'!V3634="Yes",
    1.20,
    1.00)</f>
        <v/>
      </c>
      <c r="T3634">
        <f>LET(
    payment_method,'Loan Tape (S&amp;P)'!P3634,
    occupancy,'Loan Tape (S&amp;P)'!N3634,
    maturity_date,'Loan Tape (S&amp;P)'!L3634,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35">
      <c r="J3635">
        <f>LET(
    lien,'Loan Tape (S&amp;P)'!Q3635,
    IF(lien="First",1.00,
        IF(lien="Second",1.50,
            1.70)))</f>
        <v/>
      </c>
      <c r="K3635">
        <f>LET(
    purpose,'Loan Tape (S&amp;P)'!R3635,
    IF(purpose="Purchase",1.00,
        IF(purpose="Remortgage",1.00,
            1.20)))</f>
        <v/>
      </c>
      <c r="L3635">
        <f>LET(
    arrears_months,'Loan Tape (S&amp;P)'!AN3635,
    IF(arrears_months=0,1.00,
    IF(arrears_months=1,3.00,
    IF(arrears_months=2,5.00,
    IF(arrears_months=3,8.00,
    IF(arrears_months=4,10.00,
    IF(arrears_months=5,12.00,15.00)))))))</f>
        <v/>
      </c>
      <c r="M3635">
        <f>LET(
    seasoning_years,DATEDIF('Loan Tape (S&amp;P)'!K3635,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35">
        <f>IF(AND('Loan Tape (S&amp;P)'!U3635="Yes",
        'Loan Tape (S&amp;P)'!T3635&lt;&gt;"Yes",
        DATEDIF('Loan Tape (S&amp;P)'!K3635, TODAY(), "M")&lt;18),
    1.10,
    1.00)</f>
        <v/>
      </c>
      <c r="O3635">
        <f>IF('Loan Tape (S&amp;P)'!T3635="Yes",
    1.35,
    1.00)</f>
        <v/>
      </c>
      <c r="P3635">
        <f>IF('Loan Tape (S&amp;P)'!S3635="Yes",
    1.15,
    1.00)</f>
        <v/>
      </c>
      <c r="Q3635">
        <f>IF('Loan Tape (S&amp;P)'!V3635="Yes",
    1.20,
    1.00)</f>
        <v/>
      </c>
      <c r="T3635">
        <f>LET(
    payment_method,'Loan Tape (S&amp;P)'!P3635,
    occupancy,'Loan Tape (S&amp;P)'!N3635,
    maturity_date,'Loan Tape (S&amp;P)'!L3635,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36">
      <c r="J3636">
        <f>LET(
    lien,'Loan Tape (S&amp;P)'!Q3636,
    IF(lien="First",1.00,
        IF(lien="Second",1.50,
            1.70)))</f>
        <v/>
      </c>
      <c r="K3636">
        <f>LET(
    purpose,'Loan Tape (S&amp;P)'!R3636,
    IF(purpose="Purchase",1.00,
        IF(purpose="Remortgage",1.00,
            1.20)))</f>
        <v/>
      </c>
      <c r="L3636">
        <f>LET(
    arrears_months,'Loan Tape (S&amp;P)'!AN3636,
    IF(arrears_months=0,1.00,
    IF(arrears_months=1,3.00,
    IF(arrears_months=2,5.00,
    IF(arrears_months=3,8.00,
    IF(arrears_months=4,10.00,
    IF(arrears_months=5,12.00,15.00)))))))</f>
        <v/>
      </c>
      <c r="M3636">
        <f>LET(
    seasoning_years,DATEDIF('Loan Tape (S&amp;P)'!K3636,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36">
        <f>IF(AND('Loan Tape (S&amp;P)'!U3636="Yes",
        'Loan Tape (S&amp;P)'!T3636&lt;&gt;"Yes",
        DATEDIF('Loan Tape (S&amp;P)'!K3636, TODAY(), "M")&lt;18),
    1.10,
    1.00)</f>
        <v/>
      </c>
      <c r="O3636">
        <f>IF('Loan Tape (S&amp;P)'!T3636="Yes",
    1.35,
    1.00)</f>
        <v/>
      </c>
      <c r="P3636">
        <f>IF('Loan Tape (S&amp;P)'!S3636="Yes",
    1.15,
    1.00)</f>
        <v/>
      </c>
      <c r="Q3636">
        <f>IF('Loan Tape (S&amp;P)'!V3636="Yes",
    1.20,
    1.00)</f>
        <v/>
      </c>
      <c r="T3636">
        <f>LET(
    payment_method,'Loan Tape (S&amp;P)'!P3636,
    occupancy,'Loan Tape (S&amp;P)'!N3636,
    maturity_date,'Loan Tape (S&amp;P)'!L3636,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37">
      <c r="J3637">
        <f>LET(
    lien,'Loan Tape (S&amp;P)'!Q3637,
    IF(lien="First",1.00,
        IF(lien="Second",1.50,
            1.70)))</f>
        <v/>
      </c>
      <c r="K3637">
        <f>LET(
    purpose,'Loan Tape (S&amp;P)'!R3637,
    IF(purpose="Purchase",1.00,
        IF(purpose="Remortgage",1.00,
            1.20)))</f>
        <v/>
      </c>
      <c r="L3637">
        <f>LET(
    arrears_months,'Loan Tape (S&amp;P)'!AN3637,
    IF(arrears_months=0,1.00,
    IF(arrears_months=1,3.00,
    IF(arrears_months=2,5.00,
    IF(arrears_months=3,8.00,
    IF(arrears_months=4,10.00,
    IF(arrears_months=5,12.00,15.00)))))))</f>
        <v/>
      </c>
      <c r="M3637">
        <f>LET(
    seasoning_years,DATEDIF('Loan Tape (S&amp;P)'!K3637,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37">
        <f>IF(AND('Loan Tape (S&amp;P)'!U3637="Yes",
        'Loan Tape (S&amp;P)'!T3637&lt;&gt;"Yes",
        DATEDIF('Loan Tape (S&amp;P)'!K3637, TODAY(), "M")&lt;18),
    1.10,
    1.00)</f>
        <v/>
      </c>
      <c r="O3637">
        <f>IF('Loan Tape (S&amp;P)'!T3637="Yes",
    1.35,
    1.00)</f>
        <v/>
      </c>
      <c r="P3637">
        <f>IF('Loan Tape (S&amp;P)'!S3637="Yes",
    1.15,
    1.00)</f>
        <v/>
      </c>
      <c r="Q3637">
        <f>IF('Loan Tape (S&amp;P)'!V3637="Yes",
    1.20,
    1.00)</f>
        <v/>
      </c>
      <c r="T3637">
        <f>LET(
    payment_method,'Loan Tape (S&amp;P)'!P3637,
    occupancy,'Loan Tape (S&amp;P)'!N3637,
    maturity_date,'Loan Tape (S&amp;P)'!L3637,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38">
      <c r="J3638">
        <f>LET(
    lien,'Loan Tape (S&amp;P)'!Q3638,
    IF(lien="First",1.00,
        IF(lien="Second",1.50,
            1.70)))</f>
        <v/>
      </c>
      <c r="K3638">
        <f>LET(
    purpose,'Loan Tape (S&amp;P)'!R3638,
    IF(purpose="Purchase",1.00,
        IF(purpose="Remortgage",1.00,
            1.20)))</f>
        <v/>
      </c>
      <c r="L3638">
        <f>LET(
    arrears_months,'Loan Tape (S&amp;P)'!AN3638,
    IF(arrears_months=0,1.00,
    IF(arrears_months=1,3.00,
    IF(arrears_months=2,5.00,
    IF(arrears_months=3,8.00,
    IF(arrears_months=4,10.00,
    IF(arrears_months=5,12.00,15.00)))))))</f>
        <v/>
      </c>
      <c r="M3638">
        <f>LET(
    seasoning_years,DATEDIF('Loan Tape (S&amp;P)'!K3638,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38">
        <f>IF(AND('Loan Tape (S&amp;P)'!U3638="Yes",
        'Loan Tape (S&amp;P)'!T3638&lt;&gt;"Yes",
        DATEDIF('Loan Tape (S&amp;P)'!K3638, TODAY(), "M")&lt;18),
    1.10,
    1.00)</f>
        <v/>
      </c>
      <c r="O3638">
        <f>IF('Loan Tape (S&amp;P)'!T3638="Yes",
    1.35,
    1.00)</f>
        <v/>
      </c>
      <c r="P3638">
        <f>IF('Loan Tape (S&amp;P)'!S3638="Yes",
    1.15,
    1.00)</f>
        <v/>
      </c>
      <c r="Q3638">
        <f>IF('Loan Tape (S&amp;P)'!V3638="Yes",
    1.20,
    1.00)</f>
        <v/>
      </c>
      <c r="T3638">
        <f>LET(
    payment_method,'Loan Tape (S&amp;P)'!P3638,
    occupancy,'Loan Tape (S&amp;P)'!N3638,
    maturity_date,'Loan Tape (S&amp;P)'!L3638,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39">
      <c r="J3639">
        <f>LET(
    lien,'Loan Tape (S&amp;P)'!Q3639,
    IF(lien="First",1.00,
        IF(lien="Second",1.50,
            1.70)))</f>
        <v/>
      </c>
      <c r="K3639">
        <f>LET(
    purpose,'Loan Tape (S&amp;P)'!R3639,
    IF(purpose="Purchase",1.00,
        IF(purpose="Remortgage",1.00,
            1.20)))</f>
        <v/>
      </c>
      <c r="L3639">
        <f>LET(
    arrears_months,'Loan Tape (S&amp;P)'!AN3639,
    IF(arrears_months=0,1.00,
    IF(arrears_months=1,3.00,
    IF(arrears_months=2,5.00,
    IF(arrears_months=3,8.00,
    IF(arrears_months=4,10.00,
    IF(arrears_months=5,12.00,15.00)))))))</f>
        <v/>
      </c>
      <c r="M3639">
        <f>LET(
    seasoning_years,DATEDIF('Loan Tape (S&amp;P)'!K3639,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39">
        <f>IF(AND('Loan Tape (S&amp;P)'!U3639="Yes",
        'Loan Tape (S&amp;P)'!T3639&lt;&gt;"Yes",
        DATEDIF('Loan Tape (S&amp;P)'!K3639, TODAY(), "M")&lt;18),
    1.10,
    1.00)</f>
        <v/>
      </c>
      <c r="O3639">
        <f>IF('Loan Tape (S&amp;P)'!T3639="Yes",
    1.35,
    1.00)</f>
        <v/>
      </c>
      <c r="P3639">
        <f>IF('Loan Tape (S&amp;P)'!S3639="Yes",
    1.15,
    1.00)</f>
        <v/>
      </c>
      <c r="Q3639">
        <f>IF('Loan Tape (S&amp;P)'!V3639="Yes",
    1.20,
    1.00)</f>
        <v/>
      </c>
      <c r="T3639">
        <f>LET(
    payment_method,'Loan Tape (S&amp;P)'!P3639,
    occupancy,'Loan Tape (S&amp;P)'!N3639,
    maturity_date,'Loan Tape (S&amp;P)'!L3639,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40">
      <c r="J3640">
        <f>LET(
    lien,'Loan Tape (S&amp;P)'!Q3640,
    IF(lien="First",1.00,
        IF(lien="Second",1.50,
            1.70)))</f>
        <v/>
      </c>
      <c r="K3640">
        <f>LET(
    purpose,'Loan Tape (S&amp;P)'!R3640,
    IF(purpose="Purchase",1.00,
        IF(purpose="Remortgage",1.00,
            1.20)))</f>
        <v/>
      </c>
      <c r="L3640">
        <f>LET(
    arrears_months,'Loan Tape (S&amp;P)'!AN3640,
    IF(arrears_months=0,1.00,
    IF(arrears_months=1,3.00,
    IF(arrears_months=2,5.00,
    IF(arrears_months=3,8.00,
    IF(arrears_months=4,10.00,
    IF(arrears_months=5,12.00,15.00)))))))</f>
        <v/>
      </c>
      <c r="M3640">
        <f>LET(
    seasoning_years,DATEDIF('Loan Tape (S&amp;P)'!K3640,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40">
        <f>IF(AND('Loan Tape (S&amp;P)'!U3640="Yes",
        'Loan Tape (S&amp;P)'!T3640&lt;&gt;"Yes",
        DATEDIF('Loan Tape (S&amp;P)'!K3640, TODAY(), "M")&lt;18),
    1.10,
    1.00)</f>
        <v/>
      </c>
      <c r="O3640">
        <f>IF('Loan Tape (S&amp;P)'!T3640="Yes",
    1.35,
    1.00)</f>
        <v/>
      </c>
      <c r="P3640">
        <f>IF('Loan Tape (S&amp;P)'!S3640="Yes",
    1.15,
    1.00)</f>
        <v/>
      </c>
      <c r="Q3640">
        <f>IF('Loan Tape (S&amp;P)'!V3640="Yes",
    1.20,
    1.00)</f>
        <v/>
      </c>
      <c r="T3640">
        <f>LET(
    payment_method,'Loan Tape (S&amp;P)'!P3640,
    occupancy,'Loan Tape (S&amp;P)'!N3640,
    maturity_date,'Loan Tape (S&amp;P)'!L3640,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41">
      <c r="J3641">
        <f>LET(
    lien,'Loan Tape (S&amp;P)'!Q3641,
    IF(lien="First",1.00,
        IF(lien="Second",1.50,
            1.70)))</f>
        <v/>
      </c>
      <c r="K3641">
        <f>LET(
    purpose,'Loan Tape (S&amp;P)'!R3641,
    IF(purpose="Purchase",1.00,
        IF(purpose="Remortgage",1.00,
            1.20)))</f>
        <v/>
      </c>
      <c r="L3641">
        <f>LET(
    arrears_months,'Loan Tape (S&amp;P)'!AN3641,
    IF(arrears_months=0,1.00,
    IF(arrears_months=1,3.00,
    IF(arrears_months=2,5.00,
    IF(arrears_months=3,8.00,
    IF(arrears_months=4,10.00,
    IF(arrears_months=5,12.00,15.00)))))))</f>
        <v/>
      </c>
      <c r="M3641">
        <f>LET(
    seasoning_years,DATEDIF('Loan Tape (S&amp;P)'!K3641,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41">
        <f>IF(AND('Loan Tape (S&amp;P)'!U3641="Yes",
        'Loan Tape (S&amp;P)'!T3641&lt;&gt;"Yes",
        DATEDIF('Loan Tape (S&amp;P)'!K3641, TODAY(), "M")&lt;18),
    1.10,
    1.00)</f>
        <v/>
      </c>
      <c r="O3641">
        <f>IF('Loan Tape (S&amp;P)'!T3641="Yes",
    1.35,
    1.00)</f>
        <v/>
      </c>
      <c r="P3641">
        <f>IF('Loan Tape (S&amp;P)'!S3641="Yes",
    1.15,
    1.00)</f>
        <v/>
      </c>
      <c r="Q3641">
        <f>IF('Loan Tape (S&amp;P)'!V3641="Yes",
    1.20,
    1.00)</f>
        <v/>
      </c>
      <c r="T3641">
        <f>LET(
    payment_method,'Loan Tape (S&amp;P)'!P3641,
    occupancy,'Loan Tape (S&amp;P)'!N3641,
    maturity_date,'Loan Tape (S&amp;P)'!L3641,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42">
      <c r="J3642">
        <f>LET(
    lien,'Loan Tape (S&amp;P)'!Q3642,
    IF(lien="First",1.00,
        IF(lien="Second",1.50,
            1.70)))</f>
        <v/>
      </c>
      <c r="K3642">
        <f>LET(
    purpose,'Loan Tape (S&amp;P)'!R3642,
    IF(purpose="Purchase",1.00,
        IF(purpose="Remortgage",1.00,
            1.20)))</f>
        <v/>
      </c>
      <c r="L3642">
        <f>LET(
    arrears_months,'Loan Tape (S&amp;P)'!AN3642,
    IF(arrears_months=0,1.00,
    IF(arrears_months=1,3.00,
    IF(arrears_months=2,5.00,
    IF(arrears_months=3,8.00,
    IF(arrears_months=4,10.00,
    IF(arrears_months=5,12.00,15.00)))))))</f>
        <v/>
      </c>
      <c r="M3642">
        <f>LET(
    seasoning_years,DATEDIF('Loan Tape (S&amp;P)'!K3642,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42">
        <f>IF(AND('Loan Tape (S&amp;P)'!U3642="Yes",
        'Loan Tape (S&amp;P)'!T3642&lt;&gt;"Yes",
        DATEDIF('Loan Tape (S&amp;P)'!K3642, TODAY(), "M")&lt;18),
    1.10,
    1.00)</f>
        <v/>
      </c>
      <c r="O3642">
        <f>IF('Loan Tape (S&amp;P)'!T3642="Yes",
    1.35,
    1.00)</f>
        <v/>
      </c>
      <c r="P3642">
        <f>IF('Loan Tape (S&amp;P)'!S3642="Yes",
    1.15,
    1.00)</f>
        <v/>
      </c>
      <c r="Q3642">
        <f>IF('Loan Tape (S&amp;P)'!V3642="Yes",
    1.20,
    1.00)</f>
        <v/>
      </c>
      <c r="T3642">
        <f>LET(
    payment_method,'Loan Tape (S&amp;P)'!P3642,
    occupancy,'Loan Tape (S&amp;P)'!N3642,
    maturity_date,'Loan Tape (S&amp;P)'!L3642,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43">
      <c r="J3643">
        <f>LET(
    lien,'Loan Tape (S&amp;P)'!Q3643,
    IF(lien="First",1.00,
        IF(lien="Second",1.50,
            1.70)))</f>
        <v/>
      </c>
      <c r="K3643">
        <f>LET(
    purpose,'Loan Tape (S&amp;P)'!R3643,
    IF(purpose="Purchase",1.00,
        IF(purpose="Remortgage",1.00,
            1.20)))</f>
        <v/>
      </c>
      <c r="L3643">
        <f>LET(
    arrears_months,'Loan Tape (S&amp;P)'!AN3643,
    IF(arrears_months=0,1.00,
    IF(arrears_months=1,3.00,
    IF(arrears_months=2,5.00,
    IF(arrears_months=3,8.00,
    IF(arrears_months=4,10.00,
    IF(arrears_months=5,12.00,15.00)))))))</f>
        <v/>
      </c>
      <c r="M3643">
        <f>LET(
    seasoning_years,DATEDIF('Loan Tape (S&amp;P)'!K3643,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43">
        <f>IF(AND('Loan Tape (S&amp;P)'!U3643="Yes",
        'Loan Tape (S&amp;P)'!T3643&lt;&gt;"Yes",
        DATEDIF('Loan Tape (S&amp;P)'!K3643, TODAY(), "M")&lt;18),
    1.10,
    1.00)</f>
        <v/>
      </c>
      <c r="O3643">
        <f>IF('Loan Tape (S&amp;P)'!T3643="Yes",
    1.35,
    1.00)</f>
        <v/>
      </c>
      <c r="P3643">
        <f>IF('Loan Tape (S&amp;P)'!S3643="Yes",
    1.15,
    1.00)</f>
        <v/>
      </c>
      <c r="Q3643">
        <f>IF('Loan Tape (S&amp;P)'!V3643="Yes",
    1.20,
    1.00)</f>
        <v/>
      </c>
      <c r="T3643">
        <f>LET(
    payment_method,'Loan Tape (S&amp;P)'!P3643,
    occupancy,'Loan Tape (S&amp;P)'!N3643,
    maturity_date,'Loan Tape (S&amp;P)'!L3643,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44">
      <c r="J3644">
        <f>LET(
    lien,'Loan Tape (S&amp;P)'!Q3644,
    IF(lien="First",1.00,
        IF(lien="Second",1.50,
            1.70)))</f>
        <v/>
      </c>
      <c r="K3644">
        <f>LET(
    purpose,'Loan Tape (S&amp;P)'!R3644,
    IF(purpose="Purchase",1.00,
        IF(purpose="Remortgage",1.00,
            1.20)))</f>
        <v/>
      </c>
      <c r="L3644">
        <f>LET(
    arrears_months,'Loan Tape (S&amp;P)'!AN3644,
    IF(arrears_months=0,1.00,
    IF(arrears_months=1,3.00,
    IF(arrears_months=2,5.00,
    IF(arrears_months=3,8.00,
    IF(arrears_months=4,10.00,
    IF(arrears_months=5,12.00,15.00)))))))</f>
        <v/>
      </c>
      <c r="M3644">
        <f>LET(
    seasoning_years,DATEDIF('Loan Tape (S&amp;P)'!K3644,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44">
        <f>IF(AND('Loan Tape (S&amp;P)'!U3644="Yes",
        'Loan Tape (S&amp;P)'!T3644&lt;&gt;"Yes",
        DATEDIF('Loan Tape (S&amp;P)'!K3644, TODAY(), "M")&lt;18),
    1.10,
    1.00)</f>
        <v/>
      </c>
      <c r="O3644">
        <f>IF('Loan Tape (S&amp;P)'!T3644="Yes",
    1.35,
    1.00)</f>
        <v/>
      </c>
      <c r="P3644">
        <f>IF('Loan Tape (S&amp;P)'!S3644="Yes",
    1.15,
    1.00)</f>
        <v/>
      </c>
      <c r="Q3644">
        <f>IF('Loan Tape (S&amp;P)'!V3644="Yes",
    1.20,
    1.00)</f>
        <v/>
      </c>
      <c r="T3644">
        <f>LET(
    payment_method,'Loan Tape (S&amp;P)'!P3644,
    occupancy,'Loan Tape (S&amp;P)'!N3644,
    maturity_date,'Loan Tape (S&amp;P)'!L3644,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45">
      <c r="J3645">
        <f>LET(
    lien,'Loan Tape (S&amp;P)'!Q3645,
    IF(lien="First",1.00,
        IF(lien="Second",1.50,
            1.70)))</f>
        <v/>
      </c>
      <c r="K3645">
        <f>LET(
    purpose,'Loan Tape (S&amp;P)'!R3645,
    IF(purpose="Purchase",1.00,
        IF(purpose="Remortgage",1.00,
            1.20)))</f>
        <v/>
      </c>
      <c r="L3645">
        <f>LET(
    arrears_months,'Loan Tape (S&amp;P)'!AN3645,
    IF(arrears_months=0,1.00,
    IF(arrears_months=1,3.00,
    IF(arrears_months=2,5.00,
    IF(arrears_months=3,8.00,
    IF(arrears_months=4,10.00,
    IF(arrears_months=5,12.00,15.00)))))))</f>
        <v/>
      </c>
      <c r="M3645">
        <f>LET(
    seasoning_years,DATEDIF('Loan Tape (S&amp;P)'!K3645,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45">
        <f>IF(AND('Loan Tape (S&amp;P)'!U3645="Yes",
        'Loan Tape (S&amp;P)'!T3645&lt;&gt;"Yes",
        DATEDIF('Loan Tape (S&amp;P)'!K3645, TODAY(), "M")&lt;18),
    1.10,
    1.00)</f>
        <v/>
      </c>
      <c r="O3645">
        <f>IF('Loan Tape (S&amp;P)'!T3645="Yes",
    1.35,
    1.00)</f>
        <v/>
      </c>
      <c r="P3645">
        <f>IF('Loan Tape (S&amp;P)'!S3645="Yes",
    1.15,
    1.00)</f>
        <v/>
      </c>
      <c r="Q3645">
        <f>IF('Loan Tape (S&amp;P)'!V3645="Yes",
    1.20,
    1.00)</f>
        <v/>
      </c>
      <c r="T3645">
        <f>LET(
    payment_method,'Loan Tape (S&amp;P)'!P3645,
    occupancy,'Loan Tape (S&amp;P)'!N3645,
    maturity_date,'Loan Tape (S&amp;P)'!L3645,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46">
      <c r="J3646">
        <f>LET(
    lien,'Loan Tape (S&amp;P)'!Q3646,
    IF(lien="First",1.00,
        IF(lien="Second",1.50,
            1.70)))</f>
        <v/>
      </c>
      <c r="K3646">
        <f>LET(
    purpose,'Loan Tape (S&amp;P)'!R3646,
    IF(purpose="Purchase",1.00,
        IF(purpose="Remortgage",1.00,
            1.20)))</f>
        <v/>
      </c>
      <c r="L3646">
        <f>LET(
    arrears_months,'Loan Tape (S&amp;P)'!AN3646,
    IF(arrears_months=0,1.00,
    IF(arrears_months=1,3.00,
    IF(arrears_months=2,5.00,
    IF(arrears_months=3,8.00,
    IF(arrears_months=4,10.00,
    IF(arrears_months=5,12.00,15.00)))))))</f>
        <v/>
      </c>
      <c r="M3646">
        <f>LET(
    seasoning_years,DATEDIF('Loan Tape (S&amp;P)'!K3646,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46">
        <f>IF(AND('Loan Tape (S&amp;P)'!U3646="Yes",
        'Loan Tape (S&amp;P)'!T3646&lt;&gt;"Yes",
        DATEDIF('Loan Tape (S&amp;P)'!K3646, TODAY(), "M")&lt;18),
    1.10,
    1.00)</f>
        <v/>
      </c>
      <c r="O3646">
        <f>IF('Loan Tape (S&amp;P)'!T3646="Yes",
    1.35,
    1.00)</f>
        <v/>
      </c>
      <c r="P3646">
        <f>IF('Loan Tape (S&amp;P)'!S3646="Yes",
    1.15,
    1.00)</f>
        <v/>
      </c>
      <c r="Q3646">
        <f>IF('Loan Tape (S&amp;P)'!V3646="Yes",
    1.20,
    1.00)</f>
        <v/>
      </c>
      <c r="T3646">
        <f>LET(
    payment_method,'Loan Tape (S&amp;P)'!P3646,
    occupancy,'Loan Tape (S&amp;P)'!N3646,
    maturity_date,'Loan Tape (S&amp;P)'!L3646,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47">
      <c r="J3647">
        <f>LET(
    lien,'Loan Tape (S&amp;P)'!Q3647,
    IF(lien="First",1.00,
        IF(lien="Second",1.50,
            1.70)))</f>
        <v/>
      </c>
      <c r="K3647">
        <f>LET(
    purpose,'Loan Tape (S&amp;P)'!R3647,
    IF(purpose="Purchase",1.00,
        IF(purpose="Remortgage",1.00,
            1.20)))</f>
        <v/>
      </c>
      <c r="L3647">
        <f>LET(
    arrears_months,'Loan Tape (S&amp;P)'!AN3647,
    IF(arrears_months=0,1.00,
    IF(arrears_months=1,3.00,
    IF(arrears_months=2,5.00,
    IF(arrears_months=3,8.00,
    IF(arrears_months=4,10.00,
    IF(arrears_months=5,12.00,15.00)))))))</f>
        <v/>
      </c>
      <c r="M3647">
        <f>LET(
    seasoning_years,DATEDIF('Loan Tape (S&amp;P)'!K3647,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47">
        <f>IF(AND('Loan Tape (S&amp;P)'!U3647="Yes",
        'Loan Tape (S&amp;P)'!T3647&lt;&gt;"Yes",
        DATEDIF('Loan Tape (S&amp;P)'!K3647, TODAY(), "M")&lt;18),
    1.10,
    1.00)</f>
        <v/>
      </c>
      <c r="O3647">
        <f>IF('Loan Tape (S&amp;P)'!T3647="Yes",
    1.35,
    1.00)</f>
        <v/>
      </c>
      <c r="P3647">
        <f>IF('Loan Tape (S&amp;P)'!S3647="Yes",
    1.15,
    1.00)</f>
        <v/>
      </c>
      <c r="Q3647">
        <f>IF('Loan Tape (S&amp;P)'!V3647="Yes",
    1.20,
    1.00)</f>
        <v/>
      </c>
      <c r="T3647">
        <f>LET(
    payment_method,'Loan Tape (S&amp;P)'!P3647,
    occupancy,'Loan Tape (S&amp;P)'!N3647,
    maturity_date,'Loan Tape (S&amp;P)'!L3647,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48">
      <c r="J3648">
        <f>LET(
    lien,'Loan Tape (S&amp;P)'!Q3648,
    IF(lien="First",1.00,
        IF(lien="Second",1.50,
            1.70)))</f>
        <v/>
      </c>
      <c r="K3648">
        <f>LET(
    purpose,'Loan Tape (S&amp;P)'!R3648,
    IF(purpose="Purchase",1.00,
        IF(purpose="Remortgage",1.00,
            1.20)))</f>
        <v/>
      </c>
      <c r="L3648">
        <f>LET(
    arrears_months,'Loan Tape (S&amp;P)'!AN3648,
    IF(arrears_months=0,1.00,
    IF(arrears_months=1,3.00,
    IF(arrears_months=2,5.00,
    IF(arrears_months=3,8.00,
    IF(arrears_months=4,10.00,
    IF(arrears_months=5,12.00,15.00)))))))</f>
        <v/>
      </c>
      <c r="M3648">
        <f>LET(
    seasoning_years,DATEDIF('Loan Tape (S&amp;P)'!K3648,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48">
        <f>IF(AND('Loan Tape (S&amp;P)'!U3648="Yes",
        'Loan Tape (S&amp;P)'!T3648&lt;&gt;"Yes",
        DATEDIF('Loan Tape (S&amp;P)'!K3648, TODAY(), "M")&lt;18),
    1.10,
    1.00)</f>
        <v/>
      </c>
      <c r="O3648">
        <f>IF('Loan Tape (S&amp;P)'!T3648="Yes",
    1.35,
    1.00)</f>
        <v/>
      </c>
      <c r="P3648">
        <f>IF('Loan Tape (S&amp;P)'!S3648="Yes",
    1.15,
    1.00)</f>
        <v/>
      </c>
      <c r="Q3648">
        <f>IF('Loan Tape (S&amp;P)'!V3648="Yes",
    1.20,
    1.00)</f>
        <v/>
      </c>
      <c r="T3648">
        <f>LET(
    payment_method,'Loan Tape (S&amp;P)'!P3648,
    occupancy,'Loan Tape (S&amp;P)'!N3648,
    maturity_date,'Loan Tape (S&amp;P)'!L3648,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49">
      <c r="J3649">
        <f>LET(
    lien,'Loan Tape (S&amp;P)'!Q3649,
    IF(lien="First",1.00,
        IF(lien="Second",1.50,
            1.70)))</f>
        <v/>
      </c>
      <c r="K3649">
        <f>LET(
    purpose,'Loan Tape (S&amp;P)'!R3649,
    IF(purpose="Purchase",1.00,
        IF(purpose="Remortgage",1.00,
            1.20)))</f>
        <v/>
      </c>
      <c r="L3649">
        <f>LET(
    arrears_months,'Loan Tape (S&amp;P)'!AN3649,
    IF(arrears_months=0,1.00,
    IF(arrears_months=1,3.00,
    IF(arrears_months=2,5.00,
    IF(arrears_months=3,8.00,
    IF(arrears_months=4,10.00,
    IF(arrears_months=5,12.00,15.00)))))))</f>
        <v/>
      </c>
      <c r="M3649">
        <f>LET(
    seasoning_years,DATEDIF('Loan Tape (S&amp;P)'!K3649,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49">
        <f>IF(AND('Loan Tape (S&amp;P)'!U3649="Yes",
        'Loan Tape (S&amp;P)'!T3649&lt;&gt;"Yes",
        DATEDIF('Loan Tape (S&amp;P)'!K3649, TODAY(), "M")&lt;18),
    1.10,
    1.00)</f>
        <v/>
      </c>
      <c r="O3649">
        <f>IF('Loan Tape (S&amp;P)'!T3649="Yes",
    1.35,
    1.00)</f>
        <v/>
      </c>
      <c r="P3649">
        <f>IF('Loan Tape (S&amp;P)'!S3649="Yes",
    1.15,
    1.00)</f>
        <v/>
      </c>
      <c r="Q3649">
        <f>IF('Loan Tape (S&amp;P)'!V3649="Yes",
    1.20,
    1.00)</f>
        <v/>
      </c>
      <c r="T3649">
        <f>LET(
    payment_method,'Loan Tape (S&amp;P)'!P3649,
    occupancy,'Loan Tape (S&amp;P)'!N3649,
    maturity_date,'Loan Tape (S&amp;P)'!L3649,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50">
      <c r="J3650">
        <f>LET(
    lien,'Loan Tape (S&amp;P)'!Q3650,
    IF(lien="First",1.00,
        IF(lien="Second",1.50,
            1.70)))</f>
        <v/>
      </c>
      <c r="K3650">
        <f>LET(
    purpose,'Loan Tape (S&amp;P)'!R3650,
    IF(purpose="Purchase",1.00,
        IF(purpose="Remortgage",1.00,
            1.20)))</f>
        <v/>
      </c>
      <c r="L3650">
        <f>LET(
    arrears_months,'Loan Tape (S&amp;P)'!AN3650,
    IF(arrears_months=0,1.00,
    IF(arrears_months=1,3.00,
    IF(arrears_months=2,5.00,
    IF(arrears_months=3,8.00,
    IF(arrears_months=4,10.00,
    IF(arrears_months=5,12.00,15.00)))))))</f>
        <v/>
      </c>
      <c r="M3650">
        <f>LET(
    seasoning_years,DATEDIF('Loan Tape (S&amp;P)'!K3650,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50">
        <f>IF(AND('Loan Tape (S&amp;P)'!U3650="Yes",
        'Loan Tape (S&amp;P)'!T3650&lt;&gt;"Yes",
        DATEDIF('Loan Tape (S&amp;P)'!K3650, TODAY(), "M")&lt;18),
    1.10,
    1.00)</f>
        <v/>
      </c>
      <c r="O3650">
        <f>IF('Loan Tape (S&amp;P)'!T3650="Yes",
    1.35,
    1.00)</f>
        <v/>
      </c>
      <c r="P3650">
        <f>IF('Loan Tape (S&amp;P)'!S3650="Yes",
    1.15,
    1.00)</f>
        <v/>
      </c>
      <c r="Q3650">
        <f>IF('Loan Tape (S&amp;P)'!V3650="Yes",
    1.20,
    1.00)</f>
        <v/>
      </c>
      <c r="T3650">
        <f>LET(
    payment_method,'Loan Tape (S&amp;P)'!P3650,
    occupancy,'Loan Tape (S&amp;P)'!N3650,
    maturity_date,'Loan Tape (S&amp;P)'!L3650,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51">
      <c r="J3651">
        <f>LET(
    lien,'Loan Tape (S&amp;P)'!Q3651,
    IF(lien="First",1.00,
        IF(lien="Second",1.50,
            1.70)))</f>
        <v/>
      </c>
      <c r="K3651">
        <f>LET(
    purpose,'Loan Tape (S&amp;P)'!R3651,
    IF(purpose="Purchase",1.00,
        IF(purpose="Remortgage",1.00,
            1.20)))</f>
        <v/>
      </c>
      <c r="L3651">
        <f>LET(
    arrears_months,'Loan Tape (S&amp;P)'!AN3651,
    IF(arrears_months=0,1.00,
    IF(arrears_months=1,3.00,
    IF(arrears_months=2,5.00,
    IF(arrears_months=3,8.00,
    IF(arrears_months=4,10.00,
    IF(arrears_months=5,12.00,15.00)))))))</f>
        <v/>
      </c>
      <c r="M3651">
        <f>LET(
    seasoning_years,DATEDIF('Loan Tape (S&amp;P)'!K3651,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51">
        <f>IF(AND('Loan Tape (S&amp;P)'!U3651="Yes",
        'Loan Tape (S&amp;P)'!T3651&lt;&gt;"Yes",
        DATEDIF('Loan Tape (S&amp;P)'!K3651, TODAY(), "M")&lt;18),
    1.10,
    1.00)</f>
        <v/>
      </c>
      <c r="O3651">
        <f>IF('Loan Tape (S&amp;P)'!T3651="Yes",
    1.35,
    1.00)</f>
        <v/>
      </c>
      <c r="P3651">
        <f>IF('Loan Tape (S&amp;P)'!S3651="Yes",
    1.15,
    1.00)</f>
        <v/>
      </c>
      <c r="Q3651">
        <f>IF('Loan Tape (S&amp;P)'!V3651="Yes",
    1.20,
    1.00)</f>
        <v/>
      </c>
      <c r="T3651">
        <f>LET(
    payment_method,'Loan Tape (S&amp;P)'!P3651,
    occupancy,'Loan Tape (S&amp;P)'!N3651,
    maturity_date,'Loan Tape (S&amp;P)'!L3651,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52">
      <c r="J3652">
        <f>LET(
    lien,'Loan Tape (S&amp;P)'!Q3652,
    IF(lien="First",1.00,
        IF(lien="Second",1.50,
            1.70)))</f>
        <v/>
      </c>
      <c r="K3652">
        <f>LET(
    purpose,'Loan Tape (S&amp;P)'!R3652,
    IF(purpose="Purchase",1.00,
        IF(purpose="Remortgage",1.00,
            1.20)))</f>
        <v/>
      </c>
      <c r="L3652">
        <f>LET(
    arrears_months,'Loan Tape (S&amp;P)'!AN3652,
    IF(arrears_months=0,1.00,
    IF(arrears_months=1,3.00,
    IF(arrears_months=2,5.00,
    IF(arrears_months=3,8.00,
    IF(arrears_months=4,10.00,
    IF(arrears_months=5,12.00,15.00)))))))</f>
        <v/>
      </c>
      <c r="M3652">
        <f>LET(
    seasoning_years,DATEDIF('Loan Tape (S&amp;P)'!K3652,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52">
        <f>IF(AND('Loan Tape (S&amp;P)'!U3652="Yes",
        'Loan Tape (S&amp;P)'!T3652&lt;&gt;"Yes",
        DATEDIF('Loan Tape (S&amp;P)'!K3652, TODAY(), "M")&lt;18),
    1.10,
    1.00)</f>
        <v/>
      </c>
      <c r="O3652">
        <f>IF('Loan Tape (S&amp;P)'!T3652="Yes",
    1.35,
    1.00)</f>
        <v/>
      </c>
      <c r="P3652">
        <f>IF('Loan Tape (S&amp;P)'!S3652="Yes",
    1.15,
    1.00)</f>
        <v/>
      </c>
      <c r="Q3652">
        <f>IF('Loan Tape (S&amp;P)'!V3652="Yes",
    1.20,
    1.00)</f>
        <v/>
      </c>
      <c r="T3652">
        <f>LET(
    payment_method,'Loan Tape (S&amp;P)'!P3652,
    occupancy,'Loan Tape (S&amp;P)'!N3652,
    maturity_date,'Loan Tape (S&amp;P)'!L3652,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53">
      <c r="J3653">
        <f>LET(
    lien,'Loan Tape (S&amp;P)'!Q3653,
    IF(lien="First",1.00,
        IF(lien="Second",1.50,
            1.70)))</f>
        <v/>
      </c>
      <c r="K3653">
        <f>LET(
    purpose,'Loan Tape (S&amp;P)'!R3653,
    IF(purpose="Purchase",1.00,
        IF(purpose="Remortgage",1.00,
            1.20)))</f>
        <v/>
      </c>
      <c r="L3653">
        <f>LET(
    arrears_months,'Loan Tape (S&amp;P)'!AN3653,
    IF(arrears_months=0,1.00,
    IF(arrears_months=1,3.00,
    IF(arrears_months=2,5.00,
    IF(arrears_months=3,8.00,
    IF(arrears_months=4,10.00,
    IF(arrears_months=5,12.00,15.00)))))))</f>
        <v/>
      </c>
      <c r="M3653">
        <f>LET(
    seasoning_years,DATEDIF('Loan Tape (S&amp;P)'!K3653,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53">
        <f>IF(AND('Loan Tape (S&amp;P)'!U3653="Yes",
        'Loan Tape (S&amp;P)'!T3653&lt;&gt;"Yes",
        DATEDIF('Loan Tape (S&amp;P)'!K3653, TODAY(), "M")&lt;18),
    1.10,
    1.00)</f>
        <v/>
      </c>
      <c r="O3653">
        <f>IF('Loan Tape (S&amp;P)'!T3653="Yes",
    1.35,
    1.00)</f>
        <v/>
      </c>
      <c r="P3653">
        <f>IF('Loan Tape (S&amp;P)'!S3653="Yes",
    1.15,
    1.00)</f>
        <v/>
      </c>
      <c r="Q3653">
        <f>IF('Loan Tape (S&amp;P)'!V3653="Yes",
    1.20,
    1.00)</f>
        <v/>
      </c>
      <c r="T3653">
        <f>LET(
    payment_method,'Loan Tape (S&amp;P)'!P3653,
    occupancy,'Loan Tape (S&amp;P)'!N3653,
    maturity_date,'Loan Tape (S&amp;P)'!L3653,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54">
      <c r="J3654">
        <f>LET(
    lien,'Loan Tape (S&amp;P)'!Q3654,
    IF(lien="First",1.00,
        IF(lien="Second",1.50,
            1.70)))</f>
        <v/>
      </c>
      <c r="K3654">
        <f>LET(
    purpose,'Loan Tape (S&amp;P)'!R3654,
    IF(purpose="Purchase",1.00,
        IF(purpose="Remortgage",1.00,
            1.20)))</f>
        <v/>
      </c>
      <c r="L3654">
        <f>LET(
    arrears_months,'Loan Tape (S&amp;P)'!AN3654,
    IF(arrears_months=0,1.00,
    IF(arrears_months=1,3.00,
    IF(arrears_months=2,5.00,
    IF(arrears_months=3,8.00,
    IF(arrears_months=4,10.00,
    IF(arrears_months=5,12.00,15.00)))))))</f>
        <v/>
      </c>
      <c r="M3654">
        <f>LET(
    seasoning_years,DATEDIF('Loan Tape (S&amp;P)'!K3654,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54">
        <f>IF(AND('Loan Tape (S&amp;P)'!U3654="Yes",
        'Loan Tape (S&amp;P)'!T3654&lt;&gt;"Yes",
        DATEDIF('Loan Tape (S&amp;P)'!K3654, TODAY(), "M")&lt;18),
    1.10,
    1.00)</f>
        <v/>
      </c>
      <c r="O3654">
        <f>IF('Loan Tape (S&amp;P)'!T3654="Yes",
    1.35,
    1.00)</f>
        <v/>
      </c>
      <c r="P3654">
        <f>IF('Loan Tape (S&amp;P)'!S3654="Yes",
    1.15,
    1.00)</f>
        <v/>
      </c>
      <c r="Q3654">
        <f>IF('Loan Tape (S&amp;P)'!V3654="Yes",
    1.20,
    1.00)</f>
        <v/>
      </c>
      <c r="T3654">
        <f>LET(
    payment_method,'Loan Tape (S&amp;P)'!P3654,
    occupancy,'Loan Tape (S&amp;P)'!N3654,
    maturity_date,'Loan Tape (S&amp;P)'!L3654,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55">
      <c r="J3655">
        <f>LET(
    lien,'Loan Tape (S&amp;P)'!Q3655,
    IF(lien="First",1.00,
        IF(lien="Second",1.50,
            1.70)))</f>
        <v/>
      </c>
      <c r="K3655">
        <f>LET(
    purpose,'Loan Tape (S&amp;P)'!R3655,
    IF(purpose="Purchase",1.00,
        IF(purpose="Remortgage",1.00,
            1.20)))</f>
        <v/>
      </c>
      <c r="L3655">
        <f>LET(
    arrears_months,'Loan Tape (S&amp;P)'!AN3655,
    IF(arrears_months=0,1.00,
    IF(arrears_months=1,3.00,
    IF(arrears_months=2,5.00,
    IF(arrears_months=3,8.00,
    IF(arrears_months=4,10.00,
    IF(arrears_months=5,12.00,15.00)))))))</f>
        <v/>
      </c>
      <c r="M3655">
        <f>LET(
    seasoning_years,DATEDIF('Loan Tape (S&amp;P)'!K3655,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55">
        <f>IF(AND('Loan Tape (S&amp;P)'!U3655="Yes",
        'Loan Tape (S&amp;P)'!T3655&lt;&gt;"Yes",
        DATEDIF('Loan Tape (S&amp;P)'!K3655, TODAY(), "M")&lt;18),
    1.10,
    1.00)</f>
        <v/>
      </c>
      <c r="O3655">
        <f>IF('Loan Tape (S&amp;P)'!T3655="Yes",
    1.35,
    1.00)</f>
        <v/>
      </c>
      <c r="P3655">
        <f>IF('Loan Tape (S&amp;P)'!S3655="Yes",
    1.15,
    1.00)</f>
        <v/>
      </c>
      <c r="Q3655">
        <f>IF('Loan Tape (S&amp;P)'!V3655="Yes",
    1.20,
    1.00)</f>
        <v/>
      </c>
      <c r="T3655">
        <f>LET(
    payment_method,'Loan Tape (S&amp;P)'!P3655,
    occupancy,'Loan Tape (S&amp;P)'!N3655,
    maturity_date,'Loan Tape (S&amp;P)'!L3655,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56">
      <c r="J3656">
        <f>LET(
    lien,'Loan Tape (S&amp;P)'!Q3656,
    IF(lien="First",1.00,
        IF(lien="Second",1.50,
            1.70)))</f>
        <v/>
      </c>
      <c r="K3656">
        <f>LET(
    purpose,'Loan Tape (S&amp;P)'!R3656,
    IF(purpose="Purchase",1.00,
        IF(purpose="Remortgage",1.00,
            1.20)))</f>
        <v/>
      </c>
      <c r="L3656">
        <f>LET(
    arrears_months,'Loan Tape (S&amp;P)'!AN3656,
    IF(arrears_months=0,1.00,
    IF(arrears_months=1,3.00,
    IF(arrears_months=2,5.00,
    IF(arrears_months=3,8.00,
    IF(arrears_months=4,10.00,
    IF(arrears_months=5,12.00,15.00)))))))</f>
        <v/>
      </c>
      <c r="M3656">
        <f>LET(
    seasoning_years,DATEDIF('Loan Tape (S&amp;P)'!K3656,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56">
        <f>IF(AND('Loan Tape (S&amp;P)'!U3656="Yes",
        'Loan Tape (S&amp;P)'!T3656&lt;&gt;"Yes",
        DATEDIF('Loan Tape (S&amp;P)'!K3656, TODAY(), "M")&lt;18),
    1.10,
    1.00)</f>
        <v/>
      </c>
      <c r="O3656">
        <f>IF('Loan Tape (S&amp;P)'!T3656="Yes",
    1.35,
    1.00)</f>
        <v/>
      </c>
      <c r="P3656">
        <f>IF('Loan Tape (S&amp;P)'!S3656="Yes",
    1.15,
    1.00)</f>
        <v/>
      </c>
      <c r="Q3656">
        <f>IF('Loan Tape (S&amp;P)'!V3656="Yes",
    1.20,
    1.00)</f>
        <v/>
      </c>
      <c r="T3656">
        <f>LET(
    payment_method,'Loan Tape (S&amp;P)'!P3656,
    occupancy,'Loan Tape (S&amp;P)'!N3656,
    maturity_date,'Loan Tape (S&amp;P)'!L3656,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57">
      <c r="J3657">
        <f>LET(
    lien,'Loan Tape (S&amp;P)'!Q3657,
    IF(lien="First",1.00,
        IF(lien="Second",1.50,
            1.70)))</f>
        <v/>
      </c>
      <c r="K3657">
        <f>LET(
    purpose,'Loan Tape (S&amp;P)'!R3657,
    IF(purpose="Purchase",1.00,
        IF(purpose="Remortgage",1.00,
            1.20)))</f>
        <v/>
      </c>
      <c r="L3657">
        <f>LET(
    arrears_months,'Loan Tape (S&amp;P)'!AN3657,
    IF(arrears_months=0,1.00,
    IF(arrears_months=1,3.00,
    IF(arrears_months=2,5.00,
    IF(arrears_months=3,8.00,
    IF(arrears_months=4,10.00,
    IF(arrears_months=5,12.00,15.00)))))))</f>
        <v/>
      </c>
      <c r="M3657">
        <f>LET(
    seasoning_years,DATEDIF('Loan Tape (S&amp;P)'!K3657,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57">
        <f>IF(AND('Loan Tape (S&amp;P)'!U3657="Yes",
        'Loan Tape (S&amp;P)'!T3657&lt;&gt;"Yes",
        DATEDIF('Loan Tape (S&amp;P)'!K3657, TODAY(), "M")&lt;18),
    1.10,
    1.00)</f>
        <v/>
      </c>
      <c r="O3657">
        <f>IF('Loan Tape (S&amp;P)'!T3657="Yes",
    1.35,
    1.00)</f>
        <v/>
      </c>
      <c r="P3657">
        <f>IF('Loan Tape (S&amp;P)'!S3657="Yes",
    1.15,
    1.00)</f>
        <v/>
      </c>
      <c r="Q3657">
        <f>IF('Loan Tape (S&amp;P)'!V3657="Yes",
    1.20,
    1.00)</f>
        <v/>
      </c>
      <c r="T3657">
        <f>LET(
    payment_method,'Loan Tape (S&amp;P)'!P3657,
    occupancy,'Loan Tape (S&amp;P)'!N3657,
    maturity_date,'Loan Tape (S&amp;P)'!L3657,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58">
      <c r="J3658">
        <f>LET(
    lien,'Loan Tape (S&amp;P)'!Q3658,
    IF(lien="First",1.00,
        IF(lien="Second",1.50,
            1.70)))</f>
        <v/>
      </c>
      <c r="K3658">
        <f>LET(
    purpose,'Loan Tape (S&amp;P)'!R3658,
    IF(purpose="Purchase",1.00,
        IF(purpose="Remortgage",1.00,
            1.20)))</f>
        <v/>
      </c>
      <c r="L3658">
        <f>LET(
    arrears_months,'Loan Tape (S&amp;P)'!AN3658,
    IF(arrears_months=0,1.00,
    IF(arrears_months=1,3.00,
    IF(arrears_months=2,5.00,
    IF(arrears_months=3,8.00,
    IF(arrears_months=4,10.00,
    IF(arrears_months=5,12.00,15.00)))))))</f>
        <v/>
      </c>
      <c r="M3658">
        <f>LET(
    seasoning_years,DATEDIF('Loan Tape (S&amp;P)'!K3658,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58">
        <f>IF(AND('Loan Tape (S&amp;P)'!U3658="Yes",
        'Loan Tape (S&amp;P)'!T3658&lt;&gt;"Yes",
        DATEDIF('Loan Tape (S&amp;P)'!K3658, TODAY(), "M")&lt;18),
    1.10,
    1.00)</f>
        <v/>
      </c>
      <c r="O3658">
        <f>IF('Loan Tape (S&amp;P)'!T3658="Yes",
    1.35,
    1.00)</f>
        <v/>
      </c>
      <c r="P3658">
        <f>IF('Loan Tape (S&amp;P)'!S3658="Yes",
    1.15,
    1.00)</f>
        <v/>
      </c>
      <c r="Q3658">
        <f>IF('Loan Tape (S&amp;P)'!V3658="Yes",
    1.20,
    1.00)</f>
        <v/>
      </c>
      <c r="T3658">
        <f>LET(
    payment_method,'Loan Tape (S&amp;P)'!P3658,
    occupancy,'Loan Tape (S&amp;P)'!N3658,
    maturity_date,'Loan Tape (S&amp;P)'!L3658,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59">
      <c r="J3659">
        <f>LET(
    lien,'Loan Tape (S&amp;P)'!Q3659,
    IF(lien="First",1.00,
        IF(lien="Second",1.50,
            1.70)))</f>
        <v/>
      </c>
      <c r="K3659">
        <f>LET(
    purpose,'Loan Tape (S&amp;P)'!R3659,
    IF(purpose="Purchase",1.00,
        IF(purpose="Remortgage",1.00,
            1.20)))</f>
        <v/>
      </c>
      <c r="L3659">
        <f>LET(
    arrears_months,'Loan Tape (S&amp;P)'!AN3659,
    IF(arrears_months=0,1.00,
    IF(arrears_months=1,3.00,
    IF(arrears_months=2,5.00,
    IF(arrears_months=3,8.00,
    IF(arrears_months=4,10.00,
    IF(arrears_months=5,12.00,15.00)))))))</f>
        <v/>
      </c>
      <c r="M3659">
        <f>LET(
    seasoning_years,DATEDIF('Loan Tape (S&amp;P)'!K3659,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59">
        <f>IF(AND('Loan Tape (S&amp;P)'!U3659="Yes",
        'Loan Tape (S&amp;P)'!T3659&lt;&gt;"Yes",
        DATEDIF('Loan Tape (S&amp;P)'!K3659, TODAY(), "M")&lt;18),
    1.10,
    1.00)</f>
        <v/>
      </c>
      <c r="O3659">
        <f>IF('Loan Tape (S&amp;P)'!T3659="Yes",
    1.35,
    1.00)</f>
        <v/>
      </c>
      <c r="P3659">
        <f>IF('Loan Tape (S&amp;P)'!S3659="Yes",
    1.15,
    1.00)</f>
        <v/>
      </c>
      <c r="Q3659">
        <f>IF('Loan Tape (S&amp;P)'!V3659="Yes",
    1.20,
    1.00)</f>
        <v/>
      </c>
      <c r="T3659">
        <f>LET(
    payment_method,'Loan Tape (S&amp;P)'!P3659,
    occupancy,'Loan Tape (S&amp;P)'!N3659,
    maturity_date,'Loan Tape (S&amp;P)'!L3659,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60">
      <c r="J3660">
        <f>LET(
    lien,'Loan Tape (S&amp;P)'!Q3660,
    IF(lien="First",1.00,
        IF(lien="Second",1.50,
            1.70)))</f>
        <v/>
      </c>
      <c r="K3660">
        <f>LET(
    purpose,'Loan Tape (S&amp;P)'!R3660,
    IF(purpose="Purchase",1.00,
        IF(purpose="Remortgage",1.00,
            1.20)))</f>
        <v/>
      </c>
      <c r="L3660">
        <f>LET(
    arrears_months,'Loan Tape (S&amp;P)'!AN3660,
    IF(arrears_months=0,1.00,
    IF(arrears_months=1,3.00,
    IF(arrears_months=2,5.00,
    IF(arrears_months=3,8.00,
    IF(arrears_months=4,10.00,
    IF(arrears_months=5,12.00,15.00)))))))</f>
        <v/>
      </c>
      <c r="M3660">
        <f>LET(
    seasoning_years,DATEDIF('Loan Tape (S&amp;P)'!K3660,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60">
        <f>IF(AND('Loan Tape (S&amp;P)'!U3660="Yes",
        'Loan Tape (S&amp;P)'!T3660&lt;&gt;"Yes",
        DATEDIF('Loan Tape (S&amp;P)'!K3660, TODAY(), "M")&lt;18),
    1.10,
    1.00)</f>
        <v/>
      </c>
      <c r="O3660">
        <f>IF('Loan Tape (S&amp;P)'!T3660="Yes",
    1.35,
    1.00)</f>
        <v/>
      </c>
      <c r="P3660">
        <f>IF('Loan Tape (S&amp;P)'!S3660="Yes",
    1.15,
    1.00)</f>
        <v/>
      </c>
      <c r="Q3660">
        <f>IF('Loan Tape (S&amp;P)'!V3660="Yes",
    1.20,
    1.00)</f>
        <v/>
      </c>
      <c r="T3660">
        <f>LET(
    payment_method,'Loan Tape (S&amp;P)'!P3660,
    occupancy,'Loan Tape (S&amp;P)'!N3660,
    maturity_date,'Loan Tape (S&amp;P)'!L3660,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61">
      <c r="J3661">
        <f>LET(
    lien,'Loan Tape (S&amp;P)'!Q3661,
    IF(lien="First",1.00,
        IF(lien="Second",1.50,
            1.70)))</f>
        <v/>
      </c>
      <c r="K3661">
        <f>LET(
    purpose,'Loan Tape (S&amp;P)'!R3661,
    IF(purpose="Purchase",1.00,
        IF(purpose="Remortgage",1.00,
            1.20)))</f>
        <v/>
      </c>
      <c r="L3661">
        <f>LET(
    arrears_months,'Loan Tape (S&amp;P)'!AN3661,
    IF(arrears_months=0,1.00,
    IF(arrears_months=1,3.00,
    IF(arrears_months=2,5.00,
    IF(arrears_months=3,8.00,
    IF(arrears_months=4,10.00,
    IF(arrears_months=5,12.00,15.00)))))))</f>
        <v/>
      </c>
      <c r="M3661">
        <f>LET(
    seasoning_years,DATEDIF('Loan Tape (S&amp;P)'!K3661,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61">
        <f>IF(AND('Loan Tape (S&amp;P)'!U3661="Yes",
        'Loan Tape (S&amp;P)'!T3661&lt;&gt;"Yes",
        DATEDIF('Loan Tape (S&amp;P)'!K3661, TODAY(), "M")&lt;18),
    1.10,
    1.00)</f>
        <v/>
      </c>
      <c r="O3661">
        <f>IF('Loan Tape (S&amp;P)'!T3661="Yes",
    1.35,
    1.00)</f>
        <v/>
      </c>
      <c r="P3661">
        <f>IF('Loan Tape (S&amp;P)'!S3661="Yes",
    1.15,
    1.00)</f>
        <v/>
      </c>
      <c r="Q3661">
        <f>IF('Loan Tape (S&amp;P)'!V3661="Yes",
    1.20,
    1.00)</f>
        <v/>
      </c>
      <c r="T3661">
        <f>LET(
    payment_method,'Loan Tape (S&amp;P)'!P3661,
    occupancy,'Loan Tape (S&amp;P)'!N3661,
    maturity_date,'Loan Tape (S&amp;P)'!L3661,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62">
      <c r="J3662">
        <f>LET(
    lien,'Loan Tape (S&amp;P)'!Q3662,
    IF(lien="First",1.00,
        IF(lien="Second",1.50,
            1.70)))</f>
        <v/>
      </c>
      <c r="K3662">
        <f>LET(
    purpose,'Loan Tape (S&amp;P)'!R3662,
    IF(purpose="Purchase",1.00,
        IF(purpose="Remortgage",1.00,
            1.20)))</f>
        <v/>
      </c>
      <c r="L3662">
        <f>LET(
    arrears_months,'Loan Tape (S&amp;P)'!AN3662,
    IF(arrears_months=0,1.00,
    IF(arrears_months=1,3.00,
    IF(arrears_months=2,5.00,
    IF(arrears_months=3,8.00,
    IF(arrears_months=4,10.00,
    IF(arrears_months=5,12.00,15.00)))))))</f>
        <v/>
      </c>
      <c r="M3662">
        <f>LET(
    seasoning_years,DATEDIF('Loan Tape (S&amp;P)'!K3662,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62">
        <f>IF(AND('Loan Tape (S&amp;P)'!U3662="Yes",
        'Loan Tape (S&amp;P)'!T3662&lt;&gt;"Yes",
        DATEDIF('Loan Tape (S&amp;P)'!K3662, TODAY(), "M")&lt;18),
    1.10,
    1.00)</f>
        <v/>
      </c>
      <c r="O3662">
        <f>IF('Loan Tape (S&amp;P)'!T3662="Yes",
    1.35,
    1.00)</f>
        <v/>
      </c>
      <c r="P3662">
        <f>IF('Loan Tape (S&amp;P)'!S3662="Yes",
    1.15,
    1.00)</f>
        <v/>
      </c>
      <c r="Q3662">
        <f>IF('Loan Tape (S&amp;P)'!V3662="Yes",
    1.20,
    1.00)</f>
        <v/>
      </c>
      <c r="T3662">
        <f>LET(
    payment_method,'Loan Tape (S&amp;P)'!P3662,
    occupancy,'Loan Tape (S&amp;P)'!N3662,
    maturity_date,'Loan Tape (S&amp;P)'!L3662,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63">
      <c r="J3663">
        <f>LET(
    lien,'Loan Tape (S&amp;P)'!Q3663,
    IF(lien="First",1.00,
        IF(lien="Second",1.50,
            1.70)))</f>
        <v/>
      </c>
      <c r="K3663">
        <f>LET(
    purpose,'Loan Tape (S&amp;P)'!R3663,
    IF(purpose="Purchase",1.00,
        IF(purpose="Remortgage",1.00,
            1.20)))</f>
        <v/>
      </c>
      <c r="L3663">
        <f>LET(
    arrears_months,'Loan Tape (S&amp;P)'!AN3663,
    IF(arrears_months=0,1.00,
    IF(arrears_months=1,3.00,
    IF(arrears_months=2,5.00,
    IF(arrears_months=3,8.00,
    IF(arrears_months=4,10.00,
    IF(arrears_months=5,12.00,15.00)))))))</f>
        <v/>
      </c>
      <c r="M3663">
        <f>LET(
    seasoning_years,DATEDIF('Loan Tape (S&amp;P)'!K3663,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63">
        <f>IF(AND('Loan Tape (S&amp;P)'!U3663="Yes",
        'Loan Tape (S&amp;P)'!T3663&lt;&gt;"Yes",
        DATEDIF('Loan Tape (S&amp;P)'!K3663, TODAY(), "M")&lt;18),
    1.10,
    1.00)</f>
        <v/>
      </c>
      <c r="O3663">
        <f>IF('Loan Tape (S&amp;P)'!T3663="Yes",
    1.35,
    1.00)</f>
        <v/>
      </c>
      <c r="P3663">
        <f>IF('Loan Tape (S&amp;P)'!S3663="Yes",
    1.15,
    1.00)</f>
        <v/>
      </c>
      <c r="Q3663">
        <f>IF('Loan Tape (S&amp;P)'!V3663="Yes",
    1.20,
    1.00)</f>
        <v/>
      </c>
      <c r="T3663">
        <f>LET(
    payment_method,'Loan Tape (S&amp;P)'!P3663,
    occupancy,'Loan Tape (S&amp;P)'!N3663,
    maturity_date,'Loan Tape (S&amp;P)'!L3663,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64">
      <c r="J3664">
        <f>LET(
    lien,'Loan Tape (S&amp;P)'!Q3664,
    IF(lien="First",1.00,
        IF(lien="Second",1.50,
            1.70)))</f>
        <v/>
      </c>
      <c r="K3664">
        <f>LET(
    purpose,'Loan Tape (S&amp;P)'!R3664,
    IF(purpose="Purchase",1.00,
        IF(purpose="Remortgage",1.00,
            1.20)))</f>
        <v/>
      </c>
      <c r="L3664">
        <f>LET(
    arrears_months,'Loan Tape (S&amp;P)'!AN3664,
    IF(arrears_months=0,1.00,
    IF(arrears_months=1,3.00,
    IF(arrears_months=2,5.00,
    IF(arrears_months=3,8.00,
    IF(arrears_months=4,10.00,
    IF(arrears_months=5,12.00,15.00)))))))</f>
        <v/>
      </c>
      <c r="M3664">
        <f>LET(
    seasoning_years,DATEDIF('Loan Tape (S&amp;P)'!K3664,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64">
        <f>IF(AND('Loan Tape (S&amp;P)'!U3664="Yes",
        'Loan Tape (S&amp;P)'!T3664&lt;&gt;"Yes",
        DATEDIF('Loan Tape (S&amp;P)'!K3664, TODAY(), "M")&lt;18),
    1.10,
    1.00)</f>
        <v/>
      </c>
      <c r="O3664">
        <f>IF('Loan Tape (S&amp;P)'!T3664="Yes",
    1.35,
    1.00)</f>
        <v/>
      </c>
      <c r="P3664">
        <f>IF('Loan Tape (S&amp;P)'!S3664="Yes",
    1.15,
    1.00)</f>
        <v/>
      </c>
      <c r="Q3664">
        <f>IF('Loan Tape (S&amp;P)'!V3664="Yes",
    1.20,
    1.00)</f>
        <v/>
      </c>
      <c r="T3664">
        <f>LET(
    payment_method,'Loan Tape (S&amp;P)'!P3664,
    occupancy,'Loan Tape (S&amp;P)'!N3664,
    maturity_date,'Loan Tape (S&amp;P)'!L3664,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65">
      <c r="J3665">
        <f>LET(
    lien,'Loan Tape (S&amp;P)'!Q3665,
    IF(lien="First",1.00,
        IF(lien="Second",1.50,
            1.70)))</f>
        <v/>
      </c>
      <c r="K3665">
        <f>LET(
    purpose,'Loan Tape (S&amp;P)'!R3665,
    IF(purpose="Purchase",1.00,
        IF(purpose="Remortgage",1.00,
            1.20)))</f>
        <v/>
      </c>
      <c r="L3665">
        <f>LET(
    arrears_months,'Loan Tape (S&amp;P)'!AN3665,
    IF(arrears_months=0,1.00,
    IF(arrears_months=1,3.00,
    IF(arrears_months=2,5.00,
    IF(arrears_months=3,8.00,
    IF(arrears_months=4,10.00,
    IF(arrears_months=5,12.00,15.00)))))))</f>
        <v/>
      </c>
      <c r="M3665">
        <f>LET(
    seasoning_years,DATEDIF('Loan Tape (S&amp;P)'!K3665,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65">
        <f>IF(AND('Loan Tape (S&amp;P)'!U3665="Yes",
        'Loan Tape (S&amp;P)'!T3665&lt;&gt;"Yes",
        DATEDIF('Loan Tape (S&amp;P)'!K3665, TODAY(), "M")&lt;18),
    1.10,
    1.00)</f>
        <v/>
      </c>
      <c r="O3665">
        <f>IF('Loan Tape (S&amp;P)'!T3665="Yes",
    1.35,
    1.00)</f>
        <v/>
      </c>
      <c r="P3665">
        <f>IF('Loan Tape (S&amp;P)'!S3665="Yes",
    1.15,
    1.00)</f>
        <v/>
      </c>
      <c r="Q3665">
        <f>IF('Loan Tape (S&amp;P)'!V3665="Yes",
    1.20,
    1.00)</f>
        <v/>
      </c>
      <c r="T3665">
        <f>LET(
    payment_method,'Loan Tape (S&amp;P)'!P3665,
    occupancy,'Loan Tape (S&amp;P)'!N3665,
    maturity_date,'Loan Tape (S&amp;P)'!L3665,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66">
      <c r="J3666">
        <f>LET(
    lien,'Loan Tape (S&amp;P)'!Q3666,
    IF(lien="First",1.00,
        IF(lien="Second",1.50,
            1.70)))</f>
        <v/>
      </c>
      <c r="K3666">
        <f>LET(
    purpose,'Loan Tape (S&amp;P)'!R3666,
    IF(purpose="Purchase",1.00,
        IF(purpose="Remortgage",1.00,
            1.20)))</f>
        <v/>
      </c>
      <c r="L3666">
        <f>LET(
    arrears_months,'Loan Tape (S&amp;P)'!AN3666,
    IF(arrears_months=0,1.00,
    IF(arrears_months=1,3.00,
    IF(arrears_months=2,5.00,
    IF(arrears_months=3,8.00,
    IF(arrears_months=4,10.00,
    IF(arrears_months=5,12.00,15.00)))))))</f>
        <v/>
      </c>
      <c r="M3666">
        <f>LET(
    seasoning_years,DATEDIF('Loan Tape (S&amp;P)'!K3666,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66">
        <f>IF(AND('Loan Tape (S&amp;P)'!U3666="Yes",
        'Loan Tape (S&amp;P)'!T3666&lt;&gt;"Yes",
        DATEDIF('Loan Tape (S&amp;P)'!K3666, TODAY(), "M")&lt;18),
    1.10,
    1.00)</f>
        <v/>
      </c>
      <c r="O3666">
        <f>IF('Loan Tape (S&amp;P)'!T3666="Yes",
    1.35,
    1.00)</f>
        <v/>
      </c>
      <c r="P3666">
        <f>IF('Loan Tape (S&amp;P)'!S3666="Yes",
    1.15,
    1.00)</f>
        <v/>
      </c>
      <c r="Q3666">
        <f>IF('Loan Tape (S&amp;P)'!V3666="Yes",
    1.20,
    1.00)</f>
        <v/>
      </c>
      <c r="T3666">
        <f>LET(
    payment_method,'Loan Tape (S&amp;P)'!P3666,
    occupancy,'Loan Tape (S&amp;P)'!N3666,
    maturity_date,'Loan Tape (S&amp;P)'!L3666,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67">
      <c r="J3667">
        <f>LET(
    lien,'Loan Tape (S&amp;P)'!Q3667,
    IF(lien="First",1.00,
        IF(lien="Second",1.50,
            1.70)))</f>
        <v/>
      </c>
      <c r="K3667">
        <f>LET(
    purpose,'Loan Tape (S&amp;P)'!R3667,
    IF(purpose="Purchase",1.00,
        IF(purpose="Remortgage",1.00,
            1.20)))</f>
        <v/>
      </c>
      <c r="L3667">
        <f>LET(
    arrears_months,'Loan Tape (S&amp;P)'!AN3667,
    IF(arrears_months=0,1.00,
    IF(arrears_months=1,3.00,
    IF(arrears_months=2,5.00,
    IF(arrears_months=3,8.00,
    IF(arrears_months=4,10.00,
    IF(arrears_months=5,12.00,15.00)))))))</f>
        <v/>
      </c>
      <c r="M3667">
        <f>LET(
    seasoning_years,DATEDIF('Loan Tape (S&amp;P)'!K3667,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67">
        <f>IF(AND('Loan Tape (S&amp;P)'!U3667="Yes",
        'Loan Tape (S&amp;P)'!T3667&lt;&gt;"Yes",
        DATEDIF('Loan Tape (S&amp;P)'!K3667, TODAY(), "M")&lt;18),
    1.10,
    1.00)</f>
        <v/>
      </c>
      <c r="O3667">
        <f>IF('Loan Tape (S&amp;P)'!T3667="Yes",
    1.35,
    1.00)</f>
        <v/>
      </c>
      <c r="P3667">
        <f>IF('Loan Tape (S&amp;P)'!S3667="Yes",
    1.15,
    1.00)</f>
        <v/>
      </c>
      <c r="Q3667">
        <f>IF('Loan Tape (S&amp;P)'!V3667="Yes",
    1.20,
    1.00)</f>
        <v/>
      </c>
      <c r="T3667">
        <f>LET(
    payment_method,'Loan Tape (S&amp;P)'!P3667,
    occupancy,'Loan Tape (S&amp;P)'!N3667,
    maturity_date,'Loan Tape (S&amp;P)'!L3667,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68">
      <c r="J3668">
        <f>LET(
    lien,'Loan Tape (S&amp;P)'!Q3668,
    IF(lien="First",1.00,
        IF(lien="Second",1.50,
            1.70)))</f>
        <v/>
      </c>
      <c r="K3668">
        <f>LET(
    purpose,'Loan Tape (S&amp;P)'!R3668,
    IF(purpose="Purchase",1.00,
        IF(purpose="Remortgage",1.00,
            1.20)))</f>
        <v/>
      </c>
      <c r="L3668">
        <f>LET(
    arrears_months,'Loan Tape (S&amp;P)'!AN3668,
    IF(arrears_months=0,1.00,
    IF(arrears_months=1,3.00,
    IF(arrears_months=2,5.00,
    IF(arrears_months=3,8.00,
    IF(arrears_months=4,10.00,
    IF(arrears_months=5,12.00,15.00)))))))</f>
        <v/>
      </c>
      <c r="M3668">
        <f>LET(
    seasoning_years,DATEDIF('Loan Tape (S&amp;P)'!K3668,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68">
        <f>IF(AND('Loan Tape (S&amp;P)'!U3668="Yes",
        'Loan Tape (S&amp;P)'!T3668&lt;&gt;"Yes",
        DATEDIF('Loan Tape (S&amp;P)'!K3668, TODAY(), "M")&lt;18),
    1.10,
    1.00)</f>
        <v/>
      </c>
      <c r="O3668">
        <f>IF('Loan Tape (S&amp;P)'!T3668="Yes",
    1.35,
    1.00)</f>
        <v/>
      </c>
      <c r="P3668">
        <f>IF('Loan Tape (S&amp;P)'!S3668="Yes",
    1.15,
    1.00)</f>
        <v/>
      </c>
      <c r="Q3668">
        <f>IF('Loan Tape (S&amp;P)'!V3668="Yes",
    1.20,
    1.00)</f>
        <v/>
      </c>
      <c r="T3668">
        <f>LET(
    payment_method,'Loan Tape (S&amp;P)'!P3668,
    occupancy,'Loan Tape (S&amp;P)'!N3668,
    maturity_date,'Loan Tape (S&amp;P)'!L3668,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69">
      <c r="J3669">
        <f>LET(
    lien,'Loan Tape (S&amp;P)'!Q3669,
    IF(lien="First",1.00,
        IF(lien="Second",1.50,
            1.70)))</f>
        <v/>
      </c>
      <c r="K3669">
        <f>LET(
    purpose,'Loan Tape (S&amp;P)'!R3669,
    IF(purpose="Purchase",1.00,
        IF(purpose="Remortgage",1.00,
            1.20)))</f>
        <v/>
      </c>
      <c r="L3669">
        <f>LET(
    arrears_months,'Loan Tape (S&amp;P)'!AN3669,
    IF(arrears_months=0,1.00,
    IF(arrears_months=1,3.00,
    IF(arrears_months=2,5.00,
    IF(arrears_months=3,8.00,
    IF(arrears_months=4,10.00,
    IF(arrears_months=5,12.00,15.00)))))))</f>
        <v/>
      </c>
      <c r="M3669">
        <f>LET(
    seasoning_years,DATEDIF('Loan Tape (S&amp;P)'!K3669,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69">
        <f>IF(AND('Loan Tape (S&amp;P)'!U3669="Yes",
        'Loan Tape (S&amp;P)'!T3669&lt;&gt;"Yes",
        DATEDIF('Loan Tape (S&amp;P)'!K3669, TODAY(), "M")&lt;18),
    1.10,
    1.00)</f>
        <v/>
      </c>
      <c r="O3669">
        <f>IF('Loan Tape (S&amp;P)'!T3669="Yes",
    1.35,
    1.00)</f>
        <v/>
      </c>
      <c r="P3669">
        <f>IF('Loan Tape (S&amp;P)'!S3669="Yes",
    1.15,
    1.00)</f>
        <v/>
      </c>
      <c r="Q3669">
        <f>IF('Loan Tape (S&amp;P)'!V3669="Yes",
    1.20,
    1.00)</f>
        <v/>
      </c>
      <c r="T3669">
        <f>LET(
    payment_method,'Loan Tape (S&amp;P)'!P3669,
    occupancy,'Loan Tape (S&amp;P)'!N3669,
    maturity_date,'Loan Tape (S&amp;P)'!L3669,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70">
      <c r="J3670">
        <f>LET(
    lien,'Loan Tape (S&amp;P)'!Q3670,
    IF(lien="First",1.00,
        IF(lien="Second",1.50,
            1.70)))</f>
        <v/>
      </c>
      <c r="K3670">
        <f>LET(
    purpose,'Loan Tape (S&amp;P)'!R3670,
    IF(purpose="Purchase",1.00,
        IF(purpose="Remortgage",1.00,
            1.20)))</f>
        <v/>
      </c>
      <c r="L3670">
        <f>LET(
    arrears_months,'Loan Tape (S&amp;P)'!AN3670,
    IF(arrears_months=0,1.00,
    IF(arrears_months=1,3.00,
    IF(arrears_months=2,5.00,
    IF(arrears_months=3,8.00,
    IF(arrears_months=4,10.00,
    IF(arrears_months=5,12.00,15.00)))))))</f>
        <v/>
      </c>
      <c r="M3670">
        <f>LET(
    seasoning_years,DATEDIF('Loan Tape (S&amp;P)'!K3670,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70">
        <f>IF(AND('Loan Tape (S&amp;P)'!U3670="Yes",
        'Loan Tape (S&amp;P)'!T3670&lt;&gt;"Yes",
        DATEDIF('Loan Tape (S&amp;P)'!K3670, TODAY(), "M")&lt;18),
    1.10,
    1.00)</f>
        <v/>
      </c>
      <c r="O3670">
        <f>IF('Loan Tape (S&amp;P)'!T3670="Yes",
    1.35,
    1.00)</f>
        <v/>
      </c>
      <c r="P3670">
        <f>IF('Loan Tape (S&amp;P)'!S3670="Yes",
    1.15,
    1.00)</f>
        <v/>
      </c>
      <c r="Q3670">
        <f>IF('Loan Tape (S&amp;P)'!V3670="Yes",
    1.20,
    1.00)</f>
        <v/>
      </c>
      <c r="T3670">
        <f>LET(
    payment_method,'Loan Tape (S&amp;P)'!P3670,
    occupancy,'Loan Tape (S&amp;P)'!N3670,
    maturity_date,'Loan Tape (S&amp;P)'!L3670,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71">
      <c r="J3671">
        <f>LET(
    lien,'Loan Tape (S&amp;P)'!Q3671,
    IF(lien="First",1.00,
        IF(lien="Second",1.50,
            1.70)))</f>
        <v/>
      </c>
      <c r="K3671">
        <f>LET(
    purpose,'Loan Tape (S&amp;P)'!R3671,
    IF(purpose="Purchase",1.00,
        IF(purpose="Remortgage",1.00,
            1.20)))</f>
        <v/>
      </c>
      <c r="L3671">
        <f>LET(
    arrears_months,'Loan Tape (S&amp;P)'!AN3671,
    IF(arrears_months=0,1.00,
    IF(arrears_months=1,3.00,
    IF(arrears_months=2,5.00,
    IF(arrears_months=3,8.00,
    IF(arrears_months=4,10.00,
    IF(arrears_months=5,12.00,15.00)))))))</f>
        <v/>
      </c>
      <c r="M3671">
        <f>LET(
    seasoning_years,DATEDIF('Loan Tape (S&amp;P)'!K3671,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71">
        <f>IF(AND('Loan Tape (S&amp;P)'!U3671="Yes",
        'Loan Tape (S&amp;P)'!T3671&lt;&gt;"Yes",
        DATEDIF('Loan Tape (S&amp;P)'!K3671, TODAY(), "M")&lt;18),
    1.10,
    1.00)</f>
        <v/>
      </c>
      <c r="O3671">
        <f>IF('Loan Tape (S&amp;P)'!T3671="Yes",
    1.35,
    1.00)</f>
        <v/>
      </c>
      <c r="P3671">
        <f>IF('Loan Tape (S&amp;P)'!S3671="Yes",
    1.15,
    1.00)</f>
        <v/>
      </c>
      <c r="Q3671">
        <f>IF('Loan Tape (S&amp;P)'!V3671="Yes",
    1.20,
    1.00)</f>
        <v/>
      </c>
      <c r="T3671">
        <f>LET(
    payment_method,'Loan Tape (S&amp;P)'!P3671,
    occupancy,'Loan Tape (S&amp;P)'!N3671,
    maturity_date,'Loan Tape (S&amp;P)'!L3671,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72">
      <c r="J3672">
        <f>LET(
    lien,'Loan Tape (S&amp;P)'!Q3672,
    IF(lien="First",1.00,
        IF(lien="Second",1.50,
            1.70)))</f>
        <v/>
      </c>
      <c r="K3672">
        <f>LET(
    purpose,'Loan Tape (S&amp;P)'!R3672,
    IF(purpose="Purchase",1.00,
        IF(purpose="Remortgage",1.00,
            1.20)))</f>
        <v/>
      </c>
      <c r="L3672">
        <f>LET(
    arrears_months,'Loan Tape (S&amp;P)'!AN3672,
    IF(arrears_months=0,1.00,
    IF(arrears_months=1,3.00,
    IF(arrears_months=2,5.00,
    IF(arrears_months=3,8.00,
    IF(arrears_months=4,10.00,
    IF(arrears_months=5,12.00,15.00)))))))</f>
        <v/>
      </c>
      <c r="M3672">
        <f>LET(
    seasoning_years,DATEDIF('Loan Tape (S&amp;P)'!K3672,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72">
        <f>IF(AND('Loan Tape (S&amp;P)'!U3672="Yes",
        'Loan Tape (S&amp;P)'!T3672&lt;&gt;"Yes",
        DATEDIF('Loan Tape (S&amp;P)'!K3672, TODAY(), "M")&lt;18),
    1.10,
    1.00)</f>
        <v/>
      </c>
      <c r="O3672">
        <f>IF('Loan Tape (S&amp;P)'!T3672="Yes",
    1.35,
    1.00)</f>
        <v/>
      </c>
      <c r="P3672">
        <f>IF('Loan Tape (S&amp;P)'!S3672="Yes",
    1.15,
    1.00)</f>
        <v/>
      </c>
      <c r="Q3672">
        <f>IF('Loan Tape (S&amp;P)'!V3672="Yes",
    1.20,
    1.00)</f>
        <v/>
      </c>
      <c r="T3672">
        <f>LET(
    payment_method,'Loan Tape (S&amp;P)'!P3672,
    occupancy,'Loan Tape (S&amp;P)'!N3672,
    maturity_date,'Loan Tape (S&amp;P)'!L3672,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73">
      <c r="J3673">
        <f>LET(
    lien,'Loan Tape (S&amp;P)'!Q3673,
    IF(lien="First",1.00,
        IF(lien="Second",1.50,
            1.70)))</f>
        <v/>
      </c>
      <c r="K3673">
        <f>LET(
    purpose,'Loan Tape (S&amp;P)'!R3673,
    IF(purpose="Purchase",1.00,
        IF(purpose="Remortgage",1.00,
            1.20)))</f>
        <v/>
      </c>
      <c r="L3673">
        <f>LET(
    arrears_months,'Loan Tape (S&amp;P)'!AN3673,
    IF(arrears_months=0,1.00,
    IF(arrears_months=1,3.00,
    IF(arrears_months=2,5.00,
    IF(arrears_months=3,8.00,
    IF(arrears_months=4,10.00,
    IF(arrears_months=5,12.00,15.00)))))))</f>
        <v/>
      </c>
      <c r="M3673">
        <f>LET(
    seasoning_years,DATEDIF('Loan Tape (S&amp;P)'!K3673,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73">
        <f>IF(AND('Loan Tape (S&amp;P)'!U3673="Yes",
        'Loan Tape (S&amp;P)'!T3673&lt;&gt;"Yes",
        DATEDIF('Loan Tape (S&amp;P)'!K3673, TODAY(), "M")&lt;18),
    1.10,
    1.00)</f>
        <v/>
      </c>
      <c r="O3673">
        <f>IF('Loan Tape (S&amp;P)'!T3673="Yes",
    1.35,
    1.00)</f>
        <v/>
      </c>
      <c r="P3673">
        <f>IF('Loan Tape (S&amp;P)'!S3673="Yes",
    1.15,
    1.00)</f>
        <v/>
      </c>
      <c r="Q3673">
        <f>IF('Loan Tape (S&amp;P)'!V3673="Yes",
    1.20,
    1.00)</f>
        <v/>
      </c>
      <c r="T3673">
        <f>LET(
    payment_method,'Loan Tape (S&amp;P)'!P3673,
    occupancy,'Loan Tape (S&amp;P)'!N3673,
    maturity_date,'Loan Tape (S&amp;P)'!L3673,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74">
      <c r="J3674">
        <f>LET(
    lien,'Loan Tape (S&amp;P)'!Q3674,
    IF(lien="First",1.00,
        IF(lien="Second",1.50,
            1.70)))</f>
        <v/>
      </c>
      <c r="K3674">
        <f>LET(
    purpose,'Loan Tape (S&amp;P)'!R3674,
    IF(purpose="Purchase",1.00,
        IF(purpose="Remortgage",1.00,
            1.20)))</f>
        <v/>
      </c>
      <c r="L3674">
        <f>LET(
    arrears_months,'Loan Tape (S&amp;P)'!AN3674,
    IF(arrears_months=0,1.00,
    IF(arrears_months=1,3.00,
    IF(arrears_months=2,5.00,
    IF(arrears_months=3,8.00,
    IF(arrears_months=4,10.00,
    IF(arrears_months=5,12.00,15.00)))))))</f>
        <v/>
      </c>
      <c r="M3674">
        <f>LET(
    seasoning_years,DATEDIF('Loan Tape (S&amp;P)'!K3674,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74">
        <f>IF(AND('Loan Tape (S&amp;P)'!U3674="Yes",
        'Loan Tape (S&amp;P)'!T3674&lt;&gt;"Yes",
        DATEDIF('Loan Tape (S&amp;P)'!K3674, TODAY(), "M")&lt;18),
    1.10,
    1.00)</f>
        <v/>
      </c>
      <c r="O3674">
        <f>IF('Loan Tape (S&amp;P)'!T3674="Yes",
    1.35,
    1.00)</f>
        <v/>
      </c>
      <c r="P3674">
        <f>IF('Loan Tape (S&amp;P)'!S3674="Yes",
    1.15,
    1.00)</f>
        <v/>
      </c>
      <c r="Q3674">
        <f>IF('Loan Tape (S&amp;P)'!V3674="Yes",
    1.20,
    1.00)</f>
        <v/>
      </c>
      <c r="T3674">
        <f>LET(
    payment_method,'Loan Tape (S&amp;P)'!P3674,
    occupancy,'Loan Tape (S&amp;P)'!N3674,
    maturity_date,'Loan Tape (S&amp;P)'!L3674,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75">
      <c r="J3675">
        <f>LET(
    lien,'Loan Tape (S&amp;P)'!Q3675,
    IF(lien="First",1.00,
        IF(lien="Second",1.50,
            1.70)))</f>
        <v/>
      </c>
      <c r="K3675">
        <f>LET(
    purpose,'Loan Tape (S&amp;P)'!R3675,
    IF(purpose="Purchase",1.00,
        IF(purpose="Remortgage",1.00,
            1.20)))</f>
        <v/>
      </c>
      <c r="L3675">
        <f>LET(
    arrears_months,'Loan Tape (S&amp;P)'!AN3675,
    IF(arrears_months=0,1.00,
    IF(arrears_months=1,3.00,
    IF(arrears_months=2,5.00,
    IF(arrears_months=3,8.00,
    IF(arrears_months=4,10.00,
    IF(arrears_months=5,12.00,15.00)))))))</f>
        <v/>
      </c>
      <c r="M3675">
        <f>LET(
    seasoning_years,DATEDIF('Loan Tape (S&amp;P)'!K3675,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75">
        <f>IF(AND('Loan Tape (S&amp;P)'!U3675="Yes",
        'Loan Tape (S&amp;P)'!T3675&lt;&gt;"Yes",
        DATEDIF('Loan Tape (S&amp;P)'!K3675, TODAY(), "M")&lt;18),
    1.10,
    1.00)</f>
        <v/>
      </c>
      <c r="O3675">
        <f>IF('Loan Tape (S&amp;P)'!T3675="Yes",
    1.35,
    1.00)</f>
        <v/>
      </c>
      <c r="P3675">
        <f>IF('Loan Tape (S&amp;P)'!S3675="Yes",
    1.15,
    1.00)</f>
        <v/>
      </c>
      <c r="Q3675">
        <f>IF('Loan Tape (S&amp;P)'!V3675="Yes",
    1.20,
    1.00)</f>
        <v/>
      </c>
      <c r="T3675">
        <f>LET(
    payment_method,'Loan Tape (S&amp;P)'!P3675,
    occupancy,'Loan Tape (S&amp;P)'!N3675,
    maturity_date,'Loan Tape (S&amp;P)'!L3675,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76">
      <c r="J3676">
        <f>LET(
    lien,'Loan Tape (S&amp;P)'!Q3676,
    IF(lien="First",1.00,
        IF(lien="Second",1.50,
            1.70)))</f>
        <v/>
      </c>
      <c r="K3676">
        <f>LET(
    purpose,'Loan Tape (S&amp;P)'!R3676,
    IF(purpose="Purchase",1.00,
        IF(purpose="Remortgage",1.00,
            1.20)))</f>
        <v/>
      </c>
      <c r="L3676">
        <f>LET(
    arrears_months,'Loan Tape (S&amp;P)'!AN3676,
    IF(arrears_months=0,1.00,
    IF(arrears_months=1,3.00,
    IF(arrears_months=2,5.00,
    IF(arrears_months=3,8.00,
    IF(arrears_months=4,10.00,
    IF(arrears_months=5,12.00,15.00)))))))</f>
        <v/>
      </c>
      <c r="M3676">
        <f>LET(
    seasoning_years,DATEDIF('Loan Tape (S&amp;P)'!K3676,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76">
        <f>IF(AND('Loan Tape (S&amp;P)'!U3676="Yes",
        'Loan Tape (S&amp;P)'!T3676&lt;&gt;"Yes",
        DATEDIF('Loan Tape (S&amp;P)'!K3676, TODAY(), "M")&lt;18),
    1.10,
    1.00)</f>
        <v/>
      </c>
      <c r="O3676">
        <f>IF('Loan Tape (S&amp;P)'!T3676="Yes",
    1.35,
    1.00)</f>
        <v/>
      </c>
      <c r="P3676">
        <f>IF('Loan Tape (S&amp;P)'!S3676="Yes",
    1.15,
    1.00)</f>
        <v/>
      </c>
      <c r="Q3676">
        <f>IF('Loan Tape (S&amp;P)'!V3676="Yes",
    1.20,
    1.00)</f>
        <v/>
      </c>
      <c r="T3676">
        <f>LET(
    payment_method,'Loan Tape (S&amp;P)'!P3676,
    occupancy,'Loan Tape (S&amp;P)'!N3676,
    maturity_date,'Loan Tape (S&amp;P)'!L3676,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77">
      <c r="J3677">
        <f>LET(
    lien,'Loan Tape (S&amp;P)'!Q3677,
    IF(lien="First",1.00,
        IF(lien="Second",1.50,
            1.70)))</f>
        <v/>
      </c>
      <c r="K3677">
        <f>LET(
    purpose,'Loan Tape (S&amp;P)'!R3677,
    IF(purpose="Purchase",1.00,
        IF(purpose="Remortgage",1.00,
            1.20)))</f>
        <v/>
      </c>
      <c r="L3677">
        <f>LET(
    arrears_months,'Loan Tape (S&amp;P)'!AN3677,
    IF(arrears_months=0,1.00,
    IF(arrears_months=1,3.00,
    IF(arrears_months=2,5.00,
    IF(arrears_months=3,8.00,
    IF(arrears_months=4,10.00,
    IF(arrears_months=5,12.00,15.00)))))))</f>
        <v/>
      </c>
      <c r="M3677">
        <f>LET(
    seasoning_years,DATEDIF('Loan Tape (S&amp;P)'!K3677,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77">
        <f>IF(AND('Loan Tape (S&amp;P)'!U3677="Yes",
        'Loan Tape (S&amp;P)'!T3677&lt;&gt;"Yes",
        DATEDIF('Loan Tape (S&amp;P)'!K3677, TODAY(), "M")&lt;18),
    1.10,
    1.00)</f>
        <v/>
      </c>
      <c r="O3677">
        <f>IF('Loan Tape (S&amp;P)'!T3677="Yes",
    1.35,
    1.00)</f>
        <v/>
      </c>
      <c r="P3677">
        <f>IF('Loan Tape (S&amp;P)'!S3677="Yes",
    1.15,
    1.00)</f>
        <v/>
      </c>
      <c r="Q3677">
        <f>IF('Loan Tape (S&amp;P)'!V3677="Yes",
    1.20,
    1.00)</f>
        <v/>
      </c>
      <c r="T3677">
        <f>LET(
    payment_method,'Loan Tape (S&amp;P)'!P3677,
    occupancy,'Loan Tape (S&amp;P)'!N3677,
    maturity_date,'Loan Tape (S&amp;P)'!L3677,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78">
      <c r="J3678">
        <f>LET(
    lien,'Loan Tape (S&amp;P)'!Q3678,
    IF(lien="First",1.00,
        IF(lien="Second",1.50,
            1.70)))</f>
        <v/>
      </c>
      <c r="K3678">
        <f>LET(
    purpose,'Loan Tape (S&amp;P)'!R3678,
    IF(purpose="Purchase",1.00,
        IF(purpose="Remortgage",1.00,
            1.20)))</f>
        <v/>
      </c>
      <c r="L3678">
        <f>LET(
    arrears_months,'Loan Tape (S&amp;P)'!AN3678,
    IF(arrears_months=0,1.00,
    IF(arrears_months=1,3.00,
    IF(arrears_months=2,5.00,
    IF(arrears_months=3,8.00,
    IF(arrears_months=4,10.00,
    IF(arrears_months=5,12.00,15.00)))))))</f>
        <v/>
      </c>
      <c r="M3678">
        <f>LET(
    seasoning_years,DATEDIF('Loan Tape (S&amp;P)'!K3678,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78">
        <f>IF(AND('Loan Tape (S&amp;P)'!U3678="Yes",
        'Loan Tape (S&amp;P)'!T3678&lt;&gt;"Yes",
        DATEDIF('Loan Tape (S&amp;P)'!K3678, TODAY(), "M")&lt;18),
    1.10,
    1.00)</f>
        <v/>
      </c>
      <c r="O3678">
        <f>IF('Loan Tape (S&amp;P)'!T3678="Yes",
    1.35,
    1.00)</f>
        <v/>
      </c>
      <c r="P3678">
        <f>IF('Loan Tape (S&amp;P)'!S3678="Yes",
    1.15,
    1.00)</f>
        <v/>
      </c>
      <c r="Q3678">
        <f>IF('Loan Tape (S&amp;P)'!V3678="Yes",
    1.20,
    1.00)</f>
        <v/>
      </c>
      <c r="T3678">
        <f>LET(
    payment_method,'Loan Tape (S&amp;P)'!P3678,
    occupancy,'Loan Tape (S&amp;P)'!N3678,
    maturity_date,'Loan Tape (S&amp;P)'!L3678,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79">
      <c r="J3679">
        <f>LET(
    lien,'Loan Tape (S&amp;P)'!Q3679,
    IF(lien="First",1.00,
        IF(lien="Second",1.50,
            1.70)))</f>
        <v/>
      </c>
      <c r="K3679">
        <f>LET(
    purpose,'Loan Tape (S&amp;P)'!R3679,
    IF(purpose="Purchase",1.00,
        IF(purpose="Remortgage",1.00,
            1.20)))</f>
        <v/>
      </c>
      <c r="L3679">
        <f>LET(
    arrears_months,'Loan Tape (S&amp;P)'!AN3679,
    IF(arrears_months=0,1.00,
    IF(arrears_months=1,3.00,
    IF(arrears_months=2,5.00,
    IF(arrears_months=3,8.00,
    IF(arrears_months=4,10.00,
    IF(arrears_months=5,12.00,15.00)))))))</f>
        <v/>
      </c>
      <c r="M3679">
        <f>LET(
    seasoning_years,DATEDIF('Loan Tape (S&amp;P)'!K3679,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79">
        <f>IF(AND('Loan Tape (S&amp;P)'!U3679="Yes",
        'Loan Tape (S&amp;P)'!T3679&lt;&gt;"Yes",
        DATEDIF('Loan Tape (S&amp;P)'!K3679, TODAY(), "M")&lt;18),
    1.10,
    1.00)</f>
        <v/>
      </c>
      <c r="O3679">
        <f>IF('Loan Tape (S&amp;P)'!T3679="Yes",
    1.35,
    1.00)</f>
        <v/>
      </c>
      <c r="P3679">
        <f>IF('Loan Tape (S&amp;P)'!S3679="Yes",
    1.15,
    1.00)</f>
        <v/>
      </c>
      <c r="Q3679">
        <f>IF('Loan Tape (S&amp;P)'!V3679="Yes",
    1.20,
    1.00)</f>
        <v/>
      </c>
      <c r="T3679">
        <f>LET(
    payment_method,'Loan Tape (S&amp;P)'!P3679,
    occupancy,'Loan Tape (S&amp;P)'!N3679,
    maturity_date,'Loan Tape (S&amp;P)'!L3679,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80">
      <c r="J3680">
        <f>LET(
    lien,'Loan Tape (S&amp;P)'!Q3680,
    IF(lien="First",1.00,
        IF(lien="Second",1.50,
            1.70)))</f>
        <v/>
      </c>
      <c r="K3680">
        <f>LET(
    purpose,'Loan Tape (S&amp;P)'!R3680,
    IF(purpose="Purchase",1.00,
        IF(purpose="Remortgage",1.00,
            1.20)))</f>
        <v/>
      </c>
      <c r="L3680">
        <f>LET(
    arrears_months,'Loan Tape (S&amp;P)'!AN3680,
    IF(arrears_months=0,1.00,
    IF(arrears_months=1,3.00,
    IF(arrears_months=2,5.00,
    IF(arrears_months=3,8.00,
    IF(arrears_months=4,10.00,
    IF(arrears_months=5,12.00,15.00)))))))</f>
        <v/>
      </c>
      <c r="M3680">
        <f>LET(
    seasoning_years,DATEDIF('Loan Tape (S&amp;P)'!K3680,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80">
        <f>IF(AND('Loan Tape (S&amp;P)'!U3680="Yes",
        'Loan Tape (S&amp;P)'!T3680&lt;&gt;"Yes",
        DATEDIF('Loan Tape (S&amp;P)'!K3680, TODAY(), "M")&lt;18),
    1.10,
    1.00)</f>
        <v/>
      </c>
      <c r="O3680">
        <f>IF('Loan Tape (S&amp;P)'!T3680="Yes",
    1.35,
    1.00)</f>
        <v/>
      </c>
      <c r="P3680">
        <f>IF('Loan Tape (S&amp;P)'!S3680="Yes",
    1.15,
    1.00)</f>
        <v/>
      </c>
      <c r="Q3680">
        <f>IF('Loan Tape (S&amp;P)'!V3680="Yes",
    1.20,
    1.00)</f>
        <v/>
      </c>
      <c r="T3680">
        <f>LET(
    payment_method,'Loan Tape (S&amp;P)'!P3680,
    occupancy,'Loan Tape (S&amp;P)'!N3680,
    maturity_date,'Loan Tape (S&amp;P)'!L3680,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81">
      <c r="J3681">
        <f>LET(
    lien,'Loan Tape (S&amp;P)'!Q3681,
    IF(lien="First",1.00,
        IF(lien="Second",1.50,
            1.70)))</f>
        <v/>
      </c>
      <c r="K3681">
        <f>LET(
    purpose,'Loan Tape (S&amp;P)'!R3681,
    IF(purpose="Purchase",1.00,
        IF(purpose="Remortgage",1.00,
            1.20)))</f>
        <v/>
      </c>
      <c r="L3681">
        <f>LET(
    arrears_months,'Loan Tape (S&amp;P)'!AN3681,
    IF(arrears_months=0,1.00,
    IF(arrears_months=1,3.00,
    IF(arrears_months=2,5.00,
    IF(arrears_months=3,8.00,
    IF(arrears_months=4,10.00,
    IF(arrears_months=5,12.00,15.00)))))))</f>
        <v/>
      </c>
      <c r="M3681">
        <f>LET(
    seasoning_years,DATEDIF('Loan Tape (S&amp;P)'!K3681,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81">
        <f>IF(AND('Loan Tape (S&amp;P)'!U3681="Yes",
        'Loan Tape (S&amp;P)'!T3681&lt;&gt;"Yes",
        DATEDIF('Loan Tape (S&amp;P)'!K3681, TODAY(), "M")&lt;18),
    1.10,
    1.00)</f>
        <v/>
      </c>
      <c r="O3681">
        <f>IF('Loan Tape (S&amp;P)'!T3681="Yes",
    1.35,
    1.00)</f>
        <v/>
      </c>
      <c r="P3681">
        <f>IF('Loan Tape (S&amp;P)'!S3681="Yes",
    1.15,
    1.00)</f>
        <v/>
      </c>
      <c r="Q3681">
        <f>IF('Loan Tape (S&amp;P)'!V3681="Yes",
    1.20,
    1.00)</f>
        <v/>
      </c>
      <c r="T3681">
        <f>LET(
    payment_method,'Loan Tape (S&amp;P)'!P3681,
    occupancy,'Loan Tape (S&amp;P)'!N3681,
    maturity_date,'Loan Tape (S&amp;P)'!L3681,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82">
      <c r="J3682">
        <f>LET(
    lien,'Loan Tape (S&amp;P)'!Q3682,
    IF(lien="First",1.00,
        IF(lien="Second",1.50,
            1.70)))</f>
        <v/>
      </c>
      <c r="K3682">
        <f>LET(
    purpose,'Loan Tape (S&amp;P)'!R3682,
    IF(purpose="Purchase",1.00,
        IF(purpose="Remortgage",1.00,
            1.20)))</f>
        <v/>
      </c>
      <c r="L3682">
        <f>LET(
    arrears_months,'Loan Tape (S&amp;P)'!AN3682,
    IF(arrears_months=0,1.00,
    IF(arrears_months=1,3.00,
    IF(arrears_months=2,5.00,
    IF(arrears_months=3,8.00,
    IF(arrears_months=4,10.00,
    IF(arrears_months=5,12.00,15.00)))))))</f>
        <v/>
      </c>
      <c r="M3682">
        <f>LET(
    seasoning_years,DATEDIF('Loan Tape (S&amp;P)'!K3682,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82">
        <f>IF(AND('Loan Tape (S&amp;P)'!U3682="Yes",
        'Loan Tape (S&amp;P)'!T3682&lt;&gt;"Yes",
        DATEDIF('Loan Tape (S&amp;P)'!K3682, TODAY(), "M")&lt;18),
    1.10,
    1.00)</f>
        <v/>
      </c>
      <c r="O3682">
        <f>IF('Loan Tape (S&amp;P)'!T3682="Yes",
    1.35,
    1.00)</f>
        <v/>
      </c>
      <c r="P3682">
        <f>IF('Loan Tape (S&amp;P)'!S3682="Yes",
    1.15,
    1.00)</f>
        <v/>
      </c>
      <c r="Q3682">
        <f>IF('Loan Tape (S&amp;P)'!V3682="Yes",
    1.20,
    1.00)</f>
        <v/>
      </c>
      <c r="T3682">
        <f>LET(
    payment_method,'Loan Tape (S&amp;P)'!P3682,
    occupancy,'Loan Tape (S&amp;P)'!N3682,
    maturity_date,'Loan Tape (S&amp;P)'!L3682,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83">
      <c r="J3683">
        <f>LET(
    lien,'Loan Tape (S&amp;P)'!Q3683,
    IF(lien="First",1.00,
        IF(lien="Second",1.50,
            1.70)))</f>
        <v/>
      </c>
      <c r="K3683">
        <f>LET(
    purpose,'Loan Tape (S&amp;P)'!R3683,
    IF(purpose="Purchase",1.00,
        IF(purpose="Remortgage",1.00,
            1.20)))</f>
        <v/>
      </c>
      <c r="L3683">
        <f>LET(
    arrears_months,'Loan Tape (S&amp;P)'!AN3683,
    IF(arrears_months=0,1.00,
    IF(arrears_months=1,3.00,
    IF(arrears_months=2,5.00,
    IF(arrears_months=3,8.00,
    IF(arrears_months=4,10.00,
    IF(arrears_months=5,12.00,15.00)))))))</f>
        <v/>
      </c>
      <c r="M3683">
        <f>LET(
    seasoning_years,DATEDIF('Loan Tape (S&amp;P)'!K3683,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83">
        <f>IF(AND('Loan Tape (S&amp;P)'!U3683="Yes",
        'Loan Tape (S&amp;P)'!T3683&lt;&gt;"Yes",
        DATEDIF('Loan Tape (S&amp;P)'!K3683, TODAY(), "M")&lt;18),
    1.10,
    1.00)</f>
        <v/>
      </c>
      <c r="O3683">
        <f>IF('Loan Tape (S&amp;P)'!T3683="Yes",
    1.35,
    1.00)</f>
        <v/>
      </c>
      <c r="P3683">
        <f>IF('Loan Tape (S&amp;P)'!S3683="Yes",
    1.15,
    1.00)</f>
        <v/>
      </c>
      <c r="Q3683">
        <f>IF('Loan Tape (S&amp;P)'!V3683="Yes",
    1.20,
    1.00)</f>
        <v/>
      </c>
      <c r="T3683">
        <f>LET(
    payment_method,'Loan Tape (S&amp;P)'!P3683,
    occupancy,'Loan Tape (S&amp;P)'!N3683,
    maturity_date,'Loan Tape (S&amp;P)'!L3683,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84">
      <c r="J3684">
        <f>LET(
    lien,'Loan Tape (S&amp;P)'!Q3684,
    IF(lien="First",1.00,
        IF(lien="Second",1.50,
            1.70)))</f>
        <v/>
      </c>
      <c r="K3684">
        <f>LET(
    purpose,'Loan Tape (S&amp;P)'!R3684,
    IF(purpose="Purchase",1.00,
        IF(purpose="Remortgage",1.00,
            1.20)))</f>
        <v/>
      </c>
      <c r="L3684">
        <f>LET(
    arrears_months,'Loan Tape (S&amp;P)'!AN3684,
    IF(arrears_months=0,1.00,
    IF(arrears_months=1,3.00,
    IF(arrears_months=2,5.00,
    IF(arrears_months=3,8.00,
    IF(arrears_months=4,10.00,
    IF(arrears_months=5,12.00,15.00)))))))</f>
        <v/>
      </c>
      <c r="M3684">
        <f>LET(
    seasoning_years,DATEDIF('Loan Tape (S&amp;P)'!K3684,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84">
        <f>IF(AND('Loan Tape (S&amp;P)'!U3684="Yes",
        'Loan Tape (S&amp;P)'!T3684&lt;&gt;"Yes",
        DATEDIF('Loan Tape (S&amp;P)'!K3684, TODAY(), "M")&lt;18),
    1.10,
    1.00)</f>
        <v/>
      </c>
      <c r="O3684">
        <f>IF('Loan Tape (S&amp;P)'!T3684="Yes",
    1.35,
    1.00)</f>
        <v/>
      </c>
      <c r="P3684">
        <f>IF('Loan Tape (S&amp;P)'!S3684="Yes",
    1.15,
    1.00)</f>
        <v/>
      </c>
      <c r="Q3684">
        <f>IF('Loan Tape (S&amp;P)'!V3684="Yes",
    1.20,
    1.00)</f>
        <v/>
      </c>
      <c r="T3684">
        <f>LET(
    payment_method,'Loan Tape (S&amp;P)'!P3684,
    occupancy,'Loan Tape (S&amp;P)'!N3684,
    maturity_date,'Loan Tape (S&amp;P)'!L3684,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85">
      <c r="J3685">
        <f>LET(
    lien,'Loan Tape (S&amp;P)'!Q3685,
    IF(lien="First",1.00,
        IF(lien="Second",1.50,
            1.70)))</f>
        <v/>
      </c>
      <c r="K3685">
        <f>LET(
    purpose,'Loan Tape (S&amp;P)'!R3685,
    IF(purpose="Purchase",1.00,
        IF(purpose="Remortgage",1.00,
            1.20)))</f>
        <v/>
      </c>
      <c r="L3685">
        <f>LET(
    arrears_months,'Loan Tape (S&amp;P)'!AN3685,
    IF(arrears_months=0,1.00,
    IF(arrears_months=1,3.00,
    IF(arrears_months=2,5.00,
    IF(arrears_months=3,8.00,
    IF(arrears_months=4,10.00,
    IF(arrears_months=5,12.00,15.00)))))))</f>
        <v/>
      </c>
      <c r="M3685">
        <f>LET(
    seasoning_years,DATEDIF('Loan Tape (S&amp;P)'!K3685,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85">
        <f>IF(AND('Loan Tape (S&amp;P)'!U3685="Yes",
        'Loan Tape (S&amp;P)'!T3685&lt;&gt;"Yes",
        DATEDIF('Loan Tape (S&amp;P)'!K3685, TODAY(), "M")&lt;18),
    1.10,
    1.00)</f>
        <v/>
      </c>
      <c r="O3685">
        <f>IF('Loan Tape (S&amp;P)'!T3685="Yes",
    1.35,
    1.00)</f>
        <v/>
      </c>
      <c r="P3685">
        <f>IF('Loan Tape (S&amp;P)'!S3685="Yes",
    1.15,
    1.00)</f>
        <v/>
      </c>
      <c r="Q3685">
        <f>IF('Loan Tape (S&amp;P)'!V3685="Yes",
    1.20,
    1.00)</f>
        <v/>
      </c>
      <c r="T3685">
        <f>LET(
    payment_method,'Loan Tape (S&amp;P)'!P3685,
    occupancy,'Loan Tape (S&amp;P)'!N3685,
    maturity_date,'Loan Tape (S&amp;P)'!L3685,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86">
      <c r="J3686">
        <f>LET(
    lien,'Loan Tape (S&amp;P)'!Q3686,
    IF(lien="First",1.00,
        IF(lien="Second",1.50,
            1.70)))</f>
        <v/>
      </c>
      <c r="K3686">
        <f>LET(
    purpose,'Loan Tape (S&amp;P)'!R3686,
    IF(purpose="Purchase",1.00,
        IF(purpose="Remortgage",1.00,
            1.20)))</f>
        <v/>
      </c>
      <c r="L3686">
        <f>LET(
    arrears_months,'Loan Tape (S&amp;P)'!AN3686,
    IF(arrears_months=0,1.00,
    IF(arrears_months=1,3.00,
    IF(arrears_months=2,5.00,
    IF(arrears_months=3,8.00,
    IF(arrears_months=4,10.00,
    IF(arrears_months=5,12.00,15.00)))))))</f>
        <v/>
      </c>
      <c r="M3686">
        <f>LET(
    seasoning_years,DATEDIF('Loan Tape (S&amp;P)'!K3686,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86">
        <f>IF(AND('Loan Tape (S&amp;P)'!U3686="Yes",
        'Loan Tape (S&amp;P)'!T3686&lt;&gt;"Yes",
        DATEDIF('Loan Tape (S&amp;P)'!K3686, TODAY(), "M")&lt;18),
    1.10,
    1.00)</f>
        <v/>
      </c>
      <c r="O3686">
        <f>IF('Loan Tape (S&amp;P)'!T3686="Yes",
    1.35,
    1.00)</f>
        <v/>
      </c>
      <c r="P3686">
        <f>IF('Loan Tape (S&amp;P)'!S3686="Yes",
    1.15,
    1.00)</f>
        <v/>
      </c>
      <c r="Q3686">
        <f>IF('Loan Tape (S&amp;P)'!V3686="Yes",
    1.20,
    1.00)</f>
        <v/>
      </c>
      <c r="T3686">
        <f>LET(
    payment_method,'Loan Tape (S&amp;P)'!P3686,
    occupancy,'Loan Tape (S&amp;P)'!N3686,
    maturity_date,'Loan Tape (S&amp;P)'!L3686,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87">
      <c r="J3687">
        <f>LET(
    lien,'Loan Tape (S&amp;P)'!Q3687,
    IF(lien="First",1.00,
        IF(lien="Second",1.50,
            1.70)))</f>
        <v/>
      </c>
      <c r="K3687">
        <f>LET(
    purpose,'Loan Tape (S&amp;P)'!R3687,
    IF(purpose="Purchase",1.00,
        IF(purpose="Remortgage",1.00,
            1.20)))</f>
        <v/>
      </c>
      <c r="L3687">
        <f>LET(
    arrears_months,'Loan Tape (S&amp;P)'!AN3687,
    IF(arrears_months=0,1.00,
    IF(arrears_months=1,3.00,
    IF(arrears_months=2,5.00,
    IF(arrears_months=3,8.00,
    IF(arrears_months=4,10.00,
    IF(arrears_months=5,12.00,15.00)))))))</f>
        <v/>
      </c>
      <c r="M3687">
        <f>LET(
    seasoning_years,DATEDIF('Loan Tape (S&amp;P)'!K3687,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87">
        <f>IF(AND('Loan Tape (S&amp;P)'!U3687="Yes",
        'Loan Tape (S&amp;P)'!T3687&lt;&gt;"Yes",
        DATEDIF('Loan Tape (S&amp;P)'!K3687, TODAY(), "M")&lt;18),
    1.10,
    1.00)</f>
        <v/>
      </c>
      <c r="O3687">
        <f>IF('Loan Tape (S&amp;P)'!T3687="Yes",
    1.35,
    1.00)</f>
        <v/>
      </c>
      <c r="P3687">
        <f>IF('Loan Tape (S&amp;P)'!S3687="Yes",
    1.15,
    1.00)</f>
        <v/>
      </c>
      <c r="Q3687">
        <f>IF('Loan Tape (S&amp;P)'!V3687="Yes",
    1.20,
    1.00)</f>
        <v/>
      </c>
      <c r="T3687">
        <f>LET(
    payment_method,'Loan Tape (S&amp;P)'!P3687,
    occupancy,'Loan Tape (S&amp;P)'!N3687,
    maturity_date,'Loan Tape (S&amp;P)'!L3687,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88">
      <c r="J3688">
        <f>LET(
    lien,'Loan Tape (S&amp;P)'!Q3688,
    IF(lien="First",1.00,
        IF(lien="Second",1.50,
            1.70)))</f>
        <v/>
      </c>
      <c r="K3688">
        <f>LET(
    purpose,'Loan Tape (S&amp;P)'!R3688,
    IF(purpose="Purchase",1.00,
        IF(purpose="Remortgage",1.00,
            1.20)))</f>
        <v/>
      </c>
      <c r="L3688">
        <f>LET(
    arrears_months,'Loan Tape (S&amp;P)'!AN3688,
    IF(arrears_months=0,1.00,
    IF(arrears_months=1,3.00,
    IF(arrears_months=2,5.00,
    IF(arrears_months=3,8.00,
    IF(arrears_months=4,10.00,
    IF(arrears_months=5,12.00,15.00)))))))</f>
        <v/>
      </c>
      <c r="M3688">
        <f>LET(
    seasoning_years,DATEDIF('Loan Tape (S&amp;P)'!K3688,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88">
        <f>IF(AND('Loan Tape (S&amp;P)'!U3688="Yes",
        'Loan Tape (S&amp;P)'!T3688&lt;&gt;"Yes",
        DATEDIF('Loan Tape (S&amp;P)'!K3688, TODAY(), "M")&lt;18),
    1.10,
    1.00)</f>
        <v/>
      </c>
      <c r="O3688">
        <f>IF('Loan Tape (S&amp;P)'!T3688="Yes",
    1.35,
    1.00)</f>
        <v/>
      </c>
      <c r="P3688">
        <f>IF('Loan Tape (S&amp;P)'!S3688="Yes",
    1.15,
    1.00)</f>
        <v/>
      </c>
      <c r="Q3688">
        <f>IF('Loan Tape (S&amp;P)'!V3688="Yes",
    1.20,
    1.00)</f>
        <v/>
      </c>
      <c r="T3688">
        <f>LET(
    payment_method,'Loan Tape (S&amp;P)'!P3688,
    occupancy,'Loan Tape (S&amp;P)'!N3688,
    maturity_date,'Loan Tape (S&amp;P)'!L3688,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89">
      <c r="J3689">
        <f>LET(
    lien,'Loan Tape (S&amp;P)'!Q3689,
    IF(lien="First",1.00,
        IF(lien="Second",1.50,
            1.70)))</f>
        <v/>
      </c>
      <c r="K3689">
        <f>LET(
    purpose,'Loan Tape (S&amp;P)'!R3689,
    IF(purpose="Purchase",1.00,
        IF(purpose="Remortgage",1.00,
            1.20)))</f>
        <v/>
      </c>
      <c r="L3689">
        <f>LET(
    arrears_months,'Loan Tape (S&amp;P)'!AN3689,
    IF(arrears_months=0,1.00,
    IF(arrears_months=1,3.00,
    IF(arrears_months=2,5.00,
    IF(arrears_months=3,8.00,
    IF(arrears_months=4,10.00,
    IF(arrears_months=5,12.00,15.00)))))))</f>
        <v/>
      </c>
      <c r="M3689">
        <f>LET(
    seasoning_years,DATEDIF('Loan Tape (S&amp;P)'!K3689,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89">
        <f>IF(AND('Loan Tape (S&amp;P)'!U3689="Yes",
        'Loan Tape (S&amp;P)'!T3689&lt;&gt;"Yes",
        DATEDIF('Loan Tape (S&amp;P)'!K3689, TODAY(), "M")&lt;18),
    1.10,
    1.00)</f>
        <v/>
      </c>
      <c r="O3689">
        <f>IF('Loan Tape (S&amp;P)'!T3689="Yes",
    1.35,
    1.00)</f>
        <v/>
      </c>
      <c r="P3689">
        <f>IF('Loan Tape (S&amp;P)'!S3689="Yes",
    1.15,
    1.00)</f>
        <v/>
      </c>
      <c r="Q3689">
        <f>IF('Loan Tape (S&amp;P)'!V3689="Yes",
    1.20,
    1.00)</f>
        <v/>
      </c>
      <c r="T3689">
        <f>LET(
    payment_method,'Loan Tape (S&amp;P)'!P3689,
    occupancy,'Loan Tape (S&amp;P)'!N3689,
    maturity_date,'Loan Tape (S&amp;P)'!L3689,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90">
      <c r="J3690">
        <f>LET(
    lien,'Loan Tape (S&amp;P)'!Q3690,
    IF(lien="First",1.00,
        IF(lien="Second",1.50,
            1.70)))</f>
        <v/>
      </c>
      <c r="K3690">
        <f>LET(
    purpose,'Loan Tape (S&amp;P)'!R3690,
    IF(purpose="Purchase",1.00,
        IF(purpose="Remortgage",1.00,
            1.20)))</f>
        <v/>
      </c>
      <c r="L3690">
        <f>LET(
    arrears_months,'Loan Tape (S&amp;P)'!AN3690,
    IF(arrears_months=0,1.00,
    IF(arrears_months=1,3.00,
    IF(arrears_months=2,5.00,
    IF(arrears_months=3,8.00,
    IF(arrears_months=4,10.00,
    IF(arrears_months=5,12.00,15.00)))))))</f>
        <v/>
      </c>
      <c r="M3690">
        <f>LET(
    seasoning_years,DATEDIF('Loan Tape (S&amp;P)'!K3690,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90">
        <f>IF(AND('Loan Tape (S&amp;P)'!U3690="Yes",
        'Loan Tape (S&amp;P)'!T3690&lt;&gt;"Yes",
        DATEDIF('Loan Tape (S&amp;P)'!K3690, TODAY(), "M")&lt;18),
    1.10,
    1.00)</f>
        <v/>
      </c>
      <c r="O3690">
        <f>IF('Loan Tape (S&amp;P)'!T3690="Yes",
    1.35,
    1.00)</f>
        <v/>
      </c>
      <c r="P3690">
        <f>IF('Loan Tape (S&amp;P)'!S3690="Yes",
    1.15,
    1.00)</f>
        <v/>
      </c>
      <c r="Q3690">
        <f>IF('Loan Tape (S&amp;P)'!V3690="Yes",
    1.20,
    1.00)</f>
        <v/>
      </c>
      <c r="T3690">
        <f>LET(
    payment_method,'Loan Tape (S&amp;P)'!P3690,
    occupancy,'Loan Tape (S&amp;P)'!N3690,
    maturity_date,'Loan Tape (S&amp;P)'!L3690,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91">
      <c r="J3691">
        <f>LET(
    lien,'Loan Tape (S&amp;P)'!Q3691,
    IF(lien="First",1.00,
        IF(lien="Second",1.50,
            1.70)))</f>
        <v/>
      </c>
      <c r="K3691">
        <f>LET(
    purpose,'Loan Tape (S&amp;P)'!R3691,
    IF(purpose="Purchase",1.00,
        IF(purpose="Remortgage",1.00,
            1.20)))</f>
        <v/>
      </c>
      <c r="L3691">
        <f>LET(
    arrears_months,'Loan Tape (S&amp;P)'!AN3691,
    IF(arrears_months=0,1.00,
    IF(arrears_months=1,3.00,
    IF(arrears_months=2,5.00,
    IF(arrears_months=3,8.00,
    IF(arrears_months=4,10.00,
    IF(arrears_months=5,12.00,15.00)))))))</f>
        <v/>
      </c>
      <c r="M3691">
        <f>LET(
    seasoning_years,DATEDIF('Loan Tape (S&amp;P)'!K3691,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91">
        <f>IF(AND('Loan Tape (S&amp;P)'!U3691="Yes",
        'Loan Tape (S&amp;P)'!T3691&lt;&gt;"Yes",
        DATEDIF('Loan Tape (S&amp;P)'!K3691, TODAY(), "M")&lt;18),
    1.10,
    1.00)</f>
        <v/>
      </c>
      <c r="O3691">
        <f>IF('Loan Tape (S&amp;P)'!T3691="Yes",
    1.35,
    1.00)</f>
        <v/>
      </c>
      <c r="P3691">
        <f>IF('Loan Tape (S&amp;P)'!S3691="Yes",
    1.15,
    1.00)</f>
        <v/>
      </c>
      <c r="Q3691">
        <f>IF('Loan Tape (S&amp;P)'!V3691="Yes",
    1.20,
    1.00)</f>
        <v/>
      </c>
      <c r="T3691">
        <f>LET(
    payment_method,'Loan Tape (S&amp;P)'!P3691,
    occupancy,'Loan Tape (S&amp;P)'!N3691,
    maturity_date,'Loan Tape (S&amp;P)'!L3691,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92">
      <c r="J3692">
        <f>LET(
    lien,'Loan Tape (S&amp;P)'!Q3692,
    IF(lien="First",1.00,
        IF(lien="Second",1.50,
            1.70)))</f>
        <v/>
      </c>
      <c r="K3692">
        <f>LET(
    purpose,'Loan Tape (S&amp;P)'!R3692,
    IF(purpose="Purchase",1.00,
        IF(purpose="Remortgage",1.00,
            1.20)))</f>
        <v/>
      </c>
      <c r="L3692">
        <f>LET(
    arrears_months,'Loan Tape (S&amp;P)'!AN3692,
    IF(arrears_months=0,1.00,
    IF(arrears_months=1,3.00,
    IF(arrears_months=2,5.00,
    IF(arrears_months=3,8.00,
    IF(arrears_months=4,10.00,
    IF(arrears_months=5,12.00,15.00)))))))</f>
        <v/>
      </c>
      <c r="M3692">
        <f>LET(
    seasoning_years,DATEDIF('Loan Tape (S&amp;P)'!K3692,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92">
        <f>IF(AND('Loan Tape (S&amp;P)'!U3692="Yes",
        'Loan Tape (S&amp;P)'!T3692&lt;&gt;"Yes",
        DATEDIF('Loan Tape (S&amp;P)'!K3692, TODAY(), "M")&lt;18),
    1.10,
    1.00)</f>
        <v/>
      </c>
      <c r="O3692">
        <f>IF('Loan Tape (S&amp;P)'!T3692="Yes",
    1.35,
    1.00)</f>
        <v/>
      </c>
      <c r="P3692">
        <f>IF('Loan Tape (S&amp;P)'!S3692="Yes",
    1.15,
    1.00)</f>
        <v/>
      </c>
      <c r="Q3692">
        <f>IF('Loan Tape (S&amp;P)'!V3692="Yes",
    1.20,
    1.00)</f>
        <v/>
      </c>
      <c r="T3692">
        <f>LET(
    payment_method,'Loan Tape (S&amp;P)'!P3692,
    occupancy,'Loan Tape (S&amp;P)'!N3692,
    maturity_date,'Loan Tape (S&amp;P)'!L3692,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93">
      <c r="J3693">
        <f>LET(
    lien,'Loan Tape (S&amp;P)'!Q3693,
    IF(lien="First",1.00,
        IF(lien="Second",1.50,
            1.70)))</f>
        <v/>
      </c>
      <c r="K3693">
        <f>LET(
    purpose,'Loan Tape (S&amp;P)'!R3693,
    IF(purpose="Purchase",1.00,
        IF(purpose="Remortgage",1.00,
            1.20)))</f>
        <v/>
      </c>
      <c r="L3693">
        <f>LET(
    arrears_months,'Loan Tape (S&amp;P)'!AN3693,
    IF(arrears_months=0,1.00,
    IF(arrears_months=1,3.00,
    IF(arrears_months=2,5.00,
    IF(arrears_months=3,8.00,
    IF(arrears_months=4,10.00,
    IF(arrears_months=5,12.00,15.00)))))))</f>
        <v/>
      </c>
      <c r="M3693">
        <f>LET(
    seasoning_years,DATEDIF('Loan Tape (S&amp;P)'!K3693,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93">
        <f>IF(AND('Loan Tape (S&amp;P)'!U3693="Yes",
        'Loan Tape (S&amp;P)'!T3693&lt;&gt;"Yes",
        DATEDIF('Loan Tape (S&amp;P)'!K3693, TODAY(), "M")&lt;18),
    1.10,
    1.00)</f>
        <v/>
      </c>
      <c r="O3693">
        <f>IF('Loan Tape (S&amp;P)'!T3693="Yes",
    1.35,
    1.00)</f>
        <v/>
      </c>
      <c r="P3693">
        <f>IF('Loan Tape (S&amp;P)'!S3693="Yes",
    1.15,
    1.00)</f>
        <v/>
      </c>
      <c r="Q3693">
        <f>IF('Loan Tape (S&amp;P)'!V3693="Yes",
    1.20,
    1.00)</f>
        <v/>
      </c>
      <c r="T3693">
        <f>LET(
    payment_method,'Loan Tape (S&amp;P)'!P3693,
    occupancy,'Loan Tape (S&amp;P)'!N3693,
    maturity_date,'Loan Tape (S&amp;P)'!L3693,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94">
      <c r="J3694">
        <f>LET(
    lien,'Loan Tape (S&amp;P)'!Q3694,
    IF(lien="First",1.00,
        IF(lien="Second",1.50,
            1.70)))</f>
        <v/>
      </c>
      <c r="K3694">
        <f>LET(
    purpose,'Loan Tape (S&amp;P)'!R3694,
    IF(purpose="Purchase",1.00,
        IF(purpose="Remortgage",1.00,
            1.20)))</f>
        <v/>
      </c>
      <c r="L3694">
        <f>LET(
    arrears_months,'Loan Tape (S&amp;P)'!AN3694,
    IF(arrears_months=0,1.00,
    IF(arrears_months=1,3.00,
    IF(arrears_months=2,5.00,
    IF(arrears_months=3,8.00,
    IF(arrears_months=4,10.00,
    IF(arrears_months=5,12.00,15.00)))))))</f>
        <v/>
      </c>
      <c r="M3694">
        <f>LET(
    seasoning_years,DATEDIF('Loan Tape (S&amp;P)'!K3694,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94">
        <f>IF(AND('Loan Tape (S&amp;P)'!U3694="Yes",
        'Loan Tape (S&amp;P)'!T3694&lt;&gt;"Yes",
        DATEDIF('Loan Tape (S&amp;P)'!K3694, TODAY(), "M")&lt;18),
    1.10,
    1.00)</f>
        <v/>
      </c>
      <c r="O3694">
        <f>IF('Loan Tape (S&amp;P)'!T3694="Yes",
    1.35,
    1.00)</f>
        <v/>
      </c>
      <c r="P3694">
        <f>IF('Loan Tape (S&amp;P)'!S3694="Yes",
    1.15,
    1.00)</f>
        <v/>
      </c>
      <c r="Q3694">
        <f>IF('Loan Tape (S&amp;P)'!V3694="Yes",
    1.20,
    1.00)</f>
        <v/>
      </c>
      <c r="T3694">
        <f>LET(
    payment_method,'Loan Tape (S&amp;P)'!P3694,
    occupancy,'Loan Tape (S&amp;P)'!N3694,
    maturity_date,'Loan Tape (S&amp;P)'!L3694,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95">
      <c r="J3695">
        <f>LET(
    lien,'Loan Tape (S&amp;P)'!Q3695,
    IF(lien="First",1.00,
        IF(lien="Second",1.50,
            1.70)))</f>
        <v/>
      </c>
      <c r="K3695">
        <f>LET(
    purpose,'Loan Tape (S&amp;P)'!R3695,
    IF(purpose="Purchase",1.00,
        IF(purpose="Remortgage",1.00,
            1.20)))</f>
        <v/>
      </c>
      <c r="L3695">
        <f>LET(
    arrears_months,'Loan Tape (S&amp;P)'!AN3695,
    IF(arrears_months=0,1.00,
    IF(arrears_months=1,3.00,
    IF(arrears_months=2,5.00,
    IF(arrears_months=3,8.00,
    IF(arrears_months=4,10.00,
    IF(arrears_months=5,12.00,15.00)))))))</f>
        <v/>
      </c>
      <c r="M3695">
        <f>LET(
    seasoning_years,DATEDIF('Loan Tape (S&amp;P)'!K3695,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95">
        <f>IF(AND('Loan Tape (S&amp;P)'!U3695="Yes",
        'Loan Tape (S&amp;P)'!T3695&lt;&gt;"Yes",
        DATEDIF('Loan Tape (S&amp;P)'!K3695, TODAY(), "M")&lt;18),
    1.10,
    1.00)</f>
        <v/>
      </c>
      <c r="O3695">
        <f>IF('Loan Tape (S&amp;P)'!T3695="Yes",
    1.35,
    1.00)</f>
        <v/>
      </c>
      <c r="P3695">
        <f>IF('Loan Tape (S&amp;P)'!S3695="Yes",
    1.15,
    1.00)</f>
        <v/>
      </c>
      <c r="Q3695">
        <f>IF('Loan Tape (S&amp;P)'!V3695="Yes",
    1.20,
    1.00)</f>
        <v/>
      </c>
      <c r="T3695">
        <f>LET(
    payment_method,'Loan Tape (S&amp;P)'!P3695,
    occupancy,'Loan Tape (S&amp;P)'!N3695,
    maturity_date,'Loan Tape (S&amp;P)'!L3695,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96">
      <c r="J3696">
        <f>LET(
    lien,'Loan Tape (S&amp;P)'!Q3696,
    IF(lien="First",1.00,
        IF(lien="Second",1.50,
            1.70)))</f>
        <v/>
      </c>
      <c r="K3696">
        <f>LET(
    purpose,'Loan Tape (S&amp;P)'!R3696,
    IF(purpose="Purchase",1.00,
        IF(purpose="Remortgage",1.00,
            1.20)))</f>
        <v/>
      </c>
      <c r="L3696">
        <f>LET(
    arrears_months,'Loan Tape (S&amp;P)'!AN3696,
    IF(arrears_months=0,1.00,
    IF(arrears_months=1,3.00,
    IF(arrears_months=2,5.00,
    IF(arrears_months=3,8.00,
    IF(arrears_months=4,10.00,
    IF(arrears_months=5,12.00,15.00)))))))</f>
        <v/>
      </c>
      <c r="M3696">
        <f>LET(
    seasoning_years,DATEDIF('Loan Tape (S&amp;P)'!K3696,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96">
        <f>IF(AND('Loan Tape (S&amp;P)'!U3696="Yes",
        'Loan Tape (S&amp;P)'!T3696&lt;&gt;"Yes",
        DATEDIF('Loan Tape (S&amp;P)'!K3696, TODAY(), "M")&lt;18),
    1.10,
    1.00)</f>
        <v/>
      </c>
      <c r="O3696">
        <f>IF('Loan Tape (S&amp;P)'!T3696="Yes",
    1.35,
    1.00)</f>
        <v/>
      </c>
      <c r="P3696">
        <f>IF('Loan Tape (S&amp;P)'!S3696="Yes",
    1.15,
    1.00)</f>
        <v/>
      </c>
      <c r="Q3696">
        <f>IF('Loan Tape (S&amp;P)'!V3696="Yes",
    1.20,
    1.00)</f>
        <v/>
      </c>
      <c r="T3696">
        <f>LET(
    payment_method,'Loan Tape (S&amp;P)'!P3696,
    occupancy,'Loan Tape (S&amp;P)'!N3696,
    maturity_date,'Loan Tape (S&amp;P)'!L3696,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97">
      <c r="J3697">
        <f>LET(
    lien,'Loan Tape (S&amp;P)'!Q3697,
    IF(lien="First",1.00,
        IF(lien="Second",1.50,
            1.70)))</f>
        <v/>
      </c>
      <c r="K3697">
        <f>LET(
    purpose,'Loan Tape (S&amp;P)'!R3697,
    IF(purpose="Purchase",1.00,
        IF(purpose="Remortgage",1.00,
            1.20)))</f>
        <v/>
      </c>
      <c r="L3697">
        <f>LET(
    arrears_months,'Loan Tape (S&amp;P)'!AN3697,
    IF(arrears_months=0,1.00,
    IF(arrears_months=1,3.00,
    IF(arrears_months=2,5.00,
    IF(arrears_months=3,8.00,
    IF(arrears_months=4,10.00,
    IF(arrears_months=5,12.00,15.00)))))))</f>
        <v/>
      </c>
      <c r="M3697">
        <f>LET(
    seasoning_years,DATEDIF('Loan Tape (S&amp;P)'!K3697,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97">
        <f>IF(AND('Loan Tape (S&amp;P)'!U3697="Yes",
        'Loan Tape (S&amp;P)'!T3697&lt;&gt;"Yes",
        DATEDIF('Loan Tape (S&amp;P)'!K3697, TODAY(), "M")&lt;18),
    1.10,
    1.00)</f>
        <v/>
      </c>
      <c r="O3697">
        <f>IF('Loan Tape (S&amp;P)'!T3697="Yes",
    1.35,
    1.00)</f>
        <v/>
      </c>
      <c r="P3697">
        <f>IF('Loan Tape (S&amp;P)'!S3697="Yes",
    1.15,
    1.00)</f>
        <v/>
      </c>
      <c r="Q3697">
        <f>IF('Loan Tape (S&amp;P)'!V3697="Yes",
    1.20,
    1.00)</f>
        <v/>
      </c>
      <c r="T3697">
        <f>LET(
    payment_method,'Loan Tape (S&amp;P)'!P3697,
    occupancy,'Loan Tape (S&amp;P)'!N3697,
    maturity_date,'Loan Tape (S&amp;P)'!L3697,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98">
      <c r="J3698">
        <f>LET(
    lien,'Loan Tape (S&amp;P)'!Q3698,
    IF(lien="First",1.00,
        IF(lien="Second",1.50,
            1.70)))</f>
        <v/>
      </c>
      <c r="K3698">
        <f>LET(
    purpose,'Loan Tape (S&amp;P)'!R3698,
    IF(purpose="Purchase",1.00,
        IF(purpose="Remortgage",1.00,
            1.20)))</f>
        <v/>
      </c>
      <c r="L3698">
        <f>LET(
    arrears_months,'Loan Tape (S&amp;P)'!AN3698,
    IF(arrears_months=0,1.00,
    IF(arrears_months=1,3.00,
    IF(arrears_months=2,5.00,
    IF(arrears_months=3,8.00,
    IF(arrears_months=4,10.00,
    IF(arrears_months=5,12.00,15.00)))))))</f>
        <v/>
      </c>
      <c r="M3698">
        <f>LET(
    seasoning_years,DATEDIF('Loan Tape (S&amp;P)'!K3698,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98">
        <f>IF(AND('Loan Tape (S&amp;P)'!U3698="Yes",
        'Loan Tape (S&amp;P)'!T3698&lt;&gt;"Yes",
        DATEDIF('Loan Tape (S&amp;P)'!K3698, TODAY(), "M")&lt;18),
    1.10,
    1.00)</f>
        <v/>
      </c>
      <c r="O3698">
        <f>IF('Loan Tape (S&amp;P)'!T3698="Yes",
    1.35,
    1.00)</f>
        <v/>
      </c>
      <c r="P3698">
        <f>IF('Loan Tape (S&amp;P)'!S3698="Yes",
    1.15,
    1.00)</f>
        <v/>
      </c>
      <c r="Q3698">
        <f>IF('Loan Tape (S&amp;P)'!V3698="Yes",
    1.20,
    1.00)</f>
        <v/>
      </c>
      <c r="T3698">
        <f>LET(
    payment_method,'Loan Tape (S&amp;P)'!P3698,
    occupancy,'Loan Tape (S&amp;P)'!N3698,
    maturity_date,'Loan Tape (S&amp;P)'!L3698,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699">
      <c r="J3699">
        <f>LET(
    lien,'Loan Tape (S&amp;P)'!Q3699,
    IF(lien="First",1.00,
        IF(lien="Second",1.50,
            1.70)))</f>
        <v/>
      </c>
      <c r="K3699">
        <f>LET(
    purpose,'Loan Tape (S&amp;P)'!R3699,
    IF(purpose="Purchase",1.00,
        IF(purpose="Remortgage",1.00,
            1.20)))</f>
        <v/>
      </c>
      <c r="L3699">
        <f>LET(
    arrears_months,'Loan Tape (S&amp;P)'!AN3699,
    IF(arrears_months=0,1.00,
    IF(arrears_months=1,3.00,
    IF(arrears_months=2,5.00,
    IF(arrears_months=3,8.00,
    IF(arrears_months=4,10.00,
    IF(arrears_months=5,12.00,15.00)))))))</f>
        <v/>
      </c>
      <c r="M3699">
        <f>LET(
    seasoning_years,DATEDIF('Loan Tape (S&amp;P)'!K3699,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699">
        <f>IF(AND('Loan Tape (S&amp;P)'!U3699="Yes",
        'Loan Tape (S&amp;P)'!T3699&lt;&gt;"Yes",
        DATEDIF('Loan Tape (S&amp;P)'!K3699, TODAY(), "M")&lt;18),
    1.10,
    1.00)</f>
        <v/>
      </c>
      <c r="O3699">
        <f>IF('Loan Tape (S&amp;P)'!T3699="Yes",
    1.35,
    1.00)</f>
        <v/>
      </c>
      <c r="P3699">
        <f>IF('Loan Tape (S&amp;P)'!S3699="Yes",
    1.15,
    1.00)</f>
        <v/>
      </c>
      <c r="Q3699">
        <f>IF('Loan Tape (S&amp;P)'!V3699="Yes",
    1.20,
    1.00)</f>
        <v/>
      </c>
      <c r="T3699">
        <f>LET(
    payment_method,'Loan Tape (S&amp;P)'!P3699,
    occupancy,'Loan Tape (S&amp;P)'!N3699,
    maturity_date,'Loan Tape (S&amp;P)'!L3699,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00">
      <c r="J3700">
        <f>LET(
    lien,'Loan Tape (S&amp;P)'!Q3700,
    IF(lien="First",1.00,
        IF(lien="Second",1.50,
            1.70)))</f>
        <v/>
      </c>
      <c r="K3700">
        <f>LET(
    purpose,'Loan Tape (S&amp;P)'!R3700,
    IF(purpose="Purchase",1.00,
        IF(purpose="Remortgage",1.00,
            1.20)))</f>
        <v/>
      </c>
      <c r="L3700">
        <f>LET(
    arrears_months,'Loan Tape (S&amp;P)'!AN3700,
    IF(arrears_months=0,1.00,
    IF(arrears_months=1,3.00,
    IF(arrears_months=2,5.00,
    IF(arrears_months=3,8.00,
    IF(arrears_months=4,10.00,
    IF(arrears_months=5,12.00,15.00)))))))</f>
        <v/>
      </c>
      <c r="M3700">
        <f>LET(
    seasoning_years,DATEDIF('Loan Tape (S&amp;P)'!K3700,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00">
        <f>IF(AND('Loan Tape (S&amp;P)'!U3700="Yes",
        'Loan Tape (S&amp;P)'!T3700&lt;&gt;"Yes",
        DATEDIF('Loan Tape (S&amp;P)'!K3700, TODAY(), "M")&lt;18),
    1.10,
    1.00)</f>
        <v/>
      </c>
      <c r="O3700">
        <f>IF('Loan Tape (S&amp;P)'!T3700="Yes",
    1.35,
    1.00)</f>
        <v/>
      </c>
      <c r="P3700">
        <f>IF('Loan Tape (S&amp;P)'!S3700="Yes",
    1.15,
    1.00)</f>
        <v/>
      </c>
      <c r="Q3700">
        <f>IF('Loan Tape (S&amp;P)'!V3700="Yes",
    1.20,
    1.00)</f>
        <v/>
      </c>
      <c r="T3700">
        <f>LET(
    payment_method,'Loan Tape (S&amp;P)'!P3700,
    occupancy,'Loan Tape (S&amp;P)'!N3700,
    maturity_date,'Loan Tape (S&amp;P)'!L3700,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01">
      <c r="J3701">
        <f>LET(
    lien,'Loan Tape (S&amp;P)'!Q3701,
    IF(lien="First",1.00,
        IF(lien="Second",1.50,
            1.70)))</f>
        <v/>
      </c>
      <c r="K3701">
        <f>LET(
    purpose,'Loan Tape (S&amp;P)'!R3701,
    IF(purpose="Purchase",1.00,
        IF(purpose="Remortgage",1.00,
            1.20)))</f>
        <v/>
      </c>
      <c r="L3701">
        <f>LET(
    arrears_months,'Loan Tape (S&amp;P)'!AN3701,
    IF(arrears_months=0,1.00,
    IF(arrears_months=1,3.00,
    IF(arrears_months=2,5.00,
    IF(arrears_months=3,8.00,
    IF(arrears_months=4,10.00,
    IF(arrears_months=5,12.00,15.00)))))))</f>
        <v/>
      </c>
      <c r="M3701">
        <f>LET(
    seasoning_years,DATEDIF('Loan Tape (S&amp;P)'!K3701,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01">
        <f>IF(AND('Loan Tape (S&amp;P)'!U3701="Yes",
        'Loan Tape (S&amp;P)'!T3701&lt;&gt;"Yes",
        DATEDIF('Loan Tape (S&amp;P)'!K3701, TODAY(), "M")&lt;18),
    1.10,
    1.00)</f>
        <v/>
      </c>
      <c r="O3701">
        <f>IF('Loan Tape (S&amp;P)'!T3701="Yes",
    1.35,
    1.00)</f>
        <v/>
      </c>
      <c r="P3701">
        <f>IF('Loan Tape (S&amp;P)'!S3701="Yes",
    1.15,
    1.00)</f>
        <v/>
      </c>
      <c r="Q3701">
        <f>IF('Loan Tape (S&amp;P)'!V3701="Yes",
    1.20,
    1.00)</f>
        <v/>
      </c>
      <c r="T3701">
        <f>LET(
    payment_method,'Loan Tape (S&amp;P)'!P3701,
    occupancy,'Loan Tape (S&amp;P)'!N3701,
    maturity_date,'Loan Tape (S&amp;P)'!L3701,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02">
      <c r="J3702">
        <f>LET(
    lien,'Loan Tape (S&amp;P)'!Q3702,
    IF(lien="First",1.00,
        IF(lien="Second",1.50,
            1.70)))</f>
        <v/>
      </c>
      <c r="K3702">
        <f>LET(
    purpose,'Loan Tape (S&amp;P)'!R3702,
    IF(purpose="Purchase",1.00,
        IF(purpose="Remortgage",1.00,
            1.20)))</f>
        <v/>
      </c>
      <c r="L3702">
        <f>LET(
    arrears_months,'Loan Tape (S&amp;P)'!AN3702,
    IF(arrears_months=0,1.00,
    IF(arrears_months=1,3.00,
    IF(arrears_months=2,5.00,
    IF(arrears_months=3,8.00,
    IF(arrears_months=4,10.00,
    IF(arrears_months=5,12.00,15.00)))))))</f>
        <v/>
      </c>
      <c r="M3702">
        <f>LET(
    seasoning_years,DATEDIF('Loan Tape (S&amp;P)'!K3702,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02">
        <f>IF(AND('Loan Tape (S&amp;P)'!U3702="Yes",
        'Loan Tape (S&amp;P)'!T3702&lt;&gt;"Yes",
        DATEDIF('Loan Tape (S&amp;P)'!K3702, TODAY(), "M")&lt;18),
    1.10,
    1.00)</f>
        <v/>
      </c>
      <c r="O3702">
        <f>IF('Loan Tape (S&amp;P)'!T3702="Yes",
    1.35,
    1.00)</f>
        <v/>
      </c>
      <c r="P3702">
        <f>IF('Loan Tape (S&amp;P)'!S3702="Yes",
    1.15,
    1.00)</f>
        <v/>
      </c>
      <c r="Q3702">
        <f>IF('Loan Tape (S&amp;P)'!V3702="Yes",
    1.20,
    1.00)</f>
        <v/>
      </c>
      <c r="T3702">
        <f>LET(
    payment_method,'Loan Tape (S&amp;P)'!P3702,
    occupancy,'Loan Tape (S&amp;P)'!N3702,
    maturity_date,'Loan Tape (S&amp;P)'!L3702,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03">
      <c r="J3703">
        <f>LET(
    lien,'Loan Tape (S&amp;P)'!Q3703,
    IF(lien="First",1.00,
        IF(lien="Second",1.50,
            1.70)))</f>
        <v/>
      </c>
      <c r="K3703">
        <f>LET(
    purpose,'Loan Tape (S&amp;P)'!R3703,
    IF(purpose="Purchase",1.00,
        IF(purpose="Remortgage",1.00,
            1.20)))</f>
        <v/>
      </c>
      <c r="L3703">
        <f>LET(
    arrears_months,'Loan Tape (S&amp;P)'!AN3703,
    IF(arrears_months=0,1.00,
    IF(arrears_months=1,3.00,
    IF(arrears_months=2,5.00,
    IF(arrears_months=3,8.00,
    IF(arrears_months=4,10.00,
    IF(arrears_months=5,12.00,15.00)))))))</f>
        <v/>
      </c>
      <c r="M3703">
        <f>LET(
    seasoning_years,DATEDIF('Loan Tape (S&amp;P)'!K3703,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03">
        <f>IF(AND('Loan Tape (S&amp;P)'!U3703="Yes",
        'Loan Tape (S&amp;P)'!T3703&lt;&gt;"Yes",
        DATEDIF('Loan Tape (S&amp;P)'!K3703, TODAY(), "M")&lt;18),
    1.10,
    1.00)</f>
        <v/>
      </c>
      <c r="O3703">
        <f>IF('Loan Tape (S&amp;P)'!T3703="Yes",
    1.35,
    1.00)</f>
        <v/>
      </c>
      <c r="P3703">
        <f>IF('Loan Tape (S&amp;P)'!S3703="Yes",
    1.15,
    1.00)</f>
        <v/>
      </c>
      <c r="Q3703">
        <f>IF('Loan Tape (S&amp;P)'!V3703="Yes",
    1.20,
    1.00)</f>
        <v/>
      </c>
      <c r="T3703">
        <f>LET(
    payment_method,'Loan Tape (S&amp;P)'!P3703,
    occupancy,'Loan Tape (S&amp;P)'!N3703,
    maturity_date,'Loan Tape (S&amp;P)'!L3703,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04">
      <c r="J3704">
        <f>LET(
    lien,'Loan Tape (S&amp;P)'!Q3704,
    IF(lien="First",1.00,
        IF(lien="Second",1.50,
            1.70)))</f>
        <v/>
      </c>
      <c r="K3704">
        <f>LET(
    purpose,'Loan Tape (S&amp;P)'!R3704,
    IF(purpose="Purchase",1.00,
        IF(purpose="Remortgage",1.00,
            1.20)))</f>
        <v/>
      </c>
      <c r="L3704">
        <f>LET(
    arrears_months,'Loan Tape (S&amp;P)'!AN3704,
    IF(arrears_months=0,1.00,
    IF(arrears_months=1,3.00,
    IF(arrears_months=2,5.00,
    IF(arrears_months=3,8.00,
    IF(arrears_months=4,10.00,
    IF(arrears_months=5,12.00,15.00)))))))</f>
        <v/>
      </c>
      <c r="M3704">
        <f>LET(
    seasoning_years,DATEDIF('Loan Tape (S&amp;P)'!K3704,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04">
        <f>IF(AND('Loan Tape (S&amp;P)'!U3704="Yes",
        'Loan Tape (S&amp;P)'!T3704&lt;&gt;"Yes",
        DATEDIF('Loan Tape (S&amp;P)'!K3704, TODAY(), "M")&lt;18),
    1.10,
    1.00)</f>
        <v/>
      </c>
      <c r="O3704">
        <f>IF('Loan Tape (S&amp;P)'!T3704="Yes",
    1.35,
    1.00)</f>
        <v/>
      </c>
      <c r="P3704">
        <f>IF('Loan Tape (S&amp;P)'!S3704="Yes",
    1.15,
    1.00)</f>
        <v/>
      </c>
      <c r="Q3704">
        <f>IF('Loan Tape (S&amp;P)'!V3704="Yes",
    1.20,
    1.00)</f>
        <v/>
      </c>
      <c r="T3704">
        <f>LET(
    payment_method,'Loan Tape (S&amp;P)'!P3704,
    occupancy,'Loan Tape (S&amp;P)'!N3704,
    maturity_date,'Loan Tape (S&amp;P)'!L3704,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05">
      <c r="J3705">
        <f>LET(
    lien,'Loan Tape (S&amp;P)'!Q3705,
    IF(lien="First",1.00,
        IF(lien="Second",1.50,
            1.70)))</f>
        <v/>
      </c>
      <c r="K3705">
        <f>LET(
    purpose,'Loan Tape (S&amp;P)'!R3705,
    IF(purpose="Purchase",1.00,
        IF(purpose="Remortgage",1.00,
            1.20)))</f>
        <v/>
      </c>
      <c r="L3705">
        <f>LET(
    arrears_months,'Loan Tape (S&amp;P)'!AN3705,
    IF(arrears_months=0,1.00,
    IF(arrears_months=1,3.00,
    IF(arrears_months=2,5.00,
    IF(arrears_months=3,8.00,
    IF(arrears_months=4,10.00,
    IF(arrears_months=5,12.00,15.00)))))))</f>
        <v/>
      </c>
      <c r="M3705">
        <f>LET(
    seasoning_years,DATEDIF('Loan Tape (S&amp;P)'!K3705,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05">
        <f>IF(AND('Loan Tape (S&amp;P)'!U3705="Yes",
        'Loan Tape (S&amp;P)'!T3705&lt;&gt;"Yes",
        DATEDIF('Loan Tape (S&amp;P)'!K3705, TODAY(), "M")&lt;18),
    1.10,
    1.00)</f>
        <v/>
      </c>
      <c r="O3705">
        <f>IF('Loan Tape (S&amp;P)'!T3705="Yes",
    1.35,
    1.00)</f>
        <v/>
      </c>
      <c r="P3705">
        <f>IF('Loan Tape (S&amp;P)'!S3705="Yes",
    1.15,
    1.00)</f>
        <v/>
      </c>
      <c r="Q3705">
        <f>IF('Loan Tape (S&amp;P)'!V3705="Yes",
    1.20,
    1.00)</f>
        <v/>
      </c>
      <c r="T3705">
        <f>LET(
    payment_method,'Loan Tape (S&amp;P)'!P3705,
    occupancy,'Loan Tape (S&amp;P)'!N3705,
    maturity_date,'Loan Tape (S&amp;P)'!L3705,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06">
      <c r="J3706">
        <f>LET(
    lien,'Loan Tape (S&amp;P)'!Q3706,
    IF(lien="First",1.00,
        IF(lien="Second",1.50,
            1.70)))</f>
        <v/>
      </c>
      <c r="K3706">
        <f>LET(
    purpose,'Loan Tape (S&amp;P)'!R3706,
    IF(purpose="Purchase",1.00,
        IF(purpose="Remortgage",1.00,
            1.20)))</f>
        <v/>
      </c>
      <c r="L3706">
        <f>LET(
    arrears_months,'Loan Tape (S&amp;P)'!AN3706,
    IF(arrears_months=0,1.00,
    IF(arrears_months=1,3.00,
    IF(arrears_months=2,5.00,
    IF(arrears_months=3,8.00,
    IF(arrears_months=4,10.00,
    IF(arrears_months=5,12.00,15.00)))))))</f>
        <v/>
      </c>
      <c r="M3706">
        <f>LET(
    seasoning_years,DATEDIF('Loan Tape (S&amp;P)'!K3706,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06">
        <f>IF(AND('Loan Tape (S&amp;P)'!U3706="Yes",
        'Loan Tape (S&amp;P)'!T3706&lt;&gt;"Yes",
        DATEDIF('Loan Tape (S&amp;P)'!K3706, TODAY(), "M")&lt;18),
    1.10,
    1.00)</f>
        <v/>
      </c>
      <c r="O3706">
        <f>IF('Loan Tape (S&amp;P)'!T3706="Yes",
    1.35,
    1.00)</f>
        <v/>
      </c>
      <c r="P3706">
        <f>IF('Loan Tape (S&amp;P)'!S3706="Yes",
    1.15,
    1.00)</f>
        <v/>
      </c>
      <c r="Q3706">
        <f>IF('Loan Tape (S&amp;P)'!V3706="Yes",
    1.20,
    1.00)</f>
        <v/>
      </c>
      <c r="T3706">
        <f>LET(
    payment_method,'Loan Tape (S&amp;P)'!P3706,
    occupancy,'Loan Tape (S&amp;P)'!N3706,
    maturity_date,'Loan Tape (S&amp;P)'!L3706,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07">
      <c r="J3707">
        <f>LET(
    lien,'Loan Tape (S&amp;P)'!Q3707,
    IF(lien="First",1.00,
        IF(lien="Second",1.50,
            1.70)))</f>
        <v/>
      </c>
      <c r="K3707">
        <f>LET(
    purpose,'Loan Tape (S&amp;P)'!R3707,
    IF(purpose="Purchase",1.00,
        IF(purpose="Remortgage",1.00,
            1.20)))</f>
        <v/>
      </c>
      <c r="L3707">
        <f>LET(
    arrears_months,'Loan Tape (S&amp;P)'!AN3707,
    IF(arrears_months=0,1.00,
    IF(arrears_months=1,3.00,
    IF(arrears_months=2,5.00,
    IF(arrears_months=3,8.00,
    IF(arrears_months=4,10.00,
    IF(arrears_months=5,12.00,15.00)))))))</f>
        <v/>
      </c>
      <c r="M3707">
        <f>LET(
    seasoning_years,DATEDIF('Loan Tape (S&amp;P)'!K3707,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07">
        <f>IF(AND('Loan Tape (S&amp;P)'!U3707="Yes",
        'Loan Tape (S&amp;P)'!T3707&lt;&gt;"Yes",
        DATEDIF('Loan Tape (S&amp;P)'!K3707, TODAY(), "M")&lt;18),
    1.10,
    1.00)</f>
        <v/>
      </c>
      <c r="O3707">
        <f>IF('Loan Tape (S&amp;P)'!T3707="Yes",
    1.35,
    1.00)</f>
        <v/>
      </c>
      <c r="P3707">
        <f>IF('Loan Tape (S&amp;P)'!S3707="Yes",
    1.15,
    1.00)</f>
        <v/>
      </c>
      <c r="Q3707">
        <f>IF('Loan Tape (S&amp;P)'!V3707="Yes",
    1.20,
    1.00)</f>
        <v/>
      </c>
      <c r="T3707">
        <f>LET(
    payment_method,'Loan Tape (S&amp;P)'!P3707,
    occupancy,'Loan Tape (S&amp;P)'!N3707,
    maturity_date,'Loan Tape (S&amp;P)'!L3707,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08">
      <c r="J3708">
        <f>LET(
    lien,'Loan Tape (S&amp;P)'!Q3708,
    IF(lien="First",1.00,
        IF(lien="Second",1.50,
            1.70)))</f>
        <v/>
      </c>
      <c r="K3708">
        <f>LET(
    purpose,'Loan Tape (S&amp;P)'!R3708,
    IF(purpose="Purchase",1.00,
        IF(purpose="Remortgage",1.00,
            1.20)))</f>
        <v/>
      </c>
      <c r="L3708">
        <f>LET(
    arrears_months,'Loan Tape (S&amp;P)'!AN3708,
    IF(arrears_months=0,1.00,
    IF(arrears_months=1,3.00,
    IF(arrears_months=2,5.00,
    IF(arrears_months=3,8.00,
    IF(arrears_months=4,10.00,
    IF(arrears_months=5,12.00,15.00)))))))</f>
        <v/>
      </c>
      <c r="M3708">
        <f>LET(
    seasoning_years,DATEDIF('Loan Tape (S&amp;P)'!K3708,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08">
        <f>IF(AND('Loan Tape (S&amp;P)'!U3708="Yes",
        'Loan Tape (S&amp;P)'!T3708&lt;&gt;"Yes",
        DATEDIF('Loan Tape (S&amp;P)'!K3708, TODAY(), "M")&lt;18),
    1.10,
    1.00)</f>
        <v/>
      </c>
      <c r="O3708">
        <f>IF('Loan Tape (S&amp;P)'!T3708="Yes",
    1.35,
    1.00)</f>
        <v/>
      </c>
      <c r="P3708">
        <f>IF('Loan Tape (S&amp;P)'!S3708="Yes",
    1.15,
    1.00)</f>
        <v/>
      </c>
      <c r="Q3708">
        <f>IF('Loan Tape (S&amp;P)'!V3708="Yes",
    1.20,
    1.00)</f>
        <v/>
      </c>
      <c r="T3708">
        <f>LET(
    payment_method,'Loan Tape (S&amp;P)'!P3708,
    occupancy,'Loan Tape (S&amp;P)'!N3708,
    maturity_date,'Loan Tape (S&amp;P)'!L3708,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09">
      <c r="J3709">
        <f>LET(
    lien,'Loan Tape (S&amp;P)'!Q3709,
    IF(lien="First",1.00,
        IF(lien="Second",1.50,
            1.70)))</f>
        <v/>
      </c>
      <c r="K3709">
        <f>LET(
    purpose,'Loan Tape (S&amp;P)'!R3709,
    IF(purpose="Purchase",1.00,
        IF(purpose="Remortgage",1.00,
            1.20)))</f>
        <v/>
      </c>
      <c r="L3709">
        <f>LET(
    arrears_months,'Loan Tape (S&amp;P)'!AN3709,
    IF(arrears_months=0,1.00,
    IF(arrears_months=1,3.00,
    IF(arrears_months=2,5.00,
    IF(arrears_months=3,8.00,
    IF(arrears_months=4,10.00,
    IF(arrears_months=5,12.00,15.00)))))))</f>
        <v/>
      </c>
      <c r="M3709">
        <f>LET(
    seasoning_years,DATEDIF('Loan Tape (S&amp;P)'!K3709,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09">
        <f>IF(AND('Loan Tape (S&amp;P)'!U3709="Yes",
        'Loan Tape (S&amp;P)'!T3709&lt;&gt;"Yes",
        DATEDIF('Loan Tape (S&amp;P)'!K3709, TODAY(), "M")&lt;18),
    1.10,
    1.00)</f>
        <v/>
      </c>
      <c r="O3709">
        <f>IF('Loan Tape (S&amp;P)'!T3709="Yes",
    1.35,
    1.00)</f>
        <v/>
      </c>
      <c r="P3709">
        <f>IF('Loan Tape (S&amp;P)'!S3709="Yes",
    1.15,
    1.00)</f>
        <v/>
      </c>
      <c r="Q3709">
        <f>IF('Loan Tape (S&amp;P)'!V3709="Yes",
    1.20,
    1.00)</f>
        <v/>
      </c>
      <c r="T3709">
        <f>LET(
    payment_method,'Loan Tape (S&amp;P)'!P3709,
    occupancy,'Loan Tape (S&amp;P)'!N3709,
    maturity_date,'Loan Tape (S&amp;P)'!L3709,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10">
      <c r="J3710">
        <f>LET(
    lien,'Loan Tape (S&amp;P)'!Q3710,
    IF(lien="First",1.00,
        IF(lien="Second",1.50,
            1.70)))</f>
        <v/>
      </c>
      <c r="K3710">
        <f>LET(
    purpose,'Loan Tape (S&amp;P)'!R3710,
    IF(purpose="Purchase",1.00,
        IF(purpose="Remortgage",1.00,
            1.20)))</f>
        <v/>
      </c>
      <c r="L3710">
        <f>LET(
    arrears_months,'Loan Tape (S&amp;P)'!AN3710,
    IF(arrears_months=0,1.00,
    IF(arrears_months=1,3.00,
    IF(arrears_months=2,5.00,
    IF(arrears_months=3,8.00,
    IF(arrears_months=4,10.00,
    IF(arrears_months=5,12.00,15.00)))))))</f>
        <v/>
      </c>
      <c r="M3710">
        <f>LET(
    seasoning_years,DATEDIF('Loan Tape (S&amp;P)'!K3710,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10">
        <f>IF(AND('Loan Tape (S&amp;P)'!U3710="Yes",
        'Loan Tape (S&amp;P)'!T3710&lt;&gt;"Yes",
        DATEDIF('Loan Tape (S&amp;P)'!K3710, TODAY(), "M")&lt;18),
    1.10,
    1.00)</f>
        <v/>
      </c>
      <c r="O3710">
        <f>IF('Loan Tape (S&amp;P)'!T3710="Yes",
    1.35,
    1.00)</f>
        <v/>
      </c>
      <c r="P3710">
        <f>IF('Loan Tape (S&amp;P)'!S3710="Yes",
    1.15,
    1.00)</f>
        <v/>
      </c>
      <c r="Q3710">
        <f>IF('Loan Tape (S&amp;P)'!V3710="Yes",
    1.20,
    1.00)</f>
        <v/>
      </c>
      <c r="T3710">
        <f>LET(
    payment_method,'Loan Tape (S&amp;P)'!P3710,
    occupancy,'Loan Tape (S&amp;P)'!N3710,
    maturity_date,'Loan Tape (S&amp;P)'!L3710,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11">
      <c r="J3711">
        <f>LET(
    lien,'Loan Tape (S&amp;P)'!Q3711,
    IF(lien="First",1.00,
        IF(lien="Second",1.50,
            1.70)))</f>
        <v/>
      </c>
      <c r="K3711">
        <f>LET(
    purpose,'Loan Tape (S&amp;P)'!R3711,
    IF(purpose="Purchase",1.00,
        IF(purpose="Remortgage",1.00,
            1.20)))</f>
        <v/>
      </c>
      <c r="L3711">
        <f>LET(
    arrears_months,'Loan Tape (S&amp;P)'!AN3711,
    IF(arrears_months=0,1.00,
    IF(arrears_months=1,3.00,
    IF(arrears_months=2,5.00,
    IF(arrears_months=3,8.00,
    IF(arrears_months=4,10.00,
    IF(arrears_months=5,12.00,15.00)))))))</f>
        <v/>
      </c>
      <c r="M3711">
        <f>LET(
    seasoning_years,DATEDIF('Loan Tape (S&amp;P)'!K3711,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11">
        <f>IF(AND('Loan Tape (S&amp;P)'!U3711="Yes",
        'Loan Tape (S&amp;P)'!T3711&lt;&gt;"Yes",
        DATEDIF('Loan Tape (S&amp;P)'!K3711, TODAY(), "M")&lt;18),
    1.10,
    1.00)</f>
        <v/>
      </c>
      <c r="O3711">
        <f>IF('Loan Tape (S&amp;P)'!T3711="Yes",
    1.35,
    1.00)</f>
        <v/>
      </c>
      <c r="P3711">
        <f>IF('Loan Tape (S&amp;P)'!S3711="Yes",
    1.15,
    1.00)</f>
        <v/>
      </c>
      <c r="Q3711">
        <f>IF('Loan Tape (S&amp;P)'!V3711="Yes",
    1.20,
    1.00)</f>
        <v/>
      </c>
      <c r="T3711">
        <f>LET(
    payment_method,'Loan Tape (S&amp;P)'!P3711,
    occupancy,'Loan Tape (S&amp;P)'!N3711,
    maturity_date,'Loan Tape (S&amp;P)'!L3711,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12">
      <c r="J3712">
        <f>LET(
    lien,'Loan Tape (S&amp;P)'!Q3712,
    IF(lien="First",1.00,
        IF(lien="Second",1.50,
            1.70)))</f>
        <v/>
      </c>
      <c r="K3712">
        <f>LET(
    purpose,'Loan Tape (S&amp;P)'!R3712,
    IF(purpose="Purchase",1.00,
        IF(purpose="Remortgage",1.00,
            1.20)))</f>
        <v/>
      </c>
      <c r="L3712">
        <f>LET(
    arrears_months,'Loan Tape (S&amp;P)'!AN3712,
    IF(arrears_months=0,1.00,
    IF(arrears_months=1,3.00,
    IF(arrears_months=2,5.00,
    IF(arrears_months=3,8.00,
    IF(arrears_months=4,10.00,
    IF(arrears_months=5,12.00,15.00)))))))</f>
        <v/>
      </c>
      <c r="M3712">
        <f>LET(
    seasoning_years,DATEDIF('Loan Tape (S&amp;P)'!K3712,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12">
        <f>IF(AND('Loan Tape (S&amp;P)'!U3712="Yes",
        'Loan Tape (S&amp;P)'!T3712&lt;&gt;"Yes",
        DATEDIF('Loan Tape (S&amp;P)'!K3712, TODAY(), "M")&lt;18),
    1.10,
    1.00)</f>
        <v/>
      </c>
      <c r="O3712">
        <f>IF('Loan Tape (S&amp;P)'!T3712="Yes",
    1.35,
    1.00)</f>
        <v/>
      </c>
      <c r="P3712">
        <f>IF('Loan Tape (S&amp;P)'!S3712="Yes",
    1.15,
    1.00)</f>
        <v/>
      </c>
      <c r="Q3712">
        <f>IF('Loan Tape (S&amp;P)'!V3712="Yes",
    1.20,
    1.00)</f>
        <v/>
      </c>
      <c r="T3712">
        <f>LET(
    payment_method,'Loan Tape (S&amp;P)'!P3712,
    occupancy,'Loan Tape (S&amp;P)'!N3712,
    maturity_date,'Loan Tape (S&amp;P)'!L3712,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13">
      <c r="J3713">
        <f>LET(
    lien,'Loan Tape (S&amp;P)'!Q3713,
    IF(lien="First",1.00,
        IF(lien="Second",1.50,
            1.70)))</f>
        <v/>
      </c>
      <c r="K3713">
        <f>LET(
    purpose,'Loan Tape (S&amp;P)'!R3713,
    IF(purpose="Purchase",1.00,
        IF(purpose="Remortgage",1.00,
            1.20)))</f>
        <v/>
      </c>
      <c r="L3713">
        <f>LET(
    arrears_months,'Loan Tape (S&amp;P)'!AN3713,
    IF(arrears_months=0,1.00,
    IF(arrears_months=1,3.00,
    IF(arrears_months=2,5.00,
    IF(arrears_months=3,8.00,
    IF(arrears_months=4,10.00,
    IF(arrears_months=5,12.00,15.00)))))))</f>
        <v/>
      </c>
      <c r="M3713">
        <f>LET(
    seasoning_years,DATEDIF('Loan Tape (S&amp;P)'!K3713,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13">
        <f>IF(AND('Loan Tape (S&amp;P)'!U3713="Yes",
        'Loan Tape (S&amp;P)'!T3713&lt;&gt;"Yes",
        DATEDIF('Loan Tape (S&amp;P)'!K3713, TODAY(), "M")&lt;18),
    1.10,
    1.00)</f>
        <v/>
      </c>
      <c r="O3713">
        <f>IF('Loan Tape (S&amp;P)'!T3713="Yes",
    1.35,
    1.00)</f>
        <v/>
      </c>
      <c r="P3713">
        <f>IF('Loan Tape (S&amp;P)'!S3713="Yes",
    1.15,
    1.00)</f>
        <v/>
      </c>
      <c r="Q3713">
        <f>IF('Loan Tape (S&amp;P)'!V3713="Yes",
    1.20,
    1.00)</f>
        <v/>
      </c>
      <c r="T3713">
        <f>LET(
    payment_method,'Loan Tape (S&amp;P)'!P3713,
    occupancy,'Loan Tape (S&amp;P)'!N3713,
    maturity_date,'Loan Tape (S&amp;P)'!L3713,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14">
      <c r="J3714">
        <f>LET(
    lien,'Loan Tape (S&amp;P)'!Q3714,
    IF(lien="First",1.00,
        IF(lien="Second",1.50,
            1.70)))</f>
        <v/>
      </c>
      <c r="K3714">
        <f>LET(
    purpose,'Loan Tape (S&amp;P)'!R3714,
    IF(purpose="Purchase",1.00,
        IF(purpose="Remortgage",1.00,
            1.20)))</f>
        <v/>
      </c>
      <c r="L3714">
        <f>LET(
    arrears_months,'Loan Tape (S&amp;P)'!AN3714,
    IF(arrears_months=0,1.00,
    IF(arrears_months=1,3.00,
    IF(arrears_months=2,5.00,
    IF(arrears_months=3,8.00,
    IF(arrears_months=4,10.00,
    IF(arrears_months=5,12.00,15.00)))))))</f>
        <v/>
      </c>
      <c r="M3714">
        <f>LET(
    seasoning_years,DATEDIF('Loan Tape (S&amp;P)'!K3714,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14">
        <f>IF(AND('Loan Tape (S&amp;P)'!U3714="Yes",
        'Loan Tape (S&amp;P)'!T3714&lt;&gt;"Yes",
        DATEDIF('Loan Tape (S&amp;P)'!K3714, TODAY(), "M")&lt;18),
    1.10,
    1.00)</f>
        <v/>
      </c>
      <c r="O3714">
        <f>IF('Loan Tape (S&amp;P)'!T3714="Yes",
    1.35,
    1.00)</f>
        <v/>
      </c>
      <c r="P3714">
        <f>IF('Loan Tape (S&amp;P)'!S3714="Yes",
    1.15,
    1.00)</f>
        <v/>
      </c>
      <c r="Q3714">
        <f>IF('Loan Tape (S&amp;P)'!V3714="Yes",
    1.20,
    1.00)</f>
        <v/>
      </c>
      <c r="T3714">
        <f>LET(
    payment_method,'Loan Tape (S&amp;P)'!P3714,
    occupancy,'Loan Tape (S&amp;P)'!N3714,
    maturity_date,'Loan Tape (S&amp;P)'!L3714,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15">
      <c r="J3715">
        <f>LET(
    lien,'Loan Tape (S&amp;P)'!Q3715,
    IF(lien="First",1.00,
        IF(lien="Second",1.50,
            1.70)))</f>
        <v/>
      </c>
      <c r="K3715">
        <f>LET(
    purpose,'Loan Tape (S&amp;P)'!R3715,
    IF(purpose="Purchase",1.00,
        IF(purpose="Remortgage",1.00,
            1.20)))</f>
        <v/>
      </c>
      <c r="L3715">
        <f>LET(
    arrears_months,'Loan Tape (S&amp;P)'!AN3715,
    IF(arrears_months=0,1.00,
    IF(arrears_months=1,3.00,
    IF(arrears_months=2,5.00,
    IF(arrears_months=3,8.00,
    IF(arrears_months=4,10.00,
    IF(arrears_months=5,12.00,15.00)))))))</f>
        <v/>
      </c>
      <c r="M3715">
        <f>LET(
    seasoning_years,DATEDIF('Loan Tape (S&amp;P)'!K3715,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15">
        <f>IF(AND('Loan Tape (S&amp;P)'!U3715="Yes",
        'Loan Tape (S&amp;P)'!T3715&lt;&gt;"Yes",
        DATEDIF('Loan Tape (S&amp;P)'!K3715, TODAY(), "M")&lt;18),
    1.10,
    1.00)</f>
        <v/>
      </c>
      <c r="O3715">
        <f>IF('Loan Tape (S&amp;P)'!T3715="Yes",
    1.35,
    1.00)</f>
        <v/>
      </c>
      <c r="P3715">
        <f>IF('Loan Tape (S&amp;P)'!S3715="Yes",
    1.15,
    1.00)</f>
        <v/>
      </c>
      <c r="Q3715">
        <f>IF('Loan Tape (S&amp;P)'!V3715="Yes",
    1.20,
    1.00)</f>
        <v/>
      </c>
      <c r="T3715">
        <f>LET(
    payment_method,'Loan Tape (S&amp;P)'!P3715,
    occupancy,'Loan Tape (S&amp;P)'!N3715,
    maturity_date,'Loan Tape (S&amp;P)'!L3715,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16">
      <c r="J3716">
        <f>LET(
    lien,'Loan Tape (S&amp;P)'!Q3716,
    IF(lien="First",1.00,
        IF(lien="Second",1.50,
            1.70)))</f>
        <v/>
      </c>
      <c r="K3716">
        <f>LET(
    purpose,'Loan Tape (S&amp;P)'!R3716,
    IF(purpose="Purchase",1.00,
        IF(purpose="Remortgage",1.00,
            1.20)))</f>
        <v/>
      </c>
      <c r="L3716">
        <f>LET(
    arrears_months,'Loan Tape (S&amp;P)'!AN3716,
    IF(arrears_months=0,1.00,
    IF(arrears_months=1,3.00,
    IF(arrears_months=2,5.00,
    IF(arrears_months=3,8.00,
    IF(arrears_months=4,10.00,
    IF(arrears_months=5,12.00,15.00)))))))</f>
        <v/>
      </c>
      <c r="M3716">
        <f>LET(
    seasoning_years,DATEDIF('Loan Tape (S&amp;P)'!K3716,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16">
        <f>IF(AND('Loan Tape (S&amp;P)'!U3716="Yes",
        'Loan Tape (S&amp;P)'!T3716&lt;&gt;"Yes",
        DATEDIF('Loan Tape (S&amp;P)'!K3716, TODAY(), "M")&lt;18),
    1.10,
    1.00)</f>
        <v/>
      </c>
      <c r="O3716">
        <f>IF('Loan Tape (S&amp;P)'!T3716="Yes",
    1.35,
    1.00)</f>
        <v/>
      </c>
      <c r="P3716">
        <f>IF('Loan Tape (S&amp;P)'!S3716="Yes",
    1.15,
    1.00)</f>
        <v/>
      </c>
      <c r="Q3716">
        <f>IF('Loan Tape (S&amp;P)'!V3716="Yes",
    1.20,
    1.00)</f>
        <v/>
      </c>
      <c r="T3716">
        <f>LET(
    payment_method,'Loan Tape (S&amp;P)'!P3716,
    occupancy,'Loan Tape (S&amp;P)'!N3716,
    maturity_date,'Loan Tape (S&amp;P)'!L3716,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17">
      <c r="J3717">
        <f>LET(
    lien,'Loan Tape (S&amp;P)'!Q3717,
    IF(lien="First",1.00,
        IF(lien="Second",1.50,
            1.70)))</f>
        <v/>
      </c>
      <c r="K3717">
        <f>LET(
    purpose,'Loan Tape (S&amp;P)'!R3717,
    IF(purpose="Purchase",1.00,
        IF(purpose="Remortgage",1.00,
            1.20)))</f>
        <v/>
      </c>
      <c r="L3717">
        <f>LET(
    arrears_months,'Loan Tape (S&amp;P)'!AN3717,
    IF(arrears_months=0,1.00,
    IF(arrears_months=1,3.00,
    IF(arrears_months=2,5.00,
    IF(arrears_months=3,8.00,
    IF(arrears_months=4,10.00,
    IF(arrears_months=5,12.00,15.00)))))))</f>
        <v/>
      </c>
      <c r="M3717">
        <f>LET(
    seasoning_years,DATEDIF('Loan Tape (S&amp;P)'!K3717,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17">
        <f>IF(AND('Loan Tape (S&amp;P)'!U3717="Yes",
        'Loan Tape (S&amp;P)'!T3717&lt;&gt;"Yes",
        DATEDIF('Loan Tape (S&amp;P)'!K3717, TODAY(), "M")&lt;18),
    1.10,
    1.00)</f>
        <v/>
      </c>
      <c r="O3717">
        <f>IF('Loan Tape (S&amp;P)'!T3717="Yes",
    1.35,
    1.00)</f>
        <v/>
      </c>
      <c r="P3717">
        <f>IF('Loan Tape (S&amp;P)'!S3717="Yes",
    1.15,
    1.00)</f>
        <v/>
      </c>
      <c r="Q3717">
        <f>IF('Loan Tape (S&amp;P)'!V3717="Yes",
    1.20,
    1.00)</f>
        <v/>
      </c>
      <c r="T3717">
        <f>LET(
    payment_method,'Loan Tape (S&amp;P)'!P3717,
    occupancy,'Loan Tape (S&amp;P)'!N3717,
    maturity_date,'Loan Tape (S&amp;P)'!L3717,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18">
      <c r="J3718">
        <f>LET(
    lien,'Loan Tape (S&amp;P)'!Q3718,
    IF(lien="First",1.00,
        IF(lien="Second",1.50,
            1.70)))</f>
        <v/>
      </c>
      <c r="K3718">
        <f>LET(
    purpose,'Loan Tape (S&amp;P)'!R3718,
    IF(purpose="Purchase",1.00,
        IF(purpose="Remortgage",1.00,
            1.20)))</f>
        <v/>
      </c>
      <c r="L3718">
        <f>LET(
    arrears_months,'Loan Tape (S&amp;P)'!AN3718,
    IF(arrears_months=0,1.00,
    IF(arrears_months=1,3.00,
    IF(arrears_months=2,5.00,
    IF(arrears_months=3,8.00,
    IF(arrears_months=4,10.00,
    IF(arrears_months=5,12.00,15.00)))))))</f>
        <v/>
      </c>
      <c r="M3718">
        <f>LET(
    seasoning_years,DATEDIF('Loan Tape (S&amp;P)'!K3718,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18">
        <f>IF(AND('Loan Tape (S&amp;P)'!U3718="Yes",
        'Loan Tape (S&amp;P)'!T3718&lt;&gt;"Yes",
        DATEDIF('Loan Tape (S&amp;P)'!K3718, TODAY(), "M")&lt;18),
    1.10,
    1.00)</f>
        <v/>
      </c>
      <c r="O3718">
        <f>IF('Loan Tape (S&amp;P)'!T3718="Yes",
    1.35,
    1.00)</f>
        <v/>
      </c>
      <c r="P3718">
        <f>IF('Loan Tape (S&amp;P)'!S3718="Yes",
    1.15,
    1.00)</f>
        <v/>
      </c>
      <c r="Q3718">
        <f>IF('Loan Tape (S&amp;P)'!V3718="Yes",
    1.20,
    1.00)</f>
        <v/>
      </c>
      <c r="T3718">
        <f>LET(
    payment_method,'Loan Tape (S&amp;P)'!P3718,
    occupancy,'Loan Tape (S&amp;P)'!N3718,
    maturity_date,'Loan Tape (S&amp;P)'!L3718,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19">
      <c r="J3719">
        <f>LET(
    lien,'Loan Tape (S&amp;P)'!Q3719,
    IF(lien="First",1.00,
        IF(lien="Second",1.50,
            1.70)))</f>
        <v/>
      </c>
      <c r="K3719">
        <f>LET(
    purpose,'Loan Tape (S&amp;P)'!R3719,
    IF(purpose="Purchase",1.00,
        IF(purpose="Remortgage",1.00,
            1.20)))</f>
        <v/>
      </c>
      <c r="L3719">
        <f>LET(
    arrears_months,'Loan Tape (S&amp;P)'!AN3719,
    IF(arrears_months=0,1.00,
    IF(arrears_months=1,3.00,
    IF(arrears_months=2,5.00,
    IF(arrears_months=3,8.00,
    IF(arrears_months=4,10.00,
    IF(arrears_months=5,12.00,15.00)))))))</f>
        <v/>
      </c>
      <c r="M3719">
        <f>LET(
    seasoning_years,DATEDIF('Loan Tape (S&amp;P)'!K3719,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19">
        <f>IF(AND('Loan Tape (S&amp;P)'!U3719="Yes",
        'Loan Tape (S&amp;P)'!T3719&lt;&gt;"Yes",
        DATEDIF('Loan Tape (S&amp;P)'!K3719, TODAY(), "M")&lt;18),
    1.10,
    1.00)</f>
        <v/>
      </c>
      <c r="O3719">
        <f>IF('Loan Tape (S&amp;P)'!T3719="Yes",
    1.35,
    1.00)</f>
        <v/>
      </c>
      <c r="P3719">
        <f>IF('Loan Tape (S&amp;P)'!S3719="Yes",
    1.15,
    1.00)</f>
        <v/>
      </c>
      <c r="Q3719">
        <f>IF('Loan Tape (S&amp;P)'!V3719="Yes",
    1.20,
    1.00)</f>
        <v/>
      </c>
      <c r="T3719">
        <f>LET(
    payment_method,'Loan Tape (S&amp;P)'!P3719,
    occupancy,'Loan Tape (S&amp;P)'!N3719,
    maturity_date,'Loan Tape (S&amp;P)'!L3719,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20">
      <c r="J3720">
        <f>LET(
    lien,'Loan Tape (S&amp;P)'!Q3720,
    IF(lien="First",1.00,
        IF(lien="Second",1.50,
            1.70)))</f>
        <v/>
      </c>
      <c r="K3720">
        <f>LET(
    purpose,'Loan Tape (S&amp;P)'!R3720,
    IF(purpose="Purchase",1.00,
        IF(purpose="Remortgage",1.00,
            1.20)))</f>
        <v/>
      </c>
      <c r="L3720">
        <f>LET(
    arrears_months,'Loan Tape (S&amp;P)'!AN3720,
    IF(arrears_months=0,1.00,
    IF(arrears_months=1,3.00,
    IF(arrears_months=2,5.00,
    IF(arrears_months=3,8.00,
    IF(arrears_months=4,10.00,
    IF(arrears_months=5,12.00,15.00)))))))</f>
        <v/>
      </c>
      <c r="M3720">
        <f>LET(
    seasoning_years,DATEDIF('Loan Tape (S&amp;P)'!K3720,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20">
        <f>IF(AND('Loan Tape (S&amp;P)'!U3720="Yes",
        'Loan Tape (S&amp;P)'!T3720&lt;&gt;"Yes",
        DATEDIF('Loan Tape (S&amp;P)'!K3720, TODAY(), "M")&lt;18),
    1.10,
    1.00)</f>
        <v/>
      </c>
      <c r="O3720">
        <f>IF('Loan Tape (S&amp;P)'!T3720="Yes",
    1.35,
    1.00)</f>
        <v/>
      </c>
      <c r="P3720">
        <f>IF('Loan Tape (S&amp;P)'!S3720="Yes",
    1.15,
    1.00)</f>
        <v/>
      </c>
      <c r="Q3720">
        <f>IF('Loan Tape (S&amp;P)'!V3720="Yes",
    1.20,
    1.00)</f>
        <v/>
      </c>
      <c r="T3720">
        <f>LET(
    payment_method,'Loan Tape (S&amp;P)'!P3720,
    occupancy,'Loan Tape (S&amp;P)'!N3720,
    maturity_date,'Loan Tape (S&amp;P)'!L3720,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21">
      <c r="J3721">
        <f>LET(
    lien,'Loan Tape (S&amp;P)'!Q3721,
    IF(lien="First",1.00,
        IF(lien="Second",1.50,
            1.70)))</f>
        <v/>
      </c>
      <c r="K3721">
        <f>LET(
    purpose,'Loan Tape (S&amp;P)'!R3721,
    IF(purpose="Purchase",1.00,
        IF(purpose="Remortgage",1.00,
            1.20)))</f>
        <v/>
      </c>
      <c r="L3721">
        <f>LET(
    arrears_months,'Loan Tape (S&amp;P)'!AN3721,
    IF(arrears_months=0,1.00,
    IF(arrears_months=1,3.00,
    IF(arrears_months=2,5.00,
    IF(arrears_months=3,8.00,
    IF(arrears_months=4,10.00,
    IF(arrears_months=5,12.00,15.00)))))))</f>
        <v/>
      </c>
      <c r="M3721">
        <f>LET(
    seasoning_years,DATEDIF('Loan Tape (S&amp;P)'!K3721,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21">
        <f>IF(AND('Loan Tape (S&amp;P)'!U3721="Yes",
        'Loan Tape (S&amp;P)'!T3721&lt;&gt;"Yes",
        DATEDIF('Loan Tape (S&amp;P)'!K3721, TODAY(), "M")&lt;18),
    1.10,
    1.00)</f>
        <v/>
      </c>
      <c r="O3721">
        <f>IF('Loan Tape (S&amp;P)'!T3721="Yes",
    1.35,
    1.00)</f>
        <v/>
      </c>
      <c r="P3721">
        <f>IF('Loan Tape (S&amp;P)'!S3721="Yes",
    1.15,
    1.00)</f>
        <v/>
      </c>
      <c r="Q3721">
        <f>IF('Loan Tape (S&amp;P)'!V3721="Yes",
    1.20,
    1.00)</f>
        <v/>
      </c>
      <c r="T3721">
        <f>LET(
    payment_method,'Loan Tape (S&amp;P)'!P3721,
    occupancy,'Loan Tape (S&amp;P)'!N3721,
    maturity_date,'Loan Tape (S&amp;P)'!L3721,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22">
      <c r="J3722">
        <f>LET(
    lien,'Loan Tape (S&amp;P)'!Q3722,
    IF(lien="First",1.00,
        IF(lien="Second",1.50,
            1.70)))</f>
        <v/>
      </c>
      <c r="K3722">
        <f>LET(
    purpose,'Loan Tape (S&amp;P)'!R3722,
    IF(purpose="Purchase",1.00,
        IF(purpose="Remortgage",1.00,
            1.20)))</f>
        <v/>
      </c>
      <c r="L3722">
        <f>LET(
    arrears_months,'Loan Tape (S&amp;P)'!AN3722,
    IF(arrears_months=0,1.00,
    IF(arrears_months=1,3.00,
    IF(arrears_months=2,5.00,
    IF(arrears_months=3,8.00,
    IF(arrears_months=4,10.00,
    IF(arrears_months=5,12.00,15.00)))))))</f>
        <v/>
      </c>
      <c r="M3722">
        <f>LET(
    seasoning_years,DATEDIF('Loan Tape (S&amp;P)'!K3722,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22">
        <f>IF(AND('Loan Tape (S&amp;P)'!U3722="Yes",
        'Loan Tape (S&amp;P)'!T3722&lt;&gt;"Yes",
        DATEDIF('Loan Tape (S&amp;P)'!K3722, TODAY(), "M")&lt;18),
    1.10,
    1.00)</f>
        <v/>
      </c>
      <c r="O3722">
        <f>IF('Loan Tape (S&amp;P)'!T3722="Yes",
    1.35,
    1.00)</f>
        <v/>
      </c>
      <c r="P3722">
        <f>IF('Loan Tape (S&amp;P)'!S3722="Yes",
    1.15,
    1.00)</f>
        <v/>
      </c>
      <c r="Q3722">
        <f>IF('Loan Tape (S&amp;P)'!V3722="Yes",
    1.20,
    1.00)</f>
        <v/>
      </c>
      <c r="T3722">
        <f>LET(
    payment_method,'Loan Tape (S&amp;P)'!P3722,
    occupancy,'Loan Tape (S&amp;P)'!N3722,
    maturity_date,'Loan Tape (S&amp;P)'!L3722,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23">
      <c r="J3723">
        <f>LET(
    lien,'Loan Tape (S&amp;P)'!Q3723,
    IF(lien="First",1.00,
        IF(lien="Second",1.50,
            1.70)))</f>
        <v/>
      </c>
      <c r="K3723">
        <f>LET(
    purpose,'Loan Tape (S&amp;P)'!R3723,
    IF(purpose="Purchase",1.00,
        IF(purpose="Remortgage",1.00,
            1.20)))</f>
        <v/>
      </c>
      <c r="L3723">
        <f>LET(
    arrears_months,'Loan Tape (S&amp;P)'!AN3723,
    IF(arrears_months=0,1.00,
    IF(arrears_months=1,3.00,
    IF(arrears_months=2,5.00,
    IF(arrears_months=3,8.00,
    IF(arrears_months=4,10.00,
    IF(arrears_months=5,12.00,15.00)))))))</f>
        <v/>
      </c>
      <c r="M3723">
        <f>LET(
    seasoning_years,DATEDIF('Loan Tape (S&amp;P)'!K3723,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23">
        <f>IF(AND('Loan Tape (S&amp;P)'!U3723="Yes",
        'Loan Tape (S&amp;P)'!T3723&lt;&gt;"Yes",
        DATEDIF('Loan Tape (S&amp;P)'!K3723, TODAY(), "M")&lt;18),
    1.10,
    1.00)</f>
        <v/>
      </c>
      <c r="O3723">
        <f>IF('Loan Tape (S&amp;P)'!T3723="Yes",
    1.35,
    1.00)</f>
        <v/>
      </c>
      <c r="P3723">
        <f>IF('Loan Tape (S&amp;P)'!S3723="Yes",
    1.15,
    1.00)</f>
        <v/>
      </c>
      <c r="Q3723">
        <f>IF('Loan Tape (S&amp;P)'!V3723="Yes",
    1.20,
    1.00)</f>
        <v/>
      </c>
      <c r="T3723">
        <f>LET(
    payment_method,'Loan Tape (S&amp;P)'!P3723,
    occupancy,'Loan Tape (S&amp;P)'!N3723,
    maturity_date,'Loan Tape (S&amp;P)'!L3723,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24">
      <c r="J3724">
        <f>LET(
    lien,'Loan Tape (S&amp;P)'!Q3724,
    IF(lien="First",1.00,
        IF(lien="Second",1.50,
            1.70)))</f>
        <v/>
      </c>
      <c r="K3724">
        <f>LET(
    purpose,'Loan Tape (S&amp;P)'!R3724,
    IF(purpose="Purchase",1.00,
        IF(purpose="Remortgage",1.00,
            1.20)))</f>
        <v/>
      </c>
      <c r="L3724">
        <f>LET(
    arrears_months,'Loan Tape (S&amp;P)'!AN3724,
    IF(arrears_months=0,1.00,
    IF(arrears_months=1,3.00,
    IF(arrears_months=2,5.00,
    IF(arrears_months=3,8.00,
    IF(arrears_months=4,10.00,
    IF(arrears_months=5,12.00,15.00)))))))</f>
        <v/>
      </c>
      <c r="M3724">
        <f>LET(
    seasoning_years,DATEDIF('Loan Tape (S&amp;P)'!K3724,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24">
        <f>IF(AND('Loan Tape (S&amp;P)'!U3724="Yes",
        'Loan Tape (S&amp;P)'!T3724&lt;&gt;"Yes",
        DATEDIF('Loan Tape (S&amp;P)'!K3724, TODAY(), "M")&lt;18),
    1.10,
    1.00)</f>
        <v/>
      </c>
      <c r="O3724">
        <f>IF('Loan Tape (S&amp;P)'!T3724="Yes",
    1.35,
    1.00)</f>
        <v/>
      </c>
      <c r="P3724">
        <f>IF('Loan Tape (S&amp;P)'!S3724="Yes",
    1.15,
    1.00)</f>
        <v/>
      </c>
      <c r="Q3724">
        <f>IF('Loan Tape (S&amp;P)'!V3724="Yes",
    1.20,
    1.00)</f>
        <v/>
      </c>
      <c r="T3724">
        <f>LET(
    payment_method,'Loan Tape (S&amp;P)'!P3724,
    occupancy,'Loan Tape (S&amp;P)'!N3724,
    maturity_date,'Loan Tape (S&amp;P)'!L3724,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25">
      <c r="J3725">
        <f>LET(
    lien,'Loan Tape (S&amp;P)'!Q3725,
    IF(lien="First",1.00,
        IF(lien="Second",1.50,
            1.70)))</f>
        <v/>
      </c>
      <c r="K3725">
        <f>LET(
    purpose,'Loan Tape (S&amp;P)'!R3725,
    IF(purpose="Purchase",1.00,
        IF(purpose="Remortgage",1.00,
            1.20)))</f>
        <v/>
      </c>
      <c r="L3725">
        <f>LET(
    arrears_months,'Loan Tape (S&amp;P)'!AN3725,
    IF(arrears_months=0,1.00,
    IF(arrears_months=1,3.00,
    IF(arrears_months=2,5.00,
    IF(arrears_months=3,8.00,
    IF(arrears_months=4,10.00,
    IF(arrears_months=5,12.00,15.00)))))))</f>
        <v/>
      </c>
      <c r="M3725">
        <f>LET(
    seasoning_years,DATEDIF('Loan Tape (S&amp;P)'!K3725,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25">
        <f>IF(AND('Loan Tape (S&amp;P)'!U3725="Yes",
        'Loan Tape (S&amp;P)'!T3725&lt;&gt;"Yes",
        DATEDIF('Loan Tape (S&amp;P)'!K3725, TODAY(), "M")&lt;18),
    1.10,
    1.00)</f>
        <v/>
      </c>
      <c r="O3725">
        <f>IF('Loan Tape (S&amp;P)'!T3725="Yes",
    1.35,
    1.00)</f>
        <v/>
      </c>
      <c r="P3725">
        <f>IF('Loan Tape (S&amp;P)'!S3725="Yes",
    1.15,
    1.00)</f>
        <v/>
      </c>
      <c r="Q3725">
        <f>IF('Loan Tape (S&amp;P)'!V3725="Yes",
    1.20,
    1.00)</f>
        <v/>
      </c>
      <c r="T3725">
        <f>LET(
    payment_method,'Loan Tape (S&amp;P)'!P3725,
    occupancy,'Loan Tape (S&amp;P)'!N3725,
    maturity_date,'Loan Tape (S&amp;P)'!L3725,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26">
      <c r="J3726">
        <f>LET(
    lien,'Loan Tape (S&amp;P)'!Q3726,
    IF(lien="First",1.00,
        IF(lien="Second",1.50,
            1.70)))</f>
        <v/>
      </c>
      <c r="K3726">
        <f>LET(
    purpose,'Loan Tape (S&amp;P)'!R3726,
    IF(purpose="Purchase",1.00,
        IF(purpose="Remortgage",1.00,
            1.20)))</f>
        <v/>
      </c>
      <c r="L3726">
        <f>LET(
    arrears_months,'Loan Tape (S&amp;P)'!AN3726,
    IF(arrears_months=0,1.00,
    IF(arrears_months=1,3.00,
    IF(arrears_months=2,5.00,
    IF(arrears_months=3,8.00,
    IF(arrears_months=4,10.00,
    IF(arrears_months=5,12.00,15.00)))))))</f>
        <v/>
      </c>
      <c r="M3726">
        <f>LET(
    seasoning_years,DATEDIF('Loan Tape (S&amp;P)'!K3726,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26">
        <f>IF(AND('Loan Tape (S&amp;P)'!U3726="Yes",
        'Loan Tape (S&amp;P)'!T3726&lt;&gt;"Yes",
        DATEDIF('Loan Tape (S&amp;P)'!K3726, TODAY(), "M")&lt;18),
    1.10,
    1.00)</f>
        <v/>
      </c>
      <c r="O3726">
        <f>IF('Loan Tape (S&amp;P)'!T3726="Yes",
    1.35,
    1.00)</f>
        <v/>
      </c>
      <c r="P3726">
        <f>IF('Loan Tape (S&amp;P)'!S3726="Yes",
    1.15,
    1.00)</f>
        <v/>
      </c>
      <c r="Q3726">
        <f>IF('Loan Tape (S&amp;P)'!V3726="Yes",
    1.20,
    1.00)</f>
        <v/>
      </c>
      <c r="T3726">
        <f>LET(
    payment_method,'Loan Tape (S&amp;P)'!P3726,
    occupancy,'Loan Tape (S&amp;P)'!N3726,
    maturity_date,'Loan Tape (S&amp;P)'!L3726,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27">
      <c r="J3727">
        <f>LET(
    lien,'Loan Tape (S&amp;P)'!Q3727,
    IF(lien="First",1.00,
        IF(lien="Second",1.50,
            1.70)))</f>
        <v/>
      </c>
      <c r="K3727">
        <f>LET(
    purpose,'Loan Tape (S&amp;P)'!R3727,
    IF(purpose="Purchase",1.00,
        IF(purpose="Remortgage",1.00,
            1.20)))</f>
        <v/>
      </c>
      <c r="L3727">
        <f>LET(
    arrears_months,'Loan Tape (S&amp;P)'!AN3727,
    IF(arrears_months=0,1.00,
    IF(arrears_months=1,3.00,
    IF(arrears_months=2,5.00,
    IF(arrears_months=3,8.00,
    IF(arrears_months=4,10.00,
    IF(arrears_months=5,12.00,15.00)))))))</f>
        <v/>
      </c>
      <c r="M3727">
        <f>LET(
    seasoning_years,DATEDIF('Loan Tape (S&amp;P)'!K3727,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27">
        <f>IF(AND('Loan Tape (S&amp;P)'!U3727="Yes",
        'Loan Tape (S&amp;P)'!T3727&lt;&gt;"Yes",
        DATEDIF('Loan Tape (S&amp;P)'!K3727, TODAY(), "M")&lt;18),
    1.10,
    1.00)</f>
        <v/>
      </c>
      <c r="O3727">
        <f>IF('Loan Tape (S&amp;P)'!T3727="Yes",
    1.35,
    1.00)</f>
        <v/>
      </c>
      <c r="P3727">
        <f>IF('Loan Tape (S&amp;P)'!S3727="Yes",
    1.15,
    1.00)</f>
        <v/>
      </c>
      <c r="Q3727">
        <f>IF('Loan Tape (S&amp;P)'!V3727="Yes",
    1.20,
    1.00)</f>
        <v/>
      </c>
      <c r="T3727">
        <f>LET(
    payment_method,'Loan Tape (S&amp;P)'!P3727,
    occupancy,'Loan Tape (S&amp;P)'!N3727,
    maturity_date,'Loan Tape (S&amp;P)'!L3727,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28">
      <c r="J3728">
        <f>LET(
    lien,'Loan Tape (S&amp;P)'!Q3728,
    IF(lien="First",1.00,
        IF(lien="Second",1.50,
            1.70)))</f>
        <v/>
      </c>
      <c r="K3728">
        <f>LET(
    purpose,'Loan Tape (S&amp;P)'!R3728,
    IF(purpose="Purchase",1.00,
        IF(purpose="Remortgage",1.00,
            1.20)))</f>
        <v/>
      </c>
      <c r="L3728">
        <f>LET(
    arrears_months,'Loan Tape (S&amp;P)'!AN3728,
    IF(arrears_months=0,1.00,
    IF(arrears_months=1,3.00,
    IF(arrears_months=2,5.00,
    IF(arrears_months=3,8.00,
    IF(arrears_months=4,10.00,
    IF(arrears_months=5,12.00,15.00)))))))</f>
        <v/>
      </c>
      <c r="M3728">
        <f>LET(
    seasoning_years,DATEDIF('Loan Tape (S&amp;P)'!K3728,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28">
        <f>IF(AND('Loan Tape (S&amp;P)'!U3728="Yes",
        'Loan Tape (S&amp;P)'!T3728&lt;&gt;"Yes",
        DATEDIF('Loan Tape (S&amp;P)'!K3728, TODAY(), "M")&lt;18),
    1.10,
    1.00)</f>
        <v/>
      </c>
      <c r="O3728">
        <f>IF('Loan Tape (S&amp;P)'!T3728="Yes",
    1.35,
    1.00)</f>
        <v/>
      </c>
      <c r="P3728">
        <f>IF('Loan Tape (S&amp;P)'!S3728="Yes",
    1.15,
    1.00)</f>
        <v/>
      </c>
      <c r="Q3728">
        <f>IF('Loan Tape (S&amp;P)'!V3728="Yes",
    1.20,
    1.00)</f>
        <v/>
      </c>
      <c r="T3728">
        <f>LET(
    payment_method,'Loan Tape (S&amp;P)'!P3728,
    occupancy,'Loan Tape (S&amp;P)'!N3728,
    maturity_date,'Loan Tape (S&amp;P)'!L3728,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29">
      <c r="J3729">
        <f>LET(
    lien,'Loan Tape (S&amp;P)'!Q3729,
    IF(lien="First",1.00,
        IF(lien="Second",1.50,
            1.70)))</f>
        <v/>
      </c>
      <c r="K3729">
        <f>LET(
    purpose,'Loan Tape (S&amp;P)'!R3729,
    IF(purpose="Purchase",1.00,
        IF(purpose="Remortgage",1.00,
            1.20)))</f>
        <v/>
      </c>
      <c r="L3729">
        <f>LET(
    arrears_months,'Loan Tape (S&amp;P)'!AN3729,
    IF(arrears_months=0,1.00,
    IF(arrears_months=1,3.00,
    IF(arrears_months=2,5.00,
    IF(arrears_months=3,8.00,
    IF(arrears_months=4,10.00,
    IF(arrears_months=5,12.00,15.00)))))))</f>
        <v/>
      </c>
      <c r="M3729">
        <f>LET(
    seasoning_years,DATEDIF('Loan Tape (S&amp;P)'!K3729,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29">
        <f>IF(AND('Loan Tape (S&amp;P)'!U3729="Yes",
        'Loan Tape (S&amp;P)'!T3729&lt;&gt;"Yes",
        DATEDIF('Loan Tape (S&amp;P)'!K3729, TODAY(), "M")&lt;18),
    1.10,
    1.00)</f>
        <v/>
      </c>
      <c r="O3729">
        <f>IF('Loan Tape (S&amp;P)'!T3729="Yes",
    1.35,
    1.00)</f>
        <v/>
      </c>
      <c r="P3729">
        <f>IF('Loan Tape (S&amp;P)'!S3729="Yes",
    1.15,
    1.00)</f>
        <v/>
      </c>
      <c r="Q3729">
        <f>IF('Loan Tape (S&amp;P)'!V3729="Yes",
    1.20,
    1.00)</f>
        <v/>
      </c>
      <c r="T3729">
        <f>LET(
    payment_method,'Loan Tape (S&amp;P)'!P3729,
    occupancy,'Loan Tape (S&amp;P)'!N3729,
    maturity_date,'Loan Tape (S&amp;P)'!L3729,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30">
      <c r="J3730">
        <f>LET(
    lien,'Loan Tape (S&amp;P)'!Q3730,
    IF(lien="First",1.00,
        IF(lien="Second",1.50,
            1.70)))</f>
        <v/>
      </c>
      <c r="K3730">
        <f>LET(
    purpose,'Loan Tape (S&amp;P)'!R3730,
    IF(purpose="Purchase",1.00,
        IF(purpose="Remortgage",1.00,
            1.20)))</f>
        <v/>
      </c>
      <c r="L3730">
        <f>LET(
    arrears_months,'Loan Tape (S&amp;P)'!AN3730,
    IF(arrears_months=0,1.00,
    IF(arrears_months=1,3.00,
    IF(arrears_months=2,5.00,
    IF(arrears_months=3,8.00,
    IF(arrears_months=4,10.00,
    IF(arrears_months=5,12.00,15.00)))))))</f>
        <v/>
      </c>
      <c r="M3730">
        <f>LET(
    seasoning_years,DATEDIF('Loan Tape (S&amp;P)'!K3730,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30">
        <f>IF(AND('Loan Tape (S&amp;P)'!U3730="Yes",
        'Loan Tape (S&amp;P)'!T3730&lt;&gt;"Yes",
        DATEDIF('Loan Tape (S&amp;P)'!K3730, TODAY(), "M")&lt;18),
    1.10,
    1.00)</f>
        <v/>
      </c>
      <c r="O3730">
        <f>IF('Loan Tape (S&amp;P)'!T3730="Yes",
    1.35,
    1.00)</f>
        <v/>
      </c>
      <c r="P3730">
        <f>IF('Loan Tape (S&amp;P)'!S3730="Yes",
    1.15,
    1.00)</f>
        <v/>
      </c>
      <c r="Q3730">
        <f>IF('Loan Tape (S&amp;P)'!V3730="Yes",
    1.20,
    1.00)</f>
        <v/>
      </c>
      <c r="T3730">
        <f>LET(
    payment_method,'Loan Tape (S&amp;P)'!P3730,
    occupancy,'Loan Tape (S&amp;P)'!N3730,
    maturity_date,'Loan Tape (S&amp;P)'!L3730,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31">
      <c r="J3731">
        <f>LET(
    lien,'Loan Tape (S&amp;P)'!Q3731,
    IF(lien="First",1.00,
        IF(lien="Second",1.50,
            1.70)))</f>
        <v/>
      </c>
      <c r="K3731">
        <f>LET(
    purpose,'Loan Tape (S&amp;P)'!R3731,
    IF(purpose="Purchase",1.00,
        IF(purpose="Remortgage",1.00,
            1.20)))</f>
        <v/>
      </c>
      <c r="L3731">
        <f>LET(
    arrears_months,'Loan Tape (S&amp;P)'!AN3731,
    IF(arrears_months=0,1.00,
    IF(arrears_months=1,3.00,
    IF(arrears_months=2,5.00,
    IF(arrears_months=3,8.00,
    IF(arrears_months=4,10.00,
    IF(arrears_months=5,12.00,15.00)))))))</f>
        <v/>
      </c>
      <c r="M3731">
        <f>LET(
    seasoning_years,DATEDIF('Loan Tape (S&amp;P)'!K3731,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31">
        <f>IF(AND('Loan Tape (S&amp;P)'!U3731="Yes",
        'Loan Tape (S&amp;P)'!T3731&lt;&gt;"Yes",
        DATEDIF('Loan Tape (S&amp;P)'!K3731, TODAY(), "M")&lt;18),
    1.10,
    1.00)</f>
        <v/>
      </c>
      <c r="O3731">
        <f>IF('Loan Tape (S&amp;P)'!T3731="Yes",
    1.35,
    1.00)</f>
        <v/>
      </c>
      <c r="P3731">
        <f>IF('Loan Tape (S&amp;P)'!S3731="Yes",
    1.15,
    1.00)</f>
        <v/>
      </c>
      <c r="Q3731">
        <f>IF('Loan Tape (S&amp;P)'!V3731="Yes",
    1.20,
    1.00)</f>
        <v/>
      </c>
      <c r="T3731">
        <f>LET(
    payment_method,'Loan Tape (S&amp;P)'!P3731,
    occupancy,'Loan Tape (S&amp;P)'!N3731,
    maturity_date,'Loan Tape (S&amp;P)'!L3731,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32">
      <c r="J3732">
        <f>LET(
    lien,'Loan Tape (S&amp;P)'!Q3732,
    IF(lien="First",1.00,
        IF(lien="Second",1.50,
            1.70)))</f>
        <v/>
      </c>
      <c r="K3732">
        <f>LET(
    purpose,'Loan Tape (S&amp;P)'!R3732,
    IF(purpose="Purchase",1.00,
        IF(purpose="Remortgage",1.00,
            1.20)))</f>
        <v/>
      </c>
      <c r="L3732">
        <f>LET(
    arrears_months,'Loan Tape (S&amp;P)'!AN3732,
    IF(arrears_months=0,1.00,
    IF(arrears_months=1,3.00,
    IF(arrears_months=2,5.00,
    IF(arrears_months=3,8.00,
    IF(arrears_months=4,10.00,
    IF(arrears_months=5,12.00,15.00)))))))</f>
        <v/>
      </c>
      <c r="M3732">
        <f>LET(
    seasoning_years,DATEDIF('Loan Tape (S&amp;P)'!K3732,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32">
        <f>IF(AND('Loan Tape (S&amp;P)'!U3732="Yes",
        'Loan Tape (S&amp;P)'!T3732&lt;&gt;"Yes",
        DATEDIF('Loan Tape (S&amp;P)'!K3732, TODAY(), "M")&lt;18),
    1.10,
    1.00)</f>
        <v/>
      </c>
      <c r="O3732">
        <f>IF('Loan Tape (S&amp;P)'!T3732="Yes",
    1.35,
    1.00)</f>
        <v/>
      </c>
      <c r="P3732">
        <f>IF('Loan Tape (S&amp;P)'!S3732="Yes",
    1.15,
    1.00)</f>
        <v/>
      </c>
      <c r="Q3732">
        <f>IF('Loan Tape (S&amp;P)'!V3732="Yes",
    1.20,
    1.00)</f>
        <v/>
      </c>
      <c r="T3732">
        <f>LET(
    payment_method,'Loan Tape (S&amp;P)'!P3732,
    occupancy,'Loan Tape (S&amp;P)'!N3732,
    maturity_date,'Loan Tape (S&amp;P)'!L3732,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33">
      <c r="J3733">
        <f>LET(
    lien,'Loan Tape (S&amp;P)'!Q3733,
    IF(lien="First",1.00,
        IF(lien="Second",1.50,
            1.70)))</f>
        <v/>
      </c>
      <c r="K3733">
        <f>LET(
    purpose,'Loan Tape (S&amp;P)'!R3733,
    IF(purpose="Purchase",1.00,
        IF(purpose="Remortgage",1.00,
            1.20)))</f>
        <v/>
      </c>
      <c r="L3733">
        <f>LET(
    arrears_months,'Loan Tape (S&amp;P)'!AN3733,
    IF(arrears_months=0,1.00,
    IF(arrears_months=1,3.00,
    IF(arrears_months=2,5.00,
    IF(arrears_months=3,8.00,
    IF(arrears_months=4,10.00,
    IF(arrears_months=5,12.00,15.00)))))))</f>
        <v/>
      </c>
      <c r="M3733">
        <f>LET(
    seasoning_years,DATEDIF('Loan Tape (S&amp;P)'!K3733,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33">
        <f>IF(AND('Loan Tape (S&amp;P)'!U3733="Yes",
        'Loan Tape (S&amp;P)'!T3733&lt;&gt;"Yes",
        DATEDIF('Loan Tape (S&amp;P)'!K3733, TODAY(), "M")&lt;18),
    1.10,
    1.00)</f>
        <v/>
      </c>
      <c r="O3733">
        <f>IF('Loan Tape (S&amp;P)'!T3733="Yes",
    1.35,
    1.00)</f>
        <v/>
      </c>
      <c r="P3733">
        <f>IF('Loan Tape (S&amp;P)'!S3733="Yes",
    1.15,
    1.00)</f>
        <v/>
      </c>
      <c r="Q3733">
        <f>IF('Loan Tape (S&amp;P)'!V3733="Yes",
    1.20,
    1.00)</f>
        <v/>
      </c>
      <c r="T3733">
        <f>LET(
    payment_method,'Loan Tape (S&amp;P)'!P3733,
    occupancy,'Loan Tape (S&amp;P)'!N3733,
    maturity_date,'Loan Tape (S&amp;P)'!L3733,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34">
      <c r="J3734">
        <f>LET(
    lien,'Loan Tape (S&amp;P)'!Q3734,
    IF(lien="First",1.00,
        IF(lien="Second",1.50,
            1.70)))</f>
        <v/>
      </c>
      <c r="K3734">
        <f>LET(
    purpose,'Loan Tape (S&amp;P)'!R3734,
    IF(purpose="Purchase",1.00,
        IF(purpose="Remortgage",1.00,
            1.20)))</f>
        <v/>
      </c>
      <c r="L3734">
        <f>LET(
    arrears_months,'Loan Tape (S&amp;P)'!AN3734,
    IF(arrears_months=0,1.00,
    IF(arrears_months=1,3.00,
    IF(arrears_months=2,5.00,
    IF(arrears_months=3,8.00,
    IF(arrears_months=4,10.00,
    IF(arrears_months=5,12.00,15.00)))))))</f>
        <v/>
      </c>
      <c r="M3734">
        <f>LET(
    seasoning_years,DATEDIF('Loan Tape (S&amp;P)'!K3734,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34">
        <f>IF(AND('Loan Tape (S&amp;P)'!U3734="Yes",
        'Loan Tape (S&amp;P)'!T3734&lt;&gt;"Yes",
        DATEDIF('Loan Tape (S&amp;P)'!K3734, TODAY(), "M")&lt;18),
    1.10,
    1.00)</f>
        <v/>
      </c>
      <c r="O3734">
        <f>IF('Loan Tape (S&amp;P)'!T3734="Yes",
    1.35,
    1.00)</f>
        <v/>
      </c>
      <c r="P3734">
        <f>IF('Loan Tape (S&amp;P)'!S3734="Yes",
    1.15,
    1.00)</f>
        <v/>
      </c>
      <c r="Q3734">
        <f>IF('Loan Tape (S&amp;P)'!V3734="Yes",
    1.20,
    1.00)</f>
        <v/>
      </c>
      <c r="T3734">
        <f>LET(
    payment_method,'Loan Tape (S&amp;P)'!P3734,
    occupancy,'Loan Tape (S&amp;P)'!N3734,
    maturity_date,'Loan Tape (S&amp;P)'!L3734,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35">
      <c r="J3735">
        <f>LET(
    lien,'Loan Tape (S&amp;P)'!Q3735,
    IF(lien="First",1.00,
        IF(lien="Second",1.50,
            1.70)))</f>
        <v/>
      </c>
      <c r="K3735">
        <f>LET(
    purpose,'Loan Tape (S&amp;P)'!R3735,
    IF(purpose="Purchase",1.00,
        IF(purpose="Remortgage",1.00,
            1.20)))</f>
        <v/>
      </c>
      <c r="L3735">
        <f>LET(
    arrears_months,'Loan Tape (S&amp;P)'!AN3735,
    IF(arrears_months=0,1.00,
    IF(arrears_months=1,3.00,
    IF(arrears_months=2,5.00,
    IF(arrears_months=3,8.00,
    IF(arrears_months=4,10.00,
    IF(arrears_months=5,12.00,15.00)))))))</f>
        <v/>
      </c>
      <c r="M3735">
        <f>LET(
    seasoning_years,DATEDIF('Loan Tape (S&amp;P)'!K3735,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35">
        <f>IF(AND('Loan Tape (S&amp;P)'!U3735="Yes",
        'Loan Tape (S&amp;P)'!T3735&lt;&gt;"Yes",
        DATEDIF('Loan Tape (S&amp;P)'!K3735, TODAY(), "M")&lt;18),
    1.10,
    1.00)</f>
        <v/>
      </c>
      <c r="O3735">
        <f>IF('Loan Tape (S&amp;P)'!T3735="Yes",
    1.35,
    1.00)</f>
        <v/>
      </c>
      <c r="P3735">
        <f>IF('Loan Tape (S&amp;P)'!S3735="Yes",
    1.15,
    1.00)</f>
        <v/>
      </c>
      <c r="Q3735">
        <f>IF('Loan Tape (S&amp;P)'!V3735="Yes",
    1.20,
    1.00)</f>
        <v/>
      </c>
      <c r="T3735">
        <f>LET(
    payment_method,'Loan Tape (S&amp;P)'!P3735,
    occupancy,'Loan Tape (S&amp;P)'!N3735,
    maturity_date,'Loan Tape (S&amp;P)'!L3735,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36">
      <c r="J3736">
        <f>LET(
    lien,'Loan Tape (S&amp;P)'!Q3736,
    IF(lien="First",1.00,
        IF(lien="Second",1.50,
            1.70)))</f>
        <v/>
      </c>
      <c r="K3736">
        <f>LET(
    purpose,'Loan Tape (S&amp;P)'!R3736,
    IF(purpose="Purchase",1.00,
        IF(purpose="Remortgage",1.00,
            1.20)))</f>
        <v/>
      </c>
      <c r="L3736">
        <f>LET(
    arrears_months,'Loan Tape (S&amp;P)'!AN3736,
    IF(arrears_months=0,1.00,
    IF(arrears_months=1,3.00,
    IF(arrears_months=2,5.00,
    IF(arrears_months=3,8.00,
    IF(arrears_months=4,10.00,
    IF(arrears_months=5,12.00,15.00)))))))</f>
        <v/>
      </c>
      <c r="M3736">
        <f>LET(
    seasoning_years,DATEDIF('Loan Tape (S&amp;P)'!K3736,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36">
        <f>IF(AND('Loan Tape (S&amp;P)'!U3736="Yes",
        'Loan Tape (S&amp;P)'!T3736&lt;&gt;"Yes",
        DATEDIF('Loan Tape (S&amp;P)'!K3736, TODAY(), "M")&lt;18),
    1.10,
    1.00)</f>
        <v/>
      </c>
      <c r="O3736">
        <f>IF('Loan Tape (S&amp;P)'!T3736="Yes",
    1.35,
    1.00)</f>
        <v/>
      </c>
      <c r="P3736">
        <f>IF('Loan Tape (S&amp;P)'!S3736="Yes",
    1.15,
    1.00)</f>
        <v/>
      </c>
      <c r="Q3736">
        <f>IF('Loan Tape (S&amp;P)'!V3736="Yes",
    1.20,
    1.00)</f>
        <v/>
      </c>
      <c r="T3736">
        <f>LET(
    payment_method,'Loan Tape (S&amp;P)'!P3736,
    occupancy,'Loan Tape (S&amp;P)'!N3736,
    maturity_date,'Loan Tape (S&amp;P)'!L3736,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37">
      <c r="J3737">
        <f>LET(
    lien,'Loan Tape (S&amp;P)'!Q3737,
    IF(lien="First",1.00,
        IF(lien="Second",1.50,
            1.70)))</f>
        <v/>
      </c>
      <c r="K3737">
        <f>LET(
    purpose,'Loan Tape (S&amp;P)'!R3737,
    IF(purpose="Purchase",1.00,
        IF(purpose="Remortgage",1.00,
            1.20)))</f>
        <v/>
      </c>
      <c r="L3737">
        <f>LET(
    arrears_months,'Loan Tape (S&amp;P)'!AN3737,
    IF(arrears_months=0,1.00,
    IF(arrears_months=1,3.00,
    IF(arrears_months=2,5.00,
    IF(arrears_months=3,8.00,
    IF(arrears_months=4,10.00,
    IF(arrears_months=5,12.00,15.00)))))))</f>
        <v/>
      </c>
      <c r="M3737">
        <f>LET(
    seasoning_years,DATEDIF('Loan Tape (S&amp;P)'!K3737,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37">
        <f>IF(AND('Loan Tape (S&amp;P)'!U3737="Yes",
        'Loan Tape (S&amp;P)'!T3737&lt;&gt;"Yes",
        DATEDIF('Loan Tape (S&amp;P)'!K3737, TODAY(), "M")&lt;18),
    1.10,
    1.00)</f>
        <v/>
      </c>
      <c r="O3737">
        <f>IF('Loan Tape (S&amp;P)'!T3737="Yes",
    1.35,
    1.00)</f>
        <v/>
      </c>
      <c r="P3737">
        <f>IF('Loan Tape (S&amp;P)'!S3737="Yes",
    1.15,
    1.00)</f>
        <v/>
      </c>
      <c r="Q3737">
        <f>IF('Loan Tape (S&amp;P)'!V3737="Yes",
    1.20,
    1.00)</f>
        <v/>
      </c>
      <c r="T3737">
        <f>LET(
    payment_method,'Loan Tape (S&amp;P)'!P3737,
    occupancy,'Loan Tape (S&amp;P)'!N3737,
    maturity_date,'Loan Tape (S&amp;P)'!L3737,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38">
      <c r="J3738">
        <f>LET(
    lien,'Loan Tape (S&amp;P)'!Q3738,
    IF(lien="First",1.00,
        IF(lien="Second",1.50,
            1.70)))</f>
        <v/>
      </c>
      <c r="K3738">
        <f>LET(
    purpose,'Loan Tape (S&amp;P)'!R3738,
    IF(purpose="Purchase",1.00,
        IF(purpose="Remortgage",1.00,
            1.20)))</f>
        <v/>
      </c>
      <c r="L3738">
        <f>LET(
    arrears_months,'Loan Tape (S&amp;P)'!AN3738,
    IF(arrears_months=0,1.00,
    IF(arrears_months=1,3.00,
    IF(arrears_months=2,5.00,
    IF(arrears_months=3,8.00,
    IF(arrears_months=4,10.00,
    IF(arrears_months=5,12.00,15.00)))))))</f>
        <v/>
      </c>
      <c r="M3738">
        <f>LET(
    seasoning_years,DATEDIF('Loan Tape (S&amp;P)'!K3738,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38">
        <f>IF(AND('Loan Tape (S&amp;P)'!U3738="Yes",
        'Loan Tape (S&amp;P)'!T3738&lt;&gt;"Yes",
        DATEDIF('Loan Tape (S&amp;P)'!K3738, TODAY(), "M")&lt;18),
    1.10,
    1.00)</f>
        <v/>
      </c>
      <c r="O3738">
        <f>IF('Loan Tape (S&amp;P)'!T3738="Yes",
    1.35,
    1.00)</f>
        <v/>
      </c>
      <c r="P3738">
        <f>IF('Loan Tape (S&amp;P)'!S3738="Yes",
    1.15,
    1.00)</f>
        <v/>
      </c>
      <c r="Q3738">
        <f>IF('Loan Tape (S&amp;P)'!V3738="Yes",
    1.20,
    1.00)</f>
        <v/>
      </c>
      <c r="T3738">
        <f>LET(
    payment_method,'Loan Tape (S&amp;P)'!P3738,
    occupancy,'Loan Tape (S&amp;P)'!N3738,
    maturity_date,'Loan Tape (S&amp;P)'!L3738,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39">
      <c r="J3739">
        <f>LET(
    lien,'Loan Tape (S&amp;P)'!Q3739,
    IF(lien="First",1.00,
        IF(lien="Second",1.50,
            1.70)))</f>
        <v/>
      </c>
      <c r="K3739">
        <f>LET(
    purpose,'Loan Tape (S&amp;P)'!R3739,
    IF(purpose="Purchase",1.00,
        IF(purpose="Remortgage",1.00,
            1.20)))</f>
        <v/>
      </c>
      <c r="L3739">
        <f>LET(
    arrears_months,'Loan Tape (S&amp;P)'!AN3739,
    IF(arrears_months=0,1.00,
    IF(arrears_months=1,3.00,
    IF(arrears_months=2,5.00,
    IF(arrears_months=3,8.00,
    IF(arrears_months=4,10.00,
    IF(arrears_months=5,12.00,15.00)))))))</f>
        <v/>
      </c>
      <c r="M3739">
        <f>LET(
    seasoning_years,DATEDIF('Loan Tape (S&amp;P)'!K3739,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39">
        <f>IF(AND('Loan Tape (S&amp;P)'!U3739="Yes",
        'Loan Tape (S&amp;P)'!T3739&lt;&gt;"Yes",
        DATEDIF('Loan Tape (S&amp;P)'!K3739, TODAY(), "M")&lt;18),
    1.10,
    1.00)</f>
        <v/>
      </c>
      <c r="O3739">
        <f>IF('Loan Tape (S&amp;P)'!T3739="Yes",
    1.35,
    1.00)</f>
        <v/>
      </c>
      <c r="P3739">
        <f>IF('Loan Tape (S&amp;P)'!S3739="Yes",
    1.15,
    1.00)</f>
        <v/>
      </c>
      <c r="Q3739">
        <f>IF('Loan Tape (S&amp;P)'!V3739="Yes",
    1.20,
    1.00)</f>
        <v/>
      </c>
      <c r="T3739">
        <f>LET(
    payment_method,'Loan Tape (S&amp;P)'!P3739,
    occupancy,'Loan Tape (S&amp;P)'!N3739,
    maturity_date,'Loan Tape (S&amp;P)'!L3739,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40">
      <c r="J3740">
        <f>LET(
    lien,'Loan Tape (S&amp;P)'!Q3740,
    IF(lien="First",1.00,
        IF(lien="Second",1.50,
            1.70)))</f>
        <v/>
      </c>
      <c r="K3740">
        <f>LET(
    purpose,'Loan Tape (S&amp;P)'!R3740,
    IF(purpose="Purchase",1.00,
        IF(purpose="Remortgage",1.00,
            1.20)))</f>
        <v/>
      </c>
      <c r="L3740">
        <f>LET(
    arrears_months,'Loan Tape (S&amp;P)'!AN3740,
    IF(arrears_months=0,1.00,
    IF(arrears_months=1,3.00,
    IF(arrears_months=2,5.00,
    IF(arrears_months=3,8.00,
    IF(arrears_months=4,10.00,
    IF(arrears_months=5,12.00,15.00)))))))</f>
        <v/>
      </c>
      <c r="M3740">
        <f>LET(
    seasoning_years,DATEDIF('Loan Tape (S&amp;P)'!K3740,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40">
        <f>IF(AND('Loan Tape (S&amp;P)'!U3740="Yes",
        'Loan Tape (S&amp;P)'!T3740&lt;&gt;"Yes",
        DATEDIF('Loan Tape (S&amp;P)'!K3740, TODAY(), "M")&lt;18),
    1.10,
    1.00)</f>
        <v/>
      </c>
      <c r="O3740">
        <f>IF('Loan Tape (S&amp;P)'!T3740="Yes",
    1.35,
    1.00)</f>
        <v/>
      </c>
      <c r="P3740">
        <f>IF('Loan Tape (S&amp;P)'!S3740="Yes",
    1.15,
    1.00)</f>
        <v/>
      </c>
      <c r="Q3740">
        <f>IF('Loan Tape (S&amp;P)'!V3740="Yes",
    1.20,
    1.00)</f>
        <v/>
      </c>
      <c r="T3740">
        <f>LET(
    payment_method,'Loan Tape (S&amp;P)'!P3740,
    occupancy,'Loan Tape (S&amp;P)'!N3740,
    maturity_date,'Loan Tape (S&amp;P)'!L3740,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41">
      <c r="J3741">
        <f>LET(
    lien,'Loan Tape (S&amp;P)'!Q3741,
    IF(lien="First",1.00,
        IF(lien="Second",1.50,
            1.70)))</f>
        <v/>
      </c>
      <c r="K3741">
        <f>LET(
    purpose,'Loan Tape (S&amp;P)'!R3741,
    IF(purpose="Purchase",1.00,
        IF(purpose="Remortgage",1.00,
            1.20)))</f>
        <v/>
      </c>
      <c r="L3741">
        <f>LET(
    arrears_months,'Loan Tape (S&amp;P)'!AN3741,
    IF(arrears_months=0,1.00,
    IF(arrears_months=1,3.00,
    IF(arrears_months=2,5.00,
    IF(arrears_months=3,8.00,
    IF(arrears_months=4,10.00,
    IF(arrears_months=5,12.00,15.00)))))))</f>
        <v/>
      </c>
      <c r="M3741">
        <f>LET(
    seasoning_years,DATEDIF('Loan Tape (S&amp;P)'!K3741,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41">
        <f>IF(AND('Loan Tape (S&amp;P)'!U3741="Yes",
        'Loan Tape (S&amp;P)'!T3741&lt;&gt;"Yes",
        DATEDIF('Loan Tape (S&amp;P)'!K3741, TODAY(), "M")&lt;18),
    1.10,
    1.00)</f>
        <v/>
      </c>
      <c r="O3741">
        <f>IF('Loan Tape (S&amp;P)'!T3741="Yes",
    1.35,
    1.00)</f>
        <v/>
      </c>
      <c r="P3741">
        <f>IF('Loan Tape (S&amp;P)'!S3741="Yes",
    1.15,
    1.00)</f>
        <v/>
      </c>
      <c r="Q3741">
        <f>IF('Loan Tape (S&amp;P)'!V3741="Yes",
    1.20,
    1.00)</f>
        <v/>
      </c>
      <c r="T3741">
        <f>LET(
    payment_method,'Loan Tape (S&amp;P)'!P3741,
    occupancy,'Loan Tape (S&amp;P)'!N3741,
    maturity_date,'Loan Tape (S&amp;P)'!L3741,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42">
      <c r="J3742">
        <f>LET(
    lien,'Loan Tape (S&amp;P)'!Q3742,
    IF(lien="First",1.00,
        IF(lien="Second",1.50,
            1.70)))</f>
        <v/>
      </c>
      <c r="K3742">
        <f>LET(
    purpose,'Loan Tape (S&amp;P)'!R3742,
    IF(purpose="Purchase",1.00,
        IF(purpose="Remortgage",1.00,
            1.20)))</f>
        <v/>
      </c>
      <c r="L3742">
        <f>LET(
    arrears_months,'Loan Tape (S&amp;P)'!AN3742,
    IF(arrears_months=0,1.00,
    IF(arrears_months=1,3.00,
    IF(arrears_months=2,5.00,
    IF(arrears_months=3,8.00,
    IF(arrears_months=4,10.00,
    IF(arrears_months=5,12.00,15.00)))))))</f>
        <v/>
      </c>
      <c r="M3742">
        <f>LET(
    seasoning_years,DATEDIF('Loan Tape (S&amp;P)'!K3742,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42">
        <f>IF(AND('Loan Tape (S&amp;P)'!U3742="Yes",
        'Loan Tape (S&amp;P)'!T3742&lt;&gt;"Yes",
        DATEDIF('Loan Tape (S&amp;P)'!K3742, TODAY(), "M")&lt;18),
    1.10,
    1.00)</f>
        <v/>
      </c>
      <c r="O3742">
        <f>IF('Loan Tape (S&amp;P)'!T3742="Yes",
    1.35,
    1.00)</f>
        <v/>
      </c>
      <c r="P3742">
        <f>IF('Loan Tape (S&amp;P)'!S3742="Yes",
    1.15,
    1.00)</f>
        <v/>
      </c>
      <c r="Q3742">
        <f>IF('Loan Tape (S&amp;P)'!V3742="Yes",
    1.20,
    1.00)</f>
        <v/>
      </c>
      <c r="T3742">
        <f>LET(
    payment_method,'Loan Tape (S&amp;P)'!P3742,
    occupancy,'Loan Tape (S&amp;P)'!N3742,
    maturity_date,'Loan Tape (S&amp;P)'!L3742,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43">
      <c r="J3743">
        <f>LET(
    lien,'Loan Tape (S&amp;P)'!Q3743,
    IF(lien="First",1.00,
        IF(lien="Second",1.50,
            1.70)))</f>
        <v/>
      </c>
      <c r="K3743">
        <f>LET(
    purpose,'Loan Tape (S&amp;P)'!R3743,
    IF(purpose="Purchase",1.00,
        IF(purpose="Remortgage",1.00,
            1.20)))</f>
        <v/>
      </c>
      <c r="L3743">
        <f>LET(
    arrears_months,'Loan Tape (S&amp;P)'!AN3743,
    IF(arrears_months=0,1.00,
    IF(arrears_months=1,3.00,
    IF(arrears_months=2,5.00,
    IF(arrears_months=3,8.00,
    IF(arrears_months=4,10.00,
    IF(arrears_months=5,12.00,15.00)))))))</f>
        <v/>
      </c>
      <c r="M3743">
        <f>LET(
    seasoning_years,DATEDIF('Loan Tape (S&amp;P)'!K3743,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43">
        <f>IF(AND('Loan Tape (S&amp;P)'!U3743="Yes",
        'Loan Tape (S&amp;P)'!T3743&lt;&gt;"Yes",
        DATEDIF('Loan Tape (S&amp;P)'!K3743, TODAY(), "M")&lt;18),
    1.10,
    1.00)</f>
        <v/>
      </c>
      <c r="O3743">
        <f>IF('Loan Tape (S&amp;P)'!T3743="Yes",
    1.35,
    1.00)</f>
        <v/>
      </c>
      <c r="P3743">
        <f>IF('Loan Tape (S&amp;P)'!S3743="Yes",
    1.15,
    1.00)</f>
        <v/>
      </c>
      <c r="Q3743">
        <f>IF('Loan Tape (S&amp;P)'!V3743="Yes",
    1.20,
    1.00)</f>
        <v/>
      </c>
      <c r="T3743">
        <f>LET(
    payment_method,'Loan Tape (S&amp;P)'!P3743,
    occupancy,'Loan Tape (S&amp;P)'!N3743,
    maturity_date,'Loan Tape (S&amp;P)'!L3743,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44">
      <c r="J3744">
        <f>LET(
    lien,'Loan Tape (S&amp;P)'!Q3744,
    IF(lien="First",1.00,
        IF(lien="Second",1.50,
            1.70)))</f>
        <v/>
      </c>
      <c r="K3744">
        <f>LET(
    purpose,'Loan Tape (S&amp;P)'!R3744,
    IF(purpose="Purchase",1.00,
        IF(purpose="Remortgage",1.00,
            1.20)))</f>
        <v/>
      </c>
      <c r="L3744">
        <f>LET(
    arrears_months,'Loan Tape (S&amp;P)'!AN3744,
    IF(arrears_months=0,1.00,
    IF(arrears_months=1,3.00,
    IF(arrears_months=2,5.00,
    IF(arrears_months=3,8.00,
    IF(arrears_months=4,10.00,
    IF(arrears_months=5,12.00,15.00)))))))</f>
        <v/>
      </c>
      <c r="M3744">
        <f>LET(
    seasoning_years,DATEDIF('Loan Tape (S&amp;P)'!K3744,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44">
        <f>IF(AND('Loan Tape (S&amp;P)'!U3744="Yes",
        'Loan Tape (S&amp;P)'!T3744&lt;&gt;"Yes",
        DATEDIF('Loan Tape (S&amp;P)'!K3744, TODAY(), "M")&lt;18),
    1.10,
    1.00)</f>
        <v/>
      </c>
      <c r="O3744">
        <f>IF('Loan Tape (S&amp;P)'!T3744="Yes",
    1.35,
    1.00)</f>
        <v/>
      </c>
      <c r="P3744">
        <f>IF('Loan Tape (S&amp;P)'!S3744="Yes",
    1.15,
    1.00)</f>
        <v/>
      </c>
      <c r="Q3744">
        <f>IF('Loan Tape (S&amp;P)'!V3744="Yes",
    1.20,
    1.00)</f>
        <v/>
      </c>
      <c r="T3744">
        <f>LET(
    payment_method,'Loan Tape (S&amp;P)'!P3744,
    occupancy,'Loan Tape (S&amp;P)'!N3744,
    maturity_date,'Loan Tape (S&amp;P)'!L3744,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45">
      <c r="J3745">
        <f>LET(
    lien,'Loan Tape (S&amp;P)'!Q3745,
    IF(lien="First",1.00,
        IF(lien="Second",1.50,
            1.70)))</f>
        <v/>
      </c>
      <c r="K3745">
        <f>LET(
    purpose,'Loan Tape (S&amp;P)'!R3745,
    IF(purpose="Purchase",1.00,
        IF(purpose="Remortgage",1.00,
            1.20)))</f>
        <v/>
      </c>
      <c r="L3745">
        <f>LET(
    arrears_months,'Loan Tape (S&amp;P)'!AN3745,
    IF(arrears_months=0,1.00,
    IF(arrears_months=1,3.00,
    IF(arrears_months=2,5.00,
    IF(arrears_months=3,8.00,
    IF(arrears_months=4,10.00,
    IF(arrears_months=5,12.00,15.00)))))))</f>
        <v/>
      </c>
      <c r="M3745">
        <f>LET(
    seasoning_years,DATEDIF('Loan Tape (S&amp;P)'!K3745,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45">
        <f>IF(AND('Loan Tape (S&amp;P)'!U3745="Yes",
        'Loan Tape (S&amp;P)'!T3745&lt;&gt;"Yes",
        DATEDIF('Loan Tape (S&amp;P)'!K3745, TODAY(), "M")&lt;18),
    1.10,
    1.00)</f>
        <v/>
      </c>
      <c r="O3745">
        <f>IF('Loan Tape (S&amp;P)'!T3745="Yes",
    1.35,
    1.00)</f>
        <v/>
      </c>
      <c r="P3745">
        <f>IF('Loan Tape (S&amp;P)'!S3745="Yes",
    1.15,
    1.00)</f>
        <v/>
      </c>
      <c r="Q3745">
        <f>IF('Loan Tape (S&amp;P)'!V3745="Yes",
    1.20,
    1.00)</f>
        <v/>
      </c>
      <c r="T3745">
        <f>LET(
    payment_method,'Loan Tape (S&amp;P)'!P3745,
    occupancy,'Loan Tape (S&amp;P)'!N3745,
    maturity_date,'Loan Tape (S&amp;P)'!L3745,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46">
      <c r="J3746">
        <f>LET(
    lien,'Loan Tape (S&amp;P)'!Q3746,
    IF(lien="First",1.00,
        IF(lien="Second",1.50,
            1.70)))</f>
        <v/>
      </c>
      <c r="K3746">
        <f>LET(
    purpose,'Loan Tape (S&amp;P)'!R3746,
    IF(purpose="Purchase",1.00,
        IF(purpose="Remortgage",1.00,
            1.20)))</f>
        <v/>
      </c>
      <c r="L3746">
        <f>LET(
    arrears_months,'Loan Tape (S&amp;P)'!AN3746,
    IF(arrears_months=0,1.00,
    IF(arrears_months=1,3.00,
    IF(arrears_months=2,5.00,
    IF(arrears_months=3,8.00,
    IF(arrears_months=4,10.00,
    IF(arrears_months=5,12.00,15.00)))))))</f>
        <v/>
      </c>
      <c r="M3746">
        <f>LET(
    seasoning_years,DATEDIF('Loan Tape (S&amp;P)'!K3746,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46">
        <f>IF(AND('Loan Tape (S&amp;P)'!U3746="Yes",
        'Loan Tape (S&amp;P)'!T3746&lt;&gt;"Yes",
        DATEDIF('Loan Tape (S&amp;P)'!K3746, TODAY(), "M")&lt;18),
    1.10,
    1.00)</f>
        <v/>
      </c>
      <c r="O3746">
        <f>IF('Loan Tape (S&amp;P)'!T3746="Yes",
    1.35,
    1.00)</f>
        <v/>
      </c>
      <c r="P3746">
        <f>IF('Loan Tape (S&amp;P)'!S3746="Yes",
    1.15,
    1.00)</f>
        <v/>
      </c>
      <c r="Q3746">
        <f>IF('Loan Tape (S&amp;P)'!V3746="Yes",
    1.20,
    1.00)</f>
        <v/>
      </c>
      <c r="T3746">
        <f>LET(
    payment_method,'Loan Tape (S&amp;P)'!P3746,
    occupancy,'Loan Tape (S&amp;P)'!N3746,
    maturity_date,'Loan Tape (S&amp;P)'!L3746,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47">
      <c r="J3747">
        <f>LET(
    lien,'Loan Tape (S&amp;P)'!Q3747,
    IF(lien="First",1.00,
        IF(lien="Second",1.50,
            1.70)))</f>
        <v/>
      </c>
      <c r="K3747">
        <f>LET(
    purpose,'Loan Tape (S&amp;P)'!R3747,
    IF(purpose="Purchase",1.00,
        IF(purpose="Remortgage",1.00,
            1.20)))</f>
        <v/>
      </c>
      <c r="L3747">
        <f>LET(
    arrears_months,'Loan Tape (S&amp;P)'!AN3747,
    IF(arrears_months=0,1.00,
    IF(arrears_months=1,3.00,
    IF(arrears_months=2,5.00,
    IF(arrears_months=3,8.00,
    IF(arrears_months=4,10.00,
    IF(arrears_months=5,12.00,15.00)))))))</f>
        <v/>
      </c>
      <c r="M3747">
        <f>LET(
    seasoning_years,DATEDIF('Loan Tape (S&amp;P)'!K3747,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47">
        <f>IF(AND('Loan Tape (S&amp;P)'!U3747="Yes",
        'Loan Tape (S&amp;P)'!T3747&lt;&gt;"Yes",
        DATEDIF('Loan Tape (S&amp;P)'!K3747, TODAY(), "M")&lt;18),
    1.10,
    1.00)</f>
        <v/>
      </c>
      <c r="O3747">
        <f>IF('Loan Tape (S&amp;P)'!T3747="Yes",
    1.35,
    1.00)</f>
        <v/>
      </c>
      <c r="P3747">
        <f>IF('Loan Tape (S&amp;P)'!S3747="Yes",
    1.15,
    1.00)</f>
        <v/>
      </c>
      <c r="Q3747">
        <f>IF('Loan Tape (S&amp;P)'!V3747="Yes",
    1.20,
    1.00)</f>
        <v/>
      </c>
      <c r="T3747">
        <f>LET(
    payment_method,'Loan Tape (S&amp;P)'!P3747,
    occupancy,'Loan Tape (S&amp;P)'!N3747,
    maturity_date,'Loan Tape (S&amp;P)'!L3747,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48">
      <c r="J3748">
        <f>LET(
    lien,'Loan Tape (S&amp;P)'!Q3748,
    IF(lien="First",1.00,
        IF(lien="Second",1.50,
            1.70)))</f>
        <v/>
      </c>
      <c r="K3748">
        <f>LET(
    purpose,'Loan Tape (S&amp;P)'!R3748,
    IF(purpose="Purchase",1.00,
        IF(purpose="Remortgage",1.00,
            1.20)))</f>
        <v/>
      </c>
      <c r="L3748">
        <f>LET(
    arrears_months,'Loan Tape (S&amp;P)'!AN3748,
    IF(arrears_months=0,1.00,
    IF(arrears_months=1,3.00,
    IF(arrears_months=2,5.00,
    IF(arrears_months=3,8.00,
    IF(arrears_months=4,10.00,
    IF(arrears_months=5,12.00,15.00)))))))</f>
        <v/>
      </c>
      <c r="M3748">
        <f>LET(
    seasoning_years,DATEDIF('Loan Tape (S&amp;P)'!K3748,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48">
        <f>IF(AND('Loan Tape (S&amp;P)'!U3748="Yes",
        'Loan Tape (S&amp;P)'!T3748&lt;&gt;"Yes",
        DATEDIF('Loan Tape (S&amp;P)'!K3748, TODAY(), "M")&lt;18),
    1.10,
    1.00)</f>
        <v/>
      </c>
      <c r="O3748">
        <f>IF('Loan Tape (S&amp;P)'!T3748="Yes",
    1.35,
    1.00)</f>
        <v/>
      </c>
      <c r="P3748">
        <f>IF('Loan Tape (S&amp;P)'!S3748="Yes",
    1.15,
    1.00)</f>
        <v/>
      </c>
      <c r="Q3748">
        <f>IF('Loan Tape (S&amp;P)'!V3748="Yes",
    1.20,
    1.00)</f>
        <v/>
      </c>
      <c r="T3748">
        <f>LET(
    payment_method,'Loan Tape (S&amp;P)'!P3748,
    occupancy,'Loan Tape (S&amp;P)'!N3748,
    maturity_date,'Loan Tape (S&amp;P)'!L3748,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49">
      <c r="J3749">
        <f>LET(
    lien,'Loan Tape (S&amp;P)'!Q3749,
    IF(lien="First",1.00,
        IF(lien="Second",1.50,
            1.70)))</f>
        <v/>
      </c>
      <c r="K3749">
        <f>LET(
    purpose,'Loan Tape (S&amp;P)'!R3749,
    IF(purpose="Purchase",1.00,
        IF(purpose="Remortgage",1.00,
            1.20)))</f>
        <v/>
      </c>
      <c r="L3749">
        <f>LET(
    arrears_months,'Loan Tape (S&amp;P)'!AN3749,
    IF(arrears_months=0,1.00,
    IF(arrears_months=1,3.00,
    IF(arrears_months=2,5.00,
    IF(arrears_months=3,8.00,
    IF(arrears_months=4,10.00,
    IF(arrears_months=5,12.00,15.00)))))))</f>
        <v/>
      </c>
      <c r="M3749">
        <f>LET(
    seasoning_years,DATEDIF('Loan Tape (S&amp;P)'!K3749,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49">
        <f>IF(AND('Loan Tape (S&amp;P)'!U3749="Yes",
        'Loan Tape (S&amp;P)'!T3749&lt;&gt;"Yes",
        DATEDIF('Loan Tape (S&amp;P)'!K3749, TODAY(), "M")&lt;18),
    1.10,
    1.00)</f>
        <v/>
      </c>
      <c r="O3749">
        <f>IF('Loan Tape (S&amp;P)'!T3749="Yes",
    1.35,
    1.00)</f>
        <v/>
      </c>
      <c r="P3749">
        <f>IF('Loan Tape (S&amp;P)'!S3749="Yes",
    1.15,
    1.00)</f>
        <v/>
      </c>
      <c r="Q3749">
        <f>IF('Loan Tape (S&amp;P)'!V3749="Yes",
    1.20,
    1.00)</f>
        <v/>
      </c>
      <c r="T3749">
        <f>LET(
    payment_method,'Loan Tape (S&amp;P)'!P3749,
    occupancy,'Loan Tape (S&amp;P)'!N3749,
    maturity_date,'Loan Tape (S&amp;P)'!L3749,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50">
      <c r="J3750">
        <f>LET(
    lien,'Loan Tape (S&amp;P)'!Q3750,
    IF(lien="First",1.00,
        IF(lien="Second",1.50,
            1.70)))</f>
        <v/>
      </c>
      <c r="K3750">
        <f>LET(
    purpose,'Loan Tape (S&amp;P)'!R3750,
    IF(purpose="Purchase",1.00,
        IF(purpose="Remortgage",1.00,
            1.20)))</f>
        <v/>
      </c>
      <c r="L3750">
        <f>LET(
    arrears_months,'Loan Tape (S&amp;P)'!AN3750,
    IF(arrears_months=0,1.00,
    IF(arrears_months=1,3.00,
    IF(arrears_months=2,5.00,
    IF(arrears_months=3,8.00,
    IF(arrears_months=4,10.00,
    IF(arrears_months=5,12.00,15.00)))))))</f>
        <v/>
      </c>
      <c r="M3750">
        <f>LET(
    seasoning_years,DATEDIF('Loan Tape (S&amp;P)'!K3750,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50">
        <f>IF(AND('Loan Tape (S&amp;P)'!U3750="Yes",
        'Loan Tape (S&amp;P)'!T3750&lt;&gt;"Yes",
        DATEDIF('Loan Tape (S&amp;P)'!K3750, TODAY(), "M")&lt;18),
    1.10,
    1.00)</f>
        <v/>
      </c>
      <c r="O3750">
        <f>IF('Loan Tape (S&amp;P)'!T3750="Yes",
    1.35,
    1.00)</f>
        <v/>
      </c>
      <c r="P3750">
        <f>IF('Loan Tape (S&amp;P)'!S3750="Yes",
    1.15,
    1.00)</f>
        <v/>
      </c>
      <c r="Q3750">
        <f>IF('Loan Tape (S&amp;P)'!V3750="Yes",
    1.20,
    1.00)</f>
        <v/>
      </c>
      <c r="T3750">
        <f>LET(
    payment_method,'Loan Tape (S&amp;P)'!P3750,
    occupancy,'Loan Tape (S&amp;P)'!N3750,
    maturity_date,'Loan Tape (S&amp;P)'!L3750,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51">
      <c r="J3751">
        <f>LET(
    lien,'Loan Tape (S&amp;P)'!Q3751,
    IF(lien="First",1.00,
        IF(lien="Second",1.50,
            1.70)))</f>
        <v/>
      </c>
      <c r="K3751">
        <f>LET(
    purpose,'Loan Tape (S&amp;P)'!R3751,
    IF(purpose="Purchase",1.00,
        IF(purpose="Remortgage",1.00,
            1.20)))</f>
        <v/>
      </c>
      <c r="L3751">
        <f>LET(
    arrears_months,'Loan Tape (S&amp;P)'!AN3751,
    IF(arrears_months=0,1.00,
    IF(arrears_months=1,3.00,
    IF(arrears_months=2,5.00,
    IF(arrears_months=3,8.00,
    IF(arrears_months=4,10.00,
    IF(arrears_months=5,12.00,15.00)))))))</f>
        <v/>
      </c>
      <c r="M3751">
        <f>LET(
    seasoning_years,DATEDIF('Loan Tape (S&amp;P)'!K3751,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51">
        <f>IF(AND('Loan Tape (S&amp;P)'!U3751="Yes",
        'Loan Tape (S&amp;P)'!T3751&lt;&gt;"Yes",
        DATEDIF('Loan Tape (S&amp;P)'!K3751, TODAY(), "M")&lt;18),
    1.10,
    1.00)</f>
        <v/>
      </c>
      <c r="O3751">
        <f>IF('Loan Tape (S&amp;P)'!T3751="Yes",
    1.35,
    1.00)</f>
        <v/>
      </c>
      <c r="P3751">
        <f>IF('Loan Tape (S&amp;P)'!S3751="Yes",
    1.15,
    1.00)</f>
        <v/>
      </c>
      <c r="Q3751">
        <f>IF('Loan Tape (S&amp;P)'!V3751="Yes",
    1.20,
    1.00)</f>
        <v/>
      </c>
      <c r="T3751">
        <f>LET(
    payment_method,'Loan Tape (S&amp;P)'!P3751,
    occupancy,'Loan Tape (S&amp;P)'!N3751,
    maturity_date,'Loan Tape (S&amp;P)'!L3751,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52">
      <c r="J3752">
        <f>LET(
    lien,'Loan Tape (S&amp;P)'!Q3752,
    IF(lien="First",1.00,
        IF(lien="Second",1.50,
            1.70)))</f>
        <v/>
      </c>
      <c r="K3752">
        <f>LET(
    purpose,'Loan Tape (S&amp;P)'!R3752,
    IF(purpose="Purchase",1.00,
        IF(purpose="Remortgage",1.00,
            1.20)))</f>
        <v/>
      </c>
      <c r="L3752">
        <f>LET(
    arrears_months,'Loan Tape (S&amp;P)'!AN3752,
    IF(arrears_months=0,1.00,
    IF(arrears_months=1,3.00,
    IF(arrears_months=2,5.00,
    IF(arrears_months=3,8.00,
    IF(arrears_months=4,10.00,
    IF(arrears_months=5,12.00,15.00)))))))</f>
        <v/>
      </c>
      <c r="M3752">
        <f>LET(
    seasoning_years,DATEDIF('Loan Tape (S&amp;P)'!K3752,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52">
        <f>IF(AND('Loan Tape (S&amp;P)'!U3752="Yes",
        'Loan Tape (S&amp;P)'!T3752&lt;&gt;"Yes",
        DATEDIF('Loan Tape (S&amp;P)'!K3752, TODAY(), "M")&lt;18),
    1.10,
    1.00)</f>
        <v/>
      </c>
      <c r="O3752">
        <f>IF('Loan Tape (S&amp;P)'!T3752="Yes",
    1.35,
    1.00)</f>
        <v/>
      </c>
      <c r="P3752">
        <f>IF('Loan Tape (S&amp;P)'!S3752="Yes",
    1.15,
    1.00)</f>
        <v/>
      </c>
      <c r="Q3752">
        <f>IF('Loan Tape (S&amp;P)'!V3752="Yes",
    1.20,
    1.00)</f>
        <v/>
      </c>
      <c r="T3752">
        <f>LET(
    payment_method,'Loan Tape (S&amp;P)'!P3752,
    occupancy,'Loan Tape (S&amp;P)'!N3752,
    maturity_date,'Loan Tape (S&amp;P)'!L3752,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53">
      <c r="J3753">
        <f>LET(
    lien,'Loan Tape (S&amp;P)'!Q3753,
    IF(lien="First",1.00,
        IF(lien="Second",1.50,
            1.70)))</f>
        <v/>
      </c>
      <c r="K3753">
        <f>LET(
    purpose,'Loan Tape (S&amp;P)'!R3753,
    IF(purpose="Purchase",1.00,
        IF(purpose="Remortgage",1.00,
            1.20)))</f>
        <v/>
      </c>
      <c r="L3753">
        <f>LET(
    arrears_months,'Loan Tape (S&amp;P)'!AN3753,
    IF(arrears_months=0,1.00,
    IF(arrears_months=1,3.00,
    IF(arrears_months=2,5.00,
    IF(arrears_months=3,8.00,
    IF(arrears_months=4,10.00,
    IF(arrears_months=5,12.00,15.00)))))))</f>
        <v/>
      </c>
      <c r="M3753">
        <f>LET(
    seasoning_years,DATEDIF('Loan Tape (S&amp;P)'!K3753,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53">
        <f>IF(AND('Loan Tape (S&amp;P)'!U3753="Yes",
        'Loan Tape (S&amp;P)'!T3753&lt;&gt;"Yes",
        DATEDIF('Loan Tape (S&amp;P)'!K3753, TODAY(), "M")&lt;18),
    1.10,
    1.00)</f>
        <v/>
      </c>
      <c r="O3753">
        <f>IF('Loan Tape (S&amp;P)'!T3753="Yes",
    1.35,
    1.00)</f>
        <v/>
      </c>
      <c r="P3753">
        <f>IF('Loan Tape (S&amp;P)'!S3753="Yes",
    1.15,
    1.00)</f>
        <v/>
      </c>
      <c r="Q3753">
        <f>IF('Loan Tape (S&amp;P)'!V3753="Yes",
    1.20,
    1.00)</f>
        <v/>
      </c>
      <c r="T3753">
        <f>LET(
    payment_method,'Loan Tape (S&amp;P)'!P3753,
    occupancy,'Loan Tape (S&amp;P)'!N3753,
    maturity_date,'Loan Tape (S&amp;P)'!L3753,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54">
      <c r="J3754">
        <f>LET(
    lien,'Loan Tape (S&amp;P)'!Q3754,
    IF(lien="First",1.00,
        IF(lien="Second",1.50,
            1.70)))</f>
        <v/>
      </c>
      <c r="K3754">
        <f>LET(
    purpose,'Loan Tape (S&amp;P)'!R3754,
    IF(purpose="Purchase",1.00,
        IF(purpose="Remortgage",1.00,
            1.20)))</f>
        <v/>
      </c>
      <c r="L3754">
        <f>LET(
    arrears_months,'Loan Tape (S&amp;P)'!AN3754,
    IF(arrears_months=0,1.00,
    IF(arrears_months=1,3.00,
    IF(arrears_months=2,5.00,
    IF(arrears_months=3,8.00,
    IF(arrears_months=4,10.00,
    IF(arrears_months=5,12.00,15.00)))))))</f>
        <v/>
      </c>
      <c r="M3754">
        <f>LET(
    seasoning_years,DATEDIF('Loan Tape (S&amp;P)'!K3754,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54">
        <f>IF(AND('Loan Tape (S&amp;P)'!U3754="Yes",
        'Loan Tape (S&amp;P)'!T3754&lt;&gt;"Yes",
        DATEDIF('Loan Tape (S&amp;P)'!K3754, TODAY(), "M")&lt;18),
    1.10,
    1.00)</f>
        <v/>
      </c>
      <c r="O3754">
        <f>IF('Loan Tape (S&amp;P)'!T3754="Yes",
    1.35,
    1.00)</f>
        <v/>
      </c>
      <c r="P3754">
        <f>IF('Loan Tape (S&amp;P)'!S3754="Yes",
    1.15,
    1.00)</f>
        <v/>
      </c>
      <c r="Q3754">
        <f>IF('Loan Tape (S&amp;P)'!V3754="Yes",
    1.20,
    1.00)</f>
        <v/>
      </c>
      <c r="T3754">
        <f>LET(
    payment_method,'Loan Tape (S&amp;P)'!P3754,
    occupancy,'Loan Tape (S&amp;P)'!N3754,
    maturity_date,'Loan Tape (S&amp;P)'!L3754,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55">
      <c r="J3755">
        <f>LET(
    lien,'Loan Tape (S&amp;P)'!Q3755,
    IF(lien="First",1.00,
        IF(lien="Second",1.50,
            1.70)))</f>
        <v/>
      </c>
      <c r="K3755">
        <f>LET(
    purpose,'Loan Tape (S&amp;P)'!R3755,
    IF(purpose="Purchase",1.00,
        IF(purpose="Remortgage",1.00,
            1.20)))</f>
        <v/>
      </c>
      <c r="L3755">
        <f>LET(
    arrears_months,'Loan Tape (S&amp;P)'!AN3755,
    IF(arrears_months=0,1.00,
    IF(arrears_months=1,3.00,
    IF(arrears_months=2,5.00,
    IF(arrears_months=3,8.00,
    IF(arrears_months=4,10.00,
    IF(arrears_months=5,12.00,15.00)))))))</f>
        <v/>
      </c>
      <c r="M3755">
        <f>LET(
    seasoning_years,DATEDIF('Loan Tape (S&amp;P)'!K3755,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55">
        <f>IF(AND('Loan Tape (S&amp;P)'!U3755="Yes",
        'Loan Tape (S&amp;P)'!T3755&lt;&gt;"Yes",
        DATEDIF('Loan Tape (S&amp;P)'!K3755, TODAY(), "M")&lt;18),
    1.10,
    1.00)</f>
        <v/>
      </c>
      <c r="O3755">
        <f>IF('Loan Tape (S&amp;P)'!T3755="Yes",
    1.35,
    1.00)</f>
        <v/>
      </c>
      <c r="P3755">
        <f>IF('Loan Tape (S&amp;P)'!S3755="Yes",
    1.15,
    1.00)</f>
        <v/>
      </c>
      <c r="Q3755">
        <f>IF('Loan Tape (S&amp;P)'!V3755="Yes",
    1.20,
    1.00)</f>
        <v/>
      </c>
      <c r="T3755">
        <f>LET(
    payment_method,'Loan Tape (S&amp;P)'!P3755,
    occupancy,'Loan Tape (S&amp;P)'!N3755,
    maturity_date,'Loan Tape (S&amp;P)'!L3755,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56">
      <c r="J3756">
        <f>LET(
    lien,'Loan Tape (S&amp;P)'!Q3756,
    IF(lien="First",1.00,
        IF(lien="Second",1.50,
            1.70)))</f>
        <v/>
      </c>
      <c r="K3756">
        <f>LET(
    purpose,'Loan Tape (S&amp;P)'!R3756,
    IF(purpose="Purchase",1.00,
        IF(purpose="Remortgage",1.00,
            1.20)))</f>
        <v/>
      </c>
      <c r="L3756">
        <f>LET(
    arrears_months,'Loan Tape (S&amp;P)'!AN3756,
    IF(arrears_months=0,1.00,
    IF(arrears_months=1,3.00,
    IF(arrears_months=2,5.00,
    IF(arrears_months=3,8.00,
    IF(arrears_months=4,10.00,
    IF(arrears_months=5,12.00,15.00)))))))</f>
        <v/>
      </c>
      <c r="M3756">
        <f>LET(
    seasoning_years,DATEDIF('Loan Tape (S&amp;P)'!K3756,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56">
        <f>IF(AND('Loan Tape (S&amp;P)'!U3756="Yes",
        'Loan Tape (S&amp;P)'!T3756&lt;&gt;"Yes",
        DATEDIF('Loan Tape (S&amp;P)'!K3756, TODAY(), "M")&lt;18),
    1.10,
    1.00)</f>
        <v/>
      </c>
      <c r="O3756">
        <f>IF('Loan Tape (S&amp;P)'!T3756="Yes",
    1.35,
    1.00)</f>
        <v/>
      </c>
      <c r="P3756">
        <f>IF('Loan Tape (S&amp;P)'!S3756="Yes",
    1.15,
    1.00)</f>
        <v/>
      </c>
      <c r="Q3756">
        <f>IF('Loan Tape (S&amp;P)'!V3756="Yes",
    1.20,
    1.00)</f>
        <v/>
      </c>
      <c r="T3756">
        <f>LET(
    payment_method,'Loan Tape (S&amp;P)'!P3756,
    occupancy,'Loan Tape (S&amp;P)'!N3756,
    maturity_date,'Loan Tape (S&amp;P)'!L3756,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57">
      <c r="J3757">
        <f>LET(
    lien,'Loan Tape (S&amp;P)'!Q3757,
    IF(lien="First",1.00,
        IF(lien="Second",1.50,
            1.70)))</f>
        <v/>
      </c>
      <c r="K3757">
        <f>LET(
    purpose,'Loan Tape (S&amp;P)'!R3757,
    IF(purpose="Purchase",1.00,
        IF(purpose="Remortgage",1.00,
            1.20)))</f>
        <v/>
      </c>
      <c r="L3757">
        <f>LET(
    arrears_months,'Loan Tape (S&amp;P)'!AN3757,
    IF(arrears_months=0,1.00,
    IF(arrears_months=1,3.00,
    IF(arrears_months=2,5.00,
    IF(arrears_months=3,8.00,
    IF(arrears_months=4,10.00,
    IF(arrears_months=5,12.00,15.00)))))))</f>
        <v/>
      </c>
      <c r="M3757">
        <f>LET(
    seasoning_years,DATEDIF('Loan Tape (S&amp;P)'!K3757,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57">
        <f>IF(AND('Loan Tape (S&amp;P)'!U3757="Yes",
        'Loan Tape (S&amp;P)'!T3757&lt;&gt;"Yes",
        DATEDIF('Loan Tape (S&amp;P)'!K3757, TODAY(), "M")&lt;18),
    1.10,
    1.00)</f>
        <v/>
      </c>
      <c r="O3757">
        <f>IF('Loan Tape (S&amp;P)'!T3757="Yes",
    1.35,
    1.00)</f>
        <v/>
      </c>
      <c r="P3757">
        <f>IF('Loan Tape (S&amp;P)'!S3757="Yes",
    1.15,
    1.00)</f>
        <v/>
      </c>
      <c r="Q3757">
        <f>IF('Loan Tape (S&amp;P)'!V3757="Yes",
    1.20,
    1.00)</f>
        <v/>
      </c>
      <c r="T3757">
        <f>LET(
    payment_method,'Loan Tape (S&amp;P)'!P3757,
    occupancy,'Loan Tape (S&amp;P)'!N3757,
    maturity_date,'Loan Tape (S&amp;P)'!L3757,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58">
      <c r="J3758">
        <f>LET(
    lien,'Loan Tape (S&amp;P)'!Q3758,
    IF(lien="First",1.00,
        IF(lien="Second",1.50,
            1.70)))</f>
        <v/>
      </c>
      <c r="K3758">
        <f>LET(
    purpose,'Loan Tape (S&amp;P)'!R3758,
    IF(purpose="Purchase",1.00,
        IF(purpose="Remortgage",1.00,
            1.20)))</f>
        <v/>
      </c>
      <c r="L3758">
        <f>LET(
    arrears_months,'Loan Tape (S&amp;P)'!AN3758,
    IF(arrears_months=0,1.00,
    IF(arrears_months=1,3.00,
    IF(arrears_months=2,5.00,
    IF(arrears_months=3,8.00,
    IF(arrears_months=4,10.00,
    IF(arrears_months=5,12.00,15.00)))))))</f>
        <v/>
      </c>
      <c r="M3758">
        <f>LET(
    seasoning_years,DATEDIF('Loan Tape (S&amp;P)'!K3758,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58">
        <f>IF(AND('Loan Tape (S&amp;P)'!U3758="Yes",
        'Loan Tape (S&amp;P)'!T3758&lt;&gt;"Yes",
        DATEDIF('Loan Tape (S&amp;P)'!K3758, TODAY(), "M")&lt;18),
    1.10,
    1.00)</f>
        <v/>
      </c>
      <c r="O3758">
        <f>IF('Loan Tape (S&amp;P)'!T3758="Yes",
    1.35,
    1.00)</f>
        <v/>
      </c>
      <c r="P3758">
        <f>IF('Loan Tape (S&amp;P)'!S3758="Yes",
    1.15,
    1.00)</f>
        <v/>
      </c>
      <c r="Q3758">
        <f>IF('Loan Tape (S&amp;P)'!V3758="Yes",
    1.20,
    1.00)</f>
        <v/>
      </c>
      <c r="T3758">
        <f>LET(
    payment_method,'Loan Tape (S&amp;P)'!P3758,
    occupancy,'Loan Tape (S&amp;P)'!N3758,
    maturity_date,'Loan Tape (S&amp;P)'!L3758,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59">
      <c r="J3759">
        <f>LET(
    lien,'Loan Tape (S&amp;P)'!Q3759,
    IF(lien="First",1.00,
        IF(lien="Second",1.50,
            1.70)))</f>
        <v/>
      </c>
      <c r="K3759">
        <f>LET(
    purpose,'Loan Tape (S&amp;P)'!R3759,
    IF(purpose="Purchase",1.00,
        IF(purpose="Remortgage",1.00,
            1.20)))</f>
        <v/>
      </c>
      <c r="L3759">
        <f>LET(
    arrears_months,'Loan Tape (S&amp;P)'!AN3759,
    IF(arrears_months=0,1.00,
    IF(arrears_months=1,3.00,
    IF(arrears_months=2,5.00,
    IF(arrears_months=3,8.00,
    IF(arrears_months=4,10.00,
    IF(arrears_months=5,12.00,15.00)))))))</f>
        <v/>
      </c>
      <c r="M3759">
        <f>LET(
    seasoning_years,DATEDIF('Loan Tape (S&amp;P)'!K3759,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59">
        <f>IF(AND('Loan Tape (S&amp;P)'!U3759="Yes",
        'Loan Tape (S&amp;P)'!T3759&lt;&gt;"Yes",
        DATEDIF('Loan Tape (S&amp;P)'!K3759, TODAY(), "M")&lt;18),
    1.10,
    1.00)</f>
        <v/>
      </c>
      <c r="O3759">
        <f>IF('Loan Tape (S&amp;P)'!T3759="Yes",
    1.35,
    1.00)</f>
        <v/>
      </c>
      <c r="P3759">
        <f>IF('Loan Tape (S&amp;P)'!S3759="Yes",
    1.15,
    1.00)</f>
        <v/>
      </c>
      <c r="Q3759">
        <f>IF('Loan Tape (S&amp;P)'!V3759="Yes",
    1.20,
    1.00)</f>
        <v/>
      </c>
      <c r="T3759">
        <f>LET(
    payment_method,'Loan Tape (S&amp;P)'!P3759,
    occupancy,'Loan Tape (S&amp;P)'!N3759,
    maturity_date,'Loan Tape (S&amp;P)'!L3759,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60">
      <c r="J3760">
        <f>LET(
    lien,'Loan Tape (S&amp;P)'!Q3760,
    IF(lien="First",1.00,
        IF(lien="Second",1.50,
            1.70)))</f>
        <v/>
      </c>
      <c r="K3760">
        <f>LET(
    purpose,'Loan Tape (S&amp;P)'!R3760,
    IF(purpose="Purchase",1.00,
        IF(purpose="Remortgage",1.00,
            1.20)))</f>
        <v/>
      </c>
      <c r="L3760">
        <f>LET(
    arrears_months,'Loan Tape (S&amp;P)'!AN3760,
    IF(arrears_months=0,1.00,
    IF(arrears_months=1,3.00,
    IF(arrears_months=2,5.00,
    IF(arrears_months=3,8.00,
    IF(arrears_months=4,10.00,
    IF(arrears_months=5,12.00,15.00)))))))</f>
        <v/>
      </c>
      <c r="M3760">
        <f>LET(
    seasoning_years,DATEDIF('Loan Tape (S&amp;P)'!K3760,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60">
        <f>IF(AND('Loan Tape (S&amp;P)'!U3760="Yes",
        'Loan Tape (S&amp;P)'!T3760&lt;&gt;"Yes",
        DATEDIF('Loan Tape (S&amp;P)'!K3760, TODAY(), "M")&lt;18),
    1.10,
    1.00)</f>
        <v/>
      </c>
      <c r="O3760">
        <f>IF('Loan Tape (S&amp;P)'!T3760="Yes",
    1.35,
    1.00)</f>
        <v/>
      </c>
      <c r="P3760">
        <f>IF('Loan Tape (S&amp;P)'!S3760="Yes",
    1.15,
    1.00)</f>
        <v/>
      </c>
      <c r="Q3760">
        <f>IF('Loan Tape (S&amp;P)'!V3760="Yes",
    1.20,
    1.00)</f>
        <v/>
      </c>
      <c r="T3760">
        <f>LET(
    payment_method,'Loan Tape (S&amp;P)'!P3760,
    occupancy,'Loan Tape (S&amp;P)'!N3760,
    maturity_date,'Loan Tape (S&amp;P)'!L3760,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61">
      <c r="J3761">
        <f>LET(
    lien,'Loan Tape (S&amp;P)'!Q3761,
    IF(lien="First",1.00,
        IF(lien="Second",1.50,
            1.70)))</f>
        <v/>
      </c>
      <c r="K3761">
        <f>LET(
    purpose,'Loan Tape (S&amp;P)'!R3761,
    IF(purpose="Purchase",1.00,
        IF(purpose="Remortgage",1.00,
            1.20)))</f>
        <v/>
      </c>
      <c r="L3761">
        <f>LET(
    arrears_months,'Loan Tape (S&amp;P)'!AN3761,
    IF(arrears_months=0,1.00,
    IF(arrears_months=1,3.00,
    IF(arrears_months=2,5.00,
    IF(arrears_months=3,8.00,
    IF(arrears_months=4,10.00,
    IF(arrears_months=5,12.00,15.00)))))))</f>
        <v/>
      </c>
      <c r="M3761">
        <f>LET(
    seasoning_years,DATEDIF('Loan Tape (S&amp;P)'!K3761,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61">
        <f>IF(AND('Loan Tape (S&amp;P)'!U3761="Yes",
        'Loan Tape (S&amp;P)'!T3761&lt;&gt;"Yes",
        DATEDIF('Loan Tape (S&amp;P)'!K3761, TODAY(), "M")&lt;18),
    1.10,
    1.00)</f>
        <v/>
      </c>
      <c r="O3761">
        <f>IF('Loan Tape (S&amp;P)'!T3761="Yes",
    1.35,
    1.00)</f>
        <v/>
      </c>
      <c r="P3761">
        <f>IF('Loan Tape (S&amp;P)'!S3761="Yes",
    1.15,
    1.00)</f>
        <v/>
      </c>
      <c r="Q3761">
        <f>IF('Loan Tape (S&amp;P)'!V3761="Yes",
    1.20,
    1.00)</f>
        <v/>
      </c>
      <c r="T3761">
        <f>LET(
    payment_method,'Loan Tape (S&amp;P)'!P3761,
    occupancy,'Loan Tape (S&amp;P)'!N3761,
    maturity_date,'Loan Tape (S&amp;P)'!L3761,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62">
      <c r="J3762">
        <f>LET(
    lien,'Loan Tape (S&amp;P)'!Q3762,
    IF(lien="First",1.00,
        IF(lien="Second",1.50,
            1.70)))</f>
        <v/>
      </c>
      <c r="K3762">
        <f>LET(
    purpose,'Loan Tape (S&amp;P)'!R3762,
    IF(purpose="Purchase",1.00,
        IF(purpose="Remortgage",1.00,
            1.20)))</f>
        <v/>
      </c>
      <c r="L3762">
        <f>LET(
    arrears_months,'Loan Tape (S&amp;P)'!AN3762,
    IF(arrears_months=0,1.00,
    IF(arrears_months=1,3.00,
    IF(arrears_months=2,5.00,
    IF(arrears_months=3,8.00,
    IF(arrears_months=4,10.00,
    IF(arrears_months=5,12.00,15.00)))))))</f>
        <v/>
      </c>
      <c r="M3762">
        <f>LET(
    seasoning_years,DATEDIF('Loan Tape (S&amp;P)'!K3762,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62">
        <f>IF(AND('Loan Tape (S&amp;P)'!U3762="Yes",
        'Loan Tape (S&amp;P)'!T3762&lt;&gt;"Yes",
        DATEDIF('Loan Tape (S&amp;P)'!K3762, TODAY(), "M")&lt;18),
    1.10,
    1.00)</f>
        <v/>
      </c>
      <c r="O3762">
        <f>IF('Loan Tape (S&amp;P)'!T3762="Yes",
    1.35,
    1.00)</f>
        <v/>
      </c>
      <c r="P3762">
        <f>IF('Loan Tape (S&amp;P)'!S3762="Yes",
    1.15,
    1.00)</f>
        <v/>
      </c>
      <c r="Q3762">
        <f>IF('Loan Tape (S&amp;P)'!V3762="Yes",
    1.20,
    1.00)</f>
        <v/>
      </c>
      <c r="T3762">
        <f>LET(
    payment_method,'Loan Tape (S&amp;P)'!P3762,
    occupancy,'Loan Tape (S&amp;P)'!N3762,
    maturity_date,'Loan Tape (S&amp;P)'!L3762,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63">
      <c r="J3763">
        <f>LET(
    lien,'Loan Tape (S&amp;P)'!Q3763,
    IF(lien="First",1.00,
        IF(lien="Second",1.50,
            1.70)))</f>
        <v/>
      </c>
      <c r="K3763">
        <f>LET(
    purpose,'Loan Tape (S&amp;P)'!R3763,
    IF(purpose="Purchase",1.00,
        IF(purpose="Remortgage",1.00,
            1.20)))</f>
        <v/>
      </c>
      <c r="L3763">
        <f>LET(
    arrears_months,'Loan Tape (S&amp;P)'!AN3763,
    IF(arrears_months=0,1.00,
    IF(arrears_months=1,3.00,
    IF(arrears_months=2,5.00,
    IF(arrears_months=3,8.00,
    IF(arrears_months=4,10.00,
    IF(arrears_months=5,12.00,15.00)))))))</f>
        <v/>
      </c>
      <c r="M3763">
        <f>LET(
    seasoning_years,DATEDIF('Loan Tape (S&amp;P)'!K3763,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63">
        <f>IF(AND('Loan Tape (S&amp;P)'!U3763="Yes",
        'Loan Tape (S&amp;P)'!T3763&lt;&gt;"Yes",
        DATEDIF('Loan Tape (S&amp;P)'!K3763, TODAY(), "M")&lt;18),
    1.10,
    1.00)</f>
        <v/>
      </c>
      <c r="O3763">
        <f>IF('Loan Tape (S&amp;P)'!T3763="Yes",
    1.35,
    1.00)</f>
        <v/>
      </c>
      <c r="P3763">
        <f>IF('Loan Tape (S&amp;P)'!S3763="Yes",
    1.15,
    1.00)</f>
        <v/>
      </c>
      <c r="Q3763">
        <f>IF('Loan Tape (S&amp;P)'!V3763="Yes",
    1.20,
    1.00)</f>
        <v/>
      </c>
      <c r="T3763">
        <f>LET(
    payment_method,'Loan Tape (S&amp;P)'!P3763,
    occupancy,'Loan Tape (S&amp;P)'!N3763,
    maturity_date,'Loan Tape (S&amp;P)'!L3763,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64">
      <c r="J3764">
        <f>LET(
    lien,'Loan Tape (S&amp;P)'!Q3764,
    IF(lien="First",1.00,
        IF(lien="Second",1.50,
            1.70)))</f>
        <v/>
      </c>
      <c r="K3764">
        <f>LET(
    purpose,'Loan Tape (S&amp;P)'!R3764,
    IF(purpose="Purchase",1.00,
        IF(purpose="Remortgage",1.00,
            1.20)))</f>
        <v/>
      </c>
      <c r="L3764">
        <f>LET(
    arrears_months,'Loan Tape (S&amp;P)'!AN3764,
    IF(arrears_months=0,1.00,
    IF(arrears_months=1,3.00,
    IF(arrears_months=2,5.00,
    IF(arrears_months=3,8.00,
    IF(arrears_months=4,10.00,
    IF(arrears_months=5,12.00,15.00)))))))</f>
        <v/>
      </c>
      <c r="M3764">
        <f>LET(
    seasoning_years,DATEDIF('Loan Tape (S&amp;P)'!K3764,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64">
        <f>IF(AND('Loan Tape (S&amp;P)'!U3764="Yes",
        'Loan Tape (S&amp;P)'!T3764&lt;&gt;"Yes",
        DATEDIF('Loan Tape (S&amp;P)'!K3764, TODAY(), "M")&lt;18),
    1.10,
    1.00)</f>
        <v/>
      </c>
      <c r="O3764">
        <f>IF('Loan Tape (S&amp;P)'!T3764="Yes",
    1.35,
    1.00)</f>
        <v/>
      </c>
      <c r="P3764">
        <f>IF('Loan Tape (S&amp;P)'!S3764="Yes",
    1.15,
    1.00)</f>
        <v/>
      </c>
      <c r="Q3764">
        <f>IF('Loan Tape (S&amp;P)'!V3764="Yes",
    1.20,
    1.00)</f>
        <v/>
      </c>
      <c r="T3764">
        <f>LET(
    payment_method,'Loan Tape (S&amp;P)'!P3764,
    occupancy,'Loan Tape (S&amp;P)'!N3764,
    maturity_date,'Loan Tape (S&amp;P)'!L3764,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65">
      <c r="J3765">
        <f>LET(
    lien,'Loan Tape (S&amp;P)'!Q3765,
    IF(lien="First",1.00,
        IF(lien="Second",1.50,
            1.70)))</f>
        <v/>
      </c>
      <c r="K3765">
        <f>LET(
    purpose,'Loan Tape (S&amp;P)'!R3765,
    IF(purpose="Purchase",1.00,
        IF(purpose="Remortgage",1.00,
            1.20)))</f>
        <v/>
      </c>
      <c r="L3765">
        <f>LET(
    arrears_months,'Loan Tape (S&amp;P)'!AN3765,
    IF(arrears_months=0,1.00,
    IF(arrears_months=1,3.00,
    IF(arrears_months=2,5.00,
    IF(arrears_months=3,8.00,
    IF(arrears_months=4,10.00,
    IF(arrears_months=5,12.00,15.00)))))))</f>
        <v/>
      </c>
      <c r="M3765">
        <f>LET(
    seasoning_years,DATEDIF('Loan Tape (S&amp;P)'!K3765,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65">
        <f>IF(AND('Loan Tape (S&amp;P)'!U3765="Yes",
        'Loan Tape (S&amp;P)'!T3765&lt;&gt;"Yes",
        DATEDIF('Loan Tape (S&amp;P)'!K3765, TODAY(), "M")&lt;18),
    1.10,
    1.00)</f>
        <v/>
      </c>
      <c r="O3765">
        <f>IF('Loan Tape (S&amp;P)'!T3765="Yes",
    1.35,
    1.00)</f>
        <v/>
      </c>
      <c r="P3765">
        <f>IF('Loan Tape (S&amp;P)'!S3765="Yes",
    1.15,
    1.00)</f>
        <v/>
      </c>
      <c r="Q3765">
        <f>IF('Loan Tape (S&amp;P)'!V3765="Yes",
    1.20,
    1.00)</f>
        <v/>
      </c>
      <c r="T3765">
        <f>LET(
    payment_method,'Loan Tape (S&amp;P)'!P3765,
    occupancy,'Loan Tape (S&amp;P)'!N3765,
    maturity_date,'Loan Tape (S&amp;P)'!L3765,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66">
      <c r="J3766">
        <f>LET(
    lien,'Loan Tape (S&amp;P)'!Q3766,
    IF(lien="First",1.00,
        IF(lien="Second",1.50,
            1.70)))</f>
        <v/>
      </c>
      <c r="K3766">
        <f>LET(
    purpose,'Loan Tape (S&amp;P)'!R3766,
    IF(purpose="Purchase",1.00,
        IF(purpose="Remortgage",1.00,
            1.20)))</f>
        <v/>
      </c>
      <c r="L3766">
        <f>LET(
    arrears_months,'Loan Tape (S&amp;P)'!AN3766,
    IF(arrears_months=0,1.00,
    IF(arrears_months=1,3.00,
    IF(arrears_months=2,5.00,
    IF(arrears_months=3,8.00,
    IF(arrears_months=4,10.00,
    IF(arrears_months=5,12.00,15.00)))))))</f>
        <v/>
      </c>
      <c r="M3766">
        <f>LET(
    seasoning_years,DATEDIF('Loan Tape (S&amp;P)'!K3766,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66">
        <f>IF(AND('Loan Tape (S&amp;P)'!U3766="Yes",
        'Loan Tape (S&amp;P)'!T3766&lt;&gt;"Yes",
        DATEDIF('Loan Tape (S&amp;P)'!K3766, TODAY(), "M")&lt;18),
    1.10,
    1.00)</f>
        <v/>
      </c>
      <c r="O3766">
        <f>IF('Loan Tape (S&amp;P)'!T3766="Yes",
    1.35,
    1.00)</f>
        <v/>
      </c>
      <c r="P3766">
        <f>IF('Loan Tape (S&amp;P)'!S3766="Yes",
    1.15,
    1.00)</f>
        <v/>
      </c>
      <c r="Q3766">
        <f>IF('Loan Tape (S&amp;P)'!V3766="Yes",
    1.20,
    1.00)</f>
        <v/>
      </c>
      <c r="T3766">
        <f>LET(
    payment_method,'Loan Tape (S&amp;P)'!P3766,
    occupancy,'Loan Tape (S&amp;P)'!N3766,
    maturity_date,'Loan Tape (S&amp;P)'!L3766,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67">
      <c r="J3767">
        <f>LET(
    lien,'Loan Tape (S&amp;P)'!Q3767,
    IF(lien="First",1.00,
        IF(lien="Second",1.50,
            1.70)))</f>
        <v/>
      </c>
      <c r="K3767">
        <f>LET(
    purpose,'Loan Tape (S&amp;P)'!R3767,
    IF(purpose="Purchase",1.00,
        IF(purpose="Remortgage",1.00,
            1.20)))</f>
        <v/>
      </c>
      <c r="L3767">
        <f>LET(
    arrears_months,'Loan Tape (S&amp;P)'!AN3767,
    IF(arrears_months=0,1.00,
    IF(arrears_months=1,3.00,
    IF(arrears_months=2,5.00,
    IF(arrears_months=3,8.00,
    IF(arrears_months=4,10.00,
    IF(arrears_months=5,12.00,15.00)))))))</f>
        <v/>
      </c>
      <c r="M3767">
        <f>LET(
    seasoning_years,DATEDIF('Loan Tape (S&amp;P)'!K3767,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67">
        <f>IF(AND('Loan Tape (S&amp;P)'!U3767="Yes",
        'Loan Tape (S&amp;P)'!T3767&lt;&gt;"Yes",
        DATEDIF('Loan Tape (S&amp;P)'!K3767, TODAY(), "M")&lt;18),
    1.10,
    1.00)</f>
        <v/>
      </c>
      <c r="O3767">
        <f>IF('Loan Tape (S&amp;P)'!T3767="Yes",
    1.35,
    1.00)</f>
        <v/>
      </c>
      <c r="P3767">
        <f>IF('Loan Tape (S&amp;P)'!S3767="Yes",
    1.15,
    1.00)</f>
        <v/>
      </c>
      <c r="Q3767">
        <f>IF('Loan Tape (S&amp;P)'!V3767="Yes",
    1.20,
    1.00)</f>
        <v/>
      </c>
      <c r="T3767">
        <f>LET(
    payment_method,'Loan Tape (S&amp;P)'!P3767,
    occupancy,'Loan Tape (S&amp;P)'!N3767,
    maturity_date,'Loan Tape (S&amp;P)'!L3767,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68">
      <c r="J3768">
        <f>LET(
    lien,'Loan Tape (S&amp;P)'!Q3768,
    IF(lien="First",1.00,
        IF(lien="Second",1.50,
            1.70)))</f>
        <v/>
      </c>
      <c r="K3768">
        <f>LET(
    purpose,'Loan Tape (S&amp;P)'!R3768,
    IF(purpose="Purchase",1.00,
        IF(purpose="Remortgage",1.00,
            1.20)))</f>
        <v/>
      </c>
      <c r="L3768">
        <f>LET(
    arrears_months,'Loan Tape (S&amp;P)'!AN3768,
    IF(arrears_months=0,1.00,
    IF(arrears_months=1,3.00,
    IF(arrears_months=2,5.00,
    IF(arrears_months=3,8.00,
    IF(arrears_months=4,10.00,
    IF(arrears_months=5,12.00,15.00)))))))</f>
        <v/>
      </c>
      <c r="M3768">
        <f>LET(
    seasoning_years,DATEDIF('Loan Tape (S&amp;P)'!K3768,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68">
        <f>IF(AND('Loan Tape (S&amp;P)'!U3768="Yes",
        'Loan Tape (S&amp;P)'!T3768&lt;&gt;"Yes",
        DATEDIF('Loan Tape (S&amp;P)'!K3768, TODAY(), "M")&lt;18),
    1.10,
    1.00)</f>
        <v/>
      </c>
      <c r="O3768">
        <f>IF('Loan Tape (S&amp;P)'!T3768="Yes",
    1.35,
    1.00)</f>
        <v/>
      </c>
      <c r="P3768">
        <f>IF('Loan Tape (S&amp;P)'!S3768="Yes",
    1.15,
    1.00)</f>
        <v/>
      </c>
      <c r="Q3768">
        <f>IF('Loan Tape (S&amp;P)'!V3768="Yes",
    1.20,
    1.00)</f>
        <v/>
      </c>
      <c r="T3768">
        <f>LET(
    payment_method,'Loan Tape (S&amp;P)'!P3768,
    occupancy,'Loan Tape (S&amp;P)'!N3768,
    maturity_date,'Loan Tape (S&amp;P)'!L3768,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69">
      <c r="J3769">
        <f>LET(
    lien,'Loan Tape (S&amp;P)'!Q3769,
    IF(lien="First",1.00,
        IF(lien="Second",1.50,
            1.70)))</f>
        <v/>
      </c>
      <c r="K3769">
        <f>LET(
    purpose,'Loan Tape (S&amp;P)'!R3769,
    IF(purpose="Purchase",1.00,
        IF(purpose="Remortgage",1.00,
            1.20)))</f>
        <v/>
      </c>
      <c r="L3769">
        <f>LET(
    arrears_months,'Loan Tape (S&amp;P)'!AN3769,
    IF(arrears_months=0,1.00,
    IF(arrears_months=1,3.00,
    IF(arrears_months=2,5.00,
    IF(arrears_months=3,8.00,
    IF(arrears_months=4,10.00,
    IF(arrears_months=5,12.00,15.00)))))))</f>
        <v/>
      </c>
      <c r="M3769">
        <f>LET(
    seasoning_years,DATEDIF('Loan Tape (S&amp;P)'!K3769,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69">
        <f>IF(AND('Loan Tape (S&amp;P)'!U3769="Yes",
        'Loan Tape (S&amp;P)'!T3769&lt;&gt;"Yes",
        DATEDIF('Loan Tape (S&amp;P)'!K3769, TODAY(), "M")&lt;18),
    1.10,
    1.00)</f>
        <v/>
      </c>
      <c r="O3769">
        <f>IF('Loan Tape (S&amp;P)'!T3769="Yes",
    1.35,
    1.00)</f>
        <v/>
      </c>
      <c r="P3769">
        <f>IF('Loan Tape (S&amp;P)'!S3769="Yes",
    1.15,
    1.00)</f>
        <v/>
      </c>
      <c r="Q3769">
        <f>IF('Loan Tape (S&amp;P)'!V3769="Yes",
    1.20,
    1.00)</f>
        <v/>
      </c>
      <c r="T3769">
        <f>LET(
    payment_method,'Loan Tape (S&amp;P)'!P3769,
    occupancy,'Loan Tape (S&amp;P)'!N3769,
    maturity_date,'Loan Tape (S&amp;P)'!L3769,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70">
      <c r="J3770">
        <f>LET(
    lien,'Loan Tape (S&amp;P)'!Q3770,
    IF(lien="First",1.00,
        IF(lien="Second",1.50,
            1.70)))</f>
        <v/>
      </c>
      <c r="K3770">
        <f>LET(
    purpose,'Loan Tape (S&amp;P)'!R3770,
    IF(purpose="Purchase",1.00,
        IF(purpose="Remortgage",1.00,
            1.20)))</f>
        <v/>
      </c>
      <c r="L3770">
        <f>LET(
    arrears_months,'Loan Tape (S&amp;P)'!AN3770,
    IF(arrears_months=0,1.00,
    IF(arrears_months=1,3.00,
    IF(arrears_months=2,5.00,
    IF(arrears_months=3,8.00,
    IF(arrears_months=4,10.00,
    IF(arrears_months=5,12.00,15.00)))))))</f>
        <v/>
      </c>
      <c r="M3770">
        <f>LET(
    seasoning_years,DATEDIF('Loan Tape (S&amp;P)'!K3770,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70">
        <f>IF(AND('Loan Tape (S&amp;P)'!U3770="Yes",
        'Loan Tape (S&amp;P)'!T3770&lt;&gt;"Yes",
        DATEDIF('Loan Tape (S&amp;P)'!K3770, TODAY(), "M")&lt;18),
    1.10,
    1.00)</f>
        <v/>
      </c>
      <c r="O3770">
        <f>IF('Loan Tape (S&amp;P)'!T3770="Yes",
    1.35,
    1.00)</f>
        <v/>
      </c>
      <c r="P3770">
        <f>IF('Loan Tape (S&amp;P)'!S3770="Yes",
    1.15,
    1.00)</f>
        <v/>
      </c>
      <c r="Q3770">
        <f>IF('Loan Tape (S&amp;P)'!V3770="Yes",
    1.20,
    1.00)</f>
        <v/>
      </c>
      <c r="T3770">
        <f>LET(
    payment_method,'Loan Tape (S&amp;P)'!P3770,
    occupancy,'Loan Tape (S&amp;P)'!N3770,
    maturity_date,'Loan Tape (S&amp;P)'!L3770,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71">
      <c r="J3771">
        <f>LET(
    lien,'Loan Tape (S&amp;P)'!Q3771,
    IF(lien="First",1.00,
        IF(lien="Second",1.50,
            1.70)))</f>
        <v/>
      </c>
      <c r="K3771">
        <f>LET(
    purpose,'Loan Tape (S&amp;P)'!R3771,
    IF(purpose="Purchase",1.00,
        IF(purpose="Remortgage",1.00,
            1.20)))</f>
        <v/>
      </c>
      <c r="L3771">
        <f>LET(
    arrears_months,'Loan Tape (S&amp;P)'!AN3771,
    IF(arrears_months=0,1.00,
    IF(arrears_months=1,3.00,
    IF(arrears_months=2,5.00,
    IF(arrears_months=3,8.00,
    IF(arrears_months=4,10.00,
    IF(arrears_months=5,12.00,15.00)))))))</f>
        <v/>
      </c>
      <c r="M3771">
        <f>LET(
    seasoning_years,DATEDIF('Loan Tape (S&amp;P)'!K3771,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71">
        <f>IF(AND('Loan Tape (S&amp;P)'!U3771="Yes",
        'Loan Tape (S&amp;P)'!T3771&lt;&gt;"Yes",
        DATEDIF('Loan Tape (S&amp;P)'!K3771, TODAY(), "M")&lt;18),
    1.10,
    1.00)</f>
        <v/>
      </c>
      <c r="O3771">
        <f>IF('Loan Tape (S&amp;P)'!T3771="Yes",
    1.35,
    1.00)</f>
        <v/>
      </c>
      <c r="P3771">
        <f>IF('Loan Tape (S&amp;P)'!S3771="Yes",
    1.15,
    1.00)</f>
        <v/>
      </c>
      <c r="Q3771">
        <f>IF('Loan Tape (S&amp;P)'!V3771="Yes",
    1.20,
    1.00)</f>
        <v/>
      </c>
      <c r="T3771">
        <f>LET(
    payment_method,'Loan Tape (S&amp;P)'!P3771,
    occupancy,'Loan Tape (S&amp;P)'!N3771,
    maturity_date,'Loan Tape (S&amp;P)'!L3771,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72">
      <c r="J3772">
        <f>LET(
    lien,'Loan Tape (S&amp;P)'!Q3772,
    IF(lien="First",1.00,
        IF(lien="Second",1.50,
            1.70)))</f>
        <v/>
      </c>
      <c r="K3772">
        <f>LET(
    purpose,'Loan Tape (S&amp;P)'!R3772,
    IF(purpose="Purchase",1.00,
        IF(purpose="Remortgage",1.00,
            1.20)))</f>
        <v/>
      </c>
      <c r="L3772">
        <f>LET(
    arrears_months,'Loan Tape (S&amp;P)'!AN3772,
    IF(arrears_months=0,1.00,
    IF(arrears_months=1,3.00,
    IF(arrears_months=2,5.00,
    IF(arrears_months=3,8.00,
    IF(arrears_months=4,10.00,
    IF(arrears_months=5,12.00,15.00)))))))</f>
        <v/>
      </c>
      <c r="M3772">
        <f>LET(
    seasoning_years,DATEDIF('Loan Tape (S&amp;P)'!K3772,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72">
        <f>IF(AND('Loan Tape (S&amp;P)'!U3772="Yes",
        'Loan Tape (S&amp;P)'!T3772&lt;&gt;"Yes",
        DATEDIF('Loan Tape (S&amp;P)'!K3772, TODAY(), "M")&lt;18),
    1.10,
    1.00)</f>
        <v/>
      </c>
      <c r="O3772">
        <f>IF('Loan Tape (S&amp;P)'!T3772="Yes",
    1.35,
    1.00)</f>
        <v/>
      </c>
      <c r="P3772">
        <f>IF('Loan Tape (S&amp;P)'!S3772="Yes",
    1.15,
    1.00)</f>
        <v/>
      </c>
      <c r="Q3772">
        <f>IF('Loan Tape (S&amp;P)'!V3772="Yes",
    1.20,
    1.00)</f>
        <v/>
      </c>
      <c r="T3772">
        <f>LET(
    payment_method,'Loan Tape (S&amp;P)'!P3772,
    occupancy,'Loan Tape (S&amp;P)'!N3772,
    maturity_date,'Loan Tape (S&amp;P)'!L3772,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73">
      <c r="J3773">
        <f>LET(
    lien,'Loan Tape (S&amp;P)'!Q3773,
    IF(lien="First",1.00,
        IF(lien="Second",1.50,
            1.70)))</f>
        <v/>
      </c>
      <c r="K3773">
        <f>LET(
    purpose,'Loan Tape (S&amp;P)'!R3773,
    IF(purpose="Purchase",1.00,
        IF(purpose="Remortgage",1.00,
            1.20)))</f>
        <v/>
      </c>
      <c r="L3773">
        <f>LET(
    arrears_months,'Loan Tape (S&amp;P)'!AN3773,
    IF(arrears_months=0,1.00,
    IF(arrears_months=1,3.00,
    IF(arrears_months=2,5.00,
    IF(arrears_months=3,8.00,
    IF(arrears_months=4,10.00,
    IF(arrears_months=5,12.00,15.00)))))))</f>
        <v/>
      </c>
      <c r="M3773">
        <f>LET(
    seasoning_years,DATEDIF('Loan Tape (S&amp;P)'!K3773,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73">
        <f>IF(AND('Loan Tape (S&amp;P)'!U3773="Yes",
        'Loan Tape (S&amp;P)'!T3773&lt;&gt;"Yes",
        DATEDIF('Loan Tape (S&amp;P)'!K3773, TODAY(), "M")&lt;18),
    1.10,
    1.00)</f>
        <v/>
      </c>
      <c r="O3773">
        <f>IF('Loan Tape (S&amp;P)'!T3773="Yes",
    1.35,
    1.00)</f>
        <v/>
      </c>
      <c r="P3773">
        <f>IF('Loan Tape (S&amp;P)'!S3773="Yes",
    1.15,
    1.00)</f>
        <v/>
      </c>
      <c r="Q3773">
        <f>IF('Loan Tape (S&amp;P)'!V3773="Yes",
    1.20,
    1.00)</f>
        <v/>
      </c>
      <c r="T3773">
        <f>LET(
    payment_method,'Loan Tape (S&amp;P)'!P3773,
    occupancy,'Loan Tape (S&amp;P)'!N3773,
    maturity_date,'Loan Tape (S&amp;P)'!L3773,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74">
      <c r="J3774">
        <f>LET(
    lien,'Loan Tape (S&amp;P)'!Q3774,
    IF(lien="First",1.00,
        IF(lien="Second",1.50,
            1.70)))</f>
        <v/>
      </c>
      <c r="K3774">
        <f>LET(
    purpose,'Loan Tape (S&amp;P)'!R3774,
    IF(purpose="Purchase",1.00,
        IF(purpose="Remortgage",1.00,
            1.20)))</f>
        <v/>
      </c>
      <c r="L3774">
        <f>LET(
    arrears_months,'Loan Tape (S&amp;P)'!AN3774,
    IF(arrears_months=0,1.00,
    IF(arrears_months=1,3.00,
    IF(arrears_months=2,5.00,
    IF(arrears_months=3,8.00,
    IF(arrears_months=4,10.00,
    IF(arrears_months=5,12.00,15.00)))))))</f>
        <v/>
      </c>
      <c r="M3774">
        <f>LET(
    seasoning_years,DATEDIF('Loan Tape (S&amp;P)'!K3774,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74">
        <f>IF(AND('Loan Tape (S&amp;P)'!U3774="Yes",
        'Loan Tape (S&amp;P)'!T3774&lt;&gt;"Yes",
        DATEDIF('Loan Tape (S&amp;P)'!K3774, TODAY(), "M")&lt;18),
    1.10,
    1.00)</f>
        <v/>
      </c>
      <c r="O3774">
        <f>IF('Loan Tape (S&amp;P)'!T3774="Yes",
    1.35,
    1.00)</f>
        <v/>
      </c>
      <c r="P3774">
        <f>IF('Loan Tape (S&amp;P)'!S3774="Yes",
    1.15,
    1.00)</f>
        <v/>
      </c>
      <c r="Q3774">
        <f>IF('Loan Tape (S&amp;P)'!V3774="Yes",
    1.20,
    1.00)</f>
        <v/>
      </c>
      <c r="T3774">
        <f>LET(
    payment_method,'Loan Tape (S&amp;P)'!P3774,
    occupancy,'Loan Tape (S&amp;P)'!N3774,
    maturity_date,'Loan Tape (S&amp;P)'!L3774,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75">
      <c r="J3775">
        <f>LET(
    lien,'Loan Tape (S&amp;P)'!Q3775,
    IF(lien="First",1.00,
        IF(lien="Second",1.50,
            1.70)))</f>
        <v/>
      </c>
      <c r="K3775">
        <f>LET(
    purpose,'Loan Tape (S&amp;P)'!R3775,
    IF(purpose="Purchase",1.00,
        IF(purpose="Remortgage",1.00,
            1.20)))</f>
        <v/>
      </c>
      <c r="L3775">
        <f>LET(
    arrears_months,'Loan Tape (S&amp;P)'!AN3775,
    IF(arrears_months=0,1.00,
    IF(arrears_months=1,3.00,
    IF(arrears_months=2,5.00,
    IF(arrears_months=3,8.00,
    IF(arrears_months=4,10.00,
    IF(arrears_months=5,12.00,15.00)))))))</f>
        <v/>
      </c>
      <c r="M3775">
        <f>LET(
    seasoning_years,DATEDIF('Loan Tape (S&amp;P)'!K3775,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75">
        <f>IF(AND('Loan Tape (S&amp;P)'!U3775="Yes",
        'Loan Tape (S&amp;P)'!T3775&lt;&gt;"Yes",
        DATEDIF('Loan Tape (S&amp;P)'!K3775, TODAY(), "M")&lt;18),
    1.10,
    1.00)</f>
        <v/>
      </c>
      <c r="O3775">
        <f>IF('Loan Tape (S&amp;P)'!T3775="Yes",
    1.35,
    1.00)</f>
        <v/>
      </c>
      <c r="P3775">
        <f>IF('Loan Tape (S&amp;P)'!S3775="Yes",
    1.15,
    1.00)</f>
        <v/>
      </c>
      <c r="Q3775">
        <f>IF('Loan Tape (S&amp;P)'!V3775="Yes",
    1.20,
    1.00)</f>
        <v/>
      </c>
      <c r="T3775">
        <f>LET(
    payment_method,'Loan Tape (S&amp;P)'!P3775,
    occupancy,'Loan Tape (S&amp;P)'!N3775,
    maturity_date,'Loan Tape (S&amp;P)'!L3775,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76">
      <c r="J3776">
        <f>LET(
    lien,'Loan Tape (S&amp;P)'!Q3776,
    IF(lien="First",1.00,
        IF(lien="Second",1.50,
            1.70)))</f>
        <v/>
      </c>
      <c r="K3776">
        <f>LET(
    purpose,'Loan Tape (S&amp;P)'!R3776,
    IF(purpose="Purchase",1.00,
        IF(purpose="Remortgage",1.00,
            1.20)))</f>
        <v/>
      </c>
      <c r="L3776">
        <f>LET(
    arrears_months,'Loan Tape (S&amp;P)'!AN3776,
    IF(arrears_months=0,1.00,
    IF(arrears_months=1,3.00,
    IF(arrears_months=2,5.00,
    IF(arrears_months=3,8.00,
    IF(arrears_months=4,10.00,
    IF(arrears_months=5,12.00,15.00)))))))</f>
        <v/>
      </c>
      <c r="M3776">
        <f>LET(
    seasoning_years,DATEDIF('Loan Tape (S&amp;P)'!K3776,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76">
        <f>IF(AND('Loan Tape (S&amp;P)'!U3776="Yes",
        'Loan Tape (S&amp;P)'!T3776&lt;&gt;"Yes",
        DATEDIF('Loan Tape (S&amp;P)'!K3776, TODAY(), "M")&lt;18),
    1.10,
    1.00)</f>
        <v/>
      </c>
      <c r="O3776">
        <f>IF('Loan Tape (S&amp;P)'!T3776="Yes",
    1.35,
    1.00)</f>
        <v/>
      </c>
      <c r="P3776">
        <f>IF('Loan Tape (S&amp;P)'!S3776="Yes",
    1.15,
    1.00)</f>
        <v/>
      </c>
      <c r="Q3776">
        <f>IF('Loan Tape (S&amp;P)'!V3776="Yes",
    1.20,
    1.00)</f>
        <v/>
      </c>
      <c r="T3776">
        <f>LET(
    payment_method,'Loan Tape (S&amp;P)'!P3776,
    occupancy,'Loan Tape (S&amp;P)'!N3776,
    maturity_date,'Loan Tape (S&amp;P)'!L3776,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77">
      <c r="J3777">
        <f>LET(
    lien,'Loan Tape (S&amp;P)'!Q3777,
    IF(lien="First",1.00,
        IF(lien="Second",1.50,
            1.70)))</f>
        <v/>
      </c>
      <c r="K3777">
        <f>LET(
    purpose,'Loan Tape (S&amp;P)'!R3777,
    IF(purpose="Purchase",1.00,
        IF(purpose="Remortgage",1.00,
            1.20)))</f>
        <v/>
      </c>
      <c r="L3777">
        <f>LET(
    arrears_months,'Loan Tape (S&amp;P)'!AN3777,
    IF(arrears_months=0,1.00,
    IF(arrears_months=1,3.00,
    IF(arrears_months=2,5.00,
    IF(arrears_months=3,8.00,
    IF(arrears_months=4,10.00,
    IF(arrears_months=5,12.00,15.00)))))))</f>
        <v/>
      </c>
      <c r="M3777">
        <f>LET(
    seasoning_years,DATEDIF('Loan Tape (S&amp;P)'!K3777,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77">
        <f>IF(AND('Loan Tape (S&amp;P)'!U3777="Yes",
        'Loan Tape (S&amp;P)'!T3777&lt;&gt;"Yes",
        DATEDIF('Loan Tape (S&amp;P)'!K3777, TODAY(), "M")&lt;18),
    1.10,
    1.00)</f>
        <v/>
      </c>
      <c r="O3777">
        <f>IF('Loan Tape (S&amp;P)'!T3777="Yes",
    1.35,
    1.00)</f>
        <v/>
      </c>
      <c r="P3777">
        <f>IF('Loan Tape (S&amp;P)'!S3777="Yes",
    1.15,
    1.00)</f>
        <v/>
      </c>
      <c r="Q3777">
        <f>IF('Loan Tape (S&amp;P)'!V3777="Yes",
    1.20,
    1.00)</f>
        <v/>
      </c>
      <c r="T3777">
        <f>LET(
    payment_method,'Loan Tape (S&amp;P)'!P3777,
    occupancy,'Loan Tape (S&amp;P)'!N3777,
    maturity_date,'Loan Tape (S&amp;P)'!L3777,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78">
      <c r="J3778">
        <f>LET(
    lien,'Loan Tape (S&amp;P)'!Q3778,
    IF(lien="First",1.00,
        IF(lien="Second",1.50,
            1.70)))</f>
        <v/>
      </c>
      <c r="K3778">
        <f>LET(
    purpose,'Loan Tape (S&amp;P)'!R3778,
    IF(purpose="Purchase",1.00,
        IF(purpose="Remortgage",1.00,
            1.20)))</f>
        <v/>
      </c>
      <c r="L3778">
        <f>LET(
    arrears_months,'Loan Tape (S&amp;P)'!AN3778,
    IF(arrears_months=0,1.00,
    IF(arrears_months=1,3.00,
    IF(arrears_months=2,5.00,
    IF(arrears_months=3,8.00,
    IF(arrears_months=4,10.00,
    IF(arrears_months=5,12.00,15.00)))))))</f>
        <v/>
      </c>
      <c r="M3778">
        <f>LET(
    seasoning_years,DATEDIF('Loan Tape (S&amp;P)'!K3778,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78">
        <f>IF(AND('Loan Tape (S&amp;P)'!U3778="Yes",
        'Loan Tape (S&amp;P)'!T3778&lt;&gt;"Yes",
        DATEDIF('Loan Tape (S&amp;P)'!K3778, TODAY(), "M")&lt;18),
    1.10,
    1.00)</f>
        <v/>
      </c>
      <c r="O3778">
        <f>IF('Loan Tape (S&amp;P)'!T3778="Yes",
    1.35,
    1.00)</f>
        <v/>
      </c>
      <c r="P3778">
        <f>IF('Loan Tape (S&amp;P)'!S3778="Yes",
    1.15,
    1.00)</f>
        <v/>
      </c>
      <c r="Q3778">
        <f>IF('Loan Tape (S&amp;P)'!V3778="Yes",
    1.20,
    1.00)</f>
        <v/>
      </c>
      <c r="T3778">
        <f>LET(
    payment_method,'Loan Tape (S&amp;P)'!P3778,
    occupancy,'Loan Tape (S&amp;P)'!N3778,
    maturity_date,'Loan Tape (S&amp;P)'!L3778,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79">
      <c r="J3779">
        <f>LET(
    lien,'Loan Tape (S&amp;P)'!Q3779,
    IF(lien="First",1.00,
        IF(lien="Second",1.50,
            1.70)))</f>
        <v/>
      </c>
      <c r="K3779">
        <f>LET(
    purpose,'Loan Tape (S&amp;P)'!R3779,
    IF(purpose="Purchase",1.00,
        IF(purpose="Remortgage",1.00,
            1.20)))</f>
        <v/>
      </c>
      <c r="L3779">
        <f>LET(
    arrears_months,'Loan Tape (S&amp;P)'!AN3779,
    IF(arrears_months=0,1.00,
    IF(arrears_months=1,3.00,
    IF(arrears_months=2,5.00,
    IF(arrears_months=3,8.00,
    IF(arrears_months=4,10.00,
    IF(arrears_months=5,12.00,15.00)))))))</f>
        <v/>
      </c>
      <c r="M3779">
        <f>LET(
    seasoning_years,DATEDIF('Loan Tape (S&amp;P)'!K3779,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79">
        <f>IF(AND('Loan Tape (S&amp;P)'!U3779="Yes",
        'Loan Tape (S&amp;P)'!T3779&lt;&gt;"Yes",
        DATEDIF('Loan Tape (S&amp;P)'!K3779, TODAY(), "M")&lt;18),
    1.10,
    1.00)</f>
        <v/>
      </c>
      <c r="O3779">
        <f>IF('Loan Tape (S&amp;P)'!T3779="Yes",
    1.35,
    1.00)</f>
        <v/>
      </c>
      <c r="P3779">
        <f>IF('Loan Tape (S&amp;P)'!S3779="Yes",
    1.15,
    1.00)</f>
        <v/>
      </c>
      <c r="Q3779">
        <f>IF('Loan Tape (S&amp;P)'!V3779="Yes",
    1.20,
    1.00)</f>
        <v/>
      </c>
      <c r="T3779">
        <f>LET(
    payment_method,'Loan Tape (S&amp;P)'!P3779,
    occupancy,'Loan Tape (S&amp;P)'!N3779,
    maturity_date,'Loan Tape (S&amp;P)'!L3779,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80">
      <c r="J3780">
        <f>LET(
    lien,'Loan Tape (S&amp;P)'!Q3780,
    IF(lien="First",1.00,
        IF(lien="Second",1.50,
            1.70)))</f>
        <v/>
      </c>
      <c r="K3780">
        <f>LET(
    purpose,'Loan Tape (S&amp;P)'!R3780,
    IF(purpose="Purchase",1.00,
        IF(purpose="Remortgage",1.00,
            1.20)))</f>
        <v/>
      </c>
      <c r="L3780">
        <f>LET(
    arrears_months,'Loan Tape (S&amp;P)'!AN3780,
    IF(arrears_months=0,1.00,
    IF(arrears_months=1,3.00,
    IF(arrears_months=2,5.00,
    IF(arrears_months=3,8.00,
    IF(arrears_months=4,10.00,
    IF(arrears_months=5,12.00,15.00)))))))</f>
        <v/>
      </c>
      <c r="M3780">
        <f>LET(
    seasoning_years,DATEDIF('Loan Tape (S&amp;P)'!K3780,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80">
        <f>IF(AND('Loan Tape (S&amp;P)'!U3780="Yes",
        'Loan Tape (S&amp;P)'!T3780&lt;&gt;"Yes",
        DATEDIF('Loan Tape (S&amp;P)'!K3780, TODAY(), "M")&lt;18),
    1.10,
    1.00)</f>
        <v/>
      </c>
      <c r="O3780">
        <f>IF('Loan Tape (S&amp;P)'!T3780="Yes",
    1.35,
    1.00)</f>
        <v/>
      </c>
      <c r="P3780">
        <f>IF('Loan Tape (S&amp;P)'!S3780="Yes",
    1.15,
    1.00)</f>
        <v/>
      </c>
      <c r="Q3780">
        <f>IF('Loan Tape (S&amp;P)'!V3780="Yes",
    1.20,
    1.00)</f>
        <v/>
      </c>
      <c r="T3780">
        <f>LET(
    payment_method,'Loan Tape (S&amp;P)'!P3780,
    occupancy,'Loan Tape (S&amp;P)'!N3780,
    maturity_date,'Loan Tape (S&amp;P)'!L3780,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81">
      <c r="J3781">
        <f>LET(
    lien,'Loan Tape (S&amp;P)'!Q3781,
    IF(lien="First",1.00,
        IF(lien="Second",1.50,
            1.70)))</f>
        <v/>
      </c>
      <c r="K3781">
        <f>LET(
    purpose,'Loan Tape (S&amp;P)'!R3781,
    IF(purpose="Purchase",1.00,
        IF(purpose="Remortgage",1.00,
            1.20)))</f>
        <v/>
      </c>
      <c r="L3781">
        <f>LET(
    arrears_months,'Loan Tape (S&amp;P)'!AN3781,
    IF(arrears_months=0,1.00,
    IF(arrears_months=1,3.00,
    IF(arrears_months=2,5.00,
    IF(arrears_months=3,8.00,
    IF(arrears_months=4,10.00,
    IF(arrears_months=5,12.00,15.00)))))))</f>
        <v/>
      </c>
      <c r="M3781">
        <f>LET(
    seasoning_years,DATEDIF('Loan Tape (S&amp;P)'!K3781,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81">
        <f>IF(AND('Loan Tape (S&amp;P)'!U3781="Yes",
        'Loan Tape (S&amp;P)'!T3781&lt;&gt;"Yes",
        DATEDIF('Loan Tape (S&amp;P)'!K3781, TODAY(), "M")&lt;18),
    1.10,
    1.00)</f>
        <v/>
      </c>
      <c r="O3781">
        <f>IF('Loan Tape (S&amp;P)'!T3781="Yes",
    1.35,
    1.00)</f>
        <v/>
      </c>
      <c r="P3781">
        <f>IF('Loan Tape (S&amp;P)'!S3781="Yes",
    1.15,
    1.00)</f>
        <v/>
      </c>
      <c r="Q3781">
        <f>IF('Loan Tape (S&amp;P)'!V3781="Yes",
    1.20,
    1.00)</f>
        <v/>
      </c>
      <c r="T3781">
        <f>LET(
    payment_method,'Loan Tape (S&amp;P)'!P3781,
    occupancy,'Loan Tape (S&amp;P)'!N3781,
    maturity_date,'Loan Tape (S&amp;P)'!L3781,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82">
      <c r="J3782">
        <f>LET(
    lien,'Loan Tape (S&amp;P)'!Q3782,
    IF(lien="First",1.00,
        IF(lien="Second",1.50,
            1.70)))</f>
        <v/>
      </c>
      <c r="K3782">
        <f>LET(
    purpose,'Loan Tape (S&amp;P)'!R3782,
    IF(purpose="Purchase",1.00,
        IF(purpose="Remortgage",1.00,
            1.20)))</f>
        <v/>
      </c>
      <c r="L3782">
        <f>LET(
    arrears_months,'Loan Tape (S&amp;P)'!AN3782,
    IF(arrears_months=0,1.00,
    IF(arrears_months=1,3.00,
    IF(arrears_months=2,5.00,
    IF(arrears_months=3,8.00,
    IF(arrears_months=4,10.00,
    IF(arrears_months=5,12.00,15.00)))))))</f>
        <v/>
      </c>
      <c r="M3782">
        <f>LET(
    seasoning_years,DATEDIF('Loan Tape (S&amp;P)'!K3782,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82">
        <f>IF(AND('Loan Tape (S&amp;P)'!U3782="Yes",
        'Loan Tape (S&amp;P)'!T3782&lt;&gt;"Yes",
        DATEDIF('Loan Tape (S&amp;P)'!K3782, TODAY(), "M")&lt;18),
    1.10,
    1.00)</f>
        <v/>
      </c>
      <c r="O3782">
        <f>IF('Loan Tape (S&amp;P)'!T3782="Yes",
    1.35,
    1.00)</f>
        <v/>
      </c>
      <c r="P3782">
        <f>IF('Loan Tape (S&amp;P)'!S3782="Yes",
    1.15,
    1.00)</f>
        <v/>
      </c>
      <c r="Q3782">
        <f>IF('Loan Tape (S&amp;P)'!V3782="Yes",
    1.20,
    1.00)</f>
        <v/>
      </c>
      <c r="T3782">
        <f>LET(
    payment_method,'Loan Tape (S&amp;P)'!P3782,
    occupancy,'Loan Tape (S&amp;P)'!N3782,
    maturity_date,'Loan Tape (S&amp;P)'!L3782,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83">
      <c r="J3783">
        <f>LET(
    lien,'Loan Tape (S&amp;P)'!Q3783,
    IF(lien="First",1.00,
        IF(lien="Second",1.50,
            1.70)))</f>
        <v/>
      </c>
      <c r="K3783">
        <f>LET(
    purpose,'Loan Tape (S&amp;P)'!R3783,
    IF(purpose="Purchase",1.00,
        IF(purpose="Remortgage",1.00,
            1.20)))</f>
        <v/>
      </c>
      <c r="L3783">
        <f>LET(
    arrears_months,'Loan Tape (S&amp;P)'!AN3783,
    IF(arrears_months=0,1.00,
    IF(arrears_months=1,3.00,
    IF(arrears_months=2,5.00,
    IF(arrears_months=3,8.00,
    IF(arrears_months=4,10.00,
    IF(arrears_months=5,12.00,15.00)))))))</f>
        <v/>
      </c>
      <c r="M3783">
        <f>LET(
    seasoning_years,DATEDIF('Loan Tape (S&amp;P)'!K3783,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83">
        <f>IF(AND('Loan Tape (S&amp;P)'!U3783="Yes",
        'Loan Tape (S&amp;P)'!T3783&lt;&gt;"Yes",
        DATEDIF('Loan Tape (S&amp;P)'!K3783, TODAY(), "M")&lt;18),
    1.10,
    1.00)</f>
        <v/>
      </c>
      <c r="O3783">
        <f>IF('Loan Tape (S&amp;P)'!T3783="Yes",
    1.35,
    1.00)</f>
        <v/>
      </c>
      <c r="P3783">
        <f>IF('Loan Tape (S&amp;P)'!S3783="Yes",
    1.15,
    1.00)</f>
        <v/>
      </c>
      <c r="Q3783">
        <f>IF('Loan Tape (S&amp;P)'!V3783="Yes",
    1.20,
    1.00)</f>
        <v/>
      </c>
      <c r="T3783">
        <f>LET(
    payment_method,'Loan Tape (S&amp;P)'!P3783,
    occupancy,'Loan Tape (S&amp;P)'!N3783,
    maturity_date,'Loan Tape (S&amp;P)'!L3783,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84">
      <c r="J3784">
        <f>LET(
    lien,'Loan Tape (S&amp;P)'!Q3784,
    IF(lien="First",1.00,
        IF(lien="Second",1.50,
            1.70)))</f>
        <v/>
      </c>
      <c r="K3784">
        <f>LET(
    purpose,'Loan Tape (S&amp;P)'!R3784,
    IF(purpose="Purchase",1.00,
        IF(purpose="Remortgage",1.00,
            1.20)))</f>
        <v/>
      </c>
      <c r="L3784">
        <f>LET(
    arrears_months,'Loan Tape (S&amp;P)'!AN3784,
    IF(arrears_months=0,1.00,
    IF(arrears_months=1,3.00,
    IF(arrears_months=2,5.00,
    IF(arrears_months=3,8.00,
    IF(arrears_months=4,10.00,
    IF(arrears_months=5,12.00,15.00)))))))</f>
        <v/>
      </c>
      <c r="M3784">
        <f>LET(
    seasoning_years,DATEDIF('Loan Tape (S&amp;P)'!K3784,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84">
        <f>IF(AND('Loan Tape (S&amp;P)'!U3784="Yes",
        'Loan Tape (S&amp;P)'!T3784&lt;&gt;"Yes",
        DATEDIF('Loan Tape (S&amp;P)'!K3784, TODAY(), "M")&lt;18),
    1.10,
    1.00)</f>
        <v/>
      </c>
      <c r="O3784">
        <f>IF('Loan Tape (S&amp;P)'!T3784="Yes",
    1.35,
    1.00)</f>
        <v/>
      </c>
      <c r="P3784">
        <f>IF('Loan Tape (S&amp;P)'!S3784="Yes",
    1.15,
    1.00)</f>
        <v/>
      </c>
      <c r="Q3784">
        <f>IF('Loan Tape (S&amp;P)'!V3784="Yes",
    1.20,
    1.00)</f>
        <v/>
      </c>
      <c r="T3784">
        <f>LET(
    payment_method,'Loan Tape (S&amp;P)'!P3784,
    occupancy,'Loan Tape (S&amp;P)'!N3784,
    maturity_date,'Loan Tape (S&amp;P)'!L3784,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85">
      <c r="J3785">
        <f>LET(
    lien,'Loan Tape (S&amp;P)'!Q3785,
    IF(lien="First",1.00,
        IF(lien="Second",1.50,
            1.70)))</f>
        <v/>
      </c>
      <c r="K3785">
        <f>LET(
    purpose,'Loan Tape (S&amp;P)'!R3785,
    IF(purpose="Purchase",1.00,
        IF(purpose="Remortgage",1.00,
            1.20)))</f>
        <v/>
      </c>
      <c r="L3785">
        <f>LET(
    arrears_months,'Loan Tape (S&amp;P)'!AN3785,
    IF(arrears_months=0,1.00,
    IF(arrears_months=1,3.00,
    IF(arrears_months=2,5.00,
    IF(arrears_months=3,8.00,
    IF(arrears_months=4,10.00,
    IF(arrears_months=5,12.00,15.00)))))))</f>
        <v/>
      </c>
      <c r="M3785">
        <f>LET(
    seasoning_years,DATEDIF('Loan Tape (S&amp;P)'!K3785,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85">
        <f>IF(AND('Loan Tape (S&amp;P)'!U3785="Yes",
        'Loan Tape (S&amp;P)'!T3785&lt;&gt;"Yes",
        DATEDIF('Loan Tape (S&amp;P)'!K3785, TODAY(), "M")&lt;18),
    1.10,
    1.00)</f>
        <v/>
      </c>
      <c r="O3785">
        <f>IF('Loan Tape (S&amp;P)'!T3785="Yes",
    1.35,
    1.00)</f>
        <v/>
      </c>
      <c r="P3785">
        <f>IF('Loan Tape (S&amp;P)'!S3785="Yes",
    1.15,
    1.00)</f>
        <v/>
      </c>
      <c r="Q3785">
        <f>IF('Loan Tape (S&amp;P)'!V3785="Yes",
    1.20,
    1.00)</f>
        <v/>
      </c>
      <c r="T3785">
        <f>LET(
    payment_method,'Loan Tape (S&amp;P)'!P3785,
    occupancy,'Loan Tape (S&amp;P)'!N3785,
    maturity_date,'Loan Tape (S&amp;P)'!L3785,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86">
      <c r="J3786">
        <f>LET(
    lien,'Loan Tape (S&amp;P)'!Q3786,
    IF(lien="First",1.00,
        IF(lien="Second",1.50,
            1.70)))</f>
        <v/>
      </c>
      <c r="K3786">
        <f>LET(
    purpose,'Loan Tape (S&amp;P)'!R3786,
    IF(purpose="Purchase",1.00,
        IF(purpose="Remortgage",1.00,
            1.20)))</f>
        <v/>
      </c>
      <c r="L3786">
        <f>LET(
    arrears_months,'Loan Tape (S&amp;P)'!AN3786,
    IF(arrears_months=0,1.00,
    IF(arrears_months=1,3.00,
    IF(arrears_months=2,5.00,
    IF(arrears_months=3,8.00,
    IF(arrears_months=4,10.00,
    IF(arrears_months=5,12.00,15.00)))))))</f>
        <v/>
      </c>
      <c r="M3786">
        <f>LET(
    seasoning_years,DATEDIF('Loan Tape (S&amp;P)'!K3786,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86">
        <f>IF(AND('Loan Tape (S&amp;P)'!U3786="Yes",
        'Loan Tape (S&amp;P)'!T3786&lt;&gt;"Yes",
        DATEDIF('Loan Tape (S&amp;P)'!K3786, TODAY(), "M")&lt;18),
    1.10,
    1.00)</f>
        <v/>
      </c>
      <c r="O3786">
        <f>IF('Loan Tape (S&amp;P)'!T3786="Yes",
    1.35,
    1.00)</f>
        <v/>
      </c>
      <c r="P3786">
        <f>IF('Loan Tape (S&amp;P)'!S3786="Yes",
    1.15,
    1.00)</f>
        <v/>
      </c>
      <c r="Q3786">
        <f>IF('Loan Tape (S&amp;P)'!V3786="Yes",
    1.20,
    1.00)</f>
        <v/>
      </c>
      <c r="T3786">
        <f>LET(
    payment_method,'Loan Tape (S&amp;P)'!P3786,
    occupancy,'Loan Tape (S&amp;P)'!N3786,
    maturity_date,'Loan Tape (S&amp;P)'!L3786,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87">
      <c r="J3787">
        <f>LET(
    lien,'Loan Tape (S&amp;P)'!Q3787,
    IF(lien="First",1.00,
        IF(lien="Second",1.50,
            1.70)))</f>
        <v/>
      </c>
      <c r="K3787">
        <f>LET(
    purpose,'Loan Tape (S&amp;P)'!R3787,
    IF(purpose="Purchase",1.00,
        IF(purpose="Remortgage",1.00,
            1.20)))</f>
        <v/>
      </c>
      <c r="L3787">
        <f>LET(
    arrears_months,'Loan Tape (S&amp;P)'!AN3787,
    IF(arrears_months=0,1.00,
    IF(arrears_months=1,3.00,
    IF(arrears_months=2,5.00,
    IF(arrears_months=3,8.00,
    IF(arrears_months=4,10.00,
    IF(arrears_months=5,12.00,15.00)))))))</f>
        <v/>
      </c>
      <c r="M3787">
        <f>LET(
    seasoning_years,DATEDIF('Loan Tape (S&amp;P)'!K3787,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87">
        <f>IF(AND('Loan Tape (S&amp;P)'!U3787="Yes",
        'Loan Tape (S&amp;P)'!T3787&lt;&gt;"Yes",
        DATEDIF('Loan Tape (S&amp;P)'!K3787, TODAY(), "M")&lt;18),
    1.10,
    1.00)</f>
        <v/>
      </c>
      <c r="O3787">
        <f>IF('Loan Tape (S&amp;P)'!T3787="Yes",
    1.35,
    1.00)</f>
        <v/>
      </c>
      <c r="P3787">
        <f>IF('Loan Tape (S&amp;P)'!S3787="Yes",
    1.15,
    1.00)</f>
        <v/>
      </c>
      <c r="Q3787">
        <f>IF('Loan Tape (S&amp;P)'!V3787="Yes",
    1.20,
    1.00)</f>
        <v/>
      </c>
      <c r="T3787">
        <f>LET(
    payment_method,'Loan Tape (S&amp;P)'!P3787,
    occupancy,'Loan Tape (S&amp;P)'!N3787,
    maturity_date,'Loan Tape (S&amp;P)'!L3787,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88">
      <c r="J3788">
        <f>LET(
    lien,'Loan Tape (S&amp;P)'!Q3788,
    IF(lien="First",1.00,
        IF(lien="Second",1.50,
            1.70)))</f>
        <v/>
      </c>
      <c r="K3788">
        <f>LET(
    purpose,'Loan Tape (S&amp;P)'!R3788,
    IF(purpose="Purchase",1.00,
        IF(purpose="Remortgage",1.00,
            1.20)))</f>
        <v/>
      </c>
      <c r="L3788">
        <f>LET(
    arrears_months,'Loan Tape (S&amp;P)'!AN3788,
    IF(arrears_months=0,1.00,
    IF(arrears_months=1,3.00,
    IF(arrears_months=2,5.00,
    IF(arrears_months=3,8.00,
    IF(arrears_months=4,10.00,
    IF(arrears_months=5,12.00,15.00)))))))</f>
        <v/>
      </c>
      <c r="M3788">
        <f>LET(
    seasoning_years,DATEDIF('Loan Tape (S&amp;P)'!K3788,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88">
        <f>IF(AND('Loan Tape (S&amp;P)'!U3788="Yes",
        'Loan Tape (S&amp;P)'!T3788&lt;&gt;"Yes",
        DATEDIF('Loan Tape (S&amp;P)'!K3788, TODAY(), "M")&lt;18),
    1.10,
    1.00)</f>
        <v/>
      </c>
      <c r="O3788">
        <f>IF('Loan Tape (S&amp;P)'!T3788="Yes",
    1.35,
    1.00)</f>
        <v/>
      </c>
      <c r="P3788">
        <f>IF('Loan Tape (S&amp;P)'!S3788="Yes",
    1.15,
    1.00)</f>
        <v/>
      </c>
      <c r="Q3788">
        <f>IF('Loan Tape (S&amp;P)'!V3788="Yes",
    1.20,
    1.00)</f>
        <v/>
      </c>
      <c r="T3788">
        <f>LET(
    payment_method,'Loan Tape (S&amp;P)'!P3788,
    occupancy,'Loan Tape (S&amp;P)'!N3788,
    maturity_date,'Loan Tape (S&amp;P)'!L3788,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89">
      <c r="J3789">
        <f>LET(
    lien,'Loan Tape (S&amp;P)'!Q3789,
    IF(lien="First",1.00,
        IF(lien="Second",1.50,
            1.70)))</f>
        <v/>
      </c>
      <c r="K3789">
        <f>LET(
    purpose,'Loan Tape (S&amp;P)'!R3789,
    IF(purpose="Purchase",1.00,
        IF(purpose="Remortgage",1.00,
            1.20)))</f>
        <v/>
      </c>
      <c r="L3789">
        <f>LET(
    arrears_months,'Loan Tape (S&amp;P)'!AN3789,
    IF(arrears_months=0,1.00,
    IF(arrears_months=1,3.00,
    IF(arrears_months=2,5.00,
    IF(arrears_months=3,8.00,
    IF(arrears_months=4,10.00,
    IF(arrears_months=5,12.00,15.00)))))))</f>
        <v/>
      </c>
      <c r="M3789">
        <f>LET(
    seasoning_years,DATEDIF('Loan Tape (S&amp;P)'!K3789,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89">
        <f>IF(AND('Loan Tape (S&amp;P)'!U3789="Yes",
        'Loan Tape (S&amp;P)'!T3789&lt;&gt;"Yes",
        DATEDIF('Loan Tape (S&amp;P)'!K3789, TODAY(), "M")&lt;18),
    1.10,
    1.00)</f>
        <v/>
      </c>
      <c r="O3789">
        <f>IF('Loan Tape (S&amp;P)'!T3789="Yes",
    1.35,
    1.00)</f>
        <v/>
      </c>
      <c r="P3789">
        <f>IF('Loan Tape (S&amp;P)'!S3789="Yes",
    1.15,
    1.00)</f>
        <v/>
      </c>
      <c r="Q3789">
        <f>IF('Loan Tape (S&amp;P)'!V3789="Yes",
    1.20,
    1.00)</f>
        <v/>
      </c>
      <c r="T3789">
        <f>LET(
    payment_method,'Loan Tape (S&amp;P)'!P3789,
    occupancy,'Loan Tape (S&amp;P)'!N3789,
    maturity_date,'Loan Tape (S&amp;P)'!L3789,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90">
      <c r="J3790">
        <f>LET(
    lien,'Loan Tape (S&amp;P)'!Q3790,
    IF(lien="First",1.00,
        IF(lien="Second",1.50,
            1.70)))</f>
        <v/>
      </c>
      <c r="K3790">
        <f>LET(
    purpose,'Loan Tape (S&amp;P)'!R3790,
    IF(purpose="Purchase",1.00,
        IF(purpose="Remortgage",1.00,
            1.20)))</f>
        <v/>
      </c>
      <c r="L3790">
        <f>LET(
    arrears_months,'Loan Tape (S&amp;P)'!AN3790,
    IF(arrears_months=0,1.00,
    IF(arrears_months=1,3.00,
    IF(arrears_months=2,5.00,
    IF(arrears_months=3,8.00,
    IF(arrears_months=4,10.00,
    IF(arrears_months=5,12.00,15.00)))))))</f>
        <v/>
      </c>
      <c r="M3790">
        <f>LET(
    seasoning_years,DATEDIF('Loan Tape (S&amp;P)'!K3790,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90">
        <f>IF(AND('Loan Tape (S&amp;P)'!U3790="Yes",
        'Loan Tape (S&amp;P)'!T3790&lt;&gt;"Yes",
        DATEDIF('Loan Tape (S&amp;P)'!K3790, TODAY(), "M")&lt;18),
    1.10,
    1.00)</f>
        <v/>
      </c>
      <c r="O3790">
        <f>IF('Loan Tape (S&amp;P)'!T3790="Yes",
    1.35,
    1.00)</f>
        <v/>
      </c>
      <c r="P3790">
        <f>IF('Loan Tape (S&amp;P)'!S3790="Yes",
    1.15,
    1.00)</f>
        <v/>
      </c>
      <c r="Q3790">
        <f>IF('Loan Tape (S&amp;P)'!V3790="Yes",
    1.20,
    1.00)</f>
        <v/>
      </c>
      <c r="T3790">
        <f>LET(
    payment_method,'Loan Tape (S&amp;P)'!P3790,
    occupancy,'Loan Tape (S&amp;P)'!N3790,
    maturity_date,'Loan Tape (S&amp;P)'!L3790,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91">
      <c r="J3791">
        <f>LET(
    lien,'Loan Tape (S&amp;P)'!Q3791,
    IF(lien="First",1.00,
        IF(lien="Second",1.50,
            1.70)))</f>
        <v/>
      </c>
      <c r="K3791">
        <f>LET(
    purpose,'Loan Tape (S&amp;P)'!R3791,
    IF(purpose="Purchase",1.00,
        IF(purpose="Remortgage",1.00,
            1.20)))</f>
        <v/>
      </c>
      <c r="L3791">
        <f>LET(
    arrears_months,'Loan Tape (S&amp;P)'!AN3791,
    IF(arrears_months=0,1.00,
    IF(arrears_months=1,3.00,
    IF(arrears_months=2,5.00,
    IF(arrears_months=3,8.00,
    IF(arrears_months=4,10.00,
    IF(arrears_months=5,12.00,15.00)))))))</f>
        <v/>
      </c>
      <c r="M3791">
        <f>LET(
    seasoning_years,DATEDIF('Loan Tape (S&amp;P)'!K3791,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91">
        <f>IF(AND('Loan Tape (S&amp;P)'!U3791="Yes",
        'Loan Tape (S&amp;P)'!T3791&lt;&gt;"Yes",
        DATEDIF('Loan Tape (S&amp;P)'!K3791, TODAY(), "M")&lt;18),
    1.10,
    1.00)</f>
        <v/>
      </c>
      <c r="O3791">
        <f>IF('Loan Tape (S&amp;P)'!T3791="Yes",
    1.35,
    1.00)</f>
        <v/>
      </c>
      <c r="P3791">
        <f>IF('Loan Tape (S&amp;P)'!S3791="Yes",
    1.15,
    1.00)</f>
        <v/>
      </c>
      <c r="Q3791">
        <f>IF('Loan Tape (S&amp;P)'!V3791="Yes",
    1.20,
    1.00)</f>
        <v/>
      </c>
      <c r="T3791">
        <f>LET(
    payment_method,'Loan Tape (S&amp;P)'!P3791,
    occupancy,'Loan Tape (S&amp;P)'!N3791,
    maturity_date,'Loan Tape (S&amp;P)'!L3791,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92">
      <c r="J3792">
        <f>LET(
    lien,'Loan Tape (S&amp;P)'!Q3792,
    IF(lien="First",1.00,
        IF(lien="Second",1.50,
            1.70)))</f>
        <v/>
      </c>
      <c r="K3792">
        <f>LET(
    purpose,'Loan Tape (S&amp;P)'!R3792,
    IF(purpose="Purchase",1.00,
        IF(purpose="Remortgage",1.00,
            1.20)))</f>
        <v/>
      </c>
      <c r="L3792">
        <f>LET(
    arrears_months,'Loan Tape (S&amp;P)'!AN3792,
    IF(arrears_months=0,1.00,
    IF(arrears_months=1,3.00,
    IF(arrears_months=2,5.00,
    IF(arrears_months=3,8.00,
    IF(arrears_months=4,10.00,
    IF(arrears_months=5,12.00,15.00)))))))</f>
        <v/>
      </c>
      <c r="M3792">
        <f>LET(
    seasoning_years,DATEDIF('Loan Tape (S&amp;P)'!K3792,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92">
        <f>IF(AND('Loan Tape (S&amp;P)'!U3792="Yes",
        'Loan Tape (S&amp;P)'!T3792&lt;&gt;"Yes",
        DATEDIF('Loan Tape (S&amp;P)'!K3792, TODAY(), "M")&lt;18),
    1.10,
    1.00)</f>
        <v/>
      </c>
      <c r="O3792">
        <f>IF('Loan Tape (S&amp;P)'!T3792="Yes",
    1.35,
    1.00)</f>
        <v/>
      </c>
      <c r="P3792">
        <f>IF('Loan Tape (S&amp;P)'!S3792="Yes",
    1.15,
    1.00)</f>
        <v/>
      </c>
      <c r="Q3792">
        <f>IF('Loan Tape (S&amp;P)'!V3792="Yes",
    1.20,
    1.00)</f>
        <v/>
      </c>
      <c r="T3792">
        <f>LET(
    payment_method,'Loan Tape (S&amp;P)'!P3792,
    occupancy,'Loan Tape (S&amp;P)'!N3792,
    maturity_date,'Loan Tape (S&amp;P)'!L3792,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93">
      <c r="J3793">
        <f>LET(
    lien,'Loan Tape (S&amp;P)'!Q3793,
    IF(lien="First",1.00,
        IF(lien="Second",1.50,
            1.70)))</f>
        <v/>
      </c>
      <c r="K3793">
        <f>LET(
    purpose,'Loan Tape (S&amp;P)'!R3793,
    IF(purpose="Purchase",1.00,
        IF(purpose="Remortgage",1.00,
            1.20)))</f>
        <v/>
      </c>
      <c r="L3793">
        <f>LET(
    arrears_months,'Loan Tape (S&amp;P)'!AN3793,
    IF(arrears_months=0,1.00,
    IF(arrears_months=1,3.00,
    IF(arrears_months=2,5.00,
    IF(arrears_months=3,8.00,
    IF(arrears_months=4,10.00,
    IF(arrears_months=5,12.00,15.00)))))))</f>
        <v/>
      </c>
      <c r="M3793">
        <f>LET(
    seasoning_years,DATEDIF('Loan Tape (S&amp;P)'!K3793,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93">
        <f>IF(AND('Loan Tape (S&amp;P)'!U3793="Yes",
        'Loan Tape (S&amp;P)'!T3793&lt;&gt;"Yes",
        DATEDIF('Loan Tape (S&amp;P)'!K3793, TODAY(), "M")&lt;18),
    1.10,
    1.00)</f>
        <v/>
      </c>
      <c r="O3793">
        <f>IF('Loan Tape (S&amp;P)'!T3793="Yes",
    1.35,
    1.00)</f>
        <v/>
      </c>
      <c r="P3793">
        <f>IF('Loan Tape (S&amp;P)'!S3793="Yes",
    1.15,
    1.00)</f>
        <v/>
      </c>
      <c r="Q3793">
        <f>IF('Loan Tape (S&amp;P)'!V3793="Yes",
    1.20,
    1.00)</f>
        <v/>
      </c>
      <c r="T3793">
        <f>LET(
    payment_method,'Loan Tape (S&amp;P)'!P3793,
    occupancy,'Loan Tape (S&amp;P)'!N3793,
    maturity_date,'Loan Tape (S&amp;P)'!L3793,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94">
      <c r="J3794">
        <f>LET(
    lien,'Loan Tape (S&amp;P)'!Q3794,
    IF(lien="First",1.00,
        IF(lien="Second",1.50,
            1.70)))</f>
        <v/>
      </c>
      <c r="K3794">
        <f>LET(
    purpose,'Loan Tape (S&amp;P)'!R3794,
    IF(purpose="Purchase",1.00,
        IF(purpose="Remortgage",1.00,
            1.20)))</f>
        <v/>
      </c>
      <c r="L3794">
        <f>LET(
    arrears_months,'Loan Tape (S&amp;P)'!AN3794,
    IF(arrears_months=0,1.00,
    IF(arrears_months=1,3.00,
    IF(arrears_months=2,5.00,
    IF(arrears_months=3,8.00,
    IF(arrears_months=4,10.00,
    IF(arrears_months=5,12.00,15.00)))))))</f>
        <v/>
      </c>
      <c r="M3794">
        <f>LET(
    seasoning_years,DATEDIF('Loan Tape (S&amp;P)'!K3794,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94">
        <f>IF(AND('Loan Tape (S&amp;P)'!U3794="Yes",
        'Loan Tape (S&amp;P)'!T3794&lt;&gt;"Yes",
        DATEDIF('Loan Tape (S&amp;P)'!K3794, TODAY(), "M")&lt;18),
    1.10,
    1.00)</f>
        <v/>
      </c>
      <c r="O3794">
        <f>IF('Loan Tape (S&amp;P)'!T3794="Yes",
    1.35,
    1.00)</f>
        <v/>
      </c>
      <c r="P3794">
        <f>IF('Loan Tape (S&amp;P)'!S3794="Yes",
    1.15,
    1.00)</f>
        <v/>
      </c>
      <c r="Q3794">
        <f>IF('Loan Tape (S&amp;P)'!V3794="Yes",
    1.20,
    1.00)</f>
        <v/>
      </c>
      <c r="T3794">
        <f>LET(
    payment_method,'Loan Tape (S&amp;P)'!P3794,
    occupancy,'Loan Tape (S&amp;P)'!N3794,
    maturity_date,'Loan Tape (S&amp;P)'!L3794,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95">
      <c r="J3795">
        <f>LET(
    lien,'Loan Tape (S&amp;P)'!Q3795,
    IF(lien="First",1.00,
        IF(lien="Second",1.50,
            1.70)))</f>
        <v/>
      </c>
      <c r="K3795">
        <f>LET(
    purpose,'Loan Tape (S&amp;P)'!R3795,
    IF(purpose="Purchase",1.00,
        IF(purpose="Remortgage",1.00,
            1.20)))</f>
        <v/>
      </c>
      <c r="L3795">
        <f>LET(
    arrears_months,'Loan Tape (S&amp;P)'!AN3795,
    IF(arrears_months=0,1.00,
    IF(arrears_months=1,3.00,
    IF(arrears_months=2,5.00,
    IF(arrears_months=3,8.00,
    IF(arrears_months=4,10.00,
    IF(arrears_months=5,12.00,15.00)))))))</f>
        <v/>
      </c>
      <c r="M3795">
        <f>LET(
    seasoning_years,DATEDIF('Loan Tape (S&amp;P)'!K3795,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95">
        <f>IF(AND('Loan Tape (S&amp;P)'!U3795="Yes",
        'Loan Tape (S&amp;P)'!T3795&lt;&gt;"Yes",
        DATEDIF('Loan Tape (S&amp;P)'!K3795, TODAY(), "M")&lt;18),
    1.10,
    1.00)</f>
        <v/>
      </c>
      <c r="O3795">
        <f>IF('Loan Tape (S&amp;P)'!T3795="Yes",
    1.35,
    1.00)</f>
        <v/>
      </c>
      <c r="P3795">
        <f>IF('Loan Tape (S&amp;P)'!S3795="Yes",
    1.15,
    1.00)</f>
        <v/>
      </c>
      <c r="Q3795">
        <f>IF('Loan Tape (S&amp;P)'!V3795="Yes",
    1.20,
    1.00)</f>
        <v/>
      </c>
      <c r="T3795">
        <f>LET(
    payment_method,'Loan Tape (S&amp;P)'!P3795,
    occupancy,'Loan Tape (S&amp;P)'!N3795,
    maturity_date,'Loan Tape (S&amp;P)'!L3795,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96">
      <c r="J3796">
        <f>LET(
    lien,'Loan Tape (S&amp;P)'!Q3796,
    IF(lien="First",1.00,
        IF(lien="Second",1.50,
            1.70)))</f>
        <v/>
      </c>
      <c r="K3796">
        <f>LET(
    purpose,'Loan Tape (S&amp;P)'!R3796,
    IF(purpose="Purchase",1.00,
        IF(purpose="Remortgage",1.00,
            1.20)))</f>
        <v/>
      </c>
      <c r="L3796">
        <f>LET(
    arrears_months,'Loan Tape (S&amp;P)'!AN3796,
    IF(arrears_months=0,1.00,
    IF(arrears_months=1,3.00,
    IF(arrears_months=2,5.00,
    IF(arrears_months=3,8.00,
    IF(arrears_months=4,10.00,
    IF(arrears_months=5,12.00,15.00)))))))</f>
        <v/>
      </c>
      <c r="M3796">
        <f>LET(
    seasoning_years,DATEDIF('Loan Tape (S&amp;P)'!K3796,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96">
        <f>IF(AND('Loan Tape (S&amp;P)'!U3796="Yes",
        'Loan Tape (S&amp;P)'!T3796&lt;&gt;"Yes",
        DATEDIF('Loan Tape (S&amp;P)'!K3796, TODAY(), "M")&lt;18),
    1.10,
    1.00)</f>
        <v/>
      </c>
      <c r="O3796">
        <f>IF('Loan Tape (S&amp;P)'!T3796="Yes",
    1.35,
    1.00)</f>
        <v/>
      </c>
      <c r="P3796">
        <f>IF('Loan Tape (S&amp;P)'!S3796="Yes",
    1.15,
    1.00)</f>
        <v/>
      </c>
      <c r="Q3796">
        <f>IF('Loan Tape (S&amp;P)'!V3796="Yes",
    1.20,
    1.00)</f>
        <v/>
      </c>
      <c r="T3796">
        <f>LET(
    payment_method,'Loan Tape (S&amp;P)'!P3796,
    occupancy,'Loan Tape (S&amp;P)'!N3796,
    maturity_date,'Loan Tape (S&amp;P)'!L3796,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97">
      <c r="J3797">
        <f>LET(
    lien,'Loan Tape (S&amp;P)'!Q3797,
    IF(lien="First",1.00,
        IF(lien="Second",1.50,
            1.70)))</f>
        <v/>
      </c>
      <c r="K3797">
        <f>LET(
    purpose,'Loan Tape (S&amp;P)'!R3797,
    IF(purpose="Purchase",1.00,
        IF(purpose="Remortgage",1.00,
            1.20)))</f>
        <v/>
      </c>
      <c r="L3797">
        <f>LET(
    arrears_months,'Loan Tape (S&amp;P)'!AN3797,
    IF(arrears_months=0,1.00,
    IF(arrears_months=1,3.00,
    IF(arrears_months=2,5.00,
    IF(arrears_months=3,8.00,
    IF(arrears_months=4,10.00,
    IF(arrears_months=5,12.00,15.00)))))))</f>
        <v/>
      </c>
      <c r="M3797">
        <f>LET(
    seasoning_years,DATEDIF('Loan Tape (S&amp;P)'!K3797,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97">
        <f>IF(AND('Loan Tape (S&amp;P)'!U3797="Yes",
        'Loan Tape (S&amp;P)'!T3797&lt;&gt;"Yes",
        DATEDIF('Loan Tape (S&amp;P)'!K3797, TODAY(), "M")&lt;18),
    1.10,
    1.00)</f>
        <v/>
      </c>
      <c r="O3797">
        <f>IF('Loan Tape (S&amp;P)'!T3797="Yes",
    1.35,
    1.00)</f>
        <v/>
      </c>
      <c r="P3797">
        <f>IF('Loan Tape (S&amp;P)'!S3797="Yes",
    1.15,
    1.00)</f>
        <v/>
      </c>
      <c r="Q3797">
        <f>IF('Loan Tape (S&amp;P)'!V3797="Yes",
    1.20,
    1.00)</f>
        <v/>
      </c>
      <c r="T3797">
        <f>LET(
    payment_method,'Loan Tape (S&amp;P)'!P3797,
    occupancy,'Loan Tape (S&amp;P)'!N3797,
    maturity_date,'Loan Tape (S&amp;P)'!L3797,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98">
      <c r="J3798">
        <f>LET(
    lien,'Loan Tape (S&amp;P)'!Q3798,
    IF(lien="First",1.00,
        IF(lien="Second",1.50,
            1.70)))</f>
        <v/>
      </c>
      <c r="K3798">
        <f>LET(
    purpose,'Loan Tape (S&amp;P)'!R3798,
    IF(purpose="Purchase",1.00,
        IF(purpose="Remortgage",1.00,
            1.20)))</f>
        <v/>
      </c>
      <c r="L3798">
        <f>LET(
    arrears_months,'Loan Tape (S&amp;P)'!AN3798,
    IF(arrears_months=0,1.00,
    IF(arrears_months=1,3.00,
    IF(arrears_months=2,5.00,
    IF(arrears_months=3,8.00,
    IF(arrears_months=4,10.00,
    IF(arrears_months=5,12.00,15.00)))))))</f>
        <v/>
      </c>
      <c r="M3798">
        <f>LET(
    seasoning_years,DATEDIF('Loan Tape (S&amp;P)'!K3798,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98">
        <f>IF(AND('Loan Tape (S&amp;P)'!U3798="Yes",
        'Loan Tape (S&amp;P)'!T3798&lt;&gt;"Yes",
        DATEDIF('Loan Tape (S&amp;P)'!K3798, TODAY(), "M")&lt;18),
    1.10,
    1.00)</f>
        <v/>
      </c>
      <c r="O3798">
        <f>IF('Loan Tape (S&amp;P)'!T3798="Yes",
    1.35,
    1.00)</f>
        <v/>
      </c>
      <c r="P3798">
        <f>IF('Loan Tape (S&amp;P)'!S3798="Yes",
    1.15,
    1.00)</f>
        <v/>
      </c>
      <c r="Q3798">
        <f>IF('Loan Tape (S&amp;P)'!V3798="Yes",
    1.20,
    1.00)</f>
        <v/>
      </c>
      <c r="T3798">
        <f>LET(
    payment_method,'Loan Tape (S&amp;P)'!P3798,
    occupancy,'Loan Tape (S&amp;P)'!N3798,
    maturity_date,'Loan Tape (S&amp;P)'!L3798,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799">
      <c r="J3799">
        <f>LET(
    lien,'Loan Tape (S&amp;P)'!Q3799,
    IF(lien="First",1.00,
        IF(lien="Second",1.50,
            1.70)))</f>
        <v/>
      </c>
      <c r="K3799">
        <f>LET(
    purpose,'Loan Tape (S&amp;P)'!R3799,
    IF(purpose="Purchase",1.00,
        IF(purpose="Remortgage",1.00,
            1.20)))</f>
        <v/>
      </c>
      <c r="L3799">
        <f>LET(
    arrears_months,'Loan Tape (S&amp;P)'!AN3799,
    IF(arrears_months=0,1.00,
    IF(arrears_months=1,3.00,
    IF(arrears_months=2,5.00,
    IF(arrears_months=3,8.00,
    IF(arrears_months=4,10.00,
    IF(arrears_months=5,12.00,15.00)))))))</f>
        <v/>
      </c>
      <c r="M3799">
        <f>LET(
    seasoning_years,DATEDIF('Loan Tape (S&amp;P)'!K3799,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799">
        <f>IF(AND('Loan Tape (S&amp;P)'!U3799="Yes",
        'Loan Tape (S&amp;P)'!T3799&lt;&gt;"Yes",
        DATEDIF('Loan Tape (S&amp;P)'!K3799, TODAY(), "M")&lt;18),
    1.10,
    1.00)</f>
        <v/>
      </c>
      <c r="O3799">
        <f>IF('Loan Tape (S&amp;P)'!T3799="Yes",
    1.35,
    1.00)</f>
        <v/>
      </c>
      <c r="P3799">
        <f>IF('Loan Tape (S&amp;P)'!S3799="Yes",
    1.15,
    1.00)</f>
        <v/>
      </c>
      <c r="Q3799">
        <f>IF('Loan Tape (S&amp;P)'!V3799="Yes",
    1.20,
    1.00)</f>
        <v/>
      </c>
      <c r="T3799">
        <f>LET(
    payment_method,'Loan Tape (S&amp;P)'!P3799,
    occupancy,'Loan Tape (S&amp;P)'!N3799,
    maturity_date,'Loan Tape (S&amp;P)'!L3799,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00">
      <c r="J3800">
        <f>LET(
    lien,'Loan Tape (S&amp;P)'!Q3800,
    IF(lien="First",1.00,
        IF(lien="Second",1.50,
            1.70)))</f>
        <v/>
      </c>
      <c r="K3800">
        <f>LET(
    purpose,'Loan Tape (S&amp;P)'!R3800,
    IF(purpose="Purchase",1.00,
        IF(purpose="Remortgage",1.00,
            1.20)))</f>
        <v/>
      </c>
      <c r="L3800">
        <f>LET(
    arrears_months,'Loan Tape (S&amp;P)'!AN3800,
    IF(arrears_months=0,1.00,
    IF(arrears_months=1,3.00,
    IF(arrears_months=2,5.00,
    IF(arrears_months=3,8.00,
    IF(arrears_months=4,10.00,
    IF(arrears_months=5,12.00,15.00)))))))</f>
        <v/>
      </c>
      <c r="M3800">
        <f>LET(
    seasoning_years,DATEDIF('Loan Tape (S&amp;P)'!K3800,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00">
        <f>IF(AND('Loan Tape (S&amp;P)'!U3800="Yes",
        'Loan Tape (S&amp;P)'!T3800&lt;&gt;"Yes",
        DATEDIF('Loan Tape (S&amp;P)'!K3800, TODAY(), "M")&lt;18),
    1.10,
    1.00)</f>
        <v/>
      </c>
      <c r="O3800">
        <f>IF('Loan Tape (S&amp;P)'!T3800="Yes",
    1.35,
    1.00)</f>
        <v/>
      </c>
      <c r="P3800">
        <f>IF('Loan Tape (S&amp;P)'!S3800="Yes",
    1.15,
    1.00)</f>
        <v/>
      </c>
      <c r="Q3800">
        <f>IF('Loan Tape (S&amp;P)'!V3800="Yes",
    1.20,
    1.00)</f>
        <v/>
      </c>
      <c r="T3800">
        <f>LET(
    payment_method,'Loan Tape (S&amp;P)'!P3800,
    occupancy,'Loan Tape (S&amp;P)'!N3800,
    maturity_date,'Loan Tape (S&amp;P)'!L3800,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01">
      <c r="J3801">
        <f>LET(
    lien,'Loan Tape (S&amp;P)'!Q3801,
    IF(lien="First",1.00,
        IF(lien="Second",1.50,
            1.70)))</f>
        <v/>
      </c>
      <c r="K3801">
        <f>LET(
    purpose,'Loan Tape (S&amp;P)'!R3801,
    IF(purpose="Purchase",1.00,
        IF(purpose="Remortgage",1.00,
            1.20)))</f>
        <v/>
      </c>
      <c r="L3801">
        <f>LET(
    arrears_months,'Loan Tape (S&amp;P)'!AN3801,
    IF(arrears_months=0,1.00,
    IF(arrears_months=1,3.00,
    IF(arrears_months=2,5.00,
    IF(arrears_months=3,8.00,
    IF(arrears_months=4,10.00,
    IF(arrears_months=5,12.00,15.00)))))))</f>
        <v/>
      </c>
      <c r="M3801">
        <f>LET(
    seasoning_years,DATEDIF('Loan Tape (S&amp;P)'!K3801,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01">
        <f>IF(AND('Loan Tape (S&amp;P)'!U3801="Yes",
        'Loan Tape (S&amp;P)'!T3801&lt;&gt;"Yes",
        DATEDIF('Loan Tape (S&amp;P)'!K3801, TODAY(), "M")&lt;18),
    1.10,
    1.00)</f>
        <v/>
      </c>
      <c r="O3801">
        <f>IF('Loan Tape (S&amp;P)'!T3801="Yes",
    1.35,
    1.00)</f>
        <v/>
      </c>
      <c r="P3801">
        <f>IF('Loan Tape (S&amp;P)'!S3801="Yes",
    1.15,
    1.00)</f>
        <v/>
      </c>
      <c r="Q3801">
        <f>IF('Loan Tape (S&amp;P)'!V3801="Yes",
    1.20,
    1.00)</f>
        <v/>
      </c>
      <c r="T3801">
        <f>LET(
    payment_method,'Loan Tape (S&amp;P)'!P3801,
    occupancy,'Loan Tape (S&amp;P)'!N3801,
    maturity_date,'Loan Tape (S&amp;P)'!L3801,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02">
      <c r="J3802">
        <f>LET(
    lien,'Loan Tape (S&amp;P)'!Q3802,
    IF(lien="First",1.00,
        IF(lien="Second",1.50,
            1.70)))</f>
        <v/>
      </c>
      <c r="K3802">
        <f>LET(
    purpose,'Loan Tape (S&amp;P)'!R3802,
    IF(purpose="Purchase",1.00,
        IF(purpose="Remortgage",1.00,
            1.20)))</f>
        <v/>
      </c>
      <c r="L3802">
        <f>LET(
    arrears_months,'Loan Tape (S&amp;P)'!AN3802,
    IF(arrears_months=0,1.00,
    IF(arrears_months=1,3.00,
    IF(arrears_months=2,5.00,
    IF(arrears_months=3,8.00,
    IF(arrears_months=4,10.00,
    IF(arrears_months=5,12.00,15.00)))))))</f>
        <v/>
      </c>
      <c r="M3802">
        <f>LET(
    seasoning_years,DATEDIF('Loan Tape (S&amp;P)'!K3802,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02">
        <f>IF(AND('Loan Tape (S&amp;P)'!U3802="Yes",
        'Loan Tape (S&amp;P)'!T3802&lt;&gt;"Yes",
        DATEDIF('Loan Tape (S&amp;P)'!K3802, TODAY(), "M")&lt;18),
    1.10,
    1.00)</f>
        <v/>
      </c>
      <c r="O3802">
        <f>IF('Loan Tape (S&amp;P)'!T3802="Yes",
    1.35,
    1.00)</f>
        <v/>
      </c>
      <c r="P3802">
        <f>IF('Loan Tape (S&amp;P)'!S3802="Yes",
    1.15,
    1.00)</f>
        <v/>
      </c>
      <c r="Q3802">
        <f>IF('Loan Tape (S&amp;P)'!V3802="Yes",
    1.20,
    1.00)</f>
        <v/>
      </c>
      <c r="T3802">
        <f>LET(
    payment_method,'Loan Tape (S&amp;P)'!P3802,
    occupancy,'Loan Tape (S&amp;P)'!N3802,
    maturity_date,'Loan Tape (S&amp;P)'!L3802,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03">
      <c r="J3803">
        <f>LET(
    lien,'Loan Tape (S&amp;P)'!Q3803,
    IF(lien="First",1.00,
        IF(lien="Second",1.50,
            1.70)))</f>
        <v/>
      </c>
      <c r="K3803">
        <f>LET(
    purpose,'Loan Tape (S&amp;P)'!R3803,
    IF(purpose="Purchase",1.00,
        IF(purpose="Remortgage",1.00,
            1.20)))</f>
        <v/>
      </c>
      <c r="L3803">
        <f>LET(
    arrears_months,'Loan Tape (S&amp;P)'!AN3803,
    IF(arrears_months=0,1.00,
    IF(arrears_months=1,3.00,
    IF(arrears_months=2,5.00,
    IF(arrears_months=3,8.00,
    IF(arrears_months=4,10.00,
    IF(arrears_months=5,12.00,15.00)))))))</f>
        <v/>
      </c>
      <c r="M3803">
        <f>LET(
    seasoning_years,DATEDIF('Loan Tape (S&amp;P)'!K3803,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03">
        <f>IF(AND('Loan Tape (S&amp;P)'!U3803="Yes",
        'Loan Tape (S&amp;P)'!T3803&lt;&gt;"Yes",
        DATEDIF('Loan Tape (S&amp;P)'!K3803, TODAY(), "M")&lt;18),
    1.10,
    1.00)</f>
        <v/>
      </c>
      <c r="O3803">
        <f>IF('Loan Tape (S&amp;P)'!T3803="Yes",
    1.35,
    1.00)</f>
        <v/>
      </c>
      <c r="P3803">
        <f>IF('Loan Tape (S&amp;P)'!S3803="Yes",
    1.15,
    1.00)</f>
        <v/>
      </c>
      <c r="Q3803">
        <f>IF('Loan Tape (S&amp;P)'!V3803="Yes",
    1.20,
    1.00)</f>
        <v/>
      </c>
      <c r="T3803">
        <f>LET(
    payment_method,'Loan Tape (S&amp;P)'!P3803,
    occupancy,'Loan Tape (S&amp;P)'!N3803,
    maturity_date,'Loan Tape (S&amp;P)'!L3803,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04">
      <c r="J3804">
        <f>LET(
    lien,'Loan Tape (S&amp;P)'!Q3804,
    IF(lien="First",1.00,
        IF(lien="Second",1.50,
            1.70)))</f>
        <v/>
      </c>
      <c r="K3804">
        <f>LET(
    purpose,'Loan Tape (S&amp;P)'!R3804,
    IF(purpose="Purchase",1.00,
        IF(purpose="Remortgage",1.00,
            1.20)))</f>
        <v/>
      </c>
      <c r="L3804">
        <f>LET(
    arrears_months,'Loan Tape (S&amp;P)'!AN3804,
    IF(arrears_months=0,1.00,
    IF(arrears_months=1,3.00,
    IF(arrears_months=2,5.00,
    IF(arrears_months=3,8.00,
    IF(arrears_months=4,10.00,
    IF(arrears_months=5,12.00,15.00)))))))</f>
        <v/>
      </c>
      <c r="M3804">
        <f>LET(
    seasoning_years,DATEDIF('Loan Tape (S&amp;P)'!K3804,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04">
        <f>IF(AND('Loan Tape (S&amp;P)'!U3804="Yes",
        'Loan Tape (S&amp;P)'!T3804&lt;&gt;"Yes",
        DATEDIF('Loan Tape (S&amp;P)'!K3804, TODAY(), "M")&lt;18),
    1.10,
    1.00)</f>
        <v/>
      </c>
      <c r="O3804">
        <f>IF('Loan Tape (S&amp;P)'!T3804="Yes",
    1.35,
    1.00)</f>
        <v/>
      </c>
      <c r="P3804">
        <f>IF('Loan Tape (S&amp;P)'!S3804="Yes",
    1.15,
    1.00)</f>
        <v/>
      </c>
      <c r="Q3804">
        <f>IF('Loan Tape (S&amp;P)'!V3804="Yes",
    1.20,
    1.00)</f>
        <v/>
      </c>
      <c r="T3804">
        <f>LET(
    payment_method,'Loan Tape (S&amp;P)'!P3804,
    occupancy,'Loan Tape (S&amp;P)'!N3804,
    maturity_date,'Loan Tape (S&amp;P)'!L3804,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05">
      <c r="J3805">
        <f>LET(
    lien,'Loan Tape (S&amp;P)'!Q3805,
    IF(lien="First",1.00,
        IF(lien="Second",1.50,
            1.70)))</f>
        <v/>
      </c>
      <c r="K3805">
        <f>LET(
    purpose,'Loan Tape (S&amp;P)'!R3805,
    IF(purpose="Purchase",1.00,
        IF(purpose="Remortgage",1.00,
            1.20)))</f>
        <v/>
      </c>
      <c r="L3805">
        <f>LET(
    arrears_months,'Loan Tape (S&amp;P)'!AN3805,
    IF(arrears_months=0,1.00,
    IF(arrears_months=1,3.00,
    IF(arrears_months=2,5.00,
    IF(arrears_months=3,8.00,
    IF(arrears_months=4,10.00,
    IF(arrears_months=5,12.00,15.00)))))))</f>
        <v/>
      </c>
      <c r="M3805">
        <f>LET(
    seasoning_years,DATEDIF('Loan Tape (S&amp;P)'!K3805,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05">
        <f>IF(AND('Loan Tape (S&amp;P)'!U3805="Yes",
        'Loan Tape (S&amp;P)'!T3805&lt;&gt;"Yes",
        DATEDIF('Loan Tape (S&amp;P)'!K3805, TODAY(), "M")&lt;18),
    1.10,
    1.00)</f>
        <v/>
      </c>
      <c r="O3805">
        <f>IF('Loan Tape (S&amp;P)'!T3805="Yes",
    1.35,
    1.00)</f>
        <v/>
      </c>
      <c r="P3805">
        <f>IF('Loan Tape (S&amp;P)'!S3805="Yes",
    1.15,
    1.00)</f>
        <v/>
      </c>
      <c r="Q3805">
        <f>IF('Loan Tape (S&amp;P)'!V3805="Yes",
    1.20,
    1.00)</f>
        <v/>
      </c>
      <c r="T3805">
        <f>LET(
    payment_method,'Loan Tape (S&amp;P)'!P3805,
    occupancy,'Loan Tape (S&amp;P)'!N3805,
    maturity_date,'Loan Tape (S&amp;P)'!L3805,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06">
      <c r="J3806">
        <f>LET(
    lien,'Loan Tape (S&amp;P)'!Q3806,
    IF(lien="First",1.00,
        IF(lien="Second",1.50,
            1.70)))</f>
        <v/>
      </c>
      <c r="K3806">
        <f>LET(
    purpose,'Loan Tape (S&amp;P)'!R3806,
    IF(purpose="Purchase",1.00,
        IF(purpose="Remortgage",1.00,
            1.20)))</f>
        <v/>
      </c>
      <c r="L3806">
        <f>LET(
    arrears_months,'Loan Tape (S&amp;P)'!AN3806,
    IF(arrears_months=0,1.00,
    IF(arrears_months=1,3.00,
    IF(arrears_months=2,5.00,
    IF(arrears_months=3,8.00,
    IF(arrears_months=4,10.00,
    IF(arrears_months=5,12.00,15.00)))))))</f>
        <v/>
      </c>
      <c r="M3806">
        <f>LET(
    seasoning_years,DATEDIF('Loan Tape (S&amp;P)'!K3806,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06">
        <f>IF(AND('Loan Tape (S&amp;P)'!U3806="Yes",
        'Loan Tape (S&amp;P)'!T3806&lt;&gt;"Yes",
        DATEDIF('Loan Tape (S&amp;P)'!K3806, TODAY(), "M")&lt;18),
    1.10,
    1.00)</f>
        <v/>
      </c>
      <c r="O3806">
        <f>IF('Loan Tape (S&amp;P)'!T3806="Yes",
    1.35,
    1.00)</f>
        <v/>
      </c>
      <c r="P3806">
        <f>IF('Loan Tape (S&amp;P)'!S3806="Yes",
    1.15,
    1.00)</f>
        <v/>
      </c>
      <c r="Q3806">
        <f>IF('Loan Tape (S&amp;P)'!V3806="Yes",
    1.20,
    1.00)</f>
        <v/>
      </c>
      <c r="T3806">
        <f>LET(
    payment_method,'Loan Tape (S&amp;P)'!P3806,
    occupancy,'Loan Tape (S&amp;P)'!N3806,
    maturity_date,'Loan Tape (S&amp;P)'!L3806,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07">
      <c r="J3807">
        <f>LET(
    lien,'Loan Tape (S&amp;P)'!Q3807,
    IF(lien="First",1.00,
        IF(lien="Second",1.50,
            1.70)))</f>
        <v/>
      </c>
      <c r="K3807">
        <f>LET(
    purpose,'Loan Tape (S&amp;P)'!R3807,
    IF(purpose="Purchase",1.00,
        IF(purpose="Remortgage",1.00,
            1.20)))</f>
        <v/>
      </c>
      <c r="L3807">
        <f>LET(
    arrears_months,'Loan Tape (S&amp;P)'!AN3807,
    IF(arrears_months=0,1.00,
    IF(arrears_months=1,3.00,
    IF(arrears_months=2,5.00,
    IF(arrears_months=3,8.00,
    IF(arrears_months=4,10.00,
    IF(arrears_months=5,12.00,15.00)))))))</f>
        <v/>
      </c>
      <c r="M3807">
        <f>LET(
    seasoning_years,DATEDIF('Loan Tape (S&amp;P)'!K3807,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07">
        <f>IF(AND('Loan Tape (S&amp;P)'!U3807="Yes",
        'Loan Tape (S&amp;P)'!T3807&lt;&gt;"Yes",
        DATEDIF('Loan Tape (S&amp;P)'!K3807, TODAY(), "M")&lt;18),
    1.10,
    1.00)</f>
        <v/>
      </c>
      <c r="O3807">
        <f>IF('Loan Tape (S&amp;P)'!T3807="Yes",
    1.35,
    1.00)</f>
        <v/>
      </c>
      <c r="P3807">
        <f>IF('Loan Tape (S&amp;P)'!S3807="Yes",
    1.15,
    1.00)</f>
        <v/>
      </c>
      <c r="Q3807">
        <f>IF('Loan Tape (S&amp;P)'!V3807="Yes",
    1.20,
    1.00)</f>
        <v/>
      </c>
      <c r="T3807">
        <f>LET(
    payment_method,'Loan Tape (S&amp;P)'!P3807,
    occupancy,'Loan Tape (S&amp;P)'!N3807,
    maturity_date,'Loan Tape (S&amp;P)'!L3807,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08">
      <c r="J3808">
        <f>LET(
    lien,'Loan Tape (S&amp;P)'!Q3808,
    IF(lien="First",1.00,
        IF(lien="Second",1.50,
            1.70)))</f>
        <v/>
      </c>
      <c r="K3808">
        <f>LET(
    purpose,'Loan Tape (S&amp;P)'!R3808,
    IF(purpose="Purchase",1.00,
        IF(purpose="Remortgage",1.00,
            1.20)))</f>
        <v/>
      </c>
      <c r="L3808">
        <f>LET(
    arrears_months,'Loan Tape (S&amp;P)'!AN3808,
    IF(arrears_months=0,1.00,
    IF(arrears_months=1,3.00,
    IF(arrears_months=2,5.00,
    IF(arrears_months=3,8.00,
    IF(arrears_months=4,10.00,
    IF(arrears_months=5,12.00,15.00)))))))</f>
        <v/>
      </c>
      <c r="M3808">
        <f>LET(
    seasoning_years,DATEDIF('Loan Tape (S&amp;P)'!K3808,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08">
        <f>IF(AND('Loan Tape (S&amp;P)'!U3808="Yes",
        'Loan Tape (S&amp;P)'!T3808&lt;&gt;"Yes",
        DATEDIF('Loan Tape (S&amp;P)'!K3808, TODAY(), "M")&lt;18),
    1.10,
    1.00)</f>
        <v/>
      </c>
      <c r="O3808">
        <f>IF('Loan Tape (S&amp;P)'!T3808="Yes",
    1.35,
    1.00)</f>
        <v/>
      </c>
      <c r="P3808">
        <f>IF('Loan Tape (S&amp;P)'!S3808="Yes",
    1.15,
    1.00)</f>
        <v/>
      </c>
      <c r="Q3808">
        <f>IF('Loan Tape (S&amp;P)'!V3808="Yes",
    1.20,
    1.00)</f>
        <v/>
      </c>
      <c r="T3808">
        <f>LET(
    payment_method,'Loan Tape (S&amp;P)'!P3808,
    occupancy,'Loan Tape (S&amp;P)'!N3808,
    maturity_date,'Loan Tape (S&amp;P)'!L3808,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09">
      <c r="J3809">
        <f>LET(
    lien,'Loan Tape (S&amp;P)'!Q3809,
    IF(lien="First",1.00,
        IF(lien="Second",1.50,
            1.70)))</f>
        <v/>
      </c>
      <c r="K3809">
        <f>LET(
    purpose,'Loan Tape (S&amp;P)'!R3809,
    IF(purpose="Purchase",1.00,
        IF(purpose="Remortgage",1.00,
            1.20)))</f>
        <v/>
      </c>
      <c r="L3809">
        <f>LET(
    arrears_months,'Loan Tape (S&amp;P)'!AN3809,
    IF(arrears_months=0,1.00,
    IF(arrears_months=1,3.00,
    IF(arrears_months=2,5.00,
    IF(arrears_months=3,8.00,
    IF(arrears_months=4,10.00,
    IF(arrears_months=5,12.00,15.00)))))))</f>
        <v/>
      </c>
      <c r="M3809">
        <f>LET(
    seasoning_years,DATEDIF('Loan Tape (S&amp;P)'!K3809,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09">
        <f>IF(AND('Loan Tape (S&amp;P)'!U3809="Yes",
        'Loan Tape (S&amp;P)'!T3809&lt;&gt;"Yes",
        DATEDIF('Loan Tape (S&amp;P)'!K3809, TODAY(), "M")&lt;18),
    1.10,
    1.00)</f>
        <v/>
      </c>
      <c r="O3809">
        <f>IF('Loan Tape (S&amp;P)'!T3809="Yes",
    1.35,
    1.00)</f>
        <v/>
      </c>
      <c r="P3809">
        <f>IF('Loan Tape (S&amp;P)'!S3809="Yes",
    1.15,
    1.00)</f>
        <v/>
      </c>
      <c r="Q3809">
        <f>IF('Loan Tape (S&amp;P)'!V3809="Yes",
    1.20,
    1.00)</f>
        <v/>
      </c>
      <c r="T3809">
        <f>LET(
    payment_method,'Loan Tape (S&amp;P)'!P3809,
    occupancy,'Loan Tape (S&amp;P)'!N3809,
    maturity_date,'Loan Tape (S&amp;P)'!L3809,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10">
      <c r="J3810">
        <f>LET(
    lien,'Loan Tape (S&amp;P)'!Q3810,
    IF(lien="First",1.00,
        IF(lien="Second",1.50,
            1.70)))</f>
        <v/>
      </c>
      <c r="K3810">
        <f>LET(
    purpose,'Loan Tape (S&amp;P)'!R3810,
    IF(purpose="Purchase",1.00,
        IF(purpose="Remortgage",1.00,
            1.20)))</f>
        <v/>
      </c>
      <c r="L3810">
        <f>LET(
    arrears_months,'Loan Tape (S&amp;P)'!AN3810,
    IF(arrears_months=0,1.00,
    IF(arrears_months=1,3.00,
    IF(arrears_months=2,5.00,
    IF(arrears_months=3,8.00,
    IF(arrears_months=4,10.00,
    IF(arrears_months=5,12.00,15.00)))))))</f>
        <v/>
      </c>
      <c r="M3810">
        <f>LET(
    seasoning_years,DATEDIF('Loan Tape (S&amp;P)'!K3810,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10">
        <f>IF(AND('Loan Tape (S&amp;P)'!U3810="Yes",
        'Loan Tape (S&amp;P)'!T3810&lt;&gt;"Yes",
        DATEDIF('Loan Tape (S&amp;P)'!K3810, TODAY(), "M")&lt;18),
    1.10,
    1.00)</f>
        <v/>
      </c>
      <c r="O3810">
        <f>IF('Loan Tape (S&amp;P)'!T3810="Yes",
    1.35,
    1.00)</f>
        <v/>
      </c>
      <c r="P3810">
        <f>IF('Loan Tape (S&amp;P)'!S3810="Yes",
    1.15,
    1.00)</f>
        <v/>
      </c>
      <c r="Q3810">
        <f>IF('Loan Tape (S&amp;P)'!V3810="Yes",
    1.20,
    1.00)</f>
        <v/>
      </c>
      <c r="T3810">
        <f>LET(
    payment_method,'Loan Tape (S&amp;P)'!P3810,
    occupancy,'Loan Tape (S&amp;P)'!N3810,
    maturity_date,'Loan Tape (S&amp;P)'!L3810,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11">
      <c r="J3811">
        <f>LET(
    lien,'Loan Tape (S&amp;P)'!Q3811,
    IF(lien="First",1.00,
        IF(lien="Second",1.50,
            1.70)))</f>
        <v/>
      </c>
      <c r="K3811">
        <f>LET(
    purpose,'Loan Tape (S&amp;P)'!R3811,
    IF(purpose="Purchase",1.00,
        IF(purpose="Remortgage",1.00,
            1.20)))</f>
        <v/>
      </c>
      <c r="L3811">
        <f>LET(
    arrears_months,'Loan Tape (S&amp;P)'!AN3811,
    IF(arrears_months=0,1.00,
    IF(arrears_months=1,3.00,
    IF(arrears_months=2,5.00,
    IF(arrears_months=3,8.00,
    IF(arrears_months=4,10.00,
    IF(arrears_months=5,12.00,15.00)))))))</f>
        <v/>
      </c>
      <c r="M3811">
        <f>LET(
    seasoning_years,DATEDIF('Loan Tape (S&amp;P)'!K3811,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11">
        <f>IF(AND('Loan Tape (S&amp;P)'!U3811="Yes",
        'Loan Tape (S&amp;P)'!T3811&lt;&gt;"Yes",
        DATEDIF('Loan Tape (S&amp;P)'!K3811, TODAY(), "M")&lt;18),
    1.10,
    1.00)</f>
        <v/>
      </c>
      <c r="O3811">
        <f>IF('Loan Tape (S&amp;P)'!T3811="Yes",
    1.35,
    1.00)</f>
        <v/>
      </c>
      <c r="P3811">
        <f>IF('Loan Tape (S&amp;P)'!S3811="Yes",
    1.15,
    1.00)</f>
        <v/>
      </c>
      <c r="Q3811">
        <f>IF('Loan Tape (S&amp;P)'!V3811="Yes",
    1.20,
    1.00)</f>
        <v/>
      </c>
      <c r="T3811">
        <f>LET(
    payment_method,'Loan Tape (S&amp;P)'!P3811,
    occupancy,'Loan Tape (S&amp;P)'!N3811,
    maturity_date,'Loan Tape (S&amp;P)'!L3811,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12">
      <c r="J3812">
        <f>LET(
    lien,'Loan Tape (S&amp;P)'!Q3812,
    IF(lien="First",1.00,
        IF(lien="Second",1.50,
            1.70)))</f>
        <v/>
      </c>
      <c r="K3812">
        <f>LET(
    purpose,'Loan Tape (S&amp;P)'!R3812,
    IF(purpose="Purchase",1.00,
        IF(purpose="Remortgage",1.00,
            1.20)))</f>
        <v/>
      </c>
      <c r="L3812">
        <f>LET(
    arrears_months,'Loan Tape (S&amp;P)'!AN3812,
    IF(arrears_months=0,1.00,
    IF(arrears_months=1,3.00,
    IF(arrears_months=2,5.00,
    IF(arrears_months=3,8.00,
    IF(arrears_months=4,10.00,
    IF(arrears_months=5,12.00,15.00)))))))</f>
        <v/>
      </c>
      <c r="M3812">
        <f>LET(
    seasoning_years,DATEDIF('Loan Tape (S&amp;P)'!K3812,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12">
        <f>IF(AND('Loan Tape (S&amp;P)'!U3812="Yes",
        'Loan Tape (S&amp;P)'!T3812&lt;&gt;"Yes",
        DATEDIF('Loan Tape (S&amp;P)'!K3812, TODAY(), "M")&lt;18),
    1.10,
    1.00)</f>
        <v/>
      </c>
      <c r="O3812">
        <f>IF('Loan Tape (S&amp;P)'!T3812="Yes",
    1.35,
    1.00)</f>
        <v/>
      </c>
      <c r="P3812">
        <f>IF('Loan Tape (S&amp;P)'!S3812="Yes",
    1.15,
    1.00)</f>
        <v/>
      </c>
      <c r="Q3812">
        <f>IF('Loan Tape (S&amp;P)'!V3812="Yes",
    1.20,
    1.00)</f>
        <v/>
      </c>
      <c r="T3812">
        <f>LET(
    payment_method,'Loan Tape (S&amp;P)'!P3812,
    occupancy,'Loan Tape (S&amp;P)'!N3812,
    maturity_date,'Loan Tape (S&amp;P)'!L3812,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13">
      <c r="J3813">
        <f>LET(
    lien,'Loan Tape (S&amp;P)'!Q3813,
    IF(lien="First",1.00,
        IF(lien="Second",1.50,
            1.70)))</f>
        <v/>
      </c>
      <c r="K3813">
        <f>LET(
    purpose,'Loan Tape (S&amp;P)'!R3813,
    IF(purpose="Purchase",1.00,
        IF(purpose="Remortgage",1.00,
            1.20)))</f>
        <v/>
      </c>
      <c r="L3813">
        <f>LET(
    arrears_months,'Loan Tape (S&amp;P)'!AN3813,
    IF(arrears_months=0,1.00,
    IF(arrears_months=1,3.00,
    IF(arrears_months=2,5.00,
    IF(arrears_months=3,8.00,
    IF(arrears_months=4,10.00,
    IF(arrears_months=5,12.00,15.00)))))))</f>
        <v/>
      </c>
      <c r="M3813">
        <f>LET(
    seasoning_years,DATEDIF('Loan Tape (S&amp;P)'!K3813,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13">
        <f>IF(AND('Loan Tape (S&amp;P)'!U3813="Yes",
        'Loan Tape (S&amp;P)'!T3813&lt;&gt;"Yes",
        DATEDIF('Loan Tape (S&amp;P)'!K3813, TODAY(), "M")&lt;18),
    1.10,
    1.00)</f>
        <v/>
      </c>
      <c r="O3813">
        <f>IF('Loan Tape (S&amp;P)'!T3813="Yes",
    1.35,
    1.00)</f>
        <v/>
      </c>
      <c r="P3813">
        <f>IF('Loan Tape (S&amp;P)'!S3813="Yes",
    1.15,
    1.00)</f>
        <v/>
      </c>
      <c r="Q3813">
        <f>IF('Loan Tape (S&amp;P)'!V3813="Yes",
    1.20,
    1.00)</f>
        <v/>
      </c>
      <c r="T3813">
        <f>LET(
    payment_method,'Loan Tape (S&amp;P)'!P3813,
    occupancy,'Loan Tape (S&amp;P)'!N3813,
    maturity_date,'Loan Tape (S&amp;P)'!L3813,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14">
      <c r="J3814">
        <f>LET(
    lien,'Loan Tape (S&amp;P)'!Q3814,
    IF(lien="First",1.00,
        IF(lien="Second",1.50,
            1.70)))</f>
        <v/>
      </c>
      <c r="K3814">
        <f>LET(
    purpose,'Loan Tape (S&amp;P)'!R3814,
    IF(purpose="Purchase",1.00,
        IF(purpose="Remortgage",1.00,
            1.20)))</f>
        <v/>
      </c>
      <c r="L3814">
        <f>LET(
    arrears_months,'Loan Tape (S&amp;P)'!AN3814,
    IF(arrears_months=0,1.00,
    IF(arrears_months=1,3.00,
    IF(arrears_months=2,5.00,
    IF(arrears_months=3,8.00,
    IF(arrears_months=4,10.00,
    IF(arrears_months=5,12.00,15.00)))))))</f>
        <v/>
      </c>
      <c r="M3814">
        <f>LET(
    seasoning_years,DATEDIF('Loan Tape (S&amp;P)'!K3814,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14">
        <f>IF(AND('Loan Tape (S&amp;P)'!U3814="Yes",
        'Loan Tape (S&amp;P)'!T3814&lt;&gt;"Yes",
        DATEDIF('Loan Tape (S&amp;P)'!K3814, TODAY(), "M")&lt;18),
    1.10,
    1.00)</f>
        <v/>
      </c>
      <c r="O3814">
        <f>IF('Loan Tape (S&amp;P)'!T3814="Yes",
    1.35,
    1.00)</f>
        <v/>
      </c>
      <c r="P3814">
        <f>IF('Loan Tape (S&amp;P)'!S3814="Yes",
    1.15,
    1.00)</f>
        <v/>
      </c>
      <c r="Q3814">
        <f>IF('Loan Tape (S&amp;P)'!V3814="Yes",
    1.20,
    1.00)</f>
        <v/>
      </c>
      <c r="T3814">
        <f>LET(
    payment_method,'Loan Tape (S&amp;P)'!P3814,
    occupancy,'Loan Tape (S&amp;P)'!N3814,
    maturity_date,'Loan Tape (S&amp;P)'!L3814,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15">
      <c r="J3815">
        <f>LET(
    lien,'Loan Tape (S&amp;P)'!Q3815,
    IF(lien="First",1.00,
        IF(lien="Second",1.50,
            1.70)))</f>
        <v/>
      </c>
      <c r="K3815">
        <f>LET(
    purpose,'Loan Tape (S&amp;P)'!R3815,
    IF(purpose="Purchase",1.00,
        IF(purpose="Remortgage",1.00,
            1.20)))</f>
        <v/>
      </c>
      <c r="L3815">
        <f>LET(
    arrears_months,'Loan Tape (S&amp;P)'!AN3815,
    IF(arrears_months=0,1.00,
    IF(arrears_months=1,3.00,
    IF(arrears_months=2,5.00,
    IF(arrears_months=3,8.00,
    IF(arrears_months=4,10.00,
    IF(arrears_months=5,12.00,15.00)))))))</f>
        <v/>
      </c>
      <c r="M3815">
        <f>LET(
    seasoning_years,DATEDIF('Loan Tape (S&amp;P)'!K3815,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15">
        <f>IF(AND('Loan Tape (S&amp;P)'!U3815="Yes",
        'Loan Tape (S&amp;P)'!T3815&lt;&gt;"Yes",
        DATEDIF('Loan Tape (S&amp;P)'!K3815, TODAY(), "M")&lt;18),
    1.10,
    1.00)</f>
        <v/>
      </c>
      <c r="O3815">
        <f>IF('Loan Tape (S&amp;P)'!T3815="Yes",
    1.35,
    1.00)</f>
        <v/>
      </c>
      <c r="P3815">
        <f>IF('Loan Tape (S&amp;P)'!S3815="Yes",
    1.15,
    1.00)</f>
        <v/>
      </c>
      <c r="Q3815">
        <f>IF('Loan Tape (S&amp;P)'!V3815="Yes",
    1.20,
    1.00)</f>
        <v/>
      </c>
      <c r="T3815">
        <f>LET(
    payment_method,'Loan Tape (S&amp;P)'!P3815,
    occupancy,'Loan Tape (S&amp;P)'!N3815,
    maturity_date,'Loan Tape (S&amp;P)'!L3815,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16">
      <c r="J3816">
        <f>LET(
    lien,'Loan Tape (S&amp;P)'!Q3816,
    IF(lien="First",1.00,
        IF(lien="Second",1.50,
            1.70)))</f>
        <v/>
      </c>
      <c r="K3816">
        <f>LET(
    purpose,'Loan Tape (S&amp;P)'!R3816,
    IF(purpose="Purchase",1.00,
        IF(purpose="Remortgage",1.00,
            1.20)))</f>
        <v/>
      </c>
      <c r="L3816">
        <f>LET(
    arrears_months,'Loan Tape (S&amp;P)'!AN3816,
    IF(arrears_months=0,1.00,
    IF(arrears_months=1,3.00,
    IF(arrears_months=2,5.00,
    IF(arrears_months=3,8.00,
    IF(arrears_months=4,10.00,
    IF(arrears_months=5,12.00,15.00)))))))</f>
        <v/>
      </c>
      <c r="M3816">
        <f>LET(
    seasoning_years,DATEDIF('Loan Tape (S&amp;P)'!K3816,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16">
        <f>IF(AND('Loan Tape (S&amp;P)'!U3816="Yes",
        'Loan Tape (S&amp;P)'!T3816&lt;&gt;"Yes",
        DATEDIF('Loan Tape (S&amp;P)'!K3816, TODAY(), "M")&lt;18),
    1.10,
    1.00)</f>
        <v/>
      </c>
      <c r="O3816">
        <f>IF('Loan Tape (S&amp;P)'!T3816="Yes",
    1.35,
    1.00)</f>
        <v/>
      </c>
      <c r="P3816">
        <f>IF('Loan Tape (S&amp;P)'!S3816="Yes",
    1.15,
    1.00)</f>
        <v/>
      </c>
      <c r="Q3816">
        <f>IF('Loan Tape (S&amp;P)'!V3816="Yes",
    1.20,
    1.00)</f>
        <v/>
      </c>
      <c r="T3816">
        <f>LET(
    payment_method,'Loan Tape (S&amp;P)'!P3816,
    occupancy,'Loan Tape (S&amp;P)'!N3816,
    maturity_date,'Loan Tape (S&amp;P)'!L3816,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17">
      <c r="J3817">
        <f>LET(
    lien,'Loan Tape (S&amp;P)'!Q3817,
    IF(lien="First",1.00,
        IF(lien="Second",1.50,
            1.70)))</f>
        <v/>
      </c>
      <c r="K3817">
        <f>LET(
    purpose,'Loan Tape (S&amp;P)'!R3817,
    IF(purpose="Purchase",1.00,
        IF(purpose="Remortgage",1.00,
            1.20)))</f>
        <v/>
      </c>
      <c r="L3817">
        <f>LET(
    arrears_months,'Loan Tape (S&amp;P)'!AN3817,
    IF(arrears_months=0,1.00,
    IF(arrears_months=1,3.00,
    IF(arrears_months=2,5.00,
    IF(arrears_months=3,8.00,
    IF(arrears_months=4,10.00,
    IF(arrears_months=5,12.00,15.00)))))))</f>
        <v/>
      </c>
      <c r="M3817">
        <f>LET(
    seasoning_years,DATEDIF('Loan Tape (S&amp;P)'!K3817,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17">
        <f>IF(AND('Loan Tape (S&amp;P)'!U3817="Yes",
        'Loan Tape (S&amp;P)'!T3817&lt;&gt;"Yes",
        DATEDIF('Loan Tape (S&amp;P)'!K3817, TODAY(), "M")&lt;18),
    1.10,
    1.00)</f>
        <v/>
      </c>
      <c r="O3817">
        <f>IF('Loan Tape (S&amp;P)'!T3817="Yes",
    1.35,
    1.00)</f>
        <v/>
      </c>
      <c r="P3817">
        <f>IF('Loan Tape (S&amp;P)'!S3817="Yes",
    1.15,
    1.00)</f>
        <v/>
      </c>
      <c r="Q3817">
        <f>IF('Loan Tape (S&amp;P)'!V3817="Yes",
    1.20,
    1.00)</f>
        <v/>
      </c>
      <c r="T3817">
        <f>LET(
    payment_method,'Loan Tape (S&amp;P)'!P3817,
    occupancy,'Loan Tape (S&amp;P)'!N3817,
    maturity_date,'Loan Tape (S&amp;P)'!L3817,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18">
      <c r="J3818">
        <f>LET(
    lien,'Loan Tape (S&amp;P)'!Q3818,
    IF(lien="First",1.00,
        IF(lien="Second",1.50,
            1.70)))</f>
        <v/>
      </c>
      <c r="K3818">
        <f>LET(
    purpose,'Loan Tape (S&amp;P)'!R3818,
    IF(purpose="Purchase",1.00,
        IF(purpose="Remortgage",1.00,
            1.20)))</f>
        <v/>
      </c>
      <c r="L3818">
        <f>LET(
    arrears_months,'Loan Tape (S&amp;P)'!AN3818,
    IF(arrears_months=0,1.00,
    IF(arrears_months=1,3.00,
    IF(arrears_months=2,5.00,
    IF(arrears_months=3,8.00,
    IF(arrears_months=4,10.00,
    IF(arrears_months=5,12.00,15.00)))))))</f>
        <v/>
      </c>
      <c r="M3818">
        <f>LET(
    seasoning_years,DATEDIF('Loan Tape (S&amp;P)'!K3818,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18">
        <f>IF(AND('Loan Tape (S&amp;P)'!U3818="Yes",
        'Loan Tape (S&amp;P)'!T3818&lt;&gt;"Yes",
        DATEDIF('Loan Tape (S&amp;P)'!K3818, TODAY(), "M")&lt;18),
    1.10,
    1.00)</f>
        <v/>
      </c>
      <c r="O3818">
        <f>IF('Loan Tape (S&amp;P)'!T3818="Yes",
    1.35,
    1.00)</f>
        <v/>
      </c>
      <c r="P3818">
        <f>IF('Loan Tape (S&amp;P)'!S3818="Yes",
    1.15,
    1.00)</f>
        <v/>
      </c>
      <c r="Q3818">
        <f>IF('Loan Tape (S&amp;P)'!V3818="Yes",
    1.20,
    1.00)</f>
        <v/>
      </c>
      <c r="T3818">
        <f>LET(
    payment_method,'Loan Tape (S&amp;P)'!P3818,
    occupancy,'Loan Tape (S&amp;P)'!N3818,
    maturity_date,'Loan Tape (S&amp;P)'!L3818,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19">
      <c r="J3819">
        <f>LET(
    lien,'Loan Tape (S&amp;P)'!Q3819,
    IF(lien="First",1.00,
        IF(lien="Second",1.50,
            1.70)))</f>
        <v/>
      </c>
      <c r="K3819">
        <f>LET(
    purpose,'Loan Tape (S&amp;P)'!R3819,
    IF(purpose="Purchase",1.00,
        IF(purpose="Remortgage",1.00,
            1.20)))</f>
        <v/>
      </c>
      <c r="L3819">
        <f>LET(
    arrears_months,'Loan Tape (S&amp;P)'!AN3819,
    IF(arrears_months=0,1.00,
    IF(arrears_months=1,3.00,
    IF(arrears_months=2,5.00,
    IF(arrears_months=3,8.00,
    IF(arrears_months=4,10.00,
    IF(arrears_months=5,12.00,15.00)))))))</f>
        <v/>
      </c>
      <c r="M3819">
        <f>LET(
    seasoning_years,DATEDIF('Loan Tape (S&amp;P)'!K3819,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19">
        <f>IF(AND('Loan Tape (S&amp;P)'!U3819="Yes",
        'Loan Tape (S&amp;P)'!T3819&lt;&gt;"Yes",
        DATEDIF('Loan Tape (S&amp;P)'!K3819, TODAY(), "M")&lt;18),
    1.10,
    1.00)</f>
        <v/>
      </c>
      <c r="O3819">
        <f>IF('Loan Tape (S&amp;P)'!T3819="Yes",
    1.35,
    1.00)</f>
        <v/>
      </c>
      <c r="P3819">
        <f>IF('Loan Tape (S&amp;P)'!S3819="Yes",
    1.15,
    1.00)</f>
        <v/>
      </c>
      <c r="Q3819">
        <f>IF('Loan Tape (S&amp;P)'!V3819="Yes",
    1.20,
    1.00)</f>
        <v/>
      </c>
      <c r="T3819">
        <f>LET(
    payment_method,'Loan Tape (S&amp;P)'!P3819,
    occupancy,'Loan Tape (S&amp;P)'!N3819,
    maturity_date,'Loan Tape (S&amp;P)'!L3819,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20">
      <c r="J3820">
        <f>LET(
    lien,'Loan Tape (S&amp;P)'!Q3820,
    IF(lien="First",1.00,
        IF(lien="Second",1.50,
            1.70)))</f>
        <v/>
      </c>
      <c r="K3820">
        <f>LET(
    purpose,'Loan Tape (S&amp;P)'!R3820,
    IF(purpose="Purchase",1.00,
        IF(purpose="Remortgage",1.00,
            1.20)))</f>
        <v/>
      </c>
      <c r="L3820">
        <f>LET(
    arrears_months,'Loan Tape (S&amp;P)'!AN3820,
    IF(arrears_months=0,1.00,
    IF(arrears_months=1,3.00,
    IF(arrears_months=2,5.00,
    IF(arrears_months=3,8.00,
    IF(arrears_months=4,10.00,
    IF(arrears_months=5,12.00,15.00)))))))</f>
        <v/>
      </c>
      <c r="M3820">
        <f>LET(
    seasoning_years,DATEDIF('Loan Tape (S&amp;P)'!K3820,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20">
        <f>IF(AND('Loan Tape (S&amp;P)'!U3820="Yes",
        'Loan Tape (S&amp;P)'!T3820&lt;&gt;"Yes",
        DATEDIF('Loan Tape (S&amp;P)'!K3820, TODAY(), "M")&lt;18),
    1.10,
    1.00)</f>
        <v/>
      </c>
      <c r="O3820">
        <f>IF('Loan Tape (S&amp;P)'!T3820="Yes",
    1.35,
    1.00)</f>
        <v/>
      </c>
      <c r="P3820">
        <f>IF('Loan Tape (S&amp;P)'!S3820="Yes",
    1.15,
    1.00)</f>
        <v/>
      </c>
      <c r="Q3820">
        <f>IF('Loan Tape (S&amp;P)'!V3820="Yes",
    1.20,
    1.00)</f>
        <v/>
      </c>
      <c r="T3820">
        <f>LET(
    payment_method,'Loan Tape (S&amp;P)'!P3820,
    occupancy,'Loan Tape (S&amp;P)'!N3820,
    maturity_date,'Loan Tape (S&amp;P)'!L3820,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21">
      <c r="J3821">
        <f>LET(
    lien,'Loan Tape (S&amp;P)'!Q3821,
    IF(lien="First",1.00,
        IF(lien="Second",1.50,
            1.70)))</f>
        <v/>
      </c>
      <c r="K3821">
        <f>LET(
    purpose,'Loan Tape (S&amp;P)'!R3821,
    IF(purpose="Purchase",1.00,
        IF(purpose="Remortgage",1.00,
            1.20)))</f>
        <v/>
      </c>
      <c r="L3821">
        <f>LET(
    arrears_months,'Loan Tape (S&amp;P)'!AN3821,
    IF(arrears_months=0,1.00,
    IF(arrears_months=1,3.00,
    IF(arrears_months=2,5.00,
    IF(arrears_months=3,8.00,
    IF(arrears_months=4,10.00,
    IF(arrears_months=5,12.00,15.00)))))))</f>
        <v/>
      </c>
      <c r="M3821">
        <f>LET(
    seasoning_years,DATEDIF('Loan Tape (S&amp;P)'!K3821,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21">
        <f>IF(AND('Loan Tape (S&amp;P)'!U3821="Yes",
        'Loan Tape (S&amp;P)'!T3821&lt;&gt;"Yes",
        DATEDIF('Loan Tape (S&amp;P)'!K3821, TODAY(), "M")&lt;18),
    1.10,
    1.00)</f>
        <v/>
      </c>
      <c r="O3821">
        <f>IF('Loan Tape (S&amp;P)'!T3821="Yes",
    1.35,
    1.00)</f>
        <v/>
      </c>
      <c r="P3821">
        <f>IF('Loan Tape (S&amp;P)'!S3821="Yes",
    1.15,
    1.00)</f>
        <v/>
      </c>
      <c r="Q3821">
        <f>IF('Loan Tape (S&amp;P)'!V3821="Yes",
    1.20,
    1.00)</f>
        <v/>
      </c>
      <c r="T3821">
        <f>LET(
    payment_method,'Loan Tape (S&amp;P)'!P3821,
    occupancy,'Loan Tape (S&amp;P)'!N3821,
    maturity_date,'Loan Tape (S&amp;P)'!L3821,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22">
      <c r="J3822">
        <f>LET(
    lien,'Loan Tape (S&amp;P)'!Q3822,
    IF(lien="First",1.00,
        IF(lien="Second",1.50,
            1.70)))</f>
        <v/>
      </c>
      <c r="K3822">
        <f>LET(
    purpose,'Loan Tape (S&amp;P)'!R3822,
    IF(purpose="Purchase",1.00,
        IF(purpose="Remortgage",1.00,
            1.20)))</f>
        <v/>
      </c>
      <c r="L3822">
        <f>LET(
    arrears_months,'Loan Tape (S&amp;P)'!AN3822,
    IF(arrears_months=0,1.00,
    IF(arrears_months=1,3.00,
    IF(arrears_months=2,5.00,
    IF(arrears_months=3,8.00,
    IF(arrears_months=4,10.00,
    IF(arrears_months=5,12.00,15.00)))))))</f>
        <v/>
      </c>
      <c r="M3822">
        <f>LET(
    seasoning_years,DATEDIF('Loan Tape (S&amp;P)'!K3822,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22">
        <f>IF(AND('Loan Tape (S&amp;P)'!U3822="Yes",
        'Loan Tape (S&amp;P)'!T3822&lt;&gt;"Yes",
        DATEDIF('Loan Tape (S&amp;P)'!K3822, TODAY(), "M")&lt;18),
    1.10,
    1.00)</f>
        <v/>
      </c>
      <c r="O3822">
        <f>IF('Loan Tape (S&amp;P)'!T3822="Yes",
    1.35,
    1.00)</f>
        <v/>
      </c>
      <c r="P3822">
        <f>IF('Loan Tape (S&amp;P)'!S3822="Yes",
    1.15,
    1.00)</f>
        <v/>
      </c>
      <c r="Q3822">
        <f>IF('Loan Tape (S&amp;P)'!V3822="Yes",
    1.20,
    1.00)</f>
        <v/>
      </c>
      <c r="T3822">
        <f>LET(
    payment_method,'Loan Tape (S&amp;P)'!P3822,
    occupancy,'Loan Tape (S&amp;P)'!N3822,
    maturity_date,'Loan Tape (S&amp;P)'!L3822,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23">
      <c r="J3823">
        <f>LET(
    lien,'Loan Tape (S&amp;P)'!Q3823,
    IF(lien="First",1.00,
        IF(lien="Second",1.50,
            1.70)))</f>
        <v/>
      </c>
      <c r="K3823">
        <f>LET(
    purpose,'Loan Tape (S&amp;P)'!R3823,
    IF(purpose="Purchase",1.00,
        IF(purpose="Remortgage",1.00,
            1.20)))</f>
        <v/>
      </c>
      <c r="L3823">
        <f>LET(
    arrears_months,'Loan Tape (S&amp;P)'!AN3823,
    IF(arrears_months=0,1.00,
    IF(arrears_months=1,3.00,
    IF(arrears_months=2,5.00,
    IF(arrears_months=3,8.00,
    IF(arrears_months=4,10.00,
    IF(arrears_months=5,12.00,15.00)))))))</f>
        <v/>
      </c>
      <c r="M3823">
        <f>LET(
    seasoning_years,DATEDIF('Loan Tape (S&amp;P)'!K3823,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23">
        <f>IF(AND('Loan Tape (S&amp;P)'!U3823="Yes",
        'Loan Tape (S&amp;P)'!T3823&lt;&gt;"Yes",
        DATEDIF('Loan Tape (S&amp;P)'!K3823, TODAY(), "M")&lt;18),
    1.10,
    1.00)</f>
        <v/>
      </c>
      <c r="O3823">
        <f>IF('Loan Tape (S&amp;P)'!T3823="Yes",
    1.35,
    1.00)</f>
        <v/>
      </c>
      <c r="P3823">
        <f>IF('Loan Tape (S&amp;P)'!S3823="Yes",
    1.15,
    1.00)</f>
        <v/>
      </c>
      <c r="Q3823">
        <f>IF('Loan Tape (S&amp;P)'!V3823="Yes",
    1.20,
    1.00)</f>
        <v/>
      </c>
      <c r="T3823">
        <f>LET(
    payment_method,'Loan Tape (S&amp;P)'!P3823,
    occupancy,'Loan Tape (S&amp;P)'!N3823,
    maturity_date,'Loan Tape (S&amp;P)'!L3823,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24">
      <c r="J3824">
        <f>LET(
    lien,'Loan Tape (S&amp;P)'!Q3824,
    IF(lien="First",1.00,
        IF(lien="Second",1.50,
            1.70)))</f>
        <v/>
      </c>
      <c r="K3824">
        <f>LET(
    purpose,'Loan Tape (S&amp;P)'!R3824,
    IF(purpose="Purchase",1.00,
        IF(purpose="Remortgage",1.00,
            1.20)))</f>
        <v/>
      </c>
      <c r="L3824">
        <f>LET(
    arrears_months,'Loan Tape (S&amp;P)'!AN3824,
    IF(arrears_months=0,1.00,
    IF(arrears_months=1,3.00,
    IF(arrears_months=2,5.00,
    IF(arrears_months=3,8.00,
    IF(arrears_months=4,10.00,
    IF(arrears_months=5,12.00,15.00)))))))</f>
        <v/>
      </c>
      <c r="M3824">
        <f>LET(
    seasoning_years,DATEDIF('Loan Tape (S&amp;P)'!K3824,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24">
        <f>IF(AND('Loan Tape (S&amp;P)'!U3824="Yes",
        'Loan Tape (S&amp;P)'!T3824&lt;&gt;"Yes",
        DATEDIF('Loan Tape (S&amp;P)'!K3824, TODAY(), "M")&lt;18),
    1.10,
    1.00)</f>
        <v/>
      </c>
      <c r="O3824">
        <f>IF('Loan Tape (S&amp;P)'!T3824="Yes",
    1.35,
    1.00)</f>
        <v/>
      </c>
      <c r="P3824">
        <f>IF('Loan Tape (S&amp;P)'!S3824="Yes",
    1.15,
    1.00)</f>
        <v/>
      </c>
      <c r="Q3824">
        <f>IF('Loan Tape (S&amp;P)'!V3824="Yes",
    1.20,
    1.00)</f>
        <v/>
      </c>
      <c r="T3824">
        <f>LET(
    payment_method,'Loan Tape (S&amp;P)'!P3824,
    occupancy,'Loan Tape (S&amp;P)'!N3824,
    maturity_date,'Loan Tape (S&amp;P)'!L3824,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25">
      <c r="J3825">
        <f>LET(
    lien,'Loan Tape (S&amp;P)'!Q3825,
    IF(lien="First",1.00,
        IF(lien="Second",1.50,
            1.70)))</f>
        <v/>
      </c>
      <c r="K3825">
        <f>LET(
    purpose,'Loan Tape (S&amp;P)'!R3825,
    IF(purpose="Purchase",1.00,
        IF(purpose="Remortgage",1.00,
            1.20)))</f>
        <v/>
      </c>
      <c r="L3825">
        <f>LET(
    arrears_months,'Loan Tape (S&amp;P)'!AN3825,
    IF(arrears_months=0,1.00,
    IF(arrears_months=1,3.00,
    IF(arrears_months=2,5.00,
    IF(arrears_months=3,8.00,
    IF(arrears_months=4,10.00,
    IF(arrears_months=5,12.00,15.00)))))))</f>
        <v/>
      </c>
      <c r="M3825">
        <f>LET(
    seasoning_years,DATEDIF('Loan Tape (S&amp;P)'!K3825,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25">
        <f>IF(AND('Loan Tape (S&amp;P)'!U3825="Yes",
        'Loan Tape (S&amp;P)'!T3825&lt;&gt;"Yes",
        DATEDIF('Loan Tape (S&amp;P)'!K3825, TODAY(), "M")&lt;18),
    1.10,
    1.00)</f>
        <v/>
      </c>
      <c r="O3825">
        <f>IF('Loan Tape (S&amp;P)'!T3825="Yes",
    1.35,
    1.00)</f>
        <v/>
      </c>
      <c r="P3825">
        <f>IF('Loan Tape (S&amp;P)'!S3825="Yes",
    1.15,
    1.00)</f>
        <v/>
      </c>
      <c r="Q3825">
        <f>IF('Loan Tape (S&amp;P)'!V3825="Yes",
    1.20,
    1.00)</f>
        <v/>
      </c>
      <c r="T3825">
        <f>LET(
    payment_method,'Loan Tape (S&amp;P)'!P3825,
    occupancy,'Loan Tape (S&amp;P)'!N3825,
    maturity_date,'Loan Tape (S&amp;P)'!L3825,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26">
      <c r="J3826">
        <f>LET(
    lien,'Loan Tape (S&amp;P)'!Q3826,
    IF(lien="First",1.00,
        IF(lien="Second",1.50,
            1.70)))</f>
        <v/>
      </c>
      <c r="K3826">
        <f>LET(
    purpose,'Loan Tape (S&amp;P)'!R3826,
    IF(purpose="Purchase",1.00,
        IF(purpose="Remortgage",1.00,
            1.20)))</f>
        <v/>
      </c>
      <c r="L3826">
        <f>LET(
    arrears_months,'Loan Tape (S&amp;P)'!AN3826,
    IF(arrears_months=0,1.00,
    IF(arrears_months=1,3.00,
    IF(arrears_months=2,5.00,
    IF(arrears_months=3,8.00,
    IF(arrears_months=4,10.00,
    IF(arrears_months=5,12.00,15.00)))))))</f>
        <v/>
      </c>
      <c r="M3826">
        <f>LET(
    seasoning_years,DATEDIF('Loan Tape (S&amp;P)'!K3826,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26">
        <f>IF(AND('Loan Tape (S&amp;P)'!U3826="Yes",
        'Loan Tape (S&amp;P)'!T3826&lt;&gt;"Yes",
        DATEDIF('Loan Tape (S&amp;P)'!K3826, TODAY(), "M")&lt;18),
    1.10,
    1.00)</f>
        <v/>
      </c>
      <c r="O3826">
        <f>IF('Loan Tape (S&amp;P)'!T3826="Yes",
    1.35,
    1.00)</f>
        <v/>
      </c>
      <c r="P3826">
        <f>IF('Loan Tape (S&amp;P)'!S3826="Yes",
    1.15,
    1.00)</f>
        <v/>
      </c>
      <c r="Q3826">
        <f>IF('Loan Tape (S&amp;P)'!V3826="Yes",
    1.20,
    1.00)</f>
        <v/>
      </c>
      <c r="T3826">
        <f>LET(
    payment_method,'Loan Tape (S&amp;P)'!P3826,
    occupancy,'Loan Tape (S&amp;P)'!N3826,
    maturity_date,'Loan Tape (S&amp;P)'!L3826,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27">
      <c r="J3827">
        <f>LET(
    lien,'Loan Tape (S&amp;P)'!Q3827,
    IF(lien="First",1.00,
        IF(lien="Second",1.50,
            1.70)))</f>
        <v/>
      </c>
      <c r="K3827">
        <f>LET(
    purpose,'Loan Tape (S&amp;P)'!R3827,
    IF(purpose="Purchase",1.00,
        IF(purpose="Remortgage",1.00,
            1.20)))</f>
        <v/>
      </c>
      <c r="L3827">
        <f>LET(
    arrears_months,'Loan Tape (S&amp;P)'!AN3827,
    IF(arrears_months=0,1.00,
    IF(arrears_months=1,3.00,
    IF(arrears_months=2,5.00,
    IF(arrears_months=3,8.00,
    IF(arrears_months=4,10.00,
    IF(arrears_months=5,12.00,15.00)))))))</f>
        <v/>
      </c>
      <c r="M3827">
        <f>LET(
    seasoning_years,DATEDIF('Loan Tape (S&amp;P)'!K3827,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27">
        <f>IF(AND('Loan Tape (S&amp;P)'!U3827="Yes",
        'Loan Tape (S&amp;P)'!T3827&lt;&gt;"Yes",
        DATEDIF('Loan Tape (S&amp;P)'!K3827, TODAY(), "M")&lt;18),
    1.10,
    1.00)</f>
        <v/>
      </c>
      <c r="O3827">
        <f>IF('Loan Tape (S&amp;P)'!T3827="Yes",
    1.35,
    1.00)</f>
        <v/>
      </c>
      <c r="P3827">
        <f>IF('Loan Tape (S&amp;P)'!S3827="Yes",
    1.15,
    1.00)</f>
        <v/>
      </c>
      <c r="Q3827">
        <f>IF('Loan Tape (S&amp;P)'!V3827="Yes",
    1.20,
    1.00)</f>
        <v/>
      </c>
      <c r="T3827">
        <f>LET(
    payment_method,'Loan Tape (S&amp;P)'!P3827,
    occupancy,'Loan Tape (S&amp;P)'!N3827,
    maturity_date,'Loan Tape (S&amp;P)'!L3827,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28">
      <c r="J3828">
        <f>LET(
    lien,'Loan Tape (S&amp;P)'!Q3828,
    IF(lien="First",1.00,
        IF(lien="Second",1.50,
            1.70)))</f>
        <v/>
      </c>
      <c r="K3828">
        <f>LET(
    purpose,'Loan Tape (S&amp;P)'!R3828,
    IF(purpose="Purchase",1.00,
        IF(purpose="Remortgage",1.00,
            1.20)))</f>
        <v/>
      </c>
      <c r="L3828">
        <f>LET(
    arrears_months,'Loan Tape (S&amp;P)'!AN3828,
    IF(arrears_months=0,1.00,
    IF(arrears_months=1,3.00,
    IF(arrears_months=2,5.00,
    IF(arrears_months=3,8.00,
    IF(arrears_months=4,10.00,
    IF(arrears_months=5,12.00,15.00)))))))</f>
        <v/>
      </c>
      <c r="M3828">
        <f>LET(
    seasoning_years,DATEDIF('Loan Tape (S&amp;P)'!K3828,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28">
        <f>IF(AND('Loan Tape (S&amp;P)'!U3828="Yes",
        'Loan Tape (S&amp;P)'!T3828&lt;&gt;"Yes",
        DATEDIF('Loan Tape (S&amp;P)'!K3828, TODAY(), "M")&lt;18),
    1.10,
    1.00)</f>
        <v/>
      </c>
      <c r="O3828">
        <f>IF('Loan Tape (S&amp;P)'!T3828="Yes",
    1.35,
    1.00)</f>
        <v/>
      </c>
      <c r="P3828">
        <f>IF('Loan Tape (S&amp;P)'!S3828="Yes",
    1.15,
    1.00)</f>
        <v/>
      </c>
      <c r="Q3828">
        <f>IF('Loan Tape (S&amp;P)'!V3828="Yes",
    1.20,
    1.00)</f>
        <v/>
      </c>
      <c r="T3828">
        <f>LET(
    payment_method,'Loan Tape (S&amp;P)'!P3828,
    occupancy,'Loan Tape (S&amp;P)'!N3828,
    maturity_date,'Loan Tape (S&amp;P)'!L3828,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29">
      <c r="J3829">
        <f>LET(
    lien,'Loan Tape (S&amp;P)'!Q3829,
    IF(lien="First",1.00,
        IF(lien="Second",1.50,
            1.70)))</f>
        <v/>
      </c>
      <c r="K3829">
        <f>LET(
    purpose,'Loan Tape (S&amp;P)'!R3829,
    IF(purpose="Purchase",1.00,
        IF(purpose="Remortgage",1.00,
            1.20)))</f>
        <v/>
      </c>
      <c r="L3829">
        <f>LET(
    arrears_months,'Loan Tape (S&amp;P)'!AN3829,
    IF(arrears_months=0,1.00,
    IF(arrears_months=1,3.00,
    IF(arrears_months=2,5.00,
    IF(arrears_months=3,8.00,
    IF(arrears_months=4,10.00,
    IF(arrears_months=5,12.00,15.00)))))))</f>
        <v/>
      </c>
      <c r="M3829">
        <f>LET(
    seasoning_years,DATEDIF('Loan Tape (S&amp;P)'!K3829,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29">
        <f>IF(AND('Loan Tape (S&amp;P)'!U3829="Yes",
        'Loan Tape (S&amp;P)'!T3829&lt;&gt;"Yes",
        DATEDIF('Loan Tape (S&amp;P)'!K3829, TODAY(), "M")&lt;18),
    1.10,
    1.00)</f>
        <v/>
      </c>
      <c r="O3829">
        <f>IF('Loan Tape (S&amp;P)'!T3829="Yes",
    1.35,
    1.00)</f>
        <v/>
      </c>
      <c r="P3829">
        <f>IF('Loan Tape (S&amp;P)'!S3829="Yes",
    1.15,
    1.00)</f>
        <v/>
      </c>
      <c r="Q3829">
        <f>IF('Loan Tape (S&amp;P)'!V3829="Yes",
    1.20,
    1.00)</f>
        <v/>
      </c>
      <c r="T3829">
        <f>LET(
    payment_method,'Loan Tape (S&amp;P)'!P3829,
    occupancy,'Loan Tape (S&amp;P)'!N3829,
    maturity_date,'Loan Tape (S&amp;P)'!L3829,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30">
      <c r="J3830">
        <f>LET(
    lien,'Loan Tape (S&amp;P)'!Q3830,
    IF(lien="First",1.00,
        IF(lien="Second",1.50,
            1.70)))</f>
        <v/>
      </c>
      <c r="K3830">
        <f>LET(
    purpose,'Loan Tape (S&amp;P)'!R3830,
    IF(purpose="Purchase",1.00,
        IF(purpose="Remortgage",1.00,
            1.20)))</f>
        <v/>
      </c>
      <c r="L3830">
        <f>LET(
    arrears_months,'Loan Tape (S&amp;P)'!AN3830,
    IF(arrears_months=0,1.00,
    IF(arrears_months=1,3.00,
    IF(arrears_months=2,5.00,
    IF(arrears_months=3,8.00,
    IF(arrears_months=4,10.00,
    IF(arrears_months=5,12.00,15.00)))))))</f>
        <v/>
      </c>
      <c r="M3830">
        <f>LET(
    seasoning_years,DATEDIF('Loan Tape (S&amp;P)'!K3830,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30">
        <f>IF(AND('Loan Tape (S&amp;P)'!U3830="Yes",
        'Loan Tape (S&amp;P)'!T3830&lt;&gt;"Yes",
        DATEDIF('Loan Tape (S&amp;P)'!K3830, TODAY(), "M")&lt;18),
    1.10,
    1.00)</f>
        <v/>
      </c>
      <c r="O3830">
        <f>IF('Loan Tape (S&amp;P)'!T3830="Yes",
    1.35,
    1.00)</f>
        <v/>
      </c>
      <c r="P3830">
        <f>IF('Loan Tape (S&amp;P)'!S3830="Yes",
    1.15,
    1.00)</f>
        <v/>
      </c>
      <c r="Q3830">
        <f>IF('Loan Tape (S&amp;P)'!V3830="Yes",
    1.20,
    1.00)</f>
        <v/>
      </c>
      <c r="T3830">
        <f>LET(
    payment_method,'Loan Tape (S&amp;P)'!P3830,
    occupancy,'Loan Tape (S&amp;P)'!N3830,
    maturity_date,'Loan Tape (S&amp;P)'!L3830,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31">
      <c r="J3831">
        <f>LET(
    lien,'Loan Tape (S&amp;P)'!Q3831,
    IF(lien="First",1.00,
        IF(lien="Second",1.50,
            1.70)))</f>
        <v/>
      </c>
      <c r="K3831">
        <f>LET(
    purpose,'Loan Tape (S&amp;P)'!R3831,
    IF(purpose="Purchase",1.00,
        IF(purpose="Remortgage",1.00,
            1.20)))</f>
        <v/>
      </c>
      <c r="L3831">
        <f>LET(
    arrears_months,'Loan Tape (S&amp;P)'!AN3831,
    IF(arrears_months=0,1.00,
    IF(arrears_months=1,3.00,
    IF(arrears_months=2,5.00,
    IF(arrears_months=3,8.00,
    IF(arrears_months=4,10.00,
    IF(arrears_months=5,12.00,15.00)))))))</f>
        <v/>
      </c>
      <c r="M3831">
        <f>LET(
    seasoning_years,DATEDIF('Loan Tape (S&amp;P)'!K3831,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31">
        <f>IF(AND('Loan Tape (S&amp;P)'!U3831="Yes",
        'Loan Tape (S&amp;P)'!T3831&lt;&gt;"Yes",
        DATEDIF('Loan Tape (S&amp;P)'!K3831, TODAY(), "M")&lt;18),
    1.10,
    1.00)</f>
        <v/>
      </c>
      <c r="O3831">
        <f>IF('Loan Tape (S&amp;P)'!T3831="Yes",
    1.35,
    1.00)</f>
        <v/>
      </c>
      <c r="P3831">
        <f>IF('Loan Tape (S&amp;P)'!S3831="Yes",
    1.15,
    1.00)</f>
        <v/>
      </c>
      <c r="Q3831">
        <f>IF('Loan Tape (S&amp;P)'!V3831="Yes",
    1.20,
    1.00)</f>
        <v/>
      </c>
      <c r="T3831">
        <f>LET(
    payment_method,'Loan Tape (S&amp;P)'!P3831,
    occupancy,'Loan Tape (S&amp;P)'!N3831,
    maturity_date,'Loan Tape (S&amp;P)'!L3831,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32">
      <c r="J3832">
        <f>LET(
    lien,'Loan Tape (S&amp;P)'!Q3832,
    IF(lien="First",1.00,
        IF(lien="Second",1.50,
            1.70)))</f>
        <v/>
      </c>
      <c r="K3832">
        <f>LET(
    purpose,'Loan Tape (S&amp;P)'!R3832,
    IF(purpose="Purchase",1.00,
        IF(purpose="Remortgage",1.00,
            1.20)))</f>
        <v/>
      </c>
      <c r="L3832">
        <f>LET(
    arrears_months,'Loan Tape (S&amp;P)'!AN3832,
    IF(arrears_months=0,1.00,
    IF(arrears_months=1,3.00,
    IF(arrears_months=2,5.00,
    IF(arrears_months=3,8.00,
    IF(arrears_months=4,10.00,
    IF(arrears_months=5,12.00,15.00)))))))</f>
        <v/>
      </c>
      <c r="M3832">
        <f>LET(
    seasoning_years,DATEDIF('Loan Tape (S&amp;P)'!K3832,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32">
        <f>IF(AND('Loan Tape (S&amp;P)'!U3832="Yes",
        'Loan Tape (S&amp;P)'!T3832&lt;&gt;"Yes",
        DATEDIF('Loan Tape (S&amp;P)'!K3832, TODAY(), "M")&lt;18),
    1.10,
    1.00)</f>
        <v/>
      </c>
      <c r="O3832">
        <f>IF('Loan Tape (S&amp;P)'!T3832="Yes",
    1.35,
    1.00)</f>
        <v/>
      </c>
      <c r="P3832">
        <f>IF('Loan Tape (S&amp;P)'!S3832="Yes",
    1.15,
    1.00)</f>
        <v/>
      </c>
      <c r="Q3832">
        <f>IF('Loan Tape (S&amp;P)'!V3832="Yes",
    1.20,
    1.00)</f>
        <v/>
      </c>
      <c r="T3832">
        <f>LET(
    payment_method,'Loan Tape (S&amp;P)'!P3832,
    occupancy,'Loan Tape (S&amp;P)'!N3832,
    maturity_date,'Loan Tape (S&amp;P)'!L3832,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33">
      <c r="J3833">
        <f>LET(
    lien,'Loan Tape (S&amp;P)'!Q3833,
    IF(lien="First",1.00,
        IF(lien="Second",1.50,
            1.70)))</f>
        <v/>
      </c>
      <c r="K3833">
        <f>LET(
    purpose,'Loan Tape (S&amp;P)'!R3833,
    IF(purpose="Purchase",1.00,
        IF(purpose="Remortgage",1.00,
            1.20)))</f>
        <v/>
      </c>
      <c r="L3833">
        <f>LET(
    arrears_months,'Loan Tape (S&amp;P)'!AN3833,
    IF(arrears_months=0,1.00,
    IF(arrears_months=1,3.00,
    IF(arrears_months=2,5.00,
    IF(arrears_months=3,8.00,
    IF(arrears_months=4,10.00,
    IF(arrears_months=5,12.00,15.00)))))))</f>
        <v/>
      </c>
      <c r="M3833">
        <f>LET(
    seasoning_years,DATEDIF('Loan Tape (S&amp;P)'!K3833,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33">
        <f>IF(AND('Loan Tape (S&amp;P)'!U3833="Yes",
        'Loan Tape (S&amp;P)'!T3833&lt;&gt;"Yes",
        DATEDIF('Loan Tape (S&amp;P)'!K3833, TODAY(), "M")&lt;18),
    1.10,
    1.00)</f>
        <v/>
      </c>
      <c r="O3833">
        <f>IF('Loan Tape (S&amp;P)'!T3833="Yes",
    1.35,
    1.00)</f>
        <v/>
      </c>
      <c r="P3833">
        <f>IF('Loan Tape (S&amp;P)'!S3833="Yes",
    1.15,
    1.00)</f>
        <v/>
      </c>
      <c r="Q3833">
        <f>IF('Loan Tape (S&amp;P)'!V3833="Yes",
    1.20,
    1.00)</f>
        <v/>
      </c>
      <c r="T3833">
        <f>LET(
    payment_method,'Loan Tape (S&amp;P)'!P3833,
    occupancy,'Loan Tape (S&amp;P)'!N3833,
    maturity_date,'Loan Tape (S&amp;P)'!L3833,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34">
      <c r="J3834">
        <f>LET(
    lien,'Loan Tape (S&amp;P)'!Q3834,
    IF(lien="First",1.00,
        IF(lien="Second",1.50,
            1.70)))</f>
        <v/>
      </c>
      <c r="K3834">
        <f>LET(
    purpose,'Loan Tape (S&amp;P)'!R3834,
    IF(purpose="Purchase",1.00,
        IF(purpose="Remortgage",1.00,
            1.20)))</f>
        <v/>
      </c>
      <c r="L3834">
        <f>LET(
    arrears_months,'Loan Tape (S&amp;P)'!AN3834,
    IF(arrears_months=0,1.00,
    IF(arrears_months=1,3.00,
    IF(arrears_months=2,5.00,
    IF(arrears_months=3,8.00,
    IF(arrears_months=4,10.00,
    IF(arrears_months=5,12.00,15.00)))))))</f>
        <v/>
      </c>
      <c r="M3834">
        <f>LET(
    seasoning_years,DATEDIF('Loan Tape (S&amp;P)'!K3834,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34">
        <f>IF(AND('Loan Tape (S&amp;P)'!U3834="Yes",
        'Loan Tape (S&amp;P)'!T3834&lt;&gt;"Yes",
        DATEDIF('Loan Tape (S&amp;P)'!K3834, TODAY(), "M")&lt;18),
    1.10,
    1.00)</f>
        <v/>
      </c>
      <c r="O3834">
        <f>IF('Loan Tape (S&amp;P)'!T3834="Yes",
    1.35,
    1.00)</f>
        <v/>
      </c>
      <c r="P3834">
        <f>IF('Loan Tape (S&amp;P)'!S3834="Yes",
    1.15,
    1.00)</f>
        <v/>
      </c>
      <c r="Q3834">
        <f>IF('Loan Tape (S&amp;P)'!V3834="Yes",
    1.20,
    1.00)</f>
        <v/>
      </c>
      <c r="T3834">
        <f>LET(
    payment_method,'Loan Tape (S&amp;P)'!P3834,
    occupancy,'Loan Tape (S&amp;P)'!N3834,
    maturity_date,'Loan Tape (S&amp;P)'!L3834,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35">
      <c r="J3835">
        <f>LET(
    lien,'Loan Tape (S&amp;P)'!Q3835,
    IF(lien="First",1.00,
        IF(lien="Second",1.50,
            1.70)))</f>
        <v/>
      </c>
      <c r="K3835">
        <f>LET(
    purpose,'Loan Tape (S&amp;P)'!R3835,
    IF(purpose="Purchase",1.00,
        IF(purpose="Remortgage",1.00,
            1.20)))</f>
        <v/>
      </c>
      <c r="L3835">
        <f>LET(
    arrears_months,'Loan Tape (S&amp;P)'!AN3835,
    IF(arrears_months=0,1.00,
    IF(arrears_months=1,3.00,
    IF(arrears_months=2,5.00,
    IF(arrears_months=3,8.00,
    IF(arrears_months=4,10.00,
    IF(arrears_months=5,12.00,15.00)))))))</f>
        <v/>
      </c>
      <c r="M3835">
        <f>LET(
    seasoning_years,DATEDIF('Loan Tape (S&amp;P)'!K3835,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35">
        <f>IF(AND('Loan Tape (S&amp;P)'!U3835="Yes",
        'Loan Tape (S&amp;P)'!T3835&lt;&gt;"Yes",
        DATEDIF('Loan Tape (S&amp;P)'!K3835, TODAY(), "M")&lt;18),
    1.10,
    1.00)</f>
        <v/>
      </c>
      <c r="O3835">
        <f>IF('Loan Tape (S&amp;P)'!T3835="Yes",
    1.35,
    1.00)</f>
        <v/>
      </c>
      <c r="P3835">
        <f>IF('Loan Tape (S&amp;P)'!S3835="Yes",
    1.15,
    1.00)</f>
        <v/>
      </c>
      <c r="Q3835">
        <f>IF('Loan Tape (S&amp;P)'!V3835="Yes",
    1.20,
    1.00)</f>
        <v/>
      </c>
      <c r="T3835">
        <f>LET(
    payment_method,'Loan Tape (S&amp;P)'!P3835,
    occupancy,'Loan Tape (S&amp;P)'!N3835,
    maturity_date,'Loan Tape (S&amp;P)'!L3835,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36">
      <c r="J3836">
        <f>LET(
    lien,'Loan Tape (S&amp;P)'!Q3836,
    IF(lien="First",1.00,
        IF(lien="Second",1.50,
            1.70)))</f>
        <v/>
      </c>
      <c r="K3836">
        <f>LET(
    purpose,'Loan Tape (S&amp;P)'!R3836,
    IF(purpose="Purchase",1.00,
        IF(purpose="Remortgage",1.00,
            1.20)))</f>
        <v/>
      </c>
      <c r="L3836">
        <f>LET(
    arrears_months,'Loan Tape (S&amp;P)'!AN3836,
    IF(arrears_months=0,1.00,
    IF(arrears_months=1,3.00,
    IF(arrears_months=2,5.00,
    IF(arrears_months=3,8.00,
    IF(arrears_months=4,10.00,
    IF(arrears_months=5,12.00,15.00)))))))</f>
        <v/>
      </c>
      <c r="M3836">
        <f>LET(
    seasoning_years,DATEDIF('Loan Tape (S&amp;P)'!K3836,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36">
        <f>IF(AND('Loan Tape (S&amp;P)'!U3836="Yes",
        'Loan Tape (S&amp;P)'!T3836&lt;&gt;"Yes",
        DATEDIF('Loan Tape (S&amp;P)'!K3836, TODAY(), "M")&lt;18),
    1.10,
    1.00)</f>
        <v/>
      </c>
      <c r="O3836">
        <f>IF('Loan Tape (S&amp;P)'!T3836="Yes",
    1.35,
    1.00)</f>
        <v/>
      </c>
      <c r="P3836">
        <f>IF('Loan Tape (S&amp;P)'!S3836="Yes",
    1.15,
    1.00)</f>
        <v/>
      </c>
      <c r="Q3836">
        <f>IF('Loan Tape (S&amp;P)'!V3836="Yes",
    1.20,
    1.00)</f>
        <v/>
      </c>
      <c r="T3836">
        <f>LET(
    payment_method,'Loan Tape (S&amp;P)'!P3836,
    occupancy,'Loan Tape (S&amp;P)'!N3836,
    maturity_date,'Loan Tape (S&amp;P)'!L3836,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37">
      <c r="J3837">
        <f>LET(
    lien,'Loan Tape (S&amp;P)'!Q3837,
    IF(lien="First",1.00,
        IF(lien="Second",1.50,
            1.70)))</f>
        <v/>
      </c>
      <c r="K3837">
        <f>LET(
    purpose,'Loan Tape (S&amp;P)'!R3837,
    IF(purpose="Purchase",1.00,
        IF(purpose="Remortgage",1.00,
            1.20)))</f>
        <v/>
      </c>
      <c r="L3837">
        <f>LET(
    arrears_months,'Loan Tape (S&amp;P)'!AN3837,
    IF(arrears_months=0,1.00,
    IF(arrears_months=1,3.00,
    IF(arrears_months=2,5.00,
    IF(arrears_months=3,8.00,
    IF(arrears_months=4,10.00,
    IF(arrears_months=5,12.00,15.00)))))))</f>
        <v/>
      </c>
      <c r="M3837">
        <f>LET(
    seasoning_years,DATEDIF('Loan Tape (S&amp;P)'!K3837,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37">
        <f>IF(AND('Loan Tape (S&amp;P)'!U3837="Yes",
        'Loan Tape (S&amp;P)'!T3837&lt;&gt;"Yes",
        DATEDIF('Loan Tape (S&amp;P)'!K3837, TODAY(), "M")&lt;18),
    1.10,
    1.00)</f>
        <v/>
      </c>
      <c r="O3837">
        <f>IF('Loan Tape (S&amp;P)'!T3837="Yes",
    1.35,
    1.00)</f>
        <v/>
      </c>
      <c r="P3837">
        <f>IF('Loan Tape (S&amp;P)'!S3837="Yes",
    1.15,
    1.00)</f>
        <v/>
      </c>
      <c r="Q3837">
        <f>IF('Loan Tape (S&amp;P)'!V3837="Yes",
    1.20,
    1.00)</f>
        <v/>
      </c>
      <c r="T3837">
        <f>LET(
    payment_method,'Loan Tape (S&amp;P)'!P3837,
    occupancy,'Loan Tape (S&amp;P)'!N3837,
    maturity_date,'Loan Tape (S&amp;P)'!L3837,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38">
      <c r="J3838">
        <f>LET(
    lien,'Loan Tape (S&amp;P)'!Q3838,
    IF(lien="First",1.00,
        IF(lien="Second",1.50,
            1.70)))</f>
        <v/>
      </c>
      <c r="K3838">
        <f>LET(
    purpose,'Loan Tape (S&amp;P)'!R3838,
    IF(purpose="Purchase",1.00,
        IF(purpose="Remortgage",1.00,
            1.20)))</f>
        <v/>
      </c>
      <c r="L3838">
        <f>LET(
    arrears_months,'Loan Tape (S&amp;P)'!AN3838,
    IF(arrears_months=0,1.00,
    IF(arrears_months=1,3.00,
    IF(arrears_months=2,5.00,
    IF(arrears_months=3,8.00,
    IF(arrears_months=4,10.00,
    IF(arrears_months=5,12.00,15.00)))))))</f>
        <v/>
      </c>
      <c r="M3838">
        <f>LET(
    seasoning_years,DATEDIF('Loan Tape (S&amp;P)'!K3838,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38">
        <f>IF(AND('Loan Tape (S&amp;P)'!U3838="Yes",
        'Loan Tape (S&amp;P)'!T3838&lt;&gt;"Yes",
        DATEDIF('Loan Tape (S&amp;P)'!K3838, TODAY(), "M")&lt;18),
    1.10,
    1.00)</f>
        <v/>
      </c>
      <c r="O3838">
        <f>IF('Loan Tape (S&amp;P)'!T3838="Yes",
    1.35,
    1.00)</f>
        <v/>
      </c>
      <c r="P3838">
        <f>IF('Loan Tape (S&amp;P)'!S3838="Yes",
    1.15,
    1.00)</f>
        <v/>
      </c>
      <c r="Q3838">
        <f>IF('Loan Tape (S&amp;P)'!V3838="Yes",
    1.20,
    1.00)</f>
        <v/>
      </c>
      <c r="T3838">
        <f>LET(
    payment_method,'Loan Tape (S&amp;P)'!P3838,
    occupancy,'Loan Tape (S&amp;P)'!N3838,
    maturity_date,'Loan Tape (S&amp;P)'!L3838,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39">
      <c r="J3839">
        <f>LET(
    lien,'Loan Tape (S&amp;P)'!Q3839,
    IF(lien="First",1.00,
        IF(lien="Second",1.50,
            1.70)))</f>
        <v/>
      </c>
      <c r="K3839">
        <f>LET(
    purpose,'Loan Tape (S&amp;P)'!R3839,
    IF(purpose="Purchase",1.00,
        IF(purpose="Remortgage",1.00,
            1.20)))</f>
        <v/>
      </c>
      <c r="L3839">
        <f>LET(
    arrears_months,'Loan Tape (S&amp;P)'!AN3839,
    IF(arrears_months=0,1.00,
    IF(arrears_months=1,3.00,
    IF(arrears_months=2,5.00,
    IF(arrears_months=3,8.00,
    IF(arrears_months=4,10.00,
    IF(arrears_months=5,12.00,15.00)))))))</f>
        <v/>
      </c>
      <c r="M3839">
        <f>LET(
    seasoning_years,DATEDIF('Loan Tape (S&amp;P)'!K3839,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39">
        <f>IF(AND('Loan Tape (S&amp;P)'!U3839="Yes",
        'Loan Tape (S&amp;P)'!T3839&lt;&gt;"Yes",
        DATEDIF('Loan Tape (S&amp;P)'!K3839, TODAY(), "M")&lt;18),
    1.10,
    1.00)</f>
        <v/>
      </c>
      <c r="O3839">
        <f>IF('Loan Tape (S&amp;P)'!T3839="Yes",
    1.35,
    1.00)</f>
        <v/>
      </c>
      <c r="P3839">
        <f>IF('Loan Tape (S&amp;P)'!S3839="Yes",
    1.15,
    1.00)</f>
        <v/>
      </c>
      <c r="Q3839">
        <f>IF('Loan Tape (S&amp;P)'!V3839="Yes",
    1.20,
    1.00)</f>
        <v/>
      </c>
      <c r="T3839">
        <f>LET(
    payment_method,'Loan Tape (S&amp;P)'!P3839,
    occupancy,'Loan Tape (S&amp;P)'!N3839,
    maturity_date,'Loan Tape (S&amp;P)'!L3839,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40">
      <c r="J3840">
        <f>LET(
    lien,'Loan Tape (S&amp;P)'!Q3840,
    IF(lien="First",1.00,
        IF(lien="Second",1.50,
            1.70)))</f>
        <v/>
      </c>
      <c r="K3840">
        <f>LET(
    purpose,'Loan Tape (S&amp;P)'!R3840,
    IF(purpose="Purchase",1.00,
        IF(purpose="Remortgage",1.00,
            1.20)))</f>
        <v/>
      </c>
      <c r="L3840">
        <f>LET(
    arrears_months,'Loan Tape (S&amp;P)'!AN3840,
    IF(arrears_months=0,1.00,
    IF(arrears_months=1,3.00,
    IF(arrears_months=2,5.00,
    IF(arrears_months=3,8.00,
    IF(arrears_months=4,10.00,
    IF(arrears_months=5,12.00,15.00)))))))</f>
        <v/>
      </c>
      <c r="M3840">
        <f>LET(
    seasoning_years,DATEDIF('Loan Tape (S&amp;P)'!K3840,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40">
        <f>IF(AND('Loan Tape (S&amp;P)'!U3840="Yes",
        'Loan Tape (S&amp;P)'!T3840&lt;&gt;"Yes",
        DATEDIF('Loan Tape (S&amp;P)'!K3840, TODAY(), "M")&lt;18),
    1.10,
    1.00)</f>
        <v/>
      </c>
      <c r="O3840">
        <f>IF('Loan Tape (S&amp;P)'!T3840="Yes",
    1.35,
    1.00)</f>
        <v/>
      </c>
      <c r="P3840">
        <f>IF('Loan Tape (S&amp;P)'!S3840="Yes",
    1.15,
    1.00)</f>
        <v/>
      </c>
      <c r="Q3840">
        <f>IF('Loan Tape (S&amp;P)'!V3840="Yes",
    1.20,
    1.00)</f>
        <v/>
      </c>
      <c r="T3840">
        <f>LET(
    payment_method,'Loan Tape (S&amp;P)'!P3840,
    occupancy,'Loan Tape (S&amp;P)'!N3840,
    maturity_date,'Loan Tape (S&amp;P)'!L3840,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41">
      <c r="J3841">
        <f>LET(
    lien,'Loan Tape (S&amp;P)'!Q3841,
    IF(lien="First",1.00,
        IF(lien="Second",1.50,
            1.70)))</f>
        <v/>
      </c>
      <c r="K3841">
        <f>LET(
    purpose,'Loan Tape (S&amp;P)'!R3841,
    IF(purpose="Purchase",1.00,
        IF(purpose="Remortgage",1.00,
            1.20)))</f>
        <v/>
      </c>
      <c r="L3841">
        <f>LET(
    arrears_months,'Loan Tape (S&amp;P)'!AN3841,
    IF(arrears_months=0,1.00,
    IF(arrears_months=1,3.00,
    IF(arrears_months=2,5.00,
    IF(arrears_months=3,8.00,
    IF(arrears_months=4,10.00,
    IF(arrears_months=5,12.00,15.00)))))))</f>
        <v/>
      </c>
      <c r="M3841">
        <f>LET(
    seasoning_years,DATEDIF('Loan Tape (S&amp;P)'!K3841,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41">
        <f>IF(AND('Loan Tape (S&amp;P)'!U3841="Yes",
        'Loan Tape (S&amp;P)'!T3841&lt;&gt;"Yes",
        DATEDIF('Loan Tape (S&amp;P)'!K3841, TODAY(), "M")&lt;18),
    1.10,
    1.00)</f>
        <v/>
      </c>
      <c r="O3841">
        <f>IF('Loan Tape (S&amp;P)'!T3841="Yes",
    1.35,
    1.00)</f>
        <v/>
      </c>
      <c r="P3841">
        <f>IF('Loan Tape (S&amp;P)'!S3841="Yes",
    1.15,
    1.00)</f>
        <v/>
      </c>
      <c r="Q3841">
        <f>IF('Loan Tape (S&amp;P)'!V3841="Yes",
    1.20,
    1.00)</f>
        <v/>
      </c>
      <c r="T3841">
        <f>LET(
    payment_method,'Loan Tape (S&amp;P)'!P3841,
    occupancy,'Loan Tape (S&amp;P)'!N3841,
    maturity_date,'Loan Tape (S&amp;P)'!L3841,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42">
      <c r="J3842">
        <f>LET(
    lien,'Loan Tape (S&amp;P)'!Q3842,
    IF(lien="First",1.00,
        IF(lien="Second",1.50,
            1.70)))</f>
        <v/>
      </c>
      <c r="K3842">
        <f>LET(
    purpose,'Loan Tape (S&amp;P)'!R3842,
    IF(purpose="Purchase",1.00,
        IF(purpose="Remortgage",1.00,
            1.20)))</f>
        <v/>
      </c>
      <c r="L3842">
        <f>LET(
    arrears_months,'Loan Tape (S&amp;P)'!AN3842,
    IF(arrears_months=0,1.00,
    IF(arrears_months=1,3.00,
    IF(arrears_months=2,5.00,
    IF(arrears_months=3,8.00,
    IF(arrears_months=4,10.00,
    IF(arrears_months=5,12.00,15.00)))))))</f>
        <v/>
      </c>
      <c r="M3842">
        <f>LET(
    seasoning_years,DATEDIF('Loan Tape (S&amp;P)'!K3842,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42">
        <f>IF(AND('Loan Tape (S&amp;P)'!U3842="Yes",
        'Loan Tape (S&amp;P)'!T3842&lt;&gt;"Yes",
        DATEDIF('Loan Tape (S&amp;P)'!K3842, TODAY(), "M")&lt;18),
    1.10,
    1.00)</f>
        <v/>
      </c>
      <c r="O3842">
        <f>IF('Loan Tape (S&amp;P)'!T3842="Yes",
    1.35,
    1.00)</f>
        <v/>
      </c>
      <c r="P3842">
        <f>IF('Loan Tape (S&amp;P)'!S3842="Yes",
    1.15,
    1.00)</f>
        <v/>
      </c>
      <c r="Q3842">
        <f>IF('Loan Tape (S&amp;P)'!V3842="Yes",
    1.20,
    1.00)</f>
        <v/>
      </c>
      <c r="T3842">
        <f>LET(
    payment_method,'Loan Tape (S&amp;P)'!P3842,
    occupancy,'Loan Tape (S&amp;P)'!N3842,
    maturity_date,'Loan Tape (S&amp;P)'!L3842,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43">
      <c r="J3843">
        <f>LET(
    lien,'Loan Tape (S&amp;P)'!Q3843,
    IF(lien="First",1.00,
        IF(lien="Second",1.50,
            1.70)))</f>
        <v/>
      </c>
      <c r="K3843">
        <f>LET(
    purpose,'Loan Tape (S&amp;P)'!R3843,
    IF(purpose="Purchase",1.00,
        IF(purpose="Remortgage",1.00,
            1.20)))</f>
        <v/>
      </c>
      <c r="L3843">
        <f>LET(
    arrears_months,'Loan Tape (S&amp;P)'!AN3843,
    IF(arrears_months=0,1.00,
    IF(arrears_months=1,3.00,
    IF(arrears_months=2,5.00,
    IF(arrears_months=3,8.00,
    IF(arrears_months=4,10.00,
    IF(arrears_months=5,12.00,15.00)))))))</f>
        <v/>
      </c>
      <c r="M3843">
        <f>LET(
    seasoning_years,DATEDIF('Loan Tape (S&amp;P)'!K3843,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43">
        <f>IF(AND('Loan Tape (S&amp;P)'!U3843="Yes",
        'Loan Tape (S&amp;P)'!T3843&lt;&gt;"Yes",
        DATEDIF('Loan Tape (S&amp;P)'!K3843, TODAY(), "M")&lt;18),
    1.10,
    1.00)</f>
        <v/>
      </c>
      <c r="O3843">
        <f>IF('Loan Tape (S&amp;P)'!T3843="Yes",
    1.35,
    1.00)</f>
        <v/>
      </c>
      <c r="P3843">
        <f>IF('Loan Tape (S&amp;P)'!S3843="Yes",
    1.15,
    1.00)</f>
        <v/>
      </c>
      <c r="Q3843">
        <f>IF('Loan Tape (S&amp;P)'!V3843="Yes",
    1.20,
    1.00)</f>
        <v/>
      </c>
      <c r="T3843">
        <f>LET(
    payment_method,'Loan Tape (S&amp;P)'!P3843,
    occupancy,'Loan Tape (S&amp;P)'!N3843,
    maturity_date,'Loan Tape (S&amp;P)'!L3843,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44">
      <c r="J3844">
        <f>LET(
    lien,'Loan Tape (S&amp;P)'!Q3844,
    IF(lien="First",1.00,
        IF(lien="Second",1.50,
            1.70)))</f>
        <v/>
      </c>
      <c r="K3844">
        <f>LET(
    purpose,'Loan Tape (S&amp;P)'!R3844,
    IF(purpose="Purchase",1.00,
        IF(purpose="Remortgage",1.00,
            1.20)))</f>
        <v/>
      </c>
      <c r="L3844">
        <f>LET(
    arrears_months,'Loan Tape (S&amp;P)'!AN3844,
    IF(arrears_months=0,1.00,
    IF(arrears_months=1,3.00,
    IF(arrears_months=2,5.00,
    IF(arrears_months=3,8.00,
    IF(arrears_months=4,10.00,
    IF(arrears_months=5,12.00,15.00)))))))</f>
        <v/>
      </c>
      <c r="M3844">
        <f>LET(
    seasoning_years,DATEDIF('Loan Tape (S&amp;P)'!K3844,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44">
        <f>IF(AND('Loan Tape (S&amp;P)'!U3844="Yes",
        'Loan Tape (S&amp;P)'!T3844&lt;&gt;"Yes",
        DATEDIF('Loan Tape (S&amp;P)'!K3844, TODAY(), "M")&lt;18),
    1.10,
    1.00)</f>
        <v/>
      </c>
      <c r="O3844">
        <f>IF('Loan Tape (S&amp;P)'!T3844="Yes",
    1.35,
    1.00)</f>
        <v/>
      </c>
      <c r="P3844">
        <f>IF('Loan Tape (S&amp;P)'!S3844="Yes",
    1.15,
    1.00)</f>
        <v/>
      </c>
      <c r="Q3844">
        <f>IF('Loan Tape (S&amp;P)'!V3844="Yes",
    1.20,
    1.00)</f>
        <v/>
      </c>
      <c r="T3844">
        <f>LET(
    payment_method,'Loan Tape (S&amp;P)'!P3844,
    occupancy,'Loan Tape (S&amp;P)'!N3844,
    maturity_date,'Loan Tape (S&amp;P)'!L3844,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45">
      <c r="J3845">
        <f>LET(
    lien,'Loan Tape (S&amp;P)'!Q3845,
    IF(lien="First",1.00,
        IF(lien="Second",1.50,
            1.70)))</f>
        <v/>
      </c>
      <c r="K3845">
        <f>LET(
    purpose,'Loan Tape (S&amp;P)'!R3845,
    IF(purpose="Purchase",1.00,
        IF(purpose="Remortgage",1.00,
            1.20)))</f>
        <v/>
      </c>
      <c r="L3845">
        <f>LET(
    arrears_months,'Loan Tape (S&amp;P)'!AN3845,
    IF(arrears_months=0,1.00,
    IF(arrears_months=1,3.00,
    IF(arrears_months=2,5.00,
    IF(arrears_months=3,8.00,
    IF(arrears_months=4,10.00,
    IF(arrears_months=5,12.00,15.00)))))))</f>
        <v/>
      </c>
      <c r="M3845">
        <f>LET(
    seasoning_years,DATEDIF('Loan Tape (S&amp;P)'!K3845,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45">
        <f>IF(AND('Loan Tape (S&amp;P)'!U3845="Yes",
        'Loan Tape (S&amp;P)'!T3845&lt;&gt;"Yes",
        DATEDIF('Loan Tape (S&amp;P)'!K3845, TODAY(), "M")&lt;18),
    1.10,
    1.00)</f>
        <v/>
      </c>
      <c r="O3845">
        <f>IF('Loan Tape (S&amp;P)'!T3845="Yes",
    1.35,
    1.00)</f>
        <v/>
      </c>
      <c r="P3845">
        <f>IF('Loan Tape (S&amp;P)'!S3845="Yes",
    1.15,
    1.00)</f>
        <v/>
      </c>
      <c r="Q3845">
        <f>IF('Loan Tape (S&amp;P)'!V3845="Yes",
    1.20,
    1.00)</f>
        <v/>
      </c>
      <c r="T3845">
        <f>LET(
    payment_method,'Loan Tape (S&amp;P)'!P3845,
    occupancy,'Loan Tape (S&amp;P)'!N3845,
    maturity_date,'Loan Tape (S&amp;P)'!L3845,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46">
      <c r="J3846">
        <f>LET(
    lien,'Loan Tape (S&amp;P)'!Q3846,
    IF(lien="First",1.00,
        IF(lien="Second",1.50,
            1.70)))</f>
        <v/>
      </c>
      <c r="K3846">
        <f>LET(
    purpose,'Loan Tape (S&amp;P)'!R3846,
    IF(purpose="Purchase",1.00,
        IF(purpose="Remortgage",1.00,
            1.20)))</f>
        <v/>
      </c>
      <c r="L3846">
        <f>LET(
    arrears_months,'Loan Tape (S&amp;P)'!AN3846,
    IF(arrears_months=0,1.00,
    IF(arrears_months=1,3.00,
    IF(arrears_months=2,5.00,
    IF(arrears_months=3,8.00,
    IF(arrears_months=4,10.00,
    IF(arrears_months=5,12.00,15.00)))))))</f>
        <v/>
      </c>
      <c r="M3846">
        <f>LET(
    seasoning_years,DATEDIF('Loan Tape (S&amp;P)'!K3846,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46">
        <f>IF(AND('Loan Tape (S&amp;P)'!U3846="Yes",
        'Loan Tape (S&amp;P)'!T3846&lt;&gt;"Yes",
        DATEDIF('Loan Tape (S&amp;P)'!K3846, TODAY(), "M")&lt;18),
    1.10,
    1.00)</f>
        <v/>
      </c>
      <c r="O3846">
        <f>IF('Loan Tape (S&amp;P)'!T3846="Yes",
    1.35,
    1.00)</f>
        <v/>
      </c>
      <c r="P3846">
        <f>IF('Loan Tape (S&amp;P)'!S3846="Yes",
    1.15,
    1.00)</f>
        <v/>
      </c>
      <c r="Q3846">
        <f>IF('Loan Tape (S&amp;P)'!V3846="Yes",
    1.20,
    1.00)</f>
        <v/>
      </c>
      <c r="T3846">
        <f>LET(
    payment_method,'Loan Tape (S&amp;P)'!P3846,
    occupancy,'Loan Tape (S&amp;P)'!N3846,
    maturity_date,'Loan Tape (S&amp;P)'!L3846,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47">
      <c r="J3847">
        <f>LET(
    lien,'Loan Tape (S&amp;P)'!Q3847,
    IF(lien="First",1.00,
        IF(lien="Second",1.50,
            1.70)))</f>
        <v/>
      </c>
      <c r="K3847">
        <f>LET(
    purpose,'Loan Tape (S&amp;P)'!R3847,
    IF(purpose="Purchase",1.00,
        IF(purpose="Remortgage",1.00,
            1.20)))</f>
        <v/>
      </c>
      <c r="L3847">
        <f>LET(
    arrears_months,'Loan Tape (S&amp;P)'!AN3847,
    IF(arrears_months=0,1.00,
    IF(arrears_months=1,3.00,
    IF(arrears_months=2,5.00,
    IF(arrears_months=3,8.00,
    IF(arrears_months=4,10.00,
    IF(arrears_months=5,12.00,15.00)))))))</f>
        <v/>
      </c>
      <c r="M3847">
        <f>LET(
    seasoning_years,DATEDIF('Loan Tape (S&amp;P)'!K3847,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47">
        <f>IF(AND('Loan Tape (S&amp;P)'!U3847="Yes",
        'Loan Tape (S&amp;P)'!T3847&lt;&gt;"Yes",
        DATEDIF('Loan Tape (S&amp;P)'!K3847, TODAY(), "M")&lt;18),
    1.10,
    1.00)</f>
        <v/>
      </c>
      <c r="O3847">
        <f>IF('Loan Tape (S&amp;P)'!T3847="Yes",
    1.35,
    1.00)</f>
        <v/>
      </c>
      <c r="P3847">
        <f>IF('Loan Tape (S&amp;P)'!S3847="Yes",
    1.15,
    1.00)</f>
        <v/>
      </c>
      <c r="Q3847">
        <f>IF('Loan Tape (S&amp;P)'!V3847="Yes",
    1.20,
    1.00)</f>
        <v/>
      </c>
      <c r="T3847">
        <f>LET(
    payment_method,'Loan Tape (S&amp;P)'!P3847,
    occupancy,'Loan Tape (S&amp;P)'!N3847,
    maturity_date,'Loan Tape (S&amp;P)'!L3847,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48">
      <c r="J3848">
        <f>LET(
    lien,'Loan Tape (S&amp;P)'!Q3848,
    IF(lien="First",1.00,
        IF(lien="Second",1.50,
            1.70)))</f>
        <v/>
      </c>
      <c r="K3848">
        <f>LET(
    purpose,'Loan Tape (S&amp;P)'!R3848,
    IF(purpose="Purchase",1.00,
        IF(purpose="Remortgage",1.00,
            1.20)))</f>
        <v/>
      </c>
      <c r="L3848">
        <f>LET(
    arrears_months,'Loan Tape (S&amp;P)'!AN3848,
    IF(arrears_months=0,1.00,
    IF(arrears_months=1,3.00,
    IF(arrears_months=2,5.00,
    IF(arrears_months=3,8.00,
    IF(arrears_months=4,10.00,
    IF(arrears_months=5,12.00,15.00)))))))</f>
        <v/>
      </c>
      <c r="M3848">
        <f>LET(
    seasoning_years,DATEDIF('Loan Tape (S&amp;P)'!K3848,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48">
        <f>IF(AND('Loan Tape (S&amp;P)'!U3848="Yes",
        'Loan Tape (S&amp;P)'!T3848&lt;&gt;"Yes",
        DATEDIF('Loan Tape (S&amp;P)'!K3848, TODAY(), "M")&lt;18),
    1.10,
    1.00)</f>
        <v/>
      </c>
      <c r="O3848">
        <f>IF('Loan Tape (S&amp;P)'!T3848="Yes",
    1.35,
    1.00)</f>
        <v/>
      </c>
      <c r="P3848">
        <f>IF('Loan Tape (S&amp;P)'!S3848="Yes",
    1.15,
    1.00)</f>
        <v/>
      </c>
      <c r="Q3848">
        <f>IF('Loan Tape (S&amp;P)'!V3848="Yes",
    1.20,
    1.00)</f>
        <v/>
      </c>
      <c r="T3848">
        <f>LET(
    payment_method,'Loan Tape (S&amp;P)'!P3848,
    occupancy,'Loan Tape (S&amp;P)'!N3848,
    maturity_date,'Loan Tape (S&amp;P)'!L3848,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49">
      <c r="J3849">
        <f>LET(
    lien,'Loan Tape (S&amp;P)'!Q3849,
    IF(lien="First",1.00,
        IF(lien="Second",1.50,
            1.70)))</f>
        <v/>
      </c>
      <c r="K3849">
        <f>LET(
    purpose,'Loan Tape (S&amp;P)'!R3849,
    IF(purpose="Purchase",1.00,
        IF(purpose="Remortgage",1.00,
            1.20)))</f>
        <v/>
      </c>
      <c r="L3849">
        <f>LET(
    arrears_months,'Loan Tape (S&amp;P)'!AN3849,
    IF(arrears_months=0,1.00,
    IF(arrears_months=1,3.00,
    IF(arrears_months=2,5.00,
    IF(arrears_months=3,8.00,
    IF(arrears_months=4,10.00,
    IF(arrears_months=5,12.00,15.00)))))))</f>
        <v/>
      </c>
      <c r="M3849">
        <f>LET(
    seasoning_years,DATEDIF('Loan Tape (S&amp;P)'!K3849,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49">
        <f>IF(AND('Loan Tape (S&amp;P)'!U3849="Yes",
        'Loan Tape (S&amp;P)'!T3849&lt;&gt;"Yes",
        DATEDIF('Loan Tape (S&amp;P)'!K3849, TODAY(), "M")&lt;18),
    1.10,
    1.00)</f>
        <v/>
      </c>
      <c r="O3849">
        <f>IF('Loan Tape (S&amp;P)'!T3849="Yes",
    1.35,
    1.00)</f>
        <v/>
      </c>
      <c r="P3849">
        <f>IF('Loan Tape (S&amp;P)'!S3849="Yes",
    1.15,
    1.00)</f>
        <v/>
      </c>
      <c r="Q3849">
        <f>IF('Loan Tape (S&amp;P)'!V3849="Yes",
    1.20,
    1.00)</f>
        <v/>
      </c>
      <c r="T3849">
        <f>LET(
    payment_method,'Loan Tape (S&amp;P)'!P3849,
    occupancy,'Loan Tape (S&amp;P)'!N3849,
    maturity_date,'Loan Tape (S&amp;P)'!L3849,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50">
      <c r="J3850">
        <f>LET(
    lien,'Loan Tape (S&amp;P)'!Q3850,
    IF(lien="First",1.00,
        IF(lien="Second",1.50,
            1.70)))</f>
        <v/>
      </c>
      <c r="K3850">
        <f>LET(
    purpose,'Loan Tape (S&amp;P)'!R3850,
    IF(purpose="Purchase",1.00,
        IF(purpose="Remortgage",1.00,
            1.20)))</f>
        <v/>
      </c>
      <c r="L3850">
        <f>LET(
    arrears_months,'Loan Tape (S&amp;P)'!AN3850,
    IF(arrears_months=0,1.00,
    IF(arrears_months=1,3.00,
    IF(arrears_months=2,5.00,
    IF(arrears_months=3,8.00,
    IF(arrears_months=4,10.00,
    IF(arrears_months=5,12.00,15.00)))))))</f>
        <v/>
      </c>
      <c r="M3850">
        <f>LET(
    seasoning_years,DATEDIF('Loan Tape (S&amp;P)'!K3850,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50">
        <f>IF(AND('Loan Tape (S&amp;P)'!U3850="Yes",
        'Loan Tape (S&amp;P)'!T3850&lt;&gt;"Yes",
        DATEDIF('Loan Tape (S&amp;P)'!K3850, TODAY(), "M")&lt;18),
    1.10,
    1.00)</f>
        <v/>
      </c>
      <c r="O3850">
        <f>IF('Loan Tape (S&amp;P)'!T3850="Yes",
    1.35,
    1.00)</f>
        <v/>
      </c>
      <c r="P3850">
        <f>IF('Loan Tape (S&amp;P)'!S3850="Yes",
    1.15,
    1.00)</f>
        <v/>
      </c>
      <c r="Q3850">
        <f>IF('Loan Tape (S&amp;P)'!V3850="Yes",
    1.20,
    1.00)</f>
        <v/>
      </c>
      <c r="T3850">
        <f>LET(
    payment_method,'Loan Tape (S&amp;P)'!P3850,
    occupancy,'Loan Tape (S&amp;P)'!N3850,
    maturity_date,'Loan Tape (S&amp;P)'!L3850,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51">
      <c r="J3851">
        <f>LET(
    lien,'Loan Tape (S&amp;P)'!Q3851,
    IF(lien="First",1.00,
        IF(lien="Second",1.50,
            1.70)))</f>
        <v/>
      </c>
      <c r="K3851">
        <f>LET(
    purpose,'Loan Tape (S&amp;P)'!R3851,
    IF(purpose="Purchase",1.00,
        IF(purpose="Remortgage",1.00,
            1.20)))</f>
        <v/>
      </c>
      <c r="L3851">
        <f>LET(
    arrears_months,'Loan Tape (S&amp;P)'!AN3851,
    IF(arrears_months=0,1.00,
    IF(arrears_months=1,3.00,
    IF(arrears_months=2,5.00,
    IF(arrears_months=3,8.00,
    IF(arrears_months=4,10.00,
    IF(arrears_months=5,12.00,15.00)))))))</f>
        <v/>
      </c>
      <c r="M3851">
        <f>LET(
    seasoning_years,DATEDIF('Loan Tape (S&amp;P)'!K3851,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51">
        <f>IF(AND('Loan Tape (S&amp;P)'!U3851="Yes",
        'Loan Tape (S&amp;P)'!T3851&lt;&gt;"Yes",
        DATEDIF('Loan Tape (S&amp;P)'!K3851, TODAY(), "M")&lt;18),
    1.10,
    1.00)</f>
        <v/>
      </c>
      <c r="O3851">
        <f>IF('Loan Tape (S&amp;P)'!T3851="Yes",
    1.35,
    1.00)</f>
        <v/>
      </c>
      <c r="P3851">
        <f>IF('Loan Tape (S&amp;P)'!S3851="Yes",
    1.15,
    1.00)</f>
        <v/>
      </c>
      <c r="Q3851">
        <f>IF('Loan Tape (S&amp;P)'!V3851="Yes",
    1.20,
    1.00)</f>
        <v/>
      </c>
      <c r="T3851">
        <f>LET(
    payment_method,'Loan Tape (S&amp;P)'!P3851,
    occupancy,'Loan Tape (S&amp;P)'!N3851,
    maturity_date,'Loan Tape (S&amp;P)'!L3851,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52">
      <c r="J3852">
        <f>LET(
    lien,'Loan Tape (S&amp;P)'!Q3852,
    IF(lien="First",1.00,
        IF(lien="Second",1.50,
            1.70)))</f>
        <v/>
      </c>
      <c r="K3852">
        <f>LET(
    purpose,'Loan Tape (S&amp;P)'!R3852,
    IF(purpose="Purchase",1.00,
        IF(purpose="Remortgage",1.00,
            1.20)))</f>
        <v/>
      </c>
      <c r="L3852">
        <f>LET(
    arrears_months,'Loan Tape (S&amp;P)'!AN3852,
    IF(arrears_months=0,1.00,
    IF(arrears_months=1,3.00,
    IF(arrears_months=2,5.00,
    IF(arrears_months=3,8.00,
    IF(arrears_months=4,10.00,
    IF(arrears_months=5,12.00,15.00)))))))</f>
        <v/>
      </c>
      <c r="M3852">
        <f>LET(
    seasoning_years,DATEDIF('Loan Tape (S&amp;P)'!K3852,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52">
        <f>IF(AND('Loan Tape (S&amp;P)'!U3852="Yes",
        'Loan Tape (S&amp;P)'!T3852&lt;&gt;"Yes",
        DATEDIF('Loan Tape (S&amp;P)'!K3852, TODAY(), "M")&lt;18),
    1.10,
    1.00)</f>
        <v/>
      </c>
      <c r="O3852">
        <f>IF('Loan Tape (S&amp;P)'!T3852="Yes",
    1.35,
    1.00)</f>
        <v/>
      </c>
      <c r="P3852">
        <f>IF('Loan Tape (S&amp;P)'!S3852="Yes",
    1.15,
    1.00)</f>
        <v/>
      </c>
      <c r="Q3852">
        <f>IF('Loan Tape (S&amp;P)'!V3852="Yes",
    1.20,
    1.00)</f>
        <v/>
      </c>
      <c r="T3852">
        <f>LET(
    payment_method,'Loan Tape (S&amp;P)'!P3852,
    occupancy,'Loan Tape (S&amp;P)'!N3852,
    maturity_date,'Loan Tape (S&amp;P)'!L3852,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53">
      <c r="J3853">
        <f>LET(
    lien,'Loan Tape (S&amp;P)'!Q3853,
    IF(lien="First",1.00,
        IF(lien="Second",1.50,
            1.70)))</f>
        <v/>
      </c>
      <c r="K3853">
        <f>LET(
    purpose,'Loan Tape (S&amp;P)'!R3853,
    IF(purpose="Purchase",1.00,
        IF(purpose="Remortgage",1.00,
            1.20)))</f>
        <v/>
      </c>
      <c r="L3853">
        <f>LET(
    arrears_months,'Loan Tape (S&amp;P)'!AN3853,
    IF(arrears_months=0,1.00,
    IF(arrears_months=1,3.00,
    IF(arrears_months=2,5.00,
    IF(arrears_months=3,8.00,
    IF(arrears_months=4,10.00,
    IF(arrears_months=5,12.00,15.00)))))))</f>
        <v/>
      </c>
      <c r="M3853">
        <f>LET(
    seasoning_years,DATEDIF('Loan Tape (S&amp;P)'!K3853,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53">
        <f>IF(AND('Loan Tape (S&amp;P)'!U3853="Yes",
        'Loan Tape (S&amp;P)'!T3853&lt;&gt;"Yes",
        DATEDIF('Loan Tape (S&amp;P)'!K3853, TODAY(), "M")&lt;18),
    1.10,
    1.00)</f>
        <v/>
      </c>
      <c r="O3853">
        <f>IF('Loan Tape (S&amp;P)'!T3853="Yes",
    1.35,
    1.00)</f>
        <v/>
      </c>
      <c r="P3853">
        <f>IF('Loan Tape (S&amp;P)'!S3853="Yes",
    1.15,
    1.00)</f>
        <v/>
      </c>
      <c r="Q3853">
        <f>IF('Loan Tape (S&amp;P)'!V3853="Yes",
    1.20,
    1.00)</f>
        <v/>
      </c>
      <c r="T3853">
        <f>LET(
    payment_method,'Loan Tape (S&amp;P)'!P3853,
    occupancy,'Loan Tape (S&amp;P)'!N3853,
    maturity_date,'Loan Tape (S&amp;P)'!L3853,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54">
      <c r="J3854">
        <f>LET(
    lien,'Loan Tape (S&amp;P)'!Q3854,
    IF(lien="First",1.00,
        IF(lien="Second",1.50,
            1.70)))</f>
        <v/>
      </c>
      <c r="K3854">
        <f>LET(
    purpose,'Loan Tape (S&amp;P)'!R3854,
    IF(purpose="Purchase",1.00,
        IF(purpose="Remortgage",1.00,
            1.20)))</f>
        <v/>
      </c>
      <c r="L3854">
        <f>LET(
    arrears_months,'Loan Tape (S&amp;P)'!AN3854,
    IF(arrears_months=0,1.00,
    IF(arrears_months=1,3.00,
    IF(arrears_months=2,5.00,
    IF(arrears_months=3,8.00,
    IF(arrears_months=4,10.00,
    IF(arrears_months=5,12.00,15.00)))))))</f>
        <v/>
      </c>
      <c r="M3854">
        <f>LET(
    seasoning_years,DATEDIF('Loan Tape (S&amp;P)'!K3854,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54">
        <f>IF(AND('Loan Tape (S&amp;P)'!U3854="Yes",
        'Loan Tape (S&amp;P)'!T3854&lt;&gt;"Yes",
        DATEDIF('Loan Tape (S&amp;P)'!K3854, TODAY(), "M")&lt;18),
    1.10,
    1.00)</f>
        <v/>
      </c>
      <c r="O3854">
        <f>IF('Loan Tape (S&amp;P)'!T3854="Yes",
    1.35,
    1.00)</f>
        <v/>
      </c>
      <c r="P3854">
        <f>IF('Loan Tape (S&amp;P)'!S3854="Yes",
    1.15,
    1.00)</f>
        <v/>
      </c>
      <c r="Q3854">
        <f>IF('Loan Tape (S&amp;P)'!V3854="Yes",
    1.20,
    1.00)</f>
        <v/>
      </c>
      <c r="T3854">
        <f>LET(
    payment_method,'Loan Tape (S&amp;P)'!P3854,
    occupancy,'Loan Tape (S&amp;P)'!N3854,
    maturity_date,'Loan Tape (S&amp;P)'!L3854,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55">
      <c r="J3855">
        <f>LET(
    lien,'Loan Tape (S&amp;P)'!Q3855,
    IF(lien="First",1.00,
        IF(lien="Second",1.50,
            1.70)))</f>
        <v/>
      </c>
      <c r="K3855">
        <f>LET(
    purpose,'Loan Tape (S&amp;P)'!R3855,
    IF(purpose="Purchase",1.00,
        IF(purpose="Remortgage",1.00,
            1.20)))</f>
        <v/>
      </c>
      <c r="L3855">
        <f>LET(
    arrears_months,'Loan Tape (S&amp;P)'!AN3855,
    IF(arrears_months=0,1.00,
    IF(arrears_months=1,3.00,
    IF(arrears_months=2,5.00,
    IF(arrears_months=3,8.00,
    IF(arrears_months=4,10.00,
    IF(arrears_months=5,12.00,15.00)))))))</f>
        <v/>
      </c>
      <c r="M3855">
        <f>LET(
    seasoning_years,DATEDIF('Loan Tape (S&amp;P)'!K3855,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55">
        <f>IF(AND('Loan Tape (S&amp;P)'!U3855="Yes",
        'Loan Tape (S&amp;P)'!T3855&lt;&gt;"Yes",
        DATEDIF('Loan Tape (S&amp;P)'!K3855, TODAY(), "M")&lt;18),
    1.10,
    1.00)</f>
        <v/>
      </c>
      <c r="O3855">
        <f>IF('Loan Tape (S&amp;P)'!T3855="Yes",
    1.35,
    1.00)</f>
        <v/>
      </c>
      <c r="P3855">
        <f>IF('Loan Tape (S&amp;P)'!S3855="Yes",
    1.15,
    1.00)</f>
        <v/>
      </c>
      <c r="Q3855">
        <f>IF('Loan Tape (S&amp;P)'!V3855="Yes",
    1.20,
    1.00)</f>
        <v/>
      </c>
      <c r="T3855">
        <f>LET(
    payment_method,'Loan Tape (S&amp;P)'!P3855,
    occupancy,'Loan Tape (S&amp;P)'!N3855,
    maturity_date,'Loan Tape (S&amp;P)'!L3855,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56">
      <c r="J3856">
        <f>LET(
    lien,'Loan Tape (S&amp;P)'!Q3856,
    IF(lien="First",1.00,
        IF(lien="Second",1.50,
            1.70)))</f>
        <v/>
      </c>
      <c r="K3856">
        <f>LET(
    purpose,'Loan Tape (S&amp;P)'!R3856,
    IF(purpose="Purchase",1.00,
        IF(purpose="Remortgage",1.00,
            1.20)))</f>
        <v/>
      </c>
      <c r="L3856">
        <f>LET(
    arrears_months,'Loan Tape (S&amp;P)'!AN3856,
    IF(arrears_months=0,1.00,
    IF(arrears_months=1,3.00,
    IF(arrears_months=2,5.00,
    IF(arrears_months=3,8.00,
    IF(arrears_months=4,10.00,
    IF(arrears_months=5,12.00,15.00)))))))</f>
        <v/>
      </c>
      <c r="M3856">
        <f>LET(
    seasoning_years,DATEDIF('Loan Tape (S&amp;P)'!K3856,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56">
        <f>IF(AND('Loan Tape (S&amp;P)'!U3856="Yes",
        'Loan Tape (S&amp;P)'!T3856&lt;&gt;"Yes",
        DATEDIF('Loan Tape (S&amp;P)'!K3856, TODAY(), "M")&lt;18),
    1.10,
    1.00)</f>
        <v/>
      </c>
      <c r="O3856">
        <f>IF('Loan Tape (S&amp;P)'!T3856="Yes",
    1.35,
    1.00)</f>
        <v/>
      </c>
      <c r="P3856">
        <f>IF('Loan Tape (S&amp;P)'!S3856="Yes",
    1.15,
    1.00)</f>
        <v/>
      </c>
      <c r="Q3856">
        <f>IF('Loan Tape (S&amp;P)'!V3856="Yes",
    1.20,
    1.00)</f>
        <v/>
      </c>
      <c r="T3856">
        <f>LET(
    payment_method,'Loan Tape (S&amp;P)'!P3856,
    occupancy,'Loan Tape (S&amp;P)'!N3856,
    maturity_date,'Loan Tape (S&amp;P)'!L3856,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57">
      <c r="J3857">
        <f>LET(
    lien,'Loan Tape (S&amp;P)'!Q3857,
    IF(lien="First",1.00,
        IF(lien="Second",1.50,
            1.70)))</f>
        <v/>
      </c>
      <c r="K3857">
        <f>LET(
    purpose,'Loan Tape (S&amp;P)'!R3857,
    IF(purpose="Purchase",1.00,
        IF(purpose="Remortgage",1.00,
            1.20)))</f>
        <v/>
      </c>
      <c r="L3857">
        <f>LET(
    arrears_months,'Loan Tape (S&amp;P)'!AN3857,
    IF(arrears_months=0,1.00,
    IF(arrears_months=1,3.00,
    IF(arrears_months=2,5.00,
    IF(arrears_months=3,8.00,
    IF(arrears_months=4,10.00,
    IF(arrears_months=5,12.00,15.00)))))))</f>
        <v/>
      </c>
      <c r="M3857">
        <f>LET(
    seasoning_years,DATEDIF('Loan Tape (S&amp;P)'!K3857,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57">
        <f>IF(AND('Loan Tape (S&amp;P)'!U3857="Yes",
        'Loan Tape (S&amp;P)'!T3857&lt;&gt;"Yes",
        DATEDIF('Loan Tape (S&amp;P)'!K3857, TODAY(), "M")&lt;18),
    1.10,
    1.00)</f>
        <v/>
      </c>
      <c r="O3857">
        <f>IF('Loan Tape (S&amp;P)'!T3857="Yes",
    1.35,
    1.00)</f>
        <v/>
      </c>
      <c r="P3857">
        <f>IF('Loan Tape (S&amp;P)'!S3857="Yes",
    1.15,
    1.00)</f>
        <v/>
      </c>
      <c r="Q3857">
        <f>IF('Loan Tape (S&amp;P)'!V3857="Yes",
    1.20,
    1.00)</f>
        <v/>
      </c>
      <c r="T3857">
        <f>LET(
    payment_method,'Loan Tape (S&amp;P)'!P3857,
    occupancy,'Loan Tape (S&amp;P)'!N3857,
    maturity_date,'Loan Tape (S&amp;P)'!L3857,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58">
      <c r="J3858">
        <f>LET(
    lien,'Loan Tape (S&amp;P)'!Q3858,
    IF(lien="First",1.00,
        IF(lien="Second",1.50,
            1.70)))</f>
        <v/>
      </c>
      <c r="K3858">
        <f>LET(
    purpose,'Loan Tape (S&amp;P)'!R3858,
    IF(purpose="Purchase",1.00,
        IF(purpose="Remortgage",1.00,
            1.20)))</f>
        <v/>
      </c>
      <c r="L3858">
        <f>LET(
    arrears_months,'Loan Tape (S&amp;P)'!AN3858,
    IF(arrears_months=0,1.00,
    IF(arrears_months=1,3.00,
    IF(arrears_months=2,5.00,
    IF(arrears_months=3,8.00,
    IF(arrears_months=4,10.00,
    IF(arrears_months=5,12.00,15.00)))))))</f>
        <v/>
      </c>
      <c r="M3858">
        <f>LET(
    seasoning_years,DATEDIF('Loan Tape (S&amp;P)'!K3858,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58">
        <f>IF(AND('Loan Tape (S&amp;P)'!U3858="Yes",
        'Loan Tape (S&amp;P)'!T3858&lt;&gt;"Yes",
        DATEDIF('Loan Tape (S&amp;P)'!K3858, TODAY(), "M")&lt;18),
    1.10,
    1.00)</f>
        <v/>
      </c>
      <c r="O3858">
        <f>IF('Loan Tape (S&amp;P)'!T3858="Yes",
    1.35,
    1.00)</f>
        <v/>
      </c>
      <c r="P3858">
        <f>IF('Loan Tape (S&amp;P)'!S3858="Yes",
    1.15,
    1.00)</f>
        <v/>
      </c>
      <c r="Q3858">
        <f>IF('Loan Tape (S&amp;P)'!V3858="Yes",
    1.20,
    1.00)</f>
        <v/>
      </c>
      <c r="T3858">
        <f>LET(
    payment_method,'Loan Tape (S&amp;P)'!P3858,
    occupancy,'Loan Tape (S&amp;P)'!N3858,
    maturity_date,'Loan Tape (S&amp;P)'!L3858,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59">
      <c r="J3859">
        <f>LET(
    lien,'Loan Tape (S&amp;P)'!Q3859,
    IF(lien="First",1.00,
        IF(lien="Second",1.50,
            1.70)))</f>
        <v/>
      </c>
      <c r="K3859">
        <f>LET(
    purpose,'Loan Tape (S&amp;P)'!R3859,
    IF(purpose="Purchase",1.00,
        IF(purpose="Remortgage",1.00,
            1.20)))</f>
        <v/>
      </c>
      <c r="L3859">
        <f>LET(
    arrears_months,'Loan Tape (S&amp;P)'!AN3859,
    IF(arrears_months=0,1.00,
    IF(arrears_months=1,3.00,
    IF(arrears_months=2,5.00,
    IF(arrears_months=3,8.00,
    IF(arrears_months=4,10.00,
    IF(arrears_months=5,12.00,15.00)))))))</f>
        <v/>
      </c>
      <c r="M3859">
        <f>LET(
    seasoning_years,DATEDIF('Loan Tape (S&amp;P)'!K3859,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59">
        <f>IF(AND('Loan Tape (S&amp;P)'!U3859="Yes",
        'Loan Tape (S&amp;P)'!T3859&lt;&gt;"Yes",
        DATEDIF('Loan Tape (S&amp;P)'!K3859, TODAY(), "M")&lt;18),
    1.10,
    1.00)</f>
        <v/>
      </c>
      <c r="O3859">
        <f>IF('Loan Tape (S&amp;P)'!T3859="Yes",
    1.35,
    1.00)</f>
        <v/>
      </c>
      <c r="P3859">
        <f>IF('Loan Tape (S&amp;P)'!S3859="Yes",
    1.15,
    1.00)</f>
        <v/>
      </c>
      <c r="Q3859">
        <f>IF('Loan Tape (S&amp;P)'!V3859="Yes",
    1.20,
    1.00)</f>
        <v/>
      </c>
      <c r="T3859">
        <f>LET(
    payment_method,'Loan Tape (S&amp;P)'!P3859,
    occupancy,'Loan Tape (S&amp;P)'!N3859,
    maturity_date,'Loan Tape (S&amp;P)'!L3859,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60">
      <c r="J3860">
        <f>LET(
    lien,'Loan Tape (S&amp;P)'!Q3860,
    IF(lien="First",1.00,
        IF(lien="Second",1.50,
            1.70)))</f>
        <v/>
      </c>
      <c r="K3860">
        <f>LET(
    purpose,'Loan Tape (S&amp;P)'!R3860,
    IF(purpose="Purchase",1.00,
        IF(purpose="Remortgage",1.00,
            1.20)))</f>
        <v/>
      </c>
      <c r="L3860">
        <f>LET(
    arrears_months,'Loan Tape (S&amp;P)'!AN3860,
    IF(arrears_months=0,1.00,
    IF(arrears_months=1,3.00,
    IF(arrears_months=2,5.00,
    IF(arrears_months=3,8.00,
    IF(arrears_months=4,10.00,
    IF(arrears_months=5,12.00,15.00)))))))</f>
        <v/>
      </c>
      <c r="M3860">
        <f>LET(
    seasoning_years,DATEDIF('Loan Tape (S&amp;P)'!K3860,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60">
        <f>IF(AND('Loan Tape (S&amp;P)'!U3860="Yes",
        'Loan Tape (S&amp;P)'!T3860&lt;&gt;"Yes",
        DATEDIF('Loan Tape (S&amp;P)'!K3860, TODAY(), "M")&lt;18),
    1.10,
    1.00)</f>
        <v/>
      </c>
      <c r="O3860">
        <f>IF('Loan Tape (S&amp;P)'!T3860="Yes",
    1.35,
    1.00)</f>
        <v/>
      </c>
      <c r="P3860">
        <f>IF('Loan Tape (S&amp;P)'!S3860="Yes",
    1.15,
    1.00)</f>
        <v/>
      </c>
      <c r="Q3860">
        <f>IF('Loan Tape (S&amp;P)'!V3860="Yes",
    1.20,
    1.00)</f>
        <v/>
      </c>
      <c r="T3860">
        <f>LET(
    payment_method,'Loan Tape (S&amp;P)'!P3860,
    occupancy,'Loan Tape (S&amp;P)'!N3860,
    maturity_date,'Loan Tape (S&amp;P)'!L3860,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61">
      <c r="J3861">
        <f>LET(
    lien,'Loan Tape (S&amp;P)'!Q3861,
    IF(lien="First",1.00,
        IF(lien="Second",1.50,
            1.70)))</f>
        <v/>
      </c>
      <c r="K3861">
        <f>LET(
    purpose,'Loan Tape (S&amp;P)'!R3861,
    IF(purpose="Purchase",1.00,
        IF(purpose="Remortgage",1.00,
            1.20)))</f>
        <v/>
      </c>
      <c r="L3861">
        <f>LET(
    arrears_months,'Loan Tape (S&amp;P)'!AN3861,
    IF(arrears_months=0,1.00,
    IF(arrears_months=1,3.00,
    IF(arrears_months=2,5.00,
    IF(arrears_months=3,8.00,
    IF(arrears_months=4,10.00,
    IF(arrears_months=5,12.00,15.00)))))))</f>
        <v/>
      </c>
      <c r="M3861">
        <f>LET(
    seasoning_years,DATEDIF('Loan Tape (S&amp;P)'!K3861,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61">
        <f>IF(AND('Loan Tape (S&amp;P)'!U3861="Yes",
        'Loan Tape (S&amp;P)'!T3861&lt;&gt;"Yes",
        DATEDIF('Loan Tape (S&amp;P)'!K3861, TODAY(), "M")&lt;18),
    1.10,
    1.00)</f>
        <v/>
      </c>
      <c r="O3861">
        <f>IF('Loan Tape (S&amp;P)'!T3861="Yes",
    1.35,
    1.00)</f>
        <v/>
      </c>
      <c r="P3861">
        <f>IF('Loan Tape (S&amp;P)'!S3861="Yes",
    1.15,
    1.00)</f>
        <v/>
      </c>
      <c r="Q3861">
        <f>IF('Loan Tape (S&amp;P)'!V3861="Yes",
    1.20,
    1.00)</f>
        <v/>
      </c>
      <c r="T3861">
        <f>LET(
    payment_method,'Loan Tape (S&amp;P)'!P3861,
    occupancy,'Loan Tape (S&amp;P)'!N3861,
    maturity_date,'Loan Tape (S&amp;P)'!L3861,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62">
      <c r="J3862">
        <f>LET(
    lien,'Loan Tape (S&amp;P)'!Q3862,
    IF(lien="First",1.00,
        IF(lien="Second",1.50,
            1.70)))</f>
        <v/>
      </c>
      <c r="K3862">
        <f>LET(
    purpose,'Loan Tape (S&amp;P)'!R3862,
    IF(purpose="Purchase",1.00,
        IF(purpose="Remortgage",1.00,
            1.20)))</f>
        <v/>
      </c>
      <c r="L3862">
        <f>LET(
    arrears_months,'Loan Tape (S&amp;P)'!AN3862,
    IF(arrears_months=0,1.00,
    IF(arrears_months=1,3.00,
    IF(arrears_months=2,5.00,
    IF(arrears_months=3,8.00,
    IF(arrears_months=4,10.00,
    IF(arrears_months=5,12.00,15.00)))))))</f>
        <v/>
      </c>
      <c r="M3862">
        <f>LET(
    seasoning_years,DATEDIF('Loan Tape (S&amp;P)'!K3862,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62">
        <f>IF(AND('Loan Tape (S&amp;P)'!U3862="Yes",
        'Loan Tape (S&amp;P)'!T3862&lt;&gt;"Yes",
        DATEDIF('Loan Tape (S&amp;P)'!K3862, TODAY(), "M")&lt;18),
    1.10,
    1.00)</f>
        <v/>
      </c>
      <c r="O3862">
        <f>IF('Loan Tape (S&amp;P)'!T3862="Yes",
    1.35,
    1.00)</f>
        <v/>
      </c>
      <c r="P3862">
        <f>IF('Loan Tape (S&amp;P)'!S3862="Yes",
    1.15,
    1.00)</f>
        <v/>
      </c>
      <c r="Q3862">
        <f>IF('Loan Tape (S&amp;P)'!V3862="Yes",
    1.20,
    1.00)</f>
        <v/>
      </c>
      <c r="T3862">
        <f>LET(
    payment_method,'Loan Tape (S&amp;P)'!P3862,
    occupancy,'Loan Tape (S&amp;P)'!N3862,
    maturity_date,'Loan Tape (S&amp;P)'!L3862,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63">
      <c r="J3863">
        <f>LET(
    lien,'Loan Tape (S&amp;P)'!Q3863,
    IF(lien="First",1.00,
        IF(lien="Second",1.50,
            1.70)))</f>
        <v/>
      </c>
      <c r="K3863">
        <f>LET(
    purpose,'Loan Tape (S&amp;P)'!R3863,
    IF(purpose="Purchase",1.00,
        IF(purpose="Remortgage",1.00,
            1.20)))</f>
        <v/>
      </c>
      <c r="L3863">
        <f>LET(
    arrears_months,'Loan Tape (S&amp;P)'!AN3863,
    IF(arrears_months=0,1.00,
    IF(arrears_months=1,3.00,
    IF(arrears_months=2,5.00,
    IF(arrears_months=3,8.00,
    IF(arrears_months=4,10.00,
    IF(arrears_months=5,12.00,15.00)))))))</f>
        <v/>
      </c>
      <c r="M3863">
        <f>LET(
    seasoning_years,DATEDIF('Loan Tape (S&amp;P)'!K3863,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63">
        <f>IF(AND('Loan Tape (S&amp;P)'!U3863="Yes",
        'Loan Tape (S&amp;P)'!T3863&lt;&gt;"Yes",
        DATEDIF('Loan Tape (S&amp;P)'!K3863, TODAY(), "M")&lt;18),
    1.10,
    1.00)</f>
        <v/>
      </c>
      <c r="O3863">
        <f>IF('Loan Tape (S&amp;P)'!T3863="Yes",
    1.35,
    1.00)</f>
        <v/>
      </c>
      <c r="P3863">
        <f>IF('Loan Tape (S&amp;P)'!S3863="Yes",
    1.15,
    1.00)</f>
        <v/>
      </c>
      <c r="Q3863">
        <f>IF('Loan Tape (S&amp;P)'!V3863="Yes",
    1.20,
    1.00)</f>
        <v/>
      </c>
      <c r="T3863">
        <f>LET(
    payment_method,'Loan Tape (S&amp;P)'!P3863,
    occupancy,'Loan Tape (S&amp;P)'!N3863,
    maturity_date,'Loan Tape (S&amp;P)'!L3863,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64">
      <c r="J3864">
        <f>LET(
    lien,'Loan Tape (S&amp;P)'!Q3864,
    IF(lien="First",1.00,
        IF(lien="Second",1.50,
            1.70)))</f>
        <v/>
      </c>
      <c r="K3864">
        <f>LET(
    purpose,'Loan Tape (S&amp;P)'!R3864,
    IF(purpose="Purchase",1.00,
        IF(purpose="Remortgage",1.00,
            1.20)))</f>
        <v/>
      </c>
      <c r="L3864">
        <f>LET(
    arrears_months,'Loan Tape (S&amp;P)'!AN3864,
    IF(arrears_months=0,1.00,
    IF(arrears_months=1,3.00,
    IF(arrears_months=2,5.00,
    IF(arrears_months=3,8.00,
    IF(arrears_months=4,10.00,
    IF(arrears_months=5,12.00,15.00)))))))</f>
        <v/>
      </c>
      <c r="M3864">
        <f>LET(
    seasoning_years,DATEDIF('Loan Tape (S&amp;P)'!K3864,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64">
        <f>IF(AND('Loan Tape (S&amp;P)'!U3864="Yes",
        'Loan Tape (S&amp;P)'!T3864&lt;&gt;"Yes",
        DATEDIF('Loan Tape (S&amp;P)'!K3864, TODAY(), "M")&lt;18),
    1.10,
    1.00)</f>
        <v/>
      </c>
      <c r="O3864">
        <f>IF('Loan Tape (S&amp;P)'!T3864="Yes",
    1.35,
    1.00)</f>
        <v/>
      </c>
      <c r="P3864">
        <f>IF('Loan Tape (S&amp;P)'!S3864="Yes",
    1.15,
    1.00)</f>
        <v/>
      </c>
      <c r="Q3864">
        <f>IF('Loan Tape (S&amp;P)'!V3864="Yes",
    1.20,
    1.00)</f>
        <v/>
      </c>
      <c r="T3864">
        <f>LET(
    payment_method,'Loan Tape (S&amp;P)'!P3864,
    occupancy,'Loan Tape (S&amp;P)'!N3864,
    maturity_date,'Loan Tape (S&amp;P)'!L3864,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65">
      <c r="J3865">
        <f>LET(
    lien,'Loan Tape (S&amp;P)'!Q3865,
    IF(lien="First",1.00,
        IF(lien="Second",1.50,
            1.70)))</f>
        <v/>
      </c>
      <c r="K3865">
        <f>LET(
    purpose,'Loan Tape (S&amp;P)'!R3865,
    IF(purpose="Purchase",1.00,
        IF(purpose="Remortgage",1.00,
            1.20)))</f>
        <v/>
      </c>
      <c r="L3865">
        <f>LET(
    arrears_months,'Loan Tape (S&amp;P)'!AN3865,
    IF(arrears_months=0,1.00,
    IF(arrears_months=1,3.00,
    IF(arrears_months=2,5.00,
    IF(arrears_months=3,8.00,
    IF(arrears_months=4,10.00,
    IF(arrears_months=5,12.00,15.00)))))))</f>
        <v/>
      </c>
      <c r="M3865">
        <f>LET(
    seasoning_years,DATEDIF('Loan Tape (S&amp;P)'!K3865,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65">
        <f>IF(AND('Loan Tape (S&amp;P)'!U3865="Yes",
        'Loan Tape (S&amp;P)'!T3865&lt;&gt;"Yes",
        DATEDIF('Loan Tape (S&amp;P)'!K3865, TODAY(), "M")&lt;18),
    1.10,
    1.00)</f>
        <v/>
      </c>
      <c r="O3865">
        <f>IF('Loan Tape (S&amp;P)'!T3865="Yes",
    1.35,
    1.00)</f>
        <v/>
      </c>
      <c r="P3865">
        <f>IF('Loan Tape (S&amp;P)'!S3865="Yes",
    1.15,
    1.00)</f>
        <v/>
      </c>
      <c r="Q3865">
        <f>IF('Loan Tape (S&amp;P)'!V3865="Yes",
    1.20,
    1.00)</f>
        <v/>
      </c>
      <c r="T3865">
        <f>LET(
    payment_method,'Loan Tape (S&amp;P)'!P3865,
    occupancy,'Loan Tape (S&amp;P)'!N3865,
    maturity_date,'Loan Tape (S&amp;P)'!L3865,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66">
      <c r="J3866">
        <f>LET(
    lien,'Loan Tape (S&amp;P)'!Q3866,
    IF(lien="First",1.00,
        IF(lien="Second",1.50,
            1.70)))</f>
        <v/>
      </c>
      <c r="K3866">
        <f>LET(
    purpose,'Loan Tape (S&amp;P)'!R3866,
    IF(purpose="Purchase",1.00,
        IF(purpose="Remortgage",1.00,
            1.20)))</f>
        <v/>
      </c>
      <c r="L3866">
        <f>LET(
    arrears_months,'Loan Tape (S&amp;P)'!AN3866,
    IF(arrears_months=0,1.00,
    IF(arrears_months=1,3.00,
    IF(arrears_months=2,5.00,
    IF(arrears_months=3,8.00,
    IF(arrears_months=4,10.00,
    IF(arrears_months=5,12.00,15.00)))))))</f>
        <v/>
      </c>
      <c r="M3866">
        <f>LET(
    seasoning_years,DATEDIF('Loan Tape (S&amp;P)'!K3866,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66">
        <f>IF(AND('Loan Tape (S&amp;P)'!U3866="Yes",
        'Loan Tape (S&amp;P)'!T3866&lt;&gt;"Yes",
        DATEDIF('Loan Tape (S&amp;P)'!K3866, TODAY(), "M")&lt;18),
    1.10,
    1.00)</f>
        <v/>
      </c>
      <c r="O3866">
        <f>IF('Loan Tape (S&amp;P)'!T3866="Yes",
    1.35,
    1.00)</f>
        <v/>
      </c>
      <c r="P3866">
        <f>IF('Loan Tape (S&amp;P)'!S3866="Yes",
    1.15,
    1.00)</f>
        <v/>
      </c>
      <c r="Q3866">
        <f>IF('Loan Tape (S&amp;P)'!V3866="Yes",
    1.20,
    1.00)</f>
        <v/>
      </c>
      <c r="T3866">
        <f>LET(
    payment_method,'Loan Tape (S&amp;P)'!P3866,
    occupancy,'Loan Tape (S&amp;P)'!N3866,
    maturity_date,'Loan Tape (S&amp;P)'!L3866,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67">
      <c r="J3867">
        <f>LET(
    lien,'Loan Tape (S&amp;P)'!Q3867,
    IF(lien="First",1.00,
        IF(lien="Second",1.50,
            1.70)))</f>
        <v/>
      </c>
      <c r="K3867">
        <f>LET(
    purpose,'Loan Tape (S&amp;P)'!R3867,
    IF(purpose="Purchase",1.00,
        IF(purpose="Remortgage",1.00,
            1.20)))</f>
        <v/>
      </c>
      <c r="L3867">
        <f>LET(
    arrears_months,'Loan Tape (S&amp;P)'!AN3867,
    IF(arrears_months=0,1.00,
    IF(arrears_months=1,3.00,
    IF(arrears_months=2,5.00,
    IF(arrears_months=3,8.00,
    IF(arrears_months=4,10.00,
    IF(arrears_months=5,12.00,15.00)))))))</f>
        <v/>
      </c>
      <c r="M3867">
        <f>LET(
    seasoning_years,DATEDIF('Loan Tape (S&amp;P)'!K3867,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67">
        <f>IF(AND('Loan Tape (S&amp;P)'!U3867="Yes",
        'Loan Tape (S&amp;P)'!T3867&lt;&gt;"Yes",
        DATEDIF('Loan Tape (S&amp;P)'!K3867, TODAY(), "M")&lt;18),
    1.10,
    1.00)</f>
        <v/>
      </c>
      <c r="O3867">
        <f>IF('Loan Tape (S&amp;P)'!T3867="Yes",
    1.35,
    1.00)</f>
        <v/>
      </c>
      <c r="P3867">
        <f>IF('Loan Tape (S&amp;P)'!S3867="Yes",
    1.15,
    1.00)</f>
        <v/>
      </c>
      <c r="Q3867">
        <f>IF('Loan Tape (S&amp;P)'!V3867="Yes",
    1.20,
    1.00)</f>
        <v/>
      </c>
      <c r="T3867">
        <f>LET(
    payment_method,'Loan Tape (S&amp;P)'!P3867,
    occupancy,'Loan Tape (S&amp;P)'!N3867,
    maturity_date,'Loan Tape (S&amp;P)'!L3867,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68">
      <c r="J3868">
        <f>LET(
    lien,'Loan Tape (S&amp;P)'!Q3868,
    IF(lien="First",1.00,
        IF(lien="Second",1.50,
            1.70)))</f>
        <v/>
      </c>
      <c r="K3868">
        <f>LET(
    purpose,'Loan Tape (S&amp;P)'!R3868,
    IF(purpose="Purchase",1.00,
        IF(purpose="Remortgage",1.00,
            1.20)))</f>
        <v/>
      </c>
      <c r="L3868">
        <f>LET(
    arrears_months,'Loan Tape (S&amp;P)'!AN3868,
    IF(arrears_months=0,1.00,
    IF(arrears_months=1,3.00,
    IF(arrears_months=2,5.00,
    IF(arrears_months=3,8.00,
    IF(arrears_months=4,10.00,
    IF(arrears_months=5,12.00,15.00)))))))</f>
        <v/>
      </c>
      <c r="M3868">
        <f>LET(
    seasoning_years,DATEDIF('Loan Tape (S&amp;P)'!K3868,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68">
        <f>IF(AND('Loan Tape (S&amp;P)'!U3868="Yes",
        'Loan Tape (S&amp;P)'!T3868&lt;&gt;"Yes",
        DATEDIF('Loan Tape (S&amp;P)'!K3868, TODAY(), "M")&lt;18),
    1.10,
    1.00)</f>
        <v/>
      </c>
      <c r="O3868">
        <f>IF('Loan Tape (S&amp;P)'!T3868="Yes",
    1.35,
    1.00)</f>
        <v/>
      </c>
      <c r="P3868">
        <f>IF('Loan Tape (S&amp;P)'!S3868="Yes",
    1.15,
    1.00)</f>
        <v/>
      </c>
      <c r="Q3868">
        <f>IF('Loan Tape (S&amp;P)'!V3868="Yes",
    1.20,
    1.00)</f>
        <v/>
      </c>
      <c r="T3868">
        <f>LET(
    payment_method,'Loan Tape (S&amp;P)'!P3868,
    occupancy,'Loan Tape (S&amp;P)'!N3868,
    maturity_date,'Loan Tape (S&amp;P)'!L3868,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69">
      <c r="J3869">
        <f>LET(
    lien,'Loan Tape (S&amp;P)'!Q3869,
    IF(lien="First",1.00,
        IF(lien="Second",1.50,
            1.70)))</f>
        <v/>
      </c>
      <c r="K3869">
        <f>LET(
    purpose,'Loan Tape (S&amp;P)'!R3869,
    IF(purpose="Purchase",1.00,
        IF(purpose="Remortgage",1.00,
            1.20)))</f>
        <v/>
      </c>
      <c r="L3869">
        <f>LET(
    arrears_months,'Loan Tape (S&amp;P)'!AN3869,
    IF(arrears_months=0,1.00,
    IF(arrears_months=1,3.00,
    IF(arrears_months=2,5.00,
    IF(arrears_months=3,8.00,
    IF(arrears_months=4,10.00,
    IF(arrears_months=5,12.00,15.00)))))))</f>
        <v/>
      </c>
      <c r="M3869">
        <f>LET(
    seasoning_years,DATEDIF('Loan Tape (S&amp;P)'!K3869,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69">
        <f>IF(AND('Loan Tape (S&amp;P)'!U3869="Yes",
        'Loan Tape (S&amp;P)'!T3869&lt;&gt;"Yes",
        DATEDIF('Loan Tape (S&amp;P)'!K3869, TODAY(), "M")&lt;18),
    1.10,
    1.00)</f>
        <v/>
      </c>
      <c r="O3869">
        <f>IF('Loan Tape (S&amp;P)'!T3869="Yes",
    1.35,
    1.00)</f>
        <v/>
      </c>
      <c r="P3869">
        <f>IF('Loan Tape (S&amp;P)'!S3869="Yes",
    1.15,
    1.00)</f>
        <v/>
      </c>
      <c r="Q3869">
        <f>IF('Loan Tape (S&amp;P)'!V3869="Yes",
    1.20,
    1.00)</f>
        <v/>
      </c>
      <c r="T3869">
        <f>LET(
    payment_method,'Loan Tape (S&amp;P)'!P3869,
    occupancy,'Loan Tape (S&amp;P)'!N3869,
    maturity_date,'Loan Tape (S&amp;P)'!L3869,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70">
      <c r="J3870">
        <f>LET(
    lien,'Loan Tape (S&amp;P)'!Q3870,
    IF(lien="First",1.00,
        IF(lien="Second",1.50,
            1.70)))</f>
        <v/>
      </c>
      <c r="K3870">
        <f>LET(
    purpose,'Loan Tape (S&amp;P)'!R3870,
    IF(purpose="Purchase",1.00,
        IF(purpose="Remortgage",1.00,
            1.20)))</f>
        <v/>
      </c>
      <c r="L3870">
        <f>LET(
    arrears_months,'Loan Tape (S&amp;P)'!AN3870,
    IF(arrears_months=0,1.00,
    IF(arrears_months=1,3.00,
    IF(arrears_months=2,5.00,
    IF(arrears_months=3,8.00,
    IF(arrears_months=4,10.00,
    IF(arrears_months=5,12.00,15.00)))))))</f>
        <v/>
      </c>
      <c r="M3870">
        <f>LET(
    seasoning_years,DATEDIF('Loan Tape (S&amp;P)'!K3870,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70">
        <f>IF(AND('Loan Tape (S&amp;P)'!U3870="Yes",
        'Loan Tape (S&amp;P)'!T3870&lt;&gt;"Yes",
        DATEDIF('Loan Tape (S&amp;P)'!K3870, TODAY(), "M")&lt;18),
    1.10,
    1.00)</f>
        <v/>
      </c>
      <c r="O3870">
        <f>IF('Loan Tape (S&amp;P)'!T3870="Yes",
    1.35,
    1.00)</f>
        <v/>
      </c>
      <c r="P3870">
        <f>IF('Loan Tape (S&amp;P)'!S3870="Yes",
    1.15,
    1.00)</f>
        <v/>
      </c>
      <c r="Q3870">
        <f>IF('Loan Tape (S&amp;P)'!V3870="Yes",
    1.20,
    1.00)</f>
        <v/>
      </c>
      <c r="T3870">
        <f>LET(
    payment_method,'Loan Tape (S&amp;P)'!P3870,
    occupancy,'Loan Tape (S&amp;P)'!N3870,
    maturity_date,'Loan Tape (S&amp;P)'!L3870,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71">
      <c r="J3871">
        <f>LET(
    lien,'Loan Tape (S&amp;P)'!Q3871,
    IF(lien="First",1.00,
        IF(lien="Second",1.50,
            1.70)))</f>
        <v/>
      </c>
      <c r="K3871">
        <f>LET(
    purpose,'Loan Tape (S&amp;P)'!R3871,
    IF(purpose="Purchase",1.00,
        IF(purpose="Remortgage",1.00,
            1.20)))</f>
        <v/>
      </c>
      <c r="L3871">
        <f>LET(
    arrears_months,'Loan Tape (S&amp;P)'!AN3871,
    IF(arrears_months=0,1.00,
    IF(arrears_months=1,3.00,
    IF(arrears_months=2,5.00,
    IF(arrears_months=3,8.00,
    IF(arrears_months=4,10.00,
    IF(arrears_months=5,12.00,15.00)))))))</f>
        <v/>
      </c>
      <c r="M3871">
        <f>LET(
    seasoning_years,DATEDIF('Loan Tape (S&amp;P)'!K3871,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71">
        <f>IF(AND('Loan Tape (S&amp;P)'!U3871="Yes",
        'Loan Tape (S&amp;P)'!T3871&lt;&gt;"Yes",
        DATEDIF('Loan Tape (S&amp;P)'!K3871, TODAY(), "M")&lt;18),
    1.10,
    1.00)</f>
        <v/>
      </c>
      <c r="O3871">
        <f>IF('Loan Tape (S&amp;P)'!T3871="Yes",
    1.35,
    1.00)</f>
        <v/>
      </c>
      <c r="P3871">
        <f>IF('Loan Tape (S&amp;P)'!S3871="Yes",
    1.15,
    1.00)</f>
        <v/>
      </c>
      <c r="Q3871">
        <f>IF('Loan Tape (S&amp;P)'!V3871="Yes",
    1.20,
    1.00)</f>
        <v/>
      </c>
      <c r="T3871">
        <f>LET(
    payment_method,'Loan Tape (S&amp;P)'!P3871,
    occupancy,'Loan Tape (S&amp;P)'!N3871,
    maturity_date,'Loan Tape (S&amp;P)'!L3871,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72">
      <c r="J3872">
        <f>LET(
    lien,'Loan Tape (S&amp;P)'!Q3872,
    IF(lien="First",1.00,
        IF(lien="Second",1.50,
            1.70)))</f>
        <v/>
      </c>
      <c r="K3872">
        <f>LET(
    purpose,'Loan Tape (S&amp;P)'!R3872,
    IF(purpose="Purchase",1.00,
        IF(purpose="Remortgage",1.00,
            1.20)))</f>
        <v/>
      </c>
      <c r="L3872">
        <f>LET(
    arrears_months,'Loan Tape (S&amp;P)'!AN3872,
    IF(arrears_months=0,1.00,
    IF(arrears_months=1,3.00,
    IF(arrears_months=2,5.00,
    IF(arrears_months=3,8.00,
    IF(arrears_months=4,10.00,
    IF(arrears_months=5,12.00,15.00)))))))</f>
        <v/>
      </c>
      <c r="M3872">
        <f>LET(
    seasoning_years,DATEDIF('Loan Tape (S&amp;P)'!K3872,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72">
        <f>IF(AND('Loan Tape (S&amp;P)'!U3872="Yes",
        'Loan Tape (S&amp;P)'!T3872&lt;&gt;"Yes",
        DATEDIF('Loan Tape (S&amp;P)'!K3872, TODAY(), "M")&lt;18),
    1.10,
    1.00)</f>
        <v/>
      </c>
      <c r="O3872">
        <f>IF('Loan Tape (S&amp;P)'!T3872="Yes",
    1.35,
    1.00)</f>
        <v/>
      </c>
      <c r="P3872">
        <f>IF('Loan Tape (S&amp;P)'!S3872="Yes",
    1.15,
    1.00)</f>
        <v/>
      </c>
      <c r="Q3872">
        <f>IF('Loan Tape (S&amp;P)'!V3872="Yes",
    1.20,
    1.00)</f>
        <v/>
      </c>
      <c r="T3872">
        <f>LET(
    payment_method,'Loan Tape (S&amp;P)'!P3872,
    occupancy,'Loan Tape (S&amp;P)'!N3872,
    maturity_date,'Loan Tape (S&amp;P)'!L3872,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73">
      <c r="J3873">
        <f>LET(
    lien,'Loan Tape (S&amp;P)'!Q3873,
    IF(lien="First",1.00,
        IF(lien="Second",1.50,
            1.70)))</f>
        <v/>
      </c>
      <c r="K3873">
        <f>LET(
    purpose,'Loan Tape (S&amp;P)'!R3873,
    IF(purpose="Purchase",1.00,
        IF(purpose="Remortgage",1.00,
            1.20)))</f>
        <v/>
      </c>
      <c r="L3873">
        <f>LET(
    arrears_months,'Loan Tape (S&amp;P)'!AN3873,
    IF(arrears_months=0,1.00,
    IF(arrears_months=1,3.00,
    IF(arrears_months=2,5.00,
    IF(arrears_months=3,8.00,
    IF(arrears_months=4,10.00,
    IF(arrears_months=5,12.00,15.00)))))))</f>
        <v/>
      </c>
      <c r="M3873">
        <f>LET(
    seasoning_years,DATEDIF('Loan Tape (S&amp;P)'!K3873,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73">
        <f>IF(AND('Loan Tape (S&amp;P)'!U3873="Yes",
        'Loan Tape (S&amp;P)'!T3873&lt;&gt;"Yes",
        DATEDIF('Loan Tape (S&amp;P)'!K3873, TODAY(), "M")&lt;18),
    1.10,
    1.00)</f>
        <v/>
      </c>
      <c r="O3873">
        <f>IF('Loan Tape (S&amp;P)'!T3873="Yes",
    1.35,
    1.00)</f>
        <v/>
      </c>
      <c r="P3873">
        <f>IF('Loan Tape (S&amp;P)'!S3873="Yes",
    1.15,
    1.00)</f>
        <v/>
      </c>
      <c r="Q3873">
        <f>IF('Loan Tape (S&amp;P)'!V3873="Yes",
    1.20,
    1.00)</f>
        <v/>
      </c>
      <c r="T3873">
        <f>LET(
    payment_method,'Loan Tape (S&amp;P)'!P3873,
    occupancy,'Loan Tape (S&amp;P)'!N3873,
    maturity_date,'Loan Tape (S&amp;P)'!L3873,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74">
      <c r="J3874">
        <f>LET(
    lien,'Loan Tape (S&amp;P)'!Q3874,
    IF(lien="First",1.00,
        IF(lien="Second",1.50,
            1.70)))</f>
        <v/>
      </c>
      <c r="K3874">
        <f>LET(
    purpose,'Loan Tape (S&amp;P)'!R3874,
    IF(purpose="Purchase",1.00,
        IF(purpose="Remortgage",1.00,
            1.20)))</f>
        <v/>
      </c>
      <c r="L3874">
        <f>LET(
    arrears_months,'Loan Tape (S&amp;P)'!AN3874,
    IF(arrears_months=0,1.00,
    IF(arrears_months=1,3.00,
    IF(arrears_months=2,5.00,
    IF(arrears_months=3,8.00,
    IF(arrears_months=4,10.00,
    IF(arrears_months=5,12.00,15.00)))))))</f>
        <v/>
      </c>
      <c r="M3874">
        <f>LET(
    seasoning_years,DATEDIF('Loan Tape (S&amp;P)'!K3874,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74">
        <f>IF(AND('Loan Tape (S&amp;P)'!U3874="Yes",
        'Loan Tape (S&amp;P)'!T3874&lt;&gt;"Yes",
        DATEDIF('Loan Tape (S&amp;P)'!K3874, TODAY(), "M")&lt;18),
    1.10,
    1.00)</f>
        <v/>
      </c>
      <c r="O3874">
        <f>IF('Loan Tape (S&amp;P)'!T3874="Yes",
    1.35,
    1.00)</f>
        <v/>
      </c>
      <c r="P3874">
        <f>IF('Loan Tape (S&amp;P)'!S3874="Yes",
    1.15,
    1.00)</f>
        <v/>
      </c>
      <c r="Q3874">
        <f>IF('Loan Tape (S&amp;P)'!V3874="Yes",
    1.20,
    1.00)</f>
        <v/>
      </c>
      <c r="T3874">
        <f>LET(
    payment_method,'Loan Tape (S&amp;P)'!P3874,
    occupancy,'Loan Tape (S&amp;P)'!N3874,
    maturity_date,'Loan Tape (S&amp;P)'!L3874,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75">
      <c r="J3875">
        <f>LET(
    lien,'Loan Tape (S&amp;P)'!Q3875,
    IF(lien="First",1.00,
        IF(lien="Second",1.50,
            1.70)))</f>
        <v/>
      </c>
      <c r="K3875">
        <f>LET(
    purpose,'Loan Tape (S&amp;P)'!R3875,
    IF(purpose="Purchase",1.00,
        IF(purpose="Remortgage",1.00,
            1.20)))</f>
        <v/>
      </c>
      <c r="L3875">
        <f>LET(
    arrears_months,'Loan Tape (S&amp;P)'!AN3875,
    IF(arrears_months=0,1.00,
    IF(arrears_months=1,3.00,
    IF(arrears_months=2,5.00,
    IF(arrears_months=3,8.00,
    IF(arrears_months=4,10.00,
    IF(arrears_months=5,12.00,15.00)))))))</f>
        <v/>
      </c>
      <c r="M3875">
        <f>LET(
    seasoning_years,DATEDIF('Loan Tape (S&amp;P)'!K3875,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75">
        <f>IF(AND('Loan Tape (S&amp;P)'!U3875="Yes",
        'Loan Tape (S&amp;P)'!T3875&lt;&gt;"Yes",
        DATEDIF('Loan Tape (S&amp;P)'!K3875, TODAY(), "M")&lt;18),
    1.10,
    1.00)</f>
        <v/>
      </c>
      <c r="O3875">
        <f>IF('Loan Tape (S&amp;P)'!T3875="Yes",
    1.35,
    1.00)</f>
        <v/>
      </c>
      <c r="P3875">
        <f>IF('Loan Tape (S&amp;P)'!S3875="Yes",
    1.15,
    1.00)</f>
        <v/>
      </c>
      <c r="Q3875">
        <f>IF('Loan Tape (S&amp;P)'!V3875="Yes",
    1.20,
    1.00)</f>
        <v/>
      </c>
      <c r="T3875">
        <f>LET(
    payment_method,'Loan Tape (S&amp;P)'!P3875,
    occupancy,'Loan Tape (S&amp;P)'!N3875,
    maturity_date,'Loan Tape (S&amp;P)'!L3875,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76">
      <c r="J3876">
        <f>LET(
    lien,'Loan Tape (S&amp;P)'!Q3876,
    IF(lien="First",1.00,
        IF(lien="Second",1.50,
            1.70)))</f>
        <v/>
      </c>
      <c r="K3876">
        <f>LET(
    purpose,'Loan Tape (S&amp;P)'!R3876,
    IF(purpose="Purchase",1.00,
        IF(purpose="Remortgage",1.00,
            1.20)))</f>
        <v/>
      </c>
      <c r="L3876">
        <f>LET(
    arrears_months,'Loan Tape (S&amp;P)'!AN3876,
    IF(arrears_months=0,1.00,
    IF(arrears_months=1,3.00,
    IF(arrears_months=2,5.00,
    IF(arrears_months=3,8.00,
    IF(arrears_months=4,10.00,
    IF(arrears_months=5,12.00,15.00)))))))</f>
        <v/>
      </c>
      <c r="M3876">
        <f>LET(
    seasoning_years,DATEDIF('Loan Tape (S&amp;P)'!K3876,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76">
        <f>IF(AND('Loan Tape (S&amp;P)'!U3876="Yes",
        'Loan Tape (S&amp;P)'!T3876&lt;&gt;"Yes",
        DATEDIF('Loan Tape (S&amp;P)'!K3876, TODAY(), "M")&lt;18),
    1.10,
    1.00)</f>
        <v/>
      </c>
      <c r="O3876">
        <f>IF('Loan Tape (S&amp;P)'!T3876="Yes",
    1.35,
    1.00)</f>
        <v/>
      </c>
      <c r="P3876">
        <f>IF('Loan Tape (S&amp;P)'!S3876="Yes",
    1.15,
    1.00)</f>
        <v/>
      </c>
      <c r="Q3876">
        <f>IF('Loan Tape (S&amp;P)'!V3876="Yes",
    1.20,
    1.00)</f>
        <v/>
      </c>
      <c r="T3876">
        <f>LET(
    payment_method,'Loan Tape (S&amp;P)'!P3876,
    occupancy,'Loan Tape (S&amp;P)'!N3876,
    maturity_date,'Loan Tape (S&amp;P)'!L3876,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77">
      <c r="J3877">
        <f>LET(
    lien,'Loan Tape (S&amp;P)'!Q3877,
    IF(lien="First",1.00,
        IF(lien="Second",1.50,
            1.70)))</f>
        <v/>
      </c>
      <c r="K3877">
        <f>LET(
    purpose,'Loan Tape (S&amp;P)'!R3877,
    IF(purpose="Purchase",1.00,
        IF(purpose="Remortgage",1.00,
            1.20)))</f>
        <v/>
      </c>
      <c r="L3877">
        <f>LET(
    arrears_months,'Loan Tape (S&amp;P)'!AN3877,
    IF(arrears_months=0,1.00,
    IF(arrears_months=1,3.00,
    IF(arrears_months=2,5.00,
    IF(arrears_months=3,8.00,
    IF(arrears_months=4,10.00,
    IF(arrears_months=5,12.00,15.00)))))))</f>
        <v/>
      </c>
      <c r="M3877">
        <f>LET(
    seasoning_years,DATEDIF('Loan Tape (S&amp;P)'!K3877,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77">
        <f>IF(AND('Loan Tape (S&amp;P)'!U3877="Yes",
        'Loan Tape (S&amp;P)'!T3877&lt;&gt;"Yes",
        DATEDIF('Loan Tape (S&amp;P)'!K3877, TODAY(), "M")&lt;18),
    1.10,
    1.00)</f>
        <v/>
      </c>
      <c r="O3877">
        <f>IF('Loan Tape (S&amp;P)'!T3877="Yes",
    1.35,
    1.00)</f>
        <v/>
      </c>
      <c r="P3877">
        <f>IF('Loan Tape (S&amp;P)'!S3877="Yes",
    1.15,
    1.00)</f>
        <v/>
      </c>
      <c r="Q3877">
        <f>IF('Loan Tape (S&amp;P)'!V3877="Yes",
    1.20,
    1.00)</f>
        <v/>
      </c>
      <c r="T3877">
        <f>LET(
    payment_method,'Loan Tape (S&amp;P)'!P3877,
    occupancy,'Loan Tape (S&amp;P)'!N3877,
    maturity_date,'Loan Tape (S&amp;P)'!L3877,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78">
      <c r="J3878">
        <f>LET(
    lien,'Loan Tape (S&amp;P)'!Q3878,
    IF(lien="First",1.00,
        IF(lien="Second",1.50,
            1.70)))</f>
        <v/>
      </c>
      <c r="K3878">
        <f>LET(
    purpose,'Loan Tape (S&amp;P)'!R3878,
    IF(purpose="Purchase",1.00,
        IF(purpose="Remortgage",1.00,
            1.20)))</f>
        <v/>
      </c>
      <c r="L3878">
        <f>LET(
    arrears_months,'Loan Tape (S&amp;P)'!AN3878,
    IF(arrears_months=0,1.00,
    IF(arrears_months=1,3.00,
    IF(arrears_months=2,5.00,
    IF(arrears_months=3,8.00,
    IF(arrears_months=4,10.00,
    IF(arrears_months=5,12.00,15.00)))))))</f>
        <v/>
      </c>
      <c r="M3878">
        <f>LET(
    seasoning_years,DATEDIF('Loan Tape (S&amp;P)'!K3878,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78">
        <f>IF(AND('Loan Tape (S&amp;P)'!U3878="Yes",
        'Loan Tape (S&amp;P)'!T3878&lt;&gt;"Yes",
        DATEDIF('Loan Tape (S&amp;P)'!K3878, TODAY(), "M")&lt;18),
    1.10,
    1.00)</f>
        <v/>
      </c>
      <c r="O3878">
        <f>IF('Loan Tape (S&amp;P)'!T3878="Yes",
    1.35,
    1.00)</f>
        <v/>
      </c>
      <c r="P3878">
        <f>IF('Loan Tape (S&amp;P)'!S3878="Yes",
    1.15,
    1.00)</f>
        <v/>
      </c>
      <c r="Q3878">
        <f>IF('Loan Tape (S&amp;P)'!V3878="Yes",
    1.20,
    1.00)</f>
        <v/>
      </c>
      <c r="T3878">
        <f>LET(
    payment_method,'Loan Tape (S&amp;P)'!P3878,
    occupancy,'Loan Tape (S&amp;P)'!N3878,
    maturity_date,'Loan Tape (S&amp;P)'!L3878,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79">
      <c r="J3879">
        <f>LET(
    lien,'Loan Tape (S&amp;P)'!Q3879,
    IF(lien="First",1.00,
        IF(lien="Second",1.50,
            1.70)))</f>
        <v/>
      </c>
      <c r="K3879">
        <f>LET(
    purpose,'Loan Tape (S&amp;P)'!R3879,
    IF(purpose="Purchase",1.00,
        IF(purpose="Remortgage",1.00,
            1.20)))</f>
        <v/>
      </c>
      <c r="L3879">
        <f>LET(
    arrears_months,'Loan Tape (S&amp;P)'!AN3879,
    IF(arrears_months=0,1.00,
    IF(arrears_months=1,3.00,
    IF(arrears_months=2,5.00,
    IF(arrears_months=3,8.00,
    IF(arrears_months=4,10.00,
    IF(arrears_months=5,12.00,15.00)))))))</f>
        <v/>
      </c>
      <c r="M3879">
        <f>LET(
    seasoning_years,DATEDIF('Loan Tape (S&amp;P)'!K3879,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79">
        <f>IF(AND('Loan Tape (S&amp;P)'!U3879="Yes",
        'Loan Tape (S&amp;P)'!T3879&lt;&gt;"Yes",
        DATEDIF('Loan Tape (S&amp;P)'!K3879, TODAY(), "M")&lt;18),
    1.10,
    1.00)</f>
        <v/>
      </c>
      <c r="O3879">
        <f>IF('Loan Tape (S&amp;P)'!T3879="Yes",
    1.35,
    1.00)</f>
        <v/>
      </c>
      <c r="P3879">
        <f>IF('Loan Tape (S&amp;P)'!S3879="Yes",
    1.15,
    1.00)</f>
        <v/>
      </c>
      <c r="Q3879">
        <f>IF('Loan Tape (S&amp;P)'!V3879="Yes",
    1.20,
    1.00)</f>
        <v/>
      </c>
      <c r="T3879">
        <f>LET(
    payment_method,'Loan Tape (S&amp;P)'!P3879,
    occupancy,'Loan Tape (S&amp;P)'!N3879,
    maturity_date,'Loan Tape (S&amp;P)'!L3879,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80">
      <c r="J3880">
        <f>LET(
    lien,'Loan Tape (S&amp;P)'!Q3880,
    IF(lien="First",1.00,
        IF(lien="Second",1.50,
            1.70)))</f>
        <v/>
      </c>
      <c r="K3880">
        <f>LET(
    purpose,'Loan Tape (S&amp;P)'!R3880,
    IF(purpose="Purchase",1.00,
        IF(purpose="Remortgage",1.00,
            1.20)))</f>
        <v/>
      </c>
      <c r="L3880">
        <f>LET(
    arrears_months,'Loan Tape (S&amp;P)'!AN3880,
    IF(arrears_months=0,1.00,
    IF(arrears_months=1,3.00,
    IF(arrears_months=2,5.00,
    IF(arrears_months=3,8.00,
    IF(arrears_months=4,10.00,
    IF(arrears_months=5,12.00,15.00)))))))</f>
        <v/>
      </c>
      <c r="M3880">
        <f>LET(
    seasoning_years,DATEDIF('Loan Tape (S&amp;P)'!K3880,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80">
        <f>IF(AND('Loan Tape (S&amp;P)'!U3880="Yes",
        'Loan Tape (S&amp;P)'!T3880&lt;&gt;"Yes",
        DATEDIF('Loan Tape (S&amp;P)'!K3880, TODAY(), "M")&lt;18),
    1.10,
    1.00)</f>
        <v/>
      </c>
      <c r="O3880">
        <f>IF('Loan Tape (S&amp;P)'!T3880="Yes",
    1.35,
    1.00)</f>
        <v/>
      </c>
      <c r="P3880">
        <f>IF('Loan Tape (S&amp;P)'!S3880="Yes",
    1.15,
    1.00)</f>
        <v/>
      </c>
      <c r="Q3880">
        <f>IF('Loan Tape (S&amp;P)'!V3880="Yes",
    1.20,
    1.00)</f>
        <v/>
      </c>
      <c r="T3880">
        <f>LET(
    payment_method,'Loan Tape (S&amp;P)'!P3880,
    occupancy,'Loan Tape (S&amp;P)'!N3880,
    maturity_date,'Loan Tape (S&amp;P)'!L3880,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81">
      <c r="J3881">
        <f>LET(
    lien,'Loan Tape (S&amp;P)'!Q3881,
    IF(lien="First",1.00,
        IF(lien="Second",1.50,
            1.70)))</f>
        <v/>
      </c>
      <c r="K3881">
        <f>LET(
    purpose,'Loan Tape (S&amp;P)'!R3881,
    IF(purpose="Purchase",1.00,
        IF(purpose="Remortgage",1.00,
            1.20)))</f>
        <v/>
      </c>
      <c r="L3881">
        <f>LET(
    arrears_months,'Loan Tape (S&amp;P)'!AN3881,
    IF(arrears_months=0,1.00,
    IF(arrears_months=1,3.00,
    IF(arrears_months=2,5.00,
    IF(arrears_months=3,8.00,
    IF(arrears_months=4,10.00,
    IF(arrears_months=5,12.00,15.00)))))))</f>
        <v/>
      </c>
      <c r="M3881">
        <f>LET(
    seasoning_years,DATEDIF('Loan Tape (S&amp;P)'!K3881,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81">
        <f>IF(AND('Loan Tape (S&amp;P)'!U3881="Yes",
        'Loan Tape (S&amp;P)'!T3881&lt;&gt;"Yes",
        DATEDIF('Loan Tape (S&amp;P)'!K3881, TODAY(), "M")&lt;18),
    1.10,
    1.00)</f>
        <v/>
      </c>
      <c r="O3881">
        <f>IF('Loan Tape (S&amp;P)'!T3881="Yes",
    1.35,
    1.00)</f>
        <v/>
      </c>
      <c r="P3881">
        <f>IF('Loan Tape (S&amp;P)'!S3881="Yes",
    1.15,
    1.00)</f>
        <v/>
      </c>
      <c r="Q3881">
        <f>IF('Loan Tape (S&amp;P)'!V3881="Yes",
    1.20,
    1.00)</f>
        <v/>
      </c>
      <c r="T3881">
        <f>LET(
    payment_method,'Loan Tape (S&amp;P)'!P3881,
    occupancy,'Loan Tape (S&amp;P)'!N3881,
    maturity_date,'Loan Tape (S&amp;P)'!L3881,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82">
      <c r="J3882">
        <f>LET(
    lien,'Loan Tape (S&amp;P)'!Q3882,
    IF(lien="First",1.00,
        IF(lien="Second",1.50,
            1.70)))</f>
        <v/>
      </c>
      <c r="K3882">
        <f>LET(
    purpose,'Loan Tape (S&amp;P)'!R3882,
    IF(purpose="Purchase",1.00,
        IF(purpose="Remortgage",1.00,
            1.20)))</f>
        <v/>
      </c>
      <c r="L3882">
        <f>LET(
    arrears_months,'Loan Tape (S&amp;P)'!AN3882,
    IF(arrears_months=0,1.00,
    IF(arrears_months=1,3.00,
    IF(arrears_months=2,5.00,
    IF(arrears_months=3,8.00,
    IF(arrears_months=4,10.00,
    IF(arrears_months=5,12.00,15.00)))))))</f>
        <v/>
      </c>
      <c r="M3882">
        <f>LET(
    seasoning_years,DATEDIF('Loan Tape (S&amp;P)'!K3882,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82">
        <f>IF(AND('Loan Tape (S&amp;P)'!U3882="Yes",
        'Loan Tape (S&amp;P)'!T3882&lt;&gt;"Yes",
        DATEDIF('Loan Tape (S&amp;P)'!K3882, TODAY(), "M")&lt;18),
    1.10,
    1.00)</f>
        <v/>
      </c>
      <c r="O3882">
        <f>IF('Loan Tape (S&amp;P)'!T3882="Yes",
    1.35,
    1.00)</f>
        <v/>
      </c>
      <c r="P3882">
        <f>IF('Loan Tape (S&amp;P)'!S3882="Yes",
    1.15,
    1.00)</f>
        <v/>
      </c>
      <c r="Q3882">
        <f>IF('Loan Tape (S&amp;P)'!V3882="Yes",
    1.20,
    1.00)</f>
        <v/>
      </c>
      <c r="T3882">
        <f>LET(
    payment_method,'Loan Tape (S&amp;P)'!P3882,
    occupancy,'Loan Tape (S&amp;P)'!N3882,
    maturity_date,'Loan Tape (S&amp;P)'!L3882,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83">
      <c r="J3883">
        <f>LET(
    lien,'Loan Tape (S&amp;P)'!Q3883,
    IF(lien="First",1.00,
        IF(lien="Second",1.50,
            1.70)))</f>
        <v/>
      </c>
      <c r="K3883">
        <f>LET(
    purpose,'Loan Tape (S&amp;P)'!R3883,
    IF(purpose="Purchase",1.00,
        IF(purpose="Remortgage",1.00,
            1.20)))</f>
        <v/>
      </c>
      <c r="L3883">
        <f>LET(
    arrears_months,'Loan Tape (S&amp;P)'!AN3883,
    IF(arrears_months=0,1.00,
    IF(arrears_months=1,3.00,
    IF(arrears_months=2,5.00,
    IF(arrears_months=3,8.00,
    IF(arrears_months=4,10.00,
    IF(arrears_months=5,12.00,15.00)))))))</f>
        <v/>
      </c>
      <c r="M3883">
        <f>LET(
    seasoning_years,DATEDIF('Loan Tape (S&amp;P)'!K3883,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83">
        <f>IF(AND('Loan Tape (S&amp;P)'!U3883="Yes",
        'Loan Tape (S&amp;P)'!T3883&lt;&gt;"Yes",
        DATEDIF('Loan Tape (S&amp;P)'!K3883, TODAY(), "M")&lt;18),
    1.10,
    1.00)</f>
        <v/>
      </c>
      <c r="O3883">
        <f>IF('Loan Tape (S&amp;P)'!T3883="Yes",
    1.35,
    1.00)</f>
        <v/>
      </c>
      <c r="P3883">
        <f>IF('Loan Tape (S&amp;P)'!S3883="Yes",
    1.15,
    1.00)</f>
        <v/>
      </c>
      <c r="Q3883">
        <f>IF('Loan Tape (S&amp;P)'!V3883="Yes",
    1.20,
    1.00)</f>
        <v/>
      </c>
      <c r="T3883">
        <f>LET(
    payment_method,'Loan Tape (S&amp;P)'!P3883,
    occupancy,'Loan Tape (S&amp;P)'!N3883,
    maturity_date,'Loan Tape (S&amp;P)'!L3883,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84">
      <c r="J3884">
        <f>LET(
    lien,'Loan Tape (S&amp;P)'!Q3884,
    IF(lien="First",1.00,
        IF(lien="Second",1.50,
            1.70)))</f>
        <v/>
      </c>
      <c r="K3884">
        <f>LET(
    purpose,'Loan Tape (S&amp;P)'!R3884,
    IF(purpose="Purchase",1.00,
        IF(purpose="Remortgage",1.00,
            1.20)))</f>
        <v/>
      </c>
      <c r="L3884">
        <f>LET(
    arrears_months,'Loan Tape (S&amp;P)'!AN3884,
    IF(arrears_months=0,1.00,
    IF(arrears_months=1,3.00,
    IF(arrears_months=2,5.00,
    IF(arrears_months=3,8.00,
    IF(arrears_months=4,10.00,
    IF(arrears_months=5,12.00,15.00)))))))</f>
        <v/>
      </c>
      <c r="M3884">
        <f>LET(
    seasoning_years,DATEDIF('Loan Tape (S&amp;P)'!K3884,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84">
        <f>IF(AND('Loan Tape (S&amp;P)'!U3884="Yes",
        'Loan Tape (S&amp;P)'!T3884&lt;&gt;"Yes",
        DATEDIF('Loan Tape (S&amp;P)'!K3884, TODAY(), "M")&lt;18),
    1.10,
    1.00)</f>
        <v/>
      </c>
      <c r="O3884">
        <f>IF('Loan Tape (S&amp;P)'!T3884="Yes",
    1.35,
    1.00)</f>
        <v/>
      </c>
      <c r="P3884">
        <f>IF('Loan Tape (S&amp;P)'!S3884="Yes",
    1.15,
    1.00)</f>
        <v/>
      </c>
      <c r="Q3884">
        <f>IF('Loan Tape (S&amp;P)'!V3884="Yes",
    1.20,
    1.00)</f>
        <v/>
      </c>
      <c r="T3884">
        <f>LET(
    payment_method,'Loan Tape (S&amp;P)'!P3884,
    occupancy,'Loan Tape (S&amp;P)'!N3884,
    maturity_date,'Loan Tape (S&amp;P)'!L3884,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85">
      <c r="J3885">
        <f>LET(
    lien,'Loan Tape (S&amp;P)'!Q3885,
    IF(lien="First",1.00,
        IF(lien="Second",1.50,
            1.70)))</f>
        <v/>
      </c>
      <c r="K3885">
        <f>LET(
    purpose,'Loan Tape (S&amp;P)'!R3885,
    IF(purpose="Purchase",1.00,
        IF(purpose="Remortgage",1.00,
            1.20)))</f>
        <v/>
      </c>
      <c r="L3885">
        <f>LET(
    arrears_months,'Loan Tape (S&amp;P)'!AN3885,
    IF(arrears_months=0,1.00,
    IF(arrears_months=1,3.00,
    IF(arrears_months=2,5.00,
    IF(arrears_months=3,8.00,
    IF(arrears_months=4,10.00,
    IF(arrears_months=5,12.00,15.00)))))))</f>
        <v/>
      </c>
      <c r="M3885">
        <f>LET(
    seasoning_years,DATEDIF('Loan Tape (S&amp;P)'!K3885,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85">
        <f>IF(AND('Loan Tape (S&amp;P)'!U3885="Yes",
        'Loan Tape (S&amp;P)'!T3885&lt;&gt;"Yes",
        DATEDIF('Loan Tape (S&amp;P)'!K3885, TODAY(), "M")&lt;18),
    1.10,
    1.00)</f>
        <v/>
      </c>
      <c r="O3885">
        <f>IF('Loan Tape (S&amp;P)'!T3885="Yes",
    1.35,
    1.00)</f>
        <v/>
      </c>
      <c r="P3885">
        <f>IF('Loan Tape (S&amp;P)'!S3885="Yes",
    1.15,
    1.00)</f>
        <v/>
      </c>
      <c r="Q3885">
        <f>IF('Loan Tape (S&amp;P)'!V3885="Yes",
    1.20,
    1.00)</f>
        <v/>
      </c>
      <c r="T3885">
        <f>LET(
    payment_method,'Loan Tape (S&amp;P)'!P3885,
    occupancy,'Loan Tape (S&amp;P)'!N3885,
    maturity_date,'Loan Tape (S&amp;P)'!L3885,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86">
      <c r="J3886">
        <f>LET(
    lien,'Loan Tape (S&amp;P)'!Q3886,
    IF(lien="First",1.00,
        IF(lien="Second",1.50,
            1.70)))</f>
        <v/>
      </c>
      <c r="K3886">
        <f>LET(
    purpose,'Loan Tape (S&amp;P)'!R3886,
    IF(purpose="Purchase",1.00,
        IF(purpose="Remortgage",1.00,
            1.20)))</f>
        <v/>
      </c>
      <c r="L3886">
        <f>LET(
    arrears_months,'Loan Tape (S&amp;P)'!AN3886,
    IF(arrears_months=0,1.00,
    IF(arrears_months=1,3.00,
    IF(arrears_months=2,5.00,
    IF(arrears_months=3,8.00,
    IF(arrears_months=4,10.00,
    IF(arrears_months=5,12.00,15.00)))))))</f>
        <v/>
      </c>
      <c r="M3886">
        <f>LET(
    seasoning_years,DATEDIF('Loan Tape (S&amp;P)'!K3886,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86">
        <f>IF(AND('Loan Tape (S&amp;P)'!U3886="Yes",
        'Loan Tape (S&amp;P)'!T3886&lt;&gt;"Yes",
        DATEDIF('Loan Tape (S&amp;P)'!K3886, TODAY(), "M")&lt;18),
    1.10,
    1.00)</f>
        <v/>
      </c>
      <c r="O3886">
        <f>IF('Loan Tape (S&amp;P)'!T3886="Yes",
    1.35,
    1.00)</f>
        <v/>
      </c>
      <c r="P3886">
        <f>IF('Loan Tape (S&amp;P)'!S3886="Yes",
    1.15,
    1.00)</f>
        <v/>
      </c>
      <c r="Q3886">
        <f>IF('Loan Tape (S&amp;P)'!V3886="Yes",
    1.20,
    1.00)</f>
        <v/>
      </c>
      <c r="T3886">
        <f>LET(
    payment_method,'Loan Tape (S&amp;P)'!P3886,
    occupancy,'Loan Tape (S&amp;P)'!N3886,
    maturity_date,'Loan Tape (S&amp;P)'!L3886,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87">
      <c r="J3887">
        <f>LET(
    lien,'Loan Tape (S&amp;P)'!Q3887,
    IF(lien="First",1.00,
        IF(lien="Second",1.50,
            1.70)))</f>
        <v/>
      </c>
      <c r="K3887">
        <f>LET(
    purpose,'Loan Tape (S&amp;P)'!R3887,
    IF(purpose="Purchase",1.00,
        IF(purpose="Remortgage",1.00,
            1.20)))</f>
        <v/>
      </c>
      <c r="L3887">
        <f>LET(
    arrears_months,'Loan Tape (S&amp;P)'!AN3887,
    IF(arrears_months=0,1.00,
    IF(arrears_months=1,3.00,
    IF(arrears_months=2,5.00,
    IF(arrears_months=3,8.00,
    IF(arrears_months=4,10.00,
    IF(arrears_months=5,12.00,15.00)))))))</f>
        <v/>
      </c>
      <c r="M3887">
        <f>LET(
    seasoning_years,DATEDIF('Loan Tape (S&amp;P)'!K3887,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87">
        <f>IF(AND('Loan Tape (S&amp;P)'!U3887="Yes",
        'Loan Tape (S&amp;P)'!T3887&lt;&gt;"Yes",
        DATEDIF('Loan Tape (S&amp;P)'!K3887, TODAY(), "M")&lt;18),
    1.10,
    1.00)</f>
        <v/>
      </c>
      <c r="O3887">
        <f>IF('Loan Tape (S&amp;P)'!T3887="Yes",
    1.35,
    1.00)</f>
        <v/>
      </c>
      <c r="P3887">
        <f>IF('Loan Tape (S&amp;P)'!S3887="Yes",
    1.15,
    1.00)</f>
        <v/>
      </c>
      <c r="Q3887">
        <f>IF('Loan Tape (S&amp;P)'!V3887="Yes",
    1.20,
    1.00)</f>
        <v/>
      </c>
      <c r="T3887">
        <f>LET(
    payment_method,'Loan Tape (S&amp;P)'!P3887,
    occupancy,'Loan Tape (S&amp;P)'!N3887,
    maturity_date,'Loan Tape (S&amp;P)'!L3887,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88">
      <c r="J3888">
        <f>LET(
    lien,'Loan Tape (S&amp;P)'!Q3888,
    IF(lien="First",1.00,
        IF(lien="Second",1.50,
            1.70)))</f>
        <v/>
      </c>
      <c r="K3888">
        <f>LET(
    purpose,'Loan Tape (S&amp;P)'!R3888,
    IF(purpose="Purchase",1.00,
        IF(purpose="Remortgage",1.00,
            1.20)))</f>
        <v/>
      </c>
      <c r="L3888">
        <f>LET(
    arrears_months,'Loan Tape (S&amp;P)'!AN3888,
    IF(arrears_months=0,1.00,
    IF(arrears_months=1,3.00,
    IF(arrears_months=2,5.00,
    IF(arrears_months=3,8.00,
    IF(arrears_months=4,10.00,
    IF(arrears_months=5,12.00,15.00)))))))</f>
        <v/>
      </c>
      <c r="M3888">
        <f>LET(
    seasoning_years,DATEDIF('Loan Tape (S&amp;P)'!K3888,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88">
        <f>IF(AND('Loan Tape (S&amp;P)'!U3888="Yes",
        'Loan Tape (S&amp;P)'!T3888&lt;&gt;"Yes",
        DATEDIF('Loan Tape (S&amp;P)'!K3888, TODAY(), "M")&lt;18),
    1.10,
    1.00)</f>
        <v/>
      </c>
      <c r="O3888">
        <f>IF('Loan Tape (S&amp;P)'!T3888="Yes",
    1.35,
    1.00)</f>
        <v/>
      </c>
      <c r="P3888">
        <f>IF('Loan Tape (S&amp;P)'!S3888="Yes",
    1.15,
    1.00)</f>
        <v/>
      </c>
      <c r="Q3888">
        <f>IF('Loan Tape (S&amp;P)'!V3888="Yes",
    1.20,
    1.00)</f>
        <v/>
      </c>
      <c r="T3888">
        <f>LET(
    payment_method,'Loan Tape (S&amp;P)'!P3888,
    occupancy,'Loan Tape (S&amp;P)'!N3888,
    maturity_date,'Loan Tape (S&amp;P)'!L3888,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89">
      <c r="J3889">
        <f>LET(
    lien,'Loan Tape (S&amp;P)'!Q3889,
    IF(lien="First",1.00,
        IF(lien="Second",1.50,
            1.70)))</f>
        <v/>
      </c>
      <c r="K3889">
        <f>LET(
    purpose,'Loan Tape (S&amp;P)'!R3889,
    IF(purpose="Purchase",1.00,
        IF(purpose="Remortgage",1.00,
            1.20)))</f>
        <v/>
      </c>
      <c r="L3889">
        <f>LET(
    arrears_months,'Loan Tape (S&amp;P)'!AN3889,
    IF(arrears_months=0,1.00,
    IF(arrears_months=1,3.00,
    IF(arrears_months=2,5.00,
    IF(arrears_months=3,8.00,
    IF(arrears_months=4,10.00,
    IF(arrears_months=5,12.00,15.00)))))))</f>
        <v/>
      </c>
      <c r="M3889">
        <f>LET(
    seasoning_years,DATEDIF('Loan Tape (S&amp;P)'!K3889,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89">
        <f>IF(AND('Loan Tape (S&amp;P)'!U3889="Yes",
        'Loan Tape (S&amp;P)'!T3889&lt;&gt;"Yes",
        DATEDIF('Loan Tape (S&amp;P)'!K3889, TODAY(), "M")&lt;18),
    1.10,
    1.00)</f>
        <v/>
      </c>
      <c r="O3889">
        <f>IF('Loan Tape (S&amp;P)'!T3889="Yes",
    1.35,
    1.00)</f>
        <v/>
      </c>
      <c r="P3889">
        <f>IF('Loan Tape (S&amp;P)'!S3889="Yes",
    1.15,
    1.00)</f>
        <v/>
      </c>
      <c r="Q3889">
        <f>IF('Loan Tape (S&amp;P)'!V3889="Yes",
    1.20,
    1.00)</f>
        <v/>
      </c>
      <c r="T3889">
        <f>LET(
    payment_method,'Loan Tape (S&amp;P)'!P3889,
    occupancy,'Loan Tape (S&amp;P)'!N3889,
    maturity_date,'Loan Tape (S&amp;P)'!L3889,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90">
      <c r="J3890">
        <f>LET(
    lien,'Loan Tape (S&amp;P)'!Q3890,
    IF(lien="First",1.00,
        IF(lien="Second",1.50,
            1.70)))</f>
        <v/>
      </c>
      <c r="K3890">
        <f>LET(
    purpose,'Loan Tape (S&amp;P)'!R3890,
    IF(purpose="Purchase",1.00,
        IF(purpose="Remortgage",1.00,
            1.20)))</f>
        <v/>
      </c>
      <c r="L3890">
        <f>LET(
    arrears_months,'Loan Tape (S&amp;P)'!AN3890,
    IF(arrears_months=0,1.00,
    IF(arrears_months=1,3.00,
    IF(arrears_months=2,5.00,
    IF(arrears_months=3,8.00,
    IF(arrears_months=4,10.00,
    IF(arrears_months=5,12.00,15.00)))))))</f>
        <v/>
      </c>
      <c r="M3890">
        <f>LET(
    seasoning_years,DATEDIF('Loan Tape (S&amp;P)'!K3890,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90">
        <f>IF(AND('Loan Tape (S&amp;P)'!U3890="Yes",
        'Loan Tape (S&amp;P)'!T3890&lt;&gt;"Yes",
        DATEDIF('Loan Tape (S&amp;P)'!K3890, TODAY(), "M")&lt;18),
    1.10,
    1.00)</f>
        <v/>
      </c>
      <c r="O3890">
        <f>IF('Loan Tape (S&amp;P)'!T3890="Yes",
    1.35,
    1.00)</f>
        <v/>
      </c>
      <c r="P3890">
        <f>IF('Loan Tape (S&amp;P)'!S3890="Yes",
    1.15,
    1.00)</f>
        <v/>
      </c>
      <c r="Q3890">
        <f>IF('Loan Tape (S&amp;P)'!V3890="Yes",
    1.20,
    1.00)</f>
        <v/>
      </c>
      <c r="T3890">
        <f>LET(
    payment_method,'Loan Tape (S&amp;P)'!P3890,
    occupancy,'Loan Tape (S&amp;P)'!N3890,
    maturity_date,'Loan Tape (S&amp;P)'!L3890,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91">
      <c r="J3891">
        <f>LET(
    lien,'Loan Tape (S&amp;P)'!Q3891,
    IF(lien="First",1.00,
        IF(lien="Second",1.50,
            1.70)))</f>
        <v/>
      </c>
      <c r="K3891">
        <f>LET(
    purpose,'Loan Tape (S&amp;P)'!R3891,
    IF(purpose="Purchase",1.00,
        IF(purpose="Remortgage",1.00,
            1.20)))</f>
        <v/>
      </c>
      <c r="L3891">
        <f>LET(
    arrears_months,'Loan Tape (S&amp;P)'!AN3891,
    IF(arrears_months=0,1.00,
    IF(arrears_months=1,3.00,
    IF(arrears_months=2,5.00,
    IF(arrears_months=3,8.00,
    IF(arrears_months=4,10.00,
    IF(arrears_months=5,12.00,15.00)))))))</f>
        <v/>
      </c>
      <c r="M3891">
        <f>LET(
    seasoning_years,DATEDIF('Loan Tape (S&amp;P)'!K3891,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91">
        <f>IF(AND('Loan Tape (S&amp;P)'!U3891="Yes",
        'Loan Tape (S&amp;P)'!T3891&lt;&gt;"Yes",
        DATEDIF('Loan Tape (S&amp;P)'!K3891, TODAY(), "M")&lt;18),
    1.10,
    1.00)</f>
        <v/>
      </c>
      <c r="O3891">
        <f>IF('Loan Tape (S&amp;P)'!T3891="Yes",
    1.35,
    1.00)</f>
        <v/>
      </c>
      <c r="P3891">
        <f>IF('Loan Tape (S&amp;P)'!S3891="Yes",
    1.15,
    1.00)</f>
        <v/>
      </c>
      <c r="Q3891">
        <f>IF('Loan Tape (S&amp;P)'!V3891="Yes",
    1.20,
    1.00)</f>
        <v/>
      </c>
      <c r="T3891">
        <f>LET(
    payment_method,'Loan Tape (S&amp;P)'!P3891,
    occupancy,'Loan Tape (S&amp;P)'!N3891,
    maturity_date,'Loan Tape (S&amp;P)'!L3891,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92">
      <c r="J3892">
        <f>LET(
    lien,'Loan Tape (S&amp;P)'!Q3892,
    IF(lien="First",1.00,
        IF(lien="Second",1.50,
            1.70)))</f>
        <v/>
      </c>
      <c r="K3892">
        <f>LET(
    purpose,'Loan Tape (S&amp;P)'!R3892,
    IF(purpose="Purchase",1.00,
        IF(purpose="Remortgage",1.00,
            1.20)))</f>
        <v/>
      </c>
      <c r="L3892">
        <f>LET(
    arrears_months,'Loan Tape (S&amp;P)'!AN3892,
    IF(arrears_months=0,1.00,
    IF(arrears_months=1,3.00,
    IF(arrears_months=2,5.00,
    IF(arrears_months=3,8.00,
    IF(arrears_months=4,10.00,
    IF(arrears_months=5,12.00,15.00)))))))</f>
        <v/>
      </c>
      <c r="M3892">
        <f>LET(
    seasoning_years,DATEDIF('Loan Tape (S&amp;P)'!K3892,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92">
        <f>IF(AND('Loan Tape (S&amp;P)'!U3892="Yes",
        'Loan Tape (S&amp;P)'!T3892&lt;&gt;"Yes",
        DATEDIF('Loan Tape (S&amp;P)'!K3892, TODAY(), "M")&lt;18),
    1.10,
    1.00)</f>
        <v/>
      </c>
      <c r="O3892">
        <f>IF('Loan Tape (S&amp;P)'!T3892="Yes",
    1.35,
    1.00)</f>
        <v/>
      </c>
      <c r="P3892">
        <f>IF('Loan Tape (S&amp;P)'!S3892="Yes",
    1.15,
    1.00)</f>
        <v/>
      </c>
      <c r="Q3892">
        <f>IF('Loan Tape (S&amp;P)'!V3892="Yes",
    1.20,
    1.00)</f>
        <v/>
      </c>
      <c r="T3892">
        <f>LET(
    payment_method,'Loan Tape (S&amp;P)'!P3892,
    occupancy,'Loan Tape (S&amp;P)'!N3892,
    maturity_date,'Loan Tape (S&amp;P)'!L3892,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93">
      <c r="J3893">
        <f>LET(
    lien,'Loan Tape (S&amp;P)'!Q3893,
    IF(lien="First",1.00,
        IF(lien="Second",1.50,
            1.70)))</f>
        <v/>
      </c>
      <c r="K3893">
        <f>LET(
    purpose,'Loan Tape (S&amp;P)'!R3893,
    IF(purpose="Purchase",1.00,
        IF(purpose="Remortgage",1.00,
            1.20)))</f>
        <v/>
      </c>
      <c r="L3893">
        <f>LET(
    arrears_months,'Loan Tape (S&amp;P)'!AN3893,
    IF(arrears_months=0,1.00,
    IF(arrears_months=1,3.00,
    IF(arrears_months=2,5.00,
    IF(arrears_months=3,8.00,
    IF(arrears_months=4,10.00,
    IF(arrears_months=5,12.00,15.00)))))))</f>
        <v/>
      </c>
      <c r="M3893">
        <f>LET(
    seasoning_years,DATEDIF('Loan Tape (S&amp;P)'!K3893,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93">
        <f>IF(AND('Loan Tape (S&amp;P)'!U3893="Yes",
        'Loan Tape (S&amp;P)'!T3893&lt;&gt;"Yes",
        DATEDIF('Loan Tape (S&amp;P)'!K3893, TODAY(), "M")&lt;18),
    1.10,
    1.00)</f>
        <v/>
      </c>
      <c r="O3893">
        <f>IF('Loan Tape (S&amp;P)'!T3893="Yes",
    1.35,
    1.00)</f>
        <v/>
      </c>
      <c r="P3893">
        <f>IF('Loan Tape (S&amp;P)'!S3893="Yes",
    1.15,
    1.00)</f>
        <v/>
      </c>
      <c r="Q3893">
        <f>IF('Loan Tape (S&amp;P)'!V3893="Yes",
    1.20,
    1.00)</f>
        <v/>
      </c>
      <c r="T3893">
        <f>LET(
    payment_method,'Loan Tape (S&amp;P)'!P3893,
    occupancy,'Loan Tape (S&amp;P)'!N3893,
    maturity_date,'Loan Tape (S&amp;P)'!L3893,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94">
      <c r="J3894">
        <f>LET(
    lien,'Loan Tape (S&amp;P)'!Q3894,
    IF(lien="First",1.00,
        IF(lien="Second",1.50,
            1.70)))</f>
        <v/>
      </c>
      <c r="K3894">
        <f>LET(
    purpose,'Loan Tape (S&amp;P)'!R3894,
    IF(purpose="Purchase",1.00,
        IF(purpose="Remortgage",1.00,
            1.20)))</f>
        <v/>
      </c>
      <c r="L3894">
        <f>LET(
    arrears_months,'Loan Tape (S&amp;P)'!AN3894,
    IF(arrears_months=0,1.00,
    IF(arrears_months=1,3.00,
    IF(arrears_months=2,5.00,
    IF(arrears_months=3,8.00,
    IF(arrears_months=4,10.00,
    IF(arrears_months=5,12.00,15.00)))))))</f>
        <v/>
      </c>
      <c r="M3894">
        <f>LET(
    seasoning_years,DATEDIF('Loan Tape (S&amp;P)'!K3894,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94">
        <f>IF(AND('Loan Tape (S&amp;P)'!U3894="Yes",
        'Loan Tape (S&amp;P)'!T3894&lt;&gt;"Yes",
        DATEDIF('Loan Tape (S&amp;P)'!K3894, TODAY(), "M")&lt;18),
    1.10,
    1.00)</f>
        <v/>
      </c>
      <c r="O3894">
        <f>IF('Loan Tape (S&amp;P)'!T3894="Yes",
    1.35,
    1.00)</f>
        <v/>
      </c>
      <c r="P3894">
        <f>IF('Loan Tape (S&amp;P)'!S3894="Yes",
    1.15,
    1.00)</f>
        <v/>
      </c>
      <c r="Q3894">
        <f>IF('Loan Tape (S&amp;P)'!V3894="Yes",
    1.20,
    1.00)</f>
        <v/>
      </c>
      <c r="T3894">
        <f>LET(
    payment_method,'Loan Tape (S&amp;P)'!P3894,
    occupancy,'Loan Tape (S&amp;P)'!N3894,
    maturity_date,'Loan Tape (S&amp;P)'!L3894,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95">
      <c r="J3895">
        <f>LET(
    lien,'Loan Tape (S&amp;P)'!Q3895,
    IF(lien="First",1.00,
        IF(lien="Second",1.50,
            1.70)))</f>
        <v/>
      </c>
      <c r="K3895">
        <f>LET(
    purpose,'Loan Tape (S&amp;P)'!R3895,
    IF(purpose="Purchase",1.00,
        IF(purpose="Remortgage",1.00,
            1.20)))</f>
        <v/>
      </c>
      <c r="L3895">
        <f>LET(
    arrears_months,'Loan Tape (S&amp;P)'!AN3895,
    IF(arrears_months=0,1.00,
    IF(arrears_months=1,3.00,
    IF(arrears_months=2,5.00,
    IF(arrears_months=3,8.00,
    IF(arrears_months=4,10.00,
    IF(arrears_months=5,12.00,15.00)))))))</f>
        <v/>
      </c>
      <c r="M3895">
        <f>LET(
    seasoning_years,DATEDIF('Loan Tape (S&amp;P)'!K3895,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95">
        <f>IF(AND('Loan Tape (S&amp;P)'!U3895="Yes",
        'Loan Tape (S&amp;P)'!T3895&lt;&gt;"Yes",
        DATEDIF('Loan Tape (S&amp;P)'!K3895, TODAY(), "M")&lt;18),
    1.10,
    1.00)</f>
        <v/>
      </c>
      <c r="O3895">
        <f>IF('Loan Tape (S&amp;P)'!T3895="Yes",
    1.35,
    1.00)</f>
        <v/>
      </c>
      <c r="P3895">
        <f>IF('Loan Tape (S&amp;P)'!S3895="Yes",
    1.15,
    1.00)</f>
        <v/>
      </c>
      <c r="Q3895">
        <f>IF('Loan Tape (S&amp;P)'!V3895="Yes",
    1.20,
    1.00)</f>
        <v/>
      </c>
      <c r="T3895">
        <f>LET(
    payment_method,'Loan Tape (S&amp;P)'!P3895,
    occupancy,'Loan Tape (S&amp;P)'!N3895,
    maturity_date,'Loan Tape (S&amp;P)'!L3895,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96">
      <c r="J3896">
        <f>LET(
    lien,'Loan Tape (S&amp;P)'!Q3896,
    IF(lien="First",1.00,
        IF(lien="Second",1.50,
            1.70)))</f>
        <v/>
      </c>
      <c r="K3896">
        <f>LET(
    purpose,'Loan Tape (S&amp;P)'!R3896,
    IF(purpose="Purchase",1.00,
        IF(purpose="Remortgage",1.00,
            1.20)))</f>
        <v/>
      </c>
      <c r="L3896">
        <f>LET(
    arrears_months,'Loan Tape (S&amp;P)'!AN3896,
    IF(arrears_months=0,1.00,
    IF(arrears_months=1,3.00,
    IF(arrears_months=2,5.00,
    IF(arrears_months=3,8.00,
    IF(arrears_months=4,10.00,
    IF(arrears_months=5,12.00,15.00)))))))</f>
        <v/>
      </c>
      <c r="M3896">
        <f>LET(
    seasoning_years,DATEDIF('Loan Tape (S&amp;P)'!K3896,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96">
        <f>IF(AND('Loan Tape (S&amp;P)'!U3896="Yes",
        'Loan Tape (S&amp;P)'!T3896&lt;&gt;"Yes",
        DATEDIF('Loan Tape (S&amp;P)'!K3896, TODAY(), "M")&lt;18),
    1.10,
    1.00)</f>
        <v/>
      </c>
      <c r="O3896">
        <f>IF('Loan Tape (S&amp;P)'!T3896="Yes",
    1.35,
    1.00)</f>
        <v/>
      </c>
      <c r="P3896">
        <f>IF('Loan Tape (S&amp;P)'!S3896="Yes",
    1.15,
    1.00)</f>
        <v/>
      </c>
      <c r="Q3896">
        <f>IF('Loan Tape (S&amp;P)'!V3896="Yes",
    1.20,
    1.00)</f>
        <v/>
      </c>
      <c r="T3896">
        <f>LET(
    payment_method,'Loan Tape (S&amp;P)'!P3896,
    occupancy,'Loan Tape (S&amp;P)'!N3896,
    maturity_date,'Loan Tape (S&amp;P)'!L3896,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97">
      <c r="J3897">
        <f>LET(
    lien,'Loan Tape (S&amp;P)'!Q3897,
    IF(lien="First",1.00,
        IF(lien="Second",1.50,
            1.70)))</f>
        <v/>
      </c>
      <c r="K3897">
        <f>LET(
    purpose,'Loan Tape (S&amp;P)'!R3897,
    IF(purpose="Purchase",1.00,
        IF(purpose="Remortgage",1.00,
            1.20)))</f>
        <v/>
      </c>
      <c r="L3897">
        <f>LET(
    arrears_months,'Loan Tape (S&amp;P)'!AN3897,
    IF(arrears_months=0,1.00,
    IF(arrears_months=1,3.00,
    IF(arrears_months=2,5.00,
    IF(arrears_months=3,8.00,
    IF(arrears_months=4,10.00,
    IF(arrears_months=5,12.00,15.00)))))))</f>
        <v/>
      </c>
      <c r="M3897">
        <f>LET(
    seasoning_years,DATEDIF('Loan Tape (S&amp;P)'!K3897,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97">
        <f>IF(AND('Loan Tape (S&amp;P)'!U3897="Yes",
        'Loan Tape (S&amp;P)'!T3897&lt;&gt;"Yes",
        DATEDIF('Loan Tape (S&amp;P)'!K3897, TODAY(), "M")&lt;18),
    1.10,
    1.00)</f>
        <v/>
      </c>
      <c r="O3897">
        <f>IF('Loan Tape (S&amp;P)'!T3897="Yes",
    1.35,
    1.00)</f>
        <v/>
      </c>
      <c r="P3897">
        <f>IF('Loan Tape (S&amp;P)'!S3897="Yes",
    1.15,
    1.00)</f>
        <v/>
      </c>
      <c r="Q3897">
        <f>IF('Loan Tape (S&amp;P)'!V3897="Yes",
    1.20,
    1.00)</f>
        <v/>
      </c>
      <c r="T3897">
        <f>LET(
    payment_method,'Loan Tape (S&amp;P)'!P3897,
    occupancy,'Loan Tape (S&amp;P)'!N3897,
    maturity_date,'Loan Tape (S&amp;P)'!L3897,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98">
      <c r="J3898">
        <f>LET(
    lien,'Loan Tape (S&amp;P)'!Q3898,
    IF(lien="First",1.00,
        IF(lien="Second",1.50,
            1.70)))</f>
        <v/>
      </c>
      <c r="K3898">
        <f>LET(
    purpose,'Loan Tape (S&amp;P)'!R3898,
    IF(purpose="Purchase",1.00,
        IF(purpose="Remortgage",1.00,
            1.20)))</f>
        <v/>
      </c>
      <c r="L3898">
        <f>LET(
    arrears_months,'Loan Tape (S&amp;P)'!AN3898,
    IF(arrears_months=0,1.00,
    IF(arrears_months=1,3.00,
    IF(arrears_months=2,5.00,
    IF(arrears_months=3,8.00,
    IF(arrears_months=4,10.00,
    IF(arrears_months=5,12.00,15.00)))))))</f>
        <v/>
      </c>
      <c r="M3898">
        <f>LET(
    seasoning_years,DATEDIF('Loan Tape (S&amp;P)'!K3898,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98">
        <f>IF(AND('Loan Tape (S&amp;P)'!U3898="Yes",
        'Loan Tape (S&amp;P)'!T3898&lt;&gt;"Yes",
        DATEDIF('Loan Tape (S&amp;P)'!K3898, TODAY(), "M")&lt;18),
    1.10,
    1.00)</f>
        <v/>
      </c>
      <c r="O3898">
        <f>IF('Loan Tape (S&amp;P)'!T3898="Yes",
    1.35,
    1.00)</f>
        <v/>
      </c>
      <c r="P3898">
        <f>IF('Loan Tape (S&amp;P)'!S3898="Yes",
    1.15,
    1.00)</f>
        <v/>
      </c>
      <c r="Q3898">
        <f>IF('Loan Tape (S&amp;P)'!V3898="Yes",
    1.20,
    1.00)</f>
        <v/>
      </c>
      <c r="T3898">
        <f>LET(
    payment_method,'Loan Tape (S&amp;P)'!P3898,
    occupancy,'Loan Tape (S&amp;P)'!N3898,
    maturity_date,'Loan Tape (S&amp;P)'!L3898,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899">
      <c r="J3899">
        <f>LET(
    lien,'Loan Tape (S&amp;P)'!Q3899,
    IF(lien="First",1.00,
        IF(lien="Second",1.50,
            1.70)))</f>
        <v/>
      </c>
      <c r="K3899">
        <f>LET(
    purpose,'Loan Tape (S&amp;P)'!R3899,
    IF(purpose="Purchase",1.00,
        IF(purpose="Remortgage",1.00,
            1.20)))</f>
        <v/>
      </c>
      <c r="L3899">
        <f>LET(
    arrears_months,'Loan Tape (S&amp;P)'!AN3899,
    IF(arrears_months=0,1.00,
    IF(arrears_months=1,3.00,
    IF(arrears_months=2,5.00,
    IF(arrears_months=3,8.00,
    IF(arrears_months=4,10.00,
    IF(arrears_months=5,12.00,15.00)))))))</f>
        <v/>
      </c>
      <c r="M3899">
        <f>LET(
    seasoning_years,DATEDIF('Loan Tape (S&amp;P)'!K3899,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899">
        <f>IF(AND('Loan Tape (S&amp;P)'!U3899="Yes",
        'Loan Tape (S&amp;P)'!T3899&lt;&gt;"Yes",
        DATEDIF('Loan Tape (S&amp;P)'!K3899, TODAY(), "M")&lt;18),
    1.10,
    1.00)</f>
        <v/>
      </c>
      <c r="O3899">
        <f>IF('Loan Tape (S&amp;P)'!T3899="Yes",
    1.35,
    1.00)</f>
        <v/>
      </c>
      <c r="P3899">
        <f>IF('Loan Tape (S&amp;P)'!S3899="Yes",
    1.15,
    1.00)</f>
        <v/>
      </c>
      <c r="Q3899">
        <f>IF('Loan Tape (S&amp;P)'!V3899="Yes",
    1.20,
    1.00)</f>
        <v/>
      </c>
      <c r="T3899">
        <f>LET(
    payment_method,'Loan Tape (S&amp;P)'!P3899,
    occupancy,'Loan Tape (S&amp;P)'!N3899,
    maturity_date,'Loan Tape (S&amp;P)'!L3899,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00">
      <c r="J3900">
        <f>LET(
    lien,'Loan Tape (S&amp;P)'!Q3900,
    IF(lien="First",1.00,
        IF(lien="Second",1.50,
            1.70)))</f>
        <v/>
      </c>
      <c r="K3900">
        <f>LET(
    purpose,'Loan Tape (S&amp;P)'!R3900,
    IF(purpose="Purchase",1.00,
        IF(purpose="Remortgage",1.00,
            1.20)))</f>
        <v/>
      </c>
      <c r="L3900">
        <f>LET(
    arrears_months,'Loan Tape (S&amp;P)'!AN3900,
    IF(arrears_months=0,1.00,
    IF(arrears_months=1,3.00,
    IF(arrears_months=2,5.00,
    IF(arrears_months=3,8.00,
    IF(arrears_months=4,10.00,
    IF(arrears_months=5,12.00,15.00)))))))</f>
        <v/>
      </c>
      <c r="M3900">
        <f>LET(
    seasoning_years,DATEDIF('Loan Tape (S&amp;P)'!K3900,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00">
        <f>IF(AND('Loan Tape (S&amp;P)'!U3900="Yes",
        'Loan Tape (S&amp;P)'!T3900&lt;&gt;"Yes",
        DATEDIF('Loan Tape (S&amp;P)'!K3900, TODAY(), "M")&lt;18),
    1.10,
    1.00)</f>
        <v/>
      </c>
      <c r="O3900">
        <f>IF('Loan Tape (S&amp;P)'!T3900="Yes",
    1.35,
    1.00)</f>
        <v/>
      </c>
      <c r="P3900">
        <f>IF('Loan Tape (S&amp;P)'!S3900="Yes",
    1.15,
    1.00)</f>
        <v/>
      </c>
      <c r="Q3900">
        <f>IF('Loan Tape (S&amp;P)'!V3900="Yes",
    1.20,
    1.00)</f>
        <v/>
      </c>
      <c r="T3900">
        <f>LET(
    payment_method,'Loan Tape (S&amp;P)'!P3900,
    occupancy,'Loan Tape (S&amp;P)'!N3900,
    maturity_date,'Loan Tape (S&amp;P)'!L3900,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01">
      <c r="J3901">
        <f>LET(
    lien,'Loan Tape (S&amp;P)'!Q3901,
    IF(lien="First",1.00,
        IF(lien="Second",1.50,
            1.70)))</f>
        <v/>
      </c>
      <c r="K3901">
        <f>LET(
    purpose,'Loan Tape (S&amp;P)'!R3901,
    IF(purpose="Purchase",1.00,
        IF(purpose="Remortgage",1.00,
            1.20)))</f>
        <v/>
      </c>
      <c r="L3901">
        <f>LET(
    arrears_months,'Loan Tape (S&amp;P)'!AN3901,
    IF(arrears_months=0,1.00,
    IF(arrears_months=1,3.00,
    IF(arrears_months=2,5.00,
    IF(arrears_months=3,8.00,
    IF(arrears_months=4,10.00,
    IF(arrears_months=5,12.00,15.00)))))))</f>
        <v/>
      </c>
      <c r="M3901">
        <f>LET(
    seasoning_years,DATEDIF('Loan Tape (S&amp;P)'!K3901,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01">
        <f>IF(AND('Loan Tape (S&amp;P)'!U3901="Yes",
        'Loan Tape (S&amp;P)'!T3901&lt;&gt;"Yes",
        DATEDIF('Loan Tape (S&amp;P)'!K3901, TODAY(), "M")&lt;18),
    1.10,
    1.00)</f>
        <v/>
      </c>
      <c r="O3901">
        <f>IF('Loan Tape (S&amp;P)'!T3901="Yes",
    1.35,
    1.00)</f>
        <v/>
      </c>
      <c r="P3901">
        <f>IF('Loan Tape (S&amp;P)'!S3901="Yes",
    1.15,
    1.00)</f>
        <v/>
      </c>
      <c r="Q3901">
        <f>IF('Loan Tape (S&amp;P)'!V3901="Yes",
    1.20,
    1.00)</f>
        <v/>
      </c>
      <c r="T3901">
        <f>LET(
    payment_method,'Loan Tape (S&amp;P)'!P3901,
    occupancy,'Loan Tape (S&amp;P)'!N3901,
    maturity_date,'Loan Tape (S&amp;P)'!L3901,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02">
      <c r="J3902">
        <f>LET(
    lien,'Loan Tape (S&amp;P)'!Q3902,
    IF(lien="First",1.00,
        IF(lien="Second",1.50,
            1.70)))</f>
        <v/>
      </c>
      <c r="K3902">
        <f>LET(
    purpose,'Loan Tape (S&amp;P)'!R3902,
    IF(purpose="Purchase",1.00,
        IF(purpose="Remortgage",1.00,
            1.20)))</f>
        <v/>
      </c>
      <c r="L3902">
        <f>LET(
    arrears_months,'Loan Tape (S&amp;P)'!AN3902,
    IF(arrears_months=0,1.00,
    IF(arrears_months=1,3.00,
    IF(arrears_months=2,5.00,
    IF(arrears_months=3,8.00,
    IF(arrears_months=4,10.00,
    IF(arrears_months=5,12.00,15.00)))))))</f>
        <v/>
      </c>
      <c r="M3902">
        <f>LET(
    seasoning_years,DATEDIF('Loan Tape (S&amp;P)'!K3902,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02">
        <f>IF(AND('Loan Tape (S&amp;P)'!U3902="Yes",
        'Loan Tape (S&amp;P)'!T3902&lt;&gt;"Yes",
        DATEDIF('Loan Tape (S&amp;P)'!K3902, TODAY(), "M")&lt;18),
    1.10,
    1.00)</f>
        <v/>
      </c>
      <c r="O3902">
        <f>IF('Loan Tape (S&amp;P)'!T3902="Yes",
    1.35,
    1.00)</f>
        <v/>
      </c>
      <c r="P3902">
        <f>IF('Loan Tape (S&amp;P)'!S3902="Yes",
    1.15,
    1.00)</f>
        <v/>
      </c>
      <c r="Q3902">
        <f>IF('Loan Tape (S&amp;P)'!V3902="Yes",
    1.20,
    1.00)</f>
        <v/>
      </c>
      <c r="T3902">
        <f>LET(
    payment_method,'Loan Tape (S&amp;P)'!P3902,
    occupancy,'Loan Tape (S&amp;P)'!N3902,
    maturity_date,'Loan Tape (S&amp;P)'!L3902,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03">
      <c r="J3903">
        <f>LET(
    lien,'Loan Tape (S&amp;P)'!Q3903,
    IF(lien="First",1.00,
        IF(lien="Second",1.50,
            1.70)))</f>
        <v/>
      </c>
      <c r="K3903">
        <f>LET(
    purpose,'Loan Tape (S&amp;P)'!R3903,
    IF(purpose="Purchase",1.00,
        IF(purpose="Remortgage",1.00,
            1.20)))</f>
        <v/>
      </c>
      <c r="L3903">
        <f>LET(
    arrears_months,'Loan Tape (S&amp;P)'!AN3903,
    IF(arrears_months=0,1.00,
    IF(arrears_months=1,3.00,
    IF(arrears_months=2,5.00,
    IF(arrears_months=3,8.00,
    IF(arrears_months=4,10.00,
    IF(arrears_months=5,12.00,15.00)))))))</f>
        <v/>
      </c>
      <c r="M3903">
        <f>LET(
    seasoning_years,DATEDIF('Loan Tape (S&amp;P)'!K3903,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03">
        <f>IF(AND('Loan Tape (S&amp;P)'!U3903="Yes",
        'Loan Tape (S&amp;P)'!T3903&lt;&gt;"Yes",
        DATEDIF('Loan Tape (S&amp;P)'!K3903, TODAY(), "M")&lt;18),
    1.10,
    1.00)</f>
        <v/>
      </c>
      <c r="O3903">
        <f>IF('Loan Tape (S&amp;P)'!T3903="Yes",
    1.35,
    1.00)</f>
        <v/>
      </c>
      <c r="P3903">
        <f>IF('Loan Tape (S&amp;P)'!S3903="Yes",
    1.15,
    1.00)</f>
        <v/>
      </c>
      <c r="Q3903">
        <f>IF('Loan Tape (S&amp;P)'!V3903="Yes",
    1.20,
    1.00)</f>
        <v/>
      </c>
      <c r="T3903">
        <f>LET(
    payment_method,'Loan Tape (S&amp;P)'!P3903,
    occupancy,'Loan Tape (S&amp;P)'!N3903,
    maturity_date,'Loan Tape (S&amp;P)'!L3903,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04">
      <c r="J3904">
        <f>LET(
    lien,'Loan Tape (S&amp;P)'!Q3904,
    IF(lien="First",1.00,
        IF(lien="Second",1.50,
            1.70)))</f>
        <v/>
      </c>
      <c r="K3904">
        <f>LET(
    purpose,'Loan Tape (S&amp;P)'!R3904,
    IF(purpose="Purchase",1.00,
        IF(purpose="Remortgage",1.00,
            1.20)))</f>
        <v/>
      </c>
      <c r="L3904">
        <f>LET(
    arrears_months,'Loan Tape (S&amp;P)'!AN3904,
    IF(arrears_months=0,1.00,
    IF(arrears_months=1,3.00,
    IF(arrears_months=2,5.00,
    IF(arrears_months=3,8.00,
    IF(arrears_months=4,10.00,
    IF(arrears_months=5,12.00,15.00)))))))</f>
        <v/>
      </c>
      <c r="M3904">
        <f>LET(
    seasoning_years,DATEDIF('Loan Tape (S&amp;P)'!K3904,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04">
        <f>IF(AND('Loan Tape (S&amp;P)'!U3904="Yes",
        'Loan Tape (S&amp;P)'!T3904&lt;&gt;"Yes",
        DATEDIF('Loan Tape (S&amp;P)'!K3904, TODAY(), "M")&lt;18),
    1.10,
    1.00)</f>
        <v/>
      </c>
      <c r="O3904">
        <f>IF('Loan Tape (S&amp;P)'!T3904="Yes",
    1.35,
    1.00)</f>
        <v/>
      </c>
      <c r="P3904">
        <f>IF('Loan Tape (S&amp;P)'!S3904="Yes",
    1.15,
    1.00)</f>
        <v/>
      </c>
      <c r="Q3904">
        <f>IF('Loan Tape (S&amp;P)'!V3904="Yes",
    1.20,
    1.00)</f>
        <v/>
      </c>
      <c r="T3904">
        <f>LET(
    payment_method,'Loan Tape (S&amp;P)'!P3904,
    occupancy,'Loan Tape (S&amp;P)'!N3904,
    maturity_date,'Loan Tape (S&amp;P)'!L3904,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05">
      <c r="J3905">
        <f>LET(
    lien,'Loan Tape (S&amp;P)'!Q3905,
    IF(lien="First",1.00,
        IF(lien="Second",1.50,
            1.70)))</f>
        <v/>
      </c>
      <c r="K3905">
        <f>LET(
    purpose,'Loan Tape (S&amp;P)'!R3905,
    IF(purpose="Purchase",1.00,
        IF(purpose="Remortgage",1.00,
            1.20)))</f>
        <v/>
      </c>
      <c r="L3905">
        <f>LET(
    arrears_months,'Loan Tape (S&amp;P)'!AN3905,
    IF(arrears_months=0,1.00,
    IF(arrears_months=1,3.00,
    IF(arrears_months=2,5.00,
    IF(arrears_months=3,8.00,
    IF(arrears_months=4,10.00,
    IF(arrears_months=5,12.00,15.00)))))))</f>
        <v/>
      </c>
      <c r="M3905">
        <f>LET(
    seasoning_years,DATEDIF('Loan Tape (S&amp;P)'!K3905,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05">
        <f>IF(AND('Loan Tape (S&amp;P)'!U3905="Yes",
        'Loan Tape (S&amp;P)'!T3905&lt;&gt;"Yes",
        DATEDIF('Loan Tape (S&amp;P)'!K3905, TODAY(), "M")&lt;18),
    1.10,
    1.00)</f>
        <v/>
      </c>
      <c r="O3905">
        <f>IF('Loan Tape (S&amp;P)'!T3905="Yes",
    1.35,
    1.00)</f>
        <v/>
      </c>
      <c r="P3905">
        <f>IF('Loan Tape (S&amp;P)'!S3905="Yes",
    1.15,
    1.00)</f>
        <v/>
      </c>
      <c r="Q3905">
        <f>IF('Loan Tape (S&amp;P)'!V3905="Yes",
    1.20,
    1.00)</f>
        <v/>
      </c>
      <c r="T3905">
        <f>LET(
    payment_method,'Loan Tape (S&amp;P)'!P3905,
    occupancy,'Loan Tape (S&amp;P)'!N3905,
    maturity_date,'Loan Tape (S&amp;P)'!L3905,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06">
      <c r="J3906">
        <f>LET(
    lien,'Loan Tape (S&amp;P)'!Q3906,
    IF(lien="First",1.00,
        IF(lien="Second",1.50,
            1.70)))</f>
        <v/>
      </c>
      <c r="K3906">
        <f>LET(
    purpose,'Loan Tape (S&amp;P)'!R3906,
    IF(purpose="Purchase",1.00,
        IF(purpose="Remortgage",1.00,
            1.20)))</f>
        <v/>
      </c>
      <c r="L3906">
        <f>LET(
    arrears_months,'Loan Tape (S&amp;P)'!AN3906,
    IF(arrears_months=0,1.00,
    IF(arrears_months=1,3.00,
    IF(arrears_months=2,5.00,
    IF(arrears_months=3,8.00,
    IF(arrears_months=4,10.00,
    IF(arrears_months=5,12.00,15.00)))))))</f>
        <v/>
      </c>
      <c r="M3906">
        <f>LET(
    seasoning_years,DATEDIF('Loan Tape (S&amp;P)'!K3906,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06">
        <f>IF(AND('Loan Tape (S&amp;P)'!U3906="Yes",
        'Loan Tape (S&amp;P)'!T3906&lt;&gt;"Yes",
        DATEDIF('Loan Tape (S&amp;P)'!K3906, TODAY(), "M")&lt;18),
    1.10,
    1.00)</f>
        <v/>
      </c>
      <c r="O3906">
        <f>IF('Loan Tape (S&amp;P)'!T3906="Yes",
    1.35,
    1.00)</f>
        <v/>
      </c>
      <c r="P3906">
        <f>IF('Loan Tape (S&amp;P)'!S3906="Yes",
    1.15,
    1.00)</f>
        <v/>
      </c>
      <c r="Q3906">
        <f>IF('Loan Tape (S&amp;P)'!V3906="Yes",
    1.20,
    1.00)</f>
        <v/>
      </c>
      <c r="T3906">
        <f>LET(
    payment_method,'Loan Tape (S&amp;P)'!P3906,
    occupancy,'Loan Tape (S&amp;P)'!N3906,
    maturity_date,'Loan Tape (S&amp;P)'!L3906,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07">
      <c r="J3907">
        <f>LET(
    lien,'Loan Tape (S&amp;P)'!Q3907,
    IF(lien="First",1.00,
        IF(lien="Second",1.50,
            1.70)))</f>
        <v/>
      </c>
      <c r="K3907">
        <f>LET(
    purpose,'Loan Tape (S&amp;P)'!R3907,
    IF(purpose="Purchase",1.00,
        IF(purpose="Remortgage",1.00,
            1.20)))</f>
        <v/>
      </c>
      <c r="L3907">
        <f>LET(
    arrears_months,'Loan Tape (S&amp;P)'!AN3907,
    IF(arrears_months=0,1.00,
    IF(arrears_months=1,3.00,
    IF(arrears_months=2,5.00,
    IF(arrears_months=3,8.00,
    IF(arrears_months=4,10.00,
    IF(arrears_months=5,12.00,15.00)))))))</f>
        <v/>
      </c>
      <c r="M3907">
        <f>LET(
    seasoning_years,DATEDIF('Loan Tape (S&amp;P)'!K3907,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07">
        <f>IF(AND('Loan Tape (S&amp;P)'!U3907="Yes",
        'Loan Tape (S&amp;P)'!T3907&lt;&gt;"Yes",
        DATEDIF('Loan Tape (S&amp;P)'!K3907, TODAY(), "M")&lt;18),
    1.10,
    1.00)</f>
        <v/>
      </c>
      <c r="O3907">
        <f>IF('Loan Tape (S&amp;P)'!T3907="Yes",
    1.35,
    1.00)</f>
        <v/>
      </c>
      <c r="P3907">
        <f>IF('Loan Tape (S&amp;P)'!S3907="Yes",
    1.15,
    1.00)</f>
        <v/>
      </c>
      <c r="Q3907">
        <f>IF('Loan Tape (S&amp;P)'!V3907="Yes",
    1.20,
    1.00)</f>
        <v/>
      </c>
      <c r="T3907">
        <f>LET(
    payment_method,'Loan Tape (S&amp;P)'!P3907,
    occupancy,'Loan Tape (S&amp;P)'!N3907,
    maturity_date,'Loan Tape (S&amp;P)'!L3907,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08">
      <c r="J3908">
        <f>LET(
    lien,'Loan Tape (S&amp;P)'!Q3908,
    IF(lien="First",1.00,
        IF(lien="Second",1.50,
            1.70)))</f>
        <v/>
      </c>
      <c r="K3908">
        <f>LET(
    purpose,'Loan Tape (S&amp;P)'!R3908,
    IF(purpose="Purchase",1.00,
        IF(purpose="Remortgage",1.00,
            1.20)))</f>
        <v/>
      </c>
      <c r="L3908">
        <f>LET(
    arrears_months,'Loan Tape (S&amp;P)'!AN3908,
    IF(arrears_months=0,1.00,
    IF(arrears_months=1,3.00,
    IF(arrears_months=2,5.00,
    IF(arrears_months=3,8.00,
    IF(arrears_months=4,10.00,
    IF(arrears_months=5,12.00,15.00)))))))</f>
        <v/>
      </c>
      <c r="M3908">
        <f>LET(
    seasoning_years,DATEDIF('Loan Tape (S&amp;P)'!K3908,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08">
        <f>IF(AND('Loan Tape (S&amp;P)'!U3908="Yes",
        'Loan Tape (S&amp;P)'!T3908&lt;&gt;"Yes",
        DATEDIF('Loan Tape (S&amp;P)'!K3908, TODAY(), "M")&lt;18),
    1.10,
    1.00)</f>
        <v/>
      </c>
      <c r="O3908">
        <f>IF('Loan Tape (S&amp;P)'!T3908="Yes",
    1.35,
    1.00)</f>
        <v/>
      </c>
      <c r="P3908">
        <f>IF('Loan Tape (S&amp;P)'!S3908="Yes",
    1.15,
    1.00)</f>
        <v/>
      </c>
      <c r="Q3908">
        <f>IF('Loan Tape (S&amp;P)'!V3908="Yes",
    1.20,
    1.00)</f>
        <v/>
      </c>
      <c r="T3908">
        <f>LET(
    payment_method,'Loan Tape (S&amp;P)'!P3908,
    occupancy,'Loan Tape (S&amp;P)'!N3908,
    maturity_date,'Loan Tape (S&amp;P)'!L3908,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09">
      <c r="J3909">
        <f>LET(
    lien,'Loan Tape (S&amp;P)'!Q3909,
    IF(lien="First",1.00,
        IF(lien="Second",1.50,
            1.70)))</f>
        <v/>
      </c>
      <c r="K3909">
        <f>LET(
    purpose,'Loan Tape (S&amp;P)'!R3909,
    IF(purpose="Purchase",1.00,
        IF(purpose="Remortgage",1.00,
            1.20)))</f>
        <v/>
      </c>
      <c r="L3909">
        <f>LET(
    arrears_months,'Loan Tape (S&amp;P)'!AN3909,
    IF(arrears_months=0,1.00,
    IF(arrears_months=1,3.00,
    IF(arrears_months=2,5.00,
    IF(arrears_months=3,8.00,
    IF(arrears_months=4,10.00,
    IF(arrears_months=5,12.00,15.00)))))))</f>
        <v/>
      </c>
      <c r="M3909">
        <f>LET(
    seasoning_years,DATEDIF('Loan Tape (S&amp;P)'!K3909,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09">
        <f>IF(AND('Loan Tape (S&amp;P)'!U3909="Yes",
        'Loan Tape (S&amp;P)'!T3909&lt;&gt;"Yes",
        DATEDIF('Loan Tape (S&amp;P)'!K3909, TODAY(), "M")&lt;18),
    1.10,
    1.00)</f>
        <v/>
      </c>
      <c r="O3909">
        <f>IF('Loan Tape (S&amp;P)'!T3909="Yes",
    1.35,
    1.00)</f>
        <v/>
      </c>
      <c r="P3909">
        <f>IF('Loan Tape (S&amp;P)'!S3909="Yes",
    1.15,
    1.00)</f>
        <v/>
      </c>
      <c r="Q3909">
        <f>IF('Loan Tape (S&amp;P)'!V3909="Yes",
    1.20,
    1.00)</f>
        <v/>
      </c>
      <c r="T3909">
        <f>LET(
    payment_method,'Loan Tape (S&amp;P)'!P3909,
    occupancy,'Loan Tape (S&amp;P)'!N3909,
    maturity_date,'Loan Tape (S&amp;P)'!L3909,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10">
      <c r="J3910">
        <f>LET(
    lien,'Loan Tape (S&amp;P)'!Q3910,
    IF(lien="First",1.00,
        IF(lien="Second",1.50,
            1.70)))</f>
        <v/>
      </c>
      <c r="K3910">
        <f>LET(
    purpose,'Loan Tape (S&amp;P)'!R3910,
    IF(purpose="Purchase",1.00,
        IF(purpose="Remortgage",1.00,
            1.20)))</f>
        <v/>
      </c>
      <c r="L3910">
        <f>LET(
    arrears_months,'Loan Tape (S&amp;P)'!AN3910,
    IF(arrears_months=0,1.00,
    IF(arrears_months=1,3.00,
    IF(arrears_months=2,5.00,
    IF(arrears_months=3,8.00,
    IF(arrears_months=4,10.00,
    IF(arrears_months=5,12.00,15.00)))))))</f>
        <v/>
      </c>
      <c r="M3910">
        <f>LET(
    seasoning_years,DATEDIF('Loan Tape (S&amp;P)'!K3910,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10">
        <f>IF(AND('Loan Tape (S&amp;P)'!U3910="Yes",
        'Loan Tape (S&amp;P)'!T3910&lt;&gt;"Yes",
        DATEDIF('Loan Tape (S&amp;P)'!K3910, TODAY(), "M")&lt;18),
    1.10,
    1.00)</f>
        <v/>
      </c>
      <c r="O3910">
        <f>IF('Loan Tape (S&amp;P)'!T3910="Yes",
    1.35,
    1.00)</f>
        <v/>
      </c>
      <c r="P3910">
        <f>IF('Loan Tape (S&amp;P)'!S3910="Yes",
    1.15,
    1.00)</f>
        <v/>
      </c>
      <c r="Q3910">
        <f>IF('Loan Tape (S&amp;P)'!V3910="Yes",
    1.20,
    1.00)</f>
        <v/>
      </c>
      <c r="T3910">
        <f>LET(
    payment_method,'Loan Tape (S&amp;P)'!P3910,
    occupancy,'Loan Tape (S&amp;P)'!N3910,
    maturity_date,'Loan Tape (S&amp;P)'!L3910,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11">
      <c r="J3911">
        <f>LET(
    lien,'Loan Tape (S&amp;P)'!Q3911,
    IF(lien="First",1.00,
        IF(lien="Second",1.50,
            1.70)))</f>
        <v/>
      </c>
      <c r="K3911">
        <f>LET(
    purpose,'Loan Tape (S&amp;P)'!R3911,
    IF(purpose="Purchase",1.00,
        IF(purpose="Remortgage",1.00,
            1.20)))</f>
        <v/>
      </c>
      <c r="L3911">
        <f>LET(
    arrears_months,'Loan Tape (S&amp;P)'!AN3911,
    IF(arrears_months=0,1.00,
    IF(arrears_months=1,3.00,
    IF(arrears_months=2,5.00,
    IF(arrears_months=3,8.00,
    IF(arrears_months=4,10.00,
    IF(arrears_months=5,12.00,15.00)))))))</f>
        <v/>
      </c>
      <c r="M3911">
        <f>LET(
    seasoning_years,DATEDIF('Loan Tape (S&amp;P)'!K3911,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11">
        <f>IF(AND('Loan Tape (S&amp;P)'!U3911="Yes",
        'Loan Tape (S&amp;P)'!T3911&lt;&gt;"Yes",
        DATEDIF('Loan Tape (S&amp;P)'!K3911, TODAY(), "M")&lt;18),
    1.10,
    1.00)</f>
        <v/>
      </c>
      <c r="O3911">
        <f>IF('Loan Tape (S&amp;P)'!T3911="Yes",
    1.35,
    1.00)</f>
        <v/>
      </c>
      <c r="P3911">
        <f>IF('Loan Tape (S&amp;P)'!S3911="Yes",
    1.15,
    1.00)</f>
        <v/>
      </c>
      <c r="Q3911">
        <f>IF('Loan Tape (S&amp;P)'!V3911="Yes",
    1.20,
    1.00)</f>
        <v/>
      </c>
      <c r="T3911">
        <f>LET(
    payment_method,'Loan Tape (S&amp;P)'!P3911,
    occupancy,'Loan Tape (S&amp;P)'!N3911,
    maturity_date,'Loan Tape (S&amp;P)'!L3911,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12">
      <c r="J3912">
        <f>LET(
    lien,'Loan Tape (S&amp;P)'!Q3912,
    IF(lien="First",1.00,
        IF(lien="Second",1.50,
            1.70)))</f>
        <v/>
      </c>
      <c r="K3912">
        <f>LET(
    purpose,'Loan Tape (S&amp;P)'!R3912,
    IF(purpose="Purchase",1.00,
        IF(purpose="Remortgage",1.00,
            1.20)))</f>
        <v/>
      </c>
      <c r="L3912">
        <f>LET(
    arrears_months,'Loan Tape (S&amp;P)'!AN3912,
    IF(arrears_months=0,1.00,
    IF(arrears_months=1,3.00,
    IF(arrears_months=2,5.00,
    IF(arrears_months=3,8.00,
    IF(arrears_months=4,10.00,
    IF(arrears_months=5,12.00,15.00)))))))</f>
        <v/>
      </c>
      <c r="M3912">
        <f>LET(
    seasoning_years,DATEDIF('Loan Tape (S&amp;P)'!K3912,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12">
        <f>IF(AND('Loan Tape (S&amp;P)'!U3912="Yes",
        'Loan Tape (S&amp;P)'!T3912&lt;&gt;"Yes",
        DATEDIF('Loan Tape (S&amp;P)'!K3912, TODAY(), "M")&lt;18),
    1.10,
    1.00)</f>
        <v/>
      </c>
      <c r="O3912">
        <f>IF('Loan Tape (S&amp;P)'!T3912="Yes",
    1.35,
    1.00)</f>
        <v/>
      </c>
      <c r="P3912">
        <f>IF('Loan Tape (S&amp;P)'!S3912="Yes",
    1.15,
    1.00)</f>
        <v/>
      </c>
      <c r="Q3912">
        <f>IF('Loan Tape (S&amp;P)'!V3912="Yes",
    1.20,
    1.00)</f>
        <v/>
      </c>
      <c r="T3912">
        <f>LET(
    payment_method,'Loan Tape (S&amp;P)'!P3912,
    occupancy,'Loan Tape (S&amp;P)'!N3912,
    maturity_date,'Loan Tape (S&amp;P)'!L3912,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13">
      <c r="J3913">
        <f>LET(
    lien,'Loan Tape (S&amp;P)'!Q3913,
    IF(lien="First",1.00,
        IF(lien="Second",1.50,
            1.70)))</f>
        <v/>
      </c>
      <c r="K3913">
        <f>LET(
    purpose,'Loan Tape (S&amp;P)'!R3913,
    IF(purpose="Purchase",1.00,
        IF(purpose="Remortgage",1.00,
            1.20)))</f>
        <v/>
      </c>
      <c r="L3913">
        <f>LET(
    arrears_months,'Loan Tape (S&amp;P)'!AN3913,
    IF(arrears_months=0,1.00,
    IF(arrears_months=1,3.00,
    IF(arrears_months=2,5.00,
    IF(arrears_months=3,8.00,
    IF(arrears_months=4,10.00,
    IF(arrears_months=5,12.00,15.00)))))))</f>
        <v/>
      </c>
      <c r="M3913">
        <f>LET(
    seasoning_years,DATEDIF('Loan Tape (S&amp;P)'!K3913,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13">
        <f>IF(AND('Loan Tape (S&amp;P)'!U3913="Yes",
        'Loan Tape (S&amp;P)'!T3913&lt;&gt;"Yes",
        DATEDIF('Loan Tape (S&amp;P)'!K3913, TODAY(), "M")&lt;18),
    1.10,
    1.00)</f>
        <v/>
      </c>
      <c r="O3913">
        <f>IF('Loan Tape (S&amp;P)'!T3913="Yes",
    1.35,
    1.00)</f>
        <v/>
      </c>
      <c r="P3913">
        <f>IF('Loan Tape (S&amp;P)'!S3913="Yes",
    1.15,
    1.00)</f>
        <v/>
      </c>
      <c r="Q3913">
        <f>IF('Loan Tape (S&amp;P)'!V3913="Yes",
    1.20,
    1.00)</f>
        <v/>
      </c>
      <c r="T3913">
        <f>LET(
    payment_method,'Loan Tape (S&amp;P)'!P3913,
    occupancy,'Loan Tape (S&amp;P)'!N3913,
    maturity_date,'Loan Tape (S&amp;P)'!L3913,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14">
      <c r="J3914">
        <f>LET(
    lien,'Loan Tape (S&amp;P)'!Q3914,
    IF(lien="First",1.00,
        IF(lien="Second",1.50,
            1.70)))</f>
        <v/>
      </c>
      <c r="K3914">
        <f>LET(
    purpose,'Loan Tape (S&amp;P)'!R3914,
    IF(purpose="Purchase",1.00,
        IF(purpose="Remortgage",1.00,
            1.20)))</f>
        <v/>
      </c>
      <c r="L3914">
        <f>LET(
    arrears_months,'Loan Tape (S&amp;P)'!AN3914,
    IF(arrears_months=0,1.00,
    IF(arrears_months=1,3.00,
    IF(arrears_months=2,5.00,
    IF(arrears_months=3,8.00,
    IF(arrears_months=4,10.00,
    IF(arrears_months=5,12.00,15.00)))))))</f>
        <v/>
      </c>
      <c r="M3914">
        <f>LET(
    seasoning_years,DATEDIF('Loan Tape (S&amp;P)'!K3914,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14">
        <f>IF(AND('Loan Tape (S&amp;P)'!U3914="Yes",
        'Loan Tape (S&amp;P)'!T3914&lt;&gt;"Yes",
        DATEDIF('Loan Tape (S&amp;P)'!K3914, TODAY(), "M")&lt;18),
    1.10,
    1.00)</f>
        <v/>
      </c>
      <c r="O3914">
        <f>IF('Loan Tape (S&amp;P)'!T3914="Yes",
    1.35,
    1.00)</f>
        <v/>
      </c>
      <c r="P3914">
        <f>IF('Loan Tape (S&amp;P)'!S3914="Yes",
    1.15,
    1.00)</f>
        <v/>
      </c>
      <c r="Q3914">
        <f>IF('Loan Tape (S&amp;P)'!V3914="Yes",
    1.20,
    1.00)</f>
        <v/>
      </c>
      <c r="T3914">
        <f>LET(
    payment_method,'Loan Tape (S&amp;P)'!P3914,
    occupancy,'Loan Tape (S&amp;P)'!N3914,
    maturity_date,'Loan Tape (S&amp;P)'!L3914,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15">
      <c r="J3915">
        <f>LET(
    lien,'Loan Tape (S&amp;P)'!Q3915,
    IF(lien="First",1.00,
        IF(lien="Second",1.50,
            1.70)))</f>
        <v/>
      </c>
      <c r="K3915">
        <f>LET(
    purpose,'Loan Tape (S&amp;P)'!R3915,
    IF(purpose="Purchase",1.00,
        IF(purpose="Remortgage",1.00,
            1.20)))</f>
        <v/>
      </c>
      <c r="L3915">
        <f>LET(
    arrears_months,'Loan Tape (S&amp;P)'!AN3915,
    IF(arrears_months=0,1.00,
    IF(arrears_months=1,3.00,
    IF(arrears_months=2,5.00,
    IF(arrears_months=3,8.00,
    IF(arrears_months=4,10.00,
    IF(arrears_months=5,12.00,15.00)))))))</f>
        <v/>
      </c>
      <c r="M3915">
        <f>LET(
    seasoning_years,DATEDIF('Loan Tape (S&amp;P)'!K3915,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15">
        <f>IF(AND('Loan Tape (S&amp;P)'!U3915="Yes",
        'Loan Tape (S&amp;P)'!T3915&lt;&gt;"Yes",
        DATEDIF('Loan Tape (S&amp;P)'!K3915, TODAY(), "M")&lt;18),
    1.10,
    1.00)</f>
        <v/>
      </c>
      <c r="O3915">
        <f>IF('Loan Tape (S&amp;P)'!T3915="Yes",
    1.35,
    1.00)</f>
        <v/>
      </c>
      <c r="P3915">
        <f>IF('Loan Tape (S&amp;P)'!S3915="Yes",
    1.15,
    1.00)</f>
        <v/>
      </c>
      <c r="Q3915">
        <f>IF('Loan Tape (S&amp;P)'!V3915="Yes",
    1.20,
    1.00)</f>
        <v/>
      </c>
      <c r="T3915">
        <f>LET(
    payment_method,'Loan Tape (S&amp;P)'!P3915,
    occupancy,'Loan Tape (S&amp;P)'!N3915,
    maturity_date,'Loan Tape (S&amp;P)'!L3915,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16">
      <c r="J3916">
        <f>LET(
    lien,'Loan Tape (S&amp;P)'!Q3916,
    IF(lien="First",1.00,
        IF(lien="Second",1.50,
            1.70)))</f>
        <v/>
      </c>
      <c r="K3916">
        <f>LET(
    purpose,'Loan Tape (S&amp;P)'!R3916,
    IF(purpose="Purchase",1.00,
        IF(purpose="Remortgage",1.00,
            1.20)))</f>
        <v/>
      </c>
      <c r="L3916">
        <f>LET(
    arrears_months,'Loan Tape (S&amp;P)'!AN3916,
    IF(arrears_months=0,1.00,
    IF(arrears_months=1,3.00,
    IF(arrears_months=2,5.00,
    IF(arrears_months=3,8.00,
    IF(arrears_months=4,10.00,
    IF(arrears_months=5,12.00,15.00)))))))</f>
        <v/>
      </c>
      <c r="M3916">
        <f>LET(
    seasoning_years,DATEDIF('Loan Tape (S&amp;P)'!K3916,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16">
        <f>IF(AND('Loan Tape (S&amp;P)'!U3916="Yes",
        'Loan Tape (S&amp;P)'!T3916&lt;&gt;"Yes",
        DATEDIF('Loan Tape (S&amp;P)'!K3916, TODAY(), "M")&lt;18),
    1.10,
    1.00)</f>
        <v/>
      </c>
      <c r="O3916">
        <f>IF('Loan Tape (S&amp;P)'!T3916="Yes",
    1.35,
    1.00)</f>
        <v/>
      </c>
      <c r="P3916">
        <f>IF('Loan Tape (S&amp;P)'!S3916="Yes",
    1.15,
    1.00)</f>
        <v/>
      </c>
      <c r="Q3916">
        <f>IF('Loan Tape (S&amp;P)'!V3916="Yes",
    1.20,
    1.00)</f>
        <v/>
      </c>
      <c r="T3916">
        <f>LET(
    payment_method,'Loan Tape (S&amp;P)'!P3916,
    occupancy,'Loan Tape (S&amp;P)'!N3916,
    maturity_date,'Loan Tape (S&amp;P)'!L3916,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17">
      <c r="J3917">
        <f>LET(
    lien,'Loan Tape (S&amp;P)'!Q3917,
    IF(lien="First",1.00,
        IF(lien="Second",1.50,
            1.70)))</f>
        <v/>
      </c>
      <c r="K3917">
        <f>LET(
    purpose,'Loan Tape (S&amp;P)'!R3917,
    IF(purpose="Purchase",1.00,
        IF(purpose="Remortgage",1.00,
            1.20)))</f>
        <v/>
      </c>
      <c r="L3917">
        <f>LET(
    arrears_months,'Loan Tape (S&amp;P)'!AN3917,
    IF(arrears_months=0,1.00,
    IF(arrears_months=1,3.00,
    IF(arrears_months=2,5.00,
    IF(arrears_months=3,8.00,
    IF(arrears_months=4,10.00,
    IF(arrears_months=5,12.00,15.00)))))))</f>
        <v/>
      </c>
      <c r="M3917">
        <f>LET(
    seasoning_years,DATEDIF('Loan Tape (S&amp;P)'!K3917,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17">
        <f>IF(AND('Loan Tape (S&amp;P)'!U3917="Yes",
        'Loan Tape (S&amp;P)'!T3917&lt;&gt;"Yes",
        DATEDIF('Loan Tape (S&amp;P)'!K3917, TODAY(), "M")&lt;18),
    1.10,
    1.00)</f>
        <v/>
      </c>
      <c r="O3917">
        <f>IF('Loan Tape (S&amp;P)'!T3917="Yes",
    1.35,
    1.00)</f>
        <v/>
      </c>
      <c r="P3917">
        <f>IF('Loan Tape (S&amp;P)'!S3917="Yes",
    1.15,
    1.00)</f>
        <v/>
      </c>
      <c r="Q3917">
        <f>IF('Loan Tape (S&amp;P)'!V3917="Yes",
    1.20,
    1.00)</f>
        <v/>
      </c>
      <c r="T3917">
        <f>LET(
    payment_method,'Loan Tape (S&amp;P)'!P3917,
    occupancy,'Loan Tape (S&amp;P)'!N3917,
    maturity_date,'Loan Tape (S&amp;P)'!L3917,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18">
      <c r="J3918">
        <f>LET(
    lien,'Loan Tape (S&amp;P)'!Q3918,
    IF(lien="First",1.00,
        IF(lien="Second",1.50,
            1.70)))</f>
        <v/>
      </c>
      <c r="K3918">
        <f>LET(
    purpose,'Loan Tape (S&amp;P)'!R3918,
    IF(purpose="Purchase",1.00,
        IF(purpose="Remortgage",1.00,
            1.20)))</f>
        <v/>
      </c>
      <c r="L3918">
        <f>LET(
    arrears_months,'Loan Tape (S&amp;P)'!AN3918,
    IF(arrears_months=0,1.00,
    IF(arrears_months=1,3.00,
    IF(arrears_months=2,5.00,
    IF(arrears_months=3,8.00,
    IF(arrears_months=4,10.00,
    IF(arrears_months=5,12.00,15.00)))))))</f>
        <v/>
      </c>
      <c r="M3918">
        <f>LET(
    seasoning_years,DATEDIF('Loan Tape (S&amp;P)'!K3918,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18">
        <f>IF(AND('Loan Tape (S&amp;P)'!U3918="Yes",
        'Loan Tape (S&amp;P)'!T3918&lt;&gt;"Yes",
        DATEDIF('Loan Tape (S&amp;P)'!K3918, TODAY(), "M")&lt;18),
    1.10,
    1.00)</f>
        <v/>
      </c>
      <c r="O3918">
        <f>IF('Loan Tape (S&amp;P)'!T3918="Yes",
    1.35,
    1.00)</f>
        <v/>
      </c>
      <c r="P3918">
        <f>IF('Loan Tape (S&amp;P)'!S3918="Yes",
    1.15,
    1.00)</f>
        <v/>
      </c>
      <c r="Q3918">
        <f>IF('Loan Tape (S&amp;P)'!V3918="Yes",
    1.20,
    1.00)</f>
        <v/>
      </c>
      <c r="T3918">
        <f>LET(
    payment_method,'Loan Tape (S&amp;P)'!P3918,
    occupancy,'Loan Tape (S&amp;P)'!N3918,
    maturity_date,'Loan Tape (S&amp;P)'!L3918,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19">
      <c r="J3919">
        <f>LET(
    lien,'Loan Tape (S&amp;P)'!Q3919,
    IF(lien="First",1.00,
        IF(lien="Second",1.50,
            1.70)))</f>
        <v/>
      </c>
      <c r="K3919">
        <f>LET(
    purpose,'Loan Tape (S&amp;P)'!R3919,
    IF(purpose="Purchase",1.00,
        IF(purpose="Remortgage",1.00,
            1.20)))</f>
        <v/>
      </c>
      <c r="L3919">
        <f>LET(
    arrears_months,'Loan Tape (S&amp;P)'!AN3919,
    IF(arrears_months=0,1.00,
    IF(arrears_months=1,3.00,
    IF(arrears_months=2,5.00,
    IF(arrears_months=3,8.00,
    IF(arrears_months=4,10.00,
    IF(arrears_months=5,12.00,15.00)))))))</f>
        <v/>
      </c>
      <c r="M3919">
        <f>LET(
    seasoning_years,DATEDIF('Loan Tape (S&amp;P)'!K3919,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19">
        <f>IF(AND('Loan Tape (S&amp;P)'!U3919="Yes",
        'Loan Tape (S&amp;P)'!T3919&lt;&gt;"Yes",
        DATEDIF('Loan Tape (S&amp;P)'!K3919, TODAY(), "M")&lt;18),
    1.10,
    1.00)</f>
        <v/>
      </c>
      <c r="O3919">
        <f>IF('Loan Tape (S&amp;P)'!T3919="Yes",
    1.35,
    1.00)</f>
        <v/>
      </c>
      <c r="P3919">
        <f>IF('Loan Tape (S&amp;P)'!S3919="Yes",
    1.15,
    1.00)</f>
        <v/>
      </c>
      <c r="Q3919">
        <f>IF('Loan Tape (S&amp;P)'!V3919="Yes",
    1.20,
    1.00)</f>
        <v/>
      </c>
      <c r="T3919">
        <f>LET(
    payment_method,'Loan Tape (S&amp;P)'!P3919,
    occupancy,'Loan Tape (S&amp;P)'!N3919,
    maturity_date,'Loan Tape (S&amp;P)'!L3919,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20">
      <c r="J3920">
        <f>LET(
    lien,'Loan Tape (S&amp;P)'!Q3920,
    IF(lien="First",1.00,
        IF(lien="Second",1.50,
            1.70)))</f>
        <v/>
      </c>
      <c r="K3920">
        <f>LET(
    purpose,'Loan Tape (S&amp;P)'!R3920,
    IF(purpose="Purchase",1.00,
        IF(purpose="Remortgage",1.00,
            1.20)))</f>
        <v/>
      </c>
      <c r="L3920">
        <f>LET(
    arrears_months,'Loan Tape (S&amp;P)'!AN3920,
    IF(arrears_months=0,1.00,
    IF(arrears_months=1,3.00,
    IF(arrears_months=2,5.00,
    IF(arrears_months=3,8.00,
    IF(arrears_months=4,10.00,
    IF(arrears_months=5,12.00,15.00)))))))</f>
        <v/>
      </c>
      <c r="M3920">
        <f>LET(
    seasoning_years,DATEDIF('Loan Tape (S&amp;P)'!K3920,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20">
        <f>IF(AND('Loan Tape (S&amp;P)'!U3920="Yes",
        'Loan Tape (S&amp;P)'!T3920&lt;&gt;"Yes",
        DATEDIF('Loan Tape (S&amp;P)'!K3920, TODAY(), "M")&lt;18),
    1.10,
    1.00)</f>
        <v/>
      </c>
      <c r="O3920">
        <f>IF('Loan Tape (S&amp;P)'!T3920="Yes",
    1.35,
    1.00)</f>
        <v/>
      </c>
      <c r="P3920">
        <f>IF('Loan Tape (S&amp;P)'!S3920="Yes",
    1.15,
    1.00)</f>
        <v/>
      </c>
      <c r="Q3920">
        <f>IF('Loan Tape (S&amp;P)'!V3920="Yes",
    1.20,
    1.00)</f>
        <v/>
      </c>
      <c r="T3920">
        <f>LET(
    payment_method,'Loan Tape (S&amp;P)'!P3920,
    occupancy,'Loan Tape (S&amp;P)'!N3920,
    maturity_date,'Loan Tape (S&amp;P)'!L3920,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21">
      <c r="J3921">
        <f>LET(
    lien,'Loan Tape (S&amp;P)'!Q3921,
    IF(lien="First",1.00,
        IF(lien="Second",1.50,
            1.70)))</f>
        <v/>
      </c>
      <c r="K3921">
        <f>LET(
    purpose,'Loan Tape (S&amp;P)'!R3921,
    IF(purpose="Purchase",1.00,
        IF(purpose="Remortgage",1.00,
            1.20)))</f>
        <v/>
      </c>
      <c r="L3921">
        <f>LET(
    arrears_months,'Loan Tape (S&amp;P)'!AN3921,
    IF(arrears_months=0,1.00,
    IF(arrears_months=1,3.00,
    IF(arrears_months=2,5.00,
    IF(arrears_months=3,8.00,
    IF(arrears_months=4,10.00,
    IF(arrears_months=5,12.00,15.00)))))))</f>
        <v/>
      </c>
      <c r="M3921">
        <f>LET(
    seasoning_years,DATEDIF('Loan Tape (S&amp;P)'!K3921,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21">
        <f>IF(AND('Loan Tape (S&amp;P)'!U3921="Yes",
        'Loan Tape (S&amp;P)'!T3921&lt;&gt;"Yes",
        DATEDIF('Loan Tape (S&amp;P)'!K3921, TODAY(), "M")&lt;18),
    1.10,
    1.00)</f>
        <v/>
      </c>
      <c r="O3921">
        <f>IF('Loan Tape (S&amp;P)'!T3921="Yes",
    1.35,
    1.00)</f>
        <v/>
      </c>
      <c r="P3921">
        <f>IF('Loan Tape (S&amp;P)'!S3921="Yes",
    1.15,
    1.00)</f>
        <v/>
      </c>
      <c r="Q3921">
        <f>IF('Loan Tape (S&amp;P)'!V3921="Yes",
    1.20,
    1.00)</f>
        <v/>
      </c>
      <c r="T3921">
        <f>LET(
    payment_method,'Loan Tape (S&amp;P)'!P3921,
    occupancy,'Loan Tape (S&amp;P)'!N3921,
    maturity_date,'Loan Tape (S&amp;P)'!L3921,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22">
      <c r="J3922">
        <f>LET(
    lien,'Loan Tape (S&amp;P)'!Q3922,
    IF(lien="First",1.00,
        IF(lien="Second",1.50,
            1.70)))</f>
        <v/>
      </c>
      <c r="K3922">
        <f>LET(
    purpose,'Loan Tape (S&amp;P)'!R3922,
    IF(purpose="Purchase",1.00,
        IF(purpose="Remortgage",1.00,
            1.20)))</f>
        <v/>
      </c>
      <c r="L3922">
        <f>LET(
    arrears_months,'Loan Tape (S&amp;P)'!AN3922,
    IF(arrears_months=0,1.00,
    IF(arrears_months=1,3.00,
    IF(arrears_months=2,5.00,
    IF(arrears_months=3,8.00,
    IF(arrears_months=4,10.00,
    IF(arrears_months=5,12.00,15.00)))))))</f>
        <v/>
      </c>
      <c r="M3922">
        <f>LET(
    seasoning_years,DATEDIF('Loan Tape (S&amp;P)'!K3922,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22">
        <f>IF(AND('Loan Tape (S&amp;P)'!U3922="Yes",
        'Loan Tape (S&amp;P)'!T3922&lt;&gt;"Yes",
        DATEDIF('Loan Tape (S&amp;P)'!K3922, TODAY(), "M")&lt;18),
    1.10,
    1.00)</f>
        <v/>
      </c>
      <c r="O3922">
        <f>IF('Loan Tape (S&amp;P)'!T3922="Yes",
    1.35,
    1.00)</f>
        <v/>
      </c>
      <c r="P3922">
        <f>IF('Loan Tape (S&amp;P)'!S3922="Yes",
    1.15,
    1.00)</f>
        <v/>
      </c>
      <c r="Q3922">
        <f>IF('Loan Tape (S&amp;P)'!V3922="Yes",
    1.20,
    1.00)</f>
        <v/>
      </c>
      <c r="T3922">
        <f>LET(
    payment_method,'Loan Tape (S&amp;P)'!P3922,
    occupancy,'Loan Tape (S&amp;P)'!N3922,
    maturity_date,'Loan Tape (S&amp;P)'!L3922,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23">
      <c r="J3923">
        <f>LET(
    lien,'Loan Tape (S&amp;P)'!Q3923,
    IF(lien="First",1.00,
        IF(lien="Second",1.50,
            1.70)))</f>
        <v/>
      </c>
      <c r="K3923">
        <f>LET(
    purpose,'Loan Tape (S&amp;P)'!R3923,
    IF(purpose="Purchase",1.00,
        IF(purpose="Remortgage",1.00,
            1.20)))</f>
        <v/>
      </c>
      <c r="L3923">
        <f>LET(
    arrears_months,'Loan Tape (S&amp;P)'!AN3923,
    IF(arrears_months=0,1.00,
    IF(arrears_months=1,3.00,
    IF(arrears_months=2,5.00,
    IF(arrears_months=3,8.00,
    IF(arrears_months=4,10.00,
    IF(arrears_months=5,12.00,15.00)))))))</f>
        <v/>
      </c>
      <c r="M3923">
        <f>LET(
    seasoning_years,DATEDIF('Loan Tape (S&amp;P)'!K3923,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23">
        <f>IF(AND('Loan Tape (S&amp;P)'!U3923="Yes",
        'Loan Tape (S&amp;P)'!T3923&lt;&gt;"Yes",
        DATEDIF('Loan Tape (S&amp;P)'!K3923, TODAY(), "M")&lt;18),
    1.10,
    1.00)</f>
        <v/>
      </c>
      <c r="O3923">
        <f>IF('Loan Tape (S&amp;P)'!T3923="Yes",
    1.35,
    1.00)</f>
        <v/>
      </c>
      <c r="P3923">
        <f>IF('Loan Tape (S&amp;P)'!S3923="Yes",
    1.15,
    1.00)</f>
        <v/>
      </c>
      <c r="Q3923">
        <f>IF('Loan Tape (S&amp;P)'!V3923="Yes",
    1.20,
    1.00)</f>
        <v/>
      </c>
      <c r="T3923">
        <f>LET(
    payment_method,'Loan Tape (S&amp;P)'!P3923,
    occupancy,'Loan Tape (S&amp;P)'!N3923,
    maturity_date,'Loan Tape (S&amp;P)'!L3923,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24">
      <c r="J3924">
        <f>LET(
    lien,'Loan Tape (S&amp;P)'!Q3924,
    IF(lien="First",1.00,
        IF(lien="Second",1.50,
            1.70)))</f>
        <v/>
      </c>
      <c r="K3924">
        <f>LET(
    purpose,'Loan Tape (S&amp;P)'!R3924,
    IF(purpose="Purchase",1.00,
        IF(purpose="Remortgage",1.00,
            1.20)))</f>
        <v/>
      </c>
      <c r="L3924">
        <f>LET(
    arrears_months,'Loan Tape (S&amp;P)'!AN3924,
    IF(arrears_months=0,1.00,
    IF(arrears_months=1,3.00,
    IF(arrears_months=2,5.00,
    IF(arrears_months=3,8.00,
    IF(arrears_months=4,10.00,
    IF(arrears_months=5,12.00,15.00)))))))</f>
        <v/>
      </c>
      <c r="M3924">
        <f>LET(
    seasoning_years,DATEDIF('Loan Tape (S&amp;P)'!K3924,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24">
        <f>IF(AND('Loan Tape (S&amp;P)'!U3924="Yes",
        'Loan Tape (S&amp;P)'!T3924&lt;&gt;"Yes",
        DATEDIF('Loan Tape (S&amp;P)'!K3924, TODAY(), "M")&lt;18),
    1.10,
    1.00)</f>
        <v/>
      </c>
      <c r="O3924">
        <f>IF('Loan Tape (S&amp;P)'!T3924="Yes",
    1.35,
    1.00)</f>
        <v/>
      </c>
      <c r="P3924">
        <f>IF('Loan Tape (S&amp;P)'!S3924="Yes",
    1.15,
    1.00)</f>
        <v/>
      </c>
      <c r="Q3924">
        <f>IF('Loan Tape (S&amp;P)'!V3924="Yes",
    1.20,
    1.00)</f>
        <v/>
      </c>
      <c r="T3924">
        <f>LET(
    payment_method,'Loan Tape (S&amp;P)'!P3924,
    occupancy,'Loan Tape (S&amp;P)'!N3924,
    maturity_date,'Loan Tape (S&amp;P)'!L3924,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25">
      <c r="J3925">
        <f>LET(
    lien,'Loan Tape (S&amp;P)'!Q3925,
    IF(lien="First",1.00,
        IF(lien="Second",1.50,
            1.70)))</f>
        <v/>
      </c>
      <c r="K3925">
        <f>LET(
    purpose,'Loan Tape (S&amp;P)'!R3925,
    IF(purpose="Purchase",1.00,
        IF(purpose="Remortgage",1.00,
            1.20)))</f>
        <v/>
      </c>
      <c r="L3925">
        <f>LET(
    arrears_months,'Loan Tape (S&amp;P)'!AN3925,
    IF(arrears_months=0,1.00,
    IF(arrears_months=1,3.00,
    IF(arrears_months=2,5.00,
    IF(arrears_months=3,8.00,
    IF(arrears_months=4,10.00,
    IF(arrears_months=5,12.00,15.00)))))))</f>
        <v/>
      </c>
      <c r="M3925">
        <f>LET(
    seasoning_years,DATEDIF('Loan Tape (S&amp;P)'!K3925,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25">
        <f>IF(AND('Loan Tape (S&amp;P)'!U3925="Yes",
        'Loan Tape (S&amp;P)'!T3925&lt;&gt;"Yes",
        DATEDIF('Loan Tape (S&amp;P)'!K3925, TODAY(), "M")&lt;18),
    1.10,
    1.00)</f>
        <v/>
      </c>
      <c r="O3925">
        <f>IF('Loan Tape (S&amp;P)'!T3925="Yes",
    1.35,
    1.00)</f>
        <v/>
      </c>
      <c r="P3925">
        <f>IF('Loan Tape (S&amp;P)'!S3925="Yes",
    1.15,
    1.00)</f>
        <v/>
      </c>
      <c r="Q3925">
        <f>IF('Loan Tape (S&amp;P)'!V3925="Yes",
    1.20,
    1.00)</f>
        <v/>
      </c>
      <c r="T3925">
        <f>LET(
    payment_method,'Loan Tape (S&amp;P)'!P3925,
    occupancy,'Loan Tape (S&amp;P)'!N3925,
    maturity_date,'Loan Tape (S&amp;P)'!L3925,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26">
      <c r="J3926">
        <f>LET(
    lien,'Loan Tape (S&amp;P)'!Q3926,
    IF(lien="First",1.00,
        IF(lien="Second",1.50,
            1.70)))</f>
        <v/>
      </c>
      <c r="K3926">
        <f>LET(
    purpose,'Loan Tape (S&amp;P)'!R3926,
    IF(purpose="Purchase",1.00,
        IF(purpose="Remortgage",1.00,
            1.20)))</f>
        <v/>
      </c>
      <c r="L3926">
        <f>LET(
    arrears_months,'Loan Tape (S&amp;P)'!AN3926,
    IF(arrears_months=0,1.00,
    IF(arrears_months=1,3.00,
    IF(arrears_months=2,5.00,
    IF(arrears_months=3,8.00,
    IF(arrears_months=4,10.00,
    IF(arrears_months=5,12.00,15.00)))))))</f>
        <v/>
      </c>
      <c r="M3926">
        <f>LET(
    seasoning_years,DATEDIF('Loan Tape (S&amp;P)'!K3926,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26">
        <f>IF(AND('Loan Tape (S&amp;P)'!U3926="Yes",
        'Loan Tape (S&amp;P)'!T3926&lt;&gt;"Yes",
        DATEDIF('Loan Tape (S&amp;P)'!K3926, TODAY(), "M")&lt;18),
    1.10,
    1.00)</f>
        <v/>
      </c>
      <c r="O3926">
        <f>IF('Loan Tape (S&amp;P)'!T3926="Yes",
    1.35,
    1.00)</f>
        <v/>
      </c>
      <c r="P3926">
        <f>IF('Loan Tape (S&amp;P)'!S3926="Yes",
    1.15,
    1.00)</f>
        <v/>
      </c>
      <c r="Q3926">
        <f>IF('Loan Tape (S&amp;P)'!V3926="Yes",
    1.20,
    1.00)</f>
        <v/>
      </c>
      <c r="T3926">
        <f>LET(
    payment_method,'Loan Tape (S&amp;P)'!P3926,
    occupancy,'Loan Tape (S&amp;P)'!N3926,
    maturity_date,'Loan Tape (S&amp;P)'!L3926,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27">
      <c r="J3927">
        <f>LET(
    lien,'Loan Tape (S&amp;P)'!Q3927,
    IF(lien="First",1.00,
        IF(lien="Second",1.50,
            1.70)))</f>
        <v/>
      </c>
      <c r="K3927">
        <f>LET(
    purpose,'Loan Tape (S&amp;P)'!R3927,
    IF(purpose="Purchase",1.00,
        IF(purpose="Remortgage",1.00,
            1.20)))</f>
        <v/>
      </c>
      <c r="L3927">
        <f>LET(
    arrears_months,'Loan Tape (S&amp;P)'!AN3927,
    IF(arrears_months=0,1.00,
    IF(arrears_months=1,3.00,
    IF(arrears_months=2,5.00,
    IF(arrears_months=3,8.00,
    IF(arrears_months=4,10.00,
    IF(arrears_months=5,12.00,15.00)))))))</f>
        <v/>
      </c>
      <c r="M3927">
        <f>LET(
    seasoning_years,DATEDIF('Loan Tape (S&amp;P)'!K3927,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27">
        <f>IF(AND('Loan Tape (S&amp;P)'!U3927="Yes",
        'Loan Tape (S&amp;P)'!T3927&lt;&gt;"Yes",
        DATEDIF('Loan Tape (S&amp;P)'!K3927, TODAY(), "M")&lt;18),
    1.10,
    1.00)</f>
        <v/>
      </c>
      <c r="O3927">
        <f>IF('Loan Tape (S&amp;P)'!T3927="Yes",
    1.35,
    1.00)</f>
        <v/>
      </c>
      <c r="P3927">
        <f>IF('Loan Tape (S&amp;P)'!S3927="Yes",
    1.15,
    1.00)</f>
        <v/>
      </c>
      <c r="Q3927">
        <f>IF('Loan Tape (S&amp;P)'!V3927="Yes",
    1.20,
    1.00)</f>
        <v/>
      </c>
      <c r="T3927">
        <f>LET(
    payment_method,'Loan Tape (S&amp;P)'!P3927,
    occupancy,'Loan Tape (S&amp;P)'!N3927,
    maturity_date,'Loan Tape (S&amp;P)'!L3927,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28">
      <c r="J3928">
        <f>LET(
    lien,'Loan Tape (S&amp;P)'!Q3928,
    IF(lien="First",1.00,
        IF(lien="Second",1.50,
            1.70)))</f>
        <v/>
      </c>
      <c r="K3928">
        <f>LET(
    purpose,'Loan Tape (S&amp;P)'!R3928,
    IF(purpose="Purchase",1.00,
        IF(purpose="Remortgage",1.00,
            1.20)))</f>
        <v/>
      </c>
      <c r="L3928">
        <f>LET(
    arrears_months,'Loan Tape (S&amp;P)'!AN3928,
    IF(arrears_months=0,1.00,
    IF(arrears_months=1,3.00,
    IF(arrears_months=2,5.00,
    IF(arrears_months=3,8.00,
    IF(arrears_months=4,10.00,
    IF(arrears_months=5,12.00,15.00)))))))</f>
        <v/>
      </c>
      <c r="M3928">
        <f>LET(
    seasoning_years,DATEDIF('Loan Tape (S&amp;P)'!K3928,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28">
        <f>IF(AND('Loan Tape (S&amp;P)'!U3928="Yes",
        'Loan Tape (S&amp;P)'!T3928&lt;&gt;"Yes",
        DATEDIF('Loan Tape (S&amp;P)'!K3928, TODAY(), "M")&lt;18),
    1.10,
    1.00)</f>
        <v/>
      </c>
      <c r="O3928">
        <f>IF('Loan Tape (S&amp;P)'!T3928="Yes",
    1.35,
    1.00)</f>
        <v/>
      </c>
      <c r="P3928">
        <f>IF('Loan Tape (S&amp;P)'!S3928="Yes",
    1.15,
    1.00)</f>
        <v/>
      </c>
      <c r="Q3928">
        <f>IF('Loan Tape (S&amp;P)'!V3928="Yes",
    1.20,
    1.00)</f>
        <v/>
      </c>
      <c r="T3928">
        <f>LET(
    payment_method,'Loan Tape (S&amp;P)'!P3928,
    occupancy,'Loan Tape (S&amp;P)'!N3928,
    maturity_date,'Loan Tape (S&amp;P)'!L3928,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29">
      <c r="J3929">
        <f>LET(
    lien,'Loan Tape (S&amp;P)'!Q3929,
    IF(lien="First",1.00,
        IF(lien="Second",1.50,
            1.70)))</f>
        <v/>
      </c>
      <c r="K3929">
        <f>LET(
    purpose,'Loan Tape (S&amp;P)'!R3929,
    IF(purpose="Purchase",1.00,
        IF(purpose="Remortgage",1.00,
            1.20)))</f>
        <v/>
      </c>
      <c r="L3929">
        <f>LET(
    arrears_months,'Loan Tape (S&amp;P)'!AN3929,
    IF(arrears_months=0,1.00,
    IF(arrears_months=1,3.00,
    IF(arrears_months=2,5.00,
    IF(arrears_months=3,8.00,
    IF(arrears_months=4,10.00,
    IF(arrears_months=5,12.00,15.00)))))))</f>
        <v/>
      </c>
      <c r="M3929">
        <f>LET(
    seasoning_years,DATEDIF('Loan Tape (S&amp;P)'!K3929,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29">
        <f>IF(AND('Loan Tape (S&amp;P)'!U3929="Yes",
        'Loan Tape (S&amp;P)'!T3929&lt;&gt;"Yes",
        DATEDIF('Loan Tape (S&amp;P)'!K3929, TODAY(), "M")&lt;18),
    1.10,
    1.00)</f>
        <v/>
      </c>
      <c r="O3929">
        <f>IF('Loan Tape (S&amp;P)'!T3929="Yes",
    1.35,
    1.00)</f>
        <v/>
      </c>
      <c r="P3929">
        <f>IF('Loan Tape (S&amp;P)'!S3929="Yes",
    1.15,
    1.00)</f>
        <v/>
      </c>
      <c r="Q3929">
        <f>IF('Loan Tape (S&amp;P)'!V3929="Yes",
    1.20,
    1.00)</f>
        <v/>
      </c>
      <c r="T3929">
        <f>LET(
    payment_method,'Loan Tape (S&amp;P)'!P3929,
    occupancy,'Loan Tape (S&amp;P)'!N3929,
    maturity_date,'Loan Tape (S&amp;P)'!L3929,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30">
      <c r="J3930">
        <f>LET(
    lien,'Loan Tape (S&amp;P)'!Q3930,
    IF(lien="First",1.00,
        IF(lien="Second",1.50,
            1.70)))</f>
        <v/>
      </c>
      <c r="K3930">
        <f>LET(
    purpose,'Loan Tape (S&amp;P)'!R3930,
    IF(purpose="Purchase",1.00,
        IF(purpose="Remortgage",1.00,
            1.20)))</f>
        <v/>
      </c>
      <c r="L3930">
        <f>LET(
    arrears_months,'Loan Tape (S&amp;P)'!AN3930,
    IF(arrears_months=0,1.00,
    IF(arrears_months=1,3.00,
    IF(arrears_months=2,5.00,
    IF(arrears_months=3,8.00,
    IF(arrears_months=4,10.00,
    IF(arrears_months=5,12.00,15.00)))))))</f>
        <v/>
      </c>
      <c r="M3930">
        <f>LET(
    seasoning_years,DATEDIF('Loan Tape (S&amp;P)'!K3930,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30">
        <f>IF(AND('Loan Tape (S&amp;P)'!U3930="Yes",
        'Loan Tape (S&amp;P)'!T3930&lt;&gt;"Yes",
        DATEDIF('Loan Tape (S&amp;P)'!K3930, TODAY(), "M")&lt;18),
    1.10,
    1.00)</f>
        <v/>
      </c>
      <c r="O3930">
        <f>IF('Loan Tape (S&amp;P)'!T3930="Yes",
    1.35,
    1.00)</f>
        <v/>
      </c>
      <c r="P3930">
        <f>IF('Loan Tape (S&amp;P)'!S3930="Yes",
    1.15,
    1.00)</f>
        <v/>
      </c>
      <c r="Q3930">
        <f>IF('Loan Tape (S&amp;P)'!V3930="Yes",
    1.20,
    1.00)</f>
        <v/>
      </c>
      <c r="T3930">
        <f>LET(
    payment_method,'Loan Tape (S&amp;P)'!P3930,
    occupancy,'Loan Tape (S&amp;P)'!N3930,
    maturity_date,'Loan Tape (S&amp;P)'!L3930,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31">
      <c r="J3931">
        <f>LET(
    lien,'Loan Tape (S&amp;P)'!Q3931,
    IF(lien="First",1.00,
        IF(lien="Second",1.50,
            1.70)))</f>
        <v/>
      </c>
      <c r="K3931">
        <f>LET(
    purpose,'Loan Tape (S&amp;P)'!R3931,
    IF(purpose="Purchase",1.00,
        IF(purpose="Remortgage",1.00,
            1.20)))</f>
        <v/>
      </c>
      <c r="L3931">
        <f>LET(
    arrears_months,'Loan Tape (S&amp;P)'!AN3931,
    IF(arrears_months=0,1.00,
    IF(arrears_months=1,3.00,
    IF(arrears_months=2,5.00,
    IF(arrears_months=3,8.00,
    IF(arrears_months=4,10.00,
    IF(arrears_months=5,12.00,15.00)))))))</f>
        <v/>
      </c>
      <c r="M3931">
        <f>LET(
    seasoning_years,DATEDIF('Loan Tape (S&amp;P)'!K3931,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31">
        <f>IF(AND('Loan Tape (S&amp;P)'!U3931="Yes",
        'Loan Tape (S&amp;P)'!T3931&lt;&gt;"Yes",
        DATEDIF('Loan Tape (S&amp;P)'!K3931, TODAY(), "M")&lt;18),
    1.10,
    1.00)</f>
        <v/>
      </c>
      <c r="O3931">
        <f>IF('Loan Tape (S&amp;P)'!T3931="Yes",
    1.35,
    1.00)</f>
        <v/>
      </c>
      <c r="P3931">
        <f>IF('Loan Tape (S&amp;P)'!S3931="Yes",
    1.15,
    1.00)</f>
        <v/>
      </c>
      <c r="Q3931">
        <f>IF('Loan Tape (S&amp;P)'!V3931="Yes",
    1.20,
    1.00)</f>
        <v/>
      </c>
      <c r="T3931">
        <f>LET(
    payment_method,'Loan Tape (S&amp;P)'!P3931,
    occupancy,'Loan Tape (S&amp;P)'!N3931,
    maturity_date,'Loan Tape (S&amp;P)'!L3931,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32">
      <c r="J3932">
        <f>LET(
    lien,'Loan Tape (S&amp;P)'!Q3932,
    IF(lien="First",1.00,
        IF(lien="Second",1.50,
            1.70)))</f>
        <v/>
      </c>
      <c r="K3932">
        <f>LET(
    purpose,'Loan Tape (S&amp;P)'!R3932,
    IF(purpose="Purchase",1.00,
        IF(purpose="Remortgage",1.00,
            1.20)))</f>
        <v/>
      </c>
      <c r="L3932">
        <f>LET(
    arrears_months,'Loan Tape (S&amp;P)'!AN3932,
    IF(arrears_months=0,1.00,
    IF(arrears_months=1,3.00,
    IF(arrears_months=2,5.00,
    IF(arrears_months=3,8.00,
    IF(arrears_months=4,10.00,
    IF(arrears_months=5,12.00,15.00)))))))</f>
        <v/>
      </c>
      <c r="M3932">
        <f>LET(
    seasoning_years,DATEDIF('Loan Tape (S&amp;P)'!K3932,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32">
        <f>IF(AND('Loan Tape (S&amp;P)'!U3932="Yes",
        'Loan Tape (S&amp;P)'!T3932&lt;&gt;"Yes",
        DATEDIF('Loan Tape (S&amp;P)'!K3932, TODAY(), "M")&lt;18),
    1.10,
    1.00)</f>
        <v/>
      </c>
      <c r="O3932">
        <f>IF('Loan Tape (S&amp;P)'!T3932="Yes",
    1.35,
    1.00)</f>
        <v/>
      </c>
      <c r="P3932">
        <f>IF('Loan Tape (S&amp;P)'!S3932="Yes",
    1.15,
    1.00)</f>
        <v/>
      </c>
      <c r="Q3932">
        <f>IF('Loan Tape (S&amp;P)'!V3932="Yes",
    1.20,
    1.00)</f>
        <v/>
      </c>
      <c r="T3932">
        <f>LET(
    payment_method,'Loan Tape (S&amp;P)'!P3932,
    occupancy,'Loan Tape (S&amp;P)'!N3932,
    maturity_date,'Loan Tape (S&amp;P)'!L3932,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33">
      <c r="J3933">
        <f>LET(
    lien,'Loan Tape (S&amp;P)'!Q3933,
    IF(lien="First",1.00,
        IF(lien="Second",1.50,
            1.70)))</f>
        <v/>
      </c>
      <c r="K3933">
        <f>LET(
    purpose,'Loan Tape (S&amp;P)'!R3933,
    IF(purpose="Purchase",1.00,
        IF(purpose="Remortgage",1.00,
            1.20)))</f>
        <v/>
      </c>
      <c r="L3933">
        <f>LET(
    arrears_months,'Loan Tape (S&amp;P)'!AN3933,
    IF(arrears_months=0,1.00,
    IF(arrears_months=1,3.00,
    IF(arrears_months=2,5.00,
    IF(arrears_months=3,8.00,
    IF(arrears_months=4,10.00,
    IF(arrears_months=5,12.00,15.00)))))))</f>
        <v/>
      </c>
      <c r="M3933">
        <f>LET(
    seasoning_years,DATEDIF('Loan Tape (S&amp;P)'!K3933,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33">
        <f>IF(AND('Loan Tape (S&amp;P)'!U3933="Yes",
        'Loan Tape (S&amp;P)'!T3933&lt;&gt;"Yes",
        DATEDIF('Loan Tape (S&amp;P)'!K3933, TODAY(), "M")&lt;18),
    1.10,
    1.00)</f>
        <v/>
      </c>
      <c r="O3933">
        <f>IF('Loan Tape (S&amp;P)'!T3933="Yes",
    1.35,
    1.00)</f>
        <v/>
      </c>
      <c r="P3933">
        <f>IF('Loan Tape (S&amp;P)'!S3933="Yes",
    1.15,
    1.00)</f>
        <v/>
      </c>
      <c r="Q3933">
        <f>IF('Loan Tape (S&amp;P)'!V3933="Yes",
    1.20,
    1.00)</f>
        <v/>
      </c>
      <c r="T3933">
        <f>LET(
    payment_method,'Loan Tape (S&amp;P)'!P3933,
    occupancy,'Loan Tape (S&amp;P)'!N3933,
    maturity_date,'Loan Tape (S&amp;P)'!L3933,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34">
      <c r="J3934">
        <f>LET(
    lien,'Loan Tape (S&amp;P)'!Q3934,
    IF(lien="First",1.00,
        IF(lien="Second",1.50,
            1.70)))</f>
        <v/>
      </c>
      <c r="K3934">
        <f>LET(
    purpose,'Loan Tape (S&amp;P)'!R3934,
    IF(purpose="Purchase",1.00,
        IF(purpose="Remortgage",1.00,
            1.20)))</f>
        <v/>
      </c>
      <c r="L3934">
        <f>LET(
    arrears_months,'Loan Tape (S&amp;P)'!AN3934,
    IF(arrears_months=0,1.00,
    IF(arrears_months=1,3.00,
    IF(arrears_months=2,5.00,
    IF(arrears_months=3,8.00,
    IF(arrears_months=4,10.00,
    IF(arrears_months=5,12.00,15.00)))))))</f>
        <v/>
      </c>
      <c r="M3934">
        <f>LET(
    seasoning_years,DATEDIF('Loan Tape (S&amp;P)'!K3934,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34">
        <f>IF(AND('Loan Tape (S&amp;P)'!U3934="Yes",
        'Loan Tape (S&amp;P)'!T3934&lt;&gt;"Yes",
        DATEDIF('Loan Tape (S&amp;P)'!K3934, TODAY(), "M")&lt;18),
    1.10,
    1.00)</f>
        <v/>
      </c>
      <c r="O3934">
        <f>IF('Loan Tape (S&amp;P)'!T3934="Yes",
    1.35,
    1.00)</f>
        <v/>
      </c>
      <c r="P3934">
        <f>IF('Loan Tape (S&amp;P)'!S3934="Yes",
    1.15,
    1.00)</f>
        <v/>
      </c>
      <c r="Q3934">
        <f>IF('Loan Tape (S&amp;P)'!V3934="Yes",
    1.20,
    1.00)</f>
        <v/>
      </c>
      <c r="T3934">
        <f>LET(
    payment_method,'Loan Tape (S&amp;P)'!P3934,
    occupancy,'Loan Tape (S&amp;P)'!N3934,
    maturity_date,'Loan Tape (S&amp;P)'!L3934,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35">
      <c r="J3935">
        <f>LET(
    lien,'Loan Tape (S&amp;P)'!Q3935,
    IF(lien="First",1.00,
        IF(lien="Second",1.50,
            1.70)))</f>
        <v/>
      </c>
      <c r="K3935">
        <f>LET(
    purpose,'Loan Tape (S&amp;P)'!R3935,
    IF(purpose="Purchase",1.00,
        IF(purpose="Remortgage",1.00,
            1.20)))</f>
        <v/>
      </c>
      <c r="L3935">
        <f>LET(
    arrears_months,'Loan Tape (S&amp;P)'!AN3935,
    IF(arrears_months=0,1.00,
    IF(arrears_months=1,3.00,
    IF(arrears_months=2,5.00,
    IF(arrears_months=3,8.00,
    IF(arrears_months=4,10.00,
    IF(arrears_months=5,12.00,15.00)))))))</f>
        <v/>
      </c>
      <c r="M3935">
        <f>LET(
    seasoning_years,DATEDIF('Loan Tape (S&amp;P)'!K3935,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35">
        <f>IF(AND('Loan Tape (S&amp;P)'!U3935="Yes",
        'Loan Tape (S&amp;P)'!T3935&lt;&gt;"Yes",
        DATEDIF('Loan Tape (S&amp;P)'!K3935, TODAY(), "M")&lt;18),
    1.10,
    1.00)</f>
        <v/>
      </c>
      <c r="O3935">
        <f>IF('Loan Tape (S&amp;P)'!T3935="Yes",
    1.35,
    1.00)</f>
        <v/>
      </c>
      <c r="P3935">
        <f>IF('Loan Tape (S&amp;P)'!S3935="Yes",
    1.15,
    1.00)</f>
        <v/>
      </c>
      <c r="Q3935">
        <f>IF('Loan Tape (S&amp;P)'!V3935="Yes",
    1.20,
    1.00)</f>
        <v/>
      </c>
      <c r="T3935">
        <f>LET(
    payment_method,'Loan Tape (S&amp;P)'!P3935,
    occupancy,'Loan Tape (S&amp;P)'!N3935,
    maturity_date,'Loan Tape (S&amp;P)'!L3935,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36">
      <c r="J3936">
        <f>LET(
    lien,'Loan Tape (S&amp;P)'!Q3936,
    IF(lien="First",1.00,
        IF(lien="Second",1.50,
            1.70)))</f>
        <v/>
      </c>
      <c r="K3936">
        <f>LET(
    purpose,'Loan Tape (S&amp;P)'!R3936,
    IF(purpose="Purchase",1.00,
        IF(purpose="Remortgage",1.00,
            1.20)))</f>
        <v/>
      </c>
      <c r="L3936">
        <f>LET(
    arrears_months,'Loan Tape (S&amp;P)'!AN3936,
    IF(arrears_months=0,1.00,
    IF(arrears_months=1,3.00,
    IF(arrears_months=2,5.00,
    IF(arrears_months=3,8.00,
    IF(arrears_months=4,10.00,
    IF(arrears_months=5,12.00,15.00)))))))</f>
        <v/>
      </c>
      <c r="M3936">
        <f>LET(
    seasoning_years,DATEDIF('Loan Tape (S&amp;P)'!K3936,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36">
        <f>IF(AND('Loan Tape (S&amp;P)'!U3936="Yes",
        'Loan Tape (S&amp;P)'!T3936&lt;&gt;"Yes",
        DATEDIF('Loan Tape (S&amp;P)'!K3936, TODAY(), "M")&lt;18),
    1.10,
    1.00)</f>
        <v/>
      </c>
      <c r="O3936">
        <f>IF('Loan Tape (S&amp;P)'!T3936="Yes",
    1.35,
    1.00)</f>
        <v/>
      </c>
      <c r="P3936">
        <f>IF('Loan Tape (S&amp;P)'!S3936="Yes",
    1.15,
    1.00)</f>
        <v/>
      </c>
      <c r="Q3936">
        <f>IF('Loan Tape (S&amp;P)'!V3936="Yes",
    1.20,
    1.00)</f>
        <v/>
      </c>
      <c r="T3936">
        <f>LET(
    payment_method,'Loan Tape (S&amp;P)'!P3936,
    occupancy,'Loan Tape (S&amp;P)'!N3936,
    maturity_date,'Loan Tape (S&amp;P)'!L3936,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37">
      <c r="J3937">
        <f>LET(
    lien,'Loan Tape (S&amp;P)'!Q3937,
    IF(lien="First",1.00,
        IF(lien="Second",1.50,
            1.70)))</f>
        <v/>
      </c>
      <c r="K3937">
        <f>LET(
    purpose,'Loan Tape (S&amp;P)'!R3937,
    IF(purpose="Purchase",1.00,
        IF(purpose="Remortgage",1.00,
            1.20)))</f>
        <v/>
      </c>
      <c r="L3937">
        <f>LET(
    arrears_months,'Loan Tape (S&amp;P)'!AN3937,
    IF(arrears_months=0,1.00,
    IF(arrears_months=1,3.00,
    IF(arrears_months=2,5.00,
    IF(arrears_months=3,8.00,
    IF(arrears_months=4,10.00,
    IF(arrears_months=5,12.00,15.00)))))))</f>
        <v/>
      </c>
      <c r="M3937">
        <f>LET(
    seasoning_years,DATEDIF('Loan Tape (S&amp;P)'!K3937,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37">
        <f>IF(AND('Loan Tape (S&amp;P)'!U3937="Yes",
        'Loan Tape (S&amp;P)'!T3937&lt;&gt;"Yes",
        DATEDIF('Loan Tape (S&amp;P)'!K3937, TODAY(), "M")&lt;18),
    1.10,
    1.00)</f>
        <v/>
      </c>
      <c r="O3937">
        <f>IF('Loan Tape (S&amp;P)'!T3937="Yes",
    1.35,
    1.00)</f>
        <v/>
      </c>
      <c r="P3937">
        <f>IF('Loan Tape (S&amp;P)'!S3937="Yes",
    1.15,
    1.00)</f>
        <v/>
      </c>
      <c r="Q3937">
        <f>IF('Loan Tape (S&amp;P)'!V3937="Yes",
    1.20,
    1.00)</f>
        <v/>
      </c>
      <c r="T3937">
        <f>LET(
    payment_method,'Loan Tape (S&amp;P)'!P3937,
    occupancy,'Loan Tape (S&amp;P)'!N3937,
    maturity_date,'Loan Tape (S&amp;P)'!L3937,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38">
      <c r="J3938">
        <f>LET(
    lien,'Loan Tape (S&amp;P)'!Q3938,
    IF(lien="First",1.00,
        IF(lien="Second",1.50,
            1.70)))</f>
        <v/>
      </c>
      <c r="K3938">
        <f>LET(
    purpose,'Loan Tape (S&amp;P)'!R3938,
    IF(purpose="Purchase",1.00,
        IF(purpose="Remortgage",1.00,
            1.20)))</f>
        <v/>
      </c>
      <c r="L3938">
        <f>LET(
    arrears_months,'Loan Tape (S&amp;P)'!AN3938,
    IF(arrears_months=0,1.00,
    IF(arrears_months=1,3.00,
    IF(arrears_months=2,5.00,
    IF(arrears_months=3,8.00,
    IF(arrears_months=4,10.00,
    IF(arrears_months=5,12.00,15.00)))))))</f>
        <v/>
      </c>
      <c r="M3938">
        <f>LET(
    seasoning_years,DATEDIF('Loan Tape (S&amp;P)'!K3938,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38">
        <f>IF(AND('Loan Tape (S&amp;P)'!U3938="Yes",
        'Loan Tape (S&amp;P)'!T3938&lt;&gt;"Yes",
        DATEDIF('Loan Tape (S&amp;P)'!K3938, TODAY(), "M")&lt;18),
    1.10,
    1.00)</f>
        <v/>
      </c>
      <c r="O3938">
        <f>IF('Loan Tape (S&amp;P)'!T3938="Yes",
    1.35,
    1.00)</f>
        <v/>
      </c>
      <c r="P3938">
        <f>IF('Loan Tape (S&amp;P)'!S3938="Yes",
    1.15,
    1.00)</f>
        <v/>
      </c>
      <c r="Q3938">
        <f>IF('Loan Tape (S&amp;P)'!V3938="Yes",
    1.20,
    1.00)</f>
        <v/>
      </c>
      <c r="T3938">
        <f>LET(
    payment_method,'Loan Tape (S&amp;P)'!P3938,
    occupancy,'Loan Tape (S&amp;P)'!N3938,
    maturity_date,'Loan Tape (S&amp;P)'!L3938,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39">
      <c r="J3939">
        <f>LET(
    lien,'Loan Tape (S&amp;P)'!Q3939,
    IF(lien="First",1.00,
        IF(lien="Second",1.50,
            1.70)))</f>
        <v/>
      </c>
      <c r="K3939">
        <f>LET(
    purpose,'Loan Tape (S&amp;P)'!R3939,
    IF(purpose="Purchase",1.00,
        IF(purpose="Remortgage",1.00,
            1.20)))</f>
        <v/>
      </c>
      <c r="L3939">
        <f>LET(
    arrears_months,'Loan Tape (S&amp;P)'!AN3939,
    IF(arrears_months=0,1.00,
    IF(arrears_months=1,3.00,
    IF(arrears_months=2,5.00,
    IF(arrears_months=3,8.00,
    IF(arrears_months=4,10.00,
    IF(arrears_months=5,12.00,15.00)))))))</f>
        <v/>
      </c>
      <c r="M3939">
        <f>LET(
    seasoning_years,DATEDIF('Loan Tape (S&amp;P)'!K3939,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39">
        <f>IF(AND('Loan Tape (S&amp;P)'!U3939="Yes",
        'Loan Tape (S&amp;P)'!T3939&lt;&gt;"Yes",
        DATEDIF('Loan Tape (S&amp;P)'!K3939, TODAY(), "M")&lt;18),
    1.10,
    1.00)</f>
        <v/>
      </c>
      <c r="O3939">
        <f>IF('Loan Tape (S&amp;P)'!T3939="Yes",
    1.35,
    1.00)</f>
        <v/>
      </c>
      <c r="P3939">
        <f>IF('Loan Tape (S&amp;P)'!S3939="Yes",
    1.15,
    1.00)</f>
        <v/>
      </c>
      <c r="Q3939">
        <f>IF('Loan Tape (S&amp;P)'!V3939="Yes",
    1.20,
    1.00)</f>
        <v/>
      </c>
      <c r="T3939">
        <f>LET(
    payment_method,'Loan Tape (S&amp;P)'!P3939,
    occupancy,'Loan Tape (S&amp;P)'!N3939,
    maturity_date,'Loan Tape (S&amp;P)'!L3939,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40">
      <c r="J3940">
        <f>LET(
    lien,'Loan Tape (S&amp;P)'!Q3940,
    IF(lien="First",1.00,
        IF(lien="Second",1.50,
            1.70)))</f>
        <v/>
      </c>
      <c r="K3940">
        <f>LET(
    purpose,'Loan Tape (S&amp;P)'!R3940,
    IF(purpose="Purchase",1.00,
        IF(purpose="Remortgage",1.00,
            1.20)))</f>
        <v/>
      </c>
      <c r="L3940">
        <f>LET(
    arrears_months,'Loan Tape (S&amp;P)'!AN3940,
    IF(arrears_months=0,1.00,
    IF(arrears_months=1,3.00,
    IF(arrears_months=2,5.00,
    IF(arrears_months=3,8.00,
    IF(arrears_months=4,10.00,
    IF(arrears_months=5,12.00,15.00)))))))</f>
        <v/>
      </c>
      <c r="M3940">
        <f>LET(
    seasoning_years,DATEDIF('Loan Tape (S&amp;P)'!K3940,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40">
        <f>IF(AND('Loan Tape (S&amp;P)'!U3940="Yes",
        'Loan Tape (S&amp;P)'!T3940&lt;&gt;"Yes",
        DATEDIF('Loan Tape (S&amp;P)'!K3940, TODAY(), "M")&lt;18),
    1.10,
    1.00)</f>
        <v/>
      </c>
      <c r="O3940">
        <f>IF('Loan Tape (S&amp;P)'!T3940="Yes",
    1.35,
    1.00)</f>
        <v/>
      </c>
      <c r="P3940">
        <f>IF('Loan Tape (S&amp;P)'!S3940="Yes",
    1.15,
    1.00)</f>
        <v/>
      </c>
      <c r="Q3940">
        <f>IF('Loan Tape (S&amp;P)'!V3940="Yes",
    1.20,
    1.00)</f>
        <v/>
      </c>
      <c r="T3940">
        <f>LET(
    payment_method,'Loan Tape (S&amp;P)'!P3940,
    occupancy,'Loan Tape (S&amp;P)'!N3940,
    maturity_date,'Loan Tape (S&amp;P)'!L3940,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41">
      <c r="J3941">
        <f>LET(
    lien,'Loan Tape (S&amp;P)'!Q3941,
    IF(lien="First",1.00,
        IF(lien="Second",1.50,
            1.70)))</f>
        <v/>
      </c>
      <c r="K3941">
        <f>LET(
    purpose,'Loan Tape (S&amp;P)'!R3941,
    IF(purpose="Purchase",1.00,
        IF(purpose="Remortgage",1.00,
            1.20)))</f>
        <v/>
      </c>
      <c r="L3941">
        <f>LET(
    arrears_months,'Loan Tape (S&amp;P)'!AN3941,
    IF(arrears_months=0,1.00,
    IF(arrears_months=1,3.00,
    IF(arrears_months=2,5.00,
    IF(arrears_months=3,8.00,
    IF(arrears_months=4,10.00,
    IF(arrears_months=5,12.00,15.00)))))))</f>
        <v/>
      </c>
      <c r="M3941">
        <f>LET(
    seasoning_years,DATEDIF('Loan Tape (S&amp;P)'!K3941,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41">
        <f>IF(AND('Loan Tape (S&amp;P)'!U3941="Yes",
        'Loan Tape (S&amp;P)'!T3941&lt;&gt;"Yes",
        DATEDIF('Loan Tape (S&amp;P)'!K3941, TODAY(), "M")&lt;18),
    1.10,
    1.00)</f>
        <v/>
      </c>
      <c r="O3941">
        <f>IF('Loan Tape (S&amp;P)'!T3941="Yes",
    1.35,
    1.00)</f>
        <v/>
      </c>
      <c r="P3941">
        <f>IF('Loan Tape (S&amp;P)'!S3941="Yes",
    1.15,
    1.00)</f>
        <v/>
      </c>
      <c r="Q3941">
        <f>IF('Loan Tape (S&amp;P)'!V3941="Yes",
    1.20,
    1.00)</f>
        <v/>
      </c>
      <c r="T3941">
        <f>LET(
    payment_method,'Loan Tape (S&amp;P)'!P3941,
    occupancy,'Loan Tape (S&amp;P)'!N3941,
    maturity_date,'Loan Tape (S&amp;P)'!L3941,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42">
      <c r="J3942">
        <f>LET(
    lien,'Loan Tape (S&amp;P)'!Q3942,
    IF(lien="First",1.00,
        IF(lien="Second",1.50,
            1.70)))</f>
        <v/>
      </c>
      <c r="K3942">
        <f>LET(
    purpose,'Loan Tape (S&amp;P)'!R3942,
    IF(purpose="Purchase",1.00,
        IF(purpose="Remortgage",1.00,
            1.20)))</f>
        <v/>
      </c>
      <c r="L3942">
        <f>LET(
    arrears_months,'Loan Tape (S&amp;P)'!AN3942,
    IF(arrears_months=0,1.00,
    IF(arrears_months=1,3.00,
    IF(arrears_months=2,5.00,
    IF(arrears_months=3,8.00,
    IF(arrears_months=4,10.00,
    IF(arrears_months=5,12.00,15.00)))))))</f>
        <v/>
      </c>
      <c r="M3942">
        <f>LET(
    seasoning_years,DATEDIF('Loan Tape (S&amp;P)'!K3942,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42">
        <f>IF(AND('Loan Tape (S&amp;P)'!U3942="Yes",
        'Loan Tape (S&amp;P)'!T3942&lt;&gt;"Yes",
        DATEDIF('Loan Tape (S&amp;P)'!K3942, TODAY(), "M")&lt;18),
    1.10,
    1.00)</f>
        <v/>
      </c>
      <c r="O3942">
        <f>IF('Loan Tape (S&amp;P)'!T3942="Yes",
    1.35,
    1.00)</f>
        <v/>
      </c>
      <c r="P3942">
        <f>IF('Loan Tape (S&amp;P)'!S3942="Yes",
    1.15,
    1.00)</f>
        <v/>
      </c>
      <c r="Q3942">
        <f>IF('Loan Tape (S&amp;P)'!V3942="Yes",
    1.20,
    1.00)</f>
        <v/>
      </c>
      <c r="T3942">
        <f>LET(
    payment_method,'Loan Tape (S&amp;P)'!P3942,
    occupancy,'Loan Tape (S&amp;P)'!N3942,
    maturity_date,'Loan Tape (S&amp;P)'!L3942,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43">
      <c r="J3943">
        <f>LET(
    lien,'Loan Tape (S&amp;P)'!Q3943,
    IF(lien="First",1.00,
        IF(lien="Second",1.50,
            1.70)))</f>
        <v/>
      </c>
      <c r="K3943">
        <f>LET(
    purpose,'Loan Tape (S&amp;P)'!R3943,
    IF(purpose="Purchase",1.00,
        IF(purpose="Remortgage",1.00,
            1.20)))</f>
        <v/>
      </c>
      <c r="L3943">
        <f>LET(
    arrears_months,'Loan Tape (S&amp;P)'!AN3943,
    IF(arrears_months=0,1.00,
    IF(arrears_months=1,3.00,
    IF(arrears_months=2,5.00,
    IF(arrears_months=3,8.00,
    IF(arrears_months=4,10.00,
    IF(arrears_months=5,12.00,15.00)))))))</f>
        <v/>
      </c>
      <c r="M3943">
        <f>LET(
    seasoning_years,DATEDIF('Loan Tape (S&amp;P)'!K3943,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43">
        <f>IF(AND('Loan Tape (S&amp;P)'!U3943="Yes",
        'Loan Tape (S&amp;P)'!T3943&lt;&gt;"Yes",
        DATEDIF('Loan Tape (S&amp;P)'!K3943, TODAY(), "M")&lt;18),
    1.10,
    1.00)</f>
        <v/>
      </c>
      <c r="O3943">
        <f>IF('Loan Tape (S&amp;P)'!T3943="Yes",
    1.35,
    1.00)</f>
        <v/>
      </c>
      <c r="P3943">
        <f>IF('Loan Tape (S&amp;P)'!S3943="Yes",
    1.15,
    1.00)</f>
        <v/>
      </c>
      <c r="Q3943">
        <f>IF('Loan Tape (S&amp;P)'!V3943="Yes",
    1.20,
    1.00)</f>
        <v/>
      </c>
      <c r="T3943">
        <f>LET(
    payment_method,'Loan Tape (S&amp;P)'!P3943,
    occupancy,'Loan Tape (S&amp;P)'!N3943,
    maturity_date,'Loan Tape (S&amp;P)'!L3943,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44">
      <c r="J3944">
        <f>LET(
    lien,'Loan Tape (S&amp;P)'!Q3944,
    IF(lien="First",1.00,
        IF(lien="Second",1.50,
            1.70)))</f>
        <v/>
      </c>
      <c r="K3944">
        <f>LET(
    purpose,'Loan Tape (S&amp;P)'!R3944,
    IF(purpose="Purchase",1.00,
        IF(purpose="Remortgage",1.00,
            1.20)))</f>
        <v/>
      </c>
      <c r="L3944">
        <f>LET(
    arrears_months,'Loan Tape (S&amp;P)'!AN3944,
    IF(arrears_months=0,1.00,
    IF(arrears_months=1,3.00,
    IF(arrears_months=2,5.00,
    IF(arrears_months=3,8.00,
    IF(arrears_months=4,10.00,
    IF(arrears_months=5,12.00,15.00)))))))</f>
        <v/>
      </c>
      <c r="M3944">
        <f>LET(
    seasoning_years,DATEDIF('Loan Tape (S&amp;P)'!K3944,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44">
        <f>IF(AND('Loan Tape (S&amp;P)'!U3944="Yes",
        'Loan Tape (S&amp;P)'!T3944&lt;&gt;"Yes",
        DATEDIF('Loan Tape (S&amp;P)'!K3944, TODAY(), "M")&lt;18),
    1.10,
    1.00)</f>
        <v/>
      </c>
      <c r="O3944">
        <f>IF('Loan Tape (S&amp;P)'!T3944="Yes",
    1.35,
    1.00)</f>
        <v/>
      </c>
      <c r="P3944">
        <f>IF('Loan Tape (S&amp;P)'!S3944="Yes",
    1.15,
    1.00)</f>
        <v/>
      </c>
      <c r="Q3944">
        <f>IF('Loan Tape (S&amp;P)'!V3944="Yes",
    1.20,
    1.00)</f>
        <v/>
      </c>
      <c r="T3944">
        <f>LET(
    payment_method,'Loan Tape (S&amp;P)'!P3944,
    occupancy,'Loan Tape (S&amp;P)'!N3944,
    maturity_date,'Loan Tape (S&amp;P)'!L3944,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45">
      <c r="J3945">
        <f>LET(
    lien,'Loan Tape (S&amp;P)'!Q3945,
    IF(lien="First",1.00,
        IF(lien="Second",1.50,
            1.70)))</f>
        <v/>
      </c>
      <c r="K3945">
        <f>LET(
    purpose,'Loan Tape (S&amp;P)'!R3945,
    IF(purpose="Purchase",1.00,
        IF(purpose="Remortgage",1.00,
            1.20)))</f>
        <v/>
      </c>
      <c r="L3945">
        <f>LET(
    arrears_months,'Loan Tape (S&amp;P)'!AN3945,
    IF(arrears_months=0,1.00,
    IF(arrears_months=1,3.00,
    IF(arrears_months=2,5.00,
    IF(arrears_months=3,8.00,
    IF(arrears_months=4,10.00,
    IF(arrears_months=5,12.00,15.00)))))))</f>
        <v/>
      </c>
      <c r="M3945">
        <f>LET(
    seasoning_years,DATEDIF('Loan Tape (S&amp;P)'!K3945,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45">
        <f>IF(AND('Loan Tape (S&amp;P)'!U3945="Yes",
        'Loan Tape (S&amp;P)'!T3945&lt;&gt;"Yes",
        DATEDIF('Loan Tape (S&amp;P)'!K3945, TODAY(), "M")&lt;18),
    1.10,
    1.00)</f>
        <v/>
      </c>
      <c r="O3945">
        <f>IF('Loan Tape (S&amp;P)'!T3945="Yes",
    1.35,
    1.00)</f>
        <v/>
      </c>
      <c r="P3945">
        <f>IF('Loan Tape (S&amp;P)'!S3945="Yes",
    1.15,
    1.00)</f>
        <v/>
      </c>
      <c r="Q3945">
        <f>IF('Loan Tape (S&amp;P)'!V3945="Yes",
    1.20,
    1.00)</f>
        <v/>
      </c>
      <c r="T3945">
        <f>LET(
    payment_method,'Loan Tape (S&amp;P)'!P3945,
    occupancy,'Loan Tape (S&amp;P)'!N3945,
    maturity_date,'Loan Tape (S&amp;P)'!L3945,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46">
      <c r="J3946">
        <f>LET(
    lien,'Loan Tape (S&amp;P)'!Q3946,
    IF(lien="First",1.00,
        IF(lien="Second",1.50,
            1.70)))</f>
        <v/>
      </c>
      <c r="K3946">
        <f>LET(
    purpose,'Loan Tape (S&amp;P)'!R3946,
    IF(purpose="Purchase",1.00,
        IF(purpose="Remortgage",1.00,
            1.20)))</f>
        <v/>
      </c>
      <c r="L3946">
        <f>LET(
    arrears_months,'Loan Tape (S&amp;P)'!AN3946,
    IF(arrears_months=0,1.00,
    IF(arrears_months=1,3.00,
    IF(arrears_months=2,5.00,
    IF(arrears_months=3,8.00,
    IF(arrears_months=4,10.00,
    IF(arrears_months=5,12.00,15.00)))))))</f>
        <v/>
      </c>
      <c r="M3946">
        <f>LET(
    seasoning_years,DATEDIF('Loan Tape (S&amp;P)'!K3946,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46">
        <f>IF(AND('Loan Tape (S&amp;P)'!U3946="Yes",
        'Loan Tape (S&amp;P)'!T3946&lt;&gt;"Yes",
        DATEDIF('Loan Tape (S&amp;P)'!K3946, TODAY(), "M")&lt;18),
    1.10,
    1.00)</f>
        <v/>
      </c>
      <c r="O3946">
        <f>IF('Loan Tape (S&amp;P)'!T3946="Yes",
    1.35,
    1.00)</f>
        <v/>
      </c>
      <c r="P3946">
        <f>IF('Loan Tape (S&amp;P)'!S3946="Yes",
    1.15,
    1.00)</f>
        <v/>
      </c>
      <c r="Q3946">
        <f>IF('Loan Tape (S&amp;P)'!V3946="Yes",
    1.20,
    1.00)</f>
        <v/>
      </c>
      <c r="T3946">
        <f>LET(
    payment_method,'Loan Tape (S&amp;P)'!P3946,
    occupancy,'Loan Tape (S&amp;P)'!N3946,
    maturity_date,'Loan Tape (S&amp;P)'!L3946,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47">
      <c r="J3947">
        <f>LET(
    lien,'Loan Tape (S&amp;P)'!Q3947,
    IF(lien="First",1.00,
        IF(lien="Second",1.50,
            1.70)))</f>
        <v/>
      </c>
      <c r="K3947">
        <f>LET(
    purpose,'Loan Tape (S&amp;P)'!R3947,
    IF(purpose="Purchase",1.00,
        IF(purpose="Remortgage",1.00,
            1.20)))</f>
        <v/>
      </c>
      <c r="L3947">
        <f>LET(
    arrears_months,'Loan Tape (S&amp;P)'!AN3947,
    IF(arrears_months=0,1.00,
    IF(arrears_months=1,3.00,
    IF(arrears_months=2,5.00,
    IF(arrears_months=3,8.00,
    IF(arrears_months=4,10.00,
    IF(arrears_months=5,12.00,15.00)))))))</f>
        <v/>
      </c>
      <c r="M3947">
        <f>LET(
    seasoning_years,DATEDIF('Loan Tape (S&amp;P)'!K3947,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47">
        <f>IF(AND('Loan Tape (S&amp;P)'!U3947="Yes",
        'Loan Tape (S&amp;P)'!T3947&lt;&gt;"Yes",
        DATEDIF('Loan Tape (S&amp;P)'!K3947, TODAY(), "M")&lt;18),
    1.10,
    1.00)</f>
        <v/>
      </c>
      <c r="O3947">
        <f>IF('Loan Tape (S&amp;P)'!T3947="Yes",
    1.35,
    1.00)</f>
        <v/>
      </c>
      <c r="P3947">
        <f>IF('Loan Tape (S&amp;P)'!S3947="Yes",
    1.15,
    1.00)</f>
        <v/>
      </c>
      <c r="Q3947">
        <f>IF('Loan Tape (S&amp;P)'!V3947="Yes",
    1.20,
    1.00)</f>
        <v/>
      </c>
      <c r="T3947">
        <f>LET(
    payment_method,'Loan Tape (S&amp;P)'!P3947,
    occupancy,'Loan Tape (S&amp;P)'!N3947,
    maturity_date,'Loan Tape (S&amp;P)'!L3947,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48">
      <c r="J3948">
        <f>LET(
    lien,'Loan Tape (S&amp;P)'!Q3948,
    IF(lien="First",1.00,
        IF(lien="Second",1.50,
            1.70)))</f>
        <v/>
      </c>
      <c r="K3948">
        <f>LET(
    purpose,'Loan Tape (S&amp;P)'!R3948,
    IF(purpose="Purchase",1.00,
        IF(purpose="Remortgage",1.00,
            1.20)))</f>
        <v/>
      </c>
      <c r="L3948">
        <f>LET(
    arrears_months,'Loan Tape (S&amp;P)'!AN3948,
    IF(arrears_months=0,1.00,
    IF(arrears_months=1,3.00,
    IF(arrears_months=2,5.00,
    IF(arrears_months=3,8.00,
    IF(arrears_months=4,10.00,
    IF(arrears_months=5,12.00,15.00)))))))</f>
        <v/>
      </c>
      <c r="M3948">
        <f>LET(
    seasoning_years,DATEDIF('Loan Tape (S&amp;P)'!K3948,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48">
        <f>IF(AND('Loan Tape (S&amp;P)'!U3948="Yes",
        'Loan Tape (S&amp;P)'!T3948&lt;&gt;"Yes",
        DATEDIF('Loan Tape (S&amp;P)'!K3948, TODAY(), "M")&lt;18),
    1.10,
    1.00)</f>
        <v/>
      </c>
      <c r="O3948">
        <f>IF('Loan Tape (S&amp;P)'!T3948="Yes",
    1.35,
    1.00)</f>
        <v/>
      </c>
      <c r="P3948">
        <f>IF('Loan Tape (S&amp;P)'!S3948="Yes",
    1.15,
    1.00)</f>
        <v/>
      </c>
      <c r="Q3948">
        <f>IF('Loan Tape (S&amp;P)'!V3948="Yes",
    1.20,
    1.00)</f>
        <v/>
      </c>
      <c r="T3948">
        <f>LET(
    payment_method,'Loan Tape (S&amp;P)'!P3948,
    occupancy,'Loan Tape (S&amp;P)'!N3948,
    maturity_date,'Loan Tape (S&amp;P)'!L3948,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49">
      <c r="J3949">
        <f>LET(
    lien,'Loan Tape (S&amp;P)'!Q3949,
    IF(lien="First",1.00,
        IF(lien="Second",1.50,
            1.70)))</f>
        <v/>
      </c>
      <c r="K3949">
        <f>LET(
    purpose,'Loan Tape (S&amp;P)'!R3949,
    IF(purpose="Purchase",1.00,
        IF(purpose="Remortgage",1.00,
            1.20)))</f>
        <v/>
      </c>
      <c r="L3949">
        <f>LET(
    arrears_months,'Loan Tape (S&amp;P)'!AN3949,
    IF(arrears_months=0,1.00,
    IF(arrears_months=1,3.00,
    IF(arrears_months=2,5.00,
    IF(arrears_months=3,8.00,
    IF(arrears_months=4,10.00,
    IF(arrears_months=5,12.00,15.00)))))))</f>
        <v/>
      </c>
      <c r="M3949">
        <f>LET(
    seasoning_years,DATEDIF('Loan Tape (S&amp;P)'!K3949,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49">
        <f>IF(AND('Loan Tape (S&amp;P)'!U3949="Yes",
        'Loan Tape (S&amp;P)'!T3949&lt;&gt;"Yes",
        DATEDIF('Loan Tape (S&amp;P)'!K3949, TODAY(), "M")&lt;18),
    1.10,
    1.00)</f>
        <v/>
      </c>
      <c r="O3949">
        <f>IF('Loan Tape (S&amp;P)'!T3949="Yes",
    1.35,
    1.00)</f>
        <v/>
      </c>
      <c r="P3949">
        <f>IF('Loan Tape (S&amp;P)'!S3949="Yes",
    1.15,
    1.00)</f>
        <v/>
      </c>
      <c r="Q3949">
        <f>IF('Loan Tape (S&amp;P)'!V3949="Yes",
    1.20,
    1.00)</f>
        <v/>
      </c>
      <c r="T3949">
        <f>LET(
    payment_method,'Loan Tape (S&amp;P)'!P3949,
    occupancy,'Loan Tape (S&amp;P)'!N3949,
    maturity_date,'Loan Tape (S&amp;P)'!L3949,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50">
      <c r="J3950">
        <f>LET(
    lien,'Loan Tape (S&amp;P)'!Q3950,
    IF(lien="First",1.00,
        IF(lien="Second",1.50,
            1.70)))</f>
        <v/>
      </c>
      <c r="K3950">
        <f>LET(
    purpose,'Loan Tape (S&amp;P)'!R3950,
    IF(purpose="Purchase",1.00,
        IF(purpose="Remortgage",1.00,
            1.20)))</f>
        <v/>
      </c>
      <c r="L3950">
        <f>LET(
    arrears_months,'Loan Tape (S&amp;P)'!AN3950,
    IF(arrears_months=0,1.00,
    IF(arrears_months=1,3.00,
    IF(arrears_months=2,5.00,
    IF(arrears_months=3,8.00,
    IF(arrears_months=4,10.00,
    IF(arrears_months=5,12.00,15.00)))))))</f>
        <v/>
      </c>
      <c r="M3950">
        <f>LET(
    seasoning_years,DATEDIF('Loan Tape (S&amp;P)'!K3950,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50">
        <f>IF(AND('Loan Tape (S&amp;P)'!U3950="Yes",
        'Loan Tape (S&amp;P)'!T3950&lt;&gt;"Yes",
        DATEDIF('Loan Tape (S&amp;P)'!K3950, TODAY(), "M")&lt;18),
    1.10,
    1.00)</f>
        <v/>
      </c>
      <c r="O3950">
        <f>IF('Loan Tape (S&amp;P)'!T3950="Yes",
    1.35,
    1.00)</f>
        <v/>
      </c>
      <c r="P3950">
        <f>IF('Loan Tape (S&amp;P)'!S3950="Yes",
    1.15,
    1.00)</f>
        <v/>
      </c>
      <c r="Q3950">
        <f>IF('Loan Tape (S&amp;P)'!V3950="Yes",
    1.20,
    1.00)</f>
        <v/>
      </c>
      <c r="T3950">
        <f>LET(
    payment_method,'Loan Tape (S&amp;P)'!P3950,
    occupancy,'Loan Tape (S&amp;P)'!N3950,
    maturity_date,'Loan Tape (S&amp;P)'!L3950,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51">
      <c r="J3951">
        <f>LET(
    lien,'Loan Tape (S&amp;P)'!Q3951,
    IF(lien="First",1.00,
        IF(lien="Second",1.50,
            1.70)))</f>
        <v/>
      </c>
      <c r="K3951">
        <f>LET(
    purpose,'Loan Tape (S&amp;P)'!R3951,
    IF(purpose="Purchase",1.00,
        IF(purpose="Remortgage",1.00,
            1.20)))</f>
        <v/>
      </c>
      <c r="L3951">
        <f>LET(
    arrears_months,'Loan Tape (S&amp;P)'!AN3951,
    IF(arrears_months=0,1.00,
    IF(arrears_months=1,3.00,
    IF(arrears_months=2,5.00,
    IF(arrears_months=3,8.00,
    IF(arrears_months=4,10.00,
    IF(arrears_months=5,12.00,15.00)))))))</f>
        <v/>
      </c>
      <c r="M3951">
        <f>LET(
    seasoning_years,DATEDIF('Loan Tape (S&amp;P)'!K3951,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51">
        <f>IF(AND('Loan Tape (S&amp;P)'!U3951="Yes",
        'Loan Tape (S&amp;P)'!T3951&lt;&gt;"Yes",
        DATEDIF('Loan Tape (S&amp;P)'!K3951, TODAY(), "M")&lt;18),
    1.10,
    1.00)</f>
        <v/>
      </c>
      <c r="O3951">
        <f>IF('Loan Tape (S&amp;P)'!T3951="Yes",
    1.35,
    1.00)</f>
        <v/>
      </c>
      <c r="P3951">
        <f>IF('Loan Tape (S&amp;P)'!S3951="Yes",
    1.15,
    1.00)</f>
        <v/>
      </c>
      <c r="Q3951">
        <f>IF('Loan Tape (S&amp;P)'!V3951="Yes",
    1.20,
    1.00)</f>
        <v/>
      </c>
      <c r="T3951">
        <f>LET(
    payment_method,'Loan Tape (S&amp;P)'!P3951,
    occupancy,'Loan Tape (S&amp;P)'!N3951,
    maturity_date,'Loan Tape (S&amp;P)'!L3951,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52">
      <c r="J3952">
        <f>LET(
    lien,'Loan Tape (S&amp;P)'!Q3952,
    IF(lien="First",1.00,
        IF(lien="Second",1.50,
            1.70)))</f>
        <v/>
      </c>
      <c r="K3952">
        <f>LET(
    purpose,'Loan Tape (S&amp;P)'!R3952,
    IF(purpose="Purchase",1.00,
        IF(purpose="Remortgage",1.00,
            1.20)))</f>
        <v/>
      </c>
      <c r="L3952">
        <f>LET(
    arrears_months,'Loan Tape (S&amp;P)'!AN3952,
    IF(arrears_months=0,1.00,
    IF(arrears_months=1,3.00,
    IF(arrears_months=2,5.00,
    IF(arrears_months=3,8.00,
    IF(arrears_months=4,10.00,
    IF(arrears_months=5,12.00,15.00)))))))</f>
        <v/>
      </c>
      <c r="M3952">
        <f>LET(
    seasoning_years,DATEDIF('Loan Tape (S&amp;P)'!K3952,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52">
        <f>IF(AND('Loan Tape (S&amp;P)'!U3952="Yes",
        'Loan Tape (S&amp;P)'!T3952&lt;&gt;"Yes",
        DATEDIF('Loan Tape (S&amp;P)'!K3952, TODAY(), "M")&lt;18),
    1.10,
    1.00)</f>
        <v/>
      </c>
      <c r="O3952">
        <f>IF('Loan Tape (S&amp;P)'!T3952="Yes",
    1.35,
    1.00)</f>
        <v/>
      </c>
      <c r="P3952">
        <f>IF('Loan Tape (S&amp;P)'!S3952="Yes",
    1.15,
    1.00)</f>
        <v/>
      </c>
      <c r="Q3952">
        <f>IF('Loan Tape (S&amp;P)'!V3952="Yes",
    1.20,
    1.00)</f>
        <v/>
      </c>
      <c r="T3952">
        <f>LET(
    payment_method,'Loan Tape (S&amp;P)'!P3952,
    occupancy,'Loan Tape (S&amp;P)'!N3952,
    maturity_date,'Loan Tape (S&amp;P)'!L3952,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53">
      <c r="J3953">
        <f>LET(
    lien,'Loan Tape (S&amp;P)'!Q3953,
    IF(lien="First",1.00,
        IF(lien="Second",1.50,
            1.70)))</f>
        <v/>
      </c>
      <c r="K3953">
        <f>LET(
    purpose,'Loan Tape (S&amp;P)'!R3953,
    IF(purpose="Purchase",1.00,
        IF(purpose="Remortgage",1.00,
            1.20)))</f>
        <v/>
      </c>
      <c r="L3953">
        <f>LET(
    arrears_months,'Loan Tape (S&amp;P)'!AN3953,
    IF(arrears_months=0,1.00,
    IF(arrears_months=1,3.00,
    IF(arrears_months=2,5.00,
    IF(arrears_months=3,8.00,
    IF(arrears_months=4,10.00,
    IF(arrears_months=5,12.00,15.00)))))))</f>
        <v/>
      </c>
      <c r="M3953">
        <f>LET(
    seasoning_years,DATEDIF('Loan Tape (S&amp;P)'!K3953,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53">
        <f>IF(AND('Loan Tape (S&amp;P)'!U3953="Yes",
        'Loan Tape (S&amp;P)'!T3953&lt;&gt;"Yes",
        DATEDIF('Loan Tape (S&amp;P)'!K3953, TODAY(), "M")&lt;18),
    1.10,
    1.00)</f>
        <v/>
      </c>
      <c r="O3953">
        <f>IF('Loan Tape (S&amp;P)'!T3953="Yes",
    1.35,
    1.00)</f>
        <v/>
      </c>
      <c r="P3953">
        <f>IF('Loan Tape (S&amp;P)'!S3953="Yes",
    1.15,
    1.00)</f>
        <v/>
      </c>
      <c r="Q3953">
        <f>IF('Loan Tape (S&amp;P)'!V3953="Yes",
    1.20,
    1.00)</f>
        <v/>
      </c>
      <c r="T3953">
        <f>LET(
    payment_method,'Loan Tape (S&amp;P)'!P3953,
    occupancy,'Loan Tape (S&amp;P)'!N3953,
    maturity_date,'Loan Tape (S&amp;P)'!L3953,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54">
      <c r="J3954">
        <f>LET(
    lien,'Loan Tape (S&amp;P)'!Q3954,
    IF(lien="First",1.00,
        IF(lien="Second",1.50,
            1.70)))</f>
        <v/>
      </c>
      <c r="K3954">
        <f>LET(
    purpose,'Loan Tape (S&amp;P)'!R3954,
    IF(purpose="Purchase",1.00,
        IF(purpose="Remortgage",1.00,
            1.20)))</f>
        <v/>
      </c>
      <c r="L3954">
        <f>LET(
    arrears_months,'Loan Tape (S&amp;P)'!AN3954,
    IF(arrears_months=0,1.00,
    IF(arrears_months=1,3.00,
    IF(arrears_months=2,5.00,
    IF(arrears_months=3,8.00,
    IF(arrears_months=4,10.00,
    IF(arrears_months=5,12.00,15.00)))))))</f>
        <v/>
      </c>
      <c r="M3954">
        <f>LET(
    seasoning_years,DATEDIF('Loan Tape (S&amp;P)'!K3954,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54">
        <f>IF(AND('Loan Tape (S&amp;P)'!U3954="Yes",
        'Loan Tape (S&amp;P)'!T3954&lt;&gt;"Yes",
        DATEDIF('Loan Tape (S&amp;P)'!K3954, TODAY(), "M")&lt;18),
    1.10,
    1.00)</f>
        <v/>
      </c>
      <c r="O3954">
        <f>IF('Loan Tape (S&amp;P)'!T3954="Yes",
    1.35,
    1.00)</f>
        <v/>
      </c>
      <c r="P3954">
        <f>IF('Loan Tape (S&amp;P)'!S3954="Yes",
    1.15,
    1.00)</f>
        <v/>
      </c>
      <c r="Q3954">
        <f>IF('Loan Tape (S&amp;P)'!V3954="Yes",
    1.20,
    1.00)</f>
        <v/>
      </c>
      <c r="T3954">
        <f>LET(
    payment_method,'Loan Tape (S&amp;P)'!P3954,
    occupancy,'Loan Tape (S&amp;P)'!N3954,
    maturity_date,'Loan Tape (S&amp;P)'!L3954,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55">
      <c r="J3955">
        <f>LET(
    lien,'Loan Tape (S&amp;P)'!Q3955,
    IF(lien="First",1.00,
        IF(lien="Second",1.50,
            1.70)))</f>
        <v/>
      </c>
      <c r="K3955">
        <f>LET(
    purpose,'Loan Tape (S&amp;P)'!R3955,
    IF(purpose="Purchase",1.00,
        IF(purpose="Remortgage",1.00,
            1.20)))</f>
        <v/>
      </c>
      <c r="L3955">
        <f>LET(
    arrears_months,'Loan Tape (S&amp;P)'!AN3955,
    IF(arrears_months=0,1.00,
    IF(arrears_months=1,3.00,
    IF(arrears_months=2,5.00,
    IF(arrears_months=3,8.00,
    IF(arrears_months=4,10.00,
    IF(arrears_months=5,12.00,15.00)))))))</f>
        <v/>
      </c>
      <c r="M3955">
        <f>LET(
    seasoning_years,DATEDIF('Loan Tape (S&amp;P)'!K3955,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55">
        <f>IF(AND('Loan Tape (S&amp;P)'!U3955="Yes",
        'Loan Tape (S&amp;P)'!T3955&lt;&gt;"Yes",
        DATEDIF('Loan Tape (S&amp;P)'!K3955, TODAY(), "M")&lt;18),
    1.10,
    1.00)</f>
        <v/>
      </c>
      <c r="O3955">
        <f>IF('Loan Tape (S&amp;P)'!T3955="Yes",
    1.35,
    1.00)</f>
        <v/>
      </c>
      <c r="P3955">
        <f>IF('Loan Tape (S&amp;P)'!S3955="Yes",
    1.15,
    1.00)</f>
        <v/>
      </c>
      <c r="Q3955">
        <f>IF('Loan Tape (S&amp;P)'!V3955="Yes",
    1.20,
    1.00)</f>
        <v/>
      </c>
      <c r="T3955">
        <f>LET(
    payment_method,'Loan Tape (S&amp;P)'!P3955,
    occupancy,'Loan Tape (S&amp;P)'!N3955,
    maturity_date,'Loan Tape (S&amp;P)'!L3955,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56">
      <c r="J3956">
        <f>LET(
    lien,'Loan Tape (S&amp;P)'!Q3956,
    IF(lien="First",1.00,
        IF(lien="Second",1.50,
            1.70)))</f>
        <v/>
      </c>
      <c r="K3956">
        <f>LET(
    purpose,'Loan Tape (S&amp;P)'!R3956,
    IF(purpose="Purchase",1.00,
        IF(purpose="Remortgage",1.00,
            1.20)))</f>
        <v/>
      </c>
      <c r="L3956">
        <f>LET(
    arrears_months,'Loan Tape (S&amp;P)'!AN3956,
    IF(arrears_months=0,1.00,
    IF(arrears_months=1,3.00,
    IF(arrears_months=2,5.00,
    IF(arrears_months=3,8.00,
    IF(arrears_months=4,10.00,
    IF(arrears_months=5,12.00,15.00)))))))</f>
        <v/>
      </c>
      <c r="M3956">
        <f>LET(
    seasoning_years,DATEDIF('Loan Tape (S&amp;P)'!K3956,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56">
        <f>IF(AND('Loan Tape (S&amp;P)'!U3956="Yes",
        'Loan Tape (S&amp;P)'!T3956&lt;&gt;"Yes",
        DATEDIF('Loan Tape (S&amp;P)'!K3956, TODAY(), "M")&lt;18),
    1.10,
    1.00)</f>
        <v/>
      </c>
      <c r="O3956">
        <f>IF('Loan Tape (S&amp;P)'!T3956="Yes",
    1.35,
    1.00)</f>
        <v/>
      </c>
      <c r="P3956">
        <f>IF('Loan Tape (S&amp;P)'!S3956="Yes",
    1.15,
    1.00)</f>
        <v/>
      </c>
      <c r="Q3956">
        <f>IF('Loan Tape (S&amp;P)'!V3956="Yes",
    1.20,
    1.00)</f>
        <v/>
      </c>
      <c r="T3956">
        <f>LET(
    payment_method,'Loan Tape (S&amp;P)'!P3956,
    occupancy,'Loan Tape (S&amp;P)'!N3956,
    maturity_date,'Loan Tape (S&amp;P)'!L3956,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57">
      <c r="J3957">
        <f>LET(
    lien,'Loan Tape (S&amp;P)'!Q3957,
    IF(lien="First",1.00,
        IF(lien="Second",1.50,
            1.70)))</f>
        <v/>
      </c>
      <c r="K3957">
        <f>LET(
    purpose,'Loan Tape (S&amp;P)'!R3957,
    IF(purpose="Purchase",1.00,
        IF(purpose="Remortgage",1.00,
            1.20)))</f>
        <v/>
      </c>
      <c r="L3957">
        <f>LET(
    arrears_months,'Loan Tape (S&amp;P)'!AN3957,
    IF(arrears_months=0,1.00,
    IF(arrears_months=1,3.00,
    IF(arrears_months=2,5.00,
    IF(arrears_months=3,8.00,
    IF(arrears_months=4,10.00,
    IF(arrears_months=5,12.00,15.00)))))))</f>
        <v/>
      </c>
      <c r="M3957">
        <f>LET(
    seasoning_years,DATEDIF('Loan Tape (S&amp;P)'!K3957,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57">
        <f>IF(AND('Loan Tape (S&amp;P)'!U3957="Yes",
        'Loan Tape (S&amp;P)'!T3957&lt;&gt;"Yes",
        DATEDIF('Loan Tape (S&amp;P)'!K3957, TODAY(), "M")&lt;18),
    1.10,
    1.00)</f>
        <v/>
      </c>
      <c r="O3957">
        <f>IF('Loan Tape (S&amp;P)'!T3957="Yes",
    1.35,
    1.00)</f>
        <v/>
      </c>
      <c r="P3957">
        <f>IF('Loan Tape (S&amp;P)'!S3957="Yes",
    1.15,
    1.00)</f>
        <v/>
      </c>
      <c r="Q3957">
        <f>IF('Loan Tape (S&amp;P)'!V3957="Yes",
    1.20,
    1.00)</f>
        <v/>
      </c>
      <c r="T3957">
        <f>LET(
    payment_method,'Loan Tape (S&amp;P)'!P3957,
    occupancy,'Loan Tape (S&amp;P)'!N3957,
    maturity_date,'Loan Tape (S&amp;P)'!L3957,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58">
      <c r="J3958">
        <f>LET(
    lien,'Loan Tape (S&amp;P)'!Q3958,
    IF(lien="First",1.00,
        IF(lien="Second",1.50,
            1.70)))</f>
        <v/>
      </c>
      <c r="K3958">
        <f>LET(
    purpose,'Loan Tape (S&amp;P)'!R3958,
    IF(purpose="Purchase",1.00,
        IF(purpose="Remortgage",1.00,
            1.20)))</f>
        <v/>
      </c>
      <c r="L3958">
        <f>LET(
    arrears_months,'Loan Tape (S&amp;P)'!AN3958,
    IF(arrears_months=0,1.00,
    IF(arrears_months=1,3.00,
    IF(arrears_months=2,5.00,
    IF(arrears_months=3,8.00,
    IF(arrears_months=4,10.00,
    IF(arrears_months=5,12.00,15.00)))))))</f>
        <v/>
      </c>
      <c r="M3958">
        <f>LET(
    seasoning_years,DATEDIF('Loan Tape (S&amp;P)'!K3958,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58">
        <f>IF(AND('Loan Tape (S&amp;P)'!U3958="Yes",
        'Loan Tape (S&amp;P)'!T3958&lt;&gt;"Yes",
        DATEDIF('Loan Tape (S&amp;P)'!K3958, TODAY(), "M")&lt;18),
    1.10,
    1.00)</f>
        <v/>
      </c>
      <c r="O3958">
        <f>IF('Loan Tape (S&amp;P)'!T3958="Yes",
    1.35,
    1.00)</f>
        <v/>
      </c>
      <c r="P3958">
        <f>IF('Loan Tape (S&amp;P)'!S3958="Yes",
    1.15,
    1.00)</f>
        <v/>
      </c>
      <c r="Q3958">
        <f>IF('Loan Tape (S&amp;P)'!V3958="Yes",
    1.20,
    1.00)</f>
        <v/>
      </c>
      <c r="T3958">
        <f>LET(
    payment_method,'Loan Tape (S&amp;P)'!P3958,
    occupancy,'Loan Tape (S&amp;P)'!N3958,
    maturity_date,'Loan Tape (S&amp;P)'!L3958,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59">
      <c r="J3959">
        <f>LET(
    lien,'Loan Tape (S&amp;P)'!Q3959,
    IF(lien="First",1.00,
        IF(lien="Second",1.50,
            1.70)))</f>
        <v/>
      </c>
      <c r="K3959">
        <f>LET(
    purpose,'Loan Tape (S&amp;P)'!R3959,
    IF(purpose="Purchase",1.00,
        IF(purpose="Remortgage",1.00,
            1.20)))</f>
        <v/>
      </c>
      <c r="L3959">
        <f>LET(
    arrears_months,'Loan Tape (S&amp;P)'!AN3959,
    IF(arrears_months=0,1.00,
    IF(arrears_months=1,3.00,
    IF(arrears_months=2,5.00,
    IF(arrears_months=3,8.00,
    IF(arrears_months=4,10.00,
    IF(arrears_months=5,12.00,15.00)))))))</f>
        <v/>
      </c>
      <c r="M3959">
        <f>LET(
    seasoning_years,DATEDIF('Loan Tape (S&amp;P)'!K3959,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59">
        <f>IF(AND('Loan Tape (S&amp;P)'!U3959="Yes",
        'Loan Tape (S&amp;P)'!T3959&lt;&gt;"Yes",
        DATEDIF('Loan Tape (S&amp;P)'!K3959, TODAY(), "M")&lt;18),
    1.10,
    1.00)</f>
        <v/>
      </c>
      <c r="O3959">
        <f>IF('Loan Tape (S&amp;P)'!T3959="Yes",
    1.35,
    1.00)</f>
        <v/>
      </c>
      <c r="P3959">
        <f>IF('Loan Tape (S&amp;P)'!S3959="Yes",
    1.15,
    1.00)</f>
        <v/>
      </c>
      <c r="Q3959">
        <f>IF('Loan Tape (S&amp;P)'!V3959="Yes",
    1.20,
    1.00)</f>
        <v/>
      </c>
      <c r="T3959">
        <f>LET(
    payment_method,'Loan Tape (S&amp;P)'!P3959,
    occupancy,'Loan Tape (S&amp;P)'!N3959,
    maturity_date,'Loan Tape (S&amp;P)'!L3959,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60">
      <c r="J3960">
        <f>LET(
    lien,'Loan Tape (S&amp;P)'!Q3960,
    IF(lien="First",1.00,
        IF(lien="Second",1.50,
            1.70)))</f>
        <v/>
      </c>
      <c r="K3960">
        <f>LET(
    purpose,'Loan Tape (S&amp;P)'!R3960,
    IF(purpose="Purchase",1.00,
        IF(purpose="Remortgage",1.00,
            1.20)))</f>
        <v/>
      </c>
      <c r="L3960">
        <f>LET(
    arrears_months,'Loan Tape (S&amp;P)'!AN3960,
    IF(arrears_months=0,1.00,
    IF(arrears_months=1,3.00,
    IF(arrears_months=2,5.00,
    IF(arrears_months=3,8.00,
    IF(arrears_months=4,10.00,
    IF(arrears_months=5,12.00,15.00)))))))</f>
        <v/>
      </c>
      <c r="M3960">
        <f>LET(
    seasoning_years,DATEDIF('Loan Tape (S&amp;P)'!K3960,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60">
        <f>IF(AND('Loan Tape (S&amp;P)'!U3960="Yes",
        'Loan Tape (S&amp;P)'!T3960&lt;&gt;"Yes",
        DATEDIF('Loan Tape (S&amp;P)'!K3960, TODAY(), "M")&lt;18),
    1.10,
    1.00)</f>
        <v/>
      </c>
      <c r="O3960">
        <f>IF('Loan Tape (S&amp;P)'!T3960="Yes",
    1.35,
    1.00)</f>
        <v/>
      </c>
      <c r="P3960">
        <f>IF('Loan Tape (S&amp;P)'!S3960="Yes",
    1.15,
    1.00)</f>
        <v/>
      </c>
      <c r="Q3960">
        <f>IF('Loan Tape (S&amp;P)'!V3960="Yes",
    1.20,
    1.00)</f>
        <v/>
      </c>
      <c r="T3960">
        <f>LET(
    payment_method,'Loan Tape (S&amp;P)'!P3960,
    occupancy,'Loan Tape (S&amp;P)'!N3960,
    maturity_date,'Loan Tape (S&amp;P)'!L3960,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61">
      <c r="J3961">
        <f>LET(
    lien,'Loan Tape (S&amp;P)'!Q3961,
    IF(lien="First",1.00,
        IF(lien="Second",1.50,
            1.70)))</f>
        <v/>
      </c>
      <c r="K3961">
        <f>LET(
    purpose,'Loan Tape (S&amp;P)'!R3961,
    IF(purpose="Purchase",1.00,
        IF(purpose="Remortgage",1.00,
            1.20)))</f>
        <v/>
      </c>
      <c r="L3961">
        <f>LET(
    arrears_months,'Loan Tape (S&amp;P)'!AN3961,
    IF(arrears_months=0,1.00,
    IF(arrears_months=1,3.00,
    IF(arrears_months=2,5.00,
    IF(arrears_months=3,8.00,
    IF(arrears_months=4,10.00,
    IF(arrears_months=5,12.00,15.00)))))))</f>
        <v/>
      </c>
      <c r="M3961">
        <f>LET(
    seasoning_years,DATEDIF('Loan Tape (S&amp;P)'!K3961,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61">
        <f>IF(AND('Loan Tape (S&amp;P)'!U3961="Yes",
        'Loan Tape (S&amp;P)'!T3961&lt;&gt;"Yes",
        DATEDIF('Loan Tape (S&amp;P)'!K3961, TODAY(), "M")&lt;18),
    1.10,
    1.00)</f>
        <v/>
      </c>
      <c r="O3961">
        <f>IF('Loan Tape (S&amp;P)'!T3961="Yes",
    1.35,
    1.00)</f>
        <v/>
      </c>
      <c r="P3961">
        <f>IF('Loan Tape (S&amp;P)'!S3961="Yes",
    1.15,
    1.00)</f>
        <v/>
      </c>
      <c r="Q3961">
        <f>IF('Loan Tape (S&amp;P)'!V3961="Yes",
    1.20,
    1.00)</f>
        <v/>
      </c>
      <c r="T3961">
        <f>LET(
    payment_method,'Loan Tape (S&amp;P)'!P3961,
    occupancy,'Loan Tape (S&amp;P)'!N3961,
    maturity_date,'Loan Tape (S&amp;P)'!L3961,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62">
      <c r="J3962">
        <f>LET(
    lien,'Loan Tape (S&amp;P)'!Q3962,
    IF(lien="First",1.00,
        IF(lien="Second",1.50,
            1.70)))</f>
        <v/>
      </c>
      <c r="K3962">
        <f>LET(
    purpose,'Loan Tape (S&amp;P)'!R3962,
    IF(purpose="Purchase",1.00,
        IF(purpose="Remortgage",1.00,
            1.20)))</f>
        <v/>
      </c>
      <c r="L3962">
        <f>LET(
    arrears_months,'Loan Tape (S&amp;P)'!AN3962,
    IF(arrears_months=0,1.00,
    IF(arrears_months=1,3.00,
    IF(arrears_months=2,5.00,
    IF(arrears_months=3,8.00,
    IF(arrears_months=4,10.00,
    IF(arrears_months=5,12.00,15.00)))))))</f>
        <v/>
      </c>
      <c r="M3962">
        <f>LET(
    seasoning_years,DATEDIF('Loan Tape (S&amp;P)'!K3962,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62">
        <f>IF(AND('Loan Tape (S&amp;P)'!U3962="Yes",
        'Loan Tape (S&amp;P)'!T3962&lt;&gt;"Yes",
        DATEDIF('Loan Tape (S&amp;P)'!K3962, TODAY(), "M")&lt;18),
    1.10,
    1.00)</f>
        <v/>
      </c>
      <c r="O3962">
        <f>IF('Loan Tape (S&amp;P)'!T3962="Yes",
    1.35,
    1.00)</f>
        <v/>
      </c>
      <c r="P3962">
        <f>IF('Loan Tape (S&amp;P)'!S3962="Yes",
    1.15,
    1.00)</f>
        <v/>
      </c>
      <c r="Q3962">
        <f>IF('Loan Tape (S&amp;P)'!V3962="Yes",
    1.20,
    1.00)</f>
        <v/>
      </c>
      <c r="T3962">
        <f>LET(
    payment_method,'Loan Tape (S&amp;P)'!P3962,
    occupancy,'Loan Tape (S&amp;P)'!N3962,
    maturity_date,'Loan Tape (S&amp;P)'!L3962,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63">
      <c r="J3963">
        <f>LET(
    lien,'Loan Tape (S&amp;P)'!Q3963,
    IF(lien="First",1.00,
        IF(lien="Second",1.50,
            1.70)))</f>
        <v/>
      </c>
      <c r="K3963">
        <f>LET(
    purpose,'Loan Tape (S&amp;P)'!R3963,
    IF(purpose="Purchase",1.00,
        IF(purpose="Remortgage",1.00,
            1.20)))</f>
        <v/>
      </c>
      <c r="L3963">
        <f>LET(
    arrears_months,'Loan Tape (S&amp;P)'!AN3963,
    IF(arrears_months=0,1.00,
    IF(arrears_months=1,3.00,
    IF(arrears_months=2,5.00,
    IF(arrears_months=3,8.00,
    IF(arrears_months=4,10.00,
    IF(arrears_months=5,12.00,15.00)))))))</f>
        <v/>
      </c>
      <c r="M3963">
        <f>LET(
    seasoning_years,DATEDIF('Loan Tape (S&amp;P)'!K3963,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63">
        <f>IF(AND('Loan Tape (S&amp;P)'!U3963="Yes",
        'Loan Tape (S&amp;P)'!T3963&lt;&gt;"Yes",
        DATEDIF('Loan Tape (S&amp;P)'!K3963, TODAY(), "M")&lt;18),
    1.10,
    1.00)</f>
        <v/>
      </c>
      <c r="O3963">
        <f>IF('Loan Tape (S&amp;P)'!T3963="Yes",
    1.35,
    1.00)</f>
        <v/>
      </c>
      <c r="P3963">
        <f>IF('Loan Tape (S&amp;P)'!S3963="Yes",
    1.15,
    1.00)</f>
        <v/>
      </c>
      <c r="Q3963">
        <f>IF('Loan Tape (S&amp;P)'!V3963="Yes",
    1.20,
    1.00)</f>
        <v/>
      </c>
      <c r="T3963">
        <f>LET(
    payment_method,'Loan Tape (S&amp;P)'!P3963,
    occupancy,'Loan Tape (S&amp;P)'!N3963,
    maturity_date,'Loan Tape (S&amp;P)'!L3963,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64">
      <c r="J3964">
        <f>LET(
    lien,'Loan Tape (S&amp;P)'!Q3964,
    IF(lien="First",1.00,
        IF(lien="Second",1.50,
            1.70)))</f>
        <v/>
      </c>
      <c r="K3964">
        <f>LET(
    purpose,'Loan Tape (S&amp;P)'!R3964,
    IF(purpose="Purchase",1.00,
        IF(purpose="Remortgage",1.00,
            1.20)))</f>
        <v/>
      </c>
      <c r="L3964">
        <f>LET(
    arrears_months,'Loan Tape (S&amp;P)'!AN3964,
    IF(arrears_months=0,1.00,
    IF(arrears_months=1,3.00,
    IF(arrears_months=2,5.00,
    IF(arrears_months=3,8.00,
    IF(arrears_months=4,10.00,
    IF(arrears_months=5,12.00,15.00)))))))</f>
        <v/>
      </c>
      <c r="M3964">
        <f>LET(
    seasoning_years,DATEDIF('Loan Tape (S&amp;P)'!K3964,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64">
        <f>IF(AND('Loan Tape (S&amp;P)'!U3964="Yes",
        'Loan Tape (S&amp;P)'!T3964&lt;&gt;"Yes",
        DATEDIF('Loan Tape (S&amp;P)'!K3964, TODAY(), "M")&lt;18),
    1.10,
    1.00)</f>
        <v/>
      </c>
      <c r="O3964">
        <f>IF('Loan Tape (S&amp;P)'!T3964="Yes",
    1.35,
    1.00)</f>
        <v/>
      </c>
      <c r="P3964">
        <f>IF('Loan Tape (S&amp;P)'!S3964="Yes",
    1.15,
    1.00)</f>
        <v/>
      </c>
      <c r="Q3964">
        <f>IF('Loan Tape (S&amp;P)'!V3964="Yes",
    1.20,
    1.00)</f>
        <v/>
      </c>
      <c r="T3964">
        <f>LET(
    payment_method,'Loan Tape (S&amp;P)'!P3964,
    occupancy,'Loan Tape (S&amp;P)'!N3964,
    maturity_date,'Loan Tape (S&amp;P)'!L3964,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65">
      <c r="J3965">
        <f>LET(
    lien,'Loan Tape (S&amp;P)'!Q3965,
    IF(lien="First",1.00,
        IF(lien="Second",1.50,
            1.70)))</f>
        <v/>
      </c>
      <c r="K3965">
        <f>LET(
    purpose,'Loan Tape (S&amp;P)'!R3965,
    IF(purpose="Purchase",1.00,
        IF(purpose="Remortgage",1.00,
            1.20)))</f>
        <v/>
      </c>
      <c r="L3965">
        <f>LET(
    arrears_months,'Loan Tape (S&amp;P)'!AN3965,
    IF(arrears_months=0,1.00,
    IF(arrears_months=1,3.00,
    IF(arrears_months=2,5.00,
    IF(arrears_months=3,8.00,
    IF(arrears_months=4,10.00,
    IF(arrears_months=5,12.00,15.00)))))))</f>
        <v/>
      </c>
      <c r="M3965">
        <f>LET(
    seasoning_years,DATEDIF('Loan Tape (S&amp;P)'!K3965,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65">
        <f>IF(AND('Loan Tape (S&amp;P)'!U3965="Yes",
        'Loan Tape (S&amp;P)'!T3965&lt;&gt;"Yes",
        DATEDIF('Loan Tape (S&amp;P)'!K3965, TODAY(), "M")&lt;18),
    1.10,
    1.00)</f>
        <v/>
      </c>
      <c r="O3965">
        <f>IF('Loan Tape (S&amp;P)'!T3965="Yes",
    1.35,
    1.00)</f>
        <v/>
      </c>
      <c r="P3965">
        <f>IF('Loan Tape (S&amp;P)'!S3965="Yes",
    1.15,
    1.00)</f>
        <v/>
      </c>
      <c r="Q3965">
        <f>IF('Loan Tape (S&amp;P)'!V3965="Yes",
    1.20,
    1.00)</f>
        <v/>
      </c>
      <c r="T3965">
        <f>LET(
    payment_method,'Loan Tape (S&amp;P)'!P3965,
    occupancy,'Loan Tape (S&amp;P)'!N3965,
    maturity_date,'Loan Tape (S&amp;P)'!L3965,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66">
      <c r="J3966">
        <f>LET(
    lien,'Loan Tape (S&amp;P)'!Q3966,
    IF(lien="First",1.00,
        IF(lien="Second",1.50,
            1.70)))</f>
        <v/>
      </c>
      <c r="K3966">
        <f>LET(
    purpose,'Loan Tape (S&amp;P)'!R3966,
    IF(purpose="Purchase",1.00,
        IF(purpose="Remortgage",1.00,
            1.20)))</f>
        <v/>
      </c>
      <c r="L3966">
        <f>LET(
    arrears_months,'Loan Tape (S&amp;P)'!AN3966,
    IF(arrears_months=0,1.00,
    IF(arrears_months=1,3.00,
    IF(arrears_months=2,5.00,
    IF(arrears_months=3,8.00,
    IF(arrears_months=4,10.00,
    IF(arrears_months=5,12.00,15.00)))))))</f>
        <v/>
      </c>
      <c r="M3966">
        <f>LET(
    seasoning_years,DATEDIF('Loan Tape (S&amp;P)'!K3966,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66">
        <f>IF(AND('Loan Tape (S&amp;P)'!U3966="Yes",
        'Loan Tape (S&amp;P)'!T3966&lt;&gt;"Yes",
        DATEDIF('Loan Tape (S&amp;P)'!K3966, TODAY(), "M")&lt;18),
    1.10,
    1.00)</f>
        <v/>
      </c>
      <c r="O3966">
        <f>IF('Loan Tape (S&amp;P)'!T3966="Yes",
    1.35,
    1.00)</f>
        <v/>
      </c>
      <c r="P3966">
        <f>IF('Loan Tape (S&amp;P)'!S3966="Yes",
    1.15,
    1.00)</f>
        <v/>
      </c>
      <c r="Q3966">
        <f>IF('Loan Tape (S&amp;P)'!V3966="Yes",
    1.20,
    1.00)</f>
        <v/>
      </c>
      <c r="T3966">
        <f>LET(
    payment_method,'Loan Tape (S&amp;P)'!P3966,
    occupancy,'Loan Tape (S&amp;P)'!N3966,
    maturity_date,'Loan Tape (S&amp;P)'!L3966,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67">
      <c r="J3967">
        <f>LET(
    lien,'Loan Tape (S&amp;P)'!Q3967,
    IF(lien="First",1.00,
        IF(lien="Second",1.50,
            1.70)))</f>
        <v/>
      </c>
      <c r="K3967">
        <f>LET(
    purpose,'Loan Tape (S&amp;P)'!R3967,
    IF(purpose="Purchase",1.00,
        IF(purpose="Remortgage",1.00,
            1.20)))</f>
        <v/>
      </c>
      <c r="L3967">
        <f>LET(
    arrears_months,'Loan Tape (S&amp;P)'!AN3967,
    IF(arrears_months=0,1.00,
    IF(arrears_months=1,3.00,
    IF(arrears_months=2,5.00,
    IF(arrears_months=3,8.00,
    IF(arrears_months=4,10.00,
    IF(arrears_months=5,12.00,15.00)))))))</f>
        <v/>
      </c>
      <c r="M3967">
        <f>LET(
    seasoning_years,DATEDIF('Loan Tape (S&amp;P)'!K3967,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67">
        <f>IF(AND('Loan Tape (S&amp;P)'!U3967="Yes",
        'Loan Tape (S&amp;P)'!T3967&lt;&gt;"Yes",
        DATEDIF('Loan Tape (S&amp;P)'!K3967, TODAY(), "M")&lt;18),
    1.10,
    1.00)</f>
        <v/>
      </c>
      <c r="O3967">
        <f>IF('Loan Tape (S&amp;P)'!T3967="Yes",
    1.35,
    1.00)</f>
        <v/>
      </c>
      <c r="P3967">
        <f>IF('Loan Tape (S&amp;P)'!S3967="Yes",
    1.15,
    1.00)</f>
        <v/>
      </c>
      <c r="Q3967">
        <f>IF('Loan Tape (S&amp;P)'!V3967="Yes",
    1.20,
    1.00)</f>
        <v/>
      </c>
      <c r="T3967">
        <f>LET(
    payment_method,'Loan Tape (S&amp;P)'!P3967,
    occupancy,'Loan Tape (S&amp;P)'!N3967,
    maturity_date,'Loan Tape (S&amp;P)'!L3967,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68">
      <c r="J3968">
        <f>LET(
    lien,'Loan Tape (S&amp;P)'!Q3968,
    IF(lien="First",1.00,
        IF(lien="Second",1.50,
            1.70)))</f>
        <v/>
      </c>
      <c r="K3968">
        <f>LET(
    purpose,'Loan Tape (S&amp;P)'!R3968,
    IF(purpose="Purchase",1.00,
        IF(purpose="Remortgage",1.00,
            1.20)))</f>
        <v/>
      </c>
      <c r="L3968">
        <f>LET(
    arrears_months,'Loan Tape (S&amp;P)'!AN3968,
    IF(arrears_months=0,1.00,
    IF(arrears_months=1,3.00,
    IF(arrears_months=2,5.00,
    IF(arrears_months=3,8.00,
    IF(arrears_months=4,10.00,
    IF(arrears_months=5,12.00,15.00)))))))</f>
        <v/>
      </c>
      <c r="M3968">
        <f>LET(
    seasoning_years,DATEDIF('Loan Tape (S&amp;P)'!K3968,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68">
        <f>IF(AND('Loan Tape (S&amp;P)'!U3968="Yes",
        'Loan Tape (S&amp;P)'!T3968&lt;&gt;"Yes",
        DATEDIF('Loan Tape (S&amp;P)'!K3968, TODAY(), "M")&lt;18),
    1.10,
    1.00)</f>
        <v/>
      </c>
      <c r="O3968">
        <f>IF('Loan Tape (S&amp;P)'!T3968="Yes",
    1.35,
    1.00)</f>
        <v/>
      </c>
      <c r="P3968">
        <f>IF('Loan Tape (S&amp;P)'!S3968="Yes",
    1.15,
    1.00)</f>
        <v/>
      </c>
      <c r="Q3968">
        <f>IF('Loan Tape (S&amp;P)'!V3968="Yes",
    1.20,
    1.00)</f>
        <v/>
      </c>
      <c r="T3968">
        <f>LET(
    payment_method,'Loan Tape (S&amp;P)'!P3968,
    occupancy,'Loan Tape (S&amp;P)'!N3968,
    maturity_date,'Loan Tape (S&amp;P)'!L3968,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69">
      <c r="J3969">
        <f>LET(
    lien,'Loan Tape (S&amp;P)'!Q3969,
    IF(lien="First",1.00,
        IF(lien="Second",1.50,
            1.70)))</f>
        <v/>
      </c>
      <c r="K3969">
        <f>LET(
    purpose,'Loan Tape (S&amp;P)'!R3969,
    IF(purpose="Purchase",1.00,
        IF(purpose="Remortgage",1.00,
            1.20)))</f>
        <v/>
      </c>
      <c r="L3969">
        <f>LET(
    arrears_months,'Loan Tape (S&amp;P)'!AN3969,
    IF(arrears_months=0,1.00,
    IF(arrears_months=1,3.00,
    IF(arrears_months=2,5.00,
    IF(arrears_months=3,8.00,
    IF(arrears_months=4,10.00,
    IF(arrears_months=5,12.00,15.00)))))))</f>
        <v/>
      </c>
      <c r="M3969">
        <f>LET(
    seasoning_years,DATEDIF('Loan Tape (S&amp;P)'!K3969,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69">
        <f>IF(AND('Loan Tape (S&amp;P)'!U3969="Yes",
        'Loan Tape (S&amp;P)'!T3969&lt;&gt;"Yes",
        DATEDIF('Loan Tape (S&amp;P)'!K3969, TODAY(), "M")&lt;18),
    1.10,
    1.00)</f>
        <v/>
      </c>
      <c r="O3969">
        <f>IF('Loan Tape (S&amp;P)'!T3969="Yes",
    1.35,
    1.00)</f>
        <v/>
      </c>
      <c r="P3969">
        <f>IF('Loan Tape (S&amp;P)'!S3969="Yes",
    1.15,
    1.00)</f>
        <v/>
      </c>
      <c r="Q3969">
        <f>IF('Loan Tape (S&amp;P)'!V3969="Yes",
    1.20,
    1.00)</f>
        <v/>
      </c>
      <c r="T3969">
        <f>LET(
    payment_method,'Loan Tape (S&amp;P)'!P3969,
    occupancy,'Loan Tape (S&amp;P)'!N3969,
    maturity_date,'Loan Tape (S&amp;P)'!L3969,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70">
      <c r="J3970">
        <f>LET(
    lien,'Loan Tape (S&amp;P)'!Q3970,
    IF(lien="First",1.00,
        IF(lien="Second",1.50,
            1.70)))</f>
        <v/>
      </c>
      <c r="K3970">
        <f>LET(
    purpose,'Loan Tape (S&amp;P)'!R3970,
    IF(purpose="Purchase",1.00,
        IF(purpose="Remortgage",1.00,
            1.20)))</f>
        <v/>
      </c>
      <c r="L3970">
        <f>LET(
    arrears_months,'Loan Tape (S&amp;P)'!AN3970,
    IF(arrears_months=0,1.00,
    IF(arrears_months=1,3.00,
    IF(arrears_months=2,5.00,
    IF(arrears_months=3,8.00,
    IF(arrears_months=4,10.00,
    IF(arrears_months=5,12.00,15.00)))))))</f>
        <v/>
      </c>
      <c r="M3970">
        <f>LET(
    seasoning_years,DATEDIF('Loan Tape (S&amp;P)'!K3970,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70">
        <f>IF(AND('Loan Tape (S&amp;P)'!U3970="Yes",
        'Loan Tape (S&amp;P)'!T3970&lt;&gt;"Yes",
        DATEDIF('Loan Tape (S&amp;P)'!K3970, TODAY(), "M")&lt;18),
    1.10,
    1.00)</f>
        <v/>
      </c>
      <c r="O3970">
        <f>IF('Loan Tape (S&amp;P)'!T3970="Yes",
    1.35,
    1.00)</f>
        <v/>
      </c>
      <c r="P3970">
        <f>IF('Loan Tape (S&amp;P)'!S3970="Yes",
    1.15,
    1.00)</f>
        <v/>
      </c>
      <c r="Q3970">
        <f>IF('Loan Tape (S&amp;P)'!V3970="Yes",
    1.20,
    1.00)</f>
        <v/>
      </c>
      <c r="T3970">
        <f>LET(
    payment_method,'Loan Tape (S&amp;P)'!P3970,
    occupancy,'Loan Tape (S&amp;P)'!N3970,
    maturity_date,'Loan Tape (S&amp;P)'!L3970,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71">
      <c r="J3971">
        <f>LET(
    lien,'Loan Tape (S&amp;P)'!Q3971,
    IF(lien="First",1.00,
        IF(lien="Second",1.50,
            1.70)))</f>
        <v/>
      </c>
      <c r="K3971">
        <f>LET(
    purpose,'Loan Tape (S&amp;P)'!R3971,
    IF(purpose="Purchase",1.00,
        IF(purpose="Remortgage",1.00,
            1.20)))</f>
        <v/>
      </c>
      <c r="L3971">
        <f>LET(
    arrears_months,'Loan Tape (S&amp;P)'!AN3971,
    IF(arrears_months=0,1.00,
    IF(arrears_months=1,3.00,
    IF(arrears_months=2,5.00,
    IF(arrears_months=3,8.00,
    IF(arrears_months=4,10.00,
    IF(arrears_months=5,12.00,15.00)))))))</f>
        <v/>
      </c>
      <c r="M3971">
        <f>LET(
    seasoning_years,DATEDIF('Loan Tape (S&amp;P)'!K3971,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71">
        <f>IF(AND('Loan Tape (S&amp;P)'!U3971="Yes",
        'Loan Tape (S&amp;P)'!T3971&lt;&gt;"Yes",
        DATEDIF('Loan Tape (S&amp;P)'!K3971, TODAY(), "M")&lt;18),
    1.10,
    1.00)</f>
        <v/>
      </c>
      <c r="O3971">
        <f>IF('Loan Tape (S&amp;P)'!T3971="Yes",
    1.35,
    1.00)</f>
        <v/>
      </c>
      <c r="P3971">
        <f>IF('Loan Tape (S&amp;P)'!S3971="Yes",
    1.15,
    1.00)</f>
        <v/>
      </c>
      <c r="Q3971">
        <f>IF('Loan Tape (S&amp;P)'!V3971="Yes",
    1.20,
    1.00)</f>
        <v/>
      </c>
      <c r="T3971">
        <f>LET(
    payment_method,'Loan Tape (S&amp;P)'!P3971,
    occupancy,'Loan Tape (S&amp;P)'!N3971,
    maturity_date,'Loan Tape (S&amp;P)'!L3971,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72">
      <c r="J3972">
        <f>LET(
    lien,'Loan Tape (S&amp;P)'!Q3972,
    IF(lien="First",1.00,
        IF(lien="Second",1.50,
            1.70)))</f>
        <v/>
      </c>
      <c r="K3972">
        <f>LET(
    purpose,'Loan Tape (S&amp;P)'!R3972,
    IF(purpose="Purchase",1.00,
        IF(purpose="Remortgage",1.00,
            1.20)))</f>
        <v/>
      </c>
      <c r="L3972">
        <f>LET(
    arrears_months,'Loan Tape (S&amp;P)'!AN3972,
    IF(arrears_months=0,1.00,
    IF(arrears_months=1,3.00,
    IF(arrears_months=2,5.00,
    IF(arrears_months=3,8.00,
    IF(arrears_months=4,10.00,
    IF(arrears_months=5,12.00,15.00)))))))</f>
        <v/>
      </c>
      <c r="M3972">
        <f>LET(
    seasoning_years,DATEDIF('Loan Tape (S&amp;P)'!K3972,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72">
        <f>IF(AND('Loan Tape (S&amp;P)'!U3972="Yes",
        'Loan Tape (S&amp;P)'!T3972&lt;&gt;"Yes",
        DATEDIF('Loan Tape (S&amp;P)'!K3972, TODAY(), "M")&lt;18),
    1.10,
    1.00)</f>
        <v/>
      </c>
      <c r="O3972">
        <f>IF('Loan Tape (S&amp;P)'!T3972="Yes",
    1.35,
    1.00)</f>
        <v/>
      </c>
      <c r="P3972">
        <f>IF('Loan Tape (S&amp;P)'!S3972="Yes",
    1.15,
    1.00)</f>
        <v/>
      </c>
      <c r="Q3972">
        <f>IF('Loan Tape (S&amp;P)'!V3972="Yes",
    1.20,
    1.00)</f>
        <v/>
      </c>
      <c r="T3972">
        <f>LET(
    payment_method,'Loan Tape (S&amp;P)'!P3972,
    occupancy,'Loan Tape (S&amp;P)'!N3972,
    maturity_date,'Loan Tape (S&amp;P)'!L3972,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73">
      <c r="J3973">
        <f>LET(
    lien,'Loan Tape (S&amp;P)'!Q3973,
    IF(lien="First",1.00,
        IF(lien="Second",1.50,
            1.70)))</f>
        <v/>
      </c>
      <c r="K3973">
        <f>LET(
    purpose,'Loan Tape (S&amp;P)'!R3973,
    IF(purpose="Purchase",1.00,
        IF(purpose="Remortgage",1.00,
            1.20)))</f>
        <v/>
      </c>
      <c r="L3973">
        <f>LET(
    arrears_months,'Loan Tape (S&amp;P)'!AN3973,
    IF(arrears_months=0,1.00,
    IF(arrears_months=1,3.00,
    IF(arrears_months=2,5.00,
    IF(arrears_months=3,8.00,
    IF(arrears_months=4,10.00,
    IF(arrears_months=5,12.00,15.00)))))))</f>
        <v/>
      </c>
      <c r="M3973">
        <f>LET(
    seasoning_years,DATEDIF('Loan Tape (S&amp;P)'!K3973,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73">
        <f>IF(AND('Loan Tape (S&amp;P)'!U3973="Yes",
        'Loan Tape (S&amp;P)'!T3973&lt;&gt;"Yes",
        DATEDIF('Loan Tape (S&amp;P)'!K3973, TODAY(), "M")&lt;18),
    1.10,
    1.00)</f>
        <v/>
      </c>
      <c r="O3973">
        <f>IF('Loan Tape (S&amp;P)'!T3973="Yes",
    1.35,
    1.00)</f>
        <v/>
      </c>
      <c r="P3973">
        <f>IF('Loan Tape (S&amp;P)'!S3973="Yes",
    1.15,
    1.00)</f>
        <v/>
      </c>
      <c r="Q3973">
        <f>IF('Loan Tape (S&amp;P)'!V3973="Yes",
    1.20,
    1.00)</f>
        <v/>
      </c>
      <c r="T3973">
        <f>LET(
    payment_method,'Loan Tape (S&amp;P)'!P3973,
    occupancy,'Loan Tape (S&amp;P)'!N3973,
    maturity_date,'Loan Tape (S&amp;P)'!L3973,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74">
      <c r="J3974">
        <f>LET(
    lien,'Loan Tape (S&amp;P)'!Q3974,
    IF(lien="First",1.00,
        IF(lien="Second",1.50,
            1.70)))</f>
        <v/>
      </c>
      <c r="K3974">
        <f>LET(
    purpose,'Loan Tape (S&amp;P)'!R3974,
    IF(purpose="Purchase",1.00,
        IF(purpose="Remortgage",1.00,
            1.20)))</f>
        <v/>
      </c>
      <c r="L3974">
        <f>LET(
    arrears_months,'Loan Tape (S&amp;P)'!AN3974,
    IF(arrears_months=0,1.00,
    IF(arrears_months=1,3.00,
    IF(arrears_months=2,5.00,
    IF(arrears_months=3,8.00,
    IF(arrears_months=4,10.00,
    IF(arrears_months=5,12.00,15.00)))))))</f>
        <v/>
      </c>
      <c r="M3974">
        <f>LET(
    seasoning_years,DATEDIF('Loan Tape (S&amp;P)'!K3974,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74">
        <f>IF(AND('Loan Tape (S&amp;P)'!U3974="Yes",
        'Loan Tape (S&amp;P)'!T3974&lt;&gt;"Yes",
        DATEDIF('Loan Tape (S&amp;P)'!K3974, TODAY(), "M")&lt;18),
    1.10,
    1.00)</f>
        <v/>
      </c>
      <c r="O3974">
        <f>IF('Loan Tape (S&amp;P)'!T3974="Yes",
    1.35,
    1.00)</f>
        <v/>
      </c>
      <c r="P3974">
        <f>IF('Loan Tape (S&amp;P)'!S3974="Yes",
    1.15,
    1.00)</f>
        <v/>
      </c>
      <c r="Q3974">
        <f>IF('Loan Tape (S&amp;P)'!V3974="Yes",
    1.20,
    1.00)</f>
        <v/>
      </c>
      <c r="T3974">
        <f>LET(
    payment_method,'Loan Tape (S&amp;P)'!P3974,
    occupancy,'Loan Tape (S&amp;P)'!N3974,
    maturity_date,'Loan Tape (S&amp;P)'!L3974,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75">
      <c r="J3975">
        <f>LET(
    lien,'Loan Tape (S&amp;P)'!Q3975,
    IF(lien="First",1.00,
        IF(lien="Second",1.50,
            1.70)))</f>
        <v/>
      </c>
      <c r="K3975">
        <f>LET(
    purpose,'Loan Tape (S&amp;P)'!R3975,
    IF(purpose="Purchase",1.00,
        IF(purpose="Remortgage",1.00,
            1.20)))</f>
        <v/>
      </c>
      <c r="L3975">
        <f>LET(
    arrears_months,'Loan Tape (S&amp;P)'!AN3975,
    IF(arrears_months=0,1.00,
    IF(arrears_months=1,3.00,
    IF(arrears_months=2,5.00,
    IF(arrears_months=3,8.00,
    IF(arrears_months=4,10.00,
    IF(arrears_months=5,12.00,15.00)))))))</f>
        <v/>
      </c>
      <c r="M3975">
        <f>LET(
    seasoning_years,DATEDIF('Loan Tape (S&amp;P)'!K3975,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75">
        <f>IF(AND('Loan Tape (S&amp;P)'!U3975="Yes",
        'Loan Tape (S&amp;P)'!T3975&lt;&gt;"Yes",
        DATEDIF('Loan Tape (S&amp;P)'!K3975, TODAY(), "M")&lt;18),
    1.10,
    1.00)</f>
        <v/>
      </c>
      <c r="O3975">
        <f>IF('Loan Tape (S&amp;P)'!T3975="Yes",
    1.35,
    1.00)</f>
        <v/>
      </c>
      <c r="P3975">
        <f>IF('Loan Tape (S&amp;P)'!S3975="Yes",
    1.15,
    1.00)</f>
        <v/>
      </c>
      <c r="Q3975">
        <f>IF('Loan Tape (S&amp;P)'!V3975="Yes",
    1.20,
    1.00)</f>
        <v/>
      </c>
      <c r="T3975">
        <f>LET(
    payment_method,'Loan Tape (S&amp;P)'!P3975,
    occupancy,'Loan Tape (S&amp;P)'!N3975,
    maturity_date,'Loan Tape (S&amp;P)'!L3975,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76">
      <c r="J3976">
        <f>LET(
    lien,'Loan Tape (S&amp;P)'!Q3976,
    IF(lien="First",1.00,
        IF(lien="Second",1.50,
            1.70)))</f>
        <v/>
      </c>
      <c r="K3976">
        <f>LET(
    purpose,'Loan Tape (S&amp;P)'!R3976,
    IF(purpose="Purchase",1.00,
        IF(purpose="Remortgage",1.00,
            1.20)))</f>
        <v/>
      </c>
      <c r="L3976">
        <f>LET(
    arrears_months,'Loan Tape (S&amp;P)'!AN3976,
    IF(arrears_months=0,1.00,
    IF(arrears_months=1,3.00,
    IF(arrears_months=2,5.00,
    IF(arrears_months=3,8.00,
    IF(arrears_months=4,10.00,
    IF(arrears_months=5,12.00,15.00)))))))</f>
        <v/>
      </c>
      <c r="M3976">
        <f>LET(
    seasoning_years,DATEDIF('Loan Tape (S&amp;P)'!K3976,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76">
        <f>IF(AND('Loan Tape (S&amp;P)'!U3976="Yes",
        'Loan Tape (S&amp;P)'!T3976&lt;&gt;"Yes",
        DATEDIF('Loan Tape (S&amp;P)'!K3976, TODAY(), "M")&lt;18),
    1.10,
    1.00)</f>
        <v/>
      </c>
      <c r="O3976">
        <f>IF('Loan Tape (S&amp;P)'!T3976="Yes",
    1.35,
    1.00)</f>
        <v/>
      </c>
      <c r="P3976">
        <f>IF('Loan Tape (S&amp;P)'!S3976="Yes",
    1.15,
    1.00)</f>
        <v/>
      </c>
      <c r="Q3976">
        <f>IF('Loan Tape (S&amp;P)'!V3976="Yes",
    1.20,
    1.00)</f>
        <v/>
      </c>
      <c r="T3976">
        <f>LET(
    payment_method,'Loan Tape (S&amp;P)'!P3976,
    occupancy,'Loan Tape (S&amp;P)'!N3976,
    maturity_date,'Loan Tape (S&amp;P)'!L3976,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77">
      <c r="J3977">
        <f>LET(
    lien,'Loan Tape (S&amp;P)'!Q3977,
    IF(lien="First",1.00,
        IF(lien="Second",1.50,
            1.70)))</f>
        <v/>
      </c>
      <c r="K3977">
        <f>LET(
    purpose,'Loan Tape (S&amp;P)'!R3977,
    IF(purpose="Purchase",1.00,
        IF(purpose="Remortgage",1.00,
            1.20)))</f>
        <v/>
      </c>
      <c r="L3977">
        <f>LET(
    arrears_months,'Loan Tape (S&amp;P)'!AN3977,
    IF(arrears_months=0,1.00,
    IF(arrears_months=1,3.00,
    IF(arrears_months=2,5.00,
    IF(arrears_months=3,8.00,
    IF(arrears_months=4,10.00,
    IF(arrears_months=5,12.00,15.00)))))))</f>
        <v/>
      </c>
      <c r="M3977">
        <f>LET(
    seasoning_years,DATEDIF('Loan Tape (S&amp;P)'!K3977,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77">
        <f>IF(AND('Loan Tape (S&amp;P)'!U3977="Yes",
        'Loan Tape (S&amp;P)'!T3977&lt;&gt;"Yes",
        DATEDIF('Loan Tape (S&amp;P)'!K3977, TODAY(), "M")&lt;18),
    1.10,
    1.00)</f>
        <v/>
      </c>
      <c r="O3977">
        <f>IF('Loan Tape (S&amp;P)'!T3977="Yes",
    1.35,
    1.00)</f>
        <v/>
      </c>
      <c r="P3977">
        <f>IF('Loan Tape (S&amp;P)'!S3977="Yes",
    1.15,
    1.00)</f>
        <v/>
      </c>
      <c r="Q3977">
        <f>IF('Loan Tape (S&amp;P)'!V3977="Yes",
    1.20,
    1.00)</f>
        <v/>
      </c>
      <c r="T3977">
        <f>LET(
    payment_method,'Loan Tape (S&amp;P)'!P3977,
    occupancy,'Loan Tape (S&amp;P)'!N3977,
    maturity_date,'Loan Tape (S&amp;P)'!L3977,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78">
      <c r="J3978">
        <f>LET(
    lien,'Loan Tape (S&amp;P)'!Q3978,
    IF(lien="First",1.00,
        IF(lien="Second",1.50,
            1.70)))</f>
        <v/>
      </c>
      <c r="K3978">
        <f>LET(
    purpose,'Loan Tape (S&amp;P)'!R3978,
    IF(purpose="Purchase",1.00,
        IF(purpose="Remortgage",1.00,
            1.20)))</f>
        <v/>
      </c>
      <c r="L3978">
        <f>LET(
    arrears_months,'Loan Tape (S&amp;P)'!AN3978,
    IF(arrears_months=0,1.00,
    IF(arrears_months=1,3.00,
    IF(arrears_months=2,5.00,
    IF(arrears_months=3,8.00,
    IF(arrears_months=4,10.00,
    IF(arrears_months=5,12.00,15.00)))))))</f>
        <v/>
      </c>
      <c r="M3978">
        <f>LET(
    seasoning_years,DATEDIF('Loan Tape (S&amp;P)'!K3978,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78">
        <f>IF(AND('Loan Tape (S&amp;P)'!U3978="Yes",
        'Loan Tape (S&amp;P)'!T3978&lt;&gt;"Yes",
        DATEDIF('Loan Tape (S&amp;P)'!K3978, TODAY(), "M")&lt;18),
    1.10,
    1.00)</f>
        <v/>
      </c>
      <c r="O3978">
        <f>IF('Loan Tape (S&amp;P)'!T3978="Yes",
    1.35,
    1.00)</f>
        <v/>
      </c>
      <c r="P3978">
        <f>IF('Loan Tape (S&amp;P)'!S3978="Yes",
    1.15,
    1.00)</f>
        <v/>
      </c>
      <c r="Q3978">
        <f>IF('Loan Tape (S&amp;P)'!V3978="Yes",
    1.20,
    1.00)</f>
        <v/>
      </c>
      <c r="T3978">
        <f>LET(
    payment_method,'Loan Tape (S&amp;P)'!P3978,
    occupancy,'Loan Tape (S&amp;P)'!N3978,
    maturity_date,'Loan Tape (S&amp;P)'!L3978,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79">
      <c r="J3979">
        <f>LET(
    lien,'Loan Tape (S&amp;P)'!Q3979,
    IF(lien="First",1.00,
        IF(lien="Second",1.50,
            1.70)))</f>
        <v/>
      </c>
      <c r="K3979">
        <f>LET(
    purpose,'Loan Tape (S&amp;P)'!R3979,
    IF(purpose="Purchase",1.00,
        IF(purpose="Remortgage",1.00,
            1.20)))</f>
        <v/>
      </c>
      <c r="L3979">
        <f>LET(
    arrears_months,'Loan Tape (S&amp;P)'!AN3979,
    IF(arrears_months=0,1.00,
    IF(arrears_months=1,3.00,
    IF(arrears_months=2,5.00,
    IF(arrears_months=3,8.00,
    IF(arrears_months=4,10.00,
    IF(arrears_months=5,12.00,15.00)))))))</f>
        <v/>
      </c>
      <c r="M3979">
        <f>LET(
    seasoning_years,DATEDIF('Loan Tape (S&amp;P)'!K3979,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79">
        <f>IF(AND('Loan Tape (S&amp;P)'!U3979="Yes",
        'Loan Tape (S&amp;P)'!T3979&lt;&gt;"Yes",
        DATEDIF('Loan Tape (S&amp;P)'!K3979, TODAY(), "M")&lt;18),
    1.10,
    1.00)</f>
        <v/>
      </c>
      <c r="O3979">
        <f>IF('Loan Tape (S&amp;P)'!T3979="Yes",
    1.35,
    1.00)</f>
        <v/>
      </c>
      <c r="P3979">
        <f>IF('Loan Tape (S&amp;P)'!S3979="Yes",
    1.15,
    1.00)</f>
        <v/>
      </c>
      <c r="Q3979">
        <f>IF('Loan Tape (S&amp;P)'!V3979="Yes",
    1.20,
    1.00)</f>
        <v/>
      </c>
      <c r="T3979">
        <f>LET(
    payment_method,'Loan Tape (S&amp;P)'!P3979,
    occupancy,'Loan Tape (S&amp;P)'!N3979,
    maturity_date,'Loan Tape (S&amp;P)'!L3979,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80">
      <c r="J3980">
        <f>LET(
    lien,'Loan Tape (S&amp;P)'!Q3980,
    IF(lien="First",1.00,
        IF(lien="Second",1.50,
            1.70)))</f>
        <v/>
      </c>
      <c r="K3980">
        <f>LET(
    purpose,'Loan Tape (S&amp;P)'!R3980,
    IF(purpose="Purchase",1.00,
        IF(purpose="Remortgage",1.00,
            1.20)))</f>
        <v/>
      </c>
      <c r="L3980">
        <f>LET(
    arrears_months,'Loan Tape (S&amp;P)'!AN3980,
    IF(arrears_months=0,1.00,
    IF(arrears_months=1,3.00,
    IF(arrears_months=2,5.00,
    IF(arrears_months=3,8.00,
    IF(arrears_months=4,10.00,
    IF(arrears_months=5,12.00,15.00)))))))</f>
        <v/>
      </c>
      <c r="M3980">
        <f>LET(
    seasoning_years,DATEDIF('Loan Tape (S&amp;P)'!K3980,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80">
        <f>IF(AND('Loan Tape (S&amp;P)'!U3980="Yes",
        'Loan Tape (S&amp;P)'!T3980&lt;&gt;"Yes",
        DATEDIF('Loan Tape (S&amp;P)'!K3980, TODAY(), "M")&lt;18),
    1.10,
    1.00)</f>
        <v/>
      </c>
      <c r="O3980">
        <f>IF('Loan Tape (S&amp;P)'!T3980="Yes",
    1.35,
    1.00)</f>
        <v/>
      </c>
      <c r="P3980">
        <f>IF('Loan Tape (S&amp;P)'!S3980="Yes",
    1.15,
    1.00)</f>
        <v/>
      </c>
      <c r="Q3980">
        <f>IF('Loan Tape (S&amp;P)'!V3980="Yes",
    1.20,
    1.00)</f>
        <v/>
      </c>
      <c r="T3980">
        <f>LET(
    payment_method,'Loan Tape (S&amp;P)'!P3980,
    occupancy,'Loan Tape (S&amp;P)'!N3980,
    maturity_date,'Loan Tape (S&amp;P)'!L3980,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81">
      <c r="J3981">
        <f>LET(
    lien,'Loan Tape (S&amp;P)'!Q3981,
    IF(lien="First",1.00,
        IF(lien="Second",1.50,
            1.70)))</f>
        <v/>
      </c>
      <c r="K3981">
        <f>LET(
    purpose,'Loan Tape (S&amp;P)'!R3981,
    IF(purpose="Purchase",1.00,
        IF(purpose="Remortgage",1.00,
            1.20)))</f>
        <v/>
      </c>
      <c r="L3981">
        <f>LET(
    arrears_months,'Loan Tape (S&amp;P)'!AN3981,
    IF(arrears_months=0,1.00,
    IF(arrears_months=1,3.00,
    IF(arrears_months=2,5.00,
    IF(arrears_months=3,8.00,
    IF(arrears_months=4,10.00,
    IF(arrears_months=5,12.00,15.00)))))))</f>
        <v/>
      </c>
      <c r="M3981">
        <f>LET(
    seasoning_years,DATEDIF('Loan Tape (S&amp;P)'!K3981,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81">
        <f>IF(AND('Loan Tape (S&amp;P)'!U3981="Yes",
        'Loan Tape (S&amp;P)'!T3981&lt;&gt;"Yes",
        DATEDIF('Loan Tape (S&amp;P)'!K3981, TODAY(), "M")&lt;18),
    1.10,
    1.00)</f>
        <v/>
      </c>
      <c r="O3981">
        <f>IF('Loan Tape (S&amp;P)'!T3981="Yes",
    1.35,
    1.00)</f>
        <v/>
      </c>
      <c r="P3981">
        <f>IF('Loan Tape (S&amp;P)'!S3981="Yes",
    1.15,
    1.00)</f>
        <v/>
      </c>
      <c r="Q3981">
        <f>IF('Loan Tape (S&amp;P)'!V3981="Yes",
    1.20,
    1.00)</f>
        <v/>
      </c>
      <c r="T3981">
        <f>LET(
    payment_method,'Loan Tape (S&amp;P)'!P3981,
    occupancy,'Loan Tape (S&amp;P)'!N3981,
    maturity_date,'Loan Tape (S&amp;P)'!L3981,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82">
      <c r="J3982">
        <f>LET(
    lien,'Loan Tape (S&amp;P)'!Q3982,
    IF(lien="First",1.00,
        IF(lien="Second",1.50,
            1.70)))</f>
        <v/>
      </c>
      <c r="K3982">
        <f>LET(
    purpose,'Loan Tape (S&amp;P)'!R3982,
    IF(purpose="Purchase",1.00,
        IF(purpose="Remortgage",1.00,
            1.20)))</f>
        <v/>
      </c>
      <c r="L3982">
        <f>LET(
    arrears_months,'Loan Tape (S&amp;P)'!AN3982,
    IF(arrears_months=0,1.00,
    IF(arrears_months=1,3.00,
    IF(arrears_months=2,5.00,
    IF(arrears_months=3,8.00,
    IF(arrears_months=4,10.00,
    IF(arrears_months=5,12.00,15.00)))))))</f>
        <v/>
      </c>
      <c r="M3982">
        <f>LET(
    seasoning_years,DATEDIF('Loan Tape (S&amp;P)'!K3982,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82">
        <f>IF(AND('Loan Tape (S&amp;P)'!U3982="Yes",
        'Loan Tape (S&amp;P)'!T3982&lt;&gt;"Yes",
        DATEDIF('Loan Tape (S&amp;P)'!K3982, TODAY(), "M")&lt;18),
    1.10,
    1.00)</f>
        <v/>
      </c>
      <c r="O3982">
        <f>IF('Loan Tape (S&amp;P)'!T3982="Yes",
    1.35,
    1.00)</f>
        <v/>
      </c>
      <c r="P3982">
        <f>IF('Loan Tape (S&amp;P)'!S3982="Yes",
    1.15,
    1.00)</f>
        <v/>
      </c>
      <c r="Q3982">
        <f>IF('Loan Tape (S&amp;P)'!V3982="Yes",
    1.20,
    1.00)</f>
        <v/>
      </c>
      <c r="T3982">
        <f>LET(
    payment_method,'Loan Tape (S&amp;P)'!P3982,
    occupancy,'Loan Tape (S&amp;P)'!N3982,
    maturity_date,'Loan Tape (S&amp;P)'!L3982,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83">
      <c r="J3983">
        <f>LET(
    lien,'Loan Tape (S&amp;P)'!Q3983,
    IF(lien="First",1.00,
        IF(lien="Second",1.50,
            1.70)))</f>
        <v/>
      </c>
      <c r="K3983">
        <f>LET(
    purpose,'Loan Tape (S&amp;P)'!R3983,
    IF(purpose="Purchase",1.00,
        IF(purpose="Remortgage",1.00,
            1.20)))</f>
        <v/>
      </c>
      <c r="L3983">
        <f>LET(
    arrears_months,'Loan Tape (S&amp;P)'!AN3983,
    IF(arrears_months=0,1.00,
    IF(arrears_months=1,3.00,
    IF(arrears_months=2,5.00,
    IF(arrears_months=3,8.00,
    IF(arrears_months=4,10.00,
    IF(arrears_months=5,12.00,15.00)))))))</f>
        <v/>
      </c>
      <c r="M3983">
        <f>LET(
    seasoning_years,DATEDIF('Loan Tape (S&amp;P)'!K3983,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83">
        <f>IF(AND('Loan Tape (S&amp;P)'!U3983="Yes",
        'Loan Tape (S&amp;P)'!T3983&lt;&gt;"Yes",
        DATEDIF('Loan Tape (S&amp;P)'!K3983, TODAY(), "M")&lt;18),
    1.10,
    1.00)</f>
        <v/>
      </c>
      <c r="O3983">
        <f>IF('Loan Tape (S&amp;P)'!T3983="Yes",
    1.35,
    1.00)</f>
        <v/>
      </c>
      <c r="P3983">
        <f>IF('Loan Tape (S&amp;P)'!S3983="Yes",
    1.15,
    1.00)</f>
        <v/>
      </c>
      <c r="Q3983">
        <f>IF('Loan Tape (S&amp;P)'!V3983="Yes",
    1.20,
    1.00)</f>
        <v/>
      </c>
      <c r="T3983">
        <f>LET(
    payment_method,'Loan Tape (S&amp;P)'!P3983,
    occupancy,'Loan Tape (S&amp;P)'!N3983,
    maturity_date,'Loan Tape (S&amp;P)'!L3983,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84">
      <c r="J3984">
        <f>LET(
    lien,'Loan Tape (S&amp;P)'!Q3984,
    IF(lien="First",1.00,
        IF(lien="Second",1.50,
            1.70)))</f>
        <v/>
      </c>
      <c r="K3984">
        <f>LET(
    purpose,'Loan Tape (S&amp;P)'!R3984,
    IF(purpose="Purchase",1.00,
        IF(purpose="Remortgage",1.00,
            1.20)))</f>
        <v/>
      </c>
      <c r="L3984">
        <f>LET(
    arrears_months,'Loan Tape (S&amp;P)'!AN3984,
    IF(arrears_months=0,1.00,
    IF(arrears_months=1,3.00,
    IF(arrears_months=2,5.00,
    IF(arrears_months=3,8.00,
    IF(arrears_months=4,10.00,
    IF(arrears_months=5,12.00,15.00)))))))</f>
        <v/>
      </c>
      <c r="M3984">
        <f>LET(
    seasoning_years,DATEDIF('Loan Tape (S&amp;P)'!K3984,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84">
        <f>IF(AND('Loan Tape (S&amp;P)'!U3984="Yes",
        'Loan Tape (S&amp;P)'!T3984&lt;&gt;"Yes",
        DATEDIF('Loan Tape (S&amp;P)'!K3984, TODAY(), "M")&lt;18),
    1.10,
    1.00)</f>
        <v/>
      </c>
      <c r="O3984">
        <f>IF('Loan Tape (S&amp;P)'!T3984="Yes",
    1.35,
    1.00)</f>
        <v/>
      </c>
      <c r="P3984">
        <f>IF('Loan Tape (S&amp;P)'!S3984="Yes",
    1.15,
    1.00)</f>
        <v/>
      </c>
      <c r="Q3984">
        <f>IF('Loan Tape (S&amp;P)'!V3984="Yes",
    1.20,
    1.00)</f>
        <v/>
      </c>
      <c r="T3984">
        <f>LET(
    payment_method,'Loan Tape (S&amp;P)'!P3984,
    occupancy,'Loan Tape (S&amp;P)'!N3984,
    maturity_date,'Loan Tape (S&amp;P)'!L3984,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85">
      <c r="J3985">
        <f>LET(
    lien,'Loan Tape (S&amp;P)'!Q3985,
    IF(lien="First",1.00,
        IF(lien="Second",1.50,
            1.70)))</f>
        <v/>
      </c>
      <c r="K3985">
        <f>LET(
    purpose,'Loan Tape (S&amp;P)'!R3985,
    IF(purpose="Purchase",1.00,
        IF(purpose="Remortgage",1.00,
            1.20)))</f>
        <v/>
      </c>
      <c r="L3985">
        <f>LET(
    arrears_months,'Loan Tape (S&amp;P)'!AN3985,
    IF(arrears_months=0,1.00,
    IF(arrears_months=1,3.00,
    IF(arrears_months=2,5.00,
    IF(arrears_months=3,8.00,
    IF(arrears_months=4,10.00,
    IF(arrears_months=5,12.00,15.00)))))))</f>
        <v/>
      </c>
      <c r="M3985">
        <f>LET(
    seasoning_years,DATEDIF('Loan Tape (S&amp;P)'!K3985,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85">
        <f>IF(AND('Loan Tape (S&amp;P)'!U3985="Yes",
        'Loan Tape (S&amp;P)'!T3985&lt;&gt;"Yes",
        DATEDIF('Loan Tape (S&amp;P)'!K3985, TODAY(), "M")&lt;18),
    1.10,
    1.00)</f>
        <v/>
      </c>
      <c r="O3985">
        <f>IF('Loan Tape (S&amp;P)'!T3985="Yes",
    1.35,
    1.00)</f>
        <v/>
      </c>
      <c r="P3985">
        <f>IF('Loan Tape (S&amp;P)'!S3985="Yes",
    1.15,
    1.00)</f>
        <v/>
      </c>
      <c r="Q3985">
        <f>IF('Loan Tape (S&amp;P)'!V3985="Yes",
    1.20,
    1.00)</f>
        <v/>
      </c>
      <c r="T3985">
        <f>LET(
    payment_method,'Loan Tape (S&amp;P)'!P3985,
    occupancy,'Loan Tape (S&amp;P)'!N3985,
    maturity_date,'Loan Tape (S&amp;P)'!L3985,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86">
      <c r="J3986">
        <f>LET(
    lien,'Loan Tape (S&amp;P)'!Q3986,
    IF(lien="First",1.00,
        IF(lien="Second",1.50,
            1.70)))</f>
        <v/>
      </c>
      <c r="K3986">
        <f>LET(
    purpose,'Loan Tape (S&amp;P)'!R3986,
    IF(purpose="Purchase",1.00,
        IF(purpose="Remortgage",1.00,
            1.20)))</f>
        <v/>
      </c>
      <c r="L3986">
        <f>LET(
    arrears_months,'Loan Tape (S&amp;P)'!AN3986,
    IF(arrears_months=0,1.00,
    IF(arrears_months=1,3.00,
    IF(arrears_months=2,5.00,
    IF(arrears_months=3,8.00,
    IF(arrears_months=4,10.00,
    IF(arrears_months=5,12.00,15.00)))))))</f>
        <v/>
      </c>
      <c r="M3986">
        <f>LET(
    seasoning_years,DATEDIF('Loan Tape (S&amp;P)'!K3986,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86">
        <f>IF(AND('Loan Tape (S&amp;P)'!U3986="Yes",
        'Loan Tape (S&amp;P)'!T3986&lt;&gt;"Yes",
        DATEDIF('Loan Tape (S&amp;P)'!K3986, TODAY(), "M")&lt;18),
    1.10,
    1.00)</f>
        <v/>
      </c>
      <c r="O3986">
        <f>IF('Loan Tape (S&amp;P)'!T3986="Yes",
    1.35,
    1.00)</f>
        <v/>
      </c>
      <c r="P3986">
        <f>IF('Loan Tape (S&amp;P)'!S3986="Yes",
    1.15,
    1.00)</f>
        <v/>
      </c>
      <c r="Q3986">
        <f>IF('Loan Tape (S&amp;P)'!V3986="Yes",
    1.20,
    1.00)</f>
        <v/>
      </c>
      <c r="T3986">
        <f>LET(
    payment_method,'Loan Tape (S&amp;P)'!P3986,
    occupancy,'Loan Tape (S&amp;P)'!N3986,
    maturity_date,'Loan Tape (S&amp;P)'!L3986,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87">
      <c r="J3987">
        <f>LET(
    lien,'Loan Tape (S&amp;P)'!Q3987,
    IF(lien="First",1.00,
        IF(lien="Second",1.50,
            1.70)))</f>
        <v/>
      </c>
      <c r="K3987">
        <f>LET(
    purpose,'Loan Tape (S&amp;P)'!R3987,
    IF(purpose="Purchase",1.00,
        IF(purpose="Remortgage",1.00,
            1.20)))</f>
        <v/>
      </c>
      <c r="L3987">
        <f>LET(
    arrears_months,'Loan Tape (S&amp;P)'!AN3987,
    IF(arrears_months=0,1.00,
    IF(arrears_months=1,3.00,
    IF(arrears_months=2,5.00,
    IF(arrears_months=3,8.00,
    IF(arrears_months=4,10.00,
    IF(arrears_months=5,12.00,15.00)))))))</f>
        <v/>
      </c>
      <c r="M3987">
        <f>LET(
    seasoning_years,DATEDIF('Loan Tape (S&amp;P)'!K3987,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87">
        <f>IF(AND('Loan Tape (S&amp;P)'!U3987="Yes",
        'Loan Tape (S&amp;P)'!T3987&lt;&gt;"Yes",
        DATEDIF('Loan Tape (S&amp;P)'!K3987, TODAY(), "M")&lt;18),
    1.10,
    1.00)</f>
        <v/>
      </c>
      <c r="O3987">
        <f>IF('Loan Tape (S&amp;P)'!T3987="Yes",
    1.35,
    1.00)</f>
        <v/>
      </c>
      <c r="P3987">
        <f>IF('Loan Tape (S&amp;P)'!S3987="Yes",
    1.15,
    1.00)</f>
        <v/>
      </c>
      <c r="Q3987">
        <f>IF('Loan Tape (S&amp;P)'!V3987="Yes",
    1.20,
    1.00)</f>
        <v/>
      </c>
      <c r="T3987">
        <f>LET(
    payment_method,'Loan Tape (S&amp;P)'!P3987,
    occupancy,'Loan Tape (S&amp;P)'!N3987,
    maturity_date,'Loan Tape (S&amp;P)'!L3987,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88">
      <c r="J3988">
        <f>LET(
    lien,'Loan Tape (S&amp;P)'!Q3988,
    IF(lien="First",1.00,
        IF(lien="Second",1.50,
            1.70)))</f>
        <v/>
      </c>
      <c r="K3988">
        <f>LET(
    purpose,'Loan Tape (S&amp;P)'!R3988,
    IF(purpose="Purchase",1.00,
        IF(purpose="Remortgage",1.00,
            1.20)))</f>
        <v/>
      </c>
      <c r="L3988">
        <f>LET(
    arrears_months,'Loan Tape (S&amp;P)'!AN3988,
    IF(arrears_months=0,1.00,
    IF(arrears_months=1,3.00,
    IF(arrears_months=2,5.00,
    IF(arrears_months=3,8.00,
    IF(arrears_months=4,10.00,
    IF(arrears_months=5,12.00,15.00)))))))</f>
        <v/>
      </c>
      <c r="M3988">
        <f>LET(
    seasoning_years,DATEDIF('Loan Tape (S&amp;P)'!K3988,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88">
        <f>IF(AND('Loan Tape (S&amp;P)'!U3988="Yes",
        'Loan Tape (S&amp;P)'!T3988&lt;&gt;"Yes",
        DATEDIF('Loan Tape (S&amp;P)'!K3988, TODAY(), "M")&lt;18),
    1.10,
    1.00)</f>
        <v/>
      </c>
      <c r="O3988">
        <f>IF('Loan Tape (S&amp;P)'!T3988="Yes",
    1.35,
    1.00)</f>
        <v/>
      </c>
      <c r="P3988">
        <f>IF('Loan Tape (S&amp;P)'!S3988="Yes",
    1.15,
    1.00)</f>
        <v/>
      </c>
      <c r="Q3988">
        <f>IF('Loan Tape (S&amp;P)'!V3988="Yes",
    1.20,
    1.00)</f>
        <v/>
      </c>
      <c r="T3988">
        <f>LET(
    payment_method,'Loan Tape (S&amp;P)'!P3988,
    occupancy,'Loan Tape (S&amp;P)'!N3988,
    maturity_date,'Loan Tape (S&amp;P)'!L3988,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89">
      <c r="J3989">
        <f>LET(
    lien,'Loan Tape (S&amp;P)'!Q3989,
    IF(lien="First",1.00,
        IF(lien="Second",1.50,
            1.70)))</f>
        <v/>
      </c>
      <c r="K3989">
        <f>LET(
    purpose,'Loan Tape (S&amp;P)'!R3989,
    IF(purpose="Purchase",1.00,
        IF(purpose="Remortgage",1.00,
            1.20)))</f>
        <v/>
      </c>
      <c r="L3989">
        <f>LET(
    arrears_months,'Loan Tape (S&amp;P)'!AN3989,
    IF(arrears_months=0,1.00,
    IF(arrears_months=1,3.00,
    IF(arrears_months=2,5.00,
    IF(arrears_months=3,8.00,
    IF(arrears_months=4,10.00,
    IF(arrears_months=5,12.00,15.00)))))))</f>
        <v/>
      </c>
      <c r="M3989">
        <f>LET(
    seasoning_years,DATEDIF('Loan Tape (S&amp;P)'!K3989,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89">
        <f>IF(AND('Loan Tape (S&amp;P)'!U3989="Yes",
        'Loan Tape (S&amp;P)'!T3989&lt;&gt;"Yes",
        DATEDIF('Loan Tape (S&amp;P)'!K3989, TODAY(), "M")&lt;18),
    1.10,
    1.00)</f>
        <v/>
      </c>
      <c r="O3989">
        <f>IF('Loan Tape (S&amp;P)'!T3989="Yes",
    1.35,
    1.00)</f>
        <v/>
      </c>
      <c r="P3989">
        <f>IF('Loan Tape (S&amp;P)'!S3989="Yes",
    1.15,
    1.00)</f>
        <v/>
      </c>
      <c r="Q3989">
        <f>IF('Loan Tape (S&amp;P)'!V3989="Yes",
    1.20,
    1.00)</f>
        <v/>
      </c>
      <c r="T3989">
        <f>LET(
    payment_method,'Loan Tape (S&amp;P)'!P3989,
    occupancy,'Loan Tape (S&amp;P)'!N3989,
    maturity_date,'Loan Tape (S&amp;P)'!L3989,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90">
      <c r="J3990">
        <f>LET(
    lien,'Loan Tape (S&amp;P)'!Q3990,
    IF(lien="First",1.00,
        IF(lien="Second",1.50,
            1.70)))</f>
        <v/>
      </c>
      <c r="K3990">
        <f>LET(
    purpose,'Loan Tape (S&amp;P)'!R3990,
    IF(purpose="Purchase",1.00,
        IF(purpose="Remortgage",1.00,
            1.20)))</f>
        <v/>
      </c>
      <c r="L3990">
        <f>LET(
    arrears_months,'Loan Tape (S&amp;P)'!AN3990,
    IF(arrears_months=0,1.00,
    IF(arrears_months=1,3.00,
    IF(arrears_months=2,5.00,
    IF(arrears_months=3,8.00,
    IF(arrears_months=4,10.00,
    IF(arrears_months=5,12.00,15.00)))))))</f>
        <v/>
      </c>
      <c r="M3990">
        <f>LET(
    seasoning_years,DATEDIF('Loan Tape (S&amp;P)'!K3990,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90">
        <f>IF(AND('Loan Tape (S&amp;P)'!U3990="Yes",
        'Loan Tape (S&amp;P)'!T3990&lt;&gt;"Yes",
        DATEDIF('Loan Tape (S&amp;P)'!K3990, TODAY(), "M")&lt;18),
    1.10,
    1.00)</f>
        <v/>
      </c>
      <c r="O3990">
        <f>IF('Loan Tape (S&amp;P)'!T3990="Yes",
    1.35,
    1.00)</f>
        <v/>
      </c>
      <c r="P3990">
        <f>IF('Loan Tape (S&amp;P)'!S3990="Yes",
    1.15,
    1.00)</f>
        <v/>
      </c>
      <c r="Q3990">
        <f>IF('Loan Tape (S&amp;P)'!V3990="Yes",
    1.20,
    1.00)</f>
        <v/>
      </c>
      <c r="T3990">
        <f>LET(
    payment_method,'Loan Tape (S&amp;P)'!P3990,
    occupancy,'Loan Tape (S&amp;P)'!N3990,
    maturity_date,'Loan Tape (S&amp;P)'!L3990,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91">
      <c r="J3991">
        <f>LET(
    lien,'Loan Tape (S&amp;P)'!Q3991,
    IF(lien="First",1.00,
        IF(lien="Second",1.50,
            1.70)))</f>
        <v/>
      </c>
      <c r="K3991">
        <f>LET(
    purpose,'Loan Tape (S&amp;P)'!R3991,
    IF(purpose="Purchase",1.00,
        IF(purpose="Remortgage",1.00,
            1.20)))</f>
        <v/>
      </c>
      <c r="L3991">
        <f>LET(
    arrears_months,'Loan Tape (S&amp;P)'!AN3991,
    IF(arrears_months=0,1.00,
    IF(arrears_months=1,3.00,
    IF(arrears_months=2,5.00,
    IF(arrears_months=3,8.00,
    IF(arrears_months=4,10.00,
    IF(arrears_months=5,12.00,15.00)))))))</f>
        <v/>
      </c>
      <c r="M3991">
        <f>LET(
    seasoning_years,DATEDIF('Loan Tape (S&amp;P)'!K3991,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91">
        <f>IF(AND('Loan Tape (S&amp;P)'!U3991="Yes",
        'Loan Tape (S&amp;P)'!T3991&lt;&gt;"Yes",
        DATEDIF('Loan Tape (S&amp;P)'!K3991, TODAY(), "M")&lt;18),
    1.10,
    1.00)</f>
        <v/>
      </c>
      <c r="O3991">
        <f>IF('Loan Tape (S&amp;P)'!T3991="Yes",
    1.35,
    1.00)</f>
        <v/>
      </c>
      <c r="P3991">
        <f>IF('Loan Tape (S&amp;P)'!S3991="Yes",
    1.15,
    1.00)</f>
        <v/>
      </c>
      <c r="Q3991">
        <f>IF('Loan Tape (S&amp;P)'!V3991="Yes",
    1.20,
    1.00)</f>
        <v/>
      </c>
      <c r="T3991">
        <f>LET(
    payment_method,'Loan Tape (S&amp;P)'!P3991,
    occupancy,'Loan Tape (S&amp;P)'!N3991,
    maturity_date,'Loan Tape (S&amp;P)'!L3991,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92">
      <c r="J3992">
        <f>LET(
    lien,'Loan Tape (S&amp;P)'!Q3992,
    IF(lien="First",1.00,
        IF(lien="Second",1.50,
            1.70)))</f>
        <v/>
      </c>
      <c r="K3992">
        <f>LET(
    purpose,'Loan Tape (S&amp;P)'!R3992,
    IF(purpose="Purchase",1.00,
        IF(purpose="Remortgage",1.00,
            1.20)))</f>
        <v/>
      </c>
      <c r="L3992">
        <f>LET(
    arrears_months,'Loan Tape (S&amp;P)'!AN3992,
    IF(arrears_months=0,1.00,
    IF(arrears_months=1,3.00,
    IF(arrears_months=2,5.00,
    IF(arrears_months=3,8.00,
    IF(arrears_months=4,10.00,
    IF(arrears_months=5,12.00,15.00)))))))</f>
        <v/>
      </c>
      <c r="M3992">
        <f>LET(
    seasoning_years,DATEDIF('Loan Tape (S&amp;P)'!K3992,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92">
        <f>IF(AND('Loan Tape (S&amp;P)'!U3992="Yes",
        'Loan Tape (S&amp;P)'!T3992&lt;&gt;"Yes",
        DATEDIF('Loan Tape (S&amp;P)'!K3992, TODAY(), "M")&lt;18),
    1.10,
    1.00)</f>
        <v/>
      </c>
      <c r="O3992">
        <f>IF('Loan Tape (S&amp;P)'!T3992="Yes",
    1.35,
    1.00)</f>
        <v/>
      </c>
      <c r="P3992">
        <f>IF('Loan Tape (S&amp;P)'!S3992="Yes",
    1.15,
    1.00)</f>
        <v/>
      </c>
      <c r="Q3992">
        <f>IF('Loan Tape (S&amp;P)'!V3992="Yes",
    1.20,
    1.00)</f>
        <v/>
      </c>
      <c r="T3992">
        <f>LET(
    payment_method,'Loan Tape (S&amp;P)'!P3992,
    occupancy,'Loan Tape (S&amp;P)'!N3992,
    maturity_date,'Loan Tape (S&amp;P)'!L3992,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93">
      <c r="J3993">
        <f>LET(
    lien,'Loan Tape (S&amp;P)'!Q3993,
    IF(lien="First",1.00,
        IF(lien="Second",1.50,
            1.70)))</f>
        <v/>
      </c>
      <c r="K3993">
        <f>LET(
    purpose,'Loan Tape (S&amp;P)'!R3993,
    IF(purpose="Purchase",1.00,
        IF(purpose="Remortgage",1.00,
            1.20)))</f>
        <v/>
      </c>
      <c r="L3993">
        <f>LET(
    arrears_months,'Loan Tape (S&amp;P)'!AN3993,
    IF(arrears_months=0,1.00,
    IF(arrears_months=1,3.00,
    IF(arrears_months=2,5.00,
    IF(arrears_months=3,8.00,
    IF(arrears_months=4,10.00,
    IF(arrears_months=5,12.00,15.00)))))))</f>
        <v/>
      </c>
      <c r="M3993">
        <f>LET(
    seasoning_years,DATEDIF('Loan Tape (S&amp;P)'!K3993,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93">
        <f>IF(AND('Loan Tape (S&amp;P)'!U3993="Yes",
        'Loan Tape (S&amp;P)'!T3993&lt;&gt;"Yes",
        DATEDIF('Loan Tape (S&amp;P)'!K3993, TODAY(), "M")&lt;18),
    1.10,
    1.00)</f>
        <v/>
      </c>
      <c r="O3993">
        <f>IF('Loan Tape (S&amp;P)'!T3993="Yes",
    1.35,
    1.00)</f>
        <v/>
      </c>
      <c r="P3993">
        <f>IF('Loan Tape (S&amp;P)'!S3993="Yes",
    1.15,
    1.00)</f>
        <v/>
      </c>
      <c r="Q3993">
        <f>IF('Loan Tape (S&amp;P)'!V3993="Yes",
    1.20,
    1.00)</f>
        <v/>
      </c>
      <c r="T3993">
        <f>LET(
    payment_method,'Loan Tape (S&amp;P)'!P3993,
    occupancy,'Loan Tape (S&amp;P)'!N3993,
    maturity_date,'Loan Tape (S&amp;P)'!L3993,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94">
      <c r="J3994">
        <f>LET(
    lien,'Loan Tape (S&amp;P)'!Q3994,
    IF(lien="First",1.00,
        IF(lien="Second",1.50,
            1.70)))</f>
        <v/>
      </c>
      <c r="K3994">
        <f>LET(
    purpose,'Loan Tape (S&amp;P)'!R3994,
    IF(purpose="Purchase",1.00,
        IF(purpose="Remortgage",1.00,
            1.20)))</f>
        <v/>
      </c>
      <c r="L3994">
        <f>LET(
    arrears_months,'Loan Tape (S&amp;P)'!AN3994,
    IF(arrears_months=0,1.00,
    IF(arrears_months=1,3.00,
    IF(arrears_months=2,5.00,
    IF(arrears_months=3,8.00,
    IF(arrears_months=4,10.00,
    IF(arrears_months=5,12.00,15.00)))))))</f>
        <v/>
      </c>
      <c r="M3994">
        <f>LET(
    seasoning_years,DATEDIF('Loan Tape (S&amp;P)'!K3994,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94">
        <f>IF(AND('Loan Tape (S&amp;P)'!U3994="Yes",
        'Loan Tape (S&amp;P)'!T3994&lt;&gt;"Yes",
        DATEDIF('Loan Tape (S&amp;P)'!K3994, TODAY(), "M")&lt;18),
    1.10,
    1.00)</f>
        <v/>
      </c>
      <c r="O3994">
        <f>IF('Loan Tape (S&amp;P)'!T3994="Yes",
    1.35,
    1.00)</f>
        <v/>
      </c>
      <c r="P3994">
        <f>IF('Loan Tape (S&amp;P)'!S3994="Yes",
    1.15,
    1.00)</f>
        <v/>
      </c>
      <c r="Q3994">
        <f>IF('Loan Tape (S&amp;P)'!V3994="Yes",
    1.20,
    1.00)</f>
        <v/>
      </c>
      <c r="T3994">
        <f>LET(
    payment_method,'Loan Tape (S&amp;P)'!P3994,
    occupancy,'Loan Tape (S&amp;P)'!N3994,
    maturity_date,'Loan Tape (S&amp;P)'!L3994,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95">
      <c r="J3995">
        <f>LET(
    lien,'Loan Tape (S&amp;P)'!Q3995,
    IF(lien="First",1.00,
        IF(lien="Second",1.50,
            1.70)))</f>
        <v/>
      </c>
      <c r="K3995">
        <f>LET(
    purpose,'Loan Tape (S&amp;P)'!R3995,
    IF(purpose="Purchase",1.00,
        IF(purpose="Remortgage",1.00,
            1.20)))</f>
        <v/>
      </c>
      <c r="L3995">
        <f>LET(
    arrears_months,'Loan Tape (S&amp;P)'!AN3995,
    IF(arrears_months=0,1.00,
    IF(arrears_months=1,3.00,
    IF(arrears_months=2,5.00,
    IF(arrears_months=3,8.00,
    IF(arrears_months=4,10.00,
    IF(arrears_months=5,12.00,15.00)))))))</f>
        <v/>
      </c>
      <c r="M3995">
        <f>LET(
    seasoning_years,DATEDIF('Loan Tape (S&amp;P)'!K3995,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95">
        <f>IF(AND('Loan Tape (S&amp;P)'!U3995="Yes",
        'Loan Tape (S&amp;P)'!T3995&lt;&gt;"Yes",
        DATEDIF('Loan Tape (S&amp;P)'!K3995, TODAY(), "M")&lt;18),
    1.10,
    1.00)</f>
        <v/>
      </c>
      <c r="O3995">
        <f>IF('Loan Tape (S&amp;P)'!T3995="Yes",
    1.35,
    1.00)</f>
        <v/>
      </c>
      <c r="P3995">
        <f>IF('Loan Tape (S&amp;P)'!S3995="Yes",
    1.15,
    1.00)</f>
        <v/>
      </c>
      <c r="Q3995">
        <f>IF('Loan Tape (S&amp;P)'!V3995="Yes",
    1.20,
    1.00)</f>
        <v/>
      </c>
      <c r="T3995">
        <f>LET(
    payment_method,'Loan Tape (S&amp;P)'!P3995,
    occupancy,'Loan Tape (S&amp;P)'!N3995,
    maturity_date,'Loan Tape (S&amp;P)'!L3995,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96">
      <c r="J3996">
        <f>LET(
    lien,'Loan Tape (S&amp;P)'!Q3996,
    IF(lien="First",1.00,
        IF(lien="Second",1.50,
            1.70)))</f>
        <v/>
      </c>
      <c r="K3996">
        <f>LET(
    purpose,'Loan Tape (S&amp;P)'!R3996,
    IF(purpose="Purchase",1.00,
        IF(purpose="Remortgage",1.00,
            1.20)))</f>
        <v/>
      </c>
      <c r="L3996">
        <f>LET(
    arrears_months,'Loan Tape (S&amp;P)'!AN3996,
    IF(arrears_months=0,1.00,
    IF(arrears_months=1,3.00,
    IF(arrears_months=2,5.00,
    IF(arrears_months=3,8.00,
    IF(arrears_months=4,10.00,
    IF(arrears_months=5,12.00,15.00)))))))</f>
        <v/>
      </c>
      <c r="M3996">
        <f>LET(
    seasoning_years,DATEDIF('Loan Tape (S&amp;P)'!K3996,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96">
        <f>IF(AND('Loan Tape (S&amp;P)'!U3996="Yes",
        'Loan Tape (S&amp;P)'!T3996&lt;&gt;"Yes",
        DATEDIF('Loan Tape (S&amp;P)'!K3996, TODAY(), "M")&lt;18),
    1.10,
    1.00)</f>
        <v/>
      </c>
      <c r="O3996">
        <f>IF('Loan Tape (S&amp;P)'!T3996="Yes",
    1.35,
    1.00)</f>
        <v/>
      </c>
      <c r="P3996">
        <f>IF('Loan Tape (S&amp;P)'!S3996="Yes",
    1.15,
    1.00)</f>
        <v/>
      </c>
      <c r="Q3996">
        <f>IF('Loan Tape (S&amp;P)'!V3996="Yes",
    1.20,
    1.00)</f>
        <v/>
      </c>
      <c r="T3996">
        <f>LET(
    payment_method,'Loan Tape (S&amp;P)'!P3996,
    occupancy,'Loan Tape (S&amp;P)'!N3996,
    maturity_date,'Loan Tape (S&amp;P)'!L3996,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97">
      <c r="J3997">
        <f>LET(
    lien,'Loan Tape (S&amp;P)'!Q3997,
    IF(lien="First",1.00,
        IF(lien="Second",1.50,
            1.70)))</f>
        <v/>
      </c>
      <c r="K3997">
        <f>LET(
    purpose,'Loan Tape (S&amp;P)'!R3997,
    IF(purpose="Purchase",1.00,
        IF(purpose="Remortgage",1.00,
            1.20)))</f>
        <v/>
      </c>
      <c r="L3997">
        <f>LET(
    arrears_months,'Loan Tape (S&amp;P)'!AN3997,
    IF(arrears_months=0,1.00,
    IF(arrears_months=1,3.00,
    IF(arrears_months=2,5.00,
    IF(arrears_months=3,8.00,
    IF(arrears_months=4,10.00,
    IF(arrears_months=5,12.00,15.00)))))))</f>
        <v/>
      </c>
      <c r="M3997">
        <f>LET(
    seasoning_years,DATEDIF('Loan Tape (S&amp;P)'!K3997,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97">
        <f>IF(AND('Loan Tape (S&amp;P)'!U3997="Yes",
        'Loan Tape (S&amp;P)'!T3997&lt;&gt;"Yes",
        DATEDIF('Loan Tape (S&amp;P)'!K3997, TODAY(), "M")&lt;18),
    1.10,
    1.00)</f>
        <v/>
      </c>
      <c r="O3997">
        <f>IF('Loan Tape (S&amp;P)'!T3997="Yes",
    1.35,
    1.00)</f>
        <v/>
      </c>
      <c r="P3997">
        <f>IF('Loan Tape (S&amp;P)'!S3997="Yes",
    1.15,
    1.00)</f>
        <v/>
      </c>
      <c r="Q3997">
        <f>IF('Loan Tape (S&amp;P)'!V3997="Yes",
    1.20,
    1.00)</f>
        <v/>
      </c>
      <c r="T3997">
        <f>LET(
    payment_method,'Loan Tape (S&amp;P)'!P3997,
    occupancy,'Loan Tape (S&amp;P)'!N3997,
    maturity_date,'Loan Tape (S&amp;P)'!L3997,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98">
      <c r="J3998">
        <f>LET(
    lien,'Loan Tape (S&amp;P)'!Q3998,
    IF(lien="First",1.00,
        IF(lien="Second",1.50,
            1.70)))</f>
        <v/>
      </c>
      <c r="K3998">
        <f>LET(
    purpose,'Loan Tape (S&amp;P)'!R3998,
    IF(purpose="Purchase",1.00,
        IF(purpose="Remortgage",1.00,
            1.20)))</f>
        <v/>
      </c>
      <c r="L3998">
        <f>LET(
    arrears_months,'Loan Tape (S&amp;P)'!AN3998,
    IF(arrears_months=0,1.00,
    IF(arrears_months=1,3.00,
    IF(arrears_months=2,5.00,
    IF(arrears_months=3,8.00,
    IF(arrears_months=4,10.00,
    IF(arrears_months=5,12.00,15.00)))))))</f>
        <v/>
      </c>
      <c r="M3998">
        <f>LET(
    seasoning_years,DATEDIF('Loan Tape (S&amp;P)'!K3998,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98">
        <f>IF(AND('Loan Tape (S&amp;P)'!U3998="Yes",
        'Loan Tape (S&amp;P)'!T3998&lt;&gt;"Yes",
        DATEDIF('Loan Tape (S&amp;P)'!K3998, TODAY(), "M")&lt;18),
    1.10,
    1.00)</f>
        <v/>
      </c>
      <c r="O3998">
        <f>IF('Loan Tape (S&amp;P)'!T3998="Yes",
    1.35,
    1.00)</f>
        <v/>
      </c>
      <c r="P3998">
        <f>IF('Loan Tape (S&amp;P)'!S3998="Yes",
    1.15,
    1.00)</f>
        <v/>
      </c>
      <c r="Q3998">
        <f>IF('Loan Tape (S&amp;P)'!V3998="Yes",
    1.20,
    1.00)</f>
        <v/>
      </c>
      <c r="T3998">
        <f>LET(
    payment_method,'Loan Tape (S&amp;P)'!P3998,
    occupancy,'Loan Tape (S&amp;P)'!N3998,
    maturity_date,'Loan Tape (S&amp;P)'!L3998,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3999">
      <c r="J3999">
        <f>LET(
    lien,'Loan Tape (S&amp;P)'!Q3999,
    IF(lien="First",1.00,
        IF(lien="Second",1.50,
            1.70)))</f>
        <v/>
      </c>
      <c r="K3999">
        <f>LET(
    purpose,'Loan Tape (S&amp;P)'!R3999,
    IF(purpose="Purchase",1.00,
        IF(purpose="Remortgage",1.00,
            1.20)))</f>
        <v/>
      </c>
      <c r="L3999">
        <f>LET(
    arrears_months,'Loan Tape (S&amp;P)'!AN3999,
    IF(arrears_months=0,1.00,
    IF(arrears_months=1,3.00,
    IF(arrears_months=2,5.00,
    IF(arrears_months=3,8.00,
    IF(arrears_months=4,10.00,
    IF(arrears_months=5,12.00,15.00)))))))</f>
        <v/>
      </c>
      <c r="M3999">
        <f>LET(
    seasoning_years,DATEDIF('Loan Tape (S&amp;P)'!K3999,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3999">
        <f>IF(AND('Loan Tape (S&amp;P)'!U3999="Yes",
        'Loan Tape (S&amp;P)'!T3999&lt;&gt;"Yes",
        DATEDIF('Loan Tape (S&amp;P)'!K3999, TODAY(), "M")&lt;18),
    1.10,
    1.00)</f>
        <v/>
      </c>
      <c r="O3999">
        <f>IF('Loan Tape (S&amp;P)'!T3999="Yes",
    1.35,
    1.00)</f>
        <v/>
      </c>
      <c r="P3999">
        <f>IF('Loan Tape (S&amp;P)'!S3999="Yes",
    1.15,
    1.00)</f>
        <v/>
      </c>
      <c r="Q3999">
        <f>IF('Loan Tape (S&amp;P)'!V3999="Yes",
    1.20,
    1.00)</f>
        <v/>
      </c>
      <c r="T3999">
        <f>LET(
    payment_method,'Loan Tape (S&amp;P)'!P3999,
    occupancy,'Loan Tape (S&amp;P)'!N3999,
    maturity_date,'Loan Tape (S&amp;P)'!L3999,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00">
      <c r="J4000">
        <f>LET(
    lien,'Loan Tape (S&amp;P)'!Q4000,
    IF(lien="First",1.00,
        IF(lien="Second",1.50,
            1.70)))</f>
        <v/>
      </c>
      <c r="K4000">
        <f>LET(
    purpose,'Loan Tape (S&amp;P)'!R4000,
    IF(purpose="Purchase",1.00,
        IF(purpose="Remortgage",1.00,
            1.20)))</f>
        <v/>
      </c>
      <c r="L4000">
        <f>LET(
    arrears_months,'Loan Tape (S&amp;P)'!AN4000,
    IF(arrears_months=0,1.00,
    IF(arrears_months=1,3.00,
    IF(arrears_months=2,5.00,
    IF(arrears_months=3,8.00,
    IF(arrears_months=4,10.00,
    IF(arrears_months=5,12.00,15.00)))))))</f>
        <v/>
      </c>
      <c r="M4000">
        <f>LET(
    seasoning_years,DATEDIF('Loan Tape (S&amp;P)'!K4000,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00">
        <f>IF(AND('Loan Tape (S&amp;P)'!U4000="Yes",
        'Loan Tape (S&amp;P)'!T4000&lt;&gt;"Yes",
        DATEDIF('Loan Tape (S&amp;P)'!K4000, TODAY(), "M")&lt;18),
    1.10,
    1.00)</f>
        <v/>
      </c>
      <c r="O4000">
        <f>IF('Loan Tape (S&amp;P)'!T4000="Yes",
    1.35,
    1.00)</f>
        <v/>
      </c>
      <c r="P4000">
        <f>IF('Loan Tape (S&amp;P)'!S4000="Yes",
    1.15,
    1.00)</f>
        <v/>
      </c>
      <c r="Q4000">
        <f>IF('Loan Tape (S&amp;P)'!V4000="Yes",
    1.20,
    1.00)</f>
        <v/>
      </c>
      <c r="T4000">
        <f>LET(
    payment_method,'Loan Tape (S&amp;P)'!P4000,
    occupancy,'Loan Tape (S&amp;P)'!N4000,
    maturity_date,'Loan Tape (S&amp;P)'!L4000,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01">
      <c r="J4001">
        <f>LET(
    lien,'Loan Tape (S&amp;P)'!Q4001,
    IF(lien="First",1.00,
        IF(lien="Second",1.50,
            1.70)))</f>
        <v/>
      </c>
      <c r="K4001">
        <f>LET(
    purpose,'Loan Tape (S&amp;P)'!R4001,
    IF(purpose="Purchase",1.00,
        IF(purpose="Remortgage",1.00,
            1.20)))</f>
        <v/>
      </c>
      <c r="L4001">
        <f>LET(
    arrears_months,'Loan Tape (S&amp;P)'!AN4001,
    IF(arrears_months=0,1.00,
    IF(arrears_months=1,3.00,
    IF(arrears_months=2,5.00,
    IF(arrears_months=3,8.00,
    IF(arrears_months=4,10.00,
    IF(arrears_months=5,12.00,15.00)))))))</f>
        <v/>
      </c>
      <c r="M4001">
        <f>LET(
    seasoning_years,DATEDIF('Loan Tape (S&amp;P)'!K4001,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01">
        <f>IF(AND('Loan Tape (S&amp;P)'!U4001="Yes",
        'Loan Tape (S&amp;P)'!T4001&lt;&gt;"Yes",
        DATEDIF('Loan Tape (S&amp;P)'!K4001, TODAY(), "M")&lt;18),
    1.10,
    1.00)</f>
        <v/>
      </c>
      <c r="O4001">
        <f>IF('Loan Tape (S&amp;P)'!T4001="Yes",
    1.35,
    1.00)</f>
        <v/>
      </c>
      <c r="P4001">
        <f>IF('Loan Tape (S&amp;P)'!S4001="Yes",
    1.15,
    1.00)</f>
        <v/>
      </c>
      <c r="Q4001">
        <f>IF('Loan Tape (S&amp;P)'!V4001="Yes",
    1.20,
    1.00)</f>
        <v/>
      </c>
      <c r="T4001">
        <f>LET(
    payment_method,'Loan Tape (S&amp;P)'!P4001,
    occupancy,'Loan Tape (S&amp;P)'!N4001,
    maturity_date,'Loan Tape (S&amp;P)'!L4001,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02">
      <c r="J4002">
        <f>LET(
    lien,'Loan Tape (S&amp;P)'!Q4002,
    IF(lien="First",1.00,
        IF(lien="Second",1.50,
            1.70)))</f>
        <v/>
      </c>
      <c r="K4002">
        <f>LET(
    purpose,'Loan Tape (S&amp;P)'!R4002,
    IF(purpose="Purchase",1.00,
        IF(purpose="Remortgage",1.00,
            1.20)))</f>
        <v/>
      </c>
      <c r="L4002">
        <f>LET(
    arrears_months,'Loan Tape (S&amp;P)'!AN4002,
    IF(arrears_months=0,1.00,
    IF(arrears_months=1,3.00,
    IF(arrears_months=2,5.00,
    IF(arrears_months=3,8.00,
    IF(arrears_months=4,10.00,
    IF(arrears_months=5,12.00,15.00)))))))</f>
        <v/>
      </c>
      <c r="M4002">
        <f>LET(
    seasoning_years,DATEDIF('Loan Tape (S&amp;P)'!K4002,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02">
        <f>IF(AND('Loan Tape (S&amp;P)'!U4002="Yes",
        'Loan Tape (S&amp;P)'!T4002&lt;&gt;"Yes",
        DATEDIF('Loan Tape (S&amp;P)'!K4002, TODAY(), "M")&lt;18),
    1.10,
    1.00)</f>
        <v/>
      </c>
      <c r="O4002">
        <f>IF('Loan Tape (S&amp;P)'!T4002="Yes",
    1.35,
    1.00)</f>
        <v/>
      </c>
      <c r="P4002">
        <f>IF('Loan Tape (S&amp;P)'!S4002="Yes",
    1.15,
    1.00)</f>
        <v/>
      </c>
      <c r="Q4002">
        <f>IF('Loan Tape (S&amp;P)'!V4002="Yes",
    1.20,
    1.00)</f>
        <v/>
      </c>
      <c r="T4002">
        <f>LET(
    payment_method,'Loan Tape (S&amp;P)'!P4002,
    occupancy,'Loan Tape (S&amp;P)'!N4002,
    maturity_date,'Loan Tape (S&amp;P)'!L4002,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03">
      <c r="J4003">
        <f>LET(
    lien,'Loan Tape (S&amp;P)'!Q4003,
    IF(lien="First",1.00,
        IF(lien="Second",1.50,
            1.70)))</f>
        <v/>
      </c>
      <c r="K4003">
        <f>LET(
    purpose,'Loan Tape (S&amp;P)'!R4003,
    IF(purpose="Purchase",1.00,
        IF(purpose="Remortgage",1.00,
            1.20)))</f>
        <v/>
      </c>
      <c r="L4003">
        <f>LET(
    arrears_months,'Loan Tape (S&amp;P)'!AN4003,
    IF(arrears_months=0,1.00,
    IF(arrears_months=1,3.00,
    IF(arrears_months=2,5.00,
    IF(arrears_months=3,8.00,
    IF(arrears_months=4,10.00,
    IF(arrears_months=5,12.00,15.00)))))))</f>
        <v/>
      </c>
      <c r="M4003">
        <f>LET(
    seasoning_years,DATEDIF('Loan Tape (S&amp;P)'!K4003,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03">
        <f>IF(AND('Loan Tape (S&amp;P)'!U4003="Yes",
        'Loan Tape (S&amp;P)'!T4003&lt;&gt;"Yes",
        DATEDIF('Loan Tape (S&amp;P)'!K4003, TODAY(), "M")&lt;18),
    1.10,
    1.00)</f>
        <v/>
      </c>
      <c r="O4003">
        <f>IF('Loan Tape (S&amp;P)'!T4003="Yes",
    1.35,
    1.00)</f>
        <v/>
      </c>
      <c r="P4003">
        <f>IF('Loan Tape (S&amp;P)'!S4003="Yes",
    1.15,
    1.00)</f>
        <v/>
      </c>
      <c r="Q4003">
        <f>IF('Loan Tape (S&amp;P)'!V4003="Yes",
    1.20,
    1.00)</f>
        <v/>
      </c>
      <c r="T4003">
        <f>LET(
    payment_method,'Loan Tape (S&amp;P)'!P4003,
    occupancy,'Loan Tape (S&amp;P)'!N4003,
    maturity_date,'Loan Tape (S&amp;P)'!L4003,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04">
      <c r="J4004">
        <f>LET(
    lien,'Loan Tape (S&amp;P)'!Q4004,
    IF(lien="First",1.00,
        IF(lien="Second",1.50,
            1.70)))</f>
        <v/>
      </c>
      <c r="K4004">
        <f>LET(
    purpose,'Loan Tape (S&amp;P)'!R4004,
    IF(purpose="Purchase",1.00,
        IF(purpose="Remortgage",1.00,
            1.20)))</f>
        <v/>
      </c>
      <c r="L4004">
        <f>LET(
    arrears_months,'Loan Tape (S&amp;P)'!AN4004,
    IF(arrears_months=0,1.00,
    IF(arrears_months=1,3.00,
    IF(arrears_months=2,5.00,
    IF(arrears_months=3,8.00,
    IF(arrears_months=4,10.00,
    IF(arrears_months=5,12.00,15.00)))))))</f>
        <v/>
      </c>
      <c r="M4004">
        <f>LET(
    seasoning_years,DATEDIF('Loan Tape (S&amp;P)'!K4004,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04">
        <f>IF(AND('Loan Tape (S&amp;P)'!U4004="Yes",
        'Loan Tape (S&amp;P)'!T4004&lt;&gt;"Yes",
        DATEDIF('Loan Tape (S&amp;P)'!K4004, TODAY(), "M")&lt;18),
    1.10,
    1.00)</f>
        <v/>
      </c>
      <c r="O4004">
        <f>IF('Loan Tape (S&amp;P)'!T4004="Yes",
    1.35,
    1.00)</f>
        <v/>
      </c>
      <c r="P4004">
        <f>IF('Loan Tape (S&amp;P)'!S4004="Yes",
    1.15,
    1.00)</f>
        <v/>
      </c>
      <c r="Q4004">
        <f>IF('Loan Tape (S&amp;P)'!V4004="Yes",
    1.20,
    1.00)</f>
        <v/>
      </c>
      <c r="T4004">
        <f>LET(
    payment_method,'Loan Tape (S&amp;P)'!P4004,
    occupancy,'Loan Tape (S&amp;P)'!N4004,
    maturity_date,'Loan Tape (S&amp;P)'!L4004,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05">
      <c r="J4005">
        <f>LET(
    lien,'Loan Tape (S&amp;P)'!Q4005,
    IF(lien="First",1.00,
        IF(lien="Second",1.50,
            1.70)))</f>
        <v/>
      </c>
      <c r="K4005">
        <f>LET(
    purpose,'Loan Tape (S&amp;P)'!R4005,
    IF(purpose="Purchase",1.00,
        IF(purpose="Remortgage",1.00,
            1.20)))</f>
        <v/>
      </c>
      <c r="L4005">
        <f>LET(
    arrears_months,'Loan Tape (S&amp;P)'!AN4005,
    IF(arrears_months=0,1.00,
    IF(arrears_months=1,3.00,
    IF(arrears_months=2,5.00,
    IF(arrears_months=3,8.00,
    IF(arrears_months=4,10.00,
    IF(arrears_months=5,12.00,15.00)))))))</f>
        <v/>
      </c>
      <c r="M4005">
        <f>LET(
    seasoning_years,DATEDIF('Loan Tape (S&amp;P)'!K4005,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05">
        <f>IF(AND('Loan Tape (S&amp;P)'!U4005="Yes",
        'Loan Tape (S&amp;P)'!T4005&lt;&gt;"Yes",
        DATEDIF('Loan Tape (S&amp;P)'!K4005, TODAY(), "M")&lt;18),
    1.10,
    1.00)</f>
        <v/>
      </c>
      <c r="O4005">
        <f>IF('Loan Tape (S&amp;P)'!T4005="Yes",
    1.35,
    1.00)</f>
        <v/>
      </c>
      <c r="P4005">
        <f>IF('Loan Tape (S&amp;P)'!S4005="Yes",
    1.15,
    1.00)</f>
        <v/>
      </c>
      <c r="Q4005">
        <f>IF('Loan Tape (S&amp;P)'!V4005="Yes",
    1.20,
    1.00)</f>
        <v/>
      </c>
      <c r="T4005">
        <f>LET(
    payment_method,'Loan Tape (S&amp;P)'!P4005,
    occupancy,'Loan Tape (S&amp;P)'!N4005,
    maturity_date,'Loan Tape (S&amp;P)'!L4005,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06">
      <c r="J4006">
        <f>LET(
    lien,'Loan Tape (S&amp;P)'!Q4006,
    IF(lien="First",1.00,
        IF(lien="Second",1.50,
            1.70)))</f>
        <v/>
      </c>
      <c r="K4006">
        <f>LET(
    purpose,'Loan Tape (S&amp;P)'!R4006,
    IF(purpose="Purchase",1.00,
        IF(purpose="Remortgage",1.00,
            1.20)))</f>
        <v/>
      </c>
      <c r="L4006">
        <f>LET(
    arrears_months,'Loan Tape (S&amp;P)'!AN4006,
    IF(arrears_months=0,1.00,
    IF(arrears_months=1,3.00,
    IF(arrears_months=2,5.00,
    IF(arrears_months=3,8.00,
    IF(arrears_months=4,10.00,
    IF(arrears_months=5,12.00,15.00)))))))</f>
        <v/>
      </c>
      <c r="M4006">
        <f>LET(
    seasoning_years,DATEDIF('Loan Tape (S&amp;P)'!K4006,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06">
        <f>IF(AND('Loan Tape (S&amp;P)'!U4006="Yes",
        'Loan Tape (S&amp;P)'!T4006&lt;&gt;"Yes",
        DATEDIF('Loan Tape (S&amp;P)'!K4006, TODAY(), "M")&lt;18),
    1.10,
    1.00)</f>
        <v/>
      </c>
      <c r="O4006">
        <f>IF('Loan Tape (S&amp;P)'!T4006="Yes",
    1.35,
    1.00)</f>
        <v/>
      </c>
      <c r="P4006">
        <f>IF('Loan Tape (S&amp;P)'!S4006="Yes",
    1.15,
    1.00)</f>
        <v/>
      </c>
      <c r="Q4006">
        <f>IF('Loan Tape (S&amp;P)'!V4006="Yes",
    1.20,
    1.00)</f>
        <v/>
      </c>
      <c r="T4006">
        <f>LET(
    payment_method,'Loan Tape (S&amp;P)'!P4006,
    occupancy,'Loan Tape (S&amp;P)'!N4006,
    maturity_date,'Loan Tape (S&amp;P)'!L4006,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07">
      <c r="J4007">
        <f>LET(
    lien,'Loan Tape (S&amp;P)'!Q4007,
    IF(lien="First",1.00,
        IF(lien="Second",1.50,
            1.70)))</f>
        <v/>
      </c>
      <c r="K4007">
        <f>LET(
    purpose,'Loan Tape (S&amp;P)'!R4007,
    IF(purpose="Purchase",1.00,
        IF(purpose="Remortgage",1.00,
            1.20)))</f>
        <v/>
      </c>
      <c r="L4007">
        <f>LET(
    arrears_months,'Loan Tape (S&amp;P)'!AN4007,
    IF(arrears_months=0,1.00,
    IF(arrears_months=1,3.00,
    IF(arrears_months=2,5.00,
    IF(arrears_months=3,8.00,
    IF(arrears_months=4,10.00,
    IF(arrears_months=5,12.00,15.00)))))))</f>
        <v/>
      </c>
      <c r="M4007">
        <f>LET(
    seasoning_years,DATEDIF('Loan Tape (S&amp;P)'!K4007,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07">
        <f>IF(AND('Loan Tape (S&amp;P)'!U4007="Yes",
        'Loan Tape (S&amp;P)'!T4007&lt;&gt;"Yes",
        DATEDIF('Loan Tape (S&amp;P)'!K4007, TODAY(), "M")&lt;18),
    1.10,
    1.00)</f>
        <v/>
      </c>
      <c r="O4007">
        <f>IF('Loan Tape (S&amp;P)'!T4007="Yes",
    1.35,
    1.00)</f>
        <v/>
      </c>
      <c r="P4007">
        <f>IF('Loan Tape (S&amp;P)'!S4007="Yes",
    1.15,
    1.00)</f>
        <v/>
      </c>
      <c r="Q4007">
        <f>IF('Loan Tape (S&amp;P)'!V4007="Yes",
    1.20,
    1.00)</f>
        <v/>
      </c>
      <c r="T4007">
        <f>LET(
    payment_method,'Loan Tape (S&amp;P)'!P4007,
    occupancy,'Loan Tape (S&amp;P)'!N4007,
    maturity_date,'Loan Tape (S&amp;P)'!L4007,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08">
      <c r="J4008">
        <f>LET(
    lien,'Loan Tape (S&amp;P)'!Q4008,
    IF(lien="First",1.00,
        IF(lien="Second",1.50,
            1.70)))</f>
        <v/>
      </c>
      <c r="K4008">
        <f>LET(
    purpose,'Loan Tape (S&amp;P)'!R4008,
    IF(purpose="Purchase",1.00,
        IF(purpose="Remortgage",1.00,
            1.20)))</f>
        <v/>
      </c>
      <c r="L4008">
        <f>LET(
    arrears_months,'Loan Tape (S&amp;P)'!AN4008,
    IF(arrears_months=0,1.00,
    IF(arrears_months=1,3.00,
    IF(arrears_months=2,5.00,
    IF(arrears_months=3,8.00,
    IF(arrears_months=4,10.00,
    IF(arrears_months=5,12.00,15.00)))))))</f>
        <v/>
      </c>
      <c r="M4008">
        <f>LET(
    seasoning_years,DATEDIF('Loan Tape (S&amp;P)'!K4008,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08">
        <f>IF(AND('Loan Tape (S&amp;P)'!U4008="Yes",
        'Loan Tape (S&amp;P)'!T4008&lt;&gt;"Yes",
        DATEDIF('Loan Tape (S&amp;P)'!K4008, TODAY(), "M")&lt;18),
    1.10,
    1.00)</f>
        <v/>
      </c>
      <c r="O4008">
        <f>IF('Loan Tape (S&amp;P)'!T4008="Yes",
    1.35,
    1.00)</f>
        <v/>
      </c>
      <c r="P4008">
        <f>IF('Loan Tape (S&amp;P)'!S4008="Yes",
    1.15,
    1.00)</f>
        <v/>
      </c>
      <c r="Q4008">
        <f>IF('Loan Tape (S&amp;P)'!V4008="Yes",
    1.20,
    1.00)</f>
        <v/>
      </c>
      <c r="T4008">
        <f>LET(
    payment_method,'Loan Tape (S&amp;P)'!P4008,
    occupancy,'Loan Tape (S&amp;P)'!N4008,
    maturity_date,'Loan Tape (S&amp;P)'!L4008,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09">
      <c r="J4009">
        <f>LET(
    lien,'Loan Tape (S&amp;P)'!Q4009,
    IF(lien="First",1.00,
        IF(lien="Second",1.50,
            1.70)))</f>
        <v/>
      </c>
      <c r="K4009">
        <f>LET(
    purpose,'Loan Tape (S&amp;P)'!R4009,
    IF(purpose="Purchase",1.00,
        IF(purpose="Remortgage",1.00,
            1.20)))</f>
        <v/>
      </c>
      <c r="L4009">
        <f>LET(
    arrears_months,'Loan Tape (S&amp;P)'!AN4009,
    IF(arrears_months=0,1.00,
    IF(arrears_months=1,3.00,
    IF(arrears_months=2,5.00,
    IF(arrears_months=3,8.00,
    IF(arrears_months=4,10.00,
    IF(arrears_months=5,12.00,15.00)))))))</f>
        <v/>
      </c>
      <c r="M4009">
        <f>LET(
    seasoning_years,DATEDIF('Loan Tape (S&amp;P)'!K4009,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09">
        <f>IF(AND('Loan Tape (S&amp;P)'!U4009="Yes",
        'Loan Tape (S&amp;P)'!T4009&lt;&gt;"Yes",
        DATEDIF('Loan Tape (S&amp;P)'!K4009, TODAY(), "M")&lt;18),
    1.10,
    1.00)</f>
        <v/>
      </c>
      <c r="O4009">
        <f>IF('Loan Tape (S&amp;P)'!T4009="Yes",
    1.35,
    1.00)</f>
        <v/>
      </c>
      <c r="P4009">
        <f>IF('Loan Tape (S&amp;P)'!S4009="Yes",
    1.15,
    1.00)</f>
        <v/>
      </c>
      <c r="Q4009">
        <f>IF('Loan Tape (S&amp;P)'!V4009="Yes",
    1.20,
    1.00)</f>
        <v/>
      </c>
      <c r="T4009">
        <f>LET(
    payment_method,'Loan Tape (S&amp;P)'!P4009,
    occupancy,'Loan Tape (S&amp;P)'!N4009,
    maturity_date,'Loan Tape (S&amp;P)'!L4009,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10">
      <c r="J4010">
        <f>LET(
    lien,'Loan Tape (S&amp;P)'!Q4010,
    IF(lien="First",1.00,
        IF(lien="Second",1.50,
            1.70)))</f>
        <v/>
      </c>
      <c r="K4010">
        <f>LET(
    purpose,'Loan Tape (S&amp;P)'!R4010,
    IF(purpose="Purchase",1.00,
        IF(purpose="Remortgage",1.00,
            1.20)))</f>
        <v/>
      </c>
      <c r="L4010">
        <f>LET(
    arrears_months,'Loan Tape (S&amp;P)'!AN4010,
    IF(arrears_months=0,1.00,
    IF(arrears_months=1,3.00,
    IF(arrears_months=2,5.00,
    IF(arrears_months=3,8.00,
    IF(arrears_months=4,10.00,
    IF(arrears_months=5,12.00,15.00)))))))</f>
        <v/>
      </c>
      <c r="M4010">
        <f>LET(
    seasoning_years,DATEDIF('Loan Tape (S&amp;P)'!K4010,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10">
        <f>IF(AND('Loan Tape (S&amp;P)'!U4010="Yes",
        'Loan Tape (S&amp;P)'!T4010&lt;&gt;"Yes",
        DATEDIF('Loan Tape (S&amp;P)'!K4010, TODAY(), "M")&lt;18),
    1.10,
    1.00)</f>
        <v/>
      </c>
      <c r="O4010">
        <f>IF('Loan Tape (S&amp;P)'!T4010="Yes",
    1.35,
    1.00)</f>
        <v/>
      </c>
      <c r="P4010">
        <f>IF('Loan Tape (S&amp;P)'!S4010="Yes",
    1.15,
    1.00)</f>
        <v/>
      </c>
      <c r="Q4010">
        <f>IF('Loan Tape (S&amp;P)'!V4010="Yes",
    1.20,
    1.00)</f>
        <v/>
      </c>
      <c r="T4010">
        <f>LET(
    payment_method,'Loan Tape (S&amp;P)'!P4010,
    occupancy,'Loan Tape (S&amp;P)'!N4010,
    maturity_date,'Loan Tape (S&amp;P)'!L4010,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11">
      <c r="J4011">
        <f>LET(
    lien,'Loan Tape (S&amp;P)'!Q4011,
    IF(lien="First",1.00,
        IF(lien="Second",1.50,
            1.70)))</f>
        <v/>
      </c>
      <c r="K4011">
        <f>LET(
    purpose,'Loan Tape (S&amp;P)'!R4011,
    IF(purpose="Purchase",1.00,
        IF(purpose="Remortgage",1.00,
            1.20)))</f>
        <v/>
      </c>
      <c r="L4011">
        <f>LET(
    arrears_months,'Loan Tape (S&amp;P)'!AN4011,
    IF(arrears_months=0,1.00,
    IF(arrears_months=1,3.00,
    IF(arrears_months=2,5.00,
    IF(arrears_months=3,8.00,
    IF(arrears_months=4,10.00,
    IF(arrears_months=5,12.00,15.00)))))))</f>
        <v/>
      </c>
      <c r="M4011">
        <f>LET(
    seasoning_years,DATEDIF('Loan Tape (S&amp;P)'!K4011,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11">
        <f>IF(AND('Loan Tape (S&amp;P)'!U4011="Yes",
        'Loan Tape (S&amp;P)'!T4011&lt;&gt;"Yes",
        DATEDIF('Loan Tape (S&amp;P)'!K4011, TODAY(), "M")&lt;18),
    1.10,
    1.00)</f>
        <v/>
      </c>
      <c r="O4011">
        <f>IF('Loan Tape (S&amp;P)'!T4011="Yes",
    1.35,
    1.00)</f>
        <v/>
      </c>
      <c r="P4011">
        <f>IF('Loan Tape (S&amp;P)'!S4011="Yes",
    1.15,
    1.00)</f>
        <v/>
      </c>
      <c r="Q4011">
        <f>IF('Loan Tape (S&amp;P)'!V4011="Yes",
    1.20,
    1.00)</f>
        <v/>
      </c>
      <c r="T4011">
        <f>LET(
    payment_method,'Loan Tape (S&amp;P)'!P4011,
    occupancy,'Loan Tape (S&amp;P)'!N4011,
    maturity_date,'Loan Tape (S&amp;P)'!L4011,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12">
      <c r="J4012">
        <f>LET(
    lien,'Loan Tape (S&amp;P)'!Q4012,
    IF(lien="First",1.00,
        IF(lien="Second",1.50,
            1.70)))</f>
        <v/>
      </c>
      <c r="K4012">
        <f>LET(
    purpose,'Loan Tape (S&amp;P)'!R4012,
    IF(purpose="Purchase",1.00,
        IF(purpose="Remortgage",1.00,
            1.20)))</f>
        <v/>
      </c>
      <c r="L4012">
        <f>LET(
    arrears_months,'Loan Tape (S&amp;P)'!AN4012,
    IF(arrears_months=0,1.00,
    IF(arrears_months=1,3.00,
    IF(arrears_months=2,5.00,
    IF(arrears_months=3,8.00,
    IF(arrears_months=4,10.00,
    IF(arrears_months=5,12.00,15.00)))))))</f>
        <v/>
      </c>
      <c r="M4012">
        <f>LET(
    seasoning_years,DATEDIF('Loan Tape (S&amp;P)'!K4012,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12">
        <f>IF(AND('Loan Tape (S&amp;P)'!U4012="Yes",
        'Loan Tape (S&amp;P)'!T4012&lt;&gt;"Yes",
        DATEDIF('Loan Tape (S&amp;P)'!K4012, TODAY(), "M")&lt;18),
    1.10,
    1.00)</f>
        <v/>
      </c>
      <c r="O4012">
        <f>IF('Loan Tape (S&amp;P)'!T4012="Yes",
    1.35,
    1.00)</f>
        <v/>
      </c>
      <c r="P4012">
        <f>IF('Loan Tape (S&amp;P)'!S4012="Yes",
    1.15,
    1.00)</f>
        <v/>
      </c>
      <c r="Q4012">
        <f>IF('Loan Tape (S&amp;P)'!V4012="Yes",
    1.20,
    1.00)</f>
        <v/>
      </c>
      <c r="T4012">
        <f>LET(
    payment_method,'Loan Tape (S&amp;P)'!P4012,
    occupancy,'Loan Tape (S&amp;P)'!N4012,
    maturity_date,'Loan Tape (S&amp;P)'!L4012,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13">
      <c r="J4013">
        <f>LET(
    lien,'Loan Tape (S&amp;P)'!Q4013,
    IF(lien="First",1.00,
        IF(lien="Second",1.50,
            1.70)))</f>
        <v/>
      </c>
      <c r="K4013">
        <f>LET(
    purpose,'Loan Tape (S&amp;P)'!R4013,
    IF(purpose="Purchase",1.00,
        IF(purpose="Remortgage",1.00,
            1.20)))</f>
        <v/>
      </c>
      <c r="L4013">
        <f>LET(
    arrears_months,'Loan Tape (S&amp;P)'!AN4013,
    IF(arrears_months=0,1.00,
    IF(arrears_months=1,3.00,
    IF(arrears_months=2,5.00,
    IF(arrears_months=3,8.00,
    IF(arrears_months=4,10.00,
    IF(arrears_months=5,12.00,15.00)))))))</f>
        <v/>
      </c>
      <c r="M4013">
        <f>LET(
    seasoning_years,DATEDIF('Loan Tape (S&amp;P)'!K4013,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13">
        <f>IF(AND('Loan Tape (S&amp;P)'!U4013="Yes",
        'Loan Tape (S&amp;P)'!T4013&lt;&gt;"Yes",
        DATEDIF('Loan Tape (S&amp;P)'!K4013, TODAY(), "M")&lt;18),
    1.10,
    1.00)</f>
        <v/>
      </c>
      <c r="O4013">
        <f>IF('Loan Tape (S&amp;P)'!T4013="Yes",
    1.35,
    1.00)</f>
        <v/>
      </c>
      <c r="P4013">
        <f>IF('Loan Tape (S&amp;P)'!S4013="Yes",
    1.15,
    1.00)</f>
        <v/>
      </c>
      <c r="Q4013">
        <f>IF('Loan Tape (S&amp;P)'!V4013="Yes",
    1.20,
    1.00)</f>
        <v/>
      </c>
      <c r="T4013">
        <f>LET(
    payment_method,'Loan Tape (S&amp;P)'!P4013,
    occupancy,'Loan Tape (S&amp;P)'!N4013,
    maturity_date,'Loan Tape (S&amp;P)'!L4013,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14">
      <c r="J4014">
        <f>LET(
    lien,'Loan Tape (S&amp;P)'!Q4014,
    IF(lien="First",1.00,
        IF(lien="Second",1.50,
            1.70)))</f>
        <v/>
      </c>
      <c r="K4014">
        <f>LET(
    purpose,'Loan Tape (S&amp;P)'!R4014,
    IF(purpose="Purchase",1.00,
        IF(purpose="Remortgage",1.00,
            1.20)))</f>
        <v/>
      </c>
      <c r="L4014">
        <f>LET(
    arrears_months,'Loan Tape (S&amp;P)'!AN4014,
    IF(arrears_months=0,1.00,
    IF(arrears_months=1,3.00,
    IF(arrears_months=2,5.00,
    IF(arrears_months=3,8.00,
    IF(arrears_months=4,10.00,
    IF(arrears_months=5,12.00,15.00)))))))</f>
        <v/>
      </c>
      <c r="M4014">
        <f>LET(
    seasoning_years,DATEDIF('Loan Tape (S&amp;P)'!K4014,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14">
        <f>IF(AND('Loan Tape (S&amp;P)'!U4014="Yes",
        'Loan Tape (S&amp;P)'!T4014&lt;&gt;"Yes",
        DATEDIF('Loan Tape (S&amp;P)'!K4014, TODAY(), "M")&lt;18),
    1.10,
    1.00)</f>
        <v/>
      </c>
      <c r="O4014">
        <f>IF('Loan Tape (S&amp;P)'!T4014="Yes",
    1.35,
    1.00)</f>
        <v/>
      </c>
      <c r="P4014">
        <f>IF('Loan Tape (S&amp;P)'!S4014="Yes",
    1.15,
    1.00)</f>
        <v/>
      </c>
      <c r="Q4014">
        <f>IF('Loan Tape (S&amp;P)'!V4014="Yes",
    1.20,
    1.00)</f>
        <v/>
      </c>
      <c r="T4014">
        <f>LET(
    payment_method,'Loan Tape (S&amp;P)'!P4014,
    occupancy,'Loan Tape (S&amp;P)'!N4014,
    maturity_date,'Loan Tape (S&amp;P)'!L4014,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15">
      <c r="J4015">
        <f>LET(
    lien,'Loan Tape (S&amp;P)'!Q4015,
    IF(lien="First",1.00,
        IF(lien="Second",1.50,
            1.70)))</f>
        <v/>
      </c>
      <c r="K4015">
        <f>LET(
    purpose,'Loan Tape (S&amp;P)'!R4015,
    IF(purpose="Purchase",1.00,
        IF(purpose="Remortgage",1.00,
            1.20)))</f>
        <v/>
      </c>
      <c r="L4015">
        <f>LET(
    arrears_months,'Loan Tape (S&amp;P)'!AN4015,
    IF(arrears_months=0,1.00,
    IF(arrears_months=1,3.00,
    IF(arrears_months=2,5.00,
    IF(arrears_months=3,8.00,
    IF(arrears_months=4,10.00,
    IF(arrears_months=5,12.00,15.00)))))))</f>
        <v/>
      </c>
      <c r="M4015">
        <f>LET(
    seasoning_years,DATEDIF('Loan Tape (S&amp;P)'!K4015,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15">
        <f>IF(AND('Loan Tape (S&amp;P)'!U4015="Yes",
        'Loan Tape (S&amp;P)'!T4015&lt;&gt;"Yes",
        DATEDIF('Loan Tape (S&amp;P)'!K4015, TODAY(), "M")&lt;18),
    1.10,
    1.00)</f>
        <v/>
      </c>
      <c r="O4015">
        <f>IF('Loan Tape (S&amp;P)'!T4015="Yes",
    1.35,
    1.00)</f>
        <v/>
      </c>
      <c r="P4015">
        <f>IF('Loan Tape (S&amp;P)'!S4015="Yes",
    1.15,
    1.00)</f>
        <v/>
      </c>
      <c r="Q4015">
        <f>IF('Loan Tape (S&amp;P)'!V4015="Yes",
    1.20,
    1.00)</f>
        <v/>
      </c>
      <c r="T4015">
        <f>LET(
    payment_method,'Loan Tape (S&amp;P)'!P4015,
    occupancy,'Loan Tape (S&amp;P)'!N4015,
    maturity_date,'Loan Tape (S&amp;P)'!L4015,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16">
      <c r="J4016">
        <f>LET(
    lien,'Loan Tape (S&amp;P)'!Q4016,
    IF(lien="First",1.00,
        IF(lien="Second",1.50,
            1.70)))</f>
        <v/>
      </c>
      <c r="K4016">
        <f>LET(
    purpose,'Loan Tape (S&amp;P)'!R4016,
    IF(purpose="Purchase",1.00,
        IF(purpose="Remortgage",1.00,
            1.20)))</f>
        <v/>
      </c>
      <c r="L4016">
        <f>LET(
    arrears_months,'Loan Tape (S&amp;P)'!AN4016,
    IF(arrears_months=0,1.00,
    IF(arrears_months=1,3.00,
    IF(arrears_months=2,5.00,
    IF(arrears_months=3,8.00,
    IF(arrears_months=4,10.00,
    IF(arrears_months=5,12.00,15.00)))))))</f>
        <v/>
      </c>
      <c r="M4016">
        <f>LET(
    seasoning_years,DATEDIF('Loan Tape (S&amp;P)'!K4016,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16">
        <f>IF(AND('Loan Tape (S&amp;P)'!U4016="Yes",
        'Loan Tape (S&amp;P)'!T4016&lt;&gt;"Yes",
        DATEDIF('Loan Tape (S&amp;P)'!K4016, TODAY(), "M")&lt;18),
    1.10,
    1.00)</f>
        <v/>
      </c>
      <c r="O4016">
        <f>IF('Loan Tape (S&amp;P)'!T4016="Yes",
    1.35,
    1.00)</f>
        <v/>
      </c>
      <c r="P4016">
        <f>IF('Loan Tape (S&amp;P)'!S4016="Yes",
    1.15,
    1.00)</f>
        <v/>
      </c>
      <c r="Q4016">
        <f>IF('Loan Tape (S&amp;P)'!V4016="Yes",
    1.20,
    1.00)</f>
        <v/>
      </c>
      <c r="T4016">
        <f>LET(
    payment_method,'Loan Tape (S&amp;P)'!P4016,
    occupancy,'Loan Tape (S&amp;P)'!N4016,
    maturity_date,'Loan Tape (S&amp;P)'!L4016,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17">
      <c r="J4017">
        <f>LET(
    lien,'Loan Tape (S&amp;P)'!Q4017,
    IF(lien="First",1.00,
        IF(lien="Second",1.50,
            1.70)))</f>
        <v/>
      </c>
      <c r="K4017">
        <f>LET(
    purpose,'Loan Tape (S&amp;P)'!R4017,
    IF(purpose="Purchase",1.00,
        IF(purpose="Remortgage",1.00,
            1.20)))</f>
        <v/>
      </c>
      <c r="L4017">
        <f>LET(
    arrears_months,'Loan Tape (S&amp;P)'!AN4017,
    IF(arrears_months=0,1.00,
    IF(arrears_months=1,3.00,
    IF(arrears_months=2,5.00,
    IF(arrears_months=3,8.00,
    IF(arrears_months=4,10.00,
    IF(arrears_months=5,12.00,15.00)))))))</f>
        <v/>
      </c>
      <c r="M4017">
        <f>LET(
    seasoning_years,DATEDIF('Loan Tape (S&amp;P)'!K4017,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17">
        <f>IF(AND('Loan Tape (S&amp;P)'!U4017="Yes",
        'Loan Tape (S&amp;P)'!T4017&lt;&gt;"Yes",
        DATEDIF('Loan Tape (S&amp;P)'!K4017, TODAY(), "M")&lt;18),
    1.10,
    1.00)</f>
        <v/>
      </c>
      <c r="O4017">
        <f>IF('Loan Tape (S&amp;P)'!T4017="Yes",
    1.35,
    1.00)</f>
        <v/>
      </c>
      <c r="P4017">
        <f>IF('Loan Tape (S&amp;P)'!S4017="Yes",
    1.15,
    1.00)</f>
        <v/>
      </c>
      <c r="Q4017">
        <f>IF('Loan Tape (S&amp;P)'!V4017="Yes",
    1.20,
    1.00)</f>
        <v/>
      </c>
      <c r="T4017">
        <f>LET(
    payment_method,'Loan Tape (S&amp;P)'!P4017,
    occupancy,'Loan Tape (S&amp;P)'!N4017,
    maturity_date,'Loan Tape (S&amp;P)'!L4017,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18">
      <c r="J4018">
        <f>LET(
    lien,'Loan Tape (S&amp;P)'!Q4018,
    IF(lien="First",1.00,
        IF(lien="Second",1.50,
            1.70)))</f>
        <v/>
      </c>
      <c r="K4018">
        <f>LET(
    purpose,'Loan Tape (S&amp;P)'!R4018,
    IF(purpose="Purchase",1.00,
        IF(purpose="Remortgage",1.00,
            1.20)))</f>
        <v/>
      </c>
      <c r="L4018">
        <f>LET(
    arrears_months,'Loan Tape (S&amp;P)'!AN4018,
    IF(arrears_months=0,1.00,
    IF(arrears_months=1,3.00,
    IF(arrears_months=2,5.00,
    IF(arrears_months=3,8.00,
    IF(arrears_months=4,10.00,
    IF(arrears_months=5,12.00,15.00)))))))</f>
        <v/>
      </c>
      <c r="M4018">
        <f>LET(
    seasoning_years,DATEDIF('Loan Tape (S&amp;P)'!K4018,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18">
        <f>IF(AND('Loan Tape (S&amp;P)'!U4018="Yes",
        'Loan Tape (S&amp;P)'!T4018&lt;&gt;"Yes",
        DATEDIF('Loan Tape (S&amp;P)'!K4018, TODAY(), "M")&lt;18),
    1.10,
    1.00)</f>
        <v/>
      </c>
      <c r="O4018">
        <f>IF('Loan Tape (S&amp;P)'!T4018="Yes",
    1.35,
    1.00)</f>
        <v/>
      </c>
      <c r="P4018">
        <f>IF('Loan Tape (S&amp;P)'!S4018="Yes",
    1.15,
    1.00)</f>
        <v/>
      </c>
      <c r="Q4018">
        <f>IF('Loan Tape (S&amp;P)'!V4018="Yes",
    1.20,
    1.00)</f>
        <v/>
      </c>
      <c r="T4018">
        <f>LET(
    payment_method,'Loan Tape (S&amp;P)'!P4018,
    occupancy,'Loan Tape (S&amp;P)'!N4018,
    maturity_date,'Loan Tape (S&amp;P)'!L4018,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19">
      <c r="J4019">
        <f>LET(
    lien,'Loan Tape (S&amp;P)'!Q4019,
    IF(lien="First",1.00,
        IF(lien="Second",1.50,
            1.70)))</f>
        <v/>
      </c>
      <c r="K4019">
        <f>LET(
    purpose,'Loan Tape (S&amp;P)'!R4019,
    IF(purpose="Purchase",1.00,
        IF(purpose="Remortgage",1.00,
            1.20)))</f>
        <v/>
      </c>
      <c r="L4019">
        <f>LET(
    arrears_months,'Loan Tape (S&amp;P)'!AN4019,
    IF(arrears_months=0,1.00,
    IF(arrears_months=1,3.00,
    IF(arrears_months=2,5.00,
    IF(arrears_months=3,8.00,
    IF(arrears_months=4,10.00,
    IF(arrears_months=5,12.00,15.00)))))))</f>
        <v/>
      </c>
      <c r="M4019">
        <f>LET(
    seasoning_years,DATEDIF('Loan Tape (S&amp;P)'!K4019,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19">
        <f>IF(AND('Loan Tape (S&amp;P)'!U4019="Yes",
        'Loan Tape (S&amp;P)'!T4019&lt;&gt;"Yes",
        DATEDIF('Loan Tape (S&amp;P)'!K4019, TODAY(), "M")&lt;18),
    1.10,
    1.00)</f>
        <v/>
      </c>
      <c r="O4019">
        <f>IF('Loan Tape (S&amp;P)'!T4019="Yes",
    1.35,
    1.00)</f>
        <v/>
      </c>
      <c r="P4019">
        <f>IF('Loan Tape (S&amp;P)'!S4019="Yes",
    1.15,
    1.00)</f>
        <v/>
      </c>
      <c r="Q4019">
        <f>IF('Loan Tape (S&amp;P)'!V4019="Yes",
    1.20,
    1.00)</f>
        <v/>
      </c>
      <c r="T4019">
        <f>LET(
    payment_method,'Loan Tape (S&amp;P)'!P4019,
    occupancy,'Loan Tape (S&amp;P)'!N4019,
    maturity_date,'Loan Tape (S&amp;P)'!L4019,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20">
      <c r="J4020">
        <f>LET(
    lien,'Loan Tape (S&amp;P)'!Q4020,
    IF(lien="First",1.00,
        IF(lien="Second",1.50,
            1.70)))</f>
        <v/>
      </c>
      <c r="K4020">
        <f>LET(
    purpose,'Loan Tape (S&amp;P)'!R4020,
    IF(purpose="Purchase",1.00,
        IF(purpose="Remortgage",1.00,
            1.20)))</f>
        <v/>
      </c>
      <c r="L4020">
        <f>LET(
    arrears_months,'Loan Tape (S&amp;P)'!AN4020,
    IF(arrears_months=0,1.00,
    IF(arrears_months=1,3.00,
    IF(arrears_months=2,5.00,
    IF(arrears_months=3,8.00,
    IF(arrears_months=4,10.00,
    IF(arrears_months=5,12.00,15.00)))))))</f>
        <v/>
      </c>
      <c r="M4020">
        <f>LET(
    seasoning_years,DATEDIF('Loan Tape (S&amp;P)'!K4020,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20">
        <f>IF(AND('Loan Tape (S&amp;P)'!U4020="Yes",
        'Loan Tape (S&amp;P)'!T4020&lt;&gt;"Yes",
        DATEDIF('Loan Tape (S&amp;P)'!K4020, TODAY(), "M")&lt;18),
    1.10,
    1.00)</f>
        <v/>
      </c>
      <c r="O4020">
        <f>IF('Loan Tape (S&amp;P)'!T4020="Yes",
    1.35,
    1.00)</f>
        <v/>
      </c>
      <c r="P4020">
        <f>IF('Loan Tape (S&amp;P)'!S4020="Yes",
    1.15,
    1.00)</f>
        <v/>
      </c>
      <c r="Q4020">
        <f>IF('Loan Tape (S&amp;P)'!V4020="Yes",
    1.20,
    1.00)</f>
        <v/>
      </c>
      <c r="T4020">
        <f>LET(
    payment_method,'Loan Tape (S&amp;P)'!P4020,
    occupancy,'Loan Tape (S&amp;P)'!N4020,
    maturity_date,'Loan Tape (S&amp;P)'!L4020,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21">
      <c r="J4021">
        <f>LET(
    lien,'Loan Tape (S&amp;P)'!Q4021,
    IF(lien="First",1.00,
        IF(lien="Second",1.50,
            1.70)))</f>
        <v/>
      </c>
      <c r="K4021">
        <f>LET(
    purpose,'Loan Tape (S&amp;P)'!R4021,
    IF(purpose="Purchase",1.00,
        IF(purpose="Remortgage",1.00,
            1.20)))</f>
        <v/>
      </c>
      <c r="L4021">
        <f>LET(
    arrears_months,'Loan Tape (S&amp;P)'!AN4021,
    IF(arrears_months=0,1.00,
    IF(arrears_months=1,3.00,
    IF(arrears_months=2,5.00,
    IF(arrears_months=3,8.00,
    IF(arrears_months=4,10.00,
    IF(arrears_months=5,12.00,15.00)))))))</f>
        <v/>
      </c>
      <c r="M4021">
        <f>LET(
    seasoning_years,DATEDIF('Loan Tape (S&amp;P)'!K4021,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21">
        <f>IF(AND('Loan Tape (S&amp;P)'!U4021="Yes",
        'Loan Tape (S&amp;P)'!T4021&lt;&gt;"Yes",
        DATEDIF('Loan Tape (S&amp;P)'!K4021, TODAY(), "M")&lt;18),
    1.10,
    1.00)</f>
        <v/>
      </c>
      <c r="O4021">
        <f>IF('Loan Tape (S&amp;P)'!T4021="Yes",
    1.35,
    1.00)</f>
        <v/>
      </c>
      <c r="P4021">
        <f>IF('Loan Tape (S&amp;P)'!S4021="Yes",
    1.15,
    1.00)</f>
        <v/>
      </c>
      <c r="Q4021">
        <f>IF('Loan Tape (S&amp;P)'!V4021="Yes",
    1.20,
    1.00)</f>
        <v/>
      </c>
      <c r="T4021">
        <f>LET(
    payment_method,'Loan Tape (S&amp;P)'!P4021,
    occupancy,'Loan Tape (S&amp;P)'!N4021,
    maturity_date,'Loan Tape (S&amp;P)'!L4021,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22">
      <c r="J4022">
        <f>LET(
    lien,'Loan Tape (S&amp;P)'!Q4022,
    IF(lien="First",1.00,
        IF(lien="Second",1.50,
            1.70)))</f>
        <v/>
      </c>
      <c r="K4022">
        <f>LET(
    purpose,'Loan Tape (S&amp;P)'!R4022,
    IF(purpose="Purchase",1.00,
        IF(purpose="Remortgage",1.00,
            1.20)))</f>
        <v/>
      </c>
      <c r="L4022">
        <f>LET(
    arrears_months,'Loan Tape (S&amp;P)'!AN4022,
    IF(arrears_months=0,1.00,
    IF(arrears_months=1,3.00,
    IF(arrears_months=2,5.00,
    IF(arrears_months=3,8.00,
    IF(arrears_months=4,10.00,
    IF(arrears_months=5,12.00,15.00)))))))</f>
        <v/>
      </c>
      <c r="M4022">
        <f>LET(
    seasoning_years,DATEDIF('Loan Tape (S&amp;P)'!K4022,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22">
        <f>IF(AND('Loan Tape (S&amp;P)'!U4022="Yes",
        'Loan Tape (S&amp;P)'!T4022&lt;&gt;"Yes",
        DATEDIF('Loan Tape (S&amp;P)'!K4022, TODAY(), "M")&lt;18),
    1.10,
    1.00)</f>
        <v/>
      </c>
      <c r="O4022">
        <f>IF('Loan Tape (S&amp;P)'!T4022="Yes",
    1.35,
    1.00)</f>
        <v/>
      </c>
      <c r="P4022">
        <f>IF('Loan Tape (S&amp;P)'!S4022="Yes",
    1.15,
    1.00)</f>
        <v/>
      </c>
      <c r="Q4022">
        <f>IF('Loan Tape (S&amp;P)'!V4022="Yes",
    1.20,
    1.00)</f>
        <v/>
      </c>
      <c r="T4022">
        <f>LET(
    payment_method,'Loan Tape (S&amp;P)'!P4022,
    occupancy,'Loan Tape (S&amp;P)'!N4022,
    maturity_date,'Loan Tape (S&amp;P)'!L4022,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23">
      <c r="J4023">
        <f>LET(
    lien,'Loan Tape (S&amp;P)'!Q4023,
    IF(lien="First",1.00,
        IF(lien="Second",1.50,
            1.70)))</f>
        <v/>
      </c>
      <c r="K4023">
        <f>LET(
    purpose,'Loan Tape (S&amp;P)'!R4023,
    IF(purpose="Purchase",1.00,
        IF(purpose="Remortgage",1.00,
            1.20)))</f>
        <v/>
      </c>
      <c r="L4023">
        <f>LET(
    arrears_months,'Loan Tape (S&amp;P)'!AN4023,
    IF(arrears_months=0,1.00,
    IF(arrears_months=1,3.00,
    IF(arrears_months=2,5.00,
    IF(arrears_months=3,8.00,
    IF(arrears_months=4,10.00,
    IF(arrears_months=5,12.00,15.00)))))))</f>
        <v/>
      </c>
      <c r="M4023">
        <f>LET(
    seasoning_years,DATEDIF('Loan Tape (S&amp;P)'!K4023,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23">
        <f>IF(AND('Loan Tape (S&amp;P)'!U4023="Yes",
        'Loan Tape (S&amp;P)'!T4023&lt;&gt;"Yes",
        DATEDIF('Loan Tape (S&amp;P)'!K4023, TODAY(), "M")&lt;18),
    1.10,
    1.00)</f>
        <v/>
      </c>
      <c r="O4023">
        <f>IF('Loan Tape (S&amp;P)'!T4023="Yes",
    1.35,
    1.00)</f>
        <v/>
      </c>
      <c r="P4023">
        <f>IF('Loan Tape (S&amp;P)'!S4023="Yes",
    1.15,
    1.00)</f>
        <v/>
      </c>
      <c r="Q4023">
        <f>IF('Loan Tape (S&amp;P)'!V4023="Yes",
    1.20,
    1.00)</f>
        <v/>
      </c>
      <c r="T4023">
        <f>LET(
    payment_method,'Loan Tape (S&amp;P)'!P4023,
    occupancy,'Loan Tape (S&amp;P)'!N4023,
    maturity_date,'Loan Tape (S&amp;P)'!L4023,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24">
      <c r="J4024">
        <f>LET(
    lien,'Loan Tape (S&amp;P)'!Q4024,
    IF(lien="First",1.00,
        IF(lien="Second",1.50,
            1.70)))</f>
        <v/>
      </c>
      <c r="K4024">
        <f>LET(
    purpose,'Loan Tape (S&amp;P)'!R4024,
    IF(purpose="Purchase",1.00,
        IF(purpose="Remortgage",1.00,
            1.20)))</f>
        <v/>
      </c>
      <c r="L4024">
        <f>LET(
    arrears_months,'Loan Tape (S&amp;P)'!AN4024,
    IF(arrears_months=0,1.00,
    IF(arrears_months=1,3.00,
    IF(arrears_months=2,5.00,
    IF(arrears_months=3,8.00,
    IF(arrears_months=4,10.00,
    IF(arrears_months=5,12.00,15.00)))))))</f>
        <v/>
      </c>
      <c r="M4024">
        <f>LET(
    seasoning_years,DATEDIF('Loan Tape (S&amp;P)'!K4024,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24">
        <f>IF(AND('Loan Tape (S&amp;P)'!U4024="Yes",
        'Loan Tape (S&amp;P)'!T4024&lt;&gt;"Yes",
        DATEDIF('Loan Tape (S&amp;P)'!K4024, TODAY(), "M")&lt;18),
    1.10,
    1.00)</f>
        <v/>
      </c>
      <c r="O4024">
        <f>IF('Loan Tape (S&amp;P)'!T4024="Yes",
    1.35,
    1.00)</f>
        <v/>
      </c>
      <c r="P4024">
        <f>IF('Loan Tape (S&amp;P)'!S4024="Yes",
    1.15,
    1.00)</f>
        <v/>
      </c>
      <c r="Q4024">
        <f>IF('Loan Tape (S&amp;P)'!V4024="Yes",
    1.20,
    1.00)</f>
        <v/>
      </c>
      <c r="T4024">
        <f>LET(
    payment_method,'Loan Tape (S&amp;P)'!P4024,
    occupancy,'Loan Tape (S&amp;P)'!N4024,
    maturity_date,'Loan Tape (S&amp;P)'!L4024,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25">
      <c r="J4025">
        <f>LET(
    lien,'Loan Tape (S&amp;P)'!Q4025,
    IF(lien="First",1.00,
        IF(lien="Second",1.50,
            1.70)))</f>
        <v/>
      </c>
      <c r="K4025">
        <f>LET(
    purpose,'Loan Tape (S&amp;P)'!R4025,
    IF(purpose="Purchase",1.00,
        IF(purpose="Remortgage",1.00,
            1.20)))</f>
        <v/>
      </c>
      <c r="L4025">
        <f>LET(
    arrears_months,'Loan Tape (S&amp;P)'!AN4025,
    IF(arrears_months=0,1.00,
    IF(arrears_months=1,3.00,
    IF(arrears_months=2,5.00,
    IF(arrears_months=3,8.00,
    IF(arrears_months=4,10.00,
    IF(arrears_months=5,12.00,15.00)))))))</f>
        <v/>
      </c>
      <c r="M4025">
        <f>LET(
    seasoning_years,DATEDIF('Loan Tape (S&amp;P)'!K4025,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25">
        <f>IF(AND('Loan Tape (S&amp;P)'!U4025="Yes",
        'Loan Tape (S&amp;P)'!T4025&lt;&gt;"Yes",
        DATEDIF('Loan Tape (S&amp;P)'!K4025, TODAY(), "M")&lt;18),
    1.10,
    1.00)</f>
        <v/>
      </c>
      <c r="O4025">
        <f>IF('Loan Tape (S&amp;P)'!T4025="Yes",
    1.35,
    1.00)</f>
        <v/>
      </c>
      <c r="P4025">
        <f>IF('Loan Tape (S&amp;P)'!S4025="Yes",
    1.15,
    1.00)</f>
        <v/>
      </c>
      <c r="Q4025">
        <f>IF('Loan Tape (S&amp;P)'!V4025="Yes",
    1.20,
    1.00)</f>
        <v/>
      </c>
      <c r="T4025">
        <f>LET(
    payment_method,'Loan Tape (S&amp;P)'!P4025,
    occupancy,'Loan Tape (S&amp;P)'!N4025,
    maturity_date,'Loan Tape (S&amp;P)'!L4025,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26">
      <c r="J4026">
        <f>LET(
    lien,'Loan Tape (S&amp;P)'!Q4026,
    IF(lien="First",1.00,
        IF(lien="Second",1.50,
            1.70)))</f>
        <v/>
      </c>
      <c r="K4026">
        <f>LET(
    purpose,'Loan Tape (S&amp;P)'!R4026,
    IF(purpose="Purchase",1.00,
        IF(purpose="Remortgage",1.00,
            1.20)))</f>
        <v/>
      </c>
      <c r="L4026">
        <f>LET(
    arrears_months,'Loan Tape (S&amp;P)'!AN4026,
    IF(arrears_months=0,1.00,
    IF(arrears_months=1,3.00,
    IF(arrears_months=2,5.00,
    IF(arrears_months=3,8.00,
    IF(arrears_months=4,10.00,
    IF(arrears_months=5,12.00,15.00)))))))</f>
        <v/>
      </c>
      <c r="M4026">
        <f>LET(
    seasoning_years,DATEDIF('Loan Tape (S&amp;P)'!K4026,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26">
        <f>IF(AND('Loan Tape (S&amp;P)'!U4026="Yes",
        'Loan Tape (S&amp;P)'!T4026&lt;&gt;"Yes",
        DATEDIF('Loan Tape (S&amp;P)'!K4026, TODAY(), "M")&lt;18),
    1.10,
    1.00)</f>
        <v/>
      </c>
      <c r="O4026">
        <f>IF('Loan Tape (S&amp;P)'!T4026="Yes",
    1.35,
    1.00)</f>
        <v/>
      </c>
      <c r="P4026">
        <f>IF('Loan Tape (S&amp;P)'!S4026="Yes",
    1.15,
    1.00)</f>
        <v/>
      </c>
      <c r="Q4026">
        <f>IF('Loan Tape (S&amp;P)'!V4026="Yes",
    1.20,
    1.00)</f>
        <v/>
      </c>
      <c r="T4026">
        <f>LET(
    payment_method,'Loan Tape (S&amp;P)'!P4026,
    occupancy,'Loan Tape (S&amp;P)'!N4026,
    maturity_date,'Loan Tape (S&amp;P)'!L4026,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27">
      <c r="J4027">
        <f>LET(
    lien,'Loan Tape (S&amp;P)'!Q4027,
    IF(lien="First",1.00,
        IF(lien="Second",1.50,
            1.70)))</f>
        <v/>
      </c>
      <c r="K4027">
        <f>LET(
    purpose,'Loan Tape (S&amp;P)'!R4027,
    IF(purpose="Purchase",1.00,
        IF(purpose="Remortgage",1.00,
            1.20)))</f>
        <v/>
      </c>
      <c r="L4027">
        <f>LET(
    arrears_months,'Loan Tape (S&amp;P)'!AN4027,
    IF(arrears_months=0,1.00,
    IF(arrears_months=1,3.00,
    IF(arrears_months=2,5.00,
    IF(arrears_months=3,8.00,
    IF(arrears_months=4,10.00,
    IF(arrears_months=5,12.00,15.00)))))))</f>
        <v/>
      </c>
      <c r="M4027">
        <f>LET(
    seasoning_years,DATEDIF('Loan Tape (S&amp;P)'!K4027,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27">
        <f>IF(AND('Loan Tape (S&amp;P)'!U4027="Yes",
        'Loan Tape (S&amp;P)'!T4027&lt;&gt;"Yes",
        DATEDIF('Loan Tape (S&amp;P)'!K4027, TODAY(), "M")&lt;18),
    1.10,
    1.00)</f>
        <v/>
      </c>
      <c r="O4027">
        <f>IF('Loan Tape (S&amp;P)'!T4027="Yes",
    1.35,
    1.00)</f>
        <v/>
      </c>
      <c r="P4027">
        <f>IF('Loan Tape (S&amp;P)'!S4027="Yes",
    1.15,
    1.00)</f>
        <v/>
      </c>
      <c r="Q4027">
        <f>IF('Loan Tape (S&amp;P)'!V4027="Yes",
    1.20,
    1.00)</f>
        <v/>
      </c>
      <c r="T4027">
        <f>LET(
    payment_method,'Loan Tape (S&amp;P)'!P4027,
    occupancy,'Loan Tape (S&amp;P)'!N4027,
    maturity_date,'Loan Tape (S&amp;P)'!L4027,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28">
      <c r="J4028">
        <f>LET(
    lien,'Loan Tape (S&amp;P)'!Q4028,
    IF(lien="First",1.00,
        IF(lien="Second",1.50,
            1.70)))</f>
        <v/>
      </c>
      <c r="K4028">
        <f>LET(
    purpose,'Loan Tape (S&amp;P)'!R4028,
    IF(purpose="Purchase",1.00,
        IF(purpose="Remortgage",1.00,
            1.20)))</f>
        <v/>
      </c>
      <c r="L4028">
        <f>LET(
    arrears_months,'Loan Tape (S&amp;P)'!AN4028,
    IF(arrears_months=0,1.00,
    IF(arrears_months=1,3.00,
    IF(arrears_months=2,5.00,
    IF(arrears_months=3,8.00,
    IF(arrears_months=4,10.00,
    IF(arrears_months=5,12.00,15.00)))))))</f>
        <v/>
      </c>
      <c r="M4028">
        <f>LET(
    seasoning_years,DATEDIF('Loan Tape (S&amp;P)'!K4028,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28">
        <f>IF(AND('Loan Tape (S&amp;P)'!U4028="Yes",
        'Loan Tape (S&amp;P)'!T4028&lt;&gt;"Yes",
        DATEDIF('Loan Tape (S&amp;P)'!K4028, TODAY(), "M")&lt;18),
    1.10,
    1.00)</f>
        <v/>
      </c>
      <c r="O4028">
        <f>IF('Loan Tape (S&amp;P)'!T4028="Yes",
    1.35,
    1.00)</f>
        <v/>
      </c>
      <c r="P4028">
        <f>IF('Loan Tape (S&amp;P)'!S4028="Yes",
    1.15,
    1.00)</f>
        <v/>
      </c>
      <c r="Q4028">
        <f>IF('Loan Tape (S&amp;P)'!V4028="Yes",
    1.20,
    1.00)</f>
        <v/>
      </c>
      <c r="T4028">
        <f>LET(
    payment_method,'Loan Tape (S&amp;P)'!P4028,
    occupancy,'Loan Tape (S&amp;P)'!N4028,
    maturity_date,'Loan Tape (S&amp;P)'!L4028,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29">
      <c r="J4029">
        <f>LET(
    lien,'Loan Tape (S&amp;P)'!Q4029,
    IF(lien="First",1.00,
        IF(lien="Second",1.50,
            1.70)))</f>
        <v/>
      </c>
      <c r="K4029">
        <f>LET(
    purpose,'Loan Tape (S&amp;P)'!R4029,
    IF(purpose="Purchase",1.00,
        IF(purpose="Remortgage",1.00,
            1.20)))</f>
        <v/>
      </c>
      <c r="L4029">
        <f>LET(
    arrears_months,'Loan Tape (S&amp;P)'!AN4029,
    IF(arrears_months=0,1.00,
    IF(arrears_months=1,3.00,
    IF(arrears_months=2,5.00,
    IF(arrears_months=3,8.00,
    IF(arrears_months=4,10.00,
    IF(arrears_months=5,12.00,15.00)))))))</f>
        <v/>
      </c>
      <c r="M4029">
        <f>LET(
    seasoning_years,DATEDIF('Loan Tape (S&amp;P)'!K4029,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29">
        <f>IF(AND('Loan Tape (S&amp;P)'!U4029="Yes",
        'Loan Tape (S&amp;P)'!T4029&lt;&gt;"Yes",
        DATEDIF('Loan Tape (S&amp;P)'!K4029, TODAY(), "M")&lt;18),
    1.10,
    1.00)</f>
        <v/>
      </c>
      <c r="O4029">
        <f>IF('Loan Tape (S&amp;P)'!T4029="Yes",
    1.35,
    1.00)</f>
        <v/>
      </c>
      <c r="P4029">
        <f>IF('Loan Tape (S&amp;P)'!S4029="Yes",
    1.15,
    1.00)</f>
        <v/>
      </c>
      <c r="Q4029">
        <f>IF('Loan Tape (S&amp;P)'!V4029="Yes",
    1.20,
    1.00)</f>
        <v/>
      </c>
      <c r="T4029">
        <f>LET(
    payment_method,'Loan Tape (S&amp;P)'!P4029,
    occupancy,'Loan Tape (S&amp;P)'!N4029,
    maturity_date,'Loan Tape (S&amp;P)'!L4029,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30">
      <c r="J4030">
        <f>LET(
    lien,'Loan Tape (S&amp;P)'!Q4030,
    IF(lien="First",1.00,
        IF(lien="Second",1.50,
            1.70)))</f>
        <v/>
      </c>
      <c r="K4030">
        <f>LET(
    purpose,'Loan Tape (S&amp;P)'!R4030,
    IF(purpose="Purchase",1.00,
        IF(purpose="Remortgage",1.00,
            1.20)))</f>
        <v/>
      </c>
      <c r="L4030">
        <f>LET(
    arrears_months,'Loan Tape (S&amp;P)'!AN4030,
    IF(arrears_months=0,1.00,
    IF(arrears_months=1,3.00,
    IF(arrears_months=2,5.00,
    IF(arrears_months=3,8.00,
    IF(arrears_months=4,10.00,
    IF(arrears_months=5,12.00,15.00)))))))</f>
        <v/>
      </c>
      <c r="M4030">
        <f>LET(
    seasoning_years,DATEDIF('Loan Tape (S&amp;P)'!K4030,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30">
        <f>IF(AND('Loan Tape (S&amp;P)'!U4030="Yes",
        'Loan Tape (S&amp;P)'!T4030&lt;&gt;"Yes",
        DATEDIF('Loan Tape (S&amp;P)'!K4030, TODAY(), "M")&lt;18),
    1.10,
    1.00)</f>
        <v/>
      </c>
      <c r="O4030">
        <f>IF('Loan Tape (S&amp;P)'!T4030="Yes",
    1.35,
    1.00)</f>
        <v/>
      </c>
      <c r="P4030">
        <f>IF('Loan Tape (S&amp;P)'!S4030="Yes",
    1.15,
    1.00)</f>
        <v/>
      </c>
      <c r="Q4030">
        <f>IF('Loan Tape (S&amp;P)'!V4030="Yes",
    1.20,
    1.00)</f>
        <v/>
      </c>
      <c r="T4030">
        <f>LET(
    payment_method,'Loan Tape (S&amp;P)'!P4030,
    occupancy,'Loan Tape (S&amp;P)'!N4030,
    maturity_date,'Loan Tape (S&amp;P)'!L4030,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31">
      <c r="J4031">
        <f>LET(
    lien,'Loan Tape (S&amp;P)'!Q4031,
    IF(lien="First",1.00,
        IF(lien="Second",1.50,
            1.70)))</f>
        <v/>
      </c>
      <c r="K4031">
        <f>LET(
    purpose,'Loan Tape (S&amp;P)'!R4031,
    IF(purpose="Purchase",1.00,
        IF(purpose="Remortgage",1.00,
            1.20)))</f>
        <v/>
      </c>
      <c r="L4031">
        <f>LET(
    arrears_months,'Loan Tape (S&amp;P)'!AN4031,
    IF(arrears_months=0,1.00,
    IF(arrears_months=1,3.00,
    IF(arrears_months=2,5.00,
    IF(arrears_months=3,8.00,
    IF(arrears_months=4,10.00,
    IF(arrears_months=5,12.00,15.00)))))))</f>
        <v/>
      </c>
      <c r="M4031">
        <f>LET(
    seasoning_years,DATEDIF('Loan Tape (S&amp;P)'!K4031,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31">
        <f>IF(AND('Loan Tape (S&amp;P)'!U4031="Yes",
        'Loan Tape (S&amp;P)'!T4031&lt;&gt;"Yes",
        DATEDIF('Loan Tape (S&amp;P)'!K4031, TODAY(), "M")&lt;18),
    1.10,
    1.00)</f>
        <v/>
      </c>
      <c r="O4031">
        <f>IF('Loan Tape (S&amp;P)'!T4031="Yes",
    1.35,
    1.00)</f>
        <v/>
      </c>
      <c r="P4031">
        <f>IF('Loan Tape (S&amp;P)'!S4031="Yes",
    1.15,
    1.00)</f>
        <v/>
      </c>
      <c r="Q4031">
        <f>IF('Loan Tape (S&amp;P)'!V4031="Yes",
    1.20,
    1.00)</f>
        <v/>
      </c>
      <c r="T4031">
        <f>LET(
    payment_method,'Loan Tape (S&amp;P)'!P4031,
    occupancy,'Loan Tape (S&amp;P)'!N4031,
    maturity_date,'Loan Tape (S&amp;P)'!L4031,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32">
      <c r="J4032">
        <f>LET(
    lien,'Loan Tape (S&amp;P)'!Q4032,
    IF(lien="First",1.00,
        IF(lien="Second",1.50,
            1.70)))</f>
        <v/>
      </c>
      <c r="K4032">
        <f>LET(
    purpose,'Loan Tape (S&amp;P)'!R4032,
    IF(purpose="Purchase",1.00,
        IF(purpose="Remortgage",1.00,
            1.20)))</f>
        <v/>
      </c>
      <c r="L4032">
        <f>LET(
    arrears_months,'Loan Tape (S&amp;P)'!AN4032,
    IF(arrears_months=0,1.00,
    IF(arrears_months=1,3.00,
    IF(arrears_months=2,5.00,
    IF(arrears_months=3,8.00,
    IF(arrears_months=4,10.00,
    IF(arrears_months=5,12.00,15.00)))))))</f>
        <v/>
      </c>
      <c r="M4032">
        <f>LET(
    seasoning_years,DATEDIF('Loan Tape (S&amp;P)'!K4032,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32">
        <f>IF(AND('Loan Tape (S&amp;P)'!U4032="Yes",
        'Loan Tape (S&amp;P)'!T4032&lt;&gt;"Yes",
        DATEDIF('Loan Tape (S&amp;P)'!K4032, TODAY(), "M")&lt;18),
    1.10,
    1.00)</f>
        <v/>
      </c>
      <c r="O4032">
        <f>IF('Loan Tape (S&amp;P)'!T4032="Yes",
    1.35,
    1.00)</f>
        <v/>
      </c>
      <c r="P4032">
        <f>IF('Loan Tape (S&amp;P)'!S4032="Yes",
    1.15,
    1.00)</f>
        <v/>
      </c>
      <c r="Q4032">
        <f>IF('Loan Tape (S&amp;P)'!V4032="Yes",
    1.20,
    1.00)</f>
        <v/>
      </c>
      <c r="T4032">
        <f>LET(
    payment_method,'Loan Tape (S&amp;P)'!P4032,
    occupancy,'Loan Tape (S&amp;P)'!N4032,
    maturity_date,'Loan Tape (S&amp;P)'!L4032,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33">
      <c r="J4033">
        <f>LET(
    lien,'Loan Tape (S&amp;P)'!Q4033,
    IF(lien="First",1.00,
        IF(lien="Second",1.50,
            1.70)))</f>
        <v/>
      </c>
      <c r="K4033">
        <f>LET(
    purpose,'Loan Tape (S&amp;P)'!R4033,
    IF(purpose="Purchase",1.00,
        IF(purpose="Remortgage",1.00,
            1.20)))</f>
        <v/>
      </c>
      <c r="L4033">
        <f>LET(
    arrears_months,'Loan Tape (S&amp;P)'!AN4033,
    IF(arrears_months=0,1.00,
    IF(arrears_months=1,3.00,
    IF(arrears_months=2,5.00,
    IF(arrears_months=3,8.00,
    IF(arrears_months=4,10.00,
    IF(arrears_months=5,12.00,15.00)))))))</f>
        <v/>
      </c>
      <c r="M4033">
        <f>LET(
    seasoning_years,DATEDIF('Loan Tape (S&amp;P)'!K4033,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33">
        <f>IF(AND('Loan Tape (S&amp;P)'!U4033="Yes",
        'Loan Tape (S&amp;P)'!T4033&lt;&gt;"Yes",
        DATEDIF('Loan Tape (S&amp;P)'!K4033, TODAY(), "M")&lt;18),
    1.10,
    1.00)</f>
        <v/>
      </c>
      <c r="O4033">
        <f>IF('Loan Tape (S&amp;P)'!T4033="Yes",
    1.35,
    1.00)</f>
        <v/>
      </c>
      <c r="P4033">
        <f>IF('Loan Tape (S&amp;P)'!S4033="Yes",
    1.15,
    1.00)</f>
        <v/>
      </c>
      <c r="Q4033">
        <f>IF('Loan Tape (S&amp;P)'!V4033="Yes",
    1.20,
    1.00)</f>
        <v/>
      </c>
      <c r="T4033">
        <f>LET(
    payment_method,'Loan Tape (S&amp;P)'!P4033,
    occupancy,'Loan Tape (S&amp;P)'!N4033,
    maturity_date,'Loan Tape (S&amp;P)'!L4033,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34">
      <c r="J4034">
        <f>LET(
    lien,'Loan Tape (S&amp;P)'!Q4034,
    IF(lien="First",1.00,
        IF(lien="Second",1.50,
            1.70)))</f>
        <v/>
      </c>
      <c r="K4034">
        <f>LET(
    purpose,'Loan Tape (S&amp;P)'!R4034,
    IF(purpose="Purchase",1.00,
        IF(purpose="Remortgage",1.00,
            1.20)))</f>
        <v/>
      </c>
      <c r="L4034">
        <f>LET(
    arrears_months,'Loan Tape (S&amp;P)'!AN4034,
    IF(arrears_months=0,1.00,
    IF(arrears_months=1,3.00,
    IF(arrears_months=2,5.00,
    IF(arrears_months=3,8.00,
    IF(arrears_months=4,10.00,
    IF(arrears_months=5,12.00,15.00)))))))</f>
        <v/>
      </c>
      <c r="M4034">
        <f>LET(
    seasoning_years,DATEDIF('Loan Tape (S&amp;P)'!K4034,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34">
        <f>IF(AND('Loan Tape (S&amp;P)'!U4034="Yes",
        'Loan Tape (S&amp;P)'!T4034&lt;&gt;"Yes",
        DATEDIF('Loan Tape (S&amp;P)'!K4034, TODAY(), "M")&lt;18),
    1.10,
    1.00)</f>
        <v/>
      </c>
      <c r="O4034">
        <f>IF('Loan Tape (S&amp;P)'!T4034="Yes",
    1.35,
    1.00)</f>
        <v/>
      </c>
      <c r="P4034">
        <f>IF('Loan Tape (S&amp;P)'!S4034="Yes",
    1.15,
    1.00)</f>
        <v/>
      </c>
      <c r="Q4034">
        <f>IF('Loan Tape (S&amp;P)'!V4034="Yes",
    1.20,
    1.00)</f>
        <v/>
      </c>
      <c r="T4034">
        <f>LET(
    payment_method,'Loan Tape (S&amp;P)'!P4034,
    occupancy,'Loan Tape (S&amp;P)'!N4034,
    maturity_date,'Loan Tape (S&amp;P)'!L4034,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35">
      <c r="J4035">
        <f>LET(
    lien,'Loan Tape (S&amp;P)'!Q4035,
    IF(lien="First",1.00,
        IF(lien="Second",1.50,
            1.70)))</f>
        <v/>
      </c>
      <c r="K4035">
        <f>LET(
    purpose,'Loan Tape (S&amp;P)'!R4035,
    IF(purpose="Purchase",1.00,
        IF(purpose="Remortgage",1.00,
            1.20)))</f>
        <v/>
      </c>
      <c r="L4035">
        <f>LET(
    arrears_months,'Loan Tape (S&amp;P)'!AN4035,
    IF(arrears_months=0,1.00,
    IF(arrears_months=1,3.00,
    IF(arrears_months=2,5.00,
    IF(arrears_months=3,8.00,
    IF(arrears_months=4,10.00,
    IF(arrears_months=5,12.00,15.00)))))))</f>
        <v/>
      </c>
      <c r="M4035">
        <f>LET(
    seasoning_years,DATEDIF('Loan Tape (S&amp;P)'!K4035,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35">
        <f>IF(AND('Loan Tape (S&amp;P)'!U4035="Yes",
        'Loan Tape (S&amp;P)'!T4035&lt;&gt;"Yes",
        DATEDIF('Loan Tape (S&amp;P)'!K4035, TODAY(), "M")&lt;18),
    1.10,
    1.00)</f>
        <v/>
      </c>
      <c r="O4035">
        <f>IF('Loan Tape (S&amp;P)'!T4035="Yes",
    1.35,
    1.00)</f>
        <v/>
      </c>
      <c r="P4035">
        <f>IF('Loan Tape (S&amp;P)'!S4035="Yes",
    1.15,
    1.00)</f>
        <v/>
      </c>
      <c r="Q4035">
        <f>IF('Loan Tape (S&amp;P)'!V4035="Yes",
    1.20,
    1.00)</f>
        <v/>
      </c>
      <c r="T4035">
        <f>LET(
    payment_method,'Loan Tape (S&amp;P)'!P4035,
    occupancy,'Loan Tape (S&amp;P)'!N4035,
    maturity_date,'Loan Tape (S&amp;P)'!L4035,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36">
      <c r="J4036">
        <f>LET(
    lien,'Loan Tape (S&amp;P)'!Q4036,
    IF(lien="First",1.00,
        IF(lien="Second",1.50,
            1.70)))</f>
        <v/>
      </c>
      <c r="K4036">
        <f>LET(
    purpose,'Loan Tape (S&amp;P)'!R4036,
    IF(purpose="Purchase",1.00,
        IF(purpose="Remortgage",1.00,
            1.20)))</f>
        <v/>
      </c>
      <c r="L4036">
        <f>LET(
    arrears_months,'Loan Tape (S&amp;P)'!AN4036,
    IF(arrears_months=0,1.00,
    IF(arrears_months=1,3.00,
    IF(arrears_months=2,5.00,
    IF(arrears_months=3,8.00,
    IF(arrears_months=4,10.00,
    IF(arrears_months=5,12.00,15.00)))))))</f>
        <v/>
      </c>
      <c r="M4036">
        <f>LET(
    seasoning_years,DATEDIF('Loan Tape (S&amp;P)'!K4036,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36">
        <f>IF(AND('Loan Tape (S&amp;P)'!U4036="Yes",
        'Loan Tape (S&amp;P)'!T4036&lt;&gt;"Yes",
        DATEDIF('Loan Tape (S&amp;P)'!K4036, TODAY(), "M")&lt;18),
    1.10,
    1.00)</f>
        <v/>
      </c>
      <c r="O4036">
        <f>IF('Loan Tape (S&amp;P)'!T4036="Yes",
    1.35,
    1.00)</f>
        <v/>
      </c>
      <c r="P4036">
        <f>IF('Loan Tape (S&amp;P)'!S4036="Yes",
    1.15,
    1.00)</f>
        <v/>
      </c>
      <c r="Q4036">
        <f>IF('Loan Tape (S&amp;P)'!V4036="Yes",
    1.20,
    1.00)</f>
        <v/>
      </c>
      <c r="T4036">
        <f>LET(
    payment_method,'Loan Tape (S&amp;P)'!P4036,
    occupancy,'Loan Tape (S&amp;P)'!N4036,
    maturity_date,'Loan Tape (S&amp;P)'!L4036,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37">
      <c r="J4037">
        <f>LET(
    lien,'Loan Tape (S&amp;P)'!Q4037,
    IF(lien="First",1.00,
        IF(lien="Second",1.50,
            1.70)))</f>
        <v/>
      </c>
      <c r="K4037">
        <f>LET(
    purpose,'Loan Tape (S&amp;P)'!R4037,
    IF(purpose="Purchase",1.00,
        IF(purpose="Remortgage",1.00,
            1.20)))</f>
        <v/>
      </c>
      <c r="L4037">
        <f>LET(
    arrears_months,'Loan Tape (S&amp;P)'!AN4037,
    IF(arrears_months=0,1.00,
    IF(arrears_months=1,3.00,
    IF(arrears_months=2,5.00,
    IF(arrears_months=3,8.00,
    IF(arrears_months=4,10.00,
    IF(arrears_months=5,12.00,15.00)))))))</f>
        <v/>
      </c>
      <c r="M4037">
        <f>LET(
    seasoning_years,DATEDIF('Loan Tape (S&amp;P)'!K4037,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37">
        <f>IF(AND('Loan Tape (S&amp;P)'!U4037="Yes",
        'Loan Tape (S&amp;P)'!T4037&lt;&gt;"Yes",
        DATEDIF('Loan Tape (S&amp;P)'!K4037, TODAY(), "M")&lt;18),
    1.10,
    1.00)</f>
        <v/>
      </c>
      <c r="O4037">
        <f>IF('Loan Tape (S&amp;P)'!T4037="Yes",
    1.35,
    1.00)</f>
        <v/>
      </c>
      <c r="P4037">
        <f>IF('Loan Tape (S&amp;P)'!S4037="Yes",
    1.15,
    1.00)</f>
        <v/>
      </c>
      <c r="Q4037">
        <f>IF('Loan Tape (S&amp;P)'!V4037="Yes",
    1.20,
    1.00)</f>
        <v/>
      </c>
      <c r="T4037">
        <f>LET(
    payment_method,'Loan Tape (S&amp;P)'!P4037,
    occupancy,'Loan Tape (S&amp;P)'!N4037,
    maturity_date,'Loan Tape (S&amp;P)'!L4037,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38">
      <c r="J4038">
        <f>LET(
    lien,'Loan Tape (S&amp;P)'!Q4038,
    IF(lien="First",1.00,
        IF(lien="Second",1.50,
            1.70)))</f>
        <v/>
      </c>
      <c r="K4038">
        <f>LET(
    purpose,'Loan Tape (S&amp;P)'!R4038,
    IF(purpose="Purchase",1.00,
        IF(purpose="Remortgage",1.00,
            1.20)))</f>
        <v/>
      </c>
      <c r="L4038">
        <f>LET(
    arrears_months,'Loan Tape (S&amp;P)'!AN4038,
    IF(arrears_months=0,1.00,
    IF(arrears_months=1,3.00,
    IF(arrears_months=2,5.00,
    IF(arrears_months=3,8.00,
    IF(arrears_months=4,10.00,
    IF(arrears_months=5,12.00,15.00)))))))</f>
        <v/>
      </c>
      <c r="M4038">
        <f>LET(
    seasoning_years,DATEDIF('Loan Tape (S&amp;P)'!K4038,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38">
        <f>IF(AND('Loan Tape (S&amp;P)'!U4038="Yes",
        'Loan Tape (S&amp;P)'!T4038&lt;&gt;"Yes",
        DATEDIF('Loan Tape (S&amp;P)'!K4038, TODAY(), "M")&lt;18),
    1.10,
    1.00)</f>
        <v/>
      </c>
      <c r="O4038">
        <f>IF('Loan Tape (S&amp;P)'!T4038="Yes",
    1.35,
    1.00)</f>
        <v/>
      </c>
      <c r="P4038">
        <f>IF('Loan Tape (S&amp;P)'!S4038="Yes",
    1.15,
    1.00)</f>
        <v/>
      </c>
      <c r="Q4038">
        <f>IF('Loan Tape (S&amp;P)'!V4038="Yes",
    1.20,
    1.00)</f>
        <v/>
      </c>
      <c r="T4038">
        <f>LET(
    payment_method,'Loan Tape (S&amp;P)'!P4038,
    occupancy,'Loan Tape (S&amp;P)'!N4038,
    maturity_date,'Loan Tape (S&amp;P)'!L4038,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39">
      <c r="J4039">
        <f>LET(
    lien,'Loan Tape (S&amp;P)'!Q4039,
    IF(lien="First",1.00,
        IF(lien="Second",1.50,
            1.70)))</f>
        <v/>
      </c>
      <c r="K4039">
        <f>LET(
    purpose,'Loan Tape (S&amp;P)'!R4039,
    IF(purpose="Purchase",1.00,
        IF(purpose="Remortgage",1.00,
            1.20)))</f>
        <v/>
      </c>
      <c r="L4039">
        <f>LET(
    arrears_months,'Loan Tape (S&amp;P)'!AN4039,
    IF(arrears_months=0,1.00,
    IF(arrears_months=1,3.00,
    IF(arrears_months=2,5.00,
    IF(arrears_months=3,8.00,
    IF(arrears_months=4,10.00,
    IF(arrears_months=5,12.00,15.00)))))))</f>
        <v/>
      </c>
      <c r="M4039">
        <f>LET(
    seasoning_years,DATEDIF('Loan Tape (S&amp;P)'!K4039,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39">
        <f>IF(AND('Loan Tape (S&amp;P)'!U4039="Yes",
        'Loan Tape (S&amp;P)'!T4039&lt;&gt;"Yes",
        DATEDIF('Loan Tape (S&amp;P)'!K4039, TODAY(), "M")&lt;18),
    1.10,
    1.00)</f>
        <v/>
      </c>
      <c r="O4039">
        <f>IF('Loan Tape (S&amp;P)'!T4039="Yes",
    1.35,
    1.00)</f>
        <v/>
      </c>
      <c r="P4039">
        <f>IF('Loan Tape (S&amp;P)'!S4039="Yes",
    1.15,
    1.00)</f>
        <v/>
      </c>
      <c r="Q4039">
        <f>IF('Loan Tape (S&amp;P)'!V4039="Yes",
    1.20,
    1.00)</f>
        <v/>
      </c>
      <c r="T4039">
        <f>LET(
    payment_method,'Loan Tape (S&amp;P)'!P4039,
    occupancy,'Loan Tape (S&amp;P)'!N4039,
    maturity_date,'Loan Tape (S&amp;P)'!L4039,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40">
      <c r="J4040">
        <f>LET(
    lien,'Loan Tape (S&amp;P)'!Q4040,
    IF(lien="First",1.00,
        IF(lien="Second",1.50,
            1.70)))</f>
        <v/>
      </c>
      <c r="K4040">
        <f>LET(
    purpose,'Loan Tape (S&amp;P)'!R4040,
    IF(purpose="Purchase",1.00,
        IF(purpose="Remortgage",1.00,
            1.20)))</f>
        <v/>
      </c>
      <c r="L4040">
        <f>LET(
    arrears_months,'Loan Tape (S&amp;P)'!AN4040,
    IF(arrears_months=0,1.00,
    IF(arrears_months=1,3.00,
    IF(arrears_months=2,5.00,
    IF(arrears_months=3,8.00,
    IF(arrears_months=4,10.00,
    IF(arrears_months=5,12.00,15.00)))))))</f>
        <v/>
      </c>
      <c r="M4040">
        <f>LET(
    seasoning_years,DATEDIF('Loan Tape (S&amp;P)'!K4040,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40">
        <f>IF(AND('Loan Tape (S&amp;P)'!U4040="Yes",
        'Loan Tape (S&amp;P)'!T4040&lt;&gt;"Yes",
        DATEDIF('Loan Tape (S&amp;P)'!K4040, TODAY(), "M")&lt;18),
    1.10,
    1.00)</f>
        <v/>
      </c>
      <c r="O4040">
        <f>IF('Loan Tape (S&amp;P)'!T4040="Yes",
    1.35,
    1.00)</f>
        <v/>
      </c>
      <c r="P4040">
        <f>IF('Loan Tape (S&amp;P)'!S4040="Yes",
    1.15,
    1.00)</f>
        <v/>
      </c>
      <c r="Q4040">
        <f>IF('Loan Tape (S&amp;P)'!V4040="Yes",
    1.20,
    1.00)</f>
        <v/>
      </c>
      <c r="T4040">
        <f>LET(
    payment_method,'Loan Tape (S&amp;P)'!P4040,
    occupancy,'Loan Tape (S&amp;P)'!N4040,
    maturity_date,'Loan Tape (S&amp;P)'!L4040,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41">
      <c r="J4041">
        <f>LET(
    lien,'Loan Tape (S&amp;P)'!Q4041,
    IF(lien="First",1.00,
        IF(lien="Second",1.50,
            1.70)))</f>
        <v/>
      </c>
      <c r="K4041">
        <f>LET(
    purpose,'Loan Tape (S&amp;P)'!R4041,
    IF(purpose="Purchase",1.00,
        IF(purpose="Remortgage",1.00,
            1.20)))</f>
        <v/>
      </c>
      <c r="L4041">
        <f>LET(
    arrears_months,'Loan Tape (S&amp;P)'!AN4041,
    IF(arrears_months=0,1.00,
    IF(arrears_months=1,3.00,
    IF(arrears_months=2,5.00,
    IF(arrears_months=3,8.00,
    IF(arrears_months=4,10.00,
    IF(arrears_months=5,12.00,15.00)))))))</f>
        <v/>
      </c>
      <c r="M4041">
        <f>LET(
    seasoning_years,DATEDIF('Loan Tape (S&amp;P)'!K4041,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41">
        <f>IF(AND('Loan Tape (S&amp;P)'!U4041="Yes",
        'Loan Tape (S&amp;P)'!T4041&lt;&gt;"Yes",
        DATEDIF('Loan Tape (S&amp;P)'!K4041, TODAY(), "M")&lt;18),
    1.10,
    1.00)</f>
        <v/>
      </c>
      <c r="O4041">
        <f>IF('Loan Tape (S&amp;P)'!T4041="Yes",
    1.35,
    1.00)</f>
        <v/>
      </c>
      <c r="P4041">
        <f>IF('Loan Tape (S&amp;P)'!S4041="Yes",
    1.15,
    1.00)</f>
        <v/>
      </c>
      <c r="Q4041">
        <f>IF('Loan Tape (S&amp;P)'!V4041="Yes",
    1.20,
    1.00)</f>
        <v/>
      </c>
      <c r="T4041">
        <f>LET(
    payment_method,'Loan Tape (S&amp;P)'!P4041,
    occupancy,'Loan Tape (S&amp;P)'!N4041,
    maturity_date,'Loan Tape (S&amp;P)'!L4041,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42">
      <c r="J4042">
        <f>LET(
    lien,'Loan Tape (S&amp;P)'!Q4042,
    IF(lien="First",1.00,
        IF(lien="Second",1.50,
            1.70)))</f>
        <v/>
      </c>
      <c r="K4042">
        <f>LET(
    purpose,'Loan Tape (S&amp;P)'!R4042,
    IF(purpose="Purchase",1.00,
        IF(purpose="Remortgage",1.00,
            1.20)))</f>
        <v/>
      </c>
      <c r="L4042">
        <f>LET(
    arrears_months,'Loan Tape (S&amp;P)'!AN4042,
    IF(arrears_months=0,1.00,
    IF(arrears_months=1,3.00,
    IF(arrears_months=2,5.00,
    IF(arrears_months=3,8.00,
    IF(arrears_months=4,10.00,
    IF(arrears_months=5,12.00,15.00)))))))</f>
        <v/>
      </c>
      <c r="M4042">
        <f>LET(
    seasoning_years,DATEDIF('Loan Tape (S&amp;P)'!K4042,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42">
        <f>IF(AND('Loan Tape (S&amp;P)'!U4042="Yes",
        'Loan Tape (S&amp;P)'!T4042&lt;&gt;"Yes",
        DATEDIF('Loan Tape (S&amp;P)'!K4042, TODAY(), "M")&lt;18),
    1.10,
    1.00)</f>
        <v/>
      </c>
      <c r="O4042">
        <f>IF('Loan Tape (S&amp;P)'!T4042="Yes",
    1.35,
    1.00)</f>
        <v/>
      </c>
      <c r="P4042">
        <f>IF('Loan Tape (S&amp;P)'!S4042="Yes",
    1.15,
    1.00)</f>
        <v/>
      </c>
      <c r="Q4042">
        <f>IF('Loan Tape (S&amp;P)'!V4042="Yes",
    1.20,
    1.00)</f>
        <v/>
      </c>
      <c r="T4042">
        <f>LET(
    payment_method,'Loan Tape (S&amp;P)'!P4042,
    occupancy,'Loan Tape (S&amp;P)'!N4042,
    maturity_date,'Loan Tape (S&amp;P)'!L4042,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43">
      <c r="J4043">
        <f>LET(
    lien,'Loan Tape (S&amp;P)'!Q4043,
    IF(lien="First",1.00,
        IF(lien="Second",1.50,
            1.70)))</f>
        <v/>
      </c>
      <c r="K4043">
        <f>LET(
    purpose,'Loan Tape (S&amp;P)'!R4043,
    IF(purpose="Purchase",1.00,
        IF(purpose="Remortgage",1.00,
            1.20)))</f>
        <v/>
      </c>
      <c r="L4043">
        <f>LET(
    arrears_months,'Loan Tape (S&amp;P)'!AN4043,
    IF(arrears_months=0,1.00,
    IF(arrears_months=1,3.00,
    IF(arrears_months=2,5.00,
    IF(arrears_months=3,8.00,
    IF(arrears_months=4,10.00,
    IF(arrears_months=5,12.00,15.00)))))))</f>
        <v/>
      </c>
      <c r="M4043">
        <f>LET(
    seasoning_years,DATEDIF('Loan Tape (S&amp;P)'!K4043,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43">
        <f>IF(AND('Loan Tape (S&amp;P)'!U4043="Yes",
        'Loan Tape (S&amp;P)'!T4043&lt;&gt;"Yes",
        DATEDIF('Loan Tape (S&amp;P)'!K4043, TODAY(), "M")&lt;18),
    1.10,
    1.00)</f>
        <v/>
      </c>
      <c r="O4043">
        <f>IF('Loan Tape (S&amp;P)'!T4043="Yes",
    1.35,
    1.00)</f>
        <v/>
      </c>
      <c r="P4043">
        <f>IF('Loan Tape (S&amp;P)'!S4043="Yes",
    1.15,
    1.00)</f>
        <v/>
      </c>
      <c r="Q4043">
        <f>IF('Loan Tape (S&amp;P)'!V4043="Yes",
    1.20,
    1.00)</f>
        <v/>
      </c>
      <c r="T4043">
        <f>LET(
    payment_method,'Loan Tape (S&amp;P)'!P4043,
    occupancy,'Loan Tape (S&amp;P)'!N4043,
    maturity_date,'Loan Tape (S&amp;P)'!L4043,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44">
      <c r="J4044">
        <f>LET(
    lien,'Loan Tape (S&amp;P)'!Q4044,
    IF(lien="First",1.00,
        IF(lien="Second",1.50,
            1.70)))</f>
        <v/>
      </c>
      <c r="K4044">
        <f>LET(
    purpose,'Loan Tape (S&amp;P)'!R4044,
    IF(purpose="Purchase",1.00,
        IF(purpose="Remortgage",1.00,
            1.20)))</f>
        <v/>
      </c>
      <c r="L4044">
        <f>LET(
    arrears_months,'Loan Tape (S&amp;P)'!AN4044,
    IF(arrears_months=0,1.00,
    IF(arrears_months=1,3.00,
    IF(arrears_months=2,5.00,
    IF(arrears_months=3,8.00,
    IF(arrears_months=4,10.00,
    IF(arrears_months=5,12.00,15.00)))))))</f>
        <v/>
      </c>
      <c r="M4044">
        <f>LET(
    seasoning_years,DATEDIF('Loan Tape (S&amp;P)'!K4044,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44">
        <f>IF(AND('Loan Tape (S&amp;P)'!U4044="Yes",
        'Loan Tape (S&amp;P)'!T4044&lt;&gt;"Yes",
        DATEDIF('Loan Tape (S&amp;P)'!K4044, TODAY(), "M")&lt;18),
    1.10,
    1.00)</f>
        <v/>
      </c>
      <c r="O4044">
        <f>IF('Loan Tape (S&amp;P)'!T4044="Yes",
    1.35,
    1.00)</f>
        <v/>
      </c>
      <c r="P4044">
        <f>IF('Loan Tape (S&amp;P)'!S4044="Yes",
    1.15,
    1.00)</f>
        <v/>
      </c>
      <c r="Q4044">
        <f>IF('Loan Tape (S&amp;P)'!V4044="Yes",
    1.20,
    1.00)</f>
        <v/>
      </c>
      <c r="T4044">
        <f>LET(
    payment_method,'Loan Tape (S&amp;P)'!P4044,
    occupancy,'Loan Tape (S&amp;P)'!N4044,
    maturity_date,'Loan Tape (S&amp;P)'!L4044,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45">
      <c r="J4045">
        <f>LET(
    lien,'Loan Tape (S&amp;P)'!Q4045,
    IF(lien="First",1.00,
        IF(lien="Second",1.50,
            1.70)))</f>
        <v/>
      </c>
      <c r="K4045">
        <f>LET(
    purpose,'Loan Tape (S&amp;P)'!R4045,
    IF(purpose="Purchase",1.00,
        IF(purpose="Remortgage",1.00,
            1.20)))</f>
        <v/>
      </c>
      <c r="L4045">
        <f>LET(
    arrears_months,'Loan Tape (S&amp;P)'!AN4045,
    IF(arrears_months=0,1.00,
    IF(arrears_months=1,3.00,
    IF(arrears_months=2,5.00,
    IF(arrears_months=3,8.00,
    IF(arrears_months=4,10.00,
    IF(arrears_months=5,12.00,15.00)))))))</f>
        <v/>
      </c>
      <c r="M4045">
        <f>LET(
    seasoning_years,DATEDIF('Loan Tape (S&amp;P)'!K4045,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45">
        <f>IF(AND('Loan Tape (S&amp;P)'!U4045="Yes",
        'Loan Tape (S&amp;P)'!T4045&lt;&gt;"Yes",
        DATEDIF('Loan Tape (S&amp;P)'!K4045, TODAY(), "M")&lt;18),
    1.10,
    1.00)</f>
        <v/>
      </c>
      <c r="O4045">
        <f>IF('Loan Tape (S&amp;P)'!T4045="Yes",
    1.35,
    1.00)</f>
        <v/>
      </c>
      <c r="P4045">
        <f>IF('Loan Tape (S&amp;P)'!S4045="Yes",
    1.15,
    1.00)</f>
        <v/>
      </c>
      <c r="Q4045">
        <f>IF('Loan Tape (S&amp;P)'!V4045="Yes",
    1.20,
    1.00)</f>
        <v/>
      </c>
      <c r="T4045">
        <f>LET(
    payment_method,'Loan Tape (S&amp;P)'!P4045,
    occupancy,'Loan Tape (S&amp;P)'!N4045,
    maturity_date,'Loan Tape (S&amp;P)'!L4045,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46">
      <c r="J4046">
        <f>LET(
    lien,'Loan Tape (S&amp;P)'!Q4046,
    IF(lien="First",1.00,
        IF(lien="Second",1.50,
            1.70)))</f>
        <v/>
      </c>
      <c r="K4046">
        <f>LET(
    purpose,'Loan Tape (S&amp;P)'!R4046,
    IF(purpose="Purchase",1.00,
        IF(purpose="Remortgage",1.00,
            1.20)))</f>
        <v/>
      </c>
      <c r="L4046">
        <f>LET(
    arrears_months,'Loan Tape (S&amp;P)'!AN4046,
    IF(arrears_months=0,1.00,
    IF(arrears_months=1,3.00,
    IF(arrears_months=2,5.00,
    IF(arrears_months=3,8.00,
    IF(arrears_months=4,10.00,
    IF(arrears_months=5,12.00,15.00)))))))</f>
        <v/>
      </c>
      <c r="M4046">
        <f>LET(
    seasoning_years,DATEDIF('Loan Tape (S&amp;P)'!K4046,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46">
        <f>IF(AND('Loan Tape (S&amp;P)'!U4046="Yes",
        'Loan Tape (S&amp;P)'!T4046&lt;&gt;"Yes",
        DATEDIF('Loan Tape (S&amp;P)'!K4046, TODAY(), "M")&lt;18),
    1.10,
    1.00)</f>
        <v/>
      </c>
      <c r="O4046">
        <f>IF('Loan Tape (S&amp;P)'!T4046="Yes",
    1.35,
    1.00)</f>
        <v/>
      </c>
      <c r="P4046">
        <f>IF('Loan Tape (S&amp;P)'!S4046="Yes",
    1.15,
    1.00)</f>
        <v/>
      </c>
      <c r="Q4046">
        <f>IF('Loan Tape (S&amp;P)'!V4046="Yes",
    1.20,
    1.00)</f>
        <v/>
      </c>
      <c r="T4046">
        <f>LET(
    payment_method,'Loan Tape (S&amp;P)'!P4046,
    occupancy,'Loan Tape (S&amp;P)'!N4046,
    maturity_date,'Loan Tape (S&amp;P)'!L4046,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47">
      <c r="J4047">
        <f>LET(
    lien,'Loan Tape (S&amp;P)'!Q4047,
    IF(lien="First",1.00,
        IF(lien="Second",1.50,
            1.70)))</f>
        <v/>
      </c>
      <c r="K4047">
        <f>LET(
    purpose,'Loan Tape (S&amp;P)'!R4047,
    IF(purpose="Purchase",1.00,
        IF(purpose="Remortgage",1.00,
            1.20)))</f>
        <v/>
      </c>
      <c r="L4047">
        <f>LET(
    arrears_months,'Loan Tape (S&amp;P)'!AN4047,
    IF(arrears_months=0,1.00,
    IF(arrears_months=1,3.00,
    IF(arrears_months=2,5.00,
    IF(arrears_months=3,8.00,
    IF(arrears_months=4,10.00,
    IF(arrears_months=5,12.00,15.00)))))))</f>
        <v/>
      </c>
      <c r="M4047">
        <f>LET(
    seasoning_years,DATEDIF('Loan Tape (S&amp;P)'!K4047,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47">
        <f>IF(AND('Loan Tape (S&amp;P)'!U4047="Yes",
        'Loan Tape (S&amp;P)'!T4047&lt;&gt;"Yes",
        DATEDIF('Loan Tape (S&amp;P)'!K4047, TODAY(), "M")&lt;18),
    1.10,
    1.00)</f>
        <v/>
      </c>
      <c r="O4047">
        <f>IF('Loan Tape (S&amp;P)'!T4047="Yes",
    1.35,
    1.00)</f>
        <v/>
      </c>
      <c r="P4047">
        <f>IF('Loan Tape (S&amp;P)'!S4047="Yes",
    1.15,
    1.00)</f>
        <v/>
      </c>
      <c r="Q4047">
        <f>IF('Loan Tape (S&amp;P)'!V4047="Yes",
    1.20,
    1.00)</f>
        <v/>
      </c>
      <c r="T4047">
        <f>LET(
    payment_method,'Loan Tape (S&amp;P)'!P4047,
    occupancy,'Loan Tape (S&amp;P)'!N4047,
    maturity_date,'Loan Tape (S&amp;P)'!L4047,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48">
      <c r="J4048">
        <f>LET(
    lien,'Loan Tape (S&amp;P)'!Q4048,
    IF(lien="First",1.00,
        IF(lien="Second",1.50,
            1.70)))</f>
        <v/>
      </c>
      <c r="K4048">
        <f>LET(
    purpose,'Loan Tape (S&amp;P)'!R4048,
    IF(purpose="Purchase",1.00,
        IF(purpose="Remortgage",1.00,
            1.20)))</f>
        <v/>
      </c>
      <c r="L4048">
        <f>LET(
    arrears_months,'Loan Tape (S&amp;P)'!AN4048,
    IF(arrears_months=0,1.00,
    IF(arrears_months=1,3.00,
    IF(arrears_months=2,5.00,
    IF(arrears_months=3,8.00,
    IF(arrears_months=4,10.00,
    IF(arrears_months=5,12.00,15.00)))))))</f>
        <v/>
      </c>
      <c r="M4048">
        <f>LET(
    seasoning_years,DATEDIF('Loan Tape (S&amp;P)'!K4048,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48">
        <f>IF(AND('Loan Tape (S&amp;P)'!U4048="Yes",
        'Loan Tape (S&amp;P)'!T4048&lt;&gt;"Yes",
        DATEDIF('Loan Tape (S&amp;P)'!K4048, TODAY(), "M")&lt;18),
    1.10,
    1.00)</f>
        <v/>
      </c>
      <c r="O4048">
        <f>IF('Loan Tape (S&amp;P)'!T4048="Yes",
    1.35,
    1.00)</f>
        <v/>
      </c>
      <c r="P4048">
        <f>IF('Loan Tape (S&amp;P)'!S4048="Yes",
    1.15,
    1.00)</f>
        <v/>
      </c>
      <c r="Q4048">
        <f>IF('Loan Tape (S&amp;P)'!V4048="Yes",
    1.20,
    1.00)</f>
        <v/>
      </c>
      <c r="T4048">
        <f>LET(
    payment_method,'Loan Tape (S&amp;P)'!P4048,
    occupancy,'Loan Tape (S&amp;P)'!N4048,
    maturity_date,'Loan Tape (S&amp;P)'!L4048,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49">
      <c r="J4049">
        <f>LET(
    lien,'Loan Tape (S&amp;P)'!Q4049,
    IF(lien="First",1.00,
        IF(lien="Second",1.50,
            1.70)))</f>
        <v/>
      </c>
      <c r="K4049">
        <f>LET(
    purpose,'Loan Tape (S&amp;P)'!R4049,
    IF(purpose="Purchase",1.00,
        IF(purpose="Remortgage",1.00,
            1.20)))</f>
        <v/>
      </c>
      <c r="L4049">
        <f>LET(
    arrears_months,'Loan Tape (S&amp;P)'!AN4049,
    IF(arrears_months=0,1.00,
    IF(arrears_months=1,3.00,
    IF(arrears_months=2,5.00,
    IF(arrears_months=3,8.00,
    IF(arrears_months=4,10.00,
    IF(arrears_months=5,12.00,15.00)))))))</f>
        <v/>
      </c>
      <c r="M4049">
        <f>LET(
    seasoning_years,DATEDIF('Loan Tape (S&amp;P)'!K4049,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49">
        <f>IF(AND('Loan Tape (S&amp;P)'!U4049="Yes",
        'Loan Tape (S&amp;P)'!T4049&lt;&gt;"Yes",
        DATEDIF('Loan Tape (S&amp;P)'!K4049, TODAY(), "M")&lt;18),
    1.10,
    1.00)</f>
        <v/>
      </c>
      <c r="O4049">
        <f>IF('Loan Tape (S&amp;P)'!T4049="Yes",
    1.35,
    1.00)</f>
        <v/>
      </c>
      <c r="P4049">
        <f>IF('Loan Tape (S&amp;P)'!S4049="Yes",
    1.15,
    1.00)</f>
        <v/>
      </c>
      <c r="Q4049">
        <f>IF('Loan Tape (S&amp;P)'!V4049="Yes",
    1.20,
    1.00)</f>
        <v/>
      </c>
      <c r="T4049">
        <f>LET(
    payment_method,'Loan Tape (S&amp;P)'!P4049,
    occupancy,'Loan Tape (S&amp;P)'!N4049,
    maturity_date,'Loan Tape (S&amp;P)'!L4049,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50">
      <c r="J4050">
        <f>LET(
    lien,'Loan Tape (S&amp;P)'!Q4050,
    IF(lien="First",1.00,
        IF(lien="Second",1.50,
            1.70)))</f>
        <v/>
      </c>
      <c r="K4050">
        <f>LET(
    purpose,'Loan Tape (S&amp;P)'!R4050,
    IF(purpose="Purchase",1.00,
        IF(purpose="Remortgage",1.00,
            1.20)))</f>
        <v/>
      </c>
      <c r="L4050">
        <f>LET(
    arrears_months,'Loan Tape (S&amp;P)'!AN4050,
    IF(arrears_months=0,1.00,
    IF(arrears_months=1,3.00,
    IF(arrears_months=2,5.00,
    IF(arrears_months=3,8.00,
    IF(arrears_months=4,10.00,
    IF(arrears_months=5,12.00,15.00)))))))</f>
        <v/>
      </c>
      <c r="M4050">
        <f>LET(
    seasoning_years,DATEDIF('Loan Tape (S&amp;P)'!K4050,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50">
        <f>IF(AND('Loan Tape (S&amp;P)'!U4050="Yes",
        'Loan Tape (S&amp;P)'!T4050&lt;&gt;"Yes",
        DATEDIF('Loan Tape (S&amp;P)'!K4050, TODAY(), "M")&lt;18),
    1.10,
    1.00)</f>
        <v/>
      </c>
      <c r="O4050">
        <f>IF('Loan Tape (S&amp;P)'!T4050="Yes",
    1.35,
    1.00)</f>
        <v/>
      </c>
      <c r="P4050">
        <f>IF('Loan Tape (S&amp;P)'!S4050="Yes",
    1.15,
    1.00)</f>
        <v/>
      </c>
      <c r="Q4050">
        <f>IF('Loan Tape (S&amp;P)'!V4050="Yes",
    1.20,
    1.00)</f>
        <v/>
      </c>
      <c r="T4050">
        <f>LET(
    payment_method,'Loan Tape (S&amp;P)'!P4050,
    occupancy,'Loan Tape (S&amp;P)'!N4050,
    maturity_date,'Loan Tape (S&amp;P)'!L4050,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51">
      <c r="J4051">
        <f>LET(
    lien,'Loan Tape (S&amp;P)'!Q4051,
    IF(lien="First",1.00,
        IF(lien="Second",1.50,
            1.70)))</f>
        <v/>
      </c>
      <c r="K4051">
        <f>LET(
    purpose,'Loan Tape (S&amp;P)'!R4051,
    IF(purpose="Purchase",1.00,
        IF(purpose="Remortgage",1.00,
            1.20)))</f>
        <v/>
      </c>
      <c r="L4051">
        <f>LET(
    arrears_months,'Loan Tape (S&amp;P)'!AN4051,
    IF(arrears_months=0,1.00,
    IF(arrears_months=1,3.00,
    IF(arrears_months=2,5.00,
    IF(arrears_months=3,8.00,
    IF(arrears_months=4,10.00,
    IF(arrears_months=5,12.00,15.00)))))))</f>
        <v/>
      </c>
      <c r="M4051">
        <f>LET(
    seasoning_years,DATEDIF('Loan Tape (S&amp;P)'!K4051,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51">
        <f>IF(AND('Loan Tape (S&amp;P)'!U4051="Yes",
        'Loan Tape (S&amp;P)'!T4051&lt;&gt;"Yes",
        DATEDIF('Loan Tape (S&amp;P)'!K4051, TODAY(), "M")&lt;18),
    1.10,
    1.00)</f>
        <v/>
      </c>
      <c r="O4051">
        <f>IF('Loan Tape (S&amp;P)'!T4051="Yes",
    1.35,
    1.00)</f>
        <v/>
      </c>
      <c r="P4051">
        <f>IF('Loan Tape (S&amp;P)'!S4051="Yes",
    1.15,
    1.00)</f>
        <v/>
      </c>
      <c r="Q4051">
        <f>IF('Loan Tape (S&amp;P)'!V4051="Yes",
    1.20,
    1.00)</f>
        <v/>
      </c>
      <c r="T4051">
        <f>LET(
    payment_method,'Loan Tape (S&amp;P)'!P4051,
    occupancy,'Loan Tape (S&amp;P)'!N4051,
    maturity_date,'Loan Tape (S&amp;P)'!L4051,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52">
      <c r="J4052">
        <f>LET(
    lien,'Loan Tape (S&amp;P)'!Q4052,
    IF(lien="First",1.00,
        IF(lien="Second",1.50,
            1.70)))</f>
        <v/>
      </c>
      <c r="K4052">
        <f>LET(
    purpose,'Loan Tape (S&amp;P)'!R4052,
    IF(purpose="Purchase",1.00,
        IF(purpose="Remortgage",1.00,
            1.20)))</f>
        <v/>
      </c>
      <c r="L4052">
        <f>LET(
    arrears_months,'Loan Tape (S&amp;P)'!AN4052,
    IF(arrears_months=0,1.00,
    IF(arrears_months=1,3.00,
    IF(arrears_months=2,5.00,
    IF(arrears_months=3,8.00,
    IF(arrears_months=4,10.00,
    IF(arrears_months=5,12.00,15.00)))))))</f>
        <v/>
      </c>
      <c r="M4052">
        <f>LET(
    seasoning_years,DATEDIF('Loan Tape (S&amp;P)'!K4052,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52">
        <f>IF(AND('Loan Tape (S&amp;P)'!U4052="Yes",
        'Loan Tape (S&amp;P)'!T4052&lt;&gt;"Yes",
        DATEDIF('Loan Tape (S&amp;P)'!K4052, TODAY(), "M")&lt;18),
    1.10,
    1.00)</f>
        <v/>
      </c>
      <c r="O4052">
        <f>IF('Loan Tape (S&amp;P)'!T4052="Yes",
    1.35,
    1.00)</f>
        <v/>
      </c>
      <c r="P4052">
        <f>IF('Loan Tape (S&amp;P)'!S4052="Yes",
    1.15,
    1.00)</f>
        <v/>
      </c>
      <c r="Q4052">
        <f>IF('Loan Tape (S&amp;P)'!V4052="Yes",
    1.20,
    1.00)</f>
        <v/>
      </c>
      <c r="T4052">
        <f>LET(
    payment_method,'Loan Tape (S&amp;P)'!P4052,
    occupancy,'Loan Tape (S&amp;P)'!N4052,
    maturity_date,'Loan Tape (S&amp;P)'!L4052,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53">
      <c r="J4053">
        <f>LET(
    lien,'Loan Tape (S&amp;P)'!Q4053,
    IF(lien="First",1.00,
        IF(lien="Second",1.50,
            1.70)))</f>
        <v/>
      </c>
      <c r="K4053">
        <f>LET(
    purpose,'Loan Tape (S&amp;P)'!R4053,
    IF(purpose="Purchase",1.00,
        IF(purpose="Remortgage",1.00,
            1.20)))</f>
        <v/>
      </c>
      <c r="L4053">
        <f>LET(
    arrears_months,'Loan Tape (S&amp;P)'!AN4053,
    IF(arrears_months=0,1.00,
    IF(arrears_months=1,3.00,
    IF(arrears_months=2,5.00,
    IF(arrears_months=3,8.00,
    IF(arrears_months=4,10.00,
    IF(arrears_months=5,12.00,15.00)))))))</f>
        <v/>
      </c>
      <c r="M4053">
        <f>LET(
    seasoning_years,DATEDIF('Loan Tape (S&amp;P)'!K4053,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53">
        <f>IF(AND('Loan Tape (S&amp;P)'!U4053="Yes",
        'Loan Tape (S&amp;P)'!T4053&lt;&gt;"Yes",
        DATEDIF('Loan Tape (S&amp;P)'!K4053, TODAY(), "M")&lt;18),
    1.10,
    1.00)</f>
        <v/>
      </c>
      <c r="O4053">
        <f>IF('Loan Tape (S&amp;P)'!T4053="Yes",
    1.35,
    1.00)</f>
        <v/>
      </c>
      <c r="P4053">
        <f>IF('Loan Tape (S&amp;P)'!S4053="Yes",
    1.15,
    1.00)</f>
        <v/>
      </c>
      <c r="Q4053">
        <f>IF('Loan Tape (S&amp;P)'!V4053="Yes",
    1.20,
    1.00)</f>
        <v/>
      </c>
      <c r="T4053">
        <f>LET(
    payment_method,'Loan Tape (S&amp;P)'!P4053,
    occupancy,'Loan Tape (S&amp;P)'!N4053,
    maturity_date,'Loan Tape (S&amp;P)'!L4053,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54">
      <c r="J4054">
        <f>LET(
    lien,'Loan Tape (S&amp;P)'!Q4054,
    IF(lien="First",1.00,
        IF(lien="Second",1.50,
            1.70)))</f>
        <v/>
      </c>
      <c r="K4054">
        <f>LET(
    purpose,'Loan Tape (S&amp;P)'!R4054,
    IF(purpose="Purchase",1.00,
        IF(purpose="Remortgage",1.00,
            1.20)))</f>
        <v/>
      </c>
      <c r="L4054">
        <f>LET(
    arrears_months,'Loan Tape (S&amp;P)'!AN4054,
    IF(arrears_months=0,1.00,
    IF(arrears_months=1,3.00,
    IF(arrears_months=2,5.00,
    IF(arrears_months=3,8.00,
    IF(arrears_months=4,10.00,
    IF(arrears_months=5,12.00,15.00)))))))</f>
        <v/>
      </c>
      <c r="M4054">
        <f>LET(
    seasoning_years,DATEDIF('Loan Tape (S&amp;P)'!K4054,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54">
        <f>IF(AND('Loan Tape (S&amp;P)'!U4054="Yes",
        'Loan Tape (S&amp;P)'!T4054&lt;&gt;"Yes",
        DATEDIF('Loan Tape (S&amp;P)'!K4054, TODAY(), "M")&lt;18),
    1.10,
    1.00)</f>
        <v/>
      </c>
      <c r="O4054">
        <f>IF('Loan Tape (S&amp;P)'!T4054="Yes",
    1.35,
    1.00)</f>
        <v/>
      </c>
      <c r="P4054">
        <f>IF('Loan Tape (S&amp;P)'!S4054="Yes",
    1.15,
    1.00)</f>
        <v/>
      </c>
      <c r="Q4054">
        <f>IF('Loan Tape (S&amp;P)'!V4054="Yes",
    1.20,
    1.00)</f>
        <v/>
      </c>
      <c r="T4054">
        <f>LET(
    payment_method,'Loan Tape (S&amp;P)'!P4054,
    occupancy,'Loan Tape (S&amp;P)'!N4054,
    maturity_date,'Loan Tape (S&amp;P)'!L4054,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55">
      <c r="J4055">
        <f>LET(
    lien,'Loan Tape (S&amp;P)'!Q4055,
    IF(lien="First",1.00,
        IF(lien="Second",1.50,
            1.70)))</f>
        <v/>
      </c>
      <c r="K4055">
        <f>LET(
    purpose,'Loan Tape (S&amp;P)'!R4055,
    IF(purpose="Purchase",1.00,
        IF(purpose="Remortgage",1.00,
            1.20)))</f>
        <v/>
      </c>
      <c r="L4055">
        <f>LET(
    arrears_months,'Loan Tape (S&amp;P)'!AN4055,
    IF(arrears_months=0,1.00,
    IF(arrears_months=1,3.00,
    IF(arrears_months=2,5.00,
    IF(arrears_months=3,8.00,
    IF(arrears_months=4,10.00,
    IF(arrears_months=5,12.00,15.00)))))))</f>
        <v/>
      </c>
      <c r="M4055">
        <f>LET(
    seasoning_years,DATEDIF('Loan Tape (S&amp;P)'!K4055,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55">
        <f>IF(AND('Loan Tape (S&amp;P)'!U4055="Yes",
        'Loan Tape (S&amp;P)'!T4055&lt;&gt;"Yes",
        DATEDIF('Loan Tape (S&amp;P)'!K4055, TODAY(), "M")&lt;18),
    1.10,
    1.00)</f>
        <v/>
      </c>
      <c r="O4055">
        <f>IF('Loan Tape (S&amp;P)'!T4055="Yes",
    1.35,
    1.00)</f>
        <v/>
      </c>
      <c r="P4055">
        <f>IF('Loan Tape (S&amp;P)'!S4055="Yes",
    1.15,
    1.00)</f>
        <v/>
      </c>
      <c r="Q4055">
        <f>IF('Loan Tape (S&amp;P)'!V4055="Yes",
    1.20,
    1.00)</f>
        <v/>
      </c>
      <c r="T4055">
        <f>LET(
    payment_method,'Loan Tape (S&amp;P)'!P4055,
    occupancy,'Loan Tape (S&amp;P)'!N4055,
    maturity_date,'Loan Tape (S&amp;P)'!L4055,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56">
      <c r="J4056">
        <f>LET(
    lien,'Loan Tape (S&amp;P)'!Q4056,
    IF(lien="First",1.00,
        IF(lien="Second",1.50,
            1.70)))</f>
        <v/>
      </c>
      <c r="K4056">
        <f>LET(
    purpose,'Loan Tape (S&amp;P)'!R4056,
    IF(purpose="Purchase",1.00,
        IF(purpose="Remortgage",1.00,
            1.20)))</f>
        <v/>
      </c>
      <c r="L4056">
        <f>LET(
    arrears_months,'Loan Tape (S&amp;P)'!AN4056,
    IF(arrears_months=0,1.00,
    IF(arrears_months=1,3.00,
    IF(arrears_months=2,5.00,
    IF(arrears_months=3,8.00,
    IF(arrears_months=4,10.00,
    IF(arrears_months=5,12.00,15.00)))))))</f>
        <v/>
      </c>
      <c r="M4056">
        <f>LET(
    seasoning_years,DATEDIF('Loan Tape (S&amp;P)'!K4056,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56">
        <f>IF(AND('Loan Tape (S&amp;P)'!U4056="Yes",
        'Loan Tape (S&amp;P)'!T4056&lt;&gt;"Yes",
        DATEDIF('Loan Tape (S&amp;P)'!K4056, TODAY(), "M")&lt;18),
    1.10,
    1.00)</f>
        <v/>
      </c>
      <c r="O4056">
        <f>IF('Loan Tape (S&amp;P)'!T4056="Yes",
    1.35,
    1.00)</f>
        <v/>
      </c>
      <c r="P4056">
        <f>IF('Loan Tape (S&amp;P)'!S4056="Yes",
    1.15,
    1.00)</f>
        <v/>
      </c>
      <c r="Q4056">
        <f>IF('Loan Tape (S&amp;P)'!V4056="Yes",
    1.20,
    1.00)</f>
        <v/>
      </c>
      <c r="T4056">
        <f>LET(
    payment_method,'Loan Tape (S&amp;P)'!P4056,
    occupancy,'Loan Tape (S&amp;P)'!N4056,
    maturity_date,'Loan Tape (S&amp;P)'!L4056,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57">
      <c r="J4057">
        <f>LET(
    lien,'Loan Tape (S&amp;P)'!Q4057,
    IF(lien="First",1.00,
        IF(lien="Second",1.50,
            1.70)))</f>
        <v/>
      </c>
      <c r="K4057">
        <f>LET(
    purpose,'Loan Tape (S&amp;P)'!R4057,
    IF(purpose="Purchase",1.00,
        IF(purpose="Remortgage",1.00,
            1.20)))</f>
        <v/>
      </c>
      <c r="L4057">
        <f>LET(
    arrears_months,'Loan Tape (S&amp;P)'!AN4057,
    IF(arrears_months=0,1.00,
    IF(arrears_months=1,3.00,
    IF(arrears_months=2,5.00,
    IF(arrears_months=3,8.00,
    IF(arrears_months=4,10.00,
    IF(arrears_months=5,12.00,15.00)))))))</f>
        <v/>
      </c>
      <c r="M4057">
        <f>LET(
    seasoning_years,DATEDIF('Loan Tape (S&amp;P)'!K4057,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57">
        <f>IF(AND('Loan Tape (S&amp;P)'!U4057="Yes",
        'Loan Tape (S&amp;P)'!T4057&lt;&gt;"Yes",
        DATEDIF('Loan Tape (S&amp;P)'!K4057, TODAY(), "M")&lt;18),
    1.10,
    1.00)</f>
        <v/>
      </c>
      <c r="O4057">
        <f>IF('Loan Tape (S&amp;P)'!T4057="Yes",
    1.35,
    1.00)</f>
        <v/>
      </c>
      <c r="P4057">
        <f>IF('Loan Tape (S&amp;P)'!S4057="Yes",
    1.15,
    1.00)</f>
        <v/>
      </c>
      <c r="Q4057">
        <f>IF('Loan Tape (S&amp;P)'!V4057="Yes",
    1.20,
    1.00)</f>
        <v/>
      </c>
      <c r="T4057">
        <f>LET(
    payment_method,'Loan Tape (S&amp;P)'!P4057,
    occupancy,'Loan Tape (S&amp;P)'!N4057,
    maturity_date,'Loan Tape (S&amp;P)'!L4057,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58">
      <c r="J4058">
        <f>LET(
    lien,'Loan Tape (S&amp;P)'!Q4058,
    IF(lien="First",1.00,
        IF(lien="Second",1.50,
            1.70)))</f>
        <v/>
      </c>
      <c r="K4058">
        <f>LET(
    purpose,'Loan Tape (S&amp;P)'!R4058,
    IF(purpose="Purchase",1.00,
        IF(purpose="Remortgage",1.00,
            1.20)))</f>
        <v/>
      </c>
      <c r="L4058">
        <f>LET(
    arrears_months,'Loan Tape (S&amp;P)'!AN4058,
    IF(arrears_months=0,1.00,
    IF(arrears_months=1,3.00,
    IF(arrears_months=2,5.00,
    IF(arrears_months=3,8.00,
    IF(arrears_months=4,10.00,
    IF(arrears_months=5,12.00,15.00)))))))</f>
        <v/>
      </c>
      <c r="M4058">
        <f>LET(
    seasoning_years,DATEDIF('Loan Tape (S&amp;P)'!K4058,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58">
        <f>IF(AND('Loan Tape (S&amp;P)'!U4058="Yes",
        'Loan Tape (S&amp;P)'!T4058&lt;&gt;"Yes",
        DATEDIF('Loan Tape (S&amp;P)'!K4058, TODAY(), "M")&lt;18),
    1.10,
    1.00)</f>
        <v/>
      </c>
      <c r="O4058">
        <f>IF('Loan Tape (S&amp;P)'!T4058="Yes",
    1.35,
    1.00)</f>
        <v/>
      </c>
      <c r="P4058">
        <f>IF('Loan Tape (S&amp;P)'!S4058="Yes",
    1.15,
    1.00)</f>
        <v/>
      </c>
      <c r="Q4058">
        <f>IF('Loan Tape (S&amp;P)'!V4058="Yes",
    1.20,
    1.00)</f>
        <v/>
      </c>
      <c r="T4058">
        <f>LET(
    payment_method,'Loan Tape (S&amp;P)'!P4058,
    occupancy,'Loan Tape (S&amp;P)'!N4058,
    maturity_date,'Loan Tape (S&amp;P)'!L4058,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59">
      <c r="J4059">
        <f>LET(
    lien,'Loan Tape (S&amp;P)'!Q4059,
    IF(lien="First",1.00,
        IF(lien="Second",1.50,
            1.70)))</f>
        <v/>
      </c>
      <c r="K4059">
        <f>LET(
    purpose,'Loan Tape (S&amp;P)'!R4059,
    IF(purpose="Purchase",1.00,
        IF(purpose="Remortgage",1.00,
            1.20)))</f>
        <v/>
      </c>
      <c r="L4059">
        <f>LET(
    arrears_months,'Loan Tape (S&amp;P)'!AN4059,
    IF(arrears_months=0,1.00,
    IF(arrears_months=1,3.00,
    IF(arrears_months=2,5.00,
    IF(arrears_months=3,8.00,
    IF(arrears_months=4,10.00,
    IF(arrears_months=5,12.00,15.00)))))))</f>
        <v/>
      </c>
      <c r="M4059">
        <f>LET(
    seasoning_years,DATEDIF('Loan Tape (S&amp;P)'!K4059,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59">
        <f>IF(AND('Loan Tape (S&amp;P)'!U4059="Yes",
        'Loan Tape (S&amp;P)'!T4059&lt;&gt;"Yes",
        DATEDIF('Loan Tape (S&amp;P)'!K4059, TODAY(), "M")&lt;18),
    1.10,
    1.00)</f>
        <v/>
      </c>
      <c r="O4059">
        <f>IF('Loan Tape (S&amp;P)'!T4059="Yes",
    1.35,
    1.00)</f>
        <v/>
      </c>
      <c r="P4059">
        <f>IF('Loan Tape (S&amp;P)'!S4059="Yes",
    1.15,
    1.00)</f>
        <v/>
      </c>
      <c r="Q4059">
        <f>IF('Loan Tape (S&amp;P)'!V4059="Yes",
    1.20,
    1.00)</f>
        <v/>
      </c>
      <c r="T4059">
        <f>LET(
    payment_method,'Loan Tape (S&amp;P)'!P4059,
    occupancy,'Loan Tape (S&amp;P)'!N4059,
    maturity_date,'Loan Tape (S&amp;P)'!L4059,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60">
      <c r="J4060">
        <f>LET(
    lien,'Loan Tape (S&amp;P)'!Q4060,
    IF(lien="First",1.00,
        IF(lien="Second",1.50,
            1.70)))</f>
        <v/>
      </c>
      <c r="K4060">
        <f>LET(
    purpose,'Loan Tape (S&amp;P)'!R4060,
    IF(purpose="Purchase",1.00,
        IF(purpose="Remortgage",1.00,
            1.20)))</f>
        <v/>
      </c>
      <c r="L4060">
        <f>LET(
    arrears_months,'Loan Tape (S&amp;P)'!AN4060,
    IF(arrears_months=0,1.00,
    IF(arrears_months=1,3.00,
    IF(arrears_months=2,5.00,
    IF(arrears_months=3,8.00,
    IF(arrears_months=4,10.00,
    IF(arrears_months=5,12.00,15.00)))))))</f>
        <v/>
      </c>
      <c r="M4060">
        <f>LET(
    seasoning_years,DATEDIF('Loan Tape (S&amp;P)'!K4060,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60">
        <f>IF(AND('Loan Tape (S&amp;P)'!U4060="Yes",
        'Loan Tape (S&amp;P)'!T4060&lt;&gt;"Yes",
        DATEDIF('Loan Tape (S&amp;P)'!K4060, TODAY(), "M")&lt;18),
    1.10,
    1.00)</f>
        <v/>
      </c>
      <c r="O4060">
        <f>IF('Loan Tape (S&amp;P)'!T4060="Yes",
    1.35,
    1.00)</f>
        <v/>
      </c>
      <c r="P4060">
        <f>IF('Loan Tape (S&amp;P)'!S4060="Yes",
    1.15,
    1.00)</f>
        <v/>
      </c>
      <c r="Q4060">
        <f>IF('Loan Tape (S&amp;P)'!V4060="Yes",
    1.20,
    1.00)</f>
        <v/>
      </c>
      <c r="T4060">
        <f>LET(
    payment_method,'Loan Tape (S&amp;P)'!P4060,
    occupancy,'Loan Tape (S&amp;P)'!N4060,
    maturity_date,'Loan Tape (S&amp;P)'!L4060,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61">
      <c r="J4061">
        <f>LET(
    lien,'Loan Tape (S&amp;P)'!Q4061,
    IF(lien="First",1.00,
        IF(lien="Second",1.50,
            1.70)))</f>
        <v/>
      </c>
      <c r="K4061">
        <f>LET(
    purpose,'Loan Tape (S&amp;P)'!R4061,
    IF(purpose="Purchase",1.00,
        IF(purpose="Remortgage",1.00,
            1.20)))</f>
        <v/>
      </c>
      <c r="L4061">
        <f>LET(
    arrears_months,'Loan Tape (S&amp;P)'!AN4061,
    IF(arrears_months=0,1.00,
    IF(arrears_months=1,3.00,
    IF(arrears_months=2,5.00,
    IF(arrears_months=3,8.00,
    IF(arrears_months=4,10.00,
    IF(arrears_months=5,12.00,15.00)))))))</f>
        <v/>
      </c>
      <c r="M4061">
        <f>LET(
    seasoning_years,DATEDIF('Loan Tape (S&amp;P)'!K4061,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61">
        <f>IF(AND('Loan Tape (S&amp;P)'!U4061="Yes",
        'Loan Tape (S&amp;P)'!T4061&lt;&gt;"Yes",
        DATEDIF('Loan Tape (S&amp;P)'!K4061, TODAY(), "M")&lt;18),
    1.10,
    1.00)</f>
        <v/>
      </c>
      <c r="O4061">
        <f>IF('Loan Tape (S&amp;P)'!T4061="Yes",
    1.35,
    1.00)</f>
        <v/>
      </c>
      <c r="P4061">
        <f>IF('Loan Tape (S&amp;P)'!S4061="Yes",
    1.15,
    1.00)</f>
        <v/>
      </c>
      <c r="Q4061">
        <f>IF('Loan Tape (S&amp;P)'!V4061="Yes",
    1.20,
    1.00)</f>
        <v/>
      </c>
      <c r="T4061">
        <f>LET(
    payment_method,'Loan Tape (S&amp;P)'!P4061,
    occupancy,'Loan Tape (S&amp;P)'!N4061,
    maturity_date,'Loan Tape (S&amp;P)'!L4061,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62">
      <c r="J4062">
        <f>LET(
    lien,'Loan Tape (S&amp;P)'!Q4062,
    IF(lien="First",1.00,
        IF(lien="Second",1.50,
            1.70)))</f>
        <v/>
      </c>
      <c r="K4062">
        <f>LET(
    purpose,'Loan Tape (S&amp;P)'!R4062,
    IF(purpose="Purchase",1.00,
        IF(purpose="Remortgage",1.00,
            1.20)))</f>
        <v/>
      </c>
      <c r="L4062">
        <f>LET(
    arrears_months,'Loan Tape (S&amp;P)'!AN4062,
    IF(arrears_months=0,1.00,
    IF(arrears_months=1,3.00,
    IF(arrears_months=2,5.00,
    IF(arrears_months=3,8.00,
    IF(arrears_months=4,10.00,
    IF(arrears_months=5,12.00,15.00)))))))</f>
        <v/>
      </c>
      <c r="M4062">
        <f>LET(
    seasoning_years,DATEDIF('Loan Tape (S&amp;P)'!K4062,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62">
        <f>IF(AND('Loan Tape (S&amp;P)'!U4062="Yes",
        'Loan Tape (S&amp;P)'!T4062&lt;&gt;"Yes",
        DATEDIF('Loan Tape (S&amp;P)'!K4062, TODAY(), "M")&lt;18),
    1.10,
    1.00)</f>
        <v/>
      </c>
      <c r="O4062">
        <f>IF('Loan Tape (S&amp;P)'!T4062="Yes",
    1.35,
    1.00)</f>
        <v/>
      </c>
      <c r="P4062">
        <f>IF('Loan Tape (S&amp;P)'!S4062="Yes",
    1.15,
    1.00)</f>
        <v/>
      </c>
      <c r="Q4062">
        <f>IF('Loan Tape (S&amp;P)'!V4062="Yes",
    1.20,
    1.00)</f>
        <v/>
      </c>
      <c r="T4062">
        <f>LET(
    payment_method,'Loan Tape (S&amp;P)'!P4062,
    occupancy,'Loan Tape (S&amp;P)'!N4062,
    maturity_date,'Loan Tape (S&amp;P)'!L4062,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63">
      <c r="J4063">
        <f>LET(
    lien,'Loan Tape (S&amp;P)'!Q4063,
    IF(lien="First",1.00,
        IF(lien="Second",1.50,
            1.70)))</f>
        <v/>
      </c>
      <c r="K4063">
        <f>LET(
    purpose,'Loan Tape (S&amp;P)'!R4063,
    IF(purpose="Purchase",1.00,
        IF(purpose="Remortgage",1.00,
            1.20)))</f>
        <v/>
      </c>
      <c r="L4063">
        <f>LET(
    arrears_months,'Loan Tape (S&amp;P)'!AN4063,
    IF(arrears_months=0,1.00,
    IF(arrears_months=1,3.00,
    IF(arrears_months=2,5.00,
    IF(arrears_months=3,8.00,
    IF(arrears_months=4,10.00,
    IF(arrears_months=5,12.00,15.00)))))))</f>
        <v/>
      </c>
      <c r="M4063">
        <f>LET(
    seasoning_years,DATEDIF('Loan Tape (S&amp;P)'!K4063,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63">
        <f>IF(AND('Loan Tape (S&amp;P)'!U4063="Yes",
        'Loan Tape (S&amp;P)'!T4063&lt;&gt;"Yes",
        DATEDIF('Loan Tape (S&amp;P)'!K4063, TODAY(), "M")&lt;18),
    1.10,
    1.00)</f>
        <v/>
      </c>
      <c r="O4063">
        <f>IF('Loan Tape (S&amp;P)'!T4063="Yes",
    1.35,
    1.00)</f>
        <v/>
      </c>
      <c r="P4063">
        <f>IF('Loan Tape (S&amp;P)'!S4063="Yes",
    1.15,
    1.00)</f>
        <v/>
      </c>
      <c r="Q4063">
        <f>IF('Loan Tape (S&amp;P)'!V4063="Yes",
    1.20,
    1.00)</f>
        <v/>
      </c>
      <c r="T4063">
        <f>LET(
    payment_method,'Loan Tape (S&amp;P)'!P4063,
    occupancy,'Loan Tape (S&amp;P)'!N4063,
    maturity_date,'Loan Tape (S&amp;P)'!L4063,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64">
      <c r="J4064">
        <f>LET(
    lien,'Loan Tape (S&amp;P)'!Q4064,
    IF(lien="First",1.00,
        IF(lien="Second",1.50,
            1.70)))</f>
        <v/>
      </c>
      <c r="K4064">
        <f>LET(
    purpose,'Loan Tape (S&amp;P)'!R4064,
    IF(purpose="Purchase",1.00,
        IF(purpose="Remortgage",1.00,
            1.20)))</f>
        <v/>
      </c>
      <c r="L4064">
        <f>LET(
    arrears_months,'Loan Tape (S&amp;P)'!AN4064,
    IF(arrears_months=0,1.00,
    IF(arrears_months=1,3.00,
    IF(arrears_months=2,5.00,
    IF(arrears_months=3,8.00,
    IF(arrears_months=4,10.00,
    IF(arrears_months=5,12.00,15.00)))))))</f>
        <v/>
      </c>
      <c r="M4064">
        <f>LET(
    seasoning_years,DATEDIF('Loan Tape (S&amp;P)'!K4064,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64">
        <f>IF(AND('Loan Tape (S&amp;P)'!U4064="Yes",
        'Loan Tape (S&amp;P)'!T4064&lt;&gt;"Yes",
        DATEDIF('Loan Tape (S&amp;P)'!K4064, TODAY(), "M")&lt;18),
    1.10,
    1.00)</f>
        <v/>
      </c>
      <c r="O4064">
        <f>IF('Loan Tape (S&amp;P)'!T4064="Yes",
    1.35,
    1.00)</f>
        <v/>
      </c>
      <c r="P4064">
        <f>IF('Loan Tape (S&amp;P)'!S4064="Yes",
    1.15,
    1.00)</f>
        <v/>
      </c>
      <c r="Q4064">
        <f>IF('Loan Tape (S&amp;P)'!V4064="Yes",
    1.20,
    1.00)</f>
        <v/>
      </c>
      <c r="T4064">
        <f>LET(
    payment_method,'Loan Tape (S&amp;P)'!P4064,
    occupancy,'Loan Tape (S&amp;P)'!N4064,
    maturity_date,'Loan Tape (S&amp;P)'!L4064,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65">
      <c r="J4065">
        <f>LET(
    lien,'Loan Tape (S&amp;P)'!Q4065,
    IF(lien="First",1.00,
        IF(lien="Second",1.50,
            1.70)))</f>
        <v/>
      </c>
      <c r="K4065">
        <f>LET(
    purpose,'Loan Tape (S&amp;P)'!R4065,
    IF(purpose="Purchase",1.00,
        IF(purpose="Remortgage",1.00,
            1.20)))</f>
        <v/>
      </c>
      <c r="L4065">
        <f>LET(
    arrears_months,'Loan Tape (S&amp;P)'!AN4065,
    IF(arrears_months=0,1.00,
    IF(arrears_months=1,3.00,
    IF(arrears_months=2,5.00,
    IF(arrears_months=3,8.00,
    IF(arrears_months=4,10.00,
    IF(arrears_months=5,12.00,15.00)))))))</f>
        <v/>
      </c>
      <c r="M4065">
        <f>LET(
    seasoning_years,DATEDIF('Loan Tape (S&amp;P)'!K4065,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65">
        <f>IF(AND('Loan Tape (S&amp;P)'!U4065="Yes",
        'Loan Tape (S&amp;P)'!T4065&lt;&gt;"Yes",
        DATEDIF('Loan Tape (S&amp;P)'!K4065, TODAY(), "M")&lt;18),
    1.10,
    1.00)</f>
        <v/>
      </c>
      <c r="O4065">
        <f>IF('Loan Tape (S&amp;P)'!T4065="Yes",
    1.35,
    1.00)</f>
        <v/>
      </c>
      <c r="P4065">
        <f>IF('Loan Tape (S&amp;P)'!S4065="Yes",
    1.15,
    1.00)</f>
        <v/>
      </c>
      <c r="Q4065">
        <f>IF('Loan Tape (S&amp;P)'!V4065="Yes",
    1.20,
    1.00)</f>
        <v/>
      </c>
      <c r="T4065">
        <f>LET(
    payment_method,'Loan Tape (S&amp;P)'!P4065,
    occupancy,'Loan Tape (S&amp;P)'!N4065,
    maturity_date,'Loan Tape (S&amp;P)'!L4065,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66">
      <c r="J4066">
        <f>LET(
    lien,'Loan Tape (S&amp;P)'!Q4066,
    IF(lien="First",1.00,
        IF(lien="Second",1.50,
            1.70)))</f>
        <v/>
      </c>
      <c r="K4066">
        <f>LET(
    purpose,'Loan Tape (S&amp;P)'!R4066,
    IF(purpose="Purchase",1.00,
        IF(purpose="Remortgage",1.00,
            1.20)))</f>
        <v/>
      </c>
      <c r="L4066">
        <f>LET(
    arrears_months,'Loan Tape (S&amp;P)'!AN4066,
    IF(arrears_months=0,1.00,
    IF(arrears_months=1,3.00,
    IF(arrears_months=2,5.00,
    IF(arrears_months=3,8.00,
    IF(arrears_months=4,10.00,
    IF(arrears_months=5,12.00,15.00)))))))</f>
        <v/>
      </c>
      <c r="M4066">
        <f>LET(
    seasoning_years,DATEDIF('Loan Tape (S&amp;P)'!K4066,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66">
        <f>IF(AND('Loan Tape (S&amp;P)'!U4066="Yes",
        'Loan Tape (S&amp;P)'!T4066&lt;&gt;"Yes",
        DATEDIF('Loan Tape (S&amp;P)'!K4066, TODAY(), "M")&lt;18),
    1.10,
    1.00)</f>
        <v/>
      </c>
      <c r="O4066">
        <f>IF('Loan Tape (S&amp;P)'!T4066="Yes",
    1.35,
    1.00)</f>
        <v/>
      </c>
      <c r="P4066">
        <f>IF('Loan Tape (S&amp;P)'!S4066="Yes",
    1.15,
    1.00)</f>
        <v/>
      </c>
      <c r="Q4066">
        <f>IF('Loan Tape (S&amp;P)'!V4066="Yes",
    1.20,
    1.00)</f>
        <v/>
      </c>
      <c r="T4066">
        <f>LET(
    payment_method,'Loan Tape (S&amp;P)'!P4066,
    occupancy,'Loan Tape (S&amp;P)'!N4066,
    maturity_date,'Loan Tape (S&amp;P)'!L4066,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67">
      <c r="J4067">
        <f>LET(
    lien,'Loan Tape (S&amp;P)'!Q4067,
    IF(lien="First",1.00,
        IF(lien="Second",1.50,
            1.70)))</f>
        <v/>
      </c>
      <c r="K4067">
        <f>LET(
    purpose,'Loan Tape (S&amp;P)'!R4067,
    IF(purpose="Purchase",1.00,
        IF(purpose="Remortgage",1.00,
            1.20)))</f>
        <v/>
      </c>
      <c r="L4067">
        <f>LET(
    arrears_months,'Loan Tape (S&amp;P)'!AN4067,
    IF(arrears_months=0,1.00,
    IF(arrears_months=1,3.00,
    IF(arrears_months=2,5.00,
    IF(arrears_months=3,8.00,
    IF(arrears_months=4,10.00,
    IF(arrears_months=5,12.00,15.00)))))))</f>
        <v/>
      </c>
      <c r="M4067">
        <f>LET(
    seasoning_years,DATEDIF('Loan Tape (S&amp;P)'!K4067,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67">
        <f>IF(AND('Loan Tape (S&amp;P)'!U4067="Yes",
        'Loan Tape (S&amp;P)'!T4067&lt;&gt;"Yes",
        DATEDIF('Loan Tape (S&amp;P)'!K4067, TODAY(), "M")&lt;18),
    1.10,
    1.00)</f>
        <v/>
      </c>
      <c r="O4067">
        <f>IF('Loan Tape (S&amp;P)'!T4067="Yes",
    1.35,
    1.00)</f>
        <v/>
      </c>
      <c r="P4067">
        <f>IF('Loan Tape (S&amp;P)'!S4067="Yes",
    1.15,
    1.00)</f>
        <v/>
      </c>
      <c r="Q4067">
        <f>IF('Loan Tape (S&amp;P)'!V4067="Yes",
    1.20,
    1.00)</f>
        <v/>
      </c>
      <c r="T4067">
        <f>LET(
    payment_method,'Loan Tape (S&amp;P)'!P4067,
    occupancy,'Loan Tape (S&amp;P)'!N4067,
    maturity_date,'Loan Tape (S&amp;P)'!L4067,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68">
      <c r="J4068">
        <f>LET(
    lien,'Loan Tape (S&amp;P)'!Q4068,
    IF(lien="First",1.00,
        IF(lien="Second",1.50,
            1.70)))</f>
        <v/>
      </c>
      <c r="K4068">
        <f>LET(
    purpose,'Loan Tape (S&amp;P)'!R4068,
    IF(purpose="Purchase",1.00,
        IF(purpose="Remortgage",1.00,
            1.20)))</f>
        <v/>
      </c>
      <c r="L4068">
        <f>LET(
    arrears_months,'Loan Tape (S&amp;P)'!AN4068,
    IF(arrears_months=0,1.00,
    IF(arrears_months=1,3.00,
    IF(arrears_months=2,5.00,
    IF(arrears_months=3,8.00,
    IF(arrears_months=4,10.00,
    IF(arrears_months=5,12.00,15.00)))))))</f>
        <v/>
      </c>
      <c r="M4068">
        <f>LET(
    seasoning_years,DATEDIF('Loan Tape (S&amp;P)'!K4068,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68">
        <f>IF(AND('Loan Tape (S&amp;P)'!U4068="Yes",
        'Loan Tape (S&amp;P)'!T4068&lt;&gt;"Yes",
        DATEDIF('Loan Tape (S&amp;P)'!K4068, TODAY(), "M")&lt;18),
    1.10,
    1.00)</f>
        <v/>
      </c>
      <c r="O4068">
        <f>IF('Loan Tape (S&amp;P)'!T4068="Yes",
    1.35,
    1.00)</f>
        <v/>
      </c>
      <c r="P4068">
        <f>IF('Loan Tape (S&amp;P)'!S4068="Yes",
    1.15,
    1.00)</f>
        <v/>
      </c>
      <c r="Q4068">
        <f>IF('Loan Tape (S&amp;P)'!V4068="Yes",
    1.20,
    1.00)</f>
        <v/>
      </c>
      <c r="T4068">
        <f>LET(
    payment_method,'Loan Tape (S&amp;P)'!P4068,
    occupancy,'Loan Tape (S&amp;P)'!N4068,
    maturity_date,'Loan Tape (S&amp;P)'!L4068,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69">
      <c r="J4069">
        <f>LET(
    lien,'Loan Tape (S&amp;P)'!Q4069,
    IF(lien="First",1.00,
        IF(lien="Second",1.50,
            1.70)))</f>
        <v/>
      </c>
      <c r="K4069">
        <f>LET(
    purpose,'Loan Tape (S&amp;P)'!R4069,
    IF(purpose="Purchase",1.00,
        IF(purpose="Remortgage",1.00,
            1.20)))</f>
        <v/>
      </c>
      <c r="L4069">
        <f>LET(
    arrears_months,'Loan Tape (S&amp;P)'!AN4069,
    IF(arrears_months=0,1.00,
    IF(arrears_months=1,3.00,
    IF(arrears_months=2,5.00,
    IF(arrears_months=3,8.00,
    IF(arrears_months=4,10.00,
    IF(arrears_months=5,12.00,15.00)))))))</f>
        <v/>
      </c>
      <c r="M4069">
        <f>LET(
    seasoning_years,DATEDIF('Loan Tape (S&amp;P)'!K4069,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69">
        <f>IF(AND('Loan Tape (S&amp;P)'!U4069="Yes",
        'Loan Tape (S&amp;P)'!T4069&lt;&gt;"Yes",
        DATEDIF('Loan Tape (S&amp;P)'!K4069, TODAY(), "M")&lt;18),
    1.10,
    1.00)</f>
        <v/>
      </c>
      <c r="O4069">
        <f>IF('Loan Tape (S&amp;P)'!T4069="Yes",
    1.35,
    1.00)</f>
        <v/>
      </c>
      <c r="P4069">
        <f>IF('Loan Tape (S&amp;P)'!S4069="Yes",
    1.15,
    1.00)</f>
        <v/>
      </c>
      <c r="Q4069">
        <f>IF('Loan Tape (S&amp;P)'!V4069="Yes",
    1.20,
    1.00)</f>
        <v/>
      </c>
      <c r="T4069">
        <f>LET(
    payment_method,'Loan Tape (S&amp;P)'!P4069,
    occupancy,'Loan Tape (S&amp;P)'!N4069,
    maturity_date,'Loan Tape (S&amp;P)'!L4069,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70">
      <c r="J4070">
        <f>LET(
    lien,'Loan Tape (S&amp;P)'!Q4070,
    IF(lien="First",1.00,
        IF(lien="Second",1.50,
            1.70)))</f>
        <v/>
      </c>
      <c r="K4070">
        <f>LET(
    purpose,'Loan Tape (S&amp;P)'!R4070,
    IF(purpose="Purchase",1.00,
        IF(purpose="Remortgage",1.00,
            1.20)))</f>
        <v/>
      </c>
      <c r="L4070">
        <f>LET(
    arrears_months,'Loan Tape (S&amp;P)'!AN4070,
    IF(arrears_months=0,1.00,
    IF(arrears_months=1,3.00,
    IF(arrears_months=2,5.00,
    IF(arrears_months=3,8.00,
    IF(arrears_months=4,10.00,
    IF(arrears_months=5,12.00,15.00)))))))</f>
        <v/>
      </c>
      <c r="M4070">
        <f>LET(
    seasoning_years,DATEDIF('Loan Tape (S&amp;P)'!K4070,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70">
        <f>IF(AND('Loan Tape (S&amp;P)'!U4070="Yes",
        'Loan Tape (S&amp;P)'!T4070&lt;&gt;"Yes",
        DATEDIF('Loan Tape (S&amp;P)'!K4070, TODAY(), "M")&lt;18),
    1.10,
    1.00)</f>
        <v/>
      </c>
      <c r="O4070">
        <f>IF('Loan Tape (S&amp;P)'!T4070="Yes",
    1.35,
    1.00)</f>
        <v/>
      </c>
      <c r="P4070">
        <f>IF('Loan Tape (S&amp;P)'!S4070="Yes",
    1.15,
    1.00)</f>
        <v/>
      </c>
      <c r="Q4070">
        <f>IF('Loan Tape (S&amp;P)'!V4070="Yes",
    1.20,
    1.00)</f>
        <v/>
      </c>
      <c r="T4070">
        <f>LET(
    payment_method,'Loan Tape (S&amp;P)'!P4070,
    occupancy,'Loan Tape (S&amp;P)'!N4070,
    maturity_date,'Loan Tape (S&amp;P)'!L4070,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71">
      <c r="J4071">
        <f>LET(
    lien,'Loan Tape (S&amp;P)'!Q4071,
    IF(lien="First",1.00,
        IF(lien="Second",1.50,
            1.70)))</f>
        <v/>
      </c>
      <c r="K4071">
        <f>LET(
    purpose,'Loan Tape (S&amp;P)'!R4071,
    IF(purpose="Purchase",1.00,
        IF(purpose="Remortgage",1.00,
            1.20)))</f>
        <v/>
      </c>
      <c r="L4071">
        <f>LET(
    arrears_months,'Loan Tape (S&amp;P)'!AN4071,
    IF(arrears_months=0,1.00,
    IF(arrears_months=1,3.00,
    IF(arrears_months=2,5.00,
    IF(arrears_months=3,8.00,
    IF(arrears_months=4,10.00,
    IF(arrears_months=5,12.00,15.00)))))))</f>
        <v/>
      </c>
      <c r="M4071">
        <f>LET(
    seasoning_years,DATEDIF('Loan Tape (S&amp;P)'!K4071,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71">
        <f>IF(AND('Loan Tape (S&amp;P)'!U4071="Yes",
        'Loan Tape (S&amp;P)'!T4071&lt;&gt;"Yes",
        DATEDIF('Loan Tape (S&amp;P)'!K4071, TODAY(), "M")&lt;18),
    1.10,
    1.00)</f>
        <v/>
      </c>
      <c r="O4071">
        <f>IF('Loan Tape (S&amp;P)'!T4071="Yes",
    1.35,
    1.00)</f>
        <v/>
      </c>
      <c r="P4071">
        <f>IF('Loan Tape (S&amp;P)'!S4071="Yes",
    1.15,
    1.00)</f>
        <v/>
      </c>
      <c r="Q4071">
        <f>IF('Loan Tape (S&amp;P)'!V4071="Yes",
    1.20,
    1.00)</f>
        <v/>
      </c>
      <c r="T4071">
        <f>LET(
    payment_method,'Loan Tape (S&amp;P)'!P4071,
    occupancy,'Loan Tape (S&amp;P)'!N4071,
    maturity_date,'Loan Tape (S&amp;P)'!L4071,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72">
      <c r="J4072">
        <f>LET(
    lien,'Loan Tape (S&amp;P)'!Q4072,
    IF(lien="First",1.00,
        IF(lien="Second",1.50,
            1.70)))</f>
        <v/>
      </c>
      <c r="K4072">
        <f>LET(
    purpose,'Loan Tape (S&amp;P)'!R4072,
    IF(purpose="Purchase",1.00,
        IF(purpose="Remortgage",1.00,
            1.20)))</f>
        <v/>
      </c>
      <c r="L4072">
        <f>LET(
    arrears_months,'Loan Tape (S&amp;P)'!AN4072,
    IF(arrears_months=0,1.00,
    IF(arrears_months=1,3.00,
    IF(arrears_months=2,5.00,
    IF(arrears_months=3,8.00,
    IF(arrears_months=4,10.00,
    IF(arrears_months=5,12.00,15.00)))))))</f>
        <v/>
      </c>
      <c r="M4072">
        <f>LET(
    seasoning_years,DATEDIF('Loan Tape (S&amp;P)'!K4072,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72">
        <f>IF(AND('Loan Tape (S&amp;P)'!U4072="Yes",
        'Loan Tape (S&amp;P)'!T4072&lt;&gt;"Yes",
        DATEDIF('Loan Tape (S&amp;P)'!K4072, TODAY(), "M")&lt;18),
    1.10,
    1.00)</f>
        <v/>
      </c>
      <c r="O4072">
        <f>IF('Loan Tape (S&amp;P)'!T4072="Yes",
    1.35,
    1.00)</f>
        <v/>
      </c>
      <c r="P4072">
        <f>IF('Loan Tape (S&amp;P)'!S4072="Yes",
    1.15,
    1.00)</f>
        <v/>
      </c>
      <c r="Q4072">
        <f>IF('Loan Tape (S&amp;P)'!V4072="Yes",
    1.20,
    1.00)</f>
        <v/>
      </c>
      <c r="T4072">
        <f>LET(
    payment_method,'Loan Tape (S&amp;P)'!P4072,
    occupancy,'Loan Tape (S&amp;P)'!N4072,
    maturity_date,'Loan Tape (S&amp;P)'!L4072,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73">
      <c r="J4073">
        <f>LET(
    lien,'Loan Tape (S&amp;P)'!Q4073,
    IF(lien="First",1.00,
        IF(lien="Second",1.50,
            1.70)))</f>
        <v/>
      </c>
      <c r="K4073">
        <f>LET(
    purpose,'Loan Tape (S&amp;P)'!R4073,
    IF(purpose="Purchase",1.00,
        IF(purpose="Remortgage",1.00,
            1.20)))</f>
        <v/>
      </c>
      <c r="L4073">
        <f>LET(
    arrears_months,'Loan Tape (S&amp;P)'!AN4073,
    IF(arrears_months=0,1.00,
    IF(arrears_months=1,3.00,
    IF(arrears_months=2,5.00,
    IF(arrears_months=3,8.00,
    IF(arrears_months=4,10.00,
    IF(arrears_months=5,12.00,15.00)))))))</f>
        <v/>
      </c>
      <c r="M4073">
        <f>LET(
    seasoning_years,DATEDIF('Loan Tape (S&amp;P)'!K4073,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73">
        <f>IF(AND('Loan Tape (S&amp;P)'!U4073="Yes",
        'Loan Tape (S&amp;P)'!T4073&lt;&gt;"Yes",
        DATEDIF('Loan Tape (S&amp;P)'!K4073, TODAY(), "M")&lt;18),
    1.10,
    1.00)</f>
        <v/>
      </c>
      <c r="O4073">
        <f>IF('Loan Tape (S&amp;P)'!T4073="Yes",
    1.35,
    1.00)</f>
        <v/>
      </c>
      <c r="P4073">
        <f>IF('Loan Tape (S&amp;P)'!S4073="Yes",
    1.15,
    1.00)</f>
        <v/>
      </c>
      <c r="Q4073">
        <f>IF('Loan Tape (S&amp;P)'!V4073="Yes",
    1.20,
    1.00)</f>
        <v/>
      </c>
      <c r="T4073">
        <f>LET(
    payment_method,'Loan Tape (S&amp;P)'!P4073,
    occupancy,'Loan Tape (S&amp;P)'!N4073,
    maturity_date,'Loan Tape (S&amp;P)'!L4073,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74">
      <c r="J4074">
        <f>LET(
    lien,'Loan Tape (S&amp;P)'!Q4074,
    IF(lien="First",1.00,
        IF(lien="Second",1.50,
            1.70)))</f>
        <v/>
      </c>
      <c r="K4074">
        <f>LET(
    purpose,'Loan Tape (S&amp;P)'!R4074,
    IF(purpose="Purchase",1.00,
        IF(purpose="Remortgage",1.00,
            1.20)))</f>
        <v/>
      </c>
      <c r="L4074">
        <f>LET(
    arrears_months,'Loan Tape (S&amp;P)'!AN4074,
    IF(arrears_months=0,1.00,
    IF(arrears_months=1,3.00,
    IF(arrears_months=2,5.00,
    IF(arrears_months=3,8.00,
    IF(arrears_months=4,10.00,
    IF(arrears_months=5,12.00,15.00)))))))</f>
        <v/>
      </c>
      <c r="M4074">
        <f>LET(
    seasoning_years,DATEDIF('Loan Tape (S&amp;P)'!K4074,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74">
        <f>IF(AND('Loan Tape (S&amp;P)'!U4074="Yes",
        'Loan Tape (S&amp;P)'!T4074&lt;&gt;"Yes",
        DATEDIF('Loan Tape (S&amp;P)'!K4074, TODAY(), "M")&lt;18),
    1.10,
    1.00)</f>
        <v/>
      </c>
      <c r="O4074">
        <f>IF('Loan Tape (S&amp;P)'!T4074="Yes",
    1.35,
    1.00)</f>
        <v/>
      </c>
      <c r="P4074">
        <f>IF('Loan Tape (S&amp;P)'!S4074="Yes",
    1.15,
    1.00)</f>
        <v/>
      </c>
      <c r="Q4074">
        <f>IF('Loan Tape (S&amp;P)'!V4074="Yes",
    1.20,
    1.00)</f>
        <v/>
      </c>
      <c r="T4074">
        <f>LET(
    payment_method,'Loan Tape (S&amp;P)'!P4074,
    occupancy,'Loan Tape (S&amp;P)'!N4074,
    maturity_date,'Loan Tape (S&amp;P)'!L4074,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75">
      <c r="J4075">
        <f>LET(
    lien,'Loan Tape (S&amp;P)'!Q4075,
    IF(lien="First",1.00,
        IF(lien="Second",1.50,
            1.70)))</f>
        <v/>
      </c>
      <c r="K4075">
        <f>LET(
    purpose,'Loan Tape (S&amp;P)'!R4075,
    IF(purpose="Purchase",1.00,
        IF(purpose="Remortgage",1.00,
            1.20)))</f>
        <v/>
      </c>
      <c r="L4075">
        <f>LET(
    arrears_months,'Loan Tape (S&amp;P)'!AN4075,
    IF(arrears_months=0,1.00,
    IF(arrears_months=1,3.00,
    IF(arrears_months=2,5.00,
    IF(arrears_months=3,8.00,
    IF(arrears_months=4,10.00,
    IF(arrears_months=5,12.00,15.00)))))))</f>
        <v/>
      </c>
      <c r="M4075">
        <f>LET(
    seasoning_years,DATEDIF('Loan Tape (S&amp;P)'!K4075,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75">
        <f>IF(AND('Loan Tape (S&amp;P)'!U4075="Yes",
        'Loan Tape (S&amp;P)'!T4075&lt;&gt;"Yes",
        DATEDIF('Loan Tape (S&amp;P)'!K4075, TODAY(), "M")&lt;18),
    1.10,
    1.00)</f>
        <v/>
      </c>
      <c r="O4075">
        <f>IF('Loan Tape (S&amp;P)'!T4075="Yes",
    1.35,
    1.00)</f>
        <v/>
      </c>
      <c r="P4075">
        <f>IF('Loan Tape (S&amp;P)'!S4075="Yes",
    1.15,
    1.00)</f>
        <v/>
      </c>
      <c r="Q4075">
        <f>IF('Loan Tape (S&amp;P)'!V4075="Yes",
    1.20,
    1.00)</f>
        <v/>
      </c>
      <c r="T4075">
        <f>LET(
    payment_method,'Loan Tape (S&amp;P)'!P4075,
    occupancy,'Loan Tape (S&amp;P)'!N4075,
    maturity_date,'Loan Tape (S&amp;P)'!L4075,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76">
      <c r="J4076">
        <f>LET(
    lien,'Loan Tape (S&amp;P)'!Q4076,
    IF(lien="First",1.00,
        IF(lien="Second",1.50,
            1.70)))</f>
        <v/>
      </c>
      <c r="K4076">
        <f>LET(
    purpose,'Loan Tape (S&amp;P)'!R4076,
    IF(purpose="Purchase",1.00,
        IF(purpose="Remortgage",1.00,
            1.20)))</f>
        <v/>
      </c>
      <c r="L4076">
        <f>LET(
    arrears_months,'Loan Tape (S&amp;P)'!AN4076,
    IF(arrears_months=0,1.00,
    IF(arrears_months=1,3.00,
    IF(arrears_months=2,5.00,
    IF(arrears_months=3,8.00,
    IF(arrears_months=4,10.00,
    IF(arrears_months=5,12.00,15.00)))))))</f>
        <v/>
      </c>
      <c r="M4076">
        <f>LET(
    seasoning_years,DATEDIF('Loan Tape (S&amp;P)'!K4076,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76">
        <f>IF(AND('Loan Tape (S&amp;P)'!U4076="Yes",
        'Loan Tape (S&amp;P)'!T4076&lt;&gt;"Yes",
        DATEDIF('Loan Tape (S&amp;P)'!K4076, TODAY(), "M")&lt;18),
    1.10,
    1.00)</f>
        <v/>
      </c>
      <c r="O4076">
        <f>IF('Loan Tape (S&amp;P)'!T4076="Yes",
    1.35,
    1.00)</f>
        <v/>
      </c>
      <c r="P4076">
        <f>IF('Loan Tape (S&amp;P)'!S4076="Yes",
    1.15,
    1.00)</f>
        <v/>
      </c>
      <c r="Q4076">
        <f>IF('Loan Tape (S&amp;P)'!V4076="Yes",
    1.20,
    1.00)</f>
        <v/>
      </c>
      <c r="T4076">
        <f>LET(
    payment_method,'Loan Tape (S&amp;P)'!P4076,
    occupancy,'Loan Tape (S&amp;P)'!N4076,
    maturity_date,'Loan Tape (S&amp;P)'!L4076,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77">
      <c r="J4077">
        <f>LET(
    lien,'Loan Tape (S&amp;P)'!Q4077,
    IF(lien="First",1.00,
        IF(lien="Second",1.50,
            1.70)))</f>
        <v/>
      </c>
      <c r="K4077">
        <f>LET(
    purpose,'Loan Tape (S&amp;P)'!R4077,
    IF(purpose="Purchase",1.00,
        IF(purpose="Remortgage",1.00,
            1.20)))</f>
        <v/>
      </c>
      <c r="L4077">
        <f>LET(
    arrears_months,'Loan Tape (S&amp;P)'!AN4077,
    IF(arrears_months=0,1.00,
    IF(arrears_months=1,3.00,
    IF(arrears_months=2,5.00,
    IF(arrears_months=3,8.00,
    IF(arrears_months=4,10.00,
    IF(arrears_months=5,12.00,15.00)))))))</f>
        <v/>
      </c>
      <c r="M4077">
        <f>LET(
    seasoning_years,DATEDIF('Loan Tape (S&amp;P)'!K4077,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77">
        <f>IF(AND('Loan Tape (S&amp;P)'!U4077="Yes",
        'Loan Tape (S&amp;P)'!T4077&lt;&gt;"Yes",
        DATEDIF('Loan Tape (S&amp;P)'!K4077, TODAY(), "M")&lt;18),
    1.10,
    1.00)</f>
        <v/>
      </c>
      <c r="O4077">
        <f>IF('Loan Tape (S&amp;P)'!T4077="Yes",
    1.35,
    1.00)</f>
        <v/>
      </c>
      <c r="P4077">
        <f>IF('Loan Tape (S&amp;P)'!S4077="Yes",
    1.15,
    1.00)</f>
        <v/>
      </c>
      <c r="Q4077">
        <f>IF('Loan Tape (S&amp;P)'!V4077="Yes",
    1.20,
    1.00)</f>
        <v/>
      </c>
      <c r="T4077">
        <f>LET(
    payment_method,'Loan Tape (S&amp;P)'!P4077,
    occupancy,'Loan Tape (S&amp;P)'!N4077,
    maturity_date,'Loan Tape (S&amp;P)'!L4077,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78">
      <c r="J4078">
        <f>LET(
    lien,'Loan Tape (S&amp;P)'!Q4078,
    IF(lien="First",1.00,
        IF(lien="Second",1.50,
            1.70)))</f>
        <v/>
      </c>
      <c r="K4078">
        <f>LET(
    purpose,'Loan Tape (S&amp;P)'!R4078,
    IF(purpose="Purchase",1.00,
        IF(purpose="Remortgage",1.00,
            1.20)))</f>
        <v/>
      </c>
      <c r="L4078">
        <f>LET(
    arrears_months,'Loan Tape (S&amp;P)'!AN4078,
    IF(arrears_months=0,1.00,
    IF(arrears_months=1,3.00,
    IF(arrears_months=2,5.00,
    IF(arrears_months=3,8.00,
    IF(arrears_months=4,10.00,
    IF(arrears_months=5,12.00,15.00)))))))</f>
        <v/>
      </c>
      <c r="M4078">
        <f>LET(
    seasoning_years,DATEDIF('Loan Tape (S&amp;P)'!K4078,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78">
        <f>IF(AND('Loan Tape (S&amp;P)'!U4078="Yes",
        'Loan Tape (S&amp;P)'!T4078&lt;&gt;"Yes",
        DATEDIF('Loan Tape (S&amp;P)'!K4078, TODAY(), "M")&lt;18),
    1.10,
    1.00)</f>
        <v/>
      </c>
      <c r="O4078">
        <f>IF('Loan Tape (S&amp;P)'!T4078="Yes",
    1.35,
    1.00)</f>
        <v/>
      </c>
      <c r="P4078">
        <f>IF('Loan Tape (S&amp;P)'!S4078="Yes",
    1.15,
    1.00)</f>
        <v/>
      </c>
      <c r="Q4078">
        <f>IF('Loan Tape (S&amp;P)'!V4078="Yes",
    1.20,
    1.00)</f>
        <v/>
      </c>
      <c r="T4078">
        <f>LET(
    payment_method,'Loan Tape (S&amp;P)'!P4078,
    occupancy,'Loan Tape (S&amp;P)'!N4078,
    maturity_date,'Loan Tape (S&amp;P)'!L4078,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79">
      <c r="J4079">
        <f>LET(
    lien,'Loan Tape (S&amp;P)'!Q4079,
    IF(lien="First",1.00,
        IF(lien="Second",1.50,
            1.70)))</f>
        <v/>
      </c>
      <c r="K4079">
        <f>LET(
    purpose,'Loan Tape (S&amp;P)'!R4079,
    IF(purpose="Purchase",1.00,
        IF(purpose="Remortgage",1.00,
            1.20)))</f>
        <v/>
      </c>
      <c r="L4079">
        <f>LET(
    arrears_months,'Loan Tape (S&amp;P)'!AN4079,
    IF(arrears_months=0,1.00,
    IF(arrears_months=1,3.00,
    IF(arrears_months=2,5.00,
    IF(arrears_months=3,8.00,
    IF(arrears_months=4,10.00,
    IF(arrears_months=5,12.00,15.00)))))))</f>
        <v/>
      </c>
      <c r="M4079">
        <f>LET(
    seasoning_years,DATEDIF('Loan Tape (S&amp;P)'!K4079,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79">
        <f>IF(AND('Loan Tape (S&amp;P)'!U4079="Yes",
        'Loan Tape (S&amp;P)'!T4079&lt;&gt;"Yes",
        DATEDIF('Loan Tape (S&amp;P)'!K4079, TODAY(), "M")&lt;18),
    1.10,
    1.00)</f>
        <v/>
      </c>
      <c r="O4079">
        <f>IF('Loan Tape (S&amp;P)'!T4079="Yes",
    1.35,
    1.00)</f>
        <v/>
      </c>
      <c r="P4079">
        <f>IF('Loan Tape (S&amp;P)'!S4079="Yes",
    1.15,
    1.00)</f>
        <v/>
      </c>
      <c r="Q4079">
        <f>IF('Loan Tape (S&amp;P)'!V4079="Yes",
    1.20,
    1.00)</f>
        <v/>
      </c>
      <c r="T4079">
        <f>LET(
    payment_method,'Loan Tape (S&amp;P)'!P4079,
    occupancy,'Loan Tape (S&amp;P)'!N4079,
    maturity_date,'Loan Tape (S&amp;P)'!L4079,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80">
      <c r="J4080">
        <f>LET(
    lien,'Loan Tape (S&amp;P)'!Q4080,
    IF(lien="First",1.00,
        IF(lien="Second",1.50,
            1.70)))</f>
        <v/>
      </c>
      <c r="K4080">
        <f>LET(
    purpose,'Loan Tape (S&amp;P)'!R4080,
    IF(purpose="Purchase",1.00,
        IF(purpose="Remortgage",1.00,
            1.20)))</f>
        <v/>
      </c>
      <c r="L4080">
        <f>LET(
    arrears_months,'Loan Tape (S&amp;P)'!AN4080,
    IF(arrears_months=0,1.00,
    IF(arrears_months=1,3.00,
    IF(arrears_months=2,5.00,
    IF(arrears_months=3,8.00,
    IF(arrears_months=4,10.00,
    IF(arrears_months=5,12.00,15.00)))))))</f>
        <v/>
      </c>
      <c r="M4080">
        <f>LET(
    seasoning_years,DATEDIF('Loan Tape (S&amp;P)'!K4080,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80">
        <f>IF(AND('Loan Tape (S&amp;P)'!U4080="Yes",
        'Loan Tape (S&amp;P)'!T4080&lt;&gt;"Yes",
        DATEDIF('Loan Tape (S&amp;P)'!K4080, TODAY(), "M")&lt;18),
    1.10,
    1.00)</f>
        <v/>
      </c>
      <c r="O4080">
        <f>IF('Loan Tape (S&amp;P)'!T4080="Yes",
    1.35,
    1.00)</f>
        <v/>
      </c>
      <c r="P4080">
        <f>IF('Loan Tape (S&amp;P)'!S4080="Yes",
    1.15,
    1.00)</f>
        <v/>
      </c>
      <c r="Q4080">
        <f>IF('Loan Tape (S&amp;P)'!V4080="Yes",
    1.20,
    1.00)</f>
        <v/>
      </c>
      <c r="T4080">
        <f>LET(
    payment_method,'Loan Tape (S&amp;P)'!P4080,
    occupancy,'Loan Tape (S&amp;P)'!N4080,
    maturity_date,'Loan Tape (S&amp;P)'!L4080,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81">
      <c r="J4081">
        <f>LET(
    lien,'Loan Tape (S&amp;P)'!Q4081,
    IF(lien="First",1.00,
        IF(lien="Second",1.50,
            1.70)))</f>
        <v/>
      </c>
      <c r="K4081">
        <f>LET(
    purpose,'Loan Tape (S&amp;P)'!R4081,
    IF(purpose="Purchase",1.00,
        IF(purpose="Remortgage",1.00,
            1.20)))</f>
        <v/>
      </c>
      <c r="L4081">
        <f>LET(
    arrears_months,'Loan Tape (S&amp;P)'!AN4081,
    IF(arrears_months=0,1.00,
    IF(arrears_months=1,3.00,
    IF(arrears_months=2,5.00,
    IF(arrears_months=3,8.00,
    IF(arrears_months=4,10.00,
    IF(arrears_months=5,12.00,15.00)))))))</f>
        <v/>
      </c>
      <c r="M4081">
        <f>LET(
    seasoning_years,DATEDIF('Loan Tape (S&amp;P)'!K4081,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81">
        <f>IF(AND('Loan Tape (S&amp;P)'!U4081="Yes",
        'Loan Tape (S&amp;P)'!T4081&lt;&gt;"Yes",
        DATEDIF('Loan Tape (S&amp;P)'!K4081, TODAY(), "M")&lt;18),
    1.10,
    1.00)</f>
        <v/>
      </c>
      <c r="O4081">
        <f>IF('Loan Tape (S&amp;P)'!T4081="Yes",
    1.35,
    1.00)</f>
        <v/>
      </c>
      <c r="P4081">
        <f>IF('Loan Tape (S&amp;P)'!S4081="Yes",
    1.15,
    1.00)</f>
        <v/>
      </c>
      <c r="Q4081">
        <f>IF('Loan Tape (S&amp;P)'!V4081="Yes",
    1.20,
    1.00)</f>
        <v/>
      </c>
      <c r="T4081">
        <f>LET(
    payment_method,'Loan Tape (S&amp;P)'!P4081,
    occupancy,'Loan Tape (S&amp;P)'!N4081,
    maturity_date,'Loan Tape (S&amp;P)'!L4081,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82">
      <c r="J4082">
        <f>LET(
    lien,'Loan Tape (S&amp;P)'!Q4082,
    IF(lien="First",1.00,
        IF(lien="Second",1.50,
            1.70)))</f>
        <v/>
      </c>
      <c r="K4082">
        <f>LET(
    purpose,'Loan Tape (S&amp;P)'!R4082,
    IF(purpose="Purchase",1.00,
        IF(purpose="Remortgage",1.00,
            1.20)))</f>
        <v/>
      </c>
      <c r="L4082">
        <f>LET(
    arrears_months,'Loan Tape (S&amp;P)'!AN4082,
    IF(arrears_months=0,1.00,
    IF(arrears_months=1,3.00,
    IF(arrears_months=2,5.00,
    IF(arrears_months=3,8.00,
    IF(arrears_months=4,10.00,
    IF(arrears_months=5,12.00,15.00)))))))</f>
        <v/>
      </c>
      <c r="M4082">
        <f>LET(
    seasoning_years,DATEDIF('Loan Tape (S&amp;P)'!K4082,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82">
        <f>IF(AND('Loan Tape (S&amp;P)'!U4082="Yes",
        'Loan Tape (S&amp;P)'!T4082&lt;&gt;"Yes",
        DATEDIF('Loan Tape (S&amp;P)'!K4082, TODAY(), "M")&lt;18),
    1.10,
    1.00)</f>
        <v/>
      </c>
      <c r="O4082">
        <f>IF('Loan Tape (S&amp;P)'!T4082="Yes",
    1.35,
    1.00)</f>
        <v/>
      </c>
      <c r="P4082">
        <f>IF('Loan Tape (S&amp;P)'!S4082="Yes",
    1.15,
    1.00)</f>
        <v/>
      </c>
      <c r="Q4082">
        <f>IF('Loan Tape (S&amp;P)'!V4082="Yes",
    1.20,
    1.00)</f>
        <v/>
      </c>
      <c r="T4082">
        <f>LET(
    payment_method,'Loan Tape (S&amp;P)'!P4082,
    occupancy,'Loan Tape (S&amp;P)'!N4082,
    maturity_date,'Loan Tape (S&amp;P)'!L4082,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83">
      <c r="J4083">
        <f>LET(
    lien,'Loan Tape (S&amp;P)'!Q4083,
    IF(lien="First",1.00,
        IF(lien="Second",1.50,
            1.70)))</f>
        <v/>
      </c>
      <c r="K4083">
        <f>LET(
    purpose,'Loan Tape (S&amp;P)'!R4083,
    IF(purpose="Purchase",1.00,
        IF(purpose="Remortgage",1.00,
            1.20)))</f>
        <v/>
      </c>
      <c r="L4083">
        <f>LET(
    arrears_months,'Loan Tape (S&amp;P)'!AN4083,
    IF(arrears_months=0,1.00,
    IF(arrears_months=1,3.00,
    IF(arrears_months=2,5.00,
    IF(arrears_months=3,8.00,
    IF(arrears_months=4,10.00,
    IF(arrears_months=5,12.00,15.00)))))))</f>
        <v/>
      </c>
      <c r="M4083">
        <f>LET(
    seasoning_years,DATEDIF('Loan Tape (S&amp;P)'!K4083,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83">
        <f>IF(AND('Loan Tape (S&amp;P)'!U4083="Yes",
        'Loan Tape (S&amp;P)'!T4083&lt;&gt;"Yes",
        DATEDIF('Loan Tape (S&amp;P)'!K4083, TODAY(), "M")&lt;18),
    1.10,
    1.00)</f>
        <v/>
      </c>
      <c r="O4083">
        <f>IF('Loan Tape (S&amp;P)'!T4083="Yes",
    1.35,
    1.00)</f>
        <v/>
      </c>
      <c r="P4083">
        <f>IF('Loan Tape (S&amp;P)'!S4083="Yes",
    1.15,
    1.00)</f>
        <v/>
      </c>
      <c r="Q4083">
        <f>IF('Loan Tape (S&amp;P)'!V4083="Yes",
    1.20,
    1.00)</f>
        <v/>
      </c>
      <c r="T4083">
        <f>LET(
    payment_method,'Loan Tape (S&amp;P)'!P4083,
    occupancy,'Loan Tape (S&amp;P)'!N4083,
    maturity_date,'Loan Tape (S&amp;P)'!L4083,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84">
      <c r="J4084">
        <f>LET(
    lien,'Loan Tape (S&amp;P)'!Q4084,
    IF(lien="First",1.00,
        IF(lien="Second",1.50,
            1.70)))</f>
        <v/>
      </c>
      <c r="K4084">
        <f>LET(
    purpose,'Loan Tape (S&amp;P)'!R4084,
    IF(purpose="Purchase",1.00,
        IF(purpose="Remortgage",1.00,
            1.20)))</f>
        <v/>
      </c>
      <c r="L4084">
        <f>LET(
    arrears_months,'Loan Tape (S&amp;P)'!AN4084,
    IF(arrears_months=0,1.00,
    IF(arrears_months=1,3.00,
    IF(arrears_months=2,5.00,
    IF(arrears_months=3,8.00,
    IF(arrears_months=4,10.00,
    IF(arrears_months=5,12.00,15.00)))))))</f>
        <v/>
      </c>
      <c r="M4084">
        <f>LET(
    seasoning_years,DATEDIF('Loan Tape (S&amp;P)'!K4084,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84">
        <f>IF(AND('Loan Tape (S&amp;P)'!U4084="Yes",
        'Loan Tape (S&amp;P)'!T4084&lt;&gt;"Yes",
        DATEDIF('Loan Tape (S&amp;P)'!K4084, TODAY(), "M")&lt;18),
    1.10,
    1.00)</f>
        <v/>
      </c>
      <c r="O4084">
        <f>IF('Loan Tape (S&amp;P)'!T4084="Yes",
    1.35,
    1.00)</f>
        <v/>
      </c>
      <c r="P4084">
        <f>IF('Loan Tape (S&amp;P)'!S4084="Yes",
    1.15,
    1.00)</f>
        <v/>
      </c>
      <c r="Q4084">
        <f>IF('Loan Tape (S&amp;P)'!V4084="Yes",
    1.20,
    1.00)</f>
        <v/>
      </c>
      <c r="T4084">
        <f>LET(
    payment_method,'Loan Tape (S&amp;P)'!P4084,
    occupancy,'Loan Tape (S&amp;P)'!N4084,
    maturity_date,'Loan Tape (S&amp;P)'!L4084,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85">
      <c r="J4085">
        <f>LET(
    lien,'Loan Tape (S&amp;P)'!Q4085,
    IF(lien="First",1.00,
        IF(lien="Second",1.50,
            1.70)))</f>
        <v/>
      </c>
      <c r="K4085">
        <f>LET(
    purpose,'Loan Tape (S&amp;P)'!R4085,
    IF(purpose="Purchase",1.00,
        IF(purpose="Remortgage",1.00,
            1.20)))</f>
        <v/>
      </c>
      <c r="L4085">
        <f>LET(
    arrears_months,'Loan Tape (S&amp;P)'!AN4085,
    IF(arrears_months=0,1.00,
    IF(arrears_months=1,3.00,
    IF(arrears_months=2,5.00,
    IF(arrears_months=3,8.00,
    IF(arrears_months=4,10.00,
    IF(arrears_months=5,12.00,15.00)))))))</f>
        <v/>
      </c>
      <c r="M4085">
        <f>LET(
    seasoning_years,DATEDIF('Loan Tape (S&amp;P)'!K4085,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85">
        <f>IF(AND('Loan Tape (S&amp;P)'!U4085="Yes",
        'Loan Tape (S&amp;P)'!T4085&lt;&gt;"Yes",
        DATEDIF('Loan Tape (S&amp;P)'!K4085, TODAY(), "M")&lt;18),
    1.10,
    1.00)</f>
        <v/>
      </c>
      <c r="O4085">
        <f>IF('Loan Tape (S&amp;P)'!T4085="Yes",
    1.35,
    1.00)</f>
        <v/>
      </c>
      <c r="P4085">
        <f>IF('Loan Tape (S&amp;P)'!S4085="Yes",
    1.15,
    1.00)</f>
        <v/>
      </c>
      <c r="Q4085">
        <f>IF('Loan Tape (S&amp;P)'!V4085="Yes",
    1.20,
    1.00)</f>
        <v/>
      </c>
      <c r="T4085">
        <f>LET(
    payment_method,'Loan Tape (S&amp;P)'!P4085,
    occupancy,'Loan Tape (S&amp;P)'!N4085,
    maturity_date,'Loan Tape (S&amp;P)'!L4085,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86">
      <c r="J4086">
        <f>LET(
    lien,'Loan Tape (S&amp;P)'!Q4086,
    IF(lien="First",1.00,
        IF(lien="Second",1.50,
            1.70)))</f>
        <v/>
      </c>
      <c r="K4086">
        <f>LET(
    purpose,'Loan Tape (S&amp;P)'!R4086,
    IF(purpose="Purchase",1.00,
        IF(purpose="Remortgage",1.00,
            1.20)))</f>
        <v/>
      </c>
      <c r="L4086">
        <f>LET(
    arrears_months,'Loan Tape (S&amp;P)'!AN4086,
    IF(arrears_months=0,1.00,
    IF(arrears_months=1,3.00,
    IF(arrears_months=2,5.00,
    IF(arrears_months=3,8.00,
    IF(arrears_months=4,10.00,
    IF(arrears_months=5,12.00,15.00)))))))</f>
        <v/>
      </c>
      <c r="M4086">
        <f>LET(
    seasoning_years,DATEDIF('Loan Tape (S&amp;P)'!K4086,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86">
        <f>IF(AND('Loan Tape (S&amp;P)'!U4086="Yes",
        'Loan Tape (S&amp;P)'!T4086&lt;&gt;"Yes",
        DATEDIF('Loan Tape (S&amp;P)'!K4086, TODAY(), "M")&lt;18),
    1.10,
    1.00)</f>
        <v/>
      </c>
      <c r="O4086">
        <f>IF('Loan Tape (S&amp;P)'!T4086="Yes",
    1.35,
    1.00)</f>
        <v/>
      </c>
      <c r="P4086">
        <f>IF('Loan Tape (S&amp;P)'!S4086="Yes",
    1.15,
    1.00)</f>
        <v/>
      </c>
      <c r="Q4086">
        <f>IF('Loan Tape (S&amp;P)'!V4086="Yes",
    1.20,
    1.00)</f>
        <v/>
      </c>
      <c r="T4086">
        <f>LET(
    payment_method,'Loan Tape (S&amp;P)'!P4086,
    occupancy,'Loan Tape (S&amp;P)'!N4086,
    maturity_date,'Loan Tape (S&amp;P)'!L4086,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87">
      <c r="J4087">
        <f>LET(
    lien,'Loan Tape (S&amp;P)'!Q4087,
    IF(lien="First",1.00,
        IF(lien="Second",1.50,
            1.70)))</f>
        <v/>
      </c>
      <c r="K4087">
        <f>LET(
    purpose,'Loan Tape (S&amp;P)'!R4087,
    IF(purpose="Purchase",1.00,
        IF(purpose="Remortgage",1.00,
            1.20)))</f>
        <v/>
      </c>
      <c r="L4087">
        <f>LET(
    arrears_months,'Loan Tape (S&amp;P)'!AN4087,
    IF(arrears_months=0,1.00,
    IF(arrears_months=1,3.00,
    IF(arrears_months=2,5.00,
    IF(arrears_months=3,8.00,
    IF(arrears_months=4,10.00,
    IF(arrears_months=5,12.00,15.00)))))))</f>
        <v/>
      </c>
      <c r="M4087">
        <f>LET(
    seasoning_years,DATEDIF('Loan Tape (S&amp;P)'!K4087,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87">
        <f>IF(AND('Loan Tape (S&amp;P)'!U4087="Yes",
        'Loan Tape (S&amp;P)'!T4087&lt;&gt;"Yes",
        DATEDIF('Loan Tape (S&amp;P)'!K4087, TODAY(), "M")&lt;18),
    1.10,
    1.00)</f>
        <v/>
      </c>
      <c r="O4087">
        <f>IF('Loan Tape (S&amp;P)'!T4087="Yes",
    1.35,
    1.00)</f>
        <v/>
      </c>
      <c r="P4087">
        <f>IF('Loan Tape (S&amp;P)'!S4087="Yes",
    1.15,
    1.00)</f>
        <v/>
      </c>
      <c r="Q4087">
        <f>IF('Loan Tape (S&amp;P)'!V4087="Yes",
    1.20,
    1.00)</f>
        <v/>
      </c>
      <c r="T4087">
        <f>LET(
    payment_method,'Loan Tape (S&amp;P)'!P4087,
    occupancy,'Loan Tape (S&amp;P)'!N4087,
    maturity_date,'Loan Tape (S&amp;P)'!L4087,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88">
      <c r="J4088">
        <f>LET(
    lien,'Loan Tape (S&amp;P)'!Q4088,
    IF(lien="First",1.00,
        IF(lien="Second",1.50,
            1.70)))</f>
        <v/>
      </c>
      <c r="K4088">
        <f>LET(
    purpose,'Loan Tape (S&amp;P)'!R4088,
    IF(purpose="Purchase",1.00,
        IF(purpose="Remortgage",1.00,
            1.20)))</f>
        <v/>
      </c>
      <c r="L4088">
        <f>LET(
    arrears_months,'Loan Tape (S&amp;P)'!AN4088,
    IF(arrears_months=0,1.00,
    IF(arrears_months=1,3.00,
    IF(arrears_months=2,5.00,
    IF(arrears_months=3,8.00,
    IF(arrears_months=4,10.00,
    IF(arrears_months=5,12.00,15.00)))))))</f>
        <v/>
      </c>
      <c r="M4088">
        <f>LET(
    seasoning_years,DATEDIF('Loan Tape (S&amp;P)'!K4088,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88">
        <f>IF(AND('Loan Tape (S&amp;P)'!U4088="Yes",
        'Loan Tape (S&amp;P)'!T4088&lt;&gt;"Yes",
        DATEDIF('Loan Tape (S&amp;P)'!K4088, TODAY(), "M")&lt;18),
    1.10,
    1.00)</f>
        <v/>
      </c>
      <c r="O4088">
        <f>IF('Loan Tape (S&amp;P)'!T4088="Yes",
    1.35,
    1.00)</f>
        <v/>
      </c>
      <c r="P4088">
        <f>IF('Loan Tape (S&amp;P)'!S4088="Yes",
    1.15,
    1.00)</f>
        <v/>
      </c>
      <c r="Q4088">
        <f>IF('Loan Tape (S&amp;P)'!V4088="Yes",
    1.20,
    1.00)</f>
        <v/>
      </c>
      <c r="T4088">
        <f>LET(
    payment_method,'Loan Tape (S&amp;P)'!P4088,
    occupancy,'Loan Tape (S&amp;P)'!N4088,
    maturity_date,'Loan Tape (S&amp;P)'!L4088,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89">
      <c r="J4089">
        <f>LET(
    lien,'Loan Tape (S&amp;P)'!Q4089,
    IF(lien="First",1.00,
        IF(lien="Second",1.50,
            1.70)))</f>
        <v/>
      </c>
      <c r="K4089">
        <f>LET(
    purpose,'Loan Tape (S&amp;P)'!R4089,
    IF(purpose="Purchase",1.00,
        IF(purpose="Remortgage",1.00,
            1.20)))</f>
        <v/>
      </c>
      <c r="L4089">
        <f>LET(
    arrears_months,'Loan Tape (S&amp;P)'!AN4089,
    IF(arrears_months=0,1.00,
    IF(arrears_months=1,3.00,
    IF(arrears_months=2,5.00,
    IF(arrears_months=3,8.00,
    IF(arrears_months=4,10.00,
    IF(arrears_months=5,12.00,15.00)))))))</f>
        <v/>
      </c>
      <c r="M4089">
        <f>LET(
    seasoning_years,DATEDIF('Loan Tape (S&amp;P)'!K4089,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89">
        <f>IF(AND('Loan Tape (S&amp;P)'!U4089="Yes",
        'Loan Tape (S&amp;P)'!T4089&lt;&gt;"Yes",
        DATEDIF('Loan Tape (S&amp;P)'!K4089, TODAY(), "M")&lt;18),
    1.10,
    1.00)</f>
        <v/>
      </c>
      <c r="O4089">
        <f>IF('Loan Tape (S&amp;P)'!T4089="Yes",
    1.35,
    1.00)</f>
        <v/>
      </c>
      <c r="P4089">
        <f>IF('Loan Tape (S&amp;P)'!S4089="Yes",
    1.15,
    1.00)</f>
        <v/>
      </c>
      <c r="Q4089">
        <f>IF('Loan Tape (S&amp;P)'!V4089="Yes",
    1.20,
    1.00)</f>
        <v/>
      </c>
      <c r="T4089">
        <f>LET(
    payment_method,'Loan Tape (S&amp;P)'!P4089,
    occupancy,'Loan Tape (S&amp;P)'!N4089,
    maturity_date,'Loan Tape (S&amp;P)'!L4089,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90">
      <c r="J4090">
        <f>LET(
    lien,'Loan Tape (S&amp;P)'!Q4090,
    IF(lien="First",1.00,
        IF(lien="Second",1.50,
            1.70)))</f>
        <v/>
      </c>
      <c r="K4090">
        <f>LET(
    purpose,'Loan Tape (S&amp;P)'!R4090,
    IF(purpose="Purchase",1.00,
        IF(purpose="Remortgage",1.00,
            1.20)))</f>
        <v/>
      </c>
      <c r="L4090">
        <f>LET(
    arrears_months,'Loan Tape (S&amp;P)'!AN4090,
    IF(arrears_months=0,1.00,
    IF(arrears_months=1,3.00,
    IF(arrears_months=2,5.00,
    IF(arrears_months=3,8.00,
    IF(arrears_months=4,10.00,
    IF(arrears_months=5,12.00,15.00)))))))</f>
        <v/>
      </c>
      <c r="M4090">
        <f>LET(
    seasoning_years,DATEDIF('Loan Tape (S&amp;P)'!K4090,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90">
        <f>IF(AND('Loan Tape (S&amp;P)'!U4090="Yes",
        'Loan Tape (S&amp;P)'!T4090&lt;&gt;"Yes",
        DATEDIF('Loan Tape (S&amp;P)'!K4090, TODAY(), "M")&lt;18),
    1.10,
    1.00)</f>
        <v/>
      </c>
      <c r="O4090">
        <f>IF('Loan Tape (S&amp;P)'!T4090="Yes",
    1.35,
    1.00)</f>
        <v/>
      </c>
      <c r="P4090">
        <f>IF('Loan Tape (S&amp;P)'!S4090="Yes",
    1.15,
    1.00)</f>
        <v/>
      </c>
      <c r="Q4090">
        <f>IF('Loan Tape (S&amp;P)'!V4090="Yes",
    1.20,
    1.00)</f>
        <v/>
      </c>
      <c r="T4090">
        <f>LET(
    payment_method,'Loan Tape (S&amp;P)'!P4090,
    occupancy,'Loan Tape (S&amp;P)'!N4090,
    maturity_date,'Loan Tape (S&amp;P)'!L4090,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91">
      <c r="J4091">
        <f>LET(
    lien,'Loan Tape (S&amp;P)'!Q4091,
    IF(lien="First",1.00,
        IF(lien="Second",1.50,
            1.70)))</f>
        <v/>
      </c>
      <c r="K4091">
        <f>LET(
    purpose,'Loan Tape (S&amp;P)'!R4091,
    IF(purpose="Purchase",1.00,
        IF(purpose="Remortgage",1.00,
            1.20)))</f>
        <v/>
      </c>
      <c r="L4091">
        <f>LET(
    arrears_months,'Loan Tape (S&amp;P)'!AN4091,
    IF(arrears_months=0,1.00,
    IF(arrears_months=1,3.00,
    IF(arrears_months=2,5.00,
    IF(arrears_months=3,8.00,
    IF(arrears_months=4,10.00,
    IF(arrears_months=5,12.00,15.00)))))))</f>
        <v/>
      </c>
      <c r="M4091">
        <f>LET(
    seasoning_years,DATEDIF('Loan Tape (S&amp;P)'!K4091,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91">
        <f>IF(AND('Loan Tape (S&amp;P)'!U4091="Yes",
        'Loan Tape (S&amp;P)'!T4091&lt;&gt;"Yes",
        DATEDIF('Loan Tape (S&amp;P)'!K4091, TODAY(), "M")&lt;18),
    1.10,
    1.00)</f>
        <v/>
      </c>
      <c r="O4091">
        <f>IF('Loan Tape (S&amp;P)'!T4091="Yes",
    1.35,
    1.00)</f>
        <v/>
      </c>
      <c r="P4091">
        <f>IF('Loan Tape (S&amp;P)'!S4091="Yes",
    1.15,
    1.00)</f>
        <v/>
      </c>
      <c r="Q4091">
        <f>IF('Loan Tape (S&amp;P)'!V4091="Yes",
    1.20,
    1.00)</f>
        <v/>
      </c>
      <c r="T4091">
        <f>LET(
    payment_method,'Loan Tape (S&amp;P)'!P4091,
    occupancy,'Loan Tape (S&amp;P)'!N4091,
    maturity_date,'Loan Tape (S&amp;P)'!L4091,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92">
      <c r="J4092">
        <f>LET(
    lien,'Loan Tape (S&amp;P)'!Q4092,
    IF(lien="First",1.00,
        IF(lien="Second",1.50,
            1.70)))</f>
        <v/>
      </c>
      <c r="K4092">
        <f>LET(
    purpose,'Loan Tape (S&amp;P)'!R4092,
    IF(purpose="Purchase",1.00,
        IF(purpose="Remortgage",1.00,
            1.20)))</f>
        <v/>
      </c>
      <c r="L4092">
        <f>LET(
    arrears_months,'Loan Tape (S&amp;P)'!AN4092,
    IF(arrears_months=0,1.00,
    IF(arrears_months=1,3.00,
    IF(arrears_months=2,5.00,
    IF(arrears_months=3,8.00,
    IF(arrears_months=4,10.00,
    IF(arrears_months=5,12.00,15.00)))))))</f>
        <v/>
      </c>
      <c r="M4092">
        <f>LET(
    seasoning_years,DATEDIF('Loan Tape (S&amp;P)'!K4092,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92">
        <f>IF(AND('Loan Tape (S&amp;P)'!U4092="Yes",
        'Loan Tape (S&amp;P)'!T4092&lt;&gt;"Yes",
        DATEDIF('Loan Tape (S&amp;P)'!K4092, TODAY(), "M")&lt;18),
    1.10,
    1.00)</f>
        <v/>
      </c>
      <c r="O4092">
        <f>IF('Loan Tape (S&amp;P)'!T4092="Yes",
    1.35,
    1.00)</f>
        <v/>
      </c>
      <c r="P4092">
        <f>IF('Loan Tape (S&amp;P)'!S4092="Yes",
    1.15,
    1.00)</f>
        <v/>
      </c>
      <c r="Q4092">
        <f>IF('Loan Tape (S&amp;P)'!V4092="Yes",
    1.20,
    1.00)</f>
        <v/>
      </c>
      <c r="T4092">
        <f>LET(
    payment_method,'Loan Tape (S&amp;P)'!P4092,
    occupancy,'Loan Tape (S&amp;P)'!N4092,
    maturity_date,'Loan Tape (S&amp;P)'!L4092,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93">
      <c r="J4093">
        <f>LET(
    lien,'Loan Tape (S&amp;P)'!Q4093,
    IF(lien="First",1.00,
        IF(lien="Second",1.50,
            1.70)))</f>
        <v/>
      </c>
      <c r="K4093">
        <f>LET(
    purpose,'Loan Tape (S&amp;P)'!R4093,
    IF(purpose="Purchase",1.00,
        IF(purpose="Remortgage",1.00,
            1.20)))</f>
        <v/>
      </c>
      <c r="L4093">
        <f>LET(
    arrears_months,'Loan Tape (S&amp;P)'!AN4093,
    IF(arrears_months=0,1.00,
    IF(arrears_months=1,3.00,
    IF(arrears_months=2,5.00,
    IF(arrears_months=3,8.00,
    IF(arrears_months=4,10.00,
    IF(arrears_months=5,12.00,15.00)))))))</f>
        <v/>
      </c>
      <c r="M4093">
        <f>LET(
    seasoning_years,DATEDIF('Loan Tape (S&amp;P)'!K4093,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93">
        <f>IF(AND('Loan Tape (S&amp;P)'!U4093="Yes",
        'Loan Tape (S&amp;P)'!T4093&lt;&gt;"Yes",
        DATEDIF('Loan Tape (S&amp;P)'!K4093, TODAY(), "M")&lt;18),
    1.10,
    1.00)</f>
        <v/>
      </c>
      <c r="O4093">
        <f>IF('Loan Tape (S&amp;P)'!T4093="Yes",
    1.35,
    1.00)</f>
        <v/>
      </c>
      <c r="P4093">
        <f>IF('Loan Tape (S&amp;P)'!S4093="Yes",
    1.15,
    1.00)</f>
        <v/>
      </c>
      <c r="Q4093">
        <f>IF('Loan Tape (S&amp;P)'!V4093="Yes",
    1.20,
    1.00)</f>
        <v/>
      </c>
      <c r="T4093">
        <f>LET(
    payment_method,'Loan Tape (S&amp;P)'!P4093,
    occupancy,'Loan Tape (S&amp;P)'!N4093,
    maturity_date,'Loan Tape (S&amp;P)'!L4093,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94">
      <c r="J4094">
        <f>LET(
    lien,'Loan Tape (S&amp;P)'!Q4094,
    IF(lien="First",1.00,
        IF(lien="Second",1.50,
            1.70)))</f>
        <v/>
      </c>
      <c r="K4094">
        <f>LET(
    purpose,'Loan Tape (S&amp;P)'!R4094,
    IF(purpose="Purchase",1.00,
        IF(purpose="Remortgage",1.00,
            1.20)))</f>
        <v/>
      </c>
      <c r="L4094">
        <f>LET(
    arrears_months,'Loan Tape (S&amp;P)'!AN4094,
    IF(arrears_months=0,1.00,
    IF(arrears_months=1,3.00,
    IF(arrears_months=2,5.00,
    IF(arrears_months=3,8.00,
    IF(arrears_months=4,10.00,
    IF(arrears_months=5,12.00,15.00)))))))</f>
        <v/>
      </c>
      <c r="M4094">
        <f>LET(
    seasoning_years,DATEDIF('Loan Tape (S&amp;P)'!K4094,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94">
        <f>IF(AND('Loan Tape (S&amp;P)'!U4094="Yes",
        'Loan Tape (S&amp;P)'!T4094&lt;&gt;"Yes",
        DATEDIF('Loan Tape (S&amp;P)'!K4094, TODAY(), "M")&lt;18),
    1.10,
    1.00)</f>
        <v/>
      </c>
      <c r="O4094">
        <f>IF('Loan Tape (S&amp;P)'!T4094="Yes",
    1.35,
    1.00)</f>
        <v/>
      </c>
      <c r="P4094">
        <f>IF('Loan Tape (S&amp;P)'!S4094="Yes",
    1.15,
    1.00)</f>
        <v/>
      </c>
      <c r="Q4094">
        <f>IF('Loan Tape (S&amp;P)'!V4094="Yes",
    1.20,
    1.00)</f>
        <v/>
      </c>
      <c r="T4094">
        <f>LET(
    payment_method,'Loan Tape (S&amp;P)'!P4094,
    occupancy,'Loan Tape (S&amp;P)'!N4094,
    maturity_date,'Loan Tape (S&amp;P)'!L4094,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95">
      <c r="J4095">
        <f>LET(
    lien,'Loan Tape (S&amp;P)'!Q4095,
    IF(lien="First",1.00,
        IF(lien="Second",1.50,
            1.70)))</f>
        <v/>
      </c>
      <c r="K4095">
        <f>LET(
    purpose,'Loan Tape (S&amp;P)'!R4095,
    IF(purpose="Purchase",1.00,
        IF(purpose="Remortgage",1.00,
            1.20)))</f>
        <v/>
      </c>
      <c r="L4095">
        <f>LET(
    arrears_months,'Loan Tape (S&amp;P)'!AN4095,
    IF(arrears_months=0,1.00,
    IF(arrears_months=1,3.00,
    IF(arrears_months=2,5.00,
    IF(arrears_months=3,8.00,
    IF(arrears_months=4,10.00,
    IF(arrears_months=5,12.00,15.00)))))))</f>
        <v/>
      </c>
      <c r="M4095">
        <f>LET(
    seasoning_years,DATEDIF('Loan Tape (S&amp;P)'!K4095,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95">
        <f>IF(AND('Loan Tape (S&amp;P)'!U4095="Yes",
        'Loan Tape (S&amp;P)'!T4095&lt;&gt;"Yes",
        DATEDIF('Loan Tape (S&amp;P)'!K4095, TODAY(), "M")&lt;18),
    1.10,
    1.00)</f>
        <v/>
      </c>
      <c r="O4095">
        <f>IF('Loan Tape (S&amp;P)'!T4095="Yes",
    1.35,
    1.00)</f>
        <v/>
      </c>
      <c r="P4095">
        <f>IF('Loan Tape (S&amp;P)'!S4095="Yes",
    1.15,
    1.00)</f>
        <v/>
      </c>
      <c r="Q4095">
        <f>IF('Loan Tape (S&amp;P)'!V4095="Yes",
    1.20,
    1.00)</f>
        <v/>
      </c>
      <c r="T4095">
        <f>LET(
    payment_method,'Loan Tape (S&amp;P)'!P4095,
    occupancy,'Loan Tape (S&amp;P)'!N4095,
    maturity_date,'Loan Tape (S&amp;P)'!L4095,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96">
      <c r="J4096">
        <f>LET(
    lien,'Loan Tape (S&amp;P)'!Q4096,
    IF(lien="First",1.00,
        IF(lien="Second",1.50,
            1.70)))</f>
        <v/>
      </c>
      <c r="K4096">
        <f>LET(
    purpose,'Loan Tape (S&amp;P)'!R4096,
    IF(purpose="Purchase",1.00,
        IF(purpose="Remortgage",1.00,
            1.20)))</f>
        <v/>
      </c>
      <c r="L4096">
        <f>LET(
    arrears_months,'Loan Tape (S&amp;P)'!AN4096,
    IF(arrears_months=0,1.00,
    IF(arrears_months=1,3.00,
    IF(arrears_months=2,5.00,
    IF(arrears_months=3,8.00,
    IF(arrears_months=4,10.00,
    IF(arrears_months=5,12.00,15.00)))))))</f>
        <v/>
      </c>
      <c r="M4096">
        <f>LET(
    seasoning_years,DATEDIF('Loan Tape (S&amp;P)'!K4096,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96">
        <f>IF(AND('Loan Tape (S&amp;P)'!U4096="Yes",
        'Loan Tape (S&amp;P)'!T4096&lt;&gt;"Yes",
        DATEDIF('Loan Tape (S&amp;P)'!K4096, TODAY(), "M")&lt;18),
    1.10,
    1.00)</f>
        <v/>
      </c>
      <c r="O4096">
        <f>IF('Loan Tape (S&amp;P)'!T4096="Yes",
    1.35,
    1.00)</f>
        <v/>
      </c>
      <c r="P4096">
        <f>IF('Loan Tape (S&amp;P)'!S4096="Yes",
    1.15,
    1.00)</f>
        <v/>
      </c>
      <c r="Q4096">
        <f>IF('Loan Tape (S&amp;P)'!V4096="Yes",
    1.20,
    1.00)</f>
        <v/>
      </c>
      <c r="T4096">
        <f>LET(
    payment_method,'Loan Tape (S&amp;P)'!P4096,
    occupancy,'Loan Tape (S&amp;P)'!N4096,
    maturity_date,'Loan Tape (S&amp;P)'!L4096,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97">
      <c r="J4097">
        <f>LET(
    lien,'Loan Tape (S&amp;P)'!Q4097,
    IF(lien="First",1.00,
        IF(lien="Second",1.50,
            1.70)))</f>
        <v/>
      </c>
      <c r="K4097">
        <f>LET(
    purpose,'Loan Tape (S&amp;P)'!R4097,
    IF(purpose="Purchase",1.00,
        IF(purpose="Remortgage",1.00,
            1.20)))</f>
        <v/>
      </c>
      <c r="L4097">
        <f>LET(
    arrears_months,'Loan Tape (S&amp;P)'!AN4097,
    IF(arrears_months=0,1.00,
    IF(arrears_months=1,3.00,
    IF(arrears_months=2,5.00,
    IF(arrears_months=3,8.00,
    IF(arrears_months=4,10.00,
    IF(arrears_months=5,12.00,15.00)))))))</f>
        <v/>
      </c>
      <c r="M4097">
        <f>LET(
    seasoning_years,DATEDIF('Loan Tape (S&amp;P)'!K4097,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97">
        <f>IF(AND('Loan Tape (S&amp;P)'!U4097="Yes",
        'Loan Tape (S&amp;P)'!T4097&lt;&gt;"Yes",
        DATEDIF('Loan Tape (S&amp;P)'!K4097, TODAY(), "M")&lt;18),
    1.10,
    1.00)</f>
        <v/>
      </c>
      <c r="O4097">
        <f>IF('Loan Tape (S&amp;P)'!T4097="Yes",
    1.35,
    1.00)</f>
        <v/>
      </c>
      <c r="P4097">
        <f>IF('Loan Tape (S&amp;P)'!S4097="Yes",
    1.15,
    1.00)</f>
        <v/>
      </c>
      <c r="Q4097">
        <f>IF('Loan Tape (S&amp;P)'!V4097="Yes",
    1.20,
    1.00)</f>
        <v/>
      </c>
      <c r="T4097">
        <f>LET(
    payment_method,'Loan Tape (S&amp;P)'!P4097,
    occupancy,'Loan Tape (S&amp;P)'!N4097,
    maturity_date,'Loan Tape (S&amp;P)'!L4097,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98">
      <c r="J4098">
        <f>LET(
    lien,'Loan Tape (S&amp;P)'!Q4098,
    IF(lien="First",1.00,
        IF(lien="Second",1.50,
            1.70)))</f>
        <v/>
      </c>
      <c r="K4098">
        <f>LET(
    purpose,'Loan Tape (S&amp;P)'!R4098,
    IF(purpose="Purchase",1.00,
        IF(purpose="Remortgage",1.00,
            1.20)))</f>
        <v/>
      </c>
      <c r="L4098">
        <f>LET(
    arrears_months,'Loan Tape (S&amp;P)'!AN4098,
    IF(arrears_months=0,1.00,
    IF(arrears_months=1,3.00,
    IF(arrears_months=2,5.00,
    IF(arrears_months=3,8.00,
    IF(arrears_months=4,10.00,
    IF(arrears_months=5,12.00,15.00)))))))</f>
        <v/>
      </c>
      <c r="M4098">
        <f>LET(
    seasoning_years,DATEDIF('Loan Tape (S&amp;P)'!K4098,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98">
        <f>IF(AND('Loan Tape (S&amp;P)'!U4098="Yes",
        'Loan Tape (S&amp;P)'!T4098&lt;&gt;"Yes",
        DATEDIF('Loan Tape (S&amp;P)'!K4098, TODAY(), "M")&lt;18),
    1.10,
    1.00)</f>
        <v/>
      </c>
      <c r="O4098">
        <f>IF('Loan Tape (S&amp;P)'!T4098="Yes",
    1.35,
    1.00)</f>
        <v/>
      </c>
      <c r="P4098">
        <f>IF('Loan Tape (S&amp;P)'!S4098="Yes",
    1.15,
    1.00)</f>
        <v/>
      </c>
      <c r="Q4098">
        <f>IF('Loan Tape (S&amp;P)'!V4098="Yes",
    1.20,
    1.00)</f>
        <v/>
      </c>
      <c r="T4098">
        <f>LET(
    payment_method,'Loan Tape (S&amp;P)'!P4098,
    occupancy,'Loan Tape (S&amp;P)'!N4098,
    maturity_date,'Loan Tape (S&amp;P)'!L4098,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099">
      <c r="J4099">
        <f>LET(
    lien,'Loan Tape (S&amp;P)'!Q4099,
    IF(lien="First",1.00,
        IF(lien="Second",1.50,
            1.70)))</f>
        <v/>
      </c>
      <c r="K4099">
        <f>LET(
    purpose,'Loan Tape (S&amp;P)'!R4099,
    IF(purpose="Purchase",1.00,
        IF(purpose="Remortgage",1.00,
            1.20)))</f>
        <v/>
      </c>
      <c r="L4099">
        <f>LET(
    arrears_months,'Loan Tape (S&amp;P)'!AN4099,
    IF(arrears_months=0,1.00,
    IF(arrears_months=1,3.00,
    IF(arrears_months=2,5.00,
    IF(arrears_months=3,8.00,
    IF(arrears_months=4,10.00,
    IF(arrears_months=5,12.00,15.00)))))))</f>
        <v/>
      </c>
      <c r="M4099">
        <f>LET(
    seasoning_years,DATEDIF('Loan Tape (S&amp;P)'!K4099,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099">
        <f>IF(AND('Loan Tape (S&amp;P)'!U4099="Yes",
        'Loan Tape (S&amp;P)'!T4099&lt;&gt;"Yes",
        DATEDIF('Loan Tape (S&amp;P)'!K4099, TODAY(), "M")&lt;18),
    1.10,
    1.00)</f>
        <v/>
      </c>
      <c r="O4099">
        <f>IF('Loan Tape (S&amp;P)'!T4099="Yes",
    1.35,
    1.00)</f>
        <v/>
      </c>
      <c r="P4099">
        <f>IF('Loan Tape (S&amp;P)'!S4099="Yes",
    1.15,
    1.00)</f>
        <v/>
      </c>
      <c r="Q4099">
        <f>IF('Loan Tape (S&amp;P)'!V4099="Yes",
    1.20,
    1.00)</f>
        <v/>
      </c>
      <c r="T4099">
        <f>LET(
    payment_method,'Loan Tape (S&amp;P)'!P4099,
    occupancy,'Loan Tape (S&amp;P)'!N4099,
    maturity_date,'Loan Tape (S&amp;P)'!L4099,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00">
      <c r="J4100">
        <f>LET(
    lien,'Loan Tape (S&amp;P)'!Q4100,
    IF(lien="First",1.00,
        IF(lien="Second",1.50,
            1.70)))</f>
        <v/>
      </c>
      <c r="K4100">
        <f>LET(
    purpose,'Loan Tape (S&amp;P)'!R4100,
    IF(purpose="Purchase",1.00,
        IF(purpose="Remortgage",1.00,
            1.20)))</f>
        <v/>
      </c>
      <c r="L4100">
        <f>LET(
    arrears_months,'Loan Tape (S&amp;P)'!AN4100,
    IF(arrears_months=0,1.00,
    IF(arrears_months=1,3.00,
    IF(arrears_months=2,5.00,
    IF(arrears_months=3,8.00,
    IF(arrears_months=4,10.00,
    IF(arrears_months=5,12.00,15.00)))))))</f>
        <v/>
      </c>
      <c r="M4100">
        <f>LET(
    seasoning_years,DATEDIF('Loan Tape (S&amp;P)'!K4100,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00">
        <f>IF(AND('Loan Tape (S&amp;P)'!U4100="Yes",
        'Loan Tape (S&amp;P)'!T4100&lt;&gt;"Yes",
        DATEDIF('Loan Tape (S&amp;P)'!K4100, TODAY(), "M")&lt;18),
    1.10,
    1.00)</f>
        <v/>
      </c>
      <c r="O4100">
        <f>IF('Loan Tape (S&amp;P)'!T4100="Yes",
    1.35,
    1.00)</f>
        <v/>
      </c>
      <c r="P4100">
        <f>IF('Loan Tape (S&amp;P)'!S4100="Yes",
    1.15,
    1.00)</f>
        <v/>
      </c>
      <c r="Q4100">
        <f>IF('Loan Tape (S&amp;P)'!V4100="Yes",
    1.20,
    1.00)</f>
        <v/>
      </c>
      <c r="T4100">
        <f>LET(
    payment_method,'Loan Tape (S&amp;P)'!P4100,
    occupancy,'Loan Tape (S&amp;P)'!N4100,
    maturity_date,'Loan Tape (S&amp;P)'!L4100,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01">
      <c r="J4101">
        <f>LET(
    lien,'Loan Tape (S&amp;P)'!Q4101,
    IF(lien="First",1.00,
        IF(lien="Second",1.50,
            1.70)))</f>
        <v/>
      </c>
      <c r="K4101">
        <f>LET(
    purpose,'Loan Tape (S&amp;P)'!R4101,
    IF(purpose="Purchase",1.00,
        IF(purpose="Remortgage",1.00,
            1.20)))</f>
        <v/>
      </c>
      <c r="L4101">
        <f>LET(
    arrears_months,'Loan Tape (S&amp;P)'!AN4101,
    IF(arrears_months=0,1.00,
    IF(arrears_months=1,3.00,
    IF(arrears_months=2,5.00,
    IF(arrears_months=3,8.00,
    IF(arrears_months=4,10.00,
    IF(arrears_months=5,12.00,15.00)))))))</f>
        <v/>
      </c>
      <c r="M4101">
        <f>LET(
    seasoning_years,DATEDIF('Loan Tape (S&amp;P)'!K4101,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01">
        <f>IF(AND('Loan Tape (S&amp;P)'!U4101="Yes",
        'Loan Tape (S&amp;P)'!T4101&lt;&gt;"Yes",
        DATEDIF('Loan Tape (S&amp;P)'!K4101, TODAY(), "M")&lt;18),
    1.10,
    1.00)</f>
        <v/>
      </c>
      <c r="O4101">
        <f>IF('Loan Tape (S&amp;P)'!T4101="Yes",
    1.35,
    1.00)</f>
        <v/>
      </c>
      <c r="P4101">
        <f>IF('Loan Tape (S&amp;P)'!S4101="Yes",
    1.15,
    1.00)</f>
        <v/>
      </c>
      <c r="Q4101">
        <f>IF('Loan Tape (S&amp;P)'!V4101="Yes",
    1.20,
    1.00)</f>
        <v/>
      </c>
      <c r="T4101">
        <f>LET(
    payment_method,'Loan Tape (S&amp;P)'!P4101,
    occupancy,'Loan Tape (S&amp;P)'!N4101,
    maturity_date,'Loan Tape (S&amp;P)'!L4101,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02">
      <c r="J4102">
        <f>LET(
    lien,'Loan Tape (S&amp;P)'!Q4102,
    IF(lien="First",1.00,
        IF(lien="Second",1.50,
            1.70)))</f>
        <v/>
      </c>
      <c r="K4102">
        <f>LET(
    purpose,'Loan Tape (S&amp;P)'!R4102,
    IF(purpose="Purchase",1.00,
        IF(purpose="Remortgage",1.00,
            1.20)))</f>
        <v/>
      </c>
      <c r="L4102">
        <f>LET(
    arrears_months,'Loan Tape (S&amp;P)'!AN4102,
    IF(arrears_months=0,1.00,
    IF(arrears_months=1,3.00,
    IF(arrears_months=2,5.00,
    IF(arrears_months=3,8.00,
    IF(arrears_months=4,10.00,
    IF(arrears_months=5,12.00,15.00)))))))</f>
        <v/>
      </c>
      <c r="M4102">
        <f>LET(
    seasoning_years,DATEDIF('Loan Tape (S&amp;P)'!K4102,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02">
        <f>IF(AND('Loan Tape (S&amp;P)'!U4102="Yes",
        'Loan Tape (S&amp;P)'!T4102&lt;&gt;"Yes",
        DATEDIF('Loan Tape (S&amp;P)'!K4102, TODAY(), "M")&lt;18),
    1.10,
    1.00)</f>
        <v/>
      </c>
      <c r="O4102">
        <f>IF('Loan Tape (S&amp;P)'!T4102="Yes",
    1.35,
    1.00)</f>
        <v/>
      </c>
      <c r="P4102">
        <f>IF('Loan Tape (S&amp;P)'!S4102="Yes",
    1.15,
    1.00)</f>
        <v/>
      </c>
      <c r="Q4102">
        <f>IF('Loan Tape (S&amp;P)'!V4102="Yes",
    1.20,
    1.00)</f>
        <v/>
      </c>
      <c r="T4102">
        <f>LET(
    payment_method,'Loan Tape (S&amp;P)'!P4102,
    occupancy,'Loan Tape (S&amp;P)'!N4102,
    maturity_date,'Loan Tape (S&amp;P)'!L4102,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03">
      <c r="J4103">
        <f>LET(
    lien,'Loan Tape (S&amp;P)'!Q4103,
    IF(lien="First",1.00,
        IF(lien="Second",1.50,
            1.70)))</f>
        <v/>
      </c>
      <c r="K4103">
        <f>LET(
    purpose,'Loan Tape (S&amp;P)'!R4103,
    IF(purpose="Purchase",1.00,
        IF(purpose="Remortgage",1.00,
            1.20)))</f>
        <v/>
      </c>
      <c r="L4103">
        <f>LET(
    arrears_months,'Loan Tape (S&amp;P)'!AN4103,
    IF(arrears_months=0,1.00,
    IF(arrears_months=1,3.00,
    IF(arrears_months=2,5.00,
    IF(arrears_months=3,8.00,
    IF(arrears_months=4,10.00,
    IF(arrears_months=5,12.00,15.00)))))))</f>
        <v/>
      </c>
      <c r="M4103">
        <f>LET(
    seasoning_years,DATEDIF('Loan Tape (S&amp;P)'!K4103,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03">
        <f>IF(AND('Loan Tape (S&amp;P)'!U4103="Yes",
        'Loan Tape (S&amp;P)'!T4103&lt;&gt;"Yes",
        DATEDIF('Loan Tape (S&amp;P)'!K4103, TODAY(), "M")&lt;18),
    1.10,
    1.00)</f>
        <v/>
      </c>
      <c r="O4103">
        <f>IF('Loan Tape (S&amp;P)'!T4103="Yes",
    1.35,
    1.00)</f>
        <v/>
      </c>
      <c r="P4103">
        <f>IF('Loan Tape (S&amp;P)'!S4103="Yes",
    1.15,
    1.00)</f>
        <v/>
      </c>
      <c r="Q4103">
        <f>IF('Loan Tape (S&amp;P)'!V4103="Yes",
    1.20,
    1.00)</f>
        <v/>
      </c>
      <c r="T4103">
        <f>LET(
    payment_method,'Loan Tape (S&amp;P)'!P4103,
    occupancy,'Loan Tape (S&amp;P)'!N4103,
    maturity_date,'Loan Tape (S&amp;P)'!L4103,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04">
      <c r="J4104">
        <f>LET(
    lien,'Loan Tape (S&amp;P)'!Q4104,
    IF(lien="First",1.00,
        IF(lien="Second",1.50,
            1.70)))</f>
        <v/>
      </c>
      <c r="K4104">
        <f>LET(
    purpose,'Loan Tape (S&amp;P)'!R4104,
    IF(purpose="Purchase",1.00,
        IF(purpose="Remortgage",1.00,
            1.20)))</f>
        <v/>
      </c>
      <c r="L4104">
        <f>LET(
    arrears_months,'Loan Tape (S&amp;P)'!AN4104,
    IF(arrears_months=0,1.00,
    IF(arrears_months=1,3.00,
    IF(arrears_months=2,5.00,
    IF(arrears_months=3,8.00,
    IF(arrears_months=4,10.00,
    IF(arrears_months=5,12.00,15.00)))))))</f>
        <v/>
      </c>
      <c r="M4104">
        <f>LET(
    seasoning_years,DATEDIF('Loan Tape (S&amp;P)'!K4104,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04">
        <f>IF(AND('Loan Tape (S&amp;P)'!U4104="Yes",
        'Loan Tape (S&amp;P)'!T4104&lt;&gt;"Yes",
        DATEDIF('Loan Tape (S&amp;P)'!K4104, TODAY(), "M")&lt;18),
    1.10,
    1.00)</f>
        <v/>
      </c>
      <c r="O4104">
        <f>IF('Loan Tape (S&amp;P)'!T4104="Yes",
    1.35,
    1.00)</f>
        <v/>
      </c>
      <c r="P4104">
        <f>IF('Loan Tape (S&amp;P)'!S4104="Yes",
    1.15,
    1.00)</f>
        <v/>
      </c>
      <c r="Q4104">
        <f>IF('Loan Tape (S&amp;P)'!V4104="Yes",
    1.20,
    1.00)</f>
        <v/>
      </c>
      <c r="T4104">
        <f>LET(
    payment_method,'Loan Tape (S&amp;P)'!P4104,
    occupancy,'Loan Tape (S&amp;P)'!N4104,
    maturity_date,'Loan Tape (S&amp;P)'!L4104,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05">
      <c r="J4105">
        <f>LET(
    lien,'Loan Tape (S&amp;P)'!Q4105,
    IF(lien="First",1.00,
        IF(lien="Second",1.50,
            1.70)))</f>
        <v/>
      </c>
      <c r="K4105">
        <f>LET(
    purpose,'Loan Tape (S&amp;P)'!R4105,
    IF(purpose="Purchase",1.00,
        IF(purpose="Remortgage",1.00,
            1.20)))</f>
        <v/>
      </c>
      <c r="L4105">
        <f>LET(
    arrears_months,'Loan Tape (S&amp;P)'!AN4105,
    IF(arrears_months=0,1.00,
    IF(arrears_months=1,3.00,
    IF(arrears_months=2,5.00,
    IF(arrears_months=3,8.00,
    IF(arrears_months=4,10.00,
    IF(arrears_months=5,12.00,15.00)))))))</f>
        <v/>
      </c>
      <c r="M4105">
        <f>LET(
    seasoning_years,DATEDIF('Loan Tape (S&amp;P)'!K4105,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05">
        <f>IF(AND('Loan Tape (S&amp;P)'!U4105="Yes",
        'Loan Tape (S&amp;P)'!T4105&lt;&gt;"Yes",
        DATEDIF('Loan Tape (S&amp;P)'!K4105, TODAY(), "M")&lt;18),
    1.10,
    1.00)</f>
        <v/>
      </c>
      <c r="O4105">
        <f>IF('Loan Tape (S&amp;P)'!T4105="Yes",
    1.35,
    1.00)</f>
        <v/>
      </c>
      <c r="P4105">
        <f>IF('Loan Tape (S&amp;P)'!S4105="Yes",
    1.15,
    1.00)</f>
        <v/>
      </c>
      <c r="Q4105">
        <f>IF('Loan Tape (S&amp;P)'!V4105="Yes",
    1.20,
    1.00)</f>
        <v/>
      </c>
      <c r="T4105">
        <f>LET(
    payment_method,'Loan Tape (S&amp;P)'!P4105,
    occupancy,'Loan Tape (S&amp;P)'!N4105,
    maturity_date,'Loan Tape (S&amp;P)'!L4105,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06">
      <c r="J4106">
        <f>LET(
    lien,'Loan Tape (S&amp;P)'!Q4106,
    IF(lien="First",1.00,
        IF(lien="Second",1.50,
            1.70)))</f>
        <v/>
      </c>
      <c r="K4106">
        <f>LET(
    purpose,'Loan Tape (S&amp;P)'!R4106,
    IF(purpose="Purchase",1.00,
        IF(purpose="Remortgage",1.00,
            1.20)))</f>
        <v/>
      </c>
      <c r="L4106">
        <f>LET(
    arrears_months,'Loan Tape (S&amp;P)'!AN4106,
    IF(arrears_months=0,1.00,
    IF(arrears_months=1,3.00,
    IF(arrears_months=2,5.00,
    IF(arrears_months=3,8.00,
    IF(arrears_months=4,10.00,
    IF(arrears_months=5,12.00,15.00)))))))</f>
        <v/>
      </c>
      <c r="M4106">
        <f>LET(
    seasoning_years,DATEDIF('Loan Tape (S&amp;P)'!K4106,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06">
        <f>IF(AND('Loan Tape (S&amp;P)'!U4106="Yes",
        'Loan Tape (S&amp;P)'!T4106&lt;&gt;"Yes",
        DATEDIF('Loan Tape (S&amp;P)'!K4106, TODAY(), "M")&lt;18),
    1.10,
    1.00)</f>
        <v/>
      </c>
      <c r="O4106">
        <f>IF('Loan Tape (S&amp;P)'!T4106="Yes",
    1.35,
    1.00)</f>
        <v/>
      </c>
      <c r="P4106">
        <f>IF('Loan Tape (S&amp;P)'!S4106="Yes",
    1.15,
    1.00)</f>
        <v/>
      </c>
      <c r="Q4106">
        <f>IF('Loan Tape (S&amp;P)'!V4106="Yes",
    1.20,
    1.00)</f>
        <v/>
      </c>
      <c r="T4106">
        <f>LET(
    payment_method,'Loan Tape (S&amp;P)'!P4106,
    occupancy,'Loan Tape (S&amp;P)'!N4106,
    maturity_date,'Loan Tape (S&amp;P)'!L4106,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07">
      <c r="J4107">
        <f>LET(
    lien,'Loan Tape (S&amp;P)'!Q4107,
    IF(lien="First",1.00,
        IF(lien="Second",1.50,
            1.70)))</f>
        <v/>
      </c>
      <c r="K4107">
        <f>LET(
    purpose,'Loan Tape (S&amp;P)'!R4107,
    IF(purpose="Purchase",1.00,
        IF(purpose="Remortgage",1.00,
            1.20)))</f>
        <v/>
      </c>
      <c r="L4107">
        <f>LET(
    arrears_months,'Loan Tape (S&amp;P)'!AN4107,
    IF(arrears_months=0,1.00,
    IF(arrears_months=1,3.00,
    IF(arrears_months=2,5.00,
    IF(arrears_months=3,8.00,
    IF(arrears_months=4,10.00,
    IF(arrears_months=5,12.00,15.00)))))))</f>
        <v/>
      </c>
      <c r="M4107">
        <f>LET(
    seasoning_years,DATEDIF('Loan Tape (S&amp;P)'!K4107,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07">
        <f>IF(AND('Loan Tape (S&amp;P)'!U4107="Yes",
        'Loan Tape (S&amp;P)'!T4107&lt;&gt;"Yes",
        DATEDIF('Loan Tape (S&amp;P)'!K4107, TODAY(), "M")&lt;18),
    1.10,
    1.00)</f>
        <v/>
      </c>
      <c r="O4107">
        <f>IF('Loan Tape (S&amp;P)'!T4107="Yes",
    1.35,
    1.00)</f>
        <v/>
      </c>
      <c r="P4107">
        <f>IF('Loan Tape (S&amp;P)'!S4107="Yes",
    1.15,
    1.00)</f>
        <v/>
      </c>
      <c r="Q4107">
        <f>IF('Loan Tape (S&amp;P)'!V4107="Yes",
    1.20,
    1.00)</f>
        <v/>
      </c>
      <c r="T4107">
        <f>LET(
    payment_method,'Loan Tape (S&amp;P)'!P4107,
    occupancy,'Loan Tape (S&amp;P)'!N4107,
    maturity_date,'Loan Tape (S&amp;P)'!L4107,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08">
      <c r="J4108">
        <f>LET(
    lien,'Loan Tape (S&amp;P)'!Q4108,
    IF(lien="First",1.00,
        IF(lien="Second",1.50,
            1.70)))</f>
        <v/>
      </c>
      <c r="K4108">
        <f>LET(
    purpose,'Loan Tape (S&amp;P)'!R4108,
    IF(purpose="Purchase",1.00,
        IF(purpose="Remortgage",1.00,
            1.20)))</f>
        <v/>
      </c>
      <c r="L4108">
        <f>LET(
    arrears_months,'Loan Tape (S&amp;P)'!AN4108,
    IF(arrears_months=0,1.00,
    IF(arrears_months=1,3.00,
    IF(arrears_months=2,5.00,
    IF(arrears_months=3,8.00,
    IF(arrears_months=4,10.00,
    IF(arrears_months=5,12.00,15.00)))))))</f>
        <v/>
      </c>
      <c r="M4108">
        <f>LET(
    seasoning_years,DATEDIF('Loan Tape (S&amp;P)'!K4108,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08">
        <f>IF(AND('Loan Tape (S&amp;P)'!U4108="Yes",
        'Loan Tape (S&amp;P)'!T4108&lt;&gt;"Yes",
        DATEDIF('Loan Tape (S&amp;P)'!K4108, TODAY(), "M")&lt;18),
    1.10,
    1.00)</f>
        <v/>
      </c>
      <c r="O4108">
        <f>IF('Loan Tape (S&amp;P)'!T4108="Yes",
    1.35,
    1.00)</f>
        <v/>
      </c>
      <c r="P4108">
        <f>IF('Loan Tape (S&amp;P)'!S4108="Yes",
    1.15,
    1.00)</f>
        <v/>
      </c>
      <c r="Q4108">
        <f>IF('Loan Tape (S&amp;P)'!V4108="Yes",
    1.20,
    1.00)</f>
        <v/>
      </c>
      <c r="T4108">
        <f>LET(
    payment_method,'Loan Tape (S&amp;P)'!P4108,
    occupancy,'Loan Tape (S&amp;P)'!N4108,
    maturity_date,'Loan Tape (S&amp;P)'!L4108,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09">
      <c r="J4109">
        <f>LET(
    lien,'Loan Tape (S&amp;P)'!Q4109,
    IF(lien="First",1.00,
        IF(lien="Second",1.50,
            1.70)))</f>
        <v/>
      </c>
      <c r="K4109">
        <f>LET(
    purpose,'Loan Tape (S&amp;P)'!R4109,
    IF(purpose="Purchase",1.00,
        IF(purpose="Remortgage",1.00,
            1.20)))</f>
        <v/>
      </c>
      <c r="L4109">
        <f>LET(
    arrears_months,'Loan Tape (S&amp;P)'!AN4109,
    IF(arrears_months=0,1.00,
    IF(arrears_months=1,3.00,
    IF(arrears_months=2,5.00,
    IF(arrears_months=3,8.00,
    IF(arrears_months=4,10.00,
    IF(arrears_months=5,12.00,15.00)))))))</f>
        <v/>
      </c>
      <c r="M4109">
        <f>LET(
    seasoning_years,DATEDIF('Loan Tape (S&amp;P)'!K4109,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09">
        <f>IF(AND('Loan Tape (S&amp;P)'!U4109="Yes",
        'Loan Tape (S&amp;P)'!T4109&lt;&gt;"Yes",
        DATEDIF('Loan Tape (S&amp;P)'!K4109, TODAY(), "M")&lt;18),
    1.10,
    1.00)</f>
        <v/>
      </c>
      <c r="O4109">
        <f>IF('Loan Tape (S&amp;P)'!T4109="Yes",
    1.35,
    1.00)</f>
        <v/>
      </c>
      <c r="P4109">
        <f>IF('Loan Tape (S&amp;P)'!S4109="Yes",
    1.15,
    1.00)</f>
        <v/>
      </c>
      <c r="Q4109">
        <f>IF('Loan Tape (S&amp;P)'!V4109="Yes",
    1.20,
    1.00)</f>
        <v/>
      </c>
      <c r="T4109">
        <f>LET(
    payment_method,'Loan Tape (S&amp;P)'!P4109,
    occupancy,'Loan Tape (S&amp;P)'!N4109,
    maturity_date,'Loan Tape (S&amp;P)'!L4109,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10">
      <c r="J4110">
        <f>LET(
    lien,'Loan Tape (S&amp;P)'!Q4110,
    IF(lien="First",1.00,
        IF(lien="Second",1.50,
            1.70)))</f>
        <v/>
      </c>
      <c r="K4110">
        <f>LET(
    purpose,'Loan Tape (S&amp;P)'!R4110,
    IF(purpose="Purchase",1.00,
        IF(purpose="Remortgage",1.00,
            1.20)))</f>
        <v/>
      </c>
      <c r="L4110">
        <f>LET(
    arrears_months,'Loan Tape (S&amp;P)'!AN4110,
    IF(arrears_months=0,1.00,
    IF(arrears_months=1,3.00,
    IF(arrears_months=2,5.00,
    IF(arrears_months=3,8.00,
    IF(arrears_months=4,10.00,
    IF(arrears_months=5,12.00,15.00)))))))</f>
        <v/>
      </c>
      <c r="M4110">
        <f>LET(
    seasoning_years,DATEDIF('Loan Tape (S&amp;P)'!K4110,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10">
        <f>IF(AND('Loan Tape (S&amp;P)'!U4110="Yes",
        'Loan Tape (S&amp;P)'!T4110&lt;&gt;"Yes",
        DATEDIF('Loan Tape (S&amp;P)'!K4110, TODAY(), "M")&lt;18),
    1.10,
    1.00)</f>
        <v/>
      </c>
      <c r="O4110">
        <f>IF('Loan Tape (S&amp;P)'!T4110="Yes",
    1.35,
    1.00)</f>
        <v/>
      </c>
      <c r="P4110">
        <f>IF('Loan Tape (S&amp;P)'!S4110="Yes",
    1.15,
    1.00)</f>
        <v/>
      </c>
      <c r="Q4110">
        <f>IF('Loan Tape (S&amp;P)'!V4110="Yes",
    1.20,
    1.00)</f>
        <v/>
      </c>
      <c r="T4110">
        <f>LET(
    payment_method,'Loan Tape (S&amp;P)'!P4110,
    occupancy,'Loan Tape (S&amp;P)'!N4110,
    maturity_date,'Loan Tape (S&amp;P)'!L4110,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11">
      <c r="J4111">
        <f>LET(
    lien,'Loan Tape (S&amp;P)'!Q4111,
    IF(lien="First",1.00,
        IF(lien="Second",1.50,
            1.70)))</f>
        <v/>
      </c>
      <c r="K4111">
        <f>LET(
    purpose,'Loan Tape (S&amp;P)'!R4111,
    IF(purpose="Purchase",1.00,
        IF(purpose="Remortgage",1.00,
            1.20)))</f>
        <v/>
      </c>
      <c r="L4111">
        <f>LET(
    arrears_months,'Loan Tape (S&amp;P)'!AN4111,
    IF(arrears_months=0,1.00,
    IF(arrears_months=1,3.00,
    IF(arrears_months=2,5.00,
    IF(arrears_months=3,8.00,
    IF(arrears_months=4,10.00,
    IF(arrears_months=5,12.00,15.00)))))))</f>
        <v/>
      </c>
      <c r="M4111">
        <f>LET(
    seasoning_years,DATEDIF('Loan Tape (S&amp;P)'!K4111,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11">
        <f>IF(AND('Loan Tape (S&amp;P)'!U4111="Yes",
        'Loan Tape (S&amp;P)'!T4111&lt;&gt;"Yes",
        DATEDIF('Loan Tape (S&amp;P)'!K4111, TODAY(), "M")&lt;18),
    1.10,
    1.00)</f>
        <v/>
      </c>
      <c r="O4111">
        <f>IF('Loan Tape (S&amp;P)'!T4111="Yes",
    1.35,
    1.00)</f>
        <v/>
      </c>
      <c r="P4111">
        <f>IF('Loan Tape (S&amp;P)'!S4111="Yes",
    1.15,
    1.00)</f>
        <v/>
      </c>
      <c r="Q4111">
        <f>IF('Loan Tape (S&amp;P)'!V4111="Yes",
    1.20,
    1.00)</f>
        <v/>
      </c>
      <c r="T4111">
        <f>LET(
    payment_method,'Loan Tape (S&amp;P)'!P4111,
    occupancy,'Loan Tape (S&amp;P)'!N4111,
    maturity_date,'Loan Tape (S&amp;P)'!L4111,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12">
      <c r="J4112">
        <f>LET(
    lien,'Loan Tape (S&amp;P)'!Q4112,
    IF(lien="First",1.00,
        IF(lien="Second",1.50,
            1.70)))</f>
        <v/>
      </c>
      <c r="K4112">
        <f>LET(
    purpose,'Loan Tape (S&amp;P)'!R4112,
    IF(purpose="Purchase",1.00,
        IF(purpose="Remortgage",1.00,
            1.20)))</f>
        <v/>
      </c>
      <c r="L4112">
        <f>LET(
    arrears_months,'Loan Tape (S&amp;P)'!AN4112,
    IF(arrears_months=0,1.00,
    IF(arrears_months=1,3.00,
    IF(arrears_months=2,5.00,
    IF(arrears_months=3,8.00,
    IF(arrears_months=4,10.00,
    IF(arrears_months=5,12.00,15.00)))))))</f>
        <v/>
      </c>
      <c r="M4112">
        <f>LET(
    seasoning_years,DATEDIF('Loan Tape (S&amp;P)'!K4112,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12">
        <f>IF(AND('Loan Tape (S&amp;P)'!U4112="Yes",
        'Loan Tape (S&amp;P)'!T4112&lt;&gt;"Yes",
        DATEDIF('Loan Tape (S&amp;P)'!K4112, TODAY(), "M")&lt;18),
    1.10,
    1.00)</f>
        <v/>
      </c>
      <c r="O4112">
        <f>IF('Loan Tape (S&amp;P)'!T4112="Yes",
    1.35,
    1.00)</f>
        <v/>
      </c>
      <c r="P4112">
        <f>IF('Loan Tape (S&amp;P)'!S4112="Yes",
    1.15,
    1.00)</f>
        <v/>
      </c>
      <c r="Q4112">
        <f>IF('Loan Tape (S&amp;P)'!V4112="Yes",
    1.20,
    1.00)</f>
        <v/>
      </c>
      <c r="T4112">
        <f>LET(
    payment_method,'Loan Tape (S&amp;P)'!P4112,
    occupancy,'Loan Tape (S&amp;P)'!N4112,
    maturity_date,'Loan Tape (S&amp;P)'!L4112,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13">
      <c r="J4113">
        <f>LET(
    lien,'Loan Tape (S&amp;P)'!Q4113,
    IF(lien="First",1.00,
        IF(lien="Second",1.50,
            1.70)))</f>
        <v/>
      </c>
      <c r="K4113">
        <f>LET(
    purpose,'Loan Tape (S&amp;P)'!R4113,
    IF(purpose="Purchase",1.00,
        IF(purpose="Remortgage",1.00,
            1.20)))</f>
        <v/>
      </c>
      <c r="L4113">
        <f>LET(
    arrears_months,'Loan Tape (S&amp;P)'!AN4113,
    IF(arrears_months=0,1.00,
    IF(arrears_months=1,3.00,
    IF(arrears_months=2,5.00,
    IF(arrears_months=3,8.00,
    IF(arrears_months=4,10.00,
    IF(arrears_months=5,12.00,15.00)))))))</f>
        <v/>
      </c>
      <c r="M4113">
        <f>LET(
    seasoning_years,DATEDIF('Loan Tape (S&amp;P)'!K4113,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13">
        <f>IF(AND('Loan Tape (S&amp;P)'!U4113="Yes",
        'Loan Tape (S&amp;P)'!T4113&lt;&gt;"Yes",
        DATEDIF('Loan Tape (S&amp;P)'!K4113, TODAY(), "M")&lt;18),
    1.10,
    1.00)</f>
        <v/>
      </c>
      <c r="O4113">
        <f>IF('Loan Tape (S&amp;P)'!T4113="Yes",
    1.35,
    1.00)</f>
        <v/>
      </c>
      <c r="P4113">
        <f>IF('Loan Tape (S&amp;P)'!S4113="Yes",
    1.15,
    1.00)</f>
        <v/>
      </c>
      <c r="Q4113">
        <f>IF('Loan Tape (S&amp;P)'!V4113="Yes",
    1.20,
    1.00)</f>
        <v/>
      </c>
      <c r="T4113">
        <f>LET(
    payment_method,'Loan Tape (S&amp;P)'!P4113,
    occupancy,'Loan Tape (S&amp;P)'!N4113,
    maturity_date,'Loan Tape (S&amp;P)'!L4113,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14">
      <c r="J4114">
        <f>LET(
    lien,'Loan Tape (S&amp;P)'!Q4114,
    IF(lien="First",1.00,
        IF(lien="Second",1.50,
            1.70)))</f>
        <v/>
      </c>
      <c r="K4114">
        <f>LET(
    purpose,'Loan Tape (S&amp;P)'!R4114,
    IF(purpose="Purchase",1.00,
        IF(purpose="Remortgage",1.00,
            1.20)))</f>
        <v/>
      </c>
      <c r="L4114">
        <f>LET(
    arrears_months,'Loan Tape (S&amp;P)'!AN4114,
    IF(arrears_months=0,1.00,
    IF(arrears_months=1,3.00,
    IF(arrears_months=2,5.00,
    IF(arrears_months=3,8.00,
    IF(arrears_months=4,10.00,
    IF(arrears_months=5,12.00,15.00)))))))</f>
        <v/>
      </c>
      <c r="M4114">
        <f>LET(
    seasoning_years,DATEDIF('Loan Tape (S&amp;P)'!K4114,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14">
        <f>IF(AND('Loan Tape (S&amp;P)'!U4114="Yes",
        'Loan Tape (S&amp;P)'!T4114&lt;&gt;"Yes",
        DATEDIF('Loan Tape (S&amp;P)'!K4114, TODAY(), "M")&lt;18),
    1.10,
    1.00)</f>
        <v/>
      </c>
      <c r="O4114">
        <f>IF('Loan Tape (S&amp;P)'!T4114="Yes",
    1.35,
    1.00)</f>
        <v/>
      </c>
      <c r="P4114">
        <f>IF('Loan Tape (S&amp;P)'!S4114="Yes",
    1.15,
    1.00)</f>
        <v/>
      </c>
      <c r="Q4114">
        <f>IF('Loan Tape (S&amp;P)'!V4114="Yes",
    1.20,
    1.00)</f>
        <v/>
      </c>
      <c r="T4114">
        <f>LET(
    payment_method,'Loan Tape (S&amp;P)'!P4114,
    occupancy,'Loan Tape (S&amp;P)'!N4114,
    maturity_date,'Loan Tape (S&amp;P)'!L4114,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15">
      <c r="J4115">
        <f>LET(
    lien,'Loan Tape (S&amp;P)'!Q4115,
    IF(lien="First",1.00,
        IF(lien="Second",1.50,
            1.70)))</f>
        <v/>
      </c>
      <c r="K4115">
        <f>LET(
    purpose,'Loan Tape (S&amp;P)'!R4115,
    IF(purpose="Purchase",1.00,
        IF(purpose="Remortgage",1.00,
            1.20)))</f>
        <v/>
      </c>
      <c r="L4115">
        <f>LET(
    arrears_months,'Loan Tape (S&amp;P)'!AN4115,
    IF(arrears_months=0,1.00,
    IF(arrears_months=1,3.00,
    IF(arrears_months=2,5.00,
    IF(arrears_months=3,8.00,
    IF(arrears_months=4,10.00,
    IF(arrears_months=5,12.00,15.00)))))))</f>
        <v/>
      </c>
      <c r="M4115">
        <f>LET(
    seasoning_years,DATEDIF('Loan Tape (S&amp;P)'!K4115,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15">
        <f>IF(AND('Loan Tape (S&amp;P)'!U4115="Yes",
        'Loan Tape (S&amp;P)'!T4115&lt;&gt;"Yes",
        DATEDIF('Loan Tape (S&amp;P)'!K4115, TODAY(), "M")&lt;18),
    1.10,
    1.00)</f>
        <v/>
      </c>
      <c r="O4115">
        <f>IF('Loan Tape (S&amp;P)'!T4115="Yes",
    1.35,
    1.00)</f>
        <v/>
      </c>
      <c r="P4115">
        <f>IF('Loan Tape (S&amp;P)'!S4115="Yes",
    1.15,
    1.00)</f>
        <v/>
      </c>
      <c r="Q4115">
        <f>IF('Loan Tape (S&amp;P)'!V4115="Yes",
    1.20,
    1.00)</f>
        <v/>
      </c>
      <c r="T4115">
        <f>LET(
    payment_method,'Loan Tape (S&amp;P)'!P4115,
    occupancy,'Loan Tape (S&amp;P)'!N4115,
    maturity_date,'Loan Tape (S&amp;P)'!L4115,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16">
      <c r="J4116">
        <f>LET(
    lien,'Loan Tape (S&amp;P)'!Q4116,
    IF(lien="First",1.00,
        IF(lien="Second",1.50,
            1.70)))</f>
        <v/>
      </c>
      <c r="K4116">
        <f>LET(
    purpose,'Loan Tape (S&amp;P)'!R4116,
    IF(purpose="Purchase",1.00,
        IF(purpose="Remortgage",1.00,
            1.20)))</f>
        <v/>
      </c>
      <c r="L4116">
        <f>LET(
    arrears_months,'Loan Tape (S&amp;P)'!AN4116,
    IF(arrears_months=0,1.00,
    IF(arrears_months=1,3.00,
    IF(arrears_months=2,5.00,
    IF(arrears_months=3,8.00,
    IF(arrears_months=4,10.00,
    IF(arrears_months=5,12.00,15.00)))))))</f>
        <v/>
      </c>
      <c r="M4116">
        <f>LET(
    seasoning_years,DATEDIF('Loan Tape (S&amp;P)'!K4116,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16">
        <f>IF(AND('Loan Tape (S&amp;P)'!U4116="Yes",
        'Loan Tape (S&amp;P)'!T4116&lt;&gt;"Yes",
        DATEDIF('Loan Tape (S&amp;P)'!K4116, TODAY(), "M")&lt;18),
    1.10,
    1.00)</f>
        <v/>
      </c>
      <c r="O4116">
        <f>IF('Loan Tape (S&amp;P)'!T4116="Yes",
    1.35,
    1.00)</f>
        <v/>
      </c>
      <c r="P4116">
        <f>IF('Loan Tape (S&amp;P)'!S4116="Yes",
    1.15,
    1.00)</f>
        <v/>
      </c>
      <c r="Q4116">
        <f>IF('Loan Tape (S&amp;P)'!V4116="Yes",
    1.20,
    1.00)</f>
        <v/>
      </c>
      <c r="T4116">
        <f>LET(
    payment_method,'Loan Tape (S&amp;P)'!P4116,
    occupancy,'Loan Tape (S&amp;P)'!N4116,
    maturity_date,'Loan Tape (S&amp;P)'!L4116,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17">
      <c r="J4117">
        <f>LET(
    lien,'Loan Tape (S&amp;P)'!Q4117,
    IF(lien="First",1.00,
        IF(lien="Second",1.50,
            1.70)))</f>
        <v/>
      </c>
      <c r="K4117">
        <f>LET(
    purpose,'Loan Tape (S&amp;P)'!R4117,
    IF(purpose="Purchase",1.00,
        IF(purpose="Remortgage",1.00,
            1.20)))</f>
        <v/>
      </c>
      <c r="L4117">
        <f>LET(
    arrears_months,'Loan Tape (S&amp;P)'!AN4117,
    IF(arrears_months=0,1.00,
    IF(arrears_months=1,3.00,
    IF(arrears_months=2,5.00,
    IF(arrears_months=3,8.00,
    IF(arrears_months=4,10.00,
    IF(arrears_months=5,12.00,15.00)))))))</f>
        <v/>
      </c>
      <c r="M4117">
        <f>LET(
    seasoning_years,DATEDIF('Loan Tape (S&amp;P)'!K4117,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17">
        <f>IF(AND('Loan Tape (S&amp;P)'!U4117="Yes",
        'Loan Tape (S&amp;P)'!T4117&lt;&gt;"Yes",
        DATEDIF('Loan Tape (S&amp;P)'!K4117, TODAY(), "M")&lt;18),
    1.10,
    1.00)</f>
        <v/>
      </c>
      <c r="O4117">
        <f>IF('Loan Tape (S&amp;P)'!T4117="Yes",
    1.35,
    1.00)</f>
        <v/>
      </c>
      <c r="P4117">
        <f>IF('Loan Tape (S&amp;P)'!S4117="Yes",
    1.15,
    1.00)</f>
        <v/>
      </c>
      <c r="Q4117">
        <f>IF('Loan Tape (S&amp;P)'!V4117="Yes",
    1.20,
    1.00)</f>
        <v/>
      </c>
      <c r="T4117">
        <f>LET(
    payment_method,'Loan Tape (S&amp;P)'!P4117,
    occupancy,'Loan Tape (S&amp;P)'!N4117,
    maturity_date,'Loan Tape (S&amp;P)'!L4117,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18">
      <c r="J4118">
        <f>LET(
    lien,'Loan Tape (S&amp;P)'!Q4118,
    IF(lien="First",1.00,
        IF(lien="Second",1.50,
            1.70)))</f>
        <v/>
      </c>
      <c r="K4118">
        <f>LET(
    purpose,'Loan Tape (S&amp;P)'!R4118,
    IF(purpose="Purchase",1.00,
        IF(purpose="Remortgage",1.00,
            1.20)))</f>
        <v/>
      </c>
      <c r="L4118">
        <f>LET(
    arrears_months,'Loan Tape (S&amp;P)'!AN4118,
    IF(arrears_months=0,1.00,
    IF(arrears_months=1,3.00,
    IF(arrears_months=2,5.00,
    IF(arrears_months=3,8.00,
    IF(arrears_months=4,10.00,
    IF(arrears_months=5,12.00,15.00)))))))</f>
        <v/>
      </c>
      <c r="M4118">
        <f>LET(
    seasoning_years,DATEDIF('Loan Tape (S&amp;P)'!K4118,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18">
        <f>IF(AND('Loan Tape (S&amp;P)'!U4118="Yes",
        'Loan Tape (S&amp;P)'!T4118&lt;&gt;"Yes",
        DATEDIF('Loan Tape (S&amp;P)'!K4118, TODAY(), "M")&lt;18),
    1.10,
    1.00)</f>
        <v/>
      </c>
      <c r="O4118">
        <f>IF('Loan Tape (S&amp;P)'!T4118="Yes",
    1.35,
    1.00)</f>
        <v/>
      </c>
      <c r="P4118">
        <f>IF('Loan Tape (S&amp;P)'!S4118="Yes",
    1.15,
    1.00)</f>
        <v/>
      </c>
      <c r="Q4118">
        <f>IF('Loan Tape (S&amp;P)'!V4118="Yes",
    1.20,
    1.00)</f>
        <v/>
      </c>
      <c r="T4118">
        <f>LET(
    payment_method,'Loan Tape (S&amp;P)'!P4118,
    occupancy,'Loan Tape (S&amp;P)'!N4118,
    maturity_date,'Loan Tape (S&amp;P)'!L4118,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19">
      <c r="J4119">
        <f>LET(
    lien,'Loan Tape (S&amp;P)'!Q4119,
    IF(lien="First",1.00,
        IF(lien="Second",1.50,
            1.70)))</f>
        <v/>
      </c>
      <c r="K4119">
        <f>LET(
    purpose,'Loan Tape (S&amp;P)'!R4119,
    IF(purpose="Purchase",1.00,
        IF(purpose="Remortgage",1.00,
            1.20)))</f>
        <v/>
      </c>
      <c r="L4119">
        <f>LET(
    arrears_months,'Loan Tape (S&amp;P)'!AN4119,
    IF(arrears_months=0,1.00,
    IF(arrears_months=1,3.00,
    IF(arrears_months=2,5.00,
    IF(arrears_months=3,8.00,
    IF(arrears_months=4,10.00,
    IF(arrears_months=5,12.00,15.00)))))))</f>
        <v/>
      </c>
      <c r="M4119">
        <f>LET(
    seasoning_years,DATEDIF('Loan Tape (S&amp;P)'!K4119,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19">
        <f>IF(AND('Loan Tape (S&amp;P)'!U4119="Yes",
        'Loan Tape (S&amp;P)'!T4119&lt;&gt;"Yes",
        DATEDIF('Loan Tape (S&amp;P)'!K4119, TODAY(), "M")&lt;18),
    1.10,
    1.00)</f>
        <v/>
      </c>
      <c r="O4119">
        <f>IF('Loan Tape (S&amp;P)'!T4119="Yes",
    1.35,
    1.00)</f>
        <v/>
      </c>
      <c r="P4119">
        <f>IF('Loan Tape (S&amp;P)'!S4119="Yes",
    1.15,
    1.00)</f>
        <v/>
      </c>
      <c r="Q4119">
        <f>IF('Loan Tape (S&amp;P)'!V4119="Yes",
    1.20,
    1.00)</f>
        <v/>
      </c>
      <c r="T4119">
        <f>LET(
    payment_method,'Loan Tape (S&amp;P)'!P4119,
    occupancy,'Loan Tape (S&amp;P)'!N4119,
    maturity_date,'Loan Tape (S&amp;P)'!L4119,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20">
      <c r="J4120">
        <f>LET(
    lien,'Loan Tape (S&amp;P)'!Q4120,
    IF(lien="First",1.00,
        IF(lien="Second",1.50,
            1.70)))</f>
        <v/>
      </c>
      <c r="K4120">
        <f>LET(
    purpose,'Loan Tape (S&amp;P)'!R4120,
    IF(purpose="Purchase",1.00,
        IF(purpose="Remortgage",1.00,
            1.20)))</f>
        <v/>
      </c>
      <c r="L4120">
        <f>LET(
    arrears_months,'Loan Tape (S&amp;P)'!AN4120,
    IF(arrears_months=0,1.00,
    IF(arrears_months=1,3.00,
    IF(arrears_months=2,5.00,
    IF(arrears_months=3,8.00,
    IF(arrears_months=4,10.00,
    IF(arrears_months=5,12.00,15.00)))))))</f>
        <v/>
      </c>
      <c r="M4120">
        <f>LET(
    seasoning_years,DATEDIF('Loan Tape (S&amp;P)'!K4120,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20">
        <f>IF(AND('Loan Tape (S&amp;P)'!U4120="Yes",
        'Loan Tape (S&amp;P)'!T4120&lt;&gt;"Yes",
        DATEDIF('Loan Tape (S&amp;P)'!K4120, TODAY(), "M")&lt;18),
    1.10,
    1.00)</f>
        <v/>
      </c>
      <c r="O4120">
        <f>IF('Loan Tape (S&amp;P)'!T4120="Yes",
    1.35,
    1.00)</f>
        <v/>
      </c>
      <c r="P4120">
        <f>IF('Loan Tape (S&amp;P)'!S4120="Yes",
    1.15,
    1.00)</f>
        <v/>
      </c>
      <c r="Q4120">
        <f>IF('Loan Tape (S&amp;P)'!V4120="Yes",
    1.20,
    1.00)</f>
        <v/>
      </c>
      <c r="T4120">
        <f>LET(
    payment_method,'Loan Tape (S&amp;P)'!P4120,
    occupancy,'Loan Tape (S&amp;P)'!N4120,
    maturity_date,'Loan Tape (S&amp;P)'!L4120,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21">
      <c r="J4121">
        <f>LET(
    lien,'Loan Tape (S&amp;P)'!Q4121,
    IF(lien="First",1.00,
        IF(lien="Second",1.50,
            1.70)))</f>
        <v/>
      </c>
      <c r="K4121">
        <f>LET(
    purpose,'Loan Tape (S&amp;P)'!R4121,
    IF(purpose="Purchase",1.00,
        IF(purpose="Remortgage",1.00,
            1.20)))</f>
        <v/>
      </c>
      <c r="L4121">
        <f>LET(
    arrears_months,'Loan Tape (S&amp;P)'!AN4121,
    IF(arrears_months=0,1.00,
    IF(arrears_months=1,3.00,
    IF(arrears_months=2,5.00,
    IF(arrears_months=3,8.00,
    IF(arrears_months=4,10.00,
    IF(arrears_months=5,12.00,15.00)))))))</f>
        <v/>
      </c>
      <c r="M4121">
        <f>LET(
    seasoning_years,DATEDIF('Loan Tape (S&amp;P)'!K4121,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21">
        <f>IF(AND('Loan Tape (S&amp;P)'!U4121="Yes",
        'Loan Tape (S&amp;P)'!T4121&lt;&gt;"Yes",
        DATEDIF('Loan Tape (S&amp;P)'!K4121, TODAY(), "M")&lt;18),
    1.10,
    1.00)</f>
        <v/>
      </c>
      <c r="O4121">
        <f>IF('Loan Tape (S&amp;P)'!T4121="Yes",
    1.35,
    1.00)</f>
        <v/>
      </c>
      <c r="P4121">
        <f>IF('Loan Tape (S&amp;P)'!S4121="Yes",
    1.15,
    1.00)</f>
        <v/>
      </c>
      <c r="Q4121">
        <f>IF('Loan Tape (S&amp;P)'!V4121="Yes",
    1.20,
    1.00)</f>
        <v/>
      </c>
      <c r="T4121">
        <f>LET(
    payment_method,'Loan Tape (S&amp;P)'!P4121,
    occupancy,'Loan Tape (S&amp;P)'!N4121,
    maturity_date,'Loan Tape (S&amp;P)'!L4121,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22">
      <c r="J4122">
        <f>LET(
    lien,'Loan Tape (S&amp;P)'!Q4122,
    IF(lien="First",1.00,
        IF(lien="Second",1.50,
            1.70)))</f>
        <v/>
      </c>
      <c r="K4122">
        <f>LET(
    purpose,'Loan Tape (S&amp;P)'!R4122,
    IF(purpose="Purchase",1.00,
        IF(purpose="Remortgage",1.00,
            1.20)))</f>
        <v/>
      </c>
      <c r="L4122">
        <f>LET(
    arrears_months,'Loan Tape (S&amp;P)'!AN4122,
    IF(arrears_months=0,1.00,
    IF(arrears_months=1,3.00,
    IF(arrears_months=2,5.00,
    IF(arrears_months=3,8.00,
    IF(arrears_months=4,10.00,
    IF(arrears_months=5,12.00,15.00)))))))</f>
        <v/>
      </c>
      <c r="M4122">
        <f>LET(
    seasoning_years,DATEDIF('Loan Tape (S&amp;P)'!K4122,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22">
        <f>IF(AND('Loan Tape (S&amp;P)'!U4122="Yes",
        'Loan Tape (S&amp;P)'!T4122&lt;&gt;"Yes",
        DATEDIF('Loan Tape (S&amp;P)'!K4122, TODAY(), "M")&lt;18),
    1.10,
    1.00)</f>
        <v/>
      </c>
      <c r="O4122">
        <f>IF('Loan Tape (S&amp;P)'!T4122="Yes",
    1.35,
    1.00)</f>
        <v/>
      </c>
      <c r="P4122">
        <f>IF('Loan Tape (S&amp;P)'!S4122="Yes",
    1.15,
    1.00)</f>
        <v/>
      </c>
      <c r="Q4122">
        <f>IF('Loan Tape (S&amp;P)'!V4122="Yes",
    1.20,
    1.00)</f>
        <v/>
      </c>
      <c r="T4122">
        <f>LET(
    payment_method,'Loan Tape (S&amp;P)'!P4122,
    occupancy,'Loan Tape (S&amp;P)'!N4122,
    maturity_date,'Loan Tape (S&amp;P)'!L4122,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23">
      <c r="J4123">
        <f>LET(
    lien,'Loan Tape (S&amp;P)'!Q4123,
    IF(lien="First",1.00,
        IF(lien="Second",1.50,
            1.70)))</f>
        <v/>
      </c>
      <c r="K4123">
        <f>LET(
    purpose,'Loan Tape (S&amp;P)'!R4123,
    IF(purpose="Purchase",1.00,
        IF(purpose="Remortgage",1.00,
            1.20)))</f>
        <v/>
      </c>
      <c r="L4123">
        <f>LET(
    arrears_months,'Loan Tape (S&amp;P)'!AN4123,
    IF(arrears_months=0,1.00,
    IF(arrears_months=1,3.00,
    IF(arrears_months=2,5.00,
    IF(arrears_months=3,8.00,
    IF(arrears_months=4,10.00,
    IF(arrears_months=5,12.00,15.00)))))))</f>
        <v/>
      </c>
      <c r="M4123">
        <f>LET(
    seasoning_years,DATEDIF('Loan Tape (S&amp;P)'!K4123,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23">
        <f>IF(AND('Loan Tape (S&amp;P)'!U4123="Yes",
        'Loan Tape (S&amp;P)'!T4123&lt;&gt;"Yes",
        DATEDIF('Loan Tape (S&amp;P)'!K4123, TODAY(), "M")&lt;18),
    1.10,
    1.00)</f>
        <v/>
      </c>
      <c r="O4123">
        <f>IF('Loan Tape (S&amp;P)'!T4123="Yes",
    1.35,
    1.00)</f>
        <v/>
      </c>
      <c r="P4123">
        <f>IF('Loan Tape (S&amp;P)'!S4123="Yes",
    1.15,
    1.00)</f>
        <v/>
      </c>
      <c r="Q4123">
        <f>IF('Loan Tape (S&amp;P)'!V4123="Yes",
    1.20,
    1.00)</f>
        <v/>
      </c>
      <c r="T4123">
        <f>LET(
    payment_method,'Loan Tape (S&amp;P)'!P4123,
    occupancy,'Loan Tape (S&amp;P)'!N4123,
    maturity_date,'Loan Tape (S&amp;P)'!L4123,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24">
      <c r="J4124">
        <f>LET(
    lien,'Loan Tape (S&amp;P)'!Q4124,
    IF(lien="First",1.00,
        IF(lien="Second",1.50,
            1.70)))</f>
        <v/>
      </c>
      <c r="K4124">
        <f>LET(
    purpose,'Loan Tape (S&amp;P)'!R4124,
    IF(purpose="Purchase",1.00,
        IF(purpose="Remortgage",1.00,
            1.20)))</f>
        <v/>
      </c>
      <c r="L4124">
        <f>LET(
    arrears_months,'Loan Tape (S&amp;P)'!AN4124,
    IF(arrears_months=0,1.00,
    IF(arrears_months=1,3.00,
    IF(arrears_months=2,5.00,
    IF(arrears_months=3,8.00,
    IF(arrears_months=4,10.00,
    IF(arrears_months=5,12.00,15.00)))))))</f>
        <v/>
      </c>
      <c r="M4124">
        <f>LET(
    seasoning_years,DATEDIF('Loan Tape (S&amp;P)'!K4124,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24">
        <f>IF(AND('Loan Tape (S&amp;P)'!U4124="Yes",
        'Loan Tape (S&amp;P)'!T4124&lt;&gt;"Yes",
        DATEDIF('Loan Tape (S&amp;P)'!K4124, TODAY(), "M")&lt;18),
    1.10,
    1.00)</f>
        <v/>
      </c>
      <c r="O4124">
        <f>IF('Loan Tape (S&amp;P)'!T4124="Yes",
    1.35,
    1.00)</f>
        <v/>
      </c>
      <c r="P4124">
        <f>IF('Loan Tape (S&amp;P)'!S4124="Yes",
    1.15,
    1.00)</f>
        <v/>
      </c>
      <c r="Q4124">
        <f>IF('Loan Tape (S&amp;P)'!V4124="Yes",
    1.20,
    1.00)</f>
        <v/>
      </c>
      <c r="T4124">
        <f>LET(
    payment_method,'Loan Tape (S&amp;P)'!P4124,
    occupancy,'Loan Tape (S&amp;P)'!N4124,
    maturity_date,'Loan Tape (S&amp;P)'!L4124,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25">
      <c r="J4125">
        <f>LET(
    lien,'Loan Tape (S&amp;P)'!Q4125,
    IF(lien="First",1.00,
        IF(lien="Second",1.50,
            1.70)))</f>
        <v/>
      </c>
      <c r="K4125">
        <f>LET(
    purpose,'Loan Tape (S&amp;P)'!R4125,
    IF(purpose="Purchase",1.00,
        IF(purpose="Remortgage",1.00,
            1.20)))</f>
        <v/>
      </c>
      <c r="L4125">
        <f>LET(
    arrears_months,'Loan Tape (S&amp;P)'!AN4125,
    IF(arrears_months=0,1.00,
    IF(arrears_months=1,3.00,
    IF(arrears_months=2,5.00,
    IF(arrears_months=3,8.00,
    IF(arrears_months=4,10.00,
    IF(arrears_months=5,12.00,15.00)))))))</f>
        <v/>
      </c>
      <c r="M4125">
        <f>LET(
    seasoning_years,DATEDIF('Loan Tape (S&amp;P)'!K4125,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25">
        <f>IF(AND('Loan Tape (S&amp;P)'!U4125="Yes",
        'Loan Tape (S&amp;P)'!T4125&lt;&gt;"Yes",
        DATEDIF('Loan Tape (S&amp;P)'!K4125, TODAY(), "M")&lt;18),
    1.10,
    1.00)</f>
        <v/>
      </c>
      <c r="O4125">
        <f>IF('Loan Tape (S&amp;P)'!T4125="Yes",
    1.35,
    1.00)</f>
        <v/>
      </c>
      <c r="P4125">
        <f>IF('Loan Tape (S&amp;P)'!S4125="Yes",
    1.15,
    1.00)</f>
        <v/>
      </c>
      <c r="Q4125">
        <f>IF('Loan Tape (S&amp;P)'!V4125="Yes",
    1.20,
    1.00)</f>
        <v/>
      </c>
      <c r="T4125">
        <f>LET(
    payment_method,'Loan Tape (S&amp;P)'!P4125,
    occupancy,'Loan Tape (S&amp;P)'!N4125,
    maturity_date,'Loan Tape (S&amp;P)'!L4125,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26">
      <c r="J4126">
        <f>LET(
    lien,'Loan Tape (S&amp;P)'!Q4126,
    IF(lien="First",1.00,
        IF(lien="Second",1.50,
            1.70)))</f>
        <v/>
      </c>
      <c r="K4126">
        <f>LET(
    purpose,'Loan Tape (S&amp;P)'!R4126,
    IF(purpose="Purchase",1.00,
        IF(purpose="Remortgage",1.00,
            1.20)))</f>
        <v/>
      </c>
      <c r="L4126">
        <f>LET(
    arrears_months,'Loan Tape (S&amp;P)'!AN4126,
    IF(arrears_months=0,1.00,
    IF(arrears_months=1,3.00,
    IF(arrears_months=2,5.00,
    IF(arrears_months=3,8.00,
    IF(arrears_months=4,10.00,
    IF(arrears_months=5,12.00,15.00)))))))</f>
        <v/>
      </c>
      <c r="M4126">
        <f>LET(
    seasoning_years,DATEDIF('Loan Tape (S&amp;P)'!K4126,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26">
        <f>IF(AND('Loan Tape (S&amp;P)'!U4126="Yes",
        'Loan Tape (S&amp;P)'!T4126&lt;&gt;"Yes",
        DATEDIF('Loan Tape (S&amp;P)'!K4126, TODAY(), "M")&lt;18),
    1.10,
    1.00)</f>
        <v/>
      </c>
      <c r="O4126">
        <f>IF('Loan Tape (S&amp;P)'!T4126="Yes",
    1.35,
    1.00)</f>
        <v/>
      </c>
      <c r="P4126">
        <f>IF('Loan Tape (S&amp;P)'!S4126="Yes",
    1.15,
    1.00)</f>
        <v/>
      </c>
      <c r="Q4126">
        <f>IF('Loan Tape (S&amp;P)'!V4126="Yes",
    1.20,
    1.00)</f>
        <v/>
      </c>
      <c r="T4126">
        <f>LET(
    payment_method,'Loan Tape (S&amp;P)'!P4126,
    occupancy,'Loan Tape (S&amp;P)'!N4126,
    maturity_date,'Loan Tape (S&amp;P)'!L4126,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27">
      <c r="J4127">
        <f>LET(
    lien,'Loan Tape (S&amp;P)'!Q4127,
    IF(lien="First",1.00,
        IF(lien="Second",1.50,
            1.70)))</f>
        <v/>
      </c>
      <c r="K4127">
        <f>LET(
    purpose,'Loan Tape (S&amp;P)'!R4127,
    IF(purpose="Purchase",1.00,
        IF(purpose="Remortgage",1.00,
            1.20)))</f>
        <v/>
      </c>
      <c r="L4127">
        <f>LET(
    arrears_months,'Loan Tape (S&amp;P)'!AN4127,
    IF(arrears_months=0,1.00,
    IF(arrears_months=1,3.00,
    IF(arrears_months=2,5.00,
    IF(arrears_months=3,8.00,
    IF(arrears_months=4,10.00,
    IF(arrears_months=5,12.00,15.00)))))))</f>
        <v/>
      </c>
      <c r="M4127">
        <f>LET(
    seasoning_years,DATEDIF('Loan Tape (S&amp;P)'!K4127,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27">
        <f>IF(AND('Loan Tape (S&amp;P)'!U4127="Yes",
        'Loan Tape (S&amp;P)'!T4127&lt;&gt;"Yes",
        DATEDIF('Loan Tape (S&amp;P)'!K4127, TODAY(), "M")&lt;18),
    1.10,
    1.00)</f>
        <v/>
      </c>
      <c r="O4127">
        <f>IF('Loan Tape (S&amp;P)'!T4127="Yes",
    1.35,
    1.00)</f>
        <v/>
      </c>
      <c r="P4127">
        <f>IF('Loan Tape (S&amp;P)'!S4127="Yes",
    1.15,
    1.00)</f>
        <v/>
      </c>
      <c r="Q4127">
        <f>IF('Loan Tape (S&amp;P)'!V4127="Yes",
    1.20,
    1.00)</f>
        <v/>
      </c>
      <c r="T4127">
        <f>LET(
    payment_method,'Loan Tape (S&amp;P)'!P4127,
    occupancy,'Loan Tape (S&amp;P)'!N4127,
    maturity_date,'Loan Tape (S&amp;P)'!L4127,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28">
      <c r="J4128">
        <f>LET(
    lien,'Loan Tape (S&amp;P)'!Q4128,
    IF(lien="First",1.00,
        IF(lien="Second",1.50,
            1.70)))</f>
        <v/>
      </c>
      <c r="K4128">
        <f>LET(
    purpose,'Loan Tape (S&amp;P)'!R4128,
    IF(purpose="Purchase",1.00,
        IF(purpose="Remortgage",1.00,
            1.20)))</f>
        <v/>
      </c>
      <c r="L4128">
        <f>LET(
    arrears_months,'Loan Tape (S&amp;P)'!AN4128,
    IF(arrears_months=0,1.00,
    IF(arrears_months=1,3.00,
    IF(arrears_months=2,5.00,
    IF(arrears_months=3,8.00,
    IF(arrears_months=4,10.00,
    IF(arrears_months=5,12.00,15.00)))))))</f>
        <v/>
      </c>
      <c r="M4128">
        <f>LET(
    seasoning_years,DATEDIF('Loan Tape (S&amp;P)'!K4128,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28">
        <f>IF(AND('Loan Tape (S&amp;P)'!U4128="Yes",
        'Loan Tape (S&amp;P)'!T4128&lt;&gt;"Yes",
        DATEDIF('Loan Tape (S&amp;P)'!K4128, TODAY(), "M")&lt;18),
    1.10,
    1.00)</f>
        <v/>
      </c>
      <c r="O4128">
        <f>IF('Loan Tape (S&amp;P)'!T4128="Yes",
    1.35,
    1.00)</f>
        <v/>
      </c>
      <c r="P4128">
        <f>IF('Loan Tape (S&amp;P)'!S4128="Yes",
    1.15,
    1.00)</f>
        <v/>
      </c>
      <c r="Q4128">
        <f>IF('Loan Tape (S&amp;P)'!V4128="Yes",
    1.20,
    1.00)</f>
        <v/>
      </c>
      <c r="T4128">
        <f>LET(
    payment_method,'Loan Tape (S&amp;P)'!P4128,
    occupancy,'Loan Tape (S&amp;P)'!N4128,
    maturity_date,'Loan Tape (S&amp;P)'!L4128,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29">
      <c r="J4129">
        <f>LET(
    lien,'Loan Tape (S&amp;P)'!Q4129,
    IF(lien="First",1.00,
        IF(lien="Second",1.50,
            1.70)))</f>
        <v/>
      </c>
      <c r="K4129">
        <f>LET(
    purpose,'Loan Tape (S&amp;P)'!R4129,
    IF(purpose="Purchase",1.00,
        IF(purpose="Remortgage",1.00,
            1.20)))</f>
        <v/>
      </c>
      <c r="L4129">
        <f>LET(
    arrears_months,'Loan Tape (S&amp;P)'!AN4129,
    IF(arrears_months=0,1.00,
    IF(arrears_months=1,3.00,
    IF(arrears_months=2,5.00,
    IF(arrears_months=3,8.00,
    IF(arrears_months=4,10.00,
    IF(arrears_months=5,12.00,15.00)))))))</f>
        <v/>
      </c>
      <c r="M4129">
        <f>LET(
    seasoning_years,DATEDIF('Loan Tape (S&amp;P)'!K4129,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29">
        <f>IF(AND('Loan Tape (S&amp;P)'!U4129="Yes",
        'Loan Tape (S&amp;P)'!T4129&lt;&gt;"Yes",
        DATEDIF('Loan Tape (S&amp;P)'!K4129, TODAY(), "M")&lt;18),
    1.10,
    1.00)</f>
        <v/>
      </c>
      <c r="O4129">
        <f>IF('Loan Tape (S&amp;P)'!T4129="Yes",
    1.35,
    1.00)</f>
        <v/>
      </c>
      <c r="P4129">
        <f>IF('Loan Tape (S&amp;P)'!S4129="Yes",
    1.15,
    1.00)</f>
        <v/>
      </c>
      <c r="Q4129">
        <f>IF('Loan Tape (S&amp;P)'!V4129="Yes",
    1.20,
    1.00)</f>
        <v/>
      </c>
      <c r="T4129">
        <f>LET(
    payment_method,'Loan Tape (S&amp;P)'!P4129,
    occupancy,'Loan Tape (S&amp;P)'!N4129,
    maturity_date,'Loan Tape (S&amp;P)'!L4129,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30">
      <c r="J4130">
        <f>LET(
    lien,'Loan Tape (S&amp;P)'!Q4130,
    IF(lien="First",1.00,
        IF(lien="Second",1.50,
            1.70)))</f>
        <v/>
      </c>
      <c r="K4130">
        <f>LET(
    purpose,'Loan Tape (S&amp;P)'!R4130,
    IF(purpose="Purchase",1.00,
        IF(purpose="Remortgage",1.00,
            1.20)))</f>
        <v/>
      </c>
      <c r="L4130">
        <f>LET(
    arrears_months,'Loan Tape (S&amp;P)'!AN4130,
    IF(arrears_months=0,1.00,
    IF(arrears_months=1,3.00,
    IF(arrears_months=2,5.00,
    IF(arrears_months=3,8.00,
    IF(arrears_months=4,10.00,
    IF(arrears_months=5,12.00,15.00)))))))</f>
        <v/>
      </c>
      <c r="M4130">
        <f>LET(
    seasoning_years,DATEDIF('Loan Tape (S&amp;P)'!K4130,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30">
        <f>IF(AND('Loan Tape (S&amp;P)'!U4130="Yes",
        'Loan Tape (S&amp;P)'!T4130&lt;&gt;"Yes",
        DATEDIF('Loan Tape (S&amp;P)'!K4130, TODAY(), "M")&lt;18),
    1.10,
    1.00)</f>
        <v/>
      </c>
      <c r="O4130">
        <f>IF('Loan Tape (S&amp;P)'!T4130="Yes",
    1.35,
    1.00)</f>
        <v/>
      </c>
      <c r="P4130">
        <f>IF('Loan Tape (S&amp;P)'!S4130="Yes",
    1.15,
    1.00)</f>
        <v/>
      </c>
      <c r="Q4130">
        <f>IF('Loan Tape (S&amp;P)'!V4130="Yes",
    1.20,
    1.00)</f>
        <v/>
      </c>
      <c r="T4130">
        <f>LET(
    payment_method,'Loan Tape (S&amp;P)'!P4130,
    occupancy,'Loan Tape (S&amp;P)'!N4130,
    maturity_date,'Loan Tape (S&amp;P)'!L4130,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31">
      <c r="J4131">
        <f>LET(
    lien,'Loan Tape (S&amp;P)'!Q4131,
    IF(lien="First",1.00,
        IF(lien="Second",1.50,
            1.70)))</f>
        <v/>
      </c>
      <c r="K4131">
        <f>LET(
    purpose,'Loan Tape (S&amp;P)'!R4131,
    IF(purpose="Purchase",1.00,
        IF(purpose="Remortgage",1.00,
            1.20)))</f>
        <v/>
      </c>
      <c r="L4131">
        <f>LET(
    arrears_months,'Loan Tape (S&amp;P)'!AN4131,
    IF(arrears_months=0,1.00,
    IF(arrears_months=1,3.00,
    IF(arrears_months=2,5.00,
    IF(arrears_months=3,8.00,
    IF(arrears_months=4,10.00,
    IF(arrears_months=5,12.00,15.00)))))))</f>
        <v/>
      </c>
      <c r="M4131">
        <f>LET(
    seasoning_years,DATEDIF('Loan Tape (S&amp;P)'!K4131,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31">
        <f>IF(AND('Loan Tape (S&amp;P)'!U4131="Yes",
        'Loan Tape (S&amp;P)'!T4131&lt;&gt;"Yes",
        DATEDIF('Loan Tape (S&amp;P)'!K4131, TODAY(), "M")&lt;18),
    1.10,
    1.00)</f>
        <v/>
      </c>
      <c r="O4131">
        <f>IF('Loan Tape (S&amp;P)'!T4131="Yes",
    1.35,
    1.00)</f>
        <v/>
      </c>
      <c r="P4131">
        <f>IF('Loan Tape (S&amp;P)'!S4131="Yes",
    1.15,
    1.00)</f>
        <v/>
      </c>
      <c r="Q4131">
        <f>IF('Loan Tape (S&amp;P)'!V4131="Yes",
    1.20,
    1.00)</f>
        <v/>
      </c>
      <c r="T4131">
        <f>LET(
    payment_method,'Loan Tape (S&amp;P)'!P4131,
    occupancy,'Loan Tape (S&amp;P)'!N4131,
    maturity_date,'Loan Tape (S&amp;P)'!L4131,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32">
      <c r="J4132">
        <f>LET(
    lien,'Loan Tape (S&amp;P)'!Q4132,
    IF(lien="First",1.00,
        IF(lien="Second",1.50,
            1.70)))</f>
        <v/>
      </c>
      <c r="K4132">
        <f>LET(
    purpose,'Loan Tape (S&amp;P)'!R4132,
    IF(purpose="Purchase",1.00,
        IF(purpose="Remortgage",1.00,
            1.20)))</f>
        <v/>
      </c>
      <c r="L4132">
        <f>LET(
    arrears_months,'Loan Tape (S&amp;P)'!AN4132,
    IF(arrears_months=0,1.00,
    IF(arrears_months=1,3.00,
    IF(arrears_months=2,5.00,
    IF(arrears_months=3,8.00,
    IF(arrears_months=4,10.00,
    IF(arrears_months=5,12.00,15.00)))))))</f>
        <v/>
      </c>
      <c r="M4132">
        <f>LET(
    seasoning_years,DATEDIF('Loan Tape (S&amp;P)'!K4132,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32">
        <f>IF(AND('Loan Tape (S&amp;P)'!U4132="Yes",
        'Loan Tape (S&amp;P)'!T4132&lt;&gt;"Yes",
        DATEDIF('Loan Tape (S&amp;P)'!K4132, TODAY(), "M")&lt;18),
    1.10,
    1.00)</f>
        <v/>
      </c>
      <c r="O4132">
        <f>IF('Loan Tape (S&amp;P)'!T4132="Yes",
    1.35,
    1.00)</f>
        <v/>
      </c>
      <c r="P4132">
        <f>IF('Loan Tape (S&amp;P)'!S4132="Yes",
    1.15,
    1.00)</f>
        <v/>
      </c>
      <c r="Q4132">
        <f>IF('Loan Tape (S&amp;P)'!V4132="Yes",
    1.20,
    1.00)</f>
        <v/>
      </c>
      <c r="T4132">
        <f>LET(
    payment_method,'Loan Tape (S&amp;P)'!P4132,
    occupancy,'Loan Tape (S&amp;P)'!N4132,
    maturity_date,'Loan Tape (S&amp;P)'!L4132,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33">
      <c r="J4133">
        <f>LET(
    lien,'Loan Tape (S&amp;P)'!Q4133,
    IF(lien="First",1.00,
        IF(lien="Second",1.50,
            1.70)))</f>
        <v/>
      </c>
      <c r="K4133">
        <f>LET(
    purpose,'Loan Tape (S&amp;P)'!R4133,
    IF(purpose="Purchase",1.00,
        IF(purpose="Remortgage",1.00,
            1.20)))</f>
        <v/>
      </c>
      <c r="L4133">
        <f>LET(
    arrears_months,'Loan Tape (S&amp;P)'!AN4133,
    IF(arrears_months=0,1.00,
    IF(arrears_months=1,3.00,
    IF(arrears_months=2,5.00,
    IF(arrears_months=3,8.00,
    IF(arrears_months=4,10.00,
    IF(arrears_months=5,12.00,15.00)))))))</f>
        <v/>
      </c>
      <c r="M4133">
        <f>LET(
    seasoning_years,DATEDIF('Loan Tape (S&amp;P)'!K4133,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33">
        <f>IF(AND('Loan Tape (S&amp;P)'!U4133="Yes",
        'Loan Tape (S&amp;P)'!T4133&lt;&gt;"Yes",
        DATEDIF('Loan Tape (S&amp;P)'!K4133, TODAY(), "M")&lt;18),
    1.10,
    1.00)</f>
        <v/>
      </c>
      <c r="O4133">
        <f>IF('Loan Tape (S&amp;P)'!T4133="Yes",
    1.35,
    1.00)</f>
        <v/>
      </c>
      <c r="P4133">
        <f>IF('Loan Tape (S&amp;P)'!S4133="Yes",
    1.15,
    1.00)</f>
        <v/>
      </c>
      <c r="Q4133">
        <f>IF('Loan Tape (S&amp;P)'!V4133="Yes",
    1.20,
    1.00)</f>
        <v/>
      </c>
      <c r="T4133">
        <f>LET(
    payment_method,'Loan Tape (S&amp;P)'!P4133,
    occupancy,'Loan Tape (S&amp;P)'!N4133,
    maturity_date,'Loan Tape (S&amp;P)'!L4133,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34">
      <c r="J4134">
        <f>LET(
    lien,'Loan Tape (S&amp;P)'!Q4134,
    IF(lien="First",1.00,
        IF(lien="Second",1.50,
            1.70)))</f>
        <v/>
      </c>
      <c r="K4134">
        <f>LET(
    purpose,'Loan Tape (S&amp;P)'!R4134,
    IF(purpose="Purchase",1.00,
        IF(purpose="Remortgage",1.00,
            1.20)))</f>
        <v/>
      </c>
      <c r="L4134">
        <f>LET(
    arrears_months,'Loan Tape (S&amp;P)'!AN4134,
    IF(arrears_months=0,1.00,
    IF(arrears_months=1,3.00,
    IF(arrears_months=2,5.00,
    IF(arrears_months=3,8.00,
    IF(arrears_months=4,10.00,
    IF(arrears_months=5,12.00,15.00)))))))</f>
        <v/>
      </c>
      <c r="M4134">
        <f>LET(
    seasoning_years,DATEDIF('Loan Tape (S&amp;P)'!K4134,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34">
        <f>IF(AND('Loan Tape (S&amp;P)'!U4134="Yes",
        'Loan Tape (S&amp;P)'!T4134&lt;&gt;"Yes",
        DATEDIF('Loan Tape (S&amp;P)'!K4134, TODAY(), "M")&lt;18),
    1.10,
    1.00)</f>
        <v/>
      </c>
      <c r="O4134">
        <f>IF('Loan Tape (S&amp;P)'!T4134="Yes",
    1.35,
    1.00)</f>
        <v/>
      </c>
      <c r="P4134">
        <f>IF('Loan Tape (S&amp;P)'!S4134="Yes",
    1.15,
    1.00)</f>
        <v/>
      </c>
      <c r="Q4134">
        <f>IF('Loan Tape (S&amp;P)'!V4134="Yes",
    1.20,
    1.00)</f>
        <v/>
      </c>
      <c r="T4134">
        <f>LET(
    payment_method,'Loan Tape (S&amp;P)'!P4134,
    occupancy,'Loan Tape (S&amp;P)'!N4134,
    maturity_date,'Loan Tape (S&amp;P)'!L4134,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35">
      <c r="J4135">
        <f>LET(
    lien,'Loan Tape (S&amp;P)'!Q4135,
    IF(lien="First",1.00,
        IF(lien="Second",1.50,
            1.70)))</f>
        <v/>
      </c>
      <c r="K4135">
        <f>LET(
    purpose,'Loan Tape (S&amp;P)'!R4135,
    IF(purpose="Purchase",1.00,
        IF(purpose="Remortgage",1.00,
            1.20)))</f>
        <v/>
      </c>
      <c r="L4135">
        <f>LET(
    arrears_months,'Loan Tape (S&amp;P)'!AN4135,
    IF(arrears_months=0,1.00,
    IF(arrears_months=1,3.00,
    IF(arrears_months=2,5.00,
    IF(arrears_months=3,8.00,
    IF(arrears_months=4,10.00,
    IF(arrears_months=5,12.00,15.00)))))))</f>
        <v/>
      </c>
      <c r="M4135">
        <f>LET(
    seasoning_years,DATEDIF('Loan Tape (S&amp;P)'!K4135,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35">
        <f>IF(AND('Loan Tape (S&amp;P)'!U4135="Yes",
        'Loan Tape (S&amp;P)'!T4135&lt;&gt;"Yes",
        DATEDIF('Loan Tape (S&amp;P)'!K4135, TODAY(), "M")&lt;18),
    1.10,
    1.00)</f>
        <v/>
      </c>
      <c r="O4135">
        <f>IF('Loan Tape (S&amp;P)'!T4135="Yes",
    1.35,
    1.00)</f>
        <v/>
      </c>
      <c r="P4135">
        <f>IF('Loan Tape (S&amp;P)'!S4135="Yes",
    1.15,
    1.00)</f>
        <v/>
      </c>
      <c r="Q4135">
        <f>IF('Loan Tape (S&amp;P)'!V4135="Yes",
    1.20,
    1.00)</f>
        <v/>
      </c>
      <c r="T4135">
        <f>LET(
    payment_method,'Loan Tape (S&amp;P)'!P4135,
    occupancy,'Loan Tape (S&amp;P)'!N4135,
    maturity_date,'Loan Tape (S&amp;P)'!L4135,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36">
      <c r="J4136">
        <f>LET(
    lien,'Loan Tape (S&amp;P)'!Q4136,
    IF(lien="First",1.00,
        IF(lien="Second",1.50,
            1.70)))</f>
        <v/>
      </c>
      <c r="K4136">
        <f>LET(
    purpose,'Loan Tape (S&amp;P)'!R4136,
    IF(purpose="Purchase",1.00,
        IF(purpose="Remortgage",1.00,
            1.20)))</f>
        <v/>
      </c>
      <c r="L4136">
        <f>LET(
    arrears_months,'Loan Tape (S&amp;P)'!AN4136,
    IF(arrears_months=0,1.00,
    IF(arrears_months=1,3.00,
    IF(arrears_months=2,5.00,
    IF(arrears_months=3,8.00,
    IF(arrears_months=4,10.00,
    IF(arrears_months=5,12.00,15.00)))))))</f>
        <v/>
      </c>
      <c r="M4136">
        <f>LET(
    seasoning_years,DATEDIF('Loan Tape (S&amp;P)'!K4136,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36">
        <f>IF(AND('Loan Tape (S&amp;P)'!U4136="Yes",
        'Loan Tape (S&amp;P)'!T4136&lt;&gt;"Yes",
        DATEDIF('Loan Tape (S&amp;P)'!K4136, TODAY(), "M")&lt;18),
    1.10,
    1.00)</f>
        <v/>
      </c>
      <c r="O4136">
        <f>IF('Loan Tape (S&amp;P)'!T4136="Yes",
    1.35,
    1.00)</f>
        <v/>
      </c>
      <c r="P4136">
        <f>IF('Loan Tape (S&amp;P)'!S4136="Yes",
    1.15,
    1.00)</f>
        <v/>
      </c>
      <c r="Q4136">
        <f>IF('Loan Tape (S&amp;P)'!V4136="Yes",
    1.20,
    1.00)</f>
        <v/>
      </c>
      <c r="T4136">
        <f>LET(
    payment_method,'Loan Tape (S&amp;P)'!P4136,
    occupancy,'Loan Tape (S&amp;P)'!N4136,
    maturity_date,'Loan Tape (S&amp;P)'!L4136,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37">
      <c r="J4137">
        <f>LET(
    lien,'Loan Tape (S&amp;P)'!Q4137,
    IF(lien="First",1.00,
        IF(lien="Second",1.50,
            1.70)))</f>
        <v/>
      </c>
      <c r="K4137">
        <f>LET(
    purpose,'Loan Tape (S&amp;P)'!R4137,
    IF(purpose="Purchase",1.00,
        IF(purpose="Remortgage",1.00,
            1.20)))</f>
        <v/>
      </c>
      <c r="L4137">
        <f>LET(
    arrears_months,'Loan Tape (S&amp;P)'!AN4137,
    IF(arrears_months=0,1.00,
    IF(arrears_months=1,3.00,
    IF(arrears_months=2,5.00,
    IF(arrears_months=3,8.00,
    IF(arrears_months=4,10.00,
    IF(arrears_months=5,12.00,15.00)))))))</f>
        <v/>
      </c>
      <c r="M4137">
        <f>LET(
    seasoning_years,DATEDIF('Loan Tape (S&amp;P)'!K4137,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37">
        <f>IF(AND('Loan Tape (S&amp;P)'!U4137="Yes",
        'Loan Tape (S&amp;P)'!T4137&lt;&gt;"Yes",
        DATEDIF('Loan Tape (S&amp;P)'!K4137, TODAY(), "M")&lt;18),
    1.10,
    1.00)</f>
        <v/>
      </c>
      <c r="O4137">
        <f>IF('Loan Tape (S&amp;P)'!T4137="Yes",
    1.35,
    1.00)</f>
        <v/>
      </c>
      <c r="P4137">
        <f>IF('Loan Tape (S&amp;P)'!S4137="Yes",
    1.15,
    1.00)</f>
        <v/>
      </c>
      <c r="Q4137">
        <f>IF('Loan Tape (S&amp;P)'!V4137="Yes",
    1.20,
    1.00)</f>
        <v/>
      </c>
      <c r="T4137">
        <f>LET(
    payment_method,'Loan Tape (S&amp;P)'!P4137,
    occupancy,'Loan Tape (S&amp;P)'!N4137,
    maturity_date,'Loan Tape (S&amp;P)'!L4137,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38">
      <c r="J4138">
        <f>LET(
    lien,'Loan Tape (S&amp;P)'!Q4138,
    IF(lien="First",1.00,
        IF(lien="Second",1.50,
            1.70)))</f>
        <v/>
      </c>
      <c r="K4138">
        <f>LET(
    purpose,'Loan Tape (S&amp;P)'!R4138,
    IF(purpose="Purchase",1.00,
        IF(purpose="Remortgage",1.00,
            1.20)))</f>
        <v/>
      </c>
      <c r="L4138">
        <f>LET(
    arrears_months,'Loan Tape (S&amp;P)'!AN4138,
    IF(arrears_months=0,1.00,
    IF(arrears_months=1,3.00,
    IF(arrears_months=2,5.00,
    IF(arrears_months=3,8.00,
    IF(arrears_months=4,10.00,
    IF(arrears_months=5,12.00,15.00)))))))</f>
        <v/>
      </c>
      <c r="M4138">
        <f>LET(
    seasoning_years,DATEDIF('Loan Tape (S&amp;P)'!K4138,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38">
        <f>IF(AND('Loan Tape (S&amp;P)'!U4138="Yes",
        'Loan Tape (S&amp;P)'!T4138&lt;&gt;"Yes",
        DATEDIF('Loan Tape (S&amp;P)'!K4138, TODAY(), "M")&lt;18),
    1.10,
    1.00)</f>
        <v/>
      </c>
      <c r="O4138">
        <f>IF('Loan Tape (S&amp;P)'!T4138="Yes",
    1.35,
    1.00)</f>
        <v/>
      </c>
      <c r="P4138">
        <f>IF('Loan Tape (S&amp;P)'!S4138="Yes",
    1.15,
    1.00)</f>
        <v/>
      </c>
      <c r="Q4138">
        <f>IF('Loan Tape (S&amp;P)'!V4138="Yes",
    1.20,
    1.00)</f>
        <v/>
      </c>
      <c r="T4138">
        <f>LET(
    payment_method,'Loan Tape (S&amp;P)'!P4138,
    occupancy,'Loan Tape (S&amp;P)'!N4138,
    maturity_date,'Loan Tape (S&amp;P)'!L4138,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39">
      <c r="J4139">
        <f>LET(
    lien,'Loan Tape (S&amp;P)'!Q4139,
    IF(lien="First",1.00,
        IF(lien="Second",1.50,
            1.70)))</f>
        <v/>
      </c>
      <c r="K4139">
        <f>LET(
    purpose,'Loan Tape (S&amp;P)'!R4139,
    IF(purpose="Purchase",1.00,
        IF(purpose="Remortgage",1.00,
            1.20)))</f>
        <v/>
      </c>
      <c r="L4139">
        <f>LET(
    arrears_months,'Loan Tape (S&amp;P)'!AN4139,
    IF(arrears_months=0,1.00,
    IF(arrears_months=1,3.00,
    IF(arrears_months=2,5.00,
    IF(arrears_months=3,8.00,
    IF(arrears_months=4,10.00,
    IF(arrears_months=5,12.00,15.00)))))))</f>
        <v/>
      </c>
      <c r="M4139">
        <f>LET(
    seasoning_years,DATEDIF('Loan Tape (S&amp;P)'!K4139,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39">
        <f>IF(AND('Loan Tape (S&amp;P)'!U4139="Yes",
        'Loan Tape (S&amp;P)'!T4139&lt;&gt;"Yes",
        DATEDIF('Loan Tape (S&amp;P)'!K4139, TODAY(), "M")&lt;18),
    1.10,
    1.00)</f>
        <v/>
      </c>
      <c r="O4139">
        <f>IF('Loan Tape (S&amp;P)'!T4139="Yes",
    1.35,
    1.00)</f>
        <v/>
      </c>
      <c r="P4139">
        <f>IF('Loan Tape (S&amp;P)'!S4139="Yes",
    1.15,
    1.00)</f>
        <v/>
      </c>
      <c r="Q4139">
        <f>IF('Loan Tape (S&amp;P)'!V4139="Yes",
    1.20,
    1.00)</f>
        <v/>
      </c>
      <c r="T4139">
        <f>LET(
    payment_method,'Loan Tape (S&amp;P)'!P4139,
    occupancy,'Loan Tape (S&amp;P)'!N4139,
    maturity_date,'Loan Tape (S&amp;P)'!L4139,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40">
      <c r="J4140">
        <f>LET(
    lien,'Loan Tape (S&amp;P)'!Q4140,
    IF(lien="First",1.00,
        IF(lien="Second",1.50,
            1.70)))</f>
        <v/>
      </c>
      <c r="K4140">
        <f>LET(
    purpose,'Loan Tape (S&amp;P)'!R4140,
    IF(purpose="Purchase",1.00,
        IF(purpose="Remortgage",1.00,
            1.20)))</f>
        <v/>
      </c>
      <c r="L4140">
        <f>LET(
    arrears_months,'Loan Tape (S&amp;P)'!AN4140,
    IF(arrears_months=0,1.00,
    IF(arrears_months=1,3.00,
    IF(arrears_months=2,5.00,
    IF(arrears_months=3,8.00,
    IF(arrears_months=4,10.00,
    IF(arrears_months=5,12.00,15.00)))))))</f>
        <v/>
      </c>
      <c r="M4140">
        <f>LET(
    seasoning_years,DATEDIF('Loan Tape (S&amp;P)'!K4140,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40">
        <f>IF(AND('Loan Tape (S&amp;P)'!U4140="Yes",
        'Loan Tape (S&amp;P)'!T4140&lt;&gt;"Yes",
        DATEDIF('Loan Tape (S&amp;P)'!K4140, TODAY(), "M")&lt;18),
    1.10,
    1.00)</f>
        <v/>
      </c>
      <c r="O4140">
        <f>IF('Loan Tape (S&amp;P)'!T4140="Yes",
    1.35,
    1.00)</f>
        <v/>
      </c>
      <c r="P4140">
        <f>IF('Loan Tape (S&amp;P)'!S4140="Yes",
    1.15,
    1.00)</f>
        <v/>
      </c>
      <c r="Q4140">
        <f>IF('Loan Tape (S&amp;P)'!V4140="Yes",
    1.20,
    1.00)</f>
        <v/>
      </c>
      <c r="T4140">
        <f>LET(
    payment_method,'Loan Tape (S&amp;P)'!P4140,
    occupancy,'Loan Tape (S&amp;P)'!N4140,
    maturity_date,'Loan Tape (S&amp;P)'!L4140,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41">
      <c r="J4141">
        <f>LET(
    lien,'Loan Tape (S&amp;P)'!Q4141,
    IF(lien="First",1.00,
        IF(lien="Second",1.50,
            1.70)))</f>
        <v/>
      </c>
      <c r="K4141">
        <f>LET(
    purpose,'Loan Tape (S&amp;P)'!R4141,
    IF(purpose="Purchase",1.00,
        IF(purpose="Remortgage",1.00,
            1.20)))</f>
        <v/>
      </c>
      <c r="L4141">
        <f>LET(
    arrears_months,'Loan Tape (S&amp;P)'!AN4141,
    IF(arrears_months=0,1.00,
    IF(arrears_months=1,3.00,
    IF(arrears_months=2,5.00,
    IF(arrears_months=3,8.00,
    IF(arrears_months=4,10.00,
    IF(arrears_months=5,12.00,15.00)))))))</f>
        <v/>
      </c>
      <c r="M4141">
        <f>LET(
    seasoning_years,DATEDIF('Loan Tape (S&amp;P)'!K4141,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41">
        <f>IF(AND('Loan Tape (S&amp;P)'!U4141="Yes",
        'Loan Tape (S&amp;P)'!T4141&lt;&gt;"Yes",
        DATEDIF('Loan Tape (S&amp;P)'!K4141, TODAY(), "M")&lt;18),
    1.10,
    1.00)</f>
        <v/>
      </c>
      <c r="O4141">
        <f>IF('Loan Tape (S&amp;P)'!T4141="Yes",
    1.35,
    1.00)</f>
        <v/>
      </c>
      <c r="P4141">
        <f>IF('Loan Tape (S&amp;P)'!S4141="Yes",
    1.15,
    1.00)</f>
        <v/>
      </c>
      <c r="Q4141">
        <f>IF('Loan Tape (S&amp;P)'!V4141="Yes",
    1.20,
    1.00)</f>
        <v/>
      </c>
      <c r="T4141">
        <f>LET(
    payment_method,'Loan Tape (S&amp;P)'!P4141,
    occupancy,'Loan Tape (S&amp;P)'!N4141,
    maturity_date,'Loan Tape (S&amp;P)'!L4141,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42">
      <c r="J4142">
        <f>LET(
    lien,'Loan Tape (S&amp;P)'!Q4142,
    IF(lien="First",1.00,
        IF(lien="Second",1.50,
            1.70)))</f>
        <v/>
      </c>
      <c r="K4142">
        <f>LET(
    purpose,'Loan Tape (S&amp;P)'!R4142,
    IF(purpose="Purchase",1.00,
        IF(purpose="Remortgage",1.00,
            1.20)))</f>
        <v/>
      </c>
      <c r="L4142">
        <f>LET(
    arrears_months,'Loan Tape (S&amp;P)'!AN4142,
    IF(arrears_months=0,1.00,
    IF(arrears_months=1,3.00,
    IF(arrears_months=2,5.00,
    IF(arrears_months=3,8.00,
    IF(arrears_months=4,10.00,
    IF(arrears_months=5,12.00,15.00)))))))</f>
        <v/>
      </c>
      <c r="M4142">
        <f>LET(
    seasoning_years,DATEDIF('Loan Tape (S&amp;P)'!K4142,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42">
        <f>IF(AND('Loan Tape (S&amp;P)'!U4142="Yes",
        'Loan Tape (S&amp;P)'!T4142&lt;&gt;"Yes",
        DATEDIF('Loan Tape (S&amp;P)'!K4142, TODAY(), "M")&lt;18),
    1.10,
    1.00)</f>
        <v/>
      </c>
      <c r="O4142">
        <f>IF('Loan Tape (S&amp;P)'!T4142="Yes",
    1.35,
    1.00)</f>
        <v/>
      </c>
      <c r="P4142">
        <f>IF('Loan Tape (S&amp;P)'!S4142="Yes",
    1.15,
    1.00)</f>
        <v/>
      </c>
      <c r="Q4142">
        <f>IF('Loan Tape (S&amp;P)'!V4142="Yes",
    1.20,
    1.00)</f>
        <v/>
      </c>
      <c r="T4142">
        <f>LET(
    payment_method,'Loan Tape (S&amp;P)'!P4142,
    occupancy,'Loan Tape (S&amp;P)'!N4142,
    maturity_date,'Loan Tape (S&amp;P)'!L4142,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43">
      <c r="J4143">
        <f>LET(
    lien,'Loan Tape (S&amp;P)'!Q4143,
    IF(lien="First",1.00,
        IF(lien="Second",1.50,
            1.70)))</f>
        <v/>
      </c>
      <c r="K4143">
        <f>LET(
    purpose,'Loan Tape (S&amp;P)'!R4143,
    IF(purpose="Purchase",1.00,
        IF(purpose="Remortgage",1.00,
            1.20)))</f>
        <v/>
      </c>
      <c r="L4143">
        <f>LET(
    arrears_months,'Loan Tape (S&amp;P)'!AN4143,
    IF(arrears_months=0,1.00,
    IF(arrears_months=1,3.00,
    IF(arrears_months=2,5.00,
    IF(arrears_months=3,8.00,
    IF(arrears_months=4,10.00,
    IF(arrears_months=5,12.00,15.00)))))))</f>
        <v/>
      </c>
      <c r="M4143">
        <f>LET(
    seasoning_years,DATEDIF('Loan Tape (S&amp;P)'!K4143,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43">
        <f>IF(AND('Loan Tape (S&amp;P)'!U4143="Yes",
        'Loan Tape (S&amp;P)'!T4143&lt;&gt;"Yes",
        DATEDIF('Loan Tape (S&amp;P)'!K4143, TODAY(), "M")&lt;18),
    1.10,
    1.00)</f>
        <v/>
      </c>
      <c r="O4143">
        <f>IF('Loan Tape (S&amp;P)'!T4143="Yes",
    1.35,
    1.00)</f>
        <v/>
      </c>
      <c r="P4143">
        <f>IF('Loan Tape (S&amp;P)'!S4143="Yes",
    1.15,
    1.00)</f>
        <v/>
      </c>
      <c r="Q4143">
        <f>IF('Loan Tape (S&amp;P)'!V4143="Yes",
    1.20,
    1.00)</f>
        <v/>
      </c>
      <c r="T4143">
        <f>LET(
    payment_method,'Loan Tape (S&amp;P)'!P4143,
    occupancy,'Loan Tape (S&amp;P)'!N4143,
    maturity_date,'Loan Tape (S&amp;P)'!L4143,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44">
      <c r="J4144">
        <f>LET(
    lien,'Loan Tape (S&amp;P)'!Q4144,
    IF(lien="First",1.00,
        IF(lien="Second",1.50,
            1.70)))</f>
        <v/>
      </c>
      <c r="K4144">
        <f>LET(
    purpose,'Loan Tape (S&amp;P)'!R4144,
    IF(purpose="Purchase",1.00,
        IF(purpose="Remortgage",1.00,
            1.20)))</f>
        <v/>
      </c>
      <c r="L4144">
        <f>LET(
    arrears_months,'Loan Tape (S&amp;P)'!AN4144,
    IF(arrears_months=0,1.00,
    IF(arrears_months=1,3.00,
    IF(arrears_months=2,5.00,
    IF(arrears_months=3,8.00,
    IF(arrears_months=4,10.00,
    IF(arrears_months=5,12.00,15.00)))))))</f>
        <v/>
      </c>
      <c r="M4144">
        <f>LET(
    seasoning_years,DATEDIF('Loan Tape (S&amp;P)'!K4144,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44">
        <f>IF(AND('Loan Tape (S&amp;P)'!U4144="Yes",
        'Loan Tape (S&amp;P)'!T4144&lt;&gt;"Yes",
        DATEDIF('Loan Tape (S&amp;P)'!K4144, TODAY(), "M")&lt;18),
    1.10,
    1.00)</f>
        <v/>
      </c>
      <c r="O4144">
        <f>IF('Loan Tape (S&amp;P)'!T4144="Yes",
    1.35,
    1.00)</f>
        <v/>
      </c>
      <c r="P4144">
        <f>IF('Loan Tape (S&amp;P)'!S4144="Yes",
    1.15,
    1.00)</f>
        <v/>
      </c>
      <c r="Q4144">
        <f>IF('Loan Tape (S&amp;P)'!V4144="Yes",
    1.20,
    1.00)</f>
        <v/>
      </c>
      <c r="T4144">
        <f>LET(
    payment_method,'Loan Tape (S&amp;P)'!P4144,
    occupancy,'Loan Tape (S&amp;P)'!N4144,
    maturity_date,'Loan Tape (S&amp;P)'!L4144,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45">
      <c r="J4145">
        <f>LET(
    lien,'Loan Tape (S&amp;P)'!Q4145,
    IF(lien="First",1.00,
        IF(lien="Second",1.50,
            1.70)))</f>
        <v/>
      </c>
      <c r="K4145">
        <f>LET(
    purpose,'Loan Tape (S&amp;P)'!R4145,
    IF(purpose="Purchase",1.00,
        IF(purpose="Remortgage",1.00,
            1.20)))</f>
        <v/>
      </c>
      <c r="L4145">
        <f>LET(
    arrears_months,'Loan Tape (S&amp;P)'!AN4145,
    IF(arrears_months=0,1.00,
    IF(arrears_months=1,3.00,
    IF(arrears_months=2,5.00,
    IF(arrears_months=3,8.00,
    IF(arrears_months=4,10.00,
    IF(arrears_months=5,12.00,15.00)))))))</f>
        <v/>
      </c>
      <c r="M4145">
        <f>LET(
    seasoning_years,DATEDIF('Loan Tape (S&amp;P)'!K4145,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45">
        <f>IF(AND('Loan Tape (S&amp;P)'!U4145="Yes",
        'Loan Tape (S&amp;P)'!T4145&lt;&gt;"Yes",
        DATEDIF('Loan Tape (S&amp;P)'!K4145, TODAY(), "M")&lt;18),
    1.10,
    1.00)</f>
        <v/>
      </c>
      <c r="O4145">
        <f>IF('Loan Tape (S&amp;P)'!T4145="Yes",
    1.35,
    1.00)</f>
        <v/>
      </c>
      <c r="P4145">
        <f>IF('Loan Tape (S&amp;P)'!S4145="Yes",
    1.15,
    1.00)</f>
        <v/>
      </c>
      <c r="Q4145">
        <f>IF('Loan Tape (S&amp;P)'!V4145="Yes",
    1.20,
    1.00)</f>
        <v/>
      </c>
      <c r="T4145">
        <f>LET(
    payment_method,'Loan Tape (S&amp;P)'!P4145,
    occupancy,'Loan Tape (S&amp;P)'!N4145,
    maturity_date,'Loan Tape (S&amp;P)'!L4145,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46">
      <c r="J4146">
        <f>LET(
    lien,'Loan Tape (S&amp;P)'!Q4146,
    IF(lien="First",1.00,
        IF(lien="Second",1.50,
            1.70)))</f>
        <v/>
      </c>
      <c r="K4146">
        <f>LET(
    purpose,'Loan Tape (S&amp;P)'!R4146,
    IF(purpose="Purchase",1.00,
        IF(purpose="Remortgage",1.00,
            1.20)))</f>
        <v/>
      </c>
      <c r="L4146">
        <f>LET(
    arrears_months,'Loan Tape (S&amp;P)'!AN4146,
    IF(arrears_months=0,1.00,
    IF(arrears_months=1,3.00,
    IF(arrears_months=2,5.00,
    IF(arrears_months=3,8.00,
    IF(arrears_months=4,10.00,
    IF(arrears_months=5,12.00,15.00)))))))</f>
        <v/>
      </c>
      <c r="M4146">
        <f>LET(
    seasoning_years,DATEDIF('Loan Tape (S&amp;P)'!K4146,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46">
        <f>IF(AND('Loan Tape (S&amp;P)'!U4146="Yes",
        'Loan Tape (S&amp;P)'!T4146&lt;&gt;"Yes",
        DATEDIF('Loan Tape (S&amp;P)'!K4146, TODAY(), "M")&lt;18),
    1.10,
    1.00)</f>
        <v/>
      </c>
      <c r="O4146">
        <f>IF('Loan Tape (S&amp;P)'!T4146="Yes",
    1.35,
    1.00)</f>
        <v/>
      </c>
      <c r="P4146">
        <f>IF('Loan Tape (S&amp;P)'!S4146="Yes",
    1.15,
    1.00)</f>
        <v/>
      </c>
      <c r="Q4146">
        <f>IF('Loan Tape (S&amp;P)'!V4146="Yes",
    1.20,
    1.00)</f>
        <v/>
      </c>
      <c r="T4146">
        <f>LET(
    payment_method,'Loan Tape (S&amp;P)'!P4146,
    occupancy,'Loan Tape (S&amp;P)'!N4146,
    maturity_date,'Loan Tape (S&amp;P)'!L4146,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47">
      <c r="J4147">
        <f>LET(
    lien,'Loan Tape (S&amp;P)'!Q4147,
    IF(lien="First",1.00,
        IF(lien="Second",1.50,
            1.70)))</f>
        <v/>
      </c>
      <c r="K4147">
        <f>LET(
    purpose,'Loan Tape (S&amp;P)'!R4147,
    IF(purpose="Purchase",1.00,
        IF(purpose="Remortgage",1.00,
            1.20)))</f>
        <v/>
      </c>
      <c r="L4147">
        <f>LET(
    arrears_months,'Loan Tape (S&amp;P)'!AN4147,
    IF(arrears_months=0,1.00,
    IF(arrears_months=1,3.00,
    IF(arrears_months=2,5.00,
    IF(arrears_months=3,8.00,
    IF(arrears_months=4,10.00,
    IF(arrears_months=5,12.00,15.00)))))))</f>
        <v/>
      </c>
      <c r="M4147">
        <f>LET(
    seasoning_years,DATEDIF('Loan Tape (S&amp;P)'!K4147,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47">
        <f>IF(AND('Loan Tape (S&amp;P)'!U4147="Yes",
        'Loan Tape (S&amp;P)'!T4147&lt;&gt;"Yes",
        DATEDIF('Loan Tape (S&amp;P)'!K4147, TODAY(), "M")&lt;18),
    1.10,
    1.00)</f>
        <v/>
      </c>
      <c r="O4147">
        <f>IF('Loan Tape (S&amp;P)'!T4147="Yes",
    1.35,
    1.00)</f>
        <v/>
      </c>
      <c r="P4147">
        <f>IF('Loan Tape (S&amp;P)'!S4147="Yes",
    1.15,
    1.00)</f>
        <v/>
      </c>
      <c r="Q4147">
        <f>IF('Loan Tape (S&amp;P)'!V4147="Yes",
    1.20,
    1.00)</f>
        <v/>
      </c>
      <c r="T4147">
        <f>LET(
    payment_method,'Loan Tape (S&amp;P)'!P4147,
    occupancy,'Loan Tape (S&amp;P)'!N4147,
    maturity_date,'Loan Tape (S&amp;P)'!L4147,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48">
      <c r="J4148">
        <f>LET(
    lien,'Loan Tape (S&amp;P)'!Q4148,
    IF(lien="First",1.00,
        IF(lien="Second",1.50,
            1.70)))</f>
        <v/>
      </c>
      <c r="K4148">
        <f>LET(
    purpose,'Loan Tape (S&amp;P)'!R4148,
    IF(purpose="Purchase",1.00,
        IF(purpose="Remortgage",1.00,
            1.20)))</f>
        <v/>
      </c>
      <c r="L4148">
        <f>LET(
    arrears_months,'Loan Tape (S&amp;P)'!AN4148,
    IF(arrears_months=0,1.00,
    IF(arrears_months=1,3.00,
    IF(arrears_months=2,5.00,
    IF(arrears_months=3,8.00,
    IF(arrears_months=4,10.00,
    IF(arrears_months=5,12.00,15.00)))))))</f>
        <v/>
      </c>
      <c r="M4148">
        <f>LET(
    seasoning_years,DATEDIF('Loan Tape (S&amp;P)'!K4148,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48">
        <f>IF(AND('Loan Tape (S&amp;P)'!U4148="Yes",
        'Loan Tape (S&amp;P)'!T4148&lt;&gt;"Yes",
        DATEDIF('Loan Tape (S&amp;P)'!K4148, TODAY(), "M")&lt;18),
    1.10,
    1.00)</f>
        <v/>
      </c>
      <c r="O4148">
        <f>IF('Loan Tape (S&amp;P)'!T4148="Yes",
    1.35,
    1.00)</f>
        <v/>
      </c>
      <c r="P4148">
        <f>IF('Loan Tape (S&amp;P)'!S4148="Yes",
    1.15,
    1.00)</f>
        <v/>
      </c>
      <c r="Q4148">
        <f>IF('Loan Tape (S&amp;P)'!V4148="Yes",
    1.20,
    1.00)</f>
        <v/>
      </c>
      <c r="T4148">
        <f>LET(
    payment_method,'Loan Tape (S&amp;P)'!P4148,
    occupancy,'Loan Tape (S&amp;P)'!N4148,
    maturity_date,'Loan Tape (S&amp;P)'!L4148,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49">
      <c r="J4149">
        <f>LET(
    lien,'Loan Tape (S&amp;P)'!Q4149,
    IF(lien="First",1.00,
        IF(lien="Second",1.50,
            1.70)))</f>
        <v/>
      </c>
      <c r="K4149">
        <f>LET(
    purpose,'Loan Tape (S&amp;P)'!R4149,
    IF(purpose="Purchase",1.00,
        IF(purpose="Remortgage",1.00,
            1.20)))</f>
        <v/>
      </c>
      <c r="L4149">
        <f>LET(
    arrears_months,'Loan Tape (S&amp;P)'!AN4149,
    IF(arrears_months=0,1.00,
    IF(arrears_months=1,3.00,
    IF(arrears_months=2,5.00,
    IF(arrears_months=3,8.00,
    IF(arrears_months=4,10.00,
    IF(arrears_months=5,12.00,15.00)))))))</f>
        <v/>
      </c>
      <c r="M4149">
        <f>LET(
    seasoning_years,DATEDIF('Loan Tape (S&amp;P)'!K4149,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49">
        <f>IF(AND('Loan Tape (S&amp;P)'!U4149="Yes",
        'Loan Tape (S&amp;P)'!T4149&lt;&gt;"Yes",
        DATEDIF('Loan Tape (S&amp;P)'!K4149, TODAY(), "M")&lt;18),
    1.10,
    1.00)</f>
        <v/>
      </c>
      <c r="O4149">
        <f>IF('Loan Tape (S&amp;P)'!T4149="Yes",
    1.35,
    1.00)</f>
        <v/>
      </c>
      <c r="P4149">
        <f>IF('Loan Tape (S&amp;P)'!S4149="Yes",
    1.15,
    1.00)</f>
        <v/>
      </c>
      <c r="Q4149">
        <f>IF('Loan Tape (S&amp;P)'!V4149="Yes",
    1.20,
    1.00)</f>
        <v/>
      </c>
      <c r="T4149">
        <f>LET(
    payment_method,'Loan Tape (S&amp;P)'!P4149,
    occupancy,'Loan Tape (S&amp;P)'!N4149,
    maturity_date,'Loan Tape (S&amp;P)'!L4149,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50">
      <c r="J4150">
        <f>LET(
    lien,'Loan Tape (S&amp;P)'!Q4150,
    IF(lien="First",1.00,
        IF(lien="Second",1.50,
            1.70)))</f>
        <v/>
      </c>
      <c r="K4150">
        <f>LET(
    purpose,'Loan Tape (S&amp;P)'!R4150,
    IF(purpose="Purchase",1.00,
        IF(purpose="Remortgage",1.00,
            1.20)))</f>
        <v/>
      </c>
      <c r="L4150">
        <f>LET(
    arrears_months,'Loan Tape (S&amp;P)'!AN4150,
    IF(arrears_months=0,1.00,
    IF(arrears_months=1,3.00,
    IF(arrears_months=2,5.00,
    IF(arrears_months=3,8.00,
    IF(arrears_months=4,10.00,
    IF(arrears_months=5,12.00,15.00)))))))</f>
        <v/>
      </c>
      <c r="M4150">
        <f>LET(
    seasoning_years,DATEDIF('Loan Tape (S&amp;P)'!K4150,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50">
        <f>IF(AND('Loan Tape (S&amp;P)'!U4150="Yes",
        'Loan Tape (S&amp;P)'!T4150&lt;&gt;"Yes",
        DATEDIF('Loan Tape (S&amp;P)'!K4150, TODAY(), "M")&lt;18),
    1.10,
    1.00)</f>
        <v/>
      </c>
      <c r="O4150">
        <f>IF('Loan Tape (S&amp;P)'!T4150="Yes",
    1.35,
    1.00)</f>
        <v/>
      </c>
      <c r="P4150">
        <f>IF('Loan Tape (S&amp;P)'!S4150="Yes",
    1.15,
    1.00)</f>
        <v/>
      </c>
      <c r="Q4150">
        <f>IF('Loan Tape (S&amp;P)'!V4150="Yes",
    1.20,
    1.00)</f>
        <v/>
      </c>
      <c r="T4150">
        <f>LET(
    payment_method,'Loan Tape (S&amp;P)'!P4150,
    occupancy,'Loan Tape (S&amp;P)'!N4150,
    maturity_date,'Loan Tape (S&amp;P)'!L4150,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51">
      <c r="J4151">
        <f>LET(
    lien,'Loan Tape (S&amp;P)'!Q4151,
    IF(lien="First",1.00,
        IF(lien="Second",1.50,
            1.70)))</f>
        <v/>
      </c>
      <c r="K4151">
        <f>LET(
    purpose,'Loan Tape (S&amp;P)'!R4151,
    IF(purpose="Purchase",1.00,
        IF(purpose="Remortgage",1.00,
            1.20)))</f>
        <v/>
      </c>
      <c r="L4151">
        <f>LET(
    arrears_months,'Loan Tape (S&amp;P)'!AN4151,
    IF(arrears_months=0,1.00,
    IF(arrears_months=1,3.00,
    IF(arrears_months=2,5.00,
    IF(arrears_months=3,8.00,
    IF(arrears_months=4,10.00,
    IF(arrears_months=5,12.00,15.00)))))))</f>
        <v/>
      </c>
      <c r="M4151">
        <f>LET(
    seasoning_years,DATEDIF('Loan Tape (S&amp;P)'!K4151,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51">
        <f>IF(AND('Loan Tape (S&amp;P)'!U4151="Yes",
        'Loan Tape (S&amp;P)'!T4151&lt;&gt;"Yes",
        DATEDIF('Loan Tape (S&amp;P)'!K4151, TODAY(), "M")&lt;18),
    1.10,
    1.00)</f>
        <v/>
      </c>
      <c r="O4151">
        <f>IF('Loan Tape (S&amp;P)'!T4151="Yes",
    1.35,
    1.00)</f>
        <v/>
      </c>
      <c r="P4151">
        <f>IF('Loan Tape (S&amp;P)'!S4151="Yes",
    1.15,
    1.00)</f>
        <v/>
      </c>
      <c r="Q4151">
        <f>IF('Loan Tape (S&amp;P)'!V4151="Yes",
    1.20,
    1.00)</f>
        <v/>
      </c>
      <c r="T4151">
        <f>LET(
    payment_method,'Loan Tape (S&amp;P)'!P4151,
    occupancy,'Loan Tape (S&amp;P)'!N4151,
    maturity_date,'Loan Tape (S&amp;P)'!L4151,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52">
      <c r="J4152">
        <f>LET(
    lien,'Loan Tape (S&amp;P)'!Q4152,
    IF(lien="First",1.00,
        IF(lien="Second",1.50,
            1.70)))</f>
        <v/>
      </c>
      <c r="K4152">
        <f>LET(
    purpose,'Loan Tape (S&amp;P)'!R4152,
    IF(purpose="Purchase",1.00,
        IF(purpose="Remortgage",1.00,
            1.20)))</f>
        <v/>
      </c>
      <c r="L4152">
        <f>LET(
    arrears_months,'Loan Tape (S&amp;P)'!AN4152,
    IF(arrears_months=0,1.00,
    IF(arrears_months=1,3.00,
    IF(arrears_months=2,5.00,
    IF(arrears_months=3,8.00,
    IF(arrears_months=4,10.00,
    IF(arrears_months=5,12.00,15.00)))))))</f>
        <v/>
      </c>
      <c r="M4152">
        <f>LET(
    seasoning_years,DATEDIF('Loan Tape (S&amp;P)'!K4152,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52">
        <f>IF(AND('Loan Tape (S&amp;P)'!U4152="Yes",
        'Loan Tape (S&amp;P)'!T4152&lt;&gt;"Yes",
        DATEDIF('Loan Tape (S&amp;P)'!K4152, TODAY(), "M")&lt;18),
    1.10,
    1.00)</f>
        <v/>
      </c>
      <c r="O4152">
        <f>IF('Loan Tape (S&amp;P)'!T4152="Yes",
    1.35,
    1.00)</f>
        <v/>
      </c>
      <c r="P4152">
        <f>IF('Loan Tape (S&amp;P)'!S4152="Yes",
    1.15,
    1.00)</f>
        <v/>
      </c>
      <c r="Q4152">
        <f>IF('Loan Tape (S&amp;P)'!V4152="Yes",
    1.20,
    1.00)</f>
        <v/>
      </c>
      <c r="T4152">
        <f>LET(
    payment_method,'Loan Tape (S&amp;P)'!P4152,
    occupancy,'Loan Tape (S&amp;P)'!N4152,
    maturity_date,'Loan Tape (S&amp;P)'!L4152,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53">
      <c r="J4153">
        <f>LET(
    lien,'Loan Tape (S&amp;P)'!Q4153,
    IF(lien="First",1.00,
        IF(lien="Second",1.50,
            1.70)))</f>
        <v/>
      </c>
      <c r="K4153">
        <f>LET(
    purpose,'Loan Tape (S&amp;P)'!R4153,
    IF(purpose="Purchase",1.00,
        IF(purpose="Remortgage",1.00,
            1.20)))</f>
        <v/>
      </c>
      <c r="L4153">
        <f>LET(
    arrears_months,'Loan Tape (S&amp;P)'!AN4153,
    IF(arrears_months=0,1.00,
    IF(arrears_months=1,3.00,
    IF(arrears_months=2,5.00,
    IF(arrears_months=3,8.00,
    IF(arrears_months=4,10.00,
    IF(arrears_months=5,12.00,15.00)))))))</f>
        <v/>
      </c>
      <c r="M4153">
        <f>LET(
    seasoning_years,DATEDIF('Loan Tape (S&amp;P)'!K4153,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53">
        <f>IF(AND('Loan Tape (S&amp;P)'!U4153="Yes",
        'Loan Tape (S&amp;P)'!T4153&lt;&gt;"Yes",
        DATEDIF('Loan Tape (S&amp;P)'!K4153, TODAY(), "M")&lt;18),
    1.10,
    1.00)</f>
        <v/>
      </c>
      <c r="O4153">
        <f>IF('Loan Tape (S&amp;P)'!T4153="Yes",
    1.35,
    1.00)</f>
        <v/>
      </c>
      <c r="P4153">
        <f>IF('Loan Tape (S&amp;P)'!S4153="Yes",
    1.15,
    1.00)</f>
        <v/>
      </c>
      <c r="Q4153">
        <f>IF('Loan Tape (S&amp;P)'!V4153="Yes",
    1.20,
    1.00)</f>
        <v/>
      </c>
      <c r="T4153">
        <f>LET(
    payment_method,'Loan Tape (S&amp;P)'!P4153,
    occupancy,'Loan Tape (S&amp;P)'!N4153,
    maturity_date,'Loan Tape (S&amp;P)'!L4153,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54">
      <c r="J4154">
        <f>LET(
    lien,'Loan Tape (S&amp;P)'!Q4154,
    IF(lien="First",1.00,
        IF(lien="Second",1.50,
            1.70)))</f>
        <v/>
      </c>
      <c r="K4154">
        <f>LET(
    purpose,'Loan Tape (S&amp;P)'!R4154,
    IF(purpose="Purchase",1.00,
        IF(purpose="Remortgage",1.00,
            1.20)))</f>
        <v/>
      </c>
      <c r="L4154">
        <f>LET(
    arrears_months,'Loan Tape (S&amp;P)'!AN4154,
    IF(arrears_months=0,1.00,
    IF(arrears_months=1,3.00,
    IF(arrears_months=2,5.00,
    IF(arrears_months=3,8.00,
    IF(arrears_months=4,10.00,
    IF(arrears_months=5,12.00,15.00)))))))</f>
        <v/>
      </c>
      <c r="M4154">
        <f>LET(
    seasoning_years,DATEDIF('Loan Tape (S&amp;P)'!K4154,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54">
        <f>IF(AND('Loan Tape (S&amp;P)'!U4154="Yes",
        'Loan Tape (S&amp;P)'!T4154&lt;&gt;"Yes",
        DATEDIF('Loan Tape (S&amp;P)'!K4154, TODAY(), "M")&lt;18),
    1.10,
    1.00)</f>
        <v/>
      </c>
      <c r="O4154">
        <f>IF('Loan Tape (S&amp;P)'!T4154="Yes",
    1.35,
    1.00)</f>
        <v/>
      </c>
      <c r="P4154">
        <f>IF('Loan Tape (S&amp;P)'!S4154="Yes",
    1.15,
    1.00)</f>
        <v/>
      </c>
      <c r="Q4154">
        <f>IF('Loan Tape (S&amp;P)'!V4154="Yes",
    1.20,
    1.00)</f>
        <v/>
      </c>
      <c r="T4154">
        <f>LET(
    payment_method,'Loan Tape (S&amp;P)'!P4154,
    occupancy,'Loan Tape (S&amp;P)'!N4154,
    maturity_date,'Loan Tape (S&amp;P)'!L4154,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55">
      <c r="J4155">
        <f>LET(
    lien,'Loan Tape (S&amp;P)'!Q4155,
    IF(lien="First",1.00,
        IF(lien="Second",1.50,
            1.70)))</f>
        <v/>
      </c>
      <c r="K4155">
        <f>LET(
    purpose,'Loan Tape (S&amp;P)'!R4155,
    IF(purpose="Purchase",1.00,
        IF(purpose="Remortgage",1.00,
            1.20)))</f>
        <v/>
      </c>
      <c r="L4155">
        <f>LET(
    arrears_months,'Loan Tape (S&amp;P)'!AN4155,
    IF(arrears_months=0,1.00,
    IF(arrears_months=1,3.00,
    IF(arrears_months=2,5.00,
    IF(arrears_months=3,8.00,
    IF(arrears_months=4,10.00,
    IF(arrears_months=5,12.00,15.00)))))))</f>
        <v/>
      </c>
      <c r="M4155">
        <f>LET(
    seasoning_years,DATEDIF('Loan Tape (S&amp;P)'!K4155,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55">
        <f>IF(AND('Loan Tape (S&amp;P)'!U4155="Yes",
        'Loan Tape (S&amp;P)'!T4155&lt;&gt;"Yes",
        DATEDIF('Loan Tape (S&amp;P)'!K4155, TODAY(), "M")&lt;18),
    1.10,
    1.00)</f>
        <v/>
      </c>
      <c r="O4155">
        <f>IF('Loan Tape (S&amp;P)'!T4155="Yes",
    1.35,
    1.00)</f>
        <v/>
      </c>
      <c r="P4155">
        <f>IF('Loan Tape (S&amp;P)'!S4155="Yes",
    1.15,
    1.00)</f>
        <v/>
      </c>
      <c r="Q4155">
        <f>IF('Loan Tape (S&amp;P)'!V4155="Yes",
    1.20,
    1.00)</f>
        <v/>
      </c>
      <c r="T4155">
        <f>LET(
    payment_method,'Loan Tape (S&amp;P)'!P4155,
    occupancy,'Loan Tape (S&amp;P)'!N4155,
    maturity_date,'Loan Tape (S&amp;P)'!L4155,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56">
      <c r="J4156">
        <f>LET(
    lien,'Loan Tape (S&amp;P)'!Q4156,
    IF(lien="First",1.00,
        IF(lien="Second",1.50,
            1.70)))</f>
        <v/>
      </c>
      <c r="K4156">
        <f>LET(
    purpose,'Loan Tape (S&amp;P)'!R4156,
    IF(purpose="Purchase",1.00,
        IF(purpose="Remortgage",1.00,
            1.20)))</f>
        <v/>
      </c>
      <c r="L4156">
        <f>LET(
    arrears_months,'Loan Tape (S&amp;P)'!AN4156,
    IF(arrears_months=0,1.00,
    IF(arrears_months=1,3.00,
    IF(arrears_months=2,5.00,
    IF(arrears_months=3,8.00,
    IF(arrears_months=4,10.00,
    IF(arrears_months=5,12.00,15.00)))))))</f>
        <v/>
      </c>
      <c r="M4156">
        <f>LET(
    seasoning_years,DATEDIF('Loan Tape (S&amp;P)'!K4156,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56">
        <f>IF(AND('Loan Tape (S&amp;P)'!U4156="Yes",
        'Loan Tape (S&amp;P)'!T4156&lt;&gt;"Yes",
        DATEDIF('Loan Tape (S&amp;P)'!K4156, TODAY(), "M")&lt;18),
    1.10,
    1.00)</f>
        <v/>
      </c>
      <c r="O4156">
        <f>IF('Loan Tape (S&amp;P)'!T4156="Yes",
    1.35,
    1.00)</f>
        <v/>
      </c>
      <c r="P4156">
        <f>IF('Loan Tape (S&amp;P)'!S4156="Yes",
    1.15,
    1.00)</f>
        <v/>
      </c>
      <c r="Q4156">
        <f>IF('Loan Tape (S&amp;P)'!V4156="Yes",
    1.20,
    1.00)</f>
        <v/>
      </c>
      <c r="T4156">
        <f>LET(
    payment_method,'Loan Tape (S&amp;P)'!P4156,
    occupancy,'Loan Tape (S&amp;P)'!N4156,
    maturity_date,'Loan Tape (S&amp;P)'!L4156,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57">
      <c r="J4157">
        <f>LET(
    lien,'Loan Tape (S&amp;P)'!Q4157,
    IF(lien="First",1.00,
        IF(lien="Second",1.50,
            1.70)))</f>
        <v/>
      </c>
      <c r="K4157">
        <f>LET(
    purpose,'Loan Tape (S&amp;P)'!R4157,
    IF(purpose="Purchase",1.00,
        IF(purpose="Remortgage",1.00,
            1.20)))</f>
        <v/>
      </c>
      <c r="L4157">
        <f>LET(
    arrears_months,'Loan Tape (S&amp;P)'!AN4157,
    IF(arrears_months=0,1.00,
    IF(arrears_months=1,3.00,
    IF(arrears_months=2,5.00,
    IF(arrears_months=3,8.00,
    IF(arrears_months=4,10.00,
    IF(arrears_months=5,12.00,15.00)))))))</f>
        <v/>
      </c>
      <c r="M4157">
        <f>LET(
    seasoning_years,DATEDIF('Loan Tape (S&amp;P)'!K4157,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57">
        <f>IF(AND('Loan Tape (S&amp;P)'!U4157="Yes",
        'Loan Tape (S&amp;P)'!T4157&lt;&gt;"Yes",
        DATEDIF('Loan Tape (S&amp;P)'!K4157, TODAY(), "M")&lt;18),
    1.10,
    1.00)</f>
        <v/>
      </c>
      <c r="O4157">
        <f>IF('Loan Tape (S&amp;P)'!T4157="Yes",
    1.35,
    1.00)</f>
        <v/>
      </c>
      <c r="P4157">
        <f>IF('Loan Tape (S&amp;P)'!S4157="Yes",
    1.15,
    1.00)</f>
        <v/>
      </c>
      <c r="Q4157">
        <f>IF('Loan Tape (S&amp;P)'!V4157="Yes",
    1.20,
    1.00)</f>
        <v/>
      </c>
      <c r="T4157">
        <f>LET(
    payment_method,'Loan Tape (S&amp;P)'!P4157,
    occupancy,'Loan Tape (S&amp;P)'!N4157,
    maturity_date,'Loan Tape (S&amp;P)'!L4157,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58">
      <c r="J4158">
        <f>LET(
    lien,'Loan Tape (S&amp;P)'!Q4158,
    IF(lien="First",1.00,
        IF(lien="Second",1.50,
            1.70)))</f>
        <v/>
      </c>
      <c r="K4158">
        <f>LET(
    purpose,'Loan Tape (S&amp;P)'!R4158,
    IF(purpose="Purchase",1.00,
        IF(purpose="Remortgage",1.00,
            1.20)))</f>
        <v/>
      </c>
      <c r="L4158">
        <f>LET(
    arrears_months,'Loan Tape (S&amp;P)'!AN4158,
    IF(arrears_months=0,1.00,
    IF(arrears_months=1,3.00,
    IF(arrears_months=2,5.00,
    IF(arrears_months=3,8.00,
    IF(arrears_months=4,10.00,
    IF(arrears_months=5,12.00,15.00)))))))</f>
        <v/>
      </c>
      <c r="M4158">
        <f>LET(
    seasoning_years,DATEDIF('Loan Tape (S&amp;P)'!K4158,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58">
        <f>IF(AND('Loan Tape (S&amp;P)'!U4158="Yes",
        'Loan Tape (S&amp;P)'!T4158&lt;&gt;"Yes",
        DATEDIF('Loan Tape (S&amp;P)'!K4158, TODAY(), "M")&lt;18),
    1.10,
    1.00)</f>
        <v/>
      </c>
      <c r="O4158">
        <f>IF('Loan Tape (S&amp;P)'!T4158="Yes",
    1.35,
    1.00)</f>
        <v/>
      </c>
      <c r="P4158">
        <f>IF('Loan Tape (S&amp;P)'!S4158="Yes",
    1.15,
    1.00)</f>
        <v/>
      </c>
      <c r="Q4158">
        <f>IF('Loan Tape (S&amp;P)'!V4158="Yes",
    1.20,
    1.00)</f>
        <v/>
      </c>
      <c r="T4158">
        <f>LET(
    payment_method,'Loan Tape (S&amp;P)'!P4158,
    occupancy,'Loan Tape (S&amp;P)'!N4158,
    maturity_date,'Loan Tape (S&amp;P)'!L4158,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59">
      <c r="J4159">
        <f>LET(
    lien,'Loan Tape (S&amp;P)'!Q4159,
    IF(lien="First",1.00,
        IF(lien="Second",1.50,
            1.70)))</f>
        <v/>
      </c>
      <c r="K4159">
        <f>LET(
    purpose,'Loan Tape (S&amp;P)'!R4159,
    IF(purpose="Purchase",1.00,
        IF(purpose="Remortgage",1.00,
            1.20)))</f>
        <v/>
      </c>
      <c r="L4159">
        <f>LET(
    arrears_months,'Loan Tape (S&amp;P)'!AN4159,
    IF(arrears_months=0,1.00,
    IF(arrears_months=1,3.00,
    IF(arrears_months=2,5.00,
    IF(arrears_months=3,8.00,
    IF(arrears_months=4,10.00,
    IF(arrears_months=5,12.00,15.00)))))))</f>
        <v/>
      </c>
      <c r="M4159">
        <f>LET(
    seasoning_years,DATEDIF('Loan Tape (S&amp;P)'!K4159,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59">
        <f>IF(AND('Loan Tape (S&amp;P)'!U4159="Yes",
        'Loan Tape (S&amp;P)'!T4159&lt;&gt;"Yes",
        DATEDIF('Loan Tape (S&amp;P)'!K4159, TODAY(), "M")&lt;18),
    1.10,
    1.00)</f>
        <v/>
      </c>
      <c r="O4159">
        <f>IF('Loan Tape (S&amp;P)'!T4159="Yes",
    1.35,
    1.00)</f>
        <v/>
      </c>
      <c r="P4159">
        <f>IF('Loan Tape (S&amp;P)'!S4159="Yes",
    1.15,
    1.00)</f>
        <v/>
      </c>
      <c r="Q4159">
        <f>IF('Loan Tape (S&amp;P)'!V4159="Yes",
    1.20,
    1.00)</f>
        <v/>
      </c>
      <c r="T4159">
        <f>LET(
    payment_method,'Loan Tape (S&amp;P)'!P4159,
    occupancy,'Loan Tape (S&amp;P)'!N4159,
    maturity_date,'Loan Tape (S&amp;P)'!L4159,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60">
      <c r="J4160">
        <f>LET(
    lien,'Loan Tape (S&amp;P)'!Q4160,
    IF(lien="First",1.00,
        IF(lien="Second",1.50,
            1.70)))</f>
        <v/>
      </c>
      <c r="K4160">
        <f>LET(
    purpose,'Loan Tape (S&amp;P)'!R4160,
    IF(purpose="Purchase",1.00,
        IF(purpose="Remortgage",1.00,
            1.20)))</f>
        <v/>
      </c>
      <c r="L4160">
        <f>LET(
    arrears_months,'Loan Tape (S&amp;P)'!AN4160,
    IF(arrears_months=0,1.00,
    IF(arrears_months=1,3.00,
    IF(arrears_months=2,5.00,
    IF(arrears_months=3,8.00,
    IF(arrears_months=4,10.00,
    IF(arrears_months=5,12.00,15.00)))))))</f>
        <v/>
      </c>
      <c r="M4160">
        <f>LET(
    seasoning_years,DATEDIF('Loan Tape (S&amp;P)'!K4160,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60">
        <f>IF(AND('Loan Tape (S&amp;P)'!U4160="Yes",
        'Loan Tape (S&amp;P)'!T4160&lt;&gt;"Yes",
        DATEDIF('Loan Tape (S&amp;P)'!K4160, TODAY(), "M")&lt;18),
    1.10,
    1.00)</f>
        <v/>
      </c>
      <c r="O4160">
        <f>IF('Loan Tape (S&amp;P)'!T4160="Yes",
    1.35,
    1.00)</f>
        <v/>
      </c>
      <c r="P4160">
        <f>IF('Loan Tape (S&amp;P)'!S4160="Yes",
    1.15,
    1.00)</f>
        <v/>
      </c>
      <c r="Q4160">
        <f>IF('Loan Tape (S&amp;P)'!V4160="Yes",
    1.20,
    1.00)</f>
        <v/>
      </c>
      <c r="T4160">
        <f>LET(
    payment_method,'Loan Tape (S&amp;P)'!P4160,
    occupancy,'Loan Tape (S&amp;P)'!N4160,
    maturity_date,'Loan Tape (S&amp;P)'!L4160,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61">
      <c r="J4161">
        <f>LET(
    lien,'Loan Tape (S&amp;P)'!Q4161,
    IF(lien="First",1.00,
        IF(lien="Second",1.50,
            1.70)))</f>
        <v/>
      </c>
      <c r="K4161">
        <f>LET(
    purpose,'Loan Tape (S&amp;P)'!R4161,
    IF(purpose="Purchase",1.00,
        IF(purpose="Remortgage",1.00,
            1.20)))</f>
        <v/>
      </c>
      <c r="L4161">
        <f>LET(
    arrears_months,'Loan Tape (S&amp;P)'!AN4161,
    IF(arrears_months=0,1.00,
    IF(arrears_months=1,3.00,
    IF(arrears_months=2,5.00,
    IF(arrears_months=3,8.00,
    IF(arrears_months=4,10.00,
    IF(arrears_months=5,12.00,15.00)))))))</f>
        <v/>
      </c>
      <c r="M4161">
        <f>LET(
    seasoning_years,DATEDIF('Loan Tape (S&amp;P)'!K4161,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61">
        <f>IF(AND('Loan Tape (S&amp;P)'!U4161="Yes",
        'Loan Tape (S&amp;P)'!T4161&lt;&gt;"Yes",
        DATEDIF('Loan Tape (S&amp;P)'!K4161, TODAY(), "M")&lt;18),
    1.10,
    1.00)</f>
        <v/>
      </c>
      <c r="O4161">
        <f>IF('Loan Tape (S&amp;P)'!T4161="Yes",
    1.35,
    1.00)</f>
        <v/>
      </c>
      <c r="P4161">
        <f>IF('Loan Tape (S&amp;P)'!S4161="Yes",
    1.15,
    1.00)</f>
        <v/>
      </c>
      <c r="Q4161">
        <f>IF('Loan Tape (S&amp;P)'!V4161="Yes",
    1.20,
    1.00)</f>
        <v/>
      </c>
      <c r="T4161">
        <f>LET(
    payment_method,'Loan Tape (S&amp;P)'!P4161,
    occupancy,'Loan Tape (S&amp;P)'!N4161,
    maturity_date,'Loan Tape (S&amp;P)'!L4161,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62">
      <c r="J4162">
        <f>LET(
    lien,'Loan Tape (S&amp;P)'!Q4162,
    IF(lien="First",1.00,
        IF(lien="Second",1.50,
            1.70)))</f>
        <v/>
      </c>
      <c r="K4162">
        <f>LET(
    purpose,'Loan Tape (S&amp;P)'!R4162,
    IF(purpose="Purchase",1.00,
        IF(purpose="Remortgage",1.00,
            1.20)))</f>
        <v/>
      </c>
      <c r="L4162">
        <f>LET(
    arrears_months,'Loan Tape (S&amp;P)'!AN4162,
    IF(arrears_months=0,1.00,
    IF(arrears_months=1,3.00,
    IF(arrears_months=2,5.00,
    IF(arrears_months=3,8.00,
    IF(arrears_months=4,10.00,
    IF(arrears_months=5,12.00,15.00)))))))</f>
        <v/>
      </c>
      <c r="M4162">
        <f>LET(
    seasoning_years,DATEDIF('Loan Tape (S&amp;P)'!K4162,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62">
        <f>IF(AND('Loan Tape (S&amp;P)'!U4162="Yes",
        'Loan Tape (S&amp;P)'!T4162&lt;&gt;"Yes",
        DATEDIF('Loan Tape (S&amp;P)'!K4162, TODAY(), "M")&lt;18),
    1.10,
    1.00)</f>
        <v/>
      </c>
      <c r="O4162">
        <f>IF('Loan Tape (S&amp;P)'!T4162="Yes",
    1.35,
    1.00)</f>
        <v/>
      </c>
      <c r="P4162">
        <f>IF('Loan Tape (S&amp;P)'!S4162="Yes",
    1.15,
    1.00)</f>
        <v/>
      </c>
      <c r="Q4162">
        <f>IF('Loan Tape (S&amp;P)'!V4162="Yes",
    1.20,
    1.00)</f>
        <v/>
      </c>
      <c r="T4162">
        <f>LET(
    payment_method,'Loan Tape (S&amp;P)'!P4162,
    occupancy,'Loan Tape (S&amp;P)'!N4162,
    maturity_date,'Loan Tape (S&amp;P)'!L4162,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63">
      <c r="J4163">
        <f>LET(
    lien,'Loan Tape (S&amp;P)'!Q4163,
    IF(lien="First",1.00,
        IF(lien="Second",1.50,
            1.70)))</f>
        <v/>
      </c>
      <c r="K4163">
        <f>LET(
    purpose,'Loan Tape (S&amp;P)'!R4163,
    IF(purpose="Purchase",1.00,
        IF(purpose="Remortgage",1.00,
            1.20)))</f>
        <v/>
      </c>
      <c r="L4163">
        <f>LET(
    arrears_months,'Loan Tape (S&amp;P)'!AN4163,
    IF(arrears_months=0,1.00,
    IF(arrears_months=1,3.00,
    IF(arrears_months=2,5.00,
    IF(arrears_months=3,8.00,
    IF(arrears_months=4,10.00,
    IF(arrears_months=5,12.00,15.00)))))))</f>
        <v/>
      </c>
      <c r="M4163">
        <f>LET(
    seasoning_years,DATEDIF('Loan Tape (S&amp;P)'!K4163,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63">
        <f>IF(AND('Loan Tape (S&amp;P)'!U4163="Yes",
        'Loan Tape (S&amp;P)'!T4163&lt;&gt;"Yes",
        DATEDIF('Loan Tape (S&amp;P)'!K4163, TODAY(), "M")&lt;18),
    1.10,
    1.00)</f>
        <v/>
      </c>
      <c r="O4163">
        <f>IF('Loan Tape (S&amp;P)'!T4163="Yes",
    1.35,
    1.00)</f>
        <v/>
      </c>
      <c r="P4163">
        <f>IF('Loan Tape (S&amp;P)'!S4163="Yes",
    1.15,
    1.00)</f>
        <v/>
      </c>
      <c r="Q4163">
        <f>IF('Loan Tape (S&amp;P)'!V4163="Yes",
    1.20,
    1.00)</f>
        <v/>
      </c>
      <c r="T4163">
        <f>LET(
    payment_method,'Loan Tape (S&amp;P)'!P4163,
    occupancy,'Loan Tape (S&amp;P)'!N4163,
    maturity_date,'Loan Tape (S&amp;P)'!L4163,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64">
      <c r="J4164">
        <f>LET(
    lien,'Loan Tape (S&amp;P)'!Q4164,
    IF(lien="First",1.00,
        IF(lien="Second",1.50,
            1.70)))</f>
        <v/>
      </c>
      <c r="K4164">
        <f>LET(
    purpose,'Loan Tape (S&amp;P)'!R4164,
    IF(purpose="Purchase",1.00,
        IF(purpose="Remortgage",1.00,
            1.20)))</f>
        <v/>
      </c>
      <c r="L4164">
        <f>LET(
    arrears_months,'Loan Tape (S&amp;P)'!AN4164,
    IF(arrears_months=0,1.00,
    IF(arrears_months=1,3.00,
    IF(arrears_months=2,5.00,
    IF(arrears_months=3,8.00,
    IF(arrears_months=4,10.00,
    IF(arrears_months=5,12.00,15.00)))))))</f>
        <v/>
      </c>
      <c r="M4164">
        <f>LET(
    seasoning_years,DATEDIF('Loan Tape (S&amp;P)'!K4164,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64">
        <f>IF(AND('Loan Tape (S&amp;P)'!U4164="Yes",
        'Loan Tape (S&amp;P)'!T4164&lt;&gt;"Yes",
        DATEDIF('Loan Tape (S&amp;P)'!K4164, TODAY(), "M")&lt;18),
    1.10,
    1.00)</f>
        <v/>
      </c>
      <c r="O4164">
        <f>IF('Loan Tape (S&amp;P)'!T4164="Yes",
    1.35,
    1.00)</f>
        <v/>
      </c>
      <c r="P4164">
        <f>IF('Loan Tape (S&amp;P)'!S4164="Yes",
    1.15,
    1.00)</f>
        <v/>
      </c>
      <c r="Q4164">
        <f>IF('Loan Tape (S&amp;P)'!V4164="Yes",
    1.20,
    1.00)</f>
        <v/>
      </c>
      <c r="T4164">
        <f>LET(
    payment_method,'Loan Tape (S&amp;P)'!P4164,
    occupancy,'Loan Tape (S&amp;P)'!N4164,
    maturity_date,'Loan Tape (S&amp;P)'!L4164,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65">
      <c r="J4165">
        <f>LET(
    lien,'Loan Tape (S&amp;P)'!Q4165,
    IF(lien="First",1.00,
        IF(lien="Second",1.50,
            1.70)))</f>
        <v/>
      </c>
      <c r="K4165">
        <f>LET(
    purpose,'Loan Tape (S&amp;P)'!R4165,
    IF(purpose="Purchase",1.00,
        IF(purpose="Remortgage",1.00,
            1.20)))</f>
        <v/>
      </c>
      <c r="L4165">
        <f>LET(
    arrears_months,'Loan Tape (S&amp;P)'!AN4165,
    IF(arrears_months=0,1.00,
    IF(arrears_months=1,3.00,
    IF(arrears_months=2,5.00,
    IF(arrears_months=3,8.00,
    IF(arrears_months=4,10.00,
    IF(arrears_months=5,12.00,15.00)))))))</f>
        <v/>
      </c>
      <c r="M4165">
        <f>LET(
    seasoning_years,DATEDIF('Loan Tape (S&amp;P)'!K4165,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65">
        <f>IF(AND('Loan Tape (S&amp;P)'!U4165="Yes",
        'Loan Tape (S&amp;P)'!T4165&lt;&gt;"Yes",
        DATEDIF('Loan Tape (S&amp;P)'!K4165, TODAY(), "M")&lt;18),
    1.10,
    1.00)</f>
        <v/>
      </c>
      <c r="O4165">
        <f>IF('Loan Tape (S&amp;P)'!T4165="Yes",
    1.35,
    1.00)</f>
        <v/>
      </c>
      <c r="P4165">
        <f>IF('Loan Tape (S&amp;P)'!S4165="Yes",
    1.15,
    1.00)</f>
        <v/>
      </c>
      <c r="Q4165">
        <f>IF('Loan Tape (S&amp;P)'!V4165="Yes",
    1.20,
    1.00)</f>
        <v/>
      </c>
      <c r="T4165">
        <f>LET(
    payment_method,'Loan Tape (S&amp;P)'!P4165,
    occupancy,'Loan Tape (S&amp;P)'!N4165,
    maturity_date,'Loan Tape (S&amp;P)'!L4165,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66">
      <c r="J4166">
        <f>LET(
    lien,'Loan Tape (S&amp;P)'!Q4166,
    IF(lien="First",1.00,
        IF(lien="Second",1.50,
            1.70)))</f>
        <v/>
      </c>
      <c r="K4166">
        <f>LET(
    purpose,'Loan Tape (S&amp;P)'!R4166,
    IF(purpose="Purchase",1.00,
        IF(purpose="Remortgage",1.00,
            1.20)))</f>
        <v/>
      </c>
      <c r="L4166">
        <f>LET(
    arrears_months,'Loan Tape (S&amp;P)'!AN4166,
    IF(arrears_months=0,1.00,
    IF(arrears_months=1,3.00,
    IF(arrears_months=2,5.00,
    IF(arrears_months=3,8.00,
    IF(arrears_months=4,10.00,
    IF(arrears_months=5,12.00,15.00)))))))</f>
        <v/>
      </c>
      <c r="M4166">
        <f>LET(
    seasoning_years,DATEDIF('Loan Tape (S&amp;P)'!K4166,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66">
        <f>IF(AND('Loan Tape (S&amp;P)'!U4166="Yes",
        'Loan Tape (S&amp;P)'!T4166&lt;&gt;"Yes",
        DATEDIF('Loan Tape (S&amp;P)'!K4166, TODAY(), "M")&lt;18),
    1.10,
    1.00)</f>
        <v/>
      </c>
      <c r="O4166">
        <f>IF('Loan Tape (S&amp;P)'!T4166="Yes",
    1.35,
    1.00)</f>
        <v/>
      </c>
      <c r="P4166">
        <f>IF('Loan Tape (S&amp;P)'!S4166="Yes",
    1.15,
    1.00)</f>
        <v/>
      </c>
      <c r="Q4166">
        <f>IF('Loan Tape (S&amp;P)'!V4166="Yes",
    1.20,
    1.00)</f>
        <v/>
      </c>
      <c r="T4166">
        <f>LET(
    payment_method,'Loan Tape (S&amp;P)'!P4166,
    occupancy,'Loan Tape (S&amp;P)'!N4166,
    maturity_date,'Loan Tape (S&amp;P)'!L4166,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67">
      <c r="J4167">
        <f>LET(
    lien,'Loan Tape (S&amp;P)'!Q4167,
    IF(lien="First",1.00,
        IF(lien="Second",1.50,
            1.70)))</f>
        <v/>
      </c>
      <c r="K4167">
        <f>LET(
    purpose,'Loan Tape (S&amp;P)'!R4167,
    IF(purpose="Purchase",1.00,
        IF(purpose="Remortgage",1.00,
            1.20)))</f>
        <v/>
      </c>
      <c r="L4167">
        <f>LET(
    arrears_months,'Loan Tape (S&amp;P)'!AN4167,
    IF(arrears_months=0,1.00,
    IF(arrears_months=1,3.00,
    IF(arrears_months=2,5.00,
    IF(arrears_months=3,8.00,
    IF(arrears_months=4,10.00,
    IF(arrears_months=5,12.00,15.00)))))))</f>
        <v/>
      </c>
      <c r="M4167">
        <f>LET(
    seasoning_years,DATEDIF('Loan Tape (S&amp;P)'!K4167,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67">
        <f>IF(AND('Loan Tape (S&amp;P)'!U4167="Yes",
        'Loan Tape (S&amp;P)'!T4167&lt;&gt;"Yes",
        DATEDIF('Loan Tape (S&amp;P)'!K4167, TODAY(), "M")&lt;18),
    1.10,
    1.00)</f>
        <v/>
      </c>
      <c r="O4167">
        <f>IF('Loan Tape (S&amp;P)'!T4167="Yes",
    1.35,
    1.00)</f>
        <v/>
      </c>
      <c r="P4167">
        <f>IF('Loan Tape (S&amp;P)'!S4167="Yes",
    1.15,
    1.00)</f>
        <v/>
      </c>
      <c r="Q4167">
        <f>IF('Loan Tape (S&amp;P)'!V4167="Yes",
    1.20,
    1.00)</f>
        <v/>
      </c>
      <c r="T4167">
        <f>LET(
    payment_method,'Loan Tape (S&amp;P)'!P4167,
    occupancy,'Loan Tape (S&amp;P)'!N4167,
    maturity_date,'Loan Tape (S&amp;P)'!L4167,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68">
      <c r="J4168">
        <f>LET(
    lien,'Loan Tape (S&amp;P)'!Q4168,
    IF(lien="First",1.00,
        IF(lien="Second",1.50,
            1.70)))</f>
        <v/>
      </c>
      <c r="K4168">
        <f>LET(
    purpose,'Loan Tape (S&amp;P)'!R4168,
    IF(purpose="Purchase",1.00,
        IF(purpose="Remortgage",1.00,
            1.20)))</f>
        <v/>
      </c>
      <c r="L4168">
        <f>LET(
    arrears_months,'Loan Tape (S&amp;P)'!AN4168,
    IF(arrears_months=0,1.00,
    IF(arrears_months=1,3.00,
    IF(arrears_months=2,5.00,
    IF(arrears_months=3,8.00,
    IF(arrears_months=4,10.00,
    IF(arrears_months=5,12.00,15.00)))))))</f>
        <v/>
      </c>
      <c r="M4168">
        <f>LET(
    seasoning_years,DATEDIF('Loan Tape (S&amp;P)'!K4168,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68">
        <f>IF(AND('Loan Tape (S&amp;P)'!U4168="Yes",
        'Loan Tape (S&amp;P)'!T4168&lt;&gt;"Yes",
        DATEDIF('Loan Tape (S&amp;P)'!K4168, TODAY(), "M")&lt;18),
    1.10,
    1.00)</f>
        <v/>
      </c>
      <c r="O4168">
        <f>IF('Loan Tape (S&amp;P)'!T4168="Yes",
    1.35,
    1.00)</f>
        <v/>
      </c>
      <c r="P4168">
        <f>IF('Loan Tape (S&amp;P)'!S4168="Yes",
    1.15,
    1.00)</f>
        <v/>
      </c>
      <c r="Q4168">
        <f>IF('Loan Tape (S&amp;P)'!V4168="Yes",
    1.20,
    1.00)</f>
        <v/>
      </c>
      <c r="T4168">
        <f>LET(
    payment_method,'Loan Tape (S&amp;P)'!P4168,
    occupancy,'Loan Tape (S&amp;P)'!N4168,
    maturity_date,'Loan Tape (S&amp;P)'!L4168,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69">
      <c r="J4169">
        <f>LET(
    lien,'Loan Tape (S&amp;P)'!Q4169,
    IF(lien="First",1.00,
        IF(lien="Second",1.50,
            1.70)))</f>
        <v/>
      </c>
      <c r="K4169">
        <f>LET(
    purpose,'Loan Tape (S&amp;P)'!R4169,
    IF(purpose="Purchase",1.00,
        IF(purpose="Remortgage",1.00,
            1.20)))</f>
        <v/>
      </c>
      <c r="L4169">
        <f>LET(
    arrears_months,'Loan Tape (S&amp;P)'!AN4169,
    IF(arrears_months=0,1.00,
    IF(arrears_months=1,3.00,
    IF(arrears_months=2,5.00,
    IF(arrears_months=3,8.00,
    IF(arrears_months=4,10.00,
    IF(arrears_months=5,12.00,15.00)))))))</f>
        <v/>
      </c>
      <c r="M4169">
        <f>LET(
    seasoning_years,DATEDIF('Loan Tape (S&amp;P)'!K4169,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69">
        <f>IF(AND('Loan Tape (S&amp;P)'!U4169="Yes",
        'Loan Tape (S&amp;P)'!T4169&lt;&gt;"Yes",
        DATEDIF('Loan Tape (S&amp;P)'!K4169, TODAY(), "M")&lt;18),
    1.10,
    1.00)</f>
        <v/>
      </c>
      <c r="O4169">
        <f>IF('Loan Tape (S&amp;P)'!T4169="Yes",
    1.35,
    1.00)</f>
        <v/>
      </c>
      <c r="P4169">
        <f>IF('Loan Tape (S&amp;P)'!S4169="Yes",
    1.15,
    1.00)</f>
        <v/>
      </c>
      <c r="Q4169">
        <f>IF('Loan Tape (S&amp;P)'!V4169="Yes",
    1.20,
    1.00)</f>
        <v/>
      </c>
      <c r="T4169">
        <f>LET(
    payment_method,'Loan Tape (S&amp;P)'!P4169,
    occupancy,'Loan Tape (S&amp;P)'!N4169,
    maturity_date,'Loan Tape (S&amp;P)'!L4169,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70">
      <c r="J4170">
        <f>LET(
    lien,'Loan Tape (S&amp;P)'!Q4170,
    IF(lien="First",1.00,
        IF(lien="Second",1.50,
            1.70)))</f>
        <v/>
      </c>
      <c r="K4170">
        <f>LET(
    purpose,'Loan Tape (S&amp;P)'!R4170,
    IF(purpose="Purchase",1.00,
        IF(purpose="Remortgage",1.00,
            1.20)))</f>
        <v/>
      </c>
      <c r="L4170">
        <f>LET(
    arrears_months,'Loan Tape (S&amp;P)'!AN4170,
    IF(arrears_months=0,1.00,
    IF(arrears_months=1,3.00,
    IF(arrears_months=2,5.00,
    IF(arrears_months=3,8.00,
    IF(arrears_months=4,10.00,
    IF(arrears_months=5,12.00,15.00)))))))</f>
        <v/>
      </c>
      <c r="M4170">
        <f>LET(
    seasoning_years,DATEDIF('Loan Tape (S&amp;P)'!K4170,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70">
        <f>IF(AND('Loan Tape (S&amp;P)'!U4170="Yes",
        'Loan Tape (S&amp;P)'!T4170&lt;&gt;"Yes",
        DATEDIF('Loan Tape (S&amp;P)'!K4170, TODAY(), "M")&lt;18),
    1.10,
    1.00)</f>
        <v/>
      </c>
      <c r="O4170">
        <f>IF('Loan Tape (S&amp;P)'!T4170="Yes",
    1.35,
    1.00)</f>
        <v/>
      </c>
      <c r="P4170">
        <f>IF('Loan Tape (S&amp;P)'!S4170="Yes",
    1.15,
    1.00)</f>
        <v/>
      </c>
      <c r="Q4170">
        <f>IF('Loan Tape (S&amp;P)'!V4170="Yes",
    1.20,
    1.00)</f>
        <v/>
      </c>
      <c r="T4170">
        <f>LET(
    payment_method,'Loan Tape (S&amp;P)'!P4170,
    occupancy,'Loan Tape (S&amp;P)'!N4170,
    maturity_date,'Loan Tape (S&amp;P)'!L4170,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71">
      <c r="J4171">
        <f>LET(
    lien,'Loan Tape (S&amp;P)'!Q4171,
    IF(lien="First",1.00,
        IF(lien="Second",1.50,
            1.70)))</f>
        <v/>
      </c>
      <c r="K4171">
        <f>LET(
    purpose,'Loan Tape (S&amp;P)'!R4171,
    IF(purpose="Purchase",1.00,
        IF(purpose="Remortgage",1.00,
            1.20)))</f>
        <v/>
      </c>
      <c r="L4171">
        <f>LET(
    arrears_months,'Loan Tape (S&amp;P)'!AN4171,
    IF(arrears_months=0,1.00,
    IF(arrears_months=1,3.00,
    IF(arrears_months=2,5.00,
    IF(arrears_months=3,8.00,
    IF(arrears_months=4,10.00,
    IF(arrears_months=5,12.00,15.00)))))))</f>
        <v/>
      </c>
      <c r="M4171">
        <f>LET(
    seasoning_years,DATEDIF('Loan Tape (S&amp;P)'!K4171,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71">
        <f>IF(AND('Loan Tape (S&amp;P)'!U4171="Yes",
        'Loan Tape (S&amp;P)'!T4171&lt;&gt;"Yes",
        DATEDIF('Loan Tape (S&amp;P)'!K4171, TODAY(), "M")&lt;18),
    1.10,
    1.00)</f>
        <v/>
      </c>
      <c r="O4171">
        <f>IF('Loan Tape (S&amp;P)'!T4171="Yes",
    1.35,
    1.00)</f>
        <v/>
      </c>
      <c r="P4171">
        <f>IF('Loan Tape (S&amp;P)'!S4171="Yes",
    1.15,
    1.00)</f>
        <v/>
      </c>
      <c r="Q4171">
        <f>IF('Loan Tape (S&amp;P)'!V4171="Yes",
    1.20,
    1.00)</f>
        <v/>
      </c>
      <c r="T4171">
        <f>LET(
    payment_method,'Loan Tape (S&amp;P)'!P4171,
    occupancy,'Loan Tape (S&amp;P)'!N4171,
    maturity_date,'Loan Tape (S&amp;P)'!L4171,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72">
      <c r="J4172">
        <f>LET(
    lien,'Loan Tape (S&amp;P)'!Q4172,
    IF(lien="First",1.00,
        IF(lien="Second",1.50,
            1.70)))</f>
        <v/>
      </c>
      <c r="K4172">
        <f>LET(
    purpose,'Loan Tape (S&amp;P)'!R4172,
    IF(purpose="Purchase",1.00,
        IF(purpose="Remortgage",1.00,
            1.20)))</f>
        <v/>
      </c>
      <c r="L4172">
        <f>LET(
    arrears_months,'Loan Tape (S&amp;P)'!AN4172,
    IF(arrears_months=0,1.00,
    IF(arrears_months=1,3.00,
    IF(arrears_months=2,5.00,
    IF(arrears_months=3,8.00,
    IF(arrears_months=4,10.00,
    IF(arrears_months=5,12.00,15.00)))))))</f>
        <v/>
      </c>
      <c r="M4172">
        <f>LET(
    seasoning_years,DATEDIF('Loan Tape (S&amp;P)'!K4172,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72">
        <f>IF(AND('Loan Tape (S&amp;P)'!U4172="Yes",
        'Loan Tape (S&amp;P)'!T4172&lt;&gt;"Yes",
        DATEDIF('Loan Tape (S&amp;P)'!K4172, TODAY(), "M")&lt;18),
    1.10,
    1.00)</f>
        <v/>
      </c>
      <c r="O4172">
        <f>IF('Loan Tape (S&amp;P)'!T4172="Yes",
    1.35,
    1.00)</f>
        <v/>
      </c>
      <c r="P4172">
        <f>IF('Loan Tape (S&amp;P)'!S4172="Yes",
    1.15,
    1.00)</f>
        <v/>
      </c>
      <c r="Q4172">
        <f>IF('Loan Tape (S&amp;P)'!V4172="Yes",
    1.20,
    1.00)</f>
        <v/>
      </c>
      <c r="T4172">
        <f>LET(
    payment_method,'Loan Tape (S&amp;P)'!P4172,
    occupancy,'Loan Tape (S&amp;P)'!N4172,
    maturity_date,'Loan Tape (S&amp;P)'!L4172,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73">
      <c r="J4173">
        <f>LET(
    lien,'Loan Tape (S&amp;P)'!Q4173,
    IF(lien="First",1.00,
        IF(lien="Second",1.50,
            1.70)))</f>
        <v/>
      </c>
      <c r="K4173">
        <f>LET(
    purpose,'Loan Tape (S&amp;P)'!R4173,
    IF(purpose="Purchase",1.00,
        IF(purpose="Remortgage",1.00,
            1.20)))</f>
        <v/>
      </c>
      <c r="L4173">
        <f>LET(
    arrears_months,'Loan Tape (S&amp;P)'!AN4173,
    IF(arrears_months=0,1.00,
    IF(arrears_months=1,3.00,
    IF(arrears_months=2,5.00,
    IF(arrears_months=3,8.00,
    IF(arrears_months=4,10.00,
    IF(arrears_months=5,12.00,15.00)))))))</f>
        <v/>
      </c>
      <c r="M4173">
        <f>LET(
    seasoning_years,DATEDIF('Loan Tape (S&amp;P)'!K4173,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73">
        <f>IF(AND('Loan Tape (S&amp;P)'!U4173="Yes",
        'Loan Tape (S&amp;P)'!T4173&lt;&gt;"Yes",
        DATEDIF('Loan Tape (S&amp;P)'!K4173, TODAY(), "M")&lt;18),
    1.10,
    1.00)</f>
        <v/>
      </c>
      <c r="O4173">
        <f>IF('Loan Tape (S&amp;P)'!T4173="Yes",
    1.35,
    1.00)</f>
        <v/>
      </c>
      <c r="P4173">
        <f>IF('Loan Tape (S&amp;P)'!S4173="Yes",
    1.15,
    1.00)</f>
        <v/>
      </c>
      <c r="Q4173">
        <f>IF('Loan Tape (S&amp;P)'!V4173="Yes",
    1.20,
    1.00)</f>
        <v/>
      </c>
      <c r="T4173">
        <f>LET(
    payment_method,'Loan Tape (S&amp;P)'!P4173,
    occupancy,'Loan Tape (S&amp;P)'!N4173,
    maturity_date,'Loan Tape (S&amp;P)'!L4173,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74">
      <c r="J4174">
        <f>LET(
    lien,'Loan Tape (S&amp;P)'!Q4174,
    IF(lien="First",1.00,
        IF(lien="Second",1.50,
            1.70)))</f>
        <v/>
      </c>
      <c r="K4174">
        <f>LET(
    purpose,'Loan Tape (S&amp;P)'!R4174,
    IF(purpose="Purchase",1.00,
        IF(purpose="Remortgage",1.00,
            1.20)))</f>
        <v/>
      </c>
      <c r="L4174">
        <f>LET(
    arrears_months,'Loan Tape (S&amp;P)'!AN4174,
    IF(arrears_months=0,1.00,
    IF(arrears_months=1,3.00,
    IF(arrears_months=2,5.00,
    IF(arrears_months=3,8.00,
    IF(arrears_months=4,10.00,
    IF(arrears_months=5,12.00,15.00)))))))</f>
        <v/>
      </c>
      <c r="M4174">
        <f>LET(
    seasoning_years,DATEDIF('Loan Tape (S&amp;P)'!K4174,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74">
        <f>IF(AND('Loan Tape (S&amp;P)'!U4174="Yes",
        'Loan Tape (S&amp;P)'!T4174&lt;&gt;"Yes",
        DATEDIF('Loan Tape (S&amp;P)'!K4174, TODAY(), "M")&lt;18),
    1.10,
    1.00)</f>
        <v/>
      </c>
      <c r="O4174">
        <f>IF('Loan Tape (S&amp;P)'!T4174="Yes",
    1.35,
    1.00)</f>
        <v/>
      </c>
      <c r="P4174">
        <f>IF('Loan Tape (S&amp;P)'!S4174="Yes",
    1.15,
    1.00)</f>
        <v/>
      </c>
      <c r="Q4174">
        <f>IF('Loan Tape (S&amp;P)'!V4174="Yes",
    1.20,
    1.00)</f>
        <v/>
      </c>
      <c r="T4174">
        <f>LET(
    payment_method,'Loan Tape (S&amp;P)'!P4174,
    occupancy,'Loan Tape (S&amp;P)'!N4174,
    maturity_date,'Loan Tape (S&amp;P)'!L4174,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75">
      <c r="J4175">
        <f>LET(
    lien,'Loan Tape (S&amp;P)'!Q4175,
    IF(lien="First",1.00,
        IF(lien="Second",1.50,
            1.70)))</f>
        <v/>
      </c>
      <c r="K4175">
        <f>LET(
    purpose,'Loan Tape (S&amp;P)'!R4175,
    IF(purpose="Purchase",1.00,
        IF(purpose="Remortgage",1.00,
            1.20)))</f>
        <v/>
      </c>
      <c r="L4175">
        <f>LET(
    arrears_months,'Loan Tape (S&amp;P)'!AN4175,
    IF(arrears_months=0,1.00,
    IF(arrears_months=1,3.00,
    IF(arrears_months=2,5.00,
    IF(arrears_months=3,8.00,
    IF(arrears_months=4,10.00,
    IF(arrears_months=5,12.00,15.00)))))))</f>
        <v/>
      </c>
      <c r="M4175">
        <f>LET(
    seasoning_years,DATEDIF('Loan Tape (S&amp;P)'!K4175,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75">
        <f>IF(AND('Loan Tape (S&amp;P)'!U4175="Yes",
        'Loan Tape (S&amp;P)'!T4175&lt;&gt;"Yes",
        DATEDIF('Loan Tape (S&amp;P)'!K4175, TODAY(), "M")&lt;18),
    1.10,
    1.00)</f>
        <v/>
      </c>
      <c r="O4175">
        <f>IF('Loan Tape (S&amp;P)'!T4175="Yes",
    1.35,
    1.00)</f>
        <v/>
      </c>
      <c r="P4175">
        <f>IF('Loan Tape (S&amp;P)'!S4175="Yes",
    1.15,
    1.00)</f>
        <v/>
      </c>
      <c r="Q4175">
        <f>IF('Loan Tape (S&amp;P)'!V4175="Yes",
    1.20,
    1.00)</f>
        <v/>
      </c>
      <c r="T4175">
        <f>LET(
    payment_method,'Loan Tape (S&amp;P)'!P4175,
    occupancy,'Loan Tape (S&amp;P)'!N4175,
    maturity_date,'Loan Tape (S&amp;P)'!L4175,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76">
      <c r="J4176">
        <f>LET(
    lien,'Loan Tape (S&amp;P)'!Q4176,
    IF(lien="First",1.00,
        IF(lien="Second",1.50,
            1.70)))</f>
        <v/>
      </c>
      <c r="K4176">
        <f>LET(
    purpose,'Loan Tape (S&amp;P)'!R4176,
    IF(purpose="Purchase",1.00,
        IF(purpose="Remortgage",1.00,
            1.20)))</f>
        <v/>
      </c>
      <c r="L4176">
        <f>LET(
    arrears_months,'Loan Tape (S&amp;P)'!AN4176,
    IF(arrears_months=0,1.00,
    IF(arrears_months=1,3.00,
    IF(arrears_months=2,5.00,
    IF(arrears_months=3,8.00,
    IF(arrears_months=4,10.00,
    IF(arrears_months=5,12.00,15.00)))))))</f>
        <v/>
      </c>
      <c r="M4176">
        <f>LET(
    seasoning_years,DATEDIF('Loan Tape (S&amp;P)'!K4176,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76">
        <f>IF(AND('Loan Tape (S&amp;P)'!U4176="Yes",
        'Loan Tape (S&amp;P)'!T4176&lt;&gt;"Yes",
        DATEDIF('Loan Tape (S&amp;P)'!K4176, TODAY(), "M")&lt;18),
    1.10,
    1.00)</f>
        <v/>
      </c>
      <c r="O4176">
        <f>IF('Loan Tape (S&amp;P)'!T4176="Yes",
    1.35,
    1.00)</f>
        <v/>
      </c>
      <c r="P4176">
        <f>IF('Loan Tape (S&amp;P)'!S4176="Yes",
    1.15,
    1.00)</f>
        <v/>
      </c>
      <c r="Q4176">
        <f>IF('Loan Tape (S&amp;P)'!V4176="Yes",
    1.20,
    1.00)</f>
        <v/>
      </c>
      <c r="T4176">
        <f>LET(
    payment_method,'Loan Tape (S&amp;P)'!P4176,
    occupancy,'Loan Tape (S&amp;P)'!N4176,
    maturity_date,'Loan Tape (S&amp;P)'!L4176,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77">
      <c r="J4177">
        <f>LET(
    lien,'Loan Tape (S&amp;P)'!Q4177,
    IF(lien="First",1.00,
        IF(lien="Second",1.50,
            1.70)))</f>
        <v/>
      </c>
      <c r="K4177">
        <f>LET(
    purpose,'Loan Tape (S&amp;P)'!R4177,
    IF(purpose="Purchase",1.00,
        IF(purpose="Remortgage",1.00,
            1.20)))</f>
        <v/>
      </c>
      <c r="L4177">
        <f>LET(
    arrears_months,'Loan Tape (S&amp;P)'!AN4177,
    IF(arrears_months=0,1.00,
    IF(arrears_months=1,3.00,
    IF(arrears_months=2,5.00,
    IF(arrears_months=3,8.00,
    IF(arrears_months=4,10.00,
    IF(arrears_months=5,12.00,15.00)))))))</f>
        <v/>
      </c>
      <c r="M4177">
        <f>LET(
    seasoning_years,DATEDIF('Loan Tape (S&amp;P)'!K4177,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77">
        <f>IF(AND('Loan Tape (S&amp;P)'!U4177="Yes",
        'Loan Tape (S&amp;P)'!T4177&lt;&gt;"Yes",
        DATEDIF('Loan Tape (S&amp;P)'!K4177, TODAY(), "M")&lt;18),
    1.10,
    1.00)</f>
        <v/>
      </c>
      <c r="O4177">
        <f>IF('Loan Tape (S&amp;P)'!T4177="Yes",
    1.35,
    1.00)</f>
        <v/>
      </c>
      <c r="P4177">
        <f>IF('Loan Tape (S&amp;P)'!S4177="Yes",
    1.15,
    1.00)</f>
        <v/>
      </c>
      <c r="Q4177">
        <f>IF('Loan Tape (S&amp;P)'!V4177="Yes",
    1.20,
    1.00)</f>
        <v/>
      </c>
      <c r="T4177">
        <f>LET(
    payment_method,'Loan Tape (S&amp;P)'!P4177,
    occupancy,'Loan Tape (S&amp;P)'!N4177,
    maturity_date,'Loan Tape (S&amp;P)'!L4177,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78">
      <c r="J4178">
        <f>LET(
    lien,'Loan Tape (S&amp;P)'!Q4178,
    IF(lien="First",1.00,
        IF(lien="Second",1.50,
            1.70)))</f>
        <v/>
      </c>
      <c r="K4178">
        <f>LET(
    purpose,'Loan Tape (S&amp;P)'!R4178,
    IF(purpose="Purchase",1.00,
        IF(purpose="Remortgage",1.00,
            1.20)))</f>
        <v/>
      </c>
      <c r="L4178">
        <f>LET(
    arrears_months,'Loan Tape (S&amp;P)'!AN4178,
    IF(arrears_months=0,1.00,
    IF(arrears_months=1,3.00,
    IF(arrears_months=2,5.00,
    IF(arrears_months=3,8.00,
    IF(arrears_months=4,10.00,
    IF(arrears_months=5,12.00,15.00)))))))</f>
        <v/>
      </c>
      <c r="M4178">
        <f>LET(
    seasoning_years,DATEDIF('Loan Tape (S&amp;P)'!K4178,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78">
        <f>IF(AND('Loan Tape (S&amp;P)'!U4178="Yes",
        'Loan Tape (S&amp;P)'!T4178&lt;&gt;"Yes",
        DATEDIF('Loan Tape (S&amp;P)'!K4178, TODAY(), "M")&lt;18),
    1.10,
    1.00)</f>
        <v/>
      </c>
      <c r="O4178">
        <f>IF('Loan Tape (S&amp;P)'!T4178="Yes",
    1.35,
    1.00)</f>
        <v/>
      </c>
      <c r="P4178">
        <f>IF('Loan Tape (S&amp;P)'!S4178="Yes",
    1.15,
    1.00)</f>
        <v/>
      </c>
      <c r="Q4178">
        <f>IF('Loan Tape (S&amp;P)'!V4178="Yes",
    1.20,
    1.00)</f>
        <v/>
      </c>
      <c r="T4178">
        <f>LET(
    payment_method,'Loan Tape (S&amp;P)'!P4178,
    occupancy,'Loan Tape (S&amp;P)'!N4178,
    maturity_date,'Loan Tape (S&amp;P)'!L4178,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79">
      <c r="J4179">
        <f>LET(
    lien,'Loan Tape (S&amp;P)'!Q4179,
    IF(lien="First",1.00,
        IF(lien="Second",1.50,
            1.70)))</f>
        <v/>
      </c>
      <c r="K4179">
        <f>LET(
    purpose,'Loan Tape (S&amp;P)'!R4179,
    IF(purpose="Purchase",1.00,
        IF(purpose="Remortgage",1.00,
            1.20)))</f>
        <v/>
      </c>
      <c r="L4179">
        <f>LET(
    arrears_months,'Loan Tape (S&amp;P)'!AN4179,
    IF(arrears_months=0,1.00,
    IF(arrears_months=1,3.00,
    IF(arrears_months=2,5.00,
    IF(arrears_months=3,8.00,
    IF(arrears_months=4,10.00,
    IF(arrears_months=5,12.00,15.00)))))))</f>
        <v/>
      </c>
      <c r="M4179">
        <f>LET(
    seasoning_years,DATEDIF('Loan Tape (S&amp;P)'!K4179,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79">
        <f>IF(AND('Loan Tape (S&amp;P)'!U4179="Yes",
        'Loan Tape (S&amp;P)'!T4179&lt;&gt;"Yes",
        DATEDIF('Loan Tape (S&amp;P)'!K4179, TODAY(), "M")&lt;18),
    1.10,
    1.00)</f>
        <v/>
      </c>
      <c r="O4179">
        <f>IF('Loan Tape (S&amp;P)'!T4179="Yes",
    1.35,
    1.00)</f>
        <v/>
      </c>
      <c r="P4179">
        <f>IF('Loan Tape (S&amp;P)'!S4179="Yes",
    1.15,
    1.00)</f>
        <v/>
      </c>
      <c r="Q4179">
        <f>IF('Loan Tape (S&amp;P)'!V4179="Yes",
    1.20,
    1.00)</f>
        <v/>
      </c>
      <c r="T4179">
        <f>LET(
    payment_method,'Loan Tape (S&amp;P)'!P4179,
    occupancy,'Loan Tape (S&amp;P)'!N4179,
    maturity_date,'Loan Tape (S&amp;P)'!L4179,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80">
      <c r="J4180">
        <f>LET(
    lien,'Loan Tape (S&amp;P)'!Q4180,
    IF(lien="First",1.00,
        IF(lien="Second",1.50,
            1.70)))</f>
        <v/>
      </c>
      <c r="K4180">
        <f>LET(
    purpose,'Loan Tape (S&amp;P)'!R4180,
    IF(purpose="Purchase",1.00,
        IF(purpose="Remortgage",1.00,
            1.20)))</f>
        <v/>
      </c>
      <c r="L4180">
        <f>LET(
    arrears_months,'Loan Tape (S&amp;P)'!AN4180,
    IF(arrears_months=0,1.00,
    IF(arrears_months=1,3.00,
    IF(arrears_months=2,5.00,
    IF(arrears_months=3,8.00,
    IF(arrears_months=4,10.00,
    IF(arrears_months=5,12.00,15.00)))))))</f>
        <v/>
      </c>
      <c r="M4180">
        <f>LET(
    seasoning_years,DATEDIF('Loan Tape (S&amp;P)'!K4180,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80">
        <f>IF(AND('Loan Tape (S&amp;P)'!U4180="Yes",
        'Loan Tape (S&amp;P)'!T4180&lt;&gt;"Yes",
        DATEDIF('Loan Tape (S&amp;P)'!K4180, TODAY(), "M")&lt;18),
    1.10,
    1.00)</f>
        <v/>
      </c>
      <c r="O4180">
        <f>IF('Loan Tape (S&amp;P)'!T4180="Yes",
    1.35,
    1.00)</f>
        <v/>
      </c>
      <c r="P4180">
        <f>IF('Loan Tape (S&amp;P)'!S4180="Yes",
    1.15,
    1.00)</f>
        <v/>
      </c>
      <c r="Q4180">
        <f>IF('Loan Tape (S&amp;P)'!V4180="Yes",
    1.20,
    1.00)</f>
        <v/>
      </c>
      <c r="T4180">
        <f>LET(
    payment_method,'Loan Tape (S&amp;P)'!P4180,
    occupancy,'Loan Tape (S&amp;P)'!N4180,
    maturity_date,'Loan Tape (S&amp;P)'!L4180,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81">
      <c r="J4181">
        <f>LET(
    lien,'Loan Tape (S&amp;P)'!Q4181,
    IF(lien="First",1.00,
        IF(lien="Second",1.50,
            1.70)))</f>
        <v/>
      </c>
      <c r="K4181">
        <f>LET(
    purpose,'Loan Tape (S&amp;P)'!R4181,
    IF(purpose="Purchase",1.00,
        IF(purpose="Remortgage",1.00,
            1.20)))</f>
        <v/>
      </c>
      <c r="L4181">
        <f>LET(
    arrears_months,'Loan Tape (S&amp;P)'!AN4181,
    IF(arrears_months=0,1.00,
    IF(arrears_months=1,3.00,
    IF(arrears_months=2,5.00,
    IF(arrears_months=3,8.00,
    IF(arrears_months=4,10.00,
    IF(arrears_months=5,12.00,15.00)))))))</f>
        <v/>
      </c>
      <c r="M4181">
        <f>LET(
    seasoning_years,DATEDIF('Loan Tape (S&amp;P)'!K4181,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81">
        <f>IF(AND('Loan Tape (S&amp;P)'!U4181="Yes",
        'Loan Tape (S&amp;P)'!T4181&lt;&gt;"Yes",
        DATEDIF('Loan Tape (S&amp;P)'!K4181, TODAY(), "M")&lt;18),
    1.10,
    1.00)</f>
        <v/>
      </c>
      <c r="O4181">
        <f>IF('Loan Tape (S&amp;P)'!T4181="Yes",
    1.35,
    1.00)</f>
        <v/>
      </c>
      <c r="P4181">
        <f>IF('Loan Tape (S&amp;P)'!S4181="Yes",
    1.15,
    1.00)</f>
        <v/>
      </c>
      <c r="Q4181">
        <f>IF('Loan Tape (S&amp;P)'!V4181="Yes",
    1.20,
    1.00)</f>
        <v/>
      </c>
      <c r="T4181">
        <f>LET(
    payment_method,'Loan Tape (S&amp;P)'!P4181,
    occupancy,'Loan Tape (S&amp;P)'!N4181,
    maturity_date,'Loan Tape (S&amp;P)'!L4181,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82">
      <c r="J4182">
        <f>LET(
    lien,'Loan Tape (S&amp;P)'!Q4182,
    IF(lien="First",1.00,
        IF(lien="Second",1.50,
            1.70)))</f>
        <v/>
      </c>
      <c r="K4182">
        <f>LET(
    purpose,'Loan Tape (S&amp;P)'!R4182,
    IF(purpose="Purchase",1.00,
        IF(purpose="Remortgage",1.00,
            1.20)))</f>
        <v/>
      </c>
      <c r="L4182">
        <f>LET(
    arrears_months,'Loan Tape (S&amp;P)'!AN4182,
    IF(arrears_months=0,1.00,
    IF(arrears_months=1,3.00,
    IF(arrears_months=2,5.00,
    IF(arrears_months=3,8.00,
    IF(arrears_months=4,10.00,
    IF(arrears_months=5,12.00,15.00)))))))</f>
        <v/>
      </c>
      <c r="M4182">
        <f>LET(
    seasoning_years,DATEDIF('Loan Tape (S&amp;P)'!K4182,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82">
        <f>IF(AND('Loan Tape (S&amp;P)'!U4182="Yes",
        'Loan Tape (S&amp;P)'!T4182&lt;&gt;"Yes",
        DATEDIF('Loan Tape (S&amp;P)'!K4182, TODAY(), "M")&lt;18),
    1.10,
    1.00)</f>
        <v/>
      </c>
      <c r="O4182">
        <f>IF('Loan Tape (S&amp;P)'!T4182="Yes",
    1.35,
    1.00)</f>
        <v/>
      </c>
      <c r="P4182">
        <f>IF('Loan Tape (S&amp;P)'!S4182="Yes",
    1.15,
    1.00)</f>
        <v/>
      </c>
      <c r="Q4182">
        <f>IF('Loan Tape (S&amp;P)'!V4182="Yes",
    1.20,
    1.00)</f>
        <v/>
      </c>
      <c r="T4182">
        <f>LET(
    payment_method,'Loan Tape (S&amp;P)'!P4182,
    occupancy,'Loan Tape (S&amp;P)'!N4182,
    maturity_date,'Loan Tape (S&amp;P)'!L4182,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83">
      <c r="J4183">
        <f>LET(
    lien,'Loan Tape (S&amp;P)'!Q4183,
    IF(lien="First",1.00,
        IF(lien="Second",1.50,
            1.70)))</f>
        <v/>
      </c>
      <c r="K4183">
        <f>LET(
    purpose,'Loan Tape (S&amp;P)'!R4183,
    IF(purpose="Purchase",1.00,
        IF(purpose="Remortgage",1.00,
            1.20)))</f>
        <v/>
      </c>
      <c r="L4183">
        <f>LET(
    arrears_months,'Loan Tape (S&amp;P)'!AN4183,
    IF(arrears_months=0,1.00,
    IF(arrears_months=1,3.00,
    IF(arrears_months=2,5.00,
    IF(arrears_months=3,8.00,
    IF(arrears_months=4,10.00,
    IF(arrears_months=5,12.00,15.00)))))))</f>
        <v/>
      </c>
      <c r="M4183">
        <f>LET(
    seasoning_years,DATEDIF('Loan Tape (S&amp;P)'!K4183,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83">
        <f>IF(AND('Loan Tape (S&amp;P)'!U4183="Yes",
        'Loan Tape (S&amp;P)'!T4183&lt;&gt;"Yes",
        DATEDIF('Loan Tape (S&amp;P)'!K4183, TODAY(), "M")&lt;18),
    1.10,
    1.00)</f>
        <v/>
      </c>
      <c r="O4183">
        <f>IF('Loan Tape (S&amp;P)'!T4183="Yes",
    1.35,
    1.00)</f>
        <v/>
      </c>
      <c r="P4183">
        <f>IF('Loan Tape (S&amp;P)'!S4183="Yes",
    1.15,
    1.00)</f>
        <v/>
      </c>
      <c r="Q4183">
        <f>IF('Loan Tape (S&amp;P)'!V4183="Yes",
    1.20,
    1.00)</f>
        <v/>
      </c>
      <c r="T4183">
        <f>LET(
    payment_method,'Loan Tape (S&amp;P)'!P4183,
    occupancy,'Loan Tape (S&amp;P)'!N4183,
    maturity_date,'Loan Tape (S&amp;P)'!L4183,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84">
      <c r="J4184">
        <f>LET(
    lien,'Loan Tape (S&amp;P)'!Q4184,
    IF(lien="First",1.00,
        IF(lien="Second",1.50,
            1.70)))</f>
        <v/>
      </c>
      <c r="K4184">
        <f>LET(
    purpose,'Loan Tape (S&amp;P)'!R4184,
    IF(purpose="Purchase",1.00,
        IF(purpose="Remortgage",1.00,
            1.20)))</f>
        <v/>
      </c>
      <c r="L4184">
        <f>LET(
    arrears_months,'Loan Tape (S&amp;P)'!AN4184,
    IF(arrears_months=0,1.00,
    IF(arrears_months=1,3.00,
    IF(arrears_months=2,5.00,
    IF(arrears_months=3,8.00,
    IF(arrears_months=4,10.00,
    IF(arrears_months=5,12.00,15.00)))))))</f>
        <v/>
      </c>
      <c r="M4184">
        <f>LET(
    seasoning_years,DATEDIF('Loan Tape (S&amp;P)'!K4184,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84">
        <f>IF(AND('Loan Tape (S&amp;P)'!U4184="Yes",
        'Loan Tape (S&amp;P)'!T4184&lt;&gt;"Yes",
        DATEDIF('Loan Tape (S&amp;P)'!K4184, TODAY(), "M")&lt;18),
    1.10,
    1.00)</f>
        <v/>
      </c>
      <c r="O4184">
        <f>IF('Loan Tape (S&amp;P)'!T4184="Yes",
    1.35,
    1.00)</f>
        <v/>
      </c>
      <c r="P4184">
        <f>IF('Loan Tape (S&amp;P)'!S4184="Yes",
    1.15,
    1.00)</f>
        <v/>
      </c>
      <c r="Q4184">
        <f>IF('Loan Tape (S&amp;P)'!V4184="Yes",
    1.20,
    1.00)</f>
        <v/>
      </c>
      <c r="T4184">
        <f>LET(
    payment_method,'Loan Tape (S&amp;P)'!P4184,
    occupancy,'Loan Tape (S&amp;P)'!N4184,
    maturity_date,'Loan Tape (S&amp;P)'!L4184,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85">
      <c r="J4185">
        <f>LET(
    lien,'Loan Tape (S&amp;P)'!Q4185,
    IF(lien="First",1.00,
        IF(lien="Second",1.50,
            1.70)))</f>
        <v/>
      </c>
      <c r="K4185">
        <f>LET(
    purpose,'Loan Tape (S&amp;P)'!R4185,
    IF(purpose="Purchase",1.00,
        IF(purpose="Remortgage",1.00,
            1.20)))</f>
        <v/>
      </c>
      <c r="L4185">
        <f>LET(
    arrears_months,'Loan Tape (S&amp;P)'!AN4185,
    IF(arrears_months=0,1.00,
    IF(arrears_months=1,3.00,
    IF(arrears_months=2,5.00,
    IF(arrears_months=3,8.00,
    IF(arrears_months=4,10.00,
    IF(arrears_months=5,12.00,15.00)))))))</f>
        <v/>
      </c>
      <c r="M4185">
        <f>LET(
    seasoning_years,DATEDIF('Loan Tape (S&amp;P)'!K4185,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85">
        <f>IF(AND('Loan Tape (S&amp;P)'!U4185="Yes",
        'Loan Tape (S&amp;P)'!T4185&lt;&gt;"Yes",
        DATEDIF('Loan Tape (S&amp;P)'!K4185, TODAY(), "M")&lt;18),
    1.10,
    1.00)</f>
        <v/>
      </c>
      <c r="O4185">
        <f>IF('Loan Tape (S&amp;P)'!T4185="Yes",
    1.35,
    1.00)</f>
        <v/>
      </c>
      <c r="P4185">
        <f>IF('Loan Tape (S&amp;P)'!S4185="Yes",
    1.15,
    1.00)</f>
        <v/>
      </c>
      <c r="Q4185">
        <f>IF('Loan Tape (S&amp;P)'!V4185="Yes",
    1.20,
    1.00)</f>
        <v/>
      </c>
      <c r="T4185">
        <f>LET(
    payment_method,'Loan Tape (S&amp;P)'!P4185,
    occupancy,'Loan Tape (S&amp;P)'!N4185,
    maturity_date,'Loan Tape (S&amp;P)'!L4185,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86">
      <c r="J4186">
        <f>LET(
    lien,'Loan Tape (S&amp;P)'!Q4186,
    IF(lien="First",1.00,
        IF(lien="Second",1.50,
            1.70)))</f>
        <v/>
      </c>
      <c r="K4186">
        <f>LET(
    purpose,'Loan Tape (S&amp;P)'!R4186,
    IF(purpose="Purchase",1.00,
        IF(purpose="Remortgage",1.00,
            1.20)))</f>
        <v/>
      </c>
      <c r="L4186">
        <f>LET(
    arrears_months,'Loan Tape (S&amp;P)'!AN4186,
    IF(arrears_months=0,1.00,
    IF(arrears_months=1,3.00,
    IF(arrears_months=2,5.00,
    IF(arrears_months=3,8.00,
    IF(arrears_months=4,10.00,
    IF(arrears_months=5,12.00,15.00)))))))</f>
        <v/>
      </c>
      <c r="M4186">
        <f>LET(
    seasoning_years,DATEDIF('Loan Tape (S&amp;P)'!K4186,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86">
        <f>IF(AND('Loan Tape (S&amp;P)'!U4186="Yes",
        'Loan Tape (S&amp;P)'!T4186&lt;&gt;"Yes",
        DATEDIF('Loan Tape (S&amp;P)'!K4186, TODAY(), "M")&lt;18),
    1.10,
    1.00)</f>
        <v/>
      </c>
      <c r="O4186">
        <f>IF('Loan Tape (S&amp;P)'!T4186="Yes",
    1.35,
    1.00)</f>
        <v/>
      </c>
      <c r="P4186">
        <f>IF('Loan Tape (S&amp;P)'!S4186="Yes",
    1.15,
    1.00)</f>
        <v/>
      </c>
      <c r="Q4186">
        <f>IF('Loan Tape (S&amp;P)'!V4186="Yes",
    1.20,
    1.00)</f>
        <v/>
      </c>
      <c r="T4186">
        <f>LET(
    payment_method,'Loan Tape (S&amp;P)'!P4186,
    occupancy,'Loan Tape (S&amp;P)'!N4186,
    maturity_date,'Loan Tape (S&amp;P)'!L4186,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87">
      <c r="J4187">
        <f>LET(
    lien,'Loan Tape (S&amp;P)'!Q4187,
    IF(lien="First",1.00,
        IF(lien="Second",1.50,
            1.70)))</f>
        <v/>
      </c>
      <c r="K4187">
        <f>LET(
    purpose,'Loan Tape (S&amp;P)'!R4187,
    IF(purpose="Purchase",1.00,
        IF(purpose="Remortgage",1.00,
            1.20)))</f>
        <v/>
      </c>
      <c r="L4187">
        <f>LET(
    arrears_months,'Loan Tape (S&amp;P)'!AN4187,
    IF(arrears_months=0,1.00,
    IF(arrears_months=1,3.00,
    IF(arrears_months=2,5.00,
    IF(arrears_months=3,8.00,
    IF(arrears_months=4,10.00,
    IF(arrears_months=5,12.00,15.00)))))))</f>
        <v/>
      </c>
      <c r="M4187">
        <f>LET(
    seasoning_years,DATEDIF('Loan Tape (S&amp;P)'!K4187,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87">
        <f>IF(AND('Loan Tape (S&amp;P)'!U4187="Yes",
        'Loan Tape (S&amp;P)'!T4187&lt;&gt;"Yes",
        DATEDIF('Loan Tape (S&amp;P)'!K4187, TODAY(), "M")&lt;18),
    1.10,
    1.00)</f>
        <v/>
      </c>
      <c r="O4187">
        <f>IF('Loan Tape (S&amp;P)'!T4187="Yes",
    1.35,
    1.00)</f>
        <v/>
      </c>
      <c r="P4187">
        <f>IF('Loan Tape (S&amp;P)'!S4187="Yes",
    1.15,
    1.00)</f>
        <v/>
      </c>
      <c r="Q4187">
        <f>IF('Loan Tape (S&amp;P)'!V4187="Yes",
    1.20,
    1.00)</f>
        <v/>
      </c>
      <c r="T4187">
        <f>LET(
    payment_method,'Loan Tape (S&amp;P)'!P4187,
    occupancy,'Loan Tape (S&amp;P)'!N4187,
    maturity_date,'Loan Tape (S&amp;P)'!L4187,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88">
      <c r="J4188">
        <f>LET(
    lien,'Loan Tape (S&amp;P)'!Q4188,
    IF(lien="First",1.00,
        IF(lien="Second",1.50,
            1.70)))</f>
        <v/>
      </c>
      <c r="K4188">
        <f>LET(
    purpose,'Loan Tape (S&amp;P)'!R4188,
    IF(purpose="Purchase",1.00,
        IF(purpose="Remortgage",1.00,
            1.20)))</f>
        <v/>
      </c>
      <c r="L4188">
        <f>LET(
    arrears_months,'Loan Tape (S&amp;P)'!AN4188,
    IF(arrears_months=0,1.00,
    IF(arrears_months=1,3.00,
    IF(arrears_months=2,5.00,
    IF(arrears_months=3,8.00,
    IF(arrears_months=4,10.00,
    IF(arrears_months=5,12.00,15.00)))))))</f>
        <v/>
      </c>
      <c r="M4188">
        <f>LET(
    seasoning_years,DATEDIF('Loan Tape (S&amp;P)'!K4188,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88">
        <f>IF(AND('Loan Tape (S&amp;P)'!U4188="Yes",
        'Loan Tape (S&amp;P)'!T4188&lt;&gt;"Yes",
        DATEDIF('Loan Tape (S&amp;P)'!K4188, TODAY(), "M")&lt;18),
    1.10,
    1.00)</f>
        <v/>
      </c>
      <c r="O4188">
        <f>IF('Loan Tape (S&amp;P)'!T4188="Yes",
    1.35,
    1.00)</f>
        <v/>
      </c>
      <c r="P4188">
        <f>IF('Loan Tape (S&amp;P)'!S4188="Yes",
    1.15,
    1.00)</f>
        <v/>
      </c>
      <c r="Q4188">
        <f>IF('Loan Tape (S&amp;P)'!V4188="Yes",
    1.20,
    1.00)</f>
        <v/>
      </c>
      <c r="T4188">
        <f>LET(
    payment_method,'Loan Tape (S&amp;P)'!P4188,
    occupancy,'Loan Tape (S&amp;P)'!N4188,
    maturity_date,'Loan Tape (S&amp;P)'!L4188,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89">
      <c r="J4189">
        <f>LET(
    lien,'Loan Tape (S&amp;P)'!Q4189,
    IF(lien="First",1.00,
        IF(lien="Second",1.50,
            1.70)))</f>
        <v/>
      </c>
      <c r="K4189">
        <f>LET(
    purpose,'Loan Tape (S&amp;P)'!R4189,
    IF(purpose="Purchase",1.00,
        IF(purpose="Remortgage",1.00,
            1.20)))</f>
        <v/>
      </c>
      <c r="L4189">
        <f>LET(
    arrears_months,'Loan Tape (S&amp;P)'!AN4189,
    IF(arrears_months=0,1.00,
    IF(arrears_months=1,3.00,
    IF(arrears_months=2,5.00,
    IF(arrears_months=3,8.00,
    IF(arrears_months=4,10.00,
    IF(arrears_months=5,12.00,15.00)))))))</f>
        <v/>
      </c>
      <c r="M4189">
        <f>LET(
    seasoning_years,DATEDIF('Loan Tape (S&amp;P)'!K4189,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89">
        <f>IF(AND('Loan Tape (S&amp;P)'!U4189="Yes",
        'Loan Tape (S&amp;P)'!T4189&lt;&gt;"Yes",
        DATEDIF('Loan Tape (S&amp;P)'!K4189, TODAY(), "M")&lt;18),
    1.10,
    1.00)</f>
        <v/>
      </c>
      <c r="O4189">
        <f>IF('Loan Tape (S&amp;P)'!T4189="Yes",
    1.35,
    1.00)</f>
        <v/>
      </c>
      <c r="P4189">
        <f>IF('Loan Tape (S&amp;P)'!S4189="Yes",
    1.15,
    1.00)</f>
        <v/>
      </c>
      <c r="Q4189">
        <f>IF('Loan Tape (S&amp;P)'!V4189="Yes",
    1.20,
    1.00)</f>
        <v/>
      </c>
      <c r="T4189">
        <f>LET(
    payment_method,'Loan Tape (S&amp;P)'!P4189,
    occupancy,'Loan Tape (S&amp;P)'!N4189,
    maturity_date,'Loan Tape (S&amp;P)'!L4189,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90">
      <c r="J4190">
        <f>LET(
    lien,'Loan Tape (S&amp;P)'!Q4190,
    IF(lien="First",1.00,
        IF(lien="Second",1.50,
            1.70)))</f>
        <v/>
      </c>
      <c r="K4190">
        <f>LET(
    purpose,'Loan Tape (S&amp;P)'!R4190,
    IF(purpose="Purchase",1.00,
        IF(purpose="Remortgage",1.00,
            1.20)))</f>
        <v/>
      </c>
      <c r="L4190">
        <f>LET(
    arrears_months,'Loan Tape (S&amp;P)'!AN4190,
    IF(arrears_months=0,1.00,
    IF(arrears_months=1,3.00,
    IF(arrears_months=2,5.00,
    IF(arrears_months=3,8.00,
    IF(arrears_months=4,10.00,
    IF(arrears_months=5,12.00,15.00)))))))</f>
        <v/>
      </c>
      <c r="M4190">
        <f>LET(
    seasoning_years,DATEDIF('Loan Tape (S&amp;P)'!K4190,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90">
        <f>IF(AND('Loan Tape (S&amp;P)'!U4190="Yes",
        'Loan Tape (S&amp;P)'!T4190&lt;&gt;"Yes",
        DATEDIF('Loan Tape (S&amp;P)'!K4190, TODAY(), "M")&lt;18),
    1.10,
    1.00)</f>
        <v/>
      </c>
      <c r="O4190">
        <f>IF('Loan Tape (S&amp;P)'!T4190="Yes",
    1.35,
    1.00)</f>
        <v/>
      </c>
      <c r="P4190">
        <f>IF('Loan Tape (S&amp;P)'!S4190="Yes",
    1.15,
    1.00)</f>
        <v/>
      </c>
      <c r="Q4190">
        <f>IF('Loan Tape (S&amp;P)'!V4190="Yes",
    1.20,
    1.00)</f>
        <v/>
      </c>
      <c r="T4190">
        <f>LET(
    payment_method,'Loan Tape (S&amp;P)'!P4190,
    occupancy,'Loan Tape (S&amp;P)'!N4190,
    maturity_date,'Loan Tape (S&amp;P)'!L4190,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91">
      <c r="J4191">
        <f>LET(
    lien,'Loan Tape (S&amp;P)'!Q4191,
    IF(lien="First",1.00,
        IF(lien="Second",1.50,
            1.70)))</f>
        <v/>
      </c>
      <c r="K4191">
        <f>LET(
    purpose,'Loan Tape (S&amp;P)'!R4191,
    IF(purpose="Purchase",1.00,
        IF(purpose="Remortgage",1.00,
            1.20)))</f>
        <v/>
      </c>
      <c r="L4191">
        <f>LET(
    arrears_months,'Loan Tape (S&amp;P)'!AN4191,
    IF(arrears_months=0,1.00,
    IF(arrears_months=1,3.00,
    IF(arrears_months=2,5.00,
    IF(arrears_months=3,8.00,
    IF(arrears_months=4,10.00,
    IF(arrears_months=5,12.00,15.00)))))))</f>
        <v/>
      </c>
      <c r="M4191">
        <f>LET(
    seasoning_years,DATEDIF('Loan Tape (S&amp;P)'!K4191,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91">
        <f>IF(AND('Loan Tape (S&amp;P)'!U4191="Yes",
        'Loan Tape (S&amp;P)'!T4191&lt;&gt;"Yes",
        DATEDIF('Loan Tape (S&amp;P)'!K4191, TODAY(), "M")&lt;18),
    1.10,
    1.00)</f>
        <v/>
      </c>
      <c r="O4191">
        <f>IF('Loan Tape (S&amp;P)'!T4191="Yes",
    1.35,
    1.00)</f>
        <v/>
      </c>
      <c r="P4191">
        <f>IF('Loan Tape (S&amp;P)'!S4191="Yes",
    1.15,
    1.00)</f>
        <v/>
      </c>
      <c r="Q4191">
        <f>IF('Loan Tape (S&amp;P)'!V4191="Yes",
    1.20,
    1.00)</f>
        <v/>
      </c>
      <c r="T4191">
        <f>LET(
    payment_method,'Loan Tape (S&amp;P)'!P4191,
    occupancy,'Loan Tape (S&amp;P)'!N4191,
    maturity_date,'Loan Tape (S&amp;P)'!L4191,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92">
      <c r="J4192">
        <f>LET(
    lien,'Loan Tape (S&amp;P)'!Q4192,
    IF(lien="First",1.00,
        IF(lien="Second",1.50,
            1.70)))</f>
        <v/>
      </c>
      <c r="K4192">
        <f>LET(
    purpose,'Loan Tape (S&amp;P)'!R4192,
    IF(purpose="Purchase",1.00,
        IF(purpose="Remortgage",1.00,
            1.20)))</f>
        <v/>
      </c>
      <c r="L4192">
        <f>LET(
    arrears_months,'Loan Tape (S&amp;P)'!AN4192,
    IF(arrears_months=0,1.00,
    IF(arrears_months=1,3.00,
    IF(arrears_months=2,5.00,
    IF(arrears_months=3,8.00,
    IF(arrears_months=4,10.00,
    IF(arrears_months=5,12.00,15.00)))))))</f>
        <v/>
      </c>
      <c r="M4192">
        <f>LET(
    seasoning_years,DATEDIF('Loan Tape (S&amp;P)'!K4192,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92">
        <f>IF(AND('Loan Tape (S&amp;P)'!U4192="Yes",
        'Loan Tape (S&amp;P)'!T4192&lt;&gt;"Yes",
        DATEDIF('Loan Tape (S&amp;P)'!K4192, TODAY(), "M")&lt;18),
    1.10,
    1.00)</f>
        <v/>
      </c>
      <c r="O4192">
        <f>IF('Loan Tape (S&amp;P)'!T4192="Yes",
    1.35,
    1.00)</f>
        <v/>
      </c>
      <c r="P4192">
        <f>IF('Loan Tape (S&amp;P)'!S4192="Yes",
    1.15,
    1.00)</f>
        <v/>
      </c>
      <c r="Q4192">
        <f>IF('Loan Tape (S&amp;P)'!V4192="Yes",
    1.20,
    1.00)</f>
        <v/>
      </c>
      <c r="T4192">
        <f>LET(
    payment_method,'Loan Tape (S&amp;P)'!P4192,
    occupancy,'Loan Tape (S&amp;P)'!N4192,
    maturity_date,'Loan Tape (S&amp;P)'!L4192,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93">
      <c r="J4193">
        <f>LET(
    lien,'Loan Tape (S&amp;P)'!Q4193,
    IF(lien="First",1.00,
        IF(lien="Second",1.50,
            1.70)))</f>
        <v/>
      </c>
      <c r="K4193">
        <f>LET(
    purpose,'Loan Tape (S&amp;P)'!R4193,
    IF(purpose="Purchase",1.00,
        IF(purpose="Remortgage",1.00,
            1.20)))</f>
        <v/>
      </c>
      <c r="L4193">
        <f>LET(
    arrears_months,'Loan Tape (S&amp;P)'!AN4193,
    IF(arrears_months=0,1.00,
    IF(arrears_months=1,3.00,
    IF(arrears_months=2,5.00,
    IF(arrears_months=3,8.00,
    IF(arrears_months=4,10.00,
    IF(arrears_months=5,12.00,15.00)))))))</f>
        <v/>
      </c>
      <c r="M4193">
        <f>LET(
    seasoning_years,DATEDIF('Loan Tape (S&amp;P)'!K4193,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93">
        <f>IF(AND('Loan Tape (S&amp;P)'!U4193="Yes",
        'Loan Tape (S&amp;P)'!T4193&lt;&gt;"Yes",
        DATEDIF('Loan Tape (S&amp;P)'!K4193, TODAY(), "M")&lt;18),
    1.10,
    1.00)</f>
        <v/>
      </c>
      <c r="O4193">
        <f>IF('Loan Tape (S&amp;P)'!T4193="Yes",
    1.35,
    1.00)</f>
        <v/>
      </c>
      <c r="P4193">
        <f>IF('Loan Tape (S&amp;P)'!S4193="Yes",
    1.15,
    1.00)</f>
        <v/>
      </c>
      <c r="Q4193">
        <f>IF('Loan Tape (S&amp;P)'!V4193="Yes",
    1.20,
    1.00)</f>
        <v/>
      </c>
      <c r="T4193">
        <f>LET(
    payment_method,'Loan Tape (S&amp;P)'!P4193,
    occupancy,'Loan Tape (S&amp;P)'!N4193,
    maturity_date,'Loan Tape (S&amp;P)'!L4193,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94">
      <c r="J4194">
        <f>LET(
    lien,'Loan Tape (S&amp;P)'!Q4194,
    IF(lien="First",1.00,
        IF(lien="Second",1.50,
            1.70)))</f>
        <v/>
      </c>
      <c r="K4194">
        <f>LET(
    purpose,'Loan Tape (S&amp;P)'!R4194,
    IF(purpose="Purchase",1.00,
        IF(purpose="Remortgage",1.00,
            1.20)))</f>
        <v/>
      </c>
      <c r="L4194">
        <f>LET(
    arrears_months,'Loan Tape (S&amp;P)'!AN4194,
    IF(arrears_months=0,1.00,
    IF(arrears_months=1,3.00,
    IF(arrears_months=2,5.00,
    IF(arrears_months=3,8.00,
    IF(arrears_months=4,10.00,
    IF(arrears_months=5,12.00,15.00)))))))</f>
        <v/>
      </c>
      <c r="M4194">
        <f>LET(
    seasoning_years,DATEDIF('Loan Tape (S&amp;P)'!K4194,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94">
        <f>IF(AND('Loan Tape (S&amp;P)'!U4194="Yes",
        'Loan Tape (S&amp;P)'!T4194&lt;&gt;"Yes",
        DATEDIF('Loan Tape (S&amp;P)'!K4194, TODAY(), "M")&lt;18),
    1.10,
    1.00)</f>
        <v/>
      </c>
      <c r="O4194">
        <f>IF('Loan Tape (S&amp;P)'!T4194="Yes",
    1.35,
    1.00)</f>
        <v/>
      </c>
      <c r="P4194">
        <f>IF('Loan Tape (S&amp;P)'!S4194="Yes",
    1.15,
    1.00)</f>
        <v/>
      </c>
      <c r="Q4194">
        <f>IF('Loan Tape (S&amp;P)'!V4194="Yes",
    1.20,
    1.00)</f>
        <v/>
      </c>
      <c r="T4194">
        <f>LET(
    payment_method,'Loan Tape (S&amp;P)'!P4194,
    occupancy,'Loan Tape (S&amp;P)'!N4194,
    maturity_date,'Loan Tape (S&amp;P)'!L4194,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95">
      <c r="J4195">
        <f>LET(
    lien,'Loan Tape (S&amp;P)'!Q4195,
    IF(lien="First",1.00,
        IF(lien="Second",1.50,
            1.70)))</f>
        <v/>
      </c>
      <c r="K4195">
        <f>LET(
    purpose,'Loan Tape (S&amp;P)'!R4195,
    IF(purpose="Purchase",1.00,
        IF(purpose="Remortgage",1.00,
            1.20)))</f>
        <v/>
      </c>
      <c r="L4195">
        <f>LET(
    arrears_months,'Loan Tape (S&amp;P)'!AN4195,
    IF(arrears_months=0,1.00,
    IF(arrears_months=1,3.00,
    IF(arrears_months=2,5.00,
    IF(arrears_months=3,8.00,
    IF(arrears_months=4,10.00,
    IF(arrears_months=5,12.00,15.00)))))))</f>
        <v/>
      </c>
      <c r="M4195">
        <f>LET(
    seasoning_years,DATEDIF('Loan Tape (S&amp;P)'!K4195,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95">
        <f>IF(AND('Loan Tape (S&amp;P)'!U4195="Yes",
        'Loan Tape (S&amp;P)'!T4195&lt;&gt;"Yes",
        DATEDIF('Loan Tape (S&amp;P)'!K4195, TODAY(), "M")&lt;18),
    1.10,
    1.00)</f>
        <v/>
      </c>
      <c r="O4195">
        <f>IF('Loan Tape (S&amp;P)'!T4195="Yes",
    1.35,
    1.00)</f>
        <v/>
      </c>
      <c r="P4195">
        <f>IF('Loan Tape (S&amp;P)'!S4195="Yes",
    1.15,
    1.00)</f>
        <v/>
      </c>
      <c r="Q4195">
        <f>IF('Loan Tape (S&amp;P)'!V4195="Yes",
    1.20,
    1.00)</f>
        <v/>
      </c>
      <c r="T4195">
        <f>LET(
    payment_method,'Loan Tape (S&amp;P)'!P4195,
    occupancy,'Loan Tape (S&amp;P)'!N4195,
    maturity_date,'Loan Tape (S&amp;P)'!L4195,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96">
      <c r="J4196">
        <f>LET(
    lien,'Loan Tape (S&amp;P)'!Q4196,
    IF(lien="First",1.00,
        IF(lien="Second",1.50,
            1.70)))</f>
        <v/>
      </c>
      <c r="K4196">
        <f>LET(
    purpose,'Loan Tape (S&amp;P)'!R4196,
    IF(purpose="Purchase",1.00,
        IF(purpose="Remortgage",1.00,
            1.20)))</f>
        <v/>
      </c>
      <c r="L4196">
        <f>LET(
    arrears_months,'Loan Tape (S&amp;P)'!AN4196,
    IF(arrears_months=0,1.00,
    IF(arrears_months=1,3.00,
    IF(arrears_months=2,5.00,
    IF(arrears_months=3,8.00,
    IF(arrears_months=4,10.00,
    IF(arrears_months=5,12.00,15.00)))))))</f>
        <v/>
      </c>
      <c r="M4196">
        <f>LET(
    seasoning_years,DATEDIF('Loan Tape (S&amp;P)'!K4196,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96">
        <f>IF(AND('Loan Tape (S&amp;P)'!U4196="Yes",
        'Loan Tape (S&amp;P)'!T4196&lt;&gt;"Yes",
        DATEDIF('Loan Tape (S&amp;P)'!K4196, TODAY(), "M")&lt;18),
    1.10,
    1.00)</f>
        <v/>
      </c>
      <c r="O4196">
        <f>IF('Loan Tape (S&amp;P)'!T4196="Yes",
    1.35,
    1.00)</f>
        <v/>
      </c>
      <c r="P4196">
        <f>IF('Loan Tape (S&amp;P)'!S4196="Yes",
    1.15,
    1.00)</f>
        <v/>
      </c>
      <c r="Q4196">
        <f>IF('Loan Tape (S&amp;P)'!V4196="Yes",
    1.20,
    1.00)</f>
        <v/>
      </c>
      <c r="T4196">
        <f>LET(
    payment_method,'Loan Tape (S&amp;P)'!P4196,
    occupancy,'Loan Tape (S&amp;P)'!N4196,
    maturity_date,'Loan Tape (S&amp;P)'!L4196,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97">
      <c r="J4197">
        <f>LET(
    lien,'Loan Tape (S&amp;P)'!Q4197,
    IF(lien="First",1.00,
        IF(lien="Second",1.50,
            1.70)))</f>
        <v/>
      </c>
      <c r="K4197">
        <f>LET(
    purpose,'Loan Tape (S&amp;P)'!R4197,
    IF(purpose="Purchase",1.00,
        IF(purpose="Remortgage",1.00,
            1.20)))</f>
        <v/>
      </c>
      <c r="L4197">
        <f>LET(
    arrears_months,'Loan Tape (S&amp;P)'!AN4197,
    IF(arrears_months=0,1.00,
    IF(arrears_months=1,3.00,
    IF(arrears_months=2,5.00,
    IF(arrears_months=3,8.00,
    IF(arrears_months=4,10.00,
    IF(arrears_months=5,12.00,15.00)))))))</f>
        <v/>
      </c>
      <c r="M4197">
        <f>LET(
    seasoning_years,DATEDIF('Loan Tape (S&amp;P)'!K4197,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97">
        <f>IF(AND('Loan Tape (S&amp;P)'!U4197="Yes",
        'Loan Tape (S&amp;P)'!T4197&lt;&gt;"Yes",
        DATEDIF('Loan Tape (S&amp;P)'!K4197, TODAY(), "M")&lt;18),
    1.10,
    1.00)</f>
        <v/>
      </c>
      <c r="O4197">
        <f>IF('Loan Tape (S&amp;P)'!T4197="Yes",
    1.35,
    1.00)</f>
        <v/>
      </c>
      <c r="P4197">
        <f>IF('Loan Tape (S&amp;P)'!S4197="Yes",
    1.15,
    1.00)</f>
        <v/>
      </c>
      <c r="Q4197">
        <f>IF('Loan Tape (S&amp;P)'!V4197="Yes",
    1.20,
    1.00)</f>
        <v/>
      </c>
      <c r="T4197">
        <f>LET(
    payment_method,'Loan Tape (S&amp;P)'!P4197,
    occupancy,'Loan Tape (S&amp;P)'!N4197,
    maturity_date,'Loan Tape (S&amp;P)'!L4197,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98">
      <c r="J4198">
        <f>LET(
    lien,'Loan Tape (S&amp;P)'!Q4198,
    IF(lien="First",1.00,
        IF(lien="Second",1.50,
            1.70)))</f>
        <v/>
      </c>
      <c r="K4198">
        <f>LET(
    purpose,'Loan Tape (S&amp;P)'!R4198,
    IF(purpose="Purchase",1.00,
        IF(purpose="Remortgage",1.00,
            1.20)))</f>
        <v/>
      </c>
      <c r="L4198">
        <f>LET(
    arrears_months,'Loan Tape (S&amp;P)'!AN4198,
    IF(arrears_months=0,1.00,
    IF(arrears_months=1,3.00,
    IF(arrears_months=2,5.00,
    IF(arrears_months=3,8.00,
    IF(arrears_months=4,10.00,
    IF(arrears_months=5,12.00,15.00)))))))</f>
        <v/>
      </c>
      <c r="M4198">
        <f>LET(
    seasoning_years,DATEDIF('Loan Tape (S&amp;P)'!K4198,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98">
        <f>IF(AND('Loan Tape (S&amp;P)'!U4198="Yes",
        'Loan Tape (S&amp;P)'!T4198&lt;&gt;"Yes",
        DATEDIF('Loan Tape (S&amp;P)'!K4198, TODAY(), "M")&lt;18),
    1.10,
    1.00)</f>
        <v/>
      </c>
      <c r="O4198">
        <f>IF('Loan Tape (S&amp;P)'!T4198="Yes",
    1.35,
    1.00)</f>
        <v/>
      </c>
      <c r="P4198">
        <f>IF('Loan Tape (S&amp;P)'!S4198="Yes",
    1.15,
    1.00)</f>
        <v/>
      </c>
      <c r="Q4198">
        <f>IF('Loan Tape (S&amp;P)'!V4198="Yes",
    1.20,
    1.00)</f>
        <v/>
      </c>
      <c r="T4198">
        <f>LET(
    payment_method,'Loan Tape (S&amp;P)'!P4198,
    occupancy,'Loan Tape (S&amp;P)'!N4198,
    maturity_date,'Loan Tape (S&amp;P)'!L4198,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199">
      <c r="J4199">
        <f>LET(
    lien,'Loan Tape (S&amp;P)'!Q4199,
    IF(lien="First",1.00,
        IF(lien="Second",1.50,
            1.70)))</f>
        <v/>
      </c>
      <c r="K4199">
        <f>LET(
    purpose,'Loan Tape (S&amp;P)'!R4199,
    IF(purpose="Purchase",1.00,
        IF(purpose="Remortgage",1.00,
            1.20)))</f>
        <v/>
      </c>
      <c r="L4199">
        <f>LET(
    arrears_months,'Loan Tape (S&amp;P)'!AN4199,
    IF(arrears_months=0,1.00,
    IF(arrears_months=1,3.00,
    IF(arrears_months=2,5.00,
    IF(arrears_months=3,8.00,
    IF(arrears_months=4,10.00,
    IF(arrears_months=5,12.00,15.00)))))))</f>
        <v/>
      </c>
      <c r="M4199">
        <f>LET(
    seasoning_years,DATEDIF('Loan Tape (S&amp;P)'!K4199,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199">
        <f>IF(AND('Loan Tape (S&amp;P)'!U4199="Yes",
        'Loan Tape (S&amp;P)'!T4199&lt;&gt;"Yes",
        DATEDIF('Loan Tape (S&amp;P)'!K4199, TODAY(), "M")&lt;18),
    1.10,
    1.00)</f>
        <v/>
      </c>
      <c r="O4199">
        <f>IF('Loan Tape (S&amp;P)'!T4199="Yes",
    1.35,
    1.00)</f>
        <v/>
      </c>
      <c r="P4199">
        <f>IF('Loan Tape (S&amp;P)'!S4199="Yes",
    1.15,
    1.00)</f>
        <v/>
      </c>
      <c r="Q4199">
        <f>IF('Loan Tape (S&amp;P)'!V4199="Yes",
    1.20,
    1.00)</f>
        <v/>
      </c>
      <c r="T4199">
        <f>LET(
    payment_method,'Loan Tape (S&amp;P)'!P4199,
    occupancy,'Loan Tape (S&amp;P)'!N4199,
    maturity_date,'Loan Tape (S&amp;P)'!L4199,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00">
      <c r="J4200">
        <f>LET(
    lien,'Loan Tape (S&amp;P)'!Q4200,
    IF(lien="First",1.00,
        IF(lien="Second",1.50,
            1.70)))</f>
        <v/>
      </c>
      <c r="K4200">
        <f>LET(
    purpose,'Loan Tape (S&amp;P)'!R4200,
    IF(purpose="Purchase",1.00,
        IF(purpose="Remortgage",1.00,
            1.20)))</f>
        <v/>
      </c>
      <c r="L4200">
        <f>LET(
    arrears_months,'Loan Tape (S&amp;P)'!AN4200,
    IF(arrears_months=0,1.00,
    IF(arrears_months=1,3.00,
    IF(arrears_months=2,5.00,
    IF(arrears_months=3,8.00,
    IF(arrears_months=4,10.00,
    IF(arrears_months=5,12.00,15.00)))))))</f>
        <v/>
      </c>
      <c r="M4200">
        <f>LET(
    seasoning_years,DATEDIF('Loan Tape (S&amp;P)'!K4200,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00">
        <f>IF(AND('Loan Tape (S&amp;P)'!U4200="Yes",
        'Loan Tape (S&amp;P)'!T4200&lt;&gt;"Yes",
        DATEDIF('Loan Tape (S&amp;P)'!K4200, TODAY(), "M")&lt;18),
    1.10,
    1.00)</f>
        <v/>
      </c>
      <c r="O4200">
        <f>IF('Loan Tape (S&amp;P)'!T4200="Yes",
    1.35,
    1.00)</f>
        <v/>
      </c>
      <c r="P4200">
        <f>IF('Loan Tape (S&amp;P)'!S4200="Yes",
    1.15,
    1.00)</f>
        <v/>
      </c>
      <c r="Q4200">
        <f>IF('Loan Tape (S&amp;P)'!V4200="Yes",
    1.20,
    1.00)</f>
        <v/>
      </c>
      <c r="T4200">
        <f>LET(
    payment_method,'Loan Tape (S&amp;P)'!P4200,
    occupancy,'Loan Tape (S&amp;P)'!N4200,
    maturity_date,'Loan Tape (S&amp;P)'!L4200,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01">
      <c r="J4201">
        <f>LET(
    lien,'Loan Tape (S&amp;P)'!Q4201,
    IF(lien="First",1.00,
        IF(lien="Second",1.50,
            1.70)))</f>
        <v/>
      </c>
      <c r="K4201">
        <f>LET(
    purpose,'Loan Tape (S&amp;P)'!R4201,
    IF(purpose="Purchase",1.00,
        IF(purpose="Remortgage",1.00,
            1.20)))</f>
        <v/>
      </c>
      <c r="L4201">
        <f>LET(
    arrears_months,'Loan Tape (S&amp;P)'!AN4201,
    IF(arrears_months=0,1.00,
    IF(arrears_months=1,3.00,
    IF(arrears_months=2,5.00,
    IF(arrears_months=3,8.00,
    IF(arrears_months=4,10.00,
    IF(arrears_months=5,12.00,15.00)))))))</f>
        <v/>
      </c>
      <c r="M4201">
        <f>LET(
    seasoning_years,DATEDIF('Loan Tape (S&amp;P)'!K4201,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01">
        <f>IF(AND('Loan Tape (S&amp;P)'!U4201="Yes",
        'Loan Tape (S&amp;P)'!T4201&lt;&gt;"Yes",
        DATEDIF('Loan Tape (S&amp;P)'!K4201, TODAY(), "M")&lt;18),
    1.10,
    1.00)</f>
        <v/>
      </c>
      <c r="O4201">
        <f>IF('Loan Tape (S&amp;P)'!T4201="Yes",
    1.35,
    1.00)</f>
        <v/>
      </c>
      <c r="P4201">
        <f>IF('Loan Tape (S&amp;P)'!S4201="Yes",
    1.15,
    1.00)</f>
        <v/>
      </c>
      <c r="Q4201">
        <f>IF('Loan Tape (S&amp;P)'!V4201="Yes",
    1.20,
    1.00)</f>
        <v/>
      </c>
      <c r="T4201">
        <f>LET(
    payment_method,'Loan Tape (S&amp;P)'!P4201,
    occupancy,'Loan Tape (S&amp;P)'!N4201,
    maturity_date,'Loan Tape (S&amp;P)'!L4201,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02">
      <c r="J4202">
        <f>LET(
    lien,'Loan Tape (S&amp;P)'!Q4202,
    IF(lien="First",1.00,
        IF(lien="Second",1.50,
            1.70)))</f>
        <v/>
      </c>
      <c r="K4202">
        <f>LET(
    purpose,'Loan Tape (S&amp;P)'!R4202,
    IF(purpose="Purchase",1.00,
        IF(purpose="Remortgage",1.00,
            1.20)))</f>
        <v/>
      </c>
      <c r="L4202">
        <f>LET(
    arrears_months,'Loan Tape (S&amp;P)'!AN4202,
    IF(arrears_months=0,1.00,
    IF(arrears_months=1,3.00,
    IF(arrears_months=2,5.00,
    IF(arrears_months=3,8.00,
    IF(arrears_months=4,10.00,
    IF(arrears_months=5,12.00,15.00)))))))</f>
        <v/>
      </c>
      <c r="M4202">
        <f>LET(
    seasoning_years,DATEDIF('Loan Tape (S&amp;P)'!K4202,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02">
        <f>IF(AND('Loan Tape (S&amp;P)'!U4202="Yes",
        'Loan Tape (S&amp;P)'!T4202&lt;&gt;"Yes",
        DATEDIF('Loan Tape (S&amp;P)'!K4202, TODAY(), "M")&lt;18),
    1.10,
    1.00)</f>
        <v/>
      </c>
      <c r="O4202">
        <f>IF('Loan Tape (S&amp;P)'!T4202="Yes",
    1.35,
    1.00)</f>
        <v/>
      </c>
      <c r="P4202">
        <f>IF('Loan Tape (S&amp;P)'!S4202="Yes",
    1.15,
    1.00)</f>
        <v/>
      </c>
      <c r="Q4202">
        <f>IF('Loan Tape (S&amp;P)'!V4202="Yes",
    1.20,
    1.00)</f>
        <v/>
      </c>
      <c r="T4202">
        <f>LET(
    payment_method,'Loan Tape (S&amp;P)'!P4202,
    occupancy,'Loan Tape (S&amp;P)'!N4202,
    maturity_date,'Loan Tape (S&amp;P)'!L4202,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03">
      <c r="J4203">
        <f>LET(
    lien,'Loan Tape (S&amp;P)'!Q4203,
    IF(lien="First",1.00,
        IF(lien="Second",1.50,
            1.70)))</f>
        <v/>
      </c>
      <c r="K4203">
        <f>LET(
    purpose,'Loan Tape (S&amp;P)'!R4203,
    IF(purpose="Purchase",1.00,
        IF(purpose="Remortgage",1.00,
            1.20)))</f>
        <v/>
      </c>
      <c r="L4203">
        <f>LET(
    arrears_months,'Loan Tape (S&amp;P)'!AN4203,
    IF(arrears_months=0,1.00,
    IF(arrears_months=1,3.00,
    IF(arrears_months=2,5.00,
    IF(arrears_months=3,8.00,
    IF(arrears_months=4,10.00,
    IF(arrears_months=5,12.00,15.00)))))))</f>
        <v/>
      </c>
      <c r="M4203">
        <f>LET(
    seasoning_years,DATEDIF('Loan Tape (S&amp;P)'!K4203,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03">
        <f>IF(AND('Loan Tape (S&amp;P)'!U4203="Yes",
        'Loan Tape (S&amp;P)'!T4203&lt;&gt;"Yes",
        DATEDIF('Loan Tape (S&amp;P)'!K4203, TODAY(), "M")&lt;18),
    1.10,
    1.00)</f>
        <v/>
      </c>
      <c r="O4203">
        <f>IF('Loan Tape (S&amp;P)'!T4203="Yes",
    1.35,
    1.00)</f>
        <v/>
      </c>
      <c r="P4203">
        <f>IF('Loan Tape (S&amp;P)'!S4203="Yes",
    1.15,
    1.00)</f>
        <v/>
      </c>
      <c r="Q4203">
        <f>IF('Loan Tape (S&amp;P)'!V4203="Yes",
    1.20,
    1.00)</f>
        <v/>
      </c>
      <c r="T4203">
        <f>LET(
    payment_method,'Loan Tape (S&amp;P)'!P4203,
    occupancy,'Loan Tape (S&amp;P)'!N4203,
    maturity_date,'Loan Tape (S&amp;P)'!L4203,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04">
      <c r="J4204">
        <f>LET(
    lien,'Loan Tape (S&amp;P)'!Q4204,
    IF(lien="First",1.00,
        IF(lien="Second",1.50,
            1.70)))</f>
        <v/>
      </c>
      <c r="K4204">
        <f>LET(
    purpose,'Loan Tape (S&amp;P)'!R4204,
    IF(purpose="Purchase",1.00,
        IF(purpose="Remortgage",1.00,
            1.20)))</f>
        <v/>
      </c>
      <c r="L4204">
        <f>LET(
    arrears_months,'Loan Tape (S&amp;P)'!AN4204,
    IF(arrears_months=0,1.00,
    IF(arrears_months=1,3.00,
    IF(arrears_months=2,5.00,
    IF(arrears_months=3,8.00,
    IF(arrears_months=4,10.00,
    IF(arrears_months=5,12.00,15.00)))))))</f>
        <v/>
      </c>
      <c r="M4204">
        <f>LET(
    seasoning_years,DATEDIF('Loan Tape (S&amp;P)'!K4204,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04">
        <f>IF(AND('Loan Tape (S&amp;P)'!U4204="Yes",
        'Loan Tape (S&amp;P)'!T4204&lt;&gt;"Yes",
        DATEDIF('Loan Tape (S&amp;P)'!K4204, TODAY(), "M")&lt;18),
    1.10,
    1.00)</f>
        <v/>
      </c>
      <c r="O4204">
        <f>IF('Loan Tape (S&amp;P)'!T4204="Yes",
    1.35,
    1.00)</f>
        <v/>
      </c>
      <c r="P4204">
        <f>IF('Loan Tape (S&amp;P)'!S4204="Yes",
    1.15,
    1.00)</f>
        <v/>
      </c>
      <c r="Q4204">
        <f>IF('Loan Tape (S&amp;P)'!V4204="Yes",
    1.20,
    1.00)</f>
        <v/>
      </c>
      <c r="T4204">
        <f>LET(
    payment_method,'Loan Tape (S&amp;P)'!P4204,
    occupancy,'Loan Tape (S&amp;P)'!N4204,
    maturity_date,'Loan Tape (S&amp;P)'!L4204,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05">
      <c r="J4205">
        <f>LET(
    lien,'Loan Tape (S&amp;P)'!Q4205,
    IF(lien="First",1.00,
        IF(lien="Second",1.50,
            1.70)))</f>
        <v/>
      </c>
      <c r="K4205">
        <f>LET(
    purpose,'Loan Tape (S&amp;P)'!R4205,
    IF(purpose="Purchase",1.00,
        IF(purpose="Remortgage",1.00,
            1.20)))</f>
        <v/>
      </c>
      <c r="L4205">
        <f>LET(
    arrears_months,'Loan Tape (S&amp;P)'!AN4205,
    IF(arrears_months=0,1.00,
    IF(arrears_months=1,3.00,
    IF(arrears_months=2,5.00,
    IF(arrears_months=3,8.00,
    IF(arrears_months=4,10.00,
    IF(arrears_months=5,12.00,15.00)))))))</f>
        <v/>
      </c>
      <c r="M4205">
        <f>LET(
    seasoning_years,DATEDIF('Loan Tape (S&amp;P)'!K4205,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05">
        <f>IF(AND('Loan Tape (S&amp;P)'!U4205="Yes",
        'Loan Tape (S&amp;P)'!T4205&lt;&gt;"Yes",
        DATEDIF('Loan Tape (S&amp;P)'!K4205, TODAY(), "M")&lt;18),
    1.10,
    1.00)</f>
        <v/>
      </c>
      <c r="O4205">
        <f>IF('Loan Tape (S&amp;P)'!T4205="Yes",
    1.35,
    1.00)</f>
        <v/>
      </c>
      <c r="P4205">
        <f>IF('Loan Tape (S&amp;P)'!S4205="Yes",
    1.15,
    1.00)</f>
        <v/>
      </c>
      <c r="Q4205">
        <f>IF('Loan Tape (S&amp;P)'!V4205="Yes",
    1.20,
    1.00)</f>
        <v/>
      </c>
      <c r="T4205">
        <f>LET(
    payment_method,'Loan Tape (S&amp;P)'!P4205,
    occupancy,'Loan Tape (S&amp;P)'!N4205,
    maturity_date,'Loan Tape (S&amp;P)'!L4205,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06">
      <c r="J4206">
        <f>LET(
    lien,'Loan Tape (S&amp;P)'!Q4206,
    IF(lien="First",1.00,
        IF(lien="Second",1.50,
            1.70)))</f>
        <v/>
      </c>
      <c r="K4206">
        <f>LET(
    purpose,'Loan Tape (S&amp;P)'!R4206,
    IF(purpose="Purchase",1.00,
        IF(purpose="Remortgage",1.00,
            1.20)))</f>
        <v/>
      </c>
      <c r="L4206">
        <f>LET(
    arrears_months,'Loan Tape (S&amp;P)'!AN4206,
    IF(arrears_months=0,1.00,
    IF(arrears_months=1,3.00,
    IF(arrears_months=2,5.00,
    IF(arrears_months=3,8.00,
    IF(arrears_months=4,10.00,
    IF(arrears_months=5,12.00,15.00)))))))</f>
        <v/>
      </c>
      <c r="M4206">
        <f>LET(
    seasoning_years,DATEDIF('Loan Tape (S&amp;P)'!K4206,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06">
        <f>IF(AND('Loan Tape (S&amp;P)'!U4206="Yes",
        'Loan Tape (S&amp;P)'!T4206&lt;&gt;"Yes",
        DATEDIF('Loan Tape (S&amp;P)'!K4206, TODAY(), "M")&lt;18),
    1.10,
    1.00)</f>
        <v/>
      </c>
      <c r="O4206">
        <f>IF('Loan Tape (S&amp;P)'!T4206="Yes",
    1.35,
    1.00)</f>
        <v/>
      </c>
      <c r="P4206">
        <f>IF('Loan Tape (S&amp;P)'!S4206="Yes",
    1.15,
    1.00)</f>
        <v/>
      </c>
      <c r="Q4206">
        <f>IF('Loan Tape (S&amp;P)'!V4206="Yes",
    1.20,
    1.00)</f>
        <v/>
      </c>
      <c r="T4206">
        <f>LET(
    payment_method,'Loan Tape (S&amp;P)'!P4206,
    occupancy,'Loan Tape (S&amp;P)'!N4206,
    maturity_date,'Loan Tape (S&amp;P)'!L4206,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07">
      <c r="J4207">
        <f>LET(
    lien,'Loan Tape (S&amp;P)'!Q4207,
    IF(lien="First",1.00,
        IF(lien="Second",1.50,
            1.70)))</f>
        <v/>
      </c>
      <c r="K4207">
        <f>LET(
    purpose,'Loan Tape (S&amp;P)'!R4207,
    IF(purpose="Purchase",1.00,
        IF(purpose="Remortgage",1.00,
            1.20)))</f>
        <v/>
      </c>
      <c r="L4207">
        <f>LET(
    arrears_months,'Loan Tape (S&amp;P)'!AN4207,
    IF(arrears_months=0,1.00,
    IF(arrears_months=1,3.00,
    IF(arrears_months=2,5.00,
    IF(arrears_months=3,8.00,
    IF(arrears_months=4,10.00,
    IF(arrears_months=5,12.00,15.00)))))))</f>
        <v/>
      </c>
      <c r="M4207">
        <f>LET(
    seasoning_years,DATEDIF('Loan Tape (S&amp;P)'!K4207,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07">
        <f>IF(AND('Loan Tape (S&amp;P)'!U4207="Yes",
        'Loan Tape (S&amp;P)'!T4207&lt;&gt;"Yes",
        DATEDIF('Loan Tape (S&amp;P)'!K4207, TODAY(), "M")&lt;18),
    1.10,
    1.00)</f>
        <v/>
      </c>
      <c r="O4207">
        <f>IF('Loan Tape (S&amp;P)'!T4207="Yes",
    1.35,
    1.00)</f>
        <v/>
      </c>
      <c r="P4207">
        <f>IF('Loan Tape (S&amp;P)'!S4207="Yes",
    1.15,
    1.00)</f>
        <v/>
      </c>
      <c r="Q4207">
        <f>IF('Loan Tape (S&amp;P)'!V4207="Yes",
    1.20,
    1.00)</f>
        <v/>
      </c>
      <c r="T4207">
        <f>LET(
    payment_method,'Loan Tape (S&amp;P)'!P4207,
    occupancy,'Loan Tape (S&amp;P)'!N4207,
    maturity_date,'Loan Tape (S&amp;P)'!L4207,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08">
      <c r="J4208">
        <f>LET(
    lien,'Loan Tape (S&amp;P)'!Q4208,
    IF(lien="First",1.00,
        IF(lien="Second",1.50,
            1.70)))</f>
        <v/>
      </c>
      <c r="K4208">
        <f>LET(
    purpose,'Loan Tape (S&amp;P)'!R4208,
    IF(purpose="Purchase",1.00,
        IF(purpose="Remortgage",1.00,
            1.20)))</f>
        <v/>
      </c>
      <c r="L4208">
        <f>LET(
    arrears_months,'Loan Tape (S&amp;P)'!AN4208,
    IF(arrears_months=0,1.00,
    IF(arrears_months=1,3.00,
    IF(arrears_months=2,5.00,
    IF(arrears_months=3,8.00,
    IF(arrears_months=4,10.00,
    IF(arrears_months=5,12.00,15.00)))))))</f>
        <v/>
      </c>
      <c r="M4208">
        <f>LET(
    seasoning_years,DATEDIF('Loan Tape (S&amp;P)'!K4208,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08">
        <f>IF(AND('Loan Tape (S&amp;P)'!U4208="Yes",
        'Loan Tape (S&amp;P)'!T4208&lt;&gt;"Yes",
        DATEDIF('Loan Tape (S&amp;P)'!K4208, TODAY(), "M")&lt;18),
    1.10,
    1.00)</f>
        <v/>
      </c>
      <c r="O4208">
        <f>IF('Loan Tape (S&amp;P)'!T4208="Yes",
    1.35,
    1.00)</f>
        <v/>
      </c>
      <c r="P4208">
        <f>IF('Loan Tape (S&amp;P)'!S4208="Yes",
    1.15,
    1.00)</f>
        <v/>
      </c>
      <c r="Q4208">
        <f>IF('Loan Tape (S&amp;P)'!V4208="Yes",
    1.20,
    1.00)</f>
        <v/>
      </c>
      <c r="T4208">
        <f>LET(
    payment_method,'Loan Tape (S&amp;P)'!P4208,
    occupancy,'Loan Tape (S&amp;P)'!N4208,
    maturity_date,'Loan Tape (S&amp;P)'!L4208,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09">
      <c r="J4209">
        <f>LET(
    lien,'Loan Tape (S&amp;P)'!Q4209,
    IF(lien="First",1.00,
        IF(lien="Second",1.50,
            1.70)))</f>
        <v/>
      </c>
      <c r="K4209">
        <f>LET(
    purpose,'Loan Tape (S&amp;P)'!R4209,
    IF(purpose="Purchase",1.00,
        IF(purpose="Remortgage",1.00,
            1.20)))</f>
        <v/>
      </c>
      <c r="L4209">
        <f>LET(
    arrears_months,'Loan Tape (S&amp;P)'!AN4209,
    IF(arrears_months=0,1.00,
    IF(arrears_months=1,3.00,
    IF(arrears_months=2,5.00,
    IF(arrears_months=3,8.00,
    IF(arrears_months=4,10.00,
    IF(arrears_months=5,12.00,15.00)))))))</f>
        <v/>
      </c>
      <c r="M4209">
        <f>LET(
    seasoning_years,DATEDIF('Loan Tape (S&amp;P)'!K4209,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09">
        <f>IF(AND('Loan Tape (S&amp;P)'!U4209="Yes",
        'Loan Tape (S&amp;P)'!T4209&lt;&gt;"Yes",
        DATEDIF('Loan Tape (S&amp;P)'!K4209, TODAY(), "M")&lt;18),
    1.10,
    1.00)</f>
        <v/>
      </c>
      <c r="O4209">
        <f>IF('Loan Tape (S&amp;P)'!T4209="Yes",
    1.35,
    1.00)</f>
        <v/>
      </c>
      <c r="P4209">
        <f>IF('Loan Tape (S&amp;P)'!S4209="Yes",
    1.15,
    1.00)</f>
        <v/>
      </c>
      <c r="Q4209">
        <f>IF('Loan Tape (S&amp;P)'!V4209="Yes",
    1.20,
    1.00)</f>
        <v/>
      </c>
      <c r="T4209">
        <f>LET(
    payment_method,'Loan Tape (S&amp;P)'!P4209,
    occupancy,'Loan Tape (S&amp;P)'!N4209,
    maturity_date,'Loan Tape (S&amp;P)'!L4209,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10">
      <c r="J4210">
        <f>LET(
    lien,'Loan Tape (S&amp;P)'!Q4210,
    IF(lien="First",1.00,
        IF(lien="Second",1.50,
            1.70)))</f>
        <v/>
      </c>
      <c r="K4210">
        <f>LET(
    purpose,'Loan Tape (S&amp;P)'!R4210,
    IF(purpose="Purchase",1.00,
        IF(purpose="Remortgage",1.00,
            1.20)))</f>
        <v/>
      </c>
      <c r="L4210">
        <f>LET(
    arrears_months,'Loan Tape (S&amp;P)'!AN4210,
    IF(arrears_months=0,1.00,
    IF(arrears_months=1,3.00,
    IF(arrears_months=2,5.00,
    IF(arrears_months=3,8.00,
    IF(arrears_months=4,10.00,
    IF(arrears_months=5,12.00,15.00)))))))</f>
        <v/>
      </c>
      <c r="M4210">
        <f>LET(
    seasoning_years,DATEDIF('Loan Tape (S&amp;P)'!K4210,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10">
        <f>IF(AND('Loan Tape (S&amp;P)'!U4210="Yes",
        'Loan Tape (S&amp;P)'!T4210&lt;&gt;"Yes",
        DATEDIF('Loan Tape (S&amp;P)'!K4210, TODAY(), "M")&lt;18),
    1.10,
    1.00)</f>
        <v/>
      </c>
      <c r="O4210">
        <f>IF('Loan Tape (S&amp;P)'!T4210="Yes",
    1.35,
    1.00)</f>
        <v/>
      </c>
      <c r="P4210">
        <f>IF('Loan Tape (S&amp;P)'!S4210="Yes",
    1.15,
    1.00)</f>
        <v/>
      </c>
      <c r="Q4210">
        <f>IF('Loan Tape (S&amp;P)'!V4210="Yes",
    1.20,
    1.00)</f>
        <v/>
      </c>
      <c r="T4210">
        <f>LET(
    payment_method,'Loan Tape (S&amp;P)'!P4210,
    occupancy,'Loan Tape (S&amp;P)'!N4210,
    maturity_date,'Loan Tape (S&amp;P)'!L4210,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11">
      <c r="J4211">
        <f>LET(
    lien,'Loan Tape (S&amp;P)'!Q4211,
    IF(lien="First",1.00,
        IF(lien="Second",1.50,
            1.70)))</f>
        <v/>
      </c>
      <c r="K4211">
        <f>LET(
    purpose,'Loan Tape (S&amp;P)'!R4211,
    IF(purpose="Purchase",1.00,
        IF(purpose="Remortgage",1.00,
            1.20)))</f>
        <v/>
      </c>
      <c r="L4211">
        <f>LET(
    arrears_months,'Loan Tape (S&amp;P)'!AN4211,
    IF(arrears_months=0,1.00,
    IF(arrears_months=1,3.00,
    IF(arrears_months=2,5.00,
    IF(arrears_months=3,8.00,
    IF(arrears_months=4,10.00,
    IF(arrears_months=5,12.00,15.00)))))))</f>
        <v/>
      </c>
      <c r="M4211">
        <f>LET(
    seasoning_years,DATEDIF('Loan Tape (S&amp;P)'!K4211,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11">
        <f>IF(AND('Loan Tape (S&amp;P)'!U4211="Yes",
        'Loan Tape (S&amp;P)'!T4211&lt;&gt;"Yes",
        DATEDIF('Loan Tape (S&amp;P)'!K4211, TODAY(), "M")&lt;18),
    1.10,
    1.00)</f>
        <v/>
      </c>
      <c r="O4211">
        <f>IF('Loan Tape (S&amp;P)'!T4211="Yes",
    1.35,
    1.00)</f>
        <v/>
      </c>
      <c r="P4211">
        <f>IF('Loan Tape (S&amp;P)'!S4211="Yes",
    1.15,
    1.00)</f>
        <v/>
      </c>
      <c r="Q4211">
        <f>IF('Loan Tape (S&amp;P)'!V4211="Yes",
    1.20,
    1.00)</f>
        <v/>
      </c>
      <c r="T4211">
        <f>LET(
    payment_method,'Loan Tape (S&amp;P)'!P4211,
    occupancy,'Loan Tape (S&amp;P)'!N4211,
    maturity_date,'Loan Tape (S&amp;P)'!L4211,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12">
      <c r="J4212">
        <f>LET(
    lien,'Loan Tape (S&amp;P)'!Q4212,
    IF(lien="First",1.00,
        IF(lien="Second",1.50,
            1.70)))</f>
        <v/>
      </c>
      <c r="K4212">
        <f>LET(
    purpose,'Loan Tape (S&amp;P)'!R4212,
    IF(purpose="Purchase",1.00,
        IF(purpose="Remortgage",1.00,
            1.20)))</f>
        <v/>
      </c>
      <c r="L4212">
        <f>LET(
    arrears_months,'Loan Tape (S&amp;P)'!AN4212,
    IF(arrears_months=0,1.00,
    IF(arrears_months=1,3.00,
    IF(arrears_months=2,5.00,
    IF(arrears_months=3,8.00,
    IF(arrears_months=4,10.00,
    IF(arrears_months=5,12.00,15.00)))))))</f>
        <v/>
      </c>
      <c r="M4212">
        <f>LET(
    seasoning_years,DATEDIF('Loan Tape (S&amp;P)'!K4212,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12">
        <f>IF(AND('Loan Tape (S&amp;P)'!U4212="Yes",
        'Loan Tape (S&amp;P)'!T4212&lt;&gt;"Yes",
        DATEDIF('Loan Tape (S&amp;P)'!K4212, TODAY(), "M")&lt;18),
    1.10,
    1.00)</f>
        <v/>
      </c>
      <c r="O4212">
        <f>IF('Loan Tape (S&amp;P)'!T4212="Yes",
    1.35,
    1.00)</f>
        <v/>
      </c>
      <c r="P4212">
        <f>IF('Loan Tape (S&amp;P)'!S4212="Yes",
    1.15,
    1.00)</f>
        <v/>
      </c>
      <c r="Q4212">
        <f>IF('Loan Tape (S&amp;P)'!V4212="Yes",
    1.20,
    1.00)</f>
        <v/>
      </c>
      <c r="T4212">
        <f>LET(
    payment_method,'Loan Tape (S&amp;P)'!P4212,
    occupancy,'Loan Tape (S&amp;P)'!N4212,
    maturity_date,'Loan Tape (S&amp;P)'!L4212,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13">
      <c r="J4213">
        <f>LET(
    lien,'Loan Tape (S&amp;P)'!Q4213,
    IF(lien="First",1.00,
        IF(lien="Second",1.50,
            1.70)))</f>
        <v/>
      </c>
      <c r="K4213">
        <f>LET(
    purpose,'Loan Tape (S&amp;P)'!R4213,
    IF(purpose="Purchase",1.00,
        IF(purpose="Remortgage",1.00,
            1.20)))</f>
        <v/>
      </c>
      <c r="L4213">
        <f>LET(
    arrears_months,'Loan Tape (S&amp;P)'!AN4213,
    IF(arrears_months=0,1.00,
    IF(arrears_months=1,3.00,
    IF(arrears_months=2,5.00,
    IF(arrears_months=3,8.00,
    IF(arrears_months=4,10.00,
    IF(arrears_months=5,12.00,15.00)))))))</f>
        <v/>
      </c>
      <c r="M4213">
        <f>LET(
    seasoning_years,DATEDIF('Loan Tape (S&amp;P)'!K4213,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13">
        <f>IF(AND('Loan Tape (S&amp;P)'!U4213="Yes",
        'Loan Tape (S&amp;P)'!T4213&lt;&gt;"Yes",
        DATEDIF('Loan Tape (S&amp;P)'!K4213, TODAY(), "M")&lt;18),
    1.10,
    1.00)</f>
        <v/>
      </c>
      <c r="O4213">
        <f>IF('Loan Tape (S&amp;P)'!T4213="Yes",
    1.35,
    1.00)</f>
        <v/>
      </c>
      <c r="P4213">
        <f>IF('Loan Tape (S&amp;P)'!S4213="Yes",
    1.15,
    1.00)</f>
        <v/>
      </c>
      <c r="Q4213">
        <f>IF('Loan Tape (S&amp;P)'!V4213="Yes",
    1.20,
    1.00)</f>
        <v/>
      </c>
      <c r="T4213">
        <f>LET(
    payment_method,'Loan Tape (S&amp;P)'!P4213,
    occupancy,'Loan Tape (S&amp;P)'!N4213,
    maturity_date,'Loan Tape (S&amp;P)'!L4213,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14">
      <c r="J4214">
        <f>LET(
    lien,'Loan Tape (S&amp;P)'!Q4214,
    IF(lien="First",1.00,
        IF(lien="Second",1.50,
            1.70)))</f>
        <v/>
      </c>
      <c r="K4214">
        <f>LET(
    purpose,'Loan Tape (S&amp;P)'!R4214,
    IF(purpose="Purchase",1.00,
        IF(purpose="Remortgage",1.00,
            1.20)))</f>
        <v/>
      </c>
      <c r="L4214">
        <f>LET(
    arrears_months,'Loan Tape (S&amp;P)'!AN4214,
    IF(arrears_months=0,1.00,
    IF(arrears_months=1,3.00,
    IF(arrears_months=2,5.00,
    IF(arrears_months=3,8.00,
    IF(arrears_months=4,10.00,
    IF(arrears_months=5,12.00,15.00)))))))</f>
        <v/>
      </c>
      <c r="M4214">
        <f>LET(
    seasoning_years,DATEDIF('Loan Tape (S&amp;P)'!K4214,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14">
        <f>IF(AND('Loan Tape (S&amp;P)'!U4214="Yes",
        'Loan Tape (S&amp;P)'!T4214&lt;&gt;"Yes",
        DATEDIF('Loan Tape (S&amp;P)'!K4214, TODAY(), "M")&lt;18),
    1.10,
    1.00)</f>
        <v/>
      </c>
      <c r="O4214">
        <f>IF('Loan Tape (S&amp;P)'!T4214="Yes",
    1.35,
    1.00)</f>
        <v/>
      </c>
      <c r="P4214">
        <f>IF('Loan Tape (S&amp;P)'!S4214="Yes",
    1.15,
    1.00)</f>
        <v/>
      </c>
      <c r="Q4214">
        <f>IF('Loan Tape (S&amp;P)'!V4214="Yes",
    1.20,
    1.00)</f>
        <v/>
      </c>
      <c r="T4214">
        <f>LET(
    payment_method,'Loan Tape (S&amp;P)'!P4214,
    occupancy,'Loan Tape (S&amp;P)'!N4214,
    maturity_date,'Loan Tape (S&amp;P)'!L4214,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15">
      <c r="J4215">
        <f>LET(
    lien,'Loan Tape (S&amp;P)'!Q4215,
    IF(lien="First",1.00,
        IF(lien="Second",1.50,
            1.70)))</f>
        <v/>
      </c>
      <c r="K4215">
        <f>LET(
    purpose,'Loan Tape (S&amp;P)'!R4215,
    IF(purpose="Purchase",1.00,
        IF(purpose="Remortgage",1.00,
            1.20)))</f>
        <v/>
      </c>
      <c r="L4215">
        <f>LET(
    arrears_months,'Loan Tape (S&amp;P)'!AN4215,
    IF(arrears_months=0,1.00,
    IF(arrears_months=1,3.00,
    IF(arrears_months=2,5.00,
    IF(arrears_months=3,8.00,
    IF(arrears_months=4,10.00,
    IF(arrears_months=5,12.00,15.00)))))))</f>
        <v/>
      </c>
      <c r="M4215">
        <f>LET(
    seasoning_years,DATEDIF('Loan Tape (S&amp;P)'!K4215,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15">
        <f>IF(AND('Loan Tape (S&amp;P)'!U4215="Yes",
        'Loan Tape (S&amp;P)'!T4215&lt;&gt;"Yes",
        DATEDIF('Loan Tape (S&amp;P)'!K4215, TODAY(), "M")&lt;18),
    1.10,
    1.00)</f>
        <v/>
      </c>
      <c r="O4215">
        <f>IF('Loan Tape (S&amp;P)'!T4215="Yes",
    1.35,
    1.00)</f>
        <v/>
      </c>
      <c r="P4215">
        <f>IF('Loan Tape (S&amp;P)'!S4215="Yes",
    1.15,
    1.00)</f>
        <v/>
      </c>
      <c r="Q4215">
        <f>IF('Loan Tape (S&amp;P)'!V4215="Yes",
    1.20,
    1.00)</f>
        <v/>
      </c>
      <c r="T4215">
        <f>LET(
    payment_method,'Loan Tape (S&amp;P)'!P4215,
    occupancy,'Loan Tape (S&amp;P)'!N4215,
    maturity_date,'Loan Tape (S&amp;P)'!L4215,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16">
      <c r="J4216">
        <f>LET(
    lien,'Loan Tape (S&amp;P)'!Q4216,
    IF(lien="First",1.00,
        IF(lien="Second",1.50,
            1.70)))</f>
        <v/>
      </c>
      <c r="K4216">
        <f>LET(
    purpose,'Loan Tape (S&amp;P)'!R4216,
    IF(purpose="Purchase",1.00,
        IF(purpose="Remortgage",1.00,
            1.20)))</f>
        <v/>
      </c>
      <c r="L4216">
        <f>LET(
    arrears_months,'Loan Tape (S&amp;P)'!AN4216,
    IF(arrears_months=0,1.00,
    IF(arrears_months=1,3.00,
    IF(arrears_months=2,5.00,
    IF(arrears_months=3,8.00,
    IF(arrears_months=4,10.00,
    IF(arrears_months=5,12.00,15.00)))))))</f>
        <v/>
      </c>
      <c r="M4216">
        <f>LET(
    seasoning_years,DATEDIF('Loan Tape (S&amp;P)'!K4216,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16">
        <f>IF(AND('Loan Tape (S&amp;P)'!U4216="Yes",
        'Loan Tape (S&amp;P)'!T4216&lt;&gt;"Yes",
        DATEDIF('Loan Tape (S&amp;P)'!K4216, TODAY(), "M")&lt;18),
    1.10,
    1.00)</f>
        <v/>
      </c>
      <c r="O4216">
        <f>IF('Loan Tape (S&amp;P)'!T4216="Yes",
    1.35,
    1.00)</f>
        <v/>
      </c>
      <c r="P4216">
        <f>IF('Loan Tape (S&amp;P)'!S4216="Yes",
    1.15,
    1.00)</f>
        <v/>
      </c>
      <c r="Q4216">
        <f>IF('Loan Tape (S&amp;P)'!V4216="Yes",
    1.20,
    1.00)</f>
        <v/>
      </c>
      <c r="T4216">
        <f>LET(
    payment_method,'Loan Tape (S&amp;P)'!P4216,
    occupancy,'Loan Tape (S&amp;P)'!N4216,
    maturity_date,'Loan Tape (S&amp;P)'!L4216,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17">
      <c r="J4217">
        <f>LET(
    lien,'Loan Tape (S&amp;P)'!Q4217,
    IF(lien="First",1.00,
        IF(lien="Second",1.50,
            1.70)))</f>
        <v/>
      </c>
      <c r="K4217">
        <f>LET(
    purpose,'Loan Tape (S&amp;P)'!R4217,
    IF(purpose="Purchase",1.00,
        IF(purpose="Remortgage",1.00,
            1.20)))</f>
        <v/>
      </c>
      <c r="L4217">
        <f>LET(
    arrears_months,'Loan Tape (S&amp;P)'!AN4217,
    IF(arrears_months=0,1.00,
    IF(arrears_months=1,3.00,
    IF(arrears_months=2,5.00,
    IF(arrears_months=3,8.00,
    IF(arrears_months=4,10.00,
    IF(arrears_months=5,12.00,15.00)))))))</f>
        <v/>
      </c>
      <c r="M4217">
        <f>LET(
    seasoning_years,DATEDIF('Loan Tape (S&amp;P)'!K4217,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17">
        <f>IF(AND('Loan Tape (S&amp;P)'!U4217="Yes",
        'Loan Tape (S&amp;P)'!T4217&lt;&gt;"Yes",
        DATEDIF('Loan Tape (S&amp;P)'!K4217, TODAY(), "M")&lt;18),
    1.10,
    1.00)</f>
        <v/>
      </c>
      <c r="O4217">
        <f>IF('Loan Tape (S&amp;P)'!T4217="Yes",
    1.35,
    1.00)</f>
        <v/>
      </c>
      <c r="P4217">
        <f>IF('Loan Tape (S&amp;P)'!S4217="Yes",
    1.15,
    1.00)</f>
        <v/>
      </c>
      <c r="Q4217">
        <f>IF('Loan Tape (S&amp;P)'!V4217="Yes",
    1.20,
    1.00)</f>
        <v/>
      </c>
      <c r="T4217">
        <f>LET(
    payment_method,'Loan Tape (S&amp;P)'!P4217,
    occupancy,'Loan Tape (S&amp;P)'!N4217,
    maturity_date,'Loan Tape (S&amp;P)'!L4217,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18">
      <c r="J4218">
        <f>LET(
    lien,'Loan Tape (S&amp;P)'!Q4218,
    IF(lien="First",1.00,
        IF(lien="Second",1.50,
            1.70)))</f>
        <v/>
      </c>
      <c r="K4218">
        <f>LET(
    purpose,'Loan Tape (S&amp;P)'!R4218,
    IF(purpose="Purchase",1.00,
        IF(purpose="Remortgage",1.00,
            1.20)))</f>
        <v/>
      </c>
      <c r="L4218">
        <f>LET(
    arrears_months,'Loan Tape (S&amp;P)'!AN4218,
    IF(arrears_months=0,1.00,
    IF(arrears_months=1,3.00,
    IF(arrears_months=2,5.00,
    IF(arrears_months=3,8.00,
    IF(arrears_months=4,10.00,
    IF(arrears_months=5,12.00,15.00)))))))</f>
        <v/>
      </c>
      <c r="M4218">
        <f>LET(
    seasoning_years,DATEDIF('Loan Tape (S&amp;P)'!K4218,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18">
        <f>IF(AND('Loan Tape (S&amp;P)'!U4218="Yes",
        'Loan Tape (S&amp;P)'!T4218&lt;&gt;"Yes",
        DATEDIF('Loan Tape (S&amp;P)'!K4218, TODAY(), "M")&lt;18),
    1.10,
    1.00)</f>
        <v/>
      </c>
      <c r="O4218">
        <f>IF('Loan Tape (S&amp;P)'!T4218="Yes",
    1.35,
    1.00)</f>
        <v/>
      </c>
      <c r="P4218">
        <f>IF('Loan Tape (S&amp;P)'!S4218="Yes",
    1.15,
    1.00)</f>
        <v/>
      </c>
      <c r="Q4218">
        <f>IF('Loan Tape (S&amp;P)'!V4218="Yes",
    1.20,
    1.00)</f>
        <v/>
      </c>
      <c r="T4218">
        <f>LET(
    payment_method,'Loan Tape (S&amp;P)'!P4218,
    occupancy,'Loan Tape (S&amp;P)'!N4218,
    maturity_date,'Loan Tape (S&amp;P)'!L4218,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19">
      <c r="J4219">
        <f>LET(
    lien,'Loan Tape (S&amp;P)'!Q4219,
    IF(lien="First",1.00,
        IF(lien="Second",1.50,
            1.70)))</f>
        <v/>
      </c>
      <c r="K4219">
        <f>LET(
    purpose,'Loan Tape (S&amp;P)'!R4219,
    IF(purpose="Purchase",1.00,
        IF(purpose="Remortgage",1.00,
            1.20)))</f>
        <v/>
      </c>
      <c r="L4219">
        <f>LET(
    arrears_months,'Loan Tape (S&amp;P)'!AN4219,
    IF(arrears_months=0,1.00,
    IF(arrears_months=1,3.00,
    IF(arrears_months=2,5.00,
    IF(arrears_months=3,8.00,
    IF(arrears_months=4,10.00,
    IF(arrears_months=5,12.00,15.00)))))))</f>
        <v/>
      </c>
      <c r="M4219">
        <f>LET(
    seasoning_years,DATEDIF('Loan Tape (S&amp;P)'!K4219,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19">
        <f>IF(AND('Loan Tape (S&amp;P)'!U4219="Yes",
        'Loan Tape (S&amp;P)'!T4219&lt;&gt;"Yes",
        DATEDIF('Loan Tape (S&amp;P)'!K4219, TODAY(), "M")&lt;18),
    1.10,
    1.00)</f>
        <v/>
      </c>
      <c r="O4219">
        <f>IF('Loan Tape (S&amp;P)'!T4219="Yes",
    1.35,
    1.00)</f>
        <v/>
      </c>
      <c r="P4219">
        <f>IF('Loan Tape (S&amp;P)'!S4219="Yes",
    1.15,
    1.00)</f>
        <v/>
      </c>
      <c r="Q4219">
        <f>IF('Loan Tape (S&amp;P)'!V4219="Yes",
    1.20,
    1.00)</f>
        <v/>
      </c>
      <c r="T4219">
        <f>LET(
    payment_method,'Loan Tape (S&amp;P)'!P4219,
    occupancy,'Loan Tape (S&amp;P)'!N4219,
    maturity_date,'Loan Tape (S&amp;P)'!L4219,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20">
      <c r="J4220">
        <f>LET(
    lien,'Loan Tape (S&amp;P)'!Q4220,
    IF(lien="First",1.00,
        IF(lien="Second",1.50,
            1.70)))</f>
        <v/>
      </c>
      <c r="K4220">
        <f>LET(
    purpose,'Loan Tape (S&amp;P)'!R4220,
    IF(purpose="Purchase",1.00,
        IF(purpose="Remortgage",1.00,
            1.20)))</f>
        <v/>
      </c>
      <c r="L4220">
        <f>LET(
    arrears_months,'Loan Tape (S&amp;P)'!AN4220,
    IF(arrears_months=0,1.00,
    IF(arrears_months=1,3.00,
    IF(arrears_months=2,5.00,
    IF(arrears_months=3,8.00,
    IF(arrears_months=4,10.00,
    IF(arrears_months=5,12.00,15.00)))))))</f>
        <v/>
      </c>
      <c r="M4220">
        <f>LET(
    seasoning_years,DATEDIF('Loan Tape (S&amp;P)'!K4220,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20">
        <f>IF(AND('Loan Tape (S&amp;P)'!U4220="Yes",
        'Loan Tape (S&amp;P)'!T4220&lt;&gt;"Yes",
        DATEDIF('Loan Tape (S&amp;P)'!K4220, TODAY(), "M")&lt;18),
    1.10,
    1.00)</f>
        <v/>
      </c>
      <c r="O4220">
        <f>IF('Loan Tape (S&amp;P)'!T4220="Yes",
    1.35,
    1.00)</f>
        <v/>
      </c>
      <c r="P4220">
        <f>IF('Loan Tape (S&amp;P)'!S4220="Yes",
    1.15,
    1.00)</f>
        <v/>
      </c>
      <c r="Q4220">
        <f>IF('Loan Tape (S&amp;P)'!V4220="Yes",
    1.20,
    1.00)</f>
        <v/>
      </c>
      <c r="T4220">
        <f>LET(
    payment_method,'Loan Tape (S&amp;P)'!P4220,
    occupancy,'Loan Tape (S&amp;P)'!N4220,
    maturity_date,'Loan Tape (S&amp;P)'!L4220,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21">
      <c r="J4221">
        <f>LET(
    lien,'Loan Tape (S&amp;P)'!Q4221,
    IF(lien="First",1.00,
        IF(lien="Second",1.50,
            1.70)))</f>
        <v/>
      </c>
      <c r="K4221">
        <f>LET(
    purpose,'Loan Tape (S&amp;P)'!R4221,
    IF(purpose="Purchase",1.00,
        IF(purpose="Remortgage",1.00,
            1.20)))</f>
        <v/>
      </c>
      <c r="L4221">
        <f>LET(
    arrears_months,'Loan Tape (S&amp;P)'!AN4221,
    IF(arrears_months=0,1.00,
    IF(arrears_months=1,3.00,
    IF(arrears_months=2,5.00,
    IF(arrears_months=3,8.00,
    IF(arrears_months=4,10.00,
    IF(arrears_months=5,12.00,15.00)))))))</f>
        <v/>
      </c>
      <c r="M4221">
        <f>LET(
    seasoning_years,DATEDIF('Loan Tape (S&amp;P)'!K4221,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21">
        <f>IF(AND('Loan Tape (S&amp;P)'!U4221="Yes",
        'Loan Tape (S&amp;P)'!T4221&lt;&gt;"Yes",
        DATEDIF('Loan Tape (S&amp;P)'!K4221, TODAY(), "M")&lt;18),
    1.10,
    1.00)</f>
        <v/>
      </c>
      <c r="O4221">
        <f>IF('Loan Tape (S&amp;P)'!T4221="Yes",
    1.35,
    1.00)</f>
        <v/>
      </c>
      <c r="P4221">
        <f>IF('Loan Tape (S&amp;P)'!S4221="Yes",
    1.15,
    1.00)</f>
        <v/>
      </c>
      <c r="Q4221">
        <f>IF('Loan Tape (S&amp;P)'!V4221="Yes",
    1.20,
    1.00)</f>
        <v/>
      </c>
      <c r="T4221">
        <f>LET(
    payment_method,'Loan Tape (S&amp;P)'!P4221,
    occupancy,'Loan Tape (S&amp;P)'!N4221,
    maturity_date,'Loan Tape (S&amp;P)'!L4221,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22">
      <c r="J4222">
        <f>LET(
    lien,'Loan Tape (S&amp;P)'!Q4222,
    IF(lien="First",1.00,
        IF(lien="Second",1.50,
            1.70)))</f>
        <v/>
      </c>
      <c r="K4222">
        <f>LET(
    purpose,'Loan Tape (S&amp;P)'!R4222,
    IF(purpose="Purchase",1.00,
        IF(purpose="Remortgage",1.00,
            1.20)))</f>
        <v/>
      </c>
      <c r="L4222">
        <f>LET(
    arrears_months,'Loan Tape (S&amp;P)'!AN4222,
    IF(arrears_months=0,1.00,
    IF(arrears_months=1,3.00,
    IF(arrears_months=2,5.00,
    IF(arrears_months=3,8.00,
    IF(arrears_months=4,10.00,
    IF(arrears_months=5,12.00,15.00)))))))</f>
        <v/>
      </c>
      <c r="M4222">
        <f>LET(
    seasoning_years,DATEDIF('Loan Tape (S&amp;P)'!K4222,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22">
        <f>IF(AND('Loan Tape (S&amp;P)'!U4222="Yes",
        'Loan Tape (S&amp;P)'!T4222&lt;&gt;"Yes",
        DATEDIF('Loan Tape (S&amp;P)'!K4222, TODAY(), "M")&lt;18),
    1.10,
    1.00)</f>
        <v/>
      </c>
      <c r="O4222">
        <f>IF('Loan Tape (S&amp;P)'!T4222="Yes",
    1.35,
    1.00)</f>
        <v/>
      </c>
      <c r="P4222">
        <f>IF('Loan Tape (S&amp;P)'!S4222="Yes",
    1.15,
    1.00)</f>
        <v/>
      </c>
      <c r="Q4222">
        <f>IF('Loan Tape (S&amp;P)'!V4222="Yes",
    1.20,
    1.00)</f>
        <v/>
      </c>
      <c r="T4222">
        <f>LET(
    payment_method,'Loan Tape (S&amp;P)'!P4222,
    occupancy,'Loan Tape (S&amp;P)'!N4222,
    maturity_date,'Loan Tape (S&amp;P)'!L4222,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23">
      <c r="J4223">
        <f>LET(
    lien,'Loan Tape (S&amp;P)'!Q4223,
    IF(lien="First",1.00,
        IF(lien="Second",1.50,
            1.70)))</f>
        <v/>
      </c>
      <c r="K4223">
        <f>LET(
    purpose,'Loan Tape (S&amp;P)'!R4223,
    IF(purpose="Purchase",1.00,
        IF(purpose="Remortgage",1.00,
            1.20)))</f>
        <v/>
      </c>
      <c r="L4223">
        <f>LET(
    arrears_months,'Loan Tape (S&amp;P)'!AN4223,
    IF(arrears_months=0,1.00,
    IF(arrears_months=1,3.00,
    IF(arrears_months=2,5.00,
    IF(arrears_months=3,8.00,
    IF(arrears_months=4,10.00,
    IF(arrears_months=5,12.00,15.00)))))))</f>
        <v/>
      </c>
      <c r="M4223">
        <f>LET(
    seasoning_years,DATEDIF('Loan Tape (S&amp;P)'!K4223,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23">
        <f>IF(AND('Loan Tape (S&amp;P)'!U4223="Yes",
        'Loan Tape (S&amp;P)'!T4223&lt;&gt;"Yes",
        DATEDIF('Loan Tape (S&amp;P)'!K4223, TODAY(), "M")&lt;18),
    1.10,
    1.00)</f>
        <v/>
      </c>
      <c r="O4223">
        <f>IF('Loan Tape (S&amp;P)'!T4223="Yes",
    1.35,
    1.00)</f>
        <v/>
      </c>
      <c r="P4223">
        <f>IF('Loan Tape (S&amp;P)'!S4223="Yes",
    1.15,
    1.00)</f>
        <v/>
      </c>
      <c r="Q4223">
        <f>IF('Loan Tape (S&amp;P)'!V4223="Yes",
    1.20,
    1.00)</f>
        <v/>
      </c>
      <c r="T4223">
        <f>LET(
    payment_method,'Loan Tape (S&amp;P)'!P4223,
    occupancy,'Loan Tape (S&amp;P)'!N4223,
    maturity_date,'Loan Tape (S&amp;P)'!L4223,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24">
      <c r="J4224">
        <f>LET(
    lien,'Loan Tape (S&amp;P)'!Q4224,
    IF(lien="First",1.00,
        IF(lien="Second",1.50,
            1.70)))</f>
        <v/>
      </c>
      <c r="K4224">
        <f>LET(
    purpose,'Loan Tape (S&amp;P)'!R4224,
    IF(purpose="Purchase",1.00,
        IF(purpose="Remortgage",1.00,
            1.20)))</f>
        <v/>
      </c>
      <c r="L4224">
        <f>LET(
    arrears_months,'Loan Tape (S&amp;P)'!AN4224,
    IF(arrears_months=0,1.00,
    IF(arrears_months=1,3.00,
    IF(arrears_months=2,5.00,
    IF(arrears_months=3,8.00,
    IF(arrears_months=4,10.00,
    IF(arrears_months=5,12.00,15.00)))))))</f>
        <v/>
      </c>
      <c r="M4224">
        <f>LET(
    seasoning_years,DATEDIF('Loan Tape (S&amp;P)'!K4224,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24">
        <f>IF(AND('Loan Tape (S&amp;P)'!U4224="Yes",
        'Loan Tape (S&amp;P)'!T4224&lt;&gt;"Yes",
        DATEDIF('Loan Tape (S&amp;P)'!K4224, TODAY(), "M")&lt;18),
    1.10,
    1.00)</f>
        <v/>
      </c>
      <c r="O4224">
        <f>IF('Loan Tape (S&amp;P)'!T4224="Yes",
    1.35,
    1.00)</f>
        <v/>
      </c>
      <c r="P4224">
        <f>IF('Loan Tape (S&amp;P)'!S4224="Yes",
    1.15,
    1.00)</f>
        <v/>
      </c>
      <c r="Q4224">
        <f>IF('Loan Tape (S&amp;P)'!V4224="Yes",
    1.20,
    1.00)</f>
        <v/>
      </c>
      <c r="T4224">
        <f>LET(
    payment_method,'Loan Tape (S&amp;P)'!P4224,
    occupancy,'Loan Tape (S&amp;P)'!N4224,
    maturity_date,'Loan Tape (S&amp;P)'!L4224,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25">
      <c r="J4225">
        <f>LET(
    lien,'Loan Tape (S&amp;P)'!Q4225,
    IF(lien="First",1.00,
        IF(lien="Second",1.50,
            1.70)))</f>
        <v/>
      </c>
      <c r="K4225">
        <f>LET(
    purpose,'Loan Tape (S&amp;P)'!R4225,
    IF(purpose="Purchase",1.00,
        IF(purpose="Remortgage",1.00,
            1.20)))</f>
        <v/>
      </c>
      <c r="L4225">
        <f>LET(
    arrears_months,'Loan Tape (S&amp;P)'!AN4225,
    IF(arrears_months=0,1.00,
    IF(arrears_months=1,3.00,
    IF(arrears_months=2,5.00,
    IF(arrears_months=3,8.00,
    IF(arrears_months=4,10.00,
    IF(arrears_months=5,12.00,15.00)))))))</f>
        <v/>
      </c>
      <c r="M4225">
        <f>LET(
    seasoning_years,DATEDIF('Loan Tape (S&amp;P)'!K4225,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25">
        <f>IF(AND('Loan Tape (S&amp;P)'!U4225="Yes",
        'Loan Tape (S&amp;P)'!T4225&lt;&gt;"Yes",
        DATEDIF('Loan Tape (S&amp;P)'!K4225, TODAY(), "M")&lt;18),
    1.10,
    1.00)</f>
        <v/>
      </c>
      <c r="O4225">
        <f>IF('Loan Tape (S&amp;P)'!T4225="Yes",
    1.35,
    1.00)</f>
        <v/>
      </c>
      <c r="P4225">
        <f>IF('Loan Tape (S&amp;P)'!S4225="Yes",
    1.15,
    1.00)</f>
        <v/>
      </c>
      <c r="Q4225">
        <f>IF('Loan Tape (S&amp;P)'!V4225="Yes",
    1.20,
    1.00)</f>
        <v/>
      </c>
      <c r="T4225">
        <f>LET(
    payment_method,'Loan Tape (S&amp;P)'!P4225,
    occupancy,'Loan Tape (S&amp;P)'!N4225,
    maturity_date,'Loan Tape (S&amp;P)'!L4225,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26">
      <c r="J4226">
        <f>LET(
    lien,'Loan Tape (S&amp;P)'!Q4226,
    IF(lien="First",1.00,
        IF(lien="Second",1.50,
            1.70)))</f>
        <v/>
      </c>
      <c r="K4226">
        <f>LET(
    purpose,'Loan Tape (S&amp;P)'!R4226,
    IF(purpose="Purchase",1.00,
        IF(purpose="Remortgage",1.00,
            1.20)))</f>
        <v/>
      </c>
      <c r="L4226">
        <f>LET(
    arrears_months,'Loan Tape (S&amp;P)'!AN4226,
    IF(arrears_months=0,1.00,
    IF(arrears_months=1,3.00,
    IF(arrears_months=2,5.00,
    IF(arrears_months=3,8.00,
    IF(arrears_months=4,10.00,
    IF(arrears_months=5,12.00,15.00)))))))</f>
        <v/>
      </c>
      <c r="M4226">
        <f>LET(
    seasoning_years,DATEDIF('Loan Tape (S&amp;P)'!K4226,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26">
        <f>IF(AND('Loan Tape (S&amp;P)'!U4226="Yes",
        'Loan Tape (S&amp;P)'!T4226&lt;&gt;"Yes",
        DATEDIF('Loan Tape (S&amp;P)'!K4226, TODAY(), "M")&lt;18),
    1.10,
    1.00)</f>
        <v/>
      </c>
      <c r="O4226">
        <f>IF('Loan Tape (S&amp;P)'!T4226="Yes",
    1.35,
    1.00)</f>
        <v/>
      </c>
      <c r="P4226">
        <f>IF('Loan Tape (S&amp;P)'!S4226="Yes",
    1.15,
    1.00)</f>
        <v/>
      </c>
      <c r="Q4226">
        <f>IF('Loan Tape (S&amp;P)'!V4226="Yes",
    1.20,
    1.00)</f>
        <v/>
      </c>
      <c r="T4226">
        <f>LET(
    payment_method,'Loan Tape (S&amp;P)'!P4226,
    occupancy,'Loan Tape (S&amp;P)'!N4226,
    maturity_date,'Loan Tape (S&amp;P)'!L4226,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27">
      <c r="J4227">
        <f>LET(
    lien,'Loan Tape (S&amp;P)'!Q4227,
    IF(lien="First",1.00,
        IF(lien="Second",1.50,
            1.70)))</f>
        <v/>
      </c>
      <c r="K4227">
        <f>LET(
    purpose,'Loan Tape (S&amp;P)'!R4227,
    IF(purpose="Purchase",1.00,
        IF(purpose="Remortgage",1.00,
            1.20)))</f>
        <v/>
      </c>
      <c r="L4227">
        <f>LET(
    arrears_months,'Loan Tape (S&amp;P)'!AN4227,
    IF(arrears_months=0,1.00,
    IF(arrears_months=1,3.00,
    IF(arrears_months=2,5.00,
    IF(arrears_months=3,8.00,
    IF(arrears_months=4,10.00,
    IF(arrears_months=5,12.00,15.00)))))))</f>
        <v/>
      </c>
      <c r="M4227">
        <f>LET(
    seasoning_years,DATEDIF('Loan Tape (S&amp;P)'!K4227,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27">
        <f>IF(AND('Loan Tape (S&amp;P)'!U4227="Yes",
        'Loan Tape (S&amp;P)'!T4227&lt;&gt;"Yes",
        DATEDIF('Loan Tape (S&amp;P)'!K4227, TODAY(), "M")&lt;18),
    1.10,
    1.00)</f>
        <v/>
      </c>
      <c r="O4227">
        <f>IF('Loan Tape (S&amp;P)'!T4227="Yes",
    1.35,
    1.00)</f>
        <v/>
      </c>
      <c r="P4227">
        <f>IF('Loan Tape (S&amp;P)'!S4227="Yes",
    1.15,
    1.00)</f>
        <v/>
      </c>
      <c r="Q4227">
        <f>IF('Loan Tape (S&amp;P)'!V4227="Yes",
    1.20,
    1.00)</f>
        <v/>
      </c>
      <c r="T4227">
        <f>LET(
    payment_method,'Loan Tape (S&amp;P)'!P4227,
    occupancy,'Loan Tape (S&amp;P)'!N4227,
    maturity_date,'Loan Tape (S&amp;P)'!L4227,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28">
      <c r="J4228">
        <f>LET(
    lien,'Loan Tape (S&amp;P)'!Q4228,
    IF(lien="First",1.00,
        IF(lien="Second",1.50,
            1.70)))</f>
        <v/>
      </c>
      <c r="K4228">
        <f>LET(
    purpose,'Loan Tape (S&amp;P)'!R4228,
    IF(purpose="Purchase",1.00,
        IF(purpose="Remortgage",1.00,
            1.20)))</f>
        <v/>
      </c>
      <c r="L4228">
        <f>LET(
    arrears_months,'Loan Tape (S&amp;P)'!AN4228,
    IF(arrears_months=0,1.00,
    IF(arrears_months=1,3.00,
    IF(arrears_months=2,5.00,
    IF(arrears_months=3,8.00,
    IF(arrears_months=4,10.00,
    IF(arrears_months=5,12.00,15.00)))))))</f>
        <v/>
      </c>
      <c r="M4228">
        <f>LET(
    seasoning_years,DATEDIF('Loan Tape (S&amp;P)'!K4228,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28">
        <f>IF(AND('Loan Tape (S&amp;P)'!U4228="Yes",
        'Loan Tape (S&amp;P)'!T4228&lt;&gt;"Yes",
        DATEDIF('Loan Tape (S&amp;P)'!K4228, TODAY(), "M")&lt;18),
    1.10,
    1.00)</f>
        <v/>
      </c>
      <c r="O4228">
        <f>IF('Loan Tape (S&amp;P)'!T4228="Yes",
    1.35,
    1.00)</f>
        <v/>
      </c>
      <c r="P4228">
        <f>IF('Loan Tape (S&amp;P)'!S4228="Yes",
    1.15,
    1.00)</f>
        <v/>
      </c>
      <c r="Q4228">
        <f>IF('Loan Tape (S&amp;P)'!V4228="Yes",
    1.20,
    1.00)</f>
        <v/>
      </c>
      <c r="T4228">
        <f>LET(
    payment_method,'Loan Tape (S&amp;P)'!P4228,
    occupancy,'Loan Tape (S&amp;P)'!N4228,
    maturity_date,'Loan Tape (S&amp;P)'!L4228,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29">
      <c r="J4229">
        <f>LET(
    lien,'Loan Tape (S&amp;P)'!Q4229,
    IF(lien="First",1.00,
        IF(lien="Second",1.50,
            1.70)))</f>
        <v/>
      </c>
      <c r="K4229">
        <f>LET(
    purpose,'Loan Tape (S&amp;P)'!R4229,
    IF(purpose="Purchase",1.00,
        IF(purpose="Remortgage",1.00,
            1.20)))</f>
        <v/>
      </c>
      <c r="L4229">
        <f>LET(
    arrears_months,'Loan Tape (S&amp;P)'!AN4229,
    IF(arrears_months=0,1.00,
    IF(arrears_months=1,3.00,
    IF(arrears_months=2,5.00,
    IF(arrears_months=3,8.00,
    IF(arrears_months=4,10.00,
    IF(arrears_months=5,12.00,15.00)))))))</f>
        <v/>
      </c>
      <c r="M4229">
        <f>LET(
    seasoning_years,DATEDIF('Loan Tape (S&amp;P)'!K4229,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29">
        <f>IF(AND('Loan Tape (S&amp;P)'!U4229="Yes",
        'Loan Tape (S&amp;P)'!T4229&lt;&gt;"Yes",
        DATEDIF('Loan Tape (S&amp;P)'!K4229, TODAY(), "M")&lt;18),
    1.10,
    1.00)</f>
        <v/>
      </c>
      <c r="O4229">
        <f>IF('Loan Tape (S&amp;P)'!T4229="Yes",
    1.35,
    1.00)</f>
        <v/>
      </c>
      <c r="P4229">
        <f>IF('Loan Tape (S&amp;P)'!S4229="Yes",
    1.15,
    1.00)</f>
        <v/>
      </c>
      <c r="Q4229">
        <f>IF('Loan Tape (S&amp;P)'!V4229="Yes",
    1.20,
    1.00)</f>
        <v/>
      </c>
      <c r="T4229">
        <f>LET(
    payment_method,'Loan Tape (S&amp;P)'!P4229,
    occupancy,'Loan Tape (S&amp;P)'!N4229,
    maturity_date,'Loan Tape (S&amp;P)'!L4229,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30">
      <c r="J4230">
        <f>LET(
    lien,'Loan Tape (S&amp;P)'!Q4230,
    IF(lien="First",1.00,
        IF(lien="Second",1.50,
            1.70)))</f>
        <v/>
      </c>
      <c r="K4230">
        <f>LET(
    purpose,'Loan Tape (S&amp;P)'!R4230,
    IF(purpose="Purchase",1.00,
        IF(purpose="Remortgage",1.00,
            1.20)))</f>
        <v/>
      </c>
      <c r="L4230">
        <f>LET(
    arrears_months,'Loan Tape (S&amp;P)'!AN4230,
    IF(arrears_months=0,1.00,
    IF(arrears_months=1,3.00,
    IF(arrears_months=2,5.00,
    IF(arrears_months=3,8.00,
    IF(arrears_months=4,10.00,
    IF(arrears_months=5,12.00,15.00)))))))</f>
        <v/>
      </c>
      <c r="M4230">
        <f>LET(
    seasoning_years,DATEDIF('Loan Tape (S&amp;P)'!K4230,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30">
        <f>IF(AND('Loan Tape (S&amp;P)'!U4230="Yes",
        'Loan Tape (S&amp;P)'!T4230&lt;&gt;"Yes",
        DATEDIF('Loan Tape (S&amp;P)'!K4230, TODAY(), "M")&lt;18),
    1.10,
    1.00)</f>
        <v/>
      </c>
      <c r="O4230">
        <f>IF('Loan Tape (S&amp;P)'!T4230="Yes",
    1.35,
    1.00)</f>
        <v/>
      </c>
      <c r="P4230">
        <f>IF('Loan Tape (S&amp;P)'!S4230="Yes",
    1.15,
    1.00)</f>
        <v/>
      </c>
      <c r="Q4230">
        <f>IF('Loan Tape (S&amp;P)'!V4230="Yes",
    1.20,
    1.00)</f>
        <v/>
      </c>
      <c r="T4230">
        <f>LET(
    payment_method,'Loan Tape (S&amp;P)'!P4230,
    occupancy,'Loan Tape (S&amp;P)'!N4230,
    maturity_date,'Loan Tape (S&amp;P)'!L4230,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31">
      <c r="J4231">
        <f>LET(
    lien,'Loan Tape (S&amp;P)'!Q4231,
    IF(lien="First",1.00,
        IF(lien="Second",1.50,
            1.70)))</f>
        <v/>
      </c>
      <c r="K4231">
        <f>LET(
    purpose,'Loan Tape (S&amp;P)'!R4231,
    IF(purpose="Purchase",1.00,
        IF(purpose="Remortgage",1.00,
            1.20)))</f>
        <v/>
      </c>
      <c r="L4231">
        <f>LET(
    arrears_months,'Loan Tape (S&amp;P)'!AN4231,
    IF(arrears_months=0,1.00,
    IF(arrears_months=1,3.00,
    IF(arrears_months=2,5.00,
    IF(arrears_months=3,8.00,
    IF(arrears_months=4,10.00,
    IF(arrears_months=5,12.00,15.00)))))))</f>
        <v/>
      </c>
      <c r="M4231">
        <f>LET(
    seasoning_years,DATEDIF('Loan Tape (S&amp;P)'!K4231,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31">
        <f>IF(AND('Loan Tape (S&amp;P)'!U4231="Yes",
        'Loan Tape (S&amp;P)'!T4231&lt;&gt;"Yes",
        DATEDIF('Loan Tape (S&amp;P)'!K4231, TODAY(), "M")&lt;18),
    1.10,
    1.00)</f>
        <v/>
      </c>
      <c r="O4231">
        <f>IF('Loan Tape (S&amp;P)'!T4231="Yes",
    1.35,
    1.00)</f>
        <v/>
      </c>
      <c r="P4231">
        <f>IF('Loan Tape (S&amp;P)'!S4231="Yes",
    1.15,
    1.00)</f>
        <v/>
      </c>
      <c r="Q4231">
        <f>IF('Loan Tape (S&amp;P)'!V4231="Yes",
    1.20,
    1.00)</f>
        <v/>
      </c>
      <c r="T4231">
        <f>LET(
    payment_method,'Loan Tape (S&amp;P)'!P4231,
    occupancy,'Loan Tape (S&amp;P)'!N4231,
    maturity_date,'Loan Tape (S&amp;P)'!L4231,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32">
      <c r="J4232">
        <f>LET(
    lien,'Loan Tape (S&amp;P)'!Q4232,
    IF(lien="First",1.00,
        IF(lien="Second",1.50,
            1.70)))</f>
        <v/>
      </c>
      <c r="K4232">
        <f>LET(
    purpose,'Loan Tape (S&amp;P)'!R4232,
    IF(purpose="Purchase",1.00,
        IF(purpose="Remortgage",1.00,
            1.20)))</f>
        <v/>
      </c>
      <c r="L4232">
        <f>LET(
    arrears_months,'Loan Tape (S&amp;P)'!AN4232,
    IF(arrears_months=0,1.00,
    IF(arrears_months=1,3.00,
    IF(arrears_months=2,5.00,
    IF(arrears_months=3,8.00,
    IF(arrears_months=4,10.00,
    IF(arrears_months=5,12.00,15.00)))))))</f>
        <v/>
      </c>
      <c r="M4232">
        <f>LET(
    seasoning_years,DATEDIF('Loan Tape (S&amp;P)'!K4232,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32">
        <f>IF(AND('Loan Tape (S&amp;P)'!U4232="Yes",
        'Loan Tape (S&amp;P)'!T4232&lt;&gt;"Yes",
        DATEDIF('Loan Tape (S&amp;P)'!K4232, TODAY(), "M")&lt;18),
    1.10,
    1.00)</f>
        <v/>
      </c>
      <c r="O4232">
        <f>IF('Loan Tape (S&amp;P)'!T4232="Yes",
    1.35,
    1.00)</f>
        <v/>
      </c>
      <c r="P4232">
        <f>IF('Loan Tape (S&amp;P)'!S4232="Yes",
    1.15,
    1.00)</f>
        <v/>
      </c>
      <c r="Q4232">
        <f>IF('Loan Tape (S&amp;P)'!V4232="Yes",
    1.20,
    1.00)</f>
        <v/>
      </c>
      <c r="T4232">
        <f>LET(
    payment_method,'Loan Tape (S&amp;P)'!P4232,
    occupancy,'Loan Tape (S&amp;P)'!N4232,
    maturity_date,'Loan Tape (S&amp;P)'!L4232,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33">
      <c r="J4233">
        <f>LET(
    lien,'Loan Tape (S&amp;P)'!Q4233,
    IF(lien="First",1.00,
        IF(lien="Second",1.50,
            1.70)))</f>
        <v/>
      </c>
      <c r="K4233">
        <f>LET(
    purpose,'Loan Tape (S&amp;P)'!R4233,
    IF(purpose="Purchase",1.00,
        IF(purpose="Remortgage",1.00,
            1.20)))</f>
        <v/>
      </c>
      <c r="L4233">
        <f>LET(
    arrears_months,'Loan Tape (S&amp;P)'!AN4233,
    IF(arrears_months=0,1.00,
    IF(arrears_months=1,3.00,
    IF(arrears_months=2,5.00,
    IF(arrears_months=3,8.00,
    IF(arrears_months=4,10.00,
    IF(arrears_months=5,12.00,15.00)))))))</f>
        <v/>
      </c>
      <c r="M4233">
        <f>LET(
    seasoning_years,DATEDIF('Loan Tape (S&amp;P)'!K4233,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33">
        <f>IF(AND('Loan Tape (S&amp;P)'!U4233="Yes",
        'Loan Tape (S&amp;P)'!T4233&lt;&gt;"Yes",
        DATEDIF('Loan Tape (S&amp;P)'!K4233, TODAY(), "M")&lt;18),
    1.10,
    1.00)</f>
        <v/>
      </c>
      <c r="O4233">
        <f>IF('Loan Tape (S&amp;P)'!T4233="Yes",
    1.35,
    1.00)</f>
        <v/>
      </c>
      <c r="P4233">
        <f>IF('Loan Tape (S&amp;P)'!S4233="Yes",
    1.15,
    1.00)</f>
        <v/>
      </c>
      <c r="Q4233">
        <f>IF('Loan Tape (S&amp;P)'!V4233="Yes",
    1.20,
    1.00)</f>
        <v/>
      </c>
      <c r="T4233">
        <f>LET(
    payment_method,'Loan Tape (S&amp;P)'!P4233,
    occupancy,'Loan Tape (S&amp;P)'!N4233,
    maturity_date,'Loan Tape (S&amp;P)'!L4233,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34">
      <c r="J4234">
        <f>LET(
    lien,'Loan Tape (S&amp;P)'!Q4234,
    IF(lien="First",1.00,
        IF(lien="Second",1.50,
            1.70)))</f>
        <v/>
      </c>
      <c r="K4234">
        <f>LET(
    purpose,'Loan Tape (S&amp;P)'!R4234,
    IF(purpose="Purchase",1.00,
        IF(purpose="Remortgage",1.00,
            1.20)))</f>
        <v/>
      </c>
      <c r="L4234">
        <f>LET(
    arrears_months,'Loan Tape (S&amp;P)'!AN4234,
    IF(arrears_months=0,1.00,
    IF(arrears_months=1,3.00,
    IF(arrears_months=2,5.00,
    IF(arrears_months=3,8.00,
    IF(arrears_months=4,10.00,
    IF(arrears_months=5,12.00,15.00)))))))</f>
        <v/>
      </c>
      <c r="M4234">
        <f>LET(
    seasoning_years,DATEDIF('Loan Tape (S&amp;P)'!K4234,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34">
        <f>IF(AND('Loan Tape (S&amp;P)'!U4234="Yes",
        'Loan Tape (S&amp;P)'!T4234&lt;&gt;"Yes",
        DATEDIF('Loan Tape (S&amp;P)'!K4234, TODAY(), "M")&lt;18),
    1.10,
    1.00)</f>
        <v/>
      </c>
      <c r="O4234">
        <f>IF('Loan Tape (S&amp;P)'!T4234="Yes",
    1.35,
    1.00)</f>
        <v/>
      </c>
      <c r="P4234">
        <f>IF('Loan Tape (S&amp;P)'!S4234="Yes",
    1.15,
    1.00)</f>
        <v/>
      </c>
      <c r="Q4234">
        <f>IF('Loan Tape (S&amp;P)'!V4234="Yes",
    1.20,
    1.00)</f>
        <v/>
      </c>
      <c r="T4234">
        <f>LET(
    payment_method,'Loan Tape (S&amp;P)'!P4234,
    occupancy,'Loan Tape (S&amp;P)'!N4234,
    maturity_date,'Loan Tape (S&amp;P)'!L4234,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35">
      <c r="J4235">
        <f>LET(
    lien,'Loan Tape (S&amp;P)'!Q4235,
    IF(lien="First",1.00,
        IF(lien="Second",1.50,
            1.70)))</f>
        <v/>
      </c>
      <c r="K4235">
        <f>LET(
    purpose,'Loan Tape (S&amp;P)'!R4235,
    IF(purpose="Purchase",1.00,
        IF(purpose="Remortgage",1.00,
            1.20)))</f>
        <v/>
      </c>
      <c r="L4235">
        <f>LET(
    arrears_months,'Loan Tape (S&amp;P)'!AN4235,
    IF(arrears_months=0,1.00,
    IF(arrears_months=1,3.00,
    IF(arrears_months=2,5.00,
    IF(arrears_months=3,8.00,
    IF(arrears_months=4,10.00,
    IF(arrears_months=5,12.00,15.00)))))))</f>
        <v/>
      </c>
      <c r="M4235">
        <f>LET(
    seasoning_years,DATEDIF('Loan Tape (S&amp;P)'!K4235,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35">
        <f>IF(AND('Loan Tape (S&amp;P)'!U4235="Yes",
        'Loan Tape (S&amp;P)'!T4235&lt;&gt;"Yes",
        DATEDIF('Loan Tape (S&amp;P)'!K4235, TODAY(), "M")&lt;18),
    1.10,
    1.00)</f>
        <v/>
      </c>
      <c r="O4235">
        <f>IF('Loan Tape (S&amp;P)'!T4235="Yes",
    1.35,
    1.00)</f>
        <v/>
      </c>
      <c r="P4235">
        <f>IF('Loan Tape (S&amp;P)'!S4235="Yes",
    1.15,
    1.00)</f>
        <v/>
      </c>
      <c r="Q4235">
        <f>IF('Loan Tape (S&amp;P)'!V4235="Yes",
    1.20,
    1.00)</f>
        <v/>
      </c>
      <c r="T4235">
        <f>LET(
    payment_method,'Loan Tape (S&amp;P)'!P4235,
    occupancy,'Loan Tape (S&amp;P)'!N4235,
    maturity_date,'Loan Tape (S&amp;P)'!L4235,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36">
      <c r="J4236">
        <f>LET(
    lien,'Loan Tape (S&amp;P)'!Q4236,
    IF(lien="First",1.00,
        IF(lien="Second",1.50,
            1.70)))</f>
        <v/>
      </c>
      <c r="K4236">
        <f>LET(
    purpose,'Loan Tape (S&amp;P)'!R4236,
    IF(purpose="Purchase",1.00,
        IF(purpose="Remortgage",1.00,
            1.20)))</f>
        <v/>
      </c>
      <c r="L4236">
        <f>LET(
    arrears_months,'Loan Tape (S&amp;P)'!AN4236,
    IF(arrears_months=0,1.00,
    IF(arrears_months=1,3.00,
    IF(arrears_months=2,5.00,
    IF(arrears_months=3,8.00,
    IF(arrears_months=4,10.00,
    IF(arrears_months=5,12.00,15.00)))))))</f>
        <v/>
      </c>
      <c r="M4236">
        <f>LET(
    seasoning_years,DATEDIF('Loan Tape (S&amp;P)'!K4236,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36">
        <f>IF(AND('Loan Tape (S&amp;P)'!U4236="Yes",
        'Loan Tape (S&amp;P)'!T4236&lt;&gt;"Yes",
        DATEDIF('Loan Tape (S&amp;P)'!K4236, TODAY(), "M")&lt;18),
    1.10,
    1.00)</f>
        <v/>
      </c>
      <c r="O4236">
        <f>IF('Loan Tape (S&amp;P)'!T4236="Yes",
    1.35,
    1.00)</f>
        <v/>
      </c>
      <c r="P4236">
        <f>IF('Loan Tape (S&amp;P)'!S4236="Yes",
    1.15,
    1.00)</f>
        <v/>
      </c>
      <c r="Q4236">
        <f>IF('Loan Tape (S&amp;P)'!V4236="Yes",
    1.20,
    1.00)</f>
        <v/>
      </c>
      <c r="T4236">
        <f>LET(
    payment_method,'Loan Tape (S&amp;P)'!P4236,
    occupancy,'Loan Tape (S&amp;P)'!N4236,
    maturity_date,'Loan Tape (S&amp;P)'!L4236,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37">
      <c r="J4237">
        <f>LET(
    lien,'Loan Tape (S&amp;P)'!Q4237,
    IF(lien="First",1.00,
        IF(lien="Second",1.50,
            1.70)))</f>
        <v/>
      </c>
      <c r="K4237">
        <f>LET(
    purpose,'Loan Tape (S&amp;P)'!R4237,
    IF(purpose="Purchase",1.00,
        IF(purpose="Remortgage",1.00,
            1.20)))</f>
        <v/>
      </c>
      <c r="L4237">
        <f>LET(
    arrears_months,'Loan Tape (S&amp;P)'!AN4237,
    IF(arrears_months=0,1.00,
    IF(arrears_months=1,3.00,
    IF(arrears_months=2,5.00,
    IF(arrears_months=3,8.00,
    IF(arrears_months=4,10.00,
    IF(arrears_months=5,12.00,15.00)))))))</f>
        <v/>
      </c>
      <c r="M4237">
        <f>LET(
    seasoning_years,DATEDIF('Loan Tape (S&amp;P)'!K4237,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37">
        <f>IF(AND('Loan Tape (S&amp;P)'!U4237="Yes",
        'Loan Tape (S&amp;P)'!T4237&lt;&gt;"Yes",
        DATEDIF('Loan Tape (S&amp;P)'!K4237, TODAY(), "M")&lt;18),
    1.10,
    1.00)</f>
        <v/>
      </c>
      <c r="O4237">
        <f>IF('Loan Tape (S&amp;P)'!T4237="Yes",
    1.35,
    1.00)</f>
        <v/>
      </c>
      <c r="P4237">
        <f>IF('Loan Tape (S&amp;P)'!S4237="Yes",
    1.15,
    1.00)</f>
        <v/>
      </c>
      <c r="Q4237">
        <f>IF('Loan Tape (S&amp;P)'!V4237="Yes",
    1.20,
    1.00)</f>
        <v/>
      </c>
      <c r="T4237">
        <f>LET(
    payment_method,'Loan Tape (S&amp;P)'!P4237,
    occupancy,'Loan Tape (S&amp;P)'!N4237,
    maturity_date,'Loan Tape (S&amp;P)'!L4237,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38">
      <c r="J4238">
        <f>LET(
    lien,'Loan Tape (S&amp;P)'!Q4238,
    IF(lien="First",1.00,
        IF(lien="Second",1.50,
            1.70)))</f>
        <v/>
      </c>
      <c r="K4238">
        <f>LET(
    purpose,'Loan Tape (S&amp;P)'!R4238,
    IF(purpose="Purchase",1.00,
        IF(purpose="Remortgage",1.00,
            1.20)))</f>
        <v/>
      </c>
      <c r="L4238">
        <f>LET(
    arrears_months,'Loan Tape (S&amp;P)'!AN4238,
    IF(arrears_months=0,1.00,
    IF(arrears_months=1,3.00,
    IF(arrears_months=2,5.00,
    IF(arrears_months=3,8.00,
    IF(arrears_months=4,10.00,
    IF(arrears_months=5,12.00,15.00)))))))</f>
        <v/>
      </c>
      <c r="M4238">
        <f>LET(
    seasoning_years,DATEDIF('Loan Tape (S&amp;P)'!K4238,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38">
        <f>IF(AND('Loan Tape (S&amp;P)'!U4238="Yes",
        'Loan Tape (S&amp;P)'!T4238&lt;&gt;"Yes",
        DATEDIF('Loan Tape (S&amp;P)'!K4238, TODAY(), "M")&lt;18),
    1.10,
    1.00)</f>
        <v/>
      </c>
      <c r="O4238">
        <f>IF('Loan Tape (S&amp;P)'!T4238="Yes",
    1.35,
    1.00)</f>
        <v/>
      </c>
      <c r="P4238">
        <f>IF('Loan Tape (S&amp;P)'!S4238="Yes",
    1.15,
    1.00)</f>
        <v/>
      </c>
      <c r="Q4238">
        <f>IF('Loan Tape (S&amp;P)'!V4238="Yes",
    1.20,
    1.00)</f>
        <v/>
      </c>
      <c r="T4238">
        <f>LET(
    payment_method,'Loan Tape (S&amp;P)'!P4238,
    occupancy,'Loan Tape (S&amp;P)'!N4238,
    maturity_date,'Loan Tape (S&amp;P)'!L4238,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39">
      <c r="J4239">
        <f>LET(
    lien,'Loan Tape (S&amp;P)'!Q4239,
    IF(lien="First",1.00,
        IF(lien="Second",1.50,
            1.70)))</f>
        <v/>
      </c>
      <c r="K4239">
        <f>LET(
    purpose,'Loan Tape (S&amp;P)'!R4239,
    IF(purpose="Purchase",1.00,
        IF(purpose="Remortgage",1.00,
            1.20)))</f>
        <v/>
      </c>
      <c r="L4239">
        <f>LET(
    arrears_months,'Loan Tape (S&amp;P)'!AN4239,
    IF(arrears_months=0,1.00,
    IF(arrears_months=1,3.00,
    IF(arrears_months=2,5.00,
    IF(arrears_months=3,8.00,
    IF(arrears_months=4,10.00,
    IF(arrears_months=5,12.00,15.00)))))))</f>
        <v/>
      </c>
      <c r="M4239">
        <f>LET(
    seasoning_years,DATEDIF('Loan Tape (S&amp;P)'!K4239,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39">
        <f>IF(AND('Loan Tape (S&amp;P)'!U4239="Yes",
        'Loan Tape (S&amp;P)'!T4239&lt;&gt;"Yes",
        DATEDIF('Loan Tape (S&amp;P)'!K4239, TODAY(), "M")&lt;18),
    1.10,
    1.00)</f>
        <v/>
      </c>
      <c r="O4239">
        <f>IF('Loan Tape (S&amp;P)'!T4239="Yes",
    1.35,
    1.00)</f>
        <v/>
      </c>
      <c r="P4239">
        <f>IF('Loan Tape (S&amp;P)'!S4239="Yes",
    1.15,
    1.00)</f>
        <v/>
      </c>
      <c r="Q4239">
        <f>IF('Loan Tape (S&amp;P)'!V4239="Yes",
    1.20,
    1.00)</f>
        <v/>
      </c>
      <c r="T4239">
        <f>LET(
    payment_method,'Loan Tape (S&amp;P)'!P4239,
    occupancy,'Loan Tape (S&amp;P)'!N4239,
    maturity_date,'Loan Tape (S&amp;P)'!L4239,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40">
      <c r="J4240">
        <f>LET(
    lien,'Loan Tape (S&amp;P)'!Q4240,
    IF(lien="First",1.00,
        IF(lien="Second",1.50,
            1.70)))</f>
        <v/>
      </c>
      <c r="K4240">
        <f>LET(
    purpose,'Loan Tape (S&amp;P)'!R4240,
    IF(purpose="Purchase",1.00,
        IF(purpose="Remortgage",1.00,
            1.20)))</f>
        <v/>
      </c>
      <c r="L4240">
        <f>LET(
    arrears_months,'Loan Tape (S&amp;P)'!AN4240,
    IF(arrears_months=0,1.00,
    IF(arrears_months=1,3.00,
    IF(arrears_months=2,5.00,
    IF(arrears_months=3,8.00,
    IF(arrears_months=4,10.00,
    IF(arrears_months=5,12.00,15.00)))))))</f>
        <v/>
      </c>
      <c r="M4240">
        <f>LET(
    seasoning_years,DATEDIF('Loan Tape (S&amp;P)'!K4240,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40">
        <f>IF(AND('Loan Tape (S&amp;P)'!U4240="Yes",
        'Loan Tape (S&amp;P)'!T4240&lt;&gt;"Yes",
        DATEDIF('Loan Tape (S&amp;P)'!K4240, TODAY(), "M")&lt;18),
    1.10,
    1.00)</f>
        <v/>
      </c>
      <c r="O4240">
        <f>IF('Loan Tape (S&amp;P)'!T4240="Yes",
    1.35,
    1.00)</f>
        <v/>
      </c>
      <c r="P4240">
        <f>IF('Loan Tape (S&amp;P)'!S4240="Yes",
    1.15,
    1.00)</f>
        <v/>
      </c>
      <c r="Q4240">
        <f>IF('Loan Tape (S&amp;P)'!V4240="Yes",
    1.20,
    1.00)</f>
        <v/>
      </c>
      <c r="T4240">
        <f>LET(
    payment_method,'Loan Tape (S&amp;P)'!P4240,
    occupancy,'Loan Tape (S&amp;P)'!N4240,
    maturity_date,'Loan Tape (S&amp;P)'!L4240,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41">
      <c r="J4241">
        <f>LET(
    lien,'Loan Tape (S&amp;P)'!Q4241,
    IF(lien="First",1.00,
        IF(lien="Second",1.50,
            1.70)))</f>
        <v/>
      </c>
      <c r="K4241">
        <f>LET(
    purpose,'Loan Tape (S&amp;P)'!R4241,
    IF(purpose="Purchase",1.00,
        IF(purpose="Remortgage",1.00,
            1.20)))</f>
        <v/>
      </c>
      <c r="L4241">
        <f>LET(
    arrears_months,'Loan Tape (S&amp;P)'!AN4241,
    IF(arrears_months=0,1.00,
    IF(arrears_months=1,3.00,
    IF(arrears_months=2,5.00,
    IF(arrears_months=3,8.00,
    IF(arrears_months=4,10.00,
    IF(arrears_months=5,12.00,15.00)))))))</f>
        <v/>
      </c>
      <c r="M4241">
        <f>LET(
    seasoning_years,DATEDIF('Loan Tape (S&amp;P)'!K4241,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41">
        <f>IF(AND('Loan Tape (S&amp;P)'!U4241="Yes",
        'Loan Tape (S&amp;P)'!T4241&lt;&gt;"Yes",
        DATEDIF('Loan Tape (S&amp;P)'!K4241, TODAY(), "M")&lt;18),
    1.10,
    1.00)</f>
        <v/>
      </c>
      <c r="O4241">
        <f>IF('Loan Tape (S&amp;P)'!T4241="Yes",
    1.35,
    1.00)</f>
        <v/>
      </c>
      <c r="P4241">
        <f>IF('Loan Tape (S&amp;P)'!S4241="Yes",
    1.15,
    1.00)</f>
        <v/>
      </c>
      <c r="Q4241">
        <f>IF('Loan Tape (S&amp;P)'!V4241="Yes",
    1.20,
    1.00)</f>
        <v/>
      </c>
      <c r="T4241">
        <f>LET(
    payment_method,'Loan Tape (S&amp;P)'!P4241,
    occupancy,'Loan Tape (S&amp;P)'!N4241,
    maturity_date,'Loan Tape (S&amp;P)'!L4241,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42">
      <c r="J4242">
        <f>LET(
    lien,'Loan Tape (S&amp;P)'!Q4242,
    IF(lien="First",1.00,
        IF(lien="Second",1.50,
            1.70)))</f>
        <v/>
      </c>
      <c r="K4242">
        <f>LET(
    purpose,'Loan Tape (S&amp;P)'!R4242,
    IF(purpose="Purchase",1.00,
        IF(purpose="Remortgage",1.00,
            1.20)))</f>
        <v/>
      </c>
      <c r="L4242">
        <f>LET(
    arrears_months,'Loan Tape (S&amp;P)'!AN4242,
    IF(arrears_months=0,1.00,
    IF(arrears_months=1,3.00,
    IF(arrears_months=2,5.00,
    IF(arrears_months=3,8.00,
    IF(arrears_months=4,10.00,
    IF(arrears_months=5,12.00,15.00)))))))</f>
        <v/>
      </c>
      <c r="M4242">
        <f>LET(
    seasoning_years,DATEDIF('Loan Tape (S&amp;P)'!K4242,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42">
        <f>IF(AND('Loan Tape (S&amp;P)'!U4242="Yes",
        'Loan Tape (S&amp;P)'!T4242&lt;&gt;"Yes",
        DATEDIF('Loan Tape (S&amp;P)'!K4242, TODAY(), "M")&lt;18),
    1.10,
    1.00)</f>
        <v/>
      </c>
      <c r="O4242">
        <f>IF('Loan Tape (S&amp;P)'!T4242="Yes",
    1.35,
    1.00)</f>
        <v/>
      </c>
      <c r="P4242">
        <f>IF('Loan Tape (S&amp;P)'!S4242="Yes",
    1.15,
    1.00)</f>
        <v/>
      </c>
      <c r="Q4242">
        <f>IF('Loan Tape (S&amp;P)'!V4242="Yes",
    1.20,
    1.00)</f>
        <v/>
      </c>
      <c r="T4242">
        <f>LET(
    payment_method,'Loan Tape (S&amp;P)'!P4242,
    occupancy,'Loan Tape (S&amp;P)'!N4242,
    maturity_date,'Loan Tape (S&amp;P)'!L4242,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43">
      <c r="J4243">
        <f>LET(
    lien,'Loan Tape (S&amp;P)'!Q4243,
    IF(lien="First",1.00,
        IF(lien="Second",1.50,
            1.70)))</f>
        <v/>
      </c>
      <c r="K4243">
        <f>LET(
    purpose,'Loan Tape (S&amp;P)'!R4243,
    IF(purpose="Purchase",1.00,
        IF(purpose="Remortgage",1.00,
            1.20)))</f>
        <v/>
      </c>
      <c r="L4243">
        <f>LET(
    arrears_months,'Loan Tape (S&amp;P)'!AN4243,
    IF(arrears_months=0,1.00,
    IF(arrears_months=1,3.00,
    IF(arrears_months=2,5.00,
    IF(arrears_months=3,8.00,
    IF(arrears_months=4,10.00,
    IF(arrears_months=5,12.00,15.00)))))))</f>
        <v/>
      </c>
      <c r="M4243">
        <f>LET(
    seasoning_years,DATEDIF('Loan Tape (S&amp;P)'!K4243,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43">
        <f>IF(AND('Loan Tape (S&amp;P)'!U4243="Yes",
        'Loan Tape (S&amp;P)'!T4243&lt;&gt;"Yes",
        DATEDIF('Loan Tape (S&amp;P)'!K4243, TODAY(), "M")&lt;18),
    1.10,
    1.00)</f>
        <v/>
      </c>
      <c r="O4243">
        <f>IF('Loan Tape (S&amp;P)'!T4243="Yes",
    1.35,
    1.00)</f>
        <v/>
      </c>
      <c r="P4243">
        <f>IF('Loan Tape (S&amp;P)'!S4243="Yes",
    1.15,
    1.00)</f>
        <v/>
      </c>
      <c r="Q4243">
        <f>IF('Loan Tape (S&amp;P)'!V4243="Yes",
    1.20,
    1.00)</f>
        <v/>
      </c>
      <c r="T4243">
        <f>LET(
    payment_method,'Loan Tape (S&amp;P)'!P4243,
    occupancy,'Loan Tape (S&amp;P)'!N4243,
    maturity_date,'Loan Tape (S&amp;P)'!L4243,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44">
      <c r="J4244">
        <f>LET(
    lien,'Loan Tape (S&amp;P)'!Q4244,
    IF(lien="First",1.00,
        IF(lien="Second",1.50,
            1.70)))</f>
        <v/>
      </c>
      <c r="K4244">
        <f>LET(
    purpose,'Loan Tape (S&amp;P)'!R4244,
    IF(purpose="Purchase",1.00,
        IF(purpose="Remortgage",1.00,
            1.20)))</f>
        <v/>
      </c>
      <c r="L4244">
        <f>LET(
    arrears_months,'Loan Tape (S&amp;P)'!AN4244,
    IF(arrears_months=0,1.00,
    IF(arrears_months=1,3.00,
    IF(arrears_months=2,5.00,
    IF(arrears_months=3,8.00,
    IF(arrears_months=4,10.00,
    IF(arrears_months=5,12.00,15.00)))))))</f>
        <v/>
      </c>
      <c r="M4244">
        <f>LET(
    seasoning_years,DATEDIF('Loan Tape (S&amp;P)'!K4244,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44">
        <f>IF(AND('Loan Tape (S&amp;P)'!U4244="Yes",
        'Loan Tape (S&amp;P)'!T4244&lt;&gt;"Yes",
        DATEDIF('Loan Tape (S&amp;P)'!K4244, TODAY(), "M")&lt;18),
    1.10,
    1.00)</f>
        <v/>
      </c>
      <c r="O4244">
        <f>IF('Loan Tape (S&amp;P)'!T4244="Yes",
    1.35,
    1.00)</f>
        <v/>
      </c>
      <c r="P4244">
        <f>IF('Loan Tape (S&amp;P)'!S4244="Yes",
    1.15,
    1.00)</f>
        <v/>
      </c>
      <c r="Q4244">
        <f>IF('Loan Tape (S&amp;P)'!V4244="Yes",
    1.20,
    1.00)</f>
        <v/>
      </c>
      <c r="T4244">
        <f>LET(
    payment_method,'Loan Tape (S&amp;P)'!P4244,
    occupancy,'Loan Tape (S&amp;P)'!N4244,
    maturity_date,'Loan Tape (S&amp;P)'!L4244,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45">
      <c r="J4245">
        <f>LET(
    lien,'Loan Tape (S&amp;P)'!Q4245,
    IF(lien="First",1.00,
        IF(lien="Second",1.50,
            1.70)))</f>
        <v/>
      </c>
      <c r="K4245">
        <f>LET(
    purpose,'Loan Tape (S&amp;P)'!R4245,
    IF(purpose="Purchase",1.00,
        IF(purpose="Remortgage",1.00,
            1.20)))</f>
        <v/>
      </c>
      <c r="L4245">
        <f>LET(
    arrears_months,'Loan Tape (S&amp;P)'!AN4245,
    IF(arrears_months=0,1.00,
    IF(arrears_months=1,3.00,
    IF(arrears_months=2,5.00,
    IF(arrears_months=3,8.00,
    IF(arrears_months=4,10.00,
    IF(arrears_months=5,12.00,15.00)))))))</f>
        <v/>
      </c>
      <c r="M4245">
        <f>LET(
    seasoning_years,DATEDIF('Loan Tape (S&amp;P)'!K4245,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45">
        <f>IF(AND('Loan Tape (S&amp;P)'!U4245="Yes",
        'Loan Tape (S&amp;P)'!T4245&lt;&gt;"Yes",
        DATEDIF('Loan Tape (S&amp;P)'!K4245, TODAY(), "M")&lt;18),
    1.10,
    1.00)</f>
        <v/>
      </c>
      <c r="O4245">
        <f>IF('Loan Tape (S&amp;P)'!T4245="Yes",
    1.35,
    1.00)</f>
        <v/>
      </c>
      <c r="P4245">
        <f>IF('Loan Tape (S&amp;P)'!S4245="Yes",
    1.15,
    1.00)</f>
        <v/>
      </c>
      <c r="Q4245">
        <f>IF('Loan Tape (S&amp;P)'!V4245="Yes",
    1.20,
    1.00)</f>
        <v/>
      </c>
      <c r="T4245">
        <f>LET(
    payment_method,'Loan Tape (S&amp;P)'!P4245,
    occupancy,'Loan Tape (S&amp;P)'!N4245,
    maturity_date,'Loan Tape (S&amp;P)'!L4245,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46">
      <c r="J4246">
        <f>LET(
    lien,'Loan Tape (S&amp;P)'!Q4246,
    IF(lien="First",1.00,
        IF(lien="Second",1.50,
            1.70)))</f>
        <v/>
      </c>
      <c r="K4246">
        <f>LET(
    purpose,'Loan Tape (S&amp;P)'!R4246,
    IF(purpose="Purchase",1.00,
        IF(purpose="Remortgage",1.00,
            1.20)))</f>
        <v/>
      </c>
      <c r="L4246">
        <f>LET(
    arrears_months,'Loan Tape (S&amp;P)'!AN4246,
    IF(arrears_months=0,1.00,
    IF(arrears_months=1,3.00,
    IF(arrears_months=2,5.00,
    IF(arrears_months=3,8.00,
    IF(arrears_months=4,10.00,
    IF(arrears_months=5,12.00,15.00)))))))</f>
        <v/>
      </c>
      <c r="M4246">
        <f>LET(
    seasoning_years,DATEDIF('Loan Tape (S&amp;P)'!K4246,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46">
        <f>IF(AND('Loan Tape (S&amp;P)'!U4246="Yes",
        'Loan Tape (S&amp;P)'!T4246&lt;&gt;"Yes",
        DATEDIF('Loan Tape (S&amp;P)'!K4246, TODAY(), "M")&lt;18),
    1.10,
    1.00)</f>
        <v/>
      </c>
      <c r="O4246">
        <f>IF('Loan Tape (S&amp;P)'!T4246="Yes",
    1.35,
    1.00)</f>
        <v/>
      </c>
      <c r="P4246">
        <f>IF('Loan Tape (S&amp;P)'!S4246="Yes",
    1.15,
    1.00)</f>
        <v/>
      </c>
      <c r="Q4246">
        <f>IF('Loan Tape (S&amp;P)'!V4246="Yes",
    1.20,
    1.00)</f>
        <v/>
      </c>
      <c r="T4246">
        <f>LET(
    payment_method,'Loan Tape (S&amp;P)'!P4246,
    occupancy,'Loan Tape (S&amp;P)'!N4246,
    maturity_date,'Loan Tape (S&amp;P)'!L4246,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47">
      <c r="J4247">
        <f>LET(
    lien,'Loan Tape (S&amp;P)'!Q4247,
    IF(lien="First",1.00,
        IF(lien="Second",1.50,
            1.70)))</f>
        <v/>
      </c>
      <c r="K4247">
        <f>LET(
    purpose,'Loan Tape (S&amp;P)'!R4247,
    IF(purpose="Purchase",1.00,
        IF(purpose="Remortgage",1.00,
            1.20)))</f>
        <v/>
      </c>
      <c r="L4247">
        <f>LET(
    arrears_months,'Loan Tape (S&amp;P)'!AN4247,
    IF(arrears_months=0,1.00,
    IF(arrears_months=1,3.00,
    IF(arrears_months=2,5.00,
    IF(arrears_months=3,8.00,
    IF(arrears_months=4,10.00,
    IF(arrears_months=5,12.00,15.00)))))))</f>
        <v/>
      </c>
      <c r="M4247">
        <f>LET(
    seasoning_years,DATEDIF('Loan Tape (S&amp;P)'!K4247,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47">
        <f>IF(AND('Loan Tape (S&amp;P)'!U4247="Yes",
        'Loan Tape (S&amp;P)'!T4247&lt;&gt;"Yes",
        DATEDIF('Loan Tape (S&amp;P)'!K4247, TODAY(), "M")&lt;18),
    1.10,
    1.00)</f>
        <v/>
      </c>
      <c r="O4247">
        <f>IF('Loan Tape (S&amp;P)'!T4247="Yes",
    1.35,
    1.00)</f>
        <v/>
      </c>
      <c r="P4247">
        <f>IF('Loan Tape (S&amp;P)'!S4247="Yes",
    1.15,
    1.00)</f>
        <v/>
      </c>
      <c r="Q4247">
        <f>IF('Loan Tape (S&amp;P)'!V4247="Yes",
    1.20,
    1.00)</f>
        <v/>
      </c>
      <c r="T4247">
        <f>LET(
    payment_method,'Loan Tape (S&amp;P)'!P4247,
    occupancy,'Loan Tape (S&amp;P)'!N4247,
    maturity_date,'Loan Tape (S&amp;P)'!L4247,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48">
      <c r="J4248">
        <f>LET(
    lien,'Loan Tape (S&amp;P)'!Q4248,
    IF(lien="First",1.00,
        IF(lien="Second",1.50,
            1.70)))</f>
        <v/>
      </c>
      <c r="K4248">
        <f>LET(
    purpose,'Loan Tape (S&amp;P)'!R4248,
    IF(purpose="Purchase",1.00,
        IF(purpose="Remortgage",1.00,
            1.20)))</f>
        <v/>
      </c>
      <c r="L4248">
        <f>LET(
    arrears_months,'Loan Tape (S&amp;P)'!AN4248,
    IF(arrears_months=0,1.00,
    IF(arrears_months=1,3.00,
    IF(arrears_months=2,5.00,
    IF(arrears_months=3,8.00,
    IF(arrears_months=4,10.00,
    IF(arrears_months=5,12.00,15.00)))))))</f>
        <v/>
      </c>
      <c r="M4248">
        <f>LET(
    seasoning_years,DATEDIF('Loan Tape (S&amp;P)'!K4248,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48">
        <f>IF(AND('Loan Tape (S&amp;P)'!U4248="Yes",
        'Loan Tape (S&amp;P)'!T4248&lt;&gt;"Yes",
        DATEDIF('Loan Tape (S&amp;P)'!K4248, TODAY(), "M")&lt;18),
    1.10,
    1.00)</f>
        <v/>
      </c>
      <c r="O4248">
        <f>IF('Loan Tape (S&amp;P)'!T4248="Yes",
    1.35,
    1.00)</f>
        <v/>
      </c>
      <c r="P4248">
        <f>IF('Loan Tape (S&amp;P)'!S4248="Yes",
    1.15,
    1.00)</f>
        <v/>
      </c>
      <c r="Q4248">
        <f>IF('Loan Tape (S&amp;P)'!V4248="Yes",
    1.20,
    1.00)</f>
        <v/>
      </c>
      <c r="T4248">
        <f>LET(
    payment_method,'Loan Tape (S&amp;P)'!P4248,
    occupancy,'Loan Tape (S&amp;P)'!N4248,
    maturity_date,'Loan Tape (S&amp;P)'!L4248,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49">
      <c r="J4249">
        <f>LET(
    lien,'Loan Tape (S&amp;P)'!Q4249,
    IF(lien="First",1.00,
        IF(lien="Second",1.50,
            1.70)))</f>
        <v/>
      </c>
      <c r="K4249">
        <f>LET(
    purpose,'Loan Tape (S&amp;P)'!R4249,
    IF(purpose="Purchase",1.00,
        IF(purpose="Remortgage",1.00,
            1.20)))</f>
        <v/>
      </c>
      <c r="L4249">
        <f>LET(
    arrears_months,'Loan Tape (S&amp;P)'!AN4249,
    IF(arrears_months=0,1.00,
    IF(arrears_months=1,3.00,
    IF(arrears_months=2,5.00,
    IF(arrears_months=3,8.00,
    IF(arrears_months=4,10.00,
    IF(arrears_months=5,12.00,15.00)))))))</f>
        <v/>
      </c>
      <c r="M4249">
        <f>LET(
    seasoning_years,DATEDIF('Loan Tape (S&amp;P)'!K4249,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49">
        <f>IF(AND('Loan Tape (S&amp;P)'!U4249="Yes",
        'Loan Tape (S&amp;P)'!T4249&lt;&gt;"Yes",
        DATEDIF('Loan Tape (S&amp;P)'!K4249, TODAY(), "M")&lt;18),
    1.10,
    1.00)</f>
        <v/>
      </c>
      <c r="O4249">
        <f>IF('Loan Tape (S&amp;P)'!T4249="Yes",
    1.35,
    1.00)</f>
        <v/>
      </c>
      <c r="P4249">
        <f>IF('Loan Tape (S&amp;P)'!S4249="Yes",
    1.15,
    1.00)</f>
        <v/>
      </c>
      <c r="Q4249">
        <f>IF('Loan Tape (S&amp;P)'!V4249="Yes",
    1.20,
    1.00)</f>
        <v/>
      </c>
      <c r="T4249">
        <f>LET(
    payment_method,'Loan Tape (S&amp;P)'!P4249,
    occupancy,'Loan Tape (S&amp;P)'!N4249,
    maturity_date,'Loan Tape (S&amp;P)'!L4249,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50">
      <c r="J4250">
        <f>LET(
    lien,'Loan Tape (S&amp;P)'!Q4250,
    IF(lien="First",1.00,
        IF(lien="Second",1.50,
            1.70)))</f>
        <v/>
      </c>
      <c r="K4250">
        <f>LET(
    purpose,'Loan Tape (S&amp;P)'!R4250,
    IF(purpose="Purchase",1.00,
        IF(purpose="Remortgage",1.00,
            1.20)))</f>
        <v/>
      </c>
      <c r="L4250">
        <f>LET(
    arrears_months,'Loan Tape (S&amp;P)'!AN4250,
    IF(arrears_months=0,1.00,
    IF(arrears_months=1,3.00,
    IF(arrears_months=2,5.00,
    IF(arrears_months=3,8.00,
    IF(arrears_months=4,10.00,
    IF(arrears_months=5,12.00,15.00)))))))</f>
        <v/>
      </c>
      <c r="M4250">
        <f>LET(
    seasoning_years,DATEDIF('Loan Tape (S&amp;P)'!K4250,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50">
        <f>IF(AND('Loan Tape (S&amp;P)'!U4250="Yes",
        'Loan Tape (S&amp;P)'!T4250&lt;&gt;"Yes",
        DATEDIF('Loan Tape (S&amp;P)'!K4250, TODAY(), "M")&lt;18),
    1.10,
    1.00)</f>
        <v/>
      </c>
      <c r="O4250">
        <f>IF('Loan Tape (S&amp;P)'!T4250="Yes",
    1.35,
    1.00)</f>
        <v/>
      </c>
      <c r="P4250">
        <f>IF('Loan Tape (S&amp;P)'!S4250="Yes",
    1.15,
    1.00)</f>
        <v/>
      </c>
      <c r="Q4250">
        <f>IF('Loan Tape (S&amp;P)'!V4250="Yes",
    1.20,
    1.00)</f>
        <v/>
      </c>
      <c r="T4250">
        <f>LET(
    payment_method,'Loan Tape (S&amp;P)'!P4250,
    occupancy,'Loan Tape (S&amp;P)'!N4250,
    maturity_date,'Loan Tape (S&amp;P)'!L4250,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51">
      <c r="J4251">
        <f>LET(
    lien,'Loan Tape (S&amp;P)'!Q4251,
    IF(lien="First",1.00,
        IF(lien="Second",1.50,
            1.70)))</f>
        <v/>
      </c>
      <c r="K4251">
        <f>LET(
    purpose,'Loan Tape (S&amp;P)'!R4251,
    IF(purpose="Purchase",1.00,
        IF(purpose="Remortgage",1.00,
            1.20)))</f>
        <v/>
      </c>
      <c r="L4251">
        <f>LET(
    arrears_months,'Loan Tape (S&amp;P)'!AN4251,
    IF(arrears_months=0,1.00,
    IF(arrears_months=1,3.00,
    IF(arrears_months=2,5.00,
    IF(arrears_months=3,8.00,
    IF(arrears_months=4,10.00,
    IF(arrears_months=5,12.00,15.00)))))))</f>
        <v/>
      </c>
      <c r="M4251">
        <f>LET(
    seasoning_years,DATEDIF('Loan Tape (S&amp;P)'!K4251,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51">
        <f>IF(AND('Loan Tape (S&amp;P)'!U4251="Yes",
        'Loan Tape (S&amp;P)'!T4251&lt;&gt;"Yes",
        DATEDIF('Loan Tape (S&amp;P)'!K4251, TODAY(), "M")&lt;18),
    1.10,
    1.00)</f>
        <v/>
      </c>
      <c r="O4251">
        <f>IF('Loan Tape (S&amp;P)'!T4251="Yes",
    1.35,
    1.00)</f>
        <v/>
      </c>
      <c r="P4251">
        <f>IF('Loan Tape (S&amp;P)'!S4251="Yes",
    1.15,
    1.00)</f>
        <v/>
      </c>
      <c r="Q4251">
        <f>IF('Loan Tape (S&amp;P)'!V4251="Yes",
    1.20,
    1.00)</f>
        <v/>
      </c>
      <c r="T4251">
        <f>LET(
    payment_method,'Loan Tape (S&amp;P)'!P4251,
    occupancy,'Loan Tape (S&amp;P)'!N4251,
    maturity_date,'Loan Tape (S&amp;P)'!L4251,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52">
      <c r="J4252">
        <f>LET(
    lien,'Loan Tape (S&amp;P)'!Q4252,
    IF(lien="First",1.00,
        IF(lien="Second",1.50,
            1.70)))</f>
        <v/>
      </c>
      <c r="K4252">
        <f>LET(
    purpose,'Loan Tape (S&amp;P)'!R4252,
    IF(purpose="Purchase",1.00,
        IF(purpose="Remortgage",1.00,
            1.20)))</f>
        <v/>
      </c>
      <c r="L4252">
        <f>LET(
    arrears_months,'Loan Tape (S&amp;P)'!AN4252,
    IF(arrears_months=0,1.00,
    IF(arrears_months=1,3.00,
    IF(arrears_months=2,5.00,
    IF(arrears_months=3,8.00,
    IF(arrears_months=4,10.00,
    IF(arrears_months=5,12.00,15.00)))))))</f>
        <v/>
      </c>
      <c r="M4252">
        <f>LET(
    seasoning_years,DATEDIF('Loan Tape (S&amp;P)'!K4252,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52">
        <f>IF(AND('Loan Tape (S&amp;P)'!U4252="Yes",
        'Loan Tape (S&amp;P)'!T4252&lt;&gt;"Yes",
        DATEDIF('Loan Tape (S&amp;P)'!K4252, TODAY(), "M")&lt;18),
    1.10,
    1.00)</f>
        <v/>
      </c>
      <c r="O4252">
        <f>IF('Loan Tape (S&amp;P)'!T4252="Yes",
    1.35,
    1.00)</f>
        <v/>
      </c>
      <c r="P4252">
        <f>IF('Loan Tape (S&amp;P)'!S4252="Yes",
    1.15,
    1.00)</f>
        <v/>
      </c>
      <c r="Q4252">
        <f>IF('Loan Tape (S&amp;P)'!V4252="Yes",
    1.20,
    1.00)</f>
        <v/>
      </c>
      <c r="T4252">
        <f>LET(
    payment_method,'Loan Tape (S&amp;P)'!P4252,
    occupancy,'Loan Tape (S&amp;P)'!N4252,
    maturity_date,'Loan Tape (S&amp;P)'!L4252,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53">
      <c r="J4253">
        <f>LET(
    lien,'Loan Tape (S&amp;P)'!Q4253,
    IF(lien="First",1.00,
        IF(lien="Second",1.50,
            1.70)))</f>
        <v/>
      </c>
      <c r="K4253">
        <f>LET(
    purpose,'Loan Tape (S&amp;P)'!R4253,
    IF(purpose="Purchase",1.00,
        IF(purpose="Remortgage",1.00,
            1.20)))</f>
        <v/>
      </c>
      <c r="L4253">
        <f>LET(
    arrears_months,'Loan Tape (S&amp;P)'!AN4253,
    IF(arrears_months=0,1.00,
    IF(arrears_months=1,3.00,
    IF(arrears_months=2,5.00,
    IF(arrears_months=3,8.00,
    IF(arrears_months=4,10.00,
    IF(arrears_months=5,12.00,15.00)))))))</f>
        <v/>
      </c>
      <c r="M4253">
        <f>LET(
    seasoning_years,DATEDIF('Loan Tape (S&amp;P)'!K4253,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53">
        <f>IF(AND('Loan Tape (S&amp;P)'!U4253="Yes",
        'Loan Tape (S&amp;P)'!T4253&lt;&gt;"Yes",
        DATEDIF('Loan Tape (S&amp;P)'!K4253, TODAY(), "M")&lt;18),
    1.10,
    1.00)</f>
        <v/>
      </c>
      <c r="O4253">
        <f>IF('Loan Tape (S&amp;P)'!T4253="Yes",
    1.35,
    1.00)</f>
        <v/>
      </c>
      <c r="P4253">
        <f>IF('Loan Tape (S&amp;P)'!S4253="Yes",
    1.15,
    1.00)</f>
        <v/>
      </c>
      <c r="Q4253">
        <f>IF('Loan Tape (S&amp;P)'!V4253="Yes",
    1.20,
    1.00)</f>
        <v/>
      </c>
      <c r="T4253">
        <f>LET(
    payment_method,'Loan Tape (S&amp;P)'!P4253,
    occupancy,'Loan Tape (S&amp;P)'!N4253,
    maturity_date,'Loan Tape (S&amp;P)'!L4253,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54">
      <c r="J4254">
        <f>LET(
    lien,'Loan Tape (S&amp;P)'!Q4254,
    IF(lien="First",1.00,
        IF(lien="Second",1.50,
            1.70)))</f>
        <v/>
      </c>
      <c r="K4254">
        <f>LET(
    purpose,'Loan Tape (S&amp;P)'!R4254,
    IF(purpose="Purchase",1.00,
        IF(purpose="Remortgage",1.00,
            1.20)))</f>
        <v/>
      </c>
      <c r="L4254">
        <f>LET(
    arrears_months,'Loan Tape (S&amp;P)'!AN4254,
    IF(arrears_months=0,1.00,
    IF(arrears_months=1,3.00,
    IF(arrears_months=2,5.00,
    IF(arrears_months=3,8.00,
    IF(arrears_months=4,10.00,
    IF(arrears_months=5,12.00,15.00)))))))</f>
        <v/>
      </c>
      <c r="M4254">
        <f>LET(
    seasoning_years,DATEDIF('Loan Tape (S&amp;P)'!K4254,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54">
        <f>IF(AND('Loan Tape (S&amp;P)'!U4254="Yes",
        'Loan Tape (S&amp;P)'!T4254&lt;&gt;"Yes",
        DATEDIF('Loan Tape (S&amp;P)'!K4254, TODAY(), "M")&lt;18),
    1.10,
    1.00)</f>
        <v/>
      </c>
      <c r="O4254">
        <f>IF('Loan Tape (S&amp;P)'!T4254="Yes",
    1.35,
    1.00)</f>
        <v/>
      </c>
      <c r="P4254">
        <f>IF('Loan Tape (S&amp;P)'!S4254="Yes",
    1.15,
    1.00)</f>
        <v/>
      </c>
      <c r="Q4254">
        <f>IF('Loan Tape (S&amp;P)'!V4254="Yes",
    1.20,
    1.00)</f>
        <v/>
      </c>
      <c r="T4254">
        <f>LET(
    payment_method,'Loan Tape (S&amp;P)'!P4254,
    occupancy,'Loan Tape (S&amp;P)'!N4254,
    maturity_date,'Loan Tape (S&amp;P)'!L4254,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55">
      <c r="J4255">
        <f>LET(
    lien,'Loan Tape (S&amp;P)'!Q4255,
    IF(lien="First",1.00,
        IF(lien="Second",1.50,
            1.70)))</f>
        <v/>
      </c>
      <c r="K4255">
        <f>LET(
    purpose,'Loan Tape (S&amp;P)'!R4255,
    IF(purpose="Purchase",1.00,
        IF(purpose="Remortgage",1.00,
            1.20)))</f>
        <v/>
      </c>
      <c r="L4255">
        <f>LET(
    arrears_months,'Loan Tape (S&amp;P)'!AN4255,
    IF(arrears_months=0,1.00,
    IF(arrears_months=1,3.00,
    IF(arrears_months=2,5.00,
    IF(arrears_months=3,8.00,
    IF(arrears_months=4,10.00,
    IF(arrears_months=5,12.00,15.00)))))))</f>
        <v/>
      </c>
      <c r="M4255">
        <f>LET(
    seasoning_years,DATEDIF('Loan Tape (S&amp;P)'!K4255,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55">
        <f>IF(AND('Loan Tape (S&amp;P)'!U4255="Yes",
        'Loan Tape (S&amp;P)'!T4255&lt;&gt;"Yes",
        DATEDIF('Loan Tape (S&amp;P)'!K4255, TODAY(), "M")&lt;18),
    1.10,
    1.00)</f>
        <v/>
      </c>
      <c r="O4255">
        <f>IF('Loan Tape (S&amp;P)'!T4255="Yes",
    1.35,
    1.00)</f>
        <v/>
      </c>
      <c r="P4255">
        <f>IF('Loan Tape (S&amp;P)'!S4255="Yes",
    1.15,
    1.00)</f>
        <v/>
      </c>
      <c r="Q4255">
        <f>IF('Loan Tape (S&amp;P)'!V4255="Yes",
    1.20,
    1.00)</f>
        <v/>
      </c>
      <c r="T4255">
        <f>LET(
    payment_method,'Loan Tape (S&amp;P)'!P4255,
    occupancy,'Loan Tape (S&amp;P)'!N4255,
    maturity_date,'Loan Tape (S&amp;P)'!L4255,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56">
      <c r="J4256">
        <f>LET(
    lien,'Loan Tape (S&amp;P)'!Q4256,
    IF(lien="First",1.00,
        IF(lien="Second",1.50,
            1.70)))</f>
        <v/>
      </c>
      <c r="K4256">
        <f>LET(
    purpose,'Loan Tape (S&amp;P)'!R4256,
    IF(purpose="Purchase",1.00,
        IF(purpose="Remortgage",1.00,
            1.20)))</f>
        <v/>
      </c>
      <c r="L4256">
        <f>LET(
    arrears_months,'Loan Tape (S&amp;P)'!AN4256,
    IF(arrears_months=0,1.00,
    IF(arrears_months=1,3.00,
    IF(arrears_months=2,5.00,
    IF(arrears_months=3,8.00,
    IF(arrears_months=4,10.00,
    IF(arrears_months=5,12.00,15.00)))))))</f>
        <v/>
      </c>
      <c r="M4256">
        <f>LET(
    seasoning_years,DATEDIF('Loan Tape (S&amp;P)'!K4256,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56">
        <f>IF(AND('Loan Tape (S&amp;P)'!U4256="Yes",
        'Loan Tape (S&amp;P)'!T4256&lt;&gt;"Yes",
        DATEDIF('Loan Tape (S&amp;P)'!K4256, TODAY(), "M")&lt;18),
    1.10,
    1.00)</f>
        <v/>
      </c>
      <c r="O4256">
        <f>IF('Loan Tape (S&amp;P)'!T4256="Yes",
    1.35,
    1.00)</f>
        <v/>
      </c>
      <c r="P4256">
        <f>IF('Loan Tape (S&amp;P)'!S4256="Yes",
    1.15,
    1.00)</f>
        <v/>
      </c>
      <c r="Q4256">
        <f>IF('Loan Tape (S&amp;P)'!V4256="Yes",
    1.20,
    1.00)</f>
        <v/>
      </c>
      <c r="T4256">
        <f>LET(
    payment_method,'Loan Tape (S&amp;P)'!P4256,
    occupancy,'Loan Tape (S&amp;P)'!N4256,
    maturity_date,'Loan Tape (S&amp;P)'!L4256,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57">
      <c r="J4257">
        <f>LET(
    lien,'Loan Tape (S&amp;P)'!Q4257,
    IF(lien="First",1.00,
        IF(lien="Second",1.50,
            1.70)))</f>
        <v/>
      </c>
      <c r="K4257">
        <f>LET(
    purpose,'Loan Tape (S&amp;P)'!R4257,
    IF(purpose="Purchase",1.00,
        IF(purpose="Remortgage",1.00,
            1.20)))</f>
        <v/>
      </c>
      <c r="L4257">
        <f>LET(
    arrears_months,'Loan Tape (S&amp;P)'!AN4257,
    IF(arrears_months=0,1.00,
    IF(arrears_months=1,3.00,
    IF(arrears_months=2,5.00,
    IF(arrears_months=3,8.00,
    IF(arrears_months=4,10.00,
    IF(arrears_months=5,12.00,15.00)))))))</f>
        <v/>
      </c>
      <c r="M4257">
        <f>LET(
    seasoning_years,DATEDIF('Loan Tape (S&amp;P)'!K4257,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57">
        <f>IF(AND('Loan Tape (S&amp;P)'!U4257="Yes",
        'Loan Tape (S&amp;P)'!T4257&lt;&gt;"Yes",
        DATEDIF('Loan Tape (S&amp;P)'!K4257, TODAY(), "M")&lt;18),
    1.10,
    1.00)</f>
        <v/>
      </c>
      <c r="O4257">
        <f>IF('Loan Tape (S&amp;P)'!T4257="Yes",
    1.35,
    1.00)</f>
        <v/>
      </c>
      <c r="P4257">
        <f>IF('Loan Tape (S&amp;P)'!S4257="Yes",
    1.15,
    1.00)</f>
        <v/>
      </c>
      <c r="Q4257">
        <f>IF('Loan Tape (S&amp;P)'!V4257="Yes",
    1.20,
    1.00)</f>
        <v/>
      </c>
      <c r="T4257">
        <f>LET(
    payment_method,'Loan Tape (S&amp;P)'!P4257,
    occupancy,'Loan Tape (S&amp;P)'!N4257,
    maturity_date,'Loan Tape (S&amp;P)'!L4257,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58">
      <c r="J4258">
        <f>LET(
    lien,'Loan Tape (S&amp;P)'!Q4258,
    IF(lien="First",1.00,
        IF(lien="Second",1.50,
            1.70)))</f>
        <v/>
      </c>
      <c r="K4258">
        <f>LET(
    purpose,'Loan Tape (S&amp;P)'!R4258,
    IF(purpose="Purchase",1.00,
        IF(purpose="Remortgage",1.00,
            1.20)))</f>
        <v/>
      </c>
      <c r="L4258">
        <f>LET(
    arrears_months,'Loan Tape (S&amp;P)'!AN4258,
    IF(arrears_months=0,1.00,
    IF(arrears_months=1,3.00,
    IF(arrears_months=2,5.00,
    IF(arrears_months=3,8.00,
    IF(arrears_months=4,10.00,
    IF(arrears_months=5,12.00,15.00)))))))</f>
        <v/>
      </c>
      <c r="M4258">
        <f>LET(
    seasoning_years,DATEDIF('Loan Tape (S&amp;P)'!K4258,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58">
        <f>IF(AND('Loan Tape (S&amp;P)'!U4258="Yes",
        'Loan Tape (S&amp;P)'!T4258&lt;&gt;"Yes",
        DATEDIF('Loan Tape (S&amp;P)'!K4258, TODAY(), "M")&lt;18),
    1.10,
    1.00)</f>
        <v/>
      </c>
      <c r="O4258">
        <f>IF('Loan Tape (S&amp;P)'!T4258="Yes",
    1.35,
    1.00)</f>
        <v/>
      </c>
      <c r="P4258">
        <f>IF('Loan Tape (S&amp;P)'!S4258="Yes",
    1.15,
    1.00)</f>
        <v/>
      </c>
      <c r="Q4258">
        <f>IF('Loan Tape (S&amp;P)'!V4258="Yes",
    1.20,
    1.00)</f>
        <v/>
      </c>
      <c r="T4258">
        <f>LET(
    payment_method,'Loan Tape (S&amp;P)'!P4258,
    occupancy,'Loan Tape (S&amp;P)'!N4258,
    maturity_date,'Loan Tape (S&amp;P)'!L4258,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59">
      <c r="J4259">
        <f>LET(
    lien,'Loan Tape (S&amp;P)'!Q4259,
    IF(lien="First",1.00,
        IF(lien="Second",1.50,
            1.70)))</f>
        <v/>
      </c>
      <c r="K4259">
        <f>LET(
    purpose,'Loan Tape (S&amp;P)'!R4259,
    IF(purpose="Purchase",1.00,
        IF(purpose="Remortgage",1.00,
            1.20)))</f>
        <v/>
      </c>
      <c r="L4259">
        <f>LET(
    arrears_months,'Loan Tape (S&amp;P)'!AN4259,
    IF(arrears_months=0,1.00,
    IF(arrears_months=1,3.00,
    IF(arrears_months=2,5.00,
    IF(arrears_months=3,8.00,
    IF(arrears_months=4,10.00,
    IF(arrears_months=5,12.00,15.00)))))))</f>
        <v/>
      </c>
      <c r="M4259">
        <f>LET(
    seasoning_years,DATEDIF('Loan Tape (S&amp;P)'!K4259,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59">
        <f>IF(AND('Loan Tape (S&amp;P)'!U4259="Yes",
        'Loan Tape (S&amp;P)'!T4259&lt;&gt;"Yes",
        DATEDIF('Loan Tape (S&amp;P)'!K4259, TODAY(), "M")&lt;18),
    1.10,
    1.00)</f>
        <v/>
      </c>
      <c r="O4259">
        <f>IF('Loan Tape (S&amp;P)'!T4259="Yes",
    1.35,
    1.00)</f>
        <v/>
      </c>
      <c r="P4259">
        <f>IF('Loan Tape (S&amp;P)'!S4259="Yes",
    1.15,
    1.00)</f>
        <v/>
      </c>
      <c r="Q4259">
        <f>IF('Loan Tape (S&amp;P)'!V4259="Yes",
    1.20,
    1.00)</f>
        <v/>
      </c>
      <c r="T4259">
        <f>LET(
    payment_method,'Loan Tape (S&amp;P)'!P4259,
    occupancy,'Loan Tape (S&amp;P)'!N4259,
    maturity_date,'Loan Tape (S&amp;P)'!L4259,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60">
      <c r="J4260">
        <f>LET(
    lien,'Loan Tape (S&amp;P)'!Q4260,
    IF(lien="First",1.00,
        IF(lien="Second",1.50,
            1.70)))</f>
        <v/>
      </c>
      <c r="K4260">
        <f>LET(
    purpose,'Loan Tape (S&amp;P)'!R4260,
    IF(purpose="Purchase",1.00,
        IF(purpose="Remortgage",1.00,
            1.20)))</f>
        <v/>
      </c>
      <c r="L4260">
        <f>LET(
    arrears_months,'Loan Tape (S&amp;P)'!AN4260,
    IF(arrears_months=0,1.00,
    IF(arrears_months=1,3.00,
    IF(arrears_months=2,5.00,
    IF(arrears_months=3,8.00,
    IF(arrears_months=4,10.00,
    IF(arrears_months=5,12.00,15.00)))))))</f>
        <v/>
      </c>
      <c r="M4260">
        <f>LET(
    seasoning_years,DATEDIF('Loan Tape (S&amp;P)'!K4260,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60">
        <f>IF(AND('Loan Tape (S&amp;P)'!U4260="Yes",
        'Loan Tape (S&amp;P)'!T4260&lt;&gt;"Yes",
        DATEDIF('Loan Tape (S&amp;P)'!K4260, TODAY(), "M")&lt;18),
    1.10,
    1.00)</f>
        <v/>
      </c>
      <c r="O4260">
        <f>IF('Loan Tape (S&amp;P)'!T4260="Yes",
    1.35,
    1.00)</f>
        <v/>
      </c>
      <c r="P4260">
        <f>IF('Loan Tape (S&amp;P)'!S4260="Yes",
    1.15,
    1.00)</f>
        <v/>
      </c>
      <c r="Q4260">
        <f>IF('Loan Tape (S&amp;P)'!V4260="Yes",
    1.20,
    1.00)</f>
        <v/>
      </c>
      <c r="T4260">
        <f>LET(
    payment_method,'Loan Tape (S&amp;P)'!P4260,
    occupancy,'Loan Tape (S&amp;P)'!N4260,
    maturity_date,'Loan Tape (S&amp;P)'!L4260,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61">
      <c r="J4261">
        <f>LET(
    lien,'Loan Tape (S&amp;P)'!Q4261,
    IF(lien="First",1.00,
        IF(lien="Second",1.50,
            1.70)))</f>
        <v/>
      </c>
      <c r="K4261">
        <f>LET(
    purpose,'Loan Tape (S&amp;P)'!R4261,
    IF(purpose="Purchase",1.00,
        IF(purpose="Remortgage",1.00,
            1.20)))</f>
        <v/>
      </c>
      <c r="L4261">
        <f>LET(
    arrears_months,'Loan Tape (S&amp;P)'!AN4261,
    IF(arrears_months=0,1.00,
    IF(arrears_months=1,3.00,
    IF(arrears_months=2,5.00,
    IF(arrears_months=3,8.00,
    IF(arrears_months=4,10.00,
    IF(arrears_months=5,12.00,15.00)))))))</f>
        <v/>
      </c>
      <c r="M4261">
        <f>LET(
    seasoning_years,DATEDIF('Loan Tape (S&amp;P)'!K4261,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61">
        <f>IF(AND('Loan Tape (S&amp;P)'!U4261="Yes",
        'Loan Tape (S&amp;P)'!T4261&lt;&gt;"Yes",
        DATEDIF('Loan Tape (S&amp;P)'!K4261, TODAY(), "M")&lt;18),
    1.10,
    1.00)</f>
        <v/>
      </c>
      <c r="O4261">
        <f>IF('Loan Tape (S&amp;P)'!T4261="Yes",
    1.35,
    1.00)</f>
        <v/>
      </c>
      <c r="P4261">
        <f>IF('Loan Tape (S&amp;P)'!S4261="Yes",
    1.15,
    1.00)</f>
        <v/>
      </c>
      <c r="Q4261">
        <f>IF('Loan Tape (S&amp;P)'!V4261="Yes",
    1.20,
    1.00)</f>
        <v/>
      </c>
      <c r="T4261">
        <f>LET(
    payment_method,'Loan Tape (S&amp;P)'!P4261,
    occupancy,'Loan Tape (S&amp;P)'!N4261,
    maturity_date,'Loan Tape (S&amp;P)'!L4261,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62">
      <c r="J4262">
        <f>LET(
    lien,'Loan Tape (S&amp;P)'!Q4262,
    IF(lien="First",1.00,
        IF(lien="Second",1.50,
            1.70)))</f>
        <v/>
      </c>
      <c r="K4262">
        <f>LET(
    purpose,'Loan Tape (S&amp;P)'!R4262,
    IF(purpose="Purchase",1.00,
        IF(purpose="Remortgage",1.00,
            1.20)))</f>
        <v/>
      </c>
      <c r="L4262">
        <f>LET(
    arrears_months,'Loan Tape (S&amp;P)'!AN4262,
    IF(arrears_months=0,1.00,
    IF(arrears_months=1,3.00,
    IF(arrears_months=2,5.00,
    IF(arrears_months=3,8.00,
    IF(arrears_months=4,10.00,
    IF(arrears_months=5,12.00,15.00)))))))</f>
        <v/>
      </c>
      <c r="M4262">
        <f>LET(
    seasoning_years,DATEDIF('Loan Tape (S&amp;P)'!K4262,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62">
        <f>IF(AND('Loan Tape (S&amp;P)'!U4262="Yes",
        'Loan Tape (S&amp;P)'!T4262&lt;&gt;"Yes",
        DATEDIF('Loan Tape (S&amp;P)'!K4262, TODAY(), "M")&lt;18),
    1.10,
    1.00)</f>
        <v/>
      </c>
      <c r="O4262">
        <f>IF('Loan Tape (S&amp;P)'!T4262="Yes",
    1.35,
    1.00)</f>
        <v/>
      </c>
      <c r="P4262">
        <f>IF('Loan Tape (S&amp;P)'!S4262="Yes",
    1.15,
    1.00)</f>
        <v/>
      </c>
      <c r="Q4262">
        <f>IF('Loan Tape (S&amp;P)'!V4262="Yes",
    1.20,
    1.00)</f>
        <v/>
      </c>
      <c r="T4262">
        <f>LET(
    payment_method,'Loan Tape (S&amp;P)'!P4262,
    occupancy,'Loan Tape (S&amp;P)'!N4262,
    maturity_date,'Loan Tape (S&amp;P)'!L4262,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63">
      <c r="J4263">
        <f>LET(
    lien,'Loan Tape (S&amp;P)'!Q4263,
    IF(lien="First",1.00,
        IF(lien="Second",1.50,
            1.70)))</f>
        <v/>
      </c>
      <c r="K4263">
        <f>LET(
    purpose,'Loan Tape (S&amp;P)'!R4263,
    IF(purpose="Purchase",1.00,
        IF(purpose="Remortgage",1.00,
            1.20)))</f>
        <v/>
      </c>
      <c r="L4263">
        <f>LET(
    arrears_months,'Loan Tape (S&amp;P)'!AN4263,
    IF(arrears_months=0,1.00,
    IF(arrears_months=1,3.00,
    IF(arrears_months=2,5.00,
    IF(arrears_months=3,8.00,
    IF(arrears_months=4,10.00,
    IF(arrears_months=5,12.00,15.00)))))))</f>
        <v/>
      </c>
      <c r="M4263">
        <f>LET(
    seasoning_years,DATEDIF('Loan Tape (S&amp;P)'!K4263,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63">
        <f>IF(AND('Loan Tape (S&amp;P)'!U4263="Yes",
        'Loan Tape (S&amp;P)'!T4263&lt;&gt;"Yes",
        DATEDIF('Loan Tape (S&amp;P)'!K4263, TODAY(), "M")&lt;18),
    1.10,
    1.00)</f>
        <v/>
      </c>
      <c r="O4263">
        <f>IF('Loan Tape (S&amp;P)'!T4263="Yes",
    1.35,
    1.00)</f>
        <v/>
      </c>
      <c r="P4263">
        <f>IF('Loan Tape (S&amp;P)'!S4263="Yes",
    1.15,
    1.00)</f>
        <v/>
      </c>
      <c r="Q4263">
        <f>IF('Loan Tape (S&amp;P)'!V4263="Yes",
    1.20,
    1.00)</f>
        <v/>
      </c>
      <c r="T4263">
        <f>LET(
    payment_method,'Loan Tape (S&amp;P)'!P4263,
    occupancy,'Loan Tape (S&amp;P)'!N4263,
    maturity_date,'Loan Tape (S&amp;P)'!L4263,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64">
      <c r="J4264">
        <f>LET(
    lien,'Loan Tape (S&amp;P)'!Q4264,
    IF(lien="First",1.00,
        IF(lien="Second",1.50,
            1.70)))</f>
        <v/>
      </c>
      <c r="K4264">
        <f>LET(
    purpose,'Loan Tape (S&amp;P)'!R4264,
    IF(purpose="Purchase",1.00,
        IF(purpose="Remortgage",1.00,
            1.20)))</f>
        <v/>
      </c>
      <c r="L4264">
        <f>LET(
    arrears_months,'Loan Tape (S&amp;P)'!AN4264,
    IF(arrears_months=0,1.00,
    IF(arrears_months=1,3.00,
    IF(arrears_months=2,5.00,
    IF(arrears_months=3,8.00,
    IF(arrears_months=4,10.00,
    IF(arrears_months=5,12.00,15.00)))))))</f>
        <v/>
      </c>
      <c r="M4264">
        <f>LET(
    seasoning_years,DATEDIF('Loan Tape (S&amp;P)'!K4264,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64">
        <f>IF(AND('Loan Tape (S&amp;P)'!U4264="Yes",
        'Loan Tape (S&amp;P)'!T4264&lt;&gt;"Yes",
        DATEDIF('Loan Tape (S&amp;P)'!K4264, TODAY(), "M")&lt;18),
    1.10,
    1.00)</f>
        <v/>
      </c>
      <c r="O4264">
        <f>IF('Loan Tape (S&amp;P)'!T4264="Yes",
    1.35,
    1.00)</f>
        <v/>
      </c>
      <c r="P4264">
        <f>IF('Loan Tape (S&amp;P)'!S4264="Yes",
    1.15,
    1.00)</f>
        <v/>
      </c>
      <c r="Q4264">
        <f>IF('Loan Tape (S&amp;P)'!V4264="Yes",
    1.20,
    1.00)</f>
        <v/>
      </c>
      <c r="T4264">
        <f>LET(
    payment_method,'Loan Tape (S&amp;P)'!P4264,
    occupancy,'Loan Tape (S&amp;P)'!N4264,
    maturity_date,'Loan Tape (S&amp;P)'!L4264,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65">
      <c r="J4265">
        <f>LET(
    lien,'Loan Tape (S&amp;P)'!Q4265,
    IF(lien="First",1.00,
        IF(lien="Second",1.50,
            1.70)))</f>
        <v/>
      </c>
      <c r="K4265">
        <f>LET(
    purpose,'Loan Tape (S&amp;P)'!R4265,
    IF(purpose="Purchase",1.00,
        IF(purpose="Remortgage",1.00,
            1.20)))</f>
        <v/>
      </c>
      <c r="L4265">
        <f>LET(
    arrears_months,'Loan Tape (S&amp;P)'!AN4265,
    IF(arrears_months=0,1.00,
    IF(arrears_months=1,3.00,
    IF(arrears_months=2,5.00,
    IF(arrears_months=3,8.00,
    IF(arrears_months=4,10.00,
    IF(arrears_months=5,12.00,15.00)))))))</f>
        <v/>
      </c>
      <c r="M4265">
        <f>LET(
    seasoning_years,DATEDIF('Loan Tape (S&amp;P)'!K4265,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65">
        <f>IF(AND('Loan Tape (S&amp;P)'!U4265="Yes",
        'Loan Tape (S&amp;P)'!T4265&lt;&gt;"Yes",
        DATEDIF('Loan Tape (S&amp;P)'!K4265, TODAY(), "M")&lt;18),
    1.10,
    1.00)</f>
        <v/>
      </c>
      <c r="O4265">
        <f>IF('Loan Tape (S&amp;P)'!T4265="Yes",
    1.35,
    1.00)</f>
        <v/>
      </c>
      <c r="P4265">
        <f>IF('Loan Tape (S&amp;P)'!S4265="Yes",
    1.15,
    1.00)</f>
        <v/>
      </c>
      <c r="Q4265">
        <f>IF('Loan Tape (S&amp;P)'!V4265="Yes",
    1.20,
    1.00)</f>
        <v/>
      </c>
      <c r="T4265">
        <f>LET(
    payment_method,'Loan Tape (S&amp;P)'!P4265,
    occupancy,'Loan Tape (S&amp;P)'!N4265,
    maturity_date,'Loan Tape (S&amp;P)'!L4265,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66">
      <c r="J4266">
        <f>LET(
    lien,'Loan Tape (S&amp;P)'!Q4266,
    IF(lien="First",1.00,
        IF(lien="Second",1.50,
            1.70)))</f>
        <v/>
      </c>
      <c r="K4266">
        <f>LET(
    purpose,'Loan Tape (S&amp;P)'!R4266,
    IF(purpose="Purchase",1.00,
        IF(purpose="Remortgage",1.00,
            1.20)))</f>
        <v/>
      </c>
      <c r="L4266">
        <f>LET(
    arrears_months,'Loan Tape (S&amp;P)'!AN4266,
    IF(arrears_months=0,1.00,
    IF(arrears_months=1,3.00,
    IF(arrears_months=2,5.00,
    IF(arrears_months=3,8.00,
    IF(arrears_months=4,10.00,
    IF(arrears_months=5,12.00,15.00)))))))</f>
        <v/>
      </c>
      <c r="M4266">
        <f>LET(
    seasoning_years,DATEDIF('Loan Tape (S&amp;P)'!K4266,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66">
        <f>IF(AND('Loan Tape (S&amp;P)'!U4266="Yes",
        'Loan Tape (S&amp;P)'!T4266&lt;&gt;"Yes",
        DATEDIF('Loan Tape (S&amp;P)'!K4266, TODAY(), "M")&lt;18),
    1.10,
    1.00)</f>
        <v/>
      </c>
      <c r="O4266">
        <f>IF('Loan Tape (S&amp;P)'!T4266="Yes",
    1.35,
    1.00)</f>
        <v/>
      </c>
      <c r="P4266">
        <f>IF('Loan Tape (S&amp;P)'!S4266="Yes",
    1.15,
    1.00)</f>
        <v/>
      </c>
      <c r="Q4266">
        <f>IF('Loan Tape (S&amp;P)'!V4266="Yes",
    1.20,
    1.00)</f>
        <v/>
      </c>
      <c r="T4266">
        <f>LET(
    payment_method,'Loan Tape (S&amp;P)'!P4266,
    occupancy,'Loan Tape (S&amp;P)'!N4266,
    maturity_date,'Loan Tape (S&amp;P)'!L4266,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67">
      <c r="J4267">
        <f>LET(
    lien,'Loan Tape (S&amp;P)'!Q4267,
    IF(lien="First",1.00,
        IF(lien="Second",1.50,
            1.70)))</f>
        <v/>
      </c>
      <c r="K4267">
        <f>LET(
    purpose,'Loan Tape (S&amp;P)'!R4267,
    IF(purpose="Purchase",1.00,
        IF(purpose="Remortgage",1.00,
            1.20)))</f>
        <v/>
      </c>
      <c r="L4267">
        <f>LET(
    arrears_months,'Loan Tape (S&amp;P)'!AN4267,
    IF(arrears_months=0,1.00,
    IF(arrears_months=1,3.00,
    IF(arrears_months=2,5.00,
    IF(arrears_months=3,8.00,
    IF(arrears_months=4,10.00,
    IF(arrears_months=5,12.00,15.00)))))))</f>
        <v/>
      </c>
      <c r="M4267">
        <f>LET(
    seasoning_years,DATEDIF('Loan Tape (S&amp;P)'!K4267,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67">
        <f>IF(AND('Loan Tape (S&amp;P)'!U4267="Yes",
        'Loan Tape (S&amp;P)'!T4267&lt;&gt;"Yes",
        DATEDIF('Loan Tape (S&amp;P)'!K4267, TODAY(), "M")&lt;18),
    1.10,
    1.00)</f>
        <v/>
      </c>
      <c r="O4267">
        <f>IF('Loan Tape (S&amp;P)'!T4267="Yes",
    1.35,
    1.00)</f>
        <v/>
      </c>
      <c r="P4267">
        <f>IF('Loan Tape (S&amp;P)'!S4267="Yes",
    1.15,
    1.00)</f>
        <v/>
      </c>
      <c r="Q4267">
        <f>IF('Loan Tape (S&amp;P)'!V4267="Yes",
    1.20,
    1.00)</f>
        <v/>
      </c>
      <c r="T4267">
        <f>LET(
    payment_method,'Loan Tape (S&amp;P)'!P4267,
    occupancy,'Loan Tape (S&amp;P)'!N4267,
    maturity_date,'Loan Tape (S&amp;P)'!L4267,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68">
      <c r="J4268">
        <f>LET(
    lien,'Loan Tape (S&amp;P)'!Q4268,
    IF(lien="First",1.00,
        IF(lien="Second",1.50,
            1.70)))</f>
        <v/>
      </c>
      <c r="K4268">
        <f>LET(
    purpose,'Loan Tape (S&amp;P)'!R4268,
    IF(purpose="Purchase",1.00,
        IF(purpose="Remortgage",1.00,
            1.20)))</f>
        <v/>
      </c>
      <c r="L4268">
        <f>LET(
    arrears_months,'Loan Tape (S&amp;P)'!AN4268,
    IF(arrears_months=0,1.00,
    IF(arrears_months=1,3.00,
    IF(arrears_months=2,5.00,
    IF(arrears_months=3,8.00,
    IF(arrears_months=4,10.00,
    IF(arrears_months=5,12.00,15.00)))))))</f>
        <v/>
      </c>
      <c r="M4268">
        <f>LET(
    seasoning_years,DATEDIF('Loan Tape (S&amp;P)'!K4268,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68">
        <f>IF(AND('Loan Tape (S&amp;P)'!U4268="Yes",
        'Loan Tape (S&amp;P)'!T4268&lt;&gt;"Yes",
        DATEDIF('Loan Tape (S&amp;P)'!K4268, TODAY(), "M")&lt;18),
    1.10,
    1.00)</f>
        <v/>
      </c>
      <c r="O4268">
        <f>IF('Loan Tape (S&amp;P)'!T4268="Yes",
    1.35,
    1.00)</f>
        <v/>
      </c>
      <c r="P4268">
        <f>IF('Loan Tape (S&amp;P)'!S4268="Yes",
    1.15,
    1.00)</f>
        <v/>
      </c>
      <c r="Q4268">
        <f>IF('Loan Tape (S&amp;P)'!V4268="Yes",
    1.20,
    1.00)</f>
        <v/>
      </c>
      <c r="T4268">
        <f>LET(
    payment_method,'Loan Tape (S&amp;P)'!P4268,
    occupancy,'Loan Tape (S&amp;P)'!N4268,
    maturity_date,'Loan Tape (S&amp;P)'!L4268,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69">
      <c r="J4269">
        <f>LET(
    lien,'Loan Tape (S&amp;P)'!Q4269,
    IF(lien="First",1.00,
        IF(lien="Second",1.50,
            1.70)))</f>
        <v/>
      </c>
      <c r="K4269">
        <f>LET(
    purpose,'Loan Tape (S&amp;P)'!R4269,
    IF(purpose="Purchase",1.00,
        IF(purpose="Remortgage",1.00,
            1.20)))</f>
        <v/>
      </c>
      <c r="L4269">
        <f>LET(
    arrears_months,'Loan Tape (S&amp;P)'!AN4269,
    IF(arrears_months=0,1.00,
    IF(arrears_months=1,3.00,
    IF(arrears_months=2,5.00,
    IF(arrears_months=3,8.00,
    IF(arrears_months=4,10.00,
    IF(arrears_months=5,12.00,15.00)))))))</f>
        <v/>
      </c>
      <c r="M4269">
        <f>LET(
    seasoning_years,DATEDIF('Loan Tape (S&amp;P)'!K4269,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69">
        <f>IF(AND('Loan Tape (S&amp;P)'!U4269="Yes",
        'Loan Tape (S&amp;P)'!T4269&lt;&gt;"Yes",
        DATEDIF('Loan Tape (S&amp;P)'!K4269, TODAY(), "M")&lt;18),
    1.10,
    1.00)</f>
        <v/>
      </c>
      <c r="O4269">
        <f>IF('Loan Tape (S&amp;P)'!T4269="Yes",
    1.35,
    1.00)</f>
        <v/>
      </c>
      <c r="P4269">
        <f>IF('Loan Tape (S&amp;P)'!S4269="Yes",
    1.15,
    1.00)</f>
        <v/>
      </c>
      <c r="Q4269">
        <f>IF('Loan Tape (S&amp;P)'!V4269="Yes",
    1.20,
    1.00)</f>
        <v/>
      </c>
      <c r="T4269">
        <f>LET(
    payment_method,'Loan Tape (S&amp;P)'!P4269,
    occupancy,'Loan Tape (S&amp;P)'!N4269,
    maturity_date,'Loan Tape (S&amp;P)'!L4269,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70">
      <c r="J4270">
        <f>LET(
    lien,'Loan Tape (S&amp;P)'!Q4270,
    IF(lien="First",1.00,
        IF(lien="Second",1.50,
            1.70)))</f>
        <v/>
      </c>
      <c r="K4270">
        <f>LET(
    purpose,'Loan Tape (S&amp;P)'!R4270,
    IF(purpose="Purchase",1.00,
        IF(purpose="Remortgage",1.00,
            1.20)))</f>
        <v/>
      </c>
      <c r="L4270">
        <f>LET(
    arrears_months,'Loan Tape (S&amp;P)'!AN4270,
    IF(arrears_months=0,1.00,
    IF(arrears_months=1,3.00,
    IF(arrears_months=2,5.00,
    IF(arrears_months=3,8.00,
    IF(arrears_months=4,10.00,
    IF(arrears_months=5,12.00,15.00)))))))</f>
        <v/>
      </c>
      <c r="M4270">
        <f>LET(
    seasoning_years,DATEDIF('Loan Tape (S&amp;P)'!K4270,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70">
        <f>IF(AND('Loan Tape (S&amp;P)'!U4270="Yes",
        'Loan Tape (S&amp;P)'!T4270&lt;&gt;"Yes",
        DATEDIF('Loan Tape (S&amp;P)'!K4270, TODAY(), "M")&lt;18),
    1.10,
    1.00)</f>
        <v/>
      </c>
      <c r="O4270">
        <f>IF('Loan Tape (S&amp;P)'!T4270="Yes",
    1.35,
    1.00)</f>
        <v/>
      </c>
      <c r="P4270">
        <f>IF('Loan Tape (S&amp;P)'!S4270="Yes",
    1.15,
    1.00)</f>
        <v/>
      </c>
      <c r="Q4270">
        <f>IF('Loan Tape (S&amp;P)'!V4270="Yes",
    1.20,
    1.00)</f>
        <v/>
      </c>
      <c r="T4270">
        <f>LET(
    payment_method,'Loan Tape (S&amp;P)'!P4270,
    occupancy,'Loan Tape (S&amp;P)'!N4270,
    maturity_date,'Loan Tape (S&amp;P)'!L4270,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71">
      <c r="J4271">
        <f>LET(
    lien,'Loan Tape (S&amp;P)'!Q4271,
    IF(lien="First",1.00,
        IF(lien="Second",1.50,
            1.70)))</f>
        <v/>
      </c>
      <c r="K4271">
        <f>LET(
    purpose,'Loan Tape (S&amp;P)'!R4271,
    IF(purpose="Purchase",1.00,
        IF(purpose="Remortgage",1.00,
            1.20)))</f>
        <v/>
      </c>
      <c r="L4271">
        <f>LET(
    arrears_months,'Loan Tape (S&amp;P)'!AN4271,
    IF(arrears_months=0,1.00,
    IF(arrears_months=1,3.00,
    IF(arrears_months=2,5.00,
    IF(arrears_months=3,8.00,
    IF(arrears_months=4,10.00,
    IF(arrears_months=5,12.00,15.00)))))))</f>
        <v/>
      </c>
      <c r="M4271">
        <f>LET(
    seasoning_years,DATEDIF('Loan Tape (S&amp;P)'!K4271,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71">
        <f>IF(AND('Loan Tape (S&amp;P)'!U4271="Yes",
        'Loan Tape (S&amp;P)'!T4271&lt;&gt;"Yes",
        DATEDIF('Loan Tape (S&amp;P)'!K4271, TODAY(), "M")&lt;18),
    1.10,
    1.00)</f>
        <v/>
      </c>
      <c r="O4271">
        <f>IF('Loan Tape (S&amp;P)'!T4271="Yes",
    1.35,
    1.00)</f>
        <v/>
      </c>
      <c r="P4271">
        <f>IF('Loan Tape (S&amp;P)'!S4271="Yes",
    1.15,
    1.00)</f>
        <v/>
      </c>
      <c r="Q4271">
        <f>IF('Loan Tape (S&amp;P)'!V4271="Yes",
    1.20,
    1.00)</f>
        <v/>
      </c>
      <c r="T4271">
        <f>LET(
    payment_method,'Loan Tape (S&amp;P)'!P4271,
    occupancy,'Loan Tape (S&amp;P)'!N4271,
    maturity_date,'Loan Tape (S&amp;P)'!L4271,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72">
      <c r="J4272">
        <f>LET(
    lien,'Loan Tape (S&amp;P)'!Q4272,
    IF(lien="First",1.00,
        IF(lien="Second",1.50,
            1.70)))</f>
        <v/>
      </c>
      <c r="K4272">
        <f>LET(
    purpose,'Loan Tape (S&amp;P)'!R4272,
    IF(purpose="Purchase",1.00,
        IF(purpose="Remortgage",1.00,
            1.20)))</f>
        <v/>
      </c>
      <c r="L4272">
        <f>LET(
    arrears_months,'Loan Tape (S&amp;P)'!AN4272,
    IF(arrears_months=0,1.00,
    IF(arrears_months=1,3.00,
    IF(arrears_months=2,5.00,
    IF(arrears_months=3,8.00,
    IF(arrears_months=4,10.00,
    IF(arrears_months=5,12.00,15.00)))))))</f>
        <v/>
      </c>
      <c r="M4272">
        <f>LET(
    seasoning_years,DATEDIF('Loan Tape (S&amp;P)'!K4272,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72">
        <f>IF(AND('Loan Tape (S&amp;P)'!U4272="Yes",
        'Loan Tape (S&amp;P)'!T4272&lt;&gt;"Yes",
        DATEDIF('Loan Tape (S&amp;P)'!K4272, TODAY(), "M")&lt;18),
    1.10,
    1.00)</f>
        <v/>
      </c>
      <c r="O4272">
        <f>IF('Loan Tape (S&amp;P)'!T4272="Yes",
    1.35,
    1.00)</f>
        <v/>
      </c>
      <c r="P4272">
        <f>IF('Loan Tape (S&amp;P)'!S4272="Yes",
    1.15,
    1.00)</f>
        <v/>
      </c>
      <c r="Q4272">
        <f>IF('Loan Tape (S&amp;P)'!V4272="Yes",
    1.20,
    1.00)</f>
        <v/>
      </c>
      <c r="T4272">
        <f>LET(
    payment_method,'Loan Tape (S&amp;P)'!P4272,
    occupancy,'Loan Tape (S&amp;P)'!N4272,
    maturity_date,'Loan Tape (S&amp;P)'!L4272,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73">
      <c r="J4273">
        <f>LET(
    lien,'Loan Tape (S&amp;P)'!Q4273,
    IF(lien="First",1.00,
        IF(lien="Second",1.50,
            1.70)))</f>
        <v/>
      </c>
      <c r="K4273">
        <f>LET(
    purpose,'Loan Tape (S&amp;P)'!R4273,
    IF(purpose="Purchase",1.00,
        IF(purpose="Remortgage",1.00,
            1.20)))</f>
        <v/>
      </c>
      <c r="L4273">
        <f>LET(
    arrears_months,'Loan Tape (S&amp;P)'!AN4273,
    IF(arrears_months=0,1.00,
    IF(arrears_months=1,3.00,
    IF(arrears_months=2,5.00,
    IF(arrears_months=3,8.00,
    IF(arrears_months=4,10.00,
    IF(arrears_months=5,12.00,15.00)))))))</f>
        <v/>
      </c>
      <c r="M4273">
        <f>LET(
    seasoning_years,DATEDIF('Loan Tape (S&amp;P)'!K4273,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73">
        <f>IF(AND('Loan Tape (S&amp;P)'!U4273="Yes",
        'Loan Tape (S&amp;P)'!T4273&lt;&gt;"Yes",
        DATEDIF('Loan Tape (S&amp;P)'!K4273, TODAY(), "M")&lt;18),
    1.10,
    1.00)</f>
        <v/>
      </c>
      <c r="O4273">
        <f>IF('Loan Tape (S&amp;P)'!T4273="Yes",
    1.35,
    1.00)</f>
        <v/>
      </c>
      <c r="P4273">
        <f>IF('Loan Tape (S&amp;P)'!S4273="Yes",
    1.15,
    1.00)</f>
        <v/>
      </c>
      <c r="Q4273">
        <f>IF('Loan Tape (S&amp;P)'!V4273="Yes",
    1.20,
    1.00)</f>
        <v/>
      </c>
      <c r="T4273">
        <f>LET(
    payment_method,'Loan Tape (S&amp;P)'!P4273,
    occupancy,'Loan Tape (S&amp;P)'!N4273,
    maturity_date,'Loan Tape (S&amp;P)'!L4273,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74">
      <c r="J4274">
        <f>LET(
    lien,'Loan Tape (S&amp;P)'!Q4274,
    IF(lien="First",1.00,
        IF(lien="Second",1.50,
            1.70)))</f>
        <v/>
      </c>
      <c r="K4274">
        <f>LET(
    purpose,'Loan Tape (S&amp;P)'!R4274,
    IF(purpose="Purchase",1.00,
        IF(purpose="Remortgage",1.00,
            1.20)))</f>
        <v/>
      </c>
      <c r="L4274">
        <f>LET(
    arrears_months,'Loan Tape (S&amp;P)'!AN4274,
    IF(arrears_months=0,1.00,
    IF(arrears_months=1,3.00,
    IF(arrears_months=2,5.00,
    IF(arrears_months=3,8.00,
    IF(arrears_months=4,10.00,
    IF(arrears_months=5,12.00,15.00)))))))</f>
        <v/>
      </c>
      <c r="M4274">
        <f>LET(
    seasoning_years,DATEDIF('Loan Tape (S&amp;P)'!K4274,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74">
        <f>IF(AND('Loan Tape (S&amp;P)'!U4274="Yes",
        'Loan Tape (S&amp;P)'!T4274&lt;&gt;"Yes",
        DATEDIF('Loan Tape (S&amp;P)'!K4274, TODAY(), "M")&lt;18),
    1.10,
    1.00)</f>
        <v/>
      </c>
      <c r="O4274">
        <f>IF('Loan Tape (S&amp;P)'!T4274="Yes",
    1.35,
    1.00)</f>
        <v/>
      </c>
      <c r="P4274">
        <f>IF('Loan Tape (S&amp;P)'!S4274="Yes",
    1.15,
    1.00)</f>
        <v/>
      </c>
      <c r="Q4274">
        <f>IF('Loan Tape (S&amp;P)'!V4274="Yes",
    1.20,
    1.00)</f>
        <v/>
      </c>
      <c r="T4274">
        <f>LET(
    payment_method,'Loan Tape (S&amp;P)'!P4274,
    occupancy,'Loan Tape (S&amp;P)'!N4274,
    maturity_date,'Loan Tape (S&amp;P)'!L4274,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75">
      <c r="J4275">
        <f>LET(
    lien,'Loan Tape (S&amp;P)'!Q4275,
    IF(lien="First",1.00,
        IF(lien="Second",1.50,
            1.70)))</f>
        <v/>
      </c>
      <c r="K4275">
        <f>LET(
    purpose,'Loan Tape (S&amp;P)'!R4275,
    IF(purpose="Purchase",1.00,
        IF(purpose="Remortgage",1.00,
            1.20)))</f>
        <v/>
      </c>
      <c r="L4275">
        <f>LET(
    arrears_months,'Loan Tape (S&amp;P)'!AN4275,
    IF(arrears_months=0,1.00,
    IF(arrears_months=1,3.00,
    IF(arrears_months=2,5.00,
    IF(arrears_months=3,8.00,
    IF(arrears_months=4,10.00,
    IF(arrears_months=5,12.00,15.00)))))))</f>
        <v/>
      </c>
      <c r="M4275">
        <f>LET(
    seasoning_years,DATEDIF('Loan Tape (S&amp;P)'!K4275,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75">
        <f>IF(AND('Loan Tape (S&amp;P)'!U4275="Yes",
        'Loan Tape (S&amp;P)'!T4275&lt;&gt;"Yes",
        DATEDIF('Loan Tape (S&amp;P)'!K4275, TODAY(), "M")&lt;18),
    1.10,
    1.00)</f>
        <v/>
      </c>
      <c r="O4275">
        <f>IF('Loan Tape (S&amp;P)'!T4275="Yes",
    1.35,
    1.00)</f>
        <v/>
      </c>
      <c r="P4275">
        <f>IF('Loan Tape (S&amp;P)'!S4275="Yes",
    1.15,
    1.00)</f>
        <v/>
      </c>
      <c r="Q4275">
        <f>IF('Loan Tape (S&amp;P)'!V4275="Yes",
    1.20,
    1.00)</f>
        <v/>
      </c>
      <c r="T4275">
        <f>LET(
    payment_method,'Loan Tape (S&amp;P)'!P4275,
    occupancy,'Loan Tape (S&amp;P)'!N4275,
    maturity_date,'Loan Tape (S&amp;P)'!L4275,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76">
      <c r="J4276">
        <f>LET(
    lien,'Loan Tape (S&amp;P)'!Q4276,
    IF(lien="First",1.00,
        IF(lien="Second",1.50,
            1.70)))</f>
        <v/>
      </c>
      <c r="K4276">
        <f>LET(
    purpose,'Loan Tape (S&amp;P)'!R4276,
    IF(purpose="Purchase",1.00,
        IF(purpose="Remortgage",1.00,
            1.20)))</f>
        <v/>
      </c>
      <c r="L4276">
        <f>LET(
    arrears_months,'Loan Tape (S&amp;P)'!AN4276,
    IF(arrears_months=0,1.00,
    IF(arrears_months=1,3.00,
    IF(arrears_months=2,5.00,
    IF(arrears_months=3,8.00,
    IF(arrears_months=4,10.00,
    IF(arrears_months=5,12.00,15.00)))))))</f>
        <v/>
      </c>
      <c r="M4276">
        <f>LET(
    seasoning_years,DATEDIF('Loan Tape (S&amp;P)'!K4276,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76">
        <f>IF(AND('Loan Tape (S&amp;P)'!U4276="Yes",
        'Loan Tape (S&amp;P)'!T4276&lt;&gt;"Yes",
        DATEDIF('Loan Tape (S&amp;P)'!K4276, TODAY(), "M")&lt;18),
    1.10,
    1.00)</f>
        <v/>
      </c>
      <c r="O4276">
        <f>IF('Loan Tape (S&amp;P)'!T4276="Yes",
    1.35,
    1.00)</f>
        <v/>
      </c>
      <c r="P4276">
        <f>IF('Loan Tape (S&amp;P)'!S4276="Yes",
    1.15,
    1.00)</f>
        <v/>
      </c>
      <c r="Q4276">
        <f>IF('Loan Tape (S&amp;P)'!V4276="Yes",
    1.20,
    1.00)</f>
        <v/>
      </c>
      <c r="T4276">
        <f>LET(
    payment_method,'Loan Tape (S&amp;P)'!P4276,
    occupancy,'Loan Tape (S&amp;P)'!N4276,
    maturity_date,'Loan Tape (S&amp;P)'!L4276,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77">
      <c r="J4277">
        <f>LET(
    lien,'Loan Tape (S&amp;P)'!Q4277,
    IF(lien="First",1.00,
        IF(lien="Second",1.50,
            1.70)))</f>
        <v/>
      </c>
      <c r="K4277">
        <f>LET(
    purpose,'Loan Tape (S&amp;P)'!R4277,
    IF(purpose="Purchase",1.00,
        IF(purpose="Remortgage",1.00,
            1.20)))</f>
        <v/>
      </c>
      <c r="L4277">
        <f>LET(
    arrears_months,'Loan Tape (S&amp;P)'!AN4277,
    IF(arrears_months=0,1.00,
    IF(arrears_months=1,3.00,
    IF(arrears_months=2,5.00,
    IF(arrears_months=3,8.00,
    IF(arrears_months=4,10.00,
    IF(arrears_months=5,12.00,15.00)))))))</f>
        <v/>
      </c>
      <c r="M4277">
        <f>LET(
    seasoning_years,DATEDIF('Loan Tape (S&amp;P)'!K4277,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77">
        <f>IF(AND('Loan Tape (S&amp;P)'!U4277="Yes",
        'Loan Tape (S&amp;P)'!T4277&lt;&gt;"Yes",
        DATEDIF('Loan Tape (S&amp;P)'!K4277, TODAY(), "M")&lt;18),
    1.10,
    1.00)</f>
        <v/>
      </c>
      <c r="O4277">
        <f>IF('Loan Tape (S&amp;P)'!T4277="Yes",
    1.35,
    1.00)</f>
        <v/>
      </c>
      <c r="P4277">
        <f>IF('Loan Tape (S&amp;P)'!S4277="Yes",
    1.15,
    1.00)</f>
        <v/>
      </c>
      <c r="Q4277">
        <f>IF('Loan Tape (S&amp;P)'!V4277="Yes",
    1.20,
    1.00)</f>
        <v/>
      </c>
      <c r="T4277">
        <f>LET(
    payment_method,'Loan Tape (S&amp;P)'!P4277,
    occupancy,'Loan Tape (S&amp;P)'!N4277,
    maturity_date,'Loan Tape (S&amp;P)'!L4277,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78">
      <c r="J4278">
        <f>LET(
    lien,'Loan Tape (S&amp;P)'!Q4278,
    IF(lien="First",1.00,
        IF(lien="Second",1.50,
            1.70)))</f>
        <v/>
      </c>
      <c r="K4278">
        <f>LET(
    purpose,'Loan Tape (S&amp;P)'!R4278,
    IF(purpose="Purchase",1.00,
        IF(purpose="Remortgage",1.00,
            1.20)))</f>
        <v/>
      </c>
      <c r="L4278">
        <f>LET(
    arrears_months,'Loan Tape (S&amp;P)'!AN4278,
    IF(arrears_months=0,1.00,
    IF(arrears_months=1,3.00,
    IF(arrears_months=2,5.00,
    IF(arrears_months=3,8.00,
    IF(arrears_months=4,10.00,
    IF(arrears_months=5,12.00,15.00)))))))</f>
        <v/>
      </c>
      <c r="M4278">
        <f>LET(
    seasoning_years,DATEDIF('Loan Tape (S&amp;P)'!K4278,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78">
        <f>IF(AND('Loan Tape (S&amp;P)'!U4278="Yes",
        'Loan Tape (S&amp;P)'!T4278&lt;&gt;"Yes",
        DATEDIF('Loan Tape (S&amp;P)'!K4278, TODAY(), "M")&lt;18),
    1.10,
    1.00)</f>
        <v/>
      </c>
      <c r="O4278">
        <f>IF('Loan Tape (S&amp;P)'!T4278="Yes",
    1.35,
    1.00)</f>
        <v/>
      </c>
      <c r="P4278">
        <f>IF('Loan Tape (S&amp;P)'!S4278="Yes",
    1.15,
    1.00)</f>
        <v/>
      </c>
      <c r="Q4278">
        <f>IF('Loan Tape (S&amp;P)'!V4278="Yes",
    1.20,
    1.00)</f>
        <v/>
      </c>
      <c r="T4278">
        <f>LET(
    payment_method,'Loan Tape (S&amp;P)'!P4278,
    occupancy,'Loan Tape (S&amp;P)'!N4278,
    maturity_date,'Loan Tape (S&amp;P)'!L4278,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79">
      <c r="J4279">
        <f>LET(
    lien,'Loan Tape (S&amp;P)'!Q4279,
    IF(lien="First",1.00,
        IF(lien="Second",1.50,
            1.70)))</f>
        <v/>
      </c>
      <c r="K4279">
        <f>LET(
    purpose,'Loan Tape (S&amp;P)'!R4279,
    IF(purpose="Purchase",1.00,
        IF(purpose="Remortgage",1.00,
            1.20)))</f>
        <v/>
      </c>
      <c r="L4279">
        <f>LET(
    arrears_months,'Loan Tape (S&amp;P)'!AN4279,
    IF(arrears_months=0,1.00,
    IF(arrears_months=1,3.00,
    IF(arrears_months=2,5.00,
    IF(arrears_months=3,8.00,
    IF(arrears_months=4,10.00,
    IF(arrears_months=5,12.00,15.00)))))))</f>
        <v/>
      </c>
      <c r="M4279">
        <f>LET(
    seasoning_years,DATEDIF('Loan Tape (S&amp;P)'!K4279,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79">
        <f>IF(AND('Loan Tape (S&amp;P)'!U4279="Yes",
        'Loan Tape (S&amp;P)'!T4279&lt;&gt;"Yes",
        DATEDIF('Loan Tape (S&amp;P)'!K4279, TODAY(), "M")&lt;18),
    1.10,
    1.00)</f>
        <v/>
      </c>
      <c r="O4279">
        <f>IF('Loan Tape (S&amp;P)'!T4279="Yes",
    1.35,
    1.00)</f>
        <v/>
      </c>
      <c r="P4279">
        <f>IF('Loan Tape (S&amp;P)'!S4279="Yes",
    1.15,
    1.00)</f>
        <v/>
      </c>
      <c r="Q4279">
        <f>IF('Loan Tape (S&amp;P)'!V4279="Yes",
    1.20,
    1.00)</f>
        <v/>
      </c>
      <c r="T4279">
        <f>LET(
    payment_method,'Loan Tape (S&amp;P)'!P4279,
    occupancy,'Loan Tape (S&amp;P)'!N4279,
    maturity_date,'Loan Tape (S&amp;P)'!L4279,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80">
      <c r="J4280">
        <f>LET(
    lien,'Loan Tape (S&amp;P)'!Q4280,
    IF(lien="First",1.00,
        IF(lien="Second",1.50,
            1.70)))</f>
        <v/>
      </c>
      <c r="K4280">
        <f>LET(
    purpose,'Loan Tape (S&amp;P)'!R4280,
    IF(purpose="Purchase",1.00,
        IF(purpose="Remortgage",1.00,
            1.20)))</f>
        <v/>
      </c>
      <c r="L4280">
        <f>LET(
    arrears_months,'Loan Tape (S&amp;P)'!AN4280,
    IF(arrears_months=0,1.00,
    IF(arrears_months=1,3.00,
    IF(arrears_months=2,5.00,
    IF(arrears_months=3,8.00,
    IF(arrears_months=4,10.00,
    IF(arrears_months=5,12.00,15.00)))))))</f>
        <v/>
      </c>
      <c r="M4280">
        <f>LET(
    seasoning_years,DATEDIF('Loan Tape (S&amp;P)'!K4280,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80">
        <f>IF(AND('Loan Tape (S&amp;P)'!U4280="Yes",
        'Loan Tape (S&amp;P)'!T4280&lt;&gt;"Yes",
        DATEDIF('Loan Tape (S&amp;P)'!K4280, TODAY(), "M")&lt;18),
    1.10,
    1.00)</f>
        <v/>
      </c>
      <c r="O4280">
        <f>IF('Loan Tape (S&amp;P)'!T4280="Yes",
    1.35,
    1.00)</f>
        <v/>
      </c>
      <c r="P4280">
        <f>IF('Loan Tape (S&amp;P)'!S4280="Yes",
    1.15,
    1.00)</f>
        <v/>
      </c>
      <c r="Q4280">
        <f>IF('Loan Tape (S&amp;P)'!V4280="Yes",
    1.20,
    1.00)</f>
        <v/>
      </c>
      <c r="T4280">
        <f>LET(
    payment_method,'Loan Tape (S&amp;P)'!P4280,
    occupancy,'Loan Tape (S&amp;P)'!N4280,
    maturity_date,'Loan Tape (S&amp;P)'!L4280,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81">
      <c r="J4281">
        <f>LET(
    lien,'Loan Tape (S&amp;P)'!Q4281,
    IF(lien="First",1.00,
        IF(lien="Second",1.50,
            1.70)))</f>
        <v/>
      </c>
      <c r="K4281">
        <f>LET(
    purpose,'Loan Tape (S&amp;P)'!R4281,
    IF(purpose="Purchase",1.00,
        IF(purpose="Remortgage",1.00,
            1.20)))</f>
        <v/>
      </c>
      <c r="L4281">
        <f>LET(
    arrears_months,'Loan Tape (S&amp;P)'!AN4281,
    IF(arrears_months=0,1.00,
    IF(arrears_months=1,3.00,
    IF(arrears_months=2,5.00,
    IF(arrears_months=3,8.00,
    IF(arrears_months=4,10.00,
    IF(arrears_months=5,12.00,15.00)))))))</f>
        <v/>
      </c>
      <c r="M4281">
        <f>LET(
    seasoning_years,DATEDIF('Loan Tape (S&amp;P)'!K4281,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81">
        <f>IF(AND('Loan Tape (S&amp;P)'!U4281="Yes",
        'Loan Tape (S&amp;P)'!T4281&lt;&gt;"Yes",
        DATEDIF('Loan Tape (S&amp;P)'!K4281, TODAY(), "M")&lt;18),
    1.10,
    1.00)</f>
        <v/>
      </c>
      <c r="O4281">
        <f>IF('Loan Tape (S&amp;P)'!T4281="Yes",
    1.35,
    1.00)</f>
        <v/>
      </c>
      <c r="P4281">
        <f>IF('Loan Tape (S&amp;P)'!S4281="Yes",
    1.15,
    1.00)</f>
        <v/>
      </c>
      <c r="Q4281">
        <f>IF('Loan Tape (S&amp;P)'!V4281="Yes",
    1.20,
    1.00)</f>
        <v/>
      </c>
      <c r="T4281">
        <f>LET(
    payment_method,'Loan Tape (S&amp;P)'!P4281,
    occupancy,'Loan Tape (S&amp;P)'!N4281,
    maturity_date,'Loan Tape (S&amp;P)'!L4281,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82">
      <c r="J4282">
        <f>LET(
    lien,'Loan Tape (S&amp;P)'!Q4282,
    IF(lien="First",1.00,
        IF(lien="Second",1.50,
            1.70)))</f>
        <v/>
      </c>
      <c r="K4282">
        <f>LET(
    purpose,'Loan Tape (S&amp;P)'!R4282,
    IF(purpose="Purchase",1.00,
        IF(purpose="Remortgage",1.00,
            1.20)))</f>
        <v/>
      </c>
      <c r="L4282">
        <f>LET(
    arrears_months,'Loan Tape (S&amp;P)'!AN4282,
    IF(arrears_months=0,1.00,
    IF(arrears_months=1,3.00,
    IF(arrears_months=2,5.00,
    IF(arrears_months=3,8.00,
    IF(arrears_months=4,10.00,
    IF(arrears_months=5,12.00,15.00)))))))</f>
        <v/>
      </c>
      <c r="M4282">
        <f>LET(
    seasoning_years,DATEDIF('Loan Tape (S&amp;P)'!K4282,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82">
        <f>IF(AND('Loan Tape (S&amp;P)'!U4282="Yes",
        'Loan Tape (S&amp;P)'!T4282&lt;&gt;"Yes",
        DATEDIF('Loan Tape (S&amp;P)'!K4282, TODAY(), "M")&lt;18),
    1.10,
    1.00)</f>
        <v/>
      </c>
      <c r="O4282">
        <f>IF('Loan Tape (S&amp;P)'!T4282="Yes",
    1.35,
    1.00)</f>
        <v/>
      </c>
      <c r="P4282">
        <f>IF('Loan Tape (S&amp;P)'!S4282="Yes",
    1.15,
    1.00)</f>
        <v/>
      </c>
      <c r="Q4282">
        <f>IF('Loan Tape (S&amp;P)'!V4282="Yes",
    1.20,
    1.00)</f>
        <v/>
      </c>
      <c r="T4282">
        <f>LET(
    payment_method,'Loan Tape (S&amp;P)'!P4282,
    occupancy,'Loan Tape (S&amp;P)'!N4282,
    maturity_date,'Loan Tape (S&amp;P)'!L4282,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83">
      <c r="J4283">
        <f>LET(
    lien,'Loan Tape (S&amp;P)'!Q4283,
    IF(lien="First",1.00,
        IF(lien="Second",1.50,
            1.70)))</f>
        <v/>
      </c>
      <c r="K4283">
        <f>LET(
    purpose,'Loan Tape (S&amp;P)'!R4283,
    IF(purpose="Purchase",1.00,
        IF(purpose="Remortgage",1.00,
            1.20)))</f>
        <v/>
      </c>
      <c r="L4283">
        <f>LET(
    arrears_months,'Loan Tape (S&amp;P)'!AN4283,
    IF(arrears_months=0,1.00,
    IF(arrears_months=1,3.00,
    IF(arrears_months=2,5.00,
    IF(arrears_months=3,8.00,
    IF(arrears_months=4,10.00,
    IF(arrears_months=5,12.00,15.00)))))))</f>
        <v/>
      </c>
      <c r="M4283">
        <f>LET(
    seasoning_years,DATEDIF('Loan Tape (S&amp;P)'!K4283,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83">
        <f>IF(AND('Loan Tape (S&amp;P)'!U4283="Yes",
        'Loan Tape (S&amp;P)'!T4283&lt;&gt;"Yes",
        DATEDIF('Loan Tape (S&amp;P)'!K4283, TODAY(), "M")&lt;18),
    1.10,
    1.00)</f>
        <v/>
      </c>
      <c r="O4283">
        <f>IF('Loan Tape (S&amp;P)'!T4283="Yes",
    1.35,
    1.00)</f>
        <v/>
      </c>
      <c r="P4283">
        <f>IF('Loan Tape (S&amp;P)'!S4283="Yes",
    1.15,
    1.00)</f>
        <v/>
      </c>
      <c r="Q4283">
        <f>IF('Loan Tape (S&amp;P)'!V4283="Yes",
    1.20,
    1.00)</f>
        <v/>
      </c>
      <c r="T4283">
        <f>LET(
    payment_method,'Loan Tape (S&amp;P)'!P4283,
    occupancy,'Loan Tape (S&amp;P)'!N4283,
    maturity_date,'Loan Tape (S&amp;P)'!L4283,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84">
      <c r="J4284">
        <f>LET(
    lien,'Loan Tape (S&amp;P)'!Q4284,
    IF(lien="First",1.00,
        IF(lien="Second",1.50,
            1.70)))</f>
        <v/>
      </c>
      <c r="K4284">
        <f>LET(
    purpose,'Loan Tape (S&amp;P)'!R4284,
    IF(purpose="Purchase",1.00,
        IF(purpose="Remortgage",1.00,
            1.20)))</f>
        <v/>
      </c>
      <c r="L4284">
        <f>LET(
    arrears_months,'Loan Tape (S&amp;P)'!AN4284,
    IF(arrears_months=0,1.00,
    IF(arrears_months=1,3.00,
    IF(arrears_months=2,5.00,
    IF(arrears_months=3,8.00,
    IF(arrears_months=4,10.00,
    IF(arrears_months=5,12.00,15.00)))))))</f>
        <v/>
      </c>
      <c r="M4284">
        <f>LET(
    seasoning_years,DATEDIF('Loan Tape (S&amp;P)'!K4284,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84">
        <f>IF(AND('Loan Tape (S&amp;P)'!U4284="Yes",
        'Loan Tape (S&amp;P)'!T4284&lt;&gt;"Yes",
        DATEDIF('Loan Tape (S&amp;P)'!K4284, TODAY(), "M")&lt;18),
    1.10,
    1.00)</f>
        <v/>
      </c>
      <c r="O4284">
        <f>IF('Loan Tape (S&amp;P)'!T4284="Yes",
    1.35,
    1.00)</f>
        <v/>
      </c>
      <c r="P4284">
        <f>IF('Loan Tape (S&amp;P)'!S4284="Yes",
    1.15,
    1.00)</f>
        <v/>
      </c>
      <c r="Q4284">
        <f>IF('Loan Tape (S&amp;P)'!V4284="Yes",
    1.20,
    1.00)</f>
        <v/>
      </c>
      <c r="T4284">
        <f>LET(
    payment_method,'Loan Tape (S&amp;P)'!P4284,
    occupancy,'Loan Tape (S&amp;P)'!N4284,
    maturity_date,'Loan Tape (S&amp;P)'!L4284,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85">
      <c r="J4285">
        <f>LET(
    lien,'Loan Tape (S&amp;P)'!Q4285,
    IF(lien="First",1.00,
        IF(lien="Second",1.50,
            1.70)))</f>
        <v/>
      </c>
      <c r="K4285">
        <f>LET(
    purpose,'Loan Tape (S&amp;P)'!R4285,
    IF(purpose="Purchase",1.00,
        IF(purpose="Remortgage",1.00,
            1.20)))</f>
        <v/>
      </c>
      <c r="L4285">
        <f>LET(
    arrears_months,'Loan Tape (S&amp;P)'!AN4285,
    IF(arrears_months=0,1.00,
    IF(arrears_months=1,3.00,
    IF(arrears_months=2,5.00,
    IF(arrears_months=3,8.00,
    IF(arrears_months=4,10.00,
    IF(arrears_months=5,12.00,15.00)))))))</f>
        <v/>
      </c>
      <c r="M4285">
        <f>LET(
    seasoning_years,DATEDIF('Loan Tape (S&amp;P)'!K4285,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85">
        <f>IF(AND('Loan Tape (S&amp;P)'!U4285="Yes",
        'Loan Tape (S&amp;P)'!T4285&lt;&gt;"Yes",
        DATEDIF('Loan Tape (S&amp;P)'!K4285, TODAY(), "M")&lt;18),
    1.10,
    1.00)</f>
        <v/>
      </c>
      <c r="O4285">
        <f>IF('Loan Tape (S&amp;P)'!T4285="Yes",
    1.35,
    1.00)</f>
        <v/>
      </c>
      <c r="P4285">
        <f>IF('Loan Tape (S&amp;P)'!S4285="Yes",
    1.15,
    1.00)</f>
        <v/>
      </c>
      <c r="Q4285">
        <f>IF('Loan Tape (S&amp;P)'!V4285="Yes",
    1.20,
    1.00)</f>
        <v/>
      </c>
      <c r="T4285">
        <f>LET(
    payment_method,'Loan Tape (S&amp;P)'!P4285,
    occupancy,'Loan Tape (S&amp;P)'!N4285,
    maturity_date,'Loan Tape (S&amp;P)'!L4285,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86">
      <c r="J4286">
        <f>LET(
    lien,'Loan Tape (S&amp;P)'!Q4286,
    IF(lien="First",1.00,
        IF(lien="Second",1.50,
            1.70)))</f>
        <v/>
      </c>
      <c r="K4286">
        <f>LET(
    purpose,'Loan Tape (S&amp;P)'!R4286,
    IF(purpose="Purchase",1.00,
        IF(purpose="Remortgage",1.00,
            1.20)))</f>
        <v/>
      </c>
      <c r="L4286">
        <f>LET(
    arrears_months,'Loan Tape (S&amp;P)'!AN4286,
    IF(arrears_months=0,1.00,
    IF(arrears_months=1,3.00,
    IF(arrears_months=2,5.00,
    IF(arrears_months=3,8.00,
    IF(arrears_months=4,10.00,
    IF(arrears_months=5,12.00,15.00)))))))</f>
        <v/>
      </c>
      <c r="M4286">
        <f>LET(
    seasoning_years,DATEDIF('Loan Tape (S&amp;P)'!K4286,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86">
        <f>IF(AND('Loan Tape (S&amp;P)'!U4286="Yes",
        'Loan Tape (S&amp;P)'!T4286&lt;&gt;"Yes",
        DATEDIF('Loan Tape (S&amp;P)'!K4286, TODAY(), "M")&lt;18),
    1.10,
    1.00)</f>
        <v/>
      </c>
      <c r="O4286">
        <f>IF('Loan Tape (S&amp;P)'!T4286="Yes",
    1.35,
    1.00)</f>
        <v/>
      </c>
      <c r="P4286">
        <f>IF('Loan Tape (S&amp;P)'!S4286="Yes",
    1.15,
    1.00)</f>
        <v/>
      </c>
      <c r="Q4286">
        <f>IF('Loan Tape (S&amp;P)'!V4286="Yes",
    1.20,
    1.00)</f>
        <v/>
      </c>
      <c r="T4286">
        <f>LET(
    payment_method,'Loan Tape (S&amp;P)'!P4286,
    occupancy,'Loan Tape (S&amp;P)'!N4286,
    maturity_date,'Loan Tape (S&amp;P)'!L4286,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87">
      <c r="J4287">
        <f>LET(
    lien,'Loan Tape (S&amp;P)'!Q4287,
    IF(lien="First",1.00,
        IF(lien="Second",1.50,
            1.70)))</f>
        <v/>
      </c>
      <c r="K4287">
        <f>LET(
    purpose,'Loan Tape (S&amp;P)'!R4287,
    IF(purpose="Purchase",1.00,
        IF(purpose="Remortgage",1.00,
            1.20)))</f>
        <v/>
      </c>
      <c r="L4287">
        <f>LET(
    arrears_months,'Loan Tape (S&amp;P)'!AN4287,
    IF(arrears_months=0,1.00,
    IF(arrears_months=1,3.00,
    IF(arrears_months=2,5.00,
    IF(arrears_months=3,8.00,
    IF(arrears_months=4,10.00,
    IF(arrears_months=5,12.00,15.00)))))))</f>
        <v/>
      </c>
      <c r="M4287">
        <f>LET(
    seasoning_years,DATEDIF('Loan Tape (S&amp;P)'!K4287,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87">
        <f>IF(AND('Loan Tape (S&amp;P)'!U4287="Yes",
        'Loan Tape (S&amp;P)'!T4287&lt;&gt;"Yes",
        DATEDIF('Loan Tape (S&amp;P)'!K4287, TODAY(), "M")&lt;18),
    1.10,
    1.00)</f>
        <v/>
      </c>
      <c r="O4287">
        <f>IF('Loan Tape (S&amp;P)'!T4287="Yes",
    1.35,
    1.00)</f>
        <v/>
      </c>
      <c r="P4287">
        <f>IF('Loan Tape (S&amp;P)'!S4287="Yes",
    1.15,
    1.00)</f>
        <v/>
      </c>
      <c r="Q4287">
        <f>IF('Loan Tape (S&amp;P)'!V4287="Yes",
    1.20,
    1.00)</f>
        <v/>
      </c>
      <c r="T4287">
        <f>LET(
    payment_method,'Loan Tape (S&amp;P)'!P4287,
    occupancy,'Loan Tape (S&amp;P)'!N4287,
    maturity_date,'Loan Tape (S&amp;P)'!L4287,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88">
      <c r="J4288">
        <f>LET(
    lien,'Loan Tape (S&amp;P)'!Q4288,
    IF(lien="First",1.00,
        IF(lien="Second",1.50,
            1.70)))</f>
        <v/>
      </c>
      <c r="K4288">
        <f>LET(
    purpose,'Loan Tape (S&amp;P)'!R4288,
    IF(purpose="Purchase",1.00,
        IF(purpose="Remortgage",1.00,
            1.20)))</f>
        <v/>
      </c>
      <c r="L4288">
        <f>LET(
    arrears_months,'Loan Tape (S&amp;P)'!AN4288,
    IF(arrears_months=0,1.00,
    IF(arrears_months=1,3.00,
    IF(arrears_months=2,5.00,
    IF(arrears_months=3,8.00,
    IF(arrears_months=4,10.00,
    IF(arrears_months=5,12.00,15.00)))))))</f>
        <v/>
      </c>
      <c r="M4288">
        <f>LET(
    seasoning_years,DATEDIF('Loan Tape (S&amp;P)'!K4288,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88">
        <f>IF(AND('Loan Tape (S&amp;P)'!U4288="Yes",
        'Loan Tape (S&amp;P)'!T4288&lt;&gt;"Yes",
        DATEDIF('Loan Tape (S&amp;P)'!K4288, TODAY(), "M")&lt;18),
    1.10,
    1.00)</f>
        <v/>
      </c>
      <c r="O4288">
        <f>IF('Loan Tape (S&amp;P)'!T4288="Yes",
    1.35,
    1.00)</f>
        <v/>
      </c>
      <c r="P4288">
        <f>IF('Loan Tape (S&amp;P)'!S4288="Yes",
    1.15,
    1.00)</f>
        <v/>
      </c>
      <c r="Q4288">
        <f>IF('Loan Tape (S&amp;P)'!V4288="Yes",
    1.20,
    1.00)</f>
        <v/>
      </c>
      <c r="T4288">
        <f>LET(
    payment_method,'Loan Tape (S&amp;P)'!P4288,
    occupancy,'Loan Tape (S&amp;P)'!N4288,
    maturity_date,'Loan Tape (S&amp;P)'!L4288,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89">
      <c r="J4289">
        <f>LET(
    lien,'Loan Tape (S&amp;P)'!Q4289,
    IF(lien="First",1.00,
        IF(lien="Second",1.50,
            1.70)))</f>
        <v/>
      </c>
      <c r="K4289">
        <f>LET(
    purpose,'Loan Tape (S&amp;P)'!R4289,
    IF(purpose="Purchase",1.00,
        IF(purpose="Remortgage",1.00,
            1.20)))</f>
        <v/>
      </c>
      <c r="L4289">
        <f>LET(
    arrears_months,'Loan Tape (S&amp;P)'!AN4289,
    IF(arrears_months=0,1.00,
    IF(arrears_months=1,3.00,
    IF(arrears_months=2,5.00,
    IF(arrears_months=3,8.00,
    IF(arrears_months=4,10.00,
    IF(arrears_months=5,12.00,15.00)))))))</f>
        <v/>
      </c>
      <c r="M4289">
        <f>LET(
    seasoning_years,DATEDIF('Loan Tape (S&amp;P)'!K4289,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89">
        <f>IF(AND('Loan Tape (S&amp;P)'!U4289="Yes",
        'Loan Tape (S&amp;P)'!T4289&lt;&gt;"Yes",
        DATEDIF('Loan Tape (S&amp;P)'!K4289, TODAY(), "M")&lt;18),
    1.10,
    1.00)</f>
        <v/>
      </c>
      <c r="O4289">
        <f>IF('Loan Tape (S&amp;P)'!T4289="Yes",
    1.35,
    1.00)</f>
        <v/>
      </c>
      <c r="P4289">
        <f>IF('Loan Tape (S&amp;P)'!S4289="Yes",
    1.15,
    1.00)</f>
        <v/>
      </c>
      <c r="Q4289">
        <f>IF('Loan Tape (S&amp;P)'!V4289="Yes",
    1.20,
    1.00)</f>
        <v/>
      </c>
      <c r="T4289">
        <f>LET(
    payment_method,'Loan Tape (S&amp;P)'!P4289,
    occupancy,'Loan Tape (S&amp;P)'!N4289,
    maturity_date,'Loan Tape (S&amp;P)'!L4289,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90">
      <c r="J4290">
        <f>LET(
    lien,'Loan Tape (S&amp;P)'!Q4290,
    IF(lien="First",1.00,
        IF(lien="Second",1.50,
            1.70)))</f>
        <v/>
      </c>
      <c r="K4290">
        <f>LET(
    purpose,'Loan Tape (S&amp;P)'!R4290,
    IF(purpose="Purchase",1.00,
        IF(purpose="Remortgage",1.00,
            1.20)))</f>
        <v/>
      </c>
      <c r="L4290">
        <f>LET(
    arrears_months,'Loan Tape (S&amp;P)'!AN4290,
    IF(arrears_months=0,1.00,
    IF(arrears_months=1,3.00,
    IF(arrears_months=2,5.00,
    IF(arrears_months=3,8.00,
    IF(arrears_months=4,10.00,
    IF(arrears_months=5,12.00,15.00)))))))</f>
        <v/>
      </c>
      <c r="M4290">
        <f>LET(
    seasoning_years,DATEDIF('Loan Tape (S&amp;P)'!K4290,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90">
        <f>IF(AND('Loan Tape (S&amp;P)'!U4290="Yes",
        'Loan Tape (S&amp;P)'!T4290&lt;&gt;"Yes",
        DATEDIF('Loan Tape (S&amp;P)'!K4290, TODAY(), "M")&lt;18),
    1.10,
    1.00)</f>
        <v/>
      </c>
      <c r="O4290">
        <f>IF('Loan Tape (S&amp;P)'!T4290="Yes",
    1.35,
    1.00)</f>
        <v/>
      </c>
      <c r="P4290">
        <f>IF('Loan Tape (S&amp;P)'!S4290="Yes",
    1.15,
    1.00)</f>
        <v/>
      </c>
      <c r="Q4290">
        <f>IF('Loan Tape (S&amp;P)'!V4290="Yes",
    1.20,
    1.00)</f>
        <v/>
      </c>
      <c r="T4290">
        <f>LET(
    payment_method,'Loan Tape (S&amp;P)'!P4290,
    occupancy,'Loan Tape (S&amp;P)'!N4290,
    maturity_date,'Loan Tape (S&amp;P)'!L4290,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91">
      <c r="J4291">
        <f>LET(
    lien,'Loan Tape (S&amp;P)'!Q4291,
    IF(lien="First",1.00,
        IF(lien="Second",1.50,
            1.70)))</f>
        <v/>
      </c>
      <c r="K4291">
        <f>LET(
    purpose,'Loan Tape (S&amp;P)'!R4291,
    IF(purpose="Purchase",1.00,
        IF(purpose="Remortgage",1.00,
            1.20)))</f>
        <v/>
      </c>
      <c r="L4291">
        <f>LET(
    arrears_months,'Loan Tape (S&amp;P)'!AN4291,
    IF(arrears_months=0,1.00,
    IF(arrears_months=1,3.00,
    IF(arrears_months=2,5.00,
    IF(arrears_months=3,8.00,
    IF(arrears_months=4,10.00,
    IF(arrears_months=5,12.00,15.00)))))))</f>
        <v/>
      </c>
      <c r="M4291">
        <f>LET(
    seasoning_years,DATEDIF('Loan Tape (S&amp;P)'!K4291,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91">
        <f>IF(AND('Loan Tape (S&amp;P)'!U4291="Yes",
        'Loan Tape (S&amp;P)'!T4291&lt;&gt;"Yes",
        DATEDIF('Loan Tape (S&amp;P)'!K4291, TODAY(), "M")&lt;18),
    1.10,
    1.00)</f>
        <v/>
      </c>
      <c r="O4291">
        <f>IF('Loan Tape (S&amp;P)'!T4291="Yes",
    1.35,
    1.00)</f>
        <v/>
      </c>
      <c r="P4291">
        <f>IF('Loan Tape (S&amp;P)'!S4291="Yes",
    1.15,
    1.00)</f>
        <v/>
      </c>
      <c r="Q4291">
        <f>IF('Loan Tape (S&amp;P)'!V4291="Yes",
    1.20,
    1.00)</f>
        <v/>
      </c>
      <c r="T4291">
        <f>LET(
    payment_method,'Loan Tape (S&amp;P)'!P4291,
    occupancy,'Loan Tape (S&amp;P)'!N4291,
    maturity_date,'Loan Tape (S&amp;P)'!L4291,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92">
      <c r="J4292">
        <f>LET(
    lien,'Loan Tape (S&amp;P)'!Q4292,
    IF(lien="First",1.00,
        IF(lien="Second",1.50,
            1.70)))</f>
        <v/>
      </c>
      <c r="K4292">
        <f>LET(
    purpose,'Loan Tape (S&amp;P)'!R4292,
    IF(purpose="Purchase",1.00,
        IF(purpose="Remortgage",1.00,
            1.20)))</f>
        <v/>
      </c>
      <c r="L4292">
        <f>LET(
    arrears_months,'Loan Tape (S&amp;P)'!AN4292,
    IF(arrears_months=0,1.00,
    IF(arrears_months=1,3.00,
    IF(arrears_months=2,5.00,
    IF(arrears_months=3,8.00,
    IF(arrears_months=4,10.00,
    IF(arrears_months=5,12.00,15.00)))))))</f>
        <v/>
      </c>
      <c r="M4292">
        <f>LET(
    seasoning_years,DATEDIF('Loan Tape (S&amp;P)'!K4292,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92">
        <f>IF(AND('Loan Tape (S&amp;P)'!U4292="Yes",
        'Loan Tape (S&amp;P)'!T4292&lt;&gt;"Yes",
        DATEDIF('Loan Tape (S&amp;P)'!K4292, TODAY(), "M")&lt;18),
    1.10,
    1.00)</f>
        <v/>
      </c>
      <c r="O4292">
        <f>IF('Loan Tape (S&amp;P)'!T4292="Yes",
    1.35,
    1.00)</f>
        <v/>
      </c>
      <c r="P4292">
        <f>IF('Loan Tape (S&amp;P)'!S4292="Yes",
    1.15,
    1.00)</f>
        <v/>
      </c>
      <c r="Q4292">
        <f>IF('Loan Tape (S&amp;P)'!V4292="Yes",
    1.20,
    1.00)</f>
        <v/>
      </c>
      <c r="T4292">
        <f>LET(
    payment_method,'Loan Tape (S&amp;P)'!P4292,
    occupancy,'Loan Tape (S&amp;P)'!N4292,
    maturity_date,'Loan Tape (S&amp;P)'!L4292,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93">
      <c r="J4293">
        <f>LET(
    lien,'Loan Tape (S&amp;P)'!Q4293,
    IF(lien="First",1.00,
        IF(lien="Second",1.50,
            1.70)))</f>
        <v/>
      </c>
      <c r="K4293">
        <f>LET(
    purpose,'Loan Tape (S&amp;P)'!R4293,
    IF(purpose="Purchase",1.00,
        IF(purpose="Remortgage",1.00,
            1.20)))</f>
        <v/>
      </c>
      <c r="L4293">
        <f>LET(
    arrears_months,'Loan Tape (S&amp;P)'!AN4293,
    IF(arrears_months=0,1.00,
    IF(arrears_months=1,3.00,
    IF(arrears_months=2,5.00,
    IF(arrears_months=3,8.00,
    IF(arrears_months=4,10.00,
    IF(arrears_months=5,12.00,15.00)))))))</f>
        <v/>
      </c>
      <c r="M4293">
        <f>LET(
    seasoning_years,DATEDIF('Loan Tape (S&amp;P)'!K4293,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93">
        <f>IF(AND('Loan Tape (S&amp;P)'!U4293="Yes",
        'Loan Tape (S&amp;P)'!T4293&lt;&gt;"Yes",
        DATEDIF('Loan Tape (S&amp;P)'!K4293, TODAY(), "M")&lt;18),
    1.10,
    1.00)</f>
        <v/>
      </c>
      <c r="O4293">
        <f>IF('Loan Tape (S&amp;P)'!T4293="Yes",
    1.35,
    1.00)</f>
        <v/>
      </c>
      <c r="P4293">
        <f>IF('Loan Tape (S&amp;P)'!S4293="Yes",
    1.15,
    1.00)</f>
        <v/>
      </c>
      <c r="Q4293">
        <f>IF('Loan Tape (S&amp;P)'!V4293="Yes",
    1.20,
    1.00)</f>
        <v/>
      </c>
      <c r="T4293">
        <f>LET(
    payment_method,'Loan Tape (S&amp;P)'!P4293,
    occupancy,'Loan Tape (S&amp;P)'!N4293,
    maturity_date,'Loan Tape (S&amp;P)'!L4293,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94">
      <c r="J4294">
        <f>LET(
    lien,'Loan Tape (S&amp;P)'!Q4294,
    IF(lien="First",1.00,
        IF(lien="Second",1.50,
            1.70)))</f>
        <v/>
      </c>
      <c r="K4294">
        <f>LET(
    purpose,'Loan Tape (S&amp;P)'!R4294,
    IF(purpose="Purchase",1.00,
        IF(purpose="Remortgage",1.00,
            1.20)))</f>
        <v/>
      </c>
      <c r="L4294">
        <f>LET(
    arrears_months,'Loan Tape (S&amp;P)'!AN4294,
    IF(arrears_months=0,1.00,
    IF(arrears_months=1,3.00,
    IF(arrears_months=2,5.00,
    IF(arrears_months=3,8.00,
    IF(arrears_months=4,10.00,
    IF(arrears_months=5,12.00,15.00)))))))</f>
        <v/>
      </c>
      <c r="M4294">
        <f>LET(
    seasoning_years,DATEDIF('Loan Tape (S&amp;P)'!K4294,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94">
        <f>IF(AND('Loan Tape (S&amp;P)'!U4294="Yes",
        'Loan Tape (S&amp;P)'!T4294&lt;&gt;"Yes",
        DATEDIF('Loan Tape (S&amp;P)'!K4294, TODAY(), "M")&lt;18),
    1.10,
    1.00)</f>
        <v/>
      </c>
      <c r="O4294">
        <f>IF('Loan Tape (S&amp;P)'!T4294="Yes",
    1.35,
    1.00)</f>
        <v/>
      </c>
      <c r="P4294">
        <f>IF('Loan Tape (S&amp;P)'!S4294="Yes",
    1.15,
    1.00)</f>
        <v/>
      </c>
      <c r="Q4294">
        <f>IF('Loan Tape (S&amp;P)'!V4294="Yes",
    1.20,
    1.00)</f>
        <v/>
      </c>
      <c r="T4294">
        <f>LET(
    payment_method,'Loan Tape (S&amp;P)'!P4294,
    occupancy,'Loan Tape (S&amp;P)'!N4294,
    maturity_date,'Loan Tape (S&amp;P)'!L4294,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95">
      <c r="J4295">
        <f>LET(
    lien,'Loan Tape (S&amp;P)'!Q4295,
    IF(lien="First",1.00,
        IF(lien="Second",1.50,
            1.70)))</f>
        <v/>
      </c>
      <c r="K4295">
        <f>LET(
    purpose,'Loan Tape (S&amp;P)'!R4295,
    IF(purpose="Purchase",1.00,
        IF(purpose="Remortgage",1.00,
            1.20)))</f>
        <v/>
      </c>
      <c r="L4295">
        <f>LET(
    arrears_months,'Loan Tape (S&amp;P)'!AN4295,
    IF(arrears_months=0,1.00,
    IF(arrears_months=1,3.00,
    IF(arrears_months=2,5.00,
    IF(arrears_months=3,8.00,
    IF(arrears_months=4,10.00,
    IF(arrears_months=5,12.00,15.00)))))))</f>
        <v/>
      </c>
      <c r="M4295">
        <f>LET(
    seasoning_years,DATEDIF('Loan Tape (S&amp;P)'!K4295,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95">
        <f>IF(AND('Loan Tape (S&amp;P)'!U4295="Yes",
        'Loan Tape (S&amp;P)'!T4295&lt;&gt;"Yes",
        DATEDIF('Loan Tape (S&amp;P)'!K4295, TODAY(), "M")&lt;18),
    1.10,
    1.00)</f>
        <v/>
      </c>
      <c r="O4295">
        <f>IF('Loan Tape (S&amp;P)'!T4295="Yes",
    1.35,
    1.00)</f>
        <v/>
      </c>
      <c r="P4295">
        <f>IF('Loan Tape (S&amp;P)'!S4295="Yes",
    1.15,
    1.00)</f>
        <v/>
      </c>
      <c r="Q4295">
        <f>IF('Loan Tape (S&amp;P)'!V4295="Yes",
    1.20,
    1.00)</f>
        <v/>
      </c>
      <c r="T4295">
        <f>LET(
    payment_method,'Loan Tape (S&amp;P)'!P4295,
    occupancy,'Loan Tape (S&amp;P)'!N4295,
    maturity_date,'Loan Tape (S&amp;P)'!L4295,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96">
      <c r="J4296">
        <f>LET(
    lien,'Loan Tape (S&amp;P)'!Q4296,
    IF(lien="First",1.00,
        IF(lien="Second",1.50,
            1.70)))</f>
        <v/>
      </c>
      <c r="K4296">
        <f>LET(
    purpose,'Loan Tape (S&amp;P)'!R4296,
    IF(purpose="Purchase",1.00,
        IF(purpose="Remortgage",1.00,
            1.20)))</f>
        <v/>
      </c>
      <c r="L4296">
        <f>LET(
    arrears_months,'Loan Tape (S&amp;P)'!AN4296,
    IF(arrears_months=0,1.00,
    IF(arrears_months=1,3.00,
    IF(arrears_months=2,5.00,
    IF(arrears_months=3,8.00,
    IF(arrears_months=4,10.00,
    IF(arrears_months=5,12.00,15.00)))))))</f>
        <v/>
      </c>
      <c r="M4296">
        <f>LET(
    seasoning_years,DATEDIF('Loan Tape (S&amp;P)'!K4296,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96">
        <f>IF(AND('Loan Tape (S&amp;P)'!U4296="Yes",
        'Loan Tape (S&amp;P)'!T4296&lt;&gt;"Yes",
        DATEDIF('Loan Tape (S&amp;P)'!K4296, TODAY(), "M")&lt;18),
    1.10,
    1.00)</f>
        <v/>
      </c>
      <c r="O4296">
        <f>IF('Loan Tape (S&amp;P)'!T4296="Yes",
    1.35,
    1.00)</f>
        <v/>
      </c>
      <c r="P4296">
        <f>IF('Loan Tape (S&amp;P)'!S4296="Yes",
    1.15,
    1.00)</f>
        <v/>
      </c>
      <c r="Q4296">
        <f>IF('Loan Tape (S&amp;P)'!V4296="Yes",
    1.20,
    1.00)</f>
        <v/>
      </c>
      <c r="T4296">
        <f>LET(
    payment_method,'Loan Tape (S&amp;P)'!P4296,
    occupancy,'Loan Tape (S&amp;P)'!N4296,
    maturity_date,'Loan Tape (S&amp;P)'!L4296,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97">
      <c r="J4297">
        <f>LET(
    lien,'Loan Tape (S&amp;P)'!Q4297,
    IF(lien="First",1.00,
        IF(lien="Second",1.50,
            1.70)))</f>
        <v/>
      </c>
      <c r="K4297">
        <f>LET(
    purpose,'Loan Tape (S&amp;P)'!R4297,
    IF(purpose="Purchase",1.00,
        IF(purpose="Remortgage",1.00,
            1.20)))</f>
        <v/>
      </c>
      <c r="L4297">
        <f>LET(
    arrears_months,'Loan Tape (S&amp;P)'!AN4297,
    IF(arrears_months=0,1.00,
    IF(arrears_months=1,3.00,
    IF(arrears_months=2,5.00,
    IF(arrears_months=3,8.00,
    IF(arrears_months=4,10.00,
    IF(arrears_months=5,12.00,15.00)))))))</f>
        <v/>
      </c>
      <c r="M4297">
        <f>LET(
    seasoning_years,DATEDIF('Loan Tape (S&amp;P)'!K4297,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97">
        <f>IF(AND('Loan Tape (S&amp;P)'!U4297="Yes",
        'Loan Tape (S&amp;P)'!T4297&lt;&gt;"Yes",
        DATEDIF('Loan Tape (S&amp;P)'!K4297, TODAY(), "M")&lt;18),
    1.10,
    1.00)</f>
        <v/>
      </c>
      <c r="O4297">
        <f>IF('Loan Tape (S&amp;P)'!T4297="Yes",
    1.35,
    1.00)</f>
        <v/>
      </c>
      <c r="P4297">
        <f>IF('Loan Tape (S&amp;P)'!S4297="Yes",
    1.15,
    1.00)</f>
        <v/>
      </c>
      <c r="Q4297">
        <f>IF('Loan Tape (S&amp;P)'!V4297="Yes",
    1.20,
    1.00)</f>
        <v/>
      </c>
      <c r="T4297">
        <f>LET(
    payment_method,'Loan Tape (S&amp;P)'!P4297,
    occupancy,'Loan Tape (S&amp;P)'!N4297,
    maturity_date,'Loan Tape (S&amp;P)'!L4297,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98">
      <c r="J4298">
        <f>LET(
    lien,'Loan Tape (S&amp;P)'!Q4298,
    IF(lien="First",1.00,
        IF(lien="Second",1.50,
            1.70)))</f>
        <v/>
      </c>
      <c r="K4298">
        <f>LET(
    purpose,'Loan Tape (S&amp;P)'!R4298,
    IF(purpose="Purchase",1.00,
        IF(purpose="Remortgage",1.00,
            1.20)))</f>
        <v/>
      </c>
      <c r="L4298">
        <f>LET(
    arrears_months,'Loan Tape (S&amp;P)'!AN4298,
    IF(arrears_months=0,1.00,
    IF(arrears_months=1,3.00,
    IF(arrears_months=2,5.00,
    IF(arrears_months=3,8.00,
    IF(arrears_months=4,10.00,
    IF(arrears_months=5,12.00,15.00)))))))</f>
        <v/>
      </c>
      <c r="M4298">
        <f>LET(
    seasoning_years,DATEDIF('Loan Tape (S&amp;P)'!K4298,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98">
        <f>IF(AND('Loan Tape (S&amp;P)'!U4298="Yes",
        'Loan Tape (S&amp;P)'!T4298&lt;&gt;"Yes",
        DATEDIF('Loan Tape (S&amp;P)'!K4298, TODAY(), "M")&lt;18),
    1.10,
    1.00)</f>
        <v/>
      </c>
      <c r="O4298">
        <f>IF('Loan Tape (S&amp;P)'!T4298="Yes",
    1.35,
    1.00)</f>
        <v/>
      </c>
      <c r="P4298">
        <f>IF('Loan Tape (S&amp;P)'!S4298="Yes",
    1.15,
    1.00)</f>
        <v/>
      </c>
      <c r="Q4298">
        <f>IF('Loan Tape (S&amp;P)'!V4298="Yes",
    1.20,
    1.00)</f>
        <v/>
      </c>
      <c r="T4298">
        <f>LET(
    payment_method,'Loan Tape (S&amp;P)'!P4298,
    occupancy,'Loan Tape (S&amp;P)'!N4298,
    maturity_date,'Loan Tape (S&amp;P)'!L4298,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299">
      <c r="J4299">
        <f>LET(
    lien,'Loan Tape (S&amp;P)'!Q4299,
    IF(lien="First",1.00,
        IF(lien="Second",1.50,
            1.70)))</f>
        <v/>
      </c>
      <c r="K4299">
        <f>LET(
    purpose,'Loan Tape (S&amp;P)'!R4299,
    IF(purpose="Purchase",1.00,
        IF(purpose="Remortgage",1.00,
            1.20)))</f>
        <v/>
      </c>
      <c r="L4299">
        <f>LET(
    arrears_months,'Loan Tape (S&amp;P)'!AN4299,
    IF(arrears_months=0,1.00,
    IF(arrears_months=1,3.00,
    IF(arrears_months=2,5.00,
    IF(arrears_months=3,8.00,
    IF(arrears_months=4,10.00,
    IF(arrears_months=5,12.00,15.00)))))))</f>
        <v/>
      </c>
      <c r="M4299">
        <f>LET(
    seasoning_years,DATEDIF('Loan Tape (S&amp;P)'!K4299,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299">
        <f>IF(AND('Loan Tape (S&amp;P)'!U4299="Yes",
        'Loan Tape (S&amp;P)'!T4299&lt;&gt;"Yes",
        DATEDIF('Loan Tape (S&amp;P)'!K4299, TODAY(), "M")&lt;18),
    1.10,
    1.00)</f>
        <v/>
      </c>
      <c r="O4299">
        <f>IF('Loan Tape (S&amp;P)'!T4299="Yes",
    1.35,
    1.00)</f>
        <v/>
      </c>
      <c r="P4299">
        <f>IF('Loan Tape (S&amp;P)'!S4299="Yes",
    1.15,
    1.00)</f>
        <v/>
      </c>
      <c r="Q4299">
        <f>IF('Loan Tape (S&amp;P)'!V4299="Yes",
    1.20,
    1.00)</f>
        <v/>
      </c>
      <c r="T4299">
        <f>LET(
    payment_method,'Loan Tape (S&amp;P)'!P4299,
    occupancy,'Loan Tape (S&amp;P)'!N4299,
    maturity_date,'Loan Tape (S&amp;P)'!L4299,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00">
      <c r="J4300">
        <f>LET(
    lien,'Loan Tape (S&amp;P)'!Q4300,
    IF(lien="First",1.00,
        IF(lien="Second",1.50,
            1.70)))</f>
        <v/>
      </c>
      <c r="K4300">
        <f>LET(
    purpose,'Loan Tape (S&amp;P)'!R4300,
    IF(purpose="Purchase",1.00,
        IF(purpose="Remortgage",1.00,
            1.20)))</f>
        <v/>
      </c>
      <c r="L4300">
        <f>LET(
    arrears_months,'Loan Tape (S&amp;P)'!AN4300,
    IF(arrears_months=0,1.00,
    IF(arrears_months=1,3.00,
    IF(arrears_months=2,5.00,
    IF(arrears_months=3,8.00,
    IF(arrears_months=4,10.00,
    IF(arrears_months=5,12.00,15.00)))))))</f>
        <v/>
      </c>
      <c r="M4300">
        <f>LET(
    seasoning_years,DATEDIF('Loan Tape (S&amp;P)'!K4300,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00">
        <f>IF(AND('Loan Tape (S&amp;P)'!U4300="Yes",
        'Loan Tape (S&amp;P)'!T4300&lt;&gt;"Yes",
        DATEDIF('Loan Tape (S&amp;P)'!K4300, TODAY(), "M")&lt;18),
    1.10,
    1.00)</f>
        <v/>
      </c>
      <c r="O4300">
        <f>IF('Loan Tape (S&amp;P)'!T4300="Yes",
    1.35,
    1.00)</f>
        <v/>
      </c>
      <c r="P4300">
        <f>IF('Loan Tape (S&amp;P)'!S4300="Yes",
    1.15,
    1.00)</f>
        <v/>
      </c>
      <c r="Q4300">
        <f>IF('Loan Tape (S&amp;P)'!V4300="Yes",
    1.20,
    1.00)</f>
        <v/>
      </c>
      <c r="T4300">
        <f>LET(
    payment_method,'Loan Tape (S&amp;P)'!P4300,
    occupancy,'Loan Tape (S&amp;P)'!N4300,
    maturity_date,'Loan Tape (S&amp;P)'!L4300,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01">
      <c r="J4301">
        <f>LET(
    lien,'Loan Tape (S&amp;P)'!Q4301,
    IF(lien="First",1.00,
        IF(lien="Second",1.50,
            1.70)))</f>
        <v/>
      </c>
      <c r="K4301">
        <f>LET(
    purpose,'Loan Tape (S&amp;P)'!R4301,
    IF(purpose="Purchase",1.00,
        IF(purpose="Remortgage",1.00,
            1.20)))</f>
        <v/>
      </c>
      <c r="L4301">
        <f>LET(
    arrears_months,'Loan Tape (S&amp;P)'!AN4301,
    IF(arrears_months=0,1.00,
    IF(arrears_months=1,3.00,
    IF(arrears_months=2,5.00,
    IF(arrears_months=3,8.00,
    IF(arrears_months=4,10.00,
    IF(arrears_months=5,12.00,15.00)))))))</f>
        <v/>
      </c>
      <c r="M4301">
        <f>LET(
    seasoning_years,DATEDIF('Loan Tape (S&amp;P)'!K4301,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01">
        <f>IF(AND('Loan Tape (S&amp;P)'!U4301="Yes",
        'Loan Tape (S&amp;P)'!T4301&lt;&gt;"Yes",
        DATEDIF('Loan Tape (S&amp;P)'!K4301, TODAY(), "M")&lt;18),
    1.10,
    1.00)</f>
        <v/>
      </c>
      <c r="O4301">
        <f>IF('Loan Tape (S&amp;P)'!T4301="Yes",
    1.35,
    1.00)</f>
        <v/>
      </c>
      <c r="P4301">
        <f>IF('Loan Tape (S&amp;P)'!S4301="Yes",
    1.15,
    1.00)</f>
        <v/>
      </c>
      <c r="Q4301">
        <f>IF('Loan Tape (S&amp;P)'!V4301="Yes",
    1.20,
    1.00)</f>
        <v/>
      </c>
      <c r="T4301">
        <f>LET(
    payment_method,'Loan Tape (S&amp;P)'!P4301,
    occupancy,'Loan Tape (S&amp;P)'!N4301,
    maturity_date,'Loan Tape (S&amp;P)'!L4301,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02">
      <c r="J4302">
        <f>LET(
    lien,'Loan Tape (S&amp;P)'!Q4302,
    IF(lien="First",1.00,
        IF(lien="Second",1.50,
            1.70)))</f>
        <v/>
      </c>
      <c r="K4302">
        <f>LET(
    purpose,'Loan Tape (S&amp;P)'!R4302,
    IF(purpose="Purchase",1.00,
        IF(purpose="Remortgage",1.00,
            1.20)))</f>
        <v/>
      </c>
      <c r="L4302">
        <f>LET(
    arrears_months,'Loan Tape (S&amp;P)'!AN4302,
    IF(arrears_months=0,1.00,
    IF(arrears_months=1,3.00,
    IF(arrears_months=2,5.00,
    IF(arrears_months=3,8.00,
    IF(arrears_months=4,10.00,
    IF(arrears_months=5,12.00,15.00)))))))</f>
        <v/>
      </c>
      <c r="M4302">
        <f>LET(
    seasoning_years,DATEDIF('Loan Tape (S&amp;P)'!K4302,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02">
        <f>IF(AND('Loan Tape (S&amp;P)'!U4302="Yes",
        'Loan Tape (S&amp;P)'!T4302&lt;&gt;"Yes",
        DATEDIF('Loan Tape (S&amp;P)'!K4302, TODAY(), "M")&lt;18),
    1.10,
    1.00)</f>
        <v/>
      </c>
      <c r="O4302">
        <f>IF('Loan Tape (S&amp;P)'!T4302="Yes",
    1.35,
    1.00)</f>
        <v/>
      </c>
      <c r="P4302">
        <f>IF('Loan Tape (S&amp;P)'!S4302="Yes",
    1.15,
    1.00)</f>
        <v/>
      </c>
      <c r="Q4302">
        <f>IF('Loan Tape (S&amp;P)'!V4302="Yes",
    1.20,
    1.00)</f>
        <v/>
      </c>
      <c r="T4302">
        <f>LET(
    payment_method,'Loan Tape (S&amp;P)'!P4302,
    occupancy,'Loan Tape (S&amp;P)'!N4302,
    maturity_date,'Loan Tape (S&amp;P)'!L4302,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03">
      <c r="J4303">
        <f>LET(
    lien,'Loan Tape (S&amp;P)'!Q4303,
    IF(lien="First",1.00,
        IF(lien="Second",1.50,
            1.70)))</f>
        <v/>
      </c>
      <c r="K4303">
        <f>LET(
    purpose,'Loan Tape (S&amp;P)'!R4303,
    IF(purpose="Purchase",1.00,
        IF(purpose="Remortgage",1.00,
            1.20)))</f>
        <v/>
      </c>
      <c r="L4303">
        <f>LET(
    arrears_months,'Loan Tape (S&amp;P)'!AN4303,
    IF(arrears_months=0,1.00,
    IF(arrears_months=1,3.00,
    IF(arrears_months=2,5.00,
    IF(arrears_months=3,8.00,
    IF(arrears_months=4,10.00,
    IF(arrears_months=5,12.00,15.00)))))))</f>
        <v/>
      </c>
      <c r="M4303">
        <f>LET(
    seasoning_years,DATEDIF('Loan Tape (S&amp;P)'!K4303,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03">
        <f>IF(AND('Loan Tape (S&amp;P)'!U4303="Yes",
        'Loan Tape (S&amp;P)'!T4303&lt;&gt;"Yes",
        DATEDIF('Loan Tape (S&amp;P)'!K4303, TODAY(), "M")&lt;18),
    1.10,
    1.00)</f>
        <v/>
      </c>
      <c r="O4303">
        <f>IF('Loan Tape (S&amp;P)'!T4303="Yes",
    1.35,
    1.00)</f>
        <v/>
      </c>
      <c r="P4303">
        <f>IF('Loan Tape (S&amp;P)'!S4303="Yes",
    1.15,
    1.00)</f>
        <v/>
      </c>
      <c r="Q4303">
        <f>IF('Loan Tape (S&amp;P)'!V4303="Yes",
    1.20,
    1.00)</f>
        <v/>
      </c>
      <c r="T4303">
        <f>LET(
    payment_method,'Loan Tape (S&amp;P)'!P4303,
    occupancy,'Loan Tape (S&amp;P)'!N4303,
    maturity_date,'Loan Tape (S&amp;P)'!L4303,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04">
      <c r="J4304">
        <f>LET(
    lien,'Loan Tape (S&amp;P)'!Q4304,
    IF(lien="First",1.00,
        IF(lien="Second",1.50,
            1.70)))</f>
        <v/>
      </c>
      <c r="K4304">
        <f>LET(
    purpose,'Loan Tape (S&amp;P)'!R4304,
    IF(purpose="Purchase",1.00,
        IF(purpose="Remortgage",1.00,
            1.20)))</f>
        <v/>
      </c>
      <c r="L4304">
        <f>LET(
    arrears_months,'Loan Tape (S&amp;P)'!AN4304,
    IF(arrears_months=0,1.00,
    IF(arrears_months=1,3.00,
    IF(arrears_months=2,5.00,
    IF(arrears_months=3,8.00,
    IF(arrears_months=4,10.00,
    IF(arrears_months=5,12.00,15.00)))))))</f>
        <v/>
      </c>
      <c r="M4304">
        <f>LET(
    seasoning_years,DATEDIF('Loan Tape (S&amp;P)'!K4304,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04">
        <f>IF(AND('Loan Tape (S&amp;P)'!U4304="Yes",
        'Loan Tape (S&amp;P)'!T4304&lt;&gt;"Yes",
        DATEDIF('Loan Tape (S&amp;P)'!K4304, TODAY(), "M")&lt;18),
    1.10,
    1.00)</f>
        <v/>
      </c>
      <c r="O4304">
        <f>IF('Loan Tape (S&amp;P)'!T4304="Yes",
    1.35,
    1.00)</f>
        <v/>
      </c>
      <c r="P4304">
        <f>IF('Loan Tape (S&amp;P)'!S4304="Yes",
    1.15,
    1.00)</f>
        <v/>
      </c>
      <c r="Q4304">
        <f>IF('Loan Tape (S&amp;P)'!V4304="Yes",
    1.20,
    1.00)</f>
        <v/>
      </c>
      <c r="T4304">
        <f>LET(
    payment_method,'Loan Tape (S&amp;P)'!P4304,
    occupancy,'Loan Tape (S&amp;P)'!N4304,
    maturity_date,'Loan Tape (S&amp;P)'!L4304,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05">
      <c r="J4305">
        <f>LET(
    lien,'Loan Tape (S&amp;P)'!Q4305,
    IF(lien="First",1.00,
        IF(lien="Second",1.50,
            1.70)))</f>
        <v/>
      </c>
      <c r="K4305">
        <f>LET(
    purpose,'Loan Tape (S&amp;P)'!R4305,
    IF(purpose="Purchase",1.00,
        IF(purpose="Remortgage",1.00,
            1.20)))</f>
        <v/>
      </c>
      <c r="L4305">
        <f>LET(
    arrears_months,'Loan Tape (S&amp;P)'!AN4305,
    IF(arrears_months=0,1.00,
    IF(arrears_months=1,3.00,
    IF(arrears_months=2,5.00,
    IF(arrears_months=3,8.00,
    IF(arrears_months=4,10.00,
    IF(arrears_months=5,12.00,15.00)))))))</f>
        <v/>
      </c>
      <c r="M4305">
        <f>LET(
    seasoning_years,DATEDIF('Loan Tape (S&amp;P)'!K4305,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05">
        <f>IF(AND('Loan Tape (S&amp;P)'!U4305="Yes",
        'Loan Tape (S&amp;P)'!T4305&lt;&gt;"Yes",
        DATEDIF('Loan Tape (S&amp;P)'!K4305, TODAY(), "M")&lt;18),
    1.10,
    1.00)</f>
        <v/>
      </c>
      <c r="O4305">
        <f>IF('Loan Tape (S&amp;P)'!T4305="Yes",
    1.35,
    1.00)</f>
        <v/>
      </c>
      <c r="P4305">
        <f>IF('Loan Tape (S&amp;P)'!S4305="Yes",
    1.15,
    1.00)</f>
        <v/>
      </c>
      <c r="Q4305">
        <f>IF('Loan Tape (S&amp;P)'!V4305="Yes",
    1.20,
    1.00)</f>
        <v/>
      </c>
      <c r="T4305">
        <f>LET(
    payment_method,'Loan Tape (S&amp;P)'!P4305,
    occupancy,'Loan Tape (S&amp;P)'!N4305,
    maturity_date,'Loan Tape (S&amp;P)'!L4305,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06">
      <c r="J4306">
        <f>LET(
    lien,'Loan Tape (S&amp;P)'!Q4306,
    IF(lien="First",1.00,
        IF(lien="Second",1.50,
            1.70)))</f>
        <v/>
      </c>
      <c r="K4306">
        <f>LET(
    purpose,'Loan Tape (S&amp;P)'!R4306,
    IF(purpose="Purchase",1.00,
        IF(purpose="Remortgage",1.00,
            1.20)))</f>
        <v/>
      </c>
      <c r="L4306">
        <f>LET(
    arrears_months,'Loan Tape (S&amp;P)'!AN4306,
    IF(arrears_months=0,1.00,
    IF(arrears_months=1,3.00,
    IF(arrears_months=2,5.00,
    IF(arrears_months=3,8.00,
    IF(arrears_months=4,10.00,
    IF(arrears_months=5,12.00,15.00)))))))</f>
        <v/>
      </c>
      <c r="M4306">
        <f>LET(
    seasoning_years,DATEDIF('Loan Tape (S&amp;P)'!K4306,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06">
        <f>IF(AND('Loan Tape (S&amp;P)'!U4306="Yes",
        'Loan Tape (S&amp;P)'!T4306&lt;&gt;"Yes",
        DATEDIF('Loan Tape (S&amp;P)'!K4306, TODAY(), "M")&lt;18),
    1.10,
    1.00)</f>
        <v/>
      </c>
      <c r="O4306">
        <f>IF('Loan Tape (S&amp;P)'!T4306="Yes",
    1.35,
    1.00)</f>
        <v/>
      </c>
      <c r="P4306">
        <f>IF('Loan Tape (S&amp;P)'!S4306="Yes",
    1.15,
    1.00)</f>
        <v/>
      </c>
      <c r="Q4306">
        <f>IF('Loan Tape (S&amp;P)'!V4306="Yes",
    1.20,
    1.00)</f>
        <v/>
      </c>
      <c r="T4306">
        <f>LET(
    payment_method,'Loan Tape (S&amp;P)'!P4306,
    occupancy,'Loan Tape (S&amp;P)'!N4306,
    maturity_date,'Loan Tape (S&amp;P)'!L4306,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07">
      <c r="J4307">
        <f>LET(
    lien,'Loan Tape (S&amp;P)'!Q4307,
    IF(lien="First",1.00,
        IF(lien="Second",1.50,
            1.70)))</f>
        <v/>
      </c>
      <c r="K4307">
        <f>LET(
    purpose,'Loan Tape (S&amp;P)'!R4307,
    IF(purpose="Purchase",1.00,
        IF(purpose="Remortgage",1.00,
            1.20)))</f>
        <v/>
      </c>
      <c r="L4307">
        <f>LET(
    arrears_months,'Loan Tape (S&amp;P)'!AN4307,
    IF(arrears_months=0,1.00,
    IF(arrears_months=1,3.00,
    IF(arrears_months=2,5.00,
    IF(arrears_months=3,8.00,
    IF(arrears_months=4,10.00,
    IF(arrears_months=5,12.00,15.00)))))))</f>
        <v/>
      </c>
      <c r="M4307">
        <f>LET(
    seasoning_years,DATEDIF('Loan Tape (S&amp;P)'!K4307,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07">
        <f>IF(AND('Loan Tape (S&amp;P)'!U4307="Yes",
        'Loan Tape (S&amp;P)'!T4307&lt;&gt;"Yes",
        DATEDIF('Loan Tape (S&amp;P)'!K4307, TODAY(), "M")&lt;18),
    1.10,
    1.00)</f>
        <v/>
      </c>
      <c r="O4307">
        <f>IF('Loan Tape (S&amp;P)'!T4307="Yes",
    1.35,
    1.00)</f>
        <v/>
      </c>
      <c r="P4307">
        <f>IF('Loan Tape (S&amp;P)'!S4307="Yes",
    1.15,
    1.00)</f>
        <v/>
      </c>
      <c r="Q4307">
        <f>IF('Loan Tape (S&amp;P)'!V4307="Yes",
    1.20,
    1.00)</f>
        <v/>
      </c>
      <c r="T4307">
        <f>LET(
    payment_method,'Loan Tape (S&amp;P)'!P4307,
    occupancy,'Loan Tape (S&amp;P)'!N4307,
    maturity_date,'Loan Tape (S&amp;P)'!L4307,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08">
      <c r="J4308">
        <f>LET(
    lien,'Loan Tape (S&amp;P)'!Q4308,
    IF(lien="First",1.00,
        IF(lien="Second",1.50,
            1.70)))</f>
        <v/>
      </c>
      <c r="K4308">
        <f>LET(
    purpose,'Loan Tape (S&amp;P)'!R4308,
    IF(purpose="Purchase",1.00,
        IF(purpose="Remortgage",1.00,
            1.20)))</f>
        <v/>
      </c>
      <c r="L4308">
        <f>LET(
    arrears_months,'Loan Tape (S&amp;P)'!AN4308,
    IF(arrears_months=0,1.00,
    IF(arrears_months=1,3.00,
    IF(arrears_months=2,5.00,
    IF(arrears_months=3,8.00,
    IF(arrears_months=4,10.00,
    IF(arrears_months=5,12.00,15.00)))))))</f>
        <v/>
      </c>
      <c r="M4308">
        <f>LET(
    seasoning_years,DATEDIF('Loan Tape (S&amp;P)'!K4308,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08">
        <f>IF(AND('Loan Tape (S&amp;P)'!U4308="Yes",
        'Loan Tape (S&amp;P)'!T4308&lt;&gt;"Yes",
        DATEDIF('Loan Tape (S&amp;P)'!K4308, TODAY(), "M")&lt;18),
    1.10,
    1.00)</f>
        <v/>
      </c>
      <c r="O4308">
        <f>IF('Loan Tape (S&amp;P)'!T4308="Yes",
    1.35,
    1.00)</f>
        <v/>
      </c>
      <c r="P4308">
        <f>IF('Loan Tape (S&amp;P)'!S4308="Yes",
    1.15,
    1.00)</f>
        <v/>
      </c>
      <c r="Q4308">
        <f>IF('Loan Tape (S&amp;P)'!V4308="Yes",
    1.20,
    1.00)</f>
        <v/>
      </c>
      <c r="T4308">
        <f>LET(
    payment_method,'Loan Tape (S&amp;P)'!P4308,
    occupancy,'Loan Tape (S&amp;P)'!N4308,
    maturity_date,'Loan Tape (S&amp;P)'!L4308,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09">
      <c r="J4309">
        <f>LET(
    lien,'Loan Tape (S&amp;P)'!Q4309,
    IF(lien="First",1.00,
        IF(lien="Second",1.50,
            1.70)))</f>
        <v/>
      </c>
      <c r="K4309">
        <f>LET(
    purpose,'Loan Tape (S&amp;P)'!R4309,
    IF(purpose="Purchase",1.00,
        IF(purpose="Remortgage",1.00,
            1.20)))</f>
        <v/>
      </c>
      <c r="L4309">
        <f>LET(
    arrears_months,'Loan Tape (S&amp;P)'!AN4309,
    IF(arrears_months=0,1.00,
    IF(arrears_months=1,3.00,
    IF(arrears_months=2,5.00,
    IF(arrears_months=3,8.00,
    IF(arrears_months=4,10.00,
    IF(arrears_months=5,12.00,15.00)))))))</f>
        <v/>
      </c>
      <c r="M4309">
        <f>LET(
    seasoning_years,DATEDIF('Loan Tape (S&amp;P)'!K4309,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09">
        <f>IF(AND('Loan Tape (S&amp;P)'!U4309="Yes",
        'Loan Tape (S&amp;P)'!T4309&lt;&gt;"Yes",
        DATEDIF('Loan Tape (S&amp;P)'!K4309, TODAY(), "M")&lt;18),
    1.10,
    1.00)</f>
        <v/>
      </c>
      <c r="O4309">
        <f>IF('Loan Tape (S&amp;P)'!T4309="Yes",
    1.35,
    1.00)</f>
        <v/>
      </c>
      <c r="P4309">
        <f>IF('Loan Tape (S&amp;P)'!S4309="Yes",
    1.15,
    1.00)</f>
        <v/>
      </c>
      <c r="Q4309">
        <f>IF('Loan Tape (S&amp;P)'!V4309="Yes",
    1.20,
    1.00)</f>
        <v/>
      </c>
      <c r="T4309">
        <f>LET(
    payment_method,'Loan Tape (S&amp;P)'!P4309,
    occupancy,'Loan Tape (S&amp;P)'!N4309,
    maturity_date,'Loan Tape (S&amp;P)'!L4309,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10">
      <c r="J4310">
        <f>LET(
    lien,'Loan Tape (S&amp;P)'!Q4310,
    IF(lien="First",1.00,
        IF(lien="Second",1.50,
            1.70)))</f>
        <v/>
      </c>
      <c r="K4310">
        <f>LET(
    purpose,'Loan Tape (S&amp;P)'!R4310,
    IF(purpose="Purchase",1.00,
        IF(purpose="Remortgage",1.00,
            1.20)))</f>
        <v/>
      </c>
      <c r="L4310">
        <f>LET(
    arrears_months,'Loan Tape (S&amp;P)'!AN4310,
    IF(arrears_months=0,1.00,
    IF(arrears_months=1,3.00,
    IF(arrears_months=2,5.00,
    IF(arrears_months=3,8.00,
    IF(arrears_months=4,10.00,
    IF(arrears_months=5,12.00,15.00)))))))</f>
        <v/>
      </c>
      <c r="M4310">
        <f>LET(
    seasoning_years,DATEDIF('Loan Tape (S&amp;P)'!K4310,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10">
        <f>IF(AND('Loan Tape (S&amp;P)'!U4310="Yes",
        'Loan Tape (S&amp;P)'!T4310&lt;&gt;"Yes",
        DATEDIF('Loan Tape (S&amp;P)'!K4310, TODAY(), "M")&lt;18),
    1.10,
    1.00)</f>
        <v/>
      </c>
      <c r="O4310">
        <f>IF('Loan Tape (S&amp;P)'!T4310="Yes",
    1.35,
    1.00)</f>
        <v/>
      </c>
      <c r="P4310">
        <f>IF('Loan Tape (S&amp;P)'!S4310="Yes",
    1.15,
    1.00)</f>
        <v/>
      </c>
      <c r="Q4310">
        <f>IF('Loan Tape (S&amp;P)'!V4310="Yes",
    1.20,
    1.00)</f>
        <v/>
      </c>
      <c r="T4310">
        <f>LET(
    payment_method,'Loan Tape (S&amp;P)'!P4310,
    occupancy,'Loan Tape (S&amp;P)'!N4310,
    maturity_date,'Loan Tape (S&amp;P)'!L4310,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11">
      <c r="J4311">
        <f>LET(
    lien,'Loan Tape (S&amp;P)'!Q4311,
    IF(lien="First",1.00,
        IF(lien="Second",1.50,
            1.70)))</f>
        <v/>
      </c>
      <c r="K4311">
        <f>LET(
    purpose,'Loan Tape (S&amp;P)'!R4311,
    IF(purpose="Purchase",1.00,
        IF(purpose="Remortgage",1.00,
            1.20)))</f>
        <v/>
      </c>
      <c r="L4311">
        <f>LET(
    arrears_months,'Loan Tape (S&amp;P)'!AN4311,
    IF(arrears_months=0,1.00,
    IF(arrears_months=1,3.00,
    IF(arrears_months=2,5.00,
    IF(arrears_months=3,8.00,
    IF(arrears_months=4,10.00,
    IF(arrears_months=5,12.00,15.00)))))))</f>
        <v/>
      </c>
      <c r="M4311">
        <f>LET(
    seasoning_years,DATEDIF('Loan Tape (S&amp;P)'!K4311,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11">
        <f>IF(AND('Loan Tape (S&amp;P)'!U4311="Yes",
        'Loan Tape (S&amp;P)'!T4311&lt;&gt;"Yes",
        DATEDIF('Loan Tape (S&amp;P)'!K4311, TODAY(), "M")&lt;18),
    1.10,
    1.00)</f>
        <v/>
      </c>
      <c r="O4311">
        <f>IF('Loan Tape (S&amp;P)'!T4311="Yes",
    1.35,
    1.00)</f>
        <v/>
      </c>
      <c r="P4311">
        <f>IF('Loan Tape (S&amp;P)'!S4311="Yes",
    1.15,
    1.00)</f>
        <v/>
      </c>
      <c r="Q4311">
        <f>IF('Loan Tape (S&amp;P)'!V4311="Yes",
    1.20,
    1.00)</f>
        <v/>
      </c>
      <c r="T4311">
        <f>LET(
    payment_method,'Loan Tape (S&amp;P)'!P4311,
    occupancy,'Loan Tape (S&amp;P)'!N4311,
    maturity_date,'Loan Tape (S&amp;P)'!L4311,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12">
      <c r="J4312">
        <f>LET(
    lien,'Loan Tape (S&amp;P)'!Q4312,
    IF(lien="First",1.00,
        IF(lien="Second",1.50,
            1.70)))</f>
        <v/>
      </c>
      <c r="K4312">
        <f>LET(
    purpose,'Loan Tape (S&amp;P)'!R4312,
    IF(purpose="Purchase",1.00,
        IF(purpose="Remortgage",1.00,
            1.20)))</f>
        <v/>
      </c>
      <c r="L4312">
        <f>LET(
    arrears_months,'Loan Tape (S&amp;P)'!AN4312,
    IF(arrears_months=0,1.00,
    IF(arrears_months=1,3.00,
    IF(arrears_months=2,5.00,
    IF(arrears_months=3,8.00,
    IF(arrears_months=4,10.00,
    IF(arrears_months=5,12.00,15.00)))))))</f>
        <v/>
      </c>
      <c r="M4312">
        <f>LET(
    seasoning_years,DATEDIF('Loan Tape (S&amp;P)'!K4312,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12">
        <f>IF(AND('Loan Tape (S&amp;P)'!U4312="Yes",
        'Loan Tape (S&amp;P)'!T4312&lt;&gt;"Yes",
        DATEDIF('Loan Tape (S&amp;P)'!K4312, TODAY(), "M")&lt;18),
    1.10,
    1.00)</f>
        <v/>
      </c>
      <c r="O4312">
        <f>IF('Loan Tape (S&amp;P)'!T4312="Yes",
    1.35,
    1.00)</f>
        <v/>
      </c>
      <c r="P4312">
        <f>IF('Loan Tape (S&amp;P)'!S4312="Yes",
    1.15,
    1.00)</f>
        <v/>
      </c>
      <c r="Q4312">
        <f>IF('Loan Tape (S&amp;P)'!V4312="Yes",
    1.20,
    1.00)</f>
        <v/>
      </c>
      <c r="T4312">
        <f>LET(
    payment_method,'Loan Tape (S&amp;P)'!P4312,
    occupancy,'Loan Tape (S&amp;P)'!N4312,
    maturity_date,'Loan Tape (S&amp;P)'!L4312,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13">
      <c r="J4313">
        <f>LET(
    lien,'Loan Tape (S&amp;P)'!Q4313,
    IF(lien="First",1.00,
        IF(lien="Second",1.50,
            1.70)))</f>
        <v/>
      </c>
      <c r="K4313">
        <f>LET(
    purpose,'Loan Tape (S&amp;P)'!R4313,
    IF(purpose="Purchase",1.00,
        IF(purpose="Remortgage",1.00,
            1.20)))</f>
        <v/>
      </c>
      <c r="L4313">
        <f>LET(
    arrears_months,'Loan Tape (S&amp;P)'!AN4313,
    IF(arrears_months=0,1.00,
    IF(arrears_months=1,3.00,
    IF(arrears_months=2,5.00,
    IF(arrears_months=3,8.00,
    IF(arrears_months=4,10.00,
    IF(arrears_months=5,12.00,15.00)))))))</f>
        <v/>
      </c>
      <c r="M4313">
        <f>LET(
    seasoning_years,DATEDIF('Loan Tape (S&amp;P)'!K4313,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13">
        <f>IF(AND('Loan Tape (S&amp;P)'!U4313="Yes",
        'Loan Tape (S&amp;P)'!T4313&lt;&gt;"Yes",
        DATEDIF('Loan Tape (S&amp;P)'!K4313, TODAY(), "M")&lt;18),
    1.10,
    1.00)</f>
        <v/>
      </c>
      <c r="O4313">
        <f>IF('Loan Tape (S&amp;P)'!T4313="Yes",
    1.35,
    1.00)</f>
        <v/>
      </c>
      <c r="P4313">
        <f>IF('Loan Tape (S&amp;P)'!S4313="Yes",
    1.15,
    1.00)</f>
        <v/>
      </c>
      <c r="Q4313">
        <f>IF('Loan Tape (S&amp;P)'!V4313="Yes",
    1.20,
    1.00)</f>
        <v/>
      </c>
      <c r="T4313">
        <f>LET(
    payment_method,'Loan Tape (S&amp;P)'!P4313,
    occupancy,'Loan Tape (S&amp;P)'!N4313,
    maturity_date,'Loan Tape (S&amp;P)'!L4313,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14">
      <c r="J4314">
        <f>LET(
    lien,'Loan Tape (S&amp;P)'!Q4314,
    IF(lien="First",1.00,
        IF(lien="Second",1.50,
            1.70)))</f>
        <v/>
      </c>
      <c r="K4314">
        <f>LET(
    purpose,'Loan Tape (S&amp;P)'!R4314,
    IF(purpose="Purchase",1.00,
        IF(purpose="Remortgage",1.00,
            1.20)))</f>
        <v/>
      </c>
      <c r="L4314">
        <f>LET(
    arrears_months,'Loan Tape (S&amp;P)'!AN4314,
    IF(arrears_months=0,1.00,
    IF(arrears_months=1,3.00,
    IF(arrears_months=2,5.00,
    IF(arrears_months=3,8.00,
    IF(arrears_months=4,10.00,
    IF(arrears_months=5,12.00,15.00)))))))</f>
        <v/>
      </c>
      <c r="M4314">
        <f>LET(
    seasoning_years,DATEDIF('Loan Tape (S&amp;P)'!K4314,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14">
        <f>IF(AND('Loan Tape (S&amp;P)'!U4314="Yes",
        'Loan Tape (S&amp;P)'!T4314&lt;&gt;"Yes",
        DATEDIF('Loan Tape (S&amp;P)'!K4314, TODAY(), "M")&lt;18),
    1.10,
    1.00)</f>
        <v/>
      </c>
      <c r="O4314">
        <f>IF('Loan Tape (S&amp;P)'!T4314="Yes",
    1.35,
    1.00)</f>
        <v/>
      </c>
      <c r="P4314">
        <f>IF('Loan Tape (S&amp;P)'!S4314="Yes",
    1.15,
    1.00)</f>
        <v/>
      </c>
      <c r="Q4314">
        <f>IF('Loan Tape (S&amp;P)'!V4314="Yes",
    1.20,
    1.00)</f>
        <v/>
      </c>
      <c r="T4314">
        <f>LET(
    payment_method,'Loan Tape (S&amp;P)'!P4314,
    occupancy,'Loan Tape (S&amp;P)'!N4314,
    maturity_date,'Loan Tape (S&amp;P)'!L4314,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15">
      <c r="J4315">
        <f>LET(
    lien,'Loan Tape (S&amp;P)'!Q4315,
    IF(lien="First",1.00,
        IF(lien="Second",1.50,
            1.70)))</f>
        <v/>
      </c>
      <c r="K4315">
        <f>LET(
    purpose,'Loan Tape (S&amp;P)'!R4315,
    IF(purpose="Purchase",1.00,
        IF(purpose="Remortgage",1.00,
            1.20)))</f>
        <v/>
      </c>
      <c r="L4315">
        <f>LET(
    arrears_months,'Loan Tape (S&amp;P)'!AN4315,
    IF(arrears_months=0,1.00,
    IF(arrears_months=1,3.00,
    IF(arrears_months=2,5.00,
    IF(arrears_months=3,8.00,
    IF(arrears_months=4,10.00,
    IF(arrears_months=5,12.00,15.00)))))))</f>
        <v/>
      </c>
      <c r="M4315">
        <f>LET(
    seasoning_years,DATEDIF('Loan Tape (S&amp;P)'!K4315,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15">
        <f>IF(AND('Loan Tape (S&amp;P)'!U4315="Yes",
        'Loan Tape (S&amp;P)'!T4315&lt;&gt;"Yes",
        DATEDIF('Loan Tape (S&amp;P)'!K4315, TODAY(), "M")&lt;18),
    1.10,
    1.00)</f>
        <v/>
      </c>
      <c r="O4315">
        <f>IF('Loan Tape (S&amp;P)'!T4315="Yes",
    1.35,
    1.00)</f>
        <v/>
      </c>
      <c r="P4315">
        <f>IF('Loan Tape (S&amp;P)'!S4315="Yes",
    1.15,
    1.00)</f>
        <v/>
      </c>
      <c r="Q4315">
        <f>IF('Loan Tape (S&amp;P)'!V4315="Yes",
    1.20,
    1.00)</f>
        <v/>
      </c>
      <c r="T4315">
        <f>LET(
    payment_method,'Loan Tape (S&amp;P)'!P4315,
    occupancy,'Loan Tape (S&amp;P)'!N4315,
    maturity_date,'Loan Tape (S&amp;P)'!L4315,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16">
      <c r="J4316">
        <f>LET(
    lien,'Loan Tape (S&amp;P)'!Q4316,
    IF(lien="First",1.00,
        IF(lien="Second",1.50,
            1.70)))</f>
        <v/>
      </c>
      <c r="K4316">
        <f>LET(
    purpose,'Loan Tape (S&amp;P)'!R4316,
    IF(purpose="Purchase",1.00,
        IF(purpose="Remortgage",1.00,
            1.20)))</f>
        <v/>
      </c>
      <c r="L4316">
        <f>LET(
    arrears_months,'Loan Tape (S&amp;P)'!AN4316,
    IF(arrears_months=0,1.00,
    IF(arrears_months=1,3.00,
    IF(arrears_months=2,5.00,
    IF(arrears_months=3,8.00,
    IF(arrears_months=4,10.00,
    IF(arrears_months=5,12.00,15.00)))))))</f>
        <v/>
      </c>
      <c r="M4316">
        <f>LET(
    seasoning_years,DATEDIF('Loan Tape (S&amp;P)'!K4316,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16">
        <f>IF(AND('Loan Tape (S&amp;P)'!U4316="Yes",
        'Loan Tape (S&amp;P)'!T4316&lt;&gt;"Yes",
        DATEDIF('Loan Tape (S&amp;P)'!K4316, TODAY(), "M")&lt;18),
    1.10,
    1.00)</f>
        <v/>
      </c>
      <c r="O4316">
        <f>IF('Loan Tape (S&amp;P)'!T4316="Yes",
    1.35,
    1.00)</f>
        <v/>
      </c>
      <c r="P4316">
        <f>IF('Loan Tape (S&amp;P)'!S4316="Yes",
    1.15,
    1.00)</f>
        <v/>
      </c>
      <c r="Q4316">
        <f>IF('Loan Tape (S&amp;P)'!V4316="Yes",
    1.20,
    1.00)</f>
        <v/>
      </c>
      <c r="T4316">
        <f>LET(
    payment_method,'Loan Tape (S&amp;P)'!P4316,
    occupancy,'Loan Tape (S&amp;P)'!N4316,
    maturity_date,'Loan Tape (S&amp;P)'!L4316,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17">
      <c r="J4317">
        <f>LET(
    lien,'Loan Tape (S&amp;P)'!Q4317,
    IF(lien="First",1.00,
        IF(lien="Second",1.50,
            1.70)))</f>
        <v/>
      </c>
      <c r="K4317">
        <f>LET(
    purpose,'Loan Tape (S&amp;P)'!R4317,
    IF(purpose="Purchase",1.00,
        IF(purpose="Remortgage",1.00,
            1.20)))</f>
        <v/>
      </c>
      <c r="L4317">
        <f>LET(
    arrears_months,'Loan Tape (S&amp;P)'!AN4317,
    IF(arrears_months=0,1.00,
    IF(arrears_months=1,3.00,
    IF(arrears_months=2,5.00,
    IF(arrears_months=3,8.00,
    IF(arrears_months=4,10.00,
    IF(arrears_months=5,12.00,15.00)))))))</f>
        <v/>
      </c>
      <c r="M4317">
        <f>LET(
    seasoning_years,DATEDIF('Loan Tape (S&amp;P)'!K4317,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17">
        <f>IF(AND('Loan Tape (S&amp;P)'!U4317="Yes",
        'Loan Tape (S&amp;P)'!T4317&lt;&gt;"Yes",
        DATEDIF('Loan Tape (S&amp;P)'!K4317, TODAY(), "M")&lt;18),
    1.10,
    1.00)</f>
        <v/>
      </c>
      <c r="O4317">
        <f>IF('Loan Tape (S&amp;P)'!T4317="Yes",
    1.35,
    1.00)</f>
        <v/>
      </c>
      <c r="P4317">
        <f>IF('Loan Tape (S&amp;P)'!S4317="Yes",
    1.15,
    1.00)</f>
        <v/>
      </c>
      <c r="Q4317">
        <f>IF('Loan Tape (S&amp;P)'!V4317="Yes",
    1.20,
    1.00)</f>
        <v/>
      </c>
      <c r="T4317">
        <f>LET(
    payment_method,'Loan Tape (S&amp;P)'!P4317,
    occupancy,'Loan Tape (S&amp;P)'!N4317,
    maturity_date,'Loan Tape (S&amp;P)'!L4317,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18">
      <c r="J4318">
        <f>LET(
    lien,'Loan Tape (S&amp;P)'!Q4318,
    IF(lien="First",1.00,
        IF(lien="Second",1.50,
            1.70)))</f>
        <v/>
      </c>
      <c r="K4318">
        <f>LET(
    purpose,'Loan Tape (S&amp;P)'!R4318,
    IF(purpose="Purchase",1.00,
        IF(purpose="Remortgage",1.00,
            1.20)))</f>
        <v/>
      </c>
      <c r="L4318">
        <f>LET(
    arrears_months,'Loan Tape (S&amp;P)'!AN4318,
    IF(arrears_months=0,1.00,
    IF(arrears_months=1,3.00,
    IF(arrears_months=2,5.00,
    IF(arrears_months=3,8.00,
    IF(arrears_months=4,10.00,
    IF(arrears_months=5,12.00,15.00)))))))</f>
        <v/>
      </c>
      <c r="M4318">
        <f>LET(
    seasoning_years,DATEDIF('Loan Tape (S&amp;P)'!K4318,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18">
        <f>IF(AND('Loan Tape (S&amp;P)'!U4318="Yes",
        'Loan Tape (S&amp;P)'!T4318&lt;&gt;"Yes",
        DATEDIF('Loan Tape (S&amp;P)'!K4318, TODAY(), "M")&lt;18),
    1.10,
    1.00)</f>
        <v/>
      </c>
      <c r="O4318">
        <f>IF('Loan Tape (S&amp;P)'!T4318="Yes",
    1.35,
    1.00)</f>
        <v/>
      </c>
      <c r="P4318">
        <f>IF('Loan Tape (S&amp;P)'!S4318="Yes",
    1.15,
    1.00)</f>
        <v/>
      </c>
      <c r="Q4318">
        <f>IF('Loan Tape (S&amp;P)'!V4318="Yes",
    1.20,
    1.00)</f>
        <v/>
      </c>
      <c r="T4318">
        <f>LET(
    payment_method,'Loan Tape (S&amp;P)'!P4318,
    occupancy,'Loan Tape (S&amp;P)'!N4318,
    maturity_date,'Loan Tape (S&amp;P)'!L4318,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19">
      <c r="J4319">
        <f>LET(
    lien,'Loan Tape (S&amp;P)'!Q4319,
    IF(lien="First",1.00,
        IF(lien="Second",1.50,
            1.70)))</f>
        <v/>
      </c>
      <c r="K4319">
        <f>LET(
    purpose,'Loan Tape (S&amp;P)'!R4319,
    IF(purpose="Purchase",1.00,
        IF(purpose="Remortgage",1.00,
            1.20)))</f>
        <v/>
      </c>
      <c r="L4319">
        <f>LET(
    arrears_months,'Loan Tape (S&amp;P)'!AN4319,
    IF(arrears_months=0,1.00,
    IF(arrears_months=1,3.00,
    IF(arrears_months=2,5.00,
    IF(arrears_months=3,8.00,
    IF(arrears_months=4,10.00,
    IF(arrears_months=5,12.00,15.00)))))))</f>
        <v/>
      </c>
      <c r="M4319">
        <f>LET(
    seasoning_years,DATEDIF('Loan Tape (S&amp;P)'!K4319,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19">
        <f>IF(AND('Loan Tape (S&amp;P)'!U4319="Yes",
        'Loan Tape (S&amp;P)'!T4319&lt;&gt;"Yes",
        DATEDIF('Loan Tape (S&amp;P)'!K4319, TODAY(), "M")&lt;18),
    1.10,
    1.00)</f>
        <v/>
      </c>
      <c r="O4319">
        <f>IF('Loan Tape (S&amp;P)'!T4319="Yes",
    1.35,
    1.00)</f>
        <v/>
      </c>
      <c r="P4319">
        <f>IF('Loan Tape (S&amp;P)'!S4319="Yes",
    1.15,
    1.00)</f>
        <v/>
      </c>
      <c r="Q4319">
        <f>IF('Loan Tape (S&amp;P)'!V4319="Yes",
    1.20,
    1.00)</f>
        <v/>
      </c>
      <c r="T4319">
        <f>LET(
    payment_method,'Loan Tape (S&amp;P)'!P4319,
    occupancy,'Loan Tape (S&amp;P)'!N4319,
    maturity_date,'Loan Tape (S&amp;P)'!L4319,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20">
      <c r="J4320">
        <f>LET(
    lien,'Loan Tape (S&amp;P)'!Q4320,
    IF(lien="First",1.00,
        IF(lien="Second",1.50,
            1.70)))</f>
        <v/>
      </c>
      <c r="K4320">
        <f>LET(
    purpose,'Loan Tape (S&amp;P)'!R4320,
    IF(purpose="Purchase",1.00,
        IF(purpose="Remortgage",1.00,
            1.20)))</f>
        <v/>
      </c>
      <c r="L4320">
        <f>LET(
    arrears_months,'Loan Tape (S&amp;P)'!AN4320,
    IF(arrears_months=0,1.00,
    IF(arrears_months=1,3.00,
    IF(arrears_months=2,5.00,
    IF(arrears_months=3,8.00,
    IF(arrears_months=4,10.00,
    IF(arrears_months=5,12.00,15.00)))))))</f>
        <v/>
      </c>
      <c r="M4320">
        <f>LET(
    seasoning_years,DATEDIF('Loan Tape (S&amp;P)'!K4320,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20">
        <f>IF(AND('Loan Tape (S&amp;P)'!U4320="Yes",
        'Loan Tape (S&amp;P)'!T4320&lt;&gt;"Yes",
        DATEDIF('Loan Tape (S&amp;P)'!K4320, TODAY(), "M")&lt;18),
    1.10,
    1.00)</f>
        <v/>
      </c>
      <c r="O4320">
        <f>IF('Loan Tape (S&amp;P)'!T4320="Yes",
    1.35,
    1.00)</f>
        <v/>
      </c>
      <c r="P4320">
        <f>IF('Loan Tape (S&amp;P)'!S4320="Yes",
    1.15,
    1.00)</f>
        <v/>
      </c>
      <c r="Q4320">
        <f>IF('Loan Tape (S&amp;P)'!V4320="Yes",
    1.20,
    1.00)</f>
        <v/>
      </c>
      <c r="T4320">
        <f>LET(
    payment_method,'Loan Tape (S&amp;P)'!P4320,
    occupancy,'Loan Tape (S&amp;P)'!N4320,
    maturity_date,'Loan Tape (S&amp;P)'!L4320,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21">
      <c r="J4321">
        <f>LET(
    lien,'Loan Tape (S&amp;P)'!Q4321,
    IF(lien="First",1.00,
        IF(lien="Second",1.50,
            1.70)))</f>
        <v/>
      </c>
      <c r="K4321">
        <f>LET(
    purpose,'Loan Tape (S&amp;P)'!R4321,
    IF(purpose="Purchase",1.00,
        IF(purpose="Remortgage",1.00,
            1.20)))</f>
        <v/>
      </c>
      <c r="L4321">
        <f>LET(
    arrears_months,'Loan Tape (S&amp;P)'!AN4321,
    IF(arrears_months=0,1.00,
    IF(arrears_months=1,3.00,
    IF(arrears_months=2,5.00,
    IF(arrears_months=3,8.00,
    IF(arrears_months=4,10.00,
    IF(arrears_months=5,12.00,15.00)))))))</f>
        <v/>
      </c>
      <c r="M4321">
        <f>LET(
    seasoning_years,DATEDIF('Loan Tape (S&amp;P)'!K4321,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21">
        <f>IF(AND('Loan Tape (S&amp;P)'!U4321="Yes",
        'Loan Tape (S&amp;P)'!T4321&lt;&gt;"Yes",
        DATEDIF('Loan Tape (S&amp;P)'!K4321, TODAY(), "M")&lt;18),
    1.10,
    1.00)</f>
        <v/>
      </c>
      <c r="O4321">
        <f>IF('Loan Tape (S&amp;P)'!T4321="Yes",
    1.35,
    1.00)</f>
        <v/>
      </c>
      <c r="P4321">
        <f>IF('Loan Tape (S&amp;P)'!S4321="Yes",
    1.15,
    1.00)</f>
        <v/>
      </c>
      <c r="Q4321">
        <f>IF('Loan Tape (S&amp;P)'!V4321="Yes",
    1.20,
    1.00)</f>
        <v/>
      </c>
      <c r="T4321">
        <f>LET(
    payment_method,'Loan Tape (S&amp;P)'!P4321,
    occupancy,'Loan Tape (S&amp;P)'!N4321,
    maturity_date,'Loan Tape (S&amp;P)'!L4321,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22">
      <c r="J4322">
        <f>LET(
    lien,'Loan Tape (S&amp;P)'!Q4322,
    IF(lien="First",1.00,
        IF(lien="Second",1.50,
            1.70)))</f>
        <v/>
      </c>
      <c r="K4322">
        <f>LET(
    purpose,'Loan Tape (S&amp;P)'!R4322,
    IF(purpose="Purchase",1.00,
        IF(purpose="Remortgage",1.00,
            1.20)))</f>
        <v/>
      </c>
      <c r="L4322">
        <f>LET(
    arrears_months,'Loan Tape (S&amp;P)'!AN4322,
    IF(arrears_months=0,1.00,
    IF(arrears_months=1,3.00,
    IF(arrears_months=2,5.00,
    IF(arrears_months=3,8.00,
    IF(arrears_months=4,10.00,
    IF(arrears_months=5,12.00,15.00)))))))</f>
        <v/>
      </c>
      <c r="M4322">
        <f>LET(
    seasoning_years,DATEDIF('Loan Tape (S&amp;P)'!K4322,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22">
        <f>IF(AND('Loan Tape (S&amp;P)'!U4322="Yes",
        'Loan Tape (S&amp;P)'!T4322&lt;&gt;"Yes",
        DATEDIF('Loan Tape (S&amp;P)'!K4322, TODAY(), "M")&lt;18),
    1.10,
    1.00)</f>
        <v/>
      </c>
      <c r="O4322">
        <f>IF('Loan Tape (S&amp;P)'!T4322="Yes",
    1.35,
    1.00)</f>
        <v/>
      </c>
      <c r="P4322">
        <f>IF('Loan Tape (S&amp;P)'!S4322="Yes",
    1.15,
    1.00)</f>
        <v/>
      </c>
      <c r="Q4322">
        <f>IF('Loan Tape (S&amp;P)'!V4322="Yes",
    1.20,
    1.00)</f>
        <v/>
      </c>
      <c r="T4322">
        <f>LET(
    payment_method,'Loan Tape (S&amp;P)'!P4322,
    occupancy,'Loan Tape (S&amp;P)'!N4322,
    maturity_date,'Loan Tape (S&amp;P)'!L4322,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23">
      <c r="J4323">
        <f>LET(
    lien,'Loan Tape (S&amp;P)'!Q4323,
    IF(lien="First",1.00,
        IF(lien="Second",1.50,
            1.70)))</f>
        <v/>
      </c>
      <c r="K4323">
        <f>LET(
    purpose,'Loan Tape (S&amp;P)'!R4323,
    IF(purpose="Purchase",1.00,
        IF(purpose="Remortgage",1.00,
            1.20)))</f>
        <v/>
      </c>
      <c r="L4323">
        <f>LET(
    arrears_months,'Loan Tape (S&amp;P)'!AN4323,
    IF(arrears_months=0,1.00,
    IF(arrears_months=1,3.00,
    IF(arrears_months=2,5.00,
    IF(arrears_months=3,8.00,
    IF(arrears_months=4,10.00,
    IF(arrears_months=5,12.00,15.00)))))))</f>
        <v/>
      </c>
      <c r="M4323">
        <f>LET(
    seasoning_years,DATEDIF('Loan Tape (S&amp;P)'!K4323,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23">
        <f>IF(AND('Loan Tape (S&amp;P)'!U4323="Yes",
        'Loan Tape (S&amp;P)'!T4323&lt;&gt;"Yes",
        DATEDIF('Loan Tape (S&amp;P)'!K4323, TODAY(), "M")&lt;18),
    1.10,
    1.00)</f>
        <v/>
      </c>
      <c r="O4323">
        <f>IF('Loan Tape (S&amp;P)'!T4323="Yes",
    1.35,
    1.00)</f>
        <v/>
      </c>
      <c r="P4323">
        <f>IF('Loan Tape (S&amp;P)'!S4323="Yes",
    1.15,
    1.00)</f>
        <v/>
      </c>
      <c r="Q4323">
        <f>IF('Loan Tape (S&amp;P)'!V4323="Yes",
    1.20,
    1.00)</f>
        <v/>
      </c>
      <c r="T4323">
        <f>LET(
    payment_method,'Loan Tape (S&amp;P)'!P4323,
    occupancy,'Loan Tape (S&amp;P)'!N4323,
    maturity_date,'Loan Tape (S&amp;P)'!L4323,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24">
      <c r="J4324">
        <f>LET(
    lien,'Loan Tape (S&amp;P)'!Q4324,
    IF(lien="First",1.00,
        IF(lien="Second",1.50,
            1.70)))</f>
        <v/>
      </c>
      <c r="K4324">
        <f>LET(
    purpose,'Loan Tape (S&amp;P)'!R4324,
    IF(purpose="Purchase",1.00,
        IF(purpose="Remortgage",1.00,
            1.20)))</f>
        <v/>
      </c>
      <c r="L4324">
        <f>LET(
    arrears_months,'Loan Tape (S&amp;P)'!AN4324,
    IF(arrears_months=0,1.00,
    IF(arrears_months=1,3.00,
    IF(arrears_months=2,5.00,
    IF(arrears_months=3,8.00,
    IF(arrears_months=4,10.00,
    IF(arrears_months=5,12.00,15.00)))))))</f>
        <v/>
      </c>
      <c r="M4324">
        <f>LET(
    seasoning_years,DATEDIF('Loan Tape (S&amp;P)'!K4324,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24">
        <f>IF(AND('Loan Tape (S&amp;P)'!U4324="Yes",
        'Loan Tape (S&amp;P)'!T4324&lt;&gt;"Yes",
        DATEDIF('Loan Tape (S&amp;P)'!K4324, TODAY(), "M")&lt;18),
    1.10,
    1.00)</f>
        <v/>
      </c>
      <c r="O4324">
        <f>IF('Loan Tape (S&amp;P)'!T4324="Yes",
    1.35,
    1.00)</f>
        <v/>
      </c>
      <c r="P4324">
        <f>IF('Loan Tape (S&amp;P)'!S4324="Yes",
    1.15,
    1.00)</f>
        <v/>
      </c>
      <c r="Q4324">
        <f>IF('Loan Tape (S&amp;P)'!V4324="Yes",
    1.20,
    1.00)</f>
        <v/>
      </c>
      <c r="T4324">
        <f>LET(
    payment_method,'Loan Tape (S&amp;P)'!P4324,
    occupancy,'Loan Tape (S&amp;P)'!N4324,
    maturity_date,'Loan Tape (S&amp;P)'!L4324,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25">
      <c r="J4325">
        <f>LET(
    lien,'Loan Tape (S&amp;P)'!Q4325,
    IF(lien="First",1.00,
        IF(lien="Second",1.50,
            1.70)))</f>
        <v/>
      </c>
      <c r="K4325">
        <f>LET(
    purpose,'Loan Tape (S&amp;P)'!R4325,
    IF(purpose="Purchase",1.00,
        IF(purpose="Remortgage",1.00,
            1.20)))</f>
        <v/>
      </c>
      <c r="L4325">
        <f>LET(
    arrears_months,'Loan Tape (S&amp;P)'!AN4325,
    IF(arrears_months=0,1.00,
    IF(arrears_months=1,3.00,
    IF(arrears_months=2,5.00,
    IF(arrears_months=3,8.00,
    IF(arrears_months=4,10.00,
    IF(arrears_months=5,12.00,15.00)))))))</f>
        <v/>
      </c>
      <c r="M4325">
        <f>LET(
    seasoning_years,DATEDIF('Loan Tape (S&amp;P)'!K4325,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25">
        <f>IF(AND('Loan Tape (S&amp;P)'!U4325="Yes",
        'Loan Tape (S&amp;P)'!T4325&lt;&gt;"Yes",
        DATEDIF('Loan Tape (S&amp;P)'!K4325, TODAY(), "M")&lt;18),
    1.10,
    1.00)</f>
        <v/>
      </c>
      <c r="O4325">
        <f>IF('Loan Tape (S&amp;P)'!T4325="Yes",
    1.35,
    1.00)</f>
        <v/>
      </c>
      <c r="P4325">
        <f>IF('Loan Tape (S&amp;P)'!S4325="Yes",
    1.15,
    1.00)</f>
        <v/>
      </c>
      <c r="Q4325">
        <f>IF('Loan Tape (S&amp;P)'!V4325="Yes",
    1.20,
    1.00)</f>
        <v/>
      </c>
      <c r="T4325">
        <f>LET(
    payment_method,'Loan Tape (S&amp;P)'!P4325,
    occupancy,'Loan Tape (S&amp;P)'!N4325,
    maturity_date,'Loan Tape (S&amp;P)'!L4325,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26">
      <c r="J4326">
        <f>LET(
    lien,'Loan Tape (S&amp;P)'!Q4326,
    IF(lien="First",1.00,
        IF(lien="Second",1.50,
            1.70)))</f>
        <v/>
      </c>
      <c r="K4326">
        <f>LET(
    purpose,'Loan Tape (S&amp;P)'!R4326,
    IF(purpose="Purchase",1.00,
        IF(purpose="Remortgage",1.00,
            1.20)))</f>
        <v/>
      </c>
      <c r="L4326">
        <f>LET(
    arrears_months,'Loan Tape (S&amp;P)'!AN4326,
    IF(arrears_months=0,1.00,
    IF(arrears_months=1,3.00,
    IF(arrears_months=2,5.00,
    IF(arrears_months=3,8.00,
    IF(arrears_months=4,10.00,
    IF(arrears_months=5,12.00,15.00)))))))</f>
        <v/>
      </c>
      <c r="M4326">
        <f>LET(
    seasoning_years,DATEDIF('Loan Tape (S&amp;P)'!K4326,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26">
        <f>IF(AND('Loan Tape (S&amp;P)'!U4326="Yes",
        'Loan Tape (S&amp;P)'!T4326&lt;&gt;"Yes",
        DATEDIF('Loan Tape (S&amp;P)'!K4326, TODAY(), "M")&lt;18),
    1.10,
    1.00)</f>
        <v/>
      </c>
      <c r="O4326">
        <f>IF('Loan Tape (S&amp;P)'!T4326="Yes",
    1.35,
    1.00)</f>
        <v/>
      </c>
      <c r="P4326">
        <f>IF('Loan Tape (S&amp;P)'!S4326="Yes",
    1.15,
    1.00)</f>
        <v/>
      </c>
      <c r="Q4326">
        <f>IF('Loan Tape (S&amp;P)'!V4326="Yes",
    1.20,
    1.00)</f>
        <v/>
      </c>
      <c r="T4326">
        <f>LET(
    payment_method,'Loan Tape (S&amp;P)'!P4326,
    occupancy,'Loan Tape (S&amp;P)'!N4326,
    maturity_date,'Loan Tape (S&amp;P)'!L4326,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27">
      <c r="J4327">
        <f>LET(
    lien,'Loan Tape (S&amp;P)'!Q4327,
    IF(lien="First",1.00,
        IF(lien="Second",1.50,
            1.70)))</f>
        <v/>
      </c>
      <c r="K4327">
        <f>LET(
    purpose,'Loan Tape (S&amp;P)'!R4327,
    IF(purpose="Purchase",1.00,
        IF(purpose="Remortgage",1.00,
            1.20)))</f>
        <v/>
      </c>
      <c r="L4327">
        <f>LET(
    arrears_months,'Loan Tape (S&amp;P)'!AN4327,
    IF(arrears_months=0,1.00,
    IF(arrears_months=1,3.00,
    IF(arrears_months=2,5.00,
    IF(arrears_months=3,8.00,
    IF(arrears_months=4,10.00,
    IF(arrears_months=5,12.00,15.00)))))))</f>
        <v/>
      </c>
      <c r="M4327">
        <f>LET(
    seasoning_years,DATEDIF('Loan Tape (S&amp;P)'!K4327,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27">
        <f>IF(AND('Loan Tape (S&amp;P)'!U4327="Yes",
        'Loan Tape (S&amp;P)'!T4327&lt;&gt;"Yes",
        DATEDIF('Loan Tape (S&amp;P)'!K4327, TODAY(), "M")&lt;18),
    1.10,
    1.00)</f>
        <v/>
      </c>
      <c r="O4327">
        <f>IF('Loan Tape (S&amp;P)'!T4327="Yes",
    1.35,
    1.00)</f>
        <v/>
      </c>
      <c r="P4327">
        <f>IF('Loan Tape (S&amp;P)'!S4327="Yes",
    1.15,
    1.00)</f>
        <v/>
      </c>
      <c r="Q4327">
        <f>IF('Loan Tape (S&amp;P)'!V4327="Yes",
    1.20,
    1.00)</f>
        <v/>
      </c>
      <c r="T4327">
        <f>LET(
    payment_method,'Loan Tape (S&amp;P)'!P4327,
    occupancy,'Loan Tape (S&amp;P)'!N4327,
    maturity_date,'Loan Tape (S&amp;P)'!L4327,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28">
      <c r="J4328">
        <f>LET(
    lien,'Loan Tape (S&amp;P)'!Q4328,
    IF(lien="First",1.00,
        IF(lien="Second",1.50,
            1.70)))</f>
        <v/>
      </c>
      <c r="K4328">
        <f>LET(
    purpose,'Loan Tape (S&amp;P)'!R4328,
    IF(purpose="Purchase",1.00,
        IF(purpose="Remortgage",1.00,
            1.20)))</f>
        <v/>
      </c>
      <c r="L4328">
        <f>LET(
    arrears_months,'Loan Tape (S&amp;P)'!AN4328,
    IF(arrears_months=0,1.00,
    IF(arrears_months=1,3.00,
    IF(arrears_months=2,5.00,
    IF(arrears_months=3,8.00,
    IF(arrears_months=4,10.00,
    IF(arrears_months=5,12.00,15.00)))))))</f>
        <v/>
      </c>
      <c r="M4328">
        <f>LET(
    seasoning_years,DATEDIF('Loan Tape (S&amp;P)'!K4328,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28">
        <f>IF(AND('Loan Tape (S&amp;P)'!U4328="Yes",
        'Loan Tape (S&amp;P)'!T4328&lt;&gt;"Yes",
        DATEDIF('Loan Tape (S&amp;P)'!K4328, TODAY(), "M")&lt;18),
    1.10,
    1.00)</f>
        <v/>
      </c>
      <c r="O4328">
        <f>IF('Loan Tape (S&amp;P)'!T4328="Yes",
    1.35,
    1.00)</f>
        <v/>
      </c>
      <c r="P4328">
        <f>IF('Loan Tape (S&amp;P)'!S4328="Yes",
    1.15,
    1.00)</f>
        <v/>
      </c>
      <c r="Q4328">
        <f>IF('Loan Tape (S&amp;P)'!V4328="Yes",
    1.20,
    1.00)</f>
        <v/>
      </c>
      <c r="T4328">
        <f>LET(
    payment_method,'Loan Tape (S&amp;P)'!P4328,
    occupancy,'Loan Tape (S&amp;P)'!N4328,
    maturity_date,'Loan Tape (S&amp;P)'!L4328,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29">
      <c r="J4329">
        <f>LET(
    lien,'Loan Tape (S&amp;P)'!Q4329,
    IF(lien="First",1.00,
        IF(lien="Second",1.50,
            1.70)))</f>
        <v/>
      </c>
      <c r="K4329">
        <f>LET(
    purpose,'Loan Tape (S&amp;P)'!R4329,
    IF(purpose="Purchase",1.00,
        IF(purpose="Remortgage",1.00,
            1.20)))</f>
        <v/>
      </c>
      <c r="L4329">
        <f>LET(
    arrears_months,'Loan Tape (S&amp;P)'!AN4329,
    IF(arrears_months=0,1.00,
    IF(arrears_months=1,3.00,
    IF(arrears_months=2,5.00,
    IF(arrears_months=3,8.00,
    IF(arrears_months=4,10.00,
    IF(arrears_months=5,12.00,15.00)))))))</f>
        <v/>
      </c>
      <c r="M4329">
        <f>LET(
    seasoning_years,DATEDIF('Loan Tape (S&amp;P)'!K4329,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29">
        <f>IF(AND('Loan Tape (S&amp;P)'!U4329="Yes",
        'Loan Tape (S&amp;P)'!T4329&lt;&gt;"Yes",
        DATEDIF('Loan Tape (S&amp;P)'!K4329, TODAY(), "M")&lt;18),
    1.10,
    1.00)</f>
        <v/>
      </c>
      <c r="O4329">
        <f>IF('Loan Tape (S&amp;P)'!T4329="Yes",
    1.35,
    1.00)</f>
        <v/>
      </c>
      <c r="P4329">
        <f>IF('Loan Tape (S&amp;P)'!S4329="Yes",
    1.15,
    1.00)</f>
        <v/>
      </c>
      <c r="Q4329">
        <f>IF('Loan Tape (S&amp;P)'!V4329="Yes",
    1.20,
    1.00)</f>
        <v/>
      </c>
      <c r="T4329">
        <f>LET(
    payment_method,'Loan Tape (S&amp;P)'!P4329,
    occupancy,'Loan Tape (S&amp;P)'!N4329,
    maturity_date,'Loan Tape (S&amp;P)'!L4329,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30">
      <c r="J4330">
        <f>LET(
    lien,'Loan Tape (S&amp;P)'!Q4330,
    IF(lien="First",1.00,
        IF(lien="Second",1.50,
            1.70)))</f>
        <v/>
      </c>
      <c r="K4330">
        <f>LET(
    purpose,'Loan Tape (S&amp;P)'!R4330,
    IF(purpose="Purchase",1.00,
        IF(purpose="Remortgage",1.00,
            1.20)))</f>
        <v/>
      </c>
      <c r="L4330">
        <f>LET(
    arrears_months,'Loan Tape (S&amp;P)'!AN4330,
    IF(arrears_months=0,1.00,
    IF(arrears_months=1,3.00,
    IF(arrears_months=2,5.00,
    IF(arrears_months=3,8.00,
    IF(arrears_months=4,10.00,
    IF(arrears_months=5,12.00,15.00)))))))</f>
        <v/>
      </c>
      <c r="M4330">
        <f>LET(
    seasoning_years,DATEDIF('Loan Tape (S&amp;P)'!K4330,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30">
        <f>IF(AND('Loan Tape (S&amp;P)'!U4330="Yes",
        'Loan Tape (S&amp;P)'!T4330&lt;&gt;"Yes",
        DATEDIF('Loan Tape (S&amp;P)'!K4330, TODAY(), "M")&lt;18),
    1.10,
    1.00)</f>
        <v/>
      </c>
      <c r="O4330">
        <f>IF('Loan Tape (S&amp;P)'!T4330="Yes",
    1.35,
    1.00)</f>
        <v/>
      </c>
      <c r="P4330">
        <f>IF('Loan Tape (S&amp;P)'!S4330="Yes",
    1.15,
    1.00)</f>
        <v/>
      </c>
      <c r="Q4330">
        <f>IF('Loan Tape (S&amp;P)'!V4330="Yes",
    1.20,
    1.00)</f>
        <v/>
      </c>
      <c r="T4330">
        <f>LET(
    payment_method,'Loan Tape (S&amp;P)'!P4330,
    occupancy,'Loan Tape (S&amp;P)'!N4330,
    maturity_date,'Loan Tape (S&amp;P)'!L4330,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31">
      <c r="J4331">
        <f>LET(
    lien,'Loan Tape (S&amp;P)'!Q4331,
    IF(lien="First",1.00,
        IF(lien="Second",1.50,
            1.70)))</f>
        <v/>
      </c>
      <c r="K4331">
        <f>LET(
    purpose,'Loan Tape (S&amp;P)'!R4331,
    IF(purpose="Purchase",1.00,
        IF(purpose="Remortgage",1.00,
            1.20)))</f>
        <v/>
      </c>
      <c r="L4331">
        <f>LET(
    arrears_months,'Loan Tape (S&amp;P)'!AN4331,
    IF(arrears_months=0,1.00,
    IF(arrears_months=1,3.00,
    IF(arrears_months=2,5.00,
    IF(arrears_months=3,8.00,
    IF(arrears_months=4,10.00,
    IF(arrears_months=5,12.00,15.00)))))))</f>
        <v/>
      </c>
      <c r="M4331">
        <f>LET(
    seasoning_years,DATEDIF('Loan Tape (S&amp;P)'!K4331,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31">
        <f>IF(AND('Loan Tape (S&amp;P)'!U4331="Yes",
        'Loan Tape (S&amp;P)'!T4331&lt;&gt;"Yes",
        DATEDIF('Loan Tape (S&amp;P)'!K4331, TODAY(), "M")&lt;18),
    1.10,
    1.00)</f>
        <v/>
      </c>
      <c r="O4331">
        <f>IF('Loan Tape (S&amp;P)'!T4331="Yes",
    1.35,
    1.00)</f>
        <v/>
      </c>
      <c r="P4331">
        <f>IF('Loan Tape (S&amp;P)'!S4331="Yes",
    1.15,
    1.00)</f>
        <v/>
      </c>
      <c r="Q4331">
        <f>IF('Loan Tape (S&amp;P)'!V4331="Yes",
    1.20,
    1.00)</f>
        <v/>
      </c>
      <c r="T4331">
        <f>LET(
    payment_method,'Loan Tape (S&amp;P)'!P4331,
    occupancy,'Loan Tape (S&amp;P)'!N4331,
    maturity_date,'Loan Tape (S&amp;P)'!L4331,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32">
      <c r="J4332">
        <f>LET(
    lien,'Loan Tape (S&amp;P)'!Q4332,
    IF(lien="First",1.00,
        IF(lien="Second",1.50,
            1.70)))</f>
        <v/>
      </c>
      <c r="K4332">
        <f>LET(
    purpose,'Loan Tape (S&amp;P)'!R4332,
    IF(purpose="Purchase",1.00,
        IF(purpose="Remortgage",1.00,
            1.20)))</f>
        <v/>
      </c>
      <c r="L4332">
        <f>LET(
    arrears_months,'Loan Tape (S&amp;P)'!AN4332,
    IF(arrears_months=0,1.00,
    IF(arrears_months=1,3.00,
    IF(arrears_months=2,5.00,
    IF(arrears_months=3,8.00,
    IF(arrears_months=4,10.00,
    IF(arrears_months=5,12.00,15.00)))))))</f>
        <v/>
      </c>
      <c r="M4332">
        <f>LET(
    seasoning_years,DATEDIF('Loan Tape (S&amp;P)'!K4332,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32">
        <f>IF(AND('Loan Tape (S&amp;P)'!U4332="Yes",
        'Loan Tape (S&amp;P)'!T4332&lt;&gt;"Yes",
        DATEDIF('Loan Tape (S&amp;P)'!K4332, TODAY(), "M")&lt;18),
    1.10,
    1.00)</f>
        <v/>
      </c>
      <c r="O4332">
        <f>IF('Loan Tape (S&amp;P)'!T4332="Yes",
    1.35,
    1.00)</f>
        <v/>
      </c>
      <c r="P4332">
        <f>IF('Loan Tape (S&amp;P)'!S4332="Yes",
    1.15,
    1.00)</f>
        <v/>
      </c>
      <c r="Q4332">
        <f>IF('Loan Tape (S&amp;P)'!V4332="Yes",
    1.20,
    1.00)</f>
        <v/>
      </c>
      <c r="T4332">
        <f>LET(
    payment_method,'Loan Tape (S&amp;P)'!P4332,
    occupancy,'Loan Tape (S&amp;P)'!N4332,
    maturity_date,'Loan Tape (S&amp;P)'!L4332,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33">
      <c r="J4333">
        <f>LET(
    lien,'Loan Tape (S&amp;P)'!Q4333,
    IF(lien="First",1.00,
        IF(lien="Second",1.50,
            1.70)))</f>
        <v/>
      </c>
      <c r="K4333">
        <f>LET(
    purpose,'Loan Tape (S&amp;P)'!R4333,
    IF(purpose="Purchase",1.00,
        IF(purpose="Remortgage",1.00,
            1.20)))</f>
        <v/>
      </c>
      <c r="L4333">
        <f>LET(
    arrears_months,'Loan Tape (S&amp;P)'!AN4333,
    IF(arrears_months=0,1.00,
    IF(arrears_months=1,3.00,
    IF(arrears_months=2,5.00,
    IF(arrears_months=3,8.00,
    IF(arrears_months=4,10.00,
    IF(arrears_months=5,12.00,15.00)))))))</f>
        <v/>
      </c>
      <c r="M4333">
        <f>LET(
    seasoning_years,DATEDIF('Loan Tape (S&amp;P)'!K4333,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33">
        <f>IF(AND('Loan Tape (S&amp;P)'!U4333="Yes",
        'Loan Tape (S&amp;P)'!T4333&lt;&gt;"Yes",
        DATEDIF('Loan Tape (S&amp;P)'!K4333, TODAY(), "M")&lt;18),
    1.10,
    1.00)</f>
        <v/>
      </c>
      <c r="O4333">
        <f>IF('Loan Tape (S&amp;P)'!T4333="Yes",
    1.35,
    1.00)</f>
        <v/>
      </c>
      <c r="P4333">
        <f>IF('Loan Tape (S&amp;P)'!S4333="Yes",
    1.15,
    1.00)</f>
        <v/>
      </c>
      <c r="Q4333">
        <f>IF('Loan Tape (S&amp;P)'!V4333="Yes",
    1.20,
    1.00)</f>
        <v/>
      </c>
      <c r="T4333">
        <f>LET(
    payment_method,'Loan Tape (S&amp;P)'!P4333,
    occupancy,'Loan Tape (S&amp;P)'!N4333,
    maturity_date,'Loan Tape (S&amp;P)'!L4333,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34">
      <c r="J4334">
        <f>LET(
    lien,'Loan Tape (S&amp;P)'!Q4334,
    IF(lien="First",1.00,
        IF(lien="Second",1.50,
            1.70)))</f>
        <v/>
      </c>
      <c r="K4334">
        <f>LET(
    purpose,'Loan Tape (S&amp;P)'!R4334,
    IF(purpose="Purchase",1.00,
        IF(purpose="Remortgage",1.00,
            1.20)))</f>
        <v/>
      </c>
      <c r="L4334">
        <f>LET(
    arrears_months,'Loan Tape (S&amp;P)'!AN4334,
    IF(arrears_months=0,1.00,
    IF(arrears_months=1,3.00,
    IF(arrears_months=2,5.00,
    IF(arrears_months=3,8.00,
    IF(arrears_months=4,10.00,
    IF(arrears_months=5,12.00,15.00)))))))</f>
        <v/>
      </c>
      <c r="M4334">
        <f>LET(
    seasoning_years,DATEDIF('Loan Tape (S&amp;P)'!K4334,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34">
        <f>IF(AND('Loan Tape (S&amp;P)'!U4334="Yes",
        'Loan Tape (S&amp;P)'!T4334&lt;&gt;"Yes",
        DATEDIF('Loan Tape (S&amp;P)'!K4334, TODAY(), "M")&lt;18),
    1.10,
    1.00)</f>
        <v/>
      </c>
      <c r="O4334">
        <f>IF('Loan Tape (S&amp;P)'!T4334="Yes",
    1.35,
    1.00)</f>
        <v/>
      </c>
      <c r="P4334">
        <f>IF('Loan Tape (S&amp;P)'!S4334="Yes",
    1.15,
    1.00)</f>
        <v/>
      </c>
      <c r="Q4334">
        <f>IF('Loan Tape (S&amp;P)'!V4334="Yes",
    1.20,
    1.00)</f>
        <v/>
      </c>
      <c r="T4334">
        <f>LET(
    payment_method,'Loan Tape (S&amp;P)'!P4334,
    occupancy,'Loan Tape (S&amp;P)'!N4334,
    maturity_date,'Loan Tape (S&amp;P)'!L4334,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35">
      <c r="J4335">
        <f>LET(
    lien,'Loan Tape (S&amp;P)'!Q4335,
    IF(lien="First",1.00,
        IF(lien="Second",1.50,
            1.70)))</f>
        <v/>
      </c>
      <c r="K4335">
        <f>LET(
    purpose,'Loan Tape (S&amp;P)'!R4335,
    IF(purpose="Purchase",1.00,
        IF(purpose="Remortgage",1.00,
            1.20)))</f>
        <v/>
      </c>
      <c r="L4335">
        <f>LET(
    arrears_months,'Loan Tape (S&amp;P)'!AN4335,
    IF(arrears_months=0,1.00,
    IF(arrears_months=1,3.00,
    IF(arrears_months=2,5.00,
    IF(arrears_months=3,8.00,
    IF(arrears_months=4,10.00,
    IF(arrears_months=5,12.00,15.00)))))))</f>
        <v/>
      </c>
      <c r="M4335">
        <f>LET(
    seasoning_years,DATEDIF('Loan Tape (S&amp;P)'!K4335,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35">
        <f>IF(AND('Loan Tape (S&amp;P)'!U4335="Yes",
        'Loan Tape (S&amp;P)'!T4335&lt;&gt;"Yes",
        DATEDIF('Loan Tape (S&amp;P)'!K4335, TODAY(), "M")&lt;18),
    1.10,
    1.00)</f>
        <v/>
      </c>
      <c r="O4335">
        <f>IF('Loan Tape (S&amp;P)'!T4335="Yes",
    1.35,
    1.00)</f>
        <v/>
      </c>
      <c r="P4335">
        <f>IF('Loan Tape (S&amp;P)'!S4335="Yes",
    1.15,
    1.00)</f>
        <v/>
      </c>
      <c r="Q4335">
        <f>IF('Loan Tape (S&amp;P)'!V4335="Yes",
    1.20,
    1.00)</f>
        <v/>
      </c>
      <c r="T4335">
        <f>LET(
    payment_method,'Loan Tape (S&amp;P)'!P4335,
    occupancy,'Loan Tape (S&amp;P)'!N4335,
    maturity_date,'Loan Tape (S&amp;P)'!L4335,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36">
      <c r="J4336">
        <f>LET(
    lien,'Loan Tape (S&amp;P)'!Q4336,
    IF(lien="First",1.00,
        IF(lien="Second",1.50,
            1.70)))</f>
        <v/>
      </c>
      <c r="K4336">
        <f>LET(
    purpose,'Loan Tape (S&amp;P)'!R4336,
    IF(purpose="Purchase",1.00,
        IF(purpose="Remortgage",1.00,
            1.20)))</f>
        <v/>
      </c>
      <c r="L4336">
        <f>LET(
    arrears_months,'Loan Tape (S&amp;P)'!AN4336,
    IF(arrears_months=0,1.00,
    IF(arrears_months=1,3.00,
    IF(arrears_months=2,5.00,
    IF(arrears_months=3,8.00,
    IF(arrears_months=4,10.00,
    IF(arrears_months=5,12.00,15.00)))))))</f>
        <v/>
      </c>
      <c r="M4336">
        <f>LET(
    seasoning_years,DATEDIF('Loan Tape (S&amp;P)'!K4336,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36">
        <f>IF(AND('Loan Tape (S&amp;P)'!U4336="Yes",
        'Loan Tape (S&amp;P)'!T4336&lt;&gt;"Yes",
        DATEDIF('Loan Tape (S&amp;P)'!K4336, TODAY(), "M")&lt;18),
    1.10,
    1.00)</f>
        <v/>
      </c>
      <c r="O4336">
        <f>IF('Loan Tape (S&amp;P)'!T4336="Yes",
    1.35,
    1.00)</f>
        <v/>
      </c>
      <c r="P4336">
        <f>IF('Loan Tape (S&amp;P)'!S4336="Yes",
    1.15,
    1.00)</f>
        <v/>
      </c>
      <c r="Q4336">
        <f>IF('Loan Tape (S&amp;P)'!V4336="Yes",
    1.20,
    1.00)</f>
        <v/>
      </c>
      <c r="T4336">
        <f>LET(
    payment_method,'Loan Tape (S&amp;P)'!P4336,
    occupancy,'Loan Tape (S&amp;P)'!N4336,
    maturity_date,'Loan Tape (S&amp;P)'!L4336,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37">
      <c r="J4337">
        <f>LET(
    lien,'Loan Tape (S&amp;P)'!Q4337,
    IF(lien="First",1.00,
        IF(lien="Second",1.50,
            1.70)))</f>
        <v/>
      </c>
      <c r="K4337">
        <f>LET(
    purpose,'Loan Tape (S&amp;P)'!R4337,
    IF(purpose="Purchase",1.00,
        IF(purpose="Remortgage",1.00,
            1.20)))</f>
        <v/>
      </c>
      <c r="L4337">
        <f>LET(
    arrears_months,'Loan Tape (S&amp;P)'!AN4337,
    IF(arrears_months=0,1.00,
    IF(arrears_months=1,3.00,
    IF(arrears_months=2,5.00,
    IF(arrears_months=3,8.00,
    IF(arrears_months=4,10.00,
    IF(arrears_months=5,12.00,15.00)))))))</f>
        <v/>
      </c>
      <c r="M4337">
        <f>LET(
    seasoning_years,DATEDIF('Loan Tape (S&amp;P)'!K4337,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37">
        <f>IF(AND('Loan Tape (S&amp;P)'!U4337="Yes",
        'Loan Tape (S&amp;P)'!T4337&lt;&gt;"Yes",
        DATEDIF('Loan Tape (S&amp;P)'!K4337, TODAY(), "M")&lt;18),
    1.10,
    1.00)</f>
        <v/>
      </c>
      <c r="O4337">
        <f>IF('Loan Tape (S&amp;P)'!T4337="Yes",
    1.35,
    1.00)</f>
        <v/>
      </c>
      <c r="P4337">
        <f>IF('Loan Tape (S&amp;P)'!S4337="Yes",
    1.15,
    1.00)</f>
        <v/>
      </c>
      <c r="Q4337">
        <f>IF('Loan Tape (S&amp;P)'!V4337="Yes",
    1.20,
    1.00)</f>
        <v/>
      </c>
      <c r="T4337">
        <f>LET(
    payment_method,'Loan Tape (S&amp;P)'!P4337,
    occupancy,'Loan Tape (S&amp;P)'!N4337,
    maturity_date,'Loan Tape (S&amp;P)'!L4337,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38">
      <c r="J4338">
        <f>LET(
    lien,'Loan Tape (S&amp;P)'!Q4338,
    IF(lien="First",1.00,
        IF(lien="Second",1.50,
            1.70)))</f>
        <v/>
      </c>
      <c r="K4338">
        <f>LET(
    purpose,'Loan Tape (S&amp;P)'!R4338,
    IF(purpose="Purchase",1.00,
        IF(purpose="Remortgage",1.00,
            1.20)))</f>
        <v/>
      </c>
      <c r="L4338">
        <f>LET(
    arrears_months,'Loan Tape (S&amp;P)'!AN4338,
    IF(arrears_months=0,1.00,
    IF(arrears_months=1,3.00,
    IF(arrears_months=2,5.00,
    IF(arrears_months=3,8.00,
    IF(arrears_months=4,10.00,
    IF(arrears_months=5,12.00,15.00)))))))</f>
        <v/>
      </c>
      <c r="M4338">
        <f>LET(
    seasoning_years,DATEDIF('Loan Tape (S&amp;P)'!K4338,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38">
        <f>IF(AND('Loan Tape (S&amp;P)'!U4338="Yes",
        'Loan Tape (S&amp;P)'!T4338&lt;&gt;"Yes",
        DATEDIF('Loan Tape (S&amp;P)'!K4338, TODAY(), "M")&lt;18),
    1.10,
    1.00)</f>
        <v/>
      </c>
      <c r="O4338">
        <f>IF('Loan Tape (S&amp;P)'!T4338="Yes",
    1.35,
    1.00)</f>
        <v/>
      </c>
      <c r="P4338">
        <f>IF('Loan Tape (S&amp;P)'!S4338="Yes",
    1.15,
    1.00)</f>
        <v/>
      </c>
      <c r="Q4338">
        <f>IF('Loan Tape (S&amp;P)'!V4338="Yes",
    1.20,
    1.00)</f>
        <v/>
      </c>
      <c r="T4338">
        <f>LET(
    payment_method,'Loan Tape (S&amp;P)'!P4338,
    occupancy,'Loan Tape (S&amp;P)'!N4338,
    maturity_date,'Loan Tape (S&amp;P)'!L4338,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39">
      <c r="J4339">
        <f>LET(
    lien,'Loan Tape (S&amp;P)'!Q4339,
    IF(lien="First",1.00,
        IF(lien="Second",1.50,
            1.70)))</f>
        <v/>
      </c>
      <c r="K4339">
        <f>LET(
    purpose,'Loan Tape (S&amp;P)'!R4339,
    IF(purpose="Purchase",1.00,
        IF(purpose="Remortgage",1.00,
            1.20)))</f>
        <v/>
      </c>
      <c r="L4339">
        <f>LET(
    arrears_months,'Loan Tape (S&amp;P)'!AN4339,
    IF(arrears_months=0,1.00,
    IF(arrears_months=1,3.00,
    IF(arrears_months=2,5.00,
    IF(arrears_months=3,8.00,
    IF(arrears_months=4,10.00,
    IF(arrears_months=5,12.00,15.00)))))))</f>
        <v/>
      </c>
      <c r="M4339">
        <f>LET(
    seasoning_years,DATEDIF('Loan Tape (S&amp;P)'!K4339,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39">
        <f>IF(AND('Loan Tape (S&amp;P)'!U4339="Yes",
        'Loan Tape (S&amp;P)'!T4339&lt;&gt;"Yes",
        DATEDIF('Loan Tape (S&amp;P)'!K4339, TODAY(), "M")&lt;18),
    1.10,
    1.00)</f>
        <v/>
      </c>
      <c r="O4339">
        <f>IF('Loan Tape (S&amp;P)'!T4339="Yes",
    1.35,
    1.00)</f>
        <v/>
      </c>
      <c r="P4339">
        <f>IF('Loan Tape (S&amp;P)'!S4339="Yes",
    1.15,
    1.00)</f>
        <v/>
      </c>
      <c r="Q4339">
        <f>IF('Loan Tape (S&amp;P)'!V4339="Yes",
    1.20,
    1.00)</f>
        <v/>
      </c>
      <c r="T4339">
        <f>LET(
    payment_method,'Loan Tape (S&amp;P)'!P4339,
    occupancy,'Loan Tape (S&amp;P)'!N4339,
    maturity_date,'Loan Tape (S&amp;P)'!L4339,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40">
      <c r="J4340">
        <f>LET(
    lien,'Loan Tape (S&amp;P)'!Q4340,
    IF(lien="First",1.00,
        IF(lien="Second",1.50,
            1.70)))</f>
        <v/>
      </c>
      <c r="K4340">
        <f>LET(
    purpose,'Loan Tape (S&amp;P)'!R4340,
    IF(purpose="Purchase",1.00,
        IF(purpose="Remortgage",1.00,
            1.20)))</f>
        <v/>
      </c>
      <c r="L4340">
        <f>LET(
    arrears_months,'Loan Tape (S&amp;P)'!AN4340,
    IF(arrears_months=0,1.00,
    IF(arrears_months=1,3.00,
    IF(arrears_months=2,5.00,
    IF(arrears_months=3,8.00,
    IF(arrears_months=4,10.00,
    IF(arrears_months=5,12.00,15.00)))))))</f>
        <v/>
      </c>
      <c r="M4340">
        <f>LET(
    seasoning_years,DATEDIF('Loan Tape (S&amp;P)'!K4340,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40">
        <f>IF(AND('Loan Tape (S&amp;P)'!U4340="Yes",
        'Loan Tape (S&amp;P)'!T4340&lt;&gt;"Yes",
        DATEDIF('Loan Tape (S&amp;P)'!K4340, TODAY(), "M")&lt;18),
    1.10,
    1.00)</f>
        <v/>
      </c>
      <c r="O4340">
        <f>IF('Loan Tape (S&amp;P)'!T4340="Yes",
    1.35,
    1.00)</f>
        <v/>
      </c>
      <c r="P4340">
        <f>IF('Loan Tape (S&amp;P)'!S4340="Yes",
    1.15,
    1.00)</f>
        <v/>
      </c>
      <c r="Q4340">
        <f>IF('Loan Tape (S&amp;P)'!V4340="Yes",
    1.20,
    1.00)</f>
        <v/>
      </c>
      <c r="T4340">
        <f>LET(
    payment_method,'Loan Tape (S&amp;P)'!P4340,
    occupancy,'Loan Tape (S&amp;P)'!N4340,
    maturity_date,'Loan Tape (S&amp;P)'!L4340,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41">
      <c r="J4341">
        <f>LET(
    lien,'Loan Tape (S&amp;P)'!Q4341,
    IF(lien="First",1.00,
        IF(lien="Second",1.50,
            1.70)))</f>
        <v/>
      </c>
      <c r="K4341">
        <f>LET(
    purpose,'Loan Tape (S&amp;P)'!R4341,
    IF(purpose="Purchase",1.00,
        IF(purpose="Remortgage",1.00,
            1.20)))</f>
        <v/>
      </c>
      <c r="L4341">
        <f>LET(
    arrears_months,'Loan Tape (S&amp;P)'!AN4341,
    IF(arrears_months=0,1.00,
    IF(arrears_months=1,3.00,
    IF(arrears_months=2,5.00,
    IF(arrears_months=3,8.00,
    IF(arrears_months=4,10.00,
    IF(arrears_months=5,12.00,15.00)))))))</f>
        <v/>
      </c>
      <c r="M4341">
        <f>LET(
    seasoning_years,DATEDIF('Loan Tape (S&amp;P)'!K4341,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41">
        <f>IF(AND('Loan Tape (S&amp;P)'!U4341="Yes",
        'Loan Tape (S&amp;P)'!T4341&lt;&gt;"Yes",
        DATEDIF('Loan Tape (S&amp;P)'!K4341, TODAY(), "M")&lt;18),
    1.10,
    1.00)</f>
        <v/>
      </c>
      <c r="O4341">
        <f>IF('Loan Tape (S&amp;P)'!T4341="Yes",
    1.35,
    1.00)</f>
        <v/>
      </c>
      <c r="P4341">
        <f>IF('Loan Tape (S&amp;P)'!S4341="Yes",
    1.15,
    1.00)</f>
        <v/>
      </c>
      <c r="Q4341">
        <f>IF('Loan Tape (S&amp;P)'!V4341="Yes",
    1.20,
    1.00)</f>
        <v/>
      </c>
      <c r="T4341">
        <f>LET(
    payment_method,'Loan Tape (S&amp;P)'!P4341,
    occupancy,'Loan Tape (S&amp;P)'!N4341,
    maturity_date,'Loan Tape (S&amp;P)'!L4341,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42">
      <c r="J4342">
        <f>LET(
    lien,'Loan Tape (S&amp;P)'!Q4342,
    IF(lien="First",1.00,
        IF(lien="Second",1.50,
            1.70)))</f>
        <v/>
      </c>
      <c r="K4342">
        <f>LET(
    purpose,'Loan Tape (S&amp;P)'!R4342,
    IF(purpose="Purchase",1.00,
        IF(purpose="Remortgage",1.00,
            1.20)))</f>
        <v/>
      </c>
      <c r="L4342">
        <f>LET(
    arrears_months,'Loan Tape (S&amp;P)'!AN4342,
    IF(arrears_months=0,1.00,
    IF(arrears_months=1,3.00,
    IF(arrears_months=2,5.00,
    IF(arrears_months=3,8.00,
    IF(arrears_months=4,10.00,
    IF(arrears_months=5,12.00,15.00)))))))</f>
        <v/>
      </c>
      <c r="M4342">
        <f>LET(
    seasoning_years,DATEDIF('Loan Tape (S&amp;P)'!K4342,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42">
        <f>IF(AND('Loan Tape (S&amp;P)'!U4342="Yes",
        'Loan Tape (S&amp;P)'!T4342&lt;&gt;"Yes",
        DATEDIF('Loan Tape (S&amp;P)'!K4342, TODAY(), "M")&lt;18),
    1.10,
    1.00)</f>
        <v/>
      </c>
      <c r="O4342">
        <f>IF('Loan Tape (S&amp;P)'!T4342="Yes",
    1.35,
    1.00)</f>
        <v/>
      </c>
      <c r="P4342">
        <f>IF('Loan Tape (S&amp;P)'!S4342="Yes",
    1.15,
    1.00)</f>
        <v/>
      </c>
      <c r="Q4342">
        <f>IF('Loan Tape (S&amp;P)'!V4342="Yes",
    1.20,
    1.00)</f>
        <v/>
      </c>
      <c r="T4342">
        <f>LET(
    payment_method,'Loan Tape (S&amp;P)'!P4342,
    occupancy,'Loan Tape (S&amp;P)'!N4342,
    maturity_date,'Loan Tape (S&amp;P)'!L4342,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43">
      <c r="J4343">
        <f>LET(
    lien,'Loan Tape (S&amp;P)'!Q4343,
    IF(lien="First",1.00,
        IF(lien="Second",1.50,
            1.70)))</f>
        <v/>
      </c>
      <c r="K4343">
        <f>LET(
    purpose,'Loan Tape (S&amp;P)'!R4343,
    IF(purpose="Purchase",1.00,
        IF(purpose="Remortgage",1.00,
            1.20)))</f>
        <v/>
      </c>
      <c r="L4343">
        <f>LET(
    arrears_months,'Loan Tape (S&amp;P)'!AN4343,
    IF(arrears_months=0,1.00,
    IF(arrears_months=1,3.00,
    IF(arrears_months=2,5.00,
    IF(arrears_months=3,8.00,
    IF(arrears_months=4,10.00,
    IF(arrears_months=5,12.00,15.00)))))))</f>
        <v/>
      </c>
      <c r="M4343">
        <f>LET(
    seasoning_years,DATEDIF('Loan Tape (S&amp;P)'!K4343,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43">
        <f>IF(AND('Loan Tape (S&amp;P)'!U4343="Yes",
        'Loan Tape (S&amp;P)'!T4343&lt;&gt;"Yes",
        DATEDIF('Loan Tape (S&amp;P)'!K4343, TODAY(), "M")&lt;18),
    1.10,
    1.00)</f>
        <v/>
      </c>
      <c r="O4343">
        <f>IF('Loan Tape (S&amp;P)'!T4343="Yes",
    1.35,
    1.00)</f>
        <v/>
      </c>
      <c r="P4343">
        <f>IF('Loan Tape (S&amp;P)'!S4343="Yes",
    1.15,
    1.00)</f>
        <v/>
      </c>
      <c r="Q4343">
        <f>IF('Loan Tape (S&amp;P)'!V4343="Yes",
    1.20,
    1.00)</f>
        <v/>
      </c>
      <c r="T4343">
        <f>LET(
    payment_method,'Loan Tape (S&amp;P)'!P4343,
    occupancy,'Loan Tape (S&amp;P)'!N4343,
    maturity_date,'Loan Tape (S&amp;P)'!L4343,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44">
      <c r="J4344">
        <f>LET(
    lien,'Loan Tape (S&amp;P)'!Q4344,
    IF(lien="First",1.00,
        IF(lien="Second",1.50,
            1.70)))</f>
        <v/>
      </c>
      <c r="K4344">
        <f>LET(
    purpose,'Loan Tape (S&amp;P)'!R4344,
    IF(purpose="Purchase",1.00,
        IF(purpose="Remortgage",1.00,
            1.20)))</f>
        <v/>
      </c>
      <c r="L4344">
        <f>LET(
    arrears_months,'Loan Tape (S&amp;P)'!AN4344,
    IF(arrears_months=0,1.00,
    IF(arrears_months=1,3.00,
    IF(arrears_months=2,5.00,
    IF(arrears_months=3,8.00,
    IF(arrears_months=4,10.00,
    IF(arrears_months=5,12.00,15.00)))))))</f>
        <v/>
      </c>
      <c r="M4344">
        <f>LET(
    seasoning_years,DATEDIF('Loan Tape (S&amp;P)'!K4344,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44">
        <f>IF(AND('Loan Tape (S&amp;P)'!U4344="Yes",
        'Loan Tape (S&amp;P)'!T4344&lt;&gt;"Yes",
        DATEDIF('Loan Tape (S&amp;P)'!K4344, TODAY(), "M")&lt;18),
    1.10,
    1.00)</f>
        <v/>
      </c>
      <c r="O4344">
        <f>IF('Loan Tape (S&amp;P)'!T4344="Yes",
    1.35,
    1.00)</f>
        <v/>
      </c>
      <c r="P4344">
        <f>IF('Loan Tape (S&amp;P)'!S4344="Yes",
    1.15,
    1.00)</f>
        <v/>
      </c>
      <c r="Q4344">
        <f>IF('Loan Tape (S&amp;P)'!V4344="Yes",
    1.20,
    1.00)</f>
        <v/>
      </c>
      <c r="T4344">
        <f>LET(
    payment_method,'Loan Tape (S&amp;P)'!P4344,
    occupancy,'Loan Tape (S&amp;P)'!N4344,
    maturity_date,'Loan Tape (S&amp;P)'!L4344,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45">
      <c r="J4345">
        <f>LET(
    lien,'Loan Tape (S&amp;P)'!Q4345,
    IF(lien="First",1.00,
        IF(lien="Second",1.50,
            1.70)))</f>
        <v/>
      </c>
      <c r="K4345">
        <f>LET(
    purpose,'Loan Tape (S&amp;P)'!R4345,
    IF(purpose="Purchase",1.00,
        IF(purpose="Remortgage",1.00,
            1.20)))</f>
        <v/>
      </c>
      <c r="L4345">
        <f>LET(
    arrears_months,'Loan Tape (S&amp;P)'!AN4345,
    IF(arrears_months=0,1.00,
    IF(arrears_months=1,3.00,
    IF(arrears_months=2,5.00,
    IF(arrears_months=3,8.00,
    IF(arrears_months=4,10.00,
    IF(arrears_months=5,12.00,15.00)))))))</f>
        <v/>
      </c>
      <c r="M4345">
        <f>LET(
    seasoning_years,DATEDIF('Loan Tape (S&amp;P)'!K4345,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45">
        <f>IF(AND('Loan Tape (S&amp;P)'!U4345="Yes",
        'Loan Tape (S&amp;P)'!T4345&lt;&gt;"Yes",
        DATEDIF('Loan Tape (S&amp;P)'!K4345, TODAY(), "M")&lt;18),
    1.10,
    1.00)</f>
        <v/>
      </c>
      <c r="O4345">
        <f>IF('Loan Tape (S&amp;P)'!T4345="Yes",
    1.35,
    1.00)</f>
        <v/>
      </c>
      <c r="P4345">
        <f>IF('Loan Tape (S&amp;P)'!S4345="Yes",
    1.15,
    1.00)</f>
        <v/>
      </c>
      <c r="Q4345">
        <f>IF('Loan Tape (S&amp;P)'!V4345="Yes",
    1.20,
    1.00)</f>
        <v/>
      </c>
      <c r="T4345">
        <f>LET(
    payment_method,'Loan Tape (S&amp;P)'!P4345,
    occupancy,'Loan Tape (S&amp;P)'!N4345,
    maturity_date,'Loan Tape (S&amp;P)'!L4345,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46">
      <c r="J4346">
        <f>LET(
    lien,'Loan Tape (S&amp;P)'!Q4346,
    IF(lien="First",1.00,
        IF(lien="Second",1.50,
            1.70)))</f>
        <v/>
      </c>
      <c r="K4346">
        <f>LET(
    purpose,'Loan Tape (S&amp;P)'!R4346,
    IF(purpose="Purchase",1.00,
        IF(purpose="Remortgage",1.00,
            1.20)))</f>
        <v/>
      </c>
      <c r="L4346">
        <f>LET(
    arrears_months,'Loan Tape (S&amp;P)'!AN4346,
    IF(arrears_months=0,1.00,
    IF(arrears_months=1,3.00,
    IF(arrears_months=2,5.00,
    IF(arrears_months=3,8.00,
    IF(arrears_months=4,10.00,
    IF(arrears_months=5,12.00,15.00)))))))</f>
        <v/>
      </c>
      <c r="M4346">
        <f>LET(
    seasoning_years,DATEDIF('Loan Tape (S&amp;P)'!K4346,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46">
        <f>IF(AND('Loan Tape (S&amp;P)'!U4346="Yes",
        'Loan Tape (S&amp;P)'!T4346&lt;&gt;"Yes",
        DATEDIF('Loan Tape (S&amp;P)'!K4346, TODAY(), "M")&lt;18),
    1.10,
    1.00)</f>
        <v/>
      </c>
      <c r="O4346">
        <f>IF('Loan Tape (S&amp;P)'!T4346="Yes",
    1.35,
    1.00)</f>
        <v/>
      </c>
      <c r="P4346">
        <f>IF('Loan Tape (S&amp;P)'!S4346="Yes",
    1.15,
    1.00)</f>
        <v/>
      </c>
      <c r="Q4346">
        <f>IF('Loan Tape (S&amp;P)'!V4346="Yes",
    1.20,
    1.00)</f>
        <v/>
      </c>
      <c r="T4346">
        <f>LET(
    payment_method,'Loan Tape (S&amp;P)'!P4346,
    occupancy,'Loan Tape (S&amp;P)'!N4346,
    maturity_date,'Loan Tape (S&amp;P)'!L4346,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47">
      <c r="J4347">
        <f>LET(
    lien,'Loan Tape (S&amp;P)'!Q4347,
    IF(lien="First",1.00,
        IF(lien="Second",1.50,
            1.70)))</f>
        <v/>
      </c>
      <c r="K4347">
        <f>LET(
    purpose,'Loan Tape (S&amp;P)'!R4347,
    IF(purpose="Purchase",1.00,
        IF(purpose="Remortgage",1.00,
            1.20)))</f>
        <v/>
      </c>
      <c r="L4347">
        <f>LET(
    arrears_months,'Loan Tape (S&amp;P)'!AN4347,
    IF(arrears_months=0,1.00,
    IF(arrears_months=1,3.00,
    IF(arrears_months=2,5.00,
    IF(arrears_months=3,8.00,
    IF(arrears_months=4,10.00,
    IF(arrears_months=5,12.00,15.00)))))))</f>
        <v/>
      </c>
      <c r="M4347">
        <f>LET(
    seasoning_years,DATEDIF('Loan Tape (S&amp;P)'!K4347,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47">
        <f>IF(AND('Loan Tape (S&amp;P)'!U4347="Yes",
        'Loan Tape (S&amp;P)'!T4347&lt;&gt;"Yes",
        DATEDIF('Loan Tape (S&amp;P)'!K4347, TODAY(), "M")&lt;18),
    1.10,
    1.00)</f>
        <v/>
      </c>
      <c r="O4347">
        <f>IF('Loan Tape (S&amp;P)'!T4347="Yes",
    1.35,
    1.00)</f>
        <v/>
      </c>
      <c r="P4347">
        <f>IF('Loan Tape (S&amp;P)'!S4347="Yes",
    1.15,
    1.00)</f>
        <v/>
      </c>
      <c r="Q4347">
        <f>IF('Loan Tape (S&amp;P)'!V4347="Yes",
    1.20,
    1.00)</f>
        <v/>
      </c>
      <c r="T4347">
        <f>LET(
    payment_method,'Loan Tape (S&amp;P)'!P4347,
    occupancy,'Loan Tape (S&amp;P)'!N4347,
    maturity_date,'Loan Tape (S&amp;P)'!L4347,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48">
      <c r="J4348">
        <f>LET(
    lien,'Loan Tape (S&amp;P)'!Q4348,
    IF(lien="First",1.00,
        IF(lien="Second",1.50,
            1.70)))</f>
        <v/>
      </c>
      <c r="K4348">
        <f>LET(
    purpose,'Loan Tape (S&amp;P)'!R4348,
    IF(purpose="Purchase",1.00,
        IF(purpose="Remortgage",1.00,
            1.20)))</f>
        <v/>
      </c>
      <c r="L4348">
        <f>LET(
    arrears_months,'Loan Tape (S&amp;P)'!AN4348,
    IF(arrears_months=0,1.00,
    IF(arrears_months=1,3.00,
    IF(arrears_months=2,5.00,
    IF(arrears_months=3,8.00,
    IF(arrears_months=4,10.00,
    IF(arrears_months=5,12.00,15.00)))))))</f>
        <v/>
      </c>
      <c r="M4348">
        <f>LET(
    seasoning_years,DATEDIF('Loan Tape (S&amp;P)'!K4348,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48">
        <f>IF(AND('Loan Tape (S&amp;P)'!U4348="Yes",
        'Loan Tape (S&amp;P)'!T4348&lt;&gt;"Yes",
        DATEDIF('Loan Tape (S&amp;P)'!K4348, TODAY(), "M")&lt;18),
    1.10,
    1.00)</f>
        <v/>
      </c>
      <c r="O4348">
        <f>IF('Loan Tape (S&amp;P)'!T4348="Yes",
    1.35,
    1.00)</f>
        <v/>
      </c>
      <c r="P4348">
        <f>IF('Loan Tape (S&amp;P)'!S4348="Yes",
    1.15,
    1.00)</f>
        <v/>
      </c>
      <c r="Q4348">
        <f>IF('Loan Tape (S&amp;P)'!V4348="Yes",
    1.20,
    1.00)</f>
        <v/>
      </c>
      <c r="T4348">
        <f>LET(
    payment_method,'Loan Tape (S&amp;P)'!P4348,
    occupancy,'Loan Tape (S&amp;P)'!N4348,
    maturity_date,'Loan Tape (S&amp;P)'!L4348,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49">
      <c r="J4349">
        <f>LET(
    lien,'Loan Tape (S&amp;P)'!Q4349,
    IF(lien="First",1.00,
        IF(lien="Second",1.50,
            1.70)))</f>
        <v/>
      </c>
      <c r="K4349">
        <f>LET(
    purpose,'Loan Tape (S&amp;P)'!R4349,
    IF(purpose="Purchase",1.00,
        IF(purpose="Remortgage",1.00,
            1.20)))</f>
        <v/>
      </c>
      <c r="L4349">
        <f>LET(
    arrears_months,'Loan Tape (S&amp;P)'!AN4349,
    IF(arrears_months=0,1.00,
    IF(arrears_months=1,3.00,
    IF(arrears_months=2,5.00,
    IF(arrears_months=3,8.00,
    IF(arrears_months=4,10.00,
    IF(arrears_months=5,12.00,15.00)))))))</f>
        <v/>
      </c>
      <c r="M4349">
        <f>LET(
    seasoning_years,DATEDIF('Loan Tape (S&amp;P)'!K4349,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49">
        <f>IF(AND('Loan Tape (S&amp;P)'!U4349="Yes",
        'Loan Tape (S&amp;P)'!T4349&lt;&gt;"Yes",
        DATEDIF('Loan Tape (S&amp;P)'!K4349, TODAY(), "M")&lt;18),
    1.10,
    1.00)</f>
        <v/>
      </c>
      <c r="O4349">
        <f>IF('Loan Tape (S&amp;P)'!T4349="Yes",
    1.35,
    1.00)</f>
        <v/>
      </c>
      <c r="P4349">
        <f>IF('Loan Tape (S&amp;P)'!S4349="Yes",
    1.15,
    1.00)</f>
        <v/>
      </c>
      <c r="Q4349">
        <f>IF('Loan Tape (S&amp;P)'!V4349="Yes",
    1.20,
    1.00)</f>
        <v/>
      </c>
      <c r="T4349">
        <f>LET(
    payment_method,'Loan Tape (S&amp;P)'!P4349,
    occupancy,'Loan Tape (S&amp;P)'!N4349,
    maturity_date,'Loan Tape (S&amp;P)'!L4349,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50">
      <c r="J4350">
        <f>LET(
    lien,'Loan Tape (S&amp;P)'!Q4350,
    IF(lien="First",1.00,
        IF(lien="Second",1.50,
            1.70)))</f>
        <v/>
      </c>
      <c r="K4350">
        <f>LET(
    purpose,'Loan Tape (S&amp;P)'!R4350,
    IF(purpose="Purchase",1.00,
        IF(purpose="Remortgage",1.00,
            1.20)))</f>
        <v/>
      </c>
      <c r="L4350">
        <f>LET(
    arrears_months,'Loan Tape (S&amp;P)'!AN4350,
    IF(arrears_months=0,1.00,
    IF(arrears_months=1,3.00,
    IF(arrears_months=2,5.00,
    IF(arrears_months=3,8.00,
    IF(arrears_months=4,10.00,
    IF(arrears_months=5,12.00,15.00)))))))</f>
        <v/>
      </c>
      <c r="M4350">
        <f>LET(
    seasoning_years,DATEDIF('Loan Tape (S&amp;P)'!K4350,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50">
        <f>IF(AND('Loan Tape (S&amp;P)'!U4350="Yes",
        'Loan Tape (S&amp;P)'!T4350&lt;&gt;"Yes",
        DATEDIF('Loan Tape (S&amp;P)'!K4350, TODAY(), "M")&lt;18),
    1.10,
    1.00)</f>
        <v/>
      </c>
      <c r="O4350">
        <f>IF('Loan Tape (S&amp;P)'!T4350="Yes",
    1.35,
    1.00)</f>
        <v/>
      </c>
      <c r="P4350">
        <f>IF('Loan Tape (S&amp;P)'!S4350="Yes",
    1.15,
    1.00)</f>
        <v/>
      </c>
      <c r="Q4350">
        <f>IF('Loan Tape (S&amp;P)'!V4350="Yes",
    1.20,
    1.00)</f>
        <v/>
      </c>
      <c r="T4350">
        <f>LET(
    payment_method,'Loan Tape (S&amp;P)'!P4350,
    occupancy,'Loan Tape (S&amp;P)'!N4350,
    maturity_date,'Loan Tape (S&amp;P)'!L4350,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51">
      <c r="J4351">
        <f>LET(
    lien,'Loan Tape (S&amp;P)'!Q4351,
    IF(lien="First",1.00,
        IF(lien="Second",1.50,
            1.70)))</f>
        <v/>
      </c>
      <c r="K4351">
        <f>LET(
    purpose,'Loan Tape (S&amp;P)'!R4351,
    IF(purpose="Purchase",1.00,
        IF(purpose="Remortgage",1.00,
            1.20)))</f>
        <v/>
      </c>
      <c r="L4351">
        <f>LET(
    arrears_months,'Loan Tape (S&amp;P)'!AN4351,
    IF(arrears_months=0,1.00,
    IF(arrears_months=1,3.00,
    IF(arrears_months=2,5.00,
    IF(arrears_months=3,8.00,
    IF(arrears_months=4,10.00,
    IF(arrears_months=5,12.00,15.00)))))))</f>
        <v/>
      </c>
      <c r="M4351">
        <f>LET(
    seasoning_years,DATEDIF('Loan Tape (S&amp;P)'!K4351,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51">
        <f>IF(AND('Loan Tape (S&amp;P)'!U4351="Yes",
        'Loan Tape (S&amp;P)'!T4351&lt;&gt;"Yes",
        DATEDIF('Loan Tape (S&amp;P)'!K4351, TODAY(), "M")&lt;18),
    1.10,
    1.00)</f>
        <v/>
      </c>
      <c r="O4351">
        <f>IF('Loan Tape (S&amp;P)'!T4351="Yes",
    1.35,
    1.00)</f>
        <v/>
      </c>
      <c r="P4351">
        <f>IF('Loan Tape (S&amp;P)'!S4351="Yes",
    1.15,
    1.00)</f>
        <v/>
      </c>
      <c r="Q4351">
        <f>IF('Loan Tape (S&amp;P)'!V4351="Yes",
    1.20,
    1.00)</f>
        <v/>
      </c>
      <c r="T4351">
        <f>LET(
    payment_method,'Loan Tape (S&amp;P)'!P4351,
    occupancy,'Loan Tape (S&amp;P)'!N4351,
    maturity_date,'Loan Tape (S&amp;P)'!L4351,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52">
      <c r="J4352">
        <f>LET(
    lien,'Loan Tape (S&amp;P)'!Q4352,
    IF(lien="First",1.00,
        IF(lien="Second",1.50,
            1.70)))</f>
        <v/>
      </c>
      <c r="K4352">
        <f>LET(
    purpose,'Loan Tape (S&amp;P)'!R4352,
    IF(purpose="Purchase",1.00,
        IF(purpose="Remortgage",1.00,
            1.20)))</f>
        <v/>
      </c>
      <c r="L4352">
        <f>LET(
    arrears_months,'Loan Tape (S&amp;P)'!AN4352,
    IF(arrears_months=0,1.00,
    IF(arrears_months=1,3.00,
    IF(arrears_months=2,5.00,
    IF(arrears_months=3,8.00,
    IF(arrears_months=4,10.00,
    IF(arrears_months=5,12.00,15.00)))))))</f>
        <v/>
      </c>
      <c r="M4352">
        <f>LET(
    seasoning_years,DATEDIF('Loan Tape (S&amp;P)'!K4352,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52">
        <f>IF(AND('Loan Tape (S&amp;P)'!U4352="Yes",
        'Loan Tape (S&amp;P)'!T4352&lt;&gt;"Yes",
        DATEDIF('Loan Tape (S&amp;P)'!K4352, TODAY(), "M")&lt;18),
    1.10,
    1.00)</f>
        <v/>
      </c>
      <c r="O4352">
        <f>IF('Loan Tape (S&amp;P)'!T4352="Yes",
    1.35,
    1.00)</f>
        <v/>
      </c>
      <c r="P4352">
        <f>IF('Loan Tape (S&amp;P)'!S4352="Yes",
    1.15,
    1.00)</f>
        <v/>
      </c>
      <c r="Q4352">
        <f>IF('Loan Tape (S&amp;P)'!V4352="Yes",
    1.20,
    1.00)</f>
        <v/>
      </c>
      <c r="T4352">
        <f>LET(
    payment_method,'Loan Tape (S&amp;P)'!P4352,
    occupancy,'Loan Tape (S&amp;P)'!N4352,
    maturity_date,'Loan Tape (S&amp;P)'!L4352,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53">
      <c r="J4353">
        <f>LET(
    lien,'Loan Tape (S&amp;P)'!Q4353,
    IF(lien="First",1.00,
        IF(lien="Second",1.50,
            1.70)))</f>
        <v/>
      </c>
      <c r="K4353">
        <f>LET(
    purpose,'Loan Tape (S&amp;P)'!R4353,
    IF(purpose="Purchase",1.00,
        IF(purpose="Remortgage",1.00,
            1.20)))</f>
        <v/>
      </c>
      <c r="L4353">
        <f>LET(
    arrears_months,'Loan Tape (S&amp;P)'!AN4353,
    IF(arrears_months=0,1.00,
    IF(arrears_months=1,3.00,
    IF(arrears_months=2,5.00,
    IF(arrears_months=3,8.00,
    IF(arrears_months=4,10.00,
    IF(arrears_months=5,12.00,15.00)))))))</f>
        <v/>
      </c>
      <c r="M4353">
        <f>LET(
    seasoning_years,DATEDIF('Loan Tape (S&amp;P)'!K4353,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53">
        <f>IF(AND('Loan Tape (S&amp;P)'!U4353="Yes",
        'Loan Tape (S&amp;P)'!T4353&lt;&gt;"Yes",
        DATEDIF('Loan Tape (S&amp;P)'!K4353, TODAY(), "M")&lt;18),
    1.10,
    1.00)</f>
        <v/>
      </c>
      <c r="O4353">
        <f>IF('Loan Tape (S&amp;P)'!T4353="Yes",
    1.35,
    1.00)</f>
        <v/>
      </c>
      <c r="P4353">
        <f>IF('Loan Tape (S&amp;P)'!S4353="Yes",
    1.15,
    1.00)</f>
        <v/>
      </c>
      <c r="Q4353">
        <f>IF('Loan Tape (S&amp;P)'!V4353="Yes",
    1.20,
    1.00)</f>
        <v/>
      </c>
      <c r="T4353">
        <f>LET(
    payment_method,'Loan Tape (S&amp;P)'!P4353,
    occupancy,'Loan Tape (S&amp;P)'!N4353,
    maturity_date,'Loan Tape (S&amp;P)'!L4353,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54">
      <c r="J4354">
        <f>LET(
    lien,'Loan Tape (S&amp;P)'!Q4354,
    IF(lien="First",1.00,
        IF(lien="Second",1.50,
            1.70)))</f>
        <v/>
      </c>
      <c r="K4354">
        <f>LET(
    purpose,'Loan Tape (S&amp;P)'!R4354,
    IF(purpose="Purchase",1.00,
        IF(purpose="Remortgage",1.00,
            1.20)))</f>
        <v/>
      </c>
      <c r="L4354">
        <f>LET(
    arrears_months,'Loan Tape (S&amp;P)'!AN4354,
    IF(arrears_months=0,1.00,
    IF(arrears_months=1,3.00,
    IF(arrears_months=2,5.00,
    IF(arrears_months=3,8.00,
    IF(arrears_months=4,10.00,
    IF(arrears_months=5,12.00,15.00)))))))</f>
        <v/>
      </c>
      <c r="M4354">
        <f>LET(
    seasoning_years,DATEDIF('Loan Tape (S&amp;P)'!K4354,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54">
        <f>IF(AND('Loan Tape (S&amp;P)'!U4354="Yes",
        'Loan Tape (S&amp;P)'!T4354&lt;&gt;"Yes",
        DATEDIF('Loan Tape (S&amp;P)'!K4354, TODAY(), "M")&lt;18),
    1.10,
    1.00)</f>
        <v/>
      </c>
      <c r="O4354">
        <f>IF('Loan Tape (S&amp;P)'!T4354="Yes",
    1.35,
    1.00)</f>
        <v/>
      </c>
      <c r="P4354">
        <f>IF('Loan Tape (S&amp;P)'!S4354="Yes",
    1.15,
    1.00)</f>
        <v/>
      </c>
      <c r="Q4354">
        <f>IF('Loan Tape (S&amp;P)'!V4354="Yes",
    1.20,
    1.00)</f>
        <v/>
      </c>
      <c r="T4354">
        <f>LET(
    payment_method,'Loan Tape (S&amp;P)'!P4354,
    occupancy,'Loan Tape (S&amp;P)'!N4354,
    maturity_date,'Loan Tape (S&amp;P)'!L4354,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55">
      <c r="J4355">
        <f>LET(
    lien,'Loan Tape (S&amp;P)'!Q4355,
    IF(lien="First",1.00,
        IF(lien="Second",1.50,
            1.70)))</f>
        <v/>
      </c>
      <c r="K4355">
        <f>LET(
    purpose,'Loan Tape (S&amp;P)'!R4355,
    IF(purpose="Purchase",1.00,
        IF(purpose="Remortgage",1.00,
            1.20)))</f>
        <v/>
      </c>
      <c r="L4355">
        <f>LET(
    arrears_months,'Loan Tape (S&amp;P)'!AN4355,
    IF(arrears_months=0,1.00,
    IF(arrears_months=1,3.00,
    IF(arrears_months=2,5.00,
    IF(arrears_months=3,8.00,
    IF(arrears_months=4,10.00,
    IF(arrears_months=5,12.00,15.00)))))))</f>
        <v/>
      </c>
      <c r="M4355">
        <f>LET(
    seasoning_years,DATEDIF('Loan Tape (S&amp;P)'!K4355,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55">
        <f>IF(AND('Loan Tape (S&amp;P)'!U4355="Yes",
        'Loan Tape (S&amp;P)'!T4355&lt;&gt;"Yes",
        DATEDIF('Loan Tape (S&amp;P)'!K4355, TODAY(), "M")&lt;18),
    1.10,
    1.00)</f>
        <v/>
      </c>
      <c r="O4355">
        <f>IF('Loan Tape (S&amp;P)'!T4355="Yes",
    1.35,
    1.00)</f>
        <v/>
      </c>
      <c r="P4355">
        <f>IF('Loan Tape (S&amp;P)'!S4355="Yes",
    1.15,
    1.00)</f>
        <v/>
      </c>
      <c r="Q4355">
        <f>IF('Loan Tape (S&amp;P)'!V4355="Yes",
    1.20,
    1.00)</f>
        <v/>
      </c>
      <c r="T4355">
        <f>LET(
    payment_method,'Loan Tape (S&amp;P)'!P4355,
    occupancy,'Loan Tape (S&amp;P)'!N4355,
    maturity_date,'Loan Tape (S&amp;P)'!L4355,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56">
      <c r="J4356">
        <f>LET(
    lien,'Loan Tape (S&amp;P)'!Q4356,
    IF(lien="First",1.00,
        IF(lien="Second",1.50,
            1.70)))</f>
        <v/>
      </c>
      <c r="K4356">
        <f>LET(
    purpose,'Loan Tape (S&amp;P)'!R4356,
    IF(purpose="Purchase",1.00,
        IF(purpose="Remortgage",1.00,
            1.20)))</f>
        <v/>
      </c>
      <c r="L4356">
        <f>LET(
    arrears_months,'Loan Tape (S&amp;P)'!AN4356,
    IF(arrears_months=0,1.00,
    IF(arrears_months=1,3.00,
    IF(arrears_months=2,5.00,
    IF(arrears_months=3,8.00,
    IF(arrears_months=4,10.00,
    IF(arrears_months=5,12.00,15.00)))))))</f>
        <v/>
      </c>
      <c r="M4356">
        <f>LET(
    seasoning_years,DATEDIF('Loan Tape (S&amp;P)'!K4356,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56">
        <f>IF(AND('Loan Tape (S&amp;P)'!U4356="Yes",
        'Loan Tape (S&amp;P)'!T4356&lt;&gt;"Yes",
        DATEDIF('Loan Tape (S&amp;P)'!K4356, TODAY(), "M")&lt;18),
    1.10,
    1.00)</f>
        <v/>
      </c>
      <c r="O4356">
        <f>IF('Loan Tape (S&amp;P)'!T4356="Yes",
    1.35,
    1.00)</f>
        <v/>
      </c>
      <c r="P4356">
        <f>IF('Loan Tape (S&amp;P)'!S4356="Yes",
    1.15,
    1.00)</f>
        <v/>
      </c>
      <c r="Q4356">
        <f>IF('Loan Tape (S&amp;P)'!V4356="Yes",
    1.20,
    1.00)</f>
        <v/>
      </c>
      <c r="T4356">
        <f>LET(
    payment_method,'Loan Tape (S&amp;P)'!P4356,
    occupancy,'Loan Tape (S&amp;P)'!N4356,
    maturity_date,'Loan Tape (S&amp;P)'!L4356,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57">
      <c r="J4357">
        <f>LET(
    lien,'Loan Tape (S&amp;P)'!Q4357,
    IF(lien="First",1.00,
        IF(lien="Second",1.50,
            1.70)))</f>
        <v/>
      </c>
      <c r="K4357">
        <f>LET(
    purpose,'Loan Tape (S&amp;P)'!R4357,
    IF(purpose="Purchase",1.00,
        IF(purpose="Remortgage",1.00,
            1.20)))</f>
        <v/>
      </c>
      <c r="L4357">
        <f>LET(
    arrears_months,'Loan Tape (S&amp;P)'!AN4357,
    IF(arrears_months=0,1.00,
    IF(arrears_months=1,3.00,
    IF(arrears_months=2,5.00,
    IF(arrears_months=3,8.00,
    IF(arrears_months=4,10.00,
    IF(arrears_months=5,12.00,15.00)))))))</f>
        <v/>
      </c>
      <c r="M4357">
        <f>LET(
    seasoning_years,DATEDIF('Loan Tape (S&amp;P)'!K4357,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57">
        <f>IF(AND('Loan Tape (S&amp;P)'!U4357="Yes",
        'Loan Tape (S&amp;P)'!T4357&lt;&gt;"Yes",
        DATEDIF('Loan Tape (S&amp;P)'!K4357, TODAY(), "M")&lt;18),
    1.10,
    1.00)</f>
        <v/>
      </c>
      <c r="O4357">
        <f>IF('Loan Tape (S&amp;P)'!T4357="Yes",
    1.35,
    1.00)</f>
        <v/>
      </c>
      <c r="P4357">
        <f>IF('Loan Tape (S&amp;P)'!S4357="Yes",
    1.15,
    1.00)</f>
        <v/>
      </c>
      <c r="Q4357">
        <f>IF('Loan Tape (S&amp;P)'!V4357="Yes",
    1.20,
    1.00)</f>
        <v/>
      </c>
      <c r="T4357">
        <f>LET(
    payment_method,'Loan Tape (S&amp;P)'!P4357,
    occupancy,'Loan Tape (S&amp;P)'!N4357,
    maturity_date,'Loan Tape (S&amp;P)'!L4357,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58">
      <c r="J4358">
        <f>LET(
    lien,'Loan Tape (S&amp;P)'!Q4358,
    IF(lien="First",1.00,
        IF(lien="Second",1.50,
            1.70)))</f>
        <v/>
      </c>
      <c r="K4358">
        <f>LET(
    purpose,'Loan Tape (S&amp;P)'!R4358,
    IF(purpose="Purchase",1.00,
        IF(purpose="Remortgage",1.00,
            1.20)))</f>
        <v/>
      </c>
      <c r="L4358">
        <f>LET(
    arrears_months,'Loan Tape (S&amp;P)'!AN4358,
    IF(arrears_months=0,1.00,
    IF(arrears_months=1,3.00,
    IF(arrears_months=2,5.00,
    IF(arrears_months=3,8.00,
    IF(arrears_months=4,10.00,
    IF(arrears_months=5,12.00,15.00)))))))</f>
        <v/>
      </c>
      <c r="M4358">
        <f>LET(
    seasoning_years,DATEDIF('Loan Tape (S&amp;P)'!K4358,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58">
        <f>IF(AND('Loan Tape (S&amp;P)'!U4358="Yes",
        'Loan Tape (S&amp;P)'!T4358&lt;&gt;"Yes",
        DATEDIF('Loan Tape (S&amp;P)'!K4358, TODAY(), "M")&lt;18),
    1.10,
    1.00)</f>
        <v/>
      </c>
      <c r="O4358">
        <f>IF('Loan Tape (S&amp;P)'!T4358="Yes",
    1.35,
    1.00)</f>
        <v/>
      </c>
      <c r="P4358">
        <f>IF('Loan Tape (S&amp;P)'!S4358="Yes",
    1.15,
    1.00)</f>
        <v/>
      </c>
      <c r="Q4358">
        <f>IF('Loan Tape (S&amp;P)'!V4358="Yes",
    1.20,
    1.00)</f>
        <v/>
      </c>
      <c r="T4358">
        <f>LET(
    payment_method,'Loan Tape (S&amp;P)'!P4358,
    occupancy,'Loan Tape (S&amp;P)'!N4358,
    maturity_date,'Loan Tape (S&amp;P)'!L4358,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59">
      <c r="J4359">
        <f>LET(
    lien,'Loan Tape (S&amp;P)'!Q4359,
    IF(lien="First",1.00,
        IF(lien="Second",1.50,
            1.70)))</f>
        <v/>
      </c>
      <c r="K4359">
        <f>LET(
    purpose,'Loan Tape (S&amp;P)'!R4359,
    IF(purpose="Purchase",1.00,
        IF(purpose="Remortgage",1.00,
            1.20)))</f>
        <v/>
      </c>
      <c r="L4359">
        <f>LET(
    arrears_months,'Loan Tape (S&amp;P)'!AN4359,
    IF(arrears_months=0,1.00,
    IF(arrears_months=1,3.00,
    IF(arrears_months=2,5.00,
    IF(arrears_months=3,8.00,
    IF(arrears_months=4,10.00,
    IF(arrears_months=5,12.00,15.00)))))))</f>
        <v/>
      </c>
      <c r="M4359">
        <f>LET(
    seasoning_years,DATEDIF('Loan Tape (S&amp;P)'!K4359,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59">
        <f>IF(AND('Loan Tape (S&amp;P)'!U4359="Yes",
        'Loan Tape (S&amp;P)'!T4359&lt;&gt;"Yes",
        DATEDIF('Loan Tape (S&amp;P)'!K4359, TODAY(), "M")&lt;18),
    1.10,
    1.00)</f>
        <v/>
      </c>
      <c r="O4359">
        <f>IF('Loan Tape (S&amp;P)'!T4359="Yes",
    1.35,
    1.00)</f>
        <v/>
      </c>
      <c r="P4359">
        <f>IF('Loan Tape (S&amp;P)'!S4359="Yes",
    1.15,
    1.00)</f>
        <v/>
      </c>
      <c r="Q4359">
        <f>IF('Loan Tape (S&amp;P)'!V4359="Yes",
    1.20,
    1.00)</f>
        <v/>
      </c>
      <c r="T4359">
        <f>LET(
    payment_method,'Loan Tape (S&amp;P)'!P4359,
    occupancy,'Loan Tape (S&amp;P)'!N4359,
    maturity_date,'Loan Tape (S&amp;P)'!L4359,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60">
      <c r="J4360">
        <f>LET(
    lien,'Loan Tape (S&amp;P)'!Q4360,
    IF(lien="First",1.00,
        IF(lien="Second",1.50,
            1.70)))</f>
        <v/>
      </c>
      <c r="K4360">
        <f>LET(
    purpose,'Loan Tape (S&amp;P)'!R4360,
    IF(purpose="Purchase",1.00,
        IF(purpose="Remortgage",1.00,
            1.20)))</f>
        <v/>
      </c>
      <c r="L4360">
        <f>LET(
    arrears_months,'Loan Tape (S&amp;P)'!AN4360,
    IF(arrears_months=0,1.00,
    IF(arrears_months=1,3.00,
    IF(arrears_months=2,5.00,
    IF(arrears_months=3,8.00,
    IF(arrears_months=4,10.00,
    IF(arrears_months=5,12.00,15.00)))))))</f>
        <v/>
      </c>
      <c r="M4360">
        <f>LET(
    seasoning_years,DATEDIF('Loan Tape (S&amp;P)'!K4360,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60">
        <f>IF(AND('Loan Tape (S&amp;P)'!U4360="Yes",
        'Loan Tape (S&amp;P)'!T4360&lt;&gt;"Yes",
        DATEDIF('Loan Tape (S&amp;P)'!K4360, TODAY(), "M")&lt;18),
    1.10,
    1.00)</f>
        <v/>
      </c>
      <c r="O4360">
        <f>IF('Loan Tape (S&amp;P)'!T4360="Yes",
    1.35,
    1.00)</f>
        <v/>
      </c>
      <c r="P4360">
        <f>IF('Loan Tape (S&amp;P)'!S4360="Yes",
    1.15,
    1.00)</f>
        <v/>
      </c>
      <c r="Q4360">
        <f>IF('Loan Tape (S&amp;P)'!V4360="Yes",
    1.20,
    1.00)</f>
        <v/>
      </c>
      <c r="T4360">
        <f>LET(
    payment_method,'Loan Tape (S&amp;P)'!P4360,
    occupancy,'Loan Tape (S&amp;P)'!N4360,
    maturity_date,'Loan Tape (S&amp;P)'!L4360,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61">
      <c r="J4361">
        <f>LET(
    lien,'Loan Tape (S&amp;P)'!Q4361,
    IF(lien="First",1.00,
        IF(lien="Second",1.50,
            1.70)))</f>
        <v/>
      </c>
      <c r="K4361">
        <f>LET(
    purpose,'Loan Tape (S&amp;P)'!R4361,
    IF(purpose="Purchase",1.00,
        IF(purpose="Remortgage",1.00,
            1.20)))</f>
        <v/>
      </c>
      <c r="L4361">
        <f>LET(
    arrears_months,'Loan Tape (S&amp;P)'!AN4361,
    IF(arrears_months=0,1.00,
    IF(arrears_months=1,3.00,
    IF(arrears_months=2,5.00,
    IF(arrears_months=3,8.00,
    IF(arrears_months=4,10.00,
    IF(arrears_months=5,12.00,15.00)))))))</f>
        <v/>
      </c>
      <c r="M4361">
        <f>LET(
    seasoning_years,DATEDIF('Loan Tape (S&amp;P)'!K4361,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61">
        <f>IF(AND('Loan Tape (S&amp;P)'!U4361="Yes",
        'Loan Tape (S&amp;P)'!T4361&lt;&gt;"Yes",
        DATEDIF('Loan Tape (S&amp;P)'!K4361, TODAY(), "M")&lt;18),
    1.10,
    1.00)</f>
        <v/>
      </c>
      <c r="O4361">
        <f>IF('Loan Tape (S&amp;P)'!T4361="Yes",
    1.35,
    1.00)</f>
        <v/>
      </c>
      <c r="P4361">
        <f>IF('Loan Tape (S&amp;P)'!S4361="Yes",
    1.15,
    1.00)</f>
        <v/>
      </c>
      <c r="Q4361">
        <f>IF('Loan Tape (S&amp;P)'!V4361="Yes",
    1.20,
    1.00)</f>
        <v/>
      </c>
      <c r="T4361">
        <f>LET(
    payment_method,'Loan Tape (S&amp;P)'!P4361,
    occupancy,'Loan Tape (S&amp;P)'!N4361,
    maturity_date,'Loan Tape (S&amp;P)'!L4361,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62">
      <c r="J4362">
        <f>LET(
    lien,'Loan Tape (S&amp;P)'!Q4362,
    IF(lien="First",1.00,
        IF(lien="Second",1.50,
            1.70)))</f>
        <v/>
      </c>
      <c r="K4362">
        <f>LET(
    purpose,'Loan Tape (S&amp;P)'!R4362,
    IF(purpose="Purchase",1.00,
        IF(purpose="Remortgage",1.00,
            1.20)))</f>
        <v/>
      </c>
      <c r="L4362">
        <f>LET(
    arrears_months,'Loan Tape (S&amp;P)'!AN4362,
    IF(arrears_months=0,1.00,
    IF(arrears_months=1,3.00,
    IF(arrears_months=2,5.00,
    IF(arrears_months=3,8.00,
    IF(arrears_months=4,10.00,
    IF(arrears_months=5,12.00,15.00)))))))</f>
        <v/>
      </c>
      <c r="M4362">
        <f>LET(
    seasoning_years,DATEDIF('Loan Tape (S&amp;P)'!K4362,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62">
        <f>IF(AND('Loan Tape (S&amp;P)'!U4362="Yes",
        'Loan Tape (S&amp;P)'!T4362&lt;&gt;"Yes",
        DATEDIF('Loan Tape (S&amp;P)'!K4362, TODAY(), "M")&lt;18),
    1.10,
    1.00)</f>
        <v/>
      </c>
      <c r="O4362">
        <f>IF('Loan Tape (S&amp;P)'!T4362="Yes",
    1.35,
    1.00)</f>
        <v/>
      </c>
      <c r="P4362">
        <f>IF('Loan Tape (S&amp;P)'!S4362="Yes",
    1.15,
    1.00)</f>
        <v/>
      </c>
      <c r="Q4362">
        <f>IF('Loan Tape (S&amp;P)'!V4362="Yes",
    1.20,
    1.00)</f>
        <v/>
      </c>
      <c r="T4362">
        <f>LET(
    payment_method,'Loan Tape (S&amp;P)'!P4362,
    occupancy,'Loan Tape (S&amp;P)'!N4362,
    maturity_date,'Loan Tape (S&amp;P)'!L4362,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63">
      <c r="J4363">
        <f>LET(
    lien,'Loan Tape (S&amp;P)'!Q4363,
    IF(lien="First",1.00,
        IF(lien="Second",1.50,
            1.70)))</f>
        <v/>
      </c>
      <c r="K4363">
        <f>LET(
    purpose,'Loan Tape (S&amp;P)'!R4363,
    IF(purpose="Purchase",1.00,
        IF(purpose="Remortgage",1.00,
            1.20)))</f>
        <v/>
      </c>
      <c r="L4363">
        <f>LET(
    arrears_months,'Loan Tape (S&amp;P)'!AN4363,
    IF(arrears_months=0,1.00,
    IF(arrears_months=1,3.00,
    IF(arrears_months=2,5.00,
    IF(arrears_months=3,8.00,
    IF(arrears_months=4,10.00,
    IF(arrears_months=5,12.00,15.00)))))))</f>
        <v/>
      </c>
      <c r="M4363">
        <f>LET(
    seasoning_years,DATEDIF('Loan Tape (S&amp;P)'!K4363,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63">
        <f>IF(AND('Loan Tape (S&amp;P)'!U4363="Yes",
        'Loan Tape (S&amp;P)'!T4363&lt;&gt;"Yes",
        DATEDIF('Loan Tape (S&amp;P)'!K4363, TODAY(), "M")&lt;18),
    1.10,
    1.00)</f>
        <v/>
      </c>
      <c r="O4363">
        <f>IF('Loan Tape (S&amp;P)'!T4363="Yes",
    1.35,
    1.00)</f>
        <v/>
      </c>
      <c r="P4363">
        <f>IF('Loan Tape (S&amp;P)'!S4363="Yes",
    1.15,
    1.00)</f>
        <v/>
      </c>
      <c r="Q4363">
        <f>IF('Loan Tape (S&amp;P)'!V4363="Yes",
    1.20,
    1.00)</f>
        <v/>
      </c>
      <c r="T4363">
        <f>LET(
    payment_method,'Loan Tape (S&amp;P)'!P4363,
    occupancy,'Loan Tape (S&amp;P)'!N4363,
    maturity_date,'Loan Tape (S&amp;P)'!L4363,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64">
      <c r="J4364">
        <f>LET(
    lien,'Loan Tape (S&amp;P)'!Q4364,
    IF(lien="First",1.00,
        IF(lien="Second",1.50,
            1.70)))</f>
        <v/>
      </c>
      <c r="K4364">
        <f>LET(
    purpose,'Loan Tape (S&amp;P)'!R4364,
    IF(purpose="Purchase",1.00,
        IF(purpose="Remortgage",1.00,
            1.20)))</f>
        <v/>
      </c>
      <c r="L4364">
        <f>LET(
    arrears_months,'Loan Tape (S&amp;P)'!AN4364,
    IF(arrears_months=0,1.00,
    IF(arrears_months=1,3.00,
    IF(arrears_months=2,5.00,
    IF(arrears_months=3,8.00,
    IF(arrears_months=4,10.00,
    IF(arrears_months=5,12.00,15.00)))))))</f>
        <v/>
      </c>
      <c r="M4364">
        <f>LET(
    seasoning_years,DATEDIF('Loan Tape (S&amp;P)'!K4364,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64">
        <f>IF(AND('Loan Tape (S&amp;P)'!U4364="Yes",
        'Loan Tape (S&amp;P)'!T4364&lt;&gt;"Yes",
        DATEDIF('Loan Tape (S&amp;P)'!K4364, TODAY(), "M")&lt;18),
    1.10,
    1.00)</f>
        <v/>
      </c>
      <c r="O4364">
        <f>IF('Loan Tape (S&amp;P)'!T4364="Yes",
    1.35,
    1.00)</f>
        <v/>
      </c>
      <c r="P4364">
        <f>IF('Loan Tape (S&amp;P)'!S4364="Yes",
    1.15,
    1.00)</f>
        <v/>
      </c>
      <c r="Q4364">
        <f>IF('Loan Tape (S&amp;P)'!V4364="Yes",
    1.20,
    1.00)</f>
        <v/>
      </c>
      <c r="T4364">
        <f>LET(
    payment_method,'Loan Tape (S&amp;P)'!P4364,
    occupancy,'Loan Tape (S&amp;P)'!N4364,
    maturity_date,'Loan Tape (S&amp;P)'!L4364,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65">
      <c r="J4365">
        <f>LET(
    lien,'Loan Tape (S&amp;P)'!Q4365,
    IF(lien="First",1.00,
        IF(lien="Second",1.50,
            1.70)))</f>
        <v/>
      </c>
      <c r="K4365">
        <f>LET(
    purpose,'Loan Tape (S&amp;P)'!R4365,
    IF(purpose="Purchase",1.00,
        IF(purpose="Remortgage",1.00,
            1.20)))</f>
        <v/>
      </c>
      <c r="L4365">
        <f>LET(
    arrears_months,'Loan Tape (S&amp;P)'!AN4365,
    IF(arrears_months=0,1.00,
    IF(arrears_months=1,3.00,
    IF(arrears_months=2,5.00,
    IF(arrears_months=3,8.00,
    IF(arrears_months=4,10.00,
    IF(arrears_months=5,12.00,15.00)))))))</f>
        <v/>
      </c>
      <c r="M4365">
        <f>LET(
    seasoning_years,DATEDIF('Loan Tape (S&amp;P)'!K4365,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65">
        <f>IF(AND('Loan Tape (S&amp;P)'!U4365="Yes",
        'Loan Tape (S&amp;P)'!T4365&lt;&gt;"Yes",
        DATEDIF('Loan Tape (S&amp;P)'!K4365, TODAY(), "M")&lt;18),
    1.10,
    1.00)</f>
        <v/>
      </c>
      <c r="O4365">
        <f>IF('Loan Tape (S&amp;P)'!T4365="Yes",
    1.35,
    1.00)</f>
        <v/>
      </c>
      <c r="P4365">
        <f>IF('Loan Tape (S&amp;P)'!S4365="Yes",
    1.15,
    1.00)</f>
        <v/>
      </c>
      <c r="Q4365">
        <f>IF('Loan Tape (S&amp;P)'!V4365="Yes",
    1.20,
    1.00)</f>
        <v/>
      </c>
      <c r="T4365">
        <f>LET(
    payment_method,'Loan Tape (S&amp;P)'!P4365,
    occupancy,'Loan Tape (S&amp;P)'!N4365,
    maturity_date,'Loan Tape (S&amp;P)'!L4365,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66">
      <c r="J4366">
        <f>LET(
    lien,'Loan Tape (S&amp;P)'!Q4366,
    IF(lien="First",1.00,
        IF(lien="Second",1.50,
            1.70)))</f>
        <v/>
      </c>
      <c r="K4366">
        <f>LET(
    purpose,'Loan Tape (S&amp;P)'!R4366,
    IF(purpose="Purchase",1.00,
        IF(purpose="Remortgage",1.00,
            1.20)))</f>
        <v/>
      </c>
      <c r="L4366">
        <f>LET(
    arrears_months,'Loan Tape (S&amp;P)'!AN4366,
    IF(arrears_months=0,1.00,
    IF(arrears_months=1,3.00,
    IF(arrears_months=2,5.00,
    IF(arrears_months=3,8.00,
    IF(arrears_months=4,10.00,
    IF(arrears_months=5,12.00,15.00)))))))</f>
        <v/>
      </c>
      <c r="M4366">
        <f>LET(
    seasoning_years,DATEDIF('Loan Tape (S&amp;P)'!K4366,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66">
        <f>IF(AND('Loan Tape (S&amp;P)'!U4366="Yes",
        'Loan Tape (S&amp;P)'!T4366&lt;&gt;"Yes",
        DATEDIF('Loan Tape (S&amp;P)'!K4366, TODAY(), "M")&lt;18),
    1.10,
    1.00)</f>
        <v/>
      </c>
      <c r="O4366">
        <f>IF('Loan Tape (S&amp;P)'!T4366="Yes",
    1.35,
    1.00)</f>
        <v/>
      </c>
      <c r="P4366">
        <f>IF('Loan Tape (S&amp;P)'!S4366="Yes",
    1.15,
    1.00)</f>
        <v/>
      </c>
      <c r="Q4366">
        <f>IF('Loan Tape (S&amp;P)'!V4366="Yes",
    1.20,
    1.00)</f>
        <v/>
      </c>
      <c r="T4366">
        <f>LET(
    payment_method,'Loan Tape (S&amp;P)'!P4366,
    occupancy,'Loan Tape (S&amp;P)'!N4366,
    maturity_date,'Loan Tape (S&amp;P)'!L4366,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67">
      <c r="J4367">
        <f>LET(
    lien,'Loan Tape (S&amp;P)'!Q4367,
    IF(lien="First",1.00,
        IF(lien="Second",1.50,
            1.70)))</f>
        <v/>
      </c>
      <c r="K4367">
        <f>LET(
    purpose,'Loan Tape (S&amp;P)'!R4367,
    IF(purpose="Purchase",1.00,
        IF(purpose="Remortgage",1.00,
            1.20)))</f>
        <v/>
      </c>
      <c r="L4367">
        <f>LET(
    arrears_months,'Loan Tape (S&amp;P)'!AN4367,
    IF(arrears_months=0,1.00,
    IF(arrears_months=1,3.00,
    IF(arrears_months=2,5.00,
    IF(arrears_months=3,8.00,
    IF(arrears_months=4,10.00,
    IF(arrears_months=5,12.00,15.00)))))))</f>
        <v/>
      </c>
      <c r="M4367">
        <f>LET(
    seasoning_years,DATEDIF('Loan Tape (S&amp;P)'!K4367,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67">
        <f>IF(AND('Loan Tape (S&amp;P)'!U4367="Yes",
        'Loan Tape (S&amp;P)'!T4367&lt;&gt;"Yes",
        DATEDIF('Loan Tape (S&amp;P)'!K4367, TODAY(), "M")&lt;18),
    1.10,
    1.00)</f>
        <v/>
      </c>
      <c r="O4367">
        <f>IF('Loan Tape (S&amp;P)'!T4367="Yes",
    1.35,
    1.00)</f>
        <v/>
      </c>
      <c r="P4367">
        <f>IF('Loan Tape (S&amp;P)'!S4367="Yes",
    1.15,
    1.00)</f>
        <v/>
      </c>
      <c r="Q4367">
        <f>IF('Loan Tape (S&amp;P)'!V4367="Yes",
    1.20,
    1.00)</f>
        <v/>
      </c>
      <c r="T4367">
        <f>LET(
    payment_method,'Loan Tape (S&amp;P)'!P4367,
    occupancy,'Loan Tape (S&amp;P)'!N4367,
    maturity_date,'Loan Tape (S&amp;P)'!L4367,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68">
      <c r="J4368">
        <f>LET(
    lien,'Loan Tape (S&amp;P)'!Q4368,
    IF(lien="First",1.00,
        IF(lien="Second",1.50,
            1.70)))</f>
        <v/>
      </c>
      <c r="K4368">
        <f>LET(
    purpose,'Loan Tape (S&amp;P)'!R4368,
    IF(purpose="Purchase",1.00,
        IF(purpose="Remortgage",1.00,
            1.20)))</f>
        <v/>
      </c>
      <c r="L4368">
        <f>LET(
    arrears_months,'Loan Tape (S&amp;P)'!AN4368,
    IF(arrears_months=0,1.00,
    IF(arrears_months=1,3.00,
    IF(arrears_months=2,5.00,
    IF(arrears_months=3,8.00,
    IF(arrears_months=4,10.00,
    IF(arrears_months=5,12.00,15.00)))))))</f>
        <v/>
      </c>
      <c r="M4368">
        <f>LET(
    seasoning_years,DATEDIF('Loan Tape (S&amp;P)'!K4368,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68">
        <f>IF(AND('Loan Tape (S&amp;P)'!U4368="Yes",
        'Loan Tape (S&amp;P)'!T4368&lt;&gt;"Yes",
        DATEDIF('Loan Tape (S&amp;P)'!K4368, TODAY(), "M")&lt;18),
    1.10,
    1.00)</f>
        <v/>
      </c>
      <c r="O4368">
        <f>IF('Loan Tape (S&amp;P)'!T4368="Yes",
    1.35,
    1.00)</f>
        <v/>
      </c>
      <c r="P4368">
        <f>IF('Loan Tape (S&amp;P)'!S4368="Yes",
    1.15,
    1.00)</f>
        <v/>
      </c>
      <c r="Q4368">
        <f>IF('Loan Tape (S&amp;P)'!V4368="Yes",
    1.20,
    1.00)</f>
        <v/>
      </c>
      <c r="T4368">
        <f>LET(
    payment_method,'Loan Tape (S&amp;P)'!P4368,
    occupancy,'Loan Tape (S&amp;P)'!N4368,
    maturity_date,'Loan Tape (S&amp;P)'!L4368,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69">
      <c r="J4369">
        <f>LET(
    lien,'Loan Tape (S&amp;P)'!Q4369,
    IF(lien="First",1.00,
        IF(lien="Second",1.50,
            1.70)))</f>
        <v/>
      </c>
      <c r="K4369">
        <f>LET(
    purpose,'Loan Tape (S&amp;P)'!R4369,
    IF(purpose="Purchase",1.00,
        IF(purpose="Remortgage",1.00,
            1.20)))</f>
        <v/>
      </c>
      <c r="L4369">
        <f>LET(
    arrears_months,'Loan Tape (S&amp;P)'!AN4369,
    IF(arrears_months=0,1.00,
    IF(arrears_months=1,3.00,
    IF(arrears_months=2,5.00,
    IF(arrears_months=3,8.00,
    IF(arrears_months=4,10.00,
    IF(arrears_months=5,12.00,15.00)))))))</f>
        <v/>
      </c>
      <c r="M4369">
        <f>LET(
    seasoning_years,DATEDIF('Loan Tape (S&amp;P)'!K4369,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69">
        <f>IF(AND('Loan Tape (S&amp;P)'!U4369="Yes",
        'Loan Tape (S&amp;P)'!T4369&lt;&gt;"Yes",
        DATEDIF('Loan Tape (S&amp;P)'!K4369, TODAY(), "M")&lt;18),
    1.10,
    1.00)</f>
        <v/>
      </c>
      <c r="O4369">
        <f>IF('Loan Tape (S&amp;P)'!T4369="Yes",
    1.35,
    1.00)</f>
        <v/>
      </c>
      <c r="P4369">
        <f>IF('Loan Tape (S&amp;P)'!S4369="Yes",
    1.15,
    1.00)</f>
        <v/>
      </c>
      <c r="Q4369">
        <f>IF('Loan Tape (S&amp;P)'!V4369="Yes",
    1.20,
    1.00)</f>
        <v/>
      </c>
      <c r="T4369">
        <f>LET(
    payment_method,'Loan Tape (S&amp;P)'!P4369,
    occupancy,'Loan Tape (S&amp;P)'!N4369,
    maturity_date,'Loan Tape (S&amp;P)'!L4369,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70">
      <c r="J4370">
        <f>LET(
    lien,'Loan Tape (S&amp;P)'!Q4370,
    IF(lien="First",1.00,
        IF(lien="Second",1.50,
            1.70)))</f>
        <v/>
      </c>
      <c r="K4370">
        <f>LET(
    purpose,'Loan Tape (S&amp;P)'!R4370,
    IF(purpose="Purchase",1.00,
        IF(purpose="Remortgage",1.00,
            1.20)))</f>
        <v/>
      </c>
      <c r="L4370">
        <f>LET(
    arrears_months,'Loan Tape (S&amp;P)'!AN4370,
    IF(arrears_months=0,1.00,
    IF(arrears_months=1,3.00,
    IF(arrears_months=2,5.00,
    IF(arrears_months=3,8.00,
    IF(arrears_months=4,10.00,
    IF(arrears_months=5,12.00,15.00)))))))</f>
        <v/>
      </c>
      <c r="M4370">
        <f>LET(
    seasoning_years,DATEDIF('Loan Tape (S&amp;P)'!K4370,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70">
        <f>IF(AND('Loan Tape (S&amp;P)'!U4370="Yes",
        'Loan Tape (S&amp;P)'!T4370&lt;&gt;"Yes",
        DATEDIF('Loan Tape (S&amp;P)'!K4370, TODAY(), "M")&lt;18),
    1.10,
    1.00)</f>
        <v/>
      </c>
      <c r="O4370">
        <f>IF('Loan Tape (S&amp;P)'!T4370="Yes",
    1.35,
    1.00)</f>
        <v/>
      </c>
      <c r="P4370">
        <f>IF('Loan Tape (S&amp;P)'!S4370="Yes",
    1.15,
    1.00)</f>
        <v/>
      </c>
      <c r="Q4370">
        <f>IF('Loan Tape (S&amp;P)'!V4370="Yes",
    1.20,
    1.00)</f>
        <v/>
      </c>
      <c r="T4370">
        <f>LET(
    payment_method,'Loan Tape (S&amp;P)'!P4370,
    occupancy,'Loan Tape (S&amp;P)'!N4370,
    maturity_date,'Loan Tape (S&amp;P)'!L4370,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71">
      <c r="J4371">
        <f>LET(
    lien,'Loan Tape (S&amp;P)'!Q4371,
    IF(lien="First",1.00,
        IF(lien="Second",1.50,
            1.70)))</f>
        <v/>
      </c>
      <c r="K4371">
        <f>LET(
    purpose,'Loan Tape (S&amp;P)'!R4371,
    IF(purpose="Purchase",1.00,
        IF(purpose="Remortgage",1.00,
            1.20)))</f>
        <v/>
      </c>
      <c r="L4371">
        <f>LET(
    arrears_months,'Loan Tape (S&amp;P)'!AN4371,
    IF(arrears_months=0,1.00,
    IF(arrears_months=1,3.00,
    IF(arrears_months=2,5.00,
    IF(arrears_months=3,8.00,
    IF(arrears_months=4,10.00,
    IF(arrears_months=5,12.00,15.00)))))))</f>
        <v/>
      </c>
      <c r="M4371">
        <f>LET(
    seasoning_years,DATEDIF('Loan Tape (S&amp;P)'!K4371,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71">
        <f>IF(AND('Loan Tape (S&amp;P)'!U4371="Yes",
        'Loan Tape (S&amp;P)'!T4371&lt;&gt;"Yes",
        DATEDIF('Loan Tape (S&amp;P)'!K4371, TODAY(), "M")&lt;18),
    1.10,
    1.00)</f>
        <v/>
      </c>
      <c r="O4371">
        <f>IF('Loan Tape (S&amp;P)'!T4371="Yes",
    1.35,
    1.00)</f>
        <v/>
      </c>
      <c r="P4371">
        <f>IF('Loan Tape (S&amp;P)'!S4371="Yes",
    1.15,
    1.00)</f>
        <v/>
      </c>
      <c r="Q4371">
        <f>IF('Loan Tape (S&amp;P)'!V4371="Yes",
    1.20,
    1.00)</f>
        <v/>
      </c>
      <c r="T4371">
        <f>LET(
    payment_method,'Loan Tape (S&amp;P)'!P4371,
    occupancy,'Loan Tape (S&amp;P)'!N4371,
    maturity_date,'Loan Tape (S&amp;P)'!L4371,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72">
      <c r="J4372">
        <f>LET(
    lien,'Loan Tape (S&amp;P)'!Q4372,
    IF(lien="First",1.00,
        IF(lien="Second",1.50,
            1.70)))</f>
        <v/>
      </c>
      <c r="K4372">
        <f>LET(
    purpose,'Loan Tape (S&amp;P)'!R4372,
    IF(purpose="Purchase",1.00,
        IF(purpose="Remortgage",1.00,
            1.20)))</f>
        <v/>
      </c>
      <c r="L4372">
        <f>LET(
    arrears_months,'Loan Tape (S&amp;P)'!AN4372,
    IF(arrears_months=0,1.00,
    IF(arrears_months=1,3.00,
    IF(arrears_months=2,5.00,
    IF(arrears_months=3,8.00,
    IF(arrears_months=4,10.00,
    IF(arrears_months=5,12.00,15.00)))))))</f>
        <v/>
      </c>
      <c r="M4372">
        <f>LET(
    seasoning_years,DATEDIF('Loan Tape (S&amp;P)'!K4372,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72">
        <f>IF(AND('Loan Tape (S&amp;P)'!U4372="Yes",
        'Loan Tape (S&amp;P)'!T4372&lt;&gt;"Yes",
        DATEDIF('Loan Tape (S&amp;P)'!K4372, TODAY(), "M")&lt;18),
    1.10,
    1.00)</f>
        <v/>
      </c>
      <c r="O4372">
        <f>IF('Loan Tape (S&amp;P)'!T4372="Yes",
    1.35,
    1.00)</f>
        <v/>
      </c>
      <c r="P4372">
        <f>IF('Loan Tape (S&amp;P)'!S4372="Yes",
    1.15,
    1.00)</f>
        <v/>
      </c>
      <c r="Q4372">
        <f>IF('Loan Tape (S&amp;P)'!V4372="Yes",
    1.20,
    1.00)</f>
        <v/>
      </c>
      <c r="T4372">
        <f>LET(
    payment_method,'Loan Tape (S&amp;P)'!P4372,
    occupancy,'Loan Tape (S&amp;P)'!N4372,
    maturity_date,'Loan Tape (S&amp;P)'!L4372,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73">
      <c r="J4373">
        <f>LET(
    lien,'Loan Tape (S&amp;P)'!Q4373,
    IF(lien="First",1.00,
        IF(lien="Second",1.50,
            1.70)))</f>
        <v/>
      </c>
      <c r="K4373">
        <f>LET(
    purpose,'Loan Tape (S&amp;P)'!R4373,
    IF(purpose="Purchase",1.00,
        IF(purpose="Remortgage",1.00,
            1.20)))</f>
        <v/>
      </c>
      <c r="L4373">
        <f>LET(
    arrears_months,'Loan Tape (S&amp;P)'!AN4373,
    IF(arrears_months=0,1.00,
    IF(arrears_months=1,3.00,
    IF(arrears_months=2,5.00,
    IF(arrears_months=3,8.00,
    IF(arrears_months=4,10.00,
    IF(arrears_months=5,12.00,15.00)))))))</f>
        <v/>
      </c>
      <c r="M4373">
        <f>LET(
    seasoning_years,DATEDIF('Loan Tape (S&amp;P)'!K4373,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73">
        <f>IF(AND('Loan Tape (S&amp;P)'!U4373="Yes",
        'Loan Tape (S&amp;P)'!T4373&lt;&gt;"Yes",
        DATEDIF('Loan Tape (S&amp;P)'!K4373, TODAY(), "M")&lt;18),
    1.10,
    1.00)</f>
        <v/>
      </c>
      <c r="O4373">
        <f>IF('Loan Tape (S&amp;P)'!T4373="Yes",
    1.35,
    1.00)</f>
        <v/>
      </c>
      <c r="P4373">
        <f>IF('Loan Tape (S&amp;P)'!S4373="Yes",
    1.15,
    1.00)</f>
        <v/>
      </c>
      <c r="Q4373">
        <f>IF('Loan Tape (S&amp;P)'!V4373="Yes",
    1.20,
    1.00)</f>
        <v/>
      </c>
      <c r="T4373">
        <f>LET(
    payment_method,'Loan Tape (S&amp;P)'!P4373,
    occupancy,'Loan Tape (S&amp;P)'!N4373,
    maturity_date,'Loan Tape (S&amp;P)'!L4373,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74">
      <c r="J4374">
        <f>LET(
    lien,'Loan Tape (S&amp;P)'!Q4374,
    IF(lien="First",1.00,
        IF(lien="Second",1.50,
            1.70)))</f>
        <v/>
      </c>
      <c r="K4374">
        <f>LET(
    purpose,'Loan Tape (S&amp;P)'!R4374,
    IF(purpose="Purchase",1.00,
        IF(purpose="Remortgage",1.00,
            1.20)))</f>
        <v/>
      </c>
      <c r="L4374">
        <f>LET(
    arrears_months,'Loan Tape (S&amp;P)'!AN4374,
    IF(arrears_months=0,1.00,
    IF(arrears_months=1,3.00,
    IF(arrears_months=2,5.00,
    IF(arrears_months=3,8.00,
    IF(arrears_months=4,10.00,
    IF(arrears_months=5,12.00,15.00)))))))</f>
        <v/>
      </c>
      <c r="M4374">
        <f>LET(
    seasoning_years,DATEDIF('Loan Tape (S&amp;P)'!K4374,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74">
        <f>IF(AND('Loan Tape (S&amp;P)'!U4374="Yes",
        'Loan Tape (S&amp;P)'!T4374&lt;&gt;"Yes",
        DATEDIF('Loan Tape (S&amp;P)'!K4374, TODAY(), "M")&lt;18),
    1.10,
    1.00)</f>
        <v/>
      </c>
      <c r="O4374">
        <f>IF('Loan Tape (S&amp;P)'!T4374="Yes",
    1.35,
    1.00)</f>
        <v/>
      </c>
      <c r="P4374">
        <f>IF('Loan Tape (S&amp;P)'!S4374="Yes",
    1.15,
    1.00)</f>
        <v/>
      </c>
      <c r="Q4374">
        <f>IF('Loan Tape (S&amp;P)'!V4374="Yes",
    1.20,
    1.00)</f>
        <v/>
      </c>
      <c r="T4374">
        <f>LET(
    payment_method,'Loan Tape (S&amp;P)'!P4374,
    occupancy,'Loan Tape (S&amp;P)'!N4374,
    maturity_date,'Loan Tape (S&amp;P)'!L4374,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75">
      <c r="J4375">
        <f>LET(
    lien,'Loan Tape (S&amp;P)'!Q4375,
    IF(lien="First",1.00,
        IF(lien="Second",1.50,
            1.70)))</f>
        <v/>
      </c>
      <c r="K4375">
        <f>LET(
    purpose,'Loan Tape (S&amp;P)'!R4375,
    IF(purpose="Purchase",1.00,
        IF(purpose="Remortgage",1.00,
            1.20)))</f>
        <v/>
      </c>
      <c r="L4375">
        <f>LET(
    arrears_months,'Loan Tape (S&amp;P)'!AN4375,
    IF(arrears_months=0,1.00,
    IF(arrears_months=1,3.00,
    IF(arrears_months=2,5.00,
    IF(arrears_months=3,8.00,
    IF(arrears_months=4,10.00,
    IF(arrears_months=5,12.00,15.00)))))))</f>
        <v/>
      </c>
      <c r="M4375">
        <f>LET(
    seasoning_years,DATEDIF('Loan Tape (S&amp;P)'!K4375,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75">
        <f>IF(AND('Loan Tape (S&amp;P)'!U4375="Yes",
        'Loan Tape (S&amp;P)'!T4375&lt;&gt;"Yes",
        DATEDIF('Loan Tape (S&amp;P)'!K4375, TODAY(), "M")&lt;18),
    1.10,
    1.00)</f>
        <v/>
      </c>
      <c r="O4375">
        <f>IF('Loan Tape (S&amp;P)'!T4375="Yes",
    1.35,
    1.00)</f>
        <v/>
      </c>
      <c r="P4375">
        <f>IF('Loan Tape (S&amp;P)'!S4375="Yes",
    1.15,
    1.00)</f>
        <v/>
      </c>
      <c r="Q4375">
        <f>IF('Loan Tape (S&amp;P)'!V4375="Yes",
    1.20,
    1.00)</f>
        <v/>
      </c>
      <c r="T4375">
        <f>LET(
    payment_method,'Loan Tape (S&amp;P)'!P4375,
    occupancy,'Loan Tape (S&amp;P)'!N4375,
    maturity_date,'Loan Tape (S&amp;P)'!L4375,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76">
      <c r="J4376">
        <f>LET(
    lien,'Loan Tape (S&amp;P)'!Q4376,
    IF(lien="First",1.00,
        IF(lien="Second",1.50,
            1.70)))</f>
        <v/>
      </c>
      <c r="K4376">
        <f>LET(
    purpose,'Loan Tape (S&amp;P)'!R4376,
    IF(purpose="Purchase",1.00,
        IF(purpose="Remortgage",1.00,
            1.20)))</f>
        <v/>
      </c>
      <c r="L4376">
        <f>LET(
    arrears_months,'Loan Tape (S&amp;P)'!AN4376,
    IF(arrears_months=0,1.00,
    IF(arrears_months=1,3.00,
    IF(arrears_months=2,5.00,
    IF(arrears_months=3,8.00,
    IF(arrears_months=4,10.00,
    IF(arrears_months=5,12.00,15.00)))))))</f>
        <v/>
      </c>
      <c r="M4376">
        <f>LET(
    seasoning_years,DATEDIF('Loan Tape (S&amp;P)'!K4376,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76">
        <f>IF(AND('Loan Tape (S&amp;P)'!U4376="Yes",
        'Loan Tape (S&amp;P)'!T4376&lt;&gt;"Yes",
        DATEDIF('Loan Tape (S&amp;P)'!K4376, TODAY(), "M")&lt;18),
    1.10,
    1.00)</f>
        <v/>
      </c>
      <c r="O4376">
        <f>IF('Loan Tape (S&amp;P)'!T4376="Yes",
    1.35,
    1.00)</f>
        <v/>
      </c>
      <c r="P4376">
        <f>IF('Loan Tape (S&amp;P)'!S4376="Yes",
    1.15,
    1.00)</f>
        <v/>
      </c>
      <c r="Q4376">
        <f>IF('Loan Tape (S&amp;P)'!V4376="Yes",
    1.20,
    1.00)</f>
        <v/>
      </c>
      <c r="T4376">
        <f>LET(
    payment_method,'Loan Tape (S&amp;P)'!P4376,
    occupancy,'Loan Tape (S&amp;P)'!N4376,
    maturity_date,'Loan Tape (S&amp;P)'!L4376,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77">
      <c r="J4377">
        <f>LET(
    lien,'Loan Tape (S&amp;P)'!Q4377,
    IF(lien="First",1.00,
        IF(lien="Second",1.50,
            1.70)))</f>
        <v/>
      </c>
      <c r="K4377">
        <f>LET(
    purpose,'Loan Tape (S&amp;P)'!R4377,
    IF(purpose="Purchase",1.00,
        IF(purpose="Remortgage",1.00,
            1.20)))</f>
        <v/>
      </c>
      <c r="L4377">
        <f>LET(
    arrears_months,'Loan Tape (S&amp;P)'!AN4377,
    IF(arrears_months=0,1.00,
    IF(arrears_months=1,3.00,
    IF(arrears_months=2,5.00,
    IF(arrears_months=3,8.00,
    IF(arrears_months=4,10.00,
    IF(arrears_months=5,12.00,15.00)))))))</f>
        <v/>
      </c>
      <c r="M4377">
        <f>LET(
    seasoning_years,DATEDIF('Loan Tape (S&amp;P)'!K4377,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77">
        <f>IF(AND('Loan Tape (S&amp;P)'!U4377="Yes",
        'Loan Tape (S&amp;P)'!T4377&lt;&gt;"Yes",
        DATEDIF('Loan Tape (S&amp;P)'!K4377, TODAY(), "M")&lt;18),
    1.10,
    1.00)</f>
        <v/>
      </c>
      <c r="O4377">
        <f>IF('Loan Tape (S&amp;P)'!T4377="Yes",
    1.35,
    1.00)</f>
        <v/>
      </c>
      <c r="P4377">
        <f>IF('Loan Tape (S&amp;P)'!S4377="Yes",
    1.15,
    1.00)</f>
        <v/>
      </c>
      <c r="Q4377">
        <f>IF('Loan Tape (S&amp;P)'!V4377="Yes",
    1.20,
    1.00)</f>
        <v/>
      </c>
      <c r="T4377">
        <f>LET(
    payment_method,'Loan Tape (S&amp;P)'!P4377,
    occupancy,'Loan Tape (S&amp;P)'!N4377,
    maturity_date,'Loan Tape (S&amp;P)'!L4377,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78">
      <c r="J4378">
        <f>LET(
    lien,'Loan Tape (S&amp;P)'!Q4378,
    IF(lien="First",1.00,
        IF(lien="Second",1.50,
            1.70)))</f>
        <v/>
      </c>
      <c r="K4378">
        <f>LET(
    purpose,'Loan Tape (S&amp;P)'!R4378,
    IF(purpose="Purchase",1.00,
        IF(purpose="Remortgage",1.00,
            1.20)))</f>
        <v/>
      </c>
      <c r="L4378">
        <f>LET(
    arrears_months,'Loan Tape (S&amp;P)'!AN4378,
    IF(arrears_months=0,1.00,
    IF(arrears_months=1,3.00,
    IF(arrears_months=2,5.00,
    IF(arrears_months=3,8.00,
    IF(arrears_months=4,10.00,
    IF(arrears_months=5,12.00,15.00)))))))</f>
        <v/>
      </c>
      <c r="M4378">
        <f>LET(
    seasoning_years,DATEDIF('Loan Tape (S&amp;P)'!K4378,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78">
        <f>IF(AND('Loan Tape (S&amp;P)'!U4378="Yes",
        'Loan Tape (S&amp;P)'!T4378&lt;&gt;"Yes",
        DATEDIF('Loan Tape (S&amp;P)'!K4378, TODAY(), "M")&lt;18),
    1.10,
    1.00)</f>
        <v/>
      </c>
      <c r="O4378">
        <f>IF('Loan Tape (S&amp;P)'!T4378="Yes",
    1.35,
    1.00)</f>
        <v/>
      </c>
      <c r="P4378">
        <f>IF('Loan Tape (S&amp;P)'!S4378="Yes",
    1.15,
    1.00)</f>
        <v/>
      </c>
      <c r="Q4378">
        <f>IF('Loan Tape (S&amp;P)'!V4378="Yes",
    1.20,
    1.00)</f>
        <v/>
      </c>
      <c r="T4378">
        <f>LET(
    payment_method,'Loan Tape (S&amp;P)'!P4378,
    occupancy,'Loan Tape (S&amp;P)'!N4378,
    maturity_date,'Loan Tape (S&amp;P)'!L4378,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79">
      <c r="J4379">
        <f>LET(
    lien,'Loan Tape (S&amp;P)'!Q4379,
    IF(lien="First",1.00,
        IF(lien="Second",1.50,
            1.70)))</f>
        <v/>
      </c>
      <c r="K4379">
        <f>LET(
    purpose,'Loan Tape (S&amp;P)'!R4379,
    IF(purpose="Purchase",1.00,
        IF(purpose="Remortgage",1.00,
            1.20)))</f>
        <v/>
      </c>
      <c r="L4379">
        <f>LET(
    arrears_months,'Loan Tape (S&amp;P)'!AN4379,
    IF(arrears_months=0,1.00,
    IF(arrears_months=1,3.00,
    IF(arrears_months=2,5.00,
    IF(arrears_months=3,8.00,
    IF(arrears_months=4,10.00,
    IF(arrears_months=5,12.00,15.00)))))))</f>
        <v/>
      </c>
      <c r="M4379">
        <f>LET(
    seasoning_years,DATEDIF('Loan Tape (S&amp;P)'!K4379,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79">
        <f>IF(AND('Loan Tape (S&amp;P)'!U4379="Yes",
        'Loan Tape (S&amp;P)'!T4379&lt;&gt;"Yes",
        DATEDIF('Loan Tape (S&amp;P)'!K4379, TODAY(), "M")&lt;18),
    1.10,
    1.00)</f>
        <v/>
      </c>
      <c r="O4379">
        <f>IF('Loan Tape (S&amp;P)'!T4379="Yes",
    1.35,
    1.00)</f>
        <v/>
      </c>
      <c r="P4379">
        <f>IF('Loan Tape (S&amp;P)'!S4379="Yes",
    1.15,
    1.00)</f>
        <v/>
      </c>
      <c r="Q4379">
        <f>IF('Loan Tape (S&amp;P)'!V4379="Yes",
    1.20,
    1.00)</f>
        <v/>
      </c>
      <c r="T4379">
        <f>LET(
    payment_method,'Loan Tape (S&amp;P)'!P4379,
    occupancy,'Loan Tape (S&amp;P)'!N4379,
    maturity_date,'Loan Tape (S&amp;P)'!L4379,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80">
      <c r="J4380">
        <f>LET(
    lien,'Loan Tape (S&amp;P)'!Q4380,
    IF(lien="First",1.00,
        IF(lien="Second",1.50,
            1.70)))</f>
        <v/>
      </c>
      <c r="K4380">
        <f>LET(
    purpose,'Loan Tape (S&amp;P)'!R4380,
    IF(purpose="Purchase",1.00,
        IF(purpose="Remortgage",1.00,
            1.20)))</f>
        <v/>
      </c>
      <c r="L4380">
        <f>LET(
    arrears_months,'Loan Tape (S&amp;P)'!AN4380,
    IF(arrears_months=0,1.00,
    IF(arrears_months=1,3.00,
    IF(arrears_months=2,5.00,
    IF(arrears_months=3,8.00,
    IF(arrears_months=4,10.00,
    IF(arrears_months=5,12.00,15.00)))))))</f>
        <v/>
      </c>
      <c r="M4380">
        <f>LET(
    seasoning_years,DATEDIF('Loan Tape (S&amp;P)'!K4380,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80">
        <f>IF(AND('Loan Tape (S&amp;P)'!U4380="Yes",
        'Loan Tape (S&amp;P)'!T4380&lt;&gt;"Yes",
        DATEDIF('Loan Tape (S&amp;P)'!K4380, TODAY(), "M")&lt;18),
    1.10,
    1.00)</f>
        <v/>
      </c>
      <c r="O4380">
        <f>IF('Loan Tape (S&amp;P)'!T4380="Yes",
    1.35,
    1.00)</f>
        <v/>
      </c>
      <c r="P4380">
        <f>IF('Loan Tape (S&amp;P)'!S4380="Yes",
    1.15,
    1.00)</f>
        <v/>
      </c>
      <c r="Q4380">
        <f>IF('Loan Tape (S&amp;P)'!V4380="Yes",
    1.20,
    1.00)</f>
        <v/>
      </c>
      <c r="T4380">
        <f>LET(
    payment_method,'Loan Tape (S&amp;P)'!P4380,
    occupancy,'Loan Tape (S&amp;P)'!N4380,
    maturity_date,'Loan Tape (S&amp;P)'!L4380,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81">
      <c r="J4381">
        <f>LET(
    lien,'Loan Tape (S&amp;P)'!Q4381,
    IF(lien="First",1.00,
        IF(lien="Second",1.50,
            1.70)))</f>
        <v/>
      </c>
      <c r="K4381">
        <f>LET(
    purpose,'Loan Tape (S&amp;P)'!R4381,
    IF(purpose="Purchase",1.00,
        IF(purpose="Remortgage",1.00,
            1.20)))</f>
        <v/>
      </c>
      <c r="L4381">
        <f>LET(
    arrears_months,'Loan Tape (S&amp;P)'!AN4381,
    IF(arrears_months=0,1.00,
    IF(arrears_months=1,3.00,
    IF(arrears_months=2,5.00,
    IF(arrears_months=3,8.00,
    IF(arrears_months=4,10.00,
    IF(arrears_months=5,12.00,15.00)))))))</f>
        <v/>
      </c>
      <c r="M4381">
        <f>LET(
    seasoning_years,DATEDIF('Loan Tape (S&amp;P)'!K4381,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81">
        <f>IF(AND('Loan Tape (S&amp;P)'!U4381="Yes",
        'Loan Tape (S&amp;P)'!T4381&lt;&gt;"Yes",
        DATEDIF('Loan Tape (S&amp;P)'!K4381, TODAY(), "M")&lt;18),
    1.10,
    1.00)</f>
        <v/>
      </c>
      <c r="O4381">
        <f>IF('Loan Tape (S&amp;P)'!T4381="Yes",
    1.35,
    1.00)</f>
        <v/>
      </c>
      <c r="P4381">
        <f>IF('Loan Tape (S&amp;P)'!S4381="Yes",
    1.15,
    1.00)</f>
        <v/>
      </c>
      <c r="Q4381">
        <f>IF('Loan Tape (S&amp;P)'!V4381="Yes",
    1.20,
    1.00)</f>
        <v/>
      </c>
      <c r="T4381">
        <f>LET(
    payment_method,'Loan Tape (S&amp;P)'!P4381,
    occupancy,'Loan Tape (S&amp;P)'!N4381,
    maturity_date,'Loan Tape (S&amp;P)'!L4381,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82">
      <c r="J4382">
        <f>LET(
    lien,'Loan Tape (S&amp;P)'!Q4382,
    IF(lien="First",1.00,
        IF(lien="Second",1.50,
            1.70)))</f>
        <v/>
      </c>
      <c r="K4382">
        <f>LET(
    purpose,'Loan Tape (S&amp;P)'!R4382,
    IF(purpose="Purchase",1.00,
        IF(purpose="Remortgage",1.00,
            1.20)))</f>
        <v/>
      </c>
      <c r="L4382">
        <f>LET(
    arrears_months,'Loan Tape (S&amp;P)'!AN4382,
    IF(arrears_months=0,1.00,
    IF(arrears_months=1,3.00,
    IF(arrears_months=2,5.00,
    IF(arrears_months=3,8.00,
    IF(arrears_months=4,10.00,
    IF(arrears_months=5,12.00,15.00)))))))</f>
        <v/>
      </c>
      <c r="M4382">
        <f>LET(
    seasoning_years,DATEDIF('Loan Tape (S&amp;P)'!K4382,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82">
        <f>IF(AND('Loan Tape (S&amp;P)'!U4382="Yes",
        'Loan Tape (S&amp;P)'!T4382&lt;&gt;"Yes",
        DATEDIF('Loan Tape (S&amp;P)'!K4382, TODAY(), "M")&lt;18),
    1.10,
    1.00)</f>
        <v/>
      </c>
      <c r="O4382">
        <f>IF('Loan Tape (S&amp;P)'!T4382="Yes",
    1.35,
    1.00)</f>
        <v/>
      </c>
      <c r="P4382">
        <f>IF('Loan Tape (S&amp;P)'!S4382="Yes",
    1.15,
    1.00)</f>
        <v/>
      </c>
      <c r="Q4382">
        <f>IF('Loan Tape (S&amp;P)'!V4382="Yes",
    1.20,
    1.00)</f>
        <v/>
      </c>
      <c r="T4382">
        <f>LET(
    payment_method,'Loan Tape (S&amp;P)'!P4382,
    occupancy,'Loan Tape (S&amp;P)'!N4382,
    maturity_date,'Loan Tape (S&amp;P)'!L4382,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83">
      <c r="J4383">
        <f>LET(
    lien,'Loan Tape (S&amp;P)'!Q4383,
    IF(lien="First",1.00,
        IF(lien="Second",1.50,
            1.70)))</f>
        <v/>
      </c>
      <c r="K4383">
        <f>LET(
    purpose,'Loan Tape (S&amp;P)'!R4383,
    IF(purpose="Purchase",1.00,
        IF(purpose="Remortgage",1.00,
            1.20)))</f>
        <v/>
      </c>
      <c r="L4383">
        <f>LET(
    arrears_months,'Loan Tape (S&amp;P)'!AN4383,
    IF(arrears_months=0,1.00,
    IF(arrears_months=1,3.00,
    IF(arrears_months=2,5.00,
    IF(arrears_months=3,8.00,
    IF(arrears_months=4,10.00,
    IF(arrears_months=5,12.00,15.00)))))))</f>
        <v/>
      </c>
      <c r="M4383">
        <f>LET(
    seasoning_years,DATEDIF('Loan Tape (S&amp;P)'!K4383,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83">
        <f>IF(AND('Loan Tape (S&amp;P)'!U4383="Yes",
        'Loan Tape (S&amp;P)'!T4383&lt;&gt;"Yes",
        DATEDIF('Loan Tape (S&amp;P)'!K4383, TODAY(), "M")&lt;18),
    1.10,
    1.00)</f>
        <v/>
      </c>
      <c r="O4383">
        <f>IF('Loan Tape (S&amp;P)'!T4383="Yes",
    1.35,
    1.00)</f>
        <v/>
      </c>
      <c r="P4383">
        <f>IF('Loan Tape (S&amp;P)'!S4383="Yes",
    1.15,
    1.00)</f>
        <v/>
      </c>
      <c r="Q4383">
        <f>IF('Loan Tape (S&amp;P)'!V4383="Yes",
    1.20,
    1.00)</f>
        <v/>
      </c>
      <c r="T4383">
        <f>LET(
    payment_method,'Loan Tape (S&amp;P)'!P4383,
    occupancy,'Loan Tape (S&amp;P)'!N4383,
    maturity_date,'Loan Tape (S&amp;P)'!L4383,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84">
      <c r="J4384">
        <f>LET(
    lien,'Loan Tape (S&amp;P)'!Q4384,
    IF(lien="First",1.00,
        IF(lien="Second",1.50,
            1.70)))</f>
        <v/>
      </c>
      <c r="K4384">
        <f>LET(
    purpose,'Loan Tape (S&amp;P)'!R4384,
    IF(purpose="Purchase",1.00,
        IF(purpose="Remortgage",1.00,
            1.20)))</f>
        <v/>
      </c>
      <c r="L4384">
        <f>LET(
    arrears_months,'Loan Tape (S&amp;P)'!AN4384,
    IF(arrears_months=0,1.00,
    IF(arrears_months=1,3.00,
    IF(arrears_months=2,5.00,
    IF(arrears_months=3,8.00,
    IF(arrears_months=4,10.00,
    IF(arrears_months=5,12.00,15.00)))))))</f>
        <v/>
      </c>
      <c r="M4384">
        <f>LET(
    seasoning_years,DATEDIF('Loan Tape (S&amp;P)'!K4384,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84">
        <f>IF(AND('Loan Tape (S&amp;P)'!U4384="Yes",
        'Loan Tape (S&amp;P)'!T4384&lt;&gt;"Yes",
        DATEDIF('Loan Tape (S&amp;P)'!K4384, TODAY(), "M")&lt;18),
    1.10,
    1.00)</f>
        <v/>
      </c>
      <c r="O4384">
        <f>IF('Loan Tape (S&amp;P)'!T4384="Yes",
    1.35,
    1.00)</f>
        <v/>
      </c>
      <c r="P4384">
        <f>IF('Loan Tape (S&amp;P)'!S4384="Yes",
    1.15,
    1.00)</f>
        <v/>
      </c>
      <c r="Q4384">
        <f>IF('Loan Tape (S&amp;P)'!V4384="Yes",
    1.20,
    1.00)</f>
        <v/>
      </c>
      <c r="T4384">
        <f>LET(
    payment_method,'Loan Tape (S&amp;P)'!P4384,
    occupancy,'Loan Tape (S&amp;P)'!N4384,
    maturity_date,'Loan Tape (S&amp;P)'!L4384,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85">
      <c r="J4385">
        <f>LET(
    lien,'Loan Tape (S&amp;P)'!Q4385,
    IF(lien="First",1.00,
        IF(lien="Second",1.50,
            1.70)))</f>
        <v/>
      </c>
      <c r="K4385">
        <f>LET(
    purpose,'Loan Tape (S&amp;P)'!R4385,
    IF(purpose="Purchase",1.00,
        IF(purpose="Remortgage",1.00,
            1.20)))</f>
        <v/>
      </c>
      <c r="L4385">
        <f>LET(
    arrears_months,'Loan Tape (S&amp;P)'!AN4385,
    IF(arrears_months=0,1.00,
    IF(arrears_months=1,3.00,
    IF(arrears_months=2,5.00,
    IF(arrears_months=3,8.00,
    IF(arrears_months=4,10.00,
    IF(arrears_months=5,12.00,15.00)))))))</f>
        <v/>
      </c>
      <c r="M4385">
        <f>LET(
    seasoning_years,DATEDIF('Loan Tape (S&amp;P)'!K4385,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85">
        <f>IF(AND('Loan Tape (S&amp;P)'!U4385="Yes",
        'Loan Tape (S&amp;P)'!T4385&lt;&gt;"Yes",
        DATEDIF('Loan Tape (S&amp;P)'!K4385, TODAY(), "M")&lt;18),
    1.10,
    1.00)</f>
        <v/>
      </c>
      <c r="O4385">
        <f>IF('Loan Tape (S&amp;P)'!T4385="Yes",
    1.35,
    1.00)</f>
        <v/>
      </c>
      <c r="P4385">
        <f>IF('Loan Tape (S&amp;P)'!S4385="Yes",
    1.15,
    1.00)</f>
        <v/>
      </c>
      <c r="Q4385">
        <f>IF('Loan Tape (S&amp;P)'!V4385="Yes",
    1.20,
    1.00)</f>
        <v/>
      </c>
      <c r="T4385">
        <f>LET(
    payment_method,'Loan Tape (S&amp;P)'!P4385,
    occupancy,'Loan Tape (S&amp;P)'!N4385,
    maturity_date,'Loan Tape (S&amp;P)'!L4385,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86">
      <c r="J4386">
        <f>LET(
    lien,'Loan Tape (S&amp;P)'!Q4386,
    IF(lien="First",1.00,
        IF(lien="Second",1.50,
            1.70)))</f>
        <v/>
      </c>
      <c r="K4386">
        <f>LET(
    purpose,'Loan Tape (S&amp;P)'!R4386,
    IF(purpose="Purchase",1.00,
        IF(purpose="Remortgage",1.00,
            1.20)))</f>
        <v/>
      </c>
      <c r="L4386">
        <f>LET(
    arrears_months,'Loan Tape (S&amp;P)'!AN4386,
    IF(arrears_months=0,1.00,
    IF(arrears_months=1,3.00,
    IF(arrears_months=2,5.00,
    IF(arrears_months=3,8.00,
    IF(arrears_months=4,10.00,
    IF(arrears_months=5,12.00,15.00)))))))</f>
        <v/>
      </c>
      <c r="M4386">
        <f>LET(
    seasoning_years,DATEDIF('Loan Tape (S&amp;P)'!K4386,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86">
        <f>IF(AND('Loan Tape (S&amp;P)'!U4386="Yes",
        'Loan Tape (S&amp;P)'!T4386&lt;&gt;"Yes",
        DATEDIF('Loan Tape (S&amp;P)'!K4386, TODAY(), "M")&lt;18),
    1.10,
    1.00)</f>
        <v/>
      </c>
      <c r="O4386">
        <f>IF('Loan Tape (S&amp;P)'!T4386="Yes",
    1.35,
    1.00)</f>
        <v/>
      </c>
      <c r="P4386">
        <f>IF('Loan Tape (S&amp;P)'!S4386="Yes",
    1.15,
    1.00)</f>
        <v/>
      </c>
      <c r="Q4386">
        <f>IF('Loan Tape (S&amp;P)'!V4386="Yes",
    1.20,
    1.00)</f>
        <v/>
      </c>
      <c r="T4386">
        <f>LET(
    payment_method,'Loan Tape (S&amp;P)'!P4386,
    occupancy,'Loan Tape (S&amp;P)'!N4386,
    maturity_date,'Loan Tape (S&amp;P)'!L4386,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87">
      <c r="J4387">
        <f>LET(
    lien,'Loan Tape (S&amp;P)'!Q4387,
    IF(lien="First",1.00,
        IF(lien="Second",1.50,
            1.70)))</f>
        <v/>
      </c>
      <c r="K4387">
        <f>LET(
    purpose,'Loan Tape (S&amp;P)'!R4387,
    IF(purpose="Purchase",1.00,
        IF(purpose="Remortgage",1.00,
            1.20)))</f>
        <v/>
      </c>
      <c r="L4387">
        <f>LET(
    arrears_months,'Loan Tape (S&amp;P)'!AN4387,
    IF(arrears_months=0,1.00,
    IF(arrears_months=1,3.00,
    IF(arrears_months=2,5.00,
    IF(arrears_months=3,8.00,
    IF(arrears_months=4,10.00,
    IF(arrears_months=5,12.00,15.00)))))))</f>
        <v/>
      </c>
      <c r="M4387">
        <f>LET(
    seasoning_years,DATEDIF('Loan Tape (S&amp;P)'!K4387,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87">
        <f>IF(AND('Loan Tape (S&amp;P)'!U4387="Yes",
        'Loan Tape (S&amp;P)'!T4387&lt;&gt;"Yes",
        DATEDIF('Loan Tape (S&amp;P)'!K4387, TODAY(), "M")&lt;18),
    1.10,
    1.00)</f>
        <v/>
      </c>
      <c r="O4387">
        <f>IF('Loan Tape (S&amp;P)'!T4387="Yes",
    1.35,
    1.00)</f>
        <v/>
      </c>
      <c r="P4387">
        <f>IF('Loan Tape (S&amp;P)'!S4387="Yes",
    1.15,
    1.00)</f>
        <v/>
      </c>
      <c r="Q4387">
        <f>IF('Loan Tape (S&amp;P)'!V4387="Yes",
    1.20,
    1.00)</f>
        <v/>
      </c>
      <c r="T4387">
        <f>LET(
    payment_method,'Loan Tape (S&amp;P)'!P4387,
    occupancy,'Loan Tape (S&amp;P)'!N4387,
    maturity_date,'Loan Tape (S&amp;P)'!L4387,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88">
      <c r="J4388">
        <f>LET(
    lien,'Loan Tape (S&amp;P)'!Q4388,
    IF(lien="First",1.00,
        IF(lien="Second",1.50,
            1.70)))</f>
        <v/>
      </c>
      <c r="K4388">
        <f>LET(
    purpose,'Loan Tape (S&amp;P)'!R4388,
    IF(purpose="Purchase",1.00,
        IF(purpose="Remortgage",1.00,
            1.20)))</f>
        <v/>
      </c>
      <c r="L4388">
        <f>LET(
    arrears_months,'Loan Tape (S&amp;P)'!AN4388,
    IF(arrears_months=0,1.00,
    IF(arrears_months=1,3.00,
    IF(arrears_months=2,5.00,
    IF(arrears_months=3,8.00,
    IF(arrears_months=4,10.00,
    IF(arrears_months=5,12.00,15.00)))))))</f>
        <v/>
      </c>
      <c r="M4388">
        <f>LET(
    seasoning_years,DATEDIF('Loan Tape (S&amp;P)'!K4388,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88">
        <f>IF(AND('Loan Tape (S&amp;P)'!U4388="Yes",
        'Loan Tape (S&amp;P)'!T4388&lt;&gt;"Yes",
        DATEDIF('Loan Tape (S&amp;P)'!K4388, TODAY(), "M")&lt;18),
    1.10,
    1.00)</f>
        <v/>
      </c>
      <c r="O4388">
        <f>IF('Loan Tape (S&amp;P)'!T4388="Yes",
    1.35,
    1.00)</f>
        <v/>
      </c>
      <c r="P4388">
        <f>IF('Loan Tape (S&amp;P)'!S4388="Yes",
    1.15,
    1.00)</f>
        <v/>
      </c>
      <c r="Q4388">
        <f>IF('Loan Tape (S&amp;P)'!V4388="Yes",
    1.20,
    1.00)</f>
        <v/>
      </c>
      <c r="T4388">
        <f>LET(
    payment_method,'Loan Tape (S&amp;P)'!P4388,
    occupancy,'Loan Tape (S&amp;P)'!N4388,
    maturity_date,'Loan Tape (S&amp;P)'!L4388,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89">
      <c r="J4389">
        <f>LET(
    lien,'Loan Tape (S&amp;P)'!Q4389,
    IF(lien="First",1.00,
        IF(lien="Second",1.50,
            1.70)))</f>
        <v/>
      </c>
      <c r="K4389">
        <f>LET(
    purpose,'Loan Tape (S&amp;P)'!R4389,
    IF(purpose="Purchase",1.00,
        IF(purpose="Remortgage",1.00,
            1.20)))</f>
        <v/>
      </c>
      <c r="L4389">
        <f>LET(
    arrears_months,'Loan Tape (S&amp;P)'!AN4389,
    IF(arrears_months=0,1.00,
    IF(arrears_months=1,3.00,
    IF(arrears_months=2,5.00,
    IF(arrears_months=3,8.00,
    IF(arrears_months=4,10.00,
    IF(arrears_months=5,12.00,15.00)))))))</f>
        <v/>
      </c>
      <c r="M4389">
        <f>LET(
    seasoning_years,DATEDIF('Loan Tape (S&amp;P)'!K4389,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89">
        <f>IF(AND('Loan Tape (S&amp;P)'!U4389="Yes",
        'Loan Tape (S&amp;P)'!T4389&lt;&gt;"Yes",
        DATEDIF('Loan Tape (S&amp;P)'!K4389, TODAY(), "M")&lt;18),
    1.10,
    1.00)</f>
        <v/>
      </c>
      <c r="O4389">
        <f>IF('Loan Tape (S&amp;P)'!T4389="Yes",
    1.35,
    1.00)</f>
        <v/>
      </c>
      <c r="P4389">
        <f>IF('Loan Tape (S&amp;P)'!S4389="Yes",
    1.15,
    1.00)</f>
        <v/>
      </c>
      <c r="Q4389">
        <f>IF('Loan Tape (S&amp;P)'!V4389="Yes",
    1.20,
    1.00)</f>
        <v/>
      </c>
      <c r="T4389">
        <f>LET(
    payment_method,'Loan Tape (S&amp;P)'!P4389,
    occupancy,'Loan Tape (S&amp;P)'!N4389,
    maturity_date,'Loan Tape (S&amp;P)'!L4389,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90">
      <c r="J4390">
        <f>LET(
    lien,'Loan Tape (S&amp;P)'!Q4390,
    IF(lien="First",1.00,
        IF(lien="Second",1.50,
            1.70)))</f>
        <v/>
      </c>
      <c r="K4390">
        <f>LET(
    purpose,'Loan Tape (S&amp;P)'!R4390,
    IF(purpose="Purchase",1.00,
        IF(purpose="Remortgage",1.00,
            1.20)))</f>
        <v/>
      </c>
      <c r="L4390">
        <f>LET(
    arrears_months,'Loan Tape (S&amp;P)'!AN4390,
    IF(arrears_months=0,1.00,
    IF(arrears_months=1,3.00,
    IF(arrears_months=2,5.00,
    IF(arrears_months=3,8.00,
    IF(arrears_months=4,10.00,
    IF(arrears_months=5,12.00,15.00)))))))</f>
        <v/>
      </c>
      <c r="M4390">
        <f>LET(
    seasoning_years,DATEDIF('Loan Tape (S&amp;P)'!K4390,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90">
        <f>IF(AND('Loan Tape (S&amp;P)'!U4390="Yes",
        'Loan Tape (S&amp;P)'!T4390&lt;&gt;"Yes",
        DATEDIF('Loan Tape (S&amp;P)'!K4390, TODAY(), "M")&lt;18),
    1.10,
    1.00)</f>
        <v/>
      </c>
      <c r="O4390">
        <f>IF('Loan Tape (S&amp;P)'!T4390="Yes",
    1.35,
    1.00)</f>
        <v/>
      </c>
      <c r="P4390">
        <f>IF('Loan Tape (S&amp;P)'!S4390="Yes",
    1.15,
    1.00)</f>
        <v/>
      </c>
      <c r="Q4390">
        <f>IF('Loan Tape (S&amp;P)'!V4390="Yes",
    1.20,
    1.00)</f>
        <v/>
      </c>
      <c r="T4390">
        <f>LET(
    payment_method,'Loan Tape (S&amp;P)'!P4390,
    occupancy,'Loan Tape (S&amp;P)'!N4390,
    maturity_date,'Loan Tape (S&amp;P)'!L4390,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91">
      <c r="J4391">
        <f>LET(
    lien,'Loan Tape (S&amp;P)'!Q4391,
    IF(lien="First",1.00,
        IF(lien="Second",1.50,
            1.70)))</f>
        <v/>
      </c>
      <c r="K4391">
        <f>LET(
    purpose,'Loan Tape (S&amp;P)'!R4391,
    IF(purpose="Purchase",1.00,
        IF(purpose="Remortgage",1.00,
            1.20)))</f>
        <v/>
      </c>
      <c r="L4391">
        <f>LET(
    arrears_months,'Loan Tape (S&amp;P)'!AN4391,
    IF(arrears_months=0,1.00,
    IF(arrears_months=1,3.00,
    IF(arrears_months=2,5.00,
    IF(arrears_months=3,8.00,
    IF(arrears_months=4,10.00,
    IF(arrears_months=5,12.00,15.00)))))))</f>
        <v/>
      </c>
      <c r="M4391">
        <f>LET(
    seasoning_years,DATEDIF('Loan Tape (S&amp;P)'!K4391,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91">
        <f>IF(AND('Loan Tape (S&amp;P)'!U4391="Yes",
        'Loan Tape (S&amp;P)'!T4391&lt;&gt;"Yes",
        DATEDIF('Loan Tape (S&amp;P)'!K4391, TODAY(), "M")&lt;18),
    1.10,
    1.00)</f>
        <v/>
      </c>
      <c r="O4391">
        <f>IF('Loan Tape (S&amp;P)'!T4391="Yes",
    1.35,
    1.00)</f>
        <v/>
      </c>
      <c r="P4391">
        <f>IF('Loan Tape (S&amp;P)'!S4391="Yes",
    1.15,
    1.00)</f>
        <v/>
      </c>
      <c r="Q4391">
        <f>IF('Loan Tape (S&amp;P)'!V4391="Yes",
    1.20,
    1.00)</f>
        <v/>
      </c>
      <c r="T4391">
        <f>LET(
    payment_method,'Loan Tape (S&amp;P)'!P4391,
    occupancy,'Loan Tape (S&amp;P)'!N4391,
    maturity_date,'Loan Tape (S&amp;P)'!L4391,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92">
      <c r="J4392">
        <f>LET(
    lien,'Loan Tape (S&amp;P)'!Q4392,
    IF(lien="First",1.00,
        IF(lien="Second",1.50,
            1.70)))</f>
        <v/>
      </c>
      <c r="K4392">
        <f>LET(
    purpose,'Loan Tape (S&amp;P)'!R4392,
    IF(purpose="Purchase",1.00,
        IF(purpose="Remortgage",1.00,
            1.20)))</f>
        <v/>
      </c>
      <c r="L4392">
        <f>LET(
    arrears_months,'Loan Tape (S&amp;P)'!AN4392,
    IF(arrears_months=0,1.00,
    IF(arrears_months=1,3.00,
    IF(arrears_months=2,5.00,
    IF(arrears_months=3,8.00,
    IF(arrears_months=4,10.00,
    IF(arrears_months=5,12.00,15.00)))))))</f>
        <v/>
      </c>
      <c r="M4392">
        <f>LET(
    seasoning_years,DATEDIF('Loan Tape (S&amp;P)'!K4392,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92">
        <f>IF(AND('Loan Tape (S&amp;P)'!U4392="Yes",
        'Loan Tape (S&amp;P)'!T4392&lt;&gt;"Yes",
        DATEDIF('Loan Tape (S&amp;P)'!K4392, TODAY(), "M")&lt;18),
    1.10,
    1.00)</f>
        <v/>
      </c>
      <c r="O4392">
        <f>IF('Loan Tape (S&amp;P)'!T4392="Yes",
    1.35,
    1.00)</f>
        <v/>
      </c>
      <c r="P4392">
        <f>IF('Loan Tape (S&amp;P)'!S4392="Yes",
    1.15,
    1.00)</f>
        <v/>
      </c>
      <c r="Q4392">
        <f>IF('Loan Tape (S&amp;P)'!V4392="Yes",
    1.20,
    1.00)</f>
        <v/>
      </c>
      <c r="T4392">
        <f>LET(
    payment_method,'Loan Tape (S&amp;P)'!P4392,
    occupancy,'Loan Tape (S&amp;P)'!N4392,
    maturity_date,'Loan Tape (S&amp;P)'!L4392,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93">
      <c r="J4393">
        <f>LET(
    lien,'Loan Tape (S&amp;P)'!Q4393,
    IF(lien="First",1.00,
        IF(lien="Second",1.50,
            1.70)))</f>
        <v/>
      </c>
      <c r="K4393">
        <f>LET(
    purpose,'Loan Tape (S&amp;P)'!R4393,
    IF(purpose="Purchase",1.00,
        IF(purpose="Remortgage",1.00,
            1.20)))</f>
        <v/>
      </c>
      <c r="L4393">
        <f>LET(
    arrears_months,'Loan Tape (S&amp;P)'!AN4393,
    IF(arrears_months=0,1.00,
    IF(arrears_months=1,3.00,
    IF(arrears_months=2,5.00,
    IF(arrears_months=3,8.00,
    IF(arrears_months=4,10.00,
    IF(arrears_months=5,12.00,15.00)))))))</f>
        <v/>
      </c>
      <c r="M4393">
        <f>LET(
    seasoning_years,DATEDIF('Loan Tape (S&amp;P)'!K4393,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93">
        <f>IF(AND('Loan Tape (S&amp;P)'!U4393="Yes",
        'Loan Tape (S&amp;P)'!T4393&lt;&gt;"Yes",
        DATEDIF('Loan Tape (S&amp;P)'!K4393, TODAY(), "M")&lt;18),
    1.10,
    1.00)</f>
        <v/>
      </c>
      <c r="O4393">
        <f>IF('Loan Tape (S&amp;P)'!T4393="Yes",
    1.35,
    1.00)</f>
        <v/>
      </c>
      <c r="P4393">
        <f>IF('Loan Tape (S&amp;P)'!S4393="Yes",
    1.15,
    1.00)</f>
        <v/>
      </c>
      <c r="Q4393">
        <f>IF('Loan Tape (S&amp;P)'!V4393="Yes",
    1.20,
    1.00)</f>
        <v/>
      </c>
      <c r="T4393">
        <f>LET(
    payment_method,'Loan Tape (S&amp;P)'!P4393,
    occupancy,'Loan Tape (S&amp;P)'!N4393,
    maturity_date,'Loan Tape (S&amp;P)'!L4393,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94">
      <c r="J4394">
        <f>LET(
    lien,'Loan Tape (S&amp;P)'!Q4394,
    IF(lien="First",1.00,
        IF(lien="Second",1.50,
            1.70)))</f>
        <v/>
      </c>
      <c r="K4394">
        <f>LET(
    purpose,'Loan Tape (S&amp;P)'!R4394,
    IF(purpose="Purchase",1.00,
        IF(purpose="Remortgage",1.00,
            1.20)))</f>
        <v/>
      </c>
      <c r="L4394">
        <f>LET(
    arrears_months,'Loan Tape (S&amp;P)'!AN4394,
    IF(arrears_months=0,1.00,
    IF(arrears_months=1,3.00,
    IF(arrears_months=2,5.00,
    IF(arrears_months=3,8.00,
    IF(arrears_months=4,10.00,
    IF(arrears_months=5,12.00,15.00)))))))</f>
        <v/>
      </c>
      <c r="M4394">
        <f>LET(
    seasoning_years,DATEDIF('Loan Tape (S&amp;P)'!K4394,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94">
        <f>IF(AND('Loan Tape (S&amp;P)'!U4394="Yes",
        'Loan Tape (S&amp;P)'!T4394&lt;&gt;"Yes",
        DATEDIF('Loan Tape (S&amp;P)'!K4394, TODAY(), "M")&lt;18),
    1.10,
    1.00)</f>
        <v/>
      </c>
      <c r="O4394">
        <f>IF('Loan Tape (S&amp;P)'!T4394="Yes",
    1.35,
    1.00)</f>
        <v/>
      </c>
      <c r="P4394">
        <f>IF('Loan Tape (S&amp;P)'!S4394="Yes",
    1.15,
    1.00)</f>
        <v/>
      </c>
      <c r="Q4394">
        <f>IF('Loan Tape (S&amp;P)'!V4394="Yes",
    1.20,
    1.00)</f>
        <v/>
      </c>
      <c r="T4394">
        <f>LET(
    payment_method,'Loan Tape (S&amp;P)'!P4394,
    occupancy,'Loan Tape (S&amp;P)'!N4394,
    maturity_date,'Loan Tape (S&amp;P)'!L4394,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95">
      <c r="J4395">
        <f>LET(
    lien,'Loan Tape (S&amp;P)'!Q4395,
    IF(lien="First",1.00,
        IF(lien="Second",1.50,
            1.70)))</f>
        <v/>
      </c>
      <c r="K4395">
        <f>LET(
    purpose,'Loan Tape (S&amp;P)'!R4395,
    IF(purpose="Purchase",1.00,
        IF(purpose="Remortgage",1.00,
            1.20)))</f>
        <v/>
      </c>
      <c r="L4395">
        <f>LET(
    arrears_months,'Loan Tape (S&amp;P)'!AN4395,
    IF(arrears_months=0,1.00,
    IF(arrears_months=1,3.00,
    IF(arrears_months=2,5.00,
    IF(arrears_months=3,8.00,
    IF(arrears_months=4,10.00,
    IF(arrears_months=5,12.00,15.00)))))))</f>
        <v/>
      </c>
      <c r="M4395">
        <f>LET(
    seasoning_years,DATEDIF('Loan Tape (S&amp;P)'!K4395,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95">
        <f>IF(AND('Loan Tape (S&amp;P)'!U4395="Yes",
        'Loan Tape (S&amp;P)'!T4395&lt;&gt;"Yes",
        DATEDIF('Loan Tape (S&amp;P)'!K4395, TODAY(), "M")&lt;18),
    1.10,
    1.00)</f>
        <v/>
      </c>
      <c r="O4395">
        <f>IF('Loan Tape (S&amp;P)'!T4395="Yes",
    1.35,
    1.00)</f>
        <v/>
      </c>
      <c r="P4395">
        <f>IF('Loan Tape (S&amp;P)'!S4395="Yes",
    1.15,
    1.00)</f>
        <v/>
      </c>
      <c r="Q4395">
        <f>IF('Loan Tape (S&amp;P)'!V4395="Yes",
    1.20,
    1.00)</f>
        <v/>
      </c>
      <c r="T4395">
        <f>LET(
    payment_method,'Loan Tape (S&amp;P)'!P4395,
    occupancy,'Loan Tape (S&amp;P)'!N4395,
    maturity_date,'Loan Tape (S&amp;P)'!L4395,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96">
      <c r="J4396">
        <f>LET(
    lien,'Loan Tape (S&amp;P)'!Q4396,
    IF(lien="First",1.00,
        IF(lien="Second",1.50,
            1.70)))</f>
        <v/>
      </c>
      <c r="K4396">
        <f>LET(
    purpose,'Loan Tape (S&amp;P)'!R4396,
    IF(purpose="Purchase",1.00,
        IF(purpose="Remortgage",1.00,
            1.20)))</f>
        <v/>
      </c>
      <c r="L4396">
        <f>LET(
    arrears_months,'Loan Tape (S&amp;P)'!AN4396,
    IF(arrears_months=0,1.00,
    IF(arrears_months=1,3.00,
    IF(arrears_months=2,5.00,
    IF(arrears_months=3,8.00,
    IF(arrears_months=4,10.00,
    IF(arrears_months=5,12.00,15.00)))))))</f>
        <v/>
      </c>
      <c r="M4396">
        <f>LET(
    seasoning_years,DATEDIF('Loan Tape (S&amp;P)'!K4396,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96">
        <f>IF(AND('Loan Tape (S&amp;P)'!U4396="Yes",
        'Loan Tape (S&amp;P)'!T4396&lt;&gt;"Yes",
        DATEDIF('Loan Tape (S&amp;P)'!K4396, TODAY(), "M")&lt;18),
    1.10,
    1.00)</f>
        <v/>
      </c>
      <c r="O4396">
        <f>IF('Loan Tape (S&amp;P)'!T4396="Yes",
    1.35,
    1.00)</f>
        <v/>
      </c>
      <c r="P4396">
        <f>IF('Loan Tape (S&amp;P)'!S4396="Yes",
    1.15,
    1.00)</f>
        <v/>
      </c>
      <c r="Q4396">
        <f>IF('Loan Tape (S&amp;P)'!V4396="Yes",
    1.20,
    1.00)</f>
        <v/>
      </c>
      <c r="T4396">
        <f>LET(
    payment_method,'Loan Tape (S&amp;P)'!P4396,
    occupancy,'Loan Tape (S&amp;P)'!N4396,
    maturity_date,'Loan Tape (S&amp;P)'!L4396,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97">
      <c r="J4397">
        <f>LET(
    lien,'Loan Tape (S&amp;P)'!Q4397,
    IF(lien="First",1.00,
        IF(lien="Second",1.50,
            1.70)))</f>
        <v/>
      </c>
      <c r="K4397">
        <f>LET(
    purpose,'Loan Tape (S&amp;P)'!R4397,
    IF(purpose="Purchase",1.00,
        IF(purpose="Remortgage",1.00,
            1.20)))</f>
        <v/>
      </c>
      <c r="L4397">
        <f>LET(
    arrears_months,'Loan Tape (S&amp;P)'!AN4397,
    IF(arrears_months=0,1.00,
    IF(arrears_months=1,3.00,
    IF(arrears_months=2,5.00,
    IF(arrears_months=3,8.00,
    IF(arrears_months=4,10.00,
    IF(arrears_months=5,12.00,15.00)))))))</f>
        <v/>
      </c>
      <c r="M4397">
        <f>LET(
    seasoning_years,DATEDIF('Loan Tape (S&amp;P)'!K4397,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97">
        <f>IF(AND('Loan Tape (S&amp;P)'!U4397="Yes",
        'Loan Tape (S&amp;P)'!T4397&lt;&gt;"Yes",
        DATEDIF('Loan Tape (S&amp;P)'!K4397, TODAY(), "M")&lt;18),
    1.10,
    1.00)</f>
        <v/>
      </c>
      <c r="O4397">
        <f>IF('Loan Tape (S&amp;P)'!T4397="Yes",
    1.35,
    1.00)</f>
        <v/>
      </c>
      <c r="P4397">
        <f>IF('Loan Tape (S&amp;P)'!S4397="Yes",
    1.15,
    1.00)</f>
        <v/>
      </c>
      <c r="Q4397">
        <f>IF('Loan Tape (S&amp;P)'!V4397="Yes",
    1.20,
    1.00)</f>
        <v/>
      </c>
      <c r="T4397">
        <f>LET(
    payment_method,'Loan Tape (S&amp;P)'!P4397,
    occupancy,'Loan Tape (S&amp;P)'!N4397,
    maturity_date,'Loan Tape (S&amp;P)'!L4397,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98">
      <c r="J4398">
        <f>LET(
    lien,'Loan Tape (S&amp;P)'!Q4398,
    IF(lien="First",1.00,
        IF(lien="Second",1.50,
            1.70)))</f>
        <v/>
      </c>
      <c r="K4398">
        <f>LET(
    purpose,'Loan Tape (S&amp;P)'!R4398,
    IF(purpose="Purchase",1.00,
        IF(purpose="Remortgage",1.00,
            1.20)))</f>
        <v/>
      </c>
      <c r="L4398">
        <f>LET(
    arrears_months,'Loan Tape (S&amp;P)'!AN4398,
    IF(arrears_months=0,1.00,
    IF(arrears_months=1,3.00,
    IF(arrears_months=2,5.00,
    IF(arrears_months=3,8.00,
    IF(arrears_months=4,10.00,
    IF(arrears_months=5,12.00,15.00)))))))</f>
        <v/>
      </c>
      <c r="M4398">
        <f>LET(
    seasoning_years,DATEDIF('Loan Tape (S&amp;P)'!K4398,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98">
        <f>IF(AND('Loan Tape (S&amp;P)'!U4398="Yes",
        'Loan Tape (S&amp;P)'!T4398&lt;&gt;"Yes",
        DATEDIF('Loan Tape (S&amp;P)'!K4398, TODAY(), "M")&lt;18),
    1.10,
    1.00)</f>
        <v/>
      </c>
      <c r="O4398">
        <f>IF('Loan Tape (S&amp;P)'!T4398="Yes",
    1.35,
    1.00)</f>
        <v/>
      </c>
      <c r="P4398">
        <f>IF('Loan Tape (S&amp;P)'!S4398="Yes",
    1.15,
    1.00)</f>
        <v/>
      </c>
      <c r="Q4398">
        <f>IF('Loan Tape (S&amp;P)'!V4398="Yes",
    1.20,
    1.00)</f>
        <v/>
      </c>
      <c r="T4398">
        <f>LET(
    payment_method,'Loan Tape (S&amp;P)'!P4398,
    occupancy,'Loan Tape (S&amp;P)'!N4398,
    maturity_date,'Loan Tape (S&amp;P)'!L4398,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399">
      <c r="J4399">
        <f>LET(
    lien,'Loan Tape (S&amp;P)'!Q4399,
    IF(lien="First",1.00,
        IF(lien="Second",1.50,
            1.70)))</f>
        <v/>
      </c>
      <c r="K4399">
        <f>LET(
    purpose,'Loan Tape (S&amp;P)'!R4399,
    IF(purpose="Purchase",1.00,
        IF(purpose="Remortgage",1.00,
            1.20)))</f>
        <v/>
      </c>
      <c r="L4399">
        <f>LET(
    arrears_months,'Loan Tape (S&amp;P)'!AN4399,
    IF(arrears_months=0,1.00,
    IF(arrears_months=1,3.00,
    IF(arrears_months=2,5.00,
    IF(arrears_months=3,8.00,
    IF(arrears_months=4,10.00,
    IF(arrears_months=5,12.00,15.00)))))))</f>
        <v/>
      </c>
      <c r="M4399">
        <f>LET(
    seasoning_years,DATEDIF('Loan Tape (S&amp;P)'!K4399,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399">
        <f>IF(AND('Loan Tape (S&amp;P)'!U4399="Yes",
        'Loan Tape (S&amp;P)'!T4399&lt;&gt;"Yes",
        DATEDIF('Loan Tape (S&amp;P)'!K4399, TODAY(), "M")&lt;18),
    1.10,
    1.00)</f>
        <v/>
      </c>
      <c r="O4399">
        <f>IF('Loan Tape (S&amp;P)'!T4399="Yes",
    1.35,
    1.00)</f>
        <v/>
      </c>
      <c r="P4399">
        <f>IF('Loan Tape (S&amp;P)'!S4399="Yes",
    1.15,
    1.00)</f>
        <v/>
      </c>
      <c r="Q4399">
        <f>IF('Loan Tape (S&amp;P)'!V4399="Yes",
    1.20,
    1.00)</f>
        <v/>
      </c>
      <c r="T4399">
        <f>LET(
    payment_method,'Loan Tape (S&amp;P)'!P4399,
    occupancy,'Loan Tape (S&amp;P)'!N4399,
    maturity_date,'Loan Tape (S&amp;P)'!L4399,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00">
      <c r="J4400">
        <f>LET(
    lien,'Loan Tape (S&amp;P)'!Q4400,
    IF(lien="First",1.00,
        IF(lien="Second",1.50,
            1.70)))</f>
        <v/>
      </c>
      <c r="K4400">
        <f>LET(
    purpose,'Loan Tape (S&amp;P)'!R4400,
    IF(purpose="Purchase",1.00,
        IF(purpose="Remortgage",1.00,
            1.20)))</f>
        <v/>
      </c>
      <c r="L4400">
        <f>LET(
    arrears_months,'Loan Tape (S&amp;P)'!AN4400,
    IF(arrears_months=0,1.00,
    IF(arrears_months=1,3.00,
    IF(arrears_months=2,5.00,
    IF(arrears_months=3,8.00,
    IF(arrears_months=4,10.00,
    IF(arrears_months=5,12.00,15.00)))))))</f>
        <v/>
      </c>
      <c r="M4400">
        <f>LET(
    seasoning_years,DATEDIF('Loan Tape (S&amp;P)'!K4400,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00">
        <f>IF(AND('Loan Tape (S&amp;P)'!U4400="Yes",
        'Loan Tape (S&amp;P)'!T4400&lt;&gt;"Yes",
        DATEDIF('Loan Tape (S&amp;P)'!K4400, TODAY(), "M")&lt;18),
    1.10,
    1.00)</f>
        <v/>
      </c>
      <c r="O4400">
        <f>IF('Loan Tape (S&amp;P)'!T4400="Yes",
    1.35,
    1.00)</f>
        <v/>
      </c>
      <c r="P4400">
        <f>IF('Loan Tape (S&amp;P)'!S4400="Yes",
    1.15,
    1.00)</f>
        <v/>
      </c>
      <c r="Q4400">
        <f>IF('Loan Tape (S&amp;P)'!V4400="Yes",
    1.20,
    1.00)</f>
        <v/>
      </c>
      <c r="T4400">
        <f>LET(
    payment_method,'Loan Tape (S&amp;P)'!P4400,
    occupancy,'Loan Tape (S&amp;P)'!N4400,
    maturity_date,'Loan Tape (S&amp;P)'!L4400,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01">
      <c r="J4401">
        <f>LET(
    lien,'Loan Tape (S&amp;P)'!Q4401,
    IF(lien="First",1.00,
        IF(lien="Second",1.50,
            1.70)))</f>
        <v/>
      </c>
      <c r="K4401">
        <f>LET(
    purpose,'Loan Tape (S&amp;P)'!R4401,
    IF(purpose="Purchase",1.00,
        IF(purpose="Remortgage",1.00,
            1.20)))</f>
        <v/>
      </c>
      <c r="L4401">
        <f>LET(
    arrears_months,'Loan Tape (S&amp;P)'!AN4401,
    IF(arrears_months=0,1.00,
    IF(arrears_months=1,3.00,
    IF(arrears_months=2,5.00,
    IF(arrears_months=3,8.00,
    IF(arrears_months=4,10.00,
    IF(arrears_months=5,12.00,15.00)))))))</f>
        <v/>
      </c>
      <c r="M4401">
        <f>LET(
    seasoning_years,DATEDIF('Loan Tape (S&amp;P)'!K4401,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01">
        <f>IF(AND('Loan Tape (S&amp;P)'!U4401="Yes",
        'Loan Tape (S&amp;P)'!T4401&lt;&gt;"Yes",
        DATEDIF('Loan Tape (S&amp;P)'!K4401, TODAY(), "M")&lt;18),
    1.10,
    1.00)</f>
        <v/>
      </c>
      <c r="O4401">
        <f>IF('Loan Tape (S&amp;P)'!T4401="Yes",
    1.35,
    1.00)</f>
        <v/>
      </c>
      <c r="P4401">
        <f>IF('Loan Tape (S&amp;P)'!S4401="Yes",
    1.15,
    1.00)</f>
        <v/>
      </c>
      <c r="Q4401">
        <f>IF('Loan Tape (S&amp;P)'!V4401="Yes",
    1.20,
    1.00)</f>
        <v/>
      </c>
      <c r="T4401">
        <f>LET(
    payment_method,'Loan Tape (S&amp;P)'!P4401,
    occupancy,'Loan Tape (S&amp;P)'!N4401,
    maturity_date,'Loan Tape (S&amp;P)'!L4401,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02">
      <c r="J4402">
        <f>LET(
    lien,'Loan Tape (S&amp;P)'!Q4402,
    IF(lien="First",1.00,
        IF(lien="Second",1.50,
            1.70)))</f>
        <v/>
      </c>
      <c r="K4402">
        <f>LET(
    purpose,'Loan Tape (S&amp;P)'!R4402,
    IF(purpose="Purchase",1.00,
        IF(purpose="Remortgage",1.00,
            1.20)))</f>
        <v/>
      </c>
      <c r="L4402">
        <f>LET(
    arrears_months,'Loan Tape (S&amp;P)'!AN4402,
    IF(arrears_months=0,1.00,
    IF(arrears_months=1,3.00,
    IF(arrears_months=2,5.00,
    IF(arrears_months=3,8.00,
    IF(arrears_months=4,10.00,
    IF(arrears_months=5,12.00,15.00)))))))</f>
        <v/>
      </c>
      <c r="M4402">
        <f>LET(
    seasoning_years,DATEDIF('Loan Tape (S&amp;P)'!K4402,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02">
        <f>IF(AND('Loan Tape (S&amp;P)'!U4402="Yes",
        'Loan Tape (S&amp;P)'!T4402&lt;&gt;"Yes",
        DATEDIF('Loan Tape (S&amp;P)'!K4402, TODAY(), "M")&lt;18),
    1.10,
    1.00)</f>
        <v/>
      </c>
      <c r="O4402">
        <f>IF('Loan Tape (S&amp;P)'!T4402="Yes",
    1.35,
    1.00)</f>
        <v/>
      </c>
      <c r="P4402">
        <f>IF('Loan Tape (S&amp;P)'!S4402="Yes",
    1.15,
    1.00)</f>
        <v/>
      </c>
      <c r="Q4402">
        <f>IF('Loan Tape (S&amp;P)'!V4402="Yes",
    1.20,
    1.00)</f>
        <v/>
      </c>
      <c r="T4402">
        <f>LET(
    payment_method,'Loan Tape (S&amp;P)'!P4402,
    occupancy,'Loan Tape (S&amp;P)'!N4402,
    maturity_date,'Loan Tape (S&amp;P)'!L4402,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03">
      <c r="J4403">
        <f>LET(
    lien,'Loan Tape (S&amp;P)'!Q4403,
    IF(lien="First",1.00,
        IF(lien="Second",1.50,
            1.70)))</f>
        <v/>
      </c>
      <c r="K4403">
        <f>LET(
    purpose,'Loan Tape (S&amp;P)'!R4403,
    IF(purpose="Purchase",1.00,
        IF(purpose="Remortgage",1.00,
            1.20)))</f>
        <v/>
      </c>
      <c r="L4403">
        <f>LET(
    arrears_months,'Loan Tape (S&amp;P)'!AN4403,
    IF(arrears_months=0,1.00,
    IF(arrears_months=1,3.00,
    IF(arrears_months=2,5.00,
    IF(arrears_months=3,8.00,
    IF(arrears_months=4,10.00,
    IF(arrears_months=5,12.00,15.00)))))))</f>
        <v/>
      </c>
      <c r="M4403">
        <f>LET(
    seasoning_years,DATEDIF('Loan Tape (S&amp;P)'!K4403,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03">
        <f>IF(AND('Loan Tape (S&amp;P)'!U4403="Yes",
        'Loan Tape (S&amp;P)'!T4403&lt;&gt;"Yes",
        DATEDIF('Loan Tape (S&amp;P)'!K4403, TODAY(), "M")&lt;18),
    1.10,
    1.00)</f>
        <v/>
      </c>
      <c r="O4403">
        <f>IF('Loan Tape (S&amp;P)'!T4403="Yes",
    1.35,
    1.00)</f>
        <v/>
      </c>
      <c r="P4403">
        <f>IF('Loan Tape (S&amp;P)'!S4403="Yes",
    1.15,
    1.00)</f>
        <v/>
      </c>
      <c r="Q4403">
        <f>IF('Loan Tape (S&amp;P)'!V4403="Yes",
    1.20,
    1.00)</f>
        <v/>
      </c>
      <c r="T4403">
        <f>LET(
    payment_method,'Loan Tape (S&amp;P)'!P4403,
    occupancy,'Loan Tape (S&amp;P)'!N4403,
    maturity_date,'Loan Tape (S&amp;P)'!L4403,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04">
      <c r="J4404">
        <f>LET(
    lien,'Loan Tape (S&amp;P)'!Q4404,
    IF(lien="First",1.00,
        IF(lien="Second",1.50,
            1.70)))</f>
        <v/>
      </c>
      <c r="K4404">
        <f>LET(
    purpose,'Loan Tape (S&amp;P)'!R4404,
    IF(purpose="Purchase",1.00,
        IF(purpose="Remortgage",1.00,
            1.20)))</f>
        <v/>
      </c>
      <c r="L4404">
        <f>LET(
    arrears_months,'Loan Tape (S&amp;P)'!AN4404,
    IF(arrears_months=0,1.00,
    IF(arrears_months=1,3.00,
    IF(arrears_months=2,5.00,
    IF(arrears_months=3,8.00,
    IF(arrears_months=4,10.00,
    IF(arrears_months=5,12.00,15.00)))))))</f>
        <v/>
      </c>
      <c r="M4404">
        <f>LET(
    seasoning_years,DATEDIF('Loan Tape (S&amp;P)'!K4404,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04">
        <f>IF(AND('Loan Tape (S&amp;P)'!U4404="Yes",
        'Loan Tape (S&amp;P)'!T4404&lt;&gt;"Yes",
        DATEDIF('Loan Tape (S&amp;P)'!K4404, TODAY(), "M")&lt;18),
    1.10,
    1.00)</f>
        <v/>
      </c>
      <c r="O4404">
        <f>IF('Loan Tape (S&amp;P)'!T4404="Yes",
    1.35,
    1.00)</f>
        <v/>
      </c>
      <c r="P4404">
        <f>IF('Loan Tape (S&amp;P)'!S4404="Yes",
    1.15,
    1.00)</f>
        <v/>
      </c>
      <c r="Q4404">
        <f>IF('Loan Tape (S&amp;P)'!V4404="Yes",
    1.20,
    1.00)</f>
        <v/>
      </c>
      <c r="T4404">
        <f>LET(
    payment_method,'Loan Tape (S&amp;P)'!P4404,
    occupancy,'Loan Tape (S&amp;P)'!N4404,
    maturity_date,'Loan Tape (S&amp;P)'!L4404,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05">
      <c r="J4405">
        <f>LET(
    lien,'Loan Tape (S&amp;P)'!Q4405,
    IF(lien="First",1.00,
        IF(lien="Second",1.50,
            1.70)))</f>
        <v/>
      </c>
      <c r="K4405">
        <f>LET(
    purpose,'Loan Tape (S&amp;P)'!R4405,
    IF(purpose="Purchase",1.00,
        IF(purpose="Remortgage",1.00,
            1.20)))</f>
        <v/>
      </c>
      <c r="L4405">
        <f>LET(
    arrears_months,'Loan Tape (S&amp;P)'!AN4405,
    IF(arrears_months=0,1.00,
    IF(arrears_months=1,3.00,
    IF(arrears_months=2,5.00,
    IF(arrears_months=3,8.00,
    IF(arrears_months=4,10.00,
    IF(arrears_months=5,12.00,15.00)))))))</f>
        <v/>
      </c>
      <c r="M4405">
        <f>LET(
    seasoning_years,DATEDIF('Loan Tape (S&amp;P)'!K4405,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05">
        <f>IF(AND('Loan Tape (S&amp;P)'!U4405="Yes",
        'Loan Tape (S&amp;P)'!T4405&lt;&gt;"Yes",
        DATEDIF('Loan Tape (S&amp;P)'!K4405, TODAY(), "M")&lt;18),
    1.10,
    1.00)</f>
        <v/>
      </c>
      <c r="O4405">
        <f>IF('Loan Tape (S&amp;P)'!T4405="Yes",
    1.35,
    1.00)</f>
        <v/>
      </c>
      <c r="P4405">
        <f>IF('Loan Tape (S&amp;P)'!S4405="Yes",
    1.15,
    1.00)</f>
        <v/>
      </c>
      <c r="Q4405">
        <f>IF('Loan Tape (S&amp;P)'!V4405="Yes",
    1.20,
    1.00)</f>
        <v/>
      </c>
      <c r="T4405">
        <f>LET(
    payment_method,'Loan Tape (S&amp;P)'!P4405,
    occupancy,'Loan Tape (S&amp;P)'!N4405,
    maturity_date,'Loan Tape (S&amp;P)'!L4405,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06">
      <c r="J4406">
        <f>LET(
    lien,'Loan Tape (S&amp;P)'!Q4406,
    IF(lien="First",1.00,
        IF(lien="Second",1.50,
            1.70)))</f>
        <v/>
      </c>
      <c r="K4406">
        <f>LET(
    purpose,'Loan Tape (S&amp;P)'!R4406,
    IF(purpose="Purchase",1.00,
        IF(purpose="Remortgage",1.00,
            1.20)))</f>
        <v/>
      </c>
      <c r="L4406">
        <f>LET(
    arrears_months,'Loan Tape (S&amp;P)'!AN4406,
    IF(arrears_months=0,1.00,
    IF(arrears_months=1,3.00,
    IF(arrears_months=2,5.00,
    IF(arrears_months=3,8.00,
    IF(arrears_months=4,10.00,
    IF(arrears_months=5,12.00,15.00)))))))</f>
        <v/>
      </c>
      <c r="M4406">
        <f>LET(
    seasoning_years,DATEDIF('Loan Tape (S&amp;P)'!K4406,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06">
        <f>IF(AND('Loan Tape (S&amp;P)'!U4406="Yes",
        'Loan Tape (S&amp;P)'!T4406&lt;&gt;"Yes",
        DATEDIF('Loan Tape (S&amp;P)'!K4406, TODAY(), "M")&lt;18),
    1.10,
    1.00)</f>
        <v/>
      </c>
      <c r="O4406">
        <f>IF('Loan Tape (S&amp;P)'!T4406="Yes",
    1.35,
    1.00)</f>
        <v/>
      </c>
      <c r="P4406">
        <f>IF('Loan Tape (S&amp;P)'!S4406="Yes",
    1.15,
    1.00)</f>
        <v/>
      </c>
      <c r="Q4406">
        <f>IF('Loan Tape (S&amp;P)'!V4406="Yes",
    1.20,
    1.00)</f>
        <v/>
      </c>
      <c r="T4406">
        <f>LET(
    payment_method,'Loan Tape (S&amp;P)'!P4406,
    occupancy,'Loan Tape (S&amp;P)'!N4406,
    maturity_date,'Loan Tape (S&amp;P)'!L4406,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07">
      <c r="J4407">
        <f>LET(
    lien,'Loan Tape (S&amp;P)'!Q4407,
    IF(lien="First",1.00,
        IF(lien="Second",1.50,
            1.70)))</f>
        <v/>
      </c>
      <c r="K4407">
        <f>LET(
    purpose,'Loan Tape (S&amp;P)'!R4407,
    IF(purpose="Purchase",1.00,
        IF(purpose="Remortgage",1.00,
            1.20)))</f>
        <v/>
      </c>
      <c r="L4407">
        <f>LET(
    arrears_months,'Loan Tape (S&amp;P)'!AN4407,
    IF(arrears_months=0,1.00,
    IF(arrears_months=1,3.00,
    IF(arrears_months=2,5.00,
    IF(arrears_months=3,8.00,
    IF(arrears_months=4,10.00,
    IF(arrears_months=5,12.00,15.00)))))))</f>
        <v/>
      </c>
      <c r="M4407">
        <f>LET(
    seasoning_years,DATEDIF('Loan Tape (S&amp;P)'!K4407,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07">
        <f>IF(AND('Loan Tape (S&amp;P)'!U4407="Yes",
        'Loan Tape (S&amp;P)'!T4407&lt;&gt;"Yes",
        DATEDIF('Loan Tape (S&amp;P)'!K4407, TODAY(), "M")&lt;18),
    1.10,
    1.00)</f>
        <v/>
      </c>
      <c r="O4407">
        <f>IF('Loan Tape (S&amp;P)'!T4407="Yes",
    1.35,
    1.00)</f>
        <v/>
      </c>
      <c r="P4407">
        <f>IF('Loan Tape (S&amp;P)'!S4407="Yes",
    1.15,
    1.00)</f>
        <v/>
      </c>
      <c r="Q4407">
        <f>IF('Loan Tape (S&amp;P)'!V4407="Yes",
    1.20,
    1.00)</f>
        <v/>
      </c>
      <c r="T4407">
        <f>LET(
    payment_method,'Loan Tape (S&amp;P)'!P4407,
    occupancy,'Loan Tape (S&amp;P)'!N4407,
    maturity_date,'Loan Tape (S&amp;P)'!L4407,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08">
      <c r="J4408">
        <f>LET(
    lien,'Loan Tape (S&amp;P)'!Q4408,
    IF(lien="First",1.00,
        IF(lien="Second",1.50,
            1.70)))</f>
        <v/>
      </c>
      <c r="K4408">
        <f>LET(
    purpose,'Loan Tape (S&amp;P)'!R4408,
    IF(purpose="Purchase",1.00,
        IF(purpose="Remortgage",1.00,
            1.20)))</f>
        <v/>
      </c>
      <c r="L4408">
        <f>LET(
    arrears_months,'Loan Tape (S&amp;P)'!AN4408,
    IF(arrears_months=0,1.00,
    IF(arrears_months=1,3.00,
    IF(arrears_months=2,5.00,
    IF(arrears_months=3,8.00,
    IF(arrears_months=4,10.00,
    IF(arrears_months=5,12.00,15.00)))))))</f>
        <v/>
      </c>
      <c r="M4408">
        <f>LET(
    seasoning_years,DATEDIF('Loan Tape (S&amp;P)'!K4408,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08">
        <f>IF(AND('Loan Tape (S&amp;P)'!U4408="Yes",
        'Loan Tape (S&amp;P)'!T4408&lt;&gt;"Yes",
        DATEDIF('Loan Tape (S&amp;P)'!K4408, TODAY(), "M")&lt;18),
    1.10,
    1.00)</f>
        <v/>
      </c>
      <c r="O4408">
        <f>IF('Loan Tape (S&amp;P)'!T4408="Yes",
    1.35,
    1.00)</f>
        <v/>
      </c>
      <c r="P4408">
        <f>IF('Loan Tape (S&amp;P)'!S4408="Yes",
    1.15,
    1.00)</f>
        <v/>
      </c>
      <c r="Q4408">
        <f>IF('Loan Tape (S&amp;P)'!V4408="Yes",
    1.20,
    1.00)</f>
        <v/>
      </c>
      <c r="T4408">
        <f>LET(
    payment_method,'Loan Tape (S&amp;P)'!P4408,
    occupancy,'Loan Tape (S&amp;P)'!N4408,
    maturity_date,'Loan Tape (S&amp;P)'!L4408,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09">
      <c r="J4409">
        <f>LET(
    lien,'Loan Tape (S&amp;P)'!Q4409,
    IF(lien="First",1.00,
        IF(lien="Second",1.50,
            1.70)))</f>
        <v/>
      </c>
      <c r="K4409">
        <f>LET(
    purpose,'Loan Tape (S&amp;P)'!R4409,
    IF(purpose="Purchase",1.00,
        IF(purpose="Remortgage",1.00,
            1.20)))</f>
        <v/>
      </c>
      <c r="L4409">
        <f>LET(
    arrears_months,'Loan Tape (S&amp;P)'!AN4409,
    IF(arrears_months=0,1.00,
    IF(arrears_months=1,3.00,
    IF(arrears_months=2,5.00,
    IF(arrears_months=3,8.00,
    IF(arrears_months=4,10.00,
    IF(arrears_months=5,12.00,15.00)))))))</f>
        <v/>
      </c>
      <c r="M4409">
        <f>LET(
    seasoning_years,DATEDIF('Loan Tape (S&amp;P)'!K4409,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09">
        <f>IF(AND('Loan Tape (S&amp;P)'!U4409="Yes",
        'Loan Tape (S&amp;P)'!T4409&lt;&gt;"Yes",
        DATEDIF('Loan Tape (S&amp;P)'!K4409, TODAY(), "M")&lt;18),
    1.10,
    1.00)</f>
        <v/>
      </c>
      <c r="O4409">
        <f>IF('Loan Tape (S&amp;P)'!T4409="Yes",
    1.35,
    1.00)</f>
        <v/>
      </c>
      <c r="P4409">
        <f>IF('Loan Tape (S&amp;P)'!S4409="Yes",
    1.15,
    1.00)</f>
        <v/>
      </c>
      <c r="Q4409">
        <f>IF('Loan Tape (S&amp;P)'!V4409="Yes",
    1.20,
    1.00)</f>
        <v/>
      </c>
      <c r="T4409">
        <f>LET(
    payment_method,'Loan Tape (S&amp;P)'!P4409,
    occupancy,'Loan Tape (S&amp;P)'!N4409,
    maturity_date,'Loan Tape (S&amp;P)'!L4409,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10">
      <c r="J4410">
        <f>LET(
    lien,'Loan Tape (S&amp;P)'!Q4410,
    IF(lien="First",1.00,
        IF(lien="Second",1.50,
            1.70)))</f>
        <v/>
      </c>
      <c r="K4410">
        <f>LET(
    purpose,'Loan Tape (S&amp;P)'!R4410,
    IF(purpose="Purchase",1.00,
        IF(purpose="Remortgage",1.00,
            1.20)))</f>
        <v/>
      </c>
      <c r="L4410">
        <f>LET(
    arrears_months,'Loan Tape (S&amp;P)'!AN4410,
    IF(arrears_months=0,1.00,
    IF(arrears_months=1,3.00,
    IF(arrears_months=2,5.00,
    IF(arrears_months=3,8.00,
    IF(arrears_months=4,10.00,
    IF(arrears_months=5,12.00,15.00)))))))</f>
        <v/>
      </c>
      <c r="M4410">
        <f>LET(
    seasoning_years,DATEDIF('Loan Tape (S&amp;P)'!K4410,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10">
        <f>IF(AND('Loan Tape (S&amp;P)'!U4410="Yes",
        'Loan Tape (S&amp;P)'!T4410&lt;&gt;"Yes",
        DATEDIF('Loan Tape (S&amp;P)'!K4410, TODAY(), "M")&lt;18),
    1.10,
    1.00)</f>
        <v/>
      </c>
      <c r="O4410">
        <f>IF('Loan Tape (S&amp;P)'!T4410="Yes",
    1.35,
    1.00)</f>
        <v/>
      </c>
      <c r="P4410">
        <f>IF('Loan Tape (S&amp;P)'!S4410="Yes",
    1.15,
    1.00)</f>
        <v/>
      </c>
      <c r="Q4410">
        <f>IF('Loan Tape (S&amp;P)'!V4410="Yes",
    1.20,
    1.00)</f>
        <v/>
      </c>
      <c r="T4410">
        <f>LET(
    payment_method,'Loan Tape (S&amp;P)'!P4410,
    occupancy,'Loan Tape (S&amp;P)'!N4410,
    maturity_date,'Loan Tape (S&amp;P)'!L4410,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11">
      <c r="J4411">
        <f>LET(
    lien,'Loan Tape (S&amp;P)'!Q4411,
    IF(lien="First",1.00,
        IF(lien="Second",1.50,
            1.70)))</f>
        <v/>
      </c>
      <c r="K4411">
        <f>LET(
    purpose,'Loan Tape (S&amp;P)'!R4411,
    IF(purpose="Purchase",1.00,
        IF(purpose="Remortgage",1.00,
            1.20)))</f>
        <v/>
      </c>
      <c r="L4411">
        <f>LET(
    arrears_months,'Loan Tape (S&amp;P)'!AN4411,
    IF(arrears_months=0,1.00,
    IF(arrears_months=1,3.00,
    IF(arrears_months=2,5.00,
    IF(arrears_months=3,8.00,
    IF(arrears_months=4,10.00,
    IF(arrears_months=5,12.00,15.00)))))))</f>
        <v/>
      </c>
      <c r="M4411">
        <f>LET(
    seasoning_years,DATEDIF('Loan Tape (S&amp;P)'!K4411,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11">
        <f>IF(AND('Loan Tape (S&amp;P)'!U4411="Yes",
        'Loan Tape (S&amp;P)'!T4411&lt;&gt;"Yes",
        DATEDIF('Loan Tape (S&amp;P)'!K4411, TODAY(), "M")&lt;18),
    1.10,
    1.00)</f>
        <v/>
      </c>
      <c r="O4411">
        <f>IF('Loan Tape (S&amp;P)'!T4411="Yes",
    1.35,
    1.00)</f>
        <v/>
      </c>
      <c r="P4411">
        <f>IF('Loan Tape (S&amp;P)'!S4411="Yes",
    1.15,
    1.00)</f>
        <v/>
      </c>
      <c r="Q4411">
        <f>IF('Loan Tape (S&amp;P)'!V4411="Yes",
    1.20,
    1.00)</f>
        <v/>
      </c>
      <c r="T4411">
        <f>LET(
    payment_method,'Loan Tape (S&amp;P)'!P4411,
    occupancy,'Loan Tape (S&amp;P)'!N4411,
    maturity_date,'Loan Tape (S&amp;P)'!L4411,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12">
      <c r="J4412">
        <f>LET(
    lien,'Loan Tape (S&amp;P)'!Q4412,
    IF(lien="First",1.00,
        IF(lien="Second",1.50,
            1.70)))</f>
        <v/>
      </c>
      <c r="K4412">
        <f>LET(
    purpose,'Loan Tape (S&amp;P)'!R4412,
    IF(purpose="Purchase",1.00,
        IF(purpose="Remortgage",1.00,
            1.20)))</f>
        <v/>
      </c>
      <c r="L4412">
        <f>LET(
    arrears_months,'Loan Tape (S&amp;P)'!AN4412,
    IF(arrears_months=0,1.00,
    IF(arrears_months=1,3.00,
    IF(arrears_months=2,5.00,
    IF(arrears_months=3,8.00,
    IF(arrears_months=4,10.00,
    IF(arrears_months=5,12.00,15.00)))))))</f>
        <v/>
      </c>
      <c r="M4412">
        <f>LET(
    seasoning_years,DATEDIF('Loan Tape (S&amp;P)'!K4412,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12">
        <f>IF(AND('Loan Tape (S&amp;P)'!U4412="Yes",
        'Loan Tape (S&amp;P)'!T4412&lt;&gt;"Yes",
        DATEDIF('Loan Tape (S&amp;P)'!K4412, TODAY(), "M")&lt;18),
    1.10,
    1.00)</f>
        <v/>
      </c>
      <c r="O4412">
        <f>IF('Loan Tape (S&amp;P)'!T4412="Yes",
    1.35,
    1.00)</f>
        <v/>
      </c>
      <c r="P4412">
        <f>IF('Loan Tape (S&amp;P)'!S4412="Yes",
    1.15,
    1.00)</f>
        <v/>
      </c>
      <c r="Q4412">
        <f>IF('Loan Tape (S&amp;P)'!V4412="Yes",
    1.20,
    1.00)</f>
        <v/>
      </c>
      <c r="T4412">
        <f>LET(
    payment_method,'Loan Tape (S&amp;P)'!P4412,
    occupancy,'Loan Tape (S&amp;P)'!N4412,
    maturity_date,'Loan Tape (S&amp;P)'!L4412,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13">
      <c r="J4413">
        <f>LET(
    lien,'Loan Tape (S&amp;P)'!Q4413,
    IF(lien="First",1.00,
        IF(lien="Second",1.50,
            1.70)))</f>
        <v/>
      </c>
      <c r="K4413">
        <f>LET(
    purpose,'Loan Tape (S&amp;P)'!R4413,
    IF(purpose="Purchase",1.00,
        IF(purpose="Remortgage",1.00,
            1.20)))</f>
        <v/>
      </c>
      <c r="L4413">
        <f>LET(
    arrears_months,'Loan Tape (S&amp;P)'!AN4413,
    IF(arrears_months=0,1.00,
    IF(arrears_months=1,3.00,
    IF(arrears_months=2,5.00,
    IF(arrears_months=3,8.00,
    IF(arrears_months=4,10.00,
    IF(arrears_months=5,12.00,15.00)))))))</f>
        <v/>
      </c>
      <c r="M4413">
        <f>LET(
    seasoning_years,DATEDIF('Loan Tape (S&amp;P)'!K4413,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13">
        <f>IF(AND('Loan Tape (S&amp;P)'!U4413="Yes",
        'Loan Tape (S&amp;P)'!T4413&lt;&gt;"Yes",
        DATEDIF('Loan Tape (S&amp;P)'!K4413, TODAY(), "M")&lt;18),
    1.10,
    1.00)</f>
        <v/>
      </c>
      <c r="O4413">
        <f>IF('Loan Tape (S&amp;P)'!T4413="Yes",
    1.35,
    1.00)</f>
        <v/>
      </c>
      <c r="P4413">
        <f>IF('Loan Tape (S&amp;P)'!S4413="Yes",
    1.15,
    1.00)</f>
        <v/>
      </c>
      <c r="Q4413">
        <f>IF('Loan Tape (S&amp;P)'!V4413="Yes",
    1.20,
    1.00)</f>
        <v/>
      </c>
      <c r="T4413">
        <f>LET(
    payment_method,'Loan Tape (S&amp;P)'!P4413,
    occupancy,'Loan Tape (S&amp;P)'!N4413,
    maturity_date,'Loan Tape (S&amp;P)'!L4413,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14">
      <c r="J4414">
        <f>LET(
    lien,'Loan Tape (S&amp;P)'!Q4414,
    IF(lien="First",1.00,
        IF(lien="Second",1.50,
            1.70)))</f>
        <v/>
      </c>
      <c r="K4414">
        <f>LET(
    purpose,'Loan Tape (S&amp;P)'!R4414,
    IF(purpose="Purchase",1.00,
        IF(purpose="Remortgage",1.00,
            1.20)))</f>
        <v/>
      </c>
      <c r="L4414">
        <f>LET(
    arrears_months,'Loan Tape (S&amp;P)'!AN4414,
    IF(arrears_months=0,1.00,
    IF(arrears_months=1,3.00,
    IF(arrears_months=2,5.00,
    IF(arrears_months=3,8.00,
    IF(arrears_months=4,10.00,
    IF(arrears_months=5,12.00,15.00)))))))</f>
        <v/>
      </c>
      <c r="M4414">
        <f>LET(
    seasoning_years,DATEDIF('Loan Tape (S&amp;P)'!K4414,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14">
        <f>IF(AND('Loan Tape (S&amp;P)'!U4414="Yes",
        'Loan Tape (S&amp;P)'!T4414&lt;&gt;"Yes",
        DATEDIF('Loan Tape (S&amp;P)'!K4414, TODAY(), "M")&lt;18),
    1.10,
    1.00)</f>
        <v/>
      </c>
      <c r="O4414">
        <f>IF('Loan Tape (S&amp;P)'!T4414="Yes",
    1.35,
    1.00)</f>
        <v/>
      </c>
      <c r="P4414">
        <f>IF('Loan Tape (S&amp;P)'!S4414="Yes",
    1.15,
    1.00)</f>
        <v/>
      </c>
      <c r="Q4414">
        <f>IF('Loan Tape (S&amp;P)'!V4414="Yes",
    1.20,
    1.00)</f>
        <v/>
      </c>
      <c r="T4414">
        <f>LET(
    payment_method,'Loan Tape (S&amp;P)'!P4414,
    occupancy,'Loan Tape (S&amp;P)'!N4414,
    maturity_date,'Loan Tape (S&amp;P)'!L4414,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15">
      <c r="J4415">
        <f>LET(
    lien,'Loan Tape (S&amp;P)'!Q4415,
    IF(lien="First",1.00,
        IF(lien="Second",1.50,
            1.70)))</f>
        <v/>
      </c>
      <c r="K4415">
        <f>LET(
    purpose,'Loan Tape (S&amp;P)'!R4415,
    IF(purpose="Purchase",1.00,
        IF(purpose="Remortgage",1.00,
            1.20)))</f>
        <v/>
      </c>
      <c r="L4415">
        <f>LET(
    arrears_months,'Loan Tape (S&amp;P)'!AN4415,
    IF(arrears_months=0,1.00,
    IF(arrears_months=1,3.00,
    IF(arrears_months=2,5.00,
    IF(arrears_months=3,8.00,
    IF(arrears_months=4,10.00,
    IF(arrears_months=5,12.00,15.00)))))))</f>
        <v/>
      </c>
      <c r="M4415">
        <f>LET(
    seasoning_years,DATEDIF('Loan Tape (S&amp;P)'!K4415,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15">
        <f>IF(AND('Loan Tape (S&amp;P)'!U4415="Yes",
        'Loan Tape (S&amp;P)'!T4415&lt;&gt;"Yes",
        DATEDIF('Loan Tape (S&amp;P)'!K4415, TODAY(), "M")&lt;18),
    1.10,
    1.00)</f>
        <v/>
      </c>
      <c r="O4415">
        <f>IF('Loan Tape (S&amp;P)'!T4415="Yes",
    1.35,
    1.00)</f>
        <v/>
      </c>
      <c r="P4415">
        <f>IF('Loan Tape (S&amp;P)'!S4415="Yes",
    1.15,
    1.00)</f>
        <v/>
      </c>
      <c r="Q4415">
        <f>IF('Loan Tape (S&amp;P)'!V4415="Yes",
    1.20,
    1.00)</f>
        <v/>
      </c>
      <c r="T4415">
        <f>LET(
    payment_method,'Loan Tape (S&amp;P)'!P4415,
    occupancy,'Loan Tape (S&amp;P)'!N4415,
    maturity_date,'Loan Tape (S&amp;P)'!L4415,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16">
      <c r="J4416">
        <f>LET(
    lien,'Loan Tape (S&amp;P)'!Q4416,
    IF(lien="First",1.00,
        IF(lien="Second",1.50,
            1.70)))</f>
        <v/>
      </c>
      <c r="K4416">
        <f>LET(
    purpose,'Loan Tape (S&amp;P)'!R4416,
    IF(purpose="Purchase",1.00,
        IF(purpose="Remortgage",1.00,
            1.20)))</f>
        <v/>
      </c>
      <c r="L4416">
        <f>LET(
    arrears_months,'Loan Tape (S&amp;P)'!AN4416,
    IF(arrears_months=0,1.00,
    IF(arrears_months=1,3.00,
    IF(arrears_months=2,5.00,
    IF(arrears_months=3,8.00,
    IF(arrears_months=4,10.00,
    IF(arrears_months=5,12.00,15.00)))))))</f>
        <v/>
      </c>
      <c r="M4416">
        <f>LET(
    seasoning_years,DATEDIF('Loan Tape (S&amp;P)'!K4416,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16">
        <f>IF(AND('Loan Tape (S&amp;P)'!U4416="Yes",
        'Loan Tape (S&amp;P)'!T4416&lt;&gt;"Yes",
        DATEDIF('Loan Tape (S&amp;P)'!K4416, TODAY(), "M")&lt;18),
    1.10,
    1.00)</f>
        <v/>
      </c>
      <c r="O4416">
        <f>IF('Loan Tape (S&amp;P)'!T4416="Yes",
    1.35,
    1.00)</f>
        <v/>
      </c>
      <c r="P4416">
        <f>IF('Loan Tape (S&amp;P)'!S4416="Yes",
    1.15,
    1.00)</f>
        <v/>
      </c>
      <c r="Q4416">
        <f>IF('Loan Tape (S&amp;P)'!V4416="Yes",
    1.20,
    1.00)</f>
        <v/>
      </c>
      <c r="T4416">
        <f>LET(
    payment_method,'Loan Tape (S&amp;P)'!P4416,
    occupancy,'Loan Tape (S&amp;P)'!N4416,
    maturity_date,'Loan Tape (S&amp;P)'!L4416,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17">
      <c r="J4417">
        <f>LET(
    lien,'Loan Tape (S&amp;P)'!Q4417,
    IF(lien="First",1.00,
        IF(lien="Second",1.50,
            1.70)))</f>
        <v/>
      </c>
      <c r="K4417">
        <f>LET(
    purpose,'Loan Tape (S&amp;P)'!R4417,
    IF(purpose="Purchase",1.00,
        IF(purpose="Remortgage",1.00,
            1.20)))</f>
        <v/>
      </c>
      <c r="L4417">
        <f>LET(
    arrears_months,'Loan Tape (S&amp;P)'!AN4417,
    IF(arrears_months=0,1.00,
    IF(arrears_months=1,3.00,
    IF(arrears_months=2,5.00,
    IF(arrears_months=3,8.00,
    IF(arrears_months=4,10.00,
    IF(arrears_months=5,12.00,15.00)))))))</f>
        <v/>
      </c>
      <c r="M4417">
        <f>LET(
    seasoning_years,DATEDIF('Loan Tape (S&amp;P)'!K4417,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17">
        <f>IF(AND('Loan Tape (S&amp;P)'!U4417="Yes",
        'Loan Tape (S&amp;P)'!T4417&lt;&gt;"Yes",
        DATEDIF('Loan Tape (S&amp;P)'!K4417, TODAY(), "M")&lt;18),
    1.10,
    1.00)</f>
        <v/>
      </c>
      <c r="O4417">
        <f>IF('Loan Tape (S&amp;P)'!T4417="Yes",
    1.35,
    1.00)</f>
        <v/>
      </c>
      <c r="P4417">
        <f>IF('Loan Tape (S&amp;P)'!S4417="Yes",
    1.15,
    1.00)</f>
        <v/>
      </c>
      <c r="Q4417">
        <f>IF('Loan Tape (S&amp;P)'!V4417="Yes",
    1.20,
    1.00)</f>
        <v/>
      </c>
      <c r="T4417">
        <f>LET(
    payment_method,'Loan Tape (S&amp;P)'!P4417,
    occupancy,'Loan Tape (S&amp;P)'!N4417,
    maturity_date,'Loan Tape (S&amp;P)'!L4417,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18">
      <c r="J4418">
        <f>LET(
    lien,'Loan Tape (S&amp;P)'!Q4418,
    IF(lien="First",1.00,
        IF(lien="Second",1.50,
            1.70)))</f>
        <v/>
      </c>
      <c r="K4418">
        <f>LET(
    purpose,'Loan Tape (S&amp;P)'!R4418,
    IF(purpose="Purchase",1.00,
        IF(purpose="Remortgage",1.00,
            1.20)))</f>
        <v/>
      </c>
      <c r="L4418">
        <f>LET(
    arrears_months,'Loan Tape (S&amp;P)'!AN4418,
    IF(arrears_months=0,1.00,
    IF(arrears_months=1,3.00,
    IF(arrears_months=2,5.00,
    IF(arrears_months=3,8.00,
    IF(arrears_months=4,10.00,
    IF(arrears_months=5,12.00,15.00)))))))</f>
        <v/>
      </c>
      <c r="M4418">
        <f>LET(
    seasoning_years,DATEDIF('Loan Tape (S&amp;P)'!K4418,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18">
        <f>IF(AND('Loan Tape (S&amp;P)'!U4418="Yes",
        'Loan Tape (S&amp;P)'!T4418&lt;&gt;"Yes",
        DATEDIF('Loan Tape (S&amp;P)'!K4418, TODAY(), "M")&lt;18),
    1.10,
    1.00)</f>
        <v/>
      </c>
      <c r="O4418">
        <f>IF('Loan Tape (S&amp;P)'!T4418="Yes",
    1.35,
    1.00)</f>
        <v/>
      </c>
      <c r="P4418">
        <f>IF('Loan Tape (S&amp;P)'!S4418="Yes",
    1.15,
    1.00)</f>
        <v/>
      </c>
      <c r="Q4418">
        <f>IF('Loan Tape (S&amp;P)'!V4418="Yes",
    1.20,
    1.00)</f>
        <v/>
      </c>
      <c r="T4418">
        <f>LET(
    payment_method,'Loan Tape (S&amp;P)'!P4418,
    occupancy,'Loan Tape (S&amp;P)'!N4418,
    maturity_date,'Loan Tape (S&amp;P)'!L4418,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19">
      <c r="J4419">
        <f>LET(
    lien,'Loan Tape (S&amp;P)'!Q4419,
    IF(lien="First",1.00,
        IF(lien="Second",1.50,
            1.70)))</f>
        <v/>
      </c>
      <c r="K4419">
        <f>LET(
    purpose,'Loan Tape (S&amp;P)'!R4419,
    IF(purpose="Purchase",1.00,
        IF(purpose="Remortgage",1.00,
            1.20)))</f>
        <v/>
      </c>
      <c r="L4419">
        <f>LET(
    arrears_months,'Loan Tape (S&amp;P)'!AN4419,
    IF(arrears_months=0,1.00,
    IF(arrears_months=1,3.00,
    IF(arrears_months=2,5.00,
    IF(arrears_months=3,8.00,
    IF(arrears_months=4,10.00,
    IF(arrears_months=5,12.00,15.00)))))))</f>
        <v/>
      </c>
      <c r="M4419">
        <f>LET(
    seasoning_years,DATEDIF('Loan Tape (S&amp;P)'!K4419,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19">
        <f>IF(AND('Loan Tape (S&amp;P)'!U4419="Yes",
        'Loan Tape (S&amp;P)'!T4419&lt;&gt;"Yes",
        DATEDIF('Loan Tape (S&amp;P)'!K4419, TODAY(), "M")&lt;18),
    1.10,
    1.00)</f>
        <v/>
      </c>
      <c r="O4419">
        <f>IF('Loan Tape (S&amp;P)'!T4419="Yes",
    1.35,
    1.00)</f>
        <v/>
      </c>
      <c r="P4419">
        <f>IF('Loan Tape (S&amp;P)'!S4419="Yes",
    1.15,
    1.00)</f>
        <v/>
      </c>
      <c r="Q4419">
        <f>IF('Loan Tape (S&amp;P)'!V4419="Yes",
    1.20,
    1.00)</f>
        <v/>
      </c>
      <c r="T4419">
        <f>LET(
    payment_method,'Loan Tape (S&amp;P)'!P4419,
    occupancy,'Loan Tape (S&amp;P)'!N4419,
    maturity_date,'Loan Tape (S&amp;P)'!L4419,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20">
      <c r="J4420">
        <f>LET(
    lien,'Loan Tape (S&amp;P)'!Q4420,
    IF(lien="First",1.00,
        IF(lien="Second",1.50,
            1.70)))</f>
        <v/>
      </c>
      <c r="K4420">
        <f>LET(
    purpose,'Loan Tape (S&amp;P)'!R4420,
    IF(purpose="Purchase",1.00,
        IF(purpose="Remortgage",1.00,
            1.20)))</f>
        <v/>
      </c>
      <c r="L4420">
        <f>LET(
    arrears_months,'Loan Tape (S&amp;P)'!AN4420,
    IF(arrears_months=0,1.00,
    IF(arrears_months=1,3.00,
    IF(arrears_months=2,5.00,
    IF(arrears_months=3,8.00,
    IF(arrears_months=4,10.00,
    IF(arrears_months=5,12.00,15.00)))))))</f>
        <v/>
      </c>
      <c r="M4420">
        <f>LET(
    seasoning_years,DATEDIF('Loan Tape (S&amp;P)'!K4420,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20">
        <f>IF(AND('Loan Tape (S&amp;P)'!U4420="Yes",
        'Loan Tape (S&amp;P)'!T4420&lt;&gt;"Yes",
        DATEDIF('Loan Tape (S&amp;P)'!K4420, TODAY(), "M")&lt;18),
    1.10,
    1.00)</f>
        <v/>
      </c>
      <c r="O4420">
        <f>IF('Loan Tape (S&amp;P)'!T4420="Yes",
    1.35,
    1.00)</f>
        <v/>
      </c>
      <c r="P4420">
        <f>IF('Loan Tape (S&amp;P)'!S4420="Yes",
    1.15,
    1.00)</f>
        <v/>
      </c>
      <c r="Q4420">
        <f>IF('Loan Tape (S&amp;P)'!V4420="Yes",
    1.20,
    1.00)</f>
        <v/>
      </c>
      <c r="T4420">
        <f>LET(
    payment_method,'Loan Tape (S&amp;P)'!P4420,
    occupancy,'Loan Tape (S&amp;P)'!N4420,
    maturity_date,'Loan Tape (S&amp;P)'!L4420,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21">
      <c r="J4421">
        <f>LET(
    lien,'Loan Tape (S&amp;P)'!Q4421,
    IF(lien="First",1.00,
        IF(lien="Second",1.50,
            1.70)))</f>
        <v/>
      </c>
      <c r="K4421">
        <f>LET(
    purpose,'Loan Tape (S&amp;P)'!R4421,
    IF(purpose="Purchase",1.00,
        IF(purpose="Remortgage",1.00,
            1.20)))</f>
        <v/>
      </c>
      <c r="L4421">
        <f>LET(
    arrears_months,'Loan Tape (S&amp;P)'!AN4421,
    IF(arrears_months=0,1.00,
    IF(arrears_months=1,3.00,
    IF(arrears_months=2,5.00,
    IF(arrears_months=3,8.00,
    IF(arrears_months=4,10.00,
    IF(arrears_months=5,12.00,15.00)))))))</f>
        <v/>
      </c>
      <c r="M4421">
        <f>LET(
    seasoning_years,DATEDIF('Loan Tape (S&amp;P)'!K4421,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21">
        <f>IF(AND('Loan Tape (S&amp;P)'!U4421="Yes",
        'Loan Tape (S&amp;P)'!T4421&lt;&gt;"Yes",
        DATEDIF('Loan Tape (S&amp;P)'!K4421, TODAY(), "M")&lt;18),
    1.10,
    1.00)</f>
        <v/>
      </c>
      <c r="O4421">
        <f>IF('Loan Tape (S&amp;P)'!T4421="Yes",
    1.35,
    1.00)</f>
        <v/>
      </c>
      <c r="P4421">
        <f>IF('Loan Tape (S&amp;P)'!S4421="Yes",
    1.15,
    1.00)</f>
        <v/>
      </c>
      <c r="Q4421">
        <f>IF('Loan Tape (S&amp;P)'!V4421="Yes",
    1.20,
    1.00)</f>
        <v/>
      </c>
      <c r="T4421">
        <f>LET(
    payment_method,'Loan Tape (S&amp;P)'!P4421,
    occupancy,'Loan Tape (S&amp;P)'!N4421,
    maturity_date,'Loan Tape (S&amp;P)'!L4421,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22">
      <c r="J4422">
        <f>LET(
    lien,'Loan Tape (S&amp;P)'!Q4422,
    IF(lien="First",1.00,
        IF(lien="Second",1.50,
            1.70)))</f>
        <v/>
      </c>
      <c r="K4422">
        <f>LET(
    purpose,'Loan Tape (S&amp;P)'!R4422,
    IF(purpose="Purchase",1.00,
        IF(purpose="Remortgage",1.00,
            1.20)))</f>
        <v/>
      </c>
      <c r="L4422">
        <f>LET(
    arrears_months,'Loan Tape (S&amp;P)'!AN4422,
    IF(arrears_months=0,1.00,
    IF(arrears_months=1,3.00,
    IF(arrears_months=2,5.00,
    IF(arrears_months=3,8.00,
    IF(arrears_months=4,10.00,
    IF(arrears_months=5,12.00,15.00)))))))</f>
        <v/>
      </c>
      <c r="M4422">
        <f>LET(
    seasoning_years,DATEDIF('Loan Tape (S&amp;P)'!K4422,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22">
        <f>IF(AND('Loan Tape (S&amp;P)'!U4422="Yes",
        'Loan Tape (S&amp;P)'!T4422&lt;&gt;"Yes",
        DATEDIF('Loan Tape (S&amp;P)'!K4422, TODAY(), "M")&lt;18),
    1.10,
    1.00)</f>
        <v/>
      </c>
      <c r="O4422">
        <f>IF('Loan Tape (S&amp;P)'!T4422="Yes",
    1.35,
    1.00)</f>
        <v/>
      </c>
      <c r="P4422">
        <f>IF('Loan Tape (S&amp;P)'!S4422="Yes",
    1.15,
    1.00)</f>
        <v/>
      </c>
      <c r="Q4422">
        <f>IF('Loan Tape (S&amp;P)'!V4422="Yes",
    1.20,
    1.00)</f>
        <v/>
      </c>
      <c r="T4422">
        <f>LET(
    payment_method,'Loan Tape (S&amp;P)'!P4422,
    occupancy,'Loan Tape (S&amp;P)'!N4422,
    maturity_date,'Loan Tape (S&amp;P)'!L4422,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23">
      <c r="J4423">
        <f>LET(
    lien,'Loan Tape (S&amp;P)'!Q4423,
    IF(lien="First",1.00,
        IF(lien="Second",1.50,
            1.70)))</f>
        <v/>
      </c>
      <c r="K4423">
        <f>LET(
    purpose,'Loan Tape (S&amp;P)'!R4423,
    IF(purpose="Purchase",1.00,
        IF(purpose="Remortgage",1.00,
            1.20)))</f>
        <v/>
      </c>
      <c r="L4423">
        <f>LET(
    arrears_months,'Loan Tape (S&amp;P)'!AN4423,
    IF(arrears_months=0,1.00,
    IF(arrears_months=1,3.00,
    IF(arrears_months=2,5.00,
    IF(arrears_months=3,8.00,
    IF(arrears_months=4,10.00,
    IF(arrears_months=5,12.00,15.00)))))))</f>
        <v/>
      </c>
      <c r="M4423">
        <f>LET(
    seasoning_years,DATEDIF('Loan Tape (S&amp;P)'!K4423,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23">
        <f>IF(AND('Loan Tape (S&amp;P)'!U4423="Yes",
        'Loan Tape (S&amp;P)'!T4423&lt;&gt;"Yes",
        DATEDIF('Loan Tape (S&amp;P)'!K4423, TODAY(), "M")&lt;18),
    1.10,
    1.00)</f>
        <v/>
      </c>
      <c r="O4423">
        <f>IF('Loan Tape (S&amp;P)'!T4423="Yes",
    1.35,
    1.00)</f>
        <v/>
      </c>
      <c r="P4423">
        <f>IF('Loan Tape (S&amp;P)'!S4423="Yes",
    1.15,
    1.00)</f>
        <v/>
      </c>
      <c r="Q4423">
        <f>IF('Loan Tape (S&amp;P)'!V4423="Yes",
    1.20,
    1.00)</f>
        <v/>
      </c>
      <c r="T4423">
        <f>LET(
    payment_method,'Loan Tape (S&amp;P)'!P4423,
    occupancy,'Loan Tape (S&amp;P)'!N4423,
    maturity_date,'Loan Tape (S&amp;P)'!L4423,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24">
      <c r="J4424">
        <f>LET(
    lien,'Loan Tape (S&amp;P)'!Q4424,
    IF(lien="First",1.00,
        IF(lien="Second",1.50,
            1.70)))</f>
        <v/>
      </c>
      <c r="K4424">
        <f>LET(
    purpose,'Loan Tape (S&amp;P)'!R4424,
    IF(purpose="Purchase",1.00,
        IF(purpose="Remortgage",1.00,
            1.20)))</f>
        <v/>
      </c>
      <c r="L4424">
        <f>LET(
    arrears_months,'Loan Tape (S&amp;P)'!AN4424,
    IF(arrears_months=0,1.00,
    IF(arrears_months=1,3.00,
    IF(arrears_months=2,5.00,
    IF(arrears_months=3,8.00,
    IF(arrears_months=4,10.00,
    IF(arrears_months=5,12.00,15.00)))))))</f>
        <v/>
      </c>
      <c r="M4424">
        <f>LET(
    seasoning_years,DATEDIF('Loan Tape (S&amp;P)'!K4424,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24">
        <f>IF(AND('Loan Tape (S&amp;P)'!U4424="Yes",
        'Loan Tape (S&amp;P)'!T4424&lt;&gt;"Yes",
        DATEDIF('Loan Tape (S&amp;P)'!K4424, TODAY(), "M")&lt;18),
    1.10,
    1.00)</f>
        <v/>
      </c>
      <c r="O4424">
        <f>IF('Loan Tape (S&amp;P)'!T4424="Yes",
    1.35,
    1.00)</f>
        <v/>
      </c>
      <c r="P4424">
        <f>IF('Loan Tape (S&amp;P)'!S4424="Yes",
    1.15,
    1.00)</f>
        <v/>
      </c>
      <c r="Q4424">
        <f>IF('Loan Tape (S&amp;P)'!V4424="Yes",
    1.20,
    1.00)</f>
        <v/>
      </c>
      <c r="T4424">
        <f>LET(
    payment_method,'Loan Tape (S&amp;P)'!P4424,
    occupancy,'Loan Tape (S&amp;P)'!N4424,
    maturity_date,'Loan Tape (S&amp;P)'!L4424,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25">
      <c r="J4425">
        <f>LET(
    lien,'Loan Tape (S&amp;P)'!Q4425,
    IF(lien="First",1.00,
        IF(lien="Second",1.50,
            1.70)))</f>
        <v/>
      </c>
      <c r="K4425">
        <f>LET(
    purpose,'Loan Tape (S&amp;P)'!R4425,
    IF(purpose="Purchase",1.00,
        IF(purpose="Remortgage",1.00,
            1.20)))</f>
        <v/>
      </c>
      <c r="L4425">
        <f>LET(
    arrears_months,'Loan Tape (S&amp;P)'!AN4425,
    IF(arrears_months=0,1.00,
    IF(arrears_months=1,3.00,
    IF(arrears_months=2,5.00,
    IF(arrears_months=3,8.00,
    IF(arrears_months=4,10.00,
    IF(arrears_months=5,12.00,15.00)))))))</f>
        <v/>
      </c>
      <c r="M4425">
        <f>LET(
    seasoning_years,DATEDIF('Loan Tape (S&amp;P)'!K4425,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25">
        <f>IF(AND('Loan Tape (S&amp;P)'!U4425="Yes",
        'Loan Tape (S&amp;P)'!T4425&lt;&gt;"Yes",
        DATEDIF('Loan Tape (S&amp;P)'!K4425, TODAY(), "M")&lt;18),
    1.10,
    1.00)</f>
        <v/>
      </c>
      <c r="O4425">
        <f>IF('Loan Tape (S&amp;P)'!T4425="Yes",
    1.35,
    1.00)</f>
        <v/>
      </c>
      <c r="P4425">
        <f>IF('Loan Tape (S&amp;P)'!S4425="Yes",
    1.15,
    1.00)</f>
        <v/>
      </c>
      <c r="Q4425">
        <f>IF('Loan Tape (S&amp;P)'!V4425="Yes",
    1.20,
    1.00)</f>
        <v/>
      </c>
      <c r="T4425">
        <f>LET(
    payment_method,'Loan Tape (S&amp;P)'!P4425,
    occupancy,'Loan Tape (S&amp;P)'!N4425,
    maturity_date,'Loan Tape (S&amp;P)'!L4425,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26">
      <c r="J4426">
        <f>LET(
    lien,'Loan Tape (S&amp;P)'!Q4426,
    IF(lien="First",1.00,
        IF(lien="Second",1.50,
            1.70)))</f>
        <v/>
      </c>
      <c r="K4426">
        <f>LET(
    purpose,'Loan Tape (S&amp;P)'!R4426,
    IF(purpose="Purchase",1.00,
        IF(purpose="Remortgage",1.00,
            1.20)))</f>
        <v/>
      </c>
      <c r="L4426">
        <f>LET(
    arrears_months,'Loan Tape (S&amp;P)'!AN4426,
    IF(arrears_months=0,1.00,
    IF(arrears_months=1,3.00,
    IF(arrears_months=2,5.00,
    IF(arrears_months=3,8.00,
    IF(arrears_months=4,10.00,
    IF(arrears_months=5,12.00,15.00)))))))</f>
        <v/>
      </c>
      <c r="M4426">
        <f>LET(
    seasoning_years,DATEDIF('Loan Tape (S&amp;P)'!K4426,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26">
        <f>IF(AND('Loan Tape (S&amp;P)'!U4426="Yes",
        'Loan Tape (S&amp;P)'!T4426&lt;&gt;"Yes",
        DATEDIF('Loan Tape (S&amp;P)'!K4426, TODAY(), "M")&lt;18),
    1.10,
    1.00)</f>
        <v/>
      </c>
      <c r="O4426">
        <f>IF('Loan Tape (S&amp;P)'!T4426="Yes",
    1.35,
    1.00)</f>
        <v/>
      </c>
      <c r="P4426">
        <f>IF('Loan Tape (S&amp;P)'!S4426="Yes",
    1.15,
    1.00)</f>
        <v/>
      </c>
      <c r="Q4426">
        <f>IF('Loan Tape (S&amp;P)'!V4426="Yes",
    1.20,
    1.00)</f>
        <v/>
      </c>
      <c r="T4426">
        <f>LET(
    payment_method,'Loan Tape (S&amp;P)'!P4426,
    occupancy,'Loan Tape (S&amp;P)'!N4426,
    maturity_date,'Loan Tape (S&amp;P)'!L4426,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27">
      <c r="J4427">
        <f>LET(
    lien,'Loan Tape (S&amp;P)'!Q4427,
    IF(lien="First",1.00,
        IF(lien="Second",1.50,
            1.70)))</f>
        <v/>
      </c>
      <c r="K4427">
        <f>LET(
    purpose,'Loan Tape (S&amp;P)'!R4427,
    IF(purpose="Purchase",1.00,
        IF(purpose="Remortgage",1.00,
            1.20)))</f>
        <v/>
      </c>
      <c r="L4427">
        <f>LET(
    arrears_months,'Loan Tape (S&amp;P)'!AN4427,
    IF(arrears_months=0,1.00,
    IF(arrears_months=1,3.00,
    IF(arrears_months=2,5.00,
    IF(arrears_months=3,8.00,
    IF(arrears_months=4,10.00,
    IF(arrears_months=5,12.00,15.00)))))))</f>
        <v/>
      </c>
      <c r="M4427">
        <f>LET(
    seasoning_years,DATEDIF('Loan Tape (S&amp;P)'!K4427,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27">
        <f>IF(AND('Loan Tape (S&amp;P)'!U4427="Yes",
        'Loan Tape (S&amp;P)'!T4427&lt;&gt;"Yes",
        DATEDIF('Loan Tape (S&amp;P)'!K4427, TODAY(), "M")&lt;18),
    1.10,
    1.00)</f>
        <v/>
      </c>
      <c r="O4427">
        <f>IF('Loan Tape (S&amp;P)'!T4427="Yes",
    1.35,
    1.00)</f>
        <v/>
      </c>
      <c r="P4427">
        <f>IF('Loan Tape (S&amp;P)'!S4427="Yes",
    1.15,
    1.00)</f>
        <v/>
      </c>
      <c r="Q4427">
        <f>IF('Loan Tape (S&amp;P)'!V4427="Yes",
    1.20,
    1.00)</f>
        <v/>
      </c>
      <c r="T4427">
        <f>LET(
    payment_method,'Loan Tape (S&amp;P)'!P4427,
    occupancy,'Loan Tape (S&amp;P)'!N4427,
    maturity_date,'Loan Tape (S&amp;P)'!L4427,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28">
      <c r="J4428">
        <f>LET(
    lien,'Loan Tape (S&amp;P)'!Q4428,
    IF(lien="First",1.00,
        IF(lien="Second",1.50,
            1.70)))</f>
        <v/>
      </c>
      <c r="K4428">
        <f>LET(
    purpose,'Loan Tape (S&amp;P)'!R4428,
    IF(purpose="Purchase",1.00,
        IF(purpose="Remortgage",1.00,
            1.20)))</f>
        <v/>
      </c>
      <c r="L4428">
        <f>LET(
    arrears_months,'Loan Tape (S&amp;P)'!AN4428,
    IF(arrears_months=0,1.00,
    IF(arrears_months=1,3.00,
    IF(arrears_months=2,5.00,
    IF(arrears_months=3,8.00,
    IF(arrears_months=4,10.00,
    IF(arrears_months=5,12.00,15.00)))))))</f>
        <v/>
      </c>
      <c r="M4428">
        <f>LET(
    seasoning_years,DATEDIF('Loan Tape (S&amp;P)'!K4428,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28">
        <f>IF(AND('Loan Tape (S&amp;P)'!U4428="Yes",
        'Loan Tape (S&amp;P)'!T4428&lt;&gt;"Yes",
        DATEDIF('Loan Tape (S&amp;P)'!K4428, TODAY(), "M")&lt;18),
    1.10,
    1.00)</f>
        <v/>
      </c>
      <c r="O4428">
        <f>IF('Loan Tape (S&amp;P)'!T4428="Yes",
    1.35,
    1.00)</f>
        <v/>
      </c>
      <c r="P4428">
        <f>IF('Loan Tape (S&amp;P)'!S4428="Yes",
    1.15,
    1.00)</f>
        <v/>
      </c>
      <c r="Q4428">
        <f>IF('Loan Tape (S&amp;P)'!V4428="Yes",
    1.20,
    1.00)</f>
        <v/>
      </c>
      <c r="T4428">
        <f>LET(
    payment_method,'Loan Tape (S&amp;P)'!P4428,
    occupancy,'Loan Tape (S&amp;P)'!N4428,
    maturity_date,'Loan Tape (S&amp;P)'!L4428,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29">
      <c r="J4429">
        <f>LET(
    lien,'Loan Tape (S&amp;P)'!Q4429,
    IF(lien="First",1.00,
        IF(lien="Second",1.50,
            1.70)))</f>
        <v/>
      </c>
      <c r="K4429">
        <f>LET(
    purpose,'Loan Tape (S&amp;P)'!R4429,
    IF(purpose="Purchase",1.00,
        IF(purpose="Remortgage",1.00,
            1.20)))</f>
        <v/>
      </c>
      <c r="L4429">
        <f>LET(
    arrears_months,'Loan Tape (S&amp;P)'!AN4429,
    IF(arrears_months=0,1.00,
    IF(arrears_months=1,3.00,
    IF(arrears_months=2,5.00,
    IF(arrears_months=3,8.00,
    IF(arrears_months=4,10.00,
    IF(arrears_months=5,12.00,15.00)))))))</f>
        <v/>
      </c>
      <c r="M4429">
        <f>LET(
    seasoning_years,DATEDIF('Loan Tape (S&amp;P)'!K4429,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29">
        <f>IF(AND('Loan Tape (S&amp;P)'!U4429="Yes",
        'Loan Tape (S&amp;P)'!T4429&lt;&gt;"Yes",
        DATEDIF('Loan Tape (S&amp;P)'!K4429, TODAY(), "M")&lt;18),
    1.10,
    1.00)</f>
        <v/>
      </c>
      <c r="O4429">
        <f>IF('Loan Tape (S&amp;P)'!T4429="Yes",
    1.35,
    1.00)</f>
        <v/>
      </c>
      <c r="P4429">
        <f>IF('Loan Tape (S&amp;P)'!S4429="Yes",
    1.15,
    1.00)</f>
        <v/>
      </c>
      <c r="Q4429">
        <f>IF('Loan Tape (S&amp;P)'!V4429="Yes",
    1.20,
    1.00)</f>
        <v/>
      </c>
      <c r="T4429">
        <f>LET(
    payment_method,'Loan Tape (S&amp;P)'!P4429,
    occupancy,'Loan Tape (S&amp;P)'!N4429,
    maturity_date,'Loan Tape (S&amp;P)'!L4429,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30">
      <c r="J4430">
        <f>LET(
    lien,'Loan Tape (S&amp;P)'!Q4430,
    IF(lien="First",1.00,
        IF(lien="Second",1.50,
            1.70)))</f>
        <v/>
      </c>
      <c r="K4430">
        <f>LET(
    purpose,'Loan Tape (S&amp;P)'!R4430,
    IF(purpose="Purchase",1.00,
        IF(purpose="Remortgage",1.00,
            1.20)))</f>
        <v/>
      </c>
      <c r="L4430">
        <f>LET(
    arrears_months,'Loan Tape (S&amp;P)'!AN4430,
    IF(arrears_months=0,1.00,
    IF(arrears_months=1,3.00,
    IF(arrears_months=2,5.00,
    IF(arrears_months=3,8.00,
    IF(arrears_months=4,10.00,
    IF(arrears_months=5,12.00,15.00)))))))</f>
        <v/>
      </c>
      <c r="M4430">
        <f>LET(
    seasoning_years,DATEDIF('Loan Tape (S&amp;P)'!K4430,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30">
        <f>IF(AND('Loan Tape (S&amp;P)'!U4430="Yes",
        'Loan Tape (S&amp;P)'!T4430&lt;&gt;"Yes",
        DATEDIF('Loan Tape (S&amp;P)'!K4430, TODAY(), "M")&lt;18),
    1.10,
    1.00)</f>
        <v/>
      </c>
      <c r="O4430">
        <f>IF('Loan Tape (S&amp;P)'!T4430="Yes",
    1.35,
    1.00)</f>
        <v/>
      </c>
      <c r="P4430">
        <f>IF('Loan Tape (S&amp;P)'!S4430="Yes",
    1.15,
    1.00)</f>
        <v/>
      </c>
      <c r="Q4430">
        <f>IF('Loan Tape (S&amp;P)'!V4430="Yes",
    1.20,
    1.00)</f>
        <v/>
      </c>
      <c r="T4430">
        <f>LET(
    payment_method,'Loan Tape (S&amp;P)'!P4430,
    occupancy,'Loan Tape (S&amp;P)'!N4430,
    maturity_date,'Loan Tape (S&amp;P)'!L4430,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31">
      <c r="J4431">
        <f>LET(
    lien,'Loan Tape (S&amp;P)'!Q4431,
    IF(lien="First",1.00,
        IF(lien="Second",1.50,
            1.70)))</f>
        <v/>
      </c>
      <c r="K4431">
        <f>LET(
    purpose,'Loan Tape (S&amp;P)'!R4431,
    IF(purpose="Purchase",1.00,
        IF(purpose="Remortgage",1.00,
            1.20)))</f>
        <v/>
      </c>
      <c r="L4431">
        <f>LET(
    arrears_months,'Loan Tape (S&amp;P)'!AN4431,
    IF(arrears_months=0,1.00,
    IF(arrears_months=1,3.00,
    IF(arrears_months=2,5.00,
    IF(arrears_months=3,8.00,
    IF(arrears_months=4,10.00,
    IF(arrears_months=5,12.00,15.00)))))))</f>
        <v/>
      </c>
      <c r="M4431">
        <f>LET(
    seasoning_years,DATEDIF('Loan Tape (S&amp;P)'!K4431,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31">
        <f>IF(AND('Loan Tape (S&amp;P)'!U4431="Yes",
        'Loan Tape (S&amp;P)'!T4431&lt;&gt;"Yes",
        DATEDIF('Loan Tape (S&amp;P)'!K4431, TODAY(), "M")&lt;18),
    1.10,
    1.00)</f>
        <v/>
      </c>
      <c r="O4431">
        <f>IF('Loan Tape (S&amp;P)'!T4431="Yes",
    1.35,
    1.00)</f>
        <v/>
      </c>
      <c r="P4431">
        <f>IF('Loan Tape (S&amp;P)'!S4431="Yes",
    1.15,
    1.00)</f>
        <v/>
      </c>
      <c r="Q4431">
        <f>IF('Loan Tape (S&amp;P)'!V4431="Yes",
    1.20,
    1.00)</f>
        <v/>
      </c>
      <c r="T4431">
        <f>LET(
    payment_method,'Loan Tape (S&amp;P)'!P4431,
    occupancy,'Loan Tape (S&amp;P)'!N4431,
    maturity_date,'Loan Tape (S&amp;P)'!L4431,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32">
      <c r="J4432">
        <f>LET(
    lien,'Loan Tape (S&amp;P)'!Q4432,
    IF(lien="First",1.00,
        IF(lien="Second",1.50,
            1.70)))</f>
        <v/>
      </c>
      <c r="K4432">
        <f>LET(
    purpose,'Loan Tape (S&amp;P)'!R4432,
    IF(purpose="Purchase",1.00,
        IF(purpose="Remortgage",1.00,
            1.20)))</f>
        <v/>
      </c>
      <c r="L4432">
        <f>LET(
    arrears_months,'Loan Tape (S&amp;P)'!AN4432,
    IF(arrears_months=0,1.00,
    IF(arrears_months=1,3.00,
    IF(arrears_months=2,5.00,
    IF(arrears_months=3,8.00,
    IF(arrears_months=4,10.00,
    IF(arrears_months=5,12.00,15.00)))))))</f>
        <v/>
      </c>
      <c r="M4432">
        <f>LET(
    seasoning_years,DATEDIF('Loan Tape (S&amp;P)'!K4432,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32">
        <f>IF(AND('Loan Tape (S&amp;P)'!U4432="Yes",
        'Loan Tape (S&amp;P)'!T4432&lt;&gt;"Yes",
        DATEDIF('Loan Tape (S&amp;P)'!K4432, TODAY(), "M")&lt;18),
    1.10,
    1.00)</f>
        <v/>
      </c>
      <c r="O4432">
        <f>IF('Loan Tape (S&amp;P)'!T4432="Yes",
    1.35,
    1.00)</f>
        <v/>
      </c>
      <c r="P4432">
        <f>IF('Loan Tape (S&amp;P)'!S4432="Yes",
    1.15,
    1.00)</f>
        <v/>
      </c>
      <c r="Q4432">
        <f>IF('Loan Tape (S&amp;P)'!V4432="Yes",
    1.20,
    1.00)</f>
        <v/>
      </c>
      <c r="T4432">
        <f>LET(
    payment_method,'Loan Tape (S&amp;P)'!P4432,
    occupancy,'Loan Tape (S&amp;P)'!N4432,
    maturity_date,'Loan Tape (S&amp;P)'!L4432,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33">
      <c r="J4433">
        <f>LET(
    lien,'Loan Tape (S&amp;P)'!Q4433,
    IF(lien="First",1.00,
        IF(lien="Second",1.50,
            1.70)))</f>
        <v/>
      </c>
      <c r="K4433">
        <f>LET(
    purpose,'Loan Tape (S&amp;P)'!R4433,
    IF(purpose="Purchase",1.00,
        IF(purpose="Remortgage",1.00,
            1.20)))</f>
        <v/>
      </c>
      <c r="L4433">
        <f>LET(
    arrears_months,'Loan Tape (S&amp;P)'!AN4433,
    IF(arrears_months=0,1.00,
    IF(arrears_months=1,3.00,
    IF(arrears_months=2,5.00,
    IF(arrears_months=3,8.00,
    IF(arrears_months=4,10.00,
    IF(arrears_months=5,12.00,15.00)))))))</f>
        <v/>
      </c>
      <c r="M4433">
        <f>LET(
    seasoning_years,DATEDIF('Loan Tape (S&amp;P)'!K4433,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33">
        <f>IF(AND('Loan Tape (S&amp;P)'!U4433="Yes",
        'Loan Tape (S&amp;P)'!T4433&lt;&gt;"Yes",
        DATEDIF('Loan Tape (S&amp;P)'!K4433, TODAY(), "M")&lt;18),
    1.10,
    1.00)</f>
        <v/>
      </c>
      <c r="O4433">
        <f>IF('Loan Tape (S&amp;P)'!T4433="Yes",
    1.35,
    1.00)</f>
        <v/>
      </c>
      <c r="P4433">
        <f>IF('Loan Tape (S&amp;P)'!S4433="Yes",
    1.15,
    1.00)</f>
        <v/>
      </c>
      <c r="Q4433">
        <f>IF('Loan Tape (S&amp;P)'!V4433="Yes",
    1.20,
    1.00)</f>
        <v/>
      </c>
      <c r="T4433">
        <f>LET(
    payment_method,'Loan Tape (S&amp;P)'!P4433,
    occupancy,'Loan Tape (S&amp;P)'!N4433,
    maturity_date,'Loan Tape (S&amp;P)'!L4433,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34">
      <c r="J4434">
        <f>LET(
    lien,'Loan Tape (S&amp;P)'!Q4434,
    IF(lien="First",1.00,
        IF(lien="Second",1.50,
            1.70)))</f>
        <v/>
      </c>
      <c r="K4434">
        <f>LET(
    purpose,'Loan Tape (S&amp;P)'!R4434,
    IF(purpose="Purchase",1.00,
        IF(purpose="Remortgage",1.00,
            1.20)))</f>
        <v/>
      </c>
      <c r="L4434">
        <f>LET(
    arrears_months,'Loan Tape (S&amp;P)'!AN4434,
    IF(arrears_months=0,1.00,
    IF(arrears_months=1,3.00,
    IF(arrears_months=2,5.00,
    IF(arrears_months=3,8.00,
    IF(arrears_months=4,10.00,
    IF(arrears_months=5,12.00,15.00)))))))</f>
        <v/>
      </c>
      <c r="M4434">
        <f>LET(
    seasoning_years,DATEDIF('Loan Tape (S&amp;P)'!K4434,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34">
        <f>IF(AND('Loan Tape (S&amp;P)'!U4434="Yes",
        'Loan Tape (S&amp;P)'!T4434&lt;&gt;"Yes",
        DATEDIF('Loan Tape (S&amp;P)'!K4434, TODAY(), "M")&lt;18),
    1.10,
    1.00)</f>
        <v/>
      </c>
      <c r="O4434">
        <f>IF('Loan Tape (S&amp;P)'!T4434="Yes",
    1.35,
    1.00)</f>
        <v/>
      </c>
      <c r="P4434">
        <f>IF('Loan Tape (S&amp;P)'!S4434="Yes",
    1.15,
    1.00)</f>
        <v/>
      </c>
      <c r="Q4434">
        <f>IF('Loan Tape (S&amp;P)'!V4434="Yes",
    1.20,
    1.00)</f>
        <v/>
      </c>
      <c r="T4434">
        <f>LET(
    payment_method,'Loan Tape (S&amp;P)'!P4434,
    occupancy,'Loan Tape (S&amp;P)'!N4434,
    maturity_date,'Loan Tape (S&amp;P)'!L4434,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35">
      <c r="J4435">
        <f>LET(
    lien,'Loan Tape (S&amp;P)'!Q4435,
    IF(lien="First",1.00,
        IF(lien="Second",1.50,
            1.70)))</f>
        <v/>
      </c>
      <c r="K4435">
        <f>LET(
    purpose,'Loan Tape (S&amp;P)'!R4435,
    IF(purpose="Purchase",1.00,
        IF(purpose="Remortgage",1.00,
            1.20)))</f>
        <v/>
      </c>
      <c r="L4435">
        <f>LET(
    arrears_months,'Loan Tape (S&amp;P)'!AN4435,
    IF(arrears_months=0,1.00,
    IF(arrears_months=1,3.00,
    IF(arrears_months=2,5.00,
    IF(arrears_months=3,8.00,
    IF(arrears_months=4,10.00,
    IF(arrears_months=5,12.00,15.00)))))))</f>
        <v/>
      </c>
      <c r="M4435">
        <f>LET(
    seasoning_years,DATEDIF('Loan Tape (S&amp;P)'!K4435,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35">
        <f>IF(AND('Loan Tape (S&amp;P)'!U4435="Yes",
        'Loan Tape (S&amp;P)'!T4435&lt;&gt;"Yes",
        DATEDIF('Loan Tape (S&amp;P)'!K4435, TODAY(), "M")&lt;18),
    1.10,
    1.00)</f>
        <v/>
      </c>
      <c r="O4435">
        <f>IF('Loan Tape (S&amp;P)'!T4435="Yes",
    1.35,
    1.00)</f>
        <v/>
      </c>
      <c r="P4435">
        <f>IF('Loan Tape (S&amp;P)'!S4435="Yes",
    1.15,
    1.00)</f>
        <v/>
      </c>
      <c r="Q4435">
        <f>IF('Loan Tape (S&amp;P)'!V4435="Yes",
    1.20,
    1.00)</f>
        <v/>
      </c>
      <c r="T4435">
        <f>LET(
    payment_method,'Loan Tape (S&amp;P)'!P4435,
    occupancy,'Loan Tape (S&amp;P)'!N4435,
    maturity_date,'Loan Tape (S&amp;P)'!L4435,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36">
      <c r="J4436">
        <f>LET(
    lien,'Loan Tape (S&amp;P)'!Q4436,
    IF(lien="First",1.00,
        IF(lien="Second",1.50,
            1.70)))</f>
        <v/>
      </c>
      <c r="K4436">
        <f>LET(
    purpose,'Loan Tape (S&amp;P)'!R4436,
    IF(purpose="Purchase",1.00,
        IF(purpose="Remortgage",1.00,
            1.20)))</f>
        <v/>
      </c>
      <c r="L4436">
        <f>LET(
    arrears_months,'Loan Tape (S&amp;P)'!AN4436,
    IF(arrears_months=0,1.00,
    IF(arrears_months=1,3.00,
    IF(arrears_months=2,5.00,
    IF(arrears_months=3,8.00,
    IF(arrears_months=4,10.00,
    IF(arrears_months=5,12.00,15.00)))))))</f>
        <v/>
      </c>
      <c r="M4436">
        <f>LET(
    seasoning_years,DATEDIF('Loan Tape (S&amp;P)'!K4436,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36">
        <f>IF(AND('Loan Tape (S&amp;P)'!U4436="Yes",
        'Loan Tape (S&amp;P)'!T4436&lt;&gt;"Yes",
        DATEDIF('Loan Tape (S&amp;P)'!K4436, TODAY(), "M")&lt;18),
    1.10,
    1.00)</f>
        <v/>
      </c>
      <c r="O4436">
        <f>IF('Loan Tape (S&amp;P)'!T4436="Yes",
    1.35,
    1.00)</f>
        <v/>
      </c>
      <c r="P4436">
        <f>IF('Loan Tape (S&amp;P)'!S4436="Yes",
    1.15,
    1.00)</f>
        <v/>
      </c>
      <c r="Q4436">
        <f>IF('Loan Tape (S&amp;P)'!V4436="Yes",
    1.20,
    1.00)</f>
        <v/>
      </c>
      <c r="T4436">
        <f>LET(
    payment_method,'Loan Tape (S&amp;P)'!P4436,
    occupancy,'Loan Tape (S&amp;P)'!N4436,
    maturity_date,'Loan Tape (S&amp;P)'!L4436,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37">
      <c r="J4437">
        <f>LET(
    lien,'Loan Tape (S&amp;P)'!Q4437,
    IF(lien="First",1.00,
        IF(lien="Second",1.50,
            1.70)))</f>
        <v/>
      </c>
      <c r="K4437">
        <f>LET(
    purpose,'Loan Tape (S&amp;P)'!R4437,
    IF(purpose="Purchase",1.00,
        IF(purpose="Remortgage",1.00,
            1.20)))</f>
        <v/>
      </c>
      <c r="L4437">
        <f>LET(
    arrears_months,'Loan Tape (S&amp;P)'!AN4437,
    IF(arrears_months=0,1.00,
    IF(arrears_months=1,3.00,
    IF(arrears_months=2,5.00,
    IF(arrears_months=3,8.00,
    IF(arrears_months=4,10.00,
    IF(arrears_months=5,12.00,15.00)))))))</f>
        <v/>
      </c>
      <c r="M4437">
        <f>LET(
    seasoning_years,DATEDIF('Loan Tape (S&amp;P)'!K4437,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37">
        <f>IF(AND('Loan Tape (S&amp;P)'!U4437="Yes",
        'Loan Tape (S&amp;P)'!T4437&lt;&gt;"Yes",
        DATEDIF('Loan Tape (S&amp;P)'!K4437, TODAY(), "M")&lt;18),
    1.10,
    1.00)</f>
        <v/>
      </c>
      <c r="O4437">
        <f>IF('Loan Tape (S&amp;P)'!T4437="Yes",
    1.35,
    1.00)</f>
        <v/>
      </c>
      <c r="P4437">
        <f>IF('Loan Tape (S&amp;P)'!S4437="Yes",
    1.15,
    1.00)</f>
        <v/>
      </c>
      <c r="Q4437">
        <f>IF('Loan Tape (S&amp;P)'!V4437="Yes",
    1.20,
    1.00)</f>
        <v/>
      </c>
      <c r="T4437">
        <f>LET(
    payment_method,'Loan Tape (S&amp;P)'!P4437,
    occupancy,'Loan Tape (S&amp;P)'!N4437,
    maturity_date,'Loan Tape (S&amp;P)'!L4437,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38">
      <c r="J4438">
        <f>LET(
    lien,'Loan Tape (S&amp;P)'!Q4438,
    IF(lien="First",1.00,
        IF(lien="Second",1.50,
            1.70)))</f>
        <v/>
      </c>
      <c r="K4438">
        <f>LET(
    purpose,'Loan Tape (S&amp;P)'!R4438,
    IF(purpose="Purchase",1.00,
        IF(purpose="Remortgage",1.00,
            1.20)))</f>
        <v/>
      </c>
      <c r="L4438">
        <f>LET(
    arrears_months,'Loan Tape (S&amp;P)'!AN4438,
    IF(arrears_months=0,1.00,
    IF(arrears_months=1,3.00,
    IF(arrears_months=2,5.00,
    IF(arrears_months=3,8.00,
    IF(arrears_months=4,10.00,
    IF(arrears_months=5,12.00,15.00)))))))</f>
        <v/>
      </c>
      <c r="M4438">
        <f>LET(
    seasoning_years,DATEDIF('Loan Tape (S&amp;P)'!K4438,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38">
        <f>IF(AND('Loan Tape (S&amp;P)'!U4438="Yes",
        'Loan Tape (S&amp;P)'!T4438&lt;&gt;"Yes",
        DATEDIF('Loan Tape (S&amp;P)'!K4438, TODAY(), "M")&lt;18),
    1.10,
    1.00)</f>
        <v/>
      </c>
      <c r="O4438">
        <f>IF('Loan Tape (S&amp;P)'!T4438="Yes",
    1.35,
    1.00)</f>
        <v/>
      </c>
      <c r="P4438">
        <f>IF('Loan Tape (S&amp;P)'!S4438="Yes",
    1.15,
    1.00)</f>
        <v/>
      </c>
      <c r="Q4438">
        <f>IF('Loan Tape (S&amp;P)'!V4438="Yes",
    1.20,
    1.00)</f>
        <v/>
      </c>
      <c r="T4438">
        <f>LET(
    payment_method,'Loan Tape (S&amp;P)'!P4438,
    occupancy,'Loan Tape (S&amp;P)'!N4438,
    maturity_date,'Loan Tape (S&amp;P)'!L4438,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39">
      <c r="J4439">
        <f>LET(
    lien,'Loan Tape (S&amp;P)'!Q4439,
    IF(lien="First",1.00,
        IF(lien="Second",1.50,
            1.70)))</f>
        <v/>
      </c>
      <c r="K4439">
        <f>LET(
    purpose,'Loan Tape (S&amp;P)'!R4439,
    IF(purpose="Purchase",1.00,
        IF(purpose="Remortgage",1.00,
            1.20)))</f>
        <v/>
      </c>
      <c r="L4439">
        <f>LET(
    arrears_months,'Loan Tape (S&amp;P)'!AN4439,
    IF(arrears_months=0,1.00,
    IF(arrears_months=1,3.00,
    IF(arrears_months=2,5.00,
    IF(arrears_months=3,8.00,
    IF(arrears_months=4,10.00,
    IF(arrears_months=5,12.00,15.00)))))))</f>
        <v/>
      </c>
      <c r="M4439">
        <f>LET(
    seasoning_years,DATEDIF('Loan Tape (S&amp;P)'!K4439,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39">
        <f>IF(AND('Loan Tape (S&amp;P)'!U4439="Yes",
        'Loan Tape (S&amp;P)'!T4439&lt;&gt;"Yes",
        DATEDIF('Loan Tape (S&amp;P)'!K4439, TODAY(), "M")&lt;18),
    1.10,
    1.00)</f>
        <v/>
      </c>
      <c r="O4439">
        <f>IF('Loan Tape (S&amp;P)'!T4439="Yes",
    1.35,
    1.00)</f>
        <v/>
      </c>
      <c r="P4439">
        <f>IF('Loan Tape (S&amp;P)'!S4439="Yes",
    1.15,
    1.00)</f>
        <v/>
      </c>
      <c r="Q4439">
        <f>IF('Loan Tape (S&amp;P)'!V4439="Yes",
    1.20,
    1.00)</f>
        <v/>
      </c>
      <c r="T4439">
        <f>LET(
    payment_method,'Loan Tape (S&amp;P)'!P4439,
    occupancy,'Loan Tape (S&amp;P)'!N4439,
    maturity_date,'Loan Tape (S&amp;P)'!L4439,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40">
      <c r="J4440">
        <f>LET(
    lien,'Loan Tape (S&amp;P)'!Q4440,
    IF(lien="First",1.00,
        IF(lien="Second",1.50,
            1.70)))</f>
        <v/>
      </c>
      <c r="K4440">
        <f>LET(
    purpose,'Loan Tape (S&amp;P)'!R4440,
    IF(purpose="Purchase",1.00,
        IF(purpose="Remortgage",1.00,
            1.20)))</f>
        <v/>
      </c>
      <c r="L4440">
        <f>LET(
    arrears_months,'Loan Tape (S&amp;P)'!AN4440,
    IF(arrears_months=0,1.00,
    IF(arrears_months=1,3.00,
    IF(arrears_months=2,5.00,
    IF(arrears_months=3,8.00,
    IF(arrears_months=4,10.00,
    IF(arrears_months=5,12.00,15.00)))))))</f>
        <v/>
      </c>
      <c r="M4440">
        <f>LET(
    seasoning_years,DATEDIF('Loan Tape (S&amp;P)'!K4440,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40">
        <f>IF(AND('Loan Tape (S&amp;P)'!U4440="Yes",
        'Loan Tape (S&amp;P)'!T4440&lt;&gt;"Yes",
        DATEDIF('Loan Tape (S&amp;P)'!K4440, TODAY(), "M")&lt;18),
    1.10,
    1.00)</f>
        <v/>
      </c>
      <c r="O4440">
        <f>IF('Loan Tape (S&amp;P)'!T4440="Yes",
    1.35,
    1.00)</f>
        <v/>
      </c>
      <c r="P4440">
        <f>IF('Loan Tape (S&amp;P)'!S4440="Yes",
    1.15,
    1.00)</f>
        <v/>
      </c>
      <c r="Q4440">
        <f>IF('Loan Tape (S&amp;P)'!V4440="Yes",
    1.20,
    1.00)</f>
        <v/>
      </c>
      <c r="T4440">
        <f>LET(
    payment_method,'Loan Tape (S&amp;P)'!P4440,
    occupancy,'Loan Tape (S&amp;P)'!N4440,
    maturity_date,'Loan Tape (S&amp;P)'!L4440,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41">
      <c r="J4441">
        <f>LET(
    lien,'Loan Tape (S&amp;P)'!Q4441,
    IF(lien="First",1.00,
        IF(lien="Second",1.50,
            1.70)))</f>
        <v/>
      </c>
      <c r="K4441">
        <f>LET(
    purpose,'Loan Tape (S&amp;P)'!R4441,
    IF(purpose="Purchase",1.00,
        IF(purpose="Remortgage",1.00,
            1.20)))</f>
        <v/>
      </c>
      <c r="L4441">
        <f>LET(
    arrears_months,'Loan Tape (S&amp;P)'!AN4441,
    IF(arrears_months=0,1.00,
    IF(arrears_months=1,3.00,
    IF(arrears_months=2,5.00,
    IF(arrears_months=3,8.00,
    IF(arrears_months=4,10.00,
    IF(arrears_months=5,12.00,15.00)))))))</f>
        <v/>
      </c>
      <c r="M4441">
        <f>LET(
    seasoning_years,DATEDIF('Loan Tape (S&amp;P)'!K4441,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41">
        <f>IF(AND('Loan Tape (S&amp;P)'!U4441="Yes",
        'Loan Tape (S&amp;P)'!T4441&lt;&gt;"Yes",
        DATEDIF('Loan Tape (S&amp;P)'!K4441, TODAY(), "M")&lt;18),
    1.10,
    1.00)</f>
        <v/>
      </c>
      <c r="O4441">
        <f>IF('Loan Tape (S&amp;P)'!T4441="Yes",
    1.35,
    1.00)</f>
        <v/>
      </c>
      <c r="P4441">
        <f>IF('Loan Tape (S&amp;P)'!S4441="Yes",
    1.15,
    1.00)</f>
        <v/>
      </c>
      <c r="Q4441">
        <f>IF('Loan Tape (S&amp;P)'!V4441="Yes",
    1.20,
    1.00)</f>
        <v/>
      </c>
      <c r="T4441">
        <f>LET(
    payment_method,'Loan Tape (S&amp;P)'!P4441,
    occupancy,'Loan Tape (S&amp;P)'!N4441,
    maturity_date,'Loan Tape (S&amp;P)'!L4441,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42">
      <c r="J4442">
        <f>LET(
    lien,'Loan Tape (S&amp;P)'!Q4442,
    IF(lien="First",1.00,
        IF(lien="Second",1.50,
            1.70)))</f>
        <v/>
      </c>
      <c r="K4442">
        <f>LET(
    purpose,'Loan Tape (S&amp;P)'!R4442,
    IF(purpose="Purchase",1.00,
        IF(purpose="Remortgage",1.00,
            1.20)))</f>
        <v/>
      </c>
      <c r="L4442">
        <f>LET(
    arrears_months,'Loan Tape (S&amp;P)'!AN4442,
    IF(arrears_months=0,1.00,
    IF(arrears_months=1,3.00,
    IF(arrears_months=2,5.00,
    IF(arrears_months=3,8.00,
    IF(arrears_months=4,10.00,
    IF(arrears_months=5,12.00,15.00)))))))</f>
        <v/>
      </c>
      <c r="M4442">
        <f>LET(
    seasoning_years,DATEDIF('Loan Tape (S&amp;P)'!K4442,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42">
        <f>IF(AND('Loan Tape (S&amp;P)'!U4442="Yes",
        'Loan Tape (S&amp;P)'!T4442&lt;&gt;"Yes",
        DATEDIF('Loan Tape (S&amp;P)'!K4442, TODAY(), "M")&lt;18),
    1.10,
    1.00)</f>
        <v/>
      </c>
      <c r="O4442">
        <f>IF('Loan Tape (S&amp;P)'!T4442="Yes",
    1.35,
    1.00)</f>
        <v/>
      </c>
      <c r="P4442">
        <f>IF('Loan Tape (S&amp;P)'!S4442="Yes",
    1.15,
    1.00)</f>
        <v/>
      </c>
      <c r="Q4442">
        <f>IF('Loan Tape (S&amp;P)'!V4442="Yes",
    1.20,
    1.00)</f>
        <v/>
      </c>
      <c r="T4442">
        <f>LET(
    payment_method,'Loan Tape (S&amp;P)'!P4442,
    occupancy,'Loan Tape (S&amp;P)'!N4442,
    maturity_date,'Loan Tape (S&amp;P)'!L4442,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43">
      <c r="J4443">
        <f>LET(
    lien,'Loan Tape (S&amp;P)'!Q4443,
    IF(lien="First",1.00,
        IF(lien="Second",1.50,
            1.70)))</f>
        <v/>
      </c>
      <c r="K4443">
        <f>LET(
    purpose,'Loan Tape (S&amp;P)'!R4443,
    IF(purpose="Purchase",1.00,
        IF(purpose="Remortgage",1.00,
            1.20)))</f>
        <v/>
      </c>
      <c r="L4443">
        <f>LET(
    arrears_months,'Loan Tape (S&amp;P)'!AN4443,
    IF(arrears_months=0,1.00,
    IF(arrears_months=1,3.00,
    IF(arrears_months=2,5.00,
    IF(arrears_months=3,8.00,
    IF(arrears_months=4,10.00,
    IF(arrears_months=5,12.00,15.00)))))))</f>
        <v/>
      </c>
      <c r="M4443">
        <f>LET(
    seasoning_years,DATEDIF('Loan Tape (S&amp;P)'!K4443,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43">
        <f>IF(AND('Loan Tape (S&amp;P)'!U4443="Yes",
        'Loan Tape (S&amp;P)'!T4443&lt;&gt;"Yes",
        DATEDIF('Loan Tape (S&amp;P)'!K4443, TODAY(), "M")&lt;18),
    1.10,
    1.00)</f>
        <v/>
      </c>
      <c r="O4443">
        <f>IF('Loan Tape (S&amp;P)'!T4443="Yes",
    1.35,
    1.00)</f>
        <v/>
      </c>
      <c r="P4443">
        <f>IF('Loan Tape (S&amp;P)'!S4443="Yes",
    1.15,
    1.00)</f>
        <v/>
      </c>
      <c r="Q4443">
        <f>IF('Loan Tape (S&amp;P)'!V4443="Yes",
    1.20,
    1.00)</f>
        <v/>
      </c>
      <c r="T4443">
        <f>LET(
    payment_method,'Loan Tape (S&amp;P)'!P4443,
    occupancy,'Loan Tape (S&amp;P)'!N4443,
    maturity_date,'Loan Tape (S&amp;P)'!L4443,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44">
      <c r="J4444">
        <f>LET(
    lien,'Loan Tape (S&amp;P)'!Q4444,
    IF(lien="First",1.00,
        IF(lien="Second",1.50,
            1.70)))</f>
        <v/>
      </c>
      <c r="K4444">
        <f>LET(
    purpose,'Loan Tape (S&amp;P)'!R4444,
    IF(purpose="Purchase",1.00,
        IF(purpose="Remortgage",1.00,
            1.20)))</f>
        <v/>
      </c>
      <c r="L4444">
        <f>LET(
    arrears_months,'Loan Tape (S&amp;P)'!AN4444,
    IF(arrears_months=0,1.00,
    IF(arrears_months=1,3.00,
    IF(arrears_months=2,5.00,
    IF(arrears_months=3,8.00,
    IF(arrears_months=4,10.00,
    IF(arrears_months=5,12.00,15.00)))))))</f>
        <v/>
      </c>
      <c r="M4444">
        <f>LET(
    seasoning_years,DATEDIF('Loan Tape (S&amp;P)'!K4444,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44">
        <f>IF(AND('Loan Tape (S&amp;P)'!U4444="Yes",
        'Loan Tape (S&amp;P)'!T4444&lt;&gt;"Yes",
        DATEDIF('Loan Tape (S&amp;P)'!K4444, TODAY(), "M")&lt;18),
    1.10,
    1.00)</f>
        <v/>
      </c>
      <c r="O4444">
        <f>IF('Loan Tape (S&amp;P)'!T4444="Yes",
    1.35,
    1.00)</f>
        <v/>
      </c>
      <c r="P4444">
        <f>IF('Loan Tape (S&amp;P)'!S4444="Yes",
    1.15,
    1.00)</f>
        <v/>
      </c>
      <c r="Q4444">
        <f>IF('Loan Tape (S&amp;P)'!V4444="Yes",
    1.20,
    1.00)</f>
        <v/>
      </c>
      <c r="T4444">
        <f>LET(
    payment_method,'Loan Tape (S&amp;P)'!P4444,
    occupancy,'Loan Tape (S&amp;P)'!N4444,
    maturity_date,'Loan Tape (S&amp;P)'!L4444,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45">
      <c r="J4445">
        <f>LET(
    lien,'Loan Tape (S&amp;P)'!Q4445,
    IF(lien="First",1.00,
        IF(lien="Second",1.50,
            1.70)))</f>
        <v/>
      </c>
      <c r="K4445">
        <f>LET(
    purpose,'Loan Tape (S&amp;P)'!R4445,
    IF(purpose="Purchase",1.00,
        IF(purpose="Remortgage",1.00,
            1.20)))</f>
        <v/>
      </c>
      <c r="L4445">
        <f>LET(
    arrears_months,'Loan Tape (S&amp;P)'!AN4445,
    IF(arrears_months=0,1.00,
    IF(arrears_months=1,3.00,
    IF(arrears_months=2,5.00,
    IF(arrears_months=3,8.00,
    IF(arrears_months=4,10.00,
    IF(arrears_months=5,12.00,15.00)))))))</f>
        <v/>
      </c>
      <c r="M4445">
        <f>LET(
    seasoning_years,DATEDIF('Loan Tape (S&amp;P)'!K4445,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45">
        <f>IF(AND('Loan Tape (S&amp;P)'!U4445="Yes",
        'Loan Tape (S&amp;P)'!T4445&lt;&gt;"Yes",
        DATEDIF('Loan Tape (S&amp;P)'!K4445, TODAY(), "M")&lt;18),
    1.10,
    1.00)</f>
        <v/>
      </c>
      <c r="O4445">
        <f>IF('Loan Tape (S&amp;P)'!T4445="Yes",
    1.35,
    1.00)</f>
        <v/>
      </c>
      <c r="P4445">
        <f>IF('Loan Tape (S&amp;P)'!S4445="Yes",
    1.15,
    1.00)</f>
        <v/>
      </c>
      <c r="Q4445">
        <f>IF('Loan Tape (S&amp;P)'!V4445="Yes",
    1.20,
    1.00)</f>
        <v/>
      </c>
      <c r="T4445">
        <f>LET(
    payment_method,'Loan Tape (S&amp;P)'!P4445,
    occupancy,'Loan Tape (S&amp;P)'!N4445,
    maturity_date,'Loan Tape (S&amp;P)'!L4445,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46">
      <c r="J4446">
        <f>LET(
    lien,'Loan Tape (S&amp;P)'!Q4446,
    IF(lien="First",1.00,
        IF(lien="Second",1.50,
            1.70)))</f>
        <v/>
      </c>
      <c r="K4446">
        <f>LET(
    purpose,'Loan Tape (S&amp;P)'!R4446,
    IF(purpose="Purchase",1.00,
        IF(purpose="Remortgage",1.00,
            1.20)))</f>
        <v/>
      </c>
      <c r="L4446">
        <f>LET(
    arrears_months,'Loan Tape (S&amp;P)'!AN4446,
    IF(arrears_months=0,1.00,
    IF(arrears_months=1,3.00,
    IF(arrears_months=2,5.00,
    IF(arrears_months=3,8.00,
    IF(arrears_months=4,10.00,
    IF(arrears_months=5,12.00,15.00)))))))</f>
        <v/>
      </c>
      <c r="M4446">
        <f>LET(
    seasoning_years,DATEDIF('Loan Tape (S&amp;P)'!K4446,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46">
        <f>IF(AND('Loan Tape (S&amp;P)'!U4446="Yes",
        'Loan Tape (S&amp;P)'!T4446&lt;&gt;"Yes",
        DATEDIF('Loan Tape (S&amp;P)'!K4446, TODAY(), "M")&lt;18),
    1.10,
    1.00)</f>
        <v/>
      </c>
      <c r="O4446">
        <f>IF('Loan Tape (S&amp;P)'!T4446="Yes",
    1.35,
    1.00)</f>
        <v/>
      </c>
      <c r="P4446">
        <f>IF('Loan Tape (S&amp;P)'!S4446="Yes",
    1.15,
    1.00)</f>
        <v/>
      </c>
      <c r="Q4446">
        <f>IF('Loan Tape (S&amp;P)'!V4446="Yes",
    1.20,
    1.00)</f>
        <v/>
      </c>
      <c r="T4446">
        <f>LET(
    payment_method,'Loan Tape (S&amp;P)'!P4446,
    occupancy,'Loan Tape (S&amp;P)'!N4446,
    maturity_date,'Loan Tape (S&amp;P)'!L4446,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47">
      <c r="J4447">
        <f>LET(
    lien,'Loan Tape (S&amp;P)'!Q4447,
    IF(lien="First",1.00,
        IF(lien="Second",1.50,
            1.70)))</f>
        <v/>
      </c>
      <c r="K4447">
        <f>LET(
    purpose,'Loan Tape (S&amp;P)'!R4447,
    IF(purpose="Purchase",1.00,
        IF(purpose="Remortgage",1.00,
            1.20)))</f>
        <v/>
      </c>
      <c r="L4447">
        <f>LET(
    arrears_months,'Loan Tape (S&amp;P)'!AN4447,
    IF(arrears_months=0,1.00,
    IF(arrears_months=1,3.00,
    IF(arrears_months=2,5.00,
    IF(arrears_months=3,8.00,
    IF(arrears_months=4,10.00,
    IF(arrears_months=5,12.00,15.00)))))))</f>
        <v/>
      </c>
      <c r="M4447">
        <f>LET(
    seasoning_years,DATEDIF('Loan Tape (S&amp;P)'!K4447,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47">
        <f>IF(AND('Loan Tape (S&amp;P)'!U4447="Yes",
        'Loan Tape (S&amp;P)'!T4447&lt;&gt;"Yes",
        DATEDIF('Loan Tape (S&amp;P)'!K4447, TODAY(), "M")&lt;18),
    1.10,
    1.00)</f>
        <v/>
      </c>
      <c r="O4447">
        <f>IF('Loan Tape (S&amp;P)'!T4447="Yes",
    1.35,
    1.00)</f>
        <v/>
      </c>
      <c r="P4447">
        <f>IF('Loan Tape (S&amp;P)'!S4447="Yes",
    1.15,
    1.00)</f>
        <v/>
      </c>
      <c r="Q4447">
        <f>IF('Loan Tape (S&amp;P)'!V4447="Yes",
    1.20,
    1.00)</f>
        <v/>
      </c>
      <c r="T4447">
        <f>LET(
    payment_method,'Loan Tape (S&amp;P)'!P4447,
    occupancy,'Loan Tape (S&amp;P)'!N4447,
    maturity_date,'Loan Tape (S&amp;P)'!L4447,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48">
      <c r="J4448">
        <f>LET(
    lien,'Loan Tape (S&amp;P)'!Q4448,
    IF(lien="First",1.00,
        IF(lien="Second",1.50,
            1.70)))</f>
        <v/>
      </c>
      <c r="K4448">
        <f>LET(
    purpose,'Loan Tape (S&amp;P)'!R4448,
    IF(purpose="Purchase",1.00,
        IF(purpose="Remortgage",1.00,
            1.20)))</f>
        <v/>
      </c>
      <c r="L4448">
        <f>LET(
    arrears_months,'Loan Tape (S&amp;P)'!AN4448,
    IF(arrears_months=0,1.00,
    IF(arrears_months=1,3.00,
    IF(arrears_months=2,5.00,
    IF(arrears_months=3,8.00,
    IF(arrears_months=4,10.00,
    IF(arrears_months=5,12.00,15.00)))))))</f>
        <v/>
      </c>
      <c r="M4448">
        <f>LET(
    seasoning_years,DATEDIF('Loan Tape (S&amp;P)'!K4448,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48">
        <f>IF(AND('Loan Tape (S&amp;P)'!U4448="Yes",
        'Loan Tape (S&amp;P)'!T4448&lt;&gt;"Yes",
        DATEDIF('Loan Tape (S&amp;P)'!K4448, TODAY(), "M")&lt;18),
    1.10,
    1.00)</f>
        <v/>
      </c>
      <c r="O4448">
        <f>IF('Loan Tape (S&amp;P)'!T4448="Yes",
    1.35,
    1.00)</f>
        <v/>
      </c>
      <c r="P4448">
        <f>IF('Loan Tape (S&amp;P)'!S4448="Yes",
    1.15,
    1.00)</f>
        <v/>
      </c>
      <c r="Q4448">
        <f>IF('Loan Tape (S&amp;P)'!V4448="Yes",
    1.20,
    1.00)</f>
        <v/>
      </c>
      <c r="T4448">
        <f>LET(
    payment_method,'Loan Tape (S&amp;P)'!P4448,
    occupancy,'Loan Tape (S&amp;P)'!N4448,
    maturity_date,'Loan Tape (S&amp;P)'!L4448,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49">
      <c r="J4449">
        <f>LET(
    lien,'Loan Tape (S&amp;P)'!Q4449,
    IF(lien="First",1.00,
        IF(lien="Second",1.50,
            1.70)))</f>
        <v/>
      </c>
      <c r="K4449">
        <f>LET(
    purpose,'Loan Tape (S&amp;P)'!R4449,
    IF(purpose="Purchase",1.00,
        IF(purpose="Remortgage",1.00,
            1.20)))</f>
        <v/>
      </c>
      <c r="L4449">
        <f>LET(
    arrears_months,'Loan Tape (S&amp;P)'!AN4449,
    IF(arrears_months=0,1.00,
    IF(arrears_months=1,3.00,
    IF(arrears_months=2,5.00,
    IF(arrears_months=3,8.00,
    IF(arrears_months=4,10.00,
    IF(arrears_months=5,12.00,15.00)))))))</f>
        <v/>
      </c>
      <c r="M4449">
        <f>LET(
    seasoning_years,DATEDIF('Loan Tape (S&amp;P)'!K4449,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49">
        <f>IF(AND('Loan Tape (S&amp;P)'!U4449="Yes",
        'Loan Tape (S&amp;P)'!T4449&lt;&gt;"Yes",
        DATEDIF('Loan Tape (S&amp;P)'!K4449, TODAY(), "M")&lt;18),
    1.10,
    1.00)</f>
        <v/>
      </c>
      <c r="O4449">
        <f>IF('Loan Tape (S&amp;P)'!T4449="Yes",
    1.35,
    1.00)</f>
        <v/>
      </c>
      <c r="P4449">
        <f>IF('Loan Tape (S&amp;P)'!S4449="Yes",
    1.15,
    1.00)</f>
        <v/>
      </c>
      <c r="Q4449">
        <f>IF('Loan Tape (S&amp;P)'!V4449="Yes",
    1.20,
    1.00)</f>
        <v/>
      </c>
      <c r="T4449">
        <f>LET(
    payment_method,'Loan Tape (S&amp;P)'!P4449,
    occupancy,'Loan Tape (S&amp;P)'!N4449,
    maturity_date,'Loan Tape (S&amp;P)'!L4449,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50">
      <c r="J4450">
        <f>LET(
    lien,'Loan Tape (S&amp;P)'!Q4450,
    IF(lien="First",1.00,
        IF(lien="Second",1.50,
            1.70)))</f>
        <v/>
      </c>
      <c r="K4450">
        <f>LET(
    purpose,'Loan Tape (S&amp;P)'!R4450,
    IF(purpose="Purchase",1.00,
        IF(purpose="Remortgage",1.00,
            1.20)))</f>
        <v/>
      </c>
      <c r="L4450">
        <f>LET(
    arrears_months,'Loan Tape (S&amp;P)'!AN4450,
    IF(arrears_months=0,1.00,
    IF(arrears_months=1,3.00,
    IF(arrears_months=2,5.00,
    IF(arrears_months=3,8.00,
    IF(arrears_months=4,10.00,
    IF(arrears_months=5,12.00,15.00)))))))</f>
        <v/>
      </c>
      <c r="M4450">
        <f>LET(
    seasoning_years,DATEDIF('Loan Tape (S&amp;P)'!K4450,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50">
        <f>IF(AND('Loan Tape (S&amp;P)'!U4450="Yes",
        'Loan Tape (S&amp;P)'!T4450&lt;&gt;"Yes",
        DATEDIF('Loan Tape (S&amp;P)'!K4450, TODAY(), "M")&lt;18),
    1.10,
    1.00)</f>
        <v/>
      </c>
      <c r="O4450">
        <f>IF('Loan Tape (S&amp;P)'!T4450="Yes",
    1.35,
    1.00)</f>
        <v/>
      </c>
      <c r="P4450">
        <f>IF('Loan Tape (S&amp;P)'!S4450="Yes",
    1.15,
    1.00)</f>
        <v/>
      </c>
      <c r="Q4450">
        <f>IF('Loan Tape (S&amp;P)'!V4450="Yes",
    1.20,
    1.00)</f>
        <v/>
      </c>
      <c r="T4450">
        <f>LET(
    payment_method,'Loan Tape (S&amp;P)'!P4450,
    occupancy,'Loan Tape (S&amp;P)'!N4450,
    maturity_date,'Loan Tape (S&amp;P)'!L4450,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51">
      <c r="J4451">
        <f>LET(
    lien,'Loan Tape (S&amp;P)'!Q4451,
    IF(lien="First",1.00,
        IF(lien="Second",1.50,
            1.70)))</f>
        <v/>
      </c>
      <c r="K4451">
        <f>LET(
    purpose,'Loan Tape (S&amp;P)'!R4451,
    IF(purpose="Purchase",1.00,
        IF(purpose="Remortgage",1.00,
            1.20)))</f>
        <v/>
      </c>
      <c r="L4451">
        <f>LET(
    arrears_months,'Loan Tape (S&amp;P)'!AN4451,
    IF(arrears_months=0,1.00,
    IF(arrears_months=1,3.00,
    IF(arrears_months=2,5.00,
    IF(arrears_months=3,8.00,
    IF(arrears_months=4,10.00,
    IF(arrears_months=5,12.00,15.00)))))))</f>
        <v/>
      </c>
      <c r="M4451">
        <f>LET(
    seasoning_years,DATEDIF('Loan Tape (S&amp;P)'!K4451,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51">
        <f>IF(AND('Loan Tape (S&amp;P)'!U4451="Yes",
        'Loan Tape (S&amp;P)'!T4451&lt;&gt;"Yes",
        DATEDIF('Loan Tape (S&amp;P)'!K4451, TODAY(), "M")&lt;18),
    1.10,
    1.00)</f>
        <v/>
      </c>
      <c r="O4451">
        <f>IF('Loan Tape (S&amp;P)'!T4451="Yes",
    1.35,
    1.00)</f>
        <v/>
      </c>
      <c r="P4451">
        <f>IF('Loan Tape (S&amp;P)'!S4451="Yes",
    1.15,
    1.00)</f>
        <v/>
      </c>
      <c r="Q4451">
        <f>IF('Loan Tape (S&amp;P)'!V4451="Yes",
    1.20,
    1.00)</f>
        <v/>
      </c>
      <c r="T4451">
        <f>LET(
    payment_method,'Loan Tape (S&amp;P)'!P4451,
    occupancy,'Loan Tape (S&amp;P)'!N4451,
    maturity_date,'Loan Tape (S&amp;P)'!L4451,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52">
      <c r="J4452">
        <f>LET(
    lien,'Loan Tape (S&amp;P)'!Q4452,
    IF(lien="First",1.00,
        IF(lien="Second",1.50,
            1.70)))</f>
        <v/>
      </c>
      <c r="K4452">
        <f>LET(
    purpose,'Loan Tape (S&amp;P)'!R4452,
    IF(purpose="Purchase",1.00,
        IF(purpose="Remortgage",1.00,
            1.20)))</f>
        <v/>
      </c>
      <c r="L4452">
        <f>LET(
    arrears_months,'Loan Tape (S&amp;P)'!AN4452,
    IF(arrears_months=0,1.00,
    IF(arrears_months=1,3.00,
    IF(arrears_months=2,5.00,
    IF(arrears_months=3,8.00,
    IF(arrears_months=4,10.00,
    IF(arrears_months=5,12.00,15.00)))))))</f>
        <v/>
      </c>
      <c r="M4452">
        <f>LET(
    seasoning_years,DATEDIF('Loan Tape (S&amp;P)'!K4452,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52">
        <f>IF(AND('Loan Tape (S&amp;P)'!U4452="Yes",
        'Loan Tape (S&amp;P)'!T4452&lt;&gt;"Yes",
        DATEDIF('Loan Tape (S&amp;P)'!K4452, TODAY(), "M")&lt;18),
    1.10,
    1.00)</f>
        <v/>
      </c>
      <c r="O4452">
        <f>IF('Loan Tape (S&amp;P)'!T4452="Yes",
    1.35,
    1.00)</f>
        <v/>
      </c>
      <c r="P4452">
        <f>IF('Loan Tape (S&amp;P)'!S4452="Yes",
    1.15,
    1.00)</f>
        <v/>
      </c>
      <c r="Q4452">
        <f>IF('Loan Tape (S&amp;P)'!V4452="Yes",
    1.20,
    1.00)</f>
        <v/>
      </c>
      <c r="T4452">
        <f>LET(
    payment_method,'Loan Tape (S&amp;P)'!P4452,
    occupancy,'Loan Tape (S&amp;P)'!N4452,
    maturity_date,'Loan Tape (S&amp;P)'!L4452,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53">
      <c r="J4453">
        <f>LET(
    lien,'Loan Tape (S&amp;P)'!Q4453,
    IF(lien="First",1.00,
        IF(lien="Second",1.50,
            1.70)))</f>
        <v/>
      </c>
      <c r="K4453">
        <f>LET(
    purpose,'Loan Tape (S&amp;P)'!R4453,
    IF(purpose="Purchase",1.00,
        IF(purpose="Remortgage",1.00,
            1.20)))</f>
        <v/>
      </c>
      <c r="L4453">
        <f>LET(
    arrears_months,'Loan Tape (S&amp;P)'!AN4453,
    IF(arrears_months=0,1.00,
    IF(arrears_months=1,3.00,
    IF(arrears_months=2,5.00,
    IF(arrears_months=3,8.00,
    IF(arrears_months=4,10.00,
    IF(arrears_months=5,12.00,15.00)))))))</f>
        <v/>
      </c>
      <c r="M4453">
        <f>LET(
    seasoning_years,DATEDIF('Loan Tape (S&amp;P)'!K4453,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53">
        <f>IF(AND('Loan Tape (S&amp;P)'!U4453="Yes",
        'Loan Tape (S&amp;P)'!T4453&lt;&gt;"Yes",
        DATEDIF('Loan Tape (S&amp;P)'!K4453, TODAY(), "M")&lt;18),
    1.10,
    1.00)</f>
        <v/>
      </c>
      <c r="O4453">
        <f>IF('Loan Tape (S&amp;P)'!T4453="Yes",
    1.35,
    1.00)</f>
        <v/>
      </c>
      <c r="P4453">
        <f>IF('Loan Tape (S&amp;P)'!S4453="Yes",
    1.15,
    1.00)</f>
        <v/>
      </c>
      <c r="Q4453">
        <f>IF('Loan Tape (S&amp;P)'!V4453="Yes",
    1.20,
    1.00)</f>
        <v/>
      </c>
      <c r="T4453">
        <f>LET(
    payment_method,'Loan Tape (S&amp;P)'!P4453,
    occupancy,'Loan Tape (S&amp;P)'!N4453,
    maturity_date,'Loan Tape (S&amp;P)'!L4453,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54">
      <c r="J4454">
        <f>LET(
    lien,'Loan Tape (S&amp;P)'!Q4454,
    IF(lien="First",1.00,
        IF(lien="Second",1.50,
            1.70)))</f>
        <v/>
      </c>
      <c r="K4454">
        <f>LET(
    purpose,'Loan Tape (S&amp;P)'!R4454,
    IF(purpose="Purchase",1.00,
        IF(purpose="Remortgage",1.00,
            1.20)))</f>
        <v/>
      </c>
      <c r="L4454">
        <f>LET(
    arrears_months,'Loan Tape (S&amp;P)'!AN4454,
    IF(arrears_months=0,1.00,
    IF(arrears_months=1,3.00,
    IF(arrears_months=2,5.00,
    IF(arrears_months=3,8.00,
    IF(arrears_months=4,10.00,
    IF(arrears_months=5,12.00,15.00)))))))</f>
        <v/>
      </c>
      <c r="M4454">
        <f>LET(
    seasoning_years,DATEDIF('Loan Tape (S&amp;P)'!K4454,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54">
        <f>IF(AND('Loan Tape (S&amp;P)'!U4454="Yes",
        'Loan Tape (S&amp;P)'!T4454&lt;&gt;"Yes",
        DATEDIF('Loan Tape (S&amp;P)'!K4454, TODAY(), "M")&lt;18),
    1.10,
    1.00)</f>
        <v/>
      </c>
      <c r="O4454">
        <f>IF('Loan Tape (S&amp;P)'!T4454="Yes",
    1.35,
    1.00)</f>
        <v/>
      </c>
      <c r="P4454">
        <f>IF('Loan Tape (S&amp;P)'!S4454="Yes",
    1.15,
    1.00)</f>
        <v/>
      </c>
      <c r="Q4454">
        <f>IF('Loan Tape (S&amp;P)'!V4454="Yes",
    1.20,
    1.00)</f>
        <v/>
      </c>
      <c r="T4454">
        <f>LET(
    payment_method,'Loan Tape (S&amp;P)'!P4454,
    occupancy,'Loan Tape (S&amp;P)'!N4454,
    maturity_date,'Loan Tape (S&amp;P)'!L4454,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55">
      <c r="J4455">
        <f>LET(
    lien,'Loan Tape (S&amp;P)'!Q4455,
    IF(lien="First",1.00,
        IF(lien="Second",1.50,
            1.70)))</f>
        <v/>
      </c>
      <c r="K4455">
        <f>LET(
    purpose,'Loan Tape (S&amp;P)'!R4455,
    IF(purpose="Purchase",1.00,
        IF(purpose="Remortgage",1.00,
            1.20)))</f>
        <v/>
      </c>
      <c r="L4455">
        <f>LET(
    arrears_months,'Loan Tape (S&amp;P)'!AN4455,
    IF(arrears_months=0,1.00,
    IF(arrears_months=1,3.00,
    IF(arrears_months=2,5.00,
    IF(arrears_months=3,8.00,
    IF(arrears_months=4,10.00,
    IF(arrears_months=5,12.00,15.00)))))))</f>
        <v/>
      </c>
      <c r="M4455">
        <f>LET(
    seasoning_years,DATEDIF('Loan Tape (S&amp;P)'!K4455,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55">
        <f>IF(AND('Loan Tape (S&amp;P)'!U4455="Yes",
        'Loan Tape (S&amp;P)'!T4455&lt;&gt;"Yes",
        DATEDIF('Loan Tape (S&amp;P)'!K4455, TODAY(), "M")&lt;18),
    1.10,
    1.00)</f>
        <v/>
      </c>
      <c r="O4455">
        <f>IF('Loan Tape (S&amp;P)'!T4455="Yes",
    1.35,
    1.00)</f>
        <v/>
      </c>
      <c r="P4455">
        <f>IF('Loan Tape (S&amp;P)'!S4455="Yes",
    1.15,
    1.00)</f>
        <v/>
      </c>
      <c r="Q4455">
        <f>IF('Loan Tape (S&amp;P)'!V4455="Yes",
    1.20,
    1.00)</f>
        <v/>
      </c>
      <c r="T4455">
        <f>LET(
    payment_method,'Loan Tape (S&amp;P)'!P4455,
    occupancy,'Loan Tape (S&amp;P)'!N4455,
    maturity_date,'Loan Tape (S&amp;P)'!L4455,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56">
      <c r="J4456">
        <f>LET(
    lien,'Loan Tape (S&amp;P)'!Q4456,
    IF(lien="First",1.00,
        IF(lien="Second",1.50,
            1.70)))</f>
        <v/>
      </c>
      <c r="K4456">
        <f>LET(
    purpose,'Loan Tape (S&amp;P)'!R4456,
    IF(purpose="Purchase",1.00,
        IF(purpose="Remortgage",1.00,
            1.20)))</f>
        <v/>
      </c>
      <c r="L4456">
        <f>LET(
    arrears_months,'Loan Tape (S&amp;P)'!AN4456,
    IF(arrears_months=0,1.00,
    IF(arrears_months=1,3.00,
    IF(arrears_months=2,5.00,
    IF(arrears_months=3,8.00,
    IF(arrears_months=4,10.00,
    IF(arrears_months=5,12.00,15.00)))))))</f>
        <v/>
      </c>
      <c r="M4456">
        <f>LET(
    seasoning_years,DATEDIF('Loan Tape (S&amp;P)'!K4456,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56">
        <f>IF(AND('Loan Tape (S&amp;P)'!U4456="Yes",
        'Loan Tape (S&amp;P)'!T4456&lt;&gt;"Yes",
        DATEDIF('Loan Tape (S&amp;P)'!K4456, TODAY(), "M")&lt;18),
    1.10,
    1.00)</f>
        <v/>
      </c>
      <c r="O4456">
        <f>IF('Loan Tape (S&amp;P)'!T4456="Yes",
    1.35,
    1.00)</f>
        <v/>
      </c>
      <c r="P4456">
        <f>IF('Loan Tape (S&amp;P)'!S4456="Yes",
    1.15,
    1.00)</f>
        <v/>
      </c>
      <c r="Q4456">
        <f>IF('Loan Tape (S&amp;P)'!V4456="Yes",
    1.20,
    1.00)</f>
        <v/>
      </c>
      <c r="T4456">
        <f>LET(
    payment_method,'Loan Tape (S&amp;P)'!P4456,
    occupancy,'Loan Tape (S&amp;P)'!N4456,
    maturity_date,'Loan Tape (S&amp;P)'!L4456,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57">
      <c r="J4457">
        <f>LET(
    lien,'Loan Tape (S&amp;P)'!Q4457,
    IF(lien="First",1.00,
        IF(lien="Second",1.50,
            1.70)))</f>
        <v/>
      </c>
      <c r="K4457">
        <f>LET(
    purpose,'Loan Tape (S&amp;P)'!R4457,
    IF(purpose="Purchase",1.00,
        IF(purpose="Remortgage",1.00,
            1.20)))</f>
        <v/>
      </c>
      <c r="L4457">
        <f>LET(
    arrears_months,'Loan Tape (S&amp;P)'!AN4457,
    IF(arrears_months=0,1.00,
    IF(arrears_months=1,3.00,
    IF(arrears_months=2,5.00,
    IF(arrears_months=3,8.00,
    IF(arrears_months=4,10.00,
    IF(arrears_months=5,12.00,15.00)))))))</f>
        <v/>
      </c>
      <c r="M4457">
        <f>LET(
    seasoning_years,DATEDIF('Loan Tape (S&amp;P)'!K4457,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57">
        <f>IF(AND('Loan Tape (S&amp;P)'!U4457="Yes",
        'Loan Tape (S&amp;P)'!T4457&lt;&gt;"Yes",
        DATEDIF('Loan Tape (S&amp;P)'!K4457, TODAY(), "M")&lt;18),
    1.10,
    1.00)</f>
        <v/>
      </c>
      <c r="O4457">
        <f>IF('Loan Tape (S&amp;P)'!T4457="Yes",
    1.35,
    1.00)</f>
        <v/>
      </c>
      <c r="P4457">
        <f>IF('Loan Tape (S&amp;P)'!S4457="Yes",
    1.15,
    1.00)</f>
        <v/>
      </c>
      <c r="Q4457">
        <f>IF('Loan Tape (S&amp;P)'!V4457="Yes",
    1.20,
    1.00)</f>
        <v/>
      </c>
      <c r="T4457">
        <f>LET(
    payment_method,'Loan Tape (S&amp;P)'!P4457,
    occupancy,'Loan Tape (S&amp;P)'!N4457,
    maturity_date,'Loan Tape (S&amp;P)'!L4457,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58">
      <c r="J4458">
        <f>LET(
    lien,'Loan Tape (S&amp;P)'!Q4458,
    IF(lien="First",1.00,
        IF(lien="Second",1.50,
            1.70)))</f>
        <v/>
      </c>
      <c r="K4458">
        <f>LET(
    purpose,'Loan Tape (S&amp;P)'!R4458,
    IF(purpose="Purchase",1.00,
        IF(purpose="Remortgage",1.00,
            1.20)))</f>
        <v/>
      </c>
      <c r="L4458">
        <f>LET(
    arrears_months,'Loan Tape (S&amp;P)'!AN4458,
    IF(arrears_months=0,1.00,
    IF(arrears_months=1,3.00,
    IF(arrears_months=2,5.00,
    IF(arrears_months=3,8.00,
    IF(arrears_months=4,10.00,
    IF(arrears_months=5,12.00,15.00)))))))</f>
        <v/>
      </c>
      <c r="M4458">
        <f>LET(
    seasoning_years,DATEDIF('Loan Tape (S&amp;P)'!K4458,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58">
        <f>IF(AND('Loan Tape (S&amp;P)'!U4458="Yes",
        'Loan Tape (S&amp;P)'!T4458&lt;&gt;"Yes",
        DATEDIF('Loan Tape (S&amp;P)'!K4458, TODAY(), "M")&lt;18),
    1.10,
    1.00)</f>
        <v/>
      </c>
      <c r="O4458">
        <f>IF('Loan Tape (S&amp;P)'!T4458="Yes",
    1.35,
    1.00)</f>
        <v/>
      </c>
      <c r="P4458">
        <f>IF('Loan Tape (S&amp;P)'!S4458="Yes",
    1.15,
    1.00)</f>
        <v/>
      </c>
      <c r="Q4458">
        <f>IF('Loan Tape (S&amp;P)'!V4458="Yes",
    1.20,
    1.00)</f>
        <v/>
      </c>
      <c r="T4458">
        <f>LET(
    payment_method,'Loan Tape (S&amp;P)'!P4458,
    occupancy,'Loan Tape (S&amp;P)'!N4458,
    maturity_date,'Loan Tape (S&amp;P)'!L4458,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59">
      <c r="J4459">
        <f>LET(
    lien,'Loan Tape (S&amp;P)'!Q4459,
    IF(lien="First",1.00,
        IF(lien="Second",1.50,
            1.70)))</f>
        <v/>
      </c>
      <c r="K4459">
        <f>LET(
    purpose,'Loan Tape (S&amp;P)'!R4459,
    IF(purpose="Purchase",1.00,
        IF(purpose="Remortgage",1.00,
            1.20)))</f>
        <v/>
      </c>
      <c r="L4459">
        <f>LET(
    arrears_months,'Loan Tape (S&amp;P)'!AN4459,
    IF(arrears_months=0,1.00,
    IF(arrears_months=1,3.00,
    IF(arrears_months=2,5.00,
    IF(arrears_months=3,8.00,
    IF(arrears_months=4,10.00,
    IF(arrears_months=5,12.00,15.00)))))))</f>
        <v/>
      </c>
      <c r="M4459">
        <f>LET(
    seasoning_years,DATEDIF('Loan Tape (S&amp;P)'!K4459,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59">
        <f>IF(AND('Loan Tape (S&amp;P)'!U4459="Yes",
        'Loan Tape (S&amp;P)'!T4459&lt;&gt;"Yes",
        DATEDIF('Loan Tape (S&amp;P)'!K4459, TODAY(), "M")&lt;18),
    1.10,
    1.00)</f>
        <v/>
      </c>
      <c r="O4459">
        <f>IF('Loan Tape (S&amp;P)'!T4459="Yes",
    1.35,
    1.00)</f>
        <v/>
      </c>
      <c r="P4459">
        <f>IF('Loan Tape (S&amp;P)'!S4459="Yes",
    1.15,
    1.00)</f>
        <v/>
      </c>
      <c r="Q4459">
        <f>IF('Loan Tape (S&amp;P)'!V4459="Yes",
    1.20,
    1.00)</f>
        <v/>
      </c>
      <c r="T4459">
        <f>LET(
    payment_method,'Loan Tape (S&amp;P)'!P4459,
    occupancy,'Loan Tape (S&amp;P)'!N4459,
    maturity_date,'Loan Tape (S&amp;P)'!L4459,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60">
      <c r="J4460">
        <f>LET(
    lien,'Loan Tape (S&amp;P)'!Q4460,
    IF(lien="First",1.00,
        IF(lien="Second",1.50,
            1.70)))</f>
        <v/>
      </c>
      <c r="K4460">
        <f>LET(
    purpose,'Loan Tape (S&amp;P)'!R4460,
    IF(purpose="Purchase",1.00,
        IF(purpose="Remortgage",1.00,
            1.20)))</f>
        <v/>
      </c>
      <c r="L4460">
        <f>LET(
    arrears_months,'Loan Tape (S&amp;P)'!AN4460,
    IF(arrears_months=0,1.00,
    IF(arrears_months=1,3.00,
    IF(arrears_months=2,5.00,
    IF(arrears_months=3,8.00,
    IF(arrears_months=4,10.00,
    IF(arrears_months=5,12.00,15.00)))))))</f>
        <v/>
      </c>
      <c r="M4460">
        <f>LET(
    seasoning_years,DATEDIF('Loan Tape (S&amp;P)'!K4460,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60">
        <f>IF(AND('Loan Tape (S&amp;P)'!U4460="Yes",
        'Loan Tape (S&amp;P)'!T4460&lt;&gt;"Yes",
        DATEDIF('Loan Tape (S&amp;P)'!K4460, TODAY(), "M")&lt;18),
    1.10,
    1.00)</f>
        <v/>
      </c>
      <c r="O4460">
        <f>IF('Loan Tape (S&amp;P)'!T4460="Yes",
    1.35,
    1.00)</f>
        <v/>
      </c>
      <c r="P4460">
        <f>IF('Loan Tape (S&amp;P)'!S4460="Yes",
    1.15,
    1.00)</f>
        <v/>
      </c>
      <c r="Q4460">
        <f>IF('Loan Tape (S&amp;P)'!V4460="Yes",
    1.20,
    1.00)</f>
        <v/>
      </c>
      <c r="T4460">
        <f>LET(
    payment_method,'Loan Tape (S&amp;P)'!P4460,
    occupancy,'Loan Tape (S&amp;P)'!N4460,
    maturity_date,'Loan Tape (S&amp;P)'!L4460,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61">
      <c r="J4461">
        <f>LET(
    lien,'Loan Tape (S&amp;P)'!Q4461,
    IF(lien="First",1.00,
        IF(lien="Second",1.50,
            1.70)))</f>
        <v/>
      </c>
      <c r="K4461">
        <f>LET(
    purpose,'Loan Tape (S&amp;P)'!R4461,
    IF(purpose="Purchase",1.00,
        IF(purpose="Remortgage",1.00,
            1.20)))</f>
        <v/>
      </c>
      <c r="L4461">
        <f>LET(
    arrears_months,'Loan Tape (S&amp;P)'!AN4461,
    IF(arrears_months=0,1.00,
    IF(arrears_months=1,3.00,
    IF(arrears_months=2,5.00,
    IF(arrears_months=3,8.00,
    IF(arrears_months=4,10.00,
    IF(arrears_months=5,12.00,15.00)))))))</f>
        <v/>
      </c>
      <c r="M4461">
        <f>LET(
    seasoning_years,DATEDIF('Loan Tape (S&amp;P)'!K4461,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61">
        <f>IF(AND('Loan Tape (S&amp;P)'!U4461="Yes",
        'Loan Tape (S&amp;P)'!T4461&lt;&gt;"Yes",
        DATEDIF('Loan Tape (S&amp;P)'!K4461, TODAY(), "M")&lt;18),
    1.10,
    1.00)</f>
        <v/>
      </c>
      <c r="O4461">
        <f>IF('Loan Tape (S&amp;P)'!T4461="Yes",
    1.35,
    1.00)</f>
        <v/>
      </c>
      <c r="P4461">
        <f>IF('Loan Tape (S&amp;P)'!S4461="Yes",
    1.15,
    1.00)</f>
        <v/>
      </c>
      <c r="Q4461">
        <f>IF('Loan Tape (S&amp;P)'!V4461="Yes",
    1.20,
    1.00)</f>
        <v/>
      </c>
      <c r="T4461">
        <f>LET(
    payment_method,'Loan Tape (S&amp;P)'!P4461,
    occupancy,'Loan Tape (S&amp;P)'!N4461,
    maturity_date,'Loan Tape (S&amp;P)'!L4461,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62">
      <c r="J4462">
        <f>LET(
    lien,'Loan Tape (S&amp;P)'!Q4462,
    IF(lien="First",1.00,
        IF(lien="Second",1.50,
            1.70)))</f>
        <v/>
      </c>
      <c r="K4462">
        <f>LET(
    purpose,'Loan Tape (S&amp;P)'!R4462,
    IF(purpose="Purchase",1.00,
        IF(purpose="Remortgage",1.00,
            1.20)))</f>
        <v/>
      </c>
      <c r="L4462">
        <f>LET(
    arrears_months,'Loan Tape (S&amp;P)'!AN4462,
    IF(arrears_months=0,1.00,
    IF(arrears_months=1,3.00,
    IF(arrears_months=2,5.00,
    IF(arrears_months=3,8.00,
    IF(arrears_months=4,10.00,
    IF(arrears_months=5,12.00,15.00)))))))</f>
        <v/>
      </c>
      <c r="M4462">
        <f>LET(
    seasoning_years,DATEDIF('Loan Tape (S&amp;P)'!K4462,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62">
        <f>IF(AND('Loan Tape (S&amp;P)'!U4462="Yes",
        'Loan Tape (S&amp;P)'!T4462&lt;&gt;"Yes",
        DATEDIF('Loan Tape (S&amp;P)'!K4462, TODAY(), "M")&lt;18),
    1.10,
    1.00)</f>
        <v/>
      </c>
      <c r="O4462">
        <f>IF('Loan Tape (S&amp;P)'!T4462="Yes",
    1.35,
    1.00)</f>
        <v/>
      </c>
      <c r="P4462">
        <f>IF('Loan Tape (S&amp;P)'!S4462="Yes",
    1.15,
    1.00)</f>
        <v/>
      </c>
      <c r="Q4462">
        <f>IF('Loan Tape (S&amp;P)'!V4462="Yes",
    1.20,
    1.00)</f>
        <v/>
      </c>
      <c r="T4462">
        <f>LET(
    payment_method,'Loan Tape (S&amp;P)'!P4462,
    occupancy,'Loan Tape (S&amp;P)'!N4462,
    maturity_date,'Loan Tape (S&amp;P)'!L4462,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63">
      <c r="J4463">
        <f>LET(
    lien,'Loan Tape (S&amp;P)'!Q4463,
    IF(lien="First",1.00,
        IF(lien="Second",1.50,
            1.70)))</f>
        <v/>
      </c>
      <c r="K4463">
        <f>LET(
    purpose,'Loan Tape (S&amp;P)'!R4463,
    IF(purpose="Purchase",1.00,
        IF(purpose="Remortgage",1.00,
            1.20)))</f>
        <v/>
      </c>
      <c r="L4463">
        <f>LET(
    arrears_months,'Loan Tape (S&amp;P)'!AN4463,
    IF(arrears_months=0,1.00,
    IF(arrears_months=1,3.00,
    IF(arrears_months=2,5.00,
    IF(arrears_months=3,8.00,
    IF(arrears_months=4,10.00,
    IF(arrears_months=5,12.00,15.00)))))))</f>
        <v/>
      </c>
      <c r="M4463">
        <f>LET(
    seasoning_years,DATEDIF('Loan Tape (S&amp;P)'!K4463,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63">
        <f>IF(AND('Loan Tape (S&amp;P)'!U4463="Yes",
        'Loan Tape (S&amp;P)'!T4463&lt;&gt;"Yes",
        DATEDIF('Loan Tape (S&amp;P)'!K4463, TODAY(), "M")&lt;18),
    1.10,
    1.00)</f>
        <v/>
      </c>
      <c r="O4463">
        <f>IF('Loan Tape (S&amp;P)'!T4463="Yes",
    1.35,
    1.00)</f>
        <v/>
      </c>
      <c r="P4463">
        <f>IF('Loan Tape (S&amp;P)'!S4463="Yes",
    1.15,
    1.00)</f>
        <v/>
      </c>
      <c r="Q4463">
        <f>IF('Loan Tape (S&amp;P)'!V4463="Yes",
    1.20,
    1.00)</f>
        <v/>
      </c>
      <c r="T4463">
        <f>LET(
    payment_method,'Loan Tape (S&amp;P)'!P4463,
    occupancy,'Loan Tape (S&amp;P)'!N4463,
    maturity_date,'Loan Tape (S&amp;P)'!L4463,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64">
      <c r="J4464">
        <f>LET(
    lien,'Loan Tape (S&amp;P)'!Q4464,
    IF(lien="First",1.00,
        IF(lien="Second",1.50,
            1.70)))</f>
        <v/>
      </c>
      <c r="K4464">
        <f>LET(
    purpose,'Loan Tape (S&amp;P)'!R4464,
    IF(purpose="Purchase",1.00,
        IF(purpose="Remortgage",1.00,
            1.20)))</f>
        <v/>
      </c>
      <c r="L4464">
        <f>LET(
    arrears_months,'Loan Tape (S&amp;P)'!AN4464,
    IF(arrears_months=0,1.00,
    IF(arrears_months=1,3.00,
    IF(arrears_months=2,5.00,
    IF(arrears_months=3,8.00,
    IF(arrears_months=4,10.00,
    IF(arrears_months=5,12.00,15.00)))))))</f>
        <v/>
      </c>
      <c r="M4464">
        <f>LET(
    seasoning_years,DATEDIF('Loan Tape (S&amp;P)'!K4464,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64">
        <f>IF(AND('Loan Tape (S&amp;P)'!U4464="Yes",
        'Loan Tape (S&amp;P)'!T4464&lt;&gt;"Yes",
        DATEDIF('Loan Tape (S&amp;P)'!K4464, TODAY(), "M")&lt;18),
    1.10,
    1.00)</f>
        <v/>
      </c>
      <c r="O4464">
        <f>IF('Loan Tape (S&amp;P)'!T4464="Yes",
    1.35,
    1.00)</f>
        <v/>
      </c>
      <c r="P4464">
        <f>IF('Loan Tape (S&amp;P)'!S4464="Yes",
    1.15,
    1.00)</f>
        <v/>
      </c>
      <c r="Q4464">
        <f>IF('Loan Tape (S&amp;P)'!V4464="Yes",
    1.20,
    1.00)</f>
        <v/>
      </c>
      <c r="T4464">
        <f>LET(
    payment_method,'Loan Tape (S&amp;P)'!P4464,
    occupancy,'Loan Tape (S&amp;P)'!N4464,
    maturity_date,'Loan Tape (S&amp;P)'!L4464,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65">
      <c r="J4465">
        <f>LET(
    lien,'Loan Tape (S&amp;P)'!Q4465,
    IF(lien="First",1.00,
        IF(lien="Second",1.50,
            1.70)))</f>
        <v/>
      </c>
      <c r="K4465">
        <f>LET(
    purpose,'Loan Tape (S&amp;P)'!R4465,
    IF(purpose="Purchase",1.00,
        IF(purpose="Remortgage",1.00,
            1.20)))</f>
        <v/>
      </c>
      <c r="L4465">
        <f>LET(
    arrears_months,'Loan Tape (S&amp;P)'!AN4465,
    IF(arrears_months=0,1.00,
    IF(arrears_months=1,3.00,
    IF(arrears_months=2,5.00,
    IF(arrears_months=3,8.00,
    IF(arrears_months=4,10.00,
    IF(arrears_months=5,12.00,15.00)))))))</f>
        <v/>
      </c>
      <c r="M4465">
        <f>LET(
    seasoning_years,DATEDIF('Loan Tape (S&amp;P)'!K4465,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65">
        <f>IF(AND('Loan Tape (S&amp;P)'!U4465="Yes",
        'Loan Tape (S&amp;P)'!T4465&lt;&gt;"Yes",
        DATEDIF('Loan Tape (S&amp;P)'!K4465, TODAY(), "M")&lt;18),
    1.10,
    1.00)</f>
        <v/>
      </c>
      <c r="O4465">
        <f>IF('Loan Tape (S&amp;P)'!T4465="Yes",
    1.35,
    1.00)</f>
        <v/>
      </c>
      <c r="P4465">
        <f>IF('Loan Tape (S&amp;P)'!S4465="Yes",
    1.15,
    1.00)</f>
        <v/>
      </c>
      <c r="Q4465">
        <f>IF('Loan Tape (S&amp;P)'!V4465="Yes",
    1.20,
    1.00)</f>
        <v/>
      </c>
      <c r="T4465">
        <f>LET(
    payment_method,'Loan Tape (S&amp;P)'!P4465,
    occupancy,'Loan Tape (S&amp;P)'!N4465,
    maturity_date,'Loan Tape (S&amp;P)'!L4465,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66">
      <c r="J4466">
        <f>LET(
    lien,'Loan Tape (S&amp;P)'!Q4466,
    IF(lien="First",1.00,
        IF(lien="Second",1.50,
            1.70)))</f>
        <v/>
      </c>
      <c r="K4466">
        <f>LET(
    purpose,'Loan Tape (S&amp;P)'!R4466,
    IF(purpose="Purchase",1.00,
        IF(purpose="Remortgage",1.00,
            1.20)))</f>
        <v/>
      </c>
      <c r="L4466">
        <f>LET(
    arrears_months,'Loan Tape (S&amp;P)'!AN4466,
    IF(arrears_months=0,1.00,
    IF(arrears_months=1,3.00,
    IF(arrears_months=2,5.00,
    IF(arrears_months=3,8.00,
    IF(arrears_months=4,10.00,
    IF(arrears_months=5,12.00,15.00)))))))</f>
        <v/>
      </c>
      <c r="M4466">
        <f>LET(
    seasoning_years,DATEDIF('Loan Tape (S&amp;P)'!K4466,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66">
        <f>IF(AND('Loan Tape (S&amp;P)'!U4466="Yes",
        'Loan Tape (S&amp;P)'!T4466&lt;&gt;"Yes",
        DATEDIF('Loan Tape (S&amp;P)'!K4466, TODAY(), "M")&lt;18),
    1.10,
    1.00)</f>
        <v/>
      </c>
      <c r="O4466">
        <f>IF('Loan Tape (S&amp;P)'!T4466="Yes",
    1.35,
    1.00)</f>
        <v/>
      </c>
      <c r="P4466">
        <f>IF('Loan Tape (S&amp;P)'!S4466="Yes",
    1.15,
    1.00)</f>
        <v/>
      </c>
      <c r="Q4466">
        <f>IF('Loan Tape (S&amp;P)'!V4466="Yes",
    1.20,
    1.00)</f>
        <v/>
      </c>
      <c r="T4466">
        <f>LET(
    payment_method,'Loan Tape (S&amp;P)'!P4466,
    occupancy,'Loan Tape (S&amp;P)'!N4466,
    maturity_date,'Loan Tape (S&amp;P)'!L4466,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67">
      <c r="J4467">
        <f>LET(
    lien,'Loan Tape (S&amp;P)'!Q4467,
    IF(lien="First",1.00,
        IF(lien="Second",1.50,
            1.70)))</f>
        <v/>
      </c>
      <c r="K4467">
        <f>LET(
    purpose,'Loan Tape (S&amp;P)'!R4467,
    IF(purpose="Purchase",1.00,
        IF(purpose="Remortgage",1.00,
            1.20)))</f>
        <v/>
      </c>
      <c r="L4467">
        <f>LET(
    arrears_months,'Loan Tape (S&amp;P)'!AN4467,
    IF(arrears_months=0,1.00,
    IF(arrears_months=1,3.00,
    IF(arrears_months=2,5.00,
    IF(arrears_months=3,8.00,
    IF(arrears_months=4,10.00,
    IF(arrears_months=5,12.00,15.00)))))))</f>
        <v/>
      </c>
      <c r="M4467">
        <f>LET(
    seasoning_years,DATEDIF('Loan Tape (S&amp;P)'!K4467,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67">
        <f>IF(AND('Loan Tape (S&amp;P)'!U4467="Yes",
        'Loan Tape (S&amp;P)'!T4467&lt;&gt;"Yes",
        DATEDIF('Loan Tape (S&amp;P)'!K4467, TODAY(), "M")&lt;18),
    1.10,
    1.00)</f>
        <v/>
      </c>
      <c r="O4467">
        <f>IF('Loan Tape (S&amp;P)'!T4467="Yes",
    1.35,
    1.00)</f>
        <v/>
      </c>
      <c r="P4467">
        <f>IF('Loan Tape (S&amp;P)'!S4467="Yes",
    1.15,
    1.00)</f>
        <v/>
      </c>
      <c r="Q4467">
        <f>IF('Loan Tape (S&amp;P)'!V4467="Yes",
    1.20,
    1.00)</f>
        <v/>
      </c>
      <c r="T4467">
        <f>LET(
    payment_method,'Loan Tape (S&amp;P)'!P4467,
    occupancy,'Loan Tape (S&amp;P)'!N4467,
    maturity_date,'Loan Tape (S&amp;P)'!L4467,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68">
      <c r="J4468">
        <f>LET(
    lien,'Loan Tape (S&amp;P)'!Q4468,
    IF(lien="First",1.00,
        IF(lien="Second",1.50,
            1.70)))</f>
        <v/>
      </c>
      <c r="K4468">
        <f>LET(
    purpose,'Loan Tape (S&amp;P)'!R4468,
    IF(purpose="Purchase",1.00,
        IF(purpose="Remortgage",1.00,
            1.20)))</f>
        <v/>
      </c>
      <c r="L4468">
        <f>LET(
    arrears_months,'Loan Tape (S&amp;P)'!AN4468,
    IF(arrears_months=0,1.00,
    IF(arrears_months=1,3.00,
    IF(arrears_months=2,5.00,
    IF(arrears_months=3,8.00,
    IF(arrears_months=4,10.00,
    IF(arrears_months=5,12.00,15.00)))))))</f>
        <v/>
      </c>
      <c r="M4468">
        <f>LET(
    seasoning_years,DATEDIF('Loan Tape (S&amp;P)'!K4468,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68">
        <f>IF(AND('Loan Tape (S&amp;P)'!U4468="Yes",
        'Loan Tape (S&amp;P)'!T4468&lt;&gt;"Yes",
        DATEDIF('Loan Tape (S&amp;P)'!K4468, TODAY(), "M")&lt;18),
    1.10,
    1.00)</f>
        <v/>
      </c>
      <c r="O4468">
        <f>IF('Loan Tape (S&amp;P)'!T4468="Yes",
    1.35,
    1.00)</f>
        <v/>
      </c>
      <c r="P4468">
        <f>IF('Loan Tape (S&amp;P)'!S4468="Yes",
    1.15,
    1.00)</f>
        <v/>
      </c>
      <c r="Q4468">
        <f>IF('Loan Tape (S&amp;P)'!V4468="Yes",
    1.20,
    1.00)</f>
        <v/>
      </c>
      <c r="T4468">
        <f>LET(
    payment_method,'Loan Tape (S&amp;P)'!P4468,
    occupancy,'Loan Tape (S&amp;P)'!N4468,
    maturity_date,'Loan Tape (S&amp;P)'!L4468,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69">
      <c r="J4469">
        <f>LET(
    lien,'Loan Tape (S&amp;P)'!Q4469,
    IF(lien="First",1.00,
        IF(lien="Second",1.50,
            1.70)))</f>
        <v/>
      </c>
      <c r="K4469">
        <f>LET(
    purpose,'Loan Tape (S&amp;P)'!R4469,
    IF(purpose="Purchase",1.00,
        IF(purpose="Remortgage",1.00,
            1.20)))</f>
        <v/>
      </c>
      <c r="L4469">
        <f>LET(
    arrears_months,'Loan Tape (S&amp;P)'!AN4469,
    IF(arrears_months=0,1.00,
    IF(arrears_months=1,3.00,
    IF(arrears_months=2,5.00,
    IF(arrears_months=3,8.00,
    IF(arrears_months=4,10.00,
    IF(arrears_months=5,12.00,15.00)))))))</f>
        <v/>
      </c>
      <c r="M4469">
        <f>LET(
    seasoning_years,DATEDIF('Loan Tape (S&amp;P)'!K4469,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69">
        <f>IF(AND('Loan Tape (S&amp;P)'!U4469="Yes",
        'Loan Tape (S&amp;P)'!T4469&lt;&gt;"Yes",
        DATEDIF('Loan Tape (S&amp;P)'!K4469, TODAY(), "M")&lt;18),
    1.10,
    1.00)</f>
        <v/>
      </c>
      <c r="O4469">
        <f>IF('Loan Tape (S&amp;P)'!T4469="Yes",
    1.35,
    1.00)</f>
        <v/>
      </c>
      <c r="P4469">
        <f>IF('Loan Tape (S&amp;P)'!S4469="Yes",
    1.15,
    1.00)</f>
        <v/>
      </c>
      <c r="Q4469">
        <f>IF('Loan Tape (S&amp;P)'!V4469="Yes",
    1.20,
    1.00)</f>
        <v/>
      </c>
      <c r="T4469">
        <f>LET(
    payment_method,'Loan Tape (S&amp;P)'!P4469,
    occupancy,'Loan Tape (S&amp;P)'!N4469,
    maturity_date,'Loan Tape (S&amp;P)'!L4469,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70">
      <c r="J4470">
        <f>LET(
    lien,'Loan Tape (S&amp;P)'!Q4470,
    IF(lien="First",1.00,
        IF(lien="Second",1.50,
            1.70)))</f>
        <v/>
      </c>
      <c r="K4470">
        <f>LET(
    purpose,'Loan Tape (S&amp;P)'!R4470,
    IF(purpose="Purchase",1.00,
        IF(purpose="Remortgage",1.00,
            1.20)))</f>
        <v/>
      </c>
      <c r="L4470">
        <f>LET(
    arrears_months,'Loan Tape (S&amp;P)'!AN4470,
    IF(arrears_months=0,1.00,
    IF(arrears_months=1,3.00,
    IF(arrears_months=2,5.00,
    IF(arrears_months=3,8.00,
    IF(arrears_months=4,10.00,
    IF(arrears_months=5,12.00,15.00)))))))</f>
        <v/>
      </c>
      <c r="M4470">
        <f>LET(
    seasoning_years,DATEDIF('Loan Tape (S&amp;P)'!K4470,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70">
        <f>IF(AND('Loan Tape (S&amp;P)'!U4470="Yes",
        'Loan Tape (S&amp;P)'!T4470&lt;&gt;"Yes",
        DATEDIF('Loan Tape (S&amp;P)'!K4470, TODAY(), "M")&lt;18),
    1.10,
    1.00)</f>
        <v/>
      </c>
      <c r="O4470">
        <f>IF('Loan Tape (S&amp;P)'!T4470="Yes",
    1.35,
    1.00)</f>
        <v/>
      </c>
      <c r="P4470">
        <f>IF('Loan Tape (S&amp;P)'!S4470="Yes",
    1.15,
    1.00)</f>
        <v/>
      </c>
      <c r="Q4470">
        <f>IF('Loan Tape (S&amp;P)'!V4470="Yes",
    1.20,
    1.00)</f>
        <v/>
      </c>
      <c r="T4470">
        <f>LET(
    payment_method,'Loan Tape (S&amp;P)'!P4470,
    occupancy,'Loan Tape (S&amp;P)'!N4470,
    maturity_date,'Loan Tape (S&amp;P)'!L4470,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71">
      <c r="J4471">
        <f>LET(
    lien,'Loan Tape (S&amp;P)'!Q4471,
    IF(lien="First",1.00,
        IF(lien="Second",1.50,
            1.70)))</f>
        <v/>
      </c>
      <c r="K4471">
        <f>LET(
    purpose,'Loan Tape (S&amp;P)'!R4471,
    IF(purpose="Purchase",1.00,
        IF(purpose="Remortgage",1.00,
            1.20)))</f>
        <v/>
      </c>
      <c r="L4471">
        <f>LET(
    arrears_months,'Loan Tape (S&amp;P)'!AN4471,
    IF(arrears_months=0,1.00,
    IF(arrears_months=1,3.00,
    IF(arrears_months=2,5.00,
    IF(arrears_months=3,8.00,
    IF(arrears_months=4,10.00,
    IF(arrears_months=5,12.00,15.00)))))))</f>
        <v/>
      </c>
      <c r="M4471">
        <f>LET(
    seasoning_years,DATEDIF('Loan Tape (S&amp;P)'!K4471,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71">
        <f>IF(AND('Loan Tape (S&amp;P)'!U4471="Yes",
        'Loan Tape (S&amp;P)'!T4471&lt;&gt;"Yes",
        DATEDIF('Loan Tape (S&amp;P)'!K4471, TODAY(), "M")&lt;18),
    1.10,
    1.00)</f>
        <v/>
      </c>
      <c r="O4471">
        <f>IF('Loan Tape (S&amp;P)'!T4471="Yes",
    1.35,
    1.00)</f>
        <v/>
      </c>
      <c r="P4471">
        <f>IF('Loan Tape (S&amp;P)'!S4471="Yes",
    1.15,
    1.00)</f>
        <v/>
      </c>
      <c r="Q4471">
        <f>IF('Loan Tape (S&amp;P)'!V4471="Yes",
    1.20,
    1.00)</f>
        <v/>
      </c>
      <c r="T4471">
        <f>LET(
    payment_method,'Loan Tape (S&amp;P)'!P4471,
    occupancy,'Loan Tape (S&amp;P)'!N4471,
    maturity_date,'Loan Tape (S&amp;P)'!L4471,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72">
      <c r="J4472">
        <f>LET(
    lien,'Loan Tape (S&amp;P)'!Q4472,
    IF(lien="First",1.00,
        IF(lien="Second",1.50,
            1.70)))</f>
        <v/>
      </c>
      <c r="K4472">
        <f>LET(
    purpose,'Loan Tape (S&amp;P)'!R4472,
    IF(purpose="Purchase",1.00,
        IF(purpose="Remortgage",1.00,
            1.20)))</f>
        <v/>
      </c>
      <c r="L4472">
        <f>LET(
    arrears_months,'Loan Tape (S&amp;P)'!AN4472,
    IF(arrears_months=0,1.00,
    IF(arrears_months=1,3.00,
    IF(arrears_months=2,5.00,
    IF(arrears_months=3,8.00,
    IF(arrears_months=4,10.00,
    IF(arrears_months=5,12.00,15.00)))))))</f>
        <v/>
      </c>
      <c r="M4472">
        <f>LET(
    seasoning_years,DATEDIF('Loan Tape (S&amp;P)'!K4472,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72">
        <f>IF(AND('Loan Tape (S&amp;P)'!U4472="Yes",
        'Loan Tape (S&amp;P)'!T4472&lt;&gt;"Yes",
        DATEDIF('Loan Tape (S&amp;P)'!K4472, TODAY(), "M")&lt;18),
    1.10,
    1.00)</f>
        <v/>
      </c>
      <c r="O4472">
        <f>IF('Loan Tape (S&amp;P)'!T4472="Yes",
    1.35,
    1.00)</f>
        <v/>
      </c>
      <c r="P4472">
        <f>IF('Loan Tape (S&amp;P)'!S4472="Yes",
    1.15,
    1.00)</f>
        <v/>
      </c>
      <c r="Q4472">
        <f>IF('Loan Tape (S&amp;P)'!V4472="Yes",
    1.20,
    1.00)</f>
        <v/>
      </c>
      <c r="T4472">
        <f>LET(
    payment_method,'Loan Tape (S&amp;P)'!P4472,
    occupancy,'Loan Tape (S&amp;P)'!N4472,
    maturity_date,'Loan Tape (S&amp;P)'!L4472,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73">
      <c r="J4473">
        <f>LET(
    lien,'Loan Tape (S&amp;P)'!Q4473,
    IF(lien="First",1.00,
        IF(lien="Second",1.50,
            1.70)))</f>
        <v/>
      </c>
      <c r="K4473">
        <f>LET(
    purpose,'Loan Tape (S&amp;P)'!R4473,
    IF(purpose="Purchase",1.00,
        IF(purpose="Remortgage",1.00,
            1.20)))</f>
        <v/>
      </c>
      <c r="L4473">
        <f>LET(
    arrears_months,'Loan Tape (S&amp;P)'!AN4473,
    IF(arrears_months=0,1.00,
    IF(arrears_months=1,3.00,
    IF(arrears_months=2,5.00,
    IF(arrears_months=3,8.00,
    IF(arrears_months=4,10.00,
    IF(arrears_months=5,12.00,15.00)))))))</f>
        <v/>
      </c>
      <c r="M4473">
        <f>LET(
    seasoning_years,DATEDIF('Loan Tape (S&amp;P)'!K4473,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73">
        <f>IF(AND('Loan Tape (S&amp;P)'!U4473="Yes",
        'Loan Tape (S&amp;P)'!T4473&lt;&gt;"Yes",
        DATEDIF('Loan Tape (S&amp;P)'!K4473, TODAY(), "M")&lt;18),
    1.10,
    1.00)</f>
        <v/>
      </c>
      <c r="O4473">
        <f>IF('Loan Tape (S&amp;P)'!T4473="Yes",
    1.35,
    1.00)</f>
        <v/>
      </c>
      <c r="P4473">
        <f>IF('Loan Tape (S&amp;P)'!S4473="Yes",
    1.15,
    1.00)</f>
        <v/>
      </c>
      <c r="Q4473">
        <f>IF('Loan Tape (S&amp;P)'!V4473="Yes",
    1.20,
    1.00)</f>
        <v/>
      </c>
      <c r="T4473">
        <f>LET(
    payment_method,'Loan Tape (S&amp;P)'!P4473,
    occupancy,'Loan Tape (S&amp;P)'!N4473,
    maturity_date,'Loan Tape (S&amp;P)'!L4473,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74">
      <c r="J4474">
        <f>LET(
    lien,'Loan Tape (S&amp;P)'!Q4474,
    IF(lien="First",1.00,
        IF(lien="Second",1.50,
            1.70)))</f>
        <v/>
      </c>
      <c r="K4474">
        <f>LET(
    purpose,'Loan Tape (S&amp;P)'!R4474,
    IF(purpose="Purchase",1.00,
        IF(purpose="Remortgage",1.00,
            1.20)))</f>
        <v/>
      </c>
      <c r="L4474">
        <f>LET(
    arrears_months,'Loan Tape (S&amp;P)'!AN4474,
    IF(arrears_months=0,1.00,
    IF(arrears_months=1,3.00,
    IF(arrears_months=2,5.00,
    IF(arrears_months=3,8.00,
    IF(arrears_months=4,10.00,
    IF(arrears_months=5,12.00,15.00)))))))</f>
        <v/>
      </c>
      <c r="M4474">
        <f>LET(
    seasoning_years,DATEDIF('Loan Tape (S&amp;P)'!K4474,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74">
        <f>IF(AND('Loan Tape (S&amp;P)'!U4474="Yes",
        'Loan Tape (S&amp;P)'!T4474&lt;&gt;"Yes",
        DATEDIF('Loan Tape (S&amp;P)'!K4474, TODAY(), "M")&lt;18),
    1.10,
    1.00)</f>
        <v/>
      </c>
      <c r="O4474">
        <f>IF('Loan Tape (S&amp;P)'!T4474="Yes",
    1.35,
    1.00)</f>
        <v/>
      </c>
      <c r="P4474">
        <f>IF('Loan Tape (S&amp;P)'!S4474="Yes",
    1.15,
    1.00)</f>
        <v/>
      </c>
      <c r="Q4474">
        <f>IF('Loan Tape (S&amp;P)'!V4474="Yes",
    1.20,
    1.00)</f>
        <v/>
      </c>
      <c r="T4474">
        <f>LET(
    payment_method,'Loan Tape (S&amp;P)'!P4474,
    occupancy,'Loan Tape (S&amp;P)'!N4474,
    maturity_date,'Loan Tape (S&amp;P)'!L4474,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75">
      <c r="J4475">
        <f>LET(
    lien,'Loan Tape (S&amp;P)'!Q4475,
    IF(lien="First",1.00,
        IF(lien="Second",1.50,
            1.70)))</f>
        <v/>
      </c>
      <c r="K4475">
        <f>LET(
    purpose,'Loan Tape (S&amp;P)'!R4475,
    IF(purpose="Purchase",1.00,
        IF(purpose="Remortgage",1.00,
            1.20)))</f>
        <v/>
      </c>
      <c r="L4475">
        <f>LET(
    arrears_months,'Loan Tape (S&amp;P)'!AN4475,
    IF(arrears_months=0,1.00,
    IF(arrears_months=1,3.00,
    IF(arrears_months=2,5.00,
    IF(arrears_months=3,8.00,
    IF(arrears_months=4,10.00,
    IF(arrears_months=5,12.00,15.00)))))))</f>
        <v/>
      </c>
      <c r="M4475">
        <f>LET(
    seasoning_years,DATEDIF('Loan Tape (S&amp;P)'!K4475,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75">
        <f>IF(AND('Loan Tape (S&amp;P)'!U4475="Yes",
        'Loan Tape (S&amp;P)'!T4475&lt;&gt;"Yes",
        DATEDIF('Loan Tape (S&amp;P)'!K4475, TODAY(), "M")&lt;18),
    1.10,
    1.00)</f>
        <v/>
      </c>
      <c r="O4475">
        <f>IF('Loan Tape (S&amp;P)'!T4475="Yes",
    1.35,
    1.00)</f>
        <v/>
      </c>
      <c r="P4475">
        <f>IF('Loan Tape (S&amp;P)'!S4475="Yes",
    1.15,
    1.00)</f>
        <v/>
      </c>
      <c r="Q4475">
        <f>IF('Loan Tape (S&amp;P)'!V4475="Yes",
    1.20,
    1.00)</f>
        <v/>
      </c>
      <c r="T4475">
        <f>LET(
    payment_method,'Loan Tape (S&amp;P)'!P4475,
    occupancy,'Loan Tape (S&amp;P)'!N4475,
    maturity_date,'Loan Tape (S&amp;P)'!L4475,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76">
      <c r="J4476">
        <f>LET(
    lien,'Loan Tape (S&amp;P)'!Q4476,
    IF(lien="First",1.00,
        IF(lien="Second",1.50,
            1.70)))</f>
        <v/>
      </c>
      <c r="K4476">
        <f>LET(
    purpose,'Loan Tape (S&amp;P)'!R4476,
    IF(purpose="Purchase",1.00,
        IF(purpose="Remortgage",1.00,
            1.20)))</f>
        <v/>
      </c>
      <c r="L4476">
        <f>LET(
    arrears_months,'Loan Tape (S&amp;P)'!AN4476,
    IF(arrears_months=0,1.00,
    IF(arrears_months=1,3.00,
    IF(arrears_months=2,5.00,
    IF(arrears_months=3,8.00,
    IF(arrears_months=4,10.00,
    IF(arrears_months=5,12.00,15.00)))))))</f>
        <v/>
      </c>
      <c r="M4476">
        <f>LET(
    seasoning_years,DATEDIF('Loan Tape (S&amp;P)'!K4476,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76">
        <f>IF(AND('Loan Tape (S&amp;P)'!U4476="Yes",
        'Loan Tape (S&amp;P)'!T4476&lt;&gt;"Yes",
        DATEDIF('Loan Tape (S&amp;P)'!K4476, TODAY(), "M")&lt;18),
    1.10,
    1.00)</f>
        <v/>
      </c>
      <c r="O4476">
        <f>IF('Loan Tape (S&amp;P)'!T4476="Yes",
    1.35,
    1.00)</f>
        <v/>
      </c>
      <c r="P4476">
        <f>IF('Loan Tape (S&amp;P)'!S4476="Yes",
    1.15,
    1.00)</f>
        <v/>
      </c>
      <c r="Q4476">
        <f>IF('Loan Tape (S&amp;P)'!V4476="Yes",
    1.20,
    1.00)</f>
        <v/>
      </c>
      <c r="T4476">
        <f>LET(
    payment_method,'Loan Tape (S&amp;P)'!P4476,
    occupancy,'Loan Tape (S&amp;P)'!N4476,
    maturity_date,'Loan Tape (S&amp;P)'!L4476,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77">
      <c r="J4477">
        <f>LET(
    lien,'Loan Tape (S&amp;P)'!Q4477,
    IF(lien="First",1.00,
        IF(lien="Second",1.50,
            1.70)))</f>
        <v/>
      </c>
      <c r="K4477">
        <f>LET(
    purpose,'Loan Tape (S&amp;P)'!R4477,
    IF(purpose="Purchase",1.00,
        IF(purpose="Remortgage",1.00,
            1.20)))</f>
        <v/>
      </c>
      <c r="L4477">
        <f>LET(
    arrears_months,'Loan Tape (S&amp;P)'!AN4477,
    IF(arrears_months=0,1.00,
    IF(arrears_months=1,3.00,
    IF(arrears_months=2,5.00,
    IF(arrears_months=3,8.00,
    IF(arrears_months=4,10.00,
    IF(arrears_months=5,12.00,15.00)))))))</f>
        <v/>
      </c>
      <c r="M4477">
        <f>LET(
    seasoning_years,DATEDIF('Loan Tape (S&amp;P)'!K4477,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77">
        <f>IF(AND('Loan Tape (S&amp;P)'!U4477="Yes",
        'Loan Tape (S&amp;P)'!T4477&lt;&gt;"Yes",
        DATEDIF('Loan Tape (S&amp;P)'!K4477, TODAY(), "M")&lt;18),
    1.10,
    1.00)</f>
        <v/>
      </c>
      <c r="O4477">
        <f>IF('Loan Tape (S&amp;P)'!T4477="Yes",
    1.35,
    1.00)</f>
        <v/>
      </c>
      <c r="P4477">
        <f>IF('Loan Tape (S&amp;P)'!S4477="Yes",
    1.15,
    1.00)</f>
        <v/>
      </c>
      <c r="Q4477">
        <f>IF('Loan Tape (S&amp;P)'!V4477="Yes",
    1.20,
    1.00)</f>
        <v/>
      </c>
      <c r="T4477">
        <f>LET(
    payment_method,'Loan Tape (S&amp;P)'!P4477,
    occupancy,'Loan Tape (S&amp;P)'!N4477,
    maturity_date,'Loan Tape (S&amp;P)'!L4477,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78">
      <c r="J4478">
        <f>LET(
    lien,'Loan Tape (S&amp;P)'!Q4478,
    IF(lien="First",1.00,
        IF(lien="Second",1.50,
            1.70)))</f>
        <v/>
      </c>
      <c r="K4478">
        <f>LET(
    purpose,'Loan Tape (S&amp;P)'!R4478,
    IF(purpose="Purchase",1.00,
        IF(purpose="Remortgage",1.00,
            1.20)))</f>
        <v/>
      </c>
      <c r="L4478">
        <f>LET(
    arrears_months,'Loan Tape (S&amp;P)'!AN4478,
    IF(arrears_months=0,1.00,
    IF(arrears_months=1,3.00,
    IF(arrears_months=2,5.00,
    IF(arrears_months=3,8.00,
    IF(arrears_months=4,10.00,
    IF(arrears_months=5,12.00,15.00)))))))</f>
        <v/>
      </c>
      <c r="M4478">
        <f>LET(
    seasoning_years,DATEDIF('Loan Tape (S&amp;P)'!K4478,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78">
        <f>IF(AND('Loan Tape (S&amp;P)'!U4478="Yes",
        'Loan Tape (S&amp;P)'!T4478&lt;&gt;"Yes",
        DATEDIF('Loan Tape (S&amp;P)'!K4478, TODAY(), "M")&lt;18),
    1.10,
    1.00)</f>
        <v/>
      </c>
      <c r="O4478">
        <f>IF('Loan Tape (S&amp;P)'!T4478="Yes",
    1.35,
    1.00)</f>
        <v/>
      </c>
      <c r="P4478">
        <f>IF('Loan Tape (S&amp;P)'!S4478="Yes",
    1.15,
    1.00)</f>
        <v/>
      </c>
      <c r="Q4478">
        <f>IF('Loan Tape (S&amp;P)'!V4478="Yes",
    1.20,
    1.00)</f>
        <v/>
      </c>
      <c r="T4478">
        <f>LET(
    payment_method,'Loan Tape (S&amp;P)'!P4478,
    occupancy,'Loan Tape (S&amp;P)'!N4478,
    maturity_date,'Loan Tape (S&amp;P)'!L4478,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79">
      <c r="J4479">
        <f>LET(
    lien,'Loan Tape (S&amp;P)'!Q4479,
    IF(lien="First",1.00,
        IF(lien="Second",1.50,
            1.70)))</f>
        <v/>
      </c>
      <c r="K4479">
        <f>LET(
    purpose,'Loan Tape (S&amp;P)'!R4479,
    IF(purpose="Purchase",1.00,
        IF(purpose="Remortgage",1.00,
            1.20)))</f>
        <v/>
      </c>
      <c r="L4479">
        <f>LET(
    arrears_months,'Loan Tape (S&amp;P)'!AN4479,
    IF(arrears_months=0,1.00,
    IF(arrears_months=1,3.00,
    IF(arrears_months=2,5.00,
    IF(arrears_months=3,8.00,
    IF(arrears_months=4,10.00,
    IF(arrears_months=5,12.00,15.00)))))))</f>
        <v/>
      </c>
      <c r="M4479">
        <f>LET(
    seasoning_years,DATEDIF('Loan Tape (S&amp;P)'!K4479,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79">
        <f>IF(AND('Loan Tape (S&amp;P)'!U4479="Yes",
        'Loan Tape (S&amp;P)'!T4479&lt;&gt;"Yes",
        DATEDIF('Loan Tape (S&amp;P)'!K4479, TODAY(), "M")&lt;18),
    1.10,
    1.00)</f>
        <v/>
      </c>
      <c r="O4479">
        <f>IF('Loan Tape (S&amp;P)'!T4479="Yes",
    1.35,
    1.00)</f>
        <v/>
      </c>
      <c r="P4479">
        <f>IF('Loan Tape (S&amp;P)'!S4479="Yes",
    1.15,
    1.00)</f>
        <v/>
      </c>
      <c r="Q4479">
        <f>IF('Loan Tape (S&amp;P)'!V4479="Yes",
    1.20,
    1.00)</f>
        <v/>
      </c>
      <c r="T4479">
        <f>LET(
    payment_method,'Loan Tape (S&amp;P)'!P4479,
    occupancy,'Loan Tape (S&amp;P)'!N4479,
    maturity_date,'Loan Tape (S&amp;P)'!L4479,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80">
      <c r="J4480">
        <f>LET(
    lien,'Loan Tape (S&amp;P)'!Q4480,
    IF(lien="First",1.00,
        IF(lien="Second",1.50,
            1.70)))</f>
        <v/>
      </c>
      <c r="K4480">
        <f>LET(
    purpose,'Loan Tape (S&amp;P)'!R4480,
    IF(purpose="Purchase",1.00,
        IF(purpose="Remortgage",1.00,
            1.20)))</f>
        <v/>
      </c>
      <c r="L4480">
        <f>LET(
    arrears_months,'Loan Tape (S&amp;P)'!AN4480,
    IF(arrears_months=0,1.00,
    IF(arrears_months=1,3.00,
    IF(arrears_months=2,5.00,
    IF(arrears_months=3,8.00,
    IF(arrears_months=4,10.00,
    IF(arrears_months=5,12.00,15.00)))))))</f>
        <v/>
      </c>
      <c r="M4480">
        <f>LET(
    seasoning_years,DATEDIF('Loan Tape (S&amp;P)'!K4480,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80">
        <f>IF(AND('Loan Tape (S&amp;P)'!U4480="Yes",
        'Loan Tape (S&amp;P)'!T4480&lt;&gt;"Yes",
        DATEDIF('Loan Tape (S&amp;P)'!K4480, TODAY(), "M")&lt;18),
    1.10,
    1.00)</f>
        <v/>
      </c>
      <c r="O4480">
        <f>IF('Loan Tape (S&amp;P)'!T4480="Yes",
    1.35,
    1.00)</f>
        <v/>
      </c>
      <c r="P4480">
        <f>IF('Loan Tape (S&amp;P)'!S4480="Yes",
    1.15,
    1.00)</f>
        <v/>
      </c>
      <c r="Q4480">
        <f>IF('Loan Tape (S&amp;P)'!V4480="Yes",
    1.20,
    1.00)</f>
        <v/>
      </c>
      <c r="T4480">
        <f>LET(
    payment_method,'Loan Tape (S&amp;P)'!P4480,
    occupancy,'Loan Tape (S&amp;P)'!N4480,
    maturity_date,'Loan Tape (S&amp;P)'!L4480,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81">
      <c r="J4481">
        <f>LET(
    lien,'Loan Tape (S&amp;P)'!Q4481,
    IF(lien="First",1.00,
        IF(lien="Second",1.50,
            1.70)))</f>
        <v/>
      </c>
      <c r="K4481">
        <f>LET(
    purpose,'Loan Tape (S&amp;P)'!R4481,
    IF(purpose="Purchase",1.00,
        IF(purpose="Remortgage",1.00,
            1.20)))</f>
        <v/>
      </c>
      <c r="L4481">
        <f>LET(
    arrears_months,'Loan Tape (S&amp;P)'!AN4481,
    IF(arrears_months=0,1.00,
    IF(arrears_months=1,3.00,
    IF(arrears_months=2,5.00,
    IF(arrears_months=3,8.00,
    IF(arrears_months=4,10.00,
    IF(arrears_months=5,12.00,15.00)))))))</f>
        <v/>
      </c>
      <c r="M4481">
        <f>LET(
    seasoning_years,DATEDIF('Loan Tape (S&amp;P)'!K4481,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81">
        <f>IF(AND('Loan Tape (S&amp;P)'!U4481="Yes",
        'Loan Tape (S&amp;P)'!T4481&lt;&gt;"Yes",
        DATEDIF('Loan Tape (S&amp;P)'!K4481, TODAY(), "M")&lt;18),
    1.10,
    1.00)</f>
        <v/>
      </c>
      <c r="O4481">
        <f>IF('Loan Tape (S&amp;P)'!T4481="Yes",
    1.35,
    1.00)</f>
        <v/>
      </c>
      <c r="P4481">
        <f>IF('Loan Tape (S&amp;P)'!S4481="Yes",
    1.15,
    1.00)</f>
        <v/>
      </c>
      <c r="Q4481">
        <f>IF('Loan Tape (S&amp;P)'!V4481="Yes",
    1.20,
    1.00)</f>
        <v/>
      </c>
      <c r="T4481">
        <f>LET(
    payment_method,'Loan Tape (S&amp;P)'!P4481,
    occupancy,'Loan Tape (S&amp;P)'!N4481,
    maturity_date,'Loan Tape (S&amp;P)'!L4481,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82">
      <c r="J4482">
        <f>LET(
    lien,'Loan Tape (S&amp;P)'!Q4482,
    IF(lien="First",1.00,
        IF(lien="Second",1.50,
            1.70)))</f>
        <v/>
      </c>
      <c r="K4482">
        <f>LET(
    purpose,'Loan Tape (S&amp;P)'!R4482,
    IF(purpose="Purchase",1.00,
        IF(purpose="Remortgage",1.00,
            1.20)))</f>
        <v/>
      </c>
      <c r="L4482">
        <f>LET(
    arrears_months,'Loan Tape (S&amp;P)'!AN4482,
    IF(arrears_months=0,1.00,
    IF(arrears_months=1,3.00,
    IF(arrears_months=2,5.00,
    IF(arrears_months=3,8.00,
    IF(arrears_months=4,10.00,
    IF(arrears_months=5,12.00,15.00)))))))</f>
        <v/>
      </c>
      <c r="M4482">
        <f>LET(
    seasoning_years,DATEDIF('Loan Tape (S&amp;P)'!K4482,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82">
        <f>IF(AND('Loan Tape (S&amp;P)'!U4482="Yes",
        'Loan Tape (S&amp;P)'!T4482&lt;&gt;"Yes",
        DATEDIF('Loan Tape (S&amp;P)'!K4482, TODAY(), "M")&lt;18),
    1.10,
    1.00)</f>
        <v/>
      </c>
      <c r="O4482">
        <f>IF('Loan Tape (S&amp;P)'!T4482="Yes",
    1.35,
    1.00)</f>
        <v/>
      </c>
      <c r="P4482">
        <f>IF('Loan Tape (S&amp;P)'!S4482="Yes",
    1.15,
    1.00)</f>
        <v/>
      </c>
      <c r="Q4482">
        <f>IF('Loan Tape (S&amp;P)'!V4482="Yes",
    1.20,
    1.00)</f>
        <v/>
      </c>
      <c r="T4482">
        <f>LET(
    payment_method,'Loan Tape (S&amp;P)'!P4482,
    occupancy,'Loan Tape (S&amp;P)'!N4482,
    maturity_date,'Loan Tape (S&amp;P)'!L4482,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83">
      <c r="J4483">
        <f>LET(
    lien,'Loan Tape (S&amp;P)'!Q4483,
    IF(lien="First",1.00,
        IF(lien="Second",1.50,
            1.70)))</f>
        <v/>
      </c>
      <c r="K4483">
        <f>LET(
    purpose,'Loan Tape (S&amp;P)'!R4483,
    IF(purpose="Purchase",1.00,
        IF(purpose="Remortgage",1.00,
            1.20)))</f>
        <v/>
      </c>
      <c r="L4483">
        <f>LET(
    arrears_months,'Loan Tape (S&amp;P)'!AN4483,
    IF(arrears_months=0,1.00,
    IF(arrears_months=1,3.00,
    IF(arrears_months=2,5.00,
    IF(arrears_months=3,8.00,
    IF(arrears_months=4,10.00,
    IF(arrears_months=5,12.00,15.00)))))))</f>
        <v/>
      </c>
      <c r="M4483">
        <f>LET(
    seasoning_years,DATEDIF('Loan Tape (S&amp;P)'!K4483,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83">
        <f>IF(AND('Loan Tape (S&amp;P)'!U4483="Yes",
        'Loan Tape (S&amp;P)'!T4483&lt;&gt;"Yes",
        DATEDIF('Loan Tape (S&amp;P)'!K4483, TODAY(), "M")&lt;18),
    1.10,
    1.00)</f>
        <v/>
      </c>
      <c r="O4483">
        <f>IF('Loan Tape (S&amp;P)'!T4483="Yes",
    1.35,
    1.00)</f>
        <v/>
      </c>
      <c r="P4483">
        <f>IF('Loan Tape (S&amp;P)'!S4483="Yes",
    1.15,
    1.00)</f>
        <v/>
      </c>
      <c r="Q4483">
        <f>IF('Loan Tape (S&amp;P)'!V4483="Yes",
    1.20,
    1.00)</f>
        <v/>
      </c>
      <c r="T4483">
        <f>LET(
    payment_method,'Loan Tape (S&amp;P)'!P4483,
    occupancy,'Loan Tape (S&amp;P)'!N4483,
    maturity_date,'Loan Tape (S&amp;P)'!L4483,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84">
      <c r="J4484">
        <f>LET(
    lien,'Loan Tape (S&amp;P)'!Q4484,
    IF(lien="First",1.00,
        IF(lien="Second",1.50,
            1.70)))</f>
        <v/>
      </c>
      <c r="K4484">
        <f>LET(
    purpose,'Loan Tape (S&amp;P)'!R4484,
    IF(purpose="Purchase",1.00,
        IF(purpose="Remortgage",1.00,
            1.20)))</f>
        <v/>
      </c>
      <c r="L4484">
        <f>LET(
    arrears_months,'Loan Tape (S&amp;P)'!AN4484,
    IF(arrears_months=0,1.00,
    IF(arrears_months=1,3.00,
    IF(arrears_months=2,5.00,
    IF(arrears_months=3,8.00,
    IF(arrears_months=4,10.00,
    IF(arrears_months=5,12.00,15.00)))))))</f>
        <v/>
      </c>
      <c r="M4484">
        <f>LET(
    seasoning_years,DATEDIF('Loan Tape (S&amp;P)'!K4484,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84">
        <f>IF(AND('Loan Tape (S&amp;P)'!U4484="Yes",
        'Loan Tape (S&amp;P)'!T4484&lt;&gt;"Yes",
        DATEDIF('Loan Tape (S&amp;P)'!K4484, TODAY(), "M")&lt;18),
    1.10,
    1.00)</f>
        <v/>
      </c>
      <c r="O4484">
        <f>IF('Loan Tape (S&amp;P)'!T4484="Yes",
    1.35,
    1.00)</f>
        <v/>
      </c>
      <c r="P4484">
        <f>IF('Loan Tape (S&amp;P)'!S4484="Yes",
    1.15,
    1.00)</f>
        <v/>
      </c>
      <c r="Q4484">
        <f>IF('Loan Tape (S&amp;P)'!V4484="Yes",
    1.20,
    1.00)</f>
        <v/>
      </c>
      <c r="T4484">
        <f>LET(
    payment_method,'Loan Tape (S&amp;P)'!P4484,
    occupancy,'Loan Tape (S&amp;P)'!N4484,
    maturity_date,'Loan Tape (S&amp;P)'!L4484,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85">
      <c r="J4485">
        <f>LET(
    lien,'Loan Tape (S&amp;P)'!Q4485,
    IF(lien="First",1.00,
        IF(lien="Second",1.50,
            1.70)))</f>
        <v/>
      </c>
      <c r="K4485">
        <f>LET(
    purpose,'Loan Tape (S&amp;P)'!R4485,
    IF(purpose="Purchase",1.00,
        IF(purpose="Remortgage",1.00,
            1.20)))</f>
        <v/>
      </c>
      <c r="L4485">
        <f>LET(
    arrears_months,'Loan Tape (S&amp;P)'!AN4485,
    IF(arrears_months=0,1.00,
    IF(arrears_months=1,3.00,
    IF(arrears_months=2,5.00,
    IF(arrears_months=3,8.00,
    IF(arrears_months=4,10.00,
    IF(arrears_months=5,12.00,15.00)))))))</f>
        <v/>
      </c>
      <c r="M4485">
        <f>LET(
    seasoning_years,DATEDIF('Loan Tape (S&amp;P)'!K4485,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85">
        <f>IF(AND('Loan Tape (S&amp;P)'!U4485="Yes",
        'Loan Tape (S&amp;P)'!T4485&lt;&gt;"Yes",
        DATEDIF('Loan Tape (S&amp;P)'!K4485, TODAY(), "M")&lt;18),
    1.10,
    1.00)</f>
        <v/>
      </c>
      <c r="O4485">
        <f>IF('Loan Tape (S&amp;P)'!T4485="Yes",
    1.35,
    1.00)</f>
        <v/>
      </c>
      <c r="P4485">
        <f>IF('Loan Tape (S&amp;P)'!S4485="Yes",
    1.15,
    1.00)</f>
        <v/>
      </c>
      <c r="Q4485">
        <f>IF('Loan Tape (S&amp;P)'!V4485="Yes",
    1.20,
    1.00)</f>
        <v/>
      </c>
      <c r="T4485">
        <f>LET(
    payment_method,'Loan Tape (S&amp;P)'!P4485,
    occupancy,'Loan Tape (S&amp;P)'!N4485,
    maturity_date,'Loan Tape (S&amp;P)'!L4485,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86">
      <c r="J4486">
        <f>LET(
    lien,'Loan Tape (S&amp;P)'!Q4486,
    IF(lien="First",1.00,
        IF(lien="Second",1.50,
            1.70)))</f>
        <v/>
      </c>
      <c r="K4486">
        <f>LET(
    purpose,'Loan Tape (S&amp;P)'!R4486,
    IF(purpose="Purchase",1.00,
        IF(purpose="Remortgage",1.00,
            1.20)))</f>
        <v/>
      </c>
      <c r="L4486">
        <f>LET(
    arrears_months,'Loan Tape (S&amp;P)'!AN4486,
    IF(arrears_months=0,1.00,
    IF(arrears_months=1,3.00,
    IF(arrears_months=2,5.00,
    IF(arrears_months=3,8.00,
    IF(arrears_months=4,10.00,
    IF(arrears_months=5,12.00,15.00)))))))</f>
        <v/>
      </c>
      <c r="M4486">
        <f>LET(
    seasoning_years,DATEDIF('Loan Tape (S&amp;P)'!K4486,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86">
        <f>IF(AND('Loan Tape (S&amp;P)'!U4486="Yes",
        'Loan Tape (S&amp;P)'!T4486&lt;&gt;"Yes",
        DATEDIF('Loan Tape (S&amp;P)'!K4486, TODAY(), "M")&lt;18),
    1.10,
    1.00)</f>
        <v/>
      </c>
      <c r="O4486">
        <f>IF('Loan Tape (S&amp;P)'!T4486="Yes",
    1.35,
    1.00)</f>
        <v/>
      </c>
      <c r="P4486">
        <f>IF('Loan Tape (S&amp;P)'!S4486="Yes",
    1.15,
    1.00)</f>
        <v/>
      </c>
      <c r="Q4486">
        <f>IF('Loan Tape (S&amp;P)'!V4486="Yes",
    1.20,
    1.00)</f>
        <v/>
      </c>
      <c r="T4486">
        <f>LET(
    payment_method,'Loan Tape (S&amp;P)'!P4486,
    occupancy,'Loan Tape (S&amp;P)'!N4486,
    maturity_date,'Loan Tape (S&amp;P)'!L4486,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87">
      <c r="J4487">
        <f>LET(
    lien,'Loan Tape (S&amp;P)'!Q4487,
    IF(lien="First",1.00,
        IF(lien="Second",1.50,
            1.70)))</f>
        <v/>
      </c>
      <c r="K4487">
        <f>LET(
    purpose,'Loan Tape (S&amp;P)'!R4487,
    IF(purpose="Purchase",1.00,
        IF(purpose="Remortgage",1.00,
            1.20)))</f>
        <v/>
      </c>
      <c r="L4487">
        <f>LET(
    arrears_months,'Loan Tape (S&amp;P)'!AN4487,
    IF(arrears_months=0,1.00,
    IF(arrears_months=1,3.00,
    IF(arrears_months=2,5.00,
    IF(arrears_months=3,8.00,
    IF(arrears_months=4,10.00,
    IF(arrears_months=5,12.00,15.00)))))))</f>
        <v/>
      </c>
      <c r="M4487">
        <f>LET(
    seasoning_years,DATEDIF('Loan Tape (S&amp;P)'!K4487,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87">
        <f>IF(AND('Loan Tape (S&amp;P)'!U4487="Yes",
        'Loan Tape (S&amp;P)'!T4487&lt;&gt;"Yes",
        DATEDIF('Loan Tape (S&amp;P)'!K4487, TODAY(), "M")&lt;18),
    1.10,
    1.00)</f>
        <v/>
      </c>
      <c r="O4487">
        <f>IF('Loan Tape (S&amp;P)'!T4487="Yes",
    1.35,
    1.00)</f>
        <v/>
      </c>
      <c r="P4487">
        <f>IF('Loan Tape (S&amp;P)'!S4487="Yes",
    1.15,
    1.00)</f>
        <v/>
      </c>
      <c r="Q4487">
        <f>IF('Loan Tape (S&amp;P)'!V4487="Yes",
    1.20,
    1.00)</f>
        <v/>
      </c>
      <c r="T4487">
        <f>LET(
    payment_method,'Loan Tape (S&amp;P)'!P4487,
    occupancy,'Loan Tape (S&amp;P)'!N4487,
    maturity_date,'Loan Tape (S&amp;P)'!L4487,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88">
      <c r="J4488">
        <f>LET(
    lien,'Loan Tape (S&amp;P)'!Q4488,
    IF(lien="First",1.00,
        IF(lien="Second",1.50,
            1.70)))</f>
        <v/>
      </c>
      <c r="K4488">
        <f>LET(
    purpose,'Loan Tape (S&amp;P)'!R4488,
    IF(purpose="Purchase",1.00,
        IF(purpose="Remortgage",1.00,
            1.20)))</f>
        <v/>
      </c>
      <c r="L4488">
        <f>LET(
    arrears_months,'Loan Tape (S&amp;P)'!AN4488,
    IF(arrears_months=0,1.00,
    IF(arrears_months=1,3.00,
    IF(arrears_months=2,5.00,
    IF(arrears_months=3,8.00,
    IF(arrears_months=4,10.00,
    IF(arrears_months=5,12.00,15.00)))))))</f>
        <v/>
      </c>
      <c r="M4488">
        <f>LET(
    seasoning_years,DATEDIF('Loan Tape (S&amp;P)'!K4488,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88">
        <f>IF(AND('Loan Tape (S&amp;P)'!U4488="Yes",
        'Loan Tape (S&amp;P)'!T4488&lt;&gt;"Yes",
        DATEDIF('Loan Tape (S&amp;P)'!K4488, TODAY(), "M")&lt;18),
    1.10,
    1.00)</f>
        <v/>
      </c>
      <c r="O4488">
        <f>IF('Loan Tape (S&amp;P)'!T4488="Yes",
    1.35,
    1.00)</f>
        <v/>
      </c>
      <c r="P4488">
        <f>IF('Loan Tape (S&amp;P)'!S4488="Yes",
    1.15,
    1.00)</f>
        <v/>
      </c>
      <c r="Q4488">
        <f>IF('Loan Tape (S&amp;P)'!V4488="Yes",
    1.20,
    1.00)</f>
        <v/>
      </c>
      <c r="T4488">
        <f>LET(
    payment_method,'Loan Tape (S&amp;P)'!P4488,
    occupancy,'Loan Tape (S&amp;P)'!N4488,
    maturity_date,'Loan Tape (S&amp;P)'!L4488,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89">
      <c r="J4489">
        <f>LET(
    lien,'Loan Tape (S&amp;P)'!Q4489,
    IF(lien="First",1.00,
        IF(lien="Second",1.50,
            1.70)))</f>
        <v/>
      </c>
      <c r="K4489">
        <f>LET(
    purpose,'Loan Tape (S&amp;P)'!R4489,
    IF(purpose="Purchase",1.00,
        IF(purpose="Remortgage",1.00,
            1.20)))</f>
        <v/>
      </c>
      <c r="L4489">
        <f>LET(
    arrears_months,'Loan Tape (S&amp;P)'!AN4489,
    IF(arrears_months=0,1.00,
    IF(arrears_months=1,3.00,
    IF(arrears_months=2,5.00,
    IF(arrears_months=3,8.00,
    IF(arrears_months=4,10.00,
    IF(arrears_months=5,12.00,15.00)))))))</f>
        <v/>
      </c>
      <c r="M4489">
        <f>LET(
    seasoning_years,DATEDIF('Loan Tape (S&amp;P)'!K4489,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89">
        <f>IF(AND('Loan Tape (S&amp;P)'!U4489="Yes",
        'Loan Tape (S&amp;P)'!T4489&lt;&gt;"Yes",
        DATEDIF('Loan Tape (S&amp;P)'!K4489, TODAY(), "M")&lt;18),
    1.10,
    1.00)</f>
        <v/>
      </c>
      <c r="O4489">
        <f>IF('Loan Tape (S&amp;P)'!T4489="Yes",
    1.35,
    1.00)</f>
        <v/>
      </c>
      <c r="P4489">
        <f>IF('Loan Tape (S&amp;P)'!S4489="Yes",
    1.15,
    1.00)</f>
        <v/>
      </c>
      <c r="Q4489">
        <f>IF('Loan Tape (S&amp;P)'!V4489="Yes",
    1.20,
    1.00)</f>
        <v/>
      </c>
      <c r="T4489">
        <f>LET(
    payment_method,'Loan Tape (S&amp;P)'!P4489,
    occupancy,'Loan Tape (S&amp;P)'!N4489,
    maturity_date,'Loan Tape (S&amp;P)'!L4489,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90">
      <c r="J4490">
        <f>LET(
    lien,'Loan Tape (S&amp;P)'!Q4490,
    IF(lien="First",1.00,
        IF(lien="Second",1.50,
            1.70)))</f>
        <v/>
      </c>
      <c r="K4490">
        <f>LET(
    purpose,'Loan Tape (S&amp;P)'!R4490,
    IF(purpose="Purchase",1.00,
        IF(purpose="Remortgage",1.00,
            1.20)))</f>
        <v/>
      </c>
      <c r="L4490">
        <f>LET(
    arrears_months,'Loan Tape (S&amp;P)'!AN4490,
    IF(arrears_months=0,1.00,
    IF(arrears_months=1,3.00,
    IF(arrears_months=2,5.00,
    IF(arrears_months=3,8.00,
    IF(arrears_months=4,10.00,
    IF(arrears_months=5,12.00,15.00)))))))</f>
        <v/>
      </c>
      <c r="M4490">
        <f>LET(
    seasoning_years,DATEDIF('Loan Tape (S&amp;P)'!K4490,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90">
        <f>IF(AND('Loan Tape (S&amp;P)'!U4490="Yes",
        'Loan Tape (S&amp;P)'!T4490&lt;&gt;"Yes",
        DATEDIF('Loan Tape (S&amp;P)'!K4490, TODAY(), "M")&lt;18),
    1.10,
    1.00)</f>
        <v/>
      </c>
      <c r="O4490">
        <f>IF('Loan Tape (S&amp;P)'!T4490="Yes",
    1.35,
    1.00)</f>
        <v/>
      </c>
      <c r="P4490">
        <f>IF('Loan Tape (S&amp;P)'!S4490="Yes",
    1.15,
    1.00)</f>
        <v/>
      </c>
      <c r="Q4490">
        <f>IF('Loan Tape (S&amp;P)'!V4490="Yes",
    1.20,
    1.00)</f>
        <v/>
      </c>
      <c r="T4490">
        <f>LET(
    payment_method,'Loan Tape (S&amp;P)'!P4490,
    occupancy,'Loan Tape (S&amp;P)'!N4490,
    maturity_date,'Loan Tape (S&amp;P)'!L4490,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91">
      <c r="J4491">
        <f>LET(
    lien,'Loan Tape (S&amp;P)'!Q4491,
    IF(lien="First",1.00,
        IF(lien="Second",1.50,
            1.70)))</f>
        <v/>
      </c>
      <c r="K4491">
        <f>LET(
    purpose,'Loan Tape (S&amp;P)'!R4491,
    IF(purpose="Purchase",1.00,
        IF(purpose="Remortgage",1.00,
            1.20)))</f>
        <v/>
      </c>
      <c r="L4491">
        <f>LET(
    arrears_months,'Loan Tape (S&amp;P)'!AN4491,
    IF(arrears_months=0,1.00,
    IF(arrears_months=1,3.00,
    IF(arrears_months=2,5.00,
    IF(arrears_months=3,8.00,
    IF(arrears_months=4,10.00,
    IF(arrears_months=5,12.00,15.00)))))))</f>
        <v/>
      </c>
      <c r="M4491">
        <f>LET(
    seasoning_years,DATEDIF('Loan Tape (S&amp;P)'!K4491,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91">
        <f>IF(AND('Loan Tape (S&amp;P)'!U4491="Yes",
        'Loan Tape (S&amp;P)'!T4491&lt;&gt;"Yes",
        DATEDIF('Loan Tape (S&amp;P)'!K4491, TODAY(), "M")&lt;18),
    1.10,
    1.00)</f>
        <v/>
      </c>
      <c r="O4491">
        <f>IF('Loan Tape (S&amp;P)'!T4491="Yes",
    1.35,
    1.00)</f>
        <v/>
      </c>
      <c r="P4491">
        <f>IF('Loan Tape (S&amp;P)'!S4491="Yes",
    1.15,
    1.00)</f>
        <v/>
      </c>
      <c r="Q4491">
        <f>IF('Loan Tape (S&amp;P)'!V4491="Yes",
    1.20,
    1.00)</f>
        <v/>
      </c>
      <c r="T4491">
        <f>LET(
    payment_method,'Loan Tape (S&amp;P)'!P4491,
    occupancy,'Loan Tape (S&amp;P)'!N4491,
    maturity_date,'Loan Tape (S&amp;P)'!L4491,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92">
      <c r="J4492">
        <f>LET(
    lien,'Loan Tape (S&amp;P)'!Q4492,
    IF(lien="First",1.00,
        IF(lien="Second",1.50,
            1.70)))</f>
        <v/>
      </c>
      <c r="K4492">
        <f>LET(
    purpose,'Loan Tape (S&amp;P)'!R4492,
    IF(purpose="Purchase",1.00,
        IF(purpose="Remortgage",1.00,
            1.20)))</f>
        <v/>
      </c>
      <c r="L4492">
        <f>LET(
    arrears_months,'Loan Tape (S&amp;P)'!AN4492,
    IF(arrears_months=0,1.00,
    IF(arrears_months=1,3.00,
    IF(arrears_months=2,5.00,
    IF(arrears_months=3,8.00,
    IF(arrears_months=4,10.00,
    IF(arrears_months=5,12.00,15.00)))))))</f>
        <v/>
      </c>
      <c r="M4492">
        <f>LET(
    seasoning_years,DATEDIF('Loan Tape (S&amp;P)'!K4492,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92">
        <f>IF(AND('Loan Tape (S&amp;P)'!U4492="Yes",
        'Loan Tape (S&amp;P)'!T4492&lt;&gt;"Yes",
        DATEDIF('Loan Tape (S&amp;P)'!K4492, TODAY(), "M")&lt;18),
    1.10,
    1.00)</f>
        <v/>
      </c>
      <c r="O4492">
        <f>IF('Loan Tape (S&amp;P)'!T4492="Yes",
    1.35,
    1.00)</f>
        <v/>
      </c>
      <c r="P4492">
        <f>IF('Loan Tape (S&amp;P)'!S4492="Yes",
    1.15,
    1.00)</f>
        <v/>
      </c>
      <c r="Q4492">
        <f>IF('Loan Tape (S&amp;P)'!V4492="Yes",
    1.20,
    1.00)</f>
        <v/>
      </c>
      <c r="T4492">
        <f>LET(
    payment_method,'Loan Tape (S&amp;P)'!P4492,
    occupancy,'Loan Tape (S&amp;P)'!N4492,
    maturity_date,'Loan Tape (S&amp;P)'!L4492,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93">
      <c r="J4493">
        <f>LET(
    lien,'Loan Tape (S&amp;P)'!Q4493,
    IF(lien="First",1.00,
        IF(lien="Second",1.50,
            1.70)))</f>
        <v/>
      </c>
      <c r="K4493">
        <f>LET(
    purpose,'Loan Tape (S&amp;P)'!R4493,
    IF(purpose="Purchase",1.00,
        IF(purpose="Remortgage",1.00,
            1.20)))</f>
        <v/>
      </c>
      <c r="L4493">
        <f>LET(
    arrears_months,'Loan Tape (S&amp;P)'!AN4493,
    IF(arrears_months=0,1.00,
    IF(arrears_months=1,3.00,
    IF(arrears_months=2,5.00,
    IF(arrears_months=3,8.00,
    IF(arrears_months=4,10.00,
    IF(arrears_months=5,12.00,15.00)))))))</f>
        <v/>
      </c>
      <c r="M4493">
        <f>LET(
    seasoning_years,DATEDIF('Loan Tape (S&amp;P)'!K4493,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93">
        <f>IF(AND('Loan Tape (S&amp;P)'!U4493="Yes",
        'Loan Tape (S&amp;P)'!T4493&lt;&gt;"Yes",
        DATEDIF('Loan Tape (S&amp;P)'!K4493, TODAY(), "M")&lt;18),
    1.10,
    1.00)</f>
        <v/>
      </c>
      <c r="O4493">
        <f>IF('Loan Tape (S&amp;P)'!T4493="Yes",
    1.35,
    1.00)</f>
        <v/>
      </c>
      <c r="P4493">
        <f>IF('Loan Tape (S&amp;P)'!S4493="Yes",
    1.15,
    1.00)</f>
        <v/>
      </c>
      <c r="Q4493">
        <f>IF('Loan Tape (S&amp;P)'!V4493="Yes",
    1.20,
    1.00)</f>
        <v/>
      </c>
      <c r="T4493">
        <f>LET(
    payment_method,'Loan Tape (S&amp;P)'!P4493,
    occupancy,'Loan Tape (S&amp;P)'!N4493,
    maturity_date,'Loan Tape (S&amp;P)'!L4493,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94">
      <c r="J4494">
        <f>LET(
    lien,'Loan Tape (S&amp;P)'!Q4494,
    IF(lien="First",1.00,
        IF(lien="Second",1.50,
            1.70)))</f>
        <v/>
      </c>
      <c r="K4494">
        <f>LET(
    purpose,'Loan Tape (S&amp;P)'!R4494,
    IF(purpose="Purchase",1.00,
        IF(purpose="Remortgage",1.00,
            1.20)))</f>
        <v/>
      </c>
      <c r="L4494">
        <f>LET(
    arrears_months,'Loan Tape (S&amp;P)'!AN4494,
    IF(arrears_months=0,1.00,
    IF(arrears_months=1,3.00,
    IF(arrears_months=2,5.00,
    IF(arrears_months=3,8.00,
    IF(arrears_months=4,10.00,
    IF(arrears_months=5,12.00,15.00)))))))</f>
        <v/>
      </c>
      <c r="M4494">
        <f>LET(
    seasoning_years,DATEDIF('Loan Tape (S&amp;P)'!K4494,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94">
        <f>IF(AND('Loan Tape (S&amp;P)'!U4494="Yes",
        'Loan Tape (S&amp;P)'!T4494&lt;&gt;"Yes",
        DATEDIF('Loan Tape (S&amp;P)'!K4494, TODAY(), "M")&lt;18),
    1.10,
    1.00)</f>
        <v/>
      </c>
      <c r="O4494">
        <f>IF('Loan Tape (S&amp;P)'!T4494="Yes",
    1.35,
    1.00)</f>
        <v/>
      </c>
      <c r="P4494">
        <f>IF('Loan Tape (S&amp;P)'!S4494="Yes",
    1.15,
    1.00)</f>
        <v/>
      </c>
      <c r="Q4494">
        <f>IF('Loan Tape (S&amp;P)'!V4494="Yes",
    1.20,
    1.00)</f>
        <v/>
      </c>
      <c r="T4494">
        <f>LET(
    payment_method,'Loan Tape (S&amp;P)'!P4494,
    occupancy,'Loan Tape (S&amp;P)'!N4494,
    maturity_date,'Loan Tape (S&amp;P)'!L4494,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95">
      <c r="J4495">
        <f>LET(
    lien,'Loan Tape (S&amp;P)'!Q4495,
    IF(lien="First",1.00,
        IF(lien="Second",1.50,
            1.70)))</f>
        <v/>
      </c>
      <c r="K4495">
        <f>LET(
    purpose,'Loan Tape (S&amp;P)'!R4495,
    IF(purpose="Purchase",1.00,
        IF(purpose="Remortgage",1.00,
            1.20)))</f>
        <v/>
      </c>
      <c r="L4495">
        <f>LET(
    arrears_months,'Loan Tape (S&amp;P)'!AN4495,
    IF(arrears_months=0,1.00,
    IF(arrears_months=1,3.00,
    IF(arrears_months=2,5.00,
    IF(arrears_months=3,8.00,
    IF(arrears_months=4,10.00,
    IF(arrears_months=5,12.00,15.00)))))))</f>
        <v/>
      </c>
      <c r="M4495">
        <f>LET(
    seasoning_years,DATEDIF('Loan Tape (S&amp;P)'!K4495,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95">
        <f>IF(AND('Loan Tape (S&amp;P)'!U4495="Yes",
        'Loan Tape (S&amp;P)'!T4495&lt;&gt;"Yes",
        DATEDIF('Loan Tape (S&amp;P)'!K4495, TODAY(), "M")&lt;18),
    1.10,
    1.00)</f>
        <v/>
      </c>
      <c r="O4495">
        <f>IF('Loan Tape (S&amp;P)'!T4495="Yes",
    1.35,
    1.00)</f>
        <v/>
      </c>
      <c r="P4495">
        <f>IF('Loan Tape (S&amp;P)'!S4495="Yes",
    1.15,
    1.00)</f>
        <v/>
      </c>
      <c r="Q4495">
        <f>IF('Loan Tape (S&amp;P)'!V4495="Yes",
    1.20,
    1.00)</f>
        <v/>
      </c>
      <c r="T4495">
        <f>LET(
    payment_method,'Loan Tape (S&amp;P)'!P4495,
    occupancy,'Loan Tape (S&amp;P)'!N4495,
    maturity_date,'Loan Tape (S&amp;P)'!L4495,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96">
      <c r="J4496">
        <f>LET(
    lien,'Loan Tape (S&amp;P)'!Q4496,
    IF(lien="First",1.00,
        IF(lien="Second",1.50,
            1.70)))</f>
        <v/>
      </c>
      <c r="K4496">
        <f>LET(
    purpose,'Loan Tape (S&amp;P)'!R4496,
    IF(purpose="Purchase",1.00,
        IF(purpose="Remortgage",1.00,
            1.20)))</f>
        <v/>
      </c>
      <c r="L4496">
        <f>LET(
    arrears_months,'Loan Tape (S&amp;P)'!AN4496,
    IF(arrears_months=0,1.00,
    IF(arrears_months=1,3.00,
    IF(arrears_months=2,5.00,
    IF(arrears_months=3,8.00,
    IF(arrears_months=4,10.00,
    IF(arrears_months=5,12.00,15.00)))))))</f>
        <v/>
      </c>
      <c r="M4496">
        <f>LET(
    seasoning_years,DATEDIF('Loan Tape (S&amp;P)'!K4496,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96">
        <f>IF(AND('Loan Tape (S&amp;P)'!U4496="Yes",
        'Loan Tape (S&amp;P)'!T4496&lt;&gt;"Yes",
        DATEDIF('Loan Tape (S&amp;P)'!K4496, TODAY(), "M")&lt;18),
    1.10,
    1.00)</f>
        <v/>
      </c>
      <c r="O4496">
        <f>IF('Loan Tape (S&amp;P)'!T4496="Yes",
    1.35,
    1.00)</f>
        <v/>
      </c>
      <c r="P4496">
        <f>IF('Loan Tape (S&amp;P)'!S4496="Yes",
    1.15,
    1.00)</f>
        <v/>
      </c>
      <c r="Q4496">
        <f>IF('Loan Tape (S&amp;P)'!V4496="Yes",
    1.20,
    1.00)</f>
        <v/>
      </c>
      <c r="T4496">
        <f>LET(
    payment_method,'Loan Tape (S&amp;P)'!P4496,
    occupancy,'Loan Tape (S&amp;P)'!N4496,
    maturity_date,'Loan Tape (S&amp;P)'!L4496,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97">
      <c r="J4497">
        <f>LET(
    lien,'Loan Tape (S&amp;P)'!Q4497,
    IF(lien="First",1.00,
        IF(lien="Second",1.50,
            1.70)))</f>
        <v/>
      </c>
      <c r="K4497">
        <f>LET(
    purpose,'Loan Tape (S&amp;P)'!R4497,
    IF(purpose="Purchase",1.00,
        IF(purpose="Remortgage",1.00,
            1.20)))</f>
        <v/>
      </c>
      <c r="L4497">
        <f>LET(
    arrears_months,'Loan Tape (S&amp;P)'!AN4497,
    IF(arrears_months=0,1.00,
    IF(arrears_months=1,3.00,
    IF(arrears_months=2,5.00,
    IF(arrears_months=3,8.00,
    IF(arrears_months=4,10.00,
    IF(arrears_months=5,12.00,15.00)))))))</f>
        <v/>
      </c>
      <c r="M4497">
        <f>LET(
    seasoning_years,DATEDIF('Loan Tape (S&amp;P)'!K4497,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97">
        <f>IF(AND('Loan Tape (S&amp;P)'!U4497="Yes",
        'Loan Tape (S&amp;P)'!T4497&lt;&gt;"Yes",
        DATEDIF('Loan Tape (S&amp;P)'!K4497, TODAY(), "M")&lt;18),
    1.10,
    1.00)</f>
        <v/>
      </c>
      <c r="O4497">
        <f>IF('Loan Tape (S&amp;P)'!T4497="Yes",
    1.35,
    1.00)</f>
        <v/>
      </c>
      <c r="P4497">
        <f>IF('Loan Tape (S&amp;P)'!S4497="Yes",
    1.15,
    1.00)</f>
        <v/>
      </c>
      <c r="Q4497">
        <f>IF('Loan Tape (S&amp;P)'!V4497="Yes",
    1.20,
    1.00)</f>
        <v/>
      </c>
      <c r="T4497">
        <f>LET(
    payment_method,'Loan Tape (S&amp;P)'!P4497,
    occupancy,'Loan Tape (S&amp;P)'!N4497,
    maturity_date,'Loan Tape (S&amp;P)'!L4497,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98">
      <c r="J4498">
        <f>LET(
    lien,'Loan Tape (S&amp;P)'!Q4498,
    IF(lien="First",1.00,
        IF(lien="Second",1.50,
            1.70)))</f>
        <v/>
      </c>
      <c r="K4498">
        <f>LET(
    purpose,'Loan Tape (S&amp;P)'!R4498,
    IF(purpose="Purchase",1.00,
        IF(purpose="Remortgage",1.00,
            1.20)))</f>
        <v/>
      </c>
      <c r="L4498">
        <f>LET(
    arrears_months,'Loan Tape (S&amp;P)'!AN4498,
    IF(arrears_months=0,1.00,
    IF(arrears_months=1,3.00,
    IF(arrears_months=2,5.00,
    IF(arrears_months=3,8.00,
    IF(arrears_months=4,10.00,
    IF(arrears_months=5,12.00,15.00)))))))</f>
        <v/>
      </c>
      <c r="M4498">
        <f>LET(
    seasoning_years,DATEDIF('Loan Tape (S&amp;P)'!K4498,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98">
        <f>IF(AND('Loan Tape (S&amp;P)'!U4498="Yes",
        'Loan Tape (S&amp;P)'!T4498&lt;&gt;"Yes",
        DATEDIF('Loan Tape (S&amp;P)'!K4498, TODAY(), "M")&lt;18),
    1.10,
    1.00)</f>
        <v/>
      </c>
      <c r="O4498">
        <f>IF('Loan Tape (S&amp;P)'!T4498="Yes",
    1.35,
    1.00)</f>
        <v/>
      </c>
      <c r="P4498">
        <f>IF('Loan Tape (S&amp;P)'!S4498="Yes",
    1.15,
    1.00)</f>
        <v/>
      </c>
      <c r="Q4498">
        <f>IF('Loan Tape (S&amp;P)'!V4498="Yes",
    1.20,
    1.00)</f>
        <v/>
      </c>
      <c r="T4498">
        <f>LET(
    payment_method,'Loan Tape (S&amp;P)'!P4498,
    occupancy,'Loan Tape (S&amp;P)'!N4498,
    maturity_date,'Loan Tape (S&amp;P)'!L4498,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499">
      <c r="J4499">
        <f>LET(
    lien,'Loan Tape (S&amp;P)'!Q4499,
    IF(lien="First",1.00,
        IF(lien="Second",1.50,
            1.70)))</f>
        <v/>
      </c>
      <c r="K4499">
        <f>LET(
    purpose,'Loan Tape (S&amp;P)'!R4499,
    IF(purpose="Purchase",1.00,
        IF(purpose="Remortgage",1.00,
            1.20)))</f>
        <v/>
      </c>
      <c r="L4499">
        <f>LET(
    arrears_months,'Loan Tape (S&amp;P)'!AN4499,
    IF(arrears_months=0,1.00,
    IF(arrears_months=1,3.00,
    IF(arrears_months=2,5.00,
    IF(arrears_months=3,8.00,
    IF(arrears_months=4,10.00,
    IF(arrears_months=5,12.00,15.00)))))))</f>
        <v/>
      </c>
      <c r="M4499">
        <f>LET(
    seasoning_years,DATEDIF('Loan Tape (S&amp;P)'!K4499,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499">
        <f>IF(AND('Loan Tape (S&amp;P)'!U4499="Yes",
        'Loan Tape (S&amp;P)'!T4499&lt;&gt;"Yes",
        DATEDIF('Loan Tape (S&amp;P)'!K4499, TODAY(), "M")&lt;18),
    1.10,
    1.00)</f>
        <v/>
      </c>
      <c r="O4499">
        <f>IF('Loan Tape (S&amp;P)'!T4499="Yes",
    1.35,
    1.00)</f>
        <v/>
      </c>
      <c r="P4499">
        <f>IF('Loan Tape (S&amp;P)'!S4499="Yes",
    1.15,
    1.00)</f>
        <v/>
      </c>
      <c r="Q4499">
        <f>IF('Loan Tape (S&amp;P)'!V4499="Yes",
    1.20,
    1.00)</f>
        <v/>
      </c>
      <c r="T4499">
        <f>LET(
    payment_method,'Loan Tape (S&amp;P)'!P4499,
    occupancy,'Loan Tape (S&amp;P)'!N4499,
    maturity_date,'Loan Tape (S&amp;P)'!L4499,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00">
      <c r="J4500">
        <f>LET(
    lien,'Loan Tape (S&amp;P)'!Q4500,
    IF(lien="First",1.00,
        IF(lien="Second",1.50,
            1.70)))</f>
        <v/>
      </c>
      <c r="K4500">
        <f>LET(
    purpose,'Loan Tape (S&amp;P)'!R4500,
    IF(purpose="Purchase",1.00,
        IF(purpose="Remortgage",1.00,
            1.20)))</f>
        <v/>
      </c>
      <c r="L4500">
        <f>LET(
    arrears_months,'Loan Tape (S&amp;P)'!AN4500,
    IF(arrears_months=0,1.00,
    IF(arrears_months=1,3.00,
    IF(arrears_months=2,5.00,
    IF(arrears_months=3,8.00,
    IF(arrears_months=4,10.00,
    IF(arrears_months=5,12.00,15.00)))))))</f>
        <v/>
      </c>
      <c r="M4500">
        <f>LET(
    seasoning_years,DATEDIF('Loan Tape (S&amp;P)'!K4500,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00">
        <f>IF(AND('Loan Tape (S&amp;P)'!U4500="Yes",
        'Loan Tape (S&amp;P)'!T4500&lt;&gt;"Yes",
        DATEDIF('Loan Tape (S&amp;P)'!K4500, TODAY(), "M")&lt;18),
    1.10,
    1.00)</f>
        <v/>
      </c>
      <c r="O4500">
        <f>IF('Loan Tape (S&amp;P)'!T4500="Yes",
    1.35,
    1.00)</f>
        <v/>
      </c>
      <c r="P4500">
        <f>IF('Loan Tape (S&amp;P)'!S4500="Yes",
    1.15,
    1.00)</f>
        <v/>
      </c>
      <c r="Q4500">
        <f>IF('Loan Tape (S&amp;P)'!V4500="Yes",
    1.20,
    1.00)</f>
        <v/>
      </c>
      <c r="T4500">
        <f>LET(
    payment_method,'Loan Tape (S&amp;P)'!P4500,
    occupancy,'Loan Tape (S&amp;P)'!N4500,
    maturity_date,'Loan Tape (S&amp;P)'!L4500,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01">
      <c r="J4501">
        <f>LET(
    lien,'Loan Tape (S&amp;P)'!Q4501,
    IF(lien="First",1.00,
        IF(lien="Second",1.50,
            1.70)))</f>
        <v/>
      </c>
      <c r="K4501">
        <f>LET(
    purpose,'Loan Tape (S&amp;P)'!R4501,
    IF(purpose="Purchase",1.00,
        IF(purpose="Remortgage",1.00,
            1.20)))</f>
        <v/>
      </c>
      <c r="L4501">
        <f>LET(
    arrears_months,'Loan Tape (S&amp;P)'!AN4501,
    IF(arrears_months=0,1.00,
    IF(arrears_months=1,3.00,
    IF(arrears_months=2,5.00,
    IF(arrears_months=3,8.00,
    IF(arrears_months=4,10.00,
    IF(arrears_months=5,12.00,15.00)))))))</f>
        <v/>
      </c>
      <c r="M4501">
        <f>LET(
    seasoning_years,DATEDIF('Loan Tape (S&amp;P)'!K4501,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01">
        <f>IF(AND('Loan Tape (S&amp;P)'!U4501="Yes",
        'Loan Tape (S&amp;P)'!T4501&lt;&gt;"Yes",
        DATEDIF('Loan Tape (S&amp;P)'!K4501, TODAY(), "M")&lt;18),
    1.10,
    1.00)</f>
        <v/>
      </c>
      <c r="O4501">
        <f>IF('Loan Tape (S&amp;P)'!T4501="Yes",
    1.35,
    1.00)</f>
        <v/>
      </c>
      <c r="P4501">
        <f>IF('Loan Tape (S&amp;P)'!S4501="Yes",
    1.15,
    1.00)</f>
        <v/>
      </c>
      <c r="Q4501">
        <f>IF('Loan Tape (S&amp;P)'!V4501="Yes",
    1.20,
    1.00)</f>
        <v/>
      </c>
      <c r="T4501">
        <f>LET(
    payment_method,'Loan Tape (S&amp;P)'!P4501,
    occupancy,'Loan Tape (S&amp;P)'!N4501,
    maturity_date,'Loan Tape (S&amp;P)'!L4501,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02">
      <c r="J4502">
        <f>LET(
    lien,'Loan Tape (S&amp;P)'!Q4502,
    IF(lien="First",1.00,
        IF(lien="Second",1.50,
            1.70)))</f>
        <v/>
      </c>
      <c r="K4502">
        <f>LET(
    purpose,'Loan Tape (S&amp;P)'!R4502,
    IF(purpose="Purchase",1.00,
        IF(purpose="Remortgage",1.00,
            1.20)))</f>
        <v/>
      </c>
      <c r="L4502">
        <f>LET(
    arrears_months,'Loan Tape (S&amp;P)'!AN4502,
    IF(arrears_months=0,1.00,
    IF(arrears_months=1,3.00,
    IF(arrears_months=2,5.00,
    IF(arrears_months=3,8.00,
    IF(arrears_months=4,10.00,
    IF(arrears_months=5,12.00,15.00)))))))</f>
        <v/>
      </c>
      <c r="M4502">
        <f>LET(
    seasoning_years,DATEDIF('Loan Tape (S&amp;P)'!K4502,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02">
        <f>IF(AND('Loan Tape (S&amp;P)'!U4502="Yes",
        'Loan Tape (S&amp;P)'!T4502&lt;&gt;"Yes",
        DATEDIF('Loan Tape (S&amp;P)'!K4502, TODAY(), "M")&lt;18),
    1.10,
    1.00)</f>
        <v/>
      </c>
      <c r="O4502">
        <f>IF('Loan Tape (S&amp;P)'!T4502="Yes",
    1.35,
    1.00)</f>
        <v/>
      </c>
      <c r="P4502">
        <f>IF('Loan Tape (S&amp;P)'!S4502="Yes",
    1.15,
    1.00)</f>
        <v/>
      </c>
      <c r="Q4502">
        <f>IF('Loan Tape (S&amp;P)'!V4502="Yes",
    1.20,
    1.00)</f>
        <v/>
      </c>
      <c r="T4502">
        <f>LET(
    payment_method,'Loan Tape (S&amp;P)'!P4502,
    occupancy,'Loan Tape (S&amp;P)'!N4502,
    maturity_date,'Loan Tape (S&amp;P)'!L4502,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03">
      <c r="J4503">
        <f>LET(
    lien,'Loan Tape (S&amp;P)'!Q4503,
    IF(lien="First",1.00,
        IF(lien="Second",1.50,
            1.70)))</f>
        <v/>
      </c>
      <c r="K4503">
        <f>LET(
    purpose,'Loan Tape (S&amp;P)'!R4503,
    IF(purpose="Purchase",1.00,
        IF(purpose="Remortgage",1.00,
            1.20)))</f>
        <v/>
      </c>
      <c r="L4503">
        <f>LET(
    arrears_months,'Loan Tape (S&amp;P)'!AN4503,
    IF(arrears_months=0,1.00,
    IF(arrears_months=1,3.00,
    IF(arrears_months=2,5.00,
    IF(arrears_months=3,8.00,
    IF(arrears_months=4,10.00,
    IF(arrears_months=5,12.00,15.00)))))))</f>
        <v/>
      </c>
      <c r="M4503">
        <f>LET(
    seasoning_years,DATEDIF('Loan Tape (S&amp;P)'!K4503,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03">
        <f>IF(AND('Loan Tape (S&amp;P)'!U4503="Yes",
        'Loan Tape (S&amp;P)'!T4503&lt;&gt;"Yes",
        DATEDIF('Loan Tape (S&amp;P)'!K4503, TODAY(), "M")&lt;18),
    1.10,
    1.00)</f>
        <v/>
      </c>
      <c r="O4503">
        <f>IF('Loan Tape (S&amp;P)'!T4503="Yes",
    1.35,
    1.00)</f>
        <v/>
      </c>
      <c r="P4503">
        <f>IF('Loan Tape (S&amp;P)'!S4503="Yes",
    1.15,
    1.00)</f>
        <v/>
      </c>
      <c r="Q4503">
        <f>IF('Loan Tape (S&amp;P)'!V4503="Yes",
    1.20,
    1.00)</f>
        <v/>
      </c>
      <c r="T4503">
        <f>LET(
    payment_method,'Loan Tape (S&amp;P)'!P4503,
    occupancy,'Loan Tape (S&amp;P)'!N4503,
    maturity_date,'Loan Tape (S&amp;P)'!L4503,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04">
      <c r="J4504">
        <f>LET(
    lien,'Loan Tape (S&amp;P)'!Q4504,
    IF(lien="First",1.00,
        IF(lien="Second",1.50,
            1.70)))</f>
        <v/>
      </c>
      <c r="K4504">
        <f>LET(
    purpose,'Loan Tape (S&amp;P)'!R4504,
    IF(purpose="Purchase",1.00,
        IF(purpose="Remortgage",1.00,
            1.20)))</f>
        <v/>
      </c>
      <c r="L4504">
        <f>LET(
    arrears_months,'Loan Tape (S&amp;P)'!AN4504,
    IF(arrears_months=0,1.00,
    IF(arrears_months=1,3.00,
    IF(arrears_months=2,5.00,
    IF(arrears_months=3,8.00,
    IF(arrears_months=4,10.00,
    IF(arrears_months=5,12.00,15.00)))))))</f>
        <v/>
      </c>
      <c r="M4504">
        <f>LET(
    seasoning_years,DATEDIF('Loan Tape (S&amp;P)'!K4504,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04">
        <f>IF(AND('Loan Tape (S&amp;P)'!U4504="Yes",
        'Loan Tape (S&amp;P)'!T4504&lt;&gt;"Yes",
        DATEDIF('Loan Tape (S&amp;P)'!K4504, TODAY(), "M")&lt;18),
    1.10,
    1.00)</f>
        <v/>
      </c>
      <c r="O4504">
        <f>IF('Loan Tape (S&amp;P)'!T4504="Yes",
    1.35,
    1.00)</f>
        <v/>
      </c>
      <c r="P4504">
        <f>IF('Loan Tape (S&amp;P)'!S4504="Yes",
    1.15,
    1.00)</f>
        <v/>
      </c>
      <c r="Q4504">
        <f>IF('Loan Tape (S&amp;P)'!V4504="Yes",
    1.20,
    1.00)</f>
        <v/>
      </c>
      <c r="T4504">
        <f>LET(
    payment_method,'Loan Tape (S&amp;P)'!P4504,
    occupancy,'Loan Tape (S&amp;P)'!N4504,
    maturity_date,'Loan Tape (S&amp;P)'!L4504,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05">
      <c r="J4505">
        <f>LET(
    lien,'Loan Tape (S&amp;P)'!Q4505,
    IF(lien="First",1.00,
        IF(lien="Second",1.50,
            1.70)))</f>
        <v/>
      </c>
      <c r="K4505">
        <f>LET(
    purpose,'Loan Tape (S&amp;P)'!R4505,
    IF(purpose="Purchase",1.00,
        IF(purpose="Remortgage",1.00,
            1.20)))</f>
        <v/>
      </c>
      <c r="L4505">
        <f>LET(
    arrears_months,'Loan Tape (S&amp;P)'!AN4505,
    IF(arrears_months=0,1.00,
    IF(arrears_months=1,3.00,
    IF(arrears_months=2,5.00,
    IF(arrears_months=3,8.00,
    IF(arrears_months=4,10.00,
    IF(arrears_months=5,12.00,15.00)))))))</f>
        <v/>
      </c>
      <c r="M4505">
        <f>LET(
    seasoning_years,DATEDIF('Loan Tape (S&amp;P)'!K4505,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05">
        <f>IF(AND('Loan Tape (S&amp;P)'!U4505="Yes",
        'Loan Tape (S&amp;P)'!T4505&lt;&gt;"Yes",
        DATEDIF('Loan Tape (S&amp;P)'!K4505, TODAY(), "M")&lt;18),
    1.10,
    1.00)</f>
        <v/>
      </c>
      <c r="O4505">
        <f>IF('Loan Tape (S&amp;P)'!T4505="Yes",
    1.35,
    1.00)</f>
        <v/>
      </c>
      <c r="P4505">
        <f>IF('Loan Tape (S&amp;P)'!S4505="Yes",
    1.15,
    1.00)</f>
        <v/>
      </c>
      <c r="Q4505">
        <f>IF('Loan Tape (S&amp;P)'!V4505="Yes",
    1.20,
    1.00)</f>
        <v/>
      </c>
      <c r="T4505">
        <f>LET(
    payment_method,'Loan Tape (S&amp;P)'!P4505,
    occupancy,'Loan Tape (S&amp;P)'!N4505,
    maturity_date,'Loan Tape (S&amp;P)'!L4505,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06">
      <c r="J4506">
        <f>LET(
    lien,'Loan Tape (S&amp;P)'!Q4506,
    IF(lien="First",1.00,
        IF(lien="Second",1.50,
            1.70)))</f>
        <v/>
      </c>
      <c r="K4506">
        <f>LET(
    purpose,'Loan Tape (S&amp;P)'!R4506,
    IF(purpose="Purchase",1.00,
        IF(purpose="Remortgage",1.00,
            1.20)))</f>
        <v/>
      </c>
      <c r="L4506">
        <f>LET(
    arrears_months,'Loan Tape (S&amp;P)'!AN4506,
    IF(arrears_months=0,1.00,
    IF(arrears_months=1,3.00,
    IF(arrears_months=2,5.00,
    IF(arrears_months=3,8.00,
    IF(arrears_months=4,10.00,
    IF(arrears_months=5,12.00,15.00)))))))</f>
        <v/>
      </c>
      <c r="M4506">
        <f>LET(
    seasoning_years,DATEDIF('Loan Tape (S&amp;P)'!K4506,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06">
        <f>IF(AND('Loan Tape (S&amp;P)'!U4506="Yes",
        'Loan Tape (S&amp;P)'!T4506&lt;&gt;"Yes",
        DATEDIF('Loan Tape (S&amp;P)'!K4506, TODAY(), "M")&lt;18),
    1.10,
    1.00)</f>
        <v/>
      </c>
      <c r="O4506">
        <f>IF('Loan Tape (S&amp;P)'!T4506="Yes",
    1.35,
    1.00)</f>
        <v/>
      </c>
      <c r="P4506">
        <f>IF('Loan Tape (S&amp;P)'!S4506="Yes",
    1.15,
    1.00)</f>
        <v/>
      </c>
      <c r="Q4506">
        <f>IF('Loan Tape (S&amp;P)'!V4506="Yes",
    1.20,
    1.00)</f>
        <v/>
      </c>
      <c r="T4506">
        <f>LET(
    payment_method,'Loan Tape (S&amp;P)'!P4506,
    occupancy,'Loan Tape (S&amp;P)'!N4506,
    maturity_date,'Loan Tape (S&amp;P)'!L4506,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07">
      <c r="J4507">
        <f>LET(
    lien,'Loan Tape (S&amp;P)'!Q4507,
    IF(lien="First",1.00,
        IF(lien="Second",1.50,
            1.70)))</f>
        <v/>
      </c>
      <c r="K4507">
        <f>LET(
    purpose,'Loan Tape (S&amp;P)'!R4507,
    IF(purpose="Purchase",1.00,
        IF(purpose="Remortgage",1.00,
            1.20)))</f>
        <v/>
      </c>
      <c r="L4507">
        <f>LET(
    arrears_months,'Loan Tape (S&amp;P)'!AN4507,
    IF(arrears_months=0,1.00,
    IF(arrears_months=1,3.00,
    IF(arrears_months=2,5.00,
    IF(arrears_months=3,8.00,
    IF(arrears_months=4,10.00,
    IF(arrears_months=5,12.00,15.00)))))))</f>
        <v/>
      </c>
      <c r="M4507">
        <f>LET(
    seasoning_years,DATEDIF('Loan Tape (S&amp;P)'!K4507,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07">
        <f>IF(AND('Loan Tape (S&amp;P)'!U4507="Yes",
        'Loan Tape (S&amp;P)'!T4507&lt;&gt;"Yes",
        DATEDIF('Loan Tape (S&amp;P)'!K4507, TODAY(), "M")&lt;18),
    1.10,
    1.00)</f>
        <v/>
      </c>
      <c r="O4507">
        <f>IF('Loan Tape (S&amp;P)'!T4507="Yes",
    1.35,
    1.00)</f>
        <v/>
      </c>
      <c r="P4507">
        <f>IF('Loan Tape (S&amp;P)'!S4507="Yes",
    1.15,
    1.00)</f>
        <v/>
      </c>
      <c r="Q4507">
        <f>IF('Loan Tape (S&amp;P)'!V4507="Yes",
    1.20,
    1.00)</f>
        <v/>
      </c>
      <c r="T4507">
        <f>LET(
    payment_method,'Loan Tape (S&amp;P)'!P4507,
    occupancy,'Loan Tape (S&amp;P)'!N4507,
    maturity_date,'Loan Tape (S&amp;P)'!L4507,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08">
      <c r="J4508">
        <f>LET(
    lien,'Loan Tape (S&amp;P)'!Q4508,
    IF(lien="First",1.00,
        IF(lien="Second",1.50,
            1.70)))</f>
        <v/>
      </c>
      <c r="K4508">
        <f>LET(
    purpose,'Loan Tape (S&amp;P)'!R4508,
    IF(purpose="Purchase",1.00,
        IF(purpose="Remortgage",1.00,
            1.20)))</f>
        <v/>
      </c>
      <c r="L4508">
        <f>LET(
    arrears_months,'Loan Tape (S&amp;P)'!AN4508,
    IF(arrears_months=0,1.00,
    IF(arrears_months=1,3.00,
    IF(arrears_months=2,5.00,
    IF(arrears_months=3,8.00,
    IF(arrears_months=4,10.00,
    IF(arrears_months=5,12.00,15.00)))))))</f>
        <v/>
      </c>
      <c r="M4508">
        <f>LET(
    seasoning_years,DATEDIF('Loan Tape (S&amp;P)'!K4508,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08">
        <f>IF(AND('Loan Tape (S&amp;P)'!U4508="Yes",
        'Loan Tape (S&amp;P)'!T4508&lt;&gt;"Yes",
        DATEDIF('Loan Tape (S&amp;P)'!K4508, TODAY(), "M")&lt;18),
    1.10,
    1.00)</f>
        <v/>
      </c>
      <c r="O4508">
        <f>IF('Loan Tape (S&amp;P)'!T4508="Yes",
    1.35,
    1.00)</f>
        <v/>
      </c>
      <c r="P4508">
        <f>IF('Loan Tape (S&amp;P)'!S4508="Yes",
    1.15,
    1.00)</f>
        <v/>
      </c>
      <c r="Q4508">
        <f>IF('Loan Tape (S&amp;P)'!V4508="Yes",
    1.20,
    1.00)</f>
        <v/>
      </c>
      <c r="T4508">
        <f>LET(
    payment_method,'Loan Tape (S&amp;P)'!P4508,
    occupancy,'Loan Tape (S&amp;P)'!N4508,
    maturity_date,'Loan Tape (S&amp;P)'!L4508,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09">
      <c r="J4509">
        <f>LET(
    lien,'Loan Tape (S&amp;P)'!Q4509,
    IF(lien="First",1.00,
        IF(lien="Second",1.50,
            1.70)))</f>
        <v/>
      </c>
      <c r="K4509">
        <f>LET(
    purpose,'Loan Tape (S&amp;P)'!R4509,
    IF(purpose="Purchase",1.00,
        IF(purpose="Remortgage",1.00,
            1.20)))</f>
        <v/>
      </c>
      <c r="L4509">
        <f>LET(
    arrears_months,'Loan Tape (S&amp;P)'!AN4509,
    IF(arrears_months=0,1.00,
    IF(arrears_months=1,3.00,
    IF(arrears_months=2,5.00,
    IF(arrears_months=3,8.00,
    IF(arrears_months=4,10.00,
    IF(arrears_months=5,12.00,15.00)))))))</f>
        <v/>
      </c>
      <c r="M4509">
        <f>LET(
    seasoning_years,DATEDIF('Loan Tape (S&amp;P)'!K4509,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09">
        <f>IF(AND('Loan Tape (S&amp;P)'!U4509="Yes",
        'Loan Tape (S&amp;P)'!T4509&lt;&gt;"Yes",
        DATEDIF('Loan Tape (S&amp;P)'!K4509, TODAY(), "M")&lt;18),
    1.10,
    1.00)</f>
        <v/>
      </c>
      <c r="O4509">
        <f>IF('Loan Tape (S&amp;P)'!T4509="Yes",
    1.35,
    1.00)</f>
        <v/>
      </c>
      <c r="P4509">
        <f>IF('Loan Tape (S&amp;P)'!S4509="Yes",
    1.15,
    1.00)</f>
        <v/>
      </c>
      <c r="Q4509">
        <f>IF('Loan Tape (S&amp;P)'!V4509="Yes",
    1.20,
    1.00)</f>
        <v/>
      </c>
      <c r="T4509">
        <f>LET(
    payment_method,'Loan Tape (S&amp;P)'!P4509,
    occupancy,'Loan Tape (S&amp;P)'!N4509,
    maturity_date,'Loan Tape (S&amp;P)'!L4509,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10">
      <c r="J4510">
        <f>LET(
    lien,'Loan Tape (S&amp;P)'!Q4510,
    IF(lien="First",1.00,
        IF(lien="Second",1.50,
            1.70)))</f>
        <v/>
      </c>
      <c r="K4510">
        <f>LET(
    purpose,'Loan Tape (S&amp;P)'!R4510,
    IF(purpose="Purchase",1.00,
        IF(purpose="Remortgage",1.00,
            1.20)))</f>
        <v/>
      </c>
      <c r="L4510">
        <f>LET(
    arrears_months,'Loan Tape (S&amp;P)'!AN4510,
    IF(arrears_months=0,1.00,
    IF(arrears_months=1,3.00,
    IF(arrears_months=2,5.00,
    IF(arrears_months=3,8.00,
    IF(arrears_months=4,10.00,
    IF(arrears_months=5,12.00,15.00)))))))</f>
        <v/>
      </c>
      <c r="M4510">
        <f>LET(
    seasoning_years,DATEDIF('Loan Tape (S&amp;P)'!K4510,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10">
        <f>IF(AND('Loan Tape (S&amp;P)'!U4510="Yes",
        'Loan Tape (S&amp;P)'!T4510&lt;&gt;"Yes",
        DATEDIF('Loan Tape (S&amp;P)'!K4510, TODAY(), "M")&lt;18),
    1.10,
    1.00)</f>
        <v/>
      </c>
      <c r="O4510">
        <f>IF('Loan Tape (S&amp;P)'!T4510="Yes",
    1.35,
    1.00)</f>
        <v/>
      </c>
      <c r="P4510">
        <f>IF('Loan Tape (S&amp;P)'!S4510="Yes",
    1.15,
    1.00)</f>
        <v/>
      </c>
      <c r="Q4510">
        <f>IF('Loan Tape (S&amp;P)'!V4510="Yes",
    1.20,
    1.00)</f>
        <v/>
      </c>
      <c r="T4510">
        <f>LET(
    payment_method,'Loan Tape (S&amp;P)'!P4510,
    occupancy,'Loan Tape (S&amp;P)'!N4510,
    maturity_date,'Loan Tape (S&amp;P)'!L4510,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11">
      <c r="J4511">
        <f>LET(
    lien,'Loan Tape (S&amp;P)'!Q4511,
    IF(lien="First",1.00,
        IF(lien="Second",1.50,
            1.70)))</f>
        <v/>
      </c>
      <c r="K4511">
        <f>LET(
    purpose,'Loan Tape (S&amp;P)'!R4511,
    IF(purpose="Purchase",1.00,
        IF(purpose="Remortgage",1.00,
            1.20)))</f>
        <v/>
      </c>
      <c r="L4511">
        <f>LET(
    arrears_months,'Loan Tape (S&amp;P)'!AN4511,
    IF(arrears_months=0,1.00,
    IF(arrears_months=1,3.00,
    IF(arrears_months=2,5.00,
    IF(arrears_months=3,8.00,
    IF(arrears_months=4,10.00,
    IF(arrears_months=5,12.00,15.00)))))))</f>
        <v/>
      </c>
      <c r="M4511">
        <f>LET(
    seasoning_years,DATEDIF('Loan Tape (S&amp;P)'!K4511,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11">
        <f>IF(AND('Loan Tape (S&amp;P)'!U4511="Yes",
        'Loan Tape (S&amp;P)'!T4511&lt;&gt;"Yes",
        DATEDIF('Loan Tape (S&amp;P)'!K4511, TODAY(), "M")&lt;18),
    1.10,
    1.00)</f>
        <v/>
      </c>
      <c r="O4511">
        <f>IF('Loan Tape (S&amp;P)'!T4511="Yes",
    1.35,
    1.00)</f>
        <v/>
      </c>
      <c r="P4511">
        <f>IF('Loan Tape (S&amp;P)'!S4511="Yes",
    1.15,
    1.00)</f>
        <v/>
      </c>
      <c r="Q4511">
        <f>IF('Loan Tape (S&amp;P)'!V4511="Yes",
    1.20,
    1.00)</f>
        <v/>
      </c>
      <c r="T4511">
        <f>LET(
    payment_method,'Loan Tape (S&amp;P)'!P4511,
    occupancy,'Loan Tape (S&amp;P)'!N4511,
    maturity_date,'Loan Tape (S&amp;P)'!L4511,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12">
      <c r="J4512">
        <f>LET(
    lien,'Loan Tape (S&amp;P)'!Q4512,
    IF(lien="First",1.00,
        IF(lien="Second",1.50,
            1.70)))</f>
        <v/>
      </c>
      <c r="K4512">
        <f>LET(
    purpose,'Loan Tape (S&amp;P)'!R4512,
    IF(purpose="Purchase",1.00,
        IF(purpose="Remortgage",1.00,
            1.20)))</f>
        <v/>
      </c>
      <c r="L4512">
        <f>LET(
    arrears_months,'Loan Tape (S&amp;P)'!AN4512,
    IF(arrears_months=0,1.00,
    IF(arrears_months=1,3.00,
    IF(arrears_months=2,5.00,
    IF(arrears_months=3,8.00,
    IF(arrears_months=4,10.00,
    IF(arrears_months=5,12.00,15.00)))))))</f>
        <v/>
      </c>
      <c r="M4512">
        <f>LET(
    seasoning_years,DATEDIF('Loan Tape (S&amp;P)'!K4512,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12">
        <f>IF(AND('Loan Tape (S&amp;P)'!U4512="Yes",
        'Loan Tape (S&amp;P)'!T4512&lt;&gt;"Yes",
        DATEDIF('Loan Tape (S&amp;P)'!K4512, TODAY(), "M")&lt;18),
    1.10,
    1.00)</f>
        <v/>
      </c>
      <c r="O4512">
        <f>IF('Loan Tape (S&amp;P)'!T4512="Yes",
    1.35,
    1.00)</f>
        <v/>
      </c>
      <c r="P4512">
        <f>IF('Loan Tape (S&amp;P)'!S4512="Yes",
    1.15,
    1.00)</f>
        <v/>
      </c>
      <c r="Q4512">
        <f>IF('Loan Tape (S&amp;P)'!V4512="Yes",
    1.20,
    1.00)</f>
        <v/>
      </c>
      <c r="T4512">
        <f>LET(
    payment_method,'Loan Tape (S&amp;P)'!P4512,
    occupancy,'Loan Tape (S&amp;P)'!N4512,
    maturity_date,'Loan Tape (S&amp;P)'!L4512,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13">
      <c r="J4513">
        <f>LET(
    lien,'Loan Tape (S&amp;P)'!Q4513,
    IF(lien="First",1.00,
        IF(lien="Second",1.50,
            1.70)))</f>
        <v/>
      </c>
      <c r="K4513">
        <f>LET(
    purpose,'Loan Tape (S&amp;P)'!R4513,
    IF(purpose="Purchase",1.00,
        IF(purpose="Remortgage",1.00,
            1.20)))</f>
        <v/>
      </c>
      <c r="L4513">
        <f>LET(
    arrears_months,'Loan Tape (S&amp;P)'!AN4513,
    IF(arrears_months=0,1.00,
    IF(arrears_months=1,3.00,
    IF(arrears_months=2,5.00,
    IF(arrears_months=3,8.00,
    IF(arrears_months=4,10.00,
    IF(arrears_months=5,12.00,15.00)))))))</f>
        <v/>
      </c>
      <c r="M4513">
        <f>LET(
    seasoning_years,DATEDIF('Loan Tape (S&amp;P)'!K4513,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13">
        <f>IF(AND('Loan Tape (S&amp;P)'!U4513="Yes",
        'Loan Tape (S&amp;P)'!T4513&lt;&gt;"Yes",
        DATEDIF('Loan Tape (S&amp;P)'!K4513, TODAY(), "M")&lt;18),
    1.10,
    1.00)</f>
        <v/>
      </c>
      <c r="O4513">
        <f>IF('Loan Tape (S&amp;P)'!T4513="Yes",
    1.35,
    1.00)</f>
        <v/>
      </c>
      <c r="P4513">
        <f>IF('Loan Tape (S&amp;P)'!S4513="Yes",
    1.15,
    1.00)</f>
        <v/>
      </c>
      <c r="Q4513">
        <f>IF('Loan Tape (S&amp;P)'!V4513="Yes",
    1.20,
    1.00)</f>
        <v/>
      </c>
      <c r="T4513">
        <f>LET(
    payment_method,'Loan Tape (S&amp;P)'!P4513,
    occupancy,'Loan Tape (S&amp;P)'!N4513,
    maturity_date,'Loan Tape (S&amp;P)'!L4513,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14">
      <c r="J4514">
        <f>LET(
    lien,'Loan Tape (S&amp;P)'!Q4514,
    IF(lien="First",1.00,
        IF(lien="Second",1.50,
            1.70)))</f>
        <v/>
      </c>
      <c r="K4514">
        <f>LET(
    purpose,'Loan Tape (S&amp;P)'!R4514,
    IF(purpose="Purchase",1.00,
        IF(purpose="Remortgage",1.00,
            1.20)))</f>
        <v/>
      </c>
      <c r="L4514">
        <f>LET(
    arrears_months,'Loan Tape (S&amp;P)'!AN4514,
    IF(arrears_months=0,1.00,
    IF(arrears_months=1,3.00,
    IF(arrears_months=2,5.00,
    IF(arrears_months=3,8.00,
    IF(arrears_months=4,10.00,
    IF(arrears_months=5,12.00,15.00)))))))</f>
        <v/>
      </c>
      <c r="M4514">
        <f>LET(
    seasoning_years,DATEDIF('Loan Tape (S&amp;P)'!K4514,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14">
        <f>IF(AND('Loan Tape (S&amp;P)'!U4514="Yes",
        'Loan Tape (S&amp;P)'!T4514&lt;&gt;"Yes",
        DATEDIF('Loan Tape (S&amp;P)'!K4514, TODAY(), "M")&lt;18),
    1.10,
    1.00)</f>
        <v/>
      </c>
      <c r="O4514">
        <f>IF('Loan Tape (S&amp;P)'!T4514="Yes",
    1.35,
    1.00)</f>
        <v/>
      </c>
      <c r="P4514">
        <f>IF('Loan Tape (S&amp;P)'!S4514="Yes",
    1.15,
    1.00)</f>
        <v/>
      </c>
      <c r="Q4514">
        <f>IF('Loan Tape (S&amp;P)'!V4514="Yes",
    1.20,
    1.00)</f>
        <v/>
      </c>
      <c r="T4514">
        <f>LET(
    payment_method,'Loan Tape (S&amp;P)'!P4514,
    occupancy,'Loan Tape (S&amp;P)'!N4514,
    maturity_date,'Loan Tape (S&amp;P)'!L4514,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15">
      <c r="J4515">
        <f>LET(
    lien,'Loan Tape (S&amp;P)'!Q4515,
    IF(lien="First",1.00,
        IF(lien="Second",1.50,
            1.70)))</f>
        <v/>
      </c>
      <c r="K4515">
        <f>LET(
    purpose,'Loan Tape (S&amp;P)'!R4515,
    IF(purpose="Purchase",1.00,
        IF(purpose="Remortgage",1.00,
            1.20)))</f>
        <v/>
      </c>
      <c r="L4515">
        <f>LET(
    arrears_months,'Loan Tape (S&amp;P)'!AN4515,
    IF(arrears_months=0,1.00,
    IF(arrears_months=1,3.00,
    IF(arrears_months=2,5.00,
    IF(arrears_months=3,8.00,
    IF(arrears_months=4,10.00,
    IF(arrears_months=5,12.00,15.00)))))))</f>
        <v/>
      </c>
      <c r="M4515">
        <f>LET(
    seasoning_years,DATEDIF('Loan Tape (S&amp;P)'!K4515,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15">
        <f>IF(AND('Loan Tape (S&amp;P)'!U4515="Yes",
        'Loan Tape (S&amp;P)'!T4515&lt;&gt;"Yes",
        DATEDIF('Loan Tape (S&amp;P)'!K4515, TODAY(), "M")&lt;18),
    1.10,
    1.00)</f>
        <v/>
      </c>
      <c r="O4515">
        <f>IF('Loan Tape (S&amp;P)'!T4515="Yes",
    1.35,
    1.00)</f>
        <v/>
      </c>
      <c r="P4515">
        <f>IF('Loan Tape (S&amp;P)'!S4515="Yes",
    1.15,
    1.00)</f>
        <v/>
      </c>
      <c r="Q4515">
        <f>IF('Loan Tape (S&amp;P)'!V4515="Yes",
    1.20,
    1.00)</f>
        <v/>
      </c>
      <c r="T4515">
        <f>LET(
    payment_method,'Loan Tape (S&amp;P)'!P4515,
    occupancy,'Loan Tape (S&amp;P)'!N4515,
    maturity_date,'Loan Tape (S&amp;P)'!L4515,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16">
      <c r="J4516">
        <f>LET(
    lien,'Loan Tape (S&amp;P)'!Q4516,
    IF(lien="First",1.00,
        IF(lien="Second",1.50,
            1.70)))</f>
        <v/>
      </c>
      <c r="K4516">
        <f>LET(
    purpose,'Loan Tape (S&amp;P)'!R4516,
    IF(purpose="Purchase",1.00,
        IF(purpose="Remortgage",1.00,
            1.20)))</f>
        <v/>
      </c>
      <c r="L4516">
        <f>LET(
    arrears_months,'Loan Tape (S&amp;P)'!AN4516,
    IF(arrears_months=0,1.00,
    IF(arrears_months=1,3.00,
    IF(arrears_months=2,5.00,
    IF(arrears_months=3,8.00,
    IF(arrears_months=4,10.00,
    IF(arrears_months=5,12.00,15.00)))))))</f>
        <v/>
      </c>
      <c r="M4516">
        <f>LET(
    seasoning_years,DATEDIF('Loan Tape (S&amp;P)'!K4516,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16">
        <f>IF(AND('Loan Tape (S&amp;P)'!U4516="Yes",
        'Loan Tape (S&amp;P)'!T4516&lt;&gt;"Yes",
        DATEDIF('Loan Tape (S&amp;P)'!K4516, TODAY(), "M")&lt;18),
    1.10,
    1.00)</f>
        <v/>
      </c>
      <c r="O4516">
        <f>IF('Loan Tape (S&amp;P)'!T4516="Yes",
    1.35,
    1.00)</f>
        <v/>
      </c>
      <c r="P4516">
        <f>IF('Loan Tape (S&amp;P)'!S4516="Yes",
    1.15,
    1.00)</f>
        <v/>
      </c>
      <c r="Q4516">
        <f>IF('Loan Tape (S&amp;P)'!V4516="Yes",
    1.20,
    1.00)</f>
        <v/>
      </c>
      <c r="T4516">
        <f>LET(
    payment_method,'Loan Tape (S&amp;P)'!P4516,
    occupancy,'Loan Tape (S&amp;P)'!N4516,
    maturity_date,'Loan Tape (S&amp;P)'!L4516,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17">
      <c r="J4517">
        <f>LET(
    lien,'Loan Tape (S&amp;P)'!Q4517,
    IF(lien="First",1.00,
        IF(lien="Second",1.50,
            1.70)))</f>
        <v/>
      </c>
      <c r="K4517">
        <f>LET(
    purpose,'Loan Tape (S&amp;P)'!R4517,
    IF(purpose="Purchase",1.00,
        IF(purpose="Remortgage",1.00,
            1.20)))</f>
        <v/>
      </c>
      <c r="L4517">
        <f>LET(
    arrears_months,'Loan Tape (S&amp;P)'!AN4517,
    IF(arrears_months=0,1.00,
    IF(arrears_months=1,3.00,
    IF(arrears_months=2,5.00,
    IF(arrears_months=3,8.00,
    IF(arrears_months=4,10.00,
    IF(arrears_months=5,12.00,15.00)))))))</f>
        <v/>
      </c>
      <c r="M4517">
        <f>LET(
    seasoning_years,DATEDIF('Loan Tape (S&amp;P)'!K4517,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17">
        <f>IF(AND('Loan Tape (S&amp;P)'!U4517="Yes",
        'Loan Tape (S&amp;P)'!T4517&lt;&gt;"Yes",
        DATEDIF('Loan Tape (S&amp;P)'!K4517, TODAY(), "M")&lt;18),
    1.10,
    1.00)</f>
        <v/>
      </c>
      <c r="O4517">
        <f>IF('Loan Tape (S&amp;P)'!T4517="Yes",
    1.35,
    1.00)</f>
        <v/>
      </c>
      <c r="P4517">
        <f>IF('Loan Tape (S&amp;P)'!S4517="Yes",
    1.15,
    1.00)</f>
        <v/>
      </c>
      <c r="Q4517">
        <f>IF('Loan Tape (S&amp;P)'!V4517="Yes",
    1.20,
    1.00)</f>
        <v/>
      </c>
      <c r="T4517">
        <f>LET(
    payment_method,'Loan Tape (S&amp;P)'!P4517,
    occupancy,'Loan Tape (S&amp;P)'!N4517,
    maturity_date,'Loan Tape (S&amp;P)'!L4517,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18">
      <c r="J4518">
        <f>LET(
    lien,'Loan Tape (S&amp;P)'!Q4518,
    IF(lien="First",1.00,
        IF(lien="Second",1.50,
            1.70)))</f>
        <v/>
      </c>
      <c r="K4518">
        <f>LET(
    purpose,'Loan Tape (S&amp;P)'!R4518,
    IF(purpose="Purchase",1.00,
        IF(purpose="Remortgage",1.00,
            1.20)))</f>
        <v/>
      </c>
      <c r="L4518">
        <f>LET(
    arrears_months,'Loan Tape (S&amp;P)'!AN4518,
    IF(arrears_months=0,1.00,
    IF(arrears_months=1,3.00,
    IF(arrears_months=2,5.00,
    IF(arrears_months=3,8.00,
    IF(arrears_months=4,10.00,
    IF(arrears_months=5,12.00,15.00)))))))</f>
        <v/>
      </c>
      <c r="M4518">
        <f>LET(
    seasoning_years,DATEDIF('Loan Tape (S&amp;P)'!K4518,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18">
        <f>IF(AND('Loan Tape (S&amp;P)'!U4518="Yes",
        'Loan Tape (S&amp;P)'!T4518&lt;&gt;"Yes",
        DATEDIF('Loan Tape (S&amp;P)'!K4518, TODAY(), "M")&lt;18),
    1.10,
    1.00)</f>
        <v/>
      </c>
      <c r="O4518">
        <f>IF('Loan Tape (S&amp;P)'!T4518="Yes",
    1.35,
    1.00)</f>
        <v/>
      </c>
      <c r="P4518">
        <f>IF('Loan Tape (S&amp;P)'!S4518="Yes",
    1.15,
    1.00)</f>
        <v/>
      </c>
      <c r="Q4518">
        <f>IF('Loan Tape (S&amp;P)'!V4518="Yes",
    1.20,
    1.00)</f>
        <v/>
      </c>
      <c r="T4518">
        <f>LET(
    payment_method,'Loan Tape (S&amp;P)'!P4518,
    occupancy,'Loan Tape (S&amp;P)'!N4518,
    maturity_date,'Loan Tape (S&amp;P)'!L4518,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19">
      <c r="J4519">
        <f>LET(
    lien,'Loan Tape (S&amp;P)'!Q4519,
    IF(lien="First",1.00,
        IF(lien="Second",1.50,
            1.70)))</f>
        <v/>
      </c>
      <c r="K4519">
        <f>LET(
    purpose,'Loan Tape (S&amp;P)'!R4519,
    IF(purpose="Purchase",1.00,
        IF(purpose="Remortgage",1.00,
            1.20)))</f>
        <v/>
      </c>
      <c r="L4519">
        <f>LET(
    arrears_months,'Loan Tape (S&amp;P)'!AN4519,
    IF(arrears_months=0,1.00,
    IF(arrears_months=1,3.00,
    IF(arrears_months=2,5.00,
    IF(arrears_months=3,8.00,
    IF(arrears_months=4,10.00,
    IF(arrears_months=5,12.00,15.00)))))))</f>
        <v/>
      </c>
      <c r="M4519">
        <f>LET(
    seasoning_years,DATEDIF('Loan Tape (S&amp;P)'!K4519,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19">
        <f>IF(AND('Loan Tape (S&amp;P)'!U4519="Yes",
        'Loan Tape (S&amp;P)'!T4519&lt;&gt;"Yes",
        DATEDIF('Loan Tape (S&amp;P)'!K4519, TODAY(), "M")&lt;18),
    1.10,
    1.00)</f>
        <v/>
      </c>
      <c r="O4519">
        <f>IF('Loan Tape (S&amp;P)'!T4519="Yes",
    1.35,
    1.00)</f>
        <v/>
      </c>
      <c r="P4519">
        <f>IF('Loan Tape (S&amp;P)'!S4519="Yes",
    1.15,
    1.00)</f>
        <v/>
      </c>
      <c r="Q4519">
        <f>IF('Loan Tape (S&amp;P)'!V4519="Yes",
    1.20,
    1.00)</f>
        <v/>
      </c>
      <c r="T4519">
        <f>LET(
    payment_method,'Loan Tape (S&amp;P)'!P4519,
    occupancy,'Loan Tape (S&amp;P)'!N4519,
    maturity_date,'Loan Tape (S&amp;P)'!L4519,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20">
      <c r="J4520">
        <f>LET(
    lien,'Loan Tape (S&amp;P)'!Q4520,
    IF(lien="First",1.00,
        IF(lien="Second",1.50,
            1.70)))</f>
        <v/>
      </c>
      <c r="K4520">
        <f>LET(
    purpose,'Loan Tape (S&amp;P)'!R4520,
    IF(purpose="Purchase",1.00,
        IF(purpose="Remortgage",1.00,
            1.20)))</f>
        <v/>
      </c>
      <c r="L4520">
        <f>LET(
    arrears_months,'Loan Tape (S&amp;P)'!AN4520,
    IF(arrears_months=0,1.00,
    IF(arrears_months=1,3.00,
    IF(arrears_months=2,5.00,
    IF(arrears_months=3,8.00,
    IF(arrears_months=4,10.00,
    IF(arrears_months=5,12.00,15.00)))))))</f>
        <v/>
      </c>
      <c r="M4520">
        <f>LET(
    seasoning_years,DATEDIF('Loan Tape (S&amp;P)'!K4520,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20">
        <f>IF(AND('Loan Tape (S&amp;P)'!U4520="Yes",
        'Loan Tape (S&amp;P)'!T4520&lt;&gt;"Yes",
        DATEDIF('Loan Tape (S&amp;P)'!K4520, TODAY(), "M")&lt;18),
    1.10,
    1.00)</f>
        <v/>
      </c>
      <c r="O4520">
        <f>IF('Loan Tape (S&amp;P)'!T4520="Yes",
    1.35,
    1.00)</f>
        <v/>
      </c>
      <c r="P4520">
        <f>IF('Loan Tape (S&amp;P)'!S4520="Yes",
    1.15,
    1.00)</f>
        <v/>
      </c>
      <c r="Q4520">
        <f>IF('Loan Tape (S&amp;P)'!V4520="Yes",
    1.20,
    1.00)</f>
        <v/>
      </c>
      <c r="T4520">
        <f>LET(
    payment_method,'Loan Tape (S&amp;P)'!P4520,
    occupancy,'Loan Tape (S&amp;P)'!N4520,
    maturity_date,'Loan Tape (S&amp;P)'!L4520,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21">
      <c r="J4521">
        <f>LET(
    lien,'Loan Tape (S&amp;P)'!Q4521,
    IF(lien="First",1.00,
        IF(lien="Second",1.50,
            1.70)))</f>
        <v/>
      </c>
      <c r="K4521">
        <f>LET(
    purpose,'Loan Tape (S&amp;P)'!R4521,
    IF(purpose="Purchase",1.00,
        IF(purpose="Remortgage",1.00,
            1.20)))</f>
        <v/>
      </c>
      <c r="L4521">
        <f>LET(
    arrears_months,'Loan Tape (S&amp;P)'!AN4521,
    IF(arrears_months=0,1.00,
    IF(arrears_months=1,3.00,
    IF(arrears_months=2,5.00,
    IF(arrears_months=3,8.00,
    IF(arrears_months=4,10.00,
    IF(arrears_months=5,12.00,15.00)))))))</f>
        <v/>
      </c>
      <c r="M4521">
        <f>LET(
    seasoning_years,DATEDIF('Loan Tape (S&amp;P)'!K4521,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21">
        <f>IF(AND('Loan Tape (S&amp;P)'!U4521="Yes",
        'Loan Tape (S&amp;P)'!T4521&lt;&gt;"Yes",
        DATEDIF('Loan Tape (S&amp;P)'!K4521, TODAY(), "M")&lt;18),
    1.10,
    1.00)</f>
        <v/>
      </c>
      <c r="O4521">
        <f>IF('Loan Tape (S&amp;P)'!T4521="Yes",
    1.35,
    1.00)</f>
        <v/>
      </c>
      <c r="P4521">
        <f>IF('Loan Tape (S&amp;P)'!S4521="Yes",
    1.15,
    1.00)</f>
        <v/>
      </c>
      <c r="Q4521">
        <f>IF('Loan Tape (S&amp;P)'!V4521="Yes",
    1.20,
    1.00)</f>
        <v/>
      </c>
      <c r="T4521">
        <f>LET(
    payment_method,'Loan Tape (S&amp;P)'!P4521,
    occupancy,'Loan Tape (S&amp;P)'!N4521,
    maturity_date,'Loan Tape (S&amp;P)'!L4521,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22">
      <c r="J4522">
        <f>LET(
    lien,'Loan Tape (S&amp;P)'!Q4522,
    IF(lien="First",1.00,
        IF(lien="Second",1.50,
            1.70)))</f>
        <v/>
      </c>
      <c r="K4522">
        <f>LET(
    purpose,'Loan Tape (S&amp;P)'!R4522,
    IF(purpose="Purchase",1.00,
        IF(purpose="Remortgage",1.00,
            1.20)))</f>
        <v/>
      </c>
      <c r="L4522">
        <f>LET(
    arrears_months,'Loan Tape (S&amp;P)'!AN4522,
    IF(arrears_months=0,1.00,
    IF(arrears_months=1,3.00,
    IF(arrears_months=2,5.00,
    IF(arrears_months=3,8.00,
    IF(arrears_months=4,10.00,
    IF(arrears_months=5,12.00,15.00)))))))</f>
        <v/>
      </c>
      <c r="M4522">
        <f>LET(
    seasoning_years,DATEDIF('Loan Tape (S&amp;P)'!K4522,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22">
        <f>IF(AND('Loan Tape (S&amp;P)'!U4522="Yes",
        'Loan Tape (S&amp;P)'!T4522&lt;&gt;"Yes",
        DATEDIF('Loan Tape (S&amp;P)'!K4522, TODAY(), "M")&lt;18),
    1.10,
    1.00)</f>
        <v/>
      </c>
      <c r="O4522">
        <f>IF('Loan Tape (S&amp;P)'!T4522="Yes",
    1.35,
    1.00)</f>
        <v/>
      </c>
      <c r="P4522">
        <f>IF('Loan Tape (S&amp;P)'!S4522="Yes",
    1.15,
    1.00)</f>
        <v/>
      </c>
      <c r="Q4522">
        <f>IF('Loan Tape (S&amp;P)'!V4522="Yes",
    1.20,
    1.00)</f>
        <v/>
      </c>
      <c r="T4522">
        <f>LET(
    payment_method,'Loan Tape (S&amp;P)'!P4522,
    occupancy,'Loan Tape (S&amp;P)'!N4522,
    maturity_date,'Loan Tape (S&amp;P)'!L4522,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23">
      <c r="J4523">
        <f>LET(
    lien,'Loan Tape (S&amp;P)'!Q4523,
    IF(lien="First",1.00,
        IF(lien="Second",1.50,
            1.70)))</f>
        <v/>
      </c>
      <c r="K4523">
        <f>LET(
    purpose,'Loan Tape (S&amp;P)'!R4523,
    IF(purpose="Purchase",1.00,
        IF(purpose="Remortgage",1.00,
            1.20)))</f>
        <v/>
      </c>
      <c r="L4523">
        <f>LET(
    arrears_months,'Loan Tape (S&amp;P)'!AN4523,
    IF(arrears_months=0,1.00,
    IF(arrears_months=1,3.00,
    IF(arrears_months=2,5.00,
    IF(arrears_months=3,8.00,
    IF(arrears_months=4,10.00,
    IF(arrears_months=5,12.00,15.00)))))))</f>
        <v/>
      </c>
      <c r="M4523">
        <f>LET(
    seasoning_years,DATEDIF('Loan Tape (S&amp;P)'!K4523,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23">
        <f>IF(AND('Loan Tape (S&amp;P)'!U4523="Yes",
        'Loan Tape (S&amp;P)'!T4523&lt;&gt;"Yes",
        DATEDIF('Loan Tape (S&amp;P)'!K4523, TODAY(), "M")&lt;18),
    1.10,
    1.00)</f>
        <v/>
      </c>
      <c r="O4523">
        <f>IF('Loan Tape (S&amp;P)'!T4523="Yes",
    1.35,
    1.00)</f>
        <v/>
      </c>
      <c r="P4523">
        <f>IF('Loan Tape (S&amp;P)'!S4523="Yes",
    1.15,
    1.00)</f>
        <v/>
      </c>
      <c r="Q4523">
        <f>IF('Loan Tape (S&amp;P)'!V4523="Yes",
    1.20,
    1.00)</f>
        <v/>
      </c>
      <c r="T4523">
        <f>LET(
    payment_method,'Loan Tape (S&amp;P)'!P4523,
    occupancy,'Loan Tape (S&amp;P)'!N4523,
    maturity_date,'Loan Tape (S&amp;P)'!L4523,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24">
      <c r="J4524">
        <f>LET(
    lien,'Loan Tape (S&amp;P)'!Q4524,
    IF(lien="First",1.00,
        IF(lien="Second",1.50,
            1.70)))</f>
        <v/>
      </c>
      <c r="K4524">
        <f>LET(
    purpose,'Loan Tape (S&amp;P)'!R4524,
    IF(purpose="Purchase",1.00,
        IF(purpose="Remortgage",1.00,
            1.20)))</f>
        <v/>
      </c>
      <c r="L4524">
        <f>LET(
    arrears_months,'Loan Tape (S&amp;P)'!AN4524,
    IF(arrears_months=0,1.00,
    IF(arrears_months=1,3.00,
    IF(arrears_months=2,5.00,
    IF(arrears_months=3,8.00,
    IF(arrears_months=4,10.00,
    IF(arrears_months=5,12.00,15.00)))))))</f>
        <v/>
      </c>
      <c r="M4524">
        <f>LET(
    seasoning_years,DATEDIF('Loan Tape (S&amp;P)'!K4524,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24">
        <f>IF(AND('Loan Tape (S&amp;P)'!U4524="Yes",
        'Loan Tape (S&amp;P)'!T4524&lt;&gt;"Yes",
        DATEDIF('Loan Tape (S&amp;P)'!K4524, TODAY(), "M")&lt;18),
    1.10,
    1.00)</f>
        <v/>
      </c>
      <c r="O4524">
        <f>IF('Loan Tape (S&amp;P)'!T4524="Yes",
    1.35,
    1.00)</f>
        <v/>
      </c>
      <c r="P4524">
        <f>IF('Loan Tape (S&amp;P)'!S4524="Yes",
    1.15,
    1.00)</f>
        <v/>
      </c>
      <c r="Q4524">
        <f>IF('Loan Tape (S&amp;P)'!V4524="Yes",
    1.20,
    1.00)</f>
        <v/>
      </c>
      <c r="T4524">
        <f>LET(
    payment_method,'Loan Tape (S&amp;P)'!P4524,
    occupancy,'Loan Tape (S&amp;P)'!N4524,
    maturity_date,'Loan Tape (S&amp;P)'!L4524,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25">
      <c r="J4525">
        <f>LET(
    lien,'Loan Tape (S&amp;P)'!Q4525,
    IF(lien="First",1.00,
        IF(lien="Second",1.50,
            1.70)))</f>
        <v/>
      </c>
      <c r="K4525">
        <f>LET(
    purpose,'Loan Tape (S&amp;P)'!R4525,
    IF(purpose="Purchase",1.00,
        IF(purpose="Remortgage",1.00,
            1.20)))</f>
        <v/>
      </c>
      <c r="L4525">
        <f>LET(
    arrears_months,'Loan Tape (S&amp;P)'!AN4525,
    IF(arrears_months=0,1.00,
    IF(arrears_months=1,3.00,
    IF(arrears_months=2,5.00,
    IF(arrears_months=3,8.00,
    IF(arrears_months=4,10.00,
    IF(arrears_months=5,12.00,15.00)))))))</f>
        <v/>
      </c>
      <c r="M4525">
        <f>LET(
    seasoning_years,DATEDIF('Loan Tape (S&amp;P)'!K4525,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25">
        <f>IF(AND('Loan Tape (S&amp;P)'!U4525="Yes",
        'Loan Tape (S&amp;P)'!T4525&lt;&gt;"Yes",
        DATEDIF('Loan Tape (S&amp;P)'!K4525, TODAY(), "M")&lt;18),
    1.10,
    1.00)</f>
        <v/>
      </c>
      <c r="O4525">
        <f>IF('Loan Tape (S&amp;P)'!T4525="Yes",
    1.35,
    1.00)</f>
        <v/>
      </c>
      <c r="P4525">
        <f>IF('Loan Tape (S&amp;P)'!S4525="Yes",
    1.15,
    1.00)</f>
        <v/>
      </c>
      <c r="Q4525">
        <f>IF('Loan Tape (S&amp;P)'!V4525="Yes",
    1.20,
    1.00)</f>
        <v/>
      </c>
      <c r="T4525">
        <f>LET(
    payment_method,'Loan Tape (S&amp;P)'!P4525,
    occupancy,'Loan Tape (S&amp;P)'!N4525,
    maturity_date,'Loan Tape (S&amp;P)'!L4525,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26">
      <c r="J4526">
        <f>LET(
    lien,'Loan Tape (S&amp;P)'!Q4526,
    IF(lien="First",1.00,
        IF(lien="Second",1.50,
            1.70)))</f>
        <v/>
      </c>
      <c r="K4526">
        <f>LET(
    purpose,'Loan Tape (S&amp;P)'!R4526,
    IF(purpose="Purchase",1.00,
        IF(purpose="Remortgage",1.00,
            1.20)))</f>
        <v/>
      </c>
      <c r="L4526">
        <f>LET(
    arrears_months,'Loan Tape (S&amp;P)'!AN4526,
    IF(arrears_months=0,1.00,
    IF(arrears_months=1,3.00,
    IF(arrears_months=2,5.00,
    IF(arrears_months=3,8.00,
    IF(arrears_months=4,10.00,
    IF(arrears_months=5,12.00,15.00)))))))</f>
        <v/>
      </c>
      <c r="M4526">
        <f>LET(
    seasoning_years,DATEDIF('Loan Tape (S&amp;P)'!K4526,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26">
        <f>IF(AND('Loan Tape (S&amp;P)'!U4526="Yes",
        'Loan Tape (S&amp;P)'!T4526&lt;&gt;"Yes",
        DATEDIF('Loan Tape (S&amp;P)'!K4526, TODAY(), "M")&lt;18),
    1.10,
    1.00)</f>
        <v/>
      </c>
      <c r="O4526">
        <f>IF('Loan Tape (S&amp;P)'!T4526="Yes",
    1.35,
    1.00)</f>
        <v/>
      </c>
      <c r="P4526">
        <f>IF('Loan Tape (S&amp;P)'!S4526="Yes",
    1.15,
    1.00)</f>
        <v/>
      </c>
      <c r="Q4526">
        <f>IF('Loan Tape (S&amp;P)'!V4526="Yes",
    1.20,
    1.00)</f>
        <v/>
      </c>
      <c r="T4526">
        <f>LET(
    payment_method,'Loan Tape (S&amp;P)'!P4526,
    occupancy,'Loan Tape (S&amp;P)'!N4526,
    maturity_date,'Loan Tape (S&amp;P)'!L4526,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27">
      <c r="J4527">
        <f>LET(
    lien,'Loan Tape (S&amp;P)'!Q4527,
    IF(lien="First",1.00,
        IF(lien="Second",1.50,
            1.70)))</f>
        <v/>
      </c>
      <c r="K4527">
        <f>LET(
    purpose,'Loan Tape (S&amp;P)'!R4527,
    IF(purpose="Purchase",1.00,
        IF(purpose="Remortgage",1.00,
            1.20)))</f>
        <v/>
      </c>
      <c r="L4527">
        <f>LET(
    arrears_months,'Loan Tape (S&amp;P)'!AN4527,
    IF(arrears_months=0,1.00,
    IF(arrears_months=1,3.00,
    IF(arrears_months=2,5.00,
    IF(arrears_months=3,8.00,
    IF(arrears_months=4,10.00,
    IF(arrears_months=5,12.00,15.00)))))))</f>
        <v/>
      </c>
      <c r="M4527">
        <f>LET(
    seasoning_years,DATEDIF('Loan Tape (S&amp;P)'!K4527,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27">
        <f>IF(AND('Loan Tape (S&amp;P)'!U4527="Yes",
        'Loan Tape (S&amp;P)'!T4527&lt;&gt;"Yes",
        DATEDIF('Loan Tape (S&amp;P)'!K4527, TODAY(), "M")&lt;18),
    1.10,
    1.00)</f>
        <v/>
      </c>
      <c r="O4527">
        <f>IF('Loan Tape (S&amp;P)'!T4527="Yes",
    1.35,
    1.00)</f>
        <v/>
      </c>
      <c r="P4527">
        <f>IF('Loan Tape (S&amp;P)'!S4527="Yes",
    1.15,
    1.00)</f>
        <v/>
      </c>
      <c r="Q4527">
        <f>IF('Loan Tape (S&amp;P)'!V4527="Yes",
    1.20,
    1.00)</f>
        <v/>
      </c>
      <c r="T4527">
        <f>LET(
    payment_method,'Loan Tape (S&amp;P)'!P4527,
    occupancy,'Loan Tape (S&amp;P)'!N4527,
    maturity_date,'Loan Tape (S&amp;P)'!L4527,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28">
      <c r="J4528">
        <f>LET(
    lien,'Loan Tape (S&amp;P)'!Q4528,
    IF(lien="First",1.00,
        IF(lien="Second",1.50,
            1.70)))</f>
        <v/>
      </c>
      <c r="K4528">
        <f>LET(
    purpose,'Loan Tape (S&amp;P)'!R4528,
    IF(purpose="Purchase",1.00,
        IF(purpose="Remortgage",1.00,
            1.20)))</f>
        <v/>
      </c>
      <c r="L4528">
        <f>LET(
    arrears_months,'Loan Tape (S&amp;P)'!AN4528,
    IF(arrears_months=0,1.00,
    IF(arrears_months=1,3.00,
    IF(arrears_months=2,5.00,
    IF(arrears_months=3,8.00,
    IF(arrears_months=4,10.00,
    IF(arrears_months=5,12.00,15.00)))))))</f>
        <v/>
      </c>
      <c r="M4528">
        <f>LET(
    seasoning_years,DATEDIF('Loan Tape (S&amp;P)'!K4528,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28">
        <f>IF(AND('Loan Tape (S&amp;P)'!U4528="Yes",
        'Loan Tape (S&amp;P)'!T4528&lt;&gt;"Yes",
        DATEDIF('Loan Tape (S&amp;P)'!K4528, TODAY(), "M")&lt;18),
    1.10,
    1.00)</f>
        <v/>
      </c>
      <c r="O4528">
        <f>IF('Loan Tape (S&amp;P)'!T4528="Yes",
    1.35,
    1.00)</f>
        <v/>
      </c>
      <c r="P4528">
        <f>IF('Loan Tape (S&amp;P)'!S4528="Yes",
    1.15,
    1.00)</f>
        <v/>
      </c>
      <c r="Q4528">
        <f>IF('Loan Tape (S&amp;P)'!V4528="Yes",
    1.20,
    1.00)</f>
        <v/>
      </c>
      <c r="T4528">
        <f>LET(
    payment_method,'Loan Tape (S&amp;P)'!P4528,
    occupancy,'Loan Tape (S&amp;P)'!N4528,
    maturity_date,'Loan Tape (S&amp;P)'!L4528,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29">
      <c r="J4529">
        <f>LET(
    lien,'Loan Tape (S&amp;P)'!Q4529,
    IF(lien="First",1.00,
        IF(lien="Second",1.50,
            1.70)))</f>
        <v/>
      </c>
      <c r="K4529">
        <f>LET(
    purpose,'Loan Tape (S&amp;P)'!R4529,
    IF(purpose="Purchase",1.00,
        IF(purpose="Remortgage",1.00,
            1.20)))</f>
        <v/>
      </c>
      <c r="L4529">
        <f>LET(
    arrears_months,'Loan Tape (S&amp;P)'!AN4529,
    IF(arrears_months=0,1.00,
    IF(arrears_months=1,3.00,
    IF(arrears_months=2,5.00,
    IF(arrears_months=3,8.00,
    IF(arrears_months=4,10.00,
    IF(arrears_months=5,12.00,15.00)))))))</f>
        <v/>
      </c>
      <c r="M4529">
        <f>LET(
    seasoning_years,DATEDIF('Loan Tape (S&amp;P)'!K4529,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29">
        <f>IF(AND('Loan Tape (S&amp;P)'!U4529="Yes",
        'Loan Tape (S&amp;P)'!T4529&lt;&gt;"Yes",
        DATEDIF('Loan Tape (S&amp;P)'!K4529, TODAY(), "M")&lt;18),
    1.10,
    1.00)</f>
        <v/>
      </c>
      <c r="O4529">
        <f>IF('Loan Tape (S&amp;P)'!T4529="Yes",
    1.35,
    1.00)</f>
        <v/>
      </c>
      <c r="P4529">
        <f>IF('Loan Tape (S&amp;P)'!S4529="Yes",
    1.15,
    1.00)</f>
        <v/>
      </c>
      <c r="Q4529">
        <f>IF('Loan Tape (S&amp;P)'!V4529="Yes",
    1.20,
    1.00)</f>
        <v/>
      </c>
      <c r="T4529">
        <f>LET(
    payment_method,'Loan Tape (S&amp;P)'!P4529,
    occupancy,'Loan Tape (S&amp;P)'!N4529,
    maturity_date,'Loan Tape (S&amp;P)'!L4529,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30">
      <c r="J4530">
        <f>LET(
    lien,'Loan Tape (S&amp;P)'!Q4530,
    IF(lien="First",1.00,
        IF(lien="Second",1.50,
            1.70)))</f>
        <v/>
      </c>
      <c r="K4530">
        <f>LET(
    purpose,'Loan Tape (S&amp;P)'!R4530,
    IF(purpose="Purchase",1.00,
        IF(purpose="Remortgage",1.00,
            1.20)))</f>
        <v/>
      </c>
      <c r="L4530">
        <f>LET(
    arrears_months,'Loan Tape (S&amp;P)'!AN4530,
    IF(arrears_months=0,1.00,
    IF(arrears_months=1,3.00,
    IF(arrears_months=2,5.00,
    IF(arrears_months=3,8.00,
    IF(arrears_months=4,10.00,
    IF(arrears_months=5,12.00,15.00)))))))</f>
        <v/>
      </c>
      <c r="M4530">
        <f>LET(
    seasoning_years,DATEDIF('Loan Tape (S&amp;P)'!K4530,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30">
        <f>IF(AND('Loan Tape (S&amp;P)'!U4530="Yes",
        'Loan Tape (S&amp;P)'!T4530&lt;&gt;"Yes",
        DATEDIF('Loan Tape (S&amp;P)'!K4530, TODAY(), "M")&lt;18),
    1.10,
    1.00)</f>
        <v/>
      </c>
      <c r="O4530">
        <f>IF('Loan Tape (S&amp;P)'!T4530="Yes",
    1.35,
    1.00)</f>
        <v/>
      </c>
      <c r="P4530">
        <f>IF('Loan Tape (S&amp;P)'!S4530="Yes",
    1.15,
    1.00)</f>
        <v/>
      </c>
      <c r="Q4530">
        <f>IF('Loan Tape (S&amp;P)'!V4530="Yes",
    1.20,
    1.00)</f>
        <v/>
      </c>
      <c r="T4530">
        <f>LET(
    payment_method,'Loan Tape (S&amp;P)'!P4530,
    occupancy,'Loan Tape (S&amp;P)'!N4530,
    maturity_date,'Loan Tape (S&amp;P)'!L4530,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31">
      <c r="J4531">
        <f>LET(
    lien,'Loan Tape (S&amp;P)'!Q4531,
    IF(lien="First",1.00,
        IF(lien="Second",1.50,
            1.70)))</f>
        <v/>
      </c>
      <c r="K4531">
        <f>LET(
    purpose,'Loan Tape (S&amp;P)'!R4531,
    IF(purpose="Purchase",1.00,
        IF(purpose="Remortgage",1.00,
            1.20)))</f>
        <v/>
      </c>
      <c r="L4531">
        <f>LET(
    arrears_months,'Loan Tape (S&amp;P)'!AN4531,
    IF(arrears_months=0,1.00,
    IF(arrears_months=1,3.00,
    IF(arrears_months=2,5.00,
    IF(arrears_months=3,8.00,
    IF(arrears_months=4,10.00,
    IF(arrears_months=5,12.00,15.00)))))))</f>
        <v/>
      </c>
      <c r="M4531">
        <f>LET(
    seasoning_years,DATEDIF('Loan Tape (S&amp;P)'!K4531,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31">
        <f>IF(AND('Loan Tape (S&amp;P)'!U4531="Yes",
        'Loan Tape (S&amp;P)'!T4531&lt;&gt;"Yes",
        DATEDIF('Loan Tape (S&amp;P)'!K4531, TODAY(), "M")&lt;18),
    1.10,
    1.00)</f>
        <v/>
      </c>
      <c r="O4531">
        <f>IF('Loan Tape (S&amp;P)'!T4531="Yes",
    1.35,
    1.00)</f>
        <v/>
      </c>
      <c r="P4531">
        <f>IF('Loan Tape (S&amp;P)'!S4531="Yes",
    1.15,
    1.00)</f>
        <v/>
      </c>
      <c r="Q4531">
        <f>IF('Loan Tape (S&amp;P)'!V4531="Yes",
    1.20,
    1.00)</f>
        <v/>
      </c>
      <c r="T4531">
        <f>LET(
    payment_method,'Loan Tape (S&amp;P)'!P4531,
    occupancy,'Loan Tape (S&amp;P)'!N4531,
    maturity_date,'Loan Tape (S&amp;P)'!L4531,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32">
      <c r="J4532">
        <f>LET(
    lien,'Loan Tape (S&amp;P)'!Q4532,
    IF(lien="First",1.00,
        IF(lien="Second",1.50,
            1.70)))</f>
        <v/>
      </c>
      <c r="K4532">
        <f>LET(
    purpose,'Loan Tape (S&amp;P)'!R4532,
    IF(purpose="Purchase",1.00,
        IF(purpose="Remortgage",1.00,
            1.20)))</f>
        <v/>
      </c>
      <c r="L4532">
        <f>LET(
    arrears_months,'Loan Tape (S&amp;P)'!AN4532,
    IF(arrears_months=0,1.00,
    IF(arrears_months=1,3.00,
    IF(arrears_months=2,5.00,
    IF(arrears_months=3,8.00,
    IF(arrears_months=4,10.00,
    IF(arrears_months=5,12.00,15.00)))))))</f>
        <v/>
      </c>
      <c r="M4532">
        <f>LET(
    seasoning_years,DATEDIF('Loan Tape (S&amp;P)'!K4532,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32">
        <f>IF(AND('Loan Tape (S&amp;P)'!U4532="Yes",
        'Loan Tape (S&amp;P)'!T4532&lt;&gt;"Yes",
        DATEDIF('Loan Tape (S&amp;P)'!K4532, TODAY(), "M")&lt;18),
    1.10,
    1.00)</f>
        <v/>
      </c>
      <c r="O4532">
        <f>IF('Loan Tape (S&amp;P)'!T4532="Yes",
    1.35,
    1.00)</f>
        <v/>
      </c>
      <c r="P4532">
        <f>IF('Loan Tape (S&amp;P)'!S4532="Yes",
    1.15,
    1.00)</f>
        <v/>
      </c>
      <c r="Q4532">
        <f>IF('Loan Tape (S&amp;P)'!V4532="Yes",
    1.20,
    1.00)</f>
        <v/>
      </c>
      <c r="T4532">
        <f>LET(
    payment_method,'Loan Tape (S&amp;P)'!P4532,
    occupancy,'Loan Tape (S&amp;P)'!N4532,
    maturity_date,'Loan Tape (S&amp;P)'!L4532,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33">
      <c r="J4533">
        <f>LET(
    lien,'Loan Tape (S&amp;P)'!Q4533,
    IF(lien="First",1.00,
        IF(lien="Second",1.50,
            1.70)))</f>
        <v/>
      </c>
      <c r="K4533">
        <f>LET(
    purpose,'Loan Tape (S&amp;P)'!R4533,
    IF(purpose="Purchase",1.00,
        IF(purpose="Remortgage",1.00,
            1.20)))</f>
        <v/>
      </c>
      <c r="L4533">
        <f>LET(
    arrears_months,'Loan Tape (S&amp;P)'!AN4533,
    IF(arrears_months=0,1.00,
    IF(arrears_months=1,3.00,
    IF(arrears_months=2,5.00,
    IF(arrears_months=3,8.00,
    IF(arrears_months=4,10.00,
    IF(arrears_months=5,12.00,15.00)))))))</f>
        <v/>
      </c>
      <c r="M4533">
        <f>LET(
    seasoning_years,DATEDIF('Loan Tape (S&amp;P)'!K4533,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33">
        <f>IF(AND('Loan Tape (S&amp;P)'!U4533="Yes",
        'Loan Tape (S&amp;P)'!T4533&lt;&gt;"Yes",
        DATEDIF('Loan Tape (S&amp;P)'!K4533, TODAY(), "M")&lt;18),
    1.10,
    1.00)</f>
        <v/>
      </c>
      <c r="O4533">
        <f>IF('Loan Tape (S&amp;P)'!T4533="Yes",
    1.35,
    1.00)</f>
        <v/>
      </c>
      <c r="P4533">
        <f>IF('Loan Tape (S&amp;P)'!S4533="Yes",
    1.15,
    1.00)</f>
        <v/>
      </c>
      <c r="Q4533">
        <f>IF('Loan Tape (S&amp;P)'!V4533="Yes",
    1.20,
    1.00)</f>
        <v/>
      </c>
      <c r="T4533">
        <f>LET(
    payment_method,'Loan Tape (S&amp;P)'!P4533,
    occupancy,'Loan Tape (S&amp;P)'!N4533,
    maturity_date,'Loan Tape (S&amp;P)'!L4533,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34">
      <c r="J4534">
        <f>LET(
    lien,'Loan Tape (S&amp;P)'!Q4534,
    IF(lien="First",1.00,
        IF(lien="Second",1.50,
            1.70)))</f>
        <v/>
      </c>
      <c r="K4534">
        <f>LET(
    purpose,'Loan Tape (S&amp;P)'!R4534,
    IF(purpose="Purchase",1.00,
        IF(purpose="Remortgage",1.00,
            1.20)))</f>
        <v/>
      </c>
      <c r="L4534">
        <f>LET(
    arrears_months,'Loan Tape (S&amp;P)'!AN4534,
    IF(arrears_months=0,1.00,
    IF(arrears_months=1,3.00,
    IF(arrears_months=2,5.00,
    IF(arrears_months=3,8.00,
    IF(arrears_months=4,10.00,
    IF(arrears_months=5,12.00,15.00)))))))</f>
        <v/>
      </c>
      <c r="M4534">
        <f>LET(
    seasoning_years,DATEDIF('Loan Tape (S&amp;P)'!K4534,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34">
        <f>IF(AND('Loan Tape (S&amp;P)'!U4534="Yes",
        'Loan Tape (S&amp;P)'!T4534&lt;&gt;"Yes",
        DATEDIF('Loan Tape (S&amp;P)'!K4534, TODAY(), "M")&lt;18),
    1.10,
    1.00)</f>
        <v/>
      </c>
      <c r="O4534">
        <f>IF('Loan Tape (S&amp;P)'!T4534="Yes",
    1.35,
    1.00)</f>
        <v/>
      </c>
      <c r="P4534">
        <f>IF('Loan Tape (S&amp;P)'!S4534="Yes",
    1.15,
    1.00)</f>
        <v/>
      </c>
      <c r="Q4534">
        <f>IF('Loan Tape (S&amp;P)'!V4534="Yes",
    1.20,
    1.00)</f>
        <v/>
      </c>
      <c r="T4534">
        <f>LET(
    payment_method,'Loan Tape (S&amp;P)'!P4534,
    occupancy,'Loan Tape (S&amp;P)'!N4534,
    maturity_date,'Loan Tape (S&amp;P)'!L4534,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35">
      <c r="J4535">
        <f>LET(
    lien,'Loan Tape (S&amp;P)'!Q4535,
    IF(lien="First",1.00,
        IF(lien="Second",1.50,
            1.70)))</f>
        <v/>
      </c>
      <c r="K4535">
        <f>LET(
    purpose,'Loan Tape (S&amp;P)'!R4535,
    IF(purpose="Purchase",1.00,
        IF(purpose="Remortgage",1.00,
            1.20)))</f>
        <v/>
      </c>
      <c r="L4535">
        <f>LET(
    arrears_months,'Loan Tape (S&amp;P)'!AN4535,
    IF(arrears_months=0,1.00,
    IF(arrears_months=1,3.00,
    IF(arrears_months=2,5.00,
    IF(arrears_months=3,8.00,
    IF(arrears_months=4,10.00,
    IF(arrears_months=5,12.00,15.00)))))))</f>
        <v/>
      </c>
      <c r="M4535">
        <f>LET(
    seasoning_years,DATEDIF('Loan Tape (S&amp;P)'!K4535,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35">
        <f>IF(AND('Loan Tape (S&amp;P)'!U4535="Yes",
        'Loan Tape (S&amp;P)'!T4535&lt;&gt;"Yes",
        DATEDIF('Loan Tape (S&amp;P)'!K4535, TODAY(), "M")&lt;18),
    1.10,
    1.00)</f>
        <v/>
      </c>
      <c r="O4535">
        <f>IF('Loan Tape (S&amp;P)'!T4535="Yes",
    1.35,
    1.00)</f>
        <v/>
      </c>
      <c r="P4535">
        <f>IF('Loan Tape (S&amp;P)'!S4535="Yes",
    1.15,
    1.00)</f>
        <v/>
      </c>
      <c r="Q4535">
        <f>IF('Loan Tape (S&amp;P)'!V4535="Yes",
    1.20,
    1.00)</f>
        <v/>
      </c>
      <c r="T4535">
        <f>LET(
    payment_method,'Loan Tape (S&amp;P)'!P4535,
    occupancy,'Loan Tape (S&amp;P)'!N4535,
    maturity_date,'Loan Tape (S&amp;P)'!L4535,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36">
      <c r="J4536">
        <f>LET(
    lien,'Loan Tape (S&amp;P)'!Q4536,
    IF(lien="First",1.00,
        IF(lien="Second",1.50,
            1.70)))</f>
        <v/>
      </c>
      <c r="K4536">
        <f>LET(
    purpose,'Loan Tape (S&amp;P)'!R4536,
    IF(purpose="Purchase",1.00,
        IF(purpose="Remortgage",1.00,
            1.20)))</f>
        <v/>
      </c>
      <c r="L4536">
        <f>LET(
    arrears_months,'Loan Tape (S&amp;P)'!AN4536,
    IF(arrears_months=0,1.00,
    IF(arrears_months=1,3.00,
    IF(arrears_months=2,5.00,
    IF(arrears_months=3,8.00,
    IF(arrears_months=4,10.00,
    IF(arrears_months=5,12.00,15.00)))))))</f>
        <v/>
      </c>
      <c r="M4536">
        <f>LET(
    seasoning_years,DATEDIF('Loan Tape (S&amp;P)'!K4536,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36">
        <f>IF(AND('Loan Tape (S&amp;P)'!U4536="Yes",
        'Loan Tape (S&amp;P)'!T4536&lt;&gt;"Yes",
        DATEDIF('Loan Tape (S&amp;P)'!K4536, TODAY(), "M")&lt;18),
    1.10,
    1.00)</f>
        <v/>
      </c>
      <c r="O4536">
        <f>IF('Loan Tape (S&amp;P)'!T4536="Yes",
    1.35,
    1.00)</f>
        <v/>
      </c>
      <c r="P4536">
        <f>IF('Loan Tape (S&amp;P)'!S4536="Yes",
    1.15,
    1.00)</f>
        <v/>
      </c>
      <c r="Q4536">
        <f>IF('Loan Tape (S&amp;P)'!V4536="Yes",
    1.20,
    1.00)</f>
        <v/>
      </c>
      <c r="T4536">
        <f>LET(
    payment_method,'Loan Tape (S&amp;P)'!P4536,
    occupancy,'Loan Tape (S&amp;P)'!N4536,
    maturity_date,'Loan Tape (S&amp;P)'!L4536,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37">
      <c r="J4537">
        <f>LET(
    lien,'Loan Tape (S&amp;P)'!Q4537,
    IF(lien="First",1.00,
        IF(lien="Second",1.50,
            1.70)))</f>
        <v/>
      </c>
      <c r="K4537">
        <f>LET(
    purpose,'Loan Tape (S&amp;P)'!R4537,
    IF(purpose="Purchase",1.00,
        IF(purpose="Remortgage",1.00,
            1.20)))</f>
        <v/>
      </c>
      <c r="L4537">
        <f>LET(
    arrears_months,'Loan Tape (S&amp;P)'!AN4537,
    IF(arrears_months=0,1.00,
    IF(arrears_months=1,3.00,
    IF(arrears_months=2,5.00,
    IF(arrears_months=3,8.00,
    IF(arrears_months=4,10.00,
    IF(arrears_months=5,12.00,15.00)))))))</f>
        <v/>
      </c>
      <c r="M4537">
        <f>LET(
    seasoning_years,DATEDIF('Loan Tape (S&amp;P)'!K4537,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37">
        <f>IF(AND('Loan Tape (S&amp;P)'!U4537="Yes",
        'Loan Tape (S&amp;P)'!T4537&lt;&gt;"Yes",
        DATEDIF('Loan Tape (S&amp;P)'!K4537, TODAY(), "M")&lt;18),
    1.10,
    1.00)</f>
        <v/>
      </c>
      <c r="O4537">
        <f>IF('Loan Tape (S&amp;P)'!T4537="Yes",
    1.35,
    1.00)</f>
        <v/>
      </c>
      <c r="P4537">
        <f>IF('Loan Tape (S&amp;P)'!S4537="Yes",
    1.15,
    1.00)</f>
        <v/>
      </c>
      <c r="Q4537">
        <f>IF('Loan Tape (S&amp;P)'!V4537="Yes",
    1.20,
    1.00)</f>
        <v/>
      </c>
      <c r="T4537">
        <f>LET(
    payment_method,'Loan Tape (S&amp;P)'!P4537,
    occupancy,'Loan Tape (S&amp;P)'!N4537,
    maturity_date,'Loan Tape (S&amp;P)'!L4537,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38">
      <c r="J4538">
        <f>LET(
    lien,'Loan Tape (S&amp;P)'!Q4538,
    IF(lien="First",1.00,
        IF(lien="Second",1.50,
            1.70)))</f>
        <v/>
      </c>
      <c r="K4538">
        <f>LET(
    purpose,'Loan Tape (S&amp;P)'!R4538,
    IF(purpose="Purchase",1.00,
        IF(purpose="Remortgage",1.00,
            1.20)))</f>
        <v/>
      </c>
      <c r="L4538">
        <f>LET(
    arrears_months,'Loan Tape (S&amp;P)'!AN4538,
    IF(arrears_months=0,1.00,
    IF(arrears_months=1,3.00,
    IF(arrears_months=2,5.00,
    IF(arrears_months=3,8.00,
    IF(arrears_months=4,10.00,
    IF(arrears_months=5,12.00,15.00)))))))</f>
        <v/>
      </c>
      <c r="M4538">
        <f>LET(
    seasoning_years,DATEDIF('Loan Tape (S&amp;P)'!K4538,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38">
        <f>IF(AND('Loan Tape (S&amp;P)'!U4538="Yes",
        'Loan Tape (S&amp;P)'!T4538&lt;&gt;"Yes",
        DATEDIF('Loan Tape (S&amp;P)'!K4538, TODAY(), "M")&lt;18),
    1.10,
    1.00)</f>
        <v/>
      </c>
      <c r="O4538">
        <f>IF('Loan Tape (S&amp;P)'!T4538="Yes",
    1.35,
    1.00)</f>
        <v/>
      </c>
      <c r="P4538">
        <f>IF('Loan Tape (S&amp;P)'!S4538="Yes",
    1.15,
    1.00)</f>
        <v/>
      </c>
      <c r="Q4538">
        <f>IF('Loan Tape (S&amp;P)'!V4538="Yes",
    1.20,
    1.00)</f>
        <v/>
      </c>
      <c r="T4538">
        <f>LET(
    payment_method,'Loan Tape (S&amp;P)'!P4538,
    occupancy,'Loan Tape (S&amp;P)'!N4538,
    maturity_date,'Loan Tape (S&amp;P)'!L4538,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39">
      <c r="J4539">
        <f>LET(
    lien,'Loan Tape (S&amp;P)'!Q4539,
    IF(lien="First",1.00,
        IF(lien="Second",1.50,
            1.70)))</f>
        <v/>
      </c>
      <c r="K4539">
        <f>LET(
    purpose,'Loan Tape (S&amp;P)'!R4539,
    IF(purpose="Purchase",1.00,
        IF(purpose="Remortgage",1.00,
            1.20)))</f>
        <v/>
      </c>
      <c r="L4539">
        <f>LET(
    arrears_months,'Loan Tape (S&amp;P)'!AN4539,
    IF(arrears_months=0,1.00,
    IF(arrears_months=1,3.00,
    IF(arrears_months=2,5.00,
    IF(arrears_months=3,8.00,
    IF(arrears_months=4,10.00,
    IF(arrears_months=5,12.00,15.00)))))))</f>
        <v/>
      </c>
      <c r="M4539">
        <f>LET(
    seasoning_years,DATEDIF('Loan Tape (S&amp;P)'!K4539,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39">
        <f>IF(AND('Loan Tape (S&amp;P)'!U4539="Yes",
        'Loan Tape (S&amp;P)'!T4539&lt;&gt;"Yes",
        DATEDIF('Loan Tape (S&amp;P)'!K4539, TODAY(), "M")&lt;18),
    1.10,
    1.00)</f>
        <v/>
      </c>
      <c r="O4539">
        <f>IF('Loan Tape (S&amp;P)'!T4539="Yes",
    1.35,
    1.00)</f>
        <v/>
      </c>
      <c r="P4539">
        <f>IF('Loan Tape (S&amp;P)'!S4539="Yes",
    1.15,
    1.00)</f>
        <v/>
      </c>
      <c r="Q4539">
        <f>IF('Loan Tape (S&amp;P)'!V4539="Yes",
    1.20,
    1.00)</f>
        <v/>
      </c>
      <c r="T4539">
        <f>LET(
    payment_method,'Loan Tape (S&amp;P)'!P4539,
    occupancy,'Loan Tape (S&amp;P)'!N4539,
    maturity_date,'Loan Tape (S&amp;P)'!L4539,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40">
      <c r="J4540">
        <f>LET(
    lien,'Loan Tape (S&amp;P)'!Q4540,
    IF(lien="First",1.00,
        IF(lien="Second",1.50,
            1.70)))</f>
        <v/>
      </c>
      <c r="K4540">
        <f>LET(
    purpose,'Loan Tape (S&amp;P)'!R4540,
    IF(purpose="Purchase",1.00,
        IF(purpose="Remortgage",1.00,
            1.20)))</f>
        <v/>
      </c>
      <c r="L4540">
        <f>LET(
    arrears_months,'Loan Tape (S&amp;P)'!AN4540,
    IF(arrears_months=0,1.00,
    IF(arrears_months=1,3.00,
    IF(arrears_months=2,5.00,
    IF(arrears_months=3,8.00,
    IF(arrears_months=4,10.00,
    IF(arrears_months=5,12.00,15.00)))))))</f>
        <v/>
      </c>
      <c r="M4540">
        <f>LET(
    seasoning_years,DATEDIF('Loan Tape (S&amp;P)'!K4540,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40">
        <f>IF(AND('Loan Tape (S&amp;P)'!U4540="Yes",
        'Loan Tape (S&amp;P)'!T4540&lt;&gt;"Yes",
        DATEDIF('Loan Tape (S&amp;P)'!K4540, TODAY(), "M")&lt;18),
    1.10,
    1.00)</f>
        <v/>
      </c>
      <c r="O4540">
        <f>IF('Loan Tape (S&amp;P)'!T4540="Yes",
    1.35,
    1.00)</f>
        <v/>
      </c>
      <c r="P4540">
        <f>IF('Loan Tape (S&amp;P)'!S4540="Yes",
    1.15,
    1.00)</f>
        <v/>
      </c>
      <c r="Q4540">
        <f>IF('Loan Tape (S&amp;P)'!V4540="Yes",
    1.20,
    1.00)</f>
        <v/>
      </c>
      <c r="T4540">
        <f>LET(
    payment_method,'Loan Tape (S&amp;P)'!P4540,
    occupancy,'Loan Tape (S&amp;P)'!N4540,
    maturity_date,'Loan Tape (S&amp;P)'!L4540,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41">
      <c r="J4541">
        <f>LET(
    lien,'Loan Tape (S&amp;P)'!Q4541,
    IF(lien="First",1.00,
        IF(lien="Second",1.50,
            1.70)))</f>
        <v/>
      </c>
      <c r="K4541">
        <f>LET(
    purpose,'Loan Tape (S&amp;P)'!R4541,
    IF(purpose="Purchase",1.00,
        IF(purpose="Remortgage",1.00,
            1.20)))</f>
        <v/>
      </c>
      <c r="L4541">
        <f>LET(
    arrears_months,'Loan Tape (S&amp;P)'!AN4541,
    IF(arrears_months=0,1.00,
    IF(arrears_months=1,3.00,
    IF(arrears_months=2,5.00,
    IF(arrears_months=3,8.00,
    IF(arrears_months=4,10.00,
    IF(arrears_months=5,12.00,15.00)))))))</f>
        <v/>
      </c>
      <c r="M4541">
        <f>LET(
    seasoning_years,DATEDIF('Loan Tape (S&amp;P)'!K4541,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41">
        <f>IF(AND('Loan Tape (S&amp;P)'!U4541="Yes",
        'Loan Tape (S&amp;P)'!T4541&lt;&gt;"Yes",
        DATEDIF('Loan Tape (S&amp;P)'!K4541, TODAY(), "M")&lt;18),
    1.10,
    1.00)</f>
        <v/>
      </c>
      <c r="O4541">
        <f>IF('Loan Tape (S&amp;P)'!T4541="Yes",
    1.35,
    1.00)</f>
        <v/>
      </c>
      <c r="P4541">
        <f>IF('Loan Tape (S&amp;P)'!S4541="Yes",
    1.15,
    1.00)</f>
        <v/>
      </c>
      <c r="Q4541">
        <f>IF('Loan Tape (S&amp;P)'!V4541="Yes",
    1.20,
    1.00)</f>
        <v/>
      </c>
      <c r="T4541">
        <f>LET(
    payment_method,'Loan Tape (S&amp;P)'!P4541,
    occupancy,'Loan Tape (S&amp;P)'!N4541,
    maturity_date,'Loan Tape (S&amp;P)'!L4541,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42">
      <c r="J4542">
        <f>LET(
    lien,'Loan Tape (S&amp;P)'!Q4542,
    IF(lien="First",1.00,
        IF(lien="Second",1.50,
            1.70)))</f>
        <v/>
      </c>
      <c r="K4542">
        <f>LET(
    purpose,'Loan Tape (S&amp;P)'!R4542,
    IF(purpose="Purchase",1.00,
        IF(purpose="Remortgage",1.00,
            1.20)))</f>
        <v/>
      </c>
      <c r="L4542">
        <f>LET(
    arrears_months,'Loan Tape (S&amp;P)'!AN4542,
    IF(arrears_months=0,1.00,
    IF(arrears_months=1,3.00,
    IF(arrears_months=2,5.00,
    IF(arrears_months=3,8.00,
    IF(arrears_months=4,10.00,
    IF(arrears_months=5,12.00,15.00)))))))</f>
        <v/>
      </c>
      <c r="M4542">
        <f>LET(
    seasoning_years,DATEDIF('Loan Tape (S&amp;P)'!K4542,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42">
        <f>IF(AND('Loan Tape (S&amp;P)'!U4542="Yes",
        'Loan Tape (S&amp;P)'!T4542&lt;&gt;"Yes",
        DATEDIF('Loan Tape (S&amp;P)'!K4542, TODAY(), "M")&lt;18),
    1.10,
    1.00)</f>
        <v/>
      </c>
      <c r="O4542">
        <f>IF('Loan Tape (S&amp;P)'!T4542="Yes",
    1.35,
    1.00)</f>
        <v/>
      </c>
      <c r="P4542">
        <f>IF('Loan Tape (S&amp;P)'!S4542="Yes",
    1.15,
    1.00)</f>
        <v/>
      </c>
      <c r="Q4542">
        <f>IF('Loan Tape (S&amp;P)'!V4542="Yes",
    1.20,
    1.00)</f>
        <v/>
      </c>
      <c r="T4542">
        <f>LET(
    payment_method,'Loan Tape (S&amp;P)'!P4542,
    occupancy,'Loan Tape (S&amp;P)'!N4542,
    maturity_date,'Loan Tape (S&amp;P)'!L4542,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43">
      <c r="J4543">
        <f>LET(
    lien,'Loan Tape (S&amp;P)'!Q4543,
    IF(lien="First",1.00,
        IF(lien="Second",1.50,
            1.70)))</f>
        <v/>
      </c>
      <c r="K4543">
        <f>LET(
    purpose,'Loan Tape (S&amp;P)'!R4543,
    IF(purpose="Purchase",1.00,
        IF(purpose="Remortgage",1.00,
            1.20)))</f>
        <v/>
      </c>
      <c r="L4543">
        <f>LET(
    arrears_months,'Loan Tape (S&amp;P)'!AN4543,
    IF(arrears_months=0,1.00,
    IF(arrears_months=1,3.00,
    IF(arrears_months=2,5.00,
    IF(arrears_months=3,8.00,
    IF(arrears_months=4,10.00,
    IF(arrears_months=5,12.00,15.00)))))))</f>
        <v/>
      </c>
      <c r="M4543">
        <f>LET(
    seasoning_years,DATEDIF('Loan Tape (S&amp;P)'!K4543,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43">
        <f>IF(AND('Loan Tape (S&amp;P)'!U4543="Yes",
        'Loan Tape (S&amp;P)'!T4543&lt;&gt;"Yes",
        DATEDIF('Loan Tape (S&amp;P)'!K4543, TODAY(), "M")&lt;18),
    1.10,
    1.00)</f>
        <v/>
      </c>
      <c r="O4543">
        <f>IF('Loan Tape (S&amp;P)'!T4543="Yes",
    1.35,
    1.00)</f>
        <v/>
      </c>
      <c r="P4543">
        <f>IF('Loan Tape (S&amp;P)'!S4543="Yes",
    1.15,
    1.00)</f>
        <v/>
      </c>
      <c r="Q4543">
        <f>IF('Loan Tape (S&amp;P)'!V4543="Yes",
    1.20,
    1.00)</f>
        <v/>
      </c>
      <c r="T4543">
        <f>LET(
    payment_method,'Loan Tape (S&amp;P)'!P4543,
    occupancy,'Loan Tape (S&amp;P)'!N4543,
    maturity_date,'Loan Tape (S&amp;P)'!L4543,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44">
      <c r="J4544">
        <f>LET(
    lien,'Loan Tape (S&amp;P)'!Q4544,
    IF(lien="First",1.00,
        IF(lien="Second",1.50,
            1.70)))</f>
        <v/>
      </c>
      <c r="K4544">
        <f>LET(
    purpose,'Loan Tape (S&amp;P)'!R4544,
    IF(purpose="Purchase",1.00,
        IF(purpose="Remortgage",1.00,
            1.20)))</f>
        <v/>
      </c>
      <c r="L4544">
        <f>LET(
    arrears_months,'Loan Tape (S&amp;P)'!AN4544,
    IF(arrears_months=0,1.00,
    IF(arrears_months=1,3.00,
    IF(arrears_months=2,5.00,
    IF(arrears_months=3,8.00,
    IF(arrears_months=4,10.00,
    IF(arrears_months=5,12.00,15.00)))))))</f>
        <v/>
      </c>
      <c r="M4544">
        <f>LET(
    seasoning_years,DATEDIF('Loan Tape (S&amp;P)'!K4544,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44">
        <f>IF(AND('Loan Tape (S&amp;P)'!U4544="Yes",
        'Loan Tape (S&amp;P)'!T4544&lt;&gt;"Yes",
        DATEDIF('Loan Tape (S&amp;P)'!K4544, TODAY(), "M")&lt;18),
    1.10,
    1.00)</f>
        <v/>
      </c>
      <c r="O4544">
        <f>IF('Loan Tape (S&amp;P)'!T4544="Yes",
    1.35,
    1.00)</f>
        <v/>
      </c>
      <c r="P4544">
        <f>IF('Loan Tape (S&amp;P)'!S4544="Yes",
    1.15,
    1.00)</f>
        <v/>
      </c>
      <c r="Q4544">
        <f>IF('Loan Tape (S&amp;P)'!V4544="Yes",
    1.20,
    1.00)</f>
        <v/>
      </c>
      <c r="T4544">
        <f>LET(
    payment_method,'Loan Tape (S&amp;P)'!P4544,
    occupancy,'Loan Tape (S&amp;P)'!N4544,
    maturity_date,'Loan Tape (S&amp;P)'!L4544,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45">
      <c r="J4545">
        <f>LET(
    lien,'Loan Tape (S&amp;P)'!Q4545,
    IF(lien="First",1.00,
        IF(lien="Second",1.50,
            1.70)))</f>
        <v/>
      </c>
      <c r="K4545">
        <f>LET(
    purpose,'Loan Tape (S&amp;P)'!R4545,
    IF(purpose="Purchase",1.00,
        IF(purpose="Remortgage",1.00,
            1.20)))</f>
        <v/>
      </c>
      <c r="L4545">
        <f>LET(
    arrears_months,'Loan Tape (S&amp;P)'!AN4545,
    IF(arrears_months=0,1.00,
    IF(arrears_months=1,3.00,
    IF(arrears_months=2,5.00,
    IF(arrears_months=3,8.00,
    IF(arrears_months=4,10.00,
    IF(arrears_months=5,12.00,15.00)))))))</f>
        <v/>
      </c>
      <c r="M4545">
        <f>LET(
    seasoning_years,DATEDIF('Loan Tape (S&amp;P)'!K4545,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45">
        <f>IF(AND('Loan Tape (S&amp;P)'!U4545="Yes",
        'Loan Tape (S&amp;P)'!T4545&lt;&gt;"Yes",
        DATEDIF('Loan Tape (S&amp;P)'!K4545, TODAY(), "M")&lt;18),
    1.10,
    1.00)</f>
        <v/>
      </c>
      <c r="O4545">
        <f>IF('Loan Tape (S&amp;P)'!T4545="Yes",
    1.35,
    1.00)</f>
        <v/>
      </c>
      <c r="P4545">
        <f>IF('Loan Tape (S&amp;P)'!S4545="Yes",
    1.15,
    1.00)</f>
        <v/>
      </c>
      <c r="Q4545">
        <f>IF('Loan Tape (S&amp;P)'!V4545="Yes",
    1.20,
    1.00)</f>
        <v/>
      </c>
      <c r="T4545">
        <f>LET(
    payment_method,'Loan Tape (S&amp;P)'!P4545,
    occupancy,'Loan Tape (S&amp;P)'!N4545,
    maturity_date,'Loan Tape (S&amp;P)'!L4545,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46">
      <c r="J4546">
        <f>LET(
    lien,'Loan Tape (S&amp;P)'!Q4546,
    IF(lien="First",1.00,
        IF(lien="Second",1.50,
            1.70)))</f>
        <v/>
      </c>
      <c r="K4546">
        <f>LET(
    purpose,'Loan Tape (S&amp;P)'!R4546,
    IF(purpose="Purchase",1.00,
        IF(purpose="Remortgage",1.00,
            1.20)))</f>
        <v/>
      </c>
      <c r="L4546">
        <f>LET(
    arrears_months,'Loan Tape (S&amp;P)'!AN4546,
    IF(arrears_months=0,1.00,
    IF(arrears_months=1,3.00,
    IF(arrears_months=2,5.00,
    IF(arrears_months=3,8.00,
    IF(arrears_months=4,10.00,
    IF(arrears_months=5,12.00,15.00)))))))</f>
        <v/>
      </c>
      <c r="M4546">
        <f>LET(
    seasoning_years,DATEDIF('Loan Tape (S&amp;P)'!K4546,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46">
        <f>IF(AND('Loan Tape (S&amp;P)'!U4546="Yes",
        'Loan Tape (S&amp;P)'!T4546&lt;&gt;"Yes",
        DATEDIF('Loan Tape (S&amp;P)'!K4546, TODAY(), "M")&lt;18),
    1.10,
    1.00)</f>
        <v/>
      </c>
      <c r="O4546">
        <f>IF('Loan Tape (S&amp;P)'!T4546="Yes",
    1.35,
    1.00)</f>
        <v/>
      </c>
      <c r="P4546">
        <f>IF('Loan Tape (S&amp;P)'!S4546="Yes",
    1.15,
    1.00)</f>
        <v/>
      </c>
      <c r="Q4546">
        <f>IF('Loan Tape (S&amp;P)'!V4546="Yes",
    1.20,
    1.00)</f>
        <v/>
      </c>
      <c r="T4546">
        <f>LET(
    payment_method,'Loan Tape (S&amp;P)'!P4546,
    occupancy,'Loan Tape (S&amp;P)'!N4546,
    maturity_date,'Loan Tape (S&amp;P)'!L4546,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47">
      <c r="J4547">
        <f>LET(
    lien,'Loan Tape (S&amp;P)'!Q4547,
    IF(lien="First",1.00,
        IF(lien="Second",1.50,
            1.70)))</f>
        <v/>
      </c>
      <c r="K4547">
        <f>LET(
    purpose,'Loan Tape (S&amp;P)'!R4547,
    IF(purpose="Purchase",1.00,
        IF(purpose="Remortgage",1.00,
            1.20)))</f>
        <v/>
      </c>
      <c r="L4547">
        <f>LET(
    arrears_months,'Loan Tape (S&amp;P)'!AN4547,
    IF(arrears_months=0,1.00,
    IF(arrears_months=1,3.00,
    IF(arrears_months=2,5.00,
    IF(arrears_months=3,8.00,
    IF(arrears_months=4,10.00,
    IF(arrears_months=5,12.00,15.00)))))))</f>
        <v/>
      </c>
      <c r="M4547">
        <f>LET(
    seasoning_years,DATEDIF('Loan Tape (S&amp;P)'!K4547,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47">
        <f>IF(AND('Loan Tape (S&amp;P)'!U4547="Yes",
        'Loan Tape (S&amp;P)'!T4547&lt;&gt;"Yes",
        DATEDIF('Loan Tape (S&amp;P)'!K4547, TODAY(), "M")&lt;18),
    1.10,
    1.00)</f>
        <v/>
      </c>
      <c r="O4547">
        <f>IF('Loan Tape (S&amp;P)'!T4547="Yes",
    1.35,
    1.00)</f>
        <v/>
      </c>
      <c r="P4547">
        <f>IF('Loan Tape (S&amp;P)'!S4547="Yes",
    1.15,
    1.00)</f>
        <v/>
      </c>
      <c r="Q4547">
        <f>IF('Loan Tape (S&amp;P)'!V4547="Yes",
    1.20,
    1.00)</f>
        <v/>
      </c>
      <c r="T4547">
        <f>LET(
    payment_method,'Loan Tape (S&amp;P)'!P4547,
    occupancy,'Loan Tape (S&amp;P)'!N4547,
    maturity_date,'Loan Tape (S&amp;P)'!L4547,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48">
      <c r="J4548">
        <f>LET(
    lien,'Loan Tape (S&amp;P)'!Q4548,
    IF(lien="First",1.00,
        IF(lien="Second",1.50,
            1.70)))</f>
        <v/>
      </c>
      <c r="K4548">
        <f>LET(
    purpose,'Loan Tape (S&amp;P)'!R4548,
    IF(purpose="Purchase",1.00,
        IF(purpose="Remortgage",1.00,
            1.20)))</f>
        <v/>
      </c>
      <c r="L4548">
        <f>LET(
    arrears_months,'Loan Tape (S&amp;P)'!AN4548,
    IF(arrears_months=0,1.00,
    IF(arrears_months=1,3.00,
    IF(arrears_months=2,5.00,
    IF(arrears_months=3,8.00,
    IF(arrears_months=4,10.00,
    IF(arrears_months=5,12.00,15.00)))))))</f>
        <v/>
      </c>
      <c r="M4548">
        <f>LET(
    seasoning_years,DATEDIF('Loan Tape (S&amp;P)'!K4548,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48">
        <f>IF(AND('Loan Tape (S&amp;P)'!U4548="Yes",
        'Loan Tape (S&amp;P)'!T4548&lt;&gt;"Yes",
        DATEDIF('Loan Tape (S&amp;P)'!K4548, TODAY(), "M")&lt;18),
    1.10,
    1.00)</f>
        <v/>
      </c>
      <c r="O4548">
        <f>IF('Loan Tape (S&amp;P)'!T4548="Yes",
    1.35,
    1.00)</f>
        <v/>
      </c>
      <c r="P4548">
        <f>IF('Loan Tape (S&amp;P)'!S4548="Yes",
    1.15,
    1.00)</f>
        <v/>
      </c>
      <c r="Q4548">
        <f>IF('Loan Tape (S&amp;P)'!V4548="Yes",
    1.20,
    1.00)</f>
        <v/>
      </c>
      <c r="T4548">
        <f>LET(
    payment_method,'Loan Tape (S&amp;P)'!P4548,
    occupancy,'Loan Tape (S&amp;P)'!N4548,
    maturity_date,'Loan Tape (S&amp;P)'!L4548,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49">
      <c r="J4549">
        <f>LET(
    lien,'Loan Tape (S&amp;P)'!Q4549,
    IF(lien="First",1.00,
        IF(lien="Second",1.50,
            1.70)))</f>
        <v/>
      </c>
      <c r="K4549">
        <f>LET(
    purpose,'Loan Tape (S&amp;P)'!R4549,
    IF(purpose="Purchase",1.00,
        IF(purpose="Remortgage",1.00,
            1.20)))</f>
        <v/>
      </c>
      <c r="L4549">
        <f>LET(
    arrears_months,'Loan Tape (S&amp;P)'!AN4549,
    IF(arrears_months=0,1.00,
    IF(arrears_months=1,3.00,
    IF(arrears_months=2,5.00,
    IF(arrears_months=3,8.00,
    IF(arrears_months=4,10.00,
    IF(arrears_months=5,12.00,15.00)))))))</f>
        <v/>
      </c>
      <c r="M4549">
        <f>LET(
    seasoning_years,DATEDIF('Loan Tape (S&amp;P)'!K4549,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49">
        <f>IF(AND('Loan Tape (S&amp;P)'!U4549="Yes",
        'Loan Tape (S&amp;P)'!T4549&lt;&gt;"Yes",
        DATEDIF('Loan Tape (S&amp;P)'!K4549, TODAY(), "M")&lt;18),
    1.10,
    1.00)</f>
        <v/>
      </c>
      <c r="O4549">
        <f>IF('Loan Tape (S&amp;P)'!T4549="Yes",
    1.35,
    1.00)</f>
        <v/>
      </c>
      <c r="P4549">
        <f>IF('Loan Tape (S&amp;P)'!S4549="Yes",
    1.15,
    1.00)</f>
        <v/>
      </c>
      <c r="Q4549">
        <f>IF('Loan Tape (S&amp;P)'!V4549="Yes",
    1.20,
    1.00)</f>
        <v/>
      </c>
      <c r="T4549">
        <f>LET(
    payment_method,'Loan Tape (S&amp;P)'!P4549,
    occupancy,'Loan Tape (S&amp;P)'!N4549,
    maturity_date,'Loan Tape (S&amp;P)'!L4549,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50">
      <c r="J4550">
        <f>LET(
    lien,'Loan Tape (S&amp;P)'!Q4550,
    IF(lien="First",1.00,
        IF(lien="Second",1.50,
            1.70)))</f>
        <v/>
      </c>
      <c r="K4550">
        <f>LET(
    purpose,'Loan Tape (S&amp;P)'!R4550,
    IF(purpose="Purchase",1.00,
        IF(purpose="Remortgage",1.00,
            1.20)))</f>
        <v/>
      </c>
      <c r="L4550">
        <f>LET(
    arrears_months,'Loan Tape (S&amp;P)'!AN4550,
    IF(arrears_months=0,1.00,
    IF(arrears_months=1,3.00,
    IF(arrears_months=2,5.00,
    IF(arrears_months=3,8.00,
    IF(arrears_months=4,10.00,
    IF(arrears_months=5,12.00,15.00)))))))</f>
        <v/>
      </c>
      <c r="M4550">
        <f>LET(
    seasoning_years,DATEDIF('Loan Tape (S&amp;P)'!K4550,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50">
        <f>IF(AND('Loan Tape (S&amp;P)'!U4550="Yes",
        'Loan Tape (S&amp;P)'!T4550&lt;&gt;"Yes",
        DATEDIF('Loan Tape (S&amp;P)'!K4550, TODAY(), "M")&lt;18),
    1.10,
    1.00)</f>
        <v/>
      </c>
      <c r="O4550">
        <f>IF('Loan Tape (S&amp;P)'!T4550="Yes",
    1.35,
    1.00)</f>
        <v/>
      </c>
      <c r="P4550">
        <f>IF('Loan Tape (S&amp;P)'!S4550="Yes",
    1.15,
    1.00)</f>
        <v/>
      </c>
      <c r="Q4550">
        <f>IF('Loan Tape (S&amp;P)'!V4550="Yes",
    1.20,
    1.00)</f>
        <v/>
      </c>
      <c r="T4550">
        <f>LET(
    payment_method,'Loan Tape (S&amp;P)'!P4550,
    occupancy,'Loan Tape (S&amp;P)'!N4550,
    maturity_date,'Loan Tape (S&amp;P)'!L4550,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51">
      <c r="J4551">
        <f>LET(
    lien,'Loan Tape (S&amp;P)'!Q4551,
    IF(lien="First",1.00,
        IF(lien="Second",1.50,
            1.70)))</f>
        <v/>
      </c>
      <c r="K4551">
        <f>LET(
    purpose,'Loan Tape (S&amp;P)'!R4551,
    IF(purpose="Purchase",1.00,
        IF(purpose="Remortgage",1.00,
            1.20)))</f>
        <v/>
      </c>
      <c r="L4551">
        <f>LET(
    arrears_months,'Loan Tape (S&amp;P)'!AN4551,
    IF(arrears_months=0,1.00,
    IF(arrears_months=1,3.00,
    IF(arrears_months=2,5.00,
    IF(arrears_months=3,8.00,
    IF(arrears_months=4,10.00,
    IF(arrears_months=5,12.00,15.00)))))))</f>
        <v/>
      </c>
      <c r="M4551">
        <f>LET(
    seasoning_years,DATEDIF('Loan Tape (S&amp;P)'!K4551,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51">
        <f>IF(AND('Loan Tape (S&amp;P)'!U4551="Yes",
        'Loan Tape (S&amp;P)'!T4551&lt;&gt;"Yes",
        DATEDIF('Loan Tape (S&amp;P)'!K4551, TODAY(), "M")&lt;18),
    1.10,
    1.00)</f>
        <v/>
      </c>
      <c r="O4551">
        <f>IF('Loan Tape (S&amp;P)'!T4551="Yes",
    1.35,
    1.00)</f>
        <v/>
      </c>
      <c r="P4551">
        <f>IF('Loan Tape (S&amp;P)'!S4551="Yes",
    1.15,
    1.00)</f>
        <v/>
      </c>
      <c r="Q4551">
        <f>IF('Loan Tape (S&amp;P)'!V4551="Yes",
    1.20,
    1.00)</f>
        <v/>
      </c>
      <c r="T4551">
        <f>LET(
    payment_method,'Loan Tape (S&amp;P)'!P4551,
    occupancy,'Loan Tape (S&amp;P)'!N4551,
    maturity_date,'Loan Tape (S&amp;P)'!L4551,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52">
      <c r="J4552">
        <f>LET(
    lien,'Loan Tape (S&amp;P)'!Q4552,
    IF(lien="First",1.00,
        IF(lien="Second",1.50,
            1.70)))</f>
        <v/>
      </c>
      <c r="K4552">
        <f>LET(
    purpose,'Loan Tape (S&amp;P)'!R4552,
    IF(purpose="Purchase",1.00,
        IF(purpose="Remortgage",1.00,
            1.20)))</f>
        <v/>
      </c>
      <c r="L4552">
        <f>LET(
    arrears_months,'Loan Tape (S&amp;P)'!AN4552,
    IF(arrears_months=0,1.00,
    IF(arrears_months=1,3.00,
    IF(arrears_months=2,5.00,
    IF(arrears_months=3,8.00,
    IF(arrears_months=4,10.00,
    IF(arrears_months=5,12.00,15.00)))))))</f>
        <v/>
      </c>
      <c r="M4552">
        <f>LET(
    seasoning_years,DATEDIF('Loan Tape (S&amp;P)'!K4552,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52">
        <f>IF(AND('Loan Tape (S&amp;P)'!U4552="Yes",
        'Loan Tape (S&amp;P)'!T4552&lt;&gt;"Yes",
        DATEDIF('Loan Tape (S&amp;P)'!K4552, TODAY(), "M")&lt;18),
    1.10,
    1.00)</f>
        <v/>
      </c>
      <c r="O4552">
        <f>IF('Loan Tape (S&amp;P)'!T4552="Yes",
    1.35,
    1.00)</f>
        <v/>
      </c>
      <c r="P4552">
        <f>IF('Loan Tape (S&amp;P)'!S4552="Yes",
    1.15,
    1.00)</f>
        <v/>
      </c>
      <c r="Q4552">
        <f>IF('Loan Tape (S&amp;P)'!V4552="Yes",
    1.20,
    1.00)</f>
        <v/>
      </c>
      <c r="T4552">
        <f>LET(
    payment_method,'Loan Tape (S&amp;P)'!P4552,
    occupancy,'Loan Tape (S&amp;P)'!N4552,
    maturity_date,'Loan Tape (S&amp;P)'!L4552,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53">
      <c r="J4553">
        <f>LET(
    lien,'Loan Tape (S&amp;P)'!Q4553,
    IF(lien="First",1.00,
        IF(lien="Second",1.50,
            1.70)))</f>
        <v/>
      </c>
      <c r="K4553">
        <f>LET(
    purpose,'Loan Tape (S&amp;P)'!R4553,
    IF(purpose="Purchase",1.00,
        IF(purpose="Remortgage",1.00,
            1.20)))</f>
        <v/>
      </c>
      <c r="L4553">
        <f>LET(
    arrears_months,'Loan Tape (S&amp;P)'!AN4553,
    IF(arrears_months=0,1.00,
    IF(arrears_months=1,3.00,
    IF(arrears_months=2,5.00,
    IF(arrears_months=3,8.00,
    IF(arrears_months=4,10.00,
    IF(arrears_months=5,12.00,15.00)))))))</f>
        <v/>
      </c>
      <c r="M4553">
        <f>LET(
    seasoning_years,DATEDIF('Loan Tape (S&amp;P)'!K4553,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53">
        <f>IF(AND('Loan Tape (S&amp;P)'!U4553="Yes",
        'Loan Tape (S&amp;P)'!T4553&lt;&gt;"Yes",
        DATEDIF('Loan Tape (S&amp;P)'!K4553, TODAY(), "M")&lt;18),
    1.10,
    1.00)</f>
        <v/>
      </c>
      <c r="O4553">
        <f>IF('Loan Tape (S&amp;P)'!T4553="Yes",
    1.35,
    1.00)</f>
        <v/>
      </c>
      <c r="P4553">
        <f>IF('Loan Tape (S&amp;P)'!S4553="Yes",
    1.15,
    1.00)</f>
        <v/>
      </c>
      <c r="Q4553">
        <f>IF('Loan Tape (S&amp;P)'!V4553="Yes",
    1.20,
    1.00)</f>
        <v/>
      </c>
      <c r="T4553">
        <f>LET(
    payment_method,'Loan Tape (S&amp;P)'!P4553,
    occupancy,'Loan Tape (S&amp;P)'!N4553,
    maturity_date,'Loan Tape (S&amp;P)'!L4553,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54">
      <c r="J4554">
        <f>LET(
    lien,'Loan Tape (S&amp;P)'!Q4554,
    IF(lien="First",1.00,
        IF(lien="Second",1.50,
            1.70)))</f>
        <v/>
      </c>
      <c r="K4554">
        <f>LET(
    purpose,'Loan Tape (S&amp;P)'!R4554,
    IF(purpose="Purchase",1.00,
        IF(purpose="Remortgage",1.00,
            1.20)))</f>
        <v/>
      </c>
      <c r="L4554">
        <f>LET(
    arrears_months,'Loan Tape (S&amp;P)'!AN4554,
    IF(arrears_months=0,1.00,
    IF(arrears_months=1,3.00,
    IF(arrears_months=2,5.00,
    IF(arrears_months=3,8.00,
    IF(arrears_months=4,10.00,
    IF(arrears_months=5,12.00,15.00)))))))</f>
        <v/>
      </c>
      <c r="M4554">
        <f>LET(
    seasoning_years,DATEDIF('Loan Tape (S&amp;P)'!K4554,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54">
        <f>IF(AND('Loan Tape (S&amp;P)'!U4554="Yes",
        'Loan Tape (S&amp;P)'!T4554&lt;&gt;"Yes",
        DATEDIF('Loan Tape (S&amp;P)'!K4554, TODAY(), "M")&lt;18),
    1.10,
    1.00)</f>
        <v/>
      </c>
      <c r="O4554">
        <f>IF('Loan Tape (S&amp;P)'!T4554="Yes",
    1.35,
    1.00)</f>
        <v/>
      </c>
      <c r="P4554">
        <f>IF('Loan Tape (S&amp;P)'!S4554="Yes",
    1.15,
    1.00)</f>
        <v/>
      </c>
      <c r="Q4554">
        <f>IF('Loan Tape (S&amp;P)'!V4554="Yes",
    1.20,
    1.00)</f>
        <v/>
      </c>
      <c r="T4554">
        <f>LET(
    payment_method,'Loan Tape (S&amp;P)'!P4554,
    occupancy,'Loan Tape (S&amp;P)'!N4554,
    maturity_date,'Loan Tape (S&amp;P)'!L4554,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55">
      <c r="J4555">
        <f>LET(
    lien,'Loan Tape (S&amp;P)'!Q4555,
    IF(lien="First",1.00,
        IF(lien="Second",1.50,
            1.70)))</f>
        <v/>
      </c>
      <c r="K4555">
        <f>LET(
    purpose,'Loan Tape (S&amp;P)'!R4555,
    IF(purpose="Purchase",1.00,
        IF(purpose="Remortgage",1.00,
            1.20)))</f>
        <v/>
      </c>
      <c r="L4555">
        <f>LET(
    arrears_months,'Loan Tape (S&amp;P)'!AN4555,
    IF(arrears_months=0,1.00,
    IF(arrears_months=1,3.00,
    IF(arrears_months=2,5.00,
    IF(arrears_months=3,8.00,
    IF(arrears_months=4,10.00,
    IF(arrears_months=5,12.00,15.00)))))))</f>
        <v/>
      </c>
      <c r="M4555">
        <f>LET(
    seasoning_years,DATEDIF('Loan Tape (S&amp;P)'!K4555,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55">
        <f>IF(AND('Loan Tape (S&amp;P)'!U4555="Yes",
        'Loan Tape (S&amp;P)'!T4555&lt;&gt;"Yes",
        DATEDIF('Loan Tape (S&amp;P)'!K4555, TODAY(), "M")&lt;18),
    1.10,
    1.00)</f>
        <v/>
      </c>
      <c r="O4555">
        <f>IF('Loan Tape (S&amp;P)'!T4555="Yes",
    1.35,
    1.00)</f>
        <v/>
      </c>
      <c r="P4555">
        <f>IF('Loan Tape (S&amp;P)'!S4555="Yes",
    1.15,
    1.00)</f>
        <v/>
      </c>
      <c r="Q4555">
        <f>IF('Loan Tape (S&amp;P)'!V4555="Yes",
    1.20,
    1.00)</f>
        <v/>
      </c>
      <c r="T4555">
        <f>LET(
    payment_method,'Loan Tape (S&amp;P)'!P4555,
    occupancy,'Loan Tape (S&amp;P)'!N4555,
    maturity_date,'Loan Tape (S&amp;P)'!L4555,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56">
      <c r="J4556">
        <f>LET(
    lien,'Loan Tape (S&amp;P)'!Q4556,
    IF(lien="First",1.00,
        IF(lien="Second",1.50,
            1.70)))</f>
        <v/>
      </c>
      <c r="K4556">
        <f>LET(
    purpose,'Loan Tape (S&amp;P)'!R4556,
    IF(purpose="Purchase",1.00,
        IF(purpose="Remortgage",1.00,
            1.20)))</f>
        <v/>
      </c>
      <c r="L4556">
        <f>LET(
    arrears_months,'Loan Tape (S&amp;P)'!AN4556,
    IF(arrears_months=0,1.00,
    IF(arrears_months=1,3.00,
    IF(arrears_months=2,5.00,
    IF(arrears_months=3,8.00,
    IF(arrears_months=4,10.00,
    IF(arrears_months=5,12.00,15.00)))))))</f>
        <v/>
      </c>
      <c r="M4556">
        <f>LET(
    seasoning_years,DATEDIF('Loan Tape (S&amp;P)'!K4556,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56">
        <f>IF(AND('Loan Tape (S&amp;P)'!U4556="Yes",
        'Loan Tape (S&amp;P)'!T4556&lt;&gt;"Yes",
        DATEDIF('Loan Tape (S&amp;P)'!K4556, TODAY(), "M")&lt;18),
    1.10,
    1.00)</f>
        <v/>
      </c>
      <c r="O4556">
        <f>IF('Loan Tape (S&amp;P)'!T4556="Yes",
    1.35,
    1.00)</f>
        <v/>
      </c>
      <c r="P4556">
        <f>IF('Loan Tape (S&amp;P)'!S4556="Yes",
    1.15,
    1.00)</f>
        <v/>
      </c>
      <c r="Q4556">
        <f>IF('Loan Tape (S&amp;P)'!V4556="Yes",
    1.20,
    1.00)</f>
        <v/>
      </c>
      <c r="T4556">
        <f>LET(
    payment_method,'Loan Tape (S&amp;P)'!P4556,
    occupancy,'Loan Tape (S&amp;P)'!N4556,
    maturity_date,'Loan Tape (S&amp;P)'!L4556,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57">
      <c r="J4557">
        <f>LET(
    lien,'Loan Tape (S&amp;P)'!Q4557,
    IF(lien="First",1.00,
        IF(lien="Second",1.50,
            1.70)))</f>
        <v/>
      </c>
      <c r="K4557">
        <f>LET(
    purpose,'Loan Tape (S&amp;P)'!R4557,
    IF(purpose="Purchase",1.00,
        IF(purpose="Remortgage",1.00,
            1.20)))</f>
        <v/>
      </c>
      <c r="L4557">
        <f>LET(
    arrears_months,'Loan Tape (S&amp;P)'!AN4557,
    IF(arrears_months=0,1.00,
    IF(arrears_months=1,3.00,
    IF(arrears_months=2,5.00,
    IF(arrears_months=3,8.00,
    IF(arrears_months=4,10.00,
    IF(arrears_months=5,12.00,15.00)))))))</f>
        <v/>
      </c>
      <c r="M4557">
        <f>LET(
    seasoning_years,DATEDIF('Loan Tape (S&amp;P)'!K4557,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57">
        <f>IF(AND('Loan Tape (S&amp;P)'!U4557="Yes",
        'Loan Tape (S&amp;P)'!T4557&lt;&gt;"Yes",
        DATEDIF('Loan Tape (S&amp;P)'!K4557, TODAY(), "M")&lt;18),
    1.10,
    1.00)</f>
        <v/>
      </c>
      <c r="O4557">
        <f>IF('Loan Tape (S&amp;P)'!T4557="Yes",
    1.35,
    1.00)</f>
        <v/>
      </c>
      <c r="P4557">
        <f>IF('Loan Tape (S&amp;P)'!S4557="Yes",
    1.15,
    1.00)</f>
        <v/>
      </c>
      <c r="Q4557">
        <f>IF('Loan Tape (S&amp;P)'!V4557="Yes",
    1.20,
    1.00)</f>
        <v/>
      </c>
      <c r="T4557">
        <f>LET(
    payment_method,'Loan Tape (S&amp;P)'!P4557,
    occupancy,'Loan Tape (S&amp;P)'!N4557,
    maturity_date,'Loan Tape (S&amp;P)'!L4557,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58">
      <c r="J4558">
        <f>LET(
    lien,'Loan Tape (S&amp;P)'!Q4558,
    IF(lien="First",1.00,
        IF(lien="Second",1.50,
            1.70)))</f>
        <v/>
      </c>
      <c r="K4558">
        <f>LET(
    purpose,'Loan Tape (S&amp;P)'!R4558,
    IF(purpose="Purchase",1.00,
        IF(purpose="Remortgage",1.00,
            1.20)))</f>
        <v/>
      </c>
      <c r="L4558">
        <f>LET(
    arrears_months,'Loan Tape (S&amp;P)'!AN4558,
    IF(arrears_months=0,1.00,
    IF(arrears_months=1,3.00,
    IF(arrears_months=2,5.00,
    IF(arrears_months=3,8.00,
    IF(arrears_months=4,10.00,
    IF(arrears_months=5,12.00,15.00)))))))</f>
        <v/>
      </c>
      <c r="M4558">
        <f>LET(
    seasoning_years,DATEDIF('Loan Tape (S&amp;P)'!K4558,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58">
        <f>IF(AND('Loan Tape (S&amp;P)'!U4558="Yes",
        'Loan Tape (S&amp;P)'!T4558&lt;&gt;"Yes",
        DATEDIF('Loan Tape (S&amp;P)'!K4558, TODAY(), "M")&lt;18),
    1.10,
    1.00)</f>
        <v/>
      </c>
      <c r="O4558">
        <f>IF('Loan Tape (S&amp;P)'!T4558="Yes",
    1.35,
    1.00)</f>
        <v/>
      </c>
      <c r="P4558">
        <f>IF('Loan Tape (S&amp;P)'!S4558="Yes",
    1.15,
    1.00)</f>
        <v/>
      </c>
      <c r="Q4558">
        <f>IF('Loan Tape (S&amp;P)'!V4558="Yes",
    1.20,
    1.00)</f>
        <v/>
      </c>
      <c r="T4558">
        <f>LET(
    payment_method,'Loan Tape (S&amp;P)'!P4558,
    occupancy,'Loan Tape (S&amp;P)'!N4558,
    maturity_date,'Loan Tape (S&amp;P)'!L4558,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59">
      <c r="J4559">
        <f>LET(
    lien,'Loan Tape (S&amp;P)'!Q4559,
    IF(lien="First",1.00,
        IF(lien="Second",1.50,
            1.70)))</f>
        <v/>
      </c>
      <c r="K4559">
        <f>LET(
    purpose,'Loan Tape (S&amp;P)'!R4559,
    IF(purpose="Purchase",1.00,
        IF(purpose="Remortgage",1.00,
            1.20)))</f>
        <v/>
      </c>
      <c r="L4559">
        <f>LET(
    arrears_months,'Loan Tape (S&amp;P)'!AN4559,
    IF(arrears_months=0,1.00,
    IF(arrears_months=1,3.00,
    IF(arrears_months=2,5.00,
    IF(arrears_months=3,8.00,
    IF(arrears_months=4,10.00,
    IF(arrears_months=5,12.00,15.00)))))))</f>
        <v/>
      </c>
      <c r="M4559">
        <f>LET(
    seasoning_years,DATEDIF('Loan Tape (S&amp;P)'!K4559,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59">
        <f>IF(AND('Loan Tape (S&amp;P)'!U4559="Yes",
        'Loan Tape (S&amp;P)'!T4559&lt;&gt;"Yes",
        DATEDIF('Loan Tape (S&amp;P)'!K4559, TODAY(), "M")&lt;18),
    1.10,
    1.00)</f>
        <v/>
      </c>
      <c r="O4559">
        <f>IF('Loan Tape (S&amp;P)'!T4559="Yes",
    1.35,
    1.00)</f>
        <v/>
      </c>
      <c r="P4559">
        <f>IF('Loan Tape (S&amp;P)'!S4559="Yes",
    1.15,
    1.00)</f>
        <v/>
      </c>
      <c r="Q4559">
        <f>IF('Loan Tape (S&amp;P)'!V4559="Yes",
    1.20,
    1.00)</f>
        <v/>
      </c>
      <c r="T4559">
        <f>LET(
    payment_method,'Loan Tape (S&amp;P)'!P4559,
    occupancy,'Loan Tape (S&amp;P)'!N4559,
    maturity_date,'Loan Tape (S&amp;P)'!L4559,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60">
      <c r="J4560">
        <f>LET(
    lien,'Loan Tape (S&amp;P)'!Q4560,
    IF(lien="First",1.00,
        IF(lien="Second",1.50,
            1.70)))</f>
        <v/>
      </c>
      <c r="K4560">
        <f>LET(
    purpose,'Loan Tape (S&amp;P)'!R4560,
    IF(purpose="Purchase",1.00,
        IF(purpose="Remortgage",1.00,
            1.20)))</f>
        <v/>
      </c>
      <c r="L4560">
        <f>LET(
    arrears_months,'Loan Tape (S&amp;P)'!AN4560,
    IF(arrears_months=0,1.00,
    IF(arrears_months=1,3.00,
    IF(arrears_months=2,5.00,
    IF(arrears_months=3,8.00,
    IF(arrears_months=4,10.00,
    IF(arrears_months=5,12.00,15.00)))))))</f>
        <v/>
      </c>
      <c r="M4560">
        <f>LET(
    seasoning_years,DATEDIF('Loan Tape (S&amp;P)'!K4560,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60">
        <f>IF(AND('Loan Tape (S&amp;P)'!U4560="Yes",
        'Loan Tape (S&amp;P)'!T4560&lt;&gt;"Yes",
        DATEDIF('Loan Tape (S&amp;P)'!K4560, TODAY(), "M")&lt;18),
    1.10,
    1.00)</f>
        <v/>
      </c>
      <c r="O4560">
        <f>IF('Loan Tape (S&amp;P)'!T4560="Yes",
    1.35,
    1.00)</f>
        <v/>
      </c>
      <c r="P4560">
        <f>IF('Loan Tape (S&amp;P)'!S4560="Yes",
    1.15,
    1.00)</f>
        <v/>
      </c>
      <c r="Q4560">
        <f>IF('Loan Tape (S&amp;P)'!V4560="Yes",
    1.20,
    1.00)</f>
        <v/>
      </c>
      <c r="T4560">
        <f>LET(
    payment_method,'Loan Tape (S&amp;P)'!P4560,
    occupancy,'Loan Tape (S&amp;P)'!N4560,
    maturity_date,'Loan Tape (S&amp;P)'!L4560,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61">
      <c r="J4561">
        <f>LET(
    lien,'Loan Tape (S&amp;P)'!Q4561,
    IF(lien="First",1.00,
        IF(lien="Second",1.50,
            1.70)))</f>
        <v/>
      </c>
      <c r="K4561">
        <f>LET(
    purpose,'Loan Tape (S&amp;P)'!R4561,
    IF(purpose="Purchase",1.00,
        IF(purpose="Remortgage",1.00,
            1.20)))</f>
        <v/>
      </c>
      <c r="L4561">
        <f>LET(
    arrears_months,'Loan Tape (S&amp;P)'!AN4561,
    IF(arrears_months=0,1.00,
    IF(arrears_months=1,3.00,
    IF(arrears_months=2,5.00,
    IF(arrears_months=3,8.00,
    IF(arrears_months=4,10.00,
    IF(arrears_months=5,12.00,15.00)))))))</f>
        <v/>
      </c>
      <c r="M4561">
        <f>LET(
    seasoning_years,DATEDIF('Loan Tape (S&amp;P)'!K4561,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61">
        <f>IF(AND('Loan Tape (S&amp;P)'!U4561="Yes",
        'Loan Tape (S&amp;P)'!T4561&lt;&gt;"Yes",
        DATEDIF('Loan Tape (S&amp;P)'!K4561, TODAY(), "M")&lt;18),
    1.10,
    1.00)</f>
        <v/>
      </c>
      <c r="O4561">
        <f>IF('Loan Tape (S&amp;P)'!T4561="Yes",
    1.35,
    1.00)</f>
        <v/>
      </c>
      <c r="P4561">
        <f>IF('Loan Tape (S&amp;P)'!S4561="Yes",
    1.15,
    1.00)</f>
        <v/>
      </c>
      <c r="Q4561">
        <f>IF('Loan Tape (S&amp;P)'!V4561="Yes",
    1.20,
    1.00)</f>
        <v/>
      </c>
      <c r="T4561">
        <f>LET(
    payment_method,'Loan Tape (S&amp;P)'!P4561,
    occupancy,'Loan Tape (S&amp;P)'!N4561,
    maturity_date,'Loan Tape (S&amp;P)'!L4561,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62">
      <c r="J4562">
        <f>LET(
    lien,'Loan Tape (S&amp;P)'!Q4562,
    IF(lien="First",1.00,
        IF(lien="Second",1.50,
            1.70)))</f>
        <v/>
      </c>
      <c r="K4562">
        <f>LET(
    purpose,'Loan Tape (S&amp;P)'!R4562,
    IF(purpose="Purchase",1.00,
        IF(purpose="Remortgage",1.00,
            1.20)))</f>
        <v/>
      </c>
      <c r="L4562">
        <f>LET(
    arrears_months,'Loan Tape (S&amp;P)'!AN4562,
    IF(arrears_months=0,1.00,
    IF(arrears_months=1,3.00,
    IF(arrears_months=2,5.00,
    IF(arrears_months=3,8.00,
    IF(arrears_months=4,10.00,
    IF(arrears_months=5,12.00,15.00)))))))</f>
        <v/>
      </c>
      <c r="M4562">
        <f>LET(
    seasoning_years,DATEDIF('Loan Tape (S&amp;P)'!K4562,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62">
        <f>IF(AND('Loan Tape (S&amp;P)'!U4562="Yes",
        'Loan Tape (S&amp;P)'!T4562&lt;&gt;"Yes",
        DATEDIF('Loan Tape (S&amp;P)'!K4562, TODAY(), "M")&lt;18),
    1.10,
    1.00)</f>
        <v/>
      </c>
      <c r="O4562">
        <f>IF('Loan Tape (S&amp;P)'!T4562="Yes",
    1.35,
    1.00)</f>
        <v/>
      </c>
      <c r="P4562">
        <f>IF('Loan Tape (S&amp;P)'!S4562="Yes",
    1.15,
    1.00)</f>
        <v/>
      </c>
      <c r="Q4562">
        <f>IF('Loan Tape (S&amp;P)'!V4562="Yes",
    1.20,
    1.00)</f>
        <v/>
      </c>
      <c r="T4562">
        <f>LET(
    payment_method,'Loan Tape (S&amp;P)'!P4562,
    occupancy,'Loan Tape (S&amp;P)'!N4562,
    maturity_date,'Loan Tape (S&amp;P)'!L4562,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63">
      <c r="J4563">
        <f>LET(
    lien,'Loan Tape (S&amp;P)'!Q4563,
    IF(lien="First",1.00,
        IF(lien="Second",1.50,
            1.70)))</f>
        <v/>
      </c>
      <c r="K4563">
        <f>LET(
    purpose,'Loan Tape (S&amp;P)'!R4563,
    IF(purpose="Purchase",1.00,
        IF(purpose="Remortgage",1.00,
            1.20)))</f>
        <v/>
      </c>
      <c r="L4563">
        <f>LET(
    arrears_months,'Loan Tape (S&amp;P)'!AN4563,
    IF(arrears_months=0,1.00,
    IF(arrears_months=1,3.00,
    IF(arrears_months=2,5.00,
    IF(arrears_months=3,8.00,
    IF(arrears_months=4,10.00,
    IF(arrears_months=5,12.00,15.00)))))))</f>
        <v/>
      </c>
      <c r="M4563">
        <f>LET(
    seasoning_years,DATEDIF('Loan Tape (S&amp;P)'!K4563,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63">
        <f>IF(AND('Loan Tape (S&amp;P)'!U4563="Yes",
        'Loan Tape (S&amp;P)'!T4563&lt;&gt;"Yes",
        DATEDIF('Loan Tape (S&amp;P)'!K4563, TODAY(), "M")&lt;18),
    1.10,
    1.00)</f>
        <v/>
      </c>
      <c r="O4563">
        <f>IF('Loan Tape (S&amp;P)'!T4563="Yes",
    1.35,
    1.00)</f>
        <v/>
      </c>
      <c r="P4563">
        <f>IF('Loan Tape (S&amp;P)'!S4563="Yes",
    1.15,
    1.00)</f>
        <v/>
      </c>
      <c r="Q4563">
        <f>IF('Loan Tape (S&amp;P)'!V4563="Yes",
    1.20,
    1.00)</f>
        <v/>
      </c>
      <c r="T4563">
        <f>LET(
    payment_method,'Loan Tape (S&amp;P)'!P4563,
    occupancy,'Loan Tape (S&amp;P)'!N4563,
    maturity_date,'Loan Tape (S&amp;P)'!L4563,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64">
      <c r="J4564">
        <f>LET(
    lien,'Loan Tape (S&amp;P)'!Q4564,
    IF(lien="First",1.00,
        IF(lien="Second",1.50,
            1.70)))</f>
        <v/>
      </c>
      <c r="K4564">
        <f>LET(
    purpose,'Loan Tape (S&amp;P)'!R4564,
    IF(purpose="Purchase",1.00,
        IF(purpose="Remortgage",1.00,
            1.20)))</f>
        <v/>
      </c>
      <c r="L4564">
        <f>LET(
    arrears_months,'Loan Tape (S&amp;P)'!AN4564,
    IF(arrears_months=0,1.00,
    IF(arrears_months=1,3.00,
    IF(arrears_months=2,5.00,
    IF(arrears_months=3,8.00,
    IF(arrears_months=4,10.00,
    IF(arrears_months=5,12.00,15.00)))))))</f>
        <v/>
      </c>
      <c r="M4564">
        <f>LET(
    seasoning_years,DATEDIF('Loan Tape (S&amp;P)'!K4564,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64">
        <f>IF(AND('Loan Tape (S&amp;P)'!U4564="Yes",
        'Loan Tape (S&amp;P)'!T4564&lt;&gt;"Yes",
        DATEDIF('Loan Tape (S&amp;P)'!K4564, TODAY(), "M")&lt;18),
    1.10,
    1.00)</f>
        <v/>
      </c>
      <c r="O4564">
        <f>IF('Loan Tape (S&amp;P)'!T4564="Yes",
    1.35,
    1.00)</f>
        <v/>
      </c>
      <c r="P4564">
        <f>IF('Loan Tape (S&amp;P)'!S4564="Yes",
    1.15,
    1.00)</f>
        <v/>
      </c>
      <c r="Q4564">
        <f>IF('Loan Tape (S&amp;P)'!V4564="Yes",
    1.20,
    1.00)</f>
        <v/>
      </c>
      <c r="T4564">
        <f>LET(
    payment_method,'Loan Tape (S&amp;P)'!P4564,
    occupancy,'Loan Tape (S&amp;P)'!N4564,
    maturity_date,'Loan Tape (S&amp;P)'!L4564,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65">
      <c r="J4565">
        <f>LET(
    lien,'Loan Tape (S&amp;P)'!Q4565,
    IF(lien="First",1.00,
        IF(lien="Second",1.50,
            1.70)))</f>
        <v/>
      </c>
      <c r="K4565">
        <f>LET(
    purpose,'Loan Tape (S&amp;P)'!R4565,
    IF(purpose="Purchase",1.00,
        IF(purpose="Remortgage",1.00,
            1.20)))</f>
        <v/>
      </c>
      <c r="L4565">
        <f>LET(
    arrears_months,'Loan Tape (S&amp;P)'!AN4565,
    IF(arrears_months=0,1.00,
    IF(arrears_months=1,3.00,
    IF(arrears_months=2,5.00,
    IF(arrears_months=3,8.00,
    IF(arrears_months=4,10.00,
    IF(arrears_months=5,12.00,15.00)))))))</f>
        <v/>
      </c>
      <c r="M4565">
        <f>LET(
    seasoning_years,DATEDIF('Loan Tape (S&amp;P)'!K4565,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65">
        <f>IF(AND('Loan Tape (S&amp;P)'!U4565="Yes",
        'Loan Tape (S&amp;P)'!T4565&lt;&gt;"Yes",
        DATEDIF('Loan Tape (S&amp;P)'!K4565, TODAY(), "M")&lt;18),
    1.10,
    1.00)</f>
        <v/>
      </c>
      <c r="O4565">
        <f>IF('Loan Tape (S&amp;P)'!T4565="Yes",
    1.35,
    1.00)</f>
        <v/>
      </c>
      <c r="P4565">
        <f>IF('Loan Tape (S&amp;P)'!S4565="Yes",
    1.15,
    1.00)</f>
        <v/>
      </c>
      <c r="Q4565">
        <f>IF('Loan Tape (S&amp;P)'!V4565="Yes",
    1.20,
    1.00)</f>
        <v/>
      </c>
      <c r="T4565">
        <f>LET(
    payment_method,'Loan Tape (S&amp;P)'!P4565,
    occupancy,'Loan Tape (S&amp;P)'!N4565,
    maturity_date,'Loan Tape (S&amp;P)'!L4565,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66">
      <c r="J4566">
        <f>LET(
    lien,'Loan Tape (S&amp;P)'!Q4566,
    IF(lien="First",1.00,
        IF(lien="Second",1.50,
            1.70)))</f>
        <v/>
      </c>
      <c r="K4566">
        <f>LET(
    purpose,'Loan Tape (S&amp;P)'!R4566,
    IF(purpose="Purchase",1.00,
        IF(purpose="Remortgage",1.00,
            1.20)))</f>
        <v/>
      </c>
      <c r="L4566">
        <f>LET(
    arrears_months,'Loan Tape (S&amp;P)'!AN4566,
    IF(arrears_months=0,1.00,
    IF(arrears_months=1,3.00,
    IF(arrears_months=2,5.00,
    IF(arrears_months=3,8.00,
    IF(arrears_months=4,10.00,
    IF(arrears_months=5,12.00,15.00)))))))</f>
        <v/>
      </c>
      <c r="M4566">
        <f>LET(
    seasoning_years,DATEDIF('Loan Tape (S&amp;P)'!K4566,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66">
        <f>IF(AND('Loan Tape (S&amp;P)'!U4566="Yes",
        'Loan Tape (S&amp;P)'!T4566&lt;&gt;"Yes",
        DATEDIF('Loan Tape (S&amp;P)'!K4566, TODAY(), "M")&lt;18),
    1.10,
    1.00)</f>
        <v/>
      </c>
      <c r="O4566">
        <f>IF('Loan Tape (S&amp;P)'!T4566="Yes",
    1.35,
    1.00)</f>
        <v/>
      </c>
      <c r="P4566">
        <f>IF('Loan Tape (S&amp;P)'!S4566="Yes",
    1.15,
    1.00)</f>
        <v/>
      </c>
      <c r="Q4566">
        <f>IF('Loan Tape (S&amp;P)'!V4566="Yes",
    1.20,
    1.00)</f>
        <v/>
      </c>
      <c r="T4566">
        <f>LET(
    payment_method,'Loan Tape (S&amp;P)'!P4566,
    occupancy,'Loan Tape (S&amp;P)'!N4566,
    maturity_date,'Loan Tape (S&amp;P)'!L4566,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67">
      <c r="J4567">
        <f>LET(
    lien,'Loan Tape (S&amp;P)'!Q4567,
    IF(lien="First",1.00,
        IF(lien="Second",1.50,
            1.70)))</f>
        <v/>
      </c>
      <c r="K4567">
        <f>LET(
    purpose,'Loan Tape (S&amp;P)'!R4567,
    IF(purpose="Purchase",1.00,
        IF(purpose="Remortgage",1.00,
            1.20)))</f>
        <v/>
      </c>
      <c r="L4567">
        <f>LET(
    arrears_months,'Loan Tape (S&amp;P)'!AN4567,
    IF(arrears_months=0,1.00,
    IF(arrears_months=1,3.00,
    IF(arrears_months=2,5.00,
    IF(arrears_months=3,8.00,
    IF(arrears_months=4,10.00,
    IF(arrears_months=5,12.00,15.00)))))))</f>
        <v/>
      </c>
      <c r="M4567">
        <f>LET(
    seasoning_years,DATEDIF('Loan Tape (S&amp;P)'!K4567,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67">
        <f>IF(AND('Loan Tape (S&amp;P)'!U4567="Yes",
        'Loan Tape (S&amp;P)'!T4567&lt;&gt;"Yes",
        DATEDIF('Loan Tape (S&amp;P)'!K4567, TODAY(), "M")&lt;18),
    1.10,
    1.00)</f>
        <v/>
      </c>
      <c r="O4567">
        <f>IF('Loan Tape (S&amp;P)'!T4567="Yes",
    1.35,
    1.00)</f>
        <v/>
      </c>
      <c r="P4567">
        <f>IF('Loan Tape (S&amp;P)'!S4567="Yes",
    1.15,
    1.00)</f>
        <v/>
      </c>
      <c r="Q4567">
        <f>IF('Loan Tape (S&amp;P)'!V4567="Yes",
    1.20,
    1.00)</f>
        <v/>
      </c>
      <c r="T4567">
        <f>LET(
    payment_method,'Loan Tape (S&amp;P)'!P4567,
    occupancy,'Loan Tape (S&amp;P)'!N4567,
    maturity_date,'Loan Tape (S&amp;P)'!L4567,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68">
      <c r="J4568">
        <f>LET(
    lien,'Loan Tape (S&amp;P)'!Q4568,
    IF(lien="First",1.00,
        IF(lien="Second",1.50,
            1.70)))</f>
        <v/>
      </c>
      <c r="K4568">
        <f>LET(
    purpose,'Loan Tape (S&amp;P)'!R4568,
    IF(purpose="Purchase",1.00,
        IF(purpose="Remortgage",1.00,
            1.20)))</f>
        <v/>
      </c>
      <c r="L4568">
        <f>LET(
    arrears_months,'Loan Tape (S&amp;P)'!AN4568,
    IF(arrears_months=0,1.00,
    IF(arrears_months=1,3.00,
    IF(arrears_months=2,5.00,
    IF(arrears_months=3,8.00,
    IF(arrears_months=4,10.00,
    IF(arrears_months=5,12.00,15.00)))))))</f>
        <v/>
      </c>
      <c r="M4568">
        <f>LET(
    seasoning_years,DATEDIF('Loan Tape (S&amp;P)'!K4568,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68">
        <f>IF(AND('Loan Tape (S&amp;P)'!U4568="Yes",
        'Loan Tape (S&amp;P)'!T4568&lt;&gt;"Yes",
        DATEDIF('Loan Tape (S&amp;P)'!K4568, TODAY(), "M")&lt;18),
    1.10,
    1.00)</f>
        <v/>
      </c>
      <c r="O4568">
        <f>IF('Loan Tape (S&amp;P)'!T4568="Yes",
    1.35,
    1.00)</f>
        <v/>
      </c>
      <c r="P4568">
        <f>IF('Loan Tape (S&amp;P)'!S4568="Yes",
    1.15,
    1.00)</f>
        <v/>
      </c>
      <c r="Q4568">
        <f>IF('Loan Tape (S&amp;P)'!V4568="Yes",
    1.20,
    1.00)</f>
        <v/>
      </c>
      <c r="T4568">
        <f>LET(
    payment_method,'Loan Tape (S&amp;P)'!P4568,
    occupancy,'Loan Tape (S&amp;P)'!N4568,
    maturity_date,'Loan Tape (S&amp;P)'!L4568,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69">
      <c r="J4569">
        <f>LET(
    lien,'Loan Tape (S&amp;P)'!Q4569,
    IF(lien="First",1.00,
        IF(lien="Second",1.50,
            1.70)))</f>
        <v/>
      </c>
      <c r="K4569">
        <f>LET(
    purpose,'Loan Tape (S&amp;P)'!R4569,
    IF(purpose="Purchase",1.00,
        IF(purpose="Remortgage",1.00,
            1.20)))</f>
        <v/>
      </c>
      <c r="L4569">
        <f>LET(
    arrears_months,'Loan Tape (S&amp;P)'!AN4569,
    IF(arrears_months=0,1.00,
    IF(arrears_months=1,3.00,
    IF(arrears_months=2,5.00,
    IF(arrears_months=3,8.00,
    IF(arrears_months=4,10.00,
    IF(arrears_months=5,12.00,15.00)))))))</f>
        <v/>
      </c>
      <c r="M4569">
        <f>LET(
    seasoning_years,DATEDIF('Loan Tape (S&amp;P)'!K4569,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69">
        <f>IF(AND('Loan Tape (S&amp;P)'!U4569="Yes",
        'Loan Tape (S&amp;P)'!T4569&lt;&gt;"Yes",
        DATEDIF('Loan Tape (S&amp;P)'!K4569, TODAY(), "M")&lt;18),
    1.10,
    1.00)</f>
        <v/>
      </c>
      <c r="O4569">
        <f>IF('Loan Tape (S&amp;P)'!T4569="Yes",
    1.35,
    1.00)</f>
        <v/>
      </c>
      <c r="P4569">
        <f>IF('Loan Tape (S&amp;P)'!S4569="Yes",
    1.15,
    1.00)</f>
        <v/>
      </c>
      <c r="Q4569">
        <f>IF('Loan Tape (S&amp;P)'!V4569="Yes",
    1.20,
    1.00)</f>
        <v/>
      </c>
      <c r="T4569">
        <f>LET(
    payment_method,'Loan Tape (S&amp;P)'!P4569,
    occupancy,'Loan Tape (S&amp;P)'!N4569,
    maturity_date,'Loan Tape (S&amp;P)'!L4569,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70">
      <c r="J4570">
        <f>LET(
    lien,'Loan Tape (S&amp;P)'!Q4570,
    IF(lien="First",1.00,
        IF(lien="Second",1.50,
            1.70)))</f>
        <v/>
      </c>
      <c r="K4570">
        <f>LET(
    purpose,'Loan Tape (S&amp;P)'!R4570,
    IF(purpose="Purchase",1.00,
        IF(purpose="Remortgage",1.00,
            1.20)))</f>
        <v/>
      </c>
      <c r="L4570">
        <f>LET(
    arrears_months,'Loan Tape (S&amp;P)'!AN4570,
    IF(arrears_months=0,1.00,
    IF(arrears_months=1,3.00,
    IF(arrears_months=2,5.00,
    IF(arrears_months=3,8.00,
    IF(arrears_months=4,10.00,
    IF(arrears_months=5,12.00,15.00)))))))</f>
        <v/>
      </c>
      <c r="M4570">
        <f>LET(
    seasoning_years,DATEDIF('Loan Tape (S&amp;P)'!K4570,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70">
        <f>IF(AND('Loan Tape (S&amp;P)'!U4570="Yes",
        'Loan Tape (S&amp;P)'!T4570&lt;&gt;"Yes",
        DATEDIF('Loan Tape (S&amp;P)'!K4570, TODAY(), "M")&lt;18),
    1.10,
    1.00)</f>
        <v/>
      </c>
      <c r="O4570">
        <f>IF('Loan Tape (S&amp;P)'!T4570="Yes",
    1.35,
    1.00)</f>
        <v/>
      </c>
      <c r="P4570">
        <f>IF('Loan Tape (S&amp;P)'!S4570="Yes",
    1.15,
    1.00)</f>
        <v/>
      </c>
      <c r="Q4570">
        <f>IF('Loan Tape (S&amp;P)'!V4570="Yes",
    1.20,
    1.00)</f>
        <v/>
      </c>
      <c r="T4570">
        <f>LET(
    payment_method,'Loan Tape (S&amp;P)'!P4570,
    occupancy,'Loan Tape (S&amp;P)'!N4570,
    maturity_date,'Loan Tape (S&amp;P)'!L4570,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71">
      <c r="J4571">
        <f>LET(
    lien,'Loan Tape (S&amp;P)'!Q4571,
    IF(lien="First",1.00,
        IF(lien="Second",1.50,
            1.70)))</f>
        <v/>
      </c>
      <c r="K4571">
        <f>LET(
    purpose,'Loan Tape (S&amp;P)'!R4571,
    IF(purpose="Purchase",1.00,
        IF(purpose="Remortgage",1.00,
            1.20)))</f>
        <v/>
      </c>
      <c r="L4571">
        <f>LET(
    arrears_months,'Loan Tape (S&amp;P)'!AN4571,
    IF(arrears_months=0,1.00,
    IF(arrears_months=1,3.00,
    IF(arrears_months=2,5.00,
    IF(arrears_months=3,8.00,
    IF(arrears_months=4,10.00,
    IF(arrears_months=5,12.00,15.00)))))))</f>
        <v/>
      </c>
      <c r="M4571">
        <f>LET(
    seasoning_years,DATEDIF('Loan Tape (S&amp;P)'!K4571,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71">
        <f>IF(AND('Loan Tape (S&amp;P)'!U4571="Yes",
        'Loan Tape (S&amp;P)'!T4571&lt;&gt;"Yes",
        DATEDIF('Loan Tape (S&amp;P)'!K4571, TODAY(), "M")&lt;18),
    1.10,
    1.00)</f>
        <v/>
      </c>
      <c r="O4571">
        <f>IF('Loan Tape (S&amp;P)'!T4571="Yes",
    1.35,
    1.00)</f>
        <v/>
      </c>
      <c r="P4571">
        <f>IF('Loan Tape (S&amp;P)'!S4571="Yes",
    1.15,
    1.00)</f>
        <v/>
      </c>
      <c r="Q4571">
        <f>IF('Loan Tape (S&amp;P)'!V4571="Yes",
    1.20,
    1.00)</f>
        <v/>
      </c>
      <c r="T4571">
        <f>LET(
    payment_method,'Loan Tape (S&amp;P)'!P4571,
    occupancy,'Loan Tape (S&amp;P)'!N4571,
    maturity_date,'Loan Tape (S&amp;P)'!L4571,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72">
      <c r="J4572">
        <f>LET(
    lien,'Loan Tape (S&amp;P)'!Q4572,
    IF(lien="First",1.00,
        IF(lien="Second",1.50,
            1.70)))</f>
        <v/>
      </c>
      <c r="K4572">
        <f>LET(
    purpose,'Loan Tape (S&amp;P)'!R4572,
    IF(purpose="Purchase",1.00,
        IF(purpose="Remortgage",1.00,
            1.20)))</f>
        <v/>
      </c>
      <c r="L4572">
        <f>LET(
    arrears_months,'Loan Tape (S&amp;P)'!AN4572,
    IF(arrears_months=0,1.00,
    IF(arrears_months=1,3.00,
    IF(arrears_months=2,5.00,
    IF(arrears_months=3,8.00,
    IF(arrears_months=4,10.00,
    IF(arrears_months=5,12.00,15.00)))))))</f>
        <v/>
      </c>
      <c r="M4572">
        <f>LET(
    seasoning_years,DATEDIF('Loan Tape (S&amp;P)'!K4572,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72">
        <f>IF(AND('Loan Tape (S&amp;P)'!U4572="Yes",
        'Loan Tape (S&amp;P)'!T4572&lt;&gt;"Yes",
        DATEDIF('Loan Tape (S&amp;P)'!K4572, TODAY(), "M")&lt;18),
    1.10,
    1.00)</f>
        <v/>
      </c>
      <c r="O4572">
        <f>IF('Loan Tape (S&amp;P)'!T4572="Yes",
    1.35,
    1.00)</f>
        <v/>
      </c>
      <c r="P4572">
        <f>IF('Loan Tape (S&amp;P)'!S4572="Yes",
    1.15,
    1.00)</f>
        <v/>
      </c>
      <c r="Q4572">
        <f>IF('Loan Tape (S&amp;P)'!V4572="Yes",
    1.20,
    1.00)</f>
        <v/>
      </c>
      <c r="T4572">
        <f>LET(
    payment_method,'Loan Tape (S&amp;P)'!P4572,
    occupancy,'Loan Tape (S&amp;P)'!N4572,
    maturity_date,'Loan Tape (S&amp;P)'!L4572,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73">
      <c r="J4573">
        <f>LET(
    lien,'Loan Tape (S&amp;P)'!Q4573,
    IF(lien="First",1.00,
        IF(lien="Second",1.50,
            1.70)))</f>
        <v/>
      </c>
      <c r="K4573">
        <f>LET(
    purpose,'Loan Tape (S&amp;P)'!R4573,
    IF(purpose="Purchase",1.00,
        IF(purpose="Remortgage",1.00,
            1.20)))</f>
        <v/>
      </c>
      <c r="L4573">
        <f>LET(
    arrears_months,'Loan Tape (S&amp;P)'!AN4573,
    IF(arrears_months=0,1.00,
    IF(arrears_months=1,3.00,
    IF(arrears_months=2,5.00,
    IF(arrears_months=3,8.00,
    IF(arrears_months=4,10.00,
    IF(arrears_months=5,12.00,15.00)))))))</f>
        <v/>
      </c>
      <c r="M4573">
        <f>LET(
    seasoning_years,DATEDIF('Loan Tape (S&amp;P)'!K4573,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73">
        <f>IF(AND('Loan Tape (S&amp;P)'!U4573="Yes",
        'Loan Tape (S&amp;P)'!T4573&lt;&gt;"Yes",
        DATEDIF('Loan Tape (S&amp;P)'!K4573, TODAY(), "M")&lt;18),
    1.10,
    1.00)</f>
        <v/>
      </c>
      <c r="O4573">
        <f>IF('Loan Tape (S&amp;P)'!T4573="Yes",
    1.35,
    1.00)</f>
        <v/>
      </c>
      <c r="P4573">
        <f>IF('Loan Tape (S&amp;P)'!S4573="Yes",
    1.15,
    1.00)</f>
        <v/>
      </c>
      <c r="Q4573">
        <f>IF('Loan Tape (S&amp;P)'!V4573="Yes",
    1.20,
    1.00)</f>
        <v/>
      </c>
      <c r="T4573">
        <f>LET(
    payment_method,'Loan Tape (S&amp;P)'!P4573,
    occupancy,'Loan Tape (S&amp;P)'!N4573,
    maturity_date,'Loan Tape (S&amp;P)'!L4573,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74">
      <c r="J4574">
        <f>LET(
    lien,'Loan Tape (S&amp;P)'!Q4574,
    IF(lien="First",1.00,
        IF(lien="Second",1.50,
            1.70)))</f>
        <v/>
      </c>
      <c r="K4574">
        <f>LET(
    purpose,'Loan Tape (S&amp;P)'!R4574,
    IF(purpose="Purchase",1.00,
        IF(purpose="Remortgage",1.00,
            1.20)))</f>
        <v/>
      </c>
      <c r="L4574">
        <f>LET(
    arrears_months,'Loan Tape (S&amp;P)'!AN4574,
    IF(arrears_months=0,1.00,
    IF(arrears_months=1,3.00,
    IF(arrears_months=2,5.00,
    IF(arrears_months=3,8.00,
    IF(arrears_months=4,10.00,
    IF(arrears_months=5,12.00,15.00)))))))</f>
        <v/>
      </c>
      <c r="M4574">
        <f>LET(
    seasoning_years,DATEDIF('Loan Tape (S&amp;P)'!K4574,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74">
        <f>IF(AND('Loan Tape (S&amp;P)'!U4574="Yes",
        'Loan Tape (S&amp;P)'!T4574&lt;&gt;"Yes",
        DATEDIF('Loan Tape (S&amp;P)'!K4574, TODAY(), "M")&lt;18),
    1.10,
    1.00)</f>
        <v/>
      </c>
      <c r="O4574">
        <f>IF('Loan Tape (S&amp;P)'!T4574="Yes",
    1.35,
    1.00)</f>
        <v/>
      </c>
      <c r="P4574">
        <f>IF('Loan Tape (S&amp;P)'!S4574="Yes",
    1.15,
    1.00)</f>
        <v/>
      </c>
      <c r="Q4574">
        <f>IF('Loan Tape (S&amp;P)'!V4574="Yes",
    1.20,
    1.00)</f>
        <v/>
      </c>
      <c r="T4574">
        <f>LET(
    payment_method,'Loan Tape (S&amp;P)'!P4574,
    occupancy,'Loan Tape (S&amp;P)'!N4574,
    maturity_date,'Loan Tape (S&amp;P)'!L4574,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75">
      <c r="J4575">
        <f>LET(
    lien,'Loan Tape (S&amp;P)'!Q4575,
    IF(lien="First",1.00,
        IF(lien="Second",1.50,
            1.70)))</f>
        <v/>
      </c>
      <c r="K4575">
        <f>LET(
    purpose,'Loan Tape (S&amp;P)'!R4575,
    IF(purpose="Purchase",1.00,
        IF(purpose="Remortgage",1.00,
            1.20)))</f>
        <v/>
      </c>
      <c r="L4575">
        <f>LET(
    arrears_months,'Loan Tape (S&amp;P)'!AN4575,
    IF(arrears_months=0,1.00,
    IF(arrears_months=1,3.00,
    IF(arrears_months=2,5.00,
    IF(arrears_months=3,8.00,
    IF(arrears_months=4,10.00,
    IF(arrears_months=5,12.00,15.00)))))))</f>
        <v/>
      </c>
      <c r="M4575">
        <f>LET(
    seasoning_years,DATEDIF('Loan Tape (S&amp;P)'!K4575,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75">
        <f>IF(AND('Loan Tape (S&amp;P)'!U4575="Yes",
        'Loan Tape (S&amp;P)'!T4575&lt;&gt;"Yes",
        DATEDIF('Loan Tape (S&amp;P)'!K4575, TODAY(), "M")&lt;18),
    1.10,
    1.00)</f>
        <v/>
      </c>
      <c r="O4575">
        <f>IF('Loan Tape (S&amp;P)'!T4575="Yes",
    1.35,
    1.00)</f>
        <v/>
      </c>
      <c r="P4575">
        <f>IF('Loan Tape (S&amp;P)'!S4575="Yes",
    1.15,
    1.00)</f>
        <v/>
      </c>
      <c r="Q4575">
        <f>IF('Loan Tape (S&amp;P)'!V4575="Yes",
    1.20,
    1.00)</f>
        <v/>
      </c>
      <c r="T4575">
        <f>LET(
    payment_method,'Loan Tape (S&amp;P)'!P4575,
    occupancy,'Loan Tape (S&amp;P)'!N4575,
    maturity_date,'Loan Tape (S&amp;P)'!L4575,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76">
      <c r="J4576">
        <f>LET(
    lien,'Loan Tape (S&amp;P)'!Q4576,
    IF(lien="First",1.00,
        IF(lien="Second",1.50,
            1.70)))</f>
        <v/>
      </c>
      <c r="K4576">
        <f>LET(
    purpose,'Loan Tape (S&amp;P)'!R4576,
    IF(purpose="Purchase",1.00,
        IF(purpose="Remortgage",1.00,
            1.20)))</f>
        <v/>
      </c>
      <c r="L4576">
        <f>LET(
    arrears_months,'Loan Tape (S&amp;P)'!AN4576,
    IF(arrears_months=0,1.00,
    IF(arrears_months=1,3.00,
    IF(arrears_months=2,5.00,
    IF(arrears_months=3,8.00,
    IF(arrears_months=4,10.00,
    IF(arrears_months=5,12.00,15.00)))))))</f>
        <v/>
      </c>
      <c r="M4576">
        <f>LET(
    seasoning_years,DATEDIF('Loan Tape (S&amp;P)'!K4576,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76">
        <f>IF(AND('Loan Tape (S&amp;P)'!U4576="Yes",
        'Loan Tape (S&amp;P)'!T4576&lt;&gt;"Yes",
        DATEDIF('Loan Tape (S&amp;P)'!K4576, TODAY(), "M")&lt;18),
    1.10,
    1.00)</f>
        <v/>
      </c>
      <c r="O4576">
        <f>IF('Loan Tape (S&amp;P)'!T4576="Yes",
    1.35,
    1.00)</f>
        <v/>
      </c>
      <c r="P4576">
        <f>IF('Loan Tape (S&amp;P)'!S4576="Yes",
    1.15,
    1.00)</f>
        <v/>
      </c>
      <c r="Q4576">
        <f>IF('Loan Tape (S&amp;P)'!V4576="Yes",
    1.20,
    1.00)</f>
        <v/>
      </c>
      <c r="T4576">
        <f>LET(
    payment_method,'Loan Tape (S&amp;P)'!P4576,
    occupancy,'Loan Tape (S&amp;P)'!N4576,
    maturity_date,'Loan Tape (S&amp;P)'!L4576,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77">
      <c r="J4577">
        <f>LET(
    lien,'Loan Tape (S&amp;P)'!Q4577,
    IF(lien="First",1.00,
        IF(lien="Second",1.50,
            1.70)))</f>
        <v/>
      </c>
      <c r="K4577">
        <f>LET(
    purpose,'Loan Tape (S&amp;P)'!R4577,
    IF(purpose="Purchase",1.00,
        IF(purpose="Remortgage",1.00,
            1.20)))</f>
        <v/>
      </c>
      <c r="L4577">
        <f>LET(
    arrears_months,'Loan Tape (S&amp;P)'!AN4577,
    IF(arrears_months=0,1.00,
    IF(arrears_months=1,3.00,
    IF(arrears_months=2,5.00,
    IF(arrears_months=3,8.00,
    IF(arrears_months=4,10.00,
    IF(arrears_months=5,12.00,15.00)))))))</f>
        <v/>
      </c>
      <c r="M4577">
        <f>LET(
    seasoning_years,DATEDIF('Loan Tape (S&amp;P)'!K4577,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77">
        <f>IF(AND('Loan Tape (S&amp;P)'!U4577="Yes",
        'Loan Tape (S&amp;P)'!T4577&lt;&gt;"Yes",
        DATEDIF('Loan Tape (S&amp;P)'!K4577, TODAY(), "M")&lt;18),
    1.10,
    1.00)</f>
        <v/>
      </c>
      <c r="O4577">
        <f>IF('Loan Tape (S&amp;P)'!T4577="Yes",
    1.35,
    1.00)</f>
        <v/>
      </c>
      <c r="P4577">
        <f>IF('Loan Tape (S&amp;P)'!S4577="Yes",
    1.15,
    1.00)</f>
        <v/>
      </c>
      <c r="Q4577">
        <f>IF('Loan Tape (S&amp;P)'!V4577="Yes",
    1.20,
    1.00)</f>
        <v/>
      </c>
      <c r="T4577">
        <f>LET(
    payment_method,'Loan Tape (S&amp;P)'!P4577,
    occupancy,'Loan Tape (S&amp;P)'!N4577,
    maturity_date,'Loan Tape (S&amp;P)'!L4577,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78">
      <c r="J4578">
        <f>LET(
    lien,'Loan Tape (S&amp;P)'!Q4578,
    IF(lien="First",1.00,
        IF(lien="Second",1.50,
            1.70)))</f>
        <v/>
      </c>
      <c r="K4578">
        <f>LET(
    purpose,'Loan Tape (S&amp;P)'!R4578,
    IF(purpose="Purchase",1.00,
        IF(purpose="Remortgage",1.00,
            1.20)))</f>
        <v/>
      </c>
      <c r="L4578">
        <f>LET(
    arrears_months,'Loan Tape (S&amp;P)'!AN4578,
    IF(arrears_months=0,1.00,
    IF(arrears_months=1,3.00,
    IF(arrears_months=2,5.00,
    IF(arrears_months=3,8.00,
    IF(arrears_months=4,10.00,
    IF(arrears_months=5,12.00,15.00)))))))</f>
        <v/>
      </c>
      <c r="M4578">
        <f>LET(
    seasoning_years,DATEDIF('Loan Tape (S&amp;P)'!K4578,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78">
        <f>IF(AND('Loan Tape (S&amp;P)'!U4578="Yes",
        'Loan Tape (S&amp;P)'!T4578&lt;&gt;"Yes",
        DATEDIF('Loan Tape (S&amp;P)'!K4578, TODAY(), "M")&lt;18),
    1.10,
    1.00)</f>
        <v/>
      </c>
      <c r="O4578">
        <f>IF('Loan Tape (S&amp;P)'!T4578="Yes",
    1.35,
    1.00)</f>
        <v/>
      </c>
      <c r="P4578">
        <f>IF('Loan Tape (S&amp;P)'!S4578="Yes",
    1.15,
    1.00)</f>
        <v/>
      </c>
      <c r="Q4578">
        <f>IF('Loan Tape (S&amp;P)'!V4578="Yes",
    1.20,
    1.00)</f>
        <v/>
      </c>
      <c r="T4578">
        <f>LET(
    payment_method,'Loan Tape (S&amp;P)'!P4578,
    occupancy,'Loan Tape (S&amp;P)'!N4578,
    maturity_date,'Loan Tape (S&amp;P)'!L4578,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79">
      <c r="J4579">
        <f>LET(
    lien,'Loan Tape (S&amp;P)'!Q4579,
    IF(lien="First",1.00,
        IF(lien="Second",1.50,
            1.70)))</f>
        <v/>
      </c>
      <c r="K4579">
        <f>LET(
    purpose,'Loan Tape (S&amp;P)'!R4579,
    IF(purpose="Purchase",1.00,
        IF(purpose="Remortgage",1.00,
            1.20)))</f>
        <v/>
      </c>
      <c r="L4579">
        <f>LET(
    arrears_months,'Loan Tape (S&amp;P)'!AN4579,
    IF(arrears_months=0,1.00,
    IF(arrears_months=1,3.00,
    IF(arrears_months=2,5.00,
    IF(arrears_months=3,8.00,
    IF(arrears_months=4,10.00,
    IF(arrears_months=5,12.00,15.00)))))))</f>
        <v/>
      </c>
      <c r="M4579">
        <f>LET(
    seasoning_years,DATEDIF('Loan Tape (S&amp;P)'!K4579,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79">
        <f>IF(AND('Loan Tape (S&amp;P)'!U4579="Yes",
        'Loan Tape (S&amp;P)'!T4579&lt;&gt;"Yes",
        DATEDIF('Loan Tape (S&amp;P)'!K4579, TODAY(), "M")&lt;18),
    1.10,
    1.00)</f>
        <v/>
      </c>
      <c r="O4579">
        <f>IF('Loan Tape (S&amp;P)'!T4579="Yes",
    1.35,
    1.00)</f>
        <v/>
      </c>
      <c r="P4579">
        <f>IF('Loan Tape (S&amp;P)'!S4579="Yes",
    1.15,
    1.00)</f>
        <v/>
      </c>
      <c r="Q4579">
        <f>IF('Loan Tape (S&amp;P)'!V4579="Yes",
    1.20,
    1.00)</f>
        <v/>
      </c>
      <c r="T4579">
        <f>LET(
    payment_method,'Loan Tape (S&amp;P)'!P4579,
    occupancy,'Loan Tape (S&amp;P)'!N4579,
    maturity_date,'Loan Tape (S&amp;P)'!L4579,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80">
      <c r="J4580">
        <f>LET(
    lien,'Loan Tape (S&amp;P)'!Q4580,
    IF(lien="First",1.00,
        IF(lien="Second",1.50,
            1.70)))</f>
        <v/>
      </c>
      <c r="K4580">
        <f>LET(
    purpose,'Loan Tape (S&amp;P)'!R4580,
    IF(purpose="Purchase",1.00,
        IF(purpose="Remortgage",1.00,
            1.20)))</f>
        <v/>
      </c>
      <c r="L4580">
        <f>LET(
    arrears_months,'Loan Tape (S&amp;P)'!AN4580,
    IF(arrears_months=0,1.00,
    IF(arrears_months=1,3.00,
    IF(arrears_months=2,5.00,
    IF(arrears_months=3,8.00,
    IF(arrears_months=4,10.00,
    IF(arrears_months=5,12.00,15.00)))))))</f>
        <v/>
      </c>
      <c r="M4580">
        <f>LET(
    seasoning_years,DATEDIF('Loan Tape (S&amp;P)'!K4580,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80">
        <f>IF(AND('Loan Tape (S&amp;P)'!U4580="Yes",
        'Loan Tape (S&amp;P)'!T4580&lt;&gt;"Yes",
        DATEDIF('Loan Tape (S&amp;P)'!K4580, TODAY(), "M")&lt;18),
    1.10,
    1.00)</f>
        <v/>
      </c>
      <c r="O4580">
        <f>IF('Loan Tape (S&amp;P)'!T4580="Yes",
    1.35,
    1.00)</f>
        <v/>
      </c>
      <c r="P4580">
        <f>IF('Loan Tape (S&amp;P)'!S4580="Yes",
    1.15,
    1.00)</f>
        <v/>
      </c>
      <c r="Q4580">
        <f>IF('Loan Tape (S&amp;P)'!V4580="Yes",
    1.20,
    1.00)</f>
        <v/>
      </c>
      <c r="T4580">
        <f>LET(
    payment_method,'Loan Tape (S&amp;P)'!P4580,
    occupancy,'Loan Tape (S&amp;P)'!N4580,
    maturity_date,'Loan Tape (S&amp;P)'!L4580,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81">
      <c r="J4581">
        <f>LET(
    lien,'Loan Tape (S&amp;P)'!Q4581,
    IF(lien="First",1.00,
        IF(lien="Second",1.50,
            1.70)))</f>
        <v/>
      </c>
      <c r="K4581">
        <f>LET(
    purpose,'Loan Tape (S&amp;P)'!R4581,
    IF(purpose="Purchase",1.00,
        IF(purpose="Remortgage",1.00,
            1.20)))</f>
        <v/>
      </c>
      <c r="L4581">
        <f>LET(
    arrears_months,'Loan Tape (S&amp;P)'!AN4581,
    IF(arrears_months=0,1.00,
    IF(arrears_months=1,3.00,
    IF(arrears_months=2,5.00,
    IF(arrears_months=3,8.00,
    IF(arrears_months=4,10.00,
    IF(arrears_months=5,12.00,15.00)))))))</f>
        <v/>
      </c>
      <c r="M4581">
        <f>LET(
    seasoning_years,DATEDIF('Loan Tape (S&amp;P)'!K4581,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81">
        <f>IF(AND('Loan Tape (S&amp;P)'!U4581="Yes",
        'Loan Tape (S&amp;P)'!T4581&lt;&gt;"Yes",
        DATEDIF('Loan Tape (S&amp;P)'!K4581, TODAY(), "M")&lt;18),
    1.10,
    1.00)</f>
        <v/>
      </c>
      <c r="O4581">
        <f>IF('Loan Tape (S&amp;P)'!T4581="Yes",
    1.35,
    1.00)</f>
        <v/>
      </c>
      <c r="P4581">
        <f>IF('Loan Tape (S&amp;P)'!S4581="Yes",
    1.15,
    1.00)</f>
        <v/>
      </c>
      <c r="Q4581">
        <f>IF('Loan Tape (S&amp;P)'!V4581="Yes",
    1.20,
    1.00)</f>
        <v/>
      </c>
      <c r="T4581">
        <f>LET(
    payment_method,'Loan Tape (S&amp;P)'!P4581,
    occupancy,'Loan Tape (S&amp;P)'!N4581,
    maturity_date,'Loan Tape (S&amp;P)'!L4581,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82">
      <c r="J4582">
        <f>LET(
    lien,'Loan Tape (S&amp;P)'!Q4582,
    IF(lien="First",1.00,
        IF(lien="Second",1.50,
            1.70)))</f>
        <v/>
      </c>
      <c r="K4582">
        <f>LET(
    purpose,'Loan Tape (S&amp;P)'!R4582,
    IF(purpose="Purchase",1.00,
        IF(purpose="Remortgage",1.00,
            1.20)))</f>
        <v/>
      </c>
      <c r="L4582">
        <f>LET(
    arrears_months,'Loan Tape (S&amp;P)'!AN4582,
    IF(arrears_months=0,1.00,
    IF(arrears_months=1,3.00,
    IF(arrears_months=2,5.00,
    IF(arrears_months=3,8.00,
    IF(arrears_months=4,10.00,
    IF(arrears_months=5,12.00,15.00)))))))</f>
        <v/>
      </c>
      <c r="M4582">
        <f>LET(
    seasoning_years,DATEDIF('Loan Tape (S&amp;P)'!K4582,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82">
        <f>IF(AND('Loan Tape (S&amp;P)'!U4582="Yes",
        'Loan Tape (S&amp;P)'!T4582&lt;&gt;"Yes",
        DATEDIF('Loan Tape (S&amp;P)'!K4582, TODAY(), "M")&lt;18),
    1.10,
    1.00)</f>
        <v/>
      </c>
      <c r="O4582">
        <f>IF('Loan Tape (S&amp;P)'!T4582="Yes",
    1.35,
    1.00)</f>
        <v/>
      </c>
      <c r="P4582">
        <f>IF('Loan Tape (S&amp;P)'!S4582="Yes",
    1.15,
    1.00)</f>
        <v/>
      </c>
      <c r="Q4582">
        <f>IF('Loan Tape (S&amp;P)'!V4582="Yes",
    1.20,
    1.00)</f>
        <v/>
      </c>
      <c r="T4582">
        <f>LET(
    payment_method,'Loan Tape (S&amp;P)'!P4582,
    occupancy,'Loan Tape (S&amp;P)'!N4582,
    maturity_date,'Loan Tape (S&amp;P)'!L4582,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83">
      <c r="J4583">
        <f>LET(
    lien,'Loan Tape (S&amp;P)'!Q4583,
    IF(lien="First",1.00,
        IF(lien="Second",1.50,
            1.70)))</f>
        <v/>
      </c>
      <c r="K4583">
        <f>LET(
    purpose,'Loan Tape (S&amp;P)'!R4583,
    IF(purpose="Purchase",1.00,
        IF(purpose="Remortgage",1.00,
            1.20)))</f>
        <v/>
      </c>
      <c r="L4583">
        <f>LET(
    arrears_months,'Loan Tape (S&amp;P)'!AN4583,
    IF(arrears_months=0,1.00,
    IF(arrears_months=1,3.00,
    IF(arrears_months=2,5.00,
    IF(arrears_months=3,8.00,
    IF(arrears_months=4,10.00,
    IF(arrears_months=5,12.00,15.00)))))))</f>
        <v/>
      </c>
      <c r="M4583">
        <f>LET(
    seasoning_years,DATEDIF('Loan Tape (S&amp;P)'!K4583,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83">
        <f>IF(AND('Loan Tape (S&amp;P)'!U4583="Yes",
        'Loan Tape (S&amp;P)'!T4583&lt;&gt;"Yes",
        DATEDIF('Loan Tape (S&amp;P)'!K4583, TODAY(), "M")&lt;18),
    1.10,
    1.00)</f>
        <v/>
      </c>
      <c r="O4583">
        <f>IF('Loan Tape (S&amp;P)'!T4583="Yes",
    1.35,
    1.00)</f>
        <v/>
      </c>
      <c r="P4583">
        <f>IF('Loan Tape (S&amp;P)'!S4583="Yes",
    1.15,
    1.00)</f>
        <v/>
      </c>
      <c r="Q4583">
        <f>IF('Loan Tape (S&amp;P)'!V4583="Yes",
    1.20,
    1.00)</f>
        <v/>
      </c>
      <c r="T4583">
        <f>LET(
    payment_method,'Loan Tape (S&amp;P)'!P4583,
    occupancy,'Loan Tape (S&amp;P)'!N4583,
    maturity_date,'Loan Tape (S&amp;P)'!L4583,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84">
      <c r="J4584">
        <f>LET(
    lien,'Loan Tape (S&amp;P)'!Q4584,
    IF(lien="First",1.00,
        IF(lien="Second",1.50,
            1.70)))</f>
        <v/>
      </c>
      <c r="K4584">
        <f>LET(
    purpose,'Loan Tape (S&amp;P)'!R4584,
    IF(purpose="Purchase",1.00,
        IF(purpose="Remortgage",1.00,
            1.20)))</f>
        <v/>
      </c>
      <c r="L4584">
        <f>LET(
    arrears_months,'Loan Tape (S&amp;P)'!AN4584,
    IF(arrears_months=0,1.00,
    IF(arrears_months=1,3.00,
    IF(arrears_months=2,5.00,
    IF(arrears_months=3,8.00,
    IF(arrears_months=4,10.00,
    IF(arrears_months=5,12.00,15.00)))))))</f>
        <v/>
      </c>
      <c r="M4584">
        <f>LET(
    seasoning_years,DATEDIF('Loan Tape (S&amp;P)'!K4584,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84">
        <f>IF(AND('Loan Tape (S&amp;P)'!U4584="Yes",
        'Loan Tape (S&amp;P)'!T4584&lt;&gt;"Yes",
        DATEDIF('Loan Tape (S&amp;P)'!K4584, TODAY(), "M")&lt;18),
    1.10,
    1.00)</f>
        <v/>
      </c>
      <c r="O4584">
        <f>IF('Loan Tape (S&amp;P)'!T4584="Yes",
    1.35,
    1.00)</f>
        <v/>
      </c>
      <c r="P4584">
        <f>IF('Loan Tape (S&amp;P)'!S4584="Yes",
    1.15,
    1.00)</f>
        <v/>
      </c>
      <c r="Q4584">
        <f>IF('Loan Tape (S&amp;P)'!V4584="Yes",
    1.20,
    1.00)</f>
        <v/>
      </c>
      <c r="T4584">
        <f>LET(
    payment_method,'Loan Tape (S&amp;P)'!P4584,
    occupancy,'Loan Tape (S&amp;P)'!N4584,
    maturity_date,'Loan Tape (S&amp;P)'!L4584,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85">
      <c r="J4585">
        <f>LET(
    lien,'Loan Tape (S&amp;P)'!Q4585,
    IF(lien="First",1.00,
        IF(lien="Second",1.50,
            1.70)))</f>
        <v/>
      </c>
      <c r="K4585">
        <f>LET(
    purpose,'Loan Tape (S&amp;P)'!R4585,
    IF(purpose="Purchase",1.00,
        IF(purpose="Remortgage",1.00,
            1.20)))</f>
        <v/>
      </c>
      <c r="L4585">
        <f>LET(
    arrears_months,'Loan Tape (S&amp;P)'!AN4585,
    IF(arrears_months=0,1.00,
    IF(arrears_months=1,3.00,
    IF(arrears_months=2,5.00,
    IF(arrears_months=3,8.00,
    IF(arrears_months=4,10.00,
    IF(arrears_months=5,12.00,15.00)))))))</f>
        <v/>
      </c>
      <c r="M4585">
        <f>LET(
    seasoning_years,DATEDIF('Loan Tape (S&amp;P)'!K4585,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85">
        <f>IF(AND('Loan Tape (S&amp;P)'!U4585="Yes",
        'Loan Tape (S&amp;P)'!T4585&lt;&gt;"Yes",
        DATEDIF('Loan Tape (S&amp;P)'!K4585, TODAY(), "M")&lt;18),
    1.10,
    1.00)</f>
        <v/>
      </c>
      <c r="O4585">
        <f>IF('Loan Tape (S&amp;P)'!T4585="Yes",
    1.35,
    1.00)</f>
        <v/>
      </c>
      <c r="P4585">
        <f>IF('Loan Tape (S&amp;P)'!S4585="Yes",
    1.15,
    1.00)</f>
        <v/>
      </c>
      <c r="Q4585">
        <f>IF('Loan Tape (S&amp;P)'!V4585="Yes",
    1.20,
    1.00)</f>
        <v/>
      </c>
      <c r="T4585">
        <f>LET(
    payment_method,'Loan Tape (S&amp;P)'!P4585,
    occupancy,'Loan Tape (S&amp;P)'!N4585,
    maturity_date,'Loan Tape (S&amp;P)'!L4585,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86">
      <c r="J4586">
        <f>LET(
    lien,'Loan Tape (S&amp;P)'!Q4586,
    IF(lien="First",1.00,
        IF(lien="Second",1.50,
            1.70)))</f>
        <v/>
      </c>
      <c r="K4586">
        <f>LET(
    purpose,'Loan Tape (S&amp;P)'!R4586,
    IF(purpose="Purchase",1.00,
        IF(purpose="Remortgage",1.00,
            1.20)))</f>
        <v/>
      </c>
      <c r="L4586">
        <f>LET(
    arrears_months,'Loan Tape (S&amp;P)'!AN4586,
    IF(arrears_months=0,1.00,
    IF(arrears_months=1,3.00,
    IF(arrears_months=2,5.00,
    IF(arrears_months=3,8.00,
    IF(arrears_months=4,10.00,
    IF(arrears_months=5,12.00,15.00)))))))</f>
        <v/>
      </c>
      <c r="M4586">
        <f>LET(
    seasoning_years,DATEDIF('Loan Tape (S&amp;P)'!K4586,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86">
        <f>IF(AND('Loan Tape (S&amp;P)'!U4586="Yes",
        'Loan Tape (S&amp;P)'!T4586&lt;&gt;"Yes",
        DATEDIF('Loan Tape (S&amp;P)'!K4586, TODAY(), "M")&lt;18),
    1.10,
    1.00)</f>
        <v/>
      </c>
      <c r="O4586">
        <f>IF('Loan Tape (S&amp;P)'!T4586="Yes",
    1.35,
    1.00)</f>
        <v/>
      </c>
      <c r="P4586">
        <f>IF('Loan Tape (S&amp;P)'!S4586="Yes",
    1.15,
    1.00)</f>
        <v/>
      </c>
      <c r="Q4586">
        <f>IF('Loan Tape (S&amp;P)'!V4586="Yes",
    1.20,
    1.00)</f>
        <v/>
      </c>
      <c r="T4586">
        <f>LET(
    payment_method,'Loan Tape (S&amp;P)'!P4586,
    occupancy,'Loan Tape (S&amp;P)'!N4586,
    maturity_date,'Loan Tape (S&amp;P)'!L4586,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87">
      <c r="J4587">
        <f>LET(
    lien,'Loan Tape (S&amp;P)'!Q4587,
    IF(lien="First",1.00,
        IF(lien="Second",1.50,
            1.70)))</f>
        <v/>
      </c>
      <c r="K4587">
        <f>LET(
    purpose,'Loan Tape (S&amp;P)'!R4587,
    IF(purpose="Purchase",1.00,
        IF(purpose="Remortgage",1.00,
            1.20)))</f>
        <v/>
      </c>
      <c r="L4587">
        <f>LET(
    arrears_months,'Loan Tape (S&amp;P)'!AN4587,
    IF(arrears_months=0,1.00,
    IF(arrears_months=1,3.00,
    IF(arrears_months=2,5.00,
    IF(arrears_months=3,8.00,
    IF(arrears_months=4,10.00,
    IF(arrears_months=5,12.00,15.00)))))))</f>
        <v/>
      </c>
      <c r="M4587">
        <f>LET(
    seasoning_years,DATEDIF('Loan Tape (S&amp;P)'!K4587,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87">
        <f>IF(AND('Loan Tape (S&amp;P)'!U4587="Yes",
        'Loan Tape (S&amp;P)'!T4587&lt;&gt;"Yes",
        DATEDIF('Loan Tape (S&amp;P)'!K4587, TODAY(), "M")&lt;18),
    1.10,
    1.00)</f>
        <v/>
      </c>
      <c r="O4587">
        <f>IF('Loan Tape (S&amp;P)'!T4587="Yes",
    1.35,
    1.00)</f>
        <v/>
      </c>
      <c r="P4587">
        <f>IF('Loan Tape (S&amp;P)'!S4587="Yes",
    1.15,
    1.00)</f>
        <v/>
      </c>
      <c r="Q4587">
        <f>IF('Loan Tape (S&amp;P)'!V4587="Yes",
    1.20,
    1.00)</f>
        <v/>
      </c>
      <c r="T4587">
        <f>LET(
    payment_method,'Loan Tape (S&amp;P)'!P4587,
    occupancy,'Loan Tape (S&amp;P)'!N4587,
    maturity_date,'Loan Tape (S&amp;P)'!L4587,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88">
      <c r="J4588">
        <f>LET(
    lien,'Loan Tape (S&amp;P)'!Q4588,
    IF(lien="First",1.00,
        IF(lien="Second",1.50,
            1.70)))</f>
        <v/>
      </c>
      <c r="K4588">
        <f>LET(
    purpose,'Loan Tape (S&amp;P)'!R4588,
    IF(purpose="Purchase",1.00,
        IF(purpose="Remortgage",1.00,
            1.20)))</f>
        <v/>
      </c>
      <c r="L4588">
        <f>LET(
    arrears_months,'Loan Tape (S&amp;P)'!AN4588,
    IF(arrears_months=0,1.00,
    IF(arrears_months=1,3.00,
    IF(arrears_months=2,5.00,
    IF(arrears_months=3,8.00,
    IF(arrears_months=4,10.00,
    IF(arrears_months=5,12.00,15.00)))))))</f>
        <v/>
      </c>
      <c r="M4588">
        <f>LET(
    seasoning_years,DATEDIF('Loan Tape (S&amp;P)'!K4588,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88">
        <f>IF(AND('Loan Tape (S&amp;P)'!U4588="Yes",
        'Loan Tape (S&amp;P)'!T4588&lt;&gt;"Yes",
        DATEDIF('Loan Tape (S&amp;P)'!K4588, TODAY(), "M")&lt;18),
    1.10,
    1.00)</f>
        <v/>
      </c>
      <c r="O4588">
        <f>IF('Loan Tape (S&amp;P)'!T4588="Yes",
    1.35,
    1.00)</f>
        <v/>
      </c>
      <c r="P4588">
        <f>IF('Loan Tape (S&amp;P)'!S4588="Yes",
    1.15,
    1.00)</f>
        <v/>
      </c>
      <c r="Q4588">
        <f>IF('Loan Tape (S&amp;P)'!V4588="Yes",
    1.20,
    1.00)</f>
        <v/>
      </c>
      <c r="T4588">
        <f>LET(
    payment_method,'Loan Tape (S&amp;P)'!P4588,
    occupancy,'Loan Tape (S&amp;P)'!N4588,
    maturity_date,'Loan Tape (S&amp;P)'!L4588,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89">
      <c r="J4589">
        <f>LET(
    lien,'Loan Tape (S&amp;P)'!Q4589,
    IF(lien="First",1.00,
        IF(lien="Second",1.50,
            1.70)))</f>
        <v/>
      </c>
      <c r="K4589">
        <f>LET(
    purpose,'Loan Tape (S&amp;P)'!R4589,
    IF(purpose="Purchase",1.00,
        IF(purpose="Remortgage",1.00,
            1.20)))</f>
        <v/>
      </c>
      <c r="L4589">
        <f>LET(
    arrears_months,'Loan Tape (S&amp;P)'!AN4589,
    IF(arrears_months=0,1.00,
    IF(arrears_months=1,3.00,
    IF(arrears_months=2,5.00,
    IF(arrears_months=3,8.00,
    IF(arrears_months=4,10.00,
    IF(arrears_months=5,12.00,15.00)))))))</f>
        <v/>
      </c>
      <c r="M4589">
        <f>LET(
    seasoning_years,DATEDIF('Loan Tape (S&amp;P)'!K4589,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89">
        <f>IF(AND('Loan Tape (S&amp;P)'!U4589="Yes",
        'Loan Tape (S&amp;P)'!T4589&lt;&gt;"Yes",
        DATEDIF('Loan Tape (S&amp;P)'!K4589, TODAY(), "M")&lt;18),
    1.10,
    1.00)</f>
        <v/>
      </c>
      <c r="O4589">
        <f>IF('Loan Tape (S&amp;P)'!T4589="Yes",
    1.35,
    1.00)</f>
        <v/>
      </c>
      <c r="P4589">
        <f>IF('Loan Tape (S&amp;P)'!S4589="Yes",
    1.15,
    1.00)</f>
        <v/>
      </c>
      <c r="Q4589">
        <f>IF('Loan Tape (S&amp;P)'!V4589="Yes",
    1.20,
    1.00)</f>
        <v/>
      </c>
      <c r="T4589">
        <f>LET(
    payment_method,'Loan Tape (S&amp;P)'!P4589,
    occupancy,'Loan Tape (S&amp;P)'!N4589,
    maturity_date,'Loan Tape (S&amp;P)'!L4589,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90">
      <c r="J4590">
        <f>LET(
    lien,'Loan Tape (S&amp;P)'!Q4590,
    IF(lien="First",1.00,
        IF(lien="Second",1.50,
            1.70)))</f>
        <v/>
      </c>
      <c r="K4590">
        <f>LET(
    purpose,'Loan Tape (S&amp;P)'!R4590,
    IF(purpose="Purchase",1.00,
        IF(purpose="Remortgage",1.00,
            1.20)))</f>
        <v/>
      </c>
      <c r="L4590">
        <f>LET(
    arrears_months,'Loan Tape (S&amp;P)'!AN4590,
    IF(arrears_months=0,1.00,
    IF(arrears_months=1,3.00,
    IF(arrears_months=2,5.00,
    IF(arrears_months=3,8.00,
    IF(arrears_months=4,10.00,
    IF(arrears_months=5,12.00,15.00)))))))</f>
        <v/>
      </c>
      <c r="M4590">
        <f>LET(
    seasoning_years,DATEDIF('Loan Tape (S&amp;P)'!K4590,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90">
        <f>IF(AND('Loan Tape (S&amp;P)'!U4590="Yes",
        'Loan Tape (S&amp;P)'!T4590&lt;&gt;"Yes",
        DATEDIF('Loan Tape (S&amp;P)'!K4590, TODAY(), "M")&lt;18),
    1.10,
    1.00)</f>
        <v/>
      </c>
      <c r="O4590">
        <f>IF('Loan Tape (S&amp;P)'!T4590="Yes",
    1.35,
    1.00)</f>
        <v/>
      </c>
      <c r="P4590">
        <f>IF('Loan Tape (S&amp;P)'!S4590="Yes",
    1.15,
    1.00)</f>
        <v/>
      </c>
      <c r="Q4590">
        <f>IF('Loan Tape (S&amp;P)'!V4590="Yes",
    1.20,
    1.00)</f>
        <v/>
      </c>
      <c r="T4590">
        <f>LET(
    payment_method,'Loan Tape (S&amp;P)'!P4590,
    occupancy,'Loan Tape (S&amp;P)'!N4590,
    maturity_date,'Loan Tape (S&amp;P)'!L4590,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91">
      <c r="J4591">
        <f>LET(
    lien,'Loan Tape (S&amp;P)'!Q4591,
    IF(lien="First",1.00,
        IF(lien="Second",1.50,
            1.70)))</f>
        <v/>
      </c>
      <c r="K4591">
        <f>LET(
    purpose,'Loan Tape (S&amp;P)'!R4591,
    IF(purpose="Purchase",1.00,
        IF(purpose="Remortgage",1.00,
            1.20)))</f>
        <v/>
      </c>
      <c r="L4591">
        <f>LET(
    arrears_months,'Loan Tape (S&amp;P)'!AN4591,
    IF(arrears_months=0,1.00,
    IF(arrears_months=1,3.00,
    IF(arrears_months=2,5.00,
    IF(arrears_months=3,8.00,
    IF(arrears_months=4,10.00,
    IF(arrears_months=5,12.00,15.00)))))))</f>
        <v/>
      </c>
      <c r="M4591">
        <f>LET(
    seasoning_years,DATEDIF('Loan Tape (S&amp;P)'!K4591,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91">
        <f>IF(AND('Loan Tape (S&amp;P)'!U4591="Yes",
        'Loan Tape (S&amp;P)'!T4591&lt;&gt;"Yes",
        DATEDIF('Loan Tape (S&amp;P)'!K4591, TODAY(), "M")&lt;18),
    1.10,
    1.00)</f>
        <v/>
      </c>
      <c r="O4591">
        <f>IF('Loan Tape (S&amp;P)'!T4591="Yes",
    1.35,
    1.00)</f>
        <v/>
      </c>
      <c r="P4591">
        <f>IF('Loan Tape (S&amp;P)'!S4591="Yes",
    1.15,
    1.00)</f>
        <v/>
      </c>
      <c r="Q4591">
        <f>IF('Loan Tape (S&amp;P)'!V4591="Yes",
    1.20,
    1.00)</f>
        <v/>
      </c>
      <c r="T4591">
        <f>LET(
    payment_method,'Loan Tape (S&amp;P)'!P4591,
    occupancy,'Loan Tape (S&amp;P)'!N4591,
    maturity_date,'Loan Tape (S&amp;P)'!L4591,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92">
      <c r="J4592">
        <f>LET(
    lien,'Loan Tape (S&amp;P)'!Q4592,
    IF(lien="First",1.00,
        IF(lien="Second",1.50,
            1.70)))</f>
        <v/>
      </c>
      <c r="K4592">
        <f>LET(
    purpose,'Loan Tape (S&amp;P)'!R4592,
    IF(purpose="Purchase",1.00,
        IF(purpose="Remortgage",1.00,
            1.20)))</f>
        <v/>
      </c>
      <c r="L4592">
        <f>LET(
    arrears_months,'Loan Tape (S&amp;P)'!AN4592,
    IF(arrears_months=0,1.00,
    IF(arrears_months=1,3.00,
    IF(arrears_months=2,5.00,
    IF(arrears_months=3,8.00,
    IF(arrears_months=4,10.00,
    IF(arrears_months=5,12.00,15.00)))))))</f>
        <v/>
      </c>
      <c r="M4592">
        <f>LET(
    seasoning_years,DATEDIF('Loan Tape (S&amp;P)'!K4592,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92">
        <f>IF(AND('Loan Tape (S&amp;P)'!U4592="Yes",
        'Loan Tape (S&amp;P)'!T4592&lt;&gt;"Yes",
        DATEDIF('Loan Tape (S&amp;P)'!K4592, TODAY(), "M")&lt;18),
    1.10,
    1.00)</f>
        <v/>
      </c>
      <c r="O4592">
        <f>IF('Loan Tape (S&amp;P)'!T4592="Yes",
    1.35,
    1.00)</f>
        <v/>
      </c>
      <c r="P4592">
        <f>IF('Loan Tape (S&amp;P)'!S4592="Yes",
    1.15,
    1.00)</f>
        <v/>
      </c>
      <c r="Q4592">
        <f>IF('Loan Tape (S&amp;P)'!V4592="Yes",
    1.20,
    1.00)</f>
        <v/>
      </c>
      <c r="T4592">
        <f>LET(
    payment_method,'Loan Tape (S&amp;P)'!P4592,
    occupancy,'Loan Tape (S&amp;P)'!N4592,
    maturity_date,'Loan Tape (S&amp;P)'!L4592,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93">
      <c r="J4593">
        <f>LET(
    lien,'Loan Tape (S&amp;P)'!Q4593,
    IF(lien="First",1.00,
        IF(lien="Second",1.50,
            1.70)))</f>
        <v/>
      </c>
      <c r="K4593">
        <f>LET(
    purpose,'Loan Tape (S&amp;P)'!R4593,
    IF(purpose="Purchase",1.00,
        IF(purpose="Remortgage",1.00,
            1.20)))</f>
        <v/>
      </c>
      <c r="L4593">
        <f>LET(
    arrears_months,'Loan Tape (S&amp;P)'!AN4593,
    IF(arrears_months=0,1.00,
    IF(arrears_months=1,3.00,
    IF(arrears_months=2,5.00,
    IF(arrears_months=3,8.00,
    IF(arrears_months=4,10.00,
    IF(arrears_months=5,12.00,15.00)))))))</f>
        <v/>
      </c>
      <c r="M4593">
        <f>LET(
    seasoning_years,DATEDIF('Loan Tape (S&amp;P)'!K4593,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93">
        <f>IF(AND('Loan Tape (S&amp;P)'!U4593="Yes",
        'Loan Tape (S&amp;P)'!T4593&lt;&gt;"Yes",
        DATEDIF('Loan Tape (S&amp;P)'!K4593, TODAY(), "M")&lt;18),
    1.10,
    1.00)</f>
        <v/>
      </c>
      <c r="O4593">
        <f>IF('Loan Tape (S&amp;P)'!T4593="Yes",
    1.35,
    1.00)</f>
        <v/>
      </c>
      <c r="P4593">
        <f>IF('Loan Tape (S&amp;P)'!S4593="Yes",
    1.15,
    1.00)</f>
        <v/>
      </c>
      <c r="Q4593">
        <f>IF('Loan Tape (S&amp;P)'!V4593="Yes",
    1.20,
    1.00)</f>
        <v/>
      </c>
      <c r="T4593">
        <f>LET(
    payment_method,'Loan Tape (S&amp;P)'!P4593,
    occupancy,'Loan Tape (S&amp;P)'!N4593,
    maturity_date,'Loan Tape (S&amp;P)'!L4593,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94">
      <c r="J4594">
        <f>LET(
    lien,'Loan Tape (S&amp;P)'!Q4594,
    IF(lien="First",1.00,
        IF(lien="Second",1.50,
            1.70)))</f>
        <v/>
      </c>
      <c r="K4594">
        <f>LET(
    purpose,'Loan Tape (S&amp;P)'!R4594,
    IF(purpose="Purchase",1.00,
        IF(purpose="Remortgage",1.00,
            1.20)))</f>
        <v/>
      </c>
      <c r="L4594">
        <f>LET(
    arrears_months,'Loan Tape (S&amp;P)'!AN4594,
    IF(arrears_months=0,1.00,
    IF(arrears_months=1,3.00,
    IF(arrears_months=2,5.00,
    IF(arrears_months=3,8.00,
    IF(arrears_months=4,10.00,
    IF(arrears_months=5,12.00,15.00)))))))</f>
        <v/>
      </c>
      <c r="M4594">
        <f>LET(
    seasoning_years,DATEDIF('Loan Tape (S&amp;P)'!K4594,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94">
        <f>IF(AND('Loan Tape (S&amp;P)'!U4594="Yes",
        'Loan Tape (S&amp;P)'!T4594&lt;&gt;"Yes",
        DATEDIF('Loan Tape (S&amp;P)'!K4594, TODAY(), "M")&lt;18),
    1.10,
    1.00)</f>
        <v/>
      </c>
      <c r="O4594">
        <f>IF('Loan Tape (S&amp;P)'!T4594="Yes",
    1.35,
    1.00)</f>
        <v/>
      </c>
      <c r="P4594">
        <f>IF('Loan Tape (S&amp;P)'!S4594="Yes",
    1.15,
    1.00)</f>
        <v/>
      </c>
      <c r="Q4594">
        <f>IF('Loan Tape (S&amp;P)'!V4594="Yes",
    1.20,
    1.00)</f>
        <v/>
      </c>
      <c r="T4594">
        <f>LET(
    payment_method,'Loan Tape (S&amp;P)'!P4594,
    occupancy,'Loan Tape (S&amp;P)'!N4594,
    maturity_date,'Loan Tape (S&amp;P)'!L4594,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95">
      <c r="J4595">
        <f>LET(
    lien,'Loan Tape (S&amp;P)'!Q4595,
    IF(lien="First",1.00,
        IF(lien="Second",1.50,
            1.70)))</f>
        <v/>
      </c>
      <c r="K4595">
        <f>LET(
    purpose,'Loan Tape (S&amp;P)'!R4595,
    IF(purpose="Purchase",1.00,
        IF(purpose="Remortgage",1.00,
            1.20)))</f>
        <v/>
      </c>
      <c r="L4595">
        <f>LET(
    arrears_months,'Loan Tape (S&amp;P)'!AN4595,
    IF(arrears_months=0,1.00,
    IF(arrears_months=1,3.00,
    IF(arrears_months=2,5.00,
    IF(arrears_months=3,8.00,
    IF(arrears_months=4,10.00,
    IF(arrears_months=5,12.00,15.00)))))))</f>
        <v/>
      </c>
      <c r="M4595">
        <f>LET(
    seasoning_years,DATEDIF('Loan Tape (S&amp;P)'!K4595,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95">
        <f>IF(AND('Loan Tape (S&amp;P)'!U4595="Yes",
        'Loan Tape (S&amp;P)'!T4595&lt;&gt;"Yes",
        DATEDIF('Loan Tape (S&amp;P)'!K4595, TODAY(), "M")&lt;18),
    1.10,
    1.00)</f>
        <v/>
      </c>
      <c r="O4595">
        <f>IF('Loan Tape (S&amp;P)'!T4595="Yes",
    1.35,
    1.00)</f>
        <v/>
      </c>
      <c r="P4595">
        <f>IF('Loan Tape (S&amp;P)'!S4595="Yes",
    1.15,
    1.00)</f>
        <v/>
      </c>
      <c r="Q4595">
        <f>IF('Loan Tape (S&amp;P)'!V4595="Yes",
    1.20,
    1.00)</f>
        <v/>
      </c>
      <c r="T4595">
        <f>LET(
    payment_method,'Loan Tape (S&amp;P)'!P4595,
    occupancy,'Loan Tape (S&amp;P)'!N4595,
    maturity_date,'Loan Tape (S&amp;P)'!L4595,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96">
      <c r="J4596">
        <f>LET(
    lien,'Loan Tape (S&amp;P)'!Q4596,
    IF(lien="First",1.00,
        IF(lien="Second",1.50,
            1.70)))</f>
        <v/>
      </c>
      <c r="K4596">
        <f>LET(
    purpose,'Loan Tape (S&amp;P)'!R4596,
    IF(purpose="Purchase",1.00,
        IF(purpose="Remortgage",1.00,
            1.20)))</f>
        <v/>
      </c>
      <c r="L4596">
        <f>LET(
    arrears_months,'Loan Tape (S&amp;P)'!AN4596,
    IF(arrears_months=0,1.00,
    IF(arrears_months=1,3.00,
    IF(arrears_months=2,5.00,
    IF(arrears_months=3,8.00,
    IF(arrears_months=4,10.00,
    IF(arrears_months=5,12.00,15.00)))))))</f>
        <v/>
      </c>
      <c r="M4596">
        <f>LET(
    seasoning_years,DATEDIF('Loan Tape (S&amp;P)'!K4596,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96">
        <f>IF(AND('Loan Tape (S&amp;P)'!U4596="Yes",
        'Loan Tape (S&amp;P)'!T4596&lt;&gt;"Yes",
        DATEDIF('Loan Tape (S&amp;P)'!K4596, TODAY(), "M")&lt;18),
    1.10,
    1.00)</f>
        <v/>
      </c>
      <c r="O4596">
        <f>IF('Loan Tape (S&amp;P)'!T4596="Yes",
    1.35,
    1.00)</f>
        <v/>
      </c>
      <c r="P4596">
        <f>IF('Loan Tape (S&amp;P)'!S4596="Yes",
    1.15,
    1.00)</f>
        <v/>
      </c>
      <c r="Q4596">
        <f>IF('Loan Tape (S&amp;P)'!V4596="Yes",
    1.20,
    1.00)</f>
        <v/>
      </c>
      <c r="T4596">
        <f>LET(
    payment_method,'Loan Tape (S&amp;P)'!P4596,
    occupancy,'Loan Tape (S&amp;P)'!N4596,
    maturity_date,'Loan Tape (S&amp;P)'!L4596,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97">
      <c r="J4597">
        <f>LET(
    lien,'Loan Tape (S&amp;P)'!Q4597,
    IF(lien="First",1.00,
        IF(lien="Second",1.50,
            1.70)))</f>
        <v/>
      </c>
      <c r="K4597">
        <f>LET(
    purpose,'Loan Tape (S&amp;P)'!R4597,
    IF(purpose="Purchase",1.00,
        IF(purpose="Remortgage",1.00,
            1.20)))</f>
        <v/>
      </c>
      <c r="L4597">
        <f>LET(
    arrears_months,'Loan Tape (S&amp;P)'!AN4597,
    IF(arrears_months=0,1.00,
    IF(arrears_months=1,3.00,
    IF(arrears_months=2,5.00,
    IF(arrears_months=3,8.00,
    IF(arrears_months=4,10.00,
    IF(arrears_months=5,12.00,15.00)))))))</f>
        <v/>
      </c>
      <c r="M4597">
        <f>LET(
    seasoning_years,DATEDIF('Loan Tape (S&amp;P)'!K4597,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97">
        <f>IF(AND('Loan Tape (S&amp;P)'!U4597="Yes",
        'Loan Tape (S&amp;P)'!T4597&lt;&gt;"Yes",
        DATEDIF('Loan Tape (S&amp;P)'!K4597, TODAY(), "M")&lt;18),
    1.10,
    1.00)</f>
        <v/>
      </c>
      <c r="O4597">
        <f>IF('Loan Tape (S&amp;P)'!T4597="Yes",
    1.35,
    1.00)</f>
        <v/>
      </c>
      <c r="P4597">
        <f>IF('Loan Tape (S&amp;P)'!S4597="Yes",
    1.15,
    1.00)</f>
        <v/>
      </c>
      <c r="Q4597">
        <f>IF('Loan Tape (S&amp;P)'!V4597="Yes",
    1.20,
    1.00)</f>
        <v/>
      </c>
      <c r="T4597">
        <f>LET(
    payment_method,'Loan Tape (S&amp;P)'!P4597,
    occupancy,'Loan Tape (S&amp;P)'!N4597,
    maturity_date,'Loan Tape (S&amp;P)'!L4597,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98">
      <c r="J4598">
        <f>LET(
    lien,'Loan Tape (S&amp;P)'!Q4598,
    IF(lien="First",1.00,
        IF(lien="Second",1.50,
            1.70)))</f>
        <v/>
      </c>
      <c r="K4598">
        <f>LET(
    purpose,'Loan Tape (S&amp;P)'!R4598,
    IF(purpose="Purchase",1.00,
        IF(purpose="Remortgage",1.00,
            1.20)))</f>
        <v/>
      </c>
      <c r="L4598">
        <f>LET(
    arrears_months,'Loan Tape (S&amp;P)'!AN4598,
    IF(arrears_months=0,1.00,
    IF(arrears_months=1,3.00,
    IF(arrears_months=2,5.00,
    IF(arrears_months=3,8.00,
    IF(arrears_months=4,10.00,
    IF(arrears_months=5,12.00,15.00)))))))</f>
        <v/>
      </c>
      <c r="M4598">
        <f>LET(
    seasoning_years,DATEDIF('Loan Tape (S&amp;P)'!K4598,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98">
        <f>IF(AND('Loan Tape (S&amp;P)'!U4598="Yes",
        'Loan Tape (S&amp;P)'!T4598&lt;&gt;"Yes",
        DATEDIF('Loan Tape (S&amp;P)'!K4598, TODAY(), "M")&lt;18),
    1.10,
    1.00)</f>
        <v/>
      </c>
      <c r="O4598">
        <f>IF('Loan Tape (S&amp;P)'!T4598="Yes",
    1.35,
    1.00)</f>
        <v/>
      </c>
      <c r="P4598">
        <f>IF('Loan Tape (S&amp;P)'!S4598="Yes",
    1.15,
    1.00)</f>
        <v/>
      </c>
      <c r="Q4598">
        <f>IF('Loan Tape (S&amp;P)'!V4598="Yes",
    1.20,
    1.00)</f>
        <v/>
      </c>
      <c r="T4598">
        <f>LET(
    payment_method,'Loan Tape (S&amp;P)'!P4598,
    occupancy,'Loan Tape (S&amp;P)'!N4598,
    maturity_date,'Loan Tape (S&amp;P)'!L4598,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599">
      <c r="J4599">
        <f>LET(
    lien,'Loan Tape (S&amp;P)'!Q4599,
    IF(lien="First",1.00,
        IF(lien="Second",1.50,
            1.70)))</f>
        <v/>
      </c>
      <c r="K4599">
        <f>LET(
    purpose,'Loan Tape (S&amp;P)'!R4599,
    IF(purpose="Purchase",1.00,
        IF(purpose="Remortgage",1.00,
            1.20)))</f>
        <v/>
      </c>
      <c r="L4599">
        <f>LET(
    arrears_months,'Loan Tape (S&amp;P)'!AN4599,
    IF(arrears_months=0,1.00,
    IF(arrears_months=1,3.00,
    IF(arrears_months=2,5.00,
    IF(arrears_months=3,8.00,
    IF(arrears_months=4,10.00,
    IF(arrears_months=5,12.00,15.00)))))))</f>
        <v/>
      </c>
      <c r="M4599">
        <f>LET(
    seasoning_years,DATEDIF('Loan Tape (S&amp;P)'!K4599,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599">
        <f>IF(AND('Loan Tape (S&amp;P)'!U4599="Yes",
        'Loan Tape (S&amp;P)'!T4599&lt;&gt;"Yes",
        DATEDIF('Loan Tape (S&amp;P)'!K4599, TODAY(), "M")&lt;18),
    1.10,
    1.00)</f>
        <v/>
      </c>
      <c r="O4599">
        <f>IF('Loan Tape (S&amp;P)'!T4599="Yes",
    1.35,
    1.00)</f>
        <v/>
      </c>
      <c r="P4599">
        <f>IF('Loan Tape (S&amp;P)'!S4599="Yes",
    1.15,
    1.00)</f>
        <v/>
      </c>
      <c r="Q4599">
        <f>IF('Loan Tape (S&amp;P)'!V4599="Yes",
    1.20,
    1.00)</f>
        <v/>
      </c>
      <c r="T4599">
        <f>LET(
    payment_method,'Loan Tape (S&amp;P)'!P4599,
    occupancy,'Loan Tape (S&amp;P)'!N4599,
    maturity_date,'Loan Tape (S&amp;P)'!L4599,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00">
      <c r="J4600">
        <f>LET(
    lien,'Loan Tape (S&amp;P)'!Q4600,
    IF(lien="First",1.00,
        IF(lien="Second",1.50,
            1.70)))</f>
        <v/>
      </c>
      <c r="K4600">
        <f>LET(
    purpose,'Loan Tape (S&amp;P)'!R4600,
    IF(purpose="Purchase",1.00,
        IF(purpose="Remortgage",1.00,
            1.20)))</f>
        <v/>
      </c>
      <c r="L4600">
        <f>LET(
    arrears_months,'Loan Tape (S&amp;P)'!AN4600,
    IF(arrears_months=0,1.00,
    IF(arrears_months=1,3.00,
    IF(arrears_months=2,5.00,
    IF(arrears_months=3,8.00,
    IF(arrears_months=4,10.00,
    IF(arrears_months=5,12.00,15.00)))))))</f>
        <v/>
      </c>
      <c r="M4600">
        <f>LET(
    seasoning_years,DATEDIF('Loan Tape (S&amp;P)'!K4600,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00">
        <f>IF(AND('Loan Tape (S&amp;P)'!U4600="Yes",
        'Loan Tape (S&amp;P)'!T4600&lt;&gt;"Yes",
        DATEDIF('Loan Tape (S&amp;P)'!K4600, TODAY(), "M")&lt;18),
    1.10,
    1.00)</f>
        <v/>
      </c>
      <c r="O4600">
        <f>IF('Loan Tape (S&amp;P)'!T4600="Yes",
    1.35,
    1.00)</f>
        <v/>
      </c>
      <c r="P4600">
        <f>IF('Loan Tape (S&amp;P)'!S4600="Yes",
    1.15,
    1.00)</f>
        <v/>
      </c>
      <c r="Q4600">
        <f>IF('Loan Tape (S&amp;P)'!V4600="Yes",
    1.20,
    1.00)</f>
        <v/>
      </c>
      <c r="T4600">
        <f>LET(
    payment_method,'Loan Tape (S&amp;P)'!P4600,
    occupancy,'Loan Tape (S&amp;P)'!N4600,
    maturity_date,'Loan Tape (S&amp;P)'!L4600,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01">
      <c r="J4601">
        <f>LET(
    lien,'Loan Tape (S&amp;P)'!Q4601,
    IF(lien="First",1.00,
        IF(lien="Second",1.50,
            1.70)))</f>
        <v/>
      </c>
      <c r="K4601">
        <f>LET(
    purpose,'Loan Tape (S&amp;P)'!R4601,
    IF(purpose="Purchase",1.00,
        IF(purpose="Remortgage",1.00,
            1.20)))</f>
        <v/>
      </c>
      <c r="L4601">
        <f>LET(
    arrears_months,'Loan Tape (S&amp;P)'!AN4601,
    IF(arrears_months=0,1.00,
    IF(arrears_months=1,3.00,
    IF(arrears_months=2,5.00,
    IF(arrears_months=3,8.00,
    IF(arrears_months=4,10.00,
    IF(arrears_months=5,12.00,15.00)))))))</f>
        <v/>
      </c>
      <c r="M4601">
        <f>LET(
    seasoning_years,DATEDIF('Loan Tape (S&amp;P)'!K4601,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01">
        <f>IF(AND('Loan Tape (S&amp;P)'!U4601="Yes",
        'Loan Tape (S&amp;P)'!T4601&lt;&gt;"Yes",
        DATEDIF('Loan Tape (S&amp;P)'!K4601, TODAY(), "M")&lt;18),
    1.10,
    1.00)</f>
        <v/>
      </c>
      <c r="O4601">
        <f>IF('Loan Tape (S&amp;P)'!T4601="Yes",
    1.35,
    1.00)</f>
        <v/>
      </c>
      <c r="P4601">
        <f>IF('Loan Tape (S&amp;P)'!S4601="Yes",
    1.15,
    1.00)</f>
        <v/>
      </c>
      <c r="Q4601">
        <f>IF('Loan Tape (S&amp;P)'!V4601="Yes",
    1.20,
    1.00)</f>
        <v/>
      </c>
      <c r="T4601">
        <f>LET(
    payment_method,'Loan Tape (S&amp;P)'!P4601,
    occupancy,'Loan Tape (S&amp;P)'!N4601,
    maturity_date,'Loan Tape (S&amp;P)'!L4601,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02">
      <c r="J4602">
        <f>LET(
    lien,'Loan Tape (S&amp;P)'!Q4602,
    IF(lien="First",1.00,
        IF(lien="Second",1.50,
            1.70)))</f>
        <v/>
      </c>
      <c r="K4602">
        <f>LET(
    purpose,'Loan Tape (S&amp;P)'!R4602,
    IF(purpose="Purchase",1.00,
        IF(purpose="Remortgage",1.00,
            1.20)))</f>
        <v/>
      </c>
      <c r="L4602">
        <f>LET(
    arrears_months,'Loan Tape (S&amp;P)'!AN4602,
    IF(arrears_months=0,1.00,
    IF(arrears_months=1,3.00,
    IF(arrears_months=2,5.00,
    IF(arrears_months=3,8.00,
    IF(arrears_months=4,10.00,
    IF(arrears_months=5,12.00,15.00)))))))</f>
        <v/>
      </c>
      <c r="M4602">
        <f>LET(
    seasoning_years,DATEDIF('Loan Tape (S&amp;P)'!K4602,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02">
        <f>IF(AND('Loan Tape (S&amp;P)'!U4602="Yes",
        'Loan Tape (S&amp;P)'!T4602&lt;&gt;"Yes",
        DATEDIF('Loan Tape (S&amp;P)'!K4602, TODAY(), "M")&lt;18),
    1.10,
    1.00)</f>
        <v/>
      </c>
      <c r="O4602">
        <f>IF('Loan Tape (S&amp;P)'!T4602="Yes",
    1.35,
    1.00)</f>
        <v/>
      </c>
      <c r="P4602">
        <f>IF('Loan Tape (S&amp;P)'!S4602="Yes",
    1.15,
    1.00)</f>
        <v/>
      </c>
      <c r="Q4602">
        <f>IF('Loan Tape (S&amp;P)'!V4602="Yes",
    1.20,
    1.00)</f>
        <v/>
      </c>
      <c r="T4602">
        <f>LET(
    payment_method,'Loan Tape (S&amp;P)'!P4602,
    occupancy,'Loan Tape (S&amp;P)'!N4602,
    maturity_date,'Loan Tape (S&amp;P)'!L4602,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03">
      <c r="J4603">
        <f>LET(
    lien,'Loan Tape (S&amp;P)'!Q4603,
    IF(lien="First",1.00,
        IF(lien="Second",1.50,
            1.70)))</f>
        <v/>
      </c>
      <c r="K4603">
        <f>LET(
    purpose,'Loan Tape (S&amp;P)'!R4603,
    IF(purpose="Purchase",1.00,
        IF(purpose="Remortgage",1.00,
            1.20)))</f>
        <v/>
      </c>
      <c r="L4603">
        <f>LET(
    arrears_months,'Loan Tape (S&amp;P)'!AN4603,
    IF(arrears_months=0,1.00,
    IF(arrears_months=1,3.00,
    IF(arrears_months=2,5.00,
    IF(arrears_months=3,8.00,
    IF(arrears_months=4,10.00,
    IF(arrears_months=5,12.00,15.00)))))))</f>
        <v/>
      </c>
      <c r="M4603">
        <f>LET(
    seasoning_years,DATEDIF('Loan Tape (S&amp;P)'!K4603,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03">
        <f>IF(AND('Loan Tape (S&amp;P)'!U4603="Yes",
        'Loan Tape (S&amp;P)'!T4603&lt;&gt;"Yes",
        DATEDIF('Loan Tape (S&amp;P)'!K4603, TODAY(), "M")&lt;18),
    1.10,
    1.00)</f>
        <v/>
      </c>
      <c r="O4603">
        <f>IF('Loan Tape (S&amp;P)'!T4603="Yes",
    1.35,
    1.00)</f>
        <v/>
      </c>
      <c r="P4603">
        <f>IF('Loan Tape (S&amp;P)'!S4603="Yes",
    1.15,
    1.00)</f>
        <v/>
      </c>
      <c r="Q4603">
        <f>IF('Loan Tape (S&amp;P)'!V4603="Yes",
    1.20,
    1.00)</f>
        <v/>
      </c>
      <c r="T4603">
        <f>LET(
    payment_method,'Loan Tape (S&amp;P)'!P4603,
    occupancy,'Loan Tape (S&amp;P)'!N4603,
    maturity_date,'Loan Tape (S&amp;P)'!L4603,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04">
      <c r="J4604">
        <f>LET(
    lien,'Loan Tape (S&amp;P)'!Q4604,
    IF(lien="First",1.00,
        IF(lien="Second",1.50,
            1.70)))</f>
        <v/>
      </c>
      <c r="K4604">
        <f>LET(
    purpose,'Loan Tape (S&amp;P)'!R4604,
    IF(purpose="Purchase",1.00,
        IF(purpose="Remortgage",1.00,
            1.20)))</f>
        <v/>
      </c>
      <c r="L4604">
        <f>LET(
    arrears_months,'Loan Tape (S&amp;P)'!AN4604,
    IF(arrears_months=0,1.00,
    IF(arrears_months=1,3.00,
    IF(arrears_months=2,5.00,
    IF(arrears_months=3,8.00,
    IF(arrears_months=4,10.00,
    IF(arrears_months=5,12.00,15.00)))))))</f>
        <v/>
      </c>
      <c r="M4604">
        <f>LET(
    seasoning_years,DATEDIF('Loan Tape (S&amp;P)'!K4604,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04">
        <f>IF(AND('Loan Tape (S&amp;P)'!U4604="Yes",
        'Loan Tape (S&amp;P)'!T4604&lt;&gt;"Yes",
        DATEDIF('Loan Tape (S&amp;P)'!K4604, TODAY(), "M")&lt;18),
    1.10,
    1.00)</f>
        <v/>
      </c>
      <c r="O4604">
        <f>IF('Loan Tape (S&amp;P)'!T4604="Yes",
    1.35,
    1.00)</f>
        <v/>
      </c>
      <c r="P4604">
        <f>IF('Loan Tape (S&amp;P)'!S4604="Yes",
    1.15,
    1.00)</f>
        <v/>
      </c>
      <c r="Q4604">
        <f>IF('Loan Tape (S&amp;P)'!V4604="Yes",
    1.20,
    1.00)</f>
        <v/>
      </c>
      <c r="T4604">
        <f>LET(
    payment_method,'Loan Tape (S&amp;P)'!P4604,
    occupancy,'Loan Tape (S&amp;P)'!N4604,
    maturity_date,'Loan Tape (S&amp;P)'!L4604,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05">
      <c r="J4605">
        <f>LET(
    lien,'Loan Tape (S&amp;P)'!Q4605,
    IF(lien="First",1.00,
        IF(lien="Second",1.50,
            1.70)))</f>
        <v/>
      </c>
      <c r="K4605">
        <f>LET(
    purpose,'Loan Tape (S&amp;P)'!R4605,
    IF(purpose="Purchase",1.00,
        IF(purpose="Remortgage",1.00,
            1.20)))</f>
        <v/>
      </c>
      <c r="L4605">
        <f>LET(
    arrears_months,'Loan Tape (S&amp;P)'!AN4605,
    IF(arrears_months=0,1.00,
    IF(arrears_months=1,3.00,
    IF(arrears_months=2,5.00,
    IF(arrears_months=3,8.00,
    IF(arrears_months=4,10.00,
    IF(arrears_months=5,12.00,15.00)))))))</f>
        <v/>
      </c>
      <c r="M4605">
        <f>LET(
    seasoning_years,DATEDIF('Loan Tape (S&amp;P)'!K4605,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05">
        <f>IF(AND('Loan Tape (S&amp;P)'!U4605="Yes",
        'Loan Tape (S&amp;P)'!T4605&lt;&gt;"Yes",
        DATEDIF('Loan Tape (S&amp;P)'!K4605, TODAY(), "M")&lt;18),
    1.10,
    1.00)</f>
        <v/>
      </c>
      <c r="O4605">
        <f>IF('Loan Tape (S&amp;P)'!T4605="Yes",
    1.35,
    1.00)</f>
        <v/>
      </c>
      <c r="P4605">
        <f>IF('Loan Tape (S&amp;P)'!S4605="Yes",
    1.15,
    1.00)</f>
        <v/>
      </c>
      <c r="Q4605">
        <f>IF('Loan Tape (S&amp;P)'!V4605="Yes",
    1.20,
    1.00)</f>
        <v/>
      </c>
      <c r="T4605">
        <f>LET(
    payment_method,'Loan Tape (S&amp;P)'!P4605,
    occupancy,'Loan Tape (S&amp;P)'!N4605,
    maturity_date,'Loan Tape (S&amp;P)'!L4605,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06">
      <c r="J4606">
        <f>LET(
    lien,'Loan Tape (S&amp;P)'!Q4606,
    IF(lien="First",1.00,
        IF(lien="Second",1.50,
            1.70)))</f>
        <v/>
      </c>
      <c r="K4606">
        <f>LET(
    purpose,'Loan Tape (S&amp;P)'!R4606,
    IF(purpose="Purchase",1.00,
        IF(purpose="Remortgage",1.00,
            1.20)))</f>
        <v/>
      </c>
      <c r="L4606">
        <f>LET(
    arrears_months,'Loan Tape (S&amp;P)'!AN4606,
    IF(arrears_months=0,1.00,
    IF(arrears_months=1,3.00,
    IF(arrears_months=2,5.00,
    IF(arrears_months=3,8.00,
    IF(arrears_months=4,10.00,
    IF(arrears_months=5,12.00,15.00)))))))</f>
        <v/>
      </c>
      <c r="M4606">
        <f>LET(
    seasoning_years,DATEDIF('Loan Tape (S&amp;P)'!K4606,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06">
        <f>IF(AND('Loan Tape (S&amp;P)'!U4606="Yes",
        'Loan Tape (S&amp;P)'!T4606&lt;&gt;"Yes",
        DATEDIF('Loan Tape (S&amp;P)'!K4606, TODAY(), "M")&lt;18),
    1.10,
    1.00)</f>
        <v/>
      </c>
      <c r="O4606">
        <f>IF('Loan Tape (S&amp;P)'!T4606="Yes",
    1.35,
    1.00)</f>
        <v/>
      </c>
      <c r="P4606">
        <f>IF('Loan Tape (S&amp;P)'!S4606="Yes",
    1.15,
    1.00)</f>
        <v/>
      </c>
      <c r="Q4606">
        <f>IF('Loan Tape (S&amp;P)'!V4606="Yes",
    1.20,
    1.00)</f>
        <v/>
      </c>
      <c r="T4606">
        <f>LET(
    payment_method,'Loan Tape (S&amp;P)'!P4606,
    occupancy,'Loan Tape (S&amp;P)'!N4606,
    maturity_date,'Loan Tape (S&amp;P)'!L4606,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07">
      <c r="J4607">
        <f>LET(
    lien,'Loan Tape (S&amp;P)'!Q4607,
    IF(lien="First",1.00,
        IF(lien="Second",1.50,
            1.70)))</f>
        <v/>
      </c>
      <c r="K4607">
        <f>LET(
    purpose,'Loan Tape (S&amp;P)'!R4607,
    IF(purpose="Purchase",1.00,
        IF(purpose="Remortgage",1.00,
            1.20)))</f>
        <v/>
      </c>
      <c r="L4607">
        <f>LET(
    arrears_months,'Loan Tape (S&amp;P)'!AN4607,
    IF(arrears_months=0,1.00,
    IF(arrears_months=1,3.00,
    IF(arrears_months=2,5.00,
    IF(arrears_months=3,8.00,
    IF(arrears_months=4,10.00,
    IF(arrears_months=5,12.00,15.00)))))))</f>
        <v/>
      </c>
      <c r="M4607">
        <f>LET(
    seasoning_years,DATEDIF('Loan Tape (S&amp;P)'!K4607,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07">
        <f>IF(AND('Loan Tape (S&amp;P)'!U4607="Yes",
        'Loan Tape (S&amp;P)'!T4607&lt;&gt;"Yes",
        DATEDIF('Loan Tape (S&amp;P)'!K4607, TODAY(), "M")&lt;18),
    1.10,
    1.00)</f>
        <v/>
      </c>
      <c r="O4607">
        <f>IF('Loan Tape (S&amp;P)'!T4607="Yes",
    1.35,
    1.00)</f>
        <v/>
      </c>
      <c r="P4607">
        <f>IF('Loan Tape (S&amp;P)'!S4607="Yes",
    1.15,
    1.00)</f>
        <v/>
      </c>
      <c r="Q4607">
        <f>IF('Loan Tape (S&amp;P)'!V4607="Yes",
    1.20,
    1.00)</f>
        <v/>
      </c>
      <c r="T4607">
        <f>LET(
    payment_method,'Loan Tape (S&amp;P)'!P4607,
    occupancy,'Loan Tape (S&amp;P)'!N4607,
    maturity_date,'Loan Tape (S&amp;P)'!L4607,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08">
      <c r="J4608">
        <f>LET(
    lien,'Loan Tape (S&amp;P)'!Q4608,
    IF(lien="First",1.00,
        IF(lien="Second",1.50,
            1.70)))</f>
        <v/>
      </c>
      <c r="K4608">
        <f>LET(
    purpose,'Loan Tape (S&amp;P)'!R4608,
    IF(purpose="Purchase",1.00,
        IF(purpose="Remortgage",1.00,
            1.20)))</f>
        <v/>
      </c>
      <c r="L4608">
        <f>LET(
    arrears_months,'Loan Tape (S&amp;P)'!AN4608,
    IF(arrears_months=0,1.00,
    IF(arrears_months=1,3.00,
    IF(arrears_months=2,5.00,
    IF(arrears_months=3,8.00,
    IF(arrears_months=4,10.00,
    IF(arrears_months=5,12.00,15.00)))))))</f>
        <v/>
      </c>
      <c r="M4608">
        <f>LET(
    seasoning_years,DATEDIF('Loan Tape (S&amp;P)'!K4608,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08">
        <f>IF(AND('Loan Tape (S&amp;P)'!U4608="Yes",
        'Loan Tape (S&amp;P)'!T4608&lt;&gt;"Yes",
        DATEDIF('Loan Tape (S&amp;P)'!K4608, TODAY(), "M")&lt;18),
    1.10,
    1.00)</f>
        <v/>
      </c>
      <c r="O4608">
        <f>IF('Loan Tape (S&amp;P)'!T4608="Yes",
    1.35,
    1.00)</f>
        <v/>
      </c>
      <c r="P4608">
        <f>IF('Loan Tape (S&amp;P)'!S4608="Yes",
    1.15,
    1.00)</f>
        <v/>
      </c>
      <c r="Q4608">
        <f>IF('Loan Tape (S&amp;P)'!V4608="Yes",
    1.20,
    1.00)</f>
        <v/>
      </c>
      <c r="T4608">
        <f>LET(
    payment_method,'Loan Tape (S&amp;P)'!P4608,
    occupancy,'Loan Tape (S&amp;P)'!N4608,
    maturity_date,'Loan Tape (S&amp;P)'!L4608,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09">
      <c r="J4609">
        <f>LET(
    lien,'Loan Tape (S&amp;P)'!Q4609,
    IF(lien="First",1.00,
        IF(lien="Second",1.50,
            1.70)))</f>
        <v/>
      </c>
      <c r="K4609">
        <f>LET(
    purpose,'Loan Tape (S&amp;P)'!R4609,
    IF(purpose="Purchase",1.00,
        IF(purpose="Remortgage",1.00,
            1.20)))</f>
        <v/>
      </c>
      <c r="L4609">
        <f>LET(
    arrears_months,'Loan Tape (S&amp;P)'!AN4609,
    IF(arrears_months=0,1.00,
    IF(arrears_months=1,3.00,
    IF(arrears_months=2,5.00,
    IF(arrears_months=3,8.00,
    IF(arrears_months=4,10.00,
    IF(arrears_months=5,12.00,15.00)))))))</f>
        <v/>
      </c>
      <c r="M4609">
        <f>LET(
    seasoning_years,DATEDIF('Loan Tape (S&amp;P)'!K4609,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09">
        <f>IF(AND('Loan Tape (S&amp;P)'!U4609="Yes",
        'Loan Tape (S&amp;P)'!T4609&lt;&gt;"Yes",
        DATEDIF('Loan Tape (S&amp;P)'!K4609, TODAY(), "M")&lt;18),
    1.10,
    1.00)</f>
        <v/>
      </c>
      <c r="O4609">
        <f>IF('Loan Tape (S&amp;P)'!T4609="Yes",
    1.35,
    1.00)</f>
        <v/>
      </c>
      <c r="P4609">
        <f>IF('Loan Tape (S&amp;P)'!S4609="Yes",
    1.15,
    1.00)</f>
        <v/>
      </c>
      <c r="Q4609">
        <f>IF('Loan Tape (S&amp;P)'!V4609="Yes",
    1.20,
    1.00)</f>
        <v/>
      </c>
      <c r="T4609">
        <f>LET(
    payment_method,'Loan Tape (S&amp;P)'!P4609,
    occupancy,'Loan Tape (S&amp;P)'!N4609,
    maturity_date,'Loan Tape (S&amp;P)'!L4609,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10">
      <c r="J4610">
        <f>LET(
    lien,'Loan Tape (S&amp;P)'!Q4610,
    IF(lien="First",1.00,
        IF(lien="Second",1.50,
            1.70)))</f>
        <v/>
      </c>
      <c r="K4610">
        <f>LET(
    purpose,'Loan Tape (S&amp;P)'!R4610,
    IF(purpose="Purchase",1.00,
        IF(purpose="Remortgage",1.00,
            1.20)))</f>
        <v/>
      </c>
      <c r="L4610">
        <f>LET(
    arrears_months,'Loan Tape (S&amp;P)'!AN4610,
    IF(arrears_months=0,1.00,
    IF(arrears_months=1,3.00,
    IF(arrears_months=2,5.00,
    IF(arrears_months=3,8.00,
    IF(arrears_months=4,10.00,
    IF(arrears_months=5,12.00,15.00)))))))</f>
        <v/>
      </c>
      <c r="M4610">
        <f>LET(
    seasoning_years,DATEDIF('Loan Tape (S&amp;P)'!K4610,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10">
        <f>IF(AND('Loan Tape (S&amp;P)'!U4610="Yes",
        'Loan Tape (S&amp;P)'!T4610&lt;&gt;"Yes",
        DATEDIF('Loan Tape (S&amp;P)'!K4610, TODAY(), "M")&lt;18),
    1.10,
    1.00)</f>
        <v/>
      </c>
      <c r="O4610">
        <f>IF('Loan Tape (S&amp;P)'!T4610="Yes",
    1.35,
    1.00)</f>
        <v/>
      </c>
      <c r="P4610">
        <f>IF('Loan Tape (S&amp;P)'!S4610="Yes",
    1.15,
    1.00)</f>
        <v/>
      </c>
      <c r="Q4610">
        <f>IF('Loan Tape (S&amp;P)'!V4610="Yes",
    1.20,
    1.00)</f>
        <v/>
      </c>
      <c r="T4610">
        <f>LET(
    payment_method,'Loan Tape (S&amp;P)'!P4610,
    occupancy,'Loan Tape (S&amp;P)'!N4610,
    maturity_date,'Loan Tape (S&amp;P)'!L4610,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11">
      <c r="J4611">
        <f>LET(
    lien,'Loan Tape (S&amp;P)'!Q4611,
    IF(lien="First",1.00,
        IF(lien="Second",1.50,
            1.70)))</f>
        <v/>
      </c>
      <c r="K4611">
        <f>LET(
    purpose,'Loan Tape (S&amp;P)'!R4611,
    IF(purpose="Purchase",1.00,
        IF(purpose="Remortgage",1.00,
            1.20)))</f>
        <v/>
      </c>
      <c r="L4611">
        <f>LET(
    arrears_months,'Loan Tape (S&amp;P)'!AN4611,
    IF(arrears_months=0,1.00,
    IF(arrears_months=1,3.00,
    IF(arrears_months=2,5.00,
    IF(arrears_months=3,8.00,
    IF(arrears_months=4,10.00,
    IF(arrears_months=5,12.00,15.00)))))))</f>
        <v/>
      </c>
      <c r="M4611">
        <f>LET(
    seasoning_years,DATEDIF('Loan Tape (S&amp;P)'!K4611,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11">
        <f>IF(AND('Loan Tape (S&amp;P)'!U4611="Yes",
        'Loan Tape (S&amp;P)'!T4611&lt;&gt;"Yes",
        DATEDIF('Loan Tape (S&amp;P)'!K4611, TODAY(), "M")&lt;18),
    1.10,
    1.00)</f>
        <v/>
      </c>
      <c r="O4611">
        <f>IF('Loan Tape (S&amp;P)'!T4611="Yes",
    1.35,
    1.00)</f>
        <v/>
      </c>
      <c r="P4611">
        <f>IF('Loan Tape (S&amp;P)'!S4611="Yes",
    1.15,
    1.00)</f>
        <v/>
      </c>
      <c r="Q4611">
        <f>IF('Loan Tape (S&amp;P)'!V4611="Yes",
    1.20,
    1.00)</f>
        <v/>
      </c>
      <c r="T4611">
        <f>LET(
    payment_method,'Loan Tape (S&amp;P)'!P4611,
    occupancy,'Loan Tape (S&amp;P)'!N4611,
    maturity_date,'Loan Tape (S&amp;P)'!L4611,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12">
      <c r="J4612">
        <f>LET(
    lien,'Loan Tape (S&amp;P)'!Q4612,
    IF(lien="First",1.00,
        IF(lien="Second",1.50,
            1.70)))</f>
        <v/>
      </c>
      <c r="K4612">
        <f>LET(
    purpose,'Loan Tape (S&amp;P)'!R4612,
    IF(purpose="Purchase",1.00,
        IF(purpose="Remortgage",1.00,
            1.20)))</f>
        <v/>
      </c>
      <c r="L4612">
        <f>LET(
    arrears_months,'Loan Tape (S&amp;P)'!AN4612,
    IF(arrears_months=0,1.00,
    IF(arrears_months=1,3.00,
    IF(arrears_months=2,5.00,
    IF(arrears_months=3,8.00,
    IF(arrears_months=4,10.00,
    IF(arrears_months=5,12.00,15.00)))))))</f>
        <v/>
      </c>
      <c r="M4612">
        <f>LET(
    seasoning_years,DATEDIF('Loan Tape (S&amp;P)'!K4612,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12">
        <f>IF(AND('Loan Tape (S&amp;P)'!U4612="Yes",
        'Loan Tape (S&amp;P)'!T4612&lt;&gt;"Yes",
        DATEDIF('Loan Tape (S&amp;P)'!K4612, TODAY(), "M")&lt;18),
    1.10,
    1.00)</f>
        <v/>
      </c>
      <c r="O4612">
        <f>IF('Loan Tape (S&amp;P)'!T4612="Yes",
    1.35,
    1.00)</f>
        <v/>
      </c>
      <c r="P4612">
        <f>IF('Loan Tape (S&amp;P)'!S4612="Yes",
    1.15,
    1.00)</f>
        <v/>
      </c>
      <c r="Q4612">
        <f>IF('Loan Tape (S&amp;P)'!V4612="Yes",
    1.20,
    1.00)</f>
        <v/>
      </c>
      <c r="T4612">
        <f>LET(
    payment_method,'Loan Tape (S&amp;P)'!P4612,
    occupancy,'Loan Tape (S&amp;P)'!N4612,
    maturity_date,'Loan Tape (S&amp;P)'!L4612,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13">
      <c r="J4613">
        <f>LET(
    lien,'Loan Tape (S&amp;P)'!Q4613,
    IF(lien="First",1.00,
        IF(lien="Second",1.50,
            1.70)))</f>
        <v/>
      </c>
      <c r="K4613">
        <f>LET(
    purpose,'Loan Tape (S&amp;P)'!R4613,
    IF(purpose="Purchase",1.00,
        IF(purpose="Remortgage",1.00,
            1.20)))</f>
        <v/>
      </c>
      <c r="L4613">
        <f>LET(
    arrears_months,'Loan Tape (S&amp;P)'!AN4613,
    IF(arrears_months=0,1.00,
    IF(arrears_months=1,3.00,
    IF(arrears_months=2,5.00,
    IF(arrears_months=3,8.00,
    IF(arrears_months=4,10.00,
    IF(arrears_months=5,12.00,15.00)))))))</f>
        <v/>
      </c>
      <c r="M4613">
        <f>LET(
    seasoning_years,DATEDIF('Loan Tape (S&amp;P)'!K4613,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13">
        <f>IF(AND('Loan Tape (S&amp;P)'!U4613="Yes",
        'Loan Tape (S&amp;P)'!T4613&lt;&gt;"Yes",
        DATEDIF('Loan Tape (S&amp;P)'!K4613, TODAY(), "M")&lt;18),
    1.10,
    1.00)</f>
        <v/>
      </c>
      <c r="O4613">
        <f>IF('Loan Tape (S&amp;P)'!T4613="Yes",
    1.35,
    1.00)</f>
        <v/>
      </c>
      <c r="P4613">
        <f>IF('Loan Tape (S&amp;P)'!S4613="Yes",
    1.15,
    1.00)</f>
        <v/>
      </c>
      <c r="Q4613">
        <f>IF('Loan Tape (S&amp;P)'!V4613="Yes",
    1.20,
    1.00)</f>
        <v/>
      </c>
      <c r="T4613">
        <f>LET(
    payment_method,'Loan Tape (S&amp;P)'!P4613,
    occupancy,'Loan Tape (S&amp;P)'!N4613,
    maturity_date,'Loan Tape (S&amp;P)'!L4613,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14">
      <c r="J4614">
        <f>LET(
    lien,'Loan Tape (S&amp;P)'!Q4614,
    IF(lien="First",1.00,
        IF(lien="Second",1.50,
            1.70)))</f>
        <v/>
      </c>
      <c r="K4614">
        <f>LET(
    purpose,'Loan Tape (S&amp;P)'!R4614,
    IF(purpose="Purchase",1.00,
        IF(purpose="Remortgage",1.00,
            1.20)))</f>
        <v/>
      </c>
      <c r="L4614">
        <f>LET(
    arrears_months,'Loan Tape (S&amp;P)'!AN4614,
    IF(arrears_months=0,1.00,
    IF(arrears_months=1,3.00,
    IF(arrears_months=2,5.00,
    IF(arrears_months=3,8.00,
    IF(arrears_months=4,10.00,
    IF(arrears_months=5,12.00,15.00)))))))</f>
        <v/>
      </c>
      <c r="M4614">
        <f>LET(
    seasoning_years,DATEDIF('Loan Tape (S&amp;P)'!K4614,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14">
        <f>IF(AND('Loan Tape (S&amp;P)'!U4614="Yes",
        'Loan Tape (S&amp;P)'!T4614&lt;&gt;"Yes",
        DATEDIF('Loan Tape (S&amp;P)'!K4614, TODAY(), "M")&lt;18),
    1.10,
    1.00)</f>
        <v/>
      </c>
      <c r="O4614">
        <f>IF('Loan Tape (S&amp;P)'!T4614="Yes",
    1.35,
    1.00)</f>
        <v/>
      </c>
      <c r="P4614">
        <f>IF('Loan Tape (S&amp;P)'!S4614="Yes",
    1.15,
    1.00)</f>
        <v/>
      </c>
      <c r="Q4614">
        <f>IF('Loan Tape (S&amp;P)'!V4614="Yes",
    1.20,
    1.00)</f>
        <v/>
      </c>
      <c r="T4614">
        <f>LET(
    payment_method,'Loan Tape (S&amp;P)'!P4614,
    occupancy,'Loan Tape (S&amp;P)'!N4614,
    maturity_date,'Loan Tape (S&amp;P)'!L4614,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15">
      <c r="J4615">
        <f>LET(
    lien,'Loan Tape (S&amp;P)'!Q4615,
    IF(lien="First",1.00,
        IF(lien="Second",1.50,
            1.70)))</f>
        <v/>
      </c>
      <c r="K4615">
        <f>LET(
    purpose,'Loan Tape (S&amp;P)'!R4615,
    IF(purpose="Purchase",1.00,
        IF(purpose="Remortgage",1.00,
            1.20)))</f>
        <v/>
      </c>
      <c r="L4615">
        <f>LET(
    arrears_months,'Loan Tape (S&amp;P)'!AN4615,
    IF(arrears_months=0,1.00,
    IF(arrears_months=1,3.00,
    IF(arrears_months=2,5.00,
    IF(arrears_months=3,8.00,
    IF(arrears_months=4,10.00,
    IF(arrears_months=5,12.00,15.00)))))))</f>
        <v/>
      </c>
      <c r="M4615">
        <f>LET(
    seasoning_years,DATEDIF('Loan Tape (S&amp;P)'!K4615,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15">
        <f>IF(AND('Loan Tape (S&amp;P)'!U4615="Yes",
        'Loan Tape (S&amp;P)'!T4615&lt;&gt;"Yes",
        DATEDIF('Loan Tape (S&amp;P)'!K4615, TODAY(), "M")&lt;18),
    1.10,
    1.00)</f>
        <v/>
      </c>
      <c r="O4615">
        <f>IF('Loan Tape (S&amp;P)'!T4615="Yes",
    1.35,
    1.00)</f>
        <v/>
      </c>
      <c r="P4615">
        <f>IF('Loan Tape (S&amp;P)'!S4615="Yes",
    1.15,
    1.00)</f>
        <v/>
      </c>
      <c r="Q4615">
        <f>IF('Loan Tape (S&amp;P)'!V4615="Yes",
    1.20,
    1.00)</f>
        <v/>
      </c>
      <c r="T4615">
        <f>LET(
    payment_method,'Loan Tape (S&amp;P)'!P4615,
    occupancy,'Loan Tape (S&amp;P)'!N4615,
    maturity_date,'Loan Tape (S&amp;P)'!L4615,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16">
      <c r="J4616">
        <f>LET(
    lien,'Loan Tape (S&amp;P)'!Q4616,
    IF(lien="First",1.00,
        IF(lien="Second",1.50,
            1.70)))</f>
        <v/>
      </c>
      <c r="K4616">
        <f>LET(
    purpose,'Loan Tape (S&amp;P)'!R4616,
    IF(purpose="Purchase",1.00,
        IF(purpose="Remortgage",1.00,
            1.20)))</f>
        <v/>
      </c>
      <c r="L4616">
        <f>LET(
    arrears_months,'Loan Tape (S&amp;P)'!AN4616,
    IF(arrears_months=0,1.00,
    IF(arrears_months=1,3.00,
    IF(arrears_months=2,5.00,
    IF(arrears_months=3,8.00,
    IF(arrears_months=4,10.00,
    IF(arrears_months=5,12.00,15.00)))))))</f>
        <v/>
      </c>
      <c r="M4616">
        <f>LET(
    seasoning_years,DATEDIF('Loan Tape (S&amp;P)'!K4616,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16">
        <f>IF(AND('Loan Tape (S&amp;P)'!U4616="Yes",
        'Loan Tape (S&amp;P)'!T4616&lt;&gt;"Yes",
        DATEDIF('Loan Tape (S&amp;P)'!K4616, TODAY(), "M")&lt;18),
    1.10,
    1.00)</f>
        <v/>
      </c>
      <c r="O4616">
        <f>IF('Loan Tape (S&amp;P)'!T4616="Yes",
    1.35,
    1.00)</f>
        <v/>
      </c>
      <c r="P4616">
        <f>IF('Loan Tape (S&amp;P)'!S4616="Yes",
    1.15,
    1.00)</f>
        <v/>
      </c>
      <c r="Q4616">
        <f>IF('Loan Tape (S&amp;P)'!V4616="Yes",
    1.20,
    1.00)</f>
        <v/>
      </c>
      <c r="T4616">
        <f>LET(
    payment_method,'Loan Tape (S&amp;P)'!P4616,
    occupancy,'Loan Tape (S&amp;P)'!N4616,
    maturity_date,'Loan Tape (S&amp;P)'!L4616,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17">
      <c r="J4617">
        <f>LET(
    lien,'Loan Tape (S&amp;P)'!Q4617,
    IF(lien="First",1.00,
        IF(lien="Second",1.50,
            1.70)))</f>
        <v/>
      </c>
      <c r="K4617">
        <f>LET(
    purpose,'Loan Tape (S&amp;P)'!R4617,
    IF(purpose="Purchase",1.00,
        IF(purpose="Remortgage",1.00,
            1.20)))</f>
        <v/>
      </c>
      <c r="L4617">
        <f>LET(
    arrears_months,'Loan Tape (S&amp;P)'!AN4617,
    IF(arrears_months=0,1.00,
    IF(arrears_months=1,3.00,
    IF(arrears_months=2,5.00,
    IF(arrears_months=3,8.00,
    IF(arrears_months=4,10.00,
    IF(arrears_months=5,12.00,15.00)))))))</f>
        <v/>
      </c>
      <c r="M4617">
        <f>LET(
    seasoning_years,DATEDIF('Loan Tape (S&amp;P)'!K4617,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17">
        <f>IF(AND('Loan Tape (S&amp;P)'!U4617="Yes",
        'Loan Tape (S&amp;P)'!T4617&lt;&gt;"Yes",
        DATEDIF('Loan Tape (S&amp;P)'!K4617, TODAY(), "M")&lt;18),
    1.10,
    1.00)</f>
        <v/>
      </c>
      <c r="O4617">
        <f>IF('Loan Tape (S&amp;P)'!T4617="Yes",
    1.35,
    1.00)</f>
        <v/>
      </c>
      <c r="P4617">
        <f>IF('Loan Tape (S&amp;P)'!S4617="Yes",
    1.15,
    1.00)</f>
        <v/>
      </c>
      <c r="Q4617">
        <f>IF('Loan Tape (S&amp;P)'!V4617="Yes",
    1.20,
    1.00)</f>
        <v/>
      </c>
      <c r="T4617">
        <f>LET(
    payment_method,'Loan Tape (S&amp;P)'!P4617,
    occupancy,'Loan Tape (S&amp;P)'!N4617,
    maturity_date,'Loan Tape (S&amp;P)'!L4617,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18">
      <c r="J4618">
        <f>LET(
    lien,'Loan Tape (S&amp;P)'!Q4618,
    IF(lien="First",1.00,
        IF(lien="Second",1.50,
            1.70)))</f>
        <v/>
      </c>
      <c r="K4618">
        <f>LET(
    purpose,'Loan Tape (S&amp;P)'!R4618,
    IF(purpose="Purchase",1.00,
        IF(purpose="Remortgage",1.00,
            1.20)))</f>
        <v/>
      </c>
      <c r="L4618">
        <f>LET(
    arrears_months,'Loan Tape (S&amp;P)'!AN4618,
    IF(arrears_months=0,1.00,
    IF(arrears_months=1,3.00,
    IF(arrears_months=2,5.00,
    IF(arrears_months=3,8.00,
    IF(arrears_months=4,10.00,
    IF(arrears_months=5,12.00,15.00)))))))</f>
        <v/>
      </c>
      <c r="M4618">
        <f>LET(
    seasoning_years,DATEDIF('Loan Tape (S&amp;P)'!K4618,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18">
        <f>IF(AND('Loan Tape (S&amp;P)'!U4618="Yes",
        'Loan Tape (S&amp;P)'!T4618&lt;&gt;"Yes",
        DATEDIF('Loan Tape (S&amp;P)'!K4618, TODAY(), "M")&lt;18),
    1.10,
    1.00)</f>
        <v/>
      </c>
      <c r="O4618">
        <f>IF('Loan Tape (S&amp;P)'!T4618="Yes",
    1.35,
    1.00)</f>
        <v/>
      </c>
      <c r="P4618">
        <f>IF('Loan Tape (S&amp;P)'!S4618="Yes",
    1.15,
    1.00)</f>
        <v/>
      </c>
      <c r="Q4618">
        <f>IF('Loan Tape (S&amp;P)'!V4618="Yes",
    1.20,
    1.00)</f>
        <v/>
      </c>
      <c r="T4618">
        <f>LET(
    payment_method,'Loan Tape (S&amp;P)'!P4618,
    occupancy,'Loan Tape (S&amp;P)'!N4618,
    maturity_date,'Loan Tape (S&amp;P)'!L4618,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19">
      <c r="J4619">
        <f>LET(
    lien,'Loan Tape (S&amp;P)'!Q4619,
    IF(lien="First",1.00,
        IF(lien="Second",1.50,
            1.70)))</f>
        <v/>
      </c>
      <c r="K4619">
        <f>LET(
    purpose,'Loan Tape (S&amp;P)'!R4619,
    IF(purpose="Purchase",1.00,
        IF(purpose="Remortgage",1.00,
            1.20)))</f>
        <v/>
      </c>
      <c r="L4619">
        <f>LET(
    arrears_months,'Loan Tape (S&amp;P)'!AN4619,
    IF(arrears_months=0,1.00,
    IF(arrears_months=1,3.00,
    IF(arrears_months=2,5.00,
    IF(arrears_months=3,8.00,
    IF(arrears_months=4,10.00,
    IF(arrears_months=5,12.00,15.00)))))))</f>
        <v/>
      </c>
      <c r="M4619">
        <f>LET(
    seasoning_years,DATEDIF('Loan Tape (S&amp;P)'!K4619,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19">
        <f>IF(AND('Loan Tape (S&amp;P)'!U4619="Yes",
        'Loan Tape (S&amp;P)'!T4619&lt;&gt;"Yes",
        DATEDIF('Loan Tape (S&amp;P)'!K4619, TODAY(), "M")&lt;18),
    1.10,
    1.00)</f>
        <v/>
      </c>
      <c r="O4619">
        <f>IF('Loan Tape (S&amp;P)'!T4619="Yes",
    1.35,
    1.00)</f>
        <v/>
      </c>
      <c r="P4619">
        <f>IF('Loan Tape (S&amp;P)'!S4619="Yes",
    1.15,
    1.00)</f>
        <v/>
      </c>
      <c r="Q4619">
        <f>IF('Loan Tape (S&amp;P)'!V4619="Yes",
    1.20,
    1.00)</f>
        <v/>
      </c>
      <c r="T4619">
        <f>LET(
    payment_method,'Loan Tape (S&amp;P)'!P4619,
    occupancy,'Loan Tape (S&amp;P)'!N4619,
    maturity_date,'Loan Tape (S&amp;P)'!L4619,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20">
      <c r="J4620">
        <f>LET(
    lien,'Loan Tape (S&amp;P)'!Q4620,
    IF(lien="First",1.00,
        IF(lien="Second",1.50,
            1.70)))</f>
        <v/>
      </c>
      <c r="K4620">
        <f>LET(
    purpose,'Loan Tape (S&amp;P)'!R4620,
    IF(purpose="Purchase",1.00,
        IF(purpose="Remortgage",1.00,
            1.20)))</f>
        <v/>
      </c>
      <c r="L4620">
        <f>LET(
    arrears_months,'Loan Tape (S&amp;P)'!AN4620,
    IF(arrears_months=0,1.00,
    IF(arrears_months=1,3.00,
    IF(arrears_months=2,5.00,
    IF(arrears_months=3,8.00,
    IF(arrears_months=4,10.00,
    IF(arrears_months=5,12.00,15.00)))))))</f>
        <v/>
      </c>
      <c r="M4620">
        <f>LET(
    seasoning_years,DATEDIF('Loan Tape (S&amp;P)'!K4620,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20">
        <f>IF(AND('Loan Tape (S&amp;P)'!U4620="Yes",
        'Loan Tape (S&amp;P)'!T4620&lt;&gt;"Yes",
        DATEDIF('Loan Tape (S&amp;P)'!K4620, TODAY(), "M")&lt;18),
    1.10,
    1.00)</f>
        <v/>
      </c>
      <c r="O4620">
        <f>IF('Loan Tape (S&amp;P)'!T4620="Yes",
    1.35,
    1.00)</f>
        <v/>
      </c>
      <c r="P4620">
        <f>IF('Loan Tape (S&amp;P)'!S4620="Yes",
    1.15,
    1.00)</f>
        <v/>
      </c>
      <c r="Q4620">
        <f>IF('Loan Tape (S&amp;P)'!V4620="Yes",
    1.20,
    1.00)</f>
        <v/>
      </c>
      <c r="T4620">
        <f>LET(
    payment_method,'Loan Tape (S&amp;P)'!P4620,
    occupancy,'Loan Tape (S&amp;P)'!N4620,
    maturity_date,'Loan Tape (S&amp;P)'!L4620,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21">
      <c r="J4621">
        <f>LET(
    lien,'Loan Tape (S&amp;P)'!Q4621,
    IF(lien="First",1.00,
        IF(lien="Second",1.50,
            1.70)))</f>
        <v/>
      </c>
      <c r="K4621">
        <f>LET(
    purpose,'Loan Tape (S&amp;P)'!R4621,
    IF(purpose="Purchase",1.00,
        IF(purpose="Remortgage",1.00,
            1.20)))</f>
        <v/>
      </c>
      <c r="L4621">
        <f>LET(
    arrears_months,'Loan Tape (S&amp;P)'!AN4621,
    IF(arrears_months=0,1.00,
    IF(arrears_months=1,3.00,
    IF(arrears_months=2,5.00,
    IF(arrears_months=3,8.00,
    IF(arrears_months=4,10.00,
    IF(arrears_months=5,12.00,15.00)))))))</f>
        <v/>
      </c>
      <c r="M4621">
        <f>LET(
    seasoning_years,DATEDIF('Loan Tape (S&amp;P)'!K4621,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21">
        <f>IF(AND('Loan Tape (S&amp;P)'!U4621="Yes",
        'Loan Tape (S&amp;P)'!T4621&lt;&gt;"Yes",
        DATEDIF('Loan Tape (S&amp;P)'!K4621, TODAY(), "M")&lt;18),
    1.10,
    1.00)</f>
        <v/>
      </c>
      <c r="O4621">
        <f>IF('Loan Tape (S&amp;P)'!T4621="Yes",
    1.35,
    1.00)</f>
        <v/>
      </c>
      <c r="P4621">
        <f>IF('Loan Tape (S&amp;P)'!S4621="Yes",
    1.15,
    1.00)</f>
        <v/>
      </c>
      <c r="Q4621">
        <f>IF('Loan Tape (S&amp;P)'!V4621="Yes",
    1.20,
    1.00)</f>
        <v/>
      </c>
      <c r="T4621">
        <f>LET(
    payment_method,'Loan Tape (S&amp;P)'!P4621,
    occupancy,'Loan Tape (S&amp;P)'!N4621,
    maturity_date,'Loan Tape (S&amp;P)'!L4621,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22">
      <c r="J4622">
        <f>LET(
    lien,'Loan Tape (S&amp;P)'!Q4622,
    IF(lien="First",1.00,
        IF(lien="Second",1.50,
            1.70)))</f>
        <v/>
      </c>
      <c r="K4622">
        <f>LET(
    purpose,'Loan Tape (S&amp;P)'!R4622,
    IF(purpose="Purchase",1.00,
        IF(purpose="Remortgage",1.00,
            1.20)))</f>
        <v/>
      </c>
      <c r="L4622">
        <f>LET(
    arrears_months,'Loan Tape (S&amp;P)'!AN4622,
    IF(arrears_months=0,1.00,
    IF(arrears_months=1,3.00,
    IF(arrears_months=2,5.00,
    IF(arrears_months=3,8.00,
    IF(arrears_months=4,10.00,
    IF(arrears_months=5,12.00,15.00)))))))</f>
        <v/>
      </c>
      <c r="M4622">
        <f>LET(
    seasoning_years,DATEDIF('Loan Tape (S&amp;P)'!K4622,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22">
        <f>IF(AND('Loan Tape (S&amp;P)'!U4622="Yes",
        'Loan Tape (S&amp;P)'!T4622&lt;&gt;"Yes",
        DATEDIF('Loan Tape (S&amp;P)'!K4622, TODAY(), "M")&lt;18),
    1.10,
    1.00)</f>
        <v/>
      </c>
      <c r="O4622">
        <f>IF('Loan Tape (S&amp;P)'!T4622="Yes",
    1.35,
    1.00)</f>
        <v/>
      </c>
      <c r="P4622">
        <f>IF('Loan Tape (S&amp;P)'!S4622="Yes",
    1.15,
    1.00)</f>
        <v/>
      </c>
      <c r="Q4622">
        <f>IF('Loan Tape (S&amp;P)'!V4622="Yes",
    1.20,
    1.00)</f>
        <v/>
      </c>
      <c r="T4622">
        <f>LET(
    payment_method,'Loan Tape (S&amp;P)'!P4622,
    occupancy,'Loan Tape (S&amp;P)'!N4622,
    maturity_date,'Loan Tape (S&amp;P)'!L4622,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23">
      <c r="J4623">
        <f>LET(
    lien,'Loan Tape (S&amp;P)'!Q4623,
    IF(lien="First",1.00,
        IF(lien="Second",1.50,
            1.70)))</f>
        <v/>
      </c>
      <c r="K4623">
        <f>LET(
    purpose,'Loan Tape (S&amp;P)'!R4623,
    IF(purpose="Purchase",1.00,
        IF(purpose="Remortgage",1.00,
            1.20)))</f>
        <v/>
      </c>
      <c r="L4623">
        <f>LET(
    arrears_months,'Loan Tape (S&amp;P)'!AN4623,
    IF(arrears_months=0,1.00,
    IF(arrears_months=1,3.00,
    IF(arrears_months=2,5.00,
    IF(arrears_months=3,8.00,
    IF(arrears_months=4,10.00,
    IF(arrears_months=5,12.00,15.00)))))))</f>
        <v/>
      </c>
      <c r="M4623">
        <f>LET(
    seasoning_years,DATEDIF('Loan Tape (S&amp;P)'!K4623,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23">
        <f>IF(AND('Loan Tape (S&amp;P)'!U4623="Yes",
        'Loan Tape (S&amp;P)'!T4623&lt;&gt;"Yes",
        DATEDIF('Loan Tape (S&amp;P)'!K4623, TODAY(), "M")&lt;18),
    1.10,
    1.00)</f>
        <v/>
      </c>
      <c r="O4623">
        <f>IF('Loan Tape (S&amp;P)'!T4623="Yes",
    1.35,
    1.00)</f>
        <v/>
      </c>
      <c r="P4623">
        <f>IF('Loan Tape (S&amp;P)'!S4623="Yes",
    1.15,
    1.00)</f>
        <v/>
      </c>
      <c r="Q4623">
        <f>IF('Loan Tape (S&amp;P)'!V4623="Yes",
    1.20,
    1.00)</f>
        <v/>
      </c>
      <c r="T4623">
        <f>LET(
    payment_method,'Loan Tape (S&amp;P)'!P4623,
    occupancy,'Loan Tape (S&amp;P)'!N4623,
    maturity_date,'Loan Tape (S&amp;P)'!L4623,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24">
      <c r="J4624">
        <f>LET(
    lien,'Loan Tape (S&amp;P)'!Q4624,
    IF(lien="First",1.00,
        IF(lien="Second",1.50,
            1.70)))</f>
        <v/>
      </c>
      <c r="K4624">
        <f>LET(
    purpose,'Loan Tape (S&amp;P)'!R4624,
    IF(purpose="Purchase",1.00,
        IF(purpose="Remortgage",1.00,
            1.20)))</f>
        <v/>
      </c>
      <c r="L4624">
        <f>LET(
    arrears_months,'Loan Tape (S&amp;P)'!AN4624,
    IF(arrears_months=0,1.00,
    IF(arrears_months=1,3.00,
    IF(arrears_months=2,5.00,
    IF(arrears_months=3,8.00,
    IF(arrears_months=4,10.00,
    IF(arrears_months=5,12.00,15.00)))))))</f>
        <v/>
      </c>
      <c r="M4624">
        <f>LET(
    seasoning_years,DATEDIF('Loan Tape (S&amp;P)'!K4624,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24">
        <f>IF(AND('Loan Tape (S&amp;P)'!U4624="Yes",
        'Loan Tape (S&amp;P)'!T4624&lt;&gt;"Yes",
        DATEDIF('Loan Tape (S&amp;P)'!K4624, TODAY(), "M")&lt;18),
    1.10,
    1.00)</f>
        <v/>
      </c>
      <c r="O4624">
        <f>IF('Loan Tape (S&amp;P)'!T4624="Yes",
    1.35,
    1.00)</f>
        <v/>
      </c>
      <c r="P4624">
        <f>IF('Loan Tape (S&amp;P)'!S4624="Yes",
    1.15,
    1.00)</f>
        <v/>
      </c>
      <c r="Q4624">
        <f>IF('Loan Tape (S&amp;P)'!V4624="Yes",
    1.20,
    1.00)</f>
        <v/>
      </c>
      <c r="T4624">
        <f>LET(
    payment_method,'Loan Tape (S&amp;P)'!P4624,
    occupancy,'Loan Tape (S&amp;P)'!N4624,
    maturity_date,'Loan Tape (S&amp;P)'!L4624,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25">
      <c r="J4625">
        <f>LET(
    lien,'Loan Tape (S&amp;P)'!Q4625,
    IF(lien="First",1.00,
        IF(lien="Second",1.50,
            1.70)))</f>
        <v/>
      </c>
      <c r="K4625">
        <f>LET(
    purpose,'Loan Tape (S&amp;P)'!R4625,
    IF(purpose="Purchase",1.00,
        IF(purpose="Remortgage",1.00,
            1.20)))</f>
        <v/>
      </c>
      <c r="L4625">
        <f>LET(
    arrears_months,'Loan Tape (S&amp;P)'!AN4625,
    IF(arrears_months=0,1.00,
    IF(arrears_months=1,3.00,
    IF(arrears_months=2,5.00,
    IF(arrears_months=3,8.00,
    IF(arrears_months=4,10.00,
    IF(arrears_months=5,12.00,15.00)))))))</f>
        <v/>
      </c>
      <c r="M4625">
        <f>LET(
    seasoning_years,DATEDIF('Loan Tape (S&amp;P)'!K4625,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25">
        <f>IF(AND('Loan Tape (S&amp;P)'!U4625="Yes",
        'Loan Tape (S&amp;P)'!T4625&lt;&gt;"Yes",
        DATEDIF('Loan Tape (S&amp;P)'!K4625, TODAY(), "M")&lt;18),
    1.10,
    1.00)</f>
        <v/>
      </c>
      <c r="O4625">
        <f>IF('Loan Tape (S&amp;P)'!T4625="Yes",
    1.35,
    1.00)</f>
        <v/>
      </c>
      <c r="P4625">
        <f>IF('Loan Tape (S&amp;P)'!S4625="Yes",
    1.15,
    1.00)</f>
        <v/>
      </c>
      <c r="Q4625">
        <f>IF('Loan Tape (S&amp;P)'!V4625="Yes",
    1.20,
    1.00)</f>
        <v/>
      </c>
      <c r="T4625">
        <f>LET(
    payment_method,'Loan Tape (S&amp;P)'!P4625,
    occupancy,'Loan Tape (S&amp;P)'!N4625,
    maturity_date,'Loan Tape (S&amp;P)'!L4625,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26">
      <c r="J4626">
        <f>LET(
    lien,'Loan Tape (S&amp;P)'!Q4626,
    IF(lien="First",1.00,
        IF(lien="Second",1.50,
            1.70)))</f>
        <v/>
      </c>
      <c r="K4626">
        <f>LET(
    purpose,'Loan Tape (S&amp;P)'!R4626,
    IF(purpose="Purchase",1.00,
        IF(purpose="Remortgage",1.00,
            1.20)))</f>
        <v/>
      </c>
      <c r="L4626">
        <f>LET(
    arrears_months,'Loan Tape (S&amp;P)'!AN4626,
    IF(arrears_months=0,1.00,
    IF(arrears_months=1,3.00,
    IF(arrears_months=2,5.00,
    IF(arrears_months=3,8.00,
    IF(arrears_months=4,10.00,
    IF(arrears_months=5,12.00,15.00)))))))</f>
        <v/>
      </c>
      <c r="M4626">
        <f>LET(
    seasoning_years,DATEDIF('Loan Tape (S&amp;P)'!K4626,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26">
        <f>IF(AND('Loan Tape (S&amp;P)'!U4626="Yes",
        'Loan Tape (S&amp;P)'!T4626&lt;&gt;"Yes",
        DATEDIF('Loan Tape (S&amp;P)'!K4626, TODAY(), "M")&lt;18),
    1.10,
    1.00)</f>
        <v/>
      </c>
      <c r="O4626">
        <f>IF('Loan Tape (S&amp;P)'!T4626="Yes",
    1.35,
    1.00)</f>
        <v/>
      </c>
      <c r="P4626">
        <f>IF('Loan Tape (S&amp;P)'!S4626="Yes",
    1.15,
    1.00)</f>
        <v/>
      </c>
      <c r="Q4626">
        <f>IF('Loan Tape (S&amp;P)'!V4626="Yes",
    1.20,
    1.00)</f>
        <v/>
      </c>
      <c r="T4626">
        <f>LET(
    payment_method,'Loan Tape (S&amp;P)'!P4626,
    occupancy,'Loan Tape (S&amp;P)'!N4626,
    maturity_date,'Loan Tape (S&amp;P)'!L4626,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27">
      <c r="J4627">
        <f>LET(
    lien,'Loan Tape (S&amp;P)'!Q4627,
    IF(lien="First",1.00,
        IF(lien="Second",1.50,
            1.70)))</f>
        <v/>
      </c>
      <c r="K4627">
        <f>LET(
    purpose,'Loan Tape (S&amp;P)'!R4627,
    IF(purpose="Purchase",1.00,
        IF(purpose="Remortgage",1.00,
            1.20)))</f>
        <v/>
      </c>
      <c r="L4627">
        <f>LET(
    arrears_months,'Loan Tape (S&amp;P)'!AN4627,
    IF(arrears_months=0,1.00,
    IF(arrears_months=1,3.00,
    IF(arrears_months=2,5.00,
    IF(arrears_months=3,8.00,
    IF(arrears_months=4,10.00,
    IF(arrears_months=5,12.00,15.00)))))))</f>
        <v/>
      </c>
      <c r="M4627">
        <f>LET(
    seasoning_years,DATEDIF('Loan Tape (S&amp;P)'!K4627,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27">
        <f>IF(AND('Loan Tape (S&amp;P)'!U4627="Yes",
        'Loan Tape (S&amp;P)'!T4627&lt;&gt;"Yes",
        DATEDIF('Loan Tape (S&amp;P)'!K4627, TODAY(), "M")&lt;18),
    1.10,
    1.00)</f>
        <v/>
      </c>
      <c r="O4627">
        <f>IF('Loan Tape (S&amp;P)'!T4627="Yes",
    1.35,
    1.00)</f>
        <v/>
      </c>
      <c r="P4627">
        <f>IF('Loan Tape (S&amp;P)'!S4627="Yes",
    1.15,
    1.00)</f>
        <v/>
      </c>
      <c r="Q4627">
        <f>IF('Loan Tape (S&amp;P)'!V4627="Yes",
    1.20,
    1.00)</f>
        <v/>
      </c>
      <c r="T4627">
        <f>LET(
    payment_method,'Loan Tape (S&amp;P)'!P4627,
    occupancy,'Loan Tape (S&amp;P)'!N4627,
    maturity_date,'Loan Tape (S&amp;P)'!L4627,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28">
      <c r="J4628">
        <f>LET(
    lien,'Loan Tape (S&amp;P)'!Q4628,
    IF(lien="First",1.00,
        IF(lien="Second",1.50,
            1.70)))</f>
        <v/>
      </c>
      <c r="K4628">
        <f>LET(
    purpose,'Loan Tape (S&amp;P)'!R4628,
    IF(purpose="Purchase",1.00,
        IF(purpose="Remortgage",1.00,
            1.20)))</f>
        <v/>
      </c>
      <c r="L4628">
        <f>LET(
    arrears_months,'Loan Tape (S&amp;P)'!AN4628,
    IF(arrears_months=0,1.00,
    IF(arrears_months=1,3.00,
    IF(arrears_months=2,5.00,
    IF(arrears_months=3,8.00,
    IF(arrears_months=4,10.00,
    IF(arrears_months=5,12.00,15.00)))))))</f>
        <v/>
      </c>
      <c r="M4628">
        <f>LET(
    seasoning_years,DATEDIF('Loan Tape (S&amp;P)'!K4628,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28">
        <f>IF(AND('Loan Tape (S&amp;P)'!U4628="Yes",
        'Loan Tape (S&amp;P)'!T4628&lt;&gt;"Yes",
        DATEDIF('Loan Tape (S&amp;P)'!K4628, TODAY(), "M")&lt;18),
    1.10,
    1.00)</f>
        <v/>
      </c>
      <c r="O4628">
        <f>IF('Loan Tape (S&amp;P)'!T4628="Yes",
    1.35,
    1.00)</f>
        <v/>
      </c>
      <c r="P4628">
        <f>IF('Loan Tape (S&amp;P)'!S4628="Yes",
    1.15,
    1.00)</f>
        <v/>
      </c>
      <c r="Q4628">
        <f>IF('Loan Tape (S&amp;P)'!V4628="Yes",
    1.20,
    1.00)</f>
        <v/>
      </c>
      <c r="T4628">
        <f>LET(
    payment_method,'Loan Tape (S&amp;P)'!P4628,
    occupancy,'Loan Tape (S&amp;P)'!N4628,
    maturity_date,'Loan Tape (S&amp;P)'!L4628,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29">
      <c r="J4629">
        <f>LET(
    lien,'Loan Tape (S&amp;P)'!Q4629,
    IF(lien="First",1.00,
        IF(lien="Second",1.50,
            1.70)))</f>
        <v/>
      </c>
      <c r="K4629">
        <f>LET(
    purpose,'Loan Tape (S&amp;P)'!R4629,
    IF(purpose="Purchase",1.00,
        IF(purpose="Remortgage",1.00,
            1.20)))</f>
        <v/>
      </c>
      <c r="L4629">
        <f>LET(
    arrears_months,'Loan Tape (S&amp;P)'!AN4629,
    IF(arrears_months=0,1.00,
    IF(arrears_months=1,3.00,
    IF(arrears_months=2,5.00,
    IF(arrears_months=3,8.00,
    IF(arrears_months=4,10.00,
    IF(arrears_months=5,12.00,15.00)))))))</f>
        <v/>
      </c>
      <c r="M4629">
        <f>LET(
    seasoning_years,DATEDIF('Loan Tape (S&amp;P)'!K4629,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29">
        <f>IF(AND('Loan Tape (S&amp;P)'!U4629="Yes",
        'Loan Tape (S&amp;P)'!T4629&lt;&gt;"Yes",
        DATEDIF('Loan Tape (S&amp;P)'!K4629, TODAY(), "M")&lt;18),
    1.10,
    1.00)</f>
        <v/>
      </c>
      <c r="O4629">
        <f>IF('Loan Tape (S&amp;P)'!T4629="Yes",
    1.35,
    1.00)</f>
        <v/>
      </c>
      <c r="P4629">
        <f>IF('Loan Tape (S&amp;P)'!S4629="Yes",
    1.15,
    1.00)</f>
        <v/>
      </c>
      <c r="Q4629">
        <f>IF('Loan Tape (S&amp;P)'!V4629="Yes",
    1.20,
    1.00)</f>
        <v/>
      </c>
      <c r="T4629">
        <f>LET(
    payment_method,'Loan Tape (S&amp;P)'!P4629,
    occupancy,'Loan Tape (S&amp;P)'!N4629,
    maturity_date,'Loan Tape (S&amp;P)'!L4629,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30">
      <c r="J4630">
        <f>LET(
    lien,'Loan Tape (S&amp;P)'!Q4630,
    IF(lien="First",1.00,
        IF(lien="Second",1.50,
            1.70)))</f>
        <v/>
      </c>
      <c r="K4630">
        <f>LET(
    purpose,'Loan Tape (S&amp;P)'!R4630,
    IF(purpose="Purchase",1.00,
        IF(purpose="Remortgage",1.00,
            1.20)))</f>
        <v/>
      </c>
      <c r="L4630">
        <f>LET(
    arrears_months,'Loan Tape (S&amp;P)'!AN4630,
    IF(arrears_months=0,1.00,
    IF(arrears_months=1,3.00,
    IF(arrears_months=2,5.00,
    IF(arrears_months=3,8.00,
    IF(arrears_months=4,10.00,
    IF(arrears_months=5,12.00,15.00)))))))</f>
        <v/>
      </c>
      <c r="M4630">
        <f>LET(
    seasoning_years,DATEDIF('Loan Tape (S&amp;P)'!K4630,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30">
        <f>IF(AND('Loan Tape (S&amp;P)'!U4630="Yes",
        'Loan Tape (S&amp;P)'!T4630&lt;&gt;"Yes",
        DATEDIF('Loan Tape (S&amp;P)'!K4630, TODAY(), "M")&lt;18),
    1.10,
    1.00)</f>
        <v/>
      </c>
      <c r="O4630">
        <f>IF('Loan Tape (S&amp;P)'!T4630="Yes",
    1.35,
    1.00)</f>
        <v/>
      </c>
      <c r="P4630">
        <f>IF('Loan Tape (S&amp;P)'!S4630="Yes",
    1.15,
    1.00)</f>
        <v/>
      </c>
      <c r="Q4630">
        <f>IF('Loan Tape (S&amp;P)'!V4630="Yes",
    1.20,
    1.00)</f>
        <v/>
      </c>
      <c r="T4630">
        <f>LET(
    payment_method,'Loan Tape (S&amp;P)'!P4630,
    occupancy,'Loan Tape (S&amp;P)'!N4630,
    maturity_date,'Loan Tape (S&amp;P)'!L4630,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31">
      <c r="J4631">
        <f>LET(
    lien,'Loan Tape (S&amp;P)'!Q4631,
    IF(lien="First",1.00,
        IF(lien="Second",1.50,
            1.70)))</f>
        <v/>
      </c>
      <c r="K4631">
        <f>LET(
    purpose,'Loan Tape (S&amp;P)'!R4631,
    IF(purpose="Purchase",1.00,
        IF(purpose="Remortgage",1.00,
            1.20)))</f>
        <v/>
      </c>
      <c r="L4631">
        <f>LET(
    arrears_months,'Loan Tape (S&amp;P)'!AN4631,
    IF(arrears_months=0,1.00,
    IF(arrears_months=1,3.00,
    IF(arrears_months=2,5.00,
    IF(arrears_months=3,8.00,
    IF(arrears_months=4,10.00,
    IF(arrears_months=5,12.00,15.00)))))))</f>
        <v/>
      </c>
      <c r="M4631">
        <f>LET(
    seasoning_years,DATEDIF('Loan Tape (S&amp;P)'!K4631,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31">
        <f>IF(AND('Loan Tape (S&amp;P)'!U4631="Yes",
        'Loan Tape (S&amp;P)'!T4631&lt;&gt;"Yes",
        DATEDIF('Loan Tape (S&amp;P)'!K4631, TODAY(), "M")&lt;18),
    1.10,
    1.00)</f>
        <v/>
      </c>
      <c r="O4631">
        <f>IF('Loan Tape (S&amp;P)'!T4631="Yes",
    1.35,
    1.00)</f>
        <v/>
      </c>
      <c r="P4631">
        <f>IF('Loan Tape (S&amp;P)'!S4631="Yes",
    1.15,
    1.00)</f>
        <v/>
      </c>
      <c r="Q4631">
        <f>IF('Loan Tape (S&amp;P)'!V4631="Yes",
    1.20,
    1.00)</f>
        <v/>
      </c>
      <c r="T4631">
        <f>LET(
    payment_method,'Loan Tape (S&amp;P)'!P4631,
    occupancy,'Loan Tape (S&amp;P)'!N4631,
    maturity_date,'Loan Tape (S&amp;P)'!L4631,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32">
      <c r="J4632">
        <f>LET(
    lien,'Loan Tape (S&amp;P)'!Q4632,
    IF(lien="First",1.00,
        IF(lien="Second",1.50,
            1.70)))</f>
        <v/>
      </c>
      <c r="K4632">
        <f>LET(
    purpose,'Loan Tape (S&amp;P)'!R4632,
    IF(purpose="Purchase",1.00,
        IF(purpose="Remortgage",1.00,
            1.20)))</f>
        <v/>
      </c>
      <c r="L4632">
        <f>LET(
    arrears_months,'Loan Tape (S&amp;P)'!AN4632,
    IF(arrears_months=0,1.00,
    IF(arrears_months=1,3.00,
    IF(arrears_months=2,5.00,
    IF(arrears_months=3,8.00,
    IF(arrears_months=4,10.00,
    IF(arrears_months=5,12.00,15.00)))))))</f>
        <v/>
      </c>
      <c r="M4632">
        <f>LET(
    seasoning_years,DATEDIF('Loan Tape (S&amp;P)'!K4632,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32">
        <f>IF(AND('Loan Tape (S&amp;P)'!U4632="Yes",
        'Loan Tape (S&amp;P)'!T4632&lt;&gt;"Yes",
        DATEDIF('Loan Tape (S&amp;P)'!K4632, TODAY(), "M")&lt;18),
    1.10,
    1.00)</f>
        <v/>
      </c>
      <c r="O4632">
        <f>IF('Loan Tape (S&amp;P)'!T4632="Yes",
    1.35,
    1.00)</f>
        <v/>
      </c>
      <c r="P4632">
        <f>IF('Loan Tape (S&amp;P)'!S4632="Yes",
    1.15,
    1.00)</f>
        <v/>
      </c>
      <c r="Q4632">
        <f>IF('Loan Tape (S&amp;P)'!V4632="Yes",
    1.20,
    1.00)</f>
        <v/>
      </c>
      <c r="T4632">
        <f>LET(
    payment_method,'Loan Tape (S&amp;P)'!P4632,
    occupancy,'Loan Tape (S&amp;P)'!N4632,
    maturity_date,'Loan Tape (S&amp;P)'!L4632,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33">
      <c r="J4633">
        <f>LET(
    lien,'Loan Tape (S&amp;P)'!Q4633,
    IF(lien="First",1.00,
        IF(lien="Second",1.50,
            1.70)))</f>
        <v/>
      </c>
      <c r="K4633">
        <f>LET(
    purpose,'Loan Tape (S&amp;P)'!R4633,
    IF(purpose="Purchase",1.00,
        IF(purpose="Remortgage",1.00,
            1.20)))</f>
        <v/>
      </c>
      <c r="L4633">
        <f>LET(
    arrears_months,'Loan Tape (S&amp;P)'!AN4633,
    IF(arrears_months=0,1.00,
    IF(arrears_months=1,3.00,
    IF(arrears_months=2,5.00,
    IF(arrears_months=3,8.00,
    IF(arrears_months=4,10.00,
    IF(arrears_months=5,12.00,15.00)))))))</f>
        <v/>
      </c>
      <c r="M4633">
        <f>LET(
    seasoning_years,DATEDIF('Loan Tape (S&amp;P)'!K4633,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33">
        <f>IF(AND('Loan Tape (S&amp;P)'!U4633="Yes",
        'Loan Tape (S&amp;P)'!T4633&lt;&gt;"Yes",
        DATEDIF('Loan Tape (S&amp;P)'!K4633, TODAY(), "M")&lt;18),
    1.10,
    1.00)</f>
        <v/>
      </c>
      <c r="O4633">
        <f>IF('Loan Tape (S&amp;P)'!T4633="Yes",
    1.35,
    1.00)</f>
        <v/>
      </c>
      <c r="P4633">
        <f>IF('Loan Tape (S&amp;P)'!S4633="Yes",
    1.15,
    1.00)</f>
        <v/>
      </c>
      <c r="Q4633">
        <f>IF('Loan Tape (S&amp;P)'!V4633="Yes",
    1.20,
    1.00)</f>
        <v/>
      </c>
      <c r="T4633">
        <f>LET(
    payment_method,'Loan Tape (S&amp;P)'!P4633,
    occupancy,'Loan Tape (S&amp;P)'!N4633,
    maturity_date,'Loan Tape (S&amp;P)'!L4633,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34">
      <c r="J4634">
        <f>LET(
    lien,'Loan Tape (S&amp;P)'!Q4634,
    IF(lien="First",1.00,
        IF(lien="Second",1.50,
            1.70)))</f>
        <v/>
      </c>
      <c r="K4634">
        <f>LET(
    purpose,'Loan Tape (S&amp;P)'!R4634,
    IF(purpose="Purchase",1.00,
        IF(purpose="Remortgage",1.00,
            1.20)))</f>
        <v/>
      </c>
      <c r="L4634">
        <f>LET(
    arrears_months,'Loan Tape (S&amp;P)'!AN4634,
    IF(arrears_months=0,1.00,
    IF(arrears_months=1,3.00,
    IF(arrears_months=2,5.00,
    IF(arrears_months=3,8.00,
    IF(arrears_months=4,10.00,
    IF(arrears_months=5,12.00,15.00)))))))</f>
        <v/>
      </c>
      <c r="M4634">
        <f>LET(
    seasoning_years,DATEDIF('Loan Tape (S&amp;P)'!K4634,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34">
        <f>IF(AND('Loan Tape (S&amp;P)'!U4634="Yes",
        'Loan Tape (S&amp;P)'!T4634&lt;&gt;"Yes",
        DATEDIF('Loan Tape (S&amp;P)'!K4634, TODAY(), "M")&lt;18),
    1.10,
    1.00)</f>
        <v/>
      </c>
      <c r="O4634">
        <f>IF('Loan Tape (S&amp;P)'!T4634="Yes",
    1.35,
    1.00)</f>
        <v/>
      </c>
      <c r="P4634">
        <f>IF('Loan Tape (S&amp;P)'!S4634="Yes",
    1.15,
    1.00)</f>
        <v/>
      </c>
      <c r="Q4634">
        <f>IF('Loan Tape (S&amp;P)'!V4634="Yes",
    1.20,
    1.00)</f>
        <v/>
      </c>
      <c r="T4634">
        <f>LET(
    payment_method,'Loan Tape (S&amp;P)'!P4634,
    occupancy,'Loan Tape (S&amp;P)'!N4634,
    maturity_date,'Loan Tape (S&amp;P)'!L4634,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35">
      <c r="J4635">
        <f>LET(
    lien,'Loan Tape (S&amp;P)'!Q4635,
    IF(lien="First",1.00,
        IF(lien="Second",1.50,
            1.70)))</f>
        <v/>
      </c>
      <c r="K4635">
        <f>LET(
    purpose,'Loan Tape (S&amp;P)'!R4635,
    IF(purpose="Purchase",1.00,
        IF(purpose="Remortgage",1.00,
            1.20)))</f>
        <v/>
      </c>
      <c r="L4635">
        <f>LET(
    arrears_months,'Loan Tape (S&amp;P)'!AN4635,
    IF(arrears_months=0,1.00,
    IF(arrears_months=1,3.00,
    IF(arrears_months=2,5.00,
    IF(arrears_months=3,8.00,
    IF(arrears_months=4,10.00,
    IF(arrears_months=5,12.00,15.00)))))))</f>
        <v/>
      </c>
      <c r="M4635">
        <f>LET(
    seasoning_years,DATEDIF('Loan Tape (S&amp;P)'!K4635,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35">
        <f>IF(AND('Loan Tape (S&amp;P)'!U4635="Yes",
        'Loan Tape (S&amp;P)'!T4635&lt;&gt;"Yes",
        DATEDIF('Loan Tape (S&amp;P)'!K4635, TODAY(), "M")&lt;18),
    1.10,
    1.00)</f>
        <v/>
      </c>
      <c r="O4635">
        <f>IF('Loan Tape (S&amp;P)'!T4635="Yes",
    1.35,
    1.00)</f>
        <v/>
      </c>
      <c r="P4635">
        <f>IF('Loan Tape (S&amp;P)'!S4635="Yes",
    1.15,
    1.00)</f>
        <v/>
      </c>
      <c r="Q4635">
        <f>IF('Loan Tape (S&amp;P)'!V4635="Yes",
    1.20,
    1.00)</f>
        <v/>
      </c>
      <c r="T4635">
        <f>LET(
    payment_method,'Loan Tape (S&amp;P)'!P4635,
    occupancy,'Loan Tape (S&amp;P)'!N4635,
    maturity_date,'Loan Tape (S&amp;P)'!L4635,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36">
      <c r="J4636">
        <f>LET(
    lien,'Loan Tape (S&amp;P)'!Q4636,
    IF(lien="First",1.00,
        IF(lien="Second",1.50,
            1.70)))</f>
        <v/>
      </c>
      <c r="K4636">
        <f>LET(
    purpose,'Loan Tape (S&amp;P)'!R4636,
    IF(purpose="Purchase",1.00,
        IF(purpose="Remortgage",1.00,
            1.20)))</f>
        <v/>
      </c>
      <c r="L4636">
        <f>LET(
    arrears_months,'Loan Tape (S&amp;P)'!AN4636,
    IF(arrears_months=0,1.00,
    IF(arrears_months=1,3.00,
    IF(arrears_months=2,5.00,
    IF(arrears_months=3,8.00,
    IF(arrears_months=4,10.00,
    IF(arrears_months=5,12.00,15.00)))))))</f>
        <v/>
      </c>
      <c r="M4636">
        <f>LET(
    seasoning_years,DATEDIF('Loan Tape (S&amp;P)'!K4636,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36">
        <f>IF(AND('Loan Tape (S&amp;P)'!U4636="Yes",
        'Loan Tape (S&amp;P)'!T4636&lt;&gt;"Yes",
        DATEDIF('Loan Tape (S&amp;P)'!K4636, TODAY(), "M")&lt;18),
    1.10,
    1.00)</f>
        <v/>
      </c>
      <c r="O4636">
        <f>IF('Loan Tape (S&amp;P)'!T4636="Yes",
    1.35,
    1.00)</f>
        <v/>
      </c>
      <c r="P4636">
        <f>IF('Loan Tape (S&amp;P)'!S4636="Yes",
    1.15,
    1.00)</f>
        <v/>
      </c>
      <c r="Q4636">
        <f>IF('Loan Tape (S&amp;P)'!V4636="Yes",
    1.20,
    1.00)</f>
        <v/>
      </c>
      <c r="T4636">
        <f>LET(
    payment_method,'Loan Tape (S&amp;P)'!P4636,
    occupancy,'Loan Tape (S&amp;P)'!N4636,
    maturity_date,'Loan Tape (S&amp;P)'!L4636,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37">
      <c r="J4637">
        <f>LET(
    lien,'Loan Tape (S&amp;P)'!Q4637,
    IF(lien="First",1.00,
        IF(lien="Second",1.50,
            1.70)))</f>
        <v/>
      </c>
      <c r="K4637">
        <f>LET(
    purpose,'Loan Tape (S&amp;P)'!R4637,
    IF(purpose="Purchase",1.00,
        IF(purpose="Remortgage",1.00,
            1.20)))</f>
        <v/>
      </c>
      <c r="L4637">
        <f>LET(
    arrears_months,'Loan Tape (S&amp;P)'!AN4637,
    IF(arrears_months=0,1.00,
    IF(arrears_months=1,3.00,
    IF(arrears_months=2,5.00,
    IF(arrears_months=3,8.00,
    IF(arrears_months=4,10.00,
    IF(arrears_months=5,12.00,15.00)))))))</f>
        <v/>
      </c>
      <c r="M4637">
        <f>LET(
    seasoning_years,DATEDIF('Loan Tape (S&amp;P)'!K4637,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37">
        <f>IF(AND('Loan Tape (S&amp;P)'!U4637="Yes",
        'Loan Tape (S&amp;P)'!T4637&lt;&gt;"Yes",
        DATEDIF('Loan Tape (S&amp;P)'!K4637, TODAY(), "M")&lt;18),
    1.10,
    1.00)</f>
        <v/>
      </c>
      <c r="O4637">
        <f>IF('Loan Tape (S&amp;P)'!T4637="Yes",
    1.35,
    1.00)</f>
        <v/>
      </c>
      <c r="P4637">
        <f>IF('Loan Tape (S&amp;P)'!S4637="Yes",
    1.15,
    1.00)</f>
        <v/>
      </c>
      <c r="Q4637">
        <f>IF('Loan Tape (S&amp;P)'!V4637="Yes",
    1.20,
    1.00)</f>
        <v/>
      </c>
      <c r="T4637">
        <f>LET(
    payment_method,'Loan Tape (S&amp;P)'!P4637,
    occupancy,'Loan Tape (S&amp;P)'!N4637,
    maturity_date,'Loan Tape (S&amp;P)'!L4637,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38">
      <c r="J4638">
        <f>LET(
    lien,'Loan Tape (S&amp;P)'!Q4638,
    IF(lien="First",1.00,
        IF(lien="Second",1.50,
            1.70)))</f>
        <v/>
      </c>
      <c r="K4638">
        <f>LET(
    purpose,'Loan Tape (S&amp;P)'!R4638,
    IF(purpose="Purchase",1.00,
        IF(purpose="Remortgage",1.00,
            1.20)))</f>
        <v/>
      </c>
      <c r="L4638">
        <f>LET(
    arrears_months,'Loan Tape (S&amp;P)'!AN4638,
    IF(arrears_months=0,1.00,
    IF(arrears_months=1,3.00,
    IF(arrears_months=2,5.00,
    IF(arrears_months=3,8.00,
    IF(arrears_months=4,10.00,
    IF(arrears_months=5,12.00,15.00)))))))</f>
        <v/>
      </c>
      <c r="M4638">
        <f>LET(
    seasoning_years,DATEDIF('Loan Tape (S&amp;P)'!K4638,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38">
        <f>IF(AND('Loan Tape (S&amp;P)'!U4638="Yes",
        'Loan Tape (S&amp;P)'!T4638&lt;&gt;"Yes",
        DATEDIF('Loan Tape (S&amp;P)'!K4638, TODAY(), "M")&lt;18),
    1.10,
    1.00)</f>
        <v/>
      </c>
      <c r="O4638">
        <f>IF('Loan Tape (S&amp;P)'!T4638="Yes",
    1.35,
    1.00)</f>
        <v/>
      </c>
      <c r="P4638">
        <f>IF('Loan Tape (S&amp;P)'!S4638="Yes",
    1.15,
    1.00)</f>
        <v/>
      </c>
      <c r="Q4638">
        <f>IF('Loan Tape (S&amp;P)'!V4638="Yes",
    1.20,
    1.00)</f>
        <v/>
      </c>
      <c r="T4638">
        <f>LET(
    payment_method,'Loan Tape (S&amp;P)'!P4638,
    occupancy,'Loan Tape (S&amp;P)'!N4638,
    maturity_date,'Loan Tape (S&amp;P)'!L4638,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39">
      <c r="J4639">
        <f>LET(
    lien,'Loan Tape (S&amp;P)'!Q4639,
    IF(lien="First",1.00,
        IF(lien="Second",1.50,
            1.70)))</f>
        <v/>
      </c>
      <c r="K4639">
        <f>LET(
    purpose,'Loan Tape (S&amp;P)'!R4639,
    IF(purpose="Purchase",1.00,
        IF(purpose="Remortgage",1.00,
            1.20)))</f>
        <v/>
      </c>
      <c r="L4639">
        <f>LET(
    arrears_months,'Loan Tape (S&amp;P)'!AN4639,
    IF(arrears_months=0,1.00,
    IF(arrears_months=1,3.00,
    IF(arrears_months=2,5.00,
    IF(arrears_months=3,8.00,
    IF(arrears_months=4,10.00,
    IF(arrears_months=5,12.00,15.00)))))))</f>
        <v/>
      </c>
      <c r="M4639">
        <f>LET(
    seasoning_years,DATEDIF('Loan Tape (S&amp;P)'!K4639,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39">
        <f>IF(AND('Loan Tape (S&amp;P)'!U4639="Yes",
        'Loan Tape (S&amp;P)'!T4639&lt;&gt;"Yes",
        DATEDIF('Loan Tape (S&amp;P)'!K4639, TODAY(), "M")&lt;18),
    1.10,
    1.00)</f>
        <v/>
      </c>
      <c r="O4639">
        <f>IF('Loan Tape (S&amp;P)'!T4639="Yes",
    1.35,
    1.00)</f>
        <v/>
      </c>
      <c r="P4639">
        <f>IF('Loan Tape (S&amp;P)'!S4639="Yes",
    1.15,
    1.00)</f>
        <v/>
      </c>
      <c r="Q4639">
        <f>IF('Loan Tape (S&amp;P)'!V4639="Yes",
    1.20,
    1.00)</f>
        <v/>
      </c>
      <c r="T4639">
        <f>LET(
    payment_method,'Loan Tape (S&amp;P)'!P4639,
    occupancy,'Loan Tape (S&amp;P)'!N4639,
    maturity_date,'Loan Tape (S&amp;P)'!L4639,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40">
      <c r="J4640">
        <f>LET(
    lien,'Loan Tape (S&amp;P)'!Q4640,
    IF(lien="First",1.00,
        IF(lien="Second",1.50,
            1.70)))</f>
        <v/>
      </c>
      <c r="K4640">
        <f>LET(
    purpose,'Loan Tape (S&amp;P)'!R4640,
    IF(purpose="Purchase",1.00,
        IF(purpose="Remortgage",1.00,
            1.20)))</f>
        <v/>
      </c>
      <c r="L4640">
        <f>LET(
    arrears_months,'Loan Tape (S&amp;P)'!AN4640,
    IF(arrears_months=0,1.00,
    IF(arrears_months=1,3.00,
    IF(arrears_months=2,5.00,
    IF(arrears_months=3,8.00,
    IF(arrears_months=4,10.00,
    IF(arrears_months=5,12.00,15.00)))))))</f>
        <v/>
      </c>
      <c r="M4640">
        <f>LET(
    seasoning_years,DATEDIF('Loan Tape (S&amp;P)'!K4640,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40">
        <f>IF(AND('Loan Tape (S&amp;P)'!U4640="Yes",
        'Loan Tape (S&amp;P)'!T4640&lt;&gt;"Yes",
        DATEDIF('Loan Tape (S&amp;P)'!K4640, TODAY(), "M")&lt;18),
    1.10,
    1.00)</f>
        <v/>
      </c>
      <c r="O4640">
        <f>IF('Loan Tape (S&amp;P)'!T4640="Yes",
    1.35,
    1.00)</f>
        <v/>
      </c>
      <c r="P4640">
        <f>IF('Loan Tape (S&amp;P)'!S4640="Yes",
    1.15,
    1.00)</f>
        <v/>
      </c>
      <c r="Q4640">
        <f>IF('Loan Tape (S&amp;P)'!V4640="Yes",
    1.20,
    1.00)</f>
        <v/>
      </c>
      <c r="T4640">
        <f>LET(
    payment_method,'Loan Tape (S&amp;P)'!P4640,
    occupancy,'Loan Tape (S&amp;P)'!N4640,
    maturity_date,'Loan Tape (S&amp;P)'!L4640,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41">
      <c r="J4641">
        <f>LET(
    lien,'Loan Tape (S&amp;P)'!Q4641,
    IF(lien="First",1.00,
        IF(lien="Second",1.50,
            1.70)))</f>
        <v/>
      </c>
      <c r="K4641">
        <f>LET(
    purpose,'Loan Tape (S&amp;P)'!R4641,
    IF(purpose="Purchase",1.00,
        IF(purpose="Remortgage",1.00,
            1.20)))</f>
        <v/>
      </c>
      <c r="L4641">
        <f>LET(
    arrears_months,'Loan Tape (S&amp;P)'!AN4641,
    IF(arrears_months=0,1.00,
    IF(arrears_months=1,3.00,
    IF(arrears_months=2,5.00,
    IF(arrears_months=3,8.00,
    IF(arrears_months=4,10.00,
    IF(arrears_months=5,12.00,15.00)))))))</f>
        <v/>
      </c>
      <c r="M4641">
        <f>LET(
    seasoning_years,DATEDIF('Loan Tape (S&amp;P)'!K4641,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41">
        <f>IF(AND('Loan Tape (S&amp;P)'!U4641="Yes",
        'Loan Tape (S&amp;P)'!T4641&lt;&gt;"Yes",
        DATEDIF('Loan Tape (S&amp;P)'!K4641, TODAY(), "M")&lt;18),
    1.10,
    1.00)</f>
        <v/>
      </c>
      <c r="O4641">
        <f>IF('Loan Tape (S&amp;P)'!T4641="Yes",
    1.35,
    1.00)</f>
        <v/>
      </c>
      <c r="P4641">
        <f>IF('Loan Tape (S&amp;P)'!S4641="Yes",
    1.15,
    1.00)</f>
        <v/>
      </c>
      <c r="Q4641">
        <f>IF('Loan Tape (S&amp;P)'!V4641="Yes",
    1.20,
    1.00)</f>
        <v/>
      </c>
      <c r="T4641">
        <f>LET(
    payment_method,'Loan Tape (S&amp;P)'!P4641,
    occupancy,'Loan Tape (S&amp;P)'!N4641,
    maturity_date,'Loan Tape (S&amp;P)'!L4641,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42">
      <c r="J4642">
        <f>LET(
    lien,'Loan Tape (S&amp;P)'!Q4642,
    IF(lien="First",1.00,
        IF(lien="Second",1.50,
            1.70)))</f>
        <v/>
      </c>
      <c r="K4642">
        <f>LET(
    purpose,'Loan Tape (S&amp;P)'!R4642,
    IF(purpose="Purchase",1.00,
        IF(purpose="Remortgage",1.00,
            1.20)))</f>
        <v/>
      </c>
      <c r="L4642">
        <f>LET(
    arrears_months,'Loan Tape (S&amp;P)'!AN4642,
    IF(arrears_months=0,1.00,
    IF(arrears_months=1,3.00,
    IF(arrears_months=2,5.00,
    IF(arrears_months=3,8.00,
    IF(arrears_months=4,10.00,
    IF(arrears_months=5,12.00,15.00)))))))</f>
        <v/>
      </c>
      <c r="M4642">
        <f>LET(
    seasoning_years,DATEDIF('Loan Tape (S&amp;P)'!K4642,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42">
        <f>IF(AND('Loan Tape (S&amp;P)'!U4642="Yes",
        'Loan Tape (S&amp;P)'!T4642&lt;&gt;"Yes",
        DATEDIF('Loan Tape (S&amp;P)'!K4642, TODAY(), "M")&lt;18),
    1.10,
    1.00)</f>
        <v/>
      </c>
      <c r="O4642">
        <f>IF('Loan Tape (S&amp;P)'!T4642="Yes",
    1.35,
    1.00)</f>
        <v/>
      </c>
      <c r="P4642">
        <f>IF('Loan Tape (S&amp;P)'!S4642="Yes",
    1.15,
    1.00)</f>
        <v/>
      </c>
      <c r="Q4642">
        <f>IF('Loan Tape (S&amp;P)'!V4642="Yes",
    1.20,
    1.00)</f>
        <v/>
      </c>
      <c r="T4642">
        <f>LET(
    payment_method,'Loan Tape (S&amp;P)'!P4642,
    occupancy,'Loan Tape (S&amp;P)'!N4642,
    maturity_date,'Loan Tape (S&amp;P)'!L4642,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43">
      <c r="J4643">
        <f>LET(
    lien,'Loan Tape (S&amp;P)'!Q4643,
    IF(lien="First",1.00,
        IF(lien="Second",1.50,
            1.70)))</f>
        <v/>
      </c>
      <c r="K4643">
        <f>LET(
    purpose,'Loan Tape (S&amp;P)'!R4643,
    IF(purpose="Purchase",1.00,
        IF(purpose="Remortgage",1.00,
            1.20)))</f>
        <v/>
      </c>
      <c r="L4643">
        <f>LET(
    arrears_months,'Loan Tape (S&amp;P)'!AN4643,
    IF(arrears_months=0,1.00,
    IF(arrears_months=1,3.00,
    IF(arrears_months=2,5.00,
    IF(arrears_months=3,8.00,
    IF(arrears_months=4,10.00,
    IF(arrears_months=5,12.00,15.00)))))))</f>
        <v/>
      </c>
      <c r="M4643">
        <f>LET(
    seasoning_years,DATEDIF('Loan Tape (S&amp;P)'!K4643,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43">
        <f>IF(AND('Loan Tape (S&amp;P)'!U4643="Yes",
        'Loan Tape (S&amp;P)'!T4643&lt;&gt;"Yes",
        DATEDIF('Loan Tape (S&amp;P)'!K4643, TODAY(), "M")&lt;18),
    1.10,
    1.00)</f>
        <v/>
      </c>
      <c r="O4643">
        <f>IF('Loan Tape (S&amp;P)'!T4643="Yes",
    1.35,
    1.00)</f>
        <v/>
      </c>
      <c r="P4643">
        <f>IF('Loan Tape (S&amp;P)'!S4643="Yes",
    1.15,
    1.00)</f>
        <v/>
      </c>
      <c r="Q4643">
        <f>IF('Loan Tape (S&amp;P)'!V4643="Yes",
    1.20,
    1.00)</f>
        <v/>
      </c>
      <c r="T4643">
        <f>LET(
    payment_method,'Loan Tape (S&amp;P)'!P4643,
    occupancy,'Loan Tape (S&amp;P)'!N4643,
    maturity_date,'Loan Tape (S&amp;P)'!L4643,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44">
      <c r="J4644">
        <f>LET(
    lien,'Loan Tape (S&amp;P)'!Q4644,
    IF(lien="First",1.00,
        IF(lien="Second",1.50,
            1.70)))</f>
        <v/>
      </c>
      <c r="K4644">
        <f>LET(
    purpose,'Loan Tape (S&amp;P)'!R4644,
    IF(purpose="Purchase",1.00,
        IF(purpose="Remortgage",1.00,
            1.20)))</f>
        <v/>
      </c>
      <c r="L4644">
        <f>LET(
    arrears_months,'Loan Tape (S&amp;P)'!AN4644,
    IF(arrears_months=0,1.00,
    IF(arrears_months=1,3.00,
    IF(arrears_months=2,5.00,
    IF(arrears_months=3,8.00,
    IF(arrears_months=4,10.00,
    IF(arrears_months=5,12.00,15.00)))))))</f>
        <v/>
      </c>
      <c r="M4644">
        <f>LET(
    seasoning_years,DATEDIF('Loan Tape (S&amp;P)'!K4644,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44">
        <f>IF(AND('Loan Tape (S&amp;P)'!U4644="Yes",
        'Loan Tape (S&amp;P)'!T4644&lt;&gt;"Yes",
        DATEDIF('Loan Tape (S&amp;P)'!K4644, TODAY(), "M")&lt;18),
    1.10,
    1.00)</f>
        <v/>
      </c>
      <c r="O4644">
        <f>IF('Loan Tape (S&amp;P)'!T4644="Yes",
    1.35,
    1.00)</f>
        <v/>
      </c>
      <c r="P4644">
        <f>IF('Loan Tape (S&amp;P)'!S4644="Yes",
    1.15,
    1.00)</f>
        <v/>
      </c>
      <c r="Q4644">
        <f>IF('Loan Tape (S&amp;P)'!V4644="Yes",
    1.20,
    1.00)</f>
        <v/>
      </c>
      <c r="T4644">
        <f>LET(
    payment_method,'Loan Tape (S&amp;P)'!P4644,
    occupancy,'Loan Tape (S&amp;P)'!N4644,
    maturity_date,'Loan Tape (S&amp;P)'!L4644,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45">
      <c r="J4645">
        <f>LET(
    lien,'Loan Tape (S&amp;P)'!Q4645,
    IF(lien="First",1.00,
        IF(lien="Second",1.50,
            1.70)))</f>
        <v/>
      </c>
      <c r="K4645">
        <f>LET(
    purpose,'Loan Tape (S&amp;P)'!R4645,
    IF(purpose="Purchase",1.00,
        IF(purpose="Remortgage",1.00,
            1.20)))</f>
        <v/>
      </c>
      <c r="L4645">
        <f>LET(
    arrears_months,'Loan Tape (S&amp;P)'!AN4645,
    IF(arrears_months=0,1.00,
    IF(arrears_months=1,3.00,
    IF(arrears_months=2,5.00,
    IF(arrears_months=3,8.00,
    IF(arrears_months=4,10.00,
    IF(arrears_months=5,12.00,15.00)))))))</f>
        <v/>
      </c>
      <c r="M4645">
        <f>LET(
    seasoning_years,DATEDIF('Loan Tape (S&amp;P)'!K4645,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45">
        <f>IF(AND('Loan Tape (S&amp;P)'!U4645="Yes",
        'Loan Tape (S&amp;P)'!T4645&lt;&gt;"Yes",
        DATEDIF('Loan Tape (S&amp;P)'!K4645, TODAY(), "M")&lt;18),
    1.10,
    1.00)</f>
        <v/>
      </c>
      <c r="O4645">
        <f>IF('Loan Tape (S&amp;P)'!T4645="Yes",
    1.35,
    1.00)</f>
        <v/>
      </c>
      <c r="P4645">
        <f>IF('Loan Tape (S&amp;P)'!S4645="Yes",
    1.15,
    1.00)</f>
        <v/>
      </c>
      <c r="Q4645">
        <f>IF('Loan Tape (S&amp;P)'!V4645="Yes",
    1.20,
    1.00)</f>
        <v/>
      </c>
      <c r="T4645">
        <f>LET(
    payment_method,'Loan Tape (S&amp;P)'!P4645,
    occupancy,'Loan Tape (S&amp;P)'!N4645,
    maturity_date,'Loan Tape (S&amp;P)'!L4645,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46">
      <c r="J4646">
        <f>LET(
    lien,'Loan Tape (S&amp;P)'!Q4646,
    IF(lien="First",1.00,
        IF(lien="Second",1.50,
            1.70)))</f>
        <v/>
      </c>
      <c r="K4646">
        <f>LET(
    purpose,'Loan Tape (S&amp;P)'!R4646,
    IF(purpose="Purchase",1.00,
        IF(purpose="Remortgage",1.00,
            1.20)))</f>
        <v/>
      </c>
      <c r="L4646">
        <f>LET(
    arrears_months,'Loan Tape (S&amp;P)'!AN4646,
    IF(arrears_months=0,1.00,
    IF(arrears_months=1,3.00,
    IF(arrears_months=2,5.00,
    IF(arrears_months=3,8.00,
    IF(arrears_months=4,10.00,
    IF(arrears_months=5,12.00,15.00)))))))</f>
        <v/>
      </c>
      <c r="M4646">
        <f>LET(
    seasoning_years,DATEDIF('Loan Tape (S&amp;P)'!K4646,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46">
        <f>IF(AND('Loan Tape (S&amp;P)'!U4646="Yes",
        'Loan Tape (S&amp;P)'!T4646&lt;&gt;"Yes",
        DATEDIF('Loan Tape (S&amp;P)'!K4646, TODAY(), "M")&lt;18),
    1.10,
    1.00)</f>
        <v/>
      </c>
      <c r="O4646">
        <f>IF('Loan Tape (S&amp;P)'!T4646="Yes",
    1.35,
    1.00)</f>
        <v/>
      </c>
      <c r="P4646">
        <f>IF('Loan Tape (S&amp;P)'!S4646="Yes",
    1.15,
    1.00)</f>
        <v/>
      </c>
      <c r="Q4646">
        <f>IF('Loan Tape (S&amp;P)'!V4646="Yes",
    1.20,
    1.00)</f>
        <v/>
      </c>
      <c r="T4646">
        <f>LET(
    payment_method,'Loan Tape (S&amp;P)'!P4646,
    occupancy,'Loan Tape (S&amp;P)'!N4646,
    maturity_date,'Loan Tape (S&amp;P)'!L4646,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47">
      <c r="J4647">
        <f>LET(
    lien,'Loan Tape (S&amp;P)'!Q4647,
    IF(lien="First",1.00,
        IF(lien="Second",1.50,
            1.70)))</f>
        <v/>
      </c>
      <c r="K4647">
        <f>LET(
    purpose,'Loan Tape (S&amp;P)'!R4647,
    IF(purpose="Purchase",1.00,
        IF(purpose="Remortgage",1.00,
            1.20)))</f>
        <v/>
      </c>
      <c r="L4647">
        <f>LET(
    arrears_months,'Loan Tape (S&amp;P)'!AN4647,
    IF(arrears_months=0,1.00,
    IF(arrears_months=1,3.00,
    IF(arrears_months=2,5.00,
    IF(arrears_months=3,8.00,
    IF(arrears_months=4,10.00,
    IF(arrears_months=5,12.00,15.00)))))))</f>
        <v/>
      </c>
      <c r="M4647">
        <f>LET(
    seasoning_years,DATEDIF('Loan Tape (S&amp;P)'!K4647,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47">
        <f>IF(AND('Loan Tape (S&amp;P)'!U4647="Yes",
        'Loan Tape (S&amp;P)'!T4647&lt;&gt;"Yes",
        DATEDIF('Loan Tape (S&amp;P)'!K4647, TODAY(), "M")&lt;18),
    1.10,
    1.00)</f>
        <v/>
      </c>
      <c r="O4647">
        <f>IF('Loan Tape (S&amp;P)'!T4647="Yes",
    1.35,
    1.00)</f>
        <v/>
      </c>
      <c r="P4647">
        <f>IF('Loan Tape (S&amp;P)'!S4647="Yes",
    1.15,
    1.00)</f>
        <v/>
      </c>
      <c r="Q4647">
        <f>IF('Loan Tape (S&amp;P)'!V4647="Yes",
    1.20,
    1.00)</f>
        <v/>
      </c>
      <c r="T4647">
        <f>LET(
    payment_method,'Loan Tape (S&amp;P)'!P4647,
    occupancy,'Loan Tape (S&amp;P)'!N4647,
    maturity_date,'Loan Tape (S&amp;P)'!L4647,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48">
      <c r="J4648">
        <f>LET(
    lien,'Loan Tape (S&amp;P)'!Q4648,
    IF(lien="First",1.00,
        IF(lien="Second",1.50,
            1.70)))</f>
        <v/>
      </c>
      <c r="K4648">
        <f>LET(
    purpose,'Loan Tape (S&amp;P)'!R4648,
    IF(purpose="Purchase",1.00,
        IF(purpose="Remortgage",1.00,
            1.20)))</f>
        <v/>
      </c>
      <c r="L4648">
        <f>LET(
    arrears_months,'Loan Tape (S&amp;P)'!AN4648,
    IF(arrears_months=0,1.00,
    IF(arrears_months=1,3.00,
    IF(arrears_months=2,5.00,
    IF(arrears_months=3,8.00,
    IF(arrears_months=4,10.00,
    IF(arrears_months=5,12.00,15.00)))))))</f>
        <v/>
      </c>
      <c r="M4648">
        <f>LET(
    seasoning_years,DATEDIF('Loan Tape (S&amp;P)'!K4648,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48">
        <f>IF(AND('Loan Tape (S&amp;P)'!U4648="Yes",
        'Loan Tape (S&amp;P)'!T4648&lt;&gt;"Yes",
        DATEDIF('Loan Tape (S&amp;P)'!K4648, TODAY(), "M")&lt;18),
    1.10,
    1.00)</f>
        <v/>
      </c>
      <c r="O4648">
        <f>IF('Loan Tape (S&amp;P)'!T4648="Yes",
    1.35,
    1.00)</f>
        <v/>
      </c>
      <c r="P4648">
        <f>IF('Loan Tape (S&amp;P)'!S4648="Yes",
    1.15,
    1.00)</f>
        <v/>
      </c>
      <c r="Q4648">
        <f>IF('Loan Tape (S&amp;P)'!V4648="Yes",
    1.20,
    1.00)</f>
        <v/>
      </c>
      <c r="T4648">
        <f>LET(
    payment_method,'Loan Tape (S&amp;P)'!P4648,
    occupancy,'Loan Tape (S&amp;P)'!N4648,
    maturity_date,'Loan Tape (S&amp;P)'!L4648,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49">
      <c r="J4649">
        <f>LET(
    lien,'Loan Tape (S&amp;P)'!Q4649,
    IF(lien="First",1.00,
        IF(lien="Second",1.50,
            1.70)))</f>
        <v/>
      </c>
      <c r="K4649">
        <f>LET(
    purpose,'Loan Tape (S&amp;P)'!R4649,
    IF(purpose="Purchase",1.00,
        IF(purpose="Remortgage",1.00,
            1.20)))</f>
        <v/>
      </c>
      <c r="L4649">
        <f>LET(
    arrears_months,'Loan Tape (S&amp;P)'!AN4649,
    IF(arrears_months=0,1.00,
    IF(arrears_months=1,3.00,
    IF(arrears_months=2,5.00,
    IF(arrears_months=3,8.00,
    IF(arrears_months=4,10.00,
    IF(arrears_months=5,12.00,15.00)))))))</f>
        <v/>
      </c>
      <c r="M4649">
        <f>LET(
    seasoning_years,DATEDIF('Loan Tape (S&amp;P)'!K4649,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49">
        <f>IF(AND('Loan Tape (S&amp;P)'!U4649="Yes",
        'Loan Tape (S&amp;P)'!T4649&lt;&gt;"Yes",
        DATEDIF('Loan Tape (S&amp;P)'!K4649, TODAY(), "M")&lt;18),
    1.10,
    1.00)</f>
        <v/>
      </c>
      <c r="O4649">
        <f>IF('Loan Tape (S&amp;P)'!T4649="Yes",
    1.35,
    1.00)</f>
        <v/>
      </c>
      <c r="P4649">
        <f>IF('Loan Tape (S&amp;P)'!S4649="Yes",
    1.15,
    1.00)</f>
        <v/>
      </c>
      <c r="Q4649">
        <f>IF('Loan Tape (S&amp;P)'!V4649="Yes",
    1.20,
    1.00)</f>
        <v/>
      </c>
      <c r="T4649">
        <f>LET(
    payment_method,'Loan Tape (S&amp;P)'!P4649,
    occupancy,'Loan Tape (S&amp;P)'!N4649,
    maturity_date,'Loan Tape (S&amp;P)'!L4649,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50">
      <c r="J4650">
        <f>LET(
    lien,'Loan Tape (S&amp;P)'!Q4650,
    IF(lien="First",1.00,
        IF(lien="Second",1.50,
            1.70)))</f>
        <v/>
      </c>
      <c r="K4650">
        <f>LET(
    purpose,'Loan Tape (S&amp;P)'!R4650,
    IF(purpose="Purchase",1.00,
        IF(purpose="Remortgage",1.00,
            1.20)))</f>
        <v/>
      </c>
      <c r="L4650">
        <f>LET(
    arrears_months,'Loan Tape (S&amp;P)'!AN4650,
    IF(arrears_months=0,1.00,
    IF(arrears_months=1,3.00,
    IF(arrears_months=2,5.00,
    IF(arrears_months=3,8.00,
    IF(arrears_months=4,10.00,
    IF(arrears_months=5,12.00,15.00)))))))</f>
        <v/>
      </c>
      <c r="M4650">
        <f>LET(
    seasoning_years,DATEDIF('Loan Tape (S&amp;P)'!K4650,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50">
        <f>IF(AND('Loan Tape (S&amp;P)'!U4650="Yes",
        'Loan Tape (S&amp;P)'!T4650&lt;&gt;"Yes",
        DATEDIF('Loan Tape (S&amp;P)'!K4650, TODAY(), "M")&lt;18),
    1.10,
    1.00)</f>
        <v/>
      </c>
      <c r="O4650">
        <f>IF('Loan Tape (S&amp;P)'!T4650="Yes",
    1.35,
    1.00)</f>
        <v/>
      </c>
      <c r="P4650">
        <f>IF('Loan Tape (S&amp;P)'!S4650="Yes",
    1.15,
    1.00)</f>
        <v/>
      </c>
      <c r="Q4650">
        <f>IF('Loan Tape (S&amp;P)'!V4650="Yes",
    1.20,
    1.00)</f>
        <v/>
      </c>
      <c r="T4650">
        <f>LET(
    payment_method,'Loan Tape (S&amp;P)'!P4650,
    occupancy,'Loan Tape (S&amp;P)'!N4650,
    maturity_date,'Loan Tape (S&amp;P)'!L4650,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51">
      <c r="J4651">
        <f>LET(
    lien,'Loan Tape (S&amp;P)'!Q4651,
    IF(lien="First",1.00,
        IF(lien="Second",1.50,
            1.70)))</f>
        <v/>
      </c>
      <c r="K4651">
        <f>LET(
    purpose,'Loan Tape (S&amp;P)'!R4651,
    IF(purpose="Purchase",1.00,
        IF(purpose="Remortgage",1.00,
            1.20)))</f>
        <v/>
      </c>
      <c r="L4651">
        <f>LET(
    arrears_months,'Loan Tape (S&amp;P)'!AN4651,
    IF(arrears_months=0,1.00,
    IF(arrears_months=1,3.00,
    IF(arrears_months=2,5.00,
    IF(arrears_months=3,8.00,
    IF(arrears_months=4,10.00,
    IF(arrears_months=5,12.00,15.00)))))))</f>
        <v/>
      </c>
      <c r="M4651">
        <f>LET(
    seasoning_years,DATEDIF('Loan Tape (S&amp;P)'!K4651,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51">
        <f>IF(AND('Loan Tape (S&amp;P)'!U4651="Yes",
        'Loan Tape (S&amp;P)'!T4651&lt;&gt;"Yes",
        DATEDIF('Loan Tape (S&amp;P)'!K4651, TODAY(), "M")&lt;18),
    1.10,
    1.00)</f>
        <v/>
      </c>
      <c r="O4651">
        <f>IF('Loan Tape (S&amp;P)'!T4651="Yes",
    1.35,
    1.00)</f>
        <v/>
      </c>
      <c r="P4651">
        <f>IF('Loan Tape (S&amp;P)'!S4651="Yes",
    1.15,
    1.00)</f>
        <v/>
      </c>
      <c r="Q4651">
        <f>IF('Loan Tape (S&amp;P)'!V4651="Yes",
    1.20,
    1.00)</f>
        <v/>
      </c>
      <c r="T4651">
        <f>LET(
    payment_method,'Loan Tape (S&amp;P)'!P4651,
    occupancy,'Loan Tape (S&amp;P)'!N4651,
    maturity_date,'Loan Tape (S&amp;P)'!L4651,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52">
      <c r="J4652">
        <f>LET(
    lien,'Loan Tape (S&amp;P)'!Q4652,
    IF(lien="First",1.00,
        IF(lien="Second",1.50,
            1.70)))</f>
        <v/>
      </c>
      <c r="K4652">
        <f>LET(
    purpose,'Loan Tape (S&amp;P)'!R4652,
    IF(purpose="Purchase",1.00,
        IF(purpose="Remortgage",1.00,
            1.20)))</f>
        <v/>
      </c>
      <c r="L4652">
        <f>LET(
    arrears_months,'Loan Tape (S&amp;P)'!AN4652,
    IF(arrears_months=0,1.00,
    IF(arrears_months=1,3.00,
    IF(arrears_months=2,5.00,
    IF(arrears_months=3,8.00,
    IF(arrears_months=4,10.00,
    IF(arrears_months=5,12.00,15.00)))))))</f>
        <v/>
      </c>
      <c r="M4652">
        <f>LET(
    seasoning_years,DATEDIF('Loan Tape (S&amp;P)'!K4652,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52">
        <f>IF(AND('Loan Tape (S&amp;P)'!U4652="Yes",
        'Loan Tape (S&amp;P)'!T4652&lt;&gt;"Yes",
        DATEDIF('Loan Tape (S&amp;P)'!K4652, TODAY(), "M")&lt;18),
    1.10,
    1.00)</f>
        <v/>
      </c>
      <c r="O4652">
        <f>IF('Loan Tape (S&amp;P)'!T4652="Yes",
    1.35,
    1.00)</f>
        <v/>
      </c>
      <c r="P4652">
        <f>IF('Loan Tape (S&amp;P)'!S4652="Yes",
    1.15,
    1.00)</f>
        <v/>
      </c>
      <c r="Q4652">
        <f>IF('Loan Tape (S&amp;P)'!V4652="Yes",
    1.20,
    1.00)</f>
        <v/>
      </c>
      <c r="T4652">
        <f>LET(
    payment_method,'Loan Tape (S&amp;P)'!P4652,
    occupancy,'Loan Tape (S&amp;P)'!N4652,
    maturity_date,'Loan Tape (S&amp;P)'!L4652,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53">
      <c r="J4653">
        <f>LET(
    lien,'Loan Tape (S&amp;P)'!Q4653,
    IF(lien="First",1.00,
        IF(lien="Second",1.50,
            1.70)))</f>
        <v/>
      </c>
      <c r="K4653">
        <f>LET(
    purpose,'Loan Tape (S&amp;P)'!R4653,
    IF(purpose="Purchase",1.00,
        IF(purpose="Remortgage",1.00,
            1.20)))</f>
        <v/>
      </c>
      <c r="L4653">
        <f>LET(
    arrears_months,'Loan Tape (S&amp;P)'!AN4653,
    IF(arrears_months=0,1.00,
    IF(arrears_months=1,3.00,
    IF(arrears_months=2,5.00,
    IF(arrears_months=3,8.00,
    IF(arrears_months=4,10.00,
    IF(arrears_months=5,12.00,15.00)))))))</f>
        <v/>
      </c>
      <c r="M4653">
        <f>LET(
    seasoning_years,DATEDIF('Loan Tape (S&amp;P)'!K4653,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53">
        <f>IF(AND('Loan Tape (S&amp;P)'!U4653="Yes",
        'Loan Tape (S&amp;P)'!T4653&lt;&gt;"Yes",
        DATEDIF('Loan Tape (S&amp;P)'!K4653, TODAY(), "M")&lt;18),
    1.10,
    1.00)</f>
        <v/>
      </c>
      <c r="O4653">
        <f>IF('Loan Tape (S&amp;P)'!T4653="Yes",
    1.35,
    1.00)</f>
        <v/>
      </c>
      <c r="P4653">
        <f>IF('Loan Tape (S&amp;P)'!S4653="Yes",
    1.15,
    1.00)</f>
        <v/>
      </c>
      <c r="Q4653">
        <f>IF('Loan Tape (S&amp;P)'!V4653="Yes",
    1.20,
    1.00)</f>
        <v/>
      </c>
      <c r="T4653">
        <f>LET(
    payment_method,'Loan Tape (S&amp;P)'!P4653,
    occupancy,'Loan Tape (S&amp;P)'!N4653,
    maturity_date,'Loan Tape (S&amp;P)'!L4653,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54">
      <c r="J4654">
        <f>LET(
    lien,'Loan Tape (S&amp;P)'!Q4654,
    IF(lien="First",1.00,
        IF(lien="Second",1.50,
            1.70)))</f>
        <v/>
      </c>
      <c r="K4654">
        <f>LET(
    purpose,'Loan Tape (S&amp;P)'!R4654,
    IF(purpose="Purchase",1.00,
        IF(purpose="Remortgage",1.00,
            1.20)))</f>
        <v/>
      </c>
      <c r="L4654">
        <f>LET(
    arrears_months,'Loan Tape (S&amp;P)'!AN4654,
    IF(arrears_months=0,1.00,
    IF(arrears_months=1,3.00,
    IF(arrears_months=2,5.00,
    IF(arrears_months=3,8.00,
    IF(arrears_months=4,10.00,
    IF(arrears_months=5,12.00,15.00)))))))</f>
        <v/>
      </c>
      <c r="M4654">
        <f>LET(
    seasoning_years,DATEDIF('Loan Tape (S&amp;P)'!K4654,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54">
        <f>IF(AND('Loan Tape (S&amp;P)'!U4654="Yes",
        'Loan Tape (S&amp;P)'!T4654&lt;&gt;"Yes",
        DATEDIF('Loan Tape (S&amp;P)'!K4654, TODAY(), "M")&lt;18),
    1.10,
    1.00)</f>
        <v/>
      </c>
      <c r="O4654">
        <f>IF('Loan Tape (S&amp;P)'!T4654="Yes",
    1.35,
    1.00)</f>
        <v/>
      </c>
      <c r="P4654">
        <f>IF('Loan Tape (S&amp;P)'!S4654="Yes",
    1.15,
    1.00)</f>
        <v/>
      </c>
      <c r="Q4654">
        <f>IF('Loan Tape (S&amp;P)'!V4654="Yes",
    1.20,
    1.00)</f>
        <v/>
      </c>
      <c r="T4654">
        <f>LET(
    payment_method,'Loan Tape (S&amp;P)'!P4654,
    occupancy,'Loan Tape (S&amp;P)'!N4654,
    maturity_date,'Loan Tape (S&amp;P)'!L4654,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55">
      <c r="J4655">
        <f>LET(
    lien,'Loan Tape (S&amp;P)'!Q4655,
    IF(lien="First",1.00,
        IF(lien="Second",1.50,
            1.70)))</f>
        <v/>
      </c>
      <c r="K4655">
        <f>LET(
    purpose,'Loan Tape (S&amp;P)'!R4655,
    IF(purpose="Purchase",1.00,
        IF(purpose="Remortgage",1.00,
            1.20)))</f>
        <v/>
      </c>
      <c r="L4655">
        <f>LET(
    arrears_months,'Loan Tape (S&amp;P)'!AN4655,
    IF(arrears_months=0,1.00,
    IF(arrears_months=1,3.00,
    IF(arrears_months=2,5.00,
    IF(arrears_months=3,8.00,
    IF(arrears_months=4,10.00,
    IF(arrears_months=5,12.00,15.00)))))))</f>
        <v/>
      </c>
      <c r="M4655">
        <f>LET(
    seasoning_years,DATEDIF('Loan Tape (S&amp;P)'!K4655,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55">
        <f>IF(AND('Loan Tape (S&amp;P)'!U4655="Yes",
        'Loan Tape (S&amp;P)'!T4655&lt;&gt;"Yes",
        DATEDIF('Loan Tape (S&amp;P)'!K4655, TODAY(), "M")&lt;18),
    1.10,
    1.00)</f>
        <v/>
      </c>
      <c r="O4655">
        <f>IF('Loan Tape (S&amp;P)'!T4655="Yes",
    1.35,
    1.00)</f>
        <v/>
      </c>
      <c r="P4655">
        <f>IF('Loan Tape (S&amp;P)'!S4655="Yes",
    1.15,
    1.00)</f>
        <v/>
      </c>
      <c r="Q4655">
        <f>IF('Loan Tape (S&amp;P)'!V4655="Yes",
    1.20,
    1.00)</f>
        <v/>
      </c>
      <c r="T4655">
        <f>LET(
    payment_method,'Loan Tape (S&amp;P)'!P4655,
    occupancy,'Loan Tape (S&amp;P)'!N4655,
    maturity_date,'Loan Tape (S&amp;P)'!L4655,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56">
      <c r="J4656">
        <f>LET(
    lien,'Loan Tape (S&amp;P)'!Q4656,
    IF(lien="First",1.00,
        IF(lien="Second",1.50,
            1.70)))</f>
        <v/>
      </c>
      <c r="K4656">
        <f>LET(
    purpose,'Loan Tape (S&amp;P)'!R4656,
    IF(purpose="Purchase",1.00,
        IF(purpose="Remortgage",1.00,
            1.20)))</f>
        <v/>
      </c>
      <c r="L4656">
        <f>LET(
    arrears_months,'Loan Tape (S&amp;P)'!AN4656,
    IF(arrears_months=0,1.00,
    IF(arrears_months=1,3.00,
    IF(arrears_months=2,5.00,
    IF(arrears_months=3,8.00,
    IF(arrears_months=4,10.00,
    IF(arrears_months=5,12.00,15.00)))))))</f>
        <v/>
      </c>
      <c r="M4656">
        <f>LET(
    seasoning_years,DATEDIF('Loan Tape (S&amp;P)'!K4656,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56">
        <f>IF(AND('Loan Tape (S&amp;P)'!U4656="Yes",
        'Loan Tape (S&amp;P)'!T4656&lt;&gt;"Yes",
        DATEDIF('Loan Tape (S&amp;P)'!K4656, TODAY(), "M")&lt;18),
    1.10,
    1.00)</f>
        <v/>
      </c>
      <c r="O4656">
        <f>IF('Loan Tape (S&amp;P)'!T4656="Yes",
    1.35,
    1.00)</f>
        <v/>
      </c>
      <c r="P4656">
        <f>IF('Loan Tape (S&amp;P)'!S4656="Yes",
    1.15,
    1.00)</f>
        <v/>
      </c>
      <c r="Q4656">
        <f>IF('Loan Tape (S&amp;P)'!V4656="Yes",
    1.20,
    1.00)</f>
        <v/>
      </c>
      <c r="T4656">
        <f>LET(
    payment_method,'Loan Tape (S&amp;P)'!P4656,
    occupancy,'Loan Tape (S&amp;P)'!N4656,
    maturity_date,'Loan Tape (S&amp;P)'!L4656,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57">
      <c r="J4657">
        <f>LET(
    lien,'Loan Tape (S&amp;P)'!Q4657,
    IF(lien="First",1.00,
        IF(lien="Second",1.50,
            1.70)))</f>
        <v/>
      </c>
      <c r="K4657">
        <f>LET(
    purpose,'Loan Tape (S&amp;P)'!R4657,
    IF(purpose="Purchase",1.00,
        IF(purpose="Remortgage",1.00,
            1.20)))</f>
        <v/>
      </c>
      <c r="L4657">
        <f>LET(
    arrears_months,'Loan Tape (S&amp;P)'!AN4657,
    IF(arrears_months=0,1.00,
    IF(arrears_months=1,3.00,
    IF(arrears_months=2,5.00,
    IF(arrears_months=3,8.00,
    IF(arrears_months=4,10.00,
    IF(arrears_months=5,12.00,15.00)))))))</f>
        <v/>
      </c>
      <c r="M4657">
        <f>LET(
    seasoning_years,DATEDIF('Loan Tape (S&amp;P)'!K4657,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57">
        <f>IF(AND('Loan Tape (S&amp;P)'!U4657="Yes",
        'Loan Tape (S&amp;P)'!T4657&lt;&gt;"Yes",
        DATEDIF('Loan Tape (S&amp;P)'!K4657, TODAY(), "M")&lt;18),
    1.10,
    1.00)</f>
        <v/>
      </c>
      <c r="O4657">
        <f>IF('Loan Tape (S&amp;P)'!T4657="Yes",
    1.35,
    1.00)</f>
        <v/>
      </c>
      <c r="P4657">
        <f>IF('Loan Tape (S&amp;P)'!S4657="Yes",
    1.15,
    1.00)</f>
        <v/>
      </c>
      <c r="Q4657">
        <f>IF('Loan Tape (S&amp;P)'!V4657="Yes",
    1.20,
    1.00)</f>
        <v/>
      </c>
      <c r="T4657">
        <f>LET(
    payment_method,'Loan Tape (S&amp;P)'!P4657,
    occupancy,'Loan Tape (S&amp;P)'!N4657,
    maturity_date,'Loan Tape (S&amp;P)'!L4657,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58">
      <c r="J4658">
        <f>LET(
    lien,'Loan Tape (S&amp;P)'!Q4658,
    IF(lien="First",1.00,
        IF(lien="Second",1.50,
            1.70)))</f>
        <v/>
      </c>
      <c r="K4658">
        <f>LET(
    purpose,'Loan Tape (S&amp;P)'!R4658,
    IF(purpose="Purchase",1.00,
        IF(purpose="Remortgage",1.00,
            1.20)))</f>
        <v/>
      </c>
      <c r="L4658">
        <f>LET(
    arrears_months,'Loan Tape (S&amp;P)'!AN4658,
    IF(arrears_months=0,1.00,
    IF(arrears_months=1,3.00,
    IF(arrears_months=2,5.00,
    IF(arrears_months=3,8.00,
    IF(arrears_months=4,10.00,
    IF(arrears_months=5,12.00,15.00)))))))</f>
        <v/>
      </c>
      <c r="M4658">
        <f>LET(
    seasoning_years,DATEDIF('Loan Tape (S&amp;P)'!K4658,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58">
        <f>IF(AND('Loan Tape (S&amp;P)'!U4658="Yes",
        'Loan Tape (S&amp;P)'!T4658&lt;&gt;"Yes",
        DATEDIF('Loan Tape (S&amp;P)'!K4658, TODAY(), "M")&lt;18),
    1.10,
    1.00)</f>
        <v/>
      </c>
      <c r="O4658">
        <f>IF('Loan Tape (S&amp;P)'!T4658="Yes",
    1.35,
    1.00)</f>
        <v/>
      </c>
      <c r="P4658">
        <f>IF('Loan Tape (S&amp;P)'!S4658="Yes",
    1.15,
    1.00)</f>
        <v/>
      </c>
      <c r="Q4658">
        <f>IF('Loan Tape (S&amp;P)'!V4658="Yes",
    1.20,
    1.00)</f>
        <v/>
      </c>
      <c r="T4658">
        <f>LET(
    payment_method,'Loan Tape (S&amp;P)'!P4658,
    occupancy,'Loan Tape (S&amp;P)'!N4658,
    maturity_date,'Loan Tape (S&amp;P)'!L4658,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59">
      <c r="J4659">
        <f>LET(
    lien,'Loan Tape (S&amp;P)'!Q4659,
    IF(lien="First",1.00,
        IF(lien="Second",1.50,
            1.70)))</f>
        <v/>
      </c>
      <c r="K4659">
        <f>LET(
    purpose,'Loan Tape (S&amp;P)'!R4659,
    IF(purpose="Purchase",1.00,
        IF(purpose="Remortgage",1.00,
            1.20)))</f>
        <v/>
      </c>
      <c r="L4659">
        <f>LET(
    arrears_months,'Loan Tape (S&amp;P)'!AN4659,
    IF(arrears_months=0,1.00,
    IF(arrears_months=1,3.00,
    IF(arrears_months=2,5.00,
    IF(arrears_months=3,8.00,
    IF(arrears_months=4,10.00,
    IF(arrears_months=5,12.00,15.00)))))))</f>
        <v/>
      </c>
      <c r="M4659">
        <f>LET(
    seasoning_years,DATEDIF('Loan Tape (S&amp;P)'!K4659,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59">
        <f>IF(AND('Loan Tape (S&amp;P)'!U4659="Yes",
        'Loan Tape (S&amp;P)'!T4659&lt;&gt;"Yes",
        DATEDIF('Loan Tape (S&amp;P)'!K4659, TODAY(), "M")&lt;18),
    1.10,
    1.00)</f>
        <v/>
      </c>
      <c r="O4659">
        <f>IF('Loan Tape (S&amp;P)'!T4659="Yes",
    1.35,
    1.00)</f>
        <v/>
      </c>
      <c r="P4659">
        <f>IF('Loan Tape (S&amp;P)'!S4659="Yes",
    1.15,
    1.00)</f>
        <v/>
      </c>
      <c r="Q4659">
        <f>IF('Loan Tape (S&amp;P)'!V4659="Yes",
    1.20,
    1.00)</f>
        <v/>
      </c>
      <c r="T4659">
        <f>LET(
    payment_method,'Loan Tape (S&amp;P)'!P4659,
    occupancy,'Loan Tape (S&amp;P)'!N4659,
    maturity_date,'Loan Tape (S&amp;P)'!L4659,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60">
      <c r="J4660">
        <f>LET(
    lien,'Loan Tape (S&amp;P)'!Q4660,
    IF(lien="First",1.00,
        IF(lien="Second",1.50,
            1.70)))</f>
        <v/>
      </c>
      <c r="K4660">
        <f>LET(
    purpose,'Loan Tape (S&amp;P)'!R4660,
    IF(purpose="Purchase",1.00,
        IF(purpose="Remortgage",1.00,
            1.20)))</f>
        <v/>
      </c>
      <c r="L4660">
        <f>LET(
    arrears_months,'Loan Tape (S&amp;P)'!AN4660,
    IF(arrears_months=0,1.00,
    IF(arrears_months=1,3.00,
    IF(arrears_months=2,5.00,
    IF(arrears_months=3,8.00,
    IF(arrears_months=4,10.00,
    IF(arrears_months=5,12.00,15.00)))))))</f>
        <v/>
      </c>
      <c r="M4660">
        <f>LET(
    seasoning_years,DATEDIF('Loan Tape (S&amp;P)'!K4660,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60">
        <f>IF(AND('Loan Tape (S&amp;P)'!U4660="Yes",
        'Loan Tape (S&amp;P)'!T4660&lt;&gt;"Yes",
        DATEDIF('Loan Tape (S&amp;P)'!K4660, TODAY(), "M")&lt;18),
    1.10,
    1.00)</f>
        <v/>
      </c>
      <c r="O4660">
        <f>IF('Loan Tape (S&amp;P)'!T4660="Yes",
    1.35,
    1.00)</f>
        <v/>
      </c>
      <c r="P4660">
        <f>IF('Loan Tape (S&amp;P)'!S4660="Yes",
    1.15,
    1.00)</f>
        <v/>
      </c>
      <c r="Q4660">
        <f>IF('Loan Tape (S&amp;P)'!V4660="Yes",
    1.20,
    1.00)</f>
        <v/>
      </c>
      <c r="T4660">
        <f>LET(
    payment_method,'Loan Tape (S&amp;P)'!P4660,
    occupancy,'Loan Tape (S&amp;P)'!N4660,
    maturity_date,'Loan Tape (S&amp;P)'!L4660,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61">
      <c r="J4661">
        <f>LET(
    lien,'Loan Tape (S&amp;P)'!Q4661,
    IF(lien="First",1.00,
        IF(lien="Second",1.50,
            1.70)))</f>
        <v/>
      </c>
      <c r="K4661">
        <f>LET(
    purpose,'Loan Tape (S&amp;P)'!R4661,
    IF(purpose="Purchase",1.00,
        IF(purpose="Remortgage",1.00,
            1.20)))</f>
        <v/>
      </c>
      <c r="L4661">
        <f>LET(
    arrears_months,'Loan Tape (S&amp;P)'!AN4661,
    IF(arrears_months=0,1.00,
    IF(arrears_months=1,3.00,
    IF(arrears_months=2,5.00,
    IF(arrears_months=3,8.00,
    IF(arrears_months=4,10.00,
    IF(arrears_months=5,12.00,15.00)))))))</f>
        <v/>
      </c>
      <c r="M4661">
        <f>LET(
    seasoning_years,DATEDIF('Loan Tape (S&amp;P)'!K4661,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61">
        <f>IF(AND('Loan Tape (S&amp;P)'!U4661="Yes",
        'Loan Tape (S&amp;P)'!T4661&lt;&gt;"Yes",
        DATEDIF('Loan Tape (S&amp;P)'!K4661, TODAY(), "M")&lt;18),
    1.10,
    1.00)</f>
        <v/>
      </c>
      <c r="O4661">
        <f>IF('Loan Tape (S&amp;P)'!T4661="Yes",
    1.35,
    1.00)</f>
        <v/>
      </c>
      <c r="P4661">
        <f>IF('Loan Tape (S&amp;P)'!S4661="Yes",
    1.15,
    1.00)</f>
        <v/>
      </c>
      <c r="Q4661">
        <f>IF('Loan Tape (S&amp;P)'!V4661="Yes",
    1.20,
    1.00)</f>
        <v/>
      </c>
      <c r="T4661">
        <f>LET(
    payment_method,'Loan Tape (S&amp;P)'!P4661,
    occupancy,'Loan Tape (S&amp;P)'!N4661,
    maturity_date,'Loan Tape (S&amp;P)'!L4661,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62">
      <c r="J4662">
        <f>LET(
    lien,'Loan Tape (S&amp;P)'!Q4662,
    IF(lien="First",1.00,
        IF(lien="Second",1.50,
            1.70)))</f>
        <v/>
      </c>
      <c r="K4662">
        <f>LET(
    purpose,'Loan Tape (S&amp;P)'!R4662,
    IF(purpose="Purchase",1.00,
        IF(purpose="Remortgage",1.00,
            1.20)))</f>
        <v/>
      </c>
      <c r="L4662">
        <f>LET(
    arrears_months,'Loan Tape (S&amp;P)'!AN4662,
    IF(arrears_months=0,1.00,
    IF(arrears_months=1,3.00,
    IF(arrears_months=2,5.00,
    IF(arrears_months=3,8.00,
    IF(arrears_months=4,10.00,
    IF(arrears_months=5,12.00,15.00)))))))</f>
        <v/>
      </c>
      <c r="M4662">
        <f>LET(
    seasoning_years,DATEDIF('Loan Tape (S&amp;P)'!K4662,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62">
        <f>IF(AND('Loan Tape (S&amp;P)'!U4662="Yes",
        'Loan Tape (S&amp;P)'!T4662&lt;&gt;"Yes",
        DATEDIF('Loan Tape (S&amp;P)'!K4662, TODAY(), "M")&lt;18),
    1.10,
    1.00)</f>
        <v/>
      </c>
      <c r="O4662">
        <f>IF('Loan Tape (S&amp;P)'!T4662="Yes",
    1.35,
    1.00)</f>
        <v/>
      </c>
      <c r="P4662">
        <f>IF('Loan Tape (S&amp;P)'!S4662="Yes",
    1.15,
    1.00)</f>
        <v/>
      </c>
      <c r="Q4662">
        <f>IF('Loan Tape (S&amp;P)'!V4662="Yes",
    1.20,
    1.00)</f>
        <v/>
      </c>
      <c r="T4662">
        <f>LET(
    payment_method,'Loan Tape (S&amp;P)'!P4662,
    occupancy,'Loan Tape (S&amp;P)'!N4662,
    maturity_date,'Loan Tape (S&amp;P)'!L4662,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63">
      <c r="J4663">
        <f>LET(
    lien,'Loan Tape (S&amp;P)'!Q4663,
    IF(lien="First",1.00,
        IF(lien="Second",1.50,
            1.70)))</f>
        <v/>
      </c>
      <c r="K4663">
        <f>LET(
    purpose,'Loan Tape (S&amp;P)'!R4663,
    IF(purpose="Purchase",1.00,
        IF(purpose="Remortgage",1.00,
            1.20)))</f>
        <v/>
      </c>
      <c r="L4663">
        <f>LET(
    arrears_months,'Loan Tape (S&amp;P)'!AN4663,
    IF(arrears_months=0,1.00,
    IF(arrears_months=1,3.00,
    IF(arrears_months=2,5.00,
    IF(arrears_months=3,8.00,
    IF(arrears_months=4,10.00,
    IF(arrears_months=5,12.00,15.00)))))))</f>
        <v/>
      </c>
      <c r="M4663">
        <f>LET(
    seasoning_years,DATEDIF('Loan Tape (S&amp;P)'!K4663,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63">
        <f>IF(AND('Loan Tape (S&amp;P)'!U4663="Yes",
        'Loan Tape (S&amp;P)'!T4663&lt;&gt;"Yes",
        DATEDIF('Loan Tape (S&amp;P)'!K4663, TODAY(), "M")&lt;18),
    1.10,
    1.00)</f>
        <v/>
      </c>
      <c r="O4663">
        <f>IF('Loan Tape (S&amp;P)'!T4663="Yes",
    1.35,
    1.00)</f>
        <v/>
      </c>
      <c r="P4663">
        <f>IF('Loan Tape (S&amp;P)'!S4663="Yes",
    1.15,
    1.00)</f>
        <v/>
      </c>
      <c r="Q4663">
        <f>IF('Loan Tape (S&amp;P)'!V4663="Yes",
    1.20,
    1.00)</f>
        <v/>
      </c>
      <c r="T4663">
        <f>LET(
    payment_method,'Loan Tape (S&amp;P)'!P4663,
    occupancy,'Loan Tape (S&amp;P)'!N4663,
    maturity_date,'Loan Tape (S&amp;P)'!L4663,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64">
      <c r="J4664">
        <f>LET(
    lien,'Loan Tape (S&amp;P)'!Q4664,
    IF(lien="First",1.00,
        IF(lien="Second",1.50,
            1.70)))</f>
        <v/>
      </c>
      <c r="K4664">
        <f>LET(
    purpose,'Loan Tape (S&amp;P)'!R4664,
    IF(purpose="Purchase",1.00,
        IF(purpose="Remortgage",1.00,
            1.20)))</f>
        <v/>
      </c>
      <c r="L4664">
        <f>LET(
    arrears_months,'Loan Tape (S&amp;P)'!AN4664,
    IF(arrears_months=0,1.00,
    IF(arrears_months=1,3.00,
    IF(arrears_months=2,5.00,
    IF(arrears_months=3,8.00,
    IF(arrears_months=4,10.00,
    IF(arrears_months=5,12.00,15.00)))))))</f>
        <v/>
      </c>
      <c r="M4664">
        <f>LET(
    seasoning_years,DATEDIF('Loan Tape (S&amp;P)'!K4664,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64">
        <f>IF(AND('Loan Tape (S&amp;P)'!U4664="Yes",
        'Loan Tape (S&amp;P)'!T4664&lt;&gt;"Yes",
        DATEDIF('Loan Tape (S&amp;P)'!K4664, TODAY(), "M")&lt;18),
    1.10,
    1.00)</f>
        <v/>
      </c>
      <c r="O4664">
        <f>IF('Loan Tape (S&amp;P)'!T4664="Yes",
    1.35,
    1.00)</f>
        <v/>
      </c>
      <c r="P4664">
        <f>IF('Loan Tape (S&amp;P)'!S4664="Yes",
    1.15,
    1.00)</f>
        <v/>
      </c>
      <c r="Q4664">
        <f>IF('Loan Tape (S&amp;P)'!V4664="Yes",
    1.20,
    1.00)</f>
        <v/>
      </c>
      <c r="T4664">
        <f>LET(
    payment_method,'Loan Tape (S&amp;P)'!P4664,
    occupancy,'Loan Tape (S&amp;P)'!N4664,
    maturity_date,'Loan Tape (S&amp;P)'!L4664,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65">
      <c r="J4665">
        <f>LET(
    lien,'Loan Tape (S&amp;P)'!Q4665,
    IF(lien="First",1.00,
        IF(lien="Second",1.50,
            1.70)))</f>
        <v/>
      </c>
      <c r="K4665">
        <f>LET(
    purpose,'Loan Tape (S&amp;P)'!R4665,
    IF(purpose="Purchase",1.00,
        IF(purpose="Remortgage",1.00,
            1.20)))</f>
        <v/>
      </c>
      <c r="L4665">
        <f>LET(
    arrears_months,'Loan Tape (S&amp;P)'!AN4665,
    IF(arrears_months=0,1.00,
    IF(arrears_months=1,3.00,
    IF(arrears_months=2,5.00,
    IF(arrears_months=3,8.00,
    IF(arrears_months=4,10.00,
    IF(arrears_months=5,12.00,15.00)))))))</f>
        <v/>
      </c>
      <c r="M4665">
        <f>LET(
    seasoning_years,DATEDIF('Loan Tape (S&amp;P)'!K4665,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65">
        <f>IF(AND('Loan Tape (S&amp;P)'!U4665="Yes",
        'Loan Tape (S&amp;P)'!T4665&lt;&gt;"Yes",
        DATEDIF('Loan Tape (S&amp;P)'!K4665, TODAY(), "M")&lt;18),
    1.10,
    1.00)</f>
        <v/>
      </c>
      <c r="O4665">
        <f>IF('Loan Tape (S&amp;P)'!T4665="Yes",
    1.35,
    1.00)</f>
        <v/>
      </c>
      <c r="P4665">
        <f>IF('Loan Tape (S&amp;P)'!S4665="Yes",
    1.15,
    1.00)</f>
        <v/>
      </c>
      <c r="Q4665">
        <f>IF('Loan Tape (S&amp;P)'!V4665="Yes",
    1.20,
    1.00)</f>
        <v/>
      </c>
      <c r="T4665">
        <f>LET(
    payment_method,'Loan Tape (S&amp;P)'!P4665,
    occupancy,'Loan Tape (S&amp;P)'!N4665,
    maturity_date,'Loan Tape (S&amp;P)'!L4665,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66">
      <c r="J4666">
        <f>LET(
    lien,'Loan Tape (S&amp;P)'!Q4666,
    IF(lien="First",1.00,
        IF(lien="Second",1.50,
            1.70)))</f>
        <v/>
      </c>
      <c r="K4666">
        <f>LET(
    purpose,'Loan Tape (S&amp;P)'!R4666,
    IF(purpose="Purchase",1.00,
        IF(purpose="Remortgage",1.00,
            1.20)))</f>
        <v/>
      </c>
      <c r="L4666">
        <f>LET(
    arrears_months,'Loan Tape (S&amp;P)'!AN4666,
    IF(arrears_months=0,1.00,
    IF(arrears_months=1,3.00,
    IF(arrears_months=2,5.00,
    IF(arrears_months=3,8.00,
    IF(arrears_months=4,10.00,
    IF(arrears_months=5,12.00,15.00)))))))</f>
        <v/>
      </c>
      <c r="M4666">
        <f>LET(
    seasoning_years,DATEDIF('Loan Tape (S&amp;P)'!K4666,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66">
        <f>IF(AND('Loan Tape (S&amp;P)'!U4666="Yes",
        'Loan Tape (S&amp;P)'!T4666&lt;&gt;"Yes",
        DATEDIF('Loan Tape (S&amp;P)'!K4666, TODAY(), "M")&lt;18),
    1.10,
    1.00)</f>
        <v/>
      </c>
      <c r="O4666">
        <f>IF('Loan Tape (S&amp;P)'!T4666="Yes",
    1.35,
    1.00)</f>
        <v/>
      </c>
      <c r="P4666">
        <f>IF('Loan Tape (S&amp;P)'!S4666="Yes",
    1.15,
    1.00)</f>
        <v/>
      </c>
      <c r="Q4666">
        <f>IF('Loan Tape (S&amp;P)'!V4666="Yes",
    1.20,
    1.00)</f>
        <v/>
      </c>
      <c r="T4666">
        <f>LET(
    payment_method,'Loan Tape (S&amp;P)'!P4666,
    occupancy,'Loan Tape (S&amp;P)'!N4666,
    maturity_date,'Loan Tape (S&amp;P)'!L4666,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67">
      <c r="J4667">
        <f>LET(
    lien,'Loan Tape (S&amp;P)'!Q4667,
    IF(lien="First",1.00,
        IF(lien="Second",1.50,
            1.70)))</f>
        <v/>
      </c>
      <c r="K4667">
        <f>LET(
    purpose,'Loan Tape (S&amp;P)'!R4667,
    IF(purpose="Purchase",1.00,
        IF(purpose="Remortgage",1.00,
            1.20)))</f>
        <v/>
      </c>
      <c r="L4667">
        <f>LET(
    arrears_months,'Loan Tape (S&amp;P)'!AN4667,
    IF(arrears_months=0,1.00,
    IF(arrears_months=1,3.00,
    IF(arrears_months=2,5.00,
    IF(arrears_months=3,8.00,
    IF(arrears_months=4,10.00,
    IF(arrears_months=5,12.00,15.00)))))))</f>
        <v/>
      </c>
      <c r="M4667">
        <f>LET(
    seasoning_years,DATEDIF('Loan Tape (S&amp;P)'!K4667,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67">
        <f>IF(AND('Loan Tape (S&amp;P)'!U4667="Yes",
        'Loan Tape (S&amp;P)'!T4667&lt;&gt;"Yes",
        DATEDIF('Loan Tape (S&amp;P)'!K4667, TODAY(), "M")&lt;18),
    1.10,
    1.00)</f>
        <v/>
      </c>
      <c r="O4667">
        <f>IF('Loan Tape (S&amp;P)'!T4667="Yes",
    1.35,
    1.00)</f>
        <v/>
      </c>
      <c r="P4667">
        <f>IF('Loan Tape (S&amp;P)'!S4667="Yes",
    1.15,
    1.00)</f>
        <v/>
      </c>
      <c r="Q4667">
        <f>IF('Loan Tape (S&amp;P)'!V4667="Yes",
    1.20,
    1.00)</f>
        <v/>
      </c>
      <c r="T4667">
        <f>LET(
    payment_method,'Loan Tape (S&amp;P)'!P4667,
    occupancy,'Loan Tape (S&amp;P)'!N4667,
    maturity_date,'Loan Tape (S&amp;P)'!L4667,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68">
      <c r="J4668">
        <f>LET(
    lien,'Loan Tape (S&amp;P)'!Q4668,
    IF(lien="First",1.00,
        IF(lien="Second",1.50,
            1.70)))</f>
        <v/>
      </c>
      <c r="K4668">
        <f>LET(
    purpose,'Loan Tape (S&amp;P)'!R4668,
    IF(purpose="Purchase",1.00,
        IF(purpose="Remortgage",1.00,
            1.20)))</f>
        <v/>
      </c>
      <c r="L4668">
        <f>LET(
    arrears_months,'Loan Tape (S&amp;P)'!AN4668,
    IF(arrears_months=0,1.00,
    IF(arrears_months=1,3.00,
    IF(arrears_months=2,5.00,
    IF(arrears_months=3,8.00,
    IF(arrears_months=4,10.00,
    IF(arrears_months=5,12.00,15.00)))))))</f>
        <v/>
      </c>
      <c r="M4668">
        <f>LET(
    seasoning_years,DATEDIF('Loan Tape (S&amp;P)'!K4668,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68">
        <f>IF(AND('Loan Tape (S&amp;P)'!U4668="Yes",
        'Loan Tape (S&amp;P)'!T4668&lt;&gt;"Yes",
        DATEDIF('Loan Tape (S&amp;P)'!K4668, TODAY(), "M")&lt;18),
    1.10,
    1.00)</f>
        <v/>
      </c>
      <c r="O4668">
        <f>IF('Loan Tape (S&amp;P)'!T4668="Yes",
    1.35,
    1.00)</f>
        <v/>
      </c>
      <c r="P4668">
        <f>IF('Loan Tape (S&amp;P)'!S4668="Yes",
    1.15,
    1.00)</f>
        <v/>
      </c>
      <c r="Q4668">
        <f>IF('Loan Tape (S&amp;P)'!V4668="Yes",
    1.20,
    1.00)</f>
        <v/>
      </c>
      <c r="T4668">
        <f>LET(
    payment_method,'Loan Tape (S&amp;P)'!P4668,
    occupancy,'Loan Tape (S&amp;P)'!N4668,
    maturity_date,'Loan Tape (S&amp;P)'!L4668,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69">
      <c r="J4669">
        <f>LET(
    lien,'Loan Tape (S&amp;P)'!Q4669,
    IF(lien="First",1.00,
        IF(lien="Second",1.50,
            1.70)))</f>
        <v/>
      </c>
      <c r="K4669">
        <f>LET(
    purpose,'Loan Tape (S&amp;P)'!R4669,
    IF(purpose="Purchase",1.00,
        IF(purpose="Remortgage",1.00,
            1.20)))</f>
        <v/>
      </c>
      <c r="L4669">
        <f>LET(
    arrears_months,'Loan Tape (S&amp;P)'!AN4669,
    IF(arrears_months=0,1.00,
    IF(arrears_months=1,3.00,
    IF(arrears_months=2,5.00,
    IF(arrears_months=3,8.00,
    IF(arrears_months=4,10.00,
    IF(arrears_months=5,12.00,15.00)))))))</f>
        <v/>
      </c>
      <c r="M4669">
        <f>LET(
    seasoning_years,DATEDIF('Loan Tape (S&amp;P)'!K4669,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69">
        <f>IF(AND('Loan Tape (S&amp;P)'!U4669="Yes",
        'Loan Tape (S&amp;P)'!T4669&lt;&gt;"Yes",
        DATEDIF('Loan Tape (S&amp;P)'!K4669, TODAY(), "M")&lt;18),
    1.10,
    1.00)</f>
        <v/>
      </c>
      <c r="O4669">
        <f>IF('Loan Tape (S&amp;P)'!T4669="Yes",
    1.35,
    1.00)</f>
        <v/>
      </c>
      <c r="P4669">
        <f>IF('Loan Tape (S&amp;P)'!S4669="Yes",
    1.15,
    1.00)</f>
        <v/>
      </c>
      <c r="Q4669">
        <f>IF('Loan Tape (S&amp;P)'!V4669="Yes",
    1.20,
    1.00)</f>
        <v/>
      </c>
      <c r="T4669">
        <f>LET(
    payment_method,'Loan Tape (S&amp;P)'!P4669,
    occupancy,'Loan Tape (S&amp;P)'!N4669,
    maturity_date,'Loan Tape (S&amp;P)'!L4669,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70">
      <c r="J4670">
        <f>LET(
    lien,'Loan Tape (S&amp;P)'!Q4670,
    IF(lien="First",1.00,
        IF(lien="Second",1.50,
            1.70)))</f>
        <v/>
      </c>
      <c r="K4670">
        <f>LET(
    purpose,'Loan Tape (S&amp;P)'!R4670,
    IF(purpose="Purchase",1.00,
        IF(purpose="Remortgage",1.00,
            1.20)))</f>
        <v/>
      </c>
      <c r="L4670">
        <f>LET(
    arrears_months,'Loan Tape (S&amp;P)'!AN4670,
    IF(arrears_months=0,1.00,
    IF(arrears_months=1,3.00,
    IF(arrears_months=2,5.00,
    IF(arrears_months=3,8.00,
    IF(arrears_months=4,10.00,
    IF(arrears_months=5,12.00,15.00)))))))</f>
        <v/>
      </c>
      <c r="M4670">
        <f>LET(
    seasoning_years,DATEDIF('Loan Tape (S&amp;P)'!K4670,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70">
        <f>IF(AND('Loan Tape (S&amp;P)'!U4670="Yes",
        'Loan Tape (S&amp;P)'!T4670&lt;&gt;"Yes",
        DATEDIF('Loan Tape (S&amp;P)'!K4670, TODAY(), "M")&lt;18),
    1.10,
    1.00)</f>
        <v/>
      </c>
      <c r="O4670">
        <f>IF('Loan Tape (S&amp;P)'!T4670="Yes",
    1.35,
    1.00)</f>
        <v/>
      </c>
      <c r="P4670">
        <f>IF('Loan Tape (S&amp;P)'!S4670="Yes",
    1.15,
    1.00)</f>
        <v/>
      </c>
      <c r="Q4670">
        <f>IF('Loan Tape (S&amp;P)'!V4670="Yes",
    1.20,
    1.00)</f>
        <v/>
      </c>
      <c r="T4670">
        <f>LET(
    payment_method,'Loan Tape (S&amp;P)'!P4670,
    occupancy,'Loan Tape (S&amp;P)'!N4670,
    maturity_date,'Loan Tape (S&amp;P)'!L4670,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71">
      <c r="J4671">
        <f>LET(
    lien,'Loan Tape (S&amp;P)'!Q4671,
    IF(lien="First",1.00,
        IF(lien="Second",1.50,
            1.70)))</f>
        <v/>
      </c>
      <c r="K4671">
        <f>LET(
    purpose,'Loan Tape (S&amp;P)'!R4671,
    IF(purpose="Purchase",1.00,
        IF(purpose="Remortgage",1.00,
            1.20)))</f>
        <v/>
      </c>
      <c r="L4671">
        <f>LET(
    arrears_months,'Loan Tape (S&amp;P)'!AN4671,
    IF(arrears_months=0,1.00,
    IF(arrears_months=1,3.00,
    IF(arrears_months=2,5.00,
    IF(arrears_months=3,8.00,
    IF(arrears_months=4,10.00,
    IF(arrears_months=5,12.00,15.00)))))))</f>
        <v/>
      </c>
      <c r="M4671">
        <f>LET(
    seasoning_years,DATEDIF('Loan Tape (S&amp;P)'!K4671,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71">
        <f>IF(AND('Loan Tape (S&amp;P)'!U4671="Yes",
        'Loan Tape (S&amp;P)'!T4671&lt;&gt;"Yes",
        DATEDIF('Loan Tape (S&amp;P)'!K4671, TODAY(), "M")&lt;18),
    1.10,
    1.00)</f>
        <v/>
      </c>
      <c r="O4671">
        <f>IF('Loan Tape (S&amp;P)'!T4671="Yes",
    1.35,
    1.00)</f>
        <v/>
      </c>
      <c r="P4671">
        <f>IF('Loan Tape (S&amp;P)'!S4671="Yes",
    1.15,
    1.00)</f>
        <v/>
      </c>
      <c r="Q4671">
        <f>IF('Loan Tape (S&amp;P)'!V4671="Yes",
    1.20,
    1.00)</f>
        <v/>
      </c>
      <c r="T4671">
        <f>LET(
    payment_method,'Loan Tape (S&amp;P)'!P4671,
    occupancy,'Loan Tape (S&amp;P)'!N4671,
    maturity_date,'Loan Tape (S&amp;P)'!L4671,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72">
      <c r="J4672">
        <f>LET(
    lien,'Loan Tape (S&amp;P)'!Q4672,
    IF(lien="First",1.00,
        IF(lien="Second",1.50,
            1.70)))</f>
        <v/>
      </c>
      <c r="K4672">
        <f>LET(
    purpose,'Loan Tape (S&amp;P)'!R4672,
    IF(purpose="Purchase",1.00,
        IF(purpose="Remortgage",1.00,
            1.20)))</f>
        <v/>
      </c>
      <c r="L4672">
        <f>LET(
    arrears_months,'Loan Tape (S&amp;P)'!AN4672,
    IF(arrears_months=0,1.00,
    IF(arrears_months=1,3.00,
    IF(arrears_months=2,5.00,
    IF(arrears_months=3,8.00,
    IF(arrears_months=4,10.00,
    IF(arrears_months=5,12.00,15.00)))))))</f>
        <v/>
      </c>
      <c r="M4672">
        <f>LET(
    seasoning_years,DATEDIF('Loan Tape (S&amp;P)'!K4672,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72">
        <f>IF(AND('Loan Tape (S&amp;P)'!U4672="Yes",
        'Loan Tape (S&amp;P)'!T4672&lt;&gt;"Yes",
        DATEDIF('Loan Tape (S&amp;P)'!K4672, TODAY(), "M")&lt;18),
    1.10,
    1.00)</f>
        <v/>
      </c>
      <c r="O4672">
        <f>IF('Loan Tape (S&amp;P)'!T4672="Yes",
    1.35,
    1.00)</f>
        <v/>
      </c>
      <c r="P4672">
        <f>IF('Loan Tape (S&amp;P)'!S4672="Yes",
    1.15,
    1.00)</f>
        <v/>
      </c>
      <c r="Q4672">
        <f>IF('Loan Tape (S&amp;P)'!V4672="Yes",
    1.20,
    1.00)</f>
        <v/>
      </c>
      <c r="T4672">
        <f>LET(
    payment_method,'Loan Tape (S&amp;P)'!P4672,
    occupancy,'Loan Tape (S&amp;P)'!N4672,
    maturity_date,'Loan Tape (S&amp;P)'!L4672,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73">
      <c r="J4673">
        <f>LET(
    lien,'Loan Tape (S&amp;P)'!Q4673,
    IF(lien="First",1.00,
        IF(lien="Second",1.50,
            1.70)))</f>
        <v/>
      </c>
      <c r="K4673">
        <f>LET(
    purpose,'Loan Tape (S&amp;P)'!R4673,
    IF(purpose="Purchase",1.00,
        IF(purpose="Remortgage",1.00,
            1.20)))</f>
        <v/>
      </c>
      <c r="L4673">
        <f>LET(
    arrears_months,'Loan Tape (S&amp;P)'!AN4673,
    IF(arrears_months=0,1.00,
    IF(arrears_months=1,3.00,
    IF(arrears_months=2,5.00,
    IF(arrears_months=3,8.00,
    IF(arrears_months=4,10.00,
    IF(arrears_months=5,12.00,15.00)))))))</f>
        <v/>
      </c>
      <c r="M4673">
        <f>LET(
    seasoning_years,DATEDIF('Loan Tape (S&amp;P)'!K4673,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73">
        <f>IF(AND('Loan Tape (S&amp;P)'!U4673="Yes",
        'Loan Tape (S&amp;P)'!T4673&lt;&gt;"Yes",
        DATEDIF('Loan Tape (S&amp;P)'!K4673, TODAY(), "M")&lt;18),
    1.10,
    1.00)</f>
        <v/>
      </c>
      <c r="O4673">
        <f>IF('Loan Tape (S&amp;P)'!T4673="Yes",
    1.35,
    1.00)</f>
        <v/>
      </c>
      <c r="P4673">
        <f>IF('Loan Tape (S&amp;P)'!S4673="Yes",
    1.15,
    1.00)</f>
        <v/>
      </c>
      <c r="Q4673">
        <f>IF('Loan Tape (S&amp;P)'!V4673="Yes",
    1.20,
    1.00)</f>
        <v/>
      </c>
      <c r="T4673">
        <f>LET(
    payment_method,'Loan Tape (S&amp;P)'!P4673,
    occupancy,'Loan Tape (S&amp;P)'!N4673,
    maturity_date,'Loan Tape (S&amp;P)'!L4673,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74">
      <c r="J4674">
        <f>LET(
    lien,'Loan Tape (S&amp;P)'!Q4674,
    IF(lien="First",1.00,
        IF(lien="Second",1.50,
            1.70)))</f>
        <v/>
      </c>
      <c r="K4674">
        <f>LET(
    purpose,'Loan Tape (S&amp;P)'!R4674,
    IF(purpose="Purchase",1.00,
        IF(purpose="Remortgage",1.00,
            1.20)))</f>
        <v/>
      </c>
      <c r="L4674">
        <f>LET(
    arrears_months,'Loan Tape (S&amp;P)'!AN4674,
    IF(arrears_months=0,1.00,
    IF(arrears_months=1,3.00,
    IF(arrears_months=2,5.00,
    IF(arrears_months=3,8.00,
    IF(arrears_months=4,10.00,
    IF(arrears_months=5,12.00,15.00)))))))</f>
        <v/>
      </c>
      <c r="M4674">
        <f>LET(
    seasoning_years,DATEDIF('Loan Tape (S&amp;P)'!K4674,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74">
        <f>IF(AND('Loan Tape (S&amp;P)'!U4674="Yes",
        'Loan Tape (S&amp;P)'!T4674&lt;&gt;"Yes",
        DATEDIF('Loan Tape (S&amp;P)'!K4674, TODAY(), "M")&lt;18),
    1.10,
    1.00)</f>
        <v/>
      </c>
      <c r="O4674">
        <f>IF('Loan Tape (S&amp;P)'!T4674="Yes",
    1.35,
    1.00)</f>
        <v/>
      </c>
      <c r="P4674">
        <f>IF('Loan Tape (S&amp;P)'!S4674="Yes",
    1.15,
    1.00)</f>
        <v/>
      </c>
      <c r="Q4674">
        <f>IF('Loan Tape (S&amp;P)'!V4674="Yes",
    1.20,
    1.00)</f>
        <v/>
      </c>
      <c r="T4674">
        <f>LET(
    payment_method,'Loan Tape (S&amp;P)'!P4674,
    occupancy,'Loan Tape (S&amp;P)'!N4674,
    maturity_date,'Loan Tape (S&amp;P)'!L4674,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75">
      <c r="J4675">
        <f>LET(
    lien,'Loan Tape (S&amp;P)'!Q4675,
    IF(lien="First",1.00,
        IF(lien="Second",1.50,
            1.70)))</f>
        <v/>
      </c>
      <c r="K4675">
        <f>LET(
    purpose,'Loan Tape (S&amp;P)'!R4675,
    IF(purpose="Purchase",1.00,
        IF(purpose="Remortgage",1.00,
            1.20)))</f>
        <v/>
      </c>
      <c r="L4675">
        <f>LET(
    arrears_months,'Loan Tape (S&amp;P)'!AN4675,
    IF(arrears_months=0,1.00,
    IF(arrears_months=1,3.00,
    IF(arrears_months=2,5.00,
    IF(arrears_months=3,8.00,
    IF(arrears_months=4,10.00,
    IF(arrears_months=5,12.00,15.00)))))))</f>
        <v/>
      </c>
      <c r="M4675">
        <f>LET(
    seasoning_years,DATEDIF('Loan Tape (S&amp;P)'!K4675,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75">
        <f>IF(AND('Loan Tape (S&amp;P)'!U4675="Yes",
        'Loan Tape (S&amp;P)'!T4675&lt;&gt;"Yes",
        DATEDIF('Loan Tape (S&amp;P)'!K4675, TODAY(), "M")&lt;18),
    1.10,
    1.00)</f>
        <v/>
      </c>
      <c r="O4675">
        <f>IF('Loan Tape (S&amp;P)'!T4675="Yes",
    1.35,
    1.00)</f>
        <v/>
      </c>
      <c r="P4675">
        <f>IF('Loan Tape (S&amp;P)'!S4675="Yes",
    1.15,
    1.00)</f>
        <v/>
      </c>
      <c r="Q4675">
        <f>IF('Loan Tape (S&amp;P)'!V4675="Yes",
    1.20,
    1.00)</f>
        <v/>
      </c>
      <c r="T4675">
        <f>LET(
    payment_method,'Loan Tape (S&amp;P)'!P4675,
    occupancy,'Loan Tape (S&amp;P)'!N4675,
    maturity_date,'Loan Tape (S&amp;P)'!L4675,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76">
      <c r="J4676">
        <f>LET(
    lien,'Loan Tape (S&amp;P)'!Q4676,
    IF(lien="First",1.00,
        IF(lien="Second",1.50,
            1.70)))</f>
        <v/>
      </c>
      <c r="K4676">
        <f>LET(
    purpose,'Loan Tape (S&amp;P)'!R4676,
    IF(purpose="Purchase",1.00,
        IF(purpose="Remortgage",1.00,
            1.20)))</f>
        <v/>
      </c>
      <c r="L4676">
        <f>LET(
    arrears_months,'Loan Tape (S&amp;P)'!AN4676,
    IF(arrears_months=0,1.00,
    IF(arrears_months=1,3.00,
    IF(arrears_months=2,5.00,
    IF(arrears_months=3,8.00,
    IF(arrears_months=4,10.00,
    IF(arrears_months=5,12.00,15.00)))))))</f>
        <v/>
      </c>
      <c r="M4676">
        <f>LET(
    seasoning_years,DATEDIF('Loan Tape (S&amp;P)'!K4676,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76">
        <f>IF(AND('Loan Tape (S&amp;P)'!U4676="Yes",
        'Loan Tape (S&amp;P)'!T4676&lt;&gt;"Yes",
        DATEDIF('Loan Tape (S&amp;P)'!K4676, TODAY(), "M")&lt;18),
    1.10,
    1.00)</f>
        <v/>
      </c>
      <c r="O4676">
        <f>IF('Loan Tape (S&amp;P)'!T4676="Yes",
    1.35,
    1.00)</f>
        <v/>
      </c>
      <c r="P4676">
        <f>IF('Loan Tape (S&amp;P)'!S4676="Yes",
    1.15,
    1.00)</f>
        <v/>
      </c>
      <c r="Q4676">
        <f>IF('Loan Tape (S&amp;P)'!V4676="Yes",
    1.20,
    1.00)</f>
        <v/>
      </c>
      <c r="T4676">
        <f>LET(
    payment_method,'Loan Tape (S&amp;P)'!P4676,
    occupancy,'Loan Tape (S&amp;P)'!N4676,
    maturity_date,'Loan Tape (S&amp;P)'!L4676,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77">
      <c r="J4677">
        <f>LET(
    lien,'Loan Tape (S&amp;P)'!Q4677,
    IF(lien="First",1.00,
        IF(lien="Second",1.50,
            1.70)))</f>
        <v/>
      </c>
      <c r="K4677">
        <f>LET(
    purpose,'Loan Tape (S&amp;P)'!R4677,
    IF(purpose="Purchase",1.00,
        IF(purpose="Remortgage",1.00,
            1.20)))</f>
        <v/>
      </c>
      <c r="L4677">
        <f>LET(
    arrears_months,'Loan Tape (S&amp;P)'!AN4677,
    IF(arrears_months=0,1.00,
    IF(arrears_months=1,3.00,
    IF(arrears_months=2,5.00,
    IF(arrears_months=3,8.00,
    IF(arrears_months=4,10.00,
    IF(arrears_months=5,12.00,15.00)))))))</f>
        <v/>
      </c>
      <c r="M4677">
        <f>LET(
    seasoning_years,DATEDIF('Loan Tape (S&amp;P)'!K4677,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77">
        <f>IF(AND('Loan Tape (S&amp;P)'!U4677="Yes",
        'Loan Tape (S&amp;P)'!T4677&lt;&gt;"Yes",
        DATEDIF('Loan Tape (S&amp;P)'!K4677, TODAY(), "M")&lt;18),
    1.10,
    1.00)</f>
        <v/>
      </c>
      <c r="O4677">
        <f>IF('Loan Tape (S&amp;P)'!T4677="Yes",
    1.35,
    1.00)</f>
        <v/>
      </c>
      <c r="P4677">
        <f>IF('Loan Tape (S&amp;P)'!S4677="Yes",
    1.15,
    1.00)</f>
        <v/>
      </c>
      <c r="Q4677">
        <f>IF('Loan Tape (S&amp;P)'!V4677="Yes",
    1.20,
    1.00)</f>
        <v/>
      </c>
      <c r="T4677">
        <f>LET(
    payment_method,'Loan Tape (S&amp;P)'!P4677,
    occupancy,'Loan Tape (S&amp;P)'!N4677,
    maturity_date,'Loan Tape (S&amp;P)'!L4677,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78">
      <c r="J4678">
        <f>LET(
    lien,'Loan Tape (S&amp;P)'!Q4678,
    IF(lien="First",1.00,
        IF(lien="Second",1.50,
            1.70)))</f>
        <v/>
      </c>
      <c r="K4678">
        <f>LET(
    purpose,'Loan Tape (S&amp;P)'!R4678,
    IF(purpose="Purchase",1.00,
        IF(purpose="Remortgage",1.00,
            1.20)))</f>
        <v/>
      </c>
      <c r="L4678">
        <f>LET(
    arrears_months,'Loan Tape (S&amp;P)'!AN4678,
    IF(arrears_months=0,1.00,
    IF(arrears_months=1,3.00,
    IF(arrears_months=2,5.00,
    IF(arrears_months=3,8.00,
    IF(arrears_months=4,10.00,
    IF(arrears_months=5,12.00,15.00)))))))</f>
        <v/>
      </c>
      <c r="M4678">
        <f>LET(
    seasoning_years,DATEDIF('Loan Tape (S&amp;P)'!K4678,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78">
        <f>IF(AND('Loan Tape (S&amp;P)'!U4678="Yes",
        'Loan Tape (S&amp;P)'!T4678&lt;&gt;"Yes",
        DATEDIF('Loan Tape (S&amp;P)'!K4678, TODAY(), "M")&lt;18),
    1.10,
    1.00)</f>
        <v/>
      </c>
      <c r="O4678">
        <f>IF('Loan Tape (S&amp;P)'!T4678="Yes",
    1.35,
    1.00)</f>
        <v/>
      </c>
      <c r="P4678">
        <f>IF('Loan Tape (S&amp;P)'!S4678="Yes",
    1.15,
    1.00)</f>
        <v/>
      </c>
      <c r="Q4678">
        <f>IF('Loan Tape (S&amp;P)'!V4678="Yes",
    1.20,
    1.00)</f>
        <v/>
      </c>
      <c r="T4678">
        <f>LET(
    payment_method,'Loan Tape (S&amp;P)'!P4678,
    occupancy,'Loan Tape (S&amp;P)'!N4678,
    maturity_date,'Loan Tape (S&amp;P)'!L4678,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79">
      <c r="J4679">
        <f>LET(
    lien,'Loan Tape (S&amp;P)'!Q4679,
    IF(lien="First",1.00,
        IF(lien="Second",1.50,
            1.70)))</f>
        <v/>
      </c>
      <c r="K4679">
        <f>LET(
    purpose,'Loan Tape (S&amp;P)'!R4679,
    IF(purpose="Purchase",1.00,
        IF(purpose="Remortgage",1.00,
            1.20)))</f>
        <v/>
      </c>
      <c r="L4679">
        <f>LET(
    arrears_months,'Loan Tape (S&amp;P)'!AN4679,
    IF(arrears_months=0,1.00,
    IF(arrears_months=1,3.00,
    IF(arrears_months=2,5.00,
    IF(arrears_months=3,8.00,
    IF(arrears_months=4,10.00,
    IF(arrears_months=5,12.00,15.00)))))))</f>
        <v/>
      </c>
      <c r="M4679">
        <f>LET(
    seasoning_years,DATEDIF('Loan Tape (S&amp;P)'!K4679,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79">
        <f>IF(AND('Loan Tape (S&amp;P)'!U4679="Yes",
        'Loan Tape (S&amp;P)'!T4679&lt;&gt;"Yes",
        DATEDIF('Loan Tape (S&amp;P)'!K4679, TODAY(), "M")&lt;18),
    1.10,
    1.00)</f>
        <v/>
      </c>
      <c r="O4679">
        <f>IF('Loan Tape (S&amp;P)'!T4679="Yes",
    1.35,
    1.00)</f>
        <v/>
      </c>
      <c r="P4679">
        <f>IF('Loan Tape (S&amp;P)'!S4679="Yes",
    1.15,
    1.00)</f>
        <v/>
      </c>
      <c r="Q4679">
        <f>IF('Loan Tape (S&amp;P)'!V4679="Yes",
    1.20,
    1.00)</f>
        <v/>
      </c>
      <c r="T4679">
        <f>LET(
    payment_method,'Loan Tape (S&amp;P)'!P4679,
    occupancy,'Loan Tape (S&amp;P)'!N4679,
    maturity_date,'Loan Tape (S&amp;P)'!L4679,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80">
      <c r="J4680">
        <f>LET(
    lien,'Loan Tape (S&amp;P)'!Q4680,
    IF(lien="First",1.00,
        IF(lien="Second",1.50,
            1.70)))</f>
        <v/>
      </c>
      <c r="K4680">
        <f>LET(
    purpose,'Loan Tape (S&amp;P)'!R4680,
    IF(purpose="Purchase",1.00,
        IF(purpose="Remortgage",1.00,
            1.20)))</f>
        <v/>
      </c>
      <c r="L4680">
        <f>LET(
    arrears_months,'Loan Tape (S&amp;P)'!AN4680,
    IF(arrears_months=0,1.00,
    IF(arrears_months=1,3.00,
    IF(arrears_months=2,5.00,
    IF(arrears_months=3,8.00,
    IF(arrears_months=4,10.00,
    IF(arrears_months=5,12.00,15.00)))))))</f>
        <v/>
      </c>
      <c r="M4680">
        <f>LET(
    seasoning_years,DATEDIF('Loan Tape (S&amp;P)'!K4680,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80">
        <f>IF(AND('Loan Tape (S&amp;P)'!U4680="Yes",
        'Loan Tape (S&amp;P)'!T4680&lt;&gt;"Yes",
        DATEDIF('Loan Tape (S&amp;P)'!K4680, TODAY(), "M")&lt;18),
    1.10,
    1.00)</f>
        <v/>
      </c>
      <c r="O4680">
        <f>IF('Loan Tape (S&amp;P)'!T4680="Yes",
    1.35,
    1.00)</f>
        <v/>
      </c>
      <c r="P4680">
        <f>IF('Loan Tape (S&amp;P)'!S4680="Yes",
    1.15,
    1.00)</f>
        <v/>
      </c>
      <c r="Q4680">
        <f>IF('Loan Tape (S&amp;P)'!V4680="Yes",
    1.20,
    1.00)</f>
        <v/>
      </c>
      <c r="T4680">
        <f>LET(
    payment_method,'Loan Tape (S&amp;P)'!P4680,
    occupancy,'Loan Tape (S&amp;P)'!N4680,
    maturity_date,'Loan Tape (S&amp;P)'!L4680,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81">
      <c r="J4681">
        <f>LET(
    lien,'Loan Tape (S&amp;P)'!Q4681,
    IF(lien="First",1.00,
        IF(lien="Second",1.50,
            1.70)))</f>
        <v/>
      </c>
      <c r="K4681">
        <f>LET(
    purpose,'Loan Tape (S&amp;P)'!R4681,
    IF(purpose="Purchase",1.00,
        IF(purpose="Remortgage",1.00,
            1.20)))</f>
        <v/>
      </c>
      <c r="L4681">
        <f>LET(
    arrears_months,'Loan Tape (S&amp;P)'!AN4681,
    IF(arrears_months=0,1.00,
    IF(arrears_months=1,3.00,
    IF(arrears_months=2,5.00,
    IF(arrears_months=3,8.00,
    IF(arrears_months=4,10.00,
    IF(arrears_months=5,12.00,15.00)))))))</f>
        <v/>
      </c>
      <c r="M4681">
        <f>LET(
    seasoning_years,DATEDIF('Loan Tape (S&amp;P)'!K4681,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81">
        <f>IF(AND('Loan Tape (S&amp;P)'!U4681="Yes",
        'Loan Tape (S&amp;P)'!T4681&lt;&gt;"Yes",
        DATEDIF('Loan Tape (S&amp;P)'!K4681, TODAY(), "M")&lt;18),
    1.10,
    1.00)</f>
        <v/>
      </c>
      <c r="O4681">
        <f>IF('Loan Tape (S&amp;P)'!T4681="Yes",
    1.35,
    1.00)</f>
        <v/>
      </c>
      <c r="P4681">
        <f>IF('Loan Tape (S&amp;P)'!S4681="Yes",
    1.15,
    1.00)</f>
        <v/>
      </c>
      <c r="Q4681">
        <f>IF('Loan Tape (S&amp;P)'!V4681="Yes",
    1.20,
    1.00)</f>
        <v/>
      </c>
      <c r="T4681">
        <f>LET(
    payment_method,'Loan Tape (S&amp;P)'!P4681,
    occupancy,'Loan Tape (S&amp;P)'!N4681,
    maturity_date,'Loan Tape (S&amp;P)'!L4681,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82">
      <c r="J4682">
        <f>LET(
    lien,'Loan Tape (S&amp;P)'!Q4682,
    IF(lien="First",1.00,
        IF(lien="Second",1.50,
            1.70)))</f>
        <v/>
      </c>
      <c r="K4682">
        <f>LET(
    purpose,'Loan Tape (S&amp;P)'!R4682,
    IF(purpose="Purchase",1.00,
        IF(purpose="Remortgage",1.00,
            1.20)))</f>
        <v/>
      </c>
      <c r="L4682">
        <f>LET(
    arrears_months,'Loan Tape (S&amp;P)'!AN4682,
    IF(arrears_months=0,1.00,
    IF(arrears_months=1,3.00,
    IF(arrears_months=2,5.00,
    IF(arrears_months=3,8.00,
    IF(arrears_months=4,10.00,
    IF(arrears_months=5,12.00,15.00)))))))</f>
        <v/>
      </c>
      <c r="M4682">
        <f>LET(
    seasoning_years,DATEDIF('Loan Tape (S&amp;P)'!K4682,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82">
        <f>IF(AND('Loan Tape (S&amp;P)'!U4682="Yes",
        'Loan Tape (S&amp;P)'!T4682&lt;&gt;"Yes",
        DATEDIF('Loan Tape (S&amp;P)'!K4682, TODAY(), "M")&lt;18),
    1.10,
    1.00)</f>
        <v/>
      </c>
      <c r="O4682">
        <f>IF('Loan Tape (S&amp;P)'!T4682="Yes",
    1.35,
    1.00)</f>
        <v/>
      </c>
      <c r="P4682">
        <f>IF('Loan Tape (S&amp;P)'!S4682="Yes",
    1.15,
    1.00)</f>
        <v/>
      </c>
      <c r="Q4682">
        <f>IF('Loan Tape (S&amp;P)'!V4682="Yes",
    1.20,
    1.00)</f>
        <v/>
      </c>
      <c r="T4682">
        <f>LET(
    payment_method,'Loan Tape (S&amp;P)'!P4682,
    occupancy,'Loan Tape (S&amp;P)'!N4682,
    maturity_date,'Loan Tape (S&amp;P)'!L4682,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83">
      <c r="J4683">
        <f>LET(
    lien,'Loan Tape (S&amp;P)'!Q4683,
    IF(lien="First",1.00,
        IF(lien="Second",1.50,
            1.70)))</f>
        <v/>
      </c>
      <c r="K4683">
        <f>LET(
    purpose,'Loan Tape (S&amp;P)'!R4683,
    IF(purpose="Purchase",1.00,
        IF(purpose="Remortgage",1.00,
            1.20)))</f>
        <v/>
      </c>
      <c r="L4683">
        <f>LET(
    arrears_months,'Loan Tape (S&amp;P)'!AN4683,
    IF(arrears_months=0,1.00,
    IF(arrears_months=1,3.00,
    IF(arrears_months=2,5.00,
    IF(arrears_months=3,8.00,
    IF(arrears_months=4,10.00,
    IF(arrears_months=5,12.00,15.00)))))))</f>
        <v/>
      </c>
      <c r="M4683">
        <f>LET(
    seasoning_years,DATEDIF('Loan Tape (S&amp;P)'!K4683,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83">
        <f>IF(AND('Loan Tape (S&amp;P)'!U4683="Yes",
        'Loan Tape (S&amp;P)'!T4683&lt;&gt;"Yes",
        DATEDIF('Loan Tape (S&amp;P)'!K4683, TODAY(), "M")&lt;18),
    1.10,
    1.00)</f>
        <v/>
      </c>
      <c r="O4683">
        <f>IF('Loan Tape (S&amp;P)'!T4683="Yes",
    1.35,
    1.00)</f>
        <v/>
      </c>
      <c r="P4683">
        <f>IF('Loan Tape (S&amp;P)'!S4683="Yes",
    1.15,
    1.00)</f>
        <v/>
      </c>
      <c r="Q4683">
        <f>IF('Loan Tape (S&amp;P)'!V4683="Yes",
    1.20,
    1.00)</f>
        <v/>
      </c>
      <c r="T4683">
        <f>LET(
    payment_method,'Loan Tape (S&amp;P)'!P4683,
    occupancy,'Loan Tape (S&amp;P)'!N4683,
    maturity_date,'Loan Tape (S&amp;P)'!L4683,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84">
      <c r="J4684">
        <f>LET(
    lien,'Loan Tape (S&amp;P)'!Q4684,
    IF(lien="First",1.00,
        IF(lien="Second",1.50,
            1.70)))</f>
        <v/>
      </c>
      <c r="K4684">
        <f>LET(
    purpose,'Loan Tape (S&amp;P)'!R4684,
    IF(purpose="Purchase",1.00,
        IF(purpose="Remortgage",1.00,
            1.20)))</f>
        <v/>
      </c>
      <c r="L4684">
        <f>LET(
    arrears_months,'Loan Tape (S&amp;P)'!AN4684,
    IF(arrears_months=0,1.00,
    IF(arrears_months=1,3.00,
    IF(arrears_months=2,5.00,
    IF(arrears_months=3,8.00,
    IF(arrears_months=4,10.00,
    IF(arrears_months=5,12.00,15.00)))))))</f>
        <v/>
      </c>
      <c r="M4684">
        <f>LET(
    seasoning_years,DATEDIF('Loan Tape (S&amp;P)'!K4684,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84">
        <f>IF(AND('Loan Tape (S&amp;P)'!U4684="Yes",
        'Loan Tape (S&amp;P)'!T4684&lt;&gt;"Yes",
        DATEDIF('Loan Tape (S&amp;P)'!K4684, TODAY(), "M")&lt;18),
    1.10,
    1.00)</f>
        <v/>
      </c>
      <c r="O4684">
        <f>IF('Loan Tape (S&amp;P)'!T4684="Yes",
    1.35,
    1.00)</f>
        <v/>
      </c>
      <c r="P4684">
        <f>IF('Loan Tape (S&amp;P)'!S4684="Yes",
    1.15,
    1.00)</f>
        <v/>
      </c>
      <c r="Q4684">
        <f>IF('Loan Tape (S&amp;P)'!V4684="Yes",
    1.20,
    1.00)</f>
        <v/>
      </c>
      <c r="T4684">
        <f>LET(
    payment_method,'Loan Tape (S&amp;P)'!P4684,
    occupancy,'Loan Tape (S&amp;P)'!N4684,
    maturity_date,'Loan Tape (S&amp;P)'!L4684,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85">
      <c r="J4685">
        <f>LET(
    lien,'Loan Tape (S&amp;P)'!Q4685,
    IF(lien="First",1.00,
        IF(lien="Second",1.50,
            1.70)))</f>
        <v/>
      </c>
      <c r="K4685">
        <f>LET(
    purpose,'Loan Tape (S&amp;P)'!R4685,
    IF(purpose="Purchase",1.00,
        IF(purpose="Remortgage",1.00,
            1.20)))</f>
        <v/>
      </c>
      <c r="L4685">
        <f>LET(
    arrears_months,'Loan Tape (S&amp;P)'!AN4685,
    IF(arrears_months=0,1.00,
    IF(arrears_months=1,3.00,
    IF(arrears_months=2,5.00,
    IF(arrears_months=3,8.00,
    IF(arrears_months=4,10.00,
    IF(arrears_months=5,12.00,15.00)))))))</f>
        <v/>
      </c>
      <c r="M4685">
        <f>LET(
    seasoning_years,DATEDIF('Loan Tape (S&amp;P)'!K4685,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85">
        <f>IF(AND('Loan Tape (S&amp;P)'!U4685="Yes",
        'Loan Tape (S&amp;P)'!T4685&lt;&gt;"Yes",
        DATEDIF('Loan Tape (S&amp;P)'!K4685, TODAY(), "M")&lt;18),
    1.10,
    1.00)</f>
        <v/>
      </c>
      <c r="O4685">
        <f>IF('Loan Tape (S&amp;P)'!T4685="Yes",
    1.35,
    1.00)</f>
        <v/>
      </c>
      <c r="P4685">
        <f>IF('Loan Tape (S&amp;P)'!S4685="Yes",
    1.15,
    1.00)</f>
        <v/>
      </c>
      <c r="Q4685">
        <f>IF('Loan Tape (S&amp;P)'!V4685="Yes",
    1.20,
    1.00)</f>
        <v/>
      </c>
      <c r="T4685">
        <f>LET(
    payment_method,'Loan Tape (S&amp;P)'!P4685,
    occupancy,'Loan Tape (S&amp;P)'!N4685,
    maturity_date,'Loan Tape (S&amp;P)'!L4685,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86">
      <c r="J4686">
        <f>LET(
    lien,'Loan Tape (S&amp;P)'!Q4686,
    IF(lien="First",1.00,
        IF(lien="Second",1.50,
            1.70)))</f>
        <v/>
      </c>
      <c r="K4686">
        <f>LET(
    purpose,'Loan Tape (S&amp;P)'!R4686,
    IF(purpose="Purchase",1.00,
        IF(purpose="Remortgage",1.00,
            1.20)))</f>
        <v/>
      </c>
      <c r="L4686">
        <f>LET(
    arrears_months,'Loan Tape (S&amp;P)'!AN4686,
    IF(arrears_months=0,1.00,
    IF(arrears_months=1,3.00,
    IF(arrears_months=2,5.00,
    IF(arrears_months=3,8.00,
    IF(arrears_months=4,10.00,
    IF(arrears_months=5,12.00,15.00)))))))</f>
        <v/>
      </c>
      <c r="M4686">
        <f>LET(
    seasoning_years,DATEDIF('Loan Tape (S&amp;P)'!K4686,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86">
        <f>IF(AND('Loan Tape (S&amp;P)'!U4686="Yes",
        'Loan Tape (S&amp;P)'!T4686&lt;&gt;"Yes",
        DATEDIF('Loan Tape (S&amp;P)'!K4686, TODAY(), "M")&lt;18),
    1.10,
    1.00)</f>
        <v/>
      </c>
      <c r="O4686">
        <f>IF('Loan Tape (S&amp;P)'!T4686="Yes",
    1.35,
    1.00)</f>
        <v/>
      </c>
      <c r="P4686">
        <f>IF('Loan Tape (S&amp;P)'!S4686="Yes",
    1.15,
    1.00)</f>
        <v/>
      </c>
      <c r="Q4686">
        <f>IF('Loan Tape (S&amp;P)'!V4686="Yes",
    1.20,
    1.00)</f>
        <v/>
      </c>
      <c r="T4686">
        <f>LET(
    payment_method,'Loan Tape (S&amp;P)'!P4686,
    occupancy,'Loan Tape (S&amp;P)'!N4686,
    maturity_date,'Loan Tape (S&amp;P)'!L4686,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87">
      <c r="J4687">
        <f>LET(
    lien,'Loan Tape (S&amp;P)'!Q4687,
    IF(lien="First",1.00,
        IF(lien="Second",1.50,
            1.70)))</f>
        <v/>
      </c>
      <c r="K4687">
        <f>LET(
    purpose,'Loan Tape (S&amp;P)'!R4687,
    IF(purpose="Purchase",1.00,
        IF(purpose="Remortgage",1.00,
            1.20)))</f>
        <v/>
      </c>
      <c r="L4687">
        <f>LET(
    arrears_months,'Loan Tape (S&amp;P)'!AN4687,
    IF(arrears_months=0,1.00,
    IF(arrears_months=1,3.00,
    IF(arrears_months=2,5.00,
    IF(arrears_months=3,8.00,
    IF(arrears_months=4,10.00,
    IF(arrears_months=5,12.00,15.00)))))))</f>
        <v/>
      </c>
      <c r="M4687">
        <f>LET(
    seasoning_years,DATEDIF('Loan Tape (S&amp;P)'!K4687,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87">
        <f>IF(AND('Loan Tape (S&amp;P)'!U4687="Yes",
        'Loan Tape (S&amp;P)'!T4687&lt;&gt;"Yes",
        DATEDIF('Loan Tape (S&amp;P)'!K4687, TODAY(), "M")&lt;18),
    1.10,
    1.00)</f>
        <v/>
      </c>
      <c r="O4687">
        <f>IF('Loan Tape (S&amp;P)'!T4687="Yes",
    1.35,
    1.00)</f>
        <v/>
      </c>
      <c r="P4687">
        <f>IF('Loan Tape (S&amp;P)'!S4687="Yes",
    1.15,
    1.00)</f>
        <v/>
      </c>
      <c r="Q4687">
        <f>IF('Loan Tape (S&amp;P)'!V4687="Yes",
    1.20,
    1.00)</f>
        <v/>
      </c>
      <c r="T4687">
        <f>LET(
    payment_method,'Loan Tape (S&amp;P)'!P4687,
    occupancy,'Loan Tape (S&amp;P)'!N4687,
    maturity_date,'Loan Tape (S&amp;P)'!L4687,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88">
      <c r="J4688">
        <f>LET(
    lien,'Loan Tape (S&amp;P)'!Q4688,
    IF(lien="First",1.00,
        IF(lien="Second",1.50,
            1.70)))</f>
        <v/>
      </c>
      <c r="K4688">
        <f>LET(
    purpose,'Loan Tape (S&amp;P)'!R4688,
    IF(purpose="Purchase",1.00,
        IF(purpose="Remortgage",1.00,
            1.20)))</f>
        <v/>
      </c>
      <c r="L4688">
        <f>LET(
    arrears_months,'Loan Tape (S&amp;P)'!AN4688,
    IF(arrears_months=0,1.00,
    IF(arrears_months=1,3.00,
    IF(arrears_months=2,5.00,
    IF(arrears_months=3,8.00,
    IF(arrears_months=4,10.00,
    IF(arrears_months=5,12.00,15.00)))))))</f>
        <v/>
      </c>
      <c r="M4688">
        <f>LET(
    seasoning_years,DATEDIF('Loan Tape (S&amp;P)'!K4688,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88">
        <f>IF(AND('Loan Tape (S&amp;P)'!U4688="Yes",
        'Loan Tape (S&amp;P)'!T4688&lt;&gt;"Yes",
        DATEDIF('Loan Tape (S&amp;P)'!K4688, TODAY(), "M")&lt;18),
    1.10,
    1.00)</f>
        <v/>
      </c>
      <c r="O4688">
        <f>IF('Loan Tape (S&amp;P)'!T4688="Yes",
    1.35,
    1.00)</f>
        <v/>
      </c>
      <c r="P4688">
        <f>IF('Loan Tape (S&amp;P)'!S4688="Yes",
    1.15,
    1.00)</f>
        <v/>
      </c>
      <c r="Q4688">
        <f>IF('Loan Tape (S&amp;P)'!V4688="Yes",
    1.20,
    1.00)</f>
        <v/>
      </c>
      <c r="T4688">
        <f>LET(
    payment_method,'Loan Tape (S&amp;P)'!P4688,
    occupancy,'Loan Tape (S&amp;P)'!N4688,
    maturity_date,'Loan Tape (S&amp;P)'!L4688,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89">
      <c r="J4689">
        <f>LET(
    lien,'Loan Tape (S&amp;P)'!Q4689,
    IF(lien="First",1.00,
        IF(lien="Second",1.50,
            1.70)))</f>
        <v/>
      </c>
      <c r="K4689">
        <f>LET(
    purpose,'Loan Tape (S&amp;P)'!R4689,
    IF(purpose="Purchase",1.00,
        IF(purpose="Remortgage",1.00,
            1.20)))</f>
        <v/>
      </c>
      <c r="L4689">
        <f>LET(
    arrears_months,'Loan Tape (S&amp;P)'!AN4689,
    IF(arrears_months=0,1.00,
    IF(arrears_months=1,3.00,
    IF(arrears_months=2,5.00,
    IF(arrears_months=3,8.00,
    IF(arrears_months=4,10.00,
    IF(arrears_months=5,12.00,15.00)))))))</f>
        <v/>
      </c>
      <c r="M4689">
        <f>LET(
    seasoning_years,DATEDIF('Loan Tape (S&amp;P)'!K4689,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89">
        <f>IF(AND('Loan Tape (S&amp;P)'!U4689="Yes",
        'Loan Tape (S&amp;P)'!T4689&lt;&gt;"Yes",
        DATEDIF('Loan Tape (S&amp;P)'!K4689, TODAY(), "M")&lt;18),
    1.10,
    1.00)</f>
        <v/>
      </c>
      <c r="O4689">
        <f>IF('Loan Tape (S&amp;P)'!T4689="Yes",
    1.35,
    1.00)</f>
        <v/>
      </c>
      <c r="P4689">
        <f>IF('Loan Tape (S&amp;P)'!S4689="Yes",
    1.15,
    1.00)</f>
        <v/>
      </c>
      <c r="Q4689">
        <f>IF('Loan Tape (S&amp;P)'!V4689="Yes",
    1.20,
    1.00)</f>
        <v/>
      </c>
      <c r="T4689">
        <f>LET(
    payment_method,'Loan Tape (S&amp;P)'!P4689,
    occupancy,'Loan Tape (S&amp;P)'!N4689,
    maturity_date,'Loan Tape (S&amp;P)'!L4689,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90">
      <c r="J4690">
        <f>LET(
    lien,'Loan Tape (S&amp;P)'!Q4690,
    IF(lien="First",1.00,
        IF(lien="Second",1.50,
            1.70)))</f>
        <v/>
      </c>
      <c r="K4690">
        <f>LET(
    purpose,'Loan Tape (S&amp;P)'!R4690,
    IF(purpose="Purchase",1.00,
        IF(purpose="Remortgage",1.00,
            1.20)))</f>
        <v/>
      </c>
      <c r="L4690">
        <f>LET(
    arrears_months,'Loan Tape (S&amp;P)'!AN4690,
    IF(arrears_months=0,1.00,
    IF(arrears_months=1,3.00,
    IF(arrears_months=2,5.00,
    IF(arrears_months=3,8.00,
    IF(arrears_months=4,10.00,
    IF(arrears_months=5,12.00,15.00)))))))</f>
        <v/>
      </c>
      <c r="M4690">
        <f>LET(
    seasoning_years,DATEDIF('Loan Tape (S&amp;P)'!K4690,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90">
        <f>IF(AND('Loan Tape (S&amp;P)'!U4690="Yes",
        'Loan Tape (S&amp;P)'!T4690&lt;&gt;"Yes",
        DATEDIF('Loan Tape (S&amp;P)'!K4690, TODAY(), "M")&lt;18),
    1.10,
    1.00)</f>
        <v/>
      </c>
      <c r="O4690">
        <f>IF('Loan Tape (S&amp;P)'!T4690="Yes",
    1.35,
    1.00)</f>
        <v/>
      </c>
      <c r="P4690">
        <f>IF('Loan Tape (S&amp;P)'!S4690="Yes",
    1.15,
    1.00)</f>
        <v/>
      </c>
      <c r="Q4690">
        <f>IF('Loan Tape (S&amp;P)'!V4690="Yes",
    1.20,
    1.00)</f>
        <v/>
      </c>
      <c r="T4690">
        <f>LET(
    payment_method,'Loan Tape (S&amp;P)'!P4690,
    occupancy,'Loan Tape (S&amp;P)'!N4690,
    maturity_date,'Loan Tape (S&amp;P)'!L4690,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91">
      <c r="J4691">
        <f>LET(
    lien,'Loan Tape (S&amp;P)'!Q4691,
    IF(lien="First",1.00,
        IF(lien="Second",1.50,
            1.70)))</f>
        <v/>
      </c>
      <c r="K4691">
        <f>LET(
    purpose,'Loan Tape (S&amp;P)'!R4691,
    IF(purpose="Purchase",1.00,
        IF(purpose="Remortgage",1.00,
            1.20)))</f>
        <v/>
      </c>
      <c r="L4691">
        <f>LET(
    arrears_months,'Loan Tape (S&amp;P)'!AN4691,
    IF(arrears_months=0,1.00,
    IF(arrears_months=1,3.00,
    IF(arrears_months=2,5.00,
    IF(arrears_months=3,8.00,
    IF(arrears_months=4,10.00,
    IF(arrears_months=5,12.00,15.00)))))))</f>
        <v/>
      </c>
      <c r="M4691">
        <f>LET(
    seasoning_years,DATEDIF('Loan Tape (S&amp;P)'!K4691,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91">
        <f>IF(AND('Loan Tape (S&amp;P)'!U4691="Yes",
        'Loan Tape (S&amp;P)'!T4691&lt;&gt;"Yes",
        DATEDIF('Loan Tape (S&amp;P)'!K4691, TODAY(), "M")&lt;18),
    1.10,
    1.00)</f>
        <v/>
      </c>
      <c r="O4691">
        <f>IF('Loan Tape (S&amp;P)'!T4691="Yes",
    1.35,
    1.00)</f>
        <v/>
      </c>
      <c r="P4691">
        <f>IF('Loan Tape (S&amp;P)'!S4691="Yes",
    1.15,
    1.00)</f>
        <v/>
      </c>
      <c r="Q4691">
        <f>IF('Loan Tape (S&amp;P)'!V4691="Yes",
    1.20,
    1.00)</f>
        <v/>
      </c>
      <c r="T4691">
        <f>LET(
    payment_method,'Loan Tape (S&amp;P)'!P4691,
    occupancy,'Loan Tape (S&amp;P)'!N4691,
    maturity_date,'Loan Tape (S&amp;P)'!L4691,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92">
      <c r="J4692">
        <f>LET(
    lien,'Loan Tape (S&amp;P)'!Q4692,
    IF(lien="First",1.00,
        IF(lien="Second",1.50,
            1.70)))</f>
        <v/>
      </c>
      <c r="K4692">
        <f>LET(
    purpose,'Loan Tape (S&amp;P)'!R4692,
    IF(purpose="Purchase",1.00,
        IF(purpose="Remortgage",1.00,
            1.20)))</f>
        <v/>
      </c>
      <c r="L4692">
        <f>LET(
    arrears_months,'Loan Tape (S&amp;P)'!AN4692,
    IF(arrears_months=0,1.00,
    IF(arrears_months=1,3.00,
    IF(arrears_months=2,5.00,
    IF(arrears_months=3,8.00,
    IF(arrears_months=4,10.00,
    IF(arrears_months=5,12.00,15.00)))))))</f>
        <v/>
      </c>
      <c r="M4692">
        <f>LET(
    seasoning_years,DATEDIF('Loan Tape (S&amp;P)'!K4692,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92">
        <f>IF(AND('Loan Tape (S&amp;P)'!U4692="Yes",
        'Loan Tape (S&amp;P)'!T4692&lt;&gt;"Yes",
        DATEDIF('Loan Tape (S&amp;P)'!K4692, TODAY(), "M")&lt;18),
    1.10,
    1.00)</f>
        <v/>
      </c>
      <c r="O4692">
        <f>IF('Loan Tape (S&amp;P)'!T4692="Yes",
    1.35,
    1.00)</f>
        <v/>
      </c>
      <c r="P4692">
        <f>IF('Loan Tape (S&amp;P)'!S4692="Yes",
    1.15,
    1.00)</f>
        <v/>
      </c>
      <c r="Q4692">
        <f>IF('Loan Tape (S&amp;P)'!V4692="Yes",
    1.20,
    1.00)</f>
        <v/>
      </c>
      <c r="T4692">
        <f>LET(
    payment_method,'Loan Tape (S&amp;P)'!P4692,
    occupancy,'Loan Tape (S&amp;P)'!N4692,
    maturity_date,'Loan Tape (S&amp;P)'!L4692,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93">
      <c r="J4693">
        <f>LET(
    lien,'Loan Tape (S&amp;P)'!Q4693,
    IF(lien="First",1.00,
        IF(lien="Second",1.50,
            1.70)))</f>
        <v/>
      </c>
      <c r="K4693">
        <f>LET(
    purpose,'Loan Tape (S&amp;P)'!R4693,
    IF(purpose="Purchase",1.00,
        IF(purpose="Remortgage",1.00,
            1.20)))</f>
        <v/>
      </c>
      <c r="L4693">
        <f>LET(
    arrears_months,'Loan Tape (S&amp;P)'!AN4693,
    IF(arrears_months=0,1.00,
    IF(arrears_months=1,3.00,
    IF(arrears_months=2,5.00,
    IF(arrears_months=3,8.00,
    IF(arrears_months=4,10.00,
    IF(arrears_months=5,12.00,15.00)))))))</f>
        <v/>
      </c>
      <c r="M4693">
        <f>LET(
    seasoning_years,DATEDIF('Loan Tape (S&amp;P)'!K4693,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93">
        <f>IF(AND('Loan Tape (S&amp;P)'!U4693="Yes",
        'Loan Tape (S&amp;P)'!T4693&lt;&gt;"Yes",
        DATEDIF('Loan Tape (S&amp;P)'!K4693, TODAY(), "M")&lt;18),
    1.10,
    1.00)</f>
        <v/>
      </c>
      <c r="O4693">
        <f>IF('Loan Tape (S&amp;P)'!T4693="Yes",
    1.35,
    1.00)</f>
        <v/>
      </c>
      <c r="P4693">
        <f>IF('Loan Tape (S&amp;P)'!S4693="Yes",
    1.15,
    1.00)</f>
        <v/>
      </c>
      <c r="Q4693">
        <f>IF('Loan Tape (S&amp;P)'!V4693="Yes",
    1.20,
    1.00)</f>
        <v/>
      </c>
      <c r="T4693">
        <f>LET(
    payment_method,'Loan Tape (S&amp;P)'!P4693,
    occupancy,'Loan Tape (S&amp;P)'!N4693,
    maturity_date,'Loan Tape (S&amp;P)'!L4693,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94">
      <c r="J4694">
        <f>LET(
    lien,'Loan Tape (S&amp;P)'!Q4694,
    IF(lien="First",1.00,
        IF(lien="Second",1.50,
            1.70)))</f>
        <v/>
      </c>
      <c r="K4694">
        <f>LET(
    purpose,'Loan Tape (S&amp;P)'!R4694,
    IF(purpose="Purchase",1.00,
        IF(purpose="Remortgage",1.00,
            1.20)))</f>
        <v/>
      </c>
      <c r="L4694">
        <f>LET(
    arrears_months,'Loan Tape (S&amp;P)'!AN4694,
    IF(arrears_months=0,1.00,
    IF(arrears_months=1,3.00,
    IF(arrears_months=2,5.00,
    IF(arrears_months=3,8.00,
    IF(arrears_months=4,10.00,
    IF(arrears_months=5,12.00,15.00)))))))</f>
        <v/>
      </c>
      <c r="M4694">
        <f>LET(
    seasoning_years,DATEDIF('Loan Tape (S&amp;P)'!K4694,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94">
        <f>IF(AND('Loan Tape (S&amp;P)'!U4694="Yes",
        'Loan Tape (S&amp;P)'!T4694&lt;&gt;"Yes",
        DATEDIF('Loan Tape (S&amp;P)'!K4694, TODAY(), "M")&lt;18),
    1.10,
    1.00)</f>
        <v/>
      </c>
      <c r="O4694">
        <f>IF('Loan Tape (S&amp;P)'!T4694="Yes",
    1.35,
    1.00)</f>
        <v/>
      </c>
      <c r="P4694">
        <f>IF('Loan Tape (S&amp;P)'!S4694="Yes",
    1.15,
    1.00)</f>
        <v/>
      </c>
      <c r="Q4694">
        <f>IF('Loan Tape (S&amp;P)'!V4694="Yes",
    1.20,
    1.00)</f>
        <v/>
      </c>
      <c r="T4694">
        <f>LET(
    payment_method,'Loan Tape (S&amp;P)'!P4694,
    occupancy,'Loan Tape (S&amp;P)'!N4694,
    maturity_date,'Loan Tape (S&amp;P)'!L4694,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95">
      <c r="J4695">
        <f>LET(
    lien,'Loan Tape (S&amp;P)'!Q4695,
    IF(lien="First",1.00,
        IF(lien="Second",1.50,
            1.70)))</f>
        <v/>
      </c>
      <c r="K4695">
        <f>LET(
    purpose,'Loan Tape (S&amp;P)'!R4695,
    IF(purpose="Purchase",1.00,
        IF(purpose="Remortgage",1.00,
            1.20)))</f>
        <v/>
      </c>
      <c r="L4695">
        <f>LET(
    arrears_months,'Loan Tape (S&amp;P)'!AN4695,
    IF(arrears_months=0,1.00,
    IF(arrears_months=1,3.00,
    IF(arrears_months=2,5.00,
    IF(arrears_months=3,8.00,
    IF(arrears_months=4,10.00,
    IF(arrears_months=5,12.00,15.00)))))))</f>
        <v/>
      </c>
      <c r="M4695">
        <f>LET(
    seasoning_years,DATEDIF('Loan Tape (S&amp;P)'!K4695,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95">
        <f>IF(AND('Loan Tape (S&amp;P)'!U4695="Yes",
        'Loan Tape (S&amp;P)'!T4695&lt;&gt;"Yes",
        DATEDIF('Loan Tape (S&amp;P)'!K4695, TODAY(), "M")&lt;18),
    1.10,
    1.00)</f>
        <v/>
      </c>
      <c r="O4695">
        <f>IF('Loan Tape (S&amp;P)'!T4695="Yes",
    1.35,
    1.00)</f>
        <v/>
      </c>
      <c r="P4695">
        <f>IF('Loan Tape (S&amp;P)'!S4695="Yes",
    1.15,
    1.00)</f>
        <v/>
      </c>
      <c r="Q4695">
        <f>IF('Loan Tape (S&amp;P)'!V4695="Yes",
    1.20,
    1.00)</f>
        <v/>
      </c>
      <c r="T4695">
        <f>LET(
    payment_method,'Loan Tape (S&amp;P)'!P4695,
    occupancy,'Loan Tape (S&amp;P)'!N4695,
    maturity_date,'Loan Tape (S&amp;P)'!L4695,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96">
      <c r="J4696">
        <f>LET(
    lien,'Loan Tape (S&amp;P)'!Q4696,
    IF(lien="First",1.00,
        IF(lien="Second",1.50,
            1.70)))</f>
        <v/>
      </c>
      <c r="K4696">
        <f>LET(
    purpose,'Loan Tape (S&amp;P)'!R4696,
    IF(purpose="Purchase",1.00,
        IF(purpose="Remortgage",1.00,
            1.20)))</f>
        <v/>
      </c>
      <c r="L4696">
        <f>LET(
    arrears_months,'Loan Tape (S&amp;P)'!AN4696,
    IF(arrears_months=0,1.00,
    IF(arrears_months=1,3.00,
    IF(arrears_months=2,5.00,
    IF(arrears_months=3,8.00,
    IF(arrears_months=4,10.00,
    IF(arrears_months=5,12.00,15.00)))))))</f>
        <v/>
      </c>
      <c r="M4696">
        <f>LET(
    seasoning_years,DATEDIF('Loan Tape (S&amp;P)'!K4696,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96">
        <f>IF(AND('Loan Tape (S&amp;P)'!U4696="Yes",
        'Loan Tape (S&amp;P)'!T4696&lt;&gt;"Yes",
        DATEDIF('Loan Tape (S&amp;P)'!K4696, TODAY(), "M")&lt;18),
    1.10,
    1.00)</f>
        <v/>
      </c>
      <c r="O4696">
        <f>IF('Loan Tape (S&amp;P)'!T4696="Yes",
    1.35,
    1.00)</f>
        <v/>
      </c>
      <c r="P4696">
        <f>IF('Loan Tape (S&amp;P)'!S4696="Yes",
    1.15,
    1.00)</f>
        <v/>
      </c>
      <c r="Q4696">
        <f>IF('Loan Tape (S&amp;P)'!V4696="Yes",
    1.20,
    1.00)</f>
        <v/>
      </c>
      <c r="T4696">
        <f>LET(
    payment_method,'Loan Tape (S&amp;P)'!P4696,
    occupancy,'Loan Tape (S&amp;P)'!N4696,
    maturity_date,'Loan Tape (S&amp;P)'!L4696,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97">
      <c r="J4697">
        <f>LET(
    lien,'Loan Tape (S&amp;P)'!Q4697,
    IF(lien="First",1.00,
        IF(lien="Second",1.50,
            1.70)))</f>
        <v/>
      </c>
      <c r="K4697">
        <f>LET(
    purpose,'Loan Tape (S&amp;P)'!R4697,
    IF(purpose="Purchase",1.00,
        IF(purpose="Remortgage",1.00,
            1.20)))</f>
        <v/>
      </c>
      <c r="L4697">
        <f>LET(
    arrears_months,'Loan Tape (S&amp;P)'!AN4697,
    IF(arrears_months=0,1.00,
    IF(arrears_months=1,3.00,
    IF(arrears_months=2,5.00,
    IF(arrears_months=3,8.00,
    IF(arrears_months=4,10.00,
    IF(arrears_months=5,12.00,15.00)))))))</f>
        <v/>
      </c>
      <c r="M4697">
        <f>LET(
    seasoning_years,DATEDIF('Loan Tape (S&amp;P)'!K4697,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97">
        <f>IF(AND('Loan Tape (S&amp;P)'!U4697="Yes",
        'Loan Tape (S&amp;P)'!T4697&lt;&gt;"Yes",
        DATEDIF('Loan Tape (S&amp;P)'!K4697, TODAY(), "M")&lt;18),
    1.10,
    1.00)</f>
        <v/>
      </c>
      <c r="O4697">
        <f>IF('Loan Tape (S&amp;P)'!T4697="Yes",
    1.35,
    1.00)</f>
        <v/>
      </c>
      <c r="P4697">
        <f>IF('Loan Tape (S&amp;P)'!S4697="Yes",
    1.15,
    1.00)</f>
        <v/>
      </c>
      <c r="Q4697">
        <f>IF('Loan Tape (S&amp;P)'!V4697="Yes",
    1.20,
    1.00)</f>
        <v/>
      </c>
      <c r="T4697">
        <f>LET(
    payment_method,'Loan Tape (S&amp;P)'!P4697,
    occupancy,'Loan Tape (S&amp;P)'!N4697,
    maturity_date,'Loan Tape (S&amp;P)'!L4697,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98">
      <c r="J4698">
        <f>LET(
    lien,'Loan Tape (S&amp;P)'!Q4698,
    IF(lien="First",1.00,
        IF(lien="Second",1.50,
            1.70)))</f>
        <v/>
      </c>
      <c r="K4698">
        <f>LET(
    purpose,'Loan Tape (S&amp;P)'!R4698,
    IF(purpose="Purchase",1.00,
        IF(purpose="Remortgage",1.00,
            1.20)))</f>
        <v/>
      </c>
      <c r="L4698">
        <f>LET(
    arrears_months,'Loan Tape (S&amp;P)'!AN4698,
    IF(arrears_months=0,1.00,
    IF(arrears_months=1,3.00,
    IF(arrears_months=2,5.00,
    IF(arrears_months=3,8.00,
    IF(arrears_months=4,10.00,
    IF(arrears_months=5,12.00,15.00)))))))</f>
        <v/>
      </c>
      <c r="M4698">
        <f>LET(
    seasoning_years,DATEDIF('Loan Tape (S&amp;P)'!K4698,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98">
        <f>IF(AND('Loan Tape (S&amp;P)'!U4698="Yes",
        'Loan Tape (S&amp;P)'!T4698&lt;&gt;"Yes",
        DATEDIF('Loan Tape (S&amp;P)'!K4698, TODAY(), "M")&lt;18),
    1.10,
    1.00)</f>
        <v/>
      </c>
      <c r="O4698">
        <f>IF('Loan Tape (S&amp;P)'!T4698="Yes",
    1.35,
    1.00)</f>
        <v/>
      </c>
      <c r="P4698">
        <f>IF('Loan Tape (S&amp;P)'!S4698="Yes",
    1.15,
    1.00)</f>
        <v/>
      </c>
      <c r="Q4698">
        <f>IF('Loan Tape (S&amp;P)'!V4698="Yes",
    1.20,
    1.00)</f>
        <v/>
      </c>
      <c r="T4698">
        <f>LET(
    payment_method,'Loan Tape (S&amp;P)'!P4698,
    occupancy,'Loan Tape (S&amp;P)'!N4698,
    maturity_date,'Loan Tape (S&amp;P)'!L4698,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699">
      <c r="J4699">
        <f>LET(
    lien,'Loan Tape (S&amp;P)'!Q4699,
    IF(lien="First",1.00,
        IF(lien="Second",1.50,
            1.70)))</f>
        <v/>
      </c>
      <c r="K4699">
        <f>LET(
    purpose,'Loan Tape (S&amp;P)'!R4699,
    IF(purpose="Purchase",1.00,
        IF(purpose="Remortgage",1.00,
            1.20)))</f>
        <v/>
      </c>
      <c r="L4699">
        <f>LET(
    arrears_months,'Loan Tape (S&amp;P)'!AN4699,
    IF(arrears_months=0,1.00,
    IF(arrears_months=1,3.00,
    IF(arrears_months=2,5.00,
    IF(arrears_months=3,8.00,
    IF(arrears_months=4,10.00,
    IF(arrears_months=5,12.00,15.00)))))))</f>
        <v/>
      </c>
      <c r="M4699">
        <f>LET(
    seasoning_years,DATEDIF('Loan Tape (S&amp;P)'!K4699,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699">
        <f>IF(AND('Loan Tape (S&amp;P)'!U4699="Yes",
        'Loan Tape (S&amp;P)'!T4699&lt;&gt;"Yes",
        DATEDIF('Loan Tape (S&amp;P)'!K4699, TODAY(), "M")&lt;18),
    1.10,
    1.00)</f>
        <v/>
      </c>
      <c r="O4699">
        <f>IF('Loan Tape (S&amp;P)'!T4699="Yes",
    1.35,
    1.00)</f>
        <v/>
      </c>
      <c r="P4699">
        <f>IF('Loan Tape (S&amp;P)'!S4699="Yes",
    1.15,
    1.00)</f>
        <v/>
      </c>
      <c r="Q4699">
        <f>IF('Loan Tape (S&amp;P)'!V4699="Yes",
    1.20,
    1.00)</f>
        <v/>
      </c>
      <c r="T4699">
        <f>LET(
    payment_method,'Loan Tape (S&amp;P)'!P4699,
    occupancy,'Loan Tape (S&amp;P)'!N4699,
    maturity_date,'Loan Tape (S&amp;P)'!L4699,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00">
      <c r="J4700">
        <f>LET(
    lien,'Loan Tape (S&amp;P)'!Q4700,
    IF(lien="First",1.00,
        IF(lien="Second",1.50,
            1.70)))</f>
        <v/>
      </c>
      <c r="K4700">
        <f>LET(
    purpose,'Loan Tape (S&amp;P)'!R4700,
    IF(purpose="Purchase",1.00,
        IF(purpose="Remortgage",1.00,
            1.20)))</f>
        <v/>
      </c>
      <c r="L4700">
        <f>LET(
    arrears_months,'Loan Tape (S&amp;P)'!AN4700,
    IF(arrears_months=0,1.00,
    IF(arrears_months=1,3.00,
    IF(arrears_months=2,5.00,
    IF(arrears_months=3,8.00,
    IF(arrears_months=4,10.00,
    IF(arrears_months=5,12.00,15.00)))))))</f>
        <v/>
      </c>
      <c r="M4700">
        <f>LET(
    seasoning_years,DATEDIF('Loan Tape (S&amp;P)'!K4700,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00">
        <f>IF(AND('Loan Tape (S&amp;P)'!U4700="Yes",
        'Loan Tape (S&amp;P)'!T4700&lt;&gt;"Yes",
        DATEDIF('Loan Tape (S&amp;P)'!K4700, TODAY(), "M")&lt;18),
    1.10,
    1.00)</f>
        <v/>
      </c>
      <c r="O4700">
        <f>IF('Loan Tape (S&amp;P)'!T4700="Yes",
    1.35,
    1.00)</f>
        <v/>
      </c>
      <c r="P4700">
        <f>IF('Loan Tape (S&amp;P)'!S4700="Yes",
    1.15,
    1.00)</f>
        <v/>
      </c>
      <c r="Q4700">
        <f>IF('Loan Tape (S&amp;P)'!V4700="Yes",
    1.20,
    1.00)</f>
        <v/>
      </c>
      <c r="T4700">
        <f>LET(
    payment_method,'Loan Tape (S&amp;P)'!P4700,
    occupancy,'Loan Tape (S&amp;P)'!N4700,
    maturity_date,'Loan Tape (S&amp;P)'!L4700,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01">
      <c r="J4701">
        <f>LET(
    lien,'Loan Tape (S&amp;P)'!Q4701,
    IF(lien="First",1.00,
        IF(lien="Second",1.50,
            1.70)))</f>
        <v/>
      </c>
      <c r="K4701">
        <f>LET(
    purpose,'Loan Tape (S&amp;P)'!R4701,
    IF(purpose="Purchase",1.00,
        IF(purpose="Remortgage",1.00,
            1.20)))</f>
        <v/>
      </c>
      <c r="L4701">
        <f>LET(
    arrears_months,'Loan Tape (S&amp;P)'!AN4701,
    IF(arrears_months=0,1.00,
    IF(arrears_months=1,3.00,
    IF(arrears_months=2,5.00,
    IF(arrears_months=3,8.00,
    IF(arrears_months=4,10.00,
    IF(arrears_months=5,12.00,15.00)))))))</f>
        <v/>
      </c>
      <c r="M4701">
        <f>LET(
    seasoning_years,DATEDIF('Loan Tape (S&amp;P)'!K4701,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01">
        <f>IF(AND('Loan Tape (S&amp;P)'!U4701="Yes",
        'Loan Tape (S&amp;P)'!T4701&lt;&gt;"Yes",
        DATEDIF('Loan Tape (S&amp;P)'!K4701, TODAY(), "M")&lt;18),
    1.10,
    1.00)</f>
        <v/>
      </c>
      <c r="O4701">
        <f>IF('Loan Tape (S&amp;P)'!T4701="Yes",
    1.35,
    1.00)</f>
        <v/>
      </c>
      <c r="P4701">
        <f>IF('Loan Tape (S&amp;P)'!S4701="Yes",
    1.15,
    1.00)</f>
        <v/>
      </c>
      <c r="Q4701">
        <f>IF('Loan Tape (S&amp;P)'!V4701="Yes",
    1.20,
    1.00)</f>
        <v/>
      </c>
      <c r="T4701">
        <f>LET(
    payment_method,'Loan Tape (S&amp;P)'!P4701,
    occupancy,'Loan Tape (S&amp;P)'!N4701,
    maturity_date,'Loan Tape (S&amp;P)'!L4701,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02">
      <c r="J4702">
        <f>LET(
    lien,'Loan Tape (S&amp;P)'!Q4702,
    IF(lien="First",1.00,
        IF(lien="Second",1.50,
            1.70)))</f>
        <v/>
      </c>
      <c r="K4702">
        <f>LET(
    purpose,'Loan Tape (S&amp;P)'!R4702,
    IF(purpose="Purchase",1.00,
        IF(purpose="Remortgage",1.00,
            1.20)))</f>
        <v/>
      </c>
      <c r="L4702">
        <f>LET(
    arrears_months,'Loan Tape (S&amp;P)'!AN4702,
    IF(arrears_months=0,1.00,
    IF(arrears_months=1,3.00,
    IF(arrears_months=2,5.00,
    IF(arrears_months=3,8.00,
    IF(arrears_months=4,10.00,
    IF(arrears_months=5,12.00,15.00)))))))</f>
        <v/>
      </c>
      <c r="M4702">
        <f>LET(
    seasoning_years,DATEDIF('Loan Tape (S&amp;P)'!K4702,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02">
        <f>IF(AND('Loan Tape (S&amp;P)'!U4702="Yes",
        'Loan Tape (S&amp;P)'!T4702&lt;&gt;"Yes",
        DATEDIF('Loan Tape (S&amp;P)'!K4702, TODAY(), "M")&lt;18),
    1.10,
    1.00)</f>
        <v/>
      </c>
      <c r="O4702">
        <f>IF('Loan Tape (S&amp;P)'!T4702="Yes",
    1.35,
    1.00)</f>
        <v/>
      </c>
      <c r="P4702">
        <f>IF('Loan Tape (S&amp;P)'!S4702="Yes",
    1.15,
    1.00)</f>
        <v/>
      </c>
      <c r="Q4702">
        <f>IF('Loan Tape (S&amp;P)'!V4702="Yes",
    1.20,
    1.00)</f>
        <v/>
      </c>
      <c r="T4702">
        <f>LET(
    payment_method,'Loan Tape (S&amp;P)'!P4702,
    occupancy,'Loan Tape (S&amp;P)'!N4702,
    maturity_date,'Loan Tape (S&amp;P)'!L4702,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03">
      <c r="J4703">
        <f>LET(
    lien,'Loan Tape (S&amp;P)'!Q4703,
    IF(lien="First",1.00,
        IF(lien="Second",1.50,
            1.70)))</f>
        <v/>
      </c>
      <c r="K4703">
        <f>LET(
    purpose,'Loan Tape (S&amp;P)'!R4703,
    IF(purpose="Purchase",1.00,
        IF(purpose="Remortgage",1.00,
            1.20)))</f>
        <v/>
      </c>
      <c r="L4703">
        <f>LET(
    arrears_months,'Loan Tape (S&amp;P)'!AN4703,
    IF(arrears_months=0,1.00,
    IF(arrears_months=1,3.00,
    IF(arrears_months=2,5.00,
    IF(arrears_months=3,8.00,
    IF(arrears_months=4,10.00,
    IF(arrears_months=5,12.00,15.00)))))))</f>
        <v/>
      </c>
      <c r="M4703">
        <f>LET(
    seasoning_years,DATEDIF('Loan Tape (S&amp;P)'!K4703,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03">
        <f>IF(AND('Loan Tape (S&amp;P)'!U4703="Yes",
        'Loan Tape (S&amp;P)'!T4703&lt;&gt;"Yes",
        DATEDIF('Loan Tape (S&amp;P)'!K4703, TODAY(), "M")&lt;18),
    1.10,
    1.00)</f>
        <v/>
      </c>
      <c r="O4703">
        <f>IF('Loan Tape (S&amp;P)'!T4703="Yes",
    1.35,
    1.00)</f>
        <v/>
      </c>
      <c r="P4703">
        <f>IF('Loan Tape (S&amp;P)'!S4703="Yes",
    1.15,
    1.00)</f>
        <v/>
      </c>
      <c r="Q4703">
        <f>IF('Loan Tape (S&amp;P)'!V4703="Yes",
    1.20,
    1.00)</f>
        <v/>
      </c>
      <c r="T4703">
        <f>LET(
    payment_method,'Loan Tape (S&amp;P)'!P4703,
    occupancy,'Loan Tape (S&amp;P)'!N4703,
    maturity_date,'Loan Tape (S&amp;P)'!L4703,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04">
      <c r="J4704">
        <f>LET(
    lien,'Loan Tape (S&amp;P)'!Q4704,
    IF(lien="First",1.00,
        IF(lien="Second",1.50,
            1.70)))</f>
        <v/>
      </c>
      <c r="K4704">
        <f>LET(
    purpose,'Loan Tape (S&amp;P)'!R4704,
    IF(purpose="Purchase",1.00,
        IF(purpose="Remortgage",1.00,
            1.20)))</f>
        <v/>
      </c>
      <c r="L4704">
        <f>LET(
    arrears_months,'Loan Tape (S&amp;P)'!AN4704,
    IF(arrears_months=0,1.00,
    IF(arrears_months=1,3.00,
    IF(arrears_months=2,5.00,
    IF(arrears_months=3,8.00,
    IF(arrears_months=4,10.00,
    IF(arrears_months=5,12.00,15.00)))))))</f>
        <v/>
      </c>
      <c r="M4704">
        <f>LET(
    seasoning_years,DATEDIF('Loan Tape (S&amp;P)'!K4704,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04">
        <f>IF(AND('Loan Tape (S&amp;P)'!U4704="Yes",
        'Loan Tape (S&amp;P)'!T4704&lt;&gt;"Yes",
        DATEDIF('Loan Tape (S&amp;P)'!K4704, TODAY(), "M")&lt;18),
    1.10,
    1.00)</f>
        <v/>
      </c>
      <c r="O4704">
        <f>IF('Loan Tape (S&amp;P)'!T4704="Yes",
    1.35,
    1.00)</f>
        <v/>
      </c>
      <c r="P4704">
        <f>IF('Loan Tape (S&amp;P)'!S4704="Yes",
    1.15,
    1.00)</f>
        <v/>
      </c>
      <c r="Q4704">
        <f>IF('Loan Tape (S&amp;P)'!V4704="Yes",
    1.20,
    1.00)</f>
        <v/>
      </c>
      <c r="T4704">
        <f>LET(
    payment_method,'Loan Tape (S&amp;P)'!P4704,
    occupancy,'Loan Tape (S&amp;P)'!N4704,
    maturity_date,'Loan Tape (S&amp;P)'!L4704,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05">
      <c r="J4705">
        <f>LET(
    lien,'Loan Tape (S&amp;P)'!Q4705,
    IF(lien="First",1.00,
        IF(lien="Second",1.50,
            1.70)))</f>
        <v/>
      </c>
      <c r="K4705">
        <f>LET(
    purpose,'Loan Tape (S&amp;P)'!R4705,
    IF(purpose="Purchase",1.00,
        IF(purpose="Remortgage",1.00,
            1.20)))</f>
        <v/>
      </c>
      <c r="L4705">
        <f>LET(
    arrears_months,'Loan Tape (S&amp;P)'!AN4705,
    IF(arrears_months=0,1.00,
    IF(arrears_months=1,3.00,
    IF(arrears_months=2,5.00,
    IF(arrears_months=3,8.00,
    IF(arrears_months=4,10.00,
    IF(arrears_months=5,12.00,15.00)))))))</f>
        <v/>
      </c>
      <c r="M4705">
        <f>LET(
    seasoning_years,DATEDIF('Loan Tape (S&amp;P)'!K4705,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05">
        <f>IF(AND('Loan Tape (S&amp;P)'!U4705="Yes",
        'Loan Tape (S&amp;P)'!T4705&lt;&gt;"Yes",
        DATEDIF('Loan Tape (S&amp;P)'!K4705, TODAY(), "M")&lt;18),
    1.10,
    1.00)</f>
        <v/>
      </c>
      <c r="O4705">
        <f>IF('Loan Tape (S&amp;P)'!T4705="Yes",
    1.35,
    1.00)</f>
        <v/>
      </c>
      <c r="P4705">
        <f>IF('Loan Tape (S&amp;P)'!S4705="Yes",
    1.15,
    1.00)</f>
        <v/>
      </c>
      <c r="Q4705">
        <f>IF('Loan Tape (S&amp;P)'!V4705="Yes",
    1.20,
    1.00)</f>
        <v/>
      </c>
      <c r="T4705">
        <f>LET(
    payment_method,'Loan Tape (S&amp;P)'!P4705,
    occupancy,'Loan Tape (S&amp;P)'!N4705,
    maturity_date,'Loan Tape (S&amp;P)'!L4705,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06">
      <c r="J4706">
        <f>LET(
    lien,'Loan Tape (S&amp;P)'!Q4706,
    IF(lien="First",1.00,
        IF(lien="Second",1.50,
            1.70)))</f>
        <v/>
      </c>
      <c r="K4706">
        <f>LET(
    purpose,'Loan Tape (S&amp;P)'!R4706,
    IF(purpose="Purchase",1.00,
        IF(purpose="Remortgage",1.00,
            1.20)))</f>
        <v/>
      </c>
      <c r="L4706">
        <f>LET(
    arrears_months,'Loan Tape (S&amp;P)'!AN4706,
    IF(arrears_months=0,1.00,
    IF(arrears_months=1,3.00,
    IF(arrears_months=2,5.00,
    IF(arrears_months=3,8.00,
    IF(arrears_months=4,10.00,
    IF(arrears_months=5,12.00,15.00)))))))</f>
        <v/>
      </c>
      <c r="M4706">
        <f>LET(
    seasoning_years,DATEDIF('Loan Tape (S&amp;P)'!K4706,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06">
        <f>IF(AND('Loan Tape (S&amp;P)'!U4706="Yes",
        'Loan Tape (S&amp;P)'!T4706&lt;&gt;"Yes",
        DATEDIF('Loan Tape (S&amp;P)'!K4706, TODAY(), "M")&lt;18),
    1.10,
    1.00)</f>
        <v/>
      </c>
      <c r="O4706">
        <f>IF('Loan Tape (S&amp;P)'!T4706="Yes",
    1.35,
    1.00)</f>
        <v/>
      </c>
      <c r="P4706">
        <f>IF('Loan Tape (S&amp;P)'!S4706="Yes",
    1.15,
    1.00)</f>
        <v/>
      </c>
      <c r="Q4706">
        <f>IF('Loan Tape (S&amp;P)'!V4706="Yes",
    1.20,
    1.00)</f>
        <v/>
      </c>
      <c r="T4706">
        <f>LET(
    payment_method,'Loan Tape (S&amp;P)'!P4706,
    occupancy,'Loan Tape (S&amp;P)'!N4706,
    maturity_date,'Loan Tape (S&amp;P)'!L4706,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07">
      <c r="J4707">
        <f>LET(
    lien,'Loan Tape (S&amp;P)'!Q4707,
    IF(lien="First",1.00,
        IF(lien="Second",1.50,
            1.70)))</f>
        <v/>
      </c>
      <c r="K4707">
        <f>LET(
    purpose,'Loan Tape (S&amp;P)'!R4707,
    IF(purpose="Purchase",1.00,
        IF(purpose="Remortgage",1.00,
            1.20)))</f>
        <v/>
      </c>
      <c r="L4707">
        <f>LET(
    arrears_months,'Loan Tape (S&amp;P)'!AN4707,
    IF(arrears_months=0,1.00,
    IF(arrears_months=1,3.00,
    IF(arrears_months=2,5.00,
    IF(arrears_months=3,8.00,
    IF(arrears_months=4,10.00,
    IF(arrears_months=5,12.00,15.00)))))))</f>
        <v/>
      </c>
      <c r="M4707">
        <f>LET(
    seasoning_years,DATEDIF('Loan Tape (S&amp;P)'!K4707,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07">
        <f>IF(AND('Loan Tape (S&amp;P)'!U4707="Yes",
        'Loan Tape (S&amp;P)'!T4707&lt;&gt;"Yes",
        DATEDIF('Loan Tape (S&amp;P)'!K4707, TODAY(), "M")&lt;18),
    1.10,
    1.00)</f>
        <v/>
      </c>
      <c r="O4707">
        <f>IF('Loan Tape (S&amp;P)'!T4707="Yes",
    1.35,
    1.00)</f>
        <v/>
      </c>
      <c r="P4707">
        <f>IF('Loan Tape (S&amp;P)'!S4707="Yes",
    1.15,
    1.00)</f>
        <v/>
      </c>
      <c r="Q4707">
        <f>IF('Loan Tape (S&amp;P)'!V4707="Yes",
    1.20,
    1.00)</f>
        <v/>
      </c>
      <c r="T4707">
        <f>LET(
    payment_method,'Loan Tape (S&amp;P)'!P4707,
    occupancy,'Loan Tape (S&amp;P)'!N4707,
    maturity_date,'Loan Tape (S&amp;P)'!L4707,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08">
      <c r="J4708">
        <f>LET(
    lien,'Loan Tape (S&amp;P)'!Q4708,
    IF(lien="First",1.00,
        IF(lien="Second",1.50,
            1.70)))</f>
        <v/>
      </c>
      <c r="K4708">
        <f>LET(
    purpose,'Loan Tape (S&amp;P)'!R4708,
    IF(purpose="Purchase",1.00,
        IF(purpose="Remortgage",1.00,
            1.20)))</f>
        <v/>
      </c>
      <c r="L4708">
        <f>LET(
    arrears_months,'Loan Tape (S&amp;P)'!AN4708,
    IF(arrears_months=0,1.00,
    IF(arrears_months=1,3.00,
    IF(arrears_months=2,5.00,
    IF(arrears_months=3,8.00,
    IF(arrears_months=4,10.00,
    IF(arrears_months=5,12.00,15.00)))))))</f>
        <v/>
      </c>
      <c r="M4708">
        <f>LET(
    seasoning_years,DATEDIF('Loan Tape (S&amp;P)'!K4708,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08">
        <f>IF(AND('Loan Tape (S&amp;P)'!U4708="Yes",
        'Loan Tape (S&amp;P)'!T4708&lt;&gt;"Yes",
        DATEDIF('Loan Tape (S&amp;P)'!K4708, TODAY(), "M")&lt;18),
    1.10,
    1.00)</f>
        <v/>
      </c>
      <c r="O4708">
        <f>IF('Loan Tape (S&amp;P)'!T4708="Yes",
    1.35,
    1.00)</f>
        <v/>
      </c>
      <c r="P4708">
        <f>IF('Loan Tape (S&amp;P)'!S4708="Yes",
    1.15,
    1.00)</f>
        <v/>
      </c>
      <c r="Q4708">
        <f>IF('Loan Tape (S&amp;P)'!V4708="Yes",
    1.20,
    1.00)</f>
        <v/>
      </c>
      <c r="T4708">
        <f>LET(
    payment_method,'Loan Tape (S&amp;P)'!P4708,
    occupancy,'Loan Tape (S&amp;P)'!N4708,
    maturity_date,'Loan Tape (S&amp;P)'!L4708,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09">
      <c r="J4709">
        <f>LET(
    lien,'Loan Tape (S&amp;P)'!Q4709,
    IF(lien="First",1.00,
        IF(lien="Second",1.50,
            1.70)))</f>
        <v/>
      </c>
      <c r="K4709">
        <f>LET(
    purpose,'Loan Tape (S&amp;P)'!R4709,
    IF(purpose="Purchase",1.00,
        IF(purpose="Remortgage",1.00,
            1.20)))</f>
        <v/>
      </c>
      <c r="L4709">
        <f>LET(
    arrears_months,'Loan Tape (S&amp;P)'!AN4709,
    IF(arrears_months=0,1.00,
    IF(arrears_months=1,3.00,
    IF(arrears_months=2,5.00,
    IF(arrears_months=3,8.00,
    IF(arrears_months=4,10.00,
    IF(arrears_months=5,12.00,15.00)))))))</f>
        <v/>
      </c>
      <c r="M4709">
        <f>LET(
    seasoning_years,DATEDIF('Loan Tape (S&amp;P)'!K4709,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09">
        <f>IF(AND('Loan Tape (S&amp;P)'!U4709="Yes",
        'Loan Tape (S&amp;P)'!T4709&lt;&gt;"Yes",
        DATEDIF('Loan Tape (S&amp;P)'!K4709, TODAY(), "M")&lt;18),
    1.10,
    1.00)</f>
        <v/>
      </c>
      <c r="O4709">
        <f>IF('Loan Tape (S&amp;P)'!T4709="Yes",
    1.35,
    1.00)</f>
        <v/>
      </c>
      <c r="P4709">
        <f>IF('Loan Tape (S&amp;P)'!S4709="Yes",
    1.15,
    1.00)</f>
        <v/>
      </c>
      <c r="Q4709">
        <f>IF('Loan Tape (S&amp;P)'!V4709="Yes",
    1.20,
    1.00)</f>
        <v/>
      </c>
      <c r="T4709">
        <f>LET(
    payment_method,'Loan Tape (S&amp;P)'!P4709,
    occupancy,'Loan Tape (S&amp;P)'!N4709,
    maturity_date,'Loan Tape (S&amp;P)'!L4709,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10">
      <c r="J4710">
        <f>LET(
    lien,'Loan Tape (S&amp;P)'!Q4710,
    IF(lien="First",1.00,
        IF(lien="Second",1.50,
            1.70)))</f>
        <v/>
      </c>
      <c r="K4710">
        <f>LET(
    purpose,'Loan Tape (S&amp;P)'!R4710,
    IF(purpose="Purchase",1.00,
        IF(purpose="Remortgage",1.00,
            1.20)))</f>
        <v/>
      </c>
      <c r="L4710">
        <f>LET(
    arrears_months,'Loan Tape (S&amp;P)'!AN4710,
    IF(arrears_months=0,1.00,
    IF(arrears_months=1,3.00,
    IF(arrears_months=2,5.00,
    IF(arrears_months=3,8.00,
    IF(arrears_months=4,10.00,
    IF(arrears_months=5,12.00,15.00)))))))</f>
        <v/>
      </c>
      <c r="M4710">
        <f>LET(
    seasoning_years,DATEDIF('Loan Tape (S&amp;P)'!K4710,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10">
        <f>IF(AND('Loan Tape (S&amp;P)'!U4710="Yes",
        'Loan Tape (S&amp;P)'!T4710&lt;&gt;"Yes",
        DATEDIF('Loan Tape (S&amp;P)'!K4710, TODAY(), "M")&lt;18),
    1.10,
    1.00)</f>
        <v/>
      </c>
      <c r="O4710">
        <f>IF('Loan Tape (S&amp;P)'!T4710="Yes",
    1.35,
    1.00)</f>
        <v/>
      </c>
      <c r="P4710">
        <f>IF('Loan Tape (S&amp;P)'!S4710="Yes",
    1.15,
    1.00)</f>
        <v/>
      </c>
      <c r="Q4710">
        <f>IF('Loan Tape (S&amp;P)'!V4710="Yes",
    1.20,
    1.00)</f>
        <v/>
      </c>
      <c r="T4710">
        <f>LET(
    payment_method,'Loan Tape (S&amp;P)'!P4710,
    occupancy,'Loan Tape (S&amp;P)'!N4710,
    maturity_date,'Loan Tape (S&amp;P)'!L4710,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11">
      <c r="J4711">
        <f>LET(
    lien,'Loan Tape (S&amp;P)'!Q4711,
    IF(lien="First",1.00,
        IF(lien="Second",1.50,
            1.70)))</f>
        <v/>
      </c>
      <c r="K4711">
        <f>LET(
    purpose,'Loan Tape (S&amp;P)'!R4711,
    IF(purpose="Purchase",1.00,
        IF(purpose="Remortgage",1.00,
            1.20)))</f>
        <v/>
      </c>
      <c r="L4711">
        <f>LET(
    arrears_months,'Loan Tape (S&amp;P)'!AN4711,
    IF(arrears_months=0,1.00,
    IF(arrears_months=1,3.00,
    IF(arrears_months=2,5.00,
    IF(arrears_months=3,8.00,
    IF(arrears_months=4,10.00,
    IF(arrears_months=5,12.00,15.00)))))))</f>
        <v/>
      </c>
      <c r="M4711">
        <f>LET(
    seasoning_years,DATEDIF('Loan Tape (S&amp;P)'!K4711,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11">
        <f>IF(AND('Loan Tape (S&amp;P)'!U4711="Yes",
        'Loan Tape (S&amp;P)'!T4711&lt;&gt;"Yes",
        DATEDIF('Loan Tape (S&amp;P)'!K4711, TODAY(), "M")&lt;18),
    1.10,
    1.00)</f>
        <v/>
      </c>
      <c r="O4711">
        <f>IF('Loan Tape (S&amp;P)'!T4711="Yes",
    1.35,
    1.00)</f>
        <v/>
      </c>
      <c r="P4711">
        <f>IF('Loan Tape (S&amp;P)'!S4711="Yes",
    1.15,
    1.00)</f>
        <v/>
      </c>
      <c r="Q4711">
        <f>IF('Loan Tape (S&amp;P)'!V4711="Yes",
    1.20,
    1.00)</f>
        <v/>
      </c>
      <c r="T4711">
        <f>LET(
    payment_method,'Loan Tape (S&amp;P)'!P4711,
    occupancy,'Loan Tape (S&amp;P)'!N4711,
    maturity_date,'Loan Tape (S&amp;P)'!L4711,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12">
      <c r="J4712">
        <f>LET(
    lien,'Loan Tape (S&amp;P)'!Q4712,
    IF(lien="First",1.00,
        IF(lien="Second",1.50,
            1.70)))</f>
        <v/>
      </c>
      <c r="K4712">
        <f>LET(
    purpose,'Loan Tape (S&amp;P)'!R4712,
    IF(purpose="Purchase",1.00,
        IF(purpose="Remortgage",1.00,
            1.20)))</f>
        <v/>
      </c>
      <c r="L4712">
        <f>LET(
    arrears_months,'Loan Tape (S&amp;P)'!AN4712,
    IF(arrears_months=0,1.00,
    IF(arrears_months=1,3.00,
    IF(arrears_months=2,5.00,
    IF(arrears_months=3,8.00,
    IF(arrears_months=4,10.00,
    IF(arrears_months=5,12.00,15.00)))))))</f>
        <v/>
      </c>
      <c r="M4712">
        <f>LET(
    seasoning_years,DATEDIF('Loan Tape (S&amp;P)'!K4712,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12">
        <f>IF(AND('Loan Tape (S&amp;P)'!U4712="Yes",
        'Loan Tape (S&amp;P)'!T4712&lt;&gt;"Yes",
        DATEDIF('Loan Tape (S&amp;P)'!K4712, TODAY(), "M")&lt;18),
    1.10,
    1.00)</f>
        <v/>
      </c>
      <c r="O4712">
        <f>IF('Loan Tape (S&amp;P)'!T4712="Yes",
    1.35,
    1.00)</f>
        <v/>
      </c>
      <c r="P4712">
        <f>IF('Loan Tape (S&amp;P)'!S4712="Yes",
    1.15,
    1.00)</f>
        <v/>
      </c>
      <c r="Q4712">
        <f>IF('Loan Tape (S&amp;P)'!V4712="Yes",
    1.20,
    1.00)</f>
        <v/>
      </c>
      <c r="T4712">
        <f>LET(
    payment_method,'Loan Tape (S&amp;P)'!P4712,
    occupancy,'Loan Tape (S&amp;P)'!N4712,
    maturity_date,'Loan Tape (S&amp;P)'!L4712,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13">
      <c r="J4713">
        <f>LET(
    lien,'Loan Tape (S&amp;P)'!Q4713,
    IF(lien="First",1.00,
        IF(lien="Second",1.50,
            1.70)))</f>
        <v/>
      </c>
      <c r="K4713">
        <f>LET(
    purpose,'Loan Tape (S&amp;P)'!R4713,
    IF(purpose="Purchase",1.00,
        IF(purpose="Remortgage",1.00,
            1.20)))</f>
        <v/>
      </c>
      <c r="L4713">
        <f>LET(
    arrears_months,'Loan Tape (S&amp;P)'!AN4713,
    IF(arrears_months=0,1.00,
    IF(arrears_months=1,3.00,
    IF(arrears_months=2,5.00,
    IF(arrears_months=3,8.00,
    IF(arrears_months=4,10.00,
    IF(arrears_months=5,12.00,15.00)))))))</f>
        <v/>
      </c>
      <c r="M4713">
        <f>LET(
    seasoning_years,DATEDIF('Loan Tape (S&amp;P)'!K4713,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13">
        <f>IF(AND('Loan Tape (S&amp;P)'!U4713="Yes",
        'Loan Tape (S&amp;P)'!T4713&lt;&gt;"Yes",
        DATEDIF('Loan Tape (S&amp;P)'!K4713, TODAY(), "M")&lt;18),
    1.10,
    1.00)</f>
        <v/>
      </c>
      <c r="O4713">
        <f>IF('Loan Tape (S&amp;P)'!T4713="Yes",
    1.35,
    1.00)</f>
        <v/>
      </c>
      <c r="P4713">
        <f>IF('Loan Tape (S&amp;P)'!S4713="Yes",
    1.15,
    1.00)</f>
        <v/>
      </c>
      <c r="Q4713">
        <f>IF('Loan Tape (S&amp;P)'!V4713="Yes",
    1.20,
    1.00)</f>
        <v/>
      </c>
      <c r="T4713">
        <f>LET(
    payment_method,'Loan Tape (S&amp;P)'!P4713,
    occupancy,'Loan Tape (S&amp;P)'!N4713,
    maturity_date,'Loan Tape (S&amp;P)'!L4713,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14">
      <c r="J4714">
        <f>LET(
    lien,'Loan Tape (S&amp;P)'!Q4714,
    IF(lien="First",1.00,
        IF(lien="Second",1.50,
            1.70)))</f>
        <v/>
      </c>
      <c r="K4714">
        <f>LET(
    purpose,'Loan Tape (S&amp;P)'!R4714,
    IF(purpose="Purchase",1.00,
        IF(purpose="Remortgage",1.00,
            1.20)))</f>
        <v/>
      </c>
      <c r="L4714">
        <f>LET(
    arrears_months,'Loan Tape (S&amp;P)'!AN4714,
    IF(arrears_months=0,1.00,
    IF(arrears_months=1,3.00,
    IF(arrears_months=2,5.00,
    IF(arrears_months=3,8.00,
    IF(arrears_months=4,10.00,
    IF(arrears_months=5,12.00,15.00)))))))</f>
        <v/>
      </c>
      <c r="M4714">
        <f>LET(
    seasoning_years,DATEDIF('Loan Tape (S&amp;P)'!K4714,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14">
        <f>IF(AND('Loan Tape (S&amp;P)'!U4714="Yes",
        'Loan Tape (S&amp;P)'!T4714&lt;&gt;"Yes",
        DATEDIF('Loan Tape (S&amp;P)'!K4714, TODAY(), "M")&lt;18),
    1.10,
    1.00)</f>
        <v/>
      </c>
      <c r="O4714">
        <f>IF('Loan Tape (S&amp;P)'!T4714="Yes",
    1.35,
    1.00)</f>
        <v/>
      </c>
      <c r="P4714">
        <f>IF('Loan Tape (S&amp;P)'!S4714="Yes",
    1.15,
    1.00)</f>
        <v/>
      </c>
      <c r="Q4714">
        <f>IF('Loan Tape (S&amp;P)'!V4714="Yes",
    1.20,
    1.00)</f>
        <v/>
      </c>
      <c r="T4714">
        <f>LET(
    payment_method,'Loan Tape (S&amp;P)'!P4714,
    occupancy,'Loan Tape (S&amp;P)'!N4714,
    maturity_date,'Loan Tape (S&amp;P)'!L4714,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15">
      <c r="J4715">
        <f>LET(
    lien,'Loan Tape (S&amp;P)'!Q4715,
    IF(lien="First",1.00,
        IF(lien="Second",1.50,
            1.70)))</f>
        <v/>
      </c>
      <c r="K4715">
        <f>LET(
    purpose,'Loan Tape (S&amp;P)'!R4715,
    IF(purpose="Purchase",1.00,
        IF(purpose="Remortgage",1.00,
            1.20)))</f>
        <v/>
      </c>
      <c r="L4715">
        <f>LET(
    arrears_months,'Loan Tape (S&amp;P)'!AN4715,
    IF(arrears_months=0,1.00,
    IF(arrears_months=1,3.00,
    IF(arrears_months=2,5.00,
    IF(arrears_months=3,8.00,
    IF(arrears_months=4,10.00,
    IF(arrears_months=5,12.00,15.00)))))))</f>
        <v/>
      </c>
      <c r="M4715">
        <f>LET(
    seasoning_years,DATEDIF('Loan Tape (S&amp;P)'!K4715,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15">
        <f>IF(AND('Loan Tape (S&amp;P)'!U4715="Yes",
        'Loan Tape (S&amp;P)'!T4715&lt;&gt;"Yes",
        DATEDIF('Loan Tape (S&amp;P)'!K4715, TODAY(), "M")&lt;18),
    1.10,
    1.00)</f>
        <v/>
      </c>
      <c r="O4715">
        <f>IF('Loan Tape (S&amp;P)'!T4715="Yes",
    1.35,
    1.00)</f>
        <v/>
      </c>
      <c r="P4715">
        <f>IF('Loan Tape (S&amp;P)'!S4715="Yes",
    1.15,
    1.00)</f>
        <v/>
      </c>
      <c r="Q4715">
        <f>IF('Loan Tape (S&amp;P)'!V4715="Yes",
    1.20,
    1.00)</f>
        <v/>
      </c>
      <c r="T4715">
        <f>LET(
    payment_method,'Loan Tape (S&amp;P)'!P4715,
    occupancy,'Loan Tape (S&amp;P)'!N4715,
    maturity_date,'Loan Tape (S&amp;P)'!L4715,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16">
      <c r="J4716">
        <f>LET(
    lien,'Loan Tape (S&amp;P)'!Q4716,
    IF(lien="First",1.00,
        IF(lien="Second",1.50,
            1.70)))</f>
        <v/>
      </c>
      <c r="K4716">
        <f>LET(
    purpose,'Loan Tape (S&amp;P)'!R4716,
    IF(purpose="Purchase",1.00,
        IF(purpose="Remortgage",1.00,
            1.20)))</f>
        <v/>
      </c>
      <c r="L4716">
        <f>LET(
    arrears_months,'Loan Tape (S&amp;P)'!AN4716,
    IF(arrears_months=0,1.00,
    IF(arrears_months=1,3.00,
    IF(arrears_months=2,5.00,
    IF(arrears_months=3,8.00,
    IF(arrears_months=4,10.00,
    IF(arrears_months=5,12.00,15.00)))))))</f>
        <v/>
      </c>
      <c r="M4716">
        <f>LET(
    seasoning_years,DATEDIF('Loan Tape (S&amp;P)'!K4716,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16">
        <f>IF(AND('Loan Tape (S&amp;P)'!U4716="Yes",
        'Loan Tape (S&amp;P)'!T4716&lt;&gt;"Yes",
        DATEDIF('Loan Tape (S&amp;P)'!K4716, TODAY(), "M")&lt;18),
    1.10,
    1.00)</f>
        <v/>
      </c>
      <c r="O4716">
        <f>IF('Loan Tape (S&amp;P)'!T4716="Yes",
    1.35,
    1.00)</f>
        <v/>
      </c>
      <c r="P4716">
        <f>IF('Loan Tape (S&amp;P)'!S4716="Yes",
    1.15,
    1.00)</f>
        <v/>
      </c>
      <c r="Q4716">
        <f>IF('Loan Tape (S&amp;P)'!V4716="Yes",
    1.20,
    1.00)</f>
        <v/>
      </c>
      <c r="T4716">
        <f>LET(
    payment_method,'Loan Tape (S&amp;P)'!P4716,
    occupancy,'Loan Tape (S&amp;P)'!N4716,
    maturity_date,'Loan Tape (S&amp;P)'!L4716,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17">
      <c r="J4717">
        <f>LET(
    lien,'Loan Tape (S&amp;P)'!Q4717,
    IF(lien="First",1.00,
        IF(lien="Second",1.50,
            1.70)))</f>
        <v/>
      </c>
      <c r="K4717">
        <f>LET(
    purpose,'Loan Tape (S&amp;P)'!R4717,
    IF(purpose="Purchase",1.00,
        IF(purpose="Remortgage",1.00,
            1.20)))</f>
        <v/>
      </c>
      <c r="L4717">
        <f>LET(
    arrears_months,'Loan Tape (S&amp;P)'!AN4717,
    IF(arrears_months=0,1.00,
    IF(arrears_months=1,3.00,
    IF(arrears_months=2,5.00,
    IF(arrears_months=3,8.00,
    IF(arrears_months=4,10.00,
    IF(arrears_months=5,12.00,15.00)))))))</f>
        <v/>
      </c>
      <c r="M4717">
        <f>LET(
    seasoning_years,DATEDIF('Loan Tape (S&amp;P)'!K4717,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17">
        <f>IF(AND('Loan Tape (S&amp;P)'!U4717="Yes",
        'Loan Tape (S&amp;P)'!T4717&lt;&gt;"Yes",
        DATEDIF('Loan Tape (S&amp;P)'!K4717, TODAY(), "M")&lt;18),
    1.10,
    1.00)</f>
        <v/>
      </c>
      <c r="O4717">
        <f>IF('Loan Tape (S&amp;P)'!T4717="Yes",
    1.35,
    1.00)</f>
        <v/>
      </c>
      <c r="P4717">
        <f>IF('Loan Tape (S&amp;P)'!S4717="Yes",
    1.15,
    1.00)</f>
        <v/>
      </c>
      <c r="Q4717">
        <f>IF('Loan Tape (S&amp;P)'!V4717="Yes",
    1.20,
    1.00)</f>
        <v/>
      </c>
      <c r="T4717">
        <f>LET(
    payment_method,'Loan Tape (S&amp;P)'!P4717,
    occupancy,'Loan Tape (S&amp;P)'!N4717,
    maturity_date,'Loan Tape (S&amp;P)'!L4717,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18">
      <c r="J4718">
        <f>LET(
    lien,'Loan Tape (S&amp;P)'!Q4718,
    IF(lien="First",1.00,
        IF(lien="Second",1.50,
            1.70)))</f>
        <v/>
      </c>
      <c r="K4718">
        <f>LET(
    purpose,'Loan Tape (S&amp;P)'!R4718,
    IF(purpose="Purchase",1.00,
        IF(purpose="Remortgage",1.00,
            1.20)))</f>
        <v/>
      </c>
      <c r="L4718">
        <f>LET(
    arrears_months,'Loan Tape (S&amp;P)'!AN4718,
    IF(arrears_months=0,1.00,
    IF(arrears_months=1,3.00,
    IF(arrears_months=2,5.00,
    IF(arrears_months=3,8.00,
    IF(arrears_months=4,10.00,
    IF(arrears_months=5,12.00,15.00)))))))</f>
        <v/>
      </c>
      <c r="M4718">
        <f>LET(
    seasoning_years,DATEDIF('Loan Tape (S&amp;P)'!K4718,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18">
        <f>IF(AND('Loan Tape (S&amp;P)'!U4718="Yes",
        'Loan Tape (S&amp;P)'!T4718&lt;&gt;"Yes",
        DATEDIF('Loan Tape (S&amp;P)'!K4718, TODAY(), "M")&lt;18),
    1.10,
    1.00)</f>
        <v/>
      </c>
      <c r="O4718">
        <f>IF('Loan Tape (S&amp;P)'!T4718="Yes",
    1.35,
    1.00)</f>
        <v/>
      </c>
      <c r="P4718">
        <f>IF('Loan Tape (S&amp;P)'!S4718="Yes",
    1.15,
    1.00)</f>
        <v/>
      </c>
      <c r="Q4718">
        <f>IF('Loan Tape (S&amp;P)'!V4718="Yes",
    1.20,
    1.00)</f>
        <v/>
      </c>
      <c r="T4718">
        <f>LET(
    payment_method,'Loan Tape (S&amp;P)'!P4718,
    occupancy,'Loan Tape (S&amp;P)'!N4718,
    maturity_date,'Loan Tape (S&amp;P)'!L4718,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19">
      <c r="J4719">
        <f>LET(
    lien,'Loan Tape (S&amp;P)'!Q4719,
    IF(lien="First",1.00,
        IF(lien="Second",1.50,
            1.70)))</f>
        <v/>
      </c>
      <c r="K4719">
        <f>LET(
    purpose,'Loan Tape (S&amp;P)'!R4719,
    IF(purpose="Purchase",1.00,
        IF(purpose="Remortgage",1.00,
            1.20)))</f>
        <v/>
      </c>
      <c r="L4719">
        <f>LET(
    arrears_months,'Loan Tape (S&amp;P)'!AN4719,
    IF(arrears_months=0,1.00,
    IF(arrears_months=1,3.00,
    IF(arrears_months=2,5.00,
    IF(arrears_months=3,8.00,
    IF(arrears_months=4,10.00,
    IF(arrears_months=5,12.00,15.00)))))))</f>
        <v/>
      </c>
      <c r="M4719">
        <f>LET(
    seasoning_years,DATEDIF('Loan Tape (S&amp;P)'!K4719,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19">
        <f>IF(AND('Loan Tape (S&amp;P)'!U4719="Yes",
        'Loan Tape (S&amp;P)'!T4719&lt;&gt;"Yes",
        DATEDIF('Loan Tape (S&amp;P)'!K4719, TODAY(), "M")&lt;18),
    1.10,
    1.00)</f>
        <v/>
      </c>
      <c r="O4719">
        <f>IF('Loan Tape (S&amp;P)'!T4719="Yes",
    1.35,
    1.00)</f>
        <v/>
      </c>
      <c r="P4719">
        <f>IF('Loan Tape (S&amp;P)'!S4719="Yes",
    1.15,
    1.00)</f>
        <v/>
      </c>
      <c r="Q4719">
        <f>IF('Loan Tape (S&amp;P)'!V4719="Yes",
    1.20,
    1.00)</f>
        <v/>
      </c>
      <c r="T4719">
        <f>LET(
    payment_method,'Loan Tape (S&amp;P)'!P4719,
    occupancy,'Loan Tape (S&amp;P)'!N4719,
    maturity_date,'Loan Tape (S&amp;P)'!L4719,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20">
      <c r="J4720">
        <f>LET(
    lien,'Loan Tape (S&amp;P)'!Q4720,
    IF(lien="First",1.00,
        IF(lien="Second",1.50,
            1.70)))</f>
        <v/>
      </c>
      <c r="K4720">
        <f>LET(
    purpose,'Loan Tape (S&amp;P)'!R4720,
    IF(purpose="Purchase",1.00,
        IF(purpose="Remortgage",1.00,
            1.20)))</f>
        <v/>
      </c>
      <c r="L4720">
        <f>LET(
    arrears_months,'Loan Tape (S&amp;P)'!AN4720,
    IF(arrears_months=0,1.00,
    IF(arrears_months=1,3.00,
    IF(arrears_months=2,5.00,
    IF(arrears_months=3,8.00,
    IF(arrears_months=4,10.00,
    IF(arrears_months=5,12.00,15.00)))))))</f>
        <v/>
      </c>
      <c r="M4720">
        <f>LET(
    seasoning_years,DATEDIF('Loan Tape (S&amp;P)'!K4720,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20">
        <f>IF(AND('Loan Tape (S&amp;P)'!U4720="Yes",
        'Loan Tape (S&amp;P)'!T4720&lt;&gt;"Yes",
        DATEDIF('Loan Tape (S&amp;P)'!K4720, TODAY(), "M")&lt;18),
    1.10,
    1.00)</f>
        <v/>
      </c>
      <c r="O4720">
        <f>IF('Loan Tape (S&amp;P)'!T4720="Yes",
    1.35,
    1.00)</f>
        <v/>
      </c>
      <c r="P4720">
        <f>IF('Loan Tape (S&amp;P)'!S4720="Yes",
    1.15,
    1.00)</f>
        <v/>
      </c>
      <c r="Q4720">
        <f>IF('Loan Tape (S&amp;P)'!V4720="Yes",
    1.20,
    1.00)</f>
        <v/>
      </c>
      <c r="T4720">
        <f>LET(
    payment_method,'Loan Tape (S&amp;P)'!P4720,
    occupancy,'Loan Tape (S&amp;P)'!N4720,
    maturity_date,'Loan Tape (S&amp;P)'!L4720,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21">
      <c r="J4721">
        <f>LET(
    lien,'Loan Tape (S&amp;P)'!Q4721,
    IF(lien="First",1.00,
        IF(lien="Second",1.50,
            1.70)))</f>
        <v/>
      </c>
      <c r="K4721">
        <f>LET(
    purpose,'Loan Tape (S&amp;P)'!R4721,
    IF(purpose="Purchase",1.00,
        IF(purpose="Remortgage",1.00,
            1.20)))</f>
        <v/>
      </c>
      <c r="L4721">
        <f>LET(
    arrears_months,'Loan Tape (S&amp;P)'!AN4721,
    IF(arrears_months=0,1.00,
    IF(arrears_months=1,3.00,
    IF(arrears_months=2,5.00,
    IF(arrears_months=3,8.00,
    IF(arrears_months=4,10.00,
    IF(arrears_months=5,12.00,15.00)))))))</f>
        <v/>
      </c>
      <c r="M4721">
        <f>LET(
    seasoning_years,DATEDIF('Loan Tape (S&amp;P)'!K4721,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21">
        <f>IF(AND('Loan Tape (S&amp;P)'!U4721="Yes",
        'Loan Tape (S&amp;P)'!T4721&lt;&gt;"Yes",
        DATEDIF('Loan Tape (S&amp;P)'!K4721, TODAY(), "M")&lt;18),
    1.10,
    1.00)</f>
        <v/>
      </c>
      <c r="O4721">
        <f>IF('Loan Tape (S&amp;P)'!T4721="Yes",
    1.35,
    1.00)</f>
        <v/>
      </c>
      <c r="P4721">
        <f>IF('Loan Tape (S&amp;P)'!S4721="Yes",
    1.15,
    1.00)</f>
        <v/>
      </c>
      <c r="Q4721">
        <f>IF('Loan Tape (S&amp;P)'!V4721="Yes",
    1.20,
    1.00)</f>
        <v/>
      </c>
      <c r="T4721">
        <f>LET(
    payment_method,'Loan Tape (S&amp;P)'!P4721,
    occupancy,'Loan Tape (S&amp;P)'!N4721,
    maturity_date,'Loan Tape (S&amp;P)'!L4721,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22">
      <c r="J4722">
        <f>LET(
    lien,'Loan Tape (S&amp;P)'!Q4722,
    IF(lien="First",1.00,
        IF(lien="Second",1.50,
            1.70)))</f>
        <v/>
      </c>
      <c r="K4722">
        <f>LET(
    purpose,'Loan Tape (S&amp;P)'!R4722,
    IF(purpose="Purchase",1.00,
        IF(purpose="Remortgage",1.00,
            1.20)))</f>
        <v/>
      </c>
      <c r="L4722">
        <f>LET(
    arrears_months,'Loan Tape (S&amp;P)'!AN4722,
    IF(arrears_months=0,1.00,
    IF(arrears_months=1,3.00,
    IF(arrears_months=2,5.00,
    IF(arrears_months=3,8.00,
    IF(arrears_months=4,10.00,
    IF(arrears_months=5,12.00,15.00)))))))</f>
        <v/>
      </c>
      <c r="M4722">
        <f>LET(
    seasoning_years,DATEDIF('Loan Tape (S&amp;P)'!K4722,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22">
        <f>IF(AND('Loan Tape (S&amp;P)'!U4722="Yes",
        'Loan Tape (S&amp;P)'!T4722&lt;&gt;"Yes",
        DATEDIF('Loan Tape (S&amp;P)'!K4722, TODAY(), "M")&lt;18),
    1.10,
    1.00)</f>
        <v/>
      </c>
      <c r="O4722">
        <f>IF('Loan Tape (S&amp;P)'!T4722="Yes",
    1.35,
    1.00)</f>
        <v/>
      </c>
      <c r="P4722">
        <f>IF('Loan Tape (S&amp;P)'!S4722="Yes",
    1.15,
    1.00)</f>
        <v/>
      </c>
      <c r="Q4722">
        <f>IF('Loan Tape (S&amp;P)'!V4722="Yes",
    1.20,
    1.00)</f>
        <v/>
      </c>
      <c r="T4722">
        <f>LET(
    payment_method,'Loan Tape (S&amp;P)'!P4722,
    occupancy,'Loan Tape (S&amp;P)'!N4722,
    maturity_date,'Loan Tape (S&amp;P)'!L4722,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23">
      <c r="J4723">
        <f>LET(
    lien,'Loan Tape (S&amp;P)'!Q4723,
    IF(lien="First",1.00,
        IF(lien="Second",1.50,
            1.70)))</f>
        <v/>
      </c>
      <c r="K4723">
        <f>LET(
    purpose,'Loan Tape (S&amp;P)'!R4723,
    IF(purpose="Purchase",1.00,
        IF(purpose="Remortgage",1.00,
            1.20)))</f>
        <v/>
      </c>
      <c r="L4723">
        <f>LET(
    arrears_months,'Loan Tape (S&amp;P)'!AN4723,
    IF(arrears_months=0,1.00,
    IF(arrears_months=1,3.00,
    IF(arrears_months=2,5.00,
    IF(arrears_months=3,8.00,
    IF(arrears_months=4,10.00,
    IF(arrears_months=5,12.00,15.00)))))))</f>
        <v/>
      </c>
      <c r="M4723">
        <f>LET(
    seasoning_years,DATEDIF('Loan Tape (S&amp;P)'!K4723,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23">
        <f>IF(AND('Loan Tape (S&amp;P)'!U4723="Yes",
        'Loan Tape (S&amp;P)'!T4723&lt;&gt;"Yes",
        DATEDIF('Loan Tape (S&amp;P)'!K4723, TODAY(), "M")&lt;18),
    1.10,
    1.00)</f>
        <v/>
      </c>
      <c r="O4723">
        <f>IF('Loan Tape (S&amp;P)'!T4723="Yes",
    1.35,
    1.00)</f>
        <v/>
      </c>
      <c r="P4723">
        <f>IF('Loan Tape (S&amp;P)'!S4723="Yes",
    1.15,
    1.00)</f>
        <v/>
      </c>
      <c r="Q4723">
        <f>IF('Loan Tape (S&amp;P)'!V4723="Yes",
    1.20,
    1.00)</f>
        <v/>
      </c>
      <c r="T4723">
        <f>LET(
    payment_method,'Loan Tape (S&amp;P)'!P4723,
    occupancy,'Loan Tape (S&amp;P)'!N4723,
    maturity_date,'Loan Tape (S&amp;P)'!L4723,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24">
      <c r="J4724">
        <f>LET(
    lien,'Loan Tape (S&amp;P)'!Q4724,
    IF(lien="First",1.00,
        IF(lien="Second",1.50,
            1.70)))</f>
        <v/>
      </c>
      <c r="K4724">
        <f>LET(
    purpose,'Loan Tape (S&amp;P)'!R4724,
    IF(purpose="Purchase",1.00,
        IF(purpose="Remortgage",1.00,
            1.20)))</f>
        <v/>
      </c>
      <c r="L4724">
        <f>LET(
    arrears_months,'Loan Tape (S&amp;P)'!AN4724,
    IF(arrears_months=0,1.00,
    IF(arrears_months=1,3.00,
    IF(arrears_months=2,5.00,
    IF(arrears_months=3,8.00,
    IF(arrears_months=4,10.00,
    IF(arrears_months=5,12.00,15.00)))))))</f>
        <v/>
      </c>
      <c r="M4724">
        <f>LET(
    seasoning_years,DATEDIF('Loan Tape (S&amp;P)'!K4724,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24">
        <f>IF(AND('Loan Tape (S&amp;P)'!U4724="Yes",
        'Loan Tape (S&amp;P)'!T4724&lt;&gt;"Yes",
        DATEDIF('Loan Tape (S&amp;P)'!K4724, TODAY(), "M")&lt;18),
    1.10,
    1.00)</f>
        <v/>
      </c>
      <c r="O4724">
        <f>IF('Loan Tape (S&amp;P)'!T4724="Yes",
    1.35,
    1.00)</f>
        <v/>
      </c>
      <c r="P4724">
        <f>IF('Loan Tape (S&amp;P)'!S4724="Yes",
    1.15,
    1.00)</f>
        <v/>
      </c>
      <c r="Q4724">
        <f>IF('Loan Tape (S&amp;P)'!V4724="Yes",
    1.20,
    1.00)</f>
        <v/>
      </c>
      <c r="T4724">
        <f>LET(
    payment_method,'Loan Tape (S&amp;P)'!P4724,
    occupancy,'Loan Tape (S&amp;P)'!N4724,
    maturity_date,'Loan Tape (S&amp;P)'!L4724,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25">
      <c r="J4725">
        <f>LET(
    lien,'Loan Tape (S&amp;P)'!Q4725,
    IF(lien="First",1.00,
        IF(lien="Second",1.50,
            1.70)))</f>
        <v/>
      </c>
      <c r="K4725">
        <f>LET(
    purpose,'Loan Tape (S&amp;P)'!R4725,
    IF(purpose="Purchase",1.00,
        IF(purpose="Remortgage",1.00,
            1.20)))</f>
        <v/>
      </c>
      <c r="L4725">
        <f>LET(
    arrears_months,'Loan Tape (S&amp;P)'!AN4725,
    IF(arrears_months=0,1.00,
    IF(arrears_months=1,3.00,
    IF(arrears_months=2,5.00,
    IF(arrears_months=3,8.00,
    IF(arrears_months=4,10.00,
    IF(arrears_months=5,12.00,15.00)))))))</f>
        <v/>
      </c>
      <c r="M4725">
        <f>LET(
    seasoning_years,DATEDIF('Loan Tape (S&amp;P)'!K4725,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25">
        <f>IF(AND('Loan Tape (S&amp;P)'!U4725="Yes",
        'Loan Tape (S&amp;P)'!T4725&lt;&gt;"Yes",
        DATEDIF('Loan Tape (S&amp;P)'!K4725, TODAY(), "M")&lt;18),
    1.10,
    1.00)</f>
        <v/>
      </c>
      <c r="O4725">
        <f>IF('Loan Tape (S&amp;P)'!T4725="Yes",
    1.35,
    1.00)</f>
        <v/>
      </c>
      <c r="P4725">
        <f>IF('Loan Tape (S&amp;P)'!S4725="Yes",
    1.15,
    1.00)</f>
        <v/>
      </c>
      <c r="Q4725">
        <f>IF('Loan Tape (S&amp;P)'!V4725="Yes",
    1.20,
    1.00)</f>
        <v/>
      </c>
      <c r="T4725">
        <f>LET(
    payment_method,'Loan Tape (S&amp;P)'!P4725,
    occupancy,'Loan Tape (S&amp;P)'!N4725,
    maturity_date,'Loan Tape (S&amp;P)'!L4725,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26">
      <c r="J4726">
        <f>LET(
    lien,'Loan Tape (S&amp;P)'!Q4726,
    IF(lien="First",1.00,
        IF(lien="Second",1.50,
            1.70)))</f>
        <v/>
      </c>
      <c r="K4726">
        <f>LET(
    purpose,'Loan Tape (S&amp;P)'!R4726,
    IF(purpose="Purchase",1.00,
        IF(purpose="Remortgage",1.00,
            1.20)))</f>
        <v/>
      </c>
      <c r="L4726">
        <f>LET(
    arrears_months,'Loan Tape (S&amp;P)'!AN4726,
    IF(arrears_months=0,1.00,
    IF(arrears_months=1,3.00,
    IF(arrears_months=2,5.00,
    IF(arrears_months=3,8.00,
    IF(arrears_months=4,10.00,
    IF(arrears_months=5,12.00,15.00)))))))</f>
        <v/>
      </c>
      <c r="M4726">
        <f>LET(
    seasoning_years,DATEDIF('Loan Tape (S&amp;P)'!K4726,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26">
        <f>IF(AND('Loan Tape (S&amp;P)'!U4726="Yes",
        'Loan Tape (S&amp;P)'!T4726&lt;&gt;"Yes",
        DATEDIF('Loan Tape (S&amp;P)'!K4726, TODAY(), "M")&lt;18),
    1.10,
    1.00)</f>
        <v/>
      </c>
      <c r="O4726">
        <f>IF('Loan Tape (S&amp;P)'!T4726="Yes",
    1.35,
    1.00)</f>
        <v/>
      </c>
      <c r="P4726">
        <f>IF('Loan Tape (S&amp;P)'!S4726="Yes",
    1.15,
    1.00)</f>
        <v/>
      </c>
      <c r="Q4726">
        <f>IF('Loan Tape (S&amp;P)'!V4726="Yes",
    1.20,
    1.00)</f>
        <v/>
      </c>
      <c r="T4726">
        <f>LET(
    payment_method,'Loan Tape (S&amp;P)'!P4726,
    occupancy,'Loan Tape (S&amp;P)'!N4726,
    maturity_date,'Loan Tape (S&amp;P)'!L4726,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27">
      <c r="J4727">
        <f>LET(
    lien,'Loan Tape (S&amp;P)'!Q4727,
    IF(lien="First",1.00,
        IF(lien="Second",1.50,
            1.70)))</f>
        <v/>
      </c>
      <c r="K4727">
        <f>LET(
    purpose,'Loan Tape (S&amp;P)'!R4727,
    IF(purpose="Purchase",1.00,
        IF(purpose="Remortgage",1.00,
            1.20)))</f>
        <v/>
      </c>
      <c r="L4727">
        <f>LET(
    arrears_months,'Loan Tape (S&amp;P)'!AN4727,
    IF(arrears_months=0,1.00,
    IF(arrears_months=1,3.00,
    IF(arrears_months=2,5.00,
    IF(arrears_months=3,8.00,
    IF(arrears_months=4,10.00,
    IF(arrears_months=5,12.00,15.00)))))))</f>
        <v/>
      </c>
      <c r="M4727">
        <f>LET(
    seasoning_years,DATEDIF('Loan Tape (S&amp;P)'!K4727,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27">
        <f>IF(AND('Loan Tape (S&amp;P)'!U4727="Yes",
        'Loan Tape (S&amp;P)'!T4727&lt;&gt;"Yes",
        DATEDIF('Loan Tape (S&amp;P)'!K4727, TODAY(), "M")&lt;18),
    1.10,
    1.00)</f>
        <v/>
      </c>
      <c r="O4727">
        <f>IF('Loan Tape (S&amp;P)'!T4727="Yes",
    1.35,
    1.00)</f>
        <v/>
      </c>
      <c r="P4727">
        <f>IF('Loan Tape (S&amp;P)'!S4727="Yes",
    1.15,
    1.00)</f>
        <v/>
      </c>
      <c r="Q4727">
        <f>IF('Loan Tape (S&amp;P)'!V4727="Yes",
    1.20,
    1.00)</f>
        <v/>
      </c>
      <c r="T4727">
        <f>LET(
    payment_method,'Loan Tape (S&amp;P)'!P4727,
    occupancy,'Loan Tape (S&amp;P)'!N4727,
    maturity_date,'Loan Tape (S&amp;P)'!L4727,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28">
      <c r="J4728">
        <f>LET(
    lien,'Loan Tape (S&amp;P)'!Q4728,
    IF(lien="First",1.00,
        IF(lien="Second",1.50,
            1.70)))</f>
        <v/>
      </c>
      <c r="K4728">
        <f>LET(
    purpose,'Loan Tape (S&amp;P)'!R4728,
    IF(purpose="Purchase",1.00,
        IF(purpose="Remortgage",1.00,
            1.20)))</f>
        <v/>
      </c>
      <c r="L4728">
        <f>LET(
    arrears_months,'Loan Tape (S&amp;P)'!AN4728,
    IF(arrears_months=0,1.00,
    IF(arrears_months=1,3.00,
    IF(arrears_months=2,5.00,
    IF(arrears_months=3,8.00,
    IF(arrears_months=4,10.00,
    IF(arrears_months=5,12.00,15.00)))))))</f>
        <v/>
      </c>
      <c r="M4728">
        <f>LET(
    seasoning_years,DATEDIF('Loan Tape (S&amp;P)'!K4728,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28">
        <f>IF(AND('Loan Tape (S&amp;P)'!U4728="Yes",
        'Loan Tape (S&amp;P)'!T4728&lt;&gt;"Yes",
        DATEDIF('Loan Tape (S&amp;P)'!K4728, TODAY(), "M")&lt;18),
    1.10,
    1.00)</f>
        <v/>
      </c>
      <c r="O4728">
        <f>IF('Loan Tape (S&amp;P)'!T4728="Yes",
    1.35,
    1.00)</f>
        <v/>
      </c>
      <c r="P4728">
        <f>IF('Loan Tape (S&amp;P)'!S4728="Yes",
    1.15,
    1.00)</f>
        <v/>
      </c>
      <c r="Q4728">
        <f>IF('Loan Tape (S&amp;P)'!V4728="Yes",
    1.20,
    1.00)</f>
        <v/>
      </c>
      <c r="T4728">
        <f>LET(
    payment_method,'Loan Tape (S&amp;P)'!P4728,
    occupancy,'Loan Tape (S&amp;P)'!N4728,
    maturity_date,'Loan Tape (S&amp;P)'!L4728,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29">
      <c r="J4729">
        <f>LET(
    lien,'Loan Tape (S&amp;P)'!Q4729,
    IF(lien="First",1.00,
        IF(lien="Second",1.50,
            1.70)))</f>
        <v/>
      </c>
      <c r="K4729">
        <f>LET(
    purpose,'Loan Tape (S&amp;P)'!R4729,
    IF(purpose="Purchase",1.00,
        IF(purpose="Remortgage",1.00,
            1.20)))</f>
        <v/>
      </c>
      <c r="L4729">
        <f>LET(
    arrears_months,'Loan Tape (S&amp;P)'!AN4729,
    IF(arrears_months=0,1.00,
    IF(arrears_months=1,3.00,
    IF(arrears_months=2,5.00,
    IF(arrears_months=3,8.00,
    IF(arrears_months=4,10.00,
    IF(arrears_months=5,12.00,15.00)))))))</f>
        <v/>
      </c>
      <c r="M4729">
        <f>LET(
    seasoning_years,DATEDIF('Loan Tape (S&amp;P)'!K4729,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29">
        <f>IF(AND('Loan Tape (S&amp;P)'!U4729="Yes",
        'Loan Tape (S&amp;P)'!T4729&lt;&gt;"Yes",
        DATEDIF('Loan Tape (S&amp;P)'!K4729, TODAY(), "M")&lt;18),
    1.10,
    1.00)</f>
        <v/>
      </c>
      <c r="O4729">
        <f>IF('Loan Tape (S&amp;P)'!T4729="Yes",
    1.35,
    1.00)</f>
        <v/>
      </c>
      <c r="P4729">
        <f>IF('Loan Tape (S&amp;P)'!S4729="Yes",
    1.15,
    1.00)</f>
        <v/>
      </c>
      <c r="Q4729">
        <f>IF('Loan Tape (S&amp;P)'!V4729="Yes",
    1.20,
    1.00)</f>
        <v/>
      </c>
      <c r="T4729">
        <f>LET(
    payment_method,'Loan Tape (S&amp;P)'!P4729,
    occupancy,'Loan Tape (S&amp;P)'!N4729,
    maturity_date,'Loan Tape (S&amp;P)'!L4729,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30">
      <c r="J4730">
        <f>LET(
    lien,'Loan Tape (S&amp;P)'!Q4730,
    IF(lien="First",1.00,
        IF(lien="Second",1.50,
            1.70)))</f>
        <v/>
      </c>
      <c r="K4730">
        <f>LET(
    purpose,'Loan Tape (S&amp;P)'!R4730,
    IF(purpose="Purchase",1.00,
        IF(purpose="Remortgage",1.00,
            1.20)))</f>
        <v/>
      </c>
      <c r="L4730">
        <f>LET(
    arrears_months,'Loan Tape (S&amp;P)'!AN4730,
    IF(arrears_months=0,1.00,
    IF(arrears_months=1,3.00,
    IF(arrears_months=2,5.00,
    IF(arrears_months=3,8.00,
    IF(arrears_months=4,10.00,
    IF(arrears_months=5,12.00,15.00)))))))</f>
        <v/>
      </c>
      <c r="M4730">
        <f>LET(
    seasoning_years,DATEDIF('Loan Tape (S&amp;P)'!K4730,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30">
        <f>IF(AND('Loan Tape (S&amp;P)'!U4730="Yes",
        'Loan Tape (S&amp;P)'!T4730&lt;&gt;"Yes",
        DATEDIF('Loan Tape (S&amp;P)'!K4730, TODAY(), "M")&lt;18),
    1.10,
    1.00)</f>
        <v/>
      </c>
      <c r="O4730">
        <f>IF('Loan Tape (S&amp;P)'!T4730="Yes",
    1.35,
    1.00)</f>
        <v/>
      </c>
      <c r="P4730">
        <f>IF('Loan Tape (S&amp;P)'!S4730="Yes",
    1.15,
    1.00)</f>
        <v/>
      </c>
      <c r="Q4730">
        <f>IF('Loan Tape (S&amp;P)'!V4730="Yes",
    1.20,
    1.00)</f>
        <v/>
      </c>
      <c r="T4730">
        <f>LET(
    payment_method,'Loan Tape (S&amp;P)'!P4730,
    occupancy,'Loan Tape (S&amp;P)'!N4730,
    maturity_date,'Loan Tape (S&amp;P)'!L4730,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31">
      <c r="J4731">
        <f>LET(
    lien,'Loan Tape (S&amp;P)'!Q4731,
    IF(lien="First",1.00,
        IF(lien="Second",1.50,
            1.70)))</f>
        <v/>
      </c>
      <c r="K4731">
        <f>LET(
    purpose,'Loan Tape (S&amp;P)'!R4731,
    IF(purpose="Purchase",1.00,
        IF(purpose="Remortgage",1.00,
            1.20)))</f>
        <v/>
      </c>
      <c r="L4731">
        <f>LET(
    arrears_months,'Loan Tape (S&amp;P)'!AN4731,
    IF(arrears_months=0,1.00,
    IF(arrears_months=1,3.00,
    IF(arrears_months=2,5.00,
    IF(arrears_months=3,8.00,
    IF(arrears_months=4,10.00,
    IF(arrears_months=5,12.00,15.00)))))))</f>
        <v/>
      </c>
      <c r="M4731">
        <f>LET(
    seasoning_years,DATEDIF('Loan Tape (S&amp;P)'!K4731,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31">
        <f>IF(AND('Loan Tape (S&amp;P)'!U4731="Yes",
        'Loan Tape (S&amp;P)'!T4731&lt;&gt;"Yes",
        DATEDIF('Loan Tape (S&amp;P)'!K4731, TODAY(), "M")&lt;18),
    1.10,
    1.00)</f>
        <v/>
      </c>
      <c r="O4731">
        <f>IF('Loan Tape (S&amp;P)'!T4731="Yes",
    1.35,
    1.00)</f>
        <v/>
      </c>
      <c r="P4731">
        <f>IF('Loan Tape (S&amp;P)'!S4731="Yes",
    1.15,
    1.00)</f>
        <v/>
      </c>
      <c r="Q4731">
        <f>IF('Loan Tape (S&amp;P)'!V4731="Yes",
    1.20,
    1.00)</f>
        <v/>
      </c>
      <c r="T4731">
        <f>LET(
    payment_method,'Loan Tape (S&amp;P)'!P4731,
    occupancy,'Loan Tape (S&amp;P)'!N4731,
    maturity_date,'Loan Tape (S&amp;P)'!L4731,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32">
      <c r="J4732">
        <f>LET(
    lien,'Loan Tape (S&amp;P)'!Q4732,
    IF(lien="First",1.00,
        IF(lien="Second",1.50,
            1.70)))</f>
        <v/>
      </c>
      <c r="K4732">
        <f>LET(
    purpose,'Loan Tape (S&amp;P)'!R4732,
    IF(purpose="Purchase",1.00,
        IF(purpose="Remortgage",1.00,
            1.20)))</f>
        <v/>
      </c>
      <c r="L4732">
        <f>LET(
    arrears_months,'Loan Tape (S&amp;P)'!AN4732,
    IF(arrears_months=0,1.00,
    IF(arrears_months=1,3.00,
    IF(arrears_months=2,5.00,
    IF(arrears_months=3,8.00,
    IF(arrears_months=4,10.00,
    IF(arrears_months=5,12.00,15.00)))))))</f>
        <v/>
      </c>
      <c r="M4732">
        <f>LET(
    seasoning_years,DATEDIF('Loan Tape (S&amp;P)'!K4732,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32">
        <f>IF(AND('Loan Tape (S&amp;P)'!U4732="Yes",
        'Loan Tape (S&amp;P)'!T4732&lt;&gt;"Yes",
        DATEDIF('Loan Tape (S&amp;P)'!K4732, TODAY(), "M")&lt;18),
    1.10,
    1.00)</f>
        <v/>
      </c>
      <c r="O4732">
        <f>IF('Loan Tape (S&amp;P)'!T4732="Yes",
    1.35,
    1.00)</f>
        <v/>
      </c>
      <c r="P4732">
        <f>IF('Loan Tape (S&amp;P)'!S4732="Yes",
    1.15,
    1.00)</f>
        <v/>
      </c>
      <c r="Q4732">
        <f>IF('Loan Tape (S&amp;P)'!V4732="Yes",
    1.20,
    1.00)</f>
        <v/>
      </c>
      <c r="T4732">
        <f>LET(
    payment_method,'Loan Tape (S&amp;P)'!P4732,
    occupancy,'Loan Tape (S&amp;P)'!N4732,
    maturity_date,'Loan Tape (S&amp;P)'!L4732,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33">
      <c r="J4733">
        <f>LET(
    lien,'Loan Tape (S&amp;P)'!Q4733,
    IF(lien="First",1.00,
        IF(lien="Second",1.50,
            1.70)))</f>
        <v/>
      </c>
      <c r="K4733">
        <f>LET(
    purpose,'Loan Tape (S&amp;P)'!R4733,
    IF(purpose="Purchase",1.00,
        IF(purpose="Remortgage",1.00,
            1.20)))</f>
        <v/>
      </c>
      <c r="L4733">
        <f>LET(
    arrears_months,'Loan Tape (S&amp;P)'!AN4733,
    IF(arrears_months=0,1.00,
    IF(arrears_months=1,3.00,
    IF(arrears_months=2,5.00,
    IF(arrears_months=3,8.00,
    IF(arrears_months=4,10.00,
    IF(arrears_months=5,12.00,15.00)))))))</f>
        <v/>
      </c>
      <c r="M4733">
        <f>LET(
    seasoning_years,DATEDIF('Loan Tape (S&amp;P)'!K4733,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33">
        <f>IF(AND('Loan Tape (S&amp;P)'!U4733="Yes",
        'Loan Tape (S&amp;P)'!T4733&lt;&gt;"Yes",
        DATEDIF('Loan Tape (S&amp;P)'!K4733, TODAY(), "M")&lt;18),
    1.10,
    1.00)</f>
        <v/>
      </c>
      <c r="O4733">
        <f>IF('Loan Tape (S&amp;P)'!T4733="Yes",
    1.35,
    1.00)</f>
        <v/>
      </c>
      <c r="P4733">
        <f>IF('Loan Tape (S&amp;P)'!S4733="Yes",
    1.15,
    1.00)</f>
        <v/>
      </c>
      <c r="Q4733">
        <f>IF('Loan Tape (S&amp;P)'!V4733="Yes",
    1.20,
    1.00)</f>
        <v/>
      </c>
      <c r="T4733">
        <f>LET(
    payment_method,'Loan Tape (S&amp;P)'!P4733,
    occupancy,'Loan Tape (S&amp;P)'!N4733,
    maturity_date,'Loan Tape (S&amp;P)'!L4733,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34">
      <c r="J4734">
        <f>LET(
    lien,'Loan Tape (S&amp;P)'!Q4734,
    IF(lien="First",1.00,
        IF(lien="Second",1.50,
            1.70)))</f>
        <v/>
      </c>
      <c r="K4734">
        <f>LET(
    purpose,'Loan Tape (S&amp;P)'!R4734,
    IF(purpose="Purchase",1.00,
        IF(purpose="Remortgage",1.00,
            1.20)))</f>
        <v/>
      </c>
      <c r="L4734">
        <f>LET(
    arrears_months,'Loan Tape (S&amp;P)'!AN4734,
    IF(arrears_months=0,1.00,
    IF(arrears_months=1,3.00,
    IF(arrears_months=2,5.00,
    IF(arrears_months=3,8.00,
    IF(arrears_months=4,10.00,
    IF(arrears_months=5,12.00,15.00)))))))</f>
        <v/>
      </c>
      <c r="M4734">
        <f>LET(
    seasoning_years,DATEDIF('Loan Tape (S&amp;P)'!K4734,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34">
        <f>IF(AND('Loan Tape (S&amp;P)'!U4734="Yes",
        'Loan Tape (S&amp;P)'!T4734&lt;&gt;"Yes",
        DATEDIF('Loan Tape (S&amp;P)'!K4734, TODAY(), "M")&lt;18),
    1.10,
    1.00)</f>
        <v/>
      </c>
      <c r="O4734">
        <f>IF('Loan Tape (S&amp;P)'!T4734="Yes",
    1.35,
    1.00)</f>
        <v/>
      </c>
      <c r="P4734">
        <f>IF('Loan Tape (S&amp;P)'!S4734="Yes",
    1.15,
    1.00)</f>
        <v/>
      </c>
      <c r="Q4734">
        <f>IF('Loan Tape (S&amp;P)'!V4734="Yes",
    1.20,
    1.00)</f>
        <v/>
      </c>
      <c r="T4734">
        <f>LET(
    payment_method,'Loan Tape (S&amp;P)'!P4734,
    occupancy,'Loan Tape (S&amp;P)'!N4734,
    maturity_date,'Loan Tape (S&amp;P)'!L4734,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35">
      <c r="J4735">
        <f>LET(
    lien,'Loan Tape (S&amp;P)'!Q4735,
    IF(lien="First",1.00,
        IF(lien="Second",1.50,
            1.70)))</f>
        <v/>
      </c>
      <c r="K4735">
        <f>LET(
    purpose,'Loan Tape (S&amp;P)'!R4735,
    IF(purpose="Purchase",1.00,
        IF(purpose="Remortgage",1.00,
            1.20)))</f>
        <v/>
      </c>
      <c r="L4735">
        <f>LET(
    arrears_months,'Loan Tape (S&amp;P)'!AN4735,
    IF(arrears_months=0,1.00,
    IF(arrears_months=1,3.00,
    IF(arrears_months=2,5.00,
    IF(arrears_months=3,8.00,
    IF(arrears_months=4,10.00,
    IF(arrears_months=5,12.00,15.00)))))))</f>
        <v/>
      </c>
      <c r="M4735">
        <f>LET(
    seasoning_years,DATEDIF('Loan Tape (S&amp;P)'!K4735,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35">
        <f>IF(AND('Loan Tape (S&amp;P)'!U4735="Yes",
        'Loan Tape (S&amp;P)'!T4735&lt;&gt;"Yes",
        DATEDIF('Loan Tape (S&amp;P)'!K4735, TODAY(), "M")&lt;18),
    1.10,
    1.00)</f>
        <v/>
      </c>
      <c r="O4735">
        <f>IF('Loan Tape (S&amp;P)'!T4735="Yes",
    1.35,
    1.00)</f>
        <v/>
      </c>
      <c r="P4735">
        <f>IF('Loan Tape (S&amp;P)'!S4735="Yes",
    1.15,
    1.00)</f>
        <v/>
      </c>
      <c r="Q4735">
        <f>IF('Loan Tape (S&amp;P)'!V4735="Yes",
    1.20,
    1.00)</f>
        <v/>
      </c>
      <c r="T4735">
        <f>LET(
    payment_method,'Loan Tape (S&amp;P)'!P4735,
    occupancy,'Loan Tape (S&amp;P)'!N4735,
    maturity_date,'Loan Tape (S&amp;P)'!L4735,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36">
      <c r="J4736">
        <f>LET(
    lien,'Loan Tape (S&amp;P)'!Q4736,
    IF(lien="First",1.00,
        IF(lien="Second",1.50,
            1.70)))</f>
        <v/>
      </c>
      <c r="K4736">
        <f>LET(
    purpose,'Loan Tape (S&amp;P)'!R4736,
    IF(purpose="Purchase",1.00,
        IF(purpose="Remortgage",1.00,
            1.20)))</f>
        <v/>
      </c>
      <c r="L4736">
        <f>LET(
    arrears_months,'Loan Tape (S&amp;P)'!AN4736,
    IF(arrears_months=0,1.00,
    IF(arrears_months=1,3.00,
    IF(arrears_months=2,5.00,
    IF(arrears_months=3,8.00,
    IF(arrears_months=4,10.00,
    IF(arrears_months=5,12.00,15.00)))))))</f>
        <v/>
      </c>
      <c r="M4736">
        <f>LET(
    seasoning_years,DATEDIF('Loan Tape (S&amp;P)'!K4736,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36">
        <f>IF(AND('Loan Tape (S&amp;P)'!U4736="Yes",
        'Loan Tape (S&amp;P)'!T4736&lt;&gt;"Yes",
        DATEDIF('Loan Tape (S&amp;P)'!K4736, TODAY(), "M")&lt;18),
    1.10,
    1.00)</f>
        <v/>
      </c>
      <c r="O4736">
        <f>IF('Loan Tape (S&amp;P)'!T4736="Yes",
    1.35,
    1.00)</f>
        <v/>
      </c>
      <c r="P4736">
        <f>IF('Loan Tape (S&amp;P)'!S4736="Yes",
    1.15,
    1.00)</f>
        <v/>
      </c>
      <c r="Q4736">
        <f>IF('Loan Tape (S&amp;P)'!V4736="Yes",
    1.20,
    1.00)</f>
        <v/>
      </c>
      <c r="T4736">
        <f>LET(
    payment_method,'Loan Tape (S&amp;P)'!P4736,
    occupancy,'Loan Tape (S&amp;P)'!N4736,
    maturity_date,'Loan Tape (S&amp;P)'!L4736,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37">
      <c r="J4737">
        <f>LET(
    lien,'Loan Tape (S&amp;P)'!Q4737,
    IF(lien="First",1.00,
        IF(lien="Second",1.50,
            1.70)))</f>
        <v/>
      </c>
      <c r="K4737">
        <f>LET(
    purpose,'Loan Tape (S&amp;P)'!R4737,
    IF(purpose="Purchase",1.00,
        IF(purpose="Remortgage",1.00,
            1.20)))</f>
        <v/>
      </c>
      <c r="L4737">
        <f>LET(
    arrears_months,'Loan Tape (S&amp;P)'!AN4737,
    IF(arrears_months=0,1.00,
    IF(arrears_months=1,3.00,
    IF(arrears_months=2,5.00,
    IF(arrears_months=3,8.00,
    IF(arrears_months=4,10.00,
    IF(arrears_months=5,12.00,15.00)))))))</f>
        <v/>
      </c>
      <c r="M4737">
        <f>LET(
    seasoning_years,DATEDIF('Loan Tape (S&amp;P)'!K4737,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37">
        <f>IF(AND('Loan Tape (S&amp;P)'!U4737="Yes",
        'Loan Tape (S&amp;P)'!T4737&lt;&gt;"Yes",
        DATEDIF('Loan Tape (S&amp;P)'!K4737, TODAY(), "M")&lt;18),
    1.10,
    1.00)</f>
        <v/>
      </c>
      <c r="O4737">
        <f>IF('Loan Tape (S&amp;P)'!T4737="Yes",
    1.35,
    1.00)</f>
        <v/>
      </c>
      <c r="P4737">
        <f>IF('Loan Tape (S&amp;P)'!S4737="Yes",
    1.15,
    1.00)</f>
        <v/>
      </c>
      <c r="Q4737">
        <f>IF('Loan Tape (S&amp;P)'!V4737="Yes",
    1.20,
    1.00)</f>
        <v/>
      </c>
      <c r="T4737">
        <f>LET(
    payment_method,'Loan Tape (S&amp;P)'!P4737,
    occupancy,'Loan Tape (S&amp;P)'!N4737,
    maturity_date,'Loan Tape (S&amp;P)'!L4737,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38">
      <c r="J4738">
        <f>LET(
    lien,'Loan Tape (S&amp;P)'!Q4738,
    IF(lien="First",1.00,
        IF(lien="Second",1.50,
            1.70)))</f>
        <v/>
      </c>
      <c r="K4738">
        <f>LET(
    purpose,'Loan Tape (S&amp;P)'!R4738,
    IF(purpose="Purchase",1.00,
        IF(purpose="Remortgage",1.00,
            1.20)))</f>
        <v/>
      </c>
      <c r="L4738">
        <f>LET(
    arrears_months,'Loan Tape (S&amp;P)'!AN4738,
    IF(arrears_months=0,1.00,
    IF(arrears_months=1,3.00,
    IF(arrears_months=2,5.00,
    IF(arrears_months=3,8.00,
    IF(arrears_months=4,10.00,
    IF(arrears_months=5,12.00,15.00)))))))</f>
        <v/>
      </c>
      <c r="M4738">
        <f>LET(
    seasoning_years,DATEDIF('Loan Tape (S&amp;P)'!K4738,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38">
        <f>IF(AND('Loan Tape (S&amp;P)'!U4738="Yes",
        'Loan Tape (S&amp;P)'!T4738&lt;&gt;"Yes",
        DATEDIF('Loan Tape (S&amp;P)'!K4738, TODAY(), "M")&lt;18),
    1.10,
    1.00)</f>
        <v/>
      </c>
      <c r="O4738">
        <f>IF('Loan Tape (S&amp;P)'!T4738="Yes",
    1.35,
    1.00)</f>
        <v/>
      </c>
      <c r="P4738">
        <f>IF('Loan Tape (S&amp;P)'!S4738="Yes",
    1.15,
    1.00)</f>
        <v/>
      </c>
      <c r="Q4738">
        <f>IF('Loan Tape (S&amp;P)'!V4738="Yes",
    1.20,
    1.00)</f>
        <v/>
      </c>
      <c r="T4738">
        <f>LET(
    payment_method,'Loan Tape (S&amp;P)'!P4738,
    occupancy,'Loan Tape (S&amp;P)'!N4738,
    maturity_date,'Loan Tape (S&amp;P)'!L4738,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39">
      <c r="J4739">
        <f>LET(
    lien,'Loan Tape (S&amp;P)'!Q4739,
    IF(lien="First",1.00,
        IF(lien="Second",1.50,
            1.70)))</f>
        <v/>
      </c>
      <c r="K4739">
        <f>LET(
    purpose,'Loan Tape (S&amp;P)'!R4739,
    IF(purpose="Purchase",1.00,
        IF(purpose="Remortgage",1.00,
            1.20)))</f>
        <v/>
      </c>
      <c r="L4739">
        <f>LET(
    arrears_months,'Loan Tape (S&amp;P)'!AN4739,
    IF(arrears_months=0,1.00,
    IF(arrears_months=1,3.00,
    IF(arrears_months=2,5.00,
    IF(arrears_months=3,8.00,
    IF(arrears_months=4,10.00,
    IF(arrears_months=5,12.00,15.00)))))))</f>
        <v/>
      </c>
      <c r="M4739">
        <f>LET(
    seasoning_years,DATEDIF('Loan Tape (S&amp;P)'!K4739,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39">
        <f>IF(AND('Loan Tape (S&amp;P)'!U4739="Yes",
        'Loan Tape (S&amp;P)'!T4739&lt;&gt;"Yes",
        DATEDIF('Loan Tape (S&amp;P)'!K4739, TODAY(), "M")&lt;18),
    1.10,
    1.00)</f>
        <v/>
      </c>
      <c r="O4739">
        <f>IF('Loan Tape (S&amp;P)'!T4739="Yes",
    1.35,
    1.00)</f>
        <v/>
      </c>
      <c r="P4739">
        <f>IF('Loan Tape (S&amp;P)'!S4739="Yes",
    1.15,
    1.00)</f>
        <v/>
      </c>
      <c r="Q4739">
        <f>IF('Loan Tape (S&amp;P)'!V4739="Yes",
    1.20,
    1.00)</f>
        <v/>
      </c>
      <c r="T4739">
        <f>LET(
    payment_method,'Loan Tape (S&amp;P)'!P4739,
    occupancy,'Loan Tape (S&amp;P)'!N4739,
    maturity_date,'Loan Tape (S&amp;P)'!L4739,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40">
      <c r="J4740">
        <f>LET(
    lien,'Loan Tape (S&amp;P)'!Q4740,
    IF(lien="First",1.00,
        IF(lien="Second",1.50,
            1.70)))</f>
        <v/>
      </c>
      <c r="K4740">
        <f>LET(
    purpose,'Loan Tape (S&amp;P)'!R4740,
    IF(purpose="Purchase",1.00,
        IF(purpose="Remortgage",1.00,
            1.20)))</f>
        <v/>
      </c>
      <c r="L4740">
        <f>LET(
    arrears_months,'Loan Tape (S&amp;P)'!AN4740,
    IF(arrears_months=0,1.00,
    IF(arrears_months=1,3.00,
    IF(arrears_months=2,5.00,
    IF(arrears_months=3,8.00,
    IF(arrears_months=4,10.00,
    IF(arrears_months=5,12.00,15.00)))))))</f>
        <v/>
      </c>
      <c r="M4740">
        <f>LET(
    seasoning_years,DATEDIF('Loan Tape (S&amp;P)'!K4740,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40">
        <f>IF(AND('Loan Tape (S&amp;P)'!U4740="Yes",
        'Loan Tape (S&amp;P)'!T4740&lt;&gt;"Yes",
        DATEDIF('Loan Tape (S&amp;P)'!K4740, TODAY(), "M")&lt;18),
    1.10,
    1.00)</f>
        <v/>
      </c>
      <c r="O4740">
        <f>IF('Loan Tape (S&amp;P)'!T4740="Yes",
    1.35,
    1.00)</f>
        <v/>
      </c>
      <c r="P4740">
        <f>IF('Loan Tape (S&amp;P)'!S4740="Yes",
    1.15,
    1.00)</f>
        <v/>
      </c>
      <c r="Q4740">
        <f>IF('Loan Tape (S&amp;P)'!V4740="Yes",
    1.20,
    1.00)</f>
        <v/>
      </c>
      <c r="T4740">
        <f>LET(
    payment_method,'Loan Tape (S&amp;P)'!P4740,
    occupancy,'Loan Tape (S&amp;P)'!N4740,
    maturity_date,'Loan Tape (S&amp;P)'!L4740,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41">
      <c r="J4741">
        <f>LET(
    lien,'Loan Tape (S&amp;P)'!Q4741,
    IF(lien="First",1.00,
        IF(lien="Second",1.50,
            1.70)))</f>
        <v/>
      </c>
      <c r="K4741">
        <f>LET(
    purpose,'Loan Tape (S&amp;P)'!R4741,
    IF(purpose="Purchase",1.00,
        IF(purpose="Remortgage",1.00,
            1.20)))</f>
        <v/>
      </c>
      <c r="L4741">
        <f>LET(
    arrears_months,'Loan Tape (S&amp;P)'!AN4741,
    IF(arrears_months=0,1.00,
    IF(arrears_months=1,3.00,
    IF(arrears_months=2,5.00,
    IF(arrears_months=3,8.00,
    IF(arrears_months=4,10.00,
    IF(arrears_months=5,12.00,15.00)))))))</f>
        <v/>
      </c>
      <c r="M4741">
        <f>LET(
    seasoning_years,DATEDIF('Loan Tape (S&amp;P)'!K4741,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41">
        <f>IF(AND('Loan Tape (S&amp;P)'!U4741="Yes",
        'Loan Tape (S&amp;P)'!T4741&lt;&gt;"Yes",
        DATEDIF('Loan Tape (S&amp;P)'!K4741, TODAY(), "M")&lt;18),
    1.10,
    1.00)</f>
        <v/>
      </c>
      <c r="O4741">
        <f>IF('Loan Tape (S&amp;P)'!T4741="Yes",
    1.35,
    1.00)</f>
        <v/>
      </c>
      <c r="P4741">
        <f>IF('Loan Tape (S&amp;P)'!S4741="Yes",
    1.15,
    1.00)</f>
        <v/>
      </c>
      <c r="Q4741">
        <f>IF('Loan Tape (S&amp;P)'!V4741="Yes",
    1.20,
    1.00)</f>
        <v/>
      </c>
      <c r="T4741">
        <f>LET(
    payment_method,'Loan Tape (S&amp;P)'!P4741,
    occupancy,'Loan Tape (S&amp;P)'!N4741,
    maturity_date,'Loan Tape (S&amp;P)'!L4741,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42">
      <c r="J4742">
        <f>LET(
    lien,'Loan Tape (S&amp;P)'!Q4742,
    IF(lien="First",1.00,
        IF(lien="Second",1.50,
            1.70)))</f>
        <v/>
      </c>
      <c r="K4742">
        <f>LET(
    purpose,'Loan Tape (S&amp;P)'!R4742,
    IF(purpose="Purchase",1.00,
        IF(purpose="Remortgage",1.00,
            1.20)))</f>
        <v/>
      </c>
      <c r="L4742">
        <f>LET(
    arrears_months,'Loan Tape (S&amp;P)'!AN4742,
    IF(arrears_months=0,1.00,
    IF(arrears_months=1,3.00,
    IF(arrears_months=2,5.00,
    IF(arrears_months=3,8.00,
    IF(arrears_months=4,10.00,
    IF(arrears_months=5,12.00,15.00)))))))</f>
        <v/>
      </c>
      <c r="M4742">
        <f>LET(
    seasoning_years,DATEDIF('Loan Tape (S&amp;P)'!K4742,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42">
        <f>IF(AND('Loan Tape (S&amp;P)'!U4742="Yes",
        'Loan Tape (S&amp;P)'!T4742&lt;&gt;"Yes",
        DATEDIF('Loan Tape (S&amp;P)'!K4742, TODAY(), "M")&lt;18),
    1.10,
    1.00)</f>
        <v/>
      </c>
      <c r="O4742">
        <f>IF('Loan Tape (S&amp;P)'!T4742="Yes",
    1.35,
    1.00)</f>
        <v/>
      </c>
      <c r="P4742">
        <f>IF('Loan Tape (S&amp;P)'!S4742="Yes",
    1.15,
    1.00)</f>
        <v/>
      </c>
      <c r="Q4742">
        <f>IF('Loan Tape (S&amp;P)'!V4742="Yes",
    1.20,
    1.00)</f>
        <v/>
      </c>
      <c r="T4742">
        <f>LET(
    payment_method,'Loan Tape (S&amp;P)'!P4742,
    occupancy,'Loan Tape (S&amp;P)'!N4742,
    maturity_date,'Loan Tape (S&amp;P)'!L4742,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43">
      <c r="J4743">
        <f>LET(
    lien,'Loan Tape (S&amp;P)'!Q4743,
    IF(lien="First",1.00,
        IF(lien="Second",1.50,
            1.70)))</f>
        <v/>
      </c>
      <c r="K4743">
        <f>LET(
    purpose,'Loan Tape (S&amp;P)'!R4743,
    IF(purpose="Purchase",1.00,
        IF(purpose="Remortgage",1.00,
            1.20)))</f>
        <v/>
      </c>
      <c r="L4743">
        <f>LET(
    arrears_months,'Loan Tape (S&amp;P)'!AN4743,
    IF(arrears_months=0,1.00,
    IF(arrears_months=1,3.00,
    IF(arrears_months=2,5.00,
    IF(arrears_months=3,8.00,
    IF(arrears_months=4,10.00,
    IF(arrears_months=5,12.00,15.00)))))))</f>
        <v/>
      </c>
      <c r="M4743">
        <f>LET(
    seasoning_years,DATEDIF('Loan Tape (S&amp;P)'!K4743,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43">
        <f>IF(AND('Loan Tape (S&amp;P)'!U4743="Yes",
        'Loan Tape (S&amp;P)'!T4743&lt;&gt;"Yes",
        DATEDIF('Loan Tape (S&amp;P)'!K4743, TODAY(), "M")&lt;18),
    1.10,
    1.00)</f>
        <v/>
      </c>
      <c r="O4743">
        <f>IF('Loan Tape (S&amp;P)'!T4743="Yes",
    1.35,
    1.00)</f>
        <v/>
      </c>
      <c r="P4743">
        <f>IF('Loan Tape (S&amp;P)'!S4743="Yes",
    1.15,
    1.00)</f>
        <v/>
      </c>
      <c r="Q4743">
        <f>IF('Loan Tape (S&amp;P)'!V4743="Yes",
    1.20,
    1.00)</f>
        <v/>
      </c>
      <c r="T4743">
        <f>LET(
    payment_method,'Loan Tape (S&amp;P)'!P4743,
    occupancy,'Loan Tape (S&amp;P)'!N4743,
    maturity_date,'Loan Tape (S&amp;P)'!L4743,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44">
      <c r="J4744">
        <f>LET(
    lien,'Loan Tape (S&amp;P)'!Q4744,
    IF(lien="First",1.00,
        IF(lien="Second",1.50,
            1.70)))</f>
        <v/>
      </c>
      <c r="K4744">
        <f>LET(
    purpose,'Loan Tape (S&amp;P)'!R4744,
    IF(purpose="Purchase",1.00,
        IF(purpose="Remortgage",1.00,
            1.20)))</f>
        <v/>
      </c>
      <c r="L4744">
        <f>LET(
    arrears_months,'Loan Tape (S&amp;P)'!AN4744,
    IF(arrears_months=0,1.00,
    IF(arrears_months=1,3.00,
    IF(arrears_months=2,5.00,
    IF(arrears_months=3,8.00,
    IF(arrears_months=4,10.00,
    IF(arrears_months=5,12.00,15.00)))))))</f>
        <v/>
      </c>
      <c r="M4744">
        <f>LET(
    seasoning_years,DATEDIF('Loan Tape (S&amp;P)'!K4744,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44">
        <f>IF(AND('Loan Tape (S&amp;P)'!U4744="Yes",
        'Loan Tape (S&amp;P)'!T4744&lt;&gt;"Yes",
        DATEDIF('Loan Tape (S&amp;P)'!K4744, TODAY(), "M")&lt;18),
    1.10,
    1.00)</f>
        <v/>
      </c>
      <c r="O4744">
        <f>IF('Loan Tape (S&amp;P)'!T4744="Yes",
    1.35,
    1.00)</f>
        <v/>
      </c>
      <c r="P4744">
        <f>IF('Loan Tape (S&amp;P)'!S4744="Yes",
    1.15,
    1.00)</f>
        <v/>
      </c>
      <c r="Q4744">
        <f>IF('Loan Tape (S&amp;P)'!V4744="Yes",
    1.20,
    1.00)</f>
        <v/>
      </c>
      <c r="T4744">
        <f>LET(
    payment_method,'Loan Tape (S&amp;P)'!P4744,
    occupancy,'Loan Tape (S&amp;P)'!N4744,
    maturity_date,'Loan Tape (S&amp;P)'!L4744,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45">
      <c r="J4745">
        <f>LET(
    lien,'Loan Tape (S&amp;P)'!Q4745,
    IF(lien="First",1.00,
        IF(lien="Second",1.50,
            1.70)))</f>
        <v/>
      </c>
      <c r="K4745">
        <f>LET(
    purpose,'Loan Tape (S&amp;P)'!R4745,
    IF(purpose="Purchase",1.00,
        IF(purpose="Remortgage",1.00,
            1.20)))</f>
        <v/>
      </c>
      <c r="L4745">
        <f>LET(
    arrears_months,'Loan Tape (S&amp;P)'!AN4745,
    IF(arrears_months=0,1.00,
    IF(arrears_months=1,3.00,
    IF(arrears_months=2,5.00,
    IF(arrears_months=3,8.00,
    IF(arrears_months=4,10.00,
    IF(arrears_months=5,12.00,15.00)))))))</f>
        <v/>
      </c>
      <c r="M4745">
        <f>LET(
    seasoning_years,DATEDIF('Loan Tape (S&amp;P)'!K4745,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45">
        <f>IF(AND('Loan Tape (S&amp;P)'!U4745="Yes",
        'Loan Tape (S&amp;P)'!T4745&lt;&gt;"Yes",
        DATEDIF('Loan Tape (S&amp;P)'!K4745, TODAY(), "M")&lt;18),
    1.10,
    1.00)</f>
        <v/>
      </c>
      <c r="O4745">
        <f>IF('Loan Tape (S&amp;P)'!T4745="Yes",
    1.35,
    1.00)</f>
        <v/>
      </c>
      <c r="P4745">
        <f>IF('Loan Tape (S&amp;P)'!S4745="Yes",
    1.15,
    1.00)</f>
        <v/>
      </c>
      <c r="Q4745">
        <f>IF('Loan Tape (S&amp;P)'!V4745="Yes",
    1.20,
    1.00)</f>
        <v/>
      </c>
      <c r="T4745">
        <f>LET(
    payment_method,'Loan Tape (S&amp;P)'!P4745,
    occupancy,'Loan Tape (S&amp;P)'!N4745,
    maturity_date,'Loan Tape (S&amp;P)'!L4745,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46">
      <c r="J4746">
        <f>LET(
    lien,'Loan Tape (S&amp;P)'!Q4746,
    IF(lien="First",1.00,
        IF(lien="Second",1.50,
            1.70)))</f>
        <v/>
      </c>
      <c r="K4746">
        <f>LET(
    purpose,'Loan Tape (S&amp;P)'!R4746,
    IF(purpose="Purchase",1.00,
        IF(purpose="Remortgage",1.00,
            1.20)))</f>
        <v/>
      </c>
      <c r="L4746">
        <f>LET(
    arrears_months,'Loan Tape (S&amp;P)'!AN4746,
    IF(arrears_months=0,1.00,
    IF(arrears_months=1,3.00,
    IF(arrears_months=2,5.00,
    IF(arrears_months=3,8.00,
    IF(arrears_months=4,10.00,
    IF(arrears_months=5,12.00,15.00)))))))</f>
        <v/>
      </c>
      <c r="M4746">
        <f>LET(
    seasoning_years,DATEDIF('Loan Tape (S&amp;P)'!K4746,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46">
        <f>IF(AND('Loan Tape (S&amp;P)'!U4746="Yes",
        'Loan Tape (S&amp;P)'!T4746&lt;&gt;"Yes",
        DATEDIF('Loan Tape (S&amp;P)'!K4746, TODAY(), "M")&lt;18),
    1.10,
    1.00)</f>
        <v/>
      </c>
      <c r="O4746">
        <f>IF('Loan Tape (S&amp;P)'!T4746="Yes",
    1.35,
    1.00)</f>
        <v/>
      </c>
      <c r="P4746">
        <f>IF('Loan Tape (S&amp;P)'!S4746="Yes",
    1.15,
    1.00)</f>
        <v/>
      </c>
      <c r="Q4746">
        <f>IF('Loan Tape (S&amp;P)'!V4746="Yes",
    1.20,
    1.00)</f>
        <v/>
      </c>
      <c r="T4746">
        <f>LET(
    payment_method,'Loan Tape (S&amp;P)'!P4746,
    occupancy,'Loan Tape (S&amp;P)'!N4746,
    maturity_date,'Loan Tape (S&amp;P)'!L4746,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47">
      <c r="J4747">
        <f>LET(
    lien,'Loan Tape (S&amp;P)'!Q4747,
    IF(lien="First",1.00,
        IF(lien="Second",1.50,
            1.70)))</f>
        <v/>
      </c>
      <c r="K4747">
        <f>LET(
    purpose,'Loan Tape (S&amp;P)'!R4747,
    IF(purpose="Purchase",1.00,
        IF(purpose="Remortgage",1.00,
            1.20)))</f>
        <v/>
      </c>
      <c r="L4747">
        <f>LET(
    arrears_months,'Loan Tape (S&amp;P)'!AN4747,
    IF(arrears_months=0,1.00,
    IF(arrears_months=1,3.00,
    IF(arrears_months=2,5.00,
    IF(arrears_months=3,8.00,
    IF(arrears_months=4,10.00,
    IF(arrears_months=5,12.00,15.00)))))))</f>
        <v/>
      </c>
      <c r="M4747">
        <f>LET(
    seasoning_years,DATEDIF('Loan Tape (S&amp;P)'!K4747,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47">
        <f>IF(AND('Loan Tape (S&amp;P)'!U4747="Yes",
        'Loan Tape (S&amp;P)'!T4747&lt;&gt;"Yes",
        DATEDIF('Loan Tape (S&amp;P)'!K4747, TODAY(), "M")&lt;18),
    1.10,
    1.00)</f>
        <v/>
      </c>
      <c r="O4747">
        <f>IF('Loan Tape (S&amp;P)'!T4747="Yes",
    1.35,
    1.00)</f>
        <v/>
      </c>
      <c r="P4747">
        <f>IF('Loan Tape (S&amp;P)'!S4747="Yes",
    1.15,
    1.00)</f>
        <v/>
      </c>
      <c r="Q4747">
        <f>IF('Loan Tape (S&amp;P)'!V4747="Yes",
    1.20,
    1.00)</f>
        <v/>
      </c>
      <c r="T4747">
        <f>LET(
    payment_method,'Loan Tape (S&amp;P)'!P4747,
    occupancy,'Loan Tape (S&amp;P)'!N4747,
    maturity_date,'Loan Tape (S&amp;P)'!L4747,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48">
      <c r="J4748">
        <f>LET(
    lien,'Loan Tape (S&amp;P)'!Q4748,
    IF(lien="First",1.00,
        IF(lien="Second",1.50,
            1.70)))</f>
        <v/>
      </c>
      <c r="K4748">
        <f>LET(
    purpose,'Loan Tape (S&amp;P)'!R4748,
    IF(purpose="Purchase",1.00,
        IF(purpose="Remortgage",1.00,
            1.20)))</f>
        <v/>
      </c>
      <c r="L4748">
        <f>LET(
    arrears_months,'Loan Tape (S&amp;P)'!AN4748,
    IF(arrears_months=0,1.00,
    IF(arrears_months=1,3.00,
    IF(arrears_months=2,5.00,
    IF(arrears_months=3,8.00,
    IF(arrears_months=4,10.00,
    IF(arrears_months=5,12.00,15.00)))))))</f>
        <v/>
      </c>
      <c r="M4748">
        <f>LET(
    seasoning_years,DATEDIF('Loan Tape (S&amp;P)'!K4748,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48">
        <f>IF(AND('Loan Tape (S&amp;P)'!U4748="Yes",
        'Loan Tape (S&amp;P)'!T4748&lt;&gt;"Yes",
        DATEDIF('Loan Tape (S&amp;P)'!K4748, TODAY(), "M")&lt;18),
    1.10,
    1.00)</f>
        <v/>
      </c>
      <c r="O4748">
        <f>IF('Loan Tape (S&amp;P)'!T4748="Yes",
    1.35,
    1.00)</f>
        <v/>
      </c>
      <c r="P4748">
        <f>IF('Loan Tape (S&amp;P)'!S4748="Yes",
    1.15,
    1.00)</f>
        <v/>
      </c>
      <c r="Q4748">
        <f>IF('Loan Tape (S&amp;P)'!V4748="Yes",
    1.20,
    1.00)</f>
        <v/>
      </c>
      <c r="T4748">
        <f>LET(
    payment_method,'Loan Tape (S&amp;P)'!P4748,
    occupancy,'Loan Tape (S&amp;P)'!N4748,
    maturity_date,'Loan Tape (S&amp;P)'!L4748,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49">
      <c r="J4749">
        <f>LET(
    lien,'Loan Tape (S&amp;P)'!Q4749,
    IF(lien="First",1.00,
        IF(lien="Second",1.50,
            1.70)))</f>
        <v/>
      </c>
      <c r="K4749">
        <f>LET(
    purpose,'Loan Tape (S&amp;P)'!R4749,
    IF(purpose="Purchase",1.00,
        IF(purpose="Remortgage",1.00,
            1.20)))</f>
        <v/>
      </c>
      <c r="L4749">
        <f>LET(
    arrears_months,'Loan Tape (S&amp;P)'!AN4749,
    IF(arrears_months=0,1.00,
    IF(arrears_months=1,3.00,
    IF(arrears_months=2,5.00,
    IF(arrears_months=3,8.00,
    IF(arrears_months=4,10.00,
    IF(arrears_months=5,12.00,15.00)))))))</f>
        <v/>
      </c>
      <c r="M4749">
        <f>LET(
    seasoning_years,DATEDIF('Loan Tape (S&amp;P)'!K4749,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49">
        <f>IF(AND('Loan Tape (S&amp;P)'!U4749="Yes",
        'Loan Tape (S&amp;P)'!T4749&lt;&gt;"Yes",
        DATEDIF('Loan Tape (S&amp;P)'!K4749, TODAY(), "M")&lt;18),
    1.10,
    1.00)</f>
        <v/>
      </c>
      <c r="O4749">
        <f>IF('Loan Tape (S&amp;P)'!T4749="Yes",
    1.35,
    1.00)</f>
        <v/>
      </c>
      <c r="P4749">
        <f>IF('Loan Tape (S&amp;P)'!S4749="Yes",
    1.15,
    1.00)</f>
        <v/>
      </c>
      <c r="Q4749">
        <f>IF('Loan Tape (S&amp;P)'!V4749="Yes",
    1.20,
    1.00)</f>
        <v/>
      </c>
      <c r="T4749">
        <f>LET(
    payment_method,'Loan Tape (S&amp;P)'!P4749,
    occupancy,'Loan Tape (S&amp;P)'!N4749,
    maturity_date,'Loan Tape (S&amp;P)'!L4749,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50">
      <c r="J4750">
        <f>LET(
    lien,'Loan Tape (S&amp;P)'!Q4750,
    IF(lien="First",1.00,
        IF(lien="Second",1.50,
            1.70)))</f>
        <v/>
      </c>
      <c r="K4750">
        <f>LET(
    purpose,'Loan Tape (S&amp;P)'!R4750,
    IF(purpose="Purchase",1.00,
        IF(purpose="Remortgage",1.00,
            1.20)))</f>
        <v/>
      </c>
      <c r="L4750">
        <f>LET(
    arrears_months,'Loan Tape (S&amp;P)'!AN4750,
    IF(arrears_months=0,1.00,
    IF(arrears_months=1,3.00,
    IF(arrears_months=2,5.00,
    IF(arrears_months=3,8.00,
    IF(arrears_months=4,10.00,
    IF(arrears_months=5,12.00,15.00)))))))</f>
        <v/>
      </c>
      <c r="M4750">
        <f>LET(
    seasoning_years,DATEDIF('Loan Tape (S&amp;P)'!K4750,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50">
        <f>IF(AND('Loan Tape (S&amp;P)'!U4750="Yes",
        'Loan Tape (S&amp;P)'!T4750&lt;&gt;"Yes",
        DATEDIF('Loan Tape (S&amp;P)'!K4750, TODAY(), "M")&lt;18),
    1.10,
    1.00)</f>
        <v/>
      </c>
      <c r="O4750">
        <f>IF('Loan Tape (S&amp;P)'!T4750="Yes",
    1.35,
    1.00)</f>
        <v/>
      </c>
      <c r="P4750">
        <f>IF('Loan Tape (S&amp;P)'!S4750="Yes",
    1.15,
    1.00)</f>
        <v/>
      </c>
      <c r="Q4750">
        <f>IF('Loan Tape (S&amp;P)'!V4750="Yes",
    1.20,
    1.00)</f>
        <v/>
      </c>
      <c r="T4750">
        <f>LET(
    payment_method,'Loan Tape (S&amp;P)'!P4750,
    occupancy,'Loan Tape (S&amp;P)'!N4750,
    maturity_date,'Loan Tape (S&amp;P)'!L4750,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51">
      <c r="J4751">
        <f>LET(
    lien,'Loan Tape (S&amp;P)'!Q4751,
    IF(lien="First",1.00,
        IF(lien="Second",1.50,
            1.70)))</f>
        <v/>
      </c>
      <c r="K4751">
        <f>LET(
    purpose,'Loan Tape (S&amp;P)'!R4751,
    IF(purpose="Purchase",1.00,
        IF(purpose="Remortgage",1.00,
            1.20)))</f>
        <v/>
      </c>
      <c r="L4751">
        <f>LET(
    arrears_months,'Loan Tape (S&amp;P)'!AN4751,
    IF(arrears_months=0,1.00,
    IF(arrears_months=1,3.00,
    IF(arrears_months=2,5.00,
    IF(arrears_months=3,8.00,
    IF(arrears_months=4,10.00,
    IF(arrears_months=5,12.00,15.00)))))))</f>
        <v/>
      </c>
      <c r="M4751">
        <f>LET(
    seasoning_years,DATEDIF('Loan Tape (S&amp;P)'!K4751,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51">
        <f>IF(AND('Loan Tape (S&amp;P)'!U4751="Yes",
        'Loan Tape (S&amp;P)'!T4751&lt;&gt;"Yes",
        DATEDIF('Loan Tape (S&amp;P)'!K4751, TODAY(), "M")&lt;18),
    1.10,
    1.00)</f>
        <v/>
      </c>
      <c r="O4751">
        <f>IF('Loan Tape (S&amp;P)'!T4751="Yes",
    1.35,
    1.00)</f>
        <v/>
      </c>
      <c r="P4751">
        <f>IF('Loan Tape (S&amp;P)'!S4751="Yes",
    1.15,
    1.00)</f>
        <v/>
      </c>
      <c r="Q4751">
        <f>IF('Loan Tape (S&amp;P)'!V4751="Yes",
    1.20,
    1.00)</f>
        <v/>
      </c>
      <c r="T4751">
        <f>LET(
    payment_method,'Loan Tape (S&amp;P)'!P4751,
    occupancy,'Loan Tape (S&amp;P)'!N4751,
    maturity_date,'Loan Tape (S&amp;P)'!L4751,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52">
      <c r="J4752">
        <f>LET(
    lien,'Loan Tape (S&amp;P)'!Q4752,
    IF(lien="First",1.00,
        IF(lien="Second",1.50,
            1.70)))</f>
        <v/>
      </c>
      <c r="K4752">
        <f>LET(
    purpose,'Loan Tape (S&amp;P)'!R4752,
    IF(purpose="Purchase",1.00,
        IF(purpose="Remortgage",1.00,
            1.20)))</f>
        <v/>
      </c>
      <c r="L4752">
        <f>LET(
    arrears_months,'Loan Tape (S&amp;P)'!AN4752,
    IF(arrears_months=0,1.00,
    IF(arrears_months=1,3.00,
    IF(arrears_months=2,5.00,
    IF(arrears_months=3,8.00,
    IF(arrears_months=4,10.00,
    IF(arrears_months=5,12.00,15.00)))))))</f>
        <v/>
      </c>
      <c r="M4752">
        <f>LET(
    seasoning_years,DATEDIF('Loan Tape (S&amp;P)'!K4752,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52">
        <f>IF(AND('Loan Tape (S&amp;P)'!U4752="Yes",
        'Loan Tape (S&amp;P)'!T4752&lt;&gt;"Yes",
        DATEDIF('Loan Tape (S&amp;P)'!K4752, TODAY(), "M")&lt;18),
    1.10,
    1.00)</f>
        <v/>
      </c>
      <c r="O4752">
        <f>IF('Loan Tape (S&amp;P)'!T4752="Yes",
    1.35,
    1.00)</f>
        <v/>
      </c>
      <c r="P4752">
        <f>IF('Loan Tape (S&amp;P)'!S4752="Yes",
    1.15,
    1.00)</f>
        <v/>
      </c>
      <c r="Q4752">
        <f>IF('Loan Tape (S&amp;P)'!V4752="Yes",
    1.20,
    1.00)</f>
        <v/>
      </c>
      <c r="T4752">
        <f>LET(
    payment_method,'Loan Tape (S&amp;P)'!P4752,
    occupancy,'Loan Tape (S&amp;P)'!N4752,
    maturity_date,'Loan Tape (S&amp;P)'!L4752,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53">
      <c r="J4753">
        <f>LET(
    lien,'Loan Tape (S&amp;P)'!Q4753,
    IF(lien="First",1.00,
        IF(lien="Second",1.50,
            1.70)))</f>
        <v/>
      </c>
      <c r="K4753">
        <f>LET(
    purpose,'Loan Tape (S&amp;P)'!R4753,
    IF(purpose="Purchase",1.00,
        IF(purpose="Remortgage",1.00,
            1.20)))</f>
        <v/>
      </c>
      <c r="L4753">
        <f>LET(
    arrears_months,'Loan Tape (S&amp;P)'!AN4753,
    IF(arrears_months=0,1.00,
    IF(arrears_months=1,3.00,
    IF(arrears_months=2,5.00,
    IF(arrears_months=3,8.00,
    IF(arrears_months=4,10.00,
    IF(arrears_months=5,12.00,15.00)))))))</f>
        <v/>
      </c>
      <c r="M4753">
        <f>LET(
    seasoning_years,DATEDIF('Loan Tape (S&amp;P)'!K4753,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53">
        <f>IF(AND('Loan Tape (S&amp;P)'!U4753="Yes",
        'Loan Tape (S&amp;P)'!T4753&lt;&gt;"Yes",
        DATEDIF('Loan Tape (S&amp;P)'!K4753, TODAY(), "M")&lt;18),
    1.10,
    1.00)</f>
        <v/>
      </c>
      <c r="O4753">
        <f>IF('Loan Tape (S&amp;P)'!T4753="Yes",
    1.35,
    1.00)</f>
        <v/>
      </c>
      <c r="P4753">
        <f>IF('Loan Tape (S&amp;P)'!S4753="Yes",
    1.15,
    1.00)</f>
        <v/>
      </c>
      <c r="Q4753">
        <f>IF('Loan Tape (S&amp;P)'!V4753="Yes",
    1.20,
    1.00)</f>
        <v/>
      </c>
      <c r="T4753">
        <f>LET(
    payment_method,'Loan Tape (S&amp;P)'!P4753,
    occupancy,'Loan Tape (S&amp;P)'!N4753,
    maturity_date,'Loan Tape (S&amp;P)'!L4753,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54">
      <c r="J4754">
        <f>LET(
    lien,'Loan Tape (S&amp;P)'!Q4754,
    IF(lien="First",1.00,
        IF(lien="Second",1.50,
            1.70)))</f>
        <v/>
      </c>
      <c r="K4754">
        <f>LET(
    purpose,'Loan Tape (S&amp;P)'!R4754,
    IF(purpose="Purchase",1.00,
        IF(purpose="Remortgage",1.00,
            1.20)))</f>
        <v/>
      </c>
      <c r="L4754">
        <f>LET(
    arrears_months,'Loan Tape (S&amp;P)'!AN4754,
    IF(arrears_months=0,1.00,
    IF(arrears_months=1,3.00,
    IF(arrears_months=2,5.00,
    IF(arrears_months=3,8.00,
    IF(arrears_months=4,10.00,
    IF(arrears_months=5,12.00,15.00)))))))</f>
        <v/>
      </c>
      <c r="M4754">
        <f>LET(
    seasoning_years,DATEDIF('Loan Tape (S&amp;P)'!K4754,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54">
        <f>IF(AND('Loan Tape (S&amp;P)'!U4754="Yes",
        'Loan Tape (S&amp;P)'!T4754&lt;&gt;"Yes",
        DATEDIF('Loan Tape (S&amp;P)'!K4754, TODAY(), "M")&lt;18),
    1.10,
    1.00)</f>
        <v/>
      </c>
      <c r="O4754">
        <f>IF('Loan Tape (S&amp;P)'!T4754="Yes",
    1.35,
    1.00)</f>
        <v/>
      </c>
      <c r="P4754">
        <f>IF('Loan Tape (S&amp;P)'!S4754="Yes",
    1.15,
    1.00)</f>
        <v/>
      </c>
      <c r="Q4754">
        <f>IF('Loan Tape (S&amp;P)'!V4754="Yes",
    1.20,
    1.00)</f>
        <v/>
      </c>
      <c r="T4754">
        <f>LET(
    payment_method,'Loan Tape (S&amp;P)'!P4754,
    occupancy,'Loan Tape (S&amp;P)'!N4754,
    maturity_date,'Loan Tape (S&amp;P)'!L4754,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55">
      <c r="J4755">
        <f>LET(
    lien,'Loan Tape (S&amp;P)'!Q4755,
    IF(lien="First",1.00,
        IF(lien="Second",1.50,
            1.70)))</f>
        <v/>
      </c>
      <c r="K4755">
        <f>LET(
    purpose,'Loan Tape (S&amp;P)'!R4755,
    IF(purpose="Purchase",1.00,
        IF(purpose="Remortgage",1.00,
            1.20)))</f>
        <v/>
      </c>
      <c r="L4755">
        <f>LET(
    arrears_months,'Loan Tape (S&amp;P)'!AN4755,
    IF(arrears_months=0,1.00,
    IF(arrears_months=1,3.00,
    IF(arrears_months=2,5.00,
    IF(arrears_months=3,8.00,
    IF(arrears_months=4,10.00,
    IF(arrears_months=5,12.00,15.00)))))))</f>
        <v/>
      </c>
      <c r="M4755">
        <f>LET(
    seasoning_years,DATEDIF('Loan Tape (S&amp;P)'!K4755,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55">
        <f>IF(AND('Loan Tape (S&amp;P)'!U4755="Yes",
        'Loan Tape (S&amp;P)'!T4755&lt;&gt;"Yes",
        DATEDIF('Loan Tape (S&amp;P)'!K4755, TODAY(), "M")&lt;18),
    1.10,
    1.00)</f>
        <v/>
      </c>
      <c r="O4755">
        <f>IF('Loan Tape (S&amp;P)'!T4755="Yes",
    1.35,
    1.00)</f>
        <v/>
      </c>
      <c r="P4755">
        <f>IF('Loan Tape (S&amp;P)'!S4755="Yes",
    1.15,
    1.00)</f>
        <v/>
      </c>
      <c r="Q4755">
        <f>IF('Loan Tape (S&amp;P)'!V4755="Yes",
    1.20,
    1.00)</f>
        <v/>
      </c>
      <c r="T4755">
        <f>LET(
    payment_method,'Loan Tape (S&amp;P)'!P4755,
    occupancy,'Loan Tape (S&amp;P)'!N4755,
    maturity_date,'Loan Tape (S&amp;P)'!L4755,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56">
      <c r="J4756">
        <f>LET(
    lien,'Loan Tape (S&amp;P)'!Q4756,
    IF(lien="First",1.00,
        IF(lien="Second",1.50,
            1.70)))</f>
        <v/>
      </c>
      <c r="K4756">
        <f>LET(
    purpose,'Loan Tape (S&amp;P)'!R4756,
    IF(purpose="Purchase",1.00,
        IF(purpose="Remortgage",1.00,
            1.20)))</f>
        <v/>
      </c>
      <c r="L4756">
        <f>LET(
    arrears_months,'Loan Tape (S&amp;P)'!AN4756,
    IF(arrears_months=0,1.00,
    IF(arrears_months=1,3.00,
    IF(arrears_months=2,5.00,
    IF(arrears_months=3,8.00,
    IF(arrears_months=4,10.00,
    IF(arrears_months=5,12.00,15.00)))))))</f>
        <v/>
      </c>
      <c r="M4756">
        <f>LET(
    seasoning_years,DATEDIF('Loan Tape (S&amp;P)'!K4756,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56">
        <f>IF(AND('Loan Tape (S&amp;P)'!U4756="Yes",
        'Loan Tape (S&amp;P)'!T4756&lt;&gt;"Yes",
        DATEDIF('Loan Tape (S&amp;P)'!K4756, TODAY(), "M")&lt;18),
    1.10,
    1.00)</f>
        <v/>
      </c>
      <c r="O4756">
        <f>IF('Loan Tape (S&amp;P)'!T4756="Yes",
    1.35,
    1.00)</f>
        <v/>
      </c>
      <c r="P4756">
        <f>IF('Loan Tape (S&amp;P)'!S4756="Yes",
    1.15,
    1.00)</f>
        <v/>
      </c>
      <c r="Q4756">
        <f>IF('Loan Tape (S&amp;P)'!V4756="Yes",
    1.20,
    1.00)</f>
        <v/>
      </c>
      <c r="T4756">
        <f>LET(
    payment_method,'Loan Tape (S&amp;P)'!P4756,
    occupancy,'Loan Tape (S&amp;P)'!N4756,
    maturity_date,'Loan Tape (S&amp;P)'!L4756,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57">
      <c r="J4757">
        <f>LET(
    lien,'Loan Tape (S&amp;P)'!Q4757,
    IF(lien="First",1.00,
        IF(lien="Second",1.50,
            1.70)))</f>
        <v/>
      </c>
      <c r="K4757">
        <f>LET(
    purpose,'Loan Tape (S&amp;P)'!R4757,
    IF(purpose="Purchase",1.00,
        IF(purpose="Remortgage",1.00,
            1.20)))</f>
        <v/>
      </c>
      <c r="L4757">
        <f>LET(
    arrears_months,'Loan Tape (S&amp;P)'!AN4757,
    IF(arrears_months=0,1.00,
    IF(arrears_months=1,3.00,
    IF(arrears_months=2,5.00,
    IF(arrears_months=3,8.00,
    IF(arrears_months=4,10.00,
    IF(arrears_months=5,12.00,15.00)))))))</f>
        <v/>
      </c>
      <c r="M4757">
        <f>LET(
    seasoning_years,DATEDIF('Loan Tape (S&amp;P)'!K4757,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57">
        <f>IF(AND('Loan Tape (S&amp;P)'!U4757="Yes",
        'Loan Tape (S&amp;P)'!T4757&lt;&gt;"Yes",
        DATEDIF('Loan Tape (S&amp;P)'!K4757, TODAY(), "M")&lt;18),
    1.10,
    1.00)</f>
        <v/>
      </c>
      <c r="O4757">
        <f>IF('Loan Tape (S&amp;P)'!T4757="Yes",
    1.35,
    1.00)</f>
        <v/>
      </c>
      <c r="P4757">
        <f>IF('Loan Tape (S&amp;P)'!S4757="Yes",
    1.15,
    1.00)</f>
        <v/>
      </c>
      <c r="Q4757">
        <f>IF('Loan Tape (S&amp;P)'!V4757="Yes",
    1.20,
    1.00)</f>
        <v/>
      </c>
      <c r="T4757">
        <f>LET(
    payment_method,'Loan Tape (S&amp;P)'!P4757,
    occupancy,'Loan Tape (S&amp;P)'!N4757,
    maturity_date,'Loan Tape (S&amp;P)'!L4757,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58">
      <c r="J4758">
        <f>LET(
    lien,'Loan Tape (S&amp;P)'!Q4758,
    IF(lien="First",1.00,
        IF(lien="Second",1.50,
            1.70)))</f>
        <v/>
      </c>
      <c r="K4758">
        <f>LET(
    purpose,'Loan Tape (S&amp;P)'!R4758,
    IF(purpose="Purchase",1.00,
        IF(purpose="Remortgage",1.00,
            1.20)))</f>
        <v/>
      </c>
      <c r="L4758">
        <f>LET(
    arrears_months,'Loan Tape (S&amp;P)'!AN4758,
    IF(arrears_months=0,1.00,
    IF(arrears_months=1,3.00,
    IF(arrears_months=2,5.00,
    IF(arrears_months=3,8.00,
    IF(arrears_months=4,10.00,
    IF(arrears_months=5,12.00,15.00)))))))</f>
        <v/>
      </c>
      <c r="M4758">
        <f>LET(
    seasoning_years,DATEDIF('Loan Tape (S&amp;P)'!K4758,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58">
        <f>IF(AND('Loan Tape (S&amp;P)'!U4758="Yes",
        'Loan Tape (S&amp;P)'!T4758&lt;&gt;"Yes",
        DATEDIF('Loan Tape (S&amp;P)'!K4758, TODAY(), "M")&lt;18),
    1.10,
    1.00)</f>
        <v/>
      </c>
      <c r="O4758">
        <f>IF('Loan Tape (S&amp;P)'!T4758="Yes",
    1.35,
    1.00)</f>
        <v/>
      </c>
      <c r="P4758">
        <f>IF('Loan Tape (S&amp;P)'!S4758="Yes",
    1.15,
    1.00)</f>
        <v/>
      </c>
      <c r="Q4758">
        <f>IF('Loan Tape (S&amp;P)'!V4758="Yes",
    1.20,
    1.00)</f>
        <v/>
      </c>
      <c r="T4758">
        <f>LET(
    payment_method,'Loan Tape (S&amp;P)'!P4758,
    occupancy,'Loan Tape (S&amp;P)'!N4758,
    maturity_date,'Loan Tape (S&amp;P)'!L4758,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59">
      <c r="J4759">
        <f>LET(
    lien,'Loan Tape (S&amp;P)'!Q4759,
    IF(lien="First",1.00,
        IF(lien="Second",1.50,
            1.70)))</f>
        <v/>
      </c>
      <c r="K4759">
        <f>LET(
    purpose,'Loan Tape (S&amp;P)'!R4759,
    IF(purpose="Purchase",1.00,
        IF(purpose="Remortgage",1.00,
            1.20)))</f>
        <v/>
      </c>
      <c r="L4759">
        <f>LET(
    arrears_months,'Loan Tape (S&amp;P)'!AN4759,
    IF(arrears_months=0,1.00,
    IF(arrears_months=1,3.00,
    IF(arrears_months=2,5.00,
    IF(arrears_months=3,8.00,
    IF(arrears_months=4,10.00,
    IF(arrears_months=5,12.00,15.00)))))))</f>
        <v/>
      </c>
      <c r="M4759">
        <f>LET(
    seasoning_years,DATEDIF('Loan Tape (S&amp;P)'!K4759,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59">
        <f>IF(AND('Loan Tape (S&amp;P)'!U4759="Yes",
        'Loan Tape (S&amp;P)'!T4759&lt;&gt;"Yes",
        DATEDIF('Loan Tape (S&amp;P)'!K4759, TODAY(), "M")&lt;18),
    1.10,
    1.00)</f>
        <v/>
      </c>
      <c r="O4759">
        <f>IF('Loan Tape (S&amp;P)'!T4759="Yes",
    1.35,
    1.00)</f>
        <v/>
      </c>
      <c r="P4759">
        <f>IF('Loan Tape (S&amp;P)'!S4759="Yes",
    1.15,
    1.00)</f>
        <v/>
      </c>
      <c r="Q4759">
        <f>IF('Loan Tape (S&amp;P)'!V4759="Yes",
    1.20,
    1.00)</f>
        <v/>
      </c>
      <c r="T4759">
        <f>LET(
    payment_method,'Loan Tape (S&amp;P)'!P4759,
    occupancy,'Loan Tape (S&amp;P)'!N4759,
    maturity_date,'Loan Tape (S&amp;P)'!L4759,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60">
      <c r="J4760">
        <f>LET(
    lien,'Loan Tape (S&amp;P)'!Q4760,
    IF(lien="First",1.00,
        IF(lien="Second",1.50,
            1.70)))</f>
        <v/>
      </c>
      <c r="K4760">
        <f>LET(
    purpose,'Loan Tape (S&amp;P)'!R4760,
    IF(purpose="Purchase",1.00,
        IF(purpose="Remortgage",1.00,
            1.20)))</f>
        <v/>
      </c>
      <c r="L4760">
        <f>LET(
    arrears_months,'Loan Tape (S&amp;P)'!AN4760,
    IF(arrears_months=0,1.00,
    IF(arrears_months=1,3.00,
    IF(arrears_months=2,5.00,
    IF(arrears_months=3,8.00,
    IF(arrears_months=4,10.00,
    IF(arrears_months=5,12.00,15.00)))))))</f>
        <v/>
      </c>
      <c r="M4760">
        <f>LET(
    seasoning_years,DATEDIF('Loan Tape (S&amp;P)'!K4760,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60">
        <f>IF(AND('Loan Tape (S&amp;P)'!U4760="Yes",
        'Loan Tape (S&amp;P)'!T4760&lt;&gt;"Yes",
        DATEDIF('Loan Tape (S&amp;P)'!K4760, TODAY(), "M")&lt;18),
    1.10,
    1.00)</f>
        <v/>
      </c>
      <c r="O4760">
        <f>IF('Loan Tape (S&amp;P)'!T4760="Yes",
    1.35,
    1.00)</f>
        <v/>
      </c>
      <c r="P4760">
        <f>IF('Loan Tape (S&amp;P)'!S4760="Yes",
    1.15,
    1.00)</f>
        <v/>
      </c>
      <c r="Q4760">
        <f>IF('Loan Tape (S&amp;P)'!V4760="Yes",
    1.20,
    1.00)</f>
        <v/>
      </c>
      <c r="T4760">
        <f>LET(
    payment_method,'Loan Tape (S&amp;P)'!P4760,
    occupancy,'Loan Tape (S&amp;P)'!N4760,
    maturity_date,'Loan Tape (S&amp;P)'!L4760,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61">
      <c r="J4761">
        <f>LET(
    lien,'Loan Tape (S&amp;P)'!Q4761,
    IF(lien="First",1.00,
        IF(lien="Second",1.50,
            1.70)))</f>
        <v/>
      </c>
      <c r="K4761">
        <f>LET(
    purpose,'Loan Tape (S&amp;P)'!R4761,
    IF(purpose="Purchase",1.00,
        IF(purpose="Remortgage",1.00,
            1.20)))</f>
        <v/>
      </c>
      <c r="L4761">
        <f>LET(
    arrears_months,'Loan Tape (S&amp;P)'!AN4761,
    IF(arrears_months=0,1.00,
    IF(arrears_months=1,3.00,
    IF(arrears_months=2,5.00,
    IF(arrears_months=3,8.00,
    IF(arrears_months=4,10.00,
    IF(arrears_months=5,12.00,15.00)))))))</f>
        <v/>
      </c>
      <c r="M4761">
        <f>LET(
    seasoning_years,DATEDIF('Loan Tape (S&amp;P)'!K4761,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61">
        <f>IF(AND('Loan Tape (S&amp;P)'!U4761="Yes",
        'Loan Tape (S&amp;P)'!T4761&lt;&gt;"Yes",
        DATEDIF('Loan Tape (S&amp;P)'!K4761, TODAY(), "M")&lt;18),
    1.10,
    1.00)</f>
        <v/>
      </c>
      <c r="O4761">
        <f>IF('Loan Tape (S&amp;P)'!T4761="Yes",
    1.35,
    1.00)</f>
        <v/>
      </c>
      <c r="P4761">
        <f>IF('Loan Tape (S&amp;P)'!S4761="Yes",
    1.15,
    1.00)</f>
        <v/>
      </c>
      <c r="Q4761">
        <f>IF('Loan Tape (S&amp;P)'!V4761="Yes",
    1.20,
    1.00)</f>
        <v/>
      </c>
      <c r="T4761">
        <f>LET(
    payment_method,'Loan Tape (S&amp;P)'!P4761,
    occupancy,'Loan Tape (S&amp;P)'!N4761,
    maturity_date,'Loan Tape (S&amp;P)'!L4761,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62">
      <c r="J4762">
        <f>LET(
    lien,'Loan Tape (S&amp;P)'!Q4762,
    IF(lien="First",1.00,
        IF(lien="Second",1.50,
            1.70)))</f>
        <v/>
      </c>
      <c r="K4762">
        <f>LET(
    purpose,'Loan Tape (S&amp;P)'!R4762,
    IF(purpose="Purchase",1.00,
        IF(purpose="Remortgage",1.00,
            1.20)))</f>
        <v/>
      </c>
      <c r="L4762">
        <f>LET(
    arrears_months,'Loan Tape (S&amp;P)'!AN4762,
    IF(arrears_months=0,1.00,
    IF(arrears_months=1,3.00,
    IF(arrears_months=2,5.00,
    IF(arrears_months=3,8.00,
    IF(arrears_months=4,10.00,
    IF(arrears_months=5,12.00,15.00)))))))</f>
        <v/>
      </c>
      <c r="M4762">
        <f>LET(
    seasoning_years,DATEDIF('Loan Tape (S&amp;P)'!K4762,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62">
        <f>IF(AND('Loan Tape (S&amp;P)'!U4762="Yes",
        'Loan Tape (S&amp;P)'!T4762&lt;&gt;"Yes",
        DATEDIF('Loan Tape (S&amp;P)'!K4762, TODAY(), "M")&lt;18),
    1.10,
    1.00)</f>
        <v/>
      </c>
      <c r="O4762">
        <f>IF('Loan Tape (S&amp;P)'!T4762="Yes",
    1.35,
    1.00)</f>
        <v/>
      </c>
      <c r="P4762">
        <f>IF('Loan Tape (S&amp;P)'!S4762="Yes",
    1.15,
    1.00)</f>
        <v/>
      </c>
      <c r="Q4762">
        <f>IF('Loan Tape (S&amp;P)'!V4762="Yes",
    1.20,
    1.00)</f>
        <v/>
      </c>
      <c r="T4762">
        <f>LET(
    payment_method,'Loan Tape (S&amp;P)'!P4762,
    occupancy,'Loan Tape (S&amp;P)'!N4762,
    maturity_date,'Loan Tape (S&amp;P)'!L4762,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63">
      <c r="J4763">
        <f>LET(
    lien,'Loan Tape (S&amp;P)'!Q4763,
    IF(lien="First",1.00,
        IF(lien="Second",1.50,
            1.70)))</f>
        <v/>
      </c>
      <c r="K4763">
        <f>LET(
    purpose,'Loan Tape (S&amp;P)'!R4763,
    IF(purpose="Purchase",1.00,
        IF(purpose="Remortgage",1.00,
            1.20)))</f>
        <v/>
      </c>
      <c r="L4763">
        <f>LET(
    arrears_months,'Loan Tape (S&amp;P)'!AN4763,
    IF(arrears_months=0,1.00,
    IF(arrears_months=1,3.00,
    IF(arrears_months=2,5.00,
    IF(arrears_months=3,8.00,
    IF(arrears_months=4,10.00,
    IF(arrears_months=5,12.00,15.00)))))))</f>
        <v/>
      </c>
      <c r="M4763">
        <f>LET(
    seasoning_years,DATEDIF('Loan Tape (S&amp;P)'!K4763,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63">
        <f>IF(AND('Loan Tape (S&amp;P)'!U4763="Yes",
        'Loan Tape (S&amp;P)'!T4763&lt;&gt;"Yes",
        DATEDIF('Loan Tape (S&amp;P)'!K4763, TODAY(), "M")&lt;18),
    1.10,
    1.00)</f>
        <v/>
      </c>
      <c r="O4763">
        <f>IF('Loan Tape (S&amp;P)'!T4763="Yes",
    1.35,
    1.00)</f>
        <v/>
      </c>
      <c r="P4763">
        <f>IF('Loan Tape (S&amp;P)'!S4763="Yes",
    1.15,
    1.00)</f>
        <v/>
      </c>
      <c r="Q4763">
        <f>IF('Loan Tape (S&amp;P)'!V4763="Yes",
    1.20,
    1.00)</f>
        <v/>
      </c>
      <c r="T4763">
        <f>LET(
    payment_method,'Loan Tape (S&amp;P)'!P4763,
    occupancy,'Loan Tape (S&amp;P)'!N4763,
    maturity_date,'Loan Tape (S&amp;P)'!L4763,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64">
      <c r="J4764">
        <f>LET(
    lien,'Loan Tape (S&amp;P)'!Q4764,
    IF(lien="First",1.00,
        IF(lien="Second",1.50,
            1.70)))</f>
        <v/>
      </c>
      <c r="K4764">
        <f>LET(
    purpose,'Loan Tape (S&amp;P)'!R4764,
    IF(purpose="Purchase",1.00,
        IF(purpose="Remortgage",1.00,
            1.20)))</f>
        <v/>
      </c>
      <c r="L4764">
        <f>LET(
    arrears_months,'Loan Tape (S&amp;P)'!AN4764,
    IF(arrears_months=0,1.00,
    IF(arrears_months=1,3.00,
    IF(arrears_months=2,5.00,
    IF(arrears_months=3,8.00,
    IF(arrears_months=4,10.00,
    IF(arrears_months=5,12.00,15.00)))))))</f>
        <v/>
      </c>
      <c r="M4764">
        <f>LET(
    seasoning_years,DATEDIF('Loan Tape (S&amp;P)'!K4764,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64">
        <f>IF(AND('Loan Tape (S&amp;P)'!U4764="Yes",
        'Loan Tape (S&amp;P)'!T4764&lt;&gt;"Yes",
        DATEDIF('Loan Tape (S&amp;P)'!K4764, TODAY(), "M")&lt;18),
    1.10,
    1.00)</f>
        <v/>
      </c>
      <c r="O4764">
        <f>IF('Loan Tape (S&amp;P)'!T4764="Yes",
    1.35,
    1.00)</f>
        <v/>
      </c>
      <c r="P4764">
        <f>IF('Loan Tape (S&amp;P)'!S4764="Yes",
    1.15,
    1.00)</f>
        <v/>
      </c>
      <c r="Q4764">
        <f>IF('Loan Tape (S&amp;P)'!V4764="Yes",
    1.20,
    1.00)</f>
        <v/>
      </c>
      <c r="T4764">
        <f>LET(
    payment_method,'Loan Tape (S&amp;P)'!P4764,
    occupancy,'Loan Tape (S&amp;P)'!N4764,
    maturity_date,'Loan Tape (S&amp;P)'!L4764,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65">
      <c r="J4765">
        <f>LET(
    lien,'Loan Tape (S&amp;P)'!Q4765,
    IF(lien="First",1.00,
        IF(lien="Second",1.50,
            1.70)))</f>
        <v/>
      </c>
      <c r="K4765">
        <f>LET(
    purpose,'Loan Tape (S&amp;P)'!R4765,
    IF(purpose="Purchase",1.00,
        IF(purpose="Remortgage",1.00,
            1.20)))</f>
        <v/>
      </c>
      <c r="L4765">
        <f>LET(
    arrears_months,'Loan Tape (S&amp;P)'!AN4765,
    IF(arrears_months=0,1.00,
    IF(arrears_months=1,3.00,
    IF(arrears_months=2,5.00,
    IF(arrears_months=3,8.00,
    IF(arrears_months=4,10.00,
    IF(arrears_months=5,12.00,15.00)))))))</f>
        <v/>
      </c>
      <c r="M4765">
        <f>LET(
    seasoning_years,DATEDIF('Loan Tape (S&amp;P)'!K4765,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65">
        <f>IF(AND('Loan Tape (S&amp;P)'!U4765="Yes",
        'Loan Tape (S&amp;P)'!T4765&lt;&gt;"Yes",
        DATEDIF('Loan Tape (S&amp;P)'!K4765, TODAY(), "M")&lt;18),
    1.10,
    1.00)</f>
        <v/>
      </c>
      <c r="O4765">
        <f>IF('Loan Tape (S&amp;P)'!T4765="Yes",
    1.35,
    1.00)</f>
        <v/>
      </c>
      <c r="P4765">
        <f>IF('Loan Tape (S&amp;P)'!S4765="Yes",
    1.15,
    1.00)</f>
        <v/>
      </c>
      <c r="Q4765">
        <f>IF('Loan Tape (S&amp;P)'!V4765="Yes",
    1.20,
    1.00)</f>
        <v/>
      </c>
      <c r="T4765">
        <f>LET(
    payment_method,'Loan Tape (S&amp;P)'!P4765,
    occupancy,'Loan Tape (S&amp;P)'!N4765,
    maturity_date,'Loan Tape (S&amp;P)'!L4765,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66">
      <c r="J4766">
        <f>LET(
    lien,'Loan Tape (S&amp;P)'!Q4766,
    IF(lien="First",1.00,
        IF(lien="Second",1.50,
            1.70)))</f>
        <v/>
      </c>
      <c r="K4766">
        <f>LET(
    purpose,'Loan Tape (S&amp;P)'!R4766,
    IF(purpose="Purchase",1.00,
        IF(purpose="Remortgage",1.00,
            1.20)))</f>
        <v/>
      </c>
      <c r="L4766">
        <f>LET(
    arrears_months,'Loan Tape (S&amp;P)'!AN4766,
    IF(arrears_months=0,1.00,
    IF(arrears_months=1,3.00,
    IF(arrears_months=2,5.00,
    IF(arrears_months=3,8.00,
    IF(arrears_months=4,10.00,
    IF(arrears_months=5,12.00,15.00)))))))</f>
        <v/>
      </c>
      <c r="M4766">
        <f>LET(
    seasoning_years,DATEDIF('Loan Tape (S&amp;P)'!K4766,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66">
        <f>IF(AND('Loan Tape (S&amp;P)'!U4766="Yes",
        'Loan Tape (S&amp;P)'!T4766&lt;&gt;"Yes",
        DATEDIF('Loan Tape (S&amp;P)'!K4766, TODAY(), "M")&lt;18),
    1.10,
    1.00)</f>
        <v/>
      </c>
      <c r="O4766">
        <f>IF('Loan Tape (S&amp;P)'!T4766="Yes",
    1.35,
    1.00)</f>
        <v/>
      </c>
      <c r="P4766">
        <f>IF('Loan Tape (S&amp;P)'!S4766="Yes",
    1.15,
    1.00)</f>
        <v/>
      </c>
      <c r="Q4766">
        <f>IF('Loan Tape (S&amp;P)'!V4766="Yes",
    1.20,
    1.00)</f>
        <v/>
      </c>
      <c r="T4766">
        <f>LET(
    payment_method,'Loan Tape (S&amp;P)'!P4766,
    occupancy,'Loan Tape (S&amp;P)'!N4766,
    maturity_date,'Loan Tape (S&amp;P)'!L4766,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67">
      <c r="J4767">
        <f>LET(
    lien,'Loan Tape (S&amp;P)'!Q4767,
    IF(lien="First",1.00,
        IF(lien="Second",1.50,
            1.70)))</f>
        <v/>
      </c>
      <c r="K4767">
        <f>LET(
    purpose,'Loan Tape (S&amp;P)'!R4767,
    IF(purpose="Purchase",1.00,
        IF(purpose="Remortgage",1.00,
            1.20)))</f>
        <v/>
      </c>
      <c r="L4767">
        <f>LET(
    arrears_months,'Loan Tape (S&amp;P)'!AN4767,
    IF(arrears_months=0,1.00,
    IF(arrears_months=1,3.00,
    IF(arrears_months=2,5.00,
    IF(arrears_months=3,8.00,
    IF(arrears_months=4,10.00,
    IF(arrears_months=5,12.00,15.00)))))))</f>
        <v/>
      </c>
      <c r="M4767">
        <f>LET(
    seasoning_years,DATEDIF('Loan Tape (S&amp;P)'!K4767,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67">
        <f>IF(AND('Loan Tape (S&amp;P)'!U4767="Yes",
        'Loan Tape (S&amp;P)'!T4767&lt;&gt;"Yes",
        DATEDIF('Loan Tape (S&amp;P)'!K4767, TODAY(), "M")&lt;18),
    1.10,
    1.00)</f>
        <v/>
      </c>
      <c r="O4767">
        <f>IF('Loan Tape (S&amp;P)'!T4767="Yes",
    1.35,
    1.00)</f>
        <v/>
      </c>
      <c r="P4767">
        <f>IF('Loan Tape (S&amp;P)'!S4767="Yes",
    1.15,
    1.00)</f>
        <v/>
      </c>
      <c r="Q4767">
        <f>IF('Loan Tape (S&amp;P)'!V4767="Yes",
    1.20,
    1.00)</f>
        <v/>
      </c>
      <c r="T4767">
        <f>LET(
    payment_method,'Loan Tape (S&amp;P)'!P4767,
    occupancy,'Loan Tape (S&amp;P)'!N4767,
    maturity_date,'Loan Tape (S&amp;P)'!L4767,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68">
      <c r="J4768">
        <f>LET(
    lien,'Loan Tape (S&amp;P)'!Q4768,
    IF(lien="First",1.00,
        IF(lien="Second",1.50,
            1.70)))</f>
        <v/>
      </c>
      <c r="K4768">
        <f>LET(
    purpose,'Loan Tape (S&amp;P)'!R4768,
    IF(purpose="Purchase",1.00,
        IF(purpose="Remortgage",1.00,
            1.20)))</f>
        <v/>
      </c>
      <c r="L4768">
        <f>LET(
    arrears_months,'Loan Tape (S&amp;P)'!AN4768,
    IF(arrears_months=0,1.00,
    IF(arrears_months=1,3.00,
    IF(arrears_months=2,5.00,
    IF(arrears_months=3,8.00,
    IF(arrears_months=4,10.00,
    IF(arrears_months=5,12.00,15.00)))))))</f>
        <v/>
      </c>
      <c r="M4768">
        <f>LET(
    seasoning_years,DATEDIF('Loan Tape (S&amp;P)'!K4768,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68">
        <f>IF(AND('Loan Tape (S&amp;P)'!U4768="Yes",
        'Loan Tape (S&amp;P)'!T4768&lt;&gt;"Yes",
        DATEDIF('Loan Tape (S&amp;P)'!K4768, TODAY(), "M")&lt;18),
    1.10,
    1.00)</f>
        <v/>
      </c>
      <c r="O4768">
        <f>IF('Loan Tape (S&amp;P)'!T4768="Yes",
    1.35,
    1.00)</f>
        <v/>
      </c>
      <c r="P4768">
        <f>IF('Loan Tape (S&amp;P)'!S4768="Yes",
    1.15,
    1.00)</f>
        <v/>
      </c>
      <c r="Q4768">
        <f>IF('Loan Tape (S&amp;P)'!V4768="Yes",
    1.20,
    1.00)</f>
        <v/>
      </c>
      <c r="T4768">
        <f>LET(
    payment_method,'Loan Tape (S&amp;P)'!P4768,
    occupancy,'Loan Tape (S&amp;P)'!N4768,
    maturity_date,'Loan Tape (S&amp;P)'!L4768,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69">
      <c r="J4769">
        <f>LET(
    lien,'Loan Tape (S&amp;P)'!Q4769,
    IF(lien="First",1.00,
        IF(lien="Second",1.50,
            1.70)))</f>
        <v/>
      </c>
      <c r="K4769">
        <f>LET(
    purpose,'Loan Tape (S&amp;P)'!R4769,
    IF(purpose="Purchase",1.00,
        IF(purpose="Remortgage",1.00,
            1.20)))</f>
        <v/>
      </c>
      <c r="L4769">
        <f>LET(
    arrears_months,'Loan Tape (S&amp;P)'!AN4769,
    IF(arrears_months=0,1.00,
    IF(arrears_months=1,3.00,
    IF(arrears_months=2,5.00,
    IF(arrears_months=3,8.00,
    IF(arrears_months=4,10.00,
    IF(arrears_months=5,12.00,15.00)))))))</f>
        <v/>
      </c>
      <c r="M4769">
        <f>LET(
    seasoning_years,DATEDIF('Loan Tape (S&amp;P)'!K4769,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69">
        <f>IF(AND('Loan Tape (S&amp;P)'!U4769="Yes",
        'Loan Tape (S&amp;P)'!T4769&lt;&gt;"Yes",
        DATEDIF('Loan Tape (S&amp;P)'!K4769, TODAY(), "M")&lt;18),
    1.10,
    1.00)</f>
        <v/>
      </c>
      <c r="O4769">
        <f>IF('Loan Tape (S&amp;P)'!T4769="Yes",
    1.35,
    1.00)</f>
        <v/>
      </c>
      <c r="P4769">
        <f>IF('Loan Tape (S&amp;P)'!S4769="Yes",
    1.15,
    1.00)</f>
        <v/>
      </c>
      <c r="Q4769">
        <f>IF('Loan Tape (S&amp;P)'!V4769="Yes",
    1.20,
    1.00)</f>
        <v/>
      </c>
      <c r="T4769">
        <f>LET(
    payment_method,'Loan Tape (S&amp;P)'!P4769,
    occupancy,'Loan Tape (S&amp;P)'!N4769,
    maturity_date,'Loan Tape (S&amp;P)'!L4769,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70">
      <c r="J4770">
        <f>LET(
    lien,'Loan Tape (S&amp;P)'!Q4770,
    IF(lien="First",1.00,
        IF(lien="Second",1.50,
            1.70)))</f>
        <v/>
      </c>
      <c r="K4770">
        <f>LET(
    purpose,'Loan Tape (S&amp;P)'!R4770,
    IF(purpose="Purchase",1.00,
        IF(purpose="Remortgage",1.00,
            1.20)))</f>
        <v/>
      </c>
      <c r="L4770">
        <f>LET(
    arrears_months,'Loan Tape (S&amp;P)'!AN4770,
    IF(arrears_months=0,1.00,
    IF(arrears_months=1,3.00,
    IF(arrears_months=2,5.00,
    IF(arrears_months=3,8.00,
    IF(arrears_months=4,10.00,
    IF(arrears_months=5,12.00,15.00)))))))</f>
        <v/>
      </c>
      <c r="M4770">
        <f>LET(
    seasoning_years,DATEDIF('Loan Tape (S&amp;P)'!K4770,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70">
        <f>IF(AND('Loan Tape (S&amp;P)'!U4770="Yes",
        'Loan Tape (S&amp;P)'!T4770&lt;&gt;"Yes",
        DATEDIF('Loan Tape (S&amp;P)'!K4770, TODAY(), "M")&lt;18),
    1.10,
    1.00)</f>
        <v/>
      </c>
      <c r="O4770">
        <f>IF('Loan Tape (S&amp;P)'!T4770="Yes",
    1.35,
    1.00)</f>
        <v/>
      </c>
      <c r="P4770">
        <f>IF('Loan Tape (S&amp;P)'!S4770="Yes",
    1.15,
    1.00)</f>
        <v/>
      </c>
      <c r="Q4770">
        <f>IF('Loan Tape (S&amp;P)'!V4770="Yes",
    1.20,
    1.00)</f>
        <v/>
      </c>
      <c r="T4770">
        <f>LET(
    payment_method,'Loan Tape (S&amp;P)'!P4770,
    occupancy,'Loan Tape (S&amp;P)'!N4770,
    maturity_date,'Loan Tape (S&amp;P)'!L4770,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71">
      <c r="J4771">
        <f>LET(
    lien,'Loan Tape (S&amp;P)'!Q4771,
    IF(lien="First",1.00,
        IF(lien="Second",1.50,
            1.70)))</f>
        <v/>
      </c>
      <c r="K4771">
        <f>LET(
    purpose,'Loan Tape (S&amp;P)'!R4771,
    IF(purpose="Purchase",1.00,
        IF(purpose="Remortgage",1.00,
            1.20)))</f>
        <v/>
      </c>
      <c r="L4771">
        <f>LET(
    arrears_months,'Loan Tape (S&amp;P)'!AN4771,
    IF(arrears_months=0,1.00,
    IF(arrears_months=1,3.00,
    IF(arrears_months=2,5.00,
    IF(arrears_months=3,8.00,
    IF(arrears_months=4,10.00,
    IF(arrears_months=5,12.00,15.00)))))))</f>
        <v/>
      </c>
      <c r="M4771">
        <f>LET(
    seasoning_years,DATEDIF('Loan Tape (S&amp;P)'!K4771,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71">
        <f>IF(AND('Loan Tape (S&amp;P)'!U4771="Yes",
        'Loan Tape (S&amp;P)'!T4771&lt;&gt;"Yes",
        DATEDIF('Loan Tape (S&amp;P)'!K4771, TODAY(), "M")&lt;18),
    1.10,
    1.00)</f>
        <v/>
      </c>
      <c r="O4771">
        <f>IF('Loan Tape (S&amp;P)'!T4771="Yes",
    1.35,
    1.00)</f>
        <v/>
      </c>
      <c r="P4771">
        <f>IF('Loan Tape (S&amp;P)'!S4771="Yes",
    1.15,
    1.00)</f>
        <v/>
      </c>
      <c r="Q4771">
        <f>IF('Loan Tape (S&amp;P)'!V4771="Yes",
    1.20,
    1.00)</f>
        <v/>
      </c>
      <c r="T4771">
        <f>LET(
    payment_method,'Loan Tape (S&amp;P)'!P4771,
    occupancy,'Loan Tape (S&amp;P)'!N4771,
    maturity_date,'Loan Tape (S&amp;P)'!L4771,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72">
      <c r="J4772">
        <f>LET(
    lien,'Loan Tape (S&amp;P)'!Q4772,
    IF(lien="First",1.00,
        IF(lien="Second",1.50,
            1.70)))</f>
        <v/>
      </c>
      <c r="K4772">
        <f>LET(
    purpose,'Loan Tape (S&amp;P)'!R4772,
    IF(purpose="Purchase",1.00,
        IF(purpose="Remortgage",1.00,
            1.20)))</f>
        <v/>
      </c>
      <c r="L4772">
        <f>LET(
    arrears_months,'Loan Tape (S&amp;P)'!AN4772,
    IF(arrears_months=0,1.00,
    IF(arrears_months=1,3.00,
    IF(arrears_months=2,5.00,
    IF(arrears_months=3,8.00,
    IF(arrears_months=4,10.00,
    IF(arrears_months=5,12.00,15.00)))))))</f>
        <v/>
      </c>
      <c r="M4772">
        <f>LET(
    seasoning_years,DATEDIF('Loan Tape (S&amp;P)'!K4772,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72">
        <f>IF(AND('Loan Tape (S&amp;P)'!U4772="Yes",
        'Loan Tape (S&amp;P)'!T4772&lt;&gt;"Yes",
        DATEDIF('Loan Tape (S&amp;P)'!K4772, TODAY(), "M")&lt;18),
    1.10,
    1.00)</f>
        <v/>
      </c>
      <c r="O4772">
        <f>IF('Loan Tape (S&amp;P)'!T4772="Yes",
    1.35,
    1.00)</f>
        <v/>
      </c>
      <c r="P4772">
        <f>IF('Loan Tape (S&amp;P)'!S4772="Yes",
    1.15,
    1.00)</f>
        <v/>
      </c>
      <c r="Q4772">
        <f>IF('Loan Tape (S&amp;P)'!V4772="Yes",
    1.20,
    1.00)</f>
        <v/>
      </c>
      <c r="T4772">
        <f>LET(
    payment_method,'Loan Tape (S&amp;P)'!P4772,
    occupancy,'Loan Tape (S&amp;P)'!N4772,
    maturity_date,'Loan Tape (S&amp;P)'!L4772,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73">
      <c r="J4773">
        <f>LET(
    lien,'Loan Tape (S&amp;P)'!Q4773,
    IF(lien="First",1.00,
        IF(lien="Second",1.50,
            1.70)))</f>
        <v/>
      </c>
      <c r="K4773">
        <f>LET(
    purpose,'Loan Tape (S&amp;P)'!R4773,
    IF(purpose="Purchase",1.00,
        IF(purpose="Remortgage",1.00,
            1.20)))</f>
        <v/>
      </c>
      <c r="L4773">
        <f>LET(
    arrears_months,'Loan Tape (S&amp;P)'!AN4773,
    IF(arrears_months=0,1.00,
    IF(arrears_months=1,3.00,
    IF(arrears_months=2,5.00,
    IF(arrears_months=3,8.00,
    IF(arrears_months=4,10.00,
    IF(arrears_months=5,12.00,15.00)))))))</f>
        <v/>
      </c>
      <c r="M4773">
        <f>LET(
    seasoning_years,DATEDIF('Loan Tape (S&amp;P)'!K4773,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73">
        <f>IF(AND('Loan Tape (S&amp;P)'!U4773="Yes",
        'Loan Tape (S&amp;P)'!T4773&lt;&gt;"Yes",
        DATEDIF('Loan Tape (S&amp;P)'!K4773, TODAY(), "M")&lt;18),
    1.10,
    1.00)</f>
        <v/>
      </c>
      <c r="O4773">
        <f>IF('Loan Tape (S&amp;P)'!T4773="Yes",
    1.35,
    1.00)</f>
        <v/>
      </c>
      <c r="P4773">
        <f>IF('Loan Tape (S&amp;P)'!S4773="Yes",
    1.15,
    1.00)</f>
        <v/>
      </c>
      <c r="Q4773">
        <f>IF('Loan Tape (S&amp;P)'!V4773="Yes",
    1.20,
    1.00)</f>
        <v/>
      </c>
      <c r="T4773">
        <f>LET(
    payment_method,'Loan Tape (S&amp;P)'!P4773,
    occupancy,'Loan Tape (S&amp;P)'!N4773,
    maturity_date,'Loan Tape (S&amp;P)'!L4773,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74">
      <c r="J4774">
        <f>LET(
    lien,'Loan Tape (S&amp;P)'!Q4774,
    IF(lien="First",1.00,
        IF(lien="Second",1.50,
            1.70)))</f>
        <v/>
      </c>
      <c r="K4774">
        <f>LET(
    purpose,'Loan Tape (S&amp;P)'!R4774,
    IF(purpose="Purchase",1.00,
        IF(purpose="Remortgage",1.00,
            1.20)))</f>
        <v/>
      </c>
      <c r="L4774">
        <f>LET(
    arrears_months,'Loan Tape (S&amp;P)'!AN4774,
    IF(arrears_months=0,1.00,
    IF(arrears_months=1,3.00,
    IF(arrears_months=2,5.00,
    IF(arrears_months=3,8.00,
    IF(arrears_months=4,10.00,
    IF(arrears_months=5,12.00,15.00)))))))</f>
        <v/>
      </c>
      <c r="M4774">
        <f>LET(
    seasoning_years,DATEDIF('Loan Tape (S&amp;P)'!K4774,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74">
        <f>IF(AND('Loan Tape (S&amp;P)'!U4774="Yes",
        'Loan Tape (S&amp;P)'!T4774&lt;&gt;"Yes",
        DATEDIF('Loan Tape (S&amp;P)'!K4774, TODAY(), "M")&lt;18),
    1.10,
    1.00)</f>
        <v/>
      </c>
      <c r="O4774">
        <f>IF('Loan Tape (S&amp;P)'!T4774="Yes",
    1.35,
    1.00)</f>
        <v/>
      </c>
      <c r="P4774">
        <f>IF('Loan Tape (S&amp;P)'!S4774="Yes",
    1.15,
    1.00)</f>
        <v/>
      </c>
      <c r="Q4774">
        <f>IF('Loan Tape (S&amp;P)'!V4774="Yes",
    1.20,
    1.00)</f>
        <v/>
      </c>
      <c r="T4774">
        <f>LET(
    payment_method,'Loan Tape (S&amp;P)'!P4774,
    occupancy,'Loan Tape (S&amp;P)'!N4774,
    maturity_date,'Loan Tape (S&amp;P)'!L4774,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75">
      <c r="J4775">
        <f>LET(
    lien,'Loan Tape (S&amp;P)'!Q4775,
    IF(lien="First",1.00,
        IF(lien="Second",1.50,
            1.70)))</f>
        <v/>
      </c>
      <c r="K4775">
        <f>LET(
    purpose,'Loan Tape (S&amp;P)'!R4775,
    IF(purpose="Purchase",1.00,
        IF(purpose="Remortgage",1.00,
            1.20)))</f>
        <v/>
      </c>
      <c r="L4775">
        <f>LET(
    arrears_months,'Loan Tape (S&amp;P)'!AN4775,
    IF(arrears_months=0,1.00,
    IF(arrears_months=1,3.00,
    IF(arrears_months=2,5.00,
    IF(arrears_months=3,8.00,
    IF(arrears_months=4,10.00,
    IF(arrears_months=5,12.00,15.00)))))))</f>
        <v/>
      </c>
      <c r="M4775">
        <f>LET(
    seasoning_years,DATEDIF('Loan Tape (S&amp;P)'!K4775,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75">
        <f>IF(AND('Loan Tape (S&amp;P)'!U4775="Yes",
        'Loan Tape (S&amp;P)'!T4775&lt;&gt;"Yes",
        DATEDIF('Loan Tape (S&amp;P)'!K4775, TODAY(), "M")&lt;18),
    1.10,
    1.00)</f>
        <v/>
      </c>
      <c r="O4775">
        <f>IF('Loan Tape (S&amp;P)'!T4775="Yes",
    1.35,
    1.00)</f>
        <v/>
      </c>
      <c r="P4775">
        <f>IF('Loan Tape (S&amp;P)'!S4775="Yes",
    1.15,
    1.00)</f>
        <v/>
      </c>
      <c r="Q4775">
        <f>IF('Loan Tape (S&amp;P)'!V4775="Yes",
    1.20,
    1.00)</f>
        <v/>
      </c>
      <c r="T4775">
        <f>LET(
    payment_method,'Loan Tape (S&amp;P)'!P4775,
    occupancy,'Loan Tape (S&amp;P)'!N4775,
    maturity_date,'Loan Tape (S&amp;P)'!L4775,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76">
      <c r="J4776">
        <f>LET(
    lien,'Loan Tape (S&amp;P)'!Q4776,
    IF(lien="First",1.00,
        IF(lien="Second",1.50,
            1.70)))</f>
        <v/>
      </c>
      <c r="K4776">
        <f>LET(
    purpose,'Loan Tape (S&amp;P)'!R4776,
    IF(purpose="Purchase",1.00,
        IF(purpose="Remortgage",1.00,
            1.20)))</f>
        <v/>
      </c>
      <c r="L4776">
        <f>LET(
    arrears_months,'Loan Tape (S&amp;P)'!AN4776,
    IF(arrears_months=0,1.00,
    IF(arrears_months=1,3.00,
    IF(arrears_months=2,5.00,
    IF(arrears_months=3,8.00,
    IF(arrears_months=4,10.00,
    IF(arrears_months=5,12.00,15.00)))))))</f>
        <v/>
      </c>
      <c r="M4776">
        <f>LET(
    seasoning_years,DATEDIF('Loan Tape (S&amp;P)'!K4776,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76">
        <f>IF(AND('Loan Tape (S&amp;P)'!U4776="Yes",
        'Loan Tape (S&amp;P)'!T4776&lt;&gt;"Yes",
        DATEDIF('Loan Tape (S&amp;P)'!K4776, TODAY(), "M")&lt;18),
    1.10,
    1.00)</f>
        <v/>
      </c>
      <c r="O4776">
        <f>IF('Loan Tape (S&amp;P)'!T4776="Yes",
    1.35,
    1.00)</f>
        <v/>
      </c>
      <c r="P4776">
        <f>IF('Loan Tape (S&amp;P)'!S4776="Yes",
    1.15,
    1.00)</f>
        <v/>
      </c>
      <c r="Q4776">
        <f>IF('Loan Tape (S&amp;P)'!V4776="Yes",
    1.20,
    1.00)</f>
        <v/>
      </c>
      <c r="T4776">
        <f>LET(
    payment_method,'Loan Tape (S&amp;P)'!P4776,
    occupancy,'Loan Tape (S&amp;P)'!N4776,
    maturity_date,'Loan Tape (S&amp;P)'!L4776,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77">
      <c r="J4777">
        <f>LET(
    lien,'Loan Tape (S&amp;P)'!Q4777,
    IF(lien="First",1.00,
        IF(lien="Second",1.50,
            1.70)))</f>
        <v/>
      </c>
      <c r="K4777">
        <f>LET(
    purpose,'Loan Tape (S&amp;P)'!R4777,
    IF(purpose="Purchase",1.00,
        IF(purpose="Remortgage",1.00,
            1.20)))</f>
        <v/>
      </c>
      <c r="L4777">
        <f>LET(
    arrears_months,'Loan Tape (S&amp;P)'!AN4777,
    IF(arrears_months=0,1.00,
    IF(arrears_months=1,3.00,
    IF(arrears_months=2,5.00,
    IF(arrears_months=3,8.00,
    IF(arrears_months=4,10.00,
    IF(arrears_months=5,12.00,15.00)))))))</f>
        <v/>
      </c>
      <c r="M4777">
        <f>LET(
    seasoning_years,DATEDIF('Loan Tape (S&amp;P)'!K4777,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77">
        <f>IF(AND('Loan Tape (S&amp;P)'!U4777="Yes",
        'Loan Tape (S&amp;P)'!T4777&lt;&gt;"Yes",
        DATEDIF('Loan Tape (S&amp;P)'!K4777, TODAY(), "M")&lt;18),
    1.10,
    1.00)</f>
        <v/>
      </c>
      <c r="O4777">
        <f>IF('Loan Tape (S&amp;P)'!T4777="Yes",
    1.35,
    1.00)</f>
        <v/>
      </c>
      <c r="P4777">
        <f>IF('Loan Tape (S&amp;P)'!S4777="Yes",
    1.15,
    1.00)</f>
        <v/>
      </c>
      <c r="Q4777">
        <f>IF('Loan Tape (S&amp;P)'!V4777="Yes",
    1.20,
    1.00)</f>
        <v/>
      </c>
      <c r="T4777">
        <f>LET(
    payment_method,'Loan Tape (S&amp;P)'!P4777,
    occupancy,'Loan Tape (S&amp;P)'!N4777,
    maturity_date,'Loan Tape (S&amp;P)'!L4777,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78">
      <c r="J4778">
        <f>LET(
    lien,'Loan Tape (S&amp;P)'!Q4778,
    IF(lien="First",1.00,
        IF(lien="Second",1.50,
            1.70)))</f>
        <v/>
      </c>
      <c r="K4778">
        <f>LET(
    purpose,'Loan Tape (S&amp;P)'!R4778,
    IF(purpose="Purchase",1.00,
        IF(purpose="Remortgage",1.00,
            1.20)))</f>
        <v/>
      </c>
      <c r="L4778">
        <f>LET(
    arrears_months,'Loan Tape (S&amp;P)'!AN4778,
    IF(arrears_months=0,1.00,
    IF(arrears_months=1,3.00,
    IF(arrears_months=2,5.00,
    IF(arrears_months=3,8.00,
    IF(arrears_months=4,10.00,
    IF(arrears_months=5,12.00,15.00)))))))</f>
        <v/>
      </c>
      <c r="M4778">
        <f>LET(
    seasoning_years,DATEDIF('Loan Tape (S&amp;P)'!K4778,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78">
        <f>IF(AND('Loan Tape (S&amp;P)'!U4778="Yes",
        'Loan Tape (S&amp;P)'!T4778&lt;&gt;"Yes",
        DATEDIF('Loan Tape (S&amp;P)'!K4778, TODAY(), "M")&lt;18),
    1.10,
    1.00)</f>
        <v/>
      </c>
      <c r="O4778">
        <f>IF('Loan Tape (S&amp;P)'!T4778="Yes",
    1.35,
    1.00)</f>
        <v/>
      </c>
      <c r="P4778">
        <f>IF('Loan Tape (S&amp;P)'!S4778="Yes",
    1.15,
    1.00)</f>
        <v/>
      </c>
      <c r="Q4778">
        <f>IF('Loan Tape (S&amp;P)'!V4778="Yes",
    1.20,
    1.00)</f>
        <v/>
      </c>
      <c r="T4778">
        <f>LET(
    payment_method,'Loan Tape (S&amp;P)'!P4778,
    occupancy,'Loan Tape (S&amp;P)'!N4778,
    maturity_date,'Loan Tape (S&amp;P)'!L4778,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79">
      <c r="J4779">
        <f>LET(
    lien,'Loan Tape (S&amp;P)'!Q4779,
    IF(lien="First",1.00,
        IF(lien="Second",1.50,
            1.70)))</f>
        <v/>
      </c>
      <c r="K4779">
        <f>LET(
    purpose,'Loan Tape (S&amp;P)'!R4779,
    IF(purpose="Purchase",1.00,
        IF(purpose="Remortgage",1.00,
            1.20)))</f>
        <v/>
      </c>
      <c r="L4779">
        <f>LET(
    arrears_months,'Loan Tape (S&amp;P)'!AN4779,
    IF(arrears_months=0,1.00,
    IF(arrears_months=1,3.00,
    IF(arrears_months=2,5.00,
    IF(arrears_months=3,8.00,
    IF(arrears_months=4,10.00,
    IF(arrears_months=5,12.00,15.00)))))))</f>
        <v/>
      </c>
      <c r="M4779">
        <f>LET(
    seasoning_years,DATEDIF('Loan Tape (S&amp;P)'!K4779,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79">
        <f>IF(AND('Loan Tape (S&amp;P)'!U4779="Yes",
        'Loan Tape (S&amp;P)'!T4779&lt;&gt;"Yes",
        DATEDIF('Loan Tape (S&amp;P)'!K4779, TODAY(), "M")&lt;18),
    1.10,
    1.00)</f>
        <v/>
      </c>
      <c r="O4779">
        <f>IF('Loan Tape (S&amp;P)'!T4779="Yes",
    1.35,
    1.00)</f>
        <v/>
      </c>
      <c r="P4779">
        <f>IF('Loan Tape (S&amp;P)'!S4779="Yes",
    1.15,
    1.00)</f>
        <v/>
      </c>
      <c r="Q4779">
        <f>IF('Loan Tape (S&amp;P)'!V4779="Yes",
    1.20,
    1.00)</f>
        <v/>
      </c>
      <c r="T4779">
        <f>LET(
    payment_method,'Loan Tape (S&amp;P)'!P4779,
    occupancy,'Loan Tape (S&amp;P)'!N4779,
    maturity_date,'Loan Tape (S&amp;P)'!L4779,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80">
      <c r="J4780">
        <f>LET(
    lien,'Loan Tape (S&amp;P)'!Q4780,
    IF(lien="First",1.00,
        IF(lien="Second",1.50,
            1.70)))</f>
        <v/>
      </c>
      <c r="K4780">
        <f>LET(
    purpose,'Loan Tape (S&amp;P)'!R4780,
    IF(purpose="Purchase",1.00,
        IF(purpose="Remortgage",1.00,
            1.20)))</f>
        <v/>
      </c>
      <c r="L4780">
        <f>LET(
    arrears_months,'Loan Tape (S&amp;P)'!AN4780,
    IF(arrears_months=0,1.00,
    IF(arrears_months=1,3.00,
    IF(arrears_months=2,5.00,
    IF(arrears_months=3,8.00,
    IF(arrears_months=4,10.00,
    IF(arrears_months=5,12.00,15.00)))))))</f>
        <v/>
      </c>
      <c r="M4780">
        <f>LET(
    seasoning_years,DATEDIF('Loan Tape (S&amp;P)'!K4780,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80">
        <f>IF(AND('Loan Tape (S&amp;P)'!U4780="Yes",
        'Loan Tape (S&amp;P)'!T4780&lt;&gt;"Yes",
        DATEDIF('Loan Tape (S&amp;P)'!K4780, TODAY(), "M")&lt;18),
    1.10,
    1.00)</f>
        <v/>
      </c>
      <c r="O4780">
        <f>IF('Loan Tape (S&amp;P)'!T4780="Yes",
    1.35,
    1.00)</f>
        <v/>
      </c>
      <c r="P4780">
        <f>IF('Loan Tape (S&amp;P)'!S4780="Yes",
    1.15,
    1.00)</f>
        <v/>
      </c>
      <c r="Q4780">
        <f>IF('Loan Tape (S&amp;P)'!V4780="Yes",
    1.20,
    1.00)</f>
        <v/>
      </c>
      <c r="T4780">
        <f>LET(
    payment_method,'Loan Tape (S&amp;P)'!P4780,
    occupancy,'Loan Tape (S&amp;P)'!N4780,
    maturity_date,'Loan Tape (S&amp;P)'!L4780,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81">
      <c r="J4781">
        <f>LET(
    lien,'Loan Tape (S&amp;P)'!Q4781,
    IF(lien="First",1.00,
        IF(lien="Second",1.50,
            1.70)))</f>
        <v/>
      </c>
      <c r="K4781">
        <f>LET(
    purpose,'Loan Tape (S&amp;P)'!R4781,
    IF(purpose="Purchase",1.00,
        IF(purpose="Remortgage",1.00,
            1.20)))</f>
        <v/>
      </c>
      <c r="L4781">
        <f>LET(
    arrears_months,'Loan Tape (S&amp;P)'!AN4781,
    IF(arrears_months=0,1.00,
    IF(arrears_months=1,3.00,
    IF(arrears_months=2,5.00,
    IF(arrears_months=3,8.00,
    IF(arrears_months=4,10.00,
    IF(arrears_months=5,12.00,15.00)))))))</f>
        <v/>
      </c>
      <c r="M4781">
        <f>LET(
    seasoning_years,DATEDIF('Loan Tape (S&amp;P)'!K4781,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81">
        <f>IF(AND('Loan Tape (S&amp;P)'!U4781="Yes",
        'Loan Tape (S&amp;P)'!T4781&lt;&gt;"Yes",
        DATEDIF('Loan Tape (S&amp;P)'!K4781, TODAY(), "M")&lt;18),
    1.10,
    1.00)</f>
        <v/>
      </c>
      <c r="O4781">
        <f>IF('Loan Tape (S&amp;P)'!T4781="Yes",
    1.35,
    1.00)</f>
        <v/>
      </c>
      <c r="P4781">
        <f>IF('Loan Tape (S&amp;P)'!S4781="Yes",
    1.15,
    1.00)</f>
        <v/>
      </c>
      <c r="Q4781">
        <f>IF('Loan Tape (S&amp;P)'!V4781="Yes",
    1.20,
    1.00)</f>
        <v/>
      </c>
      <c r="T4781">
        <f>LET(
    payment_method,'Loan Tape (S&amp;P)'!P4781,
    occupancy,'Loan Tape (S&amp;P)'!N4781,
    maturity_date,'Loan Tape (S&amp;P)'!L4781,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82">
      <c r="J4782">
        <f>LET(
    lien,'Loan Tape (S&amp;P)'!Q4782,
    IF(lien="First",1.00,
        IF(lien="Second",1.50,
            1.70)))</f>
        <v/>
      </c>
      <c r="K4782">
        <f>LET(
    purpose,'Loan Tape (S&amp;P)'!R4782,
    IF(purpose="Purchase",1.00,
        IF(purpose="Remortgage",1.00,
            1.20)))</f>
        <v/>
      </c>
      <c r="L4782">
        <f>LET(
    arrears_months,'Loan Tape (S&amp;P)'!AN4782,
    IF(arrears_months=0,1.00,
    IF(arrears_months=1,3.00,
    IF(arrears_months=2,5.00,
    IF(arrears_months=3,8.00,
    IF(arrears_months=4,10.00,
    IF(arrears_months=5,12.00,15.00)))))))</f>
        <v/>
      </c>
      <c r="M4782">
        <f>LET(
    seasoning_years,DATEDIF('Loan Tape (S&amp;P)'!K4782,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82">
        <f>IF(AND('Loan Tape (S&amp;P)'!U4782="Yes",
        'Loan Tape (S&amp;P)'!T4782&lt;&gt;"Yes",
        DATEDIF('Loan Tape (S&amp;P)'!K4782, TODAY(), "M")&lt;18),
    1.10,
    1.00)</f>
        <v/>
      </c>
      <c r="O4782">
        <f>IF('Loan Tape (S&amp;P)'!T4782="Yes",
    1.35,
    1.00)</f>
        <v/>
      </c>
      <c r="P4782">
        <f>IF('Loan Tape (S&amp;P)'!S4782="Yes",
    1.15,
    1.00)</f>
        <v/>
      </c>
      <c r="Q4782">
        <f>IF('Loan Tape (S&amp;P)'!V4782="Yes",
    1.20,
    1.00)</f>
        <v/>
      </c>
      <c r="T4782">
        <f>LET(
    payment_method,'Loan Tape (S&amp;P)'!P4782,
    occupancy,'Loan Tape (S&amp;P)'!N4782,
    maturity_date,'Loan Tape (S&amp;P)'!L4782,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83">
      <c r="J4783">
        <f>LET(
    lien,'Loan Tape (S&amp;P)'!Q4783,
    IF(lien="First",1.00,
        IF(lien="Second",1.50,
            1.70)))</f>
        <v/>
      </c>
      <c r="K4783">
        <f>LET(
    purpose,'Loan Tape (S&amp;P)'!R4783,
    IF(purpose="Purchase",1.00,
        IF(purpose="Remortgage",1.00,
            1.20)))</f>
        <v/>
      </c>
      <c r="L4783">
        <f>LET(
    arrears_months,'Loan Tape (S&amp;P)'!AN4783,
    IF(arrears_months=0,1.00,
    IF(arrears_months=1,3.00,
    IF(arrears_months=2,5.00,
    IF(arrears_months=3,8.00,
    IF(arrears_months=4,10.00,
    IF(arrears_months=5,12.00,15.00)))))))</f>
        <v/>
      </c>
      <c r="M4783">
        <f>LET(
    seasoning_years,DATEDIF('Loan Tape (S&amp;P)'!K4783,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83">
        <f>IF(AND('Loan Tape (S&amp;P)'!U4783="Yes",
        'Loan Tape (S&amp;P)'!T4783&lt;&gt;"Yes",
        DATEDIF('Loan Tape (S&amp;P)'!K4783, TODAY(), "M")&lt;18),
    1.10,
    1.00)</f>
        <v/>
      </c>
      <c r="O4783">
        <f>IF('Loan Tape (S&amp;P)'!T4783="Yes",
    1.35,
    1.00)</f>
        <v/>
      </c>
      <c r="P4783">
        <f>IF('Loan Tape (S&amp;P)'!S4783="Yes",
    1.15,
    1.00)</f>
        <v/>
      </c>
      <c r="Q4783">
        <f>IF('Loan Tape (S&amp;P)'!V4783="Yes",
    1.20,
    1.00)</f>
        <v/>
      </c>
      <c r="T4783">
        <f>LET(
    payment_method,'Loan Tape (S&amp;P)'!P4783,
    occupancy,'Loan Tape (S&amp;P)'!N4783,
    maturity_date,'Loan Tape (S&amp;P)'!L4783,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84">
      <c r="J4784">
        <f>LET(
    lien,'Loan Tape (S&amp;P)'!Q4784,
    IF(lien="First",1.00,
        IF(lien="Second",1.50,
            1.70)))</f>
        <v/>
      </c>
      <c r="K4784">
        <f>LET(
    purpose,'Loan Tape (S&amp;P)'!R4784,
    IF(purpose="Purchase",1.00,
        IF(purpose="Remortgage",1.00,
            1.20)))</f>
        <v/>
      </c>
      <c r="L4784">
        <f>LET(
    arrears_months,'Loan Tape (S&amp;P)'!AN4784,
    IF(arrears_months=0,1.00,
    IF(arrears_months=1,3.00,
    IF(arrears_months=2,5.00,
    IF(arrears_months=3,8.00,
    IF(arrears_months=4,10.00,
    IF(arrears_months=5,12.00,15.00)))))))</f>
        <v/>
      </c>
      <c r="M4784">
        <f>LET(
    seasoning_years,DATEDIF('Loan Tape (S&amp;P)'!K4784,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84">
        <f>IF(AND('Loan Tape (S&amp;P)'!U4784="Yes",
        'Loan Tape (S&amp;P)'!T4784&lt;&gt;"Yes",
        DATEDIF('Loan Tape (S&amp;P)'!K4784, TODAY(), "M")&lt;18),
    1.10,
    1.00)</f>
        <v/>
      </c>
      <c r="O4784">
        <f>IF('Loan Tape (S&amp;P)'!T4784="Yes",
    1.35,
    1.00)</f>
        <v/>
      </c>
      <c r="P4784">
        <f>IF('Loan Tape (S&amp;P)'!S4784="Yes",
    1.15,
    1.00)</f>
        <v/>
      </c>
      <c r="Q4784">
        <f>IF('Loan Tape (S&amp;P)'!V4784="Yes",
    1.20,
    1.00)</f>
        <v/>
      </c>
      <c r="T4784">
        <f>LET(
    payment_method,'Loan Tape (S&amp;P)'!P4784,
    occupancy,'Loan Tape (S&amp;P)'!N4784,
    maturity_date,'Loan Tape (S&amp;P)'!L4784,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85">
      <c r="J4785">
        <f>LET(
    lien,'Loan Tape (S&amp;P)'!Q4785,
    IF(lien="First",1.00,
        IF(lien="Second",1.50,
            1.70)))</f>
        <v/>
      </c>
      <c r="K4785">
        <f>LET(
    purpose,'Loan Tape (S&amp;P)'!R4785,
    IF(purpose="Purchase",1.00,
        IF(purpose="Remortgage",1.00,
            1.20)))</f>
        <v/>
      </c>
      <c r="L4785">
        <f>LET(
    arrears_months,'Loan Tape (S&amp;P)'!AN4785,
    IF(arrears_months=0,1.00,
    IF(arrears_months=1,3.00,
    IF(arrears_months=2,5.00,
    IF(arrears_months=3,8.00,
    IF(arrears_months=4,10.00,
    IF(arrears_months=5,12.00,15.00)))))))</f>
        <v/>
      </c>
      <c r="M4785">
        <f>LET(
    seasoning_years,DATEDIF('Loan Tape (S&amp;P)'!K4785,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85">
        <f>IF(AND('Loan Tape (S&amp;P)'!U4785="Yes",
        'Loan Tape (S&amp;P)'!T4785&lt;&gt;"Yes",
        DATEDIF('Loan Tape (S&amp;P)'!K4785, TODAY(), "M")&lt;18),
    1.10,
    1.00)</f>
        <v/>
      </c>
      <c r="O4785">
        <f>IF('Loan Tape (S&amp;P)'!T4785="Yes",
    1.35,
    1.00)</f>
        <v/>
      </c>
      <c r="P4785">
        <f>IF('Loan Tape (S&amp;P)'!S4785="Yes",
    1.15,
    1.00)</f>
        <v/>
      </c>
      <c r="Q4785">
        <f>IF('Loan Tape (S&amp;P)'!V4785="Yes",
    1.20,
    1.00)</f>
        <v/>
      </c>
      <c r="T4785">
        <f>LET(
    payment_method,'Loan Tape (S&amp;P)'!P4785,
    occupancy,'Loan Tape (S&amp;P)'!N4785,
    maturity_date,'Loan Tape (S&amp;P)'!L4785,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86">
      <c r="J4786">
        <f>LET(
    lien,'Loan Tape (S&amp;P)'!Q4786,
    IF(lien="First",1.00,
        IF(lien="Second",1.50,
            1.70)))</f>
        <v/>
      </c>
      <c r="K4786">
        <f>LET(
    purpose,'Loan Tape (S&amp;P)'!R4786,
    IF(purpose="Purchase",1.00,
        IF(purpose="Remortgage",1.00,
            1.20)))</f>
        <v/>
      </c>
      <c r="L4786">
        <f>LET(
    arrears_months,'Loan Tape (S&amp;P)'!AN4786,
    IF(arrears_months=0,1.00,
    IF(arrears_months=1,3.00,
    IF(arrears_months=2,5.00,
    IF(arrears_months=3,8.00,
    IF(arrears_months=4,10.00,
    IF(arrears_months=5,12.00,15.00)))))))</f>
        <v/>
      </c>
      <c r="M4786">
        <f>LET(
    seasoning_years,DATEDIF('Loan Tape (S&amp;P)'!K4786,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86">
        <f>IF(AND('Loan Tape (S&amp;P)'!U4786="Yes",
        'Loan Tape (S&amp;P)'!T4786&lt;&gt;"Yes",
        DATEDIF('Loan Tape (S&amp;P)'!K4786, TODAY(), "M")&lt;18),
    1.10,
    1.00)</f>
        <v/>
      </c>
      <c r="O4786">
        <f>IF('Loan Tape (S&amp;P)'!T4786="Yes",
    1.35,
    1.00)</f>
        <v/>
      </c>
      <c r="P4786">
        <f>IF('Loan Tape (S&amp;P)'!S4786="Yes",
    1.15,
    1.00)</f>
        <v/>
      </c>
      <c r="Q4786">
        <f>IF('Loan Tape (S&amp;P)'!V4786="Yes",
    1.20,
    1.00)</f>
        <v/>
      </c>
      <c r="T4786">
        <f>LET(
    payment_method,'Loan Tape (S&amp;P)'!P4786,
    occupancy,'Loan Tape (S&amp;P)'!N4786,
    maturity_date,'Loan Tape (S&amp;P)'!L4786,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87">
      <c r="J4787">
        <f>LET(
    lien,'Loan Tape (S&amp;P)'!Q4787,
    IF(lien="First",1.00,
        IF(lien="Second",1.50,
            1.70)))</f>
        <v/>
      </c>
      <c r="K4787">
        <f>LET(
    purpose,'Loan Tape (S&amp;P)'!R4787,
    IF(purpose="Purchase",1.00,
        IF(purpose="Remortgage",1.00,
            1.20)))</f>
        <v/>
      </c>
      <c r="L4787">
        <f>LET(
    arrears_months,'Loan Tape (S&amp;P)'!AN4787,
    IF(arrears_months=0,1.00,
    IF(arrears_months=1,3.00,
    IF(arrears_months=2,5.00,
    IF(arrears_months=3,8.00,
    IF(arrears_months=4,10.00,
    IF(arrears_months=5,12.00,15.00)))))))</f>
        <v/>
      </c>
      <c r="M4787">
        <f>LET(
    seasoning_years,DATEDIF('Loan Tape (S&amp;P)'!K4787,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87">
        <f>IF(AND('Loan Tape (S&amp;P)'!U4787="Yes",
        'Loan Tape (S&amp;P)'!T4787&lt;&gt;"Yes",
        DATEDIF('Loan Tape (S&amp;P)'!K4787, TODAY(), "M")&lt;18),
    1.10,
    1.00)</f>
        <v/>
      </c>
      <c r="O4787">
        <f>IF('Loan Tape (S&amp;P)'!T4787="Yes",
    1.35,
    1.00)</f>
        <v/>
      </c>
      <c r="P4787">
        <f>IF('Loan Tape (S&amp;P)'!S4787="Yes",
    1.15,
    1.00)</f>
        <v/>
      </c>
      <c r="Q4787">
        <f>IF('Loan Tape (S&amp;P)'!V4787="Yes",
    1.20,
    1.00)</f>
        <v/>
      </c>
      <c r="T4787">
        <f>LET(
    payment_method,'Loan Tape (S&amp;P)'!P4787,
    occupancy,'Loan Tape (S&amp;P)'!N4787,
    maturity_date,'Loan Tape (S&amp;P)'!L4787,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88">
      <c r="J4788">
        <f>LET(
    lien,'Loan Tape (S&amp;P)'!Q4788,
    IF(lien="First",1.00,
        IF(lien="Second",1.50,
            1.70)))</f>
        <v/>
      </c>
      <c r="K4788">
        <f>LET(
    purpose,'Loan Tape (S&amp;P)'!R4788,
    IF(purpose="Purchase",1.00,
        IF(purpose="Remortgage",1.00,
            1.20)))</f>
        <v/>
      </c>
      <c r="L4788">
        <f>LET(
    arrears_months,'Loan Tape (S&amp;P)'!AN4788,
    IF(arrears_months=0,1.00,
    IF(arrears_months=1,3.00,
    IF(arrears_months=2,5.00,
    IF(arrears_months=3,8.00,
    IF(arrears_months=4,10.00,
    IF(arrears_months=5,12.00,15.00)))))))</f>
        <v/>
      </c>
      <c r="M4788">
        <f>LET(
    seasoning_years,DATEDIF('Loan Tape (S&amp;P)'!K4788,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88">
        <f>IF(AND('Loan Tape (S&amp;P)'!U4788="Yes",
        'Loan Tape (S&amp;P)'!T4788&lt;&gt;"Yes",
        DATEDIF('Loan Tape (S&amp;P)'!K4788, TODAY(), "M")&lt;18),
    1.10,
    1.00)</f>
        <v/>
      </c>
      <c r="O4788">
        <f>IF('Loan Tape (S&amp;P)'!T4788="Yes",
    1.35,
    1.00)</f>
        <v/>
      </c>
      <c r="P4788">
        <f>IF('Loan Tape (S&amp;P)'!S4788="Yes",
    1.15,
    1.00)</f>
        <v/>
      </c>
      <c r="Q4788">
        <f>IF('Loan Tape (S&amp;P)'!V4788="Yes",
    1.20,
    1.00)</f>
        <v/>
      </c>
      <c r="T4788">
        <f>LET(
    payment_method,'Loan Tape (S&amp;P)'!P4788,
    occupancy,'Loan Tape (S&amp;P)'!N4788,
    maturity_date,'Loan Tape (S&amp;P)'!L4788,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89">
      <c r="J4789">
        <f>LET(
    lien,'Loan Tape (S&amp;P)'!Q4789,
    IF(lien="First",1.00,
        IF(lien="Second",1.50,
            1.70)))</f>
        <v/>
      </c>
      <c r="K4789">
        <f>LET(
    purpose,'Loan Tape (S&amp;P)'!R4789,
    IF(purpose="Purchase",1.00,
        IF(purpose="Remortgage",1.00,
            1.20)))</f>
        <v/>
      </c>
      <c r="L4789">
        <f>LET(
    arrears_months,'Loan Tape (S&amp;P)'!AN4789,
    IF(arrears_months=0,1.00,
    IF(arrears_months=1,3.00,
    IF(arrears_months=2,5.00,
    IF(arrears_months=3,8.00,
    IF(arrears_months=4,10.00,
    IF(arrears_months=5,12.00,15.00)))))))</f>
        <v/>
      </c>
      <c r="M4789">
        <f>LET(
    seasoning_years,DATEDIF('Loan Tape (S&amp;P)'!K4789,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89">
        <f>IF(AND('Loan Tape (S&amp;P)'!U4789="Yes",
        'Loan Tape (S&amp;P)'!T4789&lt;&gt;"Yes",
        DATEDIF('Loan Tape (S&amp;P)'!K4789, TODAY(), "M")&lt;18),
    1.10,
    1.00)</f>
        <v/>
      </c>
      <c r="O4789">
        <f>IF('Loan Tape (S&amp;P)'!T4789="Yes",
    1.35,
    1.00)</f>
        <v/>
      </c>
      <c r="P4789">
        <f>IF('Loan Tape (S&amp;P)'!S4789="Yes",
    1.15,
    1.00)</f>
        <v/>
      </c>
      <c r="Q4789">
        <f>IF('Loan Tape (S&amp;P)'!V4789="Yes",
    1.20,
    1.00)</f>
        <v/>
      </c>
      <c r="T4789">
        <f>LET(
    payment_method,'Loan Tape (S&amp;P)'!P4789,
    occupancy,'Loan Tape (S&amp;P)'!N4789,
    maturity_date,'Loan Tape (S&amp;P)'!L4789,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90">
      <c r="J4790">
        <f>LET(
    lien,'Loan Tape (S&amp;P)'!Q4790,
    IF(lien="First",1.00,
        IF(lien="Second",1.50,
            1.70)))</f>
        <v/>
      </c>
      <c r="K4790">
        <f>LET(
    purpose,'Loan Tape (S&amp;P)'!R4790,
    IF(purpose="Purchase",1.00,
        IF(purpose="Remortgage",1.00,
            1.20)))</f>
        <v/>
      </c>
      <c r="L4790">
        <f>LET(
    arrears_months,'Loan Tape (S&amp;P)'!AN4790,
    IF(arrears_months=0,1.00,
    IF(arrears_months=1,3.00,
    IF(arrears_months=2,5.00,
    IF(arrears_months=3,8.00,
    IF(arrears_months=4,10.00,
    IF(arrears_months=5,12.00,15.00)))))))</f>
        <v/>
      </c>
      <c r="M4790">
        <f>LET(
    seasoning_years,DATEDIF('Loan Tape (S&amp;P)'!K4790,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90">
        <f>IF(AND('Loan Tape (S&amp;P)'!U4790="Yes",
        'Loan Tape (S&amp;P)'!T4790&lt;&gt;"Yes",
        DATEDIF('Loan Tape (S&amp;P)'!K4790, TODAY(), "M")&lt;18),
    1.10,
    1.00)</f>
        <v/>
      </c>
      <c r="O4790">
        <f>IF('Loan Tape (S&amp;P)'!T4790="Yes",
    1.35,
    1.00)</f>
        <v/>
      </c>
      <c r="P4790">
        <f>IF('Loan Tape (S&amp;P)'!S4790="Yes",
    1.15,
    1.00)</f>
        <v/>
      </c>
      <c r="Q4790">
        <f>IF('Loan Tape (S&amp;P)'!V4790="Yes",
    1.20,
    1.00)</f>
        <v/>
      </c>
      <c r="T4790">
        <f>LET(
    payment_method,'Loan Tape (S&amp;P)'!P4790,
    occupancy,'Loan Tape (S&amp;P)'!N4790,
    maturity_date,'Loan Tape (S&amp;P)'!L4790,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91">
      <c r="J4791">
        <f>LET(
    lien,'Loan Tape (S&amp;P)'!Q4791,
    IF(lien="First",1.00,
        IF(lien="Second",1.50,
            1.70)))</f>
        <v/>
      </c>
      <c r="K4791">
        <f>LET(
    purpose,'Loan Tape (S&amp;P)'!R4791,
    IF(purpose="Purchase",1.00,
        IF(purpose="Remortgage",1.00,
            1.20)))</f>
        <v/>
      </c>
      <c r="L4791">
        <f>LET(
    arrears_months,'Loan Tape (S&amp;P)'!AN4791,
    IF(arrears_months=0,1.00,
    IF(arrears_months=1,3.00,
    IF(arrears_months=2,5.00,
    IF(arrears_months=3,8.00,
    IF(arrears_months=4,10.00,
    IF(arrears_months=5,12.00,15.00)))))))</f>
        <v/>
      </c>
      <c r="M4791">
        <f>LET(
    seasoning_years,DATEDIF('Loan Tape (S&amp;P)'!K4791,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91">
        <f>IF(AND('Loan Tape (S&amp;P)'!U4791="Yes",
        'Loan Tape (S&amp;P)'!T4791&lt;&gt;"Yes",
        DATEDIF('Loan Tape (S&amp;P)'!K4791, TODAY(), "M")&lt;18),
    1.10,
    1.00)</f>
        <v/>
      </c>
      <c r="O4791">
        <f>IF('Loan Tape (S&amp;P)'!T4791="Yes",
    1.35,
    1.00)</f>
        <v/>
      </c>
      <c r="P4791">
        <f>IF('Loan Tape (S&amp;P)'!S4791="Yes",
    1.15,
    1.00)</f>
        <v/>
      </c>
      <c r="Q4791">
        <f>IF('Loan Tape (S&amp;P)'!V4791="Yes",
    1.20,
    1.00)</f>
        <v/>
      </c>
      <c r="T4791">
        <f>LET(
    payment_method,'Loan Tape (S&amp;P)'!P4791,
    occupancy,'Loan Tape (S&amp;P)'!N4791,
    maturity_date,'Loan Tape (S&amp;P)'!L4791,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92">
      <c r="J4792">
        <f>LET(
    lien,'Loan Tape (S&amp;P)'!Q4792,
    IF(lien="First",1.00,
        IF(lien="Second",1.50,
            1.70)))</f>
        <v/>
      </c>
      <c r="K4792">
        <f>LET(
    purpose,'Loan Tape (S&amp;P)'!R4792,
    IF(purpose="Purchase",1.00,
        IF(purpose="Remortgage",1.00,
            1.20)))</f>
        <v/>
      </c>
      <c r="L4792">
        <f>LET(
    arrears_months,'Loan Tape (S&amp;P)'!AN4792,
    IF(arrears_months=0,1.00,
    IF(arrears_months=1,3.00,
    IF(arrears_months=2,5.00,
    IF(arrears_months=3,8.00,
    IF(arrears_months=4,10.00,
    IF(arrears_months=5,12.00,15.00)))))))</f>
        <v/>
      </c>
      <c r="M4792">
        <f>LET(
    seasoning_years,DATEDIF('Loan Tape (S&amp;P)'!K4792,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92">
        <f>IF(AND('Loan Tape (S&amp;P)'!U4792="Yes",
        'Loan Tape (S&amp;P)'!T4792&lt;&gt;"Yes",
        DATEDIF('Loan Tape (S&amp;P)'!K4792, TODAY(), "M")&lt;18),
    1.10,
    1.00)</f>
        <v/>
      </c>
      <c r="O4792">
        <f>IF('Loan Tape (S&amp;P)'!T4792="Yes",
    1.35,
    1.00)</f>
        <v/>
      </c>
      <c r="P4792">
        <f>IF('Loan Tape (S&amp;P)'!S4792="Yes",
    1.15,
    1.00)</f>
        <v/>
      </c>
      <c r="Q4792">
        <f>IF('Loan Tape (S&amp;P)'!V4792="Yes",
    1.20,
    1.00)</f>
        <v/>
      </c>
      <c r="T4792">
        <f>LET(
    payment_method,'Loan Tape (S&amp;P)'!P4792,
    occupancy,'Loan Tape (S&amp;P)'!N4792,
    maturity_date,'Loan Tape (S&amp;P)'!L4792,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93">
      <c r="J4793">
        <f>LET(
    lien,'Loan Tape (S&amp;P)'!Q4793,
    IF(lien="First",1.00,
        IF(lien="Second",1.50,
            1.70)))</f>
        <v/>
      </c>
      <c r="K4793">
        <f>LET(
    purpose,'Loan Tape (S&amp;P)'!R4793,
    IF(purpose="Purchase",1.00,
        IF(purpose="Remortgage",1.00,
            1.20)))</f>
        <v/>
      </c>
      <c r="L4793">
        <f>LET(
    arrears_months,'Loan Tape (S&amp;P)'!AN4793,
    IF(arrears_months=0,1.00,
    IF(arrears_months=1,3.00,
    IF(arrears_months=2,5.00,
    IF(arrears_months=3,8.00,
    IF(arrears_months=4,10.00,
    IF(arrears_months=5,12.00,15.00)))))))</f>
        <v/>
      </c>
      <c r="M4793">
        <f>LET(
    seasoning_years,DATEDIF('Loan Tape (S&amp;P)'!K4793,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93">
        <f>IF(AND('Loan Tape (S&amp;P)'!U4793="Yes",
        'Loan Tape (S&amp;P)'!T4793&lt;&gt;"Yes",
        DATEDIF('Loan Tape (S&amp;P)'!K4793, TODAY(), "M")&lt;18),
    1.10,
    1.00)</f>
        <v/>
      </c>
      <c r="O4793">
        <f>IF('Loan Tape (S&amp;P)'!T4793="Yes",
    1.35,
    1.00)</f>
        <v/>
      </c>
      <c r="P4793">
        <f>IF('Loan Tape (S&amp;P)'!S4793="Yes",
    1.15,
    1.00)</f>
        <v/>
      </c>
      <c r="Q4793">
        <f>IF('Loan Tape (S&amp;P)'!V4793="Yes",
    1.20,
    1.00)</f>
        <v/>
      </c>
      <c r="T4793">
        <f>LET(
    payment_method,'Loan Tape (S&amp;P)'!P4793,
    occupancy,'Loan Tape (S&amp;P)'!N4793,
    maturity_date,'Loan Tape (S&amp;P)'!L4793,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94">
      <c r="J4794">
        <f>LET(
    lien,'Loan Tape (S&amp;P)'!Q4794,
    IF(lien="First",1.00,
        IF(lien="Second",1.50,
            1.70)))</f>
        <v/>
      </c>
      <c r="K4794">
        <f>LET(
    purpose,'Loan Tape (S&amp;P)'!R4794,
    IF(purpose="Purchase",1.00,
        IF(purpose="Remortgage",1.00,
            1.20)))</f>
        <v/>
      </c>
      <c r="L4794">
        <f>LET(
    arrears_months,'Loan Tape (S&amp;P)'!AN4794,
    IF(arrears_months=0,1.00,
    IF(arrears_months=1,3.00,
    IF(arrears_months=2,5.00,
    IF(arrears_months=3,8.00,
    IF(arrears_months=4,10.00,
    IF(arrears_months=5,12.00,15.00)))))))</f>
        <v/>
      </c>
      <c r="M4794">
        <f>LET(
    seasoning_years,DATEDIF('Loan Tape (S&amp;P)'!K4794,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94">
        <f>IF(AND('Loan Tape (S&amp;P)'!U4794="Yes",
        'Loan Tape (S&amp;P)'!T4794&lt;&gt;"Yes",
        DATEDIF('Loan Tape (S&amp;P)'!K4794, TODAY(), "M")&lt;18),
    1.10,
    1.00)</f>
        <v/>
      </c>
      <c r="O4794">
        <f>IF('Loan Tape (S&amp;P)'!T4794="Yes",
    1.35,
    1.00)</f>
        <v/>
      </c>
      <c r="P4794">
        <f>IF('Loan Tape (S&amp;P)'!S4794="Yes",
    1.15,
    1.00)</f>
        <v/>
      </c>
      <c r="Q4794">
        <f>IF('Loan Tape (S&amp;P)'!V4794="Yes",
    1.20,
    1.00)</f>
        <v/>
      </c>
      <c r="T4794">
        <f>LET(
    payment_method,'Loan Tape (S&amp;P)'!P4794,
    occupancy,'Loan Tape (S&amp;P)'!N4794,
    maturity_date,'Loan Tape (S&amp;P)'!L4794,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95">
      <c r="J4795">
        <f>LET(
    lien,'Loan Tape (S&amp;P)'!Q4795,
    IF(lien="First",1.00,
        IF(lien="Second",1.50,
            1.70)))</f>
        <v/>
      </c>
      <c r="K4795">
        <f>LET(
    purpose,'Loan Tape (S&amp;P)'!R4795,
    IF(purpose="Purchase",1.00,
        IF(purpose="Remortgage",1.00,
            1.20)))</f>
        <v/>
      </c>
      <c r="L4795">
        <f>LET(
    arrears_months,'Loan Tape (S&amp;P)'!AN4795,
    IF(arrears_months=0,1.00,
    IF(arrears_months=1,3.00,
    IF(arrears_months=2,5.00,
    IF(arrears_months=3,8.00,
    IF(arrears_months=4,10.00,
    IF(arrears_months=5,12.00,15.00)))))))</f>
        <v/>
      </c>
      <c r="M4795">
        <f>LET(
    seasoning_years,DATEDIF('Loan Tape (S&amp;P)'!K4795,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95">
        <f>IF(AND('Loan Tape (S&amp;P)'!U4795="Yes",
        'Loan Tape (S&amp;P)'!T4795&lt;&gt;"Yes",
        DATEDIF('Loan Tape (S&amp;P)'!K4795, TODAY(), "M")&lt;18),
    1.10,
    1.00)</f>
        <v/>
      </c>
      <c r="O4795">
        <f>IF('Loan Tape (S&amp;P)'!T4795="Yes",
    1.35,
    1.00)</f>
        <v/>
      </c>
      <c r="P4795">
        <f>IF('Loan Tape (S&amp;P)'!S4795="Yes",
    1.15,
    1.00)</f>
        <v/>
      </c>
      <c r="Q4795">
        <f>IF('Loan Tape (S&amp;P)'!V4795="Yes",
    1.20,
    1.00)</f>
        <v/>
      </c>
      <c r="T4795">
        <f>LET(
    payment_method,'Loan Tape (S&amp;P)'!P4795,
    occupancy,'Loan Tape (S&amp;P)'!N4795,
    maturity_date,'Loan Tape (S&amp;P)'!L4795,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96">
      <c r="J4796">
        <f>LET(
    lien,'Loan Tape (S&amp;P)'!Q4796,
    IF(lien="First",1.00,
        IF(lien="Second",1.50,
            1.70)))</f>
        <v/>
      </c>
      <c r="K4796">
        <f>LET(
    purpose,'Loan Tape (S&amp;P)'!R4796,
    IF(purpose="Purchase",1.00,
        IF(purpose="Remortgage",1.00,
            1.20)))</f>
        <v/>
      </c>
      <c r="L4796">
        <f>LET(
    arrears_months,'Loan Tape (S&amp;P)'!AN4796,
    IF(arrears_months=0,1.00,
    IF(arrears_months=1,3.00,
    IF(arrears_months=2,5.00,
    IF(arrears_months=3,8.00,
    IF(arrears_months=4,10.00,
    IF(arrears_months=5,12.00,15.00)))))))</f>
        <v/>
      </c>
      <c r="M4796">
        <f>LET(
    seasoning_years,DATEDIF('Loan Tape (S&amp;P)'!K4796,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96">
        <f>IF(AND('Loan Tape (S&amp;P)'!U4796="Yes",
        'Loan Tape (S&amp;P)'!T4796&lt;&gt;"Yes",
        DATEDIF('Loan Tape (S&amp;P)'!K4796, TODAY(), "M")&lt;18),
    1.10,
    1.00)</f>
        <v/>
      </c>
      <c r="O4796">
        <f>IF('Loan Tape (S&amp;P)'!T4796="Yes",
    1.35,
    1.00)</f>
        <v/>
      </c>
      <c r="P4796">
        <f>IF('Loan Tape (S&amp;P)'!S4796="Yes",
    1.15,
    1.00)</f>
        <v/>
      </c>
      <c r="Q4796">
        <f>IF('Loan Tape (S&amp;P)'!V4796="Yes",
    1.20,
    1.00)</f>
        <v/>
      </c>
      <c r="T4796">
        <f>LET(
    payment_method,'Loan Tape (S&amp;P)'!P4796,
    occupancy,'Loan Tape (S&amp;P)'!N4796,
    maturity_date,'Loan Tape (S&amp;P)'!L4796,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97">
      <c r="J4797">
        <f>LET(
    lien,'Loan Tape (S&amp;P)'!Q4797,
    IF(lien="First",1.00,
        IF(lien="Second",1.50,
            1.70)))</f>
        <v/>
      </c>
      <c r="K4797">
        <f>LET(
    purpose,'Loan Tape (S&amp;P)'!R4797,
    IF(purpose="Purchase",1.00,
        IF(purpose="Remortgage",1.00,
            1.20)))</f>
        <v/>
      </c>
      <c r="L4797">
        <f>LET(
    arrears_months,'Loan Tape (S&amp;P)'!AN4797,
    IF(arrears_months=0,1.00,
    IF(arrears_months=1,3.00,
    IF(arrears_months=2,5.00,
    IF(arrears_months=3,8.00,
    IF(arrears_months=4,10.00,
    IF(arrears_months=5,12.00,15.00)))))))</f>
        <v/>
      </c>
      <c r="M4797">
        <f>LET(
    seasoning_years,DATEDIF('Loan Tape (S&amp;P)'!K4797,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97">
        <f>IF(AND('Loan Tape (S&amp;P)'!U4797="Yes",
        'Loan Tape (S&amp;P)'!T4797&lt;&gt;"Yes",
        DATEDIF('Loan Tape (S&amp;P)'!K4797, TODAY(), "M")&lt;18),
    1.10,
    1.00)</f>
        <v/>
      </c>
      <c r="O4797">
        <f>IF('Loan Tape (S&amp;P)'!T4797="Yes",
    1.35,
    1.00)</f>
        <v/>
      </c>
      <c r="P4797">
        <f>IF('Loan Tape (S&amp;P)'!S4797="Yes",
    1.15,
    1.00)</f>
        <v/>
      </c>
      <c r="Q4797">
        <f>IF('Loan Tape (S&amp;P)'!V4797="Yes",
    1.20,
    1.00)</f>
        <v/>
      </c>
      <c r="T4797">
        <f>LET(
    payment_method,'Loan Tape (S&amp;P)'!P4797,
    occupancy,'Loan Tape (S&amp;P)'!N4797,
    maturity_date,'Loan Tape (S&amp;P)'!L4797,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98">
      <c r="J4798">
        <f>LET(
    lien,'Loan Tape (S&amp;P)'!Q4798,
    IF(lien="First",1.00,
        IF(lien="Second",1.50,
            1.70)))</f>
        <v/>
      </c>
      <c r="K4798">
        <f>LET(
    purpose,'Loan Tape (S&amp;P)'!R4798,
    IF(purpose="Purchase",1.00,
        IF(purpose="Remortgage",1.00,
            1.20)))</f>
        <v/>
      </c>
      <c r="L4798">
        <f>LET(
    arrears_months,'Loan Tape (S&amp;P)'!AN4798,
    IF(arrears_months=0,1.00,
    IF(arrears_months=1,3.00,
    IF(arrears_months=2,5.00,
    IF(arrears_months=3,8.00,
    IF(arrears_months=4,10.00,
    IF(arrears_months=5,12.00,15.00)))))))</f>
        <v/>
      </c>
      <c r="M4798">
        <f>LET(
    seasoning_years,DATEDIF('Loan Tape (S&amp;P)'!K4798,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98">
        <f>IF(AND('Loan Tape (S&amp;P)'!U4798="Yes",
        'Loan Tape (S&amp;P)'!T4798&lt;&gt;"Yes",
        DATEDIF('Loan Tape (S&amp;P)'!K4798, TODAY(), "M")&lt;18),
    1.10,
    1.00)</f>
        <v/>
      </c>
      <c r="O4798">
        <f>IF('Loan Tape (S&amp;P)'!T4798="Yes",
    1.35,
    1.00)</f>
        <v/>
      </c>
      <c r="P4798">
        <f>IF('Loan Tape (S&amp;P)'!S4798="Yes",
    1.15,
    1.00)</f>
        <v/>
      </c>
      <c r="Q4798">
        <f>IF('Loan Tape (S&amp;P)'!V4798="Yes",
    1.20,
    1.00)</f>
        <v/>
      </c>
      <c r="T4798">
        <f>LET(
    payment_method,'Loan Tape (S&amp;P)'!P4798,
    occupancy,'Loan Tape (S&amp;P)'!N4798,
    maturity_date,'Loan Tape (S&amp;P)'!L4798,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799">
      <c r="J4799">
        <f>LET(
    lien,'Loan Tape (S&amp;P)'!Q4799,
    IF(lien="First",1.00,
        IF(lien="Second",1.50,
            1.70)))</f>
        <v/>
      </c>
      <c r="K4799">
        <f>LET(
    purpose,'Loan Tape (S&amp;P)'!R4799,
    IF(purpose="Purchase",1.00,
        IF(purpose="Remortgage",1.00,
            1.20)))</f>
        <v/>
      </c>
      <c r="L4799">
        <f>LET(
    arrears_months,'Loan Tape (S&amp;P)'!AN4799,
    IF(arrears_months=0,1.00,
    IF(arrears_months=1,3.00,
    IF(arrears_months=2,5.00,
    IF(arrears_months=3,8.00,
    IF(arrears_months=4,10.00,
    IF(arrears_months=5,12.00,15.00)))))))</f>
        <v/>
      </c>
      <c r="M4799">
        <f>LET(
    seasoning_years,DATEDIF('Loan Tape (S&amp;P)'!K4799,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799">
        <f>IF(AND('Loan Tape (S&amp;P)'!U4799="Yes",
        'Loan Tape (S&amp;P)'!T4799&lt;&gt;"Yes",
        DATEDIF('Loan Tape (S&amp;P)'!K4799, TODAY(), "M")&lt;18),
    1.10,
    1.00)</f>
        <v/>
      </c>
      <c r="O4799">
        <f>IF('Loan Tape (S&amp;P)'!T4799="Yes",
    1.35,
    1.00)</f>
        <v/>
      </c>
      <c r="P4799">
        <f>IF('Loan Tape (S&amp;P)'!S4799="Yes",
    1.15,
    1.00)</f>
        <v/>
      </c>
      <c r="Q4799">
        <f>IF('Loan Tape (S&amp;P)'!V4799="Yes",
    1.20,
    1.00)</f>
        <v/>
      </c>
      <c r="T4799">
        <f>LET(
    payment_method,'Loan Tape (S&amp;P)'!P4799,
    occupancy,'Loan Tape (S&amp;P)'!N4799,
    maturity_date,'Loan Tape (S&amp;P)'!L4799,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00">
      <c r="J4800">
        <f>LET(
    lien,'Loan Tape (S&amp;P)'!Q4800,
    IF(lien="First",1.00,
        IF(lien="Second",1.50,
            1.70)))</f>
        <v/>
      </c>
      <c r="K4800">
        <f>LET(
    purpose,'Loan Tape (S&amp;P)'!R4800,
    IF(purpose="Purchase",1.00,
        IF(purpose="Remortgage",1.00,
            1.20)))</f>
        <v/>
      </c>
      <c r="L4800">
        <f>LET(
    arrears_months,'Loan Tape (S&amp;P)'!AN4800,
    IF(arrears_months=0,1.00,
    IF(arrears_months=1,3.00,
    IF(arrears_months=2,5.00,
    IF(arrears_months=3,8.00,
    IF(arrears_months=4,10.00,
    IF(arrears_months=5,12.00,15.00)))))))</f>
        <v/>
      </c>
      <c r="M4800">
        <f>LET(
    seasoning_years,DATEDIF('Loan Tape (S&amp;P)'!K4800,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00">
        <f>IF(AND('Loan Tape (S&amp;P)'!U4800="Yes",
        'Loan Tape (S&amp;P)'!T4800&lt;&gt;"Yes",
        DATEDIF('Loan Tape (S&amp;P)'!K4800, TODAY(), "M")&lt;18),
    1.10,
    1.00)</f>
        <v/>
      </c>
      <c r="O4800">
        <f>IF('Loan Tape (S&amp;P)'!T4800="Yes",
    1.35,
    1.00)</f>
        <v/>
      </c>
      <c r="P4800">
        <f>IF('Loan Tape (S&amp;P)'!S4800="Yes",
    1.15,
    1.00)</f>
        <v/>
      </c>
      <c r="Q4800">
        <f>IF('Loan Tape (S&amp;P)'!V4800="Yes",
    1.20,
    1.00)</f>
        <v/>
      </c>
      <c r="T4800">
        <f>LET(
    payment_method,'Loan Tape (S&amp;P)'!P4800,
    occupancy,'Loan Tape (S&amp;P)'!N4800,
    maturity_date,'Loan Tape (S&amp;P)'!L4800,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01">
      <c r="J4801">
        <f>LET(
    lien,'Loan Tape (S&amp;P)'!Q4801,
    IF(lien="First",1.00,
        IF(lien="Second",1.50,
            1.70)))</f>
        <v/>
      </c>
      <c r="K4801">
        <f>LET(
    purpose,'Loan Tape (S&amp;P)'!R4801,
    IF(purpose="Purchase",1.00,
        IF(purpose="Remortgage",1.00,
            1.20)))</f>
        <v/>
      </c>
      <c r="L4801">
        <f>LET(
    arrears_months,'Loan Tape (S&amp;P)'!AN4801,
    IF(arrears_months=0,1.00,
    IF(arrears_months=1,3.00,
    IF(arrears_months=2,5.00,
    IF(arrears_months=3,8.00,
    IF(arrears_months=4,10.00,
    IF(arrears_months=5,12.00,15.00)))))))</f>
        <v/>
      </c>
      <c r="M4801">
        <f>LET(
    seasoning_years,DATEDIF('Loan Tape (S&amp;P)'!K4801,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01">
        <f>IF(AND('Loan Tape (S&amp;P)'!U4801="Yes",
        'Loan Tape (S&amp;P)'!T4801&lt;&gt;"Yes",
        DATEDIF('Loan Tape (S&amp;P)'!K4801, TODAY(), "M")&lt;18),
    1.10,
    1.00)</f>
        <v/>
      </c>
      <c r="O4801">
        <f>IF('Loan Tape (S&amp;P)'!T4801="Yes",
    1.35,
    1.00)</f>
        <v/>
      </c>
      <c r="P4801">
        <f>IF('Loan Tape (S&amp;P)'!S4801="Yes",
    1.15,
    1.00)</f>
        <v/>
      </c>
      <c r="Q4801">
        <f>IF('Loan Tape (S&amp;P)'!V4801="Yes",
    1.20,
    1.00)</f>
        <v/>
      </c>
      <c r="T4801">
        <f>LET(
    payment_method,'Loan Tape (S&amp;P)'!P4801,
    occupancy,'Loan Tape (S&amp;P)'!N4801,
    maturity_date,'Loan Tape (S&amp;P)'!L4801,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02">
      <c r="J4802">
        <f>LET(
    lien,'Loan Tape (S&amp;P)'!Q4802,
    IF(lien="First",1.00,
        IF(lien="Second",1.50,
            1.70)))</f>
        <v/>
      </c>
      <c r="K4802">
        <f>LET(
    purpose,'Loan Tape (S&amp;P)'!R4802,
    IF(purpose="Purchase",1.00,
        IF(purpose="Remortgage",1.00,
            1.20)))</f>
        <v/>
      </c>
      <c r="L4802">
        <f>LET(
    arrears_months,'Loan Tape (S&amp;P)'!AN4802,
    IF(arrears_months=0,1.00,
    IF(arrears_months=1,3.00,
    IF(arrears_months=2,5.00,
    IF(arrears_months=3,8.00,
    IF(arrears_months=4,10.00,
    IF(arrears_months=5,12.00,15.00)))))))</f>
        <v/>
      </c>
      <c r="M4802">
        <f>LET(
    seasoning_years,DATEDIF('Loan Tape (S&amp;P)'!K4802,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02">
        <f>IF(AND('Loan Tape (S&amp;P)'!U4802="Yes",
        'Loan Tape (S&amp;P)'!T4802&lt;&gt;"Yes",
        DATEDIF('Loan Tape (S&amp;P)'!K4802, TODAY(), "M")&lt;18),
    1.10,
    1.00)</f>
        <v/>
      </c>
      <c r="O4802">
        <f>IF('Loan Tape (S&amp;P)'!T4802="Yes",
    1.35,
    1.00)</f>
        <v/>
      </c>
      <c r="P4802">
        <f>IF('Loan Tape (S&amp;P)'!S4802="Yes",
    1.15,
    1.00)</f>
        <v/>
      </c>
      <c r="Q4802">
        <f>IF('Loan Tape (S&amp;P)'!V4802="Yes",
    1.20,
    1.00)</f>
        <v/>
      </c>
      <c r="T4802">
        <f>LET(
    payment_method,'Loan Tape (S&amp;P)'!P4802,
    occupancy,'Loan Tape (S&amp;P)'!N4802,
    maturity_date,'Loan Tape (S&amp;P)'!L4802,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03">
      <c r="J4803">
        <f>LET(
    lien,'Loan Tape (S&amp;P)'!Q4803,
    IF(lien="First",1.00,
        IF(lien="Second",1.50,
            1.70)))</f>
        <v/>
      </c>
      <c r="K4803">
        <f>LET(
    purpose,'Loan Tape (S&amp;P)'!R4803,
    IF(purpose="Purchase",1.00,
        IF(purpose="Remortgage",1.00,
            1.20)))</f>
        <v/>
      </c>
      <c r="L4803">
        <f>LET(
    arrears_months,'Loan Tape (S&amp;P)'!AN4803,
    IF(arrears_months=0,1.00,
    IF(arrears_months=1,3.00,
    IF(arrears_months=2,5.00,
    IF(arrears_months=3,8.00,
    IF(arrears_months=4,10.00,
    IF(arrears_months=5,12.00,15.00)))))))</f>
        <v/>
      </c>
      <c r="M4803">
        <f>LET(
    seasoning_years,DATEDIF('Loan Tape (S&amp;P)'!K4803,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03">
        <f>IF(AND('Loan Tape (S&amp;P)'!U4803="Yes",
        'Loan Tape (S&amp;P)'!T4803&lt;&gt;"Yes",
        DATEDIF('Loan Tape (S&amp;P)'!K4803, TODAY(), "M")&lt;18),
    1.10,
    1.00)</f>
        <v/>
      </c>
      <c r="O4803">
        <f>IF('Loan Tape (S&amp;P)'!T4803="Yes",
    1.35,
    1.00)</f>
        <v/>
      </c>
      <c r="P4803">
        <f>IF('Loan Tape (S&amp;P)'!S4803="Yes",
    1.15,
    1.00)</f>
        <v/>
      </c>
      <c r="Q4803">
        <f>IF('Loan Tape (S&amp;P)'!V4803="Yes",
    1.20,
    1.00)</f>
        <v/>
      </c>
      <c r="T4803">
        <f>LET(
    payment_method,'Loan Tape (S&amp;P)'!P4803,
    occupancy,'Loan Tape (S&amp;P)'!N4803,
    maturity_date,'Loan Tape (S&amp;P)'!L4803,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04">
      <c r="J4804">
        <f>LET(
    lien,'Loan Tape (S&amp;P)'!Q4804,
    IF(lien="First",1.00,
        IF(lien="Second",1.50,
            1.70)))</f>
        <v/>
      </c>
      <c r="K4804">
        <f>LET(
    purpose,'Loan Tape (S&amp;P)'!R4804,
    IF(purpose="Purchase",1.00,
        IF(purpose="Remortgage",1.00,
            1.20)))</f>
        <v/>
      </c>
      <c r="L4804">
        <f>LET(
    arrears_months,'Loan Tape (S&amp;P)'!AN4804,
    IF(arrears_months=0,1.00,
    IF(arrears_months=1,3.00,
    IF(arrears_months=2,5.00,
    IF(arrears_months=3,8.00,
    IF(arrears_months=4,10.00,
    IF(arrears_months=5,12.00,15.00)))))))</f>
        <v/>
      </c>
      <c r="M4804">
        <f>LET(
    seasoning_years,DATEDIF('Loan Tape (S&amp;P)'!K4804,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04">
        <f>IF(AND('Loan Tape (S&amp;P)'!U4804="Yes",
        'Loan Tape (S&amp;P)'!T4804&lt;&gt;"Yes",
        DATEDIF('Loan Tape (S&amp;P)'!K4804, TODAY(), "M")&lt;18),
    1.10,
    1.00)</f>
        <v/>
      </c>
      <c r="O4804">
        <f>IF('Loan Tape (S&amp;P)'!T4804="Yes",
    1.35,
    1.00)</f>
        <v/>
      </c>
      <c r="P4804">
        <f>IF('Loan Tape (S&amp;P)'!S4804="Yes",
    1.15,
    1.00)</f>
        <v/>
      </c>
      <c r="Q4804">
        <f>IF('Loan Tape (S&amp;P)'!V4804="Yes",
    1.20,
    1.00)</f>
        <v/>
      </c>
      <c r="T4804">
        <f>LET(
    payment_method,'Loan Tape (S&amp;P)'!P4804,
    occupancy,'Loan Tape (S&amp;P)'!N4804,
    maturity_date,'Loan Tape (S&amp;P)'!L4804,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05">
      <c r="J4805">
        <f>LET(
    lien,'Loan Tape (S&amp;P)'!Q4805,
    IF(lien="First",1.00,
        IF(lien="Second",1.50,
            1.70)))</f>
        <v/>
      </c>
      <c r="K4805">
        <f>LET(
    purpose,'Loan Tape (S&amp;P)'!R4805,
    IF(purpose="Purchase",1.00,
        IF(purpose="Remortgage",1.00,
            1.20)))</f>
        <v/>
      </c>
      <c r="L4805">
        <f>LET(
    arrears_months,'Loan Tape (S&amp;P)'!AN4805,
    IF(arrears_months=0,1.00,
    IF(arrears_months=1,3.00,
    IF(arrears_months=2,5.00,
    IF(arrears_months=3,8.00,
    IF(arrears_months=4,10.00,
    IF(arrears_months=5,12.00,15.00)))))))</f>
        <v/>
      </c>
      <c r="M4805">
        <f>LET(
    seasoning_years,DATEDIF('Loan Tape (S&amp;P)'!K4805,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05">
        <f>IF(AND('Loan Tape (S&amp;P)'!U4805="Yes",
        'Loan Tape (S&amp;P)'!T4805&lt;&gt;"Yes",
        DATEDIF('Loan Tape (S&amp;P)'!K4805, TODAY(), "M")&lt;18),
    1.10,
    1.00)</f>
        <v/>
      </c>
      <c r="O4805">
        <f>IF('Loan Tape (S&amp;P)'!T4805="Yes",
    1.35,
    1.00)</f>
        <v/>
      </c>
      <c r="P4805">
        <f>IF('Loan Tape (S&amp;P)'!S4805="Yes",
    1.15,
    1.00)</f>
        <v/>
      </c>
      <c r="Q4805">
        <f>IF('Loan Tape (S&amp;P)'!V4805="Yes",
    1.20,
    1.00)</f>
        <v/>
      </c>
      <c r="T4805">
        <f>LET(
    payment_method,'Loan Tape (S&amp;P)'!P4805,
    occupancy,'Loan Tape (S&amp;P)'!N4805,
    maturity_date,'Loan Tape (S&amp;P)'!L4805,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06">
      <c r="J4806">
        <f>LET(
    lien,'Loan Tape (S&amp;P)'!Q4806,
    IF(lien="First",1.00,
        IF(lien="Second",1.50,
            1.70)))</f>
        <v/>
      </c>
      <c r="K4806">
        <f>LET(
    purpose,'Loan Tape (S&amp;P)'!R4806,
    IF(purpose="Purchase",1.00,
        IF(purpose="Remortgage",1.00,
            1.20)))</f>
        <v/>
      </c>
      <c r="L4806">
        <f>LET(
    arrears_months,'Loan Tape (S&amp;P)'!AN4806,
    IF(arrears_months=0,1.00,
    IF(arrears_months=1,3.00,
    IF(arrears_months=2,5.00,
    IF(arrears_months=3,8.00,
    IF(arrears_months=4,10.00,
    IF(arrears_months=5,12.00,15.00)))))))</f>
        <v/>
      </c>
      <c r="M4806">
        <f>LET(
    seasoning_years,DATEDIF('Loan Tape (S&amp;P)'!K4806,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06">
        <f>IF(AND('Loan Tape (S&amp;P)'!U4806="Yes",
        'Loan Tape (S&amp;P)'!T4806&lt;&gt;"Yes",
        DATEDIF('Loan Tape (S&amp;P)'!K4806, TODAY(), "M")&lt;18),
    1.10,
    1.00)</f>
        <v/>
      </c>
      <c r="O4806">
        <f>IF('Loan Tape (S&amp;P)'!T4806="Yes",
    1.35,
    1.00)</f>
        <v/>
      </c>
      <c r="P4806">
        <f>IF('Loan Tape (S&amp;P)'!S4806="Yes",
    1.15,
    1.00)</f>
        <v/>
      </c>
      <c r="Q4806">
        <f>IF('Loan Tape (S&amp;P)'!V4806="Yes",
    1.20,
    1.00)</f>
        <v/>
      </c>
      <c r="T4806">
        <f>LET(
    payment_method,'Loan Tape (S&amp;P)'!P4806,
    occupancy,'Loan Tape (S&amp;P)'!N4806,
    maturity_date,'Loan Tape (S&amp;P)'!L4806,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07">
      <c r="J4807">
        <f>LET(
    lien,'Loan Tape (S&amp;P)'!Q4807,
    IF(lien="First",1.00,
        IF(lien="Second",1.50,
            1.70)))</f>
        <v/>
      </c>
      <c r="K4807">
        <f>LET(
    purpose,'Loan Tape (S&amp;P)'!R4807,
    IF(purpose="Purchase",1.00,
        IF(purpose="Remortgage",1.00,
            1.20)))</f>
        <v/>
      </c>
      <c r="L4807">
        <f>LET(
    arrears_months,'Loan Tape (S&amp;P)'!AN4807,
    IF(arrears_months=0,1.00,
    IF(arrears_months=1,3.00,
    IF(arrears_months=2,5.00,
    IF(arrears_months=3,8.00,
    IF(arrears_months=4,10.00,
    IF(arrears_months=5,12.00,15.00)))))))</f>
        <v/>
      </c>
      <c r="M4807">
        <f>LET(
    seasoning_years,DATEDIF('Loan Tape (S&amp;P)'!K4807,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07">
        <f>IF(AND('Loan Tape (S&amp;P)'!U4807="Yes",
        'Loan Tape (S&amp;P)'!T4807&lt;&gt;"Yes",
        DATEDIF('Loan Tape (S&amp;P)'!K4807, TODAY(), "M")&lt;18),
    1.10,
    1.00)</f>
        <v/>
      </c>
      <c r="O4807">
        <f>IF('Loan Tape (S&amp;P)'!T4807="Yes",
    1.35,
    1.00)</f>
        <v/>
      </c>
      <c r="P4807">
        <f>IF('Loan Tape (S&amp;P)'!S4807="Yes",
    1.15,
    1.00)</f>
        <v/>
      </c>
      <c r="Q4807">
        <f>IF('Loan Tape (S&amp;P)'!V4807="Yes",
    1.20,
    1.00)</f>
        <v/>
      </c>
      <c r="T4807">
        <f>LET(
    payment_method,'Loan Tape (S&amp;P)'!P4807,
    occupancy,'Loan Tape (S&amp;P)'!N4807,
    maturity_date,'Loan Tape (S&amp;P)'!L4807,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08">
      <c r="J4808">
        <f>LET(
    lien,'Loan Tape (S&amp;P)'!Q4808,
    IF(lien="First",1.00,
        IF(lien="Second",1.50,
            1.70)))</f>
        <v/>
      </c>
      <c r="K4808">
        <f>LET(
    purpose,'Loan Tape (S&amp;P)'!R4808,
    IF(purpose="Purchase",1.00,
        IF(purpose="Remortgage",1.00,
            1.20)))</f>
        <v/>
      </c>
      <c r="L4808">
        <f>LET(
    arrears_months,'Loan Tape (S&amp;P)'!AN4808,
    IF(arrears_months=0,1.00,
    IF(arrears_months=1,3.00,
    IF(arrears_months=2,5.00,
    IF(arrears_months=3,8.00,
    IF(arrears_months=4,10.00,
    IF(arrears_months=5,12.00,15.00)))))))</f>
        <v/>
      </c>
      <c r="M4808">
        <f>LET(
    seasoning_years,DATEDIF('Loan Tape (S&amp;P)'!K4808,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08">
        <f>IF(AND('Loan Tape (S&amp;P)'!U4808="Yes",
        'Loan Tape (S&amp;P)'!T4808&lt;&gt;"Yes",
        DATEDIF('Loan Tape (S&amp;P)'!K4808, TODAY(), "M")&lt;18),
    1.10,
    1.00)</f>
        <v/>
      </c>
      <c r="O4808">
        <f>IF('Loan Tape (S&amp;P)'!T4808="Yes",
    1.35,
    1.00)</f>
        <v/>
      </c>
      <c r="P4808">
        <f>IF('Loan Tape (S&amp;P)'!S4808="Yes",
    1.15,
    1.00)</f>
        <v/>
      </c>
      <c r="Q4808">
        <f>IF('Loan Tape (S&amp;P)'!V4808="Yes",
    1.20,
    1.00)</f>
        <v/>
      </c>
      <c r="T4808">
        <f>LET(
    payment_method,'Loan Tape (S&amp;P)'!P4808,
    occupancy,'Loan Tape (S&amp;P)'!N4808,
    maturity_date,'Loan Tape (S&amp;P)'!L4808,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09">
      <c r="J4809">
        <f>LET(
    lien,'Loan Tape (S&amp;P)'!Q4809,
    IF(lien="First",1.00,
        IF(lien="Second",1.50,
            1.70)))</f>
        <v/>
      </c>
      <c r="K4809">
        <f>LET(
    purpose,'Loan Tape (S&amp;P)'!R4809,
    IF(purpose="Purchase",1.00,
        IF(purpose="Remortgage",1.00,
            1.20)))</f>
        <v/>
      </c>
      <c r="L4809">
        <f>LET(
    arrears_months,'Loan Tape (S&amp;P)'!AN4809,
    IF(arrears_months=0,1.00,
    IF(arrears_months=1,3.00,
    IF(arrears_months=2,5.00,
    IF(arrears_months=3,8.00,
    IF(arrears_months=4,10.00,
    IF(arrears_months=5,12.00,15.00)))))))</f>
        <v/>
      </c>
      <c r="M4809">
        <f>LET(
    seasoning_years,DATEDIF('Loan Tape (S&amp;P)'!K4809,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09">
        <f>IF(AND('Loan Tape (S&amp;P)'!U4809="Yes",
        'Loan Tape (S&amp;P)'!T4809&lt;&gt;"Yes",
        DATEDIF('Loan Tape (S&amp;P)'!K4809, TODAY(), "M")&lt;18),
    1.10,
    1.00)</f>
        <v/>
      </c>
      <c r="O4809">
        <f>IF('Loan Tape (S&amp;P)'!T4809="Yes",
    1.35,
    1.00)</f>
        <v/>
      </c>
      <c r="P4809">
        <f>IF('Loan Tape (S&amp;P)'!S4809="Yes",
    1.15,
    1.00)</f>
        <v/>
      </c>
      <c r="Q4809">
        <f>IF('Loan Tape (S&amp;P)'!V4809="Yes",
    1.20,
    1.00)</f>
        <v/>
      </c>
      <c r="T4809">
        <f>LET(
    payment_method,'Loan Tape (S&amp;P)'!P4809,
    occupancy,'Loan Tape (S&amp;P)'!N4809,
    maturity_date,'Loan Tape (S&amp;P)'!L4809,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10">
      <c r="J4810">
        <f>LET(
    lien,'Loan Tape (S&amp;P)'!Q4810,
    IF(lien="First",1.00,
        IF(lien="Second",1.50,
            1.70)))</f>
        <v/>
      </c>
      <c r="K4810">
        <f>LET(
    purpose,'Loan Tape (S&amp;P)'!R4810,
    IF(purpose="Purchase",1.00,
        IF(purpose="Remortgage",1.00,
            1.20)))</f>
        <v/>
      </c>
      <c r="L4810">
        <f>LET(
    arrears_months,'Loan Tape (S&amp;P)'!AN4810,
    IF(arrears_months=0,1.00,
    IF(arrears_months=1,3.00,
    IF(arrears_months=2,5.00,
    IF(arrears_months=3,8.00,
    IF(arrears_months=4,10.00,
    IF(arrears_months=5,12.00,15.00)))))))</f>
        <v/>
      </c>
      <c r="M4810">
        <f>LET(
    seasoning_years,DATEDIF('Loan Tape (S&amp;P)'!K4810,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10">
        <f>IF(AND('Loan Tape (S&amp;P)'!U4810="Yes",
        'Loan Tape (S&amp;P)'!T4810&lt;&gt;"Yes",
        DATEDIF('Loan Tape (S&amp;P)'!K4810, TODAY(), "M")&lt;18),
    1.10,
    1.00)</f>
        <v/>
      </c>
      <c r="O4810">
        <f>IF('Loan Tape (S&amp;P)'!T4810="Yes",
    1.35,
    1.00)</f>
        <v/>
      </c>
      <c r="P4810">
        <f>IF('Loan Tape (S&amp;P)'!S4810="Yes",
    1.15,
    1.00)</f>
        <v/>
      </c>
      <c r="Q4810">
        <f>IF('Loan Tape (S&amp;P)'!V4810="Yes",
    1.20,
    1.00)</f>
        <v/>
      </c>
      <c r="T4810">
        <f>LET(
    payment_method,'Loan Tape (S&amp;P)'!P4810,
    occupancy,'Loan Tape (S&amp;P)'!N4810,
    maturity_date,'Loan Tape (S&amp;P)'!L4810,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11">
      <c r="J4811">
        <f>LET(
    lien,'Loan Tape (S&amp;P)'!Q4811,
    IF(lien="First",1.00,
        IF(lien="Second",1.50,
            1.70)))</f>
        <v/>
      </c>
      <c r="K4811">
        <f>LET(
    purpose,'Loan Tape (S&amp;P)'!R4811,
    IF(purpose="Purchase",1.00,
        IF(purpose="Remortgage",1.00,
            1.20)))</f>
        <v/>
      </c>
      <c r="L4811">
        <f>LET(
    arrears_months,'Loan Tape (S&amp;P)'!AN4811,
    IF(arrears_months=0,1.00,
    IF(arrears_months=1,3.00,
    IF(arrears_months=2,5.00,
    IF(arrears_months=3,8.00,
    IF(arrears_months=4,10.00,
    IF(arrears_months=5,12.00,15.00)))))))</f>
        <v/>
      </c>
      <c r="M4811">
        <f>LET(
    seasoning_years,DATEDIF('Loan Tape (S&amp;P)'!K4811,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11">
        <f>IF(AND('Loan Tape (S&amp;P)'!U4811="Yes",
        'Loan Tape (S&amp;P)'!T4811&lt;&gt;"Yes",
        DATEDIF('Loan Tape (S&amp;P)'!K4811, TODAY(), "M")&lt;18),
    1.10,
    1.00)</f>
        <v/>
      </c>
      <c r="O4811">
        <f>IF('Loan Tape (S&amp;P)'!T4811="Yes",
    1.35,
    1.00)</f>
        <v/>
      </c>
      <c r="P4811">
        <f>IF('Loan Tape (S&amp;P)'!S4811="Yes",
    1.15,
    1.00)</f>
        <v/>
      </c>
      <c r="Q4811">
        <f>IF('Loan Tape (S&amp;P)'!V4811="Yes",
    1.20,
    1.00)</f>
        <v/>
      </c>
      <c r="T4811">
        <f>LET(
    payment_method,'Loan Tape (S&amp;P)'!P4811,
    occupancy,'Loan Tape (S&amp;P)'!N4811,
    maturity_date,'Loan Tape (S&amp;P)'!L4811,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12">
      <c r="J4812">
        <f>LET(
    lien,'Loan Tape (S&amp;P)'!Q4812,
    IF(lien="First",1.00,
        IF(lien="Second",1.50,
            1.70)))</f>
        <v/>
      </c>
      <c r="K4812">
        <f>LET(
    purpose,'Loan Tape (S&amp;P)'!R4812,
    IF(purpose="Purchase",1.00,
        IF(purpose="Remortgage",1.00,
            1.20)))</f>
        <v/>
      </c>
      <c r="L4812">
        <f>LET(
    arrears_months,'Loan Tape (S&amp;P)'!AN4812,
    IF(arrears_months=0,1.00,
    IF(arrears_months=1,3.00,
    IF(arrears_months=2,5.00,
    IF(arrears_months=3,8.00,
    IF(arrears_months=4,10.00,
    IF(arrears_months=5,12.00,15.00)))))))</f>
        <v/>
      </c>
      <c r="M4812">
        <f>LET(
    seasoning_years,DATEDIF('Loan Tape (S&amp;P)'!K4812,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12">
        <f>IF(AND('Loan Tape (S&amp;P)'!U4812="Yes",
        'Loan Tape (S&amp;P)'!T4812&lt;&gt;"Yes",
        DATEDIF('Loan Tape (S&amp;P)'!K4812, TODAY(), "M")&lt;18),
    1.10,
    1.00)</f>
        <v/>
      </c>
      <c r="O4812">
        <f>IF('Loan Tape (S&amp;P)'!T4812="Yes",
    1.35,
    1.00)</f>
        <v/>
      </c>
      <c r="P4812">
        <f>IF('Loan Tape (S&amp;P)'!S4812="Yes",
    1.15,
    1.00)</f>
        <v/>
      </c>
      <c r="Q4812">
        <f>IF('Loan Tape (S&amp;P)'!V4812="Yes",
    1.20,
    1.00)</f>
        <v/>
      </c>
      <c r="T4812">
        <f>LET(
    payment_method,'Loan Tape (S&amp;P)'!P4812,
    occupancy,'Loan Tape (S&amp;P)'!N4812,
    maturity_date,'Loan Tape (S&amp;P)'!L4812,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13">
      <c r="J4813">
        <f>LET(
    lien,'Loan Tape (S&amp;P)'!Q4813,
    IF(lien="First",1.00,
        IF(lien="Second",1.50,
            1.70)))</f>
        <v/>
      </c>
      <c r="K4813">
        <f>LET(
    purpose,'Loan Tape (S&amp;P)'!R4813,
    IF(purpose="Purchase",1.00,
        IF(purpose="Remortgage",1.00,
            1.20)))</f>
        <v/>
      </c>
      <c r="L4813">
        <f>LET(
    arrears_months,'Loan Tape (S&amp;P)'!AN4813,
    IF(arrears_months=0,1.00,
    IF(arrears_months=1,3.00,
    IF(arrears_months=2,5.00,
    IF(arrears_months=3,8.00,
    IF(arrears_months=4,10.00,
    IF(arrears_months=5,12.00,15.00)))))))</f>
        <v/>
      </c>
      <c r="M4813">
        <f>LET(
    seasoning_years,DATEDIF('Loan Tape (S&amp;P)'!K4813,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13">
        <f>IF(AND('Loan Tape (S&amp;P)'!U4813="Yes",
        'Loan Tape (S&amp;P)'!T4813&lt;&gt;"Yes",
        DATEDIF('Loan Tape (S&amp;P)'!K4813, TODAY(), "M")&lt;18),
    1.10,
    1.00)</f>
        <v/>
      </c>
      <c r="O4813">
        <f>IF('Loan Tape (S&amp;P)'!T4813="Yes",
    1.35,
    1.00)</f>
        <v/>
      </c>
      <c r="P4813">
        <f>IF('Loan Tape (S&amp;P)'!S4813="Yes",
    1.15,
    1.00)</f>
        <v/>
      </c>
      <c r="Q4813">
        <f>IF('Loan Tape (S&amp;P)'!V4813="Yes",
    1.20,
    1.00)</f>
        <v/>
      </c>
      <c r="T4813">
        <f>LET(
    payment_method,'Loan Tape (S&amp;P)'!P4813,
    occupancy,'Loan Tape (S&amp;P)'!N4813,
    maturity_date,'Loan Tape (S&amp;P)'!L4813,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14">
      <c r="J4814">
        <f>LET(
    lien,'Loan Tape (S&amp;P)'!Q4814,
    IF(lien="First",1.00,
        IF(lien="Second",1.50,
            1.70)))</f>
        <v/>
      </c>
      <c r="K4814">
        <f>LET(
    purpose,'Loan Tape (S&amp;P)'!R4814,
    IF(purpose="Purchase",1.00,
        IF(purpose="Remortgage",1.00,
            1.20)))</f>
        <v/>
      </c>
      <c r="L4814">
        <f>LET(
    arrears_months,'Loan Tape (S&amp;P)'!AN4814,
    IF(arrears_months=0,1.00,
    IF(arrears_months=1,3.00,
    IF(arrears_months=2,5.00,
    IF(arrears_months=3,8.00,
    IF(arrears_months=4,10.00,
    IF(arrears_months=5,12.00,15.00)))))))</f>
        <v/>
      </c>
      <c r="M4814">
        <f>LET(
    seasoning_years,DATEDIF('Loan Tape (S&amp;P)'!K4814,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14">
        <f>IF(AND('Loan Tape (S&amp;P)'!U4814="Yes",
        'Loan Tape (S&amp;P)'!T4814&lt;&gt;"Yes",
        DATEDIF('Loan Tape (S&amp;P)'!K4814, TODAY(), "M")&lt;18),
    1.10,
    1.00)</f>
        <v/>
      </c>
      <c r="O4814">
        <f>IF('Loan Tape (S&amp;P)'!T4814="Yes",
    1.35,
    1.00)</f>
        <v/>
      </c>
      <c r="P4814">
        <f>IF('Loan Tape (S&amp;P)'!S4814="Yes",
    1.15,
    1.00)</f>
        <v/>
      </c>
      <c r="Q4814">
        <f>IF('Loan Tape (S&amp;P)'!V4814="Yes",
    1.20,
    1.00)</f>
        <v/>
      </c>
      <c r="T4814">
        <f>LET(
    payment_method,'Loan Tape (S&amp;P)'!P4814,
    occupancy,'Loan Tape (S&amp;P)'!N4814,
    maturity_date,'Loan Tape (S&amp;P)'!L4814,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15">
      <c r="J4815">
        <f>LET(
    lien,'Loan Tape (S&amp;P)'!Q4815,
    IF(lien="First",1.00,
        IF(lien="Second",1.50,
            1.70)))</f>
        <v/>
      </c>
      <c r="K4815">
        <f>LET(
    purpose,'Loan Tape (S&amp;P)'!R4815,
    IF(purpose="Purchase",1.00,
        IF(purpose="Remortgage",1.00,
            1.20)))</f>
        <v/>
      </c>
      <c r="L4815">
        <f>LET(
    arrears_months,'Loan Tape (S&amp;P)'!AN4815,
    IF(arrears_months=0,1.00,
    IF(arrears_months=1,3.00,
    IF(arrears_months=2,5.00,
    IF(arrears_months=3,8.00,
    IF(arrears_months=4,10.00,
    IF(arrears_months=5,12.00,15.00)))))))</f>
        <v/>
      </c>
      <c r="M4815">
        <f>LET(
    seasoning_years,DATEDIF('Loan Tape (S&amp;P)'!K4815,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15">
        <f>IF(AND('Loan Tape (S&amp;P)'!U4815="Yes",
        'Loan Tape (S&amp;P)'!T4815&lt;&gt;"Yes",
        DATEDIF('Loan Tape (S&amp;P)'!K4815, TODAY(), "M")&lt;18),
    1.10,
    1.00)</f>
        <v/>
      </c>
      <c r="O4815">
        <f>IF('Loan Tape (S&amp;P)'!T4815="Yes",
    1.35,
    1.00)</f>
        <v/>
      </c>
      <c r="P4815">
        <f>IF('Loan Tape (S&amp;P)'!S4815="Yes",
    1.15,
    1.00)</f>
        <v/>
      </c>
      <c r="Q4815">
        <f>IF('Loan Tape (S&amp;P)'!V4815="Yes",
    1.20,
    1.00)</f>
        <v/>
      </c>
      <c r="T4815">
        <f>LET(
    payment_method,'Loan Tape (S&amp;P)'!P4815,
    occupancy,'Loan Tape (S&amp;P)'!N4815,
    maturity_date,'Loan Tape (S&amp;P)'!L4815,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16">
      <c r="J4816">
        <f>LET(
    lien,'Loan Tape (S&amp;P)'!Q4816,
    IF(lien="First",1.00,
        IF(lien="Second",1.50,
            1.70)))</f>
        <v/>
      </c>
      <c r="K4816">
        <f>LET(
    purpose,'Loan Tape (S&amp;P)'!R4816,
    IF(purpose="Purchase",1.00,
        IF(purpose="Remortgage",1.00,
            1.20)))</f>
        <v/>
      </c>
      <c r="L4816">
        <f>LET(
    arrears_months,'Loan Tape (S&amp;P)'!AN4816,
    IF(arrears_months=0,1.00,
    IF(arrears_months=1,3.00,
    IF(arrears_months=2,5.00,
    IF(arrears_months=3,8.00,
    IF(arrears_months=4,10.00,
    IF(arrears_months=5,12.00,15.00)))))))</f>
        <v/>
      </c>
      <c r="M4816">
        <f>LET(
    seasoning_years,DATEDIF('Loan Tape (S&amp;P)'!K4816,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16">
        <f>IF(AND('Loan Tape (S&amp;P)'!U4816="Yes",
        'Loan Tape (S&amp;P)'!T4816&lt;&gt;"Yes",
        DATEDIF('Loan Tape (S&amp;P)'!K4816, TODAY(), "M")&lt;18),
    1.10,
    1.00)</f>
        <v/>
      </c>
      <c r="O4816">
        <f>IF('Loan Tape (S&amp;P)'!T4816="Yes",
    1.35,
    1.00)</f>
        <v/>
      </c>
      <c r="P4816">
        <f>IF('Loan Tape (S&amp;P)'!S4816="Yes",
    1.15,
    1.00)</f>
        <v/>
      </c>
      <c r="Q4816">
        <f>IF('Loan Tape (S&amp;P)'!V4816="Yes",
    1.20,
    1.00)</f>
        <v/>
      </c>
      <c r="T4816">
        <f>LET(
    payment_method,'Loan Tape (S&amp;P)'!P4816,
    occupancy,'Loan Tape (S&amp;P)'!N4816,
    maturity_date,'Loan Tape (S&amp;P)'!L4816,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17">
      <c r="J4817">
        <f>LET(
    lien,'Loan Tape (S&amp;P)'!Q4817,
    IF(lien="First",1.00,
        IF(lien="Second",1.50,
            1.70)))</f>
        <v/>
      </c>
      <c r="K4817">
        <f>LET(
    purpose,'Loan Tape (S&amp;P)'!R4817,
    IF(purpose="Purchase",1.00,
        IF(purpose="Remortgage",1.00,
            1.20)))</f>
        <v/>
      </c>
      <c r="L4817">
        <f>LET(
    arrears_months,'Loan Tape (S&amp;P)'!AN4817,
    IF(arrears_months=0,1.00,
    IF(arrears_months=1,3.00,
    IF(arrears_months=2,5.00,
    IF(arrears_months=3,8.00,
    IF(arrears_months=4,10.00,
    IF(arrears_months=5,12.00,15.00)))))))</f>
        <v/>
      </c>
      <c r="M4817">
        <f>LET(
    seasoning_years,DATEDIF('Loan Tape (S&amp;P)'!K4817,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17">
        <f>IF(AND('Loan Tape (S&amp;P)'!U4817="Yes",
        'Loan Tape (S&amp;P)'!T4817&lt;&gt;"Yes",
        DATEDIF('Loan Tape (S&amp;P)'!K4817, TODAY(), "M")&lt;18),
    1.10,
    1.00)</f>
        <v/>
      </c>
      <c r="O4817">
        <f>IF('Loan Tape (S&amp;P)'!T4817="Yes",
    1.35,
    1.00)</f>
        <v/>
      </c>
      <c r="P4817">
        <f>IF('Loan Tape (S&amp;P)'!S4817="Yes",
    1.15,
    1.00)</f>
        <v/>
      </c>
      <c r="Q4817">
        <f>IF('Loan Tape (S&amp;P)'!V4817="Yes",
    1.20,
    1.00)</f>
        <v/>
      </c>
      <c r="T4817">
        <f>LET(
    payment_method,'Loan Tape (S&amp;P)'!P4817,
    occupancy,'Loan Tape (S&amp;P)'!N4817,
    maturity_date,'Loan Tape (S&amp;P)'!L4817,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18">
      <c r="J4818">
        <f>LET(
    lien,'Loan Tape (S&amp;P)'!Q4818,
    IF(lien="First",1.00,
        IF(lien="Second",1.50,
            1.70)))</f>
        <v/>
      </c>
      <c r="K4818">
        <f>LET(
    purpose,'Loan Tape (S&amp;P)'!R4818,
    IF(purpose="Purchase",1.00,
        IF(purpose="Remortgage",1.00,
            1.20)))</f>
        <v/>
      </c>
      <c r="L4818">
        <f>LET(
    arrears_months,'Loan Tape (S&amp;P)'!AN4818,
    IF(arrears_months=0,1.00,
    IF(arrears_months=1,3.00,
    IF(arrears_months=2,5.00,
    IF(arrears_months=3,8.00,
    IF(arrears_months=4,10.00,
    IF(arrears_months=5,12.00,15.00)))))))</f>
        <v/>
      </c>
      <c r="M4818">
        <f>LET(
    seasoning_years,DATEDIF('Loan Tape (S&amp;P)'!K4818,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18">
        <f>IF(AND('Loan Tape (S&amp;P)'!U4818="Yes",
        'Loan Tape (S&amp;P)'!T4818&lt;&gt;"Yes",
        DATEDIF('Loan Tape (S&amp;P)'!K4818, TODAY(), "M")&lt;18),
    1.10,
    1.00)</f>
        <v/>
      </c>
      <c r="O4818">
        <f>IF('Loan Tape (S&amp;P)'!T4818="Yes",
    1.35,
    1.00)</f>
        <v/>
      </c>
      <c r="P4818">
        <f>IF('Loan Tape (S&amp;P)'!S4818="Yes",
    1.15,
    1.00)</f>
        <v/>
      </c>
      <c r="Q4818">
        <f>IF('Loan Tape (S&amp;P)'!V4818="Yes",
    1.20,
    1.00)</f>
        <v/>
      </c>
      <c r="T4818">
        <f>LET(
    payment_method,'Loan Tape (S&amp;P)'!P4818,
    occupancy,'Loan Tape (S&amp;P)'!N4818,
    maturity_date,'Loan Tape (S&amp;P)'!L4818,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19">
      <c r="J4819">
        <f>LET(
    lien,'Loan Tape (S&amp;P)'!Q4819,
    IF(lien="First",1.00,
        IF(lien="Second",1.50,
            1.70)))</f>
        <v/>
      </c>
      <c r="K4819">
        <f>LET(
    purpose,'Loan Tape (S&amp;P)'!R4819,
    IF(purpose="Purchase",1.00,
        IF(purpose="Remortgage",1.00,
            1.20)))</f>
        <v/>
      </c>
      <c r="L4819">
        <f>LET(
    arrears_months,'Loan Tape (S&amp;P)'!AN4819,
    IF(arrears_months=0,1.00,
    IF(arrears_months=1,3.00,
    IF(arrears_months=2,5.00,
    IF(arrears_months=3,8.00,
    IF(arrears_months=4,10.00,
    IF(arrears_months=5,12.00,15.00)))))))</f>
        <v/>
      </c>
      <c r="M4819">
        <f>LET(
    seasoning_years,DATEDIF('Loan Tape (S&amp;P)'!K4819,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19">
        <f>IF(AND('Loan Tape (S&amp;P)'!U4819="Yes",
        'Loan Tape (S&amp;P)'!T4819&lt;&gt;"Yes",
        DATEDIF('Loan Tape (S&amp;P)'!K4819, TODAY(), "M")&lt;18),
    1.10,
    1.00)</f>
        <v/>
      </c>
      <c r="O4819">
        <f>IF('Loan Tape (S&amp;P)'!T4819="Yes",
    1.35,
    1.00)</f>
        <v/>
      </c>
      <c r="P4819">
        <f>IF('Loan Tape (S&amp;P)'!S4819="Yes",
    1.15,
    1.00)</f>
        <v/>
      </c>
      <c r="Q4819">
        <f>IF('Loan Tape (S&amp;P)'!V4819="Yes",
    1.20,
    1.00)</f>
        <v/>
      </c>
      <c r="T4819">
        <f>LET(
    payment_method,'Loan Tape (S&amp;P)'!P4819,
    occupancy,'Loan Tape (S&amp;P)'!N4819,
    maturity_date,'Loan Tape (S&amp;P)'!L4819,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20">
      <c r="J4820">
        <f>LET(
    lien,'Loan Tape (S&amp;P)'!Q4820,
    IF(lien="First",1.00,
        IF(lien="Second",1.50,
            1.70)))</f>
        <v/>
      </c>
      <c r="K4820">
        <f>LET(
    purpose,'Loan Tape (S&amp;P)'!R4820,
    IF(purpose="Purchase",1.00,
        IF(purpose="Remortgage",1.00,
            1.20)))</f>
        <v/>
      </c>
      <c r="L4820">
        <f>LET(
    arrears_months,'Loan Tape (S&amp;P)'!AN4820,
    IF(arrears_months=0,1.00,
    IF(arrears_months=1,3.00,
    IF(arrears_months=2,5.00,
    IF(arrears_months=3,8.00,
    IF(arrears_months=4,10.00,
    IF(arrears_months=5,12.00,15.00)))))))</f>
        <v/>
      </c>
      <c r="M4820">
        <f>LET(
    seasoning_years,DATEDIF('Loan Tape (S&amp;P)'!K4820,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20">
        <f>IF(AND('Loan Tape (S&amp;P)'!U4820="Yes",
        'Loan Tape (S&amp;P)'!T4820&lt;&gt;"Yes",
        DATEDIF('Loan Tape (S&amp;P)'!K4820, TODAY(), "M")&lt;18),
    1.10,
    1.00)</f>
        <v/>
      </c>
      <c r="O4820">
        <f>IF('Loan Tape (S&amp;P)'!T4820="Yes",
    1.35,
    1.00)</f>
        <v/>
      </c>
      <c r="P4820">
        <f>IF('Loan Tape (S&amp;P)'!S4820="Yes",
    1.15,
    1.00)</f>
        <v/>
      </c>
      <c r="Q4820">
        <f>IF('Loan Tape (S&amp;P)'!V4820="Yes",
    1.20,
    1.00)</f>
        <v/>
      </c>
      <c r="T4820">
        <f>LET(
    payment_method,'Loan Tape (S&amp;P)'!P4820,
    occupancy,'Loan Tape (S&amp;P)'!N4820,
    maturity_date,'Loan Tape (S&amp;P)'!L4820,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21">
      <c r="J4821">
        <f>LET(
    lien,'Loan Tape (S&amp;P)'!Q4821,
    IF(lien="First",1.00,
        IF(lien="Second",1.50,
            1.70)))</f>
        <v/>
      </c>
      <c r="K4821">
        <f>LET(
    purpose,'Loan Tape (S&amp;P)'!R4821,
    IF(purpose="Purchase",1.00,
        IF(purpose="Remortgage",1.00,
            1.20)))</f>
        <v/>
      </c>
      <c r="L4821">
        <f>LET(
    arrears_months,'Loan Tape (S&amp;P)'!AN4821,
    IF(arrears_months=0,1.00,
    IF(arrears_months=1,3.00,
    IF(arrears_months=2,5.00,
    IF(arrears_months=3,8.00,
    IF(arrears_months=4,10.00,
    IF(arrears_months=5,12.00,15.00)))))))</f>
        <v/>
      </c>
      <c r="M4821">
        <f>LET(
    seasoning_years,DATEDIF('Loan Tape (S&amp;P)'!K4821,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21">
        <f>IF(AND('Loan Tape (S&amp;P)'!U4821="Yes",
        'Loan Tape (S&amp;P)'!T4821&lt;&gt;"Yes",
        DATEDIF('Loan Tape (S&amp;P)'!K4821, TODAY(), "M")&lt;18),
    1.10,
    1.00)</f>
        <v/>
      </c>
      <c r="O4821">
        <f>IF('Loan Tape (S&amp;P)'!T4821="Yes",
    1.35,
    1.00)</f>
        <v/>
      </c>
      <c r="P4821">
        <f>IF('Loan Tape (S&amp;P)'!S4821="Yes",
    1.15,
    1.00)</f>
        <v/>
      </c>
      <c r="Q4821">
        <f>IF('Loan Tape (S&amp;P)'!V4821="Yes",
    1.20,
    1.00)</f>
        <v/>
      </c>
      <c r="T4821">
        <f>LET(
    payment_method,'Loan Tape (S&amp;P)'!P4821,
    occupancy,'Loan Tape (S&amp;P)'!N4821,
    maturity_date,'Loan Tape (S&amp;P)'!L4821,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22">
      <c r="J4822">
        <f>LET(
    lien,'Loan Tape (S&amp;P)'!Q4822,
    IF(lien="First",1.00,
        IF(lien="Second",1.50,
            1.70)))</f>
        <v/>
      </c>
      <c r="K4822">
        <f>LET(
    purpose,'Loan Tape (S&amp;P)'!R4822,
    IF(purpose="Purchase",1.00,
        IF(purpose="Remortgage",1.00,
            1.20)))</f>
        <v/>
      </c>
      <c r="L4822">
        <f>LET(
    arrears_months,'Loan Tape (S&amp;P)'!AN4822,
    IF(arrears_months=0,1.00,
    IF(arrears_months=1,3.00,
    IF(arrears_months=2,5.00,
    IF(arrears_months=3,8.00,
    IF(arrears_months=4,10.00,
    IF(arrears_months=5,12.00,15.00)))))))</f>
        <v/>
      </c>
      <c r="M4822">
        <f>LET(
    seasoning_years,DATEDIF('Loan Tape (S&amp;P)'!K4822,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22">
        <f>IF(AND('Loan Tape (S&amp;P)'!U4822="Yes",
        'Loan Tape (S&amp;P)'!T4822&lt;&gt;"Yes",
        DATEDIF('Loan Tape (S&amp;P)'!K4822, TODAY(), "M")&lt;18),
    1.10,
    1.00)</f>
        <v/>
      </c>
      <c r="O4822">
        <f>IF('Loan Tape (S&amp;P)'!T4822="Yes",
    1.35,
    1.00)</f>
        <v/>
      </c>
      <c r="P4822">
        <f>IF('Loan Tape (S&amp;P)'!S4822="Yes",
    1.15,
    1.00)</f>
        <v/>
      </c>
      <c r="Q4822">
        <f>IF('Loan Tape (S&amp;P)'!V4822="Yes",
    1.20,
    1.00)</f>
        <v/>
      </c>
      <c r="T4822">
        <f>LET(
    payment_method,'Loan Tape (S&amp;P)'!P4822,
    occupancy,'Loan Tape (S&amp;P)'!N4822,
    maturity_date,'Loan Tape (S&amp;P)'!L4822,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23">
      <c r="J4823">
        <f>LET(
    lien,'Loan Tape (S&amp;P)'!Q4823,
    IF(lien="First",1.00,
        IF(lien="Second",1.50,
            1.70)))</f>
        <v/>
      </c>
      <c r="K4823">
        <f>LET(
    purpose,'Loan Tape (S&amp;P)'!R4823,
    IF(purpose="Purchase",1.00,
        IF(purpose="Remortgage",1.00,
            1.20)))</f>
        <v/>
      </c>
      <c r="L4823">
        <f>LET(
    arrears_months,'Loan Tape (S&amp;P)'!AN4823,
    IF(arrears_months=0,1.00,
    IF(arrears_months=1,3.00,
    IF(arrears_months=2,5.00,
    IF(arrears_months=3,8.00,
    IF(arrears_months=4,10.00,
    IF(arrears_months=5,12.00,15.00)))))))</f>
        <v/>
      </c>
      <c r="M4823">
        <f>LET(
    seasoning_years,DATEDIF('Loan Tape (S&amp;P)'!K4823,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23">
        <f>IF(AND('Loan Tape (S&amp;P)'!U4823="Yes",
        'Loan Tape (S&amp;P)'!T4823&lt;&gt;"Yes",
        DATEDIF('Loan Tape (S&amp;P)'!K4823, TODAY(), "M")&lt;18),
    1.10,
    1.00)</f>
        <v/>
      </c>
      <c r="O4823">
        <f>IF('Loan Tape (S&amp;P)'!T4823="Yes",
    1.35,
    1.00)</f>
        <v/>
      </c>
      <c r="P4823">
        <f>IF('Loan Tape (S&amp;P)'!S4823="Yes",
    1.15,
    1.00)</f>
        <v/>
      </c>
      <c r="Q4823">
        <f>IF('Loan Tape (S&amp;P)'!V4823="Yes",
    1.20,
    1.00)</f>
        <v/>
      </c>
      <c r="T4823">
        <f>LET(
    payment_method,'Loan Tape (S&amp;P)'!P4823,
    occupancy,'Loan Tape (S&amp;P)'!N4823,
    maturity_date,'Loan Tape (S&amp;P)'!L4823,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24">
      <c r="J4824">
        <f>LET(
    lien,'Loan Tape (S&amp;P)'!Q4824,
    IF(lien="First",1.00,
        IF(lien="Second",1.50,
            1.70)))</f>
        <v/>
      </c>
      <c r="K4824">
        <f>LET(
    purpose,'Loan Tape (S&amp;P)'!R4824,
    IF(purpose="Purchase",1.00,
        IF(purpose="Remortgage",1.00,
            1.20)))</f>
        <v/>
      </c>
      <c r="L4824">
        <f>LET(
    arrears_months,'Loan Tape (S&amp;P)'!AN4824,
    IF(arrears_months=0,1.00,
    IF(arrears_months=1,3.00,
    IF(arrears_months=2,5.00,
    IF(arrears_months=3,8.00,
    IF(arrears_months=4,10.00,
    IF(arrears_months=5,12.00,15.00)))))))</f>
        <v/>
      </c>
      <c r="M4824">
        <f>LET(
    seasoning_years,DATEDIF('Loan Tape (S&amp;P)'!K4824,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24">
        <f>IF(AND('Loan Tape (S&amp;P)'!U4824="Yes",
        'Loan Tape (S&amp;P)'!T4824&lt;&gt;"Yes",
        DATEDIF('Loan Tape (S&amp;P)'!K4824, TODAY(), "M")&lt;18),
    1.10,
    1.00)</f>
        <v/>
      </c>
      <c r="O4824">
        <f>IF('Loan Tape (S&amp;P)'!T4824="Yes",
    1.35,
    1.00)</f>
        <v/>
      </c>
      <c r="P4824">
        <f>IF('Loan Tape (S&amp;P)'!S4824="Yes",
    1.15,
    1.00)</f>
        <v/>
      </c>
      <c r="Q4824">
        <f>IF('Loan Tape (S&amp;P)'!V4824="Yes",
    1.20,
    1.00)</f>
        <v/>
      </c>
      <c r="T4824">
        <f>LET(
    payment_method,'Loan Tape (S&amp;P)'!P4824,
    occupancy,'Loan Tape (S&amp;P)'!N4824,
    maturity_date,'Loan Tape (S&amp;P)'!L4824,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25">
      <c r="J4825">
        <f>LET(
    lien,'Loan Tape (S&amp;P)'!Q4825,
    IF(lien="First",1.00,
        IF(lien="Second",1.50,
            1.70)))</f>
        <v/>
      </c>
      <c r="K4825">
        <f>LET(
    purpose,'Loan Tape (S&amp;P)'!R4825,
    IF(purpose="Purchase",1.00,
        IF(purpose="Remortgage",1.00,
            1.20)))</f>
        <v/>
      </c>
      <c r="L4825">
        <f>LET(
    arrears_months,'Loan Tape (S&amp;P)'!AN4825,
    IF(arrears_months=0,1.00,
    IF(arrears_months=1,3.00,
    IF(arrears_months=2,5.00,
    IF(arrears_months=3,8.00,
    IF(arrears_months=4,10.00,
    IF(arrears_months=5,12.00,15.00)))))))</f>
        <v/>
      </c>
      <c r="M4825">
        <f>LET(
    seasoning_years,DATEDIF('Loan Tape (S&amp;P)'!K4825,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25">
        <f>IF(AND('Loan Tape (S&amp;P)'!U4825="Yes",
        'Loan Tape (S&amp;P)'!T4825&lt;&gt;"Yes",
        DATEDIF('Loan Tape (S&amp;P)'!K4825, TODAY(), "M")&lt;18),
    1.10,
    1.00)</f>
        <v/>
      </c>
      <c r="O4825">
        <f>IF('Loan Tape (S&amp;P)'!T4825="Yes",
    1.35,
    1.00)</f>
        <v/>
      </c>
      <c r="P4825">
        <f>IF('Loan Tape (S&amp;P)'!S4825="Yes",
    1.15,
    1.00)</f>
        <v/>
      </c>
      <c r="Q4825">
        <f>IF('Loan Tape (S&amp;P)'!V4825="Yes",
    1.20,
    1.00)</f>
        <v/>
      </c>
      <c r="T4825">
        <f>LET(
    payment_method,'Loan Tape (S&amp;P)'!P4825,
    occupancy,'Loan Tape (S&amp;P)'!N4825,
    maturity_date,'Loan Tape (S&amp;P)'!L4825,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26">
      <c r="J4826">
        <f>LET(
    lien,'Loan Tape (S&amp;P)'!Q4826,
    IF(lien="First",1.00,
        IF(lien="Second",1.50,
            1.70)))</f>
        <v/>
      </c>
      <c r="K4826">
        <f>LET(
    purpose,'Loan Tape (S&amp;P)'!R4826,
    IF(purpose="Purchase",1.00,
        IF(purpose="Remortgage",1.00,
            1.20)))</f>
        <v/>
      </c>
      <c r="L4826">
        <f>LET(
    arrears_months,'Loan Tape (S&amp;P)'!AN4826,
    IF(arrears_months=0,1.00,
    IF(arrears_months=1,3.00,
    IF(arrears_months=2,5.00,
    IF(arrears_months=3,8.00,
    IF(arrears_months=4,10.00,
    IF(arrears_months=5,12.00,15.00)))))))</f>
        <v/>
      </c>
      <c r="M4826">
        <f>LET(
    seasoning_years,DATEDIF('Loan Tape (S&amp;P)'!K4826,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26">
        <f>IF(AND('Loan Tape (S&amp;P)'!U4826="Yes",
        'Loan Tape (S&amp;P)'!T4826&lt;&gt;"Yes",
        DATEDIF('Loan Tape (S&amp;P)'!K4826, TODAY(), "M")&lt;18),
    1.10,
    1.00)</f>
        <v/>
      </c>
      <c r="O4826">
        <f>IF('Loan Tape (S&amp;P)'!T4826="Yes",
    1.35,
    1.00)</f>
        <v/>
      </c>
      <c r="P4826">
        <f>IF('Loan Tape (S&amp;P)'!S4826="Yes",
    1.15,
    1.00)</f>
        <v/>
      </c>
      <c r="Q4826">
        <f>IF('Loan Tape (S&amp;P)'!V4826="Yes",
    1.20,
    1.00)</f>
        <v/>
      </c>
      <c r="T4826">
        <f>LET(
    payment_method,'Loan Tape (S&amp;P)'!P4826,
    occupancy,'Loan Tape (S&amp;P)'!N4826,
    maturity_date,'Loan Tape (S&amp;P)'!L4826,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27">
      <c r="J4827">
        <f>LET(
    lien,'Loan Tape (S&amp;P)'!Q4827,
    IF(lien="First",1.00,
        IF(lien="Second",1.50,
            1.70)))</f>
        <v/>
      </c>
      <c r="K4827">
        <f>LET(
    purpose,'Loan Tape (S&amp;P)'!R4827,
    IF(purpose="Purchase",1.00,
        IF(purpose="Remortgage",1.00,
            1.20)))</f>
        <v/>
      </c>
      <c r="L4827">
        <f>LET(
    arrears_months,'Loan Tape (S&amp;P)'!AN4827,
    IF(arrears_months=0,1.00,
    IF(arrears_months=1,3.00,
    IF(arrears_months=2,5.00,
    IF(arrears_months=3,8.00,
    IF(arrears_months=4,10.00,
    IF(arrears_months=5,12.00,15.00)))))))</f>
        <v/>
      </c>
      <c r="M4827">
        <f>LET(
    seasoning_years,DATEDIF('Loan Tape (S&amp;P)'!K4827,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27">
        <f>IF(AND('Loan Tape (S&amp;P)'!U4827="Yes",
        'Loan Tape (S&amp;P)'!T4827&lt;&gt;"Yes",
        DATEDIF('Loan Tape (S&amp;P)'!K4827, TODAY(), "M")&lt;18),
    1.10,
    1.00)</f>
        <v/>
      </c>
      <c r="O4827">
        <f>IF('Loan Tape (S&amp;P)'!T4827="Yes",
    1.35,
    1.00)</f>
        <v/>
      </c>
      <c r="P4827">
        <f>IF('Loan Tape (S&amp;P)'!S4827="Yes",
    1.15,
    1.00)</f>
        <v/>
      </c>
      <c r="Q4827">
        <f>IF('Loan Tape (S&amp;P)'!V4827="Yes",
    1.20,
    1.00)</f>
        <v/>
      </c>
      <c r="T4827">
        <f>LET(
    payment_method,'Loan Tape (S&amp;P)'!P4827,
    occupancy,'Loan Tape (S&amp;P)'!N4827,
    maturity_date,'Loan Tape (S&amp;P)'!L4827,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28">
      <c r="J4828">
        <f>LET(
    lien,'Loan Tape (S&amp;P)'!Q4828,
    IF(lien="First",1.00,
        IF(lien="Second",1.50,
            1.70)))</f>
        <v/>
      </c>
      <c r="K4828">
        <f>LET(
    purpose,'Loan Tape (S&amp;P)'!R4828,
    IF(purpose="Purchase",1.00,
        IF(purpose="Remortgage",1.00,
            1.20)))</f>
        <v/>
      </c>
      <c r="L4828">
        <f>LET(
    arrears_months,'Loan Tape (S&amp;P)'!AN4828,
    IF(arrears_months=0,1.00,
    IF(arrears_months=1,3.00,
    IF(arrears_months=2,5.00,
    IF(arrears_months=3,8.00,
    IF(arrears_months=4,10.00,
    IF(arrears_months=5,12.00,15.00)))))))</f>
        <v/>
      </c>
      <c r="M4828">
        <f>LET(
    seasoning_years,DATEDIF('Loan Tape (S&amp;P)'!K4828,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28">
        <f>IF(AND('Loan Tape (S&amp;P)'!U4828="Yes",
        'Loan Tape (S&amp;P)'!T4828&lt;&gt;"Yes",
        DATEDIF('Loan Tape (S&amp;P)'!K4828, TODAY(), "M")&lt;18),
    1.10,
    1.00)</f>
        <v/>
      </c>
      <c r="O4828">
        <f>IF('Loan Tape (S&amp;P)'!T4828="Yes",
    1.35,
    1.00)</f>
        <v/>
      </c>
      <c r="P4828">
        <f>IF('Loan Tape (S&amp;P)'!S4828="Yes",
    1.15,
    1.00)</f>
        <v/>
      </c>
      <c r="Q4828">
        <f>IF('Loan Tape (S&amp;P)'!V4828="Yes",
    1.20,
    1.00)</f>
        <v/>
      </c>
      <c r="T4828">
        <f>LET(
    payment_method,'Loan Tape (S&amp;P)'!P4828,
    occupancy,'Loan Tape (S&amp;P)'!N4828,
    maturity_date,'Loan Tape (S&amp;P)'!L4828,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29">
      <c r="J4829">
        <f>LET(
    lien,'Loan Tape (S&amp;P)'!Q4829,
    IF(lien="First",1.00,
        IF(lien="Second",1.50,
            1.70)))</f>
        <v/>
      </c>
      <c r="K4829">
        <f>LET(
    purpose,'Loan Tape (S&amp;P)'!R4829,
    IF(purpose="Purchase",1.00,
        IF(purpose="Remortgage",1.00,
            1.20)))</f>
        <v/>
      </c>
      <c r="L4829">
        <f>LET(
    arrears_months,'Loan Tape (S&amp;P)'!AN4829,
    IF(arrears_months=0,1.00,
    IF(arrears_months=1,3.00,
    IF(arrears_months=2,5.00,
    IF(arrears_months=3,8.00,
    IF(arrears_months=4,10.00,
    IF(arrears_months=5,12.00,15.00)))))))</f>
        <v/>
      </c>
      <c r="M4829">
        <f>LET(
    seasoning_years,DATEDIF('Loan Tape (S&amp;P)'!K4829,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29">
        <f>IF(AND('Loan Tape (S&amp;P)'!U4829="Yes",
        'Loan Tape (S&amp;P)'!T4829&lt;&gt;"Yes",
        DATEDIF('Loan Tape (S&amp;P)'!K4829, TODAY(), "M")&lt;18),
    1.10,
    1.00)</f>
        <v/>
      </c>
      <c r="O4829">
        <f>IF('Loan Tape (S&amp;P)'!T4829="Yes",
    1.35,
    1.00)</f>
        <v/>
      </c>
      <c r="P4829">
        <f>IF('Loan Tape (S&amp;P)'!S4829="Yes",
    1.15,
    1.00)</f>
        <v/>
      </c>
      <c r="Q4829">
        <f>IF('Loan Tape (S&amp;P)'!V4829="Yes",
    1.20,
    1.00)</f>
        <v/>
      </c>
      <c r="T4829">
        <f>LET(
    payment_method,'Loan Tape (S&amp;P)'!P4829,
    occupancy,'Loan Tape (S&amp;P)'!N4829,
    maturity_date,'Loan Tape (S&amp;P)'!L4829,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30">
      <c r="J4830">
        <f>LET(
    lien,'Loan Tape (S&amp;P)'!Q4830,
    IF(lien="First",1.00,
        IF(lien="Second",1.50,
            1.70)))</f>
        <v/>
      </c>
      <c r="K4830">
        <f>LET(
    purpose,'Loan Tape (S&amp;P)'!R4830,
    IF(purpose="Purchase",1.00,
        IF(purpose="Remortgage",1.00,
            1.20)))</f>
        <v/>
      </c>
      <c r="L4830">
        <f>LET(
    arrears_months,'Loan Tape (S&amp;P)'!AN4830,
    IF(arrears_months=0,1.00,
    IF(arrears_months=1,3.00,
    IF(arrears_months=2,5.00,
    IF(arrears_months=3,8.00,
    IF(arrears_months=4,10.00,
    IF(arrears_months=5,12.00,15.00)))))))</f>
        <v/>
      </c>
      <c r="M4830">
        <f>LET(
    seasoning_years,DATEDIF('Loan Tape (S&amp;P)'!K4830,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30">
        <f>IF(AND('Loan Tape (S&amp;P)'!U4830="Yes",
        'Loan Tape (S&amp;P)'!T4830&lt;&gt;"Yes",
        DATEDIF('Loan Tape (S&amp;P)'!K4830, TODAY(), "M")&lt;18),
    1.10,
    1.00)</f>
        <v/>
      </c>
      <c r="O4830">
        <f>IF('Loan Tape (S&amp;P)'!T4830="Yes",
    1.35,
    1.00)</f>
        <v/>
      </c>
      <c r="P4830">
        <f>IF('Loan Tape (S&amp;P)'!S4830="Yes",
    1.15,
    1.00)</f>
        <v/>
      </c>
      <c r="Q4830">
        <f>IF('Loan Tape (S&amp;P)'!V4830="Yes",
    1.20,
    1.00)</f>
        <v/>
      </c>
      <c r="T4830">
        <f>LET(
    payment_method,'Loan Tape (S&amp;P)'!P4830,
    occupancy,'Loan Tape (S&amp;P)'!N4830,
    maturity_date,'Loan Tape (S&amp;P)'!L4830,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31">
      <c r="J4831">
        <f>LET(
    lien,'Loan Tape (S&amp;P)'!Q4831,
    IF(lien="First",1.00,
        IF(lien="Second",1.50,
            1.70)))</f>
        <v/>
      </c>
      <c r="K4831">
        <f>LET(
    purpose,'Loan Tape (S&amp;P)'!R4831,
    IF(purpose="Purchase",1.00,
        IF(purpose="Remortgage",1.00,
            1.20)))</f>
        <v/>
      </c>
      <c r="L4831">
        <f>LET(
    arrears_months,'Loan Tape (S&amp;P)'!AN4831,
    IF(arrears_months=0,1.00,
    IF(arrears_months=1,3.00,
    IF(arrears_months=2,5.00,
    IF(arrears_months=3,8.00,
    IF(arrears_months=4,10.00,
    IF(arrears_months=5,12.00,15.00)))))))</f>
        <v/>
      </c>
      <c r="M4831">
        <f>LET(
    seasoning_years,DATEDIF('Loan Tape (S&amp;P)'!K4831,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31">
        <f>IF(AND('Loan Tape (S&amp;P)'!U4831="Yes",
        'Loan Tape (S&amp;P)'!T4831&lt;&gt;"Yes",
        DATEDIF('Loan Tape (S&amp;P)'!K4831, TODAY(), "M")&lt;18),
    1.10,
    1.00)</f>
        <v/>
      </c>
      <c r="O4831">
        <f>IF('Loan Tape (S&amp;P)'!T4831="Yes",
    1.35,
    1.00)</f>
        <v/>
      </c>
      <c r="P4831">
        <f>IF('Loan Tape (S&amp;P)'!S4831="Yes",
    1.15,
    1.00)</f>
        <v/>
      </c>
      <c r="Q4831">
        <f>IF('Loan Tape (S&amp;P)'!V4831="Yes",
    1.20,
    1.00)</f>
        <v/>
      </c>
      <c r="T4831">
        <f>LET(
    payment_method,'Loan Tape (S&amp;P)'!P4831,
    occupancy,'Loan Tape (S&amp;P)'!N4831,
    maturity_date,'Loan Tape (S&amp;P)'!L4831,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32">
      <c r="J4832">
        <f>LET(
    lien,'Loan Tape (S&amp;P)'!Q4832,
    IF(lien="First",1.00,
        IF(lien="Second",1.50,
            1.70)))</f>
        <v/>
      </c>
      <c r="K4832">
        <f>LET(
    purpose,'Loan Tape (S&amp;P)'!R4832,
    IF(purpose="Purchase",1.00,
        IF(purpose="Remortgage",1.00,
            1.20)))</f>
        <v/>
      </c>
      <c r="L4832">
        <f>LET(
    arrears_months,'Loan Tape (S&amp;P)'!AN4832,
    IF(arrears_months=0,1.00,
    IF(arrears_months=1,3.00,
    IF(arrears_months=2,5.00,
    IF(arrears_months=3,8.00,
    IF(arrears_months=4,10.00,
    IF(arrears_months=5,12.00,15.00)))))))</f>
        <v/>
      </c>
      <c r="M4832">
        <f>LET(
    seasoning_years,DATEDIF('Loan Tape (S&amp;P)'!K4832,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32">
        <f>IF(AND('Loan Tape (S&amp;P)'!U4832="Yes",
        'Loan Tape (S&amp;P)'!T4832&lt;&gt;"Yes",
        DATEDIF('Loan Tape (S&amp;P)'!K4832, TODAY(), "M")&lt;18),
    1.10,
    1.00)</f>
        <v/>
      </c>
      <c r="O4832">
        <f>IF('Loan Tape (S&amp;P)'!T4832="Yes",
    1.35,
    1.00)</f>
        <v/>
      </c>
      <c r="P4832">
        <f>IF('Loan Tape (S&amp;P)'!S4832="Yes",
    1.15,
    1.00)</f>
        <v/>
      </c>
      <c r="Q4832">
        <f>IF('Loan Tape (S&amp;P)'!V4832="Yes",
    1.20,
    1.00)</f>
        <v/>
      </c>
      <c r="T4832">
        <f>LET(
    payment_method,'Loan Tape (S&amp;P)'!P4832,
    occupancy,'Loan Tape (S&amp;P)'!N4832,
    maturity_date,'Loan Tape (S&amp;P)'!L4832,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33">
      <c r="J4833">
        <f>LET(
    lien,'Loan Tape (S&amp;P)'!Q4833,
    IF(lien="First",1.00,
        IF(lien="Second",1.50,
            1.70)))</f>
        <v/>
      </c>
      <c r="K4833">
        <f>LET(
    purpose,'Loan Tape (S&amp;P)'!R4833,
    IF(purpose="Purchase",1.00,
        IF(purpose="Remortgage",1.00,
            1.20)))</f>
        <v/>
      </c>
      <c r="L4833">
        <f>LET(
    arrears_months,'Loan Tape (S&amp;P)'!AN4833,
    IF(arrears_months=0,1.00,
    IF(arrears_months=1,3.00,
    IF(arrears_months=2,5.00,
    IF(arrears_months=3,8.00,
    IF(arrears_months=4,10.00,
    IF(arrears_months=5,12.00,15.00)))))))</f>
        <v/>
      </c>
      <c r="M4833">
        <f>LET(
    seasoning_years,DATEDIF('Loan Tape (S&amp;P)'!K4833,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33">
        <f>IF(AND('Loan Tape (S&amp;P)'!U4833="Yes",
        'Loan Tape (S&amp;P)'!T4833&lt;&gt;"Yes",
        DATEDIF('Loan Tape (S&amp;P)'!K4833, TODAY(), "M")&lt;18),
    1.10,
    1.00)</f>
        <v/>
      </c>
      <c r="O4833">
        <f>IF('Loan Tape (S&amp;P)'!T4833="Yes",
    1.35,
    1.00)</f>
        <v/>
      </c>
      <c r="P4833">
        <f>IF('Loan Tape (S&amp;P)'!S4833="Yes",
    1.15,
    1.00)</f>
        <v/>
      </c>
      <c r="Q4833">
        <f>IF('Loan Tape (S&amp;P)'!V4833="Yes",
    1.20,
    1.00)</f>
        <v/>
      </c>
      <c r="T4833">
        <f>LET(
    payment_method,'Loan Tape (S&amp;P)'!P4833,
    occupancy,'Loan Tape (S&amp;P)'!N4833,
    maturity_date,'Loan Tape (S&amp;P)'!L4833,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34">
      <c r="J4834">
        <f>LET(
    lien,'Loan Tape (S&amp;P)'!Q4834,
    IF(lien="First",1.00,
        IF(lien="Second",1.50,
            1.70)))</f>
        <v/>
      </c>
      <c r="K4834">
        <f>LET(
    purpose,'Loan Tape (S&amp;P)'!R4834,
    IF(purpose="Purchase",1.00,
        IF(purpose="Remortgage",1.00,
            1.20)))</f>
        <v/>
      </c>
      <c r="L4834">
        <f>LET(
    arrears_months,'Loan Tape (S&amp;P)'!AN4834,
    IF(arrears_months=0,1.00,
    IF(arrears_months=1,3.00,
    IF(arrears_months=2,5.00,
    IF(arrears_months=3,8.00,
    IF(arrears_months=4,10.00,
    IF(arrears_months=5,12.00,15.00)))))))</f>
        <v/>
      </c>
      <c r="M4834">
        <f>LET(
    seasoning_years,DATEDIF('Loan Tape (S&amp;P)'!K4834,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34">
        <f>IF(AND('Loan Tape (S&amp;P)'!U4834="Yes",
        'Loan Tape (S&amp;P)'!T4834&lt;&gt;"Yes",
        DATEDIF('Loan Tape (S&amp;P)'!K4834, TODAY(), "M")&lt;18),
    1.10,
    1.00)</f>
        <v/>
      </c>
      <c r="O4834">
        <f>IF('Loan Tape (S&amp;P)'!T4834="Yes",
    1.35,
    1.00)</f>
        <v/>
      </c>
      <c r="P4834">
        <f>IF('Loan Tape (S&amp;P)'!S4834="Yes",
    1.15,
    1.00)</f>
        <v/>
      </c>
      <c r="Q4834">
        <f>IF('Loan Tape (S&amp;P)'!V4834="Yes",
    1.20,
    1.00)</f>
        <v/>
      </c>
      <c r="T4834">
        <f>LET(
    payment_method,'Loan Tape (S&amp;P)'!P4834,
    occupancy,'Loan Tape (S&amp;P)'!N4834,
    maturity_date,'Loan Tape (S&amp;P)'!L4834,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35">
      <c r="J4835">
        <f>LET(
    lien,'Loan Tape (S&amp;P)'!Q4835,
    IF(lien="First",1.00,
        IF(lien="Second",1.50,
            1.70)))</f>
        <v/>
      </c>
      <c r="K4835">
        <f>LET(
    purpose,'Loan Tape (S&amp;P)'!R4835,
    IF(purpose="Purchase",1.00,
        IF(purpose="Remortgage",1.00,
            1.20)))</f>
        <v/>
      </c>
      <c r="L4835">
        <f>LET(
    arrears_months,'Loan Tape (S&amp;P)'!AN4835,
    IF(arrears_months=0,1.00,
    IF(arrears_months=1,3.00,
    IF(arrears_months=2,5.00,
    IF(arrears_months=3,8.00,
    IF(arrears_months=4,10.00,
    IF(arrears_months=5,12.00,15.00)))))))</f>
        <v/>
      </c>
      <c r="M4835">
        <f>LET(
    seasoning_years,DATEDIF('Loan Tape (S&amp;P)'!K4835,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35">
        <f>IF(AND('Loan Tape (S&amp;P)'!U4835="Yes",
        'Loan Tape (S&amp;P)'!T4835&lt;&gt;"Yes",
        DATEDIF('Loan Tape (S&amp;P)'!K4835, TODAY(), "M")&lt;18),
    1.10,
    1.00)</f>
        <v/>
      </c>
      <c r="O4835">
        <f>IF('Loan Tape (S&amp;P)'!T4835="Yes",
    1.35,
    1.00)</f>
        <v/>
      </c>
      <c r="P4835">
        <f>IF('Loan Tape (S&amp;P)'!S4835="Yes",
    1.15,
    1.00)</f>
        <v/>
      </c>
      <c r="Q4835">
        <f>IF('Loan Tape (S&amp;P)'!V4835="Yes",
    1.20,
    1.00)</f>
        <v/>
      </c>
      <c r="T4835">
        <f>LET(
    payment_method,'Loan Tape (S&amp;P)'!P4835,
    occupancy,'Loan Tape (S&amp;P)'!N4835,
    maturity_date,'Loan Tape (S&amp;P)'!L4835,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36">
      <c r="J4836">
        <f>LET(
    lien,'Loan Tape (S&amp;P)'!Q4836,
    IF(lien="First",1.00,
        IF(lien="Second",1.50,
            1.70)))</f>
        <v/>
      </c>
      <c r="K4836">
        <f>LET(
    purpose,'Loan Tape (S&amp;P)'!R4836,
    IF(purpose="Purchase",1.00,
        IF(purpose="Remortgage",1.00,
            1.20)))</f>
        <v/>
      </c>
      <c r="L4836">
        <f>LET(
    arrears_months,'Loan Tape (S&amp;P)'!AN4836,
    IF(arrears_months=0,1.00,
    IF(arrears_months=1,3.00,
    IF(arrears_months=2,5.00,
    IF(arrears_months=3,8.00,
    IF(arrears_months=4,10.00,
    IF(arrears_months=5,12.00,15.00)))))))</f>
        <v/>
      </c>
      <c r="M4836">
        <f>LET(
    seasoning_years,DATEDIF('Loan Tape (S&amp;P)'!K4836,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36">
        <f>IF(AND('Loan Tape (S&amp;P)'!U4836="Yes",
        'Loan Tape (S&amp;P)'!T4836&lt;&gt;"Yes",
        DATEDIF('Loan Tape (S&amp;P)'!K4836, TODAY(), "M")&lt;18),
    1.10,
    1.00)</f>
        <v/>
      </c>
      <c r="O4836">
        <f>IF('Loan Tape (S&amp;P)'!T4836="Yes",
    1.35,
    1.00)</f>
        <v/>
      </c>
      <c r="P4836">
        <f>IF('Loan Tape (S&amp;P)'!S4836="Yes",
    1.15,
    1.00)</f>
        <v/>
      </c>
      <c r="Q4836">
        <f>IF('Loan Tape (S&amp;P)'!V4836="Yes",
    1.20,
    1.00)</f>
        <v/>
      </c>
      <c r="T4836">
        <f>LET(
    payment_method,'Loan Tape (S&amp;P)'!P4836,
    occupancy,'Loan Tape (S&amp;P)'!N4836,
    maturity_date,'Loan Tape (S&amp;P)'!L4836,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37">
      <c r="J4837">
        <f>LET(
    lien,'Loan Tape (S&amp;P)'!Q4837,
    IF(lien="First",1.00,
        IF(lien="Second",1.50,
            1.70)))</f>
        <v/>
      </c>
      <c r="K4837">
        <f>LET(
    purpose,'Loan Tape (S&amp;P)'!R4837,
    IF(purpose="Purchase",1.00,
        IF(purpose="Remortgage",1.00,
            1.20)))</f>
        <v/>
      </c>
      <c r="L4837">
        <f>LET(
    arrears_months,'Loan Tape (S&amp;P)'!AN4837,
    IF(arrears_months=0,1.00,
    IF(arrears_months=1,3.00,
    IF(arrears_months=2,5.00,
    IF(arrears_months=3,8.00,
    IF(arrears_months=4,10.00,
    IF(arrears_months=5,12.00,15.00)))))))</f>
        <v/>
      </c>
      <c r="M4837">
        <f>LET(
    seasoning_years,DATEDIF('Loan Tape (S&amp;P)'!K4837,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37">
        <f>IF(AND('Loan Tape (S&amp;P)'!U4837="Yes",
        'Loan Tape (S&amp;P)'!T4837&lt;&gt;"Yes",
        DATEDIF('Loan Tape (S&amp;P)'!K4837, TODAY(), "M")&lt;18),
    1.10,
    1.00)</f>
        <v/>
      </c>
      <c r="O4837">
        <f>IF('Loan Tape (S&amp;P)'!T4837="Yes",
    1.35,
    1.00)</f>
        <v/>
      </c>
      <c r="P4837">
        <f>IF('Loan Tape (S&amp;P)'!S4837="Yes",
    1.15,
    1.00)</f>
        <v/>
      </c>
      <c r="Q4837">
        <f>IF('Loan Tape (S&amp;P)'!V4837="Yes",
    1.20,
    1.00)</f>
        <v/>
      </c>
      <c r="T4837">
        <f>LET(
    payment_method,'Loan Tape (S&amp;P)'!P4837,
    occupancy,'Loan Tape (S&amp;P)'!N4837,
    maturity_date,'Loan Tape (S&amp;P)'!L4837,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38">
      <c r="J4838">
        <f>LET(
    lien,'Loan Tape (S&amp;P)'!Q4838,
    IF(lien="First",1.00,
        IF(lien="Second",1.50,
            1.70)))</f>
        <v/>
      </c>
      <c r="K4838">
        <f>LET(
    purpose,'Loan Tape (S&amp;P)'!R4838,
    IF(purpose="Purchase",1.00,
        IF(purpose="Remortgage",1.00,
            1.20)))</f>
        <v/>
      </c>
      <c r="L4838">
        <f>LET(
    arrears_months,'Loan Tape (S&amp;P)'!AN4838,
    IF(arrears_months=0,1.00,
    IF(arrears_months=1,3.00,
    IF(arrears_months=2,5.00,
    IF(arrears_months=3,8.00,
    IF(arrears_months=4,10.00,
    IF(arrears_months=5,12.00,15.00)))))))</f>
        <v/>
      </c>
      <c r="M4838">
        <f>LET(
    seasoning_years,DATEDIF('Loan Tape (S&amp;P)'!K4838,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38">
        <f>IF(AND('Loan Tape (S&amp;P)'!U4838="Yes",
        'Loan Tape (S&amp;P)'!T4838&lt;&gt;"Yes",
        DATEDIF('Loan Tape (S&amp;P)'!K4838, TODAY(), "M")&lt;18),
    1.10,
    1.00)</f>
        <v/>
      </c>
      <c r="O4838">
        <f>IF('Loan Tape (S&amp;P)'!T4838="Yes",
    1.35,
    1.00)</f>
        <v/>
      </c>
      <c r="P4838">
        <f>IF('Loan Tape (S&amp;P)'!S4838="Yes",
    1.15,
    1.00)</f>
        <v/>
      </c>
      <c r="Q4838">
        <f>IF('Loan Tape (S&amp;P)'!V4838="Yes",
    1.20,
    1.00)</f>
        <v/>
      </c>
      <c r="T4838">
        <f>LET(
    payment_method,'Loan Tape (S&amp;P)'!P4838,
    occupancy,'Loan Tape (S&amp;P)'!N4838,
    maturity_date,'Loan Tape (S&amp;P)'!L4838,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39">
      <c r="J4839">
        <f>LET(
    lien,'Loan Tape (S&amp;P)'!Q4839,
    IF(lien="First",1.00,
        IF(lien="Second",1.50,
            1.70)))</f>
        <v/>
      </c>
      <c r="K4839">
        <f>LET(
    purpose,'Loan Tape (S&amp;P)'!R4839,
    IF(purpose="Purchase",1.00,
        IF(purpose="Remortgage",1.00,
            1.20)))</f>
        <v/>
      </c>
      <c r="L4839">
        <f>LET(
    arrears_months,'Loan Tape (S&amp;P)'!AN4839,
    IF(arrears_months=0,1.00,
    IF(arrears_months=1,3.00,
    IF(arrears_months=2,5.00,
    IF(arrears_months=3,8.00,
    IF(arrears_months=4,10.00,
    IF(arrears_months=5,12.00,15.00)))))))</f>
        <v/>
      </c>
      <c r="M4839">
        <f>LET(
    seasoning_years,DATEDIF('Loan Tape (S&amp;P)'!K4839,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39">
        <f>IF(AND('Loan Tape (S&amp;P)'!U4839="Yes",
        'Loan Tape (S&amp;P)'!T4839&lt;&gt;"Yes",
        DATEDIF('Loan Tape (S&amp;P)'!K4839, TODAY(), "M")&lt;18),
    1.10,
    1.00)</f>
        <v/>
      </c>
      <c r="O4839">
        <f>IF('Loan Tape (S&amp;P)'!T4839="Yes",
    1.35,
    1.00)</f>
        <v/>
      </c>
      <c r="P4839">
        <f>IF('Loan Tape (S&amp;P)'!S4839="Yes",
    1.15,
    1.00)</f>
        <v/>
      </c>
      <c r="Q4839">
        <f>IF('Loan Tape (S&amp;P)'!V4839="Yes",
    1.20,
    1.00)</f>
        <v/>
      </c>
      <c r="T4839">
        <f>LET(
    payment_method,'Loan Tape (S&amp;P)'!P4839,
    occupancy,'Loan Tape (S&amp;P)'!N4839,
    maturity_date,'Loan Tape (S&amp;P)'!L4839,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40">
      <c r="J4840">
        <f>LET(
    lien,'Loan Tape (S&amp;P)'!Q4840,
    IF(lien="First",1.00,
        IF(lien="Second",1.50,
            1.70)))</f>
        <v/>
      </c>
      <c r="K4840">
        <f>LET(
    purpose,'Loan Tape (S&amp;P)'!R4840,
    IF(purpose="Purchase",1.00,
        IF(purpose="Remortgage",1.00,
            1.20)))</f>
        <v/>
      </c>
      <c r="L4840">
        <f>LET(
    arrears_months,'Loan Tape (S&amp;P)'!AN4840,
    IF(arrears_months=0,1.00,
    IF(arrears_months=1,3.00,
    IF(arrears_months=2,5.00,
    IF(arrears_months=3,8.00,
    IF(arrears_months=4,10.00,
    IF(arrears_months=5,12.00,15.00)))))))</f>
        <v/>
      </c>
      <c r="M4840">
        <f>LET(
    seasoning_years,DATEDIF('Loan Tape (S&amp;P)'!K4840,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40">
        <f>IF(AND('Loan Tape (S&amp;P)'!U4840="Yes",
        'Loan Tape (S&amp;P)'!T4840&lt;&gt;"Yes",
        DATEDIF('Loan Tape (S&amp;P)'!K4840, TODAY(), "M")&lt;18),
    1.10,
    1.00)</f>
        <v/>
      </c>
      <c r="O4840">
        <f>IF('Loan Tape (S&amp;P)'!T4840="Yes",
    1.35,
    1.00)</f>
        <v/>
      </c>
      <c r="P4840">
        <f>IF('Loan Tape (S&amp;P)'!S4840="Yes",
    1.15,
    1.00)</f>
        <v/>
      </c>
      <c r="Q4840">
        <f>IF('Loan Tape (S&amp;P)'!V4840="Yes",
    1.20,
    1.00)</f>
        <v/>
      </c>
      <c r="T4840">
        <f>LET(
    payment_method,'Loan Tape (S&amp;P)'!P4840,
    occupancy,'Loan Tape (S&amp;P)'!N4840,
    maturity_date,'Loan Tape (S&amp;P)'!L4840,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41">
      <c r="J4841">
        <f>LET(
    lien,'Loan Tape (S&amp;P)'!Q4841,
    IF(lien="First",1.00,
        IF(lien="Second",1.50,
            1.70)))</f>
        <v/>
      </c>
      <c r="K4841">
        <f>LET(
    purpose,'Loan Tape (S&amp;P)'!R4841,
    IF(purpose="Purchase",1.00,
        IF(purpose="Remortgage",1.00,
            1.20)))</f>
        <v/>
      </c>
      <c r="L4841">
        <f>LET(
    arrears_months,'Loan Tape (S&amp;P)'!AN4841,
    IF(arrears_months=0,1.00,
    IF(arrears_months=1,3.00,
    IF(arrears_months=2,5.00,
    IF(arrears_months=3,8.00,
    IF(arrears_months=4,10.00,
    IF(arrears_months=5,12.00,15.00)))))))</f>
        <v/>
      </c>
      <c r="M4841">
        <f>LET(
    seasoning_years,DATEDIF('Loan Tape (S&amp;P)'!K4841,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41">
        <f>IF(AND('Loan Tape (S&amp;P)'!U4841="Yes",
        'Loan Tape (S&amp;P)'!T4841&lt;&gt;"Yes",
        DATEDIF('Loan Tape (S&amp;P)'!K4841, TODAY(), "M")&lt;18),
    1.10,
    1.00)</f>
        <v/>
      </c>
      <c r="O4841">
        <f>IF('Loan Tape (S&amp;P)'!T4841="Yes",
    1.35,
    1.00)</f>
        <v/>
      </c>
      <c r="P4841">
        <f>IF('Loan Tape (S&amp;P)'!S4841="Yes",
    1.15,
    1.00)</f>
        <v/>
      </c>
      <c r="Q4841">
        <f>IF('Loan Tape (S&amp;P)'!V4841="Yes",
    1.20,
    1.00)</f>
        <v/>
      </c>
      <c r="T4841">
        <f>LET(
    payment_method,'Loan Tape (S&amp;P)'!P4841,
    occupancy,'Loan Tape (S&amp;P)'!N4841,
    maturity_date,'Loan Tape (S&amp;P)'!L4841,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42">
      <c r="J4842">
        <f>LET(
    lien,'Loan Tape (S&amp;P)'!Q4842,
    IF(lien="First",1.00,
        IF(lien="Second",1.50,
            1.70)))</f>
        <v/>
      </c>
      <c r="K4842">
        <f>LET(
    purpose,'Loan Tape (S&amp;P)'!R4842,
    IF(purpose="Purchase",1.00,
        IF(purpose="Remortgage",1.00,
            1.20)))</f>
        <v/>
      </c>
      <c r="L4842">
        <f>LET(
    arrears_months,'Loan Tape (S&amp;P)'!AN4842,
    IF(arrears_months=0,1.00,
    IF(arrears_months=1,3.00,
    IF(arrears_months=2,5.00,
    IF(arrears_months=3,8.00,
    IF(arrears_months=4,10.00,
    IF(arrears_months=5,12.00,15.00)))))))</f>
        <v/>
      </c>
      <c r="M4842">
        <f>LET(
    seasoning_years,DATEDIF('Loan Tape (S&amp;P)'!K4842,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42">
        <f>IF(AND('Loan Tape (S&amp;P)'!U4842="Yes",
        'Loan Tape (S&amp;P)'!T4842&lt;&gt;"Yes",
        DATEDIF('Loan Tape (S&amp;P)'!K4842, TODAY(), "M")&lt;18),
    1.10,
    1.00)</f>
        <v/>
      </c>
      <c r="O4842">
        <f>IF('Loan Tape (S&amp;P)'!T4842="Yes",
    1.35,
    1.00)</f>
        <v/>
      </c>
      <c r="P4842">
        <f>IF('Loan Tape (S&amp;P)'!S4842="Yes",
    1.15,
    1.00)</f>
        <v/>
      </c>
      <c r="Q4842">
        <f>IF('Loan Tape (S&amp;P)'!V4842="Yes",
    1.20,
    1.00)</f>
        <v/>
      </c>
      <c r="T4842">
        <f>LET(
    payment_method,'Loan Tape (S&amp;P)'!P4842,
    occupancy,'Loan Tape (S&amp;P)'!N4842,
    maturity_date,'Loan Tape (S&amp;P)'!L4842,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43">
      <c r="J4843">
        <f>LET(
    lien,'Loan Tape (S&amp;P)'!Q4843,
    IF(lien="First",1.00,
        IF(lien="Second",1.50,
            1.70)))</f>
        <v/>
      </c>
      <c r="K4843">
        <f>LET(
    purpose,'Loan Tape (S&amp;P)'!R4843,
    IF(purpose="Purchase",1.00,
        IF(purpose="Remortgage",1.00,
            1.20)))</f>
        <v/>
      </c>
      <c r="L4843">
        <f>LET(
    arrears_months,'Loan Tape (S&amp;P)'!AN4843,
    IF(arrears_months=0,1.00,
    IF(arrears_months=1,3.00,
    IF(arrears_months=2,5.00,
    IF(arrears_months=3,8.00,
    IF(arrears_months=4,10.00,
    IF(arrears_months=5,12.00,15.00)))))))</f>
        <v/>
      </c>
      <c r="M4843">
        <f>LET(
    seasoning_years,DATEDIF('Loan Tape (S&amp;P)'!K4843,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43">
        <f>IF(AND('Loan Tape (S&amp;P)'!U4843="Yes",
        'Loan Tape (S&amp;P)'!T4843&lt;&gt;"Yes",
        DATEDIF('Loan Tape (S&amp;P)'!K4843, TODAY(), "M")&lt;18),
    1.10,
    1.00)</f>
        <v/>
      </c>
      <c r="O4843">
        <f>IF('Loan Tape (S&amp;P)'!T4843="Yes",
    1.35,
    1.00)</f>
        <v/>
      </c>
      <c r="P4843">
        <f>IF('Loan Tape (S&amp;P)'!S4843="Yes",
    1.15,
    1.00)</f>
        <v/>
      </c>
      <c r="Q4843">
        <f>IF('Loan Tape (S&amp;P)'!V4843="Yes",
    1.20,
    1.00)</f>
        <v/>
      </c>
      <c r="T4843">
        <f>LET(
    payment_method,'Loan Tape (S&amp;P)'!P4843,
    occupancy,'Loan Tape (S&amp;P)'!N4843,
    maturity_date,'Loan Tape (S&amp;P)'!L4843,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44">
      <c r="J4844">
        <f>LET(
    lien,'Loan Tape (S&amp;P)'!Q4844,
    IF(lien="First",1.00,
        IF(lien="Second",1.50,
            1.70)))</f>
        <v/>
      </c>
      <c r="K4844">
        <f>LET(
    purpose,'Loan Tape (S&amp;P)'!R4844,
    IF(purpose="Purchase",1.00,
        IF(purpose="Remortgage",1.00,
            1.20)))</f>
        <v/>
      </c>
      <c r="L4844">
        <f>LET(
    arrears_months,'Loan Tape (S&amp;P)'!AN4844,
    IF(arrears_months=0,1.00,
    IF(arrears_months=1,3.00,
    IF(arrears_months=2,5.00,
    IF(arrears_months=3,8.00,
    IF(arrears_months=4,10.00,
    IF(arrears_months=5,12.00,15.00)))))))</f>
        <v/>
      </c>
      <c r="M4844">
        <f>LET(
    seasoning_years,DATEDIF('Loan Tape (S&amp;P)'!K4844,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44">
        <f>IF(AND('Loan Tape (S&amp;P)'!U4844="Yes",
        'Loan Tape (S&amp;P)'!T4844&lt;&gt;"Yes",
        DATEDIF('Loan Tape (S&amp;P)'!K4844, TODAY(), "M")&lt;18),
    1.10,
    1.00)</f>
        <v/>
      </c>
      <c r="O4844">
        <f>IF('Loan Tape (S&amp;P)'!T4844="Yes",
    1.35,
    1.00)</f>
        <v/>
      </c>
      <c r="P4844">
        <f>IF('Loan Tape (S&amp;P)'!S4844="Yes",
    1.15,
    1.00)</f>
        <v/>
      </c>
      <c r="Q4844">
        <f>IF('Loan Tape (S&amp;P)'!V4844="Yes",
    1.20,
    1.00)</f>
        <v/>
      </c>
      <c r="T4844">
        <f>LET(
    payment_method,'Loan Tape (S&amp;P)'!P4844,
    occupancy,'Loan Tape (S&amp;P)'!N4844,
    maturity_date,'Loan Tape (S&amp;P)'!L4844,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45">
      <c r="J4845">
        <f>LET(
    lien,'Loan Tape (S&amp;P)'!Q4845,
    IF(lien="First",1.00,
        IF(lien="Second",1.50,
            1.70)))</f>
        <v/>
      </c>
      <c r="K4845">
        <f>LET(
    purpose,'Loan Tape (S&amp;P)'!R4845,
    IF(purpose="Purchase",1.00,
        IF(purpose="Remortgage",1.00,
            1.20)))</f>
        <v/>
      </c>
      <c r="L4845">
        <f>LET(
    arrears_months,'Loan Tape (S&amp;P)'!AN4845,
    IF(arrears_months=0,1.00,
    IF(arrears_months=1,3.00,
    IF(arrears_months=2,5.00,
    IF(arrears_months=3,8.00,
    IF(arrears_months=4,10.00,
    IF(arrears_months=5,12.00,15.00)))))))</f>
        <v/>
      </c>
      <c r="M4845">
        <f>LET(
    seasoning_years,DATEDIF('Loan Tape (S&amp;P)'!K4845,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45">
        <f>IF(AND('Loan Tape (S&amp;P)'!U4845="Yes",
        'Loan Tape (S&amp;P)'!T4845&lt;&gt;"Yes",
        DATEDIF('Loan Tape (S&amp;P)'!K4845, TODAY(), "M")&lt;18),
    1.10,
    1.00)</f>
        <v/>
      </c>
      <c r="O4845">
        <f>IF('Loan Tape (S&amp;P)'!T4845="Yes",
    1.35,
    1.00)</f>
        <v/>
      </c>
      <c r="P4845">
        <f>IF('Loan Tape (S&amp;P)'!S4845="Yes",
    1.15,
    1.00)</f>
        <v/>
      </c>
      <c r="Q4845">
        <f>IF('Loan Tape (S&amp;P)'!V4845="Yes",
    1.20,
    1.00)</f>
        <v/>
      </c>
      <c r="T4845">
        <f>LET(
    payment_method,'Loan Tape (S&amp;P)'!P4845,
    occupancy,'Loan Tape (S&amp;P)'!N4845,
    maturity_date,'Loan Tape (S&amp;P)'!L4845,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46">
      <c r="J4846">
        <f>LET(
    lien,'Loan Tape (S&amp;P)'!Q4846,
    IF(lien="First",1.00,
        IF(lien="Second",1.50,
            1.70)))</f>
        <v/>
      </c>
      <c r="K4846">
        <f>LET(
    purpose,'Loan Tape (S&amp;P)'!R4846,
    IF(purpose="Purchase",1.00,
        IF(purpose="Remortgage",1.00,
            1.20)))</f>
        <v/>
      </c>
      <c r="L4846">
        <f>LET(
    arrears_months,'Loan Tape (S&amp;P)'!AN4846,
    IF(arrears_months=0,1.00,
    IF(arrears_months=1,3.00,
    IF(arrears_months=2,5.00,
    IF(arrears_months=3,8.00,
    IF(arrears_months=4,10.00,
    IF(arrears_months=5,12.00,15.00)))))))</f>
        <v/>
      </c>
      <c r="M4846">
        <f>LET(
    seasoning_years,DATEDIF('Loan Tape (S&amp;P)'!K4846,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46">
        <f>IF(AND('Loan Tape (S&amp;P)'!U4846="Yes",
        'Loan Tape (S&amp;P)'!T4846&lt;&gt;"Yes",
        DATEDIF('Loan Tape (S&amp;P)'!K4846, TODAY(), "M")&lt;18),
    1.10,
    1.00)</f>
        <v/>
      </c>
      <c r="O4846">
        <f>IF('Loan Tape (S&amp;P)'!T4846="Yes",
    1.35,
    1.00)</f>
        <v/>
      </c>
      <c r="P4846">
        <f>IF('Loan Tape (S&amp;P)'!S4846="Yes",
    1.15,
    1.00)</f>
        <v/>
      </c>
      <c r="Q4846">
        <f>IF('Loan Tape (S&amp;P)'!V4846="Yes",
    1.20,
    1.00)</f>
        <v/>
      </c>
      <c r="T4846">
        <f>LET(
    payment_method,'Loan Tape (S&amp;P)'!P4846,
    occupancy,'Loan Tape (S&amp;P)'!N4846,
    maturity_date,'Loan Tape (S&amp;P)'!L4846,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47">
      <c r="J4847">
        <f>LET(
    lien,'Loan Tape (S&amp;P)'!Q4847,
    IF(lien="First",1.00,
        IF(lien="Second",1.50,
            1.70)))</f>
        <v/>
      </c>
      <c r="K4847">
        <f>LET(
    purpose,'Loan Tape (S&amp;P)'!R4847,
    IF(purpose="Purchase",1.00,
        IF(purpose="Remortgage",1.00,
            1.20)))</f>
        <v/>
      </c>
      <c r="L4847">
        <f>LET(
    arrears_months,'Loan Tape (S&amp;P)'!AN4847,
    IF(arrears_months=0,1.00,
    IF(arrears_months=1,3.00,
    IF(arrears_months=2,5.00,
    IF(arrears_months=3,8.00,
    IF(arrears_months=4,10.00,
    IF(arrears_months=5,12.00,15.00)))))))</f>
        <v/>
      </c>
      <c r="M4847">
        <f>LET(
    seasoning_years,DATEDIF('Loan Tape (S&amp;P)'!K4847,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47">
        <f>IF(AND('Loan Tape (S&amp;P)'!U4847="Yes",
        'Loan Tape (S&amp;P)'!T4847&lt;&gt;"Yes",
        DATEDIF('Loan Tape (S&amp;P)'!K4847, TODAY(), "M")&lt;18),
    1.10,
    1.00)</f>
        <v/>
      </c>
      <c r="O4847">
        <f>IF('Loan Tape (S&amp;P)'!T4847="Yes",
    1.35,
    1.00)</f>
        <v/>
      </c>
      <c r="P4847">
        <f>IF('Loan Tape (S&amp;P)'!S4847="Yes",
    1.15,
    1.00)</f>
        <v/>
      </c>
      <c r="Q4847">
        <f>IF('Loan Tape (S&amp;P)'!V4847="Yes",
    1.20,
    1.00)</f>
        <v/>
      </c>
      <c r="T4847">
        <f>LET(
    payment_method,'Loan Tape (S&amp;P)'!P4847,
    occupancy,'Loan Tape (S&amp;P)'!N4847,
    maturity_date,'Loan Tape (S&amp;P)'!L4847,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48">
      <c r="J4848">
        <f>LET(
    lien,'Loan Tape (S&amp;P)'!Q4848,
    IF(lien="First",1.00,
        IF(lien="Second",1.50,
            1.70)))</f>
        <v/>
      </c>
      <c r="K4848">
        <f>LET(
    purpose,'Loan Tape (S&amp;P)'!R4848,
    IF(purpose="Purchase",1.00,
        IF(purpose="Remortgage",1.00,
            1.20)))</f>
        <v/>
      </c>
      <c r="L4848">
        <f>LET(
    arrears_months,'Loan Tape (S&amp;P)'!AN4848,
    IF(arrears_months=0,1.00,
    IF(arrears_months=1,3.00,
    IF(arrears_months=2,5.00,
    IF(arrears_months=3,8.00,
    IF(arrears_months=4,10.00,
    IF(arrears_months=5,12.00,15.00)))))))</f>
        <v/>
      </c>
      <c r="M4848">
        <f>LET(
    seasoning_years,DATEDIF('Loan Tape (S&amp;P)'!K4848,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48">
        <f>IF(AND('Loan Tape (S&amp;P)'!U4848="Yes",
        'Loan Tape (S&amp;P)'!T4848&lt;&gt;"Yes",
        DATEDIF('Loan Tape (S&amp;P)'!K4848, TODAY(), "M")&lt;18),
    1.10,
    1.00)</f>
        <v/>
      </c>
      <c r="O4848">
        <f>IF('Loan Tape (S&amp;P)'!T4848="Yes",
    1.35,
    1.00)</f>
        <v/>
      </c>
      <c r="P4848">
        <f>IF('Loan Tape (S&amp;P)'!S4848="Yes",
    1.15,
    1.00)</f>
        <v/>
      </c>
      <c r="Q4848">
        <f>IF('Loan Tape (S&amp;P)'!V4848="Yes",
    1.20,
    1.00)</f>
        <v/>
      </c>
      <c r="T4848">
        <f>LET(
    payment_method,'Loan Tape (S&amp;P)'!P4848,
    occupancy,'Loan Tape (S&amp;P)'!N4848,
    maturity_date,'Loan Tape (S&amp;P)'!L4848,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49">
      <c r="J4849">
        <f>LET(
    lien,'Loan Tape (S&amp;P)'!Q4849,
    IF(lien="First",1.00,
        IF(lien="Second",1.50,
            1.70)))</f>
        <v/>
      </c>
      <c r="K4849">
        <f>LET(
    purpose,'Loan Tape (S&amp;P)'!R4849,
    IF(purpose="Purchase",1.00,
        IF(purpose="Remortgage",1.00,
            1.20)))</f>
        <v/>
      </c>
      <c r="L4849">
        <f>LET(
    arrears_months,'Loan Tape (S&amp;P)'!AN4849,
    IF(arrears_months=0,1.00,
    IF(arrears_months=1,3.00,
    IF(arrears_months=2,5.00,
    IF(arrears_months=3,8.00,
    IF(arrears_months=4,10.00,
    IF(arrears_months=5,12.00,15.00)))))))</f>
        <v/>
      </c>
      <c r="M4849">
        <f>LET(
    seasoning_years,DATEDIF('Loan Tape (S&amp;P)'!K4849,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49">
        <f>IF(AND('Loan Tape (S&amp;P)'!U4849="Yes",
        'Loan Tape (S&amp;P)'!T4849&lt;&gt;"Yes",
        DATEDIF('Loan Tape (S&amp;P)'!K4849, TODAY(), "M")&lt;18),
    1.10,
    1.00)</f>
        <v/>
      </c>
      <c r="O4849">
        <f>IF('Loan Tape (S&amp;P)'!T4849="Yes",
    1.35,
    1.00)</f>
        <v/>
      </c>
      <c r="P4849">
        <f>IF('Loan Tape (S&amp;P)'!S4849="Yes",
    1.15,
    1.00)</f>
        <v/>
      </c>
      <c r="Q4849">
        <f>IF('Loan Tape (S&amp;P)'!V4849="Yes",
    1.20,
    1.00)</f>
        <v/>
      </c>
      <c r="T4849">
        <f>LET(
    payment_method,'Loan Tape (S&amp;P)'!P4849,
    occupancy,'Loan Tape (S&amp;P)'!N4849,
    maturity_date,'Loan Tape (S&amp;P)'!L4849,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50">
      <c r="J4850">
        <f>LET(
    lien,'Loan Tape (S&amp;P)'!Q4850,
    IF(lien="First",1.00,
        IF(lien="Second",1.50,
            1.70)))</f>
        <v/>
      </c>
      <c r="K4850">
        <f>LET(
    purpose,'Loan Tape (S&amp;P)'!R4850,
    IF(purpose="Purchase",1.00,
        IF(purpose="Remortgage",1.00,
            1.20)))</f>
        <v/>
      </c>
      <c r="L4850">
        <f>LET(
    arrears_months,'Loan Tape (S&amp;P)'!AN4850,
    IF(arrears_months=0,1.00,
    IF(arrears_months=1,3.00,
    IF(arrears_months=2,5.00,
    IF(arrears_months=3,8.00,
    IF(arrears_months=4,10.00,
    IF(arrears_months=5,12.00,15.00)))))))</f>
        <v/>
      </c>
      <c r="M4850">
        <f>LET(
    seasoning_years,DATEDIF('Loan Tape (S&amp;P)'!K4850,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50">
        <f>IF(AND('Loan Tape (S&amp;P)'!U4850="Yes",
        'Loan Tape (S&amp;P)'!T4850&lt;&gt;"Yes",
        DATEDIF('Loan Tape (S&amp;P)'!K4850, TODAY(), "M")&lt;18),
    1.10,
    1.00)</f>
        <v/>
      </c>
      <c r="O4850">
        <f>IF('Loan Tape (S&amp;P)'!T4850="Yes",
    1.35,
    1.00)</f>
        <v/>
      </c>
      <c r="P4850">
        <f>IF('Loan Tape (S&amp;P)'!S4850="Yes",
    1.15,
    1.00)</f>
        <v/>
      </c>
      <c r="Q4850">
        <f>IF('Loan Tape (S&amp;P)'!V4850="Yes",
    1.20,
    1.00)</f>
        <v/>
      </c>
      <c r="T4850">
        <f>LET(
    payment_method,'Loan Tape (S&amp;P)'!P4850,
    occupancy,'Loan Tape (S&amp;P)'!N4850,
    maturity_date,'Loan Tape (S&amp;P)'!L4850,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51">
      <c r="J4851">
        <f>LET(
    lien,'Loan Tape (S&amp;P)'!Q4851,
    IF(lien="First",1.00,
        IF(lien="Second",1.50,
            1.70)))</f>
        <v/>
      </c>
      <c r="K4851">
        <f>LET(
    purpose,'Loan Tape (S&amp;P)'!R4851,
    IF(purpose="Purchase",1.00,
        IF(purpose="Remortgage",1.00,
            1.20)))</f>
        <v/>
      </c>
      <c r="L4851">
        <f>LET(
    arrears_months,'Loan Tape (S&amp;P)'!AN4851,
    IF(arrears_months=0,1.00,
    IF(arrears_months=1,3.00,
    IF(arrears_months=2,5.00,
    IF(arrears_months=3,8.00,
    IF(arrears_months=4,10.00,
    IF(arrears_months=5,12.00,15.00)))))))</f>
        <v/>
      </c>
      <c r="M4851">
        <f>LET(
    seasoning_years,DATEDIF('Loan Tape (S&amp;P)'!K4851,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51">
        <f>IF(AND('Loan Tape (S&amp;P)'!U4851="Yes",
        'Loan Tape (S&amp;P)'!T4851&lt;&gt;"Yes",
        DATEDIF('Loan Tape (S&amp;P)'!K4851, TODAY(), "M")&lt;18),
    1.10,
    1.00)</f>
        <v/>
      </c>
      <c r="O4851">
        <f>IF('Loan Tape (S&amp;P)'!T4851="Yes",
    1.35,
    1.00)</f>
        <v/>
      </c>
      <c r="P4851">
        <f>IF('Loan Tape (S&amp;P)'!S4851="Yes",
    1.15,
    1.00)</f>
        <v/>
      </c>
      <c r="Q4851">
        <f>IF('Loan Tape (S&amp;P)'!V4851="Yes",
    1.20,
    1.00)</f>
        <v/>
      </c>
      <c r="T4851">
        <f>LET(
    payment_method,'Loan Tape (S&amp;P)'!P4851,
    occupancy,'Loan Tape (S&amp;P)'!N4851,
    maturity_date,'Loan Tape (S&amp;P)'!L4851,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52">
      <c r="J4852">
        <f>LET(
    lien,'Loan Tape (S&amp;P)'!Q4852,
    IF(lien="First",1.00,
        IF(lien="Second",1.50,
            1.70)))</f>
        <v/>
      </c>
      <c r="K4852">
        <f>LET(
    purpose,'Loan Tape (S&amp;P)'!R4852,
    IF(purpose="Purchase",1.00,
        IF(purpose="Remortgage",1.00,
            1.20)))</f>
        <v/>
      </c>
      <c r="L4852">
        <f>LET(
    arrears_months,'Loan Tape (S&amp;P)'!AN4852,
    IF(arrears_months=0,1.00,
    IF(arrears_months=1,3.00,
    IF(arrears_months=2,5.00,
    IF(arrears_months=3,8.00,
    IF(arrears_months=4,10.00,
    IF(arrears_months=5,12.00,15.00)))))))</f>
        <v/>
      </c>
      <c r="M4852">
        <f>LET(
    seasoning_years,DATEDIF('Loan Tape (S&amp;P)'!K4852,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52">
        <f>IF(AND('Loan Tape (S&amp;P)'!U4852="Yes",
        'Loan Tape (S&amp;P)'!T4852&lt;&gt;"Yes",
        DATEDIF('Loan Tape (S&amp;P)'!K4852, TODAY(), "M")&lt;18),
    1.10,
    1.00)</f>
        <v/>
      </c>
      <c r="O4852">
        <f>IF('Loan Tape (S&amp;P)'!T4852="Yes",
    1.35,
    1.00)</f>
        <v/>
      </c>
      <c r="P4852">
        <f>IF('Loan Tape (S&amp;P)'!S4852="Yes",
    1.15,
    1.00)</f>
        <v/>
      </c>
      <c r="Q4852">
        <f>IF('Loan Tape (S&amp;P)'!V4852="Yes",
    1.20,
    1.00)</f>
        <v/>
      </c>
      <c r="T4852">
        <f>LET(
    payment_method,'Loan Tape (S&amp;P)'!P4852,
    occupancy,'Loan Tape (S&amp;P)'!N4852,
    maturity_date,'Loan Tape (S&amp;P)'!L4852,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53">
      <c r="J4853">
        <f>LET(
    lien,'Loan Tape (S&amp;P)'!Q4853,
    IF(lien="First",1.00,
        IF(lien="Second",1.50,
            1.70)))</f>
        <v/>
      </c>
      <c r="K4853">
        <f>LET(
    purpose,'Loan Tape (S&amp;P)'!R4853,
    IF(purpose="Purchase",1.00,
        IF(purpose="Remortgage",1.00,
            1.20)))</f>
        <v/>
      </c>
      <c r="L4853">
        <f>LET(
    arrears_months,'Loan Tape (S&amp;P)'!AN4853,
    IF(arrears_months=0,1.00,
    IF(arrears_months=1,3.00,
    IF(arrears_months=2,5.00,
    IF(arrears_months=3,8.00,
    IF(arrears_months=4,10.00,
    IF(arrears_months=5,12.00,15.00)))))))</f>
        <v/>
      </c>
      <c r="M4853">
        <f>LET(
    seasoning_years,DATEDIF('Loan Tape (S&amp;P)'!K4853,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53">
        <f>IF(AND('Loan Tape (S&amp;P)'!U4853="Yes",
        'Loan Tape (S&amp;P)'!T4853&lt;&gt;"Yes",
        DATEDIF('Loan Tape (S&amp;P)'!K4853, TODAY(), "M")&lt;18),
    1.10,
    1.00)</f>
        <v/>
      </c>
      <c r="O4853">
        <f>IF('Loan Tape (S&amp;P)'!T4853="Yes",
    1.35,
    1.00)</f>
        <v/>
      </c>
      <c r="P4853">
        <f>IF('Loan Tape (S&amp;P)'!S4853="Yes",
    1.15,
    1.00)</f>
        <v/>
      </c>
      <c r="Q4853">
        <f>IF('Loan Tape (S&amp;P)'!V4853="Yes",
    1.20,
    1.00)</f>
        <v/>
      </c>
      <c r="T4853">
        <f>LET(
    payment_method,'Loan Tape (S&amp;P)'!P4853,
    occupancy,'Loan Tape (S&amp;P)'!N4853,
    maturity_date,'Loan Tape (S&amp;P)'!L4853,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54">
      <c r="J4854">
        <f>LET(
    lien,'Loan Tape (S&amp;P)'!Q4854,
    IF(lien="First",1.00,
        IF(lien="Second",1.50,
            1.70)))</f>
        <v/>
      </c>
      <c r="K4854">
        <f>LET(
    purpose,'Loan Tape (S&amp;P)'!R4854,
    IF(purpose="Purchase",1.00,
        IF(purpose="Remortgage",1.00,
            1.20)))</f>
        <v/>
      </c>
      <c r="L4854">
        <f>LET(
    arrears_months,'Loan Tape (S&amp;P)'!AN4854,
    IF(arrears_months=0,1.00,
    IF(arrears_months=1,3.00,
    IF(arrears_months=2,5.00,
    IF(arrears_months=3,8.00,
    IF(arrears_months=4,10.00,
    IF(arrears_months=5,12.00,15.00)))))))</f>
        <v/>
      </c>
      <c r="M4854">
        <f>LET(
    seasoning_years,DATEDIF('Loan Tape (S&amp;P)'!K4854,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54">
        <f>IF(AND('Loan Tape (S&amp;P)'!U4854="Yes",
        'Loan Tape (S&amp;P)'!T4854&lt;&gt;"Yes",
        DATEDIF('Loan Tape (S&amp;P)'!K4854, TODAY(), "M")&lt;18),
    1.10,
    1.00)</f>
        <v/>
      </c>
      <c r="O4854">
        <f>IF('Loan Tape (S&amp;P)'!T4854="Yes",
    1.35,
    1.00)</f>
        <v/>
      </c>
      <c r="P4854">
        <f>IF('Loan Tape (S&amp;P)'!S4854="Yes",
    1.15,
    1.00)</f>
        <v/>
      </c>
      <c r="Q4854">
        <f>IF('Loan Tape (S&amp;P)'!V4854="Yes",
    1.20,
    1.00)</f>
        <v/>
      </c>
      <c r="T4854">
        <f>LET(
    payment_method,'Loan Tape (S&amp;P)'!P4854,
    occupancy,'Loan Tape (S&amp;P)'!N4854,
    maturity_date,'Loan Tape (S&amp;P)'!L4854,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55">
      <c r="J4855">
        <f>LET(
    lien,'Loan Tape (S&amp;P)'!Q4855,
    IF(lien="First",1.00,
        IF(lien="Second",1.50,
            1.70)))</f>
        <v/>
      </c>
      <c r="K4855">
        <f>LET(
    purpose,'Loan Tape (S&amp;P)'!R4855,
    IF(purpose="Purchase",1.00,
        IF(purpose="Remortgage",1.00,
            1.20)))</f>
        <v/>
      </c>
      <c r="L4855">
        <f>LET(
    arrears_months,'Loan Tape (S&amp;P)'!AN4855,
    IF(arrears_months=0,1.00,
    IF(arrears_months=1,3.00,
    IF(arrears_months=2,5.00,
    IF(arrears_months=3,8.00,
    IF(arrears_months=4,10.00,
    IF(arrears_months=5,12.00,15.00)))))))</f>
        <v/>
      </c>
      <c r="M4855">
        <f>LET(
    seasoning_years,DATEDIF('Loan Tape (S&amp;P)'!K4855,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55">
        <f>IF(AND('Loan Tape (S&amp;P)'!U4855="Yes",
        'Loan Tape (S&amp;P)'!T4855&lt;&gt;"Yes",
        DATEDIF('Loan Tape (S&amp;P)'!K4855, TODAY(), "M")&lt;18),
    1.10,
    1.00)</f>
        <v/>
      </c>
      <c r="O4855">
        <f>IF('Loan Tape (S&amp;P)'!T4855="Yes",
    1.35,
    1.00)</f>
        <v/>
      </c>
      <c r="P4855">
        <f>IF('Loan Tape (S&amp;P)'!S4855="Yes",
    1.15,
    1.00)</f>
        <v/>
      </c>
      <c r="Q4855">
        <f>IF('Loan Tape (S&amp;P)'!V4855="Yes",
    1.20,
    1.00)</f>
        <v/>
      </c>
      <c r="T4855">
        <f>LET(
    payment_method,'Loan Tape (S&amp;P)'!P4855,
    occupancy,'Loan Tape (S&amp;P)'!N4855,
    maturity_date,'Loan Tape (S&amp;P)'!L4855,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56">
      <c r="J4856">
        <f>LET(
    lien,'Loan Tape (S&amp;P)'!Q4856,
    IF(lien="First",1.00,
        IF(lien="Second",1.50,
            1.70)))</f>
        <v/>
      </c>
      <c r="K4856">
        <f>LET(
    purpose,'Loan Tape (S&amp;P)'!R4856,
    IF(purpose="Purchase",1.00,
        IF(purpose="Remortgage",1.00,
            1.20)))</f>
        <v/>
      </c>
      <c r="L4856">
        <f>LET(
    arrears_months,'Loan Tape (S&amp;P)'!AN4856,
    IF(arrears_months=0,1.00,
    IF(arrears_months=1,3.00,
    IF(arrears_months=2,5.00,
    IF(arrears_months=3,8.00,
    IF(arrears_months=4,10.00,
    IF(arrears_months=5,12.00,15.00)))))))</f>
        <v/>
      </c>
      <c r="M4856">
        <f>LET(
    seasoning_years,DATEDIF('Loan Tape (S&amp;P)'!K4856,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56">
        <f>IF(AND('Loan Tape (S&amp;P)'!U4856="Yes",
        'Loan Tape (S&amp;P)'!T4856&lt;&gt;"Yes",
        DATEDIF('Loan Tape (S&amp;P)'!K4856, TODAY(), "M")&lt;18),
    1.10,
    1.00)</f>
        <v/>
      </c>
      <c r="O4856">
        <f>IF('Loan Tape (S&amp;P)'!T4856="Yes",
    1.35,
    1.00)</f>
        <v/>
      </c>
      <c r="P4856">
        <f>IF('Loan Tape (S&amp;P)'!S4856="Yes",
    1.15,
    1.00)</f>
        <v/>
      </c>
      <c r="Q4856">
        <f>IF('Loan Tape (S&amp;P)'!V4856="Yes",
    1.20,
    1.00)</f>
        <v/>
      </c>
      <c r="T4856">
        <f>LET(
    payment_method,'Loan Tape (S&amp;P)'!P4856,
    occupancy,'Loan Tape (S&amp;P)'!N4856,
    maturity_date,'Loan Tape (S&amp;P)'!L4856,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57">
      <c r="J4857">
        <f>LET(
    lien,'Loan Tape (S&amp;P)'!Q4857,
    IF(lien="First",1.00,
        IF(lien="Second",1.50,
            1.70)))</f>
        <v/>
      </c>
      <c r="K4857">
        <f>LET(
    purpose,'Loan Tape (S&amp;P)'!R4857,
    IF(purpose="Purchase",1.00,
        IF(purpose="Remortgage",1.00,
            1.20)))</f>
        <v/>
      </c>
      <c r="L4857">
        <f>LET(
    arrears_months,'Loan Tape (S&amp;P)'!AN4857,
    IF(arrears_months=0,1.00,
    IF(arrears_months=1,3.00,
    IF(arrears_months=2,5.00,
    IF(arrears_months=3,8.00,
    IF(arrears_months=4,10.00,
    IF(arrears_months=5,12.00,15.00)))))))</f>
        <v/>
      </c>
      <c r="M4857">
        <f>LET(
    seasoning_years,DATEDIF('Loan Tape (S&amp;P)'!K4857,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57">
        <f>IF(AND('Loan Tape (S&amp;P)'!U4857="Yes",
        'Loan Tape (S&amp;P)'!T4857&lt;&gt;"Yes",
        DATEDIF('Loan Tape (S&amp;P)'!K4857, TODAY(), "M")&lt;18),
    1.10,
    1.00)</f>
        <v/>
      </c>
      <c r="O4857">
        <f>IF('Loan Tape (S&amp;P)'!T4857="Yes",
    1.35,
    1.00)</f>
        <v/>
      </c>
      <c r="P4857">
        <f>IF('Loan Tape (S&amp;P)'!S4857="Yes",
    1.15,
    1.00)</f>
        <v/>
      </c>
      <c r="Q4857">
        <f>IF('Loan Tape (S&amp;P)'!V4857="Yes",
    1.20,
    1.00)</f>
        <v/>
      </c>
      <c r="T4857">
        <f>LET(
    payment_method,'Loan Tape (S&amp;P)'!P4857,
    occupancy,'Loan Tape (S&amp;P)'!N4857,
    maturity_date,'Loan Tape (S&amp;P)'!L4857,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58">
      <c r="J4858">
        <f>LET(
    lien,'Loan Tape (S&amp;P)'!Q4858,
    IF(lien="First",1.00,
        IF(lien="Second",1.50,
            1.70)))</f>
        <v/>
      </c>
      <c r="K4858">
        <f>LET(
    purpose,'Loan Tape (S&amp;P)'!R4858,
    IF(purpose="Purchase",1.00,
        IF(purpose="Remortgage",1.00,
            1.20)))</f>
        <v/>
      </c>
      <c r="L4858">
        <f>LET(
    arrears_months,'Loan Tape (S&amp;P)'!AN4858,
    IF(arrears_months=0,1.00,
    IF(arrears_months=1,3.00,
    IF(arrears_months=2,5.00,
    IF(arrears_months=3,8.00,
    IF(arrears_months=4,10.00,
    IF(arrears_months=5,12.00,15.00)))))))</f>
        <v/>
      </c>
      <c r="M4858">
        <f>LET(
    seasoning_years,DATEDIF('Loan Tape (S&amp;P)'!K4858,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58">
        <f>IF(AND('Loan Tape (S&amp;P)'!U4858="Yes",
        'Loan Tape (S&amp;P)'!T4858&lt;&gt;"Yes",
        DATEDIF('Loan Tape (S&amp;P)'!K4858, TODAY(), "M")&lt;18),
    1.10,
    1.00)</f>
        <v/>
      </c>
      <c r="O4858">
        <f>IF('Loan Tape (S&amp;P)'!T4858="Yes",
    1.35,
    1.00)</f>
        <v/>
      </c>
      <c r="P4858">
        <f>IF('Loan Tape (S&amp;P)'!S4858="Yes",
    1.15,
    1.00)</f>
        <v/>
      </c>
      <c r="Q4858">
        <f>IF('Loan Tape (S&amp;P)'!V4858="Yes",
    1.20,
    1.00)</f>
        <v/>
      </c>
      <c r="T4858">
        <f>LET(
    payment_method,'Loan Tape (S&amp;P)'!P4858,
    occupancy,'Loan Tape (S&amp;P)'!N4858,
    maturity_date,'Loan Tape (S&amp;P)'!L4858,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59">
      <c r="J4859">
        <f>LET(
    lien,'Loan Tape (S&amp;P)'!Q4859,
    IF(lien="First",1.00,
        IF(lien="Second",1.50,
            1.70)))</f>
        <v/>
      </c>
      <c r="K4859">
        <f>LET(
    purpose,'Loan Tape (S&amp;P)'!R4859,
    IF(purpose="Purchase",1.00,
        IF(purpose="Remortgage",1.00,
            1.20)))</f>
        <v/>
      </c>
      <c r="L4859">
        <f>LET(
    arrears_months,'Loan Tape (S&amp;P)'!AN4859,
    IF(arrears_months=0,1.00,
    IF(arrears_months=1,3.00,
    IF(arrears_months=2,5.00,
    IF(arrears_months=3,8.00,
    IF(arrears_months=4,10.00,
    IF(arrears_months=5,12.00,15.00)))))))</f>
        <v/>
      </c>
      <c r="M4859">
        <f>LET(
    seasoning_years,DATEDIF('Loan Tape (S&amp;P)'!K4859,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59">
        <f>IF(AND('Loan Tape (S&amp;P)'!U4859="Yes",
        'Loan Tape (S&amp;P)'!T4859&lt;&gt;"Yes",
        DATEDIF('Loan Tape (S&amp;P)'!K4859, TODAY(), "M")&lt;18),
    1.10,
    1.00)</f>
        <v/>
      </c>
      <c r="O4859">
        <f>IF('Loan Tape (S&amp;P)'!T4859="Yes",
    1.35,
    1.00)</f>
        <v/>
      </c>
      <c r="P4859">
        <f>IF('Loan Tape (S&amp;P)'!S4859="Yes",
    1.15,
    1.00)</f>
        <v/>
      </c>
      <c r="Q4859">
        <f>IF('Loan Tape (S&amp;P)'!V4859="Yes",
    1.20,
    1.00)</f>
        <v/>
      </c>
      <c r="T4859">
        <f>LET(
    payment_method,'Loan Tape (S&amp;P)'!P4859,
    occupancy,'Loan Tape (S&amp;P)'!N4859,
    maturity_date,'Loan Tape (S&amp;P)'!L4859,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60">
      <c r="J4860">
        <f>LET(
    lien,'Loan Tape (S&amp;P)'!Q4860,
    IF(lien="First",1.00,
        IF(lien="Second",1.50,
            1.70)))</f>
        <v/>
      </c>
      <c r="K4860">
        <f>LET(
    purpose,'Loan Tape (S&amp;P)'!R4860,
    IF(purpose="Purchase",1.00,
        IF(purpose="Remortgage",1.00,
            1.20)))</f>
        <v/>
      </c>
      <c r="L4860">
        <f>LET(
    arrears_months,'Loan Tape (S&amp;P)'!AN4860,
    IF(arrears_months=0,1.00,
    IF(arrears_months=1,3.00,
    IF(arrears_months=2,5.00,
    IF(arrears_months=3,8.00,
    IF(arrears_months=4,10.00,
    IF(arrears_months=5,12.00,15.00)))))))</f>
        <v/>
      </c>
      <c r="M4860">
        <f>LET(
    seasoning_years,DATEDIF('Loan Tape (S&amp;P)'!K4860,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60">
        <f>IF(AND('Loan Tape (S&amp;P)'!U4860="Yes",
        'Loan Tape (S&amp;P)'!T4860&lt;&gt;"Yes",
        DATEDIF('Loan Tape (S&amp;P)'!K4860, TODAY(), "M")&lt;18),
    1.10,
    1.00)</f>
        <v/>
      </c>
      <c r="O4860">
        <f>IF('Loan Tape (S&amp;P)'!T4860="Yes",
    1.35,
    1.00)</f>
        <v/>
      </c>
      <c r="P4860">
        <f>IF('Loan Tape (S&amp;P)'!S4860="Yes",
    1.15,
    1.00)</f>
        <v/>
      </c>
      <c r="Q4860">
        <f>IF('Loan Tape (S&amp;P)'!V4860="Yes",
    1.20,
    1.00)</f>
        <v/>
      </c>
      <c r="T4860">
        <f>LET(
    payment_method,'Loan Tape (S&amp;P)'!P4860,
    occupancy,'Loan Tape (S&amp;P)'!N4860,
    maturity_date,'Loan Tape (S&amp;P)'!L4860,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61">
      <c r="J4861">
        <f>LET(
    lien,'Loan Tape (S&amp;P)'!Q4861,
    IF(lien="First",1.00,
        IF(lien="Second",1.50,
            1.70)))</f>
        <v/>
      </c>
      <c r="K4861">
        <f>LET(
    purpose,'Loan Tape (S&amp;P)'!R4861,
    IF(purpose="Purchase",1.00,
        IF(purpose="Remortgage",1.00,
            1.20)))</f>
        <v/>
      </c>
      <c r="L4861">
        <f>LET(
    arrears_months,'Loan Tape (S&amp;P)'!AN4861,
    IF(arrears_months=0,1.00,
    IF(arrears_months=1,3.00,
    IF(arrears_months=2,5.00,
    IF(arrears_months=3,8.00,
    IF(arrears_months=4,10.00,
    IF(arrears_months=5,12.00,15.00)))))))</f>
        <v/>
      </c>
      <c r="M4861">
        <f>LET(
    seasoning_years,DATEDIF('Loan Tape (S&amp;P)'!K4861,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61">
        <f>IF(AND('Loan Tape (S&amp;P)'!U4861="Yes",
        'Loan Tape (S&amp;P)'!T4861&lt;&gt;"Yes",
        DATEDIF('Loan Tape (S&amp;P)'!K4861, TODAY(), "M")&lt;18),
    1.10,
    1.00)</f>
        <v/>
      </c>
      <c r="O4861">
        <f>IF('Loan Tape (S&amp;P)'!T4861="Yes",
    1.35,
    1.00)</f>
        <v/>
      </c>
      <c r="P4861">
        <f>IF('Loan Tape (S&amp;P)'!S4861="Yes",
    1.15,
    1.00)</f>
        <v/>
      </c>
      <c r="Q4861">
        <f>IF('Loan Tape (S&amp;P)'!V4861="Yes",
    1.20,
    1.00)</f>
        <v/>
      </c>
      <c r="T4861">
        <f>LET(
    payment_method,'Loan Tape (S&amp;P)'!P4861,
    occupancy,'Loan Tape (S&amp;P)'!N4861,
    maturity_date,'Loan Tape (S&amp;P)'!L4861,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62">
      <c r="J4862">
        <f>LET(
    lien,'Loan Tape (S&amp;P)'!Q4862,
    IF(lien="First",1.00,
        IF(lien="Second",1.50,
            1.70)))</f>
        <v/>
      </c>
      <c r="K4862">
        <f>LET(
    purpose,'Loan Tape (S&amp;P)'!R4862,
    IF(purpose="Purchase",1.00,
        IF(purpose="Remortgage",1.00,
            1.20)))</f>
        <v/>
      </c>
      <c r="L4862">
        <f>LET(
    arrears_months,'Loan Tape (S&amp;P)'!AN4862,
    IF(arrears_months=0,1.00,
    IF(arrears_months=1,3.00,
    IF(arrears_months=2,5.00,
    IF(arrears_months=3,8.00,
    IF(arrears_months=4,10.00,
    IF(arrears_months=5,12.00,15.00)))))))</f>
        <v/>
      </c>
      <c r="M4862">
        <f>LET(
    seasoning_years,DATEDIF('Loan Tape (S&amp;P)'!K4862,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62">
        <f>IF(AND('Loan Tape (S&amp;P)'!U4862="Yes",
        'Loan Tape (S&amp;P)'!T4862&lt;&gt;"Yes",
        DATEDIF('Loan Tape (S&amp;P)'!K4862, TODAY(), "M")&lt;18),
    1.10,
    1.00)</f>
        <v/>
      </c>
      <c r="O4862">
        <f>IF('Loan Tape (S&amp;P)'!T4862="Yes",
    1.35,
    1.00)</f>
        <v/>
      </c>
      <c r="P4862">
        <f>IF('Loan Tape (S&amp;P)'!S4862="Yes",
    1.15,
    1.00)</f>
        <v/>
      </c>
      <c r="Q4862">
        <f>IF('Loan Tape (S&amp;P)'!V4862="Yes",
    1.20,
    1.00)</f>
        <v/>
      </c>
      <c r="T4862">
        <f>LET(
    payment_method,'Loan Tape (S&amp;P)'!P4862,
    occupancy,'Loan Tape (S&amp;P)'!N4862,
    maturity_date,'Loan Tape (S&amp;P)'!L4862,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63">
      <c r="J4863">
        <f>LET(
    lien,'Loan Tape (S&amp;P)'!Q4863,
    IF(lien="First",1.00,
        IF(lien="Second",1.50,
            1.70)))</f>
        <v/>
      </c>
      <c r="K4863">
        <f>LET(
    purpose,'Loan Tape (S&amp;P)'!R4863,
    IF(purpose="Purchase",1.00,
        IF(purpose="Remortgage",1.00,
            1.20)))</f>
        <v/>
      </c>
      <c r="L4863">
        <f>LET(
    arrears_months,'Loan Tape (S&amp;P)'!AN4863,
    IF(arrears_months=0,1.00,
    IF(arrears_months=1,3.00,
    IF(arrears_months=2,5.00,
    IF(arrears_months=3,8.00,
    IF(arrears_months=4,10.00,
    IF(arrears_months=5,12.00,15.00)))))))</f>
        <v/>
      </c>
      <c r="M4863">
        <f>LET(
    seasoning_years,DATEDIF('Loan Tape (S&amp;P)'!K4863,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63">
        <f>IF(AND('Loan Tape (S&amp;P)'!U4863="Yes",
        'Loan Tape (S&amp;P)'!T4863&lt;&gt;"Yes",
        DATEDIF('Loan Tape (S&amp;P)'!K4863, TODAY(), "M")&lt;18),
    1.10,
    1.00)</f>
        <v/>
      </c>
      <c r="O4863">
        <f>IF('Loan Tape (S&amp;P)'!T4863="Yes",
    1.35,
    1.00)</f>
        <v/>
      </c>
      <c r="P4863">
        <f>IF('Loan Tape (S&amp;P)'!S4863="Yes",
    1.15,
    1.00)</f>
        <v/>
      </c>
      <c r="Q4863">
        <f>IF('Loan Tape (S&amp;P)'!V4863="Yes",
    1.20,
    1.00)</f>
        <v/>
      </c>
      <c r="T4863">
        <f>LET(
    payment_method,'Loan Tape (S&amp;P)'!P4863,
    occupancy,'Loan Tape (S&amp;P)'!N4863,
    maturity_date,'Loan Tape (S&amp;P)'!L4863,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64">
      <c r="J4864">
        <f>LET(
    lien,'Loan Tape (S&amp;P)'!Q4864,
    IF(lien="First",1.00,
        IF(lien="Second",1.50,
            1.70)))</f>
        <v/>
      </c>
      <c r="K4864">
        <f>LET(
    purpose,'Loan Tape (S&amp;P)'!R4864,
    IF(purpose="Purchase",1.00,
        IF(purpose="Remortgage",1.00,
            1.20)))</f>
        <v/>
      </c>
      <c r="L4864">
        <f>LET(
    arrears_months,'Loan Tape (S&amp;P)'!AN4864,
    IF(arrears_months=0,1.00,
    IF(arrears_months=1,3.00,
    IF(arrears_months=2,5.00,
    IF(arrears_months=3,8.00,
    IF(arrears_months=4,10.00,
    IF(arrears_months=5,12.00,15.00)))))))</f>
        <v/>
      </c>
      <c r="M4864">
        <f>LET(
    seasoning_years,DATEDIF('Loan Tape (S&amp;P)'!K4864,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64">
        <f>IF(AND('Loan Tape (S&amp;P)'!U4864="Yes",
        'Loan Tape (S&amp;P)'!T4864&lt;&gt;"Yes",
        DATEDIF('Loan Tape (S&amp;P)'!K4864, TODAY(), "M")&lt;18),
    1.10,
    1.00)</f>
        <v/>
      </c>
      <c r="O4864">
        <f>IF('Loan Tape (S&amp;P)'!T4864="Yes",
    1.35,
    1.00)</f>
        <v/>
      </c>
      <c r="P4864">
        <f>IF('Loan Tape (S&amp;P)'!S4864="Yes",
    1.15,
    1.00)</f>
        <v/>
      </c>
      <c r="Q4864">
        <f>IF('Loan Tape (S&amp;P)'!V4864="Yes",
    1.20,
    1.00)</f>
        <v/>
      </c>
      <c r="T4864">
        <f>LET(
    payment_method,'Loan Tape (S&amp;P)'!P4864,
    occupancy,'Loan Tape (S&amp;P)'!N4864,
    maturity_date,'Loan Tape (S&amp;P)'!L4864,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65">
      <c r="J4865">
        <f>LET(
    lien,'Loan Tape (S&amp;P)'!Q4865,
    IF(lien="First",1.00,
        IF(lien="Second",1.50,
            1.70)))</f>
        <v/>
      </c>
      <c r="K4865">
        <f>LET(
    purpose,'Loan Tape (S&amp;P)'!R4865,
    IF(purpose="Purchase",1.00,
        IF(purpose="Remortgage",1.00,
            1.20)))</f>
        <v/>
      </c>
      <c r="L4865">
        <f>LET(
    arrears_months,'Loan Tape (S&amp;P)'!AN4865,
    IF(arrears_months=0,1.00,
    IF(arrears_months=1,3.00,
    IF(arrears_months=2,5.00,
    IF(arrears_months=3,8.00,
    IF(arrears_months=4,10.00,
    IF(arrears_months=5,12.00,15.00)))))))</f>
        <v/>
      </c>
      <c r="M4865">
        <f>LET(
    seasoning_years,DATEDIF('Loan Tape (S&amp;P)'!K4865,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65">
        <f>IF(AND('Loan Tape (S&amp;P)'!U4865="Yes",
        'Loan Tape (S&amp;P)'!T4865&lt;&gt;"Yes",
        DATEDIF('Loan Tape (S&amp;P)'!K4865, TODAY(), "M")&lt;18),
    1.10,
    1.00)</f>
        <v/>
      </c>
      <c r="O4865">
        <f>IF('Loan Tape (S&amp;P)'!T4865="Yes",
    1.35,
    1.00)</f>
        <v/>
      </c>
      <c r="P4865">
        <f>IF('Loan Tape (S&amp;P)'!S4865="Yes",
    1.15,
    1.00)</f>
        <v/>
      </c>
      <c r="Q4865">
        <f>IF('Loan Tape (S&amp;P)'!V4865="Yes",
    1.20,
    1.00)</f>
        <v/>
      </c>
      <c r="T4865">
        <f>LET(
    payment_method,'Loan Tape (S&amp;P)'!P4865,
    occupancy,'Loan Tape (S&amp;P)'!N4865,
    maturity_date,'Loan Tape (S&amp;P)'!L4865,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66">
      <c r="J4866">
        <f>LET(
    lien,'Loan Tape (S&amp;P)'!Q4866,
    IF(lien="First",1.00,
        IF(lien="Second",1.50,
            1.70)))</f>
        <v/>
      </c>
      <c r="K4866">
        <f>LET(
    purpose,'Loan Tape (S&amp;P)'!R4866,
    IF(purpose="Purchase",1.00,
        IF(purpose="Remortgage",1.00,
            1.20)))</f>
        <v/>
      </c>
      <c r="L4866">
        <f>LET(
    arrears_months,'Loan Tape (S&amp;P)'!AN4866,
    IF(arrears_months=0,1.00,
    IF(arrears_months=1,3.00,
    IF(arrears_months=2,5.00,
    IF(arrears_months=3,8.00,
    IF(arrears_months=4,10.00,
    IF(arrears_months=5,12.00,15.00)))))))</f>
        <v/>
      </c>
      <c r="M4866">
        <f>LET(
    seasoning_years,DATEDIF('Loan Tape (S&amp;P)'!K4866,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66">
        <f>IF(AND('Loan Tape (S&amp;P)'!U4866="Yes",
        'Loan Tape (S&amp;P)'!T4866&lt;&gt;"Yes",
        DATEDIF('Loan Tape (S&amp;P)'!K4866, TODAY(), "M")&lt;18),
    1.10,
    1.00)</f>
        <v/>
      </c>
      <c r="O4866">
        <f>IF('Loan Tape (S&amp;P)'!T4866="Yes",
    1.35,
    1.00)</f>
        <v/>
      </c>
      <c r="P4866">
        <f>IF('Loan Tape (S&amp;P)'!S4866="Yes",
    1.15,
    1.00)</f>
        <v/>
      </c>
      <c r="Q4866">
        <f>IF('Loan Tape (S&amp;P)'!V4866="Yes",
    1.20,
    1.00)</f>
        <v/>
      </c>
      <c r="T4866">
        <f>LET(
    payment_method,'Loan Tape (S&amp;P)'!P4866,
    occupancy,'Loan Tape (S&amp;P)'!N4866,
    maturity_date,'Loan Tape (S&amp;P)'!L4866,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67">
      <c r="J4867">
        <f>LET(
    lien,'Loan Tape (S&amp;P)'!Q4867,
    IF(lien="First",1.00,
        IF(lien="Second",1.50,
            1.70)))</f>
        <v/>
      </c>
      <c r="K4867">
        <f>LET(
    purpose,'Loan Tape (S&amp;P)'!R4867,
    IF(purpose="Purchase",1.00,
        IF(purpose="Remortgage",1.00,
            1.20)))</f>
        <v/>
      </c>
      <c r="L4867">
        <f>LET(
    arrears_months,'Loan Tape (S&amp;P)'!AN4867,
    IF(arrears_months=0,1.00,
    IF(arrears_months=1,3.00,
    IF(arrears_months=2,5.00,
    IF(arrears_months=3,8.00,
    IF(arrears_months=4,10.00,
    IF(arrears_months=5,12.00,15.00)))))))</f>
        <v/>
      </c>
      <c r="M4867">
        <f>LET(
    seasoning_years,DATEDIF('Loan Tape (S&amp;P)'!K4867,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67">
        <f>IF(AND('Loan Tape (S&amp;P)'!U4867="Yes",
        'Loan Tape (S&amp;P)'!T4867&lt;&gt;"Yes",
        DATEDIF('Loan Tape (S&amp;P)'!K4867, TODAY(), "M")&lt;18),
    1.10,
    1.00)</f>
        <v/>
      </c>
      <c r="O4867">
        <f>IF('Loan Tape (S&amp;P)'!T4867="Yes",
    1.35,
    1.00)</f>
        <v/>
      </c>
      <c r="P4867">
        <f>IF('Loan Tape (S&amp;P)'!S4867="Yes",
    1.15,
    1.00)</f>
        <v/>
      </c>
      <c r="Q4867">
        <f>IF('Loan Tape (S&amp;P)'!V4867="Yes",
    1.20,
    1.00)</f>
        <v/>
      </c>
      <c r="T4867">
        <f>LET(
    payment_method,'Loan Tape (S&amp;P)'!P4867,
    occupancy,'Loan Tape (S&amp;P)'!N4867,
    maturity_date,'Loan Tape (S&amp;P)'!L4867,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68">
      <c r="J4868">
        <f>LET(
    lien,'Loan Tape (S&amp;P)'!Q4868,
    IF(lien="First",1.00,
        IF(lien="Second",1.50,
            1.70)))</f>
        <v/>
      </c>
      <c r="K4868">
        <f>LET(
    purpose,'Loan Tape (S&amp;P)'!R4868,
    IF(purpose="Purchase",1.00,
        IF(purpose="Remortgage",1.00,
            1.20)))</f>
        <v/>
      </c>
      <c r="L4868">
        <f>LET(
    arrears_months,'Loan Tape (S&amp;P)'!AN4868,
    IF(arrears_months=0,1.00,
    IF(arrears_months=1,3.00,
    IF(arrears_months=2,5.00,
    IF(arrears_months=3,8.00,
    IF(arrears_months=4,10.00,
    IF(arrears_months=5,12.00,15.00)))))))</f>
        <v/>
      </c>
      <c r="M4868">
        <f>LET(
    seasoning_years,DATEDIF('Loan Tape (S&amp;P)'!K4868,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68">
        <f>IF(AND('Loan Tape (S&amp;P)'!U4868="Yes",
        'Loan Tape (S&amp;P)'!T4868&lt;&gt;"Yes",
        DATEDIF('Loan Tape (S&amp;P)'!K4868, TODAY(), "M")&lt;18),
    1.10,
    1.00)</f>
        <v/>
      </c>
      <c r="O4868">
        <f>IF('Loan Tape (S&amp;P)'!T4868="Yes",
    1.35,
    1.00)</f>
        <v/>
      </c>
      <c r="P4868">
        <f>IF('Loan Tape (S&amp;P)'!S4868="Yes",
    1.15,
    1.00)</f>
        <v/>
      </c>
      <c r="Q4868">
        <f>IF('Loan Tape (S&amp;P)'!V4868="Yes",
    1.20,
    1.00)</f>
        <v/>
      </c>
      <c r="T4868">
        <f>LET(
    payment_method,'Loan Tape (S&amp;P)'!P4868,
    occupancy,'Loan Tape (S&amp;P)'!N4868,
    maturity_date,'Loan Tape (S&amp;P)'!L4868,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69">
      <c r="J4869">
        <f>LET(
    lien,'Loan Tape (S&amp;P)'!Q4869,
    IF(lien="First",1.00,
        IF(lien="Second",1.50,
            1.70)))</f>
        <v/>
      </c>
      <c r="K4869">
        <f>LET(
    purpose,'Loan Tape (S&amp;P)'!R4869,
    IF(purpose="Purchase",1.00,
        IF(purpose="Remortgage",1.00,
            1.20)))</f>
        <v/>
      </c>
      <c r="L4869">
        <f>LET(
    arrears_months,'Loan Tape (S&amp;P)'!AN4869,
    IF(arrears_months=0,1.00,
    IF(arrears_months=1,3.00,
    IF(arrears_months=2,5.00,
    IF(arrears_months=3,8.00,
    IF(arrears_months=4,10.00,
    IF(arrears_months=5,12.00,15.00)))))))</f>
        <v/>
      </c>
      <c r="M4869">
        <f>LET(
    seasoning_years,DATEDIF('Loan Tape (S&amp;P)'!K4869,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69">
        <f>IF(AND('Loan Tape (S&amp;P)'!U4869="Yes",
        'Loan Tape (S&amp;P)'!T4869&lt;&gt;"Yes",
        DATEDIF('Loan Tape (S&amp;P)'!K4869, TODAY(), "M")&lt;18),
    1.10,
    1.00)</f>
        <v/>
      </c>
      <c r="O4869">
        <f>IF('Loan Tape (S&amp;P)'!T4869="Yes",
    1.35,
    1.00)</f>
        <v/>
      </c>
      <c r="P4869">
        <f>IF('Loan Tape (S&amp;P)'!S4869="Yes",
    1.15,
    1.00)</f>
        <v/>
      </c>
      <c r="Q4869">
        <f>IF('Loan Tape (S&amp;P)'!V4869="Yes",
    1.20,
    1.00)</f>
        <v/>
      </c>
      <c r="T4869">
        <f>LET(
    payment_method,'Loan Tape (S&amp;P)'!P4869,
    occupancy,'Loan Tape (S&amp;P)'!N4869,
    maturity_date,'Loan Tape (S&amp;P)'!L4869,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70">
      <c r="J4870">
        <f>LET(
    lien,'Loan Tape (S&amp;P)'!Q4870,
    IF(lien="First",1.00,
        IF(lien="Second",1.50,
            1.70)))</f>
        <v/>
      </c>
      <c r="K4870">
        <f>LET(
    purpose,'Loan Tape (S&amp;P)'!R4870,
    IF(purpose="Purchase",1.00,
        IF(purpose="Remortgage",1.00,
            1.20)))</f>
        <v/>
      </c>
      <c r="L4870">
        <f>LET(
    arrears_months,'Loan Tape (S&amp;P)'!AN4870,
    IF(arrears_months=0,1.00,
    IF(arrears_months=1,3.00,
    IF(arrears_months=2,5.00,
    IF(arrears_months=3,8.00,
    IF(arrears_months=4,10.00,
    IF(arrears_months=5,12.00,15.00)))))))</f>
        <v/>
      </c>
      <c r="M4870">
        <f>LET(
    seasoning_years,DATEDIF('Loan Tape (S&amp;P)'!K4870,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70">
        <f>IF(AND('Loan Tape (S&amp;P)'!U4870="Yes",
        'Loan Tape (S&amp;P)'!T4870&lt;&gt;"Yes",
        DATEDIF('Loan Tape (S&amp;P)'!K4870, TODAY(), "M")&lt;18),
    1.10,
    1.00)</f>
        <v/>
      </c>
      <c r="O4870">
        <f>IF('Loan Tape (S&amp;P)'!T4870="Yes",
    1.35,
    1.00)</f>
        <v/>
      </c>
      <c r="P4870">
        <f>IF('Loan Tape (S&amp;P)'!S4870="Yes",
    1.15,
    1.00)</f>
        <v/>
      </c>
      <c r="Q4870">
        <f>IF('Loan Tape (S&amp;P)'!V4870="Yes",
    1.20,
    1.00)</f>
        <v/>
      </c>
      <c r="T4870">
        <f>LET(
    payment_method,'Loan Tape (S&amp;P)'!P4870,
    occupancy,'Loan Tape (S&amp;P)'!N4870,
    maturity_date,'Loan Tape (S&amp;P)'!L4870,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71">
      <c r="J4871">
        <f>LET(
    lien,'Loan Tape (S&amp;P)'!Q4871,
    IF(lien="First",1.00,
        IF(lien="Second",1.50,
            1.70)))</f>
        <v/>
      </c>
      <c r="K4871">
        <f>LET(
    purpose,'Loan Tape (S&amp;P)'!R4871,
    IF(purpose="Purchase",1.00,
        IF(purpose="Remortgage",1.00,
            1.20)))</f>
        <v/>
      </c>
      <c r="L4871">
        <f>LET(
    arrears_months,'Loan Tape (S&amp;P)'!AN4871,
    IF(arrears_months=0,1.00,
    IF(arrears_months=1,3.00,
    IF(arrears_months=2,5.00,
    IF(arrears_months=3,8.00,
    IF(arrears_months=4,10.00,
    IF(arrears_months=5,12.00,15.00)))))))</f>
        <v/>
      </c>
      <c r="M4871">
        <f>LET(
    seasoning_years,DATEDIF('Loan Tape (S&amp;P)'!K4871,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71">
        <f>IF(AND('Loan Tape (S&amp;P)'!U4871="Yes",
        'Loan Tape (S&amp;P)'!T4871&lt;&gt;"Yes",
        DATEDIF('Loan Tape (S&amp;P)'!K4871, TODAY(), "M")&lt;18),
    1.10,
    1.00)</f>
        <v/>
      </c>
      <c r="O4871">
        <f>IF('Loan Tape (S&amp;P)'!T4871="Yes",
    1.35,
    1.00)</f>
        <v/>
      </c>
      <c r="P4871">
        <f>IF('Loan Tape (S&amp;P)'!S4871="Yes",
    1.15,
    1.00)</f>
        <v/>
      </c>
      <c r="Q4871">
        <f>IF('Loan Tape (S&amp;P)'!V4871="Yes",
    1.20,
    1.00)</f>
        <v/>
      </c>
      <c r="T4871">
        <f>LET(
    payment_method,'Loan Tape (S&amp;P)'!P4871,
    occupancy,'Loan Tape (S&amp;P)'!N4871,
    maturity_date,'Loan Tape (S&amp;P)'!L4871,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72">
      <c r="J4872">
        <f>LET(
    lien,'Loan Tape (S&amp;P)'!Q4872,
    IF(lien="First",1.00,
        IF(lien="Second",1.50,
            1.70)))</f>
        <v/>
      </c>
      <c r="K4872">
        <f>LET(
    purpose,'Loan Tape (S&amp;P)'!R4872,
    IF(purpose="Purchase",1.00,
        IF(purpose="Remortgage",1.00,
            1.20)))</f>
        <v/>
      </c>
      <c r="L4872">
        <f>LET(
    arrears_months,'Loan Tape (S&amp;P)'!AN4872,
    IF(arrears_months=0,1.00,
    IF(arrears_months=1,3.00,
    IF(arrears_months=2,5.00,
    IF(arrears_months=3,8.00,
    IF(arrears_months=4,10.00,
    IF(arrears_months=5,12.00,15.00)))))))</f>
        <v/>
      </c>
      <c r="M4872">
        <f>LET(
    seasoning_years,DATEDIF('Loan Tape (S&amp;P)'!K4872,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72">
        <f>IF(AND('Loan Tape (S&amp;P)'!U4872="Yes",
        'Loan Tape (S&amp;P)'!T4872&lt;&gt;"Yes",
        DATEDIF('Loan Tape (S&amp;P)'!K4872, TODAY(), "M")&lt;18),
    1.10,
    1.00)</f>
        <v/>
      </c>
      <c r="O4872">
        <f>IF('Loan Tape (S&amp;P)'!T4872="Yes",
    1.35,
    1.00)</f>
        <v/>
      </c>
      <c r="P4872">
        <f>IF('Loan Tape (S&amp;P)'!S4872="Yes",
    1.15,
    1.00)</f>
        <v/>
      </c>
      <c r="Q4872">
        <f>IF('Loan Tape (S&amp;P)'!V4872="Yes",
    1.20,
    1.00)</f>
        <v/>
      </c>
      <c r="T4872">
        <f>LET(
    payment_method,'Loan Tape (S&amp;P)'!P4872,
    occupancy,'Loan Tape (S&amp;P)'!N4872,
    maturity_date,'Loan Tape (S&amp;P)'!L4872,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73">
      <c r="J4873">
        <f>LET(
    lien,'Loan Tape (S&amp;P)'!Q4873,
    IF(lien="First",1.00,
        IF(lien="Second",1.50,
            1.70)))</f>
        <v/>
      </c>
      <c r="K4873">
        <f>LET(
    purpose,'Loan Tape (S&amp;P)'!R4873,
    IF(purpose="Purchase",1.00,
        IF(purpose="Remortgage",1.00,
            1.20)))</f>
        <v/>
      </c>
      <c r="L4873">
        <f>LET(
    arrears_months,'Loan Tape (S&amp;P)'!AN4873,
    IF(arrears_months=0,1.00,
    IF(arrears_months=1,3.00,
    IF(arrears_months=2,5.00,
    IF(arrears_months=3,8.00,
    IF(arrears_months=4,10.00,
    IF(arrears_months=5,12.00,15.00)))))))</f>
        <v/>
      </c>
      <c r="M4873">
        <f>LET(
    seasoning_years,DATEDIF('Loan Tape (S&amp;P)'!K4873,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73">
        <f>IF(AND('Loan Tape (S&amp;P)'!U4873="Yes",
        'Loan Tape (S&amp;P)'!T4873&lt;&gt;"Yes",
        DATEDIF('Loan Tape (S&amp;P)'!K4873, TODAY(), "M")&lt;18),
    1.10,
    1.00)</f>
        <v/>
      </c>
      <c r="O4873">
        <f>IF('Loan Tape (S&amp;P)'!T4873="Yes",
    1.35,
    1.00)</f>
        <v/>
      </c>
      <c r="P4873">
        <f>IF('Loan Tape (S&amp;P)'!S4873="Yes",
    1.15,
    1.00)</f>
        <v/>
      </c>
      <c r="Q4873">
        <f>IF('Loan Tape (S&amp;P)'!V4873="Yes",
    1.20,
    1.00)</f>
        <v/>
      </c>
      <c r="T4873">
        <f>LET(
    payment_method,'Loan Tape (S&amp;P)'!P4873,
    occupancy,'Loan Tape (S&amp;P)'!N4873,
    maturity_date,'Loan Tape (S&amp;P)'!L4873,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74">
      <c r="J4874">
        <f>LET(
    lien,'Loan Tape (S&amp;P)'!Q4874,
    IF(lien="First",1.00,
        IF(lien="Second",1.50,
            1.70)))</f>
        <v/>
      </c>
      <c r="K4874">
        <f>LET(
    purpose,'Loan Tape (S&amp;P)'!R4874,
    IF(purpose="Purchase",1.00,
        IF(purpose="Remortgage",1.00,
            1.20)))</f>
        <v/>
      </c>
      <c r="L4874">
        <f>LET(
    arrears_months,'Loan Tape (S&amp;P)'!AN4874,
    IF(arrears_months=0,1.00,
    IF(arrears_months=1,3.00,
    IF(arrears_months=2,5.00,
    IF(arrears_months=3,8.00,
    IF(arrears_months=4,10.00,
    IF(arrears_months=5,12.00,15.00)))))))</f>
        <v/>
      </c>
      <c r="M4874">
        <f>LET(
    seasoning_years,DATEDIF('Loan Tape (S&amp;P)'!K4874,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74">
        <f>IF(AND('Loan Tape (S&amp;P)'!U4874="Yes",
        'Loan Tape (S&amp;P)'!T4874&lt;&gt;"Yes",
        DATEDIF('Loan Tape (S&amp;P)'!K4874, TODAY(), "M")&lt;18),
    1.10,
    1.00)</f>
        <v/>
      </c>
      <c r="O4874">
        <f>IF('Loan Tape (S&amp;P)'!T4874="Yes",
    1.35,
    1.00)</f>
        <v/>
      </c>
      <c r="P4874">
        <f>IF('Loan Tape (S&amp;P)'!S4874="Yes",
    1.15,
    1.00)</f>
        <v/>
      </c>
      <c r="Q4874">
        <f>IF('Loan Tape (S&amp;P)'!V4874="Yes",
    1.20,
    1.00)</f>
        <v/>
      </c>
      <c r="T4874">
        <f>LET(
    payment_method,'Loan Tape (S&amp;P)'!P4874,
    occupancy,'Loan Tape (S&amp;P)'!N4874,
    maturity_date,'Loan Tape (S&amp;P)'!L4874,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75">
      <c r="J4875">
        <f>LET(
    lien,'Loan Tape (S&amp;P)'!Q4875,
    IF(lien="First",1.00,
        IF(lien="Second",1.50,
            1.70)))</f>
        <v/>
      </c>
      <c r="K4875">
        <f>LET(
    purpose,'Loan Tape (S&amp;P)'!R4875,
    IF(purpose="Purchase",1.00,
        IF(purpose="Remortgage",1.00,
            1.20)))</f>
        <v/>
      </c>
      <c r="L4875">
        <f>LET(
    arrears_months,'Loan Tape (S&amp;P)'!AN4875,
    IF(arrears_months=0,1.00,
    IF(arrears_months=1,3.00,
    IF(arrears_months=2,5.00,
    IF(arrears_months=3,8.00,
    IF(arrears_months=4,10.00,
    IF(arrears_months=5,12.00,15.00)))))))</f>
        <v/>
      </c>
      <c r="M4875">
        <f>LET(
    seasoning_years,DATEDIF('Loan Tape (S&amp;P)'!K4875,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75">
        <f>IF(AND('Loan Tape (S&amp;P)'!U4875="Yes",
        'Loan Tape (S&amp;P)'!T4875&lt;&gt;"Yes",
        DATEDIF('Loan Tape (S&amp;P)'!K4875, TODAY(), "M")&lt;18),
    1.10,
    1.00)</f>
        <v/>
      </c>
      <c r="O4875">
        <f>IF('Loan Tape (S&amp;P)'!T4875="Yes",
    1.35,
    1.00)</f>
        <v/>
      </c>
      <c r="P4875">
        <f>IF('Loan Tape (S&amp;P)'!S4875="Yes",
    1.15,
    1.00)</f>
        <v/>
      </c>
      <c r="Q4875">
        <f>IF('Loan Tape (S&amp;P)'!V4875="Yes",
    1.20,
    1.00)</f>
        <v/>
      </c>
      <c r="T4875">
        <f>LET(
    payment_method,'Loan Tape (S&amp;P)'!P4875,
    occupancy,'Loan Tape (S&amp;P)'!N4875,
    maturity_date,'Loan Tape (S&amp;P)'!L4875,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76">
      <c r="J4876">
        <f>LET(
    lien,'Loan Tape (S&amp;P)'!Q4876,
    IF(lien="First",1.00,
        IF(lien="Second",1.50,
            1.70)))</f>
        <v/>
      </c>
      <c r="K4876">
        <f>LET(
    purpose,'Loan Tape (S&amp;P)'!R4876,
    IF(purpose="Purchase",1.00,
        IF(purpose="Remortgage",1.00,
            1.20)))</f>
        <v/>
      </c>
      <c r="L4876">
        <f>LET(
    arrears_months,'Loan Tape (S&amp;P)'!AN4876,
    IF(arrears_months=0,1.00,
    IF(arrears_months=1,3.00,
    IF(arrears_months=2,5.00,
    IF(arrears_months=3,8.00,
    IF(arrears_months=4,10.00,
    IF(arrears_months=5,12.00,15.00)))))))</f>
        <v/>
      </c>
      <c r="M4876">
        <f>LET(
    seasoning_years,DATEDIF('Loan Tape (S&amp;P)'!K4876,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76">
        <f>IF(AND('Loan Tape (S&amp;P)'!U4876="Yes",
        'Loan Tape (S&amp;P)'!T4876&lt;&gt;"Yes",
        DATEDIF('Loan Tape (S&amp;P)'!K4876, TODAY(), "M")&lt;18),
    1.10,
    1.00)</f>
        <v/>
      </c>
      <c r="O4876">
        <f>IF('Loan Tape (S&amp;P)'!T4876="Yes",
    1.35,
    1.00)</f>
        <v/>
      </c>
      <c r="P4876">
        <f>IF('Loan Tape (S&amp;P)'!S4876="Yes",
    1.15,
    1.00)</f>
        <v/>
      </c>
      <c r="Q4876">
        <f>IF('Loan Tape (S&amp;P)'!V4876="Yes",
    1.20,
    1.00)</f>
        <v/>
      </c>
      <c r="T4876">
        <f>LET(
    payment_method,'Loan Tape (S&amp;P)'!P4876,
    occupancy,'Loan Tape (S&amp;P)'!N4876,
    maturity_date,'Loan Tape (S&amp;P)'!L4876,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77">
      <c r="J4877">
        <f>LET(
    lien,'Loan Tape (S&amp;P)'!Q4877,
    IF(lien="First",1.00,
        IF(lien="Second",1.50,
            1.70)))</f>
        <v/>
      </c>
      <c r="K4877">
        <f>LET(
    purpose,'Loan Tape (S&amp;P)'!R4877,
    IF(purpose="Purchase",1.00,
        IF(purpose="Remortgage",1.00,
            1.20)))</f>
        <v/>
      </c>
      <c r="L4877">
        <f>LET(
    arrears_months,'Loan Tape (S&amp;P)'!AN4877,
    IF(arrears_months=0,1.00,
    IF(arrears_months=1,3.00,
    IF(arrears_months=2,5.00,
    IF(arrears_months=3,8.00,
    IF(arrears_months=4,10.00,
    IF(arrears_months=5,12.00,15.00)))))))</f>
        <v/>
      </c>
      <c r="M4877">
        <f>LET(
    seasoning_years,DATEDIF('Loan Tape (S&amp;P)'!K4877,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77">
        <f>IF(AND('Loan Tape (S&amp;P)'!U4877="Yes",
        'Loan Tape (S&amp;P)'!T4877&lt;&gt;"Yes",
        DATEDIF('Loan Tape (S&amp;P)'!K4877, TODAY(), "M")&lt;18),
    1.10,
    1.00)</f>
        <v/>
      </c>
      <c r="O4877">
        <f>IF('Loan Tape (S&amp;P)'!T4877="Yes",
    1.35,
    1.00)</f>
        <v/>
      </c>
      <c r="P4877">
        <f>IF('Loan Tape (S&amp;P)'!S4877="Yes",
    1.15,
    1.00)</f>
        <v/>
      </c>
      <c r="Q4877">
        <f>IF('Loan Tape (S&amp;P)'!V4877="Yes",
    1.20,
    1.00)</f>
        <v/>
      </c>
      <c r="T4877">
        <f>LET(
    payment_method,'Loan Tape (S&amp;P)'!P4877,
    occupancy,'Loan Tape (S&amp;P)'!N4877,
    maturity_date,'Loan Tape (S&amp;P)'!L4877,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78">
      <c r="J4878">
        <f>LET(
    lien,'Loan Tape (S&amp;P)'!Q4878,
    IF(lien="First",1.00,
        IF(lien="Second",1.50,
            1.70)))</f>
        <v/>
      </c>
      <c r="K4878">
        <f>LET(
    purpose,'Loan Tape (S&amp;P)'!R4878,
    IF(purpose="Purchase",1.00,
        IF(purpose="Remortgage",1.00,
            1.20)))</f>
        <v/>
      </c>
      <c r="L4878">
        <f>LET(
    arrears_months,'Loan Tape (S&amp;P)'!AN4878,
    IF(arrears_months=0,1.00,
    IF(arrears_months=1,3.00,
    IF(arrears_months=2,5.00,
    IF(arrears_months=3,8.00,
    IF(arrears_months=4,10.00,
    IF(arrears_months=5,12.00,15.00)))))))</f>
        <v/>
      </c>
      <c r="M4878">
        <f>LET(
    seasoning_years,DATEDIF('Loan Tape (S&amp;P)'!K4878,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78">
        <f>IF(AND('Loan Tape (S&amp;P)'!U4878="Yes",
        'Loan Tape (S&amp;P)'!T4878&lt;&gt;"Yes",
        DATEDIF('Loan Tape (S&amp;P)'!K4878, TODAY(), "M")&lt;18),
    1.10,
    1.00)</f>
        <v/>
      </c>
      <c r="O4878">
        <f>IF('Loan Tape (S&amp;P)'!T4878="Yes",
    1.35,
    1.00)</f>
        <v/>
      </c>
      <c r="P4878">
        <f>IF('Loan Tape (S&amp;P)'!S4878="Yes",
    1.15,
    1.00)</f>
        <v/>
      </c>
      <c r="Q4878">
        <f>IF('Loan Tape (S&amp;P)'!V4878="Yes",
    1.20,
    1.00)</f>
        <v/>
      </c>
      <c r="T4878">
        <f>LET(
    payment_method,'Loan Tape (S&amp;P)'!P4878,
    occupancy,'Loan Tape (S&amp;P)'!N4878,
    maturity_date,'Loan Tape (S&amp;P)'!L4878,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79">
      <c r="J4879">
        <f>LET(
    lien,'Loan Tape (S&amp;P)'!Q4879,
    IF(lien="First",1.00,
        IF(lien="Second",1.50,
            1.70)))</f>
        <v/>
      </c>
      <c r="K4879">
        <f>LET(
    purpose,'Loan Tape (S&amp;P)'!R4879,
    IF(purpose="Purchase",1.00,
        IF(purpose="Remortgage",1.00,
            1.20)))</f>
        <v/>
      </c>
      <c r="L4879">
        <f>LET(
    arrears_months,'Loan Tape (S&amp;P)'!AN4879,
    IF(arrears_months=0,1.00,
    IF(arrears_months=1,3.00,
    IF(arrears_months=2,5.00,
    IF(arrears_months=3,8.00,
    IF(arrears_months=4,10.00,
    IF(arrears_months=5,12.00,15.00)))))))</f>
        <v/>
      </c>
      <c r="M4879">
        <f>LET(
    seasoning_years,DATEDIF('Loan Tape (S&amp;P)'!K4879,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79">
        <f>IF(AND('Loan Tape (S&amp;P)'!U4879="Yes",
        'Loan Tape (S&amp;P)'!T4879&lt;&gt;"Yes",
        DATEDIF('Loan Tape (S&amp;P)'!K4879, TODAY(), "M")&lt;18),
    1.10,
    1.00)</f>
        <v/>
      </c>
      <c r="O4879">
        <f>IF('Loan Tape (S&amp;P)'!T4879="Yes",
    1.35,
    1.00)</f>
        <v/>
      </c>
      <c r="P4879">
        <f>IF('Loan Tape (S&amp;P)'!S4879="Yes",
    1.15,
    1.00)</f>
        <v/>
      </c>
      <c r="Q4879">
        <f>IF('Loan Tape (S&amp;P)'!V4879="Yes",
    1.20,
    1.00)</f>
        <v/>
      </c>
      <c r="T4879">
        <f>LET(
    payment_method,'Loan Tape (S&amp;P)'!P4879,
    occupancy,'Loan Tape (S&amp;P)'!N4879,
    maturity_date,'Loan Tape (S&amp;P)'!L4879,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80">
      <c r="J4880">
        <f>LET(
    lien,'Loan Tape (S&amp;P)'!Q4880,
    IF(lien="First",1.00,
        IF(lien="Second",1.50,
            1.70)))</f>
        <v/>
      </c>
      <c r="K4880">
        <f>LET(
    purpose,'Loan Tape (S&amp;P)'!R4880,
    IF(purpose="Purchase",1.00,
        IF(purpose="Remortgage",1.00,
            1.20)))</f>
        <v/>
      </c>
      <c r="L4880">
        <f>LET(
    arrears_months,'Loan Tape (S&amp;P)'!AN4880,
    IF(arrears_months=0,1.00,
    IF(arrears_months=1,3.00,
    IF(arrears_months=2,5.00,
    IF(arrears_months=3,8.00,
    IF(arrears_months=4,10.00,
    IF(arrears_months=5,12.00,15.00)))))))</f>
        <v/>
      </c>
      <c r="M4880">
        <f>LET(
    seasoning_years,DATEDIF('Loan Tape (S&amp;P)'!K4880,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80">
        <f>IF(AND('Loan Tape (S&amp;P)'!U4880="Yes",
        'Loan Tape (S&amp;P)'!T4880&lt;&gt;"Yes",
        DATEDIF('Loan Tape (S&amp;P)'!K4880, TODAY(), "M")&lt;18),
    1.10,
    1.00)</f>
        <v/>
      </c>
      <c r="O4880">
        <f>IF('Loan Tape (S&amp;P)'!T4880="Yes",
    1.35,
    1.00)</f>
        <v/>
      </c>
      <c r="P4880">
        <f>IF('Loan Tape (S&amp;P)'!S4880="Yes",
    1.15,
    1.00)</f>
        <v/>
      </c>
      <c r="Q4880">
        <f>IF('Loan Tape (S&amp;P)'!V4880="Yes",
    1.20,
    1.00)</f>
        <v/>
      </c>
      <c r="T4880">
        <f>LET(
    payment_method,'Loan Tape (S&amp;P)'!P4880,
    occupancy,'Loan Tape (S&amp;P)'!N4880,
    maturity_date,'Loan Tape (S&amp;P)'!L4880,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81">
      <c r="J4881">
        <f>LET(
    lien,'Loan Tape (S&amp;P)'!Q4881,
    IF(lien="First",1.00,
        IF(lien="Second",1.50,
            1.70)))</f>
        <v/>
      </c>
      <c r="K4881">
        <f>LET(
    purpose,'Loan Tape (S&amp;P)'!R4881,
    IF(purpose="Purchase",1.00,
        IF(purpose="Remortgage",1.00,
            1.20)))</f>
        <v/>
      </c>
      <c r="L4881">
        <f>LET(
    arrears_months,'Loan Tape (S&amp;P)'!AN4881,
    IF(arrears_months=0,1.00,
    IF(arrears_months=1,3.00,
    IF(arrears_months=2,5.00,
    IF(arrears_months=3,8.00,
    IF(arrears_months=4,10.00,
    IF(arrears_months=5,12.00,15.00)))))))</f>
        <v/>
      </c>
      <c r="M4881">
        <f>LET(
    seasoning_years,DATEDIF('Loan Tape (S&amp;P)'!K4881,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81">
        <f>IF(AND('Loan Tape (S&amp;P)'!U4881="Yes",
        'Loan Tape (S&amp;P)'!T4881&lt;&gt;"Yes",
        DATEDIF('Loan Tape (S&amp;P)'!K4881, TODAY(), "M")&lt;18),
    1.10,
    1.00)</f>
        <v/>
      </c>
      <c r="O4881">
        <f>IF('Loan Tape (S&amp;P)'!T4881="Yes",
    1.35,
    1.00)</f>
        <v/>
      </c>
      <c r="P4881">
        <f>IF('Loan Tape (S&amp;P)'!S4881="Yes",
    1.15,
    1.00)</f>
        <v/>
      </c>
      <c r="Q4881">
        <f>IF('Loan Tape (S&amp;P)'!V4881="Yes",
    1.20,
    1.00)</f>
        <v/>
      </c>
      <c r="T4881">
        <f>LET(
    payment_method,'Loan Tape (S&amp;P)'!P4881,
    occupancy,'Loan Tape (S&amp;P)'!N4881,
    maturity_date,'Loan Tape (S&amp;P)'!L4881,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82">
      <c r="J4882">
        <f>LET(
    lien,'Loan Tape (S&amp;P)'!Q4882,
    IF(lien="First",1.00,
        IF(lien="Second",1.50,
            1.70)))</f>
        <v/>
      </c>
      <c r="K4882">
        <f>LET(
    purpose,'Loan Tape (S&amp;P)'!R4882,
    IF(purpose="Purchase",1.00,
        IF(purpose="Remortgage",1.00,
            1.20)))</f>
        <v/>
      </c>
      <c r="L4882">
        <f>LET(
    arrears_months,'Loan Tape (S&amp;P)'!AN4882,
    IF(arrears_months=0,1.00,
    IF(arrears_months=1,3.00,
    IF(arrears_months=2,5.00,
    IF(arrears_months=3,8.00,
    IF(arrears_months=4,10.00,
    IF(arrears_months=5,12.00,15.00)))))))</f>
        <v/>
      </c>
      <c r="M4882">
        <f>LET(
    seasoning_years,DATEDIF('Loan Tape (S&amp;P)'!K4882,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82">
        <f>IF(AND('Loan Tape (S&amp;P)'!U4882="Yes",
        'Loan Tape (S&amp;P)'!T4882&lt;&gt;"Yes",
        DATEDIF('Loan Tape (S&amp;P)'!K4882, TODAY(), "M")&lt;18),
    1.10,
    1.00)</f>
        <v/>
      </c>
      <c r="O4882">
        <f>IF('Loan Tape (S&amp;P)'!T4882="Yes",
    1.35,
    1.00)</f>
        <v/>
      </c>
      <c r="P4882">
        <f>IF('Loan Tape (S&amp;P)'!S4882="Yes",
    1.15,
    1.00)</f>
        <v/>
      </c>
      <c r="Q4882">
        <f>IF('Loan Tape (S&amp;P)'!V4882="Yes",
    1.20,
    1.00)</f>
        <v/>
      </c>
      <c r="T4882">
        <f>LET(
    payment_method,'Loan Tape (S&amp;P)'!P4882,
    occupancy,'Loan Tape (S&amp;P)'!N4882,
    maturity_date,'Loan Tape (S&amp;P)'!L4882,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83">
      <c r="J4883">
        <f>LET(
    lien,'Loan Tape (S&amp;P)'!Q4883,
    IF(lien="First",1.00,
        IF(lien="Second",1.50,
            1.70)))</f>
        <v/>
      </c>
      <c r="K4883">
        <f>LET(
    purpose,'Loan Tape (S&amp;P)'!R4883,
    IF(purpose="Purchase",1.00,
        IF(purpose="Remortgage",1.00,
            1.20)))</f>
        <v/>
      </c>
      <c r="L4883">
        <f>LET(
    arrears_months,'Loan Tape (S&amp;P)'!AN4883,
    IF(arrears_months=0,1.00,
    IF(arrears_months=1,3.00,
    IF(arrears_months=2,5.00,
    IF(arrears_months=3,8.00,
    IF(arrears_months=4,10.00,
    IF(arrears_months=5,12.00,15.00)))))))</f>
        <v/>
      </c>
      <c r="M4883">
        <f>LET(
    seasoning_years,DATEDIF('Loan Tape (S&amp;P)'!K4883,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83">
        <f>IF(AND('Loan Tape (S&amp;P)'!U4883="Yes",
        'Loan Tape (S&amp;P)'!T4883&lt;&gt;"Yes",
        DATEDIF('Loan Tape (S&amp;P)'!K4883, TODAY(), "M")&lt;18),
    1.10,
    1.00)</f>
        <v/>
      </c>
      <c r="O4883">
        <f>IF('Loan Tape (S&amp;P)'!T4883="Yes",
    1.35,
    1.00)</f>
        <v/>
      </c>
      <c r="P4883">
        <f>IF('Loan Tape (S&amp;P)'!S4883="Yes",
    1.15,
    1.00)</f>
        <v/>
      </c>
      <c r="Q4883">
        <f>IF('Loan Tape (S&amp;P)'!V4883="Yes",
    1.20,
    1.00)</f>
        <v/>
      </c>
      <c r="T4883">
        <f>LET(
    payment_method,'Loan Tape (S&amp;P)'!P4883,
    occupancy,'Loan Tape (S&amp;P)'!N4883,
    maturity_date,'Loan Tape (S&amp;P)'!L4883,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84">
      <c r="J4884">
        <f>LET(
    lien,'Loan Tape (S&amp;P)'!Q4884,
    IF(lien="First",1.00,
        IF(lien="Second",1.50,
            1.70)))</f>
        <v/>
      </c>
      <c r="K4884">
        <f>LET(
    purpose,'Loan Tape (S&amp;P)'!R4884,
    IF(purpose="Purchase",1.00,
        IF(purpose="Remortgage",1.00,
            1.20)))</f>
        <v/>
      </c>
      <c r="L4884">
        <f>LET(
    arrears_months,'Loan Tape (S&amp;P)'!AN4884,
    IF(arrears_months=0,1.00,
    IF(arrears_months=1,3.00,
    IF(arrears_months=2,5.00,
    IF(arrears_months=3,8.00,
    IF(arrears_months=4,10.00,
    IF(arrears_months=5,12.00,15.00)))))))</f>
        <v/>
      </c>
      <c r="M4884">
        <f>LET(
    seasoning_years,DATEDIF('Loan Tape (S&amp;P)'!K4884,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84">
        <f>IF(AND('Loan Tape (S&amp;P)'!U4884="Yes",
        'Loan Tape (S&amp;P)'!T4884&lt;&gt;"Yes",
        DATEDIF('Loan Tape (S&amp;P)'!K4884, TODAY(), "M")&lt;18),
    1.10,
    1.00)</f>
        <v/>
      </c>
      <c r="O4884">
        <f>IF('Loan Tape (S&amp;P)'!T4884="Yes",
    1.35,
    1.00)</f>
        <v/>
      </c>
      <c r="P4884">
        <f>IF('Loan Tape (S&amp;P)'!S4884="Yes",
    1.15,
    1.00)</f>
        <v/>
      </c>
      <c r="Q4884">
        <f>IF('Loan Tape (S&amp;P)'!V4884="Yes",
    1.20,
    1.00)</f>
        <v/>
      </c>
      <c r="T4884">
        <f>LET(
    payment_method,'Loan Tape (S&amp;P)'!P4884,
    occupancy,'Loan Tape (S&amp;P)'!N4884,
    maturity_date,'Loan Tape (S&amp;P)'!L4884,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85">
      <c r="J4885">
        <f>LET(
    lien,'Loan Tape (S&amp;P)'!Q4885,
    IF(lien="First",1.00,
        IF(lien="Second",1.50,
            1.70)))</f>
        <v/>
      </c>
      <c r="K4885">
        <f>LET(
    purpose,'Loan Tape (S&amp;P)'!R4885,
    IF(purpose="Purchase",1.00,
        IF(purpose="Remortgage",1.00,
            1.20)))</f>
        <v/>
      </c>
      <c r="L4885">
        <f>LET(
    arrears_months,'Loan Tape (S&amp;P)'!AN4885,
    IF(arrears_months=0,1.00,
    IF(arrears_months=1,3.00,
    IF(arrears_months=2,5.00,
    IF(arrears_months=3,8.00,
    IF(arrears_months=4,10.00,
    IF(arrears_months=5,12.00,15.00)))))))</f>
        <v/>
      </c>
      <c r="M4885">
        <f>LET(
    seasoning_years,DATEDIF('Loan Tape (S&amp;P)'!K4885,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85">
        <f>IF(AND('Loan Tape (S&amp;P)'!U4885="Yes",
        'Loan Tape (S&amp;P)'!T4885&lt;&gt;"Yes",
        DATEDIF('Loan Tape (S&amp;P)'!K4885, TODAY(), "M")&lt;18),
    1.10,
    1.00)</f>
        <v/>
      </c>
      <c r="O4885">
        <f>IF('Loan Tape (S&amp;P)'!T4885="Yes",
    1.35,
    1.00)</f>
        <v/>
      </c>
      <c r="P4885">
        <f>IF('Loan Tape (S&amp;P)'!S4885="Yes",
    1.15,
    1.00)</f>
        <v/>
      </c>
      <c r="Q4885">
        <f>IF('Loan Tape (S&amp;P)'!V4885="Yes",
    1.20,
    1.00)</f>
        <v/>
      </c>
      <c r="T4885">
        <f>LET(
    payment_method,'Loan Tape (S&amp;P)'!P4885,
    occupancy,'Loan Tape (S&amp;P)'!N4885,
    maturity_date,'Loan Tape (S&amp;P)'!L4885,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86">
      <c r="J4886">
        <f>LET(
    lien,'Loan Tape (S&amp;P)'!Q4886,
    IF(lien="First",1.00,
        IF(lien="Second",1.50,
            1.70)))</f>
        <v/>
      </c>
      <c r="K4886">
        <f>LET(
    purpose,'Loan Tape (S&amp;P)'!R4886,
    IF(purpose="Purchase",1.00,
        IF(purpose="Remortgage",1.00,
            1.20)))</f>
        <v/>
      </c>
      <c r="L4886">
        <f>LET(
    arrears_months,'Loan Tape (S&amp;P)'!AN4886,
    IF(arrears_months=0,1.00,
    IF(arrears_months=1,3.00,
    IF(arrears_months=2,5.00,
    IF(arrears_months=3,8.00,
    IF(arrears_months=4,10.00,
    IF(arrears_months=5,12.00,15.00)))))))</f>
        <v/>
      </c>
      <c r="M4886">
        <f>LET(
    seasoning_years,DATEDIF('Loan Tape (S&amp;P)'!K4886,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86">
        <f>IF(AND('Loan Tape (S&amp;P)'!U4886="Yes",
        'Loan Tape (S&amp;P)'!T4886&lt;&gt;"Yes",
        DATEDIF('Loan Tape (S&amp;P)'!K4886, TODAY(), "M")&lt;18),
    1.10,
    1.00)</f>
        <v/>
      </c>
      <c r="O4886">
        <f>IF('Loan Tape (S&amp;P)'!T4886="Yes",
    1.35,
    1.00)</f>
        <v/>
      </c>
      <c r="P4886">
        <f>IF('Loan Tape (S&amp;P)'!S4886="Yes",
    1.15,
    1.00)</f>
        <v/>
      </c>
      <c r="Q4886">
        <f>IF('Loan Tape (S&amp;P)'!V4886="Yes",
    1.20,
    1.00)</f>
        <v/>
      </c>
      <c r="T4886">
        <f>LET(
    payment_method,'Loan Tape (S&amp;P)'!P4886,
    occupancy,'Loan Tape (S&amp;P)'!N4886,
    maturity_date,'Loan Tape (S&amp;P)'!L4886,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87">
      <c r="J4887">
        <f>LET(
    lien,'Loan Tape (S&amp;P)'!Q4887,
    IF(lien="First",1.00,
        IF(lien="Second",1.50,
            1.70)))</f>
        <v/>
      </c>
      <c r="K4887">
        <f>LET(
    purpose,'Loan Tape (S&amp;P)'!R4887,
    IF(purpose="Purchase",1.00,
        IF(purpose="Remortgage",1.00,
            1.20)))</f>
        <v/>
      </c>
      <c r="L4887">
        <f>LET(
    arrears_months,'Loan Tape (S&amp;P)'!AN4887,
    IF(arrears_months=0,1.00,
    IF(arrears_months=1,3.00,
    IF(arrears_months=2,5.00,
    IF(arrears_months=3,8.00,
    IF(arrears_months=4,10.00,
    IF(arrears_months=5,12.00,15.00)))))))</f>
        <v/>
      </c>
      <c r="M4887">
        <f>LET(
    seasoning_years,DATEDIF('Loan Tape (S&amp;P)'!K4887,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87">
        <f>IF(AND('Loan Tape (S&amp;P)'!U4887="Yes",
        'Loan Tape (S&amp;P)'!T4887&lt;&gt;"Yes",
        DATEDIF('Loan Tape (S&amp;P)'!K4887, TODAY(), "M")&lt;18),
    1.10,
    1.00)</f>
        <v/>
      </c>
      <c r="O4887">
        <f>IF('Loan Tape (S&amp;P)'!T4887="Yes",
    1.35,
    1.00)</f>
        <v/>
      </c>
      <c r="P4887">
        <f>IF('Loan Tape (S&amp;P)'!S4887="Yes",
    1.15,
    1.00)</f>
        <v/>
      </c>
      <c r="Q4887">
        <f>IF('Loan Tape (S&amp;P)'!V4887="Yes",
    1.20,
    1.00)</f>
        <v/>
      </c>
      <c r="T4887">
        <f>LET(
    payment_method,'Loan Tape (S&amp;P)'!P4887,
    occupancy,'Loan Tape (S&amp;P)'!N4887,
    maturity_date,'Loan Tape (S&amp;P)'!L4887,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88">
      <c r="J4888">
        <f>LET(
    lien,'Loan Tape (S&amp;P)'!Q4888,
    IF(lien="First",1.00,
        IF(lien="Second",1.50,
            1.70)))</f>
        <v/>
      </c>
      <c r="K4888">
        <f>LET(
    purpose,'Loan Tape (S&amp;P)'!R4888,
    IF(purpose="Purchase",1.00,
        IF(purpose="Remortgage",1.00,
            1.20)))</f>
        <v/>
      </c>
      <c r="L4888">
        <f>LET(
    arrears_months,'Loan Tape (S&amp;P)'!AN4888,
    IF(arrears_months=0,1.00,
    IF(arrears_months=1,3.00,
    IF(arrears_months=2,5.00,
    IF(arrears_months=3,8.00,
    IF(arrears_months=4,10.00,
    IF(arrears_months=5,12.00,15.00)))))))</f>
        <v/>
      </c>
      <c r="M4888">
        <f>LET(
    seasoning_years,DATEDIF('Loan Tape (S&amp;P)'!K4888,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88">
        <f>IF(AND('Loan Tape (S&amp;P)'!U4888="Yes",
        'Loan Tape (S&amp;P)'!T4888&lt;&gt;"Yes",
        DATEDIF('Loan Tape (S&amp;P)'!K4888, TODAY(), "M")&lt;18),
    1.10,
    1.00)</f>
        <v/>
      </c>
      <c r="O4888">
        <f>IF('Loan Tape (S&amp;P)'!T4888="Yes",
    1.35,
    1.00)</f>
        <v/>
      </c>
      <c r="P4888">
        <f>IF('Loan Tape (S&amp;P)'!S4888="Yes",
    1.15,
    1.00)</f>
        <v/>
      </c>
      <c r="Q4888">
        <f>IF('Loan Tape (S&amp;P)'!V4888="Yes",
    1.20,
    1.00)</f>
        <v/>
      </c>
      <c r="T4888">
        <f>LET(
    payment_method,'Loan Tape (S&amp;P)'!P4888,
    occupancy,'Loan Tape (S&amp;P)'!N4888,
    maturity_date,'Loan Tape (S&amp;P)'!L4888,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89">
      <c r="J4889">
        <f>LET(
    lien,'Loan Tape (S&amp;P)'!Q4889,
    IF(lien="First",1.00,
        IF(lien="Second",1.50,
            1.70)))</f>
        <v/>
      </c>
      <c r="K4889">
        <f>LET(
    purpose,'Loan Tape (S&amp;P)'!R4889,
    IF(purpose="Purchase",1.00,
        IF(purpose="Remortgage",1.00,
            1.20)))</f>
        <v/>
      </c>
      <c r="L4889">
        <f>LET(
    arrears_months,'Loan Tape (S&amp;P)'!AN4889,
    IF(arrears_months=0,1.00,
    IF(arrears_months=1,3.00,
    IF(arrears_months=2,5.00,
    IF(arrears_months=3,8.00,
    IF(arrears_months=4,10.00,
    IF(arrears_months=5,12.00,15.00)))))))</f>
        <v/>
      </c>
      <c r="M4889">
        <f>LET(
    seasoning_years,DATEDIF('Loan Tape (S&amp;P)'!K4889,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89">
        <f>IF(AND('Loan Tape (S&amp;P)'!U4889="Yes",
        'Loan Tape (S&amp;P)'!T4889&lt;&gt;"Yes",
        DATEDIF('Loan Tape (S&amp;P)'!K4889, TODAY(), "M")&lt;18),
    1.10,
    1.00)</f>
        <v/>
      </c>
      <c r="O4889">
        <f>IF('Loan Tape (S&amp;P)'!T4889="Yes",
    1.35,
    1.00)</f>
        <v/>
      </c>
      <c r="P4889">
        <f>IF('Loan Tape (S&amp;P)'!S4889="Yes",
    1.15,
    1.00)</f>
        <v/>
      </c>
      <c r="Q4889">
        <f>IF('Loan Tape (S&amp;P)'!V4889="Yes",
    1.20,
    1.00)</f>
        <v/>
      </c>
      <c r="T4889">
        <f>LET(
    payment_method,'Loan Tape (S&amp;P)'!P4889,
    occupancy,'Loan Tape (S&amp;P)'!N4889,
    maturity_date,'Loan Tape (S&amp;P)'!L4889,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90">
      <c r="J4890">
        <f>LET(
    lien,'Loan Tape (S&amp;P)'!Q4890,
    IF(lien="First",1.00,
        IF(lien="Second",1.50,
            1.70)))</f>
        <v/>
      </c>
      <c r="K4890">
        <f>LET(
    purpose,'Loan Tape (S&amp;P)'!R4890,
    IF(purpose="Purchase",1.00,
        IF(purpose="Remortgage",1.00,
            1.20)))</f>
        <v/>
      </c>
      <c r="L4890">
        <f>LET(
    arrears_months,'Loan Tape (S&amp;P)'!AN4890,
    IF(arrears_months=0,1.00,
    IF(arrears_months=1,3.00,
    IF(arrears_months=2,5.00,
    IF(arrears_months=3,8.00,
    IF(arrears_months=4,10.00,
    IF(arrears_months=5,12.00,15.00)))))))</f>
        <v/>
      </c>
      <c r="M4890">
        <f>LET(
    seasoning_years,DATEDIF('Loan Tape (S&amp;P)'!K4890,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90">
        <f>IF(AND('Loan Tape (S&amp;P)'!U4890="Yes",
        'Loan Tape (S&amp;P)'!T4890&lt;&gt;"Yes",
        DATEDIF('Loan Tape (S&amp;P)'!K4890, TODAY(), "M")&lt;18),
    1.10,
    1.00)</f>
        <v/>
      </c>
      <c r="O4890">
        <f>IF('Loan Tape (S&amp;P)'!T4890="Yes",
    1.35,
    1.00)</f>
        <v/>
      </c>
      <c r="P4890">
        <f>IF('Loan Tape (S&amp;P)'!S4890="Yes",
    1.15,
    1.00)</f>
        <v/>
      </c>
      <c r="Q4890">
        <f>IF('Loan Tape (S&amp;P)'!V4890="Yes",
    1.20,
    1.00)</f>
        <v/>
      </c>
      <c r="T4890">
        <f>LET(
    payment_method,'Loan Tape (S&amp;P)'!P4890,
    occupancy,'Loan Tape (S&amp;P)'!N4890,
    maturity_date,'Loan Tape (S&amp;P)'!L4890,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91">
      <c r="J4891">
        <f>LET(
    lien,'Loan Tape (S&amp;P)'!Q4891,
    IF(lien="First",1.00,
        IF(lien="Second",1.50,
            1.70)))</f>
        <v/>
      </c>
      <c r="K4891">
        <f>LET(
    purpose,'Loan Tape (S&amp;P)'!R4891,
    IF(purpose="Purchase",1.00,
        IF(purpose="Remortgage",1.00,
            1.20)))</f>
        <v/>
      </c>
      <c r="L4891">
        <f>LET(
    arrears_months,'Loan Tape (S&amp;P)'!AN4891,
    IF(arrears_months=0,1.00,
    IF(arrears_months=1,3.00,
    IF(arrears_months=2,5.00,
    IF(arrears_months=3,8.00,
    IF(arrears_months=4,10.00,
    IF(arrears_months=5,12.00,15.00)))))))</f>
        <v/>
      </c>
      <c r="M4891">
        <f>LET(
    seasoning_years,DATEDIF('Loan Tape (S&amp;P)'!K4891,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91">
        <f>IF(AND('Loan Tape (S&amp;P)'!U4891="Yes",
        'Loan Tape (S&amp;P)'!T4891&lt;&gt;"Yes",
        DATEDIF('Loan Tape (S&amp;P)'!K4891, TODAY(), "M")&lt;18),
    1.10,
    1.00)</f>
        <v/>
      </c>
      <c r="O4891">
        <f>IF('Loan Tape (S&amp;P)'!T4891="Yes",
    1.35,
    1.00)</f>
        <v/>
      </c>
      <c r="P4891">
        <f>IF('Loan Tape (S&amp;P)'!S4891="Yes",
    1.15,
    1.00)</f>
        <v/>
      </c>
      <c r="Q4891">
        <f>IF('Loan Tape (S&amp;P)'!V4891="Yes",
    1.20,
    1.00)</f>
        <v/>
      </c>
      <c r="T4891">
        <f>LET(
    payment_method,'Loan Tape (S&amp;P)'!P4891,
    occupancy,'Loan Tape (S&amp;P)'!N4891,
    maturity_date,'Loan Tape (S&amp;P)'!L4891,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92">
      <c r="J4892">
        <f>LET(
    lien,'Loan Tape (S&amp;P)'!Q4892,
    IF(lien="First",1.00,
        IF(lien="Second",1.50,
            1.70)))</f>
        <v/>
      </c>
      <c r="K4892">
        <f>LET(
    purpose,'Loan Tape (S&amp;P)'!R4892,
    IF(purpose="Purchase",1.00,
        IF(purpose="Remortgage",1.00,
            1.20)))</f>
        <v/>
      </c>
      <c r="L4892">
        <f>LET(
    arrears_months,'Loan Tape (S&amp;P)'!AN4892,
    IF(arrears_months=0,1.00,
    IF(arrears_months=1,3.00,
    IF(arrears_months=2,5.00,
    IF(arrears_months=3,8.00,
    IF(arrears_months=4,10.00,
    IF(arrears_months=5,12.00,15.00)))))))</f>
        <v/>
      </c>
      <c r="M4892">
        <f>LET(
    seasoning_years,DATEDIF('Loan Tape (S&amp;P)'!K4892,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92">
        <f>IF(AND('Loan Tape (S&amp;P)'!U4892="Yes",
        'Loan Tape (S&amp;P)'!T4892&lt;&gt;"Yes",
        DATEDIF('Loan Tape (S&amp;P)'!K4892, TODAY(), "M")&lt;18),
    1.10,
    1.00)</f>
        <v/>
      </c>
      <c r="O4892">
        <f>IF('Loan Tape (S&amp;P)'!T4892="Yes",
    1.35,
    1.00)</f>
        <v/>
      </c>
      <c r="P4892">
        <f>IF('Loan Tape (S&amp;P)'!S4892="Yes",
    1.15,
    1.00)</f>
        <v/>
      </c>
      <c r="Q4892">
        <f>IF('Loan Tape (S&amp;P)'!V4892="Yes",
    1.20,
    1.00)</f>
        <v/>
      </c>
      <c r="T4892">
        <f>LET(
    payment_method,'Loan Tape (S&amp;P)'!P4892,
    occupancy,'Loan Tape (S&amp;P)'!N4892,
    maturity_date,'Loan Tape (S&amp;P)'!L4892,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93">
      <c r="J4893">
        <f>LET(
    lien,'Loan Tape (S&amp;P)'!Q4893,
    IF(lien="First",1.00,
        IF(lien="Second",1.50,
            1.70)))</f>
        <v/>
      </c>
      <c r="K4893">
        <f>LET(
    purpose,'Loan Tape (S&amp;P)'!R4893,
    IF(purpose="Purchase",1.00,
        IF(purpose="Remortgage",1.00,
            1.20)))</f>
        <v/>
      </c>
      <c r="L4893">
        <f>LET(
    arrears_months,'Loan Tape (S&amp;P)'!AN4893,
    IF(arrears_months=0,1.00,
    IF(arrears_months=1,3.00,
    IF(arrears_months=2,5.00,
    IF(arrears_months=3,8.00,
    IF(arrears_months=4,10.00,
    IF(arrears_months=5,12.00,15.00)))))))</f>
        <v/>
      </c>
      <c r="M4893">
        <f>LET(
    seasoning_years,DATEDIF('Loan Tape (S&amp;P)'!K4893,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93">
        <f>IF(AND('Loan Tape (S&amp;P)'!U4893="Yes",
        'Loan Tape (S&amp;P)'!T4893&lt;&gt;"Yes",
        DATEDIF('Loan Tape (S&amp;P)'!K4893, TODAY(), "M")&lt;18),
    1.10,
    1.00)</f>
        <v/>
      </c>
      <c r="O4893">
        <f>IF('Loan Tape (S&amp;P)'!T4893="Yes",
    1.35,
    1.00)</f>
        <v/>
      </c>
      <c r="P4893">
        <f>IF('Loan Tape (S&amp;P)'!S4893="Yes",
    1.15,
    1.00)</f>
        <v/>
      </c>
      <c r="Q4893">
        <f>IF('Loan Tape (S&amp;P)'!V4893="Yes",
    1.20,
    1.00)</f>
        <v/>
      </c>
      <c r="T4893">
        <f>LET(
    payment_method,'Loan Tape (S&amp;P)'!P4893,
    occupancy,'Loan Tape (S&amp;P)'!N4893,
    maturity_date,'Loan Tape (S&amp;P)'!L4893,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94">
      <c r="J4894">
        <f>LET(
    lien,'Loan Tape (S&amp;P)'!Q4894,
    IF(lien="First",1.00,
        IF(lien="Second",1.50,
            1.70)))</f>
        <v/>
      </c>
      <c r="K4894">
        <f>LET(
    purpose,'Loan Tape (S&amp;P)'!R4894,
    IF(purpose="Purchase",1.00,
        IF(purpose="Remortgage",1.00,
            1.20)))</f>
        <v/>
      </c>
      <c r="L4894">
        <f>LET(
    arrears_months,'Loan Tape (S&amp;P)'!AN4894,
    IF(arrears_months=0,1.00,
    IF(arrears_months=1,3.00,
    IF(arrears_months=2,5.00,
    IF(arrears_months=3,8.00,
    IF(arrears_months=4,10.00,
    IF(arrears_months=5,12.00,15.00)))))))</f>
        <v/>
      </c>
      <c r="M4894">
        <f>LET(
    seasoning_years,DATEDIF('Loan Tape (S&amp;P)'!K4894,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94">
        <f>IF(AND('Loan Tape (S&amp;P)'!U4894="Yes",
        'Loan Tape (S&amp;P)'!T4894&lt;&gt;"Yes",
        DATEDIF('Loan Tape (S&amp;P)'!K4894, TODAY(), "M")&lt;18),
    1.10,
    1.00)</f>
        <v/>
      </c>
      <c r="O4894">
        <f>IF('Loan Tape (S&amp;P)'!T4894="Yes",
    1.35,
    1.00)</f>
        <v/>
      </c>
      <c r="P4894">
        <f>IF('Loan Tape (S&amp;P)'!S4894="Yes",
    1.15,
    1.00)</f>
        <v/>
      </c>
      <c r="Q4894">
        <f>IF('Loan Tape (S&amp;P)'!V4894="Yes",
    1.20,
    1.00)</f>
        <v/>
      </c>
      <c r="T4894">
        <f>LET(
    payment_method,'Loan Tape (S&amp;P)'!P4894,
    occupancy,'Loan Tape (S&amp;P)'!N4894,
    maturity_date,'Loan Tape (S&amp;P)'!L4894,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95">
      <c r="J4895">
        <f>LET(
    lien,'Loan Tape (S&amp;P)'!Q4895,
    IF(lien="First",1.00,
        IF(lien="Second",1.50,
            1.70)))</f>
        <v/>
      </c>
      <c r="K4895">
        <f>LET(
    purpose,'Loan Tape (S&amp;P)'!R4895,
    IF(purpose="Purchase",1.00,
        IF(purpose="Remortgage",1.00,
            1.20)))</f>
        <v/>
      </c>
      <c r="L4895">
        <f>LET(
    arrears_months,'Loan Tape (S&amp;P)'!AN4895,
    IF(arrears_months=0,1.00,
    IF(arrears_months=1,3.00,
    IF(arrears_months=2,5.00,
    IF(arrears_months=3,8.00,
    IF(arrears_months=4,10.00,
    IF(arrears_months=5,12.00,15.00)))))))</f>
        <v/>
      </c>
      <c r="M4895">
        <f>LET(
    seasoning_years,DATEDIF('Loan Tape (S&amp;P)'!K4895,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95">
        <f>IF(AND('Loan Tape (S&amp;P)'!U4895="Yes",
        'Loan Tape (S&amp;P)'!T4895&lt;&gt;"Yes",
        DATEDIF('Loan Tape (S&amp;P)'!K4895, TODAY(), "M")&lt;18),
    1.10,
    1.00)</f>
        <v/>
      </c>
      <c r="O4895">
        <f>IF('Loan Tape (S&amp;P)'!T4895="Yes",
    1.35,
    1.00)</f>
        <v/>
      </c>
      <c r="P4895">
        <f>IF('Loan Tape (S&amp;P)'!S4895="Yes",
    1.15,
    1.00)</f>
        <v/>
      </c>
      <c r="Q4895">
        <f>IF('Loan Tape (S&amp;P)'!V4895="Yes",
    1.20,
    1.00)</f>
        <v/>
      </c>
      <c r="T4895">
        <f>LET(
    payment_method,'Loan Tape (S&amp;P)'!P4895,
    occupancy,'Loan Tape (S&amp;P)'!N4895,
    maturity_date,'Loan Tape (S&amp;P)'!L4895,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96">
      <c r="J4896">
        <f>LET(
    lien,'Loan Tape (S&amp;P)'!Q4896,
    IF(lien="First",1.00,
        IF(lien="Second",1.50,
            1.70)))</f>
        <v/>
      </c>
      <c r="K4896">
        <f>LET(
    purpose,'Loan Tape (S&amp;P)'!R4896,
    IF(purpose="Purchase",1.00,
        IF(purpose="Remortgage",1.00,
            1.20)))</f>
        <v/>
      </c>
      <c r="L4896">
        <f>LET(
    arrears_months,'Loan Tape (S&amp;P)'!AN4896,
    IF(arrears_months=0,1.00,
    IF(arrears_months=1,3.00,
    IF(arrears_months=2,5.00,
    IF(arrears_months=3,8.00,
    IF(arrears_months=4,10.00,
    IF(arrears_months=5,12.00,15.00)))))))</f>
        <v/>
      </c>
      <c r="M4896">
        <f>LET(
    seasoning_years,DATEDIF('Loan Tape (S&amp;P)'!K4896,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96">
        <f>IF(AND('Loan Tape (S&amp;P)'!U4896="Yes",
        'Loan Tape (S&amp;P)'!T4896&lt;&gt;"Yes",
        DATEDIF('Loan Tape (S&amp;P)'!K4896, TODAY(), "M")&lt;18),
    1.10,
    1.00)</f>
        <v/>
      </c>
      <c r="O4896">
        <f>IF('Loan Tape (S&amp;P)'!T4896="Yes",
    1.35,
    1.00)</f>
        <v/>
      </c>
      <c r="P4896">
        <f>IF('Loan Tape (S&amp;P)'!S4896="Yes",
    1.15,
    1.00)</f>
        <v/>
      </c>
      <c r="Q4896">
        <f>IF('Loan Tape (S&amp;P)'!V4896="Yes",
    1.20,
    1.00)</f>
        <v/>
      </c>
      <c r="T4896">
        <f>LET(
    payment_method,'Loan Tape (S&amp;P)'!P4896,
    occupancy,'Loan Tape (S&amp;P)'!N4896,
    maturity_date,'Loan Tape (S&amp;P)'!L4896,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97">
      <c r="J4897">
        <f>LET(
    lien,'Loan Tape (S&amp;P)'!Q4897,
    IF(lien="First",1.00,
        IF(lien="Second",1.50,
            1.70)))</f>
        <v/>
      </c>
      <c r="K4897">
        <f>LET(
    purpose,'Loan Tape (S&amp;P)'!R4897,
    IF(purpose="Purchase",1.00,
        IF(purpose="Remortgage",1.00,
            1.20)))</f>
        <v/>
      </c>
      <c r="L4897">
        <f>LET(
    arrears_months,'Loan Tape (S&amp;P)'!AN4897,
    IF(arrears_months=0,1.00,
    IF(arrears_months=1,3.00,
    IF(arrears_months=2,5.00,
    IF(arrears_months=3,8.00,
    IF(arrears_months=4,10.00,
    IF(arrears_months=5,12.00,15.00)))))))</f>
        <v/>
      </c>
      <c r="M4897">
        <f>LET(
    seasoning_years,DATEDIF('Loan Tape (S&amp;P)'!K4897,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97">
        <f>IF(AND('Loan Tape (S&amp;P)'!U4897="Yes",
        'Loan Tape (S&amp;P)'!T4897&lt;&gt;"Yes",
        DATEDIF('Loan Tape (S&amp;P)'!K4897, TODAY(), "M")&lt;18),
    1.10,
    1.00)</f>
        <v/>
      </c>
      <c r="O4897">
        <f>IF('Loan Tape (S&amp;P)'!T4897="Yes",
    1.35,
    1.00)</f>
        <v/>
      </c>
      <c r="P4897">
        <f>IF('Loan Tape (S&amp;P)'!S4897="Yes",
    1.15,
    1.00)</f>
        <v/>
      </c>
      <c r="Q4897">
        <f>IF('Loan Tape (S&amp;P)'!V4897="Yes",
    1.20,
    1.00)</f>
        <v/>
      </c>
      <c r="T4897">
        <f>LET(
    payment_method,'Loan Tape (S&amp;P)'!P4897,
    occupancy,'Loan Tape (S&amp;P)'!N4897,
    maturity_date,'Loan Tape (S&amp;P)'!L4897,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98">
      <c r="J4898">
        <f>LET(
    lien,'Loan Tape (S&amp;P)'!Q4898,
    IF(lien="First",1.00,
        IF(lien="Second",1.50,
            1.70)))</f>
        <v/>
      </c>
      <c r="K4898">
        <f>LET(
    purpose,'Loan Tape (S&amp;P)'!R4898,
    IF(purpose="Purchase",1.00,
        IF(purpose="Remortgage",1.00,
            1.20)))</f>
        <v/>
      </c>
      <c r="L4898">
        <f>LET(
    arrears_months,'Loan Tape (S&amp;P)'!AN4898,
    IF(arrears_months=0,1.00,
    IF(arrears_months=1,3.00,
    IF(arrears_months=2,5.00,
    IF(arrears_months=3,8.00,
    IF(arrears_months=4,10.00,
    IF(arrears_months=5,12.00,15.00)))))))</f>
        <v/>
      </c>
      <c r="M4898">
        <f>LET(
    seasoning_years,DATEDIF('Loan Tape (S&amp;P)'!K4898,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98">
        <f>IF(AND('Loan Tape (S&amp;P)'!U4898="Yes",
        'Loan Tape (S&amp;P)'!T4898&lt;&gt;"Yes",
        DATEDIF('Loan Tape (S&amp;P)'!K4898, TODAY(), "M")&lt;18),
    1.10,
    1.00)</f>
        <v/>
      </c>
      <c r="O4898">
        <f>IF('Loan Tape (S&amp;P)'!T4898="Yes",
    1.35,
    1.00)</f>
        <v/>
      </c>
      <c r="P4898">
        <f>IF('Loan Tape (S&amp;P)'!S4898="Yes",
    1.15,
    1.00)</f>
        <v/>
      </c>
      <c r="Q4898">
        <f>IF('Loan Tape (S&amp;P)'!V4898="Yes",
    1.20,
    1.00)</f>
        <v/>
      </c>
      <c r="T4898">
        <f>LET(
    payment_method,'Loan Tape (S&amp;P)'!P4898,
    occupancy,'Loan Tape (S&amp;P)'!N4898,
    maturity_date,'Loan Tape (S&amp;P)'!L4898,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899">
      <c r="J4899">
        <f>LET(
    lien,'Loan Tape (S&amp;P)'!Q4899,
    IF(lien="First",1.00,
        IF(lien="Second",1.50,
            1.70)))</f>
        <v/>
      </c>
      <c r="K4899">
        <f>LET(
    purpose,'Loan Tape (S&amp;P)'!R4899,
    IF(purpose="Purchase",1.00,
        IF(purpose="Remortgage",1.00,
            1.20)))</f>
        <v/>
      </c>
      <c r="L4899">
        <f>LET(
    arrears_months,'Loan Tape (S&amp;P)'!AN4899,
    IF(arrears_months=0,1.00,
    IF(arrears_months=1,3.00,
    IF(arrears_months=2,5.00,
    IF(arrears_months=3,8.00,
    IF(arrears_months=4,10.00,
    IF(arrears_months=5,12.00,15.00)))))))</f>
        <v/>
      </c>
      <c r="M4899">
        <f>LET(
    seasoning_years,DATEDIF('Loan Tape (S&amp;P)'!K4899,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899">
        <f>IF(AND('Loan Tape (S&amp;P)'!U4899="Yes",
        'Loan Tape (S&amp;P)'!T4899&lt;&gt;"Yes",
        DATEDIF('Loan Tape (S&amp;P)'!K4899, TODAY(), "M")&lt;18),
    1.10,
    1.00)</f>
        <v/>
      </c>
      <c r="O4899">
        <f>IF('Loan Tape (S&amp;P)'!T4899="Yes",
    1.35,
    1.00)</f>
        <v/>
      </c>
      <c r="P4899">
        <f>IF('Loan Tape (S&amp;P)'!S4899="Yes",
    1.15,
    1.00)</f>
        <v/>
      </c>
      <c r="Q4899">
        <f>IF('Loan Tape (S&amp;P)'!V4899="Yes",
    1.20,
    1.00)</f>
        <v/>
      </c>
      <c r="T4899">
        <f>LET(
    payment_method,'Loan Tape (S&amp;P)'!P4899,
    occupancy,'Loan Tape (S&amp;P)'!N4899,
    maturity_date,'Loan Tape (S&amp;P)'!L4899,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00">
      <c r="J4900">
        <f>LET(
    lien,'Loan Tape (S&amp;P)'!Q4900,
    IF(lien="First",1.00,
        IF(lien="Second",1.50,
            1.70)))</f>
        <v/>
      </c>
      <c r="K4900">
        <f>LET(
    purpose,'Loan Tape (S&amp;P)'!R4900,
    IF(purpose="Purchase",1.00,
        IF(purpose="Remortgage",1.00,
            1.20)))</f>
        <v/>
      </c>
      <c r="L4900">
        <f>LET(
    arrears_months,'Loan Tape (S&amp;P)'!AN4900,
    IF(arrears_months=0,1.00,
    IF(arrears_months=1,3.00,
    IF(arrears_months=2,5.00,
    IF(arrears_months=3,8.00,
    IF(arrears_months=4,10.00,
    IF(arrears_months=5,12.00,15.00)))))))</f>
        <v/>
      </c>
      <c r="M4900">
        <f>LET(
    seasoning_years,DATEDIF('Loan Tape (S&amp;P)'!K4900,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00">
        <f>IF(AND('Loan Tape (S&amp;P)'!U4900="Yes",
        'Loan Tape (S&amp;P)'!T4900&lt;&gt;"Yes",
        DATEDIF('Loan Tape (S&amp;P)'!K4900, TODAY(), "M")&lt;18),
    1.10,
    1.00)</f>
        <v/>
      </c>
      <c r="O4900">
        <f>IF('Loan Tape (S&amp;P)'!T4900="Yes",
    1.35,
    1.00)</f>
        <v/>
      </c>
      <c r="P4900">
        <f>IF('Loan Tape (S&amp;P)'!S4900="Yes",
    1.15,
    1.00)</f>
        <v/>
      </c>
      <c r="Q4900">
        <f>IF('Loan Tape (S&amp;P)'!V4900="Yes",
    1.20,
    1.00)</f>
        <v/>
      </c>
      <c r="T4900">
        <f>LET(
    payment_method,'Loan Tape (S&amp;P)'!P4900,
    occupancy,'Loan Tape (S&amp;P)'!N4900,
    maturity_date,'Loan Tape (S&amp;P)'!L4900,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01">
      <c r="J4901">
        <f>LET(
    lien,'Loan Tape (S&amp;P)'!Q4901,
    IF(lien="First",1.00,
        IF(lien="Second",1.50,
            1.70)))</f>
        <v/>
      </c>
      <c r="K4901">
        <f>LET(
    purpose,'Loan Tape (S&amp;P)'!R4901,
    IF(purpose="Purchase",1.00,
        IF(purpose="Remortgage",1.00,
            1.20)))</f>
        <v/>
      </c>
      <c r="L4901">
        <f>LET(
    arrears_months,'Loan Tape (S&amp;P)'!AN4901,
    IF(arrears_months=0,1.00,
    IF(arrears_months=1,3.00,
    IF(arrears_months=2,5.00,
    IF(arrears_months=3,8.00,
    IF(arrears_months=4,10.00,
    IF(arrears_months=5,12.00,15.00)))))))</f>
        <v/>
      </c>
      <c r="M4901">
        <f>LET(
    seasoning_years,DATEDIF('Loan Tape (S&amp;P)'!K4901,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01">
        <f>IF(AND('Loan Tape (S&amp;P)'!U4901="Yes",
        'Loan Tape (S&amp;P)'!T4901&lt;&gt;"Yes",
        DATEDIF('Loan Tape (S&amp;P)'!K4901, TODAY(), "M")&lt;18),
    1.10,
    1.00)</f>
        <v/>
      </c>
      <c r="O4901">
        <f>IF('Loan Tape (S&amp;P)'!T4901="Yes",
    1.35,
    1.00)</f>
        <v/>
      </c>
      <c r="P4901">
        <f>IF('Loan Tape (S&amp;P)'!S4901="Yes",
    1.15,
    1.00)</f>
        <v/>
      </c>
      <c r="Q4901">
        <f>IF('Loan Tape (S&amp;P)'!V4901="Yes",
    1.20,
    1.00)</f>
        <v/>
      </c>
      <c r="T4901">
        <f>LET(
    payment_method,'Loan Tape (S&amp;P)'!P4901,
    occupancy,'Loan Tape (S&amp;P)'!N4901,
    maturity_date,'Loan Tape (S&amp;P)'!L4901,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02">
      <c r="J4902">
        <f>LET(
    lien,'Loan Tape (S&amp;P)'!Q4902,
    IF(lien="First",1.00,
        IF(lien="Second",1.50,
            1.70)))</f>
        <v/>
      </c>
      <c r="K4902">
        <f>LET(
    purpose,'Loan Tape (S&amp;P)'!R4902,
    IF(purpose="Purchase",1.00,
        IF(purpose="Remortgage",1.00,
            1.20)))</f>
        <v/>
      </c>
      <c r="L4902">
        <f>LET(
    arrears_months,'Loan Tape (S&amp;P)'!AN4902,
    IF(arrears_months=0,1.00,
    IF(arrears_months=1,3.00,
    IF(arrears_months=2,5.00,
    IF(arrears_months=3,8.00,
    IF(arrears_months=4,10.00,
    IF(arrears_months=5,12.00,15.00)))))))</f>
        <v/>
      </c>
      <c r="M4902">
        <f>LET(
    seasoning_years,DATEDIF('Loan Tape (S&amp;P)'!K4902,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02">
        <f>IF(AND('Loan Tape (S&amp;P)'!U4902="Yes",
        'Loan Tape (S&amp;P)'!T4902&lt;&gt;"Yes",
        DATEDIF('Loan Tape (S&amp;P)'!K4902, TODAY(), "M")&lt;18),
    1.10,
    1.00)</f>
        <v/>
      </c>
      <c r="O4902">
        <f>IF('Loan Tape (S&amp;P)'!T4902="Yes",
    1.35,
    1.00)</f>
        <v/>
      </c>
      <c r="P4902">
        <f>IF('Loan Tape (S&amp;P)'!S4902="Yes",
    1.15,
    1.00)</f>
        <v/>
      </c>
      <c r="Q4902">
        <f>IF('Loan Tape (S&amp;P)'!V4902="Yes",
    1.20,
    1.00)</f>
        <v/>
      </c>
      <c r="T4902">
        <f>LET(
    payment_method,'Loan Tape (S&amp;P)'!P4902,
    occupancy,'Loan Tape (S&amp;P)'!N4902,
    maturity_date,'Loan Tape (S&amp;P)'!L4902,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03">
      <c r="J4903">
        <f>LET(
    lien,'Loan Tape (S&amp;P)'!Q4903,
    IF(lien="First",1.00,
        IF(lien="Second",1.50,
            1.70)))</f>
        <v/>
      </c>
      <c r="K4903">
        <f>LET(
    purpose,'Loan Tape (S&amp;P)'!R4903,
    IF(purpose="Purchase",1.00,
        IF(purpose="Remortgage",1.00,
            1.20)))</f>
        <v/>
      </c>
      <c r="L4903">
        <f>LET(
    arrears_months,'Loan Tape (S&amp;P)'!AN4903,
    IF(arrears_months=0,1.00,
    IF(arrears_months=1,3.00,
    IF(arrears_months=2,5.00,
    IF(arrears_months=3,8.00,
    IF(arrears_months=4,10.00,
    IF(arrears_months=5,12.00,15.00)))))))</f>
        <v/>
      </c>
      <c r="M4903">
        <f>LET(
    seasoning_years,DATEDIF('Loan Tape (S&amp;P)'!K4903,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03">
        <f>IF(AND('Loan Tape (S&amp;P)'!U4903="Yes",
        'Loan Tape (S&amp;P)'!T4903&lt;&gt;"Yes",
        DATEDIF('Loan Tape (S&amp;P)'!K4903, TODAY(), "M")&lt;18),
    1.10,
    1.00)</f>
        <v/>
      </c>
      <c r="O4903">
        <f>IF('Loan Tape (S&amp;P)'!T4903="Yes",
    1.35,
    1.00)</f>
        <v/>
      </c>
      <c r="P4903">
        <f>IF('Loan Tape (S&amp;P)'!S4903="Yes",
    1.15,
    1.00)</f>
        <v/>
      </c>
      <c r="Q4903">
        <f>IF('Loan Tape (S&amp;P)'!V4903="Yes",
    1.20,
    1.00)</f>
        <v/>
      </c>
      <c r="T4903">
        <f>LET(
    payment_method,'Loan Tape (S&amp;P)'!P4903,
    occupancy,'Loan Tape (S&amp;P)'!N4903,
    maturity_date,'Loan Tape (S&amp;P)'!L4903,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04">
      <c r="J4904">
        <f>LET(
    lien,'Loan Tape (S&amp;P)'!Q4904,
    IF(lien="First",1.00,
        IF(lien="Second",1.50,
            1.70)))</f>
        <v/>
      </c>
      <c r="K4904">
        <f>LET(
    purpose,'Loan Tape (S&amp;P)'!R4904,
    IF(purpose="Purchase",1.00,
        IF(purpose="Remortgage",1.00,
            1.20)))</f>
        <v/>
      </c>
      <c r="L4904">
        <f>LET(
    arrears_months,'Loan Tape (S&amp;P)'!AN4904,
    IF(arrears_months=0,1.00,
    IF(arrears_months=1,3.00,
    IF(arrears_months=2,5.00,
    IF(arrears_months=3,8.00,
    IF(arrears_months=4,10.00,
    IF(arrears_months=5,12.00,15.00)))))))</f>
        <v/>
      </c>
      <c r="M4904">
        <f>LET(
    seasoning_years,DATEDIF('Loan Tape (S&amp;P)'!K4904,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04">
        <f>IF(AND('Loan Tape (S&amp;P)'!U4904="Yes",
        'Loan Tape (S&amp;P)'!T4904&lt;&gt;"Yes",
        DATEDIF('Loan Tape (S&amp;P)'!K4904, TODAY(), "M")&lt;18),
    1.10,
    1.00)</f>
        <v/>
      </c>
      <c r="O4904">
        <f>IF('Loan Tape (S&amp;P)'!T4904="Yes",
    1.35,
    1.00)</f>
        <v/>
      </c>
      <c r="P4904">
        <f>IF('Loan Tape (S&amp;P)'!S4904="Yes",
    1.15,
    1.00)</f>
        <v/>
      </c>
      <c r="Q4904">
        <f>IF('Loan Tape (S&amp;P)'!V4904="Yes",
    1.20,
    1.00)</f>
        <v/>
      </c>
      <c r="T4904">
        <f>LET(
    payment_method,'Loan Tape (S&amp;P)'!P4904,
    occupancy,'Loan Tape (S&amp;P)'!N4904,
    maturity_date,'Loan Tape (S&amp;P)'!L4904,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05">
      <c r="J4905">
        <f>LET(
    lien,'Loan Tape (S&amp;P)'!Q4905,
    IF(lien="First",1.00,
        IF(lien="Second",1.50,
            1.70)))</f>
        <v/>
      </c>
      <c r="K4905">
        <f>LET(
    purpose,'Loan Tape (S&amp;P)'!R4905,
    IF(purpose="Purchase",1.00,
        IF(purpose="Remortgage",1.00,
            1.20)))</f>
        <v/>
      </c>
      <c r="L4905">
        <f>LET(
    arrears_months,'Loan Tape (S&amp;P)'!AN4905,
    IF(arrears_months=0,1.00,
    IF(arrears_months=1,3.00,
    IF(arrears_months=2,5.00,
    IF(arrears_months=3,8.00,
    IF(arrears_months=4,10.00,
    IF(arrears_months=5,12.00,15.00)))))))</f>
        <v/>
      </c>
      <c r="M4905">
        <f>LET(
    seasoning_years,DATEDIF('Loan Tape (S&amp;P)'!K4905,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05">
        <f>IF(AND('Loan Tape (S&amp;P)'!U4905="Yes",
        'Loan Tape (S&amp;P)'!T4905&lt;&gt;"Yes",
        DATEDIF('Loan Tape (S&amp;P)'!K4905, TODAY(), "M")&lt;18),
    1.10,
    1.00)</f>
        <v/>
      </c>
      <c r="O4905">
        <f>IF('Loan Tape (S&amp;P)'!T4905="Yes",
    1.35,
    1.00)</f>
        <v/>
      </c>
      <c r="P4905">
        <f>IF('Loan Tape (S&amp;P)'!S4905="Yes",
    1.15,
    1.00)</f>
        <v/>
      </c>
      <c r="Q4905">
        <f>IF('Loan Tape (S&amp;P)'!V4905="Yes",
    1.20,
    1.00)</f>
        <v/>
      </c>
      <c r="T4905">
        <f>LET(
    payment_method,'Loan Tape (S&amp;P)'!P4905,
    occupancy,'Loan Tape (S&amp;P)'!N4905,
    maturity_date,'Loan Tape (S&amp;P)'!L4905,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06">
      <c r="J4906">
        <f>LET(
    lien,'Loan Tape (S&amp;P)'!Q4906,
    IF(lien="First",1.00,
        IF(lien="Second",1.50,
            1.70)))</f>
        <v/>
      </c>
      <c r="K4906">
        <f>LET(
    purpose,'Loan Tape (S&amp;P)'!R4906,
    IF(purpose="Purchase",1.00,
        IF(purpose="Remortgage",1.00,
            1.20)))</f>
        <v/>
      </c>
      <c r="L4906">
        <f>LET(
    arrears_months,'Loan Tape (S&amp;P)'!AN4906,
    IF(arrears_months=0,1.00,
    IF(arrears_months=1,3.00,
    IF(arrears_months=2,5.00,
    IF(arrears_months=3,8.00,
    IF(arrears_months=4,10.00,
    IF(arrears_months=5,12.00,15.00)))))))</f>
        <v/>
      </c>
      <c r="M4906">
        <f>LET(
    seasoning_years,DATEDIF('Loan Tape (S&amp;P)'!K4906,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06">
        <f>IF(AND('Loan Tape (S&amp;P)'!U4906="Yes",
        'Loan Tape (S&amp;P)'!T4906&lt;&gt;"Yes",
        DATEDIF('Loan Tape (S&amp;P)'!K4906, TODAY(), "M")&lt;18),
    1.10,
    1.00)</f>
        <v/>
      </c>
      <c r="O4906">
        <f>IF('Loan Tape (S&amp;P)'!T4906="Yes",
    1.35,
    1.00)</f>
        <v/>
      </c>
      <c r="P4906">
        <f>IF('Loan Tape (S&amp;P)'!S4906="Yes",
    1.15,
    1.00)</f>
        <v/>
      </c>
      <c r="Q4906">
        <f>IF('Loan Tape (S&amp;P)'!V4906="Yes",
    1.20,
    1.00)</f>
        <v/>
      </c>
      <c r="T4906">
        <f>LET(
    payment_method,'Loan Tape (S&amp;P)'!P4906,
    occupancy,'Loan Tape (S&amp;P)'!N4906,
    maturity_date,'Loan Tape (S&amp;P)'!L4906,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07">
      <c r="J4907">
        <f>LET(
    lien,'Loan Tape (S&amp;P)'!Q4907,
    IF(lien="First",1.00,
        IF(lien="Second",1.50,
            1.70)))</f>
        <v/>
      </c>
      <c r="K4907">
        <f>LET(
    purpose,'Loan Tape (S&amp;P)'!R4907,
    IF(purpose="Purchase",1.00,
        IF(purpose="Remortgage",1.00,
            1.20)))</f>
        <v/>
      </c>
      <c r="L4907">
        <f>LET(
    arrears_months,'Loan Tape (S&amp;P)'!AN4907,
    IF(arrears_months=0,1.00,
    IF(arrears_months=1,3.00,
    IF(arrears_months=2,5.00,
    IF(arrears_months=3,8.00,
    IF(arrears_months=4,10.00,
    IF(arrears_months=5,12.00,15.00)))))))</f>
        <v/>
      </c>
      <c r="M4907">
        <f>LET(
    seasoning_years,DATEDIF('Loan Tape (S&amp;P)'!K4907,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07">
        <f>IF(AND('Loan Tape (S&amp;P)'!U4907="Yes",
        'Loan Tape (S&amp;P)'!T4907&lt;&gt;"Yes",
        DATEDIF('Loan Tape (S&amp;P)'!K4907, TODAY(), "M")&lt;18),
    1.10,
    1.00)</f>
        <v/>
      </c>
      <c r="O4907">
        <f>IF('Loan Tape (S&amp;P)'!T4907="Yes",
    1.35,
    1.00)</f>
        <v/>
      </c>
      <c r="P4907">
        <f>IF('Loan Tape (S&amp;P)'!S4907="Yes",
    1.15,
    1.00)</f>
        <v/>
      </c>
      <c r="Q4907">
        <f>IF('Loan Tape (S&amp;P)'!V4907="Yes",
    1.20,
    1.00)</f>
        <v/>
      </c>
      <c r="T4907">
        <f>LET(
    payment_method,'Loan Tape (S&amp;P)'!P4907,
    occupancy,'Loan Tape (S&amp;P)'!N4907,
    maturity_date,'Loan Tape (S&amp;P)'!L4907,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08">
      <c r="J4908">
        <f>LET(
    lien,'Loan Tape (S&amp;P)'!Q4908,
    IF(lien="First",1.00,
        IF(lien="Second",1.50,
            1.70)))</f>
        <v/>
      </c>
      <c r="K4908">
        <f>LET(
    purpose,'Loan Tape (S&amp;P)'!R4908,
    IF(purpose="Purchase",1.00,
        IF(purpose="Remortgage",1.00,
            1.20)))</f>
        <v/>
      </c>
      <c r="L4908">
        <f>LET(
    arrears_months,'Loan Tape (S&amp;P)'!AN4908,
    IF(arrears_months=0,1.00,
    IF(arrears_months=1,3.00,
    IF(arrears_months=2,5.00,
    IF(arrears_months=3,8.00,
    IF(arrears_months=4,10.00,
    IF(arrears_months=5,12.00,15.00)))))))</f>
        <v/>
      </c>
      <c r="M4908">
        <f>LET(
    seasoning_years,DATEDIF('Loan Tape (S&amp;P)'!K4908,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08">
        <f>IF(AND('Loan Tape (S&amp;P)'!U4908="Yes",
        'Loan Tape (S&amp;P)'!T4908&lt;&gt;"Yes",
        DATEDIF('Loan Tape (S&amp;P)'!K4908, TODAY(), "M")&lt;18),
    1.10,
    1.00)</f>
        <v/>
      </c>
      <c r="O4908">
        <f>IF('Loan Tape (S&amp;P)'!T4908="Yes",
    1.35,
    1.00)</f>
        <v/>
      </c>
      <c r="P4908">
        <f>IF('Loan Tape (S&amp;P)'!S4908="Yes",
    1.15,
    1.00)</f>
        <v/>
      </c>
      <c r="Q4908">
        <f>IF('Loan Tape (S&amp;P)'!V4908="Yes",
    1.20,
    1.00)</f>
        <v/>
      </c>
      <c r="T4908">
        <f>LET(
    payment_method,'Loan Tape (S&amp;P)'!P4908,
    occupancy,'Loan Tape (S&amp;P)'!N4908,
    maturity_date,'Loan Tape (S&amp;P)'!L4908,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09">
      <c r="J4909">
        <f>LET(
    lien,'Loan Tape (S&amp;P)'!Q4909,
    IF(lien="First",1.00,
        IF(lien="Second",1.50,
            1.70)))</f>
        <v/>
      </c>
      <c r="K4909">
        <f>LET(
    purpose,'Loan Tape (S&amp;P)'!R4909,
    IF(purpose="Purchase",1.00,
        IF(purpose="Remortgage",1.00,
            1.20)))</f>
        <v/>
      </c>
      <c r="L4909">
        <f>LET(
    arrears_months,'Loan Tape (S&amp;P)'!AN4909,
    IF(arrears_months=0,1.00,
    IF(arrears_months=1,3.00,
    IF(arrears_months=2,5.00,
    IF(arrears_months=3,8.00,
    IF(arrears_months=4,10.00,
    IF(arrears_months=5,12.00,15.00)))))))</f>
        <v/>
      </c>
      <c r="M4909">
        <f>LET(
    seasoning_years,DATEDIF('Loan Tape (S&amp;P)'!K4909,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09">
        <f>IF(AND('Loan Tape (S&amp;P)'!U4909="Yes",
        'Loan Tape (S&amp;P)'!T4909&lt;&gt;"Yes",
        DATEDIF('Loan Tape (S&amp;P)'!K4909, TODAY(), "M")&lt;18),
    1.10,
    1.00)</f>
        <v/>
      </c>
      <c r="O4909">
        <f>IF('Loan Tape (S&amp;P)'!T4909="Yes",
    1.35,
    1.00)</f>
        <v/>
      </c>
      <c r="P4909">
        <f>IF('Loan Tape (S&amp;P)'!S4909="Yes",
    1.15,
    1.00)</f>
        <v/>
      </c>
      <c r="Q4909">
        <f>IF('Loan Tape (S&amp;P)'!V4909="Yes",
    1.20,
    1.00)</f>
        <v/>
      </c>
      <c r="T4909">
        <f>LET(
    payment_method,'Loan Tape (S&amp;P)'!P4909,
    occupancy,'Loan Tape (S&amp;P)'!N4909,
    maturity_date,'Loan Tape (S&amp;P)'!L4909,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10">
      <c r="J4910">
        <f>LET(
    lien,'Loan Tape (S&amp;P)'!Q4910,
    IF(lien="First",1.00,
        IF(lien="Second",1.50,
            1.70)))</f>
        <v/>
      </c>
      <c r="K4910">
        <f>LET(
    purpose,'Loan Tape (S&amp;P)'!R4910,
    IF(purpose="Purchase",1.00,
        IF(purpose="Remortgage",1.00,
            1.20)))</f>
        <v/>
      </c>
      <c r="L4910">
        <f>LET(
    arrears_months,'Loan Tape (S&amp;P)'!AN4910,
    IF(arrears_months=0,1.00,
    IF(arrears_months=1,3.00,
    IF(arrears_months=2,5.00,
    IF(arrears_months=3,8.00,
    IF(arrears_months=4,10.00,
    IF(arrears_months=5,12.00,15.00)))))))</f>
        <v/>
      </c>
      <c r="M4910">
        <f>LET(
    seasoning_years,DATEDIF('Loan Tape (S&amp;P)'!K4910,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10">
        <f>IF(AND('Loan Tape (S&amp;P)'!U4910="Yes",
        'Loan Tape (S&amp;P)'!T4910&lt;&gt;"Yes",
        DATEDIF('Loan Tape (S&amp;P)'!K4910, TODAY(), "M")&lt;18),
    1.10,
    1.00)</f>
        <v/>
      </c>
      <c r="O4910">
        <f>IF('Loan Tape (S&amp;P)'!T4910="Yes",
    1.35,
    1.00)</f>
        <v/>
      </c>
      <c r="P4910">
        <f>IF('Loan Tape (S&amp;P)'!S4910="Yes",
    1.15,
    1.00)</f>
        <v/>
      </c>
      <c r="Q4910">
        <f>IF('Loan Tape (S&amp;P)'!V4910="Yes",
    1.20,
    1.00)</f>
        <v/>
      </c>
      <c r="T4910">
        <f>LET(
    payment_method,'Loan Tape (S&amp;P)'!P4910,
    occupancy,'Loan Tape (S&amp;P)'!N4910,
    maturity_date,'Loan Tape (S&amp;P)'!L4910,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11">
      <c r="J4911">
        <f>LET(
    lien,'Loan Tape (S&amp;P)'!Q4911,
    IF(lien="First",1.00,
        IF(lien="Second",1.50,
            1.70)))</f>
        <v/>
      </c>
      <c r="K4911">
        <f>LET(
    purpose,'Loan Tape (S&amp;P)'!R4911,
    IF(purpose="Purchase",1.00,
        IF(purpose="Remortgage",1.00,
            1.20)))</f>
        <v/>
      </c>
      <c r="L4911">
        <f>LET(
    arrears_months,'Loan Tape (S&amp;P)'!AN4911,
    IF(arrears_months=0,1.00,
    IF(arrears_months=1,3.00,
    IF(arrears_months=2,5.00,
    IF(arrears_months=3,8.00,
    IF(arrears_months=4,10.00,
    IF(arrears_months=5,12.00,15.00)))))))</f>
        <v/>
      </c>
      <c r="M4911">
        <f>LET(
    seasoning_years,DATEDIF('Loan Tape (S&amp;P)'!K4911,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11">
        <f>IF(AND('Loan Tape (S&amp;P)'!U4911="Yes",
        'Loan Tape (S&amp;P)'!T4911&lt;&gt;"Yes",
        DATEDIF('Loan Tape (S&amp;P)'!K4911, TODAY(), "M")&lt;18),
    1.10,
    1.00)</f>
        <v/>
      </c>
      <c r="O4911">
        <f>IF('Loan Tape (S&amp;P)'!T4911="Yes",
    1.35,
    1.00)</f>
        <v/>
      </c>
      <c r="P4911">
        <f>IF('Loan Tape (S&amp;P)'!S4911="Yes",
    1.15,
    1.00)</f>
        <v/>
      </c>
      <c r="Q4911">
        <f>IF('Loan Tape (S&amp;P)'!V4911="Yes",
    1.20,
    1.00)</f>
        <v/>
      </c>
      <c r="T4911">
        <f>LET(
    payment_method,'Loan Tape (S&amp;P)'!P4911,
    occupancy,'Loan Tape (S&amp;P)'!N4911,
    maturity_date,'Loan Tape (S&amp;P)'!L4911,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12">
      <c r="J4912">
        <f>LET(
    lien,'Loan Tape (S&amp;P)'!Q4912,
    IF(lien="First",1.00,
        IF(lien="Second",1.50,
            1.70)))</f>
        <v/>
      </c>
      <c r="K4912">
        <f>LET(
    purpose,'Loan Tape (S&amp;P)'!R4912,
    IF(purpose="Purchase",1.00,
        IF(purpose="Remortgage",1.00,
            1.20)))</f>
        <v/>
      </c>
      <c r="L4912">
        <f>LET(
    arrears_months,'Loan Tape (S&amp;P)'!AN4912,
    IF(arrears_months=0,1.00,
    IF(arrears_months=1,3.00,
    IF(arrears_months=2,5.00,
    IF(arrears_months=3,8.00,
    IF(arrears_months=4,10.00,
    IF(arrears_months=5,12.00,15.00)))))))</f>
        <v/>
      </c>
      <c r="M4912">
        <f>LET(
    seasoning_years,DATEDIF('Loan Tape (S&amp;P)'!K4912,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12">
        <f>IF(AND('Loan Tape (S&amp;P)'!U4912="Yes",
        'Loan Tape (S&amp;P)'!T4912&lt;&gt;"Yes",
        DATEDIF('Loan Tape (S&amp;P)'!K4912, TODAY(), "M")&lt;18),
    1.10,
    1.00)</f>
        <v/>
      </c>
      <c r="O4912">
        <f>IF('Loan Tape (S&amp;P)'!T4912="Yes",
    1.35,
    1.00)</f>
        <v/>
      </c>
      <c r="P4912">
        <f>IF('Loan Tape (S&amp;P)'!S4912="Yes",
    1.15,
    1.00)</f>
        <v/>
      </c>
      <c r="Q4912">
        <f>IF('Loan Tape (S&amp;P)'!V4912="Yes",
    1.20,
    1.00)</f>
        <v/>
      </c>
      <c r="T4912">
        <f>LET(
    payment_method,'Loan Tape (S&amp;P)'!P4912,
    occupancy,'Loan Tape (S&amp;P)'!N4912,
    maturity_date,'Loan Tape (S&amp;P)'!L4912,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13">
      <c r="J4913">
        <f>LET(
    lien,'Loan Tape (S&amp;P)'!Q4913,
    IF(lien="First",1.00,
        IF(lien="Second",1.50,
            1.70)))</f>
        <v/>
      </c>
      <c r="K4913">
        <f>LET(
    purpose,'Loan Tape (S&amp;P)'!R4913,
    IF(purpose="Purchase",1.00,
        IF(purpose="Remortgage",1.00,
            1.20)))</f>
        <v/>
      </c>
      <c r="L4913">
        <f>LET(
    arrears_months,'Loan Tape (S&amp;P)'!AN4913,
    IF(arrears_months=0,1.00,
    IF(arrears_months=1,3.00,
    IF(arrears_months=2,5.00,
    IF(arrears_months=3,8.00,
    IF(arrears_months=4,10.00,
    IF(arrears_months=5,12.00,15.00)))))))</f>
        <v/>
      </c>
      <c r="M4913">
        <f>LET(
    seasoning_years,DATEDIF('Loan Tape (S&amp;P)'!K4913,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13">
        <f>IF(AND('Loan Tape (S&amp;P)'!U4913="Yes",
        'Loan Tape (S&amp;P)'!T4913&lt;&gt;"Yes",
        DATEDIF('Loan Tape (S&amp;P)'!K4913, TODAY(), "M")&lt;18),
    1.10,
    1.00)</f>
        <v/>
      </c>
      <c r="O4913">
        <f>IF('Loan Tape (S&amp;P)'!T4913="Yes",
    1.35,
    1.00)</f>
        <v/>
      </c>
      <c r="P4913">
        <f>IF('Loan Tape (S&amp;P)'!S4913="Yes",
    1.15,
    1.00)</f>
        <v/>
      </c>
      <c r="Q4913">
        <f>IF('Loan Tape (S&amp;P)'!V4913="Yes",
    1.20,
    1.00)</f>
        <v/>
      </c>
      <c r="T4913">
        <f>LET(
    payment_method,'Loan Tape (S&amp;P)'!P4913,
    occupancy,'Loan Tape (S&amp;P)'!N4913,
    maturity_date,'Loan Tape (S&amp;P)'!L4913,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14">
      <c r="J4914">
        <f>LET(
    lien,'Loan Tape (S&amp;P)'!Q4914,
    IF(lien="First",1.00,
        IF(lien="Second",1.50,
            1.70)))</f>
        <v/>
      </c>
      <c r="K4914">
        <f>LET(
    purpose,'Loan Tape (S&amp;P)'!R4914,
    IF(purpose="Purchase",1.00,
        IF(purpose="Remortgage",1.00,
            1.20)))</f>
        <v/>
      </c>
      <c r="L4914">
        <f>LET(
    arrears_months,'Loan Tape (S&amp;P)'!AN4914,
    IF(arrears_months=0,1.00,
    IF(arrears_months=1,3.00,
    IF(arrears_months=2,5.00,
    IF(arrears_months=3,8.00,
    IF(arrears_months=4,10.00,
    IF(arrears_months=5,12.00,15.00)))))))</f>
        <v/>
      </c>
      <c r="M4914">
        <f>LET(
    seasoning_years,DATEDIF('Loan Tape (S&amp;P)'!K4914,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14">
        <f>IF(AND('Loan Tape (S&amp;P)'!U4914="Yes",
        'Loan Tape (S&amp;P)'!T4914&lt;&gt;"Yes",
        DATEDIF('Loan Tape (S&amp;P)'!K4914, TODAY(), "M")&lt;18),
    1.10,
    1.00)</f>
        <v/>
      </c>
      <c r="O4914">
        <f>IF('Loan Tape (S&amp;P)'!T4914="Yes",
    1.35,
    1.00)</f>
        <v/>
      </c>
      <c r="P4914">
        <f>IF('Loan Tape (S&amp;P)'!S4914="Yes",
    1.15,
    1.00)</f>
        <v/>
      </c>
      <c r="Q4914">
        <f>IF('Loan Tape (S&amp;P)'!V4914="Yes",
    1.20,
    1.00)</f>
        <v/>
      </c>
      <c r="T4914">
        <f>LET(
    payment_method,'Loan Tape (S&amp;P)'!P4914,
    occupancy,'Loan Tape (S&amp;P)'!N4914,
    maturity_date,'Loan Tape (S&amp;P)'!L4914,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15">
      <c r="J4915">
        <f>LET(
    lien,'Loan Tape (S&amp;P)'!Q4915,
    IF(lien="First",1.00,
        IF(lien="Second",1.50,
            1.70)))</f>
        <v/>
      </c>
      <c r="K4915">
        <f>LET(
    purpose,'Loan Tape (S&amp;P)'!R4915,
    IF(purpose="Purchase",1.00,
        IF(purpose="Remortgage",1.00,
            1.20)))</f>
        <v/>
      </c>
      <c r="L4915">
        <f>LET(
    arrears_months,'Loan Tape (S&amp;P)'!AN4915,
    IF(arrears_months=0,1.00,
    IF(arrears_months=1,3.00,
    IF(arrears_months=2,5.00,
    IF(arrears_months=3,8.00,
    IF(arrears_months=4,10.00,
    IF(arrears_months=5,12.00,15.00)))))))</f>
        <v/>
      </c>
      <c r="M4915">
        <f>LET(
    seasoning_years,DATEDIF('Loan Tape (S&amp;P)'!K4915,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15">
        <f>IF(AND('Loan Tape (S&amp;P)'!U4915="Yes",
        'Loan Tape (S&amp;P)'!T4915&lt;&gt;"Yes",
        DATEDIF('Loan Tape (S&amp;P)'!K4915, TODAY(), "M")&lt;18),
    1.10,
    1.00)</f>
        <v/>
      </c>
      <c r="O4915">
        <f>IF('Loan Tape (S&amp;P)'!T4915="Yes",
    1.35,
    1.00)</f>
        <v/>
      </c>
      <c r="P4915">
        <f>IF('Loan Tape (S&amp;P)'!S4915="Yes",
    1.15,
    1.00)</f>
        <v/>
      </c>
      <c r="Q4915">
        <f>IF('Loan Tape (S&amp;P)'!V4915="Yes",
    1.20,
    1.00)</f>
        <v/>
      </c>
      <c r="T4915">
        <f>LET(
    payment_method,'Loan Tape (S&amp;P)'!P4915,
    occupancy,'Loan Tape (S&amp;P)'!N4915,
    maturity_date,'Loan Tape (S&amp;P)'!L4915,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16">
      <c r="J4916">
        <f>LET(
    lien,'Loan Tape (S&amp;P)'!Q4916,
    IF(lien="First",1.00,
        IF(lien="Second",1.50,
            1.70)))</f>
        <v/>
      </c>
      <c r="K4916">
        <f>LET(
    purpose,'Loan Tape (S&amp;P)'!R4916,
    IF(purpose="Purchase",1.00,
        IF(purpose="Remortgage",1.00,
            1.20)))</f>
        <v/>
      </c>
      <c r="L4916">
        <f>LET(
    arrears_months,'Loan Tape (S&amp;P)'!AN4916,
    IF(arrears_months=0,1.00,
    IF(arrears_months=1,3.00,
    IF(arrears_months=2,5.00,
    IF(arrears_months=3,8.00,
    IF(arrears_months=4,10.00,
    IF(arrears_months=5,12.00,15.00)))))))</f>
        <v/>
      </c>
      <c r="M4916">
        <f>LET(
    seasoning_years,DATEDIF('Loan Tape (S&amp;P)'!K4916,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16">
        <f>IF(AND('Loan Tape (S&amp;P)'!U4916="Yes",
        'Loan Tape (S&amp;P)'!T4916&lt;&gt;"Yes",
        DATEDIF('Loan Tape (S&amp;P)'!K4916, TODAY(), "M")&lt;18),
    1.10,
    1.00)</f>
        <v/>
      </c>
      <c r="O4916">
        <f>IF('Loan Tape (S&amp;P)'!T4916="Yes",
    1.35,
    1.00)</f>
        <v/>
      </c>
      <c r="P4916">
        <f>IF('Loan Tape (S&amp;P)'!S4916="Yes",
    1.15,
    1.00)</f>
        <v/>
      </c>
      <c r="Q4916">
        <f>IF('Loan Tape (S&amp;P)'!V4916="Yes",
    1.20,
    1.00)</f>
        <v/>
      </c>
      <c r="T4916">
        <f>LET(
    payment_method,'Loan Tape (S&amp;P)'!P4916,
    occupancy,'Loan Tape (S&amp;P)'!N4916,
    maturity_date,'Loan Tape (S&amp;P)'!L4916,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17">
      <c r="J4917">
        <f>LET(
    lien,'Loan Tape (S&amp;P)'!Q4917,
    IF(lien="First",1.00,
        IF(lien="Second",1.50,
            1.70)))</f>
        <v/>
      </c>
      <c r="K4917">
        <f>LET(
    purpose,'Loan Tape (S&amp;P)'!R4917,
    IF(purpose="Purchase",1.00,
        IF(purpose="Remortgage",1.00,
            1.20)))</f>
        <v/>
      </c>
      <c r="L4917">
        <f>LET(
    arrears_months,'Loan Tape (S&amp;P)'!AN4917,
    IF(arrears_months=0,1.00,
    IF(arrears_months=1,3.00,
    IF(arrears_months=2,5.00,
    IF(arrears_months=3,8.00,
    IF(arrears_months=4,10.00,
    IF(arrears_months=5,12.00,15.00)))))))</f>
        <v/>
      </c>
      <c r="M4917">
        <f>LET(
    seasoning_years,DATEDIF('Loan Tape (S&amp;P)'!K4917,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17">
        <f>IF(AND('Loan Tape (S&amp;P)'!U4917="Yes",
        'Loan Tape (S&amp;P)'!T4917&lt;&gt;"Yes",
        DATEDIF('Loan Tape (S&amp;P)'!K4917, TODAY(), "M")&lt;18),
    1.10,
    1.00)</f>
        <v/>
      </c>
      <c r="O4917">
        <f>IF('Loan Tape (S&amp;P)'!T4917="Yes",
    1.35,
    1.00)</f>
        <v/>
      </c>
      <c r="P4917">
        <f>IF('Loan Tape (S&amp;P)'!S4917="Yes",
    1.15,
    1.00)</f>
        <v/>
      </c>
      <c r="Q4917">
        <f>IF('Loan Tape (S&amp;P)'!V4917="Yes",
    1.20,
    1.00)</f>
        <v/>
      </c>
      <c r="T4917">
        <f>LET(
    payment_method,'Loan Tape (S&amp;P)'!P4917,
    occupancy,'Loan Tape (S&amp;P)'!N4917,
    maturity_date,'Loan Tape (S&amp;P)'!L4917,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18">
      <c r="J4918">
        <f>LET(
    lien,'Loan Tape (S&amp;P)'!Q4918,
    IF(lien="First",1.00,
        IF(lien="Second",1.50,
            1.70)))</f>
        <v/>
      </c>
      <c r="K4918">
        <f>LET(
    purpose,'Loan Tape (S&amp;P)'!R4918,
    IF(purpose="Purchase",1.00,
        IF(purpose="Remortgage",1.00,
            1.20)))</f>
        <v/>
      </c>
      <c r="L4918">
        <f>LET(
    arrears_months,'Loan Tape (S&amp;P)'!AN4918,
    IF(arrears_months=0,1.00,
    IF(arrears_months=1,3.00,
    IF(arrears_months=2,5.00,
    IF(arrears_months=3,8.00,
    IF(arrears_months=4,10.00,
    IF(arrears_months=5,12.00,15.00)))))))</f>
        <v/>
      </c>
      <c r="M4918">
        <f>LET(
    seasoning_years,DATEDIF('Loan Tape (S&amp;P)'!K4918,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18">
        <f>IF(AND('Loan Tape (S&amp;P)'!U4918="Yes",
        'Loan Tape (S&amp;P)'!T4918&lt;&gt;"Yes",
        DATEDIF('Loan Tape (S&amp;P)'!K4918, TODAY(), "M")&lt;18),
    1.10,
    1.00)</f>
        <v/>
      </c>
      <c r="O4918">
        <f>IF('Loan Tape (S&amp;P)'!T4918="Yes",
    1.35,
    1.00)</f>
        <v/>
      </c>
      <c r="P4918">
        <f>IF('Loan Tape (S&amp;P)'!S4918="Yes",
    1.15,
    1.00)</f>
        <v/>
      </c>
      <c r="Q4918">
        <f>IF('Loan Tape (S&amp;P)'!V4918="Yes",
    1.20,
    1.00)</f>
        <v/>
      </c>
      <c r="T4918">
        <f>LET(
    payment_method,'Loan Tape (S&amp;P)'!P4918,
    occupancy,'Loan Tape (S&amp;P)'!N4918,
    maturity_date,'Loan Tape (S&amp;P)'!L4918,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19">
      <c r="J4919">
        <f>LET(
    lien,'Loan Tape (S&amp;P)'!Q4919,
    IF(lien="First",1.00,
        IF(lien="Second",1.50,
            1.70)))</f>
        <v/>
      </c>
      <c r="K4919">
        <f>LET(
    purpose,'Loan Tape (S&amp;P)'!R4919,
    IF(purpose="Purchase",1.00,
        IF(purpose="Remortgage",1.00,
            1.20)))</f>
        <v/>
      </c>
      <c r="L4919">
        <f>LET(
    arrears_months,'Loan Tape (S&amp;P)'!AN4919,
    IF(arrears_months=0,1.00,
    IF(arrears_months=1,3.00,
    IF(arrears_months=2,5.00,
    IF(arrears_months=3,8.00,
    IF(arrears_months=4,10.00,
    IF(arrears_months=5,12.00,15.00)))))))</f>
        <v/>
      </c>
      <c r="M4919">
        <f>LET(
    seasoning_years,DATEDIF('Loan Tape (S&amp;P)'!K4919,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19">
        <f>IF(AND('Loan Tape (S&amp;P)'!U4919="Yes",
        'Loan Tape (S&amp;P)'!T4919&lt;&gt;"Yes",
        DATEDIF('Loan Tape (S&amp;P)'!K4919, TODAY(), "M")&lt;18),
    1.10,
    1.00)</f>
        <v/>
      </c>
      <c r="O4919">
        <f>IF('Loan Tape (S&amp;P)'!T4919="Yes",
    1.35,
    1.00)</f>
        <v/>
      </c>
      <c r="P4919">
        <f>IF('Loan Tape (S&amp;P)'!S4919="Yes",
    1.15,
    1.00)</f>
        <v/>
      </c>
      <c r="Q4919">
        <f>IF('Loan Tape (S&amp;P)'!V4919="Yes",
    1.20,
    1.00)</f>
        <v/>
      </c>
      <c r="T4919">
        <f>LET(
    payment_method,'Loan Tape (S&amp;P)'!P4919,
    occupancy,'Loan Tape (S&amp;P)'!N4919,
    maturity_date,'Loan Tape (S&amp;P)'!L4919,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20">
      <c r="J4920">
        <f>LET(
    lien,'Loan Tape (S&amp;P)'!Q4920,
    IF(lien="First",1.00,
        IF(lien="Second",1.50,
            1.70)))</f>
        <v/>
      </c>
      <c r="K4920">
        <f>LET(
    purpose,'Loan Tape (S&amp;P)'!R4920,
    IF(purpose="Purchase",1.00,
        IF(purpose="Remortgage",1.00,
            1.20)))</f>
        <v/>
      </c>
      <c r="L4920">
        <f>LET(
    arrears_months,'Loan Tape (S&amp;P)'!AN4920,
    IF(arrears_months=0,1.00,
    IF(arrears_months=1,3.00,
    IF(arrears_months=2,5.00,
    IF(arrears_months=3,8.00,
    IF(arrears_months=4,10.00,
    IF(arrears_months=5,12.00,15.00)))))))</f>
        <v/>
      </c>
      <c r="M4920">
        <f>LET(
    seasoning_years,DATEDIF('Loan Tape (S&amp;P)'!K4920,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20">
        <f>IF(AND('Loan Tape (S&amp;P)'!U4920="Yes",
        'Loan Tape (S&amp;P)'!T4920&lt;&gt;"Yes",
        DATEDIF('Loan Tape (S&amp;P)'!K4920, TODAY(), "M")&lt;18),
    1.10,
    1.00)</f>
        <v/>
      </c>
      <c r="O4920">
        <f>IF('Loan Tape (S&amp;P)'!T4920="Yes",
    1.35,
    1.00)</f>
        <v/>
      </c>
      <c r="P4920">
        <f>IF('Loan Tape (S&amp;P)'!S4920="Yes",
    1.15,
    1.00)</f>
        <v/>
      </c>
      <c r="Q4920">
        <f>IF('Loan Tape (S&amp;P)'!V4920="Yes",
    1.20,
    1.00)</f>
        <v/>
      </c>
      <c r="T4920">
        <f>LET(
    payment_method,'Loan Tape (S&amp;P)'!P4920,
    occupancy,'Loan Tape (S&amp;P)'!N4920,
    maturity_date,'Loan Tape (S&amp;P)'!L4920,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21">
      <c r="J4921">
        <f>LET(
    lien,'Loan Tape (S&amp;P)'!Q4921,
    IF(lien="First",1.00,
        IF(lien="Second",1.50,
            1.70)))</f>
        <v/>
      </c>
      <c r="K4921">
        <f>LET(
    purpose,'Loan Tape (S&amp;P)'!R4921,
    IF(purpose="Purchase",1.00,
        IF(purpose="Remortgage",1.00,
            1.20)))</f>
        <v/>
      </c>
      <c r="L4921">
        <f>LET(
    arrears_months,'Loan Tape (S&amp;P)'!AN4921,
    IF(arrears_months=0,1.00,
    IF(arrears_months=1,3.00,
    IF(arrears_months=2,5.00,
    IF(arrears_months=3,8.00,
    IF(arrears_months=4,10.00,
    IF(arrears_months=5,12.00,15.00)))))))</f>
        <v/>
      </c>
      <c r="M4921">
        <f>LET(
    seasoning_years,DATEDIF('Loan Tape (S&amp;P)'!K4921,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21">
        <f>IF(AND('Loan Tape (S&amp;P)'!U4921="Yes",
        'Loan Tape (S&amp;P)'!T4921&lt;&gt;"Yes",
        DATEDIF('Loan Tape (S&amp;P)'!K4921, TODAY(), "M")&lt;18),
    1.10,
    1.00)</f>
        <v/>
      </c>
      <c r="O4921">
        <f>IF('Loan Tape (S&amp;P)'!T4921="Yes",
    1.35,
    1.00)</f>
        <v/>
      </c>
      <c r="P4921">
        <f>IF('Loan Tape (S&amp;P)'!S4921="Yes",
    1.15,
    1.00)</f>
        <v/>
      </c>
      <c r="Q4921">
        <f>IF('Loan Tape (S&amp;P)'!V4921="Yes",
    1.20,
    1.00)</f>
        <v/>
      </c>
      <c r="T4921">
        <f>LET(
    payment_method,'Loan Tape (S&amp;P)'!P4921,
    occupancy,'Loan Tape (S&amp;P)'!N4921,
    maturity_date,'Loan Tape (S&amp;P)'!L4921,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22">
      <c r="J4922">
        <f>LET(
    lien,'Loan Tape (S&amp;P)'!Q4922,
    IF(lien="First",1.00,
        IF(lien="Second",1.50,
            1.70)))</f>
        <v/>
      </c>
      <c r="K4922">
        <f>LET(
    purpose,'Loan Tape (S&amp;P)'!R4922,
    IF(purpose="Purchase",1.00,
        IF(purpose="Remortgage",1.00,
            1.20)))</f>
        <v/>
      </c>
      <c r="L4922">
        <f>LET(
    arrears_months,'Loan Tape (S&amp;P)'!AN4922,
    IF(arrears_months=0,1.00,
    IF(arrears_months=1,3.00,
    IF(arrears_months=2,5.00,
    IF(arrears_months=3,8.00,
    IF(arrears_months=4,10.00,
    IF(arrears_months=5,12.00,15.00)))))))</f>
        <v/>
      </c>
      <c r="M4922">
        <f>LET(
    seasoning_years,DATEDIF('Loan Tape (S&amp;P)'!K4922,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22">
        <f>IF(AND('Loan Tape (S&amp;P)'!U4922="Yes",
        'Loan Tape (S&amp;P)'!T4922&lt;&gt;"Yes",
        DATEDIF('Loan Tape (S&amp;P)'!K4922, TODAY(), "M")&lt;18),
    1.10,
    1.00)</f>
        <v/>
      </c>
      <c r="O4922">
        <f>IF('Loan Tape (S&amp;P)'!T4922="Yes",
    1.35,
    1.00)</f>
        <v/>
      </c>
      <c r="P4922">
        <f>IF('Loan Tape (S&amp;P)'!S4922="Yes",
    1.15,
    1.00)</f>
        <v/>
      </c>
      <c r="Q4922">
        <f>IF('Loan Tape (S&amp;P)'!V4922="Yes",
    1.20,
    1.00)</f>
        <v/>
      </c>
      <c r="T4922">
        <f>LET(
    payment_method,'Loan Tape (S&amp;P)'!P4922,
    occupancy,'Loan Tape (S&amp;P)'!N4922,
    maturity_date,'Loan Tape (S&amp;P)'!L4922,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23">
      <c r="J4923">
        <f>LET(
    lien,'Loan Tape (S&amp;P)'!Q4923,
    IF(lien="First",1.00,
        IF(lien="Second",1.50,
            1.70)))</f>
        <v/>
      </c>
      <c r="K4923">
        <f>LET(
    purpose,'Loan Tape (S&amp;P)'!R4923,
    IF(purpose="Purchase",1.00,
        IF(purpose="Remortgage",1.00,
            1.20)))</f>
        <v/>
      </c>
      <c r="L4923">
        <f>LET(
    arrears_months,'Loan Tape (S&amp;P)'!AN4923,
    IF(arrears_months=0,1.00,
    IF(arrears_months=1,3.00,
    IF(arrears_months=2,5.00,
    IF(arrears_months=3,8.00,
    IF(arrears_months=4,10.00,
    IF(arrears_months=5,12.00,15.00)))))))</f>
        <v/>
      </c>
      <c r="M4923">
        <f>LET(
    seasoning_years,DATEDIF('Loan Tape (S&amp;P)'!K4923,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23">
        <f>IF(AND('Loan Tape (S&amp;P)'!U4923="Yes",
        'Loan Tape (S&amp;P)'!T4923&lt;&gt;"Yes",
        DATEDIF('Loan Tape (S&amp;P)'!K4923, TODAY(), "M")&lt;18),
    1.10,
    1.00)</f>
        <v/>
      </c>
      <c r="O4923">
        <f>IF('Loan Tape (S&amp;P)'!T4923="Yes",
    1.35,
    1.00)</f>
        <v/>
      </c>
      <c r="P4923">
        <f>IF('Loan Tape (S&amp;P)'!S4923="Yes",
    1.15,
    1.00)</f>
        <v/>
      </c>
      <c r="Q4923">
        <f>IF('Loan Tape (S&amp;P)'!V4923="Yes",
    1.20,
    1.00)</f>
        <v/>
      </c>
      <c r="T4923">
        <f>LET(
    payment_method,'Loan Tape (S&amp;P)'!P4923,
    occupancy,'Loan Tape (S&amp;P)'!N4923,
    maturity_date,'Loan Tape (S&amp;P)'!L4923,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24">
      <c r="J4924">
        <f>LET(
    lien,'Loan Tape (S&amp;P)'!Q4924,
    IF(lien="First",1.00,
        IF(lien="Second",1.50,
            1.70)))</f>
        <v/>
      </c>
      <c r="K4924">
        <f>LET(
    purpose,'Loan Tape (S&amp;P)'!R4924,
    IF(purpose="Purchase",1.00,
        IF(purpose="Remortgage",1.00,
            1.20)))</f>
        <v/>
      </c>
      <c r="L4924">
        <f>LET(
    arrears_months,'Loan Tape (S&amp;P)'!AN4924,
    IF(arrears_months=0,1.00,
    IF(arrears_months=1,3.00,
    IF(arrears_months=2,5.00,
    IF(arrears_months=3,8.00,
    IF(arrears_months=4,10.00,
    IF(arrears_months=5,12.00,15.00)))))))</f>
        <v/>
      </c>
      <c r="M4924">
        <f>LET(
    seasoning_years,DATEDIF('Loan Tape (S&amp;P)'!K4924,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24">
        <f>IF(AND('Loan Tape (S&amp;P)'!U4924="Yes",
        'Loan Tape (S&amp;P)'!T4924&lt;&gt;"Yes",
        DATEDIF('Loan Tape (S&amp;P)'!K4924, TODAY(), "M")&lt;18),
    1.10,
    1.00)</f>
        <v/>
      </c>
      <c r="O4924">
        <f>IF('Loan Tape (S&amp;P)'!T4924="Yes",
    1.35,
    1.00)</f>
        <v/>
      </c>
      <c r="P4924">
        <f>IF('Loan Tape (S&amp;P)'!S4924="Yes",
    1.15,
    1.00)</f>
        <v/>
      </c>
      <c r="Q4924">
        <f>IF('Loan Tape (S&amp;P)'!V4924="Yes",
    1.20,
    1.00)</f>
        <v/>
      </c>
      <c r="T4924">
        <f>LET(
    payment_method,'Loan Tape (S&amp;P)'!P4924,
    occupancy,'Loan Tape (S&amp;P)'!N4924,
    maturity_date,'Loan Tape (S&amp;P)'!L4924,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25">
      <c r="J4925">
        <f>LET(
    lien,'Loan Tape (S&amp;P)'!Q4925,
    IF(lien="First",1.00,
        IF(lien="Second",1.50,
            1.70)))</f>
        <v/>
      </c>
      <c r="K4925">
        <f>LET(
    purpose,'Loan Tape (S&amp;P)'!R4925,
    IF(purpose="Purchase",1.00,
        IF(purpose="Remortgage",1.00,
            1.20)))</f>
        <v/>
      </c>
      <c r="L4925">
        <f>LET(
    arrears_months,'Loan Tape (S&amp;P)'!AN4925,
    IF(arrears_months=0,1.00,
    IF(arrears_months=1,3.00,
    IF(arrears_months=2,5.00,
    IF(arrears_months=3,8.00,
    IF(arrears_months=4,10.00,
    IF(arrears_months=5,12.00,15.00)))))))</f>
        <v/>
      </c>
      <c r="M4925">
        <f>LET(
    seasoning_years,DATEDIF('Loan Tape (S&amp;P)'!K4925,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25">
        <f>IF(AND('Loan Tape (S&amp;P)'!U4925="Yes",
        'Loan Tape (S&amp;P)'!T4925&lt;&gt;"Yes",
        DATEDIF('Loan Tape (S&amp;P)'!K4925, TODAY(), "M")&lt;18),
    1.10,
    1.00)</f>
        <v/>
      </c>
      <c r="O4925">
        <f>IF('Loan Tape (S&amp;P)'!T4925="Yes",
    1.35,
    1.00)</f>
        <v/>
      </c>
      <c r="P4925">
        <f>IF('Loan Tape (S&amp;P)'!S4925="Yes",
    1.15,
    1.00)</f>
        <v/>
      </c>
      <c r="Q4925">
        <f>IF('Loan Tape (S&amp;P)'!V4925="Yes",
    1.20,
    1.00)</f>
        <v/>
      </c>
      <c r="T4925">
        <f>LET(
    payment_method,'Loan Tape (S&amp;P)'!P4925,
    occupancy,'Loan Tape (S&amp;P)'!N4925,
    maturity_date,'Loan Tape (S&amp;P)'!L4925,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26">
      <c r="J4926">
        <f>LET(
    lien,'Loan Tape (S&amp;P)'!Q4926,
    IF(lien="First",1.00,
        IF(lien="Second",1.50,
            1.70)))</f>
        <v/>
      </c>
      <c r="K4926">
        <f>LET(
    purpose,'Loan Tape (S&amp;P)'!R4926,
    IF(purpose="Purchase",1.00,
        IF(purpose="Remortgage",1.00,
            1.20)))</f>
        <v/>
      </c>
      <c r="L4926">
        <f>LET(
    arrears_months,'Loan Tape (S&amp;P)'!AN4926,
    IF(arrears_months=0,1.00,
    IF(arrears_months=1,3.00,
    IF(arrears_months=2,5.00,
    IF(arrears_months=3,8.00,
    IF(arrears_months=4,10.00,
    IF(arrears_months=5,12.00,15.00)))))))</f>
        <v/>
      </c>
      <c r="M4926">
        <f>LET(
    seasoning_years,DATEDIF('Loan Tape (S&amp;P)'!K4926,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26">
        <f>IF(AND('Loan Tape (S&amp;P)'!U4926="Yes",
        'Loan Tape (S&amp;P)'!T4926&lt;&gt;"Yes",
        DATEDIF('Loan Tape (S&amp;P)'!K4926, TODAY(), "M")&lt;18),
    1.10,
    1.00)</f>
        <v/>
      </c>
      <c r="O4926">
        <f>IF('Loan Tape (S&amp;P)'!T4926="Yes",
    1.35,
    1.00)</f>
        <v/>
      </c>
      <c r="P4926">
        <f>IF('Loan Tape (S&amp;P)'!S4926="Yes",
    1.15,
    1.00)</f>
        <v/>
      </c>
      <c r="Q4926">
        <f>IF('Loan Tape (S&amp;P)'!V4926="Yes",
    1.20,
    1.00)</f>
        <v/>
      </c>
      <c r="T4926">
        <f>LET(
    payment_method,'Loan Tape (S&amp;P)'!P4926,
    occupancy,'Loan Tape (S&amp;P)'!N4926,
    maturity_date,'Loan Tape (S&amp;P)'!L4926,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27">
      <c r="J4927">
        <f>LET(
    lien,'Loan Tape (S&amp;P)'!Q4927,
    IF(lien="First",1.00,
        IF(lien="Second",1.50,
            1.70)))</f>
        <v/>
      </c>
      <c r="K4927">
        <f>LET(
    purpose,'Loan Tape (S&amp;P)'!R4927,
    IF(purpose="Purchase",1.00,
        IF(purpose="Remortgage",1.00,
            1.20)))</f>
        <v/>
      </c>
      <c r="L4927">
        <f>LET(
    arrears_months,'Loan Tape (S&amp;P)'!AN4927,
    IF(arrears_months=0,1.00,
    IF(arrears_months=1,3.00,
    IF(arrears_months=2,5.00,
    IF(arrears_months=3,8.00,
    IF(arrears_months=4,10.00,
    IF(arrears_months=5,12.00,15.00)))))))</f>
        <v/>
      </c>
      <c r="M4927">
        <f>LET(
    seasoning_years,DATEDIF('Loan Tape (S&amp;P)'!K4927,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27">
        <f>IF(AND('Loan Tape (S&amp;P)'!U4927="Yes",
        'Loan Tape (S&amp;P)'!T4927&lt;&gt;"Yes",
        DATEDIF('Loan Tape (S&amp;P)'!K4927, TODAY(), "M")&lt;18),
    1.10,
    1.00)</f>
        <v/>
      </c>
      <c r="O4927">
        <f>IF('Loan Tape (S&amp;P)'!T4927="Yes",
    1.35,
    1.00)</f>
        <v/>
      </c>
      <c r="P4927">
        <f>IF('Loan Tape (S&amp;P)'!S4927="Yes",
    1.15,
    1.00)</f>
        <v/>
      </c>
      <c r="Q4927">
        <f>IF('Loan Tape (S&amp;P)'!V4927="Yes",
    1.20,
    1.00)</f>
        <v/>
      </c>
      <c r="T4927">
        <f>LET(
    payment_method,'Loan Tape (S&amp;P)'!P4927,
    occupancy,'Loan Tape (S&amp;P)'!N4927,
    maturity_date,'Loan Tape (S&amp;P)'!L4927,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28">
      <c r="J4928">
        <f>LET(
    lien,'Loan Tape (S&amp;P)'!Q4928,
    IF(lien="First",1.00,
        IF(lien="Second",1.50,
            1.70)))</f>
        <v/>
      </c>
      <c r="K4928">
        <f>LET(
    purpose,'Loan Tape (S&amp;P)'!R4928,
    IF(purpose="Purchase",1.00,
        IF(purpose="Remortgage",1.00,
            1.20)))</f>
        <v/>
      </c>
      <c r="L4928">
        <f>LET(
    arrears_months,'Loan Tape (S&amp;P)'!AN4928,
    IF(arrears_months=0,1.00,
    IF(arrears_months=1,3.00,
    IF(arrears_months=2,5.00,
    IF(arrears_months=3,8.00,
    IF(arrears_months=4,10.00,
    IF(arrears_months=5,12.00,15.00)))))))</f>
        <v/>
      </c>
      <c r="M4928">
        <f>LET(
    seasoning_years,DATEDIF('Loan Tape (S&amp;P)'!K4928,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28">
        <f>IF(AND('Loan Tape (S&amp;P)'!U4928="Yes",
        'Loan Tape (S&amp;P)'!T4928&lt;&gt;"Yes",
        DATEDIF('Loan Tape (S&amp;P)'!K4928, TODAY(), "M")&lt;18),
    1.10,
    1.00)</f>
        <v/>
      </c>
      <c r="O4928">
        <f>IF('Loan Tape (S&amp;P)'!T4928="Yes",
    1.35,
    1.00)</f>
        <v/>
      </c>
      <c r="P4928">
        <f>IF('Loan Tape (S&amp;P)'!S4928="Yes",
    1.15,
    1.00)</f>
        <v/>
      </c>
      <c r="Q4928">
        <f>IF('Loan Tape (S&amp;P)'!V4928="Yes",
    1.20,
    1.00)</f>
        <v/>
      </c>
      <c r="T4928">
        <f>LET(
    payment_method,'Loan Tape (S&amp;P)'!P4928,
    occupancy,'Loan Tape (S&amp;P)'!N4928,
    maturity_date,'Loan Tape (S&amp;P)'!L4928,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29">
      <c r="J4929">
        <f>LET(
    lien,'Loan Tape (S&amp;P)'!Q4929,
    IF(lien="First",1.00,
        IF(lien="Second",1.50,
            1.70)))</f>
        <v/>
      </c>
      <c r="K4929">
        <f>LET(
    purpose,'Loan Tape (S&amp;P)'!R4929,
    IF(purpose="Purchase",1.00,
        IF(purpose="Remortgage",1.00,
            1.20)))</f>
        <v/>
      </c>
      <c r="L4929">
        <f>LET(
    arrears_months,'Loan Tape (S&amp;P)'!AN4929,
    IF(arrears_months=0,1.00,
    IF(arrears_months=1,3.00,
    IF(arrears_months=2,5.00,
    IF(arrears_months=3,8.00,
    IF(arrears_months=4,10.00,
    IF(arrears_months=5,12.00,15.00)))))))</f>
        <v/>
      </c>
      <c r="M4929">
        <f>LET(
    seasoning_years,DATEDIF('Loan Tape (S&amp;P)'!K4929,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29">
        <f>IF(AND('Loan Tape (S&amp;P)'!U4929="Yes",
        'Loan Tape (S&amp;P)'!T4929&lt;&gt;"Yes",
        DATEDIF('Loan Tape (S&amp;P)'!K4929, TODAY(), "M")&lt;18),
    1.10,
    1.00)</f>
        <v/>
      </c>
      <c r="O4929">
        <f>IF('Loan Tape (S&amp;P)'!T4929="Yes",
    1.35,
    1.00)</f>
        <v/>
      </c>
      <c r="P4929">
        <f>IF('Loan Tape (S&amp;P)'!S4929="Yes",
    1.15,
    1.00)</f>
        <v/>
      </c>
      <c r="Q4929">
        <f>IF('Loan Tape (S&amp;P)'!V4929="Yes",
    1.20,
    1.00)</f>
        <v/>
      </c>
      <c r="T4929">
        <f>LET(
    payment_method,'Loan Tape (S&amp;P)'!P4929,
    occupancy,'Loan Tape (S&amp;P)'!N4929,
    maturity_date,'Loan Tape (S&amp;P)'!L4929,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30">
      <c r="J4930">
        <f>LET(
    lien,'Loan Tape (S&amp;P)'!Q4930,
    IF(lien="First",1.00,
        IF(lien="Second",1.50,
            1.70)))</f>
        <v/>
      </c>
      <c r="K4930">
        <f>LET(
    purpose,'Loan Tape (S&amp;P)'!R4930,
    IF(purpose="Purchase",1.00,
        IF(purpose="Remortgage",1.00,
            1.20)))</f>
        <v/>
      </c>
      <c r="L4930">
        <f>LET(
    arrears_months,'Loan Tape (S&amp;P)'!AN4930,
    IF(arrears_months=0,1.00,
    IF(arrears_months=1,3.00,
    IF(arrears_months=2,5.00,
    IF(arrears_months=3,8.00,
    IF(arrears_months=4,10.00,
    IF(arrears_months=5,12.00,15.00)))))))</f>
        <v/>
      </c>
      <c r="M4930">
        <f>LET(
    seasoning_years,DATEDIF('Loan Tape (S&amp;P)'!K4930,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30">
        <f>IF(AND('Loan Tape (S&amp;P)'!U4930="Yes",
        'Loan Tape (S&amp;P)'!T4930&lt;&gt;"Yes",
        DATEDIF('Loan Tape (S&amp;P)'!K4930, TODAY(), "M")&lt;18),
    1.10,
    1.00)</f>
        <v/>
      </c>
      <c r="O4930">
        <f>IF('Loan Tape (S&amp;P)'!T4930="Yes",
    1.35,
    1.00)</f>
        <v/>
      </c>
      <c r="P4930">
        <f>IF('Loan Tape (S&amp;P)'!S4930="Yes",
    1.15,
    1.00)</f>
        <v/>
      </c>
      <c r="Q4930">
        <f>IF('Loan Tape (S&amp;P)'!V4930="Yes",
    1.20,
    1.00)</f>
        <v/>
      </c>
      <c r="T4930">
        <f>LET(
    payment_method,'Loan Tape (S&amp;P)'!P4930,
    occupancy,'Loan Tape (S&amp;P)'!N4930,
    maturity_date,'Loan Tape (S&amp;P)'!L4930,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31">
      <c r="J4931">
        <f>LET(
    lien,'Loan Tape (S&amp;P)'!Q4931,
    IF(lien="First",1.00,
        IF(lien="Second",1.50,
            1.70)))</f>
        <v/>
      </c>
      <c r="K4931">
        <f>LET(
    purpose,'Loan Tape (S&amp;P)'!R4931,
    IF(purpose="Purchase",1.00,
        IF(purpose="Remortgage",1.00,
            1.20)))</f>
        <v/>
      </c>
      <c r="L4931">
        <f>LET(
    arrears_months,'Loan Tape (S&amp;P)'!AN4931,
    IF(arrears_months=0,1.00,
    IF(arrears_months=1,3.00,
    IF(arrears_months=2,5.00,
    IF(arrears_months=3,8.00,
    IF(arrears_months=4,10.00,
    IF(arrears_months=5,12.00,15.00)))))))</f>
        <v/>
      </c>
      <c r="M4931">
        <f>LET(
    seasoning_years,DATEDIF('Loan Tape (S&amp;P)'!K4931,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31">
        <f>IF(AND('Loan Tape (S&amp;P)'!U4931="Yes",
        'Loan Tape (S&amp;P)'!T4931&lt;&gt;"Yes",
        DATEDIF('Loan Tape (S&amp;P)'!K4931, TODAY(), "M")&lt;18),
    1.10,
    1.00)</f>
        <v/>
      </c>
      <c r="O4931">
        <f>IF('Loan Tape (S&amp;P)'!T4931="Yes",
    1.35,
    1.00)</f>
        <v/>
      </c>
      <c r="P4931">
        <f>IF('Loan Tape (S&amp;P)'!S4931="Yes",
    1.15,
    1.00)</f>
        <v/>
      </c>
      <c r="Q4931">
        <f>IF('Loan Tape (S&amp;P)'!V4931="Yes",
    1.20,
    1.00)</f>
        <v/>
      </c>
      <c r="T4931">
        <f>LET(
    payment_method,'Loan Tape (S&amp;P)'!P4931,
    occupancy,'Loan Tape (S&amp;P)'!N4931,
    maturity_date,'Loan Tape (S&amp;P)'!L4931,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32">
      <c r="J4932">
        <f>LET(
    lien,'Loan Tape (S&amp;P)'!Q4932,
    IF(lien="First",1.00,
        IF(lien="Second",1.50,
            1.70)))</f>
        <v/>
      </c>
      <c r="K4932">
        <f>LET(
    purpose,'Loan Tape (S&amp;P)'!R4932,
    IF(purpose="Purchase",1.00,
        IF(purpose="Remortgage",1.00,
            1.20)))</f>
        <v/>
      </c>
      <c r="L4932">
        <f>LET(
    arrears_months,'Loan Tape (S&amp;P)'!AN4932,
    IF(arrears_months=0,1.00,
    IF(arrears_months=1,3.00,
    IF(arrears_months=2,5.00,
    IF(arrears_months=3,8.00,
    IF(arrears_months=4,10.00,
    IF(arrears_months=5,12.00,15.00)))))))</f>
        <v/>
      </c>
      <c r="M4932">
        <f>LET(
    seasoning_years,DATEDIF('Loan Tape (S&amp;P)'!K4932,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32">
        <f>IF(AND('Loan Tape (S&amp;P)'!U4932="Yes",
        'Loan Tape (S&amp;P)'!T4932&lt;&gt;"Yes",
        DATEDIF('Loan Tape (S&amp;P)'!K4932, TODAY(), "M")&lt;18),
    1.10,
    1.00)</f>
        <v/>
      </c>
      <c r="O4932">
        <f>IF('Loan Tape (S&amp;P)'!T4932="Yes",
    1.35,
    1.00)</f>
        <v/>
      </c>
      <c r="P4932">
        <f>IF('Loan Tape (S&amp;P)'!S4932="Yes",
    1.15,
    1.00)</f>
        <v/>
      </c>
      <c r="Q4932">
        <f>IF('Loan Tape (S&amp;P)'!V4932="Yes",
    1.20,
    1.00)</f>
        <v/>
      </c>
      <c r="T4932">
        <f>LET(
    payment_method,'Loan Tape (S&amp;P)'!P4932,
    occupancy,'Loan Tape (S&amp;P)'!N4932,
    maturity_date,'Loan Tape (S&amp;P)'!L4932,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33">
      <c r="J4933">
        <f>LET(
    lien,'Loan Tape (S&amp;P)'!Q4933,
    IF(lien="First",1.00,
        IF(lien="Second",1.50,
            1.70)))</f>
        <v/>
      </c>
      <c r="K4933">
        <f>LET(
    purpose,'Loan Tape (S&amp;P)'!R4933,
    IF(purpose="Purchase",1.00,
        IF(purpose="Remortgage",1.00,
            1.20)))</f>
        <v/>
      </c>
      <c r="L4933">
        <f>LET(
    arrears_months,'Loan Tape (S&amp;P)'!AN4933,
    IF(arrears_months=0,1.00,
    IF(arrears_months=1,3.00,
    IF(arrears_months=2,5.00,
    IF(arrears_months=3,8.00,
    IF(arrears_months=4,10.00,
    IF(arrears_months=5,12.00,15.00)))))))</f>
        <v/>
      </c>
      <c r="M4933">
        <f>LET(
    seasoning_years,DATEDIF('Loan Tape (S&amp;P)'!K4933,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33">
        <f>IF(AND('Loan Tape (S&amp;P)'!U4933="Yes",
        'Loan Tape (S&amp;P)'!T4933&lt;&gt;"Yes",
        DATEDIF('Loan Tape (S&amp;P)'!K4933, TODAY(), "M")&lt;18),
    1.10,
    1.00)</f>
        <v/>
      </c>
      <c r="O4933">
        <f>IF('Loan Tape (S&amp;P)'!T4933="Yes",
    1.35,
    1.00)</f>
        <v/>
      </c>
      <c r="P4933">
        <f>IF('Loan Tape (S&amp;P)'!S4933="Yes",
    1.15,
    1.00)</f>
        <v/>
      </c>
      <c r="Q4933">
        <f>IF('Loan Tape (S&amp;P)'!V4933="Yes",
    1.20,
    1.00)</f>
        <v/>
      </c>
      <c r="T4933">
        <f>LET(
    payment_method,'Loan Tape (S&amp;P)'!P4933,
    occupancy,'Loan Tape (S&amp;P)'!N4933,
    maturity_date,'Loan Tape (S&amp;P)'!L4933,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34">
      <c r="J4934">
        <f>LET(
    lien,'Loan Tape (S&amp;P)'!Q4934,
    IF(lien="First",1.00,
        IF(lien="Second",1.50,
            1.70)))</f>
        <v/>
      </c>
      <c r="K4934">
        <f>LET(
    purpose,'Loan Tape (S&amp;P)'!R4934,
    IF(purpose="Purchase",1.00,
        IF(purpose="Remortgage",1.00,
            1.20)))</f>
        <v/>
      </c>
      <c r="L4934">
        <f>LET(
    arrears_months,'Loan Tape (S&amp;P)'!AN4934,
    IF(arrears_months=0,1.00,
    IF(arrears_months=1,3.00,
    IF(arrears_months=2,5.00,
    IF(arrears_months=3,8.00,
    IF(arrears_months=4,10.00,
    IF(arrears_months=5,12.00,15.00)))))))</f>
        <v/>
      </c>
      <c r="M4934">
        <f>LET(
    seasoning_years,DATEDIF('Loan Tape (S&amp;P)'!K4934,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34">
        <f>IF(AND('Loan Tape (S&amp;P)'!U4934="Yes",
        'Loan Tape (S&amp;P)'!T4934&lt;&gt;"Yes",
        DATEDIF('Loan Tape (S&amp;P)'!K4934, TODAY(), "M")&lt;18),
    1.10,
    1.00)</f>
        <v/>
      </c>
      <c r="O4934">
        <f>IF('Loan Tape (S&amp;P)'!T4934="Yes",
    1.35,
    1.00)</f>
        <v/>
      </c>
      <c r="P4934">
        <f>IF('Loan Tape (S&amp;P)'!S4934="Yes",
    1.15,
    1.00)</f>
        <v/>
      </c>
      <c r="Q4934">
        <f>IF('Loan Tape (S&amp;P)'!V4934="Yes",
    1.20,
    1.00)</f>
        <v/>
      </c>
      <c r="T4934">
        <f>LET(
    payment_method,'Loan Tape (S&amp;P)'!P4934,
    occupancy,'Loan Tape (S&amp;P)'!N4934,
    maturity_date,'Loan Tape (S&amp;P)'!L4934,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35">
      <c r="J4935">
        <f>LET(
    lien,'Loan Tape (S&amp;P)'!Q4935,
    IF(lien="First",1.00,
        IF(lien="Second",1.50,
            1.70)))</f>
        <v/>
      </c>
      <c r="K4935">
        <f>LET(
    purpose,'Loan Tape (S&amp;P)'!R4935,
    IF(purpose="Purchase",1.00,
        IF(purpose="Remortgage",1.00,
            1.20)))</f>
        <v/>
      </c>
      <c r="L4935">
        <f>LET(
    arrears_months,'Loan Tape (S&amp;P)'!AN4935,
    IF(arrears_months=0,1.00,
    IF(arrears_months=1,3.00,
    IF(arrears_months=2,5.00,
    IF(arrears_months=3,8.00,
    IF(arrears_months=4,10.00,
    IF(arrears_months=5,12.00,15.00)))))))</f>
        <v/>
      </c>
      <c r="M4935">
        <f>LET(
    seasoning_years,DATEDIF('Loan Tape (S&amp;P)'!K4935,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35">
        <f>IF(AND('Loan Tape (S&amp;P)'!U4935="Yes",
        'Loan Tape (S&amp;P)'!T4935&lt;&gt;"Yes",
        DATEDIF('Loan Tape (S&amp;P)'!K4935, TODAY(), "M")&lt;18),
    1.10,
    1.00)</f>
        <v/>
      </c>
      <c r="O4935">
        <f>IF('Loan Tape (S&amp;P)'!T4935="Yes",
    1.35,
    1.00)</f>
        <v/>
      </c>
      <c r="P4935">
        <f>IF('Loan Tape (S&amp;P)'!S4935="Yes",
    1.15,
    1.00)</f>
        <v/>
      </c>
      <c r="Q4935">
        <f>IF('Loan Tape (S&amp;P)'!V4935="Yes",
    1.20,
    1.00)</f>
        <v/>
      </c>
      <c r="T4935">
        <f>LET(
    payment_method,'Loan Tape (S&amp;P)'!P4935,
    occupancy,'Loan Tape (S&amp;P)'!N4935,
    maturity_date,'Loan Tape (S&amp;P)'!L4935,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36">
      <c r="J4936">
        <f>LET(
    lien,'Loan Tape (S&amp;P)'!Q4936,
    IF(lien="First",1.00,
        IF(lien="Second",1.50,
            1.70)))</f>
        <v/>
      </c>
      <c r="K4936">
        <f>LET(
    purpose,'Loan Tape (S&amp;P)'!R4936,
    IF(purpose="Purchase",1.00,
        IF(purpose="Remortgage",1.00,
            1.20)))</f>
        <v/>
      </c>
      <c r="L4936">
        <f>LET(
    arrears_months,'Loan Tape (S&amp;P)'!AN4936,
    IF(arrears_months=0,1.00,
    IF(arrears_months=1,3.00,
    IF(arrears_months=2,5.00,
    IF(arrears_months=3,8.00,
    IF(arrears_months=4,10.00,
    IF(arrears_months=5,12.00,15.00)))))))</f>
        <v/>
      </c>
      <c r="M4936">
        <f>LET(
    seasoning_years,DATEDIF('Loan Tape (S&amp;P)'!K4936,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36">
        <f>IF(AND('Loan Tape (S&amp;P)'!U4936="Yes",
        'Loan Tape (S&amp;P)'!T4936&lt;&gt;"Yes",
        DATEDIF('Loan Tape (S&amp;P)'!K4936, TODAY(), "M")&lt;18),
    1.10,
    1.00)</f>
        <v/>
      </c>
      <c r="O4936">
        <f>IF('Loan Tape (S&amp;P)'!T4936="Yes",
    1.35,
    1.00)</f>
        <v/>
      </c>
      <c r="P4936">
        <f>IF('Loan Tape (S&amp;P)'!S4936="Yes",
    1.15,
    1.00)</f>
        <v/>
      </c>
      <c r="Q4936">
        <f>IF('Loan Tape (S&amp;P)'!V4936="Yes",
    1.20,
    1.00)</f>
        <v/>
      </c>
      <c r="T4936">
        <f>LET(
    payment_method,'Loan Tape (S&amp;P)'!P4936,
    occupancy,'Loan Tape (S&amp;P)'!N4936,
    maturity_date,'Loan Tape (S&amp;P)'!L4936,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37">
      <c r="J4937">
        <f>LET(
    lien,'Loan Tape (S&amp;P)'!Q4937,
    IF(lien="First",1.00,
        IF(lien="Second",1.50,
            1.70)))</f>
        <v/>
      </c>
      <c r="K4937">
        <f>LET(
    purpose,'Loan Tape (S&amp;P)'!R4937,
    IF(purpose="Purchase",1.00,
        IF(purpose="Remortgage",1.00,
            1.20)))</f>
        <v/>
      </c>
      <c r="L4937">
        <f>LET(
    arrears_months,'Loan Tape (S&amp;P)'!AN4937,
    IF(arrears_months=0,1.00,
    IF(arrears_months=1,3.00,
    IF(arrears_months=2,5.00,
    IF(arrears_months=3,8.00,
    IF(arrears_months=4,10.00,
    IF(arrears_months=5,12.00,15.00)))))))</f>
        <v/>
      </c>
      <c r="M4937">
        <f>LET(
    seasoning_years,DATEDIF('Loan Tape (S&amp;P)'!K4937,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37">
        <f>IF(AND('Loan Tape (S&amp;P)'!U4937="Yes",
        'Loan Tape (S&amp;P)'!T4937&lt;&gt;"Yes",
        DATEDIF('Loan Tape (S&amp;P)'!K4937, TODAY(), "M")&lt;18),
    1.10,
    1.00)</f>
        <v/>
      </c>
      <c r="O4937">
        <f>IF('Loan Tape (S&amp;P)'!T4937="Yes",
    1.35,
    1.00)</f>
        <v/>
      </c>
      <c r="P4937">
        <f>IF('Loan Tape (S&amp;P)'!S4937="Yes",
    1.15,
    1.00)</f>
        <v/>
      </c>
      <c r="Q4937">
        <f>IF('Loan Tape (S&amp;P)'!V4937="Yes",
    1.20,
    1.00)</f>
        <v/>
      </c>
      <c r="T4937">
        <f>LET(
    payment_method,'Loan Tape (S&amp;P)'!P4937,
    occupancy,'Loan Tape (S&amp;P)'!N4937,
    maturity_date,'Loan Tape (S&amp;P)'!L4937,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38">
      <c r="J4938">
        <f>LET(
    lien,'Loan Tape (S&amp;P)'!Q4938,
    IF(lien="First",1.00,
        IF(lien="Second",1.50,
            1.70)))</f>
        <v/>
      </c>
      <c r="K4938">
        <f>LET(
    purpose,'Loan Tape (S&amp;P)'!R4938,
    IF(purpose="Purchase",1.00,
        IF(purpose="Remortgage",1.00,
            1.20)))</f>
        <v/>
      </c>
      <c r="L4938">
        <f>LET(
    arrears_months,'Loan Tape (S&amp;P)'!AN4938,
    IF(arrears_months=0,1.00,
    IF(arrears_months=1,3.00,
    IF(arrears_months=2,5.00,
    IF(arrears_months=3,8.00,
    IF(arrears_months=4,10.00,
    IF(arrears_months=5,12.00,15.00)))))))</f>
        <v/>
      </c>
      <c r="M4938">
        <f>LET(
    seasoning_years,DATEDIF('Loan Tape (S&amp;P)'!K4938,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38">
        <f>IF(AND('Loan Tape (S&amp;P)'!U4938="Yes",
        'Loan Tape (S&amp;P)'!T4938&lt;&gt;"Yes",
        DATEDIF('Loan Tape (S&amp;P)'!K4938, TODAY(), "M")&lt;18),
    1.10,
    1.00)</f>
        <v/>
      </c>
      <c r="O4938">
        <f>IF('Loan Tape (S&amp;P)'!T4938="Yes",
    1.35,
    1.00)</f>
        <v/>
      </c>
      <c r="P4938">
        <f>IF('Loan Tape (S&amp;P)'!S4938="Yes",
    1.15,
    1.00)</f>
        <v/>
      </c>
      <c r="Q4938">
        <f>IF('Loan Tape (S&amp;P)'!V4938="Yes",
    1.20,
    1.00)</f>
        <v/>
      </c>
      <c r="T4938">
        <f>LET(
    payment_method,'Loan Tape (S&amp;P)'!P4938,
    occupancy,'Loan Tape (S&amp;P)'!N4938,
    maturity_date,'Loan Tape (S&amp;P)'!L4938,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39">
      <c r="J4939">
        <f>LET(
    lien,'Loan Tape (S&amp;P)'!Q4939,
    IF(lien="First",1.00,
        IF(lien="Second",1.50,
            1.70)))</f>
        <v/>
      </c>
      <c r="K4939">
        <f>LET(
    purpose,'Loan Tape (S&amp;P)'!R4939,
    IF(purpose="Purchase",1.00,
        IF(purpose="Remortgage",1.00,
            1.20)))</f>
        <v/>
      </c>
      <c r="L4939">
        <f>LET(
    arrears_months,'Loan Tape (S&amp;P)'!AN4939,
    IF(arrears_months=0,1.00,
    IF(arrears_months=1,3.00,
    IF(arrears_months=2,5.00,
    IF(arrears_months=3,8.00,
    IF(arrears_months=4,10.00,
    IF(arrears_months=5,12.00,15.00)))))))</f>
        <v/>
      </c>
      <c r="M4939">
        <f>LET(
    seasoning_years,DATEDIF('Loan Tape (S&amp;P)'!K4939,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39">
        <f>IF(AND('Loan Tape (S&amp;P)'!U4939="Yes",
        'Loan Tape (S&amp;P)'!T4939&lt;&gt;"Yes",
        DATEDIF('Loan Tape (S&amp;P)'!K4939, TODAY(), "M")&lt;18),
    1.10,
    1.00)</f>
        <v/>
      </c>
      <c r="O4939">
        <f>IF('Loan Tape (S&amp;P)'!T4939="Yes",
    1.35,
    1.00)</f>
        <v/>
      </c>
      <c r="P4939">
        <f>IF('Loan Tape (S&amp;P)'!S4939="Yes",
    1.15,
    1.00)</f>
        <v/>
      </c>
      <c r="Q4939">
        <f>IF('Loan Tape (S&amp;P)'!V4939="Yes",
    1.20,
    1.00)</f>
        <v/>
      </c>
      <c r="T4939">
        <f>LET(
    payment_method,'Loan Tape (S&amp;P)'!P4939,
    occupancy,'Loan Tape (S&amp;P)'!N4939,
    maturity_date,'Loan Tape (S&amp;P)'!L4939,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40">
      <c r="J4940">
        <f>LET(
    lien,'Loan Tape (S&amp;P)'!Q4940,
    IF(lien="First",1.00,
        IF(lien="Second",1.50,
            1.70)))</f>
        <v/>
      </c>
      <c r="K4940">
        <f>LET(
    purpose,'Loan Tape (S&amp;P)'!R4940,
    IF(purpose="Purchase",1.00,
        IF(purpose="Remortgage",1.00,
            1.20)))</f>
        <v/>
      </c>
      <c r="L4940">
        <f>LET(
    arrears_months,'Loan Tape (S&amp;P)'!AN4940,
    IF(arrears_months=0,1.00,
    IF(arrears_months=1,3.00,
    IF(arrears_months=2,5.00,
    IF(arrears_months=3,8.00,
    IF(arrears_months=4,10.00,
    IF(arrears_months=5,12.00,15.00)))))))</f>
        <v/>
      </c>
      <c r="M4940">
        <f>LET(
    seasoning_years,DATEDIF('Loan Tape (S&amp;P)'!K4940,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40">
        <f>IF(AND('Loan Tape (S&amp;P)'!U4940="Yes",
        'Loan Tape (S&amp;P)'!T4940&lt;&gt;"Yes",
        DATEDIF('Loan Tape (S&amp;P)'!K4940, TODAY(), "M")&lt;18),
    1.10,
    1.00)</f>
        <v/>
      </c>
      <c r="O4940">
        <f>IF('Loan Tape (S&amp;P)'!T4940="Yes",
    1.35,
    1.00)</f>
        <v/>
      </c>
      <c r="P4940">
        <f>IF('Loan Tape (S&amp;P)'!S4940="Yes",
    1.15,
    1.00)</f>
        <v/>
      </c>
      <c r="Q4940">
        <f>IF('Loan Tape (S&amp;P)'!V4940="Yes",
    1.20,
    1.00)</f>
        <v/>
      </c>
      <c r="T4940">
        <f>LET(
    payment_method,'Loan Tape (S&amp;P)'!P4940,
    occupancy,'Loan Tape (S&amp;P)'!N4940,
    maturity_date,'Loan Tape (S&amp;P)'!L4940,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41">
      <c r="J4941">
        <f>LET(
    lien,'Loan Tape (S&amp;P)'!Q4941,
    IF(lien="First",1.00,
        IF(lien="Second",1.50,
            1.70)))</f>
        <v/>
      </c>
      <c r="K4941">
        <f>LET(
    purpose,'Loan Tape (S&amp;P)'!R4941,
    IF(purpose="Purchase",1.00,
        IF(purpose="Remortgage",1.00,
            1.20)))</f>
        <v/>
      </c>
      <c r="L4941">
        <f>LET(
    arrears_months,'Loan Tape (S&amp;P)'!AN4941,
    IF(arrears_months=0,1.00,
    IF(arrears_months=1,3.00,
    IF(arrears_months=2,5.00,
    IF(arrears_months=3,8.00,
    IF(arrears_months=4,10.00,
    IF(arrears_months=5,12.00,15.00)))))))</f>
        <v/>
      </c>
      <c r="M4941">
        <f>LET(
    seasoning_years,DATEDIF('Loan Tape (S&amp;P)'!K4941,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41">
        <f>IF(AND('Loan Tape (S&amp;P)'!U4941="Yes",
        'Loan Tape (S&amp;P)'!T4941&lt;&gt;"Yes",
        DATEDIF('Loan Tape (S&amp;P)'!K4941, TODAY(), "M")&lt;18),
    1.10,
    1.00)</f>
        <v/>
      </c>
      <c r="O4941">
        <f>IF('Loan Tape (S&amp;P)'!T4941="Yes",
    1.35,
    1.00)</f>
        <v/>
      </c>
      <c r="P4941">
        <f>IF('Loan Tape (S&amp;P)'!S4941="Yes",
    1.15,
    1.00)</f>
        <v/>
      </c>
      <c r="Q4941">
        <f>IF('Loan Tape (S&amp;P)'!V4941="Yes",
    1.20,
    1.00)</f>
        <v/>
      </c>
      <c r="T4941">
        <f>LET(
    payment_method,'Loan Tape (S&amp;P)'!P4941,
    occupancy,'Loan Tape (S&amp;P)'!N4941,
    maturity_date,'Loan Tape (S&amp;P)'!L4941,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42">
      <c r="J4942">
        <f>LET(
    lien,'Loan Tape (S&amp;P)'!Q4942,
    IF(lien="First",1.00,
        IF(lien="Second",1.50,
            1.70)))</f>
        <v/>
      </c>
      <c r="K4942">
        <f>LET(
    purpose,'Loan Tape (S&amp;P)'!R4942,
    IF(purpose="Purchase",1.00,
        IF(purpose="Remortgage",1.00,
            1.20)))</f>
        <v/>
      </c>
      <c r="L4942">
        <f>LET(
    arrears_months,'Loan Tape (S&amp;P)'!AN4942,
    IF(arrears_months=0,1.00,
    IF(arrears_months=1,3.00,
    IF(arrears_months=2,5.00,
    IF(arrears_months=3,8.00,
    IF(arrears_months=4,10.00,
    IF(arrears_months=5,12.00,15.00)))))))</f>
        <v/>
      </c>
      <c r="M4942">
        <f>LET(
    seasoning_years,DATEDIF('Loan Tape (S&amp;P)'!K4942,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42">
        <f>IF(AND('Loan Tape (S&amp;P)'!U4942="Yes",
        'Loan Tape (S&amp;P)'!T4942&lt;&gt;"Yes",
        DATEDIF('Loan Tape (S&amp;P)'!K4942, TODAY(), "M")&lt;18),
    1.10,
    1.00)</f>
        <v/>
      </c>
      <c r="O4942">
        <f>IF('Loan Tape (S&amp;P)'!T4942="Yes",
    1.35,
    1.00)</f>
        <v/>
      </c>
      <c r="P4942">
        <f>IF('Loan Tape (S&amp;P)'!S4942="Yes",
    1.15,
    1.00)</f>
        <v/>
      </c>
      <c r="Q4942">
        <f>IF('Loan Tape (S&amp;P)'!V4942="Yes",
    1.20,
    1.00)</f>
        <v/>
      </c>
      <c r="T4942">
        <f>LET(
    payment_method,'Loan Tape (S&amp;P)'!P4942,
    occupancy,'Loan Tape (S&amp;P)'!N4942,
    maturity_date,'Loan Tape (S&amp;P)'!L4942,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43">
      <c r="J4943">
        <f>LET(
    lien,'Loan Tape (S&amp;P)'!Q4943,
    IF(lien="First",1.00,
        IF(lien="Second",1.50,
            1.70)))</f>
        <v/>
      </c>
      <c r="K4943">
        <f>LET(
    purpose,'Loan Tape (S&amp;P)'!R4943,
    IF(purpose="Purchase",1.00,
        IF(purpose="Remortgage",1.00,
            1.20)))</f>
        <v/>
      </c>
      <c r="L4943">
        <f>LET(
    arrears_months,'Loan Tape (S&amp;P)'!AN4943,
    IF(arrears_months=0,1.00,
    IF(arrears_months=1,3.00,
    IF(arrears_months=2,5.00,
    IF(arrears_months=3,8.00,
    IF(arrears_months=4,10.00,
    IF(arrears_months=5,12.00,15.00)))))))</f>
        <v/>
      </c>
      <c r="M4943">
        <f>LET(
    seasoning_years,DATEDIF('Loan Tape (S&amp;P)'!K4943,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43">
        <f>IF(AND('Loan Tape (S&amp;P)'!U4943="Yes",
        'Loan Tape (S&amp;P)'!T4943&lt;&gt;"Yes",
        DATEDIF('Loan Tape (S&amp;P)'!K4943, TODAY(), "M")&lt;18),
    1.10,
    1.00)</f>
        <v/>
      </c>
      <c r="O4943">
        <f>IF('Loan Tape (S&amp;P)'!T4943="Yes",
    1.35,
    1.00)</f>
        <v/>
      </c>
      <c r="P4943">
        <f>IF('Loan Tape (S&amp;P)'!S4943="Yes",
    1.15,
    1.00)</f>
        <v/>
      </c>
      <c r="Q4943">
        <f>IF('Loan Tape (S&amp;P)'!V4943="Yes",
    1.20,
    1.00)</f>
        <v/>
      </c>
      <c r="T4943">
        <f>LET(
    payment_method,'Loan Tape (S&amp;P)'!P4943,
    occupancy,'Loan Tape (S&amp;P)'!N4943,
    maturity_date,'Loan Tape (S&amp;P)'!L4943,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44">
      <c r="J4944">
        <f>LET(
    lien,'Loan Tape (S&amp;P)'!Q4944,
    IF(lien="First",1.00,
        IF(lien="Second",1.50,
            1.70)))</f>
        <v/>
      </c>
      <c r="K4944">
        <f>LET(
    purpose,'Loan Tape (S&amp;P)'!R4944,
    IF(purpose="Purchase",1.00,
        IF(purpose="Remortgage",1.00,
            1.20)))</f>
        <v/>
      </c>
      <c r="L4944">
        <f>LET(
    arrears_months,'Loan Tape (S&amp;P)'!AN4944,
    IF(arrears_months=0,1.00,
    IF(arrears_months=1,3.00,
    IF(arrears_months=2,5.00,
    IF(arrears_months=3,8.00,
    IF(arrears_months=4,10.00,
    IF(arrears_months=5,12.00,15.00)))))))</f>
        <v/>
      </c>
      <c r="M4944">
        <f>LET(
    seasoning_years,DATEDIF('Loan Tape (S&amp;P)'!K4944,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44">
        <f>IF(AND('Loan Tape (S&amp;P)'!U4944="Yes",
        'Loan Tape (S&amp;P)'!T4944&lt;&gt;"Yes",
        DATEDIF('Loan Tape (S&amp;P)'!K4944, TODAY(), "M")&lt;18),
    1.10,
    1.00)</f>
        <v/>
      </c>
      <c r="O4944">
        <f>IF('Loan Tape (S&amp;P)'!T4944="Yes",
    1.35,
    1.00)</f>
        <v/>
      </c>
      <c r="P4944">
        <f>IF('Loan Tape (S&amp;P)'!S4944="Yes",
    1.15,
    1.00)</f>
        <v/>
      </c>
      <c r="Q4944">
        <f>IF('Loan Tape (S&amp;P)'!V4944="Yes",
    1.20,
    1.00)</f>
        <v/>
      </c>
      <c r="T4944">
        <f>LET(
    payment_method,'Loan Tape (S&amp;P)'!P4944,
    occupancy,'Loan Tape (S&amp;P)'!N4944,
    maturity_date,'Loan Tape (S&amp;P)'!L4944,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45">
      <c r="J4945">
        <f>LET(
    lien,'Loan Tape (S&amp;P)'!Q4945,
    IF(lien="First",1.00,
        IF(lien="Second",1.50,
            1.70)))</f>
        <v/>
      </c>
      <c r="K4945">
        <f>LET(
    purpose,'Loan Tape (S&amp;P)'!R4945,
    IF(purpose="Purchase",1.00,
        IF(purpose="Remortgage",1.00,
            1.20)))</f>
        <v/>
      </c>
      <c r="L4945">
        <f>LET(
    arrears_months,'Loan Tape (S&amp;P)'!AN4945,
    IF(arrears_months=0,1.00,
    IF(arrears_months=1,3.00,
    IF(arrears_months=2,5.00,
    IF(arrears_months=3,8.00,
    IF(arrears_months=4,10.00,
    IF(arrears_months=5,12.00,15.00)))))))</f>
        <v/>
      </c>
      <c r="M4945">
        <f>LET(
    seasoning_years,DATEDIF('Loan Tape (S&amp;P)'!K4945,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45">
        <f>IF(AND('Loan Tape (S&amp;P)'!U4945="Yes",
        'Loan Tape (S&amp;P)'!T4945&lt;&gt;"Yes",
        DATEDIF('Loan Tape (S&amp;P)'!K4945, TODAY(), "M")&lt;18),
    1.10,
    1.00)</f>
        <v/>
      </c>
      <c r="O4945">
        <f>IF('Loan Tape (S&amp;P)'!T4945="Yes",
    1.35,
    1.00)</f>
        <v/>
      </c>
      <c r="P4945">
        <f>IF('Loan Tape (S&amp;P)'!S4945="Yes",
    1.15,
    1.00)</f>
        <v/>
      </c>
      <c r="Q4945">
        <f>IF('Loan Tape (S&amp;P)'!V4945="Yes",
    1.20,
    1.00)</f>
        <v/>
      </c>
      <c r="T4945">
        <f>LET(
    payment_method,'Loan Tape (S&amp;P)'!P4945,
    occupancy,'Loan Tape (S&amp;P)'!N4945,
    maturity_date,'Loan Tape (S&amp;P)'!L4945,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46">
      <c r="J4946">
        <f>LET(
    lien,'Loan Tape (S&amp;P)'!Q4946,
    IF(lien="First",1.00,
        IF(lien="Second",1.50,
            1.70)))</f>
        <v/>
      </c>
      <c r="K4946">
        <f>LET(
    purpose,'Loan Tape (S&amp;P)'!R4946,
    IF(purpose="Purchase",1.00,
        IF(purpose="Remortgage",1.00,
            1.20)))</f>
        <v/>
      </c>
      <c r="L4946">
        <f>LET(
    arrears_months,'Loan Tape (S&amp;P)'!AN4946,
    IF(arrears_months=0,1.00,
    IF(arrears_months=1,3.00,
    IF(arrears_months=2,5.00,
    IF(arrears_months=3,8.00,
    IF(arrears_months=4,10.00,
    IF(arrears_months=5,12.00,15.00)))))))</f>
        <v/>
      </c>
      <c r="M4946">
        <f>LET(
    seasoning_years,DATEDIF('Loan Tape (S&amp;P)'!K4946,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46">
        <f>IF(AND('Loan Tape (S&amp;P)'!U4946="Yes",
        'Loan Tape (S&amp;P)'!T4946&lt;&gt;"Yes",
        DATEDIF('Loan Tape (S&amp;P)'!K4946, TODAY(), "M")&lt;18),
    1.10,
    1.00)</f>
        <v/>
      </c>
      <c r="O4946">
        <f>IF('Loan Tape (S&amp;P)'!T4946="Yes",
    1.35,
    1.00)</f>
        <v/>
      </c>
      <c r="P4946">
        <f>IF('Loan Tape (S&amp;P)'!S4946="Yes",
    1.15,
    1.00)</f>
        <v/>
      </c>
      <c r="Q4946">
        <f>IF('Loan Tape (S&amp;P)'!V4946="Yes",
    1.20,
    1.00)</f>
        <v/>
      </c>
      <c r="T4946">
        <f>LET(
    payment_method,'Loan Tape (S&amp;P)'!P4946,
    occupancy,'Loan Tape (S&amp;P)'!N4946,
    maturity_date,'Loan Tape (S&amp;P)'!L4946,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47">
      <c r="J4947">
        <f>LET(
    lien,'Loan Tape (S&amp;P)'!Q4947,
    IF(lien="First",1.00,
        IF(lien="Second",1.50,
            1.70)))</f>
        <v/>
      </c>
      <c r="K4947">
        <f>LET(
    purpose,'Loan Tape (S&amp;P)'!R4947,
    IF(purpose="Purchase",1.00,
        IF(purpose="Remortgage",1.00,
            1.20)))</f>
        <v/>
      </c>
      <c r="L4947">
        <f>LET(
    arrears_months,'Loan Tape (S&amp;P)'!AN4947,
    IF(arrears_months=0,1.00,
    IF(arrears_months=1,3.00,
    IF(arrears_months=2,5.00,
    IF(arrears_months=3,8.00,
    IF(arrears_months=4,10.00,
    IF(arrears_months=5,12.00,15.00)))))))</f>
        <v/>
      </c>
      <c r="M4947">
        <f>LET(
    seasoning_years,DATEDIF('Loan Tape (S&amp;P)'!K4947,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47">
        <f>IF(AND('Loan Tape (S&amp;P)'!U4947="Yes",
        'Loan Tape (S&amp;P)'!T4947&lt;&gt;"Yes",
        DATEDIF('Loan Tape (S&amp;P)'!K4947, TODAY(), "M")&lt;18),
    1.10,
    1.00)</f>
        <v/>
      </c>
      <c r="O4947">
        <f>IF('Loan Tape (S&amp;P)'!T4947="Yes",
    1.35,
    1.00)</f>
        <v/>
      </c>
      <c r="P4947">
        <f>IF('Loan Tape (S&amp;P)'!S4947="Yes",
    1.15,
    1.00)</f>
        <v/>
      </c>
      <c r="Q4947">
        <f>IF('Loan Tape (S&amp;P)'!V4947="Yes",
    1.20,
    1.00)</f>
        <v/>
      </c>
      <c r="T4947">
        <f>LET(
    payment_method,'Loan Tape (S&amp;P)'!P4947,
    occupancy,'Loan Tape (S&amp;P)'!N4947,
    maturity_date,'Loan Tape (S&amp;P)'!L4947,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48">
      <c r="J4948">
        <f>LET(
    lien,'Loan Tape (S&amp;P)'!Q4948,
    IF(lien="First",1.00,
        IF(lien="Second",1.50,
            1.70)))</f>
        <v/>
      </c>
      <c r="K4948">
        <f>LET(
    purpose,'Loan Tape (S&amp;P)'!R4948,
    IF(purpose="Purchase",1.00,
        IF(purpose="Remortgage",1.00,
            1.20)))</f>
        <v/>
      </c>
      <c r="L4948">
        <f>LET(
    arrears_months,'Loan Tape (S&amp;P)'!AN4948,
    IF(arrears_months=0,1.00,
    IF(arrears_months=1,3.00,
    IF(arrears_months=2,5.00,
    IF(arrears_months=3,8.00,
    IF(arrears_months=4,10.00,
    IF(arrears_months=5,12.00,15.00)))))))</f>
        <v/>
      </c>
      <c r="M4948">
        <f>LET(
    seasoning_years,DATEDIF('Loan Tape (S&amp;P)'!K4948,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48">
        <f>IF(AND('Loan Tape (S&amp;P)'!U4948="Yes",
        'Loan Tape (S&amp;P)'!T4948&lt;&gt;"Yes",
        DATEDIF('Loan Tape (S&amp;P)'!K4948, TODAY(), "M")&lt;18),
    1.10,
    1.00)</f>
        <v/>
      </c>
      <c r="O4948">
        <f>IF('Loan Tape (S&amp;P)'!T4948="Yes",
    1.35,
    1.00)</f>
        <v/>
      </c>
      <c r="P4948">
        <f>IF('Loan Tape (S&amp;P)'!S4948="Yes",
    1.15,
    1.00)</f>
        <v/>
      </c>
      <c r="Q4948">
        <f>IF('Loan Tape (S&amp;P)'!V4948="Yes",
    1.20,
    1.00)</f>
        <v/>
      </c>
      <c r="T4948">
        <f>LET(
    payment_method,'Loan Tape (S&amp;P)'!P4948,
    occupancy,'Loan Tape (S&amp;P)'!N4948,
    maturity_date,'Loan Tape (S&amp;P)'!L4948,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49">
      <c r="J4949">
        <f>LET(
    lien,'Loan Tape (S&amp;P)'!Q4949,
    IF(lien="First",1.00,
        IF(lien="Second",1.50,
            1.70)))</f>
        <v/>
      </c>
      <c r="K4949">
        <f>LET(
    purpose,'Loan Tape (S&amp;P)'!R4949,
    IF(purpose="Purchase",1.00,
        IF(purpose="Remortgage",1.00,
            1.20)))</f>
        <v/>
      </c>
      <c r="L4949">
        <f>LET(
    arrears_months,'Loan Tape (S&amp;P)'!AN4949,
    IF(arrears_months=0,1.00,
    IF(arrears_months=1,3.00,
    IF(arrears_months=2,5.00,
    IF(arrears_months=3,8.00,
    IF(arrears_months=4,10.00,
    IF(arrears_months=5,12.00,15.00)))))))</f>
        <v/>
      </c>
      <c r="M4949">
        <f>LET(
    seasoning_years,DATEDIF('Loan Tape (S&amp;P)'!K4949,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49">
        <f>IF(AND('Loan Tape (S&amp;P)'!U4949="Yes",
        'Loan Tape (S&amp;P)'!T4949&lt;&gt;"Yes",
        DATEDIF('Loan Tape (S&amp;P)'!K4949, TODAY(), "M")&lt;18),
    1.10,
    1.00)</f>
        <v/>
      </c>
      <c r="O4949">
        <f>IF('Loan Tape (S&amp;P)'!T4949="Yes",
    1.35,
    1.00)</f>
        <v/>
      </c>
      <c r="P4949">
        <f>IF('Loan Tape (S&amp;P)'!S4949="Yes",
    1.15,
    1.00)</f>
        <v/>
      </c>
      <c r="Q4949">
        <f>IF('Loan Tape (S&amp;P)'!V4949="Yes",
    1.20,
    1.00)</f>
        <v/>
      </c>
      <c r="T4949">
        <f>LET(
    payment_method,'Loan Tape (S&amp;P)'!P4949,
    occupancy,'Loan Tape (S&amp;P)'!N4949,
    maturity_date,'Loan Tape (S&amp;P)'!L4949,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50">
      <c r="J4950">
        <f>LET(
    lien,'Loan Tape (S&amp;P)'!Q4950,
    IF(lien="First",1.00,
        IF(lien="Second",1.50,
            1.70)))</f>
        <v/>
      </c>
      <c r="K4950">
        <f>LET(
    purpose,'Loan Tape (S&amp;P)'!R4950,
    IF(purpose="Purchase",1.00,
        IF(purpose="Remortgage",1.00,
            1.20)))</f>
        <v/>
      </c>
      <c r="L4950">
        <f>LET(
    arrears_months,'Loan Tape (S&amp;P)'!AN4950,
    IF(arrears_months=0,1.00,
    IF(arrears_months=1,3.00,
    IF(arrears_months=2,5.00,
    IF(arrears_months=3,8.00,
    IF(arrears_months=4,10.00,
    IF(arrears_months=5,12.00,15.00)))))))</f>
        <v/>
      </c>
      <c r="M4950">
        <f>LET(
    seasoning_years,DATEDIF('Loan Tape (S&amp;P)'!K4950,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50">
        <f>IF(AND('Loan Tape (S&amp;P)'!U4950="Yes",
        'Loan Tape (S&amp;P)'!T4950&lt;&gt;"Yes",
        DATEDIF('Loan Tape (S&amp;P)'!K4950, TODAY(), "M")&lt;18),
    1.10,
    1.00)</f>
        <v/>
      </c>
      <c r="O4950">
        <f>IF('Loan Tape (S&amp;P)'!T4950="Yes",
    1.35,
    1.00)</f>
        <v/>
      </c>
      <c r="P4950">
        <f>IF('Loan Tape (S&amp;P)'!S4950="Yes",
    1.15,
    1.00)</f>
        <v/>
      </c>
      <c r="Q4950">
        <f>IF('Loan Tape (S&amp;P)'!V4950="Yes",
    1.20,
    1.00)</f>
        <v/>
      </c>
      <c r="T4950">
        <f>LET(
    payment_method,'Loan Tape (S&amp;P)'!P4950,
    occupancy,'Loan Tape (S&amp;P)'!N4950,
    maturity_date,'Loan Tape (S&amp;P)'!L4950,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51">
      <c r="J4951">
        <f>LET(
    lien,'Loan Tape (S&amp;P)'!Q4951,
    IF(lien="First",1.00,
        IF(lien="Second",1.50,
            1.70)))</f>
        <v/>
      </c>
      <c r="K4951">
        <f>LET(
    purpose,'Loan Tape (S&amp;P)'!R4951,
    IF(purpose="Purchase",1.00,
        IF(purpose="Remortgage",1.00,
            1.20)))</f>
        <v/>
      </c>
      <c r="L4951">
        <f>LET(
    arrears_months,'Loan Tape (S&amp;P)'!AN4951,
    IF(arrears_months=0,1.00,
    IF(arrears_months=1,3.00,
    IF(arrears_months=2,5.00,
    IF(arrears_months=3,8.00,
    IF(arrears_months=4,10.00,
    IF(arrears_months=5,12.00,15.00)))))))</f>
        <v/>
      </c>
      <c r="M4951">
        <f>LET(
    seasoning_years,DATEDIF('Loan Tape (S&amp;P)'!K4951,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51">
        <f>IF(AND('Loan Tape (S&amp;P)'!U4951="Yes",
        'Loan Tape (S&amp;P)'!T4951&lt;&gt;"Yes",
        DATEDIF('Loan Tape (S&amp;P)'!K4951, TODAY(), "M")&lt;18),
    1.10,
    1.00)</f>
        <v/>
      </c>
      <c r="O4951">
        <f>IF('Loan Tape (S&amp;P)'!T4951="Yes",
    1.35,
    1.00)</f>
        <v/>
      </c>
      <c r="P4951">
        <f>IF('Loan Tape (S&amp;P)'!S4951="Yes",
    1.15,
    1.00)</f>
        <v/>
      </c>
      <c r="Q4951">
        <f>IF('Loan Tape (S&amp;P)'!V4951="Yes",
    1.20,
    1.00)</f>
        <v/>
      </c>
      <c r="T4951">
        <f>LET(
    payment_method,'Loan Tape (S&amp;P)'!P4951,
    occupancy,'Loan Tape (S&amp;P)'!N4951,
    maturity_date,'Loan Tape (S&amp;P)'!L4951,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52">
      <c r="J4952">
        <f>LET(
    lien,'Loan Tape (S&amp;P)'!Q4952,
    IF(lien="First",1.00,
        IF(lien="Second",1.50,
            1.70)))</f>
        <v/>
      </c>
      <c r="K4952">
        <f>LET(
    purpose,'Loan Tape (S&amp;P)'!R4952,
    IF(purpose="Purchase",1.00,
        IF(purpose="Remortgage",1.00,
            1.20)))</f>
        <v/>
      </c>
      <c r="L4952">
        <f>LET(
    arrears_months,'Loan Tape (S&amp;P)'!AN4952,
    IF(arrears_months=0,1.00,
    IF(arrears_months=1,3.00,
    IF(arrears_months=2,5.00,
    IF(arrears_months=3,8.00,
    IF(arrears_months=4,10.00,
    IF(arrears_months=5,12.00,15.00)))))))</f>
        <v/>
      </c>
      <c r="M4952">
        <f>LET(
    seasoning_years,DATEDIF('Loan Tape (S&amp;P)'!K4952,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52">
        <f>IF(AND('Loan Tape (S&amp;P)'!U4952="Yes",
        'Loan Tape (S&amp;P)'!T4952&lt;&gt;"Yes",
        DATEDIF('Loan Tape (S&amp;P)'!K4952, TODAY(), "M")&lt;18),
    1.10,
    1.00)</f>
        <v/>
      </c>
      <c r="O4952">
        <f>IF('Loan Tape (S&amp;P)'!T4952="Yes",
    1.35,
    1.00)</f>
        <v/>
      </c>
      <c r="P4952">
        <f>IF('Loan Tape (S&amp;P)'!S4952="Yes",
    1.15,
    1.00)</f>
        <v/>
      </c>
      <c r="Q4952">
        <f>IF('Loan Tape (S&amp;P)'!V4952="Yes",
    1.20,
    1.00)</f>
        <v/>
      </c>
      <c r="T4952">
        <f>LET(
    payment_method,'Loan Tape (S&amp;P)'!P4952,
    occupancy,'Loan Tape (S&amp;P)'!N4952,
    maturity_date,'Loan Tape (S&amp;P)'!L4952,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53">
      <c r="J4953">
        <f>LET(
    lien,'Loan Tape (S&amp;P)'!Q4953,
    IF(lien="First",1.00,
        IF(lien="Second",1.50,
            1.70)))</f>
        <v/>
      </c>
      <c r="K4953">
        <f>LET(
    purpose,'Loan Tape (S&amp;P)'!R4953,
    IF(purpose="Purchase",1.00,
        IF(purpose="Remortgage",1.00,
            1.20)))</f>
        <v/>
      </c>
      <c r="L4953">
        <f>LET(
    arrears_months,'Loan Tape (S&amp;P)'!AN4953,
    IF(arrears_months=0,1.00,
    IF(arrears_months=1,3.00,
    IF(arrears_months=2,5.00,
    IF(arrears_months=3,8.00,
    IF(arrears_months=4,10.00,
    IF(arrears_months=5,12.00,15.00)))))))</f>
        <v/>
      </c>
      <c r="M4953">
        <f>LET(
    seasoning_years,DATEDIF('Loan Tape (S&amp;P)'!K4953,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53">
        <f>IF(AND('Loan Tape (S&amp;P)'!U4953="Yes",
        'Loan Tape (S&amp;P)'!T4953&lt;&gt;"Yes",
        DATEDIF('Loan Tape (S&amp;P)'!K4953, TODAY(), "M")&lt;18),
    1.10,
    1.00)</f>
        <v/>
      </c>
      <c r="O4953">
        <f>IF('Loan Tape (S&amp;P)'!T4953="Yes",
    1.35,
    1.00)</f>
        <v/>
      </c>
      <c r="P4953">
        <f>IF('Loan Tape (S&amp;P)'!S4953="Yes",
    1.15,
    1.00)</f>
        <v/>
      </c>
      <c r="Q4953">
        <f>IF('Loan Tape (S&amp;P)'!V4953="Yes",
    1.20,
    1.00)</f>
        <v/>
      </c>
      <c r="T4953">
        <f>LET(
    payment_method,'Loan Tape (S&amp;P)'!P4953,
    occupancy,'Loan Tape (S&amp;P)'!N4953,
    maturity_date,'Loan Tape (S&amp;P)'!L4953,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54">
      <c r="J4954">
        <f>LET(
    lien,'Loan Tape (S&amp;P)'!Q4954,
    IF(lien="First",1.00,
        IF(lien="Second",1.50,
            1.70)))</f>
        <v/>
      </c>
      <c r="K4954">
        <f>LET(
    purpose,'Loan Tape (S&amp;P)'!R4954,
    IF(purpose="Purchase",1.00,
        IF(purpose="Remortgage",1.00,
            1.20)))</f>
        <v/>
      </c>
      <c r="L4954">
        <f>LET(
    arrears_months,'Loan Tape (S&amp;P)'!AN4954,
    IF(arrears_months=0,1.00,
    IF(arrears_months=1,3.00,
    IF(arrears_months=2,5.00,
    IF(arrears_months=3,8.00,
    IF(arrears_months=4,10.00,
    IF(arrears_months=5,12.00,15.00)))))))</f>
        <v/>
      </c>
      <c r="M4954">
        <f>LET(
    seasoning_years,DATEDIF('Loan Tape (S&amp;P)'!K4954,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54">
        <f>IF(AND('Loan Tape (S&amp;P)'!U4954="Yes",
        'Loan Tape (S&amp;P)'!T4954&lt;&gt;"Yes",
        DATEDIF('Loan Tape (S&amp;P)'!K4954, TODAY(), "M")&lt;18),
    1.10,
    1.00)</f>
        <v/>
      </c>
      <c r="O4954">
        <f>IF('Loan Tape (S&amp;P)'!T4954="Yes",
    1.35,
    1.00)</f>
        <v/>
      </c>
      <c r="P4954">
        <f>IF('Loan Tape (S&amp;P)'!S4954="Yes",
    1.15,
    1.00)</f>
        <v/>
      </c>
      <c r="Q4954">
        <f>IF('Loan Tape (S&amp;P)'!V4954="Yes",
    1.20,
    1.00)</f>
        <v/>
      </c>
      <c r="T4954">
        <f>LET(
    payment_method,'Loan Tape (S&amp;P)'!P4954,
    occupancy,'Loan Tape (S&amp;P)'!N4954,
    maturity_date,'Loan Tape (S&amp;P)'!L4954,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55">
      <c r="J4955">
        <f>LET(
    lien,'Loan Tape (S&amp;P)'!Q4955,
    IF(lien="First",1.00,
        IF(lien="Second",1.50,
            1.70)))</f>
        <v/>
      </c>
      <c r="K4955">
        <f>LET(
    purpose,'Loan Tape (S&amp;P)'!R4955,
    IF(purpose="Purchase",1.00,
        IF(purpose="Remortgage",1.00,
            1.20)))</f>
        <v/>
      </c>
      <c r="L4955">
        <f>LET(
    arrears_months,'Loan Tape (S&amp;P)'!AN4955,
    IF(arrears_months=0,1.00,
    IF(arrears_months=1,3.00,
    IF(arrears_months=2,5.00,
    IF(arrears_months=3,8.00,
    IF(arrears_months=4,10.00,
    IF(arrears_months=5,12.00,15.00)))))))</f>
        <v/>
      </c>
      <c r="M4955">
        <f>LET(
    seasoning_years,DATEDIF('Loan Tape (S&amp;P)'!K4955,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55">
        <f>IF(AND('Loan Tape (S&amp;P)'!U4955="Yes",
        'Loan Tape (S&amp;P)'!T4955&lt;&gt;"Yes",
        DATEDIF('Loan Tape (S&amp;P)'!K4955, TODAY(), "M")&lt;18),
    1.10,
    1.00)</f>
        <v/>
      </c>
      <c r="O4955">
        <f>IF('Loan Tape (S&amp;P)'!T4955="Yes",
    1.35,
    1.00)</f>
        <v/>
      </c>
      <c r="P4955">
        <f>IF('Loan Tape (S&amp;P)'!S4955="Yes",
    1.15,
    1.00)</f>
        <v/>
      </c>
      <c r="Q4955">
        <f>IF('Loan Tape (S&amp;P)'!V4955="Yes",
    1.20,
    1.00)</f>
        <v/>
      </c>
      <c r="T4955">
        <f>LET(
    payment_method,'Loan Tape (S&amp;P)'!P4955,
    occupancy,'Loan Tape (S&amp;P)'!N4955,
    maturity_date,'Loan Tape (S&amp;P)'!L4955,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56">
      <c r="J4956">
        <f>LET(
    lien,'Loan Tape (S&amp;P)'!Q4956,
    IF(lien="First",1.00,
        IF(lien="Second",1.50,
            1.70)))</f>
        <v/>
      </c>
      <c r="K4956">
        <f>LET(
    purpose,'Loan Tape (S&amp;P)'!R4956,
    IF(purpose="Purchase",1.00,
        IF(purpose="Remortgage",1.00,
            1.20)))</f>
        <v/>
      </c>
      <c r="L4956">
        <f>LET(
    arrears_months,'Loan Tape (S&amp;P)'!AN4956,
    IF(arrears_months=0,1.00,
    IF(arrears_months=1,3.00,
    IF(arrears_months=2,5.00,
    IF(arrears_months=3,8.00,
    IF(arrears_months=4,10.00,
    IF(arrears_months=5,12.00,15.00)))))))</f>
        <v/>
      </c>
      <c r="M4956">
        <f>LET(
    seasoning_years,DATEDIF('Loan Tape (S&amp;P)'!K4956,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56">
        <f>IF(AND('Loan Tape (S&amp;P)'!U4956="Yes",
        'Loan Tape (S&amp;P)'!T4956&lt;&gt;"Yes",
        DATEDIF('Loan Tape (S&amp;P)'!K4956, TODAY(), "M")&lt;18),
    1.10,
    1.00)</f>
        <v/>
      </c>
      <c r="O4956">
        <f>IF('Loan Tape (S&amp;P)'!T4956="Yes",
    1.35,
    1.00)</f>
        <v/>
      </c>
      <c r="P4956">
        <f>IF('Loan Tape (S&amp;P)'!S4956="Yes",
    1.15,
    1.00)</f>
        <v/>
      </c>
      <c r="Q4956">
        <f>IF('Loan Tape (S&amp;P)'!V4956="Yes",
    1.20,
    1.00)</f>
        <v/>
      </c>
      <c r="T4956">
        <f>LET(
    payment_method,'Loan Tape (S&amp;P)'!P4956,
    occupancy,'Loan Tape (S&amp;P)'!N4956,
    maturity_date,'Loan Tape (S&amp;P)'!L4956,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57">
      <c r="J4957">
        <f>LET(
    lien,'Loan Tape (S&amp;P)'!Q4957,
    IF(lien="First",1.00,
        IF(lien="Second",1.50,
            1.70)))</f>
        <v/>
      </c>
      <c r="K4957">
        <f>LET(
    purpose,'Loan Tape (S&amp;P)'!R4957,
    IF(purpose="Purchase",1.00,
        IF(purpose="Remortgage",1.00,
            1.20)))</f>
        <v/>
      </c>
      <c r="L4957">
        <f>LET(
    arrears_months,'Loan Tape (S&amp;P)'!AN4957,
    IF(arrears_months=0,1.00,
    IF(arrears_months=1,3.00,
    IF(arrears_months=2,5.00,
    IF(arrears_months=3,8.00,
    IF(arrears_months=4,10.00,
    IF(arrears_months=5,12.00,15.00)))))))</f>
        <v/>
      </c>
      <c r="M4957">
        <f>LET(
    seasoning_years,DATEDIF('Loan Tape (S&amp;P)'!K4957,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57">
        <f>IF(AND('Loan Tape (S&amp;P)'!U4957="Yes",
        'Loan Tape (S&amp;P)'!T4957&lt;&gt;"Yes",
        DATEDIF('Loan Tape (S&amp;P)'!K4957, TODAY(), "M")&lt;18),
    1.10,
    1.00)</f>
        <v/>
      </c>
      <c r="O4957">
        <f>IF('Loan Tape (S&amp;P)'!T4957="Yes",
    1.35,
    1.00)</f>
        <v/>
      </c>
      <c r="P4957">
        <f>IF('Loan Tape (S&amp;P)'!S4957="Yes",
    1.15,
    1.00)</f>
        <v/>
      </c>
      <c r="Q4957">
        <f>IF('Loan Tape (S&amp;P)'!V4957="Yes",
    1.20,
    1.00)</f>
        <v/>
      </c>
      <c r="T4957">
        <f>LET(
    payment_method,'Loan Tape (S&amp;P)'!P4957,
    occupancy,'Loan Tape (S&amp;P)'!N4957,
    maturity_date,'Loan Tape (S&amp;P)'!L4957,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58">
      <c r="J4958">
        <f>LET(
    lien,'Loan Tape (S&amp;P)'!Q4958,
    IF(lien="First",1.00,
        IF(lien="Second",1.50,
            1.70)))</f>
        <v/>
      </c>
      <c r="K4958">
        <f>LET(
    purpose,'Loan Tape (S&amp;P)'!R4958,
    IF(purpose="Purchase",1.00,
        IF(purpose="Remortgage",1.00,
            1.20)))</f>
        <v/>
      </c>
      <c r="L4958">
        <f>LET(
    arrears_months,'Loan Tape (S&amp;P)'!AN4958,
    IF(arrears_months=0,1.00,
    IF(arrears_months=1,3.00,
    IF(arrears_months=2,5.00,
    IF(arrears_months=3,8.00,
    IF(arrears_months=4,10.00,
    IF(arrears_months=5,12.00,15.00)))))))</f>
        <v/>
      </c>
      <c r="M4958">
        <f>LET(
    seasoning_years,DATEDIF('Loan Tape (S&amp;P)'!K4958,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58">
        <f>IF(AND('Loan Tape (S&amp;P)'!U4958="Yes",
        'Loan Tape (S&amp;P)'!T4958&lt;&gt;"Yes",
        DATEDIF('Loan Tape (S&amp;P)'!K4958, TODAY(), "M")&lt;18),
    1.10,
    1.00)</f>
        <v/>
      </c>
      <c r="O4958">
        <f>IF('Loan Tape (S&amp;P)'!T4958="Yes",
    1.35,
    1.00)</f>
        <v/>
      </c>
      <c r="P4958">
        <f>IF('Loan Tape (S&amp;P)'!S4958="Yes",
    1.15,
    1.00)</f>
        <v/>
      </c>
      <c r="Q4958">
        <f>IF('Loan Tape (S&amp;P)'!V4958="Yes",
    1.20,
    1.00)</f>
        <v/>
      </c>
      <c r="T4958">
        <f>LET(
    payment_method,'Loan Tape (S&amp;P)'!P4958,
    occupancy,'Loan Tape (S&amp;P)'!N4958,
    maturity_date,'Loan Tape (S&amp;P)'!L4958,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59">
      <c r="J4959">
        <f>LET(
    lien,'Loan Tape (S&amp;P)'!Q4959,
    IF(lien="First",1.00,
        IF(lien="Second",1.50,
            1.70)))</f>
        <v/>
      </c>
      <c r="K4959">
        <f>LET(
    purpose,'Loan Tape (S&amp;P)'!R4959,
    IF(purpose="Purchase",1.00,
        IF(purpose="Remortgage",1.00,
            1.20)))</f>
        <v/>
      </c>
      <c r="L4959">
        <f>LET(
    arrears_months,'Loan Tape (S&amp;P)'!AN4959,
    IF(arrears_months=0,1.00,
    IF(arrears_months=1,3.00,
    IF(arrears_months=2,5.00,
    IF(arrears_months=3,8.00,
    IF(arrears_months=4,10.00,
    IF(arrears_months=5,12.00,15.00)))))))</f>
        <v/>
      </c>
      <c r="M4959">
        <f>LET(
    seasoning_years,DATEDIF('Loan Tape (S&amp;P)'!K4959,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59">
        <f>IF(AND('Loan Tape (S&amp;P)'!U4959="Yes",
        'Loan Tape (S&amp;P)'!T4959&lt;&gt;"Yes",
        DATEDIF('Loan Tape (S&amp;P)'!K4959, TODAY(), "M")&lt;18),
    1.10,
    1.00)</f>
        <v/>
      </c>
      <c r="O4959">
        <f>IF('Loan Tape (S&amp;P)'!T4959="Yes",
    1.35,
    1.00)</f>
        <v/>
      </c>
      <c r="P4959">
        <f>IF('Loan Tape (S&amp;P)'!S4959="Yes",
    1.15,
    1.00)</f>
        <v/>
      </c>
      <c r="Q4959">
        <f>IF('Loan Tape (S&amp;P)'!V4959="Yes",
    1.20,
    1.00)</f>
        <v/>
      </c>
      <c r="T4959">
        <f>LET(
    payment_method,'Loan Tape (S&amp;P)'!P4959,
    occupancy,'Loan Tape (S&amp;P)'!N4959,
    maturity_date,'Loan Tape (S&amp;P)'!L4959,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60">
      <c r="J4960">
        <f>LET(
    lien,'Loan Tape (S&amp;P)'!Q4960,
    IF(lien="First",1.00,
        IF(lien="Second",1.50,
            1.70)))</f>
        <v/>
      </c>
      <c r="K4960">
        <f>LET(
    purpose,'Loan Tape (S&amp;P)'!R4960,
    IF(purpose="Purchase",1.00,
        IF(purpose="Remortgage",1.00,
            1.20)))</f>
        <v/>
      </c>
      <c r="L4960">
        <f>LET(
    arrears_months,'Loan Tape (S&amp;P)'!AN4960,
    IF(arrears_months=0,1.00,
    IF(arrears_months=1,3.00,
    IF(arrears_months=2,5.00,
    IF(arrears_months=3,8.00,
    IF(arrears_months=4,10.00,
    IF(arrears_months=5,12.00,15.00)))))))</f>
        <v/>
      </c>
      <c r="M4960">
        <f>LET(
    seasoning_years,DATEDIF('Loan Tape (S&amp;P)'!K4960,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60">
        <f>IF(AND('Loan Tape (S&amp;P)'!U4960="Yes",
        'Loan Tape (S&amp;P)'!T4960&lt;&gt;"Yes",
        DATEDIF('Loan Tape (S&amp;P)'!K4960, TODAY(), "M")&lt;18),
    1.10,
    1.00)</f>
        <v/>
      </c>
      <c r="O4960">
        <f>IF('Loan Tape (S&amp;P)'!T4960="Yes",
    1.35,
    1.00)</f>
        <v/>
      </c>
      <c r="P4960">
        <f>IF('Loan Tape (S&amp;P)'!S4960="Yes",
    1.15,
    1.00)</f>
        <v/>
      </c>
      <c r="Q4960">
        <f>IF('Loan Tape (S&amp;P)'!V4960="Yes",
    1.20,
    1.00)</f>
        <v/>
      </c>
      <c r="T4960">
        <f>LET(
    payment_method,'Loan Tape (S&amp;P)'!P4960,
    occupancy,'Loan Tape (S&amp;P)'!N4960,
    maturity_date,'Loan Tape (S&amp;P)'!L4960,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61">
      <c r="J4961">
        <f>LET(
    lien,'Loan Tape (S&amp;P)'!Q4961,
    IF(lien="First",1.00,
        IF(lien="Second",1.50,
            1.70)))</f>
        <v/>
      </c>
      <c r="K4961">
        <f>LET(
    purpose,'Loan Tape (S&amp;P)'!R4961,
    IF(purpose="Purchase",1.00,
        IF(purpose="Remortgage",1.00,
            1.20)))</f>
        <v/>
      </c>
      <c r="L4961">
        <f>LET(
    arrears_months,'Loan Tape (S&amp;P)'!AN4961,
    IF(arrears_months=0,1.00,
    IF(arrears_months=1,3.00,
    IF(arrears_months=2,5.00,
    IF(arrears_months=3,8.00,
    IF(arrears_months=4,10.00,
    IF(arrears_months=5,12.00,15.00)))))))</f>
        <v/>
      </c>
      <c r="M4961">
        <f>LET(
    seasoning_years,DATEDIF('Loan Tape (S&amp;P)'!K4961,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61">
        <f>IF(AND('Loan Tape (S&amp;P)'!U4961="Yes",
        'Loan Tape (S&amp;P)'!T4961&lt;&gt;"Yes",
        DATEDIF('Loan Tape (S&amp;P)'!K4961, TODAY(), "M")&lt;18),
    1.10,
    1.00)</f>
        <v/>
      </c>
      <c r="O4961">
        <f>IF('Loan Tape (S&amp;P)'!T4961="Yes",
    1.35,
    1.00)</f>
        <v/>
      </c>
      <c r="P4961">
        <f>IF('Loan Tape (S&amp;P)'!S4961="Yes",
    1.15,
    1.00)</f>
        <v/>
      </c>
      <c r="Q4961">
        <f>IF('Loan Tape (S&amp;P)'!V4961="Yes",
    1.20,
    1.00)</f>
        <v/>
      </c>
      <c r="T4961">
        <f>LET(
    payment_method,'Loan Tape (S&amp;P)'!P4961,
    occupancy,'Loan Tape (S&amp;P)'!N4961,
    maturity_date,'Loan Tape (S&amp;P)'!L4961,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62">
      <c r="J4962">
        <f>LET(
    lien,'Loan Tape (S&amp;P)'!Q4962,
    IF(lien="First",1.00,
        IF(lien="Second",1.50,
            1.70)))</f>
        <v/>
      </c>
      <c r="K4962">
        <f>LET(
    purpose,'Loan Tape (S&amp;P)'!R4962,
    IF(purpose="Purchase",1.00,
        IF(purpose="Remortgage",1.00,
            1.20)))</f>
        <v/>
      </c>
      <c r="L4962">
        <f>LET(
    arrears_months,'Loan Tape (S&amp;P)'!AN4962,
    IF(arrears_months=0,1.00,
    IF(arrears_months=1,3.00,
    IF(arrears_months=2,5.00,
    IF(arrears_months=3,8.00,
    IF(arrears_months=4,10.00,
    IF(arrears_months=5,12.00,15.00)))))))</f>
        <v/>
      </c>
      <c r="M4962">
        <f>LET(
    seasoning_years,DATEDIF('Loan Tape (S&amp;P)'!K4962,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62">
        <f>IF(AND('Loan Tape (S&amp;P)'!U4962="Yes",
        'Loan Tape (S&amp;P)'!T4962&lt;&gt;"Yes",
        DATEDIF('Loan Tape (S&amp;P)'!K4962, TODAY(), "M")&lt;18),
    1.10,
    1.00)</f>
        <v/>
      </c>
      <c r="O4962">
        <f>IF('Loan Tape (S&amp;P)'!T4962="Yes",
    1.35,
    1.00)</f>
        <v/>
      </c>
      <c r="P4962">
        <f>IF('Loan Tape (S&amp;P)'!S4962="Yes",
    1.15,
    1.00)</f>
        <v/>
      </c>
      <c r="Q4962">
        <f>IF('Loan Tape (S&amp;P)'!V4962="Yes",
    1.20,
    1.00)</f>
        <v/>
      </c>
      <c r="T4962">
        <f>LET(
    payment_method,'Loan Tape (S&amp;P)'!P4962,
    occupancy,'Loan Tape (S&amp;P)'!N4962,
    maturity_date,'Loan Tape (S&amp;P)'!L4962,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63">
      <c r="J4963">
        <f>LET(
    lien,'Loan Tape (S&amp;P)'!Q4963,
    IF(lien="First",1.00,
        IF(lien="Second",1.50,
            1.70)))</f>
        <v/>
      </c>
      <c r="K4963">
        <f>LET(
    purpose,'Loan Tape (S&amp;P)'!R4963,
    IF(purpose="Purchase",1.00,
        IF(purpose="Remortgage",1.00,
            1.20)))</f>
        <v/>
      </c>
      <c r="L4963">
        <f>LET(
    arrears_months,'Loan Tape (S&amp;P)'!AN4963,
    IF(arrears_months=0,1.00,
    IF(arrears_months=1,3.00,
    IF(arrears_months=2,5.00,
    IF(arrears_months=3,8.00,
    IF(arrears_months=4,10.00,
    IF(arrears_months=5,12.00,15.00)))))))</f>
        <v/>
      </c>
      <c r="M4963">
        <f>LET(
    seasoning_years,DATEDIF('Loan Tape (S&amp;P)'!K4963,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63">
        <f>IF(AND('Loan Tape (S&amp;P)'!U4963="Yes",
        'Loan Tape (S&amp;P)'!T4963&lt;&gt;"Yes",
        DATEDIF('Loan Tape (S&amp;P)'!K4963, TODAY(), "M")&lt;18),
    1.10,
    1.00)</f>
        <v/>
      </c>
      <c r="O4963">
        <f>IF('Loan Tape (S&amp;P)'!T4963="Yes",
    1.35,
    1.00)</f>
        <v/>
      </c>
      <c r="P4963">
        <f>IF('Loan Tape (S&amp;P)'!S4963="Yes",
    1.15,
    1.00)</f>
        <v/>
      </c>
      <c r="Q4963">
        <f>IF('Loan Tape (S&amp;P)'!V4963="Yes",
    1.20,
    1.00)</f>
        <v/>
      </c>
      <c r="T4963">
        <f>LET(
    payment_method,'Loan Tape (S&amp;P)'!P4963,
    occupancy,'Loan Tape (S&amp;P)'!N4963,
    maturity_date,'Loan Tape (S&amp;P)'!L4963,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64">
      <c r="J4964">
        <f>LET(
    lien,'Loan Tape (S&amp;P)'!Q4964,
    IF(lien="First",1.00,
        IF(lien="Second",1.50,
            1.70)))</f>
        <v/>
      </c>
      <c r="K4964">
        <f>LET(
    purpose,'Loan Tape (S&amp;P)'!R4964,
    IF(purpose="Purchase",1.00,
        IF(purpose="Remortgage",1.00,
            1.20)))</f>
        <v/>
      </c>
      <c r="L4964">
        <f>LET(
    arrears_months,'Loan Tape (S&amp;P)'!AN4964,
    IF(arrears_months=0,1.00,
    IF(arrears_months=1,3.00,
    IF(arrears_months=2,5.00,
    IF(arrears_months=3,8.00,
    IF(arrears_months=4,10.00,
    IF(arrears_months=5,12.00,15.00)))))))</f>
        <v/>
      </c>
      <c r="M4964">
        <f>LET(
    seasoning_years,DATEDIF('Loan Tape (S&amp;P)'!K4964,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64">
        <f>IF(AND('Loan Tape (S&amp;P)'!U4964="Yes",
        'Loan Tape (S&amp;P)'!T4964&lt;&gt;"Yes",
        DATEDIF('Loan Tape (S&amp;P)'!K4964, TODAY(), "M")&lt;18),
    1.10,
    1.00)</f>
        <v/>
      </c>
      <c r="O4964">
        <f>IF('Loan Tape (S&amp;P)'!T4964="Yes",
    1.35,
    1.00)</f>
        <v/>
      </c>
      <c r="P4964">
        <f>IF('Loan Tape (S&amp;P)'!S4964="Yes",
    1.15,
    1.00)</f>
        <v/>
      </c>
      <c r="Q4964">
        <f>IF('Loan Tape (S&amp;P)'!V4964="Yes",
    1.20,
    1.00)</f>
        <v/>
      </c>
      <c r="T4964">
        <f>LET(
    payment_method,'Loan Tape (S&amp;P)'!P4964,
    occupancy,'Loan Tape (S&amp;P)'!N4964,
    maturity_date,'Loan Tape (S&amp;P)'!L4964,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65">
      <c r="J4965">
        <f>LET(
    lien,'Loan Tape (S&amp;P)'!Q4965,
    IF(lien="First",1.00,
        IF(lien="Second",1.50,
            1.70)))</f>
        <v/>
      </c>
      <c r="K4965">
        <f>LET(
    purpose,'Loan Tape (S&amp;P)'!R4965,
    IF(purpose="Purchase",1.00,
        IF(purpose="Remortgage",1.00,
            1.20)))</f>
        <v/>
      </c>
      <c r="L4965">
        <f>LET(
    arrears_months,'Loan Tape (S&amp;P)'!AN4965,
    IF(arrears_months=0,1.00,
    IF(arrears_months=1,3.00,
    IF(arrears_months=2,5.00,
    IF(arrears_months=3,8.00,
    IF(arrears_months=4,10.00,
    IF(arrears_months=5,12.00,15.00)))))))</f>
        <v/>
      </c>
      <c r="M4965">
        <f>LET(
    seasoning_years,DATEDIF('Loan Tape (S&amp;P)'!K4965,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65">
        <f>IF(AND('Loan Tape (S&amp;P)'!U4965="Yes",
        'Loan Tape (S&amp;P)'!T4965&lt;&gt;"Yes",
        DATEDIF('Loan Tape (S&amp;P)'!K4965, TODAY(), "M")&lt;18),
    1.10,
    1.00)</f>
        <v/>
      </c>
      <c r="O4965">
        <f>IF('Loan Tape (S&amp;P)'!T4965="Yes",
    1.35,
    1.00)</f>
        <v/>
      </c>
      <c r="P4965">
        <f>IF('Loan Tape (S&amp;P)'!S4965="Yes",
    1.15,
    1.00)</f>
        <v/>
      </c>
      <c r="Q4965">
        <f>IF('Loan Tape (S&amp;P)'!V4965="Yes",
    1.20,
    1.00)</f>
        <v/>
      </c>
      <c r="T4965">
        <f>LET(
    payment_method,'Loan Tape (S&amp;P)'!P4965,
    occupancy,'Loan Tape (S&amp;P)'!N4965,
    maturity_date,'Loan Tape (S&amp;P)'!L4965,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66">
      <c r="J4966">
        <f>LET(
    lien,'Loan Tape (S&amp;P)'!Q4966,
    IF(lien="First",1.00,
        IF(lien="Second",1.50,
            1.70)))</f>
        <v/>
      </c>
      <c r="K4966">
        <f>LET(
    purpose,'Loan Tape (S&amp;P)'!R4966,
    IF(purpose="Purchase",1.00,
        IF(purpose="Remortgage",1.00,
            1.20)))</f>
        <v/>
      </c>
      <c r="L4966">
        <f>LET(
    arrears_months,'Loan Tape (S&amp;P)'!AN4966,
    IF(arrears_months=0,1.00,
    IF(arrears_months=1,3.00,
    IF(arrears_months=2,5.00,
    IF(arrears_months=3,8.00,
    IF(arrears_months=4,10.00,
    IF(arrears_months=5,12.00,15.00)))))))</f>
        <v/>
      </c>
      <c r="M4966">
        <f>LET(
    seasoning_years,DATEDIF('Loan Tape (S&amp;P)'!K4966,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66">
        <f>IF(AND('Loan Tape (S&amp;P)'!U4966="Yes",
        'Loan Tape (S&amp;P)'!T4966&lt;&gt;"Yes",
        DATEDIF('Loan Tape (S&amp;P)'!K4966, TODAY(), "M")&lt;18),
    1.10,
    1.00)</f>
        <v/>
      </c>
      <c r="O4966">
        <f>IF('Loan Tape (S&amp;P)'!T4966="Yes",
    1.35,
    1.00)</f>
        <v/>
      </c>
      <c r="P4966">
        <f>IF('Loan Tape (S&amp;P)'!S4966="Yes",
    1.15,
    1.00)</f>
        <v/>
      </c>
      <c r="Q4966">
        <f>IF('Loan Tape (S&amp;P)'!V4966="Yes",
    1.20,
    1.00)</f>
        <v/>
      </c>
      <c r="T4966">
        <f>LET(
    payment_method,'Loan Tape (S&amp;P)'!P4966,
    occupancy,'Loan Tape (S&amp;P)'!N4966,
    maturity_date,'Loan Tape (S&amp;P)'!L4966,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67">
      <c r="J4967">
        <f>LET(
    lien,'Loan Tape (S&amp;P)'!Q4967,
    IF(lien="First",1.00,
        IF(lien="Second",1.50,
            1.70)))</f>
        <v/>
      </c>
      <c r="K4967">
        <f>LET(
    purpose,'Loan Tape (S&amp;P)'!R4967,
    IF(purpose="Purchase",1.00,
        IF(purpose="Remortgage",1.00,
            1.20)))</f>
        <v/>
      </c>
      <c r="L4967">
        <f>LET(
    arrears_months,'Loan Tape (S&amp;P)'!AN4967,
    IF(arrears_months=0,1.00,
    IF(arrears_months=1,3.00,
    IF(arrears_months=2,5.00,
    IF(arrears_months=3,8.00,
    IF(arrears_months=4,10.00,
    IF(arrears_months=5,12.00,15.00)))))))</f>
        <v/>
      </c>
      <c r="M4967">
        <f>LET(
    seasoning_years,DATEDIF('Loan Tape (S&amp;P)'!K4967,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67">
        <f>IF(AND('Loan Tape (S&amp;P)'!U4967="Yes",
        'Loan Tape (S&amp;P)'!T4967&lt;&gt;"Yes",
        DATEDIF('Loan Tape (S&amp;P)'!K4967, TODAY(), "M")&lt;18),
    1.10,
    1.00)</f>
        <v/>
      </c>
      <c r="O4967">
        <f>IF('Loan Tape (S&amp;P)'!T4967="Yes",
    1.35,
    1.00)</f>
        <v/>
      </c>
      <c r="P4967">
        <f>IF('Loan Tape (S&amp;P)'!S4967="Yes",
    1.15,
    1.00)</f>
        <v/>
      </c>
      <c r="Q4967">
        <f>IF('Loan Tape (S&amp;P)'!V4967="Yes",
    1.20,
    1.00)</f>
        <v/>
      </c>
      <c r="T4967">
        <f>LET(
    payment_method,'Loan Tape (S&amp;P)'!P4967,
    occupancy,'Loan Tape (S&amp;P)'!N4967,
    maturity_date,'Loan Tape (S&amp;P)'!L4967,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68">
      <c r="J4968">
        <f>LET(
    lien,'Loan Tape (S&amp;P)'!Q4968,
    IF(lien="First",1.00,
        IF(lien="Second",1.50,
            1.70)))</f>
        <v/>
      </c>
      <c r="K4968">
        <f>LET(
    purpose,'Loan Tape (S&amp;P)'!R4968,
    IF(purpose="Purchase",1.00,
        IF(purpose="Remortgage",1.00,
            1.20)))</f>
        <v/>
      </c>
      <c r="L4968">
        <f>LET(
    arrears_months,'Loan Tape (S&amp;P)'!AN4968,
    IF(arrears_months=0,1.00,
    IF(arrears_months=1,3.00,
    IF(arrears_months=2,5.00,
    IF(arrears_months=3,8.00,
    IF(arrears_months=4,10.00,
    IF(arrears_months=5,12.00,15.00)))))))</f>
        <v/>
      </c>
      <c r="M4968">
        <f>LET(
    seasoning_years,DATEDIF('Loan Tape (S&amp;P)'!K4968,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68">
        <f>IF(AND('Loan Tape (S&amp;P)'!U4968="Yes",
        'Loan Tape (S&amp;P)'!T4968&lt;&gt;"Yes",
        DATEDIF('Loan Tape (S&amp;P)'!K4968, TODAY(), "M")&lt;18),
    1.10,
    1.00)</f>
        <v/>
      </c>
      <c r="O4968">
        <f>IF('Loan Tape (S&amp;P)'!T4968="Yes",
    1.35,
    1.00)</f>
        <v/>
      </c>
      <c r="P4968">
        <f>IF('Loan Tape (S&amp;P)'!S4968="Yes",
    1.15,
    1.00)</f>
        <v/>
      </c>
      <c r="Q4968">
        <f>IF('Loan Tape (S&amp;P)'!V4968="Yes",
    1.20,
    1.00)</f>
        <v/>
      </c>
      <c r="T4968">
        <f>LET(
    payment_method,'Loan Tape (S&amp;P)'!P4968,
    occupancy,'Loan Tape (S&amp;P)'!N4968,
    maturity_date,'Loan Tape (S&amp;P)'!L4968,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69">
      <c r="J4969">
        <f>LET(
    lien,'Loan Tape (S&amp;P)'!Q4969,
    IF(lien="First",1.00,
        IF(lien="Second",1.50,
            1.70)))</f>
        <v/>
      </c>
      <c r="K4969">
        <f>LET(
    purpose,'Loan Tape (S&amp;P)'!R4969,
    IF(purpose="Purchase",1.00,
        IF(purpose="Remortgage",1.00,
            1.20)))</f>
        <v/>
      </c>
      <c r="L4969">
        <f>LET(
    arrears_months,'Loan Tape (S&amp;P)'!AN4969,
    IF(arrears_months=0,1.00,
    IF(arrears_months=1,3.00,
    IF(arrears_months=2,5.00,
    IF(arrears_months=3,8.00,
    IF(arrears_months=4,10.00,
    IF(arrears_months=5,12.00,15.00)))))))</f>
        <v/>
      </c>
      <c r="M4969">
        <f>LET(
    seasoning_years,DATEDIF('Loan Tape (S&amp;P)'!K4969,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69">
        <f>IF(AND('Loan Tape (S&amp;P)'!U4969="Yes",
        'Loan Tape (S&amp;P)'!T4969&lt;&gt;"Yes",
        DATEDIF('Loan Tape (S&amp;P)'!K4969, TODAY(), "M")&lt;18),
    1.10,
    1.00)</f>
        <v/>
      </c>
      <c r="O4969">
        <f>IF('Loan Tape (S&amp;P)'!T4969="Yes",
    1.35,
    1.00)</f>
        <v/>
      </c>
      <c r="P4969">
        <f>IF('Loan Tape (S&amp;P)'!S4969="Yes",
    1.15,
    1.00)</f>
        <v/>
      </c>
      <c r="Q4969">
        <f>IF('Loan Tape (S&amp;P)'!V4969="Yes",
    1.20,
    1.00)</f>
        <v/>
      </c>
      <c r="T4969">
        <f>LET(
    payment_method,'Loan Tape (S&amp;P)'!P4969,
    occupancy,'Loan Tape (S&amp;P)'!N4969,
    maturity_date,'Loan Tape (S&amp;P)'!L4969,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70">
      <c r="J4970">
        <f>LET(
    lien,'Loan Tape (S&amp;P)'!Q4970,
    IF(lien="First",1.00,
        IF(lien="Second",1.50,
            1.70)))</f>
        <v/>
      </c>
      <c r="K4970">
        <f>LET(
    purpose,'Loan Tape (S&amp;P)'!R4970,
    IF(purpose="Purchase",1.00,
        IF(purpose="Remortgage",1.00,
            1.20)))</f>
        <v/>
      </c>
      <c r="L4970">
        <f>LET(
    arrears_months,'Loan Tape (S&amp;P)'!AN4970,
    IF(arrears_months=0,1.00,
    IF(arrears_months=1,3.00,
    IF(arrears_months=2,5.00,
    IF(arrears_months=3,8.00,
    IF(arrears_months=4,10.00,
    IF(arrears_months=5,12.00,15.00)))))))</f>
        <v/>
      </c>
      <c r="M4970">
        <f>LET(
    seasoning_years,DATEDIF('Loan Tape (S&amp;P)'!K4970,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70">
        <f>IF(AND('Loan Tape (S&amp;P)'!U4970="Yes",
        'Loan Tape (S&amp;P)'!T4970&lt;&gt;"Yes",
        DATEDIF('Loan Tape (S&amp;P)'!K4970, TODAY(), "M")&lt;18),
    1.10,
    1.00)</f>
        <v/>
      </c>
      <c r="O4970">
        <f>IF('Loan Tape (S&amp;P)'!T4970="Yes",
    1.35,
    1.00)</f>
        <v/>
      </c>
      <c r="P4970">
        <f>IF('Loan Tape (S&amp;P)'!S4970="Yes",
    1.15,
    1.00)</f>
        <v/>
      </c>
      <c r="Q4970">
        <f>IF('Loan Tape (S&amp;P)'!V4970="Yes",
    1.20,
    1.00)</f>
        <v/>
      </c>
      <c r="T4970">
        <f>LET(
    payment_method,'Loan Tape (S&amp;P)'!P4970,
    occupancy,'Loan Tape (S&amp;P)'!N4970,
    maturity_date,'Loan Tape (S&amp;P)'!L4970,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71">
      <c r="J4971">
        <f>LET(
    lien,'Loan Tape (S&amp;P)'!Q4971,
    IF(lien="First",1.00,
        IF(lien="Second",1.50,
            1.70)))</f>
        <v/>
      </c>
      <c r="K4971">
        <f>LET(
    purpose,'Loan Tape (S&amp;P)'!R4971,
    IF(purpose="Purchase",1.00,
        IF(purpose="Remortgage",1.00,
            1.20)))</f>
        <v/>
      </c>
      <c r="L4971">
        <f>LET(
    arrears_months,'Loan Tape (S&amp;P)'!AN4971,
    IF(arrears_months=0,1.00,
    IF(arrears_months=1,3.00,
    IF(arrears_months=2,5.00,
    IF(arrears_months=3,8.00,
    IF(arrears_months=4,10.00,
    IF(arrears_months=5,12.00,15.00)))))))</f>
        <v/>
      </c>
      <c r="M4971">
        <f>LET(
    seasoning_years,DATEDIF('Loan Tape (S&amp;P)'!K4971,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71">
        <f>IF(AND('Loan Tape (S&amp;P)'!U4971="Yes",
        'Loan Tape (S&amp;P)'!T4971&lt;&gt;"Yes",
        DATEDIF('Loan Tape (S&amp;P)'!K4971, TODAY(), "M")&lt;18),
    1.10,
    1.00)</f>
        <v/>
      </c>
      <c r="O4971">
        <f>IF('Loan Tape (S&amp;P)'!T4971="Yes",
    1.35,
    1.00)</f>
        <v/>
      </c>
      <c r="P4971">
        <f>IF('Loan Tape (S&amp;P)'!S4971="Yes",
    1.15,
    1.00)</f>
        <v/>
      </c>
      <c r="Q4971">
        <f>IF('Loan Tape (S&amp;P)'!V4971="Yes",
    1.20,
    1.00)</f>
        <v/>
      </c>
      <c r="T4971">
        <f>LET(
    payment_method,'Loan Tape (S&amp;P)'!P4971,
    occupancy,'Loan Tape (S&amp;P)'!N4971,
    maturity_date,'Loan Tape (S&amp;P)'!L4971,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72">
      <c r="J4972">
        <f>LET(
    lien,'Loan Tape (S&amp;P)'!Q4972,
    IF(lien="First",1.00,
        IF(lien="Second",1.50,
            1.70)))</f>
        <v/>
      </c>
      <c r="K4972">
        <f>LET(
    purpose,'Loan Tape (S&amp;P)'!R4972,
    IF(purpose="Purchase",1.00,
        IF(purpose="Remortgage",1.00,
            1.20)))</f>
        <v/>
      </c>
      <c r="L4972">
        <f>LET(
    arrears_months,'Loan Tape (S&amp;P)'!AN4972,
    IF(arrears_months=0,1.00,
    IF(arrears_months=1,3.00,
    IF(arrears_months=2,5.00,
    IF(arrears_months=3,8.00,
    IF(arrears_months=4,10.00,
    IF(arrears_months=5,12.00,15.00)))))))</f>
        <v/>
      </c>
      <c r="M4972">
        <f>LET(
    seasoning_years,DATEDIF('Loan Tape (S&amp;P)'!K4972,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72">
        <f>IF(AND('Loan Tape (S&amp;P)'!U4972="Yes",
        'Loan Tape (S&amp;P)'!T4972&lt;&gt;"Yes",
        DATEDIF('Loan Tape (S&amp;P)'!K4972, TODAY(), "M")&lt;18),
    1.10,
    1.00)</f>
        <v/>
      </c>
      <c r="O4972">
        <f>IF('Loan Tape (S&amp;P)'!T4972="Yes",
    1.35,
    1.00)</f>
        <v/>
      </c>
      <c r="P4972">
        <f>IF('Loan Tape (S&amp;P)'!S4972="Yes",
    1.15,
    1.00)</f>
        <v/>
      </c>
      <c r="Q4972">
        <f>IF('Loan Tape (S&amp;P)'!V4972="Yes",
    1.20,
    1.00)</f>
        <v/>
      </c>
      <c r="T4972">
        <f>LET(
    payment_method,'Loan Tape (S&amp;P)'!P4972,
    occupancy,'Loan Tape (S&amp;P)'!N4972,
    maturity_date,'Loan Tape (S&amp;P)'!L4972,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73">
      <c r="J4973">
        <f>LET(
    lien,'Loan Tape (S&amp;P)'!Q4973,
    IF(lien="First",1.00,
        IF(lien="Second",1.50,
            1.70)))</f>
        <v/>
      </c>
      <c r="K4973">
        <f>LET(
    purpose,'Loan Tape (S&amp;P)'!R4973,
    IF(purpose="Purchase",1.00,
        IF(purpose="Remortgage",1.00,
            1.20)))</f>
        <v/>
      </c>
      <c r="L4973">
        <f>LET(
    arrears_months,'Loan Tape (S&amp;P)'!AN4973,
    IF(arrears_months=0,1.00,
    IF(arrears_months=1,3.00,
    IF(arrears_months=2,5.00,
    IF(arrears_months=3,8.00,
    IF(arrears_months=4,10.00,
    IF(arrears_months=5,12.00,15.00)))))))</f>
        <v/>
      </c>
      <c r="M4973">
        <f>LET(
    seasoning_years,DATEDIF('Loan Tape (S&amp;P)'!K4973,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73">
        <f>IF(AND('Loan Tape (S&amp;P)'!U4973="Yes",
        'Loan Tape (S&amp;P)'!T4973&lt;&gt;"Yes",
        DATEDIF('Loan Tape (S&amp;P)'!K4973, TODAY(), "M")&lt;18),
    1.10,
    1.00)</f>
        <v/>
      </c>
      <c r="O4973">
        <f>IF('Loan Tape (S&amp;P)'!T4973="Yes",
    1.35,
    1.00)</f>
        <v/>
      </c>
      <c r="P4973">
        <f>IF('Loan Tape (S&amp;P)'!S4973="Yes",
    1.15,
    1.00)</f>
        <v/>
      </c>
      <c r="Q4973">
        <f>IF('Loan Tape (S&amp;P)'!V4973="Yes",
    1.20,
    1.00)</f>
        <v/>
      </c>
      <c r="T4973">
        <f>LET(
    payment_method,'Loan Tape (S&amp;P)'!P4973,
    occupancy,'Loan Tape (S&amp;P)'!N4973,
    maturity_date,'Loan Tape (S&amp;P)'!L4973,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74">
      <c r="J4974">
        <f>LET(
    lien,'Loan Tape (S&amp;P)'!Q4974,
    IF(lien="First",1.00,
        IF(lien="Second",1.50,
            1.70)))</f>
        <v/>
      </c>
      <c r="K4974">
        <f>LET(
    purpose,'Loan Tape (S&amp;P)'!R4974,
    IF(purpose="Purchase",1.00,
        IF(purpose="Remortgage",1.00,
            1.20)))</f>
        <v/>
      </c>
      <c r="L4974">
        <f>LET(
    arrears_months,'Loan Tape (S&amp;P)'!AN4974,
    IF(arrears_months=0,1.00,
    IF(arrears_months=1,3.00,
    IF(arrears_months=2,5.00,
    IF(arrears_months=3,8.00,
    IF(arrears_months=4,10.00,
    IF(arrears_months=5,12.00,15.00)))))))</f>
        <v/>
      </c>
      <c r="M4974">
        <f>LET(
    seasoning_years,DATEDIF('Loan Tape (S&amp;P)'!K4974,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74">
        <f>IF(AND('Loan Tape (S&amp;P)'!U4974="Yes",
        'Loan Tape (S&amp;P)'!T4974&lt;&gt;"Yes",
        DATEDIF('Loan Tape (S&amp;P)'!K4974, TODAY(), "M")&lt;18),
    1.10,
    1.00)</f>
        <v/>
      </c>
      <c r="O4974">
        <f>IF('Loan Tape (S&amp;P)'!T4974="Yes",
    1.35,
    1.00)</f>
        <v/>
      </c>
      <c r="P4974">
        <f>IF('Loan Tape (S&amp;P)'!S4974="Yes",
    1.15,
    1.00)</f>
        <v/>
      </c>
      <c r="Q4974">
        <f>IF('Loan Tape (S&amp;P)'!V4974="Yes",
    1.20,
    1.00)</f>
        <v/>
      </c>
      <c r="T4974">
        <f>LET(
    payment_method,'Loan Tape (S&amp;P)'!P4974,
    occupancy,'Loan Tape (S&amp;P)'!N4974,
    maturity_date,'Loan Tape (S&amp;P)'!L4974,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75">
      <c r="J4975">
        <f>LET(
    lien,'Loan Tape (S&amp;P)'!Q4975,
    IF(lien="First",1.00,
        IF(lien="Second",1.50,
            1.70)))</f>
        <v/>
      </c>
      <c r="K4975">
        <f>LET(
    purpose,'Loan Tape (S&amp;P)'!R4975,
    IF(purpose="Purchase",1.00,
        IF(purpose="Remortgage",1.00,
            1.20)))</f>
        <v/>
      </c>
      <c r="L4975">
        <f>LET(
    arrears_months,'Loan Tape (S&amp;P)'!AN4975,
    IF(arrears_months=0,1.00,
    IF(arrears_months=1,3.00,
    IF(arrears_months=2,5.00,
    IF(arrears_months=3,8.00,
    IF(arrears_months=4,10.00,
    IF(arrears_months=5,12.00,15.00)))))))</f>
        <v/>
      </c>
      <c r="M4975">
        <f>LET(
    seasoning_years,DATEDIF('Loan Tape (S&amp;P)'!K4975,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75">
        <f>IF(AND('Loan Tape (S&amp;P)'!U4975="Yes",
        'Loan Tape (S&amp;P)'!T4975&lt;&gt;"Yes",
        DATEDIF('Loan Tape (S&amp;P)'!K4975, TODAY(), "M")&lt;18),
    1.10,
    1.00)</f>
        <v/>
      </c>
      <c r="O4975">
        <f>IF('Loan Tape (S&amp;P)'!T4975="Yes",
    1.35,
    1.00)</f>
        <v/>
      </c>
      <c r="P4975">
        <f>IF('Loan Tape (S&amp;P)'!S4975="Yes",
    1.15,
    1.00)</f>
        <v/>
      </c>
      <c r="Q4975">
        <f>IF('Loan Tape (S&amp;P)'!V4975="Yes",
    1.20,
    1.00)</f>
        <v/>
      </c>
      <c r="T4975">
        <f>LET(
    payment_method,'Loan Tape (S&amp;P)'!P4975,
    occupancy,'Loan Tape (S&amp;P)'!N4975,
    maturity_date,'Loan Tape (S&amp;P)'!L4975,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76">
      <c r="J4976">
        <f>LET(
    lien,'Loan Tape (S&amp;P)'!Q4976,
    IF(lien="First",1.00,
        IF(lien="Second",1.50,
            1.70)))</f>
        <v/>
      </c>
      <c r="K4976">
        <f>LET(
    purpose,'Loan Tape (S&amp;P)'!R4976,
    IF(purpose="Purchase",1.00,
        IF(purpose="Remortgage",1.00,
            1.20)))</f>
        <v/>
      </c>
      <c r="L4976">
        <f>LET(
    arrears_months,'Loan Tape (S&amp;P)'!AN4976,
    IF(arrears_months=0,1.00,
    IF(arrears_months=1,3.00,
    IF(arrears_months=2,5.00,
    IF(arrears_months=3,8.00,
    IF(arrears_months=4,10.00,
    IF(arrears_months=5,12.00,15.00)))))))</f>
        <v/>
      </c>
      <c r="M4976">
        <f>LET(
    seasoning_years,DATEDIF('Loan Tape (S&amp;P)'!K4976,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76">
        <f>IF(AND('Loan Tape (S&amp;P)'!U4976="Yes",
        'Loan Tape (S&amp;P)'!T4976&lt;&gt;"Yes",
        DATEDIF('Loan Tape (S&amp;P)'!K4976, TODAY(), "M")&lt;18),
    1.10,
    1.00)</f>
        <v/>
      </c>
      <c r="O4976">
        <f>IF('Loan Tape (S&amp;P)'!T4976="Yes",
    1.35,
    1.00)</f>
        <v/>
      </c>
      <c r="P4976">
        <f>IF('Loan Tape (S&amp;P)'!S4976="Yes",
    1.15,
    1.00)</f>
        <v/>
      </c>
      <c r="Q4976">
        <f>IF('Loan Tape (S&amp;P)'!V4976="Yes",
    1.20,
    1.00)</f>
        <v/>
      </c>
      <c r="T4976">
        <f>LET(
    payment_method,'Loan Tape (S&amp;P)'!P4976,
    occupancy,'Loan Tape (S&amp;P)'!N4976,
    maturity_date,'Loan Tape (S&amp;P)'!L4976,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77">
      <c r="J4977">
        <f>LET(
    lien,'Loan Tape (S&amp;P)'!Q4977,
    IF(lien="First",1.00,
        IF(lien="Second",1.50,
            1.70)))</f>
        <v/>
      </c>
      <c r="K4977">
        <f>LET(
    purpose,'Loan Tape (S&amp;P)'!R4977,
    IF(purpose="Purchase",1.00,
        IF(purpose="Remortgage",1.00,
            1.20)))</f>
        <v/>
      </c>
      <c r="L4977">
        <f>LET(
    arrears_months,'Loan Tape (S&amp;P)'!AN4977,
    IF(arrears_months=0,1.00,
    IF(arrears_months=1,3.00,
    IF(arrears_months=2,5.00,
    IF(arrears_months=3,8.00,
    IF(arrears_months=4,10.00,
    IF(arrears_months=5,12.00,15.00)))))))</f>
        <v/>
      </c>
      <c r="M4977">
        <f>LET(
    seasoning_years,DATEDIF('Loan Tape (S&amp;P)'!K4977,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77">
        <f>IF(AND('Loan Tape (S&amp;P)'!U4977="Yes",
        'Loan Tape (S&amp;P)'!T4977&lt;&gt;"Yes",
        DATEDIF('Loan Tape (S&amp;P)'!K4977, TODAY(), "M")&lt;18),
    1.10,
    1.00)</f>
        <v/>
      </c>
      <c r="O4977">
        <f>IF('Loan Tape (S&amp;P)'!T4977="Yes",
    1.35,
    1.00)</f>
        <v/>
      </c>
      <c r="P4977">
        <f>IF('Loan Tape (S&amp;P)'!S4977="Yes",
    1.15,
    1.00)</f>
        <v/>
      </c>
      <c r="Q4977">
        <f>IF('Loan Tape (S&amp;P)'!V4977="Yes",
    1.20,
    1.00)</f>
        <v/>
      </c>
      <c r="T4977">
        <f>LET(
    payment_method,'Loan Tape (S&amp;P)'!P4977,
    occupancy,'Loan Tape (S&amp;P)'!N4977,
    maturity_date,'Loan Tape (S&amp;P)'!L4977,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78">
      <c r="J4978">
        <f>LET(
    lien,'Loan Tape (S&amp;P)'!Q4978,
    IF(lien="First",1.00,
        IF(lien="Second",1.50,
            1.70)))</f>
        <v/>
      </c>
      <c r="K4978">
        <f>LET(
    purpose,'Loan Tape (S&amp;P)'!R4978,
    IF(purpose="Purchase",1.00,
        IF(purpose="Remortgage",1.00,
            1.20)))</f>
        <v/>
      </c>
      <c r="L4978">
        <f>LET(
    arrears_months,'Loan Tape (S&amp;P)'!AN4978,
    IF(arrears_months=0,1.00,
    IF(arrears_months=1,3.00,
    IF(arrears_months=2,5.00,
    IF(arrears_months=3,8.00,
    IF(arrears_months=4,10.00,
    IF(arrears_months=5,12.00,15.00)))))))</f>
        <v/>
      </c>
      <c r="M4978">
        <f>LET(
    seasoning_years,DATEDIF('Loan Tape (S&amp;P)'!K4978,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78">
        <f>IF(AND('Loan Tape (S&amp;P)'!U4978="Yes",
        'Loan Tape (S&amp;P)'!T4978&lt;&gt;"Yes",
        DATEDIF('Loan Tape (S&amp;P)'!K4978, TODAY(), "M")&lt;18),
    1.10,
    1.00)</f>
        <v/>
      </c>
      <c r="O4978">
        <f>IF('Loan Tape (S&amp;P)'!T4978="Yes",
    1.35,
    1.00)</f>
        <v/>
      </c>
      <c r="P4978">
        <f>IF('Loan Tape (S&amp;P)'!S4978="Yes",
    1.15,
    1.00)</f>
        <v/>
      </c>
      <c r="Q4978">
        <f>IF('Loan Tape (S&amp;P)'!V4978="Yes",
    1.20,
    1.00)</f>
        <v/>
      </c>
      <c r="T4978">
        <f>LET(
    payment_method,'Loan Tape (S&amp;P)'!P4978,
    occupancy,'Loan Tape (S&amp;P)'!N4978,
    maturity_date,'Loan Tape (S&amp;P)'!L4978,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79">
      <c r="J4979">
        <f>LET(
    lien,'Loan Tape (S&amp;P)'!Q4979,
    IF(lien="First",1.00,
        IF(lien="Second",1.50,
            1.70)))</f>
        <v/>
      </c>
      <c r="K4979">
        <f>LET(
    purpose,'Loan Tape (S&amp;P)'!R4979,
    IF(purpose="Purchase",1.00,
        IF(purpose="Remortgage",1.00,
            1.20)))</f>
        <v/>
      </c>
      <c r="L4979">
        <f>LET(
    arrears_months,'Loan Tape (S&amp;P)'!AN4979,
    IF(arrears_months=0,1.00,
    IF(arrears_months=1,3.00,
    IF(arrears_months=2,5.00,
    IF(arrears_months=3,8.00,
    IF(arrears_months=4,10.00,
    IF(arrears_months=5,12.00,15.00)))))))</f>
        <v/>
      </c>
      <c r="M4979">
        <f>LET(
    seasoning_years,DATEDIF('Loan Tape (S&amp;P)'!K4979,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79">
        <f>IF(AND('Loan Tape (S&amp;P)'!U4979="Yes",
        'Loan Tape (S&amp;P)'!T4979&lt;&gt;"Yes",
        DATEDIF('Loan Tape (S&amp;P)'!K4979, TODAY(), "M")&lt;18),
    1.10,
    1.00)</f>
        <v/>
      </c>
      <c r="O4979">
        <f>IF('Loan Tape (S&amp;P)'!T4979="Yes",
    1.35,
    1.00)</f>
        <v/>
      </c>
      <c r="P4979">
        <f>IF('Loan Tape (S&amp;P)'!S4979="Yes",
    1.15,
    1.00)</f>
        <v/>
      </c>
      <c r="Q4979">
        <f>IF('Loan Tape (S&amp;P)'!V4979="Yes",
    1.20,
    1.00)</f>
        <v/>
      </c>
      <c r="T4979">
        <f>LET(
    payment_method,'Loan Tape (S&amp;P)'!P4979,
    occupancy,'Loan Tape (S&amp;P)'!N4979,
    maturity_date,'Loan Tape (S&amp;P)'!L4979,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80">
      <c r="J4980">
        <f>LET(
    lien,'Loan Tape (S&amp;P)'!Q4980,
    IF(lien="First",1.00,
        IF(lien="Second",1.50,
            1.70)))</f>
        <v/>
      </c>
      <c r="K4980">
        <f>LET(
    purpose,'Loan Tape (S&amp;P)'!R4980,
    IF(purpose="Purchase",1.00,
        IF(purpose="Remortgage",1.00,
            1.20)))</f>
        <v/>
      </c>
      <c r="L4980">
        <f>LET(
    arrears_months,'Loan Tape (S&amp;P)'!AN4980,
    IF(arrears_months=0,1.00,
    IF(arrears_months=1,3.00,
    IF(arrears_months=2,5.00,
    IF(arrears_months=3,8.00,
    IF(arrears_months=4,10.00,
    IF(arrears_months=5,12.00,15.00)))))))</f>
        <v/>
      </c>
      <c r="M4980">
        <f>LET(
    seasoning_years,DATEDIF('Loan Tape (S&amp;P)'!K4980,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80">
        <f>IF(AND('Loan Tape (S&amp;P)'!U4980="Yes",
        'Loan Tape (S&amp;P)'!T4980&lt;&gt;"Yes",
        DATEDIF('Loan Tape (S&amp;P)'!K4980, TODAY(), "M")&lt;18),
    1.10,
    1.00)</f>
        <v/>
      </c>
      <c r="O4980">
        <f>IF('Loan Tape (S&amp;P)'!T4980="Yes",
    1.35,
    1.00)</f>
        <v/>
      </c>
      <c r="P4980">
        <f>IF('Loan Tape (S&amp;P)'!S4980="Yes",
    1.15,
    1.00)</f>
        <v/>
      </c>
      <c r="Q4980">
        <f>IF('Loan Tape (S&amp;P)'!V4980="Yes",
    1.20,
    1.00)</f>
        <v/>
      </c>
      <c r="T4980">
        <f>LET(
    payment_method,'Loan Tape (S&amp;P)'!P4980,
    occupancy,'Loan Tape (S&amp;P)'!N4980,
    maturity_date,'Loan Tape (S&amp;P)'!L4980,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81">
      <c r="J4981">
        <f>LET(
    lien,'Loan Tape (S&amp;P)'!Q4981,
    IF(lien="First",1.00,
        IF(lien="Second",1.50,
            1.70)))</f>
        <v/>
      </c>
      <c r="K4981">
        <f>LET(
    purpose,'Loan Tape (S&amp;P)'!R4981,
    IF(purpose="Purchase",1.00,
        IF(purpose="Remortgage",1.00,
            1.20)))</f>
        <v/>
      </c>
      <c r="L4981">
        <f>LET(
    arrears_months,'Loan Tape (S&amp;P)'!AN4981,
    IF(arrears_months=0,1.00,
    IF(arrears_months=1,3.00,
    IF(arrears_months=2,5.00,
    IF(arrears_months=3,8.00,
    IF(arrears_months=4,10.00,
    IF(arrears_months=5,12.00,15.00)))))))</f>
        <v/>
      </c>
      <c r="M4981">
        <f>LET(
    seasoning_years,DATEDIF('Loan Tape (S&amp;P)'!K4981,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81">
        <f>IF(AND('Loan Tape (S&amp;P)'!U4981="Yes",
        'Loan Tape (S&amp;P)'!T4981&lt;&gt;"Yes",
        DATEDIF('Loan Tape (S&amp;P)'!K4981, TODAY(), "M")&lt;18),
    1.10,
    1.00)</f>
        <v/>
      </c>
      <c r="O4981">
        <f>IF('Loan Tape (S&amp;P)'!T4981="Yes",
    1.35,
    1.00)</f>
        <v/>
      </c>
      <c r="P4981">
        <f>IF('Loan Tape (S&amp;P)'!S4981="Yes",
    1.15,
    1.00)</f>
        <v/>
      </c>
      <c r="Q4981">
        <f>IF('Loan Tape (S&amp;P)'!V4981="Yes",
    1.20,
    1.00)</f>
        <v/>
      </c>
      <c r="T4981">
        <f>LET(
    payment_method,'Loan Tape (S&amp;P)'!P4981,
    occupancy,'Loan Tape (S&amp;P)'!N4981,
    maturity_date,'Loan Tape (S&amp;P)'!L4981,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82">
      <c r="J4982">
        <f>LET(
    lien,'Loan Tape (S&amp;P)'!Q4982,
    IF(lien="First",1.00,
        IF(lien="Second",1.50,
            1.70)))</f>
        <v/>
      </c>
      <c r="K4982">
        <f>LET(
    purpose,'Loan Tape (S&amp;P)'!R4982,
    IF(purpose="Purchase",1.00,
        IF(purpose="Remortgage",1.00,
            1.20)))</f>
        <v/>
      </c>
      <c r="L4982">
        <f>LET(
    arrears_months,'Loan Tape (S&amp;P)'!AN4982,
    IF(arrears_months=0,1.00,
    IF(arrears_months=1,3.00,
    IF(arrears_months=2,5.00,
    IF(arrears_months=3,8.00,
    IF(arrears_months=4,10.00,
    IF(arrears_months=5,12.00,15.00)))))))</f>
        <v/>
      </c>
      <c r="M4982">
        <f>LET(
    seasoning_years,DATEDIF('Loan Tape (S&amp;P)'!K4982,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82">
        <f>IF(AND('Loan Tape (S&amp;P)'!U4982="Yes",
        'Loan Tape (S&amp;P)'!T4982&lt;&gt;"Yes",
        DATEDIF('Loan Tape (S&amp;P)'!K4982, TODAY(), "M")&lt;18),
    1.10,
    1.00)</f>
        <v/>
      </c>
      <c r="O4982">
        <f>IF('Loan Tape (S&amp;P)'!T4982="Yes",
    1.35,
    1.00)</f>
        <v/>
      </c>
      <c r="P4982">
        <f>IF('Loan Tape (S&amp;P)'!S4982="Yes",
    1.15,
    1.00)</f>
        <v/>
      </c>
      <c r="Q4982">
        <f>IF('Loan Tape (S&amp;P)'!V4982="Yes",
    1.20,
    1.00)</f>
        <v/>
      </c>
      <c r="T4982">
        <f>LET(
    payment_method,'Loan Tape (S&amp;P)'!P4982,
    occupancy,'Loan Tape (S&amp;P)'!N4982,
    maturity_date,'Loan Tape (S&amp;P)'!L4982,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83">
      <c r="J4983">
        <f>LET(
    lien,'Loan Tape (S&amp;P)'!Q4983,
    IF(lien="First",1.00,
        IF(lien="Second",1.50,
            1.70)))</f>
        <v/>
      </c>
      <c r="K4983">
        <f>LET(
    purpose,'Loan Tape (S&amp;P)'!R4983,
    IF(purpose="Purchase",1.00,
        IF(purpose="Remortgage",1.00,
            1.20)))</f>
        <v/>
      </c>
      <c r="L4983">
        <f>LET(
    arrears_months,'Loan Tape (S&amp;P)'!AN4983,
    IF(arrears_months=0,1.00,
    IF(arrears_months=1,3.00,
    IF(arrears_months=2,5.00,
    IF(arrears_months=3,8.00,
    IF(arrears_months=4,10.00,
    IF(arrears_months=5,12.00,15.00)))))))</f>
        <v/>
      </c>
      <c r="M4983">
        <f>LET(
    seasoning_years,DATEDIF('Loan Tape (S&amp;P)'!K4983,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83">
        <f>IF(AND('Loan Tape (S&amp;P)'!U4983="Yes",
        'Loan Tape (S&amp;P)'!T4983&lt;&gt;"Yes",
        DATEDIF('Loan Tape (S&amp;P)'!K4983, TODAY(), "M")&lt;18),
    1.10,
    1.00)</f>
        <v/>
      </c>
      <c r="O4983">
        <f>IF('Loan Tape (S&amp;P)'!T4983="Yes",
    1.35,
    1.00)</f>
        <v/>
      </c>
      <c r="P4983">
        <f>IF('Loan Tape (S&amp;P)'!S4983="Yes",
    1.15,
    1.00)</f>
        <v/>
      </c>
      <c r="Q4983">
        <f>IF('Loan Tape (S&amp;P)'!V4983="Yes",
    1.20,
    1.00)</f>
        <v/>
      </c>
      <c r="T4983">
        <f>LET(
    payment_method,'Loan Tape (S&amp;P)'!P4983,
    occupancy,'Loan Tape (S&amp;P)'!N4983,
    maturity_date,'Loan Tape (S&amp;P)'!L4983,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84">
      <c r="J4984">
        <f>LET(
    lien,'Loan Tape (S&amp;P)'!Q4984,
    IF(lien="First",1.00,
        IF(lien="Second",1.50,
            1.70)))</f>
        <v/>
      </c>
      <c r="K4984">
        <f>LET(
    purpose,'Loan Tape (S&amp;P)'!R4984,
    IF(purpose="Purchase",1.00,
        IF(purpose="Remortgage",1.00,
            1.20)))</f>
        <v/>
      </c>
      <c r="L4984">
        <f>LET(
    arrears_months,'Loan Tape (S&amp;P)'!AN4984,
    IF(arrears_months=0,1.00,
    IF(arrears_months=1,3.00,
    IF(arrears_months=2,5.00,
    IF(arrears_months=3,8.00,
    IF(arrears_months=4,10.00,
    IF(arrears_months=5,12.00,15.00)))))))</f>
        <v/>
      </c>
      <c r="M4984">
        <f>LET(
    seasoning_years,DATEDIF('Loan Tape (S&amp;P)'!K4984,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84">
        <f>IF(AND('Loan Tape (S&amp;P)'!U4984="Yes",
        'Loan Tape (S&amp;P)'!T4984&lt;&gt;"Yes",
        DATEDIF('Loan Tape (S&amp;P)'!K4984, TODAY(), "M")&lt;18),
    1.10,
    1.00)</f>
        <v/>
      </c>
      <c r="O4984">
        <f>IF('Loan Tape (S&amp;P)'!T4984="Yes",
    1.35,
    1.00)</f>
        <v/>
      </c>
      <c r="P4984">
        <f>IF('Loan Tape (S&amp;P)'!S4984="Yes",
    1.15,
    1.00)</f>
        <v/>
      </c>
      <c r="Q4984">
        <f>IF('Loan Tape (S&amp;P)'!V4984="Yes",
    1.20,
    1.00)</f>
        <v/>
      </c>
      <c r="T4984">
        <f>LET(
    payment_method,'Loan Tape (S&amp;P)'!P4984,
    occupancy,'Loan Tape (S&amp;P)'!N4984,
    maturity_date,'Loan Tape (S&amp;P)'!L4984,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85">
      <c r="J4985">
        <f>LET(
    lien,'Loan Tape (S&amp;P)'!Q4985,
    IF(lien="First",1.00,
        IF(lien="Second",1.50,
            1.70)))</f>
        <v/>
      </c>
      <c r="K4985">
        <f>LET(
    purpose,'Loan Tape (S&amp;P)'!R4985,
    IF(purpose="Purchase",1.00,
        IF(purpose="Remortgage",1.00,
            1.20)))</f>
        <v/>
      </c>
      <c r="L4985">
        <f>LET(
    arrears_months,'Loan Tape (S&amp;P)'!AN4985,
    IF(arrears_months=0,1.00,
    IF(arrears_months=1,3.00,
    IF(arrears_months=2,5.00,
    IF(arrears_months=3,8.00,
    IF(arrears_months=4,10.00,
    IF(arrears_months=5,12.00,15.00)))))))</f>
        <v/>
      </c>
      <c r="M4985">
        <f>LET(
    seasoning_years,DATEDIF('Loan Tape (S&amp;P)'!K4985,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85">
        <f>IF(AND('Loan Tape (S&amp;P)'!U4985="Yes",
        'Loan Tape (S&amp;P)'!T4985&lt;&gt;"Yes",
        DATEDIF('Loan Tape (S&amp;P)'!K4985, TODAY(), "M")&lt;18),
    1.10,
    1.00)</f>
        <v/>
      </c>
      <c r="O4985">
        <f>IF('Loan Tape (S&amp;P)'!T4985="Yes",
    1.35,
    1.00)</f>
        <v/>
      </c>
      <c r="P4985">
        <f>IF('Loan Tape (S&amp;P)'!S4985="Yes",
    1.15,
    1.00)</f>
        <v/>
      </c>
      <c r="Q4985">
        <f>IF('Loan Tape (S&amp;P)'!V4985="Yes",
    1.20,
    1.00)</f>
        <v/>
      </c>
      <c r="T4985">
        <f>LET(
    payment_method,'Loan Tape (S&amp;P)'!P4985,
    occupancy,'Loan Tape (S&amp;P)'!N4985,
    maturity_date,'Loan Tape (S&amp;P)'!L4985,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86">
      <c r="J4986">
        <f>LET(
    lien,'Loan Tape (S&amp;P)'!Q4986,
    IF(lien="First",1.00,
        IF(lien="Second",1.50,
            1.70)))</f>
        <v/>
      </c>
      <c r="K4986">
        <f>LET(
    purpose,'Loan Tape (S&amp;P)'!R4986,
    IF(purpose="Purchase",1.00,
        IF(purpose="Remortgage",1.00,
            1.20)))</f>
        <v/>
      </c>
      <c r="L4986">
        <f>LET(
    arrears_months,'Loan Tape (S&amp;P)'!AN4986,
    IF(arrears_months=0,1.00,
    IF(arrears_months=1,3.00,
    IF(arrears_months=2,5.00,
    IF(arrears_months=3,8.00,
    IF(arrears_months=4,10.00,
    IF(arrears_months=5,12.00,15.00)))))))</f>
        <v/>
      </c>
      <c r="M4986">
        <f>LET(
    seasoning_years,DATEDIF('Loan Tape (S&amp;P)'!K4986,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86">
        <f>IF(AND('Loan Tape (S&amp;P)'!U4986="Yes",
        'Loan Tape (S&amp;P)'!T4986&lt;&gt;"Yes",
        DATEDIF('Loan Tape (S&amp;P)'!K4986, TODAY(), "M")&lt;18),
    1.10,
    1.00)</f>
        <v/>
      </c>
      <c r="O4986">
        <f>IF('Loan Tape (S&amp;P)'!T4986="Yes",
    1.35,
    1.00)</f>
        <v/>
      </c>
      <c r="P4986">
        <f>IF('Loan Tape (S&amp;P)'!S4986="Yes",
    1.15,
    1.00)</f>
        <v/>
      </c>
      <c r="Q4986">
        <f>IF('Loan Tape (S&amp;P)'!V4986="Yes",
    1.20,
    1.00)</f>
        <v/>
      </c>
      <c r="T4986">
        <f>LET(
    payment_method,'Loan Tape (S&amp;P)'!P4986,
    occupancy,'Loan Tape (S&amp;P)'!N4986,
    maturity_date,'Loan Tape (S&amp;P)'!L4986,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87">
      <c r="J4987">
        <f>LET(
    lien,'Loan Tape (S&amp;P)'!Q4987,
    IF(lien="First",1.00,
        IF(lien="Second",1.50,
            1.70)))</f>
        <v/>
      </c>
      <c r="K4987">
        <f>LET(
    purpose,'Loan Tape (S&amp;P)'!R4987,
    IF(purpose="Purchase",1.00,
        IF(purpose="Remortgage",1.00,
            1.20)))</f>
        <v/>
      </c>
      <c r="L4987">
        <f>LET(
    arrears_months,'Loan Tape (S&amp;P)'!AN4987,
    IF(arrears_months=0,1.00,
    IF(arrears_months=1,3.00,
    IF(arrears_months=2,5.00,
    IF(arrears_months=3,8.00,
    IF(arrears_months=4,10.00,
    IF(arrears_months=5,12.00,15.00)))))))</f>
        <v/>
      </c>
      <c r="M4987">
        <f>LET(
    seasoning_years,DATEDIF('Loan Tape (S&amp;P)'!K4987,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87">
        <f>IF(AND('Loan Tape (S&amp;P)'!U4987="Yes",
        'Loan Tape (S&amp;P)'!T4987&lt;&gt;"Yes",
        DATEDIF('Loan Tape (S&amp;P)'!K4987, TODAY(), "M")&lt;18),
    1.10,
    1.00)</f>
        <v/>
      </c>
      <c r="O4987">
        <f>IF('Loan Tape (S&amp;P)'!T4987="Yes",
    1.35,
    1.00)</f>
        <v/>
      </c>
      <c r="P4987">
        <f>IF('Loan Tape (S&amp;P)'!S4987="Yes",
    1.15,
    1.00)</f>
        <v/>
      </c>
      <c r="Q4987">
        <f>IF('Loan Tape (S&amp;P)'!V4987="Yes",
    1.20,
    1.00)</f>
        <v/>
      </c>
      <c r="T4987">
        <f>LET(
    payment_method,'Loan Tape (S&amp;P)'!P4987,
    occupancy,'Loan Tape (S&amp;P)'!N4987,
    maturity_date,'Loan Tape (S&amp;P)'!L4987,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88">
      <c r="J4988">
        <f>LET(
    lien,'Loan Tape (S&amp;P)'!Q4988,
    IF(lien="First",1.00,
        IF(lien="Second",1.50,
            1.70)))</f>
        <v/>
      </c>
      <c r="K4988">
        <f>LET(
    purpose,'Loan Tape (S&amp;P)'!R4988,
    IF(purpose="Purchase",1.00,
        IF(purpose="Remortgage",1.00,
            1.20)))</f>
        <v/>
      </c>
      <c r="L4988">
        <f>LET(
    arrears_months,'Loan Tape (S&amp;P)'!AN4988,
    IF(arrears_months=0,1.00,
    IF(arrears_months=1,3.00,
    IF(arrears_months=2,5.00,
    IF(arrears_months=3,8.00,
    IF(arrears_months=4,10.00,
    IF(arrears_months=5,12.00,15.00)))))))</f>
        <v/>
      </c>
      <c r="M4988">
        <f>LET(
    seasoning_years,DATEDIF('Loan Tape (S&amp;P)'!K4988,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88">
        <f>IF(AND('Loan Tape (S&amp;P)'!U4988="Yes",
        'Loan Tape (S&amp;P)'!T4988&lt;&gt;"Yes",
        DATEDIF('Loan Tape (S&amp;P)'!K4988, TODAY(), "M")&lt;18),
    1.10,
    1.00)</f>
        <v/>
      </c>
      <c r="O4988">
        <f>IF('Loan Tape (S&amp;P)'!T4988="Yes",
    1.35,
    1.00)</f>
        <v/>
      </c>
      <c r="P4988">
        <f>IF('Loan Tape (S&amp;P)'!S4988="Yes",
    1.15,
    1.00)</f>
        <v/>
      </c>
      <c r="Q4988">
        <f>IF('Loan Tape (S&amp;P)'!V4988="Yes",
    1.20,
    1.00)</f>
        <v/>
      </c>
      <c r="T4988">
        <f>LET(
    payment_method,'Loan Tape (S&amp;P)'!P4988,
    occupancy,'Loan Tape (S&amp;P)'!N4988,
    maturity_date,'Loan Tape (S&amp;P)'!L4988,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89">
      <c r="J4989">
        <f>LET(
    lien,'Loan Tape (S&amp;P)'!Q4989,
    IF(lien="First",1.00,
        IF(lien="Second",1.50,
            1.70)))</f>
        <v/>
      </c>
      <c r="K4989">
        <f>LET(
    purpose,'Loan Tape (S&amp;P)'!R4989,
    IF(purpose="Purchase",1.00,
        IF(purpose="Remortgage",1.00,
            1.20)))</f>
        <v/>
      </c>
      <c r="L4989">
        <f>LET(
    arrears_months,'Loan Tape (S&amp;P)'!AN4989,
    IF(arrears_months=0,1.00,
    IF(arrears_months=1,3.00,
    IF(arrears_months=2,5.00,
    IF(arrears_months=3,8.00,
    IF(arrears_months=4,10.00,
    IF(arrears_months=5,12.00,15.00)))))))</f>
        <v/>
      </c>
      <c r="M4989">
        <f>LET(
    seasoning_years,DATEDIF('Loan Tape (S&amp;P)'!K4989,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89">
        <f>IF(AND('Loan Tape (S&amp;P)'!U4989="Yes",
        'Loan Tape (S&amp;P)'!T4989&lt;&gt;"Yes",
        DATEDIF('Loan Tape (S&amp;P)'!K4989, TODAY(), "M")&lt;18),
    1.10,
    1.00)</f>
        <v/>
      </c>
      <c r="O4989">
        <f>IF('Loan Tape (S&amp;P)'!T4989="Yes",
    1.35,
    1.00)</f>
        <v/>
      </c>
      <c r="P4989">
        <f>IF('Loan Tape (S&amp;P)'!S4989="Yes",
    1.15,
    1.00)</f>
        <v/>
      </c>
      <c r="Q4989">
        <f>IF('Loan Tape (S&amp;P)'!V4989="Yes",
    1.20,
    1.00)</f>
        <v/>
      </c>
      <c r="T4989">
        <f>LET(
    payment_method,'Loan Tape (S&amp;P)'!P4989,
    occupancy,'Loan Tape (S&amp;P)'!N4989,
    maturity_date,'Loan Tape (S&amp;P)'!L4989,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90">
      <c r="J4990">
        <f>LET(
    lien,'Loan Tape (S&amp;P)'!Q4990,
    IF(lien="First",1.00,
        IF(lien="Second",1.50,
            1.70)))</f>
        <v/>
      </c>
      <c r="K4990">
        <f>LET(
    purpose,'Loan Tape (S&amp;P)'!R4990,
    IF(purpose="Purchase",1.00,
        IF(purpose="Remortgage",1.00,
            1.20)))</f>
        <v/>
      </c>
      <c r="L4990">
        <f>LET(
    arrears_months,'Loan Tape (S&amp;P)'!AN4990,
    IF(arrears_months=0,1.00,
    IF(arrears_months=1,3.00,
    IF(arrears_months=2,5.00,
    IF(arrears_months=3,8.00,
    IF(arrears_months=4,10.00,
    IF(arrears_months=5,12.00,15.00)))))))</f>
        <v/>
      </c>
      <c r="M4990">
        <f>LET(
    seasoning_years,DATEDIF('Loan Tape (S&amp;P)'!K4990,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90">
        <f>IF(AND('Loan Tape (S&amp;P)'!U4990="Yes",
        'Loan Tape (S&amp;P)'!T4990&lt;&gt;"Yes",
        DATEDIF('Loan Tape (S&amp;P)'!K4990, TODAY(), "M")&lt;18),
    1.10,
    1.00)</f>
        <v/>
      </c>
      <c r="O4990">
        <f>IF('Loan Tape (S&amp;P)'!T4990="Yes",
    1.35,
    1.00)</f>
        <v/>
      </c>
      <c r="P4990">
        <f>IF('Loan Tape (S&amp;P)'!S4990="Yes",
    1.15,
    1.00)</f>
        <v/>
      </c>
      <c r="Q4990">
        <f>IF('Loan Tape (S&amp;P)'!V4990="Yes",
    1.20,
    1.00)</f>
        <v/>
      </c>
      <c r="T4990">
        <f>LET(
    payment_method,'Loan Tape (S&amp;P)'!P4990,
    occupancy,'Loan Tape (S&amp;P)'!N4990,
    maturity_date,'Loan Tape (S&amp;P)'!L4990,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91">
      <c r="J4991">
        <f>LET(
    lien,'Loan Tape (S&amp;P)'!Q4991,
    IF(lien="First",1.00,
        IF(lien="Second",1.50,
            1.70)))</f>
        <v/>
      </c>
      <c r="K4991">
        <f>LET(
    purpose,'Loan Tape (S&amp;P)'!R4991,
    IF(purpose="Purchase",1.00,
        IF(purpose="Remortgage",1.00,
            1.20)))</f>
        <v/>
      </c>
      <c r="L4991">
        <f>LET(
    arrears_months,'Loan Tape (S&amp;P)'!AN4991,
    IF(arrears_months=0,1.00,
    IF(arrears_months=1,3.00,
    IF(arrears_months=2,5.00,
    IF(arrears_months=3,8.00,
    IF(arrears_months=4,10.00,
    IF(arrears_months=5,12.00,15.00)))))))</f>
        <v/>
      </c>
      <c r="M4991">
        <f>LET(
    seasoning_years,DATEDIF('Loan Tape (S&amp;P)'!K4991,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91">
        <f>IF(AND('Loan Tape (S&amp;P)'!U4991="Yes",
        'Loan Tape (S&amp;P)'!T4991&lt;&gt;"Yes",
        DATEDIF('Loan Tape (S&amp;P)'!K4991, TODAY(), "M")&lt;18),
    1.10,
    1.00)</f>
        <v/>
      </c>
      <c r="O4991">
        <f>IF('Loan Tape (S&amp;P)'!T4991="Yes",
    1.35,
    1.00)</f>
        <v/>
      </c>
      <c r="P4991">
        <f>IF('Loan Tape (S&amp;P)'!S4991="Yes",
    1.15,
    1.00)</f>
        <v/>
      </c>
      <c r="Q4991">
        <f>IF('Loan Tape (S&amp;P)'!V4991="Yes",
    1.20,
    1.00)</f>
        <v/>
      </c>
      <c r="T4991">
        <f>LET(
    payment_method,'Loan Tape (S&amp;P)'!P4991,
    occupancy,'Loan Tape (S&amp;P)'!N4991,
    maturity_date,'Loan Tape (S&amp;P)'!L4991,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92">
      <c r="J4992">
        <f>LET(
    lien,'Loan Tape (S&amp;P)'!Q4992,
    IF(lien="First",1.00,
        IF(lien="Second",1.50,
            1.70)))</f>
        <v/>
      </c>
      <c r="K4992">
        <f>LET(
    purpose,'Loan Tape (S&amp;P)'!R4992,
    IF(purpose="Purchase",1.00,
        IF(purpose="Remortgage",1.00,
            1.20)))</f>
        <v/>
      </c>
      <c r="L4992">
        <f>LET(
    arrears_months,'Loan Tape (S&amp;P)'!AN4992,
    IF(arrears_months=0,1.00,
    IF(arrears_months=1,3.00,
    IF(arrears_months=2,5.00,
    IF(arrears_months=3,8.00,
    IF(arrears_months=4,10.00,
    IF(arrears_months=5,12.00,15.00)))))))</f>
        <v/>
      </c>
      <c r="M4992">
        <f>LET(
    seasoning_years,DATEDIF('Loan Tape (S&amp;P)'!K4992,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92">
        <f>IF(AND('Loan Tape (S&amp;P)'!U4992="Yes",
        'Loan Tape (S&amp;P)'!T4992&lt;&gt;"Yes",
        DATEDIF('Loan Tape (S&amp;P)'!K4992, TODAY(), "M")&lt;18),
    1.10,
    1.00)</f>
        <v/>
      </c>
      <c r="O4992">
        <f>IF('Loan Tape (S&amp;P)'!T4992="Yes",
    1.35,
    1.00)</f>
        <v/>
      </c>
      <c r="P4992">
        <f>IF('Loan Tape (S&amp;P)'!S4992="Yes",
    1.15,
    1.00)</f>
        <v/>
      </c>
      <c r="Q4992">
        <f>IF('Loan Tape (S&amp;P)'!V4992="Yes",
    1.20,
    1.00)</f>
        <v/>
      </c>
      <c r="T4992">
        <f>LET(
    payment_method,'Loan Tape (S&amp;P)'!P4992,
    occupancy,'Loan Tape (S&amp;P)'!N4992,
    maturity_date,'Loan Tape (S&amp;P)'!L4992,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93">
      <c r="J4993">
        <f>LET(
    lien,'Loan Tape (S&amp;P)'!Q4993,
    IF(lien="First",1.00,
        IF(lien="Second",1.50,
            1.70)))</f>
        <v/>
      </c>
      <c r="K4993">
        <f>LET(
    purpose,'Loan Tape (S&amp;P)'!R4993,
    IF(purpose="Purchase",1.00,
        IF(purpose="Remortgage",1.00,
            1.20)))</f>
        <v/>
      </c>
      <c r="L4993">
        <f>LET(
    arrears_months,'Loan Tape (S&amp;P)'!AN4993,
    IF(arrears_months=0,1.00,
    IF(arrears_months=1,3.00,
    IF(arrears_months=2,5.00,
    IF(arrears_months=3,8.00,
    IF(arrears_months=4,10.00,
    IF(arrears_months=5,12.00,15.00)))))))</f>
        <v/>
      </c>
      <c r="M4993">
        <f>LET(
    seasoning_years,DATEDIF('Loan Tape (S&amp;P)'!K4993,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93">
        <f>IF(AND('Loan Tape (S&amp;P)'!U4993="Yes",
        'Loan Tape (S&amp;P)'!T4993&lt;&gt;"Yes",
        DATEDIF('Loan Tape (S&amp;P)'!K4993, TODAY(), "M")&lt;18),
    1.10,
    1.00)</f>
        <v/>
      </c>
      <c r="O4993">
        <f>IF('Loan Tape (S&amp;P)'!T4993="Yes",
    1.35,
    1.00)</f>
        <v/>
      </c>
      <c r="P4993">
        <f>IF('Loan Tape (S&amp;P)'!S4993="Yes",
    1.15,
    1.00)</f>
        <v/>
      </c>
      <c r="Q4993">
        <f>IF('Loan Tape (S&amp;P)'!V4993="Yes",
    1.20,
    1.00)</f>
        <v/>
      </c>
      <c r="T4993">
        <f>LET(
    payment_method,'Loan Tape (S&amp;P)'!P4993,
    occupancy,'Loan Tape (S&amp;P)'!N4993,
    maturity_date,'Loan Tape (S&amp;P)'!L4993,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94">
      <c r="J4994">
        <f>LET(
    lien,'Loan Tape (S&amp;P)'!Q4994,
    IF(lien="First",1.00,
        IF(lien="Second",1.50,
            1.70)))</f>
        <v/>
      </c>
      <c r="K4994">
        <f>LET(
    purpose,'Loan Tape (S&amp;P)'!R4994,
    IF(purpose="Purchase",1.00,
        IF(purpose="Remortgage",1.00,
            1.20)))</f>
        <v/>
      </c>
      <c r="L4994">
        <f>LET(
    arrears_months,'Loan Tape (S&amp;P)'!AN4994,
    IF(arrears_months=0,1.00,
    IF(arrears_months=1,3.00,
    IF(arrears_months=2,5.00,
    IF(arrears_months=3,8.00,
    IF(arrears_months=4,10.00,
    IF(arrears_months=5,12.00,15.00)))))))</f>
        <v/>
      </c>
      <c r="M4994">
        <f>LET(
    seasoning_years,DATEDIF('Loan Tape (S&amp;P)'!K4994,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94">
        <f>IF(AND('Loan Tape (S&amp;P)'!U4994="Yes",
        'Loan Tape (S&amp;P)'!T4994&lt;&gt;"Yes",
        DATEDIF('Loan Tape (S&amp;P)'!K4994, TODAY(), "M")&lt;18),
    1.10,
    1.00)</f>
        <v/>
      </c>
      <c r="O4994">
        <f>IF('Loan Tape (S&amp;P)'!T4994="Yes",
    1.35,
    1.00)</f>
        <v/>
      </c>
      <c r="P4994">
        <f>IF('Loan Tape (S&amp;P)'!S4994="Yes",
    1.15,
    1.00)</f>
        <v/>
      </c>
      <c r="Q4994">
        <f>IF('Loan Tape (S&amp;P)'!V4994="Yes",
    1.20,
    1.00)</f>
        <v/>
      </c>
      <c r="T4994">
        <f>LET(
    payment_method,'Loan Tape (S&amp;P)'!P4994,
    occupancy,'Loan Tape (S&amp;P)'!N4994,
    maturity_date,'Loan Tape (S&amp;P)'!L4994,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95">
      <c r="J4995">
        <f>LET(
    lien,'Loan Tape (S&amp;P)'!Q4995,
    IF(lien="First",1.00,
        IF(lien="Second",1.50,
            1.70)))</f>
        <v/>
      </c>
      <c r="K4995">
        <f>LET(
    purpose,'Loan Tape (S&amp;P)'!R4995,
    IF(purpose="Purchase",1.00,
        IF(purpose="Remortgage",1.00,
            1.20)))</f>
        <v/>
      </c>
      <c r="L4995">
        <f>LET(
    arrears_months,'Loan Tape (S&amp;P)'!AN4995,
    IF(arrears_months=0,1.00,
    IF(arrears_months=1,3.00,
    IF(arrears_months=2,5.00,
    IF(arrears_months=3,8.00,
    IF(arrears_months=4,10.00,
    IF(arrears_months=5,12.00,15.00)))))))</f>
        <v/>
      </c>
      <c r="M4995">
        <f>LET(
    seasoning_years,DATEDIF('Loan Tape (S&amp;P)'!K4995,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95">
        <f>IF(AND('Loan Tape (S&amp;P)'!U4995="Yes",
        'Loan Tape (S&amp;P)'!T4995&lt;&gt;"Yes",
        DATEDIF('Loan Tape (S&amp;P)'!K4995, TODAY(), "M")&lt;18),
    1.10,
    1.00)</f>
        <v/>
      </c>
      <c r="O4995">
        <f>IF('Loan Tape (S&amp;P)'!T4995="Yes",
    1.35,
    1.00)</f>
        <v/>
      </c>
      <c r="P4995">
        <f>IF('Loan Tape (S&amp;P)'!S4995="Yes",
    1.15,
    1.00)</f>
        <v/>
      </c>
      <c r="Q4995">
        <f>IF('Loan Tape (S&amp;P)'!V4995="Yes",
    1.20,
    1.00)</f>
        <v/>
      </c>
      <c r="T4995">
        <f>LET(
    payment_method,'Loan Tape (S&amp;P)'!P4995,
    occupancy,'Loan Tape (S&amp;P)'!N4995,
    maturity_date,'Loan Tape (S&amp;P)'!L4995,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96">
      <c r="J4996">
        <f>LET(
    lien,'Loan Tape (S&amp;P)'!Q4996,
    IF(lien="First",1.00,
        IF(lien="Second",1.50,
            1.70)))</f>
        <v/>
      </c>
      <c r="K4996">
        <f>LET(
    purpose,'Loan Tape (S&amp;P)'!R4996,
    IF(purpose="Purchase",1.00,
        IF(purpose="Remortgage",1.00,
            1.20)))</f>
        <v/>
      </c>
      <c r="L4996">
        <f>LET(
    arrears_months,'Loan Tape (S&amp;P)'!AN4996,
    IF(arrears_months=0,1.00,
    IF(arrears_months=1,3.00,
    IF(arrears_months=2,5.00,
    IF(arrears_months=3,8.00,
    IF(arrears_months=4,10.00,
    IF(arrears_months=5,12.00,15.00)))))))</f>
        <v/>
      </c>
      <c r="M4996">
        <f>LET(
    seasoning_years,DATEDIF('Loan Tape (S&amp;P)'!K4996,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96">
        <f>IF(AND('Loan Tape (S&amp;P)'!U4996="Yes",
        'Loan Tape (S&amp;P)'!T4996&lt;&gt;"Yes",
        DATEDIF('Loan Tape (S&amp;P)'!K4996, TODAY(), "M")&lt;18),
    1.10,
    1.00)</f>
        <v/>
      </c>
      <c r="O4996">
        <f>IF('Loan Tape (S&amp;P)'!T4996="Yes",
    1.35,
    1.00)</f>
        <v/>
      </c>
      <c r="P4996">
        <f>IF('Loan Tape (S&amp;P)'!S4996="Yes",
    1.15,
    1.00)</f>
        <v/>
      </c>
      <c r="Q4996">
        <f>IF('Loan Tape (S&amp;P)'!V4996="Yes",
    1.20,
    1.00)</f>
        <v/>
      </c>
      <c r="T4996">
        <f>LET(
    payment_method,'Loan Tape (S&amp;P)'!P4996,
    occupancy,'Loan Tape (S&amp;P)'!N4996,
    maturity_date,'Loan Tape (S&amp;P)'!L4996,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97">
      <c r="J4997">
        <f>LET(
    lien,'Loan Tape (S&amp;P)'!Q4997,
    IF(lien="First",1.00,
        IF(lien="Second",1.50,
            1.70)))</f>
        <v/>
      </c>
      <c r="K4997">
        <f>LET(
    purpose,'Loan Tape (S&amp;P)'!R4997,
    IF(purpose="Purchase",1.00,
        IF(purpose="Remortgage",1.00,
            1.20)))</f>
        <v/>
      </c>
      <c r="L4997">
        <f>LET(
    arrears_months,'Loan Tape (S&amp;P)'!AN4997,
    IF(arrears_months=0,1.00,
    IF(arrears_months=1,3.00,
    IF(arrears_months=2,5.00,
    IF(arrears_months=3,8.00,
    IF(arrears_months=4,10.00,
    IF(arrears_months=5,12.00,15.00)))))))</f>
        <v/>
      </c>
      <c r="M4997">
        <f>LET(
    seasoning_years,DATEDIF('Loan Tape (S&amp;P)'!K4997,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97">
        <f>IF(AND('Loan Tape (S&amp;P)'!U4997="Yes",
        'Loan Tape (S&amp;P)'!T4997&lt;&gt;"Yes",
        DATEDIF('Loan Tape (S&amp;P)'!K4997, TODAY(), "M")&lt;18),
    1.10,
    1.00)</f>
        <v/>
      </c>
      <c r="O4997">
        <f>IF('Loan Tape (S&amp;P)'!T4997="Yes",
    1.35,
    1.00)</f>
        <v/>
      </c>
      <c r="P4997">
        <f>IF('Loan Tape (S&amp;P)'!S4997="Yes",
    1.15,
    1.00)</f>
        <v/>
      </c>
      <c r="Q4997">
        <f>IF('Loan Tape (S&amp;P)'!V4997="Yes",
    1.20,
    1.00)</f>
        <v/>
      </c>
      <c r="T4997">
        <f>LET(
    payment_method,'Loan Tape (S&amp;P)'!P4997,
    occupancy,'Loan Tape (S&amp;P)'!N4997,
    maturity_date,'Loan Tape (S&amp;P)'!L4997,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98">
      <c r="J4998">
        <f>LET(
    lien,'Loan Tape (S&amp;P)'!Q4998,
    IF(lien="First",1.00,
        IF(lien="Second",1.50,
            1.70)))</f>
        <v/>
      </c>
      <c r="K4998">
        <f>LET(
    purpose,'Loan Tape (S&amp;P)'!R4998,
    IF(purpose="Purchase",1.00,
        IF(purpose="Remortgage",1.00,
            1.20)))</f>
        <v/>
      </c>
      <c r="L4998">
        <f>LET(
    arrears_months,'Loan Tape (S&amp;P)'!AN4998,
    IF(arrears_months=0,1.00,
    IF(arrears_months=1,3.00,
    IF(arrears_months=2,5.00,
    IF(arrears_months=3,8.00,
    IF(arrears_months=4,10.00,
    IF(arrears_months=5,12.00,15.00)))))))</f>
        <v/>
      </c>
      <c r="M4998">
        <f>LET(
    seasoning_years,DATEDIF('Loan Tape (S&amp;P)'!K4998,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98">
        <f>IF(AND('Loan Tape (S&amp;P)'!U4998="Yes",
        'Loan Tape (S&amp;P)'!T4998&lt;&gt;"Yes",
        DATEDIF('Loan Tape (S&amp;P)'!K4998, TODAY(), "M")&lt;18),
    1.10,
    1.00)</f>
        <v/>
      </c>
      <c r="O4998">
        <f>IF('Loan Tape (S&amp;P)'!T4998="Yes",
    1.35,
    1.00)</f>
        <v/>
      </c>
      <c r="P4998">
        <f>IF('Loan Tape (S&amp;P)'!S4998="Yes",
    1.15,
    1.00)</f>
        <v/>
      </c>
      <c r="Q4998">
        <f>IF('Loan Tape (S&amp;P)'!V4998="Yes",
    1.20,
    1.00)</f>
        <v/>
      </c>
      <c r="T4998">
        <f>LET(
    payment_method,'Loan Tape (S&amp;P)'!P4998,
    occupancy,'Loan Tape (S&amp;P)'!N4998,
    maturity_date,'Loan Tape (S&amp;P)'!L4998,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4999">
      <c r="J4999">
        <f>LET(
    lien,'Loan Tape (S&amp;P)'!Q4999,
    IF(lien="First",1.00,
        IF(lien="Second",1.50,
            1.70)))</f>
        <v/>
      </c>
      <c r="K4999">
        <f>LET(
    purpose,'Loan Tape (S&amp;P)'!R4999,
    IF(purpose="Purchase",1.00,
        IF(purpose="Remortgage",1.00,
            1.20)))</f>
        <v/>
      </c>
      <c r="L4999">
        <f>LET(
    arrears_months,'Loan Tape (S&amp;P)'!AN4999,
    IF(arrears_months=0,1.00,
    IF(arrears_months=1,3.00,
    IF(arrears_months=2,5.00,
    IF(arrears_months=3,8.00,
    IF(arrears_months=4,10.00,
    IF(arrears_months=5,12.00,15.00)))))))</f>
        <v/>
      </c>
      <c r="M4999">
        <f>LET(
    seasoning_years,DATEDIF('Loan Tape (S&amp;P)'!K4999,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4999">
        <f>IF(AND('Loan Tape (S&amp;P)'!U4999="Yes",
        'Loan Tape (S&amp;P)'!T4999&lt;&gt;"Yes",
        DATEDIF('Loan Tape (S&amp;P)'!K4999, TODAY(), "M")&lt;18),
    1.10,
    1.00)</f>
        <v/>
      </c>
      <c r="O4999">
        <f>IF('Loan Tape (S&amp;P)'!T4999="Yes",
    1.35,
    1.00)</f>
        <v/>
      </c>
      <c r="P4999">
        <f>IF('Loan Tape (S&amp;P)'!S4999="Yes",
    1.15,
    1.00)</f>
        <v/>
      </c>
      <c r="Q4999">
        <f>IF('Loan Tape (S&amp;P)'!V4999="Yes",
    1.20,
    1.00)</f>
        <v/>
      </c>
      <c r="T4999">
        <f>LET(
    payment_method,'Loan Tape (S&amp;P)'!P4999,
    occupancy,'Loan Tape (S&amp;P)'!N4999,
    maturity_date,'Loan Tape (S&amp;P)'!L4999,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00">
      <c r="J5000">
        <f>LET(
    lien,'Loan Tape (S&amp;P)'!Q5000,
    IF(lien="First",1.00,
        IF(lien="Second",1.50,
            1.70)))</f>
        <v/>
      </c>
      <c r="K5000">
        <f>LET(
    purpose,'Loan Tape (S&amp;P)'!R5000,
    IF(purpose="Purchase",1.00,
        IF(purpose="Remortgage",1.00,
            1.20)))</f>
        <v/>
      </c>
      <c r="L5000">
        <f>LET(
    arrears_months,'Loan Tape (S&amp;P)'!AN5000,
    IF(arrears_months=0,1.00,
    IF(arrears_months=1,3.00,
    IF(arrears_months=2,5.00,
    IF(arrears_months=3,8.00,
    IF(arrears_months=4,10.00,
    IF(arrears_months=5,12.00,15.00)))))))</f>
        <v/>
      </c>
      <c r="M5000">
        <f>LET(
    seasoning_years,DATEDIF('Loan Tape (S&amp;P)'!K5000,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00">
        <f>IF(AND('Loan Tape (S&amp;P)'!U5000="Yes",
        'Loan Tape (S&amp;P)'!T5000&lt;&gt;"Yes",
        DATEDIF('Loan Tape (S&amp;P)'!K5000, TODAY(), "M")&lt;18),
    1.10,
    1.00)</f>
        <v/>
      </c>
      <c r="O5000">
        <f>IF('Loan Tape (S&amp;P)'!T5000="Yes",
    1.35,
    1.00)</f>
        <v/>
      </c>
      <c r="P5000">
        <f>IF('Loan Tape (S&amp;P)'!S5000="Yes",
    1.15,
    1.00)</f>
        <v/>
      </c>
      <c r="Q5000">
        <f>IF('Loan Tape (S&amp;P)'!V5000="Yes",
    1.20,
    1.00)</f>
        <v/>
      </c>
      <c r="T5000">
        <f>LET(
    payment_method,'Loan Tape (S&amp;P)'!P5000,
    occupancy,'Loan Tape (S&amp;P)'!N5000,
    maturity_date,'Loan Tape (S&amp;P)'!L5000,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01">
      <c r="J5001">
        <f>LET(
    lien,'Loan Tape (S&amp;P)'!Q5001,
    IF(lien="First",1.00,
        IF(lien="Second",1.50,
            1.70)))</f>
        <v/>
      </c>
      <c r="K5001">
        <f>LET(
    purpose,'Loan Tape (S&amp;P)'!R5001,
    IF(purpose="Purchase",1.00,
        IF(purpose="Remortgage",1.00,
            1.20)))</f>
        <v/>
      </c>
      <c r="L5001">
        <f>LET(
    arrears_months,'Loan Tape (S&amp;P)'!AN5001,
    IF(arrears_months=0,1.00,
    IF(arrears_months=1,3.00,
    IF(arrears_months=2,5.00,
    IF(arrears_months=3,8.00,
    IF(arrears_months=4,10.00,
    IF(arrears_months=5,12.00,15.00)))))))</f>
        <v/>
      </c>
      <c r="M5001">
        <f>LET(
    seasoning_years,DATEDIF('Loan Tape (S&amp;P)'!K5001,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01">
        <f>IF(AND('Loan Tape (S&amp;P)'!U5001="Yes",
        'Loan Tape (S&amp;P)'!T5001&lt;&gt;"Yes",
        DATEDIF('Loan Tape (S&amp;P)'!K5001, TODAY(), "M")&lt;18),
    1.10,
    1.00)</f>
        <v/>
      </c>
      <c r="O5001">
        <f>IF('Loan Tape (S&amp;P)'!T5001="Yes",
    1.35,
    1.00)</f>
        <v/>
      </c>
      <c r="P5001">
        <f>IF('Loan Tape (S&amp;P)'!S5001="Yes",
    1.15,
    1.00)</f>
        <v/>
      </c>
      <c r="Q5001">
        <f>IF('Loan Tape (S&amp;P)'!V5001="Yes",
    1.20,
    1.00)</f>
        <v/>
      </c>
      <c r="T5001">
        <f>LET(
    payment_method,'Loan Tape (S&amp;P)'!P5001,
    occupancy,'Loan Tape (S&amp;P)'!N5001,
    maturity_date,'Loan Tape (S&amp;P)'!L5001,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02">
      <c r="J5002">
        <f>LET(
    lien,'Loan Tape (S&amp;P)'!Q5002,
    IF(lien="First",1.00,
        IF(lien="Second",1.50,
            1.70)))</f>
        <v/>
      </c>
      <c r="K5002">
        <f>LET(
    purpose,'Loan Tape (S&amp;P)'!R5002,
    IF(purpose="Purchase",1.00,
        IF(purpose="Remortgage",1.00,
            1.20)))</f>
        <v/>
      </c>
      <c r="L5002">
        <f>LET(
    arrears_months,'Loan Tape (S&amp;P)'!AN5002,
    IF(arrears_months=0,1.00,
    IF(arrears_months=1,3.00,
    IF(arrears_months=2,5.00,
    IF(arrears_months=3,8.00,
    IF(arrears_months=4,10.00,
    IF(arrears_months=5,12.00,15.00)))))))</f>
        <v/>
      </c>
      <c r="M5002">
        <f>LET(
    seasoning_years,DATEDIF('Loan Tape (S&amp;P)'!K5002,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02">
        <f>IF(AND('Loan Tape (S&amp;P)'!U5002="Yes",
        'Loan Tape (S&amp;P)'!T5002&lt;&gt;"Yes",
        DATEDIF('Loan Tape (S&amp;P)'!K5002, TODAY(), "M")&lt;18),
    1.10,
    1.00)</f>
        <v/>
      </c>
      <c r="O5002">
        <f>IF('Loan Tape (S&amp;P)'!T5002="Yes",
    1.35,
    1.00)</f>
        <v/>
      </c>
      <c r="P5002">
        <f>IF('Loan Tape (S&amp;P)'!S5002="Yes",
    1.15,
    1.00)</f>
        <v/>
      </c>
      <c r="Q5002">
        <f>IF('Loan Tape (S&amp;P)'!V5002="Yes",
    1.20,
    1.00)</f>
        <v/>
      </c>
      <c r="T5002">
        <f>LET(
    payment_method,'Loan Tape (S&amp;P)'!P5002,
    occupancy,'Loan Tape (S&amp;P)'!N5002,
    maturity_date,'Loan Tape (S&amp;P)'!L5002,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03">
      <c r="J5003">
        <f>LET(
    lien,'Loan Tape (S&amp;P)'!Q5003,
    IF(lien="First",1.00,
        IF(lien="Second",1.50,
            1.70)))</f>
        <v/>
      </c>
      <c r="K5003">
        <f>LET(
    purpose,'Loan Tape (S&amp;P)'!R5003,
    IF(purpose="Purchase",1.00,
        IF(purpose="Remortgage",1.00,
            1.20)))</f>
        <v/>
      </c>
      <c r="L5003">
        <f>LET(
    arrears_months,'Loan Tape (S&amp;P)'!AN5003,
    IF(arrears_months=0,1.00,
    IF(arrears_months=1,3.00,
    IF(arrears_months=2,5.00,
    IF(arrears_months=3,8.00,
    IF(arrears_months=4,10.00,
    IF(arrears_months=5,12.00,15.00)))))))</f>
        <v/>
      </c>
      <c r="M5003">
        <f>LET(
    seasoning_years,DATEDIF('Loan Tape (S&amp;P)'!K5003,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03">
        <f>IF(AND('Loan Tape (S&amp;P)'!U5003="Yes",
        'Loan Tape (S&amp;P)'!T5003&lt;&gt;"Yes",
        DATEDIF('Loan Tape (S&amp;P)'!K5003, TODAY(), "M")&lt;18),
    1.10,
    1.00)</f>
        <v/>
      </c>
      <c r="O5003">
        <f>IF('Loan Tape (S&amp;P)'!T5003="Yes",
    1.35,
    1.00)</f>
        <v/>
      </c>
      <c r="P5003">
        <f>IF('Loan Tape (S&amp;P)'!S5003="Yes",
    1.15,
    1.00)</f>
        <v/>
      </c>
      <c r="Q5003">
        <f>IF('Loan Tape (S&amp;P)'!V5003="Yes",
    1.20,
    1.00)</f>
        <v/>
      </c>
      <c r="T5003">
        <f>LET(
    payment_method,'Loan Tape (S&amp;P)'!P5003,
    occupancy,'Loan Tape (S&amp;P)'!N5003,
    maturity_date,'Loan Tape (S&amp;P)'!L5003,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04">
      <c r="J5004">
        <f>LET(
    lien,'Loan Tape (S&amp;P)'!Q5004,
    IF(lien="First",1.00,
        IF(lien="Second",1.50,
            1.70)))</f>
        <v/>
      </c>
      <c r="K5004">
        <f>LET(
    purpose,'Loan Tape (S&amp;P)'!R5004,
    IF(purpose="Purchase",1.00,
        IF(purpose="Remortgage",1.00,
            1.20)))</f>
        <v/>
      </c>
      <c r="L5004">
        <f>LET(
    arrears_months,'Loan Tape (S&amp;P)'!AN5004,
    IF(arrears_months=0,1.00,
    IF(arrears_months=1,3.00,
    IF(arrears_months=2,5.00,
    IF(arrears_months=3,8.00,
    IF(arrears_months=4,10.00,
    IF(arrears_months=5,12.00,15.00)))))))</f>
        <v/>
      </c>
      <c r="M5004">
        <f>LET(
    seasoning_years,DATEDIF('Loan Tape (S&amp;P)'!K5004,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04">
        <f>IF(AND('Loan Tape (S&amp;P)'!U5004="Yes",
        'Loan Tape (S&amp;P)'!T5004&lt;&gt;"Yes",
        DATEDIF('Loan Tape (S&amp;P)'!K5004, TODAY(), "M")&lt;18),
    1.10,
    1.00)</f>
        <v/>
      </c>
      <c r="O5004">
        <f>IF('Loan Tape (S&amp;P)'!T5004="Yes",
    1.35,
    1.00)</f>
        <v/>
      </c>
      <c r="P5004">
        <f>IF('Loan Tape (S&amp;P)'!S5004="Yes",
    1.15,
    1.00)</f>
        <v/>
      </c>
      <c r="Q5004">
        <f>IF('Loan Tape (S&amp;P)'!V5004="Yes",
    1.20,
    1.00)</f>
        <v/>
      </c>
      <c r="T5004">
        <f>LET(
    payment_method,'Loan Tape (S&amp;P)'!P5004,
    occupancy,'Loan Tape (S&amp;P)'!N5004,
    maturity_date,'Loan Tape (S&amp;P)'!L5004,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05">
      <c r="J5005">
        <f>LET(
    lien,'Loan Tape (S&amp;P)'!Q5005,
    IF(lien="First",1.00,
        IF(lien="Second",1.50,
            1.70)))</f>
        <v/>
      </c>
      <c r="K5005">
        <f>LET(
    purpose,'Loan Tape (S&amp;P)'!R5005,
    IF(purpose="Purchase",1.00,
        IF(purpose="Remortgage",1.00,
            1.20)))</f>
        <v/>
      </c>
      <c r="L5005">
        <f>LET(
    arrears_months,'Loan Tape (S&amp;P)'!AN5005,
    IF(arrears_months=0,1.00,
    IF(arrears_months=1,3.00,
    IF(arrears_months=2,5.00,
    IF(arrears_months=3,8.00,
    IF(arrears_months=4,10.00,
    IF(arrears_months=5,12.00,15.00)))))))</f>
        <v/>
      </c>
      <c r="M5005">
        <f>LET(
    seasoning_years,DATEDIF('Loan Tape (S&amp;P)'!K5005,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05">
        <f>IF(AND('Loan Tape (S&amp;P)'!U5005="Yes",
        'Loan Tape (S&amp;P)'!T5005&lt;&gt;"Yes",
        DATEDIF('Loan Tape (S&amp;P)'!K5005, TODAY(), "M")&lt;18),
    1.10,
    1.00)</f>
        <v/>
      </c>
      <c r="O5005">
        <f>IF('Loan Tape (S&amp;P)'!T5005="Yes",
    1.35,
    1.00)</f>
        <v/>
      </c>
      <c r="P5005">
        <f>IF('Loan Tape (S&amp;P)'!S5005="Yes",
    1.15,
    1.00)</f>
        <v/>
      </c>
      <c r="Q5005">
        <f>IF('Loan Tape (S&amp;P)'!V5005="Yes",
    1.20,
    1.00)</f>
        <v/>
      </c>
      <c r="T5005">
        <f>LET(
    payment_method,'Loan Tape (S&amp;P)'!P5005,
    occupancy,'Loan Tape (S&amp;P)'!N5005,
    maturity_date,'Loan Tape (S&amp;P)'!L5005,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06">
      <c r="J5006">
        <f>LET(
    lien,'Loan Tape (S&amp;P)'!Q5006,
    IF(lien="First",1.00,
        IF(lien="Second",1.50,
            1.70)))</f>
        <v/>
      </c>
      <c r="K5006">
        <f>LET(
    purpose,'Loan Tape (S&amp;P)'!R5006,
    IF(purpose="Purchase",1.00,
        IF(purpose="Remortgage",1.00,
            1.20)))</f>
        <v/>
      </c>
      <c r="L5006">
        <f>LET(
    arrears_months,'Loan Tape (S&amp;P)'!AN5006,
    IF(arrears_months=0,1.00,
    IF(arrears_months=1,3.00,
    IF(arrears_months=2,5.00,
    IF(arrears_months=3,8.00,
    IF(arrears_months=4,10.00,
    IF(arrears_months=5,12.00,15.00)))))))</f>
        <v/>
      </c>
      <c r="M5006">
        <f>LET(
    seasoning_years,DATEDIF('Loan Tape (S&amp;P)'!K5006,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06">
        <f>IF(AND('Loan Tape (S&amp;P)'!U5006="Yes",
        'Loan Tape (S&amp;P)'!T5006&lt;&gt;"Yes",
        DATEDIF('Loan Tape (S&amp;P)'!K5006, TODAY(), "M")&lt;18),
    1.10,
    1.00)</f>
        <v/>
      </c>
      <c r="O5006">
        <f>IF('Loan Tape (S&amp;P)'!T5006="Yes",
    1.35,
    1.00)</f>
        <v/>
      </c>
      <c r="P5006">
        <f>IF('Loan Tape (S&amp;P)'!S5006="Yes",
    1.15,
    1.00)</f>
        <v/>
      </c>
      <c r="Q5006">
        <f>IF('Loan Tape (S&amp;P)'!V5006="Yes",
    1.20,
    1.00)</f>
        <v/>
      </c>
      <c r="T5006">
        <f>LET(
    payment_method,'Loan Tape (S&amp;P)'!P5006,
    occupancy,'Loan Tape (S&amp;P)'!N5006,
    maturity_date,'Loan Tape (S&amp;P)'!L5006,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07">
      <c r="J5007">
        <f>LET(
    lien,'Loan Tape (S&amp;P)'!Q5007,
    IF(lien="First",1.00,
        IF(lien="Second",1.50,
            1.70)))</f>
        <v/>
      </c>
      <c r="K5007">
        <f>LET(
    purpose,'Loan Tape (S&amp;P)'!R5007,
    IF(purpose="Purchase",1.00,
        IF(purpose="Remortgage",1.00,
            1.20)))</f>
        <v/>
      </c>
      <c r="L5007">
        <f>LET(
    arrears_months,'Loan Tape (S&amp;P)'!AN5007,
    IF(arrears_months=0,1.00,
    IF(arrears_months=1,3.00,
    IF(arrears_months=2,5.00,
    IF(arrears_months=3,8.00,
    IF(arrears_months=4,10.00,
    IF(arrears_months=5,12.00,15.00)))))))</f>
        <v/>
      </c>
      <c r="M5007">
        <f>LET(
    seasoning_years,DATEDIF('Loan Tape (S&amp;P)'!K5007,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07">
        <f>IF(AND('Loan Tape (S&amp;P)'!U5007="Yes",
        'Loan Tape (S&amp;P)'!T5007&lt;&gt;"Yes",
        DATEDIF('Loan Tape (S&amp;P)'!K5007, TODAY(), "M")&lt;18),
    1.10,
    1.00)</f>
        <v/>
      </c>
      <c r="O5007">
        <f>IF('Loan Tape (S&amp;P)'!T5007="Yes",
    1.35,
    1.00)</f>
        <v/>
      </c>
      <c r="P5007">
        <f>IF('Loan Tape (S&amp;P)'!S5007="Yes",
    1.15,
    1.00)</f>
        <v/>
      </c>
      <c r="Q5007">
        <f>IF('Loan Tape (S&amp;P)'!V5007="Yes",
    1.20,
    1.00)</f>
        <v/>
      </c>
      <c r="T5007">
        <f>LET(
    payment_method,'Loan Tape (S&amp;P)'!P5007,
    occupancy,'Loan Tape (S&amp;P)'!N5007,
    maturity_date,'Loan Tape (S&amp;P)'!L5007,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08">
      <c r="J5008">
        <f>LET(
    lien,'Loan Tape (S&amp;P)'!Q5008,
    IF(lien="First",1.00,
        IF(lien="Second",1.50,
            1.70)))</f>
        <v/>
      </c>
      <c r="K5008">
        <f>LET(
    purpose,'Loan Tape (S&amp;P)'!R5008,
    IF(purpose="Purchase",1.00,
        IF(purpose="Remortgage",1.00,
            1.20)))</f>
        <v/>
      </c>
      <c r="L5008">
        <f>LET(
    arrears_months,'Loan Tape (S&amp;P)'!AN5008,
    IF(arrears_months=0,1.00,
    IF(arrears_months=1,3.00,
    IF(arrears_months=2,5.00,
    IF(arrears_months=3,8.00,
    IF(arrears_months=4,10.00,
    IF(arrears_months=5,12.00,15.00)))))))</f>
        <v/>
      </c>
      <c r="M5008">
        <f>LET(
    seasoning_years,DATEDIF('Loan Tape (S&amp;P)'!K5008,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08">
        <f>IF(AND('Loan Tape (S&amp;P)'!U5008="Yes",
        'Loan Tape (S&amp;P)'!T5008&lt;&gt;"Yes",
        DATEDIF('Loan Tape (S&amp;P)'!K5008, TODAY(), "M")&lt;18),
    1.10,
    1.00)</f>
        <v/>
      </c>
      <c r="O5008">
        <f>IF('Loan Tape (S&amp;P)'!T5008="Yes",
    1.35,
    1.00)</f>
        <v/>
      </c>
      <c r="P5008">
        <f>IF('Loan Tape (S&amp;P)'!S5008="Yes",
    1.15,
    1.00)</f>
        <v/>
      </c>
      <c r="Q5008">
        <f>IF('Loan Tape (S&amp;P)'!V5008="Yes",
    1.20,
    1.00)</f>
        <v/>
      </c>
      <c r="T5008">
        <f>LET(
    payment_method,'Loan Tape (S&amp;P)'!P5008,
    occupancy,'Loan Tape (S&amp;P)'!N5008,
    maturity_date,'Loan Tape (S&amp;P)'!L5008,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09">
      <c r="J5009">
        <f>LET(
    lien,'Loan Tape (S&amp;P)'!Q5009,
    IF(lien="First",1.00,
        IF(lien="Second",1.50,
            1.70)))</f>
        <v/>
      </c>
      <c r="K5009">
        <f>LET(
    purpose,'Loan Tape (S&amp;P)'!R5009,
    IF(purpose="Purchase",1.00,
        IF(purpose="Remortgage",1.00,
            1.20)))</f>
        <v/>
      </c>
      <c r="L5009">
        <f>LET(
    arrears_months,'Loan Tape (S&amp;P)'!AN5009,
    IF(arrears_months=0,1.00,
    IF(arrears_months=1,3.00,
    IF(arrears_months=2,5.00,
    IF(arrears_months=3,8.00,
    IF(arrears_months=4,10.00,
    IF(arrears_months=5,12.00,15.00)))))))</f>
        <v/>
      </c>
      <c r="M5009">
        <f>LET(
    seasoning_years,DATEDIF('Loan Tape (S&amp;P)'!K5009,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09">
        <f>IF(AND('Loan Tape (S&amp;P)'!U5009="Yes",
        'Loan Tape (S&amp;P)'!T5009&lt;&gt;"Yes",
        DATEDIF('Loan Tape (S&amp;P)'!K5009, TODAY(), "M")&lt;18),
    1.10,
    1.00)</f>
        <v/>
      </c>
      <c r="O5009">
        <f>IF('Loan Tape (S&amp;P)'!T5009="Yes",
    1.35,
    1.00)</f>
        <v/>
      </c>
      <c r="P5009">
        <f>IF('Loan Tape (S&amp;P)'!S5009="Yes",
    1.15,
    1.00)</f>
        <v/>
      </c>
      <c r="Q5009">
        <f>IF('Loan Tape (S&amp;P)'!V5009="Yes",
    1.20,
    1.00)</f>
        <v/>
      </c>
      <c r="T5009">
        <f>LET(
    payment_method,'Loan Tape (S&amp;P)'!P5009,
    occupancy,'Loan Tape (S&amp;P)'!N5009,
    maturity_date,'Loan Tape (S&amp;P)'!L5009,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10">
      <c r="J5010">
        <f>LET(
    lien,'Loan Tape (S&amp;P)'!Q5010,
    IF(lien="First",1.00,
        IF(lien="Second",1.50,
            1.70)))</f>
        <v/>
      </c>
      <c r="K5010">
        <f>LET(
    purpose,'Loan Tape (S&amp;P)'!R5010,
    IF(purpose="Purchase",1.00,
        IF(purpose="Remortgage",1.00,
            1.20)))</f>
        <v/>
      </c>
      <c r="L5010">
        <f>LET(
    arrears_months,'Loan Tape (S&amp;P)'!AN5010,
    IF(arrears_months=0,1.00,
    IF(arrears_months=1,3.00,
    IF(arrears_months=2,5.00,
    IF(arrears_months=3,8.00,
    IF(arrears_months=4,10.00,
    IF(arrears_months=5,12.00,15.00)))))))</f>
        <v/>
      </c>
      <c r="M5010">
        <f>LET(
    seasoning_years,DATEDIF('Loan Tape (S&amp;P)'!K5010,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10">
        <f>IF(AND('Loan Tape (S&amp;P)'!U5010="Yes",
        'Loan Tape (S&amp;P)'!T5010&lt;&gt;"Yes",
        DATEDIF('Loan Tape (S&amp;P)'!K5010, TODAY(), "M")&lt;18),
    1.10,
    1.00)</f>
        <v/>
      </c>
      <c r="O5010">
        <f>IF('Loan Tape (S&amp;P)'!T5010="Yes",
    1.35,
    1.00)</f>
        <v/>
      </c>
      <c r="P5010">
        <f>IF('Loan Tape (S&amp;P)'!S5010="Yes",
    1.15,
    1.00)</f>
        <v/>
      </c>
      <c r="Q5010">
        <f>IF('Loan Tape (S&amp;P)'!V5010="Yes",
    1.20,
    1.00)</f>
        <v/>
      </c>
      <c r="T5010">
        <f>LET(
    payment_method,'Loan Tape (S&amp;P)'!P5010,
    occupancy,'Loan Tape (S&amp;P)'!N5010,
    maturity_date,'Loan Tape (S&amp;P)'!L5010,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11">
      <c r="J5011">
        <f>LET(
    lien,'Loan Tape (S&amp;P)'!Q5011,
    IF(lien="First",1.00,
        IF(lien="Second",1.50,
            1.70)))</f>
        <v/>
      </c>
      <c r="K5011">
        <f>LET(
    purpose,'Loan Tape (S&amp;P)'!R5011,
    IF(purpose="Purchase",1.00,
        IF(purpose="Remortgage",1.00,
            1.20)))</f>
        <v/>
      </c>
      <c r="L5011">
        <f>LET(
    arrears_months,'Loan Tape (S&amp;P)'!AN5011,
    IF(arrears_months=0,1.00,
    IF(arrears_months=1,3.00,
    IF(arrears_months=2,5.00,
    IF(arrears_months=3,8.00,
    IF(arrears_months=4,10.00,
    IF(arrears_months=5,12.00,15.00)))))))</f>
        <v/>
      </c>
      <c r="M5011">
        <f>LET(
    seasoning_years,DATEDIF('Loan Tape (S&amp;P)'!K5011,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11">
        <f>IF(AND('Loan Tape (S&amp;P)'!U5011="Yes",
        'Loan Tape (S&amp;P)'!T5011&lt;&gt;"Yes",
        DATEDIF('Loan Tape (S&amp;P)'!K5011, TODAY(), "M")&lt;18),
    1.10,
    1.00)</f>
        <v/>
      </c>
      <c r="O5011">
        <f>IF('Loan Tape (S&amp;P)'!T5011="Yes",
    1.35,
    1.00)</f>
        <v/>
      </c>
      <c r="P5011">
        <f>IF('Loan Tape (S&amp;P)'!S5011="Yes",
    1.15,
    1.00)</f>
        <v/>
      </c>
      <c r="Q5011">
        <f>IF('Loan Tape (S&amp;P)'!V5011="Yes",
    1.20,
    1.00)</f>
        <v/>
      </c>
      <c r="T5011">
        <f>LET(
    payment_method,'Loan Tape (S&amp;P)'!P5011,
    occupancy,'Loan Tape (S&amp;P)'!N5011,
    maturity_date,'Loan Tape (S&amp;P)'!L5011,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12">
      <c r="J5012">
        <f>LET(
    lien,'Loan Tape (S&amp;P)'!Q5012,
    IF(lien="First",1.00,
        IF(lien="Second",1.50,
            1.70)))</f>
        <v/>
      </c>
      <c r="K5012">
        <f>LET(
    purpose,'Loan Tape (S&amp;P)'!R5012,
    IF(purpose="Purchase",1.00,
        IF(purpose="Remortgage",1.00,
            1.20)))</f>
        <v/>
      </c>
      <c r="L5012">
        <f>LET(
    arrears_months,'Loan Tape (S&amp;P)'!AN5012,
    IF(arrears_months=0,1.00,
    IF(arrears_months=1,3.00,
    IF(arrears_months=2,5.00,
    IF(arrears_months=3,8.00,
    IF(arrears_months=4,10.00,
    IF(arrears_months=5,12.00,15.00)))))))</f>
        <v/>
      </c>
      <c r="M5012">
        <f>LET(
    seasoning_years,DATEDIF('Loan Tape (S&amp;P)'!K5012,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12">
        <f>IF(AND('Loan Tape (S&amp;P)'!U5012="Yes",
        'Loan Tape (S&amp;P)'!T5012&lt;&gt;"Yes",
        DATEDIF('Loan Tape (S&amp;P)'!K5012, TODAY(), "M")&lt;18),
    1.10,
    1.00)</f>
        <v/>
      </c>
      <c r="O5012">
        <f>IF('Loan Tape (S&amp;P)'!T5012="Yes",
    1.35,
    1.00)</f>
        <v/>
      </c>
      <c r="P5012">
        <f>IF('Loan Tape (S&amp;P)'!S5012="Yes",
    1.15,
    1.00)</f>
        <v/>
      </c>
      <c r="Q5012">
        <f>IF('Loan Tape (S&amp;P)'!V5012="Yes",
    1.20,
    1.00)</f>
        <v/>
      </c>
      <c r="T5012">
        <f>LET(
    payment_method,'Loan Tape (S&amp;P)'!P5012,
    occupancy,'Loan Tape (S&amp;P)'!N5012,
    maturity_date,'Loan Tape (S&amp;P)'!L5012,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13">
      <c r="J5013">
        <f>LET(
    lien,'Loan Tape (S&amp;P)'!Q5013,
    IF(lien="First",1.00,
        IF(lien="Second",1.50,
            1.70)))</f>
        <v/>
      </c>
      <c r="K5013">
        <f>LET(
    purpose,'Loan Tape (S&amp;P)'!R5013,
    IF(purpose="Purchase",1.00,
        IF(purpose="Remortgage",1.00,
            1.20)))</f>
        <v/>
      </c>
      <c r="L5013">
        <f>LET(
    arrears_months,'Loan Tape (S&amp;P)'!AN5013,
    IF(arrears_months=0,1.00,
    IF(arrears_months=1,3.00,
    IF(arrears_months=2,5.00,
    IF(arrears_months=3,8.00,
    IF(arrears_months=4,10.00,
    IF(arrears_months=5,12.00,15.00)))))))</f>
        <v/>
      </c>
      <c r="M5013">
        <f>LET(
    seasoning_years,DATEDIF('Loan Tape (S&amp;P)'!K5013,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13">
        <f>IF(AND('Loan Tape (S&amp;P)'!U5013="Yes",
        'Loan Tape (S&amp;P)'!T5013&lt;&gt;"Yes",
        DATEDIF('Loan Tape (S&amp;P)'!K5013, TODAY(), "M")&lt;18),
    1.10,
    1.00)</f>
        <v/>
      </c>
      <c r="O5013">
        <f>IF('Loan Tape (S&amp;P)'!T5013="Yes",
    1.35,
    1.00)</f>
        <v/>
      </c>
      <c r="P5013">
        <f>IF('Loan Tape (S&amp;P)'!S5013="Yes",
    1.15,
    1.00)</f>
        <v/>
      </c>
      <c r="Q5013">
        <f>IF('Loan Tape (S&amp;P)'!V5013="Yes",
    1.20,
    1.00)</f>
        <v/>
      </c>
      <c r="T5013">
        <f>LET(
    payment_method,'Loan Tape (S&amp;P)'!P5013,
    occupancy,'Loan Tape (S&amp;P)'!N5013,
    maturity_date,'Loan Tape (S&amp;P)'!L5013,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14">
      <c r="J5014">
        <f>LET(
    lien,'Loan Tape (S&amp;P)'!Q5014,
    IF(lien="First",1.00,
        IF(lien="Second",1.50,
            1.70)))</f>
        <v/>
      </c>
      <c r="K5014">
        <f>LET(
    purpose,'Loan Tape (S&amp;P)'!R5014,
    IF(purpose="Purchase",1.00,
        IF(purpose="Remortgage",1.00,
            1.20)))</f>
        <v/>
      </c>
      <c r="L5014">
        <f>LET(
    arrears_months,'Loan Tape (S&amp;P)'!AN5014,
    IF(arrears_months=0,1.00,
    IF(arrears_months=1,3.00,
    IF(arrears_months=2,5.00,
    IF(arrears_months=3,8.00,
    IF(arrears_months=4,10.00,
    IF(arrears_months=5,12.00,15.00)))))))</f>
        <v/>
      </c>
      <c r="M5014">
        <f>LET(
    seasoning_years,DATEDIF('Loan Tape (S&amp;P)'!K5014,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14">
        <f>IF(AND('Loan Tape (S&amp;P)'!U5014="Yes",
        'Loan Tape (S&amp;P)'!T5014&lt;&gt;"Yes",
        DATEDIF('Loan Tape (S&amp;P)'!K5014, TODAY(), "M")&lt;18),
    1.10,
    1.00)</f>
        <v/>
      </c>
      <c r="O5014">
        <f>IF('Loan Tape (S&amp;P)'!T5014="Yes",
    1.35,
    1.00)</f>
        <v/>
      </c>
      <c r="P5014">
        <f>IF('Loan Tape (S&amp;P)'!S5014="Yes",
    1.15,
    1.00)</f>
        <v/>
      </c>
      <c r="Q5014">
        <f>IF('Loan Tape (S&amp;P)'!V5014="Yes",
    1.20,
    1.00)</f>
        <v/>
      </c>
      <c r="T5014">
        <f>LET(
    payment_method,'Loan Tape (S&amp;P)'!P5014,
    occupancy,'Loan Tape (S&amp;P)'!N5014,
    maturity_date,'Loan Tape (S&amp;P)'!L5014,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15">
      <c r="J5015">
        <f>LET(
    lien,'Loan Tape (S&amp;P)'!Q5015,
    IF(lien="First",1.00,
        IF(lien="Second",1.50,
            1.70)))</f>
        <v/>
      </c>
      <c r="K5015">
        <f>LET(
    purpose,'Loan Tape (S&amp;P)'!R5015,
    IF(purpose="Purchase",1.00,
        IF(purpose="Remortgage",1.00,
            1.20)))</f>
        <v/>
      </c>
      <c r="L5015">
        <f>LET(
    arrears_months,'Loan Tape (S&amp;P)'!AN5015,
    IF(arrears_months=0,1.00,
    IF(arrears_months=1,3.00,
    IF(arrears_months=2,5.00,
    IF(arrears_months=3,8.00,
    IF(arrears_months=4,10.00,
    IF(arrears_months=5,12.00,15.00)))))))</f>
        <v/>
      </c>
      <c r="M5015">
        <f>LET(
    seasoning_years,DATEDIF('Loan Tape (S&amp;P)'!K5015,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15">
        <f>IF(AND('Loan Tape (S&amp;P)'!U5015="Yes",
        'Loan Tape (S&amp;P)'!T5015&lt;&gt;"Yes",
        DATEDIF('Loan Tape (S&amp;P)'!K5015, TODAY(), "M")&lt;18),
    1.10,
    1.00)</f>
        <v/>
      </c>
      <c r="O5015">
        <f>IF('Loan Tape (S&amp;P)'!T5015="Yes",
    1.35,
    1.00)</f>
        <v/>
      </c>
      <c r="P5015">
        <f>IF('Loan Tape (S&amp;P)'!S5015="Yes",
    1.15,
    1.00)</f>
        <v/>
      </c>
      <c r="Q5015">
        <f>IF('Loan Tape (S&amp;P)'!V5015="Yes",
    1.20,
    1.00)</f>
        <v/>
      </c>
      <c r="T5015">
        <f>LET(
    payment_method,'Loan Tape (S&amp;P)'!P5015,
    occupancy,'Loan Tape (S&amp;P)'!N5015,
    maturity_date,'Loan Tape (S&amp;P)'!L5015,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16">
      <c r="J5016">
        <f>LET(
    lien,'Loan Tape (S&amp;P)'!Q5016,
    IF(lien="First",1.00,
        IF(lien="Second",1.50,
            1.70)))</f>
        <v/>
      </c>
      <c r="K5016">
        <f>LET(
    purpose,'Loan Tape (S&amp;P)'!R5016,
    IF(purpose="Purchase",1.00,
        IF(purpose="Remortgage",1.00,
            1.20)))</f>
        <v/>
      </c>
      <c r="L5016">
        <f>LET(
    arrears_months,'Loan Tape (S&amp;P)'!AN5016,
    IF(arrears_months=0,1.00,
    IF(arrears_months=1,3.00,
    IF(arrears_months=2,5.00,
    IF(arrears_months=3,8.00,
    IF(arrears_months=4,10.00,
    IF(arrears_months=5,12.00,15.00)))))))</f>
        <v/>
      </c>
      <c r="M5016">
        <f>LET(
    seasoning_years,DATEDIF('Loan Tape (S&amp;P)'!K5016,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16">
        <f>IF(AND('Loan Tape (S&amp;P)'!U5016="Yes",
        'Loan Tape (S&amp;P)'!T5016&lt;&gt;"Yes",
        DATEDIF('Loan Tape (S&amp;P)'!K5016, TODAY(), "M")&lt;18),
    1.10,
    1.00)</f>
        <v/>
      </c>
      <c r="O5016">
        <f>IF('Loan Tape (S&amp;P)'!T5016="Yes",
    1.35,
    1.00)</f>
        <v/>
      </c>
      <c r="P5016">
        <f>IF('Loan Tape (S&amp;P)'!S5016="Yes",
    1.15,
    1.00)</f>
        <v/>
      </c>
      <c r="Q5016">
        <f>IF('Loan Tape (S&amp;P)'!V5016="Yes",
    1.20,
    1.00)</f>
        <v/>
      </c>
      <c r="T5016">
        <f>LET(
    payment_method,'Loan Tape (S&amp;P)'!P5016,
    occupancy,'Loan Tape (S&amp;P)'!N5016,
    maturity_date,'Loan Tape (S&amp;P)'!L5016,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17">
      <c r="J5017">
        <f>LET(
    lien,'Loan Tape (S&amp;P)'!Q5017,
    IF(lien="First",1.00,
        IF(lien="Second",1.50,
            1.70)))</f>
        <v/>
      </c>
      <c r="K5017">
        <f>LET(
    purpose,'Loan Tape (S&amp;P)'!R5017,
    IF(purpose="Purchase",1.00,
        IF(purpose="Remortgage",1.00,
            1.20)))</f>
        <v/>
      </c>
      <c r="L5017">
        <f>LET(
    arrears_months,'Loan Tape (S&amp;P)'!AN5017,
    IF(arrears_months=0,1.00,
    IF(arrears_months=1,3.00,
    IF(arrears_months=2,5.00,
    IF(arrears_months=3,8.00,
    IF(arrears_months=4,10.00,
    IF(arrears_months=5,12.00,15.00)))))))</f>
        <v/>
      </c>
      <c r="M5017">
        <f>LET(
    seasoning_years,DATEDIF('Loan Tape (S&amp;P)'!K5017,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17">
        <f>IF(AND('Loan Tape (S&amp;P)'!U5017="Yes",
        'Loan Tape (S&amp;P)'!T5017&lt;&gt;"Yes",
        DATEDIF('Loan Tape (S&amp;P)'!K5017, TODAY(), "M")&lt;18),
    1.10,
    1.00)</f>
        <v/>
      </c>
      <c r="O5017">
        <f>IF('Loan Tape (S&amp;P)'!T5017="Yes",
    1.35,
    1.00)</f>
        <v/>
      </c>
      <c r="P5017">
        <f>IF('Loan Tape (S&amp;P)'!S5017="Yes",
    1.15,
    1.00)</f>
        <v/>
      </c>
      <c r="Q5017">
        <f>IF('Loan Tape (S&amp;P)'!V5017="Yes",
    1.20,
    1.00)</f>
        <v/>
      </c>
      <c r="T5017">
        <f>LET(
    payment_method,'Loan Tape (S&amp;P)'!P5017,
    occupancy,'Loan Tape (S&amp;P)'!N5017,
    maturity_date,'Loan Tape (S&amp;P)'!L5017,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18">
      <c r="J5018">
        <f>LET(
    lien,'Loan Tape (S&amp;P)'!Q5018,
    IF(lien="First",1.00,
        IF(lien="Second",1.50,
            1.70)))</f>
        <v/>
      </c>
      <c r="K5018">
        <f>LET(
    purpose,'Loan Tape (S&amp;P)'!R5018,
    IF(purpose="Purchase",1.00,
        IF(purpose="Remortgage",1.00,
            1.20)))</f>
        <v/>
      </c>
      <c r="L5018">
        <f>LET(
    arrears_months,'Loan Tape (S&amp;P)'!AN5018,
    IF(arrears_months=0,1.00,
    IF(arrears_months=1,3.00,
    IF(arrears_months=2,5.00,
    IF(arrears_months=3,8.00,
    IF(arrears_months=4,10.00,
    IF(arrears_months=5,12.00,15.00)))))))</f>
        <v/>
      </c>
      <c r="M5018">
        <f>LET(
    seasoning_years,DATEDIF('Loan Tape (S&amp;P)'!K5018,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18">
        <f>IF(AND('Loan Tape (S&amp;P)'!U5018="Yes",
        'Loan Tape (S&amp;P)'!T5018&lt;&gt;"Yes",
        DATEDIF('Loan Tape (S&amp;P)'!K5018, TODAY(), "M")&lt;18),
    1.10,
    1.00)</f>
        <v/>
      </c>
      <c r="O5018">
        <f>IF('Loan Tape (S&amp;P)'!T5018="Yes",
    1.35,
    1.00)</f>
        <v/>
      </c>
      <c r="P5018">
        <f>IF('Loan Tape (S&amp;P)'!S5018="Yes",
    1.15,
    1.00)</f>
        <v/>
      </c>
      <c r="Q5018">
        <f>IF('Loan Tape (S&amp;P)'!V5018="Yes",
    1.20,
    1.00)</f>
        <v/>
      </c>
      <c r="T5018">
        <f>LET(
    payment_method,'Loan Tape (S&amp;P)'!P5018,
    occupancy,'Loan Tape (S&amp;P)'!N5018,
    maturity_date,'Loan Tape (S&amp;P)'!L5018,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19">
      <c r="J5019">
        <f>LET(
    lien,'Loan Tape (S&amp;P)'!Q5019,
    IF(lien="First",1.00,
        IF(lien="Second",1.50,
            1.70)))</f>
        <v/>
      </c>
      <c r="K5019">
        <f>LET(
    purpose,'Loan Tape (S&amp;P)'!R5019,
    IF(purpose="Purchase",1.00,
        IF(purpose="Remortgage",1.00,
            1.20)))</f>
        <v/>
      </c>
      <c r="L5019">
        <f>LET(
    arrears_months,'Loan Tape (S&amp;P)'!AN5019,
    IF(arrears_months=0,1.00,
    IF(arrears_months=1,3.00,
    IF(arrears_months=2,5.00,
    IF(arrears_months=3,8.00,
    IF(arrears_months=4,10.00,
    IF(arrears_months=5,12.00,15.00)))))))</f>
        <v/>
      </c>
      <c r="M5019">
        <f>LET(
    seasoning_years,DATEDIF('Loan Tape (S&amp;P)'!K5019,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19">
        <f>IF(AND('Loan Tape (S&amp;P)'!U5019="Yes",
        'Loan Tape (S&amp;P)'!T5019&lt;&gt;"Yes",
        DATEDIF('Loan Tape (S&amp;P)'!K5019, TODAY(), "M")&lt;18),
    1.10,
    1.00)</f>
        <v/>
      </c>
      <c r="O5019">
        <f>IF('Loan Tape (S&amp;P)'!T5019="Yes",
    1.35,
    1.00)</f>
        <v/>
      </c>
      <c r="P5019">
        <f>IF('Loan Tape (S&amp;P)'!S5019="Yes",
    1.15,
    1.00)</f>
        <v/>
      </c>
      <c r="Q5019">
        <f>IF('Loan Tape (S&amp;P)'!V5019="Yes",
    1.20,
    1.00)</f>
        <v/>
      </c>
      <c r="T5019">
        <f>LET(
    payment_method,'Loan Tape (S&amp;P)'!P5019,
    occupancy,'Loan Tape (S&amp;P)'!N5019,
    maturity_date,'Loan Tape (S&amp;P)'!L5019,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20">
      <c r="J5020">
        <f>LET(
    lien,'Loan Tape (S&amp;P)'!Q5020,
    IF(lien="First",1.00,
        IF(lien="Second",1.50,
            1.70)))</f>
        <v/>
      </c>
      <c r="K5020">
        <f>LET(
    purpose,'Loan Tape (S&amp;P)'!R5020,
    IF(purpose="Purchase",1.00,
        IF(purpose="Remortgage",1.00,
            1.20)))</f>
        <v/>
      </c>
      <c r="L5020">
        <f>LET(
    arrears_months,'Loan Tape (S&amp;P)'!AN5020,
    IF(arrears_months=0,1.00,
    IF(arrears_months=1,3.00,
    IF(arrears_months=2,5.00,
    IF(arrears_months=3,8.00,
    IF(arrears_months=4,10.00,
    IF(arrears_months=5,12.00,15.00)))))))</f>
        <v/>
      </c>
      <c r="M5020">
        <f>LET(
    seasoning_years,DATEDIF('Loan Tape (S&amp;P)'!K5020,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20">
        <f>IF(AND('Loan Tape (S&amp;P)'!U5020="Yes",
        'Loan Tape (S&amp;P)'!T5020&lt;&gt;"Yes",
        DATEDIF('Loan Tape (S&amp;P)'!K5020, TODAY(), "M")&lt;18),
    1.10,
    1.00)</f>
        <v/>
      </c>
      <c r="O5020">
        <f>IF('Loan Tape (S&amp;P)'!T5020="Yes",
    1.35,
    1.00)</f>
        <v/>
      </c>
      <c r="P5020">
        <f>IF('Loan Tape (S&amp;P)'!S5020="Yes",
    1.15,
    1.00)</f>
        <v/>
      </c>
      <c r="Q5020">
        <f>IF('Loan Tape (S&amp;P)'!V5020="Yes",
    1.20,
    1.00)</f>
        <v/>
      </c>
      <c r="T5020">
        <f>LET(
    payment_method,'Loan Tape (S&amp;P)'!P5020,
    occupancy,'Loan Tape (S&amp;P)'!N5020,
    maturity_date,'Loan Tape (S&amp;P)'!L5020,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21">
      <c r="J5021">
        <f>LET(
    lien,'Loan Tape (S&amp;P)'!Q5021,
    IF(lien="First",1.00,
        IF(lien="Second",1.50,
            1.70)))</f>
        <v/>
      </c>
      <c r="K5021">
        <f>LET(
    purpose,'Loan Tape (S&amp;P)'!R5021,
    IF(purpose="Purchase",1.00,
        IF(purpose="Remortgage",1.00,
            1.20)))</f>
        <v/>
      </c>
      <c r="L5021">
        <f>LET(
    arrears_months,'Loan Tape (S&amp;P)'!AN5021,
    IF(arrears_months=0,1.00,
    IF(arrears_months=1,3.00,
    IF(arrears_months=2,5.00,
    IF(arrears_months=3,8.00,
    IF(arrears_months=4,10.00,
    IF(arrears_months=5,12.00,15.00)))))))</f>
        <v/>
      </c>
      <c r="M5021">
        <f>LET(
    seasoning_years,DATEDIF('Loan Tape (S&amp;P)'!K5021,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21">
        <f>IF(AND('Loan Tape (S&amp;P)'!U5021="Yes",
        'Loan Tape (S&amp;P)'!T5021&lt;&gt;"Yes",
        DATEDIF('Loan Tape (S&amp;P)'!K5021, TODAY(), "M")&lt;18),
    1.10,
    1.00)</f>
        <v/>
      </c>
      <c r="O5021">
        <f>IF('Loan Tape (S&amp;P)'!T5021="Yes",
    1.35,
    1.00)</f>
        <v/>
      </c>
      <c r="P5021">
        <f>IF('Loan Tape (S&amp;P)'!S5021="Yes",
    1.15,
    1.00)</f>
        <v/>
      </c>
      <c r="Q5021">
        <f>IF('Loan Tape (S&amp;P)'!V5021="Yes",
    1.20,
    1.00)</f>
        <v/>
      </c>
      <c r="T5021">
        <f>LET(
    payment_method,'Loan Tape (S&amp;P)'!P5021,
    occupancy,'Loan Tape (S&amp;P)'!N5021,
    maturity_date,'Loan Tape (S&amp;P)'!L5021,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22">
      <c r="J5022">
        <f>LET(
    lien,'Loan Tape (S&amp;P)'!Q5022,
    IF(lien="First",1.00,
        IF(lien="Second",1.50,
            1.70)))</f>
        <v/>
      </c>
      <c r="K5022">
        <f>LET(
    purpose,'Loan Tape (S&amp;P)'!R5022,
    IF(purpose="Purchase",1.00,
        IF(purpose="Remortgage",1.00,
            1.20)))</f>
        <v/>
      </c>
      <c r="L5022">
        <f>LET(
    arrears_months,'Loan Tape (S&amp;P)'!AN5022,
    IF(arrears_months=0,1.00,
    IF(arrears_months=1,3.00,
    IF(arrears_months=2,5.00,
    IF(arrears_months=3,8.00,
    IF(arrears_months=4,10.00,
    IF(arrears_months=5,12.00,15.00)))))))</f>
        <v/>
      </c>
      <c r="M5022">
        <f>LET(
    seasoning_years,DATEDIF('Loan Tape (S&amp;P)'!K5022,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22">
        <f>IF(AND('Loan Tape (S&amp;P)'!U5022="Yes",
        'Loan Tape (S&amp;P)'!T5022&lt;&gt;"Yes",
        DATEDIF('Loan Tape (S&amp;P)'!K5022, TODAY(), "M")&lt;18),
    1.10,
    1.00)</f>
        <v/>
      </c>
      <c r="O5022">
        <f>IF('Loan Tape (S&amp;P)'!T5022="Yes",
    1.35,
    1.00)</f>
        <v/>
      </c>
      <c r="P5022">
        <f>IF('Loan Tape (S&amp;P)'!S5022="Yes",
    1.15,
    1.00)</f>
        <v/>
      </c>
      <c r="Q5022">
        <f>IF('Loan Tape (S&amp;P)'!V5022="Yes",
    1.20,
    1.00)</f>
        <v/>
      </c>
      <c r="T5022">
        <f>LET(
    payment_method,'Loan Tape (S&amp;P)'!P5022,
    occupancy,'Loan Tape (S&amp;P)'!N5022,
    maturity_date,'Loan Tape (S&amp;P)'!L5022,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23">
      <c r="J5023">
        <f>LET(
    lien,'Loan Tape (S&amp;P)'!Q5023,
    IF(lien="First",1.00,
        IF(lien="Second",1.50,
            1.70)))</f>
        <v/>
      </c>
      <c r="K5023">
        <f>LET(
    purpose,'Loan Tape (S&amp;P)'!R5023,
    IF(purpose="Purchase",1.00,
        IF(purpose="Remortgage",1.00,
            1.20)))</f>
        <v/>
      </c>
      <c r="L5023">
        <f>LET(
    arrears_months,'Loan Tape (S&amp;P)'!AN5023,
    IF(arrears_months=0,1.00,
    IF(arrears_months=1,3.00,
    IF(arrears_months=2,5.00,
    IF(arrears_months=3,8.00,
    IF(arrears_months=4,10.00,
    IF(arrears_months=5,12.00,15.00)))))))</f>
        <v/>
      </c>
      <c r="M5023">
        <f>LET(
    seasoning_years,DATEDIF('Loan Tape (S&amp;P)'!K5023,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23">
        <f>IF(AND('Loan Tape (S&amp;P)'!U5023="Yes",
        'Loan Tape (S&amp;P)'!T5023&lt;&gt;"Yes",
        DATEDIF('Loan Tape (S&amp;P)'!K5023, TODAY(), "M")&lt;18),
    1.10,
    1.00)</f>
        <v/>
      </c>
      <c r="O5023">
        <f>IF('Loan Tape (S&amp;P)'!T5023="Yes",
    1.35,
    1.00)</f>
        <v/>
      </c>
      <c r="P5023">
        <f>IF('Loan Tape (S&amp;P)'!S5023="Yes",
    1.15,
    1.00)</f>
        <v/>
      </c>
      <c r="Q5023">
        <f>IF('Loan Tape (S&amp;P)'!V5023="Yes",
    1.20,
    1.00)</f>
        <v/>
      </c>
      <c r="T5023">
        <f>LET(
    payment_method,'Loan Tape (S&amp;P)'!P5023,
    occupancy,'Loan Tape (S&amp;P)'!N5023,
    maturity_date,'Loan Tape (S&amp;P)'!L5023,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24">
      <c r="J5024">
        <f>LET(
    lien,'Loan Tape (S&amp;P)'!Q5024,
    IF(lien="First",1.00,
        IF(lien="Second",1.50,
            1.70)))</f>
        <v/>
      </c>
      <c r="K5024">
        <f>LET(
    purpose,'Loan Tape (S&amp;P)'!R5024,
    IF(purpose="Purchase",1.00,
        IF(purpose="Remortgage",1.00,
            1.20)))</f>
        <v/>
      </c>
      <c r="L5024">
        <f>LET(
    arrears_months,'Loan Tape (S&amp;P)'!AN5024,
    IF(arrears_months=0,1.00,
    IF(arrears_months=1,3.00,
    IF(arrears_months=2,5.00,
    IF(arrears_months=3,8.00,
    IF(arrears_months=4,10.00,
    IF(arrears_months=5,12.00,15.00)))))))</f>
        <v/>
      </c>
      <c r="M5024">
        <f>LET(
    seasoning_years,DATEDIF('Loan Tape (S&amp;P)'!K5024,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24">
        <f>IF(AND('Loan Tape (S&amp;P)'!U5024="Yes",
        'Loan Tape (S&amp;P)'!T5024&lt;&gt;"Yes",
        DATEDIF('Loan Tape (S&amp;P)'!K5024, TODAY(), "M")&lt;18),
    1.10,
    1.00)</f>
        <v/>
      </c>
      <c r="O5024">
        <f>IF('Loan Tape (S&amp;P)'!T5024="Yes",
    1.35,
    1.00)</f>
        <v/>
      </c>
      <c r="P5024">
        <f>IF('Loan Tape (S&amp;P)'!S5024="Yes",
    1.15,
    1.00)</f>
        <v/>
      </c>
      <c r="Q5024">
        <f>IF('Loan Tape (S&amp;P)'!V5024="Yes",
    1.20,
    1.00)</f>
        <v/>
      </c>
      <c r="T5024">
        <f>LET(
    payment_method,'Loan Tape (S&amp;P)'!P5024,
    occupancy,'Loan Tape (S&amp;P)'!N5024,
    maturity_date,'Loan Tape (S&amp;P)'!L5024,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25">
      <c r="J5025">
        <f>LET(
    lien,'Loan Tape (S&amp;P)'!Q5025,
    IF(lien="First",1.00,
        IF(lien="Second",1.50,
            1.70)))</f>
        <v/>
      </c>
      <c r="K5025">
        <f>LET(
    purpose,'Loan Tape (S&amp;P)'!R5025,
    IF(purpose="Purchase",1.00,
        IF(purpose="Remortgage",1.00,
            1.20)))</f>
        <v/>
      </c>
      <c r="L5025">
        <f>LET(
    arrears_months,'Loan Tape (S&amp;P)'!AN5025,
    IF(arrears_months=0,1.00,
    IF(arrears_months=1,3.00,
    IF(arrears_months=2,5.00,
    IF(arrears_months=3,8.00,
    IF(arrears_months=4,10.00,
    IF(arrears_months=5,12.00,15.00)))))))</f>
        <v/>
      </c>
      <c r="M5025">
        <f>LET(
    seasoning_years,DATEDIF('Loan Tape (S&amp;P)'!K5025,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25">
        <f>IF(AND('Loan Tape (S&amp;P)'!U5025="Yes",
        'Loan Tape (S&amp;P)'!T5025&lt;&gt;"Yes",
        DATEDIF('Loan Tape (S&amp;P)'!K5025, TODAY(), "M")&lt;18),
    1.10,
    1.00)</f>
        <v/>
      </c>
      <c r="O5025">
        <f>IF('Loan Tape (S&amp;P)'!T5025="Yes",
    1.35,
    1.00)</f>
        <v/>
      </c>
      <c r="P5025">
        <f>IF('Loan Tape (S&amp;P)'!S5025="Yes",
    1.15,
    1.00)</f>
        <v/>
      </c>
      <c r="Q5025">
        <f>IF('Loan Tape (S&amp;P)'!V5025="Yes",
    1.20,
    1.00)</f>
        <v/>
      </c>
      <c r="T5025">
        <f>LET(
    payment_method,'Loan Tape (S&amp;P)'!P5025,
    occupancy,'Loan Tape (S&amp;P)'!N5025,
    maturity_date,'Loan Tape (S&amp;P)'!L5025,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26">
      <c r="J5026">
        <f>LET(
    lien,'Loan Tape (S&amp;P)'!Q5026,
    IF(lien="First",1.00,
        IF(lien="Second",1.50,
            1.70)))</f>
        <v/>
      </c>
      <c r="K5026">
        <f>LET(
    purpose,'Loan Tape (S&amp;P)'!R5026,
    IF(purpose="Purchase",1.00,
        IF(purpose="Remortgage",1.00,
            1.20)))</f>
        <v/>
      </c>
      <c r="L5026">
        <f>LET(
    arrears_months,'Loan Tape (S&amp;P)'!AN5026,
    IF(arrears_months=0,1.00,
    IF(arrears_months=1,3.00,
    IF(arrears_months=2,5.00,
    IF(arrears_months=3,8.00,
    IF(arrears_months=4,10.00,
    IF(arrears_months=5,12.00,15.00)))))))</f>
        <v/>
      </c>
      <c r="M5026">
        <f>LET(
    seasoning_years,DATEDIF('Loan Tape (S&amp;P)'!K5026,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26">
        <f>IF(AND('Loan Tape (S&amp;P)'!U5026="Yes",
        'Loan Tape (S&amp;P)'!T5026&lt;&gt;"Yes",
        DATEDIF('Loan Tape (S&amp;P)'!K5026, TODAY(), "M")&lt;18),
    1.10,
    1.00)</f>
        <v/>
      </c>
      <c r="O5026">
        <f>IF('Loan Tape (S&amp;P)'!T5026="Yes",
    1.35,
    1.00)</f>
        <v/>
      </c>
      <c r="P5026">
        <f>IF('Loan Tape (S&amp;P)'!S5026="Yes",
    1.15,
    1.00)</f>
        <v/>
      </c>
      <c r="Q5026">
        <f>IF('Loan Tape (S&amp;P)'!V5026="Yes",
    1.20,
    1.00)</f>
        <v/>
      </c>
      <c r="T5026">
        <f>LET(
    payment_method,'Loan Tape (S&amp;P)'!P5026,
    occupancy,'Loan Tape (S&amp;P)'!N5026,
    maturity_date,'Loan Tape (S&amp;P)'!L5026,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27">
      <c r="J5027">
        <f>LET(
    lien,'Loan Tape (S&amp;P)'!Q5027,
    IF(lien="First",1.00,
        IF(lien="Second",1.50,
            1.70)))</f>
        <v/>
      </c>
      <c r="K5027">
        <f>LET(
    purpose,'Loan Tape (S&amp;P)'!R5027,
    IF(purpose="Purchase",1.00,
        IF(purpose="Remortgage",1.00,
            1.20)))</f>
        <v/>
      </c>
      <c r="L5027">
        <f>LET(
    arrears_months,'Loan Tape (S&amp;P)'!AN5027,
    IF(arrears_months=0,1.00,
    IF(arrears_months=1,3.00,
    IF(arrears_months=2,5.00,
    IF(arrears_months=3,8.00,
    IF(arrears_months=4,10.00,
    IF(arrears_months=5,12.00,15.00)))))))</f>
        <v/>
      </c>
      <c r="M5027">
        <f>LET(
    seasoning_years,DATEDIF('Loan Tape (S&amp;P)'!K5027,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27">
        <f>IF(AND('Loan Tape (S&amp;P)'!U5027="Yes",
        'Loan Tape (S&amp;P)'!T5027&lt;&gt;"Yes",
        DATEDIF('Loan Tape (S&amp;P)'!K5027, TODAY(), "M")&lt;18),
    1.10,
    1.00)</f>
        <v/>
      </c>
      <c r="O5027">
        <f>IF('Loan Tape (S&amp;P)'!T5027="Yes",
    1.35,
    1.00)</f>
        <v/>
      </c>
      <c r="P5027">
        <f>IF('Loan Tape (S&amp;P)'!S5027="Yes",
    1.15,
    1.00)</f>
        <v/>
      </c>
      <c r="Q5027">
        <f>IF('Loan Tape (S&amp;P)'!V5027="Yes",
    1.20,
    1.00)</f>
        <v/>
      </c>
      <c r="T5027">
        <f>LET(
    payment_method,'Loan Tape (S&amp;P)'!P5027,
    occupancy,'Loan Tape (S&amp;P)'!N5027,
    maturity_date,'Loan Tape (S&amp;P)'!L5027,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28">
      <c r="J5028">
        <f>LET(
    lien,'Loan Tape (S&amp;P)'!Q5028,
    IF(lien="First",1.00,
        IF(lien="Second",1.50,
            1.70)))</f>
        <v/>
      </c>
      <c r="K5028">
        <f>LET(
    purpose,'Loan Tape (S&amp;P)'!R5028,
    IF(purpose="Purchase",1.00,
        IF(purpose="Remortgage",1.00,
            1.20)))</f>
        <v/>
      </c>
      <c r="L5028">
        <f>LET(
    arrears_months,'Loan Tape (S&amp;P)'!AN5028,
    IF(arrears_months=0,1.00,
    IF(arrears_months=1,3.00,
    IF(arrears_months=2,5.00,
    IF(arrears_months=3,8.00,
    IF(arrears_months=4,10.00,
    IF(arrears_months=5,12.00,15.00)))))))</f>
        <v/>
      </c>
      <c r="M5028">
        <f>LET(
    seasoning_years,DATEDIF('Loan Tape (S&amp;P)'!K5028,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28">
        <f>IF(AND('Loan Tape (S&amp;P)'!U5028="Yes",
        'Loan Tape (S&amp;P)'!T5028&lt;&gt;"Yes",
        DATEDIF('Loan Tape (S&amp;P)'!K5028, TODAY(), "M")&lt;18),
    1.10,
    1.00)</f>
        <v/>
      </c>
      <c r="O5028">
        <f>IF('Loan Tape (S&amp;P)'!T5028="Yes",
    1.35,
    1.00)</f>
        <v/>
      </c>
      <c r="P5028">
        <f>IF('Loan Tape (S&amp;P)'!S5028="Yes",
    1.15,
    1.00)</f>
        <v/>
      </c>
      <c r="Q5028">
        <f>IF('Loan Tape (S&amp;P)'!V5028="Yes",
    1.20,
    1.00)</f>
        <v/>
      </c>
      <c r="T5028">
        <f>LET(
    payment_method,'Loan Tape (S&amp;P)'!P5028,
    occupancy,'Loan Tape (S&amp;P)'!N5028,
    maturity_date,'Loan Tape (S&amp;P)'!L5028,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29">
      <c r="J5029">
        <f>LET(
    lien,'Loan Tape (S&amp;P)'!Q5029,
    IF(lien="First",1.00,
        IF(lien="Second",1.50,
            1.70)))</f>
        <v/>
      </c>
      <c r="K5029">
        <f>LET(
    purpose,'Loan Tape (S&amp;P)'!R5029,
    IF(purpose="Purchase",1.00,
        IF(purpose="Remortgage",1.00,
            1.20)))</f>
        <v/>
      </c>
      <c r="L5029">
        <f>LET(
    arrears_months,'Loan Tape (S&amp;P)'!AN5029,
    IF(arrears_months=0,1.00,
    IF(arrears_months=1,3.00,
    IF(arrears_months=2,5.00,
    IF(arrears_months=3,8.00,
    IF(arrears_months=4,10.00,
    IF(arrears_months=5,12.00,15.00)))))))</f>
        <v/>
      </c>
      <c r="M5029">
        <f>LET(
    seasoning_years,DATEDIF('Loan Tape (S&amp;P)'!K5029,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29">
        <f>IF(AND('Loan Tape (S&amp;P)'!U5029="Yes",
        'Loan Tape (S&amp;P)'!T5029&lt;&gt;"Yes",
        DATEDIF('Loan Tape (S&amp;P)'!K5029, TODAY(), "M")&lt;18),
    1.10,
    1.00)</f>
        <v/>
      </c>
      <c r="O5029">
        <f>IF('Loan Tape (S&amp;P)'!T5029="Yes",
    1.35,
    1.00)</f>
        <v/>
      </c>
      <c r="P5029">
        <f>IF('Loan Tape (S&amp;P)'!S5029="Yes",
    1.15,
    1.00)</f>
        <v/>
      </c>
      <c r="Q5029">
        <f>IF('Loan Tape (S&amp;P)'!V5029="Yes",
    1.20,
    1.00)</f>
        <v/>
      </c>
      <c r="T5029">
        <f>LET(
    payment_method,'Loan Tape (S&amp;P)'!P5029,
    occupancy,'Loan Tape (S&amp;P)'!N5029,
    maturity_date,'Loan Tape (S&amp;P)'!L5029,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30">
      <c r="J5030">
        <f>LET(
    lien,'Loan Tape (S&amp;P)'!Q5030,
    IF(lien="First",1.00,
        IF(lien="Second",1.50,
            1.70)))</f>
        <v/>
      </c>
      <c r="K5030">
        <f>LET(
    purpose,'Loan Tape (S&amp;P)'!R5030,
    IF(purpose="Purchase",1.00,
        IF(purpose="Remortgage",1.00,
            1.20)))</f>
        <v/>
      </c>
      <c r="L5030">
        <f>LET(
    arrears_months,'Loan Tape (S&amp;P)'!AN5030,
    IF(arrears_months=0,1.00,
    IF(arrears_months=1,3.00,
    IF(arrears_months=2,5.00,
    IF(arrears_months=3,8.00,
    IF(arrears_months=4,10.00,
    IF(arrears_months=5,12.00,15.00)))))))</f>
        <v/>
      </c>
      <c r="M5030">
        <f>LET(
    seasoning_years,DATEDIF('Loan Tape (S&amp;P)'!K5030,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30">
        <f>IF(AND('Loan Tape (S&amp;P)'!U5030="Yes",
        'Loan Tape (S&amp;P)'!T5030&lt;&gt;"Yes",
        DATEDIF('Loan Tape (S&amp;P)'!K5030, TODAY(), "M")&lt;18),
    1.10,
    1.00)</f>
        <v/>
      </c>
      <c r="O5030">
        <f>IF('Loan Tape (S&amp;P)'!T5030="Yes",
    1.35,
    1.00)</f>
        <v/>
      </c>
      <c r="P5030">
        <f>IF('Loan Tape (S&amp;P)'!S5030="Yes",
    1.15,
    1.00)</f>
        <v/>
      </c>
      <c r="Q5030">
        <f>IF('Loan Tape (S&amp;P)'!V5030="Yes",
    1.20,
    1.00)</f>
        <v/>
      </c>
      <c r="T5030">
        <f>LET(
    payment_method,'Loan Tape (S&amp;P)'!P5030,
    occupancy,'Loan Tape (S&amp;P)'!N5030,
    maturity_date,'Loan Tape (S&amp;P)'!L5030,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31">
      <c r="J5031">
        <f>LET(
    lien,'Loan Tape (S&amp;P)'!Q5031,
    IF(lien="First",1.00,
        IF(lien="Second",1.50,
            1.70)))</f>
        <v/>
      </c>
      <c r="K5031">
        <f>LET(
    purpose,'Loan Tape (S&amp;P)'!R5031,
    IF(purpose="Purchase",1.00,
        IF(purpose="Remortgage",1.00,
            1.20)))</f>
        <v/>
      </c>
      <c r="L5031">
        <f>LET(
    arrears_months,'Loan Tape (S&amp;P)'!AN5031,
    IF(arrears_months=0,1.00,
    IF(arrears_months=1,3.00,
    IF(arrears_months=2,5.00,
    IF(arrears_months=3,8.00,
    IF(arrears_months=4,10.00,
    IF(arrears_months=5,12.00,15.00)))))))</f>
        <v/>
      </c>
      <c r="M5031">
        <f>LET(
    seasoning_years,DATEDIF('Loan Tape (S&amp;P)'!K5031,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31">
        <f>IF(AND('Loan Tape (S&amp;P)'!U5031="Yes",
        'Loan Tape (S&amp;P)'!T5031&lt;&gt;"Yes",
        DATEDIF('Loan Tape (S&amp;P)'!K5031, TODAY(), "M")&lt;18),
    1.10,
    1.00)</f>
        <v/>
      </c>
      <c r="O5031">
        <f>IF('Loan Tape (S&amp;P)'!T5031="Yes",
    1.35,
    1.00)</f>
        <v/>
      </c>
      <c r="P5031">
        <f>IF('Loan Tape (S&amp;P)'!S5031="Yes",
    1.15,
    1.00)</f>
        <v/>
      </c>
      <c r="Q5031">
        <f>IF('Loan Tape (S&amp;P)'!V5031="Yes",
    1.20,
    1.00)</f>
        <v/>
      </c>
      <c r="T5031">
        <f>LET(
    payment_method,'Loan Tape (S&amp;P)'!P5031,
    occupancy,'Loan Tape (S&amp;P)'!N5031,
    maturity_date,'Loan Tape (S&amp;P)'!L5031,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32">
      <c r="J5032">
        <f>LET(
    lien,'Loan Tape (S&amp;P)'!Q5032,
    IF(lien="First",1.00,
        IF(lien="Second",1.50,
            1.70)))</f>
        <v/>
      </c>
      <c r="K5032">
        <f>LET(
    purpose,'Loan Tape (S&amp;P)'!R5032,
    IF(purpose="Purchase",1.00,
        IF(purpose="Remortgage",1.00,
            1.20)))</f>
        <v/>
      </c>
      <c r="L5032">
        <f>LET(
    arrears_months,'Loan Tape (S&amp;P)'!AN5032,
    IF(arrears_months=0,1.00,
    IF(arrears_months=1,3.00,
    IF(arrears_months=2,5.00,
    IF(arrears_months=3,8.00,
    IF(arrears_months=4,10.00,
    IF(arrears_months=5,12.00,15.00)))))))</f>
        <v/>
      </c>
      <c r="M5032">
        <f>LET(
    seasoning_years,DATEDIF('Loan Tape (S&amp;P)'!K5032,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32">
        <f>IF(AND('Loan Tape (S&amp;P)'!U5032="Yes",
        'Loan Tape (S&amp;P)'!T5032&lt;&gt;"Yes",
        DATEDIF('Loan Tape (S&amp;P)'!K5032, TODAY(), "M")&lt;18),
    1.10,
    1.00)</f>
        <v/>
      </c>
      <c r="O5032">
        <f>IF('Loan Tape (S&amp;P)'!T5032="Yes",
    1.35,
    1.00)</f>
        <v/>
      </c>
      <c r="P5032">
        <f>IF('Loan Tape (S&amp;P)'!S5032="Yes",
    1.15,
    1.00)</f>
        <v/>
      </c>
      <c r="Q5032">
        <f>IF('Loan Tape (S&amp;P)'!V5032="Yes",
    1.20,
    1.00)</f>
        <v/>
      </c>
      <c r="T5032">
        <f>LET(
    payment_method,'Loan Tape (S&amp;P)'!P5032,
    occupancy,'Loan Tape (S&amp;P)'!N5032,
    maturity_date,'Loan Tape (S&amp;P)'!L5032,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33">
      <c r="J5033">
        <f>LET(
    lien,'Loan Tape (S&amp;P)'!Q5033,
    IF(lien="First",1.00,
        IF(lien="Second",1.50,
            1.70)))</f>
        <v/>
      </c>
      <c r="K5033">
        <f>LET(
    purpose,'Loan Tape (S&amp;P)'!R5033,
    IF(purpose="Purchase",1.00,
        IF(purpose="Remortgage",1.00,
            1.20)))</f>
        <v/>
      </c>
      <c r="L5033">
        <f>LET(
    arrears_months,'Loan Tape (S&amp;P)'!AN5033,
    IF(arrears_months=0,1.00,
    IF(arrears_months=1,3.00,
    IF(arrears_months=2,5.00,
    IF(arrears_months=3,8.00,
    IF(arrears_months=4,10.00,
    IF(arrears_months=5,12.00,15.00)))))))</f>
        <v/>
      </c>
      <c r="M5033">
        <f>LET(
    seasoning_years,DATEDIF('Loan Tape (S&amp;P)'!K5033,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33">
        <f>IF(AND('Loan Tape (S&amp;P)'!U5033="Yes",
        'Loan Tape (S&amp;P)'!T5033&lt;&gt;"Yes",
        DATEDIF('Loan Tape (S&amp;P)'!K5033, TODAY(), "M")&lt;18),
    1.10,
    1.00)</f>
        <v/>
      </c>
      <c r="O5033">
        <f>IF('Loan Tape (S&amp;P)'!T5033="Yes",
    1.35,
    1.00)</f>
        <v/>
      </c>
      <c r="P5033">
        <f>IF('Loan Tape (S&amp;P)'!S5033="Yes",
    1.15,
    1.00)</f>
        <v/>
      </c>
      <c r="Q5033">
        <f>IF('Loan Tape (S&amp;P)'!V5033="Yes",
    1.20,
    1.00)</f>
        <v/>
      </c>
      <c r="T5033">
        <f>LET(
    payment_method,'Loan Tape (S&amp;P)'!P5033,
    occupancy,'Loan Tape (S&amp;P)'!N5033,
    maturity_date,'Loan Tape (S&amp;P)'!L5033,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34">
      <c r="J5034">
        <f>LET(
    lien,'Loan Tape (S&amp;P)'!Q5034,
    IF(lien="First",1.00,
        IF(lien="Second",1.50,
            1.70)))</f>
        <v/>
      </c>
      <c r="K5034">
        <f>LET(
    purpose,'Loan Tape (S&amp;P)'!R5034,
    IF(purpose="Purchase",1.00,
        IF(purpose="Remortgage",1.00,
            1.20)))</f>
        <v/>
      </c>
      <c r="L5034">
        <f>LET(
    arrears_months,'Loan Tape (S&amp;P)'!AN5034,
    IF(arrears_months=0,1.00,
    IF(arrears_months=1,3.00,
    IF(arrears_months=2,5.00,
    IF(arrears_months=3,8.00,
    IF(arrears_months=4,10.00,
    IF(arrears_months=5,12.00,15.00)))))))</f>
        <v/>
      </c>
      <c r="M5034">
        <f>LET(
    seasoning_years,DATEDIF('Loan Tape (S&amp;P)'!K5034,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34">
        <f>IF(AND('Loan Tape (S&amp;P)'!U5034="Yes",
        'Loan Tape (S&amp;P)'!T5034&lt;&gt;"Yes",
        DATEDIF('Loan Tape (S&amp;P)'!K5034, TODAY(), "M")&lt;18),
    1.10,
    1.00)</f>
        <v/>
      </c>
      <c r="O5034">
        <f>IF('Loan Tape (S&amp;P)'!T5034="Yes",
    1.35,
    1.00)</f>
        <v/>
      </c>
      <c r="P5034">
        <f>IF('Loan Tape (S&amp;P)'!S5034="Yes",
    1.15,
    1.00)</f>
        <v/>
      </c>
      <c r="Q5034">
        <f>IF('Loan Tape (S&amp;P)'!V5034="Yes",
    1.20,
    1.00)</f>
        <v/>
      </c>
      <c r="T5034">
        <f>LET(
    payment_method,'Loan Tape (S&amp;P)'!P5034,
    occupancy,'Loan Tape (S&amp;P)'!N5034,
    maturity_date,'Loan Tape (S&amp;P)'!L5034,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35">
      <c r="J5035">
        <f>LET(
    lien,'Loan Tape (S&amp;P)'!Q5035,
    IF(lien="First",1.00,
        IF(lien="Second",1.50,
            1.70)))</f>
        <v/>
      </c>
      <c r="K5035">
        <f>LET(
    purpose,'Loan Tape (S&amp;P)'!R5035,
    IF(purpose="Purchase",1.00,
        IF(purpose="Remortgage",1.00,
            1.20)))</f>
        <v/>
      </c>
      <c r="L5035">
        <f>LET(
    arrears_months,'Loan Tape (S&amp;P)'!AN5035,
    IF(arrears_months=0,1.00,
    IF(arrears_months=1,3.00,
    IF(arrears_months=2,5.00,
    IF(arrears_months=3,8.00,
    IF(arrears_months=4,10.00,
    IF(arrears_months=5,12.00,15.00)))))))</f>
        <v/>
      </c>
      <c r="M5035">
        <f>LET(
    seasoning_years,DATEDIF('Loan Tape (S&amp;P)'!K5035,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35">
        <f>IF(AND('Loan Tape (S&amp;P)'!U5035="Yes",
        'Loan Tape (S&amp;P)'!T5035&lt;&gt;"Yes",
        DATEDIF('Loan Tape (S&amp;P)'!K5035, TODAY(), "M")&lt;18),
    1.10,
    1.00)</f>
        <v/>
      </c>
      <c r="O5035">
        <f>IF('Loan Tape (S&amp;P)'!T5035="Yes",
    1.35,
    1.00)</f>
        <v/>
      </c>
      <c r="P5035">
        <f>IF('Loan Tape (S&amp;P)'!S5035="Yes",
    1.15,
    1.00)</f>
        <v/>
      </c>
      <c r="Q5035">
        <f>IF('Loan Tape (S&amp;P)'!V5035="Yes",
    1.20,
    1.00)</f>
        <v/>
      </c>
      <c r="T5035">
        <f>LET(
    payment_method,'Loan Tape (S&amp;P)'!P5035,
    occupancy,'Loan Tape (S&amp;P)'!N5035,
    maturity_date,'Loan Tape (S&amp;P)'!L5035,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36">
      <c r="J5036">
        <f>LET(
    lien,'Loan Tape (S&amp;P)'!Q5036,
    IF(lien="First",1.00,
        IF(lien="Second",1.50,
            1.70)))</f>
        <v/>
      </c>
      <c r="K5036">
        <f>LET(
    purpose,'Loan Tape (S&amp;P)'!R5036,
    IF(purpose="Purchase",1.00,
        IF(purpose="Remortgage",1.00,
            1.20)))</f>
        <v/>
      </c>
      <c r="L5036">
        <f>LET(
    arrears_months,'Loan Tape (S&amp;P)'!AN5036,
    IF(arrears_months=0,1.00,
    IF(arrears_months=1,3.00,
    IF(arrears_months=2,5.00,
    IF(arrears_months=3,8.00,
    IF(arrears_months=4,10.00,
    IF(arrears_months=5,12.00,15.00)))))))</f>
        <v/>
      </c>
      <c r="M5036">
        <f>LET(
    seasoning_years,DATEDIF('Loan Tape (S&amp;P)'!K5036,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36">
        <f>IF(AND('Loan Tape (S&amp;P)'!U5036="Yes",
        'Loan Tape (S&amp;P)'!T5036&lt;&gt;"Yes",
        DATEDIF('Loan Tape (S&amp;P)'!K5036, TODAY(), "M")&lt;18),
    1.10,
    1.00)</f>
        <v/>
      </c>
      <c r="O5036">
        <f>IF('Loan Tape (S&amp;P)'!T5036="Yes",
    1.35,
    1.00)</f>
        <v/>
      </c>
      <c r="P5036">
        <f>IF('Loan Tape (S&amp;P)'!S5036="Yes",
    1.15,
    1.00)</f>
        <v/>
      </c>
      <c r="Q5036">
        <f>IF('Loan Tape (S&amp;P)'!V5036="Yes",
    1.20,
    1.00)</f>
        <v/>
      </c>
      <c r="T5036">
        <f>LET(
    payment_method,'Loan Tape (S&amp;P)'!P5036,
    occupancy,'Loan Tape (S&amp;P)'!N5036,
    maturity_date,'Loan Tape (S&amp;P)'!L5036,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37">
      <c r="J5037">
        <f>LET(
    lien,'Loan Tape (S&amp;P)'!Q5037,
    IF(lien="First",1.00,
        IF(lien="Second",1.50,
            1.70)))</f>
        <v/>
      </c>
      <c r="K5037">
        <f>LET(
    purpose,'Loan Tape (S&amp;P)'!R5037,
    IF(purpose="Purchase",1.00,
        IF(purpose="Remortgage",1.00,
            1.20)))</f>
        <v/>
      </c>
      <c r="L5037">
        <f>LET(
    arrears_months,'Loan Tape (S&amp;P)'!AN5037,
    IF(arrears_months=0,1.00,
    IF(arrears_months=1,3.00,
    IF(arrears_months=2,5.00,
    IF(arrears_months=3,8.00,
    IF(arrears_months=4,10.00,
    IF(arrears_months=5,12.00,15.00)))))))</f>
        <v/>
      </c>
      <c r="M5037">
        <f>LET(
    seasoning_years,DATEDIF('Loan Tape (S&amp;P)'!K5037,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37">
        <f>IF(AND('Loan Tape (S&amp;P)'!U5037="Yes",
        'Loan Tape (S&amp;P)'!T5037&lt;&gt;"Yes",
        DATEDIF('Loan Tape (S&amp;P)'!K5037, TODAY(), "M")&lt;18),
    1.10,
    1.00)</f>
        <v/>
      </c>
      <c r="O5037">
        <f>IF('Loan Tape (S&amp;P)'!T5037="Yes",
    1.35,
    1.00)</f>
        <v/>
      </c>
      <c r="P5037">
        <f>IF('Loan Tape (S&amp;P)'!S5037="Yes",
    1.15,
    1.00)</f>
        <v/>
      </c>
      <c r="Q5037">
        <f>IF('Loan Tape (S&amp;P)'!V5037="Yes",
    1.20,
    1.00)</f>
        <v/>
      </c>
      <c r="T5037">
        <f>LET(
    payment_method,'Loan Tape (S&amp;P)'!P5037,
    occupancy,'Loan Tape (S&amp;P)'!N5037,
    maturity_date,'Loan Tape (S&amp;P)'!L5037,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38">
      <c r="J5038">
        <f>LET(
    lien,'Loan Tape (S&amp;P)'!Q5038,
    IF(lien="First",1.00,
        IF(lien="Second",1.50,
            1.70)))</f>
        <v/>
      </c>
      <c r="K5038">
        <f>LET(
    purpose,'Loan Tape (S&amp;P)'!R5038,
    IF(purpose="Purchase",1.00,
        IF(purpose="Remortgage",1.00,
            1.20)))</f>
        <v/>
      </c>
      <c r="L5038">
        <f>LET(
    arrears_months,'Loan Tape (S&amp;P)'!AN5038,
    IF(arrears_months=0,1.00,
    IF(arrears_months=1,3.00,
    IF(arrears_months=2,5.00,
    IF(arrears_months=3,8.00,
    IF(arrears_months=4,10.00,
    IF(arrears_months=5,12.00,15.00)))))))</f>
        <v/>
      </c>
      <c r="M5038">
        <f>LET(
    seasoning_years,DATEDIF('Loan Tape (S&amp;P)'!K5038,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38">
        <f>IF(AND('Loan Tape (S&amp;P)'!U5038="Yes",
        'Loan Tape (S&amp;P)'!T5038&lt;&gt;"Yes",
        DATEDIF('Loan Tape (S&amp;P)'!K5038, TODAY(), "M")&lt;18),
    1.10,
    1.00)</f>
        <v/>
      </c>
      <c r="O5038">
        <f>IF('Loan Tape (S&amp;P)'!T5038="Yes",
    1.35,
    1.00)</f>
        <v/>
      </c>
      <c r="P5038">
        <f>IF('Loan Tape (S&amp;P)'!S5038="Yes",
    1.15,
    1.00)</f>
        <v/>
      </c>
      <c r="Q5038">
        <f>IF('Loan Tape (S&amp;P)'!V5038="Yes",
    1.20,
    1.00)</f>
        <v/>
      </c>
      <c r="T5038">
        <f>LET(
    payment_method,'Loan Tape (S&amp;P)'!P5038,
    occupancy,'Loan Tape (S&amp;P)'!N5038,
    maturity_date,'Loan Tape (S&amp;P)'!L5038,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39">
      <c r="J5039">
        <f>LET(
    lien,'Loan Tape (S&amp;P)'!Q5039,
    IF(lien="First",1.00,
        IF(lien="Second",1.50,
            1.70)))</f>
        <v/>
      </c>
      <c r="K5039">
        <f>LET(
    purpose,'Loan Tape (S&amp;P)'!R5039,
    IF(purpose="Purchase",1.00,
        IF(purpose="Remortgage",1.00,
            1.20)))</f>
        <v/>
      </c>
      <c r="L5039">
        <f>LET(
    arrears_months,'Loan Tape (S&amp;P)'!AN5039,
    IF(arrears_months=0,1.00,
    IF(arrears_months=1,3.00,
    IF(arrears_months=2,5.00,
    IF(arrears_months=3,8.00,
    IF(arrears_months=4,10.00,
    IF(arrears_months=5,12.00,15.00)))))))</f>
        <v/>
      </c>
      <c r="M5039">
        <f>LET(
    seasoning_years,DATEDIF('Loan Tape (S&amp;P)'!K5039,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39">
        <f>IF(AND('Loan Tape (S&amp;P)'!U5039="Yes",
        'Loan Tape (S&amp;P)'!T5039&lt;&gt;"Yes",
        DATEDIF('Loan Tape (S&amp;P)'!K5039, TODAY(), "M")&lt;18),
    1.10,
    1.00)</f>
        <v/>
      </c>
      <c r="O5039">
        <f>IF('Loan Tape (S&amp;P)'!T5039="Yes",
    1.35,
    1.00)</f>
        <v/>
      </c>
      <c r="P5039">
        <f>IF('Loan Tape (S&amp;P)'!S5039="Yes",
    1.15,
    1.00)</f>
        <v/>
      </c>
      <c r="Q5039">
        <f>IF('Loan Tape (S&amp;P)'!V5039="Yes",
    1.20,
    1.00)</f>
        <v/>
      </c>
      <c r="T5039">
        <f>LET(
    payment_method,'Loan Tape (S&amp;P)'!P5039,
    occupancy,'Loan Tape (S&amp;P)'!N5039,
    maturity_date,'Loan Tape (S&amp;P)'!L5039,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40">
      <c r="J5040">
        <f>LET(
    lien,'Loan Tape (S&amp;P)'!Q5040,
    IF(lien="First",1.00,
        IF(lien="Second",1.50,
            1.70)))</f>
        <v/>
      </c>
      <c r="K5040">
        <f>LET(
    purpose,'Loan Tape (S&amp;P)'!R5040,
    IF(purpose="Purchase",1.00,
        IF(purpose="Remortgage",1.00,
            1.20)))</f>
        <v/>
      </c>
      <c r="L5040">
        <f>LET(
    arrears_months,'Loan Tape (S&amp;P)'!AN5040,
    IF(arrears_months=0,1.00,
    IF(arrears_months=1,3.00,
    IF(arrears_months=2,5.00,
    IF(arrears_months=3,8.00,
    IF(arrears_months=4,10.00,
    IF(arrears_months=5,12.00,15.00)))))))</f>
        <v/>
      </c>
      <c r="M5040">
        <f>LET(
    seasoning_years,DATEDIF('Loan Tape (S&amp;P)'!K5040,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40">
        <f>IF(AND('Loan Tape (S&amp;P)'!U5040="Yes",
        'Loan Tape (S&amp;P)'!T5040&lt;&gt;"Yes",
        DATEDIF('Loan Tape (S&amp;P)'!K5040, TODAY(), "M")&lt;18),
    1.10,
    1.00)</f>
        <v/>
      </c>
      <c r="O5040">
        <f>IF('Loan Tape (S&amp;P)'!T5040="Yes",
    1.35,
    1.00)</f>
        <v/>
      </c>
      <c r="P5040">
        <f>IF('Loan Tape (S&amp;P)'!S5040="Yes",
    1.15,
    1.00)</f>
        <v/>
      </c>
      <c r="Q5040">
        <f>IF('Loan Tape (S&amp;P)'!V5040="Yes",
    1.20,
    1.00)</f>
        <v/>
      </c>
      <c r="T5040">
        <f>LET(
    payment_method,'Loan Tape (S&amp;P)'!P5040,
    occupancy,'Loan Tape (S&amp;P)'!N5040,
    maturity_date,'Loan Tape (S&amp;P)'!L5040,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41">
      <c r="J5041">
        <f>LET(
    lien,'Loan Tape (S&amp;P)'!Q5041,
    IF(lien="First",1.00,
        IF(lien="Second",1.50,
            1.70)))</f>
        <v/>
      </c>
      <c r="K5041">
        <f>LET(
    purpose,'Loan Tape (S&amp;P)'!R5041,
    IF(purpose="Purchase",1.00,
        IF(purpose="Remortgage",1.00,
            1.20)))</f>
        <v/>
      </c>
      <c r="L5041">
        <f>LET(
    arrears_months,'Loan Tape (S&amp;P)'!AN5041,
    IF(arrears_months=0,1.00,
    IF(arrears_months=1,3.00,
    IF(arrears_months=2,5.00,
    IF(arrears_months=3,8.00,
    IF(arrears_months=4,10.00,
    IF(arrears_months=5,12.00,15.00)))))))</f>
        <v/>
      </c>
      <c r="M5041">
        <f>LET(
    seasoning_years,DATEDIF('Loan Tape (S&amp;P)'!K5041,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41">
        <f>IF(AND('Loan Tape (S&amp;P)'!U5041="Yes",
        'Loan Tape (S&amp;P)'!T5041&lt;&gt;"Yes",
        DATEDIF('Loan Tape (S&amp;P)'!K5041, TODAY(), "M")&lt;18),
    1.10,
    1.00)</f>
        <v/>
      </c>
      <c r="O5041">
        <f>IF('Loan Tape (S&amp;P)'!T5041="Yes",
    1.35,
    1.00)</f>
        <v/>
      </c>
      <c r="P5041">
        <f>IF('Loan Tape (S&amp;P)'!S5041="Yes",
    1.15,
    1.00)</f>
        <v/>
      </c>
      <c r="Q5041">
        <f>IF('Loan Tape (S&amp;P)'!V5041="Yes",
    1.20,
    1.00)</f>
        <v/>
      </c>
      <c r="T5041">
        <f>LET(
    payment_method,'Loan Tape (S&amp;P)'!P5041,
    occupancy,'Loan Tape (S&amp;P)'!N5041,
    maturity_date,'Loan Tape (S&amp;P)'!L5041,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42">
      <c r="J5042">
        <f>LET(
    lien,'Loan Tape (S&amp;P)'!Q5042,
    IF(lien="First",1.00,
        IF(lien="Second",1.50,
            1.70)))</f>
        <v/>
      </c>
      <c r="K5042">
        <f>LET(
    purpose,'Loan Tape (S&amp;P)'!R5042,
    IF(purpose="Purchase",1.00,
        IF(purpose="Remortgage",1.00,
            1.20)))</f>
        <v/>
      </c>
      <c r="L5042">
        <f>LET(
    arrears_months,'Loan Tape (S&amp;P)'!AN5042,
    IF(arrears_months=0,1.00,
    IF(arrears_months=1,3.00,
    IF(arrears_months=2,5.00,
    IF(arrears_months=3,8.00,
    IF(arrears_months=4,10.00,
    IF(arrears_months=5,12.00,15.00)))))))</f>
        <v/>
      </c>
      <c r="M5042">
        <f>LET(
    seasoning_years,DATEDIF('Loan Tape (S&amp;P)'!K5042,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42">
        <f>IF(AND('Loan Tape (S&amp;P)'!U5042="Yes",
        'Loan Tape (S&amp;P)'!T5042&lt;&gt;"Yes",
        DATEDIF('Loan Tape (S&amp;P)'!K5042, TODAY(), "M")&lt;18),
    1.10,
    1.00)</f>
        <v/>
      </c>
      <c r="O5042">
        <f>IF('Loan Tape (S&amp;P)'!T5042="Yes",
    1.35,
    1.00)</f>
        <v/>
      </c>
      <c r="P5042">
        <f>IF('Loan Tape (S&amp;P)'!S5042="Yes",
    1.15,
    1.00)</f>
        <v/>
      </c>
      <c r="Q5042">
        <f>IF('Loan Tape (S&amp;P)'!V5042="Yes",
    1.20,
    1.00)</f>
        <v/>
      </c>
      <c r="T5042">
        <f>LET(
    payment_method,'Loan Tape (S&amp;P)'!P5042,
    occupancy,'Loan Tape (S&amp;P)'!N5042,
    maturity_date,'Loan Tape (S&amp;P)'!L5042,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43">
      <c r="J5043">
        <f>LET(
    lien,'Loan Tape (S&amp;P)'!Q5043,
    IF(lien="First",1.00,
        IF(lien="Second",1.50,
            1.70)))</f>
        <v/>
      </c>
      <c r="K5043">
        <f>LET(
    purpose,'Loan Tape (S&amp;P)'!R5043,
    IF(purpose="Purchase",1.00,
        IF(purpose="Remortgage",1.00,
            1.20)))</f>
        <v/>
      </c>
      <c r="L5043">
        <f>LET(
    arrears_months,'Loan Tape (S&amp;P)'!AN5043,
    IF(arrears_months=0,1.00,
    IF(arrears_months=1,3.00,
    IF(arrears_months=2,5.00,
    IF(arrears_months=3,8.00,
    IF(arrears_months=4,10.00,
    IF(arrears_months=5,12.00,15.00)))))))</f>
        <v/>
      </c>
      <c r="M5043">
        <f>LET(
    seasoning_years,DATEDIF('Loan Tape (S&amp;P)'!K5043,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43">
        <f>IF(AND('Loan Tape (S&amp;P)'!U5043="Yes",
        'Loan Tape (S&amp;P)'!T5043&lt;&gt;"Yes",
        DATEDIF('Loan Tape (S&amp;P)'!K5043, TODAY(), "M")&lt;18),
    1.10,
    1.00)</f>
        <v/>
      </c>
      <c r="O5043">
        <f>IF('Loan Tape (S&amp;P)'!T5043="Yes",
    1.35,
    1.00)</f>
        <v/>
      </c>
      <c r="P5043">
        <f>IF('Loan Tape (S&amp;P)'!S5043="Yes",
    1.15,
    1.00)</f>
        <v/>
      </c>
      <c r="Q5043">
        <f>IF('Loan Tape (S&amp;P)'!V5043="Yes",
    1.20,
    1.00)</f>
        <v/>
      </c>
      <c r="T5043">
        <f>LET(
    payment_method,'Loan Tape (S&amp;P)'!P5043,
    occupancy,'Loan Tape (S&amp;P)'!N5043,
    maturity_date,'Loan Tape (S&amp;P)'!L5043,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44">
      <c r="J5044">
        <f>LET(
    lien,'Loan Tape (S&amp;P)'!Q5044,
    IF(lien="First",1.00,
        IF(lien="Second",1.50,
            1.70)))</f>
        <v/>
      </c>
      <c r="K5044">
        <f>LET(
    purpose,'Loan Tape (S&amp;P)'!R5044,
    IF(purpose="Purchase",1.00,
        IF(purpose="Remortgage",1.00,
            1.20)))</f>
        <v/>
      </c>
      <c r="L5044">
        <f>LET(
    arrears_months,'Loan Tape (S&amp;P)'!AN5044,
    IF(arrears_months=0,1.00,
    IF(arrears_months=1,3.00,
    IF(arrears_months=2,5.00,
    IF(arrears_months=3,8.00,
    IF(arrears_months=4,10.00,
    IF(arrears_months=5,12.00,15.00)))))))</f>
        <v/>
      </c>
      <c r="M5044">
        <f>LET(
    seasoning_years,DATEDIF('Loan Tape (S&amp;P)'!K5044,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44">
        <f>IF(AND('Loan Tape (S&amp;P)'!U5044="Yes",
        'Loan Tape (S&amp;P)'!T5044&lt;&gt;"Yes",
        DATEDIF('Loan Tape (S&amp;P)'!K5044, TODAY(), "M")&lt;18),
    1.10,
    1.00)</f>
        <v/>
      </c>
      <c r="O5044">
        <f>IF('Loan Tape (S&amp;P)'!T5044="Yes",
    1.35,
    1.00)</f>
        <v/>
      </c>
      <c r="P5044">
        <f>IF('Loan Tape (S&amp;P)'!S5044="Yes",
    1.15,
    1.00)</f>
        <v/>
      </c>
      <c r="Q5044">
        <f>IF('Loan Tape (S&amp;P)'!V5044="Yes",
    1.20,
    1.00)</f>
        <v/>
      </c>
      <c r="T5044">
        <f>LET(
    payment_method,'Loan Tape (S&amp;P)'!P5044,
    occupancy,'Loan Tape (S&amp;P)'!N5044,
    maturity_date,'Loan Tape (S&amp;P)'!L5044,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45">
      <c r="J5045">
        <f>LET(
    lien,'Loan Tape (S&amp;P)'!Q5045,
    IF(lien="First",1.00,
        IF(lien="Second",1.50,
            1.70)))</f>
        <v/>
      </c>
      <c r="K5045">
        <f>LET(
    purpose,'Loan Tape (S&amp;P)'!R5045,
    IF(purpose="Purchase",1.00,
        IF(purpose="Remortgage",1.00,
            1.20)))</f>
        <v/>
      </c>
      <c r="L5045">
        <f>LET(
    arrears_months,'Loan Tape (S&amp;P)'!AN5045,
    IF(arrears_months=0,1.00,
    IF(arrears_months=1,3.00,
    IF(arrears_months=2,5.00,
    IF(arrears_months=3,8.00,
    IF(arrears_months=4,10.00,
    IF(arrears_months=5,12.00,15.00)))))))</f>
        <v/>
      </c>
      <c r="M5045">
        <f>LET(
    seasoning_years,DATEDIF('Loan Tape (S&amp;P)'!K5045,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45">
        <f>IF(AND('Loan Tape (S&amp;P)'!U5045="Yes",
        'Loan Tape (S&amp;P)'!T5045&lt;&gt;"Yes",
        DATEDIF('Loan Tape (S&amp;P)'!K5045, TODAY(), "M")&lt;18),
    1.10,
    1.00)</f>
        <v/>
      </c>
      <c r="O5045">
        <f>IF('Loan Tape (S&amp;P)'!T5045="Yes",
    1.35,
    1.00)</f>
        <v/>
      </c>
      <c r="P5045">
        <f>IF('Loan Tape (S&amp;P)'!S5045="Yes",
    1.15,
    1.00)</f>
        <v/>
      </c>
      <c r="Q5045">
        <f>IF('Loan Tape (S&amp;P)'!V5045="Yes",
    1.20,
    1.00)</f>
        <v/>
      </c>
      <c r="T5045">
        <f>LET(
    payment_method,'Loan Tape (S&amp;P)'!P5045,
    occupancy,'Loan Tape (S&amp;P)'!N5045,
    maturity_date,'Loan Tape (S&amp;P)'!L5045,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46">
      <c r="J5046">
        <f>LET(
    lien,'Loan Tape (S&amp;P)'!Q5046,
    IF(lien="First",1.00,
        IF(lien="Second",1.50,
            1.70)))</f>
        <v/>
      </c>
      <c r="K5046">
        <f>LET(
    purpose,'Loan Tape (S&amp;P)'!R5046,
    IF(purpose="Purchase",1.00,
        IF(purpose="Remortgage",1.00,
            1.20)))</f>
        <v/>
      </c>
      <c r="L5046">
        <f>LET(
    arrears_months,'Loan Tape (S&amp;P)'!AN5046,
    IF(arrears_months=0,1.00,
    IF(arrears_months=1,3.00,
    IF(arrears_months=2,5.00,
    IF(arrears_months=3,8.00,
    IF(arrears_months=4,10.00,
    IF(arrears_months=5,12.00,15.00)))))))</f>
        <v/>
      </c>
      <c r="M5046">
        <f>LET(
    seasoning_years,DATEDIF('Loan Tape (S&amp;P)'!K5046,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46">
        <f>IF(AND('Loan Tape (S&amp;P)'!U5046="Yes",
        'Loan Tape (S&amp;P)'!T5046&lt;&gt;"Yes",
        DATEDIF('Loan Tape (S&amp;P)'!K5046, TODAY(), "M")&lt;18),
    1.10,
    1.00)</f>
        <v/>
      </c>
      <c r="O5046">
        <f>IF('Loan Tape (S&amp;P)'!T5046="Yes",
    1.35,
    1.00)</f>
        <v/>
      </c>
      <c r="P5046">
        <f>IF('Loan Tape (S&amp;P)'!S5046="Yes",
    1.15,
    1.00)</f>
        <v/>
      </c>
      <c r="Q5046">
        <f>IF('Loan Tape (S&amp;P)'!V5046="Yes",
    1.20,
    1.00)</f>
        <v/>
      </c>
      <c r="T5046">
        <f>LET(
    payment_method,'Loan Tape (S&amp;P)'!P5046,
    occupancy,'Loan Tape (S&amp;P)'!N5046,
    maturity_date,'Loan Tape (S&amp;P)'!L5046,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47">
      <c r="J5047">
        <f>LET(
    lien,'Loan Tape (S&amp;P)'!Q5047,
    IF(lien="First",1.00,
        IF(lien="Second",1.50,
            1.70)))</f>
        <v/>
      </c>
      <c r="K5047">
        <f>LET(
    purpose,'Loan Tape (S&amp;P)'!R5047,
    IF(purpose="Purchase",1.00,
        IF(purpose="Remortgage",1.00,
            1.20)))</f>
        <v/>
      </c>
      <c r="L5047">
        <f>LET(
    arrears_months,'Loan Tape (S&amp;P)'!AN5047,
    IF(arrears_months=0,1.00,
    IF(arrears_months=1,3.00,
    IF(arrears_months=2,5.00,
    IF(arrears_months=3,8.00,
    IF(arrears_months=4,10.00,
    IF(arrears_months=5,12.00,15.00)))))))</f>
        <v/>
      </c>
      <c r="M5047">
        <f>LET(
    seasoning_years,DATEDIF('Loan Tape (S&amp;P)'!K5047,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47">
        <f>IF(AND('Loan Tape (S&amp;P)'!U5047="Yes",
        'Loan Tape (S&amp;P)'!T5047&lt;&gt;"Yes",
        DATEDIF('Loan Tape (S&amp;P)'!K5047, TODAY(), "M")&lt;18),
    1.10,
    1.00)</f>
        <v/>
      </c>
      <c r="O5047">
        <f>IF('Loan Tape (S&amp;P)'!T5047="Yes",
    1.35,
    1.00)</f>
        <v/>
      </c>
      <c r="P5047">
        <f>IF('Loan Tape (S&amp;P)'!S5047="Yes",
    1.15,
    1.00)</f>
        <v/>
      </c>
      <c r="Q5047">
        <f>IF('Loan Tape (S&amp;P)'!V5047="Yes",
    1.20,
    1.00)</f>
        <v/>
      </c>
      <c r="T5047">
        <f>LET(
    payment_method,'Loan Tape (S&amp;P)'!P5047,
    occupancy,'Loan Tape (S&amp;P)'!N5047,
    maturity_date,'Loan Tape (S&amp;P)'!L5047,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48">
      <c r="J5048">
        <f>LET(
    lien,'Loan Tape (S&amp;P)'!Q5048,
    IF(lien="First",1.00,
        IF(lien="Second",1.50,
            1.70)))</f>
        <v/>
      </c>
      <c r="K5048">
        <f>LET(
    purpose,'Loan Tape (S&amp;P)'!R5048,
    IF(purpose="Purchase",1.00,
        IF(purpose="Remortgage",1.00,
            1.20)))</f>
        <v/>
      </c>
      <c r="L5048">
        <f>LET(
    arrears_months,'Loan Tape (S&amp;P)'!AN5048,
    IF(arrears_months=0,1.00,
    IF(arrears_months=1,3.00,
    IF(arrears_months=2,5.00,
    IF(arrears_months=3,8.00,
    IF(arrears_months=4,10.00,
    IF(arrears_months=5,12.00,15.00)))))))</f>
        <v/>
      </c>
      <c r="M5048">
        <f>LET(
    seasoning_years,DATEDIF('Loan Tape (S&amp;P)'!K5048,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48">
        <f>IF(AND('Loan Tape (S&amp;P)'!U5048="Yes",
        'Loan Tape (S&amp;P)'!T5048&lt;&gt;"Yes",
        DATEDIF('Loan Tape (S&amp;P)'!K5048, TODAY(), "M")&lt;18),
    1.10,
    1.00)</f>
        <v/>
      </c>
      <c r="O5048">
        <f>IF('Loan Tape (S&amp;P)'!T5048="Yes",
    1.35,
    1.00)</f>
        <v/>
      </c>
      <c r="P5048">
        <f>IF('Loan Tape (S&amp;P)'!S5048="Yes",
    1.15,
    1.00)</f>
        <v/>
      </c>
      <c r="Q5048">
        <f>IF('Loan Tape (S&amp;P)'!V5048="Yes",
    1.20,
    1.00)</f>
        <v/>
      </c>
      <c r="T5048">
        <f>LET(
    payment_method,'Loan Tape (S&amp;P)'!P5048,
    occupancy,'Loan Tape (S&amp;P)'!N5048,
    maturity_date,'Loan Tape (S&amp;P)'!L5048,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49">
      <c r="J5049">
        <f>LET(
    lien,'Loan Tape (S&amp;P)'!Q5049,
    IF(lien="First",1.00,
        IF(lien="Second",1.50,
            1.70)))</f>
        <v/>
      </c>
      <c r="K5049">
        <f>LET(
    purpose,'Loan Tape (S&amp;P)'!R5049,
    IF(purpose="Purchase",1.00,
        IF(purpose="Remortgage",1.00,
            1.20)))</f>
        <v/>
      </c>
      <c r="L5049">
        <f>LET(
    arrears_months,'Loan Tape (S&amp;P)'!AN5049,
    IF(arrears_months=0,1.00,
    IF(arrears_months=1,3.00,
    IF(arrears_months=2,5.00,
    IF(arrears_months=3,8.00,
    IF(arrears_months=4,10.00,
    IF(arrears_months=5,12.00,15.00)))))))</f>
        <v/>
      </c>
      <c r="M5049">
        <f>LET(
    seasoning_years,DATEDIF('Loan Tape (S&amp;P)'!K5049,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49">
        <f>IF(AND('Loan Tape (S&amp;P)'!U5049="Yes",
        'Loan Tape (S&amp;P)'!T5049&lt;&gt;"Yes",
        DATEDIF('Loan Tape (S&amp;P)'!K5049, TODAY(), "M")&lt;18),
    1.10,
    1.00)</f>
        <v/>
      </c>
      <c r="O5049">
        <f>IF('Loan Tape (S&amp;P)'!T5049="Yes",
    1.35,
    1.00)</f>
        <v/>
      </c>
      <c r="P5049">
        <f>IF('Loan Tape (S&amp;P)'!S5049="Yes",
    1.15,
    1.00)</f>
        <v/>
      </c>
      <c r="Q5049">
        <f>IF('Loan Tape (S&amp;P)'!V5049="Yes",
    1.20,
    1.00)</f>
        <v/>
      </c>
      <c r="T5049">
        <f>LET(
    payment_method,'Loan Tape (S&amp;P)'!P5049,
    occupancy,'Loan Tape (S&amp;P)'!N5049,
    maturity_date,'Loan Tape (S&amp;P)'!L5049,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50">
      <c r="J5050">
        <f>LET(
    lien,'Loan Tape (S&amp;P)'!Q5050,
    IF(lien="First",1.00,
        IF(lien="Second",1.50,
            1.70)))</f>
        <v/>
      </c>
      <c r="K5050">
        <f>LET(
    purpose,'Loan Tape (S&amp;P)'!R5050,
    IF(purpose="Purchase",1.00,
        IF(purpose="Remortgage",1.00,
            1.20)))</f>
        <v/>
      </c>
      <c r="L5050">
        <f>LET(
    arrears_months,'Loan Tape (S&amp;P)'!AN5050,
    IF(arrears_months=0,1.00,
    IF(arrears_months=1,3.00,
    IF(arrears_months=2,5.00,
    IF(arrears_months=3,8.00,
    IF(arrears_months=4,10.00,
    IF(arrears_months=5,12.00,15.00)))))))</f>
        <v/>
      </c>
      <c r="M5050">
        <f>LET(
    seasoning_years,DATEDIF('Loan Tape (S&amp;P)'!K5050,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50">
        <f>IF(AND('Loan Tape (S&amp;P)'!U5050="Yes",
        'Loan Tape (S&amp;P)'!T5050&lt;&gt;"Yes",
        DATEDIF('Loan Tape (S&amp;P)'!K5050, TODAY(), "M")&lt;18),
    1.10,
    1.00)</f>
        <v/>
      </c>
      <c r="O5050">
        <f>IF('Loan Tape (S&amp;P)'!T5050="Yes",
    1.35,
    1.00)</f>
        <v/>
      </c>
      <c r="P5050">
        <f>IF('Loan Tape (S&amp;P)'!S5050="Yes",
    1.15,
    1.00)</f>
        <v/>
      </c>
      <c r="Q5050">
        <f>IF('Loan Tape (S&amp;P)'!V5050="Yes",
    1.20,
    1.00)</f>
        <v/>
      </c>
      <c r="T5050">
        <f>LET(
    payment_method,'Loan Tape (S&amp;P)'!P5050,
    occupancy,'Loan Tape (S&amp;P)'!N5050,
    maturity_date,'Loan Tape (S&amp;P)'!L5050,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51">
      <c r="J5051">
        <f>LET(
    lien,'Loan Tape (S&amp;P)'!Q5051,
    IF(lien="First",1.00,
        IF(lien="Second",1.50,
            1.70)))</f>
        <v/>
      </c>
      <c r="K5051">
        <f>LET(
    purpose,'Loan Tape (S&amp;P)'!R5051,
    IF(purpose="Purchase",1.00,
        IF(purpose="Remortgage",1.00,
            1.20)))</f>
        <v/>
      </c>
      <c r="L5051">
        <f>LET(
    arrears_months,'Loan Tape (S&amp;P)'!AN5051,
    IF(arrears_months=0,1.00,
    IF(arrears_months=1,3.00,
    IF(arrears_months=2,5.00,
    IF(arrears_months=3,8.00,
    IF(arrears_months=4,10.00,
    IF(arrears_months=5,12.00,15.00)))))))</f>
        <v/>
      </c>
      <c r="M5051">
        <f>LET(
    seasoning_years,DATEDIF('Loan Tape (S&amp;P)'!K5051,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51">
        <f>IF(AND('Loan Tape (S&amp;P)'!U5051="Yes",
        'Loan Tape (S&amp;P)'!T5051&lt;&gt;"Yes",
        DATEDIF('Loan Tape (S&amp;P)'!K5051, TODAY(), "M")&lt;18),
    1.10,
    1.00)</f>
        <v/>
      </c>
      <c r="O5051">
        <f>IF('Loan Tape (S&amp;P)'!T5051="Yes",
    1.35,
    1.00)</f>
        <v/>
      </c>
      <c r="P5051">
        <f>IF('Loan Tape (S&amp;P)'!S5051="Yes",
    1.15,
    1.00)</f>
        <v/>
      </c>
      <c r="Q5051">
        <f>IF('Loan Tape (S&amp;P)'!V5051="Yes",
    1.20,
    1.00)</f>
        <v/>
      </c>
      <c r="T5051">
        <f>LET(
    payment_method,'Loan Tape (S&amp;P)'!P5051,
    occupancy,'Loan Tape (S&amp;P)'!N5051,
    maturity_date,'Loan Tape (S&amp;P)'!L5051,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52">
      <c r="J5052">
        <f>LET(
    lien,'Loan Tape (S&amp;P)'!Q5052,
    IF(lien="First",1.00,
        IF(lien="Second",1.50,
            1.70)))</f>
        <v/>
      </c>
      <c r="K5052">
        <f>LET(
    purpose,'Loan Tape (S&amp;P)'!R5052,
    IF(purpose="Purchase",1.00,
        IF(purpose="Remortgage",1.00,
            1.20)))</f>
        <v/>
      </c>
      <c r="L5052">
        <f>LET(
    arrears_months,'Loan Tape (S&amp;P)'!AN5052,
    IF(arrears_months=0,1.00,
    IF(arrears_months=1,3.00,
    IF(arrears_months=2,5.00,
    IF(arrears_months=3,8.00,
    IF(arrears_months=4,10.00,
    IF(arrears_months=5,12.00,15.00)))))))</f>
        <v/>
      </c>
      <c r="M5052">
        <f>LET(
    seasoning_years,DATEDIF('Loan Tape (S&amp;P)'!K5052,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52">
        <f>IF(AND('Loan Tape (S&amp;P)'!U5052="Yes",
        'Loan Tape (S&amp;P)'!T5052&lt;&gt;"Yes",
        DATEDIF('Loan Tape (S&amp;P)'!K5052, TODAY(), "M")&lt;18),
    1.10,
    1.00)</f>
        <v/>
      </c>
      <c r="O5052">
        <f>IF('Loan Tape (S&amp;P)'!T5052="Yes",
    1.35,
    1.00)</f>
        <v/>
      </c>
      <c r="P5052">
        <f>IF('Loan Tape (S&amp;P)'!S5052="Yes",
    1.15,
    1.00)</f>
        <v/>
      </c>
      <c r="Q5052">
        <f>IF('Loan Tape (S&amp;P)'!V5052="Yes",
    1.20,
    1.00)</f>
        <v/>
      </c>
      <c r="T5052">
        <f>LET(
    payment_method,'Loan Tape (S&amp;P)'!P5052,
    occupancy,'Loan Tape (S&amp;P)'!N5052,
    maturity_date,'Loan Tape (S&amp;P)'!L5052,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53">
      <c r="J5053">
        <f>LET(
    lien,'Loan Tape (S&amp;P)'!Q5053,
    IF(lien="First",1.00,
        IF(lien="Second",1.50,
            1.70)))</f>
        <v/>
      </c>
      <c r="K5053">
        <f>LET(
    purpose,'Loan Tape (S&amp;P)'!R5053,
    IF(purpose="Purchase",1.00,
        IF(purpose="Remortgage",1.00,
            1.20)))</f>
        <v/>
      </c>
      <c r="L5053">
        <f>LET(
    arrears_months,'Loan Tape (S&amp;P)'!AN5053,
    IF(arrears_months=0,1.00,
    IF(arrears_months=1,3.00,
    IF(arrears_months=2,5.00,
    IF(arrears_months=3,8.00,
    IF(arrears_months=4,10.00,
    IF(arrears_months=5,12.00,15.00)))))))</f>
        <v/>
      </c>
      <c r="M5053">
        <f>LET(
    seasoning_years,DATEDIF('Loan Tape (S&amp;P)'!K5053,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53">
        <f>IF(AND('Loan Tape (S&amp;P)'!U5053="Yes",
        'Loan Tape (S&amp;P)'!T5053&lt;&gt;"Yes",
        DATEDIF('Loan Tape (S&amp;P)'!K5053, TODAY(), "M")&lt;18),
    1.10,
    1.00)</f>
        <v/>
      </c>
      <c r="O5053">
        <f>IF('Loan Tape (S&amp;P)'!T5053="Yes",
    1.35,
    1.00)</f>
        <v/>
      </c>
      <c r="P5053">
        <f>IF('Loan Tape (S&amp;P)'!S5053="Yes",
    1.15,
    1.00)</f>
        <v/>
      </c>
      <c r="Q5053">
        <f>IF('Loan Tape (S&amp;P)'!V5053="Yes",
    1.20,
    1.00)</f>
        <v/>
      </c>
      <c r="T5053">
        <f>LET(
    payment_method,'Loan Tape (S&amp;P)'!P5053,
    occupancy,'Loan Tape (S&amp;P)'!N5053,
    maturity_date,'Loan Tape (S&amp;P)'!L5053,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54">
      <c r="J5054">
        <f>LET(
    lien,'Loan Tape (S&amp;P)'!Q5054,
    IF(lien="First",1.00,
        IF(lien="Second",1.50,
            1.70)))</f>
        <v/>
      </c>
      <c r="K5054">
        <f>LET(
    purpose,'Loan Tape (S&amp;P)'!R5054,
    IF(purpose="Purchase",1.00,
        IF(purpose="Remortgage",1.00,
            1.20)))</f>
        <v/>
      </c>
      <c r="L5054">
        <f>LET(
    arrears_months,'Loan Tape (S&amp;P)'!AN5054,
    IF(arrears_months=0,1.00,
    IF(arrears_months=1,3.00,
    IF(arrears_months=2,5.00,
    IF(arrears_months=3,8.00,
    IF(arrears_months=4,10.00,
    IF(arrears_months=5,12.00,15.00)))))))</f>
        <v/>
      </c>
      <c r="M5054">
        <f>LET(
    seasoning_years,DATEDIF('Loan Tape (S&amp;P)'!K5054,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54">
        <f>IF(AND('Loan Tape (S&amp;P)'!U5054="Yes",
        'Loan Tape (S&amp;P)'!T5054&lt;&gt;"Yes",
        DATEDIF('Loan Tape (S&amp;P)'!K5054, TODAY(), "M")&lt;18),
    1.10,
    1.00)</f>
        <v/>
      </c>
      <c r="O5054">
        <f>IF('Loan Tape (S&amp;P)'!T5054="Yes",
    1.35,
    1.00)</f>
        <v/>
      </c>
      <c r="P5054">
        <f>IF('Loan Tape (S&amp;P)'!S5054="Yes",
    1.15,
    1.00)</f>
        <v/>
      </c>
      <c r="Q5054">
        <f>IF('Loan Tape (S&amp;P)'!V5054="Yes",
    1.20,
    1.00)</f>
        <v/>
      </c>
      <c r="T5054">
        <f>LET(
    payment_method,'Loan Tape (S&amp;P)'!P5054,
    occupancy,'Loan Tape (S&amp;P)'!N5054,
    maturity_date,'Loan Tape (S&amp;P)'!L5054,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55">
      <c r="J5055">
        <f>LET(
    lien,'Loan Tape (S&amp;P)'!Q5055,
    IF(lien="First",1.00,
        IF(lien="Second",1.50,
            1.70)))</f>
        <v/>
      </c>
      <c r="K5055">
        <f>LET(
    purpose,'Loan Tape (S&amp;P)'!R5055,
    IF(purpose="Purchase",1.00,
        IF(purpose="Remortgage",1.00,
            1.20)))</f>
        <v/>
      </c>
      <c r="L5055">
        <f>LET(
    arrears_months,'Loan Tape (S&amp;P)'!AN5055,
    IF(arrears_months=0,1.00,
    IF(arrears_months=1,3.00,
    IF(arrears_months=2,5.00,
    IF(arrears_months=3,8.00,
    IF(arrears_months=4,10.00,
    IF(arrears_months=5,12.00,15.00)))))))</f>
        <v/>
      </c>
      <c r="M5055">
        <f>LET(
    seasoning_years,DATEDIF('Loan Tape (S&amp;P)'!K5055,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55">
        <f>IF(AND('Loan Tape (S&amp;P)'!U5055="Yes",
        'Loan Tape (S&amp;P)'!T5055&lt;&gt;"Yes",
        DATEDIF('Loan Tape (S&amp;P)'!K5055, TODAY(), "M")&lt;18),
    1.10,
    1.00)</f>
        <v/>
      </c>
      <c r="O5055">
        <f>IF('Loan Tape (S&amp;P)'!T5055="Yes",
    1.35,
    1.00)</f>
        <v/>
      </c>
      <c r="P5055">
        <f>IF('Loan Tape (S&amp;P)'!S5055="Yes",
    1.15,
    1.00)</f>
        <v/>
      </c>
      <c r="Q5055">
        <f>IF('Loan Tape (S&amp;P)'!V5055="Yes",
    1.20,
    1.00)</f>
        <v/>
      </c>
      <c r="T5055">
        <f>LET(
    payment_method,'Loan Tape (S&amp;P)'!P5055,
    occupancy,'Loan Tape (S&amp;P)'!N5055,
    maturity_date,'Loan Tape (S&amp;P)'!L5055,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56">
      <c r="J5056">
        <f>LET(
    lien,'Loan Tape (S&amp;P)'!Q5056,
    IF(lien="First",1.00,
        IF(lien="Second",1.50,
            1.70)))</f>
        <v/>
      </c>
      <c r="K5056">
        <f>LET(
    purpose,'Loan Tape (S&amp;P)'!R5056,
    IF(purpose="Purchase",1.00,
        IF(purpose="Remortgage",1.00,
            1.20)))</f>
        <v/>
      </c>
      <c r="L5056">
        <f>LET(
    arrears_months,'Loan Tape (S&amp;P)'!AN5056,
    IF(arrears_months=0,1.00,
    IF(arrears_months=1,3.00,
    IF(arrears_months=2,5.00,
    IF(arrears_months=3,8.00,
    IF(arrears_months=4,10.00,
    IF(arrears_months=5,12.00,15.00)))))))</f>
        <v/>
      </c>
      <c r="M5056">
        <f>LET(
    seasoning_years,DATEDIF('Loan Tape (S&amp;P)'!K5056,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56">
        <f>IF(AND('Loan Tape (S&amp;P)'!U5056="Yes",
        'Loan Tape (S&amp;P)'!T5056&lt;&gt;"Yes",
        DATEDIF('Loan Tape (S&amp;P)'!K5056, TODAY(), "M")&lt;18),
    1.10,
    1.00)</f>
        <v/>
      </c>
      <c r="O5056">
        <f>IF('Loan Tape (S&amp;P)'!T5056="Yes",
    1.35,
    1.00)</f>
        <v/>
      </c>
      <c r="P5056">
        <f>IF('Loan Tape (S&amp;P)'!S5056="Yes",
    1.15,
    1.00)</f>
        <v/>
      </c>
      <c r="Q5056">
        <f>IF('Loan Tape (S&amp;P)'!V5056="Yes",
    1.20,
    1.00)</f>
        <v/>
      </c>
      <c r="T5056">
        <f>LET(
    payment_method,'Loan Tape (S&amp;P)'!P5056,
    occupancy,'Loan Tape (S&amp;P)'!N5056,
    maturity_date,'Loan Tape (S&amp;P)'!L5056,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57">
      <c r="J5057">
        <f>LET(
    lien,'Loan Tape (S&amp;P)'!Q5057,
    IF(lien="First",1.00,
        IF(lien="Second",1.50,
            1.70)))</f>
        <v/>
      </c>
      <c r="K5057">
        <f>LET(
    purpose,'Loan Tape (S&amp;P)'!R5057,
    IF(purpose="Purchase",1.00,
        IF(purpose="Remortgage",1.00,
            1.20)))</f>
        <v/>
      </c>
      <c r="L5057">
        <f>LET(
    arrears_months,'Loan Tape (S&amp;P)'!AN5057,
    IF(arrears_months=0,1.00,
    IF(arrears_months=1,3.00,
    IF(arrears_months=2,5.00,
    IF(arrears_months=3,8.00,
    IF(arrears_months=4,10.00,
    IF(arrears_months=5,12.00,15.00)))))))</f>
        <v/>
      </c>
      <c r="M5057">
        <f>LET(
    seasoning_years,DATEDIF('Loan Tape (S&amp;P)'!K5057,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57">
        <f>IF(AND('Loan Tape (S&amp;P)'!U5057="Yes",
        'Loan Tape (S&amp;P)'!T5057&lt;&gt;"Yes",
        DATEDIF('Loan Tape (S&amp;P)'!K5057, TODAY(), "M")&lt;18),
    1.10,
    1.00)</f>
        <v/>
      </c>
      <c r="O5057">
        <f>IF('Loan Tape (S&amp;P)'!T5057="Yes",
    1.35,
    1.00)</f>
        <v/>
      </c>
      <c r="P5057">
        <f>IF('Loan Tape (S&amp;P)'!S5057="Yes",
    1.15,
    1.00)</f>
        <v/>
      </c>
      <c r="Q5057">
        <f>IF('Loan Tape (S&amp;P)'!V5057="Yes",
    1.20,
    1.00)</f>
        <v/>
      </c>
      <c r="T5057">
        <f>LET(
    payment_method,'Loan Tape (S&amp;P)'!P5057,
    occupancy,'Loan Tape (S&amp;P)'!N5057,
    maturity_date,'Loan Tape (S&amp;P)'!L5057,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58">
      <c r="J5058">
        <f>LET(
    lien,'Loan Tape (S&amp;P)'!Q5058,
    IF(lien="First",1.00,
        IF(lien="Second",1.50,
            1.70)))</f>
        <v/>
      </c>
      <c r="K5058">
        <f>LET(
    purpose,'Loan Tape (S&amp;P)'!R5058,
    IF(purpose="Purchase",1.00,
        IF(purpose="Remortgage",1.00,
            1.20)))</f>
        <v/>
      </c>
      <c r="L5058">
        <f>LET(
    arrears_months,'Loan Tape (S&amp;P)'!AN5058,
    IF(arrears_months=0,1.00,
    IF(arrears_months=1,3.00,
    IF(arrears_months=2,5.00,
    IF(arrears_months=3,8.00,
    IF(arrears_months=4,10.00,
    IF(arrears_months=5,12.00,15.00)))))))</f>
        <v/>
      </c>
      <c r="M5058">
        <f>LET(
    seasoning_years,DATEDIF('Loan Tape (S&amp;P)'!K5058,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58">
        <f>IF(AND('Loan Tape (S&amp;P)'!U5058="Yes",
        'Loan Tape (S&amp;P)'!T5058&lt;&gt;"Yes",
        DATEDIF('Loan Tape (S&amp;P)'!K5058, TODAY(), "M")&lt;18),
    1.10,
    1.00)</f>
        <v/>
      </c>
      <c r="O5058">
        <f>IF('Loan Tape (S&amp;P)'!T5058="Yes",
    1.35,
    1.00)</f>
        <v/>
      </c>
      <c r="P5058">
        <f>IF('Loan Tape (S&amp;P)'!S5058="Yes",
    1.15,
    1.00)</f>
        <v/>
      </c>
      <c r="Q5058">
        <f>IF('Loan Tape (S&amp;P)'!V5058="Yes",
    1.20,
    1.00)</f>
        <v/>
      </c>
      <c r="T5058">
        <f>LET(
    payment_method,'Loan Tape (S&amp;P)'!P5058,
    occupancy,'Loan Tape (S&amp;P)'!N5058,
    maturity_date,'Loan Tape (S&amp;P)'!L5058,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59">
      <c r="J5059">
        <f>LET(
    lien,'Loan Tape (S&amp;P)'!Q5059,
    IF(lien="First",1.00,
        IF(lien="Second",1.50,
            1.70)))</f>
        <v/>
      </c>
      <c r="K5059">
        <f>LET(
    purpose,'Loan Tape (S&amp;P)'!R5059,
    IF(purpose="Purchase",1.00,
        IF(purpose="Remortgage",1.00,
            1.20)))</f>
        <v/>
      </c>
      <c r="L5059">
        <f>LET(
    arrears_months,'Loan Tape (S&amp;P)'!AN5059,
    IF(arrears_months=0,1.00,
    IF(arrears_months=1,3.00,
    IF(arrears_months=2,5.00,
    IF(arrears_months=3,8.00,
    IF(arrears_months=4,10.00,
    IF(arrears_months=5,12.00,15.00)))))))</f>
        <v/>
      </c>
      <c r="M5059">
        <f>LET(
    seasoning_years,DATEDIF('Loan Tape (S&amp;P)'!K5059,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59">
        <f>IF(AND('Loan Tape (S&amp;P)'!U5059="Yes",
        'Loan Tape (S&amp;P)'!T5059&lt;&gt;"Yes",
        DATEDIF('Loan Tape (S&amp;P)'!K5059, TODAY(), "M")&lt;18),
    1.10,
    1.00)</f>
        <v/>
      </c>
      <c r="O5059">
        <f>IF('Loan Tape (S&amp;P)'!T5059="Yes",
    1.35,
    1.00)</f>
        <v/>
      </c>
      <c r="P5059">
        <f>IF('Loan Tape (S&amp;P)'!S5059="Yes",
    1.15,
    1.00)</f>
        <v/>
      </c>
      <c r="Q5059">
        <f>IF('Loan Tape (S&amp;P)'!V5059="Yes",
    1.20,
    1.00)</f>
        <v/>
      </c>
      <c r="T5059">
        <f>LET(
    payment_method,'Loan Tape (S&amp;P)'!P5059,
    occupancy,'Loan Tape (S&amp;P)'!N5059,
    maturity_date,'Loan Tape (S&amp;P)'!L5059,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60">
      <c r="J5060">
        <f>LET(
    lien,'Loan Tape (S&amp;P)'!Q5060,
    IF(lien="First",1.00,
        IF(lien="Second",1.50,
            1.70)))</f>
        <v/>
      </c>
      <c r="K5060">
        <f>LET(
    purpose,'Loan Tape (S&amp;P)'!R5060,
    IF(purpose="Purchase",1.00,
        IF(purpose="Remortgage",1.00,
            1.20)))</f>
        <v/>
      </c>
      <c r="L5060">
        <f>LET(
    arrears_months,'Loan Tape (S&amp;P)'!AN5060,
    IF(arrears_months=0,1.00,
    IF(arrears_months=1,3.00,
    IF(arrears_months=2,5.00,
    IF(arrears_months=3,8.00,
    IF(arrears_months=4,10.00,
    IF(arrears_months=5,12.00,15.00)))))))</f>
        <v/>
      </c>
      <c r="M5060">
        <f>LET(
    seasoning_years,DATEDIF('Loan Tape (S&amp;P)'!K5060,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60">
        <f>IF(AND('Loan Tape (S&amp;P)'!U5060="Yes",
        'Loan Tape (S&amp;P)'!T5060&lt;&gt;"Yes",
        DATEDIF('Loan Tape (S&amp;P)'!K5060, TODAY(), "M")&lt;18),
    1.10,
    1.00)</f>
        <v/>
      </c>
      <c r="O5060">
        <f>IF('Loan Tape (S&amp;P)'!T5060="Yes",
    1.35,
    1.00)</f>
        <v/>
      </c>
      <c r="P5060">
        <f>IF('Loan Tape (S&amp;P)'!S5060="Yes",
    1.15,
    1.00)</f>
        <v/>
      </c>
      <c r="Q5060">
        <f>IF('Loan Tape (S&amp;P)'!V5060="Yes",
    1.20,
    1.00)</f>
        <v/>
      </c>
      <c r="T5060">
        <f>LET(
    payment_method,'Loan Tape (S&amp;P)'!P5060,
    occupancy,'Loan Tape (S&amp;P)'!N5060,
    maturity_date,'Loan Tape (S&amp;P)'!L5060,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61">
      <c r="J5061">
        <f>LET(
    lien,'Loan Tape (S&amp;P)'!Q5061,
    IF(lien="First",1.00,
        IF(lien="Second",1.50,
            1.70)))</f>
        <v/>
      </c>
      <c r="K5061">
        <f>LET(
    purpose,'Loan Tape (S&amp;P)'!R5061,
    IF(purpose="Purchase",1.00,
        IF(purpose="Remortgage",1.00,
            1.20)))</f>
        <v/>
      </c>
      <c r="L5061">
        <f>LET(
    arrears_months,'Loan Tape (S&amp;P)'!AN5061,
    IF(arrears_months=0,1.00,
    IF(arrears_months=1,3.00,
    IF(arrears_months=2,5.00,
    IF(arrears_months=3,8.00,
    IF(arrears_months=4,10.00,
    IF(arrears_months=5,12.00,15.00)))))))</f>
        <v/>
      </c>
      <c r="M5061">
        <f>LET(
    seasoning_years,DATEDIF('Loan Tape (S&amp;P)'!K5061,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61">
        <f>IF(AND('Loan Tape (S&amp;P)'!U5061="Yes",
        'Loan Tape (S&amp;P)'!T5061&lt;&gt;"Yes",
        DATEDIF('Loan Tape (S&amp;P)'!K5061, TODAY(), "M")&lt;18),
    1.10,
    1.00)</f>
        <v/>
      </c>
      <c r="O5061">
        <f>IF('Loan Tape (S&amp;P)'!T5061="Yes",
    1.35,
    1.00)</f>
        <v/>
      </c>
      <c r="P5061">
        <f>IF('Loan Tape (S&amp;P)'!S5061="Yes",
    1.15,
    1.00)</f>
        <v/>
      </c>
      <c r="Q5061">
        <f>IF('Loan Tape (S&amp;P)'!V5061="Yes",
    1.20,
    1.00)</f>
        <v/>
      </c>
      <c r="T5061">
        <f>LET(
    payment_method,'Loan Tape (S&amp;P)'!P5061,
    occupancy,'Loan Tape (S&amp;P)'!N5061,
    maturity_date,'Loan Tape (S&amp;P)'!L5061,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62">
      <c r="J5062">
        <f>LET(
    lien,'Loan Tape (S&amp;P)'!Q5062,
    IF(lien="First",1.00,
        IF(lien="Second",1.50,
            1.70)))</f>
        <v/>
      </c>
      <c r="K5062">
        <f>LET(
    purpose,'Loan Tape (S&amp;P)'!R5062,
    IF(purpose="Purchase",1.00,
        IF(purpose="Remortgage",1.00,
            1.20)))</f>
        <v/>
      </c>
      <c r="L5062">
        <f>LET(
    arrears_months,'Loan Tape (S&amp;P)'!AN5062,
    IF(arrears_months=0,1.00,
    IF(arrears_months=1,3.00,
    IF(arrears_months=2,5.00,
    IF(arrears_months=3,8.00,
    IF(arrears_months=4,10.00,
    IF(arrears_months=5,12.00,15.00)))))))</f>
        <v/>
      </c>
      <c r="M5062">
        <f>LET(
    seasoning_years,DATEDIF('Loan Tape (S&amp;P)'!K5062,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62">
        <f>IF(AND('Loan Tape (S&amp;P)'!U5062="Yes",
        'Loan Tape (S&amp;P)'!T5062&lt;&gt;"Yes",
        DATEDIF('Loan Tape (S&amp;P)'!K5062, TODAY(), "M")&lt;18),
    1.10,
    1.00)</f>
        <v/>
      </c>
      <c r="O5062">
        <f>IF('Loan Tape (S&amp;P)'!T5062="Yes",
    1.35,
    1.00)</f>
        <v/>
      </c>
      <c r="P5062">
        <f>IF('Loan Tape (S&amp;P)'!S5062="Yes",
    1.15,
    1.00)</f>
        <v/>
      </c>
      <c r="Q5062">
        <f>IF('Loan Tape (S&amp;P)'!V5062="Yes",
    1.20,
    1.00)</f>
        <v/>
      </c>
      <c r="T5062">
        <f>LET(
    payment_method,'Loan Tape (S&amp;P)'!P5062,
    occupancy,'Loan Tape (S&amp;P)'!N5062,
    maturity_date,'Loan Tape (S&amp;P)'!L5062,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63">
      <c r="J5063">
        <f>LET(
    lien,'Loan Tape (S&amp;P)'!Q5063,
    IF(lien="First",1.00,
        IF(lien="Second",1.50,
            1.70)))</f>
        <v/>
      </c>
      <c r="K5063">
        <f>LET(
    purpose,'Loan Tape (S&amp;P)'!R5063,
    IF(purpose="Purchase",1.00,
        IF(purpose="Remortgage",1.00,
            1.20)))</f>
        <v/>
      </c>
      <c r="L5063">
        <f>LET(
    arrears_months,'Loan Tape (S&amp;P)'!AN5063,
    IF(arrears_months=0,1.00,
    IF(arrears_months=1,3.00,
    IF(arrears_months=2,5.00,
    IF(arrears_months=3,8.00,
    IF(arrears_months=4,10.00,
    IF(arrears_months=5,12.00,15.00)))))))</f>
        <v/>
      </c>
      <c r="M5063">
        <f>LET(
    seasoning_years,DATEDIF('Loan Tape (S&amp;P)'!K5063,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63">
        <f>IF(AND('Loan Tape (S&amp;P)'!U5063="Yes",
        'Loan Tape (S&amp;P)'!T5063&lt;&gt;"Yes",
        DATEDIF('Loan Tape (S&amp;P)'!K5063, TODAY(), "M")&lt;18),
    1.10,
    1.00)</f>
        <v/>
      </c>
      <c r="O5063">
        <f>IF('Loan Tape (S&amp;P)'!T5063="Yes",
    1.35,
    1.00)</f>
        <v/>
      </c>
      <c r="P5063">
        <f>IF('Loan Tape (S&amp;P)'!S5063="Yes",
    1.15,
    1.00)</f>
        <v/>
      </c>
      <c r="Q5063">
        <f>IF('Loan Tape (S&amp;P)'!V5063="Yes",
    1.20,
    1.00)</f>
        <v/>
      </c>
      <c r="T5063">
        <f>LET(
    payment_method,'Loan Tape (S&amp;P)'!P5063,
    occupancy,'Loan Tape (S&amp;P)'!N5063,
    maturity_date,'Loan Tape (S&amp;P)'!L5063,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64">
      <c r="J5064">
        <f>LET(
    lien,'Loan Tape (S&amp;P)'!Q5064,
    IF(lien="First",1.00,
        IF(lien="Second",1.50,
            1.70)))</f>
        <v/>
      </c>
      <c r="K5064">
        <f>LET(
    purpose,'Loan Tape (S&amp;P)'!R5064,
    IF(purpose="Purchase",1.00,
        IF(purpose="Remortgage",1.00,
            1.20)))</f>
        <v/>
      </c>
      <c r="L5064">
        <f>LET(
    arrears_months,'Loan Tape (S&amp;P)'!AN5064,
    IF(arrears_months=0,1.00,
    IF(arrears_months=1,3.00,
    IF(arrears_months=2,5.00,
    IF(arrears_months=3,8.00,
    IF(arrears_months=4,10.00,
    IF(arrears_months=5,12.00,15.00)))))))</f>
        <v/>
      </c>
      <c r="M5064">
        <f>LET(
    seasoning_years,DATEDIF('Loan Tape (S&amp;P)'!K5064,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64">
        <f>IF(AND('Loan Tape (S&amp;P)'!U5064="Yes",
        'Loan Tape (S&amp;P)'!T5064&lt;&gt;"Yes",
        DATEDIF('Loan Tape (S&amp;P)'!K5064, TODAY(), "M")&lt;18),
    1.10,
    1.00)</f>
        <v/>
      </c>
      <c r="O5064">
        <f>IF('Loan Tape (S&amp;P)'!T5064="Yes",
    1.35,
    1.00)</f>
        <v/>
      </c>
      <c r="P5064">
        <f>IF('Loan Tape (S&amp;P)'!S5064="Yes",
    1.15,
    1.00)</f>
        <v/>
      </c>
      <c r="Q5064">
        <f>IF('Loan Tape (S&amp;P)'!V5064="Yes",
    1.20,
    1.00)</f>
        <v/>
      </c>
      <c r="T5064">
        <f>LET(
    payment_method,'Loan Tape (S&amp;P)'!P5064,
    occupancy,'Loan Tape (S&amp;P)'!N5064,
    maturity_date,'Loan Tape (S&amp;P)'!L5064,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65">
      <c r="J5065">
        <f>LET(
    lien,'Loan Tape (S&amp;P)'!Q5065,
    IF(lien="First",1.00,
        IF(lien="Second",1.50,
            1.70)))</f>
        <v/>
      </c>
      <c r="K5065">
        <f>LET(
    purpose,'Loan Tape (S&amp;P)'!R5065,
    IF(purpose="Purchase",1.00,
        IF(purpose="Remortgage",1.00,
            1.20)))</f>
        <v/>
      </c>
      <c r="L5065">
        <f>LET(
    arrears_months,'Loan Tape (S&amp;P)'!AN5065,
    IF(arrears_months=0,1.00,
    IF(arrears_months=1,3.00,
    IF(arrears_months=2,5.00,
    IF(arrears_months=3,8.00,
    IF(arrears_months=4,10.00,
    IF(arrears_months=5,12.00,15.00)))))))</f>
        <v/>
      </c>
      <c r="M5065">
        <f>LET(
    seasoning_years,DATEDIF('Loan Tape (S&amp;P)'!K5065,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65">
        <f>IF(AND('Loan Tape (S&amp;P)'!U5065="Yes",
        'Loan Tape (S&amp;P)'!T5065&lt;&gt;"Yes",
        DATEDIF('Loan Tape (S&amp;P)'!K5065, TODAY(), "M")&lt;18),
    1.10,
    1.00)</f>
        <v/>
      </c>
      <c r="O5065">
        <f>IF('Loan Tape (S&amp;P)'!T5065="Yes",
    1.35,
    1.00)</f>
        <v/>
      </c>
      <c r="P5065">
        <f>IF('Loan Tape (S&amp;P)'!S5065="Yes",
    1.15,
    1.00)</f>
        <v/>
      </c>
      <c r="Q5065">
        <f>IF('Loan Tape (S&amp;P)'!V5065="Yes",
    1.20,
    1.00)</f>
        <v/>
      </c>
      <c r="T5065">
        <f>LET(
    payment_method,'Loan Tape (S&amp;P)'!P5065,
    occupancy,'Loan Tape (S&amp;P)'!N5065,
    maturity_date,'Loan Tape (S&amp;P)'!L5065,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66">
      <c r="J5066">
        <f>LET(
    lien,'Loan Tape (S&amp;P)'!Q5066,
    IF(lien="First",1.00,
        IF(lien="Second",1.50,
            1.70)))</f>
        <v/>
      </c>
      <c r="K5066">
        <f>LET(
    purpose,'Loan Tape (S&amp;P)'!R5066,
    IF(purpose="Purchase",1.00,
        IF(purpose="Remortgage",1.00,
            1.20)))</f>
        <v/>
      </c>
      <c r="L5066">
        <f>LET(
    arrears_months,'Loan Tape (S&amp;P)'!AN5066,
    IF(arrears_months=0,1.00,
    IF(arrears_months=1,3.00,
    IF(arrears_months=2,5.00,
    IF(arrears_months=3,8.00,
    IF(arrears_months=4,10.00,
    IF(arrears_months=5,12.00,15.00)))))))</f>
        <v/>
      </c>
      <c r="M5066">
        <f>LET(
    seasoning_years,DATEDIF('Loan Tape (S&amp;P)'!K5066,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66">
        <f>IF(AND('Loan Tape (S&amp;P)'!U5066="Yes",
        'Loan Tape (S&amp;P)'!T5066&lt;&gt;"Yes",
        DATEDIF('Loan Tape (S&amp;P)'!K5066, TODAY(), "M")&lt;18),
    1.10,
    1.00)</f>
        <v/>
      </c>
      <c r="O5066">
        <f>IF('Loan Tape (S&amp;P)'!T5066="Yes",
    1.35,
    1.00)</f>
        <v/>
      </c>
      <c r="P5066">
        <f>IF('Loan Tape (S&amp;P)'!S5066="Yes",
    1.15,
    1.00)</f>
        <v/>
      </c>
      <c r="Q5066">
        <f>IF('Loan Tape (S&amp;P)'!V5066="Yes",
    1.20,
    1.00)</f>
        <v/>
      </c>
      <c r="T5066">
        <f>LET(
    payment_method,'Loan Tape (S&amp;P)'!P5066,
    occupancy,'Loan Tape (S&amp;P)'!N5066,
    maturity_date,'Loan Tape (S&amp;P)'!L5066,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67">
      <c r="J5067">
        <f>LET(
    lien,'Loan Tape (S&amp;P)'!Q5067,
    IF(lien="First",1.00,
        IF(lien="Second",1.50,
            1.70)))</f>
        <v/>
      </c>
      <c r="K5067">
        <f>LET(
    purpose,'Loan Tape (S&amp;P)'!R5067,
    IF(purpose="Purchase",1.00,
        IF(purpose="Remortgage",1.00,
            1.20)))</f>
        <v/>
      </c>
      <c r="L5067">
        <f>LET(
    arrears_months,'Loan Tape (S&amp;P)'!AN5067,
    IF(arrears_months=0,1.00,
    IF(arrears_months=1,3.00,
    IF(arrears_months=2,5.00,
    IF(arrears_months=3,8.00,
    IF(arrears_months=4,10.00,
    IF(arrears_months=5,12.00,15.00)))))))</f>
        <v/>
      </c>
      <c r="M5067">
        <f>LET(
    seasoning_years,DATEDIF('Loan Tape (S&amp;P)'!K5067,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67">
        <f>IF(AND('Loan Tape (S&amp;P)'!U5067="Yes",
        'Loan Tape (S&amp;P)'!T5067&lt;&gt;"Yes",
        DATEDIF('Loan Tape (S&amp;P)'!K5067, TODAY(), "M")&lt;18),
    1.10,
    1.00)</f>
        <v/>
      </c>
      <c r="O5067">
        <f>IF('Loan Tape (S&amp;P)'!T5067="Yes",
    1.35,
    1.00)</f>
        <v/>
      </c>
      <c r="P5067">
        <f>IF('Loan Tape (S&amp;P)'!S5067="Yes",
    1.15,
    1.00)</f>
        <v/>
      </c>
      <c r="Q5067">
        <f>IF('Loan Tape (S&amp;P)'!V5067="Yes",
    1.20,
    1.00)</f>
        <v/>
      </c>
      <c r="T5067">
        <f>LET(
    payment_method,'Loan Tape (S&amp;P)'!P5067,
    occupancy,'Loan Tape (S&amp;P)'!N5067,
    maturity_date,'Loan Tape (S&amp;P)'!L5067,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68">
      <c r="J5068">
        <f>LET(
    lien,'Loan Tape (S&amp;P)'!Q5068,
    IF(lien="First",1.00,
        IF(lien="Second",1.50,
            1.70)))</f>
        <v/>
      </c>
      <c r="K5068">
        <f>LET(
    purpose,'Loan Tape (S&amp;P)'!R5068,
    IF(purpose="Purchase",1.00,
        IF(purpose="Remortgage",1.00,
            1.20)))</f>
        <v/>
      </c>
      <c r="L5068">
        <f>LET(
    arrears_months,'Loan Tape (S&amp;P)'!AN5068,
    IF(arrears_months=0,1.00,
    IF(arrears_months=1,3.00,
    IF(arrears_months=2,5.00,
    IF(arrears_months=3,8.00,
    IF(arrears_months=4,10.00,
    IF(arrears_months=5,12.00,15.00)))))))</f>
        <v/>
      </c>
      <c r="M5068">
        <f>LET(
    seasoning_years,DATEDIF('Loan Tape (S&amp;P)'!K5068,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68">
        <f>IF(AND('Loan Tape (S&amp;P)'!U5068="Yes",
        'Loan Tape (S&amp;P)'!T5068&lt;&gt;"Yes",
        DATEDIF('Loan Tape (S&amp;P)'!K5068, TODAY(), "M")&lt;18),
    1.10,
    1.00)</f>
        <v/>
      </c>
      <c r="O5068">
        <f>IF('Loan Tape (S&amp;P)'!T5068="Yes",
    1.35,
    1.00)</f>
        <v/>
      </c>
      <c r="P5068">
        <f>IF('Loan Tape (S&amp;P)'!S5068="Yes",
    1.15,
    1.00)</f>
        <v/>
      </c>
      <c r="Q5068">
        <f>IF('Loan Tape (S&amp;P)'!V5068="Yes",
    1.20,
    1.00)</f>
        <v/>
      </c>
      <c r="T5068">
        <f>LET(
    payment_method,'Loan Tape (S&amp;P)'!P5068,
    occupancy,'Loan Tape (S&amp;P)'!N5068,
    maturity_date,'Loan Tape (S&amp;P)'!L5068,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69">
      <c r="J5069">
        <f>LET(
    lien,'Loan Tape (S&amp;P)'!Q5069,
    IF(lien="First",1.00,
        IF(lien="Second",1.50,
            1.70)))</f>
        <v/>
      </c>
      <c r="K5069">
        <f>LET(
    purpose,'Loan Tape (S&amp;P)'!R5069,
    IF(purpose="Purchase",1.00,
        IF(purpose="Remortgage",1.00,
            1.20)))</f>
        <v/>
      </c>
      <c r="L5069">
        <f>LET(
    arrears_months,'Loan Tape (S&amp;P)'!AN5069,
    IF(arrears_months=0,1.00,
    IF(arrears_months=1,3.00,
    IF(arrears_months=2,5.00,
    IF(arrears_months=3,8.00,
    IF(arrears_months=4,10.00,
    IF(arrears_months=5,12.00,15.00)))))))</f>
        <v/>
      </c>
      <c r="M5069">
        <f>LET(
    seasoning_years,DATEDIF('Loan Tape (S&amp;P)'!K5069,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69">
        <f>IF(AND('Loan Tape (S&amp;P)'!U5069="Yes",
        'Loan Tape (S&amp;P)'!T5069&lt;&gt;"Yes",
        DATEDIF('Loan Tape (S&amp;P)'!K5069, TODAY(), "M")&lt;18),
    1.10,
    1.00)</f>
        <v/>
      </c>
      <c r="O5069">
        <f>IF('Loan Tape (S&amp;P)'!T5069="Yes",
    1.35,
    1.00)</f>
        <v/>
      </c>
      <c r="P5069">
        <f>IF('Loan Tape (S&amp;P)'!S5069="Yes",
    1.15,
    1.00)</f>
        <v/>
      </c>
      <c r="Q5069">
        <f>IF('Loan Tape (S&amp;P)'!V5069="Yes",
    1.20,
    1.00)</f>
        <v/>
      </c>
      <c r="T5069">
        <f>LET(
    payment_method,'Loan Tape (S&amp;P)'!P5069,
    occupancy,'Loan Tape (S&amp;P)'!N5069,
    maturity_date,'Loan Tape (S&amp;P)'!L5069,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70">
      <c r="J5070">
        <f>LET(
    lien,'Loan Tape (S&amp;P)'!Q5070,
    IF(lien="First",1.00,
        IF(lien="Second",1.50,
            1.70)))</f>
        <v/>
      </c>
      <c r="K5070">
        <f>LET(
    purpose,'Loan Tape (S&amp;P)'!R5070,
    IF(purpose="Purchase",1.00,
        IF(purpose="Remortgage",1.00,
            1.20)))</f>
        <v/>
      </c>
      <c r="L5070">
        <f>LET(
    arrears_months,'Loan Tape (S&amp;P)'!AN5070,
    IF(arrears_months=0,1.00,
    IF(arrears_months=1,3.00,
    IF(arrears_months=2,5.00,
    IF(arrears_months=3,8.00,
    IF(arrears_months=4,10.00,
    IF(arrears_months=5,12.00,15.00)))))))</f>
        <v/>
      </c>
      <c r="M5070">
        <f>LET(
    seasoning_years,DATEDIF('Loan Tape (S&amp;P)'!K5070,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70">
        <f>IF(AND('Loan Tape (S&amp;P)'!U5070="Yes",
        'Loan Tape (S&amp;P)'!T5070&lt;&gt;"Yes",
        DATEDIF('Loan Tape (S&amp;P)'!K5070, TODAY(), "M")&lt;18),
    1.10,
    1.00)</f>
        <v/>
      </c>
      <c r="O5070">
        <f>IF('Loan Tape (S&amp;P)'!T5070="Yes",
    1.35,
    1.00)</f>
        <v/>
      </c>
      <c r="P5070">
        <f>IF('Loan Tape (S&amp;P)'!S5070="Yes",
    1.15,
    1.00)</f>
        <v/>
      </c>
      <c r="Q5070">
        <f>IF('Loan Tape (S&amp;P)'!V5070="Yes",
    1.20,
    1.00)</f>
        <v/>
      </c>
      <c r="T5070">
        <f>LET(
    payment_method,'Loan Tape (S&amp;P)'!P5070,
    occupancy,'Loan Tape (S&amp;P)'!N5070,
    maturity_date,'Loan Tape (S&amp;P)'!L5070,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71">
      <c r="J5071">
        <f>LET(
    lien,'Loan Tape (S&amp;P)'!Q5071,
    IF(lien="First",1.00,
        IF(lien="Second",1.50,
            1.70)))</f>
        <v/>
      </c>
      <c r="K5071">
        <f>LET(
    purpose,'Loan Tape (S&amp;P)'!R5071,
    IF(purpose="Purchase",1.00,
        IF(purpose="Remortgage",1.00,
            1.20)))</f>
        <v/>
      </c>
      <c r="L5071">
        <f>LET(
    arrears_months,'Loan Tape (S&amp;P)'!AN5071,
    IF(arrears_months=0,1.00,
    IF(arrears_months=1,3.00,
    IF(arrears_months=2,5.00,
    IF(arrears_months=3,8.00,
    IF(arrears_months=4,10.00,
    IF(arrears_months=5,12.00,15.00)))))))</f>
        <v/>
      </c>
      <c r="M5071">
        <f>LET(
    seasoning_years,DATEDIF('Loan Tape (S&amp;P)'!K5071,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71">
        <f>IF(AND('Loan Tape (S&amp;P)'!U5071="Yes",
        'Loan Tape (S&amp;P)'!T5071&lt;&gt;"Yes",
        DATEDIF('Loan Tape (S&amp;P)'!K5071, TODAY(), "M")&lt;18),
    1.10,
    1.00)</f>
        <v/>
      </c>
      <c r="O5071">
        <f>IF('Loan Tape (S&amp;P)'!T5071="Yes",
    1.35,
    1.00)</f>
        <v/>
      </c>
      <c r="P5071">
        <f>IF('Loan Tape (S&amp;P)'!S5071="Yes",
    1.15,
    1.00)</f>
        <v/>
      </c>
      <c r="Q5071">
        <f>IF('Loan Tape (S&amp;P)'!V5071="Yes",
    1.20,
    1.00)</f>
        <v/>
      </c>
      <c r="T5071">
        <f>LET(
    payment_method,'Loan Tape (S&amp;P)'!P5071,
    occupancy,'Loan Tape (S&amp;P)'!N5071,
    maturity_date,'Loan Tape (S&amp;P)'!L5071,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72">
      <c r="J5072">
        <f>LET(
    lien,'Loan Tape (S&amp;P)'!Q5072,
    IF(lien="First",1.00,
        IF(lien="Second",1.50,
            1.70)))</f>
        <v/>
      </c>
      <c r="K5072">
        <f>LET(
    purpose,'Loan Tape (S&amp;P)'!R5072,
    IF(purpose="Purchase",1.00,
        IF(purpose="Remortgage",1.00,
            1.20)))</f>
        <v/>
      </c>
      <c r="L5072">
        <f>LET(
    arrears_months,'Loan Tape (S&amp;P)'!AN5072,
    IF(arrears_months=0,1.00,
    IF(arrears_months=1,3.00,
    IF(arrears_months=2,5.00,
    IF(arrears_months=3,8.00,
    IF(arrears_months=4,10.00,
    IF(arrears_months=5,12.00,15.00)))))))</f>
        <v/>
      </c>
      <c r="M5072">
        <f>LET(
    seasoning_years,DATEDIF('Loan Tape (S&amp;P)'!K5072,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72">
        <f>IF(AND('Loan Tape (S&amp;P)'!U5072="Yes",
        'Loan Tape (S&amp;P)'!T5072&lt;&gt;"Yes",
        DATEDIF('Loan Tape (S&amp;P)'!K5072, TODAY(), "M")&lt;18),
    1.10,
    1.00)</f>
        <v/>
      </c>
      <c r="O5072">
        <f>IF('Loan Tape (S&amp;P)'!T5072="Yes",
    1.35,
    1.00)</f>
        <v/>
      </c>
      <c r="P5072">
        <f>IF('Loan Tape (S&amp;P)'!S5072="Yes",
    1.15,
    1.00)</f>
        <v/>
      </c>
      <c r="Q5072">
        <f>IF('Loan Tape (S&amp;P)'!V5072="Yes",
    1.20,
    1.00)</f>
        <v/>
      </c>
      <c r="T5072">
        <f>LET(
    payment_method,'Loan Tape (S&amp;P)'!P5072,
    occupancy,'Loan Tape (S&amp;P)'!N5072,
    maturity_date,'Loan Tape (S&amp;P)'!L5072,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73">
      <c r="J5073">
        <f>LET(
    lien,'Loan Tape (S&amp;P)'!Q5073,
    IF(lien="First",1.00,
        IF(lien="Second",1.50,
            1.70)))</f>
        <v/>
      </c>
      <c r="K5073">
        <f>LET(
    purpose,'Loan Tape (S&amp;P)'!R5073,
    IF(purpose="Purchase",1.00,
        IF(purpose="Remortgage",1.00,
            1.20)))</f>
        <v/>
      </c>
      <c r="L5073">
        <f>LET(
    arrears_months,'Loan Tape (S&amp;P)'!AN5073,
    IF(arrears_months=0,1.00,
    IF(arrears_months=1,3.00,
    IF(arrears_months=2,5.00,
    IF(arrears_months=3,8.00,
    IF(arrears_months=4,10.00,
    IF(arrears_months=5,12.00,15.00)))))))</f>
        <v/>
      </c>
      <c r="M5073">
        <f>LET(
    seasoning_years,DATEDIF('Loan Tape (S&amp;P)'!K5073,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73">
        <f>IF(AND('Loan Tape (S&amp;P)'!U5073="Yes",
        'Loan Tape (S&amp;P)'!T5073&lt;&gt;"Yes",
        DATEDIF('Loan Tape (S&amp;P)'!K5073, TODAY(), "M")&lt;18),
    1.10,
    1.00)</f>
        <v/>
      </c>
      <c r="O5073">
        <f>IF('Loan Tape (S&amp;P)'!T5073="Yes",
    1.35,
    1.00)</f>
        <v/>
      </c>
      <c r="P5073">
        <f>IF('Loan Tape (S&amp;P)'!S5073="Yes",
    1.15,
    1.00)</f>
        <v/>
      </c>
      <c r="Q5073">
        <f>IF('Loan Tape (S&amp;P)'!V5073="Yes",
    1.20,
    1.00)</f>
        <v/>
      </c>
      <c r="T5073">
        <f>LET(
    payment_method,'Loan Tape (S&amp;P)'!P5073,
    occupancy,'Loan Tape (S&amp;P)'!N5073,
    maturity_date,'Loan Tape (S&amp;P)'!L5073,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74">
      <c r="J5074">
        <f>LET(
    lien,'Loan Tape (S&amp;P)'!Q5074,
    IF(lien="First",1.00,
        IF(lien="Second",1.50,
            1.70)))</f>
        <v/>
      </c>
      <c r="K5074">
        <f>LET(
    purpose,'Loan Tape (S&amp;P)'!R5074,
    IF(purpose="Purchase",1.00,
        IF(purpose="Remortgage",1.00,
            1.20)))</f>
        <v/>
      </c>
      <c r="L5074">
        <f>LET(
    arrears_months,'Loan Tape (S&amp;P)'!AN5074,
    IF(arrears_months=0,1.00,
    IF(arrears_months=1,3.00,
    IF(arrears_months=2,5.00,
    IF(arrears_months=3,8.00,
    IF(arrears_months=4,10.00,
    IF(arrears_months=5,12.00,15.00)))))))</f>
        <v/>
      </c>
      <c r="M5074">
        <f>LET(
    seasoning_years,DATEDIF('Loan Tape (S&amp;P)'!K5074,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74">
        <f>IF(AND('Loan Tape (S&amp;P)'!U5074="Yes",
        'Loan Tape (S&amp;P)'!T5074&lt;&gt;"Yes",
        DATEDIF('Loan Tape (S&amp;P)'!K5074, TODAY(), "M")&lt;18),
    1.10,
    1.00)</f>
        <v/>
      </c>
      <c r="O5074">
        <f>IF('Loan Tape (S&amp;P)'!T5074="Yes",
    1.35,
    1.00)</f>
        <v/>
      </c>
      <c r="P5074">
        <f>IF('Loan Tape (S&amp;P)'!S5074="Yes",
    1.15,
    1.00)</f>
        <v/>
      </c>
      <c r="Q5074">
        <f>IF('Loan Tape (S&amp;P)'!V5074="Yes",
    1.20,
    1.00)</f>
        <v/>
      </c>
      <c r="T5074">
        <f>LET(
    payment_method,'Loan Tape (S&amp;P)'!P5074,
    occupancy,'Loan Tape (S&amp;P)'!N5074,
    maturity_date,'Loan Tape (S&amp;P)'!L5074,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75">
      <c r="J5075">
        <f>LET(
    lien,'Loan Tape (S&amp;P)'!Q5075,
    IF(lien="First",1.00,
        IF(lien="Second",1.50,
            1.70)))</f>
        <v/>
      </c>
      <c r="K5075">
        <f>LET(
    purpose,'Loan Tape (S&amp;P)'!R5075,
    IF(purpose="Purchase",1.00,
        IF(purpose="Remortgage",1.00,
            1.20)))</f>
        <v/>
      </c>
      <c r="L5075">
        <f>LET(
    arrears_months,'Loan Tape (S&amp;P)'!AN5075,
    IF(arrears_months=0,1.00,
    IF(arrears_months=1,3.00,
    IF(arrears_months=2,5.00,
    IF(arrears_months=3,8.00,
    IF(arrears_months=4,10.00,
    IF(arrears_months=5,12.00,15.00)))))))</f>
        <v/>
      </c>
      <c r="M5075">
        <f>LET(
    seasoning_years,DATEDIF('Loan Tape (S&amp;P)'!K5075,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75">
        <f>IF(AND('Loan Tape (S&amp;P)'!U5075="Yes",
        'Loan Tape (S&amp;P)'!T5075&lt;&gt;"Yes",
        DATEDIF('Loan Tape (S&amp;P)'!K5075, TODAY(), "M")&lt;18),
    1.10,
    1.00)</f>
        <v/>
      </c>
      <c r="O5075">
        <f>IF('Loan Tape (S&amp;P)'!T5075="Yes",
    1.35,
    1.00)</f>
        <v/>
      </c>
      <c r="P5075">
        <f>IF('Loan Tape (S&amp;P)'!S5075="Yes",
    1.15,
    1.00)</f>
        <v/>
      </c>
      <c r="Q5075">
        <f>IF('Loan Tape (S&amp;P)'!V5075="Yes",
    1.20,
    1.00)</f>
        <v/>
      </c>
      <c r="T5075">
        <f>LET(
    payment_method,'Loan Tape (S&amp;P)'!P5075,
    occupancy,'Loan Tape (S&amp;P)'!N5075,
    maturity_date,'Loan Tape (S&amp;P)'!L5075,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76">
      <c r="J5076">
        <f>LET(
    lien,'Loan Tape (S&amp;P)'!Q5076,
    IF(lien="First",1.00,
        IF(lien="Second",1.50,
            1.70)))</f>
        <v/>
      </c>
      <c r="K5076">
        <f>LET(
    purpose,'Loan Tape (S&amp;P)'!R5076,
    IF(purpose="Purchase",1.00,
        IF(purpose="Remortgage",1.00,
            1.20)))</f>
        <v/>
      </c>
      <c r="L5076">
        <f>LET(
    arrears_months,'Loan Tape (S&amp;P)'!AN5076,
    IF(arrears_months=0,1.00,
    IF(arrears_months=1,3.00,
    IF(arrears_months=2,5.00,
    IF(arrears_months=3,8.00,
    IF(arrears_months=4,10.00,
    IF(arrears_months=5,12.00,15.00)))))))</f>
        <v/>
      </c>
      <c r="M5076">
        <f>LET(
    seasoning_years,DATEDIF('Loan Tape (S&amp;P)'!K5076,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76">
        <f>IF(AND('Loan Tape (S&amp;P)'!U5076="Yes",
        'Loan Tape (S&amp;P)'!T5076&lt;&gt;"Yes",
        DATEDIF('Loan Tape (S&amp;P)'!K5076, TODAY(), "M")&lt;18),
    1.10,
    1.00)</f>
        <v/>
      </c>
      <c r="O5076">
        <f>IF('Loan Tape (S&amp;P)'!T5076="Yes",
    1.35,
    1.00)</f>
        <v/>
      </c>
      <c r="P5076">
        <f>IF('Loan Tape (S&amp;P)'!S5076="Yes",
    1.15,
    1.00)</f>
        <v/>
      </c>
      <c r="Q5076">
        <f>IF('Loan Tape (S&amp;P)'!V5076="Yes",
    1.20,
    1.00)</f>
        <v/>
      </c>
      <c r="T5076">
        <f>LET(
    payment_method,'Loan Tape (S&amp;P)'!P5076,
    occupancy,'Loan Tape (S&amp;P)'!N5076,
    maturity_date,'Loan Tape (S&amp;P)'!L5076,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77">
      <c r="J5077">
        <f>LET(
    lien,'Loan Tape (S&amp;P)'!Q5077,
    IF(lien="First",1.00,
        IF(lien="Second",1.50,
            1.70)))</f>
        <v/>
      </c>
      <c r="K5077">
        <f>LET(
    purpose,'Loan Tape (S&amp;P)'!R5077,
    IF(purpose="Purchase",1.00,
        IF(purpose="Remortgage",1.00,
            1.20)))</f>
        <v/>
      </c>
      <c r="L5077">
        <f>LET(
    arrears_months,'Loan Tape (S&amp;P)'!AN5077,
    IF(arrears_months=0,1.00,
    IF(arrears_months=1,3.00,
    IF(arrears_months=2,5.00,
    IF(arrears_months=3,8.00,
    IF(arrears_months=4,10.00,
    IF(arrears_months=5,12.00,15.00)))))))</f>
        <v/>
      </c>
      <c r="M5077">
        <f>LET(
    seasoning_years,DATEDIF('Loan Tape (S&amp;P)'!K5077,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77">
        <f>IF(AND('Loan Tape (S&amp;P)'!U5077="Yes",
        'Loan Tape (S&amp;P)'!T5077&lt;&gt;"Yes",
        DATEDIF('Loan Tape (S&amp;P)'!K5077, TODAY(), "M")&lt;18),
    1.10,
    1.00)</f>
        <v/>
      </c>
      <c r="O5077">
        <f>IF('Loan Tape (S&amp;P)'!T5077="Yes",
    1.35,
    1.00)</f>
        <v/>
      </c>
      <c r="P5077">
        <f>IF('Loan Tape (S&amp;P)'!S5077="Yes",
    1.15,
    1.00)</f>
        <v/>
      </c>
      <c r="Q5077">
        <f>IF('Loan Tape (S&amp;P)'!V5077="Yes",
    1.20,
    1.00)</f>
        <v/>
      </c>
      <c r="T5077">
        <f>LET(
    payment_method,'Loan Tape (S&amp;P)'!P5077,
    occupancy,'Loan Tape (S&amp;P)'!N5077,
    maturity_date,'Loan Tape (S&amp;P)'!L5077,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78">
      <c r="J5078">
        <f>LET(
    lien,'Loan Tape (S&amp;P)'!Q5078,
    IF(lien="First",1.00,
        IF(lien="Second",1.50,
            1.70)))</f>
        <v/>
      </c>
      <c r="K5078">
        <f>LET(
    purpose,'Loan Tape (S&amp;P)'!R5078,
    IF(purpose="Purchase",1.00,
        IF(purpose="Remortgage",1.00,
            1.20)))</f>
        <v/>
      </c>
      <c r="L5078">
        <f>LET(
    arrears_months,'Loan Tape (S&amp;P)'!AN5078,
    IF(arrears_months=0,1.00,
    IF(arrears_months=1,3.00,
    IF(arrears_months=2,5.00,
    IF(arrears_months=3,8.00,
    IF(arrears_months=4,10.00,
    IF(arrears_months=5,12.00,15.00)))))))</f>
        <v/>
      </c>
      <c r="M5078">
        <f>LET(
    seasoning_years,DATEDIF('Loan Tape (S&amp;P)'!K5078,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78">
        <f>IF(AND('Loan Tape (S&amp;P)'!U5078="Yes",
        'Loan Tape (S&amp;P)'!T5078&lt;&gt;"Yes",
        DATEDIF('Loan Tape (S&amp;P)'!K5078, TODAY(), "M")&lt;18),
    1.10,
    1.00)</f>
        <v/>
      </c>
      <c r="O5078">
        <f>IF('Loan Tape (S&amp;P)'!T5078="Yes",
    1.35,
    1.00)</f>
        <v/>
      </c>
      <c r="P5078">
        <f>IF('Loan Tape (S&amp;P)'!S5078="Yes",
    1.15,
    1.00)</f>
        <v/>
      </c>
      <c r="Q5078">
        <f>IF('Loan Tape (S&amp;P)'!V5078="Yes",
    1.20,
    1.00)</f>
        <v/>
      </c>
      <c r="T5078">
        <f>LET(
    payment_method,'Loan Tape (S&amp;P)'!P5078,
    occupancy,'Loan Tape (S&amp;P)'!N5078,
    maturity_date,'Loan Tape (S&amp;P)'!L5078,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79">
      <c r="J5079">
        <f>LET(
    lien,'Loan Tape (S&amp;P)'!Q5079,
    IF(lien="First",1.00,
        IF(lien="Second",1.50,
            1.70)))</f>
        <v/>
      </c>
      <c r="K5079">
        <f>LET(
    purpose,'Loan Tape (S&amp;P)'!R5079,
    IF(purpose="Purchase",1.00,
        IF(purpose="Remortgage",1.00,
            1.20)))</f>
        <v/>
      </c>
      <c r="L5079">
        <f>LET(
    arrears_months,'Loan Tape (S&amp;P)'!AN5079,
    IF(arrears_months=0,1.00,
    IF(arrears_months=1,3.00,
    IF(arrears_months=2,5.00,
    IF(arrears_months=3,8.00,
    IF(arrears_months=4,10.00,
    IF(arrears_months=5,12.00,15.00)))))))</f>
        <v/>
      </c>
      <c r="M5079">
        <f>LET(
    seasoning_years,DATEDIF('Loan Tape (S&amp;P)'!K5079,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79">
        <f>IF(AND('Loan Tape (S&amp;P)'!U5079="Yes",
        'Loan Tape (S&amp;P)'!T5079&lt;&gt;"Yes",
        DATEDIF('Loan Tape (S&amp;P)'!K5079, TODAY(), "M")&lt;18),
    1.10,
    1.00)</f>
        <v/>
      </c>
      <c r="O5079">
        <f>IF('Loan Tape (S&amp;P)'!T5079="Yes",
    1.35,
    1.00)</f>
        <v/>
      </c>
      <c r="P5079">
        <f>IF('Loan Tape (S&amp;P)'!S5079="Yes",
    1.15,
    1.00)</f>
        <v/>
      </c>
      <c r="Q5079">
        <f>IF('Loan Tape (S&amp;P)'!V5079="Yes",
    1.20,
    1.00)</f>
        <v/>
      </c>
      <c r="T5079">
        <f>LET(
    payment_method,'Loan Tape (S&amp;P)'!P5079,
    occupancy,'Loan Tape (S&amp;P)'!N5079,
    maturity_date,'Loan Tape (S&amp;P)'!L5079,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80">
      <c r="J5080">
        <f>LET(
    lien,'Loan Tape (S&amp;P)'!Q5080,
    IF(lien="First",1.00,
        IF(lien="Second",1.50,
            1.70)))</f>
        <v/>
      </c>
      <c r="K5080">
        <f>LET(
    purpose,'Loan Tape (S&amp;P)'!R5080,
    IF(purpose="Purchase",1.00,
        IF(purpose="Remortgage",1.00,
            1.20)))</f>
        <v/>
      </c>
      <c r="L5080">
        <f>LET(
    arrears_months,'Loan Tape (S&amp;P)'!AN5080,
    IF(arrears_months=0,1.00,
    IF(arrears_months=1,3.00,
    IF(arrears_months=2,5.00,
    IF(arrears_months=3,8.00,
    IF(arrears_months=4,10.00,
    IF(arrears_months=5,12.00,15.00)))))))</f>
        <v/>
      </c>
      <c r="M5080">
        <f>LET(
    seasoning_years,DATEDIF('Loan Tape (S&amp;P)'!K5080,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80">
        <f>IF(AND('Loan Tape (S&amp;P)'!U5080="Yes",
        'Loan Tape (S&amp;P)'!T5080&lt;&gt;"Yes",
        DATEDIF('Loan Tape (S&amp;P)'!K5080, TODAY(), "M")&lt;18),
    1.10,
    1.00)</f>
        <v/>
      </c>
      <c r="O5080">
        <f>IF('Loan Tape (S&amp;P)'!T5080="Yes",
    1.35,
    1.00)</f>
        <v/>
      </c>
      <c r="P5080">
        <f>IF('Loan Tape (S&amp;P)'!S5080="Yes",
    1.15,
    1.00)</f>
        <v/>
      </c>
      <c r="Q5080">
        <f>IF('Loan Tape (S&amp;P)'!V5080="Yes",
    1.20,
    1.00)</f>
        <v/>
      </c>
      <c r="T5080">
        <f>LET(
    payment_method,'Loan Tape (S&amp;P)'!P5080,
    occupancy,'Loan Tape (S&amp;P)'!N5080,
    maturity_date,'Loan Tape (S&amp;P)'!L5080,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81">
      <c r="J5081">
        <f>LET(
    lien,'Loan Tape (S&amp;P)'!Q5081,
    IF(lien="First",1.00,
        IF(lien="Second",1.50,
            1.70)))</f>
        <v/>
      </c>
      <c r="K5081">
        <f>LET(
    purpose,'Loan Tape (S&amp;P)'!R5081,
    IF(purpose="Purchase",1.00,
        IF(purpose="Remortgage",1.00,
            1.20)))</f>
        <v/>
      </c>
      <c r="L5081">
        <f>LET(
    arrears_months,'Loan Tape (S&amp;P)'!AN5081,
    IF(arrears_months=0,1.00,
    IF(arrears_months=1,3.00,
    IF(arrears_months=2,5.00,
    IF(arrears_months=3,8.00,
    IF(arrears_months=4,10.00,
    IF(arrears_months=5,12.00,15.00)))))))</f>
        <v/>
      </c>
      <c r="M5081">
        <f>LET(
    seasoning_years,DATEDIF('Loan Tape (S&amp;P)'!K5081,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81">
        <f>IF(AND('Loan Tape (S&amp;P)'!U5081="Yes",
        'Loan Tape (S&amp;P)'!T5081&lt;&gt;"Yes",
        DATEDIF('Loan Tape (S&amp;P)'!K5081, TODAY(), "M")&lt;18),
    1.10,
    1.00)</f>
        <v/>
      </c>
      <c r="O5081">
        <f>IF('Loan Tape (S&amp;P)'!T5081="Yes",
    1.35,
    1.00)</f>
        <v/>
      </c>
      <c r="P5081">
        <f>IF('Loan Tape (S&amp;P)'!S5081="Yes",
    1.15,
    1.00)</f>
        <v/>
      </c>
      <c r="Q5081">
        <f>IF('Loan Tape (S&amp;P)'!V5081="Yes",
    1.20,
    1.00)</f>
        <v/>
      </c>
      <c r="T5081">
        <f>LET(
    payment_method,'Loan Tape (S&amp;P)'!P5081,
    occupancy,'Loan Tape (S&amp;P)'!N5081,
    maturity_date,'Loan Tape (S&amp;P)'!L5081,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82">
      <c r="J5082">
        <f>LET(
    lien,'Loan Tape (S&amp;P)'!Q5082,
    IF(lien="First",1.00,
        IF(lien="Second",1.50,
            1.70)))</f>
        <v/>
      </c>
      <c r="K5082">
        <f>LET(
    purpose,'Loan Tape (S&amp;P)'!R5082,
    IF(purpose="Purchase",1.00,
        IF(purpose="Remortgage",1.00,
            1.20)))</f>
        <v/>
      </c>
      <c r="L5082">
        <f>LET(
    arrears_months,'Loan Tape (S&amp;P)'!AN5082,
    IF(arrears_months=0,1.00,
    IF(arrears_months=1,3.00,
    IF(arrears_months=2,5.00,
    IF(arrears_months=3,8.00,
    IF(arrears_months=4,10.00,
    IF(arrears_months=5,12.00,15.00)))))))</f>
        <v/>
      </c>
      <c r="M5082">
        <f>LET(
    seasoning_years,DATEDIF('Loan Tape (S&amp;P)'!K5082,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82">
        <f>IF(AND('Loan Tape (S&amp;P)'!U5082="Yes",
        'Loan Tape (S&amp;P)'!T5082&lt;&gt;"Yes",
        DATEDIF('Loan Tape (S&amp;P)'!K5082, TODAY(), "M")&lt;18),
    1.10,
    1.00)</f>
        <v/>
      </c>
      <c r="O5082">
        <f>IF('Loan Tape (S&amp;P)'!T5082="Yes",
    1.35,
    1.00)</f>
        <v/>
      </c>
      <c r="P5082">
        <f>IF('Loan Tape (S&amp;P)'!S5082="Yes",
    1.15,
    1.00)</f>
        <v/>
      </c>
      <c r="Q5082">
        <f>IF('Loan Tape (S&amp;P)'!V5082="Yes",
    1.20,
    1.00)</f>
        <v/>
      </c>
      <c r="T5082">
        <f>LET(
    payment_method,'Loan Tape (S&amp;P)'!P5082,
    occupancy,'Loan Tape (S&amp;P)'!N5082,
    maturity_date,'Loan Tape (S&amp;P)'!L5082,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83">
      <c r="J5083">
        <f>LET(
    lien,'Loan Tape (S&amp;P)'!Q5083,
    IF(lien="First",1.00,
        IF(lien="Second",1.50,
            1.70)))</f>
        <v/>
      </c>
      <c r="K5083">
        <f>LET(
    purpose,'Loan Tape (S&amp;P)'!R5083,
    IF(purpose="Purchase",1.00,
        IF(purpose="Remortgage",1.00,
            1.20)))</f>
        <v/>
      </c>
      <c r="L5083">
        <f>LET(
    arrears_months,'Loan Tape (S&amp;P)'!AN5083,
    IF(arrears_months=0,1.00,
    IF(arrears_months=1,3.00,
    IF(arrears_months=2,5.00,
    IF(arrears_months=3,8.00,
    IF(arrears_months=4,10.00,
    IF(arrears_months=5,12.00,15.00)))))))</f>
        <v/>
      </c>
      <c r="M5083">
        <f>LET(
    seasoning_years,DATEDIF('Loan Tape (S&amp;P)'!K5083,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83">
        <f>IF(AND('Loan Tape (S&amp;P)'!U5083="Yes",
        'Loan Tape (S&amp;P)'!T5083&lt;&gt;"Yes",
        DATEDIF('Loan Tape (S&amp;P)'!K5083, TODAY(), "M")&lt;18),
    1.10,
    1.00)</f>
        <v/>
      </c>
      <c r="O5083">
        <f>IF('Loan Tape (S&amp;P)'!T5083="Yes",
    1.35,
    1.00)</f>
        <v/>
      </c>
      <c r="P5083">
        <f>IF('Loan Tape (S&amp;P)'!S5083="Yes",
    1.15,
    1.00)</f>
        <v/>
      </c>
      <c r="Q5083">
        <f>IF('Loan Tape (S&amp;P)'!V5083="Yes",
    1.20,
    1.00)</f>
        <v/>
      </c>
      <c r="T5083">
        <f>LET(
    payment_method,'Loan Tape (S&amp;P)'!P5083,
    occupancy,'Loan Tape (S&amp;P)'!N5083,
    maturity_date,'Loan Tape (S&amp;P)'!L5083,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84">
      <c r="J5084">
        <f>LET(
    lien,'Loan Tape (S&amp;P)'!Q5084,
    IF(lien="First",1.00,
        IF(lien="Second",1.50,
            1.70)))</f>
        <v/>
      </c>
      <c r="K5084">
        <f>LET(
    purpose,'Loan Tape (S&amp;P)'!R5084,
    IF(purpose="Purchase",1.00,
        IF(purpose="Remortgage",1.00,
            1.20)))</f>
        <v/>
      </c>
      <c r="L5084">
        <f>LET(
    arrears_months,'Loan Tape (S&amp;P)'!AN5084,
    IF(arrears_months=0,1.00,
    IF(arrears_months=1,3.00,
    IF(arrears_months=2,5.00,
    IF(arrears_months=3,8.00,
    IF(arrears_months=4,10.00,
    IF(arrears_months=5,12.00,15.00)))))))</f>
        <v/>
      </c>
      <c r="M5084">
        <f>LET(
    seasoning_years,DATEDIF('Loan Tape (S&amp;P)'!K5084,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84">
        <f>IF(AND('Loan Tape (S&amp;P)'!U5084="Yes",
        'Loan Tape (S&amp;P)'!T5084&lt;&gt;"Yes",
        DATEDIF('Loan Tape (S&amp;P)'!K5084, TODAY(), "M")&lt;18),
    1.10,
    1.00)</f>
        <v/>
      </c>
      <c r="O5084">
        <f>IF('Loan Tape (S&amp;P)'!T5084="Yes",
    1.35,
    1.00)</f>
        <v/>
      </c>
      <c r="P5084">
        <f>IF('Loan Tape (S&amp;P)'!S5084="Yes",
    1.15,
    1.00)</f>
        <v/>
      </c>
      <c r="Q5084">
        <f>IF('Loan Tape (S&amp;P)'!V5084="Yes",
    1.20,
    1.00)</f>
        <v/>
      </c>
      <c r="T5084">
        <f>LET(
    payment_method,'Loan Tape (S&amp;P)'!P5084,
    occupancy,'Loan Tape (S&amp;P)'!N5084,
    maturity_date,'Loan Tape (S&amp;P)'!L5084,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85">
      <c r="J5085">
        <f>LET(
    lien,'Loan Tape (S&amp;P)'!Q5085,
    IF(lien="First",1.00,
        IF(lien="Second",1.50,
            1.70)))</f>
        <v/>
      </c>
      <c r="K5085">
        <f>LET(
    purpose,'Loan Tape (S&amp;P)'!R5085,
    IF(purpose="Purchase",1.00,
        IF(purpose="Remortgage",1.00,
            1.20)))</f>
        <v/>
      </c>
      <c r="L5085">
        <f>LET(
    arrears_months,'Loan Tape (S&amp;P)'!AN5085,
    IF(arrears_months=0,1.00,
    IF(arrears_months=1,3.00,
    IF(arrears_months=2,5.00,
    IF(arrears_months=3,8.00,
    IF(arrears_months=4,10.00,
    IF(arrears_months=5,12.00,15.00)))))))</f>
        <v/>
      </c>
      <c r="M5085">
        <f>LET(
    seasoning_years,DATEDIF('Loan Tape (S&amp;P)'!K5085,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85">
        <f>IF(AND('Loan Tape (S&amp;P)'!U5085="Yes",
        'Loan Tape (S&amp;P)'!T5085&lt;&gt;"Yes",
        DATEDIF('Loan Tape (S&amp;P)'!K5085, TODAY(), "M")&lt;18),
    1.10,
    1.00)</f>
        <v/>
      </c>
      <c r="O5085">
        <f>IF('Loan Tape (S&amp;P)'!T5085="Yes",
    1.35,
    1.00)</f>
        <v/>
      </c>
      <c r="P5085">
        <f>IF('Loan Tape (S&amp;P)'!S5085="Yes",
    1.15,
    1.00)</f>
        <v/>
      </c>
      <c r="Q5085">
        <f>IF('Loan Tape (S&amp;P)'!V5085="Yes",
    1.20,
    1.00)</f>
        <v/>
      </c>
      <c r="T5085">
        <f>LET(
    payment_method,'Loan Tape (S&amp;P)'!P5085,
    occupancy,'Loan Tape (S&amp;P)'!N5085,
    maturity_date,'Loan Tape (S&amp;P)'!L5085,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86">
      <c r="J5086">
        <f>LET(
    lien,'Loan Tape (S&amp;P)'!Q5086,
    IF(lien="First",1.00,
        IF(lien="Second",1.50,
            1.70)))</f>
        <v/>
      </c>
      <c r="K5086">
        <f>LET(
    purpose,'Loan Tape (S&amp;P)'!R5086,
    IF(purpose="Purchase",1.00,
        IF(purpose="Remortgage",1.00,
            1.20)))</f>
        <v/>
      </c>
      <c r="L5086">
        <f>LET(
    arrears_months,'Loan Tape (S&amp;P)'!AN5086,
    IF(arrears_months=0,1.00,
    IF(arrears_months=1,3.00,
    IF(arrears_months=2,5.00,
    IF(arrears_months=3,8.00,
    IF(arrears_months=4,10.00,
    IF(arrears_months=5,12.00,15.00)))))))</f>
        <v/>
      </c>
      <c r="M5086">
        <f>LET(
    seasoning_years,DATEDIF('Loan Tape (S&amp;P)'!K5086,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86">
        <f>IF(AND('Loan Tape (S&amp;P)'!U5086="Yes",
        'Loan Tape (S&amp;P)'!T5086&lt;&gt;"Yes",
        DATEDIF('Loan Tape (S&amp;P)'!K5086, TODAY(), "M")&lt;18),
    1.10,
    1.00)</f>
        <v/>
      </c>
      <c r="O5086">
        <f>IF('Loan Tape (S&amp;P)'!T5086="Yes",
    1.35,
    1.00)</f>
        <v/>
      </c>
      <c r="P5086">
        <f>IF('Loan Tape (S&amp;P)'!S5086="Yes",
    1.15,
    1.00)</f>
        <v/>
      </c>
      <c r="Q5086">
        <f>IF('Loan Tape (S&amp;P)'!V5086="Yes",
    1.20,
    1.00)</f>
        <v/>
      </c>
      <c r="T5086">
        <f>LET(
    payment_method,'Loan Tape (S&amp;P)'!P5086,
    occupancy,'Loan Tape (S&amp;P)'!N5086,
    maturity_date,'Loan Tape (S&amp;P)'!L5086,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87">
      <c r="J5087">
        <f>LET(
    lien,'Loan Tape (S&amp;P)'!Q5087,
    IF(lien="First",1.00,
        IF(lien="Second",1.50,
            1.70)))</f>
        <v/>
      </c>
      <c r="K5087">
        <f>LET(
    purpose,'Loan Tape (S&amp;P)'!R5087,
    IF(purpose="Purchase",1.00,
        IF(purpose="Remortgage",1.00,
            1.20)))</f>
        <v/>
      </c>
      <c r="L5087">
        <f>LET(
    arrears_months,'Loan Tape (S&amp;P)'!AN5087,
    IF(arrears_months=0,1.00,
    IF(arrears_months=1,3.00,
    IF(arrears_months=2,5.00,
    IF(arrears_months=3,8.00,
    IF(arrears_months=4,10.00,
    IF(arrears_months=5,12.00,15.00)))))))</f>
        <v/>
      </c>
      <c r="M5087">
        <f>LET(
    seasoning_years,DATEDIF('Loan Tape (S&amp;P)'!K5087,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87">
        <f>IF(AND('Loan Tape (S&amp;P)'!U5087="Yes",
        'Loan Tape (S&amp;P)'!T5087&lt;&gt;"Yes",
        DATEDIF('Loan Tape (S&amp;P)'!K5087, TODAY(), "M")&lt;18),
    1.10,
    1.00)</f>
        <v/>
      </c>
      <c r="O5087">
        <f>IF('Loan Tape (S&amp;P)'!T5087="Yes",
    1.35,
    1.00)</f>
        <v/>
      </c>
      <c r="P5087">
        <f>IF('Loan Tape (S&amp;P)'!S5087="Yes",
    1.15,
    1.00)</f>
        <v/>
      </c>
      <c r="Q5087">
        <f>IF('Loan Tape (S&amp;P)'!V5087="Yes",
    1.20,
    1.00)</f>
        <v/>
      </c>
      <c r="T5087">
        <f>LET(
    payment_method,'Loan Tape (S&amp;P)'!P5087,
    occupancy,'Loan Tape (S&amp;P)'!N5087,
    maturity_date,'Loan Tape (S&amp;P)'!L5087,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88">
      <c r="J5088">
        <f>LET(
    lien,'Loan Tape (S&amp;P)'!Q5088,
    IF(lien="First",1.00,
        IF(lien="Second",1.50,
            1.70)))</f>
        <v/>
      </c>
      <c r="K5088">
        <f>LET(
    purpose,'Loan Tape (S&amp;P)'!R5088,
    IF(purpose="Purchase",1.00,
        IF(purpose="Remortgage",1.00,
            1.20)))</f>
        <v/>
      </c>
      <c r="L5088">
        <f>LET(
    arrears_months,'Loan Tape (S&amp;P)'!AN5088,
    IF(arrears_months=0,1.00,
    IF(arrears_months=1,3.00,
    IF(arrears_months=2,5.00,
    IF(arrears_months=3,8.00,
    IF(arrears_months=4,10.00,
    IF(arrears_months=5,12.00,15.00)))))))</f>
        <v/>
      </c>
      <c r="M5088">
        <f>LET(
    seasoning_years,DATEDIF('Loan Tape (S&amp;P)'!K5088,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88">
        <f>IF(AND('Loan Tape (S&amp;P)'!U5088="Yes",
        'Loan Tape (S&amp;P)'!T5088&lt;&gt;"Yes",
        DATEDIF('Loan Tape (S&amp;P)'!K5088, TODAY(), "M")&lt;18),
    1.10,
    1.00)</f>
        <v/>
      </c>
      <c r="O5088">
        <f>IF('Loan Tape (S&amp;P)'!T5088="Yes",
    1.35,
    1.00)</f>
        <v/>
      </c>
      <c r="P5088">
        <f>IF('Loan Tape (S&amp;P)'!S5088="Yes",
    1.15,
    1.00)</f>
        <v/>
      </c>
      <c r="Q5088">
        <f>IF('Loan Tape (S&amp;P)'!V5088="Yes",
    1.20,
    1.00)</f>
        <v/>
      </c>
      <c r="T5088">
        <f>LET(
    payment_method,'Loan Tape (S&amp;P)'!P5088,
    occupancy,'Loan Tape (S&amp;P)'!N5088,
    maturity_date,'Loan Tape (S&amp;P)'!L5088,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89">
      <c r="J5089">
        <f>LET(
    lien,'Loan Tape (S&amp;P)'!Q5089,
    IF(lien="First",1.00,
        IF(lien="Second",1.50,
            1.70)))</f>
        <v/>
      </c>
      <c r="K5089">
        <f>LET(
    purpose,'Loan Tape (S&amp;P)'!R5089,
    IF(purpose="Purchase",1.00,
        IF(purpose="Remortgage",1.00,
            1.20)))</f>
        <v/>
      </c>
      <c r="L5089">
        <f>LET(
    arrears_months,'Loan Tape (S&amp;P)'!AN5089,
    IF(arrears_months=0,1.00,
    IF(arrears_months=1,3.00,
    IF(arrears_months=2,5.00,
    IF(arrears_months=3,8.00,
    IF(arrears_months=4,10.00,
    IF(arrears_months=5,12.00,15.00)))))))</f>
        <v/>
      </c>
      <c r="M5089">
        <f>LET(
    seasoning_years,DATEDIF('Loan Tape (S&amp;P)'!K5089,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89">
        <f>IF(AND('Loan Tape (S&amp;P)'!U5089="Yes",
        'Loan Tape (S&amp;P)'!T5089&lt;&gt;"Yes",
        DATEDIF('Loan Tape (S&amp;P)'!K5089, TODAY(), "M")&lt;18),
    1.10,
    1.00)</f>
        <v/>
      </c>
      <c r="O5089">
        <f>IF('Loan Tape (S&amp;P)'!T5089="Yes",
    1.35,
    1.00)</f>
        <v/>
      </c>
      <c r="P5089">
        <f>IF('Loan Tape (S&amp;P)'!S5089="Yes",
    1.15,
    1.00)</f>
        <v/>
      </c>
      <c r="Q5089">
        <f>IF('Loan Tape (S&amp;P)'!V5089="Yes",
    1.20,
    1.00)</f>
        <v/>
      </c>
      <c r="T5089">
        <f>LET(
    payment_method,'Loan Tape (S&amp;P)'!P5089,
    occupancy,'Loan Tape (S&amp;P)'!N5089,
    maturity_date,'Loan Tape (S&amp;P)'!L5089,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90">
      <c r="J5090">
        <f>LET(
    lien,'Loan Tape (S&amp;P)'!Q5090,
    IF(lien="First",1.00,
        IF(lien="Second",1.50,
            1.70)))</f>
        <v/>
      </c>
      <c r="K5090">
        <f>LET(
    purpose,'Loan Tape (S&amp;P)'!R5090,
    IF(purpose="Purchase",1.00,
        IF(purpose="Remortgage",1.00,
            1.20)))</f>
        <v/>
      </c>
      <c r="L5090">
        <f>LET(
    arrears_months,'Loan Tape (S&amp;P)'!AN5090,
    IF(arrears_months=0,1.00,
    IF(arrears_months=1,3.00,
    IF(arrears_months=2,5.00,
    IF(arrears_months=3,8.00,
    IF(arrears_months=4,10.00,
    IF(arrears_months=5,12.00,15.00)))))))</f>
        <v/>
      </c>
      <c r="M5090">
        <f>LET(
    seasoning_years,DATEDIF('Loan Tape (S&amp;P)'!K5090,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90">
        <f>IF(AND('Loan Tape (S&amp;P)'!U5090="Yes",
        'Loan Tape (S&amp;P)'!T5090&lt;&gt;"Yes",
        DATEDIF('Loan Tape (S&amp;P)'!K5090, TODAY(), "M")&lt;18),
    1.10,
    1.00)</f>
        <v/>
      </c>
      <c r="O5090">
        <f>IF('Loan Tape (S&amp;P)'!T5090="Yes",
    1.35,
    1.00)</f>
        <v/>
      </c>
      <c r="P5090">
        <f>IF('Loan Tape (S&amp;P)'!S5090="Yes",
    1.15,
    1.00)</f>
        <v/>
      </c>
      <c r="Q5090">
        <f>IF('Loan Tape (S&amp;P)'!V5090="Yes",
    1.20,
    1.00)</f>
        <v/>
      </c>
      <c r="T5090">
        <f>LET(
    payment_method,'Loan Tape (S&amp;P)'!P5090,
    occupancy,'Loan Tape (S&amp;P)'!N5090,
    maturity_date,'Loan Tape (S&amp;P)'!L5090,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91">
      <c r="J5091">
        <f>LET(
    lien,'Loan Tape (S&amp;P)'!Q5091,
    IF(lien="First",1.00,
        IF(lien="Second",1.50,
            1.70)))</f>
        <v/>
      </c>
      <c r="K5091">
        <f>LET(
    purpose,'Loan Tape (S&amp;P)'!R5091,
    IF(purpose="Purchase",1.00,
        IF(purpose="Remortgage",1.00,
            1.20)))</f>
        <v/>
      </c>
      <c r="L5091">
        <f>LET(
    arrears_months,'Loan Tape (S&amp;P)'!AN5091,
    IF(arrears_months=0,1.00,
    IF(arrears_months=1,3.00,
    IF(arrears_months=2,5.00,
    IF(arrears_months=3,8.00,
    IF(arrears_months=4,10.00,
    IF(arrears_months=5,12.00,15.00)))))))</f>
        <v/>
      </c>
      <c r="M5091">
        <f>LET(
    seasoning_years,DATEDIF('Loan Tape (S&amp;P)'!K5091,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91">
        <f>IF(AND('Loan Tape (S&amp;P)'!U5091="Yes",
        'Loan Tape (S&amp;P)'!T5091&lt;&gt;"Yes",
        DATEDIF('Loan Tape (S&amp;P)'!K5091, TODAY(), "M")&lt;18),
    1.10,
    1.00)</f>
        <v/>
      </c>
      <c r="O5091">
        <f>IF('Loan Tape (S&amp;P)'!T5091="Yes",
    1.35,
    1.00)</f>
        <v/>
      </c>
      <c r="P5091">
        <f>IF('Loan Tape (S&amp;P)'!S5091="Yes",
    1.15,
    1.00)</f>
        <v/>
      </c>
      <c r="Q5091">
        <f>IF('Loan Tape (S&amp;P)'!V5091="Yes",
    1.20,
    1.00)</f>
        <v/>
      </c>
      <c r="T5091">
        <f>LET(
    payment_method,'Loan Tape (S&amp;P)'!P5091,
    occupancy,'Loan Tape (S&amp;P)'!N5091,
    maturity_date,'Loan Tape (S&amp;P)'!L5091,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92">
      <c r="J5092">
        <f>LET(
    lien,'Loan Tape (S&amp;P)'!Q5092,
    IF(lien="First",1.00,
        IF(lien="Second",1.50,
            1.70)))</f>
        <v/>
      </c>
      <c r="K5092">
        <f>LET(
    purpose,'Loan Tape (S&amp;P)'!R5092,
    IF(purpose="Purchase",1.00,
        IF(purpose="Remortgage",1.00,
            1.20)))</f>
        <v/>
      </c>
      <c r="L5092">
        <f>LET(
    arrears_months,'Loan Tape (S&amp;P)'!AN5092,
    IF(arrears_months=0,1.00,
    IF(arrears_months=1,3.00,
    IF(arrears_months=2,5.00,
    IF(arrears_months=3,8.00,
    IF(arrears_months=4,10.00,
    IF(arrears_months=5,12.00,15.00)))))))</f>
        <v/>
      </c>
      <c r="M5092">
        <f>LET(
    seasoning_years,DATEDIF('Loan Tape (S&amp;P)'!K5092,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92">
        <f>IF(AND('Loan Tape (S&amp;P)'!U5092="Yes",
        'Loan Tape (S&amp;P)'!T5092&lt;&gt;"Yes",
        DATEDIF('Loan Tape (S&amp;P)'!K5092, TODAY(), "M")&lt;18),
    1.10,
    1.00)</f>
        <v/>
      </c>
      <c r="O5092">
        <f>IF('Loan Tape (S&amp;P)'!T5092="Yes",
    1.35,
    1.00)</f>
        <v/>
      </c>
      <c r="P5092">
        <f>IF('Loan Tape (S&amp;P)'!S5092="Yes",
    1.15,
    1.00)</f>
        <v/>
      </c>
      <c r="Q5092">
        <f>IF('Loan Tape (S&amp;P)'!V5092="Yes",
    1.20,
    1.00)</f>
        <v/>
      </c>
      <c r="T5092">
        <f>LET(
    payment_method,'Loan Tape (S&amp;P)'!P5092,
    occupancy,'Loan Tape (S&amp;P)'!N5092,
    maturity_date,'Loan Tape (S&amp;P)'!L5092,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93">
      <c r="J5093">
        <f>LET(
    lien,'Loan Tape (S&amp;P)'!Q5093,
    IF(lien="First",1.00,
        IF(lien="Second",1.50,
            1.70)))</f>
        <v/>
      </c>
      <c r="K5093">
        <f>LET(
    purpose,'Loan Tape (S&amp;P)'!R5093,
    IF(purpose="Purchase",1.00,
        IF(purpose="Remortgage",1.00,
            1.20)))</f>
        <v/>
      </c>
      <c r="L5093">
        <f>LET(
    arrears_months,'Loan Tape (S&amp;P)'!AN5093,
    IF(arrears_months=0,1.00,
    IF(arrears_months=1,3.00,
    IF(arrears_months=2,5.00,
    IF(arrears_months=3,8.00,
    IF(arrears_months=4,10.00,
    IF(arrears_months=5,12.00,15.00)))))))</f>
        <v/>
      </c>
      <c r="M5093">
        <f>LET(
    seasoning_years,DATEDIF('Loan Tape (S&amp;P)'!K5093,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93">
        <f>IF(AND('Loan Tape (S&amp;P)'!U5093="Yes",
        'Loan Tape (S&amp;P)'!T5093&lt;&gt;"Yes",
        DATEDIF('Loan Tape (S&amp;P)'!K5093, TODAY(), "M")&lt;18),
    1.10,
    1.00)</f>
        <v/>
      </c>
      <c r="O5093">
        <f>IF('Loan Tape (S&amp;P)'!T5093="Yes",
    1.35,
    1.00)</f>
        <v/>
      </c>
      <c r="P5093">
        <f>IF('Loan Tape (S&amp;P)'!S5093="Yes",
    1.15,
    1.00)</f>
        <v/>
      </c>
      <c r="Q5093">
        <f>IF('Loan Tape (S&amp;P)'!V5093="Yes",
    1.20,
    1.00)</f>
        <v/>
      </c>
      <c r="T5093">
        <f>LET(
    payment_method,'Loan Tape (S&amp;P)'!P5093,
    occupancy,'Loan Tape (S&amp;P)'!N5093,
    maturity_date,'Loan Tape (S&amp;P)'!L5093,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94">
      <c r="J5094">
        <f>LET(
    lien,'Loan Tape (S&amp;P)'!Q5094,
    IF(lien="First",1.00,
        IF(lien="Second",1.50,
            1.70)))</f>
        <v/>
      </c>
      <c r="K5094">
        <f>LET(
    purpose,'Loan Tape (S&amp;P)'!R5094,
    IF(purpose="Purchase",1.00,
        IF(purpose="Remortgage",1.00,
            1.20)))</f>
        <v/>
      </c>
      <c r="L5094">
        <f>LET(
    arrears_months,'Loan Tape (S&amp;P)'!AN5094,
    IF(arrears_months=0,1.00,
    IF(arrears_months=1,3.00,
    IF(arrears_months=2,5.00,
    IF(arrears_months=3,8.00,
    IF(arrears_months=4,10.00,
    IF(arrears_months=5,12.00,15.00)))))))</f>
        <v/>
      </c>
      <c r="M5094">
        <f>LET(
    seasoning_years,DATEDIF('Loan Tape (S&amp;P)'!K5094,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94">
        <f>IF(AND('Loan Tape (S&amp;P)'!U5094="Yes",
        'Loan Tape (S&amp;P)'!T5094&lt;&gt;"Yes",
        DATEDIF('Loan Tape (S&amp;P)'!K5094, TODAY(), "M")&lt;18),
    1.10,
    1.00)</f>
        <v/>
      </c>
      <c r="O5094">
        <f>IF('Loan Tape (S&amp;P)'!T5094="Yes",
    1.35,
    1.00)</f>
        <v/>
      </c>
      <c r="P5094">
        <f>IF('Loan Tape (S&amp;P)'!S5094="Yes",
    1.15,
    1.00)</f>
        <v/>
      </c>
      <c r="Q5094">
        <f>IF('Loan Tape (S&amp;P)'!V5094="Yes",
    1.20,
    1.00)</f>
        <v/>
      </c>
      <c r="T5094">
        <f>LET(
    payment_method,'Loan Tape (S&amp;P)'!P5094,
    occupancy,'Loan Tape (S&amp;P)'!N5094,
    maturity_date,'Loan Tape (S&amp;P)'!L5094,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95">
      <c r="J5095">
        <f>LET(
    lien,'Loan Tape (S&amp;P)'!Q5095,
    IF(lien="First",1.00,
        IF(lien="Second",1.50,
            1.70)))</f>
        <v/>
      </c>
      <c r="K5095">
        <f>LET(
    purpose,'Loan Tape (S&amp;P)'!R5095,
    IF(purpose="Purchase",1.00,
        IF(purpose="Remortgage",1.00,
            1.20)))</f>
        <v/>
      </c>
      <c r="L5095">
        <f>LET(
    arrears_months,'Loan Tape (S&amp;P)'!AN5095,
    IF(arrears_months=0,1.00,
    IF(arrears_months=1,3.00,
    IF(arrears_months=2,5.00,
    IF(arrears_months=3,8.00,
    IF(arrears_months=4,10.00,
    IF(arrears_months=5,12.00,15.00)))))))</f>
        <v/>
      </c>
      <c r="M5095">
        <f>LET(
    seasoning_years,DATEDIF('Loan Tape (S&amp;P)'!K5095,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95">
        <f>IF(AND('Loan Tape (S&amp;P)'!U5095="Yes",
        'Loan Tape (S&amp;P)'!T5095&lt;&gt;"Yes",
        DATEDIF('Loan Tape (S&amp;P)'!K5095, TODAY(), "M")&lt;18),
    1.10,
    1.00)</f>
        <v/>
      </c>
      <c r="O5095">
        <f>IF('Loan Tape (S&amp;P)'!T5095="Yes",
    1.35,
    1.00)</f>
        <v/>
      </c>
      <c r="P5095">
        <f>IF('Loan Tape (S&amp;P)'!S5095="Yes",
    1.15,
    1.00)</f>
        <v/>
      </c>
      <c r="Q5095">
        <f>IF('Loan Tape (S&amp;P)'!V5095="Yes",
    1.20,
    1.00)</f>
        <v/>
      </c>
      <c r="T5095">
        <f>LET(
    payment_method,'Loan Tape (S&amp;P)'!P5095,
    occupancy,'Loan Tape (S&amp;P)'!N5095,
    maturity_date,'Loan Tape (S&amp;P)'!L5095,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96">
      <c r="J5096">
        <f>LET(
    lien,'Loan Tape (S&amp;P)'!Q5096,
    IF(lien="First",1.00,
        IF(lien="Second",1.50,
            1.70)))</f>
        <v/>
      </c>
      <c r="K5096">
        <f>LET(
    purpose,'Loan Tape (S&amp;P)'!R5096,
    IF(purpose="Purchase",1.00,
        IF(purpose="Remortgage",1.00,
            1.20)))</f>
        <v/>
      </c>
      <c r="L5096">
        <f>LET(
    arrears_months,'Loan Tape (S&amp;P)'!AN5096,
    IF(arrears_months=0,1.00,
    IF(arrears_months=1,3.00,
    IF(arrears_months=2,5.00,
    IF(arrears_months=3,8.00,
    IF(arrears_months=4,10.00,
    IF(arrears_months=5,12.00,15.00)))))))</f>
        <v/>
      </c>
      <c r="M5096">
        <f>LET(
    seasoning_years,DATEDIF('Loan Tape (S&amp;P)'!K5096,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96">
        <f>IF(AND('Loan Tape (S&amp;P)'!U5096="Yes",
        'Loan Tape (S&amp;P)'!T5096&lt;&gt;"Yes",
        DATEDIF('Loan Tape (S&amp;P)'!K5096, TODAY(), "M")&lt;18),
    1.10,
    1.00)</f>
        <v/>
      </c>
      <c r="O5096">
        <f>IF('Loan Tape (S&amp;P)'!T5096="Yes",
    1.35,
    1.00)</f>
        <v/>
      </c>
      <c r="P5096">
        <f>IF('Loan Tape (S&amp;P)'!S5096="Yes",
    1.15,
    1.00)</f>
        <v/>
      </c>
      <c r="Q5096">
        <f>IF('Loan Tape (S&amp;P)'!V5096="Yes",
    1.20,
    1.00)</f>
        <v/>
      </c>
      <c r="T5096">
        <f>LET(
    payment_method,'Loan Tape (S&amp;P)'!P5096,
    occupancy,'Loan Tape (S&amp;P)'!N5096,
    maturity_date,'Loan Tape (S&amp;P)'!L5096,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97">
      <c r="J5097">
        <f>LET(
    lien,'Loan Tape (S&amp;P)'!Q5097,
    IF(lien="First",1.00,
        IF(lien="Second",1.50,
            1.70)))</f>
        <v/>
      </c>
      <c r="K5097">
        <f>LET(
    purpose,'Loan Tape (S&amp;P)'!R5097,
    IF(purpose="Purchase",1.00,
        IF(purpose="Remortgage",1.00,
            1.20)))</f>
        <v/>
      </c>
      <c r="L5097">
        <f>LET(
    arrears_months,'Loan Tape (S&amp;P)'!AN5097,
    IF(arrears_months=0,1.00,
    IF(arrears_months=1,3.00,
    IF(arrears_months=2,5.00,
    IF(arrears_months=3,8.00,
    IF(arrears_months=4,10.00,
    IF(arrears_months=5,12.00,15.00)))))))</f>
        <v/>
      </c>
      <c r="M5097">
        <f>LET(
    seasoning_years,DATEDIF('Loan Tape (S&amp;P)'!K5097,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97">
        <f>IF(AND('Loan Tape (S&amp;P)'!U5097="Yes",
        'Loan Tape (S&amp;P)'!T5097&lt;&gt;"Yes",
        DATEDIF('Loan Tape (S&amp;P)'!K5097, TODAY(), "M")&lt;18),
    1.10,
    1.00)</f>
        <v/>
      </c>
      <c r="O5097">
        <f>IF('Loan Tape (S&amp;P)'!T5097="Yes",
    1.35,
    1.00)</f>
        <v/>
      </c>
      <c r="P5097">
        <f>IF('Loan Tape (S&amp;P)'!S5097="Yes",
    1.15,
    1.00)</f>
        <v/>
      </c>
      <c r="Q5097">
        <f>IF('Loan Tape (S&amp;P)'!V5097="Yes",
    1.20,
    1.00)</f>
        <v/>
      </c>
      <c r="T5097">
        <f>LET(
    payment_method,'Loan Tape (S&amp;P)'!P5097,
    occupancy,'Loan Tape (S&amp;P)'!N5097,
    maturity_date,'Loan Tape (S&amp;P)'!L5097,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98">
      <c r="J5098">
        <f>LET(
    lien,'Loan Tape (S&amp;P)'!Q5098,
    IF(lien="First",1.00,
        IF(lien="Second",1.50,
            1.70)))</f>
        <v/>
      </c>
      <c r="K5098">
        <f>LET(
    purpose,'Loan Tape (S&amp;P)'!R5098,
    IF(purpose="Purchase",1.00,
        IF(purpose="Remortgage",1.00,
            1.20)))</f>
        <v/>
      </c>
      <c r="L5098">
        <f>LET(
    arrears_months,'Loan Tape (S&amp;P)'!AN5098,
    IF(arrears_months=0,1.00,
    IF(arrears_months=1,3.00,
    IF(arrears_months=2,5.00,
    IF(arrears_months=3,8.00,
    IF(arrears_months=4,10.00,
    IF(arrears_months=5,12.00,15.00)))))))</f>
        <v/>
      </c>
      <c r="M5098">
        <f>LET(
    seasoning_years,DATEDIF('Loan Tape (S&amp;P)'!K5098,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98">
        <f>IF(AND('Loan Tape (S&amp;P)'!U5098="Yes",
        'Loan Tape (S&amp;P)'!T5098&lt;&gt;"Yes",
        DATEDIF('Loan Tape (S&amp;P)'!K5098, TODAY(), "M")&lt;18),
    1.10,
    1.00)</f>
        <v/>
      </c>
      <c r="O5098">
        <f>IF('Loan Tape (S&amp;P)'!T5098="Yes",
    1.35,
    1.00)</f>
        <v/>
      </c>
      <c r="P5098">
        <f>IF('Loan Tape (S&amp;P)'!S5098="Yes",
    1.15,
    1.00)</f>
        <v/>
      </c>
      <c r="Q5098">
        <f>IF('Loan Tape (S&amp;P)'!V5098="Yes",
    1.20,
    1.00)</f>
        <v/>
      </c>
      <c r="T5098">
        <f>LET(
    payment_method,'Loan Tape (S&amp;P)'!P5098,
    occupancy,'Loan Tape (S&amp;P)'!N5098,
    maturity_date,'Loan Tape (S&amp;P)'!L5098,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099">
      <c r="J5099">
        <f>LET(
    lien,'Loan Tape (S&amp;P)'!Q5099,
    IF(lien="First",1.00,
        IF(lien="Second",1.50,
            1.70)))</f>
        <v/>
      </c>
      <c r="K5099">
        <f>LET(
    purpose,'Loan Tape (S&amp;P)'!R5099,
    IF(purpose="Purchase",1.00,
        IF(purpose="Remortgage",1.00,
            1.20)))</f>
        <v/>
      </c>
      <c r="L5099">
        <f>LET(
    arrears_months,'Loan Tape (S&amp;P)'!AN5099,
    IF(arrears_months=0,1.00,
    IF(arrears_months=1,3.00,
    IF(arrears_months=2,5.00,
    IF(arrears_months=3,8.00,
    IF(arrears_months=4,10.00,
    IF(arrears_months=5,12.00,15.00)))))))</f>
        <v/>
      </c>
      <c r="M5099">
        <f>LET(
    seasoning_years,DATEDIF('Loan Tape (S&amp;P)'!K5099,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099">
        <f>IF(AND('Loan Tape (S&amp;P)'!U5099="Yes",
        'Loan Tape (S&amp;P)'!T5099&lt;&gt;"Yes",
        DATEDIF('Loan Tape (S&amp;P)'!K5099, TODAY(), "M")&lt;18),
    1.10,
    1.00)</f>
        <v/>
      </c>
      <c r="O5099">
        <f>IF('Loan Tape (S&amp;P)'!T5099="Yes",
    1.35,
    1.00)</f>
        <v/>
      </c>
      <c r="P5099">
        <f>IF('Loan Tape (S&amp;P)'!S5099="Yes",
    1.15,
    1.00)</f>
        <v/>
      </c>
      <c r="Q5099">
        <f>IF('Loan Tape (S&amp;P)'!V5099="Yes",
    1.20,
    1.00)</f>
        <v/>
      </c>
      <c r="T5099">
        <f>LET(
    payment_method,'Loan Tape (S&amp;P)'!P5099,
    occupancy,'Loan Tape (S&amp;P)'!N5099,
    maturity_date,'Loan Tape (S&amp;P)'!L5099,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00">
      <c r="J5100">
        <f>LET(
    lien,'Loan Tape (S&amp;P)'!Q5100,
    IF(lien="First",1.00,
        IF(lien="Second",1.50,
            1.70)))</f>
        <v/>
      </c>
      <c r="K5100">
        <f>LET(
    purpose,'Loan Tape (S&amp;P)'!R5100,
    IF(purpose="Purchase",1.00,
        IF(purpose="Remortgage",1.00,
            1.20)))</f>
        <v/>
      </c>
      <c r="L5100">
        <f>LET(
    arrears_months,'Loan Tape (S&amp;P)'!AN5100,
    IF(arrears_months=0,1.00,
    IF(arrears_months=1,3.00,
    IF(arrears_months=2,5.00,
    IF(arrears_months=3,8.00,
    IF(arrears_months=4,10.00,
    IF(arrears_months=5,12.00,15.00)))))))</f>
        <v/>
      </c>
      <c r="M5100">
        <f>LET(
    seasoning_years,DATEDIF('Loan Tape (S&amp;P)'!K5100,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00">
        <f>IF(AND('Loan Tape (S&amp;P)'!U5100="Yes",
        'Loan Tape (S&amp;P)'!T5100&lt;&gt;"Yes",
        DATEDIF('Loan Tape (S&amp;P)'!K5100, TODAY(), "M")&lt;18),
    1.10,
    1.00)</f>
        <v/>
      </c>
      <c r="O5100">
        <f>IF('Loan Tape (S&amp;P)'!T5100="Yes",
    1.35,
    1.00)</f>
        <v/>
      </c>
      <c r="P5100">
        <f>IF('Loan Tape (S&amp;P)'!S5100="Yes",
    1.15,
    1.00)</f>
        <v/>
      </c>
      <c r="Q5100">
        <f>IF('Loan Tape (S&amp;P)'!V5100="Yes",
    1.20,
    1.00)</f>
        <v/>
      </c>
      <c r="T5100">
        <f>LET(
    payment_method,'Loan Tape (S&amp;P)'!P5100,
    occupancy,'Loan Tape (S&amp;P)'!N5100,
    maturity_date,'Loan Tape (S&amp;P)'!L5100,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01">
      <c r="J5101">
        <f>LET(
    lien,'Loan Tape (S&amp;P)'!Q5101,
    IF(lien="First",1.00,
        IF(lien="Second",1.50,
            1.70)))</f>
        <v/>
      </c>
      <c r="K5101">
        <f>LET(
    purpose,'Loan Tape (S&amp;P)'!R5101,
    IF(purpose="Purchase",1.00,
        IF(purpose="Remortgage",1.00,
            1.20)))</f>
        <v/>
      </c>
      <c r="L5101">
        <f>LET(
    arrears_months,'Loan Tape (S&amp;P)'!AN5101,
    IF(arrears_months=0,1.00,
    IF(arrears_months=1,3.00,
    IF(arrears_months=2,5.00,
    IF(arrears_months=3,8.00,
    IF(arrears_months=4,10.00,
    IF(arrears_months=5,12.00,15.00)))))))</f>
        <v/>
      </c>
      <c r="M5101">
        <f>LET(
    seasoning_years,DATEDIF('Loan Tape (S&amp;P)'!K5101,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01">
        <f>IF(AND('Loan Tape (S&amp;P)'!U5101="Yes",
        'Loan Tape (S&amp;P)'!T5101&lt;&gt;"Yes",
        DATEDIF('Loan Tape (S&amp;P)'!K5101, TODAY(), "M")&lt;18),
    1.10,
    1.00)</f>
        <v/>
      </c>
      <c r="O5101">
        <f>IF('Loan Tape (S&amp;P)'!T5101="Yes",
    1.35,
    1.00)</f>
        <v/>
      </c>
      <c r="P5101">
        <f>IF('Loan Tape (S&amp;P)'!S5101="Yes",
    1.15,
    1.00)</f>
        <v/>
      </c>
      <c r="Q5101">
        <f>IF('Loan Tape (S&amp;P)'!V5101="Yes",
    1.20,
    1.00)</f>
        <v/>
      </c>
      <c r="T5101">
        <f>LET(
    payment_method,'Loan Tape (S&amp;P)'!P5101,
    occupancy,'Loan Tape (S&amp;P)'!N5101,
    maturity_date,'Loan Tape (S&amp;P)'!L5101,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02">
      <c r="J5102">
        <f>LET(
    lien,'Loan Tape (S&amp;P)'!Q5102,
    IF(lien="First",1.00,
        IF(lien="Second",1.50,
            1.70)))</f>
        <v/>
      </c>
      <c r="K5102">
        <f>LET(
    purpose,'Loan Tape (S&amp;P)'!R5102,
    IF(purpose="Purchase",1.00,
        IF(purpose="Remortgage",1.00,
            1.20)))</f>
        <v/>
      </c>
      <c r="L5102">
        <f>LET(
    arrears_months,'Loan Tape (S&amp;P)'!AN5102,
    IF(arrears_months=0,1.00,
    IF(arrears_months=1,3.00,
    IF(arrears_months=2,5.00,
    IF(arrears_months=3,8.00,
    IF(arrears_months=4,10.00,
    IF(arrears_months=5,12.00,15.00)))))))</f>
        <v/>
      </c>
      <c r="M5102">
        <f>LET(
    seasoning_years,DATEDIF('Loan Tape (S&amp;P)'!K5102,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02">
        <f>IF(AND('Loan Tape (S&amp;P)'!U5102="Yes",
        'Loan Tape (S&amp;P)'!T5102&lt;&gt;"Yes",
        DATEDIF('Loan Tape (S&amp;P)'!K5102, TODAY(), "M")&lt;18),
    1.10,
    1.00)</f>
        <v/>
      </c>
      <c r="O5102">
        <f>IF('Loan Tape (S&amp;P)'!T5102="Yes",
    1.35,
    1.00)</f>
        <v/>
      </c>
      <c r="P5102">
        <f>IF('Loan Tape (S&amp;P)'!S5102="Yes",
    1.15,
    1.00)</f>
        <v/>
      </c>
      <c r="Q5102">
        <f>IF('Loan Tape (S&amp;P)'!V5102="Yes",
    1.20,
    1.00)</f>
        <v/>
      </c>
      <c r="T5102">
        <f>LET(
    payment_method,'Loan Tape (S&amp;P)'!P5102,
    occupancy,'Loan Tape (S&amp;P)'!N5102,
    maturity_date,'Loan Tape (S&amp;P)'!L5102,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03">
      <c r="J5103">
        <f>LET(
    lien,'Loan Tape (S&amp;P)'!Q5103,
    IF(lien="First",1.00,
        IF(lien="Second",1.50,
            1.70)))</f>
        <v/>
      </c>
      <c r="K5103">
        <f>LET(
    purpose,'Loan Tape (S&amp;P)'!R5103,
    IF(purpose="Purchase",1.00,
        IF(purpose="Remortgage",1.00,
            1.20)))</f>
        <v/>
      </c>
      <c r="L5103">
        <f>LET(
    arrears_months,'Loan Tape (S&amp;P)'!AN5103,
    IF(arrears_months=0,1.00,
    IF(arrears_months=1,3.00,
    IF(arrears_months=2,5.00,
    IF(arrears_months=3,8.00,
    IF(arrears_months=4,10.00,
    IF(arrears_months=5,12.00,15.00)))))))</f>
        <v/>
      </c>
      <c r="M5103">
        <f>LET(
    seasoning_years,DATEDIF('Loan Tape (S&amp;P)'!K5103,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03">
        <f>IF(AND('Loan Tape (S&amp;P)'!U5103="Yes",
        'Loan Tape (S&amp;P)'!T5103&lt;&gt;"Yes",
        DATEDIF('Loan Tape (S&amp;P)'!K5103, TODAY(), "M")&lt;18),
    1.10,
    1.00)</f>
        <v/>
      </c>
      <c r="O5103">
        <f>IF('Loan Tape (S&amp;P)'!T5103="Yes",
    1.35,
    1.00)</f>
        <v/>
      </c>
      <c r="P5103">
        <f>IF('Loan Tape (S&amp;P)'!S5103="Yes",
    1.15,
    1.00)</f>
        <v/>
      </c>
      <c r="Q5103">
        <f>IF('Loan Tape (S&amp;P)'!V5103="Yes",
    1.20,
    1.00)</f>
        <v/>
      </c>
      <c r="T5103">
        <f>LET(
    payment_method,'Loan Tape (S&amp;P)'!P5103,
    occupancy,'Loan Tape (S&amp;P)'!N5103,
    maturity_date,'Loan Tape (S&amp;P)'!L5103,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04">
      <c r="J5104">
        <f>LET(
    lien,'Loan Tape (S&amp;P)'!Q5104,
    IF(lien="First",1.00,
        IF(lien="Second",1.50,
            1.70)))</f>
        <v/>
      </c>
      <c r="K5104">
        <f>LET(
    purpose,'Loan Tape (S&amp;P)'!R5104,
    IF(purpose="Purchase",1.00,
        IF(purpose="Remortgage",1.00,
            1.20)))</f>
        <v/>
      </c>
      <c r="L5104">
        <f>LET(
    arrears_months,'Loan Tape (S&amp;P)'!AN5104,
    IF(arrears_months=0,1.00,
    IF(arrears_months=1,3.00,
    IF(arrears_months=2,5.00,
    IF(arrears_months=3,8.00,
    IF(arrears_months=4,10.00,
    IF(arrears_months=5,12.00,15.00)))))))</f>
        <v/>
      </c>
      <c r="M5104">
        <f>LET(
    seasoning_years,DATEDIF('Loan Tape (S&amp;P)'!K5104,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04">
        <f>IF(AND('Loan Tape (S&amp;P)'!U5104="Yes",
        'Loan Tape (S&amp;P)'!T5104&lt;&gt;"Yes",
        DATEDIF('Loan Tape (S&amp;P)'!K5104, TODAY(), "M")&lt;18),
    1.10,
    1.00)</f>
        <v/>
      </c>
      <c r="O5104">
        <f>IF('Loan Tape (S&amp;P)'!T5104="Yes",
    1.35,
    1.00)</f>
        <v/>
      </c>
      <c r="P5104">
        <f>IF('Loan Tape (S&amp;P)'!S5104="Yes",
    1.15,
    1.00)</f>
        <v/>
      </c>
      <c r="Q5104">
        <f>IF('Loan Tape (S&amp;P)'!V5104="Yes",
    1.20,
    1.00)</f>
        <v/>
      </c>
      <c r="T5104">
        <f>LET(
    payment_method,'Loan Tape (S&amp;P)'!P5104,
    occupancy,'Loan Tape (S&amp;P)'!N5104,
    maturity_date,'Loan Tape (S&amp;P)'!L5104,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05">
      <c r="J5105">
        <f>LET(
    lien,'Loan Tape (S&amp;P)'!Q5105,
    IF(lien="First",1.00,
        IF(lien="Second",1.50,
            1.70)))</f>
        <v/>
      </c>
      <c r="K5105">
        <f>LET(
    purpose,'Loan Tape (S&amp;P)'!R5105,
    IF(purpose="Purchase",1.00,
        IF(purpose="Remortgage",1.00,
            1.20)))</f>
        <v/>
      </c>
      <c r="L5105">
        <f>LET(
    arrears_months,'Loan Tape (S&amp;P)'!AN5105,
    IF(arrears_months=0,1.00,
    IF(arrears_months=1,3.00,
    IF(arrears_months=2,5.00,
    IF(arrears_months=3,8.00,
    IF(arrears_months=4,10.00,
    IF(arrears_months=5,12.00,15.00)))))))</f>
        <v/>
      </c>
      <c r="M5105">
        <f>LET(
    seasoning_years,DATEDIF('Loan Tape (S&amp;P)'!K5105,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05">
        <f>IF(AND('Loan Tape (S&amp;P)'!U5105="Yes",
        'Loan Tape (S&amp;P)'!T5105&lt;&gt;"Yes",
        DATEDIF('Loan Tape (S&amp;P)'!K5105, TODAY(), "M")&lt;18),
    1.10,
    1.00)</f>
        <v/>
      </c>
      <c r="O5105">
        <f>IF('Loan Tape (S&amp;P)'!T5105="Yes",
    1.35,
    1.00)</f>
        <v/>
      </c>
      <c r="P5105">
        <f>IF('Loan Tape (S&amp;P)'!S5105="Yes",
    1.15,
    1.00)</f>
        <v/>
      </c>
      <c r="Q5105">
        <f>IF('Loan Tape (S&amp;P)'!V5105="Yes",
    1.20,
    1.00)</f>
        <v/>
      </c>
      <c r="T5105">
        <f>LET(
    payment_method,'Loan Tape (S&amp;P)'!P5105,
    occupancy,'Loan Tape (S&amp;P)'!N5105,
    maturity_date,'Loan Tape (S&amp;P)'!L5105,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06">
      <c r="J5106">
        <f>LET(
    lien,'Loan Tape (S&amp;P)'!Q5106,
    IF(lien="First",1.00,
        IF(lien="Second",1.50,
            1.70)))</f>
        <v/>
      </c>
      <c r="K5106">
        <f>LET(
    purpose,'Loan Tape (S&amp;P)'!R5106,
    IF(purpose="Purchase",1.00,
        IF(purpose="Remortgage",1.00,
            1.20)))</f>
        <v/>
      </c>
      <c r="L5106">
        <f>LET(
    arrears_months,'Loan Tape (S&amp;P)'!AN5106,
    IF(arrears_months=0,1.00,
    IF(arrears_months=1,3.00,
    IF(arrears_months=2,5.00,
    IF(arrears_months=3,8.00,
    IF(arrears_months=4,10.00,
    IF(arrears_months=5,12.00,15.00)))))))</f>
        <v/>
      </c>
      <c r="M5106">
        <f>LET(
    seasoning_years,DATEDIF('Loan Tape (S&amp;P)'!K5106,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06">
        <f>IF(AND('Loan Tape (S&amp;P)'!U5106="Yes",
        'Loan Tape (S&amp;P)'!T5106&lt;&gt;"Yes",
        DATEDIF('Loan Tape (S&amp;P)'!K5106, TODAY(), "M")&lt;18),
    1.10,
    1.00)</f>
        <v/>
      </c>
      <c r="O5106">
        <f>IF('Loan Tape (S&amp;P)'!T5106="Yes",
    1.35,
    1.00)</f>
        <v/>
      </c>
      <c r="P5106">
        <f>IF('Loan Tape (S&amp;P)'!S5106="Yes",
    1.15,
    1.00)</f>
        <v/>
      </c>
      <c r="Q5106">
        <f>IF('Loan Tape (S&amp;P)'!V5106="Yes",
    1.20,
    1.00)</f>
        <v/>
      </c>
      <c r="T5106">
        <f>LET(
    payment_method,'Loan Tape (S&amp;P)'!P5106,
    occupancy,'Loan Tape (S&amp;P)'!N5106,
    maturity_date,'Loan Tape (S&amp;P)'!L5106,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07">
      <c r="J5107">
        <f>LET(
    lien,'Loan Tape (S&amp;P)'!Q5107,
    IF(lien="First",1.00,
        IF(lien="Second",1.50,
            1.70)))</f>
        <v/>
      </c>
      <c r="K5107">
        <f>LET(
    purpose,'Loan Tape (S&amp;P)'!R5107,
    IF(purpose="Purchase",1.00,
        IF(purpose="Remortgage",1.00,
            1.20)))</f>
        <v/>
      </c>
      <c r="L5107">
        <f>LET(
    arrears_months,'Loan Tape (S&amp;P)'!AN5107,
    IF(arrears_months=0,1.00,
    IF(arrears_months=1,3.00,
    IF(arrears_months=2,5.00,
    IF(arrears_months=3,8.00,
    IF(arrears_months=4,10.00,
    IF(arrears_months=5,12.00,15.00)))))))</f>
        <v/>
      </c>
      <c r="M5107">
        <f>LET(
    seasoning_years,DATEDIF('Loan Tape (S&amp;P)'!K5107,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07">
        <f>IF(AND('Loan Tape (S&amp;P)'!U5107="Yes",
        'Loan Tape (S&amp;P)'!T5107&lt;&gt;"Yes",
        DATEDIF('Loan Tape (S&amp;P)'!K5107, TODAY(), "M")&lt;18),
    1.10,
    1.00)</f>
        <v/>
      </c>
      <c r="O5107">
        <f>IF('Loan Tape (S&amp;P)'!T5107="Yes",
    1.35,
    1.00)</f>
        <v/>
      </c>
      <c r="P5107">
        <f>IF('Loan Tape (S&amp;P)'!S5107="Yes",
    1.15,
    1.00)</f>
        <v/>
      </c>
      <c r="Q5107">
        <f>IF('Loan Tape (S&amp;P)'!V5107="Yes",
    1.20,
    1.00)</f>
        <v/>
      </c>
      <c r="T5107">
        <f>LET(
    payment_method,'Loan Tape (S&amp;P)'!P5107,
    occupancy,'Loan Tape (S&amp;P)'!N5107,
    maturity_date,'Loan Tape (S&amp;P)'!L5107,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08">
      <c r="J5108">
        <f>LET(
    lien,'Loan Tape (S&amp;P)'!Q5108,
    IF(lien="First",1.00,
        IF(lien="Second",1.50,
            1.70)))</f>
        <v/>
      </c>
      <c r="K5108">
        <f>LET(
    purpose,'Loan Tape (S&amp;P)'!R5108,
    IF(purpose="Purchase",1.00,
        IF(purpose="Remortgage",1.00,
            1.20)))</f>
        <v/>
      </c>
      <c r="L5108">
        <f>LET(
    arrears_months,'Loan Tape (S&amp;P)'!AN5108,
    IF(arrears_months=0,1.00,
    IF(arrears_months=1,3.00,
    IF(arrears_months=2,5.00,
    IF(arrears_months=3,8.00,
    IF(arrears_months=4,10.00,
    IF(arrears_months=5,12.00,15.00)))))))</f>
        <v/>
      </c>
      <c r="M5108">
        <f>LET(
    seasoning_years,DATEDIF('Loan Tape (S&amp;P)'!K5108,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08">
        <f>IF(AND('Loan Tape (S&amp;P)'!U5108="Yes",
        'Loan Tape (S&amp;P)'!T5108&lt;&gt;"Yes",
        DATEDIF('Loan Tape (S&amp;P)'!K5108, TODAY(), "M")&lt;18),
    1.10,
    1.00)</f>
        <v/>
      </c>
      <c r="O5108">
        <f>IF('Loan Tape (S&amp;P)'!T5108="Yes",
    1.35,
    1.00)</f>
        <v/>
      </c>
      <c r="P5108">
        <f>IF('Loan Tape (S&amp;P)'!S5108="Yes",
    1.15,
    1.00)</f>
        <v/>
      </c>
      <c r="Q5108">
        <f>IF('Loan Tape (S&amp;P)'!V5108="Yes",
    1.20,
    1.00)</f>
        <v/>
      </c>
      <c r="T5108">
        <f>LET(
    payment_method,'Loan Tape (S&amp;P)'!P5108,
    occupancy,'Loan Tape (S&amp;P)'!N5108,
    maturity_date,'Loan Tape (S&amp;P)'!L5108,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09">
      <c r="J5109">
        <f>LET(
    lien,'Loan Tape (S&amp;P)'!Q5109,
    IF(lien="First",1.00,
        IF(lien="Second",1.50,
            1.70)))</f>
        <v/>
      </c>
      <c r="K5109">
        <f>LET(
    purpose,'Loan Tape (S&amp;P)'!R5109,
    IF(purpose="Purchase",1.00,
        IF(purpose="Remortgage",1.00,
            1.20)))</f>
        <v/>
      </c>
      <c r="L5109">
        <f>LET(
    arrears_months,'Loan Tape (S&amp;P)'!AN5109,
    IF(arrears_months=0,1.00,
    IF(arrears_months=1,3.00,
    IF(arrears_months=2,5.00,
    IF(arrears_months=3,8.00,
    IF(arrears_months=4,10.00,
    IF(arrears_months=5,12.00,15.00)))))))</f>
        <v/>
      </c>
      <c r="M5109">
        <f>LET(
    seasoning_years,DATEDIF('Loan Tape (S&amp;P)'!K5109,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09">
        <f>IF(AND('Loan Tape (S&amp;P)'!U5109="Yes",
        'Loan Tape (S&amp;P)'!T5109&lt;&gt;"Yes",
        DATEDIF('Loan Tape (S&amp;P)'!K5109, TODAY(), "M")&lt;18),
    1.10,
    1.00)</f>
        <v/>
      </c>
      <c r="O5109">
        <f>IF('Loan Tape (S&amp;P)'!T5109="Yes",
    1.35,
    1.00)</f>
        <v/>
      </c>
      <c r="P5109">
        <f>IF('Loan Tape (S&amp;P)'!S5109="Yes",
    1.15,
    1.00)</f>
        <v/>
      </c>
      <c r="Q5109">
        <f>IF('Loan Tape (S&amp;P)'!V5109="Yes",
    1.20,
    1.00)</f>
        <v/>
      </c>
      <c r="T5109">
        <f>LET(
    payment_method,'Loan Tape (S&amp;P)'!P5109,
    occupancy,'Loan Tape (S&amp;P)'!N5109,
    maturity_date,'Loan Tape (S&amp;P)'!L5109,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10">
      <c r="J5110">
        <f>LET(
    lien,'Loan Tape (S&amp;P)'!Q5110,
    IF(lien="First",1.00,
        IF(lien="Second",1.50,
            1.70)))</f>
        <v/>
      </c>
      <c r="K5110">
        <f>LET(
    purpose,'Loan Tape (S&amp;P)'!R5110,
    IF(purpose="Purchase",1.00,
        IF(purpose="Remortgage",1.00,
            1.20)))</f>
        <v/>
      </c>
      <c r="L5110">
        <f>LET(
    arrears_months,'Loan Tape (S&amp;P)'!AN5110,
    IF(arrears_months=0,1.00,
    IF(arrears_months=1,3.00,
    IF(arrears_months=2,5.00,
    IF(arrears_months=3,8.00,
    IF(arrears_months=4,10.00,
    IF(arrears_months=5,12.00,15.00)))))))</f>
        <v/>
      </c>
      <c r="M5110">
        <f>LET(
    seasoning_years,DATEDIF('Loan Tape (S&amp;P)'!K5110,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10">
        <f>IF(AND('Loan Tape (S&amp;P)'!U5110="Yes",
        'Loan Tape (S&amp;P)'!T5110&lt;&gt;"Yes",
        DATEDIF('Loan Tape (S&amp;P)'!K5110, TODAY(), "M")&lt;18),
    1.10,
    1.00)</f>
        <v/>
      </c>
      <c r="O5110">
        <f>IF('Loan Tape (S&amp;P)'!T5110="Yes",
    1.35,
    1.00)</f>
        <v/>
      </c>
      <c r="P5110">
        <f>IF('Loan Tape (S&amp;P)'!S5110="Yes",
    1.15,
    1.00)</f>
        <v/>
      </c>
      <c r="Q5110">
        <f>IF('Loan Tape (S&amp;P)'!V5110="Yes",
    1.20,
    1.00)</f>
        <v/>
      </c>
      <c r="T5110">
        <f>LET(
    payment_method,'Loan Tape (S&amp;P)'!P5110,
    occupancy,'Loan Tape (S&amp;P)'!N5110,
    maturity_date,'Loan Tape (S&amp;P)'!L5110,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11">
      <c r="J5111">
        <f>LET(
    lien,'Loan Tape (S&amp;P)'!Q5111,
    IF(lien="First",1.00,
        IF(lien="Second",1.50,
            1.70)))</f>
        <v/>
      </c>
      <c r="K5111">
        <f>LET(
    purpose,'Loan Tape (S&amp;P)'!R5111,
    IF(purpose="Purchase",1.00,
        IF(purpose="Remortgage",1.00,
            1.20)))</f>
        <v/>
      </c>
      <c r="L5111">
        <f>LET(
    arrears_months,'Loan Tape (S&amp;P)'!AN5111,
    IF(arrears_months=0,1.00,
    IF(arrears_months=1,3.00,
    IF(arrears_months=2,5.00,
    IF(arrears_months=3,8.00,
    IF(arrears_months=4,10.00,
    IF(arrears_months=5,12.00,15.00)))))))</f>
        <v/>
      </c>
      <c r="M5111">
        <f>LET(
    seasoning_years,DATEDIF('Loan Tape (S&amp;P)'!K5111,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11">
        <f>IF(AND('Loan Tape (S&amp;P)'!U5111="Yes",
        'Loan Tape (S&amp;P)'!T5111&lt;&gt;"Yes",
        DATEDIF('Loan Tape (S&amp;P)'!K5111, TODAY(), "M")&lt;18),
    1.10,
    1.00)</f>
        <v/>
      </c>
      <c r="O5111">
        <f>IF('Loan Tape (S&amp;P)'!T5111="Yes",
    1.35,
    1.00)</f>
        <v/>
      </c>
      <c r="P5111">
        <f>IF('Loan Tape (S&amp;P)'!S5111="Yes",
    1.15,
    1.00)</f>
        <v/>
      </c>
      <c r="Q5111">
        <f>IF('Loan Tape (S&amp;P)'!V5111="Yes",
    1.20,
    1.00)</f>
        <v/>
      </c>
      <c r="T5111">
        <f>LET(
    payment_method,'Loan Tape (S&amp;P)'!P5111,
    occupancy,'Loan Tape (S&amp;P)'!N5111,
    maturity_date,'Loan Tape (S&amp;P)'!L5111,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12">
      <c r="J5112">
        <f>LET(
    lien,'Loan Tape (S&amp;P)'!Q5112,
    IF(lien="First",1.00,
        IF(lien="Second",1.50,
            1.70)))</f>
        <v/>
      </c>
      <c r="K5112">
        <f>LET(
    purpose,'Loan Tape (S&amp;P)'!R5112,
    IF(purpose="Purchase",1.00,
        IF(purpose="Remortgage",1.00,
            1.20)))</f>
        <v/>
      </c>
      <c r="L5112">
        <f>LET(
    arrears_months,'Loan Tape (S&amp;P)'!AN5112,
    IF(arrears_months=0,1.00,
    IF(arrears_months=1,3.00,
    IF(arrears_months=2,5.00,
    IF(arrears_months=3,8.00,
    IF(arrears_months=4,10.00,
    IF(arrears_months=5,12.00,15.00)))))))</f>
        <v/>
      </c>
      <c r="M5112">
        <f>LET(
    seasoning_years,DATEDIF('Loan Tape (S&amp;P)'!K5112,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12">
        <f>IF(AND('Loan Tape (S&amp;P)'!U5112="Yes",
        'Loan Tape (S&amp;P)'!T5112&lt;&gt;"Yes",
        DATEDIF('Loan Tape (S&amp;P)'!K5112, TODAY(), "M")&lt;18),
    1.10,
    1.00)</f>
        <v/>
      </c>
      <c r="O5112">
        <f>IF('Loan Tape (S&amp;P)'!T5112="Yes",
    1.35,
    1.00)</f>
        <v/>
      </c>
      <c r="P5112">
        <f>IF('Loan Tape (S&amp;P)'!S5112="Yes",
    1.15,
    1.00)</f>
        <v/>
      </c>
      <c r="Q5112">
        <f>IF('Loan Tape (S&amp;P)'!V5112="Yes",
    1.20,
    1.00)</f>
        <v/>
      </c>
      <c r="T5112">
        <f>LET(
    payment_method,'Loan Tape (S&amp;P)'!P5112,
    occupancy,'Loan Tape (S&amp;P)'!N5112,
    maturity_date,'Loan Tape (S&amp;P)'!L5112,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13">
      <c r="J5113">
        <f>LET(
    lien,'Loan Tape (S&amp;P)'!Q5113,
    IF(lien="First",1.00,
        IF(lien="Second",1.50,
            1.70)))</f>
        <v/>
      </c>
      <c r="K5113">
        <f>LET(
    purpose,'Loan Tape (S&amp;P)'!R5113,
    IF(purpose="Purchase",1.00,
        IF(purpose="Remortgage",1.00,
            1.20)))</f>
        <v/>
      </c>
      <c r="L5113">
        <f>LET(
    arrears_months,'Loan Tape (S&amp;P)'!AN5113,
    IF(arrears_months=0,1.00,
    IF(arrears_months=1,3.00,
    IF(arrears_months=2,5.00,
    IF(arrears_months=3,8.00,
    IF(arrears_months=4,10.00,
    IF(arrears_months=5,12.00,15.00)))))))</f>
        <v/>
      </c>
      <c r="M5113">
        <f>LET(
    seasoning_years,DATEDIF('Loan Tape (S&amp;P)'!K5113,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13">
        <f>IF(AND('Loan Tape (S&amp;P)'!U5113="Yes",
        'Loan Tape (S&amp;P)'!T5113&lt;&gt;"Yes",
        DATEDIF('Loan Tape (S&amp;P)'!K5113, TODAY(), "M")&lt;18),
    1.10,
    1.00)</f>
        <v/>
      </c>
      <c r="O5113">
        <f>IF('Loan Tape (S&amp;P)'!T5113="Yes",
    1.35,
    1.00)</f>
        <v/>
      </c>
      <c r="P5113">
        <f>IF('Loan Tape (S&amp;P)'!S5113="Yes",
    1.15,
    1.00)</f>
        <v/>
      </c>
      <c r="Q5113">
        <f>IF('Loan Tape (S&amp;P)'!V5113="Yes",
    1.20,
    1.00)</f>
        <v/>
      </c>
      <c r="T5113">
        <f>LET(
    payment_method,'Loan Tape (S&amp;P)'!P5113,
    occupancy,'Loan Tape (S&amp;P)'!N5113,
    maturity_date,'Loan Tape (S&amp;P)'!L5113,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14">
      <c r="J5114">
        <f>LET(
    lien,'Loan Tape (S&amp;P)'!Q5114,
    IF(lien="First",1.00,
        IF(lien="Second",1.50,
            1.70)))</f>
        <v/>
      </c>
      <c r="K5114">
        <f>LET(
    purpose,'Loan Tape (S&amp;P)'!R5114,
    IF(purpose="Purchase",1.00,
        IF(purpose="Remortgage",1.00,
            1.20)))</f>
        <v/>
      </c>
      <c r="L5114">
        <f>LET(
    arrears_months,'Loan Tape (S&amp;P)'!AN5114,
    IF(arrears_months=0,1.00,
    IF(arrears_months=1,3.00,
    IF(arrears_months=2,5.00,
    IF(arrears_months=3,8.00,
    IF(arrears_months=4,10.00,
    IF(arrears_months=5,12.00,15.00)))))))</f>
        <v/>
      </c>
      <c r="M5114">
        <f>LET(
    seasoning_years,DATEDIF('Loan Tape (S&amp;P)'!K5114,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14">
        <f>IF(AND('Loan Tape (S&amp;P)'!U5114="Yes",
        'Loan Tape (S&amp;P)'!T5114&lt;&gt;"Yes",
        DATEDIF('Loan Tape (S&amp;P)'!K5114, TODAY(), "M")&lt;18),
    1.10,
    1.00)</f>
        <v/>
      </c>
      <c r="O5114">
        <f>IF('Loan Tape (S&amp;P)'!T5114="Yes",
    1.35,
    1.00)</f>
        <v/>
      </c>
      <c r="P5114">
        <f>IF('Loan Tape (S&amp;P)'!S5114="Yes",
    1.15,
    1.00)</f>
        <v/>
      </c>
      <c r="Q5114">
        <f>IF('Loan Tape (S&amp;P)'!V5114="Yes",
    1.20,
    1.00)</f>
        <v/>
      </c>
      <c r="T5114">
        <f>LET(
    payment_method,'Loan Tape (S&amp;P)'!P5114,
    occupancy,'Loan Tape (S&amp;P)'!N5114,
    maturity_date,'Loan Tape (S&amp;P)'!L5114,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15">
      <c r="J5115">
        <f>LET(
    lien,'Loan Tape (S&amp;P)'!Q5115,
    IF(lien="First",1.00,
        IF(lien="Second",1.50,
            1.70)))</f>
        <v/>
      </c>
      <c r="K5115">
        <f>LET(
    purpose,'Loan Tape (S&amp;P)'!R5115,
    IF(purpose="Purchase",1.00,
        IF(purpose="Remortgage",1.00,
            1.20)))</f>
        <v/>
      </c>
      <c r="L5115">
        <f>LET(
    arrears_months,'Loan Tape (S&amp;P)'!AN5115,
    IF(arrears_months=0,1.00,
    IF(arrears_months=1,3.00,
    IF(arrears_months=2,5.00,
    IF(arrears_months=3,8.00,
    IF(arrears_months=4,10.00,
    IF(arrears_months=5,12.00,15.00)))))))</f>
        <v/>
      </c>
      <c r="M5115">
        <f>LET(
    seasoning_years,DATEDIF('Loan Tape (S&amp;P)'!K5115,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15">
        <f>IF(AND('Loan Tape (S&amp;P)'!U5115="Yes",
        'Loan Tape (S&amp;P)'!T5115&lt;&gt;"Yes",
        DATEDIF('Loan Tape (S&amp;P)'!K5115, TODAY(), "M")&lt;18),
    1.10,
    1.00)</f>
        <v/>
      </c>
      <c r="O5115">
        <f>IF('Loan Tape (S&amp;P)'!T5115="Yes",
    1.35,
    1.00)</f>
        <v/>
      </c>
      <c r="P5115">
        <f>IF('Loan Tape (S&amp;P)'!S5115="Yes",
    1.15,
    1.00)</f>
        <v/>
      </c>
      <c r="Q5115">
        <f>IF('Loan Tape (S&amp;P)'!V5115="Yes",
    1.20,
    1.00)</f>
        <v/>
      </c>
      <c r="T5115">
        <f>LET(
    payment_method,'Loan Tape (S&amp;P)'!P5115,
    occupancy,'Loan Tape (S&amp;P)'!N5115,
    maturity_date,'Loan Tape (S&amp;P)'!L5115,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16">
      <c r="J5116">
        <f>LET(
    lien,'Loan Tape (S&amp;P)'!Q5116,
    IF(lien="First",1.00,
        IF(lien="Second",1.50,
            1.70)))</f>
        <v/>
      </c>
      <c r="K5116">
        <f>LET(
    purpose,'Loan Tape (S&amp;P)'!R5116,
    IF(purpose="Purchase",1.00,
        IF(purpose="Remortgage",1.00,
            1.20)))</f>
        <v/>
      </c>
      <c r="L5116">
        <f>LET(
    arrears_months,'Loan Tape (S&amp;P)'!AN5116,
    IF(arrears_months=0,1.00,
    IF(arrears_months=1,3.00,
    IF(arrears_months=2,5.00,
    IF(arrears_months=3,8.00,
    IF(arrears_months=4,10.00,
    IF(arrears_months=5,12.00,15.00)))))))</f>
        <v/>
      </c>
      <c r="M5116">
        <f>LET(
    seasoning_years,DATEDIF('Loan Tape (S&amp;P)'!K5116,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16">
        <f>IF(AND('Loan Tape (S&amp;P)'!U5116="Yes",
        'Loan Tape (S&amp;P)'!T5116&lt;&gt;"Yes",
        DATEDIF('Loan Tape (S&amp;P)'!K5116, TODAY(), "M")&lt;18),
    1.10,
    1.00)</f>
        <v/>
      </c>
      <c r="O5116">
        <f>IF('Loan Tape (S&amp;P)'!T5116="Yes",
    1.35,
    1.00)</f>
        <v/>
      </c>
      <c r="P5116">
        <f>IF('Loan Tape (S&amp;P)'!S5116="Yes",
    1.15,
    1.00)</f>
        <v/>
      </c>
      <c r="Q5116">
        <f>IF('Loan Tape (S&amp;P)'!V5116="Yes",
    1.20,
    1.00)</f>
        <v/>
      </c>
      <c r="T5116">
        <f>LET(
    payment_method,'Loan Tape (S&amp;P)'!P5116,
    occupancy,'Loan Tape (S&amp;P)'!N5116,
    maturity_date,'Loan Tape (S&amp;P)'!L5116,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17">
      <c r="J5117">
        <f>LET(
    lien,'Loan Tape (S&amp;P)'!Q5117,
    IF(lien="First",1.00,
        IF(lien="Second",1.50,
            1.70)))</f>
        <v/>
      </c>
      <c r="K5117">
        <f>LET(
    purpose,'Loan Tape (S&amp;P)'!R5117,
    IF(purpose="Purchase",1.00,
        IF(purpose="Remortgage",1.00,
            1.20)))</f>
        <v/>
      </c>
      <c r="L5117">
        <f>LET(
    arrears_months,'Loan Tape (S&amp;P)'!AN5117,
    IF(arrears_months=0,1.00,
    IF(arrears_months=1,3.00,
    IF(arrears_months=2,5.00,
    IF(arrears_months=3,8.00,
    IF(arrears_months=4,10.00,
    IF(arrears_months=5,12.00,15.00)))))))</f>
        <v/>
      </c>
      <c r="M5117">
        <f>LET(
    seasoning_years,DATEDIF('Loan Tape (S&amp;P)'!K5117,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17">
        <f>IF(AND('Loan Tape (S&amp;P)'!U5117="Yes",
        'Loan Tape (S&amp;P)'!T5117&lt;&gt;"Yes",
        DATEDIF('Loan Tape (S&amp;P)'!K5117, TODAY(), "M")&lt;18),
    1.10,
    1.00)</f>
        <v/>
      </c>
      <c r="O5117">
        <f>IF('Loan Tape (S&amp;P)'!T5117="Yes",
    1.35,
    1.00)</f>
        <v/>
      </c>
      <c r="P5117">
        <f>IF('Loan Tape (S&amp;P)'!S5117="Yes",
    1.15,
    1.00)</f>
        <v/>
      </c>
      <c r="Q5117">
        <f>IF('Loan Tape (S&amp;P)'!V5117="Yes",
    1.20,
    1.00)</f>
        <v/>
      </c>
      <c r="T5117">
        <f>LET(
    payment_method,'Loan Tape (S&amp;P)'!P5117,
    occupancy,'Loan Tape (S&amp;P)'!N5117,
    maturity_date,'Loan Tape (S&amp;P)'!L5117,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18">
      <c r="J5118">
        <f>LET(
    lien,'Loan Tape (S&amp;P)'!Q5118,
    IF(lien="First",1.00,
        IF(lien="Second",1.50,
            1.70)))</f>
        <v/>
      </c>
      <c r="K5118">
        <f>LET(
    purpose,'Loan Tape (S&amp;P)'!R5118,
    IF(purpose="Purchase",1.00,
        IF(purpose="Remortgage",1.00,
            1.20)))</f>
        <v/>
      </c>
      <c r="L5118">
        <f>LET(
    arrears_months,'Loan Tape (S&amp;P)'!AN5118,
    IF(arrears_months=0,1.00,
    IF(arrears_months=1,3.00,
    IF(arrears_months=2,5.00,
    IF(arrears_months=3,8.00,
    IF(arrears_months=4,10.00,
    IF(arrears_months=5,12.00,15.00)))))))</f>
        <v/>
      </c>
      <c r="M5118">
        <f>LET(
    seasoning_years,DATEDIF('Loan Tape (S&amp;P)'!K5118,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18">
        <f>IF(AND('Loan Tape (S&amp;P)'!U5118="Yes",
        'Loan Tape (S&amp;P)'!T5118&lt;&gt;"Yes",
        DATEDIF('Loan Tape (S&amp;P)'!K5118, TODAY(), "M")&lt;18),
    1.10,
    1.00)</f>
        <v/>
      </c>
      <c r="O5118">
        <f>IF('Loan Tape (S&amp;P)'!T5118="Yes",
    1.35,
    1.00)</f>
        <v/>
      </c>
      <c r="P5118">
        <f>IF('Loan Tape (S&amp;P)'!S5118="Yes",
    1.15,
    1.00)</f>
        <v/>
      </c>
      <c r="Q5118">
        <f>IF('Loan Tape (S&amp;P)'!V5118="Yes",
    1.20,
    1.00)</f>
        <v/>
      </c>
      <c r="T5118">
        <f>LET(
    payment_method,'Loan Tape (S&amp;P)'!P5118,
    occupancy,'Loan Tape (S&amp;P)'!N5118,
    maturity_date,'Loan Tape (S&amp;P)'!L5118,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19">
      <c r="J5119">
        <f>LET(
    lien,'Loan Tape (S&amp;P)'!Q5119,
    IF(lien="First",1.00,
        IF(lien="Second",1.50,
            1.70)))</f>
        <v/>
      </c>
      <c r="K5119">
        <f>LET(
    purpose,'Loan Tape (S&amp;P)'!R5119,
    IF(purpose="Purchase",1.00,
        IF(purpose="Remortgage",1.00,
            1.20)))</f>
        <v/>
      </c>
      <c r="L5119">
        <f>LET(
    arrears_months,'Loan Tape (S&amp;P)'!AN5119,
    IF(arrears_months=0,1.00,
    IF(arrears_months=1,3.00,
    IF(arrears_months=2,5.00,
    IF(arrears_months=3,8.00,
    IF(arrears_months=4,10.00,
    IF(arrears_months=5,12.00,15.00)))))))</f>
        <v/>
      </c>
      <c r="M5119">
        <f>LET(
    seasoning_years,DATEDIF('Loan Tape (S&amp;P)'!K5119,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19">
        <f>IF(AND('Loan Tape (S&amp;P)'!U5119="Yes",
        'Loan Tape (S&amp;P)'!T5119&lt;&gt;"Yes",
        DATEDIF('Loan Tape (S&amp;P)'!K5119, TODAY(), "M")&lt;18),
    1.10,
    1.00)</f>
        <v/>
      </c>
      <c r="O5119">
        <f>IF('Loan Tape (S&amp;P)'!T5119="Yes",
    1.35,
    1.00)</f>
        <v/>
      </c>
      <c r="P5119">
        <f>IF('Loan Tape (S&amp;P)'!S5119="Yes",
    1.15,
    1.00)</f>
        <v/>
      </c>
      <c r="Q5119">
        <f>IF('Loan Tape (S&amp;P)'!V5119="Yes",
    1.20,
    1.00)</f>
        <v/>
      </c>
      <c r="T5119">
        <f>LET(
    payment_method,'Loan Tape (S&amp;P)'!P5119,
    occupancy,'Loan Tape (S&amp;P)'!N5119,
    maturity_date,'Loan Tape (S&amp;P)'!L5119,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20">
      <c r="J5120">
        <f>LET(
    lien,'Loan Tape (S&amp;P)'!Q5120,
    IF(lien="First",1.00,
        IF(lien="Second",1.50,
            1.70)))</f>
        <v/>
      </c>
      <c r="K5120">
        <f>LET(
    purpose,'Loan Tape (S&amp;P)'!R5120,
    IF(purpose="Purchase",1.00,
        IF(purpose="Remortgage",1.00,
            1.20)))</f>
        <v/>
      </c>
      <c r="L5120">
        <f>LET(
    arrears_months,'Loan Tape (S&amp;P)'!AN5120,
    IF(arrears_months=0,1.00,
    IF(arrears_months=1,3.00,
    IF(arrears_months=2,5.00,
    IF(arrears_months=3,8.00,
    IF(arrears_months=4,10.00,
    IF(arrears_months=5,12.00,15.00)))))))</f>
        <v/>
      </c>
      <c r="M5120">
        <f>LET(
    seasoning_years,DATEDIF('Loan Tape (S&amp;P)'!K5120,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20">
        <f>IF(AND('Loan Tape (S&amp;P)'!U5120="Yes",
        'Loan Tape (S&amp;P)'!T5120&lt;&gt;"Yes",
        DATEDIF('Loan Tape (S&amp;P)'!K5120, TODAY(), "M")&lt;18),
    1.10,
    1.00)</f>
        <v/>
      </c>
      <c r="O5120">
        <f>IF('Loan Tape (S&amp;P)'!T5120="Yes",
    1.35,
    1.00)</f>
        <v/>
      </c>
      <c r="P5120">
        <f>IF('Loan Tape (S&amp;P)'!S5120="Yes",
    1.15,
    1.00)</f>
        <v/>
      </c>
      <c r="Q5120">
        <f>IF('Loan Tape (S&amp;P)'!V5120="Yes",
    1.20,
    1.00)</f>
        <v/>
      </c>
      <c r="T5120">
        <f>LET(
    payment_method,'Loan Tape (S&amp;P)'!P5120,
    occupancy,'Loan Tape (S&amp;P)'!N5120,
    maturity_date,'Loan Tape (S&amp;P)'!L5120,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21">
      <c r="J5121">
        <f>LET(
    lien,'Loan Tape (S&amp;P)'!Q5121,
    IF(lien="First",1.00,
        IF(lien="Second",1.50,
            1.70)))</f>
        <v/>
      </c>
      <c r="K5121">
        <f>LET(
    purpose,'Loan Tape (S&amp;P)'!R5121,
    IF(purpose="Purchase",1.00,
        IF(purpose="Remortgage",1.00,
            1.20)))</f>
        <v/>
      </c>
      <c r="L5121">
        <f>LET(
    arrears_months,'Loan Tape (S&amp;P)'!AN5121,
    IF(arrears_months=0,1.00,
    IF(arrears_months=1,3.00,
    IF(arrears_months=2,5.00,
    IF(arrears_months=3,8.00,
    IF(arrears_months=4,10.00,
    IF(arrears_months=5,12.00,15.00)))))))</f>
        <v/>
      </c>
      <c r="M5121">
        <f>LET(
    seasoning_years,DATEDIF('Loan Tape (S&amp;P)'!K5121,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21">
        <f>IF(AND('Loan Tape (S&amp;P)'!U5121="Yes",
        'Loan Tape (S&amp;P)'!T5121&lt;&gt;"Yes",
        DATEDIF('Loan Tape (S&amp;P)'!K5121, TODAY(), "M")&lt;18),
    1.10,
    1.00)</f>
        <v/>
      </c>
      <c r="O5121">
        <f>IF('Loan Tape (S&amp;P)'!T5121="Yes",
    1.35,
    1.00)</f>
        <v/>
      </c>
      <c r="P5121">
        <f>IF('Loan Tape (S&amp;P)'!S5121="Yes",
    1.15,
    1.00)</f>
        <v/>
      </c>
      <c r="Q5121">
        <f>IF('Loan Tape (S&amp;P)'!V5121="Yes",
    1.20,
    1.00)</f>
        <v/>
      </c>
      <c r="T5121">
        <f>LET(
    payment_method,'Loan Tape (S&amp;P)'!P5121,
    occupancy,'Loan Tape (S&amp;P)'!N5121,
    maturity_date,'Loan Tape (S&amp;P)'!L5121,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22">
      <c r="J5122">
        <f>LET(
    lien,'Loan Tape (S&amp;P)'!Q5122,
    IF(lien="First",1.00,
        IF(lien="Second",1.50,
            1.70)))</f>
        <v/>
      </c>
      <c r="K5122">
        <f>LET(
    purpose,'Loan Tape (S&amp;P)'!R5122,
    IF(purpose="Purchase",1.00,
        IF(purpose="Remortgage",1.00,
            1.20)))</f>
        <v/>
      </c>
      <c r="L5122">
        <f>LET(
    arrears_months,'Loan Tape (S&amp;P)'!AN5122,
    IF(arrears_months=0,1.00,
    IF(arrears_months=1,3.00,
    IF(arrears_months=2,5.00,
    IF(arrears_months=3,8.00,
    IF(arrears_months=4,10.00,
    IF(arrears_months=5,12.00,15.00)))))))</f>
        <v/>
      </c>
      <c r="M5122">
        <f>LET(
    seasoning_years,DATEDIF('Loan Tape (S&amp;P)'!K5122,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22">
        <f>IF(AND('Loan Tape (S&amp;P)'!U5122="Yes",
        'Loan Tape (S&amp;P)'!T5122&lt;&gt;"Yes",
        DATEDIF('Loan Tape (S&amp;P)'!K5122, TODAY(), "M")&lt;18),
    1.10,
    1.00)</f>
        <v/>
      </c>
      <c r="O5122">
        <f>IF('Loan Tape (S&amp;P)'!T5122="Yes",
    1.35,
    1.00)</f>
        <v/>
      </c>
      <c r="P5122">
        <f>IF('Loan Tape (S&amp;P)'!S5122="Yes",
    1.15,
    1.00)</f>
        <v/>
      </c>
      <c r="Q5122">
        <f>IF('Loan Tape (S&amp;P)'!V5122="Yes",
    1.20,
    1.00)</f>
        <v/>
      </c>
      <c r="T5122">
        <f>LET(
    payment_method,'Loan Tape (S&amp;P)'!P5122,
    occupancy,'Loan Tape (S&amp;P)'!N5122,
    maturity_date,'Loan Tape (S&amp;P)'!L5122,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23">
      <c r="J5123">
        <f>LET(
    lien,'Loan Tape (S&amp;P)'!Q5123,
    IF(lien="First",1.00,
        IF(lien="Second",1.50,
            1.70)))</f>
        <v/>
      </c>
      <c r="K5123">
        <f>LET(
    purpose,'Loan Tape (S&amp;P)'!R5123,
    IF(purpose="Purchase",1.00,
        IF(purpose="Remortgage",1.00,
            1.20)))</f>
        <v/>
      </c>
      <c r="L5123">
        <f>LET(
    arrears_months,'Loan Tape (S&amp;P)'!AN5123,
    IF(arrears_months=0,1.00,
    IF(arrears_months=1,3.00,
    IF(arrears_months=2,5.00,
    IF(arrears_months=3,8.00,
    IF(arrears_months=4,10.00,
    IF(arrears_months=5,12.00,15.00)))))))</f>
        <v/>
      </c>
      <c r="M5123">
        <f>LET(
    seasoning_years,DATEDIF('Loan Tape (S&amp;P)'!K5123,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23">
        <f>IF(AND('Loan Tape (S&amp;P)'!U5123="Yes",
        'Loan Tape (S&amp;P)'!T5123&lt;&gt;"Yes",
        DATEDIF('Loan Tape (S&amp;P)'!K5123, TODAY(), "M")&lt;18),
    1.10,
    1.00)</f>
        <v/>
      </c>
      <c r="O5123">
        <f>IF('Loan Tape (S&amp;P)'!T5123="Yes",
    1.35,
    1.00)</f>
        <v/>
      </c>
      <c r="P5123">
        <f>IF('Loan Tape (S&amp;P)'!S5123="Yes",
    1.15,
    1.00)</f>
        <v/>
      </c>
      <c r="Q5123">
        <f>IF('Loan Tape (S&amp;P)'!V5123="Yes",
    1.20,
    1.00)</f>
        <v/>
      </c>
      <c r="T5123">
        <f>LET(
    payment_method,'Loan Tape (S&amp;P)'!P5123,
    occupancy,'Loan Tape (S&amp;P)'!N5123,
    maturity_date,'Loan Tape (S&amp;P)'!L5123,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24">
      <c r="J5124">
        <f>LET(
    lien,'Loan Tape (S&amp;P)'!Q5124,
    IF(lien="First",1.00,
        IF(lien="Second",1.50,
            1.70)))</f>
        <v/>
      </c>
      <c r="K5124">
        <f>LET(
    purpose,'Loan Tape (S&amp;P)'!R5124,
    IF(purpose="Purchase",1.00,
        IF(purpose="Remortgage",1.00,
            1.20)))</f>
        <v/>
      </c>
      <c r="L5124">
        <f>LET(
    arrears_months,'Loan Tape (S&amp;P)'!AN5124,
    IF(arrears_months=0,1.00,
    IF(arrears_months=1,3.00,
    IF(arrears_months=2,5.00,
    IF(arrears_months=3,8.00,
    IF(arrears_months=4,10.00,
    IF(arrears_months=5,12.00,15.00)))))))</f>
        <v/>
      </c>
      <c r="M5124">
        <f>LET(
    seasoning_years,DATEDIF('Loan Tape (S&amp;P)'!K5124,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24">
        <f>IF(AND('Loan Tape (S&amp;P)'!U5124="Yes",
        'Loan Tape (S&amp;P)'!T5124&lt;&gt;"Yes",
        DATEDIF('Loan Tape (S&amp;P)'!K5124, TODAY(), "M")&lt;18),
    1.10,
    1.00)</f>
        <v/>
      </c>
      <c r="O5124">
        <f>IF('Loan Tape (S&amp;P)'!T5124="Yes",
    1.35,
    1.00)</f>
        <v/>
      </c>
      <c r="P5124">
        <f>IF('Loan Tape (S&amp;P)'!S5124="Yes",
    1.15,
    1.00)</f>
        <v/>
      </c>
      <c r="Q5124">
        <f>IF('Loan Tape (S&amp;P)'!V5124="Yes",
    1.20,
    1.00)</f>
        <v/>
      </c>
      <c r="T5124">
        <f>LET(
    payment_method,'Loan Tape (S&amp;P)'!P5124,
    occupancy,'Loan Tape (S&amp;P)'!N5124,
    maturity_date,'Loan Tape (S&amp;P)'!L5124,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25">
      <c r="J5125">
        <f>LET(
    lien,'Loan Tape (S&amp;P)'!Q5125,
    IF(lien="First",1.00,
        IF(lien="Second",1.50,
            1.70)))</f>
        <v/>
      </c>
      <c r="K5125">
        <f>LET(
    purpose,'Loan Tape (S&amp;P)'!R5125,
    IF(purpose="Purchase",1.00,
        IF(purpose="Remortgage",1.00,
            1.20)))</f>
        <v/>
      </c>
      <c r="L5125">
        <f>LET(
    arrears_months,'Loan Tape (S&amp;P)'!AN5125,
    IF(arrears_months=0,1.00,
    IF(arrears_months=1,3.00,
    IF(arrears_months=2,5.00,
    IF(arrears_months=3,8.00,
    IF(arrears_months=4,10.00,
    IF(arrears_months=5,12.00,15.00)))))))</f>
        <v/>
      </c>
      <c r="M5125">
        <f>LET(
    seasoning_years,DATEDIF('Loan Tape (S&amp;P)'!K5125,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25">
        <f>IF(AND('Loan Tape (S&amp;P)'!U5125="Yes",
        'Loan Tape (S&amp;P)'!T5125&lt;&gt;"Yes",
        DATEDIF('Loan Tape (S&amp;P)'!K5125, TODAY(), "M")&lt;18),
    1.10,
    1.00)</f>
        <v/>
      </c>
      <c r="O5125">
        <f>IF('Loan Tape (S&amp;P)'!T5125="Yes",
    1.35,
    1.00)</f>
        <v/>
      </c>
      <c r="P5125">
        <f>IF('Loan Tape (S&amp;P)'!S5125="Yes",
    1.15,
    1.00)</f>
        <v/>
      </c>
      <c r="Q5125">
        <f>IF('Loan Tape (S&amp;P)'!V5125="Yes",
    1.20,
    1.00)</f>
        <v/>
      </c>
      <c r="T5125">
        <f>LET(
    payment_method,'Loan Tape (S&amp;P)'!P5125,
    occupancy,'Loan Tape (S&amp;P)'!N5125,
    maturity_date,'Loan Tape (S&amp;P)'!L5125,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26">
      <c r="J5126">
        <f>LET(
    lien,'Loan Tape (S&amp;P)'!Q5126,
    IF(lien="First",1.00,
        IF(lien="Second",1.50,
            1.70)))</f>
        <v/>
      </c>
      <c r="K5126">
        <f>LET(
    purpose,'Loan Tape (S&amp;P)'!R5126,
    IF(purpose="Purchase",1.00,
        IF(purpose="Remortgage",1.00,
            1.20)))</f>
        <v/>
      </c>
      <c r="L5126">
        <f>LET(
    arrears_months,'Loan Tape (S&amp;P)'!AN5126,
    IF(arrears_months=0,1.00,
    IF(arrears_months=1,3.00,
    IF(arrears_months=2,5.00,
    IF(arrears_months=3,8.00,
    IF(arrears_months=4,10.00,
    IF(arrears_months=5,12.00,15.00)))))))</f>
        <v/>
      </c>
      <c r="M5126">
        <f>LET(
    seasoning_years,DATEDIF('Loan Tape (S&amp;P)'!K5126,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26">
        <f>IF(AND('Loan Tape (S&amp;P)'!U5126="Yes",
        'Loan Tape (S&amp;P)'!T5126&lt;&gt;"Yes",
        DATEDIF('Loan Tape (S&amp;P)'!K5126, TODAY(), "M")&lt;18),
    1.10,
    1.00)</f>
        <v/>
      </c>
      <c r="O5126">
        <f>IF('Loan Tape (S&amp;P)'!T5126="Yes",
    1.35,
    1.00)</f>
        <v/>
      </c>
      <c r="P5126">
        <f>IF('Loan Tape (S&amp;P)'!S5126="Yes",
    1.15,
    1.00)</f>
        <v/>
      </c>
      <c r="Q5126">
        <f>IF('Loan Tape (S&amp;P)'!V5126="Yes",
    1.20,
    1.00)</f>
        <v/>
      </c>
      <c r="T5126">
        <f>LET(
    payment_method,'Loan Tape (S&amp;P)'!P5126,
    occupancy,'Loan Tape (S&amp;P)'!N5126,
    maturity_date,'Loan Tape (S&amp;P)'!L5126,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27">
      <c r="J5127">
        <f>LET(
    lien,'Loan Tape (S&amp;P)'!Q5127,
    IF(lien="First",1.00,
        IF(lien="Second",1.50,
            1.70)))</f>
        <v/>
      </c>
      <c r="K5127">
        <f>LET(
    purpose,'Loan Tape (S&amp;P)'!R5127,
    IF(purpose="Purchase",1.00,
        IF(purpose="Remortgage",1.00,
            1.20)))</f>
        <v/>
      </c>
      <c r="L5127">
        <f>LET(
    arrears_months,'Loan Tape (S&amp;P)'!AN5127,
    IF(arrears_months=0,1.00,
    IF(arrears_months=1,3.00,
    IF(arrears_months=2,5.00,
    IF(arrears_months=3,8.00,
    IF(arrears_months=4,10.00,
    IF(arrears_months=5,12.00,15.00)))))))</f>
        <v/>
      </c>
      <c r="M5127">
        <f>LET(
    seasoning_years,DATEDIF('Loan Tape (S&amp;P)'!K5127,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27">
        <f>IF(AND('Loan Tape (S&amp;P)'!U5127="Yes",
        'Loan Tape (S&amp;P)'!T5127&lt;&gt;"Yes",
        DATEDIF('Loan Tape (S&amp;P)'!K5127, TODAY(), "M")&lt;18),
    1.10,
    1.00)</f>
        <v/>
      </c>
      <c r="O5127">
        <f>IF('Loan Tape (S&amp;P)'!T5127="Yes",
    1.35,
    1.00)</f>
        <v/>
      </c>
      <c r="P5127">
        <f>IF('Loan Tape (S&amp;P)'!S5127="Yes",
    1.15,
    1.00)</f>
        <v/>
      </c>
      <c r="Q5127">
        <f>IF('Loan Tape (S&amp;P)'!V5127="Yes",
    1.20,
    1.00)</f>
        <v/>
      </c>
      <c r="T5127">
        <f>LET(
    payment_method,'Loan Tape (S&amp;P)'!P5127,
    occupancy,'Loan Tape (S&amp;P)'!N5127,
    maturity_date,'Loan Tape (S&amp;P)'!L5127,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28">
      <c r="J5128">
        <f>LET(
    lien,'Loan Tape (S&amp;P)'!Q5128,
    IF(lien="First",1.00,
        IF(lien="Second",1.50,
            1.70)))</f>
        <v/>
      </c>
      <c r="K5128">
        <f>LET(
    purpose,'Loan Tape (S&amp;P)'!R5128,
    IF(purpose="Purchase",1.00,
        IF(purpose="Remortgage",1.00,
            1.20)))</f>
        <v/>
      </c>
      <c r="L5128">
        <f>LET(
    arrears_months,'Loan Tape (S&amp;P)'!AN5128,
    IF(arrears_months=0,1.00,
    IF(arrears_months=1,3.00,
    IF(arrears_months=2,5.00,
    IF(arrears_months=3,8.00,
    IF(arrears_months=4,10.00,
    IF(arrears_months=5,12.00,15.00)))))))</f>
        <v/>
      </c>
      <c r="M5128">
        <f>LET(
    seasoning_years,DATEDIF('Loan Tape (S&amp;P)'!K5128,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28">
        <f>IF(AND('Loan Tape (S&amp;P)'!U5128="Yes",
        'Loan Tape (S&amp;P)'!T5128&lt;&gt;"Yes",
        DATEDIF('Loan Tape (S&amp;P)'!K5128, TODAY(), "M")&lt;18),
    1.10,
    1.00)</f>
        <v/>
      </c>
      <c r="O5128">
        <f>IF('Loan Tape (S&amp;P)'!T5128="Yes",
    1.35,
    1.00)</f>
        <v/>
      </c>
      <c r="P5128">
        <f>IF('Loan Tape (S&amp;P)'!S5128="Yes",
    1.15,
    1.00)</f>
        <v/>
      </c>
      <c r="Q5128">
        <f>IF('Loan Tape (S&amp;P)'!V5128="Yes",
    1.20,
    1.00)</f>
        <v/>
      </c>
      <c r="T5128">
        <f>LET(
    payment_method,'Loan Tape (S&amp;P)'!P5128,
    occupancy,'Loan Tape (S&amp;P)'!N5128,
    maturity_date,'Loan Tape (S&amp;P)'!L5128,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29">
      <c r="J5129">
        <f>LET(
    lien,'Loan Tape (S&amp;P)'!Q5129,
    IF(lien="First",1.00,
        IF(lien="Second",1.50,
            1.70)))</f>
        <v/>
      </c>
      <c r="K5129">
        <f>LET(
    purpose,'Loan Tape (S&amp;P)'!R5129,
    IF(purpose="Purchase",1.00,
        IF(purpose="Remortgage",1.00,
            1.20)))</f>
        <v/>
      </c>
      <c r="L5129">
        <f>LET(
    arrears_months,'Loan Tape (S&amp;P)'!AN5129,
    IF(arrears_months=0,1.00,
    IF(arrears_months=1,3.00,
    IF(arrears_months=2,5.00,
    IF(arrears_months=3,8.00,
    IF(arrears_months=4,10.00,
    IF(arrears_months=5,12.00,15.00)))))))</f>
        <v/>
      </c>
      <c r="M5129">
        <f>LET(
    seasoning_years,DATEDIF('Loan Tape (S&amp;P)'!K5129,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29">
        <f>IF(AND('Loan Tape (S&amp;P)'!U5129="Yes",
        'Loan Tape (S&amp;P)'!T5129&lt;&gt;"Yes",
        DATEDIF('Loan Tape (S&amp;P)'!K5129, TODAY(), "M")&lt;18),
    1.10,
    1.00)</f>
        <v/>
      </c>
      <c r="O5129">
        <f>IF('Loan Tape (S&amp;P)'!T5129="Yes",
    1.35,
    1.00)</f>
        <v/>
      </c>
      <c r="P5129">
        <f>IF('Loan Tape (S&amp;P)'!S5129="Yes",
    1.15,
    1.00)</f>
        <v/>
      </c>
      <c r="Q5129">
        <f>IF('Loan Tape (S&amp;P)'!V5129="Yes",
    1.20,
    1.00)</f>
        <v/>
      </c>
      <c r="T5129">
        <f>LET(
    payment_method,'Loan Tape (S&amp;P)'!P5129,
    occupancy,'Loan Tape (S&amp;P)'!N5129,
    maturity_date,'Loan Tape (S&amp;P)'!L5129,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30">
      <c r="J5130">
        <f>LET(
    lien,'Loan Tape (S&amp;P)'!Q5130,
    IF(lien="First",1.00,
        IF(lien="Second",1.50,
            1.70)))</f>
        <v/>
      </c>
      <c r="K5130">
        <f>LET(
    purpose,'Loan Tape (S&amp;P)'!R5130,
    IF(purpose="Purchase",1.00,
        IF(purpose="Remortgage",1.00,
            1.20)))</f>
        <v/>
      </c>
      <c r="L5130">
        <f>LET(
    arrears_months,'Loan Tape (S&amp;P)'!AN5130,
    IF(arrears_months=0,1.00,
    IF(arrears_months=1,3.00,
    IF(arrears_months=2,5.00,
    IF(arrears_months=3,8.00,
    IF(arrears_months=4,10.00,
    IF(arrears_months=5,12.00,15.00)))))))</f>
        <v/>
      </c>
      <c r="M5130">
        <f>LET(
    seasoning_years,DATEDIF('Loan Tape (S&amp;P)'!K5130,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30">
        <f>IF(AND('Loan Tape (S&amp;P)'!U5130="Yes",
        'Loan Tape (S&amp;P)'!T5130&lt;&gt;"Yes",
        DATEDIF('Loan Tape (S&amp;P)'!K5130, TODAY(), "M")&lt;18),
    1.10,
    1.00)</f>
        <v/>
      </c>
      <c r="O5130">
        <f>IF('Loan Tape (S&amp;P)'!T5130="Yes",
    1.35,
    1.00)</f>
        <v/>
      </c>
      <c r="P5130">
        <f>IF('Loan Tape (S&amp;P)'!S5130="Yes",
    1.15,
    1.00)</f>
        <v/>
      </c>
      <c r="Q5130">
        <f>IF('Loan Tape (S&amp;P)'!V5130="Yes",
    1.20,
    1.00)</f>
        <v/>
      </c>
      <c r="T5130">
        <f>LET(
    payment_method,'Loan Tape (S&amp;P)'!P5130,
    occupancy,'Loan Tape (S&amp;P)'!N5130,
    maturity_date,'Loan Tape (S&amp;P)'!L5130,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31">
      <c r="J5131">
        <f>LET(
    lien,'Loan Tape (S&amp;P)'!Q5131,
    IF(lien="First",1.00,
        IF(lien="Second",1.50,
            1.70)))</f>
        <v/>
      </c>
      <c r="K5131">
        <f>LET(
    purpose,'Loan Tape (S&amp;P)'!R5131,
    IF(purpose="Purchase",1.00,
        IF(purpose="Remortgage",1.00,
            1.20)))</f>
        <v/>
      </c>
      <c r="L5131">
        <f>LET(
    arrears_months,'Loan Tape (S&amp;P)'!AN5131,
    IF(arrears_months=0,1.00,
    IF(arrears_months=1,3.00,
    IF(arrears_months=2,5.00,
    IF(arrears_months=3,8.00,
    IF(arrears_months=4,10.00,
    IF(arrears_months=5,12.00,15.00)))))))</f>
        <v/>
      </c>
      <c r="M5131">
        <f>LET(
    seasoning_years,DATEDIF('Loan Tape (S&amp;P)'!K5131,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31">
        <f>IF(AND('Loan Tape (S&amp;P)'!U5131="Yes",
        'Loan Tape (S&amp;P)'!T5131&lt;&gt;"Yes",
        DATEDIF('Loan Tape (S&amp;P)'!K5131, TODAY(), "M")&lt;18),
    1.10,
    1.00)</f>
        <v/>
      </c>
      <c r="O5131">
        <f>IF('Loan Tape (S&amp;P)'!T5131="Yes",
    1.35,
    1.00)</f>
        <v/>
      </c>
      <c r="P5131">
        <f>IF('Loan Tape (S&amp;P)'!S5131="Yes",
    1.15,
    1.00)</f>
        <v/>
      </c>
      <c r="Q5131">
        <f>IF('Loan Tape (S&amp;P)'!V5131="Yes",
    1.20,
    1.00)</f>
        <v/>
      </c>
      <c r="T5131">
        <f>LET(
    payment_method,'Loan Tape (S&amp;P)'!P5131,
    occupancy,'Loan Tape (S&amp;P)'!N5131,
    maturity_date,'Loan Tape (S&amp;P)'!L5131,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32">
      <c r="J5132">
        <f>LET(
    lien,'Loan Tape (S&amp;P)'!Q5132,
    IF(lien="First",1.00,
        IF(lien="Second",1.50,
            1.70)))</f>
        <v/>
      </c>
      <c r="K5132">
        <f>LET(
    purpose,'Loan Tape (S&amp;P)'!R5132,
    IF(purpose="Purchase",1.00,
        IF(purpose="Remortgage",1.00,
            1.20)))</f>
        <v/>
      </c>
      <c r="L5132">
        <f>LET(
    arrears_months,'Loan Tape (S&amp;P)'!AN5132,
    IF(arrears_months=0,1.00,
    IF(arrears_months=1,3.00,
    IF(arrears_months=2,5.00,
    IF(arrears_months=3,8.00,
    IF(arrears_months=4,10.00,
    IF(arrears_months=5,12.00,15.00)))))))</f>
        <v/>
      </c>
      <c r="M5132">
        <f>LET(
    seasoning_years,DATEDIF('Loan Tape (S&amp;P)'!K5132,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32">
        <f>IF(AND('Loan Tape (S&amp;P)'!U5132="Yes",
        'Loan Tape (S&amp;P)'!T5132&lt;&gt;"Yes",
        DATEDIF('Loan Tape (S&amp;P)'!K5132, TODAY(), "M")&lt;18),
    1.10,
    1.00)</f>
        <v/>
      </c>
      <c r="O5132">
        <f>IF('Loan Tape (S&amp;P)'!T5132="Yes",
    1.35,
    1.00)</f>
        <v/>
      </c>
      <c r="P5132">
        <f>IF('Loan Tape (S&amp;P)'!S5132="Yes",
    1.15,
    1.00)</f>
        <v/>
      </c>
      <c r="Q5132">
        <f>IF('Loan Tape (S&amp;P)'!V5132="Yes",
    1.20,
    1.00)</f>
        <v/>
      </c>
      <c r="T5132">
        <f>LET(
    payment_method,'Loan Tape (S&amp;P)'!P5132,
    occupancy,'Loan Tape (S&amp;P)'!N5132,
    maturity_date,'Loan Tape (S&amp;P)'!L5132,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33">
      <c r="J5133">
        <f>LET(
    lien,'Loan Tape (S&amp;P)'!Q5133,
    IF(lien="First",1.00,
        IF(lien="Second",1.50,
            1.70)))</f>
        <v/>
      </c>
      <c r="K5133">
        <f>LET(
    purpose,'Loan Tape (S&amp;P)'!R5133,
    IF(purpose="Purchase",1.00,
        IF(purpose="Remortgage",1.00,
            1.20)))</f>
        <v/>
      </c>
      <c r="L5133">
        <f>LET(
    arrears_months,'Loan Tape (S&amp;P)'!AN5133,
    IF(arrears_months=0,1.00,
    IF(arrears_months=1,3.00,
    IF(arrears_months=2,5.00,
    IF(arrears_months=3,8.00,
    IF(arrears_months=4,10.00,
    IF(arrears_months=5,12.00,15.00)))))))</f>
        <v/>
      </c>
      <c r="M5133">
        <f>LET(
    seasoning_years,DATEDIF('Loan Tape (S&amp;P)'!K5133,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33">
        <f>IF(AND('Loan Tape (S&amp;P)'!U5133="Yes",
        'Loan Tape (S&amp;P)'!T5133&lt;&gt;"Yes",
        DATEDIF('Loan Tape (S&amp;P)'!K5133, TODAY(), "M")&lt;18),
    1.10,
    1.00)</f>
        <v/>
      </c>
      <c r="O5133">
        <f>IF('Loan Tape (S&amp;P)'!T5133="Yes",
    1.35,
    1.00)</f>
        <v/>
      </c>
      <c r="P5133">
        <f>IF('Loan Tape (S&amp;P)'!S5133="Yes",
    1.15,
    1.00)</f>
        <v/>
      </c>
      <c r="Q5133">
        <f>IF('Loan Tape (S&amp;P)'!V5133="Yes",
    1.20,
    1.00)</f>
        <v/>
      </c>
      <c r="T5133">
        <f>LET(
    payment_method,'Loan Tape (S&amp;P)'!P5133,
    occupancy,'Loan Tape (S&amp;P)'!N5133,
    maturity_date,'Loan Tape (S&amp;P)'!L5133,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34">
      <c r="J5134">
        <f>LET(
    lien,'Loan Tape (S&amp;P)'!Q5134,
    IF(lien="First",1.00,
        IF(lien="Second",1.50,
            1.70)))</f>
        <v/>
      </c>
      <c r="K5134">
        <f>LET(
    purpose,'Loan Tape (S&amp;P)'!R5134,
    IF(purpose="Purchase",1.00,
        IF(purpose="Remortgage",1.00,
            1.20)))</f>
        <v/>
      </c>
      <c r="L5134">
        <f>LET(
    arrears_months,'Loan Tape (S&amp;P)'!AN5134,
    IF(arrears_months=0,1.00,
    IF(arrears_months=1,3.00,
    IF(arrears_months=2,5.00,
    IF(arrears_months=3,8.00,
    IF(arrears_months=4,10.00,
    IF(arrears_months=5,12.00,15.00)))))))</f>
        <v/>
      </c>
      <c r="M5134">
        <f>LET(
    seasoning_years,DATEDIF('Loan Tape (S&amp;P)'!K5134,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34">
        <f>IF(AND('Loan Tape (S&amp;P)'!U5134="Yes",
        'Loan Tape (S&amp;P)'!T5134&lt;&gt;"Yes",
        DATEDIF('Loan Tape (S&amp;P)'!K5134, TODAY(), "M")&lt;18),
    1.10,
    1.00)</f>
        <v/>
      </c>
      <c r="O5134">
        <f>IF('Loan Tape (S&amp;P)'!T5134="Yes",
    1.35,
    1.00)</f>
        <v/>
      </c>
      <c r="P5134">
        <f>IF('Loan Tape (S&amp;P)'!S5134="Yes",
    1.15,
    1.00)</f>
        <v/>
      </c>
      <c r="Q5134">
        <f>IF('Loan Tape (S&amp;P)'!V5134="Yes",
    1.20,
    1.00)</f>
        <v/>
      </c>
      <c r="T5134">
        <f>LET(
    payment_method,'Loan Tape (S&amp;P)'!P5134,
    occupancy,'Loan Tape (S&amp;P)'!N5134,
    maturity_date,'Loan Tape (S&amp;P)'!L5134,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35">
      <c r="J5135">
        <f>LET(
    lien,'Loan Tape (S&amp;P)'!Q5135,
    IF(lien="First",1.00,
        IF(lien="Second",1.50,
            1.70)))</f>
        <v/>
      </c>
      <c r="K5135">
        <f>LET(
    purpose,'Loan Tape (S&amp;P)'!R5135,
    IF(purpose="Purchase",1.00,
        IF(purpose="Remortgage",1.00,
            1.20)))</f>
        <v/>
      </c>
      <c r="L5135">
        <f>LET(
    arrears_months,'Loan Tape (S&amp;P)'!AN5135,
    IF(arrears_months=0,1.00,
    IF(arrears_months=1,3.00,
    IF(arrears_months=2,5.00,
    IF(arrears_months=3,8.00,
    IF(arrears_months=4,10.00,
    IF(arrears_months=5,12.00,15.00)))))))</f>
        <v/>
      </c>
      <c r="M5135">
        <f>LET(
    seasoning_years,DATEDIF('Loan Tape (S&amp;P)'!K5135,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35">
        <f>IF(AND('Loan Tape (S&amp;P)'!U5135="Yes",
        'Loan Tape (S&amp;P)'!T5135&lt;&gt;"Yes",
        DATEDIF('Loan Tape (S&amp;P)'!K5135, TODAY(), "M")&lt;18),
    1.10,
    1.00)</f>
        <v/>
      </c>
      <c r="O5135">
        <f>IF('Loan Tape (S&amp;P)'!T5135="Yes",
    1.35,
    1.00)</f>
        <v/>
      </c>
      <c r="P5135">
        <f>IF('Loan Tape (S&amp;P)'!S5135="Yes",
    1.15,
    1.00)</f>
        <v/>
      </c>
      <c r="Q5135">
        <f>IF('Loan Tape (S&amp;P)'!V5135="Yes",
    1.20,
    1.00)</f>
        <v/>
      </c>
      <c r="T5135">
        <f>LET(
    payment_method,'Loan Tape (S&amp;P)'!P5135,
    occupancy,'Loan Tape (S&amp;P)'!N5135,
    maturity_date,'Loan Tape (S&amp;P)'!L5135,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36">
      <c r="J5136">
        <f>LET(
    lien,'Loan Tape (S&amp;P)'!Q5136,
    IF(lien="First",1.00,
        IF(lien="Second",1.50,
            1.70)))</f>
        <v/>
      </c>
      <c r="K5136">
        <f>LET(
    purpose,'Loan Tape (S&amp;P)'!R5136,
    IF(purpose="Purchase",1.00,
        IF(purpose="Remortgage",1.00,
            1.20)))</f>
        <v/>
      </c>
      <c r="L5136">
        <f>LET(
    arrears_months,'Loan Tape (S&amp;P)'!AN5136,
    IF(arrears_months=0,1.00,
    IF(arrears_months=1,3.00,
    IF(arrears_months=2,5.00,
    IF(arrears_months=3,8.00,
    IF(arrears_months=4,10.00,
    IF(arrears_months=5,12.00,15.00)))))))</f>
        <v/>
      </c>
      <c r="M5136">
        <f>LET(
    seasoning_years,DATEDIF('Loan Tape (S&amp;P)'!K5136,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36">
        <f>IF(AND('Loan Tape (S&amp;P)'!U5136="Yes",
        'Loan Tape (S&amp;P)'!T5136&lt;&gt;"Yes",
        DATEDIF('Loan Tape (S&amp;P)'!K5136, TODAY(), "M")&lt;18),
    1.10,
    1.00)</f>
        <v/>
      </c>
      <c r="O5136">
        <f>IF('Loan Tape (S&amp;P)'!T5136="Yes",
    1.35,
    1.00)</f>
        <v/>
      </c>
      <c r="P5136">
        <f>IF('Loan Tape (S&amp;P)'!S5136="Yes",
    1.15,
    1.00)</f>
        <v/>
      </c>
      <c r="Q5136">
        <f>IF('Loan Tape (S&amp;P)'!V5136="Yes",
    1.20,
    1.00)</f>
        <v/>
      </c>
      <c r="T5136">
        <f>LET(
    payment_method,'Loan Tape (S&amp;P)'!P5136,
    occupancy,'Loan Tape (S&amp;P)'!N5136,
    maturity_date,'Loan Tape (S&amp;P)'!L5136,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37">
      <c r="J5137">
        <f>LET(
    lien,'Loan Tape (S&amp;P)'!Q5137,
    IF(lien="First",1.00,
        IF(lien="Second",1.50,
            1.70)))</f>
        <v/>
      </c>
      <c r="K5137">
        <f>LET(
    purpose,'Loan Tape (S&amp;P)'!R5137,
    IF(purpose="Purchase",1.00,
        IF(purpose="Remortgage",1.00,
            1.20)))</f>
        <v/>
      </c>
      <c r="L5137">
        <f>LET(
    arrears_months,'Loan Tape (S&amp;P)'!AN5137,
    IF(arrears_months=0,1.00,
    IF(arrears_months=1,3.00,
    IF(arrears_months=2,5.00,
    IF(arrears_months=3,8.00,
    IF(arrears_months=4,10.00,
    IF(arrears_months=5,12.00,15.00)))))))</f>
        <v/>
      </c>
      <c r="M5137">
        <f>LET(
    seasoning_years,DATEDIF('Loan Tape (S&amp;P)'!K5137,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37">
        <f>IF(AND('Loan Tape (S&amp;P)'!U5137="Yes",
        'Loan Tape (S&amp;P)'!T5137&lt;&gt;"Yes",
        DATEDIF('Loan Tape (S&amp;P)'!K5137, TODAY(), "M")&lt;18),
    1.10,
    1.00)</f>
        <v/>
      </c>
      <c r="O5137">
        <f>IF('Loan Tape (S&amp;P)'!T5137="Yes",
    1.35,
    1.00)</f>
        <v/>
      </c>
      <c r="P5137">
        <f>IF('Loan Tape (S&amp;P)'!S5137="Yes",
    1.15,
    1.00)</f>
        <v/>
      </c>
      <c r="Q5137">
        <f>IF('Loan Tape (S&amp;P)'!V5137="Yes",
    1.20,
    1.00)</f>
        <v/>
      </c>
      <c r="T5137">
        <f>LET(
    payment_method,'Loan Tape (S&amp;P)'!P5137,
    occupancy,'Loan Tape (S&amp;P)'!N5137,
    maturity_date,'Loan Tape (S&amp;P)'!L5137,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38">
      <c r="J5138">
        <f>LET(
    lien,'Loan Tape (S&amp;P)'!Q5138,
    IF(lien="First",1.00,
        IF(lien="Second",1.50,
            1.70)))</f>
        <v/>
      </c>
      <c r="K5138">
        <f>LET(
    purpose,'Loan Tape (S&amp;P)'!R5138,
    IF(purpose="Purchase",1.00,
        IF(purpose="Remortgage",1.00,
            1.20)))</f>
        <v/>
      </c>
      <c r="L5138">
        <f>LET(
    arrears_months,'Loan Tape (S&amp;P)'!AN5138,
    IF(arrears_months=0,1.00,
    IF(arrears_months=1,3.00,
    IF(arrears_months=2,5.00,
    IF(arrears_months=3,8.00,
    IF(arrears_months=4,10.00,
    IF(arrears_months=5,12.00,15.00)))))))</f>
        <v/>
      </c>
      <c r="M5138">
        <f>LET(
    seasoning_years,DATEDIF('Loan Tape (S&amp;P)'!K5138,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38">
        <f>IF(AND('Loan Tape (S&amp;P)'!U5138="Yes",
        'Loan Tape (S&amp;P)'!T5138&lt;&gt;"Yes",
        DATEDIF('Loan Tape (S&amp;P)'!K5138, TODAY(), "M")&lt;18),
    1.10,
    1.00)</f>
        <v/>
      </c>
      <c r="O5138">
        <f>IF('Loan Tape (S&amp;P)'!T5138="Yes",
    1.35,
    1.00)</f>
        <v/>
      </c>
      <c r="P5138">
        <f>IF('Loan Tape (S&amp;P)'!S5138="Yes",
    1.15,
    1.00)</f>
        <v/>
      </c>
      <c r="Q5138">
        <f>IF('Loan Tape (S&amp;P)'!V5138="Yes",
    1.20,
    1.00)</f>
        <v/>
      </c>
      <c r="T5138">
        <f>LET(
    payment_method,'Loan Tape (S&amp;P)'!P5138,
    occupancy,'Loan Tape (S&amp;P)'!N5138,
    maturity_date,'Loan Tape (S&amp;P)'!L5138,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39">
      <c r="J5139">
        <f>LET(
    lien,'Loan Tape (S&amp;P)'!Q5139,
    IF(lien="First",1.00,
        IF(lien="Second",1.50,
            1.70)))</f>
        <v/>
      </c>
      <c r="K5139">
        <f>LET(
    purpose,'Loan Tape (S&amp;P)'!R5139,
    IF(purpose="Purchase",1.00,
        IF(purpose="Remortgage",1.00,
            1.20)))</f>
        <v/>
      </c>
      <c r="L5139">
        <f>LET(
    arrears_months,'Loan Tape (S&amp;P)'!AN5139,
    IF(arrears_months=0,1.00,
    IF(arrears_months=1,3.00,
    IF(arrears_months=2,5.00,
    IF(arrears_months=3,8.00,
    IF(arrears_months=4,10.00,
    IF(arrears_months=5,12.00,15.00)))))))</f>
        <v/>
      </c>
      <c r="M5139">
        <f>LET(
    seasoning_years,DATEDIF('Loan Tape (S&amp;P)'!K5139,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39">
        <f>IF(AND('Loan Tape (S&amp;P)'!U5139="Yes",
        'Loan Tape (S&amp;P)'!T5139&lt;&gt;"Yes",
        DATEDIF('Loan Tape (S&amp;P)'!K5139, TODAY(), "M")&lt;18),
    1.10,
    1.00)</f>
        <v/>
      </c>
      <c r="O5139">
        <f>IF('Loan Tape (S&amp;P)'!T5139="Yes",
    1.35,
    1.00)</f>
        <v/>
      </c>
      <c r="P5139">
        <f>IF('Loan Tape (S&amp;P)'!S5139="Yes",
    1.15,
    1.00)</f>
        <v/>
      </c>
      <c r="Q5139">
        <f>IF('Loan Tape (S&amp;P)'!V5139="Yes",
    1.20,
    1.00)</f>
        <v/>
      </c>
      <c r="T5139">
        <f>LET(
    payment_method,'Loan Tape (S&amp;P)'!P5139,
    occupancy,'Loan Tape (S&amp;P)'!N5139,
    maturity_date,'Loan Tape (S&amp;P)'!L5139,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40">
      <c r="J5140">
        <f>LET(
    lien,'Loan Tape (S&amp;P)'!Q5140,
    IF(lien="First",1.00,
        IF(lien="Second",1.50,
            1.70)))</f>
        <v/>
      </c>
      <c r="K5140">
        <f>LET(
    purpose,'Loan Tape (S&amp;P)'!R5140,
    IF(purpose="Purchase",1.00,
        IF(purpose="Remortgage",1.00,
            1.20)))</f>
        <v/>
      </c>
      <c r="L5140">
        <f>LET(
    arrears_months,'Loan Tape (S&amp;P)'!AN5140,
    IF(arrears_months=0,1.00,
    IF(arrears_months=1,3.00,
    IF(arrears_months=2,5.00,
    IF(arrears_months=3,8.00,
    IF(arrears_months=4,10.00,
    IF(arrears_months=5,12.00,15.00)))))))</f>
        <v/>
      </c>
      <c r="M5140">
        <f>LET(
    seasoning_years,DATEDIF('Loan Tape (S&amp;P)'!K5140,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40">
        <f>IF(AND('Loan Tape (S&amp;P)'!U5140="Yes",
        'Loan Tape (S&amp;P)'!T5140&lt;&gt;"Yes",
        DATEDIF('Loan Tape (S&amp;P)'!K5140, TODAY(), "M")&lt;18),
    1.10,
    1.00)</f>
        <v/>
      </c>
      <c r="O5140">
        <f>IF('Loan Tape (S&amp;P)'!T5140="Yes",
    1.35,
    1.00)</f>
        <v/>
      </c>
      <c r="P5140">
        <f>IF('Loan Tape (S&amp;P)'!S5140="Yes",
    1.15,
    1.00)</f>
        <v/>
      </c>
      <c r="Q5140">
        <f>IF('Loan Tape (S&amp;P)'!V5140="Yes",
    1.20,
    1.00)</f>
        <v/>
      </c>
      <c r="T5140">
        <f>LET(
    payment_method,'Loan Tape (S&amp;P)'!P5140,
    occupancy,'Loan Tape (S&amp;P)'!N5140,
    maturity_date,'Loan Tape (S&amp;P)'!L5140,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41">
      <c r="J5141">
        <f>LET(
    lien,'Loan Tape (S&amp;P)'!Q5141,
    IF(lien="First",1.00,
        IF(lien="Second",1.50,
            1.70)))</f>
        <v/>
      </c>
      <c r="K5141">
        <f>LET(
    purpose,'Loan Tape (S&amp;P)'!R5141,
    IF(purpose="Purchase",1.00,
        IF(purpose="Remortgage",1.00,
            1.20)))</f>
        <v/>
      </c>
      <c r="L5141">
        <f>LET(
    arrears_months,'Loan Tape (S&amp;P)'!AN5141,
    IF(arrears_months=0,1.00,
    IF(arrears_months=1,3.00,
    IF(arrears_months=2,5.00,
    IF(arrears_months=3,8.00,
    IF(arrears_months=4,10.00,
    IF(arrears_months=5,12.00,15.00)))))))</f>
        <v/>
      </c>
      <c r="M5141">
        <f>LET(
    seasoning_years,DATEDIF('Loan Tape (S&amp;P)'!K5141,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41">
        <f>IF(AND('Loan Tape (S&amp;P)'!U5141="Yes",
        'Loan Tape (S&amp;P)'!T5141&lt;&gt;"Yes",
        DATEDIF('Loan Tape (S&amp;P)'!K5141, TODAY(), "M")&lt;18),
    1.10,
    1.00)</f>
        <v/>
      </c>
      <c r="O5141">
        <f>IF('Loan Tape (S&amp;P)'!T5141="Yes",
    1.35,
    1.00)</f>
        <v/>
      </c>
      <c r="P5141">
        <f>IF('Loan Tape (S&amp;P)'!S5141="Yes",
    1.15,
    1.00)</f>
        <v/>
      </c>
      <c r="Q5141">
        <f>IF('Loan Tape (S&amp;P)'!V5141="Yes",
    1.20,
    1.00)</f>
        <v/>
      </c>
      <c r="T5141">
        <f>LET(
    payment_method,'Loan Tape (S&amp;P)'!P5141,
    occupancy,'Loan Tape (S&amp;P)'!N5141,
    maturity_date,'Loan Tape (S&amp;P)'!L5141,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42">
      <c r="J5142">
        <f>LET(
    lien,'Loan Tape (S&amp;P)'!Q5142,
    IF(lien="First",1.00,
        IF(lien="Second",1.50,
            1.70)))</f>
        <v/>
      </c>
      <c r="K5142">
        <f>LET(
    purpose,'Loan Tape (S&amp;P)'!R5142,
    IF(purpose="Purchase",1.00,
        IF(purpose="Remortgage",1.00,
            1.20)))</f>
        <v/>
      </c>
      <c r="L5142">
        <f>LET(
    arrears_months,'Loan Tape (S&amp;P)'!AN5142,
    IF(arrears_months=0,1.00,
    IF(arrears_months=1,3.00,
    IF(arrears_months=2,5.00,
    IF(arrears_months=3,8.00,
    IF(arrears_months=4,10.00,
    IF(arrears_months=5,12.00,15.00)))))))</f>
        <v/>
      </c>
      <c r="M5142">
        <f>LET(
    seasoning_years,DATEDIF('Loan Tape (S&amp;P)'!K5142,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42">
        <f>IF(AND('Loan Tape (S&amp;P)'!U5142="Yes",
        'Loan Tape (S&amp;P)'!T5142&lt;&gt;"Yes",
        DATEDIF('Loan Tape (S&amp;P)'!K5142, TODAY(), "M")&lt;18),
    1.10,
    1.00)</f>
        <v/>
      </c>
      <c r="O5142">
        <f>IF('Loan Tape (S&amp;P)'!T5142="Yes",
    1.35,
    1.00)</f>
        <v/>
      </c>
      <c r="P5142">
        <f>IF('Loan Tape (S&amp;P)'!S5142="Yes",
    1.15,
    1.00)</f>
        <v/>
      </c>
      <c r="Q5142">
        <f>IF('Loan Tape (S&amp;P)'!V5142="Yes",
    1.20,
    1.00)</f>
        <v/>
      </c>
      <c r="T5142">
        <f>LET(
    payment_method,'Loan Tape (S&amp;P)'!P5142,
    occupancy,'Loan Tape (S&amp;P)'!N5142,
    maturity_date,'Loan Tape (S&amp;P)'!L5142,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43">
      <c r="J5143">
        <f>LET(
    lien,'Loan Tape (S&amp;P)'!Q5143,
    IF(lien="First",1.00,
        IF(lien="Second",1.50,
            1.70)))</f>
        <v/>
      </c>
      <c r="K5143">
        <f>LET(
    purpose,'Loan Tape (S&amp;P)'!R5143,
    IF(purpose="Purchase",1.00,
        IF(purpose="Remortgage",1.00,
            1.20)))</f>
        <v/>
      </c>
      <c r="L5143">
        <f>LET(
    arrears_months,'Loan Tape (S&amp;P)'!AN5143,
    IF(arrears_months=0,1.00,
    IF(arrears_months=1,3.00,
    IF(arrears_months=2,5.00,
    IF(arrears_months=3,8.00,
    IF(arrears_months=4,10.00,
    IF(arrears_months=5,12.00,15.00)))))))</f>
        <v/>
      </c>
      <c r="M5143">
        <f>LET(
    seasoning_years,DATEDIF('Loan Tape (S&amp;P)'!K5143,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43">
        <f>IF(AND('Loan Tape (S&amp;P)'!U5143="Yes",
        'Loan Tape (S&amp;P)'!T5143&lt;&gt;"Yes",
        DATEDIF('Loan Tape (S&amp;P)'!K5143, TODAY(), "M")&lt;18),
    1.10,
    1.00)</f>
        <v/>
      </c>
      <c r="O5143">
        <f>IF('Loan Tape (S&amp;P)'!T5143="Yes",
    1.35,
    1.00)</f>
        <v/>
      </c>
      <c r="P5143">
        <f>IF('Loan Tape (S&amp;P)'!S5143="Yes",
    1.15,
    1.00)</f>
        <v/>
      </c>
      <c r="Q5143">
        <f>IF('Loan Tape (S&amp;P)'!V5143="Yes",
    1.20,
    1.00)</f>
        <v/>
      </c>
      <c r="T5143">
        <f>LET(
    payment_method,'Loan Tape (S&amp;P)'!P5143,
    occupancy,'Loan Tape (S&amp;P)'!N5143,
    maturity_date,'Loan Tape (S&amp;P)'!L5143,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44">
      <c r="J5144">
        <f>LET(
    lien,'Loan Tape (S&amp;P)'!Q5144,
    IF(lien="First",1.00,
        IF(lien="Second",1.50,
            1.70)))</f>
        <v/>
      </c>
      <c r="K5144">
        <f>LET(
    purpose,'Loan Tape (S&amp;P)'!R5144,
    IF(purpose="Purchase",1.00,
        IF(purpose="Remortgage",1.00,
            1.20)))</f>
        <v/>
      </c>
      <c r="L5144">
        <f>LET(
    arrears_months,'Loan Tape (S&amp;P)'!AN5144,
    IF(arrears_months=0,1.00,
    IF(arrears_months=1,3.00,
    IF(arrears_months=2,5.00,
    IF(arrears_months=3,8.00,
    IF(arrears_months=4,10.00,
    IF(arrears_months=5,12.00,15.00)))))))</f>
        <v/>
      </c>
      <c r="M5144">
        <f>LET(
    seasoning_years,DATEDIF('Loan Tape (S&amp;P)'!K5144,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44">
        <f>IF(AND('Loan Tape (S&amp;P)'!U5144="Yes",
        'Loan Tape (S&amp;P)'!T5144&lt;&gt;"Yes",
        DATEDIF('Loan Tape (S&amp;P)'!K5144, TODAY(), "M")&lt;18),
    1.10,
    1.00)</f>
        <v/>
      </c>
      <c r="O5144">
        <f>IF('Loan Tape (S&amp;P)'!T5144="Yes",
    1.35,
    1.00)</f>
        <v/>
      </c>
      <c r="P5144">
        <f>IF('Loan Tape (S&amp;P)'!S5144="Yes",
    1.15,
    1.00)</f>
        <v/>
      </c>
      <c r="Q5144">
        <f>IF('Loan Tape (S&amp;P)'!V5144="Yes",
    1.20,
    1.00)</f>
        <v/>
      </c>
      <c r="T5144">
        <f>LET(
    payment_method,'Loan Tape (S&amp;P)'!P5144,
    occupancy,'Loan Tape (S&amp;P)'!N5144,
    maturity_date,'Loan Tape (S&amp;P)'!L5144,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45">
      <c r="J5145">
        <f>LET(
    lien,'Loan Tape (S&amp;P)'!Q5145,
    IF(lien="First",1.00,
        IF(lien="Second",1.50,
            1.70)))</f>
        <v/>
      </c>
      <c r="K5145">
        <f>LET(
    purpose,'Loan Tape (S&amp;P)'!R5145,
    IF(purpose="Purchase",1.00,
        IF(purpose="Remortgage",1.00,
            1.20)))</f>
        <v/>
      </c>
      <c r="L5145">
        <f>LET(
    arrears_months,'Loan Tape (S&amp;P)'!AN5145,
    IF(arrears_months=0,1.00,
    IF(arrears_months=1,3.00,
    IF(arrears_months=2,5.00,
    IF(arrears_months=3,8.00,
    IF(arrears_months=4,10.00,
    IF(arrears_months=5,12.00,15.00)))))))</f>
        <v/>
      </c>
      <c r="M5145">
        <f>LET(
    seasoning_years,DATEDIF('Loan Tape (S&amp;P)'!K5145,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45">
        <f>IF(AND('Loan Tape (S&amp;P)'!U5145="Yes",
        'Loan Tape (S&amp;P)'!T5145&lt;&gt;"Yes",
        DATEDIF('Loan Tape (S&amp;P)'!K5145, TODAY(), "M")&lt;18),
    1.10,
    1.00)</f>
        <v/>
      </c>
      <c r="O5145">
        <f>IF('Loan Tape (S&amp;P)'!T5145="Yes",
    1.35,
    1.00)</f>
        <v/>
      </c>
      <c r="P5145">
        <f>IF('Loan Tape (S&amp;P)'!S5145="Yes",
    1.15,
    1.00)</f>
        <v/>
      </c>
      <c r="Q5145">
        <f>IF('Loan Tape (S&amp;P)'!V5145="Yes",
    1.20,
    1.00)</f>
        <v/>
      </c>
      <c r="T5145">
        <f>LET(
    payment_method,'Loan Tape (S&amp;P)'!P5145,
    occupancy,'Loan Tape (S&amp;P)'!N5145,
    maturity_date,'Loan Tape (S&amp;P)'!L5145,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46">
      <c r="J5146">
        <f>LET(
    lien,'Loan Tape (S&amp;P)'!Q5146,
    IF(lien="First",1.00,
        IF(lien="Second",1.50,
            1.70)))</f>
        <v/>
      </c>
      <c r="K5146">
        <f>LET(
    purpose,'Loan Tape (S&amp;P)'!R5146,
    IF(purpose="Purchase",1.00,
        IF(purpose="Remortgage",1.00,
            1.20)))</f>
        <v/>
      </c>
      <c r="L5146">
        <f>LET(
    arrears_months,'Loan Tape (S&amp;P)'!AN5146,
    IF(arrears_months=0,1.00,
    IF(arrears_months=1,3.00,
    IF(arrears_months=2,5.00,
    IF(arrears_months=3,8.00,
    IF(arrears_months=4,10.00,
    IF(arrears_months=5,12.00,15.00)))))))</f>
        <v/>
      </c>
      <c r="M5146">
        <f>LET(
    seasoning_years,DATEDIF('Loan Tape (S&amp;P)'!K5146,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46">
        <f>IF(AND('Loan Tape (S&amp;P)'!U5146="Yes",
        'Loan Tape (S&amp;P)'!T5146&lt;&gt;"Yes",
        DATEDIF('Loan Tape (S&amp;P)'!K5146, TODAY(), "M")&lt;18),
    1.10,
    1.00)</f>
        <v/>
      </c>
      <c r="O5146">
        <f>IF('Loan Tape (S&amp;P)'!T5146="Yes",
    1.35,
    1.00)</f>
        <v/>
      </c>
      <c r="P5146">
        <f>IF('Loan Tape (S&amp;P)'!S5146="Yes",
    1.15,
    1.00)</f>
        <v/>
      </c>
      <c r="Q5146">
        <f>IF('Loan Tape (S&amp;P)'!V5146="Yes",
    1.20,
    1.00)</f>
        <v/>
      </c>
      <c r="T5146">
        <f>LET(
    payment_method,'Loan Tape (S&amp;P)'!P5146,
    occupancy,'Loan Tape (S&amp;P)'!N5146,
    maturity_date,'Loan Tape (S&amp;P)'!L5146,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47">
      <c r="J5147">
        <f>LET(
    lien,'Loan Tape (S&amp;P)'!Q5147,
    IF(lien="First",1.00,
        IF(lien="Second",1.50,
            1.70)))</f>
        <v/>
      </c>
      <c r="K5147">
        <f>LET(
    purpose,'Loan Tape (S&amp;P)'!R5147,
    IF(purpose="Purchase",1.00,
        IF(purpose="Remortgage",1.00,
            1.20)))</f>
        <v/>
      </c>
      <c r="L5147">
        <f>LET(
    arrears_months,'Loan Tape (S&amp;P)'!AN5147,
    IF(arrears_months=0,1.00,
    IF(arrears_months=1,3.00,
    IF(arrears_months=2,5.00,
    IF(arrears_months=3,8.00,
    IF(arrears_months=4,10.00,
    IF(arrears_months=5,12.00,15.00)))))))</f>
        <v/>
      </c>
      <c r="M5147">
        <f>LET(
    seasoning_years,DATEDIF('Loan Tape (S&amp;P)'!K5147,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47">
        <f>IF(AND('Loan Tape (S&amp;P)'!U5147="Yes",
        'Loan Tape (S&amp;P)'!T5147&lt;&gt;"Yes",
        DATEDIF('Loan Tape (S&amp;P)'!K5147, TODAY(), "M")&lt;18),
    1.10,
    1.00)</f>
        <v/>
      </c>
      <c r="O5147">
        <f>IF('Loan Tape (S&amp;P)'!T5147="Yes",
    1.35,
    1.00)</f>
        <v/>
      </c>
      <c r="P5147">
        <f>IF('Loan Tape (S&amp;P)'!S5147="Yes",
    1.15,
    1.00)</f>
        <v/>
      </c>
      <c r="Q5147">
        <f>IF('Loan Tape (S&amp;P)'!V5147="Yes",
    1.20,
    1.00)</f>
        <v/>
      </c>
      <c r="T5147">
        <f>LET(
    payment_method,'Loan Tape (S&amp;P)'!P5147,
    occupancy,'Loan Tape (S&amp;P)'!N5147,
    maturity_date,'Loan Tape (S&amp;P)'!L5147,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48">
      <c r="J5148">
        <f>LET(
    lien,'Loan Tape (S&amp;P)'!Q5148,
    IF(lien="First",1.00,
        IF(lien="Second",1.50,
            1.70)))</f>
        <v/>
      </c>
      <c r="K5148">
        <f>LET(
    purpose,'Loan Tape (S&amp;P)'!R5148,
    IF(purpose="Purchase",1.00,
        IF(purpose="Remortgage",1.00,
            1.20)))</f>
        <v/>
      </c>
      <c r="L5148">
        <f>LET(
    arrears_months,'Loan Tape (S&amp;P)'!AN5148,
    IF(arrears_months=0,1.00,
    IF(arrears_months=1,3.00,
    IF(arrears_months=2,5.00,
    IF(arrears_months=3,8.00,
    IF(arrears_months=4,10.00,
    IF(arrears_months=5,12.00,15.00)))))))</f>
        <v/>
      </c>
      <c r="M5148">
        <f>LET(
    seasoning_years,DATEDIF('Loan Tape (S&amp;P)'!K5148,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48">
        <f>IF(AND('Loan Tape (S&amp;P)'!U5148="Yes",
        'Loan Tape (S&amp;P)'!T5148&lt;&gt;"Yes",
        DATEDIF('Loan Tape (S&amp;P)'!K5148, TODAY(), "M")&lt;18),
    1.10,
    1.00)</f>
        <v/>
      </c>
      <c r="O5148">
        <f>IF('Loan Tape (S&amp;P)'!T5148="Yes",
    1.35,
    1.00)</f>
        <v/>
      </c>
      <c r="P5148">
        <f>IF('Loan Tape (S&amp;P)'!S5148="Yes",
    1.15,
    1.00)</f>
        <v/>
      </c>
      <c r="Q5148">
        <f>IF('Loan Tape (S&amp;P)'!V5148="Yes",
    1.20,
    1.00)</f>
        <v/>
      </c>
      <c r="T5148">
        <f>LET(
    payment_method,'Loan Tape (S&amp;P)'!P5148,
    occupancy,'Loan Tape (S&amp;P)'!N5148,
    maturity_date,'Loan Tape (S&amp;P)'!L5148,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49">
      <c r="J5149">
        <f>LET(
    lien,'Loan Tape (S&amp;P)'!Q5149,
    IF(lien="First",1.00,
        IF(lien="Second",1.50,
            1.70)))</f>
        <v/>
      </c>
      <c r="K5149">
        <f>LET(
    purpose,'Loan Tape (S&amp;P)'!R5149,
    IF(purpose="Purchase",1.00,
        IF(purpose="Remortgage",1.00,
            1.20)))</f>
        <v/>
      </c>
      <c r="L5149">
        <f>LET(
    arrears_months,'Loan Tape (S&amp;P)'!AN5149,
    IF(arrears_months=0,1.00,
    IF(arrears_months=1,3.00,
    IF(arrears_months=2,5.00,
    IF(arrears_months=3,8.00,
    IF(arrears_months=4,10.00,
    IF(arrears_months=5,12.00,15.00)))))))</f>
        <v/>
      </c>
      <c r="M5149">
        <f>LET(
    seasoning_years,DATEDIF('Loan Tape (S&amp;P)'!K5149,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49">
        <f>IF(AND('Loan Tape (S&amp;P)'!U5149="Yes",
        'Loan Tape (S&amp;P)'!T5149&lt;&gt;"Yes",
        DATEDIF('Loan Tape (S&amp;P)'!K5149, TODAY(), "M")&lt;18),
    1.10,
    1.00)</f>
        <v/>
      </c>
      <c r="O5149">
        <f>IF('Loan Tape (S&amp;P)'!T5149="Yes",
    1.35,
    1.00)</f>
        <v/>
      </c>
      <c r="P5149">
        <f>IF('Loan Tape (S&amp;P)'!S5149="Yes",
    1.15,
    1.00)</f>
        <v/>
      </c>
      <c r="Q5149">
        <f>IF('Loan Tape (S&amp;P)'!V5149="Yes",
    1.20,
    1.00)</f>
        <v/>
      </c>
      <c r="T5149">
        <f>LET(
    payment_method,'Loan Tape (S&amp;P)'!P5149,
    occupancy,'Loan Tape (S&amp;P)'!N5149,
    maturity_date,'Loan Tape (S&amp;P)'!L5149,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50">
      <c r="J5150">
        <f>LET(
    lien,'Loan Tape (S&amp;P)'!Q5150,
    IF(lien="First",1.00,
        IF(lien="Second",1.50,
            1.70)))</f>
        <v/>
      </c>
      <c r="K5150">
        <f>LET(
    purpose,'Loan Tape (S&amp;P)'!R5150,
    IF(purpose="Purchase",1.00,
        IF(purpose="Remortgage",1.00,
            1.20)))</f>
        <v/>
      </c>
      <c r="L5150">
        <f>LET(
    arrears_months,'Loan Tape (S&amp;P)'!AN5150,
    IF(arrears_months=0,1.00,
    IF(arrears_months=1,3.00,
    IF(arrears_months=2,5.00,
    IF(arrears_months=3,8.00,
    IF(arrears_months=4,10.00,
    IF(arrears_months=5,12.00,15.00)))))))</f>
        <v/>
      </c>
      <c r="M5150">
        <f>LET(
    seasoning_years,DATEDIF('Loan Tape (S&amp;P)'!K5150,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50">
        <f>IF(AND('Loan Tape (S&amp;P)'!U5150="Yes",
        'Loan Tape (S&amp;P)'!T5150&lt;&gt;"Yes",
        DATEDIF('Loan Tape (S&amp;P)'!K5150, TODAY(), "M")&lt;18),
    1.10,
    1.00)</f>
        <v/>
      </c>
      <c r="O5150">
        <f>IF('Loan Tape (S&amp;P)'!T5150="Yes",
    1.35,
    1.00)</f>
        <v/>
      </c>
      <c r="P5150">
        <f>IF('Loan Tape (S&amp;P)'!S5150="Yes",
    1.15,
    1.00)</f>
        <v/>
      </c>
      <c r="Q5150">
        <f>IF('Loan Tape (S&amp;P)'!V5150="Yes",
    1.20,
    1.00)</f>
        <v/>
      </c>
      <c r="T5150">
        <f>LET(
    payment_method,'Loan Tape (S&amp;P)'!P5150,
    occupancy,'Loan Tape (S&amp;P)'!N5150,
    maturity_date,'Loan Tape (S&amp;P)'!L5150,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51">
      <c r="J5151">
        <f>LET(
    lien,'Loan Tape (S&amp;P)'!Q5151,
    IF(lien="First",1.00,
        IF(lien="Second",1.50,
            1.70)))</f>
        <v/>
      </c>
      <c r="K5151">
        <f>LET(
    purpose,'Loan Tape (S&amp;P)'!R5151,
    IF(purpose="Purchase",1.00,
        IF(purpose="Remortgage",1.00,
            1.20)))</f>
        <v/>
      </c>
      <c r="L5151">
        <f>LET(
    arrears_months,'Loan Tape (S&amp;P)'!AN5151,
    IF(arrears_months=0,1.00,
    IF(arrears_months=1,3.00,
    IF(arrears_months=2,5.00,
    IF(arrears_months=3,8.00,
    IF(arrears_months=4,10.00,
    IF(arrears_months=5,12.00,15.00)))))))</f>
        <v/>
      </c>
      <c r="M5151">
        <f>LET(
    seasoning_years,DATEDIF('Loan Tape (S&amp;P)'!K5151,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51">
        <f>IF(AND('Loan Tape (S&amp;P)'!U5151="Yes",
        'Loan Tape (S&amp;P)'!T5151&lt;&gt;"Yes",
        DATEDIF('Loan Tape (S&amp;P)'!K5151, TODAY(), "M")&lt;18),
    1.10,
    1.00)</f>
        <v/>
      </c>
      <c r="O5151">
        <f>IF('Loan Tape (S&amp;P)'!T5151="Yes",
    1.35,
    1.00)</f>
        <v/>
      </c>
      <c r="P5151">
        <f>IF('Loan Tape (S&amp;P)'!S5151="Yes",
    1.15,
    1.00)</f>
        <v/>
      </c>
      <c r="Q5151">
        <f>IF('Loan Tape (S&amp;P)'!V5151="Yes",
    1.20,
    1.00)</f>
        <v/>
      </c>
      <c r="T5151">
        <f>LET(
    payment_method,'Loan Tape (S&amp;P)'!P5151,
    occupancy,'Loan Tape (S&amp;P)'!N5151,
    maturity_date,'Loan Tape (S&amp;P)'!L5151,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52">
      <c r="J5152">
        <f>LET(
    lien,'Loan Tape (S&amp;P)'!Q5152,
    IF(lien="First",1.00,
        IF(lien="Second",1.50,
            1.70)))</f>
        <v/>
      </c>
      <c r="K5152">
        <f>LET(
    purpose,'Loan Tape (S&amp;P)'!R5152,
    IF(purpose="Purchase",1.00,
        IF(purpose="Remortgage",1.00,
            1.20)))</f>
        <v/>
      </c>
      <c r="L5152">
        <f>LET(
    arrears_months,'Loan Tape (S&amp;P)'!AN5152,
    IF(arrears_months=0,1.00,
    IF(arrears_months=1,3.00,
    IF(arrears_months=2,5.00,
    IF(arrears_months=3,8.00,
    IF(arrears_months=4,10.00,
    IF(arrears_months=5,12.00,15.00)))))))</f>
        <v/>
      </c>
      <c r="M5152">
        <f>LET(
    seasoning_years,DATEDIF('Loan Tape (S&amp;P)'!K5152,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52">
        <f>IF(AND('Loan Tape (S&amp;P)'!U5152="Yes",
        'Loan Tape (S&amp;P)'!T5152&lt;&gt;"Yes",
        DATEDIF('Loan Tape (S&amp;P)'!K5152, TODAY(), "M")&lt;18),
    1.10,
    1.00)</f>
        <v/>
      </c>
      <c r="O5152">
        <f>IF('Loan Tape (S&amp;P)'!T5152="Yes",
    1.35,
    1.00)</f>
        <v/>
      </c>
      <c r="P5152">
        <f>IF('Loan Tape (S&amp;P)'!S5152="Yes",
    1.15,
    1.00)</f>
        <v/>
      </c>
      <c r="Q5152">
        <f>IF('Loan Tape (S&amp;P)'!V5152="Yes",
    1.20,
    1.00)</f>
        <v/>
      </c>
      <c r="T5152">
        <f>LET(
    payment_method,'Loan Tape (S&amp;P)'!P5152,
    occupancy,'Loan Tape (S&amp;P)'!N5152,
    maturity_date,'Loan Tape (S&amp;P)'!L5152,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53">
      <c r="J5153">
        <f>LET(
    lien,'Loan Tape (S&amp;P)'!Q5153,
    IF(lien="First",1.00,
        IF(lien="Second",1.50,
            1.70)))</f>
        <v/>
      </c>
      <c r="K5153">
        <f>LET(
    purpose,'Loan Tape (S&amp;P)'!R5153,
    IF(purpose="Purchase",1.00,
        IF(purpose="Remortgage",1.00,
            1.20)))</f>
        <v/>
      </c>
      <c r="L5153">
        <f>LET(
    arrears_months,'Loan Tape (S&amp;P)'!AN5153,
    IF(arrears_months=0,1.00,
    IF(arrears_months=1,3.00,
    IF(arrears_months=2,5.00,
    IF(arrears_months=3,8.00,
    IF(arrears_months=4,10.00,
    IF(arrears_months=5,12.00,15.00)))))))</f>
        <v/>
      </c>
      <c r="M5153">
        <f>LET(
    seasoning_years,DATEDIF('Loan Tape (S&amp;P)'!K5153,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53">
        <f>IF(AND('Loan Tape (S&amp;P)'!U5153="Yes",
        'Loan Tape (S&amp;P)'!T5153&lt;&gt;"Yes",
        DATEDIF('Loan Tape (S&amp;P)'!K5153, TODAY(), "M")&lt;18),
    1.10,
    1.00)</f>
        <v/>
      </c>
      <c r="O5153">
        <f>IF('Loan Tape (S&amp;P)'!T5153="Yes",
    1.35,
    1.00)</f>
        <v/>
      </c>
      <c r="P5153">
        <f>IF('Loan Tape (S&amp;P)'!S5153="Yes",
    1.15,
    1.00)</f>
        <v/>
      </c>
      <c r="Q5153">
        <f>IF('Loan Tape (S&amp;P)'!V5153="Yes",
    1.20,
    1.00)</f>
        <v/>
      </c>
      <c r="T5153">
        <f>LET(
    payment_method,'Loan Tape (S&amp;P)'!P5153,
    occupancy,'Loan Tape (S&amp;P)'!N5153,
    maturity_date,'Loan Tape (S&amp;P)'!L5153,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54">
      <c r="J5154">
        <f>LET(
    lien,'Loan Tape (S&amp;P)'!Q5154,
    IF(lien="First",1.00,
        IF(lien="Second",1.50,
            1.70)))</f>
        <v/>
      </c>
      <c r="K5154">
        <f>LET(
    purpose,'Loan Tape (S&amp;P)'!R5154,
    IF(purpose="Purchase",1.00,
        IF(purpose="Remortgage",1.00,
            1.20)))</f>
        <v/>
      </c>
      <c r="L5154">
        <f>LET(
    arrears_months,'Loan Tape (S&amp;P)'!AN5154,
    IF(arrears_months=0,1.00,
    IF(arrears_months=1,3.00,
    IF(arrears_months=2,5.00,
    IF(arrears_months=3,8.00,
    IF(arrears_months=4,10.00,
    IF(arrears_months=5,12.00,15.00)))))))</f>
        <v/>
      </c>
      <c r="M5154">
        <f>LET(
    seasoning_years,DATEDIF('Loan Tape (S&amp;P)'!K5154,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54">
        <f>IF(AND('Loan Tape (S&amp;P)'!U5154="Yes",
        'Loan Tape (S&amp;P)'!T5154&lt;&gt;"Yes",
        DATEDIF('Loan Tape (S&amp;P)'!K5154, TODAY(), "M")&lt;18),
    1.10,
    1.00)</f>
        <v/>
      </c>
      <c r="O5154">
        <f>IF('Loan Tape (S&amp;P)'!T5154="Yes",
    1.35,
    1.00)</f>
        <v/>
      </c>
      <c r="P5154">
        <f>IF('Loan Tape (S&amp;P)'!S5154="Yes",
    1.15,
    1.00)</f>
        <v/>
      </c>
      <c r="Q5154">
        <f>IF('Loan Tape (S&amp;P)'!V5154="Yes",
    1.20,
    1.00)</f>
        <v/>
      </c>
      <c r="T5154">
        <f>LET(
    payment_method,'Loan Tape (S&amp;P)'!P5154,
    occupancy,'Loan Tape (S&amp;P)'!N5154,
    maturity_date,'Loan Tape (S&amp;P)'!L5154,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55">
      <c r="J5155">
        <f>LET(
    lien,'Loan Tape (S&amp;P)'!Q5155,
    IF(lien="First",1.00,
        IF(lien="Second",1.50,
            1.70)))</f>
        <v/>
      </c>
      <c r="K5155">
        <f>LET(
    purpose,'Loan Tape (S&amp;P)'!R5155,
    IF(purpose="Purchase",1.00,
        IF(purpose="Remortgage",1.00,
            1.20)))</f>
        <v/>
      </c>
      <c r="L5155">
        <f>LET(
    arrears_months,'Loan Tape (S&amp;P)'!AN5155,
    IF(arrears_months=0,1.00,
    IF(arrears_months=1,3.00,
    IF(arrears_months=2,5.00,
    IF(arrears_months=3,8.00,
    IF(arrears_months=4,10.00,
    IF(arrears_months=5,12.00,15.00)))))))</f>
        <v/>
      </c>
      <c r="M5155">
        <f>LET(
    seasoning_years,DATEDIF('Loan Tape (S&amp;P)'!K5155,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55">
        <f>IF(AND('Loan Tape (S&amp;P)'!U5155="Yes",
        'Loan Tape (S&amp;P)'!T5155&lt;&gt;"Yes",
        DATEDIF('Loan Tape (S&amp;P)'!K5155, TODAY(), "M")&lt;18),
    1.10,
    1.00)</f>
        <v/>
      </c>
      <c r="O5155">
        <f>IF('Loan Tape (S&amp;P)'!T5155="Yes",
    1.35,
    1.00)</f>
        <v/>
      </c>
      <c r="P5155">
        <f>IF('Loan Tape (S&amp;P)'!S5155="Yes",
    1.15,
    1.00)</f>
        <v/>
      </c>
      <c r="Q5155">
        <f>IF('Loan Tape (S&amp;P)'!V5155="Yes",
    1.20,
    1.00)</f>
        <v/>
      </c>
      <c r="T5155">
        <f>LET(
    payment_method,'Loan Tape (S&amp;P)'!P5155,
    occupancy,'Loan Tape (S&amp;P)'!N5155,
    maturity_date,'Loan Tape (S&amp;P)'!L5155,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56">
      <c r="J5156">
        <f>LET(
    lien,'Loan Tape (S&amp;P)'!Q5156,
    IF(lien="First",1.00,
        IF(lien="Second",1.50,
            1.70)))</f>
        <v/>
      </c>
      <c r="K5156">
        <f>LET(
    purpose,'Loan Tape (S&amp;P)'!R5156,
    IF(purpose="Purchase",1.00,
        IF(purpose="Remortgage",1.00,
            1.20)))</f>
        <v/>
      </c>
      <c r="L5156">
        <f>LET(
    arrears_months,'Loan Tape (S&amp;P)'!AN5156,
    IF(arrears_months=0,1.00,
    IF(arrears_months=1,3.00,
    IF(arrears_months=2,5.00,
    IF(arrears_months=3,8.00,
    IF(arrears_months=4,10.00,
    IF(arrears_months=5,12.00,15.00)))))))</f>
        <v/>
      </c>
      <c r="M5156">
        <f>LET(
    seasoning_years,DATEDIF('Loan Tape (S&amp;P)'!K5156,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56">
        <f>IF(AND('Loan Tape (S&amp;P)'!U5156="Yes",
        'Loan Tape (S&amp;P)'!T5156&lt;&gt;"Yes",
        DATEDIF('Loan Tape (S&amp;P)'!K5156, TODAY(), "M")&lt;18),
    1.10,
    1.00)</f>
        <v/>
      </c>
      <c r="O5156">
        <f>IF('Loan Tape (S&amp;P)'!T5156="Yes",
    1.35,
    1.00)</f>
        <v/>
      </c>
      <c r="P5156">
        <f>IF('Loan Tape (S&amp;P)'!S5156="Yes",
    1.15,
    1.00)</f>
        <v/>
      </c>
      <c r="Q5156">
        <f>IF('Loan Tape (S&amp;P)'!V5156="Yes",
    1.20,
    1.00)</f>
        <v/>
      </c>
      <c r="T5156">
        <f>LET(
    payment_method,'Loan Tape (S&amp;P)'!P5156,
    occupancy,'Loan Tape (S&amp;P)'!N5156,
    maturity_date,'Loan Tape (S&amp;P)'!L5156,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57">
      <c r="J5157">
        <f>LET(
    lien,'Loan Tape (S&amp;P)'!Q5157,
    IF(lien="First",1.00,
        IF(lien="Second",1.50,
            1.70)))</f>
        <v/>
      </c>
      <c r="K5157">
        <f>LET(
    purpose,'Loan Tape (S&amp;P)'!R5157,
    IF(purpose="Purchase",1.00,
        IF(purpose="Remortgage",1.00,
            1.20)))</f>
        <v/>
      </c>
      <c r="L5157">
        <f>LET(
    arrears_months,'Loan Tape (S&amp;P)'!AN5157,
    IF(arrears_months=0,1.00,
    IF(arrears_months=1,3.00,
    IF(arrears_months=2,5.00,
    IF(arrears_months=3,8.00,
    IF(arrears_months=4,10.00,
    IF(arrears_months=5,12.00,15.00)))))))</f>
        <v/>
      </c>
      <c r="M5157">
        <f>LET(
    seasoning_years,DATEDIF('Loan Tape (S&amp;P)'!K5157,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57">
        <f>IF(AND('Loan Tape (S&amp;P)'!U5157="Yes",
        'Loan Tape (S&amp;P)'!T5157&lt;&gt;"Yes",
        DATEDIF('Loan Tape (S&amp;P)'!K5157, TODAY(), "M")&lt;18),
    1.10,
    1.00)</f>
        <v/>
      </c>
      <c r="O5157">
        <f>IF('Loan Tape (S&amp;P)'!T5157="Yes",
    1.35,
    1.00)</f>
        <v/>
      </c>
      <c r="P5157">
        <f>IF('Loan Tape (S&amp;P)'!S5157="Yes",
    1.15,
    1.00)</f>
        <v/>
      </c>
      <c r="Q5157">
        <f>IF('Loan Tape (S&amp;P)'!V5157="Yes",
    1.20,
    1.00)</f>
        <v/>
      </c>
      <c r="T5157">
        <f>LET(
    payment_method,'Loan Tape (S&amp;P)'!P5157,
    occupancy,'Loan Tape (S&amp;P)'!N5157,
    maturity_date,'Loan Tape (S&amp;P)'!L5157,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58">
      <c r="J5158">
        <f>LET(
    lien,'Loan Tape (S&amp;P)'!Q5158,
    IF(lien="First",1.00,
        IF(lien="Second",1.50,
            1.70)))</f>
        <v/>
      </c>
      <c r="K5158">
        <f>LET(
    purpose,'Loan Tape (S&amp;P)'!R5158,
    IF(purpose="Purchase",1.00,
        IF(purpose="Remortgage",1.00,
            1.20)))</f>
        <v/>
      </c>
      <c r="L5158">
        <f>LET(
    arrears_months,'Loan Tape (S&amp;P)'!AN5158,
    IF(arrears_months=0,1.00,
    IF(arrears_months=1,3.00,
    IF(arrears_months=2,5.00,
    IF(arrears_months=3,8.00,
    IF(arrears_months=4,10.00,
    IF(arrears_months=5,12.00,15.00)))))))</f>
        <v/>
      </c>
      <c r="M5158">
        <f>LET(
    seasoning_years,DATEDIF('Loan Tape (S&amp;P)'!K5158,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58">
        <f>IF(AND('Loan Tape (S&amp;P)'!U5158="Yes",
        'Loan Tape (S&amp;P)'!T5158&lt;&gt;"Yes",
        DATEDIF('Loan Tape (S&amp;P)'!K5158, TODAY(), "M")&lt;18),
    1.10,
    1.00)</f>
        <v/>
      </c>
      <c r="O5158">
        <f>IF('Loan Tape (S&amp;P)'!T5158="Yes",
    1.35,
    1.00)</f>
        <v/>
      </c>
      <c r="P5158">
        <f>IF('Loan Tape (S&amp;P)'!S5158="Yes",
    1.15,
    1.00)</f>
        <v/>
      </c>
      <c r="Q5158">
        <f>IF('Loan Tape (S&amp;P)'!V5158="Yes",
    1.20,
    1.00)</f>
        <v/>
      </c>
      <c r="T5158">
        <f>LET(
    payment_method,'Loan Tape (S&amp;P)'!P5158,
    occupancy,'Loan Tape (S&amp;P)'!N5158,
    maturity_date,'Loan Tape (S&amp;P)'!L5158,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59">
      <c r="J5159">
        <f>LET(
    lien,'Loan Tape (S&amp;P)'!Q5159,
    IF(lien="First",1.00,
        IF(lien="Second",1.50,
            1.70)))</f>
        <v/>
      </c>
      <c r="K5159">
        <f>LET(
    purpose,'Loan Tape (S&amp;P)'!R5159,
    IF(purpose="Purchase",1.00,
        IF(purpose="Remortgage",1.00,
            1.20)))</f>
        <v/>
      </c>
      <c r="L5159">
        <f>LET(
    arrears_months,'Loan Tape (S&amp;P)'!AN5159,
    IF(arrears_months=0,1.00,
    IF(arrears_months=1,3.00,
    IF(arrears_months=2,5.00,
    IF(arrears_months=3,8.00,
    IF(arrears_months=4,10.00,
    IF(arrears_months=5,12.00,15.00)))))))</f>
        <v/>
      </c>
      <c r="M5159">
        <f>LET(
    seasoning_years,DATEDIF('Loan Tape (S&amp;P)'!K5159,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59">
        <f>IF(AND('Loan Tape (S&amp;P)'!U5159="Yes",
        'Loan Tape (S&amp;P)'!T5159&lt;&gt;"Yes",
        DATEDIF('Loan Tape (S&amp;P)'!K5159, TODAY(), "M")&lt;18),
    1.10,
    1.00)</f>
        <v/>
      </c>
      <c r="O5159">
        <f>IF('Loan Tape (S&amp;P)'!T5159="Yes",
    1.35,
    1.00)</f>
        <v/>
      </c>
      <c r="P5159">
        <f>IF('Loan Tape (S&amp;P)'!S5159="Yes",
    1.15,
    1.00)</f>
        <v/>
      </c>
      <c r="Q5159">
        <f>IF('Loan Tape (S&amp;P)'!V5159="Yes",
    1.20,
    1.00)</f>
        <v/>
      </c>
      <c r="T5159">
        <f>LET(
    payment_method,'Loan Tape (S&amp;P)'!P5159,
    occupancy,'Loan Tape (S&amp;P)'!N5159,
    maturity_date,'Loan Tape (S&amp;P)'!L5159,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60">
      <c r="J5160">
        <f>LET(
    lien,'Loan Tape (S&amp;P)'!Q5160,
    IF(lien="First",1.00,
        IF(lien="Second",1.50,
            1.70)))</f>
        <v/>
      </c>
      <c r="K5160">
        <f>LET(
    purpose,'Loan Tape (S&amp;P)'!R5160,
    IF(purpose="Purchase",1.00,
        IF(purpose="Remortgage",1.00,
            1.20)))</f>
        <v/>
      </c>
      <c r="L5160">
        <f>LET(
    arrears_months,'Loan Tape (S&amp;P)'!AN5160,
    IF(arrears_months=0,1.00,
    IF(arrears_months=1,3.00,
    IF(arrears_months=2,5.00,
    IF(arrears_months=3,8.00,
    IF(arrears_months=4,10.00,
    IF(arrears_months=5,12.00,15.00)))))))</f>
        <v/>
      </c>
      <c r="M5160">
        <f>LET(
    seasoning_years,DATEDIF('Loan Tape (S&amp;P)'!K5160,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60">
        <f>IF(AND('Loan Tape (S&amp;P)'!U5160="Yes",
        'Loan Tape (S&amp;P)'!T5160&lt;&gt;"Yes",
        DATEDIF('Loan Tape (S&amp;P)'!K5160, TODAY(), "M")&lt;18),
    1.10,
    1.00)</f>
        <v/>
      </c>
      <c r="O5160">
        <f>IF('Loan Tape (S&amp;P)'!T5160="Yes",
    1.35,
    1.00)</f>
        <v/>
      </c>
      <c r="P5160">
        <f>IF('Loan Tape (S&amp;P)'!S5160="Yes",
    1.15,
    1.00)</f>
        <v/>
      </c>
      <c r="Q5160">
        <f>IF('Loan Tape (S&amp;P)'!V5160="Yes",
    1.20,
    1.00)</f>
        <v/>
      </c>
      <c r="T5160">
        <f>LET(
    payment_method,'Loan Tape (S&amp;P)'!P5160,
    occupancy,'Loan Tape (S&amp;P)'!N5160,
    maturity_date,'Loan Tape (S&amp;P)'!L5160,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61">
      <c r="J5161">
        <f>LET(
    lien,'Loan Tape (S&amp;P)'!Q5161,
    IF(lien="First",1.00,
        IF(lien="Second",1.50,
            1.70)))</f>
        <v/>
      </c>
      <c r="K5161">
        <f>LET(
    purpose,'Loan Tape (S&amp;P)'!R5161,
    IF(purpose="Purchase",1.00,
        IF(purpose="Remortgage",1.00,
            1.20)))</f>
        <v/>
      </c>
      <c r="L5161">
        <f>LET(
    arrears_months,'Loan Tape (S&amp;P)'!AN5161,
    IF(arrears_months=0,1.00,
    IF(arrears_months=1,3.00,
    IF(arrears_months=2,5.00,
    IF(arrears_months=3,8.00,
    IF(arrears_months=4,10.00,
    IF(arrears_months=5,12.00,15.00)))))))</f>
        <v/>
      </c>
      <c r="M5161">
        <f>LET(
    seasoning_years,DATEDIF('Loan Tape (S&amp;P)'!K5161,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61">
        <f>IF(AND('Loan Tape (S&amp;P)'!U5161="Yes",
        'Loan Tape (S&amp;P)'!T5161&lt;&gt;"Yes",
        DATEDIF('Loan Tape (S&amp;P)'!K5161, TODAY(), "M")&lt;18),
    1.10,
    1.00)</f>
        <v/>
      </c>
      <c r="O5161">
        <f>IF('Loan Tape (S&amp;P)'!T5161="Yes",
    1.35,
    1.00)</f>
        <v/>
      </c>
      <c r="P5161">
        <f>IF('Loan Tape (S&amp;P)'!S5161="Yes",
    1.15,
    1.00)</f>
        <v/>
      </c>
      <c r="Q5161">
        <f>IF('Loan Tape (S&amp;P)'!V5161="Yes",
    1.20,
    1.00)</f>
        <v/>
      </c>
      <c r="T5161">
        <f>LET(
    payment_method,'Loan Tape (S&amp;P)'!P5161,
    occupancy,'Loan Tape (S&amp;P)'!N5161,
    maturity_date,'Loan Tape (S&amp;P)'!L5161,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62">
      <c r="J5162">
        <f>LET(
    lien,'Loan Tape (S&amp;P)'!Q5162,
    IF(lien="First",1.00,
        IF(lien="Second",1.50,
            1.70)))</f>
        <v/>
      </c>
      <c r="K5162">
        <f>LET(
    purpose,'Loan Tape (S&amp;P)'!R5162,
    IF(purpose="Purchase",1.00,
        IF(purpose="Remortgage",1.00,
            1.20)))</f>
        <v/>
      </c>
      <c r="L5162">
        <f>LET(
    arrears_months,'Loan Tape (S&amp;P)'!AN5162,
    IF(arrears_months=0,1.00,
    IF(arrears_months=1,3.00,
    IF(arrears_months=2,5.00,
    IF(arrears_months=3,8.00,
    IF(arrears_months=4,10.00,
    IF(arrears_months=5,12.00,15.00)))))))</f>
        <v/>
      </c>
      <c r="M5162">
        <f>LET(
    seasoning_years,DATEDIF('Loan Tape (S&amp;P)'!K5162,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62">
        <f>IF(AND('Loan Tape (S&amp;P)'!U5162="Yes",
        'Loan Tape (S&amp;P)'!T5162&lt;&gt;"Yes",
        DATEDIF('Loan Tape (S&amp;P)'!K5162, TODAY(), "M")&lt;18),
    1.10,
    1.00)</f>
        <v/>
      </c>
      <c r="O5162">
        <f>IF('Loan Tape (S&amp;P)'!T5162="Yes",
    1.35,
    1.00)</f>
        <v/>
      </c>
      <c r="P5162">
        <f>IF('Loan Tape (S&amp;P)'!S5162="Yes",
    1.15,
    1.00)</f>
        <v/>
      </c>
      <c r="Q5162">
        <f>IF('Loan Tape (S&amp;P)'!V5162="Yes",
    1.20,
    1.00)</f>
        <v/>
      </c>
      <c r="T5162">
        <f>LET(
    payment_method,'Loan Tape (S&amp;P)'!P5162,
    occupancy,'Loan Tape (S&amp;P)'!N5162,
    maturity_date,'Loan Tape (S&amp;P)'!L5162,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63">
      <c r="J5163">
        <f>LET(
    lien,'Loan Tape (S&amp;P)'!Q5163,
    IF(lien="First",1.00,
        IF(lien="Second",1.50,
            1.70)))</f>
        <v/>
      </c>
      <c r="K5163">
        <f>LET(
    purpose,'Loan Tape (S&amp;P)'!R5163,
    IF(purpose="Purchase",1.00,
        IF(purpose="Remortgage",1.00,
            1.20)))</f>
        <v/>
      </c>
      <c r="L5163">
        <f>LET(
    arrears_months,'Loan Tape (S&amp;P)'!AN5163,
    IF(arrears_months=0,1.00,
    IF(arrears_months=1,3.00,
    IF(arrears_months=2,5.00,
    IF(arrears_months=3,8.00,
    IF(arrears_months=4,10.00,
    IF(arrears_months=5,12.00,15.00)))))))</f>
        <v/>
      </c>
      <c r="M5163">
        <f>LET(
    seasoning_years,DATEDIF('Loan Tape (S&amp;P)'!K5163,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63">
        <f>IF(AND('Loan Tape (S&amp;P)'!U5163="Yes",
        'Loan Tape (S&amp;P)'!T5163&lt;&gt;"Yes",
        DATEDIF('Loan Tape (S&amp;P)'!K5163, TODAY(), "M")&lt;18),
    1.10,
    1.00)</f>
        <v/>
      </c>
      <c r="O5163">
        <f>IF('Loan Tape (S&amp;P)'!T5163="Yes",
    1.35,
    1.00)</f>
        <v/>
      </c>
      <c r="P5163">
        <f>IF('Loan Tape (S&amp;P)'!S5163="Yes",
    1.15,
    1.00)</f>
        <v/>
      </c>
      <c r="Q5163">
        <f>IF('Loan Tape (S&amp;P)'!V5163="Yes",
    1.20,
    1.00)</f>
        <v/>
      </c>
      <c r="T5163">
        <f>LET(
    payment_method,'Loan Tape (S&amp;P)'!P5163,
    occupancy,'Loan Tape (S&amp;P)'!N5163,
    maturity_date,'Loan Tape (S&amp;P)'!L5163,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64">
      <c r="J5164">
        <f>LET(
    lien,'Loan Tape (S&amp;P)'!Q5164,
    IF(lien="First",1.00,
        IF(lien="Second",1.50,
            1.70)))</f>
        <v/>
      </c>
      <c r="K5164">
        <f>LET(
    purpose,'Loan Tape (S&amp;P)'!R5164,
    IF(purpose="Purchase",1.00,
        IF(purpose="Remortgage",1.00,
            1.20)))</f>
        <v/>
      </c>
      <c r="L5164">
        <f>LET(
    arrears_months,'Loan Tape (S&amp;P)'!AN5164,
    IF(arrears_months=0,1.00,
    IF(arrears_months=1,3.00,
    IF(arrears_months=2,5.00,
    IF(arrears_months=3,8.00,
    IF(arrears_months=4,10.00,
    IF(arrears_months=5,12.00,15.00)))))))</f>
        <v/>
      </c>
      <c r="M5164">
        <f>LET(
    seasoning_years,DATEDIF('Loan Tape (S&amp;P)'!K5164,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64">
        <f>IF(AND('Loan Tape (S&amp;P)'!U5164="Yes",
        'Loan Tape (S&amp;P)'!T5164&lt;&gt;"Yes",
        DATEDIF('Loan Tape (S&amp;P)'!K5164, TODAY(), "M")&lt;18),
    1.10,
    1.00)</f>
        <v/>
      </c>
      <c r="O5164">
        <f>IF('Loan Tape (S&amp;P)'!T5164="Yes",
    1.35,
    1.00)</f>
        <v/>
      </c>
      <c r="P5164">
        <f>IF('Loan Tape (S&amp;P)'!S5164="Yes",
    1.15,
    1.00)</f>
        <v/>
      </c>
      <c r="Q5164">
        <f>IF('Loan Tape (S&amp;P)'!V5164="Yes",
    1.20,
    1.00)</f>
        <v/>
      </c>
      <c r="T5164">
        <f>LET(
    payment_method,'Loan Tape (S&amp;P)'!P5164,
    occupancy,'Loan Tape (S&amp;P)'!N5164,
    maturity_date,'Loan Tape (S&amp;P)'!L5164,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65">
      <c r="J5165">
        <f>LET(
    lien,'Loan Tape (S&amp;P)'!Q5165,
    IF(lien="First",1.00,
        IF(lien="Second",1.50,
            1.70)))</f>
        <v/>
      </c>
      <c r="K5165">
        <f>LET(
    purpose,'Loan Tape (S&amp;P)'!R5165,
    IF(purpose="Purchase",1.00,
        IF(purpose="Remortgage",1.00,
            1.20)))</f>
        <v/>
      </c>
      <c r="L5165">
        <f>LET(
    arrears_months,'Loan Tape (S&amp;P)'!AN5165,
    IF(arrears_months=0,1.00,
    IF(arrears_months=1,3.00,
    IF(arrears_months=2,5.00,
    IF(arrears_months=3,8.00,
    IF(arrears_months=4,10.00,
    IF(arrears_months=5,12.00,15.00)))))))</f>
        <v/>
      </c>
      <c r="M5165">
        <f>LET(
    seasoning_years,DATEDIF('Loan Tape (S&amp;P)'!K5165,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65">
        <f>IF(AND('Loan Tape (S&amp;P)'!U5165="Yes",
        'Loan Tape (S&amp;P)'!T5165&lt;&gt;"Yes",
        DATEDIF('Loan Tape (S&amp;P)'!K5165, TODAY(), "M")&lt;18),
    1.10,
    1.00)</f>
        <v/>
      </c>
      <c r="O5165">
        <f>IF('Loan Tape (S&amp;P)'!T5165="Yes",
    1.35,
    1.00)</f>
        <v/>
      </c>
      <c r="P5165">
        <f>IF('Loan Tape (S&amp;P)'!S5165="Yes",
    1.15,
    1.00)</f>
        <v/>
      </c>
      <c r="Q5165">
        <f>IF('Loan Tape (S&amp;P)'!V5165="Yes",
    1.20,
    1.00)</f>
        <v/>
      </c>
      <c r="T5165">
        <f>LET(
    payment_method,'Loan Tape (S&amp;P)'!P5165,
    occupancy,'Loan Tape (S&amp;P)'!N5165,
    maturity_date,'Loan Tape (S&amp;P)'!L5165,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66">
      <c r="J5166">
        <f>LET(
    lien,'Loan Tape (S&amp;P)'!Q5166,
    IF(lien="First",1.00,
        IF(lien="Second",1.50,
            1.70)))</f>
        <v/>
      </c>
      <c r="K5166">
        <f>LET(
    purpose,'Loan Tape (S&amp;P)'!R5166,
    IF(purpose="Purchase",1.00,
        IF(purpose="Remortgage",1.00,
            1.20)))</f>
        <v/>
      </c>
      <c r="L5166">
        <f>LET(
    arrears_months,'Loan Tape (S&amp;P)'!AN5166,
    IF(arrears_months=0,1.00,
    IF(arrears_months=1,3.00,
    IF(arrears_months=2,5.00,
    IF(arrears_months=3,8.00,
    IF(arrears_months=4,10.00,
    IF(arrears_months=5,12.00,15.00)))))))</f>
        <v/>
      </c>
      <c r="M5166">
        <f>LET(
    seasoning_years,DATEDIF('Loan Tape (S&amp;P)'!K5166,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66">
        <f>IF(AND('Loan Tape (S&amp;P)'!U5166="Yes",
        'Loan Tape (S&amp;P)'!T5166&lt;&gt;"Yes",
        DATEDIF('Loan Tape (S&amp;P)'!K5166, TODAY(), "M")&lt;18),
    1.10,
    1.00)</f>
        <v/>
      </c>
      <c r="O5166">
        <f>IF('Loan Tape (S&amp;P)'!T5166="Yes",
    1.35,
    1.00)</f>
        <v/>
      </c>
      <c r="P5166">
        <f>IF('Loan Tape (S&amp;P)'!S5166="Yes",
    1.15,
    1.00)</f>
        <v/>
      </c>
      <c r="Q5166">
        <f>IF('Loan Tape (S&amp;P)'!V5166="Yes",
    1.20,
    1.00)</f>
        <v/>
      </c>
      <c r="T5166">
        <f>LET(
    payment_method,'Loan Tape (S&amp;P)'!P5166,
    occupancy,'Loan Tape (S&amp;P)'!N5166,
    maturity_date,'Loan Tape (S&amp;P)'!L5166,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67">
      <c r="J5167">
        <f>LET(
    lien,'Loan Tape (S&amp;P)'!Q5167,
    IF(lien="First",1.00,
        IF(lien="Second",1.50,
            1.70)))</f>
        <v/>
      </c>
      <c r="K5167">
        <f>LET(
    purpose,'Loan Tape (S&amp;P)'!R5167,
    IF(purpose="Purchase",1.00,
        IF(purpose="Remortgage",1.00,
            1.20)))</f>
        <v/>
      </c>
      <c r="L5167">
        <f>LET(
    arrears_months,'Loan Tape (S&amp;P)'!AN5167,
    IF(arrears_months=0,1.00,
    IF(arrears_months=1,3.00,
    IF(arrears_months=2,5.00,
    IF(arrears_months=3,8.00,
    IF(arrears_months=4,10.00,
    IF(arrears_months=5,12.00,15.00)))))))</f>
        <v/>
      </c>
      <c r="M5167">
        <f>LET(
    seasoning_years,DATEDIF('Loan Tape (S&amp;P)'!K5167,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67">
        <f>IF(AND('Loan Tape (S&amp;P)'!U5167="Yes",
        'Loan Tape (S&amp;P)'!T5167&lt;&gt;"Yes",
        DATEDIF('Loan Tape (S&amp;P)'!K5167, TODAY(), "M")&lt;18),
    1.10,
    1.00)</f>
        <v/>
      </c>
      <c r="O5167">
        <f>IF('Loan Tape (S&amp;P)'!T5167="Yes",
    1.35,
    1.00)</f>
        <v/>
      </c>
      <c r="P5167">
        <f>IF('Loan Tape (S&amp;P)'!S5167="Yes",
    1.15,
    1.00)</f>
        <v/>
      </c>
      <c r="Q5167">
        <f>IF('Loan Tape (S&amp;P)'!V5167="Yes",
    1.20,
    1.00)</f>
        <v/>
      </c>
      <c r="T5167">
        <f>LET(
    payment_method,'Loan Tape (S&amp;P)'!P5167,
    occupancy,'Loan Tape (S&amp;P)'!N5167,
    maturity_date,'Loan Tape (S&amp;P)'!L5167,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68">
      <c r="J5168">
        <f>LET(
    lien,'Loan Tape (S&amp;P)'!Q5168,
    IF(lien="First",1.00,
        IF(lien="Second",1.50,
            1.70)))</f>
        <v/>
      </c>
      <c r="K5168">
        <f>LET(
    purpose,'Loan Tape (S&amp;P)'!R5168,
    IF(purpose="Purchase",1.00,
        IF(purpose="Remortgage",1.00,
            1.20)))</f>
        <v/>
      </c>
      <c r="L5168">
        <f>LET(
    arrears_months,'Loan Tape (S&amp;P)'!AN5168,
    IF(arrears_months=0,1.00,
    IF(arrears_months=1,3.00,
    IF(arrears_months=2,5.00,
    IF(arrears_months=3,8.00,
    IF(arrears_months=4,10.00,
    IF(arrears_months=5,12.00,15.00)))))))</f>
        <v/>
      </c>
      <c r="M5168">
        <f>LET(
    seasoning_years,DATEDIF('Loan Tape (S&amp;P)'!K5168,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68">
        <f>IF(AND('Loan Tape (S&amp;P)'!U5168="Yes",
        'Loan Tape (S&amp;P)'!T5168&lt;&gt;"Yes",
        DATEDIF('Loan Tape (S&amp;P)'!K5168, TODAY(), "M")&lt;18),
    1.10,
    1.00)</f>
        <v/>
      </c>
      <c r="O5168">
        <f>IF('Loan Tape (S&amp;P)'!T5168="Yes",
    1.35,
    1.00)</f>
        <v/>
      </c>
      <c r="P5168">
        <f>IF('Loan Tape (S&amp;P)'!S5168="Yes",
    1.15,
    1.00)</f>
        <v/>
      </c>
      <c r="Q5168">
        <f>IF('Loan Tape (S&amp;P)'!V5168="Yes",
    1.20,
    1.00)</f>
        <v/>
      </c>
      <c r="T5168">
        <f>LET(
    payment_method,'Loan Tape (S&amp;P)'!P5168,
    occupancy,'Loan Tape (S&amp;P)'!N5168,
    maturity_date,'Loan Tape (S&amp;P)'!L5168,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69">
      <c r="J5169">
        <f>LET(
    lien,'Loan Tape (S&amp;P)'!Q5169,
    IF(lien="First",1.00,
        IF(lien="Second",1.50,
            1.70)))</f>
        <v/>
      </c>
      <c r="K5169">
        <f>LET(
    purpose,'Loan Tape (S&amp;P)'!R5169,
    IF(purpose="Purchase",1.00,
        IF(purpose="Remortgage",1.00,
            1.20)))</f>
        <v/>
      </c>
      <c r="L5169">
        <f>LET(
    arrears_months,'Loan Tape (S&amp;P)'!AN5169,
    IF(arrears_months=0,1.00,
    IF(arrears_months=1,3.00,
    IF(arrears_months=2,5.00,
    IF(arrears_months=3,8.00,
    IF(arrears_months=4,10.00,
    IF(arrears_months=5,12.00,15.00)))))))</f>
        <v/>
      </c>
      <c r="M5169">
        <f>LET(
    seasoning_years,DATEDIF('Loan Tape (S&amp;P)'!K5169,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69">
        <f>IF(AND('Loan Tape (S&amp;P)'!U5169="Yes",
        'Loan Tape (S&amp;P)'!T5169&lt;&gt;"Yes",
        DATEDIF('Loan Tape (S&amp;P)'!K5169, TODAY(), "M")&lt;18),
    1.10,
    1.00)</f>
        <v/>
      </c>
      <c r="O5169">
        <f>IF('Loan Tape (S&amp;P)'!T5169="Yes",
    1.35,
    1.00)</f>
        <v/>
      </c>
      <c r="P5169">
        <f>IF('Loan Tape (S&amp;P)'!S5169="Yes",
    1.15,
    1.00)</f>
        <v/>
      </c>
      <c r="Q5169">
        <f>IF('Loan Tape (S&amp;P)'!V5169="Yes",
    1.20,
    1.00)</f>
        <v/>
      </c>
      <c r="T5169">
        <f>LET(
    payment_method,'Loan Tape (S&amp;P)'!P5169,
    occupancy,'Loan Tape (S&amp;P)'!N5169,
    maturity_date,'Loan Tape (S&amp;P)'!L5169,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70">
      <c r="J5170">
        <f>LET(
    lien,'Loan Tape (S&amp;P)'!Q5170,
    IF(lien="First",1.00,
        IF(lien="Second",1.50,
            1.70)))</f>
        <v/>
      </c>
      <c r="K5170">
        <f>LET(
    purpose,'Loan Tape (S&amp;P)'!R5170,
    IF(purpose="Purchase",1.00,
        IF(purpose="Remortgage",1.00,
            1.20)))</f>
        <v/>
      </c>
      <c r="L5170">
        <f>LET(
    arrears_months,'Loan Tape (S&amp;P)'!AN5170,
    IF(arrears_months=0,1.00,
    IF(arrears_months=1,3.00,
    IF(arrears_months=2,5.00,
    IF(arrears_months=3,8.00,
    IF(arrears_months=4,10.00,
    IF(arrears_months=5,12.00,15.00)))))))</f>
        <v/>
      </c>
      <c r="M5170">
        <f>LET(
    seasoning_years,DATEDIF('Loan Tape (S&amp;P)'!K5170,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70">
        <f>IF(AND('Loan Tape (S&amp;P)'!U5170="Yes",
        'Loan Tape (S&amp;P)'!T5170&lt;&gt;"Yes",
        DATEDIF('Loan Tape (S&amp;P)'!K5170, TODAY(), "M")&lt;18),
    1.10,
    1.00)</f>
        <v/>
      </c>
      <c r="O5170">
        <f>IF('Loan Tape (S&amp;P)'!T5170="Yes",
    1.35,
    1.00)</f>
        <v/>
      </c>
      <c r="P5170">
        <f>IF('Loan Tape (S&amp;P)'!S5170="Yes",
    1.15,
    1.00)</f>
        <v/>
      </c>
      <c r="Q5170">
        <f>IF('Loan Tape (S&amp;P)'!V5170="Yes",
    1.20,
    1.00)</f>
        <v/>
      </c>
      <c r="T5170">
        <f>LET(
    payment_method,'Loan Tape (S&amp;P)'!P5170,
    occupancy,'Loan Tape (S&amp;P)'!N5170,
    maturity_date,'Loan Tape (S&amp;P)'!L5170,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71">
      <c r="J5171">
        <f>LET(
    lien,'Loan Tape (S&amp;P)'!Q5171,
    IF(lien="First",1.00,
        IF(lien="Second",1.50,
            1.70)))</f>
        <v/>
      </c>
      <c r="K5171">
        <f>LET(
    purpose,'Loan Tape (S&amp;P)'!R5171,
    IF(purpose="Purchase",1.00,
        IF(purpose="Remortgage",1.00,
            1.20)))</f>
        <v/>
      </c>
      <c r="L5171">
        <f>LET(
    arrears_months,'Loan Tape (S&amp;P)'!AN5171,
    IF(arrears_months=0,1.00,
    IF(arrears_months=1,3.00,
    IF(arrears_months=2,5.00,
    IF(arrears_months=3,8.00,
    IF(arrears_months=4,10.00,
    IF(arrears_months=5,12.00,15.00)))))))</f>
        <v/>
      </c>
      <c r="M5171">
        <f>LET(
    seasoning_years,DATEDIF('Loan Tape (S&amp;P)'!K5171,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71">
        <f>IF(AND('Loan Tape (S&amp;P)'!U5171="Yes",
        'Loan Tape (S&amp;P)'!T5171&lt;&gt;"Yes",
        DATEDIF('Loan Tape (S&amp;P)'!K5171, TODAY(), "M")&lt;18),
    1.10,
    1.00)</f>
        <v/>
      </c>
      <c r="O5171">
        <f>IF('Loan Tape (S&amp;P)'!T5171="Yes",
    1.35,
    1.00)</f>
        <v/>
      </c>
      <c r="P5171">
        <f>IF('Loan Tape (S&amp;P)'!S5171="Yes",
    1.15,
    1.00)</f>
        <v/>
      </c>
      <c r="Q5171">
        <f>IF('Loan Tape (S&amp;P)'!V5171="Yes",
    1.20,
    1.00)</f>
        <v/>
      </c>
      <c r="T5171">
        <f>LET(
    payment_method,'Loan Tape (S&amp;P)'!P5171,
    occupancy,'Loan Tape (S&amp;P)'!N5171,
    maturity_date,'Loan Tape (S&amp;P)'!L5171,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72">
      <c r="J5172">
        <f>LET(
    lien,'Loan Tape (S&amp;P)'!Q5172,
    IF(lien="First",1.00,
        IF(lien="Second",1.50,
            1.70)))</f>
        <v/>
      </c>
      <c r="K5172">
        <f>LET(
    purpose,'Loan Tape (S&amp;P)'!R5172,
    IF(purpose="Purchase",1.00,
        IF(purpose="Remortgage",1.00,
            1.20)))</f>
        <v/>
      </c>
      <c r="L5172">
        <f>LET(
    arrears_months,'Loan Tape (S&amp;P)'!AN5172,
    IF(arrears_months=0,1.00,
    IF(arrears_months=1,3.00,
    IF(arrears_months=2,5.00,
    IF(arrears_months=3,8.00,
    IF(arrears_months=4,10.00,
    IF(arrears_months=5,12.00,15.00)))))))</f>
        <v/>
      </c>
      <c r="M5172">
        <f>LET(
    seasoning_years,DATEDIF('Loan Tape (S&amp;P)'!K5172,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72">
        <f>IF(AND('Loan Tape (S&amp;P)'!U5172="Yes",
        'Loan Tape (S&amp;P)'!T5172&lt;&gt;"Yes",
        DATEDIF('Loan Tape (S&amp;P)'!K5172, TODAY(), "M")&lt;18),
    1.10,
    1.00)</f>
        <v/>
      </c>
      <c r="O5172">
        <f>IF('Loan Tape (S&amp;P)'!T5172="Yes",
    1.35,
    1.00)</f>
        <v/>
      </c>
      <c r="P5172">
        <f>IF('Loan Tape (S&amp;P)'!S5172="Yes",
    1.15,
    1.00)</f>
        <v/>
      </c>
      <c r="Q5172">
        <f>IF('Loan Tape (S&amp;P)'!V5172="Yes",
    1.20,
    1.00)</f>
        <v/>
      </c>
      <c r="T5172">
        <f>LET(
    payment_method,'Loan Tape (S&amp;P)'!P5172,
    occupancy,'Loan Tape (S&amp;P)'!N5172,
    maturity_date,'Loan Tape (S&amp;P)'!L5172,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73">
      <c r="J5173">
        <f>LET(
    lien,'Loan Tape (S&amp;P)'!Q5173,
    IF(lien="First",1.00,
        IF(lien="Second",1.50,
            1.70)))</f>
        <v/>
      </c>
      <c r="K5173">
        <f>LET(
    purpose,'Loan Tape (S&amp;P)'!R5173,
    IF(purpose="Purchase",1.00,
        IF(purpose="Remortgage",1.00,
            1.20)))</f>
        <v/>
      </c>
      <c r="L5173">
        <f>LET(
    arrears_months,'Loan Tape (S&amp;P)'!AN5173,
    IF(arrears_months=0,1.00,
    IF(arrears_months=1,3.00,
    IF(arrears_months=2,5.00,
    IF(arrears_months=3,8.00,
    IF(arrears_months=4,10.00,
    IF(arrears_months=5,12.00,15.00)))))))</f>
        <v/>
      </c>
      <c r="M5173">
        <f>LET(
    seasoning_years,DATEDIF('Loan Tape (S&amp;P)'!K5173,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73">
        <f>IF(AND('Loan Tape (S&amp;P)'!U5173="Yes",
        'Loan Tape (S&amp;P)'!T5173&lt;&gt;"Yes",
        DATEDIF('Loan Tape (S&amp;P)'!K5173, TODAY(), "M")&lt;18),
    1.10,
    1.00)</f>
        <v/>
      </c>
      <c r="O5173">
        <f>IF('Loan Tape (S&amp;P)'!T5173="Yes",
    1.35,
    1.00)</f>
        <v/>
      </c>
      <c r="P5173">
        <f>IF('Loan Tape (S&amp;P)'!S5173="Yes",
    1.15,
    1.00)</f>
        <v/>
      </c>
      <c r="Q5173">
        <f>IF('Loan Tape (S&amp;P)'!V5173="Yes",
    1.20,
    1.00)</f>
        <v/>
      </c>
      <c r="T5173">
        <f>LET(
    payment_method,'Loan Tape (S&amp;P)'!P5173,
    occupancy,'Loan Tape (S&amp;P)'!N5173,
    maturity_date,'Loan Tape (S&amp;P)'!L5173,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74">
      <c r="J5174">
        <f>LET(
    lien,'Loan Tape (S&amp;P)'!Q5174,
    IF(lien="First",1.00,
        IF(lien="Second",1.50,
            1.70)))</f>
        <v/>
      </c>
      <c r="K5174">
        <f>LET(
    purpose,'Loan Tape (S&amp;P)'!R5174,
    IF(purpose="Purchase",1.00,
        IF(purpose="Remortgage",1.00,
            1.20)))</f>
        <v/>
      </c>
      <c r="L5174">
        <f>LET(
    arrears_months,'Loan Tape (S&amp;P)'!AN5174,
    IF(arrears_months=0,1.00,
    IF(arrears_months=1,3.00,
    IF(arrears_months=2,5.00,
    IF(arrears_months=3,8.00,
    IF(arrears_months=4,10.00,
    IF(arrears_months=5,12.00,15.00)))))))</f>
        <v/>
      </c>
      <c r="M5174">
        <f>LET(
    seasoning_years,DATEDIF('Loan Tape (S&amp;P)'!K5174,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74">
        <f>IF(AND('Loan Tape (S&amp;P)'!U5174="Yes",
        'Loan Tape (S&amp;P)'!T5174&lt;&gt;"Yes",
        DATEDIF('Loan Tape (S&amp;P)'!K5174, TODAY(), "M")&lt;18),
    1.10,
    1.00)</f>
        <v/>
      </c>
      <c r="O5174">
        <f>IF('Loan Tape (S&amp;P)'!T5174="Yes",
    1.35,
    1.00)</f>
        <v/>
      </c>
      <c r="P5174">
        <f>IF('Loan Tape (S&amp;P)'!S5174="Yes",
    1.15,
    1.00)</f>
        <v/>
      </c>
      <c r="Q5174">
        <f>IF('Loan Tape (S&amp;P)'!V5174="Yes",
    1.20,
    1.00)</f>
        <v/>
      </c>
      <c r="T5174">
        <f>LET(
    payment_method,'Loan Tape (S&amp;P)'!P5174,
    occupancy,'Loan Tape (S&amp;P)'!N5174,
    maturity_date,'Loan Tape (S&amp;P)'!L5174,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75">
      <c r="J5175">
        <f>LET(
    lien,'Loan Tape (S&amp;P)'!Q5175,
    IF(lien="First",1.00,
        IF(lien="Second",1.50,
            1.70)))</f>
        <v/>
      </c>
      <c r="K5175">
        <f>LET(
    purpose,'Loan Tape (S&amp;P)'!R5175,
    IF(purpose="Purchase",1.00,
        IF(purpose="Remortgage",1.00,
            1.20)))</f>
        <v/>
      </c>
      <c r="L5175">
        <f>LET(
    arrears_months,'Loan Tape (S&amp;P)'!AN5175,
    IF(arrears_months=0,1.00,
    IF(arrears_months=1,3.00,
    IF(arrears_months=2,5.00,
    IF(arrears_months=3,8.00,
    IF(arrears_months=4,10.00,
    IF(arrears_months=5,12.00,15.00)))))))</f>
        <v/>
      </c>
      <c r="M5175">
        <f>LET(
    seasoning_years,DATEDIF('Loan Tape (S&amp;P)'!K5175,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75">
        <f>IF(AND('Loan Tape (S&amp;P)'!U5175="Yes",
        'Loan Tape (S&amp;P)'!T5175&lt;&gt;"Yes",
        DATEDIF('Loan Tape (S&amp;P)'!K5175, TODAY(), "M")&lt;18),
    1.10,
    1.00)</f>
        <v/>
      </c>
      <c r="O5175">
        <f>IF('Loan Tape (S&amp;P)'!T5175="Yes",
    1.35,
    1.00)</f>
        <v/>
      </c>
      <c r="P5175">
        <f>IF('Loan Tape (S&amp;P)'!S5175="Yes",
    1.15,
    1.00)</f>
        <v/>
      </c>
      <c r="Q5175">
        <f>IF('Loan Tape (S&amp;P)'!V5175="Yes",
    1.20,
    1.00)</f>
        <v/>
      </c>
      <c r="T5175">
        <f>LET(
    payment_method,'Loan Tape (S&amp;P)'!P5175,
    occupancy,'Loan Tape (S&amp;P)'!N5175,
    maturity_date,'Loan Tape (S&amp;P)'!L5175,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76">
      <c r="J5176">
        <f>LET(
    lien,'Loan Tape (S&amp;P)'!Q5176,
    IF(lien="First",1.00,
        IF(lien="Second",1.50,
            1.70)))</f>
        <v/>
      </c>
      <c r="K5176">
        <f>LET(
    purpose,'Loan Tape (S&amp;P)'!R5176,
    IF(purpose="Purchase",1.00,
        IF(purpose="Remortgage",1.00,
            1.20)))</f>
        <v/>
      </c>
      <c r="L5176">
        <f>LET(
    arrears_months,'Loan Tape (S&amp;P)'!AN5176,
    IF(arrears_months=0,1.00,
    IF(arrears_months=1,3.00,
    IF(arrears_months=2,5.00,
    IF(arrears_months=3,8.00,
    IF(arrears_months=4,10.00,
    IF(arrears_months=5,12.00,15.00)))))))</f>
        <v/>
      </c>
      <c r="M5176">
        <f>LET(
    seasoning_years,DATEDIF('Loan Tape (S&amp;P)'!K5176,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76">
        <f>IF(AND('Loan Tape (S&amp;P)'!U5176="Yes",
        'Loan Tape (S&amp;P)'!T5176&lt;&gt;"Yes",
        DATEDIF('Loan Tape (S&amp;P)'!K5176, TODAY(), "M")&lt;18),
    1.10,
    1.00)</f>
        <v/>
      </c>
      <c r="O5176">
        <f>IF('Loan Tape (S&amp;P)'!T5176="Yes",
    1.35,
    1.00)</f>
        <v/>
      </c>
      <c r="P5176">
        <f>IF('Loan Tape (S&amp;P)'!S5176="Yes",
    1.15,
    1.00)</f>
        <v/>
      </c>
      <c r="Q5176">
        <f>IF('Loan Tape (S&amp;P)'!V5176="Yes",
    1.20,
    1.00)</f>
        <v/>
      </c>
      <c r="T5176">
        <f>LET(
    payment_method,'Loan Tape (S&amp;P)'!P5176,
    occupancy,'Loan Tape (S&amp;P)'!N5176,
    maturity_date,'Loan Tape (S&amp;P)'!L5176,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77">
      <c r="J5177">
        <f>LET(
    lien,'Loan Tape (S&amp;P)'!Q5177,
    IF(lien="First",1.00,
        IF(lien="Second",1.50,
            1.70)))</f>
        <v/>
      </c>
      <c r="K5177">
        <f>LET(
    purpose,'Loan Tape (S&amp;P)'!R5177,
    IF(purpose="Purchase",1.00,
        IF(purpose="Remortgage",1.00,
            1.20)))</f>
        <v/>
      </c>
      <c r="L5177">
        <f>LET(
    arrears_months,'Loan Tape (S&amp;P)'!AN5177,
    IF(arrears_months=0,1.00,
    IF(arrears_months=1,3.00,
    IF(arrears_months=2,5.00,
    IF(arrears_months=3,8.00,
    IF(arrears_months=4,10.00,
    IF(arrears_months=5,12.00,15.00)))))))</f>
        <v/>
      </c>
      <c r="M5177">
        <f>LET(
    seasoning_years,DATEDIF('Loan Tape (S&amp;P)'!K5177,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77">
        <f>IF(AND('Loan Tape (S&amp;P)'!U5177="Yes",
        'Loan Tape (S&amp;P)'!T5177&lt;&gt;"Yes",
        DATEDIF('Loan Tape (S&amp;P)'!K5177, TODAY(), "M")&lt;18),
    1.10,
    1.00)</f>
        <v/>
      </c>
      <c r="O5177">
        <f>IF('Loan Tape (S&amp;P)'!T5177="Yes",
    1.35,
    1.00)</f>
        <v/>
      </c>
      <c r="P5177">
        <f>IF('Loan Tape (S&amp;P)'!S5177="Yes",
    1.15,
    1.00)</f>
        <v/>
      </c>
      <c r="Q5177">
        <f>IF('Loan Tape (S&amp;P)'!V5177="Yes",
    1.20,
    1.00)</f>
        <v/>
      </c>
      <c r="T5177">
        <f>LET(
    payment_method,'Loan Tape (S&amp;P)'!P5177,
    occupancy,'Loan Tape (S&amp;P)'!N5177,
    maturity_date,'Loan Tape (S&amp;P)'!L5177,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78">
      <c r="J5178">
        <f>LET(
    lien,'Loan Tape (S&amp;P)'!Q5178,
    IF(lien="First",1.00,
        IF(lien="Second",1.50,
            1.70)))</f>
        <v/>
      </c>
      <c r="K5178">
        <f>LET(
    purpose,'Loan Tape (S&amp;P)'!R5178,
    IF(purpose="Purchase",1.00,
        IF(purpose="Remortgage",1.00,
            1.20)))</f>
        <v/>
      </c>
      <c r="L5178">
        <f>LET(
    arrears_months,'Loan Tape (S&amp;P)'!AN5178,
    IF(arrears_months=0,1.00,
    IF(arrears_months=1,3.00,
    IF(arrears_months=2,5.00,
    IF(arrears_months=3,8.00,
    IF(arrears_months=4,10.00,
    IF(arrears_months=5,12.00,15.00)))))))</f>
        <v/>
      </c>
      <c r="M5178">
        <f>LET(
    seasoning_years,DATEDIF('Loan Tape (S&amp;P)'!K5178,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78">
        <f>IF(AND('Loan Tape (S&amp;P)'!U5178="Yes",
        'Loan Tape (S&amp;P)'!T5178&lt;&gt;"Yes",
        DATEDIF('Loan Tape (S&amp;P)'!K5178, TODAY(), "M")&lt;18),
    1.10,
    1.00)</f>
        <v/>
      </c>
      <c r="O5178">
        <f>IF('Loan Tape (S&amp;P)'!T5178="Yes",
    1.35,
    1.00)</f>
        <v/>
      </c>
      <c r="P5178">
        <f>IF('Loan Tape (S&amp;P)'!S5178="Yes",
    1.15,
    1.00)</f>
        <v/>
      </c>
      <c r="Q5178">
        <f>IF('Loan Tape (S&amp;P)'!V5178="Yes",
    1.20,
    1.00)</f>
        <v/>
      </c>
      <c r="T5178">
        <f>LET(
    payment_method,'Loan Tape (S&amp;P)'!P5178,
    occupancy,'Loan Tape (S&amp;P)'!N5178,
    maturity_date,'Loan Tape (S&amp;P)'!L5178,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79">
      <c r="J5179">
        <f>LET(
    lien,'Loan Tape (S&amp;P)'!Q5179,
    IF(lien="First",1.00,
        IF(lien="Second",1.50,
            1.70)))</f>
        <v/>
      </c>
      <c r="K5179">
        <f>LET(
    purpose,'Loan Tape (S&amp;P)'!R5179,
    IF(purpose="Purchase",1.00,
        IF(purpose="Remortgage",1.00,
            1.20)))</f>
        <v/>
      </c>
      <c r="L5179">
        <f>LET(
    arrears_months,'Loan Tape (S&amp;P)'!AN5179,
    IF(arrears_months=0,1.00,
    IF(arrears_months=1,3.00,
    IF(arrears_months=2,5.00,
    IF(arrears_months=3,8.00,
    IF(arrears_months=4,10.00,
    IF(arrears_months=5,12.00,15.00)))))))</f>
        <v/>
      </c>
      <c r="M5179">
        <f>LET(
    seasoning_years,DATEDIF('Loan Tape (S&amp;P)'!K5179,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79">
        <f>IF(AND('Loan Tape (S&amp;P)'!U5179="Yes",
        'Loan Tape (S&amp;P)'!T5179&lt;&gt;"Yes",
        DATEDIF('Loan Tape (S&amp;P)'!K5179, TODAY(), "M")&lt;18),
    1.10,
    1.00)</f>
        <v/>
      </c>
      <c r="O5179">
        <f>IF('Loan Tape (S&amp;P)'!T5179="Yes",
    1.35,
    1.00)</f>
        <v/>
      </c>
      <c r="P5179">
        <f>IF('Loan Tape (S&amp;P)'!S5179="Yes",
    1.15,
    1.00)</f>
        <v/>
      </c>
      <c r="Q5179">
        <f>IF('Loan Tape (S&amp;P)'!V5179="Yes",
    1.20,
    1.00)</f>
        <v/>
      </c>
      <c r="T5179">
        <f>LET(
    payment_method,'Loan Tape (S&amp;P)'!P5179,
    occupancy,'Loan Tape (S&amp;P)'!N5179,
    maturity_date,'Loan Tape (S&amp;P)'!L5179,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80">
      <c r="J5180">
        <f>LET(
    lien,'Loan Tape (S&amp;P)'!Q5180,
    IF(lien="First",1.00,
        IF(lien="Second",1.50,
            1.70)))</f>
        <v/>
      </c>
      <c r="K5180">
        <f>LET(
    purpose,'Loan Tape (S&amp;P)'!R5180,
    IF(purpose="Purchase",1.00,
        IF(purpose="Remortgage",1.00,
            1.20)))</f>
        <v/>
      </c>
      <c r="L5180">
        <f>LET(
    arrears_months,'Loan Tape (S&amp;P)'!AN5180,
    IF(arrears_months=0,1.00,
    IF(arrears_months=1,3.00,
    IF(arrears_months=2,5.00,
    IF(arrears_months=3,8.00,
    IF(arrears_months=4,10.00,
    IF(arrears_months=5,12.00,15.00)))))))</f>
        <v/>
      </c>
      <c r="M5180">
        <f>LET(
    seasoning_years,DATEDIF('Loan Tape (S&amp;P)'!K5180,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80">
        <f>IF(AND('Loan Tape (S&amp;P)'!U5180="Yes",
        'Loan Tape (S&amp;P)'!T5180&lt;&gt;"Yes",
        DATEDIF('Loan Tape (S&amp;P)'!K5180, TODAY(), "M")&lt;18),
    1.10,
    1.00)</f>
        <v/>
      </c>
      <c r="O5180">
        <f>IF('Loan Tape (S&amp;P)'!T5180="Yes",
    1.35,
    1.00)</f>
        <v/>
      </c>
      <c r="P5180">
        <f>IF('Loan Tape (S&amp;P)'!S5180="Yes",
    1.15,
    1.00)</f>
        <v/>
      </c>
      <c r="Q5180">
        <f>IF('Loan Tape (S&amp;P)'!V5180="Yes",
    1.20,
    1.00)</f>
        <v/>
      </c>
      <c r="T5180">
        <f>LET(
    payment_method,'Loan Tape (S&amp;P)'!P5180,
    occupancy,'Loan Tape (S&amp;P)'!N5180,
    maturity_date,'Loan Tape (S&amp;P)'!L5180,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81">
      <c r="J5181">
        <f>LET(
    lien,'Loan Tape (S&amp;P)'!Q5181,
    IF(lien="First",1.00,
        IF(lien="Second",1.50,
            1.70)))</f>
        <v/>
      </c>
      <c r="K5181">
        <f>LET(
    purpose,'Loan Tape (S&amp;P)'!R5181,
    IF(purpose="Purchase",1.00,
        IF(purpose="Remortgage",1.00,
            1.20)))</f>
        <v/>
      </c>
      <c r="L5181">
        <f>LET(
    arrears_months,'Loan Tape (S&amp;P)'!AN5181,
    IF(arrears_months=0,1.00,
    IF(arrears_months=1,3.00,
    IF(arrears_months=2,5.00,
    IF(arrears_months=3,8.00,
    IF(arrears_months=4,10.00,
    IF(arrears_months=5,12.00,15.00)))))))</f>
        <v/>
      </c>
      <c r="M5181">
        <f>LET(
    seasoning_years,DATEDIF('Loan Tape (S&amp;P)'!K5181,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81">
        <f>IF(AND('Loan Tape (S&amp;P)'!U5181="Yes",
        'Loan Tape (S&amp;P)'!T5181&lt;&gt;"Yes",
        DATEDIF('Loan Tape (S&amp;P)'!K5181, TODAY(), "M")&lt;18),
    1.10,
    1.00)</f>
        <v/>
      </c>
      <c r="O5181">
        <f>IF('Loan Tape (S&amp;P)'!T5181="Yes",
    1.35,
    1.00)</f>
        <v/>
      </c>
      <c r="P5181">
        <f>IF('Loan Tape (S&amp;P)'!S5181="Yes",
    1.15,
    1.00)</f>
        <v/>
      </c>
      <c r="Q5181">
        <f>IF('Loan Tape (S&amp;P)'!V5181="Yes",
    1.20,
    1.00)</f>
        <v/>
      </c>
      <c r="T5181">
        <f>LET(
    payment_method,'Loan Tape (S&amp;P)'!P5181,
    occupancy,'Loan Tape (S&amp;P)'!N5181,
    maturity_date,'Loan Tape (S&amp;P)'!L5181,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82">
      <c r="J5182">
        <f>LET(
    lien,'Loan Tape (S&amp;P)'!Q5182,
    IF(lien="First",1.00,
        IF(lien="Second",1.50,
            1.70)))</f>
        <v/>
      </c>
      <c r="K5182">
        <f>LET(
    purpose,'Loan Tape (S&amp;P)'!R5182,
    IF(purpose="Purchase",1.00,
        IF(purpose="Remortgage",1.00,
            1.20)))</f>
        <v/>
      </c>
      <c r="L5182">
        <f>LET(
    arrears_months,'Loan Tape (S&amp;P)'!AN5182,
    IF(arrears_months=0,1.00,
    IF(arrears_months=1,3.00,
    IF(arrears_months=2,5.00,
    IF(arrears_months=3,8.00,
    IF(arrears_months=4,10.00,
    IF(arrears_months=5,12.00,15.00)))))))</f>
        <v/>
      </c>
      <c r="M5182">
        <f>LET(
    seasoning_years,DATEDIF('Loan Tape (S&amp;P)'!K5182,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82">
        <f>IF(AND('Loan Tape (S&amp;P)'!U5182="Yes",
        'Loan Tape (S&amp;P)'!T5182&lt;&gt;"Yes",
        DATEDIF('Loan Tape (S&amp;P)'!K5182, TODAY(), "M")&lt;18),
    1.10,
    1.00)</f>
        <v/>
      </c>
      <c r="O5182">
        <f>IF('Loan Tape (S&amp;P)'!T5182="Yes",
    1.35,
    1.00)</f>
        <v/>
      </c>
      <c r="P5182">
        <f>IF('Loan Tape (S&amp;P)'!S5182="Yes",
    1.15,
    1.00)</f>
        <v/>
      </c>
      <c r="Q5182">
        <f>IF('Loan Tape (S&amp;P)'!V5182="Yes",
    1.20,
    1.00)</f>
        <v/>
      </c>
      <c r="T5182">
        <f>LET(
    payment_method,'Loan Tape (S&amp;P)'!P5182,
    occupancy,'Loan Tape (S&amp;P)'!N5182,
    maturity_date,'Loan Tape (S&amp;P)'!L5182,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83">
      <c r="J5183">
        <f>LET(
    lien,'Loan Tape (S&amp;P)'!Q5183,
    IF(lien="First",1.00,
        IF(lien="Second",1.50,
            1.70)))</f>
        <v/>
      </c>
      <c r="K5183">
        <f>LET(
    purpose,'Loan Tape (S&amp;P)'!R5183,
    IF(purpose="Purchase",1.00,
        IF(purpose="Remortgage",1.00,
            1.20)))</f>
        <v/>
      </c>
      <c r="L5183">
        <f>LET(
    arrears_months,'Loan Tape (S&amp;P)'!AN5183,
    IF(arrears_months=0,1.00,
    IF(arrears_months=1,3.00,
    IF(arrears_months=2,5.00,
    IF(arrears_months=3,8.00,
    IF(arrears_months=4,10.00,
    IF(arrears_months=5,12.00,15.00)))))))</f>
        <v/>
      </c>
      <c r="M5183">
        <f>LET(
    seasoning_years,DATEDIF('Loan Tape (S&amp;P)'!K5183,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83">
        <f>IF(AND('Loan Tape (S&amp;P)'!U5183="Yes",
        'Loan Tape (S&amp;P)'!T5183&lt;&gt;"Yes",
        DATEDIF('Loan Tape (S&amp;P)'!K5183, TODAY(), "M")&lt;18),
    1.10,
    1.00)</f>
        <v/>
      </c>
      <c r="O5183">
        <f>IF('Loan Tape (S&amp;P)'!T5183="Yes",
    1.35,
    1.00)</f>
        <v/>
      </c>
      <c r="P5183">
        <f>IF('Loan Tape (S&amp;P)'!S5183="Yes",
    1.15,
    1.00)</f>
        <v/>
      </c>
      <c r="Q5183">
        <f>IF('Loan Tape (S&amp;P)'!V5183="Yes",
    1.20,
    1.00)</f>
        <v/>
      </c>
      <c r="T5183">
        <f>LET(
    payment_method,'Loan Tape (S&amp;P)'!P5183,
    occupancy,'Loan Tape (S&amp;P)'!N5183,
    maturity_date,'Loan Tape (S&amp;P)'!L5183,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84">
      <c r="J5184">
        <f>LET(
    lien,'Loan Tape (S&amp;P)'!Q5184,
    IF(lien="First",1.00,
        IF(lien="Second",1.50,
            1.70)))</f>
        <v/>
      </c>
      <c r="K5184">
        <f>LET(
    purpose,'Loan Tape (S&amp;P)'!R5184,
    IF(purpose="Purchase",1.00,
        IF(purpose="Remortgage",1.00,
            1.20)))</f>
        <v/>
      </c>
      <c r="L5184">
        <f>LET(
    arrears_months,'Loan Tape (S&amp;P)'!AN5184,
    IF(arrears_months=0,1.00,
    IF(arrears_months=1,3.00,
    IF(arrears_months=2,5.00,
    IF(arrears_months=3,8.00,
    IF(arrears_months=4,10.00,
    IF(arrears_months=5,12.00,15.00)))))))</f>
        <v/>
      </c>
      <c r="M5184">
        <f>LET(
    seasoning_years,DATEDIF('Loan Tape (S&amp;P)'!K5184,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84">
        <f>IF(AND('Loan Tape (S&amp;P)'!U5184="Yes",
        'Loan Tape (S&amp;P)'!T5184&lt;&gt;"Yes",
        DATEDIF('Loan Tape (S&amp;P)'!K5184, TODAY(), "M")&lt;18),
    1.10,
    1.00)</f>
        <v/>
      </c>
      <c r="O5184">
        <f>IF('Loan Tape (S&amp;P)'!T5184="Yes",
    1.35,
    1.00)</f>
        <v/>
      </c>
      <c r="P5184">
        <f>IF('Loan Tape (S&amp;P)'!S5184="Yes",
    1.15,
    1.00)</f>
        <v/>
      </c>
      <c r="Q5184">
        <f>IF('Loan Tape (S&amp;P)'!V5184="Yes",
    1.20,
    1.00)</f>
        <v/>
      </c>
      <c r="T5184">
        <f>LET(
    payment_method,'Loan Tape (S&amp;P)'!P5184,
    occupancy,'Loan Tape (S&amp;P)'!N5184,
    maturity_date,'Loan Tape (S&amp;P)'!L5184,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85">
      <c r="J5185">
        <f>LET(
    lien,'Loan Tape (S&amp;P)'!Q5185,
    IF(lien="First",1.00,
        IF(lien="Second",1.50,
            1.70)))</f>
        <v/>
      </c>
      <c r="K5185">
        <f>LET(
    purpose,'Loan Tape (S&amp;P)'!R5185,
    IF(purpose="Purchase",1.00,
        IF(purpose="Remortgage",1.00,
            1.20)))</f>
        <v/>
      </c>
      <c r="L5185">
        <f>LET(
    arrears_months,'Loan Tape (S&amp;P)'!AN5185,
    IF(arrears_months=0,1.00,
    IF(arrears_months=1,3.00,
    IF(arrears_months=2,5.00,
    IF(arrears_months=3,8.00,
    IF(arrears_months=4,10.00,
    IF(arrears_months=5,12.00,15.00)))))))</f>
        <v/>
      </c>
      <c r="M5185">
        <f>LET(
    seasoning_years,DATEDIF('Loan Tape (S&amp;P)'!K5185,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85">
        <f>IF(AND('Loan Tape (S&amp;P)'!U5185="Yes",
        'Loan Tape (S&amp;P)'!T5185&lt;&gt;"Yes",
        DATEDIF('Loan Tape (S&amp;P)'!K5185, TODAY(), "M")&lt;18),
    1.10,
    1.00)</f>
        <v/>
      </c>
      <c r="O5185">
        <f>IF('Loan Tape (S&amp;P)'!T5185="Yes",
    1.35,
    1.00)</f>
        <v/>
      </c>
      <c r="P5185">
        <f>IF('Loan Tape (S&amp;P)'!S5185="Yes",
    1.15,
    1.00)</f>
        <v/>
      </c>
      <c r="Q5185">
        <f>IF('Loan Tape (S&amp;P)'!V5185="Yes",
    1.20,
    1.00)</f>
        <v/>
      </c>
      <c r="T5185">
        <f>LET(
    payment_method,'Loan Tape (S&amp;P)'!P5185,
    occupancy,'Loan Tape (S&amp;P)'!N5185,
    maturity_date,'Loan Tape (S&amp;P)'!L5185,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86">
      <c r="J5186">
        <f>LET(
    lien,'Loan Tape (S&amp;P)'!Q5186,
    IF(lien="First",1.00,
        IF(lien="Second",1.50,
            1.70)))</f>
        <v/>
      </c>
      <c r="K5186">
        <f>LET(
    purpose,'Loan Tape (S&amp;P)'!R5186,
    IF(purpose="Purchase",1.00,
        IF(purpose="Remortgage",1.00,
            1.20)))</f>
        <v/>
      </c>
      <c r="L5186">
        <f>LET(
    arrears_months,'Loan Tape (S&amp;P)'!AN5186,
    IF(arrears_months=0,1.00,
    IF(arrears_months=1,3.00,
    IF(arrears_months=2,5.00,
    IF(arrears_months=3,8.00,
    IF(arrears_months=4,10.00,
    IF(arrears_months=5,12.00,15.00)))))))</f>
        <v/>
      </c>
      <c r="M5186">
        <f>LET(
    seasoning_years,DATEDIF('Loan Tape (S&amp;P)'!K5186,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86">
        <f>IF(AND('Loan Tape (S&amp;P)'!U5186="Yes",
        'Loan Tape (S&amp;P)'!T5186&lt;&gt;"Yes",
        DATEDIF('Loan Tape (S&amp;P)'!K5186, TODAY(), "M")&lt;18),
    1.10,
    1.00)</f>
        <v/>
      </c>
      <c r="O5186">
        <f>IF('Loan Tape (S&amp;P)'!T5186="Yes",
    1.35,
    1.00)</f>
        <v/>
      </c>
      <c r="P5186">
        <f>IF('Loan Tape (S&amp;P)'!S5186="Yes",
    1.15,
    1.00)</f>
        <v/>
      </c>
      <c r="Q5186">
        <f>IF('Loan Tape (S&amp;P)'!V5186="Yes",
    1.20,
    1.00)</f>
        <v/>
      </c>
      <c r="T5186">
        <f>LET(
    payment_method,'Loan Tape (S&amp;P)'!P5186,
    occupancy,'Loan Tape (S&amp;P)'!N5186,
    maturity_date,'Loan Tape (S&amp;P)'!L5186,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87">
      <c r="J5187">
        <f>LET(
    lien,'Loan Tape (S&amp;P)'!Q5187,
    IF(lien="First",1.00,
        IF(lien="Second",1.50,
            1.70)))</f>
        <v/>
      </c>
      <c r="K5187">
        <f>LET(
    purpose,'Loan Tape (S&amp;P)'!R5187,
    IF(purpose="Purchase",1.00,
        IF(purpose="Remortgage",1.00,
            1.20)))</f>
        <v/>
      </c>
      <c r="L5187">
        <f>LET(
    arrears_months,'Loan Tape (S&amp;P)'!AN5187,
    IF(arrears_months=0,1.00,
    IF(arrears_months=1,3.00,
    IF(arrears_months=2,5.00,
    IF(arrears_months=3,8.00,
    IF(arrears_months=4,10.00,
    IF(arrears_months=5,12.00,15.00)))))))</f>
        <v/>
      </c>
      <c r="M5187">
        <f>LET(
    seasoning_years,DATEDIF('Loan Tape (S&amp;P)'!K5187,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87">
        <f>IF(AND('Loan Tape (S&amp;P)'!U5187="Yes",
        'Loan Tape (S&amp;P)'!T5187&lt;&gt;"Yes",
        DATEDIF('Loan Tape (S&amp;P)'!K5187, TODAY(), "M")&lt;18),
    1.10,
    1.00)</f>
        <v/>
      </c>
      <c r="O5187">
        <f>IF('Loan Tape (S&amp;P)'!T5187="Yes",
    1.35,
    1.00)</f>
        <v/>
      </c>
      <c r="P5187">
        <f>IF('Loan Tape (S&amp;P)'!S5187="Yes",
    1.15,
    1.00)</f>
        <v/>
      </c>
      <c r="Q5187">
        <f>IF('Loan Tape (S&amp;P)'!V5187="Yes",
    1.20,
    1.00)</f>
        <v/>
      </c>
      <c r="T5187">
        <f>LET(
    payment_method,'Loan Tape (S&amp;P)'!P5187,
    occupancy,'Loan Tape (S&amp;P)'!N5187,
    maturity_date,'Loan Tape (S&amp;P)'!L5187,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88">
      <c r="J5188">
        <f>LET(
    lien,'Loan Tape (S&amp;P)'!Q5188,
    IF(lien="First",1.00,
        IF(lien="Second",1.50,
            1.70)))</f>
        <v/>
      </c>
      <c r="K5188">
        <f>LET(
    purpose,'Loan Tape (S&amp;P)'!R5188,
    IF(purpose="Purchase",1.00,
        IF(purpose="Remortgage",1.00,
            1.20)))</f>
        <v/>
      </c>
      <c r="L5188">
        <f>LET(
    arrears_months,'Loan Tape (S&amp;P)'!AN5188,
    IF(arrears_months=0,1.00,
    IF(arrears_months=1,3.00,
    IF(arrears_months=2,5.00,
    IF(arrears_months=3,8.00,
    IF(arrears_months=4,10.00,
    IF(arrears_months=5,12.00,15.00)))))))</f>
        <v/>
      </c>
      <c r="M5188">
        <f>LET(
    seasoning_years,DATEDIF('Loan Tape (S&amp;P)'!K5188,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88">
        <f>IF(AND('Loan Tape (S&amp;P)'!U5188="Yes",
        'Loan Tape (S&amp;P)'!T5188&lt;&gt;"Yes",
        DATEDIF('Loan Tape (S&amp;P)'!K5188, TODAY(), "M")&lt;18),
    1.10,
    1.00)</f>
        <v/>
      </c>
      <c r="O5188">
        <f>IF('Loan Tape (S&amp;P)'!T5188="Yes",
    1.35,
    1.00)</f>
        <v/>
      </c>
      <c r="P5188">
        <f>IF('Loan Tape (S&amp;P)'!S5188="Yes",
    1.15,
    1.00)</f>
        <v/>
      </c>
      <c r="Q5188">
        <f>IF('Loan Tape (S&amp;P)'!V5188="Yes",
    1.20,
    1.00)</f>
        <v/>
      </c>
      <c r="T5188">
        <f>LET(
    payment_method,'Loan Tape (S&amp;P)'!P5188,
    occupancy,'Loan Tape (S&amp;P)'!N5188,
    maturity_date,'Loan Tape (S&amp;P)'!L5188,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89">
      <c r="J5189">
        <f>LET(
    lien,'Loan Tape (S&amp;P)'!Q5189,
    IF(lien="First",1.00,
        IF(lien="Second",1.50,
            1.70)))</f>
        <v/>
      </c>
      <c r="K5189">
        <f>LET(
    purpose,'Loan Tape (S&amp;P)'!R5189,
    IF(purpose="Purchase",1.00,
        IF(purpose="Remortgage",1.00,
            1.20)))</f>
        <v/>
      </c>
      <c r="L5189">
        <f>LET(
    arrears_months,'Loan Tape (S&amp;P)'!AN5189,
    IF(arrears_months=0,1.00,
    IF(arrears_months=1,3.00,
    IF(arrears_months=2,5.00,
    IF(arrears_months=3,8.00,
    IF(arrears_months=4,10.00,
    IF(arrears_months=5,12.00,15.00)))))))</f>
        <v/>
      </c>
      <c r="M5189">
        <f>LET(
    seasoning_years,DATEDIF('Loan Tape (S&amp;P)'!K5189,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89">
        <f>IF(AND('Loan Tape (S&amp;P)'!U5189="Yes",
        'Loan Tape (S&amp;P)'!T5189&lt;&gt;"Yes",
        DATEDIF('Loan Tape (S&amp;P)'!K5189, TODAY(), "M")&lt;18),
    1.10,
    1.00)</f>
        <v/>
      </c>
      <c r="O5189">
        <f>IF('Loan Tape (S&amp;P)'!T5189="Yes",
    1.35,
    1.00)</f>
        <v/>
      </c>
      <c r="P5189">
        <f>IF('Loan Tape (S&amp;P)'!S5189="Yes",
    1.15,
    1.00)</f>
        <v/>
      </c>
      <c r="Q5189">
        <f>IF('Loan Tape (S&amp;P)'!V5189="Yes",
    1.20,
    1.00)</f>
        <v/>
      </c>
      <c r="T5189">
        <f>LET(
    payment_method,'Loan Tape (S&amp;P)'!P5189,
    occupancy,'Loan Tape (S&amp;P)'!N5189,
    maturity_date,'Loan Tape (S&amp;P)'!L5189,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90">
      <c r="J5190">
        <f>LET(
    lien,'Loan Tape (S&amp;P)'!Q5190,
    IF(lien="First",1.00,
        IF(lien="Second",1.50,
            1.70)))</f>
        <v/>
      </c>
      <c r="K5190">
        <f>LET(
    purpose,'Loan Tape (S&amp;P)'!R5190,
    IF(purpose="Purchase",1.00,
        IF(purpose="Remortgage",1.00,
            1.20)))</f>
        <v/>
      </c>
      <c r="L5190">
        <f>LET(
    arrears_months,'Loan Tape (S&amp;P)'!AN5190,
    IF(arrears_months=0,1.00,
    IF(arrears_months=1,3.00,
    IF(arrears_months=2,5.00,
    IF(arrears_months=3,8.00,
    IF(arrears_months=4,10.00,
    IF(arrears_months=5,12.00,15.00)))))))</f>
        <v/>
      </c>
      <c r="M5190">
        <f>LET(
    seasoning_years,DATEDIF('Loan Tape (S&amp;P)'!K5190,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90">
        <f>IF(AND('Loan Tape (S&amp;P)'!U5190="Yes",
        'Loan Tape (S&amp;P)'!T5190&lt;&gt;"Yes",
        DATEDIF('Loan Tape (S&amp;P)'!K5190, TODAY(), "M")&lt;18),
    1.10,
    1.00)</f>
        <v/>
      </c>
      <c r="O5190">
        <f>IF('Loan Tape (S&amp;P)'!T5190="Yes",
    1.35,
    1.00)</f>
        <v/>
      </c>
      <c r="P5190">
        <f>IF('Loan Tape (S&amp;P)'!S5190="Yes",
    1.15,
    1.00)</f>
        <v/>
      </c>
      <c r="Q5190">
        <f>IF('Loan Tape (S&amp;P)'!V5190="Yes",
    1.20,
    1.00)</f>
        <v/>
      </c>
      <c r="T5190">
        <f>LET(
    payment_method,'Loan Tape (S&amp;P)'!P5190,
    occupancy,'Loan Tape (S&amp;P)'!N5190,
    maturity_date,'Loan Tape (S&amp;P)'!L5190,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91">
      <c r="J5191">
        <f>LET(
    lien,'Loan Tape (S&amp;P)'!Q5191,
    IF(lien="First",1.00,
        IF(lien="Second",1.50,
            1.70)))</f>
        <v/>
      </c>
      <c r="K5191">
        <f>LET(
    purpose,'Loan Tape (S&amp;P)'!R5191,
    IF(purpose="Purchase",1.00,
        IF(purpose="Remortgage",1.00,
            1.20)))</f>
        <v/>
      </c>
      <c r="L5191">
        <f>LET(
    arrears_months,'Loan Tape (S&amp;P)'!AN5191,
    IF(arrears_months=0,1.00,
    IF(arrears_months=1,3.00,
    IF(arrears_months=2,5.00,
    IF(arrears_months=3,8.00,
    IF(arrears_months=4,10.00,
    IF(arrears_months=5,12.00,15.00)))))))</f>
        <v/>
      </c>
      <c r="M5191">
        <f>LET(
    seasoning_years,DATEDIF('Loan Tape (S&amp;P)'!K5191,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91">
        <f>IF(AND('Loan Tape (S&amp;P)'!U5191="Yes",
        'Loan Tape (S&amp;P)'!T5191&lt;&gt;"Yes",
        DATEDIF('Loan Tape (S&amp;P)'!K5191, TODAY(), "M")&lt;18),
    1.10,
    1.00)</f>
        <v/>
      </c>
      <c r="O5191">
        <f>IF('Loan Tape (S&amp;P)'!T5191="Yes",
    1.35,
    1.00)</f>
        <v/>
      </c>
      <c r="P5191">
        <f>IF('Loan Tape (S&amp;P)'!S5191="Yes",
    1.15,
    1.00)</f>
        <v/>
      </c>
      <c r="Q5191">
        <f>IF('Loan Tape (S&amp;P)'!V5191="Yes",
    1.20,
    1.00)</f>
        <v/>
      </c>
      <c r="T5191">
        <f>LET(
    payment_method,'Loan Tape (S&amp;P)'!P5191,
    occupancy,'Loan Tape (S&amp;P)'!N5191,
    maturity_date,'Loan Tape (S&amp;P)'!L5191,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92">
      <c r="J5192">
        <f>LET(
    lien,'Loan Tape (S&amp;P)'!Q5192,
    IF(lien="First",1.00,
        IF(lien="Second",1.50,
            1.70)))</f>
        <v/>
      </c>
      <c r="K5192">
        <f>LET(
    purpose,'Loan Tape (S&amp;P)'!R5192,
    IF(purpose="Purchase",1.00,
        IF(purpose="Remortgage",1.00,
            1.20)))</f>
        <v/>
      </c>
      <c r="L5192">
        <f>LET(
    arrears_months,'Loan Tape (S&amp;P)'!AN5192,
    IF(arrears_months=0,1.00,
    IF(arrears_months=1,3.00,
    IF(arrears_months=2,5.00,
    IF(arrears_months=3,8.00,
    IF(arrears_months=4,10.00,
    IF(arrears_months=5,12.00,15.00)))))))</f>
        <v/>
      </c>
      <c r="M5192">
        <f>LET(
    seasoning_years,DATEDIF('Loan Tape (S&amp;P)'!K5192,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92">
        <f>IF(AND('Loan Tape (S&amp;P)'!U5192="Yes",
        'Loan Tape (S&amp;P)'!T5192&lt;&gt;"Yes",
        DATEDIF('Loan Tape (S&amp;P)'!K5192, TODAY(), "M")&lt;18),
    1.10,
    1.00)</f>
        <v/>
      </c>
      <c r="O5192">
        <f>IF('Loan Tape (S&amp;P)'!T5192="Yes",
    1.35,
    1.00)</f>
        <v/>
      </c>
      <c r="P5192">
        <f>IF('Loan Tape (S&amp;P)'!S5192="Yes",
    1.15,
    1.00)</f>
        <v/>
      </c>
      <c r="Q5192">
        <f>IF('Loan Tape (S&amp;P)'!V5192="Yes",
    1.20,
    1.00)</f>
        <v/>
      </c>
      <c r="T5192">
        <f>LET(
    payment_method,'Loan Tape (S&amp;P)'!P5192,
    occupancy,'Loan Tape (S&amp;P)'!N5192,
    maturity_date,'Loan Tape (S&amp;P)'!L5192,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93">
      <c r="J5193">
        <f>LET(
    lien,'Loan Tape (S&amp;P)'!Q5193,
    IF(lien="First",1.00,
        IF(lien="Second",1.50,
            1.70)))</f>
        <v/>
      </c>
      <c r="K5193">
        <f>LET(
    purpose,'Loan Tape (S&amp;P)'!R5193,
    IF(purpose="Purchase",1.00,
        IF(purpose="Remortgage",1.00,
            1.20)))</f>
        <v/>
      </c>
      <c r="L5193">
        <f>LET(
    arrears_months,'Loan Tape (S&amp;P)'!AN5193,
    IF(arrears_months=0,1.00,
    IF(arrears_months=1,3.00,
    IF(arrears_months=2,5.00,
    IF(arrears_months=3,8.00,
    IF(arrears_months=4,10.00,
    IF(arrears_months=5,12.00,15.00)))))))</f>
        <v/>
      </c>
      <c r="M5193">
        <f>LET(
    seasoning_years,DATEDIF('Loan Tape (S&amp;P)'!K5193,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93">
        <f>IF(AND('Loan Tape (S&amp;P)'!U5193="Yes",
        'Loan Tape (S&amp;P)'!T5193&lt;&gt;"Yes",
        DATEDIF('Loan Tape (S&amp;P)'!K5193, TODAY(), "M")&lt;18),
    1.10,
    1.00)</f>
        <v/>
      </c>
      <c r="O5193">
        <f>IF('Loan Tape (S&amp;P)'!T5193="Yes",
    1.35,
    1.00)</f>
        <v/>
      </c>
      <c r="P5193">
        <f>IF('Loan Tape (S&amp;P)'!S5193="Yes",
    1.15,
    1.00)</f>
        <v/>
      </c>
      <c r="Q5193">
        <f>IF('Loan Tape (S&amp;P)'!V5193="Yes",
    1.20,
    1.00)</f>
        <v/>
      </c>
      <c r="T5193">
        <f>LET(
    payment_method,'Loan Tape (S&amp;P)'!P5193,
    occupancy,'Loan Tape (S&amp;P)'!N5193,
    maturity_date,'Loan Tape (S&amp;P)'!L5193,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94">
      <c r="J5194">
        <f>LET(
    lien,'Loan Tape (S&amp;P)'!Q5194,
    IF(lien="First",1.00,
        IF(lien="Second",1.50,
            1.70)))</f>
        <v/>
      </c>
      <c r="K5194">
        <f>LET(
    purpose,'Loan Tape (S&amp;P)'!R5194,
    IF(purpose="Purchase",1.00,
        IF(purpose="Remortgage",1.00,
            1.20)))</f>
        <v/>
      </c>
      <c r="L5194">
        <f>LET(
    arrears_months,'Loan Tape (S&amp;P)'!AN5194,
    IF(arrears_months=0,1.00,
    IF(arrears_months=1,3.00,
    IF(arrears_months=2,5.00,
    IF(arrears_months=3,8.00,
    IF(arrears_months=4,10.00,
    IF(arrears_months=5,12.00,15.00)))))))</f>
        <v/>
      </c>
      <c r="M5194">
        <f>LET(
    seasoning_years,DATEDIF('Loan Tape (S&amp;P)'!K5194,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94">
        <f>IF(AND('Loan Tape (S&amp;P)'!U5194="Yes",
        'Loan Tape (S&amp;P)'!T5194&lt;&gt;"Yes",
        DATEDIF('Loan Tape (S&amp;P)'!K5194, TODAY(), "M")&lt;18),
    1.10,
    1.00)</f>
        <v/>
      </c>
      <c r="O5194">
        <f>IF('Loan Tape (S&amp;P)'!T5194="Yes",
    1.35,
    1.00)</f>
        <v/>
      </c>
      <c r="P5194">
        <f>IF('Loan Tape (S&amp;P)'!S5194="Yes",
    1.15,
    1.00)</f>
        <v/>
      </c>
      <c r="Q5194">
        <f>IF('Loan Tape (S&amp;P)'!V5194="Yes",
    1.20,
    1.00)</f>
        <v/>
      </c>
      <c r="T5194">
        <f>LET(
    payment_method,'Loan Tape (S&amp;P)'!P5194,
    occupancy,'Loan Tape (S&amp;P)'!N5194,
    maturity_date,'Loan Tape (S&amp;P)'!L5194,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95">
      <c r="J5195">
        <f>LET(
    lien,'Loan Tape (S&amp;P)'!Q5195,
    IF(lien="First",1.00,
        IF(lien="Second",1.50,
            1.70)))</f>
        <v/>
      </c>
      <c r="K5195">
        <f>LET(
    purpose,'Loan Tape (S&amp;P)'!R5195,
    IF(purpose="Purchase",1.00,
        IF(purpose="Remortgage",1.00,
            1.20)))</f>
        <v/>
      </c>
      <c r="L5195">
        <f>LET(
    arrears_months,'Loan Tape (S&amp;P)'!AN5195,
    IF(arrears_months=0,1.00,
    IF(arrears_months=1,3.00,
    IF(arrears_months=2,5.00,
    IF(arrears_months=3,8.00,
    IF(arrears_months=4,10.00,
    IF(arrears_months=5,12.00,15.00)))))))</f>
        <v/>
      </c>
      <c r="M5195">
        <f>LET(
    seasoning_years,DATEDIF('Loan Tape (S&amp;P)'!K5195,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95">
        <f>IF(AND('Loan Tape (S&amp;P)'!U5195="Yes",
        'Loan Tape (S&amp;P)'!T5195&lt;&gt;"Yes",
        DATEDIF('Loan Tape (S&amp;P)'!K5195, TODAY(), "M")&lt;18),
    1.10,
    1.00)</f>
        <v/>
      </c>
      <c r="O5195">
        <f>IF('Loan Tape (S&amp;P)'!T5195="Yes",
    1.35,
    1.00)</f>
        <v/>
      </c>
      <c r="P5195">
        <f>IF('Loan Tape (S&amp;P)'!S5195="Yes",
    1.15,
    1.00)</f>
        <v/>
      </c>
      <c r="Q5195">
        <f>IF('Loan Tape (S&amp;P)'!V5195="Yes",
    1.20,
    1.00)</f>
        <v/>
      </c>
      <c r="T5195">
        <f>LET(
    payment_method,'Loan Tape (S&amp;P)'!P5195,
    occupancy,'Loan Tape (S&amp;P)'!N5195,
    maturity_date,'Loan Tape (S&amp;P)'!L5195,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96">
      <c r="J5196">
        <f>LET(
    lien,'Loan Tape (S&amp;P)'!Q5196,
    IF(lien="First",1.00,
        IF(lien="Second",1.50,
            1.70)))</f>
        <v/>
      </c>
      <c r="K5196">
        <f>LET(
    purpose,'Loan Tape (S&amp;P)'!R5196,
    IF(purpose="Purchase",1.00,
        IF(purpose="Remortgage",1.00,
            1.20)))</f>
        <v/>
      </c>
      <c r="L5196">
        <f>LET(
    arrears_months,'Loan Tape (S&amp;P)'!AN5196,
    IF(arrears_months=0,1.00,
    IF(arrears_months=1,3.00,
    IF(arrears_months=2,5.00,
    IF(arrears_months=3,8.00,
    IF(arrears_months=4,10.00,
    IF(arrears_months=5,12.00,15.00)))))))</f>
        <v/>
      </c>
      <c r="M5196">
        <f>LET(
    seasoning_years,DATEDIF('Loan Tape (S&amp;P)'!K5196,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96">
        <f>IF(AND('Loan Tape (S&amp;P)'!U5196="Yes",
        'Loan Tape (S&amp;P)'!T5196&lt;&gt;"Yes",
        DATEDIF('Loan Tape (S&amp;P)'!K5196, TODAY(), "M")&lt;18),
    1.10,
    1.00)</f>
        <v/>
      </c>
      <c r="O5196">
        <f>IF('Loan Tape (S&amp;P)'!T5196="Yes",
    1.35,
    1.00)</f>
        <v/>
      </c>
      <c r="P5196">
        <f>IF('Loan Tape (S&amp;P)'!S5196="Yes",
    1.15,
    1.00)</f>
        <v/>
      </c>
      <c r="Q5196">
        <f>IF('Loan Tape (S&amp;P)'!V5196="Yes",
    1.20,
    1.00)</f>
        <v/>
      </c>
      <c r="T5196">
        <f>LET(
    payment_method,'Loan Tape (S&amp;P)'!P5196,
    occupancy,'Loan Tape (S&amp;P)'!N5196,
    maturity_date,'Loan Tape (S&amp;P)'!L5196,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97">
      <c r="J5197">
        <f>LET(
    lien,'Loan Tape (S&amp;P)'!Q5197,
    IF(lien="First",1.00,
        IF(lien="Second",1.50,
            1.70)))</f>
        <v/>
      </c>
      <c r="K5197">
        <f>LET(
    purpose,'Loan Tape (S&amp;P)'!R5197,
    IF(purpose="Purchase",1.00,
        IF(purpose="Remortgage",1.00,
            1.20)))</f>
        <v/>
      </c>
      <c r="L5197">
        <f>LET(
    arrears_months,'Loan Tape (S&amp;P)'!AN5197,
    IF(arrears_months=0,1.00,
    IF(arrears_months=1,3.00,
    IF(arrears_months=2,5.00,
    IF(arrears_months=3,8.00,
    IF(arrears_months=4,10.00,
    IF(arrears_months=5,12.00,15.00)))))))</f>
        <v/>
      </c>
      <c r="M5197">
        <f>LET(
    seasoning_years,DATEDIF('Loan Tape (S&amp;P)'!K5197,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97">
        <f>IF(AND('Loan Tape (S&amp;P)'!U5197="Yes",
        'Loan Tape (S&amp;P)'!T5197&lt;&gt;"Yes",
        DATEDIF('Loan Tape (S&amp;P)'!K5197, TODAY(), "M")&lt;18),
    1.10,
    1.00)</f>
        <v/>
      </c>
      <c r="O5197">
        <f>IF('Loan Tape (S&amp;P)'!T5197="Yes",
    1.35,
    1.00)</f>
        <v/>
      </c>
      <c r="P5197">
        <f>IF('Loan Tape (S&amp;P)'!S5197="Yes",
    1.15,
    1.00)</f>
        <v/>
      </c>
      <c r="Q5197">
        <f>IF('Loan Tape (S&amp;P)'!V5197="Yes",
    1.20,
    1.00)</f>
        <v/>
      </c>
      <c r="T5197">
        <f>LET(
    payment_method,'Loan Tape (S&amp;P)'!P5197,
    occupancy,'Loan Tape (S&amp;P)'!N5197,
    maturity_date,'Loan Tape (S&amp;P)'!L5197,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98">
      <c r="J5198">
        <f>LET(
    lien,'Loan Tape (S&amp;P)'!Q5198,
    IF(lien="First",1.00,
        IF(lien="Second",1.50,
            1.70)))</f>
        <v/>
      </c>
      <c r="K5198">
        <f>LET(
    purpose,'Loan Tape (S&amp;P)'!R5198,
    IF(purpose="Purchase",1.00,
        IF(purpose="Remortgage",1.00,
            1.20)))</f>
        <v/>
      </c>
      <c r="L5198">
        <f>LET(
    arrears_months,'Loan Tape (S&amp;P)'!AN5198,
    IF(arrears_months=0,1.00,
    IF(arrears_months=1,3.00,
    IF(arrears_months=2,5.00,
    IF(arrears_months=3,8.00,
    IF(arrears_months=4,10.00,
    IF(arrears_months=5,12.00,15.00)))))))</f>
        <v/>
      </c>
      <c r="M5198">
        <f>LET(
    seasoning_years,DATEDIF('Loan Tape (S&amp;P)'!K5198,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98">
        <f>IF(AND('Loan Tape (S&amp;P)'!U5198="Yes",
        'Loan Tape (S&amp;P)'!T5198&lt;&gt;"Yes",
        DATEDIF('Loan Tape (S&amp;P)'!K5198, TODAY(), "M")&lt;18),
    1.10,
    1.00)</f>
        <v/>
      </c>
      <c r="O5198">
        <f>IF('Loan Tape (S&amp;P)'!T5198="Yes",
    1.35,
    1.00)</f>
        <v/>
      </c>
      <c r="P5198">
        <f>IF('Loan Tape (S&amp;P)'!S5198="Yes",
    1.15,
    1.00)</f>
        <v/>
      </c>
      <c r="Q5198">
        <f>IF('Loan Tape (S&amp;P)'!V5198="Yes",
    1.20,
    1.00)</f>
        <v/>
      </c>
      <c r="T5198">
        <f>LET(
    payment_method,'Loan Tape (S&amp;P)'!P5198,
    occupancy,'Loan Tape (S&amp;P)'!N5198,
    maturity_date,'Loan Tape (S&amp;P)'!L5198,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199">
      <c r="J5199">
        <f>LET(
    lien,'Loan Tape (S&amp;P)'!Q5199,
    IF(lien="First",1.00,
        IF(lien="Second",1.50,
            1.70)))</f>
        <v/>
      </c>
      <c r="K5199">
        <f>LET(
    purpose,'Loan Tape (S&amp;P)'!R5199,
    IF(purpose="Purchase",1.00,
        IF(purpose="Remortgage",1.00,
            1.20)))</f>
        <v/>
      </c>
      <c r="L5199">
        <f>LET(
    arrears_months,'Loan Tape (S&amp;P)'!AN5199,
    IF(arrears_months=0,1.00,
    IF(arrears_months=1,3.00,
    IF(arrears_months=2,5.00,
    IF(arrears_months=3,8.00,
    IF(arrears_months=4,10.00,
    IF(arrears_months=5,12.00,15.00)))))))</f>
        <v/>
      </c>
      <c r="M5199">
        <f>LET(
    seasoning_years,DATEDIF('Loan Tape (S&amp;P)'!K5199,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199">
        <f>IF(AND('Loan Tape (S&amp;P)'!U5199="Yes",
        'Loan Tape (S&amp;P)'!T5199&lt;&gt;"Yes",
        DATEDIF('Loan Tape (S&amp;P)'!K5199, TODAY(), "M")&lt;18),
    1.10,
    1.00)</f>
        <v/>
      </c>
      <c r="O5199">
        <f>IF('Loan Tape (S&amp;P)'!T5199="Yes",
    1.35,
    1.00)</f>
        <v/>
      </c>
      <c r="P5199">
        <f>IF('Loan Tape (S&amp;P)'!S5199="Yes",
    1.15,
    1.00)</f>
        <v/>
      </c>
      <c r="Q5199">
        <f>IF('Loan Tape (S&amp;P)'!V5199="Yes",
    1.20,
    1.00)</f>
        <v/>
      </c>
      <c r="T5199">
        <f>LET(
    payment_method,'Loan Tape (S&amp;P)'!P5199,
    occupancy,'Loan Tape (S&amp;P)'!N5199,
    maturity_date,'Loan Tape (S&amp;P)'!L5199,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00">
      <c r="J5200">
        <f>LET(
    lien,'Loan Tape (S&amp;P)'!Q5200,
    IF(lien="First",1.00,
        IF(lien="Second",1.50,
            1.70)))</f>
        <v/>
      </c>
      <c r="K5200">
        <f>LET(
    purpose,'Loan Tape (S&amp;P)'!R5200,
    IF(purpose="Purchase",1.00,
        IF(purpose="Remortgage",1.00,
            1.20)))</f>
        <v/>
      </c>
      <c r="L5200">
        <f>LET(
    arrears_months,'Loan Tape (S&amp;P)'!AN5200,
    IF(arrears_months=0,1.00,
    IF(arrears_months=1,3.00,
    IF(arrears_months=2,5.00,
    IF(arrears_months=3,8.00,
    IF(arrears_months=4,10.00,
    IF(arrears_months=5,12.00,15.00)))))))</f>
        <v/>
      </c>
      <c r="M5200">
        <f>LET(
    seasoning_years,DATEDIF('Loan Tape (S&amp;P)'!K5200,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00">
        <f>IF(AND('Loan Tape (S&amp;P)'!U5200="Yes",
        'Loan Tape (S&amp;P)'!T5200&lt;&gt;"Yes",
        DATEDIF('Loan Tape (S&amp;P)'!K5200, TODAY(), "M")&lt;18),
    1.10,
    1.00)</f>
        <v/>
      </c>
      <c r="O5200">
        <f>IF('Loan Tape (S&amp;P)'!T5200="Yes",
    1.35,
    1.00)</f>
        <v/>
      </c>
      <c r="P5200">
        <f>IF('Loan Tape (S&amp;P)'!S5200="Yes",
    1.15,
    1.00)</f>
        <v/>
      </c>
      <c r="Q5200">
        <f>IF('Loan Tape (S&amp;P)'!V5200="Yes",
    1.20,
    1.00)</f>
        <v/>
      </c>
      <c r="T5200">
        <f>LET(
    payment_method,'Loan Tape (S&amp;P)'!P5200,
    occupancy,'Loan Tape (S&amp;P)'!N5200,
    maturity_date,'Loan Tape (S&amp;P)'!L5200,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01">
      <c r="J5201">
        <f>LET(
    lien,'Loan Tape (S&amp;P)'!Q5201,
    IF(lien="First",1.00,
        IF(lien="Second",1.50,
            1.70)))</f>
        <v/>
      </c>
      <c r="K5201">
        <f>LET(
    purpose,'Loan Tape (S&amp;P)'!R5201,
    IF(purpose="Purchase",1.00,
        IF(purpose="Remortgage",1.00,
            1.20)))</f>
        <v/>
      </c>
      <c r="L5201">
        <f>LET(
    arrears_months,'Loan Tape (S&amp;P)'!AN5201,
    IF(arrears_months=0,1.00,
    IF(arrears_months=1,3.00,
    IF(arrears_months=2,5.00,
    IF(arrears_months=3,8.00,
    IF(arrears_months=4,10.00,
    IF(arrears_months=5,12.00,15.00)))))))</f>
        <v/>
      </c>
      <c r="M5201">
        <f>LET(
    seasoning_years,DATEDIF('Loan Tape (S&amp;P)'!K5201,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01">
        <f>IF(AND('Loan Tape (S&amp;P)'!U5201="Yes",
        'Loan Tape (S&amp;P)'!T5201&lt;&gt;"Yes",
        DATEDIF('Loan Tape (S&amp;P)'!K5201, TODAY(), "M")&lt;18),
    1.10,
    1.00)</f>
        <v/>
      </c>
      <c r="O5201">
        <f>IF('Loan Tape (S&amp;P)'!T5201="Yes",
    1.35,
    1.00)</f>
        <v/>
      </c>
      <c r="P5201">
        <f>IF('Loan Tape (S&amp;P)'!S5201="Yes",
    1.15,
    1.00)</f>
        <v/>
      </c>
      <c r="Q5201">
        <f>IF('Loan Tape (S&amp;P)'!V5201="Yes",
    1.20,
    1.00)</f>
        <v/>
      </c>
      <c r="T5201">
        <f>LET(
    payment_method,'Loan Tape (S&amp;P)'!P5201,
    occupancy,'Loan Tape (S&amp;P)'!N5201,
    maturity_date,'Loan Tape (S&amp;P)'!L5201,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02">
      <c r="J5202">
        <f>LET(
    lien,'Loan Tape (S&amp;P)'!Q5202,
    IF(lien="First",1.00,
        IF(lien="Second",1.50,
            1.70)))</f>
        <v/>
      </c>
      <c r="K5202">
        <f>LET(
    purpose,'Loan Tape (S&amp;P)'!R5202,
    IF(purpose="Purchase",1.00,
        IF(purpose="Remortgage",1.00,
            1.20)))</f>
        <v/>
      </c>
      <c r="L5202">
        <f>LET(
    arrears_months,'Loan Tape (S&amp;P)'!AN5202,
    IF(arrears_months=0,1.00,
    IF(arrears_months=1,3.00,
    IF(arrears_months=2,5.00,
    IF(arrears_months=3,8.00,
    IF(arrears_months=4,10.00,
    IF(arrears_months=5,12.00,15.00)))))))</f>
        <v/>
      </c>
      <c r="M5202">
        <f>LET(
    seasoning_years,DATEDIF('Loan Tape (S&amp;P)'!K5202,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02">
        <f>IF(AND('Loan Tape (S&amp;P)'!U5202="Yes",
        'Loan Tape (S&amp;P)'!T5202&lt;&gt;"Yes",
        DATEDIF('Loan Tape (S&amp;P)'!K5202, TODAY(), "M")&lt;18),
    1.10,
    1.00)</f>
        <v/>
      </c>
      <c r="O5202">
        <f>IF('Loan Tape (S&amp;P)'!T5202="Yes",
    1.35,
    1.00)</f>
        <v/>
      </c>
      <c r="P5202">
        <f>IF('Loan Tape (S&amp;P)'!S5202="Yes",
    1.15,
    1.00)</f>
        <v/>
      </c>
      <c r="Q5202">
        <f>IF('Loan Tape (S&amp;P)'!V5202="Yes",
    1.20,
    1.00)</f>
        <v/>
      </c>
      <c r="T5202">
        <f>LET(
    payment_method,'Loan Tape (S&amp;P)'!P5202,
    occupancy,'Loan Tape (S&amp;P)'!N5202,
    maturity_date,'Loan Tape (S&amp;P)'!L5202,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03">
      <c r="J5203">
        <f>LET(
    lien,'Loan Tape (S&amp;P)'!Q5203,
    IF(lien="First",1.00,
        IF(lien="Second",1.50,
            1.70)))</f>
        <v/>
      </c>
      <c r="K5203">
        <f>LET(
    purpose,'Loan Tape (S&amp;P)'!R5203,
    IF(purpose="Purchase",1.00,
        IF(purpose="Remortgage",1.00,
            1.20)))</f>
        <v/>
      </c>
      <c r="L5203">
        <f>LET(
    arrears_months,'Loan Tape (S&amp;P)'!AN5203,
    IF(arrears_months=0,1.00,
    IF(arrears_months=1,3.00,
    IF(arrears_months=2,5.00,
    IF(arrears_months=3,8.00,
    IF(arrears_months=4,10.00,
    IF(arrears_months=5,12.00,15.00)))))))</f>
        <v/>
      </c>
      <c r="M5203">
        <f>LET(
    seasoning_years,DATEDIF('Loan Tape (S&amp;P)'!K5203,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03">
        <f>IF(AND('Loan Tape (S&amp;P)'!U5203="Yes",
        'Loan Tape (S&amp;P)'!T5203&lt;&gt;"Yes",
        DATEDIF('Loan Tape (S&amp;P)'!K5203, TODAY(), "M")&lt;18),
    1.10,
    1.00)</f>
        <v/>
      </c>
      <c r="O5203">
        <f>IF('Loan Tape (S&amp;P)'!T5203="Yes",
    1.35,
    1.00)</f>
        <v/>
      </c>
      <c r="P5203">
        <f>IF('Loan Tape (S&amp;P)'!S5203="Yes",
    1.15,
    1.00)</f>
        <v/>
      </c>
      <c r="Q5203">
        <f>IF('Loan Tape (S&amp;P)'!V5203="Yes",
    1.20,
    1.00)</f>
        <v/>
      </c>
      <c r="T5203">
        <f>LET(
    payment_method,'Loan Tape (S&amp;P)'!P5203,
    occupancy,'Loan Tape (S&amp;P)'!N5203,
    maturity_date,'Loan Tape (S&amp;P)'!L5203,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04">
      <c r="J5204">
        <f>LET(
    lien,'Loan Tape (S&amp;P)'!Q5204,
    IF(lien="First",1.00,
        IF(lien="Second",1.50,
            1.70)))</f>
        <v/>
      </c>
      <c r="K5204">
        <f>LET(
    purpose,'Loan Tape (S&amp;P)'!R5204,
    IF(purpose="Purchase",1.00,
        IF(purpose="Remortgage",1.00,
            1.20)))</f>
        <v/>
      </c>
      <c r="L5204">
        <f>LET(
    arrears_months,'Loan Tape (S&amp;P)'!AN5204,
    IF(arrears_months=0,1.00,
    IF(arrears_months=1,3.00,
    IF(arrears_months=2,5.00,
    IF(arrears_months=3,8.00,
    IF(arrears_months=4,10.00,
    IF(arrears_months=5,12.00,15.00)))))))</f>
        <v/>
      </c>
      <c r="M5204">
        <f>LET(
    seasoning_years,DATEDIF('Loan Tape (S&amp;P)'!K5204,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04">
        <f>IF(AND('Loan Tape (S&amp;P)'!U5204="Yes",
        'Loan Tape (S&amp;P)'!T5204&lt;&gt;"Yes",
        DATEDIF('Loan Tape (S&amp;P)'!K5204, TODAY(), "M")&lt;18),
    1.10,
    1.00)</f>
        <v/>
      </c>
      <c r="O5204">
        <f>IF('Loan Tape (S&amp;P)'!T5204="Yes",
    1.35,
    1.00)</f>
        <v/>
      </c>
      <c r="P5204">
        <f>IF('Loan Tape (S&amp;P)'!S5204="Yes",
    1.15,
    1.00)</f>
        <v/>
      </c>
      <c r="Q5204">
        <f>IF('Loan Tape (S&amp;P)'!V5204="Yes",
    1.20,
    1.00)</f>
        <v/>
      </c>
      <c r="T5204">
        <f>LET(
    payment_method,'Loan Tape (S&amp;P)'!P5204,
    occupancy,'Loan Tape (S&amp;P)'!N5204,
    maturity_date,'Loan Tape (S&amp;P)'!L5204,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05">
      <c r="J5205">
        <f>LET(
    lien,'Loan Tape (S&amp;P)'!Q5205,
    IF(lien="First",1.00,
        IF(lien="Second",1.50,
            1.70)))</f>
        <v/>
      </c>
      <c r="K5205">
        <f>LET(
    purpose,'Loan Tape (S&amp;P)'!R5205,
    IF(purpose="Purchase",1.00,
        IF(purpose="Remortgage",1.00,
            1.20)))</f>
        <v/>
      </c>
      <c r="L5205">
        <f>LET(
    arrears_months,'Loan Tape (S&amp;P)'!AN5205,
    IF(arrears_months=0,1.00,
    IF(arrears_months=1,3.00,
    IF(arrears_months=2,5.00,
    IF(arrears_months=3,8.00,
    IF(arrears_months=4,10.00,
    IF(arrears_months=5,12.00,15.00)))))))</f>
        <v/>
      </c>
      <c r="M5205">
        <f>LET(
    seasoning_years,DATEDIF('Loan Tape (S&amp;P)'!K5205,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05">
        <f>IF(AND('Loan Tape (S&amp;P)'!U5205="Yes",
        'Loan Tape (S&amp;P)'!T5205&lt;&gt;"Yes",
        DATEDIF('Loan Tape (S&amp;P)'!K5205, TODAY(), "M")&lt;18),
    1.10,
    1.00)</f>
        <v/>
      </c>
      <c r="O5205">
        <f>IF('Loan Tape (S&amp;P)'!T5205="Yes",
    1.35,
    1.00)</f>
        <v/>
      </c>
      <c r="P5205">
        <f>IF('Loan Tape (S&amp;P)'!S5205="Yes",
    1.15,
    1.00)</f>
        <v/>
      </c>
      <c r="Q5205">
        <f>IF('Loan Tape (S&amp;P)'!V5205="Yes",
    1.20,
    1.00)</f>
        <v/>
      </c>
      <c r="T5205">
        <f>LET(
    payment_method,'Loan Tape (S&amp;P)'!P5205,
    occupancy,'Loan Tape (S&amp;P)'!N5205,
    maturity_date,'Loan Tape (S&amp;P)'!L5205,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06">
      <c r="J5206">
        <f>LET(
    lien,'Loan Tape (S&amp;P)'!Q5206,
    IF(lien="First",1.00,
        IF(lien="Second",1.50,
            1.70)))</f>
        <v/>
      </c>
      <c r="K5206">
        <f>LET(
    purpose,'Loan Tape (S&amp;P)'!R5206,
    IF(purpose="Purchase",1.00,
        IF(purpose="Remortgage",1.00,
            1.20)))</f>
        <v/>
      </c>
      <c r="L5206">
        <f>LET(
    arrears_months,'Loan Tape (S&amp;P)'!AN5206,
    IF(arrears_months=0,1.00,
    IF(arrears_months=1,3.00,
    IF(arrears_months=2,5.00,
    IF(arrears_months=3,8.00,
    IF(arrears_months=4,10.00,
    IF(arrears_months=5,12.00,15.00)))))))</f>
        <v/>
      </c>
      <c r="M5206">
        <f>LET(
    seasoning_years,DATEDIF('Loan Tape (S&amp;P)'!K5206,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06">
        <f>IF(AND('Loan Tape (S&amp;P)'!U5206="Yes",
        'Loan Tape (S&amp;P)'!T5206&lt;&gt;"Yes",
        DATEDIF('Loan Tape (S&amp;P)'!K5206, TODAY(), "M")&lt;18),
    1.10,
    1.00)</f>
        <v/>
      </c>
      <c r="O5206">
        <f>IF('Loan Tape (S&amp;P)'!T5206="Yes",
    1.35,
    1.00)</f>
        <v/>
      </c>
      <c r="P5206">
        <f>IF('Loan Tape (S&amp;P)'!S5206="Yes",
    1.15,
    1.00)</f>
        <v/>
      </c>
      <c r="Q5206">
        <f>IF('Loan Tape (S&amp;P)'!V5206="Yes",
    1.20,
    1.00)</f>
        <v/>
      </c>
      <c r="T5206">
        <f>LET(
    payment_method,'Loan Tape (S&amp;P)'!P5206,
    occupancy,'Loan Tape (S&amp;P)'!N5206,
    maturity_date,'Loan Tape (S&amp;P)'!L5206,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07">
      <c r="J5207">
        <f>LET(
    lien,'Loan Tape (S&amp;P)'!Q5207,
    IF(lien="First",1.00,
        IF(lien="Second",1.50,
            1.70)))</f>
        <v/>
      </c>
      <c r="K5207">
        <f>LET(
    purpose,'Loan Tape (S&amp;P)'!R5207,
    IF(purpose="Purchase",1.00,
        IF(purpose="Remortgage",1.00,
            1.20)))</f>
        <v/>
      </c>
      <c r="L5207">
        <f>LET(
    arrears_months,'Loan Tape (S&amp;P)'!AN5207,
    IF(arrears_months=0,1.00,
    IF(arrears_months=1,3.00,
    IF(arrears_months=2,5.00,
    IF(arrears_months=3,8.00,
    IF(arrears_months=4,10.00,
    IF(arrears_months=5,12.00,15.00)))))))</f>
        <v/>
      </c>
      <c r="M5207">
        <f>LET(
    seasoning_years,DATEDIF('Loan Tape (S&amp;P)'!K5207,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07">
        <f>IF(AND('Loan Tape (S&amp;P)'!U5207="Yes",
        'Loan Tape (S&amp;P)'!T5207&lt;&gt;"Yes",
        DATEDIF('Loan Tape (S&amp;P)'!K5207, TODAY(), "M")&lt;18),
    1.10,
    1.00)</f>
        <v/>
      </c>
      <c r="O5207">
        <f>IF('Loan Tape (S&amp;P)'!T5207="Yes",
    1.35,
    1.00)</f>
        <v/>
      </c>
      <c r="P5207">
        <f>IF('Loan Tape (S&amp;P)'!S5207="Yes",
    1.15,
    1.00)</f>
        <v/>
      </c>
      <c r="Q5207">
        <f>IF('Loan Tape (S&amp;P)'!V5207="Yes",
    1.20,
    1.00)</f>
        <v/>
      </c>
      <c r="T5207">
        <f>LET(
    payment_method,'Loan Tape (S&amp;P)'!P5207,
    occupancy,'Loan Tape (S&amp;P)'!N5207,
    maturity_date,'Loan Tape (S&amp;P)'!L5207,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08">
      <c r="J5208">
        <f>LET(
    lien,'Loan Tape (S&amp;P)'!Q5208,
    IF(lien="First",1.00,
        IF(lien="Second",1.50,
            1.70)))</f>
        <v/>
      </c>
      <c r="K5208">
        <f>LET(
    purpose,'Loan Tape (S&amp;P)'!R5208,
    IF(purpose="Purchase",1.00,
        IF(purpose="Remortgage",1.00,
            1.20)))</f>
        <v/>
      </c>
      <c r="L5208">
        <f>LET(
    arrears_months,'Loan Tape (S&amp;P)'!AN5208,
    IF(arrears_months=0,1.00,
    IF(arrears_months=1,3.00,
    IF(arrears_months=2,5.00,
    IF(arrears_months=3,8.00,
    IF(arrears_months=4,10.00,
    IF(arrears_months=5,12.00,15.00)))))))</f>
        <v/>
      </c>
      <c r="M5208">
        <f>LET(
    seasoning_years,DATEDIF('Loan Tape (S&amp;P)'!K5208,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08">
        <f>IF(AND('Loan Tape (S&amp;P)'!U5208="Yes",
        'Loan Tape (S&amp;P)'!T5208&lt;&gt;"Yes",
        DATEDIF('Loan Tape (S&amp;P)'!K5208, TODAY(), "M")&lt;18),
    1.10,
    1.00)</f>
        <v/>
      </c>
      <c r="O5208">
        <f>IF('Loan Tape (S&amp;P)'!T5208="Yes",
    1.35,
    1.00)</f>
        <v/>
      </c>
      <c r="P5208">
        <f>IF('Loan Tape (S&amp;P)'!S5208="Yes",
    1.15,
    1.00)</f>
        <v/>
      </c>
      <c r="Q5208">
        <f>IF('Loan Tape (S&amp;P)'!V5208="Yes",
    1.20,
    1.00)</f>
        <v/>
      </c>
      <c r="T5208">
        <f>LET(
    payment_method,'Loan Tape (S&amp;P)'!P5208,
    occupancy,'Loan Tape (S&amp;P)'!N5208,
    maturity_date,'Loan Tape (S&amp;P)'!L5208,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09">
      <c r="J5209">
        <f>LET(
    lien,'Loan Tape (S&amp;P)'!Q5209,
    IF(lien="First",1.00,
        IF(lien="Second",1.50,
            1.70)))</f>
        <v/>
      </c>
      <c r="K5209">
        <f>LET(
    purpose,'Loan Tape (S&amp;P)'!R5209,
    IF(purpose="Purchase",1.00,
        IF(purpose="Remortgage",1.00,
            1.20)))</f>
        <v/>
      </c>
      <c r="L5209">
        <f>LET(
    arrears_months,'Loan Tape (S&amp;P)'!AN5209,
    IF(arrears_months=0,1.00,
    IF(arrears_months=1,3.00,
    IF(arrears_months=2,5.00,
    IF(arrears_months=3,8.00,
    IF(arrears_months=4,10.00,
    IF(arrears_months=5,12.00,15.00)))))))</f>
        <v/>
      </c>
      <c r="M5209">
        <f>LET(
    seasoning_years,DATEDIF('Loan Tape (S&amp;P)'!K5209,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09">
        <f>IF(AND('Loan Tape (S&amp;P)'!U5209="Yes",
        'Loan Tape (S&amp;P)'!T5209&lt;&gt;"Yes",
        DATEDIF('Loan Tape (S&amp;P)'!K5209, TODAY(), "M")&lt;18),
    1.10,
    1.00)</f>
        <v/>
      </c>
      <c r="O5209">
        <f>IF('Loan Tape (S&amp;P)'!T5209="Yes",
    1.35,
    1.00)</f>
        <v/>
      </c>
      <c r="P5209">
        <f>IF('Loan Tape (S&amp;P)'!S5209="Yes",
    1.15,
    1.00)</f>
        <v/>
      </c>
      <c r="Q5209">
        <f>IF('Loan Tape (S&amp;P)'!V5209="Yes",
    1.20,
    1.00)</f>
        <v/>
      </c>
      <c r="T5209">
        <f>LET(
    payment_method,'Loan Tape (S&amp;P)'!P5209,
    occupancy,'Loan Tape (S&amp;P)'!N5209,
    maturity_date,'Loan Tape (S&amp;P)'!L5209,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10">
      <c r="J5210">
        <f>LET(
    lien,'Loan Tape (S&amp;P)'!Q5210,
    IF(lien="First",1.00,
        IF(lien="Second",1.50,
            1.70)))</f>
        <v/>
      </c>
      <c r="K5210">
        <f>LET(
    purpose,'Loan Tape (S&amp;P)'!R5210,
    IF(purpose="Purchase",1.00,
        IF(purpose="Remortgage",1.00,
            1.20)))</f>
        <v/>
      </c>
      <c r="L5210">
        <f>LET(
    arrears_months,'Loan Tape (S&amp;P)'!AN5210,
    IF(arrears_months=0,1.00,
    IF(arrears_months=1,3.00,
    IF(arrears_months=2,5.00,
    IF(arrears_months=3,8.00,
    IF(arrears_months=4,10.00,
    IF(arrears_months=5,12.00,15.00)))))))</f>
        <v/>
      </c>
      <c r="M5210">
        <f>LET(
    seasoning_years,DATEDIF('Loan Tape (S&amp;P)'!K5210,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10">
        <f>IF(AND('Loan Tape (S&amp;P)'!U5210="Yes",
        'Loan Tape (S&amp;P)'!T5210&lt;&gt;"Yes",
        DATEDIF('Loan Tape (S&amp;P)'!K5210, TODAY(), "M")&lt;18),
    1.10,
    1.00)</f>
        <v/>
      </c>
      <c r="O5210">
        <f>IF('Loan Tape (S&amp;P)'!T5210="Yes",
    1.35,
    1.00)</f>
        <v/>
      </c>
      <c r="P5210">
        <f>IF('Loan Tape (S&amp;P)'!S5210="Yes",
    1.15,
    1.00)</f>
        <v/>
      </c>
      <c r="Q5210">
        <f>IF('Loan Tape (S&amp;P)'!V5210="Yes",
    1.20,
    1.00)</f>
        <v/>
      </c>
      <c r="T5210">
        <f>LET(
    payment_method,'Loan Tape (S&amp;P)'!P5210,
    occupancy,'Loan Tape (S&amp;P)'!N5210,
    maturity_date,'Loan Tape (S&amp;P)'!L5210,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11">
      <c r="J5211">
        <f>LET(
    lien,'Loan Tape (S&amp;P)'!Q5211,
    IF(lien="First",1.00,
        IF(lien="Second",1.50,
            1.70)))</f>
        <v/>
      </c>
      <c r="K5211">
        <f>LET(
    purpose,'Loan Tape (S&amp;P)'!R5211,
    IF(purpose="Purchase",1.00,
        IF(purpose="Remortgage",1.00,
            1.20)))</f>
        <v/>
      </c>
      <c r="L5211">
        <f>LET(
    arrears_months,'Loan Tape (S&amp;P)'!AN5211,
    IF(arrears_months=0,1.00,
    IF(arrears_months=1,3.00,
    IF(arrears_months=2,5.00,
    IF(arrears_months=3,8.00,
    IF(arrears_months=4,10.00,
    IF(arrears_months=5,12.00,15.00)))))))</f>
        <v/>
      </c>
      <c r="M5211">
        <f>LET(
    seasoning_years,DATEDIF('Loan Tape (S&amp;P)'!K5211,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11">
        <f>IF(AND('Loan Tape (S&amp;P)'!U5211="Yes",
        'Loan Tape (S&amp;P)'!T5211&lt;&gt;"Yes",
        DATEDIF('Loan Tape (S&amp;P)'!K5211, TODAY(), "M")&lt;18),
    1.10,
    1.00)</f>
        <v/>
      </c>
      <c r="O5211">
        <f>IF('Loan Tape (S&amp;P)'!T5211="Yes",
    1.35,
    1.00)</f>
        <v/>
      </c>
      <c r="P5211">
        <f>IF('Loan Tape (S&amp;P)'!S5211="Yes",
    1.15,
    1.00)</f>
        <v/>
      </c>
      <c r="Q5211">
        <f>IF('Loan Tape (S&amp;P)'!V5211="Yes",
    1.20,
    1.00)</f>
        <v/>
      </c>
      <c r="T5211">
        <f>LET(
    payment_method,'Loan Tape (S&amp;P)'!P5211,
    occupancy,'Loan Tape (S&amp;P)'!N5211,
    maturity_date,'Loan Tape (S&amp;P)'!L5211,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12">
      <c r="J5212">
        <f>LET(
    lien,'Loan Tape (S&amp;P)'!Q5212,
    IF(lien="First",1.00,
        IF(lien="Second",1.50,
            1.70)))</f>
        <v/>
      </c>
      <c r="K5212">
        <f>LET(
    purpose,'Loan Tape (S&amp;P)'!R5212,
    IF(purpose="Purchase",1.00,
        IF(purpose="Remortgage",1.00,
            1.20)))</f>
        <v/>
      </c>
      <c r="L5212">
        <f>LET(
    arrears_months,'Loan Tape (S&amp;P)'!AN5212,
    IF(arrears_months=0,1.00,
    IF(arrears_months=1,3.00,
    IF(arrears_months=2,5.00,
    IF(arrears_months=3,8.00,
    IF(arrears_months=4,10.00,
    IF(arrears_months=5,12.00,15.00)))))))</f>
        <v/>
      </c>
      <c r="M5212">
        <f>LET(
    seasoning_years,DATEDIF('Loan Tape (S&amp;P)'!K5212,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12">
        <f>IF(AND('Loan Tape (S&amp;P)'!U5212="Yes",
        'Loan Tape (S&amp;P)'!T5212&lt;&gt;"Yes",
        DATEDIF('Loan Tape (S&amp;P)'!K5212, TODAY(), "M")&lt;18),
    1.10,
    1.00)</f>
        <v/>
      </c>
      <c r="O5212">
        <f>IF('Loan Tape (S&amp;P)'!T5212="Yes",
    1.35,
    1.00)</f>
        <v/>
      </c>
      <c r="P5212">
        <f>IF('Loan Tape (S&amp;P)'!S5212="Yes",
    1.15,
    1.00)</f>
        <v/>
      </c>
      <c r="Q5212">
        <f>IF('Loan Tape (S&amp;P)'!V5212="Yes",
    1.20,
    1.00)</f>
        <v/>
      </c>
      <c r="T5212">
        <f>LET(
    payment_method,'Loan Tape (S&amp;P)'!P5212,
    occupancy,'Loan Tape (S&amp;P)'!N5212,
    maturity_date,'Loan Tape (S&amp;P)'!L5212,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13">
      <c r="J5213">
        <f>LET(
    lien,'Loan Tape (S&amp;P)'!Q5213,
    IF(lien="First",1.00,
        IF(lien="Second",1.50,
            1.70)))</f>
        <v/>
      </c>
      <c r="K5213">
        <f>LET(
    purpose,'Loan Tape (S&amp;P)'!R5213,
    IF(purpose="Purchase",1.00,
        IF(purpose="Remortgage",1.00,
            1.20)))</f>
        <v/>
      </c>
      <c r="L5213">
        <f>LET(
    arrears_months,'Loan Tape (S&amp;P)'!AN5213,
    IF(arrears_months=0,1.00,
    IF(arrears_months=1,3.00,
    IF(arrears_months=2,5.00,
    IF(arrears_months=3,8.00,
    IF(arrears_months=4,10.00,
    IF(arrears_months=5,12.00,15.00)))))))</f>
        <v/>
      </c>
      <c r="M5213">
        <f>LET(
    seasoning_years,DATEDIF('Loan Tape (S&amp;P)'!K5213,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13">
        <f>IF(AND('Loan Tape (S&amp;P)'!U5213="Yes",
        'Loan Tape (S&amp;P)'!T5213&lt;&gt;"Yes",
        DATEDIF('Loan Tape (S&amp;P)'!K5213, TODAY(), "M")&lt;18),
    1.10,
    1.00)</f>
        <v/>
      </c>
      <c r="O5213">
        <f>IF('Loan Tape (S&amp;P)'!T5213="Yes",
    1.35,
    1.00)</f>
        <v/>
      </c>
      <c r="P5213">
        <f>IF('Loan Tape (S&amp;P)'!S5213="Yes",
    1.15,
    1.00)</f>
        <v/>
      </c>
      <c r="Q5213">
        <f>IF('Loan Tape (S&amp;P)'!V5213="Yes",
    1.20,
    1.00)</f>
        <v/>
      </c>
      <c r="T5213">
        <f>LET(
    payment_method,'Loan Tape (S&amp;P)'!P5213,
    occupancy,'Loan Tape (S&amp;P)'!N5213,
    maturity_date,'Loan Tape (S&amp;P)'!L5213,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14">
      <c r="J5214">
        <f>LET(
    lien,'Loan Tape (S&amp;P)'!Q5214,
    IF(lien="First",1.00,
        IF(lien="Second",1.50,
            1.70)))</f>
        <v/>
      </c>
      <c r="K5214">
        <f>LET(
    purpose,'Loan Tape (S&amp;P)'!R5214,
    IF(purpose="Purchase",1.00,
        IF(purpose="Remortgage",1.00,
            1.20)))</f>
        <v/>
      </c>
      <c r="L5214">
        <f>LET(
    arrears_months,'Loan Tape (S&amp;P)'!AN5214,
    IF(arrears_months=0,1.00,
    IF(arrears_months=1,3.00,
    IF(arrears_months=2,5.00,
    IF(arrears_months=3,8.00,
    IF(arrears_months=4,10.00,
    IF(arrears_months=5,12.00,15.00)))))))</f>
        <v/>
      </c>
      <c r="M5214">
        <f>LET(
    seasoning_years,DATEDIF('Loan Tape (S&amp;P)'!K5214,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14">
        <f>IF(AND('Loan Tape (S&amp;P)'!U5214="Yes",
        'Loan Tape (S&amp;P)'!T5214&lt;&gt;"Yes",
        DATEDIF('Loan Tape (S&amp;P)'!K5214, TODAY(), "M")&lt;18),
    1.10,
    1.00)</f>
        <v/>
      </c>
      <c r="O5214">
        <f>IF('Loan Tape (S&amp;P)'!T5214="Yes",
    1.35,
    1.00)</f>
        <v/>
      </c>
      <c r="P5214">
        <f>IF('Loan Tape (S&amp;P)'!S5214="Yes",
    1.15,
    1.00)</f>
        <v/>
      </c>
      <c r="Q5214">
        <f>IF('Loan Tape (S&amp;P)'!V5214="Yes",
    1.20,
    1.00)</f>
        <v/>
      </c>
      <c r="T5214">
        <f>LET(
    payment_method,'Loan Tape (S&amp;P)'!P5214,
    occupancy,'Loan Tape (S&amp;P)'!N5214,
    maturity_date,'Loan Tape (S&amp;P)'!L5214,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15">
      <c r="J5215">
        <f>LET(
    lien,'Loan Tape (S&amp;P)'!Q5215,
    IF(lien="First",1.00,
        IF(lien="Second",1.50,
            1.70)))</f>
        <v/>
      </c>
      <c r="K5215">
        <f>LET(
    purpose,'Loan Tape (S&amp;P)'!R5215,
    IF(purpose="Purchase",1.00,
        IF(purpose="Remortgage",1.00,
            1.20)))</f>
        <v/>
      </c>
      <c r="L5215">
        <f>LET(
    arrears_months,'Loan Tape (S&amp;P)'!AN5215,
    IF(arrears_months=0,1.00,
    IF(arrears_months=1,3.00,
    IF(arrears_months=2,5.00,
    IF(arrears_months=3,8.00,
    IF(arrears_months=4,10.00,
    IF(arrears_months=5,12.00,15.00)))))))</f>
        <v/>
      </c>
      <c r="M5215">
        <f>LET(
    seasoning_years,DATEDIF('Loan Tape (S&amp;P)'!K5215,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15">
        <f>IF(AND('Loan Tape (S&amp;P)'!U5215="Yes",
        'Loan Tape (S&amp;P)'!T5215&lt;&gt;"Yes",
        DATEDIF('Loan Tape (S&amp;P)'!K5215, TODAY(), "M")&lt;18),
    1.10,
    1.00)</f>
        <v/>
      </c>
      <c r="O5215">
        <f>IF('Loan Tape (S&amp;P)'!T5215="Yes",
    1.35,
    1.00)</f>
        <v/>
      </c>
      <c r="P5215">
        <f>IF('Loan Tape (S&amp;P)'!S5215="Yes",
    1.15,
    1.00)</f>
        <v/>
      </c>
      <c r="Q5215">
        <f>IF('Loan Tape (S&amp;P)'!V5215="Yes",
    1.20,
    1.00)</f>
        <v/>
      </c>
      <c r="T5215">
        <f>LET(
    payment_method,'Loan Tape (S&amp;P)'!P5215,
    occupancy,'Loan Tape (S&amp;P)'!N5215,
    maturity_date,'Loan Tape (S&amp;P)'!L5215,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16">
      <c r="J5216">
        <f>LET(
    lien,'Loan Tape (S&amp;P)'!Q5216,
    IF(lien="First",1.00,
        IF(lien="Second",1.50,
            1.70)))</f>
        <v/>
      </c>
      <c r="K5216">
        <f>LET(
    purpose,'Loan Tape (S&amp;P)'!R5216,
    IF(purpose="Purchase",1.00,
        IF(purpose="Remortgage",1.00,
            1.20)))</f>
        <v/>
      </c>
      <c r="L5216">
        <f>LET(
    arrears_months,'Loan Tape (S&amp;P)'!AN5216,
    IF(arrears_months=0,1.00,
    IF(arrears_months=1,3.00,
    IF(arrears_months=2,5.00,
    IF(arrears_months=3,8.00,
    IF(arrears_months=4,10.00,
    IF(arrears_months=5,12.00,15.00)))))))</f>
        <v/>
      </c>
      <c r="M5216">
        <f>LET(
    seasoning_years,DATEDIF('Loan Tape (S&amp;P)'!K5216,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16">
        <f>IF(AND('Loan Tape (S&amp;P)'!U5216="Yes",
        'Loan Tape (S&amp;P)'!T5216&lt;&gt;"Yes",
        DATEDIF('Loan Tape (S&amp;P)'!K5216, TODAY(), "M")&lt;18),
    1.10,
    1.00)</f>
        <v/>
      </c>
      <c r="O5216">
        <f>IF('Loan Tape (S&amp;P)'!T5216="Yes",
    1.35,
    1.00)</f>
        <v/>
      </c>
      <c r="P5216">
        <f>IF('Loan Tape (S&amp;P)'!S5216="Yes",
    1.15,
    1.00)</f>
        <v/>
      </c>
      <c r="Q5216">
        <f>IF('Loan Tape (S&amp;P)'!V5216="Yes",
    1.20,
    1.00)</f>
        <v/>
      </c>
      <c r="T5216">
        <f>LET(
    payment_method,'Loan Tape (S&amp;P)'!P5216,
    occupancy,'Loan Tape (S&amp;P)'!N5216,
    maturity_date,'Loan Tape (S&amp;P)'!L5216,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17">
      <c r="J5217">
        <f>LET(
    lien,'Loan Tape (S&amp;P)'!Q5217,
    IF(lien="First",1.00,
        IF(lien="Second",1.50,
            1.70)))</f>
        <v/>
      </c>
      <c r="K5217">
        <f>LET(
    purpose,'Loan Tape (S&amp;P)'!R5217,
    IF(purpose="Purchase",1.00,
        IF(purpose="Remortgage",1.00,
            1.20)))</f>
        <v/>
      </c>
      <c r="L5217">
        <f>LET(
    arrears_months,'Loan Tape (S&amp;P)'!AN5217,
    IF(arrears_months=0,1.00,
    IF(arrears_months=1,3.00,
    IF(arrears_months=2,5.00,
    IF(arrears_months=3,8.00,
    IF(arrears_months=4,10.00,
    IF(arrears_months=5,12.00,15.00)))))))</f>
        <v/>
      </c>
      <c r="M5217">
        <f>LET(
    seasoning_years,DATEDIF('Loan Tape (S&amp;P)'!K5217,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17">
        <f>IF(AND('Loan Tape (S&amp;P)'!U5217="Yes",
        'Loan Tape (S&amp;P)'!T5217&lt;&gt;"Yes",
        DATEDIF('Loan Tape (S&amp;P)'!K5217, TODAY(), "M")&lt;18),
    1.10,
    1.00)</f>
        <v/>
      </c>
      <c r="O5217">
        <f>IF('Loan Tape (S&amp;P)'!T5217="Yes",
    1.35,
    1.00)</f>
        <v/>
      </c>
      <c r="P5217">
        <f>IF('Loan Tape (S&amp;P)'!S5217="Yes",
    1.15,
    1.00)</f>
        <v/>
      </c>
      <c r="Q5217">
        <f>IF('Loan Tape (S&amp;P)'!V5217="Yes",
    1.20,
    1.00)</f>
        <v/>
      </c>
      <c r="T5217">
        <f>LET(
    payment_method,'Loan Tape (S&amp;P)'!P5217,
    occupancy,'Loan Tape (S&amp;P)'!N5217,
    maturity_date,'Loan Tape (S&amp;P)'!L5217,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18">
      <c r="J5218">
        <f>LET(
    lien,'Loan Tape (S&amp;P)'!Q5218,
    IF(lien="First",1.00,
        IF(lien="Second",1.50,
            1.70)))</f>
        <v/>
      </c>
      <c r="K5218">
        <f>LET(
    purpose,'Loan Tape (S&amp;P)'!R5218,
    IF(purpose="Purchase",1.00,
        IF(purpose="Remortgage",1.00,
            1.20)))</f>
        <v/>
      </c>
      <c r="L5218">
        <f>LET(
    arrears_months,'Loan Tape (S&amp;P)'!AN5218,
    IF(arrears_months=0,1.00,
    IF(arrears_months=1,3.00,
    IF(arrears_months=2,5.00,
    IF(arrears_months=3,8.00,
    IF(arrears_months=4,10.00,
    IF(arrears_months=5,12.00,15.00)))))))</f>
        <v/>
      </c>
      <c r="M5218">
        <f>LET(
    seasoning_years,DATEDIF('Loan Tape (S&amp;P)'!K5218,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18">
        <f>IF(AND('Loan Tape (S&amp;P)'!U5218="Yes",
        'Loan Tape (S&amp;P)'!T5218&lt;&gt;"Yes",
        DATEDIF('Loan Tape (S&amp;P)'!K5218, TODAY(), "M")&lt;18),
    1.10,
    1.00)</f>
        <v/>
      </c>
      <c r="O5218">
        <f>IF('Loan Tape (S&amp;P)'!T5218="Yes",
    1.35,
    1.00)</f>
        <v/>
      </c>
      <c r="P5218">
        <f>IF('Loan Tape (S&amp;P)'!S5218="Yes",
    1.15,
    1.00)</f>
        <v/>
      </c>
      <c r="Q5218">
        <f>IF('Loan Tape (S&amp;P)'!V5218="Yes",
    1.20,
    1.00)</f>
        <v/>
      </c>
      <c r="T5218">
        <f>LET(
    payment_method,'Loan Tape (S&amp;P)'!P5218,
    occupancy,'Loan Tape (S&amp;P)'!N5218,
    maturity_date,'Loan Tape (S&amp;P)'!L5218,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19">
      <c r="J5219">
        <f>LET(
    lien,'Loan Tape (S&amp;P)'!Q5219,
    IF(lien="First",1.00,
        IF(lien="Second",1.50,
            1.70)))</f>
        <v/>
      </c>
      <c r="K5219">
        <f>LET(
    purpose,'Loan Tape (S&amp;P)'!R5219,
    IF(purpose="Purchase",1.00,
        IF(purpose="Remortgage",1.00,
            1.20)))</f>
        <v/>
      </c>
      <c r="L5219">
        <f>LET(
    arrears_months,'Loan Tape (S&amp;P)'!AN5219,
    IF(arrears_months=0,1.00,
    IF(arrears_months=1,3.00,
    IF(arrears_months=2,5.00,
    IF(arrears_months=3,8.00,
    IF(arrears_months=4,10.00,
    IF(arrears_months=5,12.00,15.00)))))))</f>
        <v/>
      </c>
      <c r="M5219">
        <f>LET(
    seasoning_years,DATEDIF('Loan Tape (S&amp;P)'!K5219,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19">
        <f>IF(AND('Loan Tape (S&amp;P)'!U5219="Yes",
        'Loan Tape (S&amp;P)'!T5219&lt;&gt;"Yes",
        DATEDIF('Loan Tape (S&amp;P)'!K5219, TODAY(), "M")&lt;18),
    1.10,
    1.00)</f>
        <v/>
      </c>
      <c r="O5219">
        <f>IF('Loan Tape (S&amp;P)'!T5219="Yes",
    1.35,
    1.00)</f>
        <v/>
      </c>
      <c r="P5219">
        <f>IF('Loan Tape (S&amp;P)'!S5219="Yes",
    1.15,
    1.00)</f>
        <v/>
      </c>
      <c r="Q5219">
        <f>IF('Loan Tape (S&amp;P)'!V5219="Yes",
    1.20,
    1.00)</f>
        <v/>
      </c>
      <c r="T5219">
        <f>LET(
    payment_method,'Loan Tape (S&amp;P)'!P5219,
    occupancy,'Loan Tape (S&amp;P)'!N5219,
    maturity_date,'Loan Tape (S&amp;P)'!L5219,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20">
      <c r="J5220">
        <f>LET(
    lien,'Loan Tape (S&amp;P)'!Q5220,
    IF(lien="First",1.00,
        IF(lien="Second",1.50,
            1.70)))</f>
        <v/>
      </c>
      <c r="K5220">
        <f>LET(
    purpose,'Loan Tape (S&amp;P)'!R5220,
    IF(purpose="Purchase",1.00,
        IF(purpose="Remortgage",1.00,
            1.20)))</f>
        <v/>
      </c>
      <c r="L5220">
        <f>LET(
    arrears_months,'Loan Tape (S&amp;P)'!AN5220,
    IF(arrears_months=0,1.00,
    IF(arrears_months=1,3.00,
    IF(arrears_months=2,5.00,
    IF(arrears_months=3,8.00,
    IF(arrears_months=4,10.00,
    IF(arrears_months=5,12.00,15.00)))))))</f>
        <v/>
      </c>
      <c r="M5220">
        <f>LET(
    seasoning_years,DATEDIF('Loan Tape (S&amp;P)'!K5220,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20">
        <f>IF(AND('Loan Tape (S&amp;P)'!U5220="Yes",
        'Loan Tape (S&amp;P)'!T5220&lt;&gt;"Yes",
        DATEDIF('Loan Tape (S&amp;P)'!K5220, TODAY(), "M")&lt;18),
    1.10,
    1.00)</f>
        <v/>
      </c>
      <c r="O5220">
        <f>IF('Loan Tape (S&amp;P)'!T5220="Yes",
    1.35,
    1.00)</f>
        <v/>
      </c>
      <c r="P5220">
        <f>IF('Loan Tape (S&amp;P)'!S5220="Yes",
    1.15,
    1.00)</f>
        <v/>
      </c>
      <c r="Q5220">
        <f>IF('Loan Tape (S&amp;P)'!V5220="Yes",
    1.20,
    1.00)</f>
        <v/>
      </c>
      <c r="T5220">
        <f>LET(
    payment_method,'Loan Tape (S&amp;P)'!P5220,
    occupancy,'Loan Tape (S&amp;P)'!N5220,
    maturity_date,'Loan Tape (S&amp;P)'!L5220,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21">
      <c r="J5221">
        <f>LET(
    lien,'Loan Tape (S&amp;P)'!Q5221,
    IF(lien="First",1.00,
        IF(lien="Second",1.50,
            1.70)))</f>
        <v/>
      </c>
      <c r="K5221">
        <f>LET(
    purpose,'Loan Tape (S&amp;P)'!R5221,
    IF(purpose="Purchase",1.00,
        IF(purpose="Remortgage",1.00,
            1.20)))</f>
        <v/>
      </c>
      <c r="L5221">
        <f>LET(
    arrears_months,'Loan Tape (S&amp;P)'!AN5221,
    IF(arrears_months=0,1.00,
    IF(arrears_months=1,3.00,
    IF(arrears_months=2,5.00,
    IF(arrears_months=3,8.00,
    IF(arrears_months=4,10.00,
    IF(arrears_months=5,12.00,15.00)))))))</f>
        <v/>
      </c>
      <c r="M5221">
        <f>LET(
    seasoning_years,DATEDIF('Loan Tape (S&amp;P)'!K5221,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21">
        <f>IF(AND('Loan Tape (S&amp;P)'!U5221="Yes",
        'Loan Tape (S&amp;P)'!T5221&lt;&gt;"Yes",
        DATEDIF('Loan Tape (S&amp;P)'!K5221, TODAY(), "M")&lt;18),
    1.10,
    1.00)</f>
        <v/>
      </c>
      <c r="O5221">
        <f>IF('Loan Tape (S&amp;P)'!T5221="Yes",
    1.35,
    1.00)</f>
        <v/>
      </c>
      <c r="P5221">
        <f>IF('Loan Tape (S&amp;P)'!S5221="Yes",
    1.15,
    1.00)</f>
        <v/>
      </c>
      <c r="Q5221">
        <f>IF('Loan Tape (S&amp;P)'!V5221="Yes",
    1.20,
    1.00)</f>
        <v/>
      </c>
      <c r="T5221">
        <f>LET(
    payment_method,'Loan Tape (S&amp;P)'!P5221,
    occupancy,'Loan Tape (S&amp;P)'!N5221,
    maturity_date,'Loan Tape (S&amp;P)'!L5221,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22">
      <c r="J5222">
        <f>LET(
    lien,'Loan Tape (S&amp;P)'!Q5222,
    IF(lien="First",1.00,
        IF(lien="Second",1.50,
            1.70)))</f>
        <v/>
      </c>
      <c r="K5222">
        <f>LET(
    purpose,'Loan Tape (S&amp;P)'!R5222,
    IF(purpose="Purchase",1.00,
        IF(purpose="Remortgage",1.00,
            1.20)))</f>
        <v/>
      </c>
      <c r="L5222">
        <f>LET(
    arrears_months,'Loan Tape (S&amp;P)'!AN5222,
    IF(arrears_months=0,1.00,
    IF(arrears_months=1,3.00,
    IF(arrears_months=2,5.00,
    IF(arrears_months=3,8.00,
    IF(arrears_months=4,10.00,
    IF(arrears_months=5,12.00,15.00)))))))</f>
        <v/>
      </c>
      <c r="M5222">
        <f>LET(
    seasoning_years,DATEDIF('Loan Tape (S&amp;P)'!K5222,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22">
        <f>IF(AND('Loan Tape (S&amp;P)'!U5222="Yes",
        'Loan Tape (S&amp;P)'!T5222&lt;&gt;"Yes",
        DATEDIF('Loan Tape (S&amp;P)'!K5222, TODAY(), "M")&lt;18),
    1.10,
    1.00)</f>
        <v/>
      </c>
      <c r="O5222">
        <f>IF('Loan Tape (S&amp;P)'!T5222="Yes",
    1.35,
    1.00)</f>
        <v/>
      </c>
      <c r="P5222">
        <f>IF('Loan Tape (S&amp;P)'!S5222="Yes",
    1.15,
    1.00)</f>
        <v/>
      </c>
      <c r="Q5222">
        <f>IF('Loan Tape (S&amp;P)'!V5222="Yes",
    1.20,
    1.00)</f>
        <v/>
      </c>
      <c r="T5222">
        <f>LET(
    payment_method,'Loan Tape (S&amp;P)'!P5222,
    occupancy,'Loan Tape (S&amp;P)'!N5222,
    maturity_date,'Loan Tape (S&amp;P)'!L5222,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23">
      <c r="J5223">
        <f>LET(
    lien,'Loan Tape (S&amp;P)'!Q5223,
    IF(lien="First",1.00,
        IF(lien="Second",1.50,
            1.70)))</f>
        <v/>
      </c>
      <c r="K5223">
        <f>LET(
    purpose,'Loan Tape (S&amp;P)'!R5223,
    IF(purpose="Purchase",1.00,
        IF(purpose="Remortgage",1.00,
            1.20)))</f>
        <v/>
      </c>
      <c r="L5223">
        <f>LET(
    arrears_months,'Loan Tape (S&amp;P)'!AN5223,
    IF(arrears_months=0,1.00,
    IF(arrears_months=1,3.00,
    IF(arrears_months=2,5.00,
    IF(arrears_months=3,8.00,
    IF(arrears_months=4,10.00,
    IF(arrears_months=5,12.00,15.00)))))))</f>
        <v/>
      </c>
      <c r="M5223">
        <f>LET(
    seasoning_years,DATEDIF('Loan Tape (S&amp;P)'!K5223,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23">
        <f>IF(AND('Loan Tape (S&amp;P)'!U5223="Yes",
        'Loan Tape (S&amp;P)'!T5223&lt;&gt;"Yes",
        DATEDIF('Loan Tape (S&amp;P)'!K5223, TODAY(), "M")&lt;18),
    1.10,
    1.00)</f>
        <v/>
      </c>
      <c r="O5223">
        <f>IF('Loan Tape (S&amp;P)'!T5223="Yes",
    1.35,
    1.00)</f>
        <v/>
      </c>
      <c r="P5223">
        <f>IF('Loan Tape (S&amp;P)'!S5223="Yes",
    1.15,
    1.00)</f>
        <v/>
      </c>
      <c r="Q5223">
        <f>IF('Loan Tape (S&amp;P)'!V5223="Yes",
    1.20,
    1.00)</f>
        <v/>
      </c>
      <c r="T5223">
        <f>LET(
    payment_method,'Loan Tape (S&amp;P)'!P5223,
    occupancy,'Loan Tape (S&amp;P)'!N5223,
    maturity_date,'Loan Tape (S&amp;P)'!L5223,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24">
      <c r="J5224">
        <f>LET(
    lien,'Loan Tape (S&amp;P)'!Q5224,
    IF(lien="First",1.00,
        IF(lien="Second",1.50,
            1.70)))</f>
        <v/>
      </c>
      <c r="K5224">
        <f>LET(
    purpose,'Loan Tape (S&amp;P)'!R5224,
    IF(purpose="Purchase",1.00,
        IF(purpose="Remortgage",1.00,
            1.20)))</f>
        <v/>
      </c>
      <c r="L5224">
        <f>LET(
    arrears_months,'Loan Tape (S&amp;P)'!AN5224,
    IF(arrears_months=0,1.00,
    IF(arrears_months=1,3.00,
    IF(arrears_months=2,5.00,
    IF(arrears_months=3,8.00,
    IF(arrears_months=4,10.00,
    IF(arrears_months=5,12.00,15.00)))))))</f>
        <v/>
      </c>
      <c r="M5224">
        <f>LET(
    seasoning_years,DATEDIF('Loan Tape (S&amp;P)'!K5224,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24">
        <f>IF(AND('Loan Tape (S&amp;P)'!U5224="Yes",
        'Loan Tape (S&amp;P)'!T5224&lt;&gt;"Yes",
        DATEDIF('Loan Tape (S&amp;P)'!K5224, TODAY(), "M")&lt;18),
    1.10,
    1.00)</f>
        <v/>
      </c>
      <c r="O5224">
        <f>IF('Loan Tape (S&amp;P)'!T5224="Yes",
    1.35,
    1.00)</f>
        <v/>
      </c>
      <c r="P5224">
        <f>IF('Loan Tape (S&amp;P)'!S5224="Yes",
    1.15,
    1.00)</f>
        <v/>
      </c>
      <c r="Q5224">
        <f>IF('Loan Tape (S&amp;P)'!V5224="Yes",
    1.20,
    1.00)</f>
        <v/>
      </c>
      <c r="T5224">
        <f>LET(
    payment_method,'Loan Tape (S&amp;P)'!P5224,
    occupancy,'Loan Tape (S&amp;P)'!N5224,
    maturity_date,'Loan Tape (S&amp;P)'!L5224,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25">
      <c r="J5225">
        <f>LET(
    lien,'Loan Tape (S&amp;P)'!Q5225,
    IF(lien="First",1.00,
        IF(lien="Second",1.50,
            1.70)))</f>
        <v/>
      </c>
      <c r="K5225">
        <f>LET(
    purpose,'Loan Tape (S&amp;P)'!R5225,
    IF(purpose="Purchase",1.00,
        IF(purpose="Remortgage",1.00,
            1.20)))</f>
        <v/>
      </c>
      <c r="L5225">
        <f>LET(
    arrears_months,'Loan Tape (S&amp;P)'!AN5225,
    IF(arrears_months=0,1.00,
    IF(arrears_months=1,3.00,
    IF(arrears_months=2,5.00,
    IF(arrears_months=3,8.00,
    IF(arrears_months=4,10.00,
    IF(arrears_months=5,12.00,15.00)))))))</f>
        <v/>
      </c>
      <c r="M5225">
        <f>LET(
    seasoning_years,DATEDIF('Loan Tape (S&amp;P)'!K5225,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25">
        <f>IF(AND('Loan Tape (S&amp;P)'!U5225="Yes",
        'Loan Tape (S&amp;P)'!T5225&lt;&gt;"Yes",
        DATEDIF('Loan Tape (S&amp;P)'!K5225, TODAY(), "M")&lt;18),
    1.10,
    1.00)</f>
        <v/>
      </c>
      <c r="O5225">
        <f>IF('Loan Tape (S&amp;P)'!T5225="Yes",
    1.35,
    1.00)</f>
        <v/>
      </c>
      <c r="P5225">
        <f>IF('Loan Tape (S&amp;P)'!S5225="Yes",
    1.15,
    1.00)</f>
        <v/>
      </c>
      <c r="Q5225">
        <f>IF('Loan Tape (S&amp;P)'!V5225="Yes",
    1.20,
    1.00)</f>
        <v/>
      </c>
      <c r="T5225">
        <f>LET(
    payment_method,'Loan Tape (S&amp;P)'!P5225,
    occupancy,'Loan Tape (S&amp;P)'!N5225,
    maturity_date,'Loan Tape (S&amp;P)'!L5225,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26">
      <c r="J5226">
        <f>LET(
    lien,'Loan Tape (S&amp;P)'!Q5226,
    IF(lien="First",1.00,
        IF(lien="Second",1.50,
            1.70)))</f>
        <v/>
      </c>
      <c r="K5226">
        <f>LET(
    purpose,'Loan Tape (S&amp;P)'!R5226,
    IF(purpose="Purchase",1.00,
        IF(purpose="Remortgage",1.00,
            1.20)))</f>
        <v/>
      </c>
      <c r="L5226">
        <f>LET(
    arrears_months,'Loan Tape (S&amp;P)'!AN5226,
    IF(arrears_months=0,1.00,
    IF(arrears_months=1,3.00,
    IF(arrears_months=2,5.00,
    IF(arrears_months=3,8.00,
    IF(arrears_months=4,10.00,
    IF(arrears_months=5,12.00,15.00)))))))</f>
        <v/>
      </c>
      <c r="M5226">
        <f>LET(
    seasoning_years,DATEDIF('Loan Tape (S&amp;P)'!K5226,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26">
        <f>IF(AND('Loan Tape (S&amp;P)'!U5226="Yes",
        'Loan Tape (S&amp;P)'!T5226&lt;&gt;"Yes",
        DATEDIF('Loan Tape (S&amp;P)'!K5226, TODAY(), "M")&lt;18),
    1.10,
    1.00)</f>
        <v/>
      </c>
      <c r="O5226">
        <f>IF('Loan Tape (S&amp;P)'!T5226="Yes",
    1.35,
    1.00)</f>
        <v/>
      </c>
      <c r="P5226">
        <f>IF('Loan Tape (S&amp;P)'!S5226="Yes",
    1.15,
    1.00)</f>
        <v/>
      </c>
      <c r="Q5226">
        <f>IF('Loan Tape (S&amp;P)'!V5226="Yes",
    1.20,
    1.00)</f>
        <v/>
      </c>
      <c r="T5226">
        <f>LET(
    payment_method,'Loan Tape (S&amp;P)'!P5226,
    occupancy,'Loan Tape (S&amp;P)'!N5226,
    maturity_date,'Loan Tape (S&amp;P)'!L5226,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27">
      <c r="J5227">
        <f>LET(
    lien,'Loan Tape (S&amp;P)'!Q5227,
    IF(lien="First",1.00,
        IF(lien="Second",1.50,
            1.70)))</f>
        <v/>
      </c>
      <c r="K5227">
        <f>LET(
    purpose,'Loan Tape (S&amp;P)'!R5227,
    IF(purpose="Purchase",1.00,
        IF(purpose="Remortgage",1.00,
            1.20)))</f>
        <v/>
      </c>
      <c r="L5227">
        <f>LET(
    arrears_months,'Loan Tape (S&amp;P)'!AN5227,
    IF(arrears_months=0,1.00,
    IF(arrears_months=1,3.00,
    IF(arrears_months=2,5.00,
    IF(arrears_months=3,8.00,
    IF(arrears_months=4,10.00,
    IF(arrears_months=5,12.00,15.00)))))))</f>
        <v/>
      </c>
      <c r="M5227">
        <f>LET(
    seasoning_years,DATEDIF('Loan Tape (S&amp;P)'!K5227,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27">
        <f>IF(AND('Loan Tape (S&amp;P)'!U5227="Yes",
        'Loan Tape (S&amp;P)'!T5227&lt;&gt;"Yes",
        DATEDIF('Loan Tape (S&amp;P)'!K5227, TODAY(), "M")&lt;18),
    1.10,
    1.00)</f>
        <v/>
      </c>
      <c r="O5227">
        <f>IF('Loan Tape (S&amp;P)'!T5227="Yes",
    1.35,
    1.00)</f>
        <v/>
      </c>
      <c r="P5227">
        <f>IF('Loan Tape (S&amp;P)'!S5227="Yes",
    1.15,
    1.00)</f>
        <v/>
      </c>
      <c r="Q5227">
        <f>IF('Loan Tape (S&amp;P)'!V5227="Yes",
    1.20,
    1.00)</f>
        <v/>
      </c>
      <c r="T5227">
        <f>LET(
    payment_method,'Loan Tape (S&amp;P)'!P5227,
    occupancy,'Loan Tape (S&amp;P)'!N5227,
    maturity_date,'Loan Tape (S&amp;P)'!L5227,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28">
      <c r="J5228">
        <f>LET(
    lien,'Loan Tape (S&amp;P)'!Q5228,
    IF(lien="First",1.00,
        IF(lien="Second",1.50,
            1.70)))</f>
        <v/>
      </c>
      <c r="K5228">
        <f>LET(
    purpose,'Loan Tape (S&amp;P)'!R5228,
    IF(purpose="Purchase",1.00,
        IF(purpose="Remortgage",1.00,
            1.20)))</f>
        <v/>
      </c>
      <c r="L5228">
        <f>LET(
    arrears_months,'Loan Tape (S&amp;P)'!AN5228,
    IF(arrears_months=0,1.00,
    IF(arrears_months=1,3.00,
    IF(arrears_months=2,5.00,
    IF(arrears_months=3,8.00,
    IF(arrears_months=4,10.00,
    IF(arrears_months=5,12.00,15.00)))))))</f>
        <v/>
      </c>
      <c r="M5228">
        <f>LET(
    seasoning_years,DATEDIF('Loan Tape (S&amp;P)'!K5228,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28">
        <f>IF(AND('Loan Tape (S&amp;P)'!U5228="Yes",
        'Loan Tape (S&amp;P)'!T5228&lt;&gt;"Yes",
        DATEDIF('Loan Tape (S&amp;P)'!K5228, TODAY(), "M")&lt;18),
    1.10,
    1.00)</f>
        <v/>
      </c>
      <c r="O5228">
        <f>IF('Loan Tape (S&amp;P)'!T5228="Yes",
    1.35,
    1.00)</f>
        <v/>
      </c>
      <c r="P5228">
        <f>IF('Loan Tape (S&amp;P)'!S5228="Yes",
    1.15,
    1.00)</f>
        <v/>
      </c>
      <c r="Q5228">
        <f>IF('Loan Tape (S&amp;P)'!V5228="Yes",
    1.20,
    1.00)</f>
        <v/>
      </c>
      <c r="T5228">
        <f>LET(
    payment_method,'Loan Tape (S&amp;P)'!P5228,
    occupancy,'Loan Tape (S&amp;P)'!N5228,
    maturity_date,'Loan Tape (S&amp;P)'!L5228,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29">
      <c r="J5229">
        <f>LET(
    lien,'Loan Tape (S&amp;P)'!Q5229,
    IF(lien="First",1.00,
        IF(lien="Second",1.50,
            1.70)))</f>
        <v/>
      </c>
      <c r="K5229">
        <f>LET(
    purpose,'Loan Tape (S&amp;P)'!R5229,
    IF(purpose="Purchase",1.00,
        IF(purpose="Remortgage",1.00,
            1.20)))</f>
        <v/>
      </c>
      <c r="L5229">
        <f>LET(
    arrears_months,'Loan Tape (S&amp;P)'!AN5229,
    IF(arrears_months=0,1.00,
    IF(arrears_months=1,3.00,
    IF(arrears_months=2,5.00,
    IF(arrears_months=3,8.00,
    IF(arrears_months=4,10.00,
    IF(arrears_months=5,12.00,15.00)))))))</f>
        <v/>
      </c>
      <c r="M5229">
        <f>LET(
    seasoning_years,DATEDIF('Loan Tape (S&amp;P)'!K5229,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29">
        <f>IF(AND('Loan Tape (S&amp;P)'!U5229="Yes",
        'Loan Tape (S&amp;P)'!T5229&lt;&gt;"Yes",
        DATEDIF('Loan Tape (S&amp;P)'!K5229, TODAY(), "M")&lt;18),
    1.10,
    1.00)</f>
        <v/>
      </c>
      <c r="O5229">
        <f>IF('Loan Tape (S&amp;P)'!T5229="Yes",
    1.35,
    1.00)</f>
        <v/>
      </c>
      <c r="P5229">
        <f>IF('Loan Tape (S&amp;P)'!S5229="Yes",
    1.15,
    1.00)</f>
        <v/>
      </c>
      <c r="Q5229">
        <f>IF('Loan Tape (S&amp;P)'!V5229="Yes",
    1.20,
    1.00)</f>
        <v/>
      </c>
      <c r="T5229">
        <f>LET(
    payment_method,'Loan Tape (S&amp;P)'!P5229,
    occupancy,'Loan Tape (S&amp;P)'!N5229,
    maturity_date,'Loan Tape (S&amp;P)'!L5229,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30">
      <c r="J5230">
        <f>LET(
    lien,'Loan Tape (S&amp;P)'!Q5230,
    IF(lien="First",1.00,
        IF(lien="Second",1.50,
            1.70)))</f>
        <v/>
      </c>
      <c r="K5230">
        <f>LET(
    purpose,'Loan Tape (S&amp;P)'!R5230,
    IF(purpose="Purchase",1.00,
        IF(purpose="Remortgage",1.00,
            1.20)))</f>
        <v/>
      </c>
      <c r="L5230">
        <f>LET(
    arrears_months,'Loan Tape (S&amp;P)'!AN5230,
    IF(arrears_months=0,1.00,
    IF(arrears_months=1,3.00,
    IF(arrears_months=2,5.00,
    IF(arrears_months=3,8.00,
    IF(arrears_months=4,10.00,
    IF(arrears_months=5,12.00,15.00)))))))</f>
        <v/>
      </c>
      <c r="M5230">
        <f>LET(
    seasoning_years,DATEDIF('Loan Tape (S&amp;P)'!K5230,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30">
        <f>IF(AND('Loan Tape (S&amp;P)'!U5230="Yes",
        'Loan Tape (S&amp;P)'!T5230&lt;&gt;"Yes",
        DATEDIF('Loan Tape (S&amp;P)'!K5230, TODAY(), "M")&lt;18),
    1.10,
    1.00)</f>
        <v/>
      </c>
      <c r="O5230">
        <f>IF('Loan Tape (S&amp;P)'!T5230="Yes",
    1.35,
    1.00)</f>
        <v/>
      </c>
      <c r="P5230">
        <f>IF('Loan Tape (S&amp;P)'!S5230="Yes",
    1.15,
    1.00)</f>
        <v/>
      </c>
      <c r="Q5230">
        <f>IF('Loan Tape (S&amp;P)'!V5230="Yes",
    1.20,
    1.00)</f>
        <v/>
      </c>
      <c r="T5230">
        <f>LET(
    payment_method,'Loan Tape (S&amp;P)'!P5230,
    occupancy,'Loan Tape (S&amp;P)'!N5230,
    maturity_date,'Loan Tape (S&amp;P)'!L5230,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31">
      <c r="J5231">
        <f>LET(
    lien,'Loan Tape (S&amp;P)'!Q5231,
    IF(lien="First",1.00,
        IF(lien="Second",1.50,
            1.70)))</f>
        <v/>
      </c>
      <c r="K5231">
        <f>LET(
    purpose,'Loan Tape (S&amp;P)'!R5231,
    IF(purpose="Purchase",1.00,
        IF(purpose="Remortgage",1.00,
            1.20)))</f>
        <v/>
      </c>
      <c r="L5231">
        <f>LET(
    arrears_months,'Loan Tape (S&amp;P)'!AN5231,
    IF(arrears_months=0,1.00,
    IF(arrears_months=1,3.00,
    IF(arrears_months=2,5.00,
    IF(arrears_months=3,8.00,
    IF(arrears_months=4,10.00,
    IF(arrears_months=5,12.00,15.00)))))))</f>
        <v/>
      </c>
      <c r="M5231">
        <f>LET(
    seasoning_years,DATEDIF('Loan Tape (S&amp;P)'!K5231,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31">
        <f>IF(AND('Loan Tape (S&amp;P)'!U5231="Yes",
        'Loan Tape (S&amp;P)'!T5231&lt;&gt;"Yes",
        DATEDIF('Loan Tape (S&amp;P)'!K5231, TODAY(), "M")&lt;18),
    1.10,
    1.00)</f>
        <v/>
      </c>
      <c r="O5231">
        <f>IF('Loan Tape (S&amp;P)'!T5231="Yes",
    1.35,
    1.00)</f>
        <v/>
      </c>
      <c r="P5231">
        <f>IF('Loan Tape (S&amp;P)'!S5231="Yes",
    1.15,
    1.00)</f>
        <v/>
      </c>
      <c r="Q5231">
        <f>IF('Loan Tape (S&amp;P)'!V5231="Yes",
    1.20,
    1.00)</f>
        <v/>
      </c>
      <c r="T5231">
        <f>LET(
    payment_method,'Loan Tape (S&amp;P)'!P5231,
    occupancy,'Loan Tape (S&amp;P)'!N5231,
    maturity_date,'Loan Tape (S&amp;P)'!L5231,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32">
      <c r="J5232">
        <f>LET(
    lien,'Loan Tape (S&amp;P)'!Q5232,
    IF(lien="First",1.00,
        IF(lien="Second",1.50,
            1.70)))</f>
        <v/>
      </c>
      <c r="K5232">
        <f>LET(
    purpose,'Loan Tape (S&amp;P)'!R5232,
    IF(purpose="Purchase",1.00,
        IF(purpose="Remortgage",1.00,
            1.20)))</f>
        <v/>
      </c>
      <c r="L5232">
        <f>LET(
    arrears_months,'Loan Tape (S&amp;P)'!AN5232,
    IF(arrears_months=0,1.00,
    IF(arrears_months=1,3.00,
    IF(arrears_months=2,5.00,
    IF(arrears_months=3,8.00,
    IF(arrears_months=4,10.00,
    IF(arrears_months=5,12.00,15.00)))))))</f>
        <v/>
      </c>
      <c r="M5232">
        <f>LET(
    seasoning_years,DATEDIF('Loan Tape (S&amp;P)'!K5232,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32">
        <f>IF(AND('Loan Tape (S&amp;P)'!U5232="Yes",
        'Loan Tape (S&amp;P)'!T5232&lt;&gt;"Yes",
        DATEDIF('Loan Tape (S&amp;P)'!K5232, TODAY(), "M")&lt;18),
    1.10,
    1.00)</f>
        <v/>
      </c>
      <c r="O5232">
        <f>IF('Loan Tape (S&amp;P)'!T5232="Yes",
    1.35,
    1.00)</f>
        <v/>
      </c>
      <c r="P5232">
        <f>IF('Loan Tape (S&amp;P)'!S5232="Yes",
    1.15,
    1.00)</f>
        <v/>
      </c>
      <c r="Q5232">
        <f>IF('Loan Tape (S&amp;P)'!V5232="Yes",
    1.20,
    1.00)</f>
        <v/>
      </c>
      <c r="T5232">
        <f>LET(
    payment_method,'Loan Tape (S&amp;P)'!P5232,
    occupancy,'Loan Tape (S&amp;P)'!N5232,
    maturity_date,'Loan Tape (S&amp;P)'!L5232,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33">
      <c r="J5233">
        <f>LET(
    lien,'Loan Tape (S&amp;P)'!Q5233,
    IF(lien="First",1.00,
        IF(lien="Second",1.50,
            1.70)))</f>
        <v/>
      </c>
      <c r="K5233">
        <f>LET(
    purpose,'Loan Tape (S&amp;P)'!R5233,
    IF(purpose="Purchase",1.00,
        IF(purpose="Remortgage",1.00,
            1.20)))</f>
        <v/>
      </c>
      <c r="L5233">
        <f>LET(
    arrears_months,'Loan Tape (S&amp;P)'!AN5233,
    IF(arrears_months=0,1.00,
    IF(arrears_months=1,3.00,
    IF(arrears_months=2,5.00,
    IF(arrears_months=3,8.00,
    IF(arrears_months=4,10.00,
    IF(arrears_months=5,12.00,15.00)))))))</f>
        <v/>
      </c>
      <c r="M5233">
        <f>LET(
    seasoning_years,DATEDIF('Loan Tape (S&amp;P)'!K5233,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33">
        <f>IF(AND('Loan Tape (S&amp;P)'!U5233="Yes",
        'Loan Tape (S&amp;P)'!T5233&lt;&gt;"Yes",
        DATEDIF('Loan Tape (S&amp;P)'!K5233, TODAY(), "M")&lt;18),
    1.10,
    1.00)</f>
        <v/>
      </c>
      <c r="O5233">
        <f>IF('Loan Tape (S&amp;P)'!T5233="Yes",
    1.35,
    1.00)</f>
        <v/>
      </c>
      <c r="P5233">
        <f>IF('Loan Tape (S&amp;P)'!S5233="Yes",
    1.15,
    1.00)</f>
        <v/>
      </c>
      <c r="Q5233">
        <f>IF('Loan Tape (S&amp;P)'!V5233="Yes",
    1.20,
    1.00)</f>
        <v/>
      </c>
      <c r="T5233">
        <f>LET(
    payment_method,'Loan Tape (S&amp;P)'!P5233,
    occupancy,'Loan Tape (S&amp;P)'!N5233,
    maturity_date,'Loan Tape (S&amp;P)'!L5233,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34">
      <c r="J5234">
        <f>LET(
    lien,'Loan Tape (S&amp;P)'!Q5234,
    IF(lien="First",1.00,
        IF(lien="Second",1.50,
            1.70)))</f>
        <v/>
      </c>
      <c r="K5234">
        <f>LET(
    purpose,'Loan Tape (S&amp;P)'!R5234,
    IF(purpose="Purchase",1.00,
        IF(purpose="Remortgage",1.00,
            1.20)))</f>
        <v/>
      </c>
      <c r="L5234">
        <f>LET(
    arrears_months,'Loan Tape (S&amp;P)'!AN5234,
    IF(arrears_months=0,1.00,
    IF(arrears_months=1,3.00,
    IF(arrears_months=2,5.00,
    IF(arrears_months=3,8.00,
    IF(arrears_months=4,10.00,
    IF(arrears_months=5,12.00,15.00)))))))</f>
        <v/>
      </c>
      <c r="M5234">
        <f>LET(
    seasoning_years,DATEDIF('Loan Tape (S&amp;P)'!K5234,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34">
        <f>IF(AND('Loan Tape (S&amp;P)'!U5234="Yes",
        'Loan Tape (S&amp;P)'!T5234&lt;&gt;"Yes",
        DATEDIF('Loan Tape (S&amp;P)'!K5234, TODAY(), "M")&lt;18),
    1.10,
    1.00)</f>
        <v/>
      </c>
      <c r="O5234">
        <f>IF('Loan Tape (S&amp;P)'!T5234="Yes",
    1.35,
    1.00)</f>
        <v/>
      </c>
      <c r="P5234">
        <f>IF('Loan Tape (S&amp;P)'!S5234="Yes",
    1.15,
    1.00)</f>
        <v/>
      </c>
      <c r="Q5234">
        <f>IF('Loan Tape (S&amp;P)'!V5234="Yes",
    1.20,
    1.00)</f>
        <v/>
      </c>
      <c r="T5234">
        <f>LET(
    payment_method,'Loan Tape (S&amp;P)'!P5234,
    occupancy,'Loan Tape (S&amp;P)'!N5234,
    maturity_date,'Loan Tape (S&amp;P)'!L5234,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35">
      <c r="J5235">
        <f>LET(
    lien,'Loan Tape (S&amp;P)'!Q5235,
    IF(lien="First",1.00,
        IF(lien="Second",1.50,
            1.70)))</f>
        <v/>
      </c>
      <c r="K5235">
        <f>LET(
    purpose,'Loan Tape (S&amp;P)'!R5235,
    IF(purpose="Purchase",1.00,
        IF(purpose="Remortgage",1.00,
            1.20)))</f>
        <v/>
      </c>
      <c r="L5235">
        <f>LET(
    arrears_months,'Loan Tape (S&amp;P)'!AN5235,
    IF(arrears_months=0,1.00,
    IF(arrears_months=1,3.00,
    IF(arrears_months=2,5.00,
    IF(arrears_months=3,8.00,
    IF(arrears_months=4,10.00,
    IF(arrears_months=5,12.00,15.00)))))))</f>
        <v/>
      </c>
      <c r="M5235">
        <f>LET(
    seasoning_years,DATEDIF('Loan Tape (S&amp;P)'!K5235,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35">
        <f>IF(AND('Loan Tape (S&amp;P)'!U5235="Yes",
        'Loan Tape (S&amp;P)'!T5235&lt;&gt;"Yes",
        DATEDIF('Loan Tape (S&amp;P)'!K5235, TODAY(), "M")&lt;18),
    1.10,
    1.00)</f>
        <v/>
      </c>
      <c r="O5235">
        <f>IF('Loan Tape (S&amp;P)'!T5235="Yes",
    1.35,
    1.00)</f>
        <v/>
      </c>
      <c r="P5235">
        <f>IF('Loan Tape (S&amp;P)'!S5235="Yes",
    1.15,
    1.00)</f>
        <v/>
      </c>
      <c r="Q5235">
        <f>IF('Loan Tape (S&amp;P)'!V5235="Yes",
    1.20,
    1.00)</f>
        <v/>
      </c>
      <c r="T5235">
        <f>LET(
    payment_method,'Loan Tape (S&amp;P)'!P5235,
    occupancy,'Loan Tape (S&amp;P)'!N5235,
    maturity_date,'Loan Tape (S&amp;P)'!L5235,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36">
      <c r="J5236">
        <f>LET(
    lien,'Loan Tape (S&amp;P)'!Q5236,
    IF(lien="First",1.00,
        IF(lien="Second",1.50,
            1.70)))</f>
        <v/>
      </c>
      <c r="K5236">
        <f>LET(
    purpose,'Loan Tape (S&amp;P)'!R5236,
    IF(purpose="Purchase",1.00,
        IF(purpose="Remortgage",1.00,
            1.20)))</f>
        <v/>
      </c>
      <c r="L5236">
        <f>LET(
    arrears_months,'Loan Tape (S&amp;P)'!AN5236,
    IF(arrears_months=0,1.00,
    IF(arrears_months=1,3.00,
    IF(arrears_months=2,5.00,
    IF(arrears_months=3,8.00,
    IF(arrears_months=4,10.00,
    IF(arrears_months=5,12.00,15.00)))))))</f>
        <v/>
      </c>
      <c r="M5236">
        <f>LET(
    seasoning_years,DATEDIF('Loan Tape (S&amp;P)'!K5236,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36">
        <f>IF(AND('Loan Tape (S&amp;P)'!U5236="Yes",
        'Loan Tape (S&amp;P)'!T5236&lt;&gt;"Yes",
        DATEDIF('Loan Tape (S&amp;P)'!K5236, TODAY(), "M")&lt;18),
    1.10,
    1.00)</f>
        <v/>
      </c>
      <c r="O5236">
        <f>IF('Loan Tape (S&amp;P)'!T5236="Yes",
    1.35,
    1.00)</f>
        <v/>
      </c>
      <c r="P5236">
        <f>IF('Loan Tape (S&amp;P)'!S5236="Yes",
    1.15,
    1.00)</f>
        <v/>
      </c>
      <c r="Q5236">
        <f>IF('Loan Tape (S&amp;P)'!V5236="Yes",
    1.20,
    1.00)</f>
        <v/>
      </c>
      <c r="T5236">
        <f>LET(
    payment_method,'Loan Tape (S&amp;P)'!P5236,
    occupancy,'Loan Tape (S&amp;P)'!N5236,
    maturity_date,'Loan Tape (S&amp;P)'!L5236,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37">
      <c r="J5237">
        <f>LET(
    lien,'Loan Tape (S&amp;P)'!Q5237,
    IF(lien="First",1.00,
        IF(lien="Second",1.50,
            1.70)))</f>
        <v/>
      </c>
      <c r="K5237">
        <f>LET(
    purpose,'Loan Tape (S&amp;P)'!R5237,
    IF(purpose="Purchase",1.00,
        IF(purpose="Remortgage",1.00,
            1.20)))</f>
        <v/>
      </c>
      <c r="L5237">
        <f>LET(
    arrears_months,'Loan Tape (S&amp;P)'!AN5237,
    IF(arrears_months=0,1.00,
    IF(arrears_months=1,3.00,
    IF(arrears_months=2,5.00,
    IF(arrears_months=3,8.00,
    IF(arrears_months=4,10.00,
    IF(arrears_months=5,12.00,15.00)))))))</f>
        <v/>
      </c>
      <c r="M5237">
        <f>LET(
    seasoning_years,DATEDIF('Loan Tape (S&amp;P)'!K5237,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37">
        <f>IF(AND('Loan Tape (S&amp;P)'!U5237="Yes",
        'Loan Tape (S&amp;P)'!T5237&lt;&gt;"Yes",
        DATEDIF('Loan Tape (S&amp;P)'!K5237, TODAY(), "M")&lt;18),
    1.10,
    1.00)</f>
        <v/>
      </c>
      <c r="O5237">
        <f>IF('Loan Tape (S&amp;P)'!T5237="Yes",
    1.35,
    1.00)</f>
        <v/>
      </c>
      <c r="P5237">
        <f>IF('Loan Tape (S&amp;P)'!S5237="Yes",
    1.15,
    1.00)</f>
        <v/>
      </c>
      <c r="Q5237">
        <f>IF('Loan Tape (S&amp;P)'!V5237="Yes",
    1.20,
    1.00)</f>
        <v/>
      </c>
      <c r="T5237">
        <f>LET(
    payment_method,'Loan Tape (S&amp;P)'!P5237,
    occupancy,'Loan Tape (S&amp;P)'!N5237,
    maturity_date,'Loan Tape (S&amp;P)'!L5237,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38">
      <c r="J5238">
        <f>LET(
    lien,'Loan Tape (S&amp;P)'!Q5238,
    IF(lien="First",1.00,
        IF(lien="Second",1.50,
            1.70)))</f>
        <v/>
      </c>
      <c r="K5238">
        <f>LET(
    purpose,'Loan Tape (S&amp;P)'!R5238,
    IF(purpose="Purchase",1.00,
        IF(purpose="Remortgage",1.00,
            1.20)))</f>
        <v/>
      </c>
      <c r="L5238">
        <f>LET(
    arrears_months,'Loan Tape (S&amp;P)'!AN5238,
    IF(arrears_months=0,1.00,
    IF(arrears_months=1,3.00,
    IF(arrears_months=2,5.00,
    IF(arrears_months=3,8.00,
    IF(arrears_months=4,10.00,
    IF(arrears_months=5,12.00,15.00)))))))</f>
        <v/>
      </c>
      <c r="M5238">
        <f>LET(
    seasoning_years,DATEDIF('Loan Tape (S&amp;P)'!K5238,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38">
        <f>IF(AND('Loan Tape (S&amp;P)'!U5238="Yes",
        'Loan Tape (S&amp;P)'!T5238&lt;&gt;"Yes",
        DATEDIF('Loan Tape (S&amp;P)'!K5238, TODAY(), "M")&lt;18),
    1.10,
    1.00)</f>
        <v/>
      </c>
      <c r="O5238">
        <f>IF('Loan Tape (S&amp;P)'!T5238="Yes",
    1.35,
    1.00)</f>
        <v/>
      </c>
      <c r="P5238">
        <f>IF('Loan Tape (S&amp;P)'!S5238="Yes",
    1.15,
    1.00)</f>
        <v/>
      </c>
      <c r="Q5238">
        <f>IF('Loan Tape (S&amp;P)'!V5238="Yes",
    1.20,
    1.00)</f>
        <v/>
      </c>
      <c r="T5238">
        <f>LET(
    payment_method,'Loan Tape (S&amp;P)'!P5238,
    occupancy,'Loan Tape (S&amp;P)'!N5238,
    maturity_date,'Loan Tape (S&amp;P)'!L5238,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39">
      <c r="J5239">
        <f>LET(
    lien,'Loan Tape (S&amp;P)'!Q5239,
    IF(lien="First",1.00,
        IF(lien="Second",1.50,
            1.70)))</f>
        <v/>
      </c>
      <c r="K5239">
        <f>LET(
    purpose,'Loan Tape (S&amp;P)'!R5239,
    IF(purpose="Purchase",1.00,
        IF(purpose="Remortgage",1.00,
            1.20)))</f>
        <v/>
      </c>
      <c r="L5239">
        <f>LET(
    arrears_months,'Loan Tape (S&amp;P)'!AN5239,
    IF(arrears_months=0,1.00,
    IF(arrears_months=1,3.00,
    IF(arrears_months=2,5.00,
    IF(arrears_months=3,8.00,
    IF(arrears_months=4,10.00,
    IF(arrears_months=5,12.00,15.00)))))))</f>
        <v/>
      </c>
      <c r="M5239">
        <f>LET(
    seasoning_years,DATEDIF('Loan Tape (S&amp;P)'!K5239,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39">
        <f>IF(AND('Loan Tape (S&amp;P)'!U5239="Yes",
        'Loan Tape (S&amp;P)'!T5239&lt;&gt;"Yes",
        DATEDIF('Loan Tape (S&amp;P)'!K5239, TODAY(), "M")&lt;18),
    1.10,
    1.00)</f>
        <v/>
      </c>
      <c r="O5239">
        <f>IF('Loan Tape (S&amp;P)'!T5239="Yes",
    1.35,
    1.00)</f>
        <v/>
      </c>
      <c r="P5239">
        <f>IF('Loan Tape (S&amp;P)'!S5239="Yes",
    1.15,
    1.00)</f>
        <v/>
      </c>
      <c r="Q5239">
        <f>IF('Loan Tape (S&amp;P)'!V5239="Yes",
    1.20,
    1.00)</f>
        <v/>
      </c>
      <c r="T5239">
        <f>LET(
    payment_method,'Loan Tape (S&amp;P)'!P5239,
    occupancy,'Loan Tape (S&amp;P)'!N5239,
    maturity_date,'Loan Tape (S&amp;P)'!L5239,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40">
      <c r="J5240">
        <f>LET(
    lien,'Loan Tape (S&amp;P)'!Q5240,
    IF(lien="First",1.00,
        IF(lien="Second",1.50,
            1.70)))</f>
        <v/>
      </c>
      <c r="K5240">
        <f>LET(
    purpose,'Loan Tape (S&amp;P)'!R5240,
    IF(purpose="Purchase",1.00,
        IF(purpose="Remortgage",1.00,
            1.20)))</f>
        <v/>
      </c>
      <c r="L5240">
        <f>LET(
    arrears_months,'Loan Tape (S&amp;P)'!AN5240,
    IF(arrears_months=0,1.00,
    IF(arrears_months=1,3.00,
    IF(arrears_months=2,5.00,
    IF(arrears_months=3,8.00,
    IF(arrears_months=4,10.00,
    IF(arrears_months=5,12.00,15.00)))))))</f>
        <v/>
      </c>
      <c r="M5240">
        <f>LET(
    seasoning_years,DATEDIF('Loan Tape (S&amp;P)'!K5240,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40">
        <f>IF(AND('Loan Tape (S&amp;P)'!U5240="Yes",
        'Loan Tape (S&amp;P)'!T5240&lt;&gt;"Yes",
        DATEDIF('Loan Tape (S&amp;P)'!K5240, TODAY(), "M")&lt;18),
    1.10,
    1.00)</f>
        <v/>
      </c>
      <c r="O5240">
        <f>IF('Loan Tape (S&amp;P)'!T5240="Yes",
    1.35,
    1.00)</f>
        <v/>
      </c>
      <c r="P5240">
        <f>IF('Loan Tape (S&amp;P)'!S5240="Yes",
    1.15,
    1.00)</f>
        <v/>
      </c>
      <c r="Q5240">
        <f>IF('Loan Tape (S&amp;P)'!V5240="Yes",
    1.20,
    1.00)</f>
        <v/>
      </c>
      <c r="T5240">
        <f>LET(
    payment_method,'Loan Tape (S&amp;P)'!P5240,
    occupancy,'Loan Tape (S&amp;P)'!N5240,
    maturity_date,'Loan Tape (S&amp;P)'!L5240,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41">
      <c r="J5241">
        <f>LET(
    lien,'Loan Tape (S&amp;P)'!Q5241,
    IF(lien="First",1.00,
        IF(lien="Second",1.50,
            1.70)))</f>
        <v/>
      </c>
      <c r="K5241">
        <f>LET(
    purpose,'Loan Tape (S&amp;P)'!R5241,
    IF(purpose="Purchase",1.00,
        IF(purpose="Remortgage",1.00,
            1.20)))</f>
        <v/>
      </c>
      <c r="L5241">
        <f>LET(
    arrears_months,'Loan Tape (S&amp;P)'!AN5241,
    IF(arrears_months=0,1.00,
    IF(arrears_months=1,3.00,
    IF(arrears_months=2,5.00,
    IF(arrears_months=3,8.00,
    IF(arrears_months=4,10.00,
    IF(arrears_months=5,12.00,15.00)))))))</f>
        <v/>
      </c>
      <c r="M5241">
        <f>LET(
    seasoning_years,DATEDIF('Loan Tape (S&amp;P)'!K5241,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41">
        <f>IF(AND('Loan Tape (S&amp;P)'!U5241="Yes",
        'Loan Tape (S&amp;P)'!T5241&lt;&gt;"Yes",
        DATEDIF('Loan Tape (S&amp;P)'!K5241, TODAY(), "M")&lt;18),
    1.10,
    1.00)</f>
        <v/>
      </c>
      <c r="O5241">
        <f>IF('Loan Tape (S&amp;P)'!T5241="Yes",
    1.35,
    1.00)</f>
        <v/>
      </c>
      <c r="P5241">
        <f>IF('Loan Tape (S&amp;P)'!S5241="Yes",
    1.15,
    1.00)</f>
        <v/>
      </c>
      <c r="Q5241">
        <f>IF('Loan Tape (S&amp;P)'!V5241="Yes",
    1.20,
    1.00)</f>
        <v/>
      </c>
      <c r="T5241">
        <f>LET(
    payment_method,'Loan Tape (S&amp;P)'!P5241,
    occupancy,'Loan Tape (S&amp;P)'!N5241,
    maturity_date,'Loan Tape (S&amp;P)'!L5241,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42">
      <c r="J5242">
        <f>LET(
    lien,'Loan Tape (S&amp;P)'!Q5242,
    IF(lien="First",1.00,
        IF(lien="Second",1.50,
            1.70)))</f>
        <v/>
      </c>
      <c r="K5242">
        <f>LET(
    purpose,'Loan Tape (S&amp;P)'!R5242,
    IF(purpose="Purchase",1.00,
        IF(purpose="Remortgage",1.00,
            1.20)))</f>
        <v/>
      </c>
      <c r="L5242">
        <f>LET(
    arrears_months,'Loan Tape (S&amp;P)'!AN5242,
    IF(arrears_months=0,1.00,
    IF(arrears_months=1,3.00,
    IF(arrears_months=2,5.00,
    IF(arrears_months=3,8.00,
    IF(arrears_months=4,10.00,
    IF(arrears_months=5,12.00,15.00)))))))</f>
        <v/>
      </c>
      <c r="M5242">
        <f>LET(
    seasoning_years,DATEDIF('Loan Tape (S&amp;P)'!K5242,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42">
        <f>IF(AND('Loan Tape (S&amp;P)'!U5242="Yes",
        'Loan Tape (S&amp;P)'!T5242&lt;&gt;"Yes",
        DATEDIF('Loan Tape (S&amp;P)'!K5242, TODAY(), "M")&lt;18),
    1.10,
    1.00)</f>
        <v/>
      </c>
      <c r="O5242">
        <f>IF('Loan Tape (S&amp;P)'!T5242="Yes",
    1.35,
    1.00)</f>
        <v/>
      </c>
      <c r="P5242">
        <f>IF('Loan Tape (S&amp;P)'!S5242="Yes",
    1.15,
    1.00)</f>
        <v/>
      </c>
      <c r="Q5242">
        <f>IF('Loan Tape (S&amp;P)'!V5242="Yes",
    1.20,
    1.00)</f>
        <v/>
      </c>
      <c r="T5242">
        <f>LET(
    payment_method,'Loan Tape (S&amp;P)'!P5242,
    occupancy,'Loan Tape (S&amp;P)'!N5242,
    maturity_date,'Loan Tape (S&amp;P)'!L5242,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43">
      <c r="J5243">
        <f>LET(
    lien,'Loan Tape (S&amp;P)'!Q5243,
    IF(lien="First",1.00,
        IF(lien="Second",1.50,
            1.70)))</f>
        <v/>
      </c>
      <c r="K5243">
        <f>LET(
    purpose,'Loan Tape (S&amp;P)'!R5243,
    IF(purpose="Purchase",1.00,
        IF(purpose="Remortgage",1.00,
            1.20)))</f>
        <v/>
      </c>
      <c r="L5243">
        <f>LET(
    arrears_months,'Loan Tape (S&amp;P)'!AN5243,
    IF(arrears_months=0,1.00,
    IF(arrears_months=1,3.00,
    IF(arrears_months=2,5.00,
    IF(arrears_months=3,8.00,
    IF(arrears_months=4,10.00,
    IF(arrears_months=5,12.00,15.00)))))))</f>
        <v/>
      </c>
      <c r="M5243">
        <f>LET(
    seasoning_years,DATEDIF('Loan Tape (S&amp;P)'!K5243,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43">
        <f>IF(AND('Loan Tape (S&amp;P)'!U5243="Yes",
        'Loan Tape (S&amp;P)'!T5243&lt;&gt;"Yes",
        DATEDIF('Loan Tape (S&amp;P)'!K5243, TODAY(), "M")&lt;18),
    1.10,
    1.00)</f>
        <v/>
      </c>
      <c r="O5243">
        <f>IF('Loan Tape (S&amp;P)'!T5243="Yes",
    1.35,
    1.00)</f>
        <v/>
      </c>
      <c r="P5243">
        <f>IF('Loan Tape (S&amp;P)'!S5243="Yes",
    1.15,
    1.00)</f>
        <v/>
      </c>
      <c r="Q5243">
        <f>IF('Loan Tape (S&amp;P)'!V5243="Yes",
    1.20,
    1.00)</f>
        <v/>
      </c>
      <c r="T5243">
        <f>LET(
    payment_method,'Loan Tape (S&amp;P)'!P5243,
    occupancy,'Loan Tape (S&amp;P)'!N5243,
    maturity_date,'Loan Tape (S&amp;P)'!L5243,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44">
      <c r="J5244">
        <f>LET(
    lien,'Loan Tape (S&amp;P)'!Q5244,
    IF(lien="First",1.00,
        IF(lien="Second",1.50,
            1.70)))</f>
        <v/>
      </c>
      <c r="K5244">
        <f>LET(
    purpose,'Loan Tape (S&amp;P)'!R5244,
    IF(purpose="Purchase",1.00,
        IF(purpose="Remortgage",1.00,
            1.20)))</f>
        <v/>
      </c>
      <c r="L5244">
        <f>LET(
    arrears_months,'Loan Tape (S&amp;P)'!AN5244,
    IF(arrears_months=0,1.00,
    IF(arrears_months=1,3.00,
    IF(arrears_months=2,5.00,
    IF(arrears_months=3,8.00,
    IF(arrears_months=4,10.00,
    IF(arrears_months=5,12.00,15.00)))))))</f>
        <v/>
      </c>
      <c r="M5244">
        <f>LET(
    seasoning_years,DATEDIF('Loan Tape (S&amp;P)'!K5244,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44">
        <f>IF(AND('Loan Tape (S&amp;P)'!U5244="Yes",
        'Loan Tape (S&amp;P)'!T5244&lt;&gt;"Yes",
        DATEDIF('Loan Tape (S&amp;P)'!K5244, TODAY(), "M")&lt;18),
    1.10,
    1.00)</f>
        <v/>
      </c>
      <c r="O5244">
        <f>IF('Loan Tape (S&amp;P)'!T5244="Yes",
    1.35,
    1.00)</f>
        <v/>
      </c>
      <c r="P5244">
        <f>IF('Loan Tape (S&amp;P)'!S5244="Yes",
    1.15,
    1.00)</f>
        <v/>
      </c>
      <c r="Q5244">
        <f>IF('Loan Tape (S&amp;P)'!V5244="Yes",
    1.20,
    1.00)</f>
        <v/>
      </c>
      <c r="T5244">
        <f>LET(
    payment_method,'Loan Tape (S&amp;P)'!P5244,
    occupancy,'Loan Tape (S&amp;P)'!N5244,
    maturity_date,'Loan Tape (S&amp;P)'!L5244,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45">
      <c r="J5245">
        <f>LET(
    lien,'Loan Tape (S&amp;P)'!Q5245,
    IF(lien="First",1.00,
        IF(lien="Second",1.50,
            1.70)))</f>
        <v/>
      </c>
      <c r="K5245">
        <f>LET(
    purpose,'Loan Tape (S&amp;P)'!R5245,
    IF(purpose="Purchase",1.00,
        IF(purpose="Remortgage",1.00,
            1.20)))</f>
        <v/>
      </c>
      <c r="L5245">
        <f>LET(
    arrears_months,'Loan Tape (S&amp;P)'!AN5245,
    IF(arrears_months=0,1.00,
    IF(arrears_months=1,3.00,
    IF(arrears_months=2,5.00,
    IF(arrears_months=3,8.00,
    IF(arrears_months=4,10.00,
    IF(arrears_months=5,12.00,15.00)))))))</f>
        <v/>
      </c>
      <c r="M5245">
        <f>LET(
    seasoning_years,DATEDIF('Loan Tape (S&amp;P)'!K5245,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45">
        <f>IF(AND('Loan Tape (S&amp;P)'!U5245="Yes",
        'Loan Tape (S&amp;P)'!T5245&lt;&gt;"Yes",
        DATEDIF('Loan Tape (S&amp;P)'!K5245, TODAY(), "M")&lt;18),
    1.10,
    1.00)</f>
        <v/>
      </c>
      <c r="O5245">
        <f>IF('Loan Tape (S&amp;P)'!T5245="Yes",
    1.35,
    1.00)</f>
        <v/>
      </c>
      <c r="P5245">
        <f>IF('Loan Tape (S&amp;P)'!S5245="Yes",
    1.15,
    1.00)</f>
        <v/>
      </c>
      <c r="Q5245">
        <f>IF('Loan Tape (S&amp;P)'!V5245="Yes",
    1.20,
    1.00)</f>
        <v/>
      </c>
      <c r="T5245">
        <f>LET(
    payment_method,'Loan Tape (S&amp;P)'!P5245,
    occupancy,'Loan Tape (S&amp;P)'!N5245,
    maturity_date,'Loan Tape (S&amp;P)'!L5245,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46">
      <c r="J5246">
        <f>LET(
    lien,'Loan Tape (S&amp;P)'!Q5246,
    IF(lien="First",1.00,
        IF(lien="Second",1.50,
            1.70)))</f>
        <v/>
      </c>
      <c r="K5246">
        <f>LET(
    purpose,'Loan Tape (S&amp;P)'!R5246,
    IF(purpose="Purchase",1.00,
        IF(purpose="Remortgage",1.00,
            1.20)))</f>
        <v/>
      </c>
      <c r="L5246">
        <f>LET(
    arrears_months,'Loan Tape (S&amp;P)'!AN5246,
    IF(arrears_months=0,1.00,
    IF(arrears_months=1,3.00,
    IF(arrears_months=2,5.00,
    IF(arrears_months=3,8.00,
    IF(arrears_months=4,10.00,
    IF(arrears_months=5,12.00,15.00)))))))</f>
        <v/>
      </c>
      <c r="M5246">
        <f>LET(
    seasoning_years,DATEDIF('Loan Tape (S&amp;P)'!K5246,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46">
        <f>IF(AND('Loan Tape (S&amp;P)'!U5246="Yes",
        'Loan Tape (S&amp;P)'!T5246&lt;&gt;"Yes",
        DATEDIF('Loan Tape (S&amp;P)'!K5246, TODAY(), "M")&lt;18),
    1.10,
    1.00)</f>
        <v/>
      </c>
      <c r="O5246">
        <f>IF('Loan Tape (S&amp;P)'!T5246="Yes",
    1.35,
    1.00)</f>
        <v/>
      </c>
      <c r="P5246">
        <f>IF('Loan Tape (S&amp;P)'!S5246="Yes",
    1.15,
    1.00)</f>
        <v/>
      </c>
      <c r="Q5246">
        <f>IF('Loan Tape (S&amp;P)'!V5246="Yes",
    1.20,
    1.00)</f>
        <v/>
      </c>
      <c r="T5246">
        <f>LET(
    payment_method,'Loan Tape (S&amp;P)'!P5246,
    occupancy,'Loan Tape (S&amp;P)'!N5246,
    maturity_date,'Loan Tape (S&amp;P)'!L5246,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47">
      <c r="J5247">
        <f>LET(
    lien,'Loan Tape (S&amp;P)'!Q5247,
    IF(lien="First",1.00,
        IF(lien="Second",1.50,
            1.70)))</f>
        <v/>
      </c>
      <c r="K5247">
        <f>LET(
    purpose,'Loan Tape (S&amp;P)'!R5247,
    IF(purpose="Purchase",1.00,
        IF(purpose="Remortgage",1.00,
            1.20)))</f>
        <v/>
      </c>
      <c r="L5247">
        <f>LET(
    arrears_months,'Loan Tape (S&amp;P)'!AN5247,
    IF(arrears_months=0,1.00,
    IF(arrears_months=1,3.00,
    IF(arrears_months=2,5.00,
    IF(arrears_months=3,8.00,
    IF(arrears_months=4,10.00,
    IF(arrears_months=5,12.00,15.00)))))))</f>
        <v/>
      </c>
      <c r="M5247">
        <f>LET(
    seasoning_years,DATEDIF('Loan Tape (S&amp;P)'!K5247,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47">
        <f>IF(AND('Loan Tape (S&amp;P)'!U5247="Yes",
        'Loan Tape (S&amp;P)'!T5247&lt;&gt;"Yes",
        DATEDIF('Loan Tape (S&amp;P)'!K5247, TODAY(), "M")&lt;18),
    1.10,
    1.00)</f>
        <v/>
      </c>
      <c r="O5247">
        <f>IF('Loan Tape (S&amp;P)'!T5247="Yes",
    1.35,
    1.00)</f>
        <v/>
      </c>
      <c r="P5247">
        <f>IF('Loan Tape (S&amp;P)'!S5247="Yes",
    1.15,
    1.00)</f>
        <v/>
      </c>
      <c r="Q5247">
        <f>IF('Loan Tape (S&amp;P)'!V5247="Yes",
    1.20,
    1.00)</f>
        <v/>
      </c>
      <c r="T5247">
        <f>LET(
    payment_method,'Loan Tape (S&amp;P)'!P5247,
    occupancy,'Loan Tape (S&amp;P)'!N5247,
    maturity_date,'Loan Tape (S&amp;P)'!L5247,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48">
      <c r="J5248">
        <f>LET(
    lien,'Loan Tape (S&amp;P)'!Q5248,
    IF(lien="First",1.00,
        IF(lien="Second",1.50,
            1.70)))</f>
        <v/>
      </c>
      <c r="K5248">
        <f>LET(
    purpose,'Loan Tape (S&amp;P)'!R5248,
    IF(purpose="Purchase",1.00,
        IF(purpose="Remortgage",1.00,
            1.20)))</f>
        <v/>
      </c>
      <c r="L5248">
        <f>LET(
    arrears_months,'Loan Tape (S&amp;P)'!AN5248,
    IF(arrears_months=0,1.00,
    IF(arrears_months=1,3.00,
    IF(arrears_months=2,5.00,
    IF(arrears_months=3,8.00,
    IF(arrears_months=4,10.00,
    IF(arrears_months=5,12.00,15.00)))))))</f>
        <v/>
      </c>
      <c r="M5248">
        <f>LET(
    seasoning_years,DATEDIF('Loan Tape (S&amp;P)'!K5248,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48">
        <f>IF(AND('Loan Tape (S&amp;P)'!U5248="Yes",
        'Loan Tape (S&amp;P)'!T5248&lt;&gt;"Yes",
        DATEDIF('Loan Tape (S&amp;P)'!K5248, TODAY(), "M")&lt;18),
    1.10,
    1.00)</f>
        <v/>
      </c>
      <c r="O5248">
        <f>IF('Loan Tape (S&amp;P)'!T5248="Yes",
    1.35,
    1.00)</f>
        <v/>
      </c>
      <c r="P5248">
        <f>IF('Loan Tape (S&amp;P)'!S5248="Yes",
    1.15,
    1.00)</f>
        <v/>
      </c>
      <c r="Q5248">
        <f>IF('Loan Tape (S&amp;P)'!V5248="Yes",
    1.20,
    1.00)</f>
        <v/>
      </c>
      <c r="T5248">
        <f>LET(
    payment_method,'Loan Tape (S&amp;P)'!P5248,
    occupancy,'Loan Tape (S&amp;P)'!N5248,
    maturity_date,'Loan Tape (S&amp;P)'!L5248,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49">
      <c r="J5249">
        <f>LET(
    lien,'Loan Tape (S&amp;P)'!Q5249,
    IF(lien="First",1.00,
        IF(lien="Second",1.50,
            1.70)))</f>
        <v/>
      </c>
      <c r="K5249">
        <f>LET(
    purpose,'Loan Tape (S&amp;P)'!R5249,
    IF(purpose="Purchase",1.00,
        IF(purpose="Remortgage",1.00,
            1.20)))</f>
        <v/>
      </c>
      <c r="L5249">
        <f>LET(
    arrears_months,'Loan Tape (S&amp;P)'!AN5249,
    IF(arrears_months=0,1.00,
    IF(arrears_months=1,3.00,
    IF(arrears_months=2,5.00,
    IF(arrears_months=3,8.00,
    IF(arrears_months=4,10.00,
    IF(arrears_months=5,12.00,15.00)))))))</f>
        <v/>
      </c>
      <c r="M5249">
        <f>LET(
    seasoning_years,DATEDIF('Loan Tape (S&amp;P)'!K5249,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49">
        <f>IF(AND('Loan Tape (S&amp;P)'!U5249="Yes",
        'Loan Tape (S&amp;P)'!T5249&lt;&gt;"Yes",
        DATEDIF('Loan Tape (S&amp;P)'!K5249, TODAY(), "M")&lt;18),
    1.10,
    1.00)</f>
        <v/>
      </c>
      <c r="O5249">
        <f>IF('Loan Tape (S&amp;P)'!T5249="Yes",
    1.35,
    1.00)</f>
        <v/>
      </c>
      <c r="P5249">
        <f>IF('Loan Tape (S&amp;P)'!S5249="Yes",
    1.15,
    1.00)</f>
        <v/>
      </c>
      <c r="Q5249">
        <f>IF('Loan Tape (S&amp;P)'!V5249="Yes",
    1.20,
    1.00)</f>
        <v/>
      </c>
      <c r="T5249">
        <f>LET(
    payment_method,'Loan Tape (S&amp;P)'!P5249,
    occupancy,'Loan Tape (S&amp;P)'!N5249,
    maturity_date,'Loan Tape (S&amp;P)'!L5249,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50">
      <c r="J5250">
        <f>LET(
    lien,'Loan Tape (S&amp;P)'!Q5250,
    IF(lien="First",1.00,
        IF(lien="Second",1.50,
            1.70)))</f>
        <v/>
      </c>
      <c r="K5250">
        <f>LET(
    purpose,'Loan Tape (S&amp;P)'!R5250,
    IF(purpose="Purchase",1.00,
        IF(purpose="Remortgage",1.00,
            1.20)))</f>
        <v/>
      </c>
      <c r="L5250">
        <f>LET(
    arrears_months,'Loan Tape (S&amp;P)'!AN5250,
    IF(arrears_months=0,1.00,
    IF(arrears_months=1,3.00,
    IF(arrears_months=2,5.00,
    IF(arrears_months=3,8.00,
    IF(arrears_months=4,10.00,
    IF(arrears_months=5,12.00,15.00)))))))</f>
        <v/>
      </c>
      <c r="M5250">
        <f>LET(
    seasoning_years,DATEDIF('Loan Tape (S&amp;P)'!K5250,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50">
        <f>IF(AND('Loan Tape (S&amp;P)'!U5250="Yes",
        'Loan Tape (S&amp;P)'!T5250&lt;&gt;"Yes",
        DATEDIF('Loan Tape (S&amp;P)'!K5250, TODAY(), "M")&lt;18),
    1.10,
    1.00)</f>
        <v/>
      </c>
      <c r="O5250">
        <f>IF('Loan Tape (S&amp;P)'!T5250="Yes",
    1.35,
    1.00)</f>
        <v/>
      </c>
      <c r="P5250">
        <f>IF('Loan Tape (S&amp;P)'!S5250="Yes",
    1.15,
    1.00)</f>
        <v/>
      </c>
      <c r="Q5250">
        <f>IF('Loan Tape (S&amp;P)'!V5250="Yes",
    1.20,
    1.00)</f>
        <v/>
      </c>
      <c r="T5250">
        <f>LET(
    payment_method,'Loan Tape (S&amp;P)'!P5250,
    occupancy,'Loan Tape (S&amp;P)'!N5250,
    maturity_date,'Loan Tape (S&amp;P)'!L5250,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51">
      <c r="J5251">
        <f>LET(
    lien,'Loan Tape (S&amp;P)'!Q5251,
    IF(lien="First",1.00,
        IF(lien="Second",1.50,
            1.70)))</f>
        <v/>
      </c>
      <c r="K5251">
        <f>LET(
    purpose,'Loan Tape (S&amp;P)'!R5251,
    IF(purpose="Purchase",1.00,
        IF(purpose="Remortgage",1.00,
            1.20)))</f>
        <v/>
      </c>
      <c r="L5251">
        <f>LET(
    arrears_months,'Loan Tape (S&amp;P)'!AN5251,
    IF(arrears_months=0,1.00,
    IF(arrears_months=1,3.00,
    IF(arrears_months=2,5.00,
    IF(arrears_months=3,8.00,
    IF(arrears_months=4,10.00,
    IF(arrears_months=5,12.00,15.00)))))))</f>
        <v/>
      </c>
      <c r="M5251">
        <f>LET(
    seasoning_years,DATEDIF('Loan Tape (S&amp;P)'!K5251,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51">
        <f>IF(AND('Loan Tape (S&amp;P)'!U5251="Yes",
        'Loan Tape (S&amp;P)'!T5251&lt;&gt;"Yes",
        DATEDIF('Loan Tape (S&amp;P)'!K5251, TODAY(), "M")&lt;18),
    1.10,
    1.00)</f>
        <v/>
      </c>
      <c r="O5251">
        <f>IF('Loan Tape (S&amp;P)'!T5251="Yes",
    1.35,
    1.00)</f>
        <v/>
      </c>
      <c r="P5251">
        <f>IF('Loan Tape (S&amp;P)'!S5251="Yes",
    1.15,
    1.00)</f>
        <v/>
      </c>
      <c r="Q5251">
        <f>IF('Loan Tape (S&amp;P)'!V5251="Yes",
    1.20,
    1.00)</f>
        <v/>
      </c>
      <c r="T5251">
        <f>LET(
    payment_method,'Loan Tape (S&amp;P)'!P5251,
    occupancy,'Loan Tape (S&amp;P)'!N5251,
    maturity_date,'Loan Tape (S&amp;P)'!L5251,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52">
      <c r="J5252">
        <f>LET(
    lien,'Loan Tape (S&amp;P)'!Q5252,
    IF(lien="First",1.00,
        IF(lien="Second",1.50,
            1.70)))</f>
        <v/>
      </c>
      <c r="K5252">
        <f>LET(
    purpose,'Loan Tape (S&amp;P)'!R5252,
    IF(purpose="Purchase",1.00,
        IF(purpose="Remortgage",1.00,
            1.20)))</f>
        <v/>
      </c>
      <c r="L5252">
        <f>LET(
    arrears_months,'Loan Tape (S&amp;P)'!AN5252,
    IF(arrears_months=0,1.00,
    IF(arrears_months=1,3.00,
    IF(arrears_months=2,5.00,
    IF(arrears_months=3,8.00,
    IF(arrears_months=4,10.00,
    IF(arrears_months=5,12.00,15.00)))))))</f>
        <v/>
      </c>
      <c r="M5252">
        <f>LET(
    seasoning_years,DATEDIF('Loan Tape (S&amp;P)'!K5252,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52">
        <f>IF(AND('Loan Tape (S&amp;P)'!U5252="Yes",
        'Loan Tape (S&amp;P)'!T5252&lt;&gt;"Yes",
        DATEDIF('Loan Tape (S&amp;P)'!K5252, TODAY(), "M")&lt;18),
    1.10,
    1.00)</f>
        <v/>
      </c>
      <c r="O5252">
        <f>IF('Loan Tape (S&amp;P)'!T5252="Yes",
    1.35,
    1.00)</f>
        <v/>
      </c>
      <c r="P5252">
        <f>IF('Loan Tape (S&amp;P)'!S5252="Yes",
    1.15,
    1.00)</f>
        <v/>
      </c>
      <c r="Q5252">
        <f>IF('Loan Tape (S&amp;P)'!V5252="Yes",
    1.20,
    1.00)</f>
        <v/>
      </c>
      <c r="T5252">
        <f>LET(
    payment_method,'Loan Tape (S&amp;P)'!P5252,
    occupancy,'Loan Tape (S&amp;P)'!N5252,
    maturity_date,'Loan Tape (S&amp;P)'!L5252,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53">
      <c r="J5253">
        <f>LET(
    lien,'Loan Tape (S&amp;P)'!Q5253,
    IF(lien="First",1.00,
        IF(lien="Second",1.50,
            1.70)))</f>
        <v/>
      </c>
      <c r="K5253">
        <f>LET(
    purpose,'Loan Tape (S&amp;P)'!R5253,
    IF(purpose="Purchase",1.00,
        IF(purpose="Remortgage",1.00,
            1.20)))</f>
        <v/>
      </c>
      <c r="L5253">
        <f>LET(
    arrears_months,'Loan Tape (S&amp;P)'!AN5253,
    IF(arrears_months=0,1.00,
    IF(arrears_months=1,3.00,
    IF(arrears_months=2,5.00,
    IF(arrears_months=3,8.00,
    IF(arrears_months=4,10.00,
    IF(arrears_months=5,12.00,15.00)))))))</f>
        <v/>
      </c>
      <c r="M5253">
        <f>LET(
    seasoning_years,DATEDIF('Loan Tape (S&amp;P)'!K5253,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53">
        <f>IF(AND('Loan Tape (S&amp;P)'!U5253="Yes",
        'Loan Tape (S&amp;P)'!T5253&lt;&gt;"Yes",
        DATEDIF('Loan Tape (S&amp;P)'!K5253, TODAY(), "M")&lt;18),
    1.10,
    1.00)</f>
        <v/>
      </c>
      <c r="O5253">
        <f>IF('Loan Tape (S&amp;P)'!T5253="Yes",
    1.35,
    1.00)</f>
        <v/>
      </c>
      <c r="P5253">
        <f>IF('Loan Tape (S&amp;P)'!S5253="Yes",
    1.15,
    1.00)</f>
        <v/>
      </c>
      <c r="Q5253">
        <f>IF('Loan Tape (S&amp;P)'!V5253="Yes",
    1.20,
    1.00)</f>
        <v/>
      </c>
      <c r="T5253">
        <f>LET(
    payment_method,'Loan Tape (S&amp;P)'!P5253,
    occupancy,'Loan Tape (S&amp;P)'!N5253,
    maturity_date,'Loan Tape (S&amp;P)'!L5253,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54">
      <c r="J5254">
        <f>LET(
    lien,'Loan Tape (S&amp;P)'!Q5254,
    IF(lien="First",1.00,
        IF(lien="Second",1.50,
            1.70)))</f>
        <v/>
      </c>
      <c r="K5254">
        <f>LET(
    purpose,'Loan Tape (S&amp;P)'!R5254,
    IF(purpose="Purchase",1.00,
        IF(purpose="Remortgage",1.00,
            1.20)))</f>
        <v/>
      </c>
      <c r="L5254">
        <f>LET(
    arrears_months,'Loan Tape (S&amp;P)'!AN5254,
    IF(arrears_months=0,1.00,
    IF(arrears_months=1,3.00,
    IF(arrears_months=2,5.00,
    IF(arrears_months=3,8.00,
    IF(arrears_months=4,10.00,
    IF(arrears_months=5,12.00,15.00)))))))</f>
        <v/>
      </c>
      <c r="M5254">
        <f>LET(
    seasoning_years,DATEDIF('Loan Tape (S&amp;P)'!K5254,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54">
        <f>IF(AND('Loan Tape (S&amp;P)'!U5254="Yes",
        'Loan Tape (S&amp;P)'!T5254&lt;&gt;"Yes",
        DATEDIF('Loan Tape (S&amp;P)'!K5254, TODAY(), "M")&lt;18),
    1.10,
    1.00)</f>
        <v/>
      </c>
      <c r="O5254">
        <f>IF('Loan Tape (S&amp;P)'!T5254="Yes",
    1.35,
    1.00)</f>
        <v/>
      </c>
      <c r="P5254">
        <f>IF('Loan Tape (S&amp;P)'!S5254="Yes",
    1.15,
    1.00)</f>
        <v/>
      </c>
      <c r="Q5254">
        <f>IF('Loan Tape (S&amp;P)'!V5254="Yes",
    1.20,
    1.00)</f>
        <v/>
      </c>
      <c r="T5254">
        <f>LET(
    payment_method,'Loan Tape (S&amp;P)'!P5254,
    occupancy,'Loan Tape (S&amp;P)'!N5254,
    maturity_date,'Loan Tape (S&amp;P)'!L5254,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55">
      <c r="J5255">
        <f>LET(
    lien,'Loan Tape (S&amp;P)'!Q5255,
    IF(lien="First",1.00,
        IF(lien="Second",1.50,
            1.70)))</f>
        <v/>
      </c>
      <c r="K5255">
        <f>LET(
    purpose,'Loan Tape (S&amp;P)'!R5255,
    IF(purpose="Purchase",1.00,
        IF(purpose="Remortgage",1.00,
            1.20)))</f>
        <v/>
      </c>
      <c r="L5255">
        <f>LET(
    arrears_months,'Loan Tape (S&amp;P)'!AN5255,
    IF(arrears_months=0,1.00,
    IF(arrears_months=1,3.00,
    IF(arrears_months=2,5.00,
    IF(arrears_months=3,8.00,
    IF(arrears_months=4,10.00,
    IF(arrears_months=5,12.00,15.00)))))))</f>
        <v/>
      </c>
      <c r="M5255">
        <f>LET(
    seasoning_years,DATEDIF('Loan Tape (S&amp;P)'!K5255,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55">
        <f>IF(AND('Loan Tape (S&amp;P)'!U5255="Yes",
        'Loan Tape (S&amp;P)'!T5255&lt;&gt;"Yes",
        DATEDIF('Loan Tape (S&amp;P)'!K5255, TODAY(), "M")&lt;18),
    1.10,
    1.00)</f>
        <v/>
      </c>
      <c r="O5255">
        <f>IF('Loan Tape (S&amp;P)'!T5255="Yes",
    1.35,
    1.00)</f>
        <v/>
      </c>
      <c r="P5255">
        <f>IF('Loan Tape (S&amp;P)'!S5255="Yes",
    1.15,
    1.00)</f>
        <v/>
      </c>
      <c r="Q5255">
        <f>IF('Loan Tape (S&amp;P)'!V5255="Yes",
    1.20,
    1.00)</f>
        <v/>
      </c>
      <c r="T5255">
        <f>LET(
    payment_method,'Loan Tape (S&amp;P)'!P5255,
    occupancy,'Loan Tape (S&amp;P)'!N5255,
    maturity_date,'Loan Tape (S&amp;P)'!L5255,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56">
      <c r="J5256">
        <f>LET(
    lien,'Loan Tape (S&amp;P)'!Q5256,
    IF(lien="First",1.00,
        IF(lien="Second",1.50,
            1.70)))</f>
        <v/>
      </c>
      <c r="K5256">
        <f>LET(
    purpose,'Loan Tape (S&amp;P)'!R5256,
    IF(purpose="Purchase",1.00,
        IF(purpose="Remortgage",1.00,
            1.20)))</f>
        <v/>
      </c>
      <c r="L5256">
        <f>LET(
    arrears_months,'Loan Tape (S&amp;P)'!AN5256,
    IF(arrears_months=0,1.00,
    IF(arrears_months=1,3.00,
    IF(arrears_months=2,5.00,
    IF(arrears_months=3,8.00,
    IF(arrears_months=4,10.00,
    IF(arrears_months=5,12.00,15.00)))))))</f>
        <v/>
      </c>
      <c r="M5256">
        <f>LET(
    seasoning_years,DATEDIF('Loan Tape (S&amp;P)'!K5256,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56">
        <f>IF(AND('Loan Tape (S&amp;P)'!U5256="Yes",
        'Loan Tape (S&amp;P)'!T5256&lt;&gt;"Yes",
        DATEDIF('Loan Tape (S&amp;P)'!K5256, TODAY(), "M")&lt;18),
    1.10,
    1.00)</f>
        <v/>
      </c>
      <c r="O5256">
        <f>IF('Loan Tape (S&amp;P)'!T5256="Yes",
    1.35,
    1.00)</f>
        <v/>
      </c>
      <c r="P5256">
        <f>IF('Loan Tape (S&amp;P)'!S5256="Yes",
    1.15,
    1.00)</f>
        <v/>
      </c>
      <c r="Q5256">
        <f>IF('Loan Tape (S&amp;P)'!V5256="Yes",
    1.20,
    1.00)</f>
        <v/>
      </c>
      <c r="T5256">
        <f>LET(
    payment_method,'Loan Tape (S&amp;P)'!P5256,
    occupancy,'Loan Tape (S&amp;P)'!N5256,
    maturity_date,'Loan Tape (S&amp;P)'!L5256,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57">
      <c r="J5257">
        <f>LET(
    lien,'Loan Tape (S&amp;P)'!Q5257,
    IF(lien="First",1.00,
        IF(lien="Second",1.50,
            1.70)))</f>
        <v/>
      </c>
      <c r="K5257">
        <f>LET(
    purpose,'Loan Tape (S&amp;P)'!R5257,
    IF(purpose="Purchase",1.00,
        IF(purpose="Remortgage",1.00,
            1.20)))</f>
        <v/>
      </c>
      <c r="L5257">
        <f>LET(
    arrears_months,'Loan Tape (S&amp;P)'!AN5257,
    IF(arrears_months=0,1.00,
    IF(arrears_months=1,3.00,
    IF(arrears_months=2,5.00,
    IF(arrears_months=3,8.00,
    IF(arrears_months=4,10.00,
    IF(arrears_months=5,12.00,15.00)))))))</f>
        <v/>
      </c>
      <c r="M5257">
        <f>LET(
    seasoning_years,DATEDIF('Loan Tape (S&amp;P)'!K5257,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57">
        <f>IF(AND('Loan Tape (S&amp;P)'!U5257="Yes",
        'Loan Tape (S&amp;P)'!T5257&lt;&gt;"Yes",
        DATEDIF('Loan Tape (S&amp;P)'!K5257, TODAY(), "M")&lt;18),
    1.10,
    1.00)</f>
        <v/>
      </c>
      <c r="O5257">
        <f>IF('Loan Tape (S&amp;P)'!T5257="Yes",
    1.35,
    1.00)</f>
        <v/>
      </c>
      <c r="P5257">
        <f>IF('Loan Tape (S&amp;P)'!S5257="Yes",
    1.15,
    1.00)</f>
        <v/>
      </c>
      <c r="Q5257">
        <f>IF('Loan Tape (S&amp;P)'!V5257="Yes",
    1.20,
    1.00)</f>
        <v/>
      </c>
      <c r="T5257">
        <f>LET(
    payment_method,'Loan Tape (S&amp;P)'!P5257,
    occupancy,'Loan Tape (S&amp;P)'!N5257,
    maturity_date,'Loan Tape (S&amp;P)'!L5257,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58">
      <c r="J5258">
        <f>LET(
    lien,'Loan Tape (S&amp;P)'!Q5258,
    IF(lien="First",1.00,
        IF(lien="Second",1.50,
            1.70)))</f>
        <v/>
      </c>
      <c r="K5258">
        <f>LET(
    purpose,'Loan Tape (S&amp;P)'!R5258,
    IF(purpose="Purchase",1.00,
        IF(purpose="Remortgage",1.00,
            1.20)))</f>
        <v/>
      </c>
      <c r="L5258">
        <f>LET(
    arrears_months,'Loan Tape (S&amp;P)'!AN5258,
    IF(arrears_months=0,1.00,
    IF(arrears_months=1,3.00,
    IF(arrears_months=2,5.00,
    IF(arrears_months=3,8.00,
    IF(arrears_months=4,10.00,
    IF(arrears_months=5,12.00,15.00)))))))</f>
        <v/>
      </c>
      <c r="M5258">
        <f>LET(
    seasoning_years,DATEDIF('Loan Tape (S&amp;P)'!K5258,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58">
        <f>IF(AND('Loan Tape (S&amp;P)'!U5258="Yes",
        'Loan Tape (S&amp;P)'!T5258&lt;&gt;"Yes",
        DATEDIF('Loan Tape (S&amp;P)'!K5258, TODAY(), "M")&lt;18),
    1.10,
    1.00)</f>
        <v/>
      </c>
      <c r="O5258">
        <f>IF('Loan Tape (S&amp;P)'!T5258="Yes",
    1.35,
    1.00)</f>
        <v/>
      </c>
      <c r="P5258">
        <f>IF('Loan Tape (S&amp;P)'!S5258="Yes",
    1.15,
    1.00)</f>
        <v/>
      </c>
      <c r="Q5258">
        <f>IF('Loan Tape (S&amp;P)'!V5258="Yes",
    1.20,
    1.00)</f>
        <v/>
      </c>
      <c r="T5258">
        <f>LET(
    payment_method,'Loan Tape (S&amp;P)'!P5258,
    occupancy,'Loan Tape (S&amp;P)'!N5258,
    maturity_date,'Loan Tape (S&amp;P)'!L5258,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59">
      <c r="J5259">
        <f>LET(
    lien,'Loan Tape (S&amp;P)'!Q5259,
    IF(lien="First",1.00,
        IF(lien="Second",1.50,
            1.70)))</f>
        <v/>
      </c>
      <c r="K5259">
        <f>LET(
    purpose,'Loan Tape (S&amp;P)'!R5259,
    IF(purpose="Purchase",1.00,
        IF(purpose="Remortgage",1.00,
            1.20)))</f>
        <v/>
      </c>
      <c r="L5259">
        <f>LET(
    arrears_months,'Loan Tape (S&amp;P)'!AN5259,
    IF(arrears_months=0,1.00,
    IF(arrears_months=1,3.00,
    IF(arrears_months=2,5.00,
    IF(arrears_months=3,8.00,
    IF(arrears_months=4,10.00,
    IF(arrears_months=5,12.00,15.00)))))))</f>
        <v/>
      </c>
      <c r="M5259">
        <f>LET(
    seasoning_years,DATEDIF('Loan Tape (S&amp;P)'!K5259,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59">
        <f>IF(AND('Loan Tape (S&amp;P)'!U5259="Yes",
        'Loan Tape (S&amp;P)'!T5259&lt;&gt;"Yes",
        DATEDIF('Loan Tape (S&amp;P)'!K5259, TODAY(), "M")&lt;18),
    1.10,
    1.00)</f>
        <v/>
      </c>
      <c r="O5259">
        <f>IF('Loan Tape (S&amp;P)'!T5259="Yes",
    1.35,
    1.00)</f>
        <v/>
      </c>
      <c r="P5259">
        <f>IF('Loan Tape (S&amp;P)'!S5259="Yes",
    1.15,
    1.00)</f>
        <v/>
      </c>
      <c r="Q5259">
        <f>IF('Loan Tape (S&amp;P)'!V5259="Yes",
    1.20,
    1.00)</f>
        <v/>
      </c>
      <c r="T5259">
        <f>LET(
    payment_method,'Loan Tape (S&amp;P)'!P5259,
    occupancy,'Loan Tape (S&amp;P)'!N5259,
    maturity_date,'Loan Tape (S&amp;P)'!L5259,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60">
      <c r="J5260">
        <f>LET(
    lien,'Loan Tape (S&amp;P)'!Q5260,
    IF(lien="First",1.00,
        IF(lien="Second",1.50,
            1.70)))</f>
        <v/>
      </c>
      <c r="K5260">
        <f>LET(
    purpose,'Loan Tape (S&amp;P)'!R5260,
    IF(purpose="Purchase",1.00,
        IF(purpose="Remortgage",1.00,
            1.20)))</f>
        <v/>
      </c>
      <c r="L5260">
        <f>LET(
    arrears_months,'Loan Tape (S&amp;P)'!AN5260,
    IF(arrears_months=0,1.00,
    IF(arrears_months=1,3.00,
    IF(arrears_months=2,5.00,
    IF(arrears_months=3,8.00,
    IF(arrears_months=4,10.00,
    IF(arrears_months=5,12.00,15.00)))))))</f>
        <v/>
      </c>
      <c r="M5260">
        <f>LET(
    seasoning_years,DATEDIF('Loan Tape (S&amp;P)'!K5260,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60">
        <f>IF(AND('Loan Tape (S&amp;P)'!U5260="Yes",
        'Loan Tape (S&amp;P)'!T5260&lt;&gt;"Yes",
        DATEDIF('Loan Tape (S&amp;P)'!K5260, TODAY(), "M")&lt;18),
    1.10,
    1.00)</f>
        <v/>
      </c>
      <c r="O5260">
        <f>IF('Loan Tape (S&amp;P)'!T5260="Yes",
    1.35,
    1.00)</f>
        <v/>
      </c>
      <c r="P5260">
        <f>IF('Loan Tape (S&amp;P)'!S5260="Yes",
    1.15,
    1.00)</f>
        <v/>
      </c>
      <c r="Q5260">
        <f>IF('Loan Tape (S&amp;P)'!V5260="Yes",
    1.20,
    1.00)</f>
        <v/>
      </c>
      <c r="T5260">
        <f>LET(
    payment_method,'Loan Tape (S&amp;P)'!P5260,
    occupancy,'Loan Tape (S&amp;P)'!N5260,
    maturity_date,'Loan Tape (S&amp;P)'!L5260,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61">
      <c r="J5261">
        <f>LET(
    lien,'Loan Tape (S&amp;P)'!Q5261,
    IF(lien="First",1.00,
        IF(lien="Second",1.50,
            1.70)))</f>
        <v/>
      </c>
      <c r="K5261">
        <f>LET(
    purpose,'Loan Tape (S&amp;P)'!R5261,
    IF(purpose="Purchase",1.00,
        IF(purpose="Remortgage",1.00,
            1.20)))</f>
        <v/>
      </c>
      <c r="L5261">
        <f>LET(
    arrears_months,'Loan Tape (S&amp;P)'!AN5261,
    IF(arrears_months=0,1.00,
    IF(arrears_months=1,3.00,
    IF(arrears_months=2,5.00,
    IF(arrears_months=3,8.00,
    IF(arrears_months=4,10.00,
    IF(arrears_months=5,12.00,15.00)))))))</f>
        <v/>
      </c>
      <c r="M5261">
        <f>LET(
    seasoning_years,DATEDIF('Loan Tape (S&amp;P)'!K5261,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61">
        <f>IF(AND('Loan Tape (S&amp;P)'!U5261="Yes",
        'Loan Tape (S&amp;P)'!T5261&lt;&gt;"Yes",
        DATEDIF('Loan Tape (S&amp;P)'!K5261, TODAY(), "M")&lt;18),
    1.10,
    1.00)</f>
        <v/>
      </c>
      <c r="O5261">
        <f>IF('Loan Tape (S&amp;P)'!T5261="Yes",
    1.35,
    1.00)</f>
        <v/>
      </c>
      <c r="P5261">
        <f>IF('Loan Tape (S&amp;P)'!S5261="Yes",
    1.15,
    1.00)</f>
        <v/>
      </c>
      <c r="Q5261">
        <f>IF('Loan Tape (S&amp;P)'!V5261="Yes",
    1.20,
    1.00)</f>
        <v/>
      </c>
      <c r="T5261">
        <f>LET(
    payment_method,'Loan Tape (S&amp;P)'!P5261,
    occupancy,'Loan Tape (S&amp;P)'!N5261,
    maturity_date,'Loan Tape (S&amp;P)'!L5261,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62">
      <c r="J5262">
        <f>LET(
    lien,'Loan Tape (S&amp;P)'!Q5262,
    IF(lien="First",1.00,
        IF(lien="Second",1.50,
            1.70)))</f>
        <v/>
      </c>
      <c r="K5262">
        <f>LET(
    purpose,'Loan Tape (S&amp;P)'!R5262,
    IF(purpose="Purchase",1.00,
        IF(purpose="Remortgage",1.00,
            1.20)))</f>
        <v/>
      </c>
      <c r="L5262">
        <f>LET(
    arrears_months,'Loan Tape (S&amp;P)'!AN5262,
    IF(arrears_months=0,1.00,
    IF(arrears_months=1,3.00,
    IF(arrears_months=2,5.00,
    IF(arrears_months=3,8.00,
    IF(arrears_months=4,10.00,
    IF(arrears_months=5,12.00,15.00)))))))</f>
        <v/>
      </c>
      <c r="M5262">
        <f>LET(
    seasoning_years,DATEDIF('Loan Tape (S&amp;P)'!K5262,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62">
        <f>IF(AND('Loan Tape (S&amp;P)'!U5262="Yes",
        'Loan Tape (S&amp;P)'!T5262&lt;&gt;"Yes",
        DATEDIF('Loan Tape (S&amp;P)'!K5262, TODAY(), "M")&lt;18),
    1.10,
    1.00)</f>
        <v/>
      </c>
      <c r="O5262">
        <f>IF('Loan Tape (S&amp;P)'!T5262="Yes",
    1.35,
    1.00)</f>
        <v/>
      </c>
      <c r="P5262">
        <f>IF('Loan Tape (S&amp;P)'!S5262="Yes",
    1.15,
    1.00)</f>
        <v/>
      </c>
      <c r="Q5262">
        <f>IF('Loan Tape (S&amp;P)'!V5262="Yes",
    1.20,
    1.00)</f>
        <v/>
      </c>
      <c r="T5262">
        <f>LET(
    payment_method,'Loan Tape (S&amp;P)'!P5262,
    occupancy,'Loan Tape (S&amp;P)'!N5262,
    maturity_date,'Loan Tape (S&amp;P)'!L5262,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63">
      <c r="J5263">
        <f>LET(
    lien,'Loan Tape (S&amp;P)'!Q5263,
    IF(lien="First",1.00,
        IF(lien="Second",1.50,
            1.70)))</f>
        <v/>
      </c>
      <c r="K5263">
        <f>LET(
    purpose,'Loan Tape (S&amp;P)'!R5263,
    IF(purpose="Purchase",1.00,
        IF(purpose="Remortgage",1.00,
            1.20)))</f>
        <v/>
      </c>
      <c r="L5263">
        <f>LET(
    arrears_months,'Loan Tape (S&amp;P)'!AN5263,
    IF(arrears_months=0,1.00,
    IF(arrears_months=1,3.00,
    IF(arrears_months=2,5.00,
    IF(arrears_months=3,8.00,
    IF(arrears_months=4,10.00,
    IF(arrears_months=5,12.00,15.00)))))))</f>
        <v/>
      </c>
      <c r="M5263">
        <f>LET(
    seasoning_years,DATEDIF('Loan Tape (S&amp;P)'!K5263,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63">
        <f>IF(AND('Loan Tape (S&amp;P)'!U5263="Yes",
        'Loan Tape (S&amp;P)'!T5263&lt;&gt;"Yes",
        DATEDIF('Loan Tape (S&amp;P)'!K5263, TODAY(), "M")&lt;18),
    1.10,
    1.00)</f>
        <v/>
      </c>
      <c r="O5263">
        <f>IF('Loan Tape (S&amp;P)'!T5263="Yes",
    1.35,
    1.00)</f>
        <v/>
      </c>
      <c r="P5263">
        <f>IF('Loan Tape (S&amp;P)'!S5263="Yes",
    1.15,
    1.00)</f>
        <v/>
      </c>
      <c r="Q5263">
        <f>IF('Loan Tape (S&amp;P)'!V5263="Yes",
    1.20,
    1.00)</f>
        <v/>
      </c>
      <c r="T5263">
        <f>LET(
    payment_method,'Loan Tape (S&amp;P)'!P5263,
    occupancy,'Loan Tape (S&amp;P)'!N5263,
    maturity_date,'Loan Tape (S&amp;P)'!L5263,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64">
      <c r="J5264">
        <f>LET(
    lien,'Loan Tape (S&amp;P)'!Q5264,
    IF(lien="First",1.00,
        IF(lien="Second",1.50,
            1.70)))</f>
        <v/>
      </c>
      <c r="K5264">
        <f>LET(
    purpose,'Loan Tape (S&amp;P)'!R5264,
    IF(purpose="Purchase",1.00,
        IF(purpose="Remortgage",1.00,
            1.20)))</f>
        <v/>
      </c>
      <c r="L5264">
        <f>LET(
    arrears_months,'Loan Tape (S&amp;P)'!AN5264,
    IF(arrears_months=0,1.00,
    IF(arrears_months=1,3.00,
    IF(arrears_months=2,5.00,
    IF(arrears_months=3,8.00,
    IF(arrears_months=4,10.00,
    IF(arrears_months=5,12.00,15.00)))))))</f>
        <v/>
      </c>
      <c r="M5264">
        <f>LET(
    seasoning_years,DATEDIF('Loan Tape (S&amp;P)'!K5264,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64">
        <f>IF(AND('Loan Tape (S&amp;P)'!U5264="Yes",
        'Loan Tape (S&amp;P)'!T5264&lt;&gt;"Yes",
        DATEDIF('Loan Tape (S&amp;P)'!K5264, TODAY(), "M")&lt;18),
    1.10,
    1.00)</f>
        <v/>
      </c>
      <c r="O5264">
        <f>IF('Loan Tape (S&amp;P)'!T5264="Yes",
    1.35,
    1.00)</f>
        <v/>
      </c>
      <c r="P5264">
        <f>IF('Loan Tape (S&amp;P)'!S5264="Yes",
    1.15,
    1.00)</f>
        <v/>
      </c>
      <c r="Q5264">
        <f>IF('Loan Tape (S&amp;P)'!V5264="Yes",
    1.20,
    1.00)</f>
        <v/>
      </c>
      <c r="T5264">
        <f>LET(
    payment_method,'Loan Tape (S&amp;P)'!P5264,
    occupancy,'Loan Tape (S&amp;P)'!N5264,
    maturity_date,'Loan Tape (S&amp;P)'!L5264,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65">
      <c r="J5265">
        <f>LET(
    lien,'Loan Tape (S&amp;P)'!Q5265,
    IF(lien="First",1.00,
        IF(lien="Second",1.50,
            1.70)))</f>
        <v/>
      </c>
      <c r="K5265">
        <f>LET(
    purpose,'Loan Tape (S&amp;P)'!R5265,
    IF(purpose="Purchase",1.00,
        IF(purpose="Remortgage",1.00,
            1.20)))</f>
        <v/>
      </c>
      <c r="L5265">
        <f>LET(
    arrears_months,'Loan Tape (S&amp;P)'!AN5265,
    IF(arrears_months=0,1.00,
    IF(arrears_months=1,3.00,
    IF(arrears_months=2,5.00,
    IF(arrears_months=3,8.00,
    IF(arrears_months=4,10.00,
    IF(arrears_months=5,12.00,15.00)))))))</f>
        <v/>
      </c>
      <c r="M5265">
        <f>LET(
    seasoning_years,DATEDIF('Loan Tape (S&amp;P)'!K5265,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65">
        <f>IF(AND('Loan Tape (S&amp;P)'!U5265="Yes",
        'Loan Tape (S&amp;P)'!T5265&lt;&gt;"Yes",
        DATEDIF('Loan Tape (S&amp;P)'!K5265, TODAY(), "M")&lt;18),
    1.10,
    1.00)</f>
        <v/>
      </c>
      <c r="O5265">
        <f>IF('Loan Tape (S&amp;P)'!T5265="Yes",
    1.35,
    1.00)</f>
        <v/>
      </c>
      <c r="P5265">
        <f>IF('Loan Tape (S&amp;P)'!S5265="Yes",
    1.15,
    1.00)</f>
        <v/>
      </c>
      <c r="Q5265">
        <f>IF('Loan Tape (S&amp;P)'!V5265="Yes",
    1.20,
    1.00)</f>
        <v/>
      </c>
      <c r="T5265">
        <f>LET(
    payment_method,'Loan Tape (S&amp;P)'!P5265,
    occupancy,'Loan Tape (S&amp;P)'!N5265,
    maturity_date,'Loan Tape (S&amp;P)'!L5265,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66">
      <c r="J5266">
        <f>LET(
    lien,'Loan Tape (S&amp;P)'!Q5266,
    IF(lien="First",1.00,
        IF(lien="Second",1.50,
            1.70)))</f>
        <v/>
      </c>
      <c r="K5266">
        <f>LET(
    purpose,'Loan Tape (S&amp;P)'!R5266,
    IF(purpose="Purchase",1.00,
        IF(purpose="Remortgage",1.00,
            1.20)))</f>
        <v/>
      </c>
      <c r="L5266">
        <f>LET(
    arrears_months,'Loan Tape (S&amp;P)'!AN5266,
    IF(arrears_months=0,1.00,
    IF(arrears_months=1,3.00,
    IF(arrears_months=2,5.00,
    IF(arrears_months=3,8.00,
    IF(arrears_months=4,10.00,
    IF(arrears_months=5,12.00,15.00)))))))</f>
        <v/>
      </c>
      <c r="M5266">
        <f>LET(
    seasoning_years,DATEDIF('Loan Tape (S&amp;P)'!K5266,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66">
        <f>IF(AND('Loan Tape (S&amp;P)'!U5266="Yes",
        'Loan Tape (S&amp;P)'!T5266&lt;&gt;"Yes",
        DATEDIF('Loan Tape (S&amp;P)'!K5266, TODAY(), "M")&lt;18),
    1.10,
    1.00)</f>
        <v/>
      </c>
      <c r="O5266">
        <f>IF('Loan Tape (S&amp;P)'!T5266="Yes",
    1.35,
    1.00)</f>
        <v/>
      </c>
      <c r="P5266">
        <f>IF('Loan Tape (S&amp;P)'!S5266="Yes",
    1.15,
    1.00)</f>
        <v/>
      </c>
      <c r="Q5266">
        <f>IF('Loan Tape (S&amp;P)'!V5266="Yes",
    1.20,
    1.00)</f>
        <v/>
      </c>
      <c r="T5266">
        <f>LET(
    payment_method,'Loan Tape (S&amp;P)'!P5266,
    occupancy,'Loan Tape (S&amp;P)'!N5266,
    maturity_date,'Loan Tape (S&amp;P)'!L5266,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67">
      <c r="J5267">
        <f>LET(
    lien,'Loan Tape (S&amp;P)'!Q5267,
    IF(lien="First",1.00,
        IF(lien="Second",1.50,
            1.70)))</f>
        <v/>
      </c>
      <c r="K5267">
        <f>LET(
    purpose,'Loan Tape (S&amp;P)'!R5267,
    IF(purpose="Purchase",1.00,
        IF(purpose="Remortgage",1.00,
            1.20)))</f>
        <v/>
      </c>
      <c r="L5267">
        <f>LET(
    arrears_months,'Loan Tape (S&amp;P)'!AN5267,
    IF(arrears_months=0,1.00,
    IF(arrears_months=1,3.00,
    IF(arrears_months=2,5.00,
    IF(arrears_months=3,8.00,
    IF(arrears_months=4,10.00,
    IF(arrears_months=5,12.00,15.00)))))))</f>
        <v/>
      </c>
      <c r="M5267">
        <f>LET(
    seasoning_years,DATEDIF('Loan Tape (S&amp;P)'!K5267,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67">
        <f>IF(AND('Loan Tape (S&amp;P)'!U5267="Yes",
        'Loan Tape (S&amp;P)'!T5267&lt;&gt;"Yes",
        DATEDIF('Loan Tape (S&amp;P)'!K5267, TODAY(), "M")&lt;18),
    1.10,
    1.00)</f>
        <v/>
      </c>
      <c r="O5267">
        <f>IF('Loan Tape (S&amp;P)'!T5267="Yes",
    1.35,
    1.00)</f>
        <v/>
      </c>
      <c r="P5267">
        <f>IF('Loan Tape (S&amp;P)'!S5267="Yes",
    1.15,
    1.00)</f>
        <v/>
      </c>
      <c r="Q5267">
        <f>IF('Loan Tape (S&amp;P)'!V5267="Yes",
    1.20,
    1.00)</f>
        <v/>
      </c>
      <c r="T5267">
        <f>LET(
    payment_method,'Loan Tape (S&amp;P)'!P5267,
    occupancy,'Loan Tape (S&amp;P)'!N5267,
    maturity_date,'Loan Tape (S&amp;P)'!L5267,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68">
      <c r="J5268">
        <f>LET(
    lien,'Loan Tape (S&amp;P)'!Q5268,
    IF(lien="First",1.00,
        IF(lien="Second",1.50,
            1.70)))</f>
        <v/>
      </c>
      <c r="K5268">
        <f>LET(
    purpose,'Loan Tape (S&amp;P)'!R5268,
    IF(purpose="Purchase",1.00,
        IF(purpose="Remortgage",1.00,
            1.20)))</f>
        <v/>
      </c>
      <c r="L5268">
        <f>LET(
    arrears_months,'Loan Tape (S&amp;P)'!AN5268,
    IF(arrears_months=0,1.00,
    IF(arrears_months=1,3.00,
    IF(arrears_months=2,5.00,
    IF(arrears_months=3,8.00,
    IF(arrears_months=4,10.00,
    IF(arrears_months=5,12.00,15.00)))))))</f>
        <v/>
      </c>
      <c r="M5268">
        <f>LET(
    seasoning_years,DATEDIF('Loan Tape (S&amp;P)'!K5268,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68">
        <f>IF(AND('Loan Tape (S&amp;P)'!U5268="Yes",
        'Loan Tape (S&amp;P)'!T5268&lt;&gt;"Yes",
        DATEDIF('Loan Tape (S&amp;P)'!K5268, TODAY(), "M")&lt;18),
    1.10,
    1.00)</f>
        <v/>
      </c>
      <c r="O5268">
        <f>IF('Loan Tape (S&amp;P)'!T5268="Yes",
    1.35,
    1.00)</f>
        <v/>
      </c>
      <c r="P5268">
        <f>IF('Loan Tape (S&amp;P)'!S5268="Yes",
    1.15,
    1.00)</f>
        <v/>
      </c>
      <c r="Q5268">
        <f>IF('Loan Tape (S&amp;P)'!V5268="Yes",
    1.20,
    1.00)</f>
        <v/>
      </c>
      <c r="T5268">
        <f>LET(
    payment_method,'Loan Tape (S&amp;P)'!P5268,
    occupancy,'Loan Tape (S&amp;P)'!N5268,
    maturity_date,'Loan Tape (S&amp;P)'!L5268,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69">
      <c r="J5269">
        <f>LET(
    lien,'Loan Tape (S&amp;P)'!Q5269,
    IF(lien="First",1.00,
        IF(lien="Second",1.50,
            1.70)))</f>
        <v/>
      </c>
      <c r="K5269">
        <f>LET(
    purpose,'Loan Tape (S&amp;P)'!R5269,
    IF(purpose="Purchase",1.00,
        IF(purpose="Remortgage",1.00,
            1.20)))</f>
        <v/>
      </c>
      <c r="L5269">
        <f>LET(
    arrears_months,'Loan Tape (S&amp;P)'!AN5269,
    IF(arrears_months=0,1.00,
    IF(arrears_months=1,3.00,
    IF(arrears_months=2,5.00,
    IF(arrears_months=3,8.00,
    IF(arrears_months=4,10.00,
    IF(arrears_months=5,12.00,15.00)))))))</f>
        <v/>
      </c>
      <c r="M5269">
        <f>LET(
    seasoning_years,DATEDIF('Loan Tape (S&amp;P)'!K5269,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69">
        <f>IF(AND('Loan Tape (S&amp;P)'!U5269="Yes",
        'Loan Tape (S&amp;P)'!T5269&lt;&gt;"Yes",
        DATEDIF('Loan Tape (S&amp;P)'!K5269, TODAY(), "M")&lt;18),
    1.10,
    1.00)</f>
        <v/>
      </c>
      <c r="O5269">
        <f>IF('Loan Tape (S&amp;P)'!T5269="Yes",
    1.35,
    1.00)</f>
        <v/>
      </c>
      <c r="P5269">
        <f>IF('Loan Tape (S&amp;P)'!S5269="Yes",
    1.15,
    1.00)</f>
        <v/>
      </c>
      <c r="Q5269">
        <f>IF('Loan Tape (S&amp;P)'!V5269="Yes",
    1.20,
    1.00)</f>
        <v/>
      </c>
      <c r="T5269">
        <f>LET(
    payment_method,'Loan Tape (S&amp;P)'!P5269,
    occupancy,'Loan Tape (S&amp;P)'!N5269,
    maturity_date,'Loan Tape (S&amp;P)'!L5269,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70">
      <c r="J5270">
        <f>LET(
    lien,'Loan Tape (S&amp;P)'!Q5270,
    IF(lien="First",1.00,
        IF(lien="Second",1.50,
            1.70)))</f>
        <v/>
      </c>
      <c r="K5270">
        <f>LET(
    purpose,'Loan Tape (S&amp;P)'!R5270,
    IF(purpose="Purchase",1.00,
        IF(purpose="Remortgage",1.00,
            1.20)))</f>
        <v/>
      </c>
      <c r="L5270">
        <f>LET(
    arrears_months,'Loan Tape (S&amp;P)'!AN5270,
    IF(arrears_months=0,1.00,
    IF(arrears_months=1,3.00,
    IF(arrears_months=2,5.00,
    IF(arrears_months=3,8.00,
    IF(arrears_months=4,10.00,
    IF(arrears_months=5,12.00,15.00)))))))</f>
        <v/>
      </c>
      <c r="M5270">
        <f>LET(
    seasoning_years,DATEDIF('Loan Tape (S&amp;P)'!K5270,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70">
        <f>IF(AND('Loan Tape (S&amp;P)'!U5270="Yes",
        'Loan Tape (S&amp;P)'!T5270&lt;&gt;"Yes",
        DATEDIF('Loan Tape (S&amp;P)'!K5270, TODAY(), "M")&lt;18),
    1.10,
    1.00)</f>
        <v/>
      </c>
      <c r="O5270">
        <f>IF('Loan Tape (S&amp;P)'!T5270="Yes",
    1.35,
    1.00)</f>
        <v/>
      </c>
      <c r="P5270">
        <f>IF('Loan Tape (S&amp;P)'!S5270="Yes",
    1.15,
    1.00)</f>
        <v/>
      </c>
      <c r="Q5270">
        <f>IF('Loan Tape (S&amp;P)'!V5270="Yes",
    1.20,
    1.00)</f>
        <v/>
      </c>
      <c r="T5270">
        <f>LET(
    payment_method,'Loan Tape (S&amp;P)'!P5270,
    occupancy,'Loan Tape (S&amp;P)'!N5270,
    maturity_date,'Loan Tape (S&amp;P)'!L5270,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71">
      <c r="J5271">
        <f>LET(
    lien,'Loan Tape (S&amp;P)'!Q5271,
    IF(lien="First",1.00,
        IF(lien="Second",1.50,
            1.70)))</f>
        <v/>
      </c>
      <c r="K5271">
        <f>LET(
    purpose,'Loan Tape (S&amp;P)'!R5271,
    IF(purpose="Purchase",1.00,
        IF(purpose="Remortgage",1.00,
            1.20)))</f>
        <v/>
      </c>
      <c r="L5271">
        <f>LET(
    arrears_months,'Loan Tape (S&amp;P)'!AN5271,
    IF(arrears_months=0,1.00,
    IF(arrears_months=1,3.00,
    IF(arrears_months=2,5.00,
    IF(arrears_months=3,8.00,
    IF(arrears_months=4,10.00,
    IF(arrears_months=5,12.00,15.00)))))))</f>
        <v/>
      </c>
      <c r="M5271">
        <f>LET(
    seasoning_years,DATEDIF('Loan Tape (S&amp;P)'!K5271,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71">
        <f>IF(AND('Loan Tape (S&amp;P)'!U5271="Yes",
        'Loan Tape (S&amp;P)'!T5271&lt;&gt;"Yes",
        DATEDIF('Loan Tape (S&amp;P)'!K5271, TODAY(), "M")&lt;18),
    1.10,
    1.00)</f>
        <v/>
      </c>
      <c r="O5271">
        <f>IF('Loan Tape (S&amp;P)'!T5271="Yes",
    1.35,
    1.00)</f>
        <v/>
      </c>
      <c r="P5271">
        <f>IF('Loan Tape (S&amp;P)'!S5271="Yes",
    1.15,
    1.00)</f>
        <v/>
      </c>
      <c r="Q5271">
        <f>IF('Loan Tape (S&amp;P)'!V5271="Yes",
    1.20,
    1.00)</f>
        <v/>
      </c>
      <c r="T5271">
        <f>LET(
    payment_method,'Loan Tape (S&amp;P)'!P5271,
    occupancy,'Loan Tape (S&amp;P)'!N5271,
    maturity_date,'Loan Tape (S&amp;P)'!L5271,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72">
      <c r="J5272">
        <f>LET(
    lien,'Loan Tape (S&amp;P)'!Q5272,
    IF(lien="First",1.00,
        IF(lien="Second",1.50,
            1.70)))</f>
        <v/>
      </c>
      <c r="K5272">
        <f>LET(
    purpose,'Loan Tape (S&amp;P)'!R5272,
    IF(purpose="Purchase",1.00,
        IF(purpose="Remortgage",1.00,
            1.20)))</f>
        <v/>
      </c>
      <c r="L5272">
        <f>LET(
    arrears_months,'Loan Tape (S&amp;P)'!AN5272,
    IF(arrears_months=0,1.00,
    IF(arrears_months=1,3.00,
    IF(arrears_months=2,5.00,
    IF(arrears_months=3,8.00,
    IF(arrears_months=4,10.00,
    IF(arrears_months=5,12.00,15.00)))))))</f>
        <v/>
      </c>
      <c r="M5272">
        <f>LET(
    seasoning_years,DATEDIF('Loan Tape (S&amp;P)'!K5272,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72">
        <f>IF(AND('Loan Tape (S&amp;P)'!U5272="Yes",
        'Loan Tape (S&amp;P)'!T5272&lt;&gt;"Yes",
        DATEDIF('Loan Tape (S&amp;P)'!K5272, TODAY(), "M")&lt;18),
    1.10,
    1.00)</f>
        <v/>
      </c>
      <c r="O5272">
        <f>IF('Loan Tape (S&amp;P)'!T5272="Yes",
    1.35,
    1.00)</f>
        <v/>
      </c>
      <c r="P5272">
        <f>IF('Loan Tape (S&amp;P)'!S5272="Yes",
    1.15,
    1.00)</f>
        <v/>
      </c>
      <c r="Q5272">
        <f>IF('Loan Tape (S&amp;P)'!V5272="Yes",
    1.20,
    1.00)</f>
        <v/>
      </c>
      <c r="T5272">
        <f>LET(
    payment_method,'Loan Tape (S&amp;P)'!P5272,
    occupancy,'Loan Tape (S&amp;P)'!N5272,
    maturity_date,'Loan Tape (S&amp;P)'!L5272,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73">
      <c r="J5273">
        <f>LET(
    lien,'Loan Tape (S&amp;P)'!Q5273,
    IF(lien="First",1.00,
        IF(lien="Second",1.50,
            1.70)))</f>
        <v/>
      </c>
      <c r="K5273">
        <f>LET(
    purpose,'Loan Tape (S&amp;P)'!R5273,
    IF(purpose="Purchase",1.00,
        IF(purpose="Remortgage",1.00,
            1.20)))</f>
        <v/>
      </c>
      <c r="L5273">
        <f>LET(
    arrears_months,'Loan Tape (S&amp;P)'!AN5273,
    IF(arrears_months=0,1.00,
    IF(arrears_months=1,3.00,
    IF(arrears_months=2,5.00,
    IF(arrears_months=3,8.00,
    IF(arrears_months=4,10.00,
    IF(arrears_months=5,12.00,15.00)))))))</f>
        <v/>
      </c>
      <c r="M5273">
        <f>LET(
    seasoning_years,DATEDIF('Loan Tape (S&amp;P)'!K5273,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73">
        <f>IF(AND('Loan Tape (S&amp;P)'!U5273="Yes",
        'Loan Tape (S&amp;P)'!T5273&lt;&gt;"Yes",
        DATEDIF('Loan Tape (S&amp;P)'!K5273, TODAY(), "M")&lt;18),
    1.10,
    1.00)</f>
        <v/>
      </c>
      <c r="O5273">
        <f>IF('Loan Tape (S&amp;P)'!T5273="Yes",
    1.35,
    1.00)</f>
        <v/>
      </c>
      <c r="P5273">
        <f>IF('Loan Tape (S&amp;P)'!S5273="Yes",
    1.15,
    1.00)</f>
        <v/>
      </c>
      <c r="Q5273">
        <f>IF('Loan Tape (S&amp;P)'!V5273="Yes",
    1.20,
    1.00)</f>
        <v/>
      </c>
      <c r="T5273">
        <f>LET(
    payment_method,'Loan Tape (S&amp;P)'!P5273,
    occupancy,'Loan Tape (S&amp;P)'!N5273,
    maturity_date,'Loan Tape (S&amp;P)'!L5273,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74">
      <c r="J5274">
        <f>LET(
    lien,'Loan Tape (S&amp;P)'!Q5274,
    IF(lien="First",1.00,
        IF(lien="Second",1.50,
            1.70)))</f>
        <v/>
      </c>
      <c r="K5274">
        <f>LET(
    purpose,'Loan Tape (S&amp;P)'!R5274,
    IF(purpose="Purchase",1.00,
        IF(purpose="Remortgage",1.00,
            1.20)))</f>
        <v/>
      </c>
      <c r="L5274">
        <f>LET(
    arrears_months,'Loan Tape (S&amp;P)'!AN5274,
    IF(arrears_months=0,1.00,
    IF(arrears_months=1,3.00,
    IF(arrears_months=2,5.00,
    IF(arrears_months=3,8.00,
    IF(arrears_months=4,10.00,
    IF(arrears_months=5,12.00,15.00)))))))</f>
        <v/>
      </c>
      <c r="M5274">
        <f>LET(
    seasoning_years,DATEDIF('Loan Tape (S&amp;P)'!K5274,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74">
        <f>IF(AND('Loan Tape (S&amp;P)'!U5274="Yes",
        'Loan Tape (S&amp;P)'!T5274&lt;&gt;"Yes",
        DATEDIF('Loan Tape (S&amp;P)'!K5274, TODAY(), "M")&lt;18),
    1.10,
    1.00)</f>
        <v/>
      </c>
      <c r="O5274">
        <f>IF('Loan Tape (S&amp;P)'!T5274="Yes",
    1.35,
    1.00)</f>
        <v/>
      </c>
      <c r="P5274">
        <f>IF('Loan Tape (S&amp;P)'!S5274="Yes",
    1.15,
    1.00)</f>
        <v/>
      </c>
      <c r="Q5274">
        <f>IF('Loan Tape (S&amp;P)'!V5274="Yes",
    1.20,
    1.00)</f>
        <v/>
      </c>
      <c r="T5274">
        <f>LET(
    payment_method,'Loan Tape (S&amp;P)'!P5274,
    occupancy,'Loan Tape (S&amp;P)'!N5274,
    maturity_date,'Loan Tape (S&amp;P)'!L5274,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75">
      <c r="J5275">
        <f>LET(
    lien,'Loan Tape (S&amp;P)'!Q5275,
    IF(lien="First",1.00,
        IF(lien="Second",1.50,
            1.70)))</f>
        <v/>
      </c>
      <c r="K5275">
        <f>LET(
    purpose,'Loan Tape (S&amp;P)'!R5275,
    IF(purpose="Purchase",1.00,
        IF(purpose="Remortgage",1.00,
            1.20)))</f>
        <v/>
      </c>
      <c r="L5275">
        <f>LET(
    arrears_months,'Loan Tape (S&amp;P)'!AN5275,
    IF(arrears_months=0,1.00,
    IF(arrears_months=1,3.00,
    IF(arrears_months=2,5.00,
    IF(arrears_months=3,8.00,
    IF(arrears_months=4,10.00,
    IF(arrears_months=5,12.00,15.00)))))))</f>
        <v/>
      </c>
      <c r="M5275">
        <f>LET(
    seasoning_years,DATEDIF('Loan Tape (S&amp;P)'!K5275,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75">
        <f>IF(AND('Loan Tape (S&amp;P)'!U5275="Yes",
        'Loan Tape (S&amp;P)'!T5275&lt;&gt;"Yes",
        DATEDIF('Loan Tape (S&amp;P)'!K5275, TODAY(), "M")&lt;18),
    1.10,
    1.00)</f>
        <v/>
      </c>
      <c r="O5275">
        <f>IF('Loan Tape (S&amp;P)'!T5275="Yes",
    1.35,
    1.00)</f>
        <v/>
      </c>
      <c r="P5275">
        <f>IF('Loan Tape (S&amp;P)'!S5275="Yes",
    1.15,
    1.00)</f>
        <v/>
      </c>
      <c r="Q5275">
        <f>IF('Loan Tape (S&amp;P)'!V5275="Yes",
    1.20,
    1.00)</f>
        <v/>
      </c>
      <c r="T5275">
        <f>LET(
    payment_method,'Loan Tape (S&amp;P)'!P5275,
    occupancy,'Loan Tape (S&amp;P)'!N5275,
    maturity_date,'Loan Tape (S&amp;P)'!L5275,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76">
      <c r="J5276">
        <f>LET(
    lien,'Loan Tape (S&amp;P)'!Q5276,
    IF(lien="First",1.00,
        IF(lien="Second",1.50,
            1.70)))</f>
        <v/>
      </c>
      <c r="K5276">
        <f>LET(
    purpose,'Loan Tape (S&amp;P)'!R5276,
    IF(purpose="Purchase",1.00,
        IF(purpose="Remortgage",1.00,
            1.20)))</f>
        <v/>
      </c>
      <c r="L5276">
        <f>LET(
    arrears_months,'Loan Tape (S&amp;P)'!AN5276,
    IF(arrears_months=0,1.00,
    IF(arrears_months=1,3.00,
    IF(arrears_months=2,5.00,
    IF(arrears_months=3,8.00,
    IF(arrears_months=4,10.00,
    IF(arrears_months=5,12.00,15.00)))))))</f>
        <v/>
      </c>
      <c r="M5276">
        <f>LET(
    seasoning_years,DATEDIF('Loan Tape (S&amp;P)'!K5276,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76">
        <f>IF(AND('Loan Tape (S&amp;P)'!U5276="Yes",
        'Loan Tape (S&amp;P)'!T5276&lt;&gt;"Yes",
        DATEDIF('Loan Tape (S&amp;P)'!K5276, TODAY(), "M")&lt;18),
    1.10,
    1.00)</f>
        <v/>
      </c>
      <c r="O5276">
        <f>IF('Loan Tape (S&amp;P)'!T5276="Yes",
    1.35,
    1.00)</f>
        <v/>
      </c>
      <c r="P5276">
        <f>IF('Loan Tape (S&amp;P)'!S5276="Yes",
    1.15,
    1.00)</f>
        <v/>
      </c>
      <c r="Q5276">
        <f>IF('Loan Tape (S&amp;P)'!V5276="Yes",
    1.20,
    1.00)</f>
        <v/>
      </c>
      <c r="T5276">
        <f>LET(
    payment_method,'Loan Tape (S&amp;P)'!P5276,
    occupancy,'Loan Tape (S&amp;P)'!N5276,
    maturity_date,'Loan Tape (S&amp;P)'!L5276,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77">
      <c r="J5277">
        <f>LET(
    lien,'Loan Tape (S&amp;P)'!Q5277,
    IF(lien="First",1.00,
        IF(lien="Second",1.50,
            1.70)))</f>
        <v/>
      </c>
      <c r="K5277">
        <f>LET(
    purpose,'Loan Tape (S&amp;P)'!R5277,
    IF(purpose="Purchase",1.00,
        IF(purpose="Remortgage",1.00,
            1.20)))</f>
        <v/>
      </c>
      <c r="L5277">
        <f>LET(
    arrears_months,'Loan Tape (S&amp;P)'!AN5277,
    IF(arrears_months=0,1.00,
    IF(arrears_months=1,3.00,
    IF(arrears_months=2,5.00,
    IF(arrears_months=3,8.00,
    IF(arrears_months=4,10.00,
    IF(arrears_months=5,12.00,15.00)))))))</f>
        <v/>
      </c>
      <c r="M5277">
        <f>LET(
    seasoning_years,DATEDIF('Loan Tape (S&amp;P)'!K5277,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77">
        <f>IF(AND('Loan Tape (S&amp;P)'!U5277="Yes",
        'Loan Tape (S&amp;P)'!T5277&lt;&gt;"Yes",
        DATEDIF('Loan Tape (S&amp;P)'!K5277, TODAY(), "M")&lt;18),
    1.10,
    1.00)</f>
        <v/>
      </c>
      <c r="O5277">
        <f>IF('Loan Tape (S&amp;P)'!T5277="Yes",
    1.35,
    1.00)</f>
        <v/>
      </c>
      <c r="P5277">
        <f>IF('Loan Tape (S&amp;P)'!S5277="Yes",
    1.15,
    1.00)</f>
        <v/>
      </c>
      <c r="Q5277">
        <f>IF('Loan Tape (S&amp;P)'!V5277="Yes",
    1.20,
    1.00)</f>
        <v/>
      </c>
      <c r="T5277">
        <f>LET(
    payment_method,'Loan Tape (S&amp;P)'!P5277,
    occupancy,'Loan Tape (S&amp;P)'!N5277,
    maturity_date,'Loan Tape (S&amp;P)'!L5277,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78">
      <c r="J5278">
        <f>LET(
    lien,'Loan Tape (S&amp;P)'!Q5278,
    IF(lien="First",1.00,
        IF(lien="Second",1.50,
            1.70)))</f>
        <v/>
      </c>
      <c r="K5278">
        <f>LET(
    purpose,'Loan Tape (S&amp;P)'!R5278,
    IF(purpose="Purchase",1.00,
        IF(purpose="Remortgage",1.00,
            1.20)))</f>
        <v/>
      </c>
      <c r="L5278">
        <f>LET(
    arrears_months,'Loan Tape (S&amp;P)'!AN5278,
    IF(arrears_months=0,1.00,
    IF(arrears_months=1,3.00,
    IF(arrears_months=2,5.00,
    IF(arrears_months=3,8.00,
    IF(arrears_months=4,10.00,
    IF(arrears_months=5,12.00,15.00)))))))</f>
        <v/>
      </c>
      <c r="M5278">
        <f>LET(
    seasoning_years,DATEDIF('Loan Tape (S&amp;P)'!K5278,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78">
        <f>IF(AND('Loan Tape (S&amp;P)'!U5278="Yes",
        'Loan Tape (S&amp;P)'!T5278&lt;&gt;"Yes",
        DATEDIF('Loan Tape (S&amp;P)'!K5278, TODAY(), "M")&lt;18),
    1.10,
    1.00)</f>
        <v/>
      </c>
      <c r="O5278">
        <f>IF('Loan Tape (S&amp;P)'!T5278="Yes",
    1.35,
    1.00)</f>
        <v/>
      </c>
      <c r="P5278">
        <f>IF('Loan Tape (S&amp;P)'!S5278="Yes",
    1.15,
    1.00)</f>
        <v/>
      </c>
      <c r="Q5278">
        <f>IF('Loan Tape (S&amp;P)'!V5278="Yes",
    1.20,
    1.00)</f>
        <v/>
      </c>
      <c r="T5278">
        <f>LET(
    payment_method,'Loan Tape (S&amp;P)'!P5278,
    occupancy,'Loan Tape (S&amp;P)'!N5278,
    maturity_date,'Loan Tape (S&amp;P)'!L5278,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79">
      <c r="J5279">
        <f>LET(
    lien,'Loan Tape (S&amp;P)'!Q5279,
    IF(lien="First",1.00,
        IF(lien="Second",1.50,
            1.70)))</f>
        <v/>
      </c>
      <c r="K5279">
        <f>LET(
    purpose,'Loan Tape (S&amp;P)'!R5279,
    IF(purpose="Purchase",1.00,
        IF(purpose="Remortgage",1.00,
            1.20)))</f>
        <v/>
      </c>
      <c r="L5279">
        <f>LET(
    arrears_months,'Loan Tape (S&amp;P)'!AN5279,
    IF(arrears_months=0,1.00,
    IF(arrears_months=1,3.00,
    IF(arrears_months=2,5.00,
    IF(arrears_months=3,8.00,
    IF(arrears_months=4,10.00,
    IF(arrears_months=5,12.00,15.00)))))))</f>
        <v/>
      </c>
      <c r="M5279">
        <f>LET(
    seasoning_years,DATEDIF('Loan Tape (S&amp;P)'!K5279,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79">
        <f>IF(AND('Loan Tape (S&amp;P)'!U5279="Yes",
        'Loan Tape (S&amp;P)'!T5279&lt;&gt;"Yes",
        DATEDIF('Loan Tape (S&amp;P)'!K5279, TODAY(), "M")&lt;18),
    1.10,
    1.00)</f>
        <v/>
      </c>
      <c r="O5279">
        <f>IF('Loan Tape (S&amp;P)'!T5279="Yes",
    1.35,
    1.00)</f>
        <v/>
      </c>
      <c r="P5279">
        <f>IF('Loan Tape (S&amp;P)'!S5279="Yes",
    1.15,
    1.00)</f>
        <v/>
      </c>
      <c r="Q5279">
        <f>IF('Loan Tape (S&amp;P)'!V5279="Yes",
    1.20,
    1.00)</f>
        <v/>
      </c>
      <c r="T5279">
        <f>LET(
    payment_method,'Loan Tape (S&amp;P)'!P5279,
    occupancy,'Loan Tape (S&amp;P)'!N5279,
    maturity_date,'Loan Tape (S&amp;P)'!L5279,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80">
      <c r="J5280">
        <f>LET(
    lien,'Loan Tape (S&amp;P)'!Q5280,
    IF(lien="First",1.00,
        IF(lien="Second",1.50,
            1.70)))</f>
        <v/>
      </c>
      <c r="K5280">
        <f>LET(
    purpose,'Loan Tape (S&amp;P)'!R5280,
    IF(purpose="Purchase",1.00,
        IF(purpose="Remortgage",1.00,
            1.20)))</f>
        <v/>
      </c>
      <c r="L5280">
        <f>LET(
    arrears_months,'Loan Tape (S&amp;P)'!AN5280,
    IF(arrears_months=0,1.00,
    IF(arrears_months=1,3.00,
    IF(arrears_months=2,5.00,
    IF(arrears_months=3,8.00,
    IF(arrears_months=4,10.00,
    IF(arrears_months=5,12.00,15.00)))))))</f>
        <v/>
      </c>
      <c r="M5280">
        <f>LET(
    seasoning_years,DATEDIF('Loan Tape (S&amp;P)'!K5280,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80">
        <f>IF(AND('Loan Tape (S&amp;P)'!U5280="Yes",
        'Loan Tape (S&amp;P)'!T5280&lt;&gt;"Yes",
        DATEDIF('Loan Tape (S&amp;P)'!K5280, TODAY(), "M")&lt;18),
    1.10,
    1.00)</f>
        <v/>
      </c>
      <c r="O5280">
        <f>IF('Loan Tape (S&amp;P)'!T5280="Yes",
    1.35,
    1.00)</f>
        <v/>
      </c>
      <c r="P5280">
        <f>IF('Loan Tape (S&amp;P)'!S5280="Yes",
    1.15,
    1.00)</f>
        <v/>
      </c>
      <c r="Q5280">
        <f>IF('Loan Tape (S&amp;P)'!V5280="Yes",
    1.20,
    1.00)</f>
        <v/>
      </c>
      <c r="T5280">
        <f>LET(
    payment_method,'Loan Tape (S&amp;P)'!P5280,
    occupancy,'Loan Tape (S&amp;P)'!N5280,
    maturity_date,'Loan Tape (S&amp;P)'!L5280,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81">
      <c r="J5281">
        <f>LET(
    lien,'Loan Tape (S&amp;P)'!Q5281,
    IF(lien="First",1.00,
        IF(lien="Second",1.50,
            1.70)))</f>
        <v/>
      </c>
      <c r="K5281">
        <f>LET(
    purpose,'Loan Tape (S&amp;P)'!R5281,
    IF(purpose="Purchase",1.00,
        IF(purpose="Remortgage",1.00,
            1.20)))</f>
        <v/>
      </c>
      <c r="L5281">
        <f>LET(
    arrears_months,'Loan Tape (S&amp;P)'!AN5281,
    IF(arrears_months=0,1.00,
    IF(arrears_months=1,3.00,
    IF(arrears_months=2,5.00,
    IF(arrears_months=3,8.00,
    IF(arrears_months=4,10.00,
    IF(arrears_months=5,12.00,15.00)))))))</f>
        <v/>
      </c>
      <c r="M5281">
        <f>LET(
    seasoning_years,DATEDIF('Loan Tape (S&amp;P)'!K5281,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81">
        <f>IF(AND('Loan Tape (S&amp;P)'!U5281="Yes",
        'Loan Tape (S&amp;P)'!T5281&lt;&gt;"Yes",
        DATEDIF('Loan Tape (S&amp;P)'!K5281, TODAY(), "M")&lt;18),
    1.10,
    1.00)</f>
        <v/>
      </c>
      <c r="O5281">
        <f>IF('Loan Tape (S&amp;P)'!T5281="Yes",
    1.35,
    1.00)</f>
        <v/>
      </c>
      <c r="P5281">
        <f>IF('Loan Tape (S&amp;P)'!S5281="Yes",
    1.15,
    1.00)</f>
        <v/>
      </c>
      <c r="Q5281">
        <f>IF('Loan Tape (S&amp;P)'!V5281="Yes",
    1.20,
    1.00)</f>
        <v/>
      </c>
      <c r="T5281">
        <f>LET(
    payment_method,'Loan Tape (S&amp;P)'!P5281,
    occupancy,'Loan Tape (S&amp;P)'!N5281,
    maturity_date,'Loan Tape (S&amp;P)'!L5281,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82">
      <c r="J5282">
        <f>LET(
    lien,'Loan Tape (S&amp;P)'!Q5282,
    IF(lien="First",1.00,
        IF(lien="Second",1.50,
            1.70)))</f>
        <v/>
      </c>
      <c r="K5282">
        <f>LET(
    purpose,'Loan Tape (S&amp;P)'!R5282,
    IF(purpose="Purchase",1.00,
        IF(purpose="Remortgage",1.00,
            1.20)))</f>
        <v/>
      </c>
      <c r="L5282">
        <f>LET(
    arrears_months,'Loan Tape (S&amp;P)'!AN5282,
    IF(arrears_months=0,1.00,
    IF(arrears_months=1,3.00,
    IF(arrears_months=2,5.00,
    IF(arrears_months=3,8.00,
    IF(arrears_months=4,10.00,
    IF(arrears_months=5,12.00,15.00)))))))</f>
        <v/>
      </c>
      <c r="M5282">
        <f>LET(
    seasoning_years,DATEDIF('Loan Tape (S&amp;P)'!K5282,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82">
        <f>IF(AND('Loan Tape (S&amp;P)'!U5282="Yes",
        'Loan Tape (S&amp;P)'!T5282&lt;&gt;"Yes",
        DATEDIF('Loan Tape (S&amp;P)'!K5282, TODAY(), "M")&lt;18),
    1.10,
    1.00)</f>
        <v/>
      </c>
      <c r="O5282">
        <f>IF('Loan Tape (S&amp;P)'!T5282="Yes",
    1.35,
    1.00)</f>
        <v/>
      </c>
      <c r="P5282">
        <f>IF('Loan Tape (S&amp;P)'!S5282="Yes",
    1.15,
    1.00)</f>
        <v/>
      </c>
      <c r="Q5282">
        <f>IF('Loan Tape (S&amp;P)'!V5282="Yes",
    1.20,
    1.00)</f>
        <v/>
      </c>
      <c r="T5282">
        <f>LET(
    payment_method,'Loan Tape (S&amp;P)'!P5282,
    occupancy,'Loan Tape (S&amp;P)'!N5282,
    maturity_date,'Loan Tape (S&amp;P)'!L5282,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83">
      <c r="J5283">
        <f>LET(
    lien,'Loan Tape (S&amp;P)'!Q5283,
    IF(lien="First",1.00,
        IF(lien="Second",1.50,
            1.70)))</f>
        <v/>
      </c>
      <c r="K5283">
        <f>LET(
    purpose,'Loan Tape (S&amp;P)'!R5283,
    IF(purpose="Purchase",1.00,
        IF(purpose="Remortgage",1.00,
            1.20)))</f>
        <v/>
      </c>
      <c r="L5283">
        <f>LET(
    arrears_months,'Loan Tape (S&amp;P)'!AN5283,
    IF(arrears_months=0,1.00,
    IF(arrears_months=1,3.00,
    IF(arrears_months=2,5.00,
    IF(arrears_months=3,8.00,
    IF(arrears_months=4,10.00,
    IF(arrears_months=5,12.00,15.00)))))))</f>
        <v/>
      </c>
      <c r="M5283">
        <f>LET(
    seasoning_years,DATEDIF('Loan Tape (S&amp;P)'!K5283,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83">
        <f>IF(AND('Loan Tape (S&amp;P)'!U5283="Yes",
        'Loan Tape (S&amp;P)'!T5283&lt;&gt;"Yes",
        DATEDIF('Loan Tape (S&amp;P)'!K5283, TODAY(), "M")&lt;18),
    1.10,
    1.00)</f>
        <v/>
      </c>
      <c r="O5283">
        <f>IF('Loan Tape (S&amp;P)'!T5283="Yes",
    1.35,
    1.00)</f>
        <v/>
      </c>
      <c r="P5283">
        <f>IF('Loan Tape (S&amp;P)'!S5283="Yes",
    1.15,
    1.00)</f>
        <v/>
      </c>
      <c r="Q5283">
        <f>IF('Loan Tape (S&amp;P)'!V5283="Yes",
    1.20,
    1.00)</f>
        <v/>
      </c>
      <c r="T5283">
        <f>LET(
    payment_method,'Loan Tape (S&amp;P)'!P5283,
    occupancy,'Loan Tape (S&amp;P)'!N5283,
    maturity_date,'Loan Tape (S&amp;P)'!L5283,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84">
      <c r="J5284">
        <f>LET(
    lien,'Loan Tape (S&amp;P)'!Q5284,
    IF(lien="First",1.00,
        IF(lien="Second",1.50,
            1.70)))</f>
        <v/>
      </c>
      <c r="K5284">
        <f>LET(
    purpose,'Loan Tape (S&amp;P)'!R5284,
    IF(purpose="Purchase",1.00,
        IF(purpose="Remortgage",1.00,
            1.20)))</f>
        <v/>
      </c>
      <c r="L5284">
        <f>LET(
    arrears_months,'Loan Tape (S&amp;P)'!AN5284,
    IF(arrears_months=0,1.00,
    IF(arrears_months=1,3.00,
    IF(arrears_months=2,5.00,
    IF(arrears_months=3,8.00,
    IF(arrears_months=4,10.00,
    IF(arrears_months=5,12.00,15.00)))))))</f>
        <v/>
      </c>
      <c r="M5284">
        <f>LET(
    seasoning_years,DATEDIF('Loan Tape (S&amp;P)'!K5284,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84">
        <f>IF(AND('Loan Tape (S&amp;P)'!U5284="Yes",
        'Loan Tape (S&amp;P)'!T5284&lt;&gt;"Yes",
        DATEDIF('Loan Tape (S&amp;P)'!K5284, TODAY(), "M")&lt;18),
    1.10,
    1.00)</f>
        <v/>
      </c>
      <c r="O5284">
        <f>IF('Loan Tape (S&amp;P)'!T5284="Yes",
    1.35,
    1.00)</f>
        <v/>
      </c>
      <c r="P5284">
        <f>IF('Loan Tape (S&amp;P)'!S5284="Yes",
    1.15,
    1.00)</f>
        <v/>
      </c>
      <c r="Q5284">
        <f>IF('Loan Tape (S&amp;P)'!V5284="Yes",
    1.20,
    1.00)</f>
        <v/>
      </c>
      <c r="T5284">
        <f>LET(
    payment_method,'Loan Tape (S&amp;P)'!P5284,
    occupancy,'Loan Tape (S&amp;P)'!N5284,
    maturity_date,'Loan Tape (S&amp;P)'!L5284,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85">
      <c r="J5285">
        <f>LET(
    lien,'Loan Tape (S&amp;P)'!Q5285,
    IF(lien="First",1.00,
        IF(lien="Second",1.50,
            1.70)))</f>
        <v/>
      </c>
      <c r="K5285">
        <f>LET(
    purpose,'Loan Tape (S&amp;P)'!R5285,
    IF(purpose="Purchase",1.00,
        IF(purpose="Remortgage",1.00,
            1.20)))</f>
        <v/>
      </c>
      <c r="L5285">
        <f>LET(
    arrears_months,'Loan Tape (S&amp;P)'!AN5285,
    IF(arrears_months=0,1.00,
    IF(arrears_months=1,3.00,
    IF(arrears_months=2,5.00,
    IF(arrears_months=3,8.00,
    IF(arrears_months=4,10.00,
    IF(arrears_months=5,12.00,15.00)))))))</f>
        <v/>
      </c>
      <c r="M5285">
        <f>LET(
    seasoning_years,DATEDIF('Loan Tape (S&amp;P)'!K5285,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85">
        <f>IF(AND('Loan Tape (S&amp;P)'!U5285="Yes",
        'Loan Tape (S&amp;P)'!T5285&lt;&gt;"Yes",
        DATEDIF('Loan Tape (S&amp;P)'!K5285, TODAY(), "M")&lt;18),
    1.10,
    1.00)</f>
        <v/>
      </c>
      <c r="O5285">
        <f>IF('Loan Tape (S&amp;P)'!T5285="Yes",
    1.35,
    1.00)</f>
        <v/>
      </c>
      <c r="P5285">
        <f>IF('Loan Tape (S&amp;P)'!S5285="Yes",
    1.15,
    1.00)</f>
        <v/>
      </c>
      <c r="Q5285">
        <f>IF('Loan Tape (S&amp;P)'!V5285="Yes",
    1.20,
    1.00)</f>
        <v/>
      </c>
      <c r="T5285">
        <f>LET(
    payment_method,'Loan Tape (S&amp;P)'!P5285,
    occupancy,'Loan Tape (S&amp;P)'!N5285,
    maturity_date,'Loan Tape (S&amp;P)'!L5285,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86">
      <c r="J5286">
        <f>LET(
    lien,'Loan Tape (S&amp;P)'!Q5286,
    IF(lien="First",1.00,
        IF(lien="Second",1.50,
            1.70)))</f>
        <v/>
      </c>
      <c r="K5286">
        <f>LET(
    purpose,'Loan Tape (S&amp;P)'!R5286,
    IF(purpose="Purchase",1.00,
        IF(purpose="Remortgage",1.00,
            1.20)))</f>
        <v/>
      </c>
      <c r="L5286">
        <f>LET(
    arrears_months,'Loan Tape (S&amp;P)'!AN5286,
    IF(arrears_months=0,1.00,
    IF(arrears_months=1,3.00,
    IF(arrears_months=2,5.00,
    IF(arrears_months=3,8.00,
    IF(arrears_months=4,10.00,
    IF(arrears_months=5,12.00,15.00)))))))</f>
        <v/>
      </c>
      <c r="M5286">
        <f>LET(
    seasoning_years,DATEDIF('Loan Tape (S&amp;P)'!K5286,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86">
        <f>IF(AND('Loan Tape (S&amp;P)'!U5286="Yes",
        'Loan Tape (S&amp;P)'!T5286&lt;&gt;"Yes",
        DATEDIF('Loan Tape (S&amp;P)'!K5286, TODAY(), "M")&lt;18),
    1.10,
    1.00)</f>
        <v/>
      </c>
      <c r="O5286">
        <f>IF('Loan Tape (S&amp;P)'!T5286="Yes",
    1.35,
    1.00)</f>
        <v/>
      </c>
      <c r="P5286">
        <f>IF('Loan Tape (S&amp;P)'!S5286="Yes",
    1.15,
    1.00)</f>
        <v/>
      </c>
      <c r="Q5286">
        <f>IF('Loan Tape (S&amp;P)'!V5286="Yes",
    1.20,
    1.00)</f>
        <v/>
      </c>
      <c r="T5286">
        <f>LET(
    payment_method,'Loan Tape (S&amp;P)'!P5286,
    occupancy,'Loan Tape (S&amp;P)'!N5286,
    maturity_date,'Loan Tape (S&amp;P)'!L5286,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87">
      <c r="J5287">
        <f>LET(
    lien,'Loan Tape (S&amp;P)'!Q5287,
    IF(lien="First",1.00,
        IF(lien="Second",1.50,
            1.70)))</f>
        <v/>
      </c>
      <c r="K5287">
        <f>LET(
    purpose,'Loan Tape (S&amp;P)'!R5287,
    IF(purpose="Purchase",1.00,
        IF(purpose="Remortgage",1.00,
            1.20)))</f>
        <v/>
      </c>
      <c r="L5287">
        <f>LET(
    arrears_months,'Loan Tape (S&amp;P)'!AN5287,
    IF(arrears_months=0,1.00,
    IF(arrears_months=1,3.00,
    IF(arrears_months=2,5.00,
    IF(arrears_months=3,8.00,
    IF(arrears_months=4,10.00,
    IF(arrears_months=5,12.00,15.00)))))))</f>
        <v/>
      </c>
      <c r="M5287">
        <f>LET(
    seasoning_years,DATEDIF('Loan Tape (S&amp;P)'!K5287,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87">
        <f>IF(AND('Loan Tape (S&amp;P)'!U5287="Yes",
        'Loan Tape (S&amp;P)'!T5287&lt;&gt;"Yes",
        DATEDIF('Loan Tape (S&amp;P)'!K5287, TODAY(), "M")&lt;18),
    1.10,
    1.00)</f>
        <v/>
      </c>
      <c r="O5287">
        <f>IF('Loan Tape (S&amp;P)'!T5287="Yes",
    1.35,
    1.00)</f>
        <v/>
      </c>
      <c r="P5287">
        <f>IF('Loan Tape (S&amp;P)'!S5287="Yes",
    1.15,
    1.00)</f>
        <v/>
      </c>
      <c r="Q5287">
        <f>IF('Loan Tape (S&amp;P)'!V5287="Yes",
    1.20,
    1.00)</f>
        <v/>
      </c>
      <c r="T5287">
        <f>LET(
    payment_method,'Loan Tape (S&amp;P)'!P5287,
    occupancy,'Loan Tape (S&amp;P)'!N5287,
    maturity_date,'Loan Tape (S&amp;P)'!L5287,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88">
      <c r="J5288">
        <f>LET(
    lien,'Loan Tape (S&amp;P)'!Q5288,
    IF(lien="First",1.00,
        IF(lien="Second",1.50,
            1.70)))</f>
        <v/>
      </c>
      <c r="K5288">
        <f>LET(
    purpose,'Loan Tape (S&amp;P)'!R5288,
    IF(purpose="Purchase",1.00,
        IF(purpose="Remortgage",1.00,
            1.20)))</f>
        <v/>
      </c>
      <c r="L5288">
        <f>LET(
    arrears_months,'Loan Tape (S&amp;P)'!AN5288,
    IF(arrears_months=0,1.00,
    IF(arrears_months=1,3.00,
    IF(arrears_months=2,5.00,
    IF(arrears_months=3,8.00,
    IF(arrears_months=4,10.00,
    IF(arrears_months=5,12.00,15.00)))))))</f>
        <v/>
      </c>
      <c r="M5288">
        <f>LET(
    seasoning_years,DATEDIF('Loan Tape (S&amp;P)'!K5288,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88">
        <f>IF(AND('Loan Tape (S&amp;P)'!U5288="Yes",
        'Loan Tape (S&amp;P)'!T5288&lt;&gt;"Yes",
        DATEDIF('Loan Tape (S&amp;P)'!K5288, TODAY(), "M")&lt;18),
    1.10,
    1.00)</f>
        <v/>
      </c>
      <c r="O5288">
        <f>IF('Loan Tape (S&amp;P)'!T5288="Yes",
    1.35,
    1.00)</f>
        <v/>
      </c>
      <c r="P5288">
        <f>IF('Loan Tape (S&amp;P)'!S5288="Yes",
    1.15,
    1.00)</f>
        <v/>
      </c>
      <c r="Q5288">
        <f>IF('Loan Tape (S&amp;P)'!V5288="Yes",
    1.20,
    1.00)</f>
        <v/>
      </c>
      <c r="T5288">
        <f>LET(
    payment_method,'Loan Tape (S&amp;P)'!P5288,
    occupancy,'Loan Tape (S&amp;P)'!N5288,
    maturity_date,'Loan Tape (S&amp;P)'!L5288,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89">
      <c r="J5289">
        <f>LET(
    lien,'Loan Tape (S&amp;P)'!Q5289,
    IF(lien="First",1.00,
        IF(lien="Second",1.50,
            1.70)))</f>
        <v/>
      </c>
      <c r="K5289">
        <f>LET(
    purpose,'Loan Tape (S&amp;P)'!R5289,
    IF(purpose="Purchase",1.00,
        IF(purpose="Remortgage",1.00,
            1.20)))</f>
        <v/>
      </c>
      <c r="L5289">
        <f>LET(
    arrears_months,'Loan Tape (S&amp;P)'!AN5289,
    IF(arrears_months=0,1.00,
    IF(arrears_months=1,3.00,
    IF(arrears_months=2,5.00,
    IF(arrears_months=3,8.00,
    IF(arrears_months=4,10.00,
    IF(arrears_months=5,12.00,15.00)))))))</f>
        <v/>
      </c>
      <c r="M5289">
        <f>LET(
    seasoning_years,DATEDIF('Loan Tape (S&amp;P)'!K5289,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89">
        <f>IF(AND('Loan Tape (S&amp;P)'!U5289="Yes",
        'Loan Tape (S&amp;P)'!T5289&lt;&gt;"Yes",
        DATEDIF('Loan Tape (S&amp;P)'!K5289, TODAY(), "M")&lt;18),
    1.10,
    1.00)</f>
        <v/>
      </c>
      <c r="O5289">
        <f>IF('Loan Tape (S&amp;P)'!T5289="Yes",
    1.35,
    1.00)</f>
        <v/>
      </c>
      <c r="P5289">
        <f>IF('Loan Tape (S&amp;P)'!S5289="Yes",
    1.15,
    1.00)</f>
        <v/>
      </c>
      <c r="Q5289">
        <f>IF('Loan Tape (S&amp;P)'!V5289="Yes",
    1.20,
    1.00)</f>
        <v/>
      </c>
      <c r="T5289">
        <f>LET(
    payment_method,'Loan Tape (S&amp;P)'!P5289,
    occupancy,'Loan Tape (S&amp;P)'!N5289,
    maturity_date,'Loan Tape (S&amp;P)'!L5289,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90">
      <c r="J5290">
        <f>LET(
    lien,'Loan Tape (S&amp;P)'!Q5290,
    IF(lien="First",1.00,
        IF(lien="Second",1.50,
            1.70)))</f>
        <v/>
      </c>
      <c r="K5290">
        <f>LET(
    purpose,'Loan Tape (S&amp;P)'!R5290,
    IF(purpose="Purchase",1.00,
        IF(purpose="Remortgage",1.00,
            1.20)))</f>
        <v/>
      </c>
      <c r="L5290">
        <f>LET(
    arrears_months,'Loan Tape (S&amp;P)'!AN5290,
    IF(arrears_months=0,1.00,
    IF(arrears_months=1,3.00,
    IF(arrears_months=2,5.00,
    IF(arrears_months=3,8.00,
    IF(arrears_months=4,10.00,
    IF(arrears_months=5,12.00,15.00)))))))</f>
        <v/>
      </c>
      <c r="M5290">
        <f>LET(
    seasoning_years,DATEDIF('Loan Tape (S&amp;P)'!K5290,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90">
        <f>IF(AND('Loan Tape (S&amp;P)'!U5290="Yes",
        'Loan Tape (S&amp;P)'!T5290&lt;&gt;"Yes",
        DATEDIF('Loan Tape (S&amp;P)'!K5290, TODAY(), "M")&lt;18),
    1.10,
    1.00)</f>
        <v/>
      </c>
      <c r="O5290">
        <f>IF('Loan Tape (S&amp;P)'!T5290="Yes",
    1.35,
    1.00)</f>
        <v/>
      </c>
      <c r="P5290">
        <f>IF('Loan Tape (S&amp;P)'!S5290="Yes",
    1.15,
    1.00)</f>
        <v/>
      </c>
      <c r="Q5290">
        <f>IF('Loan Tape (S&amp;P)'!V5290="Yes",
    1.20,
    1.00)</f>
        <v/>
      </c>
      <c r="T5290">
        <f>LET(
    payment_method,'Loan Tape (S&amp;P)'!P5290,
    occupancy,'Loan Tape (S&amp;P)'!N5290,
    maturity_date,'Loan Tape (S&amp;P)'!L5290,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91">
      <c r="J5291">
        <f>LET(
    lien,'Loan Tape (S&amp;P)'!Q5291,
    IF(lien="First",1.00,
        IF(lien="Second",1.50,
            1.70)))</f>
        <v/>
      </c>
      <c r="K5291">
        <f>LET(
    purpose,'Loan Tape (S&amp;P)'!R5291,
    IF(purpose="Purchase",1.00,
        IF(purpose="Remortgage",1.00,
            1.20)))</f>
        <v/>
      </c>
      <c r="L5291">
        <f>LET(
    arrears_months,'Loan Tape (S&amp;P)'!AN5291,
    IF(arrears_months=0,1.00,
    IF(arrears_months=1,3.00,
    IF(arrears_months=2,5.00,
    IF(arrears_months=3,8.00,
    IF(arrears_months=4,10.00,
    IF(arrears_months=5,12.00,15.00)))))))</f>
        <v/>
      </c>
      <c r="M5291">
        <f>LET(
    seasoning_years,DATEDIF('Loan Tape (S&amp;P)'!K5291,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91">
        <f>IF(AND('Loan Tape (S&amp;P)'!U5291="Yes",
        'Loan Tape (S&amp;P)'!T5291&lt;&gt;"Yes",
        DATEDIF('Loan Tape (S&amp;P)'!K5291, TODAY(), "M")&lt;18),
    1.10,
    1.00)</f>
        <v/>
      </c>
      <c r="O5291">
        <f>IF('Loan Tape (S&amp;P)'!T5291="Yes",
    1.35,
    1.00)</f>
        <v/>
      </c>
      <c r="P5291">
        <f>IF('Loan Tape (S&amp;P)'!S5291="Yes",
    1.15,
    1.00)</f>
        <v/>
      </c>
      <c r="Q5291">
        <f>IF('Loan Tape (S&amp;P)'!V5291="Yes",
    1.20,
    1.00)</f>
        <v/>
      </c>
      <c r="T5291">
        <f>LET(
    payment_method,'Loan Tape (S&amp;P)'!P5291,
    occupancy,'Loan Tape (S&amp;P)'!N5291,
    maturity_date,'Loan Tape (S&amp;P)'!L5291,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92">
      <c r="J5292">
        <f>LET(
    lien,'Loan Tape (S&amp;P)'!Q5292,
    IF(lien="First",1.00,
        IF(lien="Second",1.50,
            1.70)))</f>
        <v/>
      </c>
      <c r="K5292">
        <f>LET(
    purpose,'Loan Tape (S&amp;P)'!R5292,
    IF(purpose="Purchase",1.00,
        IF(purpose="Remortgage",1.00,
            1.20)))</f>
        <v/>
      </c>
      <c r="L5292">
        <f>LET(
    arrears_months,'Loan Tape (S&amp;P)'!AN5292,
    IF(arrears_months=0,1.00,
    IF(arrears_months=1,3.00,
    IF(arrears_months=2,5.00,
    IF(arrears_months=3,8.00,
    IF(arrears_months=4,10.00,
    IF(arrears_months=5,12.00,15.00)))))))</f>
        <v/>
      </c>
      <c r="M5292">
        <f>LET(
    seasoning_years,DATEDIF('Loan Tape (S&amp;P)'!K5292,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92">
        <f>IF(AND('Loan Tape (S&amp;P)'!U5292="Yes",
        'Loan Tape (S&amp;P)'!T5292&lt;&gt;"Yes",
        DATEDIF('Loan Tape (S&amp;P)'!K5292, TODAY(), "M")&lt;18),
    1.10,
    1.00)</f>
        <v/>
      </c>
      <c r="O5292">
        <f>IF('Loan Tape (S&amp;P)'!T5292="Yes",
    1.35,
    1.00)</f>
        <v/>
      </c>
      <c r="P5292">
        <f>IF('Loan Tape (S&amp;P)'!S5292="Yes",
    1.15,
    1.00)</f>
        <v/>
      </c>
      <c r="Q5292">
        <f>IF('Loan Tape (S&amp;P)'!V5292="Yes",
    1.20,
    1.00)</f>
        <v/>
      </c>
      <c r="T5292">
        <f>LET(
    payment_method,'Loan Tape (S&amp;P)'!P5292,
    occupancy,'Loan Tape (S&amp;P)'!N5292,
    maturity_date,'Loan Tape (S&amp;P)'!L5292,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93">
      <c r="J5293">
        <f>LET(
    lien,'Loan Tape (S&amp;P)'!Q5293,
    IF(lien="First",1.00,
        IF(lien="Second",1.50,
            1.70)))</f>
        <v/>
      </c>
      <c r="K5293">
        <f>LET(
    purpose,'Loan Tape (S&amp;P)'!R5293,
    IF(purpose="Purchase",1.00,
        IF(purpose="Remortgage",1.00,
            1.20)))</f>
        <v/>
      </c>
      <c r="L5293">
        <f>LET(
    arrears_months,'Loan Tape (S&amp;P)'!AN5293,
    IF(arrears_months=0,1.00,
    IF(arrears_months=1,3.00,
    IF(arrears_months=2,5.00,
    IF(arrears_months=3,8.00,
    IF(arrears_months=4,10.00,
    IF(arrears_months=5,12.00,15.00)))))))</f>
        <v/>
      </c>
      <c r="M5293">
        <f>LET(
    seasoning_years,DATEDIF('Loan Tape (S&amp;P)'!K5293,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93">
        <f>IF(AND('Loan Tape (S&amp;P)'!U5293="Yes",
        'Loan Tape (S&amp;P)'!T5293&lt;&gt;"Yes",
        DATEDIF('Loan Tape (S&amp;P)'!K5293, TODAY(), "M")&lt;18),
    1.10,
    1.00)</f>
        <v/>
      </c>
      <c r="O5293">
        <f>IF('Loan Tape (S&amp;P)'!T5293="Yes",
    1.35,
    1.00)</f>
        <v/>
      </c>
      <c r="P5293">
        <f>IF('Loan Tape (S&amp;P)'!S5293="Yes",
    1.15,
    1.00)</f>
        <v/>
      </c>
      <c r="Q5293">
        <f>IF('Loan Tape (S&amp;P)'!V5293="Yes",
    1.20,
    1.00)</f>
        <v/>
      </c>
      <c r="T5293">
        <f>LET(
    payment_method,'Loan Tape (S&amp;P)'!P5293,
    occupancy,'Loan Tape (S&amp;P)'!N5293,
    maturity_date,'Loan Tape (S&amp;P)'!L5293,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94">
      <c r="J5294">
        <f>LET(
    lien,'Loan Tape (S&amp;P)'!Q5294,
    IF(lien="First",1.00,
        IF(lien="Second",1.50,
            1.70)))</f>
        <v/>
      </c>
      <c r="K5294">
        <f>LET(
    purpose,'Loan Tape (S&amp;P)'!R5294,
    IF(purpose="Purchase",1.00,
        IF(purpose="Remortgage",1.00,
            1.20)))</f>
        <v/>
      </c>
      <c r="L5294">
        <f>LET(
    arrears_months,'Loan Tape (S&amp;P)'!AN5294,
    IF(arrears_months=0,1.00,
    IF(arrears_months=1,3.00,
    IF(arrears_months=2,5.00,
    IF(arrears_months=3,8.00,
    IF(arrears_months=4,10.00,
    IF(arrears_months=5,12.00,15.00)))))))</f>
        <v/>
      </c>
      <c r="M5294">
        <f>LET(
    seasoning_years,DATEDIF('Loan Tape (S&amp;P)'!K5294,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94">
        <f>IF(AND('Loan Tape (S&amp;P)'!U5294="Yes",
        'Loan Tape (S&amp;P)'!T5294&lt;&gt;"Yes",
        DATEDIF('Loan Tape (S&amp;P)'!K5294, TODAY(), "M")&lt;18),
    1.10,
    1.00)</f>
        <v/>
      </c>
      <c r="O5294">
        <f>IF('Loan Tape (S&amp;P)'!T5294="Yes",
    1.35,
    1.00)</f>
        <v/>
      </c>
      <c r="P5294">
        <f>IF('Loan Tape (S&amp;P)'!S5294="Yes",
    1.15,
    1.00)</f>
        <v/>
      </c>
      <c r="Q5294">
        <f>IF('Loan Tape (S&amp;P)'!V5294="Yes",
    1.20,
    1.00)</f>
        <v/>
      </c>
      <c r="T5294">
        <f>LET(
    payment_method,'Loan Tape (S&amp;P)'!P5294,
    occupancy,'Loan Tape (S&amp;P)'!N5294,
    maturity_date,'Loan Tape (S&amp;P)'!L5294,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95">
      <c r="J5295">
        <f>LET(
    lien,'Loan Tape (S&amp;P)'!Q5295,
    IF(lien="First",1.00,
        IF(lien="Second",1.50,
            1.70)))</f>
        <v/>
      </c>
      <c r="K5295">
        <f>LET(
    purpose,'Loan Tape (S&amp;P)'!R5295,
    IF(purpose="Purchase",1.00,
        IF(purpose="Remortgage",1.00,
            1.20)))</f>
        <v/>
      </c>
      <c r="L5295">
        <f>LET(
    arrears_months,'Loan Tape (S&amp;P)'!AN5295,
    IF(arrears_months=0,1.00,
    IF(arrears_months=1,3.00,
    IF(arrears_months=2,5.00,
    IF(arrears_months=3,8.00,
    IF(arrears_months=4,10.00,
    IF(arrears_months=5,12.00,15.00)))))))</f>
        <v/>
      </c>
      <c r="M5295">
        <f>LET(
    seasoning_years,DATEDIF('Loan Tape (S&amp;P)'!K5295,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95">
        <f>IF(AND('Loan Tape (S&amp;P)'!U5295="Yes",
        'Loan Tape (S&amp;P)'!T5295&lt;&gt;"Yes",
        DATEDIF('Loan Tape (S&amp;P)'!K5295, TODAY(), "M")&lt;18),
    1.10,
    1.00)</f>
        <v/>
      </c>
      <c r="O5295">
        <f>IF('Loan Tape (S&amp;P)'!T5295="Yes",
    1.35,
    1.00)</f>
        <v/>
      </c>
      <c r="P5295">
        <f>IF('Loan Tape (S&amp;P)'!S5295="Yes",
    1.15,
    1.00)</f>
        <v/>
      </c>
      <c r="Q5295">
        <f>IF('Loan Tape (S&amp;P)'!V5295="Yes",
    1.20,
    1.00)</f>
        <v/>
      </c>
      <c r="T5295">
        <f>LET(
    payment_method,'Loan Tape (S&amp;P)'!P5295,
    occupancy,'Loan Tape (S&amp;P)'!N5295,
    maturity_date,'Loan Tape (S&amp;P)'!L5295,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96">
      <c r="J5296">
        <f>LET(
    lien,'Loan Tape (S&amp;P)'!Q5296,
    IF(lien="First",1.00,
        IF(lien="Second",1.50,
            1.70)))</f>
        <v/>
      </c>
      <c r="K5296">
        <f>LET(
    purpose,'Loan Tape (S&amp;P)'!R5296,
    IF(purpose="Purchase",1.00,
        IF(purpose="Remortgage",1.00,
            1.20)))</f>
        <v/>
      </c>
      <c r="L5296">
        <f>LET(
    arrears_months,'Loan Tape (S&amp;P)'!AN5296,
    IF(arrears_months=0,1.00,
    IF(arrears_months=1,3.00,
    IF(arrears_months=2,5.00,
    IF(arrears_months=3,8.00,
    IF(arrears_months=4,10.00,
    IF(arrears_months=5,12.00,15.00)))))))</f>
        <v/>
      </c>
      <c r="M5296">
        <f>LET(
    seasoning_years,DATEDIF('Loan Tape (S&amp;P)'!K5296,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96">
        <f>IF(AND('Loan Tape (S&amp;P)'!U5296="Yes",
        'Loan Tape (S&amp;P)'!T5296&lt;&gt;"Yes",
        DATEDIF('Loan Tape (S&amp;P)'!K5296, TODAY(), "M")&lt;18),
    1.10,
    1.00)</f>
        <v/>
      </c>
      <c r="O5296">
        <f>IF('Loan Tape (S&amp;P)'!T5296="Yes",
    1.35,
    1.00)</f>
        <v/>
      </c>
      <c r="P5296">
        <f>IF('Loan Tape (S&amp;P)'!S5296="Yes",
    1.15,
    1.00)</f>
        <v/>
      </c>
      <c r="Q5296">
        <f>IF('Loan Tape (S&amp;P)'!V5296="Yes",
    1.20,
    1.00)</f>
        <v/>
      </c>
      <c r="T5296">
        <f>LET(
    payment_method,'Loan Tape (S&amp;P)'!P5296,
    occupancy,'Loan Tape (S&amp;P)'!N5296,
    maturity_date,'Loan Tape (S&amp;P)'!L5296,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97">
      <c r="J5297">
        <f>LET(
    lien,'Loan Tape (S&amp;P)'!Q5297,
    IF(lien="First",1.00,
        IF(lien="Second",1.50,
            1.70)))</f>
        <v/>
      </c>
      <c r="K5297">
        <f>LET(
    purpose,'Loan Tape (S&amp;P)'!R5297,
    IF(purpose="Purchase",1.00,
        IF(purpose="Remortgage",1.00,
            1.20)))</f>
        <v/>
      </c>
      <c r="L5297">
        <f>LET(
    arrears_months,'Loan Tape (S&amp;P)'!AN5297,
    IF(arrears_months=0,1.00,
    IF(arrears_months=1,3.00,
    IF(arrears_months=2,5.00,
    IF(arrears_months=3,8.00,
    IF(arrears_months=4,10.00,
    IF(arrears_months=5,12.00,15.00)))))))</f>
        <v/>
      </c>
      <c r="M5297">
        <f>LET(
    seasoning_years,DATEDIF('Loan Tape (S&amp;P)'!K5297,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97">
        <f>IF(AND('Loan Tape (S&amp;P)'!U5297="Yes",
        'Loan Tape (S&amp;P)'!T5297&lt;&gt;"Yes",
        DATEDIF('Loan Tape (S&amp;P)'!K5297, TODAY(), "M")&lt;18),
    1.10,
    1.00)</f>
        <v/>
      </c>
      <c r="O5297">
        <f>IF('Loan Tape (S&amp;P)'!T5297="Yes",
    1.35,
    1.00)</f>
        <v/>
      </c>
      <c r="P5297">
        <f>IF('Loan Tape (S&amp;P)'!S5297="Yes",
    1.15,
    1.00)</f>
        <v/>
      </c>
      <c r="Q5297">
        <f>IF('Loan Tape (S&amp;P)'!V5297="Yes",
    1.20,
    1.00)</f>
        <v/>
      </c>
      <c r="T5297">
        <f>LET(
    payment_method,'Loan Tape (S&amp;P)'!P5297,
    occupancy,'Loan Tape (S&amp;P)'!N5297,
    maturity_date,'Loan Tape (S&amp;P)'!L5297,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98">
      <c r="J5298">
        <f>LET(
    lien,'Loan Tape (S&amp;P)'!Q5298,
    IF(lien="First",1.00,
        IF(lien="Second",1.50,
            1.70)))</f>
        <v/>
      </c>
      <c r="K5298">
        <f>LET(
    purpose,'Loan Tape (S&amp;P)'!R5298,
    IF(purpose="Purchase",1.00,
        IF(purpose="Remortgage",1.00,
            1.20)))</f>
        <v/>
      </c>
      <c r="L5298">
        <f>LET(
    arrears_months,'Loan Tape (S&amp;P)'!AN5298,
    IF(arrears_months=0,1.00,
    IF(arrears_months=1,3.00,
    IF(arrears_months=2,5.00,
    IF(arrears_months=3,8.00,
    IF(arrears_months=4,10.00,
    IF(arrears_months=5,12.00,15.00)))))))</f>
        <v/>
      </c>
      <c r="M5298">
        <f>LET(
    seasoning_years,DATEDIF('Loan Tape (S&amp;P)'!K5298,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98">
        <f>IF(AND('Loan Tape (S&amp;P)'!U5298="Yes",
        'Loan Tape (S&amp;P)'!T5298&lt;&gt;"Yes",
        DATEDIF('Loan Tape (S&amp;P)'!K5298, TODAY(), "M")&lt;18),
    1.10,
    1.00)</f>
        <v/>
      </c>
      <c r="O5298">
        <f>IF('Loan Tape (S&amp;P)'!T5298="Yes",
    1.35,
    1.00)</f>
        <v/>
      </c>
      <c r="P5298">
        <f>IF('Loan Tape (S&amp;P)'!S5298="Yes",
    1.15,
    1.00)</f>
        <v/>
      </c>
      <c r="Q5298">
        <f>IF('Loan Tape (S&amp;P)'!V5298="Yes",
    1.20,
    1.00)</f>
        <v/>
      </c>
      <c r="T5298">
        <f>LET(
    payment_method,'Loan Tape (S&amp;P)'!P5298,
    occupancy,'Loan Tape (S&amp;P)'!N5298,
    maturity_date,'Loan Tape (S&amp;P)'!L5298,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299">
      <c r="J5299">
        <f>LET(
    lien,'Loan Tape (S&amp;P)'!Q5299,
    IF(lien="First",1.00,
        IF(lien="Second",1.50,
            1.70)))</f>
        <v/>
      </c>
      <c r="K5299">
        <f>LET(
    purpose,'Loan Tape (S&amp;P)'!R5299,
    IF(purpose="Purchase",1.00,
        IF(purpose="Remortgage",1.00,
            1.20)))</f>
        <v/>
      </c>
      <c r="L5299">
        <f>LET(
    arrears_months,'Loan Tape (S&amp;P)'!AN5299,
    IF(arrears_months=0,1.00,
    IF(arrears_months=1,3.00,
    IF(arrears_months=2,5.00,
    IF(arrears_months=3,8.00,
    IF(arrears_months=4,10.00,
    IF(arrears_months=5,12.00,15.00)))))))</f>
        <v/>
      </c>
      <c r="M5299">
        <f>LET(
    seasoning_years,DATEDIF('Loan Tape (S&amp;P)'!K5299,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299">
        <f>IF(AND('Loan Tape (S&amp;P)'!U5299="Yes",
        'Loan Tape (S&amp;P)'!T5299&lt;&gt;"Yes",
        DATEDIF('Loan Tape (S&amp;P)'!K5299, TODAY(), "M")&lt;18),
    1.10,
    1.00)</f>
        <v/>
      </c>
      <c r="O5299">
        <f>IF('Loan Tape (S&amp;P)'!T5299="Yes",
    1.35,
    1.00)</f>
        <v/>
      </c>
      <c r="P5299">
        <f>IF('Loan Tape (S&amp;P)'!S5299="Yes",
    1.15,
    1.00)</f>
        <v/>
      </c>
      <c r="Q5299">
        <f>IF('Loan Tape (S&amp;P)'!V5299="Yes",
    1.20,
    1.00)</f>
        <v/>
      </c>
      <c r="T5299">
        <f>LET(
    payment_method,'Loan Tape (S&amp;P)'!P5299,
    occupancy,'Loan Tape (S&amp;P)'!N5299,
    maturity_date,'Loan Tape (S&amp;P)'!L5299,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00">
      <c r="J5300">
        <f>LET(
    lien,'Loan Tape (S&amp;P)'!Q5300,
    IF(lien="First",1.00,
        IF(lien="Second",1.50,
            1.70)))</f>
        <v/>
      </c>
      <c r="K5300">
        <f>LET(
    purpose,'Loan Tape (S&amp;P)'!R5300,
    IF(purpose="Purchase",1.00,
        IF(purpose="Remortgage",1.00,
            1.20)))</f>
        <v/>
      </c>
      <c r="L5300">
        <f>LET(
    arrears_months,'Loan Tape (S&amp;P)'!AN5300,
    IF(arrears_months=0,1.00,
    IF(arrears_months=1,3.00,
    IF(arrears_months=2,5.00,
    IF(arrears_months=3,8.00,
    IF(arrears_months=4,10.00,
    IF(arrears_months=5,12.00,15.00)))))))</f>
        <v/>
      </c>
      <c r="M5300">
        <f>LET(
    seasoning_years,DATEDIF('Loan Tape (S&amp;P)'!K5300,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00">
        <f>IF(AND('Loan Tape (S&amp;P)'!U5300="Yes",
        'Loan Tape (S&amp;P)'!T5300&lt;&gt;"Yes",
        DATEDIF('Loan Tape (S&amp;P)'!K5300, TODAY(), "M")&lt;18),
    1.10,
    1.00)</f>
        <v/>
      </c>
      <c r="O5300">
        <f>IF('Loan Tape (S&amp;P)'!T5300="Yes",
    1.35,
    1.00)</f>
        <v/>
      </c>
      <c r="P5300">
        <f>IF('Loan Tape (S&amp;P)'!S5300="Yes",
    1.15,
    1.00)</f>
        <v/>
      </c>
      <c r="Q5300">
        <f>IF('Loan Tape (S&amp;P)'!V5300="Yes",
    1.20,
    1.00)</f>
        <v/>
      </c>
      <c r="T5300">
        <f>LET(
    payment_method,'Loan Tape (S&amp;P)'!P5300,
    occupancy,'Loan Tape (S&amp;P)'!N5300,
    maturity_date,'Loan Tape (S&amp;P)'!L5300,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01">
      <c r="J5301">
        <f>LET(
    lien,'Loan Tape (S&amp;P)'!Q5301,
    IF(lien="First",1.00,
        IF(lien="Second",1.50,
            1.70)))</f>
        <v/>
      </c>
      <c r="K5301">
        <f>LET(
    purpose,'Loan Tape (S&amp;P)'!R5301,
    IF(purpose="Purchase",1.00,
        IF(purpose="Remortgage",1.00,
            1.20)))</f>
        <v/>
      </c>
      <c r="L5301">
        <f>LET(
    arrears_months,'Loan Tape (S&amp;P)'!AN5301,
    IF(arrears_months=0,1.00,
    IF(arrears_months=1,3.00,
    IF(arrears_months=2,5.00,
    IF(arrears_months=3,8.00,
    IF(arrears_months=4,10.00,
    IF(arrears_months=5,12.00,15.00)))))))</f>
        <v/>
      </c>
      <c r="M5301">
        <f>LET(
    seasoning_years,DATEDIF('Loan Tape (S&amp;P)'!K5301,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01">
        <f>IF(AND('Loan Tape (S&amp;P)'!U5301="Yes",
        'Loan Tape (S&amp;P)'!T5301&lt;&gt;"Yes",
        DATEDIF('Loan Tape (S&amp;P)'!K5301, TODAY(), "M")&lt;18),
    1.10,
    1.00)</f>
        <v/>
      </c>
      <c r="O5301">
        <f>IF('Loan Tape (S&amp;P)'!T5301="Yes",
    1.35,
    1.00)</f>
        <v/>
      </c>
      <c r="P5301">
        <f>IF('Loan Tape (S&amp;P)'!S5301="Yes",
    1.15,
    1.00)</f>
        <v/>
      </c>
      <c r="Q5301">
        <f>IF('Loan Tape (S&amp;P)'!V5301="Yes",
    1.20,
    1.00)</f>
        <v/>
      </c>
      <c r="T5301">
        <f>LET(
    payment_method,'Loan Tape (S&amp;P)'!P5301,
    occupancy,'Loan Tape (S&amp;P)'!N5301,
    maturity_date,'Loan Tape (S&amp;P)'!L5301,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02">
      <c r="J5302">
        <f>LET(
    lien,'Loan Tape (S&amp;P)'!Q5302,
    IF(lien="First",1.00,
        IF(lien="Second",1.50,
            1.70)))</f>
        <v/>
      </c>
      <c r="K5302">
        <f>LET(
    purpose,'Loan Tape (S&amp;P)'!R5302,
    IF(purpose="Purchase",1.00,
        IF(purpose="Remortgage",1.00,
            1.20)))</f>
        <v/>
      </c>
      <c r="L5302">
        <f>LET(
    arrears_months,'Loan Tape (S&amp;P)'!AN5302,
    IF(arrears_months=0,1.00,
    IF(arrears_months=1,3.00,
    IF(arrears_months=2,5.00,
    IF(arrears_months=3,8.00,
    IF(arrears_months=4,10.00,
    IF(arrears_months=5,12.00,15.00)))))))</f>
        <v/>
      </c>
      <c r="M5302">
        <f>LET(
    seasoning_years,DATEDIF('Loan Tape (S&amp;P)'!K5302,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02">
        <f>IF(AND('Loan Tape (S&amp;P)'!U5302="Yes",
        'Loan Tape (S&amp;P)'!T5302&lt;&gt;"Yes",
        DATEDIF('Loan Tape (S&amp;P)'!K5302, TODAY(), "M")&lt;18),
    1.10,
    1.00)</f>
        <v/>
      </c>
      <c r="O5302">
        <f>IF('Loan Tape (S&amp;P)'!T5302="Yes",
    1.35,
    1.00)</f>
        <v/>
      </c>
      <c r="P5302">
        <f>IF('Loan Tape (S&amp;P)'!S5302="Yes",
    1.15,
    1.00)</f>
        <v/>
      </c>
      <c r="Q5302">
        <f>IF('Loan Tape (S&amp;P)'!V5302="Yes",
    1.20,
    1.00)</f>
        <v/>
      </c>
      <c r="T5302">
        <f>LET(
    payment_method,'Loan Tape (S&amp;P)'!P5302,
    occupancy,'Loan Tape (S&amp;P)'!N5302,
    maturity_date,'Loan Tape (S&amp;P)'!L5302,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03">
      <c r="J5303">
        <f>LET(
    lien,'Loan Tape (S&amp;P)'!Q5303,
    IF(lien="First",1.00,
        IF(lien="Second",1.50,
            1.70)))</f>
        <v/>
      </c>
      <c r="K5303">
        <f>LET(
    purpose,'Loan Tape (S&amp;P)'!R5303,
    IF(purpose="Purchase",1.00,
        IF(purpose="Remortgage",1.00,
            1.20)))</f>
        <v/>
      </c>
      <c r="L5303">
        <f>LET(
    arrears_months,'Loan Tape (S&amp;P)'!AN5303,
    IF(arrears_months=0,1.00,
    IF(arrears_months=1,3.00,
    IF(arrears_months=2,5.00,
    IF(arrears_months=3,8.00,
    IF(arrears_months=4,10.00,
    IF(arrears_months=5,12.00,15.00)))))))</f>
        <v/>
      </c>
      <c r="M5303">
        <f>LET(
    seasoning_years,DATEDIF('Loan Tape (S&amp;P)'!K5303,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03">
        <f>IF(AND('Loan Tape (S&amp;P)'!U5303="Yes",
        'Loan Tape (S&amp;P)'!T5303&lt;&gt;"Yes",
        DATEDIF('Loan Tape (S&amp;P)'!K5303, TODAY(), "M")&lt;18),
    1.10,
    1.00)</f>
        <v/>
      </c>
      <c r="O5303">
        <f>IF('Loan Tape (S&amp;P)'!T5303="Yes",
    1.35,
    1.00)</f>
        <v/>
      </c>
      <c r="P5303">
        <f>IF('Loan Tape (S&amp;P)'!S5303="Yes",
    1.15,
    1.00)</f>
        <v/>
      </c>
      <c r="Q5303">
        <f>IF('Loan Tape (S&amp;P)'!V5303="Yes",
    1.20,
    1.00)</f>
        <v/>
      </c>
      <c r="T5303">
        <f>LET(
    payment_method,'Loan Tape (S&amp;P)'!P5303,
    occupancy,'Loan Tape (S&amp;P)'!N5303,
    maturity_date,'Loan Tape (S&amp;P)'!L5303,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04">
      <c r="J5304">
        <f>LET(
    lien,'Loan Tape (S&amp;P)'!Q5304,
    IF(lien="First",1.00,
        IF(lien="Second",1.50,
            1.70)))</f>
        <v/>
      </c>
      <c r="K5304">
        <f>LET(
    purpose,'Loan Tape (S&amp;P)'!R5304,
    IF(purpose="Purchase",1.00,
        IF(purpose="Remortgage",1.00,
            1.20)))</f>
        <v/>
      </c>
      <c r="L5304">
        <f>LET(
    arrears_months,'Loan Tape (S&amp;P)'!AN5304,
    IF(arrears_months=0,1.00,
    IF(arrears_months=1,3.00,
    IF(arrears_months=2,5.00,
    IF(arrears_months=3,8.00,
    IF(arrears_months=4,10.00,
    IF(arrears_months=5,12.00,15.00)))))))</f>
        <v/>
      </c>
      <c r="M5304">
        <f>LET(
    seasoning_years,DATEDIF('Loan Tape (S&amp;P)'!K5304,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04">
        <f>IF(AND('Loan Tape (S&amp;P)'!U5304="Yes",
        'Loan Tape (S&amp;P)'!T5304&lt;&gt;"Yes",
        DATEDIF('Loan Tape (S&amp;P)'!K5304, TODAY(), "M")&lt;18),
    1.10,
    1.00)</f>
        <v/>
      </c>
      <c r="O5304">
        <f>IF('Loan Tape (S&amp;P)'!T5304="Yes",
    1.35,
    1.00)</f>
        <v/>
      </c>
      <c r="P5304">
        <f>IF('Loan Tape (S&amp;P)'!S5304="Yes",
    1.15,
    1.00)</f>
        <v/>
      </c>
      <c r="Q5304">
        <f>IF('Loan Tape (S&amp;P)'!V5304="Yes",
    1.20,
    1.00)</f>
        <v/>
      </c>
      <c r="T5304">
        <f>LET(
    payment_method,'Loan Tape (S&amp;P)'!P5304,
    occupancy,'Loan Tape (S&amp;P)'!N5304,
    maturity_date,'Loan Tape (S&amp;P)'!L5304,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05">
      <c r="J5305">
        <f>LET(
    lien,'Loan Tape (S&amp;P)'!Q5305,
    IF(lien="First",1.00,
        IF(lien="Second",1.50,
            1.70)))</f>
        <v/>
      </c>
      <c r="K5305">
        <f>LET(
    purpose,'Loan Tape (S&amp;P)'!R5305,
    IF(purpose="Purchase",1.00,
        IF(purpose="Remortgage",1.00,
            1.20)))</f>
        <v/>
      </c>
      <c r="L5305">
        <f>LET(
    arrears_months,'Loan Tape (S&amp;P)'!AN5305,
    IF(arrears_months=0,1.00,
    IF(arrears_months=1,3.00,
    IF(arrears_months=2,5.00,
    IF(arrears_months=3,8.00,
    IF(arrears_months=4,10.00,
    IF(arrears_months=5,12.00,15.00)))))))</f>
        <v/>
      </c>
      <c r="M5305">
        <f>LET(
    seasoning_years,DATEDIF('Loan Tape (S&amp;P)'!K5305,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05">
        <f>IF(AND('Loan Tape (S&amp;P)'!U5305="Yes",
        'Loan Tape (S&amp;P)'!T5305&lt;&gt;"Yes",
        DATEDIF('Loan Tape (S&amp;P)'!K5305, TODAY(), "M")&lt;18),
    1.10,
    1.00)</f>
        <v/>
      </c>
      <c r="O5305">
        <f>IF('Loan Tape (S&amp;P)'!T5305="Yes",
    1.35,
    1.00)</f>
        <v/>
      </c>
      <c r="P5305">
        <f>IF('Loan Tape (S&amp;P)'!S5305="Yes",
    1.15,
    1.00)</f>
        <v/>
      </c>
      <c r="Q5305">
        <f>IF('Loan Tape (S&amp;P)'!V5305="Yes",
    1.20,
    1.00)</f>
        <v/>
      </c>
      <c r="T5305">
        <f>LET(
    payment_method,'Loan Tape (S&amp;P)'!P5305,
    occupancy,'Loan Tape (S&amp;P)'!N5305,
    maturity_date,'Loan Tape (S&amp;P)'!L5305,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06">
      <c r="J5306">
        <f>LET(
    lien,'Loan Tape (S&amp;P)'!Q5306,
    IF(lien="First",1.00,
        IF(lien="Second",1.50,
            1.70)))</f>
        <v/>
      </c>
      <c r="K5306">
        <f>LET(
    purpose,'Loan Tape (S&amp;P)'!R5306,
    IF(purpose="Purchase",1.00,
        IF(purpose="Remortgage",1.00,
            1.20)))</f>
        <v/>
      </c>
      <c r="L5306">
        <f>LET(
    arrears_months,'Loan Tape (S&amp;P)'!AN5306,
    IF(arrears_months=0,1.00,
    IF(arrears_months=1,3.00,
    IF(arrears_months=2,5.00,
    IF(arrears_months=3,8.00,
    IF(arrears_months=4,10.00,
    IF(arrears_months=5,12.00,15.00)))))))</f>
        <v/>
      </c>
      <c r="M5306">
        <f>LET(
    seasoning_years,DATEDIF('Loan Tape (S&amp;P)'!K5306,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06">
        <f>IF(AND('Loan Tape (S&amp;P)'!U5306="Yes",
        'Loan Tape (S&amp;P)'!T5306&lt;&gt;"Yes",
        DATEDIF('Loan Tape (S&amp;P)'!K5306, TODAY(), "M")&lt;18),
    1.10,
    1.00)</f>
        <v/>
      </c>
      <c r="O5306">
        <f>IF('Loan Tape (S&amp;P)'!T5306="Yes",
    1.35,
    1.00)</f>
        <v/>
      </c>
      <c r="P5306">
        <f>IF('Loan Tape (S&amp;P)'!S5306="Yes",
    1.15,
    1.00)</f>
        <v/>
      </c>
      <c r="Q5306">
        <f>IF('Loan Tape (S&amp;P)'!V5306="Yes",
    1.20,
    1.00)</f>
        <v/>
      </c>
      <c r="T5306">
        <f>LET(
    payment_method,'Loan Tape (S&amp;P)'!P5306,
    occupancy,'Loan Tape (S&amp;P)'!N5306,
    maturity_date,'Loan Tape (S&amp;P)'!L5306,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07">
      <c r="J5307">
        <f>LET(
    lien,'Loan Tape (S&amp;P)'!Q5307,
    IF(lien="First",1.00,
        IF(lien="Second",1.50,
            1.70)))</f>
        <v/>
      </c>
      <c r="K5307">
        <f>LET(
    purpose,'Loan Tape (S&amp;P)'!R5307,
    IF(purpose="Purchase",1.00,
        IF(purpose="Remortgage",1.00,
            1.20)))</f>
        <v/>
      </c>
      <c r="L5307">
        <f>LET(
    arrears_months,'Loan Tape (S&amp;P)'!AN5307,
    IF(arrears_months=0,1.00,
    IF(arrears_months=1,3.00,
    IF(arrears_months=2,5.00,
    IF(arrears_months=3,8.00,
    IF(arrears_months=4,10.00,
    IF(arrears_months=5,12.00,15.00)))))))</f>
        <v/>
      </c>
      <c r="M5307">
        <f>LET(
    seasoning_years,DATEDIF('Loan Tape (S&amp;P)'!K5307,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07">
        <f>IF(AND('Loan Tape (S&amp;P)'!U5307="Yes",
        'Loan Tape (S&amp;P)'!T5307&lt;&gt;"Yes",
        DATEDIF('Loan Tape (S&amp;P)'!K5307, TODAY(), "M")&lt;18),
    1.10,
    1.00)</f>
        <v/>
      </c>
      <c r="O5307">
        <f>IF('Loan Tape (S&amp;P)'!T5307="Yes",
    1.35,
    1.00)</f>
        <v/>
      </c>
      <c r="P5307">
        <f>IF('Loan Tape (S&amp;P)'!S5307="Yes",
    1.15,
    1.00)</f>
        <v/>
      </c>
      <c r="Q5307">
        <f>IF('Loan Tape (S&amp;P)'!V5307="Yes",
    1.20,
    1.00)</f>
        <v/>
      </c>
      <c r="T5307">
        <f>LET(
    payment_method,'Loan Tape (S&amp;P)'!P5307,
    occupancy,'Loan Tape (S&amp;P)'!N5307,
    maturity_date,'Loan Tape (S&amp;P)'!L5307,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08">
      <c r="J5308">
        <f>LET(
    lien,'Loan Tape (S&amp;P)'!Q5308,
    IF(lien="First",1.00,
        IF(lien="Second",1.50,
            1.70)))</f>
        <v/>
      </c>
      <c r="K5308">
        <f>LET(
    purpose,'Loan Tape (S&amp;P)'!R5308,
    IF(purpose="Purchase",1.00,
        IF(purpose="Remortgage",1.00,
            1.20)))</f>
        <v/>
      </c>
      <c r="L5308">
        <f>LET(
    arrears_months,'Loan Tape (S&amp;P)'!AN5308,
    IF(arrears_months=0,1.00,
    IF(arrears_months=1,3.00,
    IF(arrears_months=2,5.00,
    IF(arrears_months=3,8.00,
    IF(arrears_months=4,10.00,
    IF(arrears_months=5,12.00,15.00)))))))</f>
        <v/>
      </c>
      <c r="M5308">
        <f>LET(
    seasoning_years,DATEDIF('Loan Tape (S&amp;P)'!K5308,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08">
        <f>IF(AND('Loan Tape (S&amp;P)'!U5308="Yes",
        'Loan Tape (S&amp;P)'!T5308&lt;&gt;"Yes",
        DATEDIF('Loan Tape (S&amp;P)'!K5308, TODAY(), "M")&lt;18),
    1.10,
    1.00)</f>
        <v/>
      </c>
      <c r="O5308">
        <f>IF('Loan Tape (S&amp;P)'!T5308="Yes",
    1.35,
    1.00)</f>
        <v/>
      </c>
      <c r="P5308">
        <f>IF('Loan Tape (S&amp;P)'!S5308="Yes",
    1.15,
    1.00)</f>
        <v/>
      </c>
      <c r="Q5308">
        <f>IF('Loan Tape (S&amp;P)'!V5308="Yes",
    1.20,
    1.00)</f>
        <v/>
      </c>
      <c r="T5308">
        <f>LET(
    payment_method,'Loan Tape (S&amp;P)'!P5308,
    occupancy,'Loan Tape (S&amp;P)'!N5308,
    maturity_date,'Loan Tape (S&amp;P)'!L5308,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09">
      <c r="J5309">
        <f>LET(
    lien,'Loan Tape (S&amp;P)'!Q5309,
    IF(lien="First",1.00,
        IF(lien="Second",1.50,
            1.70)))</f>
        <v/>
      </c>
      <c r="K5309">
        <f>LET(
    purpose,'Loan Tape (S&amp;P)'!R5309,
    IF(purpose="Purchase",1.00,
        IF(purpose="Remortgage",1.00,
            1.20)))</f>
        <v/>
      </c>
      <c r="L5309">
        <f>LET(
    arrears_months,'Loan Tape (S&amp;P)'!AN5309,
    IF(arrears_months=0,1.00,
    IF(arrears_months=1,3.00,
    IF(arrears_months=2,5.00,
    IF(arrears_months=3,8.00,
    IF(arrears_months=4,10.00,
    IF(arrears_months=5,12.00,15.00)))))))</f>
        <v/>
      </c>
      <c r="M5309">
        <f>LET(
    seasoning_years,DATEDIF('Loan Tape (S&amp;P)'!K5309,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09">
        <f>IF(AND('Loan Tape (S&amp;P)'!U5309="Yes",
        'Loan Tape (S&amp;P)'!T5309&lt;&gt;"Yes",
        DATEDIF('Loan Tape (S&amp;P)'!K5309, TODAY(), "M")&lt;18),
    1.10,
    1.00)</f>
        <v/>
      </c>
      <c r="O5309">
        <f>IF('Loan Tape (S&amp;P)'!T5309="Yes",
    1.35,
    1.00)</f>
        <v/>
      </c>
      <c r="P5309">
        <f>IF('Loan Tape (S&amp;P)'!S5309="Yes",
    1.15,
    1.00)</f>
        <v/>
      </c>
      <c r="Q5309">
        <f>IF('Loan Tape (S&amp;P)'!V5309="Yes",
    1.20,
    1.00)</f>
        <v/>
      </c>
      <c r="T5309">
        <f>LET(
    payment_method,'Loan Tape (S&amp;P)'!P5309,
    occupancy,'Loan Tape (S&amp;P)'!N5309,
    maturity_date,'Loan Tape (S&amp;P)'!L5309,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10">
      <c r="J5310">
        <f>LET(
    lien,'Loan Tape (S&amp;P)'!Q5310,
    IF(lien="First",1.00,
        IF(lien="Second",1.50,
            1.70)))</f>
        <v/>
      </c>
      <c r="K5310">
        <f>LET(
    purpose,'Loan Tape (S&amp;P)'!R5310,
    IF(purpose="Purchase",1.00,
        IF(purpose="Remortgage",1.00,
            1.20)))</f>
        <v/>
      </c>
      <c r="L5310">
        <f>LET(
    arrears_months,'Loan Tape (S&amp;P)'!AN5310,
    IF(arrears_months=0,1.00,
    IF(arrears_months=1,3.00,
    IF(arrears_months=2,5.00,
    IF(arrears_months=3,8.00,
    IF(arrears_months=4,10.00,
    IF(arrears_months=5,12.00,15.00)))))))</f>
        <v/>
      </c>
      <c r="M5310">
        <f>LET(
    seasoning_years,DATEDIF('Loan Tape (S&amp;P)'!K5310,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10">
        <f>IF(AND('Loan Tape (S&amp;P)'!U5310="Yes",
        'Loan Tape (S&amp;P)'!T5310&lt;&gt;"Yes",
        DATEDIF('Loan Tape (S&amp;P)'!K5310, TODAY(), "M")&lt;18),
    1.10,
    1.00)</f>
        <v/>
      </c>
      <c r="O5310">
        <f>IF('Loan Tape (S&amp;P)'!T5310="Yes",
    1.35,
    1.00)</f>
        <v/>
      </c>
      <c r="P5310">
        <f>IF('Loan Tape (S&amp;P)'!S5310="Yes",
    1.15,
    1.00)</f>
        <v/>
      </c>
      <c r="Q5310">
        <f>IF('Loan Tape (S&amp;P)'!V5310="Yes",
    1.20,
    1.00)</f>
        <v/>
      </c>
      <c r="T5310">
        <f>LET(
    payment_method,'Loan Tape (S&amp;P)'!P5310,
    occupancy,'Loan Tape (S&amp;P)'!N5310,
    maturity_date,'Loan Tape (S&amp;P)'!L5310,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11">
      <c r="J5311">
        <f>LET(
    lien,'Loan Tape (S&amp;P)'!Q5311,
    IF(lien="First",1.00,
        IF(lien="Second",1.50,
            1.70)))</f>
        <v/>
      </c>
      <c r="K5311">
        <f>LET(
    purpose,'Loan Tape (S&amp;P)'!R5311,
    IF(purpose="Purchase",1.00,
        IF(purpose="Remortgage",1.00,
            1.20)))</f>
        <v/>
      </c>
      <c r="L5311">
        <f>LET(
    arrears_months,'Loan Tape (S&amp;P)'!AN5311,
    IF(arrears_months=0,1.00,
    IF(arrears_months=1,3.00,
    IF(arrears_months=2,5.00,
    IF(arrears_months=3,8.00,
    IF(arrears_months=4,10.00,
    IF(arrears_months=5,12.00,15.00)))))))</f>
        <v/>
      </c>
      <c r="M5311">
        <f>LET(
    seasoning_years,DATEDIF('Loan Tape (S&amp;P)'!K5311,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11">
        <f>IF(AND('Loan Tape (S&amp;P)'!U5311="Yes",
        'Loan Tape (S&amp;P)'!T5311&lt;&gt;"Yes",
        DATEDIF('Loan Tape (S&amp;P)'!K5311, TODAY(), "M")&lt;18),
    1.10,
    1.00)</f>
        <v/>
      </c>
      <c r="O5311">
        <f>IF('Loan Tape (S&amp;P)'!T5311="Yes",
    1.35,
    1.00)</f>
        <v/>
      </c>
      <c r="P5311">
        <f>IF('Loan Tape (S&amp;P)'!S5311="Yes",
    1.15,
    1.00)</f>
        <v/>
      </c>
      <c r="Q5311">
        <f>IF('Loan Tape (S&amp;P)'!V5311="Yes",
    1.20,
    1.00)</f>
        <v/>
      </c>
      <c r="T5311">
        <f>LET(
    payment_method,'Loan Tape (S&amp;P)'!P5311,
    occupancy,'Loan Tape (S&amp;P)'!N5311,
    maturity_date,'Loan Tape (S&amp;P)'!L5311,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12">
      <c r="J5312">
        <f>LET(
    lien,'Loan Tape (S&amp;P)'!Q5312,
    IF(lien="First",1.00,
        IF(lien="Second",1.50,
            1.70)))</f>
        <v/>
      </c>
      <c r="K5312">
        <f>LET(
    purpose,'Loan Tape (S&amp;P)'!R5312,
    IF(purpose="Purchase",1.00,
        IF(purpose="Remortgage",1.00,
            1.20)))</f>
        <v/>
      </c>
      <c r="L5312">
        <f>LET(
    arrears_months,'Loan Tape (S&amp;P)'!AN5312,
    IF(arrears_months=0,1.00,
    IF(arrears_months=1,3.00,
    IF(arrears_months=2,5.00,
    IF(arrears_months=3,8.00,
    IF(arrears_months=4,10.00,
    IF(arrears_months=5,12.00,15.00)))))))</f>
        <v/>
      </c>
      <c r="M5312">
        <f>LET(
    seasoning_years,DATEDIF('Loan Tape (S&amp;P)'!K5312,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12">
        <f>IF(AND('Loan Tape (S&amp;P)'!U5312="Yes",
        'Loan Tape (S&amp;P)'!T5312&lt;&gt;"Yes",
        DATEDIF('Loan Tape (S&amp;P)'!K5312, TODAY(), "M")&lt;18),
    1.10,
    1.00)</f>
        <v/>
      </c>
      <c r="O5312">
        <f>IF('Loan Tape (S&amp;P)'!T5312="Yes",
    1.35,
    1.00)</f>
        <v/>
      </c>
      <c r="P5312">
        <f>IF('Loan Tape (S&amp;P)'!S5312="Yes",
    1.15,
    1.00)</f>
        <v/>
      </c>
      <c r="Q5312">
        <f>IF('Loan Tape (S&amp;P)'!V5312="Yes",
    1.20,
    1.00)</f>
        <v/>
      </c>
      <c r="T5312">
        <f>LET(
    payment_method,'Loan Tape (S&amp;P)'!P5312,
    occupancy,'Loan Tape (S&amp;P)'!N5312,
    maturity_date,'Loan Tape (S&amp;P)'!L5312,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13">
      <c r="J5313">
        <f>LET(
    lien,'Loan Tape (S&amp;P)'!Q5313,
    IF(lien="First",1.00,
        IF(lien="Second",1.50,
            1.70)))</f>
        <v/>
      </c>
      <c r="K5313">
        <f>LET(
    purpose,'Loan Tape (S&amp;P)'!R5313,
    IF(purpose="Purchase",1.00,
        IF(purpose="Remortgage",1.00,
            1.20)))</f>
        <v/>
      </c>
      <c r="L5313">
        <f>LET(
    arrears_months,'Loan Tape (S&amp;P)'!AN5313,
    IF(arrears_months=0,1.00,
    IF(arrears_months=1,3.00,
    IF(arrears_months=2,5.00,
    IF(arrears_months=3,8.00,
    IF(arrears_months=4,10.00,
    IF(arrears_months=5,12.00,15.00)))))))</f>
        <v/>
      </c>
      <c r="M5313">
        <f>LET(
    seasoning_years,DATEDIF('Loan Tape (S&amp;P)'!K5313,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13">
        <f>IF(AND('Loan Tape (S&amp;P)'!U5313="Yes",
        'Loan Tape (S&amp;P)'!T5313&lt;&gt;"Yes",
        DATEDIF('Loan Tape (S&amp;P)'!K5313, TODAY(), "M")&lt;18),
    1.10,
    1.00)</f>
        <v/>
      </c>
      <c r="O5313">
        <f>IF('Loan Tape (S&amp;P)'!T5313="Yes",
    1.35,
    1.00)</f>
        <v/>
      </c>
      <c r="P5313">
        <f>IF('Loan Tape (S&amp;P)'!S5313="Yes",
    1.15,
    1.00)</f>
        <v/>
      </c>
      <c r="Q5313">
        <f>IF('Loan Tape (S&amp;P)'!V5313="Yes",
    1.20,
    1.00)</f>
        <v/>
      </c>
      <c r="T5313">
        <f>LET(
    payment_method,'Loan Tape (S&amp;P)'!P5313,
    occupancy,'Loan Tape (S&amp;P)'!N5313,
    maturity_date,'Loan Tape (S&amp;P)'!L5313,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14">
      <c r="J5314">
        <f>LET(
    lien,'Loan Tape (S&amp;P)'!Q5314,
    IF(lien="First",1.00,
        IF(lien="Second",1.50,
            1.70)))</f>
        <v/>
      </c>
      <c r="K5314">
        <f>LET(
    purpose,'Loan Tape (S&amp;P)'!R5314,
    IF(purpose="Purchase",1.00,
        IF(purpose="Remortgage",1.00,
            1.20)))</f>
        <v/>
      </c>
      <c r="L5314">
        <f>LET(
    arrears_months,'Loan Tape (S&amp;P)'!AN5314,
    IF(arrears_months=0,1.00,
    IF(arrears_months=1,3.00,
    IF(arrears_months=2,5.00,
    IF(arrears_months=3,8.00,
    IF(arrears_months=4,10.00,
    IF(arrears_months=5,12.00,15.00)))))))</f>
        <v/>
      </c>
      <c r="M5314">
        <f>LET(
    seasoning_years,DATEDIF('Loan Tape (S&amp;P)'!K5314,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14">
        <f>IF(AND('Loan Tape (S&amp;P)'!U5314="Yes",
        'Loan Tape (S&amp;P)'!T5314&lt;&gt;"Yes",
        DATEDIF('Loan Tape (S&amp;P)'!K5314, TODAY(), "M")&lt;18),
    1.10,
    1.00)</f>
        <v/>
      </c>
      <c r="O5314">
        <f>IF('Loan Tape (S&amp;P)'!T5314="Yes",
    1.35,
    1.00)</f>
        <v/>
      </c>
      <c r="P5314">
        <f>IF('Loan Tape (S&amp;P)'!S5314="Yes",
    1.15,
    1.00)</f>
        <v/>
      </c>
      <c r="Q5314">
        <f>IF('Loan Tape (S&amp;P)'!V5314="Yes",
    1.20,
    1.00)</f>
        <v/>
      </c>
      <c r="T5314">
        <f>LET(
    payment_method,'Loan Tape (S&amp;P)'!P5314,
    occupancy,'Loan Tape (S&amp;P)'!N5314,
    maturity_date,'Loan Tape (S&amp;P)'!L5314,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15">
      <c r="J5315">
        <f>LET(
    lien,'Loan Tape (S&amp;P)'!Q5315,
    IF(lien="First",1.00,
        IF(lien="Second",1.50,
            1.70)))</f>
        <v/>
      </c>
      <c r="K5315">
        <f>LET(
    purpose,'Loan Tape (S&amp;P)'!R5315,
    IF(purpose="Purchase",1.00,
        IF(purpose="Remortgage",1.00,
            1.20)))</f>
        <v/>
      </c>
      <c r="L5315">
        <f>LET(
    arrears_months,'Loan Tape (S&amp;P)'!AN5315,
    IF(arrears_months=0,1.00,
    IF(arrears_months=1,3.00,
    IF(arrears_months=2,5.00,
    IF(arrears_months=3,8.00,
    IF(arrears_months=4,10.00,
    IF(arrears_months=5,12.00,15.00)))))))</f>
        <v/>
      </c>
      <c r="M5315">
        <f>LET(
    seasoning_years,DATEDIF('Loan Tape (S&amp;P)'!K5315,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15">
        <f>IF(AND('Loan Tape (S&amp;P)'!U5315="Yes",
        'Loan Tape (S&amp;P)'!T5315&lt;&gt;"Yes",
        DATEDIF('Loan Tape (S&amp;P)'!K5315, TODAY(), "M")&lt;18),
    1.10,
    1.00)</f>
        <v/>
      </c>
      <c r="O5315">
        <f>IF('Loan Tape (S&amp;P)'!T5315="Yes",
    1.35,
    1.00)</f>
        <v/>
      </c>
      <c r="P5315">
        <f>IF('Loan Tape (S&amp;P)'!S5315="Yes",
    1.15,
    1.00)</f>
        <v/>
      </c>
      <c r="Q5315">
        <f>IF('Loan Tape (S&amp;P)'!V5315="Yes",
    1.20,
    1.00)</f>
        <v/>
      </c>
      <c r="T5315">
        <f>LET(
    payment_method,'Loan Tape (S&amp;P)'!P5315,
    occupancy,'Loan Tape (S&amp;P)'!N5315,
    maturity_date,'Loan Tape (S&amp;P)'!L5315,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16">
      <c r="J5316">
        <f>LET(
    lien,'Loan Tape (S&amp;P)'!Q5316,
    IF(lien="First",1.00,
        IF(lien="Second",1.50,
            1.70)))</f>
        <v/>
      </c>
      <c r="K5316">
        <f>LET(
    purpose,'Loan Tape (S&amp;P)'!R5316,
    IF(purpose="Purchase",1.00,
        IF(purpose="Remortgage",1.00,
            1.20)))</f>
        <v/>
      </c>
      <c r="L5316">
        <f>LET(
    arrears_months,'Loan Tape (S&amp;P)'!AN5316,
    IF(arrears_months=0,1.00,
    IF(arrears_months=1,3.00,
    IF(arrears_months=2,5.00,
    IF(arrears_months=3,8.00,
    IF(arrears_months=4,10.00,
    IF(arrears_months=5,12.00,15.00)))))))</f>
        <v/>
      </c>
      <c r="M5316">
        <f>LET(
    seasoning_years,DATEDIF('Loan Tape (S&amp;P)'!K5316,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16">
        <f>IF(AND('Loan Tape (S&amp;P)'!U5316="Yes",
        'Loan Tape (S&amp;P)'!T5316&lt;&gt;"Yes",
        DATEDIF('Loan Tape (S&amp;P)'!K5316, TODAY(), "M")&lt;18),
    1.10,
    1.00)</f>
        <v/>
      </c>
      <c r="O5316">
        <f>IF('Loan Tape (S&amp;P)'!T5316="Yes",
    1.35,
    1.00)</f>
        <v/>
      </c>
      <c r="P5316">
        <f>IF('Loan Tape (S&amp;P)'!S5316="Yes",
    1.15,
    1.00)</f>
        <v/>
      </c>
      <c r="Q5316">
        <f>IF('Loan Tape (S&amp;P)'!V5316="Yes",
    1.20,
    1.00)</f>
        <v/>
      </c>
      <c r="T5316">
        <f>LET(
    payment_method,'Loan Tape (S&amp;P)'!P5316,
    occupancy,'Loan Tape (S&amp;P)'!N5316,
    maturity_date,'Loan Tape (S&amp;P)'!L5316,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17">
      <c r="J5317">
        <f>LET(
    lien,'Loan Tape (S&amp;P)'!Q5317,
    IF(lien="First",1.00,
        IF(lien="Second",1.50,
            1.70)))</f>
        <v/>
      </c>
      <c r="K5317">
        <f>LET(
    purpose,'Loan Tape (S&amp;P)'!R5317,
    IF(purpose="Purchase",1.00,
        IF(purpose="Remortgage",1.00,
            1.20)))</f>
        <v/>
      </c>
      <c r="L5317">
        <f>LET(
    arrears_months,'Loan Tape (S&amp;P)'!AN5317,
    IF(arrears_months=0,1.00,
    IF(arrears_months=1,3.00,
    IF(arrears_months=2,5.00,
    IF(arrears_months=3,8.00,
    IF(arrears_months=4,10.00,
    IF(arrears_months=5,12.00,15.00)))))))</f>
        <v/>
      </c>
      <c r="M5317">
        <f>LET(
    seasoning_years,DATEDIF('Loan Tape (S&amp;P)'!K5317,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17">
        <f>IF(AND('Loan Tape (S&amp;P)'!U5317="Yes",
        'Loan Tape (S&amp;P)'!T5317&lt;&gt;"Yes",
        DATEDIF('Loan Tape (S&amp;P)'!K5317, TODAY(), "M")&lt;18),
    1.10,
    1.00)</f>
        <v/>
      </c>
      <c r="O5317">
        <f>IF('Loan Tape (S&amp;P)'!T5317="Yes",
    1.35,
    1.00)</f>
        <v/>
      </c>
      <c r="P5317">
        <f>IF('Loan Tape (S&amp;P)'!S5317="Yes",
    1.15,
    1.00)</f>
        <v/>
      </c>
      <c r="Q5317">
        <f>IF('Loan Tape (S&amp;P)'!V5317="Yes",
    1.20,
    1.00)</f>
        <v/>
      </c>
      <c r="T5317">
        <f>LET(
    payment_method,'Loan Tape (S&amp;P)'!P5317,
    occupancy,'Loan Tape (S&amp;P)'!N5317,
    maturity_date,'Loan Tape (S&amp;P)'!L5317,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18">
      <c r="J5318">
        <f>LET(
    lien,'Loan Tape (S&amp;P)'!Q5318,
    IF(lien="First",1.00,
        IF(lien="Second",1.50,
            1.70)))</f>
        <v/>
      </c>
      <c r="K5318">
        <f>LET(
    purpose,'Loan Tape (S&amp;P)'!R5318,
    IF(purpose="Purchase",1.00,
        IF(purpose="Remortgage",1.00,
            1.20)))</f>
        <v/>
      </c>
      <c r="L5318">
        <f>LET(
    arrears_months,'Loan Tape (S&amp;P)'!AN5318,
    IF(arrears_months=0,1.00,
    IF(arrears_months=1,3.00,
    IF(arrears_months=2,5.00,
    IF(arrears_months=3,8.00,
    IF(arrears_months=4,10.00,
    IF(arrears_months=5,12.00,15.00)))))))</f>
        <v/>
      </c>
      <c r="M5318">
        <f>LET(
    seasoning_years,DATEDIF('Loan Tape (S&amp;P)'!K5318,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18">
        <f>IF(AND('Loan Tape (S&amp;P)'!U5318="Yes",
        'Loan Tape (S&amp;P)'!T5318&lt;&gt;"Yes",
        DATEDIF('Loan Tape (S&amp;P)'!K5318, TODAY(), "M")&lt;18),
    1.10,
    1.00)</f>
        <v/>
      </c>
      <c r="O5318">
        <f>IF('Loan Tape (S&amp;P)'!T5318="Yes",
    1.35,
    1.00)</f>
        <v/>
      </c>
      <c r="P5318">
        <f>IF('Loan Tape (S&amp;P)'!S5318="Yes",
    1.15,
    1.00)</f>
        <v/>
      </c>
      <c r="Q5318">
        <f>IF('Loan Tape (S&amp;P)'!V5318="Yes",
    1.20,
    1.00)</f>
        <v/>
      </c>
      <c r="T5318">
        <f>LET(
    payment_method,'Loan Tape (S&amp;P)'!P5318,
    occupancy,'Loan Tape (S&amp;P)'!N5318,
    maturity_date,'Loan Tape (S&amp;P)'!L5318,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19">
      <c r="J5319">
        <f>LET(
    lien,'Loan Tape (S&amp;P)'!Q5319,
    IF(lien="First",1.00,
        IF(lien="Second",1.50,
            1.70)))</f>
        <v/>
      </c>
      <c r="K5319">
        <f>LET(
    purpose,'Loan Tape (S&amp;P)'!R5319,
    IF(purpose="Purchase",1.00,
        IF(purpose="Remortgage",1.00,
            1.20)))</f>
        <v/>
      </c>
      <c r="L5319">
        <f>LET(
    arrears_months,'Loan Tape (S&amp;P)'!AN5319,
    IF(arrears_months=0,1.00,
    IF(arrears_months=1,3.00,
    IF(arrears_months=2,5.00,
    IF(arrears_months=3,8.00,
    IF(arrears_months=4,10.00,
    IF(arrears_months=5,12.00,15.00)))))))</f>
        <v/>
      </c>
      <c r="M5319">
        <f>LET(
    seasoning_years,DATEDIF('Loan Tape (S&amp;P)'!K5319,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19">
        <f>IF(AND('Loan Tape (S&amp;P)'!U5319="Yes",
        'Loan Tape (S&amp;P)'!T5319&lt;&gt;"Yes",
        DATEDIF('Loan Tape (S&amp;P)'!K5319, TODAY(), "M")&lt;18),
    1.10,
    1.00)</f>
        <v/>
      </c>
      <c r="O5319">
        <f>IF('Loan Tape (S&amp;P)'!T5319="Yes",
    1.35,
    1.00)</f>
        <v/>
      </c>
      <c r="P5319">
        <f>IF('Loan Tape (S&amp;P)'!S5319="Yes",
    1.15,
    1.00)</f>
        <v/>
      </c>
      <c r="Q5319">
        <f>IF('Loan Tape (S&amp;P)'!V5319="Yes",
    1.20,
    1.00)</f>
        <v/>
      </c>
      <c r="T5319">
        <f>LET(
    payment_method,'Loan Tape (S&amp;P)'!P5319,
    occupancy,'Loan Tape (S&amp;P)'!N5319,
    maturity_date,'Loan Tape (S&amp;P)'!L5319,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20">
      <c r="J5320">
        <f>LET(
    lien,'Loan Tape (S&amp;P)'!Q5320,
    IF(lien="First",1.00,
        IF(lien="Second",1.50,
            1.70)))</f>
        <v/>
      </c>
      <c r="K5320">
        <f>LET(
    purpose,'Loan Tape (S&amp;P)'!R5320,
    IF(purpose="Purchase",1.00,
        IF(purpose="Remortgage",1.00,
            1.20)))</f>
        <v/>
      </c>
      <c r="L5320">
        <f>LET(
    arrears_months,'Loan Tape (S&amp;P)'!AN5320,
    IF(arrears_months=0,1.00,
    IF(arrears_months=1,3.00,
    IF(arrears_months=2,5.00,
    IF(arrears_months=3,8.00,
    IF(arrears_months=4,10.00,
    IF(arrears_months=5,12.00,15.00)))))))</f>
        <v/>
      </c>
      <c r="M5320">
        <f>LET(
    seasoning_years,DATEDIF('Loan Tape (S&amp;P)'!K5320,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20">
        <f>IF(AND('Loan Tape (S&amp;P)'!U5320="Yes",
        'Loan Tape (S&amp;P)'!T5320&lt;&gt;"Yes",
        DATEDIF('Loan Tape (S&amp;P)'!K5320, TODAY(), "M")&lt;18),
    1.10,
    1.00)</f>
        <v/>
      </c>
      <c r="O5320">
        <f>IF('Loan Tape (S&amp;P)'!T5320="Yes",
    1.35,
    1.00)</f>
        <v/>
      </c>
      <c r="P5320">
        <f>IF('Loan Tape (S&amp;P)'!S5320="Yes",
    1.15,
    1.00)</f>
        <v/>
      </c>
      <c r="Q5320">
        <f>IF('Loan Tape (S&amp;P)'!V5320="Yes",
    1.20,
    1.00)</f>
        <v/>
      </c>
      <c r="T5320">
        <f>LET(
    payment_method,'Loan Tape (S&amp;P)'!P5320,
    occupancy,'Loan Tape (S&amp;P)'!N5320,
    maturity_date,'Loan Tape (S&amp;P)'!L5320,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21">
      <c r="J5321">
        <f>LET(
    lien,'Loan Tape (S&amp;P)'!Q5321,
    IF(lien="First",1.00,
        IF(lien="Second",1.50,
            1.70)))</f>
        <v/>
      </c>
      <c r="K5321">
        <f>LET(
    purpose,'Loan Tape (S&amp;P)'!R5321,
    IF(purpose="Purchase",1.00,
        IF(purpose="Remortgage",1.00,
            1.20)))</f>
        <v/>
      </c>
      <c r="L5321">
        <f>LET(
    arrears_months,'Loan Tape (S&amp;P)'!AN5321,
    IF(arrears_months=0,1.00,
    IF(arrears_months=1,3.00,
    IF(arrears_months=2,5.00,
    IF(arrears_months=3,8.00,
    IF(arrears_months=4,10.00,
    IF(arrears_months=5,12.00,15.00)))))))</f>
        <v/>
      </c>
      <c r="M5321">
        <f>LET(
    seasoning_years,DATEDIF('Loan Tape (S&amp;P)'!K5321,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21">
        <f>IF(AND('Loan Tape (S&amp;P)'!U5321="Yes",
        'Loan Tape (S&amp;P)'!T5321&lt;&gt;"Yes",
        DATEDIF('Loan Tape (S&amp;P)'!K5321, TODAY(), "M")&lt;18),
    1.10,
    1.00)</f>
        <v/>
      </c>
      <c r="O5321">
        <f>IF('Loan Tape (S&amp;P)'!T5321="Yes",
    1.35,
    1.00)</f>
        <v/>
      </c>
      <c r="P5321">
        <f>IF('Loan Tape (S&amp;P)'!S5321="Yes",
    1.15,
    1.00)</f>
        <v/>
      </c>
      <c r="Q5321">
        <f>IF('Loan Tape (S&amp;P)'!V5321="Yes",
    1.20,
    1.00)</f>
        <v/>
      </c>
      <c r="T5321">
        <f>LET(
    payment_method,'Loan Tape (S&amp;P)'!P5321,
    occupancy,'Loan Tape (S&amp;P)'!N5321,
    maturity_date,'Loan Tape (S&amp;P)'!L5321,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22">
      <c r="J5322">
        <f>LET(
    lien,'Loan Tape (S&amp;P)'!Q5322,
    IF(lien="First",1.00,
        IF(lien="Second",1.50,
            1.70)))</f>
        <v/>
      </c>
      <c r="K5322">
        <f>LET(
    purpose,'Loan Tape (S&amp;P)'!R5322,
    IF(purpose="Purchase",1.00,
        IF(purpose="Remortgage",1.00,
            1.20)))</f>
        <v/>
      </c>
      <c r="L5322">
        <f>LET(
    arrears_months,'Loan Tape (S&amp;P)'!AN5322,
    IF(arrears_months=0,1.00,
    IF(arrears_months=1,3.00,
    IF(arrears_months=2,5.00,
    IF(arrears_months=3,8.00,
    IF(arrears_months=4,10.00,
    IF(arrears_months=5,12.00,15.00)))))))</f>
        <v/>
      </c>
      <c r="M5322">
        <f>LET(
    seasoning_years,DATEDIF('Loan Tape (S&amp;P)'!K5322,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22">
        <f>IF(AND('Loan Tape (S&amp;P)'!U5322="Yes",
        'Loan Tape (S&amp;P)'!T5322&lt;&gt;"Yes",
        DATEDIF('Loan Tape (S&amp;P)'!K5322, TODAY(), "M")&lt;18),
    1.10,
    1.00)</f>
        <v/>
      </c>
      <c r="O5322">
        <f>IF('Loan Tape (S&amp;P)'!T5322="Yes",
    1.35,
    1.00)</f>
        <v/>
      </c>
      <c r="P5322">
        <f>IF('Loan Tape (S&amp;P)'!S5322="Yes",
    1.15,
    1.00)</f>
        <v/>
      </c>
      <c r="Q5322">
        <f>IF('Loan Tape (S&amp;P)'!V5322="Yes",
    1.20,
    1.00)</f>
        <v/>
      </c>
      <c r="T5322">
        <f>LET(
    payment_method,'Loan Tape (S&amp;P)'!P5322,
    occupancy,'Loan Tape (S&amp;P)'!N5322,
    maturity_date,'Loan Tape (S&amp;P)'!L5322,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23">
      <c r="J5323">
        <f>LET(
    lien,'Loan Tape (S&amp;P)'!Q5323,
    IF(lien="First",1.00,
        IF(lien="Second",1.50,
            1.70)))</f>
        <v/>
      </c>
      <c r="K5323">
        <f>LET(
    purpose,'Loan Tape (S&amp;P)'!R5323,
    IF(purpose="Purchase",1.00,
        IF(purpose="Remortgage",1.00,
            1.20)))</f>
        <v/>
      </c>
      <c r="L5323">
        <f>LET(
    arrears_months,'Loan Tape (S&amp;P)'!AN5323,
    IF(arrears_months=0,1.00,
    IF(arrears_months=1,3.00,
    IF(arrears_months=2,5.00,
    IF(arrears_months=3,8.00,
    IF(arrears_months=4,10.00,
    IF(arrears_months=5,12.00,15.00)))))))</f>
        <v/>
      </c>
      <c r="M5323">
        <f>LET(
    seasoning_years,DATEDIF('Loan Tape (S&amp;P)'!K5323,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23">
        <f>IF(AND('Loan Tape (S&amp;P)'!U5323="Yes",
        'Loan Tape (S&amp;P)'!T5323&lt;&gt;"Yes",
        DATEDIF('Loan Tape (S&amp;P)'!K5323, TODAY(), "M")&lt;18),
    1.10,
    1.00)</f>
        <v/>
      </c>
      <c r="O5323">
        <f>IF('Loan Tape (S&amp;P)'!T5323="Yes",
    1.35,
    1.00)</f>
        <v/>
      </c>
      <c r="P5323">
        <f>IF('Loan Tape (S&amp;P)'!S5323="Yes",
    1.15,
    1.00)</f>
        <v/>
      </c>
      <c r="Q5323">
        <f>IF('Loan Tape (S&amp;P)'!V5323="Yes",
    1.20,
    1.00)</f>
        <v/>
      </c>
      <c r="T5323">
        <f>LET(
    payment_method,'Loan Tape (S&amp;P)'!P5323,
    occupancy,'Loan Tape (S&amp;P)'!N5323,
    maturity_date,'Loan Tape (S&amp;P)'!L5323,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24">
      <c r="J5324">
        <f>LET(
    lien,'Loan Tape (S&amp;P)'!Q5324,
    IF(lien="First",1.00,
        IF(lien="Second",1.50,
            1.70)))</f>
        <v/>
      </c>
      <c r="K5324">
        <f>LET(
    purpose,'Loan Tape (S&amp;P)'!R5324,
    IF(purpose="Purchase",1.00,
        IF(purpose="Remortgage",1.00,
            1.20)))</f>
        <v/>
      </c>
      <c r="L5324">
        <f>LET(
    arrears_months,'Loan Tape (S&amp;P)'!AN5324,
    IF(arrears_months=0,1.00,
    IF(arrears_months=1,3.00,
    IF(arrears_months=2,5.00,
    IF(arrears_months=3,8.00,
    IF(arrears_months=4,10.00,
    IF(arrears_months=5,12.00,15.00)))))))</f>
        <v/>
      </c>
      <c r="M5324">
        <f>LET(
    seasoning_years,DATEDIF('Loan Tape (S&amp;P)'!K5324,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24">
        <f>IF(AND('Loan Tape (S&amp;P)'!U5324="Yes",
        'Loan Tape (S&amp;P)'!T5324&lt;&gt;"Yes",
        DATEDIF('Loan Tape (S&amp;P)'!K5324, TODAY(), "M")&lt;18),
    1.10,
    1.00)</f>
        <v/>
      </c>
      <c r="O5324">
        <f>IF('Loan Tape (S&amp;P)'!T5324="Yes",
    1.35,
    1.00)</f>
        <v/>
      </c>
      <c r="P5324">
        <f>IF('Loan Tape (S&amp;P)'!S5324="Yes",
    1.15,
    1.00)</f>
        <v/>
      </c>
      <c r="Q5324">
        <f>IF('Loan Tape (S&amp;P)'!V5324="Yes",
    1.20,
    1.00)</f>
        <v/>
      </c>
      <c r="T5324">
        <f>LET(
    payment_method,'Loan Tape (S&amp;P)'!P5324,
    occupancy,'Loan Tape (S&amp;P)'!N5324,
    maturity_date,'Loan Tape (S&amp;P)'!L5324,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25">
      <c r="J5325">
        <f>LET(
    lien,'Loan Tape (S&amp;P)'!Q5325,
    IF(lien="First",1.00,
        IF(lien="Second",1.50,
            1.70)))</f>
        <v/>
      </c>
      <c r="K5325">
        <f>LET(
    purpose,'Loan Tape (S&amp;P)'!R5325,
    IF(purpose="Purchase",1.00,
        IF(purpose="Remortgage",1.00,
            1.20)))</f>
        <v/>
      </c>
      <c r="L5325">
        <f>LET(
    arrears_months,'Loan Tape (S&amp;P)'!AN5325,
    IF(arrears_months=0,1.00,
    IF(arrears_months=1,3.00,
    IF(arrears_months=2,5.00,
    IF(arrears_months=3,8.00,
    IF(arrears_months=4,10.00,
    IF(arrears_months=5,12.00,15.00)))))))</f>
        <v/>
      </c>
      <c r="M5325">
        <f>LET(
    seasoning_years,DATEDIF('Loan Tape (S&amp;P)'!K5325,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25">
        <f>IF(AND('Loan Tape (S&amp;P)'!U5325="Yes",
        'Loan Tape (S&amp;P)'!T5325&lt;&gt;"Yes",
        DATEDIF('Loan Tape (S&amp;P)'!K5325, TODAY(), "M")&lt;18),
    1.10,
    1.00)</f>
        <v/>
      </c>
      <c r="O5325">
        <f>IF('Loan Tape (S&amp;P)'!T5325="Yes",
    1.35,
    1.00)</f>
        <v/>
      </c>
      <c r="P5325">
        <f>IF('Loan Tape (S&amp;P)'!S5325="Yes",
    1.15,
    1.00)</f>
        <v/>
      </c>
      <c r="Q5325">
        <f>IF('Loan Tape (S&amp;P)'!V5325="Yes",
    1.20,
    1.00)</f>
        <v/>
      </c>
      <c r="T5325">
        <f>LET(
    payment_method,'Loan Tape (S&amp;P)'!P5325,
    occupancy,'Loan Tape (S&amp;P)'!N5325,
    maturity_date,'Loan Tape (S&amp;P)'!L5325,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26">
      <c r="J5326">
        <f>LET(
    lien,'Loan Tape (S&amp;P)'!Q5326,
    IF(lien="First",1.00,
        IF(lien="Second",1.50,
            1.70)))</f>
        <v/>
      </c>
      <c r="K5326">
        <f>LET(
    purpose,'Loan Tape (S&amp;P)'!R5326,
    IF(purpose="Purchase",1.00,
        IF(purpose="Remortgage",1.00,
            1.20)))</f>
        <v/>
      </c>
      <c r="L5326">
        <f>LET(
    arrears_months,'Loan Tape (S&amp;P)'!AN5326,
    IF(arrears_months=0,1.00,
    IF(arrears_months=1,3.00,
    IF(arrears_months=2,5.00,
    IF(arrears_months=3,8.00,
    IF(arrears_months=4,10.00,
    IF(arrears_months=5,12.00,15.00)))))))</f>
        <v/>
      </c>
      <c r="M5326">
        <f>LET(
    seasoning_years,DATEDIF('Loan Tape (S&amp;P)'!K5326,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26">
        <f>IF(AND('Loan Tape (S&amp;P)'!U5326="Yes",
        'Loan Tape (S&amp;P)'!T5326&lt;&gt;"Yes",
        DATEDIF('Loan Tape (S&amp;P)'!K5326, TODAY(), "M")&lt;18),
    1.10,
    1.00)</f>
        <v/>
      </c>
      <c r="O5326">
        <f>IF('Loan Tape (S&amp;P)'!T5326="Yes",
    1.35,
    1.00)</f>
        <v/>
      </c>
      <c r="P5326">
        <f>IF('Loan Tape (S&amp;P)'!S5326="Yes",
    1.15,
    1.00)</f>
        <v/>
      </c>
      <c r="Q5326">
        <f>IF('Loan Tape (S&amp;P)'!V5326="Yes",
    1.20,
    1.00)</f>
        <v/>
      </c>
      <c r="T5326">
        <f>LET(
    payment_method,'Loan Tape (S&amp;P)'!P5326,
    occupancy,'Loan Tape (S&amp;P)'!N5326,
    maturity_date,'Loan Tape (S&amp;P)'!L5326,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27">
      <c r="J5327">
        <f>LET(
    lien,'Loan Tape (S&amp;P)'!Q5327,
    IF(lien="First",1.00,
        IF(lien="Second",1.50,
            1.70)))</f>
        <v/>
      </c>
      <c r="K5327">
        <f>LET(
    purpose,'Loan Tape (S&amp;P)'!R5327,
    IF(purpose="Purchase",1.00,
        IF(purpose="Remortgage",1.00,
            1.20)))</f>
        <v/>
      </c>
      <c r="L5327">
        <f>LET(
    arrears_months,'Loan Tape (S&amp;P)'!AN5327,
    IF(arrears_months=0,1.00,
    IF(arrears_months=1,3.00,
    IF(arrears_months=2,5.00,
    IF(arrears_months=3,8.00,
    IF(arrears_months=4,10.00,
    IF(arrears_months=5,12.00,15.00)))))))</f>
        <v/>
      </c>
      <c r="M5327">
        <f>LET(
    seasoning_years,DATEDIF('Loan Tape (S&amp;P)'!K5327,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27">
        <f>IF(AND('Loan Tape (S&amp;P)'!U5327="Yes",
        'Loan Tape (S&amp;P)'!T5327&lt;&gt;"Yes",
        DATEDIF('Loan Tape (S&amp;P)'!K5327, TODAY(), "M")&lt;18),
    1.10,
    1.00)</f>
        <v/>
      </c>
      <c r="O5327">
        <f>IF('Loan Tape (S&amp;P)'!T5327="Yes",
    1.35,
    1.00)</f>
        <v/>
      </c>
      <c r="P5327">
        <f>IF('Loan Tape (S&amp;P)'!S5327="Yes",
    1.15,
    1.00)</f>
        <v/>
      </c>
      <c r="Q5327">
        <f>IF('Loan Tape (S&amp;P)'!V5327="Yes",
    1.20,
    1.00)</f>
        <v/>
      </c>
      <c r="T5327">
        <f>LET(
    payment_method,'Loan Tape (S&amp;P)'!P5327,
    occupancy,'Loan Tape (S&amp;P)'!N5327,
    maturity_date,'Loan Tape (S&amp;P)'!L5327,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28">
      <c r="J5328">
        <f>LET(
    lien,'Loan Tape (S&amp;P)'!Q5328,
    IF(lien="First",1.00,
        IF(lien="Second",1.50,
            1.70)))</f>
        <v/>
      </c>
      <c r="K5328">
        <f>LET(
    purpose,'Loan Tape (S&amp;P)'!R5328,
    IF(purpose="Purchase",1.00,
        IF(purpose="Remortgage",1.00,
            1.20)))</f>
        <v/>
      </c>
      <c r="L5328">
        <f>LET(
    arrears_months,'Loan Tape (S&amp;P)'!AN5328,
    IF(arrears_months=0,1.00,
    IF(arrears_months=1,3.00,
    IF(arrears_months=2,5.00,
    IF(arrears_months=3,8.00,
    IF(arrears_months=4,10.00,
    IF(arrears_months=5,12.00,15.00)))))))</f>
        <v/>
      </c>
      <c r="M5328">
        <f>LET(
    seasoning_years,DATEDIF('Loan Tape (S&amp;P)'!K5328,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28">
        <f>IF(AND('Loan Tape (S&amp;P)'!U5328="Yes",
        'Loan Tape (S&amp;P)'!T5328&lt;&gt;"Yes",
        DATEDIF('Loan Tape (S&amp;P)'!K5328, TODAY(), "M")&lt;18),
    1.10,
    1.00)</f>
        <v/>
      </c>
      <c r="O5328">
        <f>IF('Loan Tape (S&amp;P)'!T5328="Yes",
    1.35,
    1.00)</f>
        <v/>
      </c>
      <c r="P5328">
        <f>IF('Loan Tape (S&amp;P)'!S5328="Yes",
    1.15,
    1.00)</f>
        <v/>
      </c>
      <c r="Q5328">
        <f>IF('Loan Tape (S&amp;P)'!V5328="Yes",
    1.20,
    1.00)</f>
        <v/>
      </c>
      <c r="T5328">
        <f>LET(
    payment_method,'Loan Tape (S&amp;P)'!P5328,
    occupancy,'Loan Tape (S&amp;P)'!N5328,
    maturity_date,'Loan Tape (S&amp;P)'!L5328,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29">
      <c r="J5329">
        <f>LET(
    lien,'Loan Tape (S&amp;P)'!Q5329,
    IF(lien="First",1.00,
        IF(lien="Second",1.50,
            1.70)))</f>
        <v/>
      </c>
      <c r="K5329">
        <f>LET(
    purpose,'Loan Tape (S&amp;P)'!R5329,
    IF(purpose="Purchase",1.00,
        IF(purpose="Remortgage",1.00,
            1.20)))</f>
        <v/>
      </c>
      <c r="L5329">
        <f>LET(
    arrears_months,'Loan Tape (S&amp;P)'!AN5329,
    IF(arrears_months=0,1.00,
    IF(arrears_months=1,3.00,
    IF(arrears_months=2,5.00,
    IF(arrears_months=3,8.00,
    IF(arrears_months=4,10.00,
    IF(arrears_months=5,12.00,15.00)))))))</f>
        <v/>
      </c>
      <c r="M5329">
        <f>LET(
    seasoning_years,DATEDIF('Loan Tape (S&amp;P)'!K5329,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29">
        <f>IF(AND('Loan Tape (S&amp;P)'!U5329="Yes",
        'Loan Tape (S&amp;P)'!T5329&lt;&gt;"Yes",
        DATEDIF('Loan Tape (S&amp;P)'!K5329, TODAY(), "M")&lt;18),
    1.10,
    1.00)</f>
        <v/>
      </c>
      <c r="O5329">
        <f>IF('Loan Tape (S&amp;P)'!T5329="Yes",
    1.35,
    1.00)</f>
        <v/>
      </c>
      <c r="P5329">
        <f>IF('Loan Tape (S&amp;P)'!S5329="Yes",
    1.15,
    1.00)</f>
        <v/>
      </c>
      <c r="Q5329">
        <f>IF('Loan Tape (S&amp;P)'!V5329="Yes",
    1.20,
    1.00)</f>
        <v/>
      </c>
      <c r="T5329">
        <f>LET(
    payment_method,'Loan Tape (S&amp;P)'!P5329,
    occupancy,'Loan Tape (S&amp;P)'!N5329,
    maturity_date,'Loan Tape (S&amp;P)'!L5329,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30">
      <c r="J5330">
        <f>LET(
    lien,'Loan Tape (S&amp;P)'!Q5330,
    IF(lien="First",1.00,
        IF(lien="Second",1.50,
            1.70)))</f>
        <v/>
      </c>
      <c r="K5330">
        <f>LET(
    purpose,'Loan Tape (S&amp;P)'!R5330,
    IF(purpose="Purchase",1.00,
        IF(purpose="Remortgage",1.00,
            1.20)))</f>
        <v/>
      </c>
      <c r="L5330">
        <f>LET(
    arrears_months,'Loan Tape (S&amp;P)'!AN5330,
    IF(arrears_months=0,1.00,
    IF(arrears_months=1,3.00,
    IF(arrears_months=2,5.00,
    IF(arrears_months=3,8.00,
    IF(arrears_months=4,10.00,
    IF(arrears_months=5,12.00,15.00)))))))</f>
        <v/>
      </c>
      <c r="M5330">
        <f>LET(
    seasoning_years,DATEDIF('Loan Tape (S&amp;P)'!K5330,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30">
        <f>IF(AND('Loan Tape (S&amp;P)'!U5330="Yes",
        'Loan Tape (S&amp;P)'!T5330&lt;&gt;"Yes",
        DATEDIF('Loan Tape (S&amp;P)'!K5330, TODAY(), "M")&lt;18),
    1.10,
    1.00)</f>
        <v/>
      </c>
      <c r="O5330">
        <f>IF('Loan Tape (S&amp;P)'!T5330="Yes",
    1.35,
    1.00)</f>
        <v/>
      </c>
      <c r="P5330">
        <f>IF('Loan Tape (S&amp;P)'!S5330="Yes",
    1.15,
    1.00)</f>
        <v/>
      </c>
      <c r="Q5330">
        <f>IF('Loan Tape (S&amp;P)'!V5330="Yes",
    1.20,
    1.00)</f>
        <v/>
      </c>
      <c r="T5330">
        <f>LET(
    payment_method,'Loan Tape (S&amp;P)'!P5330,
    occupancy,'Loan Tape (S&amp;P)'!N5330,
    maturity_date,'Loan Tape (S&amp;P)'!L5330,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31">
      <c r="J5331">
        <f>LET(
    lien,'Loan Tape (S&amp;P)'!Q5331,
    IF(lien="First",1.00,
        IF(lien="Second",1.50,
            1.70)))</f>
        <v/>
      </c>
      <c r="K5331">
        <f>LET(
    purpose,'Loan Tape (S&amp;P)'!R5331,
    IF(purpose="Purchase",1.00,
        IF(purpose="Remortgage",1.00,
            1.20)))</f>
        <v/>
      </c>
      <c r="L5331">
        <f>LET(
    arrears_months,'Loan Tape (S&amp;P)'!AN5331,
    IF(arrears_months=0,1.00,
    IF(arrears_months=1,3.00,
    IF(arrears_months=2,5.00,
    IF(arrears_months=3,8.00,
    IF(arrears_months=4,10.00,
    IF(arrears_months=5,12.00,15.00)))))))</f>
        <v/>
      </c>
      <c r="M5331">
        <f>LET(
    seasoning_years,DATEDIF('Loan Tape (S&amp;P)'!K5331,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31">
        <f>IF(AND('Loan Tape (S&amp;P)'!U5331="Yes",
        'Loan Tape (S&amp;P)'!T5331&lt;&gt;"Yes",
        DATEDIF('Loan Tape (S&amp;P)'!K5331, TODAY(), "M")&lt;18),
    1.10,
    1.00)</f>
        <v/>
      </c>
      <c r="O5331">
        <f>IF('Loan Tape (S&amp;P)'!T5331="Yes",
    1.35,
    1.00)</f>
        <v/>
      </c>
      <c r="P5331">
        <f>IF('Loan Tape (S&amp;P)'!S5331="Yes",
    1.15,
    1.00)</f>
        <v/>
      </c>
      <c r="Q5331">
        <f>IF('Loan Tape (S&amp;P)'!V5331="Yes",
    1.20,
    1.00)</f>
        <v/>
      </c>
      <c r="T5331">
        <f>LET(
    payment_method,'Loan Tape (S&amp;P)'!P5331,
    occupancy,'Loan Tape (S&amp;P)'!N5331,
    maturity_date,'Loan Tape (S&amp;P)'!L5331,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32">
      <c r="J5332">
        <f>LET(
    lien,'Loan Tape (S&amp;P)'!Q5332,
    IF(lien="First",1.00,
        IF(lien="Second",1.50,
            1.70)))</f>
        <v/>
      </c>
      <c r="K5332">
        <f>LET(
    purpose,'Loan Tape (S&amp;P)'!R5332,
    IF(purpose="Purchase",1.00,
        IF(purpose="Remortgage",1.00,
            1.20)))</f>
        <v/>
      </c>
      <c r="L5332">
        <f>LET(
    arrears_months,'Loan Tape (S&amp;P)'!AN5332,
    IF(arrears_months=0,1.00,
    IF(arrears_months=1,3.00,
    IF(arrears_months=2,5.00,
    IF(arrears_months=3,8.00,
    IF(arrears_months=4,10.00,
    IF(arrears_months=5,12.00,15.00)))))))</f>
        <v/>
      </c>
      <c r="M5332">
        <f>LET(
    seasoning_years,DATEDIF('Loan Tape (S&amp;P)'!K5332,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32">
        <f>IF(AND('Loan Tape (S&amp;P)'!U5332="Yes",
        'Loan Tape (S&amp;P)'!T5332&lt;&gt;"Yes",
        DATEDIF('Loan Tape (S&amp;P)'!K5332, TODAY(), "M")&lt;18),
    1.10,
    1.00)</f>
        <v/>
      </c>
      <c r="O5332">
        <f>IF('Loan Tape (S&amp;P)'!T5332="Yes",
    1.35,
    1.00)</f>
        <v/>
      </c>
      <c r="P5332">
        <f>IF('Loan Tape (S&amp;P)'!S5332="Yes",
    1.15,
    1.00)</f>
        <v/>
      </c>
      <c r="Q5332">
        <f>IF('Loan Tape (S&amp;P)'!V5332="Yes",
    1.20,
    1.00)</f>
        <v/>
      </c>
      <c r="T5332">
        <f>LET(
    payment_method,'Loan Tape (S&amp;P)'!P5332,
    occupancy,'Loan Tape (S&amp;P)'!N5332,
    maturity_date,'Loan Tape (S&amp;P)'!L5332,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33">
      <c r="J5333">
        <f>LET(
    lien,'Loan Tape (S&amp;P)'!Q5333,
    IF(lien="First",1.00,
        IF(lien="Second",1.50,
            1.70)))</f>
        <v/>
      </c>
      <c r="K5333">
        <f>LET(
    purpose,'Loan Tape (S&amp;P)'!R5333,
    IF(purpose="Purchase",1.00,
        IF(purpose="Remortgage",1.00,
            1.20)))</f>
        <v/>
      </c>
      <c r="L5333">
        <f>LET(
    arrears_months,'Loan Tape (S&amp;P)'!AN5333,
    IF(arrears_months=0,1.00,
    IF(arrears_months=1,3.00,
    IF(arrears_months=2,5.00,
    IF(arrears_months=3,8.00,
    IF(arrears_months=4,10.00,
    IF(arrears_months=5,12.00,15.00)))))))</f>
        <v/>
      </c>
      <c r="M5333">
        <f>LET(
    seasoning_years,DATEDIF('Loan Tape (S&amp;P)'!K5333,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33">
        <f>IF(AND('Loan Tape (S&amp;P)'!U5333="Yes",
        'Loan Tape (S&amp;P)'!T5333&lt;&gt;"Yes",
        DATEDIF('Loan Tape (S&amp;P)'!K5333, TODAY(), "M")&lt;18),
    1.10,
    1.00)</f>
        <v/>
      </c>
      <c r="O5333">
        <f>IF('Loan Tape (S&amp;P)'!T5333="Yes",
    1.35,
    1.00)</f>
        <v/>
      </c>
      <c r="P5333">
        <f>IF('Loan Tape (S&amp;P)'!S5333="Yes",
    1.15,
    1.00)</f>
        <v/>
      </c>
      <c r="Q5333">
        <f>IF('Loan Tape (S&amp;P)'!V5333="Yes",
    1.20,
    1.00)</f>
        <v/>
      </c>
      <c r="T5333">
        <f>LET(
    payment_method,'Loan Tape (S&amp;P)'!P5333,
    occupancy,'Loan Tape (S&amp;P)'!N5333,
    maturity_date,'Loan Tape (S&amp;P)'!L5333,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34">
      <c r="J5334">
        <f>LET(
    lien,'Loan Tape (S&amp;P)'!Q5334,
    IF(lien="First",1.00,
        IF(lien="Second",1.50,
            1.70)))</f>
        <v/>
      </c>
      <c r="K5334">
        <f>LET(
    purpose,'Loan Tape (S&amp;P)'!R5334,
    IF(purpose="Purchase",1.00,
        IF(purpose="Remortgage",1.00,
            1.20)))</f>
        <v/>
      </c>
      <c r="L5334">
        <f>LET(
    arrears_months,'Loan Tape (S&amp;P)'!AN5334,
    IF(arrears_months=0,1.00,
    IF(arrears_months=1,3.00,
    IF(arrears_months=2,5.00,
    IF(arrears_months=3,8.00,
    IF(arrears_months=4,10.00,
    IF(arrears_months=5,12.00,15.00)))))))</f>
        <v/>
      </c>
      <c r="M5334">
        <f>LET(
    seasoning_years,DATEDIF('Loan Tape (S&amp;P)'!K5334,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34">
        <f>IF(AND('Loan Tape (S&amp;P)'!U5334="Yes",
        'Loan Tape (S&amp;P)'!T5334&lt;&gt;"Yes",
        DATEDIF('Loan Tape (S&amp;P)'!K5334, TODAY(), "M")&lt;18),
    1.10,
    1.00)</f>
        <v/>
      </c>
      <c r="O5334">
        <f>IF('Loan Tape (S&amp;P)'!T5334="Yes",
    1.35,
    1.00)</f>
        <v/>
      </c>
      <c r="P5334">
        <f>IF('Loan Tape (S&amp;P)'!S5334="Yes",
    1.15,
    1.00)</f>
        <v/>
      </c>
      <c r="Q5334">
        <f>IF('Loan Tape (S&amp;P)'!V5334="Yes",
    1.20,
    1.00)</f>
        <v/>
      </c>
      <c r="T5334">
        <f>LET(
    payment_method,'Loan Tape (S&amp;P)'!P5334,
    occupancy,'Loan Tape (S&amp;P)'!N5334,
    maturity_date,'Loan Tape (S&amp;P)'!L5334,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35">
      <c r="J5335">
        <f>LET(
    lien,'Loan Tape (S&amp;P)'!Q5335,
    IF(lien="First",1.00,
        IF(lien="Second",1.50,
            1.70)))</f>
        <v/>
      </c>
      <c r="K5335">
        <f>LET(
    purpose,'Loan Tape (S&amp;P)'!R5335,
    IF(purpose="Purchase",1.00,
        IF(purpose="Remortgage",1.00,
            1.20)))</f>
        <v/>
      </c>
      <c r="L5335">
        <f>LET(
    arrears_months,'Loan Tape (S&amp;P)'!AN5335,
    IF(arrears_months=0,1.00,
    IF(arrears_months=1,3.00,
    IF(arrears_months=2,5.00,
    IF(arrears_months=3,8.00,
    IF(arrears_months=4,10.00,
    IF(arrears_months=5,12.00,15.00)))))))</f>
        <v/>
      </c>
      <c r="M5335">
        <f>LET(
    seasoning_years,DATEDIF('Loan Tape (S&amp;P)'!K5335,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35">
        <f>IF(AND('Loan Tape (S&amp;P)'!U5335="Yes",
        'Loan Tape (S&amp;P)'!T5335&lt;&gt;"Yes",
        DATEDIF('Loan Tape (S&amp;P)'!K5335, TODAY(), "M")&lt;18),
    1.10,
    1.00)</f>
        <v/>
      </c>
      <c r="O5335">
        <f>IF('Loan Tape (S&amp;P)'!T5335="Yes",
    1.35,
    1.00)</f>
        <v/>
      </c>
      <c r="P5335">
        <f>IF('Loan Tape (S&amp;P)'!S5335="Yes",
    1.15,
    1.00)</f>
        <v/>
      </c>
      <c r="Q5335">
        <f>IF('Loan Tape (S&amp;P)'!V5335="Yes",
    1.20,
    1.00)</f>
        <v/>
      </c>
      <c r="T5335">
        <f>LET(
    payment_method,'Loan Tape (S&amp;P)'!P5335,
    occupancy,'Loan Tape (S&amp;P)'!N5335,
    maturity_date,'Loan Tape (S&amp;P)'!L5335,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36">
      <c r="J5336">
        <f>LET(
    lien,'Loan Tape (S&amp;P)'!Q5336,
    IF(lien="First",1.00,
        IF(lien="Second",1.50,
            1.70)))</f>
        <v/>
      </c>
      <c r="K5336">
        <f>LET(
    purpose,'Loan Tape (S&amp;P)'!R5336,
    IF(purpose="Purchase",1.00,
        IF(purpose="Remortgage",1.00,
            1.20)))</f>
        <v/>
      </c>
      <c r="L5336">
        <f>LET(
    arrears_months,'Loan Tape (S&amp;P)'!AN5336,
    IF(arrears_months=0,1.00,
    IF(arrears_months=1,3.00,
    IF(arrears_months=2,5.00,
    IF(arrears_months=3,8.00,
    IF(arrears_months=4,10.00,
    IF(arrears_months=5,12.00,15.00)))))))</f>
        <v/>
      </c>
      <c r="M5336">
        <f>LET(
    seasoning_years,DATEDIF('Loan Tape (S&amp;P)'!K5336,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36">
        <f>IF(AND('Loan Tape (S&amp;P)'!U5336="Yes",
        'Loan Tape (S&amp;P)'!T5336&lt;&gt;"Yes",
        DATEDIF('Loan Tape (S&amp;P)'!K5336, TODAY(), "M")&lt;18),
    1.10,
    1.00)</f>
        <v/>
      </c>
      <c r="O5336">
        <f>IF('Loan Tape (S&amp;P)'!T5336="Yes",
    1.35,
    1.00)</f>
        <v/>
      </c>
      <c r="P5336">
        <f>IF('Loan Tape (S&amp;P)'!S5336="Yes",
    1.15,
    1.00)</f>
        <v/>
      </c>
      <c r="Q5336">
        <f>IF('Loan Tape (S&amp;P)'!V5336="Yes",
    1.20,
    1.00)</f>
        <v/>
      </c>
      <c r="T5336">
        <f>LET(
    payment_method,'Loan Tape (S&amp;P)'!P5336,
    occupancy,'Loan Tape (S&amp;P)'!N5336,
    maturity_date,'Loan Tape (S&amp;P)'!L5336,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37">
      <c r="J5337">
        <f>LET(
    lien,'Loan Tape (S&amp;P)'!Q5337,
    IF(lien="First",1.00,
        IF(lien="Second",1.50,
            1.70)))</f>
        <v/>
      </c>
      <c r="K5337">
        <f>LET(
    purpose,'Loan Tape (S&amp;P)'!R5337,
    IF(purpose="Purchase",1.00,
        IF(purpose="Remortgage",1.00,
            1.20)))</f>
        <v/>
      </c>
      <c r="L5337">
        <f>LET(
    arrears_months,'Loan Tape (S&amp;P)'!AN5337,
    IF(arrears_months=0,1.00,
    IF(arrears_months=1,3.00,
    IF(arrears_months=2,5.00,
    IF(arrears_months=3,8.00,
    IF(arrears_months=4,10.00,
    IF(arrears_months=5,12.00,15.00)))))))</f>
        <v/>
      </c>
      <c r="M5337">
        <f>LET(
    seasoning_years,DATEDIF('Loan Tape (S&amp;P)'!K5337,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37">
        <f>IF(AND('Loan Tape (S&amp;P)'!U5337="Yes",
        'Loan Tape (S&amp;P)'!T5337&lt;&gt;"Yes",
        DATEDIF('Loan Tape (S&amp;P)'!K5337, TODAY(), "M")&lt;18),
    1.10,
    1.00)</f>
        <v/>
      </c>
      <c r="O5337">
        <f>IF('Loan Tape (S&amp;P)'!T5337="Yes",
    1.35,
    1.00)</f>
        <v/>
      </c>
      <c r="P5337">
        <f>IF('Loan Tape (S&amp;P)'!S5337="Yes",
    1.15,
    1.00)</f>
        <v/>
      </c>
      <c r="Q5337">
        <f>IF('Loan Tape (S&amp;P)'!V5337="Yes",
    1.20,
    1.00)</f>
        <v/>
      </c>
      <c r="T5337">
        <f>LET(
    payment_method,'Loan Tape (S&amp;P)'!P5337,
    occupancy,'Loan Tape (S&amp;P)'!N5337,
    maturity_date,'Loan Tape (S&amp;P)'!L5337,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38">
      <c r="J5338">
        <f>LET(
    lien,'Loan Tape (S&amp;P)'!Q5338,
    IF(lien="First",1.00,
        IF(lien="Second",1.50,
            1.70)))</f>
        <v/>
      </c>
      <c r="K5338">
        <f>LET(
    purpose,'Loan Tape (S&amp;P)'!R5338,
    IF(purpose="Purchase",1.00,
        IF(purpose="Remortgage",1.00,
            1.20)))</f>
        <v/>
      </c>
      <c r="L5338">
        <f>LET(
    arrears_months,'Loan Tape (S&amp;P)'!AN5338,
    IF(arrears_months=0,1.00,
    IF(arrears_months=1,3.00,
    IF(arrears_months=2,5.00,
    IF(arrears_months=3,8.00,
    IF(arrears_months=4,10.00,
    IF(arrears_months=5,12.00,15.00)))))))</f>
        <v/>
      </c>
      <c r="M5338">
        <f>LET(
    seasoning_years,DATEDIF('Loan Tape (S&amp;P)'!K5338,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38">
        <f>IF(AND('Loan Tape (S&amp;P)'!U5338="Yes",
        'Loan Tape (S&amp;P)'!T5338&lt;&gt;"Yes",
        DATEDIF('Loan Tape (S&amp;P)'!K5338, TODAY(), "M")&lt;18),
    1.10,
    1.00)</f>
        <v/>
      </c>
      <c r="O5338">
        <f>IF('Loan Tape (S&amp;P)'!T5338="Yes",
    1.35,
    1.00)</f>
        <v/>
      </c>
      <c r="P5338">
        <f>IF('Loan Tape (S&amp;P)'!S5338="Yes",
    1.15,
    1.00)</f>
        <v/>
      </c>
      <c r="Q5338">
        <f>IF('Loan Tape (S&amp;P)'!V5338="Yes",
    1.20,
    1.00)</f>
        <v/>
      </c>
      <c r="T5338">
        <f>LET(
    payment_method,'Loan Tape (S&amp;P)'!P5338,
    occupancy,'Loan Tape (S&amp;P)'!N5338,
    maturity_date,'Loan Tape (S&amp;P)'!L5338,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39">
      <c r="J5339">
        <f>LET(
    lien,'Loan Tape (S&amp;P)'!Q5339,
    IF(lien="First",1.00,
        IF(lien="Second",1.50,
            1.70)))</f>
        <v/>
      </c>
      <c r="K5339">
        <f>LET(
    purpose,'Loan Tape (S&amp;P)'!R5339,
    IF(purpose="Purchase",1.00,
        IF(purpose="Remortgage",1.00,
            1.20)))</f>
        <v/>
      </c>
      <c r="L5339">
        <f>LET(
    arrears_months,'Loan Tape (S&amp;P)'!AN5339,
    IF(arrears_months=0,1.00,
    IF(arrears_months=1,3.00,
    IF(arrears_months=2,5.00,
    IF(arrears_months=3,8.00,
    IF(arrears_months=4,10.00,
    IF(arrears_months=5,12.00,15.00)))))))</f>
        <v/>
      </c>
      <c r="M5339">
        <f>LET(
    seasoning_years,DATEDIF('Loan Tape (S&amp;P)'!K5339,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39">
        <f>IF(AND('Loan Tape (S&amp;P)'!U5339="Yes",
        'Loan Tape (S&amp;P)'!T5339&lt;&gt;"Yes",
        DATEDIF('Loan Tape (S&amp;P)'!K5339, TODAY(), "M")&lt;18),
    1.10,
    1.00)</f>
        <v/>
      </c>
      <c r="O5339">
        <f>IF('Loan Tape (S&amp;P)'!T5339="Yes",
    1.35,
    1.00)</f>
        <v/>
      </c>
      <c r="P5339">
        <f>IF('Loan Tape (S&amp;P)'!S5339="Yes",
    1.15,
    1.00)</f>
        <v/>
      </c>
      <c r="Q5339">
        <f>IF('Loan Tape (S&amp;P)'!V5339="Yes",
    1.20,
    1.00)</f>
        <v/>
      </c>
      <c r="T5339">
        <f>LET(
    payment_method,'Loan Tape (S&amp;P)'!P5339,
    occupancy,'Loan Tape (S&amp;P)'!N5339,
    maturity_date,'Loan Tape (S&amp;P)'!L5339,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40">
      <c r="J5340">
        <f>LET(
    lien,'Loan Tape (S&amp;P)'!Q5340,
    IF(lien="First",1.00,
        IF(lien="Second",1.50,
            1.70)))</f>
        <v/>
      </c>
      <c r="K5340">
        <f>LET(
    purpose,'Loan Tape (S&amp;P)'!R5340,
    IF(purpose="Purchase",1.00,
        IF(purpose="Remortgage",1.00,
            1.20)))</f>
        <v/>
      </c>
      <c r="L5340">
        <f>LET(
    arrears_months,'Loan Tape (S&amp;P)'!AN5340,
    IF(arrears_months=0,1.00,
    IF(arrears_months=1,3.00,
    IF(arrears_months=2,5.00,
    IF(arrears_months=3,8.00,
    IF(arrears_months=4,10.00,
    IF(arrears_months=5,12.00,15.00)))))))</f>
        <v/>
      </c>
      <c r="M5340">
        <f>LET(
    seasoning_years,DATEDIF('Loan Tape (S&amp;P)'!K5340,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40">
        <f>IF(AND('Loan Tape (S&amp;P)'!U5340="Yes",
        'Loan Tape (S&amp;P)'!T5340&lt;&gt;"Yes",
        DATEDIF('Loan Tape (S&amp;P)'!K5340, TODAY(), "M")&lt;18),
    1.10,
    1.00)</f>
        <v/>
      </c>
      <c r="O5340">
        <f>IF('Loan Tape (S&amp;P)'!T5340="Yes",
    1.35,
    1.00)</f>
        <v/>
      </c>
      <c r="P5340">
        <f>IF('Loan Tape (S&amp;P)'!S5340="Yes",
    1.15,
    1.00)</f>
        <v/>
      </c>
      <c r="Q5340">
        <f>IF('Loan Tape (S&amp;P)'!V5340="Yes",
    1.20,
    1.00)</f>
        <v/>
      </c>
      <c r="T5340">
        <f>LET(
    payment_method,'Loan Tape (S&amp;P)'!P5340,
    occupancy,'Loan Tape (S&amp;P)'!N5340,
    maturity_date,'Loan Tape (S&amp;P)'!L5340,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41">
      <c r="J5341">
        <f>LET(
    lien,'Loan Tape (S&amp;P)'!Q5341,
    IF(lien="First",1.00,
        IF(lien="Second",1.50,
            1.70)))</f>
        <v/>
      </c>
      <c r="K5341">
        <f>LET(
    purpose,'Loan Tape (S&amp;P)'!R5341,
    IF(purpose="Purchase",1.00,
        IF(purpose="Remortgage",1.00,
            1.20)))</f>
        <v/>
      </c>
      <c r="L5341">
        <f>LET(
    arrears_months,'Loan Tape (S&amp;P)'!AN5341,
    IF(arrears_months=0,1.00,
    IF(arrears_months=1,3.00,
    IF(arrears_months=2,5.00,
    IF(arrears_months=3,8.00,
    IF(arrears_months=4,10.00,
    IF(arrears_months=5,12.00,15.00)))))))</f>
        <v/>
      </c>
      <c r="M5341">
        <f>LET(
    seasoning_years,DATEDIF('Loan Tape (S&amp;P)'!K5341,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41">
        <f>IF(AND('Loan Tape (S&amp;P)'!U5341="Yes",
        'Loan Tape (S&amp;P)'!T5341&lt;&gt;"Yes",
        DATEDIF('Loan Tape (S&amp;P)'!K5341, TODAY(), "M")&lt;18),
    1.10,
    1.00)</f>
        <v/>
      </c>
      <c r="O5341">
        <f>IF('Loan Tape (S&amp;P)'!T5341="Yes",
    1.35,
    1.00)</f>
        <v/>
      </c>
      <c r="P5341">
        <f>IF('Loan Tape (S&amp;P)'!S5341="Yes",
    1.15,
    1.00)</f>
        <v/>
      </c>
      <c r="Q5341">
        <f>IF('Loan Tape (S&amp;P)'!V5341="Yes",
    1.20,
    1.00)</f>
        <v/>
      </c>
      <c r="T5341">
        <f>LET(
    payment_method,'Loan Tape (S&amp;P)'!P5341,
    occupancy,'Loan Tape (S&amp;P)'!N5341,
    maturity_date,'Loan Tape (S&amp;P)'!L5341,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42">
      <c r="J5342">
        <f>LET(
    lien,'Loan Tape (S&amp;P)'!Q5342,
    IF(lien="First",1.00,
        IF(lien="Second",1.50,
            1.70)))</f>
        <v/>
      </c>
      <c r="K5342">
        <f>LET(
    purpose,'Loan Tape (S&amp;P)'!R5342,
    IF(purpose="Purchase",1.00,
        IF(purpose="Remortgage",1.00,
            1.20)))</f>
        <v/>
      </c>
      <c r="L5342">
        <f>LET(
    arrears_months,'Loan Tape (S&amp;P)'!AN5342,
    IF(arrears_months=0,1.00,
    IF(arrears_months=1,3.00,
    IF(arrears_months=2,5.00,
    IF(arrears_months=3,8.00,
    IF(arrears_months=4,10.00,
    IF(arrears_months=5,12.00,15.00)))))))</f>
        <v/>
      </c>
      <c r="M5342">
        <f>LET(
    seasoning_years,DATEDIF('Loan Tape (S&amp;P)'!K5342,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42">
        <f>IF(AND('Loan Tape (S&amp;P)'!U5342="Yes",
        'Loan Tape (S&amp;P)'!T5342&lt;&gt;"Yes",
        DATEDIF('Loan Tape (S&amp;P)'!K5342, TODAY(), "M")&lt;18),
    1.10,
    1.00)</f>
        <v/>
      </c>
      <c r="O5342">
        <f>IF('Loan Tape (S&amp;P)'!T5342="Yes",
    1.35,
    1.00)</f>
        <v/>
      </c>
      <c r="P5342">
        <f>IF('Loan Tape (S&amp;P)'!S5342="Yes",
    1.15,
    1.00)</f>
        <v/>
      </c>
      <c r="Q5342">
        <f>IF('Loan Tape (S&amp;P)'!V5342="Yes",
    1.20,
    1.00)</f>
        <v/>
      </c>
      <c r="T5342">
        <f>LET(
    payment_method,'Loan Tape (S&amp;P)'!P5342,
    occupancy,'Loan Tape (S&amp;P)'!N5342,
    maturity_date,'Loan Tape (S&amp;P)'!L5342,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43">
      <c r="J5343">
        <f>LET(
    lien,'Loan Tape (S&amp;P)'!Q5343,
    IF(lien="First",1.00,
        IF(lien="Second",1.50,
            1.70)))</f>
        <v/>
      </c>
      <c r="K5343">
        <f>LET(
    purpose,'Loan Tape (S&amp;P)'!R5343,
    IF(purpose="Purchase",1.00,
        IF(purpose="Remortgage",1.00,
            1.20)))</f>
        <v/>
      </c>
      <c r="L5343">
        <f>LET(
    arrears_months,'Loan Tape (S&amp;P)'!AN5343,
    IF(arrears_months=0,1.00,
    IF(arrears_months=1,3.00,
    IF(arrears_months=2,5.00,
    IF(arrears_months=3,8.00,
    IF(arrears_months=4,10.00,
    IF(arrears_months=5,12.00,15.00)))))))</f>
        <v/>
      </c>
      <c r="M5343">
        <f>LET(
    seasoning_years,DATEDIF('Loan Tape (S&amp;P)'!K5343,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43">
        <f>IF(AND('Loan Tape (S&amp;P)'!U5343="Yes",
        'Loan Tape (S&amp;P)'!T5343&lt;&gt;"Yes",
        DATEDIF('Loan Tape (S&amp;P)'!K5343, TODAY(), "M")&lt;18),
    1.10,
    1.00)</f>
        <v/>
      </c>
      <c r="O5343">
        <f>IF('Loan Tape (S&amp;P)'!T5343="Yes",
    1.35,
    1.00)</f>
        <v/>
      </c>
      <c r="P5343">
        <f>IF('Loan Tape (S&amp;P)'!S5343="Yes",
    1.15,
    1.00)</f>
        <v/>
      </c>
      <c r="Q5343">
        <f>IF('Loan Tape (S&amp;P)'!V5343="Yes",
    1.20,
    1.00)</f>
        <v/>
      </c>
      <c r="T5343">
        <f>LET(
    payment_method,'Loan Tape (S&amp;P)'!P5343,
    occupancy,'Loan Tape (S&amp;P)'!N5343,
    maturity_date,'Loan Tape (S&amp;P)'!L5343,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44">
      <c r="J5344">
        <f>LET(
    lien,'Loan Tape (S&amp;P)'!Q5344,
    IF(lien="First",1.00,
        IF(lien="Second",1.50,
            1.70)))</f>
        <v/>
      </c>
      <c r="K5344">
        <f>LET(
    purpose,'Loan Tape (S&amp;P)'!R5344,
    IF(purpose="Purchase",1.00,
        IF(purpose="Remortgage",1.00,
            1.20)))</f>
        <v/>
      </c>
      <c r="L5344">
        <f>LET(
    arrears_months,'Loan Tape (S&amp;P)'!AN5344,
    IF(arrears_months=0,1.00,
    IF(arrears_months=1,3.00,
    IF(arrears_months=2,5.00,
    IF(arrears_months=3,8.00,
    IF(arrears_months=4,10.00,
    IF(arrears_months=5,12.00,15.00)))))))</f>
        <v/>
      </c>
      <c r="M5344">
        <f>LET(
    seasoning_years,DATEDIF('Loan Tape (S&amp;P)'!K5344,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44">
        <f>IF(AND('Loan Tape (S&amp;P)'!U5344="Yes",
        'Loan Tape (S&amp;P)'!T5344&lt;&gt;"Yes",
        DATEDIF('Loan Tape (S&amp;P)'!K5344, TODAY(), "M")&lt;18),
    1.10,
    1.00)</f>
        <v/>
      </c>
      <c r="O5344">
        <f>IF('Loan Tape (S&amp;P)'!T5344="Yes",
    1.35,
    1.00)</f>
        <v/>
      </c>
      <c r="P5344">
        <f>IF('Loan Tape (S&amp;P)'!S5344="Yes",
    1.15,
    1.00)</f>
        <v/>
      </c>
      <c r="Q5344">
        <f>IF('Loan Tape (S&amp;P)'!V5344="Yes",
    1.20,
    1.00)</f>
        <v/>
      </c>
      <c r="T5344">
        <f>LET(
    payment_method,'Loan Tape (S&amp;P)'!P5344,
    occupancy,'Loan Tape (S&amp;P)'!N5344,
    maturity_date,'Loan Tape (S&amp;P)'!L5344,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45">
      <c r="J5345">
        <f>LET(
    lien,'Loan Tape (S&amp;P)'!Q5345,
    IF(lien="First",1.00,
        IF(lien="Second",1.50,
            1.70)))</f>
        <v/>
      </c>
      <c r="K5345">
        <f>LET(
    purpose,'Loan Tape (S&amp;P)'!R5345,
    IF(purpose="Purchase",1.00,
        IF(purpose="Remortgage",1.00,
            1.20)))</f>
        <v/>
      </c>
      <c r="L5345">
        <f>LET(
    arrears_months,'Loan Tape (S&amp;P)'!AN5345,
    IF(arrears_months=0,1.00,
    IF(arrears_months=1,3.00,
    IF(arrears_months=2,5.00,
    IF(arrears_months=3,8.00,
    IF(arrears_months=4,10.00,
    IF(arrears_months=5,12.00,15.00)))))))</f>
        <v/>
      </c>
      <c r="M5345">
        <f>LET(
    seasoning_years,DATEDIF('Loan Tape (S&amp;P)'!K5345,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45">
        <f>IF(AND('Loan Tape (S&amp;P)'!U5345="Yes",
        'Loan Tape (S&amp;P)'!T5345&lt;&gt;"Yes",
        DATEDIF('Loan Tape (S&amp;P)'!K5345, TODAY(), "M")&lt;18),
    1.10,
    1.00)</f>
        <v/>
      </c>
      <c r="O5345">
        <f>IF('Loan Tape (S&amp;P)'!T5345="Yes",
    1.35,
    1.00)</f>
        <v/>
      </c>
      <c r="P5345">
        <f>IF('Loan Tape (S&amp;P)'!S5345="Yes",
    1.15,
    1.00)</f>
        <v/>
      </c>
      <c r="Q5345">
        <f>IF('Loan Tape (S&amp;P)'!V5345="Yes",
    1.20,
    1.00)</f>
        <v/>
      </c>
      <c r="T5345">
        <f>LET(
    payment_method,'Loan Tape (S&amp;P)'!P5345,
    occupancy,'Loan Tape (S&amp;P)'!N5345,
    maturity_date,'Loan Tape (S&amp;P)'!L5345,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46">
      <c r="J5346">
        <f>LET(
    lien,'Loan Tape (S&amp;P)'!Q5346,
    IF(lien="First",1.00,
        IF(lien="Second",1.50,
            1.70)))</f>
        <v/>
      </c>
      <c r="K5346">
        <f>LET(
    purpose,'Loan Tape (S&amp;P)'!R5346,
    IF(purpose="Purchase",1.00,
        IF(purpose="Remortgage",1.00,
            1.20)))</f>
        <v/>
      </c>
      <c r="L5346">
        <f>LET(
    arrears_months,'Loan Tape (S&amp;P)'!AN5346,
    IF(arrears_months=0,1.00,
    IF(arrears_months=1,3.00,
    IF(arrears_months=2,5.00,
    IF(arrears_months=3,8.00,
    IF(arrears_months=4,10.00,
    IF(arrears_months=5,12.00,15.00)))))))</f>
        <v/>
      </c>
      <c r="M5346">
        <f>LET(
    seasoning_years,DATEDIF('Loan Tape (S&amp;P)'!K5346,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46">
        <f>IF(AND('Loan Tape (S&amp;P)'!U5346="Yes",
        'Loan Tape (S&amp;P)'!T5346&lt;&gt;"Yes",
        DATEDIF('Loan Tape (S&amp;P)'!K5346, TODAY(), "M")&lt;18),
    1.10,
    1.00)</f>
        <v/>
      </c>
      <c r="O5346">
        <f>IF('Loan Tape (S&amp;P)'!T5346="Yes",
    1.35,
    1.00)</f>
        <v/>
      </c>
      <c r="P5346">
        <f>IF('Loan Tape (S&amp;P)'!S5346="Yes",
    1.15,
    1.00)</f>
        <v/>
      </c>
      <c r="Q5346">
        <f>IF('Loan Tape (S&amp;P)'!V5346="Yes",
    1.20,
    1.00)</f>
        <v/>
      </c>
      <c r="T5346">
        <f>LET(
    payment_method,'Loan Tape (S&amp;P)'!P5346,
    occupancy,'Loan Tape (S&amp;P)'!N5346,
    maturity_date,'Loan Tape (S&amp;P)'!L5346,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47">
      <c r="J5347">
        <f>LET(
    lien,'Loan Tape (S&amp;P)'!Q5347,
    IF(lien="First",1.00,
        IF(lien="Second",1.50,
            1.70)))</f>
        <v/>
      </c>
      <c r="K5347">
        <f>LET(
    purpose,'Loan Tape (S&amp;P)'!R5347,
    IF(purpose="Purchase",1.00,
        IF(purpose="Remortgage",1.00,
            1.20)))</f>
        <v/>
      </c>
      <c r="L5347">
        <f>LET(
    arrears_months,'Loan Tape (S&amp;P)'!AN5347,
    IF(arrears_months=0,1.00,
    IF(arrears_months=1,3.00,
    IF(arrears_months=2,5.00,
    IF(arrears_months=3,8.00,
    IF(arrears_months=4,10.00,
    IF(arrears_months=5,12.00,15.00)))))))</f>
        <v/>
      </c>
      <c r="M5347">
        <f>LET(
    seasoning_years,DATEDIF('Loan Tape (S&amp;P)'!K5347,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47">
        <f>IF(AND('Loan Tape (S&amp;P)'!U5347="Yes",
        'Loan Tape (S&amp;P)'!T5347&lt;&gt;"Yes",
        DATEDIF('Loan Tape (S&amp;P)'!K5347, TODAY(), "M")&lt;18),
    1.10,
    1.00)</f>
        <v/>
      </c>
      <c r="O5347">
        <f>IF('Loan Tape (S&amp;P)'!T5347="Yes",
    1.35,
    1.00)</f>
        <v/>
      </c>
      <c r="P5347">
        <f>IF('Loan Tape (S&amp;P)'!S5347="Yes",
    1.15,
    1.00)</f>
        <v/>
      </c>
      <c r="Q5347">
        <f>IF('Loan Tape (S&amp;P)'!V5347="Yes",
    1.20,
    1.00)</f>
        <v/>
      </c>
      <c r="T5347">
        <f>LET(
    payment_method,'Loan Tape (S&amp;P)'!P5347,
    occupancy,'Loan Tape (S&amp;P)'!N5347,
    maturity_date,'Loan Tape (S&amp;P)'!L5347,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48">
      <c r="J5348">
        <f>LET(
    lien,'Loan Tape (S&amp;P)'!Q5348,
    IF(lien="First",1.00,
        IF(lien="Second",1.50,
            1.70)))</f>
        <v/>
      </c>
      <c r="K5348">
        <f>LET(
    purpose,'Loan Tape (S&amp;P)'!R5348,
    IF(purpose="Purchase",1.00,
        IF(purpose="Remortgage",1.00,
            1.20)))</f>
        <v/>
      </c>
      <c r="L5348">
        <f>LET(
    arrears_months,'Loan Tape (S&amp;P)'!AN5348,
    IF(arrears_months=0,1.00,
    IF(arrears_months=1,3.00,
    IF(arrears_months=2,5.00,
    IF(arrears_months=3,8.00,
    IF(arrears_months=4,10.00,
    IF(arrears_months=5,12.00,15.00)))))))</f>
        <v/>
      </c>
      <c r="M5348">
        <f>LET(
    seasoning_years,DATEDIF('Loan Tape (S&amp;P)'!K5348,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48">
        <f>IF(AND('Loan Tape (S&amp;P)'!U5348="Yes",
        'Loan Tape (S&amp;P)'!T5348&lt;&gt;"Yes",
        DATEDIF('Loan Tape (S&amp;P)'!K5348, TODAY(), "M")&lt;18),
    1.10,
    1.00)</f>
        <v/>
      </c>
      <c r="O5348">
        <f>IF('Loan Tape (S&amp;P)'!T5348="Yes",
    1.35,
    1.00)</f>
        <v/>
      </c>
      <c r="P5348">
        <f>IF('Loan Tape (S&amp;P)'!S5348="Yes",
    1.15,
    1.00)</f>
        <v/>
      </c>
      <c r="Q5348">
        <f>IF('Loan Tape (S&amp;P)'!V5348="Yes",
    1.20,
    1.00)</f>
        <v/>
      </c>
      <c r="T5348">
        <f>LET(
    payment_method,'Loan Tape (S&amp;P)'!P5348,
    occupancy,'Loan Tape (S&amp;P)'!N5348,
    maturity_date,'Loan Tape (S&amp;P)'!L5348,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49">
      <c r="J5349">
        <f>LET(
    lien,'Loan Tape (S&amp;P)'!Q5349,
    IF(lien="First",1.00,
        IF(lien="Second",1.50,
            1.70)))</f>
        <v/>
      </c>
      <c r="K5349">
        <f>LET(
    purpose,'Loan Tape (S&amp;P)'!R5349,
    IF(purpose="Purchase",1.00,
        IF(purpose="Remortgage",1.00,
            1.20)))</f>
        <v/>
      </c>
      <c r="L5349">
        <f>LET(
    arrears_months,'Loan Tape (S&amp;P)'!AN5349,
    IF(arrears_months=0,1.00,
    IF(arrears_months=1,3.00,
    IF(arrears_months=2,5.00,
    IF(arrears_months=3,8.00,
    IF(arrears_months=4,10.00,
    IF(arrears_months=5,12.00,15.00)))))))</f>
        <v/>
      </c>
      <c r="M5349">
        <f>LET(
    seasoning_years,DATEDIF('Loan Tape (S&amp;P)'!K5349,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49">
        <f>IF(AND('Loan Tape (S&amp;P)'!U5349="Yes",
        'Loan Tape (S&amp;P)'!T5349&lt;&gt;"Yes",
        DATEDIF('Loan Tape (S&amp;P)'!K5349, TODAY(), "M")&lt;18),
    1.10,
    1.00)</f>
        <v/>
      </c>
      <c r="O5349">
        <f>IF('Loan Tape (S&amp;P)'!T5349="Yes",
    1.35,
    1.00)</f>
        <v/>
      </c>
      <c r="P5349">
        <f>IF('Loan Tape (S&amp;P)'!S5349="Yes",
    1.15,
    1.00)</f>
        <v/>
      </c>
      <c r="Q5349">
        <f>IF('Loan Tape (S&amp;P)'!V5349="Yes",
    1.20,
    1.00)</f>
        <v/>
      </c>
      <c r="T5349">
        <f>LET(
    payment_method,'Loan Tape (S&amp;P)'!P5349,
    occupancy,'Loan Tape (S&amp;P)'!N5349,
    maturity_date,'Loan Tape (S&amp;P)'!L5349,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50">
      <c r="J5350">
        <f>LET(
    lien,'Loan Tape (S&amp;P)'!Q5350,
    IF(lien="First",1.00,
        IF(lien="Second",1.50,
            1.70)))</f>
        <v/>
      </c>
      <c r="K5350">
        <f>LET(
    purpose,'Loan Tape (S&amp;P)'!R5350,
    IF(purpose="Purchase",1.00,
        IF(purpose="Remortgage",1.00,
            1.20)))</f>
        <v/>
      </c>
      <c r="L5350">
        <f>LET(
    arrears_months,'Loan Tape (S&amp;P)'!AN5350,
    IF(arrears_months=0,1.00,
    IF(arrears_months=1,3.00,
    IF(arrears_months=2,5.00,
    IF(arrears_months=3,8.00,
    IF(arrears_months=4,10.00,
    IF(arrears_months=5,12.00,15.00)))))))</f>
        <v/>
      </c>
      <c r="M5350">
        <f>LET(
    seasoning_years,DATEDIF('Loan Tape (S&amp;P)'!K5350,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50">
        <f>IF(AND('Loan Tape (S&amp;P)'!U5350="Yes",
        'Loan Tape (S&amp;P)'!T5350&lt;&gt;"Yes",
        DATEDIF('Loan Tape (S&amp;P)'!K5350, TODAY(), "M")&lt;18),
    1.10,
    1.00)</f>
        <v/>
      </c>
      <c r="O5350">
        <f>IF('Loan Tape (S&amp;P)'!T5350="Yes",
    1.35,
    1.00)</f>
        <v/>
      </c>
      <c r="P5350">
        <f>IF('Loan Tape (S&amp;P)'!S5350="Yes",
    1.15,
    1.00)</f>
        <v/>
      </c>
      <c r="Q5350">
        <f>IF('Loan Tape (S&amp;P)'!V5350="Yes",
    1.20,
    1.00)</f>
        <v/>
      </c>
      <c r="T5350">
        <f>LET(
    payment_method,'Loan Tape (S&amp;P)'!P5350,
    occupancy,'Loan Tape (S&amp;P)'!N5350,
    maturity_date,'Loan Tape (S&amp;P)'!L5350,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51">
      <c r="J5351">
        <f>LET(
    lien,'Loan Tape (S&amp;P)'!Q5351,
    IF(lien="First",1.00,
        IF(lien="Second",1.50,
            1.70)))</f>
        <v/>
      </c>
      <c r="K5351">
        <f>LET(
    purpose,'Loan Tape (S&amp;P)'!R5351,
    IF(purpose="Purchase",1.00,
        IF(purpose="Remortgage",1.00,
            1.20)))</f>
        <v/>
      </c>
      <c r="L5351">
        <f>LET(
    arrears_months,'Loan Tape (S&amp;P)'!AN5351,
    IF(arrears_months=0,1.00,
    IF(arrears_months=1,3.00,
    IF(arrears_months=2,5.00,
    IF(arrears_months=3,8.00,
    IF(arrears_months=4,10.00,
    IF(arrears_months=5,12.00,15.00)))))))</f>
        <v/>
      </c>
      <c r="M5351">
        <f>LET(
    seasoning_years,DATEDIF('Loan Tape (S&amp;P)'!K5351,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51">
        <f>IF(AND('Loan Tape (S&amp;P)'!U5351="Yes",
        'Loan Tape (S&amp;P)'!T5351&lt;&gt;"Yes",
        DATEDIF('Loan Tape (S&amp;P)'!K5351, TODAY(), "M")&lt;18),
    1.10,
    1.00)</f>
        <v/>
      </c>
      <c r="O5351">
        <f>IF('Loan Tape (S&amp;P)'!T5351="Yes",
    1.35,
    1.00)</f>
        <v/>
      </c>
      <c r="P5351">
        <f>IF('Loan Tape (S&amp;P)'!S5351="Yes",
    1.15,
    1.00)</f>
        <v/>
      </c>
      <c r="Q5351">
        <f>IF('Loan Tape (S&amp;P)'!V5351="Yes",
    1.20,
    1.00)</f>
        <v/>
      </c>
      <c r="T5351">
        <f>LET(
    payment_method,'Loan Tape (S&amp;P)'!P5351,
    occupancy,'Loan Tape (S&amp;P)'!N5351,
    maturity_date,'Loan Tape (S&amp;P)'!L5351,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52">
      <c r="J5352">
        <f>LET(
    lien,'Loan Tape (S&amp;P)'!Q5352,
    IF(lien="First",1.00,
        IF(lien="Second",1.50,
            1.70)))</f>
        <v/>
      </c>
      <c r="K5352">
        <f>LET(
    purpose,'Loan Tape (S&amp;P)'!R5352,
    IF(purpose="Purchase",1.00,
        IF(purpose="Remortgage",1.00,
            1.20)))</f>
        <v/>
      </c>
      <c r="L5352">
        <f>LET(
    arrears_months,'Loan Tape (S&amp;P)'!AN5352,
    IF(arrears_months=0,1.00,
    IF(arrears_months=1,3.00,
    IF(arrears_months=2,5.00,
    IF(arrears_months=3,8.00,
    IF(arrears_months=4,10.00,
    IF(arrears_months=5,12.00,15.00)))))))</f>
        <v/>
      </c>
      <c r="M5352">
        <f>LET(
    seasoning_years,DATEDIF('Loan Tape (S&amp;P)'!K5352,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52">
        <f>IF(AND('Loan Tape (S&amp;P)'!U5352="Yes",
        'Loan Tape (S&amp;P)'!T5352&lt;&gt;"Yes",
        DATEDIF('Loan Tape (S&amp;P)'!K5352, TODAY(), "M")&lt;18),
    1.10,
    1.00)</f>
        <v/>
      </c>
      <c r="O5352">
        <f>IF('Loan Tape (S&amp;P)'!T5352="Yes",
    1.35,
    1.00)</f>
        <v/>
      </c>
      <c r="P5352">
        <f>IF('Loan Tape (S&amp;P)'!S5352="Yes",
    1.15,
    1.00)</f>
        <v/>
      </c>
      <c r="Q5352">
        <f>IF('Loan Tape (S&amp;P)'!V5352="Yes",
    1.20,
    1.00)</f>
        <v/>
      </c>
      <c r="T5352">
        <f>LET(
    payment_method,'Loan Tape (S&amp;P)'!P5352,
    occupancy,'Loan Tape (S&amp;P)'!N5352,
    maturity_date,'Loan Tape (S&amp;P)'!L5352,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53">
      <c r="J5353">
        <f>LET(
    lien,'Loan Tape (S&amp;P)'!Q5353,
    IF(lien="First",1.00,
        IF(lien="Second",1.50,
            1.70)))</f>
        <v/>
      </c>
      <c r="K5353">
        <f>LET(
    purpose,'Loan Tape (S&amp;P)'!R5353,
    IF(purpose="Purchase",1.00,
        IF(purpose="Remortgage",1.00,
            1.20)))</f>
        <v/>
      </c>
      <c r="L5353">
        <f>LET(
    arrears_months,'Loan Tape (S&amp;P)'!AN5353,
    IF(arrears_months=0,1.00,
    IF(arrears_months=1,3.00,
    IF(arrears_months=2,5.00,
    IF(arrears_months=3,8.00,
    IF(arrears_months=4,10.00,
    IF(arrears_months=5,12.00,15.00)))))))</f>
        <v/>
      </c>
      <c r="M5353">
        <f>LET(
    seasoning_years,DATEDIF('Loan Tape (S&amp;P)'!K5353,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53">
        <f>IF(AND('Loan Tape (S&amp;P)'!U5353="Yes",
        'Loan Tape (S&amp;P)'!T5353&lt;&gt;"Yes",
        DATEDIF('Loan Tape (S&amp;P)'!K5353, TODAY(), "M")&lt;18),
    1.10,
    1.00)</f>
        <v/>
      </c>
      <c r="O5353">
        <f>IF('Loan Tape (S&amp;P)'!T5353="Yes",
    1.35,
    1.00)</f>
        <v/>
      </c>
      <c r="P5353">
        <f>IF('Loan Tape (S&amp;P)'!S5353="Yes",
    1.15,
    1.00)</f>
        <v/>
      </c>
      <c r="Q5353">
        <f>IF('Loan Tape (S&amp;P)'!V5353="Yes",
    1.20,
    1.00)</f>
        <v/>
      </c>
      <c r="T5353">
        <f>LET(
    payment_method,'Loan Tape (S&amp;P)'!P5353,
    occupancy,'Loan Tape (S&amp;P)'!N5353,
    maturity_date,'Loan Tape (S&amp;P)'!L5353,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54">
      <c r="J5354">
        <f>LET(
    lien,'Loan Tape (S&amp;P)'!Q5354,
    IF(lien="First",1.00,
        IF(lien="Second",1.50,
            1.70)))</f>
        <v/>
      </c>
      <c r="K5354">
        <f>LET(
    purpose,'Loan Tape (S&amp;P)'!R5354,
    IF(purpose="Purchase",1.00,
        IF(purpose="Remortgage",1.00,
            1.20)))</f>
        <v/>
      </c>
      <c r="L5354">
        <f>LET(
    arrears_months,'Loan Tape (S&amp;P)'!AN5354,
    IF(arrears_months=0,1.00,
    IF(arrears_months=1,3.00,
    IF(arrears_months=2,5.00,
    IF(arrears_months=3,8.00,
    IF(arrears_months=4,10.00,
    IF(arrears_months=5,12.00,15.00)))))))</f>
        <v/>
      </c>
      <c r="M5354">
        <f>LET(
    seasoning_years,DATEDIF('Loan Tape (S&amp;P)'!K5354,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54">
        <f>IF(AND('Loan Tape (S&amp;P)'!U5354="Yes",
        'Loan Tape (S&amp;P)'!T5354&lt;&gt;"Yes",
        DATEDIF('Loan Tape (S&amp;P)'!K5354, TODAY(), "M")&lt;18),
    1.10,
    1.00)</f>
        <v/>
      </c>
      <c r="O5354">
        <f>IF('Loan Tape (S&amp;P)'!T5354="Yes",
    1.35,
    1.00)</f>
        <v/>
      </c>
      <c r="P5354">
        <f>IF('Loan Tape (S&amp;P)'!S5354="Yes",
    1.15,
    1.00)</f>
        <v/>
      </c>
      <c r="Q5354">
        <f>IF('Loan Tape (S&amp;P)'!V5354="Yes",
    1.20,
    1.00)</f>
        <v/>
      </c>
      <c r="T5354">
        <f>LET(
    payment_method,'Loan Tape (S&amp;P)'!P5354,
    occupancy,'Loan Tape (S&amp;P)'!N5354,
    maturity_date,'Loan Tape (S&amp;P)'!L5354,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55">
      <c r="J5355">
        <f>LET(
    lien,'Loan Tape (S&amp;P)'!Q5355,
    IF(lien="First",1.00,
        IF(lien="Second",1.50,
            1.70)))</f>
        <v/>
      </c>
      <c r="K5355">
        <f>LET(
    purpose,'Loan Tape (S&amp;P)'!R5355,
    IF(purpose="Purchase",1.00,
        IF(purpose="Remortgage",1.00,
            1.20)))</f>
        <v/>
      </c>
      <c r="L5355">
        <f>LET(
    arrears_months,'Loan Tape (S&amp;P)'!AN5355,
    IF(arrears_months=0,1.00,
    IF(arrears_months=1,3.00,
    IF(arrears_months=2,5.00,
    IF(arrears_months=3,8.00,
    IF(arrears_months=4,10.00,
    IF(arrears_months=5,12.00,15.00)))))))</f>
        <v/>
      </c>
      <c r="M5355">
        <f>LET(
    seasoning_years,DATEDIF('Loan Tape (S&amp;P)'!K5355,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55">
        <f>IF(AND('Loan Tape (S&amp;P)'!U5355="Yes",
        'Loan Tape (S&amp;P)'!T5355&lt;&gt;"Yes",
        DATEDIF('Loan Tape (S&amp;P)'!K5355, TODAY(), "M")&lt;18),
    1.10,
    1.00)</f>
        <v/>
      </c>
      <c r="O5355">
        <f>IF('Loan Tape (S&amp;P)'!T5355="Yes",
    1.35,
    1.00)</f>
        <v/>
      </c>
      <c r="P5355">
        <f>IF('Loan Tape (S&amp;P)'!S5355="Yes",
    1.15,
    1.00)</f>
        <v/>
      </c>
      <c r="Q5355">
        <f>IF('Loan Tape (S&amp;P)'!V5355="Yes",
    1.20,
    1.00)</f>
        <v/>
      </c>
      <c r="T5355">
        <f>LET(
    payment_method,'Loan Tape (S&amp;P)'!P5355,
    occupancy,'Loan Tape (S&amp;P)'!N5355,
    maturity_date,'Loan Tape (S&amp;P)'!L5355,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56">
      <c r="J5356">
        <f>LET(
    lien,'Loan Tape (S&amp;P)'!Q5356,
    IF(lien="First",1.00,
        IF(lien="Second",1.50,
            1.70)))</f>
        <v/>
      </c>
      <c r="K5356">
        <f>LET(
    purpose,'Loan Tape (S&amp;P)'!R5356,
    IF(purpose="Purchase",1.00,
        IF(purpose="Remortgage",1.00,
            1.20)))</f>
        <v/>
      </c>
      <c r="L5356">
        <f>LET(
    arrears_months,'Loan Tape (S&amp;P)'!AN5356,
    IF(arrears_months=0,1.00,
    IF(arrears_months=1,3.00,
    IF(arrears_months=2,5.00,
    IF(arrears_months=3,8.00,
    IF(arrears_months=4,10.00,
    IF(arrears_months=5,12.00,15.00)))))))</f>
        <v/>
      </c>
      <c r="M5356">
        <f>LET(
    seasoning_years,DATEDIF('Loan Tape (S&amp;P)'!K5356,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56">
        <f>IF(AND('Loan Tape (S&amp;P)'!U5356="Yes",
        'Loan Tape (S&amp;P)'!T5356&lt;&gt;"Yes",
        DATEDIF('Loan Tape (S&amp;P)'!K5356, TODAY(), "M")&lt;18),
    1.10,
    1.00)</f>
        <v/>
      </c>
      <c r="O5356">
        <f>IF('Loan Tape (S&amp;P)'!T5356="Yes",
    1.35,
    1.00)</f>
        <v/>
      </c>
      <c r="P5356">
        <f>IF('Loan Tape (S&amp;P)'!S5356="Yes",
    1.15,
    1.00)</f>
        <v/>
      </c>
      <c r="Q5356">
        <f>IF('Loan Tape (S&amp;P)'!V5356="Yes",
    1.20,
    1.00)</f>
        <v/>
      </c>
      <c r="T5356">
        <f>LET(
    payment_method,'Loan Tape (S&amp;P)'!P5356,
    occupancy,'Loan Tape (S&amp;P)'!N5356,
    maturity_date,'Loan Tape (S&amp;P)'!L5356,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57">
      <c r="J5357">
        <f>LET(
    lien,'Loan Tape (S&amp;P)'!Q5357,
    IF(lien="First",1.00,
        IF(lien="Second",1.50,
            1.70)))</f>
        <v/>
      </c>
      <c r="K5357">
        <f>LET(
    purpose,'Loan Tape (S&amp;P)'!R5357,
    IF(purpose="Purchase",1.00,
        IF(purpose="Remortgage",1.00,
            1.20)))</f>
        <v/>
      </c>
      <c r="L5357">
        <f>LET(
    arrears_months,'Loan Tape (S&amp;P)'!AN5357,
    IF(arrears_months=0,1.00,
    IF(arrears_months=1,3.00,
    IF(arrears_months=2,5.00,
    IF(arrears_months=3,8.00,
    IF(arrears_months=4,10.00,
    IF(arrears_months=5,12.00,15.00)))))))</f>
        <v/>
      </c>
      <c r="M5357">
        <f>LET(
    seasoning_years,DATEDIF('Loan Tape (S&amp;P)'!K5357,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57">
        <f>IF(AND('Loan Tape (S&amp;P)'!U5357="Yes",
        'Loan Tape (S&amp;P)'!T5357&lt;&gt;"Yes",
        DATEDIF('Loan Tape (S&amp;P)'!K5357, TODAY(), "M")&lt;18),
    1.10,
    1.00)</f>
        <v/>
      </c>
      <c r="O5357">
        <f>IF('Loan Tape (S&amp;P)'!T5357="Yes",
    1.35,
    1.00)</f>
        <v/>
      </c>
      <c r="P5357">
        <f>IF('Loan Tape (S&amp;P)'!S5357="Yes",
    1.15,
    1.00)</f>
        <v/>
      </c>
      <c r="Q5357">
        <f>IF('Loan Tape (S&amp;P)'!V5357="Yes",
    1.20,
    1.00)</f>
        <v/>
      </c>
      <c r="T5357">
        <f>LET(
    payment_method,'Loan Tape (S&amp;P)'!P5357,
    occupancy,'Loan Tape (S&amp;P)'!N5357,
    maturity_date,'Loan Tape (S&amp;P)'!L5357,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58">
      <c r="J5358">
        <f>LET(
    lien,'Loan Tape (S&amp;P)'!Q5358,
    IF(lien="First",1.00,
        IF(lien="Second",1.50,
            1.70)))</f>
        <v/>
      </c>
      <c r="K5358">
        <f>LET(
    purpose,'Loan Tape (S&amp;P)'!R5358,
    IF(purpose="Purchase",1.00,
        IF(purpose="Remortgage",1.00,
            1.20)))</f>
        <v/>
      </c>
      <c r="L5358">
        <f>LET(
    arrears_months,'Loan Tape (S&amp;P)'!AN5358,
    IF(arrears_months=0,1.00,
    IF(arrears_months=1,3.00,
    IF(arrears_months=2,5.00,
    IF(arrears_months=3,8.00,
    IF(arrears_months=4,10.00,
    IF(arrears_months=5,12.00,15.00)))))))</f>
        <v/>
      </c>
      <c r="M5358">
        <f>LET(
    seasoning_years,DATEDIF('Loan Tape (S&amp;P)'!K5358,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58">
        <f>IF(AND('Loan Tape (S&amp;P)'!U5358="Yes",
        'Loan Tape (S&amp;P)'!T5358&lt;&gt;"Yes",
        DATEDIF('Loan Tape (S&amp;P)'!K5358, TODAY(), "M")&lt;18),
    1.10,
    1.00)</f>
        <v/>
      </c>
      <c r="O5358">
        <f>IF('Loan Tape (S&amp;P)'!T5358="Yes",
    1.35,
    1.00)</f>
        <v/>
      </c>
      <c r="P5358">
        <f>IF('Loan Tape (S&amp;P)'!S5358="Yes",
    1.15,
    1.00)</f>
        <v/>
      </c>
      <c r="Q5358">
        <f>IF('Loan Tape (S&amp;P)'!V5358="Yes",
    1.20,
    1.00)</f>
        <v/>
      </c>
      <c r="T5358">
        <f>LET(
    payment_method,'Loan Tape (S&amp;P)'!P5358,
    occupancy,'Loan Tape (S&amp;P)'!N5358,
    maturity_date,'Loan Tape (S&amp;P)'!L5358,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59">
      <c r="J5359">
        <f>LET(
    lien,'Loan Tape (S&amp;P)'!Q5359,
    IF(lien="First",1.00,
        IF(lien="Second",1.50,
            1.70)))</f>
        <v/>
      </c>
      <c r="K5359">
        <f>LET(
    purpose,'Loan Tape (S&amp;P)'!R5359,
    IF(purpose="Purchase",1.00,
        IF(purpose="Remortgage",1.00,
            1.20)))</f>
        <v/>
      </c>
      <c r="L5359">
        <f>LET(
    arrears_months,'Loan Tape (S&amp;P)'!AN5359,
    IF(arrears_months=0,1.00,
    IF(arrears_months=1,3.00,
    IF(arrears_months=2,5.00,
    IF(arrears_months=3,8.00,
    IF(arrears_months=4,10.00,
    IF(arrears_months=5,12.00,15.00)))))))</f>
        <v/>
      </c>
      <c r="M5359">
        <f>LET(
    seasoning_years,DATEDIF('Loan Tape (S&amp;P)'!K5359,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59">
        <f>IF(AND('Loan Tape (S&amp;P)'!U5359="Yes",
        'Loan Tape (S&amp;P)'!T5359&lt;&gt;"Yes",
        DATEDIF('Loan Tape (S&amp;P)'!K5359, TODAY(), "M")&lt;18),
    1.10,
    1.00)</f>
        <v/>
      </c>
      <c r="O5359">
        <f>IF('Loan Tape (S&amp;P)'!T5359="Yes",
    1.35,
    1.00)</f>
        <v/>
      </c>
      <c r="P5359">
        <f>IF('Loan Tape (S&amp;P)'!S5359="Yes",
    1.15,
    1.00)</f>
        <v/>
      </c>
      <c r="Q5359">
        <f>IF('Loan Tape (S&amp;P)'!V5359="Yes",
    1.20,
    1.00)</f>
        <v/>
      </c>
      <c r="T5359">
        <f>LET(
    payment_method,'Loan Tape (S&amp;P)'!P5359,
    occupancy,'Loan Tape (S&amp;P)'!N5359,
    maturity_date,'Loan Tape (S&amp;P)'!L5359,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60">
      <c r="J5360">
        <f>LET(
    lien,'Loan Tape (S&amp;P)'!Q5360,
    IF(lien="First",1.00,
        IF(lien="Second",1.50,
            1.70)))</f>
        <v/>
      </c>
      <c r="K5360">
        <f>LET(
    purpose,'Loan Tape (S&amp;P)'!R5360,
    IF(purpose="Purchase",1.00,
        IF(purpose="Remortgage",1.00,
            1.20)))</f>
        <v/>
      </c>
      <c r="L5360">
        <f>LET(
    arrears_months,'Loan Tape (S&amp;P)'!AN5360,
    IF(arrears_months=0,1.00,
    IF(arrears_months=1,3.00,
    IF(arrears_months=2,5.00,
    IF(arrears_months=3,8.00,
    IF(arrears_months=4,10.00,
    IF(arrears_months=5,12.00,15.00)))))))</f>
        <v/>
      </c>
      <c r="M5360">
        <f>LET(
    seasoning_years,DATEDIF('Loan Tape (S&amp;P)'!K5360,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60">
        <f>IF(AND('Loan Tape (S&amp;P)'!U5360="Yes",
        'Loan Tape (S&amp;P)'!T5360&lt;&gt;"Yes",
        DATEDIF('Loan Tape (S&amp;P)'!K5360, TODAY(), "M")&lt;18),
    1.10,
    1.00)</f>
        <v/>
      </c>
      <c r="O5360">
        <f>IF('Loan Tape (S&amp;P)'!T5360="Yes",
    1.35,
    1.00)</f>
        <v/>
      </c>
      <c r="P5360">
        <f>IF('Loan Tape (S&amp;P)'!S5360="Yes",
    1.15,
    1.00)</f>
        <v/>
      </c>
      <c r="Q5360">
        <f>IF('Loan Tape (S&amp;P)'!V5360="Yes",
    1.20,
    1.00)</f>
        <v/>
      </c>
      <c r="T5360">
        <f>LET(
    payment_method,'Loan Tape (S&amp;P)'!P5360,
    occupancy,'Loan Tape (S&amp;P)'!N5360,
    maturity_date,'Loan Tape (S&amp;P)'!L5360,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61">
      <c r="J5361">
        <f>LET(
    lien,'Loan Tape (S&amp;P)'!Q5361,
    IF(lien="First",1.00,
        IF(lien="Second",1.50,
            1.70)))</f>
        <v/>
      </c>
      <c r="K5361">
        <f>LET(
    purpose,'Loan Tape (S&amp;P)'!R5361,
    IF(purpose="Purchase",1.00,
        IF(purpose="Remortgage",1.00,
            1.20)))</f>
        <v/>
      </c>
      <c r="L5361">
        <f>LET(
    arrears_months,'Loan Tape (S&amp;P)'!AN5361,
    IF(arrears_months=0,1.00,
    IF(arrears_months=1,3.00,
    IF(arrears_months=2,5.00,
    IF(arrears_months=3,8.00,
    IF(arrears_months=4,10.00,
    IF(arrears_months=5,12.00,15.00)))))))</f>
        <v/>
      </c>
      <c r="M5361">
        <f>LET(
    seasoning_years,DATEDIF('Loan Tape (S&amp;P)'!K5361,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61">
        <f>IF(AND('Loan Tape (S&amp;P)'!U5361="Yes",
        'Loan Tape (S&amp;P)'!T5361&lt;&gt;"Yes",
        DATEDIF('Loan Tape (S&amp;P)'!K5361, TODAY(), "M")&lt;18),
    1.10,
    1.00)</f>
        <v/>
      </c>
      <c r="O5361">
        <f>IF('Loan Tape (S&amp;P)'!T5361="Yes",
    1.35,
    1.00)</f>
        <v/>
      </c>
      <c r="P5361">
        <f>IF('Loan Tape (S&amp;P)'!S5361="Yes",
    1.15,
    1.00)</f>
        <v/>
      </c>
      <c r="Q5361">
        <f>IF('Loan Tape (S&amp;P)'!V5361="Yes",
    1.20,
    1.00)</f>
        <v/>
      </c>
      <c r="T5361">
        <f>LET(
    payment_method,'Loan Tape (S&amp;P)'!P5361,
    occupancy,'Loan Tape (S&amp;P)'!N5361,
    maturity_date,'Loan Tape (S&amp;P)'!L5361,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62">
      <c r="J5362">
        <f>LET(
    lien,'Loan Tape (S&amp;P)'!Q5362,
    IF(lien="First",1.00,
        IF(lien="Second",1.50,
            1.70)))</f>
        <v/>
      </c>
      <c r="K5362">
        <f>LET(
    purpose,'Loan Tape (S&amp;P)'!R5362,
    IF(purpose="Purchase",1.00,
        IF(purpose="Remortgage",1.00,
            1.20)))</f>
        <v/>
      </c>
      <c r="L5362">
        <f>LET(
    arrears_months,'Loan Tape (S&amp;P)'!AN5362,
    IF(arrears_months=0,1.00,
    IF(arrears_months=1,3.00,
    IF(arrears_months=2,5.00,
    IF(arrears_months=3,8.00,
    IF(arrears_months=4,10.00,
    IF(arrears_months=5,12.00,15.00)))))))</f>
        <v/>
      </c>
      <c r="M5362">
        <f>LET(
    seasoning_years,DATEDIF('Loan Tape (S&amp;P)'!K5362,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62">
        <f>IF(AND('Loan Tape (S&amp;P)'!U5362="Yes",
        'Loan Tape (S&amp;P)'!T5362&lt;&gt;"Yes",
        DATEDIF('Loan Tape (S&amp;P)'!K5362, TODAY(), "M")&lt;18),
    1.10,
    1.00)</f>
        <v/>
      </c>
      <c r="O5362">
        <f>IF('Loan Tape (S&amp;P)'!T5362="Yes",
    1.35,
    1.00)</f>
        <v/>
      </c>
      <c r="P5362">
        <f>IF('Loan Tape (S&amp;P)'!S5362="Yes",
    1.15,
    1.00)</f>
        <v/>
      </c>
      <c r="Q5362">
        <f>IF('Loan Tape (S&amp;P)'!V5362="Yes",
    1.20,
    1.00)</f>
        <v/>
      </c>
      <c r="T5362">
        <f>LET(
    payment_method,'Loan Tape (S&amp;P)'!P5362,
    occupancy,'Loan Tape (S&amp;P)'!N5362,
    maturity_date,'Loan Tape (S&amp;P)'!L5362,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63">
      <c r="J5363">
        <f>LET(
    lien,'Loan Tape (S&amp;P)'!Q5363,
    IF(lien="First",1.00,
        IF(lien="Second",1.50,
            1.70)))</f>
        <v/>
      </c>
      <c r="K5363">
        <f>LET(
    purpose,'Loan Tape (S&amp;P)'!R5363,
    IF(purpose="Purchase",1.00,
        IF(purpose="Remortgage",1.00,
            1.20)))</f>
        <v/>
      </c>
      <c r="L5363">
        <f>LET(
    arrears_months,'Loan Tape (S&amp;P)'!AN5363,
    IF(arrears_months=0,1.00,
    IF(arrears_months=1,3.00,
    IF(arrears_months=2,5.00,
    IF(arrears_months=3,8.00,
    IF(arrears_months=4,10.00,
    IF(arrears_months=5,12.00,15.00)))))))</f>
        <v/>
      </c>
      <c r="M5363">
        <f>LET(
    seasoning_years,DATEDIF('Loan Tape (S&amp;P)'!K5363,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63">
        <f>IF(AND('Loan Tape (S&amp;P)'!U5363="Yes",
        'Loan Tape (S&amp;P)'!T5363&lt;&gt;"Yes",
        DATEDIF('Loan Tape (S&amp;P)'!K5363, TODAY(), "M")&lt;18),
    1.10,
    1.00)</f>
        <v/>
      </c>
      <c r="O5363">
        <f>IF('Loan Tape (S&amp;P)'!T5363="Yes",
    1.35,
    1.00)</f>
        <v/>
      </c>
      <c r="P5363">
        <f>IF('Loan Tape (S&amp;P)'!S5363="Yes",
    1.15,
    1.00)</f>
        <v/>
      </c>
      <c r="Q5363">
        <f>IF('Loan Tape (S&amp;P)'!V5363="Yes",
    1.20,
    1.00)</f>
        <v/>
      </c>
      <c r="T5363">
        <f>LET(
    payment_method,'Loan Tape (S&amp;P)'!P5363,
    occupancy,'Loan Tape (S&amp;P)'!N5363,
    maturity_date,'Loan Tape (S&amp;P)'!L5363,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64">
      <c r="J5364">
        <f>LET(
    lien,'Loan Tape (S&amp;P)'!Q5364,
    IF(lien="First",1.00,
        IF(lien="Second",1.50,
            1.70)))</f>
        <v/>
      </c>
      <c r="K5364">
        <f>LET(
    purpose,'Loan Tape (S&amp;P)'!R5364,
    IF(purpose="Purchase",1.00,
        IF(purpose="Remortgage",1.00,
            1.20)))</f>
        <v/>
      </c>
      <c r="L5364">
        <f>LET(
    arrears_months,'Loan Tape (S&amp;P)'!AN5364,
    IF(arrears_months=0,1.00,
    IF(arrears_months=1,3.00,
    IF(arrears_months=2,5.00,
    IF(arrears_months=3,8.00,
    IF(arrears_months=4,10.00,
    IF(arrears_months=5,12.00,15.00)))))))</f>
        <v/>
      </c>
      <c r="M5364">
        <f>LET(
    seasoning_years,DATEDIF('Loan Tape (S&amp;P)'!K5364,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64">
        <f>IF(AND('Loan Tape (S&amp;P)'!U5364="Yes",
        'Loan Tape (S&amp;P)'!T5364&lt;&gt;"Yes",
        DATEDIF('Loan Tape (S&amp;P)'!K5364, TODAY(), "M")&lt;18),
    1.10,
    1.00)</f>
        <v/>
      </c>
      <c r="O5364">
        <f>IF('Loan Tape (S&amp;P)'!T5364="Yes",
    1.35,
    1.00)</f>
        <v/>
      </c>
      <c r="P5364">
        <f>IF('Loan Tape (S&amp;P)'!S5364="Yes",
    1.15,
    1.00)</f>
        <v/>
      </c>
      <c r="Q5364">
        <f>IF('Loan Tape (S&amp;P)'!V5364="Yes",
    1.20,
    1.00)</f>
        <v/>
      </c>
      <c r="T5364">
        <f>LET(
    payment_method,'Loan Tape (S&amp;P)'!P5364,
    occupancy,'Loan Tape (S&amp;P)'!N5364,
    maturity_date,'Loan Tape (S&amp;P)'!L5364,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65">
      <c r="J5365">
        <f>LET(
    lien,'Loan Tape (S&amp;P)'!Q5365,
    IF(lien="First",1.00,
        IF(lien="Second",1.50,
            1.70)))</f>
        <v/>
      </c>
      <c r="K5365">
        <f>LET(
    purpose,'Loan Tape (S&amp;P)'!R5365,
    IF(purpose="Purchase",1.00,
        IF(purpose="Remortgage",1.00,
            1.20)))</f>
        <v/>
      </c>
      <c r="L5365">
        <f>LET(
    arrears_months,'Loan Tape (S&amp;P)'!AN5365,
    IF(arrears_months=0,1.00,
    IF(arrears_months=1,3.00,
    IF(arrears_months=2,5.00,
    IF(arrears_months=3,8.00,
    IF(arrears_months=4,10.00,
    IF(arrears_months=5,12.00,15.00)))))))</f>
        <v/>
      </c>
      <c r="M5365">
        <f>LET(
    seasoning_years,DATEDIF('Loan Tape (S&amp;P)'!K5365,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65">
        <f>IF(AND('Loan Tape (S&amp;P)'!U5365="Yes",
        'Loan Tape (S&amp;P)'!T5365&lt;&gt;"Yes",
        DATEDIF('Loan Tape (S&amp;P)'!K5365, TODAY(), "M")&lt;18),
    1.10,
    1.00)</f>
        <v/>
      </c>
      <c r="O5365">
        <f>IF('Loan Tape (S&amp;P)'!T5365="Yes",
    1.35,
    1.00)</f>
        <v/>
      </c>
      <c r="P5365">
        <f>IF('Loan Tape (S&amp;P)'!S5365="Yes",
    1.15,
    1.00)</f>
        <v/>
      </c>
      <c r="Q5365">
        <f>IF('Loan Tape (S&amp;P)'!V5365="Yes",
    1.20,
    1.00)</f>
        <v/>
      </c>
      <c r="T5365">
        <f>LET(
    payment_method,'Loan Tape (S&amp;P)'!P5365,
    occupancy,'Loan Tape (S&amp;P)'!N5365,
    maturity_date,'Loan Tape (S&amp;P)'!L5365,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66">
      <c r="J5366">
        <f>LET(
    lien,'Loan Tape (S&amp;P)'!Q5366,
    IF(lien="First",1.00,
        IF(lien="Second",1.50,
            1.70)))</f>
        <v/>
      </c>
      <c r="K5366">
        <f>LET(
    purpose,'Loan Tape (S&amp;P)'!R5366,
    IF(purpose="Purchase",1.00,
        IF(purpose="Remortgage",1.00,
            1.20)))</f>
        <v/>
      </c>
      <c r="L5366">
        <f>LET(
    arrears_months,'Loan Tape (S&amp;P)'!AN5366,
    IF(arrears_months=0,1.00,
    IF(arrears_months=1,3.00,
    IF(arrears_months=2,5.00,
    IF(arrears_months=3,8.00,
    IF(arrears_months=4,10.00,
    IF(arrears_months=5,12.00,15.00)))))))</f>
        <v/>
      </c>
      <c r="M5366">
        <f>LET(
    seasoning_years,DATEDIF('Loan Tape (S&amp;P)'!K5366,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66">
        <f>IF(AND('Loan Tape (S&amp;P)'!U5366="Yes",
        'Loan Tape (S&amp;P)'!T5366&lt;&gt;"Yes",
        DATEDIF('Loan Tape (S&amp;P)'!K5366, TODAY(), "M")&lt;18),
    1.10,
    1.00)</f>
        <v/>
      </c>
      <c r="O5366">
        <f>IF('Loan Tape (S&amp;P)'!T5366="Yes",
    1.35,
    1.00)</f>
        <v/>
      </c>
      <c r="P5366">
        <f>IF('Loan Tape (S&amp;P)'!S5366="Yes",
    1.15,
    1.00)</f>
        <v/>
      </c>
      <c r="Q5366">
        <f>IF('Loan Tape (S&amp;P)'!V5366="Yes",
    1.20,
    1.00)</f>
        <v/>
      </c>
      <c r="T5366">
        <f>LET(
    payment_method,'Loan Tape (S&amp;P)'!P5366,
    occupancy,'Loan Tape (S&amp;P)'!N5366,
    maturity_date,'Loan Tape (S&amp;P)'!L5366,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67">
      <c r="J5367">
        <f>LET(
    lien,'Loan Tape (S&amp;P)'!Q5367,
    IF(lien="First",1.00,
        IF(lien="Second",1.50,
            1.70)))</f>
        <v/>
      </c>
      <c r="K5367">
        <f>LET(
    purpose,'Loan Tape (S&amp;P)'!R5367,
    IF(purpose="Purchase",1.00,
        IF(purpose="Remortgage",1.00,
            1.20)))</f>
        <v/>
      </c>
      <c r="L5367">
        <f>LET(
    arrears_months,'Loan Tape (S&amp;P)'!AN5367,
    IF(arrears_months=0,1.00,
    IF(arrears_months=1,3.00,
    IF(arrears_months=2,5.00,
    IF(arrears_months=3,8.00,
    IF(arrears_months=4,10.00,
    IF(arrears_months=5,12.00,15.00)))))))</f>
        <v/>
      </c>
      <c r="M5367">
        <f>LET(
    seasoning_years,DATEDIF('Loan Tape (S&amp;P)'!K5367,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67">
        <f>IF(AND('Loan Tape (S&amp;P)'!U5367="Yes",
        'Loan Tape (S&amp;P)'!T5367&lt;&gt;"Yes",
        DATEDIF('Loan Tape (S&amp;P)'!K5367, TODAY(), "M")&lt;18),
    1.10,
    1.00)</f>
        <v/>
      </c>
      <c r="O5367">
        <f>IF('Loan Tape (S&amp;P)'!T5367="Yes",
    1.35,
    1.00)</f>
        <v/>
      </c>
      <c r="P5367">
        <f>IF('Loan Tape (S&amp;P)'!S5367="Yes",
    1.15,
    1.00)</f>
        <v/>
      </c>
      <c r="Q5367">
        <f>IF('Loan Tape (S&amp;P)'!V5367="Yes",
    1.20,
    1.00)</f>
        <v/>
      </c>
      <c r="T5367">
        <f>LET(
    payment_method,'Loan Tape (S&amp;P)'!P5367,
    occupancy,'Loan Tape (S&amp;P)'!N5367,
    maturity_date,'Loan Tape (S&amp;P)'!L5367,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68">
      <c r="J5368">
        <f>LET(
    lien,'Loan Tape (S&amp;P)'!Q5368,
    IF(lien="First",1.00,
        IF(lien="Second",1.50,
            1.70)))</f>
        <v/>
      </c>
      <c r="K5368">
        <f>LET(
    purpose,'Loan Tape (S&amp;P)'!R5368,
    IF(purpose="Purchase",1.00,
        IF(purpose="Remortgage",1.00,
            1.20)))</f>
        <v/>
      </c>
      <c r="L5368">
        <f>LET(
    arrears_months,'Loan Tape (S&amp;P)'!AN5368,
    IF(arrears_months=0,1.00,
    IF(arrears_months=1,3.00,
    IF(arrears_months=2,5.00,
    IF(arrears_months=3,8.00,
    IF(arrears_months=4,10.00,
    IF(arrears_months=5,12.00,15.00)))))))</f>
        <v/>
      </c>
      <c r="M5368">
        <f>LET(
    seasoning_years,DATEDIF('Loan Tape (S&amp;P)'!K5368,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68">
        <f>IF(AND('Loan Tape (S&amp;P)'!U5368="Yes",
        'Loan Tape (S&amp;P)'!T5368&lt;&gt;"Yes",
        DATEDIF('Loan Tape (S&amp;P)'!K5368, TODAY(), "M")&lt;18),
    1.10,
    1.00)</f>
        <v/>
      </c>
      <c r="O5368">
        <f>IF('Loan Tape (S&amp;P)'!T5368="Yes",
    1.35,
    1.00)</f>
        <v/>
      </c>
      <c r="P5368">
        <f>IF('Loan Tape (S&amp;P)'!S5368="Yes",
    1.15,
    1.00)</f>
        <v/>
      </c>
      <c r="Q5368">
        <f>IF('Loan Tape (S&amp;P)'!V5368="Yes",
    1.20,
    1.00)</f>
        <v/>
      </c>
      <c r="T5368">
        <f>LET(
    payment_method,'Loan Tape (S&amp;P)'!P5368,
    occupancy,'Loan Tape (S&amp;P)'!N5368,
    maturity_date,'Loan Tape (S&amp;P)'!L5368,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69">
      <c r="J5369">
        <f>LET(
    lien,'Loan Tape (S&amp;P)'!Q5369,
    IF(lien="First",1.00,
        IF(lien="Second",1.50,
            1.70)))</f>
        <v/>
      </c>
      <c r="K5369">
        <f>LET(
    purpose,'Loan Tape (S&amp;P)'!R5369,
    IF(purpose="Purchase",1.00,
        IF(purpose="Remortgage",1.00,
            1.20)))</f>
        <v/>
      </c>
      <c r="L5369">
        <f>LET(
    arrears_months,'Loan Tape (S&amp;P)'!AN5369,
    IF(arrears_months=0,1.00,
    IF(arrears_months=1,3.00,
    IF(arrears_months=2,5.00,
    IF(arrears_months=3,8.00,
    IF(arrears_months=4,10.00,
    IF(arrears_months=5,12.00,15.00)))))))</f>
        <v/>
      </c>
      <c r="M5369">
        <f>LET(
    seasoning_years,DATEDIF('Loan Tape (S&amp;P)'!K5369,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69">
        <f>IF(AND('Loan Tape (S&amp;P)'!U5369="Yes",
        'Loan Tape (S&amp;P)'!T5369&lt;&gt;"Yes",
        DATEDIF('Loan Tape (S&amp;P)'!K5369, TODAY(), "M")&lt;18),
    1.10,
    1.00)</f>
        <v/>
      </c>
      <c r="O5369">
        <f>IF('Loan Tape (S&amp;P)'!T5369="Yes",
    1.35,
    1.00)</f>
        <v/>
      </c>
      <c r="P5369">
        <f>IF('Loan Tape (S&amp;P)'!S5369="Yes",
    1.15,
    1.00)</f>
        <v/>
      </c>
      <c r="Q5369">
        <f>IF('Loan Tape (S&amp;P)'!V5369="Yes",
    1.20,
    1.00)</f>
        <v/>
      </c>
      <c r="T5369">
        <f>LET(
    payment_method,'Loan Tape (S&amp;P)'!P5369,
    occupancy,'Loan Tape (S&amp;P)'!N5369,
    maturity_date,'Loan Tape (S&amp;P)'!L5369,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70">
      <c r="J5370">
        <f>LET(
    lien,'Loan Tape (S&amp;P)'!Q5370,
    IF(lien="First",1.00,
        IF(lien="Second",1.50,
            1.70)))</f>
        <v/>
      </c>
      <c r="K5370">
        <f>LET(
    purpose,'Loan Tape (S&amp;P)'!R5370,
    IF(purpose="Purchase",1.00,
        IF(purpose="Remortgage",1.00,
            1.20)))</f>
        <v/>
      </c>
      <c r="L5370">
        <f>LET(
    arrears_months,'Loan Tape (S&amp;P)'!AN5370,
    IF(arrears_months=0,1.00,
    IF(arrears_months=1,3.00,
    IF(arrears_months=2,5.00,
    IF(arrears_months=3,8.00,
    IF(arrears_months=4,10.00,
    IF(arrears_months=5,12.00,15.00)))))))</f>
        <v/>
      </c>
      <c r="M5370">
        <f>LET(
    seasoning_years,DATEDIF('Loan Tape (S&amp;P)'!K5370,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70">
        <f>IF(AND('Loan Tape (S&amp;P)'!U5370="Yes",
        'Loan Tape (S&amp;P)'!T5370&lt;&gt;"Yes",
        DATEDIF('Loan Tape (S&amp;P)'!K5370, TODAY(), "M")&lt;18),
    1.10,
    1.00)</f>
        <v/>
      </c>
      <c r="O5370">
        <f>IF('Loan Tape (S&amp;P)'!T5370="Yes",
    1.35,
    1.00)</f>
        <v/>
      </c>
      <c r="P5370">
        <f>IF('Loan Tape (S&amp;P)'!S5370="Yes",
    1.15,
    1.00)</f>
        <v/>
      </c>
      <c r="Q5370">
        <f>IF('Loan Tape (S&amp;P)'!V5370="Yes",
    1.20,
    1.00)</f>
        <v/>
      </c>
      <c r="T5370">
        <f>LET(
    payment_method,'Loan Tape (S&amp;P)'!P5370,
    occupancy,'Loan Tape (S&amp;P)'!N5370,
    maturity_date,'Loan Tape (S&amp;P)'!L5370,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71">
      <c r="J5371">
        <f>LET(
    lien,'Loan Tape (S&amp;P)'!Q5371,
    IF(lien="First",1.00,
        IF(lien="Second",1.50,
            1.70)))</f>
        <v/>
      </c>
      <c r="K5371">
        <f>LET(
    purpose,'Loan Tape (S&amp;P)'!R5371,
    IF(purpose="Purchase",1.00,
        IF(purpose="Remortgage",1.00,
            1.20)))</f>
        <v/>
      </c>
      <c r="L5371">
        <f>LET(
    arrears_months,'Loan Tape (S&amp;P)'!AN5371,
    IF(arrears_months=0,1.00,
    IF(arrears_months=1,3.00,
    IF(arrears_months=2,5.00,
    IF(arrears_months=3,8.00,
    IF(arrears_months=4,10.00,
    IF(arrears_months=5,12.00,15.00)))))))</f>
        <v/>
      </c>
      <c r="M5371">
        <f>LET(
    seasoning_years,DATEDIF('Loan Tape (S&amp;P)'!K5371,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71">
        <f>IF(AND('Loan Tape (S&amp;P)'!U5371="Yes",
        'Loan Tape (S&amp;P)'!T5371&lt;&gt;"Yes",
        DATEDIF('Loan Tape (S&amp;P)'!K5371, TODAY(), "M")&lt;18),
    1.10,
    1.00)</f>
        <v/>
      </c>
      <c r="O5371">
        <f>IF('Loan Tape (S&amp;P)'!T5371="Yes",
    1.35,
    1.00)</f>
        <v/>
      </c>
      <c r="P5371">
        <f>IF('Loan Tape (S&amp;P)'!S5371="Yes",
    1.15,
    1.00)</f>
        <v/>
      </c>
      <c r="Q5371">
        <f>IF('Loan Tape (S&amp;P)'!V5371="Yes",
    1.20,
    1.00)</f>
        <v/>
      </c>
      <c r="T5371">
        <f>LET(
    payment_method,'Loan Tape (S&amp;P)'!P5371,
    occupancy,'Loan Tape (S&amp;P)'!N5371,
    maturity_date,'Loan Tape (S&amp;P)'!L5371,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72">
      <c r="J5372">
        <f>LET(
    lien,'Loan Tape (S&amp;P)'!Q5372,
    IF(lien="First",1.00,
        IF(lien="Second",1.50,
            1.70)))</f>
        <v/>
      </c>
      <c r="K5372">
        <f>LET(
    purpose,'Loan Tape (S&amp;P)'!R5372,
    IF(purpose="Purchase",1.00,
        IF(purpose="Remortgage",1.00,
            1.20)))</f>
        <v/>
      </c>
      <c r="L5372">
        <f>LET(
    arrears_months,'Loan Tape (S&amp;P)'!AN5372,
    IF(arrears_months=0,1.00,
    IF(arrears_months=1,3.00,
    IF(arrears_months=2,5.00,
    IF(arrears_months=3,8.00,
    IF(arrears_months=4,10.00,
    IF(arrears_months=5,12.00,15.00)))))))</f>
        <v/>
      </c>
      <c r="M5372">
        <f>LET(
    seasoning_years,DATEDIF('Loan Tape (S&amp;P)'!K5372,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72">
        <f>IF(AND('Loan Tape (S&amp;P)'!U5372="Yes",
        'Loan Tape (S&amp;P)'!T5372&lt;&gt;"Yes",
        DATEDIF('Loan Tape (S&amp;P)'!K5372, TODAY(), "M")&lt;18),
    1.10,
    1.00)</f>
        <v/>
      </c>
      <c r="O5372">
        <f>IF('Loan Tape (S&amp;P)'!T5372="Yes",
    1.35,
    1.00)</f>
        <v/>
      </c>
      <c r="P5372">
        <f>IF('Loan Tape (S&amp;P)'!S5372="Yes",
    1.15,
    1.00)</f>
        <v/>
      </c>
      <c r="Q5372">
        <f>IF('Loan Tape (S&amp;P)'!V5372="Yes",
    1.20,
    1.00)</f>
        <v/>
      </c>
      <c r="T5372">
        <f>LET(
    payment_method,'Loan Tape (S&amp;P)'!P5372,
    occupancy,'Loan Tape (S&amp;P)'!N5372,
    maturity_date,'Loan Tape (S&amp;P)'!L5372,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73">
      <c r="J5373">
        <f>LET(
    lien,'Loan Tape (S&amp;P)'!Q5373,
    IF(lien="First",1.00,
        IF(lien="Second",1.50,
            1.70)))</f>
        <v/>
      </c>
      <c r="K5373">
        <f>LET(
    purpose,'Loan Tape (S&amp;P)'!R5373,
    IF(purpose="Purchase",1.00,
        IF(purpose="Remortgage",1.00,
            1.20)))</f>
        <v/>
      </c>
      <c r="L5373">
        <f>LET(
    arrears_months,'Loan Tape (S&amp;P)'!AN5373,
    IF(arrears_months=0,1.00,
    IF(arrears_months=1,3.00,
    IF(arrears_months=2,5.00,
    IF(arrears_months=3,8.00,
    IF(arrears_months=4,10.00,
    IF(arrears_months=5,12.00,15.00)))))))</f>
        <v/>
      </c>
      <c r="M5373">
        <f>LET(
    seasoning_years,DATEDIF('Loan Tape (S&amp;P)'!K5373,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73">
        <f>IF(AND('Loan Tape (S&amp;P)'!U5373="Yes",
        'Loan Tape (S&amp;P)'!T5373&lt;&gt;"Yes",
        DATEDIF('Loan Tape (S&amp;P)'!K5373, TODAY(), "M")&lt;18),
    1.10,
    1.00)</f>
        <v/>
      </c>
      <c r="O5373">
        <f>IF('Loan Tape (S&amp;P)'!T5373="Yes",
    1.35,
    1.00)</f>
        <v/>
      </c>
      <c r="P5373">
        <f>IF('Loan Tape (S&amp;P)'!S5373="Yes",
    1.15,
    1.00)</f>
        <v/>
      </c>
      <c r="Q5373">
        <f>IF('Loan Tape (S&amp;P)'!V5373="Yes",
    1.20,
    1.00)</f>
        <v/>
      </c>
      <c r="T5373">
        <f>LET(
    payment_method,'Loan Tape (S&amp;P)'!P5373,
    occupancy,'Loan Tape (S&amp;P)'!N5373,
    maturity_date,'Loan Tape (S&amp;P)'!L5373,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74">
      <c r="J5374">
        <f>LET(
    lien,'Loan Tape (S&amp;P)'!Q5374,
    IF(lien="First",1.00,
        IF(lien="Second",1.50,
            1.70)))</f>
        <v/>
      </c>
      <c r="K5374">
        <f>LET(
    purpose,'Loan Tape (S&amp;P)'!R5374,
    IF(purpose="Purchase",1.00,
        IF(purpose="Remortgage",1.00,
            1.20)))</f>
        <v/>
      </c>
      <c r="L5374">
        <f>LET(
    arrears_months,'Loan Tape (S&amp;P)'!AN5374,
    IF(arrears_months=0,1.00,
    IF(arrears_months=1,3.00,
    IF(arrears_months=2,5.00,
    IF(arrears_months=3,8.00,
    IF(arrears_months=4,10.00,
    IF(arrears_months=5,12.00,15.00)))))))</f>
        <v/>
      </c>
      <c r="M5374">
        <f>LET(
    seasoning_years,DATEDIF('Loan Tape (S&amp;P)'!K5374,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74">
        <f>IF(AND('Loan Tape (S&amp;P)'!U5374="Yes",
        'Loan Tape (S&amp;P)'!T5374&lt;&gt;"Yes",
        DATEDIF('Loan Tape (S&amp;P)'!K5374, TODAY(), "M")&lt;18),
    1.10,
    1.00)</f>
        <v/>
      </c>
      <c r="O5374">
        <f>IF('Loan Tape (S&amp;P)'!T5374="Yes",
    1.35,
    1.00)</f>
        <v/>
      </c>
      <c r="P5374">
        <f>IF('Loan Tape (S&amp;P)'!S5374="Yes",
    1.15,
    1.00)</f>
        <v/>
      </c>
      <c r="Q5374">
        <f>IF('Loan Tape (S&amp;P)'!V5374="Yes",
    1.20,
    1.00)</f>
        <v/>
      </c>
      <c r="T5374">
        <f>LET(
    payment_method,'Loan Tape (S&amp;P)'!P5374,
    occupancy,'Loan Tape (S&amp;P)'!N5374,
    maturity_date,'Loan Tape (S&amp;P)'!L5374,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75">
      <c r="J5375">
        <f>LET(
    lien,'Loan Tape (S&amp;P)'!Q5375,
    IF(lien="First",1.00,
        IF(lien="Second",1.50,
            1.70)))</f>
        <v/>
      </c>
      <c r="K5375">
        <f>LET(
    purpose,'Loan Tape (S&amp;P)'!R5375,
    IF(purpose="Purchase",1.00,
        IF(purpose="Remortgage",1.00,
            1.20)))</f>
        <v/>
      </c>
      <c r="L5375">
        <f>LET(
    arrears_months,'Loan Tape (S&amp;P)'!AN5375,
    IF(arrears_months=0,1.00,
    IF(arrears_months=1,3.00,
    IF(arrears_months=2,5.00,
    IF(arrears_months=3,8.00,
    IF(arrears_months=4,10.00,
    IF(arrears_months=5,12.00,15.00)))))))</f>
        <v/>
      </c>
      <c r="M5375">
        <f>LET(
    seasoning_years,DATEDIF('Loan Tape (S&amp;P)'!K5375,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75">
        <f>IF(AND('Loan Tape (S&amp;P)'!U5375="Yes",
        'Loan Tape (S&amp;P)'!T5375&lt;&gt;"Yes",
        DATEDIF('Loan Tape (S&amp;P)'!K5375, TODAY(), "M")&lt;18),
    1.10,
    1.00)</f>
        <v/>
      </c>
      <c r="O5375">
        <f>IF('Loan Tape (S&amp;P)'!T5375="Yes",
    1.35,
    1.00)</f>
        <v/>
      </c>
      <c r="P5375">
        <f>IF('Loan Tape (S&amp;P)'!S5375="Yes",
    1.15,
    1.00)</f>
        <v/>
      </c>
      <c r="Q5375">
        <f>IF('Loan Tape (S&amp;P)'!V5375="Yes",
    1.20,
    1.00)</f>
        <v/>
      </c>
      <c r="T5375">
        <f>LET(
    payment_method,'Loan Tape (S&amp;P)'!P5375,
    occupancy,'Loan Tape (S&amp;P)'!N5375,
    maturity_date,'Loan Tape (S&amp;P)'!L5375,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76">
      <c r="J5376">
        <f>LET(
    lien,'Loan Tape (S&amp;P)'!Q5376,
    IF(lien="First",1.00,
        IF(lien="Second",1.50,
            1.70)))</f>
        <v/>
      </c>
      <c r="K5376">
        <f>LET(
    purpose,'Loan Tape (S&amp;P)'!R5376,
    IF(purpose="Purchase",1.00,
        IF(purpose="Remortgage",1.00,
            1.20)))</f>
        <v/>
      </c>
      <c r="L5376">
        <f>LET(
    arrears_months,'Loan Tape (S&amp;P)'!AN5376,
    IF(arrears_months=0,1.00,
    IF(arrears_months=1,3.00,
    IF(arrears_months=2,5.00,
    IF(arrears_months=3,8.00,
    IF(arrears_months=4,10.00,
    IF(arrears_months=5,12.00,15.00)))))))</f>
        <v/>
      </c>
      <c r="M5376">
        <f>LET(
    seasoning_years,DATEDIF('Loan Tape (S&amp;P)'!K5376,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76">
        <f>IF(AND('Loan Tape (S&amp;P)'!U5376="Yes",
        'Loan Tape (S&amp;P)'!T5376&lt;&gt;"Yes",
        DATEDIF('Loan Tape (S&amp;P)'!K5376, TODAY(), "M")&lt;18),
    1.10,
    1.00)</f>
        <v/>
      </c>
      <c r="O5376">
        <f>IF('Loan Tape (S&amp;P)'!T5376="Yes",
    1.35,
    1.00)</f>
        <v/>
      </c>
      <c r="P5376">
        <f>IF('Loan Tape (S&amp;P)'!S5376="Yes",
    1.15,
    1.00)</f>
        <v/>
      </c>
      <c r="Q5376">
        <f>IF('Loan Tape (S&amp;P)'!V5376="Yes",
    1.20,
    1.00)</f>
        <v/>
      </c>
      <c r="T5376">
        <f>LET(
    payment_method,'Loan Tape (S&amp;P)'!P5376,
    occupancy,'Loan Tape (S&amp;P)'!N5376,
    maturity_date,'Loan Tape (S&amp;P)'!L5376,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77">
      <c r="J5377">
        <f>LET(
    lien,'Loan Tape (S&amp;P)'!Q5377,
    IF(lien="First",1.00,
        IF(lien="Second",1.50,
            1.70)))</f>
        <v/>
      </c>
      <c r="K5377">
        <f>LET(
    purpose,'Loan Tape (S&amp;P)'!R5377,
    IF(purpose="Purchase",1.00,
        IF(purpose="Remortgage",1.00,
            1.20)))</f>
        <v/>
      </c>
      <c r="L5377">
        <f>LET(
    arrears_months,'Loan Tape (S&amp;P)'!AN5377,
    IF(arrears_months=0,1.00,
    IF(arrears_months=1,3.00,
    IF(arrears_months=2,5.00,
    IF(arrears_months=3,8.00,
    IF(arrears_months=4,10.00,
    IF(arrears_months=5,12.00,15.00)))))))</f>
        <v/>
      </c>
      <c r="M5377">
        <f>LET(
    seasoning_years,DATEDIF('Loan Tape (S&amp;P)'!K5377,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77">
        <f>IF(AND('Loan Tape (S&amp;P)'!U5377="Yes",
        'Loan Tape (S&amp;P)'!T5377&lt;&gt;"Yes",
        DATEDIF('Loan Tape (S&amp;P)'!K5377, TODAY(), "M")&lt;18),
    1.10,
    1.00)</f>
        <v/>
      </c>
      <c r="O5377">
        <f>IF('Loan Tape (S&amp;P)'!T5377="Yes",
    1.35,
    1.00)</f>
        <v/>
      </c>
      <c r="P5377">
        <f>IF('Loan Tape (S&amp;P)'!S5377="Yes",
    1.15,
    1.00)</f>
        <v/>
      </c>
      <c r="Q5377">
        <f>IF('Loan Tape (S&amp;P)'!V5377="Yes",
    1.20,
    1.00)</f>
        <v/>
      </c>
      <c r="T5377">
        <f>LET(
    payment_method,'Loan Tape (S&amp;P)'!P5377,
    occupancy,'Loan Tape (S&amp;P)'!N5377,
    maturity_date,'Loan Tape (S&amp;P)'!L5377,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78">
      <c r="J5378">
        <f>LET(
    lien,'Loan Tape (S&amp;P)'!Q5378,
    IF(lien="First",1.00,
        IF(lien="Second",1.50,
            1.70)))</f>
        <v/>
      </c>
      <c r="K5378">
        <f>LET(
    purpose,'Loan Tape (S&amp;P)'!R5378,
    IF(purpose="Purchase",1.00,
        IF(purpose="Remortgage",1.00,
            1.20)))</f>
        <v/>
      </c>
      <c r="L5378">
        <f>LET(
    arrears_months,'Loan Tape (S&amp;P)'!AN5378,
    IF(arrears_months=0,1.00,
    IF(arrears_months=1,3.00,
    IF(arrears_months=2,5.00,
    IF(arrears_months=3,8.00,
    IF(arrears_months=4,10.00,
    IF(arrears_months=5,12.00,15.00)))))))</f>
        <v/>
      </c>
      <c r="M5378">
        <f>LET(
    seasoning_years,DATEDIF('Loan Tape (S&amp;P)'!K5378,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78">
        <f>IF(AND('Loan Tape (S&amp;P)'!U5378="Yes",
        'Loan Tape (S&amp;P)'!T5378&lt;&gt;"Yes",
        DATEDIF('Loan Tape (S&amp;P)'!K5378, TODAY(), "M")&lt;18),
    1.10,
    1.00)</f>
        <v/>
      </c>
      <c r="O5378">
        <f>IF('Loan Tape (S&amp;P)'!T5378="Yes",
    1.35,
    1.00)</f>
        <v/>
      </c>
      <c r="P5378">
        <f>IF('Loan Tape (S&amp;P)'!S5378="Yes",
    1.15,
    1.00)</f>
        <v/>
      </c>
      <c r="Q5378">
        <f>IF('Loan Tape (S&amp;P)'!V5378="Yes",
    1.20,
    1.00)</f>
        <v/>
      </c>
      <c r="T5378">
        <f>LET(
    payment_method,'Loan Tape (S&amp;P)'!P5378,
    occupancy,'Loan Tape (S&amp;P)'!N5378,
    maturity_date,'Loan Tape (S&amp;P)'!L5378,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79">
      <c r="J5379">
        <f>LET(
    lien,'Loan Tape (S&amp;P)'!Q5379,
    IF(lien="First",1.00,
        IF(lien="Second",1.50,
            1.70)))</f>
        <v/>
      </c>
      <c r="K5379">
        <f>LET(
    purpose,'Loan Tape (S&amp;P)'!R5379,
    IF(purpose="Purchase",1.00,
        IF(purpose="Remortgage",1.00,
            1.20)))</f>
        <v/>
      </c>
      <c r="L5379">
        <f>LET(
    arrears_months,'Loan Tape (S&amp;P)'!AN5379,
    IF(arrears_months=0,1.00,
    IF(arrears_months=1,3.00,
    IF(arrears_months=2,5.00,
    IF(arrears_months=3,8.00,
    IF(arrears_months=4,10.00,
    IF(arrears_months=5,12.00,15.00)))))))</f>
        <v/>
      </c>
      <c r="M5379">
        <f>LET(
    seasoning_years,DATEDIF('Loan Tape (S&amp;P)'!K5379,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79">
        <f>IF(AND('Loan Tape (S&amp;P)'!U5379="Yes",
        'Loan Tape (S&amp;P)'!T5379&lt;&gt;"Yes",
        DATEDIF('Loan Tape (S&amp;P)'!K5379, TODAY(), "M")&lt;18),
    1.10,
    1.00)</f>
        <v/>
      </c>
      <c r="O5379">
        <f>IF('Loan Tape (S&amp;P)'!T5379="Yes",
    1.35,
    1.00)</f>
        <v/>
      </c>
      <c r="P5379">
        <f>IF('Loan Tape (S&amp;P)'!S5379="Yes",
    1.15,
    1.00)</f>
        <v/>
      </c>
      <c r="Q5379">
        <f>IF('Loan Tape (S&amp;P)'!V5379="Yes",
    1.20,
    1.00)</f>
        <v/>
      </c>
      <c r="T5379">
        <f>LET(
    payment_method,'Loan Tape (S&amp;P)'!P5379,
    occupancy,'Loan Tape (S&amp;P)'!N5379,
    maturity_date,'Loan Tape (S&amp;P)'!L5379,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80">
      <c r="J5380">
        <f>LET(
    lien,'Loan Tape (S&amp;P)'!Q5380,
    IF(lien="First",1.00,
        IF(lien="Second",1.50,
            1.70)))</f>
        <v/>
      </c>
      <c r="K5380">
        <f>LET(
    purpose,'Loan Tape (S&amp;P)'!R5380,
    IF(purpose="Purchase",1.00,
        IF(purpose="Remortgage",1.00,
            1.20)))</f>
        <v/>
      </c>
      <c r="L5380">
        <f>LET(
    arrears_months,'Loan Tape (S&amp;P)'!AN5380,
    IF(arrears_months=0,1.00,
    IF(arrears_months=1,3.00,
    IF(arrears_months=2,5.00,
    IF(arrears_months=3,8.00,
    IF(arrears_months=4,10.00,
    IF(arrears_months=5,12.00,15.00)))))))</f>
        <v/>
      </c>
      <c r="M5380">
        <f>LET(
    seasoning_years,DATEDIF('Loan Tape (S&amp;P)'!K5380,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80">
        <f>IF(AND('Loan Tape (S&amp;P)'!U5380="Yes",
        'Loan Tape (S&amp;P)'!T5380&lt;&gt;"Yes",
        DATEDIF('Loan Tape (S&amp;P)'!K5380, TODAY(), "M")&lt;18),
    1.10,
    1.00)</f>
        <v/>
      </c>
      <c r="O5380">
        <f>IF('Loan Tape (S&amp;P)'!T5380="Yes",
    1.35,
    1.00)</f>
        <v/>
      </c>
      <c r="P5380">
        <f>IF('Loan Tape (S&amp;P)'!S5380="Yes",
    1.15,
    1.00)</f>
        <v/>
      </c>
      <c r="Q5380">
        <f>IF('Loan Tape (S&amp;P)'!V5380="Yes",
    1.20,
    1.00)</f>
        <v/>
      </c>
      <c r="T5380">
        <f>LET(
    payment_method,'Loan Tape (S&amp;P)'!P5380,
    occupancy,'Loan Tape (S&amp;P)'!N5380,
    maturity_date,'Loan Tape (S&amp;P)'!L5380,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81">
      <c r="J5381">
        <f>LET(
    lien,'Loan Tape (S&amp;P)'!Q5381,
    IF(lien="First",1.00,
        IF(lien="Second",1.50,
            1.70)))</f>
        <v/>
      </c>
      <c r="K5381">
        <f>LET(
    purpose,'Loan Tape (S&amp;P)'!R5381,
    IF(purpose="Purchase",1.00,
        IF(purpose="Remortgage",1.00,
            1.20)))</f>
        <v/>
      </c>
      <c r="L5381">
        <f>LET(
    arrears_months,'Loan Tape (S&amp;P)'!AN5381,
    IF(arrears_months=0,1.00,
    IF(arrears_months=1,3.00,
    IF(arrears_months=2,5.00,
    IF(arrears_months=3,8.00,
    IF(arrears_months=4,10.00,
    IF(arrears_months=5,12.00,15.00)))))))</f>
        <v/>
      </c>
      <c r="M5381">
        <f>LET(
    seasoning_years,DATEDIF('Loan Tape (S&amp;P)'!K5381,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81">
        <f>IF(AND('Loan Tape (S&amp;P)'!U5381="Yes",
        'Loan Tape (S&amp;P)'!T5381&lt;&gt;"Yes",
        DATEDIF('Loan Tape (S&amp;P)'!K5381, TODAY(), "M")&lt;18),
    1.10,
    1.00)</f>
        <v/>
      </c>
      <c r="O5381">
        <f>IF('Loan Tape (S&amp;P)'!T5381="Yes",
    1.35,
    1.00)</f>
        <v/>
      </c>
      <c r="P5381">
        <f>IF('Loan Tape (S&amp;P)'!S5381="Yes",
    1.15,
    1.00)</f>
        <v/>
      </c>
      <c r="Q5381">
        <f>IF('Loan Tape (S&amp;P)'!V5381="Yes",
    1.20,
    1.00)</f>
        <v/>
      </c>
      <c r="T5381">
        <f>LET(
    payment_method,'Loan Tape (S&amp;P)'!P5381,
    occupancy,'Loan Tape (S&amp;P)'!N5381,
    maturity_date,'Loan Tape (S&amp;P)'!L5381,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82">
      <c r="J5382">
        <f>LET(
    lien,'Loan Tape (S&amp;P)'!Q5382,
    IF(lien="First",1.00,
        IF(lien="Second",1.50,
            1.70)))</f>
        <v/>
      </c>
      <c r="K5382">
        <f>LET(
    purpose,'Loan Tape (S&amp;P)'!R5382,
    IF(purpose="Purchase",1.00,
        IF(purpose="Remortgage",1.00,
            1.20)))</f>
        <v/>
      </c>
      <c r="L5382">
        <f>LET(
    arrears_months,'Loan Tape (S&amp;P)'!AN5382,
    IF(arrears_months=0,1.00,
    IF(arrears_months=1,3.00,
    IF(arrears_months=2,5.00,
    IF(arrears_months=3,8.00,
    IF(arrears_months=4,10.00,
    IF(arrears_months=5,12.00,15.00)))))))</f>
        <v/>
      </c>
      <c r="M5382">
        <f>LET(
    seasoning_years,DATEDIF('Loan Tape (S&amp;P)'!K5382,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82">
        <f>IF(AND('Loan Tape (S&amp;P)'!U5382="Yes",
        'Loan Tape (S&amp;P)'!T5382&lt;&gt;"Yes",
        DATEDIF('Loan Tape (S&amp;P)'!K5382, TODAY(), "M")&lt;18),
    1.10,
    1.00)</f>
        <v/>
      </c>
      <c r="O5382">
        <f>IF('Loan Tape (S&amp;P)'!T5382="Yes",
    1.35,
    1.00)</f>
        <v/>
      </c>
      <c r="P5382">
        <f>IF('Loan Tape (S&amp;P)'!S5382="Yes",
    1.15,
    1.00)</f>
        <v/>
      </c>
      <c r="Q5382">
        <f>IF('Loan Tape (S&amp;P)'!V5382="Yes",
    1.20,
    1.00)</f>
        <v/>
      </c>
      <c r="T5382">
        <f>LET(
    payment_method,'Loan Tape (S&amp;P)'!P5382,
    occupancy,'Loan Tape (S&amp;P)'!N5382,
    maturity_date,'Loan Tape (S&amp;P)'!L5382,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83">
      <c r="J5383">
        <f>LET(
    lien,'Loan Tape (S&amp;P)'!Q5383,
    IF(lien="First",1.00,
        IF(lien="Second",1.50,
            1.70)))</f>
        <v/>
      </c>
      <c r="K5383">
        <f>LET(
    purpose,'Loan Tape (S&amp;P)'!R5383,
    IF(purpose="Purchase",1.00,
        IF(purpose="Remortgage",1.00,
            1.20)))</f>
        <v/>
      </c>
      <c r="L5383">
        <f>LET(
    arrears_months,'Loan Tape (S&amp;P)'!AN5383,
    IF(arrears_months=0,1.00,
    IF(arrears_months=1,3.00,
    IF(arrears_months=2,5.00,
    IF(arrears_months=3,8.00,
    IF(arrears_months=4,10.00,
    IF(arrears_months=5,12.00,15.00)))))))</f>
        <v/>
      </c>
      <c r="M5383">
        <f>LET(
    seasoning_years,DATEDIF('Loan Tape (S&amp;P)'!K5383,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83">
        <f>IF(AND('Loan Tape (S&amp;P)'!U5383="Yes",
        'Loan Tape (S&amp;P)'!T5383&lt;&gt;"Yes",
        DATEDIF('Loan Tape (S&amp;P)'!K5383, TODAY(), "M")&lt;18),
    1.10,
    1.00)</f>
        <v/>
      </c>
      <c r="O5383">
        <f>IF('Loan Tape (S&amp;P)'!T5383="Yes",
    1.35,
    1.00)</f>
        <v/>
      </c>
      <c r="P5383">
        <f>IF('Loan Tape (S&amp;P)'!S5383="Yes",
    1.15,
    1.00)</f>
        <v/>
      </c>
      <c r="Q5383">
        <f>IF('Loan Tape (S&amp;P)'!V5383="Yes",
    1.20,
    1.00)</f>
        <v/>
      </c>
      <c r="T5383">
        <f>LET(
    payment_method,'Loan Tape (S&amp;P)'!P5383,
    occupancy,'Loan Tape (S&amp;P)'!N5383,
    maturity_date,'Loan Tape (S&amp;P)'!L5383,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84">
      <c r="J5384">
        <f>LET(
    lien,'Loan Tape (S&amp;P)'!Q5384,
    IF(lien="First",1.00,
        IF(lien="Second",1.50,
            1.70)))</f>
        <v/>
      </c>
      <c r="K5384">
        <f>LET(
    purpose,'Loan Tape (S&amp;P)'!R5384,
    IF(purpose="Purchase",1.00,
        IF(purpose="Remortgage",1.00,
            1.20)))</f>
        <v/>
      </c>
      <c r="L5384">
        <f>LET(
    arrears_months,'Loan Tape (S&amp;P)'!AN5384,
    IF(arrears_months=0,1.00,
    IF(arrears_months=1,3.00,
    IF(arrears_months=2,5.00,
    IF(arrears_months=3,8.00,
    IF(arrears_months=4,10.00,
    IF(arrears_months=5,12.00,15.00)))))))</f>
        <v/>
      </c>
      <c r="M5384">
        <f>LET(
    seasoning_years,DATEDIF('Loan Tape (S&amp;P)'!K5384,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84">
        <f>IF(AND('Loan Tape (S&amp;P)'!U5384="Yes",
        'Loan Tape (S&amp;P)'!T5384&lt;&gt;"Yes",
        DATEDIF('Loan Tape (S&amp;P)'!K5384, TODAY(), "M")&lt;18),
    1.10,
    1.00)</f>
        <v/>
      </c>
      <c r="O5384">
        <f>IF('Loan Tape (S&amp;P)'!T5384="Yes",
    1.35,
    1.00)</f>
        <v/>
      </c>
      <c r="P5384">
        <f>IF('Loan Tape (S&amp;P)'!S5384="Yes",
    1.15,
    1.00)</f>
        <v/>
      </c>
      <c r="Q5384">
        <f>IF('Loan Tape (S&amp;P)'!V5384="Yes",
    1.20,
    1.00)</f>
        <v/>
      </c>
      <c r="T5384">
        <f>LET(
    payment_method,'Loan Tape (S&amp;P)'!P5384,
    occupancy,'Loan Tape (S&amp;P)'!N5384,
    maturity_date,'Loan Tape (S&amp;P)'!L5384,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85">
      <c r="J5385">
        <f>LET(
    lien,'Loan Tape (S&amp;P)'!Q5385,
    IF(lien="First",1.00,
        IF(lien="Second",1.50,
            1.70)))</f>
        <v/>
      </c>
      <c r="K5385">
        <f>LET(
    purpose,'Loan Tape (S&amp;P)'!R5385,
    IF(purpose="Purchase",1.00,
        IF(purpose="Remortgage",1.00,
            1.20)))</f>
        <v/>
      </c>
      <c r="L5385">
        <f>LET(
    arrears_months,'Loan Tape (S&amp;P)'!AN5385,
    IF(arrears_months=0,1.00,
    IF(arrears_months=1,3.00,
    IF(arrears_months=2,5.00,
    IF(arrears_months=3,8.00,
    IF(arrears_months=4,10.00,
    IF(arrears_months=5,12.00,15.00)))))))</f>
        <v/>
      </c>
      <c r="M5385">
        <f>LET(
    seasoning_years,DATEDIF('Loan Tape (S&amp;P)'!K5385,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85">
        <f>IF(AND('Loan Tape (S&amp;P)'!U5385="Yes",
        'Loan Tape (S&amp;P)'!T5385&lt;&gt;"Yes",
        DATEDIF('Loan Tape (S&amp;P)'!K5385, TODAY(), "M")&lt;18),
    1.10,
    1.00)</f>
        <v/>
      </c>
      <c r="O5385">
        <f>IF('Loan Tape (S&amp;P)'!T5385="Yes",
    1.35,
    1.00)</f>
        <v/>
      </c>
      <c r="P5385">
        <f>IF('Loan Tape (S&amp;P)'!S5385="Yes",
    1.15,
    1.00)</f>
        <v/>
      </c>
      <c r="Q5385">
        <f>IF('Loan Tape (S&amp;P)'!V5385="Yes",
    1.20,
    1.00)</f>
        <v/>
      </c>
      <c r="T5385">
        <f>LET(
    payment_method,'Loan Tape (S&amp;P)'!P5385,
    occupancy,'Loan Tape (S&amp;P)'!N5385,
    maturity_date,'Loan Tape (S&amp;P)'!L5385,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86">
      <c r="J5386">
        <f>LET(
    lien,'Loan Tape (S&amp;P)'!Q5386,
    IF(lien="First",1.00,
        IF(lien="Second",1.50,
            1.70)))</f>
        <v/>
      </c>
      <c r="K5386">
        <f>LET(
    purpose,'Loan Tape (S&amp;P)'!R5386,
    IF(purpose="Purchase",1.00,
        IF(purpose="Remortgage",1.00,
            1.20)))</f>
        <v/>
      </c>
      <c r="L5386">
        <f>LET(
    arrears_months,'Loan Tape (S&amp;P)'!AN5386,
    IF(arrears_months=0,1.00,
    IF(arrears_months=1,3.00,
    IF(arrears_months=2,5.00,
    IF(arrears_months=3,8.00,
    IF(arrears_months=4,10.00,
    IF(arrears_months=5,12.00,15.00)))))))</f>
        <v/>
      </c>
      <c r="M5386">
        <f>LET(
    seasoning_years,DATEDIF('Loan Tape (S&amp;P)'!K5386,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86">
        <f>IF(AND('Loan Tape (S&amp;P)'!U5386="Yes",
        'Loan Tape (S&amp;P)'!T5386&lt;&gt;"Yes",
        DATEDIF('Loan Tape (S&amp;P)'!K5386, TODAY(), "M")&lt;18),
    1.10,
    1.00)</f>
        <v/>
      </c>
      <c r="O5386">
        <f>IF('Loan Tape (S&amp;P)'!T5386="Yes",
    1.35,
    1.00)</f>
        <v/>
      </c>
      <c r="P5386">
        <f>IF('Loan Tape (S&amp;P)'!S5386="Yes",
    1.15,
    1.00)</f>
        <v/>
      </c>
      <c r="Q5386">
        <f>IF('Loan Tape (S&amp;P)'!V5386="Yes",
    1.20,
    1.00)</f>
        <v/>
      </c>
      <c r="T5386">
        <f>LET(
    payment_method,'Loan Tape (S&amp;P)'!P5386,
    occupancy,'Loan Tape (S&amp;P)'!N5386,
    maturity_date,'Loan Tape (S&amp;P)'!L5386,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87">
      <c r="J5387">
        <f>LET(
    lien,'Loan Tape (S&amp;P)'!Q5387,
    IF(lien="First",1.00,
        IF(lien="Second",1.50,
            1.70)))</f>
        <v/>
      </c>
      <c r="K5387">
        <f>LET(
    purpose,'Loan Tape (S&amp;P)'!R5387,
    IF(purpose="Purchase",1.00,
        IF(purpose="Remortgage",1.00,
            1.20)))</f>
        <v/>
      </c>
      <c r="L5387">
        <f>LET(
    arrears_months,'Loan Tape (S&amp;P)'!AN5387,
    IF(arrears_months=0,1.00,
    IF(arrears_months=1,3.00,
    IF(arrears_months=2,5.00,
    IF(arrears_months=3,8.00,
    IF(arrears_months=4,10.00,
    IF(arrears_months=5,12.00,15.00)))))))</f>
        <v/>
      </c>
      <c r="M5387">
        <f>LET(
    seasoning_years,DATEDIF('Loan Tape (S&amp;P)'!K5387,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87">
        <f>IF(AND('Loan Tape (S&amp;P)'!U5387="Yes",
        'Loan Tape (S&amp;P)'!T5387&lt;&gt;"Yes",
        DATEDIF('Loan Tape (S&amp;P)'!K5387, TODAY(), "M")&lt;18),
    1.10,
    1.00)</f>
        <v/>
      </c>
      <c r="O5387">
        <f>IF('Loan Tape (S&amp;P)'!T5387="Yes",
    1.35,
    1.00)</f>
        <v/>
      </c>
      <c r="P5387">
        <f>IF('Loan Tape (S&amp;P)'!S5387="Yes",
    1.15,
    1.00)</f>
        <v/>
      </c>
      <c r="Q5387">
        <f>IF('Loan Tape (S&amp;P)'!V5387="Yes",
    1.20,
    1.00)</f>
        <v/>
      </c>
      <c r="T5387">
        <f>LET(
    payment_method,'Loan Tape (S&amp;P)'!P5387,
    occupancy,'Loan Tape (S&amp;P)'!N5387,
    maturity_date,'Loan Tape (S&amp;P)'!L5387,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88">
      <c r="J5388">
        <f>LET(
    lien,'Loan Tape (S&amp;P)'!Q5388,
    IF(lien="First",1.00,
        IF(lien="Second",1.50,
            1.70)))</f>
        <v/>
      </c>
      <c r="K5388">
        <f>LET(
    purpose,'Loan Tape (S&amp;P)'!R5388,
    IF(purpose="Purchase",1.00,
        IF(purpose="Remortgage",1.00,
            1.20)))</f>
        <v/>
      </c>
      <c r="L5388">
        <f>LET(
    arrears_months,'Loan Tape (S&amp;P)'!AN5388,
    IF(arrears_months=0,1.00,
    IF(arrears_months=1,3.00,
    IF(arrears_months=2,5.00,
    IF(arrears_months=3,8.00,
    IF(arrears_months=4,10.00,
    IF(arrears_months=5,12.00,15.00)))))))</f>
        <v/>
      </c>
      <c r="M5388">
        <f>LET(
    seasoning_years,DATEDIF('Loan Tape (S&amp;P)'!K5388,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88">
        <f>IF(AND('Loan Tape (S&amp;P)'!U5388="Yes",
        'Loan Tape (S&amp;P)'!T5388&lt;&gt;"Yes",
        DATEDIF('Loan Tape (S&amp;P)'!K5388, TODAY(), "M")&lt;18),
    1.10,
    1.00)</f>
        <v/>
      </c>
      <c r="O5388">
        <f>IF('Loan Tape (S&amp;P)'!T5388="Yes",
    1.35,
    1.00)</f>
        <v/>
      </c>
      <c r="P5388">
        <f>IF('Loan Tape (S&amp;P)'!S5388="Yes",
    1.15,
    1.00)</f>
        <v/>
      </c>
      <c r="Q5388">
        <f>IF('Loan Tape (S&amp;P)'!V5388="Yes",
    1.20,
    1.00)</f>
        <v/>
      </c>
      <c r="T5388">
        <f>LET(
    payment_method,'Loan Tape (S&amp;P)'!P5388,
    occupancy,'Loan Tape (S&amp;P)'!N5388,
    maturity_date,'Loan Tape (S&amp;P)'!L5388,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89">
      <c r="J5389">
        <f>LET(
    lien,'Loan Tape (S&amp;P)'!Q5389,
    IF(lien="First",1.00,
        IF(lien="Second",1.50,
            1.70)))</f>
        <v/>
      </c>
      <c r="K5389">
        <f>LET(
    purpose,'Loan Tape (S&amp;P)'!R5389,
    IF(purpose="Purchase",1.00,
        IF(purpose="Remortgage",1.00,
            1.20)))</f>
        <v/>
      </c>
      <c r="L5389">
        <f>LET(
    arrears_months,'Loan Tape (S&amp;P)'!AN5389,
    IF(arrears_months=0,1.00,
    IF(arrears_months=1,3.00,
    IF(arrears_months=2,5.00,
    IF(arrears_months=3,8.00,
    IF(arrears_months=4,10.00,
    IF(arrears_months=5,12.00,15.00)))))))</f>
        <v/>
      </c>
      <c r="M5389">
        <f>LET(
    seasoning_years,DATEDIF('Loan Tape (S&amp;P)'!K5389,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89">
        <f>IF(AND('Loan Tape (S&amp;P)'!U5389="Yes",
        'Loan Tape (S&amp;P)'!T5389&lt;&gt;"Yes",
        DATEDIF('Loan Tape (S&amp;P)'!K5389, TODAY(), "M")&lt;18),
    1.10,
    1.00)</f>
        <v/>
      </c>
      <c r="O5389">
        <f>IF('Loan Tape (S&amp;P)'!T5389="Yes",
    1.35,
    1.00)</f>
        <v/>
      </c>
      <c r="P5389">
        <f>IF('Loan Tape (S&amp;P)'!S5389="Yes",
    1.15,
    1.00)</f>
        <v/>
      </c>
      <c r="Q5389">
        <f>IF('Loan Tape (S&amp;P)'!V5389="Yes",
    1.20,
    1.00)</f>
        <v/>
      </c>
      <c r="T5389">
        <f>LET(
    payment_method,'Loan Tape (S&amp;P)'!P5389,
    occupancy,'Loan Tape (S&amp;P)'!N5389,
    maturity_date,'Loan Tape (S&amp;P)'!L5389,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90">
      <c r="J5390">
        <f>LET(
    lien,'Loan Tape (S&amp;P)'!Q5390,
    IF(lien="First",1.00,
        IF(lien="Second",1.50,
            1.70)))</f>
        <v/>
      </c>
      <c r="K5390">
        <f>LET(
    purpose,'Loan Tape (S&amp;P)'!R5390,
    IF(purpose="Purchase",1.00,
        IF(purpose="Remortgage",1.00,
            1.20)))</f>
        <v/>
      </c>
      <c r="L5390">
        <f>LET(
    arrears_months,'Loan Tape (S&amp;P)'!AN5390,
    IF(arrears_months=0,1.00,
    IF(arrears_months=1,3.00,
    IF(arrears_months=2,5.00,
    IF(arrears_months=3,8.00,
    IF(arrears_months=4,10.00,
    IF(arrears_months=5,12.00,15.00)))))))</f>
        <v/>
      </c>
      <c r="M5390">
        <f>LET(
    seasoning_years,DATEDIF('Loan Tape (S&amp;P)'!K5390,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90">
        <f>IF(AND('Loan Tape (S&amp;P)'!U5390="Yes",
        'Loan Tape (S&amp;P)'!T5390&lt;&gt;"Yes",
        DATEDIF('Loan Tape (S&amp;P)'!K5390, TODAY(), "M")&lt;18),
    1.10,
    1.00)</f>
        <v/>
      </c>
      <c r="O5390">
        <f>IF('Loan Tape (S&amp;P)'!T5390="Yes",
    1.35,
    1.00)</f>
        <v/>
      </c>
      <c r="P5390">
        <f>IF('Loan Tape (S&amp;P)'!S5390="Yes",
    1.15,
    1.00)</f>
        <v/>
      </c>
      <c r="Q5390">
        <f>IF('Loan Tape (S&amp;P)'!V5390="Yes",
    1.20,
    1.00)</f>
        <v/>
      </c>
      <c r="T5390">
        <f>LET(
    payment_method,'Loan Tape (S&amp;P)'!P5390,
    occupancy,'Loan Tape (S&amp;P)'!N5390,
    maturity_date,'Loan Tape (S&amp;P)'!L5390,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91">
      <c r="J5391">
        <f>LET(
    lien,'Loan Tape (S&amp;P)'!Q5391,
    IF(lien="First",1.00,
        IF(lien="Second",1.50,
            1.70)))</f>
        <v/>
      </c>
      <c r="K5391">
        <f>LET(
    purpose,'Loan Tape (S&amp;P)'!R5391,
    IF(purpose="Purchase",1.00,
        IF(purpose="Remortgage",1.00,
            1.20)))</f>
        <v/>
      </c>
      <c r="L5391">
        <f>LET(
    arrears_months,'Loan Tape (S&amp;P)'!AN5391,
    IF(arrears_months=0,1.00,
    IF(arrears_months=1,3.00,
    IF(arrears_months=2,5.00,
    IF(arrears_months=3,8.00,
    IF(arrears_months=4,10.00,
    IF(arrears_months=5,12.00,15.00)))))))</f>
        <v/>
      </c>
      <c r="M5391">
        <f>LET(
    seasoning_years,DATEDIF('Loan Tape (S&amp;P)'!K5391,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91">
        <f>IF(AND('Loan Tape (S&amp;P)'!U5391="Yes",
        'Loan Tape (S&amp;P)'!T5391&lt;&gt;"Yes",
        DATEDIF('Loan Tape (S&amp;P)'!K5391, TODAY(), "M")&lt;18),
    1.10,
    1.00)</f>
        <v/>
      </c>
      <c r="O5391">
        <f>IF('Loan Tape (S&amp;P)'!T5391="Yes",
    1.35,
    1.00)</f>
        <v/>
      </c>
      <c r="P5391">
        <f>IF('Loan Tape (S&amp;P)'!S5391="Yes",
    1.15,
    1.00)</f>
        <v/>
      </c>
      <c r="Q5391">
        <f>IF('Loan Tape (S&amp;P)'!V5391="Yes",
    1.20,
    1.00)</f>
        <v/>
      </c>
      <c r="T5391">
        <f>LET(
    payment_method,'Loan Tape (S&amp;P)'!P5391,
    occupancy,'Loan Tape (S&amp;P)'!N5391,
    maturity_date,'Loan Tape (S&amp;P)'!L5391,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92">
      <c r="J5392">
        <f>LET(
    lien,'Loan Tape (S&amp;P)'!Q5392,
    IF(lien="First",1.00,
        IF(lien="Second",1.50,
            1.70)))</f>
        <v/>
      </c>
      <c r="K5392">
        <f>LET(
    purpose,'Loan Tape (S&amp;P)'!R5392,
    IF(purpose="Purchase",1.00,
        IF(purpose="Remortgage",1.00,
            1.20)))</f>
        <v/>
      </c>
      <c r="L5392">
        <f>LET(
    arrears_months,'Loan Tape (S&amp;P)'!AN5392,
    IF(arrears_months=0,1.00,
    IF(arrears_months=1,3.00,
    IF(arrears_months=2,5.00,
    IF(arrears_months=3,8.00,
    IF(arrears_months=4,10.00,
    IF(arrears_months=5,12.00,15.00)))))))</f>
        <v/>
      </c>
      <c r="M5392">
        <f>LET(
    seasoning_years,DATEDIF('Loan Tape (S&amp;P)'!K5392,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92">
        <f>IF(AND('Loan Tape (S&amp;P)'!U5392="Yes",
        'Loan Tape (S&amp;P)'!T5392&lt;&gt;"Yes",
        DATEDIF('Loan Tape (S&amp;P)'!K5392, TODAY(), "M")&lt;18),
    1.10,
    1.00)</f>
        <v/>
      </c>
      <c r="O5392">
        <f>IF('Loan Tape (S&amp;P)'!T5392="Yes",
    1.35,
    1.00)</f>
        <v/>
      </c>
      <c r="P5392">
        <f>IF('Loan Tape (S&amp;P)'!S5392="Yes",
    1.15,
    1.00)</f>
        <v/>
      </c>
      <c r="Q5392">
        <f>IF('Loan Tape (S&amp;P)'!V5392="Yes",
    1.20,
    1.00)</f>
        <v/>
      </c>
      <c r="T5392">
        <f>LET(
    payment_method,'Loan Tape (S&amp;P)'!P5392,
    occupancy,'Loan Tape (S&amp;P)'!N5392,
    maturity_date,'Loan Tape (S&amp;P)'!L5392,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93">
      <c r="J5393">
        <f>LET(
    lien,'Loan Tape (S&amp;P)'!Q5393,
    IF(lien="First",1.00,
        IF(lien="Second",1.50,
            1.70)))</f>
        <v/>
      </c>
      <c r="K5393">
        <f>LET(
    purpose,'Loan Tape (S&amp;P)'!R5393,
    IF(purpose="Purchase",1.00,
        IF(purpose="Remortgage",1.00,
            1.20)))</f>
        <v/>
      </c>
      <c r="L5393">
        <f>LET(
    arrears_months,'Loan Tape (S&amp;P)'!AN5393,
    IF(arrears_months=0,1.00,
    IF(arrears_months=1,3.00,
    IF(arrears_months=2,5.00,
    IF(arrears_months=3,8.00,
    IF(arrears_months=4,10.00,
    IF(arrears_months=5,12.00,15.00)))))))</f>
        <v/>
      </c>
      <c r="M5393">
        <f>LET(
    seasoning_years,DATEDIF('Loan Tape (S&amp;P)'!K5393,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93">
        <f>IF(AND('Loan Tape (S&amp;P)'!U5393="Yes",
        'Loan Tape (S&amp;P)'!T5393&lt;&gt;"Yes",
        DATEDIF('Loan Tape (S&amp;P)'!K5393, TODAY(), "M")&lt;18),
    1.10,
    1.00)</f>
        <v/>
      </c>
      <c r="O5393">
        <f>IF('Loan Tape (S&amp;P)'!T5393="Yes",
    1.35,
    1.00)</f>
        <v/>
      </c>
      <c r="P5393">
        <f>IF('Loan Tape (S&amp;P)'!S5393="Yes",
    1.15,
    1.00)</f>
        <v/>
      </c>
      <c r="Q5393">
        <f>IF('Loan Tape (S&amp;P)'!V5393="Yes",
    1.20,
    1.00)</f>
        <v/>
      </c>
      <c r="T5393">
        <f>LET(
    payment_method,'Loan Tape (S&amp;P)'!P5393,
    occupancy,'Loan Tape (S&amp;P)'!N5393,
    maturity_date,'Loan Tape (S&amp;P)'!L5393,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94">
      <c r="J5394">
        <f>LET(
    lien,'Loan Tape (S&amp;P)'!Q5394,
    IF(lien="First",1.00,
        IF(lien="Second",1.50,
            1.70)))</f>
        <v/>
      </c>
      <c r="K5394">
        <f>LET(
    purpose,'Loan Tape (S&amp;P)'!R5394,
    IF(purpose="Purchase",1.00,
        IF(purpose="Remortgage",1.00,
            1.20)))</f>
        <v/>
      </c>
      <c r="L5394">
        <f>LET(
    arrears_months,'Loan Tape (S&amp;P)'!AN5394,
    IF(arrears_months=0,1.00,
    IF(arrears_months=1,3.00,
    IF(arrears_months=2,5.00,
    IF(arrears_months=3,8.00,
    IF(arrears_months=4,10.00,
    IF(arrears_months=5,12.00,15.00)))))))</f>
        <v/>
      </c>
      <c r="M5394">
        <f>LET(
    seasoning_years,DATEDIF('Loan Tape (S&amp;P)'!K5394,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94">
        <f>IF(AND('Loan Tape (S&amp;P)'!U5394="Yes",
        'Loan Tape (S&amp;P)'!T5394&lt;&gt;"Yes",
        DATEDIF('Loan Tape (S&amp;P)'!K5394, TODAY(), "M")&lt;18),
    1.10,
    1.00)</f>
        <v/>
      </c>
      <c r="O5394">
        <f>IF('Loan Tape (S&amp;P)'!T5394="Yes",
    1.35,
    1.00)</f>
        <v/>
      </c>
      <c r="P5394">
        <f>IF('Loan Tape (S&amp;P)'!S5394="Yes",
    1.15,
    1.00)</f>
        <v/>
      </c>
      <c r="Q5394">
        <f>IF('Loan Tape (S&amp;P)'!V5394="Yes",
    1.20,
    1.00)</f>
        <v/>
      </c>
      <c r="T5394">
        <f>LET(
    payment_method,'Loan Tape (S&amp;P)'!P5394,
    occupancy,'Loan Tape (S&amp;P)'!N5394,
    maturity_date,'Loan Tape (S&amp;P)'!L5394,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95">
      <c r="J5395">
        <f>LET(
    lien,'Loan Tape (S&amp;P)'!Q5395,
    IF(lien="First",1.00,
        IF(lien="Second",1.50,
            1.70)))</f>
        <v/>
      </c>
      <c r="K5395">
        <f>LET(
    purpose,'Loan Tape (S&amp;P)'!R5395,
    IF(purpose="Purchase",1.00,
        IF(purpose="Remortgage",1.00,
            1.20)))</f>
        <v/>
      </c>
      <c r="L5395">
        <f>LET(
    arrears_months,'Loan Tape (S&amp;P)'!AN5395,
    IF(arrears_months=0,1.00,
    IF(arrears_months=1,3.00,
    IF(arrears_months=2,5.00,
    IF(arrears_months=3,8.00,
    IF(arrears_months=4,10.00,
    IF(arrears_months=5,12.00,15.00)))))))</f>
        <v/>
      </c>
      <c r="M5395">
        <f>LET(
    seasoning_years,DATEDIF('Loan Tape (S&amp;P)'!K5395,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95">
        <f>IF(AND('Loan Tape (S&amp;P)'!U5395="Yes",
        'Loan Tape (S&amp;P)'!T5395&lt;&gt;"Yes",
        DATEDIF('Loan Tape (S&amp;P)'!K5395, TODAY(), "M")&lt;18),
    1.10,
    1.00)</f>
        <v/>
      </c>
      <c r="O5395">
        <f>IF('Loan Tape (S&amp;P)'!T5395="Yes",
    1.35,
    1.00)</f>
        <v/>
      </c>
      <c r="P5395">
        <f>IF('Loan Tape (S&amp;P)'!S5395="Yes",
    1.15,
    1.00)</f>
        <v/>
      </c>
      <c r="Q5395">
        <f>IF('Loan Tape (S&amp;P)'!V5395="Yes",
    1.20,
    1.00)</f>
        <v/>
      </c>
      <c r="T5395">
        <f>LET(
    payment_method,'Loan Tape (S&amp;P)'!P5395,
    occupancy,'Loan Tape (S&amp;P)'!N5395,
    maturity_date,'Loan Tape (S&amp;P)'!L5395,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96">
      <c r="J5396">
        <f>LET(
    lien,'Loan Tape (S&amp;P)'!Q5396,
    IF(lien="First",1.00,
        IF(lien="Second",1.50,
            1.70)))</f>
        <v/>
      </c>
      <c r="K5396">
        <f>LET(
    purpose,'Loan Tape (S&amp;P)'!R5396,
    IF(purpose="Purchase",1.00,
        IF(purpose="Remortgage",1.00,
            1.20)))</f>
        <v/>
      </c>
      <c r="L5396">
        <f>LET(
    arrears_months,'Loan Tape (S&amp;P)'!AN5396,
    IF(arrears_months=0,1.00,
    IF(arrears_months=1,3.00,
    IF(arrears_months=2,5.00,
    IF(arrears_months=3,8.00,
    IF(arrears_months=4,10.00,
    IF(arrears_months=5,12.00,15.00)))))))</f>
        <v/>
      </c>
      <c r="M5396">
        <f>LET(
    seasoning_years,DATEDIF('Loan Tape (S&amp;P)'!K5396,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96">
        <f>IF(AND('Loan Tape (S&amp;P)'!U5396="Yes",
        'Loan Tape (S&amp;P)'!T5396&lt;&gt;"Yes",
        DATEDIF('Loan Tape (S&amp;P)'!K5396, TODAY(), "M")&lt;18),
    1.10,
    1.00)</f>
        <v/>
      </c>
      <c r="O5396">
        <f>IF('Loan Tape (S&amp;P)'!T5396="Yes",
    1.35,
    1.00)</f>
        <v/>
      </c>
      <c r="P5396">
        <f>IF('Loan Tape (S&amp;P)'!S5396="Yes",
    1.15,
    1.00)</f>
        <v/>
      </c>
      <c r="Q5396">
        <f>IF('Loan Tape (S&amp;P)'!V5396="Yes",
    1.20,
    1.00)</f>
        <v/>
      </c>
      <c r="T5396">
        <f>LET(
    payment_method,'Loan Tape (S&amp;P)'!P5396,
    occupancy,'Loan Tape (S&amp;P)'!N5396,
    maturity_date,'Loan Tape (S&amp;P)'!L5396,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97">
      <c r="J5397">
        <f>LET(
    lien,'Loan Tape (S&amp;P)'!Q5397,
    IF(lien="First",1.00,
        IF(lien="Second",1.50,
            1.70)))</f>
        <v/>
      </c>
      <c r="K5397">
        <f>LET(
    purpose,'Loan Tape (S&amp;P)'!R5397,
    IF(purpose="Purchase",1.00,
        IF(purpose="Remortgage",1.00,
            1.20)))</f>
        <v/>
      </c>
      <c r="L5397">
        <f>LET(
    arrears_months,'Loan Tape (S&amp;P)'!AN5397,
    IF(arrears_months=0,1.00,
    IF(arrears_months=1,3.00,
    IF(arrears_months=2,5.00,
    IF(arrears_months=3,8.00,
    IF(arrears_months=4,10.00,
    IF(arrears_months=5,12.00,15.00)))))))</f>
        <v/>
      </c>
      <c r="M5397">
        <f>LET(
    seasoning_years,DATEDIF('Loan Tape (S&amp;P)'!K5397,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97">
        <f>IF(AND('Loan Tape (S&amp;P)'!U5397="Yes",
        'Loan Tape (S&amp;P)'!T5397&lt;&gt;"Yes",
        DATEDIF('Loan Tape (S&amp;P)'!K5397, TODAY(), "M")&lt;18),
    1.10,
    1.00)</f>
        <v/>
      </c>
      <c r="O5397">
        <f>IF('Loan Tape (S&amp;P)'!T5397="Yes",
    1.35,
    1.00)</f>
        <v/>
      </c>
      <c r="P5397">
        <f>IF('Loan Tape (S&amp;P)'!S5397="Yes",
    1.15,
    1.00)</f>
        <v/>
      </c>
      <c r="Q5397">
        <f>IF('Loan Tape (S&amp;P)'!V5397="Yes",
    1.20,
    1.00)</f>
        <v/>
      </c>
      <c r="T5397">
        <f>LET(
    payment_method,'Loan Tape (S&amp;P)'!P5397,
    occupancy,'Loan Tape (S&amp;P)'!N5397,
    maturity_date,'Loan Tape (S&amp;P)'!L5397,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98">
      <c r="J5398">
        <f>LET(
    lien,'Loan Tape (S&amp;P)'!Q5398,
    IF(lien="First",1.00,
        IF(lien="Second",1.50,
            1.70)))</f>
        <v/>
      </c>
      <c r="K5398">
        <f>LET(
    purpose,'Loan Tape (S&amp;P)'!R5398,
    IF(purpose="Purchase",1.00,
        IF(purpose="Remortgage",1.00,
            1.20)))</f>
        <v/>
      </c>
      <c r="L5398">
        <f>LET(
    arrears_months,'Loan Tape (S&amp;P)'!AN5398,
    IF(arrears_months=0,1.00,
    IF(arrears_months=1,3.00,
    IF(arrears_months=2,5.00,
    IF(arrears_months=3,8.00,
    IF(arrears_months=4,10.00,
    IF(arrears_months=5,12.00,15.00)))))))</f>
        <v/>
      </c>
      <c r="M5398">
        <f>LET(
    seasoning_years,DATEDIF('Loan Tape (S&amp;P)'!K5398,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98">
        <f>IF(AND('Loan Tape (S&amp;P)'!U5398="Yes",
        'Loan Tape (S&amp;P)'!T5398&lt;&gt;"Yes",
        DATEDIF('Loan Tape (S&amp;P)'!K5398, TODAY(), "M")&lt;18),
    1.10,
    1.00)</f>
        <v/>
      </c>
      <c r="O5398">
        <f>IF('Loan Tape (S&amp;P)'!T5398="Yes",
    1.35,
    1.00)</f>
        <v/>
      </c>
      <c r="P5398">
        <f>IF('Loan Tape (S&amp;P)'!S5398="Yes",
    1.15,
    1.00)</f>
        <v/>
      </c>
      <c r="Q5398">
        <f>IF('Loan Tape (S&amp;P)'!V5398="Yes",
    1.20,
    1.00)</f>
        <v/>
      </c>
      <c r="T5398">
        <f>LET(
    payment_method,'Loan Tape (S&amp;P)'!P5398,
    occupancy,'Loan Tape (S&amp;P)'!N5398,
    maturity_date,'Loan Tape (S&amp;P)'!L5398,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399">
      <c r="J5399">
        <f>LET(
    lien,'Loan Tape (S&amp;P)'!Q5399,
    IF(lien="First",1.00,
        IF(lien="Second",1.50,
            1.70)))</f>
        <v/>
      </c>
      <c r="K5399">
        <f>LET(
    purpose,'Loan Tape (S&amp;P)'!R5399,
    IF(purpose="Purchase",1.00,
        IF(purpose="Remortgage",1.00,
            1.20)))</f>
        <v/>
      </c>
      <c r="L5399">
        <f>LET(
    arrears_months,'Loan Tape (S&amp;P)'!AN5399,
    IF(arrears_months=0,1.00,
    IF(arrears_months=1,3.00,
    IF(arrears_months=2,5.00,
    IF(arrears_months=3,8.00,
    IF(arrears_months=4,10.00,
    IF(arrears_months=5,12.00,15.00)))))))</f>
        <v/>
      </c>
      <c r="M5399">
        <f>LET(
    seasoning_years,DATEDIF('Loan Tape (S&amp;P)'!K5399,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399">
        <f>IF(AND('Loan Tape (S&amp;P)'!U5399="Yes",
        'Loan Tape (S&amp;P)'!T5399&lt;&gt;"Yes",
        DATEDIF('Loan Tape (S&amp;P)'!K5399, TODAY(), "M")&lt;18),
    1.10,
    1.00)</f>
        <v/>
      </c>
      <c r="O5399">
        <f>IF('Loan Tape (S&amp;P)'!T5399="Yes",
    1.35,
    1.00)</f>
        <v/>
      </c>
      <c r="P5399">
        <f>IF('Loan Tape (S&amp;P)'!S5399="Yes",
    1.15,
    1.00)</f>
        <v/>
      </c>
      <c r="Q5399">
        <f>IF('Loan Tape (S&amp;P)'!V5399="Yes",
    1.20,
    1.00)</f>
        <v/>
      </c>
      <c r="T5399">
        <f>LET(
    payment_method,'Loan Tape (S&amp;P)'!P5399,
    occupancy,'Loan Tape (S&amp;P)'!N5399,
    maturity_date,'Loan Tape (S&amp;P)'!L5399,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00">
      <c r="J5400">
        <f>LET(
    lien,'Loan Tape (S&amp;P)'!Q5400,
    IF(lien="First",1.00,
        IF(lien="Second",1.50,
            1.70)))</f>
        <v/>
      </c>
      <c r="K5400">
        <f>LET(
    purpose,'Loan Tape (S&amp;P)'!R5400,
    IF(purpose="Purchase",1.00,
        IF(purpose="Remortgage",1.00,
            1.20)))</f>
        <v/>
      </c>
      <c r="L5400">
        <f>LET(
    arrears_months,'Loan Tape (S&amp;P)'!AN5400,
    IF(arrears_months=0,1.00,
    IF(arrears_months=1,3.00,
    IF(arrears_months=2,5.00,
    IF(arrears_months=3,8.00,
    IF(arrears_months=4,10.00,
    IF(arrears_months=5,12.00,15.00)))))))</f>
        <v/>
      </c>
      <c r="M5400">
        <f>LET(
    seasoning_years,DATEDIF('Loan Tape (S&amp;P)'!K5400,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00">
        <f>IF(AND('Loan Tape (S&amp;P)'!U5400="Yes",
        'Loan Tape (S&amp;P)'!T5400&lt;&gt;"Yes",
        DATEDIF('Loan Tape (S&amp;P)'!K5400, TODAY(), "M")&lt;18),
    1.10,
    1.00)</f>
        <v/>
      </c>
      <c r="O5400">
        <f>IF('Loan Tape (S&amp;P)'!T5400="Yes",
    1.35,
    1.00)</f>
        <v/>
      </c>
      <c r="P5400">
        <f>IF('Loan Tape (S&amp;P)'!S5400="Yes",
    1.15,
    1.00)</f>
        <v/>
      </c>
      <c r="Q5400">
        <f>IF('Loan Tape (S&amp;P)'!V5400="Yes",
    1.20,
    1.00)</f>
        <v/>
      </c>
      <c r="T5400">
        <f>LET(
    payment_method,'Loan Tape (S&amp;P)'!P5400,
    occupancy,'Loan Tape (S&amp;P)'!N5400,
    maturity_date,'Loan Tape (S&amp;P)'!L5400,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01">
      <c r="J5401">
        <f>LET(
    lien,'Loan Tape (S&amp;P)'!Q5401,
    IF(lien="First",1.00,
        IF(lien="Second",1.50,
            1.70)))</f>
        <v/>
      </c>
      <c r="K5401">
        <f>LET(
    purpose,'Loan Tape (S&amp;P)'!R5401,
    IF(purpose="Purchase",1.00,
        IF(purpose="Remortgage",1.00,
            1.20)))</f>
        <v/>
      </c>
      <c r="L5401">
        <f>LET(
    arrears_months,'Loan Tape (S&amp;P)'!AN5401,
    IF(arrears_months=0,1.00,
    IF(arrears_months=1,3.00,
    IF(arrears_months=2,5.00,
    IF(arrears_months=3,8.00,
    IF(arrears_months=4,10.00,
    IF(arrears_months=5,12.00,15.00)))))))</f>
        <v/>
      </c>
      <c r="M5401">
        <f>LET(
    seasoning_years,DATEDIF('Loan Tape (S&amp;P)'!K5401,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01">
        <f>IF(AND('Loan Tape (S&amp;P)'!U5401="Yes",
        'Loan Tape (S&amp;P)'!T5401&lt;&gt;"Yes",
        DATEDIF('Loan Tape (S&amp;P)'!K5401, TODAY(), "M")&lt;18),
    1.10,
    1.00)</f>
        <v/>
      </c>
      <c r="O5401">
        <f>IF('Loan Tape (S&amp;P)'!T5401="Yes",
    1.35,
    1.00)</f>
        <v/>
      </c>
      <c r="P5401">
        <f>IF('Loan Tape (S&amp;P)'!S5401="Yes",
    1.15,
    1.00)</f>
        <v/>
      </c>
      <c r="Q5401">
        <f>IF('Loan Tape (S&amp;P)'!V5401="Yes",
    1.20,
    1.00)</f>
        <v/>
      </c>
      <c r="T5401">
        <f>LET(
    payment_method,'Loan Tape (S&amp;P)'!P5401,
    occupancy,'Loan Tape (S&amp;P)'!N5401,
    maturity_date,'Loan Tape (S&amp;P)'!L5401,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02">
      <c r="J5402">
        <f>LET(
    lien,'Loan Tape (S&amp;P)'!Q5402,
    IF(lien="First",1.00,
        IF(lien="Second",1.50,
            1.70)))</f>
        <v/>
      </c>
      <c r="K5402">
        <f>LET(
    purpose,'Loan Tape (S&amp;P)'!R5402,
    IF(purpose="Purchase",1.00,
        IF(purpose="Remortgage",1.00,
            1.20)))</f>
        <v/>
      </c>
      <c r="L5402">
        <f>LET(
    arrears_months,'Loan Tape (S&amp;P)'!AN5402,
    IF(arrears_months=0,1.00,
    IF(arrears_months=1,3.00,
    IF(arrears_months=2,5.00,
    IF(arrears_months=3,8.00,
    IF(arrears_months=4,10.00,
    IF(arrears_months=5,12.00,15.00)))))))</f>
        <v/>
      </c>
      <c r="M5402">
        <f>LET(
    seasoning_years,DATEDIF('Loan Tape (S&amp;P)'!K5402,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02">
        <f>IF(AND('Loan Tape (S&amp;P)'!U5402="Yes",
        'Loan Tape (S&amp;P)'!T5402&lt;&gt;"Yes",
        DATEDIF('Loan Tape (S&amp;P)'!K5402, TODAY(), "M")&lt;18),
    1.10,
    1.00)</f>
        <v/>
      </c>
      <c r="O5402">
        <f>IF('Loan Tape (S&amp;P)'!T5402="Yes",
    1.35,
    1.00)</f>
        <v/>
      </c>
      <c r="P5402">
        <f>IF('Loan Tape (S&amp;P)'!S5402="Yes",
    1.15,
    1.00)</f>
        <v/>
      </c>
      <c r="Q5402">
        <f>IF('Loan Tape (S&amp;P)'!V5402="Yes",
    1.20,
    1.00)</f>
        <v/>
      </c>
      <c r="T5402">
        <f>LET(
    payment_method,'Loan Tape (S&amp;P)'!P5402,
    occupancy,'Loan Tape (S&amp;P)'!N5402,
    maturity_date,'Loan Tape (S&amp;P)'!L5402,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03">
      <c r="J5403">
        <f>LET(
    lien,'Loan Tape (S&amp;P)'!Q5403,
    IF(lien="First",1.00,
        IF(lien="Second",1.50,
            1.70)))</f>
        <v/>
      </c>
      <c r="K5403">
        <f>LET(
    purpose,'Loan Tape (S&amp;P)'!R5403,
    IF(purpose="Purchase",1.00,
        IF(purpose="Remortgage",1.00,
            1.20)))</f>
        <v/>
      </c>
      <c r="L5403">
        <f>LET(
    arrears_months,'Loan Tape (S&amp;P)'!AN5403,
    IF(arrears_months=0,1.00,
    IF(arrears_months=1,3.00,
    IF(arrears_months=2,5.00,
    IF(arrears_months=3,8.00,
    IF(arrears_months=4,10.00,
    IF(arrears_months=5,12.00,15.00)))))))</f>
        <v/>
      </c>
      <c r="M5403">
        <f>LET(
    seasoning_years,DATEDIF('Loan Tape (S&amp;P)'!K5403,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03">
        <f>IF(AND('Loan Tape (S&amp;P)'!U5403="Yes",
        'Loan Tape (S&amp;P)'!T5403&lt;&gt;"Yes",
        DATEDIF('Loan Tape (S&amp;P)'!K5403, TODAY(), "M")&lt;18),
    1.10,
    1.00)</f>
        <v/>
      </c>
      <c r="O5403">
        <f>IF('Loan Tape (S&amp;P)'!T5403="Yes",
    1.35,
    1.00)</f>
        <v/>
      </c>
      <c r="P5403">
        <f>IF('Loan Tape (S&amp;P)'!S5403="Yes",
    1.15,
    1.00)</f>
        <v/>
      </c>
      <c r="Q5403">
        <f>IF('Loan Tape (S&amp;P)'!V5403="Yes",
    1.20,
    1.00)</f>
        <v/>
      </c>
      <c r="T5403">
        <f>LET(
    payment_method,'Loan Tape (S&amp;P)'!P5403,
    occupancy,'Loan Tape (S&amp;P)'!N5403,
    maturity_date,'Loan Tape (S&amp;P)'!L5403,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04">
      <c r="J5404">
        <f>LET(
    lien,'Loan Tape (S&amp;P)'!Q5404,
    IF(lien="First",1.00,
        IF(lien="Second",1.50,
            1.70)))</f>
        <v/>
      </c>
      <c r="K5404">
        <f>LET(
    purpose,'Loan Tape (S&amp;P)'!R5404,
    IF(purpose="Purchase",1.00,
        IF(purpose="Remortgage",1.00,
            1.20)))</f>
        <v/>
      </c>
      <c r="L5404">
        <f>LET(
    arrears_months,'Loan Tape (S&amp;P)'!AN5404,
    IF(arrears_months=0,1.00,
    IF(arrears_months=1,3.00,
    IF(arrears_months=2,5.00,
    IF(arrears_months=3,8.00,
    IF(arrears_months=4,10.00,
    IF(arrears_months=5,12.00,15.00)))))))</f>
        <v/>
      </c>
      <c r="M5404">
        <f>LET(
    seasoning_years,DATEDIF('Loan Tape (S&amp;P)'!K5404,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04">
        <f>IF(AND('Loan Tape (S&amp;P)'!U5404="Yes",
        'Loan Tape (S&amp;P)'!T5404&lt;&gt;"Yes",
        DATEDIF('Loan Tape (S&amp;P)'!K5404, TODAY(), "M")&lt;18),
    1.10,
    1.00)</f>
        <v/>
      </c>
      <c r="O5404">
        <f>IF('Loan Tape (S&amp;P)'!T5404="Yes",
    1.35,
    1.00)</f>
        <v/>
      </c>
      <c r="P5404">
        <f>IF('Loan Tape (S&amp;P)'!S5404="Yes",
    1.15,
    1.00)</f>
        <v/>
      </c>
      <c r="Q5404">
        <f>IF('Loan Tape (S&amp;P)'!V5404="Yes",
    1.20,
    1.00)</f>
        <v/>
      </c>
      <c r="T5404">
        <f>LET(
    payment_method,'Loan Tape (S&amp;P)'!P5404,
    occupancy,'Loan Tape (S&amp;P)'!N5404,
    maturity_date,'Loan Tape (S&amp;P)'!L5404,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05">
      <c r="J5405">
        <f>LET(
    lien,'Loan Tape (S&amp;P)'!Q5405,
    IF(lien="First",1.00,
        IF(lien="Second",1.50,
            1.70)))</f>
        <v/>
      </c>
      <c r="K5405">
        <f>LET(
    purpose,'Loan Tape (S&amp;P)'!R5405,
    IF(purpose="Purchase",1.00,
        IF(purpose="Remortgage",1.00,
            1.20)))</f>
        <v/>
      </c>
      <c r="L5405">
        <f>LET(
    arrears_months,'Loan Tape (S&amp;P)'!AN5405,
    IF(arrears_months=0,1.00,
    IF(arrears_months=1,3.00,
    IF(arrears_months=2,5.00,
    IF(arrears_months=3,8.00,
    IF(arrears_months=4,10.00,
    IF(arrears_months=5,12.00,15.00)))))))</f>
        <v/>
      </c>
      <c r="M5405">
        <f>LET(
    seasoning_years,DATEDIF('Loan Tape (S&amp;P)'!K5405,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05">
        <f>IF(AND('Loan Tape (S&amp;P)'!U5405="Yes",
        'Loan Tape (S&amp;P)'!T5405&lt;&gt;"Yes",
        DATEDIF('Loan Tape (S&amp;P)'!K5405, TODAY(), "M")&lt;18),
    1.10,
    1.00)</f>
        <v/>
      </c>
      <c r="O5405">
        <f>IF('Loan Tape (S&amp;P)'!T5405="Yes",
    1.35,
    1.00)</f>
        <v/>
      </c>
      <c r="P5405">
        <f>IF('Loan Tape (S&amp;P)'!S5405="Yes",
    1.15,
    1.00)</f>
        <v/>
      </c>
      <c r="Q5405">
        <f>IF('Loan Tape (S&amp;P)'!V5405="Yes",
    1.20,
    1.00)</f>
        <v/>
      </c>
      <c r="T5405">
        <f>LET(
    payment_method,'Loan Tape (S&amp;P)'!P5405,
    occupancy,'Loan Tape (S&amp;P)'!N5405,
    maturity_date,'Loan Tape (S&amp;P)'!L5405,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06">
      <c r="J5406">
        <f>LET(
    lien,'Loan Tape (S&amp;P)'!Q5406,
    IF(lien="First",1.00,
        IF(lien="Second",1.50,
            1.70)))</f>
        <v/>
      </c>
      <c r="K5406">
        <f>LET(
    purpose,'Loan Tape (S&amp;P)'!R5406,
    IF(purpose="Purchase",1.00,
        IF(purpose="Remortgage",1.00,
            1.20)))</f>
        <v/>
      </c>
      <c r="L5406">
        <f>LET(
    arrears_months,'Loan Tape (S&amp;P)'!AN5406,
    IF(arrears_months=0,1.00,
    IF(arrears_months=1,3.00,
    IF(arrears_months=2,5.00,
    IF(arrears_months=3,8.00,
    IF(arrears_months=4,10.00,
    IF(arrears_months=5,12.00,15.00)))))))</f>
        <v/>
      </c>
      <c r="M5406">
        <f>LET(
    seasoning_years,DATEDIF('Loan Tape (S&amp;P)'!K5406,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06">
        <f>IF(AND('Loan Tape (S&amp;P)'!U5406="Yes",
        'Loan Tape (S&amp;P)'!T5406&lt;&gt;"Yes",
        DATEDIF('Loan Tape (S&amp;P)'!K5406, TODAY(), "M")&lt;18),
    1.10,
    1.00)</f>
        <v/>
      </c>
      <c r="O5406">
        <f>IF('Loan Tape (S&amp;P)'!T5406="Yes",
    1.35,
    1.00)</f>
        <v/>
      </c>
      <c r="P5406">
        <f>IF('Loan Tape (S&amp;P)'!S5406="Yes",
    1.15,
    1.00)</f>
        <v/>
      </c>
      <c r="Q5406">
        <f>IF('Loan Tape (S&amp;P)'!V5406="Yes",
    1.20,
    1.00)</f>
        <v/>
      </c>
      <c r="T5406">
        <f>LET(
    payment_method,'Loan Tape (S&amp;P)'!P5406,
    occupancy,'Loan Tape (S&amp;P)'!N5406,
    maturity_date,'Loan Tape (S&amp;P)'!L5406,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07">
      <c r="J5407">
        <f>LET(
    lien,'Loan Tape (S&amp;P)'!Q5407,
    IF(lien="First",1.00,
        IF(lien="Second",1.50,
            1.70)))</f>
        <v/>
      </c>
      <c r="K5407">
        <f>LET(
    purpose,'Loan Tape (S&amp;P)'!R5407,
    IF(purpose="Purchase",1.00,
        IF(purpose="Remortgage",1.00,
            1.20)))</f>
        <v/>
      </c>
      <c r="L5407">
        <f>LET(
    arrears_months,'Loan Tape (S&amp;P)'!AN5407,
    IF(arrears_months=0,1.00,
    IF(arrears_months=1,3.00,
    IF(arrears_months=2,5.00,
    IF(arrears_months=3,8.00,
    IF(arrears_months=4,10.00,
    IF(arrears_months=5,12.00,15.00)))))))</f>
        <v/>
      </c>
      <c r="M5407">
        <f>LET(
    seasoning_years,DATEDIF('Loan Tape (S&amp;P)'!K5407,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07">
        <f>IF(AND('Loan Tape (S&amp;P)'!U5407="Yes",
        'Loan Tape (S&amp;P)'!T5407&lt;&gt;"Yes",
        DATEDIF('Loan Tape (S&amp;P)'!K5407, TODAY(), "M")&lt;18),
    1.10,
    1.00)</f>
        <v/>
      </c>
      <c r="O5407">
        <f>IF('Loan Tape (S&amp;P)'!T5407="Yes",
    1.35,
    1.00)</f>
        <v/>
      </c>
      <c r="P5407">
        <f>IF('Loan Tape (S&amp;P)'!S5407="Yes",
    1.15,
    1.00)</f>
        <v/>
      </c>
      <c r="Q5407">
        <f>IF('Loan Tape (S&amp;P)'!V5407="Yes",
    1.20,
    1.00)</f>
        <v/>
      </c>
      <c r="T5407">
        <f>LET(
    payment_method,'Loan Tape (S&amp;P)'!P5407,
    occupancy,'Loan Tape (S&amp;P)'!N5407,
    maturity_date,'Loan Tape (S&amp;P)'!L5407,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08">
      <c r="J5408">
        <f>LET(
    lien,'Loan Tape (S&amp;P)'!Q5408,
    IF(lien="First",1.00,
        IF(lien="Second",1.50,
            1.70)))</f>
        <v/>
      </c>
      <c r="K5408">
        <f>LET(
    purpose,'Loan Tape (S&amp;P)'!R5408,
    IF(purpose="Purchase",1.00,
        IF(purpose="Remortgage",1.00,
            1.20)))</f>
        <v/>
      </c>
      <c r="L5408">
        <f>LET(
    arrears_months,'Loan Tape (S&amp;P)'!AN5408,
    IF(arrears_months=0,1.00,
    IF(arrears_months=1,3.00,
    IF(arrears_months=2,5.00,
    IF(arrears_months=3,8.00,
    IF(arrears_months=4,10.00,
    IF(arrears_months=5,12.00,15.00)))))))</f>
        <v/>
      </c>
      <c r="M5408">
        <f>LET(
    seasoning_years,DATEDIF('Loan Tape (S&amp;P)'!K5408,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08">
        <f>IF(AND('Loan Tape (S&amp;P)'!U5408="Yes",
        'Loan Tape (S&amp;P)'!T5408&lt;&gt;"Yes",
        DATEDIF('Loan Tape (S&amp;P)'!K5408, TODAY(), "M")&lt;18),
    1.10,
    1.00)</f>
        <v/>
      </c>
      <c r="O5408">
        <f>IF('Loan Tape (S&amp;P)'!T5408="Yes",
    1.35,
    1.00)</f>
        <v/>
      </c>
      <c r="P5408">
        <f>IF('Loan Tape (S&amp;P)'!S5408="Yes",
    1.15,
    1.00)</f>
        <v/>
      </c>
      <c r="Q5408">
        <f>IF('Loan Tape (S&amp;P)'!V5408="Yes",
    1.20,
    1.00)</f>
        <v/>
      </c>
      <c r="T5408">
        <f>LET(
    payment_method,'Loan Tape (S&amp;P)'!P5408,
    occupancy,'Loan Tape (S&amp;P)'!N5408,
    maturity_date,'Loan Tape (S&amp;P)'!L5408,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09">
      <c r="J5409">
        <f>LET(
    lien,'Loan Tape (S&amp;P)'!Q5409,
    IF(lien="First",1.00,
        IF(lien="Second",1.50,
            1.70)))</f>
        <v/>
      </c>
      <c r="K5409">
        <f>LET(
    purpose,'Loan Tape (S&amp;P)'!R5409,
    IF(purpose="Purchase",1.00,
        IF(purpose="Remortgage",1.00,
            1.20)))</f>
        <v/>
      </c>
      <c r="L5409">
        <f>LET(
    arrears_months,'Loan Tape (S&amp;P)'!AN5409,
    IF(arrears_months=0,1.00,
    IF(arrears_months=1,3.00,
    IF(arrears_months=2,5.00,
    IF(arrears_months=3,8.00,
    IF(arrears_months=4,10.00,
    IF(arrears_months=5,12.00,15.00)))))))</f>
        <v/>
      </c>
      <c r="M5409">
        <f>LET(
    seasoning_years,DATEDIF('Loan Tape (S&amp;P)'!K5409,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09">
        <f>IF(AND('Loan Tape (S&amp;P)'!U5409="Yes",
        'Loan Tape (S&amp;P)'!T5409&lt;&gt;"Yes",
        DATEDIF('Loan Tape (S&amp;P)'!K5409, TODAY(), "M")&lt;18),
    1.10,
    1.00)</f>
        <v/>
      </c>
      <c r="O5409">
        <f>IF('Loan Tape (S&amp;P)'!T5409="Yes",
    1.35,
    1.00)</f>
        <v/>
      </c>
      <c r="P5409">
        <f>IF('Loan Tape (S&amp;P)'!S5409="Yes",
    1.15,
    1.00)</f>
        <v/>
      </c>
      <c r="Q5409">
        <f>IF('Loan Tape (S&amp;P)'!V5409="Yes",
    1.20,
    1.00)</f>
        <v/>
      </c>
      <c r="T5409">
        <f>LET(
    payment_method,'Loan Tape (S&amp;P)'!P5409,
    occupancy,'Loan Tape (S&amp;P)'!N5409,
    maturity_date,'Loan Tape (S&amp;P)'!L5409,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10">
      <c r="J5410">
        <f>LET(
    lien,'Loan Tape (S&amp;P)'!Q5410,
    IF(lien="First",1.00,
        IF(lien="Second",1.50,
            1.70)))</f>
        <v/>
      </c>
      <c r="K5410">
        <f>LET(
    purpose,'Loan Tape (S&amp;P)'!R5410,
    IF(purpose="Purchase",1.00,
        IF(purpose="Remortgage",1.00,
            1.20)))</f>
        <v/>
      </c>
      <c r="L5410">
        <f>LET(
    arrears_months,'Loan Tape (S&amp;P)'!AN5410,
    IF(arrears_months=0,1.00,
    IF(arrears_months=1,3.00,
    IF(arrears_months=2,5.00,
    IF(arrears_months=3,8.00,
    IF(arrears_months=4,10.00,
    IF(arrears_months=5,12.00,15.00)))))))</f>
        <v/>
      </c>
      <c r="M5410">
        <f>LET(
    seasoning_years,DATEDIF('Loan Tape (S&amp;P)'!K5410,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10">
        <f>IF(AND('Loan Tape (S&amp;P)'!U5410="Yes",
        'Loan Tape (S&amp;P)'!T5410&lt;&gt;"Yes",
        DATEDIF('Loan Tape (S&amp;P)'!K5410, TODAY(), "M")&lt;18),
    1.10,
    1.00)</f>
        <v/>
      </c>
      <c r="O5410">
        <f>IF('Loan Tape (S&amp;P)'!T5410="Yes",
    1.35,
    1.00)</f>
        <v/>
      </c>
      <c r="P5410">
        <f>IF('Loan Tape (S&amp;P)'!S5410="Yes",
    1.15,
    1.00)</f>
        <v/>
      </c>
      <c r="Q5410">
        <f>IF('Loan Tape (S&amp;P)'!V5410="Yes",
    1.20,
    1.00)</f>
        <v/>
      </c>
      <c r="T5410">
        <f>LET(
    payment_method,'Loan Tape (S&amp;P)'!P5410,
    occupancy,'Loan Tape (S&amp;P)'!N5410,
    maturity_date,'Loan Tape (S&amp;P)'!L5410,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11">
      <c r="J5411">
        <f>LET(
    lien,'Loan Tape (S&amp;P)'!Q5411,
    IF(lien="First",1.00,
        IF(lien="Second",1.50,
            1.70)))</f>
        <v/>
      </c>
      <c r="K5411">
        <f>LET(
    purpose,'Loan Tape (S&amp;P)'!R5411,
    IF(purpose="Purchase",1.00,
        IF(purpose="Remortgage",1.00,
            1.20)))</f>
        <v/>
      </c>
      <c r="L5411">
        <f>LET(
    arrears_months,'Loan Tape (S&amp;P)'!AN5411,
    IF(arrears_months=0,1.00,
    IF(arrears_months=1,3.00,
    IF(arrears_months=2,5.00,
    IF(arrears_months=3,8.00,
    IF(arrears_months=4,10.00,
    IF(arrears_months=5,12.00,15.00)))))))</f>
        <v/>
      </c>
      <c r="M5411">
        <f>LET(
    seasoning_years,DATEDIF('Loan Tape (S&amp;P)'!K5411,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11">
        <f>IF(AND('Loan Tape (S&amp;P)'!U5411="Yes",
        'Loan Tape (S&amp;P)'!T5411&lt;&gt;"Yes",
        DATEDIF('Loan Tape (S&amp;P)'!K5411, TODAY(), "M")&lt;18),
    1.10,
    1.00)</f>
        <v/>
      </c>
      <c r="O5411">
        <f>IF('Loan Tape (S&amp;P)'!T5411="Yes",
    1.35,
    1.00)</f>
        <v/>
      </c>
      <c r="P5411">
        <f>IF('Loan Tape (S&amp;P)'!S5411="Yes",
    1.15,
    1.00)</f>
        <v/>
      </c>
      <c r="Q5411">
        <f>IF('Loan Tape (S&amp;P)'!V5411="Yes",
    1.20,
    1.00)</f>
        <v/>
      </c>
      <c r="T5411">
        <f>LET(
    payment_method,'Loan Tape (S&amp;P)'!P5411,
    occupancy,'Loan Tape (S&amp;P)'!N5411,
    maturity_date,'Loan Tape (S&amp;P)'!L5411,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12">
      <c r="J5412">
        <f>LET(
    lien,'Loan Tape (S&amp;P)'!Q5412,
    IF(lien="First",1.00,
        IF(lien="Second",1.50,
            1.70)))</f>
        <v/>
      </c>
      <c r="K5412">
        <f>LET(
    purpose,'Loan Tape (S&amp;P)'!R5412,
    IF(purpose="Purchase",1.00,
        IF(purpose="Remortgage",1.00,
            1.20)))</f>
        <v/>
      </c>
      <c r="L5412">
        <f>LET(
    arrears_months,'Loan Tape (S&amp;P)'!AN5412,
    IF(arrears_months=0,1.00,
    IF(arrears_months=1,3.00,
    IF(arrears_months=2,5.00,
    IF(arrears_months=3,8.00,
    IF(arrears_months=4,10.00,
    IF(arrears_months=5,12.00,15.00)))))))</f>
        <v/>
      </c>
      <c r="M5412">
        <f>LET(
    seasoning_years,DATEDIF('Loan Tape (S&amp;P)'!K5412,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12">
        <f>IF(AND('Loan Tape (S&amp;P)'!U5412="Yes",
        'Loan Tape (S&amp;P)'!T5412&lt;&gt;"Yes",
        DATEDIF('Loan Tape (S&amp;P)'!K5412, TODAY(), "M")&lt;18),
    1.10,
    1.00)</f>
        <v/>
      </c>
      <c r="O5412">
        <f>IF('Loan Tape (S&amp;P)'!T5412="Yes",
    1.35,
    1.00)</f>
        <v/>
      </c>
      <c r="P5412">
        <f>IF('Loan Tape (S&amp;P)'!S5412="Yes",
    1.15,
    1.00)</f>
        <v/>
      </c>
      <c r="Q5412">
        <f>IF('Loan Tape (S&amp;P)'!V5412="Yes",
    1.20,
    1.00)</f>
        <v/>
      </c>
      <c r="T5412">
        <f>LET(
    payment_method,'Loan Tape (S&amp;P)'!P5412,
    occupancy,'Loan Tape (S&amp;P)'!N5412,
    maturity_date,'Loan Tape (S&amp;P)'!L5412,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13">
      <c r="J5413">
        <f>LET(
    lien,'Loan Tape (S&amp;P)'!Q5413,
    IF(lien="First",1.00,
        IF(lien="Second",1.50,
            1.70)))</f>
        <v/>
      </c>
      <c r="K5413">
        <f>LET(
    purpose,'Loan Tape (S&amp;P)'!R5413,
    IF(purpose="Purchase",1.00,
        IF(purpose="Remortgage",1.00,
            1.20)))</f>
        <v/>
      </c>
      <c r="L5413">
        <f>LET(
    arrears_months,'Loan Tape (S&amp;P)'!AN5413,
    IF(arrears_months=0,1.00,
    IF(arrears_months=1,3.00,
    IF(arrears_months=2,5.00,
    IF(arrears_months=3,8.00,
    IF(arrears_months=4,10.00,
    IF(arrears_months=5,12.00,15.00)))))))</f>
        <v/>
      </c>
      <c r="M5413">
        <f>LET(
    seasoning_years,DATEDIF('Loan Tape (S&amp;P)'!K5413,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13">
        <f>IF(AND('Loan Tape (S&amp;P)'!U5413="Yes",
        'Loan Tape (S&amp;P)'!T5413&lt;&gt;"Yes",
        DATEDIF('Loan Tape (S&amp;P)'!K5413, TODAY(), "M")&lt;18),
    1.10,
    1.00)</f>
        <v/>
      </c>
      <c r="O5413">
        <f>IF('Loan Tape (S&amp;P)'!T5413="Yes",
    1.35,
    1.00)</f>
        <v/>
      </c>
      <c r="P5413">
        <f>IF('Loan Tape (S&amp;P)'!S5413="Yes",
    1.15,
    1.00)</f>
        <v/>
      </c>
      <c r="Q5413">
        <f>IF('Loan Tape (S&amp;P)'!V5413="Yes",
    1.20,
    1.00)</f>
        <v/>
      </c>
      <c r="T5413">
        <f>LET(
    payment_method,'Loan Tape (S&amp;P)'!P5413,
    occupancy,'Loan Tape (S&amp;P)'!N5413,
    maturity_date,'Loan Tape (S&amp;P)'!L5413,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14">
      <c r="J5414">
        <f>LET(
    lien,'Loan Tape (S&amp;P)'!Q5414,
    IF(lien="First",1.00,
        IF(lien="Second",1.50,
            1.70)))</f>
        <v/>
      </c>
      <c r="K5414">
        <f>LET(
    purpose,'Loan Tape (S&amp;P)'!R5414,
    IF(purpose="Purchase",1.00,
        IF(purpose="Remortgage",1.00,
            1.20)))</f>
        <v/>
      </c>
      <c r="L5414">
        <f>LET(
    arrears_months,'Loan Tape (S&amp;P)'!AN5414,
    IF(arrears_months=0,1.00,
    IF(arrears_months=1,3.00,
    IF(arrears_months=2,5.00,
    IF(arrears_months=3,8.00,
    IF(arrears_months=4,10.00,
    IF(arrears_months=5,12.00,15.00)))))))</f>
        <v/>
      </c>
      <c r="M5414">
        <f>LET(
    seasoning_years,DATEDIF('Loan Tape (S&amp;P)'!K5414,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14">
        <f>IF(AND('Loan Tape (S&amp;P)'!U5414="Yes",
        'Loan Tape (S&amp;P)'!T5414&lt;&gt;"Yes",
        DATEDIF('Loan Tape (S&amp;P)'!K5414, TODAY(), "M")&lt;18),
    1.10,
    1.00)</f>
        <v/>
      </c>
      <c r="O5414">
        <f>IF('Loan Tape (S&amp;P)'!T5414="Yes",
    1.35,
    1.00)</f>
        <v/>
      </c>
      <c r="P5414">
        <f>IF('Loan Tape (S&amp;P)'!S5414="Yes",
    1.15,
    1.00)</f>
        <v/>
      </c>
      <c r="Q5414">
        <f>IF('Loan Tape (S&amp;P)'!V5414="Yes",
    1.20,
    1.00)</f>
        <v/>
      </c>
      <c r="T5414">
        <f>LET(
    payment_method,'Loan Tape (S&amp;P)'!P5414,
    occupancy,'Loan Tape (S&amp;P)'!N5414,
    maturity_date,'Loan Tape (S&amp;P)'!L5414,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15">
      <c r="J5415">
        <f>LET(
    lien,'Loan Tape (S&amp;P)'!Q5415,
    IF(lien="First",1.00,
        IF(lien="Second",1.50,
            1.70)))</f>
        <v/>
      </c>
      <c r="K5415">
        <f>LET(
    purpose,'Loan Tape (S&amp;P)'!R5415,
    IF(purpose="Purchase",1.00,
        IF(purpose="Remortgage",1.00,
            1.20)))</f>
        <v/>
      </c>
      <c r="L5415">
        <f>LET(
    arrears_months,'Loan Tape (S&amp;P)'!AN5415,
    IF(arrears_months=0,1.00,
    IF(arrears_months=1,3.00,
    IF(arrears_months=2,5.00,
    IF(arrears_months=3,8.00,
    IF(arrears_months=4,10.00,
    IF(arrears_months=5,12.00,15.00)))))))</f>
        <v/>
      </c>
      <c r="M5415">
        <f>LET(
    seasoning_years,DATEDIF('Loan Tape (S&amp;P)'!K5415,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15">
        <f>IF(AND('Loan Tape (S&amp;P)'!U5415="Yes",
        'Loan Tape (S&amp;P)'!T5415&lt;&gt;"Yes",
        DATEDIF('Loan Tape (S&amp;P)'!K5415, TODAY(), "M")&lt;18),
    1.10,
    1.00)</f>
        <v/>
      </c>
      <c r="O5415">
        <f>IF('Loan Tape (S&amp;P)'!T5415="Yes",
    1.35,
    1.00)</f>
        <v/>
      </c>
      <c r="P5415">
        <f>IF('Loan Tape (S&amp;P)'!S5415="Yes",
    1.15,
    1.00)</f>
        <v/>
      </c>
      <c r="Q5415">
        <f>IF('Loan Tape (S&amp;P)'!V5415="Yes",
    1.20,
    1.00)</f>
        <v/>
      </c>
      <c r="T5415">
        <f>LET(
    payment_method,'Loan Tape (S&amp;P)'!P5415,
    occupancy,'Loan Tape (S&amp;P)'!N5415,
    maturity_date,'Loan Tape (S&amp;P)'!L5415,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16">
      <c r="J5416">
        <f>LET(
    lien,'Loan Tape (S&amp;P)'!Q5416,
    IF(lien="First",1.00,
        IF(lien="Second",1.50,
            1.70)))</f>
        <v/>
      </c>
      <c r="K5416">
        <f>LET(
    purpose,'Loan Tape (S&amp;P)'!R5416,
    IF(purpose="Purchase",1.00,
        IF(purpose="Remortgage",1.00,
            1.20)))</f>
        <v/>
      </c>
      <c r="L5416">
        <f>LET(
    arrears_months,'Loan Tape (S&amp;P)'!AN5416,
    IF(arrears_months=0,1.00,
    IF(arrears_months=1,3.00,
    IF(arrears_months=2,5.00,
    IF(arrears_months=3,8.00,
    IF(arrears_months=4,10.00,
    IF(arrears_months=5,12.00,15.00)))))))</f>
        <v/>
      </c>
      <c r="M5416">
        <f>LET(
    seasoning_years,DATEDIF('Loan Tape (S&amp;P)'!K5416,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16">
        <f>IF(AND('Loan Tape (S&amp;P)'!U5416="Yes",
        'Loan Tape (S&amp;P)'!T5416&lt;&gt;"Yes",
        DATEDIF('Loan Tape (S&amp;P)'!K5416, TODAY(), "M")&lt;18),
    1.10,
    1.00)</f>
        <v/>
      </c>
      <c r="O5416">
        <f>IF('Loan Tape (S&amp;P)'!T5416="Yes",
    1.35,
    1.00)</f>
        <v/>
      </c>
      <c r="P5416">
        <f>IF('Loan Tape (S&amp;P)'!S5416="Yes",
    1.15,
    1.00)</f>
        <v/>
      </c>
      <c r="Q5416">
        <f>IF('Loan Tape (S&amp;P)'!V5416="Yes",
    1.20,
    1.00)</f>
        <v/>
      </c>
      <c r="T5416">
        <f>LET(
    payment_method,'Loan Tape (S&amp;P)'!P5416,
    occupancy,'Loan Tape (S&amp;P)'!N5416,
    maturity_date,'Loan Tape (S&amp;P)'!L5416,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17">
      <c r="J5417">
        <f>LET(
    lien,'Loan Tape (S&amp;P)'!Q5417,
    IF(lien="First",1.00,
        IF(lien="Second",1.50,
            1.70)))</f>
        <v/>
      </c>
      <c r="K5417">
        <f>LET(
    purpose,'Loan Tape (S&amp;P)'!R5417,
    IF(purpose="Purchase",1.00,
        IF(purpose="Remortgage",1.00,
            1.20)))</f>
        <v/>
      </c>
      <c r="L5417">
        <f>LET(
    arrears_months,'Loan Tape (S&amp;P)'!AN5417,
    IF(arrears_months=0,1.00,
    IF(arrears_months=1,3.00,
    IF(arrears_months=2,5.00,
    IF(arrears_months=3,8.00,
    IF(arrears_months=4,10.00,
    IF(arrears_months=5,12.00,15.00)))))))</f>
        <v/>
      </c>
      <c r="M5417">
        <f>LET(
    seasoning_years,DATEDIF('Loan Tape (S&amp;P)'!K5417,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17">
        <f>IF(AND('Loan Tape (S&amp;P)'!U5417="Yes",
        'Loan Tape (S&amp;P)'!T5417&lt;&gt;"Yes",
        DATEDIF('Loan Tape (S&amp;P)'!K5417, TODAY(), "M")&lt;18),
    1.10,
    1.00)</f>
        <v/>
      </c>
      <c r="O5417">
        <f>IF('Loan Tape (S&amp;P)'!T5417="Yes",
    1.35,
    1.00)</f>
        <v/>
      </c>
      <c r="P5417">
        <f>IF('Loan Tape (S&amp;P)'!S5417="Yes",
    1.15,
    1.00)</f>
        <v/>
      </c>
      <c r="Q5417">
        <f>IF('Loan Tape (S&amp;P)'!V5417="Yes",
    1.20,
    1.00)</f>
        <v/>
      </c>
      <c r="T5417">
        <f>LET(
    payment_method,'Loan Tape (S&amp;P)'!P5417,
    occupancy,'Loan Tape (S&amp;P)'!N5417,
    maturity_date,'Loan Tape (S&amp;P)'!L5417,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18">
      <c r="J5418">
        <f>LET(
    lien,'Loan Tape (S&amp;P)'!Q5418,
    IF(lien="First",1.00,
        IF(lien="Second",1.50,
            1.70)))</f>
        <v/>
      </c>
      <c r="K5418">
        <f>LET(
    purpose,'Loan Tape (S&amp;P)'!R5418,
    IF(purpose="Purchase",1.00,
        IF(purpose="Remortgage",1.00,
            1.20)))</f>
        <v/>
      </c>
      <c r="L5418">
        <f>LET(
    arrears_months,'Loan Tape (S&amp;P)'!AN5418,
    IF(arrears_months=0,1.00,
    IF(arrears_months=1,3.00,
    IF(arrears_months=2,5.00,
    IF(arrears_months=3,8.00,
    IF(arrears_months=4,10.00,
    IF(arrears_months=5,12.00,15.00)))))))</f>
        <v/>
      </c>
      <c r="M5418">
        <f>LET(
    seasoning_years,DATEDIF('Loan Tape (S&amp;P)'!K5418,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18">
        <f>IF(AND('Loan Tape (S&amp;P)'!U5418="Yes",
        'Loan Tape (S&amp;P)'!T5418&lt;&gt;"Yes",
        DATEDIF('Loan Tape (S&amp;P)'!K5418, TODAY(), "M")&lt;18),
    1.10,
    1.00)</f>
        <v/>
      </c>
      <c r="O5418">
        <f>IF('Loan Tape (S&amp;P)'!T5418="Yes",
    1.35,
    1.00)</f>
        <v/>
      </c>
      <c r="P5418">
        <f>IF('Loan Tape (S&amp;P)'!S5418="Yes",
    1.15,
    1.00)</f>
        <v/>
      </c>
      <c r="Q5418">
        <f>IF('Loan Tape (S&amp;P)'!V5418="Yes",
    1.20,
    1.00)</f>
        <v/>
      </c>
      <c r="T5418">
        <f>LET(
    payment_method,'Loan Tape (S&amp;P)'!P5418,
    occupancy,'Loan Tape (S&amp;P)'!N5418,
    maturity_date,'Loan Tape (S&amp;P)'!L5418,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19">
      <c r="J5419">
        <f>LET(
    lien,'Loan Tape (S&amp;P)'!Q5419,
    IF(lien="First",1.00,
        IF(lien="Second",1.50,
            1.70)))</f>
        <v/>
      </c>
      <c r="K5419">
        <f>LET(
    purpose,'Loan Tape (S&amp;P)'!R5419,
    IF(purpose="Purchase",1.00,
        IF(purpose="Remortgage",1.00,
            1.20)))</f>
        <v/>
      </c>
      <c r="L5419">
        <f>LET(
    arrears_months,'Loan Tape (S&amp;P)'!AN5419,
    IF(arrears_months=0,1.00,
    IF(arrears_months=1,3.00,
    IF(arrears_months=2,5.00,
    IF(arrears_months=3,8.00,
    IF(arrears_months=4,10.00,
    IF(arrears_months=5,12.00,15.00)))))))</f>
        <v/>
      </c>
      <c r="M5419">
        <f>LET(
    seasoning_years,DATEDIF('Loan Tape (S&amp;P)'!K5419,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19">
        <f>IF(AND('Loan Tape (S&amp;P)'!U5419="Yes",
        'Loan Tape (S&amp;P)'!T5419&lt;&gt;"Yes",
        DATEDIF('Loan Tape (S&amp;P)'!K5419, TODAY(), "M")&lt;18),
    1.10,
    1.00)</f>
        <v/>
      </c>
      <c r="O5419">
        <f>IF('Loan Tape (S&amp;P)'!T5419="Yes",
    1.35,
    1.00)</f>
        <v/>
      </c>
      <c r="P5419">
        <f>IF('Loan Tape (S&amp;P)'!S5419="Yes",
    1.15,
    1.00)</f>
        <v/>
      </c>
      <c r="Q5419">
        <f>IF('Loan Tape (S&amp;P)'!V5419="Yes",
    1.20,
    1.00)</f>
        <v/>
      </c>
      <c r="T5419">
        <f>LET(
    payment_method,'Loan Tape (S&amp;P)'!P5419,
    occupancy,'Loan Tape (S&amp;P)'!N5419,
    maturity_date,'Loan Tape (S&amp;P)'!L5419,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20">
      <c r="J5420">
        <f>LET(
    lien,'Loan Tape (S&amp;P)'!Q5420,
    IF(lien="First",1.00,
        IF(lien="Second",1.50,
            1.70)))</f>
        <v/>
      </c>
      <c r="K5420">
        <f>LET(
    purpose,'Loan Tape (S&amp;P)'!R5420,
    IF(purpose="Purchase",1.00,
        IF(purpose="Remortgage",1.00,
            1.20)))</f>
        <v/>
      </c>
      <c r="L5420">
        <f>LET(
    arrears_months,'Loan Tape (S&amp;P)'!AN5420,
    IF(arrears_months=0,1.00,
    IF(arrears_months=1,3.00,
    IF(arrears_months=2,5.00,
    IF(arrears_months=3,8.00,
    IF(arrears_months=4,10.00,
    IF(arrears_months=5,12.00,15.00)))))))</f>
        <v/>
      </c>
      <c r="M5420">
        <f>LET(
    seasoning_years,DATEDIF('Loan Tape (S&amp;P)'!K5420,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20">
        <f>IF(AND('Loan Tape (S&amp;P)'!U5420="Yes",
        'Loan Tape (S&amp;P)'!T5420&lt;&gt;"Yes",
        DATEDIF('Loan Tape (S&amp;P)'!K5420, TODAY(), "M")&lt;18),
    1.10,
    1.00)</f>
        <v/>
      </c>
      <c r="O5420">
        <f>IF('Loan Tape (S&amp;P)'!T5420="Yes",
    1.35,
    1.00)</f>
        <v/>
      </c>
      <c r="P5420">
        <f>IF('Loan Tape (S&amp;P)'!S5420="Yes",
    1.15,
    1.00)</f>
        <v/>
      </c>
      <c r="Q5420">
        <f>IF('Loan Tape (S&amp;P)'!V5420="Yes",
    1.20,
    1.00)</f>
        <v/>
      </c>
      <c r="T5420">
        <f>LET(
    payment_method,'Loan Tape (S&amp;P)'!P5420,
    occupancy,'Loan Tape (S&amp;P)'!N5420,
    maturity_date,'Loan Tape (S&amp;P)'!L5420,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21">
      <c r="J5421">
        <f>LET(
    lien,'Loan Tape (S&amp;P)'!Q5421,
    IF(lien="First",1.00,
        IF(lien="Second",1.50,
            1.70)))</f>
        <v/>
      </c>
      <c r="K5421">
        <f>LET(
    purpose,'Loan Tape (S&amp;P)'!R5421,
    IF(purpose="Purchase",1.00,
        IF(purpose="Remortgage",1.00,
            1.20)))</f>
        <v/>
      </c>
      <c r="L5421">
        <f>LET(
    arrears_months,'Loan Tape (S&amp;P)'!AN5421,
    IF(arrears_months=0,1.00,
    IF(arrears_months=1,3.00,
    IF(arrears_months=2,5.00,
    IF(arrears_months=3,8.00,
    IF(arrears_months=4,10.00,
    IF(arrears_months=5,12.00,15.00)))))))</f>
        <v/>
      </c>
      <c r="M5421">
        <f>LET(
    seasoning_years,DATEDIF('Loan Tape (S&amp;P)'!K5421,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21">
        <f>IF(AND('Loan Tape (S&amp;P)'!U5421="Yes",
        'Loan Tape (S&amp;P)'!T5421&lt;&gt;"Yes",
        DATEDIF('Loan Tape (S&amp;P)'!K5421, TODAY(), "M")&lt;18),
    1.10,
    1.00)</f>
        <v/>
      </c>
      <c r="O5421">
        <f>IF('Loan Tape (S&amp;P)'!T5421="Yes",
    1.35,
    1.00)</f>
        <v/>
      </c>
      <c r="P5421">
        <f>IF('Loan Tape (S&amp;P)'!S5421="Yes",
    1.15,
    1.00)</f>
        <v/>
      </c>
      <c r="Q5421">
        <f>IF('Loan Tape (S&amp;P)'!V5421="Yes",
    1.20,
    1.00)</f>
        <v/>
      </c>
      <c r="T5421">
        <f>LET(
    payment_method,'Loan Tape (S&amp;P)'!P5421,
    occupancy,'Loan Tape (S&amp;P)'!N5421,
    maturity_date,'Loan Tape (S&amp;P)'!L5421,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22">
      <c r="J5422">
        <f>LET(
    lien,'Loan Tape (S&amp;P)'!Q5422,
    IF(lien="First",1.00,
        IF(lien="Second",1.50,
            1.70)))</f>
        <v/>
      </c>
      <c r="K5422">
        <f>LET(
    purpose,'Loan Tape (S&amp;P)'!R5422,
    IF(purpose="Purchase",1.00,
        IF(purpose="Remortgage",1.00,
            1.20)))</f>
        <v/>
      </c>
      <c r="L5422">
        <f>LET(
    arrears_months,'Loan Tape (S&amp;P)'!AN5422,
    IF(arrears_months=0,1.00,
    IF(arrears_months=1,3.00,
    IF(arrears_months=2,5.00,
    IF(arrears_months=3,8.00,
    IF(arrears_months=4,10.00,
    IF(arrears_months=5,12.00,15.00)))))))</f>
        <v/>
      </c>
      <c r="M5422">
        <f>LET(
    seasoning_years,DATEDIF('Loan Tape (S&amp;P)'!K5422,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22">
        <f>IF(AND('Loan Tape (S&amp;P)'!U5422="Yes",
        'Loan Tape (S&amp;P)'!T5422&lt;&gt;"Yes",
        DATEDIF('Loan Tape (S&amp;P)'!K5422, TODAY(), "M")&lt;18),
    1.10,
    1.00)</f>
        <v/>
      </c>
      <c r="O5422">
        <f>IF('Loan Tape (S&amp;P)'!T5422="Yes",
    1.35,
    1.00)</f>
        <v/>
      </c>
      <c r="P5422">
        <f>IF('Loan Tape (S&amp;P)'!S5422="Yes",
    1.15,
    1.00)</f>
        <v/>
      </c>
      <c r="Q5422">
        <f>IF('Loan Tape (S&amp;P)'!V5422="Yes",
    1.20,
    1.00)</f>
        <v/>
      </c>
      <c r="T5422">
        <f>LET(
    payment_method,'Loan Tape (S&amp;P)'!P5422,
    occupancy,'Loan Tape (S&amp;P)'!N5422,
    maturity_date,'Loan Tape (S&amp;P)'!L5422,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23">
      <c r="J5423">
        <f>LET(
    lien,'Loan Tape (S&amp;P)'!Q5423,
    IF(lien="First",1.00,
        IF(lien="Second",1.50,
            1.70)))</f>
        <v/>
      </c>
      <c r="K5423">
        <f>LET(
    purpose,'Loan Tape (S&amp;P)'!R5423,
    IF(purpose="Purchase",1.00,
        IF(purpose="Remortgage",1.00,
            1.20)))</f>
        <v/>
      </c>
      <c r="L5423">
        <f>LET(
    arrears_months,'Loan Tape (S&amp;P)'!AN5423,
    IF(arrears_months=0,1.00,
    IF(arrears_months=1,3.00,
    IF(arrears_months=2,5.00,
    IF(arrears_months=3,8.00,
    IF(arrears_months=4,10.00,
    IF(arrears_months=5,12.00,15.00)))))))</f>
        <v/>
      </c>
      <c r="M5423">
        <f>LET(
    seasoning_years,DATEDIF('Loan Tape (S&amp;P)'!K5423,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23">
        <f>IF(AND('Loan Tape (S&amp;P)'!U5423="Yes",
        'Loan Tape (S&amp;P)'!T5423&lt;&gt;"Yes",
        DATEDIF('Loan Tape (S&amp;P)'!K5423, TODAY(), "M")&lt;18),
    1.10,
    1.00)</f>
        <v/>
      </c>
      <c r="O5423">
        <f>IF('Loan Tape (S&amp;P)'!T5423="Yes",
    1.35,
    1.00)</f>
        <v/>
      </c>
      <c r="P5423">
        <f>IF('Loan Tape (S&amp;P)'!S5423="Yes",
    1.15,
    1.00)</f>
        <v/>
      </c>
      <c r="Q5423">
        <f>IF('Loan Tape (S&amp;P)'!V5423="Yes",
    1.20,
    1.00)</f>
        <v/>
      </c>
      <c r="T5423">
        <f>LET(
    payment_method,'Loan Tape (S&amp;P)'!P5423,
    occupancy,'Loan Tape (S&amp;P)'!N5423,
    maturity_date,'Loan Tape (S&amp;P)'!L5423,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24">
      <c r="J5424">
        <f>LET(
    lien,'Loan Tape (S&amp;P)'!Q5424,
    IF(lien="First",1.00,
        IF(lien="Second",1.50,
            1.70)))</f>
        <v/>
      </c>
      <c r="K5424">
        <f>LET(
    purpose,'Loan Tape (S&amp;P)'!R5424,
    IF(purpose="Purchase",1.00,
        IF(purpose="Remortgage",1.00,
            1.20)))</f>
        <v/>
      </c>
      <c r="L5424">
        <f>LET(
    arrears_months,'Loan Tape (S&amp;P)'!AN5424,
    IF(arrears_months=0,1.00,
    IF(arrears_months=1,3.00,
    IF(arrears_months=2,5.00,
    IF(arrears_months=3,8.00,
    IF(arrears_months=4,10.00,
    IF(arrears_months=5,12.00,15.00)))))))</f>
        <v/>
      </c>
      <c r="M5424">
        <f>LET(
    seasoning_years,DATEDIF('Loan Tape (S&amp;P)'!K5424,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24">
        <f>IF(AND('Loan Tape (S&amp;P)'!U5424="Yes",
        'Loan Tape (S&amp;P)'!T5424&lt;&gt;"Yes",
        DATEDIF('Loan Tape (S&amp;P)'!K5424, TODAY(), "M")&lt;18),
    1.10,
    1.00)</f>
        <v/>
      </c>
      <c r="O5424">
        <f>IF('Loan Tape (S&amp;P)'!T5424="Yes",
    1.35,
    1.00)</f>
        <v/>
      </c>
      <c r="P5424">
        <f>IF('Loan Tape (S&amp;P)'!S5424="Yes",
    1.15,
    1.00)</f>
        <v/>
      </c>
      <c r="Q5424">
        <f>IF('Loan Tape (S&amp;P)'!V5424="Yes",
    1.20,
    1.00)</f>
        <v/>
      </c>
      <c r="T5424">
        <f>LET(
    payment_method,'Loan Tape (S&amp;P)'!P5424,
    occupancy,'Loan Tape (S&amp;P)'!N5424,
    maturity_date,'Loan Tape (S&amp;P)'!L5424,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25">
      <c r="J5425">
        <f>LET(
    lien,'Loan Tape (S&amp;P)'!Q5425,
    IF(lien="First",1.00,
        IF(lien="Second",1.50,
            1.70)))</f>
        <v/>
      </c>
      <c r="K5425">
        <f>LET(
    purpose,'Loan Tape (S&amp;P)'!R5425,
    IF(purpose="Purchase",1.00,
        IF(purpose="Remortgage",1.00,
            1.20)))</f>
        <v/>
      </c>
      <c r="L5425">
        <f>LET(
    arrears_months,'Loan Tape (S&amp;P)'!AN5425,
    IF(arrears_months=0,1.00,
    IF(arrears_months=1,3.00,
    IF(arrears_months=2,5.00,
    IF(arrears_months=3,8.00,
    IF(arrears_months=4,10.00,
    IF(arrears_months=5,12.00,15.00)))))))</f>
        <v/>
      </c>
      <c r="M5425">
        <f>LET(
    seasoning_years,DATEDIF('Loan Tape (S&amp;P)'!K5425,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25">
        <f>IF(AND('Loan Tape (S&amp;P)'!U5425="Yes",
        'Loan Tape (S&amp;P)'!T5425&lt;&gt;"Yes",
        DATEDIF('Loan Tape (S&amp;P)'!K5425, TODAY(), "M")&lt;18),
    1.10,
    1.00)</f>
        <v/>
      </c>
      <c r="O5425">
        <f>IF('Loan Tape (S&amp;P)'!T5425="Yes",
    1.35,
    1.00)</f>
        <v/>
      </c>
      <c r="P5425">
        <f>IF('Loan Tape (S&amp;P)'!S5425="Yes",
    1.15,
    1.00)</f>
        <v/>
      </c>
      <c r="Q5425">
        <f>IF('Loan Tape (S&amp;P)'!V5425="Yes",
    1.20,
    1.00)</f>
        <v/>
      </c>
      <c r="T5425">
        <f>LET(
    payment_method,'Loan Tape (S&amp;P)'!P5425,
    occupancy,'Loan Tape (S&amp;P)'!N5425,
    maturity_date,'Loan Tape (S&amp;P)'!L5425,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26">
      <c r="J5426">
        <f>LET(
    lien,'Loan Tape (S&amp;P)'!Q5426,
    IF(lien="First",1.00,
        IF(lien="Second",1.50,
            1.70)))</f>
        <v/>
      </c>
      <c r="K5426">
        <f>LET(
    purpose,'Loan Tape (S&amp;P)'!R5426,
    IF(purpose="Purchase",1.00,
        IF(purpose="Remortgage",1.00,
            1.20)))</f>
        <v/>
      </c>
      <c r="L5426">
        <f>LET(
    arrears_months,'Loan Tape (S&amp;P)'!AN5426,
    IF(arrears_months=0,1.00,
    IF(arrears_months=1,3.00,
    IF(arrears_months=2,5.00,
    IF(arrears_months=3,8.00,
    IF(arrears_months=4,10.00,
    IF(arrears_months=5,12.00,15.00)))))))</f>
        <v/>
      </c>
      <c r="M5426">
        <f>LET(
    seasoning_years,DATEDIF('Loan Tape (S&amp;P)'!K5426,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26">
        <f>IF(AND('Loan Tape (S&amp;P)'!U5426="Yes",
        'Loan Tape (S&amp;P)'!T5426&lt;&gt;"Yes",
        DATEDIF('Loan Tape (S&amp;P)'!K5426, TODAY(), "M")&lt;18),
    1.10,
    1.00)</f>
        <v/>
      </c>
      <c r="O5426">
        <f>IF('Loan Tape (S&amp;P)'!T5426="Yes",
    1.35,
    1.00)</f>
        <v/>
      </c>
      <c r="P5426">
        <f>IF('Loan Tape (S&amp;P)'!S5426="Yes",
    1.15,
    1.00)</f>
        <v/>
      </c>
      <c r="Q5426">
        <f>IF('Loan Tape (S&amp;P)'!V5426="Yes",
    1.20,
    1.00)</f>
        <v/>
      </c>
      <c r="T5426">
        <f>LET(
    payment_method,'Loan Tape (S&amp;P)'!P5426,
    occupancy,'Loan Tape (S&amp;P)'!N5426,
    maturity_date,'Loan Tape (S&amp;P)'!L5426,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27">
      <c r="J5427">
        <f>LET(
    lien,'Loan Tape (S&amp;P)'!Q5427,
    IF(lien="First",1.00,
        IF(lien="Second",1.50,
            1.70)))</f>
        <v/>
      </c>
      <c r="K5427">
        <f>LET(
    purpose,'Loan Tape (S&amp;P)'!R5427,
    IF(purpose="Purchase",1.00,
        IF(purpose="Remortgage",1.00,
            1.20)))</f>
        <v/>
      </c>
      <c r="L5427">
        <f>LET(
    arrears_months,'Loan Tape (S&amp;P)'!AN5427,
    IF(arrears_months=0,1.00,
    IF(arrears_months=1,3.00,
    IF(arrears_months=2,5.00,
    IF(arrears_months=3,8.00,
    IF(arrears_months=4,10.00,
    IF(arrears_months=5,12.00,15.00)))))))</f>
        <v/>
      </c>
      <c r="M5427">
        <f>LET(
    seasoning_years,DATEDIF('Loan Tape (S&amp;P)'!K5427,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27">
        <f>IF(AND('Loan Tape (S&amp;P)'!U5427="Yes",
        'Loan Tape (S&amp;P)'!T5427&lt;&gt;"Yes",
        DATEDIF('Loan Tape (S&amp;P)'!K5427, TODAY(), "M")&lt;18),
    1.10,
    1.00)</f>
        <v/>
      </c>
      <c r="O5427">
        <f>IF('Loan Tape (S&amp;P)'!T5427="Yes",
    1.35,
    1.00)</f>
        <v/>
      </c>
      <c r="P5427">
        <f>IF('Loan Tape (S&amp;P)'!S5427="Yes",
    1.15,
    1.00)</f>
        <v/>
      </c>
      <c r="Q5427">
        <f>IF('Loan Tape (S&amp;P)'!V5427="Yes",
    1.20,
    1.00)</f>
        <v/>
      </c>
      <c r="T5427">
        <f>LET(
    payment_method,'Loan Tape (S&amp;P)'!P5427,
    occupancy,'Loan Tape (S&amp;P)'!N5427,
    maturity_date,'Loan Tape (S&amp;P)'!L5427,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28">
      <c r="J5428">
        <f>LET(
    lien,'Loan Tape (S&amp;P)'!Q5428,
    IF(lien="First",1.00,
        IF(lien="Second",1.50,
            1.70)))</f>
        <v/>
      </c>
      <c r="K5428">
        <f>LET(
    purpose,'Loan Tape (S&amp;P)'!R5428,
    IF(purpose="Purchase",1.00,
        IF(purpose="Remortgage",1.00,
            1.20)))</f>
        <v/>
      </c>
      <c r="L5428">
        <f>LET(
    arrears_months,'Loan Tape (S&amp;P)'!AN5428,
    IF(arrears_months=0,1.00,
    IF(arrears_months=1,3.00,
    IF(arrears_months=2,5.00,
    IF(arrears_months=3,8.00,
    IF(arrears_months=4,10.00,
    IF(arrears_months=5,12.00,15.00)))))))</f>
        <v/>
      </c>
      <c r="M5428">
        <f>LET(
    seasoning_years,DATEDIF('Loan Tape (S&amp;P)'!K5428,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28">
        <f>IF(AND('Loan Tape (S&amp;P)'!U5428="Yes",
        'Loan Tape (S&amp;P)'!T5428&lt;&gt;"Yes",
        DATEDIF('Loan Tape (S&amp;P)'!K5428, TODAY(), "M")&lt;18),
    1.10,
    1.00)</f>
        <v/>
      </c>
      <c r="O5428">
        <f>IF('Loan Tape (S&amp;P)'!T5428="Yes",
    1.35,
    1.00)</f>
        <v/>
      </c>
      <c r="P5428">
        <f>IF('Loan Tape (S&amp;P)'!S5428="Yes",
    1.15,
    1.00)</f>
        <v/>
      </c>
      <c r="Q5428">
        <f>IF('Loan Tape (S&amp;P)'!V5428="Yes",
    1.20,
    1.00)</f>
        <v/>
      </c>
      <c r="T5428">
        <f>LET(
    payment_method,'Loan Tape (S&amp;P)'!P5428,
    occupancy,'Loan Tape (S&amp;P)'!N5428,
    maturity_date,'Loan Tape (S&amp;P)'!L5428,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29">
      <c r="J5429">
        <f>LET(
    lien,'Loan Tape (S&amp;P)'!Q5429,
    IF(lien="First",1.00,
        IF(lien="Second",1.50,
            1.70)))</f>
        <v/>
      </c>
      <c r="K5429">
        <f>LET(
    purpose,'Loan Tape (S&amp;P)'!R5429,
    IF(purpose="Purchase",1.00,
        IF(purpose="Remortgage",1.00,
            1.20)))</f>
        <v/>
      </c>
      <c r="L5429">
        <f>LET(
    arrears_months,'Loan Tape (S&amp;P)'!AN5429,
    IF(arrears_months=0,1.00,
    IF(arrears_months=1,3.00,
    IF(arrears_months=2,5.00,
    IF(arrears_months=3,8.00,
    IF(arrears_months=4,10.00,
    IF(arrears_months=5,12.00,15.00)))))))</f>
        <v/>
      </c>
      <c r="M5429">
        <f>LET(
    seasoning_years,DATEDIF('Loan Tape (S&amp;P)'!K5429,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29">
        <f>IF(AND('Loan Tape (S&amp;P)'!U5429="Yes",
        'Loan Tape (S&amp;P)'!T5429&lt;&gt;"Yes",
        DATEDIF('Loan Tape (S&amp;P)'!K5429, TODAY(), "M")&lt;18),
    1.10,
    1.00)</f>
        <v/>
      </c>
      <c r="O5429">
        <f>IF('Loan Tape (S&amp;P)'!T5429="Yes",
    1.35,
    1.00)</f>
        <v/>
      </c>
      <c r="P5429">
        <f>IF('Loan Tape (S&amp;P)'!S5429="Yes",
    1.15,
    1.00)</f>
        <v/>
      </c>
      <c r="Q5429">
        <f>IF('Loan Tape (S&amp;P)'!V5429="Yes",
    1.20,
    1.00)</f>
        <v/>
      </c>
      <c r="T5429">
        <f>LET(
    payment_method,'Loan Tape (S&amp;P)'!P5429,
    occupancy,'Loan Tape (S&amp;P)'!N5429,
    maturity_date,'Loan Tape (S&amp;P)'!L5429,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30">
      <c r="J5430">
        <f>LET(
    lien,'Loan Tape (S&amp;P)'!Q5430,
    IF(lien="First",1.00,
        IF(lien="Second",1.50,
            1.70)))</f>
        <v/>
      </c>
      <c r="K5430">
        <f>LET(
    purpose,'Loan Tape (S&amp;P)'!R5430,
    IF(purpose="Purchase",1.00,
        IF(purpose="Remortgage",1.00,
            1.20)))</f>
        <v/>
      </c>
      <c r="L5430">
        <f>LET(
    arrears_months,'Loan Tape (S&amp;P)'!AN5430,
    IF(arrears_months=0,1.00,
    IF(arrears_months=1,3.00,
    IF(arrears_months=2,5.00,
    IF(arrears_months=3,8.00,
    IF(arrears_months=4,10.00,
    IF(arrears_months=5,12.00,15.00)))))))</f>
        <v/>
      </c>
      <c r="M5430">
        <f>LET(
    seasoning_years,DATEDIF('Loan Tape (S&amp;P)'!K5430,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30">
        <f>IF(AND('Loan Tape (S&amp;P)'!U5430="Yes",
        'Loan Tape (S&amp;P)'!T5430&lt;&gt;"Yes",
        DATEDIF('Loan Tape (S&amp;P)'!K5430, TODAY(), "M")&lt;18),
    1.10,
    1.00)</f>
        <v/>
      </c>
      <c r="O5430">
        <f>IF('Loan Tape (S&amp;P)'!T5430="Yes",
    1.35,
    1.00)</f>
        <v/>
      </c>
      <c r="P5430">
        <f>IF('Loan Tape (S&amp;P)'!S5430="Yes",
    1.15,
    1.00)</f>
        <v/>
      </c>
      <c r="Q5430">
        <f>IF('Loan Tape (S&amp;P)'!V5430="Yes",
    1.20,
    1.00)</f>
        <v/>
      </c>
      <c r="T5430">
        <f>LET(
    payment_method,'Loan Tape (S&amp;P)'!P5430,
    occupancy,'Loan Tape (S&amp;P)'!N5430,
    maturity_date,'Loan Tape (S&amp;P)'!L5430,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31">
      <c r="J5431">
        <f>LET(
    lien,'Loan Tape (S&amp;P)'!Q5431,
    IF(lien="First",1.00,
        IF(lien="Second",1.50,
            1.70)))</f>
        <v/>
      </c>
      <c r="K5431">
        <f>LET(
    purpose,'Loan Tape (S&amp;P)'!R5431,
    IF(purpose="Purchase",1.00,
        IF(purpose="Remortgage",1.00,
            1.20)))</f>
        <v/>
      </c>
      <c r="L5431">
        <f>LET(
    arrears_months,'Loan Tape (S&amp;P)'!AN5431,
    IF(arrears_months=0,1.00,
    IF(arrears_months=1,3.00,
    IF(arrears_months=2,5.00,
    IF(arrears_months=3,8.00,
    IF(arrears_months=4,10.00,
    IF(arrears_months=5,12.00,15.00)))))))</f>
        <v/>
      </c>
      <c r="M5431">
        <f>LET(
    seasoning_years,DATEDIF('Loan Tape (S&amp;P)'!K5431,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31">
        <f>IF(AND('Loan Tape (S&amp;P)'!U5431="Yes",
        'Loan Tape (S&amp;P)'!T5431&lt;&gt;"Yes",
        DATEDIF('Loan Tape (S&amp;P)'!K5431, TODAY(), "M")&lt;18),
    1.10,
    1.00)</f>
        <v/>
      </c>
      <c r="O5431">
        <f>IF('Loan Tape (S&amp;P)'!T5431="Yes",
    1.35,
    1.00)</f>
        <v/>
      </c>
      <c r="P5431">
        <f>IF('Loan Tape (S&amp;P)'!S5431="Yes",
    1.15,
    1.00)</f>
        <v/>
      </c>
      <c r="Q5431">
        <f>IF('Loan Tape (S&amp;P)'!V5431="Yes",
    1.20,
    1.00)</f>
        <v/>
      </c>
      <c r="T5431">
        <f>LET(
    payment_method,'Loan Tape (S&amp;P)'!P5431,
    occupancy,'Loan Tape (S&amp;P)'!N5431,
    maturity_date,'Loan Tape (S&amp;P)'!L5431,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32">
      <c r="J5432">
        <f>LET(
    lien,'Loan Tape (S&amp;P)'!Q5432,
    IF(lien="First",1.00,
        IF(lien="Second",1.50,
            1.70)))</f>
        <v/>
      </c>
      <c r="K5432">
        <f>LET(
    purpose,'Loan Tape (S&amp;P)'!R5432,
    IF(purpose="Purchase",1.00,
        IF(purpose="Remortgage",1.00,
            1.20)))</f>
        <v/>
      </c>
      <c r="L5432">
        <f>LET(
    arrears_months,'Loan Tape (S&amp;P)'!AN5432,
    IF(arrears_months=0,1.00,
    IF(arrears_months=1,3.00,
    IF(arrears_months=2,5.00,
    IF(arrears_months=3,8.00,
    IF(arrears_months=4,10.00,
    IF(arrears_months=5,12.00,15.00)))))))</f>
        <v/>
      </c>
      <c r="M5432">
        <f>LET(
    seasoning_years,DATEDIF('Loan Tape (S&amp;P)'!K5432,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32">
        <f>IF(AND('Loan Tape (S&amp;P)'!U5432="Yes",
        'Loan Tape (S&amp;P)'!T5432&lt;&gt;"Yes",
        DATEDIF('Loan Tape (S&amp;P)'!K5432, TODAY(), "M")&lt;18),
    1.10,
    1.00)</f>
        <v/>
      </c>
      <c r="O5432">
        <f>IF('Loan Tape (S&amp;P)'!T5432="Yes",
    1.35,
    1.00)</f>
        <v/>
      </c>
      <c r="P5432">
        <f>IF('Loan Tape (S&amp;P)'!S5432="Yes",
    1.15,
    1.00)</f>
        <v/>
      </c>
      <c r="Q5432">
        <f>IF('Loan Tape (S&amp;P)'!V5432="Yes",
    1.20,
    1.00)</f>
        <v/>
      </c>
      <c r="T5432">
        <f>LET(
    payment_method,'Loan Tape (S&amp;P)'!P5432,
    occupancy,'Loan Tape (S&amp;P)'!N5432,
    maturity_date,'Loan Tape (S&amp;P)'!L5432,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33">
      <c r="J5433">
        <f>LET(
    lien,'Loan Tape (S&amp;P)'!Q5433,
    IF(lien="First",1.00,
        IF(lien="Second",1.50,
            1.70)))</f>
        <v/>
      </c>
      <c r="K5433">
        <f>LET(
    purpose,'Loan Tape (S&amp;P)'!R5433,
    IF(purpose="Purchase",1.00,
        IF(purpose="Remortgage",1.00,
            1.20)))</f>
        <v/>
      </c>
      <c r="L5433">
        <f>LET(
    arrears_months,'Loan Tape (S&amp;P)'!AN5433,
    IF(arrears_months=0,1.00,
    IF(arrears_months=1,3.00,
    IF(arrears_months=2,5.00,
    IF(arrears_months=3,8.00,
    IF(arrears_months=4,10.00,
    IF(arrears_months=5,12.00,15.00)))))))</f>
        <v/>
      </c>
      <c r="M5433">
        <f>LET(
    seasoning_years,DATEDIF('Loan Tape (S&amp;P)'!K5433,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33">
        <f>IF(AND('Loan Tape (S&amp;P)'!U5433="Yes",
        'Loan Tape (S&amp;P)'!T5433&lt;&gt;"Yes",
        DATEDIF('Loan Tape (S&amp;P)'!K5433, TODAY(), "M")&lt;18),
    1.10,
    1.00)</f>
        <v/>
      </c>
      <c r="O5433">
        <f>IF('Loan Tape (S&amp;P)'!T5433="Yes",
    1.35,
    1.00)</f>
        <v/>
      </c>
      <c r="P5433">
        <f>IF('Loan Tape (S&amp;P)'!S5433="Yes",
    1.15,
    1.00)</f>
        <v/>
      </c>
      <c r="Q5433">
        <f>IF('Loan Tape (S&amp;P)'!V5433="Yes",
    1.20,
    1.00)</f>
        <v/>
      </c>
      <c r="T5433">
        <f>LET(
    payment_method,'Loan Tape (S&amp;P)'!P5433,
    occupancy,'Loan Tape (S&amp;P)'!N5433,
    maturity_date,'Loan Tape (S&amp;P)'!L5433,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34">
      <c r="J5434">
        <f>LET(
    lien,'Loan Tape (S&amp;P)'!Q5434,
    IF(lien="First",1.00,
        IF(lien="Second",1.50,
            1.70)))</f>
        <v/>
      </c>
      <c r="K5434">
        <f>LET(
    purpose,'Loan Tape (S&amp;P)'!R5434,
    IF(purpose="Purchase",1.00,
        IF(purpose="Remortgage",1.00,
            1.20)))</f>
        <v/>
      </c>
      <c r="L5434">
        <f>LET(
    arrears_months,'Loan Tape (S&amp;P)'!AN5434,
    IF(arrears_months=0,1.00,
    IF(arrears_months=1,3.00,
    IF(arrears_months=2,5.00,
    IF(arrears_months=3,8.00,
    IF(arrears_months=4,10.00,
    IF(arrears_months=5,12.00,15.00)))))))</f>
        <v/>
      </c>
      <c r="M5434">
        <f>LET(
    seasoning_years,DATEDIF('Loan Tape (S&amp;P)'!K5434,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34">
        <f>IF(AND('Loan Tape (S&amp;P)'!U5434="Yes",
        'Loan Tape (S&amp;P)'!T5434&lt;&gt;"Yes",
        DATEDIF('Loan Tape (S&amp;P)'!K5434, TODAY(), "M")&lt;18),
    1.10,
    1.00)</f>
        <v/>
      </c>
      <c r="O5434">
        <f>IF('Loan Tape (S&amp;P)'!T5434="Yes",
    1.35,
    1.00)</f>
        <v/>
      </c>
      <c r="P5434">
        <f>IF('Loan Tape (S&amp;P)'!S5434="Yes",
    1.15,
    1.00)</f>
        <v/>
      </c>
      <c r="Q5434">
        <f>IF('Loan Tape (S&amp;P)'!V5434="Yes",
    1.20,
    1.00)</f>
        <v/>
      </c>
      <c r="T5434">
        <f>LET(
    payment_method,'Loan Tape (S&amp;P)'!P5434,
    occupancy,'Loan Tape (S&amp;P)'!N5434,
    maturity_date,'Loan Tape (S&amp;P)'!L5434,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35">
      <c r="J5435">
        <f>LET(
    lien,'Loan Tape (S&amp;P)'!Q5435,
    IF(lien="First",1.00,
        IF(lien="Second",1.50,
            1.70)))</f>
        <v/>
      </c>
      <c r="K5435">
        <f>LET(
    purpose,'Loan Tape (S&amp;P)'!R5435,
    IF(purpose="Purchase",1.00,
        IF(purpose="Remortgage",1.00,
            1.20)))</f>
        <v/>
      </c>
      <c r="L5435">
        <f>LET(
    arrears_months,'Loan Tape (S&amp;P)'!AN5435,
    IF(arrears_months=0,1.00,
    IF(arrears_months=1,3.00,
    IF(arrears_months=2,5.00,
    IF(arrears_months=3,8.00,
    IF(arrears_months=4,10.00,
    IF(arrears_months=5,12.00,15.00)))))))</f>
        <v/>
      </c>
      <c r="M5435">
        <f>LET(
    seasoning_years,DATEDIF('Loan Tape (S&amp;P)'!K5435,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35">
        <f>IF(AND('Loan Tape (S&amp;P)'!U5435="Yes",
        'Loan Tape (S&amp;P)'!T5435&lt;&gt;"Yes",
        DATEDIF('Loan Tape (S&amp;P)'!K5435, TODAY(), "M")&lt;18),
    1.10,
    1.00)</f>
        <v/>
      </c>
      <c r="O5435">
        <f>IF('Loan Tape (S&amp;P)'!T5435="Yes",
    1.35,
    1.00)</f>
        <v/>
      </c>
      <c r="P5435">
        <f>IF('Loan Tape (S&amp;P)'!S5435="Yes",
    1.15,
    1.00)</f>
        <v/>
      </c>
      <c r="Q5435">
        <f>IF('Loan Tape (S&amp;P)'!V5435="Yes",
    1.20,
    1.00)</f>
        <v/>
      </c>
      <c r="T5435">
        <f>LET(
    payment_method,'Loan Tape (S&amp;P)'!P5435,
    occupancy,'Loan Tape (S&amp;P)'!N5435,
    maturity_date,'Loan Tape (S&amp;P)'!L5435,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36">
      <c r="J5436">
        <f>LET(
    lien,'Loan Tape (S&amp;P)'!Q5436,
    IF(lien="First",1.00,
        IF(lien="Second",1.50,
            1.70)))</f>
        <v/>
      </c>
      <c r="K5436">
        <f>LET(
    purpose,'Loan Tape (S&amp;P)'!R5436,
    IF(purpose="Purchase",1.00,
        IF(purpose="Remortgage",1.00,
            1.20)))</f>
        <v/>
      </c>
      <c r="L5436">
        <f>LET(
    arrears_months,'Loan Tape (S&amp;P)'!AN5436,
    IF(arrears_months=0,1.00,
    IF(arrears_months=1,3.00,
    IF(arrears_months=2,5.00,
    IF(arrears_months=3,8.00,
    IF(arrears_months=4,10.00,
    IF(arrears_months=5,12.00,15.00)))))))</f>
        <v/>
      </c>
      <c r="M5436">
        <f>LET(
    seasoning_years,DATEDIF('Loan Tape (S&amp;P)'!K5436,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36">
        <f>IF(AND('Loan Tape (S&amp;P)'!U5436="Yes",
        'Loan Tape (S&amp;P)'!T5436&lt;&gt;"Yes",
        DATEDIF('Loan Tape (S&amp;P)'!K5436, TODAY(), "M")&lt;18),
    1.10,
    1.00)</f>
        <v/>
      </c>
      <c r="O5436">
        <f>IF('Loan Tape (S&amp;P)'!T5436="Yes",
    1.35,
    1.00)</f>
        <v/>
      </c>
      <c r="P5436">
        <f>IF('Loan Tape (S&amp;P)'!S5436="Yes",
    1.15,
    1.00)</f>
        <v/>
      </c>
      <c r="Q5436">
        <f>IF('Loan Tape (S&amp;P)'!V5436="Yes",
    1.20,
    1.00)</f>
        <v/>
      </c>
      <c r="T5436">
        <f>LET(
    payment_method,'Loan Tape (S&amp;P)'!P5436,
    occupancy,'Loan Tape (S&amp;P)'!N5436,
    maturity_date,'Loan Tape (S&amp;P)'!L5436,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37">
      <c r="J5437">
        <f>LET(
    lien,'Loan Tape (S&amp;P)'!Q5437,
    IF(lien="First",1.00,
        IF(lien="Second",1.50,
            1.70)))</f>
        <v/>
      </c>
      <c r="K5437">
        <f>LET(
    purpose,'Loan Tape (S&amp;P)'!R5437,
    IF(purpose="Purchase",1.00,
        IF(purpose="Remortgage",1.00,
            1.20)))</f>
        <v/>
      </c>
      <c r="L5437">
        <f>LET(
    arrears_months,'Loan Tape (S&amp;P)'!AN5437,
    IF(arrears_months=0,1.00,
    IF(arrears_months=1,3.00,
    IF(arrears_months=2,5.00,
    IF(arrears_months=3,8.00,
    IF(arrears_months=4,10.00,
    IF(arrears_months=5,12.00,15.00)))))))</f>
        <v/>
      </c>
      <c r="M5437">
        <f>LET(
    seasoning_years,DATEDIF('Loan Tape (S&amp;P)'!K5437,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37">
        <f>IF(AND('Loan Tape (S&amp;P)'!U5437="Yes",
        'Loan Tape (S&amp;P)'!T5437&lt;&gt;"Yes",
        DATEDIF('Loan Tape (S&amp;P)'!K5437, TODAY(), "M")&lt;18),
    1.10,
    1.00)</f>
        <v/>
      </c>
      <c r="O5437">
        <f>IF('Loan Tape (S&amp;P)'!T5437="Yes",
    1.35,
    1.00)</f>
        <v/>
      </c>
      <c r="P5437">
        <f>IF('Loan Tape (S&amp;P)'!S5437="Yes",
    1.15,
    1.00)</f>
        <v/>
      </c>
      <c r="Q5437">
        <f>IF('Loan Tape (S&amp;P)'!V5437="Yes",
    1.20,
    1.00)</f>
        <v/>
      </c>
      <c r="T5437">
        <f>LET(
    payment_method,'Loan Tape (S&amp;P)'!P5437,
    occupancy,'Loan Tape (S&amp;P)'!N5437,
    maturity_date,'Loan Tape (S&amp;P)'!L5437,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38">
      <c r="J5438">
        <f>LET(
    lien,'Loan Tape (S&amp;P)'!Q5438,
    IF(lien="First",1.00,
        IF(lien="Second",1.50,
            1.70)))</f>
        <v/>
      </c>
      <c r="K5438">
        <f>LET(
    purpose,'Loan Tape (S&amp;P)'!R5438,
    IF(purpose="Purchase",1.00,
        IF(purpose="Remortgage",1.00,
            1.20)))</f>
        <v/>
      </c>
      <c r="L5438">
        <f>LET(
    arrears_months,'Loan Tape (S&amp;P)'!AN5438,
    IF(arrears_months=0,1.00,
    IF(arrears_months=1,3.00,
    IF(arrears_months=2,5.00,
    IF(arrears_months=3,8.00,
    IF(arrears_months=4,10.00,
    IF(arrears_months=5,12.00,15.00)))))))</f>
        <v/>
      </c>
      <c r="M5438">
        <f>LET(
    seasoning_years,DATEDIF('Loan Tape (S&amp;P)'!K5438,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38">
        <f>IF(AND('Loan Tape (S&amp;P)'!U5438="Yes",
        'Loan Tape (S&amp;P)'!T5438&lt;&gt;"Yes",
        DATEDIF('Loan Tape (S&amp;P)'!K5438, TODAY(), "M")&lt;18),
    1.10,
    1.00)</f>
        <v/>
      </c>
      <c r="O5438">
        <f>IF('Loan Tape (S&amp;P)'!T5438="Yes",
    1.35,
    1.00)</f>
        <v/>
      </c>
      <c r="P5438">
        <f>IF('Loan Tape (S&amp;P)'!S5438="Yes",
    1.15,
    1.00)</f>
        <v/>
      </c>
      <c r="Q5438">
        <f>IF('Loan Tape (S&amp;P)'!V5438="Yes",
    1.20,
    1.00)</f>
        <v/>
      </c>
      <c r="T5438">
        <f>LET(
    payment_method,'Loan Tape (S&amp;P)'!P5438,
    occupancy,'Loan Tape (S&amp;P)'!N5438,
    maturity_date,'Loan Tape (S&amp;P)'!L5438,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39">
      <c r="J5439">
        <f>LET(
    lien,'Loan Tape (S&amp;P)'!Q5439,
    IF(lien="First",1.00,
        IF(lien="Second",1.50,
            1.70)))</f>
        <v/>
      </c>
      <c r="K5439">
        <f>LET(
    purpose,'Loan Tape (S&amp;P)'!R5439,
    IF(purpose="Purchase",1.00,
        IF(purpose="Remortgage",1.00,
            1.20)))</f>
        <v/>
      </c>
      <c r="L5439">
        <f>LET(
    arrears_months,'Loan Tape (S&amp;P)'!AN5439,
    IF(arrears_months=0,1.00,
    IF(arrears_months=1,3.00,
    IF(arrears_months=2,5.00,
    IF(arrears_months=3,8.00,
    IF(arrears_months=4,10.00,
    IF(arrears_months=5,12.00,15.00)))))))</f>
        <v/>
      </c>
      <c r="M5439">
        <f>LET(
    seasoning_years,DATEDIF('Loan Tape (S&amp;P)'!K5439,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39">
        <f>IF(AND('Loan Tape (S&amp;P)'!U5439="Yes",
        'Loan Tape (S&amp;P)'!T5439&lt;&gt;"Yes",
        DATEDIF('Loan Tape (S&amp;P)'!K5439, TODAY(), "M")&lt;18),
    1.10,
    1.00)</f>
        <v/>
      </c>
      <c r="O5439">
        <f>IF('Loan Tape (S&amp;P)'!T5439="Yes",
    1.35,
    1.00)</f>
        <v/>
      </c>
      <c r="P5439">
        <f>IF('Loan Tape (S&amp;P)'!S5439="Yes",
    1.15,
    1.00)</f>
        <v/>
      </c>
      <c r="Q5439">
        <f>IF('Loan Tape (S&amp;P)'!V5439="Yes",
    1.20,
    1.00)</f>
        <v/>
      </c>
      <c r="T5439">
        <f>LET(
    payment_method,'Loan Tape (S&amp;P)'!P5439,
    occupancy,'Loan Tape (S&amp;P)'!N5439,
    maturity_date,'Loan Tape (S&amp;P)'!L5439,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40">
      <c r="J5440">
        <f>LET(
    lien,'Loan Tape (S&amp;P)'!Q5440,
    IF(lien="First",1.00,
        IF(lien="Second",1.50,
            1.70)))</f>
        <v/>
      </c>
      <c r="K5440">
        <f>LET(
    purpose,'Loan Tape (S&amp;P)'!R5440,
    IF(purpose="Purchase",1.00,
        IF(purpose="Remortgage",1.00,
            1.20)))</f>
        <v/>
      </c>
      <c r="L5440">
        <f>LET(
    arrears_months,'Loan Tape (S&amp;P)'!AN5440,
    IF(arrears_months=0,1.00,
    IF(arrears_months=1,3.00,
    IF(arrears_months=2,5.00,
    IF(arrears_months=3,8.00,
    IF(arrears_months=4,10.00,
    IF(arrears_months=5,12.00,15.00)))))))</f>
        <v/>
      </c>
      <c r="M5440">
        <f>LET(
    seasoning_years,DATEDIF('Loan Tape (S&amp;P)'!K5440,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40">
        <f>IF(AND('Loan Tape (S&amp;P)'!U5440="Yes",
        'Loan Tape (S&amp;P)'!T5440&lt;&gt;"Yes",
        DATEDIF('Loan Tape (S&amp;P)'!K5440, TODAY(), "M")&lt;18),
    1.10,
    1.00)</f>
        <v/>
      </c>
      <c r="O5440">
        <f>IF('Loan Tape (S&amp;P)'!T5440="Yes",
    1.35,
    1.00)</f>
        <v/>
      </c>
      <c r="P5440">
        <f>IF('Loan Tape (S&amp;P)'!S5440="Yes",
    1.15,
    1.00)</f>
        <v/>
      </c>
      <c r="Q5440">
        <f>IF('Loan Tape (S&amp;P)'!V5440="Yes",
    1.20,
    1.00)</f>
        <v/>
      </c>
      <c r="T5440">
        <f>LET(
    payment_method,'Loan Tape (S&amp;P)'!P5440,
    occupancy,'Loan Tape (S&amp;P)'!N5440,
    maturity_date,'Loan Tape (S&amp;P)'!L5440,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41">
      <c r="J5441">
        <f>LET(
    lien,'Loan Tape (S&amp;P)'!Q5441,
    IF(lien="First",1.00,
        IF(lien="Second",1.50,
            1.70)))</f>
        <v/>
      </c>
      <c r="K5441">
        <f>LET(
    purpose,'Loan Tape (S&amp;P)'!R5441,
    IF(purpose="Purchase",1.00,
        IF(purpose="Remortgage",1.00,
            1.20)))</f>
        <v/>
      </c>
      <c r="L5441">
        <f>LET(
    arrears_months,'Loan Tape (S&amp;P)'!AN5441,
    IF(arrears_months=0,1.00,
    IF(arrears_months=1,3.00,
    IF(arrears_months=2,5.00,
    IF(arrears_months=3,8.00,
    IF(arrears_months=4,10.00,
    IF(arrears_months=5,12.00,15.00)))))))</f>
        <v/>
      </c>
      <c r="M5441">
        <f>LET(
    seasoning_years,DATEDIF('Loan Tape (S&amp;P)'!K5441,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41">
        <f>IF(AND('Loan Tape (S&amp;P)'!U5441="Yes",
        'Loan Tape (S&amp;P)'!T5441&lt;&gt;"Yes",
        DATEDIF('Loan Tape (S&amp;P)'!K5441, TODAY(), "M")&lt;18),
    1.10,
    1.00)</f>
        <v/>
      </c>
      <c r="O5441">
        <f>IF('Loan Tape (S&amp;P)'!T5441="Yes",
    1.35,
    1.00)</f>
        <v/>
      </c>
      <c r="P5441">
        <f>IF('Loan Tape (S&amp;P)'!S5441="Yes",
    1.15,
    1.00)</f>
        <v/>
      </c>
      <c r="Q5441">
        <f>IF('Loan Tape (S&amp;P)'!V5441="Yes",
    1.20,
    1.00)</f>
        <v/>
      </c>
      <c r="T5441">
        <f>LET(
    payment_method,'Loan Tape (S&amp;P)'!P5441,
    occupancy,'Loan Tape (S&amp;P)'!N5441,
    maturity_date,'Loan Tape (S&amp;P)'!L5441,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42">
      <c r="J5442">
        <f>LET(
    lien,'Loan Tape (S&amp;P)'!Q5442,
    IF(lien="First",1.00,
        IF(lien="Second",1.50,
            1.70)))</f>
        <v/>
      </c>
      <c r="K5442">
        <f>LET(
    purpose,'Loan Tape (S&amp;P)'!R5442,
    IF(purpose="Purchase",1.00,
        IF(purpose="Remortgage",1.00,
            1.20)))</f>
        <v/>
      </c>
      <c r="L5442">
        <f>LET(
    arrears_months,'Loan Tape (S&amp;P)'!AN5442,
    IF(arrears_months=0,1.00,
    IF(arrears_months=1,3.00,
    IF(arrears_months=2,5.00,
    IF(arrears_months=3,8.00,
    IF(arrears_months=4,10.00,
    IF(arrears_months=5,12.00,15.00)))))))</f>
        <v/>
      </c>
      <c r="M5442">
        <f>LET(
    seasoning_years,DATEDIF('Loan Tape (S&amp;P)'!K5442,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42">
        <f>IF(AND('Loan Tape (S&amp;P)'!U5442="Yes",
        'Loan Tape (S&amp;P)'!T5442&lt;&gt;"Yes",
        DATEDIF('Loan Tape (S&amp;P)'!K5442, TODAY(), "M")&lt;18),
    1.10,
    1.00)</f>
        <v/>
      </c>
      <c r="O5442">
        <f>IF('Loan Tape (S&amp;P)'!T5442="Yes",
    1.35,
    1.00)</f>
        <v/>
      </c>
      <c r="P5442">
        <f>IF('Loan Tape (S&amp;P)'!S5442="Yes",
    1.15,
    1.00)</f>
        <v/>
      </c>
      <c r="Q5442">
        <f>IF('Loan Tape (S&amp;P)'!V5442="Yes",
    1.20,
    1.00)</f>
        <v/>
      </c>
      <c r="T5442">
        <f>LET(
    payment_method,'Loan Tape (S&amp;P)'!P5442,
    occupancy,'Loan Tape (S&amp;P)'!N5442,
    maturity_date,'Loan Tape (S&amp;P)'!L5442,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43">
      <c r="J5443">
        <f>LET(
    lien,'Loan Tape (S&amp;P)'!Q5443,
    IF(lien="First",1.00,
        IF(lien="Second",1.50,
            1.70)))</f>
        <v/>
      </c>
      <c r="K5443">
        <f>LET(
    purpose,'Loan Tape (S&amp;P)'!R5443,
    IF(purpose="Purchase",1.00,
        IF(purpose="Remortgage",1.00,
            1.20)))</f>
        <v/>
      </c>
      <c r="L5443">
        <f>LET(
    arrears_months,'Loan Tape (S&amp;P)'!AN5443,
    IF(arrears_months=0,1.00,
    IF(arrears_months=1,3.00,
    IF(arrears_months=2,5.00,
    IF(arrears_months=3,8.00,
    IF(arrears_months=4,10.00,
    IF(arrears_months=5,12.00,15.00)))))))</f>
        <v/>
      </c>
      <c r="M5443">
        <f>LET(
    seasoning_years,DATEDIF('Loan Tape (S&amp;P)'!K5443,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43">
        <f>IF(AND('Loan Tape (S&amp;P)'!U5443="Yes",
        'Loan Tape (S&amp;P)'!T5443&lt;&gt;"Yes",
        DATEDIF('Loan Tape (S&amp;P)'!K5443, TODAY(), "M")&lt;18),
    1.10,
    1.00)</f>
        <v/>
      </c>
      <c r="O5443">
        <f>IF('Loan Tape (S&amp;P)'!T5443="Yes",
    1.35,
    1.00)</f>
        <v/>
      </c>
      <c r="P5443">
        <f>IF('Loan Tape (S&amp;P)'!S5443="Yes",
    1.15,
    1.00)</f>
        <v/>
      </c>
      <c r="Q5443">
        <f>IF('Loan Tape (S&amp;P)'!V5443="Yes",
    1.20,
    1.00)</f>
        <v/>
      </c>
      <c r="T5443">
        <f>LET(
    payment_method,'Loan Tape (S&amp;P)'!P5443,
    occupancy,'Loan Tape (S&amp;P)'!N5443,
    maturity_date,'Loan Tape (S&amp;P)'!L5443,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44">
      <c r="J5444">
        <f>LET(
    lien,'Loan Tape (S&amp;P)'!Q5444,
    IF(lien="First",1.00,
        IF(lien="Second",1.50,
            1.70)))</f>
        <v/>
      </c>
      <c r="K5444">
        <f>LET(
    purpose,'Loan Tape (S&amp;P)'!R5444,
    IF(purpose="Purchase",1.00,
        IF(purpose="Remortgage",1.00,
            1.20)))</f>
        <v/>
      </c>
      <c r="L5444">
        <f>LET(
    arrears_months,'Loan Tape (S&amp;P)'!AN5444,
    IF(arrears_months=0,1.00,
    IF(arrears_months=1,3.00,
    IF(arrears_months=2,5.00,
    IF(arrears_months=3,8.00,
    IF(arrears_months=4,10.00,
    IF(arrears_months=5,12.00,15.00)))))))</f>
        <v/>
      </c>
      <c r="M5444">
        <f>LET(
    seasoning_years,DATEDIF('Loan Tape (S&amp;P)'!K5444,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44">
        <f>IF(AND('Loan Tape (S&amp;P)'!U5444="Yes",
        'Loan Tape (S&amp;P)'!T5444&lt;&gt;"Yes",
        DATEDIF('Loan Tape (S&amp;P)'!K5444, TODAY(), "M")&lt;18),
    1.10,
    1.00)</f>
        <v/>
      </c>
      <c r="O5444">
        <f>IF('Loan Tape (S&amp;P)'!T5444="Yes",
    1.35,
    1.00)</f>
        <v/>
      </c>
      <c r="P5444">
        <f>IF('Loan Tape (S&amp;P)'!S5444="Yes",
    1.15,
    1.00)</f>
        <v/>
      </c>
      <c r="Q5444">
        <f>IF('Loan Tape (S&amp;P)'!V5444="Yes",
    1.20,
    1.00)</f>
        <v/>
      </c>
      <c r="T5444">
        <f>LET(
    payment_method,'Loan Tape (S&amp;P)'!P5444,
    occupancy,'Loan Tape (S&amp;P)'!N5444,
    maturity_date,'Loan Tape (S&amp;P)'!L5444,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45">
      <c r="J5445">
        <f>LET(
    lien,'Loan Tape (S&amp;P)'!Q5445,
    IF(lien="First",1.00,
        IF(lien="Second",1.50,
            1.70)))</f>
        <v/>
      </c>
      <c r="K5445">
        <f>LET(
    purpose,'Loan Tape (S&amp;P)'!R5445,
    IF(purpose="Purchase",1.00,
        IF(purpose="Remortgage",1.00,
            1.20)))</f>
        <v/>
      </c>
      <c r="L5445">
        <f>LET(
    arrears_months,'Loan Tape (S&amp;P)'!AN5445,
    IF(arrears_months=0,1.00,
    IF(arrears_months=1,3.00,
    IF(arrears_months=2,5.00,
    IF(arrears_months=3,8.00,
    IF(arrears_months=4,10.00,
    IF(arrears_months=5,12.00,15.00)))))))</f>
        <v/>
      </c>
      <c r="M5445">
        <f>LET(
    seasoning_years,DATEDIF('Loan Tape (S&amp;P)'!K5445,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45">
        <f>IF(AND('Loan Tape (S&amp;P)'!U5445="Yes",
        'Loan Tape (S&amp;P)'!T5445&lt;&gt;"Yes",
        DATEDIF('Loan Tape (S&amp;P)'!K5445, TODAY(), "M")&lt;18),
    1.10,
    1.00)</f>
        <v/>
      </c>
      <c r="O5445">
        <f>IF('Loan Tape (S&amp;P)'!T5445="Yes",
    1.35,
    1.00)</f>
        <v/>
      </c>
      <c r="P5445">
        <f>IF('Loan Tape (S&amp;P)'!S5445="Yes",
    1.15,
    1.00)</f>
        <v/>
      </c>
      <c r="Q5445">
        <f>IF('Loan Tape (S&amp;P)'!V5445="Yes",
    1.20,
    1.00)</f>
        <v/>
      </c>
      <c r="T5445">
        <f>LET(
    payment_method,'Loan Tape (S&amp;P)'!P5445,
    occupancy,'Loan Tape (S&amp;P)'!N5445,
    maturity_date,'Loan Tape (S&amp;P)'!L5445,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46">
      <c r="J5446">
        <f>LET(
    lien,'Loan Tape (S&amp;P)'!Q5446,
    IF(lien="First",1.00,
        IF(lien="Second",1.50,
            1.70)))</f>
        <v/>
      </c>
      <c r="K5446">
        <f>LET(
    purpose,'Loan Tape (S&amp;P)'!R5446,
    IF(purpose="Purchase",1.00,
        IF(purpose="Remortgage",1.00,
            1.20)))</f>
        <v/>
      </c>
      <c r="L5446">
        <f>LET(
    arrears_months,'Loan Tape (S&amp;P)'!AN5446,
    IF(arrears_months=0,1.00,
    IF(arrears_months=1,3.00,
    IF(arrears_months=2,5.00,
    IF(arrears_months=3,8.00,
    IF(arrears_months=4,10.00,
    IF(arrears_months=5,12.00,15.00)))))))</f>
        <v/>
      </c>
      <c r="M5446">
        <f>LET(
    seasoning_years,DATEDIF('Loan Tape (S&amp;P)'!K5446,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46">
        <f>IF(AND('Loan Tape (S&amp;P)'!U5446="Yes",
        'Loan Tape (S&amp;P)'!T5446&lt;&gt;"Yes",
        DATEDIF('Loan Tape (S&amp;P)'!K5446, TODAY(), "M")&lt;18),
    1.10,
    1.00)</f>
        <v/>
      </c>
      <c r="O5446">
        <f>IF('Loan Tape (S&amp;P)'!T5446="Yes",
    1.35,
    1.00)</f>
        <v/>
      </c>
      <c r="P5446">
        <f>IF('Loan Tape (S&amp;P)'!S5446="Yes",
    1.15,
    1.00)</f>
        <v/>
      </c>
      <c r="Q5446">
        <f>IF('Loan Tape (S&amp;P)'!V5446="Yes",
    1.20,
    1.00)</f>
        <v/>
      </c>
      <c r="T5446">
        <f>LET(
    payment_method,'Loan Tape (S&amp;P)'!P5446,
    occupancy,'Loan Tape (S&amp;P)'!N5446,
    maturity_date,'Loan Tape (S&amp;P)'!L5446,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47">
      <c r="J5447">
        <f>LET(
    lien,'Loan Tape (S&amp;P)'!Q5447,
    IF(lien="First",1.00,
        IF(lien="Second",1.50,
            1.70)))</f>
        <v/>
      </c>
      <c r="K5447">
        <f>LET(
    purpose,'Loan Tape (S&amp;P)'!R5447,
    IF(purpose="Purchase",1.00,
        IF(purpose="Remortgage",1.00,
            1.20)))</f>
        <v/>
      </c>
      <c r="L5447">
        <f>LET(
    arrears_months,'Loan Tape (S&amp;P)'!AN5447,
    IF(arrears_months=0,1.00,
    IF(arrears_months=1,3.00,
    IF(arrears_months=2,5.00,
    IF(arrears_months=3,8.00,
    IF(arrears_months=4,10.00,
    IF(arrears_months=5,12.00,15.00)))))))</f>
        <v/>
      </c>
      <c r="M5447">
        <f>LET(
    seasoning_years,DATEDIF('Loan Tape (S&amp;P)'!K5447,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47">
        <f>IF(AND('Loan Tape (S&amp;P)'!U5447="Yes",
        'Loan Tape (S&amp;P)'!T5447&lt;&gt;"Yes",
        DATEDIF('Loan Tape (S&amp;P)'!K5447, TODAY(), "M")&lt;18),
    1.10,
    1.00)</f>
        <v/>
      </c>
      <c r="O5447">
        <f>IF('Loan Tape (S&amp;P)'!T5447="Yes",
    1.35,
    1.00)</f>
        <v/>
      </c>
      <c r="P5447">
        <f>IF('Loan Tape (S&amp;P)'!S5447="Yes",
    1.15,
    1.00)</f>
        <v/>
      </c>
      <c r="Q5447">
        <f>IF('Loan Tape (S&amp;P)'!V5447="Yes",
    1.20,
    1.00)</f>
        <v/>
      </c>
      <c r="T5447">
        <f>LET(
    payment_method,'Loan Tape (S&amp;P)'!P5447,
    occupancy,'Loan Tape (S&amp;P)'!N5447,
    maturity_date,'Loan Tape (S&amp;P)'!L5447,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48">
      <c r="J5448">
        <f>LET(
    lien,'Loan Tape (S&amp;P)'!Q5448,
    IF(lien="First",1.00,
        IF(lien="Second",1.50,
            1.70)))</f>
        <v/>
      </c>
      <c r="K5448">
        <f>LET(
    purpose,'Loan Tape (S&amp;P)'!R5448,
    IF(purpose="Purchase",1.00,
        IF(purpose="Remortgage",1.00,
            1.20)))</f>
        <v/>
      </c>
      <c r="L5448">
        <f>LET(
    arrears_months,'Loan Tape (S&amp;P)'!AN5448,
    IF(arrears_months=0,1.00,
    IF(arrears_months=1,3.00,
    IF(arrears_months=2,5.00,
    IF(arrears_months=3,8.00,
    IF(arrears_months=4,10.00,
    IF(arrears_months=5,12.00,15.00)))))))</f>
        <v/>
      </c>
      <c r="M5448">
        <f>LET(
    seasoning_years,DATEDIF('Loan Tape (S&amp;P)'!K5448,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48">
        <f>IF(AND('Loan Tape (S&amp;P)'!U5448="Yes",
        'Loan Tape (S&amp;P)'!T5448&lt;&gt;"Yes",
        DATEDIF('Loan Tape (S&amp;P)'!K5448, TODAY(), "M")&lt;18),
    1.10,
    1.00)</f>
        <v/>
      </c>
      <c r="O5448">
        <f>IF('Loan Tape (S&amp;P)'!T5448="Yes",
    1.35,
    1.00)</f>
        <v/>
      </c>
      <c r="P5448">
        <f>IF('Loan Tape (S&amp;P)'!S5448="Yes",
    1.15,
    1.00)</f>
        <v/>
      </c>
      <c r="Q5448">
        <f>IF('Loan Tape (S&amp;P)'!V5448="Yes",
    1.20,
    1.00)</f>
        <v/>
      </c>
      <c r="T5448">
        <f>LET(
    payment_method,'Loan Tape (S&amp;P)'!P5448,
    occupancy,'Loan Tape (S&amp;P)'!N5448,
    maturity_date,'Loan Tape (S&amp;P)'!L5448,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49">
      <c r="J5449">
        <f>LET(
    lien,'Loan Tape (S&amp;P)'!Q5449,
    IF(lien="First",1.00,
        IF(lien="Second",1.50,
            1.70)))</f>
        <v/>
      </c>
      <c r="K5449">
        <f>LET(
    purpose,'Loan Tape (S&amp;P)'!R5449,
    IF(purpose="Purchase",1.00,
        IF(purpose="Remortgage",1.00,
            1.20)))</f>
        <v/>
      </c>
      <c r="L5449">
        <f>LET(
    arrears_months,'Loan Tape (S&amp;P)'!AN5449,
    IF(arrears_months=0,1.00,
    IF(arrears_months=1,3.00,
    IF(arrears_months=2,5.00,
    IF(arrears_months=3,8.00,
    IF(arrears_months=4,10.00,
    IF(arrears_months=5,12.00,15.00)))))))</f>
        <v/>
      </c>
      <c r="M5449">
        <f>LET(
    seasoning_years,DATEDIF('Loan Tape (S&amp;P)'!K5449,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49">
        <f>IF(AND('Loan Tape (S&amp;P)'!U5449="Yes",
        'Loan Tape (S&amp;P)'!T5449&lt;&gt;"Yes",
        DATEDIF('Loan Tape (S&amp;P)'!K5449, TODAY(), "M")&lt;18),
    1.10,
    1.00)</f>
        <v/>
      </c>
      <c r="O5449">
        <f>IF('Loan Tape (S&amp;P)'!T5449="Yes",
    1.35,
    1.00)</f>
        <v/>
      </c>
      <c r="P5449">
        <f>IF('Loan Tape (S&amp;P)'!S5449="Yes",
    1.15,
    1.00)</f>
        <v/>
      </c>
      <c r="Q5449">
        <f>IF('Loan Tape (S&amp;P)'!V5449="Yes",
    1.20,
    1.00)</f>
        <v/>
      </c>
      <c r="T5449">
        <f>LET(
    payment_method,'Loan Tape (S&amp;P)'!P5449,
    occupancy,'Loan Tape (S&amp;P)'!N5449,
    maturity_date,'Loan Tape (S&amp;P)'!L5449,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50">
      <c r="J5450">
        <f>LET(
    lien,'Loan Tape (S&amp;P)'!Q5450,
    IF(lien="First",1.00,
        IF(lien="Second",1.50,
            1.70)))</f>
        <v/>
      </c>
      <c r="K5450">
        <f>LET(
    purpose,'Loan Tape (S&amp;P)'!R5450,
    IF(purpose="Purchase",1.00,
        IF(purpose="Remortgage",1.00,
            1.20)))</f>
        <v/>
      </c>
      <c r="L5450">
        <f>LET(
    arrears_months,'Loan Tape (S&amp;P)'!AN5450,
    IF(arrears_months=0,1.00,
    IF(arrears_months=1,3.00,
    IF(arrears_months=2,5.00,
    IF(arrears_months=3,8.00,
    IF(arrears_months=4,10.00,
    IF(arrears_months=5,12.00,15.00)))))))</f>
        <v/>
      </c>
      <c r="M5450">
        <f>LET(
    seasoning_years,DATEDIF('Loan Tape (S&amp;P)'!K5450,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50">
        <f>IF(AND('Loan Tape (S&amp;P)'!U5450="Yes",
        'Loan Tape (S&amp;P)'!T5450&lt;&gt;"Yes",
        DATEDIF('Loan Tape (S&amp;P)'!K5450, TODAY(), "M")&lt;18),
    1.10,
    1.00)</f>
        <v/>
      </c>
      <c r="O5450">
        <f>IF('Loan Tape (S&amp;P)'!T5450="Yes",
    1.35,
    1.00)</f>
        <v/>
      </c>
      <c r="P5450">
        <f>IF('Loan Tape (S&amp;P)'!S5450="Yes",
    1.15,
    1.00)</f>
        <v/>
      </c>
      <c r="Q5450">
        <f>IF('Loan Tape (S&amp;P)'!V5450="Yes",
    1.20,
    1.00)</f>
        <v/>
      </c>
      <c r="T5450">
        <f>LET(
    payment_method,'Loan Tape (S&amp;P)'!P5450,
    occupancy,'Loan Tape (S&amp;P)'!N5450,
    maturity_date,'Loan Tape (S&amp;P)'!L5450,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51">
      <c r="J5451">
        <f>LET(
    lien,'Loan Tape (S&amp;P)'!Q5451,
    IF(lien="First",1.00,
        IF(lien="Second",1.50,
            1.70)))</f>
        <v/>
      </c>
      <c r="K5451">
        <f>LET(
    purpose,'Loan Tape (S&amp;P)'!R5451,
    IF(purpose="Purchase",1.00,
        IF(purpose="Remortgage",1.00,
            1.20)))</f>
        <v/>
      </c>
      <c r="L5451">
        <f>LET(
    arrears_months,'Loan Tape (S&amp;P)'!AN5451,
    IF(arrears_months=0,1.00,
    IF(arrears_months=1,3.00,
    IF(arrears_months=2,5.00,
    IF(arrears_months=3,8.00,
    IF(arrears_months=4,10.00,
    IF(arrears_months=5,12.00,15.00)))))))</f>
        <v/>
      </c>
      <c r="M5451">
        <f>LET(
    seasoning_years,DATEDIF('Loan Tape (S&amp;P)'!K5451,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51">
        <f>IF(AND('Loan Tape (S&amp;P)'!U5451="Yes",
        'Loan Tape (S&amp;P)'!T5451&lt;&gt;"Yes",
        DATEDIF('Loan Tape (S&amp;P)'!K5451, TODAY(), "M")&lt;18),
    1.10,
    1.00)</f>
        <v/>
      </c>
      <c r="O5451">
        <f>IF('Loan Tape (S&amp;P)'!T5451="Yes",
    1.35,
    1.00)</f>
        <v/>
      </c>
      <c r="P5451">
        <f>IF('Loan Tape (S&amp;P)'!S5451="Yes",
    1.15,
    1.00)</f>
        <v/>
      </c>
      <c r="Q5451">
        <f>IF('Loan Tape (S&amp;P)'!V5451="Yes",
    1.20,
    1.00)</f>
        <v/>
      </c>
      <c r="T5451">
        <f>LET(
    payment_method,'Loan Tape (S&amp;P)'!P5451,
    occupancy,'Loan Tape (S&amp;P)'!N5451,
    maturity_date,'Loan Tape (S&amp;P)'!L5451,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52">
      <c r="J5452">
        <f>LET(
    lien,'Loan Tape (S&amp;P)'!Q5452,
    IF(lien="First",1.00,
        IF(lien="Second",1.50,
            1.70)))</f>
        <v/>
      </c>
      <c r="K5452">
        <f>LET(
    purpose,'Loan Tape (S&amp;P)'!R5452,
    IF(purpose="Purchase",1.00,
        IF(purpose="Remortgage",1.00,
            1.20)))</f>
        <v/>
      </c>
      <c r="L5452">
        <f>LET(
    arrears_months,'Loan Tape (S&amp;P)'!AN5452,
    IF(arrears_months=0,1.00,
    IF(arrears_months=1,3.00,
    IF(arrears_months=2,5.00,
    IF(arrears_months=3,8.00,
    IF(arrears_months=4,10.00,
    IF(arrears_months=5,12.00,15.00)))))))</f>
        <v/>
      </c>
      <c r="M5452">
        <f>LET(
    seasoning_years,DATEDIF('Loan Tape (S&amp;P)'!K5452,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52">
        <f>IF(AND('Loan Tape (S&amp;P)'!U5452="Yes",
        'Loan Tape (S&amp;P)'!T5452&lt;&gt;"Yes",
        DATEDIF('Loan Tape (S&amp;P)'!K5452, TODAY(), "M")&lt;18),
    1.10,
    1.00)</f>
        <v/>
      </c>
      <c r="O5452">
        <f>IF('Loan Tape (S&amp;P)'!T5452="Yes",
    1.35,
    1.00)</f>
        <v/>
      </c>
      <c r="P5452">
        <f>IF('Loan Tape (S&amp;P)'!S5452="Yes",
    1.15,
    1.00)</f>
        <v/>
      </c>
      <c r="Q5452">
        <f>IF('Loan Tape (S&amp;P)'!V5452="Yes",
    1.20,
    1.00)</f>
        <v/>
      </c>
      <c r="T5452">
        <f>LET(
    payment_method,'Loan Tape (S&amp;P)'!P5452,
    occupancy,'Loan Tape (S&amp;P)'!N5452,
    maturity_date,'Loan Tape (S&amp;P)'!L5452,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53">
      <c r="J5453">
        <f>LET(
    lien,'Loan Tape (S&amp;P)'!Q5453,
    IF(lien="First",1.00,
        IF(lien="Second",1.50,
            1.70)))</f>
        <v/>
      </c>
      <c r="K5453">
        <f>LET(
    purpose,'Loan Tape (S&amp;P)'!R5453,
    IF(purpose="Purchase",1.00,
        IF(purpose="Remortgage",1.00,
            1.20)))</f>
        <v/>
      </c>
      <c r="L5453">
        <f>LET(
    arrears_months,'Loan Tape (S&amp;P)'!AN5453,
    IF(arrears_months=0,1.00,
    IF(arrears_months=1,3.00,
    IF(arrears_months=2,5.00,
    IF(arrears_months=3,8.00,
    IF(arrears_months=4,10.00,
    IF(arrears_months=5,12.00,15.00)))))))</f>
        <v/>
      </c>
      <c r="M5453">
        <f>LET(
    seasoning_years,DATEDIF('Loan Tape (S&amp;P)'!K5453,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53">
        <f>IF(AND('Loan Tape (S&amp;P)'!U5453="Yes",
        'Loan Tape (S&amp;P)'!T5453&lt;&gt;"Yes",
        DATEDIF('Loan Tape (S&amp;P)'!K5453, TODAY(), "M")&lt;18),
    1.10,
    1.00)</f>
        <v/>
      </c>
      <c r="O5453">
        <f>IF('Loan Tape (S&amp;P)'!T5453="Yes",
    1.35,
    1.00)</f>
        <v/>
      </c>
      <c r="P5453">
        <f>IF('Loan Tape (S&amp;P)'!S5453="Yes",
    1.15,
    1.00)</f>
        <v/>
      </c>
      <c r="Q5453">
        <f>IF('Loan Tape (S&amp;P)'!V5453="Yes",
    1.20,
    1.00)</f>
        <v/>
      </c>
      <c r="T5453">
        <f>LET(
    payment_method,'Loan Tape (S&amp;P)'!P5453,
    occupancy,'Loan Tape (S&amp;P)'!N5453,
    maturity_date,'Loan Tape (S&amp;P)'!L5453,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54">
      <c r="J5454">
        <f>LET(
    lien,'Loan Tape (S&amp;P)'!Q5454,
    IF(lien="First",1.00,
        IF(lien="Second",1.50,
            1.70)))</f>
        <v/>
      </c>
      <c r="K5454">
        <f>LET(
    purpose,'Loan Tape (S&amp;P)'!R5454,
    IF(purpose="Purchase",1.00,
        IF(purpose="Remortgage",1.00,
            1.20)))</f>
        <v/>
      </c>
      <c r="L5454">
        <f>LET(
    arrears_months,'Loan Tape (S&amp;P)'!AN5454,
    IF(arrears_months=0,1.00,
    IF(arrears_months=1,3.00,
    IF(arrears_months=2,5.00,
    IF(arrears_months=3,8.00,
    IF(arrears_months=4,10.00,
    IF(arrears_months=5,12.00,15.00)))))))</f>
        <v/>
      </c>
      <c r="M5454">
        <f>LET(
    seasoning_years,DATEDIF('Loan Tape (S&amp;P)'!K5454,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54">
        <f>IF(AND('Loan Tape (S&amp;P)'!U5454="Yes",
        'Loan Tape (S&amp;P)'!T5454&lt;&gt;"Yes",
        DATEDIF('Loan Tape (S&amp;P)'!K5454, TODAY(), "M")&lt;18),
    1.10,
    1.00)</f>
        <v/>
      </c>
      <c r="O5454">
        <f>IF('Loan Tape (S&amp;P)'!T5454="Yes",
    1.35,
    1.00)</f>
        <v/>
      </c>
      <c r="P5454">
        <f>IF('Loan Tape (S&amp;P)'!S5454="Yes",
    1.15,
    1.00)</f>
        <v/>
      </c>
      <c r="Q5454">
        <f>IF('Loan Tape (S&amp;P)'!V5454="Yes",
    1.20,
    1.00)</f>
        <v/>
      </c>
      <c r="T5454">
        <f>LET(
    payment_method,'Loan Tape (S&amp;P)'!P5454,
    occupancy,'Loan Tape (S&amp;P)'!N5454,
    maturity_date,'Loan Tape (S&amp;P)'!L5454,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55">
      <c r="J5455">
        <f>LET(
    lien,'Loan Tape (S&amp;P)'!Q5455,
    IF(lien="First",1.00,
        IF(lien="Second",1.50,
            1.70)))</f>
        <v/>
      </c>
      <c r="K5455">
        <f>LET(
    purpose,'Loan Tape (S&amp;P)'!R5455,
    IF(purpose="Purchase",1.00,
        IF(purpose="Remortgage",1.00,
            1.20)))</f>
        <v/>
      </c>
      <c r="L5455">
        <f>LET(
    arrears_months,'Loan Tape (S&amp;P)'!AN5455,
    IF(arrears_months=0,1.00,
    IF(arrears_months=1,3.00,
    IF(arrears_months=2,5.00,
    IF(arrears_months=3,8.00,
    IF(arrears_months=4,10.00,
    IF(arrears_months=5,12.00,15.00)))))))</f>
        <v/>
      </c>
      <c r="M5455">
        <f>LET(
    seasoning_years,DATEDIF('Loan Tape (S&amp;P)'!K5455,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55">
        <f>IF(AND('Loan Tape (S&amp;P)'!U5455="Yes",
        'Loan Tape (S&amp;P)'!T5455&lt;&gt;"Yes",
        DATEDIF('Loan Tape (S&amp;P)'!K5455, TODAY(), "M")&lt;18),
    1.10,
    1.00)</f>
        <v/>
      </c>
      <c r="O5455">
        <f>IF('Loan Tape (S&amp;P)'!T5455="Yes",
    1.35,
    1.00)</f>
        <v/>
      </c>
      <c r="P5455">
        <f>IF('Loan Tape (S&amp;P)'!S5455="Yes",
    1.15,
    1.00)</f>
        <v/>
      </c>
      <c r="Q5455">
        <f>IF('Loan Tape (S&amp;P)'!V5455="Yes",
    1.20,
    1.00)</f>
        <v/>
      </c>
      <c r="T5455">
        <f>LET(
    payment_method,'Loan Tape (S&amp;P)'!P5455,
    occupancy,'Loan Tape (S&amp;P)'!N5455,
    maturity_date,'Loan Tape (S&amp;P)'!L5455,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56">
      <c r="J5456">
        <f>LET(
    lien,'Loan Tape (S&amp;P)'!Q5456,
    IF(lien="First",1.00,
        IF(lien="Second",1.50,
            1.70)))</f>
        <v/>
      </c>
      <c r="K5456">
        <f>LET(
    purpose,'Loan Tape (S&amp;P)'!R5456,
    IF(purpose="Purchase",1.00,
        IF(purpose="Remortgage",1.00,
            1.20)))</f>
        <v/>
      </c>
      <c r="L5456">
        <f>LET(
    arrears_months,'Loan Tape (S&amp;P)'!AN5456,
    IF(arrears_months=0,1.00,
    IF(arrears_months=1,3.00,
    IF(arrears_months=2,5.00,
    IF(arrears_months=3,8.00,
    IF(arrears_months=4,10.00,
    IF(arrears_months=5,12.00,15.00)))))))</f>
        <v/>
      </c>
      <c r="M5456">
        <f>LET(
    seasoning_years,DATEDIF('Loan Tape (S&amp;P)'!K5456,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56">
        <f>IF(AND('Loan Tape (S&amp;P)'!U5456="Yes",
        'Loan Tape (S&amp;P)'!T5456&lt;&gt;"Yes",
        DATEDIF('Loan Tape (S&amp;P)'!K5456, TODAY(), "M")&lt;18),
    1.10,
    1.00)</f>
        <v/>
      </c>
      <c r="O5456">
        <f>IF('Loan Tape (S&amp;P)'!T5456="Yes",
    1.35,
    1.00)</f>
        <v/>
      </c>
      <c r="P5456">
        <f>IF('Loan Tape (S&amp;P)'!S5456="Yes",
    1.15,
    1.00)</f>
        <v/>
      </c>
      <c r="Q5456">
        <f>IF('Loan Tape (S&amp;P)'!V5456="Yes",
    1.20,
    1.00)</f>
        <v/>
      </c>
      <c r="T5456">
        <f>LET(
    payment_method,'Loan Tape (S&amp;P)'!P5456,
    occupancy,'Loan Tape (S&amp;P)'!N5456,
    maturity_date,'Loan Tape (S&amp;P)'!L5456,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57">
      <c r="J5457">
        <f>LET(
    lien,'Loan Tape (S&amp;P)'!Q5457,
    IF(lien="First",1.00,
        IF(lien="Second",1.50,
            1.70)))</f>
        <v/>
      </c>
      <c r="K5457">
        <f>LET(
    purpose,'Loan Tape (S&amp;P)'!R5457,
    IF(purpose="Purchase",1.00,
        IF(purpose="Remortgage",1.00,
            1.20)))</f>
        <v/>
      </c>
      <c r="L5457">
        <f>LET(
    arrears_months,'Loan Tape (S&amp;P)'!AN5457,
    IF(arrears_months=0,1.00,
    IF(arrears_months=1,3.00,
    IF(arrears_months=2,5.00,
    IF(arrears_months=3,8.00,
    IF(arrears_months=4,10.00,
    IF(arrears_months=5,12.00,15.00)))))))</f>
        <v/>
      </c>
      <c r="M5457">
        <f>LET(
    seasoning_years,DATEDIF('Loan Tape (S&amp;P)'!K5457,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57">
        <f>IF(AND('Loan Tape (S&amp;P)'!U5457="Yes",
        'Loan Tape (S&amp;P)'!T5457&lt;&gt;"Yes",
        DATEDIF('Loan Tape (S&amp;P)'!K5457, TODAY(), "M")&lt;18),
    1.10,
    1.00)</f>
        <v/>
      </c>
      <c r="O5457">
        <f>IF('Loan Tape (S&amp;P)'!T5457="Yes",
    1.35,
    1.00)</f>
        <v/>
      </c>
      <c r="P5457">
        <f>IF('Loan Tape (S&amp;P)'!S5457="Yes",
    1.15,
    1.00)</f>
        <v/>
      </c>
      <c r="Q5457">
        <f>IF('Loan Tape (S&amp;P)'!V5457="Yes",
    1.20,
    1.00)</f>
        <v/>
      </c>
      <c r="T5457">
        <f>LET(
    payment_method,'Loan Tape (S&amp;P)'!P5457,
    occupancy,'Loan Tape (S&amp;P)'!N5457,
    maturity_date,'Loan Tape (S&amp;P)'!L5457,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58">
      <c r="J5458">
        <f>LET(
    lien,'Loan Tape (S&amp;P)'!Q5458,
    IF(lien="First",1.00,
        IF(lien="Second",1.50,
            1.70)))</f>
        <v/>
      </c>
      <c r="K5458">
        <f>LET(
    purpose,'Loan Tape (S&amp;P)'!R5458,
    IF(purpose="Purchase",1.00,
        IF(purpose="Remortgage",1.00,
            1.20)))</f>
        <v/>
      </c>
      <c r="L5458">
        <f>LET(
    arrears_months,'Loan Tape (S&amp;P)'!AN5458,
    IF(arrears_months=0,1.00,
    IF(arrears_months=1,3.00,
    IF(arrears_months=2,5.00,
    IF(arrears_months=3,8.00,
    IF(arrears_months=4,10.00,
    IF(arrears_months=5,12.00,15.00)))))))</f>
        <v/>
      </c>
      <c r="M5458">
        <f>LET(
    seasoning_years,DATEDIF('Loan Tape (S&amp;P)'!K5458,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58">
        <f>IF(AND('Loan Tape (S&amp;P)'!U5458="Yes",
        'Loan Tape (S&amp;P)'!T5458&lt;&gt;"Yes",
        DATEDIF('Loan Tape (S&amp;P)'!K5458, TODAY(), "M")&lt;18),
    1.10,
    1.00)</f>
        <v/>
      </c>
      <c r="O5458">
        <f>IF('Loan Tape (S&amp;P)'!T5458="Yes",
    1.35,
    1.00)</f>
        <v/>
      </c>
      <c r="P5458">
        <f>IF('Loan Tape (S&amp;P)'!S5458="Yes",
    1.15,
    1.00)</f>
        <v/>
      </c>
      <c r="Q5458">
        <f>IF('Loan Tape (S&amp;P)'!V5458="Yes",
    1.20,
    1.00)</f>
        <v/>
      </c>
      <c r="T5458">
        <f>LET(
    payment_method,'Loan Tape (S&amp;P)'!P5458,
    occupancy,'Loan Tape (S&amp;P)'!N5458,
    maturity_date,'Loan Tape (S&amp;P)'!L5458,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59">
      <c r="J5459">
        <f>LET(
    lien,'Loan Tape (S&amp;P)'!Q5459,
    IF(lien="First",1.00,
        IF(lien="Second",1.50,
            1.70)))</f>
        <v/>
      </c>
      <c r="K5459">
        <f>LET(
    purpose,'Loan Tape (S&amp;P)'!R5459,
    IF(purpose="Purchase",1.00,
        IF(purpose="Remortgage",1.00,
            1.20)))</f>
        <v/>
      </c>
      <c r="L5459">
        <f>LET(
    arrears_months,'Loan Tape (S&amp;P)'!AN5459,
    IF(arrears_months=0,1.00,
    IF(arrears_months=1,3.00,
    IF(arrears_months=2,5.00,
    IF(arrears_months=3,8.00,
    IF(arrears_months=4,10.00,
    IF(arrears_months=5,12.00,15.00)))))))</f>
        <v/>
      </c>
      <c r="M5459">
        <f>LET(
    seasoning_years,DATEDIF('Loan Tape (S&amp;P)'!K5459,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59">
        <f>IF(AND('Loan Tape (S&amp;P)'!U5459="Yes",
        'Loan Tape (S&amp;P)'!T5459&lt;&gt;"Yes",
        DATEDIF('Loan Tape (S&amp;P)'!K5459, TODAY(), "M")&lt;18),
    1.10,
    1.00)</f>
        <v/>
      </c>
      <c r="O5459">
        <f>IF('Loan Tape (S&amp;P)'!T5459="Yes",
    1.35,
    1.00)</f>
        <v/>
      </c>
      <c r="P5459">
        <f>IF('Loan Tape (S&amp;P)'!S5459="Yes",
    1.15,
    1.00)</f>
        <v/>
      </c>
      <c r="Q5459">
        <f>IF('Loan Tape (S&amp;P)'!V5459="Yes",
    1.20,
    1.00)</f>
        <v/>
      </c>
      <c r="T5459">
        <f>LET(
    payment_method,'Loan Tape (S&amp;P)'!P5459,
    occupancy,'Loan Tape (S&amp;P)'!N5459,
    maturity_date,'Loan Tape (S&amp;P)'!L5459,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60">
      <c r="J5460">
        <f>LET(
    lien,'Loan Tape (S&amp;P)'!Q5460,
    IF(lien="First",1.00,
        IF(lien="Second",1.50,
            1.70)))</f>
        <v/>
      </c>
      <c r="K5460">
        <f>LET(
    purpose,'Loan Tape (S&amp;P)'!R5460,
    IF(purpose="Purchase",1.00,
        IF(purpose="Remortgage",1.00,
            1.20)))</f>
        <v/>
      </c>
      <c r="L5460">
        <f>LET(
    arrears_months,'Loan Tape (S&amp;P)'!AN5460,
    IF(arrears_months=0,1.00,
    IF(arrears_months=1,3.00,
    IF(arrears_months=2,5.00,
    IF(arrears_months=3,8.00,
    IF(arrears_months=4,10.00,
    IF(arrears_months=5,12.00,15.00)))))))</f>
        <v/>
      </c>
      <c r="M5460">
        <f>LET(
    seasoning_years,DATEDIF('Loan Tape (S&amp;P)'!K5460,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60">
        <f>IF(AND('Loan Tape (S&amp;P)'!U5460="Yes",
        'Loan Tape (S&amp;P)'!T5460&lt;&gt;"Yes",
        DATEDIF('Loan Tape (S&amp;P)'!K5460, TODAY(), "M")&lt;18),
    1.10,
    1.00)</f>
        <v/>
      </c>
      <c r="O5460">
        <f>IF('Loan Tape (S&amp;P)'!T5460="Yes",
    1.35,
    1.00)</f>
        <v/>
      </c>
      <c r="P5460">
        <f>IF('Loan Tape (S&amp;P)'!S5460="Yes",
    1.15,
    1.00)</f>
        <v/>
      </c>
      <c r="Q5460">
        <f>IF('Loan Tape (S&amp;P)'!V5460="Yes",
    1.20,
    1.00)</f>
        <v/>
      </c>
      <c r="T5460">
        <f>LET(
    payment_method,'Loan Tape (S&amp;P)'!P5460,
    occupancy,'Loan Tape (S&amp;P)'!N5460,
    maturity_date,'Loan Tape (S&amp;P)'!L5460,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61">
      <c r="J5461">
        <f>LET(
    lien,'Loan Tape (S&amp;P)'!Q5461,
    IF(lien="First",1.00,
        IF(lien="Second",1.50,
            1.70)))</f>
        <v/>
      </c>
      <c r="K5461">
        <f>LET(
    purpose,'Loan Tape (S&amp;P)'!R5461,
    IF(purpose="Purchase",1.00,
        IF(purpose="Remortgage",1.00,
            1.20)))</f>
        <v/>
      </c>
      <c r="L5461">
        <f>LET(
    arrears_months,'Loan Tape (S&amp;P)'!AN5461,
    IF(arrears_months=0,1.00,
    IF(arrears_months=1,3.00,
    IF(arrears_months=2,5.00,
    IF(arrears_months=3,8.00,
    IF(arrears_months=4,10.00,
    IF(arrears_months=5,12.00,15.00)))))))</f>
        <v/>
      </c>
      <c r="M5461">
        <f>LET(
    seasoning_years,DATEDIF('Loan Tape (S&amp;P)'!K5461,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61">
        <f>IF(AND('Loan Tape (S&amp;P)'!U5461="Yes",
        'Loan Tape (S&amp;P)'!T5461&lt;&gt;"Yes",
        DATEDIF('Loan Tape (S&amp;P)'!K5461, TODAY(), "M")&lt;18),
    1.10,
    1.00)</f>
        <v/>
      </c>
      <c r="O5461">
        <f>IF('Loan Tape (S&amp;P)'!T5461="Yes",
    1.35,
    1.00)</f>
        <v/>
      </c>
      <c r="P5461">
        <f>IF('Loan Tape (S&amp;P)'!S5461="Yes",
    1.15,
    1.00)</f>
        <v/>
      </c>
      <c r="Q5461">
        <f>IF('Loan Tape (S&amp;P)'!V5461="Yes",
    1.20,
    1.00)</f>
        <v/>
      </c>
      <c r="T5461">
        <f>LET(
    payment_method,'Loan Tape (S&amp;P)'!P5461,
    occupancy,'Loan Tape (S&amp;P)'!N5461,
    maturity_date,'Loan Tape (S&amp;P)'!L5461,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62">
      <c r="J5462">
        <f>LET(
    lien,'Loan Tape (S&amp;P)'!Q5462,
    IF(lien="First",1.00,
        IF(lien="Second",1.50,
            1.70)))</f>
        <v/>
      </c>
      <c r="K5462">
        <f>LET(
    purpose,'Loan Tape (S&amp;P)'!R5462,
    IF(purpose="Purchase",1.00,
        IF(purpose="Remortgage",1.00,
            1.20)))</f>
        <v/>
      </c>
      <c r="L5462">
        <f>LET(
    arrears_months,'Loan Tape (S&amp;P)'!AN5462,
    IF(arrears_months=0,1.00,
    IF(arrears_months=1,3.00,
    IF(arrears_months=2,5.00,
    IF(arrears_months=3,8.00,
    IF(arrears_months=4,10.00,
    IF(arrears_months=5,12.00,15.00)))))))</f>
        <v/>
      </c>
      <c r="M5462">
        <f>LET(
    seasoning_years,DATEDIF('Loan Tape (S&amp;P)'!K5462,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62">
        <f>IF(AND('Loan Tape (S&amp;P)'!U5462="Yes",
        'Loan Tape (S&amp;P)'!T5462&lt;&gt;"Yes",
        DATEDIF('Loan Tape (S&amp;P)'!K5462, TODAY(), "M")&lt;18),
    1.10,
    1.00)</f>
        <v/>
      </c>
      <c r="O5462">
        <f>IF('Loan Tape (S&amp;P)'!T5462="Yes",
    1.35,
    1.00)</f>
        <v/>
      </c>
      <c r="P5462">
        <f>IF('Loan Tape (S&amp;P)'!S5462="Yes",
    1.15,
    1.00)</f>
        <v/>
      </c>
      <c r="Q5462">
        <f>IF('Loan Tape (S&amp;P)'!V5462="Yes",
    1.20,
    1.00)</f>
        <v/>
      </c>
      <c r="T5462">
        <f>LET(
    payment_method,'Loan Tape (S&amp;P)'!P5462,
    occupancy,'Loan Tape (S&amp;P)'!N5462,
    maturity_date,'Loan Tape (S&amp;P)'!L5462,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63">
      <c r="J5463">
        <f>LET(
    lien,'Loan Tape (S&amp;P)'!Q5463,
    IF(lien="First",1.00,
        IF(lien="Second",1.50,
            1.70)))</f>
        <v/>
      </c>
      <c r="K5463">
        <f>LET(
    purpose,'Loan Tape (S&amp;P)'!R5463,
    IF(purpose="Purchase",1.00,
        IF(purpose="Remortgage",1.00,
            1.20)))</f>
        <v/>
      </c>
      <c r="L5463">
        <f>LET(
    arrears_months,'Loan Tape (S&amp;P)'!AN5463,
    IF(arrears_months=0,1.00,
    IF(arrears_months=1,3.00,
    IF(arrears_months=2,5.00,
    IF(arrears_months=3,8.00,
    IF(arrears_months=4,10.00,
    IF(arrears_months=5,12.00,15.00)))))))</f>
        <v/>
      </c>
      <c r="M5463">
        <f>LET(
    seasoning_years,DATEDIF('Loan Tape (S&amp;P)'!K5463,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63">
        <f>IF(AND('Loan Tape (S&amp;P)'!U5463="Yes",
        'Loan Tape (S&amp;P)'!T5463&lt;&gt;"Yes",
        DATEDIF('Loan Tape (S&amp;P)'!K5463, TODAY(), "M")&lt;18),
    1.10,
    1.00)</f>
        <v/>
      </c>
      <c r="O5463">
        <f>IF('Loan Tape (S&amp;P)'!T5463="Yes",
    1.35,
    1.00)</f>
        <v/>
      </c>
      <c r="P5463">
        <f>IF('Loan Tape (S&amp;P)'!S5463="Yes",
    1.15,
    1.00)</f>
        <v/>
      </c>
      <c r="Q5463">
        <f>IF('Loan Tape (S&amp;P)'!V5463="Yes",
    1.20,
    1.00)</f>
        <v/>
      </c>
      <c r="T5463">
        <f>LET(
    payment_method,'Loan Tape (S&amp;P)'!P5463,
    occupancy,'Loan Tape (S&amp;P)'!N5463,
    maturity_date,'Loan Tape (S&amp;P)'!L5463,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64">
      <c r="J5464">
        <f>LET(
    lien,'Loan Tape (S&amp;P)'!Q5464,
    IF(lien="First",1.00,
        IF(lien="Second",1.50,
            1.70)))</f>
        <v/>
      </c>
      <c r="K5464">
        <f>LET(
    purpose,'Loan Tape (S&amp;P)'!R5464,
    IF(purpose="Purchase",1.00,
        IF(purpose="Remortgage",1.00,
            1.20)))</f>
        <v/>
      </c>
      <c r="L5464">
        <f>LET(
    arrears_months,'Loan Tape (S&amp;P)'!AN5464,
    IF(arrears_months=0,1.00,
    IF(arrears_months=1,3.00,
    IF(arrears_months=2,5.00,
    IF(arrears_months=3,8.00,
    IF(arrears_months=4,10.00,
    IF(arrears_months=5,12.00,15.00)))))))</f>
        <v/>
      </c>
      <c r="M5464">
        <f>LET(
    seasoning_years,DATEDIF('Loan Tape (S&amp;P)'!K5464,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64">
        <f>IF(AND('Loan Tape (S&amp;P)'!U5464="Yes",
        'Loan Tape (S&amp;P)'!T5464&lt;&gt;"Yes",
        DATEDIF('Loan Tape (S&amp;P)'!K5464, TODAY(), "M")&lt;18),
    1.10,
    1.00)</f>
        <v/>
      </c>
      <c r="O5464">
        <f>IF('Loan Tape (S&amp;P)'!T5464="Yes",
    1.35,
    1.00)</f>
        <v/>
      </c>
      <c r="P5464">
        <f>IF('Loan Tape (S&amp;P)'!S5464="Yes",
    1.15,
    1.00)</f>
        <v/>
      </c>
      <c r="Q5464">
        <f>IF('Loan Tape (S&amp;P)'!V5464="Yes",
    1.20,
    1.00)</f>
        <v/>
      </c>
      <c r="T5464">
        <f>LET(
    payment_method,'Loan Tape (S&amp;P)'!P5464,
    occupancy,'Loan Tape (S&amp;P)'!N5464,
    maturity_date,'Loan Tape (S&amp;P)'!L5464,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65">
      <c r="J5465">
        <f>LET(
    lien,'Loan Tape (S&amp;P)'!Q5465,
    IF(lien="First",1.00,
        IF(lien="Second",1.50,
            1.70)))</f>
        <v/>
      </c>
      <c r="K5465">
        <f>LET(
    purpose,'Loan Tape (S&amp;P)'!R5465,
    IF(purpose="Purchase",1.00,
        IF(purpose="Remortgage",1.00,
            1.20)))</f>
        <v/>
      </c>
      <c r="L5465">
        <f>LET(
    arrears_months,'Loan Tape (S&amp;P)'!AN5465,
    IF(arrears_months=0,1.00,
    IF(arrears_months=1,3.00,
    IF(arrears_months=2,5.00,
    IF(arrears_months=3,8.00,
    IF(arrears_months=4,10.00,
    IF(arrears_months=5,12.00,15.00)))))))</f>
        <v/>
      </c>
      <c r="M5465">
        <f>LET(
    seasoning_years,DATEDIF('Loan Tape (S&amp;P)'!K5465,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65">
        <f>IF(AND('Loan Tape (S&amp;P)'!U5465="Yes",
        'Loan Tape (S&amp;P)'!T5465&lt;&gt;"Yes",
        DATEDIF('Loan Tape (S&amp;P)'!K5465, TODAY(), "M")&lt;18),
    1.10,
    1.00)</f>
        <v/>
      </c>
      <c r="O5465">
        <f>IF('Loan Tape (S&amp;P)'!T5465="Yes",
    1.35,
    1.00)</f>
        <v/>
      </c>
      <c r="P5465">
        <f>IF('Loan Tape (S&amp;P)'!S5465="Yes",
    1.15,
    1.00)</f>
        <v/>
      </c>
      <c r="Q5465">
        <f>IF('Loan Tape (S&amp;P)'!V5465="Yes",
    1.20,
    1.00)</f>
        <v/>
      </c>
      <c r="T5465">
        <f>LET(
    payment_method,'Loan Tape (S&amp;P)'!P5465,
    occupancy,'Loan Tape (S&amp;P)'!N5465,
    maturity_date,'Loan Tape (S&amp;P)'!L5465,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66">
      <c r="J5466">
        <f>LET(
    lien,'Loan Tape (S&amp;P)'!Q5466,
    IF(lien="First",1.00,
        IF(lien="Second",1.50,
            1.70)))</f>
        <v/>
      </c>
      <c r="K5466">
        <f>LET(
    purpose,'Loan Tape (S&amp;P)'!R5466,
    IF(purpose="Purchase",1.00,
        IF(purpose="Remortgage",1.00,
            1.20)))</f>
        <v/>
      </c>
      <c r="L5466">
        <f>LET(
    arrears_months,'Loan Tape (S&amp;P)'!AN5466,
    IF(arrears_months=0,1.00,
    IF(arrears_months=1,3.00,
    IF(arrears_months=2,5.00,
    IF(arrears_months=3,8.00,
    IF(arrears_months=4,10.00,
    IF(arrears_months=5,12.00,15.00)))))))</f>
        <v/>
      </c>
      <c r="M5466">
        <f>LET(
    seasoning_years,DATEDIF('Loan Tape (S&amp;P)'!K5466,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66">
        <f>IF(AND('Loan Tape (S&amp;P)'!U5466="Yes",
        'Loan Tape (S&amp;P)'!T5466&lt;&gt;"Yes",
        DATEDIF('Loan Tape (S&amp;P)'!K5466, TODAY(), "M")&lt;18),
    1.10,
    1.00)</f>
        <v/>
      </c>
      <c r="O5466">
        <f>IF('Loan Tape (S&amp;P)'!T5466="Yes",
    1.35,
    1.00)</f>
        <v/>
      </c>
      <c r="P5466">
        <f>IF('Loan Tape (S&amp;P)'!S5466="Yes",
    1.15,
    1.00)</f>
        <v/>
      </c>
      <c r="Q5466">
        <f>IF('Loan Tape (S&amp;P)'!V5466="Yes",
    1.20,
    1.00)</f>
        <v/>
      </c>
      <c r="T5466">
        <f>LET(
    payment_method,'Loan Tape (S&amp;P)'!P5466,
    occupancy,'Loan Tape (S&amp;P)'!N5466,
    maturity_date,'Loan Tape (S&amp;P)'!L5466,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67">
      <c r="J5467">
        <f>LET(
    lien,'Loan Tape (S&amp;P)'!Q5467,
    IF(lien="First",1.00,
        IF(lien="Second",1.50,
            1.70)))</f>
        <v/>
      </c>
      <c r="K5467">
        <f>LET(
    purpose,'Loan Tape (S&amp;P)'!R5467,
    IF(purpose="Purchase",1.00,
        IF(purpose="Remortgage",1.00,
            1.20)))</f>
        <v/>
      </c>
      <c r="L5467">
        <f>LET(
    arrears_months,'Loan Tape (S&amp;P)'!AN5467,
    IF(arrears_months=0,1.00,
    IF(arrears_months=1,3.00,
    IF(arrears_months=2,5.00,
    IF(arrears_months=3,8.00,
    IF(arrears_months=4,10.00,
    IF(arrears_months=5,12.00,15.00)))))))</f>
        <v/>
      </c>
      <c r="M5467">
        <f>LET(
    seasoning_years,DATEDIF('Loan Tape (S&amp;P)'!K5467,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67">
        <f>IF(AND('Loan Tape (S&amp;P)'!U5467="Yes",
        'Loan Tape (S&amp;P)'!T5467&lt;&gt;"Yes",
        DATEDIF('Loan Tape (S&amp;P)'!K5467, TODAY(), "M")&lt;18),
    1.10,
    1.00)</f>
        <v/>
      </c>
      <c r="O5467">
        <f>IF('Loan Tape (S&amp;P)'!T5467="Yes",
    1.35,
    1.00)</f>
        <v/>
      </c>
      <c r="P5467">
        <f>IF('Loan Tape (S&amp;P)'!S5467="Yes",
    1.15,
    1.00)</f>
        <v/>
      </c>
      <c r="Q5467">
        <f>IF('Loan Tape (S&amp;P)'!V5467="Yes",
    1.20,
    1.00)</f>
        <v/>
      </c>
      <c r="T5467">
        <f>LET(
    payment_method,'Loan Tape (S&amp;P)'!P5467,
    occupancy,'Loan Tape (S&amp;P)'!N5467,
    maturity_date,'Loan Tape (S&amp;P)'!L5467,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68">
      <c r="J5468">
        <f>LET(
    lien,'Loan Tape (S&amp;P)'!Q5468,
    IF(lien="First",1.00,
        IF(lien="Second",1.50,
            1.70)))</f>
        <v/>
      </c>
      <c r="K5468">
        <f>LET(
    purpose,'Loan Tape (S&amp;P)'!R5468,
    IF(purpose="Purchase",1.00,
        IF(purpose="Remortgage",1.00,
            1.20)))</f>
        <v/>
      </c>
      <c r="L5468">
        <f>LET(
    arrears_months,'Loan Tape (S&amp;P)'!AN5468,
    IF(arrears_months=0,1.00,
    IF(arrears_months=1,3.00,
    IF(arrears_months=2,5.00,
    IF(arrears_months=3,8.00,
    IF(arrears_months=4,10.00,
    IF(arrears_months=5,12.00,15.00)))))))</f>
        <v/>
      </c>
      <c r="M5468">
        <f>LET(
    seasoning_years,DATEDIF('Loan Tape (S&amp;P)'!K5468,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68">
        <f>IF(AND('Loan Tape (S&amp;P)'!U5468="Yes",
        'Loan Tape (S&amp;P)'!T5468&lt;&gt;"Yes",
        DATEDIF('Loan Tape (S&amp;P)'!K5468, TODAY(), "M")&lt;18),
    1.10,
    1.00)</f>
        <v/>
      </c>
      <c r="O5468">
        <f>IF('Loan Tape (S&amp;P)'!T5468="Yes",
    1.35,
    1.00)</f>
        <v/>
      </c>
      <c r="P5468">
        <f>IF('Loan Tape (S&amp;P)'!S5468="Yes",
    1.15,
    1.00)</f>
        <v/>
      </c>
      <c r="Q5468">
        <f>IF('Loan Tape (S&amp;P)'!V5468="Yes",
    1.20,
    1.00)</f>
        <v/>
      </c>
      <c r="T5468">
        <f>LET(
    payment_method,'Loan Tape (S&amp;P)'!P5468,
    occupancy,'Loan Tape (S&amp;P)'!N5468,
    maturity_date,'Loan Tape (S&amp;P)'!L5468,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69">
      <c r="J5469">
        <f>LET(
    lien,'Loan Tape (S&amp;P)'!Q5469,
    IF(lien="First",1.00,
        IF(lien="Second",1.50,
            1.70)))</f>
        <v/>
      </c>
      <c r="K5469">
        <f>LET(
    purpose,'Loan Tape (S&amp;P)'!R5469,
    IF(purpose="Purchase",1.00,
        IF(purpose="Remortgage",1.00,
            1.20)))</f>
        <v/>
      </c>
      <c r="L5469">
        <f>LET(
    arrears_months,'Loan Tape (S&amp;P)'!AN5469,
    IF(arrears_months=0,1.00,
    IF(arrears_months=1,3.00,
    IF(arrears_months=2,5.00,
    IF(arrears_months=3,8.00,
    IF(arrears_months=4,10.00,
    IF(arrears_months=5,12.00,15.00)))))))</f>
        <v/>
      </c>
      <c r="M5469">
        <f>LET(
    seasoning_years,DATEDIF('Loan Tape (S&amp;P)'!K5469,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69">
        <f>IF(AND('Loan Tape (S&amp;P)'!U5469="Yes",
        'Loan Tape (S&amp;P)'!T5469&lt;&gt;"Yes",
        DATEDIF('Loan Tape (S&amp;P)'!K5469, TODAY(), "M")&lt;18),
    1.10,
    1.00)</f>
        <v/>
      </c>
      <c r="O5469">
        <f>IF('Loan Tape (S&amp;P)'!T5469="Yes",
    1.35,
    1.00)</f>
        <v/>
      </c>
      <c r="P5469">
        <f>IF('Loan Tape (S&amp;P)'!S5469="Yes",
    1.15,
    1.00)</f>
        <v/>
      </c>
      <c r="Q5469">
        <f>IF('Loan Tape (S&amp;P)'!V5469="Yes",
    1.20,
    1.00)</f>
        <v/>
      </c>
      <c r="T5469">
        <f>LET(
    payment_method,'Loan Tape (S&amp;P)'!P5469,
    occupancy,'Loan Tape (S&amp;P)'!N5469,
    maturity_date,'Loan Tape (S&amp;P)'!L5469,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70">
      <c r="J5470">
        <f>LET(
    lien,'Loan Tape (S&amp;P)'!Q5470,
    IF(lien="First",1.00,
        IF(lien="Second",1.50,
            1.70)))</f>
        <v/>
      </c>
      <c r="K5470">
        <f>LET(
    purpose,'Loan Tape (S&amp;P)'!R5470,
    IF(purpose="Purchase",1.00,
        IF(purpose="Remortgage",1.00,
            1.20)))</f>
        <v/>
      </c>
      <c r="L5470">
        <f>LET(
    arrears_months,'Loan Tape (S&amp;P)'!AN5470,
    IF(arrears_months=0,1.00,
    IF(arrears_months=1,3.00,
    IF(arrears_months=2,5.00,
    IF(arrears_months=3,8.00,
    IF(arrears_months=4,10.00,
    IF(arrears_months=5,12.00,15.00)))))))</f>
        <v/>
      </c>
      <c r="M5470">
        <f>LET(
    seasoning_years,DATEDIF('Loan Tape (S&amp;P)'!K5470,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70">
        <f>IF(AND('Loan Tape (S&amp;P)'!U5470="Yes",
        'Loan Tape (S&amp;P)'!T5470&lt;&gt;"Yes",
        DATEDIF('Loan Tape (S&amp;P)'!K5470, TODAY(), "M")&lt;18),
    1.10,
    1.00)</f>
        <v/>
      </c>
      <c r="O5470">
        <f>IF('Loan Tape (S&amp;P)'!T5470="Yes",
    1.35,
    1.00)</f>
        <v/>
      </c>
      <c r="P5470">
        <f>IF('Loan Tape (S&amp;P)'!S5470="Yes",
    1.15,
    1.00)</f>
        <v/>
      </c>
      <c r="Q5470">
        <f>IF('Loan Tape (S&amp;P)'!V5470="Yes",
    1.20,
    1.00)</f>
        <v/>
      </c>
      <c r="T5470">
        <f>LET(
    payment_method,'Loan Tape (S&amp;P)'!P5470,
    occupancy,'Loan Tape (S&amp;P)'!N5470,
    maturity_date,'Loan Tape (S&amp;P)'!L5470,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71">
      <c r="J5471">
        <f>LET(
    lien,'Loan Tape (S&amp;P)'!Q5471,
    IF(lien="First",1.00,
        IF(lien="Second",1.50,
            1.70)))</f>
        <v/>
      </c>
      <c r="K5471">
        <f>LET(
    purpose,'Loan Tape (S&amp;P)'!R5471,
    IF(purpose="Purchase",1.00,
        IF(purpose="Remortgage",1.00,
            1.20)))</f>
        <v/>
      </c>
      <c r="L5471">
        <f>LET(
    arrears_months,'Loan Tape (S&amp;P)'!AN5471,
    IF(arrears_months=0,1.00,
    IF(arrears_months=1,3.00,
    IF(arrears_months=2,5.00,
    IF(arrears_months=3,8.00,
    IF(arrears_months=4,10.00,
    IF(arrears_months=5,12.00,15.00)))))))</f>
        <v/>
      </c>
      <c r="M5471">
        <f>LET(
    seasoning_years,DATEDIF('Loan Tape (S&amp;P)'!K5471,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71">
        <f>IF(AND('Loan Tape (S&amp;P)'!U5471="Yes",
        'Loan Tape (S&amp;P)'!T5471&lt;&gt;"Yes",
        DATEDIF('Loan Tape (S&amp;P)'!K5471, TODAY(), "M")&lt;18),
    1.10,
    1.00)</f>
        <v/>
      </c>
      <c r="O5471">
        <f>IF('Loan Tape (S&amp;P)'!T5471="Yes",
    1.35,
    1.00)</f>
        <v/>
      </c>
      <c r="P5471">
        <f>IF('Loan Tape (S&amp;P)'!S5471="Yes",
    1.15,
    1.00)</f>
        <v/>
      </c>
      <c r="Q5471">
        <f>IF('Loan Tape (S&amp;P)'!V5471="Yes",
    1.20,
    1.00)</f>
        <v/>
      </c>
      <c r="T5471">
        <f>LET(
    payment_method,'Loan Tape (S&amp;P)'!P5471,
    occupancy,'Loan Tape (S&amp;P)'!N5471,
    maturity_date,'Loan Tape (S&amp;P)'!L5471,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72">
      <c r="J5472">
        <f>LET(
    lien,'Loan Tape (S&amp;P)'!Q5472,
    IF(lien="First",1.00,
        IF(lien="Second",1.50,
            1.70)))</f>
        <v/>
      </c>
      <c r="K5472">
        <f>LET(
    purpose,'Loan Tape (S&amp;P)'!R5472,
    IF(purpose="Purchase",1.00,
        IF(purpose="Remortgage",1.00,
            1.20)))</f>
        <v/>
      </c>
      <c r="L5472">
        <f>LET(
    arrears_months,'Loan Tape (S&amp;P)'!AN5472,
    IF(arrears_months=0,1.00,
    IF(arrears_months=1,3.00,
    IF(arrears_months=2,5.00,
    IF(arrears_months=3,8.00,
    IF(arrears_months=4,10.00,
    IF(arrears_months=5,12.00,15.00)))))))</f>
        <v/>
      </c>
      <c r="M5472">
        <f>LET(
    seasoning_years,DATEDIF('Loan Tape (S&amp;P)'!K5472,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72">
        <f>IF(AND('Loan Tape (S&amp;P)'!U5472="Yes",
        'Loan Tape (S&amp;P)'!T5472&lt;&gt;"Yes",
        DATEDIF('Loan Tape (S&amp;P)'!K5472, TODAY(), "M")&lt;18),
    1.10,
    1.00)</f>
        <v/>
      </c>
      <c r="O5472">
        <f>IF('Loan Tape (S&amp;P)'!T5472="Yes",
    1.35,
    1.00)</f>
        <v/>
      </c>
      <c r="P5472">
        <f>IF('Loan Tape (S&amp;P)'!S5472="Yes",
    1.15,
    1.00)</f>
        <v/>
      </c>
      <c r="Q5472">
        <f>IF('Loan Tape (S&amp;P)'!V5472="Yes",
    1.20,
    1.00)</f>
        <v/>
      </c>
      <c r="T5472">
        <f>LET(
    payment_method,'Loan Tape (S&amp;P)'!P5472,
    occupancy,'Loan Tape (S&amp;P)'!N5472,
    maturity_date,'Loan Tape (S&amp;P)'!L5472,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73">
      <c r="J5473">
        <f>LET(
    lien,'Loan Tape (S&amp;P)'!Q5473,
    IF(lien="First",1.00,
        IF(lien="Second",1.50,
            1.70)))</f>
        <v/>
      </c>
      <c r="K5473">
        <f>LET(
    purpose,'Loan Tape (S&amp;P)'!R5473,
    IF(purpose="Purchase",1.00,
        IF(purpose="Remortgage",1.00,
            1.20)))</f>
        <v/>
      </c>
      <c r="L5473">
        <f>LET(
    arrears_months,'Loan Tape (S&amp;P)'!AN5473,
    IF(arrears_months=0,1.00,
    IF(arrears_months=1,3.00,
    IF(arrears_months=2,5.00,
    IF(arrears_months=3,8.00,
    IF(arrears_months=4,10.00,
    IF(arrears_months=5,12.00,15.00)))))))</f>
        <v/>
      </c>
      <c r="M5473">
        <f>LET(
    seasoning_years,DATEDIF('Loan Tape (S&amp;P)'!K5473,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73">
        <f>IF(AND('Loan Tape (S&amp;P)'!U5473="Yes",
        'Loan Tape (S&amp;P)'!T5473&lt;&gt;"Yes",
        DATEDIF('Loan Tape (S&amp;P)'!K5473, TODAY(), "M")&lt;18),
    1.10,
    1.00)</f>
        <v/>
      </c>
      <c r="O5473">
        <f>IF('Loan Tape (S&amp;P)'!T5473="Yes",
    1.35,
    1.00)</f>
        <v/>
      </c>
      <c r="P5473">
        <f>IF('Loan Tape (S&amp;P)'!S5473="Yes",
    1.15,
    1.00)</f>
        <v/>
      </c>
      <c r="Q5473">
        <f>IF('Loan Tape (S&amp;P)'!V5473="Yes",
    1.20,
    1.00)</f>
        <v/>
      </c>
      <c r="T5473">
        <f>LET(
    payment_method,'Loan Tape (S&amp;P)'!P5473,
    occupancy,'Loan Tape (S&amp;P)'!N5473,
    maturity_date,'Loan Tape (S&amp;P)'!L5473,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74">
      <c r="J5474">
        <f>LET(
    lien,'Loan Tape (S&amp;P)'!Q5474,
    IF(lien="First",1.00,
        IF(lien="Second",1.50,
            1.70)))</f>
        <v/>
      </c>
      <c r="K5474">
        <f>LET(
    purpose,'Loan Tape (S&amp;P)'!R5474,
    IF(purpose="Purchase",1.00,
        IF(purpose="Remortgage",1.00,
            1.20)))</f>
        <v/>
      </c>
      <c r="L5474">
        <f>LET(
    arrears_months,'Loan Tape (S&amp;P)'!AN5474,
    IF(arrears_months=0,1.00,
    IF(arrears_months=1,3.00,
    IF(arrears_months=2,5.00,
    IF(arrears_months=3,8.00,
    IF(arrears_months=4,10.00,
    IF(arrears_months=5,12.00,15.00)))))))</f>
        <v/>
      </c>
      <c r="M5474">
        <f>LET(
    seasoning_years,DATEDIF('Loan Tape (S&amp;P)'!K5474,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74">
        <f>IF(AND('Loan Tape (S&amp;P)'!U5474="Yes",
        'Loan Tape (S&amp;P)'!T5474&lt;&gt;"Yes",
        DATEDIF('Loan Tape (S&amp;P)'!K5474, TODAY(), "M")&lt;18),
    1.10,
    1.00)</f>
        <v/>
      </c>
      <c r="O5474">
        <f>IF('Loan Tape (S&amp;P)'!T5474="Yes",
    1.35,
    1.00)</f>
        <v/>
      </c>
      <c r="P5474">
        <f>IF('Loan Tape (S&amp;P)'!S5474="Yes",
    1.15,
    1.00)</f>
        <v/>
      </c>
      <c r="Q5474">
        <f>IF('Loan Tape (S&amp;P)'!V5474="Yes",
    1.20,
    1.00)</f>
        <v/>
      </c>
      <c r="T5474">
        <f>LET(
    payment_method,'Loan Tape (S&amp;P)'!P5474,
    occupancy,'Loan Tape (S&amp;P)'!N5474,
    maturity_date,'Loan Tape (S&amp;P)'!L5474,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75">
      <c r="J5475">
        <f>LET(
    lien,'Loan Tape (S&amp;P)'!Q5475,
    IF(lien="First",1.00,
        IF(lien="Second",1.50,
            1.70)))</f>
        <v/>
      </c>
      <c r="K5475">
        <f>LET(
    purpose,'Loan Tape (S&amp;P)'!R5475,
    IF(purpose="Purchase",1.00,
        IF(purpose="Remortgage",1.00,
            1.20)))</f>
        <v/>
      </c>
      <c r="L5475">
        <f>LET(
    arrears_months,'Loan Tape (S&amp;P)'!AN5475,
    IF(arrears_months=0,1.00,
    IF(arrears_months=1,3.00,
    IF(arrears_months=2,5.00,
    IF(arrears_months=3,8.00,
    IF(arrears_months=4,10.00,
    IF(arrears_months=5,12.00,15.00)))))))</f>
        <v/>
      </c>
      <c r="M5475">
        <f>LET(
    seasoning_years,DATEDIF('Loan Tape (S&amp;P)'!K5475,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75">
        <f>IF(AND('Loan Tape (S&amp;P)'!U5475="Yes",
        'Loan Tape (S&amp;P)'!T5475&lt;&gt;"Yes",
        DATEDIF('Loan Tape (S&amp;P)'!K5475, TODAY(), "M")&lt;18),
    1.10,
    1.00)</f>
        <v/>
      </c>
      <c r="O5475">
        <f>IF('Loan Tape (S&amp;P)'!T5475="Yes",
    1.35,
    1.00)</f>
        <v/>
      </c>
      <c r="P5475">
        <f>IF('Loan Tape (S&amp;P)'!S5475="Yes",
    1.15,
    1.00)</f>
        <v/>
      </c>
      <c r="Q5475">
        <f>IF('Loan Tape (S&amp;P)'!V5475="Yes",
    1.20,
    1.00)</f>
        <v/>
      </c>
      <c r="T5475">
        <f>LET(
    payment_method,'Loan Tape (S&amp;P)'!P5475,
    occupancy,'Loan Tape (S&amp;P)'!N5475,
    maturity_date,'Loan Tape (S&amp;P)'!L5475,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76">
      <c r="J5476">
        <f>LET(
    lien,'Loan Tape (S&amp;P)'!Q5476,
    IF(lien="First",1.00,
        IF(lien="Second",1.50,
            1.70)))</f>
        <v/>
      </c>
      <c r="K5476">
        <f>LET(
    purpose,'Loan Tape (S&amp;P)'!R5476,
    IF(purpose="Purchase",1.00,
        IF(purpose="Remortgage",1.00,
            1.20)))</f>
        <v/>
      </c>
      <c r="L5476">
        <f>LET(
    arrears_months,'Loan Tape (S&amp;P)'!AN5476,
    IF(arrears_months=0,1.00,
    IF(arrears_months=1,3.00,
    IF(arrears_months=2,5.00,
    IF(arrears_months=3,8.00,
    IF(arrears_months=4,10.00,
    IF(arrears_months=5,12.00,15.00)))))))</f>
        <v/>
      </c>
      <c r="M5476">
        <f>LET(
    seasoning_years,DATEDIF('Loan Tape (S&amp;P)'!K5476,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76">
        <f>IF(AND('Loan Tape (S&amp;P)'!U5476="Yes",
        'Loan Tape (S&amp;P)'!T5476&lt;&gt;"Yes",
        DATEDIF('Loan Tape (S&amp;P)'!K5476, TODAY(), "M")&lt;18),
    1.10,
    1.00)</f>
        <v/>
      </c>
      <c r="O5476">
        <f>IF('Loan Tape (S&amp;P)'!T5476="Yes",
    1.35,
    1.00)</f>
        <v/>
      </c>
      <c r="P5476">
        <f>IF('Loan Tape (S&amp;P)'!S5476="Yes",
    1.15,
    1.00)</f>
        <v/>
      </c>
      <c r="Q5476">
        <f>IF('Loan Tape (S&amp;P)'!V5476="Yes",
    1.20,
    1.00)</f>
        <v/>
      </c>
      <c r="T5476">
        <f>LET(
    payment_method,'Loan Tape (S&amp;P)'!P5476,
    occupancy,'Loan Tape (S&amp;P)'!N5476,
    maturity_date,'Loan Tape (S&amp;P)'!L5476,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77">
      <c r="J5477">
        <f>LET(
    lien,'Loan Tape (S&amp;P)'!Q5477,
    IF(lien="First",1.00,
        IF(lien="Second",1.50,
            1.70)))</f>
        <v/>
      </c>
      <c r="K5477">
        <f>LET(
    purpose,'Loan Tape (S&amp;P)'!R5477,
    IF(purpose="Purchase",1.00,
        IF(purpose="Remortgage",1.00,
            1.20)))</f>
        <v/>
      </c>
      <c r="L5477">
        <f>LET(
    arrears_months,'Loan Tape (S&amp;P)'!AN5477,
    IF(arrears_months=0,1.00,
    IF(arrears_months=1,3.00,
    IF(arrears_months=2,5.00,
    IF(arrears_months=3,8.00,
    IF(arrears_months=4,10.00,
    IF(arrears_months=5,12.00,15.00)))))))</f>
        <v/>
      </c>
      <c r="M5477">
        <f>LET(
    seasoning_years,DATEDIF('Loan Tape (S&amp;P)'!K5477,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77">
        <f>IF(AND('Loan Tape (S&amp;P)'!U5477="Yes",
        'Loan Tape (S&amp;P)'!T5477&lt;&gt;"Yes",
        DATEDIF('Loan Tape (S&amp;P)'!K5477, TODAY(), "M")&lt;18),
    1.10,
    1.00)</f>
        <v/>
      </c>
      <c r="O5477">
        <f>IF('Loan Tape (S&amp;P)'!T5477="Yes",
    1.35,
    1.00)</f>
        <v/>
      </c>
      <c r="P5477">
        <f>IF('Loan Tape (S&amp;P)'!S5477="Yes",
    1.15,
    1.00)</f>
        <v/>
      </c>
      <c r="Q5477">
        <f>IF('Loan Tape (S&amp;P)'!V5477="Yes",
    1.20,
    1.00)</f>
        <v/>
      </c>
      <c r="T5477">
        <f>LET(
    payment_method,'Loan Tape (S&amp;P)'!P5477,
    occupancy,'Loan Tape (S&amp;P)'!N5477,
    maturity_date,'Loan Tape (S&amp;P)'!L5477,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78">
      <c r="J5478">
        <f>LET(
    lien,'Loan Tape (S&amp;P)'!Q5478,
    IF(lien="First",1.00,
        IF(lien="Second",1.50,
            1.70)))</f>
        <v/>
      </c>
      <c r="K5478">
        <f>LET(
    purpose,'Loan Tape (S&amp;P)'!R5478,
    IF(purpose="Purchase",1.00,
        IF(purpose="Remortgage",1.00,
            1.20)))</f>
        <v/>
      </c>
      <c r="L5478">
        <f>LET(
    arrears_months,'Loan Tape (S&amp;P)'!AN5478,
    IF(arrears_months=0,1.00,
    IF(arrears_months=1,3.00,
    IF(arrears_months=2,5.00,
    IF(arrears_months=3,8.00,
    IF(arrears_months=4,10.00,
    IF(arrears_months=5,12.00,15.00)))))))</f>
        <v/>
      </c>
      <c r="M5478">
        <f>LET(
    seasoning_years,DATEDIF('Loan Tape (S&amp;P)'!K5478,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78">
        <f>IF(AND('Loan Tape (S&amp;P)'!U5478="Yes",
        'Loan Tape (S&amp;P)'!T5478&lt;&gt;"Yes",
        DATEDIF('Loan Tape (S&amp;P)'!K5478, TODAY(), "M")&lt;18),
    1.10,
    1.00)</f>
        <v/>
      </c>
      <c r="O5478">
        <f>IF('Loan Tape (S&amp;P)'!T5478="Yes",
    1.35,
    1.00)</f>
        <v/>
      </c>
      <c r="P5478">
        <f>IF('Loan Tape (S&amp;P)'!S5478="Yes",
    1.15,
    1.00)</f>
        <v/>
      </c>
      <c r="Q5478">
        <f>IF('Loan Tape (S&amp;P)'!V5478="Yes",
    1.20,
    1.00)</f>
        <v/>
      </c>
      <c r="T5478">
        <f>LET(
    payment_method,'Loan Tape (S&amp;P)'!P5478,
    occupancy,'Loan Tape (S&amp;P)'!N5478,
    maturity_date,'Loan Tape (S&amp;P)'!L5478,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79">
      <c r="J5479">
        <f>LET(
    lien,'Loan Tape (S&amp;P)'!Q5479,
    IF(lien="First",1.00,
        IF(lien="Second",1.50,
            1.70)))</f>
        <v/>
      </c>
      <c r="K5479">
        <f>LET(
    purpose,'Loan Tape (S&amp;P)'!R5479,
    IF(purpose="Purchase",1.00,
        IF(purpose="Remortgage",1.00,
            1.20)))</f>
        <v/>
      </c>
      <c r="L5479">
        <f>LET(
    arrears_months,'Loan Tape (S&amp;P)'!AN5479,
    IF(arrears_months=0,1.00,
    IF(arrears_months=1,3.00,
    IF(arrears_months=2,5.00,
    IF(arrears_months=3,8.00,
    IF(arrears_months=4,10.00,
    IF(arrears_months=5,12.00,15.00)))))))</f>
        <v/>
      </c>
      <c r="M5479">
        <f>LET(
    seasoning_years,DATEDIF('Loan Tape (S&amp;P)'!K5479,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79">
        <f>IF(AND('Loan Tape (S&amp;P)'!U5479="Yes",
        'Loan Tape (S&amp;P)'!T5479&lt;&gt;"Yes",
        DATEDIF('Loan Tape (S&amp;P)'!K5479, TODAY(), "M")&lt;18),
    1.10,
    1.00)</f>
        <v/>
      </c>
      <c r="O5479">
        <f>IF('Loan Tape (S&amp;P)'!T5479="Yes",
    1.35,
    1.00)</f>
        <v/>
      </c>
      <c r="P5479">
        <f>IF('Loan Tape (S&amp;P)'!S5479="Yes",
    1.15,
    1.00)</f>
        <v/>
      </c>
      <c r="Q5479">
        <f>IF('Loan Tape (S&amp;P)'!V5479="Yes",
    1.20,
    1.00)</f>
        <v/>
      </c>
      <c r="T5479">
        <f>LET(
    payment_method,'Loan Tape (S&amp;P)'!P5479,
    occupancy,'Loan Tape (S&amp;P)'!N5479,
    maturity_date,'Loan Tape (S&amp;P)'!L5479,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80">
      <c r="J5480">
        <f>LET(
    lien,'Loan Tape (S&amp;P)'!Q5480,
    IF(lien="First",1.00,
        IF(lien="Second",1.50,
            1.70)))</f>
        <v/>
      </c>
      <c r="K5480">
        <f>LET(
    purpose,'Loan Tape (S&amp;P)'!R5480,
    IF(purpose="Purchase",1.00,
        IF(purpose="Remortgage",1.00,
            1.20)))</f>
        <v/>
      </c>
      <c r="L5480">
        <f>LET(
    arrears_months,'Loan Tape (S&amp;P)'!AN5480,
    IF(arrears_months=0,1.00,
    IF(arrears_months=1,3.00,
    IF(arrears_months=2,5.00,
    IF(arrears_months=3,8.00,
    IF(arrears_months=4,10.00,
    IF(arrears_months=5,12.00,15.00)))))))</f>
        <v/>
      </c>
      <c r="M5480">
        <f>LET(
    seasoning_years,DATEDIF('Loan Tape (S&amp;P)'!K5480,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80">
        <f>IF(AND('Loan Tape (S&amp;P)'!U5480="Yes",
        'Loan Tape (S&amp;P)'!T5480&lt;&gt;"Yes",
        DATEDIF('Loan Tape (S&amp;P)'!K5480, TODAY(), "M")&lt;18),
    1.10,
    1.00)</f>
        <v/>
      </c>
      <c r="O5480">
        <f>IF('Loan Tape (S&amp;P)'!T5480="Yes",
    1.35,
    1.00)</f>
        <v/>
      </c>
      <c r="P5480">
        <f>IF('Loan Tape (S&amp;P)'!S5480="Yes",
    1.15,
    1.00)</f>
        <v/>
      </c>
      <c r="Q5480">
        <f>IF('Loan Tape (S&amp;P)'!V5480="Yes",
    1.20,
    1.00)</f>
        <v/>
      </c>
      <c r="T5480">
        <f>LET(
    payment_method,'Loan Tape (S&amp;P)'!P5480,
    occupancy,'Loan Tape (S&amp;P)'!N5480,
    maturity_date,'Loan Tape (S&amp;P)'!L5480,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81">
      <c r="J5481">
        <f>LET(
    lien,'Loan Tape (S&amp;P)'!Q5481,
    IF(lien="First",1.00,
        IF(lien="Second",1.50,
            1.70)))</f>
        <v/>
      </c>
      <c r="K5481">
        <f>LET(
    purpose,'Loan Tape (S&amp;P)'!R5481,
    IF(purpose="Purchase",1.00,
        IF(purpose="Remortgage",1.00,
            1.20)))</f>
        <v/>
      </c>
      <c r="L5481">
        <f>LET(
    arrears_months,'Loan Tape (S&amp;P)'!AN5481,
    IF(arrears_months=0,1.00,
    IF(arrears_months=1,3.00,
    IF(arrears_months=2,5.00,
    IF(arrears_months=3,8.00,
    IF(arrears_months=4,10.00,
    IF(arrears_months=5,12.00,15.00)))))))</f>
        <v/>
      </c>
      <c r="M5481">
        <f>LET(
    seasoning_years,DATEDIF('Loan Tape (S&amp;P)'!K5481,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81">
        <f>IF(AND('Loan Tape (S&amp;P)'!U5481="Yes",
        'Loan Tape (S&amp;P)'!T5481&lt;&gt;"Yes",
        DATEDIF('Loan Tape (S&amp;P)'!K5481, TODAY(), "M")&lt;18),
    1.10,
    1.00)</f>
        <v/>
      </c>
      <c r="O5481">
        <f>IF('Loan Tape (S&amp;P)'!T5481="Yes",
    1.35,
    1.00)</f>
        <v/>
      </c>
      <c r="P5481">
        <f>IF('Loan Tape (S&amp;P)'!S5481="Yes",
    1.15,
    1.00)</f>
        <v/>
      </c>
      <c r="Q5481">
        <f>IF('Loan Tape (S&amp;P)'!V5481="Yes",
    1.20,
    1.00)</f>
        <v/>
      </c>
      <c r="T5481">
        <f>LET(
    payment_method,'Loan Tape (S&amp;P)'!P5481,
    occupancy,'Loan Tape (S&amp;P)'!N5481,
    maturity_date,'Loan Tape (S&amp;P)'!L5481,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82">
      <c r="J5482">
        <f>LET(
    lien,'Loan Tape (S&amp;P)'!Q5482,
    IF(lien="First",1.00,
        IF(lien="Second",1.50,
            1.70)))</f>
        <v/>
      </c>
      <c r="K5482">
        <f>LET(
    purpose,'Loan Tape (S&amp;P)'!R5482,
    IF(purpose="Purchase",1.00,
        IF(purpose="Remortgage",1.00,
            1.20)))</f>
        <v/>
      </c>
      <c r="L5482">
        <f>LET(
    arrears_months,'Loan Tape (S&amp;P)'!AN5482,
    IF(arrears_months=0,1.00,
    IF(arrears_months=1,3.00,
    IF(arrears_months=2,5.00,
    IF(arrears_months=3,8.00,
    IF(arrears_months=4,10.00,
    IF(arrears_months=5,12.00,15.00)))))))</f>
        <v/>
      </c>
      <c r="M5482">
        <f>LET(
    seasoning_years,DATEDIF('Loan Tape (S&amp;P)'!K5482,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82">
        <f>IF(AND('Loan Tape (S&amp;P)'!U5482="Yes",
        'Loan Tape (S&amp;P)'!T5482&lt;&gt;"Yes",
        DATEDIF('Loan Tape (S&amp;P)'!K5482, TODAY(), "M")&lt;18),
    1.10,
    1.00)</f>
        <v/>
      </c>
      <c r="O5482">
        <f>IF('Loan Tape (S&amp;P)'!T5482="Yes",
    1.35,
    1.00)</f>
        <v/>
      </c>
      <c r="P5482">
        <f>IF('Loan Tape (S&amp;P)'!S5482="Yes",
    1.15,
    1.00)</f>
        <v/>
      </c>
      <c r="Q5482">
        <f>IF('Loan Tape (S&amp;P)'!V5482="Yes",
    1.20,
    1.00)</f>
        <v/>
      </c>
      <c r="T5482">
        <f>LET(
    payment_method,'Loan Tape (S&amp;P)'!P5482,
    occupancy,'Loan Tape (S&amp;P)'!N5482,
    maturity_date,'Loan Tape (S&amp;P)'!L5482,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83">
      <c r="J5483">
        <f>LET(
    lien,'Loan Tape (S&amp;P)'!Q5483,
    IF(lien="First",1.00,
        IF(lien="Second",1.50,
            1.70)))</f>
        <v/>
      </c>
      <c r="K5483">
        <f>LET(
    purpose,'Loan Tape (S&amp;P)'!R5483,
    IF(purpose="Purchase",1.00,
        IF(purpose="Remortgage",1.00,
            1.20)))</f>
        <v/>
      </c>
      <c r="L5483">
        <f>LET(
    arrears_months,'Loan Tape (S&amp;P)'!AN5483,
    IF(arrears_months=0,1.00,
    IF(arrears_months=1,3.00,
    IF(arrears_months=2,5.00,
    IF(arrears_months=3,8.00,
    IF(arrears_months=4,10.00,
    IF(arrears_months=5,12.00,15.00)))))))</f>
        <v/>
      </c>
      <c r="M5483">
        <f>LET(
    seasoning_years,DATEDIF('Loan Tape (S&amp;P)'!K5483,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83">
        <f>IF(AND('Loan Tape (S&amp;P)'!U5483="Yes",
        'Loan Tape (S&amp;P)'!T5483&lt;&gt;"Yes",
        DATEDIF('Loan Tape (S&amp;P)'!K5483, TODAY(), "M")&lt;18),
    1.10,
    1.00)</f>
        <v/>
      </c>
      <c r="O5483">
        <f>IF('Loan Tape (S&amp;P)'!T5483="Yes",
    1.35,
    1.00)</f>
        <v/>
      </c>
      <c r="P5483">
        <f>IF('Loan Tape (S&amp;P)'!S5483="Yes",
    1.15,
    1.00)</f>
        <v/>
      </c>
      <c r="Q5483">
        <f>IF('Loan Tape (S&amp;P)'!V5483="Yes",
    1.20,
    1.00)</f>
        <v/>
      </c>
      <c r="T5483">
        <f>LET(
    payment_method,'Loan Tape (S&amp;P)'!P5483,
    occupancy,'Loan Tape (S&amp;P)'!N5483,
    maturity_date,'Loan Tape (S&amp;P)'!L5483,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84">
      <c r="J5484">
        <f>LET(
    lien,'Loan Tape (S&amp;P)'!Q5484,
    IF(lien="First",1.00,
        IF(lien="Second",1.50,
            1.70)))</f>
        <v/>
      </c>
      <c r="K5484">
        <f>LET(
    purpose,'Loan Tape (S&amp;P)'!R5484,
    IF(purpose="Purchase",1.00,
        IF(purpose="Remortgage",1.00,
            1.20)))</f>
        <v/>
      </c>
      <c r="L5484">
        <f>LET(
    arrears_months,'Loan Tape (S&amp;P)'!AN5484,
    IF(arrears_months=0,1.00,
    IF(arrears_months=1,3.00,
    IF(arrears_months=2,5.00,
    IF(arrears_months=3,8.00,
    IF(arrears_months=4,10.00,
    IF(arrears_months=5,12.00,15.00)))))))</f>
        <v/>
      </c>
      <c r="M5484">
        <f>LET(
    seasoning_years,DATEDIF('Loan Tape (S&amp;P)'!K5484,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84">
        <f>IF(AND('Loan Tape (S&amp;P)'!U5484="Yes",
        'Loan Tape (S&amp;P)'!T5484&lt;&gt;"Yes",
        DATEDIF('Loan Tape (S&amp;P)'!K5484, TODAY(), "M")&lt;18),
    1.10,
    1.00)</f>
        <v/>
      </c>
      <c r="O5484">
        <f>IF('Loan Tape (S&amp;P)'!T5484="Yes",
    1.35,
    1.00)</f>
        <v/>
      </c>
      <c r="P5484">
        <f>IF('Loan Tape (S&amp;P)'!S5484="Yes",
    1.15,
    1.00)</f>
        <v/>
      </c>
      <c r="Q5484">
        <f>IF('Loan Tape (S&amp;P)'!V5484="Yes",
    1.20,
    1.00)</f>
        <v/>
      </c>
      <c r="T5484">
        <f>LET(
    payment_method,'Loan Tape (S&amp;P)'!P5484,
    occupancy,'Loan Tape (S&amp;P)'!N5484,
    maturity_date,'Loan Tape (S&amp;P)'!L5484,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85">
      <c r="J5485">
        <f>LET(
    lien,'Loan Tape (S&amp;P)'!Q5485,
    IF(lien="First",1.00,
        IF(lien="Second",1.50,
            1.70)))</f>
        <v/>
      </c>
      <c r="K5485">
        <f>LET(
    purpose,'Loan Tape (S&amp;P)'!R5485,
    IF(purpose="Purchase",1.00,
        IF(purpose="Remortgage",1.00,
            1.20)))</f>
        <v/>
      </c>
      <c r="L5485">
        <f>LET(
    arrears_months,'Loan Tape (S&amp;P)'!AN5485,
    IF(arrears_months=0,1.00,
    IF(arrears_months=1,3.00,
    IF(arrears_months=2,5.00,
    IF(arrears_months=3,8.00,
    IF(arrears_months=4,10.00,
    IF(arrears_months=5,12.00,15.00)))))))</f>
        <v/>
      </c>
      <c r="M5485">
        <f>LET(
    seasoning_years,DATEDIF('Loan Tape (S&amp;P)'!K5485,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85">
        <f>IF(AND('Loan Tape (S&amp;P)'!U5485="Yes",
        'Loan Tape (S&amp;P)'!T5485&lt;&gt;"Yes",
        DATEDIF('Loan Tape (S&amp;P)'!K5485, TODAY(), "M")&lt;18),
    1.10,
    1.00)</f>
        <v/>
      </c>
      <c r="O5485">
        <f>IF('Loan Tape (S&amp;P)'!T5485="Yes",
    1.35,
    1.00)</f>
        <v/>
      </c>
      <c r="P5485">
        <f>IF('Loan Tape (S&amp;P)'!S5485="Yes",
    1.15,
    1.00)</f>
        <v/>
      </c>
      <c r="Q5485">
        <f>IF('Loan Tape (S&amp;P)'!V5485="Yes",
    1.20,
    1.00)</f>
        <v/>
      </c>
      <c r="T5485">
        <f>LET(
    payment_method,'Loan Tape (S&amp;P)'!P5485,
    occupancy,'Loan Tape (S&amp;P)'!N5485,
    maturity_date,'Loan Tape (S&amp;P)'!L5485,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86">
      <c r="J5486">
        <f>LET(
    lien,'Loan Tape (S&amp;P)'!Q5486,
    IF(lien="First",1.00,
        IF(lien="Second",1.50,
            1.70)))</f>
        <v/>
      </c>
      <c r="K5486">
        <f>LET(
    purpose,'Loan Tape (S&amp;P)'!R5486,
    IF(purpose="Purchase",1.00,
        IF(purpose="Remortgage",1.00,
            1.20)))</f>
        <v/>
      </c>
      <c r="L5486">
        <f>LET(
    arrears_months,'Loan Tape (S&amp;P)'!AN5486,
    IF(arrears_months=0,1.00,
    IF(arrears_months=1,3.00,
    IF(arrears_months=2,5.00,
    IF(arrears_months=3,8.00,
    IF(arrears_months=4,10.00,
    IF(arrears_months=5,12.00,15.00)))))))</f>
        <v/>
      </c>
      <c r="M5486">
        <f>LET(
    seasoning_years,DATEDIF('Loan Tape (S&amp;P)'!K5486,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86">
        <f>IF(AND('Loan Tape (S&amp;P)'!U5486="Yes",
        'Loan Tape (S&amp;P)'!T5486&lt;&gt;"Yes",
        DATEDIF('Loan Tape (S&amp;P)'!K5486, TODAY(), "M")&lt;18),
    1.10,
    1.00)</f>
        <v/>
      </c>
      <c r="O5486">
        <f>IF('Loan Tape (S&amp;P)'!T5486="Yes",
    1.35,
    1.00)</f>
        <v/>
      </c>
      <c r="P5486">
        <f>IF('Loan Tape (S&amp;P)'!S5486="Yes",
    1.15,
    1.00)</f>
        <v/>
      </c>
      <c r="Q5486">
        <f>IF('Loan Tape (S&amp;P)'!V5486="Yes",
    1.20,
    1.00)</f>
        <v/>
      </c>
      <c r="T5486">
        <f>LET(
    payment_method,'Loan Tape (S&amp;P)'!P5486,
    occupancy,'Loan Tape (S&amp;P)'!N5486,
    maturity_date,'Loan Tape (S&amp;P)'!L5486,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87">
      <c r="J5487">
        <f>LET(
    lien,'Loan Tape (S&amp;P)'!Q5487,
    IF(lien="First",1.00,
        IF(lien="Second",1.50,
            1.70)))</f>
        <v/>
      </c>
      <c r="K5487">
        <f>LET(
    purpose,'Loan Tape (S&amp;P)'!R5487,
    IF(purpose="Purchase",1.00,
        IF(purpose="Remortgage",1.00,
            1.20)))</f>
        <v/>
      </c>
      <c r="L5487">
        <f>LET(
    arrears_months,'Loan Tape (S&amp;P)'!AN5487,
    IF(arrears_months=0,1.00,
    IF(arrears_months=1,3.00,
    IF(arrears_months=2,5.00,
    IF(arrears_months=3,8.00,
    IF(arrears_months=4,10.00,
    IF(arrears_months=5,12.00,15.00)))))))</f>
        <v/>
      </c>
      <c r="M5487">
        <f>LET(
    seasoning_years,DATEDIF('Loan Tape (S&amp;P)'!K5487,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87">
        <f>IF(AND('Loan Tape (S&amp;P)'!U5487="Yes",
        'Loan Tape (S&amp;P)'!T5487&lt;&gt;"Yes",
        DATEDIF('Loan Tape (S&amp;P)'!K5487, TODAY(), "M")&lt;18),
    1.10,
    1.00)</f>
        <v/>
      </c>
      <c r="O5487">
        <f>IF('Loan Tape (S&amp;P)'!T5487="Yes",
    1.35,
    1.00)</f>
        <v/>
      </c>
      <c r="P5487">
        <f>IF('Loan Tape (S&amp;P)'!S5487="Yes",
    1.15,
    1.00)</f>
        <v/>
      </c>
      <c r="Q5487">
        <f>IF('Loan Tape (S&amp;P)'!V5487="Yes",
    1.20,
    1.00)</f>
        <v/>
      </c>
      <c r="T5487">
        <f>LET(
    payment_method,'Loan Tape (S&amp;P)'!P5487,
    occupancy,'Loan Tape (S&amp;P)'!N5487,
    maturity_date,'Loan Tape (S&amp;P)'!L5487,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88">
      <c r="J5488">
        <f>LET(
    lien,'Loan Tape (S&amp;P)'!Q5488,
    IF(lien="First",1.00,
        IF(lien="Second",1.50,
            1.70)))</f>
        <v/>
      </c>
      <c r="K5488">
        <f>LET(
    purpose,'Loan Tape (S&amp;P)'!R5488,
    IF(purpose="Purchase",1.00,
        IF(purpose="Remortgage",1.00,
            1.20)))</f>
        <v/>
      </c>
      <c r="L5488">
        <f>LET(
    arrears_months,'Loan Tape (S&amp;P)'!AN5488,
    IF(arrears_months=0,1.00,
    IF(arrears_months=1,3.00,
    IF(arrears_months=2,5.00,
    IF(arrears_months=3,8.00,
    IF(arrears_months=4,10.00,
    IF(arrears_months=5,12.00,15.00)))))))</f>
        <v/>
      </c>
      <c r="M5488">
        <f>LET(
    seasoning_years,DATEDIF('Loan Tape (S&amp;P)'!K5488,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88">
        <f>IF(AND('Loan Tape (S&amp;P)'!U5488="Yes",
        'Loan Tape (S&amp;P)'!T5488&lt;&gt;"Yes",
        DATEDIF('Loan Tape (S&amp;P)'!K5488, TODAY(), "M")&lt;18),
    1.10,
    1.00)</f>
        <v/>
      </c>
      <c r="O5488">
        <f>IF('Loan Tape (S&amp;P)'!T5488="Yes",
    1.35,
    1.00)</f>
        <v/>
      </c>
      <c r="P5488">
        <f>IF('Loan Tape (S&amp;P)'!S5488="Yes",
    1.15,
    1.00)</f>
        <v/>
      </c>
      <c r="Q5488">
        <f>IF('Loan Tape (S&amp;P)'!V5488="Yes",
    1.20,
    1.00)</f>
        <v/>
      </c>
      <c r="T5488">
        <f>LET(
    payment_method,'Loan Tape (S&amp;P)'!P5488,
    occupancy,'Loan Tape (S&amp;P)'!N5488,
    maturity_date,'Loan Tape (S&amp;P)'!L5488,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89">
      <c r="J5489">
        <f>LET(
    lien,'Loan Tape (S&amp;P)'!Q5489,
    IF(lien="First",1.00,
        IF(lien="Second",1.50,
            1.70)))</f>
        <v/>
      </c>
      <c r="K5489">
        <f>LET(
    purpose,'Loan Tape (S&amp;P)'!R5489,
    IF(purpose="Purchase",1.00,
        IF(purpose="Remortgage",1.00,
            1.20)))</f>
        <v/>
      </c>
      <c r="L5489">
        <f>LET(
    arrears_months,'Loan Tape (S&amp;P)'!AN5489,
    IF(arrears_months=0,1.00,
    IF(arrears_months=1,3.00,
    IF(arrears_months=2,5.00,
    IF(arrears_months=3,8.00,
    IF(arrears_months=4,10.00,
    IF(arrears_months=5,12.00,15.00)))))))</f>
        <v/>
      </c>
      <c r="M5489">
        <f>LET(
    seasoning_years,DATEDIF('Loan Tape (S&amp;P)'!K5489,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89">
        <f>IF(AND('Loan Tape (S&amp;P)'!U5489="Yes",
        'Loan Tape (S&amp;P)'!T5489&lt;&gt;"Yes",
        DATEDIF('Loan Tape (S&amp;P)'!K5489, TODAY(), "M")&lt;18),
    1.10,
    1.00)</f>
        <v/>
      </c>
      <c r="O5489">
        <f>IF('Loan Tape (S&amp;P)'!T5489="Yes",
    1.35,
    1.00)</f>
        <v/>
      </c>
      <c r="P5489">
        <f>IF('Loan Tape (S&amp;P)'!S5489="Yes",
    1.15,
    1.00)</f>
        <v/>
      </c>
      <c r="Q5489">
        <f>IF('Loan Tape (S&amp;P)'!V5489="Yes",
    1.20,
    1.00)</f>
        <v/>
      </c>
      <c r="T5489">
        <f>LET(
    payment_method,'Loan Tape (S&amp;P)'!P5489,
    occupancy,'Loan Tape (S&amp;P)'!N5489,
    maturity_date,'Loan Tape (S&amp;P)'!L5489,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90">
      <c r="J5490">
        <f>LET(
    lien,'Loan Tape (S&amp;P)'!Q5490,
    IF(lien="First",1.00,
        IF(lien="Second",1.50,
            1.70)))</f>
        <v/>
      </c>
      <c r="K5490">
        <f>LET(
    purpose,'Loan Tape (S&amp;P)'!R5490,
    IF(purpose="Purchase",1.00,
        IF(purpose="Remortgage",1.00,
            1.20)))</f>
        <v/>
      </c>
      <c r="L5490">
        <f>LET(
    arrears_months,'Loan Tape (S&amp;P)'!AN5490,
    IF(arrears_months=0,1.00,
    IF(arrears_months=1,3.00,
    IF(arrears_months=2,5.00,
    IF(arrears_months=3,8.00,
    IF(arrears_months=4,10.00,
    IF(arrears_months=5,12.00,15.00)))))))</f>
        <v/>
      </c>
      <c r="M5490">
        <f>LET(
    seasoning_years,DATEDIF('Loan Tape (S&amp;P)'!K5490,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90">
        <f>IF(AND('Loan Tape (S&amp;P)'!U5490="Yes",
        'Loan Tape (S&amp;P)'!T5490&lt;&gt;"Yes",
        DATEDIF('Loan Tape (S&amp;P)'!K5490, TODAY(), "M")&lt;18),
    1.10,
    1.00)</f>
        <v/>
      </c>
      <c r="O5490">
        <f>IF('Loan Tape (S&amp;P)'!T5490="Yes",
    1.35,
    1.00)</f>
        <v/>
      </c>
      <c r="P5490">
        <f>IF('Loan Tape (S&amp;P)'!S5490="Yes",
    1.15,
    1.00)</f>
        <v/>
      </c>
      <c r="Q5490">
        <f>IF('Loan Tape (S&amp;P)'!V5490="Yes",
    1.20,
    1.00)</f>
        <v/>
      </c>
      <c r="T5490">
        <f>LET(
    payment_method,'Loan Tape (S&amp;P)'!P5490,
    occupancy,'Loan Tape (S&amp;P)'!N5490,
    maturity_date,'Loan Tape (S&amp;P)'!L5490,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91">
      <c r="J5491">
        <f>LET(
    lien,'Loan Tape (S&amp;P)'!Q5491,
    IF(lien="First",1.00,
        IF(lien="Second",1.50,
            1.70)))</f>
        <v/>
      </c>
      <c r="K5491">
        <f>LET(
    purpose,'Loan Tape (S&amp;P)'!R5491,
    IF(purpose="Purchase",1.00,
        IF(purpose="Remortgage",1.00,
            1.20)))</f>
        <v/>
      </c>
      <c r="L5491">
        <f>LET(
    arrears_months,'Loan Tape (S&amp;P)'!AN5491,
    IF(arrears_months=0,1.00,
    IF(arrears_months=1,3.00,
    IF(arrears_months=2,5.00,
    IF(arrears_months=3,8.00,
    IF(arrears_months=4,10.00,
    IF(arrears_months=5,12.00,15.00)))))))</f>
        <v/>
      </c>
      <c r="M5491">
        <f>LET(
    seasoning_years,DATEDIF('Loan Tape (S&amp;P)'!K5491,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91">
        <f>IF(AND('Loan Tape (S&amp;P)'!U5491="Yes",
        'Loan Tape (S&amp;P)'!T5491&lt;&gt;"Yes",
        DATEDIF('Loan Tape (S&amp;P)'!K5491, TODAY(), "M")&lt;18),
    1.10,
    1.00)</f>
        <v/>
      </c>
      <c r="O5491">
        <f>IF('Loan Tape (S&amp;P)'!T5491="Yes",
    1.35,
    1.00)</f>
        <v/>
      </c>
      <c r="P5491">
        <f>IF('Loan Tape (S&amp;P)'!S5491="Yes",
    1.15,
    1.00)</f>
        <v/>
      </c>
      <c r="Q5491">
        <f>IF('Loan Tape (S&amp;P)'!V5491="Yes",
    1.20,
    1.00)</f>
        <v/>
      </c>
      <c r="T5491">
        <f>LET(
    payment_method,'Loan Tape (S&amp;P)'!P5491,
    occupancy,'Loan Tape (S&amp;P)'!N5491,
    maturity_date,'Loan Tape (S&amp;P)'!L5491,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92">
      <c r="J5492">
        <f>LET(
    lien,'Loan Tape (S&amp;P)'!Q5492,
    IF(lien="First",1.00,
        IF(lien="Second",1.50,
            1.70)))</f>
        <v/>
      </c>
      <c r="K5492">
        <f>LET(
    purpose,'Loan Tape (S&amp;P)'!R5492,
    IF(purpose="Purchase",1.00,
        IF(purpose="Remortgage",1.00,
            1.20)))</f>
        <v/>
      </c>
      <c r="L5492">
        <f>LET(
    arrears_months,'Loan Tape (S&amp;P)'!AN5492,
    IF(arrears_months=0,1.00,
    IF(arrears_months=1,3.00,
    IF(arrears_months=2,5.00,
    IF(arrears_months=3,8.00,
    IF(arrears_months=4,10.00,
    IF(arrears_months=5,12.00,15.00)))))))</f>
        <v/>
      </c>
      <c r="M5492">
        <f>LET(
    seasoning_years,DATEDIF('Loan Tape (S&amp;P)'!K5492,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92">
        <f>IF(AND('Loan Tape (S&amp;P)'!U5492="Yes",
        'Loan Tape (S&amp;P)'!T5492&lt;&gt;"Yes",
        DATEDIF('Loan Tape (S&amp;P)'!K5492, TODAY(), "M")&lt;18),
    1.10,
    1.00)</f>
        <v/>
      </c>
      <c r="O5492">
        <f>IF('Loan Tape (S&amp;P)'!T5492="Yes",
    1.35,
    1.00)</f>
        <v/>
      </c>
      <c r="P5492">
        <f>IF('Loan Tape (S&amp;P)'!S5492="Yes",
    1.15,
    1.00)</f>
        <v/>
      </c>
      <c r="Q5492">
        <f>IF('Loan Tape (S&amp;P)'!V5492="Yes",
    1.20,
    1.00)</f>
        <v/>
      </c>
      <c r="T5492">
        <f>LET(
    payment_method,'Loan Tape (S&amp;P)'!P5492,
    occupancy,'Loan Tape (S&amp;P)'!N5492,
    maturity_date,'Loan Tape (S&amp;P)'!L5492,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93">
      <c r="J5493">
        <f>LET(
    lien,'Loan Tape (S&amp;P)'!Q5493,
    IF(lien="First",1.00,
        IF(lien="Second",1.50,
            1.70)))</f>
        <v/>
      </c>
      <c r="K5493">
        <f>LET(
    purpose,'Loan Tape (S&amp;P)'!R5493,
    IF(purpose="Purchase",1.00,
        IF(purpose="Remortgage",1.00,
            1.20)))</f>
        <v/>
      </c>
      <c r="L5493">
        <f>LET(
    arrears_months,'Loan Tape (S&amp;P)'!AN5493,
    IF(arrears_months=0,1.00,
    IF(arrears_months=1,3.00,
    IF(arrears_months=2,5.00,
    IF(arrears_months=3,8.00,
    IF(arrears_months=4,10.00,
    IF(arrears_months=5,12.00,15.00)))))))</f>
        <v/>
      </c>
      <c r="M5493">
        <f>LET(
    seasoning_years,DATEDIF('Loan Tape (S&amp;P)'!K5493,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93">
        <f>IF(AND('Loan Tape (S&amp;P)'!U5493="Yes",
        'Loan Tape (S&amp;P)'!T5493&lt;&gt;"Yes",
        DATEDIF('Loan Tape (S&amp;P)'!K5493, TODAY(), "M")&lt;18),
    1.10,
    1.00)</f>
        <v/>
      </c>
      <c r="O5493">
        <f>IF('Loan Tape (S&amp;P)'!T5493="Yes",
    1.35,
    1.00)</f>
        <v/>
      </c>
      <c r="P5493">
        <f>IF('Loan Tape (S&amp;P)'!S5493="Yes",
    1.15,
    1.00)</f>
        <v/>
      </c>
      <c r="Q5493">
        <f>IF('Loan Tape (S&amp;P)'!V5493="Yes",
    1.20,
    1.00)</f>
        <v/>
      </c>
      <c r="T5493">
        <f>LET(
    payment_method,'Loan Tape (S&amp;P)'!P5493,
    occupancy,'Loan Tape (S&amp;P)'!N5493,
    maturity_date,'Loan Tape (S&amp;P)'!L5493,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94">
      <c r="J5494">
        <f>LET(
    lien,'Loan Tape (S&amp;P)'!Q5494,
    IF(lien="First",1.00,
        IF(lien="Second",1.50,
            1.70)))</f>
        <v/>
      </c>
      <c r="K5494">
        <f>LET(
    purpose,'Loan Tape (S&amp;P)'!R5494,
    IF(purpose="Purchase",1.00,
        IF(purpose="Remortgage",1.00,
            1.20)))</f>
        <v/>
      </c>
      <c r="L5494">
        <f>LET(
    arrears_months,'Loan Tape (S&amp;P)'!AN5494,
    IF(arrears_months=0,1.00,
    IF(arrears_months=1,3.00,
    IF(arrears_months=2,5.00,
    IF(arrears_months=3,8.00,
    IF(arrears_months=4,10.00,
    IF(arrears_months=5,12.00,15.00)))))))</f>
        <v/>
      </c>
      <c r="M5494">
        <f>LET(
    seasoning_years,DATEDIF('Loan Tape (S&amp;P)'!K5494,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94">
        <f>IF(AND('Loan Tape (S&amp;P)'!U5494="Yes",
        'Loan Tape (S&amp;P)'!T5494&lt;&gt;"Yes",
        DATEDIF('Loan Tape (S&amp;P)'!K5494, TODAY(), "M")&lt;18),
    1.10,
    1.00)</f>
        <v/>
      </c>
      <c r="O5494">
        <f>IF('Loan Tape (S&amp;P)'!T5494="Yes",
    1.35,
    1.00)</f>
        <v/>
      </c>
      <c r="P5494">
        <f>IF('Loan Tape (S&amp;P)'!S5494="Yes",
    1.15,
    1.00)</f>
        <v/>
      </c>
      <c r="Q5494">
        <f>IF('Loan Tape (S&amp;P)'!V5494="Yes",
    1.20,
    1.00)</f>
        <v/>
      </c>
      <c r="T5494">
        <f>LET(
    payment_method,'Loan Tape (S&amp;P)'!P5494,
    occupancy,'Loan Tape (S&amp;P)'!N5494,
    maturity_date,'Loan Tape (S&amp;P)'!L5494,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95">
      <c r="J5495">
        <f>LET(
    lien,'Loan Tape (S&amp;P)'!Q5495,
    IF(lien="First",1.00,
        IF(lien="Second",1.50,
            1.70)))</f>
        <v/>
      </c>
      <c r="K5495">
        <f>LET(
    purpose,'Loan Tape (S&amp;P)'!R5495,
    IF(purpose="Purchase",1.00,
        IF(purpose="Remortgage",1.00,
            1.20)))</f>
        <v/>
      </c>
      <c r="L5495">
        <f>LET(
    arrears_months,'Loan Tape (S&amp;P)'!AN5495,
    IF(arrears_months=0,1.00,
    IF(arrears_months=1,3.00,
    IF(arrears_months=2,5.00,
    IF(arrears_months=3,8.00,
    IF(arrears_months=4,10.00,
    IF(arrears_months=5,12.00,15.00)))))))</f>
        <v/>
      </c>
      <c r="M5495">
        <f>LET(
    seasoning_years,DATEDIF('Loan Tape (S&amp;P)'!K5495,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95">
        <f>IF(AND('Loan Tape (S&amp;P)'!U5495="Yes",
        'Loan Tape (S&amp;P)'!T5495&lt;&gt;"Yes",
        DATEDIF('Loan Tape (S&amp;P)'!K5495, TODAY(), "M")&lt;18),
    1.10,
    1.00)</f>
        <v/>
      </c>
      <c r="O5495">
        <f>IF('Loan Tape (S&amp;P)'!T5495="Yes",
    1.35,
    1.00)</f>
        <v/>
      </c>
      <c r="P5495">
        <f>IF('Loan Tape (S&amp;P)'!S5495="Yes",
    1.15,
    1.00)</f>
        <v/>
      </c>
      <c r="Q5495">
        <f>IF('Loan Tape (S&amp;P)'!V5495="Yes",
    1.20,
    1.00)</f>
        <v/>
      </c>
      <c r="T5495">
        <f>LET(
    payment_method,'Loan Tape (S&amp;P)'!P5495,
    occupancy,'Loan Tape (S&amp;P)'!N5495,
    maturity_date,'Loan Tape (S&amp;P)'!L5495,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96">
      <c r="J5496">
        <f>LET(
    lien,'Loan Tape (S&amp;P)'!Q5496,
    IF(lien="First",1.00,
        IF(lien="Second",1.50,
            1.70)))</f>
        <v/>
      </c>
      <c r="K5496">
        <f>LET(
    purpose,'Loan Tape (S&amp;P)'!R5496,
    IF(purpose="Purchase",1.00,
        IF(purpose="Remortgage",1.00,
            1.20)))</f>
        <v/>
      </c>
      <c r="L5496">
        <f>LET(
    arrears_months,'Loan Tape (S&amp;P)'!AN5496,
    IF(arrears_months=0,1.00,
    IF(arrears_months=1,3.00,
    IF(arrears_months=2,5.00,
    IF(arrears_months=3,8.00,
    IF(arrears_months=4,10.00,
    IF(arrears_months=5,12.00,15.00)))))))</f>
        <v/>
      </c>
      <c r="M5496">
        <f>LET(
    seasoning_years,DATEDIF('Loan Tape (S&amp;P)'!K5496,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96">
        <f>IF(AND('Loan Tape (S&amp;P)'!U5496="Yes",
        'Loan Tape (S&amp;P)'!T5496&lt;&gt;"Yes",
        DATEDIF('Loan Tape (S&amp;P)'!K5496, TODAY(), "M")&lt;18),
    1.10,
    1.00)</f>
        <v/>
      </c>
      <c r="O5496">
        <f>IF('Loan Tape (S&amp;P)'!T5496="Yes",
    1.35,
    1.00)</f>
        <v/>
      </c>
      <c r="P5496">
        <f>IF('Loan Tape (S&amp;P)'!S5496="Yes",
    1.15,
    1.00)</f>
        <v/>
      </c>
      <c r="Q5496">
        <f>IF('Loan Tape (S&amp;P)'!V5496="Yes",
    1.20,
    1.00)</f>
        <v/>
      </c>
      <c r="T5496">
        <f>LET(
    payment_method,'Loan Tape (S&amp;P)'!P5496,
    occupancy,'Loan Tape (S&amp;P)'!N5496,
    maturity_date,'Loan Tape (S&amp;P)'!L5496,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97">
      <c r="J5497">
        <f>LET(
    lien,'Loan Tape (S&amp;P)'!Q5497,
    IF(lien="First",1.00,
        IF(lien="Second",1.50,
            1.70)))</f>
        <v/>
      </c>
      <c r="K5497">
        <f>LET(
    purpose,'Loan Tape (S&amp;P)'!R5497,
    IF(purpose="Purchase",1.00,
        IF(purpose="Remortgage",1.00,
            1.20)))</f>
        <v/>
      </c>
      <c r="L5497">
        <f>LET(
    arrears_months,'Loan Tape (S&amp;P)'!AN5497,
    IF(arrears_months=0,1.00,
    IF(arrears_months=1,3.00,
    IF(arrears_months=2,5.00,
    IF(arrears_months=3,8.00,
    IF(arrears_months=4,10.00,
    IF(arrears_months=5,12.00,15.00)))))))</f>
        <v/>
      </c>
      <c r="M5497">
        <f>LET(
    seasoning_years,DATEDIF('Loan Tape (S&amp;P)'!K5497,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97">
        <f>IF(AND('Loan Tape (S&amp;P)'!U5497="Yes",
        'Loan Tape (S&amp;P)'!T5497&lt;&gt;"Yes",
        DATEDIF('Loan Tape (S&amp;P)'!K5497, TODAY(), "M")&lt;18),
    1.10,
    1.00)</f>
        <v/>
      </c>
      <c r="O5497">
        <f>IF('Loan Tape (S&amp;P)'!T5497="Yes",
    1.35,
    1.00)</f>
        <v/>
      </c>
      <c r="P5497">
        <f>IF('Loan Tape (S&amp;P)'!S5497="Yes",
    1.15,
    1.00)</f>
        <v/>
      </c>
      <c r="Q5497">
        <f>IF('Loan Tape (S&amp;P)'!V5497="Yes",
    1.20,
    1.00)</f>
        <v/>
      </c>
      <c r="T5497">
        <f>LET(
    payment_method,'Loan Tape (S&amp;P)'!P5497,
    occupancy,'Loan Tape (S&amp;P)'!N5497,
    maturity_date,'Loan Tape (S&amp;P)'!L5497,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98">
      <c r="J5498">
        <f>LET(
    lien,'Loan Tape (S&amp;P)'!Q5498,
    IF(lien="First",1.00,
        IF(lien="Second",1.50,
            1.70)))</f>
        <v/>
      </c>
      <c r="K5498">
        <f>LET(
    purpose,'Loan Tape (S&amp;P)'!R5498,
    IF(purpose="Purchase",1.00,
        IF(purpose="Remortgage",1.00,
            1.20)))</f>
        <v/>
      </c>
      <c r="L5498">
        <f>LET(
    arrears_months,'Loan Tape (S&amp;P)'!AN5498,
    IF(arrears_months=0,1.00,
    IF(arrears_months=1,3.00,
    IF(arrears_months=2,5.00,
    IF(arrears_months=3,8.00,
    IF(arrears_months=4,10.00,
    IF(arrears_months=5,12.00,15.00)))))))</f>
        <v/>
      </c>
      <c r="M5498">
        <f>LET(
    seasoning_years,DATEDIF('Loan Tape (S&amp;P)'!K5498,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98">
        <f>IF(AND('Loan Tape (S&amp;P)'!U5498="Yes",
        'Loan Tape (S&amp;P)'!T5498&lt;&gt;"Yes",
        DATEDIF('Loan Tape (S&amp;P)'!K5498, TODAY(), "M")&lt;18),
    1.10,
    1.00)</f>
        <v/>
      </c>
      <c r="O5498">
        <f>IF('Loan Tape (S&amp;P)'!T5498="Yes",
    1.35,
    1.00)</f>
        <v/>
      </c>
      <c r="P5498">
        <f>IF('Loan Tape (S&amp;P)'!S5498="Yes",
    1.15,
    1.00)</f>
        <v/>
      </c>
      <c r="Q5498">
        <f>IF('Loan Tape (S&amp;P)'!V5498="Yes",
    1.20,
    1.00)</f>
        <v/>
      </c>
      <c r="T5498">
        <f>LET(
    payment_method,'Loan Tape (S&amp;P)'!P5498,
    occupancy,'Loan Tape (S&amp;P)'!N5498,
    maturity_date,'Loan Tape (S&amp;P)'!L5498,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499">
      <c r="J5499">
        <f>LET(
    lien,'Loan Tape (S&amp;P)'!Q5499,
    IF(lien="First",1.00,
        IF(lien="Second",1.50,
            1.70)))</f>
        <v/>
      </c>
      <c r="K5499">
        <f>LET(
    purpose,'Loan Tape (S&amp;P)'!R5499,
    IF(purpose="Purchase",1.00,
        IF(purpose="Remortgage",1.00,
            1.20)))</f>
        <v/>
      </c>
      <c r="L5499">
        <f>LET(
    arrears_months,'Loan Tape (S&amp;P)'!AN5499,
    IF(arrears_months=0,1.00,
    IF(arrears_months=1,3.00,
    IF(arrears_months=2,5.00,
    IF(arrears_months=3,8.00,
    IF(arrears_months=4,10.00,
    IF(arrears_months=5,12.00,15.00)))))))</f>
        <v/>
      </c>
      <c r="M5499">
        <f>LET(
    seasoning_years,DATEDIF('Loan Tape (S&amp;P)'!K5499,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499">
        <f>IF(AND('Loan Tape (S&amp;P)'!U5499="Yes",
        'Loan Tape (S&amp;P)'!T5499&lt;&gt;"Yes",
        DATEDIF('Loan Tape (S&amp;P)'!K5499, TODAY(), "M")&lt;18),
    1.10,
    1.00)</f>
        <v/>
      </c>
      <c r="O5499">
        <f>IF('Loan Tape (S&amp;P)'!T5499="Yes",
    1.35,
    1.00)</f>
        <v/>
      </c>
      <c r="P5499">
        <f>IF('Loan Tape (S&amp;P)'!S5499="Yes",
    1.15,
    1.00)</f>
        <v/>
      </c>
      <c r="Q5499">
        <f>IF('Loan Tape (S&amp;P)'!V5499="Yes",
    1.20,
    1.00)</f>
        <v/>
      </c>
      <c r="T5499">
        <f>LET(
    payment_method,'Loan Tape (S&amp;P)'!P5499,
    occupancy,'Loan Tape (S&amp;P)'!N5499,
    maturity_date,'Loan Tape (S&amp;P)'!L5499,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00">
      <c r="J5500">
        <f>LET(
    lien,'Loan Tape (S&amp;P)'!Q5500,
    IF(lien="First",1.00,
        IF(lien="Second",1.50,
            1.70)))</f>
        <v/>
      </c>
      <c r="K5500">
        <f>LET(
    purpose,'Loan Tape (S&amp;P)'!R5500,
    IF(purpose="Purchase",1.00,
        IF(purpose="Remortgage",1.00,
            1.20)))</f>
        <v/>
      </c>
      <c r="L5500">
        <f>LET(
    arrears_months,'Loan Tape (S&amp;P)'!AN5500,
    IF(arrears_months=0,1.00,
    IF(arrears_months=1,3.00,
    IF(arrears_months=2,5.00,
    IF(arrears_months=3,8.00,
    IF(arrears_months=4,10.00,
    IF(arrears_months=5,12.00,15.00)))))))</f>
        <v/>
      </c>
      <c r="M5500">
        <f>LET(
    seasoning_years,DATEDIF('Loan Tape (S&amp;P)'!K5500,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00">
        <f>IF(AND('Loan Tape (S&amp;P)'!U5500="Yes",
        'Loan Tape (S&amp;P)'!T5500&lt;&gt;"Yes",
        DATEDIF('Loan Tape (S&amp;P)'!K5500, TODAY(), "M")&lt;18),
    1.10,
    1.00)</f>
        <v/>
      </c>
      <c r="O5500">
        <f>IF('Loan Tape (S&amp;P)'!T5500="Yes",
    1.35,
    1.00)</f>
        <v/>
      </c>
      <c r="P5500">
        <f>IF('Loan Tape (S&amp;P)'!S5500="Yes",
    1.15,
    1.00)</f>
        <v/>
      </c>
      <c r="Q5500">
        <f>IF('Loan Tape (S&amp;P)'!V5500="Yes",
    1.20,
    1.00)</f>
        <v/>
      </c>
      <c r="T5500">
        <f>LET(
    payment_method,'Loan Tape (S&amp;P)'!P5500,
    occupancy,'Loan Tape (S&amp;P)'!N5500,
    maturity_date,'Loan Tape (S&amp;P)'!L5500,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01">
      <c r="J5501">
        <f>LET(
    lien,'Loan Tape (S&amp;P)'!Q5501,
    IF(lien="First",1.00,
        IF(lien="Second",1.50,
            1.70)))</f>
        <v/>
      </c>
      <c r="K5501">
        <f>LET(
    purpose,'Loan Tape (S&amp;P)'!R5501,
    IF(purpose="Purchase",1.00,
        IF(purpose="Remortgage",1.00,
            1.20)))</f>
        <v/>
      </c>
      <c r="L5501">
        <f>LET(
    arrears_months,'Loan Tape (S&amp;P)'!AN5501,
    IF(arrears_months=0,1.00,
    IF(arrears_months=1,3.00,
    IF(arrears_months=2,5.00,
    IF(arrears_months=3,8.00,
    IF(arrears_months=4,10.00,
    IF(arrears_months=5,12.00,15.00)))))))</f>
        <v/>
      </c>
      <c r="M5501">
        <f>LET(
    seasoning_years,DATEDIF('Loan Tape (S&amp;P)'!K5501,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01">
        <f>IF(AND('Loan Tape (S&amp;P)'!U5501="Yes",
        'Loan Tape (S&amp;P)'!T5501&lt;&gt;"Yes",
        DATEDIF('Loan Tape (S&amp;P)'!K5501, TODAY(), "M")&lt;18),
    1.10,
    1.00)</f>
        <v/>
      </c>
      <c r="O5501">
        <f>IF('Loan Tape (S&amp;P)'!T5501="Yes",
    1.35,
    1.00)</f>
        <v/>
      </c>
      <c r="P5501">
        <f>IF('Loan Tape (S&amp;P)'!S5501="Yes",
    1.15,
    1.00)</f>
        <v/>
      </c>
      <c r="Q5501">
        <f>IF('Loan Tape (S&amp;P)'!V5501="Yes",
    1.20,
    1.00)</f>
        <v/>
      </c>
      <c r="T5501">
        <f>LET(
    payment_method,'Loan Tape (S&amp;P)'!P5501,
    occupancy,'Loan Tape (S&amp;P)'!N5501,
    maturity_date,'Loan Tape (S&amp;P)'!L5501,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02">
      <c r="J5502">
        <f>LET(
    lien,'Loan Tape (S&amp;P)'!Q5502,
    IF(lien="First",1.00,
        IF(lien="Second",1.50,
            1.70)))</f>
        <v/>
      </c>
      <c r="K5502">
        <f>LET(
    purpose,'Loan Tape (S&amp;P)'!R5502,
    IF(purpose="Purchase",1.00,
        IF(purpose="Remortgage",1.00,
            1.20)))</f>
        <v/>
      </c>
      <c r="L5502">
        <f>LET(
    arrears_months,'Loan Tape (S&amp;P)'!AN5502,
    IF(arrears_months=0,1.00,
    IF(arrears_months=1,3.00,
    IF(arrears_months=2,5.00,
    IF(arrears_months=3,8.00,
    IF(arrears_months=4,10.00,
    IF(arrears_months=5,12.00,15.00)))))))</f>
        <v/>
      </c>
      <c r="M5502">
        <f>LET(
    seasoning_years,DATEDIF('Loan Tape (S&amp;P)'!K5502,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02">
        <f>IF(AND('Loan Tape (S&amp;P)'!U5502="Yes",
        'Loan Tape (S&amp;P)'!T5502&lt;&gt;"Yes",
        DATEDIF('Loan Tape (S&amp;P)'!K5502, TODAY(), "M")&lt;18),
    1.10,
    1.00)</f>
        <v/>
      </c>
      <c r="O5502">
        <f>IF('Loan Tape (S&amp;P)'!T5502="Yes",
    1.35,
    1.00)</f>
        <v/>
      </c>
      <c r="P5502">
        <f>IF('Loan Tape (S&amp;P)'!S5502="Yes",
    1.15,
    1.00)</f>
        <v/>
      </c>
      <c r="Q5502">
        <f>IF('Loan Tape (S&amp;P)'!V5502="Yes",
    1.20,
    1.00)</f>
        <v/>
      </c>
      <c r="T5502">
        <f>LET(
    payment_method,'Loan Tape (S&amp;P)'!P5502,
    occupancy,'Loan Tape (S&amp;P)'!N5502,
    maturity_date,'Loan Tape (S&amp;P)'!L5502,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03">
      <c r="J5503">
        <f>LET(
    lien,'Loan Tape (S&amp;P)'!Q5503,
    IF(lien="First",1.00,
        IF(lien="Second",1.50,
            1.70)))</f>
        <v/>
      </c>
      <c r="K5503">
        <f>LET(
    purpose,'Loan Tape (S&amp;P)'!R5503,
    IF(purpose="Purchase",1.00,
        IF(purpose="Remortgage",1.00,
            1.20)))</f>
        <v/>
      </c>
      <c r="L5503">
        <f>LET(
    arrears_months,'Loan Tape (S&amp;P)'!AN5503,
    IF(arrears_months=0,1.00,
    IF(arrears_months=1,3.00,
    IF(arrears_months=2,5.00,
    IF(arrears_months=3,8.00,
    IF(arrears_months=4,10.00,
    IF(arrears_months=5,12.00,15.00)))))))</f>
        <v/>
      </c>
      <c r="M5503">
        <f>LET(
    seasoning_years,DATEDIF('Loan Tape (S&amp;P)'!K5503,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03">
        <f>IF(AND('Loan Tape (S&amp;P)'!U5503="Yes",
        'Loan Tape (S&amp;P)'!T5503&lt;&gt;"Yes",
        DATEDIF('Loan Tape (S&amp;P)'!K5503, TODAY(), "M")&lt;18),
    1.10,
    1.00)</f>
        <v/>
      </c>
      <c r="O5503">
        <f>IF('Loan Tape (S&amp;P)'!T5503="Yes",
    1.35,
    1.00)</f>
        <v/>
      </c>
      <c r="P5503">
        <f>IF('Loan Tape (S&amp;P)'!S5503="Yes",
    1.15,
    1.00)</f>
        <v/>
      </c>
      <c r="Q5503">
        <f>IF('Loan Tape (S&amp;P)'!V5503="Yes",
    1.20,
    1.00)</f>
        <v/>
      </c>
      <c r="T5503">
        <f>LET(
    payment_method,'Loan Tape (S&amp;P)'!P5503,
    occupancy,'Loan Tape (S&amp;P)'!N5503,
    maturity_date,'Loan Tape (S&amp;P)'!L5503,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04">
      <c r="J5504">
        <f>LET(
    lien,'Loan Tape (S&amp;P)'!Q5504,
    IF(lien="First",1.00,
        IF(lien="Second",1.50,
            1.70)))</f>
        <v/>
      </c>
      <c r="K5504">
        <f>LET(
    purpose,'Loan Tape (S&amp;P)'!R5504,
    IF(purpose="Purchase",1.00,
        IF(purpose="Remortgage",1.00,
            1.20)))</f>
        <v/>
      </c>
      <c r="L5504">
        <f>LET(
    arrears_months,'Loan Tape (S&amp;P)'!AN5504,
    IF(arrears_months=0,1.00,
    IF(arrears_months=1,3.00,
    IF(arrears_months=2,5.00,
    IF(arrears_months=3,8.00,
    IF(arrears_months=4,10.00,
    IF(arrears_months=5,12.00,15.00)))))))</f>
        <v/>
      </c>
      <c r="M5504">
        <f>LET(
    seasoning_years,DATEDIF('Loan Tape (S&amp;P)'!K5504,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04">
        <f>IF(AND('Loan Tape (S&amp;P)'!U5504="Yes",
        'Loan Tape (S&amp;P)'!T5504&lt;&gt;"Yes",
        DATEDIF('Loan Tape (S&amp;P)'!K5504, TODAY(), "M")&lt;18),
    1.10,
    1.00)</f>
        <v/>
      </c>
      <c r="O5504">
        <f>IF('Loan Tape (S&amp;P)'!T5504="Yes",
    1.35,
    1.00)</f>
        <v/>
      </c>
      <c r="P5504">
        <f>IF('Loan Tape (S&amp;P)'!S5504="Yes",
    1.15,
    1.00)</f>
        <v/>
      </c>
      <c r="Q5504">
        <f>IF('Loan Tape (S&amp;P)'!V5504="Yes",
    1.20,
    1.00)</f>
        <v/>
      </c>
      <c r="T5504">
        <f>LET(
    payment_method,'Loan Tape (S&amp;P)'!P5504,
    occupancy,'Loan Tape (S&amp;P)'!N5504,
    maturity_date,'Loan Tape (S&amp;P)'!L5504,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05">
      <c r="J5505">
        <f>LET(
    lien,'Loan Tape (S&amp;P)'!Q5505,
    IF(lien="First",1.00,
        IF(lien="Second",1.50,
            1.70)))</f>
        <v/>
      </c>
      <c r="K5505">
        <f>LET(
    purpose,'Loan Tape (S&amp;P)'!R5505,
    IF(purpose="Purchase",1.00,
        IF(purpose="Remortgage",1.00,
            1.20)))</f>
        <v/>
      </c>
      <c r="L5505">
        <f>LET(
    arrears_months,'Loan Tape (S&amp;P)'!AN5505,
    IF(arrears_months=0,1.00,
    IF(arrears_months=1,3.00,
    IF(arrears_months=2,5.00,
    IF(arrears_months=3,8.00,
    IF(arrears_months=4,10.00,
    IF(arrears_months=5,12.00,15.00)))))))</f>
        <v/>
      </c>
      <c r="M5505">
        <f>LET(
    seasoning_years,DATEDIF('Loan Tape (S&amp;P)'!K5505,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05">
        <f>IF(AND('Loan Tape (S&amp;P)'!U5505="Yes",
        'Loan Tape (S&amp;P)'!T5505&lt;&gt;"Yes",
        DATEDIF('Loan Tape (S&amp;P)'!K5505, TODAY(), "M")&lt;18),
    1.10,
    1.00)</f>
        <v/>
      </c>
      <c r="O5505">
        <f>IF('Loan Tape (S&amp;P)'!T5505="Yes",
    1.35,
    1.00)</f>
        <v/>
      </c>
      <c r="P5505">
        <f>IF('Loan Tape (S&amp;P)'!S5505="Yes",
    1.15,
    1.00)</f>
        <v/>
      </c>
      <c r="Q5505">
        <f>IF('Loan Tape (S&amp;P)'!V5505="Yes",
    1.20,
    1.00)</f>
        <v/>
      </c>
      <c r="T5505">
        <f>LET(
    payment_method,'Loan Tape (S&amp;P)'!P5505,
    occupancy,'Loan Tape (S&amp;P)'!N5505,
    maturity_date,'Loan Tape (S&amp;P)'!L5505,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06">
      <c r="J5506">
        <f>LET(
    lien,'Loan Tape (S&amp;P)'!Q5506,
    IF(lien="First",1.00,
        IF(lien="Second",1.50,
            1.70)))</f>
        <v/>
      </c>
      <c r="K5506">
        <f>LET(
    purpose,'Loan Tape (S&amp;P)'!R5506,
    IF(purpose="Purchase",1.00,
        IF(purpose="Remortgage",1.00,
            1.20)))</f>
        <v/>
      </c>
      <c r="L5506">
        <f>LET(
    arrears_months,'Loan Tape (S&amp;P)'!AN5506,
    IF(arrears_months=0,1.00,
    IF(arrears_months=1,3.00,
    IF(arrears_months=2,5.00,
    IF(arrears_months=3,8.00,
    IF(arrears_months=4,10.00,
    IF(arrears_months=5,12.00,15.00)))))))</f>
        <v/>
      </c>
      <c r="M5506">
        <f>LET(
    seasoning_years,DATEDIF('Loan Tape (S&amp;P)'!K5506,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06">
        <f>IF(AND('Loan Tape (S&amp;P)'!U5506="Yes",
        'Loan Tape (S&amp;P)'!T5506&lt;&gt;"Yes",
        DATEDIF('Loan Tape (S&amp;P)'!K5506, TODAY(), "M")&lt;18),
    1.10,
    1.00)</f>
        <v/>
      </c>
      <c r="O5506">
        <f>IF('Loan Tape (S&amp;P)'!T5506="Yes",
    1.35,
    1.00)</f>
        <v/>
      </c>
      <c r="P5506">
        <f>IF('Loan Tape (S&amp;P)'!S5506="Yes",
    1.15,
    1.00)</f>
        <v/>
      </c>
      <c r="Q5506">
        <f>IF('Loan Tape (S&amp;P)'!V5506="Yes",
    1.20,
    1.00)</f>
        <v/>
      </c>
      <c r="T5506">
        <f>LET(
    payment_method,'Loan Tape (S&amp;P)'!P5506,
    occupancy,'Loan Tape (S&amp;P)'!N5506,
    maturity_date,'Loan Tape (S&amp;P)'!L5506,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07">
      <c r="J5507">
        <f>LET(
    lien,'Loan Tape (S&amp;P)'!Q5507,
    IF(lien="First",1.00,
        IF(lien="Second",1.50,
            1.70)))</f>
        <v/>
      </c>
      <c r="K5507">
        <f>LET(
    purpose,'Loan Tape (S&amp;P)'!R5507,
    IF(purpose="Purchase",1.00,
        IF(purpose="Remortgage",1.00,
            1.20)))</f>
        <v/>
      </c>
      <c r="L5507">
        <f>LET(
    arrears_months,'Loan Tape (S&amp;P)'!AN5507,
    IF(arrears_months=0,1.00,
    IF(arrears_months=1,3.00,
    IF(arrears_months=2,5.00,
    IF(arrears_months=3,8.00,
    IF(arrears_months=4,10.00,
    IF(arrears_months=5,12.00,15.00)))))))</f>
        <v/>
      </c>
      <c r="M5507">
        <f>LET(
    seasoning_years,DATEDIF('Loan Tape (S&amp;P)'!K5507,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07">
        <f>IF(AND('Loan Tape (S&amp;P)'!U5507="Yes",
        'Loan Tape (S&amp;P)'!T5507&lt;&gt;"Yes",
        DATEDIF('Loan Tape (S&amp;P)'!K5507, TODAY(), "M")&lt;18),
    1.10,
    1.00)</f>
        <v/>
      </c>
      <c r="O5507">
        <f>IF('Loan Tape (S&amp;P)'!T5507="Yes",
    1.35,
    1.00)</f>
        <v/>
      </c>
      <c r="P5507">
        <f>IF('Loan Tape (S&amp;P)'!S5507="Yes",
    1.15,
    1.00)</f>
        <v/>
      </c>
      <c r="Q5507">
        <f>IF('Loan Tape (S&amp;P)'!V5507="Yes",
    1.20,
    1.00)</f>
        <v/>
      </c>
      <c r="T5507">
        <f>LET(
    payment_method,'Loan Tape (S&amp;P)'!P5507,
    occupancy,'Loan Tape (S&amp;P)'!N5507,
    maturity_date,'Loan Tape (S&amp;P)'!L5507,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08">
      <c r="J5508">
        <f>LET(
    lien,'Loan Tape (S&amp;P)'!Q5508,
    IF(lien="First",1.00,
        IF(lien="Second",1.50,
            1.70)))</f>
        <v/>
      </c>
      <c r="K5508">
        <f>LET(
    purpose,'Loan Tape (S&amp;P)'!R5508,
    IF(purpose="Purchase",1.00,
        IF(purpose="Remortgage",1.00,
            1.20)))</f>
        <v/>
      </c>
      <c r="L5508">
        <f>LET(
    arrears_months,'Loan Tape (S&amp;P)'!AN5508,
    IF(arrears_months=0,1.00,
    IF(arrears_months=1,3.00,
    IF(arrears_months=2,5.00,
    IF(arrears_months=3,8.00,
    IF(arrears_months=4,10.00,
    IF(arrears_months=5,12.00,15.00)))))))</f>
        <v/>
      </c>
      <c r="M5508">
        <f>LET(
    seasoning_years,DATEDIF('Loan Tape (S&amp;P)'!K5508,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08">
        <f>IF(AND('Loan Tape (S&amp;P)'!U5508="Yes",
        'Loan Tape (S&amp;P)'!T5508&lt;&gt;"Yes",
        DATEDIF('Loan Tape (S&amp;P)'!K5508, TODAY(), "M")&lt;18),
    1.10,
    1.00)</f>
        <v/>
      </c>
      <c r="O5508">
        <f>IF('Loan Tape (S&amp;P)'!T5508="Yes",
    1.35,
    1.00)</f>
        <v/>
      </c>
      <c r="P5508">
        <f>IF('Loan Tape (S&amp;P)'!S5508="Yes",
    1.15,
    1.00)</f>
        <v/>
      </c>
      <c r="Q5508">
        <f>IF('Loan Tape (S&amp;P)'!V5508="Yes",
    1.20,
    1.00)</f>
        <v/>
      </c>
      <c r="T5508">
        <f>LET(
    payment_method,'Loan Tape (S&amp;P)'!P5508,
    occupancy,'Loan Tape (S&amp;P)'!N5508,
    maturity_date,'Loan Tape (S&amp;P)'!L5508,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09">
      <c r="J5509">
        <f>LET(
    lien,'Loan Tape (S&amp;P)'!Q5509,
    IF(lien="First",1.00,
        IF(lien="Second",1.50,
            1.70)))</f>
        <v/>
      </c>
      <c r="K5509">
        <f>LET(
    purpose,'Loan Tape (S&amp;P)'!R5509,
    IF(purpose="Purchase",1.00,
        IF(purpose="Remortgage",1.00,
            1.20)))</f>
        <v/>
      </c>
      <c r="L5509">
        <f>LET(
    arrears_months,'Loan Tape (S&amp;P)'!AN5509,
    IF(arrears_months=0,1.00,
    IF(arrears_months=1,3.00,
    IF(arrears_months=2,5.00,
    IF(arrears_months=3,8.00,
    IF(arrears_months=4,10.00,
    IF(arrears_months=5,12.00,15.00)))))))</f>
        <v/>
      </c>
      <c r="M5509">
        <f>LET(
    seasoning_years,DATEDIF('Loan Tape (S&amp;P)'!K5509,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09">
        <f>IF(AND('Loan Tape (S&amp;P)'!U5509="Yes",
        'Loan Tape (S&amp;P)'!T5509&lt;&gt;"Yes",
        DATEDIF('Loan Tape (S&amp;P)'!K5509, TODAY(), "M")&lt;18),
    1.10,
    1.00)</f>
        <v/>
      </c>
      <c r="O5509">
        <f>IF('Loan Tape (S&amp;P)'!T5509="Yes",
    1.35,
    1.00)</f>
        <v/>
      </c>
      <c r="P5509">
        <f>IF('Loan Tape (S&amp;P)'!S5509="Yes",
    1.15,
    1.00)</f>
        <v/>
      </c>
      <c r="Q5509">
        <f>IF('Loan Tape (S&amp;P)'!V5509="Yes",
    1.20,
    1.00)</f>
        <v/>
      </c>
      <c r="T5509">
        <f>LET(
    payment_method,'Loan Tape (S&amp;P)'!P5509,
    occupancy,'Loan Tape (S&amp;P)'!N5509,
    maturity_date,'Loan Tape (S&amp;P)'!L5509,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10">
      <c r="J5510">
        <f>LET(
    lien,'Loan Tape (S&amp;P)'!Q5510,
    IF(lien="First",1.00,
        IF(lien="Second",1.50,
            1.70)))</f>
        <v/>
      </c>
      <c r="K5510">
        <f>LET(
    purpose,'Loan Tape (S&amp;P)'!R5510,
    IF(purpose="Purchase",1.00,
        IF(purpose="Remortgage",1.00,
            1.20)))</f>
        <v/>
      </c>
      <c r="L5510">
        <f>LET(
    arrears_months,'Loan Tape (S&amp;P)'!AN5510,
    IF(arrears_months=0,1.00,
    IF(arrears_months=1,3.00,
    IF(arrears_months=2,5.00,
    IF(arrears_months=3,8.00,
    IF(arrears_months=4,10.00,
    IF(arrears_months=5,12.00,15.00)))))))</f>
        <v/>
      </c>
      <c r="M5510">
        <f>LET(
    seasoning_years,DATEDIF('Loan Tape (S&amp;P)'!K5510,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10">
        <f>IF(AND('Loan Tape (S&amp;P)'!U5510="Yes",
        'Loan Tape (S&amp;P)'!T5510&lt;&gt;"Yes",
        DATEDIF('Loan Tape (S&amp;P)'!K5510, TODAY(), "M")&lt;18),
    1.10,
    1.00)</f>
        <v/>
      </c>
      <c r="O5510">
        <f>IF('Loan Tape (S&amp;P)'!T5510="Yes",
    1.35,
    1.00)</f>
        <v/>
      </c>
      <c r="P5510">
        <f>IF('Loan Tape (S&amp;P)'!S5510="Yes",
    1.15,
    1.00)</f>
        <v/>
      </c>
      <c r="Q5510">
        <f>IF('Loan Tape (S&amp;P)'!V5510="Yes",
    1.20,
    1.00)</f>
        <v/>
      </c>
      <c r="T5510">
        <f>LET(
    payment_method,'Loan Tape (S&amp;P)'!P5510,
    occupancy,'Loan Tape (S&amp;P)'!N5510,
    maturity_date,'Loan Tape (S&amp;P)'!L5510,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11">
      <c r="J5511">
        <f>LET(
    lien,'Loan Tape (S&amp;P)'!Q5511,
    IF(lien="First",1.00,
        IF(lien="Second",1.50,
            1.70)))</f>
        <v/>
      </c>
      <c r="K5511">
        <f>LET(
    purpose,'Loan Tape (S&amp;P)'!R5511,
    IF(purpose="Purchase",1.00,
        IF(purpose="Remortgage",1.00,
            1.20)))</f>
        <v/>
      </c>
      <c r="L5511">
        <f>LET(
    arrears_months,'Loan Tape (S&amp;P)'!AN5511,
    IF(arrears_months=0,1.00,
    IF(arrears_months=1,3.00,
    IF(arrears_months=2,5.00,
    IF(arrears_months=3,8.00,
    IF(arrears_months=4,10.00,
    IF(arrears_months=5,12.00,15.00)))))))</f>
        <v/>
      </c>
      <c r="M5511">
        <f>LET(
    seasoning_years,DATEDIF('Loan Tape (S&amp;P)'!K5511,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11">
        <f>IF(AND('Loan Tape (S&amp;P)'!U5511="Yes",
        'Loan Tape (S&amp;P)'!T5511&lt;&gt;"Yes",
        DATEDIF('Loan Tape (S&amp;P)'!K5511, TODAY(), "M")&lt;18),
    1.10,
    1.00)</f>
        <v/>
      </c>
      <c r="O5511">
        <f>IF('Loan Tape (S&amp;P)'!T5511="Yes",
    1.35,
    1.00)</f>
        <v/>
      </c>
      <c r="P5511">
        <f>IF('Loan Tape (S&amp;P)'!S5511="Yes",
    1.15,
    1.00)</f>
        <v/>
      </c>
      <c r="Q5511">
        <f>IF('Loan Tape (S&amp;P)'!V5511="Yes",
    1.20,
    1.00)</f>
        <v/>
      </c>
      <c r="T5511">
        <f>LET(
    payment_method,'Loan Tape (S&amp;P)'!P5511,
    occupancy,'Loan Tape (S&amp;P)'!N5511,
    maturity_date,'Loan Tape (S&amp;P)'!L5511,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12">
      <c r="J5512">
        <f>LET(
    lien,'Loan Tape (S&amp;P)'!Q5512,
    IF(lien="First",1.00,
        IF(lien="Second",1.50,
            1.70)))</f>
        <v/>
      </c>
      <c r="K5512">
        <f>LET(
    purpose,'Loan Tape (S&amp;P)'!R5512,
    IF(purpose="Purchase",1.00,
        IF(purpose="Remortgage",1.00,
            1.20)))</f>
        <v/>
      </c>
      <c r="L5512">
        <f>LET(
    arrears_months,'Loan Tape (S&amp;P)'!AN5512,
    IF(arrears_months=0,1.00,
    IF(arrears_months=1,3.00,
    IF(arrears_months=2,5.00,
    IF(arrears_months=3,8.00,
    IF(arrears_months=4,10.00,
    IF(arrears_months=5,12.00,15.00)))))))</f>
        <v/>
      </c>
      <c r="M5512">
        <f>LET(
    seasoning_years,DATEDIF('Loan Tape (S&amp;P)'!K5512,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12">
        <f>IF(AND('Loan Tape (S&amp;P)'!U5512="Yes",
        'Loan Tape (S&amp;P)'!T5512&lt;&gt;"Yes",
        DATEDIF('Loan Tape (S&amp;P)'!K5512, TODAY(), "M")&lt;18),
    1.10,
    1.00)</f>
        <v/>
      </c>
      <c r="O5512">
        <f>IF('Loan Tape (S&amp;P)'!T5512="Yes",
    1.35,
    1.00)</f>
        <v/>
      </c>
      <c r="P5512">
        <f>IF('Loan Tape (S&amp;P)'!S5512="Yes",
    1.15,
    1.00)</f>
        <v/>
      </c>
      <c r="Q5512">
        <f>IF('Loan Tape (S&amp;P)'!V5512="Yes",
    1.20,
    1.00)</f>
        <v/>
      </c>
      <c r="T5512">
        <f>LET(
    payment_method,'Loan Tape (S&amp;P)'!P5512,
    occupancy,'Loan Tape (S&amp;P)'!N5512,
    maturity_date,'Loan Tape (S&amp;P)'!L5512,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13">
      <c r="J5513">
        <f>LET(
    lien,'Loan Tape (S&amp;P)'!Q5513,
    IF(lien="First",1.00,
        IF(lien="Second",1.50,
            1.70)))</f>
        <v/>
      </c>
      <c r="K5513">
        <f>LET(
    purpose,'Loan Tape (S&amp;P)'!R5513,
    IF(purpose="Purchase",1.00,
        IF(purpose="Remortgage",1.00,
            1.20)))</f>
        <v/>
      </c>
      <c r="L5513">
        <f>LET(
    arrears_months,'Loan Tape (S&amp;P)'!AN5513,
    IF(arrears_months=0,1.00,
    IF(arrears_months=1,3.00,
    IF(arrears_months=2,5.00,
    IF(arrears_months=3,8.00,
    IF(arrears_months=4,10.00,
    IF(arrears_months=5,12.00,15.00)))))))</f>
        <v/>
      </c>
      <c r="M5513">
        <f>LET(
    seasoning_years,DATEDIF('Loan Tape (S&amp;P)'!K5513,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13">
        <f>IF(AND('Loan Tape (S&amp;P)'!U5513="Yes",
        'Loan Tape (S&amp;P)'!T5513&lt;&gt;"Yes",
        DATEDIF('Loan Tape (S&amp;P)'!K5513, TODAY(), "M")&lt;18),
    1.10,
    1.00)</f>
        <v/>
      </c>
      <c r="O5513">
        <f>IF('Loan Tape (S&amp;P)'!T5513="Yes",
    1.35,
    1.00)</f>
        <v/>
      </c>
      <c r="P5513">
        <f>IF('Loan Tape (S&amp;P)'!S5513="Yes",
    1.15,
    1.00)</f>
        <v/>
      </c>
      <c r="Q5513">
        <f>IF('Loan Tape (S&amp;P)'!V5513="Yes",
    1.20,
    1.00)</f>
        <v/>
      </c>
      <c r="T5513">
        <f>LET(
    payment_method,'Loan Tape (S&amp;P)'!P5513,
    occupancy,'Loan Tape (S&amp;P)'!N5513,
    maturity_date,'Loan Tape (S&amp;P)'!L5513,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14">
      <c r="J5514">
        <f>LET(
    lien,'Loan Tape (S&amp;P)'!Q5514,
    IF(lien="First",1.00,
        IF(lien="Second",1.50,
            1.70)))</f>
        <v/>
      </c>
      <c r="K5514">
        <f>LET(
    purpose,'Loan Tape (S&amp;P)'!R5514,
    IF(purpose="Purchase",1.00,
        IF(purpose="Remortgage",1.00,
            1.20)))</f>
        <v/>
      </c>
      <c r="L5514">
        <f>LET(
    arrears_months,'Loan Tape (S&amp;P)'!AN5514,
    IF(arrears_months=0,1.00,
    IF(arrears_months=1,3.00,
    IF(arrears_months=2,5.00,
    IF(arrears_months=3,8.00,
    IF(arrears_months=4,10.00,
    IF(arrears_months=5,12.00,15.00)))))))</f>
        <v/>
      </c>
      <c r="M5514">
        <f>LET(
    seasoning_years,DATEDIF('Loan Tape (S&amp;P)'!K5514,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14">
        <f>IF(AND('Loan Tape (S&amp;P)'!U5514="Yes",
        'Loan Tape (S&amp;P)'!T5514&lt;&gt;"Yes",
        DATEDIF('Loan Tape (S&amp;P)'!K5514, TODAY(), "M")&lt;18),
    1.10,
    1.00)</f>
        <v/>
      </c>
      <c r="O5514">
        <f>IF('Loan Tape (S&amp;P)'!T5514="Yes",
    1.35,
    1.00)</f>
        <v/>
      </c>
      <c r="P5514">
        <f>IF('Loan Tape (S&amp;P)'!S5514="Yes",
    1.15,
    1.00)</f>
        <v/>
      </c>
      <c r="Q5514">
        <f>IF('Loan Tape (S&amp;P)'!V5514="Yes",
    1.20,
    1.00)</f>
        <v/>
      </c>
      <c r="T5514">
        <f>LET(
    payment_method,'Loan Tape (S&amp;P)'!P5514,
    occupancy,'Loan Tape (S&amp;P)'!N5514,
    maturity_date,'Loan Tape (S&amp;P)'!L5514,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15">
      <c r="J5515">
        <f>LET(
    lien,'Loan Tape (S&amp;P)'!Q5515,
    IF(lien="First",1.00,
        IF(lien="Second",1.50,
            1.70)))</f>
        <v/>
      </c>
      <c r="K5515">
        <f>LET(
    purpose,'Loan Tape (S&amp;P)'!R5515,
    IF(purpose="Purchase",1.00,
        IF(purpose="Remortgage",1.00,
            1.20)))</f>
        <v/>
      </c>
      <c r="L5515">
        <f>LET(
    arrears_months,'Loan Tape (S&amp;P)'!AN5515,
    IF(arrears_months=0,1.00,
    IF(arrears_months=1,3.00,
    IF(arrears_months=2,5.00,
    IF(arrears_months=3,8.00,
    IF(arrears_months=4,10.00,
    IF(arrears_months=5,12.00,15.00)))))))</f>
        <v/>
      </c>
      <c r="M5515">
        <f>LET(
    seasoning_years,DATEDIF('Loan Tape (S&amp;P)'!K5515,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15">
        <f>IF(AND('Loan Tape (S&amp;P)'!U5515="Yes",
        'Loan Tape (S&amp;P)'!T5515&lt;&gt;"Yes",
        DATEDIF('Loan Tape (S&amp;P)'!K5515, TODAY(), "M")&lt;18),
    1.10,
    1.00)</f>
        <v/>
      </c>
      <c r="O5515">
        <f>IF('Loan Tape (S&amp;P)'!T5515="Yes",
    1.35,
    1.00)</f>
        <v/>
      </c>
      <c r="P5515">
        <f>IF('Loan Tape (S&amp;P)'!S5515="Yes",
    1.15,
    1.00)</f>
        <v/>
      </c>
      <c r="Q5515">
        <f>IF('Loan Tape (S&amp;P)'!V5515="Yes",
    1.20,
    1.00)</f>
        <v/>
      </c>
      <c r="T5515">
        <f>LET(
    payment_method,'Loan Tape (S&amp;P)'!P5515,
    occupancy,'Loan Tape (S&amp;P)'!N5515,
    maturity_date,'Loan Tape (S&amp;P)'!L5515,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16">
      <c r="J5516">
        <f>LET(
    lien,'Loan Tape (S&amp;P)'!Q5516,
    IF(lien="First",1.00,
        IF(lien="Second",1.50,
            1.70)))</f>
        <v/>
      </c>
      <c r="K5516">
        <f>LET(
    purpose,'Loan Tape (S&amp;P)'!R5516,
    IF(purpose="Purchase",1.00,
        IF(purpose="Remortgage",1.00,
            1.20)))</f>
        <v/>
      </c>
      <c r="L5516">
        <f>LET(
    arrears_months,'Loan Tape (S&amp;P)'!AN5516,
    IF(arrears_months=0,1.00,
    IF(arrears_months=1,3.00,
    IF(arrears_months=2,5.00,
    IF(arrears_months=3,8.00,
    IF(arrears_months=4,10.00,
    IF(arrears_months=5,12.00,15.00)))))))</f>
        <v/>
      </c>
      <c r="M5516">
        <f>LET(
    seasoning_years,DATEDIF('Loan Tape (S&amp;P)'!K5516,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16">
        <f>IF(AND('Loan Tape (S&amp;P)'!U5516="Yes",
        'Loan Tape (S&amp;P)'!T5516&lt;&gt;"Yes",
        DATEDIF('Loan Tape (S&amp;P)'!K5516, TODAY(), "M")&lt;18),
    1.10,
    1.00)</f>
        <v/>
      </c>
      <c r="O5516">
        <f>IF('Loan Tape (S&amp;P)'!T5516="Yes",
    1.35,
    1.00)</f>
        <v/>
      </c>
      <c r="P5516">
        <f>IF('Loan Tape (S&amp;P)'!S5516="Yes",
    1.15,
    1.00)</f>
        <v/>
      </c>
      <c r="Q5516">
        <f>IF('Loan Tape (S&amp;P)'!V5516="Yes",
    1.20,
    1.00)</f>
        <v/>
      </c>
      <c r="T5516">
        <f>LET(
    payment_method,'Loan Tape (S&amp;P)'!P5516,
    occupancy,'Loan Tape (S&amp;P)'!N5516,
    maturity_date,'Loan Tape (S&amp;P)'!L5516,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17">
      <c r="J5517">
        <f>LET(
    lien,'Loan Tape (S&amp;P)'!Q5517,
    IF(lien="First",1.00,
        IF(lien="Second",1.50,
            1.70)))</f>
        <v/>
      </c>
      <c r="K5517">
        <f>LET(
    purpose,'Loan Tape (S&amp;P)'!R5517,
    IF(purpose="Purchase",1.00,
        IF(purpose="Remortgage",1.00,
            1.20)))</f>
        <v/>
      </c>
      <c r="L5517">
        <f>LET(
    arrears_months,'Loan Tape (S&amp;P)'!AN5517,
    IF(arrears_months=0,1.00,
    IF(arrears_months=1,3.00,
    IF(arrears_months=2,5.00,
    IF(arrears_months=3,8.00,
    IF(arrears_months=4,10.00,
    IF(arrears_months=5,12.00,15.00)))))))</f>
        <v/>
      </c>
      <c r="M5517">
        <f>LET(
    seasoning_years,DATEDIF('Loan Tape (S&amp;P)'!K5517,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17">
        <f>IF(AND('Loan Tape (S&amp;P)'!U5517="Yes",
        'Loan Tape (S&amp;P)'!T5517&lt;&gt;"Yes",
        DATEDIF('Loan Tape (S&amp;P)'!K5517, TODAY(), "M")&lt;18),
    1.10,
    1.00)</f>
        <v/>
      </c>
      <c r="O5517">
        <f>IF('Loan Tape (S&amp;P)'!T5517="Yes",
    1.35,
    1.00)</f>
        <v/>
      </c>
      <c r="P5517">
        <f>IF('Loan Tape (S&amp;P)'!S5517="Yes",
    1.15,
    1.00)</f>
        <v/>
      </c>
      <c r="Q5517">
        <f>IF('Loan Tape (S&amp;P)'!V5517="Yes",
    1.20,
    1.00)</f>
        <v/>
      </c>
      <c r="T5517">
        <f>LET(
    payment_method,'Loan Tape (S&amp;P)'!P5517,
    occupancy,'Loan Tape (S&amp;P)'!N5517,
    maturity_date,'Loan Tape (S&amp;P)'!L5517,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18">
      <c r="J5518">
        <f>LET(
    lien,'Loan Tape (S&amp;P)'!Q5518,
    IF(lien="First",1.00,
        IF(lien="Second",1.50,
            1.70)))</f>
        <v/>
      </c>
      <c r="K5518">
        <f>LET(
    purpose,'Loan Tape (S&amp;P)'!R5518,
    IF(purpose="Purchase",1.00,
        IF(purpose="Remortgage",1.00,
            1.20)))</f>
        <v/>
      </c>
      <c r="L5518">
        <f>LET(
    arrears_months,'Loan Tape (S&amp;P)'!AN5518,
    IF(arrears_months=0,1.00,
    IF(arrears_months=1,3.00,
    IF(arrears_months=2,5.00,
    IF(arrears_months=3,8.00,
    IF(arrears_months=4,10.00,
    IF(arrears_months=5,12.00,15.00)))))))</f>
        <v/>
      </c>
      <c r="M5518">
        <f>LET(
    seasoning_years,DATEDIF('Loan Tape (S&amp;P)'!K5518,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18">
        <f>IF(AND('Loan Tape (S&amp;P)'!U5518="Yes",
        'Loan Tape (S&amp;P)'!T5518&lt;&gt;"Yes",
        DATEDIF('Loan Tape (S&amp;P)'!K5518, TODAY(), "M")&lt;18),
    1.10,
    1.00)</f>
        <v/>
      </c>
      <c r="O5518">
        <f>IF('Loan Tape (S&amp;P)'!T5518="Yes",
    1.35,
    1.00)</f>
        <v/>
      </c>
      <c r="P5518">
        <f>IF('Loan Tape (S&amp;P)'!S5518="Yes",
    1.15,
    1.00)</f>
        <v/>
      </c>
      <c r="Q5518">
        <f>IF('Loan Tape (S&amp;P)'!V5518="Yes",
    1.20,
    1.00)</f>
        <v/>
      </c>
      <c r="T5518">
        <f>LET(
    payment_method,'Loan Tape (S&amp;P)'!P5518,
    occupancy,'Loan Tape (S&amp;P)'!N5518,
    maturity_date,'Loan Tape (S&amp;P)'!L5518,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19">
      <c r="J5519">
        <f>LET(
    lien,'Loan Tape (S&amp;P)'!Q5519,
    IF(lien="First",1.00,
        IF(lien="Second",1.50,
            1.70)))</f>
        <v/>
      </c>
      <c r="K5519">
        <f>LET(
    purpose,'Loan Tape (S&amp;P)'!R5519,
    IF(purpose="Purchase",1.00,
        IF(purpose="Remortgage",1.00,
            1.20)))</f>
        <v/>
      </c>
      <c r="L5519">
        <f>LET(
    arrears_months,'Loan Tape (S&amp;P)'!AN5519,
    IF(arrears_months=0,1.00,
    IF(arrears_months=1,3.00,
    IF(arrears_months=2,5.00,
    IF(arrears_months=3,8.00,
    IF(arrears_months=4,10.00,
    IF(arrears_months=5,12.00,15.00)))))))</f>
        <v/>
      </c>
      <c r="M5519">
        <f>LET(
    seasoning_years,DATEDIF('Loan Tape (S&amp;P)'!K5519,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19">
        <f>IF(AND('Loan Tape (S&amp;P)'!U5519="Yes",
        'Loan Tape (S&amp;P)'!T5519&lt;&gt;"Yes",
        DATEDIF('Loan Tape (S&amp;P)'!K5519, TODAY(), "M")&lt;18),
    1.10,
    1.00)</f>
        <v/>
      </c>
      <c r="O5519">
        <f>IF('Loan Tape (S&amp;P)'!T5519="Yes",
    1.35,
    1.00)</f>
        <v/>
      </c>
      <c r="P5519">
        <f>IF('Loan Tape (S&amp;P)'!S5519="Yes",
    1.15,
    1.00)</f>
        <v/>
      </c>
      <c r="Q5519">
        <f>IF('Loan Tape (S&amp;P)'!V5519="Yes",
    1.20,
    1.00)</f>
        <v/>
      </c>
      <c r="T5519">
        <f>LET(
    payment_method,'Loan Tape (S&amp;P)'!P5519,
    occupancy,'Loan Tape (S&amp;P)'!N5519,
    maturity_date,'Loan Tape (S&amp;P)'!L5519,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20">
      <c r="J5520">
        <f>LET(
    lien,'Loan Tape (S&amp;P)'!Q5520,
    IF(lien="First",1.00,
        IF(lien="Second",1.50,
            1.70)))</f>
        <v/>
      </c>
      <c r="K5520">
        <f>LET(
    purpose,'Loan Tape (S&amp;P)'!R5520,
    IF(purpose="Purchase",1.00,
        IF(purpose="Remortgage",1.00,
            1.20)))</f>
        <v/>
      </c>
      <c r="L5520">
        <f>LET(
    arrears_months,'Loan Tape (S&amp;P)'!AN5520,
    IF(arrears_months=0,1.00,
    IF(arrears_months=1,3.00,
    IF(arrears_months=2,5.00,
    IF(arrears_months=3,8.00,
    IF(arrears_months=4,10.00,
    IF(arrears_months=5,12.00,15.00)))))))</f>
        <v/>
      </c>
      <c r="M5520">
        <f>LET(
    seasoning_years,DATEDIF('Loan Tape (S&amp;P)'!K5520,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20">
        <f>IF(AND('Loan Tape (S&amp;P)'!U5520="Yes",
        'Loan Tape (S&amp;P)'!T5520&lt;&gt;"Yes",
        DATEDIF('Loan Tape (S&amp;P)'!K5520, TODAY(), "M")&lt;18),
    1.10,
    1.00)</f>
        <v/>
      </c>
      <c r="O5520">
        <f>IF('Loan Tape (S&amp;P)'!T5520="Yes",
    1.35,
    1.00)</f>
        <v/>
      </c>
      <c r="P5520">
        <f>IF('Loan Tape (S&amp;P)'!S5520="Yes",
    1.15,
    1.00)</f>
        <v/>
      </c>
      <c r="Q5520">
        <f>IF('Loan Tape (S&amp;P)'!V5520="Yes",
    1.20,
    1.00)</f>
        <v/>
      </c>
      <c r="T5520">
        <f>LET(
    payment_method,'Loan Tape (S&amp;P)'!P5520,
    occupancy,'Loan Tape (S&amp;P)'!N5520,
    maturity_date,'Loan Tape (S&amp;P)'!L5520,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21">
      <c r="J5521">
        <f>LET(
    lien,'Loan Tape (S&amp;P)'!Q5521,
    IF(lien="First",1.00,
        IF(lien="Second",1.50,
            1.70)))</f>
        <v/>
      </c>
      <c r="K5521">
        <f>LET(
    purpose,'Loan Tape (S&amp;P)'!R5521,
    IF(purpose="Purchase",1.00,
        IF(purpose="Remortgage",1.00,
            1.20)))</f>
        <v/>
      </c>
      <c r="L5521">
        <f>LET(
    arrears_months,'Loan Tape (S&amp;P)'!AN5521,
    IF(arrears_months=0,1.00,
    IF(arrears_months=1,3.00,
    IF(arrears_months=2,5.00,
    IF(arrears_months=3,8.00,
    IF(arrears_months=4,10.00,
    IF(arrears_months=5,12.00,15.00)))))))</f>
        <v/>
      </c>
      <c r="M5521">
        <f>LET(
    seasoning_years,DATEDIF('Loan Tape (S&amp;P)'!K5521,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21">
        <f>IF(AND('Loan Tape (S&amp;P)'!U5521="Yes",
        'Loan Tape (S&amp;P)'!T5521&lt;&gt;"Yes",
        DATEDIF('Loan Tape (S&amp;P)'!K5521, TODAY(), "M")&lt;18),
    1.10,
    1.00)</f>
        <v/>
      </c>
      <c r="O5521">
        <f>IF('Loan Tape (S&amp;P)'!T5521="Yes",
    1.35,
    1.00)</f>
        <v/>
      </c>
      <c r="P5521">
        <f>IF('Loan Tape (S&amp;P)'!S5521="Yes",
    1.15,
    1.00)</f>
        <v/>
      </c>
      <c r="Q5521">
        <f>IF('Loan Tape (S&amp;P)'!V5521="Yes",
    1.20,
    1.00)</f>
        <v/>
      </c>
      <c r="T5521">
        <f>LET(
    payment_method,'Loan Tape (S&amp;P)'!P5521,
    occupancy,'Loan Tape (S&amp;P)'!N5521,
    maturity_date,'Loan Tape (S&amp;P)'!L5521,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22">
      <c r="J5522">
        <f>LET(
    lien,'Loan Tape (S&amp;P)'!Q5522,
    IF(lien="First",1.00,
        IF(lien="Second",1.50,
            1.70)))</f>
        <v/>
      </c>
      <c r="K5522">
        <f>LET(
    purpose,'Loan Tape (S&amp;P)'!R5522,
    IF(purpose="Purchase",1.00,
        IF(purpose="Remortgage",1.00,
            1.20)))</f>
        <v/>
      </c>
      <c r="L5522">
        <f>LET(
    arrears_months,'Loan Tape (S&amp;P)'!AN5522,
    IF(arrears_months=0,1.00,
    IF(arrears_months=1,3.00,
    IF(arrears_months=2,5.00,
    IF(arrears_months=3,8.00,
    IF(arrears_months=4,10.00,
    IF(arrears_months=5,12.00,15.00)))))))</f>
        <v/>
      </c>
      <c r="M5522">
        <f>LET(
    seasoning_years,DATEDIF('Loan Tape (S&amp;P)'!K5522,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22">
        <f>IF(AND('Loan Tape (S&amp;P)'!U5522="Yes",
        'Loan Tape (S&amp;P)'!T5522&lt;&gt;"Yes",
        DATEDIF('Loan Tape (S&amp;P)'!K5522, TODAY(), "M")&lt;18),
    1.10,
    1.00)</f>
        <v/>
      </c>
      <c r="O5522">
        <f>IF('Loan Tape (S&amp;P)'!T5522="Yes",
    1.35,
    1.00)</f>
        <v/>
      </c>
      <c r="P5522">
        <f>IF('Loan Tape (S&amp;P)'!S5522="Yes",
    1.15,
    1.00)</f>
        <v/>
      </c>
      <c r="Q5522">
        <f>IF('Loan Tape (S&amp;P)'!V5522="Yes",
    1.20,
    1.00)</f>
        <v/>
      </c>
      <c r="T5522">
        <f>LET(
    payment_method,'Loan Tape (S&amp;P)'!P5522,
    occupancy,'Loan Tape (S&amp;P)'!N5522,
    maturity_date,'Loan Tape (S&amp;P)'!L5522,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23">
      <c r="J5523">
        <f>LET(
    lien,'Loan Tape (S&amp;P)'!Q5523,
    IF(lien="First",1.00,
        IF(lien="Second",1.50,
            1.70)))</f>
        <v/>
      </c>
      <c r="K5523">
        <f>LET(
    purpose,'Loan Tape (S&amp;P)'!R5523,
    IF(purpose="Purchase",1.00,
        IF(purpose="Remortgage",1.00,
            1.20)))</f>
        <v/>
      </c>
      <c r="L5523">
        <f>LET(
    arrears_months,'Loan Tape (S&amp;P)'!AN5523,
    IF(arrears_months=0,1.00,
    IF(arrears_months=1,3.00,
    IF(arrears_months=2,5.00,
    IF(arrears_months=3,8.00,
    IF(arrears_months=4,10.00,
    IF(arrears_months=5,12.00,15.00)))))))</f>
        <v/>
      </c>
      <c r="M5523">
        <f>LET(
    seasoning_years,DATEDIF('Loan Tape (S&amp;P)'!K5523,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23">
        <f>IF(AND('Loan Tape (S&amp;P)'!U5523="Yes",
        'Loan Tape (S&amp;P)'!T5523&lt;&gt;"Yes",
        DATEDIF('Loan Tape (S&amp;P)'!K5523, TODAY(), "M")&lt;18),
    1.10,
    1.00)</f>
        <v/>
      </c>
      <c r="O5523">
        <f>IF('Loan Tape (S&amp;P)'!T5523="Yes",
    1.35,
    1.00)</f>
        <v/>
      </c>
      <c r="P5523">
        <f>IF('Loan Tape (S&amp;P)'!S5523="Yes",
    1.15,
    1.00)</f>
        <v/>
      </c>
      <c r="Q5523">
        <f>IF('Loan Tape (S&amp;P)'!V5523="Yes",
    1.20,
    1.00)</f>
        <v/>
      </c>
      <c r="T5523">
        <f>LET(
    payment_method,'Loan Tape (S&amp;P)'!P5523,
    occupancy,'Loan Tape (S&amp;P)'!N5523,
    maturity_date,'Loan Tape (S&amp;P)'!L5523,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24">
      <c r="J5524">
        <f>LET(
    lien,'Loan Tape (S&amp;P)'!Q5524,
    IF(lien="First",1.00,
        IF(lien="Second",1.50,
            1.70)))</f>
        <v/>
      </c>
      <c r="K5524">
        <f>LET(
    purpose,'Loan Tape (S&amp;P)'!R5524,
    IF(purpose="Purchase",1.00,
        IF(purpose="Remortgage",1.00,
            1.20)))</f>
        <v/>
      </c>
      <c r="L5524">
        <f>LET(
    arrears_months,'Loan Tape (S&amp;P)'!AN5524,
    IF(arrears_months=0,1.00,
    IF(arrears_months=1,3.00,
    IF(arrears_months=2,5.00,
    IF(arrears_months=3,8.00,
    IF(arrears_months=4,10.00,
    IF(arrears_months=5,12.00,15.00)))))))</f>
        <v/>
      </c>
      <c r="M5524">
        <f>LET(
    seasoning_years,DATEDIF('Loan Tape (S&amp;P)'!K5524,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24">
        <f>IF(AND('Loan Tape (S&amp;P)'!U5524="Yes",
        'Loan Tape (S&amp;P)'!T5524&lt;&gt;"Yes",
        DATEDIF('Loan Tape (S&amp;P)'!K5524, TODAY(), "M")&lt;18),
    1.10,
    1.00)</f>
        <v/>
      </c>
      <c r="O5524">
        <f>IF('Loan Tape (S&amp;P)'!T5524="Yes",
    1.35,
    1.00)</f>
        <v/>
      </c>
      <c r="P5524">
        <f>IF('Loan Tape (S&amp;P)'!S5524="Yes",
    1.15,
    1.00)</f>
        <v/>
      </c>
      <c r="Q5524">
        <f>IF('Loan Tape (S&amp;P)'!V5524="Yes",
    1.20,
    1.00)</f>
        <v/>
      </c>
      <c r="T5524">
        <f>LET(
    payment_method,'Loan Tape (S&amp;P)'!P5524,
    occupancy,'Loan Tape (S&amp;P)'!N5524,
    maturity_date,'Loan Tape (S&amp;P)'!L5524,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25">
      <c r="J5525">
        <f>LET(
    lien,'Loan Tape (S&amp;P)'!Q5525,
    IF(lien="First",1.00,
        IF(lien="Second",1.50,
            1.70)))</f>
        <v/>
      </c>
      <c r="K5525">
        <f>LET(
    purpose,'Loan Tape (S&amp;P)'!R5525,
    IF(purpose="Purchase",1.00,
        IF(purpose="Remortgage",1.00,
            1.20)))</f>
        <v/>
      </c>
      <c r="L5525">
        <f>LET(
    arrears_months,'Loan Tape (S&amp;P)'!AN5525,
    IF(arrears_months=0,1.00,
    IF(arrears_months=1,3.00,
    IF(arrears_months=2,5.00,
    IF(arrears_months=3,8.00,
    IF(arrears_months=4,10.00,
    IF(arrears_months=5,12.00,15.00)))))))</f>
        <v/>
      </c>
      <c r="M5525">
        <f>LET(
    seasoning_years,DATEDIF('Loan Tape (S&amp;P)'!K5525,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25">
        <f>IF(AND('Loan Tape (S&amp;P)'!U5525="Yes",
        'Loan Tape (S&amp;P)'!T5525&lt;&gt;"Yes",
        DATEDIF('Loan Tape (S&amp;P)'!K5525, TODAY(), "M")&lt;18),
    1.10,
    1.00)</f>
        <v/>
      </c>
      <c r="O5525">
        <f>IF('Loan Tape (S&amp;P)'!T5525="Yes",
    1.35,
    1.00)</f>
        <v/>
      </c>
      <c r="P5525">
        <f>IF('Loan Tape (S&amp;P)'!S5525="Yes",
    1.15,
    1.00)</f>
        <v/>
      </c>
      <c r="Q5525">
        <f>IF('Loan Tape (S&amp;P)'!V5525="Yes",
    1.20,
    1.00)</f>
        <v/>
      </c>
      <c r="T5525">
        <f>LET(
    payment_method,'Loan Tape (S&amp;P)'!P5525,
    occupancy,'Loan Tape (S&amp;P)'!N5525,
    maturity_date,'Loan Tape (S&amp;P)'!L5525,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26">
      <c r="J5526">
        <f>LET(
    lien,'Loan Tape (S&amp;P)'!Q5526,
    IF(lien="First",1.00,
        IF(lien="Second",1.50,
            1.70)))</f>
        <v/>
      </c>
      <c r="K5526">
        <f>LET(
    purpose,'Loan Tape (S&amp;P)'!R5526,
    IF(purpose="Purchase",1.00,
        IF(purpose="Remortgage",1.00,
            1.20)))</f>
        <v/>
      </c>
      <c r="L5526">
        <f>LET(
    arrears_months,'Loan Tape (S&amp;P)'!AN5526,
    IF(arrears_months=0,1.00,
    IF(arrears_months=1,3.00,
    IF(arrears_months=2,5.00,
    IF(arrears_months=3,8.00,
    IF(arrears_months=4,10.00,
    IF(arrears_months=5,12.00,15.00)))))))</f>
        <v/>
      </c>
      <c r="M5526">
        <f>LET(
    seasoning_years,DATEDIF('Loan Tape (S&amp;P)'!K5526,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26">
        <f>IF(AND('Loan Tape (S&amp;P)'!U5526="Yes",
        'Loan Tape (S&amp;P)'!T5526&lt;&gt;"Yes",
        DATEDIF('Loan Tape (S&amp;P)'!K5526, TODAY(), "M")&lt;18),
    1.10,
    1.00)</f>
        <v/>
      </c>
      <c r="O5526">
        <f>IF('Loan Tape (S&amp;P)'!T5526="Yes",
    1.35,
    1.00)</f>
        <v/>
      </c>
      <c r="P5526">
        <f>IF('Loan Tape (S&amp;P)'!S5526="Yes",
    1.15,
    1.00)</f>
        <v/>
      </c>
      <c r="Q5526">
        <f>IF('Loan Tape (S&amp;P)'!V5526="Yes",
    1.20,
    1.00)</f>
        <v/>
      </c>
      <c r="T5526">
        <f>LET(
    payment_method,'Loan Tape (S&amp;P)'!P5526,
    occupancy,'Loan Tape (S&amp;P)'!N5526,
    maturity_date,'Loan Tape (S&amp;P)'!L5526,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27">
      <c r="J5527">
        <f>LET(
    lien,'Loan Tape (S&amp;P)'!Q5527,
    IF(lien="First",1.00,
        IF(lien="Second",1.50,
            1.70)))</f>
        <v/>
      </c>
      <c r="K5527">
        <f>LET(
    purpose,'Loan Tape (S&amp;P)'!R5527,
    IF(purpose="Purchase",1.00,
        IF(purpose="Remortgage",1.00,
            1.20)))</f>
        <v/>
      </c>
      <c r="L5527">
        <f>LET(
    arrears_months,'Loan Tape (S&amp;P)'!AN5527,
    IF(arrears_months=0,1.00,
    IF(arrears_months=1,3.00,
    IF(arrears_months=2,5.00,
    IF(arrears_months=3,8.00,
    IF(arrears_months=4,10.00,
    IF(arrears_months=5,12.00,15.00)))))))</f>
        <v/>
      </c>
      <c r="M5527">
        <f>LET(
    seasoning_years,DATEDIF('Loan Tape (S&amp;P)'!K5527,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27">
        <f>IF(AND('Loan Tape (S&amp;P)'!U5527="Yes",
        'Loan Tape (S&amp;P)'!T5527&lt;&gt;"Yes",
        DATEDIF('Loan Tape (S&amp;P)'!K5527, TODAY(), "M")&lt;18),
    1.10,
    1.00)</f>
        <v/>
      </c>
      <c r="O5527">
        <f>IF('Loan Tape (S&amp;P)'!T5527="Yes",
    1.35,
    1.00)</f>
        <v/>
      </c>
      <c r="P5527">
        <f>IF('Loan Tape (S&amp;P)'!S5527="Yes",
    1.15,
    1.00)</f>
        <v/>
      </c>
      <c r="Q5527">
        <f>IF('Loan Tape (S&amp;P)'!V5527="Yes",
    1.20,
    1.00)</f>
        <v/>
      </c>
      <c r="T5527">
        <f>LET(
    payment_method,'Loan Tape (S&amp;P)'!P5527,
    occupancy,'Loan Tape (S&amp;P)'!N5527,
    maturity_date,'Loan Tape (S&amp;P)'!L5527,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28">
      <c r="J5528">
        <f>LET(
    lien,'Loan Tape (S&amp;P)'!Q5528,
    IF(lien="First",1.00,
        IF(lien="Second",1.50,
            1.70)))</f>
        <v/>
      </c>
      <c r="K5528">
        <f>LET(
    purpose,'Loan Tape (S&amp;P)'!R5528,
    IF(purpose="Purchase",1.00,
        IF(purpose="Remortgage",1.00,
            1.20)))</f>
        <v/>
      </c>
      <c r="L5528">
        <f>LET(
    arrears_months,'Loan Tape (S&amp;P)'!AN5528,
    IF(arrears_months=0,1.00,
    IF(arrears_months=1,3.00,
    IF(arrears_months=2,5.00,
    IF(arrears_months=3,8.00,
    IF(arrears_months=4,10.00,
    IF(arrears_months=5,12.00,15.00)))))))</f>
        <v/>
      </c>
      <c r="M5528">
        <f>LET(
    seasoning_years,DATEDIF('Loan Tape (S&amp;P)'!K5528,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28">
        <f>IF(AND('Loan Tape (S&amp;P)'!U5528="Yes",
        'Loan Tape (S&amp;P)'!T5528&lt;&gt;"Yes",
        DATEDIF('Loan Tape (S&amp;P)'!K5528, TODAY(), "M")&lt;18),
    1.10,
    1.00)</f>
        <v/>
      </c>
      <c r="O5528">
        <f>IF('Loan Tape (S&amp;P)'!T5528="Yes",
    1.35,
    1.00)</f>
        <v/>
      </c>
      <c r="P5528">
        <f>IF('Loan Tape (S&amp;P)'!S5528="Yes",
    1.15,
    1.00)</f>
        <v/>
      </c>
      <c r="Q5528">
        <f>IF('Loan Tape (S&amp;P)'!V5528="Yes",
    1.20,
    1.00)</f>
        <v/>
      </c>
      <c r="T5528">
        <f>LET(
    payment_method,'Loan Tape (S&amp;P)'!P5528,
    occupancy,'Loan Tape (S&amp;P)'!N5528,
    maturity_date,'Loan Tape (S&amp;P)'!L5528,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29">
      <c r="J5529">
        <f>LET(
    lien,'Loan Tape (S&amp;P)'!Q5529,
    IF(lien="First",1.00,
        IF(lien="Second",1.50,
            1.70)))</f>
        <v/>
      </c>
      <c r="K5529">
        <f>LET(
    purpose,'Loan Tape (S&amp;P)'!R5529,
    IF(purpose="Purchase",1.00,
        IF(purpose="Remortgage",1.00,
            1.20)))</f>
        <v/>
      </c>
      <c r="L5529">
        <f>LET(
    arrears_months,'Loan Tape (S&amp;P)'!AN5529,
    IF(arrears_months=0,1.00,
    IF(arrears_months=1,3.00,
    IF(arrears_months=2,5.00,
    IF(arrears_months=3,8.00,
    IF(arrears_months=4,10.00,
    IF(arrears_months=5,12.00,15.00)))))))</f>
        <v/>
      </c>
      <c r="M5529">
        <f>LET(
    seasoning_years,DATEDIF('Loan Tape (S&amp;P)'!K5529,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29">
        <f>IF(AND('Loan Tape (S&amp;P)'!U5529="Yes",
        'Loan Tape (S&amp;P)'!T5529&lt;&gt;"Yes",
        DATEDIF('Loan Tape (S&amp;P)'!K5529, TODAY(), "M")&lt;18),
    1.10,
    1.00)</f>
        <v/>
      </c>
      <c r="O5529">
        <f>IF('Loan Tape (S&amp;P)'!T5529="Yes",
    1.35,
    1.00)</f>
        <v/>
      </c>
      <c r="P5529">
        <f>IF('Loan Tape (S&amp;P)'!S5529="Yes",
    1.15,
    1.00)</f>
        <v/>
      </c>
      <c r="Q5529">
        <f>IF('Loan Tape (S&amp;P)'!V5529="Yes",
    1.20,
    1.00)</f>
        <v/>
      </c>
      <c r="T5529">
        <f>LET(
    payment_method,'Loan Tape (S&amp;P)'!P5529,
    occupancy,'Loan Tape (S&amp;P)'!N5529,
    maturity_date,'Loan Tape (S&amp;P)'!L5529,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30">
      <c r="J5530">
        <f>LET(
    lien,'Loan Tape (S&amp;P)'!Q5530,
    IF(lien="First",1.00,
        IF(lien="Second",1.50,
            1.70)))</f>
        <v/>
      </c>
      <c r="K5530">
        <f>LET(
    purpose,'Loan Tape (S&amp;P)'!R5530,
    IF(purpose="Purchase",1.00,
        IF(purpose="Remortgage",1.00,
            1.20)))</f>
        <v/>
      </c>
      <c r="L5530">
        <f>LET(
    arrears_months,'Loan Tape (S&amp;P)'!AN5530,
    IF(arrears_months=0,1.00,
    IF(arrears_months=1,3.00,
    IF(arrears_months=2,5.00,
    IF(arrears_months=3,8.00,
    IF(arrears_months=4,10.00,
    IF(arrears_months=5,12.00,15.00)))))))</f>
        <v/>
      </c>
      <c r="M5530">
        <f>LET(
    seasoning_years,DATEDIF('Loan Tape (S&amp;P)'!K5530,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30">
        <f>IF(AND('Loan Tape (S&amp;P)'!U5530="Yes",
        'Loan Tape (S&amp;P)'!T5530&lt;&gt;"Yes",
        DATEDIF('Loan Tape (S&amp;P)'!K5530, TODAY(), "M")&lt;18),
    1.10,
    1.00)</f>
        <v/>
      </c>
      <c r="O5530">
        <f>IF('Loan Tape (S&amp;P)'!T5530="Yes",
    1.35,
    1.00)</f>
        <v/>
      </c>
      <c r="P5530">
        <f>IF('Loan Tape (S&amp;P)'!S5530="Yes",
    1.15,
    1.00)</f>
        <v/>
      </c>
      <c r="Q5530">
        <f>IF('Loan Tape (S&amp;P)'!V5530="Yes",
    1.20,
    1.00)</f>
        <v/>
      </c>
      <c r="T5530">
        <f>LET(
    payment_method,'Loan Tape (S&amp;P)'!P5530,
    occupancy,'Loan Tape (S&amp;P)'!N5530,
    maturity_date,'Loan Tape (S&amp;P)'!L5530,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31">
      <c r="J5531">
        <f>LET(
    lien,'Loan Tape (S&amp;P)'!Q5531,
    IF(lien="First",1.00,
        IF(lien="Second",1.50,
            1.70)))</f>
        <v/>
      </c>
      <c r="K5531">
        <f>LET(
    purpose,'Loan Tape (S&amp;P)'!R5531,
    IF(purpose="Purchase",1.00,
        IF(purpose="Remortgage",1.00,
            1.20)))</f>
        <v/>
      </c>
      <c r="L5531">
        <f>LET(
    arrears_months,'Loan Tape (S&amp;P)'!AN5531,
    IF(arrears_months=0,1.00,
    IF(arrears_months=1,3.00,
    IF(arrears_months=2,5.00,
    IF(arrears_months=3,8.00,
    IF(arrears_months=4,10.00,
    IF(arrears_months=5,12.00,15.00)))))))</f>
        <v/>
      </c>
      <c r="M5531">
        <f>LET(
    seasoning_years,DATEDIF('Loan Tape (S&amp;P)'!K5531,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31">
        <f>IF(AND('Loan Tape (S&amp;P)'!U5531="Yes",
        'Loan Tape (S&amp;P)'!T5531&lt;&gt;"Yes",
        DATEDIF('Loan Tape (S&amp;P)'!K5531, TODAY(), "M")&lt;18),
    1.10,
    1.00)</f>
        <v/>
      </c>
      <c r="O5531">
        <f>IF('Loan Tape (S&amp;P)'!T5531="Yes",
    1.35,
    1.00)</f>
        <v/>
      </c>
      <c r="P5531">
        <f>IF('Loan Tape (S&amp;P)'!S5531="Yes",
    1.15,
    1.00)</f>
        <v/>
      </c>
      <c r="Q5531">
        <f>IF('Loan Tape (S&amp;P)'!V5531="Yes",
    1.20,
    1.00)</f>
        <v/>
      </c>
      <c r="T5531">
        <f>LET(
    payment_method,'Loan Tape (S&amp;P)'!P5531,
    occupancy,'Loan Tape (S&amp;P)'!N5531,
    maturity_date,'Loan Tape (S&amp;P)'!L5531,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32">
      <c r="J5532">
        <f>LET(
    lien,'Loan Tape (S&amp;P)'!Q5532,
    IF(lien="First",1.00,
        IF(lien="Second",1.50,
            1.70)))</f>
        <v/>
      </c>
      <c r="K5532">
        <f>LET(
    purpose,'Loan Tape (S&amp;P)'!R5532,
    IF(purpose="Purchase",1.00,
        IF(purpose="Remortgage",1.00,
            1.20)))</f>
        <v/>
      </c>
      <c r="L5532">
        <f>LET(
    arrears_months,'Loan Tape (S&amp;P)'!AN5532,
    IF(arrears_months=0,1.00,
    IF(arrears_months=1,3.00,
    IF(arrears_months=2,5.00,
    IF(arrears_months=3,8.00,
    IF(arrears_months=4,10.00,
    IF(arrears_months=5,12.00,15.00)))))))</f>
        <v/>
      </c>
      <c r="M5532">
        <f>LET(
    seasoning_years,DATEDIF('Loan Tape (S&amp;P)'!K5532,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32">
        <f>IF(AND('Loan Tape (S&amp;P)'!U5532="Yes",
        'Loan Tape (S&amp;P)'!T5532&lt;&gt;"Yes",
        DATEDIF('Loan Tape (S&amp;P)'!K5532, TODAY(), "M")&lt;18),
    1.10,
    1.00)</f>
        <v/>
      </c>
      <c r="O5532">
        <f>IF('Loan Tape (S&amp;P)'!T5532="Yes",
    1.35,
    1.00)</f>
        <v/>
      </c>
      <c r="P5532">
        <f>IF('Loan Tape (S&amp;P)'!S5532="Yes",
    1.15,
    1.00)</f>
        <v/>
      </c>
      <c r="Q5532">
        <f>IF('Loan Tape (S&amp;P)'!V5532="Yes",
    1.20,
    1.00)</f>
        <v/>
      </c>
      <c r="T5532">
        <f>LET(
    payment_method,'Loan Tape (S&amp;P)'!P5532,
    occupancy,'Loan Tape (S&amp;P)'!N5532,
    maturity_date,'Loan Tape (S&amp;P)'!L5532,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33">
      <c r="J5533">
        <f>LET(
    lien,'Loan Tape (S&amp;P)'!Q5533,
    IF(lien="First",1.00,
        IF(lien="Second",1.50,
            1.70)))</f>
        <v/>
      </c>
      <c r="K5533">
        <f>LET(
    purpose,'Loan Tape (S&amp;P)'!R5533,
    IF(purpose="Purchase",1.00,
        IF(purpose="Remortgage",1.00,
            1.20)))</f>
        <v/>
      </c>
      <c r="L5533">
        <f>LET(
    arrears_months,'Loan Tape (S&amp;P)'!AN5533,
    IF(arrears_months=0,1.00,
    IF(arrears_months=1,3.00,
    IF(arrears_months=2,5.00,
    IF(arrears_months=3,8.00,
    IF(arrears_months=4,10.00,
    IF(arrears_months=5,12.00,15.00)))))))</f>
        <v/>
      </c>
      <c r="M5533">
        <f>LET(
    seasoning_years,DATEDIF('Loan Tape (S&amp;P)'!K5533,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33">
        <f>IF(AND('Loan Tape (S&amp;P)'!U5533="Yes",
        'Loan Tape (S&amp;P)'!T5533&lt;&gt;"Yes",
        DATEDIF('Loan Tape (S&amp;P)'!K5533, TODAY(), "M")&lt;18),
    1.10,
    1.00)</f>
        <v/>
      </c>
      <c r="O5533">
        <f>IF('Loan Tape (S&amp;P)'!T5533="Yes",
    1.35,
    1.00)</f>
        <v/>
      </c>
      <c r="P5533">
        <f>IF('Loan Tape (S&amp;P)'!S5533="Yes",
    1.15,
    1.00)</f>
        <v/>
      </c>
      <c r="Q5533">
        <f>IF('Loan Tape (S&amp;P)'!V5533="Yes",
    1.20,
    1.00)</f>
        <v/>
      </c>
      <c r="T5533">
        <f>LET(
    payment_method,'Loan Tape (S&amp;P)'!P5533,
    occupancy,'Loan Tape (S&amp;P)'!N5533,
    maturity_date,'Loan Tape (S&amp;P)'!L5533,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34">
      <c r="J5534">
        <f>LET(
    lien,'Loan Tape (S&amp;P)'!Q5534,
    IF(lien="First",1.00,
        IF(lien="Second",1.50,
            1.70)))</f>
        <v/>
      </c>
      <c r="K5534">
        <f>LET(
    purpose,'Loan Tape (S&amp;P)'!R5534,
    IF(purpose="Purchase",1.00,
        IF(purpose="Remortgage",1.00,
            1.20)))</f>
        <v/>
      </c>
      <c r="L5534">
        <f>LET(
    arrears_months,'Loan Tape (S&amp;P)'!AN5534,
    IF(arrears_months=0,1.00,
    IF(arrears_months=1,3.00,
    IF(arrears_months=2,5.00,
    IF(arrears_months=3,8.00,
    IF(arrears_months=4,10.00,
    IF(arrears_months=5,12.00,15.00)))))))</f>
        <v/>
      </c>
      <c r="M5534">
        <f>LET(
    seasoning_years,DATEDIF('Loan Tape (S&amp;P)'!K5534,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34">
        <f>IF(AND('Loan Tape (S&amp;P)'!U5534="Yes",
        'Loan Tape (S&amp;P)'!T5534&lt;&gt;"Yes",
        DATEDIF('Loan Tape (S&amp;P)'!K5534, TODAY(), "M")&lt;18),
    1.10,
    1.00)</f>
        <v/>
      </c>
      <c r="O5534">
        <f>IF('Loan Tape (S&amp;P)'!T5534="Yes",
    1.35,
    1.00)</f>
        <v/>
      </c>
      <c r="P5534">
        <f>IF('Loan Tape (S&amp;P)'!S5534="Yes",
    1.15,
    1.00)</f>
        <v/>
      </c>
      <c r="Q5534">
        <f>IF('Loan Tape (S&amp;P)'!V5534="Yes",
    1.20,
    1.00)</f>
        <v/>
      </c>
      <c r="T5534">
        <f>LET(
    payment_method,'Loan Tape (S&amp;P)'!P5534,
    occupancy,'Loan Tape (S&amp;P)'!N5534,
    maturity_date,'Loan Tape (S&amp;P)'!L5534,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35">
      <c r="J5535">
        <f>LET(
    lien,'Loan Tape (S&amp;P)'!Q5535,
    IF(lien="First",1.00,
        IF(lien="Second",1.50,
            1.70)))</f>
        <v/>
      </c>
      <c r="K5535">
        <f>LET(
    purpose,'Loan Tape (S&amp;P)'!R5535,
    IF(purpose="Purchase",1.00,
        IF(purpose="Remortgage",1.00,
            1.20)))</f>
        <v/>
      </c>
      <c r="L5535">
        <f>LET(
    arrears_months,'Loan Tape (S&amp;P)'!AN5535,
    IF(arrears_months=0,1.00,
    IF(arrears_months=1,3.00,
    IF(arrears_months=2,5.00,
    IF(arrears_months=3,8.00,
    IF(arrears_months=4,10.00,
    IF(arrears_months=5,12.00,15.00)))))))</f>
        <v/>
      </c>
      <c r="M5535">
        <f>LET(
    seasoning_years,DATEDIF('Loan Tape (S&amp;P)'!K5535,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35">
        <f>IF(AND('Loan Tape (S&amp;P)'!U5535="Yes",
        'Loan Tape (S&amp;P)'!T5535&lt;&gt;"Yes",
        DATEDIF('Loan Tape (S&amp;P)'!K5535, TODAY(), "M")&lt;18),
    1.10,
    1.00)</f>
        <v/>
      </c>
      <c r="O5535">
        <f>IF('Loan Tape (S&amp;P)'!T5535="Yes",
    1.35,
    1.00)</f>
        <v/>
      </c>
      <c r="P5535">
        <f>IF('Loan Tape (S&amp;P)'!S5535="Yes",
    1.15,
    1.00)</f>
        <v/>
      </c>
      <c r="Q5535">
        <f>IF('Loan Tape (S&amp;P)'!V5535="Yes",
    1.20,
    1.00)</f>
        <v/>
      </c>
      <c r="T5535">
        <f>LET(
    payment_method,'Loan Tape (S&amp;P)'!P5535,
    occupancy,'Loan Tape (S&amp;P)'!N5535,
    maturity_date,'Loan Tape (S&amp;P)'!L5535,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36">
      <c r="J5536">
        <f>LET(
    lien,'Loan Tape (S&amp;P)'!Q5536,
    IF(lien="First",1.00,
        IF(lien="Second",1.50,
            1.70)))</f>
        <v/>
      </c>
      <c r="K5536">
        <f>LET(
    purpose,'Loan Tape (S&amp;P)'!R5536,
    IF(purpose="Purchase",1.00,
        IF(purpose="Remortgage",1.00,
            1.20)))</f>
        <v/>
      </c>
      <c r="L5536">
        <f>LET(
    arrears_months,'Loan Tape (S&amp;P)'!AN5536,
    IF(arrears_months=0,1.00,
    IF(arrears_months=1,3.00,
    IF(arrears_months=2,5.00,
    IF(arrears_months=3,8.00,
    IF(arrears_months=4,10.00,
    IF(arrears_months=5,12.00,15.00)))))))</f>
        <v/>
      </c>
      <c r="M5536">
        <f>LET(
    seasoning_years,DATEDIF('Loan Tape (S&amp;P)'!K5536,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36">
        <f>IF(AND('Loan Tape (S&amp;P)'!U5536="Yes",
        'Loan Tape (S&amp;P)'!T5536&lt;&gt;"Yes",
        DATEDIF('Loan Tape (S&amp;P)'!K5536, TODAY(), "M")&lt;18),
    1.10,
    1.00)</f>
        <v/>
      </c>
      <c r="O5536">
        <f>IF('Loan Tape (S&amp;P)'!T5536="Yes",
    1.35,
    1.00)</f>
        <v/>
      </c>
      <c r="P5536">
        <f>IF('Loan Tape (S&amp;P)'!S5536="Yes",
    1.15,
    1.00)</f>
        <v/>
      </c>
      <c r="Q5536">
        <f>IF('Loan Tape (S&amp;P)'!V5536="Yes",
    1.20,
    1.00)</f>
        <v/>
      </c>
      <c r="T5536">
        <f>LET(
    payment_method,'Loan Tape (S&amp;P)'!P5536,
    occupancy,'Loan Tape (S&amp;P)'!N5536,
    maturity_date,'Loan Tape (S&amp;P)'!L5536,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37">
      <c r="J5537">
        <f>LET(
    lien,'Loan Tape (S&amp;P)'!Q5537,
    IF(lien="First",1.00,
        IF(lien="Second",1.50,
            1.70)))</f>
        <v/>
      </c>
      <c r="K5537">
        <f>LET(
    purpose,'Loan Tape (S&amp;P)'!R5537,
    IF(purpose="Purchase",1.00,
        IF(purpose="Remortgage",1.00,
            1.20)))</f>
        <v/>
      </c>
      <c r="L5537">
        <f>LET(
    arrears_months,'Loan Tape (S&amp;P)'!AN5537,
    IF(arrears_months=0,1.00,
    IF(arrears_months=1,3.00,
    IF(arrears_months=2,5.00,
    IF(arrears_months=3,8.00,
    IF(arrears_months=4,10.00,
    IF(arrears_months=5,12.00,15.00)))))))</f>
        <v/>
      </c>
      <c r="M5537">
        <f>LET(
    seasoning_years,DATEDIF('Loan Tape (S&amp;P)'!K5537,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37">
        <f>IF(AND('Loan Tape (S&amp;P)'!U5537="Yes",
        'Loan Tape (S&amp;P)'!T5537&lt;&gt;"Yes",
        DATEDIF('Loan Tape (S&amp;P)'!K5537, TODAY(), "M")&lt;18),
    1.10,
    1.00)</f>
        <v/>
      </c>
      <c r="O5537">
        <f>IF('Loan Tape (S&amp;P)'!T5537="Yes",
    1.35,
    1.00)</f>
        <v/>
      </c>
      <c r="P5537">
        <f>IF('Loan Tape (S&amp;P)'!S5537="Yes",
    1.15,
    1.00)</f>
        <v/>
      </c>
      <c r="Q5537">
        <f>IF('Loan Tape (S&amp;P)'!V5537="Yes",
    1.20,
    1.00)</f>
        <v/>
      </c>
      <c r="T5537">
        <f>LET(
    payment_method,'Loan Tape (S&amp;P)'!P5537,
    occupancy,'Loan Tape (S&amp;P)'!N5537,
    maturity_date,'Loan Tape (S&amp;P)'!L5537,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38">
      <c r="J5538">
        <f>LET(
    lien,'Loan Tape (S&amp;P)'!Q5538,
    IF(lien="First",1.00,
        IF(lien="Second",1.50,
            1.70)))</f>
        <v/>
      </c>
      <c r="K5538">
        <f>LET(
    purpose,'Loan Tape (S&amp;P)'!R5538,
    IF(purpose="Purchase",1.00,
        IF(purpose="Remortgage",1.00,
            1.20)))</f>
        <v/>
      </c>
      <c r="L5538">
        <f>LET(
    arrears_months,'Loan Tape (S&amp;P)'!AN5538,
    IF(arrears_months=0,1.00,
    IF(arrears_months=1,3.00,
    IF(arrears_months=2,5.00,
    IF(arrears_months=3,8.00,
    IF(arrears_months=4,10.00,
    IF(arrears_months=5,12.00,15.00)))))))</f>
        <v/>
      </c>
      <c r="M5538">
        <f>LET(
    seasoning_years,DATEDIF('Loan Tape (S&amp;P)'!K5538,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38">
        <f>IF(AND('Loan Tape (S&amp;P)'!U5538="Yes",
        'Loan Tape (S&amp;P)'!T5538&lt;&gt;"Yes",
        DATEDIF('Loan Tape (S&amp;P)'!K5538, TODAY(), "M")&lt;18),
    1.10,
    1.00)</f>
        <v/>
      </c>
      <c r="O5538">
        <f>IF('Loan Tape (S&amp;P)'!T5538="Yes",
    1.35,
    1.00)</f>
        <v/>
      </c>
      <c r="P5538">
        <f>IF('Loan Tape (S&amp;P)'!S5538="Yes",
    1.15,
    1.00)</f>
        <v/>
      </c>
      <c r="Q5538">
        <f>IF('Loan Tape (S&amp;P)'!V5538="Yes",
    1.20,
    1.00)</f>
        <v/>
      </c>
      <c r="T5538">
        <f>LET(
    payment_method,'Loan Tape (S&amp;P)'!P5538,
    occupancy,'Loan Tape (S&amp;P)'!N5538,
    maturity_date,'Loan Tape (S&amp;P)'!L5538,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39">
      <c r="J5539">
        <f>LET(
    lien,'Loan Tape (S&amp;P)'!Q5539,
    IF(lien="First",1.00,
        IF(lien="Second",1.50,
            1.70)))</f>
        <v/>
      </c>
      <c r="K5539">
        <f>LET(
    purpose,'Loan Tape (S&amp;P)'!R5539,
    IF(purpose="Purchase",1.00,
        IF(purpose="Remortgage",1.00,
            1.20)))</f>
        <v/>
      </c>
      <c r="L5539">
        <f>LET(
    arrears_months,'Loan Tape (S&amp;P)'!AN5539,
    IF(arrears_months=0,1.00,
    IF(arrears_months=1,3.00,
    IF(arrears_months=2,5.00,
    IF(arrears_months=3,8.00,
    IF(arrears_months=4,10.00,
    IF(arrears_months=5,12.00,15.00)))))))</f>
        <v/>
      </c>
      <c r="M5539">
        <f>LET(
    seasoning_years,DATEDIF('Loan Tape (S&amp;P)'!K5539,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39">
        <f>IF(AND('Loan Tape (S&amp;P)'!U5539="Yes",
        'Loan Tape (S&amp;P)'!T5539&lt;&gt;"Yes",
        DATEDIF('Loan Tape (S&amp;P)'!K5539, TODAY(), "M")&lt;18),
    1.10,
    1.00)</f>
        <v/>
      </c>
      <c r="O5539">
        <f>IF('Loan Tape (S&amp;P)'!T5539="Yes",
    1.35,
    1.00)</f>
        <v/>
      </c>
      <c r="P5539">
        <f>IF('Loan Tape (S&amp;P)'!S5539="Yes",
    1.15,
    1.00)</f>
        <v/>
      </c>
      <c r="Q5539">
        <f>IF('Loan Tape (S&amp;P)'!V5539="Yes",
    1.20,
    1.00)</f>
        <v/>
      </c>
      <c r="T5539">
        <f>LET(
    payment_method,'Loan Tape (S&amp;P)'!P5539,
    occupancy,'Loan Tape (S&amp;P)'!N5539,
    maturity_date,'Loan Tape (S&amp;P)'!L5539,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40">
      <c r="J5540">
        <f>LET(
    lien,'Loan Tape (S&amp;P)'!Q5540,
    IF(lien="First",1.00,
        IF(lien="Second",1.50,
            1.70)))</f>
        <v/>
      </c>
      <c r="K5540">
        <f>LET(
    purpose,'Loan Tape (S&amp;P)'!R5540,
    IF(purpose="Purchase",1.00,
        IF(purpose="Remortgage",1.00,
            1.20)))</f>
        <v/>
      </c>
      <c r="L5540">
        <f>LET(
    arrears_months,'Loan Tape (S&amp;P)'!AN5540,
    IF(arrears_months=0,1.00,
    IF(arrears_months=1,3.00,
    IF(arrears_months=2,5.00,
    IF(arrears_months=3,8.00,
    IF(arrears_months=4,10.00,
    IF(arrears_months=5,12.00,15.00)))))))</f>
        <v/>
      </c>
      <c r="M5540">
        <f>LET(
    seasoning_years,DATEDIF('Loan Tape (S&amp;P)'!K5540,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40">
        <f>IF(AND('Loan Tape (S&amp;P)'!U5540="Yes",
        'Loan Tape (S&amp;P)'!T5540&lt;&gt;"Yes",
        DATEDIF('Loan Tape (S&amp;P)'!K5540, TODAY(), "M")&lt;18),
    1.10,
    1.00)</f>
        <v/>
      </c>
      <c r="O5540">
        <f>IF('Loan Tape (S&amp;P)'!T5540="Yes",
    1.35,
    1.00)</f>
        <v/>
      </c>
      <c r="P5540">
        <f>IF('Loan Tape (S&amp;P)'!S5540="Yes",
    1.15,
    1.00)</f>
        <v/>
      </c>
      <c r="Q5540">
        <f>IF('Loan Tape (S&amp;P)'!V5540="Yes",
    1.20,
    1.00)</f>
        <v/>
      </c>
      <c r="T5540">
        <f>LET(
    payment_method,'Loan Tape (S&amp;P)'!P5540,
    occupancy,'Loan Tape (S&amp;P)'!N5540,
    maturity_date,'Loan Tape (S&amp;P)'!L5540,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41">
      <c r="J5541">
        <f>LET(
    lien,'Loan Tape (S&amp;P)'!Q5541,
    IF(lien="First",1.00,
        IF(lien="Second",1.50,
            1.70)))</f>
        <v/>
      </c>
      <c r="K5541">
        <f>LET(
    purpose,'Loan Tape (S&amp;P)'!R5541,
    IF(purpose="Purchase",1.00,
        IF(purpose="Remortgage",1.00,
            1.20)))</f>
        <v/>
      </c>
      <c r="L5541">
        <f>LET(
    arrears_months,'Loan Tape (S&amp;P)'!AN5541,
    IF(arrears_months=0,1.00,
    IF(arrears_months=1,3.00,
    IF(arrears_months=2,5.00,
    IF(arrears_months=3,8.00,
    IF(arrears_months=4,10.00,
    IF(arrears_months=5,12.00,15.00)))))))</f>
        <v/>
      </c>
      <c r="M5541">
        <f>LET(
    seasoning_years,DATEDIF('Loan Tape (S&amp;P)'!K5541,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41">
        <f>IF(AND('Loan Tape (S&amp;P)'!U5541="Yes",
        'Loan Tape (S&amp;P)'!T5541&lt;&gt;"Yes",
        DATEDIF('Loan Tape (S&amp;P)'!K5541, TODAY(), "M")&lt;18),
    1.10,
    1.00)</f>
        <v/>
      </c>
      <c r="O5541">
        <f>IF('Loan Tape (S&amp;P)'!T5541="Yes",
    1.35,
    1.00)</f>
        <v/>
      </c>
      <c r="P5541">
        <f>IF('Loan Tape (S&amp;P)'!S5541="Yes",
    1.15,
    1.00)</f>
        <v/>
      </c>
      <c r="Q5541">
        <f>IF('Loan Tape (S&amp;P)'!V5541="Yes",
    1.20,
    1.00)</f>
        <v/>
      </c>
      <c r="T5541">
        <f>LET(
    payment_method,'Loan Tape (S&amp;P)'!P5541,
    occupancy,'Loan Tape (S&amp;P)'!N5541,
    maturity_date,'Loan Tape (S&amp;P)'!L5541,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42">
      <c r="J5542">
        <f>LET(
    lien,'Loan Tape (S&amp;P)'!Q5542,
    IF(lien="First",1.00,
        IF(lien="Second",1.50,
            1.70)))</f>
        <v/>
      </c>
      <c r="K5542">
        <f>LET(
    purpose,'Loan Tape (S&amp;P)'!R5542,
    IF(purpose="Purchase",1.00,
        IF(purpose="Remortgage",1.00,
            1.20)))</f>
        <v/>
      </c>
      <c r="L5542">
        <f>LET(
    arrears_months,'Loan Tape (S&amp;P)'!AN5542,
    IF(arrears_months=0,1.00,
    IF(arrears_months=1,3.00,
    IF(arrears_months=2,5.00,
    IF(arrears_months=3,8.00,
    IF(arrears_months=4,10.00,
    IF(arrears_months=5,12.00,15.00)))))))</f>
        <v/>
      </c>
      <c r="M5542">
        <f>LET(
    seasoning_years,DATEDIF('Loan Tape (S&amp;P)'!K5542,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42">
        <f>IF(AND('Loan Tape (S&amp;P)'!U5542="Yes",
        'Loan Tape (S&amp;P)'!T5542&lt;&gt;"Yes",
        DATEDIF('Loan Tape (S&amp;P)'!K5542, TODAY(), "M")&lt;18),
    1.10,
    1.00)</f>
        <v/>
      </c>
      <c r="O5542">
        <f>IF('Loan Tape (S&amp;P)'!T5542="Yes",
    1.35,
    1.00)</f>
        <v/>
      </c>
      <c r="P5542">
        <f>IF('Loan Tape (S&amp;P)'!S5542="Yes",
    1.15,
    1.00)</f>
        <v/>
      </c>
      <c r="Q5542">
        <f>IF('Loan Tape (S&amp;P)'!V5542="Yes",
    1.20,
    1.00)</f>
        <v/>
      </c>
      <c r="T5542">
        <f>LET(
    payment_method,'Loan Tape (S&amp;P)'!P5542,
    occupancy,'Loan Tape (S&amp;P)'!N5542,
    maturity_date,'Loan Tape (S&amp;P)'!L5542,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43">
      <c r="J5543">
        <f>LET(
    lien,'Loan Tape (S&amp;P)'!Q5543,
    IF(lien="First",1.00,
        IF(lien="Second",1.50,
            1.70)))</f>
        <v/>
      </c>
      <c r="K5543">
        <f>LET(
    purpose,'Loan Tape (S&amp;P)'!R5543,
    IF(purpose="Purchase",1.00,
        IF(purpose="Remortgage",1.00,
            1.20)))</f>
        <v/>
      </c>
      <c r="L5543">
        <f>LET(
    arrears_months,'Loan Tape (S&amp;P)'!AN5543,
    IF(arrears_months=0,1.00,
    IF(arrears_months=1,3.00,
    IF(arrears_months=2,5.00,
    IF(arrears_months=3,8.00,
    IF(arrears_months=4,10.00,
    IF(arrears_months=5,12.00,15.00)))))))</f>
        <v/>
      </c>
      <c r="M5543">
        <f>LET(
    seasoning_years,DATEDIF('Loan Tape (S&amp;P)'!K5543,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43">
        <f>IF(AND('Loan Tape (S&amp;P)'!U5543="Yes",
        'Loan Tape (S&amp;P)'!T5543&lt;&gt;"Yes",
        DATEDIF('Loan Tape (S&amp;P)'!K5543, TODAY(), "M")&lt;18),
    1.10,
    1.00)</f>
        <v/>
      </c>
      <c r="O5543">
        <f>IF('Loan Tape (S&amp;P)'!T5543="Yes",
    1.35,
    1.00)</f>
        <v/>
      </c>
      <c r="P5543">
        <f>IF('Loan Tape (S&amp;P)'!S5543="Yes",
    1.15,
    1.00)</f>
        <v/>
      </c>
      <c r="Q5543">
        <f>IF('Loan Tape (S&amp;P)'!V5543="Yes",
    1.20,
    1.00)</f>
        <v/>
      </c>
      <c r="T5543">
        <f>LET(
    payment_method,'Loan Tape (S&amp;P)'!P5543,
    occupancy,'Loan Tape (S&amp;P)'!N5543,
    maturity_date,'Loan Tape (S&amp;P)'!L5543,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44">
      <c r="J5544">
        <f>LET(
    lien,'Loan Tape (S&amp;P)'!Q5544,
    IF(lien="First",1.00,
        IF(lien="Second",1.50,
            1.70)))</f>
        <v/>
      </c>
      <c r="K5544">
        <f>LET(
    purpose,'Loan Tape (S&amp;P)'!R5544,
    IF(purpose="Purchase",1.00,
        IF(purpose="Remortgage",1.00,
            1.20)))</f>
        <v/>
      </c>
      <c r="L5544">
        <f>LET(
    arrears_months,'Loan Tape (S&amp;P)'!AN5544,
    IF(arrears_months=0,1.00,
    IF(arrears_months=1,3.00,
    IF(arrears_months=2,5.00,
    IF(arrears_months=3,8.00,
    IF(arrears_months=4,10.00,
    IF(arrears_months=5,12.00,15.00)))))))</f>
        <v/>
      </c>
      <c r="M5544">
        <f>LET(
    seasoning_years,DATEDIF('Loan Tape (S&amp;P)'!K5544,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44">
        <f>IF(AND('Loan Tape (S&amp;P)'!U5544="Yes",
        'Loan Tape (S&amp;P)'!T5544&lt;&gt;"Yes",
        DATEDIF('Loan Tape (S&amp;P)'!K5544, TODAY(), "M")&lt;18),
    1.10,
    1.00)</f>
        <v/>
      </c>
      <c r="O5544">
        <f>IF('Loan Tape (S&amp;P)'!T5544="Yes",
    1.35,
    1.00)</f>
        <v/>
      </c>
      <c r="P5544">
        <f>IF('Loan Tape (S&amp;P)'!S5544="Yes",
    1.15,
    1.00)</f>
        <v/>
      </c>
      <c r="Q5544">
        <f>IF('Loan Tape (S&amp;P)'!V5544="Yes",
    1.20,
    1.00)</f>
        <v/>
      </c>
      <c r="T5544">
        <f>LET(
    payment_method,'Loan Tape (S&amp;P)'!P5544,
    occupancy,'Loan Tape (S&amp;P)'!N5544,
    maturity_date,'Loan Tape (S&amp;P)'!L5544,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45">
      <c r="J5545">
        <f>LET(
    lien,'Loan Tape (S&amp;P)'!Q5545,
    IF(lien="First",1.00,
        IF(lien="Second",1.50,
            1.70)))</f>
        <v/>
      </c>
      <c r="K5545">
        <f>LET(
    purpose,'Loan Tape (S&amp;P)'!R5545,
    IF(purpose="Purchase",1.00,
        IF(purpose="Remortgage",1.00,
            1.20)))</f>
        <v/>
      </c>
      <c r="L5545">
        <f>LET(
    arrears_months,'Loan Tape (S&amp;P)'!AN5545,
    IF(arrears_months=0,1.00,
    IF(arrears_months=1,3.00,
    IF(arrears_months=2,5.00,
    IF(arrears_months=3,8.00,
    IF(arrears_months=4,10.00,
    IF(arrears_months=5,12.00,15.00)))))))</f>
        <v/>
      </c>
      <c r="M5545">
        <f>LET(
    seasoning_years,DATEDIF('Loan Tape (S&amp;P)'!K5545,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45">
        <f>IF(AND('Loan Tape (S&amp;P)'!U5545="Yes",
        'Loan Tape (S&amp;P)'!T5545&lt;&gt;"Yes",
        DATEDIF('Loan Tape (S&amp;P)'!K5545, TODAY(), "M")&lt;18),
    1.10,
    1.00)</f>
        <v/>
      </c>
      <c r="O5545">
        <f>IF('Loan Tape (S&amp;P)'!T5545="Yes",
    1.35,
    1.00)</f>
        <v/>
      </c>
      <c r="P5545">
        <f>IF('Loan Tape (S&amp;P)'!S5545="Yes",
    1.15,
    1.00)</f>
        <v/>
      </c>
      <c r="Q5545">
        <f>IF('Loan Tape (S&amp;P)'!V5545="Yes",
    1.20,
    1.00)</f>
        <v/>
      </c>
      <c r="T5545">
        <f>LET(
    payment_method,'Loan Tape (S&amp;P)'!P5545,
    occupancy,'Loan Tape (S&amp;P)'!N5545,
    maturity_date,'Loan Tape (S&amp;P)'!L5545,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46">
      <c r="J5546">
        <f>LET(
    lien,'Loan Tape (S&amp;P)'!Q5546,
    IF(lien="First",1.00,
        IF(lien="Second",1.50,
            1.70)))</f>
        <v/>
      </c>
      <c r="K5546">
        <f>LET(
    purpose,'Loan Tape (S&amp;P)'!R5546,
    IF(purpose="Purchase",1.00,
        IF(purpose="Remortgage",1.00,
            1.20)))</f>
        <v/>
      </c>
      <c r="L5546">
        <f>LET(
    arrears_months,'Loan Tape (S&amp;P)'!AN5546,
    IF(arrears_months=0,1.00,
    IF(arrears_months=1,3.00,
    IF(arrears_months=2,5.00,
    IF(arrears_months=3,8.00,
    IF(arrears_months=4,10.00,
    IF(arrears_months=5,12.00,15.00)))))))</f>
        <v/>
      </c>
      <c r="M5546">
        <f>LET(
    seasoning_years,DATEDIF('Loan Tape (S&amp;P)'!K5546,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46">
        <f>IF(AND('Loan Tape (S&amp;P)'!U5546="Yes",
        'Loan Tape (S&amp;P)'!T5546&lt;&gt;"Yes",
        DATEDIF('Loan Tape (S&amp;P)'!K5546, TODAY(), "M")&lt;18),
    1.10,
    1.00)</f>
        <v/>
      </c>
      <c r="O5546">
        <f>IF('Loan Tape (S&amp;P)'!T5546="Yes",
    1.35,
    1.00)</f>
        <v/>
      </c>
      <c r="P5546">
        <f>IF('Loan Tape (S&amp;P)'!S5546="Yes",
    1.15,
    1.00)</f>
        <v/>
      </c>
      <c r="Q5546">
        <f>IF('Loan Tape (S&amp;P)'!V5546="Yes",
    1.20,
    1.00)</f>
        <v/>
      </c>
      <c r="T5546">
        <f>LET(
    payment_method,'Loan Tape (S&amp;P)'!P5546,
    occupancy,'Loan Tape (S&amp;P)'!N5546,
    maturity_date,'Loan Tape (S&amp;P)'!L5546,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47">
      <c r="J5547">
        <f>LET(
    lien,'Loan Tape (S&amp;P)'!Q5547,
    IF(lien="First",1.00,
        IF(lien="Second",1.50,
            1.70)))</f>
        <v/>
      </c>
      <c r="K5547">
        <f>LET(
    purpose,'Loan Tape (S&amp;P)'!R5547,
    IF(purpose="Purchase",1.00,
        IF(purpose="Remortgage",1.00,
            1.20)))</f>
        <v/>
      </c>
      <c r="L5547">
        <f>LET(
    arrears_months,'Loan Tape (S&amp;P)'!AN5547,
    IF(arrears_months=0,1.00,
    IF(arrears_months=1,3.00,
    IF(arrears_months=2,5.00,
    IF(arrears_months=3,8.00,
    IF(arrears_months=4,10.00,
    IF(arrears_months=5,12.00,15.00)))))))</f>
        <v/>
      </c>
      <c r="M5547">
        <f>LET(
    seasoning_years,DATEDIF('Loan Tape (S&amp;P)'!K5547,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47">
        <f>IF(AND('Loan Tape (S&amp;P)'!U5547="Yes",
        'Loan Tape (S&amp;P)'!T5547&lt;&gt;"Yes",
        DATEDIF('Loan Tape (S&amp;P)'!K5547, TODAY(), "M")&lt;18),
    1.10,
    1.00)</f>
        <v/>
      </c>
      <c r="O5547">
        <f>IF('Loan Tape (S&amp;P)'!T5547="Yes",
    1.35,
    1.00)</f>
        <v/>
      </c>
      <c r="P5547">
        <f>IF('Loan Tape (S&amp;P)'!S5547="Yes",
    1.15,
    1.00)</f>
        <v/>
      </c>
      <c r="Q5547">
        <f>IF('Loan Tape (S&amp;P)'!V5547="Yes",
    1.20,
    1.00)</f>
        <v/>
      </c>
      <c r="T5547">
        <f>LET(
    payment_method,'Loan Tape (S&amp;P)'!P5547,
    occupancy,'Loan Tape (S&amp;P)'!N5547,
    maturity_date,'Loan Tape (S&amp;P)'!L5547,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48">
      <c r="J5548">
        <f>LET(
    lien,'Loan Tape (S&amp;P)'!Q5548,
    IF(lien="First",1.00,
        IF(lien="Second",1.50,
            1.70)))</f>
        <v/>
      </c>
      <c r="K5548">
        <f>LET(
    purpose,'Loan Tape (S&amp;P)'!R5548,
    IF(purpose="Purchase",1.00,
        IF(purpose="Remortgage",1.00,
            1.20)))</f>
        <v/>
      </c>
      <c r="L5548">
        <f>LET(
    arrears_months,'Loan Tape (S&amp;P)'!AN5548,
    IF(arrears_months=0,1.00,
    IF(arrears_months=1,3.00,
    IF(arrears_months=2,5.00,
    IF(arrears_months=3,8.00,
    IF(arrears_months=4,10.00,
    IF(arrears_months=5,12.00,15.00)))))))</f>
        <v/>
      </c>
      <c r="M5548">
        <f>LET(
    seasoning_years,DATEDIF('Loan Tape (S&amp;P)'!K5548,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48">
        <f>IF(AND('Loan Tape (S&amp;P)'!U5548="Yes",
        'Loan Tape (S&amp;P)'!T5548&lt;&gt;"Yes",
        DATEDIF('Loan Tape (S&amp;P)'!K5548, TODAY(), "M")&lt;18),
    1.10,
    1.00)</f>
        <v/>
      </c>
      <c r="O5548">
        <f>IF('Loan Tape (S&amp;P)'!T5548="Yes",
    1.35,
    1.00)</f>
        <v/>
      </c>
      <c r="P5548">
        <f>IF('Loan Tape (S&amp;P)'!S5548="Yes",
    1.15,
    1.00)</f>
        <v/>
      </c>
      <c r="Q5548">
        <f>IF('Loan Tape (S&amp;P)'!V5548="Yes",
    1.20,
    1.00)</f>
        <v/>
      </c>
      <c r="T5548">
        <f>LET(
    payment_method,'Loan Tape (S&amp;P)'!P5548,
    occupancy,'Loan Tape (S&amp;P)'!N5548,
    maturity_date,'Loan Tape (S&amp;P)'!L5548,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49">
      <c r="J5549">
        <f>LET(
    lien,'Loan Tape (S&amp;P)'!Q5549,
    IF(lien="First",1.00,
        IF(lien="Second",1.50,
            1.70)))</f>
        <v/>
      </c>
      <c r="K5549">
        <f>LET(
    purpose,'Loan Tape (S&amp;P)'!R5549,
    IF(purpose="Purchase",1.00,
        IF(purpose="Remortgage",1.00,
            1.20)))</f>
        <v/>
      </c>
      <c r="L5549">
        <f>LET(
    arrears_months,'Loan Tape (S&amp;P)'!AN5549,
    IF(arrears_months=0,1.00,
    IF(arrears_months=1,3.00,
    IF(arrears_months=2,5.00,
    IF(arrears_months=3,8.00,
    IF(arrears_months=4,10.00,
    IF(arrears_months=5,12.00,15.00)))))))</f>
        <v/>
      </c>
      <c r="M5549">
        <f>LET(
    seasoning_years,DATEDIF('Loan Tape (S&amp;P)'!K5549,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49">
        <f>IF(AND('Loan Tape (S&amp;P)'!U5549="Yes",
        'Loan Tape (S&amp;P)'!T5549&lt;&gt;"Yes",
        DATEDIF('Loan Tape (S&amp;P)'!K5549, TODAY(), "M")&lt;18),
    1.10,
    1.00)</f>
        <v/>
      </c>
      <c r="O5549">
        <f>IF('Loan Tape (S&amp;P)'!T5549="Yes",
    1.35,
    1.00)</f>
        <v/>
      </c>
      <c r="P5549">
        <f>IF('Loan Tape (S&amp;P)'!S5549="Yes",
    1.15,
    1.00)</f>
        <v/>
      </c>
      <c r="Q5549">
        <f>IF('Loan Tape (S&amp;P)'!V5549="Yes",
    1.20,
    1.00)</f>
        <v/>
      </c>
      <c r="T5549">
        <f>LET(
    payment_method,'Loan Tape (S&amp;P)'!P5549,
    occupancy,'Loan Tape (S&amp;P)'!N5549,
    maturity_date,'Loan Tape (S&amp;P)'!L5549,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50">
      <c r="J5550">
        <f>LET(
    lien,'Loan Tape (S&amp;P)'!Q5550,
    IF(lien="First",1.00,
        IF(lien="Second",1.50,
            1.70)))</f>
        <v/>
      </c>
      <c r="K5550">
        <f>LET(
    purpose,'Loan Tape (S&amp;P)'!R5550,
    IF(purpose="Purchase",1.00,
        IF(purpose="Remortgage",1.00,
            1.20)))</f>
        <v/>
      </c>
      <c r="L5550">
        <f>LET(
    arrears_months,'Loan Tape (S&amp;P)'!AN5550,
    IF(arrears_months=0,1.00,
    IF(arrears_months=1,3.00,
    IF(arrears_months=2,5.00,
    IF(arrears_months=3,8.00,
    IF(arrears_months=4,10.00,
    IF(arrears_months=5,12.00,15.00)))))))</f>
        <v/>
      </c>
      <c r="M5550">
        <f>LET(
    seasoning_years,DATEDIF('Loan Tape (S&amp;P)'!K5550,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50">
        <f>IF(AND('Loan Tape (S&amp;P)'!U5550="Yes",
        'Loan Tape (S&amp;P)'!T5550&lt;&gt;"Yes",
        DATEDIF('Loan Tape (S&amp;P)'!K5550, TODAY(), "M")&lt;18),
    1.10,
    1.00)</f>
        <v/>
      </c>
      <c r="O5550">
        <f>IF('Loan Tape (S&amp;P)'!T5550="Yes",
    1.35,
    1.00)</f>
        <v/>
      </c>
      <c r="P5550">
        <f>IF('Loan Tape (S&amp;P)'!S5550="Yes",
    1.15,
    1.00)</f>
        <v/>
      </c>
      <c r="Q5550">
        <f>IF('Loan Tape (S&amp;P)'!V5550="Yes",
    1.20,
    1.00)</f>
        <v/>
      </c>
      <c r="T5550">
        <f>LET(
    payment_method,'Loan Tape (S&amp;P)'!P5550,
    occupancy,'Loan Tape (S&amp;P)'!N5550,
    maturity_date,'Loan Tape (S&amp;P)'!L5550,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51">
      <c r="J5551">
        <f>LET(
    lien,'Loan Tape (S&amp;P)'!Q5551,
    IF(lien="First",1.00,
        IF(lien="Second",1.50,
            1.70)))</f>
        <v/>
      </c>
      <c r="K5551">
        <f>LET(
    purpose,'Loan Tape (S&amp;P)'!R5551,
    IF(purpose="Purchase",1.00,
        IF(purpose="Remortgage",1.00,
            1.20)))</f>
        <v/>
      </c>
      <c r="L5551">
        <f>LET(
    arrears_months,'Loan Tape (S&amp;P)'!AN5551,
    IF(arrears_months=0,1.00,
    IF(arrears_months=1,3.00,
    IF(arrears_months=2,5.00,
    IF(arrears_months=3,8.00,
    IF(arrears_months=4,10.00,
    IF(arrears_months=5,12.00,15.00)))))))</f>
        <v/>
      </c>
      <c r="M5551">
        <f>LET(
    seasoning_years,DATEDIF('Loan Tape (S&amp;P)'!K5551,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51">
        <f>IF(AND('Loan Tape (S&amp;P)'!U5551="Yes",
        'Loan Tape (S&amp;P)'!T5551&lt;&gt;"Yes",
        DATEDIF('Loan Tape (S&amp;P)'!K5551, TODAY(), "M")&lt;18),
    1.10,
    1.00)</f>
        <v/>
      </c>
      <c r="O5551">
        <f>IF('Loan Tape (S&amp;P)'!T5551="Yes",
    1.35,
    1.00)</f>
        <v/>
      </c>
      <c r="P5551">
        <f>IF('Loan Tape (S&amp;P)'!S5551="Yes",
    1.15,
    1.00)</f>
        <v/>
      </c>
      <c r="Q5551">
        <f>IF('Loan Tape (S&amp;P)'!V5551="Yes",
    1.20,
    1.00)</f>
        <v/>
      </c>
      <c r="T5551">
        <f>LET(
    payment_method,'Loan Tape (S&amp;P)'!P5551,
    occupancy,'Loan Tape (S&amp;P)'!N5551,
    maturity_date,'Loan Tape (S&amp;P)'!L5551,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52">
      <c r="J5552">
        <f>LET(
    lien,'Loan Tape (S&amp;P)'!Q5552,
    IF(lien="First",1.00,
        IF(lien="Second",1.50,
            1.70)))</f>
        <v/>
      </c>
      <c r="K5552">
        <f>LET(
    purpose,'Loan Tape (S&amp;P)'!R5552,
    IF(purpose="Purchase",1.00,
        IF(purpose="Remortgage",1.00,
            1.20)))</f>
        <v/>
      </c>
      <c r="L5552">
        <f>LET(
    arrears_months,'Loan Tape (S&amp;P)'!AN5552,
    IF(arrears_months=0,1.00,
    IF(arrears_months=1,3.00,
    IF(arrears_months=2,5.00,
    IF(arrears_months=3,8.00,
    IF(arrears_months=4,10.00,
    IF(arrears_months=5,12.00,15.00)))))))</f>
        <v/>
      </c>
      <c r="M5552">
        <f>LET(
    seasoning_years,DATEDIF('Loan Tape (S&amp;P)'!K5552,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52">
        <f>IF(AND('Loan Tape (S&amp;P)'!U5552="Yes",
        'Loan Tape (S&amp;P)'!T5552&lt;&gt;"Yes",
        DATEDIF('Loan Tape (S&amp;P)'!K5552, TODAY(), "M")&lt;18),
    1.10,
    1.00)</f>
        <v/>
      </c>
      <c r="O5552">
        <f>IF('Loan Tape (S&amp;P)'!T5552="Yes",
    1.35,
    1.00)</f>
        <v/>
      </c>
      <c r="P5552">
        <f>IF('Loan Tape (S&amp;P)'!S5552="Yes",
    1.15,
    1.00)</f>
        <v/>
      </c>
      <c r="Q5552">
        <f>IF('Loan Tape (S&amp;P)'!V5552="Yes",
    1.20,
    1.00)</f>
        <v/>
      </c>
      <c r="T5552">
        <f>LET(
    payment_method,'Loan Tape (S&amp;P)'!P5552,
    occupancy,'Loan Tape (S&amp;P)'!N5552,
    maturity_date,'Loan Tape (S&amp;P)'!L5552,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53">
      <c r="J5553">
        <f>LET(
    lien,'Loan Tape (S&amp;P)'!Q5553,
    IF(lien="First",1.00,
        IF(lien="Second",1.50,
            1.70)))</f>
        <v/>
      </c>
      <c r="K5553">
        <f>LET(
    purpose,'Loan Tape (S&amp;P)'!R5553,
    IF(purpose="Purchase",1.00,
        IF(purpose="Remortgage",1.00,
            1.20)))</f>
        <v/>
      </c>
      <c r="L5553">
        <f>LET(
    arrears_months,'Loan Tape (S&amp;P)'!AN5553,
    IF(arrears_months=0,1.00,
    IF(arrears_months=1,3.00,
    IF(arrears_months=2,5.00,
    IF(arrears_months=3,8.00,
    IF(arrears_months=4,10.00,
    IF(arrears_months=5,12.00,15.00)))))))</f>
        <v/>
      </c>
      <c r="M5553">
        <f>LET(
    seasoning_years,DATEDIF('Loan Tape (S&amp;P)'!K5553,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53">
        <f>IF(AND('Loan Tape (S&amp;P)'!U5553="Yes",
        'Loan Tape (S&amp;P)'!T5553&lt;&gt;"Yes",
        DATEDIF('Loan Tape (S&amp;P)'!K5553, TODAY(), "M")&lt;18),
    1.10,
    1.00)</f>
        <v/>
      </c>
      <c r="O5553">
        <f>IF('Loan Tape (S&amp;P)'!T5553="Yes",
    1.35,
    1.00)</f>
        <v/>
      </c>
      <c r="P5553">
        <f>IF('Loan Tape (S&amp;P)'!S5553="Yes",
    1.15,
    1.00)</f>
        <v/>
      </c>
      <c r="Q5553">
        <f>IF('Loan Tape (S&amp;P)'!V5553="Yes",
    1.20,
    1.00)</f>
        <v/>
      </c>
      <c r="T5553">
        <f>LET(
    payment_method,'Loan Tape (S&amp;P)'!P5553,
    occupancy,'Loan Tape (S&amp;P)'!N5553,
    maturity_date,'Loan Tape (S&amp;P)'!L5553,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54">
      <c r="J5554">
        <f>LET(
    lien,'Loan Tape (S&amp;P)'!Q5554,
    IF(lien="First",1.00,
        IF(lien="Second",1.50,
            1.70)))</f>
        <v/>
      </c>
      <c r="K5554">
        <f>LET(
    purpose,'Loan Tape (S&amp;P)'!R5554,
    IF(purpose="Purchase",1.00,
        IF(purpose="Remortgage",1.00,
            1.20)))</f>
        <v/>
      </c>
      <c r="L5554">
        <f>LET(
    arrears_months,'Loan Tape (S&amp;P)'!AN5554,
    IF(arrears_months=0,1.00,
    IF(arrears_months=1,3.00,
    IF(arrears_months=2,5.00,
    IF(arrears_months=3,8.00,
    IF(arrears_months=4,10.00,
    IF(arrears_months=5,12.00,15.00)))))))</f>
        <v/>
      </c>
      <c r="M5554">
        <f>LET(
    seasoning_years,DATEDIF('Loan Tape (S&amp;P)'!K5554,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54">
        <f>IF(AND('Loan Tape (S&amp;P)'!U5554="Yes",
        'Loan Tape (S&amp;P)'!T5554&lt;&gt;"Yes",
        DATEDIF('Loan Tape (S&amp;P)'!K5554, TODAY(), "M")&lt;18),
    1.10,
    1.00)</f>
        <v/>
      </c>
      <c r="O5554">
        <f>IF('Loan Tape (S&amp;P)'!T5554="Yes",
    1.35,
    1.00)</f>
        <v/>
      </c>
      <c r="P5554">
        <f>IF('Loan Tape (S&amp;P)'!S5554="Yes",
    1.15,
    1.00)</f>
        <v/>
      </c>
      <c r="Q5554">
        <f>IF('Loan Tape (S&amp;P)'!V5554="Yes",
    1.20,
    1.00)</f>
        <v/>
      </c>
      <c r="T5554">
        <f>LET(
    payment_method,'Loan Tape (S&amp;P)'!P5554,
    occupancy,'Loan Tape (S&amp;P)'!N5554,
    maturity_date,'Loan Tape (S&amp;P)'!L5554,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55">
      <c r="J5555">
        <f>LET(
    lien,'Loan Tape (S&amp;P)'!Q5555,
    IF(lien="First",1.00,
        IF(lien="Second",1.50,
            1.70)))</f>
        <v/>
      </c>
      <c r="K5555">
        <f>LET(
    purpose,'Loan Tape (S&amp;P)'!R5555,
    IF(purpose="Purchase",1.00,
        IF(purpose="Remortgage",1.00,
            1.20)))</f>
        <v/>
      </c>
      <c r="L5555">
        <f>LET(
    arrears_months,'Loan Tape (S&amp;P)'!AN5555,
    IF(arrears_months=0,1.00,
    IF(arrears_months=1,3.00,
    IF(arrears_months=2,5.00,
    IF(arrears_months=3,8.00,
    IF(arrears_months=4,10.00,
    IF(arrears_months=5,12.00,15.00)))))))</f>
        <v/>
      </c>
      <c r="M5555">
        <f>LET(
    seasoning_years,DATEDIF('Loan Tape (S&amp;P)'!K5555,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55">
        <f>IF(AND('Loan Tape (S&amp;P)'!U5555="Yes",
        'Loan Tape (S&amp;P)'!T5555&lt;&gt;"Yes",
        DATEDIF('Loan Tape (S&amp;P)'!K5555, TODAY(), "M")&lt;18),
    1.10,
    1.00)</f>
        <v/>
      </c>
      <c r="O5555">
        <f>IF('Loan Tape (S&amp;P)'!T5555="Yes",
    1.35,
    1.00)</f>
        <v/>
      </c>
      <c r="P5555">
        <f>IF('Loan Tape (S&amp;P)'!S5555="Yes",
    1.15,
    1.00)</f>
        <v/>
      </c>
      <c r="Q5555">
        <f>IF('Loan Tape (S&amp;P)'!V5555="Yes",
    1.20,
    1.00)</f>
        <v/>
      </c>
      <c r="T5555">
        <f>LET(
    payment_method,'Loan Tape (S&amp;P)'!P5555,
    occupancy,'Loan Tape (S&amp;P)'!N5555,
    maturity_date,'Loan Tape (S&amp;P)'!L5555,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56">
      <c r="J5556">
        <f>LET(
    lien,'Loan Tape (S&amp;P)'!Q5556,
    IF(lien="First",1.00,
        IF(lien="Second",1.50,
            1.70)))</f>
        <v/>
      </c>
      <c r="K5556">
        <f>LET(
    purpose,'Loan Tape (S&amp;P)'!R5556,
    IF(purpose="Purchase",1.00,
        IF(purpose="Remortgage",1.00,
            1.20)))</f>
        <v/>
      </c>
      <c r="L5556">
        <f>LET(
    arrears_months,'Loan Tape (S&amp;P)'!AN5556,
    IF(arrears_months=0,1.00,
    IF(arrears_months=1,3.00,
    IF(arrears_months=2,5.00,
    IF(arrears_months=3,8.00,
    IF(arrears_months=4,10.00,
    IF(arrears_months=5,12.00,15.00)))))))</f>
        <v/>
      </c>
      <c r="M5556">
        <f>LET(
    seasoning_years,DATEDIF('Loan Tape (S&amp;P)'!K5556,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56">
        <f>IF(AND('Loan Tape (S&amp;P)'!U5556="Yes",
        'Loan Tape (S&amp;P)'!T5556&lt;&gt;"Yes",
        DATEDIF('Loan Tape (S&amp;P)'!K5556, TODAY(), "M")&lt;18),
    1.10,
    1.00)</f>
        <v/>
      </c>
      <c r="O5556">
        <f>IF('Loan Tape (S&amp;P)'!T5556="Yes",
    1.35,
    1.00)</f>
        <v/>
      </c>
      <c r="P5556">
        <f>IF('Loan Tape (S&amp;P)'!S5556="Yes",
    1.15,
    1.00)</f>
        <v/>
      </c>
      <c r="Q5556">
        <f>IF('Loan Tape (S&amp;P)'!V5556="Yes",
    1.20,
    1.00)</f>
        <v/>
      </c>
      <c r="T5556">
        <f>LET(
    payment_method,'Loan Tape (S&amp;P)'!P5556,
    occupancy,'Loan Tape (S&amp;P)'!N5556,
    maturity_date,'Loan Tape (S&amp;P)'!L5556,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57">
      <c r="J5557">
        <f>LET(
    lien,'Loan Tape (S&amp;P)'!Q5557,
    IF(lien="First",1.00,
        IF(lien="Second",1.50,
            1.70)))</f>
        <v/>
      </c>
      <c r="K5557">
        <f>LET(
    purpose,'Loan Tape (S&amp;P)'!R5557,
    IF(purpose="Purchase",1.00,
        IF(purpose="Remortgage",1.00,
            1.20)))</f>
        <v/>
      </c>
      <c r="L5557">
        <f>LET(
    arrears_months,'Loan Tape (S&amp;P)'!AN5557,
    IF(arrears_months=0,1.00,
    IF(arrears_months=1,3.00,
    IF(arrears_months=2,5.00,
    IF(arrears_months=3,8.00,
    IF(arrears_months=4,10.00,
    IF(arrears_months=5,12.00,15.00)))))))</f>
        <v/>
      </c>
      <c r="M5557">
        <f>LET(
    seasoning_years,DATEDIF('Loan Tape (S&amp;P)'!K5557,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57">
        <f>IF(AND('Loan Tape (S&amp;P)'!U5557="Yes",
        'Loan Tape (S&amp;P)'!T5557&lt;&gt;"Yes",
        DATEDIF('Loan Tape (S&amp;P)'!K5557, TODAY(), "M")&lt;18),
    1.10,
    1.00)</f>
        <v/>
      </c>
      <c r="O5557">
        <f>IF('Loan Tape (S&amp;P)'!T5557="Yes",
    1.35,
    1.00)</f>
        <v/>
      </c>
      <c r="P5557">
        <f>IF('Loan Tape (S&amp;P)'!S5557="Yes",
    1.15,
    1.00)</f>
        <v/>
      </c>
      <c r="Q5557">
        <f>IF('Loan Tape (S&amp;P)'!V5557="Yes",
    1.20,
    1.00)</f>
        <v/>
      </c>
      <c r="T5557">
        <f>LET(
    payment_method,'Loan Tape (S&amp;P)'!P5557,
    occupancy,'Loan Tape (S&amp;P)'!N5557,
    maturity_date,'Loan Tape (S&amp;P)'!L5557,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58">
      <c r="J5558">
        <f>LET(
    lien,'Loan Tape (S&amp;P)'!Q5558,
    IF(lien="First",1.00,
        IF(lien="Second",1.50,
            1.70)))</f>
        <v/>
      </c>
      <c r="K5558">
        <f>LET(
    purpose,'Loan Tape (S&amp;P)'!R5558,
    IF(purpose="Purchase",1.00,
        IF(purpose="Remortgage",1.00,
            1.20)))</f>
        <v/>
      </c>
      <c r="L5558">
        <f>LET(
    arrears_months,'Loan Tape (S&amp;P)'!AN5558,
    IF(arrears_months=0,1.00,
    IF(arrears_months=1,3.00,
    IF(arrears_months=2,5.00,
    IF(arrears_months=3,8.00,
    IF(arrears_months=4,10.00,
    IF(arrears_months=5,12.00,15.00)))))))</f>
        <v/>
      </c>
      <c r="M5558">
        <f>LET(
    seasoning_years,DATEDIF('Loan Tape (S&amp;P)'!K5558,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58">
        <f>IF(AND('Loan Tape (S&amp;P)'!U5558="Yes",
        'Loan Tape (S&amp;P)'!T5558&lt;&gt;"Yes",
        DATEDIF('Loan Tape (S&amp;P)'!K5558, TODAY(), "M")&lt;18),
    1.10,
    1.00)</f>
        <v/>
      </c>
      <c r="O5558">
        <f>IF('Loan Tape (S&amp;P)'!T5558="Yes",
    1.35,
    1.00)</f>
        <v/>
      </c>
      <c r="P5558">
        <f>IF('Loan Tape (S&amp;P)'!S5558="Yes",
    1.15,
    1.00)</f>
        <v/>
      </c>
      <c r="Q5558">
        <f>IF('Loan Tape (S&amp;P)'!V5558="Yes",
    1.20,
    1.00)</f>
        <v/>
      </c>
      <c r="T5558">
        <f>LET(
    payment_method,'Loan Tape (S&amp;P)'!P5558,
    occupancy,'Loan Tape (S&amp;P)'!N5558,
    maturity_date,'Loan Tape (S&amp;P)'!L5558,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59">
      <c r="J5559">
        <f>LET(
    lien,'Loan Tape (S&amp;P)'!Q5559,
    IF(lien="First",1.00,
        IF(lien="Second",1.50,
            1.70)))</f>
        <v/>
      </c>
      <c r="K5559">
        <f>LET(
    purpose,'Loan Tape (S&amp;P)'!R5559,
    IF(purpose="Purchase",1.00,
        IF(purpose="Remortgage",1.00,
            1.20)))</f>
        <v/>
      </c>
      <c r="L5559">
        <f>LET(
    arrears_months,'Loan Tape (S&amp;P)'!AN5559,
    IF(arrears_months=0,1.00,
    IF(arrears_months=1,3.00,
    IF(arrears_months=2,5.00,
    IF(arrears_months=3,8.00,
    IF(arrears_months=4,10.00,
    IF(arrears_months=5,12.00,15.00)))))))</f>
        <v/>
      </c>
      <c r="M5559">
        <f>LET(
    seasoning_years,DATEDIF('Loan Tape (S&amp;P)'!K5559,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59">
        <f>IF(AND('Loan Tape (S&amp;P)'!U5559="Yes",
        'Loan Tape (S&amp;P)'!T5559&lt;&gt;"Yes",
        DATEDIF('Loan Tape (S&amp;P)'!K5559, TODAY(), "M")&lt;18),
    1.10,
    1.00)</f>
        <v/>
      </c>
      <c r="O5559">
        <f>IF('Loan Tape (S&amp;P)'!T5559="Yes",
    1.35,
    1.00)</f>
        <v/>
      </c>
      <c r="P5559">
        <f>IF('Loan Tape (S&amp;P)'!S5559="Yes",
    1.15,
    1.00)</f>
        <v/>
      </c>
      <c r="Q5559">
        <f>IF('Loan Tape (S&amp;P)'!V5559="Yes",
    1.20,
    1.00)</f>
        <v/>
      </c>
      <c r="T5559">
        <f>LET(
    payment_method,'Loan Tape (S&amp;P)'!P5559,
    occupancy,'Loan Tape (S&amp;P)'!N5559,
    maturity_date,'Loan Tape (S&amp;P)'!L5559,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60">
      <c r="J5560">
        <f>LET(
    lien,'Loan Tape (S&amp;P)'!Q5560,
    IF(lien="First",1.00,
        IF(lien="Second",1.50,
            1.70)))</f>
        <v/>
      </c>
      <c r="K5560">
        <f>LET(
    purpose,'Loan Tape (S&amp;P)'!R5560,
    IF(purpose="Purchase",1.00,
        IF(purpose="Remortgage",1.00,
            1.20)))</f>
        <v/>
      </c>
      <c r="L5560">
        <f>LET(
    arrears_months,'Loan Tape (S&amp;P)'!AN5560,
    IF(arrears_months=0,1.00,
    IF(arrears_months=1,3.00,
    IF(arrears_months=2,5.00,
    IF(arrears_months=3,8.00,
    IF(arrears_months=4,10.00,
    IF(arrears_months=5,12.00,15.00)))))))</f>
        <v/>
      </c>
      <c r="M5560">
        <f>LET(
    seasoning_years,DATEDIF('Loan Tape (S&amp;P)'!K5560,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60">
        <f>IF(AND('Loan Tape (S&amp;P)'!U5560="Yes",
        'Loan Tape (S&amp;P)'!T5560&lt;&gt;"Yes",
        DATEDIF('Loan Tape (S&amp;P)'!K5560, TODAY(), "M")&lt;18),
    1.10,
    1.00)</f>
        <v/>
      </c>
      <c r="O5560">
        <f>IF('Loan Tape (S&amp;P)'!T5560="Yes",
    1.35,
    1.00)</f>
        <v/>
      </c>
      <c r="P5560">
        <f>IF('Loan Tape (S&amp;P)'!S5560="Yes",
    1.15,
    1.00)</f>
        <v/>
      </c>
      <c r="Q5560">
        <f>IF('Loan Tape (S&amp;P)'!V5560="Yes",
    1.20,
    1.00)</f>
        <v/>
      </c>
      <c r="T5560">
        <f>LET(
    payment_method,'Loan Tape (S&amp;P)'!P5560,
    occupancy,'Loan Tape (S&amp;P)'!N5560,
    maturity_date,'Loan Tape (S&amp;P)'!L5560,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61">
      <c r="J5561">
        <f>LET(
    lien,'Loan Tape (S&amp;P)'!Q5561,
    IF(lien="First",1.00,
        IF(lien="Second",1.50,
            1.70)))</f>
        <v/>
      </c>
      <c r="K5561">
        <f>LET(
    purpose,'Loan Tape (S&amp;P)'!R5561,
    IF(purpose="Purchase",1.00,
        IF(purpose="Remortgage",1.00,
            1.20)))</f>
        <v/>
      </c>
      <c r="L5561">
        <f>LET(
    arrears_months,'Loan Tape (S&amp;P)'!AN5561,
    IF(arrears_months=0,1.00,
    IF(arrears_months=1,3.00,
    IF(arrears_months=2,5.00,
    IF(arrears_months=3,8.00,
    IF(arrears_months=4,10.00,
    IF(arrears_months=5,12.00,15.00)))))))</f>
        <v/>
      </c>
      <c r="M5561">
        <f>LET(
    seasoning_years,DATEDIF('Loan Tape (S&amp;P)'!K5561,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61">
        <f>IF(AND('Loan Tape (S&amp;P)'!U5561="Yes",
        'Loan Tape (S&amp;P)'!T5561&lt;&gt;"Yes",
        DATEDIF('Loan Tape (S&amp;P)'!K5561, TODAY(), "M")&lt;18),
    1.10,
    1.00)</f>
        <v/>
      </c>
      <c r="O5561">
        <f>IF('Loan Tape (S&amp;P)'!T5561="Yes",
    1.35,
    1.00)</f>
        <v/>
      </c>
      <c r="P5561">
        <f>IF('Loan Tape (S&amp;P)'!S5561="Yes",
    1.15,
    1.00)</f>
        <v/>
      </c>
      <c r="Q5561">
        <f>IF('Loan Tape (S&amp;P)'!V5561="Yes",
    1.20,
    1.00)</f>
        <v/>
      </c>
      <c r="T5561">
        <f>LET(
    payment_method,'Loan Tape (S&amp;P)'!P5561,
    occupancy,'Loan Tape (S&amp;P)'!N5561,
    maturity_date,'Loan Tape (S&amp;P)'!L5561,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62">
      <c r="J5562">
        <f>LET(
    lien,'Loan Tape (S&amp;P)'!Q5562,
    IF(lien="First",1.00,
        IF(lien="Second",1.50,
            1.70)))</f>
        <v/>
      </c>
      <c r="K5562">
        <f>LET(
    purpose,'Loan Tape (S&amp;P)'!R5562,
    IF(purpose="Purchase",1.00,
        IF(purpose="Remortgage",1.00,
            1.20)))</f>
        <v/>
      </c>
      <c r="L5562">
        <f>LET(
    arrears_months,'Loan Tape (S&amp;P)'!AN5562,
    IF(arrears_months=0,1.00,
    IF(arrears_months=1,3.00,
    IF(arrears_months=2,5.00,
    IF(arrears_months=3,8.00,
    IF(arrears_months=4,10.00,
    IF(arrears_months=5,12.00,15.00)))))))</f>
        <v/>
      </c>
      <c r="M5562">
        <f>LET(
    seasoning_years,DATEDIF('Loan Tape (S&amp;P)'!K5562,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62">
        <f>IF(AND('Loan Tape (S&amp;P)'!U5562="Yes",
        'Loan Tape (S&amp;P)'!T5562&lt;&gt;"Yes",
        DATEDIF('Loan Tape (S&amp;P)'!K5562, TODAY(), "M")&lt;18),
    1.10,
    1.00)</f>
        <v/>
      </c>
      <c r="O5562">
        <f>IF('Loan Tape (S&amp;P)'!T5562="Yes",
    1.35,
    1.00)</f>
        <v/>
      </c>
      <c r="P5562">
        <f>IF('Loan Tape (S&amp;P)'!S5562="Yes",
    1.15,
    1.00)</f>
        <v/>
      </c>
      <c r="Q5562">
        <f>IF('Loan Tape (S&amp;P)'!V5562="Yes",
    1.20,
    1.00)</f>
        <v/>
      </c>
      <c r="T5562">
        <f>LET(
    payment_method,'Loan Tape (S&amp;P)'!P5562,
    occupancy,'Loan Tape (S&amp;P)'!N5562,
    maturity_date,'Loan Tape (S&amp;P)'!L5562,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63">
      <c r="J5563">
        <f>LET(
    lien,'Loan Tape (S&amp;P)'!Q5563,
    IF(lien="First",1.00,
        IF(lien="Second",1.50,
            1.70)))</f>
        <v/>
      </c>
      <c r="K5563">
        <f>LET(
    purpose,'Loan Tape (S&amp;P)'!R5563,
    IF(purpose="Purchase",1.00,
        IF(purpose="Remortgage",1.00,
            1.20)))</f>
        <v/>
      </c>
      <c r="L5563">
        <f>LET(
    arrears_months,'Loan Tape (S&amp;P)'!AN5563,
    IF(arrears_months=0,1.00,
    IF(arrears_months=1,3.00,
    IF(arrears_months=2,5.00,
    IF(arrears_months=3,8.00,
    IF(arrears_months=4,10.00,
    IF(arrears_months=5,12.00,15.00)))))))</f>
        <v/>
      </c>
      <c r="M5563">
        <f>LET(
    seasoning_years,DATEDIF('Loan Tape (S&amp;P)'!K5563,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63">
        <f>IF(AND('Loan Tape (S&amp;P)'!U5563="Yes",
        'Loan Tape (S&amp;P)'!T5563&lt;&gt;"Yes",
        DATEDIF('Loan Tape (S&amp;P)'!K5563, TODAY(), "M")&lt;18),
    1.10,
    1.00)</f>
        <v/>
      </c>
      <c r="O5563">
        <f>IF('Loan Tape (S&amp;P)'!T5563="Yes",
    1.35,
    1.00)</f>
        <v/>
      </c>
      <c r="P5563">
        <f>IF('Loan Tape (S&amp;P)'!S5563="Yes",
    1.15,
    1.00)</f>
        <v/>
      </c>
      <c r="Q5563">
        <f>IF('Loan Tape (S&amp;P)'!V5563="Yes",
    1.20,
    1.00)</f>
        <v/>
      </c>
      <c r="T5563">
        <f>LET(
    payment_method,'Loan Tape (S&amp;P)'!P5563,
    occupancy,'Loan Tape (S&amp;P)'!N5563,
    maturity_date,'Loan Tape (S&amp;P)'!L5563,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64">
      <c r="J5564">
        <f>LET(
    lien,'Loan Tape (S&amp;P)'!Q5564,
    IF(lien="First",1.00,
        IF(lien="Second",1.50,
            1.70)))</f>
        <v/>
      </c>
      <c r="K5564">
        <f>LET(
    purpose,'Loan Tape (S&amp;P)'!R5564,
    IF(purpose="Purchase",1.00,
        IF(purpose="Remortgage",1.00,
            1.20)))</f>
        <v/>
      </c>
      <c r="L5564">
        <f>LET(
    arrears_months,'Loan Tape (S&amp;P)'!AN5564,
    IF(arrears_months=0,1.00,
    IF(arrears_months=1,3.00,
    IF(arrears_months=2,5.00,
    IF(arrears_months=3,8.00,
    IF(arrears_months=4,10.00,
    IF(arrears_months=5,12.00,15.00)))))))</f>
        <v/>
      </c>
      <c r="M5564">
        <f>LET(
    seasoning_years,DATEDIF('Loan Tape (S&amp;P)'!K5564,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64">
        <f>IF(AND('Loan Tape (S&amp;P)'!U5564="Yes",
        'Loan Tape (S&amp;P)'!T5564&lt;&gt;"Yes",
        DATEDIF('Loan Tape (S&amp;P)'!K5564, TODAY(), "M")&lt;18),
    1.10,
    1.00)</f>
        <v/>
      </c>
      <c r="O5564">
        <f>IF('Loan Tape (S&amp;P)'!T5564="Yes",
    1.35,
    1.00)</f>
        <v/>
      </c>
      <c r="P5564">
        <f>IF('Loan Tape (S&amp;P)'!S5564="Yes",
    1.15,
    1.00)</f>
        <v/>
      </c>
      <c r="Q5564">
        <f>IF('Loan Tape (S&amp;P)'!V5564="Yes",
    1.20,
    1.00)</f>
        <v/>
      </c>
      <c r="T5564">
        <f>LET(
    payment_method,'Loan Tape (S&amp;P)'!P5564,
    occupancy,'Loan Tape (S&amp;P)'!N5564,
    maturity_date,'Loan Tape (S&amp;P)'!L5564,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65">
      <c r="J5565">
        <f>LET(
    lien,'Loan Tape (S&amp;P)'!Q5565,
    IF(lien="First",1.00,
        IF(lien="Second",1.50,
            1.70)))</f>
        <v/>
      </c>
      <c r="K5565">
        <f>LET(
    purpose,'Loan Tape (S&amp;P)'!R5565,
    IF(purpose="Purchase",1.00,
        IF(purpose="Remortgage",1.00,
            1.20)))</f>
        <v/>
      </c>
      <c r="L5565">
        <f>LET(
    arrears_months,'Loan Tape (S&amp;P)'!AN5565,
    IF(arrears_months=0,1.00,
    IF(arrears_months=1,3.00,
    IF(arrears_months=2,5.00,
    IF(arrears_months=3,8.00,
    IF(arrears_months=4,10.00,
    IF(arrears_months=5,12.00,15.00)))))))</f>
        <v/>
      </c>
      <c r="M5565">
        <f>LET(
    seasoning_years,DATEDIF('Loan Tape (S&amp;P)'!K5565,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65">
        <f>IF(AND('Loan Tape (S&amp;P)'!U5565="Yes",
        'Loan Tape (S&amp;P)'!T5565&lt;&gt;"Yes",
        DATEDIF('Loan Tape (S&amp;P)'!K5565, TODAY(), "M")&lt;18),
    1.10,
    1.00)</f>
        <v/>
      </c>
      <c r="O5565">
        <f>IF('Loan Tape (S&amp;P)'!T5565="Yes",
    1.35,
    1.00)</f>
        <v/>
      </c>
      <c r="P5565">
        <f>IF('Loan Tape (S&amp;P)'!S5565="Yes",
    1.15,
    1.00)</f>
        <v/>
      </c>
      <c r="Q5565">
        <f>IF('Loan Tape (S&amp;P)'!V5565="Yes",
    1.20,
    1.00)</f>
        <v/>
      </c>
      <c r="T5565">
        <f>LET(
    payment_method,'Loan Tape (S&amp;P)'!P5565,
    occupancy,'Loan Tape (S&amp;P)'!N5565,
    maturity_date,'Loan Tape (S&amp;P)'!L5565,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66">
      <c r="J5566">
        <f>LET(
    lien,'Loan Tape (S&amp;P)'!Q5566,
    IF(lien="First",1.00,
        IF(lien="Second",1.50,
            1.70)))</f>
        <v/>
      </c>
      <c r="K5566">
        <f>LET(
    purpose,'Loan Tape (S&amp;P)'!R5566,
    IF(purpose="Purchase",1.00,
        IF(purpose="Remortgage",1.00,
            1.20)))</f>
        <v/>
      </c>
      <c r="L5566">
        <f>LET(
    arrears_months,'Loan Tape (S&amp;P)'!AN5566,
    IF(arrears_months=0,1.00,
    IF(arrears_months=1,3.00,
    IF(arrears_months=2,5.00,
    IF(arrears_months=3,8.00,
    IF(arrears_months=4,10.00,
    IF(arrears_months=5,12.00,15.00)))))))</f>
        <v/>
      </c>
      <c r="M5566">
        <f>LET(
    seasoning_years,DATEDIF('Loan Tape (S&amp;P)'!K5566,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66">
        <f>IF(AND('Loan Tape (S&amp;P)'!U5566="Yes",
        'Loan Tape (S&amp;P)'!T5566&lt;&gt;"Yes",
        DATEDIF('Loan Tape (S&amp;P)'!K5566, TODAY(), "M")&lt;18),
    1.10,
    1.00)</f>
        <v/>
      </c>
      <c r="O5566">
        <f>IF('Loan Tape (S&amp;P)'!T5566="Yes",
    1.35,
    1.00)</f>
        <v/>
      </c>
      <c r="P5566">
        <f>IF('Loan Tape (S&amp;P)'!S5566="Yes",
    1.15,
    1.00)</f>
        <v/>
      </c>
      <c r="Q5566">
        <f>IF('Loan Tape (S&amp;P)'!V5566="Yes",
    1.20,
    1.00)</f>
        <v/>
      </c>
      <c r="T5566">
        <f>LET(
    payment_method,'Loan Tape (S&amp;P)'!P5566,
    occupancy,'Loan Tape (S&amp;P)'!N5566,
    maturity_date,'Loan Tape (S&amp;P)'!L5566,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67">
      <c r="J5567">
        <f>LET(
    lien,'Loan Tape (S&amp;P)'!Q5567,
    IF(lien="First",1.00,
        IF(lien="Second",1.50,
            1.70)))</f>
        <v/>
      </c>
      <c r="K5567">
        <f>LET(
    purpose,'Loan Tape (S&amp;P)'!R5567,
    IF(purpose="Purchase",1.00,
        IF(purpose="Remortgage",1.00,
            1.20)))</f>
        <v/>
      </c>
      <c r="L5567">
        <f>LET(
    arrears_months,'Loan Tape (S&amp;P)'!AN5567,
    IF(arrears_months=0,1.00,
    IF(arrears_months=1,3.00,
    IF(arrears_months=2,5.00,
    IF(arrears_months=3,8.00,
    IF(arrears_months=4,10.00,
    IF(arrears_months=5,12.00,15.00)))))))</f>
        <v/>
      </c>
      <c r="M5567">
        <f>LET(
    seasoning_years,DATEDIF('Loan Tape (S&amp;P)'!K5567,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67">
        <f>IF(AND('Loan Tape (S&amp;P)'!U5567="Yes",
        'Loan Tape (S&amp;P)'!T5567&lt;&gt;"Yes",
        DATEDIF('Loan Tape (S&amp;P)'!K5567, TODAY(), "M")&lt;18),
    1.10,
    1.00)</f>
        <v/>
      </c>
      <c r="O5567">
        <f>IF('Loan Tape (S&amp;P)'!T5567="Yes",
    1.35,
    1.00)</f>
        <v/>
      </c>
      <c r="P5567">
        <f>IF('Loan Tape (S&amp;P)'!S5567="Yes",
    1.15,
    1.00)</f>
        <v/>
      </c>
      <c r="Q5567">
        <f>IF('Loan Tape (S&amp;P)'!V5567="Yes",
    1.20,
    1.00)</f>
        <v/>
      </c>
      <c r="T5567">
        <f>LET(
    payment_method,'Loan Tape (S&amp;P)'!P5567,
    occupancy,'Loan Tape (S&amp;P)'!N5567,
    maturity_date,'Loan Tape (S&amp;P)'!L5567,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68">
      <c r="J5568">
        <f>LET(
    lien,'Loan Tape (S&amp;P)'!Q5568,
    IF(lien="First",1.00,
        IF(lien="Second",1.50,
            1.70)))</f>
        <v/>
      </c>
      <c r="K5568">
        <f>LET(
    purpose,'Loan Tape (S&amp;P)'!R5568,
    IF(purpose="Purchase",1.00,
        IF(purpose="Remortgage",1.00,
            1.20)))</f>
        <v/>
      </c>
      <c r="L5568">
        <f>LET(
    arrears_months,'Loan Tape (S&amp;P)'!AN5568,
    IF(arrears_months=0,1.00,
    IF(arrears_months=1,3.00,
    IF(arrears_months=2,5.00,
    IF(arrears_months=3,8.00,
    IF(arrears_months=4,10.00,
    IF(arrears_months=5,12.00,15.00)))))))</f>
        <v/>
      </c>
      <c r="M5568">
        <f>LET(
    seasoning_years,DATEDIF('Loan Tape (S&amp;P)'!K5568,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68">
        <f>IF(AND('Loan Tape (S&amp;P)'!U5568="Yes",
        'Loan Tape (S&amp;P)'!T5568&lt;&gt;"Yes",
        DATEDIF('Loan Tape (S&amp;P)'!K5568, TODAY(), "M")&lt;18),
    1.10,
    1.00)</f>
        <v/>
      </c>
      <c r="O5568">
        <f>IF('Loan Tape (S&amp;P)'!T5568="Yes",
    1.35,
    1.00)</f>
        <v/>
      </c>
      <c r="P5568">
        <f>IF('Loan Tape (S&amp;P)'!S5568="Yes",
    1.15,
    1.00)</f>
        <v/>
      </c>
      <c r="Q5568">
        <f>IF('Loan Tape (S&amp;P)'!V5568="Yes",
    1.20,
    1.00)</f>
        <v/>
      </c>
      <c r="T5568">
        <f>LET(
    payment_method,'Loan Tape (S&amp;P)'!P5568,
    occupancy,'Loan Tape (S&amp;P)'!N5568,
    maturity_date,'Loan Tape (S&amp;P)'!L5568,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69">
      <c r="J5569">
        <f>LET(
    lien,'Loan Tape (S&amp;P)'!Q5569,
    IF(lien="First",1.00,
        IF(lien="Second",1.50,
            1.70)))</f>
        <v/>
      </c>
      <c r="K5569">
        <f>LET(
    purpose,'Loan Tape (S&amp;P)'!R5569,
    IF(purpose="Purchase",1.00,
        IF(purpose="Remortgage",1.00,
            1.20)))</f>
        <v/>
      </c>
      <c r="L5569">
        <f>LET(
    arrears_months,'Loan Tape (S&amp;P)'!AN5569,
    IF(arrears_months=0,1.00,
    IF(arrears_months=1,3.00,
    IF(arrears_months=2,5.00,
    IF(arrears_months=3,8.00,
    IF(arrears_months=4,10.00,
    IF(arrears_months=5,12.00,15.00)))))))</f>
        <v/>
      </c>
      <c r="M5569">
        <f>LET(
    seasoning_years,DATEDIF('Loan Tape (S&amp;P)'!K5569,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69">
        <f>IF(AND('Loan Tape (S&amp;P)'!U5569="Yes",
        'Loan Tape (S&amp;P)'!T5569&lt;&gt;"Yes",
        DATEDIF('Loan Tape (S&amp;P)'!K5569, TODAY(), "M")&lt;18),
    1.10,
    1.00)</f>
        <v/>
      </c>
      <c r="O5569">
        <f>IF('Loan Tape (S&amp;P)'!T5569="Yes",
    1.35,
    1.00)</f>
        <v/>
      </c>
      <c r="P5569">
        <f>IF('Loan Tape (S&amp;P)'!S5569="Yes",
    1.15,
    1.00)</f>
        <v/>
      </c>
      <c r="Q5569">
        <f>IF('Loan Tape (S&amp;P)'!V5569="Yes",
    1.20,
    1.00)</f>
        <v/>
      </c>
      <c r="T5569">
        <f>LET(
    payment_method,'Loan Tape (S&amp;P)'!P5569,
    occupancy,'Loan Tape (S&amp;P)'!N5569,
    maturity_date,'Loan Tape (S&amp;P)'!L5569,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70">
      <c r="J5570">
        <f>LET(
    lien,'Loan Tape (S&amp;P)'!Q5570,
    IF(lien="First",1.00,
        IF(lien="Second",1.50,
            1.70)))</f>
        <v/>
      </c>
      <c r="K5570">
        <f>LET(
    purpose,'Loan Tape (S&amp;P)'!R5570,
    IF(purpose="Purchase",1.00,
        IF(purpose="Remortgage",1.00,
            1.20)))</f>
        <v/>
      </c>
      <c r="L5570">
        <f>LET(
    arrears_months,'Loan Tape (S&amp;P)'!AN5570,
    IF(arrears_months=0,1.00,
    IF(arrears_months=1,3.00,
    IF(arrears_months=2,5.00,
    IF(arrears_months=3,8.00,
    IF(arrears_months=4,10.00,
    IF(arrears_months=5,12.00,15.00)))))))</f>
        <v/>
      </c>
      <c r="M5570">
        <f>LET(
    seasoning_years,DATEDIF('Loan Tape (S&amp;P)'!K5570,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70">
        <f>IF(AND('Loan Tape (S&amp;P)'!U5570="Yes",
        'Loan Tape (S&amp;P)'!T5570&lt;&gt;"Yes",
        DATEDIF('Loan Tape (S&amp;P)'!K5570, TODAY(), "M")&lt;18),
    1.10,
    1.00)</f>
        <v/>
      </c>
      <c r="O5570">
        <f>IF('Loan Tape (S&amp;P)'!T5570="Yes",
    1.35,
    1.00)</f>
        <v/>
      </c>
      <c r="P5570">
        <f>IF('Loan Tape (S&amp;P)'!S5570="Yes",
    1.15,
    1.00)</f>
        <v/>
      </c>
      <c r="Q5570">
        <f>IF('Loan Tape (S&amp;P)'!V5570="Yes",
    1.20,
    1.00)</f>
        <v/>
      </c>
      <c r="T5570">
        <f>LET(
    payment_method,'Loan Tape (S&amp;P)'!P5570,
    occupancy,'Loan Tape (S&amp;P)'!N5570,
    maturity_date,'Loan Tape (S&amp;P)'!L5570,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71">
      <c r="J5571">
        <f>LET(
    lien,'Loan Tape (S&amp;P)'!Q5571,
    IF(lien="First",1.00,
        IF(lien="Second",1.50,
            1.70)))</f>
        <v/>
      </c>
      <c r="K5571">
        <f>LET(
    purpose,'Loan Tape (S&amp;P)'!R5571,
    IF(purpose="Purchase",1.00,
        IF(purpose="Remortgage",1.00,
            1.20)))</f>
        <v/>
      </c>
      <c r="L5571">
        <f>LET(
    arrears_months,'Loan Tape (S&amp;P)'!AN5571,
    IF(arrears_months=0,1.00,
    IF(arrears_months=1,3.00,
    IF(arrears_months=2,5.00,
    IF(arrears_months=3,8.00,
    IF(arrears_months=4,10.00,
    IF(arrears_months=5,12.00,15.00)))))))</f>
        <v/>
      </c>
      <c r="M5571">
        <f>LET(
    seasoning_years,DATEDIF('Loan Tape (S&amp;P)'!K5571,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71">
        <f>IF(AND('Loan Tape (S&amp;P)'!U5571="Yes",
        'Loan Tape (S&amp;P)'!T5571&lt;&gt;"Yes",
        DATEDIF('Loan Tape (S&amp;P)'!K5571, TODAY(), "M")&lt;18),
    1.10,
    1.00)</f>
        <v/>
      </c>
      <c r="O5571">
        <f>IF('Loan Tape (S&amp;P)'!T5571="Yes",
    1.35,
    1.00)</f>
        <v/>
      </c>
      <c r="P5571">
        <f>IF('Loan Tape (S&amp;P)'!S5571="Yes",
    1.15,
    1.00)</f>
        <v/>
      </c>
      <c r="Q5571">
        <f>IF('Loan Tape (S&amp;P)'!V5571="Yes",
    1.20,
    1.00)</f>
        <v/>
      </c>
      <c r="T5571">
        <f>LET(
    payment_method,'Loan Tape (S&amp;P)'!P5571,
    occupancy,'Loan Tape (S&amp;P)'!N5571,
    maturity_date,'Loan Tape (S&amp;P)'!L5571,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72">
      <c r="J5572">
        <f>LET(
    lien,'Loan Tape (S&amp;P)'!Q5572,
    IF(lien="First",1.00,
        IF(lien="Second",1.50,
            1.70)))</f>
        <v/>
      </c>
      <c r="K5572">
        <f>LET(
    purpose,'Loan Tape (S&amp;P)'!R5572,
    IF(purpose="Purchase",1.00,
        IF(purpose="Remortgage",1.00,
            1.20)))</f>
        <v/>
      </c>
      <c r="L5572">
        <f>LET(
    arrears_months,'Loan Tape (S&amp;P)'!AN5572,
    IF(arrears_months=0,1.00,
    IF(arrears_months=1,3.00,
    IF(arrears_months=2,5.00,
    IF(arrears_months=3,8.00,
    IF(arrears_months=4,10.00,
    IF(arrears_months=5,12.00,15.00)))))))</f>
        <v/>
      </c>
      <c r="M5572">
        <f>LET(
    seasoning_years,DATEDIF('Loan Tape (S&amp;P)'!K5572,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72">
        <f>IF(AND('Loan Tape (S&amp;P)'!U5572="Yes",
        'Loan Tape (S&amp;P)'!T5572&lt;&gt;"Yes",
        DATEDIF('Loan Tape (S&amp;P)'!K5572, TODAY(), "M")&lt;18),
    1.10,
    1.00)</f>
        <v/>
      </c>
      <c r="O5572">
        <f>IF('Loan Tape (S&amp;P)'!T5572="Yes",
    1.35,
    1.00)</f>
        <v/>
      </c>
      <c r="P5572">
        <f>IF('Loan Tape (S&amp;P)'!S5572="Yes",
    1.15,
    1.00)</f>
        <v/>
      </c>
      <c r="Q5572">
        <f>IF('Loan Tape (S&amp;P)'!V5572="Yes",
    1.20,
    1.00)</f>
        <v/>
      </c>
      <c r="T5572">
        <f>LET(
    payment_method,'Loan Tape (S&amp;P)'!P5572,
    occupancy,'Loan Tape (S&amp;P)'!N5572,
    maturity_date,'Loan Tape (S&amp;P)'!L5572,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73">
      <c r="J5573">
        <f>LET(
    lien,'Loan Tape (S&amp;P)'!Q5573,
    IF(lien="First",1.00,
        IF(lien="Second",1.50,
            1.70)))</f>
        <v/>
      </c>
      <c r="K5573">
        <f>LET(
    purpose,'Loan Tape (S&amp;P)'!R5573,
    IF(purpose="Purchase",1.00,
        IF(purpose="Remortgage",1.00,
            1.20)))</f>
        <v/>
      </c>
      <c r="L5573">
        <f>LET(
    arrears_months,'Loan Tape (S&amp;P)'!AN5573,
    IF(arrears_months=0,1.00,
    IF(arrears_months=1,3.00,
    IF(arrears_months=2,5.00,
    IF(arrears_months=3,8.00,
    IF(arrears_months=4,10.00,
    IF(arrears_months=5,12.00,15.00)))))))</f>
        <v/>
      </c>
      <c r="M5573">
        <f>LET(
    seasoning_years,DATEDIF('Loan Tape (S&amp;P)'!K5573,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73">
        <f>IF(AND('Loan Tape (S&amp;P)'!U5573="Yes",
        'Loan Tape (S&amp;P)'!T5573&lt;&gt;"Yes",
        DATEDIF('Loan Tape (S&amp;P)'!K5573, TODAY(), "M")&lt;18),
    1.10,
    1.00)</f>
        <v/>
      </c>
      <c r="O5573">
        <f>IF('Loan Tape (S&amp;P)'!T5573="Yes",
    1.35,
    1.00)</f>
        <v/>
      </c>
      <c r="P5573">
        <f>IF('Loan Tape (S&amp;P)'!S5573="Yes",
    1.15,
    1.00)</f>
        <v/>
      </c>
      <c r="Q5573">
        <f>IF('Loan Tape (S&amp;P)'!V5573="Yes",
    1.20,
    1.00)</f>
        <v/>
      </c>
      <c r="T5573">
        <f>LET(
    payment_method,'Loan Tape (S&amp;P)'!P5573,
    occupancy,'Loan Tape (S&amp;P)'!N5573,
    maturity_date,'Loan Tape (S&amp;P)'!L5573,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74">
      <c r="J5574">
        <f>LET(
    lien,'Loan Tape (S&amp;P)'!Q5574,
    IF(lien="First",1.00,
        IF(lien="Second",1.50,
            1.70)))</f>
        <v/>
      </c>
      <c r="K5574">
        <f>LET(
    purpose,'Loan Tape (S&amp;P)'!R5574,
    IF(purpose="Purchase",1.00,
        IF(purpose="Remortgage",1.00,
            1.20)))</f>
        <v/>
      </c>
      <c r="L5574">
        <f>LET(
    arrears_months,'Loan Tape (S&amp;P)'!AN5574,
    IF(arrears_months=0,1.00,
    IF(arrears_months=1,3.00,
    IF(arrears_months=2,5.00,
    IF(arrears_months=3,8.00,
    IF(arrears_months=4,10.00,
    IF(arrears_months=5,12.00,15.00)))))))</f>
        <v/>
      </c>
      <c r="M5574">
        <f>LET(
    seasoning_years,DATEDIF('Loan Tape (S&amp;P)'!K5574,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74">
        <f>IF(AND('Loan Tape (S&amp;P)'!U5574="Yes",
        'Loan Tape (S&amp;P)'!T5574&lt;&gt;"Yes",
        DATEDIF('Loan Tape (S&amp;P)'!K5574, TODAY(), "M")&lt;18),
    1.10,
    1.00)</f>
        <v/>
      </c>
      <c r="O5574">
        <f>IF('Loan Tape (S&amp;P)'!T5574="Yes",
    1.35,
    1.00)</f>
        <v/>
      </c>
      <c r="P5574">
        <f>IF('Loan Tape (S&amp;P)'!S5574="Yes",
    1.15,
    1.00)</f>
        <v/>
      </c>
      <c r="Q5574">
        <f>IF('Loan Tape (S&amp;P)'!V5574="Yes",
    1.20,
    1.00)</f>
        <v/>
      </c>
      <c r="T5574">
        <f>LET(
    payment_method,'Loan Tape (S&amp;P)'!P5574,
    occupancy,'Loan Tape (S&amp;P)'!N5574,
    maturity_date,'Loan Tape (S&amp;P)'!L5574,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75">
      <c r="J5575">
        <f>LET(
    lien,'Loan Tape (S&amp;P)'!Q5575,
    IF(lien="First",1.00,
        IF(lien="Second",1.50,
            1.70)))</f>
        <v/>
      </c>
      <c r="K5575">
        <f>LET(
    purpose,'Loan Tape (S&amp;P)'!R5575,
    IF(purpose="Purchase",1.00,
        IF(purpose="Remortgage",1.00,
            1.20)))</f>
        <v/>
      </c>
      <c r="L5575">
        <f>LET(
    arrears_months,'Loan Tape (S&amp;P)'!AN5575,
    IF(arrears_months=0,1.00,
    IF(arrears_months=1,3.00,
    IF(arrears_months=2,5.00,
    IF(arrears_months=3,8.00,
    IF(arrears_months=4,10.00,
    IF(arrears_months=5,12.00,15.00)))))))</f>
        <v/>
      </c>
      <c r="M5575">
        <f>LET(
    seasoning_years,DATEDIF('Loan Tape (S&amp;P)'!K5575,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75">
        <f>IF(AND('Loan Tape (S&amp;P)'!U5575="Yes",
        'Loan Tape (S&amp;P)'!T5575&lt;&gt;"Yes",
        DATEDIF('Loan Tape (S&amp;P)'!K5575, TODAY(), "M")&lt;18),
    1.10,
    1.00)</f>
        <v/>
      </c>
      <c r="O5575">
        <f>IF('Loan Tape (S&amp;P)'!T5575="Yes",
    1.35,
    1.00)</f>
        <v/>
      </c>
      <c r="P5575">
        <f>IF('Loan Tape (S&amp;P)'!S5575="Yes",
    1.15,
    1.00)</f>
        <v/>
      </c>
      <c r="Q5575">
        <f>IF('Loan Tape (S&amp;P)'!V5575="Yes",
    1.20,
    1.00)</f>
        <v/>
      </c>
      <c r="T5575">
        <f>LET(
    payment_method,'Loan Tape (S&amp;P)'!P5575,
    occupancy,'Loan Tape (S&amp;P)'!N5575,
    maturity_date,'Loan Tape (S&amp;P)'!L5575,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76">
      <c r="J5576">
        <f>LET(
    lien,'Loan Tape (S&amp;P)'!Q5576,
    IF(lien="First",1.00,
        IF(lien="Second",1.50,
            1.70)))</f>
        <v/>
      </c>
      <c r="K5576">
        <f>LET(
    purpose,'Loan Tape (S&amp;P)'!R5576,
    IF(purpose="Purchase",1.00,
        IF(purpose="Remortgage",1.00,
            1.20)))</f>
        <v/>
      </c>
      <c r="L5576">
        <f>LET(
    arrears_months,'Loan Tape (S&amp;P)'!AN5576,
    IF(arrears_months=0,1.00,
    IF(arrears_months=1,3.00,
    IF(arrears_months=2,5.00,
    IF(arrears_months=3,8.00,
    IF(arrears_months=4,10.00,
    IF(arrears_months=5,12.00,15.00)))))))</f>
        <v/>
      </c>
      <c r="M5576">
        <f>LET(
    seasoning_years,DATEDIF('Loan Tape (S&amp;P)'!K5576,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76">
        <f>IF(AND('Loan Tape (S&amp;P)'!U5576="Yes",
        'Loan Tape (S&amp;P)'!T5576&lt;&gt;"Yes",
        DATEDIF('Loan Tape (S&amp;P)'!K5576, TODAY(), "M")&lt;18),
    1.10,
    1.00)</f>
        <v/>
      </c>
      <c r="O5576">
        <f>IF('Loan Tape (S&amp;P)'!T5576="Yes",
    1.35,
    1.00)</f>
        <v/>
      </c>
      <c r="P5576">
        <f>IF('Loan Tape (S&amp;P)'!S5576="Yes",
    1.15,
    1.00)</f>
        <v/>
      </c>
      <c r="Q5576">
        <f>IF('Loan Tape (S&amp;P)'!V5576="Yes",
    1.20,
    1.00)</f>
        <v/>
      </c>
      <c r="T5576">
        <f>LET(
    payment_method,'Loan Tape (S&amp;P)'!P5576,
    occupancy,'Loan Tape (S&amp;P)'!N5576,
    maturity_date,'Loan Tape (S&amp;P)'!L5576,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77">
      <c r="J5577">
        <f>LET(
    lien,'Loan Tape (S&amp;P)'!Q5577,
    IF(lien="First",1.00,
        IF(lien="Second",1.50,
            1.70)))</f>
        <v/>
      </c>
      <c r="K5577">
        <f>LET(
    purpose,'Loan Tape (S&amp;P)'!R5577,
    IF(purpose="Purchase",1.00,
        IF(purpose="Remortgage",1.00,
            1.20)))</f>
        <v/>
      </c>
      <c r="L5577">
        <f>LET(
    arrears_months,'Loan Tape (S&amp;P)'!AN5577,
    IF(arrears_months=0,1.00,
    IF(arrears_months=1,3.00,
    IF(arrears_months=2,5.00,
    IF(arrears_months=3,8.00,
    IF(arrears_months=4,10.00,
    IF(arrears_months=5,12.00,15.00)))))))</f>
        <v/>
      </c>
      <c r="M5577">
        <f>LET(
    seasoning_years,DATEDIF('Loan Tape (S&amp;P)'!K5577,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77">
        <f>IF(AND('Loan Tape (S&amp;P)'!U5577="Yes",
        'Loan Tape (S&amp;P)'!T5577&lt;&gt;"Yes",
        DATEDIF('Loan Tape (S&amp;P)'!K5577, TODAY(), "M")&lt;18),
    1.10,
    1.00)</f>
        <v/>
      </c>
      <c r="O5577">
        <f>IF('Loan Tape (S&amp;P)'!T5577="Yes",
    1.35,
    1.00)</f>
        <v/>
      </c>
      <c r="P5577">
        <f>IF('Loan Tape (S&amp;P)'!S5577="Yes",
    1.15,
    1.00)</f>
        <v/>
      </c>
      <c r="Q5577">
        <f>IF('Loan Tape (S&amp;P)'!V5577="Yes",
    1.20,
    1.00)</f>
        <v/>
      </c>
      <c r="T5577">
        <f>LET(
    payment_method,'Loan Tape (S&amp;P)'!P5577,
    occupancy,'Loan Tape (S&amp;P)'!N5577,
    maturity_date,'Loan Tape (S&amp;P)'!L5577,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78">
      <c r="J5578">
        <f>LET(
    lien,'Loan Tape (S&amp;P)'!Q5578,
    IF(lien="First",1.00,
        IF(lien="Second",1.50,
            1.70)))</f>
        <v/>
      </c>
      <c r="K5578">
        <f>LET(
    purpose,'Loan Tape (S&amp;P)'!R5578,
    IF(purpose="Purchase",1.00,
        IF(purpose="Remortgage",1.00,
            1.20)))</f>
        <v/>
      </c>
      <c r="L5578">
        <f>LET(
    arrears_months,'Loan Tape (S&amp;P)'!AN5578,
    IF(arrears_months=0,1.00,
    IF(arrears_months=1,3.00,
    IF(arrears_months=2,5.00,
    IF(arrears_months=3,8.00,
    IF(arrears_months=4,10.00,
    IF(arrears_months=5,12.00,15.00)))))))</f>
        <v/>
      </c>
      <c r="M5578">
        <f>LET(
    seasoning_years,DATEDIF('Loan Tape (S&amp;P)'!K5578,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78">
        <f>IF(AND('Loan Tape (S&amp;P)'!U5578="Yes",
        'Loan Tape (S&amp;P)'!T5578&lt;&gt;"Yes",
        DATEDIF('Loan Tape (S&amp;P)'!K5578, TODAY(), "M")&lt;18),
    1.10,
    1.00)</f>
        <v/>
      </c>
      <c r="O5578">
        <f>IF('Loan Tape (S&amp;P)'!T5578="Yes",
    1.35,
    1.00)</f>
        <v/>
      </c>
      <c r="P5578">
        <f>IF('Loan Tape (S&amp;P)'!S5578="Yes",
    1.15,
    1.00)</f>
        <v/>
      </c>
      <c r="Q5578">
        <f>IF('Loan Tape (S&amp;P)'!V5578="Yes",
    1.20,
    1.00)</f>
        <v/>
      </c>
      <c r="T5578">
        <f>LET(
    payment_method,'Loan Tape (S&amp;P)'!P5578,
    occupancy,'Loan Tape (S&amp;P)'!N5578,
    maturity_date,'Loan Tape (S&amp;P)'!L5578,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79">
      <c r="J5579">
        <f>LET(
    lien,'Loan Tape (S&amp;P)'!Q5579,
    IF(lien="First",1.00,
        IF(lien="Second",1.50,
            1.70)))</f>
        <v/>
      </c>
      <c r="K5579">
        <f>LET(
    purpose,'Loan Tape (S&amp;P)'!R5579,
    IF(purpose="Purchase",1.00,
        IF(purpose="Remortgage",1.00,
            1.20)))</f>
        <v/>
      </c>
      <c r="L5579">
        <f>LET(
    arrears_months,'Loan Tape (S&amp;P)'!AN5579,
    IF(arrears_months=0,1.00,
    IF(arrears_months=1,3.00,
    IF(arrears_months=2,5.00,
    IF(arrears_months=3,8.00,
    IF(arrears_months=4,10.00,
    IF(arrears_months=5,12.00,15.00)))))))</f>
        <v/>
      </c>
      <c r="M5579">
        <f>LET(
    seasoning_years,DATEDIF('Loan Tape (S&amp;P)'!K5579,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79">
        <f>IF(AND('Loan Tape (S&amp;P)'!U5579="Yes",
        'Loan Tape (S&amp;P)'!T5579&lt;&gt;"Yes",
        DATEDIF('Loan Tape (S&amp;P)'!K5579, TODAY(), "M")&lt;18),
    1.10,
    1.00)</f>
        <v/>
      </c>
      <c r="O5579">
        <f>IF('Loan Tape (S&amp;P)'!T5579="Yes",
    1.35,
    1.00)</f>
        <v/>
      </c>
      <c r="P5579">
        <f>IF('Loan Tape (S&amp;P)'!S5579="Yes",
    1.15,
    1.00)</f>
        <v/>
      </c>
      <c r="Q5579">
        <f>IF('Loan Tape (S&amp;P)'!V5579="Yes",
    1.20,
    1.00)</f>
        <v/>
      </c>
      <c r="T5579">
        <f>LET(
    payment_method,'Loan Tape (S&amp;P)'!P5579,
    occupancy,'Loan Tape (S&amp;P)'!N5579,
    maturity_date,'Loan Tape (S&amp;P)'!L5579,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80">
      <c r="J5580">
        <f>LET(
    lien,'Loan Tape (S&amp;P)'!Q5580,
    IF(lien="First",1.00,
        IF(lien="Second",1.50,
            1.70)))</f>
        <v/>
      </c>
      <c r="K5580">
        <f>LET(
    purpose,'Loan Tape (S&amp;P)'!R5580,
    IF(purpose="Purchase",1.00,
        IF(purpose="Remortgage",1.00,
            1.20)))</f>
        <v/>
      </c>
      <c r="L5580">
        <f>LET(
    arrears_months,'Loan Tape (S&amp;P)'!AN5580,
    IF(arrears_months=0,1.00,
    IF(arrears_months=1,3.00,
    IF(arrears_months=2,5.00,
    IF(arrears_months=3,8.00,
    IF(arrears_months=4,10.00,
    IF(arrears_months=5,12.00,15.00)))))))</f>
        <v/>
      </c>
      <c r="M5580">
        <f>LET(
    seasoning_years,DATEDIF('Loan Tape (S&amp;P)'!K5580,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80">
        <f>IF(AND('Loan Tape (S&amp;P)'!U5580="Yes",
        'Loan Tape (S&amp;P)'!T5580&lt;&gt;"Yes",
        DATEDIF('Loan Tape (S&amp;P)'!K5580, TODAY(), "M")&lt;18),
    1.10,
    1.00)</f>
        <v/>
      </c>
      <c r="O5580">
        <f>IF('Loan Tape (S&amp;P)'!T5580="Yes",
    1.35,
    1.00)</f>
        <v/>
      </c>
      <c r="P5580">
        <f>IF('Loan Tape (S&amp;P)'!S5580="Yes",
    1.15,
    1.00)</f>
        <v/>
      </c>
      <c r="Q5580">
        <f>IF('Loan Tape (S&amp;P)'!V5580="Yes",
    1.20,
    1.00)</f>
        <v/>
      </c>
      <c r="T5580">
        <f>LET(
    payment_method,'Loan Tape (S&amp;P)'!P5580,
    occupancy,'Loan Tape (S&amp;P)'!N5580,
    maturity_date,'Loan Tape (S&amp;P)'!L5580,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81">
      <c r="J5581">
        <f>LET(
    lien,'Loan Tape (S&amp;P)'!Q5581,
    IF(lien="First",1.00,
        IF(lien="Second",1.50,
            1.70)))</f>
        <v/>
      </c>
      <c r="K5581">
        <f>LET(
    purpose,'Loan Tape (S&amp;P)'!R5581,
    IF(purpose="Purchase",1.00,
        IF(purpose="Remortgage",1.00,
            1.20)))</f>
        <v/>
      </c>
      <c r="L5581">
        <f>LET(
    arrears_months,'Loan Tape (S&amp;P)'!AN5581,
    IF(arrears_months=0,1.00,
    IF(arrears_months=1,3.00,
    IF(arrears_months=2,5.00,
    IF(arrears_months=3,8.00,
    IF(arrears_months=4,10.00,
    IF(arrears_months=5,12.00,15.00)))))))</f>
        <v/>
      </c>
      <c r="M5581">
        <f>LET(
    seasoning_years,DATEDIF('Loan Tape (S&amp;P)'!K5581,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81">
        <f>IF(AND('Loan Tape (S&amp;P)'!U5581="Yes",
        'Loan Tape (S&amp;P)'!T5581&lt;&gt;"Yes",
        DATEDIF('Loan Tape (S&amp;P)'!K5581, TODAY(), "M")&lt;18),
    1.10,
    1.00)</f>
        <v/>
      </c>
      <c r="O5581">
        <f>IF('Loan Tape (S&amp;P)'!T5581="Yes",
    1.35,
    1.00)</f>
        <v/>
      </c>
      <c r="P5581">
        <f>IF('Loan Tape (S&amp;P)'!S5581="Yes",
    1.15,
    1.00)</f>
        <v/>
      </c>
      <c r="Q5581">
        <f>IF('Loan Tape (S&amp;P)'!V5581="Yes",
    1.20,
    1.00)</f>
        <v/>
      </c>
      <c r="T5581">
        <f>LET(
    payment_method,'Loan Tape (S&amp;P)'!P5581,
    occupancy,'Loan Tape (S&amp;P)'!N5581,
    maturity_date,'Loan Tape (S&amp;P)'!L5581,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82">
      <c r="J5582">
        <f>LET(
    lien,'Loan Tape (S&amp;P)'!Q5582,
    IF(lien="First",1.00,
        IF(lien="Second",1.50,
            1.70)))</f>
        <v/>
      </c>
      <c r="K5582">
        <f>LET(
    purpose,'Loan Tape (S&amp;P)'!R5582,
    IF(purpose="Purchase",1.00,
        IF(purpose="Remortgage",1.00,
            1.20)))</f>
        <v/>
      </c>
      <c r="L5582">
        <f>LET(
    arrears_months,'Loan Tape (S&amp;P)'!AN5582,
    IF(arrears_months=0,1.00,
    IF(arrears_months=1,3.00,
    IF(arrears_months=2,5.00,
    IF(arrears_months=3,8.00,
    IF(arrears_months=4,10.00,
    IF(arrears_months=5,12.00,15.00)))))))</f>
        <v/>
      </c>
      <c r="M5582">
        <f>LET(
    seasoning_years,DATEDIF('Loan Tape (S&amp;P)'!K5582,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82">
        <f>IF(AND('Loan Tape (S&amp;P)'!U5582="Yes",
        'Loan Tape (S&amp;P)'!T5582&lt;&gt;"Yes",
        DATEDIF('Loan Tape (S&amp;P)'!K5582, TODAY(), "M")&lt;18),
    1.10,
    1.00)</f>
        <v/>
      </c>
      <c r="O5582">
        <f>IF('Loan Tape (S&amp;P)'!T5582="Yes",
    1.35,
    1.00)</f>
        <v/>
      </c>
      <c r="P5582">
        <f>IF('Loan Tape (S&amp;P)'!S5582="Yes",
    1.15,
    1.00)</f>
        <v/>
      </c>
      <c r="Q5582">
        <f>IF('Loan Tape (S&amp;P)'!V5582="Yes",
    1.20,
    1.00)</f>
        <v/>
      </c>
      <c r="T5582">
        <f>LET(
    payment_method,'Loan Tape (S&amp;P)'!P5582,
    occupancy,'Loan Tape (S&amp;P)'!N5582,
    maturity_date,'Loan Tape (S&amp;P)'!L5582,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83">
      <c r="J5583">
        <f>LET(
    lien,'Loan Tape (S&amp;P)'!Q5583,
    IF(lien="First",1.00,
        IF(lien="Second",1.50,
            1.70)))</f>
        <v/>
      </c>
      <c r="K5583">
        <f>LET(
    purpose,'Loan Tape (S&amp;P)'!R5583,
    IF(purpose="Purchase",1.00,
        IF(purpose="Remortgage",1.00,
            1.20)))</f>
        <v/>
      </c>
      <c r="L5583">
        <f>LET(
    arrears_months,'Loan Tape (S&amp;P)'!AN5583,
    IF(arrears_months=0,1.00,
    IF(arrears_months=1,3.00,
    IF(arrears_months=2,5.00,
    IF(arrears_months=3,8.00,
    IF(arrears_months=4,10.00,
    IF(arrears_months=5,12.00,15.00)))))))</f>
        <v/>
      </c>
      <c r="M5583">
        <f>LET(
    seasoning_years,DATEDIF('Loan Tape (S&amp;P)'!K5583,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83">
        <f>IF(AND('Loan Tape (S&amp;P)'!U5583="Yes",
        'Loan Tape (S&amp;P)'!T5583&lt;&gt;"Yes",
        DATEDIF('Loan Tape (S&amp;P)'!K5583, TODAY(), "M")&lt;18),
    1.10,
    1.00)</f>
        <v/>
      </c>
      <c r="O5583">
        <f>IF('Loan Tape (S&amp;P)'!T5583="Yes",
    1.35,
    1.00)</f>
        <v/>
      </c>
      <c r="P5583">
        <f>IF('Loan Tape (S&amp;P)'!S5583="Yes",
    1.15,
    1.00)</f>
        <v/>
      </c>
      <c r="Q5583">
        <f>IF('Loan Tape (S&amp;P)'!V5583="Yes",
    1.20,
    1.00)</f>
        <v/>
      </c>
      <c r="T5583">
        <f>LET(
    payment_method,'Loan Tape (S&amp;P)'!P5583,
    occupancy,'Loan Tape (S&amp;P)'!N5583,
    maturity_date,'Loan Tape (S&amp;P)'!L5583,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84">
      <c r="J5584">
        <f>LET(
    lien,'Loan Tape (S&amp;P)'!Q5584,
    IF(lien="First",1.00,
        IF(lien="Second",1.50,
            1.70)))</f>
        <v/>
      </c>
      <c r="K5584">
        <f>LET(
    purpose,'Loan Tape (S&amp;P)'!R5584,
    IF(purpose="Purchase",1.00,
        IF(purpose="Remortgage",1.00,
            1.20)))</f>
        <v/>
      </c>
      <c r="L5584">
        <f>LET(
    arrears_months,'Loan Tape (S&amp;P)'!AN5584,
    IF(arrears_months=0,1.00,
    IF(arrears_months=1,3.00,
    IF(arrears_months=2,5.00,
    IF(arrears_months=3,8.00,
    IF(arrears_months=4,10.00,
    IF(arrears_months=5,12.00,15.00)))))))</f>
        <v/>
      </c>
      <c r="M5584">
        <f>LET(
    seasoning_years,DATEDIF('Loan Tape (S&amp;P)'!K5584,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84">
        <f>IF(AND('Loan Tape (S&amp;P)'!U5584="Yes",
        'Loan Tape (S&amp;P)'!T5584&lt;&gt;"Yes",
        DATEDIF('Loan Tape (S&amp;P)'!K5584, TODAY(), "M")&lt;18),
    1.10,
    1.00)</f>
        <v/>
      </c>
      <c r="O5584">
        <f>IF('Loan Tape (S&amp;P)'!T5584="Yes",
    1.35,
    1.00)</f>
        <v/>
      </c>
      <c r="P5584">
        <f>IF('Loan Tape (S&amp;P)'!S5584="Yes",
    1.15,
    1.00)</f>
        <v/>
      </c>
      <c r="Q5584">
        <f>IF('Loan Tape (S&amp;P)'!V5584="Yes",
    1.20,
    1.00)</f>
        <v/>
      </c>
      <c r="T5584">
        <f>LET(
    payment_method,'Loan Tape (S&amp;P)'!P5584,
    occupancy,'Loan Tape (S&amp;P)'!N5584,
    maturity_date,'Loan Tape (S&amp;P)'!L5584,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85">
      <c r="J5585">
        <f>LET(
    lien,'Loan Tape (S&amp;P)'!Q5585,
    IF(lien="First",1.00,
        IF(lien="Second",1.50,
            1.70)))</f>
        <v/>
      </c>
      <c r="K5585">
        <f>LET(
    purpose,'Loan Tape (S&amp;P)'!R5585,
    IF(purpose="Purchase",1.00,
        IF(purpose="Remortgage",1.00,
            1.20)))</f>
        <v/>
      </c>
      <c r="L5585">
        <f>LET(
    arrears_months,'Loan Tape (S&amp;P)'!AN5585,
    IF(arrears_months=0,1.00,
    IF(arrears_months=1,3.00,
    IF(arrears_months=2,5.00,
    IF(arrears_months=3,8.00,
    IF(arrears_months=4,10.00,
    IF(arrears_months=5,12.00,15.00)))))))</f>
        <v/>
      </c>
      <c r="M5585">
        <f>LET(
    seasoning_years,DATEDIF('Loan Tape (S&amp;P)'!K5585,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85">
        <f>IF(AND('Loan Tape (S&amp;P)'!U5585="Yes",
        'Loan Tape (S&amp;P)'!T5585&lt;&gt;"Yes",
        DATEDIF('Loan Tape (S&amp;P)'!K5585, TODAY(), "M")&lt;18),
    1.10,
    1.00)</f>
        <v/>
      </c>
      <c r="O5585">
        <f>IF('Loan Tape (S&amp;P)'!T5585="Yes",
    1.35,
    1.00)</f>
        <v/>
      </c>
      <c r="P5585">
        <f>IF('Loan Tape (S&amp;P)'!S5585="Yes",
    1.15,
    1.00)</f>
        <v/>
      </c>
      <c r="Q5585">
        <f>IF('Loan Tape (S&amp;P)'!V5585="Yes",
    1.20,
    1.00)</f>
        <v/>
      </c>
      <c r="T5585">
        <f>LET(
    payment_method,'Loan Tape (S&amp;P)'!P5585,
    occupancy,'Loan Tape (S&amp;P)'!N5585,
    maturity_date,'Loan Tape (S&amp;P)'!L5585,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86">
      <c r="J5586">
        <f>LET(
    lien,'Loan Tape (S&amp;P)'!Q5586,
    IF(lien="First",1.00,
        IF(lien="Second",1.50,
            1.70)))</f>
        <v/>
      </c>
      <c r="K5586">
        <f>LET(
    purpose,'Loan Tape (S&amp;P)'!R5586,
    IF(purpose="Purchase",1.00,
        IF(purpose="Remortgage",1.00,
            1.20)))</f>
        <v/>
      </c>
      <c r="L5586">
        <f>LET(
    arrears_months,'Loan Tape (S&amp;P)'!AN5586,
    IF(arrears_months=0,1.00,
    IF(arrears_months=1,3.00,
    IF(arrears_months=2,5.00,
    IF(arrears_months=3,8.00,
    IF(arrears_months=4,10.00,
    IF(arrears_months=5,12.00,15.00)))))))</f>
        <v/>
      </c>
      <c r="M5586">
        <f>LET(
    seasoning_years,DATEDIF('Loan Tape (S&amp;P)'!K5586,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86">
        <f>IF(AND('Loan Tape (S&amp;P)'!U5586="Yes",
        'Loan Tape (S&amp;P)'!T5586&lt;&gt;"Yes",
        DATEDIF('Loan Tape (S&amp;P)'!K5586, TODAY(), "M")&lt;18),
    1.10,
    1.00)</f>
        <v/>
      </c>
      <c r="O5586">
        <f>IF('Loan Tape (S&amp;P)'!T5586="Yes",
    1.35,
    1.00)</f>
        <v/>
      </c>
      <c r="P5586">
        <f>IF('Loan Tape (S&amp;P)'!S5586="Yes",
    1.15,
    1.00)</f>
        <v/>
      </c>
      <c r="Q5586">
        <f>IF('Loan Tape (S&amp;P)'!V5586="Yes",
    1.20,
    1.00)</f>
        <v/>
      </c>
      <c r="T5586">
        <f>LET(
    payment_method,'Loan Tape (S&amp;P)'!P5586,
    occupancy,'Loan Tape (S&amp;P)'!N5586,
    maturity_date,'Loan Tape (S&amp;P)'!L5586,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87">
      <c r="J5587">
        <f>LET(
    lien,'Loan Tape (S&amp;P)'!Q5587,
    IF(lien="First",1.00,
        IF(lien="Second",1.50,
            1.70)))</f>
        <v/>
      </c>
      <c r="K5587">
        <f>LET(
    purpose,'Loan Tape (S&amp;P)'!R5587,
    IF(purpose="Purchase",1.00,
        IF(purpose="Remortgage",1.00,
            1.20)))</f>
        <v/>
      </c>
      <c r="L5587">
        <f>LET(
    arrears_months,'Loan Tape (S&amp;P)'!AN5587,
    IF(arrears_months=0,1.00,
    IF(arrears_months=1,3.00,
    IF(arrears_months=2,5.00,
    IF(arrears_months=3,8.00,
    IF(arrears_months=4,10.00,
    IF(arrears_months=5,12.00,15.00)))))))</f>
        <v/>
      </c>
      <c r="M5587">
        <f>LET(
    seasoning_years,DATEDIF('Loan Tape (S&amp;P)'!K5587,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87">
        <f>IF(AND('Loan Tape (S&amp;P)'!U5587="Yes",
        'Loan Tape (S&amp;P)'!T5587&lt;&gt;"Yes",
        DATEDIF('Loan Tape (S&amp;P)'!K5587, TODAY(), "M")&lt;18),
    1.10,
    1.00)</f>
        <v/>
      </c>
      <c r="O5587">
        <f>IF('Loan Tape (S&amp;P)'!T5587="Yes",
    1.35,
    1.00)</f>
        <v/>
      </c>
      <c r="P5587">
        <f>IF('Loan Tape (S&amp;P)'!S5587="Yes",
    1.15,
    1.00)</f>
        <v/>
      </c>
      <c r="Q5587">
        <f>IF('Loan Tape (S&amp;P)'!V5587="Yes",
    1.20,
    1.00)</f>
        <v/>
      </c>
      <c r="T5587">
        <f>LET(
    payment_method,'Loan Tape (S&amp;P)'!P5587,
    occupancy,'Loan Tape (S&amp;P)'!N5587,
    maturity_date,'Loan Tape (S&amp;P)'!L5587,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88">
      <c r="J5588">
        <f>LET(
    lien,'Loan Tape (S&amp;P)'!Q5588,
    IF(lien="First",1.00,
        IF(lien="Second",1.50,
            1.70)))</f>
        <v/>
      </c>
      <c r="K5588">
        <f>LET(
    purpose,'Loan Tape (S&amp;P)'!R5588,
    IF(purpose="Purchase",1.00,
        IF(purpose="Remortgage",1.00,
            1.20)))</f>
        <v/>
      </c>
      <c r="L5588">
        <f>LET(
    arrears_months,'Loan Tape (S&amp;P)'!AN5588,
    IF(arrears_months=0,1.00,
    IF(arrears_months=1,3.00,
    IF(arrears_months=2,5.00,
    IF(arrears_months=3,8.00,
    IF(arrears_months=4,10.00,
    IF(arrears_months=5,12.00,15.00)))))))</f>
        <v/>
      </c>
      <c r="M5588">
        <f>LET(
    seasoning_years,DATEDIF('Loan Tape (S&amp;P)'!K5588,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88">
        <f>IF(AND('Loan Tape (S&amp;P)'!U5588="Yes",
        'Loan Tape (S&amp;P)'!T5588&lt;&gt;"Yes",
        DATEDIF('Loan Tape (S&amp;P)'!K5588, TODAY(), "M")&lt;18),
    1.10,
    1.00)</f>
        <v/>
      </c>
      <c r="O5588">
        <f>IF('Loan Tape (S&amp;P)'!T5588="Yes",
    1.35,
    1.00)</f>
        <v/>
      </c>
      <c r="P5588">
        <f>IF('Loan Tape (S&amp;P)'!S5588="Yes",
    1.15,
    1.00)</f>
        <v/>
      </c>
      <c r="Q5588">
        <f>IF('Loan Tape (S&amp;P)'!V5588="Yes",
    1.20,
    1.00)</f>
        <v/>
      </c>
      <c r="T5588">
        <f>LET(
    payment_method,'Loan Tape (S&amp;P)'!P5588,
    occupancy,'Loan Tape (S&amp;P)'!N5588,
    maturity_date,'Loan Tape (S&amp;P)'!L5588,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89">
      <c r="J5589">
        <f>LET(
    lien,'Loan Tape (S&amp;P)'!Q5589,
    IF(lien="First",1.00,
        IF(lien="Second",1.50,
            1.70)))</f>
        <v/>
      </c>
      <c r="K5589">
        <f>LET(
    purpose,'Loan Tape (S&amp;P)'!R5589,
    IF(purpose="Purchase",1.00,
        IF(purpose="Remortgage",1.00,
            1.20)))</f>
        <v/>
      </c>
      <c r="L5589">
        <f>LET(
    arrears_months,'Loan Tape (S&amp;P)'!AN5589,
    IF(arrears_months=0,1.00,
    IF(arrears_months=1,3.00,
    IF(arrears_months=2,5.00,
    IF(arrears_months=3,8.00,
    IF(arrears_months=4,10.00,
    IF(arrears_months=5,12.00,15.00)))))))</f>
        <v/>
      </c>
      <c r="M5589">
        <f>LET(
    seasoning_years,DATEDIF('Loan Tape (S&amp;P)'!K5589,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89">
        <f>IF(AND('Loan Tape (S&amp;P)'!U5589="Yes",
        'Loan Tape (S&amp;P)'!T5589&lt;&gt;"Yes",
        DATEDIF('Loan Tape (S&amp;P)'!K5589, TODAY(), "M")&lt;18),
    1.10,
    1.00)</f>
        <v/>
      </c>
      <c r="O5589">
        <f>IF('Loan Tape (S&amp;P)'!T5589="Yes",
    1.35,
    1.00)</f>
        <v/>
      </c>
      <c r="P5589">
        <f>IF('Loan Tape (S&amp;P)'!S5589="Yes",
    1.15,
    1.00)</f>
        <v/>
      </c>
      <c r="Q5589">
        <f>IF('Loan Tape (S&amp;P)'!V5589="Yes",
    1.20,
    1.00)</f>
        <v/>
      </c>
      <c r="T5589">
        <f>LET(
    payment_method,'Loan Tape (S&amp;P)'!P5589,
    occupancy,'Loan Tape (S&amp;P)'!N5589,
    maturity_date,'Loan Tape (S&amp;P)'!L5589,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90">
      <c r="J5590">
        <f>LET(
    lien,'Loan Tape (S&amp;P)'!Q5590,
    IF(lien="First",1.00,
        IF(lien="Second",1.50,
            1.70)))</f>
        <v/>
      </c>
      <c r="K5590">
        <f>LET(
    purpose,'Loan Tape (S&amp;P)'!R5590,
    IF(purpose="Purchase",1.00,
        IF(purpose="Remortgage",1.00,
            1.20)))</f>
        <v/>
      </c>
      <c r="L5590">
        <f>LET(
    arrears_months,'Loan Tape (S&amp;P)'!AN5590,
    IF(arrears_months=0,1.00,
    IF(arrears_months=1,3.00,
    IF(arrears_months=2,5.00,
    IF(arrears_months=3,8.00,
    IF(arrears_months=4,10.00,
    IF(arrears_months=5,12.00,15.00)))))))</f>
        <v/>
      </c>
      <c r="M5590">
        <f>LET(
    seasoning_years,DATEDIF('Loan Tape (S&amp;P)'!K5590,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90">
        <f>IF(AND('Loan Tape (S&amp;P)'!U5590="Yes",
        'Loan Tape (S&amp;P)'!T5590&lt;&gt;"Yes",
        DATEDIF('Loan Tape (S&amp;P)'!K5590, TODAY(), "M")&lt;18),
    1.10,
    1.00)</f>
        <v/>
      </c>
      <c r="O5590">
        <f>IF('Loan Tape (S&amp;P)'!T5590="Yes",
    1.35,
    1.00)</f>
        <v/>
      </c>
      <c r="P5590">
        <f>IF('Loan Tape (S&amp;P)'!S5590="Yes",
    1.15,
    1.00)</f>
        <v/>
      </c>
      <c r="Q5590">
        <f>IF('Loan Tape (S&amp;P)'!V5590="Yes",
    1.20,
    1.00)</f>
        <v/>
      </c>
      <c r="T5590">
        <f>LET(
    payment_method,'Loan Tape (S&amp;P)'!P5590,
    occupancy,'Loan Tape (S&amp;P)'!N5590,
    maturity_date,'Loan Tape (S&amp;P)'!L5590,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91">
      <c r="J5591">
        <f>LET(
    lien,'Loan Tape (S&amp;P)'!Q5591,
    IF(lien="First",1.00,
        IF(lien="Second",1.50,
            1.70)))</f>
        <v/>
      </c>
      <c r="K5591">
        <f>LET(
    purpose,'Loan Tape (S&amp;P)'!R5591,
    IF(purpose="Purchase",1.00,
        IF(purpose="Remortgage",1.00,
            1.20)))</f>
        <v/>
      </c>
      <c r="L5591">
        <f>LET(
    arrears_months,'Loan Tape (S&amp;P)'!AN5591,
    IF(arrears_months=0,1.00,
    IF(arrears_months=1,3.00,
    IF(arrears_months=2,5.00,
    IF(arrears_months=3,8.00,
    IF(arrears_months=4,10.00,
    IF(arrears_months=5,12.00,15.00)))))))</f>
        <v/>
      </c>
      <c r="M5591">
        <f>LET(
    seasoning_years,DATEDIF('Loan Tape (S&amp;P)'!K5591,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91">
        <f>IF(AND('Loan Tape (S&amp;P)'!U5591="Yes",
        'Loan Tape (S&amp;P)'!T5591&lt;&gt;"Yes",
        DATEDIF('Loan Tape (S&amp;P)'!K5591, TODAY(), "M")&lt;18),
    1.10,
    1.00)</f>
        <v/>
      </c>
      <c r="O5591">
        <f>IF('Loan Tape (S&amp;P)'!T5591="Yes",
    1.35,
    1.00)</f>
        <v/>
      </c>
      <c r="P5591">
        <f>IF('Loan Tape (S&amp;P)'!S5591="Yes",
    1.15,
    1.00)</f>
        <v/>
      </c>
      <c r="Q5591">
        <f>IF('Loan Tape (S&amp;P)'!V5591="Yes",
    1.20,
    1.00)</f>
        <v/>
      </c>
      <c r="T5591">
        <f>LET(
    payment_method,'Loan Tape (S&amp;P)'!P5591,
    occupancy,'Loan Tape (S&amp;P)'!N5591,
    maturity_date,'Loan Tape (S&amp;P)'!L5591,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92">
      <c r="J5592">
        <f>LET(
    lien,'Loan Tape (S&amp;P)'!Q5592,
    IF(lien="First",1.00,
        IF(lien="Second",1.50,
            1.70)))</f>
        <v/>
      </c>
      <c r="K5592">
        <f>LET(
    purpose,'Loan Tape (S&amp;P)'!R5592,
    IF(purpose="Purchase",1.00,
        IF(purpose="Remortgage",1.00,
            1.20)))</f>
        <v/>
      </c>
      <c r="L5592">
        <f>LET(
    arrears_months,'Loan Tape (S&amp;P)'!AN5592,
    IF(arrears_months=0,1.00,
    IF(arrears_months=1,3.00,
    IF(arrears_months=2,5.00,
    IF(arrears_months=3,8.00,
    IF(arrears_months=4,10.00,
    IF(arrears_months=5,12.00,15.00)))))))</f>
        <v/>
      </c>
      <c r="M5592">
        <f>LET(
    seasoning_years,DATEDIF('Loan Tape (S&amp;P)'!K5592,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92">
        <f>IF(AND('Loan Tape (S&amp;P)'!U5592="Yes",
        'Loan Tape (S&amp;P)'!T5592&lt;&gt;"Yes",
        DATEDIF('Loan Tape (S&amp;P)'!K5592, TODAY(), "M")&lt;18),
    1.10,
    1.00)</f>
        <v/>
      </c>
      <c r="O5592">
        <f>IF('Loan Tape (S&amp;P)'!T5592="Yes",
    1.35,
    1.00)</f>
        <v/>
      </c>
      <c r="P5592">
        <f>IF('Loan Tape (S&amp;P)'!S5592="Yes",
    1.15,
    1.00)</f>
        <v/>
      </c>
      <c r="Q5592">
        <f>IF('Loan Tape (S&amp;P)'!V5592="Yes",
    1.20,
    1.00)</f>
        <v/>
      </c>
      <c r="T5592">
        <f>LET(
    payment_method,'Loan Tape (S&amp;P)'!P5592,
    occupancy,'Loan Tape (S&amp;P)'!N5592,
    maturity_date,'Loan Tape (S&amp;P)'!L5592,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93">
      <c r="J5593">
        <f>LET(
    lien,'Loan Tape (S&amp;P)'!Q5593,
    IF(lien="First",1.00,
        IF(lien="Second",1.50,
            1.70)))</f>
        <v/>
      </c>
      <c r="K5593">
        <f>LET(
    purpose,'Loan Tape (S&amp;P)'!R5593,
    IF(purpose="Purchase",1.00,
        IF(purpose="Remortgage",1.00,
            1.20)))</f>
        <v/>
      </c>
      <c r="L5593">
        <f>LET(
    arrears_months,'Loan Tape (S&amp;P)'!AN5593,
    IF(arrears_months=0,1.00,
    IF(arrears_months=1,3.00,
    IF(arrears_months=2,5.00,
    IF(arrears_months=3,8.00,
    IF(arrears_months=4,10.00,
    IF(arrears_months=5,12.00,15.00)))))))</f>
        <v/>
      </c>
      <c r="M5593">
        <f>LET(
    seasoning_years,DATEDIF('Loan Tape (S&amp;P)'!K5593,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93">
        <f>IF(AND('Loan Tape (S&amp;P)'!U5593="Yes",
        'Loan Tape (S&amp;P)'!T5593&lt;&gt;"Yes",
        DATEDIF('Loan Tape (S&amp;P)'!K5593, TODAY(), "M")&lt;18),
    1.10,
    1.00)</f>
        <v/>
      </c>
      <c r="O5593">
        <f>IF('Loan Tape (S&amp;P)'!T5593="Yes",
    1.35,
    1.00)</f>
        <v/>
      </c>
      <c r="P5593">
        <f>IF('Loan Tape (S&amp;P)'!S5593="Yes",
    1.15,
    1.00)</f>
        <v/>
      </c>
      <c r="Q5593">
        <f>IF('Loan Tape (S&amp;P)'!V5593="Yes",
    1.20,
    1.00)</f>
        <v/>
      </c>
      <c r="T5593">
        <f>LET(
    payment_method,'Loan Tape (S&amp;P)'!P5593,
    occupancy,'Loan Tape (S&amp;P)'!N5593,
    maturity_date,'Loan Tape (S&amp;P)'!L5593,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94">
      <c r="J5594">
        <f>LET(
    lien,'Loan Tape (S&amp;P)'!Q5594,
    IF(lien="First",1.00,
        IF(lien="Second",1.50,
            1.70)))</f>
        <v/>
      </c>
      <c r="K5594">
        <f>LET(
    purpose,'Loan Tape (S&amp;P)'!R5594,
    IF(purpose="Purchase",1.00,
        IF(purpose="Remortgage",1.00,
            1.20)))</f>
        <v/>
      </c>
      <c r="L5594">
        <f>LET(
    arrears_months,'Loan Tape (S&amp;P)'!AN5594,
    IF(arrears_months=0,1.00,
    IF(arrears_months=1,3.00,
    IF(arrears_months=2,5.00,
    IF(arrears_months=3,8.00,
    IF(arrears_months=4,10.00,
    IF(arrears_months=5,12.00,15.00)))))))</f>
        <v/>
      </c>
      <c r="M5594">
        <f>LET(
    seasoning_years,DATEDIF('Loan Tape (S&amp;P)'!K5594,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94">
        <f>IF(AND('Loan Tape (S&amp;P)'!U5594="Yes",
        'Loan Tape (S&amp;P)'!T5594&lt;&gt;"Yes",
        DATEDIF('Loan Tape (S&amp;P)'!K5594, TODAY(), "M")&lt;18),
    1.10,
    1.00)</f>
        <v/>
      </c>
      <c r="O5594">
        <f>IF('Loan Tape (S&amp;P)'!T5594="Yes",
    1.35,
    1.00)</f>
        <v/>
      </c>
      <c r="P5594">
        <f>IF('Loan Tape (S&amp;P)'!S5594="Yes",
    1.15,
    1.00)</f>
        <v/>
      </c>
      <c r="Q5594">
        <f>IF('Loan Tape (S&amp;P)'!V5594="Yes",
    1.20,
    1.00)</f>
        <v/>
      </c>
      <c r="T5594">
        <f>LET(
    payment_method,'Loan Tape (S&amp;P)'!P5594,
    occupancy,'Loan Tape (S&amp;P)'!N5594,
    maturity_date,'Loan Tape (S&amp;P)'!L5594,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95">
      <c r="J5595">
        <f>LET(
    lien,'Loan Tape (S&amp;P)'!Q5595,
    IF(lien="First",1.00,
        IF(lien="Second",1.50,
            1.70)))</f>
        <v/>
      </c>
      <c r="K5595">
        <f>LET(
    purpose,'Loan Tape (S&amp;P)'!R5595,
    IF(purpose="Purchase",1.00,
        IF(purpose="Remortgage",1.00,
            1.20)))</f>
        <v/>
      </c>
      <c r="L5595">
        <f>LET(
    arrears_months,'Loan Tape (S&amp;P)'!AN5595,
    IF(arrears_months=0,1.00,
    IF(arrears_months=1,3.00,
    IF(arrears_months=2,5.00,
    IF(arrears_months=3,8.00,
    IF(arrears_months=4,10.00,
    IF(arrears_months=5,12.00,15.00)))))))</f>
        <v/>
      </c>
      <c r="M5595">
        <f>LET(
    seasoning_years,DATEDIF('Loan Tape (S&amp;P)'!K5595,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95">
        <f>IF(AND('Loan Tape (S&amp;P)'!U5595="Yes",
        'Loan Tape (S&amp;P)'!T5595&lt;&gt;"Yes",
        DATEDIF('Loan Tape (S&amp;P)'!K5595, TODAY(), "M")&lt;18),
    1.10,
    1.00)</f>
        <v/>
      </c>
      <c r="O5595">
        <f>IF('Loan Tape (S&amp;P)'!T5595="Yes",
    1.35,
    1.00)</f>
        <v/>
      </c>
      <c r="P5595">
        <f>IF('Loan Tape (S&amp;P)'!S5595="Yes",
    1.15,
    1.00)</f>
        <v/>
      </c>
      <c r="Q5595">
        <f>IF('Loan Tape (S&amp;P)'!V5595="Yes",
    1.20,
    1.00)</f>
        <v/>
      </c>
      <c r="T5595">
        <f>LET(
    payment_method,'Loan Tape (S&amp;P)'!P5595,
    occupancy,'Loan Tape (S&amp;P)'!N5595,
    maturity_date,'Loan Tape (S&amp;P)'!L5595,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96">
      <c r="J5596">
        <f>LET(
    lien,'Loan Tape (S&amp;P)'!Q5596,
    IF(lien="First",1.00,
        IF(lien="Second",1.50,
            1.70)))</f>
        <v/>
      </c>
      <c r="K5596">
        <f>LET(
    purpose,'Loan Tape (S&amp;P)'!R5596,
    IF(purpose="Purchase",1.00,
        IF(purpose="Remortgage",1.00,
            1.20)))</f>
        <v/>
      </c>
      <c r="L5596">
        <f>LET(
    arrears_months,'Loan Tape (S&amp;P)'!AN5596,
    IF(arrears_months=0,1.00,
    IF(arrears_months=1,3.00,
    IF(arrears_months=2,5.00,
    IF(arrears_months=3,8.00,
    IF(arrears_months=4,10.00,
    IF(arrears_months=5,12.00,15.00)))))))</f>
        <v/>
      </c>
      <c r="M5596">
        <f>LET(
    seasoning_years,DATEDIF('Loan Tape (S&amp;P)'!K5596,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96">
        <f>IF(AND('Loan Tape (S&amp;P)'!U5596="Yes",
        'Loan Tape (S&amp;P)'!T5596&lt;&gt;"Yes",
        DATEDIF('Loan Tape (S&amp;P)'!K5596, TODAY(), "M")&lt;18),
    1.10,
    1.00)</f>
        <v/>
      </c>
      <c r="O5596">
        <f>IF('Loan Tape (S&amp;P)'!T5596="Yes",
    1.35,
    1.00)</f>
        <v/>
      </c>
      <c r="P5596">
        <f>IF('Loan Tape (S&amp;P)'!S5596="Yes",
    1.15,
    1.00)</f>
        <v/>
      </c>
      <c r="Q5596">
        <f>IF('Loan Tape (S&amp;P)'!V5596="Yes",
    1.20,
    1.00)</f>
        <v/>
      </c>
      <c r="T5596">
        <f>LET(
    payment_method,'Loan Tape (S&amp;P)'!P5596,
    occupancy,'Loan Tape (S&amp;P)'!N5596,
    maturity_date,'Loan Tape (S&amp;P)'!L5596,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97">
      <c r="J5597">
        <f>LET(
    lien,'Loan Tape (S&amp;P)'!Q5597,
    IF(lien="First",1.00,
        IF(lien="Second",1.50,
            1.70)))</f>
        <v/>
      </c>
      <c r="K5597">
        <f>LET(
    purpose,'Loan Tape (S&amp;P)'!R5597,
    IF(purpose="Purchase",1.00,
        IF(purpose="Remortgage",1.00,
            1.20)))</f>
        <v/>
      </c>
      <c r="L5597">
        <f>LET(
    arrears_months,'Loan Tape (S&amp;P)'!AN5597,
    IF(arrears_months=0,1.00,
    IF(arrears_months=1,3.00,
    IF(arrears_months=2,5.00,
    IF(arrears_months=3,8.00,
    IF(arrears_months=4,10.00,
    IF(arrears_months=5,12.00,15.00)))))))</f>
        <v/>
      </c>
      <c r="M5597">
        <f>LET(
    seasoning_years,DATEDIF('Loan Tape (S&amp;P)'!K5597,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97">
        <f>IF(AND('Loan Tape (S&amp;P)'!U5597="Yes",
        'Loan Tape (S&amp;P)'!T5597&lt;&gt;"Yes",
        DATEDIF('Loan Tape (S&amp;P)'!K5597, TODAY(), "M")&lt;18),
    1.10,
    1.00)</f>
        <v/>
      </c>
      <c r="O5597">
        <f>IF('Loan Tape (S&amp;P)'!T5597="Yes",
    1.35,
    1.00)</f>
        <v/>
      </c>
      <c r="P5597">
        <f>IF('Loan Tape (S&amp;P)'!S5597="Yes",
    1.15,
    1.00)</f>
        <v/>
      </c>
      <c r="Q5597">
        <f>IF('Loan Tape (S&amp;P)'!V5597="Yes",
    1.20,
    1.00)</f>
        <v/>
      </c>
      <c r="T5597">
        <f>LET(
    payment_method,'Loan Tape (S&amp;P)'!P5597,
    occupancy,'Loan Tape (S&amp;P)'!N5597,
    maturity_date,'Loan Tape (S&amp;P)'!L5597,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98">
      <c r="J5598">
        <f>LET(
    lien,'Loan Tape (S&amp;P)'!Q5598,
    IF(lien="First",1.00,
        IF(lien="Second",1.50,
            1.70)))</f>
        <v/>
      </c>
      <c r="K5598">
        <f>LET(
    purpose,'Loan Tape (S&amp;P)'!R5598,
    IF(purpose="Purchase",1.00,
        IF(purpose="Remortgage",1.00,
            1.20)))</f>
        <v/>
      </c>
      <c r="L5598">
        <f>LET(
    arrears_months,'Loan Tape (S&amp;P)'!AN5598,
    IF(arrears_months=0,1.00,
    IF(arrears_months=1,3.00,
    IF(arrears_months=2,5.00,
    IF(arrears_months=3,8.00,
    IF(arrears_months=4,10.00,
    IF(arrears_months=5,12.00,15.00)))))))</f>
        <v/>
      </c>
      <c r="M5598">
        <f>LET(
    seasoning_years,DATEDIF('Loan Tape (S&amp;P)'!K5598,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98">
        <f>IF(AND('Loan Tape (S&amp;P)'!U5598="Yes",
        'Loan Tape (S&amp;P)'!T5598&lt;&gt;"Yes",
        DATEDIF('Loan Tape (S&amp;P)'!K5598, TODAY(), "M")&lt;18),
    1.10,
    1.00)</f>
        <v/>
      </c>
      <c r="O5598">
        <f>IF('Loan Tape (S&amp;P)'!T5598="Yes",
    1.35,
    1.00)</f>
        <v/>
      </c>
      <c r="P5598">
        <f>IF('Loan Tape (S&amp;P)'!S5598="Yes",
    1.15,
    1.00)</f>
        <v/>
      </c>
      <c r="Q5598">
        <f>IF('Loan Tape (S&amp;P)'!V5598="Yes",
    1.20,
    1.00)</f>
        <v/>
      </c>
      <c r="T5598">
        <f>LET(
    payment_method,'Loan Tape (S&amp;P)'!P5598,
    occupancy,'Loan Tape (S&amp;P)'!N5598,
    maturity_date,'Loan Tape (S&amp;P)'!L5598,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599">
      <c r="J5599">
        <f>LET(
    lien,'Loan Tape (S&amp;P)'!Q5599,
    IF(lien="First",1.00,
        IF(lien="Second",1.50,
            1.70)))</f>
        <v/>
      </c>
      <c r="K5599">
        <f>LET(
    purpose,'Loan Tape (S&amp;P)'!R5599,
    IF(purpose="Purchase",1.00,
        IF(purpose="Remortgage",1.00,
            1.20)))</f>
        <v/>
      </c>
      <c r="L5599">
        <f>LET(
    arrears_months,'Loan Tape (S&amp;P)'!AN5599,
    IF(arrears_months=0,1.00,
    IF(arrears_months=1,3.00,
    IF(arrears_months=2,5.00,
    IF(arrears_months=3,8.00,
    IF(arrears_months=4,10.00,
    IF(arrears_months=5,12.00,15.00)))))))</f>
        <v/>
      </c>
      <c r="M5599">
        <f>LET(
    seasoning_years,DATEDIF('Loan Tape (S&amp;P)'!K5599,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599">
        <f>IF(AND('Loan Tape (S&amp;P)'!U5599="Yes",
        'Loan Tape (S&amp;P)'!T5599&lt;&gt;"Yes",
        DATEDIF('Loan Tape (S&amp;P)'!K5599, TODAY(), "M")&lt;18),
    1.10,
    1.00)</f>
        <v/>
      </c>
      <c r="O5599">
        <f>IF('Loan Tape (S&amp;P)'!T5599="Yes",
    1.35,
    1.00)</f>
        <v/>
      </c>
      <c r="P5599">
        <f>IF('Loan Tape (S&amp;P)'!S5599="Yes",
    1.15,
    1.00)</f>
        <v/>
      </c>
      <c r="Q5599">
        <f>IF('Loan Tape (S&amp;P)'!V5599="Yes",
    1.20,
    1.00)</f>
        <v/>
      </c>
      <c r="T5599">
        <f>LET(
    payment_method,'Loan Tape (S&amp;P)'!P5599,
    occupancy,'Loan Tape (S&amp;P)'!N5599,
    maturity_date,'Loan Tape (S&amp;P)'!L5599,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00">
      <c r="J5600">
        <f>LET(
    lien,'Loan Tape (S&amp;P)'!Q5600,
    IF(lien="First",1.00,
        IF(lien="Second",1.50,
            1.70)))</f>
        <v/>
      </c>
      <c r="K5600">
        <f>LET(
    purpose,'Loan Tape (S&amp;P)'!R5600,
    IF(purpose="Purchase",1.00,
        IF(purpose="Remortgage",1.00,
            1.20)))</f>
        <v/>
      </c>
      <c r="L5600">
        <f>LET(
    arrears_months,'Loan Tape (S&amp;P)'!AN5600,
    IF(arrears_months=0,1.00,
    IF(arrears_months=1,3.00,
    IF(arrears_months=2,5.00,
    IF(arrears_months=3,8.00,
    IF(arrears_months=4,10.00,
    IF(arrears_months=5,12.00,15.00)))))))</f>
        <v/>
      </c>
      <c r="M5600">
        <f>LET(
    seasoning_years,DATEDIF('Loan Tape (S&amp;P)'!K5600,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00">
        <f>IF(AND('Loan Tape (S&amp;P)'!U5600="Yes",
        'Loan Tape (S&amp;P)'!T5600&lt;&gt;"Yes",
        DATEDIF('Loan Tape (S&amp;P)'!K5600, TODAY(), "M")&lt;18),
    1.10,
    1.00)</f>
        <v/>
      </c>
      <c r="O5600">
        <f>IF('Loan Tape (S&amp;P)'!T5600="Yes",
    1.35,
    1.00)</f>
        <v/>
      </c>
      <c r="P5600">
        <f>IF('Loan Tape (S&amp;P)'!S5600="Yes",
    1.15,
    1.00)</f>
        <v/>
      </c>
      <c r="Q5600">
        <f>IF('Loan Tape (S&amp;P)'!V5600="Yes",
    1.20,
    1.00)</f>
        <v/>
      </c>
      <c r="T5600">
        <f>LET(
    payment_method,'Loan Tape (S&amp;P)'!P5600,
    occupancy,'Loan Tape (S&amp;P)'!N5600,
    maturity_date,'Loan Tape (S&amp;P)'!L5600,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01">
      <c r="J5601">
        <f>LET(
    lien,'Loan Tape (S&amp;P)'!Q5601,
    IF(lien="First",1.00,
        IF(lien="Second",1.50,
            1.70)))</f>
        <v/>
      </c>
      <c r="K5601">
        <f>LET(
    purpose,'Loan Tape (S&amp;P)'!R5601,
    IF(purpose="Purchase",1.00,
        IF(purpose="Remortgage",1.00,
            1.20)))</f>
        <v/>
      </c>
      <c r="L5601">
        <f>LET(
    arrears_months,'Loan Tape (S&amp;P)'!AN5601,
    IF(arrears_months=0,1.00,
    IF(arrears_months=1,3.00,
    IF(arrears_months=2,5.00,
    IF(arrears_months=3,8.00,
    IF(arrears_months=4,10.00,
    IF(arrears_months=5,12.00,15.00)))))))</f>
        <v/>
      </c>
      <c r="M5601">
        <f>LET(
    seasoning_years,DATEDIF('Loan Tape (S&amp;P)'!K5601,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01">
        <f>IF(AND('Loan Tape (S&amp;P)'!U5601="Yes",
        'Loan Tape (S&amp;P)'!T5601&lt;&gt;"Yes",
        DATEDIF('Loan Tape (S&amp;P)'!K5601, TODAY(), "M")&lt;18),
    1.10,
    1.00)</f>
        <v/>
      </c>
      <c r="O5601">
        <f>IF('Loan Tape (S&amp;P)'!T5601="Yes",
    1.35,
    1.00)</f>
        <v/>
      </c>
      <c r="P5601">
        <f>IF('Loan Tape (S&amp;P)'!S5601="Yes",
    1.15,
    1.00)</f>
        <v/>
      </c>
      <c r="Q5601">
        <f>IF('Loan Tape (S&amp;P)'!V5601="Yes",
    1.20,
    1.00)</f>
        <v/>
      </c>
      <c r="T5601">
        <f>LET(
    payment_method,'Loan Tape (S&amp;P)'!P5601,
    occupancy,'Loan Tape (S&amp;P)'!N5601,
    maturity_date,'Loan Tape (S&amp;P)'!L5601,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02">
      <c r="J5602">
        <f>LET(
    lien,'Loan Tape (S&amp;P)'!Q5602,
    IF(lien="First",1.00,
        IF(lien="Second",1.50,
            1.70)))</f>
        <v/>
      </c>
      <c r="K5602">
        <f>LET(
    purpose,'Loan Tape (S&amp;P)'!R5602,
    IF(purpose="Purchase",1.00,
        IF(purpose="Remortgage",1.00,
            1.20)))</f>
        <v/>
      </c>
      <c r="L5602">
        <f>LET(
    arrears_months,'Loan Tape (S&amp;P)'!AN5602,
    IF(arrears_months=0,1.00,
    IF(arrears_months=1,3.00,
    IF(arrears_months=2,5.00,
    IF(arrears_months=3,8.00,
    IF(arrears_months=4,10.00,
    IF(arrears_months=5,12.00,15.00)))))))</f>
        <v/>
      </c>
      <c r="M5602">
        <f>LET(
    seasoning_years,DATEDIF('Loan Tape (S&amp;P)'!K5602,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02">
        <f>IF(AND('Loan Tape (S&amp;P)'!U5602="Yes",
        'Loan Tape (S&amp;P)'!T5602&lt;&gt;"Yes",
        DATEDIF('Loan Tape (S&amp;P)'!K5602, TODAY(), "M")&lt;18),
    1.10,
    1.00)</f>
        <v/>
      </c>
      <c r="O5602">
        <f>IF('Loan Tape (S&amp;P)'!T5602="Yes",
    1.35,
    1.00)</f>
        <v/>
      </c>
      <c r="P5602">
        <f>IF('Loan Tape (S&amp;P)'!S5602="Yes",
    1.15,
    1.00)</f>
        <v/>
      </c>
      <c r="Q5602">
        <f>IF('Loan Tape (S&amp;P)'!V5602="Yes",
    1.20,
    1.00)</f>
        <v/>
      </c>
      <c r="T5602">
        <f>LET(
    payment_method,'Loan Tape (S&amp;P)'!P5602,
    occupancy,'Loan Tape (S&amp;P)'!N5602,
    maturity_date,'Loan Tape (S&amp;P)'!L5602,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03">
      <c r="J5603">
        <f>LET(
    lien,'Loan Tape (S&amp;P)'!Q5603,
    IF(lien="First",1.00,
        IF(lien="Second",1.50,
            1.70)))</f>
        <v/>
      </c>
      <c r="K5603">
        <f>LET(
    purpose,'Loan Tape (S&amp;P)'!R5603,
    IF(purpose="Purchase",1.00,
        IF(purpose="Remortgage",1.00,
            1.20)))</f>
        <v/>
      </c>
      <c r="L5603">
        <f>LET(
    arrears_months,'Loan Tape (S&amp;P)'!AN5603,
    IF(arrears_months=0,1.00,
    IF(arrears_months=1,3.00,
    IF(arrears_months=2,5.00,
    IF(arrears_months=3,8.00,
    IF(arrears_months=4,10.00,
    IF(arrears_months=5,12.00,15.00)))))))</f>
        <v/>
      </c>
      <c r="M5603">
        <f>LET(
    seasoning_years,DATEDIF('Loan Tape (S&amp;P)'!K5603,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03">
        <f>IF(AND('Loan Tape (S&amp;P)'!U5603="Yes",
        'Loan Tape (S&amp;P)'!T5603&lt;&gt;"Yes",
        DATEDIF('Loan Tape (S&amp;P)'!K5603, TODAY(), "M")&lt;18),
    1.10,
    1.00)</f>
        <v/>
      </c>
      <c r="O5603">
        <f>IF('Loan Tape (S&amp;P)'!T5603="Yes",
    1.35,
    1.00)</f>
        <v/>
      </c>
      <c r="P5603">
        <f>IF('Loan Tape (S&amp;P)'!S5603="Yes",
    1.15,
    1.00)</f>
        <v/>
      </c>
      <c r="Q5603">
        <f>IF('Loan Tape (S&amp;P)'!V5603="Yes",
    1.20,
    1.00)</f>
        <v/>
      </c>
      <c r="T5603">
        <f>LET(
    payment_method,'Loan Tape (S&amp;P)'!P5603,
    occupancy,'Loan Tape (S&amp;P)'!N5603,
    maturity_date,'Loan Tape (S&amp;P)'!L5603,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04">
      <c r="J5604">
        <f>LET(
    lien,'Loan Tape (S&amp;P)'!Q5604,
    IF(lien="First",1.00,
        IF(lien="Second",1.50,
            1.70)))</f>
        <v/>
      </c>
      <c r="K5604">
        <f>LET(
    purpose,'Loan Tape (S&amp;P)'!R5604,
    IF(purpose="Purchase",1.00,
        IF(purpose="Remortgage",1.00,
            1.20)))</f>
        <v/>
      </c>
      <c r="L5604">
        <f>LET(
    arrears_months,'Loan Tape (S&amp;P)'!AN5604,
    IF(arrears_months=0,1.00,
    IF(arrears_months=1,3.00,
    IF(arrears_months=2,5.00,
    IF(arrears_months=3,8.00,
    IF(arrears_months=4,10.00,
    IF(arrears_months=5,12.00,15.00)))))))</f>
        <v/>
      </c>
      <c r="M5604">
        <f>LET(
    seasoning_years,DATEDIF('Loan Tape (S&amp;P)'!K5604,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04">
        <f>IF(AND('Loan Tape (S&amp;P)'!U5604="Yes",
        'Loan Tape (S&amp;P)'!T5604&lt;&gt;"Yes",
        DATEDIF('Loan Tape (S&amp;P)'!K5604, TODAY(), "M")&lt;18),
    1.10,
    1.00)</f>
        <v/>
      </c>
      <c r="O5604">
        <f>IF('Loan Tape (S&amp;P)'!T5604="Yes",
    1.35,
    1.00)</f>
        <v/>
      </c>
      <c r="P5604">
        <f>IF('Loan Tape (S&amp;P)'!S5604="Yes",
    1.15,
    1.00)</f>
        <v/>
      </c>
      <c r="Q5604">
        <f>IF('Loan Tape (S&amp;P)'!V5604="Yes",
    1.20,
    1.00)</f>
        <v/>
      </c>
      <c r="T5604">
        <f>LET(
    payment_method,'Loan Tape (S&amp;P)'!P5604,
    occupancy,'Loan Tape (S&amp;P)'!N5604,
    maturity_date,'Loan Tape (S&amp;P)'!L5604,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05">
      <c r="J5605">
        <f>LET(
    lien,'Loan Tape (S&amp;P)'!Q5605,
    IF(lien="First",1.00,
        IF(lien="Second",1.50,
            1.70)))</f>
        <v/>
      </c>
      <c r="K5605">
        <f>LET(
    purpose,'Loan Tape (S&amp;P)'!R5605,
    IF(purpose="Purchase",1.00,
        IF(purpose="Remortgage",1.00,
            1.20)))</f>
        <v/>
      </c>
      <c r="L5605">
        <f>LET(
    arrears_months,'Loan Tape (S&amp;P)'!AN5605,
    IF(arrears_months=0,1.00,
    IF(arrears_months=1,3.00,
    IF(arrears_months=2,5.00,
    IF(arrears_months=3,8.00,
    IF(arrears_months=4,10.00,
    IF(arrears_months=5,12.00,15.00)))))))</f>
        <v/>
      </c>
      <c r="M5605">
        <f>LET(
    seasoning_years,DATEDIF('Loan Tape (S&amp;P)'!K5605,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05">
        <f>IF(AND('Loan Tape (S&amp;P)'!U5605="Yes",
        'Loan Tape (S&amp;P)'!T5605&lt;&gt;"Yes",
        DATEDIF('Loan Tape (S&amp;P)'!K5605, TODAY(), "M")&lt;18),
    1.10,
    1.00)</f>
        <v/>
      </c>
      <c r="O5605">
        <f>IF('Loan Tape (S&amp;P)'!T5605="Yes",
    1.35,
    1.00)</f>
        <v/>
      </c>
      <c r="P5605">
        <f>IF('Loan Tape (S&amp;P)'!S5605="Yes",
    1.15,
    1.00)</f>
        <v/>
      </c>
      <c r="Q5605">
        <f>IF('Loan Tape (S&amp;P)'!V5605="Yes",
    1.20,
    1.00)</f>
        <v/>
      </c>
      <c r="T5605">
        <f>LET(
    payment_method,'Loan Tape (S&amp;P)'!P5605,
    occupancy,'Loan Tape (S&amp;P)'!N5605,
    maturity_date,'Loan Tape (S&amp;P)'!L5605,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06">
      <c r="J5606">
        <f>LET(
    lien,'Loan Tape (S&amp;P)'!Q5606,
    IF(lien="First",1.00,
        IF(lien="Second",1.50,
            1.70)))</f>
        <v/>
      </c>
      <c r="K5606">
        <f>LET(
    purpose,'Loan Tape (S&amp;P)'!R5606,
    IF(purpose="Purchase",1.00,
        IF(purpose="Remortgage",1.00,
            1.20)))</f>
        <v/>
      </c>
      <c r="L5606">
        <f>LET(
    arrears_months,'Loan Tape (S&amp;P)'!AN5606,
    IF(arrears_months=0,1.00,
    IF(arrears_months=1,3.00,
    IF(arrears_months=2,5.00,
    IF(arrears_months=3,8.00,
    IF(arrears_months=4,10.00,
    IF(arrears_months=5,12.00,15.00)))))))</f>
        <v/>
      </c>
      <c r="M5606">
        <f>LET(
    seasoning_years,DATEDIF('Loan Tape (S&amp;P)'!K5606,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06">
        <f>IF(AND('Loan Tape (S&amp;P)'!U5606="Yes",
        'Loan Tape (S&amp;P)'!T5606&lt;&gt;"Yes",
        DATEDIF('Loan Tape (S&amp;P)'!K5606, TODAY(), "M")&lt;18),
    1.10,
    1.00)</f>
        <v/>
      </c>
      <c r="O5606">
        <f>IF('Loan Tape (S&amp;P)'!T5606="Yes",
    1.35,
    1.00)</f>
        <v/>
      </c>
      <c r="P5606">
        <f>IF('Loan Tape (S&amp;P)'!S5606="Yes",
    1.15,
    1.00)</f>
        <v/>
      </c>
      <c r="Q5606">
        <f>IF('Loan Tape (S&amp;P)'!V5606="Yes",
    1.20,
    1.00)</f>
        <v/>
      </c>
      <c r="T5606">
        <f>LET(
    payment_method,'Loan Tape (S&amp;P)'!P5606,
    occupancy,'Loan Tape (S&amp;P)'!N5606,
    maturity_date,'Loan Tape (S&amp;P)'!L5606,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07">
      <c r="J5607">
        <f>LET(
    lien,'Loan Tape (S&amp;P)'!Q5607,
    IF(lien="First",1.00,
        IF(lien="Second",1.50,
            1.70)))</f>
        <v/>
      </c>
      <c r="K5607">
        <f>LET(
    purpose,'Loan Tape (S&amp;P)'!R5607,
    IF(purpose="Purchase",1.00,
        IF(purpose="Remortgage",1.00,
            1.20)))</f>
        <v/>
      </c>
      <c r="L5607">
        <f>LET(
    arrears_months,'Loan Tape (S&amp;P)'!AN5607,
    IF(arrears_months=0,1.00,
    IF(arrears_months=1,3.00,
    IF(arrears_months=2,5.00,
    IF(arrears_months=3,8.00,
    IF(arrears_months=4,10.00,
    IF(arrears_months=5,12.00,15.00)))))))</f>
        <v/>
      </c>
      <c r="M5607">
        <f>LET(
    seasoning_years,DATEDIF('Loan Tape (S&amp;P)'!K5607,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07">
        <f>IF(AND('Loan Tape (S&amp;P)'!U5607="Yes",
        'Loan Tape (S&amp;P)'!T5607&lt;&gt;"Yes",
        DATEDIF('Loan Tape (S&amp;P)'!K5607, TODAY(), "M")&lt;18),
    1.10,
    1.00)</f>
        <v/>
      </c>
      <c r="O5607">
        <f>IF('Loan Tape (S&amp;P)'!T5607="Yes",
    1.35,
    1.00)</f>
        <v/>
      </c>
      <c r="P5607">
        <f>IF('Loan Tape (S&amp;P)'!S5607="Yes",
    1.15,
    1.00)</f>
        <v/>
      </c>
      <c r="Q5607">
        <f>IF('Loan Tape (S&amp;P)'!V5607="Yes",
    1.20,
    1.00)</f>
        <v/>
      </c>
      <c r="T5607">
        <f>LET(
    payment_method,'Loan Tape (S&amp;P)'!P5607,
    occupancy,'Loan Tape (S&amp;P)'!N5607,
    maturity_date,'Loan Tape (S&amp;P)'!L5607,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08">
      <c r="J5608">
        <f>LET(
    lien,'Loan Tape (S&amp;P)'!Q5608,
    IF(lien="First",1.00,
        IF(lien="Second",1.50,
            1.70)))</f>
        <v/>
      </c>
      <c r="K5608">
        <f>LET(
    purpose,'Loan Tape (S&amp;P)'!R5608,
    IF(purpose="Purchase",1.00,
        IF(purpose="Remortgage",1.00,
            1.20)))</f>
        <v/>
      </c>
      <c r="L5608">
        <f>LET(
    arrears_months,'Loan Tape (S&amp;P)'!AN5608,
    IF(arrears_months=0,1.00,
    IF(arrears_months=1,3.00,
    IF(arrears_months=2,5.00,
    IF(arrears_months=3,8.00,
    IF(arrears_months=4,10.00,
    IF(arrears_months=5,12.00,15.00)))))))</f>
        <v/>
      </c>
      <c r="M5608">
        <f>LET(
    seasoning_years,DATEDIF('Loan Tape (S&amp;P)'!K5608,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08">
        <f>IF(AND('Loan Tape (S&amp;P)'!U5608="Yes",
        'Loan Tape (S&amp;P)'!T5608&lt;&gt;"Yes",
        DATEDIF('Loan Tape (S&amp;P)'!K5608, TODAY(), "M")&lt;18),
    1.10,
    1.00)</f>
        <v/>
      </c>
      <c r="O5608">
        <f>IF('Loan Tape (S&amp;P)'!T5608="Yes",
    1.35,
    1.00)</f>
        <v/>
      </c>
      <c r="P5608">
        <f>IF('Loan Tape (S&amp;P)'!S5608="Yes",
    1.15,
    1.00)</f>
        <v/>
      </c>
      <c r="Q5608">
        <f>IF('Loan Tape (S&amp;P)'!V5608="Yes",
    1.20,
    1.00)</f>
        <v/>
      </c>
      <c r="T5608">
        <f>LET(
    payment_method,'Loan Tape (S&amp;P)'!P5608,
    occupancy,'Loan Tape (S&amp;P)'!N5608,
    maturity_date,'Loan Tape (S&amp;P)'!L5608,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09">
      <c r="J5609">
        <f>LET(
    lien,'Loan Tape (S&amp;P)'!Q5609,
    IF(lien="First",1.00,
        IF(lien="Second",1.50,
            1.70)))</f>
        <v/>
      </c>
      <c r="K5609">
        <f>LET(
    purpose,'Loan Tape (S&amp;P)'!R5609,
    IF(purpose="Purchase",1.00,
        IF(purpose="Remortgage",1.00,
            1.20)))</f>
        <v/>
      </c>
      <c r="L5609">
        <f>LET(
    arrears_months,'Loan Tape (S&amp;P)'!AN5609,
    IF(arrears_months=0,1.00,
    IF(arrears_months=1,3.00,
    IF(arrears_months=2,5.00,
    IF(arrears_months=3,8.00,
    IF(arrears_months=4,10.00,
    IF(arrears_months=5,12.00,15.00)))))))</f>
        <v/>
      </c>
      <c r="M5609">
        <f>LET(
    seasoning_years,DATEDIF('Loan Tape (S&amp;P)'!K5609,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09">
        <f>IF(AND('Loan Tape (S&amp;P)'!U5609="Yes",
        'Loan Tape (S&amp;P)'!T5609&lt;&gt;"Yes",
        DATEDIF('Loan Tape (S&amp;P)'!K5609, TODAY(), "M")&lt;18),
    1.10,
    1.00)</f>
        <v/>
      </c>
      <c r="O5609">
        <f>IF('Loan Tape (S&amp;P)'!T5609="Yes",
    1.35,
    1.00)</f>
        <v/>
      </c>
      <c r="P5609">
        <f>IF('Loan Tape (S&amp;P)'!S5609="Yes",
    1.15,
    1.00)</f>
        <v/>
      </c>
      <c r="Q5609">
        <f>IF('Loan Tape (S&amp;P)'!V5609="Yes",
    1.20,
    1.00)</f>
        <v/>
      </c>
      <c r="T5609">
        <f>LET(
    payment_method,'Loan Tape (S&amp;P)'!P5609,
    occupancy,'Loan Tape (S&amp;P)'!N5609,
    maturity_date,'Loan Tape (S&amp;P)'!L5609,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10">
      <c r="J5610">
        <f>LET(
    lien,'Loan Tape (S&amp;P)'!Q5610,
    IF(lien="First",1.00,
        IF(lien="Second",1.50,
            1.70)))</f>
        <v/>
      </c>
      <c r="K5610">
        <f>LET(
    purpose,'Loan Tape (S&amp;P)'!R5610,
    IF(purpose="Purchase",1.00,
        IF(purpose="Remortgage",1.00,
            1.20)))</f>
        <v/>
      </c>
      <c r="L5610">
        <f>LET(
    arrears_months,'Loan Tape (S&amp;P)'!AN5610,
    IF(arrears_months=0,1.00,
    IF(arrears_months=1,3.00,
    IF(arrears_months=2,5.00,
    IF(arrears_months=3,8.00,
    IF(arrears_months=4,10.00,
    IF(arrears_months=5,12.00,15.00)))))))</f>
        <v/>
      </c>
      <c r="M5610">
        <f>LET(
    seasoning_years,DATEDIF('Loan Tape (S&amp;P)'!K5610,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10">
        <f>IF(AND('Loan Tape (S&amp;P)'!U5610="Yes",
        'Loan Tape (S&amp;P)'!T5610&lt;&gt;"Yes",
        DATEDIF('Loan Tape (S&amp;P)'!K5610, TODAY(), "M")&lt;18),
    1.10,
    1.00)</f>
        <v/>
      </c>
      <c r="O5610">
        <f>IF('Loan Tape (S&amp;P)'!T5610="Yes",
    1.35,
    1.00)</f>
        <v/>
      </c>
      <c r="P5610">
        <f>IF('Loan Tape (S&amp;P)'!S5610="Yes",
    1.15,
    1.00)</f>
        <v/>
      </c>
      <c r="Q5610">
        <f>IF('Loan Tape (S&amp;P)'!V5610="Yes",
    1.20,
    1.00)</f>
        <v/>
      </c>
      <c r="T5610">
        <f>LET(
    payment_method,'Loan Tape (S&amp;P)'!P5610,
    occupancy,'Loan Tape (S&amp;P)'!N5610,
    maturity_date,'Loan Tape (S&amp;P)'!L5610,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11">
      <c r="J5611">
        <f>LET(
    lien,'Loan Tape (S&amp;P)'!Q5611,
    IF(lien="First",1.00,
        IF(lien="Second",1.50,
            1.70)))</f>
        <v/>
      </c>
      <c r="K5611">
        <f>LET(
    purpose,'Loan Tape (S&amp;P)'!R5611,
    IF(purpose="Purchase",1.00,
        IF(purpose="Remortgage",1.00,
            1.20)))</f>
        <v/>
      </c>
      <c r="L5611">
        <f>LET(
    arrears_months,'Loan Tape (S&amp;P)'!AN5611,
    IF(arrears_months=0,1.00,
    IF(arrears_months=1,3.00,
    IF(arrears_months=2,5.00,
    IF(arrears_months=3,8.00,
    IF(arrears_months=4,10.00,
    IF(arrears_months=5,12.00,15.00)))))))</f>
        <v/>
      </c>
      <c r="M5611">
        <f>LET(
    seasoning_years,DATEDIF('Loan Tape (S&amp;P)'!K5611,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11">
        <f>IF(AND('Loan Tape (S&amp;P)'!U5611="Yes",
        'Loan Tape (S&amp;P)'!T5611&lt;&gt;"Yes",
        DATEDIF('Loan Tape (S&amp;P)'!K5611, TODAY(), "M")&lt;18),
    1.10,
    1.00)</f>
        <v/>
      </c>
      <c r="O5611">
        <f>IF('Loan Tape (S&amp;P)'!T5611="Yes",
    1.35,
    1.00)</f>
        <v/>
      </c>
      <c r="P5611">
        <f>IF('Loan Tape (S&amp;P)'!S5611="Yes",
    1.15,
    1.00)</f>
        <v/>
      </c>
      <c r="Q5611">
        <f>IF('Loan Tape (S&amp;P)'!V5611="Yes",
    1.20,
    1.00)</f>
        <v/>
      </c>
      <c r="T5611">
        <f>LET(
    payment_method,'Loan Tape (S&amp;P)'!P5611,
    occupancy,'Loan Tape (S&amp;P)'!N5611,
    maturity_date,'Loan Tape (S&amp;P)'!L5611,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12">
      <c r="J5612">
        <f>LET(
    lien,'Loan Tape (S&amp;P)'!Q5612,
    IF(lien="First",1.00,
        IF(lien="Second",1.50,
            1.70)))</f>
        <v/>
      </c>
      <c r="K5612">
        <f>LET(
    purpose,'Loan Tape (S&amp;P)'!R5612,
    IF(purpose="Purchase",1.00,
        IF(purpose="Remortgage",1.00,
            1.20)))</f>
        <v/>
      </c>
      <c r="L5612">
        <f>LET(
    arrears_months,'Loan Tape (S&amp;P)'!AN5612,
    IF(arrears_months=0,1.00,
    IF(arrears_months=1,3.00,
    IF(arrears_months=2,5.00,
    IF(arrears_months=3,8.00,
    IF(arrears_months=4,10.00,
    IF(arrears_months=5,12.00,15.00)))))))</f>
        <v/>
      </c>
      <c r="M5612">
        <f>LET(
    seasoning_years,DATEDIF('Loan Tape (S&amp;P)'!K5612,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12">
        <f>IF(AND('Loan Tape (S&amp;P)'!U5612="Yes",
        'Loan Tape (S&amp;P)'!T5612&lt;&gt;"Yes",
        DATEDIF('Loan Tape (S&amp;P)'!K5612, TODAY(), "M")&lt;18),
    1.10,
    1.00)</f>
        <v/>
      </c>
      <c r="O5612">
        <f>IF('Loan Tape (S&amp;P)'!T5612="Yes",
    1.35,
    1.00)</f>
        <v/>
      </c>
      <c r="P5612">
        <f>IF('Loan Tape (S&amp;P)'!S5612="Yes",
    1.15,
    1.00)</f>
        <v/>
      </c>
      <c r="Q5612">
        <f>IF('Loan Tape (S&amp;P)'!V5612="Yes",
    1.20,
    1.00)</f>
        <v/>
      </c>
      <c r="T5612">
        <f>LET(
    payment_method,'Loan Tape (S&amp;P)'!P5612,
    occupancy,'Loan Tape (S&amp;P)'!N5612,
    maturity_date,'Loan Tape (S&amp;P)'!L5612,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13">
      <c r="J5613">
        <f>LET(
    lien,'Loan Tape (S&amp;P)'!Q5613,
    IF(lien="First",1.00,
        IF(lien="Second",1.50,
            1.70)))</f>
        <v/>
      </c>
      <c r="K5613">
        <f>LET(
    purpose,'Loan Tape (S&amp;P)'!R5613,
    IF(purpose="Purchase",1.00,
        IF(purpose="Remortgage",1.00,
            1.20)))</f>
        <v/>
      </c>
      <c r="L5613">
        <f>LET(
    arrears_months,'Loan Tape (S&amp;P)'!AN5613,
    IF(arrears_months=0,1.00,
    IF(arrears_months=1,3.00,
    IF(arrears_months=2,5.00,
    IF(arrears_months=3,8.00,
    IF(arrears_months=4,10.00,
    IF(arrears_months=5,12.00,15.00)))))))</f>
        <v/>
      </c>
      <c r="M5613">
        <f>LET(
    seasoning_years,DATEDIF('Loan Tape (S&amp;P)'!K5613,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13">
        <f>IF(AND('Loan Tape (S&amp;P)'!U5613="Yes",
        'Loan Tape (S&amp;P)'!T5613&lt;&gt;"Yes",
        DATEDIF('Loan Tape (S&amp;P)'!K5613, TODAY(), "M")&lt;18),
    1.10,
    1.00)</f>
        <v/>
      </c>
      <c r="O5613">
        <f>IF('Loan Tape (S&amp;P)'!T5613="Yes",
    1.35,
    1.00)</f>
        <v/>
      </c>
      <c r="P5613">
        <f>IF('Loan Tape (S&amp;P)'!S5613="Yes",
    1.15,
    1.00)</f>
        <v/>
      </c>
      <c r="Q5613">
        <f>IF('Loan Tape (S&amp;P)'!V5613="Yes",
    1.20,
    1.00)</f>
        <v/>
      </c>
      <c r="T5613">
        <f>LET(
    payment_method,'Loan Tape (S&amp;P)'!P5613,
    occupancy,'Loan Tape (S&amp;P)'!N5613,
    maturity_date,'Loan Tape (S&amp;P)'!L5613,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14">
      <c r="J5614">
        <f>LET(
    lien,'Loan Tape (S&amp;P)'!Q5614,
    IF(lien="First",1.00,
        IF(lien="Second",1.50,
            1.70)))</f>
        <v/>
      </c>
      <c r="K5614">
        <f>LET(
    purpose,'Loan Tape (S&amp;P)'!R5614,
    IF(purpose="Purchase",1.00,
        IF(purpose="Remortgage",1.00,
            1.20)))</f>
        <v/>
      </c>
      <c r="L5614">
        <f>LET(
    arrears_months,'Loan Tape (S&amp;P)'!AN5614,
    IF(arrears_months=0,1.00,
    IF(arrears_months=1,3.00,
    IF(arrears_months=2,5.00,
    IF(arrears_months=3,8.00,
    IF(arrears_months=4,10.00,
    IF(arrears_months=5,12.00,15.00)))))))</f>
        <v/>
      </c>
      <c r="M5614">
        <f>LET(
    seasoning_years,DATEDIF('Loan Tape (S&amp;P)'!K5614,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14">
        <f>IF(AND('Loan Tape (S&amp;P)'!U5614="Yes",
        'Loan Tape (S&amp;P)'!T5614&lt;&gt;"Yes",
        DATEDIF('Loan Tape (S&amp;P)'!K5614, TODAY(), "M")&lt;18),
    1.10,
    1.00)</f>
        <v/>
      </c>
      <c r="O5614">
        <f>IF('Loan Tape (S&amp;P)'!T5614="Yes",
    1.35,
    1.00)</f>
        <v/>
      </c>
      <c r="P5614">
        <f>IF('Loan Tape (S&amp;P)'!S5614="Yes",
    1.15,
    1.00)</f>
        <v/>
      </c>
      <c r="Q5614">
        <f>IF('Loan Tape (S&amp;P)'!V5614="Yes",
    1.20,
    1.00)</f>
        <v/>
      </c>
      <c r="T5614">
        <f>LET(
    payment_method,'Loan Tape (S&amp;P)'!P5614,
    occupancy,'Loan Tape (S&amp;P)'!N5614,
    maturity_date,'Loan Tape (S&amp;P)'!L5614,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15">
      <c r="J5615">
        <f>LET(
    lien,'Loan Tape (S&amp;P)'!Q5615,
    IF(lien="First",1.00,
        IF(lien="Second",1.50,
            1.70)))</f>
        <v/>
      </c>
      <c r="K5615">
        <f>LET(
    purpose,'Loan Tape (S&amp;P)'!R5615,
    IF(purpose="Purchase",1.00,
        IF(purpose="Remortgage",1.00,
            1.20)))</f>
        <v/>
      </c>
      <c r="L5615">
        <f>LET(
    arrears_months,'Loan Tape (S&amp;P)'!AN5615,
    IF(arrears_months=0,1.00,
    IF(arrears_months=1,3.00,
    IF(arrears_months=2,5.00,
    IF(arrears_months=3,8.00,
    IF(arrears_months=4,10.00,
    IF(arrears_months=5,12.00,15.00)))))))</f>
        <v/>
      </c>
      <c r="M5615">
        <f>LET(
    seasoning_years,DATEDIF('Loan Tape (S&amp;P)'!K5615,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15">
        <f>IF(AND('Loan Tape (S&amp;P)'!U5615="Yes",
        'Loan Tape (S&amp;P)'!T5615&lt;&gt;"Yes",
        DATEDIF('Loan Tape (S&amp;P)'!K5615, TODAY(), "M")&lt;18),
    1.10,
    1.00)</f>
        <v/>
      </c>
      <c r="O5615">
        <f>IF('Loan Tape (S&amp;P)'!T5615="Yes",
    1.35,
    1.00)</f>
        <v/>
      </c>
      <c r="P5615">
        <f>IF('Loan Tape (S&amp;P)'!S5615="Yes",
    1.15,
    1.00)</f>
        <v/>
      </c>
      <c r="Q5615">
        <f>IF('Loan Tape (S&amp;P)'!V5615="Yes",
    1.20,
    1.00)</f>
        <v/>
      </c>
      <c r="T5615">
        <f>LET(
    payment_method,'Loan Tape (S&amp;P)'!P5615,
    occupancy,'Loan Tape (S&amp;P)'!N5615,
    maturity_date,'Loan Tape (S&amp;P)'!L5615,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16">
      <c r="J5616">
        <f>LET(
    lien,'Loan Tape (S&amp;P)'!Q5616,
    IF(lien="First",1.00,
        IF(lien="Second",1.50,
            1.70)))</f>
        <v/>
      </c>
      <c r="K5616">
        <f>LET(
    purpose,'Loan Tape (S&amp;P)'!R5616,
    IF(purpose="Purchase",1.00,
        IF(purpose="Remortgage",1.00,
            1.20)))</f>
        <v/>
      </c>
      <c r="L5616">
        <f>LET(
    arrears_months,'Loan Tape (S&amp;P)'!AN5616,
    IF(arrears_months=0,1.00,
    IF(arrears_months=1,3.00,
    IF(arrears_months=2,5.00,
    IF(arrears_months=3,8.00,
    IF(arrears_months=4,10.00,
    IF(arrears_months=5,12.00,15.00)))))))</f>
        <v/>
      </c>
      <c r="M5616">
        <f>LET(
    seasoning_years,DATEDIF('Loan Tape (S&amp;P)'!K5616,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16">
        <f>IF(AND('Loan Tape (S&amp;P)'!U5616="Yes",
        'Loan Tape (S&amp;P)'!T5616&lt;&gt;"Yes",
        DATEDIF('Loan Tape (S&amp;P)'!K5616, TODAY(), "M")&lt;18),
    1.10,
    1.00)</f>
        <v/>
      </c>
      <c r="O5616">
        <f>IF('Loan Tape (S&amp;P)'!T5616="Yes",
    1.35,
    1.00)</f>
        <v/>
      </c>
      <c r="P5616">
        <f>IF('Loan Tape (S&amp;P)'!S5616="Yes",
    1.15,
    1.00)</f>
        <v/>
      </c>
      <c r="Q5616">
        <f>IF('Loan Tape (S&amp;P)'!V5616="Yes",
    1.20,
    1.00)</f>
        <v/>
      </c>
      <c r="T5616">
        <f>LET(
    payment_method,'Loan Tape (S&amp;P)'!P5616,
    occupancy,'Loan Tape (S&amp;P)'!N5616,
    maturity_date,'Loan Tape (S&amp;P)'!L5616,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17">
      <c r="J5617">
        <f>LET(
    lien,'Loan Tape (S&amp;P)'!Q5617,
    IF(lien="First",1.00,
        IF(lien="Second",1.50,
            1.70)))</f>
        <v/>
      </c>
      <c r="K5617">
        <f>LET(
    purpose,'Loan Tape (S&amp;P)'!R5617,
    IF(purpose="Purchase",1.00,
        IF(purpose="Remortgage",1.00,
            1.20)))</f>
        <v/>
      </c>
      <c r="L5617">
        <f>LET(
    arrears_months,'Loan Tape (S&amp;P)'!AN5617,
    IF(arrears_months=0,1.00,
    IF(arrears_months=1,3.00,
    IF(arrears_months=2,5.00,
    IF(arrears_months=3,8.00,
    IF(arrears_months=4,10.00,
    IF(arrears_months=5,12.00,15.00)))))))</f>
        <v/>
      </c>
      <c r="M5617">
        <f>LET(
    seasoning_years,DATEDIF('Loan Tape (S&amp;P)'!K5617,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17">
        <f>IF(AND('Loan Tape (S&amp;P)'!U5617="Yes",
        'Loan Tape (S&amp;P)'!T5617&lt;&gt;"Yes",
        DATEDIF('Loan Tape (S&amp;P)'!K5617, TODAY(), "M")&lt;18),
    1.10,
    1.00)</f>
        <v/>
      </c>
      <c r="O5617">
        <f>IF('Loan Tape (S&amp;P)'!T5617="Yes",
    1.35,
    1.00)</f>
        <v/>
      </c>
      <c r="P5617">
        <f>IF('Loan Tape (S&amp;P)'!S5617="Yes",
    1.15,
    1.00)</f>
        <v/>
      </c>
      <c r="Q5617">
        <f>IF('Loan Tape (S&amp;P)'!V5617="Yes",
    1.20,
    1.00)</f>
        <v/>
      </c>
      <c r="T5617">
        <f>LET(
    payment_method,'Loan Tape (S&amp;P)'!P5617,
    occupancy,'Loan Tape (S&amp;P)'!N5617,
    maturity_date,'Loan Tape (S&amp;P)'!L5617,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18">
      <c r="J5618">
        <f>LET(
    lien,'Loan Tape (S&amp;P)'!Q5618,
    IF(lien="First",1.00,
        IF(lien="Second",1.50,
            1.70)))</f>
        <v/>
      </c>
      <c r="K5618">
        <f>LET(
    purpose,'Loan Tape (S&amp;P)'!R5618,
    IF(purpose="Purchase",1.00,
        IF(purpose="Remortgage",1.00,
            1.20)))</f>
        <v/>
      </c>
      <c r="L5618">
        <f>LET(
    arrears_months,'Loan Tape (S&amp;P)'!AN5618,
    IF(arrears_months=0,1.00,
    IF(arrears_months=1,3.00,
    IF(arrears_months=2,5.00,
    IF(arrears_months=3,8.00,
    IF(arrears_months=4,10.00,
    IF(arrears_months=5,12.00,15.00)))))))</f>
        <v/>
      </c>
      <c r="M5618">
        <f>LET(
    seasoning_years,DATEDIF('Loan Tape (S&amp;P)'!K5618,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18">
        <f>IF(AND('Loan Tape (S&amp;P)'!U5618="Yes",
        'Loan Tape (S&amp;P)'!T5618&lt;&gt;"Yes",
        DATEDIF('Loan Tape (S&amp;P)'!K5618, TODAY(), "M")&lt;18),
    1.10,
    1.00)</f>
        <v/>
      </c>
      <c r="O5618">
        <f>IF('Loan Tape (S&amp;P)'!T5618="Yes",
    1.35,
    1.00)</f>
        <v/>
      </c>
      <c r="P5618">
        <f>IF('Loan Tape (S&amp;P)'!S5618="Yes",
    1.15,
    1.00)</f>
        <v/>
      </c>
      <c r="Q5618">
        <f>IF('Loan Tape (S&amp;P)'!V5618="Yes",
    1.20,
    1.00)</f>
        <v/>
      </c>
      <c r="T5618">
        <f>LET(
    payment_method,'Loan Tape (S&amp;P)'!P5618,
    occupancy,'Loan Tape (S&amp;P)'!N5618,
    maturity_date,'Loan Tape (S&amp;P)'!L5618,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19">
      <c r="J5619">
        <f>LET(
    lien,'Loan Tape (S&amp;P)'!Q5619,
    IF(lien="First",1.00,
        IF(lien="Second",1.50,
            1.70)))</f>
        <v/>
      </c>
      <c r="K5619">
        <f>LET(
    purpose,'Loan Tape (S&amp;P)'!R5619,
    IF(purpose="Purchase",1.00,
        IF(purpose="Remortgage",1.00,
            1.20)))</f>
        <v/>
      </c>
      <c r="L5619">
        <f>LET(
    arrears_months,'Loan Tape (S&amp;P)'!AN5619,
    IF(arrears_months=0,1.00,
    IF(arrears_months=1,3.00,
    IF(arrears_months=2,5.00,
    IF(arrears_months=3,8.00,
    IF(arrears_months=4,10.00,
    IF(arrears_months=5,12.00,15.00)))))))</f>
        <v/>
      </c>
      <c r="M5619">
        <f>LET(
    seasoning_years,DATEDIF('Loan Tape (S&amp;P)'!K5619,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19">
        <f>IF(AND('Loan Tape (S&amp;P)'!U5619="Yes",
        'Loan Tape (S&amp;P)'!T5619&lt;&gt;"Yes",
        DATEDIF('Loan Tape (S&amp;P)'!K5619, TODAY(), "M")&lt;18),
    1.10,
    1.00)</f>
        <v/>
      </c>
      <c r="O5619">
        <f>IF('Loan Tape (S&amp;P)'!T5619="Yes",
    1.35,
    1.00)</f>
        <v/>
      </c>
      <c r="P5619">
        <f>IF('Loan Tape (S&amp;P)'!S5619="Yes",
    1.15,
    1.00)</f>
        <v/>
      </c>
      <c r="Q5619">
        <f>IF('Loan Tape (S&amp;P)'!V5619="Yes",
    1.20,
    1.00)</f>
        <v/>
      </c>
      <c r="T5619">
        <f>LET(
    payment_method,'Loan Tape (S&amp;P)'!P5619,
    occupancy,'Loan Tape (S&amp;P)'!N5619,
    maturity_date,'Loan Tape (S&amp;P)'!L5619,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20">
      <c r="J5620">
        <f>LET(
    lien,'Loan Tape (S&amp;P)'!Q5620,
    IF(lien="First",1.00,
        IF(lien="Second",1.50,
            1.70)))</f>
        <v/>
      </c>
      <c r="K5620">
        <f>LET(
    purpose,'Loan Tape (S&amp;P)'!R5620,
    IF(purpose="Purchase",1.00,
        IF(purpose="Remortgage",1.00,
            1.20)))</f>
        <v/>
      </c>
      <c r="L5620">
        <f>LET(
    arrears_months,'Loan Tape (S&amp;P)'!AN5620,
    IF(arrears_months=0,1.00,
    IF(arrears_months=1,3.00,
    IF(arrears_months=2,5.00,
    IF(arrears_months=3,8.00,
    IF(arrears_months=4,10.00,
    IF(arrears_months=5,12.00,15.00)))))))</f>
        <v/>
      </c>
      <c r="M5620">
        <f>LET(
    seasoning_years,DATEDIF('Loan Tape (S&amp;P)'!K5620,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20">
        <f>IF(AND('Loan Tape (S&amp;P)'!U5620="Yes",
        'Loan Tape (S&amp;P)'!T5620&lt;&gt;"Yes",
        DATEDIF('Loan Tape (S&amp;P)'!K5620, TODAY(), "M")&lt;18),
    1.10,
    1.00)</f>
        <v/>
      </c>
      <c r="O5620">
        <f>IF('Loan Tape (S&amp;P)'!T5620="Yes",
    1.35,
    1.00)</f>
        <v/>
      </c>
      <c r="P5620">
        <f>IF('Loan Tape (S&amp;P)'!S5620="Yes",
    1.15,
    1.00)</f>
        <v/>
      </c>
      <c r="Q5620">
        <f>IF('Loan Tape (S&amp;P)'!V5620="Yes",
    1.20,
    1.00)</f>
        <v/>
      </c>
      <c r="T5620">
        <f>LET(
    payment_method,'Loan Tape (S&amp;P)'!P5620,
    occupancy,'Loan Tape (S&amp;P)'!N5620,
    maturity_date,'Loan Tape (S&amp;P)'!L5620,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21">
      <c r="J5621">
        <f>LET(
    lien,'Loan Tape (S&amp;P)'!Q5621,
    IF(lien="First",1.00,
        IF(lien="Second",1.50,
            1.70)))</f>
        <v/>
      </c>
      <c r="K5621">
        <f>LET(
    purpose,'Loan Tape (S&amp;P)'!R5621,
    IF(purpose="Purchase",1.00,
        IF(purpose="Remortgage",1.00,
            1.20)))</f>
        <v/>
      </c>
      <c r="L5621">
        <f>LET(
    arrears_months,'Loan Tape (S&amp;P)'!AN5621,
    IF(arrears_months=0,1.00,
    IF(arrears_months=1,3.00,
    IF(arrears_months=2,5.00,
    IF(arrears_months=3,8.00,
    IF(arrears_months=4,10.00,
    IF(arrears_months=5,12.00,15.00)))))))</f>
        <v/>
      </c>
      <c r="M5621">
        <f>LET(
    seasoning_years,DATEDIF('Loan Tape (S&amp;P)'!K5621,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21">
        <f>IF(AND('Loan Tape (S&amp;P)'!U5621="Yes",
        'Loan Tape (S&amp;P)'!T5621&lt;&gt;"Yes",
        DATEDIF('Loan Tape (S&amp;P)'!K5621, TODAY(), "M")&lt;18),
    1.10,
    1.00)</f>
        <v/>
      </c>
      <c r="O5621">
        <f>IF('Loan Tape (S&amp;P)'!T5621="Yes",
    1.35,
    1.00)</f>
        <v/>
      </c>
      <c r="P5621">
        <f>IF('Loan Tape (S&amp;P)'!S5621="Yes",
    1.15,
    1.00)</f>
        <v/>
      </c>
      <c r="Q5621">
        <f>IF('Loan Tape (S&amp;P)'!V5621="Yes",
    1.20,
    1.00)</f>
        <v/>
      </c>
      <c r="T5621">
        <f>LET(
    payment_method,'Loan Tape (S&amp;P)'!P5621,
    occupancy,'Loan Tape (S&amp;P)'!N5621,
    maturity_date,'Loan Tape (S&amp;P)'!L5621,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22">
      <c r="J5622">
        <f>LET(
    lien,'Loan Tape (S&amp;P)'!Q5622,
    IF(lien="First",1.00,
        IF(lien="Second",1.50,
            1.70)))</f>
        <v/>
      </c>
      <c r="K5622">
        <f>LET(
    purpose,'Loan Tape (S&amp;P)'!R5622,
    IF(purpose="Purchase",1.00,
        IF(purpose="Remortgage",1.00,
            1.20)))</f>
        <v/>
      </c>
      <c r="L5622">
        <f>LET(
    arrears_months,'Loan Tape (S&amp;P)'!AN5622,
    IF(arrears_months=0,1.00,
    IF(arrears_months=1,3.00,
    IF(arrears_months=2,5.00,
    IF(arrears_months=3,8.00,
    IF(arrears_months=4,10.00,
    IF(arrears_months=5,12.00,15.00)))))))</f>
        <v/>
      </c>
      <c r="M5622">
        <f>LET(
    seasoning_years,DATEDIF('Loan Tape (S&amp;P)'!K5622,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22">
        <f>IF(AND('Loan Tape (S&amp;P)'!U5622="Yes",
        'Loan Tape (S&amp;P)'!T5622&lt;&gt;"Yes",
        DATEDIF('Loan Tape (S&amp;P)'!K5622, TODAY(), "M")&lt;18),
    1.10,
    1.00)</f>
        <v/>
      </c>
      <c r="O5622">
        <f>IF('Loan Tape (S&amp;P)'!T5622="Yes",
    1.35,
    1.00)</f>
        <v/>
      </c>
      <c r="P5622">
        <f>IF('Loan Tape (S&amp;P)'!S5622="Yes",
    1.15,
    1.00)</f>
        <v/>
      </c>
      <c r="Q5622">
        <f>IF('Loan Tape (S&amp;P)'!V5622="Yes",
    1.20,
    1.00)</f>
        <v/>
      </c>
      <c r="T5622">
        <f>LET(
    payment_method,'Loan Tape (S&amp;P)'!P5622,
    occupancy,'Loan Tape (S&amp;P)'!N5622,
    maturity_date,'Loan Tape (S&amp;P)'!L5622,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23">
      <c r="J5623">
        <f>LET(
    lien,'Loan Tape (S&amp;P)'!Q5623,
    IF(lien="First",1.00,
        IF(lien="Second",1.50,
            1.70)))</f>
        <v/>
      </c>
      <c r="K5623">
        <f>LET(
    purpose,'Loan Tape (S&amp;P)'!R5623,
    IF(purpose="Purchase",1.00,
        IF(purpose="Remortgage",1.00,
            1.20)))</f>
        <v/>
      </c>
      <c r="L5623">
        <f>LET(
    arrears_months,'Loan Tape (S&amp;P)'!AN5623,
    IF(arrears_months=0,1.00,
    IF(arrears_months=1,3.00,
    IF(arrears_months=2,5.00,
    IF(arrears_months=3,8.00,
    IF(arrears_months=4,10.00,
    IF(arrears_months=5,12.00,15.00)))))))</f>
        <v/>
      </c>
      <c r="M5623">
        <f>LET(
    seasoning_years,DATEDIF('Loan Tape (S&amp;P)'!K5623,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23">
        <f>IF(AND('Loan Tape (S&amp;P)'!U5623="Yes",
        'Loan Tape (S&amp;P)'!T5623&lt;&gt;"Yes",
        DATEDIF('Loan Tape (S&amp;P)'!K5623, TODAY(), "M")&lt;18),
    1.10,
    1.00)</f>
        <v/>
      </c>
      <c r="O5623">
        <f>IF('Loan Tape (S&amp;P)'!T5623="Yes",
    1.35,
    1.00)</f>
        <v/>
      </c>
      <c r="P5623">
        <f>IF('Loan Tape (S&amp;P)'!S5623="Yes",
    1.15,
    1.00)</f>
        <v/>
      </c>
      <c r="Q5623">
        <f>IF('Loan Tape (S&amp;P)'!V5623="Yes",
    1.20,
    1.00)</f>
        <v/>
      </c>
      <c r="T5623">
        <f>LET(
    payment_method,'Loan Tape (S&amp;P)'!P5623,
    occupancy,'Loan Tape (S&amp;P)'!N5623,
    maturity_date,'Loan Tape (S&amp;P)'!L5623,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24">
      <c r="J5624">
        <f>LET(
    lien,'Loan Tape (S&amp;P)'!Q5624,
    IF(lien="First",1.00,
        IF(lien="Second",1.50,
            1.70)))</f>
        <v/>
      </c>
      <c r="K5624">
        <f>LET(
    purpose,'Loan Tape (S&amp;P)'!R5624,
    IF(purpose="Purchase",1.00,
        IF(purpose="Remortgage",1.00,
            1.20)))</f>
        <v/>
      </c>
      <c r="L5624">
        <f>LET(
    arrears_months,'Loan Tape (S&amp;P)'!AN5624,
    IF(arrears_months=0,1.00,
    IF(arrears_months=1,3.00,
    IF(arrears_months=2,5.00,
    IF(arrears_months=3,8.00,
    IF(arrears_months=4,10.00,
    IF(arrears_months=5,12.00,15.00)))))))</f>
        <v/>
      </c>
      <c r="M5624">
        <f>LET(
    seasoning_years,DATEDIF('Loan Tape (S&amp;P)'!K5624,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24">
        <f>IF(AND('Loan Tape (S&amp;P)'!U5624="Yes",
        'Loan Tape (S&amp;P)'!T5624&lt;&gt;"Yes",
        DATEDIF('Loan Tape (S&amp;P)'!K5624, TODAY(), "M")&lt;18),
    1.10,
    1.00)</f>
        <v/>
      </c>
      <c r="O5624">
        <f>IF('Loan Tape (S&amp;P)'!T5624="Yes",
    1.35,
    1.00)</f>
        <v/>
      </c>
      <c r="P5624">
        <f>IF('Loan Tape (S&amp;P)'!S5624="Yes",
    1.15,
    1.00)</f>
        <v/>
      </c>
      <c r="Q5624">
        <f>IF('Loan Tape (S&amp;P)'!V5624="Yes",
    1.20,
    1.00)</f>
        <v/>
      </c>
      <c r="T5624">
        <f>LET(
    payment_method,'Loan Tape (S&amp;P)'!P5624,
    occupancy,'Loan Tape (S&amp;P)'!N5624,
    maturity_date,'Loan Tape (S&amp;P)'!L5624,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25">
      <c r="J5625">
        <f>LET(
    lien,'Loan Tape (S&amp;P)'!Q5625,
    IF(lien="First",1.00,
        IF(lien="Second",1.50,
            1.70)))</f>
        <v/>
      </c>
      <c r="K5625">
        <f>LET(
    purpose,'Loan Tape (S&amp;P)'!R5625,
    IF(purpose="Purchase",1.00,
        IF(purpose="Remortgage",1.00,
            1.20)))</f>
        <v/>
      </c>
      <c r="L5625">
        <f>LET(
    arrears_months,'Loan Tape (S&amp;P)'!AN5625,
    IF(arrears_months=0,1.00,
    IF(arrears_months=1,3.00,
    IF(arrears_months=2,5.00,
    IF(arrears_months=3,8.00,
    IF(arrears_months=4,10.00,
    IF(arrears_months=5,12.00,15.00)))))))</f>
        <v/>
      </c>
      <c r="M5625">
        <f>LET(
    seasoning_years,DATEDIF('Loan Tape (S&amp;P)'!K5625,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25">
        <f>IF(AND('Loan Tape (S&amp;P)'!U5625="Yes",
        'Loan Tape (S&amp;P)'!T5625&lt;&gt;"Yes",
        DATEDIF('Loan Tape (S&amp;P)'!K5625, TODAY(), "M")&lt;18),
    1.10,
    1.00)</f>
        <v/>
      </c>
      <c r="O5625">
        <f>IF('Loan Tape (S&amp;P)'!T5625="Yes",
    1.35,
    1.00)</f>
        <v/>
      </c>
      <c r="P5625">
        <f>IF('Loan Tape (S&amp;P)'!S5625="Yes",
    1.15,
    1.00)</f>
        <v/>
      </c>
      <c r="Q5625">
        <f>IF('Loan Tape (S&amp;P)'!V5625="Yes",
    1.20,
    1.00)</f>
        <v/>
      </c>
      <c r="T5625">
        <f>LET(
    payment_method,'Loan Tape (S&amp;P)'!P5625,
    occupancy,'Loan Tape (S&amp;P)'!N5625,
    maturity_date,'Loan Tape (S&amp;P)'!L5625,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26">
      <c r="J5626">
        <f>LET(
    lien,'Loan Tape (S&amp;P)'!Q5626,
    IF(lien="First",1.00,
        IF(lien="Second",1.50,
            1.70)))</f>
        <v/>
      </c>
      <c r="K5626">
        <f>LET(
    purpose,'Loan Tape (S&amp;P)'!R5626,
    IF(purpose="Purchase",1.00,
        IF(purpose="Remortgage",1.00,
            1.20)))</f>
        <v/>
      </c>
      <c r="L5626">
        <f>LET(
    arrears_months,'Loan Tape (S&amp;P)'!AN5626,
    IF(arrears_months=0,1.00,
    IF(arrears_months=1,3.00,
    IF(arrears_months=2,5.00,
    IF(arrears_months=3,8.00,
    IF(arrears_months=4,10.00,
    IF(arrears_months=5,12.00,15.00)))))))</f>
        <v/>
      </c>
      <c r="M5626">
        <f>LET(
    seasoning_years,DATEDIF('Loan Tape (S&amp;P)'!K5626,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26">
        <f>IF(AND('Loan Tape (S&amp;P)'!U5626="Yes",
        'Loan Tape (S&amp;P)'!T5626&lt;&gt;"Yes",
        DATEDIF('Loan Tape (S&amp;P)'!K5626, TODAY(), "M")&lt;18),
    1.10,
    1.00)</f>
        <v/>
      </c>
      <c r="O5626">
        <f>IF('Loan Tape (S&amp;P)'!T5626="Yes",
    1.35,
    1.00)</f>
        <v/>
      </c>
      <c r="P5626">
        <f>IF('Loan Tape (S&amp;P)'!S5626="Yes",
    1.15,
    1.00)</f>
        <v/>
      </c>
      <c r="Q5626">
        <f>IF('Loan Tape (S&amp;P)'!V5626="Yes",
    1.20,
    1.00)</f>
        <v/>
      </c>
      <c r="T5626">
        <f>LET(
    payment_method,'Loan Tape (S&amp;P)'!P5626,
    occupancy,'Loan Tape (S&amp;P)'!N5626,
    maturity_date,'Loan Tape (S&amp;P)'!L5626,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27">
      <c r="J5627">
        <f>LET(
    lien,'Loan Tape (S&amp;P)'!Q5627,
    IF(lien="First",1.00,
        IF(lien="Second",1.50,
            1.70)))</f>
        <v/>
      </c>
      <c r="K5627">
        <f>LET(
    purpose,'Loan Tape (S&amp;P)'!R5627,
    IF(purpose="Purchase",1.00,
        IF(purpose="Remortgage",1.00,
            1.20)))</f>
        <v/>
      </c>
      <c r="L5627">
        <f>LET(
    arrears_months,'Loan Tape (S&amp;P)'!AN5627,
    IF(arrears_months=0,1.00,
    IF(arrears_months=1,3.00,
    IF(arrears_months=2,5.00,
    IF(arrears_months=3,8.00,
    IF(arrears_months=4,10.00,
    IF(arrears_months=5,12.00,15.00)))))))</f>
        <v/>
      </c>
      <c r="M5627">
        <f>LET(
    seasoning_years,DATEDIF('Loan Tape (S&amp;P)'!K5627,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27">
        <f>IF(AND('Loan Tape (S&amp;P)'!U5627="Yes",
        'Loan Tape (S&amp;P)'!T5627&lt;&gt;"Yes",
        DATEDIF('Loan Tape (S&amp;P)'!K5627, TODAY(), "M")&lt;18),
    1.10,
    1.00)</f>
        <v/>
      </c>
      <c r="O5627">
        <f>IF('Loan Tape (S&amp;P)'!T5627="Yes",
    1.35,
    1.00)</f>
        <v/>
      </c>
      <c r="P5627">
        <f>IF('Loan Tape (S&amp;P)'!S5627="Yes",
    1.15,
    1.00)</f>
        <v/>
      </c>
      <c r="Q5627">
        <f>IF('Loan Tape (S&amp;P)'!V5627="Yes",
    1.20,
    1.00)</f>
        <v/>
      </c>
      <c r="T5627">
        <f>LET(
    payment_method,'Loan Tape (S&amp;P)'!P5627,
    occupancy,'Loan Tape (S&amp;P)'!N5627,
    maturity_date,'Loan Tape (S&amp;P)'!L5627,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28">
      <c r="J5628">
        <f>LET(
    lien,'Loan Tape (S&amp;P)'!Q5628,
    IF(lien="First",1.00,
        IF(lien="Second",1.50,
            1.70)))</f>
        <v/>
      </c>
      <c r="K5628">
        <f>LET(
    purpose,'Loan Tape (S&amp;P)'!R5628,
    IF(purpose="Purchase",1.00,
        IF(purpose="Remortgage",1.00,
            1.20)))</f>
        <v/>
      </c>
      <c r="L5628">
        <f>LET(
    arrears_months,'Loan Tape (S&amp;P)'!AN5628,
    IF(arrears_months=0,1.00,
    IF(arrears_months=1,3.00,
    IF(arrears_months=2,5.00,
    IF(arrears_months=3,8.00,
    IF(arrears_months=4,10.00,
    IF(arrears_months=5,12.00,15.00)))))))</f>
        <v/>
      </c>
      <c r="M5628">
        <f>LET(
    seasoning_years,DATEDIF('Loan Tape (S&amp;P)'!K5628,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28">
        <f>IF(AND('Loan Tape (S&amp;P)'!U5628="Yes",
        'Loan Tape (S&amp;P)'!T5628&lt;&gt;"Yes",
        DATEDIF('Loan Tape (S&amp;P)'!K5628, TODAY(), "M")&lt;18),
    1.10,
    1.00)</f>
        <v/>
      </c>
      <c r="O5628">
        <f>IF('Loan Tape (S&amp;P)'!T5628="Yes",
    1.35,
    1.00)</f>
        <v/>
      </c>
      <c r="P5628">
        <f>IF('Loan Tape (S&amp;P)'!S5628="Yes",
    1.15,
    1.00)</f>
        <v/>
      </c>
      <c r="Q5628">
        <f>IF('Loan Tape (S&amp;P)'!V5628="Yes",
    1.20,
    1.00)</f>
        <v/>
      </c>
      <c r="T5628">
        <f>LET(
    payment_method,'Loan Tape (S&amp;P)'!P5628,
    occupancy,'Loan Tape (S&amp;P)'!N5628,
    maturity_date,'Loan Tape (S&amp;P)'!L5628,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29">
      <c r="J5629">
        <f>LET(
    lien,'Loan Tape (S&amp;P)'!Q5629,
    IF(lien="First",1.00,
        IF(lien="Second",1.50,
            1.70)))</f>
        <v/>
      </c>
      <c r="K5629">
        <f>LET(
    purpose,'Loan Tape (S&amp;P)'!R5629,
    IF(purpose="Purchase",1.00,
        IF(purpose="Remortgage",1.00,
            1.20)))</f>
        <v/>
      </c>
      <c r="L5629">
        <f>LET(
    arrears_months,'Loan Tape (S&amp;P)'!AN5629,
    IF(arrears_months=0,1.00,
    IF(arrears_months=1,3.00,
    IF(arrears_months=2,5.00,
    IF(arrears_months=3,8.00,
    IF(arrears_months=4,10.00,
    IF(arrears_months=5,12.00,15.00)))))))</f>
        <v/>
      </c>
      <c r="M5629">
        <f>LET(
    seasoning_years,DATEDIF('Loan Tape (S&amp;P)'!K5629,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29">
        <f>IF(AND('Loan Tape (S&amp;P)'!U5629="Yes",
        'Loan Tape (S&amp;P)'!T5629&lt;&gt;"Yes",
        DATEDIF('Loan Tape (S&amp;P)'!K5629, TODAY(), "M")&lt;18),
    1.10,
    1.00)</f>
        <v/>
      </c>
      <c r="O5629">
        <f>IF('Loan Tape (S&amp;P)'!T5629="Yes",
    1.35,
    1.00)</f>
        <v/>
      </c>
      <c r="P5629">
        <f>IF('Loan Tape (S&amp;P)'!S5629="Yes",
    1.15,
    1.00)</f>
        <v/>
      </c>
      <c r="Q5629">
        <f>IF('Loan Tape (S&amp;P)'!V5629="Yes",
    1.20,
    1.00)</f>
        <v/>
      </c>
      <c r="T5629">
        <f>LET(
    payment_method,'Loan Tape (S&amp;P)'!P5629,
    occupancy,'Loan Tape (S&amp;P)'!N5629,
    maturity_date,'Loan Tape (S&amp;P)'!L5629,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30">
      <c r="J5630">
        <f>LET(
    lien,'Loan Tape (S&amp;P)'!Q5630,
    IF(lien="First",1.00,
        IF(lien="Second",1.50,
            1.70)))</f>
        <v/>
      </c>
      <c r="K5630">
        <f>LET(
    purpose,'Loan Tape (S&amp;P)'!R5630,
    IF(purpose="Purchase",1.00,
        IF(purpose="Remortgage",1.00,
            1.20)))</f>
        <v/>
      </c>
      <c r="L5630">
        <f>LET(
    arrears_months,'Loan Tape (S&amp;P)'!AN5630,
    IF(arrears_months=0,1.00,
    IF(arrears_months=1,3.00,
    IF(arrears_months=2,5.00,
    IF(arrears_months=3,8.00,
    IF(arrears_months=4,10.00,
    IF(arrears_months=5,12.00,15.00)))))))</f>
        <v/>
      </c>
      <c r="M5630">
        <f>LET(
    seasoning_years,DATEDIF('Loan Tape (S&amp;P)'!K5630,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30">
        <f>IF(AND('Loan Tape (S&amp;P)'!U5630="Yes",
        'Loan Tape (S&amp;P)'!T5630&lt;&gt;"Yes",
        DATEDIF('Loan Tape (S&amp;P)'!K5630, TODAY(), "M")&lt;18),
    1.10,
    1.00)</f>
        <v/>
      </c>
      <c r="O5630">
        <f>IF('Loan Tape (S&amp;P)'!T5630="Yes",
    1.35,
    1.00)</f>
        <v/>
      </c>
      <c r="P5630">
        <f>IF('Loan Tape (S&amp;P)'!S5630="Yes",
    1.15,
    1.00)</f>
        <v/>
      </c>
      <c r="Q5630">
        <f>IF('Loan Tape (S&amp;P)'!V5630="Yes",
    1.20,
    1.00)</f>
        <v/>
      </c>
      <c r="T5630">
        <f>LET(
    payment_method,'Loan Tape (S&amp;P)'!P5630,
    occupancy,'Loan Tape (S&amp;P)'!N5630,
    maturity_date,'Loan Tape (S&amp;P)'!L5630,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31">
      <c r="J5631">
        <f>LET(
    lien,'Loan Tape (S&amp;P)'!Q5631,
    IF(lien="First",1.00,
        IF(lien="Second",1.50,
            1.70)))</f>
        <v/>
      </c>
      <c r="K5631">
        <f>LET(
    purpose,'Loan Tape (S&amp;P)'!R5631,
    IF(purpose="Purchase",1.00,
        IF(purpose="Remortgage",1.00,
            1.20)))</f>
        <v/>
      </c>
      <c r="L5631">
        <f>LET(
    arrears_months,'Loan Tape (S&amp;P)'!AN5631,
    IF(arrears_months=0,1.00,
    IF(arrears_months=1,3.00,
    IF(arrears_months=2,5.00,
    IF(arrears_months=3,8.00,
    IF(arrears_months=4,10.00,
    IF(arrears_months=5,12.00,15.00)))))))</f>
        <v/>
      </c>
      <c r="M5631">
        <f>LET(
    seasoning_years,DATEDIF('Loan Tape (S&amp;P)'!K5631,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31">
        <f>IF(AND('Loan Tape (S&amp;P)'!U5631="Yes",
        'Loan Tape (S&amp;P)'!T5631&lt;&gt;"Yes",
        DATEDIF('Loan Tape (S&amp;P)'!K5631, TODAY(), "M")&lt;18),
    1.10,
    1.00)</f>
        <v/>
      </c>
      <c r="O5631">
        <f>IF('Loan Tape (S&amp;P)'!T5631="Yes",
    1.35,
    1.00)</f>
        <v/>
      </c>
      <c r="P5631">
        <f>IF('Loan Tape (S&amp;P)'!S5631="Yes",
    1.15,
    1.00)</f>
        <v/>
      </c>
      <c r="Q5631">
        <f>IF('Loan Tape (S&amp;P)'!V5631="Yes",
    1.20,
    1.00)</f>
        <v/>
      </c>
      <c r="T5631">
        <f>LET(
    payment_method,'Loan Tape (S&amp;P)'!P5631,
    occupancy,'Loan Tape (S&amp;P)'!N5631,
    maturity_date,'Loan Tape (S&amp;P)'!L5631,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32">
      <c r="J5632">
        <f>LET(
    lien,'Loan Tape (S&amp;P)'!Q5632,
    IF(lien="First",1.00,
        IF(lien="Second",1.50,
            1.70)))</f>
        <v/>
      </c>
      <c r="K5632">
        <f>LET(
    purpose,'Loan Tape (S&amp;P)'!R5632,
    IF(purpose="Purchase",1.00,
        IF(purpose="Remortgage",1.00,
            1.20)))</f>
        <v/>
      </c>
      <c r="L5632">
        <f>LET(
    arrears_months,'Loan Tape (S&amp;P)'!AN5632,
    IF(arrears_months=0,1.00,
    IF(arrears_months=1,3.00,
    IF(arrears_months=2,5.00,
    IF(arrears_months=3,8.00,
    IF(arrears_months=4,10.00,
    IF(arrears_months=5,12.00,15.00)))))))</f>
        <v/>
      </c>
      <c r="M5632">
        <f>LET(
    seasoning_years,DATEDIF('Loan Tape (S&amp;P)'!K5632,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32">
        <f>IF(AND('Loan Tape (S&amp;P)'!U5632="Yes",
        'Loan Tape (S&amp;P)'!T5632&lt;&gt;"Yes",
        DATEDIF('Loan Tape (S&amp;P)'!K5632, TODAY(), "M")&lt;18),
    1.10,
    1.00)</f>
        <v/>
      </c>
      <c r="O5632">
        <f>IF('Loan Tape (S&amp;P)'!T5632="Yes",
    1.35,
    1.00)</f>
        <v/>
      </c>
      <c r="P5632">
        <f>IF('Loan Tape (S&amp;P)'!S5632="Yes",
    1.15,
    1.00)</f>
        <v/>
      </c>
      <c r="Q5632">
        <f>IF('Loan Tape (S&amp;P)'!V5632="Yes",
    1.20,
    1.00)</f>
        <v/>
      </c>
      <c r="T5632">
        <f>LET(
    payment_method,'Loan Tape (S&amp;P)'!P5632,
    occupancy,'Loan Tape (S&amp;P)'!N5632,
    maturity_date,'Loan Tape (S&amp;P)'!L5632,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33">
      <c r="J5633">
        <f>LET(
    lien,'Loan Tape (S&amp;P)'!Q5633,
    IF(lien="First",1.00,
        IF(lien="Second",1.50,
            1.70)))</f>
        <v/>
      </c>
      <c r="K5633">
        <f>LET(
    purpose,'Loan Tape (S&amp;P)'!R5633,
    IF(purpose="Purchase",1.00,
        IF(purpose="Remortgage",1.00,
            1.20)))</f>
        <v/>
      </c>
      <c r="L5633">
        <f>LET(
    arrears_months,'Loan Tape (S&amp;P)'!AN5633,
    IF(arrears_months=0,1.00,
    IF(arrears_months=1,3.00,
    IF(arrears_months=2,5.00,
    IF(arrears_months=3,8.00,
    IF(arrears_months=4,10.00,
    IF(arrears_months=5,12.00,15.00)))))))</f>
        <v/>
      </c>
      <c r="M5633">
        <f>LET(
    seasoning_years,DATEDIF('Loan Tape (S&amp;P)'!K5633,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33">
        <f>IF(AND('Loan Tape (S&amp;P)'!U5633="Yes",
        'Loan Tape (S&amp;P)'!T5633&lt;&gt;"Yes",
        DATEDIF('Loan Tape (S&amp;P)'!K5633, TODAY(), "M")&lt;18),
    1.10,
    1.00)</f>
        <v/>
      </c>
      <c r="O5633">
        <f>IF('Loan Tape (S&amp;P)'!T5633="Yes",
    1.35,
    1.00)</f>
        <v/>
      </c>
      <c r="P5633">
        <f>IF('Loan Tape (S&amp;P)'!S5633="Yes",
    1.15,
    1.00)</f>
        <v/>
      </c>
      <c r="Q5633">
        <f>IF('Loan Tape (S&amp;P)'!V5633="Yes",
    1.20,
    1.00)</f>
        <v/>
      </c>
      <c r="T5633">
        <f>LET(
    payment_method,'Loan Tape (S&amp;P)'!P5633,
    occupancy,'Loan Tape (S&amp;P)'!N5633,
    maturity_date,'Loan Tape (S&amp;P)'!L5633,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34">
      <c r="J5634">
        <f>LET(
    lien,'Loan Tape (S&amp;P)'!Q5634,
    IF(lien="First",1.00,
        IF(lien="Second",1.50,
            1.70)))</f>
        <v/>
      </c>
      <c r="K5634">
        <f>LET(
    purpose,'Loan Tape (S&amp;P)'!R5634,
    IF(purpose="Purchase",1.00,
        IF(purpose="Remortgage",1.00,
            1.20)))</f>
        <v/>
      </c>
      <c r="L5634">
        <f>LET(
    arrears_months,'Loan Tape (S&amp;P)'!AN5634,
    IF(arrears_months=0,1.00,
    IF(arrears_months=1,3.00,
    IF(arrears_months=2,5.00,
    IF(arrears_months=3,8.00,
    IF(arrears_months=4,10.00,
    IF(arrears_months=5,12.00,15.00)))))))</f>
        <v/>
      </c>
      <c r="M5634">
        <f>LET(
    seasoning_years,DATEDIF('Loan Tape (S&amp;P)'!K5634,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34">
        <f>IF(AND('Loan Tape (S&amp;P)'!U5634="Yes",
        'Loan Tape (S&amp;P)'!T5634&lt;&gt;"Yes",
        DATEDIF('Loan Tape (S&amp;P)'!K5634, TODAY(), "M")&lt;18),
    1.10,
    1.00)</f>
        <v/>
      </c>
      <c r="O5634">
        <f>IF('Loan Tape (S&amp;P)'!T5634="Yes",
    1.35,
    1.00)</f>
        <v/>
      </c>
      <c r="P5634">
        <f>IF('Loan Tape (S&amp;P)'!S5634="Yes",
    1.15,
    1.00)</f>
        <v/>
      </c>
      <c r="Q5634">
        <f>IF('Loan Tape (S&amp;P)'!V5634="Yes",
    1.20,
    1.00)</f>
        <v/>
      </c>
      <c r="T5634">
        <f>LET(
    payment_method,'Loan Tape (S&amp;P)'!P5634,
    occupancy,'Loan Tape (S&amp;P)'!N5634,
    maturity_date,'Loan Tape (S&amp;P)'!L5634,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35">
      <c r="J5635">
        <f>LET(
    lien,'Loan Tape (S&amp;P)'!Q5635,
    IF(lien="First",1.00,
        IF(lien="Second",1.50,
            1.70)))</f>
        <v/>
      </c>
      <c r="K5635">
        <f>LET(
    purpose,'Loan Tape (S&amp;P)'!R5635,
    IF(purpose="Purchase",1.00,
        IF(purpose="Remortgage",1.00,
            1.20)))</f>
        <v/>
      </c>
      <c r="L5635">
        <f>LET(
    arrears_months,'Loan Tape (S&amp;P)'!AN5635,
    IF(arrears_months=0,1.00,
    IF(arrears_months=1,3.00,
    IF(arrears_months=2,5.00,
    IF(arrears_months=3,8.00,
    IF(arrears_months=4,10.00,
    IF(arrears_months=5,12.00,15.00)))))))</f>
        <v/>
      </c>
      <c r="M5635">
        <f>LET(
    seasoning_years,DATEDIF('Loan Tape (S&amp;P)'!K5635,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35">
        <f>IF(AND('Loan Tape (S&amp;P)'!U5635="Yes",
        'Loan Tape (S&amp;P)'!T5635&lt;&gt;"Yes",
        DATEDIF('Loan Tape (S&amp;P)'!K5635, TODAY(), "M")&lt;18),
    1.10,
    1.00)</f>
        <v/>
      </c>
      <c r="O5635">
        <f>IF('Loan Tape (S&amp;P)'!T5635="Yes",
    1.35,
    1.00)</f>
        <v/>
      </c>
      <c r="P5635">
        <f>IF('Loan Tape (S&amp;P)'!S5635="Yes",
    1.15,
    1.00)</f>
        <v/>
      </c>
      <c r="Q5635">
        <f>IF('Loan Tape (S&amp;P)'!V5635="Yes",
    1.20,
    1.00)</f>
        <v/>
      </c>
      <c r="T5635">
        <f>LET(
    payment_method,'Loan Tape (S&amp;P)'!P5635,
    occupancy,'Loan Tape (S&amp;P)'!N5635,
    maturity_date,'Loan Tape (S&amp;P)'!L5635,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36">
      <c r="J5636">
        <f>LET(
    lien,'Loan Tape (S&amp;P)'!Q5636,
    IF(lien="First",1.00,
        IF(lien="Second",1.50,
            1.70)))</f>
        <v/>
      </c>
      <c r="K5636">
        <f>LET(
    purpose,'Loan Tape (S&amp;P)'!R5636,
    IF(purpose="Purchase",1.00,
        IF(purpose="Remortgage",1.00,
            1.20)))</f>
        <v/>
      </c>
      <c r="L5636">
        <f>LET(
    arrears_months,'Loan Tape (S&amp;P)'!AN5636,
    IF(arrears_months=0,1.00,
    IF(arrears_months=1,3.00,
    IF(arrears_months=2,5.00,
    IF(arrears_months=3,8.00,
    IF(arrears_months=4,10.00,
    IF(arrears_months=5,12.00,15.00)))))))</f>
        <v/>
      </c>
      <c r="M5636">
        <f>LET(
    seasoning_years,DATEDIF('Loan Tape (S&amp;P)'!K5636,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36">
        <f>IF(AND('Loan Tape (S&amp;P)'!U5636="Yes",
        'Loan Tape (S&amp;P)'!T5636&lt;&gt;"Yes",
        DATEDIF('Loan Tape (S&amp;P)'!K5636, TODAY(), "M")&lt;18),
    1.10,
    1.00)</f>
        <v/>
      </c>
      <c r="O5636">
        <f>IF('Loan Tape (S&amp;P)'!T5636="Yes",
    1.35,
    1.00)</f>
        <v/>
      </c>
      <c r="P5636">
        <f>IF('Loan Tape (S&amp;P)'!S5636="Yes",
    1.15,
    1.00)</f>
        <v/>
      </c>
      <c r="Q5636">
        <f>IF('Loan Tape (S&amp;P)'!V5636="Yes",
    1.20,
    1.00)</f>
        <v/>
      </c>
      <c r="T5636">
        <f>LET(
    payment_method,'Loan Tape (S&amp;P)'!P5636,
    occupancy,'Loan Tape (S&amp;P)'!N5636,
    maturity_date,'Loan Tape (S&amp;P)'!L5636,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37">
      <c r="J5637">
        <f>LET(
    lien,'Loan Tape (S&amp;P)'!Q5637,
    IF(lien="First",1.00,
        IF(lien="Second",1.50,
            1.70)))</f>
        <v/>
      </c>
      <c r="K5637">
        <f>LET(
    purpose,'Loan Tape (S&amp;P)'!R5637,
    IF(purpose="Purchase",1.00,
        IF(purpose="Remortgage",1.00,
            1.20)))</f>
        <v/>
      </c>
      <c r="L5637">
        <f>LET(
    arrears_months,'Loan Tape (S&amp;P)'!AN5637,
    IF(arrears_months=0,1.00,
    IF(arrears_months=1,3.00,
    IF(arrears_months=2,5.00,
    IF(arrears_months=3,8.00,
    IF(arrears_months=4,10.00,
    IF(arrears_months=5,12.00,15.00)))))))</f>
        <v/>
      </c>
      <c r="M5637">
        <f>LET(
    seasoning_years,DATEDIF('Loan Tape (S&amp;P)'!K5637,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37">
        <f>IF(AND('Loan Tape (S&amp;P)'!U5637="Yes",
        'Loan Tape (S&amp;P)'!T5637&lt;&gt;"Yes",
        DATEDIF('Loan Tape (S&amp;P)'!K5637, TODAY(), "M")&lt;18),
    1.10,
    1.00)</f>
        <v/>
      </c>
      <c r="O5637">
        <f>IF('Loan Tape (S&amp;P)'!T5637="Yes",
    1.35,
    1.00)</f>
        <v/>
      </c>
      <c r="P5637">
        <f>IF('Loan Tape (S&amp;P)'!S5637="Yes",
    1.15,
    1.00)</f>
        <v/>
      </c>
      <c r="Q5637">
        <f>IF('Loan Tape (S&amp;P)'!V5637="Yes",
    1.20,
    1.00)</f>
        <v/>
      </c>
      <c r="T5637">
        <f>LET(
    payment_method,'Loan Tape (S&amp;P)'!P5637,
    occupancy,'Loan Tape (S&amp;P)'!N5637,
    maturity_date,'Loan Tape (S&amp;P)'!L5637,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38">
      <c r="J5638">
        <f>LET(
    lien,'Loan Tape (S&amp;P)'!Q5638,
    IF(lien="First",1.00,
        IF(lien="Second",1.50,
            1.70)))</f>
        <v/>
      </c>
      <c r="K5638">
        <f>LET(
    purpose,'Loan Tape (S&amp;P)'!R5638,
    IF(purpose="Purchase",1.00,
        IF(purpose="Remortgage",1.00,
            1.20)))</f>
        <v/>
      </c>
      <c r="L5638">
        <f>LET(
    arrears_months,'Loan Tape (S&amp;P)'!AN5638,
    IF(arrears_months=0,1.00,
    IF(arrears_months=1,3.00,
    IF(arrears_months=2,5.00,
    IF(arrears_months=3,8.00,
    IF(arrears_months=4,10.00,
    IF(arrears_months=5,12.00,15.00)))))))</f>
        <v/>
      </c>
      <c r="M5638">
        <f>LET(
    seasoning_years,DATEDIF('Loan Tape (S&amp;P)'!K5638,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38">
        <f>IF(AND('Loan Tape (S&amp;P)'!U5638="Yes",
        'Loan Tape (S&amp;P)'!T5638&lt;&gt;"Yes",
        DATEDIF('Loan Tape (S&amp;P)'!K5638, TODAY(), "M")&lt;18),
    1.10,
    1.00)</f>
        <v/>
      </c>
      <c r="O5638">
        <f>IF('Loan Tape (S&amp;P)'!T5638="Yes",
    1.35,
    1.00)</f>
        <v/>
      </c>
      <c r="P5638">
        <f>IF('Loan Tape (S&amp;P)'!S5638="Yes",
    1.15,
    1.00)</f>
        <v/>
      </c>
      <c r="Q5638">
        <f>IF('Loan Tape (S&amp;P)'!V5638="Yes",
    1.20,
    1.00)</f>
        <v/>
      </c>
      <c r="T5638">
        <f>LET(
    payment_method,'Loan Tape (S&amp;P)'!P5638,
    occupancy,'Loan Tape (S&amp;P)'!N5638,
    maturity_date,'Loan Tape (S&amp;P)'!L5638,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39">
      <c r="J5639">
        <f>LET(
    lien,'Loan Tape (S&amp;P)'!Q5639,
    IF(lien="First",1.00,
        IF(lien="Second",1.50,
            1.70)))</f>
        <v/>
      </c>
      <c r="K5639">
        <f>LET(
    purpose,'Loan Tape (S&amp;P)'!R5639,
    IF(purpose="Purchase",1.00,
        IF(purpose="Remortgage",1.00,
            1.20)))</f>
        <v/>
      </c>
      <c r="L5639">
        <f>LET(
    arrears_months,'Loan Tape (S&amp;P)'!AN5639,
    IF(arrears_months=0,1.00,
    IF(arrears_months=1,3.00,
    IF(arrears_months=2,5.00,
    IF(arrears_months=3,8.00,
    IF(arrears_months=4,10.00,
    IF(arrears_months=5,12.00,15.00)))))))</f>
        <v/>
      </c>
      <c r="M5639">
        <f>LET(
    seasoning_years,DATEDIF('Loan Tape (S&amp;P)'!K5639,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39">
        <f>IF(AND('Loan Tape (S&amp;P)'!U5639="Yes",
        'Loan Tape (S&amp;P)'!T5639&lt;&gt;"Yes",
        DATEDIF('Loan Tape (S&amp;P)'!K5639, TODAY(), "M")&lt;18),
    1.10,
    1.00)</f>
        <v/>
      </c>
      <c r="O5639">
        <f>IF('Loan Tape (S&amp;P)'!T5639="Yes",
    1.35,
    1.00)</f>
        <v/>
      </c>
      <c r="P5639">
        <f>IF('Loan Tape (S&amp;P)'!S5639="Yes",
    1.15,
    1.00)</f>
        <v/>
      </c>
      <c r="Q5639">
        <f>IF('Loan Tape (S&amp;P)'!V5639="Yes",
    1.20,
    1.00)</f>
        <v/>
      </c>
      <c r="T5639">
        <f>LET(
    payment_method,'Loan Tape (S&amp;P)'!P5639,
    occupancy,'Loan Tape (S&amp;P)'!N5639,
    maturity_date,'Loan Tape (S&amp;P)'!L5639,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40">
      <c r="J5640">
        <f>LET(
    lien,'Loan Tape (S&amp;P)'!Q5640,
    IF(lien="First",1.00,
        IF(lien="Second",1.50,
            1.70)))</f>
        <v/>
      </c>
      <c r="K5640">
        <f>LET(
    purpose,'Loan Tape (S&amp;P)'!R5640,
    IF(purpose="Purchase",1.00,
        IF(purpose="Remortgage",1.00,
            1.20)))</f>
        <v/>
      </c>
      <c r="L5640">
        <f>LET(
    arrears_months,'Loan Tape (S&amp;P)'!AN5640,
    IF(arrears_months=0,1.00,
    IF(arrears_months=1,3.00,
    IF(arrears_months=2,5.00,
    IF(arrears_months=3,8.00,
    IF(arrears_months=4,10.00,
    IF(arrears_months=5,12.00,15.00)))))))</f>
        <v/>
      </c>
      <c r="M5640">
        <f>LET(
    seasoning_years,DATEDIF('Loan Tape (S&amp;P)'!K5640,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40">
        <f>IF(AND('Loan Tape (S&amp;P)'!U5640="Yes",
        'Loan Tape (S&amp;P)'!T5640&lt;&gt;"Yes",
        DATEDIF('Loan Tape (S&amp;P)'!K5640, TODAY(), "M")&lt;18),
    1.10,
    1.00)</f>
        <v/>
      </c>
      <c r="O5640">
        <f>IF('Loan Tape (S&amp;P)'!T5640="Yes",
    1.35,
    1.00)</f>
        <v/>
      </c>
      <c r="P5640">
        <f>IF('Loan Tape (S&amp;P)'!S5640="Yes",
    1.15,
    1.00)</f>
        <v/>
      </c>
      <c r="Q5640">
        <f>IF('Loan Tape (S&amp;P)'!V5640="Yes",
    1.20,
    1.00)</f>
        <v/>
      </c>
      <c r="T5640">
        <f>LET(
    payment_method,'Loan Tape (S&amp;P)'!P5640,
    occupancy,'Loan Tape (S&amp;P)'!N5640,
    maturity_date,'Loan Tape (S&amp;P)'!L5640,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41">
      <c r="J5641">
        <f>LET(
    lien,'Loan Tape (S&amp;P)'!Q5641,
    IF(lien="First",1.00,
        IF(lien="Second",1.50,
            1.70)))</f>
        <v/>
      </c>
      <c r="K5641">
        <f>LET(
    purpose,'Loan Tape (S&amp;P)'!R5641,
    IF(purpose="Purchase",1.00,
        IF(purpose="Remortgage",1.00,
            1.20)))</f>
        <v/>
      </c>
      <c r="L5641">
        <f>LET(
    arrears_months,'Loan Tape (S&amp;P)'!AN5641,
    IF(arrears_months=0,1.00,
    IF(arrears_months=1,3.00,
    IF(arrears_months=2,5.00,
    IF(arrears_months=3,8.00,
    IF(arrears_months=4,10.00,
    IF(arrears_months=5,12.00,15.00)))))))</f>
        <v/>
      </c>
      <c r="M5641">
        <f>LET(
    seasoning_years,DATEDIF('Loan Tape (S&amp;P)'!K5641,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41">
        <f>IF(AND('Loan Tape (S&amp;P)'!U5641="Yes",
        'Loan Tape (S&amp;P)'!T5641&lt;&gt;"Yes",
        DATEDIF('Loan Tape (S&amp;P)'!K5641, TODAY(), "M")&lt;18),
    1.10,
    1.00)</f>
        <v/>
      </c>
      <c r="O5641">
        <f>IF('Loan Tape (S&amp;P)'!T5641="Yes",
    1.35,
    1.00)</f>
        <v/>
      </c>
      <c r="P5641">
        <f>IF('Loan Tape (S&amp;P)'!S5641="Yes",
    1.15,
    1.00)</f>
        <v/>
      </c>
      <c r="Q5641">
        <f>IF('Loan Tape (S&amp;P)'!V5641="Yes",
    1.20,
    1.00)</f>
        <v/>
      </c>
      <c r="T5641">
        <f>LET(
    payment_method,'Loan Tape (S&amp;P)'!P5641,
    occupancy,'Loan Tape (S&amp;P)'!N5641,
    maturity_date,'Loan Tape (S&amp;P)'!L5641,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42">
      <c r="J5642">
        <f>LET(
    lien,'Loan Tape (S&amp;P)'!Q5642,
    IF(lien="First",1.00,
        IF(lien="Second",1.50,
            1.70)))</f>
        <v/>
      </c>
      <c r="K5642">
        <f>LET(
    purpose,'Loan Tape (S&amp;P)'!R5642,
    IF(purpose="Purchase",1.00,
        IF(purpose="Remortgage",1.00,
            1.20)))</f>
        <v/>
      </c>
      <c r="L5642">
        <f>LET(
    arrears_months,'Loan Tape (S&amp;P)'!AN5642,
    IF(arrears_months=0,1.00,
    IF(arrears_months=1,3.00,
    IF(arrears_months=2,5.00,
    IF(arrears_months=3,8.00,
    IF(arrears_months=4,10.00,
    IF(arrears_months=5,12.00,15.00)))))))</f>
        <v/>
      </c>
      <c r="M5642">
        <f>LET(
    seasoning_years,DATEDIF('Loan Tape (S&amp;P)'!K5642,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42">
        <f>IF(AND('Loan Tape (S&amp;P)'!U5642="Yes",
        'Loan Tape (S&amp;P)'!T5642&lt;&gt;"Yes",
        DATEDIF('Loan Tape (S&amp;P)'!K5642, TODAY(), "M")&lt;18),
    1.10,
    1.00)</f>
        <v/>
      </c>
      <c r="O5642">
        <f>IF('Loan Tape (S&amp;P)'!T5642="Yes",
    1.35,
    1.00)</f>
        <v/>
      </c>
      <c r="P5642">
        <f>IF('Loan Tape (S&amp;P)'!S5642="Yes",
    1.15,
    1.00)</f>
        <v/>
      </c>
      <c r="Q5642">
        <f>IF('Loan Tape (S&amp;P)'!V5642="Yes",
    1.20,
    1.00)</f>
        <v/>
      </c>
      <c r="T5642">
        <f>LET(
    payment_method,'Loan Tape (S&amp;P)'!P5642,
    occupancy,'Loan Tape (S&amp;P)'!N5642,
    maturity_date,'Loan Tape (S&amp;P)'!L5642,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43">
      <c r="J5643">
        <f>LET(
    lien,'Loan Tape (S&amp;P)'!Q5643,
    IF(lien="First",1.00,
        IF(lien="Second",1.50,
            1.70)))</f>
        <v/>
      </c>
      <c r="K5643">
        <f>LET(
    purpose,'Loan Tape (S&amp;P)'!R5643,
    IF(purpose="Purchase",1.00,
        IF(purpose="Remortgage",1.00,
            1.20)))</f>
        <v/>
      </c>
      <c r="L5643">
        <f>LET(
    arrears_months,'Loan Tape (S&amp;P)'!AN5643,
    IF(arrears_months=0,1.00,
    IF(arrears_months=1,3.00,
    IF(arrears_months=2,5.00,
    IF(arrears_months=3,8.00,
    IF(arrears_months=4,10.00,
    IF(arrears_months=5,12.00,15.00)))))))</f>
        <v/>
      </c>
      <c r="M5643">
        <f>LET(
    seasoning_years,DATEDIF('Loan Tape (S&amp;P)'!K5643,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43">
        <f>IF(AND('Loan Tape (S&amp;P)'!U5643="Yes",
        'Loan Tape (S&amp;P)'!T5643&lt;&gt;"Yes",
        DATEDIF('Loan Tape (S&amp;P)'!K5643, TODAY(), "M")&lt;18),
    1.10,
    1.00)</f>
        <v/>
      </c>
      <c r="O5643">
        <f>IF('Loan Tape (S&amp;P)'!T5643="Yes",
    1.35,
    1.00)</f>
        <v/>
      </c>
      <c r="P5643">
        <f>IF('Loan Tape (S&amp;P)'!S5643="Yes",
    1.15,
    1.00)</f>
        <v/>
      </c>
      <c r="Q5643">
        <f>IF('Loan Tape (S&amp;P)'!V5643="Yes",
    1.20,
    1.00)</f>
        <v/>
      </c>
      <c r="T5643">
        <f>LET(
    payment_method,'Loan Tape (S&amp;P)'!P5643,
    occupancy,'Loan Tape (S&amp;P)'!N5643,
    maturity_date,'Loan Tape (S&amp;P)'!L5643,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44">
      <c r="J5644">
        <f>LET(
    lien,'Loan Tape (S&amp;P)'!Q5644,
    IF(lien="First",1.00,
        IF(lien="Second",1.50,
            1.70)))</f>
        <v/>
      </c>
      <c r="K5644">
        <f>LET(
    purpose,'Loan Tape (S&amp;P)'!R5644,
    IF(purpose="Purchase",1.00,
        IF(purpose="Remortgage",1.00,
            1.20)))</f>
        <v/>
      </c>
      <c r="L5644">
        <f>LET(
    arrears_months,'Loan Tape (S&amp;P)'!AN5644,
    IF(arrears_months=0,1.00,
    IF(arrears_months=1,3.00,
    IF(arrears_months=2,5.00,
    IF(arrears_months=3,8.00,
    IF(arrears_months=4,10.00,
    IF(arrears_months=5,12.00,15.00)))))))</f>
        <v/>
      </c>
      <c r="M5644">
        <f>LET(
    seasoning_years,DATEDIF('Loan Tape (S&amp;P)'!K5644,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44">
        <f>IF(AND('Loan Tape (S&amp;P)'!U5644="Yes",
        'Loan Tape (S&amp;P)'!T5644&lt;&gt;"Yes",
        DATEDIF('Loan Tape (S&amp;P)'!K5644, TODAY(), "M")&lt;18),
    1.10,
    1.00)</f>
        <v/>
      </c>
      <c r="O5644">
        <f>IF('Loan Tape (S&amp;P)'!T5644="Yes",
    1.35,
    1.00)</f>
        <v/>
      </c>
      <c r="P5644">
        <f>IF('Loan Tape (S&amp;P)'!S5644="Yes",
    1.15,
    1.00)</f>
        <v/>
      </c>
      <c r="Q5644">
        <f>IF('Loan Tape (S&amp;P)'!V5644="Yes",
    1.20,
    1.00)</f>
        <v/>
      </c>
      <c r="T5644">
        <f>LET(
    payment_method,'Loan Tape (S&amp;P)'!P5644,
    occupancy,'Loan Tape (S&amp;P)'!N5644,
    maturity_date,'Loan Tape (S&amp;P)'!L5644,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45">
      <c r="J5645">
        <f>LET(
    lien,'Loan Tape (S&amp;P)'!Q5645,
    IF(lien="First",1.00,
        IF(lien="Second",1.50,
            1.70)))</f>
        <v/>
      </c>
      <c r="K5645">
        <f>LET(
    purpose,'Loan Tape (S&amp;P)'!R5645,
    IF(purpose="Purchase",1.00,
        IF(purpose="Remortgage",1.00,
            1.20)))</f>
        <v/>
      </c>
      <c r="L5645">
        <f>LET(
    arrears_months,'Loan Tape (S&amp;P)'!AN5645,
    IF(arrears_months=0,1.00,
    IF(arrears_months=1,3.00,
    IF(arrears_months=2,5.00,
    IF(arrears_months=3,8.00,
    IF(arrears_months=4,10.00,
    IF(arrears_months=5,12.00,15.00)))))))</f>
        <v/>
      </c>
      <c r="M5645">
        <f>LET(
    seasoning_years,DATEDIF('Loan Tape (S&amp;P)'!K5645,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45">
        <f>IF(AND('Loan Tape (S&amp;P)'!U5645="Yes",
        'Loan Tape (S&amp;P)'!T5645&lt;&gt;"Yes",
        DATEDIF('Loan Tape (S&amp;P)'!K5645, TODAY(), "M")&lt;18),
    1.10,
    1.00)</f>
        <v/>
      </c>
      <c r="O5645">
        <f>IF('Loan Tape (S&amp;P)'!T5645="Yes",
    1.35,
    1.00)</f>
        <v/>
      </c>
      <c r="P5645">
        <f>IF('Loan Tape (S&amp;P)'!S5645="Yes",
    1.15,
    1.00)</f>
        <v/>
      </c>
      <c r="Q5645">
        <f>IF('Loan Tape (S&amp;P)'!V5645="Yes",
    1.20,
    1.00)</f>
        <v/>
      </c>
      <c r="T5645">
        <f>LET(
    payment_method,'Loan Tape (S&amp;P)'!P5645,
    occupancy,'Loan Tape (S&amp;P)'!N5645,
    maturity_date,'Loan Tape (S&amp;P)'!L5645,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46">
      <c r="J5646">
        <f>LET(
    lien,'Loan Tape (S&amp;P)'!Q5646,
    IF(lien="First",1.00,
        IF(lien="Second",1.50,
            1.70)))</f>
        <v/>
      </c>
      <c r="K5646">
        <f>LET(
    purpose,'Loan Tape (S&amp;P)'!R5646,
    IF(purpose="Purchase",1.00,
        IF(purpose="Remortgage",1.00,
            1.20)))</f>
        <v/>
      </c>
      <c r="L5646">
        <f>LET(
    arrears_months,'Loan Tape (S&amp;P)'!AN5646,
    IF(arrears_months=0,1.00,
    IF(arrears_months=1,3.00,
    IF(arrears_months=2,5.00,
    IF(arrears_months=3,8.00,
    IF(arrears_months=4,10.00,
    IF(arrears_months=5,12.00,15.00)))))))</f>
        <v/>
      </c>
      <c r="M5646">
        <f>LET(
    seasoning_years,DATEDIF('Loan Tape (S&amp;P)'!K5646,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46">
        <f>IF(AND('Loan Tape (S&amp;P)'!U5646="Yes",
        'Loan Tape (S&amp;P)'!T5646&lt;&gt;"Yes",
        DATEDIF('Loan Tape (S&amp;P)'!K5646, TODAY(), "M")&lt;18),
    1.10,
    1.00)</f>
        <v/>
      </c>
      <c r="O5646">
        <f>IF('Loan Tape (S&amp;P)'!T5646="Yes",
    1.35,
    1.00)</f>
        <v/>
      </c>
      <c r="P5646">
        <f>IF('Loan Tape (S&amp;P)'!S5646="Yes",
    1.15,
    1.00)</f>
        <v/>
      </c>
      <c r="Q5646">
        <f>IF('Loan Tape (S&amp;P)'!V5646="Yes",
    1.20,
    1.00)</f>
        <v/>
      </c>
      <c r="T5646">
        <f>LET(
    payment_method,'Loan Tape (S&amp;P)'!P5646,
    occupancy,'Loan Tape (S&amp;P)'!N5646,
    maturity_date,'Loan Tape (S&amp;P)'!L5646,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47">
      <c r="J5647">
        <f>LET(
    lien,'Loan Tape (S&amp;P)'!Q5647,
    IF(lien="First",1.00,
        IF(lien="Second",1.50,
            1.70)))</f>
        <v/>
      </c>
      <c r="K5647">
        <f>LET(
    purpose,'Loan Tape (S&amp;P)'!R5647,
    IF(purpose="Purchase",1.00,
        IF(purpose="Remortgage",1.00,
            1.20)))</f>
        <v/>
      </c>
      <c r="L5647">
        <f>LET(
    arrears_months,'Loan Tape (S&amp;P)'!AN5647,
    IF(arrears_months=0,1.00,
    IF(arrears_months=1,3.00,
    IF(arrears_months=2,5.00,
    IF(arrears_months=3,8.00,
    IF(arrears_months=4,10.00,
    IF(arrears_months=5,12.00,15.00)))))))</f>
        <v/>
      </c>
      <c r="M5647">
        <f>LET(
    seasoning_years,DATEDIF('Loan Tape (S&amp;P)'!K5647,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47">
        <f>IF(AND('Loan Tape (S&amp;P)'!U5647="Yes",
        'Loan Tape (S&amp;P)'!T5647&lt;&gt;"Yes",
        DATEDIF('Loan Tape (S&amp;P)'!K5647, TODAY(), "M")&lt;18),
    1.10,
    1.00)</f>
        <v/>
      </c>
      <c r="O5647">
        <f>IF('Loan Tape (S&amp;P)'!T5647="Yes",
    1.35,
    1.00)</f>
        <v/>
      </c>
      <c r="P5647">
        <f>IF('Loan Tape (S&amp;P)'!S5647="Yes",
    1.15,
    1.00)</f>
        <v/>
      </c>
      <c r="Q5647">
        <f>IF('Loan Tape (S&amp;P)'!V5647="Yes",
    1.20,
    1.00)</f>
        <v/>
      </c>
      <c r="T5647">
        <f>LET(
    payment_method,'Loan Tape (S&amp;P)'!P5647,
    occupancy,'Loan Tape (S&amp;P)'!N5647,
    maturity_date,'Loan Tape (S&amp;P)'!L5647,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48">
      <c r="J5648">
        <f>LET(
    lien,'Loan Tape (S&amp;P)'!Q5648,
    IF(lien="First",1.00,
        IF(lien="Second",1.50,
            1.70)))</f>
        <v/>
      </c>
      <c r="K5648">
        <f>LET(
    purpose,'Loan Tape (S&amp;P)'!R5648,
    IF(purpose="Purchase",1.00,
        IF(purpose="Remortgage",1.00,
            1.20)))</f>
        <v/>
      </c>
      <c r="L5648">
        <f>LET(
    arrears_months,'Loan Tape (S&amp;P)'!AN5648,
    IF(arrears_months=0,1.00,
    IF(arrears_months=1,3.00,
    IF(arrears_months=2,5.00,
    IF(arrears_months=3,8.00,
    IF(arrears_months=4,10.00,
    IF(arrears_months=5,12.00,15.00)))))))</f>
        <v/>
      </c>
      <c r="M5648">
        <f>LET(
    seasoning_years,DATEDIF('Loan Tape (S&amp;P)'!K5648,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48">
        <f>IF(AND('Loan Tape (S&amp;P)'!U5648="Yes",
        'Loan Tape (S&amp;P)'!T5648&lt;&gt;"Yes",
        DATEDIF('Loan Tape (S&amp;P)'!K5648, TODAY(), "M")&lt;18),
    1.10,
    1.00)</f>
        <v/>
      </c>
      <c r="O5648">
        <f>IF('Loan Tape (S&amp;P)'!T5648="Yes",
    1.35,
    1.00)</f>
        <v/>
      </c>
      <c r="P5648">
        <f>IF('Loan Tape (S&amp;P)'!S5648="Yes",
    1.15,
    1.00)</f>
        <v/>
      </c>
      <c r="Q5648">
        <f>IF('Loan Tape (S&amp;P)'!V5648="Yes",
    1.20,
    1.00)</f>
        <v/>
      </c>
      <c r="T5648">
        <f>LET(
    payment_method,'Loan Tape (S&amp;P)'!P5648,
    occupancy,'Loan Tape (S&amp;P)'!N5648,
    maturity_date,'Loan Tape (S&amp;P)'!L5648,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49">
      <c r="J5649">
        <f>LET(
    lien,'Loan Tape (S&amp;P)'!Q5649,
    IF(lien="First",1.00,
        IF(lien="Second",1.50,
            1.70)))</f>
        <v/>
      </c>
      <c r="K5649">
        <f>LET(
    purpose,'Loan Tape (S&amp;P)'!R5649,
    IF(purpose="Purchase",1.00,
        IF(purpose="Remortgage",1.00,
            1.20)))</f>
        <v/>
      </c>
      <c r="L5649">
        <f>LET(
    arrears_months,'Loan Tape (S&amp;P)'!AN5649,
    IF(arrears_months=0,1.00,
    IF(arrears_months=1,3.00,
    IF(arrears_months=2,5.00,
    IF(arrears_months=3,8.00,
    IF(arrears_months=4,10.00,
    IF(arrears_months=5,12.00,15.00)))))))</f>
        <v/>
      </c>
      <c r="M5649">
        <f>LET(
    seasoning_years,DATEDIF('Loan Tape (S&amp;P)'!K5649,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49">
        <f>IF(AND('Loan Tape (S&amp;P)'!U5649="Yes",
        'Loan Tape (S&amp;P)'!T5649&lt;&gt;"Yes",
        DATEDIF('Loan Tape (S&amp;P)'!K5649, TODAY(), "M")&lt;18),
    1.10,
    1.00)</f>
        <v/>
      </c>
      <c r="O5649">
        <f>IF('Loan Tape (S&amp;P)'!T5649="Yes",
    1.35,
    1.00)</f>
        <v/>
      </c>
      <c r="P5649">
        <f>IF('Loan Tape (S&amp;P)'!S5649="Yes",
    1.15,
    1.00)</f>
        <v/>
      </c>
      <c r="Q5649">
        <f>IF('Loan Tape (S&amp;P)'!V5649="Yes",
    1.20,
    1.00)</f>
        <v/>
      </c>
      <c r="T5649">
        <f>LET(
    payment_method,'Loan Tape (S&amp;P)'!P5649,
    occupancy,'Loan Tape (S&amp;P)'!N5649,
    maturity_date,'Loan Tape (S&amp;P)'!L5649,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50">
      <c r="J5650">
        <f>LET(
    lien,'Loan Tape (S&amp;P)'!Q5650,
    IF(lien="First",1.00,
        IF(lien="Second",1.50,
            1.70)))</f>
        <v/>
      </c>
      <c r="K5650">
        <f>LET(
    purpose,'Loan Tape (S&amp;P)'!R5650,
    IF(purpose="Purchase",1.00,
        IF(purpose="Remortgage",1.00,
            1.20)))</f>
        <v/>
      </c>
      <c r="L5650">
        <f>LET(
    arrears_months,'Loan Tape (S&amp;P)'!AN5650,
    IF(arrears_months=0,1.00,
    IF(arrears_months=1,3.00,
    IF(arrears_months=2,5.00,
    IF(arrears_months=3,8.00,
    IF(arrears_months=4,10.00,
    IF(arrears_months=5,12.00,15.00)))))))</f>
        <v/>
      </c>
      <c r="M5650">
        <f>LET(
    seasoning_years,DATEDIF('Loan Tape (S&amp;P)'!K5650,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50">
        <f>IF(AND('Loan Tape (S&amp;P)'!U5650="Yes",
        'Loan Tape (S&amp;P)'!T5650&lt;&gt;"Yes",
        DATEDIF('Loan Tape (S&amp;P)'!K5650, TODAY(), "M")&lt;18),
    1.10,
    1.00)</f>
        <v/>
      </c>
      <c r="O5650">
        <f>IF('Loan Tape (S&amp;P)'!T5650="Yes",
    1.35,
    1.00)</f>
        <v/>
      </c>
      <c r="P5650">
        <f>IF('Loan Tape (S&amp;P)'!S5650="Yes",
    1.15,
    1.00)</f>
        <v/>
      </c>
      <c r="Q5650">
        <f>IF('Loan Tape (S&amp;P)'!V5650="Yes",
    1.20,
    1.00)</f>
        <v/>
      </c>
      <c r="T5650">
        <f>LET(
    payment_method,'Loan Tape (S&amp;P)'!P5650,
    occupancy,'Loan Tape (S&amp;P)'!N5650,
    maturity_date,'Loan Tape (S&amp;P)'!L5650,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51">
      <c r="J5651">
        <f>LET(
    lien,'Loan Tape (S&amp;P)'!Q5651,
    IF(lien="First",1.00,
        IF(lien="Second",1.50,
            1.70)))</f>
        <v/>
      </c>
      <c r="K5651">
        <f>LET(
    purpose,'Loan Tape (S&amp;P)'!R5651,
    IF(purpose="Purchase",1.00,
        IF(purpose="Remortgage",1.00,
            1.20)))</f>
        <v/>
      </c>
      <c r="L5651">
        <f>LET(
    arrears_months,'Loan Tape (S&amp;P)'!AN5651,
    IF(arrears_months=0,1.00,
    IF(arrears_months=1,3.00,
    IF(arrears_months=2,5.00,
    IF(arrears_months=3,8.00,
    IF(arrears_months=4,10.00,
    IF(arrears_months=5,12.00,15.00)))))))</f>
        <v/>
      </c>
      <c r="M5651">
        <f>LET(
    seasoning_years,DATEDIF('Loan Tape (S&amp;P)'!K5651,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51">
        <f>IF(AND('Loan Tape (S&amp;P)'!U5651="Yes",
        'Loan Tape (S&amp;P)'!T5651&lt;&gt;"Yes",
        DATEDIF('Loan Tape (S&amp;P)'!K5651, TODAY(), "M")&lt;18),
    1.10,
    1.00)</f>
        <v/>
      </c>
      <c r="O5651">
        <f>IF('Loan Tape (S&amp;P)'!T5651="Yes",
    1.35,
    1.00)</f>
        <v/>
      </c>
      <c r="P5651">
        <f>IF('Loan Tape (S&amp;P)'!S5651="Yes",
    1.15,
    1.00)</f>
        <v/>
      </c>
      <c r="Q5651">
        <f>IF('Loan Tape (S&amp;P)'!V5651="Yes",
    1.20,
    1.00)</f>
        <v/>
      </c>
      <c r="T5651">
        <f>LET(
    payment_method,'Loan Tape (S&amp;P)'!P5651,
    occupancy,'Loan Tape (S&amp;P)'!N5651,
    maturity_date,'Loan Tape (S&amp;P)'!L5651,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52">
      <c r="J5652">
        <f>LET(
    lien,'Loan Tape (S&amp;P)'!Q5652,
    IF(lien="First",1.00,
        IF(lien="Second",1.50,
            1.70)))</f>
        <v/>
      </c>
      <c r="K5652">
        <f>LET(
    purpose,'Loan Tape (S&amp;P)'!R5652,
    IF(purpose="Purchase",1.00,
        IF(purpose="Remortgage",1.00,
            1.20)))</f>
        <v/>
      </c>
      <c r="L5652">
        <f>LET(
    arrears_months,'Loan Tape (S&amp;P)'!AN5652,
    IF(arrears_months=0,1.00,
    IF(arrears_months=1,3.00,
    IF(arrears_months=2,5.00,
    IF(arrears_months=3,8.00,
    IF(arrears_months=4,10.00,
    IF(arrears_months=5,12.00,15.00)))))))</f>
        <v/>
      </c>
      <c r="M5652">
        <f>LET(
    seasoning_years,DATEDIF('Loan Tape (S&amp;P)'!K5652,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52">
        <f>IF(AND('Loan Tape (S&amp;P)'!U5652="Yes",
        'Loan Tape (S&amp;P)'!T5652&lt;&gt;"Yes",
        DATEDIF('Loan Tape (S&amp;P)'!K5652, TODAY(), "M")&lt;18),
    1.10,
    1.00)</f>
        <v/>
      </c>
      <c r="O5652">
        <f>IF('Loan Tape (S&amp;P)'!T5652="Yes",
    1.35,
    1.00)</f>
        <v/>
      </c>
      <c r="P5652">
        <f>IF('Loan Tape (S&amp;P)'!S5652="Yes",
    1.15,
    1.00)</f>
        <v/>
      </c>
      <c r="Q5652">
        <f>IF('Loan Tape (S&amp;P)'!V5652="Yes",
    1.20,
    1.00)</f>
        <v/>
      </c>
      <c r="T5652">
        <f>LET(
    payment_method,'Loan Tape (S&amp;P)'!P5652,
    occupancy,'Loan Tape (S&amp;P)'!N5652,
    maturity_date,'Loan Tape (S&amp;P)'!L5652,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53">
      <c r="J5653">
        <f>LET(
    lien,'Loan Tape (S&amp;P)'!Q5653,
    IF(lien="First",1.00,
        IF(lien="Second",1.50,
            1.70)))</f>
        <v/>
      </c>
      <c r="K5653">
        <f>LET(
    purpose,'Loan Tape (S&amp;P)'!R5653,
    IF(purpose="Purchase",1.00,
        IF(purpose="Remortgage",1.00,
            1.20)))</f>
        <v/>
      </c>
      <c r="L5653">
        <f>LET(
    arrears_months,'Loan Tape (S&amp;P)'!AN5653,
    IF(arrears_months=0,1.00,
    IF(arrears_months=1,3.00,
    IF(arrears_months=2,5.00,
    IF(arrears_months=3,8.00,
    IF(arrears_months=4,10.00,
    IF(arrears_months=5,12.00,15.00)))))))</f>
        <v/>
      </c>
      <c r="M5653">
        <f>LET(
    seasoning_years,DATEDIF('Loan Tape (S&amp;P)'!K5653,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53">
        <f>IF(AND('Loan Tape (S&amp;P)'!U5653="Yes",
        'Loan Tape (S&amp;P)'!T5653&lt;&gt;"Yes",
        DATEDIF('Loan Tape (S&amp;P)'!K5653, TODAY(), "M")&lt;18),
    1.10,
    1.00)</f>
        <v/>
      </c>
      <c r="O5653">
        <f>IF('Loan Tape (S&amp;P)'!T5653="Yes",
    1.35,
    1.00)</f>
        <v/>
      </c>
      <c r="P5653">
        <f>IF('Loan Tape (S&amp;P)'!S5653="Yes",
    1.15,
    1.00)</f>
        <v/>
      </c>
      <c r="Q5653">
        <f>IF('Loan Tape (S&amp;P)'!V5653="Yes",
    1.20,
    1.00)</f>
        <v/>
      </c>
      <c r="T5653">
        <f>LET(
    payment_method,'Loan Tape (S&amp;P)'!P5653,
    occupancy,'Loan Tape (S&amp;P)'!N5653,
    maturity_date,'Loan Tape (S&amp;P)'!L5653,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54">
      <c r="J5654">
        <f>LET(
    lien,'Loan Tape (S&amp;P)'!Q5654,
    IF(lien="First",1.00,
        IF(lien="Second",1.50,
            1.70)))</f>
        <v/>
      </c>
      <c r="K5654">
        <f>LET(
    purpose,'Loan Tape (S&amp;P)'!R5654,
    IF(purpose="Purchase",1.00,
        IF(purpose="Remortgage",1.00,
            1.20)))</f>
        <v/>
      </c>
      <c r="L5654">
        <f>LET(
    arrears_months,'Loan Tape (S&amp;P)'!AN5654,
    IF(arrears_months=0,1.00,
    IF(arrears_months=1,3.00,
    IF(arrears_months=2,5.00,
    IF(arrears_months=3,8.00,
    IF(arrears_months=4,10.00,
    IF(arrears_months=5,12.00,15.00)))))))</f>
        <v/>
      </c>
      <c r="M5654">
        <f>LET(
    seasoning_years,DATEDIF('Loan Tape (S&amp;P)'!K5654,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54">
        <f>IF(AND('Loan Tape (S&amp;P)'!U5654="Yes",
        'Loan Tape (S&amp;P)'!T5654&lt;&gt;"Yes",
        DATEDIF('Loan Tape (S&amp;P)'!K5654, TODAY(), "M")&lt;18),
    1.10,
    1.00)</f>
        <v/>
      </c>
      <c r="O5654">
        <f>IF('Loan Tape (S&amp;P)'!T5654="Yes",
    1.35,
    1.00)</f>
        <v/>
      </c>
      <c r="P5654">
        <f>IF('Loan Tape (S&amp;P)'!S5654="Yes",
    1.15,
    1.00)</f>
        <v/>
      </c>
      <c r="Q5654">
        <f>IF('Loan Tape (S&amp;P)'!V5654="Yes",
    1.20,
    1.00)</f>
        <v/>
      </c>
      <c r="T5654">
        <f>LET(
    payment_method,'Loan Tape (S&amp;P)'!P5654,
    occupancy,'Loan Tape (S&amp;P)'!N5654,
    maturity_date,'Loan Tape (S&amp;P)'!L5654,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55">
      <c r="J5655">
        <f>LET(
    lien,'Loan Tape (S&amp;P)'!Q5655,
    IF(lien="First",1.00,
        IF(lien="Second",1.50,
            1.70)))</f>
        <v/>
      </c>
      <c r="K5655">
        <f>LET(
    purpose,'Loan Tape (S&amp;P)'!R5655,
    IF(purpose="Purchase",1.00,
        IF(purpose="Remortgage",1.00,
            1.20)))</f>
        <v/>
      </c>
      <c r="L5655">
        <f>LET(
    arrears_months,'Loan Tape (S&amp;P)'!AN5655,
    IF(arrears_months=0,1.00,
    IF(arrears_months=1,3.00,
    IF(arrears_months=2,5.00,
    IF(arrears_months=3,8.00,
    IF(arrears_months=4,10.00,
    IF(arrears_months=5,12.00,15.00)))))))</f>
        <v/>
      </c>
      <c r="M5655">
        <f>LET(
    seasoning_years,DATEDIF('Loan Tape (S&amp;P)'!K5655,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55">
        <f>IF(AND('Loan Tape (S&amp;P)'!U5655="Yes",
        'Loan Tape (S&amp;P)'!T5655&lt;&gt;"Yes",
        DATEDIF('Loan Tape (S&amp;P)'!K5655, TODAY(), "M")&lt;18),
    1.10,
    1.00)</f>
        <v/>
      </c>
      <c r="O5655">
        <f>IF('Loan Tape (S&amp;P)'!T5655="Yes",
    1.35,
    1.00)</f>
        <v/>
      </c>
      <c r="P5655">
        <f>IF('Loan Tape (S&amp;P)'!S5655="Yes",
    1.15,
    1.00)</f>
        <v/>
      </c>
      <c r="Q5655">
        <f>IF('Loan Tape (S&amp;P)'!V5655="Yes",
    1.20,
    1.00)</f>
        <v/>
      </c>
      <c r="T5655">
        <f>LET(
    payment_method,'Loan Tape (S&amp;P)'!P5655,
    occupancy,'Loan Tape (S&amp;P)'!N5655,
    maturity_date,'Loan Tape (S&amp;P)'!L5655,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56">
      <c r="J5656">
        <f>LET(
    lien,'Loan Tape (S&amp;P)'!Q5656,
    IF(lien="First",1.00,
        IF(lien="Second",1.50,
            1.70)))</f>
        <v/>
      </c>
      <c r="K5656">
        <f>LET(
    purpose,'Loan Tape (S&amp;P)'!R5656,
    IF(purpose="Purchase",1.00,
        IF(purpose="Remortgage",1.00,
            1.20)))</f>
        <v/>
      </c>
      <c r="L5656">
        <f>LET(
    arrears_months,'Loan Tape (S&amp;P)'!AN5656,
    IF(arrears_months=0,1.00,
    IF(arrears_months=1,3.00,
    IF(arrears_months=2,5.00,
    IF(arrears_months=3,8.00,
    IF(arrears_months=4,10.00,
    IF(arrears_months=5,12.00,15.00)))))))</f>
        <v/>
      </c>
      <c r="M5656">
        <f>LET(
    seasoning_years,DATEDIF('Loan Tape (S&amp;P)'!K5656,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56">
        <f>IF(AND('Loan Tape (S&amp;P)'!U5656="Yes",
        'Loan Tape (S&amp;P)'!T5656&lt;&gt;"Yes",
        DATEDIF('Loan Tape (S&amp;P)'!K5656, TODAY(), "M")&lt;18),
    1.10,
    1.00)</f>
        <v/>
      </c>
      <c r="O5656">
        <f>IF('Loan Tape (S&amp;P)'!T5656="Yes",
    1.35,
    1.00)</f>
        <v/>
      </c>
      <c r="P5656">
        <f>IF('Loan Tape (S&amp;P)'!S5656="Yes",
    1.15,
    1.00)</f>
        <v/>
      </c>
      <c r="Q5656">
        <f>IF('Loan Tape (S&amp;P)'!V5656="Yes",
    1.20,
    1.00)</f>
        <v/>
      </c>
      <c r="T5656">
        <f>LET(
    payment_method,'Loan Tape (S&amp;P)'!P5656,
    occupancy,'Loan Tape (S&amp;P)'!N5656,
    maturity_date,'Loan Tape (S&amp;P)'!L5656,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57">
      <c r="J5657">
        <f>LET(
    lien,'Loan Tape (S&amp;P)'!Q5657,
    IF(lien="First",1.00,
        IF(lien="Second",1.50,
            1.70)))</f>
        <v/>
      </c>
      <c r="K5657">
        <f>LET(
    purpose,'Loan Tape (S&amp;P)'!R5657,
    IF(purpose="Purchase",1.00,
        IF(purpose="Remortgage",1.00,
            1.20)))</f>
        <v/>
      </c>
      <c r="L5657">
        <f>LET(
    arrears_months,'Loan Tape (S&amp;P)'!AN5657,
    IF(arrears_months=0,1.00,
    IF(arrears_months=1,3.00,
    IF(arrears_months=2,5.00,
    IF(arrears_months=3,8.00,
    IF(arrears_months=4,10.00,
    IF(arrears_months=5,12.00,15.00)))))))</f>
        <v/>
      </c>
      <c r="M5657">
        <f>LET(
    seasoning_years,DATEDIF('Loan Tape (S&amp;P)'!K5657,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57">
        <f>IF(AND('Loan Tape (S&amp;P)'!U5657="Yes",
        'Loan Tape (S&amp;P)'!T5657&lt;&gt;"Yes",
        DATEDIF('Loan Tape (S&amp;P)'!K5657, TODAY(), "M")&lt;18),
    1.10,
    1.00)</f>
        <v/>
      </c>
      <c r="O5657">
        <f>IF('Loan Tape (S&amp;P)'!T5657="Yes",
    1.35,
    1.00)</f>
        <v/>
      </c>
      <c r="P5657">
        <f>IF('Loan Tape (S&amp;P)'!S5657="Yes",
    1.15,
    1.00)</f>
        <v/>
      </c>
      <c r="Q5657">
        <f>IF('Loan Tape (S&amp;P)'!V5657="Yes",
    1.20,
    1.00)</f>
        <v/>
      </c>
      <c r="T5657">
        <f>LET(
    payment_method,'Loan Tape (S&amp;P)'!P5657,
    occupancy,'Loan Tape (S&amp;P)'!N5657,
    maturity_date,'Loan Tape (S&amp;P)'!L5657,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58">
      <c r="J5658">
        <f>LET(
    lien,'Loan Tape (S&amp;P)'!Q5658,
    IF(lien="First",1.00,
        IF(lien="Second",1.50,
            1.70)))</f>
        <v/>
      </c>
      <c r="K5658">
        <f>LET(
    purpose,'Loan Tape (S&amp;P)'!R5658,
    IF(purpose="Purchase",1.00,
        IF(purpose="Remortgage",1.00,
            1.20)))</f>
        <v/>
      </c>
      <c r="L5658">
        <f>LET(
    arrears_months,'Loan Tape (S&amp;P)'!AN5658,
    IF(arrears_months=0,1.00,
    IF(arrears_months=1,3.00,
    IF(arrears_months=2,5.00,
    IF(arrears_months=3,8.00,
    IF(arrears_months=4,10.00,
    IF(arrears_months=5,12.00,15.00)))))))</f>
        <v/>
      </c>
      <c r="M5658">
        <f>LET(
    seasoning_years,DATEDIF('Loan Tape (S&amp;P)'!K5658,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58">
        <f>IF(AND('Loan Tape (S&amp;P)'!U5658="Yes",
        'Loan Tape (S&amp;P)'!T5658&lt;&gt;"Yes",
        DATEDIF('Loan Tape (S&amp;P)'!K5658, TODAY(), "M")&lt;18),
    1.10,
    1.00)</f>
        <v/>
      </c>
      <c r="O5658">
        <f>IF('Loan Tape (S&amp;P)'!T5658="Yes",
    1.35,
    1.00)</f>
        <v/>
      </c>
      <c r="P5658">
        <f>IF('Loan Tape (S&amp;P)'!S5658="Yes",
    1.15,
    1.00)</f>
        <v/>
      </c>
      <c r="Q5658">
        <f>IF('Loan Tape (S&amp;P)'!V5658="Yes",
    1.20,
    1.00)</f>
        <v/>
      </c>
      <c r="T5658">
        <f>LET(
    payment_method,'Loan Tape (S&amp;P)'!P5658,
    occupancy,'Loan Tape (S&amp;P)'!N5658,
    maturity_date,'Loan Tape (S&amp;P)'!L5658,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59">
      <c r="J5659">
        <f>LET(
    lien,'Loan Tape (S&amp;P)'!Q5659,
    IF(lien="First",1.00,
        IF(lien="Second",1.50,
            1.70)))</f>
        <v/>
      </c>
      <c r="K5659">
        <f>LET(
    purpose,'Loan Tape (S&amp;P)'!R5659,
    IF(purpose="Purchase",1.00,
        IF(purpose="Remortgage",1.00,
            1.20)))</f>
        <v/>
      </c>
      <c r="L5659">
        <f>LET(
    arrears_months,'Loan Tape (S&amp;P)'!AN5659,
    IF(arrears_months=0,1.00,
    IF(arrears_months=1,3.00,
    IF(arrears_months=2,5.00,
    IF(arrears_months=3,8.00,
    IF(arrears_months=4,10.00,
    IF(arrears_months=5,12.00,15.00)))))))</f>
        <v/>
      </c>
      <c r="M5659">
        <f>LET(
    seasoning_years,DATEDIF('Loan Tape (S&amp;P)'!K5659,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59">
        <f>IF(AND('Loan Tape (S&amp;P)'!U5659="Yes",
        'Loan Tape (S&amp;P)'!T5659&lt;&gt;"Yes",
        DATEDIF('Loan Tape (S&amp;P)'!K5659, TODAY(), "M")&lt;18),
    1.10,
    1.00)</f>
        <v/>
      </c>
      <c r="O5659">
        <f>IF('Loan Tape (S&amp;P)'!T5659="Yes",
    1.35,
    1.00)</f>
        <v/>
      </c>
      <c r="P5659">
        <f>IF('Loan Tape (S&amp;P)'!S5659="Yes",
    1.15,
    1.00)</f>
        <v/>
      </c>
      <c r="Q5659">
        <f>IF('Loan Tape (S&amp;P)'!V5659="Yes",
    1.20,
    1.00)</f>
        <v/>
      </c>
      <c r="T5659">
        <f>LET(
    payment_method,'Loan Tape (S&amp;P)'!P5659,
    occupancy,'Loan Tape (S&amp;P)'!N5659,
    maturity_date,'Loan Tape (S&amp;P)'!L5659,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60">
      <c r="J5660">
        <f>LET(
    lien,'Loan Tape (S&amp;P)'!Q5660,
    IF(lien="First",1.00,
        IF(lien="Second",1.50,
            1.70)))</f>
        <v/>
      </c>
      <c r="K5660">
        <f>LET(
    purpose,'Loan Tape (S&amp;P)'!R5660,
    IF(purpose="Purchase",1.00,
        IF(purpose="Remortgage",1.00,
            1.20)))</f>
        <v/>
      </c>
      <c r="L5660">
        <f>LET(
    arrears_months,'Loan Tape (S&amp;P)'!AN5660,
    IF(arrears_months=0,1.00,
    IF(arrears_months=1,3.00,
    IF(arrears_months=2,5.00,
    IF(arrears_months=3,8.00,
    IF(arrears_months=4,10.00,
    IF(arrears_months=5,12.00,15.00)))))))</f>
        <v/>
      </c>
      <c r="M5660">
        <f>LET(
    seasoning_years,DATEDIF('Loan Tape (S&amp;P)'!K5660,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60">
        <f>IF(AND('Loan Tape (S&amp;P)'!U5660="Yes",
        'Loan Tape (S&amp;P)'!T5660&lt;&gt;"Yes",
        DATEDIF('Loan Tape (S&amp;P)'!K5660, TODAY(), "M")&lt;18),
    1.10,
    1.00)</f>
        <v/>
      </c>
      <c r="O5660">
        <f>IF('Loan Tape (S&amp;P)'!T5660="Yes",
    1.35,
    1.00)</f>
        <v/>
      </c>
      <c r="P5660">
        <f>IF('Loan Tape (S&amp;P)'!S5660="Yes",
    1.15,
    1.00)</f>
        <v/>
      </c>
      <c r="Q5660">
        <f>IF('Loan Tape (S&amp;P)'!V5660="Yes",
    1.20,
    1.00)</f>
        <v/>
      </c>
      <c r="T5660">
        <f>LET(
    payment_method,'Loan Tape (S&amp;P)'!P5660,
    occupancy,'Loan Tape (S&amp;P)'!N5660,
    maturity_date,'Loan Tape (S&amp;P)'!L5660,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61">
      <c r="J5661">
        <f>LET(
    lien,'Loan Tape (S&amp;P)'!Q5661,
    IF(lien="First",1.00,
        IF(lien="Second",1.50,
            1.70)))</f>
        <v/>
      </c>
      <c r="K5661">
        <f>LET(
    purpose,'Loan Tape (S&amp;P)'!R5661,
    IF(purpose="Purchase",1.00,
        IF(purpose="Remortgage",1.00,
            1.20)))</f>
        <v/>
      </c>
      <c r="L5661">
        <f>LET(
    arrears_months,'Loan Tape (S&amp;P)'!AN5661,
    IF(arrears_months=0,1.00,
    IF(arrears_months=1,3.00,
    IF(arrears_months=2,5.00,
    IF(arrears_months=3,8.00,
    IF(arrears_months=4,10.00,
    IF(arrears_months=5,12.00,15.00)))))))</f>
        <v/>
      </c>
      <c r="M5661">
        <f>LET(
    seasoning_years,DATEDIF('Loan Tape (S&amp;P)'!K5661,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61">
        <f>IF(AND('Loan Tape (S&amp;P)'!U5661="Yes",
        'Loan Tape (S&amp;P)'!T5661&lt;&gt;"Yes",
        DATEDIF('Loan Tape (S&amp;P)'!K5661, TODAY(), "M")&lt;18),
    1.10,
    1.00)</f>
        <v/>
      </c>
      <c r="O5661">
        <f>IF('Loan Tape (S&amp;P)'!T5661="Yes",
    1.35,
    1.00)</f>
        <v/>
      </c>
      <c r="P5661">
        <f>IF('Loan Tape (S&amp;P)'!S5661="Yes",
    1.15,
    1.00)</f>
        <v/>
      </c>
      <c r="Q5661">
        <f>IF('Loan Tape (S&amp;P)'!V5661="Yes",
    1.20,
    1.00)</f>
        <v/>
      </c>
      <c r="T5661">
        <f>LET(
    payment_method,'Loan Tape (S&amp;P)'!P5661,
    occupancy,'Loan Tape (S&amp;P)'!N5661,
    maturity_date,'Loan Tape (S&amp;P)'!L5661,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62">
      <c r="J5662">
        <f>LET(
    lien,'Loan Tape (S&amp;P)'!Q5662,
    IF(lien="First",1.00,
        IF(lien="Second",1.50,
            1.70)))</f>
        <v/>
      </c>
      <c r="K5662">
        <f>LET(
    purpose,'Loan Tape (S&amp;P)'!R5662,
    IF(purpose="Purchase",1.00,
        IF(purpose="Remortgage",1.00,
            1.20)))</f>
        <v/>
      </c>
      <c r="L5662">
        <f>LET(
    arrears_months,'Loan Tape (S&amp;P)'!AN5662,
    IF(arrears_months=0,1.00,
    IF(arrears_months=1,3.00,
    IF(arrears_months=2,5.00,
    IF(arrears_months=3,8.00,
    IF(arrears_months=4,10.00,
    IF(arrears_months=5,12.00,15.00)))))))</f>
        <v/>
      </c>
      <c r="M5662">
        <f>LET(
    seasoning_years,DATEDIF('Loan Tape (S&amp;P)'!K5662,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62">
        <f>IF(AND('Loan Tape (S&amp;P)'!U5662="Yes",
        'Loan Tape (S&amp;P)'!T5662&lt;&gt;"Yes",
        DATEDIF('Loan Tape (S&amp;P)'!K5662, TODAY(), "M")&lt;18),
    1.10,
    1.00)</f>
        <v/>
      </c>
      <c r="O5662">
        <f>IF('Loan Tape (S&amp;P)'!T5662="Yes",
    1.35,
    1.00)</f>
        <v/>
      </c>
      <c r="P5662">
        <f>IF('Loan Tape (S&amp;P)'!S5662="Yes",
    1.15,
    1.00)</f>
        <v/>
      </c>
      <c r="Q5662">
        <f>IF('Loan Tape (S&amp;P)'!V5662="Yes",
    1.20,
    1.00)</f>
        <v/>
      </c>
      <c r="T5662">
        <f>LET(
    payment_method,'Loan Tape (S&amp;P)'!P5662,
    occupancy,'Loan Tape (S&amp;P)'!N5662,
    maturity_date,'Loan Tape (S&amp;P)'!L5662,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63">
      <c r="J5663">
        <f>LET(
    lien,'Loan Tape (S&amp;P)'!Q5663,
    IF(lien="First",1.00,
        IF(lien="Second",1.50,
            1.70)))</f>
        <v/>
      </c>
      <c r="K5663">
        <f>LET(
    purpose,'Loan Tape (S&amp;P)'!R5663,
    IF(purpose="Purchase",1.00,
        IF(purpose="Remortgage",1.00,
            1.20)))</f>
        <v/>
      </c>
      <c r="L5663">
        <f>LET(
    arrears_months,'Loan Tape (S&amp;P)'!AN5663,
    IF(arrears_months=0,1.00,
    IF(arrears_months=1,3.00,
    IF(arrears_months=2,5.00,
    IF(arrears_months=3,8.00,
    IF(arrears_months=4,10.00,
    IF(arrears_months=5,12.00,15.00)))))))</f>
        <v/>
      </c>
      <c r="M5663">
        <f>LET(
    seasoning_years,DATEDIF('Loan Tape (S&amp;P)'!K5663,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63">
        <f>IF(AND('Loan Tape (S&amp;P)'!U5663="Yes",
        'Loan Tape (S&amp;P)'!T5663&lt;&gt;"Yes",
        DATEDIF('Loan Tape (S&amp;P)'!K5663, TODAY(), "M")&lt;18),
    1.10,
    1.00)</f>
        <v/>
      </c>
      <c r="O5663">
        <f>IF('Loan Tape (S&amp;P)'!T5663="Yes",
    1.35,
    1.00)</f>
        <v/>
      </c>
      <c r="P5663">
        <f>IF('Loan Tape (S&amp;P)'!S5663="Yes",
    1.15,
    1.00)</f>
        <v/>
      </c>
      <c r="Q5663">
        <f>IF('Loan Tape (S&amp;P)'!V5663="Yes",
    1.20,
    1.00)</f>
        <v/>
      </c>
      <c r="T5663">
        <f>LET(
    payment_method,'Loan Tape (S&amp;P)'!P5663,
    occupancy,'Loan Tape (S&amp;P)'!N5663,
    maturity_date,'Loan Tape (S&amp;P)'!L5663,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64">
      <c r="J5664">
        <f>LET(
    lien,'Loan Tape (S&amp;P)'!Q5664,
    IF(lien="First",1.00,
        IF(lien="Second",1.50,
            1.70)))</f>
        <v/>
      </c>
      <c r="K5664">
        <f>LET(
    purpose,'Loan Tape (S&amp;P)'!R5664,
    IF(purpose="Purchase",1.00,
        IF(purpose="Remortgage",1.00,
            1.20)))</f>
        <v/>
      </c>
      <c r="L5664">
        <f>LET(
    arrears_months,'Loan Tape (S&amp;P)'!AN5664,
    IF(arrears_months=0,1.00,
    IF(arrears_months=1,3.00,
    IF(arrears_months=2,5.00,
    IF(arrears_months=3,8.00,
    IF(arrears_months=4,10.00,
    IF(arrears_months=5,12.00,15.00)))))))</f>
        <v/>
      </c>
      <c r="M5664">
        <f>LET(
    seasoning_years,DATEDIF('Loan Tape (S&amp;P)'!K5664,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64">
        <f>IF(AND('Loan Tape (S&amp;P)'!U5664="Yes",
        'Loan Tape (S&amp;P)'!T5664&lt;&gt;"Yes",
        DATEDIF('Loan Tape (S&amp;P)'!K5664, TODAY(), "M")&lt;18),
    1.10,
    1.00)</f>
        <v/>
      </c>
      <c r="O5664">
        <f>IF('Loan Tape (S&amp;P)'!T5664="Yes",
    1.35,
    1.00)</f>
        <v/>
      </c>
      <c r="P5664">
        <f>IF('Loan Tape (S&amp;P)'!S5664="Yes",
    1.15,
    1.00)</f>
        <v/>
      </c>
      <c r="Q5664">
        <f>IF('Loan Tape (S&amp;P)'!V5664="Yes",
    1.20,
    1.00)</f>
        <v/>
      </c>
      <c r="T5664">
        <f>LET(
    payment_method,'Loan Tape (S&amp;P)'!P5664,
    occupancy,'Loan Tape (S&amp;P)'!N5664,
    maturity_date,'Loan Tape (S&amp;P)'!L5664,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65">
      <c r="J5665">
        <f>LET(
    lien,'Loan Tape (S&amp;P)'!Q5665,
    IF(lien="First",1.00,
        IF(lien="Second",1.50,
            1.70)))</f>
        <v/>
      </c>
      <c r="K5665">
        <f>LET(
    purpose,'Loan Tape (S&amp;P)'!R5665,
    IF(purpose="Purchase",1.00,
        IF(purpose="Remortgage",1.00,
            1.20)))</f>
        <v/>
      </c>
      <c r="L5665">
        <f>LET(
    arrears_months,'Loan Tape (S&amp;P)'!AN5665,
    IF(arrears_months=0,1.00,
    IF(arrears_months=1,3.00,
    IF(arrears_months=2,5.00,
    IF(arrears_months=3,8.00,
    IF(arrears_months=4,10.00,
    IF(arrears_months=5,12.00,15.00)))))))</f>
        <v/>
      </c>
      <c r="M5665">
        <f>LET(
    seasoning_years,DATEDIF('Loan Tape (S&amp;P)'!K5665,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65">
        <f>IF(AND('Loan Tape (S&amp;P)'!U5665="Yes",
        'Loan Tape (S&amp;P)'!T5665&lt;&gt;"Yes",
        DATEDIF('Loan Tape (S&amp;P)'!K5665, TODAY(), "M")&lt;18),
    1.10,
    1.00)</f>
        <v/>
      </c>
      <c r="O5665">
        <f>IF('Loan Tape (S&amp;P)'!T5665="Yes",
    1.35,
    1.00)</f>
        <v/>
      </c>
      <c r="P5665">
        <f>IF('Loan Tape (S&amp;P)'!S5665="Yes",
    1.15,
    1.00)</f>
        <v/>
      </c>
      <c r="Q5665">
        <f>IF('Loan Tape (S&amp;P)'!V5665="Yes",
    1.20,
    1.00)</f>
        <v/>
      </c>
      <c r="T5665">
        <f>LET(
    payment_method,'Loan Tape (S&amp;P)'!P5665,
    occupancy,'Loan Tape (S&amp;P)'!N5665,
    maturity_date,'Loan Tape (S&amp;P)'!L5665,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66">
      <c r="J5666">
        <f>LET(
    lien,'Loan Tape (S&amp;P)'!Q5666,
    IF(lien="First",1.00,
        IF(lien="Second",1.50,
            1.70)))</f>
        <v/>
      </c>
      <c r="K5666">
        <f>LET(
    purpose,'Loan Tape (S&amp;P)'!R5666,
    IF(purpose="Purchase",1.00,
        IF(purpose="Remortgage",1.00,
            1.20)))</f>
        <v/>
      </c>
      <c r="L5666">
        <f>LET(
    arrears_months,'Loan Tape (S&amp;P)'!AN5666,
    IF(arrears_months=0,1.00,
    IF(arrears_months=1,3.00,
    IF(arrears_months=2,5.00,
    IF(arrears_months=3,8.00,
    IF(arrears_months=4,10.00,
    IF(arrears_months=5,12.00,15.00)))))))</f>
        <v/>
      </c>
      <c r="M5666">
        <f>LET(
    seasoning_years,DATEDIF('Loan Tape (S&amp;P)'!K5666,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66">
        <f>IF(AND('Loan Tape (S&amp;P)'!U5666="Yes",
        'Loan Tape (S&amp;P)'!T5666&lt;&gt;"Yes",
        DATEDIF('Loan Tape (S&amp;P)'!K5666, TODAY(), "M")&lt;18),
    1.10,
    1.00)</f>
        <v/>
      </c>
      <c r="O5666">
        <f>IF('Loan Tape (S&amp;P)'!T5666="Yes",
    1.35,
    1.00)</f>
        <v/>
      </c>
      <c r="P5666">
        <f>IF('Loan Tape (S&amp;P)'!S5666="Yes",
    1.15,
    1.00)</f>
        <v/>
      </c>
      <c r="Q5666">
        <f>IF('Loan Tape (S&amp;P)'!V5666="Yes",
    1.20,
    1.00)</f>
        <v/>
      </c>
      <c r="T5666">
        <f>LET(
    payment_method,'Loan Tape (S&amp;P)'!P5666,
    occupancy,'Loan Tape (S&amp;P)'!N5666,
    maturity_date,'Loan Tape (S&amp;P)'!L5666,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67">
      <c r="J5667">
        <f>LET(
    lien,'Loan Tape (S&amp;P)'!Q5667,
    IF(lien="First",1.00,
        IF(lien="Second",1.50,
            1.70)))</f>
        <v/>
      </c>
      <c r="K5667">
        <f>LET(
    purpose,'Loan Tape (S&amp;P)'!R5667,
    IF(purpose="Purchase",1.00,
        IF(purpose="Remortgage",1.00,
            1.20)))</f>
        <v/>
      </c>
      <c r="L5667">
        <f>LET(
    arrears_months,'Loan Tape (S&amp;P)'!AN5667,
    IF(arrears_months=0,1.00,
    IF(arrears_months=1,3.00,
    IF(arrears_months=2,5.00,
    IF(arrears_months=3,8.00,
    IF(arrears_months=4,10.00,
    IF(arrears_months=5,12.00,15.00)))))))</f>
        <v/>
      </c>
      <c r="M5667">
        <f>LET(
    seasoning_years,DATEDIF('Loan Tape (S&amp;P)'!K5667,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67">
        <f>IF(AND('Loan Tape (S&amp;P)'!U5667="Yes",
        'Loan Tape (S&amp;P)'!T5667&lt;&gt;"Yes",
        DATEDIF('Loan Tape (S&amp;P)'!K5667, TODAY(), "M")&lt;18),
    1.10,
    1.00)</f>
        <v/>
      </c>
      <c r="O5667">
        <f>IF('Loan Tape (S&amp;P)'!T5667="Yes",
    1.35,
    1.00)</f>
        <v/>
      </c>
      <c r="P5667">
        <f>IF('Loan Tape (S&amp;P)'!S5667="Yes",
    1.15,
    1.00)</f>
        <v/>
      </c>
      <c r="Q5667">
        <f>IF('Loan Tape (S&amp;P)'!V5667="Yes",
    1.20,
    1.00)</f>
        <v/>
      </c>
      <c r="T5667">
        <f>LET(
    payment_method,'Loan Tape (S&amp;P)'!P5667,
    occupancy,'Loan Tape (S&amp;P)'!N5667,
    maturity_date,'Loan Tape (S&amp;P)'!L5667,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68">
      <c r="J5668">
        <f>LET(
    lien,'Loan Tape (S&amp;P)'!Q5668,
    IF(lien="First",1.00,
        IF(lien="Second",1.50,
            1.70)))</f>
        <v/>
      </c>
      <c r="K5668">
        <f>LET(
    purpose,'Loan Tape (S&amp;P)'!R5668,
    IF(purpose="Purchase",1.00,
        IF(purpose="Remortgage",1.00,
            1.20)))</f>
        <v/>
      </c>
      <c r="L5668">
        <f>LET(
    arrears_months,'Loan Tape (S&amp;P)'!AN5668,
    IF(arrears_months=0,1.00,
    IF(arrears_months=1,3.00,
    IF(arrears_months=2,5.00,
    IF(arrears_months=3,8.00,
    IF(arrears_months=4,10.00,
    IF(arrears_months=5,12.00,15.00)))))))</f>
        <v/>
      </c>
      <c r="M5668">
        <f>LET(
    seasoning_years,DATEDIF('Loan Tape (S&amp;P)'!K5668,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68">
        <f>IF(AND('Loan Tape (S&amp;P)'!U5668="Yes",
        'Loan Tape (S&amp;P)'!T5668&lt;&gt;"Yes",
        DATEDIF('Loan Tape (S&amp;P)'!K5668, TODAY(), "M")&lt;18),
    1.10,
    1.00)</f>
        <v/>
      </c>
      <c r="O5668">
        <f>IF('Loan Tape (S&amp;P)'!T5668="Yes",
    1.35,
    1.00)</f>
        <v/>
      </c>
      <c r="P5668">
        <f>IF('Loan Tape (S&amp;P)'!S5668="Yes",
    1.15,
    1.00)</f>
        <v/>
      </c>
      <c r="Q5668">
        <f>IF('Loan Tape (S&amp;P)'!V5668="Yes",
    1.20,
    1.00)</f>
        <v/>
      </c>
      <c r="T5668">
        <f>LET(
    payment_method,'Loan Tape (S&amp;P)'!P5668,
    occupancy,'Loan Tape (S&amp;P)'!N5668,
    maturity_date,'Loan Tape (S&amp;P)'!L5668,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69">
      <c r="J5669">
        <f>LET(
    lien,'Loan Tape (S&amp;P)'!Q5669,
    IF(lien="First",1.00,
        IF(lien="Second",1.50,
            1.70)))</f>
        <v/>
      </c>
      <c r="K5669">
        <f>LET(
    purpose,'Loan Tape (S&amp;P)'!R5669,
    IF(purpose="Purchase",1.00,
        IF(purpose="Remortgage",1.00,
            1.20)))</f>
        <v/>
      </c>
      <c r="L5669">
        <f>LET(
    arrears_months,'Loan Tape (S&amp;P)'!AN5669,
    IF(arrears_months=0,1.00,
    IF(arrears_months=1,3.00,
    IF(arrears_months=2,5.00,
    IF(arrears_months=3,8.00,
    IF(arrears_months=4,10.00,
    IF(arrears_months=5,12.00,15.00)))))))</f>
        <v/>
      </c>
      <c r="M5669">
        <f>LET(
    seasoning_years,DATEDIF('Loan Tape (S&amp;P)'!K5669,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69">
        <f>IF(AND('Loan Tape (S&amp;P)'!U5669="Yes",
        'Loan Tape (S&amp;P)'!T5669&lt;&gt;"Yes",
        DATEDIF('Loan Tape (S&amp;P)'!K5669, TODAY(), "M")&lt;18),
    1.10,
    1.00)</f>
        <v/>
      </c>
      <c r="O5669">
        <f>IF('Loan Tape (S&amp;P)'!T5669="Yes",
    1.35,
    1.00)</f>
        <v/>
      </c>
      <c r="P5669">
        <f>IF('Loan Tape (S&amp;P)'!S5669="Yes",
    1.15,
    1.00)</f>
        <v/>
      </c>
      <c r="Q5669">
        <f>IF('Loan Tape (S&amp;P)'!V5669="Yes",
    1.20,
    1.00)</f>
        <v/>
      </c>
      <c r="T5669">
        <f>LET(
    payment_method,'Loan Tape (S&amp;P)'!P5669,
    occupancy,'Loan Tape (S&amp;P)'!N5669,
    maturity_date,'Loan Tape (S&amp;P)'!L5669,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70">
      <c r="J5670">
        <f>LET(
    lien,'Loan Tape (S&amp;P)'!Q5670,
    IF(lien="First",1.00,
        IF(lien="Second",1.50,
            1.70)))</f>
        <v/>
      </c>
      <c r="K5670">
        <f>LET(
    purpose,'Loan Tape (S&amp;P)'!R5670,
    IF(purpose="Purchase",1.00,
        IF(purpose="Remortgage",1.00,
            1.20)))</f>
        <v/>
      </c>
      <c r="L5670">
        <f>LET(
    arrears_months,'Loan Tape (S&amp;P)'!AN5670,
    IF(arrears_months=0,1.00,
    IF(arrears_months=1,3.00,
    IF(arrears_months=2,5.00,
    IF(arrears_months=3,8.00,
    IF(arrears_months=4,10.00,
    IF(arrears_months=5,12.00,15.00)))))))</f>
        <v/>
      </c>
      <c r="M5670">
        <f>LET(
    seasoning_years,DATEDIF('Loan Tape (S&amp;P)'!K5670,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70">
        <f>IF(AND('Loan Tape (S&amp;P)'!U5670="Yes",
        'Loan Tape (S&amp;P)'!T5670&lt;&gt;"Yes",
        DATEDIF('Loan Tape (S&amp;P)'!K5670, TODAY(), "M")&lt;18),
    1.10,
    1.00)</f>
        <v/>
      </c>
      <c r="O5670">
        <f>IF('Loan Tape (S&amp;P)'!T5670="Yes",
    1.35,
    1.00)</f>
        <v/>
      </c>
      <c r="P5670">
        <f>IF('Loan Tape (S&amp;P)'!S5670="Yes",
    1.15,
    1.00)</f>
        <v/>
      </c>
      <c r="Q5670">
        <f>IF('Loan Tape (S&amp;P)'!V5670="Yes",
    1.20,
    1.00)</f>
        <v/>
      </c>
      <c r="T5670">
        <f>LET(
    payment_method,'Loan Tape (S&amp;P)'!P5670,
    occupancy,'Loan Tape (S&amp;P)'!N5670,
    maturity_date,'Loan Tape (S&amp;P)'!L5670,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71">
      <c r="J5671">
        <f>LET(
    lien,'Loan Tape (S&amp;P)'!Q5671,
    IF(lien="First",1.00,
        IF(lien="Second",1.50,
            1.70)))</f>
        <v/>
      </c>
      <c r="K5671">
        <f>LET(
    purpose,'Loan Tape (S&amp;P)'!R5671,
    IF(purpose="Purchase",1.00,
        IF(purpose="Remortgage",1.00,
            1.20)))</f>
        <v/>
      </c>
      <c r="L5671">
        <f>LET(
    arrears_months,'Loan Tape (S&amp;P)'!AN5671,
    IF(arrears_months=0,1.00,
    IF(arrears_months=1,3.00,
    IF(arrears_months=2,5.00,
    IF(arrears_months=3,8.00,
    IF(arrears_months=4,10.00,
    IF(arrears_months=5,12.00,15.00)))))))</f>
        <v/>
      </c>
      <c r="M5671">
        <f>LET(
    seasoning_years,DATEDIF('Loan Tape (S&amp;P)'!K5671,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71">
        <f>IF(AND('Loan Tape (S&amp;P)'!U5671="Yes",
        'Loan Tape (S&amp;P)'!T5671&lt;&gt;"Yes",
        DATEDIF('Loan Tape (S&amp;P)'!K5671, TODAY(), "M")&lt;18),
    1.10,
    1.00)</f>
        <v/>
      </c>
      <c r="O5671">
        <f>IF('Loan Tape (S&amp;P)'!T5671="Yes",
    1.35,
    1.00)</f>
        <v/>
      </c>
      <c r="P5671">
        <f>IF('Loan Tape (S&amp;P)'!S5671="Yes",
    1.15,
    1.00)</f>
        <v/>
      </c>
      <c r="Q5671">
        <f>IF('Loan Tape (S&amp;P)'!V5671="Yes",
    1.20,
    1.00)</f>
        <v/>
      </c>
      <c r="T5671">
        <f>LET(
    payment_method,'Loan Tape (S&amp;P)'!P5671,
    occupancy,'Loan Tape (S&amp;P)'!N5671,
    maturity_date,'Loan Tape (S&amp;P)'!L5671,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72">
      <c r="J5672">
        <f>LET(
    lien,'Loan Tape (S&amp;P)'!Q5672,
    IF(lien="First",1.00,
        IF(lien="Second",1.50,
            1.70)))</f>
        <v/>
      </c>
      <c r="K5672">
        <f>LET(
    purpose,'Loan Tape (S&amp;P)'!R5672,
    IF(purpose="Purchase",1.00,
        IF(purpose="Remortgage",1.00,
            1.20)))</f>
        <v/>
      </c>
      <c r="L5672">
        <f>LET(
    arrears_months,'Loan Tape (S&amp;P)'!AN5672,
    IF(arrears_months=0,1.00,
    IF(arrears_months=1,3.00,
    IF(arrears_months=2,5.00,
    IF(arrears_months=3,8.00,
    IF(arrears_months=4,10.00,
    IF(arrears_months=5,12.00,15.00)))))))</f>
        <v/>
      </c>
      <c r="M5672">
        <f>LET(
    seasoning_years,DATEDIF('Loan Tape (S&amp;P)'!K5672,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72">
        <f>IF(AND('Loan Tape (S&amp;P)'!U5672="Yes",
        'Loan Tape (S&amp;P)'!T5672&lt;&gt;"Yes",
        DATEDIF('Loan Tape (S&amp;P)'!K5672, TODAY(), "M")&lt;18),
    1.10,
    1.00)</f>
        <v/>
      </c>
      <c r="O5672">
        <f>IF('Loan Tape (S&amp;P)'!T5672="Yes",
    1.35,
    1.00)</f>
        <v/>
      </c>
      <c r="P5672">
        <f>IF('Loan Tape (S&amp;P)'!S5672="Yes",
    1.15,
    1.00)</f>
        <v/>
      </c>
      <c r="Q5672">
        <f>IF('Loan Tape (S&amp;P)'!V5672="Yes",
    1.20,
    1.00)</f>
        <v/>
      </c>
      <c r="T5672">
        <f>LET(
    payment_method,'Loan Tape (S&amp;P)'!P5672,
    occupancy,'Loan Tape (S&amp;P)'!N5672,
    maturity_date,'Loan Tape (S&amp;P)'!L5672,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73">
      <c r="J5673">
        <f>LET(
    lien,'Loan Tape (S&amp;P)'!Q5673,
    IF(lien="First",1.00,
        IF(lien="Second",1.50,
            1.70)))</f>
        <v/>
      </c>
      <c r="K5673">
        <f>LET(
    purpose,'Loan Tape (S&amp;P)'!R5673,
    IF(purpose="Purchase",1.00,
        IF(purpose="Remortgage",1.00,
            1.20)))</f>
        <v/>
      </c>
      <c r="L5673">
        <f>LET(
    arrears_months,'Loan Tape (S&amp;P)'!AN5673,
    IF(arrears_months=0,1.00,
    IF(arrears_months=1,3.00,
    IF(arrears_months=2,5.00,
    IF(arrears_months=3,8.00,
    IF(arrears_months=4,10.00,
    IF(arrears_months=5,12.00,15.00)))))))</f>
        <v/>
      </c>
      <c r="M5673">
        <f>LET(
    seasoning_years,DATEDIF('Loan Tape (S&amp;P)'!K5673,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73">
        <f>IF(AND('Loan Tape (S&amp;P)'!U5673="Yes",
        'Loan Tape (S&amp;P)'!T5673&lt;&gt;"Yes",
        DATEDIF('Loan Tape (S&amp;P)'!K5673, TODAY(), "M")&lt;18),
    1.10,
    1.00)</f>
        <v/>
      </c>
      <c r="O5673">
        <f>IF('Loan Tape (S&amp;P)'!T5673="Yes",
    1.35,
    1.00)</f>
        <v/>
      </c>
      <c r="P5673">
        <f>IF('Loan Tape (S&amp;P)'!S5673="Yes",
    1.15,
    1.00)</f>
        <v/>
      </c>
      <c r="Q5673">
        <f>IF('Loan Tape (S&amp;P)'!V5673="Yes",
    1.20,
    1.00)</f>
        <v/>
      </c>
      <c r="T5673">
        <f>LET(
    payment_method,'Loan Tape (S&amp;P)'!P5673,
    occupancy,'Loan Tape (S&amp;P)'!N5673,
    maturity_date,'Loan Tape (S&amp;P)'!L5673,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74">
      <c r="J5674">
        <f>LET(
    lien,'Loan Tape (S&amp;P)'!Q5674,
    IF(lien="First",1.00,
        IF(lien="Second",1.50,
            1.70)))</f>
        <v/>
      </c>
      <c r="K5674">
        <f>LET(
    purpose,'Loan Tape (S&amp;P)'!R5674,
    IF(purpose="Purchase",1.00,
        IF(purpose="Remortgage",1.00,
            1.20)))</f>
        <v/>
      </c>
      <c r="L5674">
        <f>LET(
    arrears_months,'Loan Tape (S&amp;P)'!AN5674,
    IF(arrears_months=0,1.00,
    IF(arrears_months=1,3.00,
    IF(arrears_months=2,5.00,
    IF(arrears_months=3,8.00,
    IF(arrears_months=4,10.00,
    IF(arrears_months=5,12.00,15.00)))))))</f>
        <v/>
      </c>
      <c r="M5674">
        <f>LET(
    seasoning_years,DATEDIF('Loan Tape (S&amp;P)'!K5674,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74">
        <f>IF(AND('Loan Tape (S&amp;P)'!U5674="Yes",
        'Loan Tape (S&amp;P)'!T5674&lt;&gt;"Yes",
        DATEDIF('Loan Tape (S&amp;P)'!K5674, TODAY(), "M")&lt;18),
    1.10,
    1.00)</f>
        <v/>
      </c>
      <c r="O5674">
        <f>IF('Loan Tape (S&amp;P)'!T5674="Yes",
    1.35,
    1.00)</f>
        <v/>
      </c>
      <c r="P5674">
        <f>IF('Loan Tape (S&amp;P)'!S5674="Yes",
    1.15,
    1.00)</f>
        <v/>
      </c>
      <c r="Q5674">
        <f>IF('Loan Tape (S&amp;P)'!V5674="Yes",
    1.20,
    1.00)</f>
        <v/>
      </c>
      <c r="T5674">
        <f>LET(
    payment_method,'Loan Tape (S&amp;P)'!P5674,
    occupancy,'Loan Tape (S&amp;P)'!N5674,
    maturity_date,'Loan Tape (S&amp;P)'!L5674,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75">
      <c r="J5675">
        <f>LET(
    lien,'Loan Tape (S&amp;P)'!Q5675,
    IF(lien="First",1.00,
        IF(lien="Second",1.50,
            1.70)))</f>
        <v/>
      </c>
      <c r="K5675">
        <f>LET(
    purpose,'Loan Tape (S&amp;P)'!R5675,
    IF(purpose="Purchase",1.00,
        IF(purpose="Remortgage",1.00,
            1.20)))</f>
        <v/>
      </c>
      <c r="L5675">
        <f>LET(
    arrears_months,'Loan Tape (S&amp;P)'!AN5675,
    IF(arrears_months=0,1.00,
    IF(arrears_months=1,3.00,
    IF(arrears_months=2,5.00,
    IF(arrears_months=3,8.00,
    IF(arrears_months=4,10.00,
    IF(arrears_months=5,12.00,15.00)))))))</f>
        <v/>
      </c>
      <c r="M5675">
        <f>LET(
    seasoning_years,DATEDIF('Loan Tape (S&amp;P)'!K5675,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75">
        <f>IF(AND('Loan Tape (S&amp;P)'!U5675="Yes",
        'Loan Tape (S&amp;P)'!T5675&lt;&gt;"Yes",
        DATEDIF('Loan Tape (S&amp;P)'!K5675, TODAY(), "M")&lt;18),
    1.10,
    1.00)</f>
        <v/>
      </c>
      <c r="O5675">
        <f>IF('Loan Tape (S&amp;P)'!T5675="Yes",
    1.35,
    1.00)</f>
        <v/>
      </c>
      <c r="P5675">
        <f>IF('Loan Tape (S&amp;P)'!S5675="Yes",
    1.15,
    1.00)</f>
        <v/>
      </c>
      <c r="Q5675">
        <f>IF('Loan Tape (S&amp;P)'!V5675="Yes",
    1.20,
    1.00)</f>
        <v/>
      </c>
      <c r="T5675">
        <f>LET(
    payment_method,'Loan Tape (S&amp;P)'!P5675,
    occupancy,'Loan Tape (S&amp;P)'!N5675,
    maturity_date,'Loan Tape (S&amp;P)'!L5675,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76">
      <c r="J5676">
        <f>LET(
    lien,'Loan Tape (S&amp;P)'!Q5676,
    IF(lien="First",1.00,
        IF(lien="Second",1.50,
            1.70)))</f>
        <v/>
      </c>
      <c r="K5676">
        <f>LET(
    purpose,'Loan Tape (S&amp;P)'!R5676,
    IF(purpose="Purchase",1.00,
        IF(purpose="Remortgage",1.00,
            1.20)))</f>
        <v/>
      </c>
      <c r="L5676">
        <f>LET(
    arrears_months,'Loan Tape (S&amp;P)'!AN5676,
    IF(arrears_months=0,1.00,
    IF(arrears_months=1,3.00,
    IF(arrears_months=2,5.00,
    IF(arrears_months=3,8.00,
    IF(arrears_months=4,10.00,
    IF(arrears_months=5,12.00,15.00)))))))</f>
        <v/>
      </c>
      <c r="M5676">
        <f>LET(
    seasoning_years,DATEDIF('Loan Tape (S&amp;P)'!K5676,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76">
        <f>IF(AND('Loan Tape (S&amp;P)'!U5676="Yes",
        'Loan Tape (S&amp;P)'!T5676&lt;&gt;"Yes",
        DATEDIF('Loan Tape (S&amp;P)'!K5676, TODAY(), "M")&lt;18),
    1.10,
    1.00)</f>
        <v/>
      </c>
      <c r="O5676">
        <f>IF('Loan Tape (S&amp;P)'!T5676="Yes",
    1.35,
    1.00)</f>
        <v/>
      </c>
      <c r="P5676">
        <f>IF('Loan Tape (S&amp;P)'!S5676="Yes",
    1.15,
    1.00)</f>
        <v/>
      </c>
      <c r="Q5676">
        <f>IF('Loan Tape (S&amp;P)'!V5676="Yes",
    1.20,
    1.00)</f>
        <v/>
      </c>
      <c r="T5676">
        <f>LET(
    payment_method,'Loan Tape (S&amp;P)'!P5676,
    occupancy,'Loan Tape (S&amp;P)'!N5676,
    maturity_date,'Loan Tape (S&amp;P)'!L5676,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77">
      <c r="J5677">
        <f>LET(
    lien,'Loan Tape (S&amp;P)'!Q5677,
    IF(lien="First",1.00,
        IF(lien="Second",1.50,
            1.70)))</f>
        <v/>
      </c>
      <c r="K5677">
        <f>LET(
    purpose,'Loan Tape (S&amp;P)'!R5677,
    IF(purpose="Purchase",1.00,
        IF(purpose="Remortgage",1.00,
            1.20)))</f>
        <v/>
      </c>
      <c r="L5677">
        <f>LET(
    arrears_months,'Loan Tape (S&amp;P)'!AN5677,
    IF(arrears_months=0,1.00,
    IF(arrears_months=1,3.00,
    IF(arrears_months=2,5.00,
    IF(arrears_months=3,8.00,
    IF(arrears_months=4,10.00,
    IF(arrears_months=5,12.00,15.00)))))))</f>
        <v/>
      </c>
      <c r="M5677">
        <f>LET(
    seasoning_years,DATEDIF('Loan Tape (S&amp;P)'!K5677,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77">
        <f>IF(AND('Loan Tape (S&amp;P)'!U5677="Yes",
        'Loan Tape (S&amp;P)'!T5677&lt;&gt;"Yes",
        DATEDIF('Loan Tape (S&amp;P)'!K5677, TODAY(), "M")&lt;18),
    1.10,
    1.00)</f>
        <v/>
      </c>
      <c r="O5677">
        <f>IF('Loan Tape (S&amp;P)'!T5677="Yes",
    1.35,
    1.00)</f>
        <v/>
      </c>
      <c r="P5677">
        <f>IF('Loan Tape (S&amp;P)'!S5677="Yes",
    1.15,
    1.00)</f>
        <v/>
      </c>
      <c r="Q5677">
        <f>IF('Loan Tape (S&amp;P)'!V5677="Yes",
    1.20,
    1.00)</f>
        <v/>
      </c>
      <c r="T5677">
        <f>LET(
    payment_method,'Loan Tape (S&amp;P)'!P5677,
    occupancy,'Loan Tape (S&amp;P)'!N5677,
    maturity_date,'Loan Tape (S&amp;P)'!L5677,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78">
      <c r="J5678">
        <f>LET(
    lien,'Loan Tape (S&amp;P)'!Q5678,
    IF(lien="First",1.00,
        IF(lien="Second",1.50,
            1.70)))</f>
        <v/>
      </c>
      <c r="K5678">
        <f>LET(
    purpose,'Loan Tape (S&amp;P)'!R5678,
    IF(purpose="Purchase",1.00,
        IF(purpose="Remortgage",1.00,
            1.20)))</f>
        <v/>
      </c>
      <c r="L5678">
        <f>LET(
    arrears_months,'Loan Tape (S&amp;P)'!AN5678,
    IF(arrears_months=0,1.00,
    IF(arrears_months=1,3.00,
    IF(arrears_months=2,5.00,
    IF(arrears_months=3,8.00,
    IF(arrears_months=4,10.00,
    IF(arrears_months=5,12.00,15.00)))))))</f>
        <v/>
      </c>
      <c r="M5678">
        <f>LET(
    seasoning_years,DATEDIF('Loan Tape (S&amp;P)'!K5678,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78">
        <f>IF(AND('Loan Tape (S&amp;P)'!U5678="Yes",
        'Loan Tape (S&amp;P)'!T5678&lt;&gt;"Yes",
        DATEDIF('Loan Tape (S&amp;P)'!K5678, TODAY(), "M")&lt;18),
    1.10,
    1.00)</f>
        <v/>
      </c>
      <c r="O5678">
        <f>IF('Loan Tape (S&amp;P)'!T5678="Yes",
    1.35,
    1.00)</f>
        <v/>
      </c>
      <c r="P5678">
        <f>IF('Loan Tape (S&amp;P)'!S5678="Yes",
    1.15,
    1.00)</f>
        <v/>
      </c>
      <c r="Q5678">
        <f>IF('Loan Tape (S&amp;P)'!V5678="Yes",
    1.20,
    1.00)</f>
        <v/>
      </c>
      <c r="T5678">
        <f>LET(
    payment_method,'Loan Tape (S&amp;P)'!P5678,
    occupancy,'Loan Tape (S&amp;P)'!N5678,
    maturity_date,'Loan Tape (S&amp;P)'!L5678,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79">
      <c r="J5679">
        <f>LET(
    lien,'Loan Tape (S&amp;P)'!Q5679,
    IF(lien="First",1.00,
        IF(lien="Second",1.50,
            1.70)))</f>
        <v/>
      </c>
      <c r="K5679">
        <f>LET(
    purpose,'Loan Tape (S&amp;P)'!R5679,
    IF(purpose="Purchase",1.00,
        IF(purpose="Remortgage",1.00,
            1.20)))</f>
        <v/>
      </c>
      <c r="L5679">
        <f>LET(
    arrears_months,'Loan Tape (S&amp;P)'!AN5679,
    IF(arrears_months=0,1.00,
    IF(arrears_months=1,3.00,
    IF(arrears_months=2,5.00,
    IF(arrears_months=3,8.00,
    IF(arrears_months=4,10.00,
    IF(arrears_months=5,12.00,15.00)))))))</f>
        <v/>
      </c>
      <c r="M5679">
        <f>LET(
    seasoning_years,DATEDIF('Loan Tape (S&amp;P)'!K5679,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79">
        <f>IF(AND('Loan Tape (S&amp;P)'!U5679="Yes",
        'Loan Tape (S&amp;P)'!T5679&lt;&gt;"Yes",
        DATEDIF('Loan Tape (S&amp;P)'!K5679, TODAY(), "M")&lt;18),
    1.10,
    1.00)</f>
        <v/>
      </c>
      <c r="O5679">
        <f>IF('Loan Tape (S&amp;P)'!T5679="Yes",
    1.35,
    1.00)</f>
        <v/>
      </c>
      <c r="P5679">
        <f>IF('Loan Tape (S&amp;P)'!S5679="Yes",
    1.15,
    1.00)</f>
        <v/>
      </c>
      <c r="Q5679">
        <f>IF('Loan Tape (S&amp;P)'!V5679="Yes",
    1.20,
    1.00)</f>
        <v/>
      </c>
      <c r="T5679">
        <f>LET(
    payment_method,'Loan Tape (S&amp;P)'!P5679,
    occupancy,'Loan Tape (S&amp;P)'!N5679,
    maturity_date,'Loan Tape (S&amp;P)'!L5679,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80">
      <c r="J5680">
        <f>LET(
    lien,'Loan Tape (S&amp;P)'!Q5680,
    IF(lien="First",1.00,
        IF(lien="Second",1.50,
            1.70)))</f>
        <v/>
      </c>
      <c r="K5680">
        <f>LET(
    purpose,'Loan Tape (S&amp;P)'!R5680,
    IF(purpose="Purchase",1.00,
        IF(purpose="Remortgage",1.00,
            1.20)))</f>
        <v/>
      </c>
      <c r="L5680">
        <f>LET(
    arrears_months,'Loan Tape (S&amp;P)'!AN5680,
    IF(arrears_months=0,1.00,
    IF(arrears_months=1,3.00,
    IF(arrears_months=2,5.00,
    IF(arrears_months=3,8.00,
    IF(arrears_months=4,10.00,
    IF(arrears_months=5,12.00,15.00)))))))</f>
        <v/>
      </c>
      <c r="M5680">
        <f>LET(
    seasoning_years,DATEDIF('Loan Tape (S&amp;P)'!K5680,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80">
        <f>IF(AND('Loan Tape (S&amp;P)'!U5680="Yes",
        'Loan Tape (S&amp;P)'!T5680&lt;&gt;"Yes",
        DATEDIF('Loan Tape (S&amp;P)'!K5680, TODAY(), "M")&lt;18),
    1.10,
    1.00)</f>
        <v/>
      </c>
      <c r="O5680">
        <f>IF('Loan Tape (S&amp;P)'!T5680="Yes",
    1.35,
    1.00)</f>
        <v/>
      </c>
      <c r="P5680">
        <f>IF('Loan Tape (S&amp;P)'!S5680="Yes",
    1.15,
    1.00)</f>
        <v/>
      </c>
      <c r="Q5680">
        <f>IF('Loan Tape (S&amp;P)'!V5680="Yes",
    1.20,
    1.00)</f>
        <v/>
      </c>
      <c r="T5680">
        <f>LET(
    payment_method,'Loan Tape (S&amp;P)'!P5680,
    occupancy,'Loan Tape (S&amp;P)'!N5680,
    maturity_date,'Loan Tape (S&amp;P)'!L5680,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81">
      <c r="J5681">
        <f>LET(
    lien,'Loan Tape (S&amp;P)'!Q5681,
    IF(lien="First",1.00,
        IF(lien="Second",1.50,
            1.70)))</f>
        <v/>
      </c>
      <c r="K5681">
        <f>LET(
    purpose,'Loan Tape (S&amp;P)'!R5681,
    IF(purpose="Purchase",1.00,
        IF(purpose="Remortgage",1.00,
            1.20)))</f>
        <v/>
      </c>
      <c r="L5681">
        <f>LET(
    arrears_months,'Loan Tape (S&amp;P)'!AN5681,
    IF(arrears_months=0,1.00,
    IF(arrears_months=1,3.00,
    IF(arrears_months=2,5.00,
    IF(arrears_months=3,8.00,
    IF(arrears_months=4,10.00,
    IF(arrears_months=5,12.00,15.00)))))))</f>
        <v/>
      </c>
      <c r="M5681">
        <f>LET(
    seasoning_years,DATEDIF('Loan Tape (S&amp;P)'!K5681,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81">
        <f>IF(AND('Loan Tape (S&amp;P)'!U5681="Yes",
        'Loan Tape (S&amp;P)'!T5681&lt;&gt;"Yes",
        DATEDIF('Loan Tape (S&amp;P)'!K5681, TODAY(), "M")&lt;18),
    1.10,
    1.00)</f>
        <v/>
      </c>
      <c r="O5681">
        <f>IF('Loan Tape (S&amp;P)'!T5681="Yes",
    1.35,
    1.00)</f>
        <v/>
      </c>
      <c r="P5681">
        <f>IF('Loan Tape (S&amp;P)'!S5681="Yes",
    1.15,
    1.00)</f>
        <v/>
      </c>
      <c r="Q5681">
        <f>IF('Loan Tape (S&amp;P)'!V5681="Yes",
    1.20,
    1.00)</f>
        <v/>
      </c>
      <c r="T5681">
        <f>LET(
    payment_method,'Loan Tape (S&amp;P)'!P5681,
    occupancy,'Loan Tape (S&amp;P)'!N5681,
    maturity_date,'Loan Tape (S&amp;P)'!L5681,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82">
      <c r="J5682">
        <f>LET(
    lien,'Loan Tape (S&amp;P)'!Q5682,
    IF(lien="First",1.00,
        IF(lien="Second",1.50,
            1.70)))</f>
        <v/>
      </c>
      <c r="K5682">
        <f>LET(
    purpose,'Loan Tape (S&amp;P)'!R5682,
    IF(purpose="Purchase",1.00,
        IF(purpose="Remortgage",1.00,
            1.20)))</f>
        <v/>
      </c>
      <c r="L5682">
        <f>LET(
    arrears_months,'Loan Tape (S&amp;P)'!AN5682,
    IF(arrears_months=0,1.00,
    IF(arrears_months=1,3.00,
    IF(arrears_months=2,5.00,
    IF(arrears_months=3,8.00,
    IF(arrears_months=4,10.00,
    IF(arrears_months=5,12.00,15.00)))))))</f>
        <v/>
      </c>
      <c r="M5682">
        <f>LET(
    seasoning_years,DATEDIF('Loan Tape (S&amp;P)'!K5682,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82">
        <f>IF(AND('Loan Tape (S&amp;P)'!U5682="Yes",
        'Loan Tape (S&amp;P)'!T5682&lt;&gt;"Yes",
        DATEDIF('Loan Tape (S&amp;P)'!K5682, TODAY(), "M")&lt;18),
    1.10,
    1.00)</f>
        <v/>
      </c>
      <c r="O5682">
        <f>IF('Loan Tape (S&amp;P)'!T5682="Yes",
    1.35,
    1.00)</f>
        <v/>
      </c>
      <c r="P5682">
        <f>IF('Loan Tape (S&amp;P)'!S5682="Yes",
    1.15,
    1.00)</f>
        <v/>
      </c>
      <c r="Q5682">
        <f>IF('Loan Tape (S&amp;P)'!V5682="Yes",
    1.20,
    1.00)</f>
        <v/>
      </c>
      <c r="T5682">
        <f>LET(
    payment_method,'Loan Tape (S&amp;P)'!P5682,
    occupancy,'Loan Tape (S&amp;P)'!N5682,
    maturity_date,'Loan Tape (S&amp;P)'!L5682,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83">
      <c r="J5683">
        <f>LET(
    lien,'Loan Tape (S&amp;P)'!Q5683,
    IF(lien="First",1.00,
        IF(lien="Second",1.50,
            1.70)))</f>
        <v/>
      </c>
      <c r="K5683">
        <f>LET(
    purpose,'Loan Tape (S&amp;P)'!R5683,
    IF(purpose="Purchase",1.00,
        IF(purpose="Remortgage",1.00,
            1.20)))</f>
        <v/>
      </c>
      <c r="L5683">
        <f>LET(
    arrears_months,'Loan Tape (S&amp;P)'!AN5683,
    IF(arrears_months=0,1.00,
    IF(arrears_months=1,3.00,
    IF(arrears_months=2,5.00,
    IF(arrears_months=3,8.00,
    IF(arrears_months=4,10.00,
    IF(arrears_months=5,12.00,15.00)))))))</f>
        <v/>
      </c>
      <c r="M5683">
        <f>LET(
    seasoning_years,DATEDIF('Loan Tape (S&amp;P)'!K5683,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83">
        <f>IF(AND('Loan Tape (S&amp;P)'!U5683="Yes",
        'Loan Tape (S&amp;P)'!T5683&lt;&gt;"Yes",
        DATEDIF('Loan Tape (S&amp;P)'!K5683, TODAY(), "M")&lt;18),
    1.10,
    1.00)</f>
        <v/>
      </c>
      <c r="O5683">
        <f>IF('Loan Tape (S&amp;P)'!T5683="Yes",
    1.35,
    1.00)</f>
        <v/>
      </c>
      <c r="P5683">
        <f>IF('Loan Tape (S&amp;P)'!S5683="Yes",
    1.15,
    1.00)</f>
        <v/>
      </c>
      <c r="Q5683">
        <f>IF('Loan Tape (S&amp;P)'!V5683="Yes",
    1.20,
    1.00)</f>
        <v/>
      </c>
      <c r="T5683">
        <f>LET(
    payment_method,'Loan Tape (S&amp;P)'!P5683,
    occupancy,'Loan Tape (S&amp;P)'!N5683,
    maturity_date,'Loan Tape (S&amp;P)'!L5683,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84">
      <c r="J5684">
        <f>LET(
    lien,'Loan Tape (S&amp;P)'!Q5684,
    IF(lien="First",1.00,
        IF(lien="Second",1.50,
            1.70)))</f>
        <v/>
      </c>
      <c r="K5684">
        <f>LET(
    purpose,'Loan Tape (S&amp;P)'!R5684,
    IF(purpose="Purchase",1.00,
        IF(purpose="Remortgage",1.00,
            1.20)))</f>
        <v/>
      </c>
      <c r="L5684">
        <f>LET(
    arrears_months,'Loan Tape (S&amp;P)'!AN5684,
    IF(arrears_months=0,1.00,
    IF(arrears_months=1,3.00,
    IF(arrears_months=2,5.00,
    IF(arrears_months=3,8.00,
    IF(arrears_months=4,10.00,
    IF(arrears_months=5,12.00,15.00)))))))</f>
        <v/>
      </c>
      <c r="M5684">
        <f>LET(
    seasoning_years,DATEDIF('Loan Tape (S&amp;P)'!K5684,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84">
        <f>IF(AND('Loan Tape (S&amp;P)'!U5684="Yes",
        'Loan Tape (S&amp;P)'!T5684&lt;&gt;"Yes",
        DATEDIF('Loan Tape (S&amp;P)'!K5684, TODAY(), "M")&lt;18),
    1.10,
    1.00)</f>
        <v/>
      </c>
      <c r="O5684">
        <f>IF('Loan Tape (S&amp;P)'!T5684="Yes",
    1.35,
    1.00)</f>
        <v/>
      </c>
      <c r="P5684">
        <f>IF('Loan Tape (S&amp;P)'!S5684="Yes",
    1.15,
    1.00)</f>
        <v/>
      </c>
      <c r="Q5684">
        <f>IF('Loan Tape (S&amp;P)'!V5684="Yes",
    1.20,
    1.00)</f>
        <v/>
      </c>
      <c r="T5684">
        <f>LET(
    payment_method,'Loan Tape (S&amp;P)'!P5684,
    occupancy,'Loan Tape (S&amp;P)'!N5684,
    maturity_date,'Loan Tape (S&amp;P)'!L5684,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85">
      <c r="J5685">
        <f>LET(
    lien,'Loan Tape (S&amp;P)'!Q5685,
    IF(lien="First",1.00,
        IF(lien="Second",1.50,
            1.70)))</f>
        <v/>
      </c>
      <c r="K5685">
        <f>LET(
    purpose,'Loan Tape (S&amp;P)'!R5685,
    IF(purpose="Purchase",1.00,
        IF(purpose="Remortgage",1.00,
            1.20)))</f>
        <v/>
      </c>
      <c r="L5685">
        <f>LET(
    arrears_months,'Loan Tape (S&amp;P)'!AN5685,
    IF(arrears_months=0,1.00,
    IF(arrears_months=1,3.00,
    IF(arrears_months=2,5.00,
    IF(arrears_months=3,8.00,
    IF(arrears_months=4,10.00,
    IF(arrears_months=5,12.00,15.00)))))))</f>
        <v/>
      </c>
      <c r="M5685">
        <f>LET(
    seasoning_years,DATEDIF('Loan Tape (S&amp;P)'!K5685,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85">
        <f>IF(AND('Loan Tape (S&amp;P)'!U5685="Yes",
        'Loan Tape (S&amp;P)'!T5685&lt;&gt;"Yes",
        DATEDIF('Loan Tape (S&amp;P)'!K5685, TODAY(), "M")&lt;18),
    1.10,
    1.00)</f>
        <v/>
      </c>
      <c r="O5685">
        <f>IF('Loan Tape (S&amp;P)'!T5685="Yes",
    1.35,
    1.00)</f>
        <v/>
      </c>
      <c r="P5685">
        <f>IF('Loan Tape (S&amp;P)'!S5685="Yes",
    1.15,
    1.00)</f>
        <v/>
      </c>
      <c r="Q5685">
        <f>IF('Loan Tape (S&amp;P)'!V5685="Yes",
    1.20,
    1.00)</f>
        <v/>
      </c>
      <c r="T5685">
        <f>LET(
    payment_method,'Loan Tape (S&amp;P)'!P5685,
    occupancy,'Loan Tape (S&amp;P)'!N5685,
    maturity_date,'Loan Tape (S&amp;P)'!L5685,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86">
      <c r="J5686">
        <f>LET(
    lien,'Loan Tape (S&amp;P)'!Q5686,
    IF(lien="First",1.00,
        IF(lien="Second",1.50,
            1.70)))</f>
        <v/>
      </c>
      <c r="K5686">
        <f>LET(
    purpose,'Loan Tape (S&amp;P)'!R5686,
    IF(purpose="Purchase",1.00,
        IF(purpose="Remortgage",1.00,
            1.20)))</f>
        <v/>
      </c>
      <c r="L5686">
        <f>LET(
    arrears_months,'Loan Tape (S&amp;P)'!AN5686,
    IF(arrears_months=0,1.00,
    IF(arrears_months=1,3.00,
    IF(arrears_months=2,5.00,
    IF(arrears_months=3,8.00,
    IF(arrears_months=4,10.00,
    IF(arrears_months=5,12.00,15.00)))))))</f>
        <v/>
      </c>
      <c r="M5686">
        <f>LET(
    seasoning_years,DATEDIF('Loan Tape (S&amp;P)'!K5686,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86">
        <f>IF(AND('Loan Tape (S&amp;P)'!U5686="Yes",
        'Loan Tape (S&amp;P)'!T5686&lt;&gt;"Yes",
        DATEDIF('Loan Tape (S&amp;P)'!K5686, TODAY(), "M")&lt;18),
    1.10,
    1.00)</f>
        <v/>
      </c>
      <c r="O5686">
        <f>IF('Loan Tape (S&amp;P)'!T5686="Yes",
    1.35,
    1.00)</f>
        <v/>
      </c>
      <c r="P5686">
        <f>IF('Loan Tape (S&amp;P)'!S5686="Yes",
    1.15,
    1.00)</f>
        <v/>
      </c>
      <c r="Q5686">
        <f>IF('Loan Tape (S&amp;P)'!V5686="Yes",
    1.20,
    1.00)</f>
        <v/>
      </c>
      <c r="T5686">
        <f>LET(
    payment_method,'Loan Tape (S&amp;P)'!P5686,
    occupancy,'Loan Tape (S&amp;P)'!N5686,
    maturity_date,'Loan Tape (S&amp;P)'!L5686,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87">
      <c r="J5687">
        <f>LET(
    lien,'Loan Tape (S&amp;P)'!Q5687,
    IF(lien="First",1.00,
        IF(lien="Second",1.50,
            1.70)))</f>
        <v/>
      </c>
      <c r="K5687">
        <f>LET(
    purpose,'Loan Tape (S&amp;P)'!R5687,
    IF(purpose="Purchase",1.00,
        IF(purpose="Remortgage",1.00,
            1.20)))</f>
        <v/>
      </c>
      <c r="L5687">
        <f>LET(
    arrears_months,'Loan Tape (S&amp;P)'!AN5687,
    IF(arrears_months=0,1.00,
    IF(arrears_months=1,3.00,
    IF(arrears_months=2,5.00,
    IF(arrears_months=3,8.00,
    IF(arrears_months=4,10.00,
    IF(arrears_months=5,12.00,15.00)))))))</f>
        <v/>
      </c>
      <c r="M5687">
        <f>LET(
    seasoning_years,DATEDIF('Loan Tape (S&amp;P)'!K5687,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87">
        <f>IF(AND('Loan Tape (S&amp;P)'!U5687="Yes",
        'Loan Tape (S&amp;P)'!T5687&lt;&gt;"Yes",
        DATEDIF('Loan Tape (S&amp;P)'!K5687, TODAY(), "M")&lt;18),
    1.10,
    1.00)</f>
        <v/>
      </c>
      <c r="O5687">
        <f>IF('Loan Tape (S&amp;P)'!T5687="Yes",
    1.35,
    1.00)</f>
        <v/>
      </c>
      <c r="P5687">
        <f>IF('Loan Tape (S&amp;P)'!S5687="Yes",
    1.15,
    1.00)</f>
        <v/>
      </c>
      <c r="Q5687">
        <f>IF('Loan Tape (S&amp;P)'!V5687="Yes",
    1.20,
    1.00)</f>
        <v/>
      </c>
      <c r="T5687">
        <f>LET(
    payment_method,'Loan Tape (S&amp;P)'!P5687,
    occupancy,'Loan Tape (S&amp;P)'!N5687,
    maturity_date,'Loan Tape (S&amp;P)'!L5687,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88">
      <c r="J5688">
        <f>LET(
    lien,'Loan Tape (S&amp;P)'!Q5688,
    IF(lien="First",1.00,
        IF(lien="Second",1.50,
            1.70)))</f>
        <v/>
      </c>
      <c r="K5688">
        <f>LET(
    purpose,'Loan Tape (S&amp;P)'!R5688,
    IF(purpose="Purchase",1.00,
        IF(purpose="Remortgage",1.00,
            1.20)))</f>
        <v/>
      </c>
      <c r="L5688">
        <f>LET(
    arrears_months,'Loan Tape (S&amp;P)'!AN5688,
    IF(arrears_months=0,1.00,
    IF(arrears_months=1,3.00,
    IF(arrears_months=2,5.00,
    IF(arrears_months=3,8.00,
    IF(arrears_months=4,10.00,
    IF(arrears_months=5,12.00,15.00)))))))</f>
        <v/>
      </c>
      <c r="M5688">
        <f>LET(
    seasoning_years,DATEDIF('Loan Tape (S&amp;P)'!K5688,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88">
        <f>IF(AND('Loan Tape (S&amp;P)'!U5688="Yes",
        'Loan Tape (S&amp;P)'!T5688&lt;&gt;"Yes",
        DATEDIF('Loan Tape (S&amp;P)'!K5688, TODAY(), "M")&lt;18),
    1.10,
    1.00)</f>
        <v/>
      </c>
      <c r="O5688">
        <f>IF('Loan Tape (S&amp;P)'!T5688="Yes",
    1.35,
    1.00)</f>
        <v/>
      </c>
      <c r="P5688">
        <f>IF('Loan Tape (S&amp;P)'!S5688="Yes",
    1.15,
    1.00)</f>
        <v/>
      </c>
      <c r="Q5688">
        <f>IF('Loan Tape (S&amp;P)'!V5688="Yes",
    1.20,
    1.00)</f>
        <v/>
      </c>
      <c r="T5688">
        <f>LET(
    payment_method,'Loan Tape (S&amp;P)'!P5688,
    occupancy,'Loan Tape (S&amp;P)'!N5688,
    maturity_date,'Loan Tape (S&amp;P)'!L5688,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89">
      <c r="J5689">
        <f>LET(
    lien,'Loan Tape (S&amp;P)'!Q5689,
    IF(lien="First",1.00,
        IF(lien="Second",1.50,
            1.70)))</f>
        <v/>
      </c>
      <c r="K5689">
        <f>LET(
    purpose,'Loan Tape (S&amp;P)'!R5689,
    IF(purpose="Purchase",1.00,
        IF(purpose="Remortgage",1.00,
            1.20)))</f>
        <v/>
      </c>
      <c r="L5689">
        <f>LET(
    arrears_months,'Loan Tape (S&amp;P)'!AN5689,
    IF(arrears_months=0,1.00,
    IF(arrears_months=1,3.00,
    IF(arrears_months=2,5.00,
    IF(arrears_months=3,8.00,
    IF(arrears_months=4,10.00,
    IF(arrears_months=5,12.00,15.00)))))))</f>
        <v/>
      </c>
      <c r="M5689">
        <f>LET(
    seasoning_years,DATEDIF('Loan Tape (S&amp;P)'!K5689,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89">
        <f>IF(AND('Loan Tape (S&amp;P)'!U5689="Yes",
        'Loan Tape (S&amp;P)'!T5689&lt;&gt;"Yes",
        DATEDIF('Loan Tape (S&amp;P)'!K5689, TODAY(), "M")&lt;18),
    1.10,
    1.00)</f>
        <v/>
      </c>
      <c r="O5689">
        <f>IF('Loan Tape (S&amp;P)'!T5689="Yes",
    1.35,
    1.00)</f>
        <v/>
      </c>
      <c r="P5689">
        <f>IF('Loan Tape (S&amp;P)'!S5689="Yes",
    1.15,
    1.00)</f>
        <v/>
      </c>
      <c r="Q5689">
        <f>IF('Loan Tape (S&amp;P)'!V5689="Yes",
    1.20,
    1.00)</f>
        <v/>
      </c>
      <c r="T5689">
        <f>LET(
    payment_method,'Loan Tape (S&amp;P)'!P5689,
    occupancy,'Loan Tape (S&amp;P)'!N5689,
    maturity_date,'Loan Tape (S&amp;P)'!L5689,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90">
      <c r="J5690">
        <f>LET(
    lien,'Loan Tape (S&amp;P)'!Q5690,
    IF(lien="First",1.00,
        IF(lien="Second",1.50,
            1.70)))</f>
        <v/>
      </c>
      <c r="K5690">
        <f>LET(
    purpose,'Loan Tape (S&amp;P)'!R5690,
    IF(purpose="Purchase",1.00,
        IF(purpose="Remortgage",1.00,
            1.20)))</f>
        <v/>
      </c>
      <c r="L5690">
        <f>LET(
    arrears_months,'Loan Tape (S&amp;P)'!AN5690,
    IF(arrears_months=0,1.00,
    IF(arrears_months=1,3.00,
    IF(arrears_months=2,5.00,
    IF(arrears_months=3,8.00,
    IF(arrears_months=4,10.00,
    IF(arrears_months=5,12.00,15.00)))))))</f>
        <v/>
      </c>
      <c r="M5690">
        <f>LET(
    seasoning_years,DATEDIF('Loan Tape (S&amp;P)'!K5690,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90">
        <f>IF(AND('Loan Tape (S&amp;P)'!U5690="Yes",
        'Loan Tape (S&amp;P)'!T5690&lt;&gt;"Yes",
        DATEDIF('Loan Tape (S&amp;P)'!K5690, TODAY(), "M")&lt;18),
    1.10,
    1.00)</f>
        <v/>
      </c>
      <c r="O5690">
        <f>IF('Loan Tape (S&amp;P)'!T5690="Yes",
    1.35,
    1.00)</f>
        <v/>
      </c>
      <c r="P5690">
        <f>IF('Loan Tape (S&amp;P)'!S5690="Yes",
    1.15,
    1.00)</f>
        <v/>
      </c>
      <c r="Q5690">
        <f>IF('Loan Tape (S&amp;P)'!V5690="Yes",
    1.20,
    1.00)</f>
        <v/>
      </c>
      <c r="T5690">
        <f>LET(
    payment_method,'Loan Tape (S&amp;P)'!P5690,
    occupancy,'Loan Tape (S&amp;P)'!N5690,
    maturity_date,'Loan Tape (S&amp;P)'!L5690,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91">
      <c r="J5691">
        <f>LET(
    lien,'Loan Tape (S&amp;P)'!Q5691,
    IF(lien="First",1.00,
        IF(lien="Second",1.50,
            1.70)))</f>
        <v/>
      </c>
      <c r="K5691">
        <f>LET(
    purpose,'Loan Tape (S&amp;P)'!R5691,
    IF(purpose="Purchase",1.00,
        IF(purpose="Remortgage",1.00,
            1.20)))</f>
        <v/>
      </c>
      <c r="L5691">
        <f>LET(
    arrears_months,'Loan Tape (S&amp;P)'!AN5691,
    IF(arrears_months=0,1.00,
    IF(arrears_months=1,3.00,
    IF(arrears_months=2,5.00,
    IF(arrears_months=3,8.00,
    IF(arrears_months=4,10.00,
    IF(arrears_months=5,12.00,15.00)))))))</f>
        <v/>
      </c>
      <c r="M5691">
        <f>LET(
    seasoning_years,DATEDIF('Loan Tape (S&amp;P)'!K5691,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91">
        <f>IF(AND('Loan Tape (S&amp;P)'!U5691="Yes",
        'Loan Tape (S&amp;P)'!T5691&lt;&gt;"Yes",
        DATEDIF('Loan Tape (S&amp;P)'!K5691, TODAY(), "M")&lt;18),
    1.10,
    1.00)</f>
        <v/>
      </c>
      <c r="O5691">
        <f>IF('Loan Tape (S&amp;P)'!T5691="Yes",
    1.35,
    1.00)</f>
        <v/>
      </c>
      <c r="P5691">
        <f>IF('Loan Tape (S&amp;P)'!S5691="Yes",
    1.15,
    1.00)</f>
        <v/>
      </c>
      <c r="Q5691">
        <f>IF('Loan Tape (S&amp;P)'!V5691="Yes",
    1.20,
    1.00)</f>
        <v/>
      </c>
      <c r="T5691">
        <f>LET(
    payment_method,'Loan Tape (S&amp;P)'!P5691,
    occupancy,'Loan Tape (S&amp;P)'!N5691,
    maturity_date,'Loan Tape (S&amp;P)'!L5691,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92">
      <c r="J5692">
        <f>LET(
    lien,'Loan Tape (S&amp;P)'!Q5692,
    IF(lien="First",1.00,
        IF(lien="Second",1.50,
            1.70)))</f>
        <v/>
      </c>
      <c r="K5692">
        <f>LET(
    purpose,'Loan Tape (S&amp;P)'!R5692,
    IF(purpose="Purchase",1.00,
        IF(purpose="Remortgage",1.00,
            1.20)))</f>
        <v/>
      </c>
      <c r="L5692">
        <f>LET(
    arrears_months,'Loan Tape (S&amp;P)'!AN5692,
    IF(arrears_months=0,1.00,
    IF(arrears_months=1,3.00,
    IF(arrears_months=2,5.00,
    IF(arrears_months=3,8.00,
    IF(arrears_months=4,10.00,
    IF(arrears_months=5,12.00,15.00)))))))</f>
        <v/>
      </c>
      <c r="M5692">
        <f>LET(
    seasoning_years,DATEDIF('Loan Tape (S&amp;P)'!K5692,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92">
        <f>IF(AND('Loan Tape (S&amp;P)'!U5692="Yes",
        'Loan Tape (S&amp;P)'!T5692&lt;&gt;"Yes",
        DATEDIF('Loan Tape (S&amp;P)'!K5692, TODAY(), "M")&lt;18),
    1.10,
    1.00)</f>
        <v/>
      </c>
      <c r="O5692">
        <f>IF('Loan Tape (S&amp;P)'!T5692="Yes",
    1.35,
    1.00)</f>
        <v/>
      </c>
      <c r="P5692">
        <f>IF('Loan Tape (S&amp;P)'!S5692="Yes",
    1.15,
    1.00)</f>
        <v/>
      </c>
      <c r="Q5692">
        <f>IF('Loan Tape (S&amp;P)'!V5692="Yes",
    1.20,
    1.00)</f>
        <v/>
      </c>
      <c r="T5692">
        <f>LET(
    payment_method,'Loan Tape (S&amp;P)'!P5692,
    occupancy,'Loan Tape (S&amp;P)'!N5692,
    maturity_date,'Loan Tape (S&amp;P)'!L5692,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93">
      <c r="J5693">
        <f>LET(
    lien,'Loan Tape (S&amp;P)'!Q5693,
    IF(lien="First",1.00,
        IF(lien="Second",1.50,
            1.70)))</f>
        <v/>
      </c>
      <c r="K5693">
        <f>LET(
    purpose,'Loan Tape (S&amp;P)'!R5693,
    IF(purpose="Purchase",1.00,
        IF(purpose="Remortgage",1.00,
            1.20)))</f>
        <v/>
      </c>
      <c r="L5693">
        <f>LET(
    arrears_months,'Loan Tape (S&amp;P)'!AN5693,
    IF(arrears_months=0,1.00,
    IF(arrears_months=1,3.00,
    IF(arrears_months=2,5.00,
    IF(arrears_months=3,8.00,
    IF(arrears_months=4,10.00,
    IF(arrears_months=5,12.00,15.00)))))))</f>
        <v/>
      </c>
      <c r="M5693">
        <f>LET(
    seasoning_years,DATEDIF('Loan Tape (S&amp;P)'!K5693,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93">
        <f>IF(AND('Loan Tape (S&amp;P)'!U5693="Yes",
        'Loan Tape (S&amp;P)'!T5693&lt;&gt;"Yes",
        DATEDIF('Loan Tape (S&amp;P)'!K5693, TODAY(), "M")&lt;18),
    1.10,
    1.00)</f>
        <v/>
      </c>
      <c r="O5693">
        <f>IF('Loan Tape (S&amp;P)'!T5693="Yes",
    1.35,
    1.00)</f>
        <v/>
      </c>
      <c r="P5693">
        <f>IF('Loan Tape (S&amp;P)'!S5693="Yes",
    1.15,
    1.00)</f>
        <v/>
      </c>
      <c r="Q5693">
        <f>IF('Loan Tape (S&amp;P)'!V5693="Yes",
    1.20,
    1.00)</f>
        <v/>
      </c>
      <c r="T5693">
        <f>LET(
    payment_method,'Loan Tape (S&amp;P)'!P5693,
    occupancy,'Loan Tape (S&amp;P)'!N5693,
    maturity_date,'Loan Tape (S&amp;P)'!L5693,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94">
      <c r="J5694">
        <f>LET(
    lien,'Loan Tape (S&amp;P)'!Q5694,
    IF(lien="First",1.00,
        IF(lien="Second",1.50,
            1.70)))</f>
        <v/>
      </c>
      <c r="K5694">
        <f>LET(
    purpose,'Loan Tape (S&amp;P)'!R5694,
    IF(purpose="Purchase",1.00,
        IF(purpose="Remortgage",1.00,
            1.20)))</f>
        <v/>
      </c>
      <c r="L5694">
        <f>LET(
    arrears_months,'Loan Tape (S&amp;P)'!AN5694,
    IF(arrears_months=0,1.00,
    IF(arrears_months=1,3.00,
    IF(arrears_months=2,5.00,
    IF(arrears_months=3,8.00,
    IF(arrears_months=4,10.00,
    IF(arrears_months=5,12.00,15.00)))))))</f>
        <v/>
      </c>
      <c r="M5694">
        <f>LET(
    seasoning_years,DATEDIF('Loan Tape (S&amp;P)'!K5694,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94">
        <f>IF(AND('Loan Tape (S&amp;P)'!U5694="Yes",
        'Loan Tape (S&amp;P)'!T5694&lt;&gt;"Yes",
        DATEDIF('Loan Tape (S&amp;P)'!K5694, TODAY(), "M")&lt;18),
    1.10,
    1.00)</f>
        <v/>
      </c>
      <c r="O5694">
        <f>IF('Loan Tape (S&amp;P)'!T5694="Yes",
    1.35,
    1.00)</f>
        <v/>
      </c>
      <c r="P5694">
        <f>IF('Loan Tape (S&amp;P)'!S5694="Yes",
    1.15,
    1.00)</f>
        <v/>
      </c>
      <c r="Q5694">
        <f>IF('Loan Tape (S&amp;P)'!V5694="Yes",
    1.20,
    1.00)</f>
        <v/>
      </c>
      <c r="T5694">
        <f>LET(
    payment_method,'Loan Tape (S&amp;P)'!P5694,
    occupancy,'Loan Tape (S&amp;P)'!N5694,
    maturity_date,'Loan Tape (S&amp;P)'!L5694,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95">
      <c r="J5695">
        <f>LET(
    lien,'Loan Tape (S&amp;P)'!Q5695,
    IF(lien="First",1.00,
        IF(lien="Second",1.50,
            1.70)))</f>
        <v/>
      </c>
      <c r="K5695">
        <f>LET(
    purpose,'Loan Tape (S&amp;P)'!R5695,
    IF(purpose="Purchase",1.00,
        IF(purpose="Remortgage",1.00,
            1.20)))</f>
        <v/>
      </c>
      <c r="L5695">
        <f>LET(
    arrears_months,'Loan Tape (S&amp;P)'!AN5695,
    IF(arrears_months=0,1.00,
    IF(arrears_months=1,3.00,
    IF(arrears_months=2,5.00,
    IF(arrears_months=3,8.00,
    IF(arrears_months=4,10.00,
    IF(arrears_months=5,12.00,15.00)))))))</f>
        <v/>
      </c>
      <c r="M5695">
        <f>LET(
    seasoning_years,DATEDIF('Loan Tape (S&amp;P)'!K5695,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95">
        <f>IF(AND('Loan Tape (S&amp;P)'!U5695="Yes",
        'Loan Tape (S&amp;P)'!T5695&lt;&gt;"Yes",
        DATEDIF('Loan Tape (S&amp;P)'!K5695, TODAY(), "M")&lt;18),
    1.10,
    1.00)</f>
        <v/>
      </c>
      <c r="O5695">
        <f>IF('Loan Tape (S&amp;P)'!T5695="Yes",
    1.35,
    1.00)</f>
        <v/>
      </c>
      <c r="P5695">
        <f>IF('Loan Tape (S&amp;P)'!S5695="Yes",
    1.15,
    1.00)</f>
        <v/>
      </c>
      <c r="Q5695">
        <f>IF('Loan Tape (S&amp;P)'!V5695="Yes",
    1.20,
    1.00)</f>
        <v/>
      </c>
      <c r="T5695">
        <f>LET(
    payment_method,'Loan Tape (S&amp;P)'!P5695,
    occupancy,'Loan Tape (S&amp;P)'!N5695,
    maturity_date,'Loan Tape (S&amp;P)'!L5695,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96">
      <c r="J5696">
        <f>LET(
    lien,'Loan Tape (S&amp;P)'!Q5696,
    IF(lien="First",1.00,
        IF(lien="Second",1.50,
            1.70)))</f>
        <v/>
      </c>
      <c r="K5696">
        <f>LET(
    purpose,'Loan Tape (S&amp;P)'!R5696,
    IF(purpose="Purchase",1.00,
        IF(purpose="Remortgage",1.00,
            1.20)))</f>
        <v/>
      </c>
      <c r="L5696">
        <f>LET(
    arrears_months,'Loan Tape (S&amp;P)'!AN5696,
    IF(arrears_months=0,1.00,
    IF(arrears_months=1,3.00,
    IF(arrears_months=2,5.00,
    IF(arrears_months=3,8.00,
    IF(arrears_months=4,10.00,
    IF(arrears_months=5,12.00,15.00)))))))</f>
        <v/>
      </c>
      <c r="M5696">
        <f>LET(
    seasoning_years,DATEDIF('Loan Tape (S&amp;P)'!K5696,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96">
        <f>IF(AND('Loan Tape (S&amp;P)'!U5696="Yes",
        'Loan Tape (S&amp;P)'!T5696&lt;&gt;"Yes",
        DATEDIF('Loan Tape (S&amp;P)'!K5696, TODAY(), "M")&lt;18),
    1.10,
    1.00)</f>
        <v/>
      </c>
      <c r="O5696">
        <f>IF('Loan Tape (S&amp;P)'!T5696="Yes",
    1.35,
    1.00)</f>
        <v/>
      </c>
      <c r="P5696">
        <f>IF('Loan Tape (S&amp;P)'!S5696="Yes",
    1.15,
    1.00)</f>
        <v/>
      </c>
      <c r="Q5696">
        <f>IF('Loan Tape (S&amp;P)'!V5696="Yes",
    1.20,
    1.00)</f>
        <v/>
      </c>
      <c r="T5696">
        <f>LET(
    payment_method,'Loan Tape (S&amp;P)'!P5696,
    occupancy,'Loan Tape (S&amp;P)'!N5696,
    maturity_date,'Loan Tape (S&amp;P)'!L5696,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97">
      <c r="J5697">
        <f>LET(
    lien,'Loan Tape (S&amp;P)'!Q5697,
    IF(lien="First",1.00,
        IF(lien="Second",1.50,
            1.70)))</f>
        <v/>
      </c>
      <c r="K5697">
        <f>LET(
    purpose,'Loan Tape (S&amp;P)'!R5697,
    IF(purpose="Purchase",1.00,
        IF(purpose="Remortgage",1.00,
            1.20)))</f>
        <v/>
      </c>
      <c r="L5697">
        <f>LET(
    arrears_months,'Loan Tape (S&amp;P)'!AN5697,
    IF(arrears_months=0,1.00,
    IF(arrears_months=1,3.00,
    IF(arrears_months=2,5.00,
    IF(arrears_months=3,8.00,
    IF(arrears_months=4,10.00,
    IF(arrears_months=5,12.00,15.00)))))))</f>
        <v/>
      </c>
      <c r="M5697">
        <f>LET(
    seasoning_years,DATEDIF('Loan Tape (S&amp;P)'!K5697,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97">
        <f>IF(AND('Loan Tape (S&amp;P)'!U5697="Yes",
        'Loan Tape (S&amp;P)'!T5697&lt;&gt;"Yes",
        DATEDIF('Loan Tape (S&amp;P)'!K5697, TODAY(), "M")&lt;18),
    1.10,
    1.00)</f>
        <v/>
      </c>
      <c r="O5697">
        <f>IF('Loan Tape (S&amp;P)'!T5697="Yes",
    1.35,
    1.00)</f>
        <v/>
      </c>
      <c r="P5697">
        <f>IF('Loan Tape (S&amp;P)'!S5697="Yes",
    1.15,
    1.00)</f>
        <v/>
      </c>
      <c r="Q5697">
        <f>IF('Loan Tape (S&amp;P)'!V5697="Yes",
    1.20,
    1.00)</f>
        <v/>
      </c>
      <c r="T5697">
        <f>LET(
    payment_method,'Loan Tape (S&amp;P)'!P5697,
    occupancy,'Loan Tape (S&amp;P)'!N5697,
    maturity_date,'Loan Tape (S&amp;P)'!L5697,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98">
      <c r="J5698">
        <f>LET(
    lien,'Loan Tape (S&amp;P)'!Q5698,
    IF(lien="First",1.00,
        IF(lien="Second",1.50,
            1.70)))</f>
        <v/>
      </c>
      <c r="K5698">
        <f>LET(
    purpose,'Loan Tape (S&amp;P)'!R5698,
    IF(purpose="Purchase",1.00,
        IF(purpose="Remortgage",1.00,
            1.20)))</f>
        <v/>
      </c>
      <c r="L5698">
        <f>LET(
    arrears_months,'Loan Tape (S&amp;P)'!AN5698,
    IF(arrears_months=0,1.00,
    IF(arrears_months=1,3.00,
    IF(arrears_months=2,5.00,
    IF(arrears_months=3,8.00,
    IF(arrears_months=4,10.00,
    IF(arrears_months=5,12.00,15.00)))))))</f>
        <v/>
      </c>
      <c r="M5698">
        <f>LET(
    seasoning_years,DATEDIF('Loan Tape (S&amp;P)'!K5698,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98">
        <f>IF(AND('Loan Tape (S&amp;P)'!U5698="Yes",
        'Loan Tape (S&amp;P)'!T5698&lt;&gt;"Yes",
        DATEDIF('Loan Tape (S&amp;P)'!K5698, TODAY(), "M")&lt;18),
    1.10,
    1.00)</f>
        <v/>
      </c>
      <c r="O5698">
        <f>IF('Loan Tape (S&amp;P)'!T5698="Yes",
    1.35,
    1.00)</f>
        <v/>
      </c>
      <c r="P5698">
        <f>IF('Loan Tape (S&amp;P)'!S5698="Yes",
    1.15,
    1.00)</f>
        <v/>
      </c>
      <c r="Q5698">
        <f>IF('Loan Tape (S&amp;P)'!V5698="Yes",
    1.20,
    1.00)</f>
        <v/>
      </c>
      <c r="T5698">
        <f>LET(
    payment_method,'Loan Tape (S&amp;P)'!P5698,
    occupancy,'Loan Tape (S&amp;P)'!N5698,
    maturity_date,'Loan Tape (S&amp;P)'!L5698,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699">
      <c r="J5699">
        <f>LET(
    lien,'Loan Tape (S&amp;P)'!Q5699,
    IF(lien="First",1.00,
        IF(lien="Second",1.50,
            1.70)))</f>
        <v/>
      </c>
      <c r="K5699">
        <f>LET(
    purpose,'Loan Tape (S&amp;P)'!R5699,
    IF(purpose="Purchase",1.00,
        IF(purpose="Remortgage",1.00,
            1.20)))</f>
        <v/>
      </c>
      <c r="L5699">
        <f>LET(
    arrears_months,'Loan Tape (S&amp;P)'!AN5699,
    IF(arrears_months=0,1.00,
    IF(arrears_months=1,3.00,
    IF(arrears_months=2,5.00,
    IF(arrears_months=3,8.00,
    IF(arrears_months=4,10.00,
    IF(arrears_months=5,12.00,15.00)))))))</f>
        <v/>
      </c>
      <c r="M5699">
        <f>LET(
    seasoning_years,DATEDIF('Loan Tape (S&amp;P)'!K5699,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699">
        <f>IF(AND('Loan Tape (S&amp;P)'!U5699="Yes",
        'Loan Tape (S&amp;P)'!T5699&lt;&gt;"Yes",
        DATEDIF('Loan Tape (S&amp;P)'!K5699, TODAY(), "M")&lt;18),
    1.10,
    1.00)</f>
        <v/>
      </c>
      <c r="O5699">
        <f>IF('Loan Tape (S&amp;P)'!T5699="Yes",
    1.35,
    1.00)</f>
        <v/>
      </c>
      <c r="P5699">
        <f>IF('Loan Tape (S&amp;P)'!S5699="Yes",
    1.15,
    1.00)</f>
        <v/>
      </c>
      <c r="Q5699">
        <f>IF('Loan Tape (S&amp;P)'!V5699="Yes",
    1.20,
    1.00)</f>
        <v/>
      </c>
      <c r="T5699">
        <f>LET(
    payment_method,'Loan Tape (S&amp;P)'!P5699,
    occupancy,'Loan Tape (S&amp;P)'!N5699,
    maturity_date,'Loan Tape (S&amp;P)'!L5699,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00">
      <c r="J5700">
        <f>LET(
    lien,'Loan Tape (S&amp;P)'!Q5700,
    IF(lien="First",1.00,
        IF(lien="Second",1.50,
            1.70)))</f>
        <v/>
      </c>
      <c r="K5700">
        <f>LET(
    purpose,'Loan Tape (S&amp;P)'!R5700,
    IF(purpose="Purchase",1.00,
        IF(purpose="Remortgage",1.00,
            1.20)))</f>
        <v/>
      </c>
      <c r="L5700">
        <f>LET(
    arrears_months,'Loan Tape (S&amp;P)'!AN5700,
    IF(arrears_months=0,1.00,
    IF(arrears_months=1,3.00,
    IF(arrears_months=2,5.00,
    IF(arrears_months=3,8.00,
    IF(arrears_months=4,10.00,
    IF(arrears_months=5,12.00,15.00)))))))</f>
        <v/>
      </c>
      <c r="M5700">
        <f>LET(
    seasoning_years,DATEDIF('Loan Tape (S&amp;P)'!K5700,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00">
        <f>IF(AND('Loan Tape (S&amp;P)'!U5700="Yes",
        'Loan Tape (S&amp;P)'!T5700&lt;&gt;"Yes",
        DATEDIF('Loan Tape (S&amp;P)'!K5700, TODAY(), "M")&lt;18),
    1.10,
    1.00)</f>
        <v/>
      </c>
      <c r="O5700">
        <f>IF('Loan Tape (S&amp;P)'!T5700="Yes",
    1.35,
    1.00)</f>
        <v/>
      </c>
      <c r="P5700">
        <f>IF('Loan Tape (S&amp;P)'!S5700="Yes",
    1.15,
    1.00)</f>
        <v/>
      </c>
      <c r="Q5700">
        <f>IF('Loan Tape (S&amp;P)'!V5700="Yes",
    1.20,
    1.00)</f>
        <v/>
      </c>
      <c r="T5700">
        <f>LET(
    payment_method,'Loan Tape (S&amp;P)'!P5700,
    occupancy,'Loan Tape (S&amp;P)'!N5700,
    maturity_date,'Loan Tape (S&amp;P)'!L5700,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01">
      <c r="J5701">
        <f>LET(
    lien,'Loan Tape (S&amp;P)'!Q5701,
    IF(lien="First",1.00,
        IF(lien="Second",1.50,
            1.70)))</f>
        <v/>
      </c>
      <c r="K5701">
        <f>LET(
    purpose,'Loan Tape (S&amp;P)'!R5701,
    IF(purpose="Purchase",1.00,
        IF(purpose="Remortgage",1.00,
            1.20)))</f>
        <v/>
      </c>
      <c r="L5701">
        <f>LET(
    arrears_months,'Loan Tape (S&amp;P)'!AN5701,
    IF(arrears_months=0,1.00,
    IF(arrears_months=1,3.00,
    IF(arrears_months=2,5.00,
    IF(arrears_months=3,8.00,
    IF(arrears_months=4,10.00,
    IF(arrears_months=5,12.00,15.00)))))))</f>
        <v/>
      </c>
      <c r="M5701">
        <f>LET(
    seasoning_years,DATEDIF('Loan Tape (S&amp;P)'!K5701,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01">
        <f>IF(AND('Loan Tape (S&amp;P)'!U5701="Yes",
        'Loan Tape (S&amp;P)'!T5701&lt;&gt;"Yes",
        DATEDIF('Loan Tape (S&amp;P)'!K5701, TODAY(), "M")&lt;18),
    1.10,
    1.00)</f>
        <v/>
      </c>
      <c r="O5701">
        <f>IF('Loan Tape (S&amp;P)'!T5701="Yes",
    1.35,
    1.00)</f>
        <v/>
      </c>
      <c r="P5701">
        <f>IF('Loan Tape (S&amp;P)'!S5701="Yes",
    1.15,
    1.00)</f>
        <v/>
      </c>
      <c r="Q5701">
        <f>IF('Loan Tape (S&amp;P)'!V5701="Yes",
    1.20,
    1.00)</f>
        <v/>
      </c>
      <c r="T5701">
        <f>LET(
    payment_method,'Loan Tape (S&amp;P)'!P5701,
    occupancy,'Loan Tape (S&amp;P)'!N5701,
    maturity_date,'Loan Tape (S&amp;P)'!L5701,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02">
      <c r="J5702">
        <f>LET(
    lien,'Loan Tape (S&amp;P)'!Q5702,
    IF(lien="First",1.00,
        IF(lien="Second",1.50,
            1.70)))</f>
        <v/>
      </c>
      <c r="K5702">
        <f>LET(
    purpose,'Loan Tape (S&amp;P)'!R5702,
    IF(purpose="Purchase",1.00,
        IF(purpose="Remortgage",1.00,
            1.20)))</f>
        <v/>
      </c>
      <c r="L5702">
        <f>LET(
    arrears_months,'Loan Tape (S&amp;P)'!AN5702,
    IF(arrears_months=0,1.00,
    IF(arrears_months=1,3.00,
    IF(arrears_months=2,5.00,
    IF(arrears_months=3,8.00,
    IF(arrears_months=4,10.00,
    IF(arrears_months=5,12.00,15.00)))))))</f>
        <v/>
      </c>
      <c r="M5702">
        <f>LET(
    seasoning_years,DATEDIF('Loan Tape (S&amp;P)'!K5702,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02">
        <f>IF(AND('Loan Tape (S&amp;P)'!U5702="Yes",
        'Loan Tape (S&amp;P)'!T5702&lt;&gt;"Yes",
        DATEDIF('Loan Tape (S&amp;P)'!K5702, TODAY(), "M")&lt;18),
    1.10,
    1.00)</f>
        <v/>
      </c>
      <c r="O5702">
        <f>IF('Loan Tape (S&amp;P)'!T5702="Yes",
    1.35,
    1.00)</f>
        <v/>
      </c>
      <c r="P5702">
        <f>IF('Loan Tape (S&amp;P)'!S5702="Yes",
    1.15,
    1.00)</f>
        <v/>
      </c>
      <c r="Q5702">
        <f>IF('Loan Tape (S&amp;P)'!V5702="Yes",
    1.20,
    1.00)</f>
        <v/>
      </c>
      <c r="T5702">
        <f>LET(
    payment_method,'Loan Tape (S&amp;P)'!P5702,
    occupancy,'Loan Tape (S&amp;P)'!N5702,
    maturity_date,'Loan Tape (S&amp;P)'!L5702,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03">
      <c r="J5703">
        <f>LET(
    lien,'Loan Tape (S&amp;P)'!Q5703,
    IF(lien="First",1.00,
        IF(lien="Second",1.50,
            1.70)))</f>
        <v/>
      </c>
      <c r="K5703">
        <f>LET(
    purpose,'Loan Tape (S&amp;P)'!R5703,
    IF(purpose="Purchase",1.00,
        IF(purpose="Remortgage",1.00,
            1.20)))</f>
        <v/>
      </c>
      <c r="L5703">
        <f>LET(
    arrears_months,'Loan Tape (S&amp;P)'!AN5703,
    IF(arrears_months=0,1.00,
    IF(arrears_months=1,3.00,
    IF(arrears_months=2,5.00,
    IF(arrears_months=3,8.00,
    IF(arrears_months=4,10.00,
    IF(arrears_months=5,12.00,15.00)))))))</f>
        <v/>
      </c>
      <c r="M5703">
        <f>LET(
    seasoning_years,DATEDIF('Loan Tape (S&amp;P)'!K5703,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03">
        <f>IF(AND('Loan Tape (S&amp;P)'!U5703="Yes",
        'Loan Tape (S&amp;P)'!T5703&lt;&gt;"Yes",
        DATEDIF('Loan Tape (S&amp;P)'!K5703, TODAY(), "M")&lt;18),
    1.10,
    1.00)</f>
        <v/>
      </c>
      <c r="O5703">
        <f>IF('Loan Tape (S&amp;P)'!T5703="Yes",
    1.35,
    1.00)</f>
        <v/>
      </c>
      <c r="P5703">
        <f>IF('Loan Tape (S&amp;P)'!S5703="Yes",
    1.15,
    1.00)</f>
        <v/>
      </c>
      <c r="Q5703">
        <f>IF('Loan Tape (S&amp;P)'!V5703="Yes",
    1.20,
    1.00)</f>
        <v/>
      </c>
      <c r="T5703">
        <f>LET(
    payment_method,'Loan Tape (S&amp;P)'!P5703,
    occupancy,'Loan Tape (S&amp;P)'!N5703,
    maturity_date,'Loan Tape (S&amp;P)'!L5703,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04">
      <c r="J5704">
        <f>LET(
    lien,'Loan Tape (S&amp;P)'!Q5704,
    IF(lien="First",1.00,
        IF(lien="Second",1.50,
            1.70)))</f>
        <v/>
      </c>
      <c r="K5704">
        <f>LET(
    purpose,'Loan Tape (S&amp;P)'!R5704,
    IF(purpose="Purchase",1.00,
        IF(purpose="Remortgage",1.00,
            1.20)))</f>
        <v/>
      </c>
      <c r="L5704">
        <f>LET(
    arrears_months,'Loan Tape (S&amp;P)'!AN5704,
    IF(arrears_months=0,1.00,
    IF(arrears_months=1,3.00,
    IF(arrears_months=2,5.00,
    IF(arrears_months=3,8.00,
    IF(arrears_months=4,10.00,
    IF(arrears_months=5,12.00,15.00)))))))</f>
        <v/>
      </c>
      <c r="M5704">
        <f>LET(
    seasoning_years,DATEDIF('Loan Tape (S&amp;P)'!K5704,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04">
        <f>IF(AND('Loan Tape (S&amp;P)'!U5704="Yes",
        'Loan Tape (S&amp;P)'!T5704&lt;&gt;"Yes",
        DATEDIF('Loan Tape (S&amp;P)'!K5704, TODAY(), "M")&lt;18),
    1.10,
    1.00)</f>
        <v/>
      </c>
      <c r="O5704">
        <f>IF('Loan Tape (S&amp;P)'!T5704="Yes",
    1.35,
    1.00)</f>
        <v/>
      </c>
      <c r="P5704">
        <f>IF('Loan Tape (S&amp;P)'!S5704="Yes",
    1.15,
    1.00)</f>
        <v/>
      </c>
      <c r="Q5704">
        <f>IF('Loan Tape (S&amp;P)'!V5704="Yes",
    1.20,
    1.00)</f>
        <v/>
      </c>
      <c r="T5704">
        <f>LET(
    payment_method,'Loan Tape (S&amp;P)'!P5704,
    occupancy,'Loan Tape (S&amp;P)'!N5704,
    maturity_date,'Loan Tape (S&amp;P)'!L5704,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05">
      <c r="J5705">
        <f>LET(
    lien,'Loan Tape (S&amp;P)'!Q5705,
    IF(lien="First",1.00,
        IF(lien="Second",1.50,
            1.70)))</f>
        <v/>
      </c>
      <c r="K5705">
        <f>LET(
    purpose,'Loan Tape (S&amp;P)'!R5705,
    IF(purpose="Purchase",1.00,
        IF(purpose="Remortgage",1.00,
            1.20)))</f>
        <v/>
      </c>
      <c r="L5705">
        <f>LET(
    arrears_months,'Loan Tape (S&amp;P)'!AN5705,
    IF(arrears_months=0,1.00,
    IF(arrears_months=1,3.00,
    IF(arrears_months=2,5.00,
    IF(arrears_months=3,8.00,
    IF(arrears_months=4,10.00,
    IF(arrears_months=5,12.00,15.00)))))))</f>
        <v/>
      </c>
      <c r="M5705">
        <f>LET(
    seasoning_years,DATEDIF('Loan Tape (S&amp;P)'!K5705,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05">
        <f>IF(AND('Loan Tape (S&amp;P)'!U5705="Yes",
        'Loan Tape (S&amp;P)'!T5705&lt;&gt;"Yes",
        DATEDIF('Loan Tape (S&amp;P)'!K5705, TODAY(), "M")&lt;18),
    1.10,
    1.00)</f>
        <v/>
      </c>
      <c r="O5705">
        <f>IF('Loan Tape (S&amp;P)'!T5705="Yes",
    1.35,
    1.00)</f>
        <v/>
      </c>
      <c r="P5705">
        <f>IF('Loan Tape (S&amp;P)'!S5705="Yes",
    1.15,
    1.00)</f>
        <v/>
      </c>
      <c r="Q5705">
        <f>IF('Loan Tape (S&amp;P)'!V5705="Yes",
    1.20,
    1.00)</f>
        <v/>
      </c>
      <c r="T5705">
        <f>LET(
    payment_method,'Loan Tape (S&amp;P)'!P5705,
    occupancy,'Loan Tape (S&amp;P)'!N5705,
    maturity_date,'Loan Tape (S&amp;P)'!L5705,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06">
      <c r="J5706">
        <f>LET(
    lien,'Loan Tape (S&amp;P)'!Q5706,
    IF(lien="First",1.00,
        IF(lien="Second",1.50,
            1.70)))</f>
        <v/>
      </c>
      <c r="K5706">
        <f>LET(
    purpose,'Loan Tape (S&amp;P)'!R5706,
    IF(purpose="Purchase",1.00,
        IF(purpose="Remortgage",1.00,
            1.20)))</f>
        <v/>
      </c>
      <c r="L5706">
        <f>LET(
    arrears_months,'Loan Tape (S&amp;P)'!AN5706,
    IF(arrears_months=0,1.00,
    IF(arrears_months=1,3.00,
    IF(arrears_months=2,5.00,
    IF(arrears_months=3,8.00,
    IF(arrears_months=4,10.00,
    IF(arrears_months=5,12.00,15.00)))))))</f>
        <v/>
      </c>
      <c r="M5706">
        <f>LET(
    seasoning_years,DATEDIF('Loan Tape (S&amp;P)'!K5706,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06">
        <f>IF(AND('Loan Tape (S&amp;P)'!U5706="Yes",
        'Loan Tape (S&amp;P)'!T5706&lt;&gt;"Yes",
        DATEDIF('Loan Tape (S&amp;P)'!K5706, TODAY(), "M")&lt;18),
    1.10,
    1.00)</f>
        <v/>
      </c>
      <c r="O5706">
        <f>IF('Loan Tape (S&amp;P)'!T5706="Yes",
    1.35,
    1.00)</f>
        <v/>
      </c>
      <c r="P5706">
        <f>IF('Loan Tape (S&amp;P)'!S5706="Yes",
    1.15,
    1.00)</f>
        <v/>
      </c>
      <c r="Q5706">
        <f>IF('Loan Tape (S&amp;P)'!V5706="Yes",
    1.20,
    1.00)</f>
        <v/>
      </c>
      <c r="T5706">
        <f>LET(
    payment_method,'Loan Tape (S&amp;P)'!P5706,
    occupancy,'Loan Tape (S&amp;P)'!N5706,
    maturity_date,'Loan Tape (S&amp;P)'!L5706,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07">
      <c r="J5707">
        <f>LET(
    lien,'Loan Tape (S&amp;P)'!Q5707,
    IF(lien="First",1.00,
        IF(lien="Second",1.50,
            1.70)))</f>
        <v/>
      </c>
      <c r="K5707">
        <f>LET(
    purpose,'Loan Tape (S&amp;P)'!R5707,
    IF(purpose="Purchase",1.00,
        IF(purpose="Remortgage",1.00,
            1.20)))</f>
        <v/>
      </c>
      <c r="L5707">
        <f>LET(
    arrears_months,'Loan Tape (S&amp;P)'!AN5707,
    IF(arrears_months=0,1.00,
    IF(arrears_months=1,3.00,
    IF(arrears_months=2,5.00,
    IF(arrears_months=3,8.00,
    IF(arrears_months=4,10.00,
    IF(arrears_months=5,12.00,15.00)))))))</f>
        <v/>
      </c>
      <c r="M5707">
        <f>LET(
    seasoning_years,DATEDIF('Loan Tape (S&amp;P)'!K5707,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07">
        <f>IF(AND('Loan Tape (S&amp;P)'!U5707="Yes",
        'Loan Tape (S&amp;P)'!T5707&lt;&gt;"Yes",
        DATEDIF('Loan Tape (S&amp;P)'!K5707, TODAY(), "M")&lt;18),
    1.10,
    1.00)</f>
        <v/>
      </c>
      <c r="O5707">
        <f>IF('Loan Tape (S&amp;P)'!T5707="Yes",
    1.35,
    1.00)</f>
        <v/>
      </c>
      <c r="P5707">
        <f>IF('Loan Tape (S&amp;P)'!S5707="Yes",
    1.15,
    1.00)</f>
        <v/>
      </c>
      <c r="Q5707">
        <f>IF('Loan Tape (S&amp;P)'!V5707="Yes",
    1.20,
    1.00)</f>
        <v/>
      </c>
      <c r="T5707">
        <f>LET(
    payment_method,'Loan Tape (S&amp;P)'!P5707,
    occupancy,'Loan Tape (S&amp;P)'!N5707,
    maturity_date,'Loan Tape (S&amp;P)'!L5707,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08">
      <c r="J5708">
        <f>LET(
    lien,'Loan Tape (S&amp;P)'!Q5708,
    IF(lien="First",1.00,
        IF(lien="Second",1.50,
            1.70)))</f>
        <v/>
      </c>
      <c r="K5708">
        <f>LET(
    purpose,'Loan Tape (S&amp;P)'!R5708,
    IF(purpose="Purchase",1.00,
        IF(purpose="Remortgage",1.00,
            1.20)))</f>
        <v/>
      </c>
      <c r="L5708">
        <f>LET(
    arrears_months,'Loan Tape (S&amp;P)'!AN5708,
    IF(arrears_months=0,1.00,
    IF(arrears_months=1,3.00,
    IF(arrears_months=2,5.00,
    IF(arrears_months=3,8.00,
    IF(arrears_months=4,10.00,
    IF(arrears_months=5,12.00,15.00)))))))</f>
        <v/>
      </c>
      <c r="M5708">
        <f>LET(
    seasoning_years,DATEDIF('Loan Tape (S&amp;P)'!K5708,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08">
        <f>IF(AND('Loan Tape (S&amp;P)'!U5708="Yes",
        'Loan Tape (S&amp;P)'!T5708&lt;&gt;"Yes",
        DATEDIF('Loan Tape (S&amp;P)'!K5708, TODAY(), "M")&lt;18),
    1.10,
    1.00)</f>
        <v/>
      </c>
      <c r="O5708">
        <f>IF('Loan Tape (S&amp;P)'!T5708="Yes",
    1.35,
    1.00)</f>
        <v/>
      </c>
      <c r="P5708">
        <f>IF('Loan Tape (S&amp;P)'!S5708="Yes",
    1.15,
    1.00)</f>
        <v/>
      </c>
      <c r="Q5708">
        <f>IF('Loan Tape (S&amp;P)'!V5708="Yes",
    1.20,
    1.00)</f>
        <v/>
      </c>
      <c r="T5708">
        <f>LET(
    payment_method,'Loan Tape (S&amp;P)'!P5708,
    occupancy,'Loan Tape (S&amp;P)'!N5708,
    maturity_date,'Loan Tape (S&amp;P)'!L5708,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09">
      <c r="J5709">
        <f>LET(
    lien,'Loan Tape (S&amp;P)'!Q5709,
    IF(lien="First",1.00,
        IF(lien="Second",1.50,
            1.70)))</f>
        <v/>
      </c>
      <c r="K5709">
        <f>LET(
    purpose,'Loan Tape (S&amp;P)'!R5709,
    IF(purpose="Purchase",1.00,
        IF(purpose="Remortgage",1.00,
            1.20)))</f>
        <v/>
      </c>
      <c r="L5709">
        <f>LET(
    arrears_months,'Loan Tape (S&amp;P)'!AN5709,
    IF(arrears_months=0,1.00,
    IF(arrears_months=1,3.00,
    IF(arrears_months=2,5.00,
    IF(arrears_months=3,8.00,
    IF(arrears_months=4,10.00,
    IF(arrears_months=5,12.00,15.00)))))))</f>
        <v/>
      </c>
      <c r="M5709">
        <f>LET(
    seasoning_years,DATEDIF('Loan Tape (S&amp;P)'!K5709,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09">
        <f>IF(AND('Loan Tape (S&amp;P)'!U5709="Yes",
        'Loan Tape (S&amp;P)'!T5709&lt;&gt;"Yes",
        DATEDIF('Loan Tape (S&amp;P)'!K5709, TODAY(), "M")&lt;18),
    1.10,
    1.00)</f>
        <v/>
      </c>
      <c r="O5709">
        <f>IF('Loan Tape (S&amp;P)'!T5709="Yes",
    1.35,
    1.00)</f>
        <v/>
      </c>
      <c r="P5709">
        <f>IF('Loan Tape (S&amp;P)'!S5709="Yes",
    1.15,
    1.00)</f>
        <v/>
      </c>
      <c r="Q5709">
        <f>IF('Loan Tape (S&amp;P)'!V5709="Yes",
    1.20,
    1.00)</f>
        <v/>
      </c>
      <c r="T5709">
        <f>LET(
    payment_method,'Loan Tape (S&amp;P)'!P5709,
    occupancy,'Loan Tape (S&amp;P)'!N5709,
    maturity_date,'Loan Tape (S&amp;P)'!L5709,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10">
      <c r="J5710">
        <f>LET(
    lien,'Loan Tape (S&amp;P)'!Q5710,
    IF(lien="First",1.00,
        IF(lien="Second",1.50,
            1.70)))</f>
        <v/>
      </c>
      <c r="K5710">
        <f>LET(
    purpose,'Loan Tape (S&amp;P)'!R5710,
    IF(purpose="Purchase",1.00,
        IF(purpose="Remortgage",1.00,
            1.20)))</f>
        <v/>
      </c>
      <c r="L5710">
        <f>LET(
    arrears_months,'Loan Tape (S&amp;P)'!AN5710,
    IF(arrears_months=0,1.00,
    IF(arrears_months=1,3.00,
    IF(arrears_months=2,5.00,
    IF(arrears_months=3,8.00,
    IF(arrears_months=4,10.00,
    IF(arrears_months=5,12.00,15.00)))))))</f>
        <v/>
      </c>
      <c r="M5710">
        <f>LET(
    seasoning_years,DATEDIF('Loan Tape (S&amp;P)'!K5710,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10">
        <f>IF(AND('Loan Tape (S&amp;P)'!U5710="Yes",
        'Loan Tape (S&amp;P)'!T5710&lt;&gt;"Yes",
        DATEDIF('Loan Tape (S&amp;P)'!K5710, TODAY(), "M")&lt;18),
    1.10,
    1.00)</f>
        <v/>
      </c>
      <c r="O5710">
        <f>IF('Loan Tape (S&amp;P)'!T5710="Yes",
    1.35,
    1.00)</f>
        <v/>
      </c>
      <c r="P5710">
        <f>IF('Loan Tape (S&amp;P)'!S5710="Yes",
    1.15,
    1.00)</f>
        <v/>
      </c>
      <c r="Q5710">
        <f>IF('Loan Tape (S&amp;P)'!V5710="Yes",
    1.20,
    1.00)</f>
        <v/>
      </c>
      <c r="T5710">
        <f>LET(
    payment_method,'Loan Tape (S&amp;P)'!P5710,
    occupancy,'Loan Tape (S&amp;P)'!N5710,
    maturity_date,'Loan Tape (S&amp;P)'!L5710,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11">
      <c r="J5711">
        <f>LET(
    lien,'Loan Tape (S&amp;P)'!Q5711,
    IF(lien="First",1.00,
        IF(lien="Second",1.50,
            1.70)))</f>
        <v/>
      </c>
      <c r="K5711">
        <f>LET(
    purpose,'Loan Tape (S&amp;P)'!R5711,
    IF(purpose="Purchase",1.00,
        IF(purpose="Remortgage",1.00,
            1.20)))</f>
        <v/>
      </c>
      <c r="L5711">
        <f>LET(
    arrears_months,'Loan Tape (S&amp;P)'!AN5711,
    IF(arrears_months=0,1.00,
    IF(arrears_months=1,3.00,
    IF(arrears_months=2,5.00,
    IF(arrears_months=3,8.00,
    IF(arrears_months=4,10.00,
    IF(arrears_months=5,12.00,15.00)))))))</f>
        <v/>
      </c>
      <c r="M5711">
        <f>LET(
    seasoning_years,DATEDIF('Loan Tape (S&amp;P)'!K5711,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11">
        <f>IF(AND('Loan Tape (S&amp;P)'!U5711="Yes",
        'Loan Tape (S&amp;P)'!T5711&lt;&gt;"Yes",
        DATEDIF('Loan Tape (S&amp;P)'!K5711, TODAY(), "M")&lt;18),
    1.10,
    1.00)</f>
        <v/>
      </c>
      <c r="O5711">
        <f>IF('Loan Tape (S&amp;P)'!T5711="Yes",
    1.35,
    1.00)</f>
        <v/>
      </c>
      <c r="P5711">
        <f>IF('Loan Tape (S&amp;P)'!S5711="Yes",
    1.15,
    1.00)</f>
        <v/>
      </c>
      <c r="Q5711">
        <f>IF('Loan Tape (S&amp;P)'!V5711="Yes",
    1.20,
    1.00)</f>
        <v/>
      </c>
      <c r="T5711">
        <f>LET(
    payment_method,'Loan Tape (S&amp;P)'!P5711,
    occupancy,'Loan Tape (S&amp;P)'!N5711,
    maturity_date,'Loan Tape (S&amp;P)'!L5711,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12">
      <c r="J5712">
        <f>LET(
    lien,'Loan Tape (S&amp;P)'!Q5712,
    IF(lien="First",1.00,
        IF(lien="Second",1.50,
            1.70)))</f>
        <v/>
      </c>
      <c r="K5712">
        <f>LET(
    purpose,'Loan Tape (S&amp;P)'!R5712,
    IF(purpose="Purchase",1.00,
        IF(purpose="Remortgage",1.00,
            1.20)))</f>
        <v/>
      </c>
      <c r="L5712">
        <f>LET(
    arrears_months,'Loan Tape (S&amp;P)'!AN5712,
    IF(arrears_months=0,1.00,
    IF(arrears_months=1,3.00,
    IF(arrears_months=2,5.00,
    IF(arrears_months=3,8.00,
    IF(arrears_months=4,10.00,
    IF(arrears_months=5,12.00,15.00)))))))</f>
        <v/>
      </c>
      <c r="M5712">
        <f>LET(
    seasoning_years,DATEDIF('Loan Tape (S&amp;P)'!K5712,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12">
        <f>IF(AND('Loan Tape (S&amp;P)'!U5712="Yes",
        'Loan Tape (S&amp;P)'!T5712&lt;&gt;"Yes",
        DATEDIF('Loan Tape (S&amp;P)'!K5712, TODAY(), "M")&lt;18),
    1.10,
    1.00)</f>
        <v/>
      </c>
      <c r="O5712">
        <f>IF('Loan Tape (S&amp;P)'!T5712="Yes",
    1.35,
    1.00)</f>
        <v/>
      </c>
      <c r="P5712">
        <f>IF('Loan Tape (S&amp;P)'!S5712="Yes",
    1.15,
    1.00)</f>
        <v/>
      </c>
      <c r="Q5712">
        <f>IF('Loan Tape (S&amp;P)'!V5712="Yes",
    1.20,
    1.00)</f>
        <v/>
      </c>
      <c r="T5712">
        <f>LET(
    payment_method,'Loan Tape (S&amp;P)'!P5712,
    occupancy,'Loan Tape (S&amp;P)'!N5712,
    maturity_date,'Loan Tape (S&amp;P)'!L5712,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13">
      <c r="J5713">
        <f>LET(
    lien,'Loan Tape (S&amp;P)'!Q5713,
    IF(lien="First",1.00,
        IF(lien="Second",1.50,
            1.70)))</f>
        <v/>
      </c>
      <c r="K5713">
        <f>LET(
    purpose,'Loan Tape (S&amp;P)'!R5713,
    IF(purpose="Purchase",1.00,
        IF(purpose="Remortgage",1.00,
            1.20)))</f>
        <v/>
      </c>
      <c r="L5713">
        <f>LET(
    arrears_months,'Loan Tape (S&amp;P)'!AN5713,
    IF(arrears_months=0,1.00,
    IF(arrears_months=1,3.00,
    IF(arrears_months=2,5.00,
    IF(arrears_months=3,8.00,
    IF(arrears_months=4,10.00,
    IF(arrears_months=5,12.00,15.00)))))))</f>
        <v/>
      </c>
      <c r="M5713">
        <f>LET(
    seasoning_years,DATEDIF('Loan Tape (S&amp;P)'!K5713,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13">
        <f>IF(AND('Loan Tape (S&amp;P)'!U5713="Yes",
        'Loan Tape (S&amp;P)'!T5713&lt;&gt;"Yes",
        DATEDIF('Loan Tape (S&amp;P)'!K5713, TODAY(), "M")&lt;18),
    1.10,
    1.00)</f>
        <v/>
      </c>
      <c r="O5713">
        <f>IF('Loan Tape (S&amp;P)'!T5713="Yes",
    1.35,
    1.00)</f>
        <v/>
      </c>
      <c r="P5713">
        <f>IF('Loan Tape (S&amp;P)'!S5713="Yes",
    1.15,
    1.00)</f>
        <v/>
      </c>
      <c r="Q5713">
        <f>IF('Loan Tape (S&amp;P)'!V5713="Yes",
    1.20,
    1.00)</f>
        <v/>
      </c>
      <c r="T5713">
        <f>LET(
    payment_method,'Loan Tape (S&amp;P)'!P5713,
    occupancy,'Loan Tape (S&amp;P)'!N5713,
    maturity_date,'Loan Tape (S&amp;P)'!L5713,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14">
      <c r="J5714">
        <f>LET(
    lien,'Loan Tape (S&amp;P)'!Q5714,
    IF(lien="First",1.00,
        IF(lien="Second",1.50,
            1.70)))</f>
        <v/>
      </c>
      <c r="K5714">
        <f>LET(
    purpose,'Loan Tape (S&amp;P)'!R5714,
    IF(purpose="Purchase",1.00,
        IF(purpose="Remortgage",1.00,
            1.20)))</f>
        <v/>
      </c>
      <c r="L5714">
        <f>LET(
    arrears_months,'Loan Tape (S&amp;P)'!AN5714,
    IF(arrears_months=0,1.00,
    IF(arrears_months=1,3.00,
    IF(arrears_months=2,5.00,
    IF(arrears_months=3,8.00,
    IF(arrears_months=4,10.00,
    IF(arrears_months=5,12.00,15.00)))))))</f>
        <v/>
      </c>
      <c r="M5714">
        <f>LET(
    seasoning_years,DATEDIF('Loan Tape (S&amp;P)'!K5714,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14">
        <f>IF(AND('Loan Tape (S&amp;P)'!U5714="Yes",
        'Loan Tape (S&amp;P)'!T5714&lt;&gt;"Yes",
        DATEDIF('Loan Tape (S&amp;P)'!K5714, TODAY(), "M")&lt;18),
    1.10,
    1.00)</f>
        <v/>
      </c>
      <c r="O5714">
        <f>IF('Loan Tape (S&amp;P)'!T5714="Yes",
    1.35,
    1.00)</f>
        <v/>
      </c>
      <c r="P5714">
        <f>IF('Loan Tape (S&amp;P)'!S5714="Yes",
    1.15,
    1.00)</f>
        <v/>
      </c>
      <c r="Q5714">
        <f>IF('Loan Tape (S&amp;P)'!V5714="Yes",
    1.20,
    1.00)</f>
        <v/>
      </c>
      <c r="T5714">
        <f>LET(
    payment_method,'Loan Tape (S&amp;P)'!P5714,
    occupancy,'Loan Tape (S&amp;P)'!N5714,
    maturity_date,'Loan Tape (S&amp;P)'!L5714,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15">
      <c r="J5715">
        <f>LET(
    lien,'Loan Tape (S&amp;P)'!Q5715,
    IF(lien="First",1.00,
        IF(lien="Second",1.50,
            1.70)))</f>
        <v/>
      </c>
      <c r="K5715">
        <f>LET(
    purpose,'Loan Tape (S&amp;P)'!R5715,
    IF(purpose="Purchase",1.00,
        IF(purpose="Remortgage",1.00,
            1.20)))</f>
        <v/>
      </c>
      <c r="L5715">
        <f>LET(
    arrears_months,'Loan Tape (S&amp;P)'!AN5715,
    IF(arrears_months=0,1.00,
    IF(arrears_months=1,3.00,
    IF(arrears_months=2,5.00,
    IF(arrears_months=3,8.00,
    IF(arrears_months=4,10.00,
    IF(arrears_months=5,12.00,15.00)))))))</f>
        <v/>
      </c>
      <c r="M5715">
        <f>LET(
    seasoning_years,DATEDIF('Loan Tape (S&amp;P)'!K5715,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15">
        <f>IF(AND('Loan Tape (S&amp;P)'!U5715="Yes",
        'Loan Tape (S&amp;P)'!T5715&lt;&gt;"Yes",
        DATEDIF('Loan Tape (S&amp;P)'!K5715, TODAY(), "M")&lt;18),
    1.10,
    1.00)</f>
        <v/>
      </c>
      <c r="O5715">
        <f>IF('Loan Tape (S&amp;P)'!T5715="Yes",
    1.35,
    1.00)</f>
        <v/>
      </c>
      <c r="P5715">
        <f>IF('Loan Tape (S&amp;P)'!S5715="Yes",
    1.15,
    1.00)</f>
        <v/>
      </c>
      <c r="Q5715">
        <f>IF('Loan Tape (S&amp;P)'!V5715="Yes",
    1.20,
    1.00)</f>
        <v/>
      </c>
      <c r="T5715">
        <f>LET(
    payment_method,'Loan Tape (S&amp;P)'!P5715,
    occupancy,'Loan Tape (S&amp;P)'!N5715,
    maturity_date,'Loan Tape (S&amp;P)'!L5715,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16">
      <c r="J5716">
        <f>LET(
    lien,'Loan Tape (S&amp;P)'!Q5716,
    IF(lien="First",1.00,
        IF(lien="Second",1.50,
            1.70)))</f>
        <v/>
      </c>
      <c r="K5716">
        <f>LET(
    purpose,'Loan Tape (S&amp;P)'!R5716,
    IF(purpose="Purchase",1.00,
        IF(purpose="Remortgage",1.00,
            1.20)))</f>
        <v/>
      </c>
      <c r="L5716">
        <f>LET(
    arrears_months,'Loan Tape (S&amp;P)'!AN5716,
    IF(arrears_months=0,1.00,
    IF(arrears_months=1,3.00,
    IF(arrears_months=2,5.00,
    IF(arrears_months=3,8.00,
    IF(arrears_months=4,10.00,
    IF(arrears_months=5,12.00,15.00)))))))</f>
        <v/>
      </c>
      <c r="M5716">
        <f>LET(
    seasoning_years,DATEDIF('Loan Tape (S&amp;P)'!K5716,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16">
        <f>IF(AND('Loan Tape (S&amp;P)'!U5716="Yes",
        'Loan Tape (S&amp;P)'!T5716&lt;&gt;"Yes",
        DATEDIF('Loan Tape (S&amp;P)'!K5716, TODAY(), "M")&lt;18),
    1.10,
    1.00)</f>
        <v/>
      </c>
      <c r="O5716">
        <f>IF('Loan Tape (S&amp;P)'!T5716="Yes",
    1.35,
    1.00)</f>
        <v/>
      </c>
      <c r="P5716">
        <f>IF('Loan Tape (S&amp;P)'!S5716="Yes",
    1.15,
    1.00)</f>
        <v/>
      </c>
      <c r="Q5716">
        <f>IF('Loan Tape (S&amp;P)'!V5716="Yes",
    1.20,
    1.00)</f>
        <v/>
      </c>
      <c r="T5716">
        <f>LET(
    payment_method,'Loan Tape (S&amp;P)'!P5716,
    occupancy,'Loan Tape (S&amp;P)'!N5716,
    maturity_date,'Loan Tape (S&amp;P)'!L5716,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17">
      <c r="J5717">
        <f>LET(
    lien,'Loan Tape (S&amp;P)'!Q5717,
    IF(lien="First",1.00,
        IF(lien="Second",1.50,
            1.70)))</f>
        <v/>
      </c>
      <c r="K5717">
        <f>LET(
    purpose,'Loan Tape (S&amp;P)'!R5717,
    IF(purpose="Purchase",1.00,
        IF(purpose="Remortgage",1.00,
            1.20)))</f>
        <v/>
      </c>
      <c r="L5717">
        <f>LET(
    arrears_months,'Loan Tape (S&amp;P)'!AN5717,
    IF(arrears_months=0,1.00,
    IF(arrears_months=1,3.00,
    IF(arrears_months=2,5.00,
    IF(arrears_months=3,8.00,
    IF(arrears_months=4,10.00,
    IF(arrears_months=5,12.00,15.00)))))))</f>
        <v/>
      </c>
      <c r="M5717">
        <f>LET(
    seasoning_years,DATEDIF('Loan Tape (S&amp;P)'!K5717,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17">
        <f>IF(AND('Loan Tape (S&amp;P)'!U5717="Yes",
        'Loan Tape (S&amp;P)'!T5717&lt;&gt;"Yes",
        DATEDIF('Loan Tape (S&amp;P)'!K5717, TODAY(), "M")&lt;18),
    1.10,
    1.00)</f>
        <v/>
      </c>
      <c r="O5717">
        <f>IF('Loan Tape (S&amp;P)'!T5717="Yes",
    1.35,
    1.00)</f>
        <v/>
      </c>
      <c r="P5717">
        <f>IF('Loan Tape (S&amp;P)'!S5717="Yes",
    1.15,
    1.00)</f>
        <v/>
      </c>
      <c r="Q5717">
        <f>IF('Loan Tape (S&amp;P)'!V5717="Yes",
    1.20,
    1.00)</f>
        <v/>
      </c>
      <c r="T5717">
        <f>LET(
    payment_method,'Loan Tape (S&amp;P)'!P5717,
    occupancy,'Loan Tape (S&amp;P)'!N5717,
    maturity_date,'Loan Tape (S&amp;P)'!L5717,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18">
      <c r="J5718">
        <f>LET(
    lien,'Loan Tape (S&amp;P)'!Q5718,
    IF(lien="First",1.00,
        IF(lien="Second",1.50,
            1.70)))</f>
        <v/>
      </c>
      <c r="K5718">
        <f>LET(
    purpose,'Loan Tape (S&amp;P)'!R5718,
    IF(purpose="Purchase",1.00,
        IF(purpose="Remortgage",1.00,
            1.20)))</f>
        <v/>
      </c>
      <c r="L5718">
        <f>LET(
    arrears_months,'Loan Tape (S&amp;P)'!AN5718,
    IF(arrears_months=0,1.00,
    IF(arrears_months=1,3.00,
    IF(arrears_months=2,5.00,
    IF(arrears_months=3,8.00,
    IF(arrears_months=4,10.00,
    IF(arrears_months=5,12.00,15.00)))))))</f>
        <v/>
      </c>
      <c r="M5718">
        <f>LET(
    seasoning_years,DATEDIF('Loan Tape (S&amp;P)'!K5718,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18">
        <f>IF(AND('Loan Tape (S&amp;P)'!U5718="Yes",
        'Loan Tape (S&amp;P)'!T5718&lt;&gt;"Yes",
        DATEDIF('Loan Tape (S&amp;P)'!K5718, TODAY(), "M")&lt;18),
    1.10,
    1.00)</f>
        <v/>
      </c>
      <c r="O5718">
        <f>IF('Loan Tape (S&amp;P)'!T5718="Yes",
    1.35,
    1.00)</f>
        <v/>
      </c>
      <c r="P5718">
        <f>IF('Loan Tape (S&amp;P)'!S5718="Yes",
    1.15,
    1.00)</f>
        <v/>
      </c>
      <c r="Q5718">
        <f>IF('Loan Tape (S&amp;P)'!V5718="Yes",
    1.20,
    1.00)</f>
        <v/>
      </c>
      <c r="T5718">
        <f>LET(
    payment_method,'Loan Tape (S&amp;P)'!P5718,
    occupancy,'Loan Tape (S&amp;P)'!N5718,
    maturity_date,'Loan Tape (S&amp;P)'!L5718,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19">
      <c r="J5719">
        <f>LET(
    lien,'Loan Tape (S&amp;P)'!Q5719,
    IF(lien="First",1.00,
        IF(lien="Second",1.50,
            1.70)))</f>
        <v/>
      </c>
      <c r="K5719">
        <f>LET(
    purpose,'Loan Tape (S&amp;P)'!R5719,
    IF(purpose="Purchase",1.00,
        IF(purpose="Remortgage",1.00,
            1.20)))</f>
        <v/>
      </c>
      <c r="L5719">
        <f>LET(
    arrears_months,'Loan Tape (S&amp;P)'!AN5719,
    IF(arrears_months=0,1.00,
    IF(arrears_months=1,3.00,
    IF(arrears_months=2,5.00,
    IF(arrears_months=3,8.00,
    IF(arrears_months=4,10.00,
    IF(arrears_months=5,12.00,15.00)))))))</f>
        <v/>
      </c>
      <c r="M5719">
        <f>LET(
    seasoning_years,DATEDIF('Loan Tape (S&amp;P)'!K5719,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19">
        <f>IF(AND('Loan Tape (S&amp;P)'!U5719="Yes",
        'Loan Tape (S&amp;P)'!T5719&lt;&gt;"Yes",
        DATEDIF('Loan Tape (S&amp;P)'!K5719, TODAY(), "M")&lt;18),
    1.10,
    1.00)</f>
        <v/>
      </c>
      <c r="O5719">
        <f>IF('Loan Tape (S&amp;P)'!T5719="Yes",
    1.35,
    1.00)</f>
        <v/>
      </c>
      <c r="P5719">
        <f>IF('Loan Tape (S&amp;P)'!S5719="Yes",
    1.15,
    1.00)</f>
        <v/>
      </c>
      <c r="Q5719">
        <f>IF('Loan Tape (S&amp;P)'!V5719="Yes",
    1.20,
    1.00)</f>
        <v/>
      </c>
      <c r="T5719">
        <f>LET(
    payment_method,'Loan Tape (S&amp;P)'!P5719,
    occupancy,'Loan Tape (S&amp;P)'!N5719,
    maturity_date,'Loan Tape (S&amp;P)'!L5719,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20">
      <c r="J5720">
        <f>LET(
    lien,'Loan Tape (S&amp;P)'!Q5720,
    IF(lien="First",1.00,
        IF(lien="Second",1.50,
            1.70)))</f>
        <v/>
      </c>
      <c r="K5720">
        <f>LET(
    purpose,'Loan Tape (S&amp;P)'!R5720,
    IF(purpose="Purchase",1.00,
        IF(purpose="Remortgage",1.00,
            1.20)))</f>
        <v/>
      </c>
      <c r="L5720">
        <f>LET(
    arrears_months,'Loan Tape (S&amp;P)'!AN5720,
    IF(arrears_months=0,1.00,
    IF(arrears_months=1,3.00,
    IF(arrears_months=2,5.00,
    IF(arrears_months=3,8.00,
    IF(arrears_months=4,10.00,
    IF(arrears_months=5,12.00,15.00)))))))</f>
        <v/>
      </c>
      <c r="M5720">
        <f>LET(
    seasoning_years,DATEDIF('Loan Tape (S&amp;P)'!K5720,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20">
        <f>IF(AND('Loan Tape (S&amp;P)'!U5720="Yes",
        'Loan Tape (S&amp;P)'!T5720&lt;&gt;"Yes",
        DATEDIF('Loan Tape (S&amp;P)'!K5720, TODAY(), "M")&lt;18),
    1.10,
    1.00)</f>
        <v/>
      </c>
      <c r="O5720">
        <f>IF('Loan Tape (S&amp;P)'!T5720="Yes",
    1.35,
    1.00)</f>
        <v/>
      </c>
      <c r="P5720">
        <f>IF('Loan Tape (S&amp;P)'!S5720="Yes",
    1.15,
    1.00)</f>
        <v/>
      </c>
      <c r="Q5720">
        <f>IF('Loan Tape (S&amp;P)'!V5720="Yes",
    1.20,
    1.00)</f>
        <v/>
      </c>
      <c r="T5720">
        <f>LET(
    payment_method,'Loan Tape (S&amp;P)'!P5720,
    occupancy,'Loan Tape (S&amp;P)'!N5720,
    maturity_date,'Loan Tape (S&amp;P)'!L5720,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21">
      <c r="J5721">
        <f>LET(
    lien,'Loan Tape (S&amp;P)'!Q5721,
    IF(lien="First",1.00,
        IF(lien="Second",1.50,
            1.70)))</f>
        <v/>
      </c>
      <c r="K5721">
        <f>LET(
    purpose,'Loan Tape (S&amp;P)'!R5721,
    IF(purpose="Purchase",1.00,
        IF(purpose="Remortgage",1.00,
            1.20)))</f>
        <v/>
      </c>
      <c r="L5721">
        <f>LET(
    arrears_months,'Loan Tape (S&amp;P)'!AN5721,
    IF(arrears_months=0,1.00,
    IF(arrears_months=1,3.00,
    IF(arrears_months=2,5.00,
    IF(arrears_months=3,8.00,
    IF(arrears_months=4,10.00,
    IF(arrears_months=5,12.00,15.00)))))))</f>
        <v/>
      </c>
      <c r="M5721">
        <f>LET(
    seasoning_years,DATEDIF('Loan Tape (S&amp;P)'!K5721,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21">
        <f>IF(AND('Loan Tape (S&amp;P)'!U5721="Yes",
        'Loan Tape (S&amp;P)'!T5721&lt;&gt;"Yes",
        DATEDIF('Loan Tape (S&amp;P)'!K5721, TODAY(), "M")&lt;18),
    1.10,
    1.00)</f>
        <v/>
      </c>
      <c r="O5721">
        <f>IF('Loan Tape (S&amp;P)'!T5721="Yes",
    1.35,
    1.00)</f>
        <v/>
      </c>
      <c r="P5721">
        <f>IF('Loan Tape (S&amp;P)'!S5721="Yes",
    1.15,
    1.00)</f>
        <v/>
      </c>
      <c r="Q5721">
        <f>IF('Loan Tape (S&amp;P)'!V5721="Yes",
    1.20,
    1.00)</f>
        <v/>
      </c>
      <c r="T5721">
        <f>LET(
    payment_method,'Loan Tape (S&amp;P)'!P5721,
    occupancy,'Loan Tape (S&amp;P)'!N5721,
    maturity_date,'Loan Tape (S&amp;P)'!L5721,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22">
      <c r="J5722">
        <f>LET(
    lien,'Loan Tape (S&amp;P)'!Q5722,
    IF(lien="First",1.00,
        IF(lien="Second",1.50,
            1.70)))</f>
        <v/>
      </c>
      <c r="K5722">
        <f>LET(
    purpose,'Loan Tape (S&amp;P)'!R5722,
    IF(purpose="Purchase",1.00,
        IF(purpose="Remortgage",1.00,
            1.20)))</f>
        <v/>
      </c>
      <c r="L5722">
        <f>LET(
    arrears_months,'Loan Tape (S&amp;P)'!AN5722,
    IF(arrears_months=0,1.00,
    IF(arrears_months=1,3.00,
    IF(arrears_months=2,5.00,
    IF(arrears_months=3,8.00,
    IF(arrears_months=4,10.00,
    IF(arrears_months=5,12.00,15.00)))))))</f>
        <v/>
      </c>
      <c r="M5722">
        <f>LET(
    seasoning_years,DATEDIF('Loan Tape (S&amp;P)'!K5722,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22">
        <f>IF(AND('Loan Tape (S&amp;P)'!U5722="Yes",
        'Loan Tape (S&amp;P)'!T5722&lt;&gt;"Yes",
        DATEDIF('Loan Tape (S&amp;P)'!K5722, TODAY(), "M")&lt;18),
    1.10,
    1.00)</f>
        <v/>
      </c>
      <c r="O5722">
        <f>IF('Loan Tape (S&amp;P)'!T5722="Yes",
    1.35,
    1.00)</f>
        <v/>
      </c>
      <c r="P5722">
        <f>IF('Loan Tape (S&amp;P)'!S5722="Yes",
    1.15,
    1.00)</f>
        <v/>
      </c>
      <c r="Q5722">
        <f>IF('Loan Tape (S&amp;P)'!V5722="Yes",
    1.20,
    1.00)</f>
        <v/>
      </c>
      <c r="T5722">
        <f>LET(
    payment_method,'Loan Tape (S&amp;P)'!P5722,
    occupancy,'Loan Tape (S&amp;P)'!N5722,
    maturity_date,'Loan Tape (S&amp;P)'!L5722,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23">
      <c r="J5723">
        <f>LET(
    lien,'Loan Tape (S&amp;P)'!Q5723,
    IF(lien="First",1.00,
        IF(lien="Second",1.50,
            1.70)))</f>
        <v/>
      </c>
      <c r="K5723">
        <f>LET(
    purpose,'Loan Tape (S&amp;P)'!R5723,
    IF(purpose="Purchase",1.00,
        IF(purpose="Remortgage",1.00,
            1.20)))</f>
        <v/>
      </c>
      <c r="L5723">
        <f>LET(
    arrears_months,'Loan Tape (S&amp;P)'!AN5723,
    IF(arrears_months=0,1.00,
    IF(arrears_months=1,3.00,
    IF(arrears_months=2,5.00,
    IF(arrears_months=3,8.00,
    IF(arrears_months=4,10.00,
    IF(arrears_months=5,12.00,15.00)))))))</f>
        <v/>
      </c>
      <c r="M5723">
        <f>LET(
    seasoning_years,DATEDIF('Loan Tape (S&amp;P)'!K5723,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23">
        <f>IF(AND('Loan Tape (S&amp;P)'!U5723="Yes",
        'Loan Tape (S&amp;P)'!T5723&lt;&gt;"Yes",
        DATEDIF('Loan Tape (S&amp;P)'!K5723, TODAY(), "M")&lt;18),
    1.10,
    1.00)</f>
        <v/>
      </c>
      <c r="O5723">
        <f>IF('Loan Tape (S&amp;P)'!T5723="Yes",
    1.35,
    1.00)</f>
        <v/>
      </c>
      <c r="P5723">
        <f>IF('Loan Tape (S&amp;P)'!S5723="Yes",
    1.15,
    1.00)</f>
        <v/>
      </c>
      <c r="Q5723">
        <f>IF('Loan Tape (S&amp;P)'!V5723="Yes",
    1.20,
    1.00)</f>
        <v/>
      </c>
      <c r="T5723">
        <f>LET(
    payment_method,'Loan Tape (S&amp;P)'!P5723,
    occupancy,'Loan Tape (S&amp;P)'!N5723,
    maturity_date,'Loan Tape (S&amp;P)'!L5723,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24">
      <c r="J5724">
        <f>LET(
    lien,'Loan Tape (S&amp;P)'!Q5724,
    IF(lien="First",1.00,
        IF(lien="Second",1.50,
            1.70)))</f>
        <v/>
      </c>
      <c r="K5724">
        <f>LET(
    purpose,'Loan Tape (S&amp;P)'!R5724,
    IF(purpose="Purchase",1.00,
        IF(purpose="Remortgage",1.00,
            1.20)))</f>
        <v/>
      </c>
      <c r="L5724">
        <f>LET(
    arrears_months,'Loan Tape (S&amp;P)'!AN5724,
    IF(arrears_months=0,1.00,
    IF(arrears_months=1,3.00,
    IF(arrears_months=2,5.00,
    IF(arrears_months=3,8.00,
    IF(arrears_months=4,10.00,
    IF(arrears_months=5,12.00,15.00)))))))</f>
        <v/>
      </c>
      <c r="M5724">
        <f>LET(
    seasoning_years,DATEDIF('Loan Tape (S&amp;P)'!K5724,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24">
        <f>IF(AND('Loan Tape (S&amp;P)'!U5724="Yes",
        'Loan Tape (S&amp;P)'!T5724&lt;&gt;"Yes",
        DATEDIF('Loan Tape (S&amp;P)'!K5724, TODAY(), "M")&lt;18),
    1.10,
    1.00)</f>
        <v/>
      </c>
      <c r="O5724">
        <f>IF('Loan Tape (S&amp;P)'!T5724="Yes",
    1.35,
    1.00)</f>
        <v/>
      </c>
      <c r="P5724">
        <f>IF('Loan Tape (S&amp;P)'!S5724="Yes",
    1.15,
    1.00)</f>
        <v/>
      </c>
      <c r="Q5724">
        <f>IF('Loan Tape (S&amp;P)'!V5724="Yes",
    1.20,
    1.00)</f>
        <v/>
      </c>
      <c r="T5724">
        <f>LET(
    payment_method,'Loan Tape (S&amp;P)'!P5724,
    occupancy,'Loan Tape (S&amp;P)'!N5724,
    maturity_date,'Loan Tape (S&amp;P)'!L5724,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25">
      <c r="J5725">
        <f>LET(
    lien,'Loan Tape (S&amp;P)'!Q5725,
    IF(lien="First",1.00,
        IF(lien="Second",1.50,
            1.70)))</f>
        <v/>
      </c>
      <c r="K5725">
        <f>LET(
    purpose,'Loan Tape (S&amp;P)'!R5725,
    IF(purpose="Purchase",1.00,
        IF(purpose="Remortgage",1.00,
            1.20)))</f>
        <v/>
      </c>
      <c r="L5725">
        <f>LET(
    arrears_months,'Loan Tape (S&amp;P)'!AN5725,
    IF(arrears_months=0,1.00,
    IF(arrears_months=1,3.00,
    IF(arrears_months=2,5.00,
    IF(arrears_months=3,8.00,
    IF(arrears_months=4,10.00,
    IF(arrears_months=5,12.00,15.00)))))))</f>
        <v/>
      </c>
      <c r="M5725">
        <f>LET(
    seasoning_years,DATEDIF('Loan Tape (S&amp;P)'!K5725,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25">
        <f>IF(AND('Loan Tape (S&amp;P)'!U5725="Yes",
        'Loan Tape (S&amp;P)'!T5725&lt;&gt;"Yes",
        DATEDIF('Loan Tape (S&amp;P)'!K5725, TODAY(), "M")&lt;18),
    1.10,
    1.00)</f>
        <v/>
      </c>
      <c r="O5725">
        <f>IF('Loan Tape (S&amp;P)'!T5725="Yes",
    1.35,
    1.00)</f>
        <v/>
      </c>
      <c r="P5725">
        <f>IF('Loan Tape (S&amp;P)'!S5725="Yes",
    1.15,
    1.00)</f>
        <v/>
      </c>
      <c r="Q5725">
        <f>IF('Loan Tape (S&amp;P)'!V5725="Yes",
    1.20,
    1.00)</f>
        <v/>
      </c>
      <c r="T5725">
        <f>LET(
    payment_method,'Loan Tape (S&amp;P)'!P5725,
    occupancy,'Loan Tape (S&amp;P)'!N5725,
    maturity_date,'Loan Tape (S&amp;P)'!L5725,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26">
      <c r="J5726">
        <f>LET(
    lien,'Loan Tape (S&amp;P)'!Q5726,
    IF(lien="First",1.00,
        IF(lien="Second",1.50,
            1.70)))</f>
        <v/>
      </c>
      <c r="K5726">
        <f>LET(
    purpose,'Loan Tape (S&amp;P)'!R5726,
    IF(purpose="Purchase",1.00,
        IF(purpose="Remortgage",1.00,
            1.20)))</f>
        <v/>
      </c>
      <c r="L5726">
        <f>LET(
    arrears_months,'Loan Tape (S&amp;P)'!AN5726,
    IF(arrears_months=0,1.00,
    IF(arrears_months=1,3.00,
    IF(arrears_months=2,5.00,
    IF(arrears_months=3,8.00,
    IF(arrears_months=4,10.00,
    IF(arrears_months=5,12.00,15.00)))))))</f>
        <v/>
      </c>
      <c r="M5726">
        <f>LET(
    seasoning_years,DATEDIF('Loan Tape (S&amp;P)'!K5726,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26">
        <f>IF(AND('Loan Tape (S&amp;P)'!U5726="Yes",
        'Loan Tape (S&amp;P)'!T5726&lt;&gt;"Yes",
        DATEDIF('Loan Tape (S&amp;P)'!K5726, TODAY(), "M")&lt;18),
    1.10,
    1.00)</f>
        <v/>
      </c>
      <c r="O5726">
        <f>IF('Loan Tape (S&amp;P)'!T5726="Yes",
    1.35,
    1.00)</f>
        <v/>
      </c>
      <c r="P5726">
        <f>IF('Loan Tape (S&amp;P)'!S5726="Yes",
    1.15,
    1.00)</f>
        <v/>
      </c>
      <c r="Q5726">
        <f>IF('Loan Tape (S&amp;P)'!V5726="Yes",
    1.20,
    1.00)</f>
        <v/>
      </c>
      <c r="T5726">
        <f>LET(
    payment_method,'Loan Tape (S&amp;P)'!P5726,
    occupancy,'Loan Tape (S&amp;P)'!N5726,
    maturity_date,'Loan Tape (S&amp;P)'!L5726,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27">
      <c r="J5727">
        <f>LET(
    lien,'Loan Tape (S&amp;P)'!Q5727,
    IF(lien="First",1.00,
        IF(lien="Second",1.50,
            1.70)))</f>
        <v/>
      </c>
      <c r="K5727">
        <f>LET(
    purpose,'Loan Tape (S&amp;P)'!R5727,
    IF(purpose="Purchase",1.00,
        IF(purpose="Remortgage",1.00,
            1.20)))</f>
        <v/>
      </c>
      <c r="L5727">
        <f>LET(
    arrears_months,'Loan Tape (S&amp;P)'!AN5727,
    IF(arrears_months=0,1.00,
    IF(arrears_months=1,3.00,
    IF(arrears_months=2,5.00,
    IF(arrears_months=3,8.00,
    IF(arrears_months=4,10.00,
    IF(arrears_months=5,12.00,15.00)))))))</f>
        <v/>
      </c>
      <c r="M5727">
        <f>LET(
    seasoning_years,DATEDIF('Loan Tape (S&amp;P)'!K5727,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27">
        <f>IF(AND('Loan Tape (S&amp;P)'!U5727="Yes",
        'Loan Tape (S&amp;P)'!T5727&lt;&gt;"Yes",
        DATEDIF('Loan Tape (S&amp;P)'!K5727, TODAY(), "M")&lt;18),
    1.10,
    1.00)</f>
        <v/>
      </c>
      <c r="O5727">
        <f>IF('Loan Tape (S&amp;P)'!T5727="Yes",
    1.35,
    1.00)</f>
        <v/>
      </c>
      <c r="P5727">
        <f>IF('Loan Tape (S&amp;P)'!S5727="Yes",
    1.15,
    1.00)</f>
        <v/>
      </c>
      <c r="Q5727">
        <f>IF('Loan Tape (S&amp;P)'!V5727="Yes",
    1.20,
    1.00)</f>
        <v/>
      </c>
      <c r="T5727">
        <f>LET(
    payment_method,'Loan Tape (S&amp;P)'!P5727,
    occupancy,'Loan Tape (S&amp;P)'!N5727,
    maturity_date,'Loan Tape (S&amp;P)'!L5727,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28">
      <c r="J5728">
        <f>LET(
    lien,'Loan Tape (S&amp;P)'!Q5728,
    IF(lien="First",1.00,
        IF(lien="Second",1.50,
            1.70)))</f>
        <v/>
      </c>
      <c r="K5728">
        <f>LET(
    purpose,'Loan Tape (S&amp;P)'!R5728,
    IF(purpose="Purchase",1.00,
        IF(purpose="Remortgage",1.00,
            1.20)))</f>
        <v/>
      </c>
      <c r="L5728">
        <f>LET(
    arrears_months,'Loan Tape (S&amp;P)'!AN5728,
    IF(arrears_months=0,1.00,
    IF(arrears_months=1,3.00,
    IF(arrears_months=2,5.00,
    IF(arrears_months=3,8.00,
    IF(arrears_months=4,10.00,
    IF(arrears_months=5,12.00,15.00)))))))</f>
        <v/>
      </c>
      <c r="M5728">
        <f>LET(
    seasoning_years,DATEDIF('Loan Tape (S&amp;P)'!K5728,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28">
        <f>IF(AND('Loan Tape (S&amp;P)'!U5728="Yes",
        'Loan Tape (S&amp;P)'!T5728&lt;&gt;"Yes",
        DATEDIF('Loan Tape (S&amp;P)'!K5728, TODAY(), "M")&lt;18),
    1.10,
    1.00)</f>
        <v/>
      </c>
      <c r="O5728">
        <f>IF('Loan Tape (S&amp;P)'!T5728="Yes",
    1.35,
    1.00)</f>
        <v/>
      </c>
      <c r="P5728">
        <f>IF('Loan Tape (S&amp;P)'!S5728="Yes",
    1.15,
    1.00)</f>
        <v/>
      </c>
      <c r="Q5728">
        <f>IF('Loan Tape (S&amp;P)'!V5728="Yes",
    1.20,
    1.00)</f>
        <v/>
      </c>
      <c r="T5728">
        <f>LET(
    payment_method,'Loan Tape (S&amp;P)'!P5728,
    occupancy,'Loan Tape (S&amp;P)'!N5728,
    maturity_date,'Loan Tape (S&amp;P)'!L5728,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29">
      <c r="J5729">
        <f>LET(
    lien,'Loan Tape (S&amp;P)'!Q5729,
    IF(lien="First",1.00,
        IF(lien="Second",1.50,
            1.70)))</f>
        <v/>
      </c>
      <c r="K5729">
        <f>LET(
    purpose,'Loan Tape (S&amp;P)'!R5729,
    IF(purpose="Purchase",1.00,
        IF(purpose="Remortgage",1.00,
            1.20)))</f>
        <v/>
      </c>
      <c r="L5729">
        <f>LET(
    arrears_months,'Loan Tape (S&amp;P)'!AN5729,
    IF(arrears_months=0,1.00,
    IF(arrears_months=1,3.00,
    IF(arrears_months=2,5.00,
    IF(arrears_months=3,8.00,
    IF(arrears_months=4,10.00,
    IF(arrears_months=5,12.00,15.00)))))))</f>
        <v/>
      </c>
      <c r="M5729">
        <f>LET(
    seasoning_years,DATEDIF('Loan Tape (S&amp;P)'!K5729,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29">
        <f>IF(AND('Loan Tape (S&amp;P)'!U5729="Yes",
        'Loan Tape (S&amp;P)'!T5729&lt;&gt;"Yes",
        DATEDIF('Loan Tape (S&amp;P)'!K5729, TODAY(), "M")&lt;18),
    1.10,
    1.00)</f>
        <v/>
      </c>
      <c r="O5729">
        <f>IF('Loan Tape (S&amp;P)'!T5729="Yes",
    1.35,
    1.00)</f>
        <v/>
      </c>
      <c r="P5729">
        <f>IF('Loan Tape (S&amp;P)'!S5729="Yes",
    1.15,
    1.00)</f>
        <v/>
      </c>
      <c r="Q5729">
        <f>IF('Loan Tape (S&amp;P)'!V5729="Yes",
    1.20,
    1.00)</f>
        <v/>
      </c>
      <c r="T5729">
        <f>LET(
    payment_method,'Loan Tape (S&amp;P)'!P5729,
    occupancy,'Loan Tape (S&amp;P)'!N5729,
    maturity_date,'Loan Tape (S&amp;P)'!L5729,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30">
      <c r="J5730">
        <f>LET(
    lien,'Loan Tape (S&amp;P)'!Q5730,
    IF(lien="First",1.00,
        IF(lien="Second",1.50,
            1.70)))</f>
        <v/>
      </c>
      <c r="K5730">
        <f>LET(
    purpose,'Loan Tape (S&amp;P)'!R5730,
    IF(purpose="Purchase",1.00,
        IF(purpose="Remortgage",1.00,
            1.20)))</f>
        <v/>
      </c>
      <c r="L5730">
        <f>LET(
    arrears_months,'Loan Tape (S&amp;P)'!AN5730,
    IF(arrears_months=0,1.00,
    IF(arrears_months=1,3.00,
    IF(arrears_months=2,5.00,
    IF(arrears_months=3,8.00,
    IF(arrears_months=4,10.00,
    IF(arrears_months=5,12.00,15.00)))))))</f>
        <v/>
      </c>
      <c r="M5730">
        <f>LET(
    seasoning_years,DATEDIF('Loan Tape (S&amp;P)'!K5730,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30">
        <f>IF(AND('Loan Tape (S&amp;P)'!U5730="Yes",
        'Loan Tape (S&amp;P)'!T5730&lt;&gt;"Yes",
        DATEDIF('Loan Tape (S&amp;P)'!K5730, TODAY(), "M")&lt;18),
    1.10,
    1.00)</f>
        <v/>
      </c>
      <c r="O5730">
        <f>IF('Loan Tape (S&amp;P)'!T5730="Yes",
    1.35,
    1.00)</f>
        <v/>
      </c>
      <c r="P5730">
        <f>IF('Loan Tape (S&amp;P)'!S5730="Yes",
    1.15,
    1.00)</f>
        <v/>
      </c>
      <c r="Q5730">
        <f>IF('Loan Tape (S&amp;P)'!V5730="Yes",
    1.20,
    1.00)</f>
        <v/>
      </c>
      <c r="T5730">
        <f>LET(
    payment_method,'Loan Tape (S&amp;P)'!P5730,
    occupancy,'Loan Tape (S&amp;P)'!N5730,
    maturity_date,'Loan Tape (S&amp;P)'!L5730,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31">
      <c r="J5731">
        <f>LET(
    lien,'Loan Tape (S&amp;P)'!Q5731,
    IF(lien="First",1.00,
        IF(lien="Second",1.50,
            1.70)))</f>
        <v/>
      </c>
      <c r="K5731">
        <f>LET(
    purpose,'Loan Tape (S&amp;P)'!R5731,
    IF(purpose="Purchase",1.00,
        IF(purpose="Remortgage",1.00,
            1.20)))</f>
        <v/>
      </c>
      <c r="L5731">
        <f>LET(
    arrears_months,'Loan Tape (S&amp;P)'!AN5731,
    IF(arrears_months=0,1.00,
    IF(arrears_months=1,3.00,
    IF(arrears_months=2,5.00,
    IF(arrears_months=3,8.00,
    IF(arrears_months=4,10.00,
    IF(arrears_months=5,12.00,15.00)))))))</f>
        <v/>
      </c>
      <c r="M5731">
        <f>LET(
    seasoning_years,DATEDIF('Loan Tape (S&amp;P)'!K5731,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31">
        <f>IF(AND('Loan Tape (S&amp;P)'!U5731="Yes",
        'Loan Tape (S&amp;P)'!T5731&lt;&gt;"Yes",
        DATEDIF('Loan Tape (S&amp;P)'!K5731, TODAY(), "M")&lt;18),
    1.10,
    1.00)</f>
        <v/>
      </c>
      <c r="O5731">
        <f>IF('Loan Tape (S&amp;P)'!T5731="Yes",
    1.35,
    1.00)</f>
        <v/>
      </c>
      <c r="P5731">
        <f>IF('Loan Tape (S&amp;P)'!S5731="Yes",
    1.15,
    1.00)</f>
        <v/>
      </c>
      <c r="Q5731">
        <f>IF('Loan Tape (S&amp;P)'!V5731="Yes",
    1.20,
    1.00)</f>
        <v/>
      </c>
      <c r="T5731">
        <f>LET(
    payment_method,'Loan Tape (S&amp;P)'!P5731,
    occupancy,'Loan Tape (S&amp;P)'!N5731,
    maturity_date,'Loan Tape (S&amp;P)'!L5731,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32">
      <c r="J5732">
        <f>LET(
    lien,'Loan Tape (S&amp;P)'!Q5732,
    IF(lien="First",1.00,
        IF(lien="Second",1.50,
            1.70)))</f>
        <v/>
      </c>
      <c r="K5732">
        <f>LET(
    purpose,'Loan Tape (S&amp;P)'!R5732,
    IF(purpose="Purchase",1.00,
        IF(purpose="Remortgage",1.00,
            1.20)))</f>
        <v/>
      </c>
      <c r="L5732">
        <f>LET(
    arrears_months,'Loan Tape (S&amp;P)'!AN5732,
    IF(arrears_months=0,1.00,
    IF(arrears_months=1,3.00,
    IF(arrears_months=2,5.00,
    IF(arrears_months=3,8.00,
    IF(arrears_months=4,10.00,
    IF(arrears_months=5,12.00,15.00)))))))</f>
        <v/>
      </c>
      <c r="M5732">
        <f>LET(
    seasoning_years,DATEDIF('Loan Tape (S&amp;P)'!K5732,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32">
        <f>IF(AND('Loan Tape (S&amp;P)'!U5732="Yes",
        'Loan Tape (S&amp;P)'!T5732&lt;&gt;"Yes",
        DATEDIF('Loan Tape (S&amp;P)'!K5732, TODAY(), "M")&lt;18),
    1.10,
    1.00)</f>
        <v/>
      </c>
      <c r="O5732">
        <f>IF('Loan Tape (S&amp;P)'!T5732="Yes",
    1.35,
    1.00)</f>
        <v/>
      </c>
      <c r="P5732">
        <f>IF('Loan Tape (S&amp;P)'!S5732="Yes",
    1.15,
    1.00)</f>
        <v/>
      </c>
      <c r="Q5732">
        <f>IF('Loan Tape (S&amp;P)'!V5732="Yes",
    1.20,
    1.00)</f>
        <v/>
      </c>
      <c r="T5732">
        <f>LET(
    payment_method,'Loan Tape (S&amp;P)'!P5732,
    occupancy,'Loan Tape (S&amp;P)'!N5732,
    maturity_date,'Loan Tape (S&amp;P)'!L5732,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33">
      <c r="J5733">
        <f>LET(
    lien,'Loan Tape (S&amp;P)'!Q5733,
    IF(lien="First",1.00,
        IF(lien="Second",1.50,
            1.70)))</f>
        <v/>
      </c>
      <c r="K5733">
        <f>LET(
    purpose,'Loan Tape (S&amp;P)'!R5733,
    IF(purpose="Purchase",1.00,
        IF(purpose="Remortgage",1.00,
            1.20)))</f>
        <v/>
      </c>
      <c r="L5733">
        <f>LET(
    arrears_months,'Loan Tape (S&amp;P)'!AN5733,
    IF(arrears_months=0,1.00,
    IF(arrears_months=1,3.00,
    IF(arrears_months=2,5.00,
    IF(arrears_months=3,8.00,
    IF(arrears_months=4,10.00,
    IF(arrears_months=5,12.00,15.00)))))))</f>
        <v/>
      </c>
      <c r="M5733">
        <f>LET(
    seasoning_years,DATEDIF('Loan Tape (S&amp;P)'!K5733,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33">
        <f>IF(AND('Loan Tape (S&amp;P)'!U5733="Yes",
        'Loan Tape (S&amp;P)'!T5733&lt;&gt;"Yes",
        DATEDIF('Loan Tape (S&amp;P)'!K5733, TODAY(), "M")&lt;18),
    1.10,
    1.00)</f>
        <v/>
      </c>
      <c r="O5733">
        <f>IF('Loan Tape (S&amp;P)'!T5733="Yes",
    1.35,
    1.00)</f>
        <v/>
      </c>
      <c r="P5733">
        <f>IF('Loan Tape (S&amp;P)'!S5733="Yes",
    1.15,
    1.00)</f>
        <v/>
      </c>
      <c r="Q5733">
        <f>IF('Loan Tape (S&amp;P)'!V5733="Yes",
    1.20,
    1.00)</f>
        <v/>
      </c>
      <c r="T5733">
        <f>LET(
    payment_method,'Loan Tape (S&amp;P)'!P5733,
    occupancy,'Loan Tape (S&amp;P)'!N5733,
    maturity_date,'Loan Tape (S&amp;P)'!L5733,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34">
      <c r="J5734">
        <f>LET(
    lien,'Loan Tape (S&amp;P)'!Q5734,
    IF(lien="First",1.00,
        IF(lien="Second",1.50,
            1.70)))</f>
        <v/>
      </c>
      <c r="K5734">
        <f>LET(
    purpose,'Loan Tape (S&amp;P)'!R5734,
    IF(purpose="Purchase",1.00,
        IF(purpose="Remortgage",1.00,
            1.20)))</f>
        <v/>
      </c>
      <c r="L5734">
        <f>LET(
    arrears_months,'Loan Tape (S&amp;P)'!AN5734,
    IF(arrears_months=0,1.00,
    IF(arrears_months=1,3.00,
    IF(arrears_months=2,5.00,
    IF(arrears_months=3,8.00,
    IF(arrears_months=4,10.00,
    IF(arrears_months=5,12.00,15.00)))))))</f>
        <v/>
      </c>
      <c r="M5734">
        <f>LET(
    seasoning_years,DATEDIF('Loan Tape (S&amp;P)'!K5734,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34">
        <f>IF(AND('Loan Tape (S&amp;P)'!U5734="Yes",
        'Loan Tape (S&amp;P)'!T5734&lt;&gt;"Yes",
        DATEDIF('Loan Tape (S&amp;P)'!K5734, TODAY(), "M")&lt;18),
    1.10,
    1.00)</f>
        <v/>
      </c>
      <c r="O5734">
        <f>IF('Loan Tape (S&amp;P)'!T5734="Yes",
    1.35,
    1.00)</f>
        <v/>
      </c>
      <c r="P5734">
        <f>IF('Loan Tape (S&amp;P)'!S5734="Yes",
    1.15,
    1.00)</f>
        <v/>
      </c>
      <c r="Q5734">
        <f>IF('Loan Tape (S&amp;P)'!V5734="Yes",
    1.20,
    1.00)</f>
        <v/>
      </c>
      <c r="T5734">
        <f>LET(
    payment_method,'Loan Tape (S&amp;P)'!P5734,
    occupancy,'Loan Tape (S&amp;P)'!N5734,
    maturity_date,'Loan Tape (S&amp;P)'!L5734,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35">
      <c r="J5735">
        <f>LET(
    lien,'Loan Tape (S&amp;P)'!Q5735,
    IF(lien="First",1.00,
        IF(lien="Second",1.50,
            1.70)))</f>
        <v/>
      </c>
      <c r="K5735">
        <f>LET(
    purpose,'Loan Tape (S&amp;P)'!R5735,
    IF(purpose="Purchase",1.00,
        IF(purpose="Remortgage",1.00,
            1.20)))</f>
        <v/>
      </c>
      <c r="L5735">
        <f>LET(
    arrears_months,'Loan Tape (S&amp;P)'!AN5735,
    IF(arrears_months=0,1.00,
    IF(arrears_months=1,3.00,
    IF(arrears_months=2,5.00,
    IF(arrears_months=3,8.00,
    IF(arrears_months=4,10.00,
    IF(arrears_months=5,12.00,15.00)))))))</f>
        <v/>
      </c>
      <c r="M5735">
        <f>LET(
    seasoning_years,DATEDIF('Loan Tape (S&amp;P)'!K5735,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35">
        <f>IF(AND('Loan Tape (S&amp;P)'!U5735="Yes",
        'Loan Tape (S&amp;P)'!T5735&lt;&gt;"Yes",
        DATEDIF('Loan Tape (S&amp;P)'!K5735, TODAY(), "M")&lt;18),
    1.10,
    1.00)</f>
        <v/>
      </c>
      <c r="O5735">
        <f>IF('Loan Tape (S&amp;P)'!T5735="Yes",
    1.35,
    1.00)</f>
        <v/>
      </c>
      <c r="P5735">
        <f>IF('Loan Tape (S&amp;P)'!S5735="Yes",
    1.15,
    1.00)</f>
        <v/>
      </c>
      <c r="Q5735">
        <f>IF('Loan Tape (S&amp;P)'!V5735="Yes",
    1.20,
    1.00)</f>
        <v/>
      </c>
      <c r="T5735">
        <f>LET(
    payment_method,'Loan Tape (S&amp;P)'!P5735,
    occupancy,'Loan Tape (S&amp;P)'!N5735,
    maturity_date,'Loan Tape (S&amp;P)'!L5735,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36">
      <c r="J5736">
        <f>LET(
    lien,'Loan Tape (S&amp;P)'!Q5736,
    IF(lien="First",1.00,
        IF(lien="Second",1.50,
            1.70)))</f>
        <v/>
      </c>
      <c r="K5736">
        <f>LET(
    purpose,'Loan Tape (S&amp;P)'!R5736,
    IF(purpose="Purchase",1.00,
        IF(purpose="Remortgage",1.00,
            1.20)))</f>
        <v/>
      </c>
      <c r="L5736">
        <f>LET(
    arrears_months,'Loan Tape (S&amp;P)'!AN5736,
    IF(arrears_months=0,1.00,
    IF(arrears_months=1,3.00,
    IF(arrears_months=2,5.00,
    IF(arrears_months=3,8.00,
    IF(arrears_months=4,10.00,
    IF(arrears_months=5,12.00,15.00)))))))</f>
        <v/>
      </c>
      <c r="M5736">
        <f>LET(
    seasoning_years,DATEDIF('Loan Tape (S&amp;P)'!K5736,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36">
        <f>IF(AND('Loan Tape (S&amp;P)'!U5736="Yes",
        'Loan Tape (S&amp;P)'!T5736&lt;&gt;"Yes",
        DATEDIF('Loan Tape (S&amp;P)'!K5736, TODAY(), "M")&lt;18),
    1.10,
    1.00)</f>
        <v/>
      </c>
      <c r="O5736">
        <f>IF('Loan Tape (S&amp;P)'!T5736="Yes",
    1.35,
    1.00)</f>
        <v/>
      </c>
      <c r="P5736">
        <f>IF('Loan Tape (S&amp;P)'!S5736="Yes",
    1.15,
    1.00)</f>
        <v/>
      </c>
      <c r="Q5736">
        <f>IF('Loan Tape (S&amp;P)'!V5736="Yes",
    1.20,
    1.00)</f>
        <v/>
      </c>
      <c r="T5736">
        <f>LET(
    payment_method,'Loan Tape (S&amp;P)'!P5736,
    occupancy,'Loan Tape (S&amp;P)'!N5736,
    maturity_date,'Loan Tape (S&amp;P)'!L5736,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37">
      <c r="J5737">
        <f>LET(
    lien,'Loan Tape (S&amp;P)'!Q5737,
    IF(lien="First",1.00,
        IF(lien="Second",1.50,
            1.70)))</f>
        <v/>
      </c>
      <c r="K5737">
        <f>LET(
    purpose,'Loan Tape (S&amp;P)'!R5737,
    IF(purpose="Purchase",1.00,
        IF(purpose="Remortgage",1.00,
            1.20)))</f>
        <v/>
      </c>
      <c r="L5737">
        <f>LET(
    arrears_months,'Loan Tape (S&amp;P)'!AN5737,
    IF(arrears_months=0,1.00,
    IF(arrears_months=1,3.00,
    IF(arrears_months=2,5.00,
    IF(arrears_months=3,8.00,
    IF(arrears_months=4,10.00,
    IF(arrears_months=5,12.00,15.00)))))))</f>
        <v/>
      </c>
      <c r="M5737">
        <f>LET(
    seasoning_years,DATEDIF('Loan Tape (S&amp;P)'!K5737,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37">
        <f>IF(AND('Loan Tape (S&amp;P)'!U5737="Yes",
        'Loan Tape (S&amp;P)'!T5737&lt;&gt;"Yes",
        DATEDIF('Loan Tape (S&amp;P)'!K5737, TODAY(), "M")&lt;18),
    1.10,
    1.00)</f>
        <v/>
      </c>
      <c r="O5737">
        <f>IF('Loan Tape (S&amp;P)'!T5737="Yes",
    1.35,
    1.00)</f>
        <v/>
      </c>
      <c r="P5737">
        <f>IF('Loan Tape (S&amp;P)'!S5737="Yes",
    1.15,
    1.00)</f>
        <v/>
      </c>
      <c r="Q5737">
        <f>IF('Loan Tape (S&amp;P)'!V5737="Yes",
    1.20,
    1.00)</f>
        <v/>
      </c>
      <c r="T5737">
        <f>LET(
    payment_method,'Loan Tape (S&amp;P)'!P5737,
    occupancy,'Loan Tape (S&amp;P)'!N5737,
    maturity_date,'Loan Tape (S&amp;P)'!L5737,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38">
      <c r="J5738">
        <f>LET(
    lien,'Loan Tape (S&amp;P)'!Q5738,
    IF(lien="First",1.00,
        IF(lien="Second",1.50,
            1.70)))</f>
        <v/>
      </c>
      <c r="K5738">
        <f>LET(
    purpose,'Loan Tape (S&amp;P)'!R5738,
    IF(purpose="Purchase",1.00,
        IF(purpose="Remortgage",1.00,
            1.20)))</f>
        <v/>
      </c>
      <c r="L5738">
        <f>LET(
    arrears_months,'Loan Tape (S&amp;P)'!AN5738,
    IF(arrears_months=0,1.00,
    IF(arrears_months=1,3.00,
    IF(arrears_months=2,5.00,
    IF(arrears_months=3,8.00,
    IF(arrears_months=4,10.00,
    IF(arrears_months=5,12.00,15.00)))))))</f>
        <v/>
      </c>
      <c r="M5738">
        <f>LET(
    seasoning_years,DATEDIF('Loan Tape (S&amp;P)'!K5738,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38">
        <f>IF(AND('Loan Tape (S&amp;P)'!U5738="Yes",
        'Loan Tape (S&amp;P)'!T5738&lt;&gt;"Yes",
        DATEDIF('Loan Tape (S&amp;P)'!K5738, TODAY(), "M")&lt;18),
    1.10,
    1.00)</f>
        <v/>
      </c>
      <c r="O5738">
        <f>IF('Loan Tape (S&amp;P)'!T5738="Yes",
    1.35,
    1.00)</f>
        <v/>
      </c>
      <c r="P5738">
        <f>IF('Loan Tape (S&amp;P)'!S5738="Yes",
    1.15,
    1.00)</f>
        <v/>
      </c>
      <c r="Q5738">
        <f>IF('Loan Tape (S&amp;P)'!V5738="Yes",
    1.20,
    1.00)</f>
        <v/>
      </c>
      <c r="T5738">
        <f>LET(
    payment_method,'Loan Tape (S&amp;P)'!P5738,
    occupancy,'Loan Tape (S&amp;P)'!N5738,
    maturity_date,'Loan Tape (S&amp;P)'!L5738,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39">
      <c r="J5739">
        <f>LET(
    lien,'Loan Tape (S&amp;P)'!Q5739,
    IF(lien="First",1.00,
        IF(lien="Second",1.50,
            1.70)))</f>
        <v/>
      </c>
      <c r="K5739">
        <f>LET(
    purpose,'Loan Tape (S&amp;P)'!R5739,
    IF(purpose="Purchase",1.00,
        IF(purpose="Remortgage",1.00,
            1.20)))</f>
        <v/>
      </c>
      <c r="L5739">
        <f>LET(
    arrears_months,'Loan Tape (S&amp;P)'!AN5739,
    IF(arrears_months=0,1.00,
    IF(arrears_months=1,3.00,
    IF(arrears_months=2,5.00,
    IF(arrears_months=3,8.00,
    IF(arrears_months=4,10.00,
    IF(arrears_months=5,12.00,15.00)))))))</f>
        <v/>
      </c>
      <c r="M5739">
        <f>LET(
    seasoning_years,DATEDIF('Loan Tape (S&amp;P)'!K5739,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39">
        <f>IF(AND('Loan Tape (S&amp;P)'!U5739="Yes",
        'Loan Tape (S&amp;P)'!T5739&lt;&gt;"Yes",
        DATEDIF('Loan Tape (S&amp;P)'!K5739, TODAY(), "M")&lt;18),
    1.10,
    1.00)</f>
        <v/>
      </c>
      <c r="O5739">
        <f>IF('Loan Tape (S&amp;P)'!T5739="Yes",
    1.35,
    1.00)</f>
        <v/>
      </c>
      <c r="P5739">
        <f>IF('Loan Tape (S&amp;P)'!S5739="Yes",
    1.15,
    1.00)</f>
        <v/>
      </c>
      <c r="Q5739">
        <f>IF('Loan Tape (S&amp;P)'!V5739="Yes",
    1.20,
    1.00)</f>
        <v/>
      </c>
      <c r="T5739">
        <f>LET(
    payment_method,'Loan Tape (S&amp;P)'!P5739,
    occupancy,'Loan Tape (S&amp;P)'!N5739,
    maturity_date,'Loan Tape (S&amp;P)'!L5739,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40">
      <c r="J5740">
        <f>LET(
    lien,'Loan Tape (S&amp;P)'!Q5740,
    IF(lien="First",1.00,
        IF(lien="Second",1.50,
            1.70)))</f>
        <v/>
      </c>
      <c r="K5740">
        <f>LET(
    purpose,'Loan Tape (S&amp;P)'!R5740,
    IF(purpose="Purchase",1.00,
        IF(purpose="Remortgage",1.00,
            1.20)))</f>
        <v/>
      </c>
      <c r="L5740">
        <f>LET(
    arrears_months,'Loan Tape (S&amp;P)'!AN5740,
    IF(arrears_months=0,1.00,
    IF(arrears_months=1,3.00,
    IF(arrears_months=2,5.00,
    IF(arrears_months=3,8.00,
    IF(arrears_months=4,10.00,
    IF(arrears_months=5,12.00,15.00)))))))</f>
        <v/>
      </c>
      <c r="M5740">
        <f>LET(
    seasoning_years,DATEDIF('Loan Tape (S&amp;P)'!K5740,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40">
        <f>IF(AND('Loan Tape (S&amp;P)'!U5740="Yes",
        'Loan Tape (S&amp;P)'!T5740&lt;&gt;"Yes",
        DATEDIF('Loan Tape (S&amp;P)'!K5740, TODAY(), "M")&lt;18),
    1.10,
    1.00)</f>
        <v/>
      </c>
      <c r="O5740">
        <f>IF('Loan Tape (S&amp;P)'!T5740="Yes",
    1.35,
    1.00)</f>
        <v/>
      </c>
      <c r="P5740">
        <f>IF('Loan Tape (S&amp;P)'!S5740="Yes",
    1.15,
    1.00)</f>
        <v/>
      </c>
      <c r="Q5740">
        <f>IF('Loan Tape (S&amp;P)'!V5740="Yes",
    1.20,
    1.00)</f>
        <v/>
      </c>
      <c r="T5740">
        <f>LET(
    payment_method,'Loan Tape (S&amp;P)'!P5740,
    occupancy,'Loan Tape (S&amp;P)'!N5740,
    maturity_date,'Loan Tape (S&amp;P)'!L5740,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41">
      <c r="J5741">
        <f>LET(
    lien,'Loan Tape (S&amp;P)'!Q5741,
    IF(lien="First",1.00,
        IF(lien="Second",1.50,
            1.70)))</f>
        <v/>
      </c>
      <c r="K5741">
        <f>LET(
    purpose,'Loan Tape (S&amp;P)'!R5741,
    IF(purpose="Purchase",1.00,
        IF(purpose="Remortgage",1.00,
            1.20)))</f>
        <v/>
      </c>
      <c r="L5741">
        <f>LET(
    arrears_months,'Loan Tape (S&amp;P)'!AN5741,
    IF(arrears_months=0,1.00,
    IF(arrears_months=1,3.00,
    IF(arrears_months=2,5.00,
    IF(arrears_months=3,8.00,
    IF(arrears_months=4,10.00,
    IF(arrears_months=5,12.00,15.00)))))))</f>
        <v/>
      </c>
      <c r="M5741">
        <f>LET(
    seasoning_years,DATEDIF('Loan Tape (S&amp;P)'!K5741,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41">
        <f>IF(AND('Loan Tape (S&amp;P)'!U5741="Yes",
        'Loan Tape (S&amp;P)'!T5741&lt;&gt;"Yes",
        DATEDIF('Loan Tape (S&amp;P)'!K5741, TODAY(), "M")&lt;18),
    1.10,
    1.00)</f>
        <v/>
      </c>
      <c r="O5741">
        <f>IF('Loan Tape (S&amp;P)'!T5741="Yes",
    1.35,
    1.00)</f>
        <v/>
      </c>
      <c r="P5741">
        <f>IF('Loan Tape (S&amp;P)'!S5741="Yes",
    1.15,
    1.00)</f>
        <v/>
      </c>
      <c r="Q5741">
        <f>IF('Loan Tape (S&amp;P)'!V5741="Yes",
    1.20,
    1.00)</f>
        <v/>
      </c>
      <c r="T5741">
        <f>LET(
    payment_method,'Loan Tape (S&amp;P)'!P5741,
    occupancy,'Loan Tape (S&amp;P)'!N5741,
    maturity_date,'Loan Tape (S&amp;P)'!L5741,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42">
      <c r="J5742">
        <f>LET(
    lien,'Loan Tape (S&amp;P)'!Q5742,
    IF(lien="First",1.00,
        IF(lien="Second",1.50,
            1.70)))</f>
        <v/>
      </c>
      <c r="K5742">
        <f>LET(
    purpose,'Loan Tape (S&amp;P)'!R5742,
    IF(purpose="Purchase",1.00,
        IF(purpose="Remortgage",1.00,
            1.20)))</f>
        <v/>
      </c>
      <c r="L5742">
        <f>LET(
    arrears_months,'Loan Tape (S&amp;P)'!AN5742,
    IF(arrears_months=0,1.00,
    IF(arrears_months=1,3.00,
    IF(arrears_months=2,5.00,
    IF(arrears_months=3,8.00,
    IF(arrears_months=4,10.00,
    IF(arrears_months=5,12.00,15.00)))))))</f>
        <v/>
      </c>
      <c r="M5742">
        <f>LET(
    seasoning_years,DATEDIF('Loan Tape (S&amp;P)'!K5742,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42">
        <f>IF(AND('Loan Tape (S&amp;P)'!U5742="Yes",
        'Loan Tape (S&amp;P)'!T5742&lt;&gt;"Yes",
        DATEDIF('Loan Tape (S&amp;P)'!K5742, TODAY(), "M")&lt;18),
    1.10,
    1.00)</f>
        <v/>
      </c>
      <c r="O5742">
        <f>IF('Loan Tape (S&amp;P)'!T5742="Yes",
    1.35,
    1.00)</f>
        <v/>
      </c>
      <c r="P5742">
        <f>IF('Loan Tape (S&amp;P)'!S5742="Yes",
    1.15,
    1.00)</f>
        <v/>
      </c>
      <c r="Q5742">
        <f>IF('Loan Tape (S&amp;P)'!V5742="Yes",
    1.20,
    1.00)</f>
        <v/>
      </c>
      <c r="T5742">
        <f>LET(
    payment_method,'Loan Tape (S&amp;P)'!P5742,
    occupancy,'Loan Tape (S&amp;P)'!N5742,
    maturity_date,'Loan Tape (S&amp;P)'!L5742,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43">
      <c r="J5743">
        <f>LET(
    lien,'Loan Tape (S&amp;P)'!Q5743,
    IF(lien="First",1.00,
        IF(lien="Second",1.50,
            1.70)))</f>
        <v/>
      </c>
      <c r="K5743">
        <f>LET(
    purpose,'Loan Tape (S&amp;P)'!R5743,
    IF(purpose="Purchase",1.00,
        IF(purpose="Remortgage",1.00,
            1.20)))</f>
        <v/>
      </c>
      <c r="L5743">
        <f>LET(
    arrears_months,'Loan Tape (S&amp;P)'!AN5743,
    IF(arrears_months=0,1.00,
    IF(arrears_months=1,3.00,
    IF(arrears_months=2,5.00,
    IF(arrears_months=3,8.00,
    IF(arrears_months=4,10.00,
    IF(arrears_months=5,12.00,15.00)))))))</f>
        <v/>
      </c>
      <c r="M5743">
        <f>LET(
    seasoning_years,DATEDIF('Loan Tape (S&amp;P)'!K5743,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43">
        <f>IF(AND('Loan Tape (S&amp;P)'!U5743="Yes",
        'Loan Tape (S&amp;P)'!T5743&lt;&gt;"Yes",
        DATEDIF('Loan Tape (S&amp;P)'!K5743, TODAY(), "M")&lt;18),
    1.10,
    1.00)</f>
        <v/>
      </c>
      <c r="O5743">
        <f>IF('Loan Tape (S&amp;P)'!T5743="Yes",
    1.35,
    1.00)</f>
        <v/>
      </c>
      <c r="P5743">
        <f>IF('Loan Tape (S&amp;P)'!S5743="Yes",
    1.15,
    1.00)</f>
        <v/>
      </c>
      <c r="Q5743">
        <f>IF('Loan Tape (S&amp;P)'!V5743="Yes",
    1.20,
    1.00)</f>
        <v/>
      </c>
      <c r="T5743">
        <f>LET(
    payment_method,'Loan Tape (S&amp;P)'!P5743,
    occupancy,'Loan Tape (S&amp;P)'!N5743,
    maturity_date,'Loan Tape (S&amp;P)'!L5743,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44">
      <c r="J5744">
        <f>LET(
    lien,'Loan Tape (S&amp;P)'!Q5744,
    IF(lien="First",1.00,
        IF(lien="Second",1.50,
            1.70)))</f>
        <v/>
      </c>
      <c r="K5744">
        <f>LET(
    purpose,'Loan Tape (S&amp;P)'!R5744,
    IF(purpose="Purchase",1.00,
        IF(purpose="Remortgage",1.00,
            1.20)))</f>
        <v/>
      </c>
      <c r="L5744">
        <f>LET(
    arrears_months,'Loan Tape (S&amp;P)'!AN5744,
    IF(arrears_months=0,1.00,
    IF(arrears_months=1,3.00,
    IF(arrears_months=2,5.00,
    IF(arrears_months=3,8.00,
    IF(arrears_months=4,10.00,
    IF(arrears_months=5,12.00,15.00)))))))</f>
        <v/>
      </c>
      <c r="M5744">
        <f>LET(
    seasoning_years,DATEDIF('Loan Tape (S&amp;P)'!K5744,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44">
        <f>IF(AND('Loan Tape (S&amp;P)'!U5744="Yes",
        'Loan Tape (S&amp;P)'!T5744&lt;&gt;"Yes",
        DATEDIF('Loan Tape (S&amp;P)'!K5744, TODAY(), "M")&lt;18),
    1.10,
    1.00)</f>
        <v/>
      </c>
      <c r="O5744">
        <f>IF('Loan Tape (S&amp;P)'!T5744="Yes",
    1.35,
    1.00)</f>
        <v/>
      </c>
      <c r="P5744">
        <f>IF('Loan Tape (S&amp;P)'!S5744="Yes",
    1.15,
    1.00)</f>
        <v/>
      </c>
      <c r="Q5744">
        <f>IF('Loan Tape (S&amp;P)'!V5744="Yes",
    1.20,
    1.00)</f>
        <v/>
      </c>
      <c r="T5744">
        <f>LET(
    payment_method,'Loan Tape (S&amp;P)'!P5744,
    occupancy,'Loan Tape (S&amp;P)'!N5744,
    maturity_date,'Loan Tape (S&amp;P)'!L5744,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45">
      <c r="J5745">
        <f>LET(
    lien,'Loan Tape (S&amp;P)'!Q5745,
    IF(lien="First",1.00,
        IF(lien="Second",1.50,
            1.70)))</f>
        <v/>
      </c>
      <c r="K5745">
        <f>LET(
    purpose,'Loan Tape (S&amp;P)'!R5745,
    IF(purpose="Purchase",1.00,
        IF(purpose="Remortgage",1.00,
            1.20)))</f>
        <v/>
      </c>
      <c r="L5745">
        <f>LET(
    arrears_months,'Loan Tape (S&amp;P)'!AN5745,
    IF(arrears_months=0,1.00,
    IF(arrears_months=1,3.00,
    IF(arrears_months=2,5.00,
    IF(arrears_months=3,8.00,
    IF(arrears_months=4,10.00,
    IF(arrears_months=5,12.00,15.00)))))))</f>
        <v/>
      </c>
      <c r="M5745">
        <f>LET(
    seasoning_years,DATEDIF('Loan Tape (S&amp;P)'!K5745,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45">
        <f>IF(AND('Loan Tape (S&amp;P)'!U5745="Yes",
        'Loan Tape (S&amp;P)'!T5745&lt;&gt;"Yes",
        DATEDIF('Loan Tape (S&amp;P)'!K5745, TODAY(), "M")&lt;18),
    1.10,
    1.00)</f>
        <v/>
      </c>
      <c r="O5745">
        <f>IF('Loan Tape (S&amp;P)'!T5745="Yes",
    1.35,
    1.00)</f>
        <v/>
      </c>
      <c r="P5745">
        <f>IF('Loan Tape (S&amp;P)'!S5745="Yes",
    1.15,
    1.00)</f>
        <v/>
      </c>
      <c r="Q5745">
        <f>IF('Loan Tape (S&amp;P)'!V5745="Yes",
    1.20,
    1.00)</f>
        <v/>
      </c>
      <c r="T5745">
        <f>LET(
    payment_method,'Loan Tape (S&amp;P)'!P5745,
    occupancy,'Loan Tape (S&amp;P)'!N5745,
    maturity_date,'Loan Tape (S&amp;P)'!L5745,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46">
      <c r="J5746">
        <f>LET(
    lien,'Loan Tape (S&amp;P)'!Q5746,
    IF(lien="First",1.00,
        IF(lien="Second",1.50,
            1.70)))</f>
        <v/>
      </c>
      <c r="K5746">
        <f>LET(
    purpose,'Loan Tape (S&amp;P)'!R5746,
    IF(purpose="Purchase",1.00,
        IF(purpose="Remortgage",1.00,
            1.20)))</f>
        <v/>
      </c>
      <c r="L5746">
        <f>LET(
    arrears_months,'Loan Tape (S&amp;P)'!AN5746,
    IF(arrears_months=0,1.00,
    IF(arrears_months=1,3.00,
    IF(arrears_months=2,5.00,
    IF(arrears_months=3,8.00,
    IF(arrears_months=4,10.00,
    IF(arrears_months=5,12.00,15.00)))))))</f>
        <v/>
      </c>
      <c r="M5746">
        <f>LET(
    seasoning_years,DATEDIF('Loan Tape (S&amp;P)'!K5746,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46">
        <f>IF(AND('Loan Tape (S&amp;P)'!U5746="Yes",
        'Loan Tape (S&amp;P)'!T5746&lt;&gt;"Yes",
        DATEDIF('Loan Tape (S&amp;P)'!K5746, TODAY(), "M")&lt;18),
    1.10,
    1.00)</f>
        <v/>
      </c>
      <c r="O5746">
        <f>IF('Loan Tape (S&amp;P)'!T5746="Yes",
    1.35,
    1.00)</f>
        <v/>
      </c>
      <c r="P5746">
        <f>IF('Loan Tape (S&amp;P)'!S5746="Yes",
    1.15,
    1.00)</f>
        <v/>
      </c>
      <c r="Q5746">
        <f>IF('Loan Tape (S&amp;P)'!V5746="Yes",
    1.20,
    1.00)</f>
        <v/>
      </c>
      <c r="T5746">
        <f>LET(
    payment_method,'Loan Tape (S&amp;P)'!P5746,
    occupancy,'Loan Tape (S&amp;P)'!N5746,
    maturity_date,'Loan Tape (S&amp;P)'!L5746,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47">
      <c r="J5747">
        <f>LET(
    lien,'Loan Tape (S&amp;P)'!Q5747,
    IF(lien="First",1.00,
        IF(lien="Second",1.50,
            1.70)))</f>
        <v/>
      </c>
      <c r="K5747">
        <f>LET(
    purpose,'Loan Tape (S&amp;P)'!R5747,
    IF(purpose="Purchase",1.00,
        IF(purpose="Remortgage",1.00,
            1.20)))</f>
        <v/>
      </c>
      <c r="L5747">
        <f>LET(
    arrears_months,'Loan Tape (S&amp;P)'!AN5747,
    IF(arrears_months=0,1.00,
    IF(arrears_months=1,3.00,
    IF(arrears_months=2,5.00,
    IF(arrears_months=3,8.00,
    IF(arrears_months=4,10.00,
    IF(arrears_months=5,12.00,15.00)))))))</f>
        <v/>
      </c>
      <c r="M5747">
        <f>LET(
    seasoning_years,DATEDIF('Loan Tape (S&amp;P)'!K5747,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47">
        <f>IF(AND('Loan Tape (S&amp;P)'!U5747="Yes",
        'Loan Tape (S&amp;P)'!T5747&lt;&gt;"Yes",
        DATEDIF('Loan Tape (S&amp;P)'!K5747, TODAY(), "M")&lt;18),
    1.10,
    1.00)</f>
        <v/>
      </c>
      <c r="O5747">
        <f>IF('Loan Tape (S&amp;P)'!T5747="Yes",
    1.35,
    1.00)</f>
        <v/>
      </c>
      <c r="P5747">
        <f>IF('Loan Tape (S&amp;P)'!S5747="Yes",
    1.15,
    1.00)</f>
        <v/>
      </c>
      <c r="Q5747">
        <f>IF('Loan Tape (S&amp;P)'!V5747="Yes",
    1.20,
    1.00)</f>
        <v/>
      </c>
      <c r="T5747">
        <f>LET(
    payment_method,'Loan Tape (S&amp;P)'!P5747,
    occupancy,'Loan Tape (S&amp;P)'!N5747,
    maturity_date,'Loan Tape (S&amp;P)'!L5747,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48">
      <c r="J5748">
        <f>LET(
    lien,'Loan Tape (S&amp;P)'!Q5748,
    IF(lien="First",1.00,
        IF(lien="Second",1.50,
            1.70)))</f>
        <v/>
      </c>
      <c r="K5748">
        <f>LET(
    purpose,'Loan Tape (S&amp;P)'!R5748,
    IF(purpose="Purchase",1.00,
        IF(purpose="Remortgage",1.00,
            1.20)))</f>
        <v/>
      </c>
      <c r="L5748">
        <f>LET(
    arrears_months,'Loan Tape (S&amp;P)'!AN5748,
    IF(arrears_months=0,1.00,
    IF(arrears_months=1,3.00,
    IF(arrears_months=2,5.00,
    IF(arrears_months=3,8.00,
    IF(arrears_months=4,10.00,
    IF(arrears_months=5,12.00,15.00)))))))</f>
        <v/>
      </c>
      <c r="M5748">
        <f>LET(
    seasoning_years,DATEDIF('Loan Tape (S&amp;P)'!K5748,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48">
        <f>IF(AND('Loan Tape (S&amp;P)'!U5748="Yes",
        'Loan Tape (S&amp;P)'!T5748&lt;&gt;"Yes",
        DATEDIF('Loan Tape (S&amp;P)'!K5748, TODAY(), "M")&lt;18),
    1.10,
    1.00)</f>
        <v/>
      </c>
      <c r="O5748">
        <f>IF('Loan Tape (S&amp;P)'!T5748="Yes",
    1.35,
    1.00)</f>
        <v/>
      </c>
      <c r="P5748">
        <f>IF('Loan Tape (S&amp;P)'!S5748="Yes",
    1.15,
    1.00)</f>
        <v/>
      </c>
      <c r="Q5748">
        <f>IF('Loan Tape (S&amp;P)'!V5748="Yes",
    1.20,
    1.00)</f>
        <v/>
      </c>
      <c r="T5748">
        <f>LET(
    payment_method,'Loan Tape (S&amp;P)'!P5748,
    occupancy,'Loan Tape (S&amp;P)'!N5748,
    maturity_date,'Loan Tape (S&amp;P)'!L5748,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49">
      <c r="J5749">
        <f>LET(
    lien,'Loan Tape (S&amp;P)'!Q5749,
    IF(lien="First",1.00,
        IF(lien="Second",1.50,
            1.70)))</f>
        <v/>
      </c>
      <c r="K5749">
        <f>LET(
    purpose,'Loan Tape (S&amp;P)'!R5749,
    IF(purpose="Purchase",1.00,
        IF(purpose="Remortgage",1.00,
            1.20)))</f>
        <v/>
      </c>
      <c r="L5749">
        <f>LET(
    arrears_months,'Loan Tape (S&amp;P)'!AN5749,
    IF(arrears_months=0,1.00,
    IF(arrears_months=1,3.00,
    IF(arrears_months=2,5.00,
    IF(arrears_months=3,8.00,
    IF(arrears_months=4,10.00,
    IF(arrears_months=5,12.00,15.00)))))))</f>
        <v/>
      </c>
      <c r="M5749">
        <f>LET(
    seasoning_years,DATEDIF('Loan Tape (S&amp;P)'!K5749,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49">
        <f>IF(AND('Loan Tape (S&amp;P)'!U5749="Yes",
        'Loan Tape (S&amp;P)'!T5749&lt;&gt;"Yes",
        DATEDIF('Loan Tape (S&amp;P)'!K5749, TODAY(), "M")&lt;18),
    1.10,
    1.00)</f>
        <v/>
      </c>
      <c r="O5749">
        <f>IF('Loan Tape (S&amp;P)'!T5749="Yes",
    1.35,
    1.00)</f>
        <v/>
      </c>
      <c r="P5749">
        <f>IF('Loan Tape (S&amp;P)'!S5749="Yes",
    1.15,
    1.00)</f>
        <v/>
      </c>
      <c r="Q5749">
        <f>IF('Loan Tape (S&amp;P)'!V5749="Yes",
    1.20,
    1.00)</f>
        <v/>
      </c>
      <c r="T5749">
        <f>LET(
    payment_method,'Loan Tape (S&amp;P)'!P5749,
    occupancy,'Loan Tape (S&amp;P)'!N5749,
    maturity_date,'Loan Tape (S&amp;P)'!L5749,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50">
      <c r="J5750">
        <f>LET(
    lien,'Loan Tape (S&amp;P)'!Q5750,
    IF(lien="First",1.00,
        IF(lien="Second",1.50,
            1.70)))</f>
        <v/>
      </c>
      <c r="K5750">
        <f>LET(
    purpose,'Loan Tape (S&amp;P)'!R5750,
    IF(purpose="Purchase",1.00,
        IF(purpose="Remortgage",1.00,
            1.20)))</f>
        <v/>
      </c>
      <c r="L5750">
        <f>LET(
    arrears_months,'Loan Tape (S&amp;P)'!AN5750,
    IF(arrears_months=0,1.00,
    IF(arrears_months=1,3.00,
    IF(arrears_months=2,5.00,
    IF(arrears_months=3,8.00,
    IF(arrears_months=4,10.00,
    IF(arrears_months=5,12.00,15.00)))))))</f>
        <v/>
      </c>
      <c r="M5750">
        <f>LET(
    seasoning_years,DATEDIF('Loan Tape (S&amp;P)'!K5750,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50">
        <f>IF(AND('Loan Tape (S&amp;P)'!U5750="Yes",
        'Loan Tape (S&amp;P)'!T5750&lt;&gt;"Yes",
        DATEDIF('Loan Tape (S&amp;P)'!K5750, TODAY(), "M")&lt;18),
    1.10,
    1.00)</f>
        <v/>
      </c>
      <c r="O5750">
        <f>IF('Loan Tape (S&amp;P)'!T5750="Yes",
    1.35,
    1.00)</f>
        <v/>
      </c>
      <c r="P5750">
        <f>IF('Loan Tape (S&amp;P)'!S5750="Yes",
    1.15,
    1.00)</f>
        <v/>
      </c>
      <c r="Q5750">
        <f>IF('Loan Tape (S&amp;P)'!V5750="Yes",
    1.20,
    1.00)</f>
        <v/>
      </c>
      <c r="T5750">
        <f>LET(
    payment_method,'Loan Tape (S&amp;P)'!P5750,
    occupancy,'Loan Tape (S&amp;P)'!N5750,
    maturity_date,'Loan Tape (S&amp;P)'!L5750,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51">
      <c r="J5751">
        <f>LET(
    lien,'Loan Tape (S&amp;P)'!Q5751,
    IF(lien="First",1.00,
        IF(lien="Second",1.50,
            1.70)))</f>
        <v/>
      </c>
      <c r="K5751">
        <f>LET(
    purpose,'Loan Tape (S&amp;P)'!R5751,
    IF(purpose="Purchase",1.00,
        IF(purpose="Remortgage",1.00,
            1.20)))</f>
        <v/>
      </c>
      <c r="L5751">
        <f>LET(
    arrears_months,'Loan Tape (S&amp;P)'!AN5751,
    IF(arrears_months=0,1.00,
    IF(arrears_months=1,3.00,
    IF(arrears_months=2,5.00,
    IF(arrears_months=3,8.00,
    IF(arrears_months=4,10.00,
    IF(arrears_months=5,12.00,15.00)))))))</f>
        <v/>
      </c>
      <c r="M5751">
        <f>LET(
    seasoning_years,DATEDIF('Loan Tape (S&amp;P)'!K5751,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51">
        <f>IF(AND('Loan Tape (S&amp;P)'!U5751="Yes",
        'Loan Tape (S&amp;P)'!T5751&lt;&gt;"Yes",
        DATEDIF('Loan Tape (S&amp;P)'!K5751, TODAY(), "M")&lt;18),
    1.10,
    1.00)</f>
        <v/>
      </c>
      <c r="O5751">
        <f>IF('Loan Tape (S&amp;P)'!T5751="Yes",
    1.35,
    1.00)</f>
        <v/>
      </c>
      <c r="P5751">
        <f>IF('Loan Tape (S&amp;P)'!S5751="Yes",
    1.15,
    1.00)</f>
        <v/>
      </c>
      <c r="Q5751">
        <f>IF('Loan Tape (S&amp;P)'!V5751="Yes",
    1.20,
    1.00)</f>
        <v/>
      </c>
      <c r="T5751">
        <f>LET(
    payment_method,'Loan Tape (S&amp;P)'!P5751,
    occupancy,'Loan Tape (S&amp;P)'!N5751,
    maturity_date,'Loan Tape (S&amp;P)'!L5751,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52">
      <c r="J5752">
        <f>LET(
    lien,'Loan Tape (S&amp;P)'!Q5752,
    IF(lien="First",1.00,
        IF(lien="Second",1.50,
            1.70)))</f>
        <v/>
      </c>
      <c r="K5752">
        <f>LET(
    purpose,'Loan Tape (S&amp;P)'!R5752,
    IF(purpose="Purchase",1.00,
        IF(purpose="Remortgage",1.00,
            1.20)))</f>
        <v/>
      </c>
      <c r="L5752">
        <f>LET(
    arrears_months,'Loan Tape (S&amp;P)'!AN5752,
    IF(arrears_months=0,1.00,
    IF(arrears_months=1,3.00,
    IF(arrears_months=2,5.00,
    IF(arrears_months=3,8.00,
    IF(arrears_months=4,10.00,
    IF(arrears_months=5,12.00,15.00)))))))</f>
        <v/>
      </c>
      <c r="M5752">
        <f>LET(
    seasoning_years,DATEDIF('Loan Tape (S&amp;P)'!K5752,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52">
        <f>IF(AND('Loan Tape (S&amp;P)'!U5752="Yes",
        'Loan Tape (S&amp;P)'!T5752&lt;&gt;"Yes",
        DATEDIF('Loan Tape (S&amp;P)'!K5752, TODAY(), "M")&lt;18),
    1.10,
    1.00)</f>
        <v/>
      </c>
      <c r="O5752">
        <f>IF('Loan Tape (S&amp;P)'!T5752="Yes",
    1.35,
    1.00)</f>
        <v/>
      </c>
      <c r="P5752">
        <f>IF('Loan Tape (S&amp;P)'!S5752="Yes",
    1.15,
    1.00)</f>
        <v/>
      </c>
      <c r="Q5752">
        <f>IF('Loan Tape (S&amp;P)'!V5752="Yes",
    1.20,
    1.00)</f>
        <v/>
      </c>
      <c r="T5752">
        <f>LET(
    payment_method,'Loan Tape (S&amp;P)'!P5752,
    occupancy,'Loan Tape (S&amp;P)'!N5752,
    maturity_date,'Loan Tape (S&amp;P)'!L5752,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53">
      <c r="J5753">
        <f>LET(
    lien,'Loan Tape (S&amp;P)'!Q5753,
    IF(lien="First",1.00,
        IF(lien="Second",1.50,
            1.70)))</f>
        <v/>
      </c>
      <c r="K5753">
        <f>LET(
    purpose,'Loan Tape (S&amp;P)'!R5753,
    IF(purpose="Purchase",1.00,
        IF(purpose="Remortgage",1.00,
            1.20)))</f>
        <v/>
      </c>
      <c r="L5753">
        <f>LET(
    arrears_months,'Loan Tape (S&amp;P)'!AN5753,
    IF(arrears_months=0,1.00,
    IF(arrears_months=1,3.00,
    IF(arrears_months=2,5.00,
    IF(arrears_months=3,8.00,
    IF(arrears_months=4,10.00,
    IF(arrears_months=5,12.00,15.00)))))))</f>
        <v/>
      </c>
      <c r="M5753">
        <f>LET(
    seasoning_years,DATEDIF('Loan Tape (S&amp;P)'!K5753,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53">
        <f>IF(AND('Loan Tape (S&amp;P)'!U5753="Yes",
        'Loan Tape (S&amp;P)'!T5753&lt;&gt;"Yes",
        DATEDIF('Loan Tape (S&amp;P)'!K5753, TODAY(), "M")&lt;18),
    1.10,
    1.00)</f>
        <v/>
      </c>
      <c r="O5753">
        <f>IF('Loan Tape (S&amp;P)'!T5753="Yes",
    1.35,
    1.00)</f>
        <v/>
      </c>
      <c r="P5753">
        <f>IF('Loan Tape (S&amp;P)'!S5753="Yes",
    1.15,
    1.00)</f>
        <v/>
      </c>
      <c r="Q5753">
        <f>IF('Loan Tape (S&amp;P)'!V5753="Yes",
    1.20,
    1.00)</f>
        <v/>
      </c>
      <c r="T5753">
        <f>LET(
    payment_method,'Loan Tape (S&amp;P)'!P5753,
    occupancy,'Loan Tape (S&amp;P)'!N5753,
    maturity_date,'Loan Tape (S&amp;P)'!L5753,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54">
      <c r="J5754">
        <f>LET(
    lien,'Loan Tape (S&amp;P)'!Q5754,
    IF(lien="First",1.00,
        IF(lien="Second",1.50,
            1.70)))</f>
        <v/>
      </c>
      <c r="K5754">
        <f>LET(
    purpose,'Loan Tape (S&amp;P)'!R5754,
    IF(purpose="Purchase",1.00,
        IF(purpose="Remortgage",1.00,
            1.20)))</f>
        <v/>
      </c>
      <c r="L5754">
        <f>LET(
    arrears_months,'Loan Tape (S&amp;P)'!AN5754,
    IF(arrears_months=0,1.00,
    IF(arrears_months=1,3.00,
    IF(arrears_months=2,5.00,
    IF(arrears_months=3,8.00,
    IF(arrears_months=4,10.00,
    IF(arrears_months=5,12.00,15.00)))))))</f>
        <v/>
      </c>
      <c r="M5754">
        <f>LET(
    seasoning_years,DATEDIF('Loan Tape (S&amp;P)'!K5754,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54">
        <f>IF(AND('Loan Tape (S&amp;P)'!U5754="Yes",
        'Loan Tape (S&amp;P)'!T5754&lt;&gt;"Yes",
        DATEDIF('Loan Tape (S&amp;P)'!K5754, TODAY(), "M")&lt;18),
    1.10,
    1.00)</f>
        <v/>
      </c>
      <c r="O5754">
        <f>IF('Loan Tape (S&amp;P)'!T5754="Yes",
    1.35,
    1.00)</f>
        <v/>
      </c>
      <c r="P5754">
        <f>IF('Loan Tape (S&amp;P)'!S5754="Yes",
    1.15,
    1.00)</f>
        <v/>
      </c>
      <c r="Q5754">
        <f>IF('Loan Tape (S&amp;P)'!V5754="Yes",
    1.20,
    1.00)</f>
        <v/>
      </c>
      <c r="T5754">
        <f>LET(
    payment_method,'Loan Tape (S&amp;P)'!P5754,
    occupancy,'Loan Tape (S&amp;P)'!N5754,
    maturity_date,'Loan Tape (S&amp;P)'!L5754,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55">
      <c r="J5755">
        <f>LET(
    lien,'Loan Tape (S&amp;P)'!Q5755,
    IF(lien="First",1.00,
        IF(lien="Second",1.50,
            1.70)))</f>
        <v/>
      </c>
      <c r="K5755">
        <f>LET(
    purpose,'Loan Tape (S&amp;P)'!R5755,
    IF(purpose="Purchase",1.00,
        IF(purpose="Remortgage",1.00,
            1.20)))</f>
        <v/>
      </c>
      <c r="L5755">
        <f>LET(
    arrears_months,'Loan Tape (S&amp;P)'!AN5755,
    IF(arrears_months=0,1.00,
    IF(arrears_months=1,3.00,
    IF(arrears_months=2,5.00,
    IF(arrears_months=3,8.00,
    IF(arrears_months=4,10.00,
    IF(arrears_months=5,12.00,15.00)))))))</f>
        <v/>
      </c>
      <c r="M5755">
        <f>LET(
    seasoning_years,DATEDIF('Loan Tape (S&amp;P)'!K5755,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55">
        <f>IF(AND('Loan Tape (S&amp;P)'!U5755="Yes",
        'Loan Tape (S&amp;P)'!T5755&lt;&gt;"Yes",
        DATEDIF('Loan Tape (S&amp;P)'!K5755, TODAY(), "M")&lt;18),
    1.10,
    1.00)</f>
        <v/>
      </c>
      <c r="O5755">
        <f>IF('Loan Tape (S&amp;P)'!T5755="Yes",
    1.35,
    1.00)</f>
        <v/>
      </c>
      <c r="P5755">
        <f>IF('Loan Tape (S&amp;P)'!S5755="Yes",
    1.15,
    1.00)</f>
        <v/>
      </c>
      <c r="Q5755">
        <f>IF('Loan Tape (S&amp;P)'!V5755="Yes",
    1.20,
    1.00)</f>
        <v/>
      </c>
      <c r="T5755">
        <f>LET(
    payment_method,'Loan Tape (S&amp;P)'!P5755,
    occupancy,'Loan Tape (S&amp;P)'!N5755,
    maturity_date,'Loan Tape (S&amp;P)'!L5755,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56">
      <c r="J5756">
        <f>LET(
    lien,'Loan Tape (S&amp;P)'!Q5756,
    IF(lien="First",1.00,
        IF(lien="Second",1.50,
            1.70)))</f>
        <v/>
      </c>
      <c r="K5756">
        <f>LET(
    purpose,'Loan Tape (S&amp;P)'!R5756,
    IF(purpose="Purchase",1.00,
        IF(purpose="Remortgage",1.00,
            1.20)))</f>
        <v/>
      </c>
      <c r="L5756">
        <f>LET(
    arrears_months,'Loan Tape (S&amp;P)'!AN5756,
    IF(arrears_months=0,1.00,
    IF(arrears_months=1,3.00,
    IF(arrears_months=2,5.00,
    IF(arrears_months=3,8.00,
    IF(arrears_months=4,10.00,
    IF(arrears_months=5,12.00,15.00)))))))</f>
        <v/>
      </c>
      <c r="M5756">
        <f>LET(
    seasoning_years,DATEDIF('Loan Tape (S&amp;P)'!K5756,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56">
        <f>IF(AND('Loan Tape (S&amp;P)'!U5756="Yes",
        'Loan Tape (S&amp;P)'!T5756&lt;&gt;"Yes",
        DATEDIF('Loan Tape (S&amp;P)'!K5756, TODAY(), "M")&lt;18),
    1.10,
    1.00)</f>
        <v/>
      </c>
      <c r="O5756">
        <f>IF('Loan Tape (S&amp;P)'!T5756="Yes",
    1.35,
    1.00)</f>
        <v/>
      </c>
      <c r="P5756">
        <f>IF('Loan Tape (S&amp;P)'!S5756="Yes",
    1.15,
    1.00)</f>
        <v/>
      </c>
      <c r="Q5756">
        <f>IF('Loan Tape (S&amp;P)'!V5756="Yes",
    1.20,
    1.00)</f>
        <v/>
      </c>
      <c r="T5756">
        <f>LET(
    payment_method,'Loan Tape (S&amp;P)'!P5756,
    occupancy,'Loan Tape (S&amp;P)'!N5756,
    maturity_date,'Loan Tape (S&amp;P)'!L5756,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57">
      <c r="J5757">
        <f>LET(
    lien,'Loan Tape (S&amp;P)'!Q5757,
    IF(lien="First",1.00,
        IF(lien="Second",1.50,
            1.70)))</f>
        <v/>
      </c>
      <c r="K5757">
        <f>LET(
    purpose,'Loan Tape (S&amp;P)'!R5757,
    IF(purpose="Purchase",1.00,
        IF(purpose="Remortgage",1.00,
            1.20)))</f>
        <v/>
      </c>
      <c r="L5757">
        <f>LET(
    arrears_months,'Loan Tape (S&amp;P)'!AN5757,
    IF(arrears_months=0,1.00,
    IF(arrears_months=1,3.00,
    IF(arrears_months=2,5.00,
    IF(arrears_months=3,8.00,
    IF(arrears_months=4,10.00,
    IF(arrears_months=5,12.00,15.00)))))))</f>
        <v/>
      </c>
      <c r="M5757">
        <f>LET(
    seasoning_years,DATEDIF('Loan Tape (S&amp;P)'!K5757,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57">
        <f>IF(AND('Loan Tape (S&amp;P)'!U5757="Yes",
        'Loan Tape (S&amp;P)'!T5757&lt;&gt;"Yes",
        DATEDIF('Loan Tape (S&amp;P)'!K5757, TODAY(), "M")&lt;18),
    1.10,
    1.00)</f>
        <v/>
      </c>
      <c r="O5757">
        <f>IF('Loan Tape (S&amp;P)'!T5757="Yes",
    1.35,
    1.00)</f>
        <v/>
      </c>
      <c r="P5757">
        <f>IF('Loan Tape (S&amp;P)'!S5757="Yes",
    1.15,
    1.00)</f>
        <v/>
      </c>
      <c r="Q5757">
        <f>IF('Loan Tape (S&amp;P)'!V5757="Yes",
    1.20,
    1.00)</f>
        <v/>
      </c>
      <c r="T5757">
        <f>LET(
    payment_method,'Loan Tape (S&amp;P)'!P5757,
    occupancy,'Loan Tape (S&amp;P)'!N5757,
    maturity_date,'Loan Tape (S&amp;P)'!L5757,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58">
      <c r="J5758">
        <f>LET(
    lien,'Loan Tape (S&amp;P)'!Q5758,
    IF(lien="First",1.00,
        IF(lien="Second",1.50,
            1.70)))</f>
        <v/>
      </c>
      <c r="K5758">
        <f>LET(
    purpose,'Loan Tape (S&amp;P)'!R5758,
    IF(purpose="Purchase",1.00,
        IF(purpose="Remortgage",1.00,
            1.20)))</f>
        <v/>
      </c>
      <c r="L5758">
        <f>LET(
    arrears_months,'Loan Tape (S&amp;P)'!AN5758,
    IF(arrears_months=0,1.00,
    IF(arrears_months=1,3.00,
    IF(arrears_months=2,5.00,
    IF(arrears_months=3,8.00,
    IF(arrears_months=4,10.00,
    IF(arrears_months=5,12.00,15.00)))))))</f>
        <v/>
      </c>
      <c r="M5758">
        <f>LET(
    seasoning_years,DATEDIF('Loan Tape (S&amp;P)'!K5758,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58">
        <f>IF(AND('Loan Tape (S&amp;P)'!U5758="Yes",
        'Loan Tape (S&amp;P)'!T5758&lt;&gt;"Yes",
        DATEDIF('Loan Tape (S&amp;P)'!K5758, TODAY(), "M")&lt;18),
    1.10,
    1.00)</f>
        <v/>
      </c>
      <c r="O5758">
        <f>IF('Loan Tape (S&amp;P)'!T5758="Yes",
    1.35,
    1.00)</f>
        <v/>
      </c>
      <c r="P5758">
        <f>IF('Loan Tape (S&amp;P)'!S5758="Yes",
    1.15,
    1.00)</f>
        <v/>
      </c>
      <c r="Q5758">
        <f>IF('Loan Tape (S&amp;P)'!V5758="Yes",
    1.20,
    1.00)</f>
        <v/>
      </c>
      <c r="T5758">
        <f>LET(
    payment_method,'Loan Tape (S&amp;P)'!P5758,
    occupancy,'Loan Tape (S&amp;P)'!N5758,
    maturity_date,'Loan Tape (S&amp;P)'!L5758,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59">
      <c r="J5759">
        <f>LET(
    lien,'Loan Tape (S&amp;P)'!Q5759,
    IF(lien="First",1.00,
        IF(lien="Second",1.50,
            1.70)))</f>
        <v/>
      </c>
      <c r="K5759">
        <f>LET(
    purpose,'Loan Tape (S&amp;P)'!R5759,
    IF(purpose="Purchase",1.00,
        IF(purpose="Remortgage",1.00,
            1.20)))</f>
        <v/>
      </c>
      <c r="L5759">
        <f>LET(
    arrears_months,'Loan Tape (S&amp;P)'!AN5759,
    IF(arrears_months=0,1.00,
    IF(arrears_months=1,3.00,
    IF(arrears_months=2,5.00,
    IF(arrears_months=3,8.00,
    IF(arrears_months=4,10.00,
    IF(arrears_months=5,12.00,15.00)))))))</f>
        <v/>
      </c>
      <c r="M5759">
        <f>LET(
    seasoning_years,DATEDIF('Loan Tape (S&amp;P)'!K5759,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59">
        <f>IF(AND('Loan Tape (S&amp;P)'!U5759="Yes",
        'Loan Tape (S&amp;P)'!T5759&lt;&gt;"Yes",
        DATEDIF('Loan Tape (S&amp;P)'!K5759, TODAY(), "M")&lt;18),
    1.10,
    1.00)</f>
        <v/>
      </c>
      <c r="O5759">
        <f>IF('Loan Tape (S&amp;P)'!T5759="Yes",
    1.35,
    1.00)</f>
        <v/>
      </c>
      <c r="P5759">
        <f>IF('Loan Tape (S&amp;P)'!S5759="Yes",
    1.15,
    1.00)</f>
        <v/>
      </c>
      <c r="Q5759">
        <f>IF('Loan Tape (S&amp;P)'!V5759="Yes",
    1.20,
    1.00)</f>
        <v/>
      </c>
      <c r="T5759">
        <f>LET(
    payment_method,'Loan Tape (S&amp;P)'!P5759,
    occupancy,'Loan Tape (S&amp;P)'!N5759,
    maturity_date,'Loan Tape (S&amp;P)'!L5759,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60">
      <c r="J5760">
        <f>LET(
    lien,'Loan Tape (S&amp;P)'!Q5760,
    IF(lien="First",1.00,
        IF(lien="Second",1.50,
            1.70)))</f>
        <v/>
      </c>
      <c r="K5760">
        <f>LET(
    purpose,'Loan Tape (S&amp;P)'!R5760,
    IF(purpose="Purchase",1.00,
        IF(purpose="Remortgage",1.00,
            1.20)))</f>
        <v/>
      </c>
      <c r="L5760">
        <f>LET(
    arrears_months,'Loan Tape (S&amp;P)'!AN5760,
    IF(arrears_months=0,1.00,
    IF(arrears_months=1,3.00,
    IF(arrears_months=2,5.00,
    IF(arrears_months=3,8.00,
    IF(arrears_months=4,10.00,
    IF(arrears_months=5,12.00,15.00)))))))</f>
        <v/>
      </c>
      <c r="M5760">
        <f>LET(
    seasoning_years,DATEDIF('Loan Tape (S&amp;P)'!K5760,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60">
        <f>IF(AND('Loan Tape (S&amp;P)'!U5760="Yes",
        'Loan Tape (S&amp;P)'!T5760&lt;&gt;"Yes",
        DATEDIF('Loan Tape (S&amp;P)'!K5760, TODAY(), "M")&lt;18),
    1.10,
    1.00)</f>
        <v/>
      </c>
      <c r="O5760">
        <f>IF('Loan Tape (S&amp;P)'!T5760="Yes",
    1.35,
    1.00)</f>
        <v/>
      </c>
      <c r="P5760">
        <f>IF('Loan Tape (S&amp;P)'!S5760="Yes",
    1.15,
    1.00)</f>
        <v/>
      </c>
      <c r="Q5760">
        <f>IF('Loan Tape (S&amp;P)'!V5760="Yes",
    1.20,
    1.00)</f>
        <v/>
      </c>
      <c r="T5760">
        <f>LET(
    payment_method,'Loan Tape (S&amp;P)'!P5760,
    occupancy,'Loan Tape (S&amp;P)'!N5760,
    maturity_date,'Loan Tape (S&amp;P)'!L5760,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61">
      <c r="J5761">
        <f>LET(
    lien,'Loan Tape (S&amp;P)'!Q5761,
    IF(lien="First",1.00,
        IF(lien="Second",1.50,
            1.70)))</f>
        <v/>
      </c>
      <c r="K5761">
        <f>LET(
    purpose,'Loan Tape (S&amp;P)'!R5761,
    IF(purpose="Purchase",1.00,
        IF(purpose="Remortgage",1.00,
            1.20)))</f>
        <v/>
      </c>
      <c r="L5761">
        <f>LET(
    arrears_months,'Loan Tape (S&amp;P)'!AN5761,
    IF(arrears_months=0,1.00,
    IF(arrears_months=1,3.00,
    IF(arrears_months=2,5.00,
    IF(arrears_months=3,8.00,
    IF(arrears_months=4,10.00,
    IF(arrears_months=5,12.00,15.00)))))))</f>
        <v/>
      </c>
      <c r="M5761">
        <f>LET(
    seasoning_years,DATEDIF('Loan Tape (S&amp;P)'!K5761,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61">
        <f>IF(AND('Loan Tape (S&amp;P)'!U5761="Yes",
        'Loan Tape (S&amp;P)'!T5761&lt;&gt;"Yes",
        DATEDIF('Loan Tape (S&amp;P)'!K5761, TODAY(), "M")&lt;18),
    1.10,
    1.00)</f>
        <v/>
      </c>
      <c r="O5761">
        <f>IF('Loan Tape (S&amp;P)'!T5761="Yes",
    1.35,
    1.00)</f>
        <v/>
      </c>
      <c r="P5761">
        <f>IF('Loan Tape (S&amp;P)'!S5761="Yes",
    1.15,
    1.00)</f>
        <v/>
      </c>
      <c r="Q5761">
        <f>IF('Loan Tape (S&amp;P)'!V5761="Yes",
    1.20,
    1.00)</f>
        <v/>
      </c>
      <c r="T5761">
        <f>LET(
    payment_method,'Loan Tape (S&amp;P)'!P5761,
    occupancy,'Loan Tape (S&amp;P)'!N5761,
    maturity_date,'Loan Tape (S&amp;P)'!L5761,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62">
      <c r="J5762">
        <f>LET(
    lien,'Loan Tape (S&amp;P)'!Q5762,
    IF(lien="First",1.00,
        IF(lien="Second",1.50,
            1.70)))</f>
        <v/>
      </c>
      <c r="K5762">
        <f>LET(
    purpose,'Loan Tape (S&amp;P)'!R5762,
    IF(purpose="Purchase",1.00,
        IF(purpose="Remortgage",1.00,
            1.20)))</f>
        <v/>
      </c>
      <c r="L5762">
        <f>LET(
    arrears_months,'Loan Tape (S&amp;P)'!AN5762,
    IF(arrears_months=0,1.00,
    IF(arrears_months=1,3.00,
    IF(arrears_months=2,5.00,
    IF(arrears_months=3,8.00,
    IF(arrears_months=4,10.00,
    IF(arrears_months=5,12.00,15.00)))))))</f>
        <v/>
      </c>
      <c r="M5762">
        <f>LET(
    seasoning_years,DATEDIF('Loan Tape (S&amp;P)'!K5762,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62">
        <f>IF(AND('Loan Tape (S&amp;P)'!U5762="Yes",
        'Loan Tape (S&amp;P)'!T5762&lt;&gt;"Yes",
        DATEDIF('Loan Tape (S&amp;P)'!K5762, TODAY(), "M")&lt;18),
    1.10,
    1.00)</f>
        <v/>
      </c>
      <c r="O5762">
        <f>IF('Loan Tape (S&amp;P)'!T5762="Yes",
    1.35,
    1.00)</f>
        <v/>
      </c>
      <c r="P5762">
        <f>IF('Loan Tape (S&amp;P)'!S5762="Yes",
    1.15,
    1.00)</f>
        <v/>
      </c>
      <c r="Q5762">
        <f>IF('Loan Tape (S&amp;P)'!V5762="Yes",
    1.20,
    1.00)</f>
        <v/>
      </c>
      <c r="T5762">
        <f>LET(
    payment_method,'Loan Tape (S&amp;P)'!P5762,
    occupancy,'Loan Tape (S&amp;P)'!N5762,
    maturity_date,'Loan Tape (S&amp;P)'!L5762,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63">
      <c r="J5763">
        <f>LET(
    lien,'Loan Tape (S&amp;P)'!Q5763,
    IF(lien="First",1.00,
        IF(lien="Second",1.50,
            1.70)))</f>
        <v/>
      </c>
      <c r="K5763">
        <f>LET(
    purpose,'Loan Tape (S&amp;P)'!R5763,
    IF(purpose="Purchase",1.00,
        IF(purpose="Remortgage",1.00,
            1.20)))</f>
        <v/>
      </c>
      <c r="L5763">
        <f>LET(
    arrears_months,'Loan Tape (S&amp;P)'!AN5763,
    IF(arrears_months=0,1.00,
    IF(arrears_months=1,3.00,
    IF(arrears_months=2,5.00,
    IF(arrears_months=3,8.00,
    IF(arrears_months=4,10.00,
    IF(arrears_months=5,12.00,15.00)))))))</f>
        <v/>
      </c>
      <c r="M5763">
        <f>LET(
    seasoning_years,DATEDIF('Loan Tape (S&amp;P)'!K5763,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63">
        <f>IF(AND('Loan Tape (S&amp;P)'!U5763="Yes",
        'Loan Tape (S&amp;P)'!T5763&lt;&gt;"Yes",
        DATEDIF('Loan Tape (S&amp;P)'!K5763, TODAY(), "M")&lt;18),
    1.10,
    1.00)</f>
        <v/>
      </c>
      <c r="O5763">
        <f>IF('Loan Tape (S&amp;P)'!T5763="Yes",
    1.35,
    1.00)</f>
        <v/>
      </c>
      <c r="P5763">
        <f>IF('Loan Tape (S&amp;P)'!S5763="Yes",
    1.15,
    1.00)</f>
        <v/>
      </c>
      <c r="Q5763">
        <f>IF('Loan Tape (S&amp;P)'!V5763="Yes",
    1.20,
    1.00)</f>
        <v/>
      </c>
      <c r="T5763">
        <f>LET(
    payment_method,'Loan Tape (S&amp;P)'!P5763,
    occupancy,'Loan Tape (S&amp;P)'!N5763,
    maturity_date,'Loan Tape (S&amp;P)'!L5763,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64">
      <c r="J5764">
        <f>LET(
    lien,'Loan Tape (S&amp;P)'!Q5764,
    IF(lien="First",1.00,
        IF(lien="Second",1.50,
            1.70)))</f>
        <v/>
      </c>
      <c r="K5764">
        <f>LET(
    purpose,'Loan Tape (S&amp;P)'!R5764,
    IF(purpose="Purchase",1.00,
        IF(purpose="Remortgage",1.00,
            1.20)))</f>
        <v/>
      </c>
      <c r="L5764">
        <f>LET(
    arrears_months,'Loan Tape (S&amp;P)'!AN5764,
    IF(arrears_months=0,1.00,
    IF(arrears_months=1,3.00,
    IF(arrears_months=2,5.00,
    IF(arrears_months=3,8.00,
    IF(arrears_months=4,10.00,
    IF(arrears_months=5,12.00,15.00)))))))</f>
        <v/>
      </c>
      <c r="M5764">
        <f>LET(
    seasoning_years,DATEDIF('Loan Tape (S&amp;P)'!K5764,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64">
        <f>IF(AND('Loan Tape (S&amp;P)'!U5764="Yes",
        'Loan Tape (S&amp;P)'!T5764&lt;&gt;"Yes",
        DATEDIF('Loan Tape (S&amp;P)'!K5764, TODAY(), "M")&lt;18),
    1.10,
    1.00)</f>
        <v/>
      </c>
      <c r="O5764">
        <f>IF('Loan Tape (S&amp;P)'!T5764="Yes",
    1.35,
    1.00)</f>
        <v/>
      </c>
      <c r="P5764">
        <f>IF('Loan Tape (S&amp;P)'!S5764="Yes",
    1.15,
    1.00)</f>
        <v/>
      </c>
      <c r="Q5764">
        <f>IF('Loan Tape (S&amp;P)'!V5764="Yes",
    1.20,
    1.00)</f>
        <v/>
      </c>
      <c r="T5764">
        <f>LET(
    payment_method,'Loan Tape (S&amp;P)'!P5764,
    occupancy,'Loan Tape (S&amp;P)'!N5764,
    maturity_date,'Loan Tape (S&amp;P)'!L5764,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65">
      <c r="J5765">
        <f>LET(
    lien,'Loan Tape (S&amp;P)'!Q5765,
    IF(lien="First",1.00,
        IF(lien="Second",1.50,
            1.70)))</f>
        <v/>
      </c>
      <c r="K5765">
        <f>LET(
    purpose,'Loan Tape (S&amp;P)'!R5765,
    IF(purpose="Purchase",1.00,
        IF(purpose="Remortgage",1.00,
            1.20)))</f>
        <v/>
      </c>
      <c r="L5765">
        <f>LET(
    arrears_months,'Loan Tape (S&amp;P)'!AN5765,
    IF(arrears_months=0,1.00,
    IF(arrears_months=1,3.00,
    IF(arrears_months=2,5.00,
    IF(arrears_months=3,8.00,
    IF(arrears_months=4,10.00,
    IF(arrears_months=5,12.00,15.00)))))))</f>
        <v/>
      </c>
      <c r="M5765">
        <f>LET(
    seasoning_years,DATEDIF('Loan Tape (S&amp;P)'!K5765,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65">
        <f>IF(AND('Loan Tape (S&amp;P)'!U5765="Yes",
        'Loan Tape (S&amp;P)'!T5765&lt;&gt;"Yes",
        DATEDIF('Loan Tape (S&amp;P)'!K5765, TODAY(), "M")&lt;18),
    1.10,
    1.00)</f>
        <v/>
      </c>
      <c r="O5765">
        <f>IF('Loan Tape (S&amp;P)'!T5765="Yes",
    1.35,
    1.00)</f>
        <v/>
      </c>
      <c r="P5765">
        <f>IF('Loan Tape (S&amp;P)'!S5765="Yes",
    1.15,
    1.00)</f>
        <v/>
      </c>
      <c r="Q5765">
        <f>IF('Loan Tape (S&amp;P)'!V5765="Yes",
    1.20,
    1.00)</f>
        <v/>
      </c>
      <c r="T5765">
        <f>LET(
    payment_method,'Loan Tape (S&amp;P)'!P5765,
    occupancy,'Loan Tape (S&amp;P)'!N5765,
    maturity_date,'Loan Tape (S&amp;P)'!L5765,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66">
      <c r="J5766">
        <f>LET(
    lien,'Loan Tape (S&amp;P)'!Q5766,
    IF(lien="First",1.00,
        IF(lien="Second",1.50,
            1.70)))</f>
        <v/>
      </c>
      <c r="K5766">
        <f>LET(
    purpose,'Loan Tape (S&amp;P)'!R5766,
    IF(purpose="Purchase",1.00,
        IF(purpose="Remortgage",1.00,
            1.20)))</f>
        <v/>
      </c>
      <c r="L5766">
        <f>LET(
    arrears_months,'Loan Tape (S&amp;P)'!AN5766,
    IF(arrears_months=0,1.00,
    IF(arrears_months=1,3.00,
    IF(arrears_months=2,5.00,
    IF(arrears_months=3,8.00,
    IF(arrears_months=4,10.00,
    IF(arrears_months=5,12.00,15.00)))))))</f>
        <v/>
      </c>
      <c r="M5766">
        <f>LET(
    seasoning_years,DATEDIF('Loan Tape (S&amp;P)'!K5766,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66">
        <f>IF(AND('Loan Tape (S&amp;P)'!U5766="Yes",
        'Loan Tape (S&amp;P)'!T5766&lt;&gt;"Yes",
        DATEDIF('Loan Tape (S&amp;P)'!K5766, TODAY(), "M")&lt;18),
    1.10,
    1.00)</f>
        <v/>
      </c>
      <c r="O5766">
        <f>IF('Loan Tape (S&amp;P)'!T5766="Yes",
    1.35,
    1.00)</f>
        <v/>
      </c>
      <c r="P5766">
        <f>IF('Loan Tape (S&amp;P)'!S5766="Yes",
    1.15,
    1.00)</f>
        <v/>
      </c>
      <c r="Q5766">
        <f>IF('Loan Tape (S&amp;P)'!V5766="Yes",
    1.20,
    1.00)</f>
        <v/>
      </c>
      <c r="T5766">
        <f>LET(
    payment_method,'Loan Tape (S&amp;P)'!P5766,
    occupancy,'Loan Tape (S&amp;P)'!N5766,
    maturity_date,'Loan Tape (S&amp;P)'!L5766,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67">
      <c r="J5767">
        <f>LET(
    lien,'Loan Tape (S&amp;P)'!Q5767,
    IF(lien="First",1.00,
        IF(lien="Second",1.50,
            1.70)))</f>
        <v/>
      </c>
      <c r="K5767">
        <f>LET(
    purpose,'Loan Tape (S&amp;P)'!R5767,
    IF(purpose="Purchase",1.00,
        IF(purpose="Remortgage",1.00,
            1.20)))</f>
        <v/>
      </c>
      <c r="L5767">
        <f>LET(
    arrears_months,'Loan Tape (S&amp;P)'!AN5767,
    IF(arrears_months=0,1.00,
    IF(arrears_months=1,3.00,
    IF(arrears_months=2,5.00,
    IF(arrears_months=3,8.00,
    IF(arrears_months=4,10.00,
    IF(arrears_months=5,12.00,15.00)))))))</f>
        <v/>
      </c>
      <c r="M5767">
        <f>LET(
    seasoning_years,DATEDIF('Loan Tape (S&amp;P)'!K5767,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67">
        <f>IF(AND('Loan Tape (S&amp;P)'!U5767="Yes",
        'Loan Tape (S&amp;P)'!T5767&lt;&gt;"Yes",
        DATEDIF('Loan Tape (S&amp;P)'!K5767, TODAY(), "M")&lt;18),
    1.10,
    1.00)</f>
        <v/>
      </c>
      <c r="O5767">
        <f>IF('Loan Tape (S&amp;P)'!T5767="Yes",
    1.35,
    1.00)</f>
        <v/>
      </c>
      <c r="P5767">
        <f>IF('Loan Tape (S&amp;P)'!S5767="Yes",
    1.15,
    1.00)</f>
        <v/>
      </c>
      <c r="Q5767">
        <f>IF('Loan Tape (S&amp;P)'!V5767="Yes",
    1.20,
    1.00)</f>
        <v/>
      </c>
      <c r="T5767">
        <f>LET(
    payment_method,'Loan Tape (S&amp;P)'!P5767,
    occupancy,'Loan Tape (S&amp;P)'!N5767,
    maturity_date,'Loan Tape (S&amp;P)'!L5767,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68">
      <c r="J5768">
        <f>LET(
    lien,'Loan Tape (S&amp;P)'!Q5768,
    IF(lien="First",1.00,
        IF(lien="Second",1.50,
            1.70)))</f>
        <v/>
      </c>
      <c r="K5768">
        <f>LET(
    purpose,'Loan Tape (S&amp;P)'!R5768,
    IF(purpose="Purchase",1.00,
        IF(purpose="Remortgage",1.00,
            1.20)))</f>
        <v/>
      </c>
      <c r="L5768">
        <f>LET(
    arrears_months,'Loan Tape (S&amp;P)'!AN5768,
    IF(arrears_months=0,1.00,
    IF(arrears_months=1,3.00,
    IF(arrears_months=2,5.00,
    IF(arrears_months=3,8.00,
    IF(arrears_months=4,10.00,
    IF(arrears_months=5,12.00,15.00)))))))</f>
        <v/>
      </c>
      <c r="M5768">
        <f>LET(
    seasoning_years,DATEDIF('Loan Tape (S&amp;P)'!K5768,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68">
        <f>IF(AND('Loan Tape (S&amp;P)'!U5768="Yes",
        'Loan Tape (S&amp;P)'!T5768&lt;&gt;"Yes",
        DATEDIF('Loan Tape (S&amp;P)'!K5768, TODAY(), "M")&lt;18),
    1.10,
    1.00)</f>
        <v/>
      </c>
      <c r="O5768">
        <f>IF('Loan Tape (S&amp;P)'!T5768="Yes",
    1.35,
    1.00)</f>
        <v/>
      </c>
      <c r="P5768">
        <f>IF('Loan Tape (S&amp;P)'!S5768="Yes",
    1.15,
    1.00)</f>
        <v/>
      </c>
      <c r="Q5768">
        <f>IF('Loan Tape (S&amp;P)'!V5768="Yes",
    1.20,
    1.00)</f>
        <v/>
      </c>
      <c r="T5768">
        <f>LET(
    payment_method,'Loan Tape (S&amp;P)'!P5768,
    occupancy,'Loan Tape (S&amp;P)'!N5768,
    maturity_date,'Loan Tape (S&amp;P)'!L5768,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69">
      <c r="J5769">
        <f>LET(
    lien,'Loan Tape (S&amp;P)'!Q5769,
    IF(lien="First",1.00,
        IF(lien="Second",1.50,
            1.70)))</f>
        <v/>
      </c>
      <c r="K5769">
        <f>LET(
    purpose,'Loan Tape (S&amp;P)'!R5769,
    IF(purpose="Purchase",1.00,
        IF(purpose="Remortgage",1.00,
            1.20)))</f>
        <v/>
      </c>
      <c r="L5769">
        <f>LET(
    arrears_months,'Loan Tape (S&amp;P)'!AN5769,
    IF(arrears_months=0,1.00,
    IF(arrears_months=1,3.00,
    IF(arrears_months=2,5.00,
    IF(arrears_months=3,8.00,
    IF(arrears_months=4,10.00,
    IF(arrears_months=5,12.00,15.00)))))))</f>
        <v/>
      </c>
      <c r="M5769">
        <f>LET(
    seasoning_years,DATEDIF('Loan Tape (S&amp;P)'!K5769,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69">
        <f>IF(AND('Loan Tape (S&amp;P)'!U5769="Yes",
        'Loan Tape (S&amp;P)'!T5769&lt;&gt;"Yes",
        DATEDIF('Loan Tape (S&amp;P)'!K5769, TODAY(), "M")&lt;18),
    1.10,
    1.00)</f>
        <v/>
      </c>
      <c r="O5769">
        <f>IF('Loan Tape (S&amp;P)'!T5769="Yes",
    1.35,
    1.00)</f>
        <v/>
      </c>
      <c r="P5769">
        <f>IF('Loan Tape (S&amp;P)'!S5769="Yes",
    1.15,
    1.00)</f>
        <v/>
      </c>
      <c r="Q5769">
        <f>IF('Loan Tape (S&amp;P)'!V5769="Yes",
    1.20,
    1.00)</f>
        <v/>
      </c>
      <c r="T5769">
        <f>LET(
    payment_method,'Loan Tape (S&amp;P)'!P5769,
    occupancy,'Loan Tape (S&amp;P)'!N5769,
    maturity_date,'Loan Tape (S&amp;P)'!L5769,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70">
      <c r="J5770">
        <f>LET(
    lien,'Loan Tape (S&amp;P)'!Q5770,
    IF(lien="First",1.00,
        IF(lien="Second",1.50,
            1.70)))</f>
        <v/>
      </c>
      <c r="K5770">
        <f>LET(
    purpose,'Loan Tape (S&amp;P)'!R5770,
    IF(purpose="Purchase",1.00,
        IF(purpose="Remortgage",1.00,
            1.20)))</f>
        <v/>
      </c>
      <c r="L5770">
        <f>LET(
    arrears_months,'Loan Tape (S&amp;P)'!AN5770,
    IF(arrears_months=0,1.00,
    IF(arrears_months=1,3.00,
    IF(arrears_months=2,5.00,
    IF(arrears_months=3,8.00,
    IF(arrears_months=4,10.00,
    IF(arrears_months=5,12.00,15.00)))))))</f>
        <v/>
      </c>
      <c r="M5770">
        <f>LET(
    seasoning_years,DATEDIF('Loan Tape (S&amp;P)'!K5770,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70">
        <f>IF(AND('Loan Tape (S&amp;P)'!U5770="Yes",
        'Loan Tape (S&amp;P)'!T5770&lt;&gt;"Yes",
        DATEDIF('Loan Tape (S&amp;P)'!K5770, TODAY(), "M")&lt;18),
    1.10,
    1.00)</f>
        <v/>
      </c>
      <c r="O5770">
        <f>IF('Loan Tape (S&amp;P)'!T5770="Yes",
    1.35,
    1.00)</f>
        <v/>
      </c>
      <c r="P5770">
        <f>IF('Loan Tape (S&amp;P)'!S5770="Yes",
    1.15,
    1.00)</f>
        <v/>
      </c>
      <c r="Q5770">
        <f>IF('Loan Tape (S&amp;P)'!V5770="Yes",
    1.20,
    1.00)</f>
        <v/>
      </c>
      <c r="T5770">
        <f>LET(
    payment_method,'Loan Tape (S&amp;P)'!P5770,
    occupancy,'Loan Tape (S&amp;P)'!N5770,
    maturity_date,'Loan Tape (S&amp;P)'!L5770,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71">
      <c r="J5771">
        <f>LET(
    lien,'Loan Tape (S&amp;P)'!Q5771,
    IF(lien="First",1.00,
        IF(lien="Second",1.50,
            1.70)))</f>
        <v/>
      </c>
      <c r="K5771">
        <f>LET(
    purpose,'Loan Tape (S&amp;P)'!R5771,
    IF(purpose="Purchase",1.00,
        IF(purpose="Remortgage",1.00,
            1.20)))</f>
        <v/>
      </c>
      <c r="L5771">
        <f>LET(
    arrears_months,'Loan Tape (S&amp;P)'!AN5771,
    IF(arrears_months=0,1.00,
    IF(arrears_months=1,3.00,
    IF(arrears_months=2,5.00,
    IF(arrears_months=3,8.00,
    IF(arrears_months=4,10.00,
    IF(arrears_months=5,12.00,15.00)))))))</f>
        <v/>
      </c>
      <c r="M5771">
        <f>LET(
    seasoning_years,DATEDIF('Loan Tape (S&amp;P)'!K5771,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71">
        <f>IF(AND('Loan Tape (S&amp;P)'!U5771="Yes",
        'Loan Tape (S&amp;P)'!T5771&lt;&gt;"Yes",
        DATEDIF('Loan Tape (S&amp;P)'!K5771, TODAY(), "M")&lt;18),
    1.10,
    1.00)</f>
        <v/>
      </c>
      <c r="O5771">
        <f>IF('Loan Tape (S&amp;P)'!T5771="Yes",
    1.35,
    1.00)</f>
        <v/>
      </c>
      <c r="P5771">
        <f>IF('Loan Tape (S&amp;P)'!S5771="Yes",
    1.15,
    1.00)</f>
        <v/>
      </c>
      <c r="Q5771">
        <f>IF('Loan Tape (S&amp;P)'!V5771="Yes",
    1.20,
    1.00)</f>
        <v/>
      </c>
      <c r="T5771">
        <f>LET(
    payment_method,'Loan Tape (S&amp;P)'!P5771,
    occupancy,'Loan Tape (S&amp;P)'!N5771,
    maturity_date,'Loan Tape (S&amp;P)'!L5771,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72">
      <c r="J5772">
        <f>LET(
    lien,'Loan Tape (S&amp;P)'!Q5772,
    IF(lien="First",1.00,
        IF(lien="Second",1.50,
            1.70)))</f>
        <v/>
      </c>
      <c r="K5772">
        <f>LET(
    purpose,'Loan Tape (S&amp;P)'!R5772,
    IF(purpose="Purchase",1.00,
        IF(purpose="Remortgage",1.00,
            1.20)))</f>
        <v/>
      </c>
      <c r="L5772">
        <f>LET(
    arrears_months,'Loan Tape (S&amp;P)'!AN5772,
    IF(arrears_months=0,1.00,
    IF(arrears_months=1,3.00,
    IF(arrears_months=2,5.00,
    IF(arrears_months=3,8.00,
    IF(arrears_months=4,10.00,
    IF(arrears_months=5,12.00,15.00)))))))</f>
        <v/>
      </c>
      <c r="M5772">
        <f>LET(
    seasoning_years,DATEDIF('Loan Tape (S&amp;P)'!K5772,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72">
        <f>IF(AND('Loan Tape (S&amp;P)'!U5772="Yes",
        'Loan Tape (S&amp;P)'!T5772&lt;&gt;"Yes",
        DATEDIF('Loan Tape (S&amp;P)'!K5772, TODAY(), "M")&lt;18),
    1.10,
    1.00)</f>
        <v/>
      </c>
      <c r="O5772">
        <f>IF('Loan Tape (S&amp;P)'!T5772="Yes",
    1.35,
    1.00)</f>
        <v/>
      </c>
      <c r="P5772">
        <f>IF('Loan Tape (S&amp;P)'!S5772="Yes",
    1.15,
    1.00)</f>
        <v/>
      </c>
      <c r="Q5772">
        <f>IF('Loan Tape (S&amp;P)'!V5772="Yes",
    1.20,
    1.00)</f>
        <v/>
      </c>
      <c r="T5772">
        <f>LET(
    payment_method,'Loan Tape (S&amp;P)'!P5772,
    occupancy,'Loan Tape (S&amp;P)'!N5772,
    maturity_date,'Loan Tape (S&amp;P)'!L5772,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73">
      <c r="J5773">
        <f>LET(
    lien,'Loan Tape (S&amp;P)'!Q5773,
    IF(lien="First",1.00,
        IF(lien="Second",1.50,
            1.70)))</f>
        <v/>
      </c>
      <c r="K5773">
        <f>LET(
    purpose,'Loan Tape (S&amp;P)'!R5773,
    IF(purpose="Purchase",1.00,
        IF(purpose="Remortgage",1.00,
            1.20)))</f>
        <v/>
      </c>
      <c r="L5773">
        <f>LET(
    arrears_months,'Loan Tape (S&amp;P)'!AN5773,
    IF(arrears_months=0,1.00,
    IF(arrears_months=1,3.00,
    IF(arrears_months=2,5.00,
    IF(arrears_months=3,8.00,
    IF(arrears_months=4,10.00,
    IF(arrears_months=5,12.00,15.00)))))))</f>
        <v/>
      </c>
      <c r="M5773">
        <f>LET(
    seasoning_years,DATEDIF('Loan Tape (S&amp;P)'!K5773,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73">
        <f>IF(AND('Loan Tape (S&amp;P)'!U5773="Yes",
        'Loan Tape (S&amp;P)'!T5773&lt;&gt;"Yes",
        DATEDIF('Loan Tape (S&amp;P)'!K5773, TODAY(), "M")&lt;18),
    1.10,
    1.00)</f>
        <v/>
      </c>
      <c r="O5773">
        <f>IF('Loan Tape (S&amp;P)'!T5773="Yes",
    1.35,
    1.00)</f>
        <v/>
      </c>
      <c r="P5773">
        <f>IF('Loan Tape (S&amp;P)'!S5773="Yes",
    1.15,
    1.00)</f>
        <v/>
      </c>
      <c r="Q5773">
        <f>IF('Loan Tape (S&amp;P)'!V5773="Yes",
    1.20,
    1.00)</f>
        <v/>
      </c>
      <c r="T5773">
        <f>LET(
    payment_method,'Loan Tape (S&amp;P)'!P5773,
    occupancy,'Loan Tape (S&amp;P)'!N5773,
    maturity_date,'Loan Tape (S&amp;P)'!L5773,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74">
      <c r="J5774">
        <f>LET(
    lien,'Loan Tape (S&amp;P)'!Q5774,
    IF(lien="First",1.00,
        IF(lien="Second",1.50,
            1.70)))</f>
        <v/>
      </c>
      <c r="K5774">
        <f>LET(
    purpose,'Loan Tape (S&amp;P)'!R5774,
    IF(purpose="Purchase",1.00,
        IF(purpose="Remortgage",1.00,
            1.20)))</f>
        <v/>
      </c>
      <c r="L5774">
        <f>LET(
    arrears_months,'Loan Tape (S&amp;P)'!AN5774,
    IF(arrears_months=0,1.00,
    IF(arrears_months=1,3.00,
    IF(arrears_months=2,5.00,
    IF(arrears_months=3,8.00,
    IF(arrears_months=4,10.00,
    IF(arrears_months=5,12.00,15.00)))))))</f>
        <v/>
      </c>
      <c r="M5774">
        <f>LET(
    seasoning_years,DATEDIF('Loan Tape (S&amp;P)'!K5774,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74">
        <f>IF(AND('Loan Tape (S&amp;P)'!U5774="Yes",
        'Loan Tape (S&amp;P)'!T5774&lt;&gt;"Yes",
        DATEDIF('Loan Tape (S&amp;P)'!K5774, TODAY(), "M")&lt;18),
    1.10,
    1.00)</f>
        <v/>
      </c>
      <c r="O5774">
        <f>IF('Loan Tape (S&amp;P)'!T5774="Yes",
    1.35,
    1.00)</f>
        <v/>
      </c>
      <c r="P5774">
        <f>IF('Loan Tape (S&amp;P)'!S5774="Yes",
    1.15,
    1.00)</f>
        <v/>
      </c>
      <c r="Q5774">
        <f>IF('Loan Tape (S&amp;P)'!V5774="Yes",
    1.20,
    1.00)</f>
        <v/>
      </c>
      <c r="T5774">
        <f>LET(
    payment_method,'Loan Tape (S&amp;P)'!P5774,
    occupancy,'Loan Tape (S&amp;P)'!N5774,
    maturity_date,'Loan Tape (S&amp;P)'!L5774,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75">
      <c r="J5775">
        <f>LET(
    lien,'Loan Tape (S&amp;P)'!Q5775,
    IF(lien="First",1.00,
        IF(lien="Second",1.50,
            1.70)))</f>
        <v/>
      </c>
      <c r="K5775">
        <f>LET(
    purpose,'Loan Tape (S&amp;P)'!R5775,
    IF(purpose="Purchase",1.00,
        IF(purpose="Remortgage",1.00,
            1.20)))</f>
        <v/>
      </c>
      <c r="L5775">
        <f>LET(
    arrears_months,'Loan Tape (S&amp;P)'!AN5775,
    IF(arrears_months=0,1.00,
    IF(arrears_months=1,3.00,
    IF(arrears_months=2,5.00,
    IF(arrears_months=3,8.00,
    IF(arrears_months=4,10.00,
    IF(arrears_months=5,12.00,15.00)))))))</f>
        <v/>
      </c>
      <c r="M5775">
        <f>LET(
    seasoning_years,DATEDIF('Loan Tape (S&amp;P)'!K5775,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75">
        <f>IF(AND('Loan Tape (S&amp;P)'!U5775="Yes",
        'Loan Tape (S&amp;P)'!T5775&lt;&gt;"Yes",
        DATEDIF('Loan Tape (S&amp;P)'!K5775, TODAY(), "M")&lt;18),
    1.10,
    1.00)</f>
        <v/>
      </c>
      <c r="O5775">
        <f>IF('Loan Tape (S&amp;P)'!T5775="Yes",
    1.35,
    1.00)</f>
        <v/>
      </c>
      <c r="P5775">
        <f>IF('Loan Tape (S&amp;P)'!S5775="Yes",
    1.15,
    1.00)</f>
        <v/>
      </c>
      <c r="Q5775">
        <f>IF('Loan Tape (S&amp;P)'!V5775="Yes",
    1.20,
    1.00)</f>
        <v/>
      </c>
      <c r="T5775">
        <f>LET(
    payment_method,'Loan Tape (S&amp;P)'!P5775,
    occupancy,'Loan Tape (S&amp;P)'!N5775,
    maturity_date,'Loan Tape (S&amp;P)'!L5775,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76">
      <c r="J5776">
        <f>LET(
    lien,'Loan Tape (S&amp;P)'!Q5776,
    IF(lien="First",1.00,
        IF(lien="Second",1.50,
            1.70)))</f>
        <v/>
      </c>
      <c r="K5776">
        <f>LET(
    purpose,'Loan Tape (S&amp;P)'!R5776,
    IF(purpose="Purchase",1.00,
        IF(purpose="Remortgage",1.00,
            1.20)))</f>
        <v/>
      </c>
      <c r="L5776">
        <f>LET(
    arrears_months,'Loan Tape (S&amp;P)'!AN5776,
    IF(arrears_months=0,1.00,
    IF(arrears_months=1,3.00,
    IF(arrears_months=2,5.00,
    IF(arrears_months=3,8.00,
    IF(arrears_months=4,10.00,
    IF(arrears_months=5,12.00,15.00)))))))</f>
        <v/>
      </c>
      <c r="M5776">
        <f>LET(
    seasoning_years,DATEDIF('Loan Tape (S&amp;P)'!K5776,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76">
        <f>IF(AND('Loan Tape (S&amp;P)'!U5776="Yes",
        'Loan Tape (S&amp;P)'!T5776&lt;&gt;"Yes",
        DATEDIF('Loan Tape (S&amp;P)'!K5776, TODAY(), "M")&lt;18),
    1.10,
    1.00)</f>
        <v/>
      </c>
      <c r="O5776">
        <f>IF('Loan Tape (S&amp;P)'!T5776="Yes",
    1.35,
    1.00)</f>
        <v/>
      </c>
      <c r="P5776">
        <f>IF('Loan Tape (S&amp;P)'!S5776="Yes",
    1.15,
    1.00)</f>
        <v/>
      </c>
      <c r="Q5776">
        <f>IF('Loan Tape (S&amp;P)'!V5776="Yes",
    1.20,
    1.00)</f>
        <v/>
      </c>
      <c r="T5776">
        <f>LET(
    payment_method,'Loan Tape (S&amp;P)'!P5776,
    occupancy,'Loan Tape (S&amp;P)'!N5776,
    maturity_date,'Loan Tape (S&amp;P)'!L5776,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77">
      <c r="J5777">
        <f>LET(
    lien,'Loan Tape (S&amp;P)'!Q5777,
    IF(lien="First",1.00,
        IF(lien="Second",1.50,
            1.70)))</f>
        <v/>
      </c>
      <c r="K5777">
        <f>LET(
    purpose,'Loan Tape (S&amp;P)'!R5777,
    IF(purpose="Purchase",1.00,
        IF(purpose="Remortgage",1.00,
            1.20)))</f>
        <v/>
      </c>
      <c r="L5777">
        <f>LET(
    arrears_months,'Loan Tape (S&amp;P)'!AN5777,
    IF(arrears_months=0,1.00,
    IF(arrears_months=1,3.00,
    IF(arrears_months=2,5.00,
    IF(arrears_months=3,8.00,
    IF(arrears_months=4,10.00,
    IF(arrears_months=5,12.00,15.00)))))))</f>
        <v/>
      </c>
      <c r="M5777">
        <f>LET(
    seasoning_years,DATEDIF('Loan Tape (S&amp;P)'!K5777,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77">
        <f>IF(AND('Loan Tape (S&amp;P)'!U5777="Yes",
        'Loan Tape (S&amp;P)'!T5777&lt;&gt;"Yes",
        DATEDIF('Loan Tape (S&amp;P)'!K5777, TODAY(), "M")&lt;18),
    1.10,
    1.00)</f>
        <v/>
      </c>
      <c r="O5777">
        <f>IF('Loan Tape (S&amp;P)'!T5777="Yes",
    1.35,
    1.00)</f>
        <v/>
      </c>
      <c r="P5777">
        <f>IF('Loan Tape (S&amp;P)'!S5777="Yes",
    1.15,
    1.00)</f>
        <v/>
      </c>
      <c r="Q5777">
        <f>IF('Loan Tape (S&amp;P)'!V5777="Yes",
    1.20,
    1.00)</f>
        <v/>
      </c>
      <c r="T5777">
        <f>LET(
    payment_method,'Loan Tape (S&amp;P)'!P5777,
    occupancy,'Loan Tape (S&amp;P)'!N5777,
    maturity_date,'Loan Tape (S&amp;P)'!L5777,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78">
      <c r="J5778">
        <f>LET(
    lien,'Loan Tape (S&amp;P)'!Q5778,
    IF(lien="First",1.00,
        IF(lien="Second",1.50,
            1.70)))</f>
        <v/>
      </c>
      <c r="K5778">
        <f>LET(
    purpose,'Loan Tape (S&amp;P)'!R5778,
    IF(purpose="Purchase",1.00,
        IF(purpose="Remortgage",1.00,
            1.20)))</f>
        <v/>
      </c>
      <c r="L5778">
        <f>LET(
    arrears_months,'Loan Tape (S&amp;P)'!AN5778,
    IF(arrears_months=0,1.00,
    IF(arrears_months=1,3.00,
    IF(arrears_months=2,5.00,
    IF(arrears_months=3,8.00,
    IF(arrears_months=4,10.00,
    IF(arrears_months=5,12.00,15.00)))))))</f>
        <v/>
      </c>
      <c r="M5778">
        <f>LET(
    seasoning_years,DATEDIF('Loan Tape (S&amp;P)'!K5778,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78">
        <f>IF(AND('Loan Tape (S&amp;P)'!U5778="Yes",
        'Loan Tape (S&amp;P)'!T5778&lt;&gt;"Yes",
        DATEDIF('Loan Tape (S&amp;P)'!K5778, TODAY(), "M")&lt;18),
    1.10,
    1.00)</f>
        <v/>
      </c>
      <c r="O5778">
        <f>IF('Loan Tape (S&amp;P)'!T5778="Yes",
    1.35,
    1.00)</f>
        <v/>
      </c>
      <c r="P5778">
        <f>IF('Loan Tape (S&amp;P)'!S5778="Yes",
    1.15,
    1.00)</f>
        <v/>
      </c>
      <c r="Q5778">
        <f>IF('Loan Tape (S&amp;P)'!V5778="Yes",
    1.20,
    1.00)</f>
        <v/>
      </c>
      <c r="T5778">
        <f>LET(
    payment_method,'Loan Tape (S&amp;P)'!P5778,
    occupancy,'Loan Tape (S&amp;P)'!N5778,
    maturity_date,'Loan Tape (S&amp;P)'!L5778,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79">
      <c r="J5779">
        <f>LET(
    lien,'Loan Tape (S&amp;P)'!Q5779,
    IF(lien="First",1.00,
        IF(lien="Second",1.50,
            1.70)))</f>
        <v/>
      </c>
      <c r="K5779">
        <f>LET(
    purpose,'Loan Tape (S&amp;P)'!R5779,
    IF(purpose="Purchase",1.00,
        IF(purpose="Remortgage",1.00,
            1.20)))</f>
        <v/>
      </c>
      <c r="L5779">
        <f>LET(
    arrears_months,'Loan Tape (S&amp;P)'!AN5779,
    IF(arrears_months=0,1.00,
    IF(arrears_months=1,3.00,
    IF(arrears_months=2,5.00,
    IF(arrears_months=3,8.00,
    IF(arrears_months=4,10.00,
    IF(arrears_months=5,12.00,15.00)))))))</f>
        <v/>
      </c>
      <c r="M5779">
        <f>LET(
    seasoning_years,DATEDIF('Loan Tape (S&amp;P)'!K5779,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79">
        <f>IF(AND('Loan Tape (S&amp;P)'!U5779="Yes",
        'Loan Tape (S&amp;P)'!T5779&lt;&gt;"Yes",
        DATEDIF('Loan Tape (S&amp;P)'!K5779, TODAY(), "M")&lt;18),
    1.10,
    1.00)</f>
        <v/>
      </c>
      <c r="O5779">
        <f>IF('Loan Tape (S&amp;P)'!T5779="Yes",
    1.35,
    1.00)</f>
        <v/>
      </c>
      <c r="P5779">
        <f>IF('Loan Tape (S&amp;P)'!S5779="Yes",
    1.15,
    1.00)</f>
        <v/>
      </c>
      <c r="Q5779">
        <f>IF('Loan Tape (S&amp;P)'!V5779="Yes",
    1.20,
    1.00)</f>
        <v/>
      </c>
      <c r="T5779">
        <f>LET(
    payment_method,'Loan Tape (S&amp;P)'!P5779,
    occupancy,'Loan Tape (S&amp;P)'!N5779,
    maturity_date,'Loan Tape (S&amp;P)'!L5779,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80">
      <c r="J5780">
        <f>LET(
    lien,'Loan Tape (S&amp;P)'!Q5780,
    IF(lien="First",1.00,
        IF(lien="Second",1.50,
            1.70)))</f>
        <v/>
      </c>
      <c r="K5780">
        <f>LET(
    purpose,'Loan Tape (S&amp;P)'!R5780,
    IF(purpose="Purchase",1.00,
        IF(purpose="Remortgage",1.00,
            1.20)))</f>
        <v/>
      </c>
      <c r="L5780">
        <f>LET(
    arrears_months,'Loan Tape (S&amp;P)'!AN5780,
    IF(arrears_months=0,1.00,
    IF(arrears_months=1,3.00,
    IF(arrears_months=2,5.00,
    IF(arrears_months=3,8.00,
    IF(arrears_months=4,10.00,
    IF(arrears_months=5,12.00,15.00)))))))</f>
        <v/>
      </c>
      <c r="M5780">
        <f>LET(
    seasoning_years,DATEDIF('Loan Tape (S&amp;P)'!K5780,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80">
        <f>IF(AND('Loan Tape (S&amp;P)'!U5780="Yes",
        'Loan Tape (S&amp;P)'!T5780&lt;&gt;"Yes",
        DATEDIF('Loan Tape (S&amp;P)'!K5780, TODAY(), "M")&lt;18),
    1.10,
    1.00)</f>
        <v/>
      </c>
      <c r="O5780">
        <f>IF('Loan Tape (S&amp;P)'!T5780="Yes",
    1.35,
    1.00)</f>
        <v/>
      </c>
      <c r="P5780">
        <f>IF('Loan Tape (S&amp;P)'!S5780="Yes",
    1.15,
    1.00)</f>
        <v/>
      </c>
      <c r="Q5780">
        <f>IF('Loan Tape (S&amp;P)'!V5780="Yes",
    1.20,
    1.00)</f>
        <v/>
      </c>
      <c r="T5780">
        <f>LET(
    payment_method,'Loan Tape (S&amp;P)'!P5780,
    occupancy,'Loan Tape (S&amp;P)'!N5780,
    maturity_date,'Loan Tape (S&amp;P)'!L5780,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81">
      <c r="J5781">
        <f>LET(
    lien,'Loan Tape (S&amp;P)'!Q5781,
    IF(lien="First",1.00,
        IF(lien="Second",1.50,
            1.70)))</f>
        <v/>
      </c>
      <c r="K5781">
        <f>LET(
    purpose,'Loan Tape (S&amp;P)'!R5781,
    IF(purpose="Purchase",1.00,
        IF(purpose="Remortgage",1.00,
            1.20)))</f>
        <v/>
      </c>
      <c r="L5781">
        <f>LET(
    arrears_months,'Loan Tape (S&amp;P)'!AN5781,
    IF(arrears_months=0,1.00,
    IF(arrears_months=1,3.00,
    IF(arrears_months=2,5.00,
    IF(arrears_months=3,8.00,
    IF(arrears_months=4,10.00,
    IF(arrears_months=5,12.00,15.00)))))))</f>
        <v/>
      </c>
      <c r="M5781">
        <f>LET(
    seasoning_years,DATEDIF('Loan Tape (S&amp;P)'!K5781,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81">
        <f>IF(AND('Loan Tape (S&amp;P)'!U5781="Yes",
        'Loan Tape (S&amp;P)'!T5781&lt;&gt;"Yes",
        DATEDIF('Loan Tape (S&amp;P)'!K5781, TODAY(), "M")&lt;18),
    1.10,
    1.00)</f>
        <v/>
      </c>
      <c r="O5781">
        <f>IF('Loan Tape (S&amp;P)'!T5781="Yes",
    1.35,
    1.00)</f>
        <v/>
      </c>
      <c r="P5781">
        <f>IF('Loan Tape (S&amp;P)'!S5781="Yes",
    1.15,
    1.00)</f>
        <v/>
      </c>
      <c r="Q5781">
        <f>IF('Loan Tape (S&amp;P)'!V5781="Yes",
    1.20,
    1.00)</f>
        <v/>
      </c>
      <c r="T5781">
        <f>LET(
    payment_method,'Loan Tape (S&amp;P)'!P5781,
    occupancy,'Loan Tape (S&amp;P)'!N5781,
    maturity_date,'Loan Tape (S&amp;P)'!L5781,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82">
      <c r="J5782">
        <f>LET(
    lien,'Loan Tape (S&amp;P)'!Q5782,
    IF(lien="First",1.00,
        IF(lien="Second",1.50,
            1.70)))</f>
        <v/>
      </c>
      <c r="K5782">
        <f>LET(
    purpose,'Loan Tape (S&amp;P)'!R5782,
    IF(purpose="Purchase",1.00,
        IF(purpose="Remortgage",1.00,
            1.20)))</f>
        <v/>
      </c>
      <c r="L5782">
        <f>LET(
    arrears_months,'Loan Tape (S&amp;P)'!AN5782,
    IF(arrears_months=0,1.00,
    IF(arrears_months=1,3.00,
    IF(arrears_months=2,5.00,
    IF(arrears_months=3,8.00,
    IF(arrears_months=4,10.00,
    IF(arrears_months=5,12.00,15.00)))))))</f>
        <v/>
      </c>
      <c r="M5782">
        <f>LET(
    seasoning_years,DATEDIF('Loan Tape (S&amp;P)'!K5782,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82">
        <f>IF(AND('Loan Tape (S&amp;P)'!U5782="Yes",
        'Loan Tape (S&amp;P)'!T5782&lt;&gt;"Yes",
        DATEDIF('Loan Tape (S&amp;P)'!K5782, TODAY(), "M")&lt;18),
    1.10,
    1.00)</f>
        <v/>
      </c>
      <c r="O5782">
        <f>IF('Loan Tape (S&amp;P)'!T5782="Yes",
    1.35,
    1.00)</f>
        <v/>
      </c>
      <c r="P5782">
        <f>IF('Loan Tape (S&amp;P)'!S5782="Yes",
    1.15,
    1.00)</f>
        <v/>
      </c>
      <c r="Q5782">
        <f>IF('Loan Tape (S&amp;P)'!V5782="Yes",
    1.20,
    1.00)</f>
        <v/>
      </c>
      <c r="T5782">
        <f>LET(
    payment_method,'Loan Tape (S&amp;P)'!P5782,
    occupancy,'Loan Tape (S&amp;P)'!N5782,
    maturity_date,'Loan Tape (S&amp;P)'!L5782,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83">
      <c r="J5783">
        <f>LET(
    lien,'Loan Tape (S&amp;P)'!Q5783,
    IF(lien="First",1.00,
        IF(lien="Second",1.50,
            1.70)))</f>
        <v/>
      </c>
      <c r="K5783">
        <f>LET(
    purpose,'Loan Tape (S&amp;P)'!R5783,
    IF(purpose="Purchase",1.00,
        IF(purpose="Remortgage",1.00,
            1.20)))</f>
        <v/>
      </c>
      <c r="L5783">
        <f>LET(
    arrears_months,'Loan Tape (S&amp;P)'!AN5783,
    IF(arrears_months=0,1.00,
    IF(arrears_months=1,3.00,
    IF(arrears_months=2,5.00,
    IF(arrears_months=3,8.00,
    IF(arrears_months=4,10.00,
    IF(arrears_months=5,12.00,15.00)))))))</f>
        <v/>
      </c>
      <c r="M5783">
        <f>LET(
    seasoning_years,DATEDIF('Loan Tape (S&amp;P)'!K5783,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83">
        <f>IF(AND('Loan Tape (S&amp;P)'!U5783="Yes",
        'Loan Tape (S&amp;P)'!T5783&lt;&gt;"Yes",
        DATEDIF('Loan Tape (S&amp;P)'!K5783, TODAY(), "M")&lt;18),
    1.10,
    1.00)</f>
        <v/>
      </c>
      <c r="O5783">
        <f>IF('Loan Tape (S&amp;P)'!T5783="Yes",
    1.35,
    1.00)</f>
        <v/>
      </c>
      <c r="P5783">
        <f>IF('Loan Tape (S&amp;P)'!S5783="Yes",
    1.15,
    1.00)</f>
        <v/>
      </c>
      <c r="Q5783">
        <f>IF('Loan Tape (S&amp;P)'!V5783="Yes",
    1.20,
    1.00)</f>
        <v/>
      </c>
      <c r="T5783">
        <f>LET(
    payment_method,'Loan Tape (S&amp;P)'!P5783,
    occupancy,'Loan Tape (S&amp;P)'!N5783,
    maturity_date,'Loan Tape (S&amp;P)'!L5783,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84">
      <c r="J5784">
        <f>LET(
    lien,'Loan Tape (S&amp;P)'!Q5784,
    IF(lien="First",1.00,
        IF(lien="Second",1.50,
            1.70)))</f>
        <v/>
      </c>
      <c r="K5784">
        <f>LET(
    purpose,'Loan Tape (S&amp;P)'!R5784,
    IF(purpose="Purchase",1.00,
        IF(purpose="Remortgage",1.00,
            1.20)))</f>
        <v/>
      </c>
      <c r="L5784">
        <f>LET(
    arrears_months,'Loan Tape (S&amp;P)'!AN5784,
    IF(arrears_months=0,1.00,
    IF(arrears_months=1,3.00,
    IF(arrears_months=2,5.00,
    IF(arrears_months=3,8.00,
    IF(arrears_months=4,10.00,
    IF(arrears_months=5,12.00,15.00)))))))</f>
        <v/>
      </c>
      <c r="M5784">
        <f>LET(
    seasoning_years,DATEDIF('Loan Tape (S&amp;P)'!K5784,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84">
        <f>IF(AND('Loan Tape (S&amp;P)'!U5784="Yes",
        'Loan Tape (S&amp;P)'!T5784&lt;&gt;"Yes",
        DATEDIF('Loan Tape (S&amp;P)'!K5784, TODAY(), "M")&lt;18),
    1.10,
    1.00)</f>
        <v/>
      </c>
      <c r="O5784">
        <f>IF('Loan Tape (S&amp;P)'!T5784="Yes",
    1.35,
    1.00)</f>
        <v/>
      </c>
      <c r="P5784">
        <f>IF('Loan Tape (S&amp;P)'!S5784="Yes",
    1.15,
    1.00)</f>
        <v/>
      </c>
      <c r="Q5784">
        <f>IF('Loan Tape (S&amp;P)'!V5784="Yes",
    1.20,
    1.00)</f>
        <v/>
      </c>
      <c r="T5784">
        <f>LET(
    payment_method,'Loan Tape (S&amp;P)'!P5784,
    occupancy,'Loan Tape (S&amp;P)'!N5784,
    maturity_date,'Loan Tape (S&amp;P)'!L5784,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85">
      <c r="J5785">
        <f>LET(
    lien,'Loan Tape (S&amp;P)'!Q5785,
    IF(lien="First",1.00,
        IF(lien="Second",1.50,
            1.70)))</f>
        <v/>
      </c>
      <c r="K5785">
        <f>LET(
    purpose,'Loan Tape (S&amp;P)'!R5785,
    IF(purpose="Purchase",1.00,
        IF(purpose="Remortgage",1.00,
            1.20)))</f>
        <v/>
      </c>
      <c r="L5785">
        <f>LET(
    arrears_months,'Loan Tape (S&amp;P)'!AN5785,
    IF(arrears_months=0,1.00,
    IF(arrears_months=1,3.00,
    IF(arrears_months=2,5.00,
    IF(arrears_months=3,8.00,
    IF(arrears_months=4,10.00,
    IF(arrears_months=5,12.00,15.00)))))))</f>
        <v/>
      </c>
      <c r="M5785">
        <f>LET(
    seasoning_years,DATEDIF('Loan Tape (S&amp;P)'!K5785,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85">
        <f>IF(AND('Loan Tape (S&amp;P)'!U5785="Yes",
        'Loan Tape (S&amp;P)'!T5785&lt;&gt;"Yes",
        DATEDIF('Loan Tape (S&amp;P)'!K5785, TODAY(), "M")&lt;18),
    1.10,
    1.00)</f>
        <v/>
      </c>
      <c r="O5785">
        <f>IF('Loan Tape (S&amp;P)'!T5785="Yes",
    1.35,
    1.00)</f>
        <v/>
      </c>
      <c r="P5785">
        <f>IF('Loan Tape (S&amp;P)'!S5785="Yes",
    1.15,
    1.00)</f>
        <v/>
      </c>
      <c r="Q5785">
        <f>IF('Loan Tape (S&amp;P)'!V5785="Yes",
    1.20,
    1.00)</f>
        <v/>
      </c>
      <c r="T5785">
        <f>LET(
    payment_method,'Loan Tape (S&amp;P)'!P5785,
    occupancy,'Loan Tape (S&amp;P)'!N5785,
    maturity_date,'Loan Tape (S&amp;P)'!L5785,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86">
      <c r="J5786">
        <f>LET(
    lien,'Loan Tape (S&amp;P)'!Q5786,
    IF(lien="First",1.00,
        IF(lien="Second",1.50,
            1.70)))</f>
        <v/>
      </c>
      <c r="K5786">
        <f>LET(
    purpose,'Loan Tape (S&amp;P)'!R5786,
    IF(purpose="Purchase",1.00,
        IF(purpose="Remortgage",1.00,
            1.20)))</f>
        <v/>
      </c>
      <c r="L5786">
        <f>LET(
    arrears_months,'Loan Tape (S&amp;P)'!AN5786,
    IF(arrears_months=0,1.00,
    IF(arrears_months=1,3.00,
    IF(arrears_months=2,5.00,
    IF(arrears_months=3,8.00,
    IF(arrears_months=4,10.00,
    IF(arrears_months=5,12.00,15.00)))))))</f>
        <v/>
      </c>
      <c r="M5786">
        <f>LET(
    seasoning_years,DATEDIF('Loan Tape (S&amp;P)'!K5786,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86">
        <f>IF(AND('Loan Tape (S&amp;P)'!U5786="Yes",
        'Loan Tape (S&amp;P)'!T5786&lt;&gt;"Yes",
        DATEDIF('Loan Tape (S&amp;P)'!K5786, TODAY(), "M")&lt;18),
    1.10,
    1.00)</f>
        <v/>
      </c>
      <c r="O5786">
        <f>IF('Loan Tape (S&amp;P)'!T5786="Yes",
    1.35,
    1.00)</f>
        <v/>
      </c>
      <c r="P5786">
        <f>IF('Loan Tape (S&amp;P)'!S5786="Yes",
    1.15,
    1.00)</f>
        <v/>
      </c>
      <c r="Q5786">
        <f>IF('Loan Tape (S&amp;P)'!V5786="Yes",
    1.20,
    1.00)</f>
        <v/>
      </c>
      <c r="T5786">
        <f>LET(
    payment_method,'Loan Tape (S&amp;P)'!P5786,
    occupancy,'Loan Tape (S&amp;P)'!N5786,
    maturity_date,'Loan Tape (S&amp;P)'!L5786,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87">
      <c r="J5787">
        <f>LET(
    lien,'Loan Tape (S&amp;P)'!Q5787,
    IF(lien="First",1.00,
        IF(lien="Second",1.50,
            1.70)))</f>
        <v/>
      </c>
      <c r="K5787">
        <f>LET(
    purpose,'Loan Tape (S&amp;P)'!R5787,
    IF(purpose="Purchase",1.00,
        IF(purpose="Remortgage",1.00,
            1.20)))</f>
        <v/>
      </c>
      <c r="L5787">
        <f>LET(
    arrears_months,'Loan Tape (S&amp;P)'!AN5787,
    IF(arrears_months=0,1.00,
    IF(arrears_months=1,3.00,
    IF(arrears_months=2,5.00,
    IF(arrears_months=3,8.00,
    IF(arrears_months=4,10.00,
    IF(arrears_months=5,12.00,15.00)))))))</f>
        <v/>
      </c>
      <c r="M5787">
        <f>LET(
    seasoning_years,DATEDIF('Loan Tape (S&amp;P)'!K5787,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87">
        <f>IF(AND('Loan Tape (S&amp;P)'!U5787="Yes",
        'Loan Tape (S&amp;P)'!T5787&lt;&gt;"Yes",
        DATEDIF('Loan Tape (S&amp;P)'!K5787, TODAY(), "M")&lt;18),
    1.10,
    1.00)</f>
        <v/>
      </c>
      <c r="O5787">
        <f>IF('Loan Tape (S&amp;P)'!T5787="Yes",
    1.35,
    1.00)</f>
        <v/>
      </c>
      <c r="P5787">
        <f>IF('Loan Tape (S&amp;P)'!S5787="Yes",
    1.15,
    1.00)</f>
        <v/>
      </c>
      <c r="Q5787">
        <f>IF('Loan Tape (S&amp;P)'!V5787="Yes",
    1.20,
    1.00)</f>
        <v/>
      </c>
      <c r="T5787">
        <f>LET(
    payment_method,'Loan Tape (S&amp;P)'!P5787,
    occupancy,'Loan Tape (S&amp;P)'!N5787,
    maturity_date,'Loan Tape (S&amp;P)'!L5787,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88">
      <c r="J5788">
        <f>LET(
    lien,'Loan Tape (S&amp;P)'!Q5788,
    IF(lien="First",1.00,
        IF(lien="Second",1.50,
            1.70)))</f>
        <v/>
      </c>
      <c r="K5788">
        <f>LET(
    purpose,'Loan Tape (S&amp;P)'!R5788,
    IF(purpose="Purchase",1.00,
        IF(purpose="Remortgage",1.00,
            1.20)))</f>
        <v/>
      </c>
      <c r="L5788">
        <f>LET(
    arrears_months,'Loan Tape (S&amp;P)'!AN5788,
    IF(arrears_months=0,1.00,
    IF(arrears_months=1,3.00,
    IF(arrears_months=2,5.00,
    IF(arrears_months=3,8.00,
    IF(arrears_months=4,10.00,
    IF(arrears_months=5,12.00,15.00)))))))</f>
        <v/>
      </c>
      <c r="M5788">
        <f>LET(
    seasoning_years,DATEDIF('Loan Tape (S&amp;P)'!K5788,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88">
        <f>IF(AND('Loan Tape (S&amp;P)'!U5788="Yes",
        'Loan Tape (S&amp;P)'!T5788&lt;&gt;"Yes",
        DATEDIF('Loan Tape (S&amp;P)'!K5788, TODAY(), "M")&lt;18),
    1.10,
    1.00)</f>
        <v/>
      </c>
      <c r="O5788">
        <f>IF('Loan Tape (S&amp;P)'!T5788="Yes",
    1.35,
    1.00)</f>
        <v/>
      </c>
      <c r="P5788">
        <f>IF('Loan Tape (S&amp;P)'!S5788="Yes",
    1.15,
    1.00)</f>
        <v/>
      </c>
      <c r="Q5788">
        <f>IF('Loan Tape (S&amp;P)'!V5788="Yes",
    1.20,
    1.00)</f>
        <v/>
      </c>
      <c r="T5788">
        <f>LET(
    payment_method,'Loan Tape (S&amp;P)'!P5788,
    occupancy,'Loan Tape (S&amp;P)'!N5788,
    maturity_date,'Loan Tape (S&amp;P)'!L5788,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89">
      <c r="J5789">
        <f>LET(
    lien,'Loan Tape (S&amp;P)'!Q5789,
    IF(lien="First",1.00,
        IF(lien="Second",1.50,
            1.70)))</f>
        <v/>
      </c>
      <c r="K5789">
        <f>LET(
    purpose,'Loan Tape (S&amp;P)'!R5789,
    IF(purpose="Purchase",1.00,
        IF(purpose="Remortgage",1.00,
            1.20)))</f>
        <v/>
      </c>
      <c r="L5789">
        <f>LET(
    arrears_months,'Loan Tape (S&amp;P)'!AN5789,
    IF(arrears_months=0,1.00,
    IF(arrears_months=1,3.00,
    IF(arrears_months=2,5.00,
    IF(arrears_months=3,8.00,
    IF(arrears_months=4,10.00,
    IF(arrears_months=5,12.00,15.00)))))))</f>
        <v/>
      </c>
      <c r="M5789">
        <f>LET(
    seasoning_years,DATEDIF('Loan Tape (S&amp;P)'!K5789,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89">
        <f>IF(AND('Loan Tape (S&amp;P)'!U5789="Yes",
        'Loan Tape (S&amp;P)'!T5789&lt;&gt;"Yes",
        DATEDIF('Loan Tape (S&amp;P)'!K5789, TODAY(), "M")&lt;18),
    1.10,
    1.00)</f>
        <v/>
      </c>
      <c r="O5789">
        <f>IF('Loan Tape (S&amp;P)'!T5789="Yes",
    1.35,
    1.00)</f>
        <v/>
      </c>
      <c r="P5789">
        <f>IF('Loan Tape (S&amp;P)'!S5789="Yes",
    1.15,
    1.00)</f>
        <v/>
      </c>
      <c r="Q5789">
        <f>IF('Loan Tape (S&amp;P)'!V5789="Yes",
    1.20,
    1.00)</f>
        <v/>
      </c>
      <c r="T5789">
        <f>LET(
    payment_method,'Loan Tape (S&amp;P)'!P5789,
    occupancy,'Loan Tape (S&amp;P)'!N5789,
    maturity_date,'Loan Tape (S&amp;P)'!L5789,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90">
      <c r="J5790">
        <f>LET(
    lien,'Loan Tape (S&amp;P)'!Q5790,
    IF(lien="First",1.00,
        IF(lien="Second",1.50,
            1.70)))</f>
        <v/>
      </c>
      <c r="K5790">
        <f>LET(
    purpose,'Loan Tape (S&amp;P)'!R5790,
    IF(purpose="Purchase",1.00,
        IF(purpose="Remortgage",1.00,
            1.20)))</f>
        <v/>
      </c>
      <c r="L5790">
        <f>LET(
    arrears_months,'Loan Tape (S&amp;P)'!AN5790,
    IF(arrears_months=0,1.00,
    IF(arrears_months=1,3.00,
    IF(arrears_months=2,5.00,
    IF(arrears_months=3,8.00,
    IF(arrears_months=4,10.00,
    IF(arrears_months=5,12.00,15.00)))))))</f>
        <v/>
      </c>
      <c r="M5790">
        <f>LET(
    seasoning_years,DATEDIF('Loan Tape (S&amp;P)'!K5790,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90">
        <f>IF(AND('Loan Tape (S&amp;P)'!U5790="Yes",
        'Loan Tape (S&amp;P)'!T5790&lt;&gt;"Yes",
        DATEDIF('Loan Tape (S&amp;P)'!K5790, TODAY(), "M")&lt;18),
    1.10,
    1.00)</f>
        <v/>
      </c>
      <c r="O5790">
        <f>IF('Loan Tape (S&amp;P)'!T5790="Yes",
    1.35,
    1.00)</f>
        <v/>
      </c>
      <c r="P5790">
        <f>IF('Loan Tape (S&amp;P)'!S5790="Yes",
    1.15,
    1.00)</f>
        <v/>
      </c>
      <c r="Q5790">
        <f>IF('Loan Tape (S&amp;P)'!V5790="Yes",
    1.20,
    1.00)</f>
        <v/>
      </c>
      <c r="T5790">
        <f>LET(
    payment_method,'Loan Tape (S&amp;P)'!P5790,
    occupancy,'Loan Tape (S&amp;P)'!N5790,
    maturity_date,'Loan Tape (S&amp;P)'!L5790,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91">
      <c r="J5791">
        <f>LET(
    lien,'Loan Tape (S&amp;P)'!Q5791,
    IF(lien="First",1.00,
        IF(lien="Second",1.50,
            1.70)))</f>
        <v/>
      </c>
      <c r="K5791">
        <f>LET(
    purpose,'Loan Tape (S&amp;P)'!R5791,
    IF(purpose="Purchase",1.00,
        IF(purpose="Remortgage",1.00,
            1.20)))</f>
        <v/>
      </c>
      <c r="L5791">
        <f>LET(
    arrears_months,'Loan Tape (S&amp;P)'!AN5791,
    IF(arrears_months=0,1.00,
    IF(arrears_months=1,3.00,
    IF(arrears_months=2,5.00,
    IF(arrears_months=3,8.00,
    IF(arrears_months=4,10.00,
    IF(arrears_months=5,12.00,15.00)))))))</f>
        <v/>
      </c>
      <c r="M5791">
        <f>LET(
    seasoning_years,DATEDIF('Loan Tape (S&amp;P)'!K5791,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91">
        <f>IF(AND('Loan Tape (S&amp;P)'!U5791="Yes",
        'Loan Tape (S&amp;P)'!T5791&lt;&gt;"Yes",
        DATEDIF('Loan Tape (S&amp;P)'!K5791, TODAY(), "M")&lt;18),
    1.10,
    1.00)</f>
        <v/>
      </c>
      <c r="O5791">
        <f>IF('Loan Tape (S&amp;P)'!T5791="Yes",
    1.35,
    1.00)</f>
        <v/>
      </c>
      <c r="P5791">
        <f>IF('Loan Tape (S&amp;P)'!S5791="Yes",
    1.15,
    1.00)</f>
        <v/>
      </c>
      <c r="Q5791">
        <f>IF('Loan Tape (S&amp;P)'!V5791="Yes",
    1.20,
    1.00)</f>
        <v/>
      </c>
      <c r="T5791">
        <f>LET(
    payment_method,'Loan Tape (S&amp;P)'!P5791,
    occupancy,'Loan Tape (S&amp;P)'!N5791,
    maturity_date,'Loan Tape (S&amp;P)'!L5791,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92">
      <c r="J5792">
        <f>LET(
    lien,'Loan Tape (S&amp;P)'!Q5792,
    IF(lien="First",1.00,
        IF(lien="Second",1.50,
            1.70)))</f>
        <v/>
      </c>
      <c r="K5792">
        <f>LET(
    purpose,'Loan Tape (S&amp;P)'!R5792,
    IF(purpose="Purchase",1.00,
        IF(purpose="Remortgage",1.00,
            1.20)))</f>
        <v/>
      </c>
      <c r="L5792">
        <f>LET(
    arrears_months,'Loan Tape (S&amp;P)'!AN5792,
    IF(arrears_months=0,1.00,
    IF(arrears_months=1,3.00,
    IF(arrears_months=2,5.00,
    IF(arrears_months=3,8.00,
    IF(arrears_months=4,10.00,
    IF(arrears_months=5,12.00,15.00)))))))</f>
        <v/>
      </c>
      <c r="M5792">
        <f>LET(
    seasoning_years,DATEDIF('Loan Tape (S&amp;P)'!K5792,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92">
        <f>IF(AND('Loan Tape (S&amp;P)'!U5792="Yes",
        'Loan Tape (S&amp;P)'!T5792&lt;&gt;"Yes",
        DATEDIF('Loan Tape (S&amp;P)'!K5792, TODAY(), "M")&lt;18),
    1.10,
    1.00)</f>
        <v/>
      </c>
      <c r="O5792">
        <f>IF('Loan Tape (S&amp;P)'!T5792="Yes",
    1.35,
    1.00)</f>
        <v/>
      </c>
      <c r="P5792">
        <f>IF('Loan Tape (S&amp;P)'!S5792="Yes",
    1.15,
    1.00)</f>
        <v/>
      </c>
      <c r="Q5792">
        <f>IF('Loan Tape (S&amp;P)'!V5792="Yes",
    1.20,
    1.00)</f>
        <v/>
      </c>
      <c r="T5792">
        <f>LET(
    payment_method,'Loan Tape (S&amp;P)'!P5792,
    occupancy,'Loan Tape (S&amp;P)'!N5792,
    maturity_date,'Loan Tape (S&amp;P)'!L5792,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93">
      <c r="J5793">
        <f>LET(
    lien,'Loan Tape (S&amp;P)'!Q5793,
    IF(lien="First",1.00,
        IF(lien="Second",1.50,
            1.70)))</f>
        <v/>
      </c>
      <c r="K5793">
        <f>LET(
    purpose,'Loan Tape (S&amp;P)'!R5793,
    IF(purpose="Purchase",1.00,
        IF(purpose="Remortgage",1.00,
            1.20)))</f>
        <v/>
      </c>
      <c r="L5793">
        <f>LET(
    arrears_months,'Loan Tape (S&amp;P)'!AN5793,
    IF(arrears_months=0,1.00,
    IF(arrears_months=1,3.00,
    IF(arrears_months=2,5.00,
    IF(arrears_months=3,8.00,
    IF(arrears_months=4,10.00,
    IF(arrears_months=5,12.00,15.00)))))))</f>
        <v/>
      </c>
      <c r="M5793">
        <f>LET(
    seasoning_years,DATEDIF('Loan Tape (S&amp;P)'!K5793,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93">
        <f>IF(AND('Loan Tape (S&amp;P)'!U5793="Yes",
        'Loan Tape (S&amp;P)'!T5793&lt;&gt;"Yes",
        DATEDIF('Loan Tape (S&amp;P)'!K5793, TODAY(), "M")&lt;18),
    1.10,
    1.00)</f>
        <v/>
      </c>
      <c r="O5793">
        <f>IF('Loan Tape (S&amp;P)'!T5793="Yes",
    1.35,
    1.00)</f>
        <v/>
      </c>
      <c r="P5793">
        <f>IF('Loan Tape (S&amp;P)'!S5793="Yes",
    1.15,
    1.00)</f>
        <v/>
      </c>
      <c r="Q5793">
        <f>IF('Loan Tape (S&amp;P)'!V5793="Yes",
    1.20,
    1.00)</f>
        <v/>
      </c>
      <c r="T5793">
        <f>LET(
    payment_method,'Loan Tape (S&amp;P)'!P5793,
    occupancy,'Loan Tape (S&amp;P)'!N5793,
    maturity_date,'Loan Tape (S&amp;P)'!L5793,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94">
      <c r="J5794">
        <f>LET(
    lien,'Loan Tape (S&amp;P)'!Q5794,
    IF(lien="First",1.00,
        IF(lien="Second",1.50,
            1.70)))</f>
        <v/>
      </c>
      <c r="K5794">
        <f>LET(
    purpose,'Loan Tape (S&amp;P)'!R5794,
    IF(purpose="Purchase",1.00,
        IF(purpose="Remortgage",1.00,
            1.20)))</f>
        <v/>
      </c>
      <c r="L5794">
        <f>LET(
    arrears_months,'Loan Tape (S&amp;P)'!AN5794,
    IF(arrears_months=0,1.00,
    IF(arrears_months=1,3.00,
    IF(arrears_months=2,5.00,
    IF(arrears_months=3,8.00,
    IF(arrears_months=4,10.00,
    IF(arrears_months=5,12.00,15.00)))))))</f>
        <v/>
      </c>
      <c r="M5794">
        <f>LET(
    seasoning_years,DATEDIF('Loan Tape (S&amp;P)'!K5794,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94">
        <f>IF(AND('Loan Tape (S&amp;P)'!U5794="Yes",
        'Loan Tape (S&amp;P)'!T5794&lt;&gt;"Yes",
        DATEDIF('Loan Tape (S&amp;P)'!K5794, TODAY(), "M")&lt;18),
    1.10,
    1.00)</f>
        <v/>
      </c>
      <c r="O5794">
        <f>IF('Loan Tape (S&amp;P)'!T5794="Yes",
    1.35,
    1.00)</f>
        <v/>
      </c>
      <c r="P5794">
        <f>IF('Loan Tape (S&amp;P)'!S5794="Yes",
    1.15,
    1.00)</f>
        <v/>
      </c>
      <c r="Q5794">
        <f>IF('Loan Tape (S&amp;P)'!V5794="Yes",
    1.20,
    1.00)</f>
        <v/>
      </c>
      <c r="T5794">
        <f>LET(
    payment_method,'Loan Tape (S&amp;P)'!P5794,
    occupancy,'Loan Tape (S&amp;P)'!N5794,
    maturity_date,'Loan Tape (S&amp;P)'!L5794,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95">
      <c r="J5795">
        <f>LET(
    lien,'Loan Tape (S&amp;P)'!Q5795,
    IF(lien="First",1.00,
        IF(lien="Second",1.50,
            1.70)))</f>
        <v/>
      </c>
      <c r="K5795">
        <f>LET(
    purpose,'Loan Tape (S&amp;P)'!R5795,
    IF(purpose="Purchase",1.00,
        IF(purpose="Remortgage",1.00,
            1.20)))</f>
        <v/>
      </c>
      <c r="L5795">
        <f>LET(
    arrears_months,'Loan Tape (S&amp;P)'!AN5795,
    IF(arrears_months=0,1.00,
    IF(arrears_months=1,3.00,
    IF(arrears_months=2,5.00,
    IF(arrears_months=3,8.00,
    IF(arrears_months=4,10.00,
    IF(arrears_months=5,12.00,15.00)))))))</f>
        <v/>
      </c>
      <c r="M5795">
        <f>LET(
    seasoning_years,DATEDIF('Loan Tape (S&amp;P)'!K5795,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95">
        <f>IF(AND('Loan Tape (S&amp;P)'!U5795="Yes",
        'Loan Tape (S&amp;P)'!T5795&lt;&gt;"Yes",
        DATEDIF('Loan Tape (S&amp;P)'!K5795, TODAY(), "M")&lt;18),
    1.10,
    1.00)</f>
        <v/>
      </c>
      <c r="O5795">
        <f>IF('Loan Tape (S&amp;P)'!T5795="Yes",
    1.35,
    1.00)</f>
        <v/>
      </c>
      <c r="P5795">
        <f>IF('Loan Tape (S&amp;P)'!S5795="Yes",
    1.15,
    1.00)</f>
        <v/>
      </c>
      <c r="Q5795">
        <f>IF('Loan Tape (S&amp;P)'!V5795="Yes",
    1.20,
    1.00)</f>
        <v/>
      </c>
      <c r="T5795">
        <f>LET(
    payment_method,'Loan Tape (S&amp;P)'!P5795,
    occupancy,'Loan Tape (S&amp;P)'!N5795,
    maturity_date,'Loan Tape (S&amp;P)'!L5795,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96">
      <c r="J5796">
        <f>LET(
    lien,'Loan Tape (S&amp;P)'!Q5796,
    IF(lien="First",1.00,
        IF(lien="Second",1.50,
            1.70)))</f>
        <v/>
      </c>
      <c r="K5796">
        <f>LET(
    purpose,'Loan Tape (S&amp;P)'!R5796,
    IF(purpose="Purchase",1.00,
        IF(purpose="Remortgage",1.00,
            1.20)))</f>
        <v/>
      </c>
      <c r="L5796">
        <f>LET(
    arrears_months,'Loan Tape (S&amp;P)'!AN5796,
    IF(arrears_months=0,1.00,
    IF(arrears_months=1,3.00,
    IF(arrears_months=2,5.00,
    IF(arrears_months=3,8.00,
    IF(arrears_months=4,10.00,
    IF(arrears_months=5,12.00,15.00)))))))</f>
        <v/>
      </c>
      <c r="M5796">
        <f>LET(
    seasoning_years,DATEDIF('Loan Tape (S&amp;P)'!K5796,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96">
        <f>IF(AND('Loan Tape (S&amp;P)'!U5796="Yes",
        'Loan Tape (S&amp;P)'!T5796&lt;&gt;"Yes",
        DATEDIF('Loan Tape (S&amp;P)'!K5796, TODAY(), "M")&lt;18),
    1.10,
    1.00)</f>
        <v/>
      </c>
      <c r="O5796">
        <f>IF('Loan Tape (S&amp;P)'!T5796="Yes",
    1.35,
    1.00)</f>
        <v/>
      </c>
      <c r="P5796">
        <f>IF('Loan Tape (S&amp;P)'!S5796="Yes",
    1.15,
    1.00)</f>
        <v/>
      </c>
      <c r="Q5796">
        <f>IF('Loan Tape (S&amp;P)'!V5796="Yes",
    1.20,
    1.00)</f>
        <v/>
      </c>
      <c r="T5796">
        <f>LET(
    payment_method,'Loan Tape (S&amp;P)'!P5796,
    occupancy,'Loan Tape (S&amp;P)'!N5796,
    maturity_date,'Loan Tape (S&amp;P)'!L5796,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97">
      <c r="J5797">
        <f>LET(
    lien,'Loan Tape (S&amp;P)'!Q5797,
    IF(lien="First",1.00,
        IF(lien="Second",1.50,
            1.70)))</f>
        <v/>
      </c>
      <c r="K5797">
        <f>LET(
    purpose,'Loan Tape (S&amp;P)'!R5797,
    IF(purpose="Purchase",1.00,
        IF(purpose="Remortgage",1.00,
            1.20)))</f>
        <v/>
      </c>
      <c r="L5797">
        <f>LET(
    arrears_months,'Loan Tape (S&amp;P)'!AN5797,
    IF(arrears_months=0,1.00,
    IF(arrears_months=1,3.00,
    IF(arrears_months=2,5.00,
    IF(arrears_months=3,8.00,
    IF(arrears_months=4,10.00,
    IF(arrears_months=5,12.00,15.00)))))))</f>
        <v/>
      </c>
      <c r="M5797">
        <f>LET(
    seasoning_years,DATEDIF('Loan Tape (S&amp;P)'!K5797,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97">
        <f>IF(AND('Loan Tape (S&amp;P)'!U5797="Yes",
        'Loan Tape (S&amp;P)'!T5797&lt;&gt;"Yes",
        DATEDIF('Loan Tape (S&amp;P)'!K5797, TODAY(), "M")&lt;18),
    1.10,
    1.00)</f>
        <v/>
      </c>
      <c r="O5797">
        <f>IF('Loan Tape (S&amp;P)'!T5797="Yes",
    1.35,
    1.00)</f>
        <v/>
      </c>
      <c r="P5797">
        <f>IF('Loan Tape (S&amp;P)'!S5797="Yes",
    1.15,
    1.00)</f>
        <v/>
      </c>
      <c r="Q5797">
        <f>IF('Loan Tape (S&amp;P)'!V5797="Yes",
    1.20,
    1.00)</f>
        <v/>
      </c>
      <c r="T5797">
        <f>LET(
    payment_method,'Loan Tape (S&amp;P)'!P5797,
    occupancy,'Loan Tape (S&amp;P)'!N5797,
    maturity_date,'Loan Tape (S&amp;P)'!L5797,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98">
      <c r="J5798">
        <f>LET(
    lien,'Loan Tape (S&amp;P)'!Q5798,
    IF(lien="First",1.00,
        IF(lien="Second",1.50,
            1.70)))</f>
        <v/>
      </c>
      <c r="K5798">
        <f>LET(
    purpose,'Loan Tape (S&amp;P)'!R5798,
    IF(purpose="Purchase",1.00,
        IF(purpose="Remortgage",1.00,
            1.20)))</f>
        <v/>
      </c>
      <c r="L5798">
        <f>LET(
    arrears_months,'Loan Tape (S&amp;P)'!AN5798,
    IF(arrears_months=0,1.00,
    IF(arrears_months=1,3.00,
    IF(arrears_months=2,5.00,
    IF(arrears_months=3,8.00,
    IF(arrears_months=4,10.00,
    IF(arrears_months=5,12.00,15.00)))))))</f>
        <v/>
      </c>
      <c r="M5798">
        <f>LET(
    seasoning_years,DATEDIF('Loan Tape (S&amp;P)'!K5798,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98">
        <f>IF(AND('Loan Tape (S&amp;P)'!U5798="Yes",
        'Loan Tape (S&amp;P)'!T5798&lt;&gt;"Yes",
        DATEDIF('Loan Tape (S&amp;P)'!K5798, TODAY(), "M")&lt;18),
    1.10,
    1.00)</f>
        <v/>
      </c>
      <c r="O5798">
        <f>IF('Loan Tape (S&amp;P)'!T5798="Yes",
    1.35,
    1.00)</f>
        <v/>
      </c>
      <c r="P5798">
        <f>IF('Loan Tape (S&amp;P)'!S5798="Yes",
    1.15,
    1.00)</f>
        <v/>
      </c>
      <c r="Q5798">
        <f>IF('Loan Tape (S&amp;P)'!V5798="Yes",
    1.20,
    1.00)</f>
        <v/>
      </c>
      <c r="T5798">
        <f>LET(
    payment_method,'Loan Tape (S&amp;P)'!P5798,
    occupancy,'Loan Tape (S&amp;P)'!N5798,
    maturity_date,'Loan Tape (S&amp;P)'!L5798,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799">
      <c r="J5799">
        <f>LET(
    lien,'Loan Tape (S&amp;P)'!Q5799,
    IF(lien="First",1.00,
        IF(lien="Second",1.50,
            1.70)))</f>
        <v/>
      </c>
      <c r="K5799">
        <f>LET(
    purpose,'Loan Tape (S&amp;P)'!R5799,
    IF(purpose="Purchase",1.00,
        IF(purpose="Remortgage",1.00,
            1.20)))</f>
        <v/>
      </c>
      <c r="L5799">
        <f>LET(
    arrears_months,'Loan Tape (S&amp;P)'!AN5799,
    IF(arrears_months=0,1.00,
    IF(arrears_months=1,3.00,
    IF(arrears_months=2,5.00,
    IF(arrears_months=3,8.00,
    IF(arrears_months=4,10.00,
    IF(arrears_months=5,12.00,15.00)))))))</f>
        <v/>
      </c>
      <c r="M5799">
        <f>LET(
    seasoning_years,DATEDIF('Loan Tape (S&amp;P)'!K5799,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799">
        <f>IF(AND('Loan Tape (S&amp;P)'!U5799="Yes",
        'Loan Tape (S&amp;P)'!T5799&lt;&gt;"Yes",
        DATEDIF('Loan Tape (S&amp;P)'!K5799, TODAY(), "M")&lt;18),
    1.10,
    1.00)</f>
        <v/>
      </c>
      <c r="O5799">
        <f>IF('Loan Tape (S&amp;P)'!T5799="Yes",
    1.35,
    1.00)</f>
        <v/>
      </c>
      <c r="P5799">
        <f>IF('Loan Tape (S&amp;P)'!S5799="Yes",
    1.15,
    1.00)</f>
        <v/>
      </c>
      <c r="Q5799">
        <f>IF('Loan Tape (S&amp;P)'!V5799="Yes",
    1.20,
    1.00)</f>
        <v/>
      </c>
      <c r="T5799">
        <f>LET(
    payment_method,'Loan Tape (S&amp;P)'!P5799,
    occupancy,'Loan Tape (S&amp;P)'!N5799,
    maturity_date,'Loan Tape (S&amp;P)'!L5799,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00">
      <c r="J5800">
        <f>LET(
    lien,'Loan Tape (S&amp;P)'!Q5800,
    IF(lien="First",1.00,
        IF(lien="Second",1.50,
            1.70)))</f>
        <v/>
      </c>
      <c r="K5800">
        <f>LET(
    purpose,'Loan Tape (S&amp;P)'!R5800,
    IF(purpose="Purchase",1.00,
        IF(purpose="Remortgage",1.00,
            1.20)))</f>
        <v/>
      </c>
      <c r="L5800">
        <f>LET(
    arrears_months,'Loan Tape (S&amp;P)'!AN5800,
    IF(arrears_months=0,1.00,
    IF(arrears_months=1,3.00,
    IF(arrears_months=2,5.00,
    IF(arrears_months=3,8.00,
    IF(arrears_months=4,10.00,
    IF(arrears_months=5,12.00,15.00)))))))</f>
        <v/>
      </c>
      <c r="M5800">
        <f>LET(
    seasoning_years,DATEDIF('Loan Tape (S&amp;P)'!K5800,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00">
        <f>IF(AND('Loan Tape (S&amp;P)'!U5800="Yes",
        'Loan Tape (S&amp;P)'!T5800&lt;&gt;"Yes",
        DATEDIF('Loan Tape (S&amp;P)'!K5800, TODAY(), "M")&lt;18),
    1.10,
    1.00)</f>
        <v/>
      </c>
      <c r="O5800">
        <f>IF('Loan Tape (S&amp;P)'!T5800="Yes",
    1.35,
    1.00)</f>
        <v/>
      </c>
      <c r="P5800">
        <f>IF('Loan Tape (S&amp;P)'!S5800="Yes",
    1.15,
    1.00)</f>
        <v/>
      </c>
      <c r="Q5800">
        <f>IF('Loan Tape (S&amp;P)'!V5800="Yes",
    1.20,
    1.00)</f>
        <v/>
      </c>
      <c r="T5800">
        <f>LET(
    payment_method,'Loan Tape (S&amp;P)'!P5800,
    occupancy,'Loan Tape (S&amp;P)'!N5800,
    maturity_date,'Loan Tape (S&amp;P)'!L5800,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01">
      <c r="J5801">
        <f>LET(
    lien,'Loan Tape (S&amp;P)'!Q5801,
    IF(lien="First",1.00,
        IF(lien="Second",1.50,
            1.70)))</f>
        <v/>
      </c>
      <c r="K5801">
        <f>LET(
    purpose,'Loan Tape (S&amp;P)'!R5801,
    IF(purpose="Purchase",1.00,
        IF(purpose="Remortgage",1.00,
            1.20)))</f>
        <v/>
      </c>
      <c r="L5801">
        <f>LET(
    arrears_months,'Loan Tape (S&amp;P)'!AN5801,
    IF(arrears_months=0,1.00,
    IF(arrears_months=1,3.00,
    IF(arrears_months=2,5.00,
    IF(arrears_months=3,8.00,
    IF(arrears_months=4,10.00,
    IF(arrears_months=5,12.00,15.00)))))))</f>
        <v/>
      </c>
      <c r="M5801">
        <f>LET(
    seasoning_years,DATEDIF('Loan Tape (S&amp;P)'!K5801,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01">
        <f>IF(AND('Loan Tape (S&amp;P)'!U5801="Yes",
        'Loan Tape (S&amp;P)'!T5801&lt;&gt;"Yes",
        DATEDIF('Loan Tape (S&amp;P)'!K5801, TODAY(), "M")&lt;18),
    1.10,
    1.00)</f>
        <v/>
      </c>
      <c r="O5801">
        <f>IF('Loan Tape (S&amp;P)'!T5801="Yes",
    1.35,
    1.00)</f>
        <v/>
      </c>
      <c r="P5801">
        <f>IF('Loan Tape (S&amp;P)'!S5801="Yes",
    1.15,
    1.00)</f>
        <v/>
      </c>
      <c r="Q5801">
        <f>IF('Loan Tape (S&amp;P)'!V5801="Yes",
    1.20,
    1.00)</f>
        <v/>
      </c>
      <c r="T5801">
        <f>LET(
    payment_method,'Loan Tape (S&amp;P)'!P5801,
    occupancy,'Loan Tape (S&amp;P)'!N5801,
    maturity_date,'Loan Tape (S&amp;P)'!L5801,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02">
      <c r="J5802">
        <f>LET(
    lien,'Loan Tape (S&amp;P)'!Q5802,
    IF(lien="First",1.00,
        IF(lien="Second",1.50,
            1.70)))</f>
        <v/>
      </c>
      <c r="K5802">
        <f>LET(
    purpose,'Loan Tape (S&amp;P)'!R5802,
    IF(purpose="Purchase",1.00,
        IF(purpose="Remortgage",1.00,
            1.20)))</f>
        <v/>
      </c>
      <c r="L5802">
        <f>LET(
    arrears_months,'Loan Tape (S&amp;P)'!AN5802,
    IF(arrears_months=0,1.00,
    IF(arrears_months=1,3.00,
    IF(arrears_months=2,5.00,
    IF(arrears_months=3,8.00,
    IF(arrears_months=4,10.00,
    IF(arrears_months=5,12.00,15.00)))))))</f>
        <v/>
      </c>
      <c r="M5802">
        <f>LET(
    seasoning_years,DATEDIF('Loan Tape (S&amp;P)'!K5802,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02">
        <f>IF(AND('Loan Tape (S&amp;P)'!U5802="Yes",
        'Loan Tape (S&amp;P)'!T5802&lt;&gt;"Yes",
        DATEDIF('Loan Tape (S&amp;P)'!K5802, TODAY(), "M")&lt;18),
    1.10,
    1.00)</f>
        <v/>
      </c>
      <c r="O5802">
        <f>IF('Loan Tape (S&amp;P)'!T5802="Yes",
    1.35,
    1.00)</f>
        <v/>
      </c>
      <c r="P5802">
        <f>IF('Loan Tape (S&amp;P)'!S5802="Yes",
    1.15,
    1.00)</f>
        <v/>
      </c>
      <c r="Q5802">
        <f>IF('Loan Tape (S&amp;P)'!V5802="Yes",
    1.20,
    1.00)</f>
        <v/>
      </c>
      <c r="T5802">
        <f>LET(
    payment_method,'Loan Tape (S&amp;P)'!P5802,
    occupancy,'Loan Tape (S&amp;P)'!N5802,
    maturity_date,'Loan Tape (S&amp;P)'!L5802,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03">
      <c r="J5803">
        <f>LET(
    lien,'Loan Tape (S&amp;P)'!Q5803,
    IF(lien="First",1.00,
        IF(lien="Second",1.50,
            1.70)))</f>
        <v/>
      </c>
      <c r="K5803">
        <f>LET(
    purpose,'Loan Tape (S&amp;P)'!R5803,
    IF(purpose="Purchase",1.00,
        IF(purpose="Remortgage",1.00,
            1.20)))</f>
        <v/>
      </c>
      <c r="L5803">
        <f>LET(
    arrears_months,'Loan Tape (S&amp;P)'!AN5803,
    IF(arrears_months=0,1.00,
    IF(arrears_months=1,3.00,
    IF(arrears_months=2,5.00,
    IF(arrears_months=3,8.00,
    IF(arrears_months=4,10.00,
    IF(arrears_months=5,12.00,15.00)))))))</f>
        <v/>
      </c>
      <c r="M5803">
        <f>LET(
    seasoning_years,DATEDIF('Loan Tape (S&amp;P)'!K5803,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03">
        <f>IF(AND('Loan Tape (S&amp;P)'!U5803="Yes",
        'Loan Tape (S&amp;P)'!T5803&lt;&gt;"Yes",
        DATEDIF('Loan Tape (S&amp;P)'!K5803, TODAY(), "M")&lt;18),
    1.10,
    1.00)</f>
        <v/>
      </c>
      <c r="O5803">
        <f>IF('Loan Tape (S&amp;P)'!T5803="Yes",
    1.35,
    1.00)</f>
        <v/>
      </c>
      <c r="P5803">
        <f>IF('Loan Tape (S&amp;P)'!S5803="Yes",
    1.15,
    1.00)</f>
        <v/>
      </c>
      <c r="Q5803">
        <f>IF('Loan Tape (S&amp;P)'!V5803="Yes",
    1.20,
    1.00)</f>
        <v/>
      </c>
      <c r="T5803">
        <f>LET(
    payment_method,'Loan Tape (S&amp;P)'!P5803,
    occupancy,'Loan Tape (S&amp;P)'!N5803,
    maturity_date,'Loan Tape (S&amp;P)'!L5803,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04">
      <c r="J5804">
        <f>LET(
    lien,'Loan Tape (S&amp;P)'!Q5804,
    IF(lien="First",1.00,
        IF(lien="Second",1.50,
            1.70)))</f>
        <v/>
      </c>
      <c r="K5804">
        <f>LET(
    purpose,'Loan Tape (S&amp;P)'!R5804,
    IF(purpose="Purchase",1.00,
        IF(purpose="Remortgage",1.00,
            1.20)))</f>
        <v/>
      </c>
      <c r="L5804">
        <f>LET(
    arrears_months,'Loan Tape (S&amp;P)'!AN5804,
    IF(arrears_months=0,1.00,
    IF(arrears_months=1,3.00,
    IF(arrears_months=2,5.00,
    IF(arrears_months=3,8.00,
    IF(arrears_months=4,10.00,
    IF(arrears_months=5,12.00,15.00)))))))</f>
        <v/>
      </c>
      <c r="M5804">
        <f>LET(
    seasoning_years,DATEDIF('Loan Tape (S&amp;P)'!K5804,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04">
        <f>IF(AND('Loan Tape (S&amp;P)'!U5804="Yes",
        'Loan Tape (S&amp;P)'!T5804&lt;&gt;"Yes",
        DATEDIF('Loan Tape (S&amp;P)'!K5804, TODAY(), "M")&lt;18),
    1.10,
    1.00)</f>
        <v/>
      </c>
      <c r="O5804">
        <f>IF('Loan Tape (S&amp;P)'!T5804="Yes",
    1.35,
    1.00)</f>
        <v/>
      </c>
      <c r="P5804">
        <f>IF('Loan Tape (S&amp;P)'!S5804="Yes",
    1.15,
    1.00)</f>
        <v/>
      </c>
      <c r="Q5804">
        <f>IF('Loan Tape (S&amp;P)'!V5804="Yes",
    1.20,
    1.00)</f>
        <v/>
      </c>
      <c r="T5804">
        <f>LET(
    payment_method,'Loan Tape (S&amp;P)'!P5804,
    occupancy,'Loan Tape (S&amp;P)'!N5804,
    maturity_date,'Loan Tape (S&amp;P)'!L5804,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05">
      <c r="J5805">
        <f>LET(
    lien,'Loan Tape (S&amp;P)'!Q5805,
    IF(lien="First",1.00,
        IF(lien="Second",1.50,
            1.70)))</f>
        <v/>
      </c>
      <c r="K5805">
        <f>LET(
    purpose,'Loan Tape (S&amp;P)'!R5805,
    IF(purpose="Purchase",1.00,
        IF(purpose="Remortgage",1.00,
            1.20)))</f>
        <v/>
      </c>
      <c r="L5805">
        <f>LET(
    arrears_months,'Loan Tape (S&amp;P)'!AN5805,
    IF(arrears_months=0,1.00,
    IF(arrears_months=1,3.00,
    IF(arrears_months=2,5.00,
    IF(arrears_months=3,8.00,
    IF(arrears_months=4,10.00,
    IF(arrears_months=5,12.00,15.00)))))))</f>
        <v/>
      </c>
      <c r="M5805">
        <f>LET(
    seasoning_years,DATEDIF('Loan Tape (S&amp;P)'!K5805,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05">
        <f>IF(AND('Loan Tape (S&amp;P)'!U5805="Yes",
        'Loan Tape (S&amp;P)'!T5805&lt;&gt;"Yes",
        DATEDIF('Loan Tape (S&amp;P)'!K5805, TODAY(), "M")&lt;18),
    1.10,
    1.00)</f>
        <v/>
      </c>
      <c r="O5805">
        <f>IF('Loan Tape (S&amp;P)'!T5805="Yes",
    1.35,
    1.00)</f>
        <v/>
      </c>
      <c r="P5805">
        <f>IF('Loan Tape (S&amp;P)'!S5805="Yes",
    1.15,
    1.00)</f>
        <v/>
      </c>
      <c r="Q5805">
        <f>IF('Loan Tape (S&amp;P)'!V5805="Yes",
    1.20,
    1.00)</f>
        <v/>
      </c>
      <c r="T5805">
        <f>LET(
    payment_method,'Loan Tape (S&amp;P)'!P5805,
    occupancy,'Loan Tape (S&amp;P)'!N5805,
    maturity_date,'Loan Tape (S&amp;P)'!L5805,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06">
      <c r="J5806">
        <f>LET(
    lien,'Loan Tape (S&amp;P)'!Q5806,
    IF(lien="First",1.00,
        IF(lien="Second",1.50,
            1.70)))</f>
        <v/>
      </c>
      <c r="K5806">
        <f>LET(
    purpose,'Loan Tape (S&amp;P)'!R5806,
    IF(purpose="Purchase",1.00,
        IF(purpose="Remortgage",1.00,
            1.20)))</f>
        <v/>
      </c>
      <c r="L5806">
        <f>LET(
    arrears_months,'Loan Tape (S&amp;P)'!AN5806,
    IF(arrears_months=0,1.00,
    IF(arrears_months=1,3.00,
    IF(arrears_months=2,5.00,
    IF(arrears_months=3,8.00,
    IF(arrears_months=4,10.00,
    IF(arrears_months=5,12.00,15.00)))))))</f>
        <v/>
      </c>
      <c r="M5806">
        <f>LET(
    seasoning_years,DATEDIF('Loan Tape (S&amp;P)'!K5806,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06">
        <f>IF(AND('Loan Tape (S&amp;P)'!U5806="Yes",
        'Loan Tape (S&amp;P)'!T5806&lt;&gt;"Yes",
        DATEDIF('Loan Tape (S&amp;P)'!K5806, TODAY(), "M")&lt;18),
    1.10,
    1.00)</f>
        <v/>
      </c>
      <c r="O5806">
        <f>IF('Loan Tape (S&amp;P)'!T5806="Yes",
    1.35,
    1.00)</f>
        <v/>
      </c>
      <c r="P5806">
        <f>IF('Loan Tape (S&amp;P)'!S5806="Yes",
    1.15,
    1.00)</f>
        <v/>
      </c>
      <c r="Q5806">
        <f>IF('Loan Tape (S&amp;P)'!V5806="Yes",
    1.20,
    1.00)</f>
        <v/>
      </c>
      <c r="T5806">
        <f>LET(
    payment_method,'Loan Tape (S&amp;P)'!P5806,
    occupancy,'Loan Tape (S&amp;P)'!N5806,
    maturity_date,'Loan Tape (S&amp;P)'!L5806,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07">
      <c r="J5807">
        <f>LET(
    lien,'Loan Tape (S&amp;P)'!Q5807,
    IF(lien="First",1.00,
        IF(lien="Second",1.50,
            1.70)))</f>
        <v/>
      </c>
      <c r="K5807">
        <f>LET(
    purpose,'Loan Tape (S&amp;P)'!R5807,
    IF(purpose="Purchase",1.00,
        IF(purpose="Remortgage",1.00,
            1.20)))</f>
        <v/>
      </c>
      <c r="L5807">
        <f>LET(
    arrears_months,'Loan Tape (S&amp;P)'!AN5807,
    IF(arrears_months=0,1.00,
    IF(arrears_months=1,3.00,
    IF(arrears_months=2,5.00,
    IF(arrears_months=3,8.00,
    IF(arrears_months=4,10.00,
    IF(arrears_months=5,12.00,15.00)))))))</f>
        <v/>
      </c>
      <c r="M5807">
        <f>LET(
    seasoning_years,DATEDIF('Loan Tape (S&amp;P)'!K5807,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07">
        <f>IF(AND('Loan Tape (S&amp;P)'!U5807="Yes",
        'Loan Tape (S&amp;P)'!T5807&lt;&gt;"Yes",
        DATEDIF('Loan Tape (S&amp;P)'!K5807, TODAY(), "M")&lt;18),
    1.10,
    1.00)</f>
        <v/>
      </c>
      <c r="O5807">
        <f>IF('Loan Tape (S&amp;P)'!T5807="Yes",
    1.35,
    1.00)</f>
        <v/>
      </c>
      <c r="P5807">
        <f>IF('Loan Tape (S&amp;P)'!S5807="Yes",
    1.15,
    1.00)</f>
        <v/>
      </c>
      <c r="Q5807">
        <f>IF('Loan Tape (S&amp;P)'!V5807="Yes",
    1.20,
    1.00)</f>
        <v/>
      </c>
      <c r="T5807">
        <f>LET(
    payment_method,'Loan Tape (S&amp;P)'!P5807,
    occupancy,'Loan Tape (S&amp;P)'!N5807,
    maturity_date,'Loan Tape (S&amp;P)'!L5807,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08">
      <c r="J5808">
        <f>LET(
    lien,'Loan Tape (S&amp;P)'!Q5808,
    IF(lien="First",1.00,
        IF(lien="Second",1.50,
            1.70)))</f>
        <v/>
      </c>
      <c r="K5808">
        <f>LET(
    purpose,'Loan Tape (S&amp;P)'!R5808,
    IF(purpose="Purchase",1.00,
        IF(purpose="Remortgage",1.00,
            1.20)))</f>
        <v/>
      </c>
      <c r="L5808">
        <f>LET(
    arrears_months,'Loan Tape (S&amp;P)'!AN5808,
    IF(arrears_months=0,1.00,
    IF(arrears_months=1,3.00,
    IF(arrears_months=2,5.00,
    IF(arrears_months=3,8.00,
    IF(arrears_months=4,10.00,
    IF(arrears_months=5,12.00,15.00)))))))</f>
        <v/>
      </c>
      <c r="M5808">
        <f>LET(
    seasoning_years,DATEDIF('Loan Tape (S&amp;P)'!K5808,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08">
        <f>IF(AND('Loan Tape (S&amp;P)'!U5808="Yes",
        'Loan Tape (S&amp;P)'!T5808&lt;&gt;"Yes",
        DATEDIF('Loan Tape (S&amp;P)'!K5808, TODAY(), "M")&lt;18),
    1.10,
    1.00)</f>
        <v/>
      </c>
      <c r="O5808">
        <f>IF('Loan Tape (S&amp;P)'!T5808="Yes",
    1.35,
    1.00)</f>
        <v/>
      </c>
      <c r="P5808">
        <f>IF('Loan Tape (S&amp;P)'!S5808="Yes",
    1.15,
    1.00)</f>
        <v/>
      </c>
      <c r="Q5808">
        <f>IF('Loan Tape (S&amp;P)'!V5808="Yes",
    1.20,
    1.00)</f>
        <v/>
      </c>
      <c r="T5808">
        <f>LET(
    payment_method,'Loan Tape (S&amp;P)'!P5808,
    occupancy,'Loan Tape (S&amp;P)'!N5808,
    maturity_date,'Loan Tape (S&amp;P)'!L5808,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09">
      <c r="J5809">
        <f>LET(
    lien,'Loan Tape (S&amp;P)'!Q5809,
    IF(lien="First",1.00,
        IF(lien="Second",1.50,
            1.70)))</f>
        <v/>
      </c>
      <c r="K5809">
        <f>LET(
    purpose,'Loan Tape (S&amp;P)'!R5809,
    IF(purpose="Purchase",1.00,
        IF(purpose="Remortgage",1.00,
            1.20)))</f>
        <v/>
      </c>
      <c r="L5809">
        <f>LET(
    arrears_months,'Loan Tape (S&amp;P)'!AN5809,
    IF(arrears_months=0,1.00,
    IF(arrears_months=1,3.00,
    IF(arrears_months=2,5.00,
    IF(arrears_months=3,8.00,
    IF(arrears_months=4,10.00,
    IF(arrears_months=5,12.00,15.00)))))))</f>
        <v/>
      </c>
      <c r="M5809">
        <f>LET(
    seasoning_years,DATEDIF('Loan Tape (S&amp;P)'!K5809,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09">
        <f>IF(AND('Loan Tape (S&amp;P)'!U5809="Yes",
        'Loan Tape (S&amp;P)'!T5809&lt;&gt;"Yes",
        DATEDIF('Loan Tape (S&amp;P)'!K5809, TODAY(), "M")&lt;18),
    1.10,
    1.00)</f>
        <v/>
      </c>
      <c r="O5809">
        <f>IF('Loan Tape (S&amp;P)'!T5809="Yes",
    1.35,
    1.00)</f>
        <v/>
      </c>
      <c r="P5809">
        <f>IF('Loan Tape (S&amp;P)'!S5809="Yes",
    1.15,
    1.00)</f>
        <v/>
      </c>
      <c r="Q5809">
        <f>IF('Loan Tape (S&amp;P)'!V5809="Yes",
    1.20,
    1.00)</f>
        <v/>
      </c>
      <c r="T5809">
        <f>LET(
    payment_method,'Loan Tape (S&amp;P)'!P5809,
    occupancy,'Loan Tape (S&amp;P)'!N5809,
    maturity_date,'Loan Tape (S&amp;P)'!L5809,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10">
      <c r="J5810">
        <f>LET(
    lien,'Loan Tape (S&amp;P)'!Q5810,
    IF(lien="First",1.00,
        IF(lien="Second",1.50,
            1.70)))</f>
        <v/>
      </c>
      <c r="K5810">
        <f>LET(
    purpose,'Loan Tape (S&amp;P)'!R5810,
    IF(purpose="Purchase",1.00,
        IF(purpose="Remortgage",1.00,
            1.20)))</f>
        <v/>
      </c>
      <c r="L5810">
        <f>LET(
    arrears_months,'Loan Tape (S&amp;P)'!AN5810,
    IF(arrears_months=0,1.00,
    IF(arrears_months=1,3.00,
    IF(arrears_months=2,5.00,
    IF(arrears_months=3,8.00,
    IF(arrears_months=4,10.00,
    IF(arrears_months=5,12.00,15.00)))))))</f>
        <v/>
      </c>
      <c r="M5810">
        <f>LET(
    seasoning_years,DATEDIF('Loan Tape (S&amp;P)'!K5810,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10">
        <f>IF(AND('Loan Tape (S&amp;P)'!U5810="Yes",
        'Loan Tape (S&amp;P)'!T5810&lt;&gt;"Yes",
        DATEDIF('Loan Tape (S&amp;P)'!K5810, TODAY(), "M")&lt;18),
    1.10,
    1.00)</f>
        <v/>
      </c>
      <c r="O5810">
        <f>IF('Loan Tape (S&amp;P)'!T5810="Yes",
    1.35,
    1.00)</f>
        <v/>
      </c>
      <c r="P5810">
        <f>IF('Loan Tape (S&amp;P)'!S5810="Yes",
    1.15,
    1.00)</f>
        <v/>
      </c>
      <c r="Q5810">
        <f>IF('Loan Tape (S&amp;P)'!V5810="Yes",
    1.20,
    1.00)</f>
        <v/>
      </c>
      <c r="T5810">
        <f>LET(
    payment_method,'Loan Tape (S&amp;P)'!P5810,
    occupancy,'Loan Tape (S&amp;P)'!N5810,
    maturity_date,'Loan Tape (S&amp;P)'!L5810,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11">
      <c r="J5811">
        <f>LET(
    lien,'Loan Tape (S&amp;P)'!Q5811,
    IF(lien="First",1.00,
        IF(lien="Second",1.50,
            1.70)))</f>
        <v/>
      </c>
      <c r="K5811">
        <f>LET(
    purpose,'Loan Tape (S&amp;P)'!R5811,
    IF(purpose="Purchase",1.00,
        IF(purpose="Remortgage",1.00,
            1.20)))</f>
        <v/>
      </c>
      <c r="L5811">
        <f>LET(
    arrears_months,'Loan Tape (S&amp;P)'!AN5811,
    IF(arrears_months=0,1.00,
    IF(arrears_months=1,3.00,
    IF(arrears_months=2,5.00,
    IF(arrears_months=3,8.00,
    IF(arrears_months=4,10.00,
    IF(arrears_months=5,12.00,15.00)))))))</f>
        <v/>
      </c>
      <c r="M5811">
        <f>LET(
    seasoning_years,DATEDIF('Loan Tape (S&amp;P)'!K5811,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11">
        <f>IF(AND('Loan Tape (S&amp;P)'!U5811="Yes",
        'Loan Tape (S&amp;P)'!T5811&lt;&gt;"Yes",
        DATEDIF('Loan Tape (S&amp;P)'!K5811, TODAY(), "M")&lt;18),
    1.10,
    1.00)</f>
        <v/>
      </c>
      <c r="O5811">
        <f>IF('Loan Tape (S&amp;P)'!T5811="Yes",
    1.35,
    1.00)</f>
        <v/>
      </c>
      <c r="P5811">
        <f>IF('Loan Tape (S&amp;P)'!S5811="Yes",
    1.15,
    1.00)</f>
        <v/>
      </c>
      <c r="Q5811">
        <f>IF('Loan Tape (S&amp;P)'!V5811="Yes",
    1.20,
    1.00)</f>
        <v/>
      </c>
      <c r="T5811">
        <f>LET(
    payment_method,'Loan Tape (S&amp;P)'!P5811,
    occupancy,'Loan Tape (S&amp;P)'!N5811,
    maturity_date,'Loan Tape (S&amp;P)'!L5811,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12">
      <c r="J5812">
        <f>LET(
    lien,'Loan Tape (S&amp;P)'!Q5812,
    IF(lien="First",1.00,
        IF(lien="Second",1.50,
            1.70)))</f>
        <v/>
      </c>
      <c r="K5812">
        <f>LET(
    purpose,'Loan Tape (S&amp;P)'!R5812,
    IF(purpose="Purchase",1.00,
        IF(purpose="Remortgage",1.00,
            1.20)))</f>
        <v/>
      </c>
      <c r="L5812">
        <f>LET(
    arrears_months,'Loan Tape (S&amp;P)'!AN5812,
    IF(arrears_months=0,1.00,
    IF(arrears_months=1,3.00,
    IF(arrears_months=2,5.00,
    IF(arrears_months=3,8.00,
    IF(arrears_months=4,10.00,
    IF(arrears_months=5,12.00,15.00)))))))</f>
        <v/>
      </c>
      <c r="M5812">
        <f>LET(
    seasoning_years,DATEDIF('Loan Tape (S&amp;P)'!K5812,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12">
        <f>IF(AND('Loan Tape (S&amp;P)'!U5812="Yes",
        'Loan Tape (S&amp;P)'!T5812&lt;&gt;"Yes",
        DATEDIF('Loan Tape (S&amp;P)'!K5812, TODAY(), "M")&lt;18),
    1.10,
    1.00)</f>
        <v/>
      </c>
      <c r="O5812">
        <f>IF('Loan Tape (S&amp;P)'!T5812="Yes",
    1.35,
    1.00)</f>
        <v/>
      </c>
      <c r="P5812">
        <f>IF('Loan Tape (S&amp;P)'!S5812="Yes",
    1.15,
    1.00)</f>
        <v/>
      </c>
      <c r="Q5812">
        <f>IF('Loan Tape (S&amp;P)'!V5812="Yes",
    1.20,
    1.00)</f>
        <v/>
      </c>
      <c r="T5812">
        <f>LET(
    payment_method,'Loan Tape (S&amp;P)'!P5812,
    occupancy,'Loan Tape (S&amp;P)'!N5812,
    maturity_date,'Loan Tape (S&amp;P)'!L5812,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13">
      <c r="J5813">
        <f>LET(
    lien,'Loan Tape (S&amp;P)'!Q5813,
    IF(lien="First",1.00,
        IF(lien="Second",1.50,
            1.70)))</f>
        <v/>
      </c>
      <c r="K5813">
        <f>LET(
    purpose,'Loan Tape (S&amp;P)'!R5813,
    IF(purpose="Purchase",1.00,
        IF(purpose="Remortgage",1.00,
            1.20)))</f>
        <v/>
      </c>
      <c r="L5813">
        <f>LET(
    arrears_months,'Loan Tape (S&amp;P)'!AN5813,
    IF(arrears_months=0,1.00,
    IF(arrears_months=1,3.00,
    IF(arrears_months=2,5.00,
    IF(arrears_months=3,8.00,
    IF(arrears_months=4,10.00,
    IF(arrears_months=5,12.00,15.00)))))))</f>
        <v/>
      </c>
      <c r="M5813">
        <f>LET(
    seasoning_years,DATEDIF('Loan Tape (S&amp;P)'!K5813,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13">
        <f>IF(AND('Loan Tape (S&amp;P)'!U5813="Yes",
        'Loan Tape (S&amp;P)'!T5813&lt;&gt;"Yes",
        DATEDIF('Loan Tape (S&amp;P)'!K5813, TODAY(), "M")&lt;18),
    1.10,
    1.00)</f>
        <v/>
      </c>
      <c r="O5813">
        <f>IF('Loan Tape (S&amp;P)'!T5813="Yes",
    1.35,
    1.00)</f>
        <v/>
      </c>
      <c r="P5813">
        <f>IF('Loan Tape (S&amp;P)'!S5813="Yes",
    1.15,
    1.00)</f>
        <v/>
      </c>
      <c r="Q5813">
        <f>IF('Loan Tape (S&amp;P)'!V5813="Yes",
    1.20,
    1.00)</f>
        <v/>
      </c>
      <c r="T5813">
        <f>LET(
    payment_method,'Loan Tape (S&amp;P)'!P5813,
    occupancy,'Loan Tape (S&amp;P)'!N5813,
    maturity_date,'Loan Tape (S&amp;P)'!L5813,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14">
      <c r="J5814">
        <f>LET(
    lien,'Loan Tape (S&amp;P)'!Q5814,
    IF(lien="First",1.00,
        IF(lien="Second",1.50,
            1.70)))</f>
        <v/>
      </c>
      <c r="K5814">
        <f>LET(
    purpose,'Loan Tape (S&amp;P)'!R5814,
    IF(purpose="Purchase",1.00,
        IF(purpose="Remortgage",1.00,
            1.20)))</f>
        <v/>
      </c>
      <c r="L5814">
        <f>LET(
    arrears_months,'Loan Tape (S&amp;P)'!AN5814,
    IF(arrears_months=0,1.00,
    IF(arrears_months=1,3.00,
    IF(arrears_months=2,5.00,
    IF(arrears_months=3,8.00,
    IF(arrears_months=4,10.00,
    IF(arrears_months=5,12.00,15.00)))))))</f>
        <v/>
      </c>
      <c r="M5814">
        <f>LET(
    seasoning_years,DATEDIF('Loan Tape (S&amp;P)'!K5814,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14">
        <f>IF(AND('Loan Tape (S&amp;P)'!U5814="Yes",
        'Loan Tape (S&amp;P)'!T5814&lt;&gt;"Yes",
        DATEDIF('Loan Tape (S&amp;P)'!K5814, TODAY(), "M")&lt;18),
    1.10,
    1.00)</f>
        <v/>
      </c>
      <c r="O5814">
        <f>IF('Loan Tape (S&amp;P)'!T5814="Yes",
    1.35,
    1.00)</f>
        <v/>
      </c>
      <c r="P5814">
        <f>IF('Loan Tape (S&amp;P)'!S5814="Yes",
    1.15,
    1.00)</f>
        <v/>
      </c>
      <c r="Q5814">
        <f>IF('Loan Tape (S&amp;P)'!V5814="Yes",
    1.20,
    1.00)</f>
        <v/>
      </c>
      <c r="T5814">
        <f>LET(
    payment_method,'Loan Tape (S&amp;P)'!P5814,
    occupancy,'Loan Tape (S&amp;P)'!N5814,
    maturity_date,'Loan Tape (S&amp;P)'!L5814,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15">
      <c r="J5815">
        <f>LET(
    lien,'Loan Tape (S&amp;P)'!Q5815,
    IF(lien="First",1.00,
        IF(lien="Second",1.50,
            1.70)))</f>
        <v/>
      </c>
      <c r="K5815">
        <f>LET(
    purpose,'Loan Tape (S&amp;P)'!R5815,
    IF(purpose="Purchase",1.00,
        IF(purpose="Remortgage",1.00,
            1.20)))</f>
        <v/>
      </c>
      <c r="L5815">
        <f>LET(
    arrears_months,'Loan Tape (S&amp;P)'!AN5815,
    IF(arrears_months=0,1.00,
    IF(arrears_months=1,3.00,
    IF(arrears_months=2,5.00,
    IF(arrears_months=3,8.00,
    IF(arrears_months=4,10.00,
    IF(arrears_months=5,12.00,15.00)))))))</f>
        <v/>
      </c>
      <c r="M5815">
        <f>LET(
    seasoning_years,DATEDIF('Loan Tape (S&amp;P)'!K5815,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15">
        <f>IF(AND('Loan Tape (S&amp;P)'!U5815="Yes",
        'Loan Tape (S&amp;P)'!T5815&lt;&gt;"Yes",
        DATEDIF('Loan Tape (S&amp;P)'!K5815, TODAY(), "M")&lt;18),
    1.10,
    1.00)</f>
        <v/>
      </c>
      <c r="O5815">
        <f>IF('Loan Tape (S&amp;P)'!T5815="Yes",
    1.35,
    1.00)</f>
        <v/>
      </c>
      <c r="P5815">
        <f>IF('Loan Tape (S&amp;P)'!S5815="Yes",
    1.15,
    1.00)</f>
        <v/>
      </c>
      <c r="Q5815">
        <f>IF('Loan Tape (S&amp;P)'!V5815="Yes",
    1.20,
    1.00)</f>
        <v/>
      </c>
      <c r="T5815">
        <f>LET(
    payment_method,'Loan Tape (S&amp;P)'!P5815,
    occupancy,'Loan Tape (S&amp;P)'!N5815,
    maturity_date,'Loan Tape (S&amp;P)'!L5815,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16">
      <c r="J5816">
        <f>LET(
    lien,'Loan Tape (S&amp;P)'!Q5816,
    IF(lien="First",1.00,
        IF(lien="Second",1.50,
            1.70)))</f>
        <v/>
      </c>
      <c r="K5816">
        <f>LET(
    purpose,'Loan Tape (S&amp;P)'!R5816,
    IF(purpose="Purchase",1.00,
        IF(purpose="Remortgage",1.00,
            1.20)))</f>
        <v/>
      </c>
      <c r="L5816">
        <f>LET(
    arrears_months,'Loan Tape (S&amp;P)'!AN5816,
    IF(arrears_months=0,1.00,
    IF(arrears_months=1,3.00,
    IF(arrears_months=2,5.00,
    IF(arrears_months=3,8.00,
    IF(arrears_months=4,10.00,
    IF(arrears_months=5,12.00,15.00)))))))</f>
        <v/>
      </c>
      <c r="M5816">
        <f>LET(
    seasoning_years,DATEDIF('Loan Tape (S&amp;P)'!K5816,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16">
        <f>IF(AND('Loan Tape (S&amp;P)'!U5816="Yes",
        'Loan Tape (S&amp;P)'!T5816&lt;&gt;"Yes",
        DATEDIF('Loan Tape (S&amp;P)'!K5816, TODAY(), "M")&lt;18),
    1.10,
    1.00)</f>
        <v/>
      </c>
      <c r="O5816">
        <f>IF('Loan Tape (S&amp;P)'!T5816="Yes",
    1.35,
    1.00)</f>
        <v/>
      </c>
      <c r="P5816">
        <f>IF('Loan Tape (S&amp;P)'!S5816="Yes",
    1.15,
    1.00)</f>
        <v/>
      </c>
      <c r="Q5816">
        <f>IF('Loan Tape (S&amp;P)'!V5816="Yes",
    1.20,
    1.00)</f>
        <v/>
      </c>
      <c r="T5816">
        <f>LET(
    payment_method,'Loan Tape (S&amp;P)'!P5816,
    occupancy,'Loan Tape (S&amp;P)'!N5816,
    maturity_date,'Loan Tape (S&amp;P)'!L5816,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17">
      <c r="J5817">
        <f>LET(
    lien,'Loan Tape (S&amp;P)'!Q5817,
    IF(lien="First",1.00,
        IF(lien="Second",1.50,
            1.70)))</f>
        <v/>
      </c>
      <c r="K5817">
        <f>LET(
    purpose,'Loan Tape (S&amp;P)'!R5817,
    IF(purpose="Purchase",1.00,
        IF(purpose="Remortgage",1.00,
            1.20)))</f>
        <v/>
      </c>
      <c r="L5817">
        <f>LET(
    arrears_months,'Loan Tape (S&amp;P)'!AN5817,
    IF(arrears_months=0,1.00,
    IF(arrears_months=1,3.00,
    IF(arrears_months=2,5.00,
    IF(arrears_months=3,8.00,
    IF(arrears_months=4,10.00,
    IF(arrears_months=5,12.00,15.00)))))))</f>
        <v/>
      </c>
      <c r="M5817">
        <f>LET(
    seasoning_years,DATEDIF('Loan Tape (S&amp;P)'!K5817,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17">
        <f>IF(AND('Loan Tape (S&amp;P)'!U5817="Yes",
        'Loan Tape (S&amp;P)'!T5817&lt;&gt;"Yes",
        DATEDIF('Loan Tape (S&amp;P)'!K5817, TODAY(), "M")&lt;18),
    1.10,
    1.00)</f>
        <v/>
      </c>
      <c r="O5817">
        <f>IF('Loan Tape (S&amp;P)'!T5817="Yes",
    1.35,
    1.00)</f>
        <v/>
      </c>
      <c r="P5817">
        <f>IF('Loan Tape (S&amp;P)'!S5817="Yes",
    1.15,
    1.00)</f>
        <v/>
      </c>
      <c r="Q5817">
        <f>IF('Loan Tape (S&amp;P)'!V5817="Yes",
    1.20,
    1.00)</f>
        <v/>
      </c>
      <c r="T5817">
        <f>LET(
    payment_method,'Loan Tape (S&amp;P)'!P5817,
    occupancy,'Loan Tape (S&amp;P)'!N5817,
    maturity_date,'Loan Tape (S&amp;P)'!L5817,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18">
      <c r="J5818">
        <f>LET(
    lien,'Loan Tape (S&amp;P)'!Q5818,
    IF(lien="First",1.00,
        IF(lien="Second",1.50,
            1.70)))</f>
        <v/>
      </c>
      <c r="K5818">
        <f>LET(
    purpose,'Loan Tape (S&amp;P)'!R5818,
    IF(purpose="Purchase",1.00,
        IF(purpose="Remortgage",1.00,
            1.20)))</f>
        <v/>
      </c>
      <c r="L5818">
        <f>LET(
    arrears_months,'Loan Tape (S&amp;P)'!AN5818,
    IF(arrears_months=0,1.00,
    IF(arrears_months=1,3.00,
    IF(arrears_months=2,5.00,
    IF(arrears_months=3,8.00,
    IF(arrears_months=4,10.00,
    IF(arrears_months=5,12.00,15.00)))))))</f>
        <v/>
      </c>
      <c r="M5818">
        <f>LET(
    seasoning_years,DATEDIF('Loan Tape (S&amp;P)'!K5818,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18">
        <f>IF(AND('Loan Tape (S&amp;P)'!U5818="Yes",
        'Loan Tape (S&amp;P)'!T5818&lt;&gt;"Yes",
        DATEDIF('Loan Tape (S&amp;P)'!K5818, TODAY(), "M")&lt;18),
    1.10,
    1.00)</f>
        <v/>
      </c>
      <c r="O5818">
        <f>IF('Loan Tape (S&amp;P)'!T5818="Yes",
    1.35,
    1.00)</f>
        <v/>
      </c>
      <c r="P5818">
        <f>IF('Loan Tape (S&amp;P)'!S5818="Yes",
    1.15,
    1.00)</f>
        <v/>
      </c>
      <c r="Q5818">
        <f>IF('Loan Tape (S&amp;P)'!V5818="Yes",
    1.20,
    1.00)</f>
        <v/>
      </c>
      <c r="T5818">
        <f>LET(
    payment_method,'Loan Tape (S&amp;P)'!P5818,
    occupancy,'Loan Tape (S&amp;P)'!N5818,
    maturity_date,'Loan Tape (S&amp;P)'!L5818,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19">
      <c r="J5819">
        <f>LET(
    lien,'Loan Tape (S&amp;P)'!Q5819,
    IF(lien="First",1.00,
        IF(lien="Second",1.50,
            1.70)))</f>
        <v/>
      </c>
      <c r="K5819">
        <f>LET(
    purpose,'Loan Tape (S&amp;P)'!R5819,
    IF(purpose="Purchase",1.00,
        IF(purpose="Remortgage",1.00,
            1.20)))</f>
        <v/>
      </c>
      <c r="L5819">
        <f>LET(
    arrears_months,'Loan Tape (S&amp;P)'!AN5819,
    IF(arrears_months=0,1.00,
    IF(arrears_months=1,3.00,
    IF(arrears_months=2,5.00,
    IF(arrears_months=3,8.00,
    IF(arrears_months=4,10.00,
    IF(arrears_months=5,12.00,15.00)))))))</f>
        <v/>
      </c>
      <c r="M5819">
        <f>LET(
    seasoning_years,DATEDIF('Loan Tape (S&amp;P)'!K5819,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19">
        <f>IF(AND('Loan Tape (S&amp;P)'!U5819="Yes",
        'Loan Tape (S&amp;P)'!T5819&lt;&gt;"Yes",
        DATEDIF('Loan Tape (S&amp;P)'!K5819, TODAY(), "M")&lt;18),
    1.10,
    1.00)</f>
        <v/>
      </c>
      <c r="O5819">
        <f>IF('Loan Tape (S&amp;P)'!T5819="Yes",
    1.35,
    1.00)</f>
        <v/>
      </c>
      <c r="P5819">
        <f>IF('Loan Tape (S&amp;P)'!S5819="Yes",
    1.15,
    1.00)</f>
        <v/>
      </c>
      <c r="Q5819">
        <f>IF('Loan Tape (S&amp;P)'!V5819="Yes",
    1.20,
    1.00)</f>
        <v/>
      </c>
      <c r="T5819">
        <f>LET(
    payment_method,'Loan Tape (S&amp;P)'!P5819,
    occupancy,'Loan Tape (S&amp;P)'!N5819,
    maturity_date,'Loan Tape (S&amp;P)'!L5819,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20">
      <c r="J5820">
        <f>LET(
    lien,'Loan Tape (S&amp;P)'!Q5820,
    IF(lien="First",1.00,
        IF(lien="Second",1.50,
            1.70)))</f>
        <v/>
      </c>
      <c r="K5820">
        <f>LET(
    purpose,'Loan Tape (S&amp;P)'!R5820,
    IF(purpose="Purchase",1.00,
        IF(purpose="Remortgage",1.00,
            1.20)))</f>
        <v/>
      </c>
      <c r="L5820">
        <f>LET(
    arrears_months,'Loan Tape (S&amp;P)'!AN5820,
    IF(arrears_months=0,1.00,
    IF(arrears_months=1,3.00,
    IF(arrears_months=2,5.00,
    IF(arrears_months=3,8.00,
    IF(arrears_months=4,10.00,
    IF(arrears_months=5,12.00,15.00)))))))</f>
        <v/>
      </c>
      <c r="M5820">
        <f>LET(
    seasoning_years,DATEDIF('Loan Tape (S&amp;P)'!K5820,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20">
        <f>IF(AND('Loan Tape (S&amp;P)'!U5820="Yes",
        'Loan Tape (S&amp;P)'!T5820&lt;&gt;"Yes",
        DATEDIF('Loan Tape (S&amp;P)'!K5820, TODAY(), "M")&lt;18),
    1.10,
    1.00)</f>
        <v/>
      </c>
      <c r="O5820">
        <f>IF('Loan Tape (S&amp;P)'!T5820="Yes",
    1.35,
    1.00)</f>
        <v/>
      </c>
      <c r="P5820">
        <f>IF('Loan Tape (S&amp;P)'!S5820="Yes",
    1.15,
    1.00)</f>
        <v/>
      </c>
      <c r="Q5820">
        <f>IF('Loan Tape (S&amp;P)'!V5820="Yes",
    1.20,
    1.00)</f>
        <v/>
      </c>
      <c r="T5820">
        <f>LET(
    payment_method,'Loan Tape (S&amp;P)'!P5820,
    occupancy,'Loan Tape (S&amp;P)'!N5820,
    maturity_date,'Loan Tape (S&amp;P)'!L5820,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21">
      <c r="J5821">
        <f>LET(
    lien,'Loan Tape (S&amp;P)'!Q5821,
    IF(lien="First",1.00,
        IF(lien="Second",1.50,
            1.70)))</f>
        <v/>
      </c>
      <c r="K5821">
        <f>LET(
    purpose,'Loan Tape (S&amp;P)'!R5821,
    IF(purpose="Purchase",1.00,
        IF(purpose="Remortgage",1.00,
            1.20)))</f>
        <v/>
      </c>
      <c r="L5821">
        <f>LET(
    arrears_months,'Loan Tape (S&amp;P)'!AN5821,
    IF(arrears_months=0,1.00,
    IF(arrears_months=1,3.00,
    IF(arrears_months=2,5.00,
    IF(arrears_months=3,8.00,
    IF(arrears_months=4,10.00,
    IF(arrears_months=5,12.00,15.00)))))))</f>
        <v/>
      </c>
      <c r="M5821">
        <f>LET(
    seasoning_years,DATEDIF('Loan Tape (S&amp;P)'!K5821,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21">
        <f>IF(AND('Loan Tape (S&amp;P)'!U5821="Yes",
        'Loan Tape (S&amp;P)'!T5821&lt;&gt;"Yes",
        DATEDIF('Loan Tape (S&amp;P)'!K5821, TODAY(), "M")&lt;18),
    1.10,
    1.00)</f>
        <v/>
      </c>
      <c r="O5821">
        <f>IF('Loan Tape (S&amp;P)'!T5821="Yes",
    1.35,
    1.00)</f>
        <v/>
      </c>
      <c r="P5821">
        <f>IF('Loan Tape (S&amp;P)'!S5821="Yes",
    1.15,
    1.00)</f>
        <v/>
      </c>
      <c r="Q5821">
        <f>IF('Loan Tape (S&amp;P)'!V5821="Yes",
    1.20,
    1.00)</f>
        <v/>
      </c>
      <c r="T5821">
        <f>LET(
    payment_method,'Loan Tape (S&amp;P)'!P5821,
    occupancy,'Loan Tape (S&amp;P)'!N5821,
    maturity_date,'Loan Tape (S&amp;P)'!L5821,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22">
      <c r="J5822">
        <f>LET(
    lien,'Loan Tape (S&amp;P)'!Q5822,
    IF(lien="First",1.00,
        IF(lien="Second",1.50,
            1.70)))</f>
        <v/>
      </c>
      <c r="K5822">
        <f>LET(
    purpose,'Loan Tape (S&amp;P)'!R5822,
    IF(purpose="Purchase",1.00,
        IF(purpose="Remortgage",1.00,
            1.20)))</f>
        <v/>
      </c>
      <c r="L5822">
        <f>LET(
    arrears_months,'Loan Tape (S&amp;P)'!AN5822,
    IF(arrears_months=0,1.00,
    IF(arrears_months=1,3.00,
    IF(arrears_months=2,5.00,
    IF(arrears_months=3,8.00,
    IF(arrears_months=4,10.00,
    IF(arrears_months=5,12.00,15.00)))))))</f>
        <v/>
      </c>
      <c r="M5822">
        <f>LET(
    seasoning_years,DATEDIF('Loan Tape (S&amp;P)'!K5822,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22">
        <f>IF(AND('Loan Tape (S&amp;P)'!U5822="Yes",
        'Loan Tape (S&amp;P)'!T5822&lt;&gt;"Yes",
        DATEDIF('Loan Tape (S&amp;P)'!K5822, TODAY(), "M")&lt;18),
    1.10,
    1.00)</f>
        <v/>
      </c>
      <c r="O5822">
        <f>IF('Loan Tape (S&amp;P)'!T5822="Yes",
    1.35,
    1.00)</f>
        <v/>
      </c>
      <c r="P5822">
        <f>IF('Loan Tape (S&amp;P)'!S5822="Yes",
    1.15,
    1.00)</f>
        <v/>
      </c>
      <c r="Q5822">
        <f>IF('Loan Tape (S&amp;P)'!V5822="Yes",
    1.20,
    1.00)</f>
        <v/>
      </c>
      <c r="T5822">
        <f>LET(
    payment_method,'Loan Tape (S&amp;P)'!P5822,
    occupancy,'Loan Tape (S&amp;P)'!N5822,
    maturity_date,'Loan Tape (S&amp;P)'!L5822,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23">
      <c r="J5823">
        <f>LET(
    lien,'Loan Tape (S&amp;P)'!Q5823,
    IF(lien="First",1.00,
        IF(lien="Second",1.50,
            1.70)))</f>
        <v/>
      </c>
      <c r="K5823">
        <f>LET(
    purpose,'Loan Tape (S&amp;P)'!R5823,
    IF(purpose="Purchase",1.00,
        IF(purpose="Remortgage",1.00,
            1.20)))</f>
        <v/>
      </c>
      <c r="L5823">
        <f>LET(
    arrears_months,'Loan Tape (S&amp;P)'!AN5823,
    IF(arrears_months=0,1.00,
    IF(arrears_months=1,3.00,
    IF(arrears_months=2,5.00,
    IF(arrears_months=3,8.00,
    IF(arrears_months=4,10.00,
    IF(arrears_months=5,12.00,15.00)))))))</f>
        <v/>
      </c>
      <c r="M5823">
        <f>LET(
    seasoning_years,DATEDIF('Loan Tape (S&amp;P)'!K5823,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23">
        <f>IF(AND('Loan Tape (S&amp;P)'!U5823="Yes",
        'Loan Tape (S&amp;P)'!T5823&lt;&gt;"Yes",
        DATEDIF('Loan Tape (S&amp;P)'!K5823, TODAY(), "M")&lt;18),
    1.10,
    1.00)</f>
        <v/>
      </c>
      <c r="O5823">
        <f>IF('Loan Tape (S&amp;P)'!T5823="Yes",
    1.35,
    1.00)</f>
        <v/>
      </c>
      <c r="P5823">
        <f>IF('Loan Tape (S&amp;P)'!S5823="Yes",
    1.15,
    1.00)</f>
        <v/>
      </c>
      <c r="Q5823">
        <f>IF('Loan Tape (S&amp;P)'!V5823="Yes",
    1.20,
    1.00)</f>
        <v/>
      </c>
      <c r="T5823">
        <f>LET(
    payment_method,'Loan Tape (S&amp;P)'!P5823,
    occupancy,'Loan Tape (S&amp;P)'!N5823,
    maturity_date,'Loan Tape (S&amp;P)'!L5823,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24">
      <c r="J5824">
        <f>LET(
    lien,'Loan Tape (S&amp;P)'!Q5824,
    IF(lien="First",1.00,
        IF(lien="Second",1.50,
            1.70)))</f>
        <v/>
      </c>
      <c r="K5824">
        <f>LET(
    purpose,'Loan Tape (S&amp;P)'!R5824,
    IF(purpose="Purchase",1.00,
        IF(purpose="Remortgage",1.00,
            1.20)))</f>
        <v/>
      </c>
      <c r="L5824">
        <f>LET(
    arrears_months,'Loan Tape (S&amp;P)'!AN5824,
    IF(arrears_months=0,1.00,
    IF(arrears_months=1,3.00,
    IF(arrears_months=2,5.00,
    IF(arrears_months=3,8.00,
    IF(arrears_months=4,10.00,
    IF(arrears_months=5,12.00,15.00)))))))</f>
        <v/>
      </c>
      <c r="M5824">
        <f>LET(
    seasoning_years,DATEDIF('Loan Tape (S&amp;P)'!K5824,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24">
        <f>IF(AND('Loan Tape (S&amp;P)'!U5824="Yes",
        'Loan Tape (S&amp;P)'!T5824&lt;&gt;"Yes",
        DATEDIF('Loan Tape (S&amp;P)'!K5824, TODAY(), "M")&lt;18),
    1.10,
    1.00)</f>
        <v/>
      </c>
      <c r="O5824">
        <f>IF('Loan Tape (S&amp;P)'!T5824="Yes",
    1.35,
    1.00)</f>
        <v/>
      </c>
      <c r="P5824">
        <f>IF('Loan Tape (S&amp;P)'!S5824="Yes",
    1.15,
    1.00)</f>
        <v/>
      </c>
      <c r="Q5824">
        <f>IF('Loan Tape (S&amp;P)'!V5824="Yes",
    1.20,
    1.00)</f>
        <v/>
      </c>
      <c r="T5824">
        <f>LET(
    payment_method,'Loan Tape (S&amp;P)'!P5824,
    occupancy,'Loan Tape (S&amp;P)'!N5824,
    maturity_date,'Loan Tape (S&amp;P)'!L5824,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25">
      <c r="J5825">
        <f>LET(
    lien,'Loan Tape (S&amp;P)'!Q5825,
    IF(lien="First",1.00,
        IF(lien="Second",1.50,
            1.70)))</f>
        <v/>
      </c>
      <c r="K5825">
        <f>LET(
    purpose,'Loan Tape (S&amp;P)'!R5825,
    IF(purpose="Purchase",1.00,
        IF(purpose="Remortgage",1.00,
            1.20)))</f>
        <v/>
      </c>
      <c r="L5825">
        <f>LET(
    arrears_months,'Loan Tape (S&amp;P)'!AN5825,
    IF(arrears_months=0,1.00,
    IF(arrears_months=1,3.00,
    IF(arrears_months=2,5.00,
    IF(arrears_months=3,8.00,
    IF(arrears_months=4,10.00,
    IF(arrears_months=5,12.00,15.00)))))))</f>
        <v/>
      </c>
      <c r="M5825">
        <f>LET(
    seasoning_years,DATEDIF('Loan Tape (S&amp;P)'!K5825,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25">
        <f>IF(AND('Loan Tape (S&amp;P)'!U5825="Yes",
        'Loan Tape (S&amp;P)'!T5825&lt;&gt;"Yes",
        DATEDIF('Loan Tape (S&amp;P)'!K5825, TODAY(), "M")&lt;18),
    1.10,
    1.00)</f>
        <v/>
      </c>
      <c r="O5825">
        <f>IF('Loan Tape (S&amp;P)'!T5825="Yes",
    1.35,
    1.00)</f>
        <v/>
      </c>
      <c r="P5825">
        <f>IF('Loan Tape (S&amp;P)'!S5825="Yes",
    1.15,
    1.00)</f>
        <v/>
      </c>
      <c r="Q5825">
        <f>IF('Loan Tape (S&amp;P)'!V5825="Yes",
    1.20,
    1.00)</f>
        <v/>
      </c>
      <c r="T5825">
        <f>LET(
    payment_method,'Loan Tape (S&amp;P)'!P5825,
    occupancy,'Loan Tape (S&amp;P)'!N5825,
    maturity_date,'Loan Tape (S&amp;P)'!L5825,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26">
      <c r="J5826">
        <f>LET(
    lien,'Loan Tape (S&amp;P)'!Q5826,
    IF(lien="First",1.00,
        IF(lien="Second",1.50,
            1.70)))</f>
        <v/>
      </c>
      <c r="K5826">
        <f>LET(
    purpose,'Loan Tape (S&amp;P)'!R5826,
    IF(purpose="Purchase",1.00,
        IF(purpose="Remortgage",1.00,
            1.20)))</f>
        <v/>
      </c>
      <c r="L5826">
        <f>LET(
    arrears_months,'Loan Tape (S&amp;P)'!AN5826,
    IF(arrears_months=0,1.00,
    IF(arrears_months=1,3.00,
    IF(arrears_months=2,5.00,
    IF(arrears_months=3,8.00,
    IF(arrears_months=4,10.00,
    IF(arrears_months=5,12.00,15.00)))))))</f>
        <v/>
      </c>
      <c r="M5826">
        <f>LET(
    seasoning_years,DATEDIF('Loan Tape (S&amp;P)'!K5826,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26">
        <f>IF(AND('Loan Tape (S&amp;P)'!U5826="Yes",
        'Loan Tape (S&amp;P)'!T5826&lt;&gt;"Yes",
        DATEDIF('Loan Tape (S&amp;P)'!K5826, TODAY(), "M")&lt;18),
    1.10,
    1.00)</f>
        <v/>
      </c>
      <c r="O5826">
        <f>IF('Loan Tape (S&amp;P)'!T5826="Yes",
    1.35,
    1.00)</f>
        <v/>
      </c>
      <c r="P5826">
        <f>IF('Loan Tape (S&amp;P)'!S5826="Yes",
    1.15,
    1.00)</f>
        <v/>
      </c>
      <c r="Q5826">
        <f>IF('Loan Tape (S&amp;P)'!V5826="Yes",
    1.20,
    1.00)</f>
        <v/>
      </c>
      <c r="T5826">
        <f>LET(
    payment_method,'Loan Tape (S&amp;P)'!P5826,
    occupancy,'Loan Tape (S&amp;P)'!N5826,
    maturity_date,'Loan Tape (S&amp;P)'!L5826,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27">
      <c r="J5827">
        <f>LET(
    lien,'Loan Tape (S&amp;P)'!Q5827,
    IF(lien="First",1.00,
        IF(lien="Second",1.50,
            1.70)))</f>
        <v/>
      </c>
      <c r="K5827">
        <f>LET(
    purpose,'Loan Tape (S&amp;P)'!R5827,
    IF(purpose="Purchase",1.00,
        IF(purpose="Remortgage",1.00,
            1.20)))</f>
        <v/>
      </c>
      <c r="L5827">
        <f>LET(
    arrears_months,'Loan Tape (S&amp;P)'!AN5827,
    IF(arrears_months=0,1.00,
    IF(arrears_months=1,3.00,
    IF(arrears_months=2,5.00,
    IF(arrears_months=3,8.00,
    IF(arrears_months=4,10.00,
    IF(arrears_months=5,12.00,15.00)))))))</f>
        <v/>
      </c>
      <c r="M5827">
        <f>LET(
    seasoning_years,DATEDIF('Loan Tape (S&amp;P)'!K5827,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27">
        <f>IF(AND('Loan Tape (S&amp;P)'!U5827="Yes",
        'Loan Tape (S&amp;P)'!T5827&lt;&gt;"Yes",
        DATEDIF('Loan Tape (S&amp;P)'!K5827, TODAY(), "M")&lt;18),
    1.10,
    1.00)</f>
        <v/>
      </c>
      <c r="O5827">
        <f>IF('Loan Tape (S&amp;P)'!T5827="Yes",
    1.35,
    1.00)</f>
        <v/>
      </c>
      <c r="P5827">
        <f>IF('Loan Tape (S&amp;P)'!S5827="Yes",
    1.15,
    1.00)</f>
        <v/>
      </c>
      <c r="Q5827">
        <f>IF('Loan Tape (S&amp;P)'!V5827="Yes",
    1.20,
    1.00)</f>
        <v/>
      </c>
      <c r="T5827">
        <f>LET(
    payment_method,'Loan Tape (S&amp;P)'!P5827,
    occupancy,'Loan Tape (S&amp;P)'!N5827,
    maturity_date,'Loan Tape (S&amp;P)'!L5827,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28">
      <c r="J5828">
        <f>LET(
    lien,'Loan Tape (S&amp;P)'!Q5828,
    IF(lien="First",1.00,
        IF(lien="Second",1.50,
            1.70)))</f>
        <v/>
      </c>
      <c r="K5828">
        <f>LET(
    purpose,'Loan Tape (S&amp;P)'!R5828,
    IF(purpose="Purchase",1.00,
        IF(purpose="Remortgage",1.00,
            1.20)))</f>
        <v/>
      </c>
      <c r="L5828">
        <f>LET(
    arrears_months,'Loan Tape (S&amp;P)'!AN5828,
    IF(arrears_months=0,1.00,
    IF(arrears_months=1,3.00,
    IF(arrears_months=2,5.00,
    IF(arrears_months=3,8.00,
    IF(arrears_months=4,10.00,
    IF(arrears_months=5,12.00,15.00)))))))</f>
        <v/>
      </c>
      <c r="M5828">
        <f>LET(
    seasoning_years,DATEDIF('Loan Tape (S&amp;P)'!K5828,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28">
        <f>IF(AND('Loan Tape (S&amp;P)'!U5828="Yes",
        'Loan Tape (S&amp;P)'!T5828&lt;&gt;"Yes",
        DATEDIF('Loan Tape (S&amp;P)'!K5828, TODAY(), "M")&lt;18),
    1.10,
    1.00)</f>
        <v/>
      </c>
      <c r="O5828">
        <f>IF('Loan Tape (S&amp;P)'!T5828="Yes",
    1.35,
    1.00)</f>
        <v/>
      </c>
      <c r="P5828">
        <f>IF('Loan Tape (S&amp;P)'!S5828="Yes",
    1.15,
    1.00)</f>
        <v/>
      </c>
      <c r="Q5828">
        <f>IF('Loan Tape (S&amp;P)'!V5828="Yes",
    1.20,
    1.00)</f>
        <v/>
      </c>
      <c r="T5828">
        <f>LET(
    payment_method,'Loan Tape (S&amp;P)'!P5828,
    occupancy,'Loan Tape (S&amp;P)'!N5828,
    maturity_date,'Loan Tape (S&amp;P)'!L5828,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29">
      <c r="J5829">
        <f>LET(
    lien,'Loan Tape (S&amp;P)'!Q5829,
    IF(lien="First",1.00,
        IF(lien="Second",1.50,
            1.70)))</f>
        <v/>
      </c>
      <c r="K5829">
        <f>LET(
    purpose,'Loan Tape (S&amp;P)'!R5829,
    IF(purpose="Purchase",1.00,
        IF(purpose="Remortgage",1.00,
            1.20)))</f>
        <v/>
      </c>
      <c r="L5829">
        <f>LET(
    arrears_months,'Loan Tape (S&amp;P)'!AN5829,
    IF(arrears_months=0,1.00,
    IF(arrears_months=1,3.00,
    IF(arrears_months=2,5.00,
    IF(arrears_months=3,8.00,
    IF(arrears_months=4,10.00,
    IF(arrears_months=5,12.00,15.00)))))))</f>
        <v/>
      </c>
      <c r="M5829">
        <f>LET(
    seasoning_years,DATEDIF('Loan Tape (S&amp;P)'!K5829,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29">
        <f>IF(AND('Loan Tape (S&amp;P)'!U5829="Yes",
        'Loan Tape (S&amp;P)'!T5829&lt;&gt;"Yes",
        DATEDIF('Loan Tape (S&amp;P)'!K5829, TODAY(), "M")&lt;18),
    1.10,
    1.00)</f>
        <v/>
      </c>
      <c r="O5829">
        <f>IF('Loan Tape (S&amp;P)'!T5829="Yes",
    1.35,
    1.00)</f>
        <v/>
      </c>
      <c r="P5829">
        <f>IF('Loan Tape (S&amp;P)'!S5829="Yes",
    1.15,
    1.00)</f>
        <v/>
      </c>
      <c r="Q5829">
        <f>IF('Loan Tape (S&amp;P)'!V5829="Yes",
    1.20,
    1.00)</f>
        <v/>
      </c>
      <c r="T5829">
        <f>LET(
    payment_method,'Loan Tape (S&amp;P)'!P5829,
    occupancy,'Loan Tape (S&amp;P)'!N5829,
    maturity_date,'Loan Tape (S&amp;P)'!L5829,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30">
      <c r="J5830">
        <f>LET(
    lien,'Loan Tape (S&amp;P)'!Q5830,
    IF(lien="First",1.00,
        IF(lien="Second",1.50,
            1.70)))</f>
        <v/>
      </c>
      <c r="K5830">
        <f>LET(
    purpose,'Loan Tape (S&amp;P)'!R5830,
    IF(purpose="Purchase",1.00,
        IF(purpose="Remortgage",1.00,
            1.20)))</f>
        <v/>
      </c>
      <c r="L5830">
        <f>LET(
    arrears_months,'Loan Tape (S&amp;P)'!AN5830,
    IF(arrears_months=0,1.00,
    IF(arrears_months=1,3.00,
    IF(arrears_months=2,5.00,
    IF(arrears_months=3,8.00,
    IF(arrears_months=4,10.00,
    IF(arrears_months=5,12.00,15.00)))))))</f>
        <v/>
      </c>
      <c r="M5830">
        <f>LET(
    seasoning_years,DATEDIF('Loan Tape (S&amp;P)'!K5830,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30">
        <f>IF(AND('Loan Tape (S&amp;P)'!U5830="Yes",
        'Loan Tape (S&amp;P)'!T5830&lt;&gt;"Yes",
        DATEDIF('Loan Tape (S&amp;P)'!K5830, TODAY(), "M")&lt;18),
    1.10,
    1.00)</f>
        <v/>
      </c>
      <c r="O5830">
        <f>IF('Loan Tape (S&amp;P)'!T5830="Yes",
    1.35,
    1.00)</f>
        <v/>
      </c>
      <c r="P5830">
        <f>IF('Loan Tape (S&amp;P)'!S5830="Yes",
    1.15,
    1.00)</f>
        <v/>
      </c>
      <c r="Q5830">
        <f>IF('Loan Tape (S&amp;P)'!V5830="Yes",
    1.20,
    1.00)</f>
        <v/>
      </c>
      <c r="T5830">
        <f>LET(
    payment_method,'Loan Tape (S&amp;P)'!P5830,
    occupancy,'Loan Tape (S&amp;P)'!N5830,
    maturity_date,'Loan Tape (S&amp;P)'!L5830,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31">
      <c r="J5831">
        <f>LET(
    lien,'Loan Tape (S&amp;P)'!Q5831,
    IF(lien="First",1.00,
        IF(lien="Second",1.50,
            1.70)))</f>
        <v/>
      </c>
      <c r="K5831">
        <f>LET(
    purpose,'Loan Tape (S&amp;P)'!R5831,
    IF(purpose="Purchase",1.00,
        IF(purpose="Remortgage",1.00,
            1.20)))</f>
        <v/>
      </c>
      <c r="L5831">
        <f>LET(
    arrears_months,'Loan Tape (S&amp;P)'!AN5831,
    IF(arrears_months=0,1.00,
    IF(arrears_months=1,3.00,
    IF(arrears_months=2,5.00,
    IF(arrears_months=3,8.00,
    IF(arrears_months=4,10.00,
    IF(arrears_months=5,12.00,15.00)))))))</f>
        <v/>
      </c>
      <c r="M5831">
        <f>LET(
    seasoning_years,DATEDIF('Loan Tape (S&amp;P)'!K5831,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31">
        <f>IF(AND('Loan Tape (S&amp;P)'!U5831="Yes",
        'Loan Tape (S&amp;P)'!T5831&lt;&gt;"Yes",
        DATEDIF('Loan Tape (S&amp;P)'!K5831, TODAY(), "M")&lt;18),
    1.10,
    1.00)</f>
        <v/>
      </c>
      <c r="O5831">
        <f>IF('Loan Tape (S&amp;P)'!T5831="Yes",
    1.35,
    1.00)</f>
        <v/>
      </c>
      <c r="P5831">
        <f>IF('Loan Tape (S&amp;P)'!S5831="Yes",
    1.15,
    1.00)</f>
        <v/>
      </c>
      <c r="Q5831">
        <f>IF('Loan Tape (S&amp;P)'!V5831="Yes",
    1.20,
    1.00)</f>
        <v/>
      </c>
      <c r="T5831">
        <f>LET(
    payment_method,'Loan Tape (S&amp;P)'!P5831,
    occupancy,'Loan Tape (S&amp;P)'!N5831,
    maturity_date,'Loan Tape (S&amp;P)'!L5831,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32">
      <c r="J5832">
        <f>LET(
    lien,'Loan Tape (S&amp;P)'!Q5832,
    IF(lien="First",1.00,
        IF(lien="Second",1.50,
            1.70)))</f>
        <v/>
      </c>
      <c r="K5832">
        <f>LET(
    purpose,'Loan Tape (S&amp;P)'!R5832,
    IF(purpose="Purchase",1.00,
        IF(purpose="Remortgage",1.00,
            1.20)))</f>
        <v/>
      </c>
      <c r="L5832">
        <f>LET(
    arrears_months,'Loan Tape (S&amp;P)'!AN5832,
    IF(arrears_months=0,1.00,
    IF(arrears_months=1,3.00,
    IF(arrears_months=2,5.00,
    IF(arrears_months=3,8.00,
    IF(arrears_months=4,10.00,
    IF(arrears_months=5,12.00,15.00)))))))</f>
        <v/>
      </c>
      <c r="M5832">
        <f>LET(
    seasoning_years,DATEDIF('Loan Tape (S&amp;P)'!K5832,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32">
        <f>IF(AND('Loan Tape (S&amp;P)'!U5832="Yes",
        'Loan Tape (S&amp;P)'!T5832&lt;&gt;"Yes",
        DATEDIF('Loan Tape (S&amp;P)'!K5832, TODAY(), "M")&lt;18),
    1.10,
    1.00)</f>
        <v/>
      </c>
      <c r="O5832">
        <f>IF('Loan Tape (S&amp;P)'!T5832="Yes",
    1.35,
    1.00)</f>
        <v/>
      </c>
      <c r="P5832">
        <f>IF('Loan Tape (S&amp;P)'!S5832="Yes",
    1.15,
    1.00)</f>
        <v/>
      </c>
      <c r="Q5832">
        <f>IF('Loan Tape (S&amp;P)'!V5832="Yes",
    1.20,
    1.00)</f>
        <v/>
      </c>
      <c r="T5832">
        <f>LET(
    payment_method,'Loan Tape (S&amp;P)'!P5832,
    occupancy,'Loan Tape (S&amp;P)'!N5832,
    maturity_date,'Loan Tape (S&amp;P)'!L5832,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33">
      <c r="J5833">
        <f>LET(
    lien,'Loan Tape (S&amp;P)'!Q5833,
    IF(lien="First",1.00,
        IF(lien="Second",1.50,
            1.70)))</f>
        <v/>
      </c>
      <c r="K5833">
        <f>LET(
    purpose,'Loan Tape (S&amp;P)'!R5833,
    IF(purpose="Purchase",1.00,
        IF(purpose="Remortgage",1.00,
            1.20)))</f>
        <v/>
      </c>
      <c r="L5833">
        <f>LET(
    arrears_months,'Loan Tape (S&amp;P)'!AN5833,
    IF(arrears_months=0,1.00,
    IF(arrears_months=1,3.00,
    IF(arrears_months=2,5.00,
    IF(arrears_months=3,8.00,
    IF(arrears_months=4,10.00,
    IF(arrears_months=5,12.00,15.00)))))))</f>
        <v/>
      </c>
      <c r="M5833">
        <f>LET(
    seasoning_years,DATEDIF('Loan Tape (S&amp;P)'!K5833,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33">
        <f>IF(AND('Loan Tape (S&amp;P)'!U5833="Yes",
        'Loan Tape (S&amp;P)'!T5833&lt;&gt;"Yes",
        DATEDIF('Loan Tape (S&amp;P)'!K5833, TODAY(), "M")&lt;18),
    1.10,
    1.00)</f>
        <v/>
      </c>
      <c r="O5833">
        <f>IF('Loan Tape (S&amp;P)'!T5833="Yes",
    1.35,
    1.00)</f>
        <v/>
      </c>
      <c r="P5833">
        <f>IF('Loan Tape (S&amp;P)'!S5833="Yes",
    1.15,
    1.00)</f>
        <v/>
      </c>
      <c r="Q5833">
        <f>IF('Loan Tape (S&amp;P)'!V5833="Yes",
    1.20,
    1.00)</f>
        <v/>
      </c>
      <c r="T5833">
        <f>LET(
    payment_method,'Loan Tape (S&amp;P)'!P5833,
    occupancy,'Loan Tape (S&amp;P)'!N5833,
    maturity_date,'Loan Tape (S&amp;P)'!L5833,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34">
      <c r="J5834">
        <f>LET(
    lien,'Loan Tape (S&amp;P)'!Q5834,
    IF(lien="First",1.00,
        IF(lien="Second",1.50,
            1.70)))</f>
        <v/>
      </c>
      <c r="K5834">
        <f>LET(
    purpose,'Loan Tape (S&amp;P)'!R5834,
    IF(purpose="Purchase",1.00,
        IF(purpose="Remortgage",1.00,
            1.20)))</f>
        <v/>
      </c>
      <c r="L5834">
        <f>LET(
    arrears_months,'Loan Tape (S&amp;P)'!AN5834,
    IF(arrears_months=0,1.00,
    IF(arrears_months=1,3.00,
    IF(arrears_months=2,5.00,
    IF(arrears_months=3,8.00,
    IF(arrears_months=4,10.00,
    IF(arrears_months=5,12.00,15.00)))))))</f>
        <v/>
      </c>
      <c r="M5834">
        <f>LET(
    seasoning_years,DATEDIF('Loan Tape (S&amp;P)'!K5834,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34">
        <f>IF(AND('Loan Tape (S&amp;P)'!U5834="Yes",
        'Loan Tape (S&amp;P)'!T5834&lt;&gt;"Yes",
        DATEDIF('Loan Tape (S&amp;P)'!K5834, TODAY(), "M")&lt;18),
    1.10,
    1.00)</f>
        <v/>
      </c>
      <c r="O5834">
        <f>IF('Loan Tape (S&amp;P)'!T5834="Yes",
    1.35,
    1.00)</f>
        <v/>
      </c>
      <c r="P5834">
        <f>IF('Loan Tape (S&amp;P)'!S5834="Yes",
    1.15,
    1.00)</f>
        <v/>
      </c>
      <c r="Q5834">
        <f>IF('Loan Tape (S&amp;P)'!V5834="Yes",
    1.20,
    1.00)</f>
        <v/>
      </c>
      <c r="T5834">
        <f>LET(
    payment_method,'Loan Tape (S&amp;P)'!P5834,
    occupancy,'Loan Tape (S&amp;P)'!N5834,
    maturity_date,'Loan Tape (S&amp;P)'!L5834,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35">
      <c r="J5835">
        <f>LET(
    lien,'Loan Tape (S&amp;P)'!Q5835,
    IF(lien="First",1.00,
        IF(lien="Second",1.50,
            1.70)))</f>
        <v/>
      </c>
      <c r="K5835">
        <f>LET(
    purpose,'Loan Tape (S&amp;P)'!R5835,
    IF(purpose="Purchase",1.00,
        IF(purpose="Remortgage",1.00,
            1.20)))</f>
        <v/>
      </c>
      <c r="L5835">
        <f>LET(
    arrears_months,'Loan Tape (S&amp;P)'!AN5835,
    IF(arrears_months=0,1.00,
    IF(arrears_months=1,3.00,
    IF(arrears_months=2,5.00,
    IF(arrears_months=3,8.00,
    IF(arrears_months=4,10.00,
    IF(arrears_months=5,12.00,15.00)))))))</f>
        <v/>
      </c>
      <c r="M5835">
        <f>LET(
    seasoning_years,DATEDIF('Loan Tape (S&amp;P)'!K5835,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35">
        <f>IF(AND('Loan Tape (S&amp;P)'!U5835="Yes",
        'Loan Tape (S&amp;P)'!T5835&lt;&gt;"Yes",
        DATEDIF('Loan Tape (S&amp;P)'!K5835, TODAY(), "M")&lt;18),
    1.10,
    1.00)</f>
        <v/>
      </c>
      <c r="O5835">
        <f>IF('Loan Tape (S&amp;P)'!T5835="Yes",
    1.35,
    1.00)</f>
        <v/>
      </c>
      <c r="P5835">
        <f>IF('Loan Tape (S&amp;P)'!S5835="Yes",
    1.15,
    1.00)</f>
        <v/>
      </c>
      <c r="Q5835">
        <f>IF('Loan Tape (S&amp;P)'!V5835="Yes",
    1.20,
    1.00)</f>
        <v/>
      </c>
      <c r="T5835">
        <f>LET(
    payment_method,'Loan Tape (S&amp;P)'!P5835,
    occupancy,'Loan Tape (S&amp;P)'!N5835,
    maturity_date,'Loan Tape (S&amp;P)'!L5835,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36">
      <c r="J5836">
        <f>LET(
    lien,'Loan Tape (S&amp;P)'!Q5836,
    IF(lien="First",1.00,
        IF(lien="Second",1.50,
            1.70)))</f>
        <v/>
      </c>
      <c r="K5836">
        <f>LET(
    purpose,'Loan Tape (S&amp;P)'!R5836,
    IF(purpose="Purchase",1.00,
        IF(purpose="Remortgage",1.00,
            1.20)))</f>
        <v/>
      </c>
      <c r="L5836">
        <f>LET(
    arrears_months,'Loan Tape (S&amp;P)'!AN5836,
    IF(arrears_months=0,1.00,
    IF(arrears_months=1,3.00,
    IF(arrears_months=2,5.00,
    IF(arrears_months=3,8.00,
    IF(arrears_months=4,10.00,
    IF(arrears_months=5,12.00,15.00)))))))</f>
        <v/>
      </c>
      <c r="M5836">
        <f>LET(
    seasoning_years,DATEDIF('Loan Tape (S&amp;P)'!K5836,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36">
        <f>IF(AND('Loan Tape (S&amp;P)'!U5836="Yes",
        'Loan Tape (S&amp;P)'!T5836&lt;&gt;"Yes",
        DATEDIF('Loan Tape (S&amp;P)'!K5836, TODAY(), "M")&lt;18),
    1.10,
    1.00)</f>
        <v/>
      </c>
      <c r="O5836">
        <f>IF('Loan Tape (S&amp;P)'!T5836="Yes",
    1.35,
    1.00)</f>
        <v/>
      </c>
      <c r="P5836">
        <f>IF('Loan Tape (S&amp;P)'!S5836="Yes",
    1.15,
    1.00)</f>
        <v/>
      </c>
      <c r="Q5836">
        <f>IF('Loan Tape (S&amp;P)'!V5836="Yes",
    1.20,
    1.00)</f>
        <v/>
      </c>
      <c r="T5836">
        <f>LET(
    payment_method,'Loan Tape (S&amp;P)'!P5836,
    occupancy,'Loan Tape (S&amp;P)'!N5836,
    maturity_date,'Loan Tape (S&amp;P)'!L5836,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37">
      <c r="J5837">
        <f>LET(
    lien,'Loan Tape (S&amp;P)'!Q5837,
    IF(lien="First",1.00,
        IF(lien="Second",1.50,
            1.70)))</f>
        <v/>
      </c>
      <c r="K5837">
        <f>LET(
    purpose,'Loan Tape (S&amp;P)'!R5837,
    IF(purpose="Purchase",1.00,
        IF(purpose="Remortgage",1.00,
            1.20)))</f>
        <v/>
      </c>
      <c r="L5837">
        <f>LET(
    arrears_months,'Loan Tape (S&amp;P)'!AN5837,
    IF(arrears_months=0,1.00,
    IF(arrears_months=1,3.00,
    IF(arrears_months=2,5.00,
    IF(arrears_months=3,8.00,
    IF(arrears_months=4,10.00,
    IF(arrears_months=5,12.00,15.00)))))))</f>
        <v/>
      </c>
      <c r="M5837">
        <f>LET(
    seasoning_years,DATEDIF('Loan Tape (S&amp;P)'!K5837,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37">
        <f>IF(AND('Loan Tape (S&amp;P)'!U5837="Yes",
        'Loan Tape (S&amp;P)'!T5837&lt;&gt;"Yes",
        DATEDIF('Loan Tape (S&amp;P)'!K5837, TODAY(), "M")&lt;18),
    1.10,
    1.00)</f>
        <v/>
      </c>
      <c r="O5837">
        <f>IF('Loan Tape (S&amp;P)'!T5837="Yes",
    1.35,
    1.00)</f>
        <v/>
      </c>
      <c r="P5837">
        <f>IF('Loan Tape (S&amp;P)'!S5837="Yes",
    1.15,
    1.00)</f>
        <v/>
      </c>
      <c r="Q5837">
        <f>IF('Loan Tape (S&amp;P)'!V5837="Yes",
    1.20,
    1.00)</f>
        <v/>
      </c>
      <c r="T5837">
        <f>LET(
    payment_method,'Loan Tape (S&amp;P)'!P5837,
    occupancy,'Loan Tape (S&amp;P)'!N5837,
    maturity_date,'Loan Tape (S&amp;P)'!L5837,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38">
      <c r="J5838">
        <f>LET(
    lien,'Loan Tape (S&amp;P)'!Q5838,
    IF(lien="First",1.00,
        IF(lien="Second",1.50,
            1.70)))</f>
        <v/>
      </c>
      <c r="K5838">
        <f>LET(
    purpose,'Loan Tape (S&amp;P)'!R5838,
    IF(purpose="Purchase",1.00,
        IF(purpose="Remortgage",1.00,
            1.20)))</f>
        <v/>
      </c>
      <c r="L5838">
        <f>LET(
    arrears_months,'Loan Tape (S&amp;P)'!AN5838,
    IF(arrears_months=0,1.00,
    IF(arrears_months=1,3.00,
    IF(arrears_months=2,5.00,
    IF(arrears_months=3,8.00,
    IF(arrears_months=4,10.00,
    IF(arrears_months=5,12.00,15.00)))))))</f>
        <v/>
      </c>
      <c r="M5838">
        <f>LET(
    seasoning_years,DATEDIF('Loan Tape (S&amp;P)'!K5838,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38">
        <f>IF(AND('Loan Tape (S&amp;P)'!U5838="Yes",
        'Loan Tape (S&amp;P)'!T5838&lt;&gt;"Yes",
        DATEDIF('Loan Tape (S&amp;P)'!K5838, TODAY(), "M")&lt;18),
    1.10,
    1.00)</f>
        <v/>
      </c>
      <c r="O5838">
        <f>IF('Loan Tape (S&amp;P)'!T5838="Yes",
    1.35,
    1.00)</f>
        <v/>
      </c>
      <c r="P5838">
        <f>IF('Loan Tape (S&amp;P)'!S5838="Yes",
    1.15,
    1.00)</f>
        <v/>
      </c>
      <c r="Q5838">
        <f>IF('Loan Tape (S&amp;P)'!V5838="Yes",
    1.20,
    1.00)</f>
        <v/>
      </c>
      <c r="T5838">
        <f>LET(
    payment_method,'Loan Tape (S&amp;P)'!P5838,
    occupancy,'Loan Tape (S&amp;P)'!N5838,
    maturity_date,'Loan Tape (S&amp;P)'!L5838,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39">
      <c r="J5839">
        <f>LET(
    lien,'Loan Tape (S&amp;P)'!Q5839,
    IF(lien="First",1.00,
        IF(lien="Second",1.50,
            1.70)))</f>
        <v/>
      </c>
      <c r="K5839">
        <f>LET(
    purpose,'Loan Tape (S&amp;P)'!R5839,
    IF(purpose="Purchase",1.00,
        IF(purpose="Remortgage",1.00,
            1.20)))</f>
        <v/>
      </c>
      <c r="L5839">
        <f>LET(
    arrears_months,'Loan Tape (S&amp;P)'!AN5839,
    IF(arrears_months=0,1.00,
    IF(arrears_months=1,3.00,
    IF(arrears_months=2,5.00,
    IF(arrears_months=3,8.00,
    IF(arrears_months=4,10.00,
    IF(arrears_months=5,12.00,15.00)))))))</f>
        <v/>
      </c>
      <c r="M5839">
        <f>LET(
    seasoning_years,DATEDIF('Loan Tape (S&amp;P)'!K5839,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39">
        <f>IF(AND('Loan Tape (S&amp;P)'!U5839="Yes",
        'Loan Tape (S&amp;P)'!T5839&lt;&gt;"Yes",
        DATEDIF('Loan Tape (S&amp;P)'!K5839, TODAY(), "M")&lt;18),
    1.10,
    1.00)</f>
        <v/>
      </c>
      <c r="O5839">
        <f>IF('Loan Tape (S&amp;P)'!T5839="Yes",
    1.35,
    1.00)</f>
        <v/>
      </c>
      <c r="P5839">
        <f>IF('Loan Tape (S&amp;P)'!S5839="Yes",
    1.15,
    1.00)</f>
        <v/>
      </c>
      <c r="Q5839">
        <f>IF('Loan Tape (S&amp;P)'!V5839="Yes",
    1.20,
    1.00)</f>
        <v/>
      </c>
      <c r="T5839">
        <f>LET(
    payment_method,'Loan Tape (S&amp;P)'!P5839,
    occupancy,'Loan Tape (S&amp;P)'!N5839,
    maturity_date,'Loan Tape (S&amp;P)'!L5839,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40">
      <c r="J5840">
        <f>LET(
    lien,'Loan Tape (S&amp;P)'!Q5840,
    IF(lien="First",1.00,
        IF(lien="Second",1.50,
            1.70)))</f>
        <v/>
      </c>
      <c r="K5840">
        <f>LET(
    purpose,'Loan Tape (S&amp;P)'!R5840,
    IF(purpose="Purchase",1.00,
        IF(purpose="Remortgage",1.00,
            1.20)))</f>
        <v/>
      </c>
      <c r="L5840">
        <f>LET(
    arrears_months,'Loan Tape (S&amp;P)'!AN5840,
    IF(arrears_months=0,1.00,
    IF(arrears_months=1,3.00,
    IF(arrears_months=2,5.00,
    IF(arrears_months=3,8.00,
    IF(arrears_months=4,10.00,
    IF(arrears_months=5,12.00,15.00)))))))</f>
        <v/>
      </c>
      <c r="M5840">
        <f>LET(
    seasoning_years,DATEDIF('Loan Tape (S&amp;P)'!K5840,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40">
        <f>IF(AND('Loan Tape (S&amp;P)'!U5840="Yes",
        'Loan Tape (S&amp;P)'!T5840&lt;&gt;"Yes",
        DATEDIF('Loan Tape (S&amp;P)'!K5840, TODAY(), "M")&lt;18),
    1.10,
    1.00)</f>
        <v/>
      </c>
      <c r="O5840">
        <f>IF('Loan Tape (S&amp;P)'!T5840="Yes",
    1.35,
    1.00)</f>
        <v/>
      </c>
      <c r="P5840">
        <f>IF('Loan Tape (S&amp;P)'!S5840="Yes",
    1.15,
    1.00)</f>
        <v/>
      </c>
      <c r="Q5840">
        <f>IF('Loan Tape (S&amp;P)'!V5840="Yes",
    1.20,
    1.00)</f>
        <v/>
      </c>
      <c r="T5840">
        <f>LET(
    payment_method,'Loan Tape (S&amp;P)'!P5840,
    occupancy,'Loan Tape (S&amp;P)'!N5840,
    maturity_date,'Loan Tape (S&amp;P)'!L5840,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41">
      <c r="J5841">
        <f>LET(
    lien,'Loan Tape (S&amp;P)'!Q5841,
    IF(lien="First",1.00,
        IF(lien="Second",1.50,
            1.70)))</f>
        <v/>
      </c>
      <c r="K5841">
        <f>LET(
    purpose,'Loan Tape (S&amp;P)'!R5841,
    IF(purpose="Purchase",1.00,
        IF(purpose="Remortgage",1.00,
            1.20)))</f>
        <v/>
      </c>
      <c r="L5841">
        <f>LET(
    arrears_months,'Loan Tape (S&amp;P)'!AN5841,
    IF(arrears_months=0,1.00,
    IF(arrears_months=1,3.00,
    IF(arrears_months=2,5.00,
    IF(arrears_months=3,8.00,
    IF(arrears_months=4,10.00,
    IF(arrears_months=5,12.00,15.00)))))))</f>
        <v/>
      </c>
      <c r="M5841">
        <f>LET(
    seasoning_years,DATEDIF('Loan Tape (S&amp;P)'!K5841,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41">
        <f>IF(AND('Loan Tape (S&amp;P)'!U5841="Yes",
        'Loan Tape (S&amp;P)'!T5841&lt;&gt;"Yes",
        DATEDIF('Loan Tape (S&amp;P)'!K5841, TODAY(), "M")&lt;18),
    1.10,
    1.00)</f>
        <v/>
      </c>
      <c r="O5841">
        <f>IF('Loan Tape (S&amp;P)'!T5841="Yes",
    1.35,
    1.00)</f>
        <v/>
      </c>
      <c r="P5841">
        <f>IF('Loan Tape (S&amp;P)'!S5841="Yes",
    1.15,
    1.00)</f>
        <v/>
      </c>
      <c r="Q5841">
        <f>IF('Loan Tape (S&amp;P)'!V5841="Yes",
    1.20,
    1.00)</f>
        <v/>
      </c>
      <c r="T5841">
        <f>LET(
    payment_method,'Loan Tape (S&amp;P)'!P5841,
    occupancy,'Loan Tape (S&amp;P)'!N5841,
    maturity_date,'Loan Tape (S&amp;P)'!L5841,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42">
      <c r="J5842">
        <f>LET(
    lien,'Loan Tape (S&amp;P)'!Q5842,
    IF(lien="First",1.00,
        IF(lien="Second",1.50,
            1.70)))</f>
        <v/>
      </c>
      <c r="K5842">
        <f>LET(
    purpose,'Loan Tape (S&amp;P)'!R5842,
    IF(purpose="Purchase",1.00,
        IF(purpose="Remortgage",1.00,
            1.20)))</f>
        <v/>
      </c>
      <c r="L5842">
        <f>LET(
    arrears_months,'Loan Tape (S&amp;P)'!AN5842,
    IF(arrears_months=0,1.00,
    IF(arrears_months=1,3.00,
    IF(arrears_months=2,5.00,
    IF(arrears_months=3,8.00,
    IF(arrears_months=4,10.00,
    IF(arrears_months=5,12.00,15.00)))))))</f>
        <v/>
      </c>
      <c r="M5842">
        <f>LET(
    seasoning_years,DATEDIF('Loan Tape (S&amp;P)'!K5842,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42">
        <f>IF(AND('Loan Tape (S&amp;P)'!U5842="Yes",
        'Loan Tape (S&amp;P)'!T5842&lt;&gt;"Yes",
        DATEDIF('Loan Tape (S&amp;P)'!K5842, TODAY(), "M")&lt;18),
    1.10,
    1.00)</f>
        <v/>
      </c>
      <c r="O5842">
        <f>IF('Loan Tape (S&amp;P)'!T5842="Yes",
    1.35,
    1.00)</f>
        <v/>
      </c>
      <c r="P5842">
        <f>IF('Loan Tape (S&amp;P)'!S5842="Yes",
    1.15,
    1.00)</f>
        <v/>
      </c>
      <c r="Q5842">
        <f>IF('Loan Tape (S&amp;P)'!V5842="Yes",
    1.20,
    1.00)</f>
        <v/>
      </c>
      <c r="T5842">
        <f>LET(
    payment_method,'Loan Tape (S&amp;P)'!P5842,
    occupancy,'Loan Tape (S&amp;P)'!N5842,
    maturity_date,'Loan Tape (S&amp;P)'!L5842,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43">
      <c r="J5843">
        <f>LET(
    lien,'Loan Tape (S&amp;P)'!Q5843,
    IF(lien="First",1.00,
        IF(lien="Second",1.50,
            1.70)))</f>
        <v/>
      </c>
      <c r="K5843">
        <f>LET(
    purpose,'Loan Tape (S&amp;P)'!R5843,
    IF(purpose="Purchase",1.00,
        IF(purpose="Remortgage",1.00,
            1.20)))</f>
        <v/>
      </c>
      <c r="L5843">
        <f>LET(
    arrears_months,'Loan Tape (S&amp;P)'!AN5843,
    IF(arrears_months=0,1.00,
    IF(arrears_months=1,3.00,
    IF(arrears_months=2,5.00,
    IF(arrears_months=3,8.00,
    IF(arrears_months=4,10.00,
    IF(arrears_months=5,12.00,15.00)))))))</f>
        <v/>
      </c>
      <c r="M5843">
        <f>LET(
    seasoning_years,DATEDIF('Loan Tape (S&amp;P)'!K5843,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43">
        <f>IF(AND('Loan Tape (S&amp;P)'!U5843="Yes",
        'Loan Tape (S&amp;P)'!T5843&lt;&gt;"Yes",
        DATEDIF('Loan Tape (S&amp;P)'!K5843, TODAY(), "M")&lt;18),
    1.10,
    1.00)</f>
        <v/>
      </c>
      <c r="O5843">
        <f>IF('Loan Tape (S&amp;P)'!T5843="Yes",
    1.35,
    1.00)</f>
        <v/>
      </c>
      <c r="P5843">
        <f>IF('Loan Tape (S&amp;P)'!S5843="Yes",
    1.15,
    1.00)</f>
        <v/>
      </c>
      <c r="Q5843">
        <f>IF('Loan Tape (S&amp;P)'!V5843="Yes",
    1.20,
    1.00)</f>
        <v/>
      </c>
      <c r="T5843">
        <f>LET(
    payment_method,'Loan Tape (S&amp;P)'!P5843,
    occupancy,'Loan Tape (S&amp;P)'!N5843,
    maturity_date,'Loan Tape (S&amp;P)'!L5843,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44">
      <c r="J5844">
        <f>LET(
    lien,'Loan Tape (S&amp;P)'!Q5844,
    IF(lien="First",1.00,
        IF(lien="Second",1.50,
            1.70)))</f>
        <v/>
      </c>
      <c r="K5844">
        <f>LET(
    purpose,'Loan Tape (S&amp;P)'!R5844,
    IF(purpose="Purchase",1.00,
        IF(purpose="Remortgage",1.00,
            1.20)))</f>
        <v/>
      </c>
      <c r="L5844">
        <f>LET(
    arrears_months,'Loan Tape (S&amp;P)'!AN5844,
    IF(arrears_months=0,1.00,
    IF(arrears_months=1,3.00,
    IF(arrears_months=2,5.00,
    IF(arrears_months=3,8.00,
    IF(arrears_months=4,10.00,
    IF(arrears_months=5,12.00,15.00)))))))</f>
        <v/>
      </c>
      <c r="M5844">
        <f>LET(
    seasoning_years,DATEDIF('Loan Tape (S&amp;P)'!K5844,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44">
        <f>IF(AND('Loan Tape (S&amp;P)'!U5844="Yes",
        'Loan Tape (S&amp;P)'!T5844&lt;&gt;"Yes",
        DATEDIF('Loan Tape (S&amp;P)'!K5844, TODAY(), "M")&lt;18),
    1.10,
    1.00)</f>
        <v/>
      </c>
      <c r="O5844">
        <f>IF('Loan Tape (S&amp;P)'!T5844="Yes",
    1.35,
    1.00)</f>
        <v/>
      </c>
      <c r="P5844">
        <f>IF('Loan Tape (S&amp;P)'!S5844="Yes",
    1.15,
    1.00)</f>
        <v/>
      </c>
      <c r="Q5844">
        <f>IF('Loan Tape (S&amp;P)'!V5844="Yes",
    1.20,
    1.00)</f>
        <v/>
      </c>
      <c r="T5844">
        <f>LET(
    payment_method,'Loan Tape (S&amp;P)'!P5844,
    occupancy,'Loan Tape (S&amp;P)'!N5844,
    maturity_date,'Loan Tape (S&amp;P)'!L5844,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45">
      <c r="J5845">
        <f>LET(
    lien,'Loan Tape (S&amp;P)'!Q5845,
    IF(lien="First",1.00,
        IF(lien="Second",1.50,
            1.70)))</f>
        <v/>
      </c>
      <c r="K5845">
        <f>LET(
    purpose,'Loan Tape (S&amp;P)'!R5845,
    IF(purpose="Purchase",1.00,
        IF(purpose="Remortgage",1.00,
            1.20)))</f>
        <v/>
      </c>
      <c r="L5845">
        <f>LET(
    arrears_months,'Loan Tape (S&amp;P)'!AN5845,
    IF(arrears_months=0,1.00,
    IF(arrears_months=1,3.00,
    IF(arrears_months=2,5.00,
    IF(arrears_months=3,8.00,
    IF(arrears_months=4,10.00,
    IF(arrears_months=5,12.00,15.00)))))))</f>
        <v/>
      </c>
      <c r="M5845">
        <f>LET(
    seasoning_years,DATEDIF('Loan Tape (S&amp;P)'!K5845,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45">
        <f>IF(AND('Loan Tape (S&amp;P)'!U5845="Yes",
        'Loan Tape (S&amp;P)'!T5845&lt;&gt;"Yes",
        DATEDIF('Loan Tape (S&amp;P)'!K5845, TODAY(), "M")&lt;18),
    1.10,
    1.00)</f>
        <v/>
      </c>
      <c r="O5845">
        <f>IF('Loan Tape (S&amp;P)'!T5845="Yes",
    1.35,
    1.00)</f>
        <v/>
      </c>
      <c r="P5845">
        <f>IF('Loan Tape (S&amp;P)'!S5845="Yes",
    1.15,
    1.00)</f>
        <v/>
      </c>
      <c r="Q5845">
        <f>IF('Loan Tape (S&amp;P)'!V5845="Yes",
    1.20,
    1.00)</f>
        <v/>
      </c>
      <c r="T5845">
        <f>LET(
    payment_method,'Loan Tape (S&amp;P)'!P5845,
    occupancy,'Loan Tape (S&amp;P)'!N5845,
    maturity_date,'Loan Tape (S&amp;P)'!L5845,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46">
      <c r="J5846">
        <f>LET(
    lien,'Loan Tape (S&amp;P)'!Q5846,
    IF(lien="First",1.00,
        IF(lien="Second",1.50,
            1.70)))</f>
        <v/>
      </c>
      <c r="K5846">
        <f>LET(
    purpose,'Loan Tape (S&amp;P)'!R5846,
    IF(purpose="Purchase",1.00,
        IF(purpose="Remortgage",1.00,
            1.20)))</f>
        <v/>
      </c>
      <c r="L5846">
        <f>LET(
    arrears_months,'Loan Tape (S&amp;P)'!AN5846,
    IF(arrears_months=0,1.00,
    IF(arrears_months=1,3.00,
    IF(arrears_months=2,5.00,
    IF(arrears_months=3,8.00,
    IF(arrears_months=4,10.00,
    IF(arrears_months=5,12.00,15.00)))))))</f>
        <v/>
      </c>
      <c r="M5846">
        <f>LET(
    seasoning_years,DATEDIF('Loan Tape (S&amp;P)'!K5846,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46">
        <f>IF(AND('Loan Tape (S&amp;P)'!U5846="Yes",
        'Loan Tape (S&amp;P)'!T5846&lt;&gt;"Yes",
        DATEDIF('Loan Tape (S&amp;P)'!K5846, TODAY(), "M")&lt;18),
    1.10,
    1.00)</f>
        <v/>
      </c>
      <c r="O5846">
        <f>IF('Loan Tape (S&amp;P)'!T5846="Yes",
    1.35,
    1.00)</f>
        <v/>
      </c>
      <c r="P5846">
        <f>IF('Loan Tape (S&amp;P)'!S5846="Yes",
    1.15,
    1.00)</f>
        <v/>
      </c>
      <c r="Q5846">
        <f>IF('Loan Tape (S&amp;P)'!V5846="Yes",
    1.20,
    1.00)</f>
        <v/>
      </c>
      <c r="T5846">
        <f>LET(
    payment_method,'Loan Tape (S&amp;P)'!P5846,
    occupancy,'Loan Tape (S&amp;P)'!N5846,
    maturity_date,'Loan Tape (S&amp;P)'!L5846,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47">
      <c r="J5847">
        <f>LET(
    lien,'Loan Tape (S&amp;P)'!Q5847,
    IF(lien="First",1.00,
        IF(lien="Second",1.50,
            1.70)))</f>
        <v/>
      </c>
      <c r="K5847">
        <f>LET(
    purpose,'Loan Tape (S&amp;P)'!R5847,
    IF(purpose="Purchase",1.00,
        IF(purpose="Remortgage",1.00,
            1.20)))</f>
        <v/>
      </c>
      <c r="L5847">
        <f>LET(
    arrears_months,'Loan Tape (S&amp;P)'!AN5847,
    IF(arrears_months=0,1.00,
    IF(arrears_months=1,3.00,
    IF(arrears_months=2,5.00,
    IF(arrears_months=3,8.00,
    IF(arrears_months=4,10.00,
    IF(arrears_months=5,12.00,15.00)))))))</f>
        <v/>
      </c>
      <c r="M5847">
        <f>LET(
    seasoning_years,DATEDIF('Loan Tape (S&amp;P)'!K5847,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47">
        <f>IF(AND('Loan Tape (S&amp;P)'!U5847="Yes",
        'Loan Tape (S&amp;P)'!T5847&lt;&gt;"Yes",
        DATEDIF('Loan Tape (S&amp;P)'!K5847, TODAY(), "M")&lt;18),
    1.10,
    1.00)</f>
        <v/>
      </c>
      <c r="O5847">
        <f>IF('Loan Tape (S&amp;P)'!T5847="Yes",
    1.35,
    1.00)</f>
        <v/>
      </c>
      <c r="P5847">
        <f>IF('Loan Tape (S&amp;P)'!S5847="Yes",
    1.15,
    1.00)</f>
        <v/>
      </c>
      <c r="Q5847">
        <f>IF('Loan Tape (S&amp;P)'!V5847="Yes",
    1.20,
    1.00)</f>
        <v/>
      </c>
      <c r="T5847">
        <f>LET(
    payment_method,'Loan Tape (S&amp;P)'!P5847,
    occupancy,'Loan Tape (S&amp;P)'!N5847,
    maturity_date,'Loan Tape (S&amp;P)'!L5847,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48">
      <c r="J5848">
        <f>LET(
    lien,'Loan Tape (S&amp;P)'!Q5848,
    IF(lien="First",1.00,
        IF(lien="Second",1.50,
            1.70)))</f>
        <v/>
      </c>
      <c r="K5848">
        <f>LET(
    purpose,'Loan Tape (S&amp;P)'!R5848,
    IF(purpose="Purchase",1.00,
        IF(purpose="Remortgage",1.00,
            1.20)))</f>
        <v/>
      </c>
      <c r="L5848">
        <f>LET(
    arrears_months,'Loan Tape (S&amp;P)'!AN5848,
    IF(arrears_months=0,1.00,
    IF(arrears_months=1,3.00,
    IF(arrears_months=2,5.00,
    IF(arrears_months=3,8.00,
    IF(arrears_months=4,10.00,
    IF(arrears_months=5,12.00,15.00)))))))</f>
        <v/>
      </c>
      <c r="M5848">
        <f>LET(
    seasoning_years,DATEDIF('Loan Tape (S&amp;P)'!K5848,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48">
        <f>IF(AND('Loan Tape (S&amp;P)'!U5848="Yes",
        'Loan Tape (S&amp;P)'!T5848&lt;&gt;"Yes",
        DATEDIF('Loan Tape (S&amp;P)'!K5848, TODAY(), "M")&lt;18),
    1.10,
    1.00)</f>
        <v/>
      </c>
      <c r="O5848">
        <f>IF('Loan Tape (S&amp;P)'!T5848="Yes",
    1.35,
    1.00)</f>
        <v/>
      </c>
      <c r="P5848">
        <f>IF('Loan Tape (S&amp;P)'!S5848="Yes",
    1.15,
    1.00)</f>
        <v/>
      </c>
      <c r="Q5848">
        <f>IF('Loan Tape (S&amp;P)'!V5848="Yes",
    1.20,
    1.00)</f>
        <v/>
      </c>
      <c r="T5848">
        <f>LET(
    payment_method,'Loan Tape (S&amp;P)'!P5848,
    occupancy,'Loan Tape (S&amp;P)'!N5848,
    maturity_date,'Loan Tape (S&amp;P)'!L5848,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49">
      <c r="J5849">
        <f>LET(
    lien,'Loan Tape (S&amp;P)'!Q5849,
    IF(lien="First",1.00,
        IF(lien="Second",1.50,
            1.70)))</f>
        <v/>
      </c>
      <c r="K5849">
        <f>LET(
    purpose,'Loan Tape (S&amp;P)'!R5849,
    IF(purpose="Purchase",1.00,
        IF(purpose="Remortgage",1.00,
            1.20)))</f>
        <v/>
      </c>
      <c r="L5849">
        <f>LET(
    arrears_months,'Loan Tape (S&amp;P)'!AN5849,
    IF(arrears_months=0,1.00,
    IF(arrears_months=1,3.00,
    IF(arrears_months=2,5.00,
    IF(arrears_months=3,8.00,
    IF(arrears_months=4,10.00,
    IF(arrears_months=5,12.00,15.00)))))))</f>
        <v/>
      </c>
      <c r="M5849">
        <f>LET(
    seasoning_years,DATEDIF('Loan Tape (S&amp;P)'!K5849,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49">
        <f>IF(AND('Loan Tape (S&amp;P)'!U5849="Yes",
        'Loan Tape (S&amp;P)'!T5849&lt;&gt;"Yes",
        DATEDIF('Loan Tape (S&amp;P)'!K5849, TODAY(), "M")&lt;18),
    1.10,
    1.00)</f>
        <v/>
      </c>
      <c r="O5849">
        <f>IF('Loan Tape (S&amp;P)'!T5849="Yes",
    1.35,
    1.00)</f>
        <v/>
      </c>
      <c r="P5849">
        <f>IF('Loan Tape (S&amp;P)'!S5849="Yes",
    1.15,
    1.00)</f>
        <v/>
      </c>
      <c r="Q5849">
        <f>IF('Loan Tape (S&amp;P)'!V5849="Yes",
    1.20,
    1.00)</f>
        <v/>
      </c>
      <c r="T5849">
        <f>LET(
    payment_method,'Loan Tape (S&amp;P)'!P5849,
    occupancy,'Loan Tape (S&amp;P)'!N5849,
    maturity_date,'Loan Tape (S&amp;P)'!L5849,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50">
      <c r="J5850">
        <f>LET(
    lien,'Loan Tape (S&amp;P)'!Q5850,
    IF(lien="First",1.00,
        IF(lien="Second",1.50,
            1.70)))</f>
        <v/>
      </c>
      <c r="K5850">
        <f>LET(
    purpose,'Loan Tape (S&amp;P)'!R5850,
    IF(purpose="Purchase",1.00,
        IF(purpose="Remortgage",1.00,
            1.20)))</f>
        <v/>
      </c>
      <c r="L5850">
        <f>LET(
    arrears_months,'Loan Tape (S&amp;P)'!AN5850,
    IF(arrears_months=0,1.00,
    IF(arrears_months=1,3.00,
    IF(arrears_months=2,5.00,
    IF(arrears_months=3,8.00,
    IF(arrears_months=4,10.00,
    IF(arrears_months=5,12.00,15.00)))))))</f>
        <v/>
      </c>
      <c r="M5850">
        <f>LET(
    seasoning_years,DATEDIF('Loan Tape (S&amp;P)'!K5850,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50">
        <f>IF(AND('Loan Tape (S&amp;P)'!U5850="Yes",
        'Loan Tape (S&amp;P)'!T5850&lt;&gt;"Yes",
        DATEDIF('Loan Tape (S&amp;P)'!K5850, TODAY(), "M")&lt;18),
    1.10,
    1.00)</f>
        <v/>
      </c>
      <c r="O5850">
        <f>IF('Loan Tape (S&amp;P)'!T5850="Yes",
    1.35,
    1.00)</f>
        <v/>
      </c>
      <c r="P5850">
        <f>IF('Loan Tape (S&amp;P)'!S5850="Yes",
    1.15,
    1.00)</f>
        <v/>
      </c>
      <c r="Q5850">
        <f>IF('Loan Tape (S&amp;P)'!V5850="Yes",
    1.20,
    1.00)</f>
        <v/>
      </c>
      <c r="T5850">
        <f>LET(
    payment_method,'Loan Tape (S&amp;P)'!P5850,
    occupancy,'Loan Tape (S&amp;P)'!N5850,
    maturity_date,'Loan Tape (S&amp;P)'!L5850,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51">
      <c r="J5851">
        <f>LET(
    lien,'Loan Tape (S&amp;P)'!Q5851,
    IF(lien="First",1.00,
        IF(lien="Second",1.50,
            1.70)))</f>
        <v/>
      </c>
      <c r="K5851">
        <f>LET(
    purpose,'Loan Tape (S&amp;P)'!R5851,
    IF(purpose="Purchase",1.00,
        IF(purpose="Remortgage",1.00,
            1.20)))</f>
        <v/>
      </c>
      <c r="L5851">
        <f>LET(
    arrears_months,'Loan Tape (S&amp;P)'!AN5851,
    IF(arrears_months=0,1.00,
    IF(arrears_months=1,3.00,
    IF(arrears_months=2,5.00,
    IF(arrears_months=3,8.00,
    IF(arrears_months=4,10.00,
    IF(arrears_months=5,12.00,15.00)))))))</f>
        <v/>
      </c>
      <c r="M5851">
        <f>LET(
    seasoning_years,DATEDIF('Loan Tape (S&amp;P)'!K5851,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51">
        <f>IF(AND('Loan Tape (S&amp;P)'!U5851="Yes",
        'Loan Tape (S&amp;P)'!T5851&lt;&gt;"Yes",
        DATEDIF('Loan Tape (S&amp;P)'!K5851, TODAY(), "M")&lt;18),
    1.10,
    1.00)</f>
        <v/>
      </c>
      <c r="O5851">
        <f>IF('Loan Tape (S&amp;P)'!T5851="Yes",
    1.35,
    1.00)</f>
        <v/>
      </c>
      <c r="P5851">
        <f>IF('Loan Tape (S&amp;P)'!S5851="Yes",
    1.15,
    1.00)</f>
        <v/>
      </c>
      <c r="Q5851">
        <f>IF('Loan Tape (S&amp;P)'!V5851="Yes",
    1.20,
    1.00)</f>
        <v/>
      </c>
      <c r="T5851">
        <f>LET(
    payment_method,'Loan Tape (S&amp;P)'!P5851,
    occupancy,'Loan Tape (S&amp;P)'!N5851,
    maturity_date,'Loan Tape (S&amp;P)'!L5851,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52">
      <c r="J5852">
        <f>LET(
    lien,'Loan Tape (S&amp;P)'!Q5852,
    IF(lien="First",1.00,
        IF(lien="Second",1.50,
            1.70)))</f>
        <v/>
      </c>
      <c r="K5852">
        <f>LET(
    purpose,'Loan Tape (S&amp;P)'!R5852,
    IF(purpose="Purchase",1.00,
        IF(purpose="Remortgage",1.00,
            1.20)))</f>
        <v/>
      </c>
      <c r="L5852">
        <f>LET(
    arrears_months,'Loan Tape (S&amp;P)'!AN5852,
    IF(arrears_months=0,1.00,
    IF(arrears_months=1,3.00,
    IF(arrears_months=2,5.00,
    IF(arrears_months=3,8.00,
    IF(arrears_months=4,10.00,
    IF(arrears_months=5,12.00,15.00)))))))</f>
        <v/>
      </c>
      <c r="M5852">
        <f>LET(
    seasoning_years,DATEDIF('Loan Tape (S&amp;P)'!K5852,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52">
        <f>IF(AND('Loan Tape (S&amp;P)'!U5852="Yes",
        'Loan Tape (S&amp;P)'!T5852&lt;&gt;"Yes",
        DATEDIF('Loan Tape (S&amp;P)'!K5852, TODAY(), "M")&lt;18),
    1.10,
    1.00)</f>
        <v/>
      </c>
      <c r="O5852">
        <f>IF('Loan Tape (S&amp;P)'!T5852="Yes",
    1.35,
    1.00)</f>
        <v/>
      </c>
      <c r="P5852">
        <f>IF('Loan Tape (S&amp;P)'!S5852="Yes",
    1.15,
    1.00)</f>
        <v/>
      </c>
      <c r="Q5852">
        <f>IF('Loan Tape (S&amp;P)'!V5852="Yes",
    1.20,
    1.00)</f>
        <v/>
      </c>
      <c r="T5852">
        <f>LET(
    payment_method,'Loan Tape (S&amp;P)'!P5852,
    occupancy,'Loan Tape (S&amp;P)'!N5852,
    maturity_date,'Loan Tape (S&amp;P)'!L5852,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53">
      <c r="J5853">
        <f>LET(
    lien,'Loan Tape (S&amp;P)'!Q5853,
    IF(lien="First",1.00,
        IF(lien="Second",1.50,
            1.70)))</f>
        <v/>
      </c>
      <c r="K5853">
        <f>LET(
    purpose,'Loan Tape (S&amp;P)'!R5853,
    IF(purpose="Purchase",1.00,
        IF(purpose="Remortgage",1.00,
            1.20)))</f>
        <v/>
      </c>
      <c r="L5853">
        <f>LET(
    arrears_months,'Loan Tape (S&amp;P)'!AN5853,
    IF(arrears_months=0,1.00,
    IF(arrears_months=1,3.00,
    IF(arrears_months=2,5.00,
    IF(arrears_months=3,8.00,
    IF(arrears_months=4,10.00,
    IF(arrears_months=5,12.00,15.00)))))))</f>
        <v/>
      </c>
      <c r="M5853">
        <f>LET(
    seasoning_years,DATEDIF('Loan Tape (S&amp;P)'!K5853,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53">
        <f>IF(AND('Loan Tape (S&amp;P)'!U5853="Yes",
        'Loan Tape (S&amp;P)'!T5853&lt;&gt;"Yes",
        DATEDIF('Loan Tape (S&amp;P)'!K5853, TODAY(), "M")&lt;18),
    1.10,
    1.00)</f>
        <v/>
      </c>
      <c r="O5853">
        <f>IF('Loan Tape (S&amp;P)'!T5853="Yes",
    1.35,
    1.00)</f>
        <v/>
      </c>
      <c r="P5853">
        <f>IF('Loan Tape (S&amp;P)'!S5853="Yes",
    1.15,
    1.00)</f>
        <v/>
      </c>
      <c r="Q5853">
        <f>IF('Loan Tape (S&amp;P)'!V5853="Yes",
    1.20,
    1.00)</f>
        <v/>
      </c>
      <c r="T5853">
        <f>LET(
    payment_method,'Loan Tape (S&amp;P)'!P5853,
    occupancy,'Loan Tape (S&amp;P)'!N5853,
    maturity_date,'Loan Tape (S&amp;P)'!L5853,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54">
      <c r="J5854">
        <f>LET(
    lien,'Loan Tape (S&amp;P)'!Q5854,
    IF(lien="First",1.00,
        IF(lien="Second",1.50,
            1.70)))</f>
        <v/>
      </c>
      <c r="K5854">
        <f>LET(
    purpose,'Loan Tape (S&amp;P)'!R5854,
    IF(purpose="Purchase",1.00,
        IF(purpose="Remortgage",1.00,
            1.20)))</f>
        <v/>
      </c>
      <c r="L5854">
        <f>LET(
    arrears_months,'Loan Tape (S&amp;P)'!AN5854,
    IF(arrears_months=0,1.00,
    IF(arrears_months=1,3.00,
    IF(arrears_months=2,5.00,
    IF(arrears_months=3,8.00,
    IF(arrears_months=4,10.00,
    IF(arrears_months=5,12.00,15.00)))))))</f>
        <v/>
      </c>
      <c r="M5854">
        <f>LET(
    seasoning_years,DATEDIF('Loan Tape (S&amp;P)'!K5854,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54">
        <f>IF(AND('Loan Tape (S&amp;P)'!U5854="Yes",
        'Loan Tape (S&amp;P)'!T5854&lt;&gt;"Yes",
        DATEDIF('Loan Tape (S&amp;P)'!K5854, TODAY(), "M")&lt;18),
    1.10,
    1.00)</f>
        <v/>
      </c>
      <c r="O5854">
        <f>IF('Loan Tape (S&amp;P)'!T5854="Yes",
    1.35,
    1.00)</f>
        <v/>
      </c>
      <c r="P5854">
        <f>IF('Loan Tape (S&amp;P)'!S5854="Yes",
    1.15,
    1.00)</f>
        <v/>
      </c>
      <c r="Q5854">
        <f>IF('Loan Tape (S&amp;P)'!V5854="Yes",
    1.20,
    1.00)</f>
        <v/>
      </c>
      <c r="T5854">
        <f>LET(
    payment_method,'Loan Tape (S&amp;P)'!P5854,
    occupancy,'Loan Tape (S&amp;P)'!N5854,
    maturity_date,'Loan Tape (S&amp;P)'!L5854,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55">
      <c r="J5855">
        <f>LET(
    lien,'Loan Tape (S&amp;P)'!Q5855,
    IF(lien="First",1.00,
        IF(lien="Second",1.50,
            1.70)))</f>
        <v/>
      </c>
      <c r="K5855">
        <f>LET(
    purpose,'Loan Tape (S&amp;P)'!R5855,
    IF(purpose="Purchase",1.00,
        IF(purpose="Remortgage",1.00,
            1.20)))</f>
        <v/>
      </c>
      <c r="L5855">
        <f>LET(
    arrears_months,'Loan Tape (S&amp;P)'!AN5855,
    IF(arrears_months=0,1.00,
    IF(arrears_months=1,3.00,
    IF(arrears_months=2,5.00,
    IF(arrears_months=3,8.00,
    IF(arrears_months=4,10.00,
    IF(arrears_months=5,12.00,15.00)))))))</f>
        <v/>
      </c>
      <c r="M5855">
        <f>LET(
    seasoning_years,DATEDIF('Loan Tape (S&amp;P)'!K5855,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55">
        <f>IF(AND('Loan Tape (S&amp;P)'!U5855="Yes",
        'Loan Tape (S&amp;P)'!T5855&lt;&gt;"Yes",
        DATEDIF('Loan Tape (S&amp;P)'!K5855, TODAY(), "M")&lt;18),
    1.10,
    1.00)</f>
        <v/>
      </c>
      <c r="O5855">
        <f>IF('Loan Tape (S&amp;P)'!T5855="Yes",
    1.35,
    1.00)</f>
        <v/>
      </c>
      <c r="P5855">
        <f>IF('Loan Tape (S&amp;P)'!S5855="Yes",
    1.15,
    1.00)</f>
        <v/>
      </c>
      <c r="Q5855">
        <f>IF('Loan Tape (S&amp;P)'!V5855="Yes",
    1.20,
    1.00)</f>
        <v/>
      </c>
      <c r="T5855">
        <f>LET(
    payment_method,'Loan Tape (S&amp;P)'!P5855,
    occupancy,'Loan Tape (S&amp;P)'!N5855,
    maturity_date,'Loan Tape (S&amp;P)'!L5855,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56">
      <c r="J5856">
        <f>LET(
    lien,'Loan Tape (S&amp;P)'!Q5856,
    IF(lien="First",1.00,
        IF(lien="Second",1.50,
            1.70)))</f>
        <v/>
      </c>
      <c r="K5856">
        <f>LET(
    purpose,'Loan Tape (S&amp;P)'!R5856,
    IF(purpose="Purchase",1.00,
        IF(purpose="Remortgage",1.00,
            1.20)))</f>
        <v/>
      </c>
      <c r="L5856">
        <f>LET(
    arrears_months,'Loan Tape (S&amp;P)'!AN5856,
    IF(arrears_months=0,1.00,
    IF(arrears_months=1,3.00,
    IF(arrears_months=2,5.00,
    IF(arrears_months=3,8.00,
    IF(arrears_months=4,10.00,
    IF(arrears_months=5,12.00,15.00)))))))</f>
        <v/>
      </c>
      <c r="M5856">
        <f>LET(
    seasoning_years,DATEDIF('Loan Tape (S&amp;P)'!K5856,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56">
        <f>IF(AND('Loan Tape (S&amp;P)'!U5856="Yes",
        'Loan Tape (S&amp;P)'!T5856&lt;&gt;"Yes",
        DATEDIF('Loan Tape (S&amp;P)'!K5856, TODAY(), "M")&lt;18),
    1.10,
    1.00)</f>
        <v/>
      </c>
      <c r="O5856">
        <f>IF('Loan Tape (S&amp;P)'!T5856="Yes",
    1.35,
    1.00)</f>
        <v/>
      </c>
      <c r="P5856">
        <f>IF('Loan Tape (S&amp;P)'!S5856="Yes",
    1.15,
    1.00)</f>
        <v/>
      </c>
      <c r="Q5856">
        <f>IF('Loan Tape (S&amp;P)'!V5856="Yes",
    1.20,
    1.00)</f>
        <v/>
      </c>
      <c r="T5856">
        <f>LET(
    payment_method,'Loan Tape (S&amp;P)'!P5856,
    occupancy,'Loan Tape (S&amp;P)'!N5856,
    maturity_date,'Loan Tape (S&amp;P)'!L5856,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57">
      <c r="J5857">
        <f>LET(
    lien,'Loan Tape (S&amp;P)'!Q5857,
    IF(lien="First",1.00,
        IF(lien="Second",1.50,
            1.70)))</f>
        <v/>
      </c>
      <c r="K5857">
        <f>LET(
    purpose,'Loan Tape (S&amp;P)'!R5857,
    IF(purpose="Purchase",1.00,
        IF(purpose="Remortgage",1.00,
            1.20)))</f>
        <v/>
      </c>
      <c r="L5857">
        <f>LET(
    arrears_months,'Loan Tape (S&amp;P)'!AN5857,
    IF(arrears_months=0,1.00,
    IF(arrears_months=1,3.00,
    IF(arrears_months=2,5.00,
    IF(arrears_months=3,8.00,
    IF(arrears_months=4,10.00,
    IF(arrears_months=5,12.00,15.00)))))))</f>
        <v/>
      </c>
      <c r="M5857">
        <f>LET(
    seasoning_years,DATEDIF('Loan Tape (S&amp;P)'!K5857,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57">
        <f>IF(AND('Loan Tape (S&amp;P)'!U5857="Yes",
        'Loan Tape (S&amp;P)'!T5857&lt;&gt;"Yes",
        DATEDIF('Loan Tape (S&amp;P)'!K5857, TODAY(), "M")&lt;18),
    1.10,
    1.00)</f>
        <v/>
      </c>
      <c r="O5857">
        <f>IF('Loan Tape (S&amp;P)'!T5857="Yes",
    1.35,
    1.00)</f>
        <v/>
      </c>
      <c r="P5857">
        <f>IF('Loan Tape (S&amp;P)'!S5857="Yes",
    1.15,
    1.00)</f>
        <v/>
      </c>
      <c r="Q5857">
        <f>IF('Loan Tape (S&amp;P)'!V5857="Yes",
    1.20,
    1.00)</f>
        <v/>
      </c>
      <c r="T5857">
        <f>LET(
    payment_method,'Loan Tape (S&amp;P)'!P5857,
    occupancy,'Loan Tape (S&amp;P)'!N5857,
    maturity_date,'Loan Tape (S&amp;P)'!L5857,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58">
      <c r="J5858">
        <f>LET(
    lien,'Loan Tape (S&amp;P)'!Q5858,
    IF(lien="First",1.00,
        IF(lien="Second",1.50,
            1.70)))</f>
        <v/>
      </c>
      <c r="K5858">
        <f>LET(
    purpose,'Loan Tape (S&amp;P)'!R5858,
    IF(purpose="Purchase",1.00,
        IF(purpose="Remortgage",1.00,
            1.20)))</f>
        <v/>
      </c>
      <c r="L5858">
        <f>LET(
    arrears_months,'Loan Tape (S&amp;P)'!AN5858,
    IF(arrears_months=0,1.00,
    IF(arrears_months=1,3.00,
    IF(arrears_months=2,5.00,
    IF(arrears_months=3,8.00,
    IF(arrears_months=4,10.00,
    IF(arrears_months=5,12.00,15.00)))))))</f>
        <v/>
      </c>
      <c r="M5858">
        <f>LET(
    seasoning_years,DATEDIF('Loan Tape (S&amp;P)'!K5858,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58">
        <f>IF(AND('Loan Tape (S&amp;P)'!U5858="Yes",
        'Loan Tape (S&amp;P)'!T5858&lt;&gt;"Yes",
        DATEDIF('Loan Tape (S&amp;P)'!K5858, TODAY(), "M")&lt;18),
    1.10,
    1.00)</f>
        <v/>
      </c>
      <c r="O5858">
        <f>IF('Loan Tape (S&amp;P)'!T5858="Yes",
    1.35,
    1.00)</f>
        <v/>
      </c>
      <c r="P5858">
        <f>IF('Loan Tape (S&amp;P)'!S5858="Yes",
    1.15,
    1.00)</f>
        <v/>
      </c>
      <c r="Q5858">
        <f>IF('Loan Tape (S&amp;P)'!V5858="Yes",
    1.20,
    1.00)</f>
        <v/>
      </c>
      <c r="T5858">
        <f>LET(
    payment_method,'Loan Tape (S&amp;P)'!P5858,
    occupancy,'Loan Tape (S&amp;P)'!N5858,
    maturity_date,'Loan Tape (S&amp;P)'!L5858,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59">
      <c r="J5859">
        <f>LET(
    lien,'Loan Tape (S&amp;P)'!Q5859,
    IF(lien="First",1.00,
        IF(lien="Second",1.50,
            1.70)))</f>
        <v/>
      </c>
      <c r="K5859">
        <f>LET(
    purpose,'Loan Tape (S&amp;P)'!R5859,
    IF(purpose="Purchase",1.00,
        IF(purpose="Remortgage",1.00,
            1.20)))</f>
        <v/>
      </c>
      <c r="L5859">
        <f>LET(
    arrears_months,'Loan Tape (S&amp;P)'!AN5859,
    IF(arrears_months=0,1.00,
    IF(arrears_months=1,3.00,
    IF(arrears_months=2,5.00,
    IF(arrears_months=3,8.00,
    IF(arrears_months=4,10.00,
    IF(arrears_months=5,12.00,15.00)))))))</f>
        <v/>
      </c>
      <c r="M5859">
        <f>LET(
    seasoning_years,DATEDIF('Loan Tape (S&amp;P)'!K5859,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59">
        <f>IF(AND('Loan Tape (S&amp;P)'!U5859="Yes",
        'Loan Tape (S&amp;P)'!T5859&lt;&gt;"Yes",
        DATEDIF('Loan Tape (S&amp;P)'!K5859, TODAY(), "M")&lt;18),
    1.10,
    1.00)</f>
        <v/>
      </c>
      <c r="O5859">
        <f>IF('Loan Tape (S&amp;P)'!T5859="Yes",
    1.35,
    1.00)</f>
        <v/>
      </c>
      <c r="P5859">
        <f>IF('Loan Tape (S&amp;P)'!S5859="Yes",
    1.15,
    1.00)</f>
        <v/>
      </c>
      <c r="Q5859">
        <f>IF('Loan Tape (S&amp;P)'!V5859="Yes",
    1.20,
    1.00)</f>
        <v/>
      </c>
      <c r="T5859">
        <f>LET(
    payment_method,'Loan Tape (S&amp;P)'!P5859,
    occupancy,'Loan Tape (S&amp;P)'!N5859,
    maturity_date,'Loan Tape (S&amp;P)'!L5859,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60">
      <c r="J5860">
        <f>LET(
    lien,'Loan Tape (S&amp;P)'!Q5860,
    IF(lien="First",1.00,
        IF(lien="Second",1.50,
            1.70)))</f>
        <v/>
      </c>
      <c r="K5860">
        <f>LET(
    purpose,'Loan Tape (S&amp;P)'!R5860,
    IF(purpose="Purchase",1.00,
        IF(purpose="Remortgage",1.00,
            1.20)))</f>
        <v/>
      </c>
      <c r="L5860">
        <f>LET(
    arrears_months,'Loan Tape (S&amp;P)'!AN5860,
    IF(arrears_months=0,1.00,
    IF(arrears_months=1,3.00,
    IF(arrears_months=2,5.00,
    IF(arrears_months=3,8.00,
    IF(arrears_months=4,10.00,
    IF(arrears_months=5,12.00,15.00)))))))</f>
        <v/>
      </c>
      <c r="M5860">
        <f>LET(
    seasoning_years,DATEDIF('Loan Tape (S&amp;P)'!K5860,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60">
        <f>IF(AND('Loan Tape (S&amp;P)'!U5860="Yes",
        'Loan Tape (S&amp;P)'!T5860&lt;&gt;"Yes",
        DATEDIF('Loan Tape (S&amp;P)'!K5860, TODAY(), "M")&lt;18),
    1.10,
    1.00)</f>
        <v/>
      </c>
      <c r="O5860">
        <f>IF('Loan Tape (S&amp;P)'!T5860="Yes",
    1.35,
    1.00)</f>
        <v/>
      </c>
      <c r="P5860">
        <f>IF('Loan Tape (S&amp;P)'!S5860="Yes",
    1.15,
    1.00)</f>
        <v/>
      </c>
      <c r="Q5860">
        <f>IF('Loan Tape (S&amp;P)'!V5860="Yes",
    1.20,
    1.00)</f>
        <v/>
      </c>
      <c r="T5860">
        <f>LET(
    payment_method,'Loan Tape (S&amp;P)'!P5860,
    occupancy,'Loan Tape (S&amp;P)'!N5860,
    maturity_date,'Loan Tape (S&amp;P)'!L5860,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61">
      <c r="J5861">
        <f>LET(
    lien,'Loan Tape (S&amp;P)'!Q5861,
    IF(lien="First",1.00,
        IF(lien="Second",1.50,
            1.70)))</f>
        <v/>
      </c>
      <c r="K5861">
        <f>LET(
    purpose,'Loan Tape (S&amp;P)'!R5861,
    IF(purpose="Purchase",1.00,
        IF(purpose="Remortgage",1.00,
            1.20)))</f>
        <v/>
      </c>
      <c r="L5861">
        <f>LET(
    arrears_months,'Loan Tape (S&amp;P)'!AN5861,
    IF(arrears_months=0,1.00,
    IF(arrears_months=1,3.00,
    IF(arrears_months=2,5.00,
    IF(arrears_months=3,8.00,
    IF(arrears_months=4,10.00,
    IF(arrears_months=5,12.00,15.00)))))))</f>
        <v/>
      </c>
      <c r="M5861">
        <f>LET(
    seasoning_years,DATEDIF('Loan Tape (S&amp;P)'!K5861,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61">
        <f>IF(AND('Loan Tape (S&amp;P)'!U5861="Yes",
        'Loan Tape (S&amp;P)'!T5861&lt;&gt;"Yes",
        DATEDIF('Loan Tape (S&amp;P)'!K5861, TODAY(), "M")&lt;18),
    1.10,
    1.00)</f>
        <v/>
      </c>
      <c r="O5861">
        <f>IF('Loan Tape (S&amp;P)'!T5861="Yes",
    1.35,
    1.00)</f>
        <v/>
      </c>
      <c r="P5861">
        <f>IF('Loan Tape (S&amp;P)'!S5861="Yes",
    1.15,
    1.00)</f>
        <v/>
      </c>
      <c r="Q5861">
        <f>IF('Loan Tape (S&amp;P)'!V5861="Yes",
    1.20,
    1.00)</f>
        <v/>
      </c>
      <c r="T5861">
        <f>LET(
    payment_method,'Loan Tape (S&amp;P)'!P5861,
    occupancy,'Loan Tape (S&amp;P)'!N5861,
    maturity_date,'Loan Tape (S&amp;P)'!L5861,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62">
      <c r="J5862">
        <f>LET(
    lien,'Loan Tape (S&amp;P)'!Q5862,
    IF(lien="First",1.00,
        IF(lien="Second",1.50,
            1.70)))</f>
        <v/>
      </c>
      <c r="K5862">
        <f>LET(
    purpose,'Loan Tape (S&amp;P)'!R5862,
    IF(purpose="Purchase",1.00,
        IF(purpose="Remortgage",1.00,
            1.20)))</f>
        <v/>
      </c>
      <c r="L5862">
        <f>LET(
    arrears_months,'Loan Tape (S&amp;P)'!AN5862,
    IF(arrears_months=0,1.00,
    IF(arrears_months=1,3.00,
    IF(arrears_months=2,5.00,
    IF(arrears_months=3,8.00,
    IF(arrears_months=4,10.00,
    IF(arrears_months=5,12.00,15.00)))))))</f>
        <v/>
      </c>
      <c r="M5862">
        <f>LET(
    seasoning_years,DATEDIF('Loan Tape (S&amp;P)'!K5862,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62">
        <f>IF(AND('Loan Tape (S&amp;P)'!U5862="Yes",
        'Loan Tape (S&amp;P)'!T5862&lt;&gt;"Yes",
        DATEDIF('Loan Tape (S&amp;P)'!K5862, TODAY(), "M")&lt;18),
    1.10,
    1.00)</f>
        <v/>
      </c>
      <c r="O5862">
        <f>IF('Loan Tape (S&amp;P)'!T5862="Yes",
    1.35,
    1.00)</f>
        <v/>
      </c>
      <c r="P5862">
        <f>IF('Loan Tape (S&amp;P)'!S5862="Yes",
    1.15,
    1.00)</f>
        <v/>
      </c>
      <c r="Q5862">
        <f>IF('Loan Tape (S&amp;P)'!V5862="Yes",
    1.20,
    1.00)</f>
        <v/>
      </c>
      <c r="T5862">
        <f>LET(
    payment_method,'Loan Tape (S&amp;P)'!P5862,
    occupancy,'Loan Tape (S&amp;P)'!N5862,
    maturity_date,'Loan Tape (S&amp;P)'!L5862,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63">
      <c r="J5863">
        <f>LET(
    lien,'Loan Tape (S&amp;P)'!Q5863,
    IF(lien="First",1.00,
        IF(lien="Second",1.50,
            1.70)))</f>
        <v/>
      </c>
      <c r="K5863">
        <f>LET(
    purpose,'Loan Tape (S&amp;P)'!R5863,
    IF(purpose="Purchase",1.00,
        IF(purpose="Remortgage",1.00,
            1.20)))</f>
        <v/>
      </c>
      <c r="L5863">
        <f>LET(
    arrears_months,'Loan Tape (S&amp;P)'!AN5863,
    IF(arrears_months=0,1.00,
    IF(arrears_months=1,3.00,
    IF(arrears_months=2,5.00,
    IF(arrears_months=3,8.00,
    IF(arrears_months=4,10.00,
    IF(arrears_months=5,12.00,15.00)))))))</f>
        <v/>
      </c>
      <c r="M5863">
        <f>LET(
    seasoning_years,DATEDIF('Loan Tape (S&amp;P)'!K5863,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63">
        <f>IF(AND('Loan Tape (S&amp;P)'!U5863="Yes",
        'Loan Tape (S&amp;P)'!T5863&lt;&gt;"Yes",
        DATEDIF('Loan Tape (S&amp;P)'!K5863, TODAY(), "M")&lt;18),
    1.10,
    1.00)</f>
        <v/>
      </c>
      <c r="O5863">
        <f>IF('Loan Tape (S&amp;P)'!T5863="Yes",
    1.35,
    1.00)</f>
        <v/>
      </c>
      <c r="P5863">
        <f>IF('Loan Tape (S&amp;P)'!S5863="Yes",
    1.15,
    1.00)</f>
        <v/>
      </c>
      <c r="Q5863">
        <f>IF('Loan Tape (S&amp;P)'!V5863="Yes",
    1.20,
    1.00)</f>
        <v/>
      </c>
      <c r="T5863">
        <f>LET(
    payment_method,'Loan Tape (S&amp;P)'!P5863,
    occupancy,'Loan Tape (S&amp;P)'!N5863,
    maturity_date,'Loan Tape (S&amp;P)'!L5863,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64">
      <c r="J5864">
        <f>LET(
    lien,'Loan Tape (S&amp;P)'!Q5864,
    IF(lien="First",1.00,
        IF(lien="Second",1.50,
            1.70)))</f>
        <v/>
      </c>
      <c r="K5864">
        <f>LET(
    purpose,'Loan Tape (S&amp;P)'!R5864,
    IF(purpose="Purchase",1.00,
        IF(purpose="Remortgage",1.00,
            1.20)))</f>
        <v/>
      </c>
      <c r="L5864">
        <f>LET(
    arrears_months,'Loan Tape (S&amp;P)'!AN5864,
    IF(arrears_months=0,1.00,
    IF(arrears_months=1,3.00,
    IF(arrears_months=2,5.00,
    IF(arrears_months=3,8.00,
    IF(arrears_months=4,10.00,
    IF(arrears_months=5,12.00,15.00)))))))</f>
        <v/>
      </c>
      <c r="M5864">
        <f>LET(
    seasoning_years,DATEDIF('Loan Tape (S&amp;P)'!K5864,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64">
        <f>IF(AND('Loan Tape (S&amp;P)'!U5864="Yes",
        'Loan Tape (S&amp;P)'!T5864&lt;&gt;"Yes",
        DATEDIF('Loan Tape (S&amp;P)'!K5864, TODAY(), "M")&lt;18),
    1.10,
    1.00)</f>
        <v/>
      </c>
      <c r="O5864">
        <f>IF('Loan Tape (S&amp;P)'!T5864="Yes",
    1.35,
    1.00)</f>
        <v/>
      </c>
      <c r="P5864">
        <f>IF('Loan Tape (S&amp;P)'!S5864="Yes",
    1.15,
    1.00)</f>
        <v/>
      </c>
      <c r="Q5864">
        <f>IF('Loan Tape (S&amp;P)'!V5864="Yes",
    1.20,
    1.00)</f>
        <v/>
      </c>
      <c r="T5864">
        <f>LET(
    payment_method,'Loan Tape (S&amp;P)'!P5864,
    occupancy,'Loan Tape (S&amp;P)'!N5864,
    maturity_date,'Loan Tape (S&amp;P)'!L5864,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65">
      <c r="J5865">
        <f>LET(
    lien,'Loan Tape (S&amp;P)'!Q5865,
    IF(lien="First",1.00,
        IF(lien="Second",1.50,
            1.70)))</f>
        <v/>
      </c>
      <c r="K5865">
        <f>LET(
    purpose,'Loan Tape (S&amp;P)'!R5865,
    IF(purpose="Purchase",1.00,
        IF(purpose="Remortgage",1.00,
            1.20)))</f>
        <v/>
      </c>
      <c r="L5865">
        <f>LET(
    arrears_months,'Loan Tape (S&amp;P)'!AN5865,
    IF(arrears_months=0,1.00,
    IF(arrears_months=1,3.00,
    IF(arrears_months=2,5.00,
    IF(arrears_months=3,8.00,
    IF(arrears_months=4,10.00,
    IF(arrears_months=5,12.00,15.00)))))))</f>
        <v/>
      </c>
      <c r="M5865">
        <f>LET(
    seasoning_years,DATEDIF('Loan Tape (S&amp;P)'!K5865,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65">
        <f>IF(AND('Loan Tape (S&amp;P)'!U5865="Yes",
        'Loan Tape (S&amp;P)'!T5865&lt;&gt;"Yes",
        DATEDIF('Loan Tape (S&amp;P)'!K5865, TODAY(), "M")&lt;18),
    1.10,
    1.00)</f>
        <v/>
      </c>
      <c r="O5865">
        <f>IF('Loan Tape (S&amp;P)'!T5865="Yes",
    1.35,
    1.00)</f>
        <v/>
      </c>
      <c r="P5865">
        <f>IF('Loan Tape (S&amp;P)'!S5865="Yes",
    1.15,
    1.00)</f>
        <v/>
      </c>
      <c r="Q5865">
        <f>IF('Loan Tape (S&amp;P)'!V5865="Yes",
    1.20,
    1.00)</f>
        <v/>
      </c>
      <c r="T5865">
        <f>LET(
    payment_method,'Loan Tape (S&amp;P)'!P5865,
    occupancy,'Loan Tape (S&amp;P)'!N5865,
    maturity_date,'Loan Tape (S&amp;P)'!L5865,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66">
      <c r="J5866">
        <f>LET(
    lien,'Loan Tape (S&amp;P)'!Q5866,
    IF(lien="First",1.00,
        IF(lien="Second",1.50,
            1.70)))</f>
        <v/>
      </c>
      <c r="K5866">
        <f>LET(
    purpose,'Loan Tape (S&amp;P)'!R5866,
    IF(purpose="Purchase",1.00,
        IF(purpose="Remortgage",1.00,
            1.20)))</f>
        <v/>
      </c>
      <c r="L5866">
        <f>LET(
    arrears_months,'Loan Tape (S&amp;P)'!AN5866,
    IF(arrears_months=0,1.00,
    IF(arrears_months=1,3.00,
    IF(arrears_months=2,5.00,
    IF(arrears_months=3,8.00,
    IF(arrears_months=4,10.00,
    IF(arrears_months=5,12.00,15.00)))))))</f>
        <v/>
      </c>
      <c r="M5866">
        <f>LET(
    seasoning_years,DATEDIF('Loan Tape (S&amp;P)'!K5866,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66">
        <f>IF(AND('Loan Tape (S&amp;P)'!U5866="Yes",
        'Loan Tape (S&amp;P)'!T5866&lt;&gt;"Yes",
        DATEDIF('Loan Tape (S&amp;P)'!K5866, TODAY(), "M")&lt;18),
    1.10,
    1.00)</f>
        <v/>
      </c>
      <c r="O5866">
        <f>IF('Loan Tape (S&amp;P)'!T5866="Yes",
    1.35,
    1.00)</f>
        <v/>
      </c>
      <c r="P5866">
        <f>IF('Loan Tape (S&amp;P)'!S5866="Yes",
    1.15,
    1.00)</f>
        <v/>
      </c>
      <c r="Q5866">
        <f>IF('Loan Tape (S&amp;P)'!V5866="Yes",
    1.20,
    1.00)</f>
        <v/>
      </c>
      <c r="T5866">
        <f>LET(
    payment_method,'Loan Tape (S&amp;P)'!P5866,
    occupancy,'Loan Tape (S&amp;P)'!N5866,
    maturity_date,'Loan Tape (S&amp;P)'!L5866,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67">
      <c r="J5867">
        <f>LET(
    lien,'Loan Tape (S&amp;P)'!Q5867,
    IF(lien="First",1.00,
        IF(lien="Second",1.50,
            1.70)))</f>
        <v/>
      </c>
      <c r="K5867">
        <f>LET(
    purpose,'Loan Tape (S&amp;P)'!R5867,
    IF(purpose="Purchase",1.00,
        IF(purpose="Remortgage",1.00,
            1.20)))</f>
        <v/>
      </c>
      <c r="L5867">
        <f>LET(
    arrears_months,'Loan Tape (S&amp;P)'!AN5867,
    IF(arrears_months=0,1.00,
    IF(arrears_months=1,3.00,
    IF(arrears_months=2,5.00,
    IF(arrears_months=3,8.00,
    IF(arrears_months=4,10.00,
    IF(arrears_months=5,12.00,15.00)))))))</f>
        <v/>
      </c>
      <c r="M5867">
        <f>LET(
    seasoning_years,DATEDIF('Loan Tape (S&amp;P)'!K5867,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67">
        <f>IF(AND('Loan Tape (S&amp;P)'!U5867="Yes",
        'Loan Tape (S&amp;P)'!T5867&lt;&gt;"Yes",
        DATEDIF('Loan Tape (S&amp;P)'!K5867, TODAY(), "M")&lt;18),
    1.10,
    1.00)</f>
        <v/>
      </c>
      <c r="O5867">
        <f>IF('Loan Tape (S&amp;P)'!T5867="Yes",
    1.35,
    1.00)</f>
        <v/>
      </c>
      <c r="P5867">
        <f>IF('Loan Tape (S&amp;P)'!S5867="Yes",
    1.15,
    1.00)</f>
        <v/>
      </c>
      <c r="Q5867">
        <f>IF('Loan Tape (S&amp;P)'!V5867="Yes",
    1.20,
    1.00)</f>
        <v/>
      </c>
      <c r="T5867">
        <f>LET(
    payment_method,'Loan Tape (S&amp;P)'!P5867,
    occupancy,'Loan Tape (S&amp;P)'!N5867,
    maturity_date,'Loan Tape (S&amp;P)'!L5867,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68">
      <c r="J5868">
        <f>LET(
    lien,'Loan Tape (S&amp;P)'!Q5868,
    IF(lien="First",1.00,
        IF(lien="Second",1.50,
            1.70)))</f>
        <v/>
      </c>
      <c r="K5868">
        <f>LET(
    purpose,'Loan Tape (S&amp;P)'!R5868,
    IF(purpose="Purchase",1.00,
        IF(purpose="Remortgage",1.00,
            1.20)))</f>
        <v/>
      </c>
      <c r="L5868">
        <f>LET(
    arrears_months,'Loan Tape (S&amp;P)'!AN5868,
    IF(arrears_months=0,1.00,
    IF(arrears_months=1,3.00,
    IF(arrears_months=2,5.00,
    IF(arrears_months=3,8.00,
    IF(arrears_months=4,10.00,
    IF(arrears_months=5,12.00,15.00)))))))</f>
        <v/>
      </c>
      <c r="M5868">
        <f>LET(
    seasoning_years,DATEDIF('Loan Tape (S&amp;P)'!K5868,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68">
        <f>IF(AND('Loan Tape (S&amp;P)'!U5868="Yes",
        'Loan Tape (S&amp;P)'!T5868&lt;&gt;"Yes",
        DATEDIF('Loan Tape (S&amp;P)'!K5868, TODAY(), "M")&lt;18),
    1.10,
    1.00)</f>
        <v/>
      </c>
      <c r="O5868">
        <f>IF('Loan Tape (S&amp;P)'!T5868="Yes",
    1.35,
    1.00)</f>
        <v/>
      </c>
      <c r="P5868">
        <f>IF('Loan Tape (S&amp;P)'!S5868="Yes",
    1.15,
    1.00)</f>
        <v/>
      </c>
      <c r="Q5868">
        <f>IF('Loan Tape (S&amp;P)'!V5868="Yes",
    1.20,
    1.00)</f>
        <v/>
      </c>
      <c r="T5868">
        <f>LET(
    payment_method,'Loan Tape (S&amp;P)'!P5868,
    occupancy,'Loan Tape (S&amp;P)'!N5868,
    maturity_date,'Loan Tape (S&amp;P)'!L5868,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69">
      <c r="J5869">
        <f>LET(
    lien,'Loan Tape (S&amp;P)'!Q5869,
    IF(lien="First",1.00,
        IF(lien="Second",1.50,
            1.70)))</f>
        <v/>
      </c>
      <c r="K5869">
        <f>LET(
    purpose,'Loan Tape (S&amp;P)'!R5869,
    IF(purpose="Purchase",1.00,
        IF(purpose="Remortgage",1.00,
            1.20)))</f>
        <v/>
      </c>
      <c r="L5869">
        <f>LET(
    arrears_months,'Loan Tape (S&amp;P)'!AN5869,
    IF(arrears_months=0,1.00,
    IF(arrears_months=1,3.00,
    IF(arrears_months=2,5.00,
    IF(arrears_months=3,8.00,
    IF(arrears_months=4,10.00,
    IF(arrears_months=5,12.00,15.00)))))))</f>
        <v/>
      </c>
      <c r="M5869">
        <f>LET(
    seasoning_years,DATEDIF('Loan Tape (S&amp;P)'!K5869,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69">
        <f>IF(AND('Loan Tape (S&amp;P)'!U5869="Yes",
        'Loan Tape (S&amp;P)'!T5869&lt;&gt;"Yes",
        DATEDIF('Loan Tape (S&amp;P)'!K5869, TODAY(), "M")&lt;18),
    1.10,
    1.00)</f>
        <v/>
      </c>
      <c r="O5869">
        <f>IF('Loan Tape (S&amp;P)'!T5869="Yes",
    1.35,
    1.00)</f>
        <v/>
      </c>
      <c r="P5869">
        <f>IF('Loan Tape (S&amp;P)'!S5869="Yes",
    1.15,
    1.00)</f>
        <v/>
      </c>
      <c r="Q5869">
        <f>IF('Loan Tape (S&amp;P)'!V5869="Yes",
    1.20,
    1.00)</f>
        <v/>
      </c>
      <c r="T5869">
        <f>LET(
    payment_method,'Loan Tape (S&amp;P)'!P5869,
    occupancy,'Loan Tape (S&amp;P)'!N5869,
    maturity_date,'Loan Tape (S&amp;P)'!L5869,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70">
      <c r="J5870">
        <f>LET(
    lien,'Loan Tape (S&amp;P)'!Q5870,
    IF(lien="First",1.00,
        IF(lien="Second",1.50,
            1.70)))</f>
        <v/>
      </c>
      <c r="K5870">
        <f>LET(
    purpose,'Loan Tape (S&amp;P)'!R5870,
    IF(purpose="Purchase",1.00,
        IF(purpose="Remortgage",1.00,
            1.20)))</f>
        <v/>
      </c>
      <c r="L5870">
        <f>LET(
    arrears_months,'Loan Tape (S&amp;P)'!AN5870,
    IF(arrears_months=0,1.00,
    IF(arrears_months=1,3.00,
    IF(arrears_months=2,5.00,
    IF(arrears_months=3,8.00,
    IF(arrears_months=4,10.00,
    IF(arrears_months=5,12.00,15.00)))))))</f>
        <v/>
      </c>
      <c r="M5870">
        <f>LET(
    seasoning_years,DATEDIF('Loan Tape (S&amp;P)'!K5870,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70">
        <f>IF(AND('Loan Tape (S&amp;P)'!U5870="Yes",
        'Loan Tape (S&amp;P)'!T5870&lt;&gt;"Yes",
        DATEDIF('Loan Tape (S&amp;P)'!K5870, TODAY(), "M")&lt;18),
    1.10,
    1.00)</f>
        <v/>
      </c>
      <c r="O5870">
        <f>IF('Loan Tape (S&amp;P)'!T5870="Yes",
    1.35,
    1.00)</f>
        <v/>
      </c>
      <c r="P5870">
        <f>IF('Loan Tape (S&amp;P)'!S5870="Yes",
    1.15,
    1.00)</f>
        <v/>
      </c>
      <c r="Q5870">
        <f>IF('Loan Tape (S&amp;P)'!V5870="Yes",
    1.20,
    1.00)</f>
        <v/>
      </c>
      <c r="T5870">
        <f>LET(
    payment_method,'Loan Tape (S&amp;P)'!P5870,
    occupancy,'Loan Tape (S&amp;P)'!N5870,
    maturity_date,'Loan Tape (S&amp;P)'!L5870,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71">
      <c r="J5871">
        <f>LET(
    lien,'Loan Tape (S&amp;P)'!Q5871,
    IF(lien="First",1.00,
        IF(lien="Second",1.50,
            1.70)))</f>
        <v/>
      </c>
      <c r="K5871">
        <f>LET(
    purpose,'Loan Tape (S&amp;P)'!R5871,
    IF(purpose="Purchase",1.00,
        IF(purpose="Remortgage",1.00,
            1.20)))</f>
        <v/>
      </c>
      <c r="L5871">
        <f>LET(
    arrears_months,'Loan Tape (S&amp;P)'!AN5871,
    IF(arrears_months=0,1.00,
    IF(arrears_months=1,3.00,
    IF(arrears_months=2,5.00,
    IF(arrears_months=3,8.00,
    IF(arrears_months=4,10.00,
    IF(arrears_months=5,12.00,15.00)))))))</f>
        <v/>
      </c>
      <c r="M5871">
        <f>LET(
    seasoning_years,DATEDIF('Loan Tape (S&amp;P)'!K5871,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71">
        <f>IF(AND('Loan Tape (S&amp;P)'!U5871="Yes",
        'Loan Tape (S&amp;P)'!T5871&lt;&gt;"Yes",
        DATEDIF('Loan Tape (S&amp;P)'!K5871, TODAY(), "M")&lt;18),
    1.10,
    1.00)</f>
        <v/>
      </c>
      <c r="O5871">
        <f>IF('Loan Tape (S&amp;P)'!T5871="Yes",
    1.35,
    1.00)</f>
        <v/>
      </c>
      <c r="P5871">
        <f>IF('Loan Tape (S&amp;P)'!S5871="Yes",
    1.15,
    1.00)</f>
        <v/>
      </c>
      <c r="Q5871">
        <f>IF('Loan Tape (S&amp;P)'!V5871="Yes",
    1.20,
    1.00)</f>
        <v/>
      </c>
      <c r="T5871">
        <f>LET(
    payment_method,'Loan Tape (S&amp;P)'!P5871,
    occupancy,'Loan Tape (S&amp;P)'!N5871,
    maturity_date,'Loan Tape (S&amp;P)'!L5871,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72">
      <c r="J5872">
        <f>LET(
    lien,'Loan Tape (S&amp;P)'!Q5872,
    IF(lien="First",1.00,
        IF(lien="Second",1.50,
            1.70)))</f>
        <v/>
      </c>
      <c r="K5872">
        <f>LET(
    purpose,'Loan Tape (S&amp;P)'!R5872,
    IF(purpose="Purchase",1.00,
        IF(purpose="Remortgage",1.00,
            1.20)))</f>
        <v/>
      </c>
      <c r="L5872">
        <f>LET(
    arrears_months,'Loan Tape (S&amp;P)'!AN5872,
    IF(arrears_months=0,1.00,
    IF(arrears_months=1,3.00,
    IF(arrears_months=2,5.00,
    IF(arrears_months=3,8.00,
    IF(arrears_months=4,10.00,
    IF(arrears_months=5,12.00,15.00)))))))</f>
        <v/>
      </c>
      <c r="M5872">
        <f>LET(
    seasoning_years,DATEDIF('Loan Tape (S&amp;P)'!K5872,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72">
        <f>IF(AND('Loan Tape (S&amp;P)'!U5872="Yes",
        'Loan Tape (S&amp;P)'!T5872&lt;&gt;"Yes",
        DATEDIF('Loan Tape (S&amp;P)'!K5872, TODAY(), "M")&lt;18),
    1.10,
    1.00)</f>
        <v/>
      </c>
      <c r="O5872">
        <f>IF('Loan Tape (S&amp;P)'!T5872="Yes",
    1.35,
    1.00)</f>
        <v/>
      </c>
      <c r="P5872">
        <f>IF('Loan Tape (S&amp;P)'!S5872="Yes",
    1.15,
    1.00)</f>
        <v/>
      </c>
      <c r="Q5872">
        <f>IF('Loan Tape (S&amp;P)'!V5872="Yes",
    1.20,
    1.00)</f>
        <v/>
      </c>
      <c r="T5872">
        <f>LET(
    payment_method,'Loan Tape (S&amp;P)'!P5872,
    occupancy,'Loan Tape (S&amp;P)'!N5872,
    maturity_date,'Loan Tape (S&amp;P)'!L5872,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73">
      <c r="J5873">
        <f>LET(
    lien,'Loan Tape (S&amp;P)'!Q5873,
    IF(lien="First",1.00,
        IF(lien="Second",1.50,
            1.70)))</f>
        <v/>
      </c>
      <c r="K5873">
        <f>LET(
    purpose,'Loan Tape (S&amp;P)'!R5873,
    IF(purpose="Purchase",1.00,
        IF(purpose="Remortgage",1.00,
            1.20)))</f>
        <v/>
      </c>
      <c r="L5873">
        <f>LET(
    arrears_months,'Loan Tape (S&amp;P)'!AN5873,
    IF(arrears_months=0,1.00,
    IF(arrears_months=1,3.00,
    IF(arrears_months=2,5.00,
    IF(arrears_months=3,8.00,
    IF(arrears_months=4,10.00,
    IF(arrears_months=5,12.00,15.00)))))))</f>
        <v/>
      </c>
      <c r="M5873">
        <f>LET(
    seasoning_years,DATEDIF('Loan Tape (S&amp;P)'!K5873,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73">
        <f>IF(AND('Loan Tape (S&amp;P)'!U5873="Yes",
        'Loan Tape (S&amp;P)'!T5873&lt;&gt;"Yes",
        DATEDIF('Loan Tape (S&amp;P)'!K5873, TODAY(), "M")&lt;18),
    1.10,
    1.00)</f>
        <v/>
      </c>
      <c r="O5873">
        <f>IF('Loan Tape (S&amp;P)'!T5873="Yes",
    1.35,
    1.00)</f>
        <v/>
      </c>
      <c r="P5873">
        <f>IF('Loan Tape (S&amp;P)'!S5873="Yes",
    1.15,
    1.00)</f>
        <v/>
      </c>
      <c r="Q5873">
        <f>IF('Loan Tape (S&amp;P)'!V5873="Yes",
    1.20,
    1.00)</f>
        <v/>
      </c>
      <c r="T5873">
        <f>LET(
    payment_method,'Loan Tape (S&amp;P)'!P5873,
    occupancy,'Loan Tape (S&amp;P)'!N5873,
    maturity_date,'Loan Tape (S&amp;P)'!L5873,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74">
      <c r="J5874">
        <f>LET(
    lien,'Loan Tape (S&amp;P)'!Q5874,
    IF(lien="First",1.00,
        IF(lien="Second",1.50,
            1.70)))</f>
        <v/>
      </c>
      <c r="K5874">
        <f>LET(
    purpose,'Loan Tape (S&amp;P)'!R5874,
    IF(purpose="Purchase",1.00,
        IF(purpose="Remortgage",1.00,
            1.20)))</f>
        <v/>
      </c>
      <c r="L5874">
        <f>LET(
    arrears_months,'Loan Tape (S&amp;P)'!AN5874,
    IF(arrears_months=0,1.00,
    IF(arrears_months=1,3.00,
    IF(arrears_months=2,5.00,
    IF(arrears_months=3,8.00,
    IF(arrears_months=4,10.00,
    IF(arrears_months=5,12.00,15.00)))))))</f>
        <v/>
      </c>
      <c r="M5874">
        <f>LET(
    seasoning_years,DATEDIF('Loan Tape (S&amp;P)'!K5874,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74">
        <f>IF(AND('Loan Tape (S&amp;P)'!U5874="Yes",
        'Loan Tape (S&amp;P)'!T5874&lt;&gt;"Yes",
        DATEDIF('Loan Tape (S&amp;P)'!K5874, TODAY(), "M")&lt;18),
    1.10,
    1.00)</f>
        <v/>
      </c>
      <c r="O5874">
        <f>IF('Loan Tape (S&amp;P)'!T5874="Yes",
    1.35,
    1.00)</f>
        <v/>
      </c>
      <c r="P5874">
        <f>IF('Loan Tape (S&amp;P)'!S5874="Yes",
    1.15,
    1.00)</f>
        <v/>
      </c>
      <c r="Q5874">
        <f>IF('Loan Tape (S&amp;P)'!V5874="Yes",
    1.20,
    1.00)</f>
        <v/>
      </c>
      <c r="T5874">
        <f>LET(
    payment_method,'Loan Tape (S&amp;P)'!P5874,
    occupancy,'Loan Tape (S&amp;P)'!N5874,
    maturity_date,'Loan Tape (S&amp;P)'!L5874,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75">
      <c r="J5875">
        <f>LET(
    lien,'Loan Tape (S&amp;P)'!Q5875,
    IF(lien="First",1.00,
        IF(lien="Second",1.50,
            1.70)))</f>
        <v/>
      </c>
      <c r="K5875">
        <f>LET(
    purpose,'Loan Tape (S&amp;P)'!R5875,
    IF(purpose="Purchase",1.00,
        IF(purpose="Remortgage",1.00,
            1.20)))</f>
        <v/>
      </c>
      <c r="L5875">
        <f>LET(
    arrears_months,'Loan Tape (S&amp;P)'!AN5875,
    IF(arrears_months=0,1.00,
    IF(arrears_months=1,3.00,
    IF(arrears_months=2,5.00,
    IF(arrears_months=3,8.00,
    IF(arrears_months=4,10.00,
    IF(arrears_months=5,12.00,15.00)))))))</f>
        <v/>
      </c>
      <c r="M5875">
        <f>LET(
    seasoning_years,DATEDIF('Loan Tape (S&amp;P)'!K5875,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75">
        <f>IF(AND('Loan Tape (S&amp;P)'!U5875="Yes",
        'Loan Tape (S&amp;P)'!T5875&lt;&gt;"Yes",
        DATEDIF('Loan Tape (S&amp;P)'!K5875, TODAY(), "M")&lt;18),
    1.10,
    1.00)</f>
        <v/>
      </c>
      <c r="O5875">
        <f>IF('Loan Tape (S&amp;P)'!T5875="Yes",
    1.35,
    1.00)</f>
        <v/>
      </c>
      <c r="P5875">
        <f>IF('Loan Tape (S&amp;P)'!S5875="Yes",
    1.15,
    1.00)</f>
        <v/>
      </c>
      <c r="Q5875">
        <f>IF('Loan Tape (S&amp;P)'!V5875="Yes",
    1.20,
    1.00)</f>
        <v/>
      </c>
      <c r="T5875">
        <f>LET(
    payment_method,'Loan Tape (S&amp;P)'!P5875,
    occupancy,'Loan Tape (S&amp;P)'!N5875,
    maturity_date,'Loan Tape (S&amp;P)'!L5875,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76">
      <c r="J5876">
        <f>LET(
    lien,'Loan Tape (S&amp;P)'!Q5876,
    IF(lien="First",1.00,
        IF(lien="Second",1.50,
            1.70)))</f>
        <v/>
      </c>
      <c r="K5876">
        <f>LET(
    purpose,'Loan Tape (S&amp;P)'!R5876,
    IF(purpose="Purchase",1.00,
        IF(purpose="Remortgage",1.00,
            1.20)))</f>
        <v/>
      </c>
      <c r="L5876">
        <f>LET(
    arrears_months,'Loan Tape (S&amp;P)'!AN5876,
    IF(arrears_months=0,1.00,
    IF(arrears_months=1,3.00,
    IF(arrears_months=2,5.00,
    IF(arrears_months=3,8.00,
    IF(arrears_months=4,10.00,
    IF(arrears_months=5,12.00,15.00)))))))</f>
        <v/>
      </c>
      <c r="M5876">
        <f>LET(
    seasoning_years,DATEDIF('Loan Tape (S&amp;P)'!K5876,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76">
        <f>IF(AND('Loan Tape (S&amp;P)'!U5876="Yes",
        'Loan Tape (S&amp;P)'!T5876&lt;&gt;"Yes",
        DATEDIF('Loan Tape (S&amp;P)'!K5876, TODAY(), "M")&lt;18),
    1.10,
    1.00)</f>
        <v/>
      </c>
      <c r="O5876">
        <f>IF('Loan Tape (S&amp;P)'!T5876="Yes",
    1.35,
    1.00)</f>
        <v/>
      </c>
      <c r="P5876">
        <f>IF('Loan Tape (S&amp;P)'!S5876="Yes",
    1.15,
    1.00)</f>
        <v/>
      </c>
      <c r="Q5876">
        <f>IF('Loan Tape (S&amp;P)'!V5876="Yes",
    1.20,
    1.00)</f>
        <v/>
      </c>
      <c r="T5876">
        <f>LET(
    payment_method,'Loan Tape (S&amp;P)'!P5876,
    occupancy,'Loan Tape (S&amp;P)'!N5876,
    maturity_date,'Loan Tape (S&amp;P)'!L5876,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77">
      <c r="J5877">
        <f>LET(
    lien,'Loan Tape (S&amp;P)'!Q5877,
    IF(lien="First",1.00,
        IF(lien="Second",1.50,
            1.70)))</f>
        <v/>
      </c>
      <c r="K5877">
        <f>LET(
    purpose,'Loan Tape (S&amp;P)'!R5877,
    IF(purpose="Purchase",1.00,
        IF(purpose="Remortgage",1.00,
            1.20)))</f>
        <v/>
      </c>
      <c r="L5877">
        <f>LET(
    arrears_months,'Loan Tape (S&amp;P)'!AN5877,
    IF(arrears_months=0,1.00,
    IF(arrears_months=1,3.00,
    IF(arrears_months=2,5.00,
    IF(arrears_months=3,8.00,
    IF(arrears_months=4,10.00,
    IF(arrears_months=5,12.00,15.00)))))))</f>
        <v/>
      </c>
      <c r="M5877">
        <f>LET(
    seasoning_years,DATEDIF('Loan Tape (S&amp;P)'!K5877,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77">
        <f>IF(AND('Loan Tape (S&amp;P)'!U5877="Yes",
        'Loan Tape (S&amp;P)'!T5877&lt;&gt;"Yes",
        DATEDIF('Loan Tape (S&amp;P)'!K5877, TODAY(), "M")&lt;18),
    1.10,
    1.00)</f>
        <v/>
      </c>
      <c r="O5877">
        <f>IF('Loan Tape (S&amp;P)'!T5877="Yes",
    1.35,
    1.00)</f>
        <v/>
      </c>
      <c r="P5877">
        <f>IF('Loan Tape (S&amp;P)'!S5877="Yes",
    1.15,
    1.00)</f>
        <v/>
      </c>
      <c r="Q5877">
        <f>IF('Loan Tape (S&amp;P)'!V5877="Yes",
    1.20,
    1.00)</f>
        <v/>
      </c>
      <c r="T5877">
        <f>LET(
    payment_method,'Loan Tape (S&amp;P)'!P5877,
    occupancy,'Loan Tape (S&amp;P)'!N5877,
    maturity_date,'Loan Tape (S&amp;P)'!L5877,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78">
      <c r="J5878">
        <f>LET(
    lien,'Loan Tape (S&amp;P)'!Q5878,
    IF(lien="First",1.00,
        IF(lien="Second",1.50,
            1.70)))</f>
        <v/>
      </c>
      <c r="K5878">
        <f>LET(
    purpose,'Loan Tape (S&amp;P)'!R5878,
    IF(purpose="Purchase",1.00,
        IF(purpose="Remortgage",1.00,
            1.20)))</f>
        <v/>
      </c>
      <c r="L5878">
        <f>LET(
    arrears_months,'Loan Tape (S&amp;P)'!AN5878,
    IF(arrears_months=0,1.00,
    IF(arrears_months=1,3.00,
    IF(arrears_months=2,5.00,
    IF(arrears_months=3,8.00,
    IF(arrears_months=4,10.00,
    IF(arrears_months=5,12.00,15.00)))))))</f>
        <v/>
      </c>
      <c r="M5878">
        <f>LET(
    seasoning_years,DATEDIF('Loan Tape (S&amp;P)'!K5878,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78">
        <f>IF(AND('Loan Tape (S&amp;P)'!U5878="Yes",
        'Loan Tape (S&amp;P)'!T5878&lt;&gt;"Yes",
        DATEDIF('Loan Tape (S&amp;P)'!K5878, TODAY(), "M")&lt;18),
    1.10,
    1.00)</f>
        <v/>
      </c>
      <c r="O5878">
        <f>IF('Loan Tape (S&amp;P)'!T5878="Yes",
    1.35,
    1.00)</f>
        <v/>
      </c>
      <c r="P5878">
        <f>IF('Loan Tape (S&amp;P)'!S5878="Yes",
    1.15,
    1.00)</f>
        <v/>
      </c>
      <c r="Q5878">
        <f>IF('Loan Tape (S&amp;P)'!V5878="Yes",
    1.20,
    1.00)</f>
        <v/>
      </c>
      <c r="T5878">
        <f>LET(
    payment_method,'Loan Tape (S&amp;P)'!P5878,
    occupancy,'Loan Tape (S&amp;P)'!N5878,
    maturity_date,'Loan Tape (S&amp;P)'!L5878,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79">
      <c r="J5879">
        <f>LET(
    lien,'Loan Tape (S&amp;P)'!Q5879,
    IF(lien="First",1.00,
        IF(lien="Second",1.50,
            1.70)))</f>
        <v/>
      </c>
      <c r="K5879">
        <f>LET(
    purpose,'Loan Tape (S&amp;P)'!R5879,
    IF(purpose="Purchase",1.00,
        IF(purpose="Remortgage",1.00,
            1.20)))</f>
        <v/>
      </c>
      <c r="L5879">
        <f>LET(
    arrears_months,'Loan Tape (S&amp;P)'!AN5879,
    IF(arrears_months=0,1.00,
    IF(arrears_months=1,3.00,
    IF(arrears_months=2,5.00,
    IF(arrears_months=3,8.00,
    IF(arrears_months=4,10.00,
    IF(arrears_months=5,12.00,15.00)))))))</f>
        <v/>
      </c>
      <c r="M5879">
        <f>LET(
    seasoning_years,DATEDIF('Loan Tape (S&amp;P)'!K5879,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79">
        <f>IF(AND('Loan Tape (S&amp;P)'!U5879="Yes",
        'Loan Tape (S&amp;P)'!T5879&lt;&gt;"Yes",
        DATEDIF('Loan Tape (S&amp;P)'!K5879, TODAY(), "M")&lt;18),
    1.10,
    1.00)</f>
        <v/>
      </c>
      <c r="O5879">
        <f>IF('Loan Tape (S&amp;P)'!T5879="Yes",
    1.35,
    1.00)</f>
        <v/>
      </c>
      <c r="P5879">
        <f>IF('Loan Tape (S&amp;P)'!S5879="Yes",
    1.15,
    1.00)</f>
        <v/>
      </c>
      <c r="Q5879">
        <f>IF('Loan Tape (S&amp;P)'!V5879="Yes",
    1.20,
    1.00)</f>
        <v/>
      </c>
      <c r="T5879">
        <f>LET(
    payment_method,'Loan Tape (S&amp;P)'!P5879,
    occupancy,'Loan Tape (S&amp;P)'!N5879,
    maturity_date,'Loan Tape (S&amp;P)'!L5879,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80">
      <c r="J5880">
        <f>LET(
    lien,'Loan Tape (S&amp;P)'!Q5880,
    IF(lien="First",1.00,
        IF(lien="Second",1.50,
            1.70)))</f>
        <v/>
      </c>
      <c r="K5880">
        <f>LET(
    purpose,'Loan Tape (S&amp;P)'!R5880,
    IF(purpose="Purchase",1.00,
        IF(purpose="Remortgage",1.00,
            1.20)))</f>
        <v/>
      </c>
      <c r="L5880">
        <f>LET(
    arrears_months,'Loan Tape (S&amp;P)'!AN5880,
    IF(arrears_months=0,1.00,
    IF(arrears_months=1,3.00,
    IF(arrears_months=2,5.00,
    IF(arrears_months=3,8.00,
    IF(arrears_months=4,10.00,
    IF(arrears_months=5,12.00,15.00)))))))</f>
        <v/>
      </c>
      <c r="M5880">
        <f>LET(
    seasoning_years,DATEDIF('Loan Tape (S&amp;P)'!K5880,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80">
        <f>IF(AND('Loan Tape (S&amp;P)'!U5880="Yes",
        'Loan Tape (S&amp;P)'!T5880&lt;&gt;"Yes",
        DATEDIF('Loan Tape (S&amp;P)'!K5880, TODAY(), "M")&lt;18),
    1.10,
    1.00)</f>
        <v/>
      </c>
      <c r="O5880">
        <f>IF('Loan Tape (S&amp;P)'!T5880="Yes",
    1.35,
    1.00)</f>
        <v/>
      </c>
      <c r="P5880">
        <f>IF('Loan Tape (S&amp;P)'!S5880="Yes",
    1.15,
    1.00)</f>
        <v/>
      </c>
      <c r="Q5880">
        <f>IF('Loan Tape (S&amp;P)'!V5880="Yes",
    1.20,
    1.00)</f>
        <v/>
      </c>
      <c r="T5880">
        <f>LET(
    payment_method,'Loan Tape (S&amp;P)'!P5880,
    occupancy,'Loan Tape (S&amp;P)'!N5880,
    maturity_date,'Loan Tape (S&amp;P)'!L5880,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81">
      <c r="J5881">
        <f>LET(
    lien,'Loan Tape (S&amp;P)'!Q5881,
    IF(lien="First",1.00,
        IF(lien="Second",1.50,
            1.70)))</f>
        <v/>
      </c>
      <c r="K5881">
        <f>LET(
    purpose,'Loan Tape (S&amp;P)'!R5881,
    IF(purpose="Purchase",1.00,
        IF(purpose="Remortgage",1.00,
            1.20)))</f>
        <v/>
      </c>
      <c r="L5881">
        <f>LET(
    arrears_months,'Loan Tape (S&amp;P)'!AN5881,
    IF(arrears_months=0,1.00,
    IF(arrears_months=1,3.00,
    IF(arrears_months=2,5.00,
    IF(arrears_months=3,8.00,
    IF(arrears_months=4,10.00,
    IF(arrears_months=5,12.00,15.00)))))))</f>
        <v/>
      </c>
      <c r="M5881">
        <f>LET(
    seasoning_years,DATEDIF('Loan Tape (S&amp;P)'!K5881,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81">
        <f>IF(AND('Loan Tape (S&amp;P)'!U5881="Yes",
        'Loan Tape (S&amp;P)'!T5881&lt;&gt;"Yes",
        DATEDIF('Loan Tape (S&amp;P)'!K5881, TODAY(), "M")&lt;18),
    1.10,
    1.00)</f>
        <v/>
      </c>
      <c r="O5881">
        <f>IF('Loan Tape (S&amp;P)'!T5881="Yes",
    1.35,
    1.00)</f>
        <v/>
      </c>
      <c r="P5881">
        <f>IF('Loan Tape (S&amp;P)'!S5881="Yes",
    1.15,
    1.00)</f>
        <v/>
      </c>
      <c r="Q5881">
        <f>IF('Loan Tape (S&amp;P)'!V5881="Yes",
    1.20,
    1.00)</f>
        <v/>
      </c>
      <c r="T5881">
        <f>LET(
    payment_method,'Loan Tape (S&amp;P)'!P5881,
    occupancy,'Loan Tape (S&amp;P)'!N5881,
    maturity_date,'Loan Tape (S&amp;P)'!L5881,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82">
      <c r="J5882">
        <f>LET(
    lien,'Loan Tape (S&amp;P)'!Q5882,
    IF(lien="First",1.00,
        IF(lien="Second",1.50,
            1.70)))</f>
        <v/>
      </c>
      <c r="K5882">
        <f>LET(
    purpose,'Loan Tape (S&amp;P)'!R5882,
    IF(purpose="Purchase",1.00,
        IF(purpose="Remortgage",1.00,
            1.20)))</f>
        <v/>
      </c>
      <c r="L5882">
        <f>LET(
    arrears_months,'Loan Tape (S&amp;P)'!AN5882,
    IF(arrears_months=0,1.00,
    IF(arrears_months=1,3.00,
    IF(arrears_months=2,5.00,
    IF(arrears_months=3,8.00,
    IF(arrears_months=4,10.00,
    IF(arrears_months=5,12.00,15.00)))))))</f>
        <v/>
      </c>
      <c r="M5882">
        <f>LET(
    seasoning_years,DATEDIF('Loan Tape (S&amp;P)'!K5882,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82">
        <f>IF(AND('Loan Tape (S&amp;P)'!U5882="Yes",
        'Loan Tape (S&amp;P)'!T5882&lt;&gt;"Yes",
        DATEDIF('Loan Tape (S&amp;P)'!K5882, TODAY(), "M")&lt;18),
    1.10,
    1.00)</f>
        <v/>
      </c>
      <c r="O5882">
        <f>IF('Loan Tape (S&amp;P)'!T5882="Yes",
    1.35,
    1.00)</f>
        <v/>
      </c>
      <c r="P5882">
        <f>IF('Loan Tape (S&amp;P)'!S5882="Yes",
    1.15,
    1.00)</f>
        <v/>
      </c>
      <c r="Q5882">
        <f>IF('Loan Tape (S&amp;P)'!V5882="Yes",
    1.20,
    1.00)</f>
        <v/>
      </c>
      <c r="T5882">
        <f>LET(
    payment_method,'Loan Tape (S&amp;P)'!P5882,
    occupancy,'Loan Tape (S&amp;P)'!N5882,
    maturity_date,'Loan Tape (S&amp;P)'!L5882,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83">
      <c r="J5883">
        <f>LET(
    lien,'Loan Tape (S&amp;P)'!Q5883,
    IF(lien="First",1.00,
        IF(lien="Second",1.50,
            1.70)))</f>
        <v/>
      </c>
      <c r="K5883">
        <f>LET(
    purpose,'Loan Tape (S&amp;P)'!R5883,
    IF(purpose="Purchase",1.00,
        IF(purpose="Remortgage",1.00,
            1.20)))</f>
        <v/>
      </c>
      <c r="L5883">
        <f>LET(
    arrears_months,'Loan Tape (S&amp;P)'!AN5883,
    IF(arrears_months=0,1.00,
    IF(arrears_months=1,3.00,
    IF(arrears_months=2,5.00,
    IF(arrears_months=3,8.00,
    IF(arrears_months=4,10.00,
    IF(arrears_months=5,12.00,15.00)))))))</f>
        <v/>
      </c>
      <c r="M5883">
        <f>LET(
    seasoning_years,DATEDIF('Loan Tape (S&amp;P)'!K5883,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83">
        <f>IF(AND('Loan Tape (S&amp;P)'!U5883="Yes",
        'Loan Tape (S&amp;P)'!T5883&lt;&gt;"Yes",
        DATEDIF('Loan Tape (S&amp;P)'!K5883, TODAY(), "M")&lt;18),
    1.10,
    1.00)</f>
        <v/>
      </c>
      <c r="O5883">
        <f>IF('Loan Tape (S&amp;P)'!T5883="Yes",
    1.35,
    1.00)</f>
        <v/>
      </c>
      <c r="P5883">
        <f>IF('Loan Tape (S&amp;P)'!S5883="Yes",
    1.15,
    1.00)</f>
        <v/>
      </c>
      <c r="Q5883">
        <f>IF('Loan Tape (S&amp;P)'!V5883="Yes",
    1.20,
    1.00)</f>
        <v/>
      </c>
      <c r="T5883">
        <f>LET(
    payment_method,'Loan Tape (S&amp;P)'!P5883,
    occupancy,'Loan Tape (S&amp;P)'!N5883,
    maturity_date,'Loan Tape (S&amp;P)'!L5883,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84">
      <c r="J5884">
        <f>LET(
    lien,'Loan Tape (S&amp;P)'!Q5884,
    IF(lien="First",1.00,
        IF(lien="Second",1.50,
            1.70)))</f>
        <v/>
      </c>
      <c r="K5884">
        <f>LET(
    purpose,'Loan Tape (S&amp;P)'!R5884,
    IF(purpose="Purchase",1.00,
        IF(purpose="Remortgage",1.00,
            1.20)))</f>
        <v/>
      </c>
      <c r="L5884">
        <f>LET(
    arrears_months,'Loan Tape (S&amp;P)'!AN5884,
    IF(arrears_months=0,1.00,
    IF(arrears_months=1,3.00,
    IF(arrears_months=2,5.00,
    IF(arrears_months=3,8.00,
    IF(arrears_months=4,10.00,
    IF(arrears_months=5,12.00,15.00)))))))</f>
        <v/>
      </c>
      <c r="M5884">
        <f>LET(
    seasoning_years,DATEDIF('Loan Tape (S&amp;P)'!K5884,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84">
        <f>IF(AND('Loan Tape (S&amp;P)'!U5884="Yes",
        'Loan Tape (S&amp;P)'!T5884&lt;&gt;"Yes",
        DATEDIF('Loan Tape (S&amp;P)'!K5884, TODAY(), "M")&lt;18),
    1.10,
    1.00)</f>
        <v/>
      </c>
      <c r="O5884">
        <f>IF('Loan Tape (S&amp;P)'!T5884="Yes",
    1.35,
    1.00)</f>
        <v/>
      </c>
      <c r="P5884">
        <f>IF('Loan Tape (S&amp;P)'!S5884="Yes",
    1.15,
    1.00)</f>
        <v/>
      </c>
      <c r="Q5884">
        <f>IF('Loan Tape (S&amp;P)'!V5884="Yes",
    1.20,
    1.00)</f>
        <v/>
      </c>
      <c r="T5884">
        <f>LET(
    payment_method,'Loan Tape (S&amp;P)'!P5884,
    occupancy,'Loan Tape (S&amp;P)'!N5884,
    maturity_date,'Loan Tape (S&amp;P)'!L5884,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85">
      <c r="J5885">
        <f>LET(
    lien,'Loan Tape (S&amp;P)'!Q5885,
    IF(lien="First",1.00,
        IF(lien="Second",1.50,
            1.70)))</f>
        <v/>
      </c>
      <c r="K5885">
        <f>LET(
    purpose,'Loan Tape (S&amp;P)'!R5885,
    IF(purpose="Purchase",1.00,
        IF(purpose="Remortgage",1.00,
            1.20)))</f>
        <v/>
      </c>
      <c r="L5885">
        <f>LET(
    arrears_months,'Loan Tape (S&amp;P)'!AN5885,
    IF(arrears_months=0,1.00,
    IF(arrears_months=1,3.00,
    IF(arrears_months=2,5.00,
    IF(arrears_months=3,8.00,
    IF(arrears_months=4,10.00,
    IF(arrears_months=5,12.00,15.00)))))))</f>
        <v/>
      </c>
      <c r="M5885">
        <f>LET(
    seasoning_years,DATEDIF('Loan Tape (S&amp;P)'!K5885,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85">
        <f>IF(AND('Loan Tape (S&amp;P)'!U5885="Yes",
        'Loan Tape (S&amp;P)'!T5885&lt;&gt;"Yes",
        DATEDIF('Loan Tape (S&amp;P)'!K5885, TODAY(), "M")&lt;18),
    1.10,
    1.00)</f>
        <v/>
      </c>
      <c r="O5885">
        <f>IF('Loan Tape (S&amp;P)'!T5885="Yes",
    1.35,
    1.00)</f>
        <v/>
      </c>
      <c r="P5885">
        <f>IF('Loan Tape (S&amp;P)'!S5885="Yes",
    1.15,
    1.00)</f>
        <v/>
      </c>
      <c r="Q5885">
        <f>IF('Loan Tape (S&amp;P)'!V5885="Yes",
    1.20,
    1.00)</f>
        <v/>
      </c>
      <c r="T5885">
        <f>LET(
    payment_method,'Loan Tape (S&amp;P)'!P5885,
    occupancy,'Loan Tape (S&amp;P)'!N5885,
    maturity_date,'Loan Tape (S&amp;P)'!L5885,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86">
      <c r="J5886">
        <f>LET(
    lien,'Loan Tape (S&amp;P)'!Q5886,
    IF(lien="First",1.00,
        IF(lien="Second",1.50,
            1.70)))</f>
        <v/>
      </c>
      <c r="K5886">
        <f>LET(
    purpose,'Loan Tape (S&amp;P)'!R5886,
    IF(purpose="Purchase",1.00,
        IF(purpose="Remortgage",1.00,
            1.20)))</f>
        <v/>
      </c>
      <c r="L5886">
        <f>LET(
    arrears_months,'Loan Tape (S&amp;P)'!AN5886,
    IF(arrears_months=0,1.00,
    IF(arrears_months=1,3.00,
    IF(arrears_months=2,5.00,
    IF(arrears_months=3,8.00,
    IF(arrears_months=4,10.00,
    IF(arrears_months=5,12.00,15.00)))))))</f>
        <v/>
      </c>
      <c r="M5886">
        <f>LET(
    seasoning_years,DATEDIF('Loan Tape (S&amp;P)'!K5886,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86">
        <f>IF(AND('Loan Tape (S&amp;P)'!U5886="Yes",
        'Loan Tape (S&amp;P)'!T5886&lt;&gt;"Yes",
        DATEDIF('Loan Tape (S&amp;P)'!K5886, TODAY(), "M")&lt;18),
    1.10,
    1.00)</f>
        <v/>
      </c>
      <c r="O5886">
        <f>IF('Loan Tape (S&amp;P)'!T5886="Yes",
    1.35,
    1.00)</f>
        <v/>
      </c>
      <c r="P5886">
        <f>IF('Loan Tape (S&amp;P)'!S5886="Yes",
    1.15,
    1.00)</f>
        <v/>
      </c>
      <c r="Q5886">
        <f>IF('Loan Tape (S&amp;P)'!V5886="Yes",
    1.20,
    1.00)</f>
        <v/>
      </c>
      <c r="T5886">
        <f>LET(
    payment_method,'Loan Tape (S&amp;P)'!P5886,
    occupancy,'Loan Tape (S&amp;P)'!N5886,
    maturity_date,'Loan Tape (S&amp;P)'!L5886,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87">
      <c r="J5887">
        <f>LET(
    lien,'Loan Tape (S&amp;P)'!Q5887,
    IF(lien="First",1.00,
        IF(lien="Second",1.50,
            1.70)))</f>
        <v/>
      </c>
      <c r="K5887">
        <f>LET(
    purpose,'Loan Tape (S&amp;P)'!R5887,
    IF(purpose="Purchase",1.00,
        IF(purpose="Remortgage",1.00,
            1.20)))</f>
        <v/>
      </c>
      <c r="L5887">
        <f>LET(
    arrears_months,'Loan Tape (S&amp;P)'!AN5887,
    IF(arrears_months=0,1.00,
    IF(arrears_months=1,3.00,
    IF(arrears_months=2,5.00,
    IF(arrears_months=3,8.00,
    IF(arrears_months=4,10.00,
    IF(arrears_months=5,12.00,15.00)))))))</f>
        <v/>
      </c>
      <c r="M5887">
        <f>LET(
    seasoning_years,DATEDIF('Loan Tape (S&amp;P)'!K5887,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87">
        <f>IF(AND('Loan Tape (S&amp;P)'!U5887="Yes",
        'Loan Tape (S&amp;P)'!T5887&lt;&gt;"Yes",
        DATEDIF('Loan Tape (S&amp;P)'!K5887, TODAY(), "M")&lt;18),
    1.10,
    1.00)</f>
        <v/>
      </c>
      <c r="O5887">
        <f>IF('Loan Tape (S&amp;P)'!T5887="Yes",
    1.35,
    1.00)</f>
        <v/>
      </c>
      <c r="P5887">
        <f>IF('Loan Tape (S&amp;P)'!S5887="Yes",
    1.15,
    1.00)</f>
        <v/>
      </c>
      <c r="Q5887">
        <f>IF('Loan Tape (S&amp;P)'!V5887="Yes",
    1.20,
    1.00)</f>
        <v/>
      </c>
      <c r="T5887">
        <f>LET(
    payment_method,'Loan Tape (S&amp;P)'!P5887,
    occupancy,'Loan Tape (S&amp;P)'!N5887,
    maturity_date,'Loan Tape (S&amp;P)'!L5887,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88">
      <c r="J5888">
        <f>LET(
    lien,'Loan Tape (S&amp;P)'!Q5888,
    IF(lien="First",1.00,
        IF(lien="Second",1.50,
            1.70)))</f>
        <v/>
      </c>
      <c r="K5888">
        <f>LET(
    purpose,'Loan Tape (S&amp;P)'!R5888,
    IF(purpose="Purchase",1.00,
        IF(purpose="Remortgage",1.00,
            1.20)))</f>
        <v/>
      </c>
      <c r="L5888">
        <f>LET(
    arrears_months,'Loan Tape (S&amp;P)'!AN5888,
    IF(arrears_months=0,1.00,
    IF(arrears_months=1,3.00,
    IF(arrears_months=2,5.00,
    IF(arrears_months=3,8.00,
    IF(arrears_months=4,10.00,
    IF(arrears_months=5,12.00,15.00)))))))</f>
        <v/>
      </c>
      <c r="M5888">
        <f>LET(
    seasoning_years,DATEDIF('Loan Tape (S&amp;P)'!K5888,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88">
        <f>IF(AND('Loan Tape (S&amp;P)'!U5888="Yes",
        'Loan Tape (S&amp;P)'!T5888&lt;&gt;"Yes",
        DATEDIF('Loan Tape (S&amp;P)'!K5888, TODAY(), "M")&lt;18),
    1.10,
    1.00)</f>
        <v/>
      </c>
      <c r="O5888">
        <f>IF('Loan Tape (S&amp;P)'!T5888="Yes",
    1.35,
    1.00)</f>
        <v/>
      </c>
      <c r="P5888">
        <f>IF('Loan Tape (S&amp;P)'!S5888="Yes",
    1.15,
    1.00)</f>
        <v/>
      </c>
      <c r="Q5888">
        <f>IF('Loan Tape (S&amp;P)'!V5888="Yes",
    1.20,
    1.00)</f>
        <v/>
      </c>
      <c r="T5888">
        <f>LET(
    payment_method,'Loan Tape (S&amp;P)'!P5888,
    occupancy,'Loan Tape (S&amp;P)'!N5888,
    maturity_date,'Loan Tape (S&amp;P)'!L5888,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89">
      <c r="J5889">
        <f>LET(
    lien,'Loan Tape (S&amp;P)'!Q5889,
    IF(lien="First",1.00,
        IF(lien="Second",1.50,
            1.70)))</f>
        <v/>
      </c>
      <c r="K5889">
        <f>LET(
    purpose,'Loan Tape (S&amp;P)'!R5889,
    IF(purpose="Purchase",1.00,
        IF(purpose="Remortgage",1.00,
            1.20)))</f>
        <v/>
      </c>
      <c r="L5889">
        <f>LET(
    arrears_months,'Loan Tape (S&amp;P)'!AN5889,
    IF(arrears_months=0,1.00,
    IF(arrears_months=1,3.00,
    IF(arrears_months=2,5.00,
    IF(arrears_months=3,8.00,
    IF(arrears_months=4,10.00,
    IF(arrears_months=5,12.00,15.00)))))))</f>
        <v/>
      </c>
      <c r="M5889">
        <f>LET(
    seasoning_years,DATEDIF('Loan Tape (S&amp;P)'!K5889,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89">
        <f>IF(AND('Loan Tape (S&amp;P)'!U5889="Yes",
        'Loan Tape (S&amp;P)'!T5889&lt;&gt;"Yes",
        DATEDIF('Loan Tape (S&amp;P)'!K5889, TODAY(), "M")&lt;18),
    1.10,
    1.00)</f>
        <v/>
      </c>
      <c r="O5889">
        <f>IF('Loan Tape (S&amp;P)'!T5889="Yes",
    1.35,
    1.00)</f>
        <v/>
      </c>
      <c r="P5889">
        <f>IF('Loan Tape (S&amp;P)'!S5889="Yes",
    1.15,
    1.00)</f>
        <v/>
      </c>
      <c r="Q5889">
        <f>IF('Loan Tape (S&amp;P)'!V5889="Yes",
    1.20,
    1.00)</f>
        <v/>
      </c>
      <c r="T5889">
        <f>LET(
    payment_method,'Loan Tape (S&amp;P)'!P5889,
    occupancy,'Loan Tape (S&amp;P)'!N5889,
    maturity_date,'Loan Tape (S&amp;P)'!L5889,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90">
      <c r="J5890">
        <f>LET(
    lien,'Loan Tape (S&amp;P)'!Q5890,
    IF(lien="First",1.00,
        IF(lien="Second",1.50,
            1.70)))</f>
        <v/>
      </c>
      <c r="K5890">
        <f>LET(
    purpose,'Loan Tape (S&amp;P)'!R5890,
    IF(purpose="Purchase",1.00,
        IF(purpose="Remortgage",1.00,
            1.20)))</f>
        <v/>
      </c>
      <c r="L5890">
        <f>LET(
    arrears_months,'Loan Tape (S&amp;P)'!AN5890,
    IF(arrears_months=0,1.00,
    IF(arrears_months=1,3.00,
    IF(arrears_months=2,5.00,
    IF(arrears_months=3,8.00,
    IF(arrears_months=4,10.00,
    IF(arrears_months=5,12.00,15.00)))))))</f>
        <v/>
      </c>
      <c r="M5890">
        <f>LET(
    seasoning_years,DATEDIF('Loan Tape (S&amp;P)'!K5890,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90">
        <f>IF(AND('Loan Tape (S&amp;P)'!U5890="Yes",
        'Loan Tape (S&amp;P)'!T5890&lt;&gt;"Yes",
        DATEDIF('Loan Tape (S&amp;P)'!K5890, TODAY(), "M")&lt;18),
    1.10,
    1.00)</f>
        <v/>
      </c>
      <c r="O5890">
        <f>IF('Loan Tape (S&amp;P)'!T5890="Yes",
    1.35,
    1.00)</f>
        <v/>
      </c>
      <c r="P5890">
        <f>IF('Loan Tape (S&amp;P)'!S5890="Yes",
    1.15,
    1.00)</f>
        <v/>
      </c>
      <c r="Q5890">
        <f>IF('Loan Tape (S&amp;P)'!V5890="Yes",
    1.20,
    1.00)</f>
        <v/>
      </c>
      <c r="T5890">
        <f>LET(
    payment_method,'Loan Tape (S&amp;P)'!P5890,
    occupancy,'Loan Tape (S&amp;P)'!N5890,
    maturity_date,'Loan Tape (S&amp;P)'!L5890,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91">
      <c r="J5891">
        <f>LET(
    lien,'Loan Tape (S&amp;P)'!Q5891,
    IF(lien="First",1.00,
        IF(lien="Second",1.50,
            1.70)))</f>
        <v/>
      </c>
      <c r="K5891">
        <f>LET(
    purpose,'Loan Tape (S&amp;P)'!R5891,
    IF(purpose="Purchase",1.00,
        IF(purpose="Remortgage",1.00,
            1.20)))</f>
        <v/>
      </c>
      <c r="L5891">
        <f>LET(
    arrears_months,'Loan Tape (S&amp;P)'!AN5891,
    IF(arrears_months=0,1.00,
    IF(arrears_months=1,3.00,
    IF(arrears_months=2,5.00,
    IF(arrears_months=3,8.00,
    IF(arrears_months=4,10.00,
    IF(arrears_months=5,12.00,15.00)))))))</f>
        <v/>
      </c>
      <c r="M5891">
        <f>LET(
    seasoning_years,DATEDIF('Loan Tape (S&amp;P)'!K5891,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91">
        <f>IF(AND('Loan Tape (S&amp;P)'!U5891="Yes",
        'Loan Tape (S&amp;P)'!T5891&lt;&gt;"Yes",
        DATEDIF('Loan Tape (S&amp;P)'!K5891, TODAY(), "M")&lt;18),
    1.10,
    1.00)</f>
        <v/>
      </c>
      <c r="O5891">
        <f>IF('Loan Tape (S&amp;P)'!T5891="Yes",
    1.35,
    1.00)</f>
        <v/>
      </c>
      <c r="P5891">
        <f>IF('Loan Tape (S&amp;P)'!S5891="Yes",
    1.15,
    1.00)</f>
        <v/>
      </c>
      <c r="Q5891">
        <f>IF('Loan Tape (S&amp;P)'!V5891="Yes",
    1.20,
    1.00)</f>
        <v/>
      </c>
      <c r="T5891">
        <f>LET(
    payment_method,'Loan Tape (S&amp;P)'!P5891,
    occupancy,'Loan Tape (S&amp;P)'!N5891,
    maturity_date,'Loan Tape (S&amp;P)'!L5891,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92">
      <c r="J5892">
        <f>LET(
    lien,'Loan Tape (S&amp;P)'!Q5892,
    IF(lien="First",1.00,
        IF(lien="Second",1.50,
            1.70)))</f>
        <v/>
      </c>
      <c r="K5892">
        <f>LET(
    purpose,'Loan Tape (S&amp;P)'!R5892,
    IF(purpose="Purchase",1.00,
        IF(purpose="Remortgage",1.00,
            1.20)))</f>
        <v/>
      </c>
      <c r="L5892">
        <f>LET(
    arrears_months,'Loan Tape (S&amp;P)'!AN5892,
    IF(arrears_months=0,1.00,
    IF(arrears_months=1,3.00,
    IF(arrears_months=2,5.00,
    IF(arrears_months=3,8.00,
    IF(arrears_months=4,10.00,
    IF(arrears_months=5,12.00,15.00)))))))</f>
        <v/>
      </c>
      <c r="M5892">
        <f>LET(
    seasoning_years,DATEDIF('Loan Tape (S&amp;P)'!K5892,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92">
        <f>IF(AND('Loan Tape (S&amp;P)'!U5892="Yes",
        'Loan Tape (S&amp;P)'!T5892&lt;&gt;"Yes",
        DATEDIF('Loan Tape (S&amp;P)'!K5892, TODAY(), "M")&lt;18),
    1.10,
    1.00)</f>
        <v/>
      </c>
      <c r="O5892">
        <f>IF('Loan Tape (S&amp;P)'!T5892="Yes",
    1.35,
    1.00)</f>
        <v/>
      </c>
      <c r="P5892">
        <f>IF('Loan Tape (S&amp;P)'!S5892="Yes",
    1.15,
    1.00)</f>
        <v/>
      </c>
      <c r="Q5892">
        <f>IF('Loan Tape (S&amp;P)'!V5892="Yes",
    1.20,
    1.00)</f>
        <v/>
      </c>
      <c r="T5892">
        <f>LET(
    payment_method,'Loan Tape (S&amp;P)'!P5892,
    occupancy,'Loan Tape (S&amp;P)'!N5892,
    maturity_date,'Loan Tape (S&amp;P)'!L5892,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93">
      <c r="J5893">
        <f>LET(
    lien,'Loan Tape (S&amp;P)'!Q5893,
    IF(lien="First",1.00,
        IF(lien="Second",1.50,
            1.70)))</f>
        <v/>
      </c>
      <c r="K5893">
        <f>LET(
    purpose,'Loan Tape (S&amp;P)'!R5893,
    IF(purpose="Purchase",1.00,
        IF(purpose="Remortgage",1.00,
            1.20)))</f>
        <v/>
      </c>
      <c r="L5893">
        <f>LET(
    arrears_months,'Loan Tape (S&amp;P)'!AN5893,
    IF(arrears_months=0,1.00,
    IF(arrears_months=1,3.00,
    IF(arrears_months=2,5.00,
    IF(arrears_months=3,8.00,
    IF(arrears_months=4,10.00,
    IF(arrears_months=5,12.00,15.00)))))))</f>
        <v/>
      </c>
      <c r="M5893">
        <f>LET(
    seasoning_years,DATEDIF('Loan Tape (S&amp;P)'!K5893,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93">
        <f>IF(AND('Loan Tape (S&amp;P)'!U5893="Yes",
        'Loan Tape (S&amp;P)'!T5893&lt;&gt;"Yes",
        DATEDIF('Loan Tape (S&amp;P)'!K5893, TODAY(), "M")&lt;18),
    1.10,
    1.00)</f>
        <v/>
      </c>
      <c r="O5893">
        <f>IF('Loan Tape (S&amp;P)'!T5893="Yes",
    1.35,
    1.00)</f>
        <v/>
      </c>
      <c r="P5893">
        <f>IF('Loan Tape (S&amp;P)'!S5893="Yes",
    1.15,
    1.00)</f>
        <v/>
      </c>
      <c r="Q5893">
        <f>IF('Loan Tape (S&amp;P)'!V5893="Yes",
    1.20,
    1.00)</f>
        <v/>
      </c>
      <c r="T5893">
        <f>LET(
    payment_method,'Loan Tape (S&amp;P)'!P5893,
    occupancy,'Loan Tape (S&amp;P)'!N5893,
    maturity_date,'Loan Tape (S&amp;P)'!L5893,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94">
      <c r="J5894">
        <f>LET(
    lien,'Loan Tape (S&amp;P)'!Q5894,
    IF(lien="First",1.00,
        IF(lien="Second",1.50,
            1.70)))</f>
        <v/>
      </c>
      <c r="K5894">
        <f>LET(
    purpose,'Loan Tape (S&amp;P)'!R5894,
    IF(purpose="Purchase",1.00,
        IF(purpose="Remortgage",1.00,
            1.20)))</f>
        <v/>
      </c>
      <c r="L5894">
        <f>LET(
    arrears_months,'Loan Tape (S&amp;P)'!AN5894,
    IF(arrears_months=0,1.00,
    IF(arrears_months=1,3.00,
    IF(arrears_months=2,5.00,
    IF(arrears_months=3,8.00,
    IF(arrears_months=4,10.00,
    IF(arrears_months=5,12.00,15.00)))))))</f>
        <v/>
      </c>
      <c r="M5894">
        <f>LET(
    seasoning_years,DATEDIF('Loan Tape (S&amp;P)'!K5894,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94">
        <f>IF(AND('Loan Tape (S&amp;P)'!U5894="Yes",
        'Loan Tape (S&amp;P)'!T5894&lt;&gt;"Yes",
        DATEDIF('Loan Tape (S&amp;P)'!K5894, TODAY(), "M")&lt;18),
    1.10,
    1.00)</f>
        <v/>
      </c>
      <c r="O5894">
        <f>IF('Loan Tape (S&amp;P)'!T5894="Yes",
    1.35,
    1.00)</f>
        <v/>
      </c>
      <c r="P5894">
        <f>IF('Loan Tape (S&amp;P)'!S5894="Yes",
    1.15,
    1.00)</f>
        <v/>
      </c>
      <c r="Q5894">
        <f>IF('Loan Tape (S&amp;P)'!V5894="Yes",
    1.20,
    1.00)</f>
        <v/>
      </c>
      <c r="T5894">
        <f>LET(
    payment_method,'Loan Tape (S&amp;P)'!P5894,
    occupancy,'Loan Tape (S&amp;P)'!N5894,
    maturity_date,'Loan Tape (S&amp;P)'!L5894,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95">
      <c r="J5895">
        <f>LET(
    lien,'Loan Tape (S&amp;P)'!Q5895,
    IF(lien="First",1.00,
        IF(lien="Second",1.50,
            1.70)))</f>
        <v/>
      </c>
      <c r="K5895">
        <f>LET(
    purpose,'Loan Tape (S&amp;P)'!R5895,
    IF(purpose="Purchase",1.00,
        IF(purpose="Remortgage",1.00,
            1.20)))</f>
        <v/>
      </c>
      <c r="L5895">
        <f>LET(
    arrears_months,'Loan Tape (S&amp;P)'!AN5895,
    IF(arrears_months=0,1.00,
    IF(arrears_months=1,3.00,
    IF(arrears_months=2,5.00,
    IF(arrears_months=3,8.00,
    IF(arrears_months=4,10.00,
    IF(arrears_months=5,12.00,15.00)))))))</f>
        <v/>
      </c>
      <c r="M5895">
        <f>LET(
    seasoning_years,DATEDIF('Loan Tape (S&amp;P)'!K5895,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95">
        <f>IF(AND('Loan Tape (S&amp;P)'!U5895="Yes",
        'Loan Tape (S&amp;P)'!T5895&lt;&gt;"Yes",
        DATEDIF('Loan Tape (S&amp;P)'!K5895, TODAY(), "M")&lt;18),
    1.10,
    1.00)</f>
        <v/>
      </c>
      <c r="O5895">
        <f>IF('Loan Tape (S&amp;P)'!T5895="Yes",
    1.35,
    1.00)</f>
        <v/>
      </c>
      <c r="P5895">
        <f>IF('Loan Tape (S&amp;P)'!S5895="Yes",
    1.15,
    1.00)</f>
        <v/>
      </c>
      <c r="Q5895">
        <f>IF('Loan Tape (S&amp;P)'!V5895="Yes",
    1.20,
    1.00)</f>
        <v/>
      </c>
      <c r="T5895">
        <f>LET(
    payment_method,'Loan Tape (S&amp;P)'!P5895,
    occupancy,'Loan Tape (S&amp;P)'!N5895,
    maturity_date,'Loan Tape (S&amp;P)'!L5895,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96">
      <c r="J5896">
        <f>LET(
    lien,'Loan Tape (S&amp;P)'!Q5896,
    IF(lien="First",1.00,
        IF(lien="Second",1.50,
            1.70)))</f>
        <v/>
      </c>
      <c r="K5896">
        <f>LET(
    purpose,'Loan Tape (S&amp;P)'!R5896,
    IF(purpose="Purchase",1.00,
        IF(purpose="Remortgage",1.00,
            1.20)))</f>
        <v/>
      </c>
      <c r="L5896">
        <f>LET(
    arrears_months,'Loan Tape (S&amp;P)'!AN5896,
    IF(arrears_months=0,1.00,
    IF(arrears_months=1,3.00,
    IF(arrears_months=2,5.00,
    IF(arrears_months=3,8.00,
    IF(arrears_months=4,10.00,
    IF(arrears_months=5,12.00,15.00)))))))</f>
        <v/>
      </c>
      <c r="M5896">
        <f>LET(
    seasoning_years,DATEDIF('Loan Tape (S&amp;P)'!K5896,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96">
        <f>IF(AND('Loan Tape (S&amp;P)'!U5896="Yes",
        'Loan Tape (S&amp;P)'!T5896&lt;&gt;"Yes",
        DATEDIF('Loan Tape (S&amp;P)'!K5896, TODAY(), "M")&lt;18),
    1.10,
    1.00)</f>
        <v/>
      </c>
      <c r="O5896">
        <f>IF('Loan Tape (S&amp;P)'!T5896="Yes",
    1.35,
    1.00)</f>
        <v/>
      </c>
      <c r="P5896">
        <f>IF('Loan Tape (S&amp;P)'!S5896="Yes",
    1.15,
    1.00)</f>
        <v/>
      </c>
      <c r="Q5896">
        <f>IF('Loan Tape (S&amp;P)'!V5896="Yes",
    1.20,
    1.00)</f>
        <v/>
      </c>
      <c r="T5896">
        <f>LET(
    payment_method,'Loan Tape (S&amp;P)'!P5896,
    occupancy,'Loan Tape (S&amp;P)'!N5896,
    maturity_date,'Loan Tape (S&amp;P)'!L5896,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97">
      <c r="J5897">
        <f>LET(
    lien,'Loan Tape (S&amp;P)'!Q5897,
    IF(lien="First",1.00,
        IF(lien="Second",1.50,
            1.70)))</f>
        <v/>
      </c>
      <c r="K5897">
        <f>LET(
    purpose,'Loan Tape (S&amp;P)'!R5897,
    IF(purpose="Purchase",1.00,
        IF(purpose="Remortgage",1.00,
            1.20)))</f>
        <v/>
      </c>
      <c r="L5897">
        <f>LET(
    arrears_months,'Loan Tape (S&amp;P)'!AN5897,
    IF(arrears_months=0,1.00,
    IF(arrears_months=1,3.00,
    IF(arrears_months=2,5.00,
    IF(arrears_months=3,8.00,
    IF(arrears_months=4,10.00,
    IF(arrears_months=5,12.00,15.00)))))))</f>
        <v/>
      </c>
      <c r="M5897">
        <f>LET(
    seasoning_years,DATEDIF('Loan Tape (S&amp;P)'!K5897,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97">
        <f>IF(AND('Loan Tape (S&amp;P)'!U5897="Yes",
        'Loan Tape (S&amp;P)'!T5897&lt;&gt;"Yes",
        DATEDIF('Loan Tape (S&amp;P)'!K5897, TODAY(), "M")&lt;18),
    1.10,
    1.00)</f>
        <v/>
      </c>
      <c r="O5897">
        <f>IF('Loan Tape (S&amp;P)'!T5897="Yes",
    1.35,
    1.00)</f>
        <v/>
      </c>
      <c r="P5897">
        <f>IF('Loan Tape (S&amp;P)'!S5897="Yes",
    1.15,
    1.00)</f>
        <v/>
      </c>
      <c r="Q5897">
        <f>IF('Loan Tape (S&amp;P)'!V5897="Yes",
    1.20,
    1.00)</f>
        <v/>
      </c>
      <c r="T5897">
        <f>LET(
    payment_method,'Loan Tape (S&amp;P)'!P5897,
    occupancy,'Loan Tape (S&amp;P)'!N5897,
    maturity_date,'Loan Tape (S&amp;P)'!L5897,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98">
      <c r="J5898">
        <f>LET(
    lien,'Loan Tape (S&amp;P)'!Q5898,
    IF(lien="First",1.00,
        IF(lien="Second",1.50,
            1.70)))</f>
        <v/>
      </c>
      <c r="K5898">
        <f>LET(
    purpose,'Loan Tape (S&amp;P)'!R5898,
    IF(purpose="Purchase",1.00,
        IF(purpose="Remortgage",1.00,
            1.20)))</f>
        <v/>
      </c>
      <c r="L5898">
        <f>LET(
    arrears_months,'Loan Tape (S&amp;P)'!AN5898,
    IF(arrears_months=0,1.00,
    IF(arrears_months=1,3.00,
    IF(arrears_months=2,5.00,
    IF(arrears_months=3,8.00,
    IF(arrears_months=4,10.00,
    IF(arrears_months=5,12.00,15.00)))))))</f>
        <v/>
      </c>
      <c r="M5898">
        <f>LET(
    seasoning_years,DATEDIF('Loan Tape (S&amp;P)'!K5898,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98">
        <f>IF(AND('Loan Tape (S&amp;P)'!U5898="Yes",
        'Loan Tape (S&amp;P)'!T5898&lt;&gt;"Yes",
        DATEDIF('Loan Tape (S&amp;P)'!K5898, TODAY(), "M")&lt;18),
    1.10,
    1.00)</f>
        <v/>
      </c>
      <c r="O5898">
        <f>IF('Loan Tape (S&amp;P)'!T5898="Yes",
    1.35,
    1.00)</f>
        <v/>
      </c>
      <c r="P5898">
        <f>IF('Loan Tape (S&amp;P)'!S5898="Yes",
    1.15,
    1.00)</f>
        <v/>
      </c>
      <c r="Q5898">
        <f>IF('Loan Tape (S&amp;P)'!V5898="Yes",
    1.20,
    1.00)</f>
        <v/>
      </c>
      <c r="T5898">
        <f>LET(
    payment_method,'Loan Tape (S&amp;P)'!P5898,
    occupancy,'Loan Tape (S&amp;P)'!N5898,
    maturity_date,'Loan Tape (S&amp;P)'!L5898,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899">
      <c r="J5899">
        <f>LET(
    lien,'Loan Tape (S&amp;P)'!Q5899,
    IF(lien="First",1.00,
        IF(lien="Second",1.50,
            1.70)))</f>
        <v/>
      </c>
      <c r="K5899">
        <f>LET(
    purpose,'Loan Tape (S&amp;P)'!R5899,
    IF(purpose="Purchase",1.00,
        IF(purpose="Remortgage",1.00,
            1.20)))</f>
        <v/>
      </c>
      <c r="L5899">
        <f>LET(
    arrears_months,'Loan Tape (S&amp;P)'!AN5899,
    IF(arrears_months=0,1.00,
    IF(arrears_months=1,3.00,
    IF(arrears_months=2,5.00,
    IF(arrears_months=3,8.00,
    IF(arrears_months=4,10.00,
    IF(arrears_months=5,12.00,15.00)))))))</f>
        <v/>
      </c>
      <c r="M5899">
        <f>LET(
    seasoning_years,DATEDIF('Loan Tape (S&amp;P)'!K5899,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899">
        <f>IF(AND('Loan Tape (S&amp;P)'!U5899="Yes",
        'Loan Tape (S&amp;P)'!T5899&lt;&gt;"Yes",
        DATEDIF('Loan Tape (S&amp;P)'!K5899, TODAY(), "M")&lt;18),
    1.10,
    1.00)</f>
        <v/>
      </c>
      <c r="O5899">
        <f>IF('Loan Tape (S&amp;P)'!T5899="Yes",
    1.35,
    1.00)</f>
        <v/>
      </c>
      <c r="P5899">
        <f>IF('Loan Tape (S&amp;P)'!S5899="Yes",
    1.15,
    1.00)</f>
        <v/>
      </c>
      <c r="Q5899">
        <f>IF('Loan Tape (S&amp;P)'!V5899="Yes",
    1.20,
    1.00)</f>
        <v/>
      </c>
      <c r="T5899">
        <f>LET(
    payment_method,'Loan Tape (S&amp;P)'!P5899,
    occupancy,'Loan Tape (S&amp;P)'!N5899,
    maturity_date,'Loan Tape (S&amp;P)'!L5899,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00">
      <c r="J5900">
        <f>LET(
    lien,'Loan Tape (S&amp;P)'!Q5900,
    IF(lien="First",1.00,
        IF(lien="Second",1.50,
            1.70)))</f>
        <v/>
      </c>
      <c r="K5900">
        <f>LET(
    purpose,'Loan Tape (S&amp;P)'!R5900,
    IF(purpose="Purchase",1.00,
        IF(purpose="Remortgage",1.00,
            1.20)))</f>
        <v/>
      </c>
      <c r="L5900">
        <f>LET(
    arrears_months,'Loan Tape (S&amp;P)'!AN5900,
    IF(arrears_months=0,1.00,
    IF(arrears_months=1,3.00,
    IF(arrears_months=2,5.00,
    IF(arrears_months=3,8.00,
    IF(arrears_months=4,10.00,
    IF(arrears_months=5,12.00,15.00)))))))</f>
        <v/>
      </c>
      <c r="M5900">
        <f>LET(
    seasoning_years,DATEDIF('Loan Tape (S&amp;P)'!K5900,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00">
        <f>IF(AND('Loan Tape (S&amp;P)'!U5900="Yes",
        'Loan Tape (S&amp;P)'!T5900&lt;&gt;"Yes",
        DATEDIF('Loan Tape (S&amp;P)'!K5900, TODAY(), "M")&lt;18),
    1.10,
    1.00)</f>
        <v/>
      </c>
      <c r="O5900">
        <f>IF('Loan Tape (S&amp;P)'!T5900="Yes",
    1.35,
    1.00)</f>
        <v/>
      </c>
      <c r="P5900">
        <f>IF('Loan Tape (S&amp;P)'!S5900="Yes",
    1.15,
    1.00)</f>
        <v/>
      </c>
      <c r="Q5900">
        <f>IF('Loan Tape (S&amp;P)'!V5900="Yes",
    1.20,
    1.00)</f>
        <v/>
      </c>
      <c r="T5900">
        <f>LET(
    payment_method,'Loan Tape (S&amp;P)'!P5900,
    occupancy,'Loan Tape (S&amp;P)'!N5900,
    maturity_date,'Loan Tape (S&amp;P)'!L5900,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01">
      <c r="J5901">
        <f>LET(
    lien,'Loan Tape (S&amp;P)'!Q5901,
    IF(lien="First",1.00,
        IF(lien="Second",1.50,
            1.70)))</f>
        <v/>
      </c>
      <c r="K5901">
        <f>LET(
    purpose,'Loan Tape (S&amp;P)'!R5901,
    IF(purpose="Purchase",1.00,
        IF(purpose="Remortgage",1.00,
            1.20)))</f>
        <v/>
      </c>
      <c r="L5901">
        <f>LET(
    arrears_months,'Loan Tape (S&amp;P)'!AN5901,
    IF(arrears_months=0,1.00,
    IF(arrears_months=1,3.00,
    IF(arrears_months=2,5.00,
    IF(arrears_months=3,8.00,
    IF(arrears_months=4,10.00,
    IF(arrears_months=5,12.00,15.00)))))))</f>
        <v/>
      </c>
      <c r="M5901">
        <f>LET(
    seasoning_years,DATEDIF('Loan Tape (S&amp;P)'!K5901,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01">
        <f>IF(AND('Loan Tape (S&amp;P)'!U5901="Yes",
        'Loan Tape (S&amp;P)'!T5901&lt;&gt;"Yes",
        DATEDIF('Loan Tape (S&amp;P)'!K5901, TODAY(), "M")&lt;18),
    1.10,
    1.00)</f>
        <v/>
      </c>
      <c r="O5901">
        <f>IF('Loan Tape (S&amp;P)'!T5901="Yes",
    1.35,
    1.00)</f>
        <v/>
      </c>
      <c r="P5901">
        <f>IF('Loan Tape (S&amp;P)'!S5901="Yes",
    1.15,
    1.00)</f>
        <v/>
      </c>
      <c r="Q5901">
        <f>IF('Loan Tape (S&amp;P)'!V5901="Yes",
    1.20,
    1.00)</f>
        <v/>
      </c>
      <c r="T5901">
        <f>LET(
    payment_method,'Loan Tape (S&amp;P)'!P5901,
    occupancy,'Loan Tape (S&amp;P)'!N5901,
    maturity_date,'Loan Tape (S&amp;P)'!L5901,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02">
      <c r="J5902">
        <f>LET(
    lien,'Loan Tape (S&amp;P)'!Q5902,
    IF(lien="First",1.00,
        IF(lien="Second",1.50,
            1.70)))</f>
        <v/>
      </c>
      <c r="K5902">
        <f>LET(
    purpose,'Loan Tape (S&amp;P)'!R5902,
    IF(purpose="Purchase",1.00,
        IF(purpose="Remortgage",1.00,
            1.20)))</f>
        <v/>
      </c>
      <c r="L5902">
        <f>LET(
    arrears_months,'Loan Tape (S&amp;P)'!AN5902,
    IF(arrears_months=0,1.00,
    IF(arrears_months=1,3.00,
    IF(arrears_months=2,5.00,
    IF(arrears_months=3,8.00,
    IF(arrears_months=4,10.00,
    IF(arrears_months=5,12.00,15.00)))))))</f>
        <v/>
      </c>
      <c r="M5902">
        <f>LET(
    seasoning_years,DATEDIF('Loan Tape (S&amp;P)'!K5902,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02">
        <f>IF(AND('Loan Tape (S&amp;P)'!U5902="Yes",
        'Loan Tape (S&amp;P)'!T5902&lt;&gt;"Yes",
        DATEDIF('Loan Tape (S&amp;P)'!K5902, TODAY(), "M")&lt;18),
    1.10,
    1.00)</f>
        <v/>
      </c>
      <c r="O5902">
        <f>IF('Loan Tape (S&amp;P)'!T5902="Yes",
    1.35,
    1.00)</f>
        <v/>
      </c>
      <c r="P5902">
        <f>IF('Loan Tape (S&amp;P)'!S5902="Yes",
    1.15,
    1.00)</f>
        <v/>
      </c>
      <c r="Q5902">
        <f>IF('Loan Tape (S&amp;P)'!V5902="Yes",
    1.20,
    1.00)</f>
        <v/>
      </c>
      <c r="T5902">
        <f>LET(
    payment_method,'Loan Tape (S&amp;P)'!P5902,
    occupancy,'Loan Tape (S&amp;P)'!N5902,
    maturity_date,'Loan Tape (S&amp;P)'!L5902,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03">
      <c r="J5903">
        <f>LET(
    lien,'Loan Tape (S&amp;P)'!Q5903,
    IF(lien="First",1.00,
        IF(lien="Second",1.50,
            1.70)))</f>
        <v/>
      </c>
      <c r="K5903">
        <f>LET(
    purpose,'Loan Tape (S&amp;P)'!R5903,
    IF(purpose="Purchase",1.00,
        IF(purpose="Remortgage",1.00,
            1.20)))</f>
        <v/>
      </c>
      <c r="L5903">
        <f>LET(
    arrears_months,'Loan Tape (S&amp;P)'!AN5903,
    IF(arrears_months=0,1.00,
    IF(arrears_months=1,3.00,
    IF(arrears_months=2,5.00,
    IF(arrears_months=3,8.00,
    IF(arrears_months=4,10.00,
    IF(arrears_months=5,12.00,15.00)))))))</f>
        <v/>
      </c>
      <c r="M5903">
        <f>LET(
    seasoning_years,DATEDIF('Loan Tape (S&amp;P)'!K5903,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03">
        <f>IF(AND('Loan Tape (S&amp;P)'!U5903="Yes",
        'Loan Tape (S&amp;P)'!T5903&lt;&gt;"Yes",
        DATEDIF('Loan Tape (S&amp;P)'!K5903, TODAY(), "M")&lt;18),
    1.10,
    1.00)</f>
        <v/>
      </c>
      <c r="O5903">
        <f>IF('Loan Tape (S&amp;P)'!T5903="Yes",
    1.35,
    1.00)</f>
        <v/>
      </c>
      <c r="P5903">
        <f>IF('Loan Tape (S&amp;P)'!S5903="Yes",
    1.15,
    1.00)</f>
        <v/>
      </c>
      <c r="Q5903">
        <f>IF('Loan Tape (S&amp;P)'!V5903="Yes",
    1.20,
    1.00)</f>
        <v/>
      </c>
      <c r="T5903">
        <f>LET(
    payment_method,'Loan Tape (S&amp;P)'!P5903,
    occupancy,'Loan Tape (S&amp;P)'!N5903,
    maturity_date,'Loan Tape (S&amp;P)'!L5903,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04">
      <c r="J5904">
        <f>LET(
    lien,'Loan Tape (S&amp;P)'!Q5904,
    IF(lien="First",1.00,
        IF(lien="Second",1.50,
            1.70)))</f>
        <v/>
      </c>
      <c r="K5904">
        <f>LET(
    purpose,'Loan Tape (S&amp;P)'!R5904,
    IF(purpose="Purchase",1.00,
        IF(purpose="Remortgage",1.00,
            1.20)))</f>
        <v/>
      </c>
      <c r="L5904">
        <f>LET(
    arrears_months,'Loan Tape (S&amp;P)'!AN5904,
    IF(arrears_months=0,1.00,
    IF(arrears_months=1,3.00,
    IF(arrears_months=2,5.00,
    IF(arrears_months=3,8.00,
    IF(arrears_months=4,10.00,
    IF(arrears_months=5,12.00,15.00)))))))</f>
        <v/>
      </c>
      <c r="M5904">
        <f>LET(
    seasoning_years,DATEDIF('Loan Tape (S&amp;P)'!K5904,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04">
        <f>IF(AND('Loan Tape (S&amp;P)'!U5904="Yes",
        'Loan Tape (S&amp;P)'!T5904&lt;&gt;"Yes",
        DATEDIF('Loan Tape (S&amp;P)'!K5904, TODAY(), "M")&lt;18),
    1.10,
    1.00)</f>
        <v/>
      </c>
      <c r="O5904">
        <f>IF('Loan Tape (S&amp;P)'!T5904="Yes",
    1.35,
    1.00)</f>
        <v/>
      </c>
      <c r="P5904">
        <f>IF('Loan Tape (S&amp;P)'!S5904="Yes",
    1.15,
    1.00)</f>
        <v/>
      </c>
      <c r="Q5904">
        <f>IF('Loan Tape (S&amp;P)'!V5904="Yes",
    1.20,
    1.00)</f>
        <v/>
      </c>
      <c r="T5904">
        <f>LET(
    payment_method,'Loan Tape (S&amp;P)'!P5904,
    occupancy,'Loan Tape (S&amp;P)'!N5904,
    maturity_date,'Loan Tape (S&amp;P)'!L5904,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05">
      <c r="J5905">
        <f>LET(
    lien,'Loan Tape (S&amp;P)'!Q5905,
    IF(lien="First",1.00,
        IF(lien="Second",1.50,
            1.70)))</f>
        <v/>
      </c>
      <c r="K5905">
        <f>LET(
    purpose,'Loan Tape (S&amp;P)'!R5905,
    IF(purpose="Purchase",1.00,
        IF(purpose="Remortgage",1.00,
            1.20)))</f>
        <v/>
      </c>
      <c r="L5905">
        <f>LET(
    arrears_months,'Loan Tape (S&amp;P)'!AN5905,
    IF(arrears_months=0,1.00,
    IF(arrears_months=1,3.00,
    IF(arrears_months=2,5.00,
    IF(arrears_months=3,8.00,
    IF(arrears_months=4,10.00,
    IF(arrears_months=5,12.00,15.00)))))))</f>
        <v/>
      </c>
      <c r="M5905">
        <f>LET(
    seasoning_years,DATEDIF('Loan Tape (S&amp;P)'!K5905,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05">
        <f>IF(AND('Loan Tape (S&amp;P)'!U5905="Yes",
        'Loan Tape (S&amp;P)'!T5905&lt;&gt;"Yes",
        DATEDIF('Loan Tape (S&amp;P)'!K5905, TODAY(), "M")&lt;18),
    1.10,
    1.00)</f>
        <v/>
      </c>
      <c r="O5905">
        <f>IF('Loan Tape (S&amp;P)'!T5905="Yes",
    1.35,
    1.00)</f>
        <v/>
      </c>
      <c r="P5905">
        <f>IF('Loan Tape (S&amp;P)'!S5905="Yes",
    1.15,
    1.00)</f>
        <v/>
      </c>
      <c r="Q5905">
        <f>IF('Loan Tape (S&amp;P)'!V5905="Yes",
    1.20,
    1.00)</f>
        <v/>
      </c>
      <c r="T5905">
        <f>LET(
    payment_method,'Loan Tape (S&amp;P)'!P5905,
    occupancy,'Loan Tape (S&amp;P)'!N5905,
    maturity_date,'Loan Tape (S&amp;P)'!L5905,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06">
      <c r="J5906">
        <f>LET(
    lien,'Loan Tape (S&amp;P)'!Q5906,
    IF(lien="First",1.00,
        IF(lien="Second",1.50,
            1.70)))</f>
        <v/>
      </c>
      <c r="K5906">
        <f>LET(
    purpose,'Loan Tape (S&amp;P)'!R5906,
    IF(purpose="Purchase",1.00,
        IF(purpose="Remortgage",1.00,
            1.20)))</f>
        <v/>
      </c>
      <c r="L5906">
        <f>LET(
    arrears_months,'Loan Tape (S&amp;P)'!AN5906,
    IF(arrears_months=0,1.00,
    IF(arrears_months=1,3.00,
    IF(arrears_months=2,5.00,
    IF(arrears_months=3,8.00,
    IF(arrears_months=4,10.00,
    IF(arrears_months=5,12.00,15.00)))))))</f>
        <v/>
      </c>
      <c r="M5906">
        <f>LET(
    seasoning_years,DATEDIF('Loan Tape (S&amp;P)'!K5906,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06">
        <f>IF(AND('Loan Tape (S&amp;P)'!U5906="Yes",
        'Loan Tape (S&amp;P)'!T5906&lt;&gt;"Yes",
        DATEDIF('Loan Tape (S&amp;P)'!K5906, TODAY(), "M")&lt;18),
    1.10,
    1.00)</f>
        <v/>
      </c>
      <c r="O5906">
        <f>IF('Loan Tape (S&amp;P)'!T5906="Yes",
    1.35,
    1.00)</f>
        <v/>
      </c>
      <c r="P5906">
        <f>IF('Loan Tape (S&amp;P)'!S5906="Yes",
    1.15,
    1.00)</f>
        <v/>
      </c>
      <c r="Q5906">
        <f>IF('Loan Tape (S&amp;P)'!V5906="Yes",
    1.20,
    1.00)</f>
        <v/>
      </c>
      <c r="T5906">
        <f>LET(
    payment_method,'Loan Tape (S&amp;P)'!P5906,
    occupancy,'Loan Tape (S&amp;P)'!N5906,
    maturity_date,'Loan Tape (S&amp;P)'!L5906,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07">
      <c r="J5907">
        <f>LET(
    lien,'Loan Tape (S&amp;P)'!Q5907,
    IF(lien="First",1.00,
        IF(lien="Second",1.50,
            1.70)))</f>
        <v/>
      </c>
      <c r="K5907">
        <f>LET(
    purpose,'Loan Tape (S&amp;P)'!R5907,
    IF(purpose="Purchase",1.00,
        IF(purpose="Remortgage",1.00,
            1.20)))</f>
        <v/>
      </c>
      <c r="L5907">
        <f>LET(
    arrears_months,'Loan Tape (S&amp;P)'!AN5907,
    IF(arrears_months=0,1.00,
    IF(arrears_months=1,3.00,
    IF(arrears_months=2,5.00,
    IF(arrears_months=3,8.00,
    IF(arrears_months=4,10.00,
    IF(arrears_months=5,12.00,15.00)))))))</f>
        <v/>
      </c>
      <c r="M5907">
        <f>LET(
    seasoning_years,DATEDIF('Loan Tape (S&amp;P)'!K5907,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07">
        <f>IF(AND('Loan Tape (S&amp;P)'!U5907="Yes",
        'Loan Tape (S&amp;P)'!T5907&lt;&gt;"Yes",
        DATEDIF('Loan Tape (S&amp;P)'!K5907, TODAY(), "M")&lt;18),
    1.10,
    1.00)</f>
        <v/>
      </c>
      <c r="O5907">
        <f>IF('Loan Tape (S&amp;P)'!T5907="Yes",
    1.35,
    1.00)</f>
        <v/>
      </c>
      <c r="P5907">
        <f>IF('Loan Tape (S&amp;P)'!S5907="Yes",
    1.15,
    1.00)</f>
        <v/>
      </c>
      <c r="Q5907">
        <f>IF('Loan Tape (S&amp;P)'!V5907="Yes",
    1.20,
    1.00)</f>
        <v/>
      </c>
      <c r="T5907">
        <f>LET(
    payment_method,'Loan Tape (S&amp;P)'!P5907,
    occupancy,'Loan Tape (S&amp;P)'!N5907,
    maturity_date,'Loan Tape (S&amp;P)'!L5907,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08">
      <c r="J5908">
        <f>LET(
    lien,'Loan Tape (S&amp;P)'!Q5908,
    IF(lien="First",1.00,
        IF(lien="Second",1.50,
            1.70)))</f>
        <v/>
      </c>
      <c r="K5908">
        <f>LET(
    purpose,'Loan Tape (S&amp;P)'!R5908,
    IF(purpose="Purchase",1.00,
        IF(purpose="Remortgage",1.00,
            1.20)))</f>
        <v/>
      </c>
      <c r="L5908">
        <f>LET(
    arrears_months,'Loan Tape (S&amp;P)'!AN5908,
    IF(arrears_months=0,1.00,
    IF(arrears_months=1,3.00,
    IF(arrears_months=2,5.00,
    IF(arrears_months=3,8.00,
    IF(arrears_months=4,10.00,
    IF(arrears_months=5,12.00,15.00)))))))</f>
        <v/>
      </c>
      <c r="M5908">
        <f>LET(
    seasoning_years,DATEDIF('Loan Tape (S&amp;P)'!K5908,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08">
        <f>IF(AND('Loan Tape (S&amp;P)'!U5908="Yes",
        'Loan Tape (S&amp;P)'!T5908&lt;&gt;"Yes",
        DATEDIF('Loan Tape (S&amp;P)'!K5908, TODAY(), "M")&lt;18),
    1.10,
    1.00)</f>
        <v/>
      </c>
      <c r="O5908">
        <f>IF('Loan Tape (S&amp;P)'!T5908="Yes",
    1.35,
    1.00)</f>
        <v/>
      </c>
      <c r="P5908">
        <f>IF('Loan Tape (S&amp;P)'!S5908="Yes",
    1.15,
    1.00)</f>
        <v/>
      </c>
      <c r="Q5908">
        <f>IF('Loan Tape (S&amp;P)'!V5908="Yes",
    1.20,
    1.00)</f>
        <v/>
      </c>
      <c r="T5908">
        <f>LET(
    payment_method,'Loan Tape (S&amp;P)'!P5908,
    occupancy,'Loan Tape (S&amp;P)'!N5908,
    maturity_date,'Loan Tape (S&amp;P)'!L5908,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09">
      <c r="J5909">
        <f>LET(
    lien,'Loan Tape (S&amp;P)'!Q5909,
    IF(lien="First",1.00,
        IF(lien="Second",1.50,
            1.70)))</f>
        <v/>
      </c>
      <c r="K5909">
        <f>LET(
    purpose,'Loan Tape (S&amp;P)'!R5909,
    IF(purpose="Purchase",1.00,
        IF(purpose="Remortgage",1.00,
            1.20)))</f>
        <v/>
      </c>
      <c r="L5909">
        <f>LET(
    arrears_months,'Loan Tape (S&amp;P)'!AN5909,
    IF(arrears_months=0,1.00,
    IF(arrears_months=1,3.00,
    IF(arrears_months=2,5.00,
    IF(arrears_months=3,8.00,
    IF(arrears_months=4,10.00,
    IF(arrears_months=5,12.00,15.00)))))))</f>
        <v/>
      </c>
      <c r="M5909">
        <f>LET(
    seasoning_years,DATEDIF('Loan Tape (S&amp;P)'!K5909,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09">
        <f>IF(AND('Loan Tape (S&amp;P)'!U5909="Yes",
        'Loan Tape (S&amp;P)'!T5909&lt;&gt;"Yes",
        DATEDIF('Loan Tape (S&amp;P)'!K5909, TODAY(), "M")&lt;18),
    1.10,
    1.00)</f>
        <v/>
      </c>
      <c r="O5909">
        <f>IF('Loan Tape (S&amp;P)'!T5909="Yes",
    1.35,
    1.00)</f>
        <v/>
      </c>
      <c r="P5909">
        <f>IF('Loan Tape (S&amp;P)'!S5909="Yes",
    1.15,
    1.00)</f>
        <v/>
      </c>
      <c r="Q5909">
        <f>IF('Loan Tape (S&amp;P)'!V5909="Yes",
    1.20,
    1.00)</f>
        <v/>
      </c>
      <c r="T5909">
        <f>LET(
    payment_method,'Loan Tape (S&amp;P)'!P5909,
    occupancy,'Loan Tape (S&amp;P)'!N5909,
    maturity_date,'Loan Tape (S&amp;P)'!L5909,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10">
      <c r="J5910">
        <f>LET(
    lien,'Loan Tape (S&amp;P)'!Q5910,
    IF(lien="First",1.00,
        IF(lien="Second",1.50,
            1.70)))</f>
        <v/>
      </c>
      <c r="K5910">
        <f>LET(
    purpose,'Loan Tape (S&amp;P)'!R5910,
    IF(purpose="Purchase",1.00,
        IF(purpose="Remortgage",1.00,
            1.20)))</f>
        <v/>
      </c>
      <c r="L5910">
        <f>LET(
    arrears_months,'Loan Tape (S&amp;P)'!AN5910,
    IF(arrears_months=0,1.00,
    IF(arrears_months=1,3.00,
    IF(arrears_months=2,5.00,
    IF(arrears_months=3,8.00,
    IF(arrears_months=4,10.00,
    IF(arrears_months=5,12.00,15.00)))))))</f>
        <v/>
      </c>
      <c r="M5910">
        <f>LET(
    seasoning_years,DATEDIF('Loan Tape (S&amp;P)'!K5910,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10">
        <f>IF(AND('Loan Tape (S&amp;P)'!U5910="Yes",
        'Loan Tape (S&amp;P)'!T5910&lt;&gt;"Yes",
        DATEDIF('Loan Tape (S&amp;P)'!K5910, TODAY(), "M")&lt;18),
    1.10,
    1.00)</f>
        <v/>
      </c>
      <c r="O5910">
        <f>IF('Loan Tape (S&amp;P)'!T5910="Yes",
    1.35,
    1.00)</f>
        <v/>
      </c>
      <c r="P5910">
        <f>IF('Loan Tape (S&amp;P)'!S5910="Yes",
    1.15,
    1.00)</f>
        <v/>
      </c>
      <c r="Q5910">
        <f>IF('Loan Tape (S&amp;P)'!V5910="Yes",
    1.20,
    1.00)</f>
        <v/>
      </c>
      <c r="T5910">
        <f>LET(
    payment_method,'Loan Tape (S&amp;P)'!P5910,
    occupancy,'Loan Tape (S&amp;P)'!N5910,
    maturity_date,'Loan Tape (S&amp;P)'!L5910,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11">
      <c r="J5911">
        <f>LET(
    lien,'Loan Tape (S&amp;P)'!Q5911,
    IF(lien="First",1.00,
        IF(lien="Second",1.50,
            1.70)))</f>
        <v/>
      </c>
      <c r="K5911">
        <f>LET(
    purpose,'Loan Tape (S&amp;P)'!R5911,
    IF(purpose="Purchase",1.00,
        IF(purpose="Remortgage",1.00,
            1.20)))</f>
        <v/>
      </c>
      <c r="L5911">
        <f>LET(
    arrears_months,'Loan Tape (S&amp;P)'!AN5911,
    IF(arrears_months=0,1.00,
    IF(arrears_months=1,3.00,
    IF(arrears_months=2,5.00,
    IF(arrears_months=3,8.00,
    IF(arrears_months=4,10.00,
    IF(arrears_months=5,12.00,15.00)))))))</f>
        <v/>
      </c>
      <c r="M5911">
        <f>LET(
    seasoning_years,DATEDIF('Loan Tape (S&amp;P)'!K5911,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11">
        <f>IF(AND('Loan Tape (S&amp;P)'!U5911="Yes",
        'Loan Tape (S&amp;P)'!T5911&lt;&gt;"Yes",
        DATEDIF('Loan Tape (S&amp;P)'!K5911, TODAY(), "M")&lt;18),
    1.10,
    1.00)</f>
        <v/>
      </c>
      <c r="O5911">
        <f>IF('Loan Tape (S&amp;P)'!T5911="Yes",
    1.35,
    1.00)</f>
        <v/>
      </c>
      <c r="P5911">
        <f>IF('Loan Tape (S&amp;P)'!S5911="Yes",
    1.15,
    1.00)</f>
        <v/>
      </c>
      <c r="Q5911">
        <f>IF('Loan Tape (S&amp;P)'!V5911="Yes",
    1.20,
    1.00)</f>
        <v/>
      </c>
      <c r="T5911">
        <f>LET(
    payment_method,'Loan Tape (S&amp;P)'!P5911,
    occupancy,'Loan Tape (S&amp;P)'!N5911,
    maturity_date,'Loan Tape (S&amp;P)'!L5911,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12">
      <c r="J5912">
        <f>LET(
    lien,'Loan Tape (S&amp;P)'!Q5912,
    IF(lien="First",1.00,
        IF(lien="Second",1.50,
            1.70)))</f>
        <v/>
      </c>
      <c r="K5912">
        <f>LET(
    purpose,'Loan Tape (S&amp;P)'!R5912,
    IF(purpose="Purchase",1.00,
        IF(purpose="Remortgage",1.00,
            1.20)))</f>
        <v/>
      </c>
      <c r="L5912">
        <f>LET(
    arrears_months,'Loan Tape (S&amp;P)'!AN5912,
    IF(arrears_months=0,1.00,
    IF(arrears_months=1,3.00,
    IF(arrears_months=2,5.00,
    IF(arrears_months=3,8.00,
    IF(arrears_months=4,10.00,
    IF(arrears_months=5,12.00,15.00)))))))</f>
        <v/>
      </c>
      <c r="M5912">
        <f>LET(
    seasoning_years,DATEDIF('Loan Tape (S&amp;P)'!K5912,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12">
        <f>IF(AND('Loan Tape (S&amp;P)'!U5912="Yes",
        'Loan Tape (S&amp;P)'!T5912&lt;&gt;"Yes",
        DATEDIF('Loan Tape (S&amp;P)'!K5912, TODAY(), "M")&lt;18),
    1.10,
    1.00)</f>
        <v/>
      </c>
      <c r="O5912">
        <f>IF('Loan Tape (S&amp;P)'!T5912="Yes",
    1.35,
    1.00)</f>
        <v/>
      </c>
      <c r="P5912">
        <f>IF('Loan Tape (S&amp;P)'!S5912="Yes",
    1.15,
    1.00)</f>
        <v/>
      </c>
      <c r="Q5912">
        <f>IF('Loan Tape (S&amp;P)'!V5912="Yes",
    1.20,
    1.00)</f>
        <v/>
      </c>
      <c r="T5912">
        <f>LET(
    payment_method,'Loan Tape (S&amp;P)'!P5912,
    occupancy,'Loan Tape (S&amp;P)'!N5912,
    maturity_date,'Loan Tape (S&amp;P)'!L5912,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13">
      <c r="J5913">
        <f>LET(
    lien,'Loan Tape (S&amp;P)'!Q5913,
    IF(lien="First",1.00,
        IF(lien="Second",1.50,
            1.70)))</f>
        <v/>
      </c>
      <c r="K5913">
        <f>LET(
    purpose,'Loan Tape (S&amp;P)'!R5913,
    IF(purpose="Purchase",1.00,
        IF(purpose="Remortgage",1.00,
            1.20)))</f>
        <v/>
      </c>
      <c r="L5913">
        <f>LET(
    arrears_months,'Loan Tape (S&amp;P)'!AN5913,
    IF(arrears_months=0,1.00,
    IF(arrears_months=1,3.00,
    IF(arrears_months=2,5.00,
    IF(arrears_months=3,8.00,
    IF(arrears_months=4,10.00,
    IF(arrears_months=5,12.00,15.00)))))))</f>
        <v/>
      </c>
      <c r="M5913">
        <f>LET(
    seasoning_years,DATEDIF('Loan Tape (S&amp;P)'!K5913,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13">
        <f>IF(AND('Loan Tape (S&amp;P)'!U5913="Yes",
        'Loan Tape (S&amp;P)'!T5913&lt;&gt;"Yes",
        DATEDIF('Loan Tape (S&amp;P)'!K5913, TODAY(), "M")&lt;18),
    1.10,
    1.00)</f>
        <v/>
      </c>
      <c r="O5913">
        <f>IF('Loan Tape (S&amp;P)'!T5913="Yes",
    1.35,
    1.00)</f>
        <v/>
      </c>
      <c r="P5913">
        <f>IF('Loan Tape (S&amp;P)'!S5913="Yes",
    1.15,
    1.00)</f>
        <v/>
      </c>
      <c r="Q5913">
        <f>IF('Loan Tape (S&amp;P)'!V5913="Yes",
    1.20,
    1.00)</f>
        <v/>
      </c>
      <c r="T5913">
        <f>LET(
    payment_method,'Loan Tape (S&amp;P)'!P5913,
    occupancy,'Loan Tape (S&amp;P)'!N5913,
    maturity_date,'Loan Tape (S&amp;P)'!L5913,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14">
      <c r="J5914">
        <f>LET(
    lien,'Loan Tape (S&amp;P)'!Q5914,
    IF(lien="First",1.00,
        IF(lien="Second",1.50,
            1.70)))</f>
        <v/>
      </c>
      <c r="K5914">
        <f>LET(
    purpose,'Loan Tape (S&amp;P)'!R5914,
    IF(purpose="Purchase",1.00,
        IF(purpose="Remortgage",1.00,
            1.20)))</f>
        <v/>
      </c>
      <c r="L5914">
        <f>LET(
    arrears_months,'Loan Tape (S&amp;P)'!AN5914,
    IF(arrears_months=0,1.00,
    IF(arrears_months=1,3.00,
    IF(arrears_months=2,5.00,
    IF(arrears_months=3,8.00,
    IF(arrears_months=4,10.00,
    IF(arrears_months=5,12.00,15.00)))))))</f>
        <v/>
      </c>
      <c r="M5914">
        <f>LET(
    seasoning_years,DATEDIF('Loan Tape (S&amp;P)'!K5914,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14">
        <f>IF(AND('Loan Tape (S&amp;P)'!U5914="Yes",
        'Loan Tape (S&amp;P)'!T5914&lt;&gt;"Yes",
        DATEDIF('Loan Tape (S&amp;P)'!K5914, TODAY(), "M")&lt;18),
    1.10,
    1.00)</f>
        <v/>
      </c>
      <c r="O5914">
        <f>IF('Loan Tape (S&amp;P)'!T5914="Yes",
    1.35,
    1.00)</f>
        <v/>
      </c>
      <c r="P5914">
        <f>IF('Loan Tape (S&amp;P)'!S5914="Yes",
    1.15,
    1.00)</f>
        <v/>
      </c>
      <c r="Q5914">
        <f>IF('Loan Tape (S&amp;P)'!V5914="Yes",
    1.20,
    1.00)</f>
        <v/>
      </c>
      <c r="T5914">
        <f>LET(
    payment_method,'Loan Tape (S&amp;P)'!P5914,
    occupancy,'Loan Tape (S&amp;P)'!N5914,
    maturity_date,'Loan Tape (S&amp;P)'!L5914,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15">
      <c r="J5915">
        <f>LET(
    lien,'Loan Tape (S&amp;P)'!Q5915,
    IF(lien="First",1.00,
        IF(lien="Second",1.50,
            1.70)))</f>
        <v/>
      </c>
      <c r="K5915">
        <f>LET(
    purpose,'Loan Tape (S&amp;P)'!R5915,
    IF(purpose="Purchase",1.00,
        IF(purpose="Remortgage",1.00,
            1.20)))</f>
        <v/>
      </c>
      <c r="L5915">
        <f>LET(
    arrears_months,'Loan Tape (S&amp;P)'!AN5915,
    IF(arrears_months=0,1.00,
    IF(arrears_months=1,3.00,
    IF(arrears_months=2,5.00,
    IF(arrears_months=3,8.00,
    IF(arrears_months=4,10.00,
    IF(arrears_months=5,12.00,15.00)))))))</f>
        <v/>
      </c>
      <c r="M5915">
        <f>LET(
    seasoning_years,DATEDIF('Loan Tape (S&amp;P)'!K5915,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15">
        <f>IF(AND('Loan Tape (S&amp;P)'!U5915="Yes",
        'Loan Tape (S&amp;P)'!T5915&lt;&gt;"Yes",
        DATEDIF('Loan Tape (S&amp;P)'!K5915, TODAY(), "M")&lt;18),
    1.10,
    1.00)</f>
        <v/>
      </c>
      <c r="O5915">
        <f>IF('Loan Tape (S&amp;P)'!T5915="Yes",
    1.35,
    1.00)</f>
        <v/>
      </c>
      <c r="P5915">
        <f>IF('Loan Tape (S&amp;P)'!S5915="Yes",
    1.15,
    1.00)</f>
        <v/>
      </c>
      <c r="Q5915">
        <f>IF('Loan Tape (S&amp;P)'!V5915="Yes",
    1.20,
    1.00)</f>
        <v/>
      </c>
      <c r="T5915">
        <f>LET(
    payment_method,'Loan Tape (S&amp;P)'!P5915,
    occupancy,'Loan Tape (S&amp;P)'!N5915,
    maturity_date,'Loan Tape (S&amp;P)'!L5915,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16">
      <c r="J5916">
        <f>LET(
    lien,'Loan Tape (S&amp;P)'!Q5916,
    IF(lien="First",1.00,
        IF(lien="Second",1.50,
            1.70)))</f>
        <v/>
      </c>
      <c r="K5916">
        <f>LET(
    purpose,'Loan Tape (S&amp;P)'!R5916,
    IF(purpose="Purchase",1.00,
        IF(purpose="Remortgage",1.00,
            1.20)))</f>
        <v/>
      </c>
      <c r="L5916">
        <f>LET(
    arrears_months,'Loan Tape (S&amp;P)'!AN5916,
    IF(arrears_months=0,1.00,
    IF(arrears_months=1,3.00,
    IF(arrears_months=2,5.00,
    IF(arrears_months=3,8.00,
    IF(arrears_months=4,10.00,
    IF(arrears_months=5,12.00,15.00)))))))</f>
        <v/>
      </c>
      <c r="M5916">
        <f>LET(
    seasoning_years,DATEDIF('Loan Tape (S&amp;P)'!K5916,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16">
        <f>IF(AND('Loan Tape (S&amp;P)'!U5916="Yes",
        'Loan Tape (S&amp;P)'!T5916&lt;&gt;"Yes",
        DATEDIF('Loan Tape (S&amp;P)'!K5916, TODAY(), "M")&lt;18),
    1.10,
    1.00)</f>
        <v/>
      </c>
      <c r="O5916">
        <f>IF('Loan Tape (S&amp;P)'!T5916="Yes",
    1.35,
    1.00)</f>
        <v/>
      </c>
      <c r="P5916">
        <f>IF('Loan Tape (S&amp;P)'!S5916="Yes",
    1.15,
    1.00)</f>
        <v/>
      </c>
      <c r="Q5916">
        <f>IF('Loan Tape (S&amp;P)'!V5916="Yes",
    1.20,
    1.00)</f>
        <v/>
      </c>
      <c r="T5916">
        <f>LET(
    payment_method,'Loan Tape (S&amp;P)'!P5916,
    occupancy,'Loan Tape (S&amp;P)'!N5916,
    maturity_date,'Loan Tape (S&amp;P)'!L5916,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17">
      <c r="J5917">
        <f>LET(
    lien,'Loan Tape (S&amp;P)'!Q5917,
    IF(lien="First",1.00,
        IF(lien="Second",1.50,
            1.70)))</f>
        <v/>
      </c>
      <c r="K5917">
        <f>LET(
    purpose,'Loan Tape (S&amp;P)'!R5917,
    IF(purpose="Purchase",1.00,
        IF(purpose="Remortgage",1.00,
            1.20)))</f>
        <v/>
      </c>
      <c r="L5917">
        <f>LET(
    arrears_months,'Loan Tape (S&amp;P)'!AN5917,
    IF(arrears_months=0,1.00,
    IF(arrears_months=1,3.00,
    IF(arrears_months=2,5.00,
    IF(arrears_months=3,8.00,
    IF(arrears_months=4,10.00,
    IF(arrears_months=5,12.00,15.00)))))))</f>
        <v/>
      </c>
      <c r="M5917">
        <f>LET(
    seasoning_years,DATEDIF('Loan Tape (S&amp;P)'!K5917,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17">
        <f>IF(AND('Loan Tape (S&amp;P)'!U5917="Yes",
        'Loan Tape (S&amp;P)'!T5917&lt;&gt;"Yes",
        DATEDIF('Loan Tape (S&amp;P)'!K5917, TODAY(), "M")&lt;18),
    1.10,
    1.00)</f>
        <v/>
      </c>
      <c r="O5917">
        <f>IF('Loan Tape (S&amp;P)'!T5917="Yes",
    1.35,
    1.00)</f>
        <v/>
      </c>
      <c r="P5917">
        <f>IF('Loan Tape (S&amp;P)'!S5917="Yes",
    1.15,
    1.00)</f>
        <v/>
      </c>
      <c r="Q5917">
        <f>IF('Loan Tape (S&amp;P)'!V5917="Yes",
    1.20,
    1.00)</f>
        <v/>
      </c>
      <c r="T5917">
        <f>LET(
    payment_method,'Loan Tape (S&amp;P)'!P5917,
    occupancy,'Loan Tape (S&amp;P)'!N5917,
    maturity_date,'Loan Tape (S&amp;P)'!L5917,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18">
      <c r="J5918">
        <f>LET(
    lien,'Loan Tape (S&amp;P)'!Q5918,
    IF(lien="First",1.00,
        IF(lien="Second",1.50,
            1.70)))</f>
        <v/>
      </c>
      <c r="K5918">
        <f>LET(
    purpose,'Loan Tape (S&amp;P)'!R5918,
    IF(purpose="Purchase",1.00,
        IF(purpose="Remortgage",1.00,
            1.20)))</f>
        <v/>
      </c>
      <c r="L5918">
        <f>LET(
    arrears_months,'Loan Tape (S&amp;P)'!AN5918,
    IF(arrears_months=0,1.00,
    IF(arrears_months=1,3.00,
    IF(arrears_months=2,5.00,
    IF(arrears_months=3,8.00,
    IF(arrears_months=4,10.00,
    IF(arrears_months=5,12.00,15.00)))))))</f>
        <v/>
      </c>
      <c r="M5918">
        <f>LET(
    seasoning_years,DATEDIF('Loan Tape (S&amp;P)'!K5918,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18">
        <f>IF(AND('Loan Tape (S&amp;P)'!U5918="Yes",
        'Loan Tape (S&amp;P)'!T5918&lt;&gt;"Yes",
        DATEDIF('Loan Tape (S&amp;P)'!K5918, TODAY(), "M")&lt;18),
    1.10,
    1.00)</f>
        <v/>
      </c>
      <c r="O5918">
        <f>IF('Loan Tape (S&amp;P)'!T5918="Yes",
    1.35,
    1.00)</f>
        <v/>
      </c>
      <c r="P5918">
        <f>IF('Loan Tape (S&amp;P)'!S5918="Yes",
    1.15,
    1.00)</f>
        <v/>
      </c>
      <c r="Q5918">
        <f>IF('Loan Tape (S&amp;P)'!V5918="Yes",
    1.20,
    1.00)</f>
        <v/>
      </c>
      <c r="T5918">
        <f>LET(
    payment_method,'Loan Tape (S&amp;P)'!P5918,
    occupancy,'Loan Tape (S&amp;P)'!N5918,
    maturity_date,'Loan Tape (S&amp;P)'!L5918,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19">
      <c r="J5919">
        <f>LET(
    lien,'Loan Tape (S&amp;P)'!Q5919,
    IF(lien="First",1.00,
        IF(lien="Second",1.50,
            1.70)))</f>
        <v/>
      </c>
      <c r="K5919">
        <f>LET(
    purpose,'Loan Tape (S&amp;P)'!R5919,
    IF(purpose="Purchase",1.00,
        IF(purpose="Remortgage",1.00,
            1.20)))</f>
        <v/>
      </c>
      <c r="L5919">
        <f>LET(
    arrears_months,'Loan Tape (S&amp;P)'!AN5919,
    IF(arrears_months=0,1.00,
    IF(arrears_months=1,3.00,
    IF(arrears_months=2,5.00,
    IF(arrears_months=3,8.00,
    IF(arrears_months=4,10.00,
    IF(arrears_months=5,12.00,15.00)))))))</f>
        <v/>
      </c>
      <c r="M5919">
        <f>LET(
    seasoning_years,DATEDIF('Loan Tape (S&amp;P)'!K5919,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19">
        <f>IF(AND('Loan Tape (S&amp;P)'!U5919="Yes",
        'Loan Tape (S&amp;P)'!T5919&lt;&gt;"Yes",
        DATEDIF('Loan Tape (S&amp;P)'!K5919, TODAY(), "M")&lt;18),
    1.10,
    1.00)</f>
        <v/>
      </c>
      <c r="O5919">
        <f>IF('Loan Tape (S&amp;P)'!T5919="Yes",
    1.35,
    1.00)</f>
        <v/>
      </c>
      <c r="P5919">
        <f>IF('Loan Tape (S&amp;P)'!S5919="Yes",
    1.15,
    1.00)</f>
        <v/>
      </c>
      <c r="Q5919">
        <f>IF('Loan Tape (S&amp;P)'!V5919="Yes",
    1.20,
    1.00)</f>
        <v/>
      </c>
      <c r="T5919">
        <f>LET(
    payment_method,'Loan Tape (S&amp;P)'!P5919,
    occupancy,'Loan Tape (S&amp;P)'!N5919,
    maturity_date,'Loan Tape (S&amp;P)'!L5919,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20">
      <c r="J5920">
        <f>LET(
    lien,'Loan Tape (S&amp;P)'!Q5920,
    IF(lien="First",1.00,
        IF(lien="Second",1.50,
            1.70)))</f>
        <v/>
      </c>
      <c r="K5920">
        <f>LET(
    purpose,'Loan Tape (S&amp;P)'!R5920,
    IF(purpose="Purchase",1.00,
        IF(purpose="Remortgage",1.00,
            1.20)))</f>
        <v/>
      </c>
      <c r="L5920">
        <f>LET(
    arrears_months,'Loan Tape (S&amp;P)'!AN5920,
    IF(arrears_months=0,1.00,
    IF(arrears_months=1,3.00,
    IF(arrears_months=2,5.00,
    IF(arrears_months=3,8.00,
    IF(arrears_months=4,10.00,
    IF(arrears_months=5,12.00,15.00)))))))</f>
        <v/>
      </c>
      <c r="M5920">
        <f>LET(
    seasoning_years,DATEDIF('Loan Tape (S&amp;P)'!K5920,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20">
        <f>IF(AND('Loan Tape (S&amp;P)'!U5920="Yes",
        'Loan Tape (S&amp;P)'!T5920&lt;&gt;"Yes",
        DATEDIF('Loan Tape (S&amp;P)'!K5920, TODAY(), "M")&lt;18),
    1.10,
    1.00)</f>
        <v/>
      </c>
      <c r="O5920">
        <f>IF('Loan Tape (S&amp;P)'!T5920="Yes",
    1.35,
    1.00)</f>
        <v/>
      </c>
      <c r="P5920">
        <f>IF('Loan Tape (S&amp;P)'!S5920="Yes",
    1.15,
    1.00)</f>
        <v/>
      </c>
      <c r="Q5920">
        <f>IF('Loan Tape (S&amp;P)'!V5920="Yes",
    1.20,
    1.00)</f>
        <v/>
      </c>
      <c r="T5920">
        <f>LET(
    payment_method,'Loan Tape (S&amp;P)'!P5920,
    occupancy,'Loan Tape (S&amp;P)'!N5920,
    maturity_date,'Loan Tape (S&amp;P)'!L5920,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21">
      <c r="J5921">
        <f>LET(
    lien,'Loan Tape (S&amp;P)'!Q5921,
    IF(lien="First",1.00,
        IF(lien="Second",1.50,
            1.70)))</f>
        <v/>
      </c>
      <c r="K5921">
        <f>LET(
    purpose,'Loan Tape (S&amp;P)'!R5921,
    IF(purpose="Purchase",1.00,
        IF(purpose="Remortgage",1.00,
            1.20)))</f>
        <v/>
      </c>
      <c r="L5921">
        <f>LET(
    arrears_months,'Loan Tape (S&amp;P)'!AN5921,
    IF(arrears_months=0,1.00,
    IF(arrears_months=1,3.00,
    IF(arrears_months=2,5.00,
    IF(arrears_months=3,8.00,
    IF(arrears_months=4,10.00,
    IF(arrears_months=5,12.00,15.00)))))))</f>
        <v/>
      </c>
      <c r="M5921">
        <f>LET(
    seasoning_years,DATEDIF('Loan Tape (S&amp;P)'!K5921,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21">
        <f>IF(AND('Loan Tape (S&amp;P)'!U5921="Yes",
        'Loan Tape (S&amp;P)'!T5921&lt;&gt;"Yes",
        DATEDIF('Loan Tape (S&amp;P)'!K5921, TODAY(), "M")&lt;18),
    1.10,
    1.00)</f>
        <v/>
      </c>
      <c r="O5921">
        <f>IF('Loan Tape (S&amp;P)'!T5921="Yes",
    1.35,
    1.00)</f>
        <v/>
      </c>
      <c r="P5921">
        <f>IF('Loan Tape (S&amp;P)'!S5921="Yes",
    1.15,
    1.00)</f>
        <v/>
      </c>
      <c r="Q5921">
        <f>IF('Loan Tape (S&amp;P)'!V5921="Yes",
    1.20,
    1.00)</f>
        <v/>
      </c>
      <c r="T5921">
        <f>LET(
    payment_method,'Loan Tape (S&amp;P)'!P5921,
    occupancy,'Loan Tape (S&amp;P)'!N5921,
    maturity_date,'Loan Tape (S&amp;P)'!L5921,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22">
      <c r="J5922">
        <f>LET(
    lien,'Loan Tape (S&amp;P)'!Q5922,
    IF(lien="First",1.00,
        IF(lien="Second",1.50,
            1.70)))</f>
        <v/>
      </c>
      <c r="K5922">
        <f>LET(
    purpose,'Loan Tape (S&amp;P)'!R5922,
    IF(purpose="Purchase",1.00,
        IF(purpose="Remortgage",1.00,
            1.20)))</f>
        <v/>
      </c>
      <c r="L5922">
        <f>LET(
    arrears_months,'Loan Tape (S&amp;P)'!AN5922,
    IF(arrears_months=0,1.00,
    IF(arrears_months=1,3.00,
    IF(arrears_months=2,5.00,
    IF(arrears_months=3,8.00,
    IF(arrears_months=4,10.00,
    IF(arrears_months=5,12.00,15.00)))))))</f>
        <v/>
      </c>
      <c r="M5922">
        <f>LET(
    seasoning_years,DATEDIF('Loan Tape (S&amp;P)'!K5922,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22">
        <f>IF(AND('Loan Tape (S&amp;P)'!U5922="Yes",
        'Loan Tape (S&amp;P)'!T5922&lt;&gt;"Yes",
        DATEDIF('Loan Tape (S&amp;P)'!K5922, TODAY(), "M")&lt;18),
    1.10,
    1.00)</f>
        <v/>
      </c>
      <c r="O5922">
        <f>IF('Loan Tape (S&amp;P)'!T5922="Yes",
    1.35,
    1.00)</f>
        <v/>
      </c>
      <c r="P5922">
        <f>IF('Loan Tape (S&amp;P)'!S5922="Yes",
    1.15,
    1.00)</f>
        <v/>
      </c>
      <c r="Q5922">
        <f>IF('Loan Tape (S&amp;P)'!V5922="Yes",
    1.20,
    1.00)</f>
        <v/>
      </c>
      <c r="T5922">
        <f>LET(
    payment_method,'Loan Tape (S&amp;P)'!P5922,
    occupancy,'Loan Tape (S&amp;P)'!N5922,
    maturity_date,'Loan Tape (S&amp;P)'!L5922,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23">
      <c r="J5923">
        <f>LET(
    lien,'Loan Tape (S&amp;P)'!Q5923,
    IF(lien="First",1.00,
        IF(lien="Second",1.50,
            1.70)))</f>
        <v/>
      </c>
      <c r="K5923">
        <f>LET(
    purpose,'Loan Tape (S&amp;P)'!R5923,
    IF(purpose="Purchase",1.00,
        IF(purpose="Remortgage",1.00,
            1.20)))</f>
        <v/>
      </c>
      <c r="L5923">
        <f>LET(
    arrears_months,'Loan Tape (S&amp;P)'!AN5923,
    IF(arrears_months=0,1.00,
    IF(arrears_months=1,3.00,
    IF(arrears_months=2,5.00,
    IF(arrears_months=3,8.00,
    IF(arrears_months=4,10.00,
    IF(arrears_months=5,12.00,15.00)))))))</f>
        <v/>
      </c>
      <c r="M5923">
        <f>LET(
    seasoning_years,DATEDIF('Loan Tape (S&amp;P)'!K5923,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23">
        <f>IF(AND('Loan Tape (S&amp;P)'!U5923="Yes",
        'Loan Tape (S&amp;P)'!T5923&lt;&gt;"Yes",
        DATEDIF('Loan Tape (S&amp;P)'!K5923, TODAY(), "M")&lt;18),
    1.10,
    1.00)</f>
        <v/>
      </c>
      <c r="O5923">
        <f>IF('Loan Tape (S&amp;P)'!T5923="Yes",
    1.35,
    1.00)</f>
        <v/>
      </c>
      <c r="P5923">
        <f>IF('Loan Tape (S&amp;P)'!S5923="Yes",
    1.15,
    1.00)</f>
        <v/>
      </c>
      <c r="Q5923">
        <f>IF('Loan Tape (S&amp;P)'!V5923="Yes",
    1.20,
    1.00)</f>
        <v/>
      </c>
      <c r="T5923">
        <f>LET(
    payment_method,'Loan Tape (S&amp;P)'!P5923,
    occupancy,'Loan Tape (S&amp;P)'!N5923,
    maturity_date,'Loan Tape (S&amp;P)'!L5923,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24">
      <c r="J5924">
        <f>LET(
    lien,'Loan Tape (S&amp;P)'!Q5924,
    IF(lien="First",1.00,
        IF(lien="Second",1.50,
            1.70)))</f>
        <v/>
      </c>
      <c r="K5924">
        <f>LET(
    purpose,'Loan Tape (S&amp;P)'!R5924,
    IF(purpose="Purchase",1.00,
        IF(purpose="Remortgage",1.00,
            1.20)))</f>
        <v/>
      </c>
      <c r="L5924">
        <f>LET(
    arrears_months,'Loan Tape (S&amp;P)'!AN5924,
    IF(arrears_months=0,1.00,
    IF(arrears_months=1,3.00,
    IF(arrears_months=2,5.00,
    IF(arrears_months=3,8.00,
    IF(arrears_months=4,10.00,
    IF(arrears_months=5,12.00,15.00)))))))</f>
        <v/>
      </c>
      <c r="M5924">
        <f>LET(
    seasoning_years,DATEDIF('Loan Tape (S&amp;P)'!K5924,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24">
        <f>IF(AND('Loan Tape (S&amp;P)'!U5924="Yes",
        'Loan Tape (S&amp;P)'!T5924&lt;&gt;"Yes",
        DATEDIF('Loan Tape (S&amp;P)'!K5924, TODAY(), "M")&lt;18),
    1.10,
    1.00)</f>
        <v/>
      </c>
      <c r="O5924">
        <f>IF('Loan Tape (S&amp;P)'!T5924="Yes",
    1.35,
    1.00)</f>
        <v/>
      </c>
      <c r="P5924">
        <f>IF('Loan Tape (S&amp;P)'!S5924="Yes",
    1.15,
    1.00)</f>
        <v/>
      </c>
      <c r="Q5924">
        <f>IF('Loan Tape (S&amp;P)'!V5924="Yes",
    1.20,
    1.00)</f>
        <v/>
      </c>
      <c r="T5924">
        <f>LET(
    payment_method,'Loan Tape (S&amp;P)'!P5924,
    occupancy,'Loan Tape (S&amp;P)'!N5924,
    maturity_date,'Loan Tape (S&amp;P)'!L5924,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25">
      <c r="J5925">
        <f>LET(
    lien,'Loan Tape (S&amp;P)'!Q5925,
    IF(lien="First",1.00,
        IF(lien="Second",1.50,
            1.70)))</f>
        <v/>
      </c>
      <c r="K5925">
        <f>LET(
    purpose,'Loan Tape (S&amp;P)'!R5925,
    IF(purpose="Purchase",1.00,
        IF(purpose="Remortgage",1.00,
            1.20)))</f>
        <v/>
      </c>
      <c r="L5925">
        <f>LET(
    arrears_months,'Loan Tape (S&amp;P)'!AN5925,
    IF(arrears_months=0,1.00,
    IF(arrears_months=1,3.00,
    IF(arrears_months=2,5.00,
    IF(arrears_months=3,8.00,
    IF(arrears_months=4,10.00,
    IF(arrears_months=5,12.00,15.00)))))))</f>
        <v/>
      </c>
      <c r="M5925">
        <f>LET(
    seasoning_years,DATEDIF('Loan Tape (S&amp;P)'!K5925,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25">
        <f>IF(AND('Loan Tape (S&amp;P)'!U5925="Yes",
        'Loan Tape (S&amp;P)'!T5925&lt;&gt;"Yes",
        DATEDIF('Loan Tape (S&amp;P)'!K5925, TODAY(), "M")&lt;18),
    1.10,
    1.00)</f>
        <v/>
      </c>
      <c r="O5925">
        <f>IF('Loan Tape (S&amp;P)'!T5925="Yes",
    1.35,
    1.00)</f>
        <v/>
      </c>
      <c r="P5925">
        <f>IF('Loan Tape (S&amp;P)'!S5925="Yes",
    1.15,
    1.00)</f>
        <v/>
      </c>
      <c r="Q5925">
        <f>IF('Loan Tape (S&amp;P)'!V5925="Yes",
    1.20,
    1.00)</f>
        <v/>
      </c>
      <c r="T5925">
        <f>LET(
    payment_method,'Loan Tape (S&amp;P)'!P5925,
    occupancy,'Loan Tape (S&amp;P)'!N5925,
    maturity_date,'Loan Tape (S&amp;P)'!L5925,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26">
      <c r="J5926">
        <f>LET(
    lien,'Loan Tape (S&amp;P)'!Q5926,
    IF(lien="First",1.00,
        IF(lien="Second",1.50,
            1.70)))</f>
        <v/>
      </c>
      <c r="K5926">
        <f>LET(
    purpose,'Loan Tape (S&amp;P)'!R5926,
    IF(purpose="Purchase",1.00,
        IF(purpose="Remortgage",1.00,
            1.20)))</f>
        <v/>
      </c>
      <c r="L5926">
        <f>LET(
    arrears_months,'Loan Tape (S&amp;P)'!AN5926,
    IF(arrears_months=0,1.00,
    IF(arrears_months=1,3.00,
    IF(arrears_months=2,5.00,
    IF(arrears_months=3,8.00,
    IF(arrears_months=4,10.00,
    IF(arrears_months=5,12.00,15.00)))))))</f>
        <v/>
      </c>
      <c r="M5926">
        <f>LET(
    seasoning_years,DATEDIF('Loan Tape (S&amp;P)'!K5926,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26">
        <f>IF(AND('Loan Tape (S&amp;P)'!U5926="Yes",
        'Loan Tape (S&amp;P)'!T5926&lt;&gt;"Yes",
        DATEDIF('Loan Tape (S&amp;P)'!K5926, TODAY(), "M")&lt;18),
    1.10,
    1.00)</f>
        <v/>
      </c>
      <c r="O5926">
        <f>IF('Loan Tape (S&amp;P)'!T5926="Yes",
    1.35,
    1.00)</f>
        <v/>
      </c>
      <c r="P5926">
        <f>IF('Loan Tape (S&amp;P)'!S5926="Yes",
    1.15,
    1.00)</f>
        <v/>
      </c>
      <c r="Q5926">
        <f>IF('Loan Tape (S&amp;P)'!V5926="Yes",
    1.20,
    1.00)</f>
        <v/>
      </c>
      <c r="T5926">
        <f>LET(
    payment_method,'Loan Tape (S&amp;P)'!P5926,
    occupancy,'Loan Tape (S&amp;P)'!N5926,
    maturity_date,'Loan Tape (S&amp;P)'!L5926,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27">
      <c r="J5927">
        <f>LET(
    lien,'Loan Tape (S&amp;P)'!Q5927,
    IF(lien="First",1.00,
        IF(lien="Second",1.50,
            1.70)))</f>
        <v/>
      </c>
      <c r="K5927">
        <f>LET(
    purpose,'Loan Tape (S&amp;P)'!R5927,
    IF(purpose="Purchase",1.00,
        IF(purpose="Remortgage",1.00,
            1.20)))</f>
        <v/>
      </c>
      <c r="L5927">
        <f>LET(
    arrears_months,'Loan Tape (S&amp;P)'!AN5927,
    IF(arrears_months=0,1.00,
    IF(arrears_months=1,3.00,
    IF(arrears_months=2,5.00,
    IF(arrears_months=3,8.00,
    IF(arrears_months=4,10.00,
    IF(arrears_months=5,12.00,15.00)))))))</f>
        <v/>
      </c>
      <c r="M5927">
        <f>LET(
    seasoning_years,DATEDIF('Loan Tape (S&amp;P)'!K5927,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27">
        <f>IF(AND('Loan Tape (S&amp;P)'!U5927="Yes",
        'Loan Tape (S&amp;P)'!T5927&lt;&gt;"Yes",
        DATEDIF('Loan Tape (S&amp;P)'!K5927, TODAY(), "M")&lt;18),
    1.10,
    1.00)</f>
        <v/>
      </c>
      <c r="O5927">
        <f>IF('Loan Tape (S&amp;P)'!T5927="Yes",
    1.35,
    1.00)</f>
        <v/>
      </c>
      <c r="P5927">
        <f>IF('Loan Tape (S&amp;P)'!S5927="Yes",
    1.15,
    1.00)</f>
        <v/>
      </c>
      <c r="Q5927">
        <f>IF('Loan Tape (S&amp;P)'!V5927="Yes",
    1.20,
    1.00)</f>
        <v/>
      </c>
      <c r="T5927">
        <f>LET(
    payment_method,'Loan Tape (S&amp;P)'!P5927,
    occupancy,'Loan Tape (S&amp;P)'!N5927,
    maturity_date,'Loan Tape (S&amp;P)'!L5927,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28">
      <c r="J5928">
        <f>LET(
    lien,'Loan Tape (S&amp;P)'!Q5928,
    IF(lien="First",1.00,
        IF(lien="Second",1.50,
            1.70)))</f>
        <v/>
      </c>
      <c r="K5928">
        <f>LET(
    purpose,'Loan Tape (S&amp;P)'!R5928,
    IF(purpose="Purchase",1.00,
        IF(purpose="Remortgage",1.00,
            1.20)))</f>
        <v/>
      </c>
      <c r="L5928">
        <f>LET(
    arrears_months,'Loan Tape (S&amp;P)'!AN5928,
    IF(arrears_months=0,1.00,
    IF(arrears_months=1,3.00,
    IF(arrears_months=2,5.00,
    IF(arrears_months=3,8.00,
    IF(arrears_months=4,10.00,
    IF(arrears_months=5,12.00,15.00)))))))</f>
        <v/>
      </c>
      <c r="M5928">
        <f>LET(
    seasoning_years,DATEDIF('Loan Tape (S&amp;P)'!K5928,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28">
        <f>IF(AND('Loan Tape (S&amp;P)'!U5928="Yes",
        'Loan Tape (S&amp;P)'!T5928&lt;&gt;"Yes",
        DATEDIF('Loan Tape (S&amp;P)'!K5928, TODAY(), "M")&lt;18),
    1.10,
    1.00)</f>
        <v/>
      </c>
      <c r="O5928">
        <f>IF('Loan Tape (S&amp;P)'!T5928="Yes",
    1.35,
    1.00)</f>
        <v/>
      </c>
      <c r="P5928">
        <f>IF('Loan Tape (S&amp;P)'!S5928="Yes",
    1.15,
    1.00)</f>
        <v/>
      </c>
      <c r="Q5928">
        <f>IF('Loan Tape (S&amp;P)'!V5928="Yes",
    1.20,
    1.00)</f>
        <v/>
      </c>
      <c r="T5928">
        <f>LET(
    payment_method,'Loan Tape (S&amp;P)'!P5928,
    occupancy,'Loan Tape (S&amp;P)'!N5928,
    maturity_date,'Loan Tape (S&amp;P)'!L5928,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29">
      <c r="J5929">
        <f>LET(
    lien,'Loan Tape (S&amp;P)'!Q5929,
    IF(lien="First",1.00,
        IF(lien="Second",1.50,
            1.70)))</f>
        <v/>
      </c>
      <c r="K5929">
        <f>LET(
    purpose,'Loan Tape (S&amp;P)'!R5929,
    IF(purpose="Purchase",1.00,
        IF(purpose="Remortgage",1.00,
            1.20)))</f>
        <v/>
      </c>
      <c r="L5929">
        <f>LET(
    arrears_months,'Loan Tape (S&amp;P)'!AN5929,
    IF(arrears_months=0,1.00,
    IF(arrears_months=1,3.00,
    IF(arrears_months=2,5.00,
    IF(arrears_months=3,8.00,
    IF(arrears_months=4,10.00,
    IF(arrears_months=5,12.00,15.00)))))))</f>
        <v/>
      </c>
      <c r="M5929">
        <f>LET(
    seasoning_years,DATEDIF('Loan Tape (S&amp;P)'!K5929,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29">
        <f>IF(AND('Loan Tape (S&amp;P)'!U5929="Yes",
        'Loan Tape (S&amp;P)'!T5929&lt;&gt;"Yes",
        DATEDIF('Loan Tape (S&amp;P)'!K5929, TODAY(), "M")&lt;18),
    1.10,
    1.00)</f>
        <v/>
      </c>
      <c r="O5929">
        <f>IF('Loan Tape (S&amp;P)'!T5929="Yes",
    1.35,
    1.00)</f>
        <v/>
      </c>
      <c r="P5929">
        <f>IF('Loan Tape (S&amp;P)'!S5929="Yes",
    1.15,
    1.00)</f>
        <v/>
      </c>
      <c r="Q5929">
        <f>IF('Loan Tape (S&amp;P)'!V5929="Yes",
    1.20,
    1.00)</f>
        <v/>
      </c>
      <c r="T5929">
        <f>LET(
    payment_method,'Loan Tape (S&amp;P)'!P5929,
    occupancy,'Loan Tape (S&amp;P)'!N5929,
    maturity_date,'Loan Tape (S&amp;P)'!L5929,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30">
      <c r="J5930">
        <f>LET(
    lien,'Loan Tape (S&amp;P)'!Q5930,
    IF(lien="First",1.00,
        IF(lien="Second",1.50,
            1.70)))</f>
        <v/>
      </c>
      <c r="K5930">
        <f>LET(
    purpose,'Loan Tape (S&amp;P)'!R5930,
    IF(purpose="Purchase",1.00,
        IF(purpose="Remortgage",1.00,
            1.20)))</f>
        <v/>
      </c>
      <c r="L5930">
        <f>LET(
    arrears_months,'Loan Tape (S&amp;P)'!AN5930,
    IF(arrears_months=0,1.00,
    IF(arrears_months=1,3.00,
    IF(arrears_months=2,5.00,
    IF(arrears_months=3,8.00,
    IF(arrears_months=4,10.00,
    IF(arrears_months=5,12.00,15.00)))))))</f>
        <v/>
      </c>
      <c r="M5930">
        <f>LET(
    seasoning_years,DATEDIF('Loan Tape (S&amp;P)'!K5930,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30">
        <f>IF(AND('Loan Tape (S&amp;P)'!U5930="Yes",
        'Loan Tape (S&amp;P)'!T5930&lt;&gt;"Yes",
        DATEDIF('Loan Tape (S&amp;P)'!K5930, TODAY(), "M")&lt;18),
    1.10,
    1.00)</f>
        <v/>
      </c>
      <c r="O5930">
        <f>IF('Loan Tape (S&amp;P)'!T5930="Yes",
    1.35,
    1.00)</f>
        <v/>
      </c>
      <c r="P5930">
        <f>IF('Loan Tape (S&amp;P)'!S5930="Yes",
    1.15,
    1.00)</f>
        <v/>
      </c>
      <c r="Q5930">
        <f>IF('Loan Tape (S&amp;P)'!V5930="Yes",
    1.20,
    1.00)</f>
        <v/>
      </c>
      <c r="T5930">
        <f>LET(
    payment_method,'Loan Tape (S&amp;P)'!P5930,
    occupancy,'Loan Tape (S&amp;P)'!N5930,
    maturity_date,'Loan Tape (S&amp;P)'!L5930,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31">
      <c r="J5931">
        <f>LET(
    lien,'Loan Tape (S&amp;P)'!Q5931,
    IF(lien="First",1.00,
        IF(lien="Second",1.50,
            1.70)))</f>
        <v/>
      </c>
      <c r="K5931">
        <f>LET(
    purpose,'Loan Tape (S&amp;P)'!R5931,
    IF(purpose="Purchase",1.00,
        IF(purpose="Remortgage",1.00,
            1.20)))</f>
        <v/>
      </c>
      <c r="L5931">
        <f>LET(
    arrears_months,'Loan Tape (S&amp;P)'!AN5931,
    IF(arrears_months=0,1.00,
    IF(arrears_months=1,3.00,
    IF(arrears_months=2,5.00,
    IF(arrears_months=3,8.00,
    IF(arrears_months=4,10.00,
    IF(arrears_months=5,12.00,15.00)))))))</f>
        <v/>
      </c>
      <c r="M5931">
        <f>LET(
    seasoning_years,DATEDIF('Loan Tape (S&amp;P)'!K5931,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31">
        <f>IF(AND('Loan Tape (S&amp;P)'!U5931="Yes",
        'Loan Tape (S&amp;P)'!T5931&lt;&gt;"Yes",
        DATEDIF('Loan Tape (S&amp;P)'!K5931, TODAY(), "M")&lt;18),
    1.10,
    1.00)</f>
        <v/>
      </c>
      <c r="O5931">
        <f>IF('Loan Tape (S&amp;P)'!T5931="Yes",
    1.35,
    1.00)</f>
        <v/>
      </c>
      <c r="P5931">
        <f>IF('Loan Tape (S&amp;P)'!S5931="Yes",
    1.15,
    1.00)</f>
        <v/>
      </c>
      <c r="Q5931">
        <f>IF('Loan Tape (S&amp;P)'!V5931="Yes",
    1.20,
    1.00)</f>
        <v/>
      </c>
      <c r="T5931">
        <f>LET(
    payment_method,'Loan Tape (S&amp;P)'!P5931,
    occupancy,'Loan Tape (S&amp;P)'!N5931,
    maturity_date,'Loan Tape (S&amp;P)'!L5931,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32">
      <c r="J5932">
        <f>LET(
    lien,'Loan Tape (S&amp;P)'!Q5932,
    IF(lien="First",1.00,
        IF(lien="Second",1.50,
            1.70)))</f>
        <v/>
      </c>
      <c r="K5932">
        <f>LET(
    purpose,'Loan Tape (S&amp;P)'!R5932,
    IF(purpose="Purchase",1.00,
        IF(purpose="Remortgage",1.00,
            1.20)))</f>
        <v/>
      </c>
      <c r="L5932">
        <f>LET(
    arrears_months,'Loan Tape (S&amp;P)'!AN5932,
    IF(arrears_months=0,1.00,
    IF(arrears_months=1,3.00,
    IF(arrears_months=2,5.00,
    IF(arrears_months=3,8.00,
    IF(arrears_months=4,10.00,
    IF(arrears_months=5,12.00,15.00)))))))</f>
        <v/>
      </c>
      <c r="M5932">
        <f>LET(
    seasoning_years,DATEDIF('Loan Tape (S&amp;P)'!K5932,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32">
        <f>IF(AND('Loan Tape (S&amp;P)'!U5932="Yes",
        'Loan Tape (S&amp;P)'!T5932&lt;&gt;"Yes",
        DATEDIF('Loan Tape (S&amp;P)'!K5932, TODAY(), "M")&lt;18),
    1.10,
    1.00)</f>
        <v/>
      </c>
      <c r="O5932">
        <f>IF('Loan Tape (S&amp;P)'!T5932="Yes",
    1.35,
    1.00)</f>
        <v/>
      </c>
      <c r="P5932">
        <f>IF('Loan Tape (S&amp;P)'!S5932="Yes",
    1.15,
    1.00)</f>
        <v/>
      </c>
      <c r="Q5932">
        <f>IF('Loan Tape (S&amp;P)'!V5932="Yes",
    1.20,
    1.00)</f>
        <v/>
      </c>
      <c r="T5932">
        <f>LET(
    payment_method,'Loan Tape (S&amp;P)'!P5932,
    occupancy,'Loan Tape (S&amp;P)'!N5932,
    maturity_date,'Loan Tape (S&amp;P)'!L5932,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33">
      <c r="J5933">
        <f>LET(
    lien,'Loan Tape (S&amp;P)'!Q5933,
    IF(lien="First",1.00,
        IF(lien="Second",1.50,
            1.70)))</f>
        <v/>
      </c>
      <c r="K5933">
        <f>LET(
    purpose,'Loan Tape (S&amp;P)'!R5933,
    IF(purpose="Purchase",1.00,
        IF(purpose="Remortgage",1.00,
            1.20)))</f>
        <v/>
      </c>
      <c r="L5933">
        <f>LET(
    arrears_months,'Loan Tape (S&amp;P)'!AN5933,
    IF(arrears_months=0,1.00,
    IF(arrears_months=1,3.00,
    IF(arrears_months=2,5.00,
    IF(arrears_months=3,8.00,
    IF(arrears_months=4,10.00,
    IF(arrears_months=5,12.00,15.00)))))))</f>
        <v/>
      </c>
      <c r="M5933">
        <f>LET(
    seasoning_years,DATEDIF('Loan Tape (S&amp;P)'!K5933,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33">
        <f>IF(AND('Loan Tape (S&amp;P)'!U5933="Yes",
        'Loan Tape (S&amp;P)'!T5933&lt;&gt;"Yes",
        DATEDIF('Loan Tape (S&amp;P)'!K5933, TODAY(), "M")&lt;18),
    1.10,
    1.00)</f>
        <v/>
      </c>
      <c r="O5933">
        <f>IF('Loan Tape (S&amp;P)'!T5933="Yes",
    1.35,
    1.00)</f>
        <v/>
      </c>
      <c r="P5933">
        <f>IF('Loan Tape (S&amp;P)'!S5933="Yes",
    1.15,
    1.00)</f>
        <v/>
      </c>
      <c r="Q5933">
        <f>IF('Loan Tape (S&amp;P)'!V5933="Yes",
    1.20,
    1.00)</f>
        <v/>
      </c>
      <c r="T5933">
        <f>LET(
    payment_method,'Loan Tape (S&amp;P)'!P5933,
    occupancy,'Loan Tape (S&amp;P)'!N5933,
    maturity_date,'Loan Tape (S&amp;P)'!L5933,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34">
      <c r="J5934">
        <f>LET(
    lien,'Loan Tape (S&amp;P)'!Q5934,
    IF(lien="First",1.00,
        IF(lien="Second",1.50,
            1.70)))</f>
        <v/>
      </c>
      <c r="K5934">
        <f>LET(
    purpose,'Loan Tape (S&amp;P)'!R5934,
    IF(purpose="Purchase",1.00,
        IF(purpose="Remortgage",1.00,
            1.20)))</f>
        <v/>
      </c>
      <c r="L5934">
        <f>LET(
    arrears_months,'Loan Tape (S&amp;P)'!AN5934,
    IF(arrears_months=0,1.00,
    IF(arrears_months=1,3.00,
    IF(arrears_months=2,5.00,
    IF(arrears_months=3,8.00,
    IF(arrears_months=4,10.00,
    IF(arrears_months=5,12.00,15.00)))))))</f>
        <v/>
      </c>
      <c r="M5934">
        <f>LET(
    seasoning_years,DATEDIF('Loan Tape (S&amp;P)'!K5934,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34">
        <f>IF(AND('Loan Tape (S&amp;P)'!U5934="Yes",
        'Loan Tape (S&amp;P)'!T5934&lt;&gt;"Yes",
        DATEDIF('Loan Tape (S&amp;P)'!K5934, TODAY(), "M")&lt;18),
    1.10,
    1.00)</f>
        <v/>
      </c>
      <c r="O5934">
        <f>IF('Loan Tape (S&amp;P)'!T5934="Yes",
    1.35,
    1.00)</f>
        <v/>
      </c>
      <c r="P5934">
        <f>IF('Loan Tape (S&amp;P)'!S5934="Yes",
    1.15,
    1.00)</f>
        <v/>
      </c>
      <c r="Q5934">
        <f>IF('Loan Tape (S&amp;P)'!V5934="Yes",
    1.20,
    1.00)</f>
        <v/>
      </c>
      <c r="T5934">
        <f>LET(
    payment_method,'Loan Tape (S&amp;P)'!P5934,
    occupancy,'Loan Tape (S&amp;P)'!N5934,
    maturity_date,'Loan Tape (S&amp;P)'!L5934,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35">
      <c r="J5935">
        <f>LET(
    lien,'Loan Tape (S&amp;P)'!Q5935,
    IF(lien="First",1.00,
        IF(lien="Second",1.50,
            1.70)))</f>
        <v/>
      </c>
      <c r="K5935">
        <f>LET(
    purpose,'Loan Tape (S&amp;P)'!R5935,
    IF(purpose="Purchase",1.00,
        IF(purpose="Remortgage",1.00,
            1.20)))</f>
        <v/>
      </c>
      <c r="L5935">
        <f>LET(
    arrears_months,'Loan Tape (S&amp;P)'!AN5935,
    IF(arrears_months=0,1.00,
    IF(arrears_months=1,3.00,
    IF(arrears_months=2,5.00,
    IF(arrears_months=3,8.00,
    IF(arrears_months=4,10.00,
    IF(arrears_months=5,12.00,15.00)))))))</f>
        <v/>
      </c>
      <c r="M5935">
        <f>LET(
    seasoning_years,DATEDIF('Loan Tape (S&amp;P)'!K5935,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35">
        <f>IF(AND('Loan Tape (S&amp;P)'!U5935="Yes",
        'Loan Tape (S&amp;P)'!T5935&lt;&gt;"Yes",
        DATEDIF('Loan Tape (S&amp;P)'!K5935, TODAY(), "M")&lt;18),
    1.10,
    1.00)</f>
        <v/>
      </c>
      <c r="O5935">
        <f>IF('Loan Tape (S&amp;P)'!T5935="Yes",
    1.35,
    1.00)</f>
        <v/>
      </c>
      <c r="P5935">
        <f>IF('Loan Tape (S&amp;P)'!S5935="Yes",
    1.15,
    1.00)</f>
        <v/>
      </c>
      <c r="Q5935">
        <f>IF('Loan Tape (S&amp;P)'!V5935="Yes",
    1.20,
    1.00)</f>
        <v/>
      </c>
      <c r="T5935">
        <f>LET(
    payment_method,'Loan Tape (S&amp;P)'!P5935,
    occupancy,'Loan Tape (S&amp;P)'!N5935,
    maturity_date,'Loan Tape (S&amp;P)'!L5935,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36">
      <c r="J5936">
        <f>LET(
    lien,'Loan Tape (S&amp;P)'!Q5936,
    IF(lien="First",1.00,
        IF(lien="Second",1.50,
            1.70)))</f>
        <v/>
      </c>
      <c r="K5936">
        <f>LET(
    purpose,'Loan Tape (S&amp;P)'!R5936,
    IF(purpose="Purchase",1.00,
        IF(purpose="Remortgage",1.00,
            1.20)))</f>
        <v/>
      </c>
      <c r="L5936">
        <f>LET(
    arrears_months,'Loan Tape (S&amp;P)'!AN5936,
    IF(arrears_months=0,1.00,
    IF(arrears_months=1,3.00,
    IF(arrears_months=2,5.00,
    IF(arrears_months=3,8.00,
    IF(arrears_months=4,10.00,
    IF(arrears_months=5,12.00,15.00)))))))</f>
        <v/>
      </c>
      <c r="M5936">
        <f>LET(
    seasoning_years,DATEDIF('Loan Tape (S&amp;P)'!K5936,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36">
        <f>IF(AND('Loan Tape (S&amp;P)'!U5936="Yes",
        'Loan Tape (S&amp;P)'!T5936&lt;&gt;"Yes",
        DATEDIF('Loan Tape (S&amp;P)'!K5936, TODAY(), "M")&lt;18),
    1.10,
    1.00)</f>
        <v/>
      </c>
      <c r="O5936">
        <f>IF('Loan Tape (S&amp;P)'!T5936="Yes",
    1.35,
    1.00)</f>
        <v/>
      </c>
      <c r="P5936">
        <f>IF('Loan Tape (S&amp;P)'!S5936="Yes",
    1.15,
    1.00)</f>
        <v/>
      </c>
      <c r="Q5936">
        <f>IF('Loan Tape (S&amp;P)'!V5936="Yes",
    1.20,
    1.00)</f>
        <v/>
      </c>
      <c r="T5936">
        <f>LET(
    payment_method,'Loan Tape (S&amp;P)'!P5936,
    occupancy,'Loan Tape (S&amp;P)'!N5936,
    maturity_date,'Loan Tape (S&amp;P)'!L5936,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37">
      <c r="J5937">
        <f>LET(
    lien,'Loan Tape (S&amp;P)'!Q5937,
    IF(lien="First",1.00,
        IF(lien="Second",1.50,
            1.70)))</f>
        <v/>
      </c>
      <c r="K5937">
        <f>LET(
    purpose,'Loan Tape (S&amp;P)'!R5937,
    IF(purpose="Purchase",1.00,
        IF(purpose="Remortgage",1.00,
            1.20)))</f>
        <v/>
      </c>
      <c r="L5937">
        <f>LET(
    arrears_months,'Loan Tape (S&amp;P)'!AN5937,
    IF(arrears_months=0,1.00,
    IF(arrears_months=1,3.00,
    IF(arrears_months=2,5.00,
    IF(arrears_months=3,8.00,
    IF(arrears_months=4,10.00,
    IF(arrears_months=5,12.00,15.00)))))))</f>
        <v/>
      </c>
      <c r="M5937">
        <f>LET(
    seasoning_years,DATEDIF('Loan Tape (S&amp;P)'!K5937,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37">
        <f>IF(AND('Loan Tape (S&amp;P)'!U5937="Yes",
        'Loan Tape (S&amp;P)'!T5937&lt;&gt;"Yes",
        DATEDIF('Loan Tape (S&amp;P)'!K5937, TODAY(), "M")&lt;18),
    1.10,
    1.00)</f>
        <v/>
      </c>
      <c r="O5937">
        <f>IF('Loan Tape (S&amp;P)'!T5937="Yes",
    1.35,
    1.00)</f>
        <v/>
      </c>
      <c r="P5937">
        <f>IF('Loan Tape (S&amp;P)'!S5937="Yes",
    1.15,
    1.00)</f>
        <v/>
      </c>
      <c r="Q5937">
        <f>IF('Loan Tape (S&amp;P)'!V5937="Yes",
    1.20,
    1.00)</f>
        <v/>
      </c>
      <c r="T5937">
        <f>LET(
    payment_method,'Loan Tape (S&amp;P)'!P5937,
    occupancy,'Loan Tape (S&amp;P)'!N5937,
    maturity_date,'Loan Tape (S&amp;P)'!L5937,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38">
      <c r="J5938">
        <f>LET(
    lien,'Loan Tape (S&amp;P)'!Q5938,
    IF(lien="First",1.00,
        IF(lien="Second",1.50,
            1.70)))</f>
        <v/>
      </c>
      <c r="K5938">
        <f>LET(
    purpose,'Loan Tape (S&amp;P)'!R5938,
    IF(purpose="Purchase",1.00,
        IF(purpose="Remortgage",1.00,
            1.20)))</f>
        <v/>
      </c>
      <c r="L5938">
        <f>LET(
    arrears_months,'Loan Tape (S&amp;P)'!AN5938,
    IF(arrears_months=0,1.00,
    IF(arrears_months=1,3.00,
    IF(arrears_months=2,5.00,
    IF(arrears_months=3,8.00,
    IF(arrears_months=4,10.00,
    IF(arrears_months=5,12.00,15.00)))))))</f>
        <v/>
      </c>
      <c r="M5938">
        <f>LET(
    seasoning_years,DATEDIF('Loan Tape (S&amp;P)'!K5938,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38">
        <f>IF(AND('Loan Tape (S&amp;P)'!U5938="Yes",
        'Loan Tape (S&amp;P)'!T5938&lt;&gt;"Yes",
        DATEDIF('Loan Tape (S&amp;P)'!K5938, TODAY(), "M")&lt;18),
    1.10,
    1.00)</f>
        <v/>
      </c>
      <c r="O5938">
        <f>IF('Loan Tape (S&amp;P)'!T5938="Yes",
    1.35,
    1.00)</f>
        <v/>
      </c>
      <c r="P5938">
        <f>IF('Loan Tape (S&amp;P)'!S5938="Yes",
    1.15,
    1.00)</f>
        <v/>
      </c>
      <c r="Q5938">
        <f>IF('Loan Tape (S&amp;P)'!V5938="Yes",
    1.20,
    1.00)</f>
        <v/>
      </c>
      <c r="T5938">
        <f>LET(
    payment_method,'Loan Tape (S&amp;P)'!P5938,
    occupancy,'Loan Tape (S&amp;P)'!N5938,
    maturity_date,'Loan Tape (S&amp;P)'!L5938,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39">
      <c r="J5939">
        <f>LET(
    lien,'Loan Tape (S&amp;P)'!Q5939,
    IF(lien="First",1.00,
        IF(lien="Second",1.50,
            1.70)))</f>
        <v/>
      </c>
      <c r="K5939">
        <f>LET(
    purpose,'Loan Tape (S&amp;P)'!R5939,
    IF(purpose="Purchase",1.00,
        IF(purpose="Remortgage",1.00,
            1.20)))</f>
        <v/>
      </c>
      <c r="L5939">
        <f>LET(
    arrears_months,'Loan Tape (S&amp;P)'!AN5939,
    IF(arrears_months=0,1.00,
    IF(arrears_months=1,3.00,
    IF(arrears_months=2,5.00,
    IF(arrears_months=3,8.00,
    IF(arrears_months=4,10.00,
    IF(arrears_months=5,12.00,15.00)))))))</f>
        <v/>
      </c>
      <c r="M5939">
        <f>LET(
    seasoning_years,DATEDIF('Loan Tape (S&amp;P)'!K5939,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39">
        <f>IF(AND('Loan Tape (S&amp;P)'!U5939="Yes",
        'Loan Tape (S&amp;P)'!T5939&lt;&gt;"Yes",
        DATEDIF('Loan Tape (S&amp;P)'!K5939, TODAY(), "M")&lt;18),
    1.10,
    1.00)</f>
        <v/>
      </c>
      <c r="O5939">
        <f>IF('Loan Tape (S&amp;P)'!T5939="Yes",
    1.35,
    1.00)</f>
        <v/>
      </c>
      <c r="P5939">
        <f>IF('Loan Tape (S&amp;P)'!S5939="Yes",
    1.15,
    1.00)</f>
        <v/>
      </c>
      <c r="Q5939">
        <f>IF('Loan Tape (S&amp;P)'!V5939="Yes",
    1.20,
    1.00)</f>
        <v/>
      </c>
      <c r="T5939">
        <f>LET(
    payment_method,'Loan Tape (S&amp;P)'!P5939,
    occupancy,'Loan Tape (S&amp;P)'!N5939,
    maturity_date,'Loan Tape (S&amp;P)'!L5939,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40">
      <c r="J5940">
        <f>LET(
    lien,'Loan Tape (S&amp;P)'!Q5940,
    IF(lien="First",1.00,
        IF(lien="Second",1.50,
            1.70)))</f>
        <v/>
      </c>
      <c r="K5940">
        <f>LET(
    purpose,'Loan Tape (S&amp;P)'!R5940,
    IF(purpose="Purchase",1.00,
        IF(purpose="Remortgage",1.00,
            1.20)))</f>
        <v/>
      </c>
      <c r="L5940">
        <f>LET(
    arrears_months,'Loan Tape (S&amp;P)'!AN5940,
    IF(arrears_months=0,1.00,
    IF(arrears_months=1,3.00,
    IF(arrears_months=2,5.00,
    IF(arrears_months=3,8.00,
    IF(arrears_months=4,10.00,
    IF(arrears_months=5,12.00,15.00)))))))</f>
        <v/>
      </c>
      <c r="M5940">
        <f>LET(
    seasoning_years,DATEDIF('Loan Tape (S&amp;P)'!K5940,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40">
        <f>IF(AND('Loan Tape (S&amp;P)'!U5940="Yes",
        'Loan Tape (S&amp;P)'!T5940&lt;&gt;"Yes",
        DATEDIF('Loan Tape (S&amp;P)'!K5940, TODAY(), "M")&lt;18),
    1.10,
    1.00)</f>
        <v/>
      </c>
      <c r="O5940">
        <f>IF('Loan Tape (S&amp;P)'!T5940="Yes",
    1.35,
    1.00)</f>
        <v/>
      </c>
      <c r="P5940">
        <f>IF('Loan Tape (S&amp;P)'!S5940="Yes",
    1.15,
    1.00)</f>
        <v/>
      </c>
      <c r="Q5940">
        <f>IF('Loan Tape (S&amp;P)'!V5940="Yes",
    1.20,
    1.00)</f>
        <v/>
      </c>
      <c r="T5940">
        <f>LET(
    payment_method,'Loan Tape (S&amp;P)'!P5940,
    occupancy,'Loan Tape (S&amp;P)'!N5940,
    maturity_date,'Loan Tape (S&amp;P)'!L5940,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41">
      <c r="J5941">
        <f>LET(
    lien,'Loan Tape (S&amp;P)'!Q5941,
    IF(lien="First",1.00,
        IF(lien="Second",1.50,
            1.70)))</f>
        <v/>
      </c>
      <c r="K5941">
        <f>LET(
    purpose,'Loan Tape (S&amp;P)'!R5941,
    IF(purpose="Purchase",1.00,
        IF(purpose="Remortgage",1.00,
            1.20)))</f>
        <v/>
      </c>
      <c r="L5941">
        <f>LET(
    arrears_months,'Loan Tape (S&amp;P)'!AN5941,
    IF(arrears_months=0,1.00,
    IF(arrears_months=1,3.00,
    IF(arrears_months=2,5.00,
    IF(arrears_months=3,8.00,
    IF(arrears_months=4,10.00,
    IF(arrears_months=5,12.00,15.00)))))))</f>
        <v/>
      </c>
      <c r="M5941">
        <f>LET(
    seasoning_years,DATEDIF('Loan Tape (S&amp;P)'!K5941,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41">
        <f>IF(AND('Loan Tape (S&amp;P)'!U5941="Yes",
        'Loan Tape (S&amp;P)'!T5941&lt;&gt;"Yes",
        DATEDIF('Loan Tape (S&amp;P)'!K5941, TODAY(), "M")&lt;18),
    1.10,
    1.00)</f>
        <v/>
      </c>
      <c r="O5941">
        <f>IF('Loan Tape (S&amp;P)'!T5941="Yes",
    1.35,
    1.00)</f>
        <v/>
      </c>
      <c r="P5941">
        <f>IF('Loan Tape (S&amp;P)'!S5941="Yes",
    1.15,
    1.00)</f>
        <v/>
      </c>
      <c r="Q5941">
        <f>IF('Loan Tape (S&amp;P)'!V5941="Yes",
    1.20,
    1.00)</f>
        <v/>
      </c>
      <c r="T5941">
        <f>LET(
    payment_method,'Loan Tape (S&amp;P)'!P5941,
    occupancy,'Loan Tape (S&amp;P)'!N5941,
    maturity_date,'Loan Tape (S&amp;P)'!L5941,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42">
      <c r="J5942">
        <f>LET(
    lien,'Loan Tape (S&amp;P)'!Q5942,
    IF(lien="First",1.00,
        IF(lien="Second",1.50,
            1.70)))</f>
        <v/>
      </c>
      <c r="K5942">
        <f>LET(
    purpose,'Loan Tape (S&amp;P)'!R5942,
    IF(purpose="Purchase",1.00,
        IF(purpose="Remortgage",1.00,
            1.20)))</f>
        <v/>
      </c>
      <c r="L5942">
        <f>LET(
    arrears_months,'Loan Tape (S&amp;P)'!AN5942,
    IF(arrears_months=0,1.00,
    IF(arrears_months=1,3.00,
    IF(arrears_months=2,5.00,
    IF(arrears_months=3,8.00,
    IF(arrears_months=4,10.00,
    IF(arrears_months=5,12.00,15.00)))))))</f>
        <v/>
      </c>
      <c r="M5942">
        <f>LET(
    seasoning_years,DATEDIF('Loan Tape (S&amp;P)'!K5942,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42">
        <f>IF(AND('Loan Tape (S&amp;P)'!U5942="Yes",
        'Loan Tape (S&amp;P)'!T5942&lt;&gt;"Yes",
        DATEDIF('Loan Tape (S&amp;P)'!K5942, TODAY(), "M")&lt;18),
    1.10,
    1.00)</f>
        <v/>
      </c>
      <c r="O5942">
        <f>IF('Loan Tape (S&amp;P)'!T5942="Yes",
    1.35,
    1.00)</f>
        <v/>
      </c>
      <c r="P5942">
        <f>IF('Loan Tape (S&amp;P)'!S5942="Yes",
    1.15,
    1.00)</f>
        <v/>
      </c>
      <c r="Q5942">
        <f>IF('Loan Tape (S&amp;P)'!V5942="Yes",
    1.20,
    1.00)</f>
        <v/>
      </c>
      <c r="T5942">
        <f>LET(
    payment_method,'Loan Tape (S&amp;P)'!P5942,
    occupancy,'Loan Tape (S&amp;P)'!N5942,
    maturity_date,'Loan Tape (S&amp;P)'!L5942,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43">
      <c r="J5943">
        <f>LET(
    lien,'Loan Tape (S&amp;P)'!Q5943,
    IF(lien="First",1.00,
        IF(lien="Second",1.50,
            1.70)))</f>
        <v/>
      </c>
      <c r="K5943">
        <f>LET(
    purpose,'Loan Tape (S&amp;P)'!R5943,
    IF(purpose="Purchase",1.00,
        IF(purpose="Remortgage",1.00,
            1.20)))</f>
        <v/>
      </c>
      <c r="L5943">
        <f>LET(
    arrears_months,'Loan Tape (S&amp;P)'!AN5943,
    IF(arrears_months=0,1.00,
    IF(arrears_months=1,3.00,
    IF(arrears_months=2,5.00,
    IF(arrears_months=3,8.00,
    IF(arrears_months=4,10.00,
    IF(arrears_months=5,12.00,15.00)))))))</f>
        <v/>
      </c>
      <c r="M5943">
        <f>LET(
    seasoning_years,DATEDIF('Loan Tape (S&amp;P)'!K5943,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43">
        <f>IF(AND('Loan Tape (S&amp;P)'!U5943="Yes",
        'Loan Tape (S&amp;P)'!T5943&lt;&gt;"Yes",
        DATEDIF('Loan Tape (S&amp;P)'!K5943, TODAY(), "M")&lt;18),
    1.10,
    1.00)</f>
        <v/>
      </c>
      <c r="O5943">
        <f>IF('Loan Tape (S&amp;P)'!T5943="Yes",
    1.35,
    1.00)</f>
        <v/>
      </c>
      <c r="P5943">
        <f>IF('Loan Tape (S&amp;P)'!S5943="Yes",
    1.15,
    1.00)</f>
        <v/>
      </c>
      <c r="Q5943">
        <f>IF('Loan Tape (S&amp;P)'!V5943="Yes",
    1.20,
    1.00)</f>
        <v/>
      </c>
      <c r="T5943">
        <f>LET(
    payment_method,'Loan Tape (S&amp;P)'!P5943,
    occupancy,'Loan Tape (S&amp;P)'!N5943,
    maturity_date,'Loan Tape (S&amp;P)'!L5943,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44">
      <c r="J5944">
        <f>LET(
    lien,'Loan Tape (S&amp;P)'!Q5944,
    IF(lien="First",1.00,
        IF(lien="Second",1.50,
            1.70)))</f>
        <v/>
      </c>
      <c r="K5944">
        <f>LET(
    purpose,'Loan Tape (S&amp;P)'!R5944,
    IF(purpose="Purchase",1.00,
        IF(purpose="Remortgage",1.00,
            1.20)))</f>
        <v/>
      </c>
      <c r="L5944">
        <f>LET(
    arrears_months,'Loan Tape (S&amp;P)'!AN5944,
    IF(arrears_months=0,1.00,
    IF(arrears_months=1,3.00,
    IF(arrears_months=2,5.00,
    IF(arrears_months=3,8.00,
    IF(arrears_months=4,10.00,
    IF(arrears_months=5,12.00,15.00)))))))</f>
        <v/>
      </c>
      <c r="M5944">
        <f>LET(
    seasoning_years,DATEDIF('Loan Tape (S&amp;P)'!K5944,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44">
        <f>IF(AND('Loan Tape (S&amp;P)'!U5944="Yes",
        'Loan Tape (S&amp;P)'!T5944&lt;&gt;"Yes",
        DATEDIF('Loan Tape (S&amp;P)'!K5944, TODAY(), "M")&lt;18),
    1.10,
    1.00)</f>
        <v/>
      </c>
      <c r="O5944">
        <f>IF('Loan Tape (S&amp;P)'!T5944="Yes",
    1.35,
    1.00)</f>
        <v/>
      </c>
      <c r="P5944">
        <f>IF('Loan Tape (S&amp;P)'!S5944="Yes",
    1.15,
    1.00)</f>
        <v/>
      </c>
      <c r="Q5944">
        <f>IF('Loan Tape (S&amp;P)'!V5944="Yes",
    1.20,
    1.00)</f>
        <v/>
      </c>
      <c r="T5944">
        <f>LET(
    payment_method,'Loan Tape (S&amp;P)'!P5944,
    occupancy,'Loan Tape (S&amp;P)'!N5944,
    maturity_date,'Loan Tape (S&amp;P)'!L5944,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45">
      <c r="J5945">
        <f>LET(
    lien,'Loan Tape (S&amp;P)'!Q5945,
    IF(lien="First",1.00,
        IF(lien="Second",1.50,
            1.70)))</f>
        <v/>
      </c>
      <c r="K5945">
        <f>LET(
    purpose,'Loan Tape (S&amp;P)'!R5945,
    IF(purpose="Purchase",1.00,
        IF(purpose="Remortgage",1.00,
            1.20)))</f>
        <v/>
      </c>
      <c r="L5945">
        <f>LET(
    arrears_months,'Loan Tape (S&amp;P)'!AN5945,
    IF(arrears_months=0,1.00,
    IF(arrears_months=1,3.00,
    IF(arrears_months=2,5.00,
    IF(arrears_months=3,8.00,
    IF(arrears_months=4,10.00,
    IF(arrears_months=5,12.00,15.00)))))))</f>
        <v/>
      </c>
      <c r="M5945">
        <f>LET(
    seasoning_years,DATEDIF('Loan Tape (S&amp;P)'!K5945,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45">
        <f>IF(AND('Loan Tape (S&amp;P)'!U5945="Yes",
        'Loan Tape (S&amp;P)'!T5945&lt;&gt;"Yes",
        DATEDIF('Loan Tape (S&amp;P)'!K5945, TODAY(), "M")&lt;18),
    1.10,
    1.00)</f>
        <v/>
      </c>
      <c r="O5945">
        <f>IF('Loan Tape (S&amp;P)'!T5945="Yes",
    1.35,
    1.00)</f>
        <v/>
      </c>
      <c r="P5945">
        <f>IF('Loan Tape (S&amp;P)'!S5945="Yes",
    1.15,
    1.00)</f>
        <v/>
      </c>
      <c r="Q5945">
        <f>IF('Loan Tape (S&amp;P)'!V5945="Yes",
    1.20,
    1.00)</f>
        <v/>
      </c>
      <c r="T5945">
        <f>LET(
    payment_method,'Loan Tape (S&amp;P)'!P5945,
    occupancy,'Loan Tape (S&amp;P)'!N5945,
    maturity_date,'Loan Tape (S&amp;P)'!L5945,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46">
      <c r="J5946">
        <f>LET(
    lien,'Loan Tape (S&amp;P)'!Q5946,
    IF(lien="First",1.00,
        IF(lien="Second",1.50,
            1.70)))</f>
        <v/>
      </c>
      <c r="K5946">
        <f>LET(
    purpose,'Loan Tape (S&amp;P)'!R5946,
    IF(purpose="Purchase",1.00,
        IF(purpose="Remortgage",1.00,
            1.20)))</f>
        <v/>
      </c>
      <c r="L5946">
        <f>LET(
    arrears_months,'Loan Tape (S&amp;P)'!AN5946,
    IF(arrears_months=0,1.00,
    IF(arrears_months=1,3.00,
    IF(arrears_months=2,5.00,
    IF(arrears_months=3,8.00,
    IF(arrears_months=4,10.00,
    IF(arrears_months=5,12.00,15.00)))))))</f>
        <v/>
      </c>
      <c r="M5946">
        <f>LET(
    seasoning_years,DATEDIF('Loan Tape (S&amp;P)'!K5946,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46">
        <f>IF(AND('Loan Tape (S&amp;P)'!U5946="Yes",
        'Loan Tape (S&amp;P)'!T5946&lt;&gt;"Yes",
        DATEDIF('Loan Tape (S&amp;P)'!K5946, TODAY(), "M")&lt;18),
    1.10,
    1.00)</f>
        <v/>
      </c>
      <c r="O5946">
        <f>IF('Loan Tape (S&amp;P)'!T5946="Yes",
    1.35,
    1.00)</f>
        <v/>
      </c>
      <c r="P5946">
        <f>IF('Loan Tape (S&amp;P)'!S5946="Yes",
    1.15,
    1.00)</f>
        <v/>
      </c>
      <c r="Q5946">
        <f>IF('Loan Tape (S&amp;P)'!V5946="Yes",
    1.20,
    1.00)</f>
        <v/>
      </c>
      <c r="T5946">
        <f>LET(
    payment_method,'Loan Tape (S&amp;P)'!P5946,
    occupancy,'Loan Tape (S&amp;P)'!N5946,
    maturity_date,'Loan Tape (S&amp;P)'!L5946,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47">
      <c r="J5947">
        <f>LET(
    lien,'Loan Tape (S&amp;P)'!Q5947,
    IF(lien="First",1.00,
        IF(lien="Second",1.50,
            1.70)))</f>
        <v/>
      </c>
      <c r="K5947">
        <f>LET(
    purpose,'Loan Tape (S&amp;P)'!R5947,
    IF(purpose="Purchase",1.00,
        IF(purpose="Remortgage",1.00,
            1.20)))</f>
        <v/>
      </c>
      <c r="L5947">
        <f>LET(
    arrears_months,'Loan Tape (S&amp;P)'!AN5947,
    IF(arrears_months=0,1.00,
    IF(arrears_months=1,3.00,
    IF(arrears_months=2,5.00,
    IF(arrears_months=3,8.00,
    IF(arrears_months=4,10.00,
    IF(arrears_months=5,12.00,15.00)))))))</f>
        <v/>
      </c>
      <c r="M5947">
        <f>LET(
    seasoning_years,DATEDIF('Loan Tape (S&amp;P)'!K5947,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47">
        <f>IF(AND('Loan Tape (S&amp;P)'!U5947="Yes",
        'Loan Tape (S&amp;P)'!T5947&lt;&gt;"Yes",
        DATEDIF('Loan Tape (S&amp;P)'!K5947, TODAY(), "M")&lt;18),
    1.10,
    1.00)</f>
        <v/>
      </c>
      <c r="O5947">
        <f>IF('Loan Tape (S&amp;P)'!T5947="Yes",
    1.35,
    1.00)</f>
        <v/>
      </c>
      <c r="P5947">
        <f>IF('Loan Tape (S&amp;P)'!S5947="Yes",
    1.15,
    1.00)</f>
        <v/>
      </c>
      <c r="Q5947">
        <f>IF('Loan Tape (S&amp;P)'!V5947="Yes",
    1.20,
    1.00)</f>
        <v/>
      </c>
      <c r="T5947">
        <f>LET(
    payment_method,'Loan Tape (S&amp;P)'!P5947,
    occupancy,'Loan Tape (S&amp;P)'!N5947,
    maturity_date,'Loan Tape (S&amp;P)'!L5947,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48">
      <c r="J5948">
        <f>LET(
    lien,'Loan Tape (S&amp;P)'!Q5948,
    IF(lien="First",1.00,
        IF(lien="Second",1.50,
            1.70)))</f>
        <v/>
      </c>
      <c r="K5948">
        <f>LET(
    purpose,'Loan Tape (S&amp;P)'!R5948,
    IF(purpose="Purchase",1.00,
        IF(purpose="Remortgage",1.00,
            1.20)))</f>
        <v/>
      </c>
      <c r="L5948">
        <f>LET(
    arrears_months,'Loan Tape (S&amp;P)'!AN5948,
    IF(arrears_months=0,1.00,
    IF(arrears_months=1,3.00,
    IF(arrears_months=2,5.00,
    IF(arrears_months=3,8.00,
    IF(arrears_months=4,10.00,
    IF(arrears_months=5,12.00,15.00)))))))</f>
        <v/>
      </c>
      <c r="M5948">
        <f>LET(
    seasoning_years,DATEDIF('Loan Tape (S&amp;P)'!K5948,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48">
        <f>IF(AND('Loan Tape (S&amp;P)'!U5948="Yes",
        'Loan Tape (S&amp;P)'!T5948&lt;&gt;"Yes",
        DATEDIF('Loan Tape (S&amp;P)'!K5948, TODAY(), "M")&lt;18),
    1.10,
    1.00)</f>
        <v/>
      </c>
      <c r="O5948">
        <f>IF('Loan Tape (S&amp;P)'!T5948="Yes",
    1.35,
    1.00)</f>
        <v/>
      </c>
      <c r="P5948">
        <f>IF('Loan Tape (S&amp;P)'!S5948="Yes",
    1.15,
    1.00)</f>
        <v/>
      </c>
      <c r="Q5948">
        <f>IF('Loan Tape (S&amp;P)'!V5948="Yes",
    1.20,
    1.00)</f>
        <v/>
      </c>
      <c r="T5948">
        <f>LET(
    payment_method,'Loan Tape (S&amp;P)'!P5948,
    occupancy,'Loan Tape (S&amp;P)'!N5948,
    maturity_date,'Loan Tape (S&amp;P)'!L5948,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49">
      <c r="J5949">
        <f>LET(
    lien,'Loan Tape (S&amp;P)'!Q5949,
    IF(lien="First",1.00,
        IF(lien="Second",1.50,
            1.70)))</f>
        <v/>
      </c>
      <c r="K5949">
        <f>LET(
    purpose,'Loan Tape (S&amp;P)'!R5949,
    IF(purpose="Purchase",1.00,
        IF(purpose="Remortgage",1.00,
            1.20)))</f>
        <v/>
      </c>
      <c r="L5949">
        <f>LET(
    arrears_months,'Loan Tape (S&amp;P)'!AN5949,
    IF(arrears_months=0,1.00,
    IF(arrears_months=1,3.00,
    IF(arrears_months=2,5.00,
    IF(arrears_months=3,8.00,
    IF(arrears_months=4,10.00,
    IF(arrears_months=5,12.00,15.00)))))))</f>
        <v/>
      </c>
      <c r="M5949">
        <f>LET(
    seasoning_years,DATEDIF('Loan Tape (S&amp;P)'!K5949,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49">
        <f>IF(AND('Loan Tape (S&amp;P)'!U5949="Yes",
        'Loan Tape (S&amp;P)'!T5949&lt;&gt;"Yes",
        DATEDIF('Loan Tape (S&amp;P)'!K5949, TODAY(), "M")&lt;18),
    1.10,
    1.00)</f>
        <v/>
      </c>
      <c r="O5949">
        <f>IF('Loan Tape (S&amp;P)'!T5949="Yes",
    1.35,
    1.00)</f>
        <v/>
      </c>
      <c r="P5949">
        <f>IF('Loan Tape (S&amp;P)'!S5949="Yes",
    1.15,
    1.00)</f>
        <v/>
      </c>
      <c r="Q5949">
        <f>IF('Loan Tape (S&amp;P)'!V5949="Yes",
    1.20,
    1.00)</f>
        <v/>
      </c>
      <c r="T5949">
        <f>LET(
    payment_method,'Loan Tape (S&amp;P)'!P5949,
    occupancy,'Loan Tape (S&amp;P)'!N5949,
    maturity_date,'Loan Tape (S&amp;P)'!L5949,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50">
      <c r="J5950">
        <f>LET(
    lien,'Loan Tape (S&amp;P)'!Q5950,
    IF(lien="First",1.00,
        IF(lien="Second",1.50,
            1.70)))</f>
        <v/>
      </c>
      <c r="K5950">
        <f>LET(
    purpose,'Loan Tape (S&amp;P)'!R5950,
    IF(purpose="Purchase",1.00,
        IF(purpose="Remortgage",1.00,
            1.20)))</f>
        <v/>
      </c>
      <c r="L5950">
        <f>LET(
    arrears_months,'Loan Tape (S&amp;P)'!AN5950,
    IF(arrears_months=0,1.00,
    IF(arrears_months=1,3.00,
    IF(arrears_months=2,5.00,
    IF(arrears_months=3,8.00,
    IF(arrears_months=4,10.00,
    IF(arrears_months=5,12.00,15.00)))))))</f>
        <v/>
      </c>
      <c r="M5950">
        <f>LET(
    seasoning_years,DATEDIF('Loan Tape (S&amp;P)'!K5950,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50">
        <f>IF(AND('Loan Tape (S&amp;P)'!U5950="Yes",
        'Loan Tape (S&amp;P)'!T5950&lt;&gt;"Yes",
        DATEDIF('Loan Tape (S&amp;P)'!K5950, TODAY(), "M")&lt;18),
    1.10,
    1.00)</f>
        <v/>
      </c>
      <c r="O5950">
        <f>IF('Loan Tape (S&amp;P)'!T5950="Yes",
    1.35,
    1.00)</f>
        <v/>
      </c>
      <c r="P5950">
        <f>IF('Loan Tape (S&amp;P)'!S5950="Yes",
    1.15,
    1.00)</f>
        <v/>
      </c>
      <c r="Q5950">
        <f>IF('Loan Tape (S&amp;P)'!V5950="Yes",
    1.20,
    1.00)</f>
        <v/>
      </c>
      <c r="T5950">
        <f>LET(
    payment_method,'Loan Tape (S&amp;P)'!P5950,
    occupancy,'Loan Tape (S&amp;P)'!N5950,
    maturity_date,'Loan Tape (S&amp;P)'!L5950,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51">
      <c r="J5951">
        <f>LET(
    lien,'Loan Tape (S&amp;P)'!Q5951,
    IF(lien="First",1.00,
        IF(lien="Second",1.50,
            1.70)))</f>
        <v/>
      </c>
      <c r="K5951">
        <f>LET(
    purpose,'Loan Tape (S&amp;P)'!R5951,
    IF(purpose="Purchase",1.00,
        IF(purpose="Remortgage",1.00,
            1.20)))</f>
        <v/>
      </c>
      <c r="L5951">
        <f>LET(
    arrears_months,'Loan Tape (S&amp;P)'!AN5951,
    IF(arrears_months=0,1.00,
    IF(arrears_months=1,3.00,
    IF(arrears_months=2,5.00,
    IF(arrears_months=3,8.00,
    IF(arrears_months=4,10.00,
    IF(arrears_months=5,12.00,15.00)))))))</f>
        <v/>
      </c>
      <c r="M5951">
        <f>LET(
    seasoning_years,DATEDIF('Loan Tape (S&amp;P)'!K5951,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51">
        <f>IF(AND('Loan Tape (S&amp;P)'!U5951="Yes",
        'Loan Tape (S&amp;P)'!T5951&lt;&gt;"Yes",
        DATEDIF('Loan Tape (S&amp;P)'!K5951, TODAY(), "M")&lt;18),
    1.10,
    1.00)</f>
        <v/>
      </c>
      <c r="O5951">
        <f>IF('Loan Tape (S&amp;P)'!T5951="Yes",
    1.35,
    1.00)</f>
        <v/>
      </c>
      <c r="P5951">
        <f>IF('Loan Tape (S&amp;P)'!S5951="Yes",
    1.15,
    1.00)</f>
        <v/>
      </c>
      <c r="Q5951">
        <f>IF('Loan Tape (S&amp;P)'!V5951="Yes",
    1.20,
    1.00)</f>
        <v/>
      </c>
      <c r="T5951">
        <f>LET(
    payment_method,'Loan Tape (S&amp;P)'!P5951,
    occupancy,'Loan Tape (S&amp;P)'!N5951,
    maturity_date,'Loan Tape (S&amp;P)'!L5951,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52">
      <c r="J5952">
        <f>LET(
    lien,'Loan Tape (S&amp;P)'!Q5952,
    IF(lien="First",1.00,
        IF(lien="Second",1.50,
            1.70)))</f>
        <v/>
      </c>
      <c r="K5952">
        <f>LET(
    purpose,'Loan Tape (S&amp;P)'!R5952,
    IF(purpose="Purchase",1.00,
        IF(purpose="Remortgage",1.00,
            1.20)))</f>
        <v/>
      </c>
      <c r="L5952">
        <f>LET(
    arrears_months,'Loan Tape (S&amp;P)'!AN5952,
    IF(arrears_months=0,1.00,
    IF(arrears_months=1,3.00,
    IF(arrears_months=2,5.00,
    IF(arrears_months=3,8.00,
    IF(arrears_months=4,10.00,
    IF(arrears_months=5,12.00,15.00)))))))</f>
        <v/>
      </c>
      <c r="M5952">
        <f>LET(
    seasoning_years,DATEDIF('Loan Tape (S&amp;P)'!K5952,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52">
        <f>IF(AND('Loan Tape (S&amp;P)'!U5952="Yes",
        'Loan Tape (S&amp;P)'!T5952&lt;&gt;"Yes",
        DATEDIF('Loan Tape (S&amp;P)'!K5952, TODAY(), "M")&lt;18),
    1.10,
    1.00)</f>
        <v/>
      </c>
      <c r="O5952">
        <f>IF('Loan Tape (S&amp;P)'!T5952="Yes",
    1.35,
    1.00)</f>
        <v/>
      </c>
      <c r="P5952">
        <f>IF('Loan Tape (S&amp;P)'!S5952="Yes",
    1.15,
    1.00)</f>
        <v/>
      </c>
      <c r="Q5952">
        <f>IF('Loan Tape (S&amp;P)'!V5952="Yes",
    1.20,
    1.00)</f>
        <v/>
      </c>
      <c r="T5952">
        <f>LET(
    payment_method,'Loan Tape (S&amp;P)'!P5952,
    occupancy,'Loan Tape (S&amp;P)'!N5952,
    maturity_date,'Loan Tape (S&amp;P)'!L5952,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53">
      <c r="J5953">
        <f>LET(
    lien,'Loan Tape (S&amp;P)'!Q5953,
    IF(lien="First",1.00,
        IF(lien="Second",1.50,
            1.70)))</f>
        <v/>
      </c>
      <c r="K5953">
        <f>LET(
    purpose,'Loan Tape (S&amp;P)'!R5953,
    IF(purpose="Purchase",1.00,
        IF(purpose="Remortgage",1.00,
            1.20)))</f>
        <v/>
      </c>
      <c r="L5953">
        <f>LET(
    arrears_months,'Loan Tape (S&amp;P)'!AN5953,
    IF(arrears_months=0,1.00,
    IF(arrears_months=1,3.00,
    IF(arrears_months=2,5.00,
    IF(arrears_months=3,8.00,
    IF(arrears_months=4,10.00,
    IF(arrears_months=5,12.00,15.00)))))))</f>
        <v/>
      </c>
      <c r="M5953">
        <f>LET(
    seasoning_years,DATEDIF('Loan Tape (S&amp;P)'!K5953,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53">
        <f>IF(AND('Loan Tape (S&amp;P)'!U5953="Yes",
        'Loan Tape (S&amp;P)'!T5953&lt;&gt;"Yes",
        DATEDIF('Loan Tape (S&amp;P)'!K5953, TODAY(), "M")&lt;18),
    1.10,
    1.00)</f>
        <v/>
      </c>
      <c r="O5953">
        <f>IF('Loan Tape (S&amp;P)'!T5953="Yes",
    1.35,
    1.00)</f>
        <v/>
      </c>
      <c r="P5953">
        <f>IF('Loan Tape (S&amp;P)'!S5953="Yes",
    1.15,
    1.00)</f>
        <v/>
      </c>
      <c r="Q5953">
        <f>IF('Loan Tape (S&amp;P)'!V5953="Yes",
    1.20,
    1.00)</f>
        <v/>
      </c>
      <c r="T5953">
        <f>LET(
    payment_method,'Loan Tape (S&amp;P)'!P5953,
    occupancy,'Loan Tape (S&amp;P)'!N5953,
    maturity_date,'Loan Tape (S&amp;P)'!L5953,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54">
      <c r="J5954">
        <f>LET(
    lien,'Loan Tape (S&amp;P)'!Q5954,
    IF(lien="First",1.00,
        IF(lien="Second",1.50,
            1.70)))</f>
        <v/>
      </c>
      <c r="K5954">
        <f>LET(
    purpose,'Loan Tape (S&amp;P)'!R5954,
    IF(purpose="Purchase",1.00,
        IF(purpose="Remortgage",1.00,
            1.20)))</f>
        <v/>
      </c>
      <c r="L5954">
        <f>LET(
    arrears_months,'Loan Tape (S&amp;P)'!AN5954,
    IF(arrears_months=0,1.00,
    IF(arrears_months=1,3.00,
    IF(arrears_months=2,5.00,
    IF(arrears_months=3,8.00,
    IF(arrears_months=4,10.00,
    IF(arrears_months=5,12.00,15.00)))))))</f>
        <v/>
      </c>
      <c r="M5954">
        <f>LET(
    seasoning_years,DATEDIF('Loan Tape (S&amp;P)'!K5954,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54">
        <f>IF(AND('Loan Tape (S&amp;P)'!U5954="Yes",
        'Loan Tape (S&amp;P)'!T5954&lt;&gt;"Yes",
        DATEDIF('Loan Tape (S&amp;P)'!K5954, TODAY(), "M")&lt;18),
    1.10,
    1.00)</f>
        <v/>
      </c>
      <c r="O5954">
        <f>IF('Loan Tape (S&amp;P)'!T5954="Yes",
    1.35,
    1.00)</f>
        <v/>
      </c>
      <c r="P5954">
        <f>IF('Loan Tape (S&amp;P)'!S5954="Yes",
    1.15,
    1.00)</f>
        <v/>
      </c>
      <c r="Q5954">
        <f>IF('Loan Tape (S&amp;P)'!V5954="Yes",
    1.20,
    1.00)</f>
        <v/>
      </c>
      <c r="T5954">
        <f>LET(
    payment_method,'Loan Tape (S&amp;P)'!P5954,
    occupancy,'Loan Tape (S&amp;P)'!N5954,
    maturity_date,'Loan Tape (S&amp;P)'!L5954,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55">
      <c r="J5955">
        <f>LET(
    lien,'Loan Tape (S&amp;P)'!Q5955,
    IF(lien="First",1.00,
        IF(lien="Second",1.50,
            1.70)))</f>
        <v/>
      </c>
      <c r="K5955">
        <f>LET(
    purpose,'Loan Tape (S&amp;P)'!R5955,
    IF(purpose="Purchase",1.00,
        IF(purpose="Remortgage",1.00,
            1.20)))</f>
        <v/>
      </c>
      <c r="L5955">
        <f>LET(
    arrears_months,'Loan Tape (S&amp;P)'!AN5955,
    IF(arrears_months=0,1.00,
    IF(arrears_months=1,3.00,
    IF(arrears_months=2,5.00,
    IF(arrears_months=3,8.00,
    IF(arrears_months=4,10.00,
    IF(arrears_months=5,12.00,15.00)))))))</f>
        <v/>
      </c>
      <c r="M5955">
        <f>LET(
    seasoning_years,DATEDIF('Loan Tape (S&amp;P)'!K5955,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55">
        <f>IF(AND('Loan Tape (S&amp;P)'!U5955="Yes",
        'Loan Tape (S&amp;P)'!T5955&lt;&gt;"Yes",
        DATEDIF('Loan Tape (S&amp;P)'!K5955, TODAY(), "M")&lt;18),
    1.10,
    1.00)</f>
        <v/>
      </c>
      <c r="O5955">
        <f>IF('Loan Tape (S&amp;P)'!T5955="Yes",
    1.35,
    1.00)</f>
        <v/>
      </c>
      <c r="P5955">
        <f>IF('Loan Tape (S&amp;P)'!S5955="Yes",
    1.15,
    1.00)</f>
        <v/>
      </c>
      <c r="Q5955">
        <f>IF('Loan Tape (S&amp;P)'!V5955="Yes",
    1.20,
    1.00)</f>
        <v/>
      </c>
      <c r="T5955">
        <f>LET(
    payment_method,'Loan Tape (S&amp;P)'!P5955,
    occupancy,'Loan Tape (S&amp;P)'!N5955,
    maturity_date,'Loan Tape (S&amp;P)'!L5955,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56">
      <c r="J5956">
        <f>LET(
    lien,'Loan Tape (S&amp;P)'!Q5956,
    IF(lien="First",1.00,
        IF(lien="Second",1.50,
            1.70)))</f>
        <v/>
      </c>
      <c r="K5956">
        <f>LET(
    purpose,'Loan Tape (S&amp;P)'!R5956,
    IF(purpose="Purchase",1.00,
        IF(purpose="Remortgage",1.00,
            1.20)))</f>
        <v/>
      </c>
      <c r="L5956">
        <f>LET(
    arrears_months,'Loan Tape (S&amp;P)'!AN5956,
    IF(arrears_months=0,1.00,
    IF(arrears_months=1,3.00,
    IF(arrears_months=2,5.00,
    IF(arrears_months=3,8.00,
    IF(arrears_months=4,10.00,
    IF(arrears_months=5,12.00,15.00)))))))</f>
        <v/>
      </c>
      <c r="M5956">
        <f>LET(
    seasoning_years,DATEDIF('Loan Tape (S&amp;P)'!K5956,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56">
        <f>IF(AND('Loan Tape (S&amp;P)'!U5956="Yes",
        'Loan Tape (S&amp;P)'!T5956&lt;&gt;"Yes",
        DATEDIF('Loan Tape (S&amp;P)'!K5956, TODAY(), "M")&lt;18),
    1.10,
    1.00)</f>
        <v/>
      </c>
      <c r="O5956">
        <f>IF('Loan Tape (S&amp;P)'!T5956="Yes",
    1.35,
    1.00)</f>
        <v/>
      </c>
      <c r="P5956">
        <f>IF('Loan Tape (S&amp;P)'!S5956="Yes",
    1.15,
    1.00)</f>
        <v/>
      </c>
      <c r="Q5956">
        <f>IF('Loan Tape (S&amp;P)'!V5956="Yes",
    1.20,
    1.00)</f>
        <v/>
      </c>
      <c r="T5956">
        <f>LET(
    payment_method,'Loan Tape (S&amp;P)'!P5956,
    occupancy,'Loan Tape (S&amp;P)'!N5956,
    maturity_date,'Loan Tape (S&amp;P)'!L5956,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57">
      <c r="J5957">
        <f>LET(
    lien,'Loan Tape (S&amp;P)'!Q5957,
    IF(lien="First",1.00,
        IF(lien="Second",1.50,
            1.70)))</f>
        <v/>
      </c>
      <c r="K5957">
        <f>LET(
    purpose,'Loan Tape (S&amp;P)'!R5957,
    IF(purpose="Purchase",1.00,
        IF(purpose="Remortgage",1.00,
            1.20)))</f>
        <v/>
      </c>
      <c r="L5957">
        <f>LET(
    arrears_months,'Loan Tape (S&amp;P)'!AN5957,
    IF(arrears_months=0,1.00,
    IF(arrears_months=1,3.00,
    IF(arrears_months=2,5.00,
    IF(arrears_months=3,8.00,
    IF(arrears_months=4,10.00,
    IF(arrears_months=5,12.00,15.00)))))))</f>
        <v/>
      </c>
      <c r="M5957">
        <f>LET(
    seasoning_years,DATEDIF('Loan Tape (S&amp;P)'!K5957,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57">
        <f>IF(AND('Loan Tape (S&amp;P)'!U5957="Yes",
        'Loan Tape (S&amp;P)'!T5957&lt;&gt;"Yes",
        DATEDIF('Loan Tape (S&amp;P)'!K5957, TODAY(), "M")&lt;18),
    1.10,
    1.00)</f>
        <v/>
      </c>
      <c r="O5957">
        <f>IF('Loan Tape (S&amp;P)'!T5957="Yes",
    1.35,
    1.00)</f>
        <v/>
      </c>
      <c r="P5957">
        <f>IF('Loan Tape (S&amp;P)'!S5957="Yes",
    1.15,
    1.00)</f>
        <v/>
      </c>
      <c r="Q5957">
        <f>IF('Loan Tape (S&amp;P)'!V5957="Yes",
    1.20,
    1.00)</f>
        <v/>
      </c>
      <c r="T5957">
        <f>LET(
    payment_method,'Loan Tape (S&amp;P)'!P5957,
    occupancy,'Loan Tape (S&amp;P)'!N5957,
    maturity_date,'Loan Tape (S&amp;P)'!L5957,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58">
      <c r="J5958">
        <f>LET(
    lien,'Loan Tape (S&amp;P)'!Q5958,
    IF(lien="First",1.00,
        IF(lien="Second",1.50,
            1.70)))</f>
        <v/>
      </c>
      <c r="K5958">
        <f>LET(
    purpose,'Loan Tape (S&amp;P)'!R5958,
    IF(purpose="Purchase",1.00,
        IF(purpose="Remortgage",1.00,
            1.20)))</f>
        <v/>
      </c>
      <c r="L5958">
        <f>LET(
    arrears_months,'Loan Tape (S&amp;P)'!AN5958,
    IF(arrears_months=0,1.00,
    IF(arrears_months=1,3.00,
    IF(arrears_months=2,5.00,
    IF(arrears_months=3,8.00,
    IF(arrears_months=4,10.00,
    IF(arrears_months=5,12.00,15.00)))))))</f>
        <v/>
      </c>
      <c r="M5958">
        <f>LET(
    seasoning_years,DATEDIF('Loan Tape (S&amp;P)'!K5958,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58">
        <f>IF(AND('Loan Tape (S&amp;P)'!U5958="Yes",
        'Loan Tape (S&amp;P)'!T5958&lt;&gt;"Yes",
        DATEDIF('Loan Tape (S&amp;P)'!K5958, TODAY(), "M")&lt;18),
    1.10,
    1.00)</f>
        <v/>
      </c>
      <c r="O5958">
        <f>IF('Loan Tape (S&amp;P)'!T5958="Yes",
    1.35,
    1.00)</f>
        <v/>
      </c>
      <c r="P5958">
        <f>IF('Loan Tape (S&amp;P)'!S5958="Yes",
    1.15,
    1.00)</f>
        <v/>
      </c>
      <c r="Q5958">
        <f>IF('Loan Tape (S&amp;P)'!V5958="Yes",
    1.20,
    1.00)</f>
        <v/>
      </c>
      <c r="T5958">
        <f>LET(
    payment_method,'Loan Tape (S&amp;P)'!P5958,
    occupancy,'Loan Tape (S&amp;P)'!N5958,
    maturity_date,'Loan Tape (S&amp;P)'!L5958,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59">
      <c r="J5959">
        <f>LET(
    lien,'Loan Tape (S&amp;P)'!Q5959,
    IF(lien="First",1.00,
        IF(lien="Second",1.50,
            1.70)))</f>
        <v/>
      </c>
      <c r="K5959">
        <f>LET(
    purpose,'Loan Tape (S&amp;P)'!R5959,
    IF(purpose="Purchase",1.00,
        IF(purpose="Remortgage",1.00,
            1.20)))</f>
        <v/>
      </c>
      <c r="L5959">
        <f>LET(
    arrears_months,'Loan Tape (S&amp;P)'!AN5959,
    IF(arrears_months=0,1.00,
    IF(arrears_months=1,3.00,
    IF(arrears_months=2,5.00,
    IF(arrears_months=3,8.00,
    IF(arrears_months=4,10.00,
    IF(arrears_months=5,12.00,15.00)))))))</f>
        <v/>
      </c>
      <c r="M5959">
        <f>LET(
    seasoning_years,DATEDIF('Loan Tape (S&amp;P)'!K5959,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59">
        <f>IF(AND('Loan Tape (S&amp;P)'!U5959="Yes",
        'Loan Tape (S&amp;P)'!T5959&lt;&gt;"Yes",
        DATEDIF('Loan Tape (S&amp;P)'!K5959, TODAY(), "M")&lt;18),
    1.10,
    1.00)</f>
        <v/>
      </c>
      <c r="O5959">
        <f>IF('Loan Tape (S&amp;P)'!T5959="Yes",
    1.35,
    1.00)</f>
        <v/>
      </c>
      <c r="P5959">
        <f>IF('Loan Tape (S&amp;P)'!S5959="Yes",
    1.15,
    1.00)</f>
        <v/>
      </c>
      <c r="Q5959">
        <f>IF('Loan Tape (S&amp;P)'!V5959="Yes",
    1.20,
    1.00)</f>
        <v/>
      </c>
      <c r="T5959">
        <f>LET(
    payment_method,'Loan Tape (S&amp;P)'!P5959,
    occupancy,'Loan Tape (S&amp;P)'!N5959,
    maturity_date,'Loan Tape (S&amp;P)'!L5959,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60">
      <c r="J5960">
        <f>LET(
    lien,'Loan Tape (S&amp;P)'!Q5960,
    IF(lien="First",1.00,
        IF(lien="Second",1.50,
            1.70)))</f>
        <v/>
      </c>
      <c r="K5960">
        <f>LET(
    purpose,'Loan Tape (S&amp;P)'!R5960,
    IF(purpose="Purchase",1.00,
        IF(purpose="Remortgage",1.00,
            1.20)))</f>
        <v/>
      </c>
      <c r="L5960">
        <f>LET(
    arrears_months,'Loan Tape (S&amp;P)'!AN5960,
    IF(arrears_months=0,1.00,
    IF(arrears_months=1,3.00,
    IF(arrears_months=2,5.00,
    IF(arrears_months=3,8.00,
    IF(arrears_months=4,10.00,
    IF(arrears_months=5,12.00,15.00)))))))</f>
        <v/>
      </c>
      <c r="M5960">
        <f>LET(
    seasoning_years,DATEDIF('Loan Tape (S&amp;P)'!K5960,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60">
        <f>IF(AND('Loan Tape (S&amp;P)'!U5960="Yes",
        'Loan Tape (S&amp;P)'!T5960&lt;&gt;"Yes",
        DATEDIF('Loan Tape (S&amp;P)'!K5960, TODAY(), "M")&lt;18),
    1.10,
    1.00)</f>
        <v/>
      </c>
      <c r="O5960">
        <f>IF('Loan Tape (S&amp;P)'!T5960="Yes",
    1.35,
    1.00)</f>
        <v/>
      </c>
      <c r="P5960">
        <f>IF('Loan Tape (S&amp;P)'!S5960="Yes",
    1.15,
    1.00)</f>
        <v/>
      </c>
      <c r="Q5960">
        <f>IF('Loan Tape (S&amp;P)'!V5960="Yes",
    1.20,
    1.00)</f>
        <v/>
      </c>
      <c r="T5960">
        <f>LET(
    payment_method,'Loan Tape (S&amp;P)'!P5960,
    occupancy,'Loan Tape (S&amp;P)'!N5960,
    maturity_date,'Loan Tape (S&amp;P)'!L5960,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61">
      <c r="J5961">
        <f>LET(
    lien,'Loan Tape (S&amp;P)'!Q5961,
    IF(lien="First",1.00,
        IF(lien="Second",1.50,
            1.70)))</f>
        <v/>
      </c>
      <c r="K5961">
        <f>LET(
    purpose,'Loan Tape (S&amp;P)'!R5961,
    IF(purpose="Purchase",1.00,
        IF(purpose="Remortgage",1.00,
            1.20)))</f>
        <v/>
      </c>
      <c r="L5961">
        <f>LET(
    arrears_months,'Loan Tape (S&amp;P)'!AN5961,
    IF(arrears_months=0,1.00,
    IF(arrears_months=1,3.00,
    IF(arrears_months=2,5.00,
    IF(arrears_months=3,8.00,
    IF(arrears_months=4,10.00,
    IF(arrears_months=5,12.00,15.00)))))))</f>
        <v/>
      </c>
      <c r="M5961">
        <f>LET(
    seasoning_years,DATEDIF('Loan Tape (S&amp;P)'!K5961,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61">
        <f>IF(AND('Loan Tape (S&amp;P)'!U5961="Yes",
        'Loan Tape (S&amp;P)'!T5961&lt;&gt;"Yes",
        DATEDIF('Loan Tape (S&amp;P)'!K5961, TODAY(), "M")&lt;18),
    1.10,
    1.00)</f>
        <v/>
      </c>
      <c r="O5961">
        <f>IF('Loan Tape (S&amp;P)'!T5961="Yes",
    1.35,
    1.00)</f>
        <v/>
      </c>
      <c r="P5961">
        <f>IF('Loan Tape (S&amp;P)'!S5961="Yes",
    1.15,
    1.00)</f>
        <v/>
      </c>
      <c r="Q5961">
        <f>IF('Loan Tape (S&amp;P)'!V5961="Yes",
    1.20,
    1.00)</f>
        <v/>
      </c>
      <c r="T5961">
        <f>LET(
    payment_method,'Loan Tape (S&amp;P)'!P5961,
    occupancy,'Loan Tape (S&amp;P)'!N5961,
    maturity_date,'Loan Tape (S&amp;P)'!L5961,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62">
      <c r="J5962">
        <f>LET(
    lien,'Loan Tape (S&amp;P)'!Q5962,
    IF(lien="First",1.00,
        IF(lien="Second",1.50,
            1.70)))</f>
        <v/>
      </c>
      <c r="K5962">
        <f>LET(
    purpose,'Loan Tape (S&amp;P)'!R5962,
    IF(purpose="Purchase",1.00,
        IF(purpose="Remortgage",1.00,
            1.20)))</f>
        <v/>
      </c>
      <c r="L5962">
        <f>LET(
    arrears_months,'Loan Tape (S&amp;P)'!AN5962,
    IF(arrears_months=0,1.00,
    IF(arrears_months=1,3.00,
    IF(arrears_months=2,5.00,
    IF(arrears_months=3,8.00,
    IF(arrears_months=4,10.00,
    IF(arrears_months=5,12.00,15.00)))))))</f>
        <v/>
      </c>
      <c r="M5962">
        <f>LET(
    seasoning_years,DATEDIF('Loan Tape (S&amp;P)'!K5962,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62">
        <f>IF(AND('Loan Tape (S&amp;P)'!U5962="Yes",
        'Loan Tape (S&amp;P)'!T5962&lt;&gt;"Yes",
        DATEDIF('Loan Tape (S&amp;P)'!K5962, TODAY(), "M")&lt;18),
    1.10,
    1.00)</f>
        <v/>
      </c>
      <c r="O5962">
        <f>IF('Loan Tape (S&amp;P)'!T5962="Yes",
    1.35,
    1.00)</f>
        <v/>
      </c>
      <c r="P5962">
        <f>IF('Loan Tape (S&amp;P)'!S5962="Yes",
    1.15,
    1.00)</f>
        <v/>
      </c>
      <c r="Q5962">
        <f>IF('Loan Tape (S&amp;P)'!V5962="Yes",
    1.20,
    1.00)</f>
        <v/>
      </c>
      <c r="T5962">
        <f>LET(
    payment_method,'Loan Tape (S&amp;P)'!P5962,
    occupancy,'Loan Tape (S&amp;P)'!N5962,
    maturity_date,'Loan Tape (S&amp;P)'!L5962,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63">
      <c r="J5963">
        <f>LET(
    lien,'Loan Tape (S&amp;P)'!Q5963,
    IF(lien="First",1.00,
        IF(lien="Second",1.50,
            1.70)))</f>
        <v/>
      </c>
      <c r="K5963">
        <f>LET(
    purpose,'Loan Tape (S&amp;P)'!R5963,
    IF(purpose="Purchase",1.00,
        IF(purpose="Remortgage",1.00,
            1.20)))</f>
        <v/>
      </c>
      <c r="L5963">
        <f>LET(
    arrears_months,'Loan Tape (S&amp;P)'!AN5963,
    IF(arrears_months=0,1.00,
    IF(arrears_months=1,3.00,
    IF(arrears_months=2,5.00,
    IF(arrears_months=3,8.00,
    IF(arrears_months=4,10.00,
    IF(arrears_months=5,12.00,15.00)))))))</f>
        <v/>
      </c>
      <c r="M5963">
        <f>LET(
    seasoning_years,DATEDIF('Loan Tape (S&amp;P)'!K5963,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63">
        <f>IF(AND('Loan Tape (S&amp;P)'!U5963="Yes",
        'Loan Tape (S&amp;P)'!T5963&lt;&gt;"Yes",
        DATEDIF('Loan Tape (S&amp;P)'!K5963, TODAY(), "M")&lt;18),
    1.10,
    1.00)</f>
        <v/>
      </c>
      <c r="O5963">
        <f>IF('Loan Tape (S&amp;P)'!T5963="Yes",
    1.35,
    1.00)</f>
        <v/>
      </c>
      <c r="P5963">
        <f>IF('Loan Tape (S&amp;P)'!S5963="Yes",
    1.15,
    1.00)</f>
        <v/>
      </c>
      <c r="Q5963">
        <f>IF('Loan Tape (S&amp;P)'!V5963="Yes",
    1.20,
    1.00)</f>
        <v/>
      </c>
      <c r="T5963">
        <f>LET(
    payment_method,'Loan Tape (S&amp;P)'!P5963,
    occupancy,'Loan Tape (S&amp;P)'!N5963,
    maturity_date,'Loan Tape (S&amp;P)'!L5963,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64">
      <c r="J5964">
        <f>LET(
    lien,'Loan Tape (S&amp;P)'!Q5964,
    IF(lien="First",1.00,
        IF(lien="Second",1.50,
            1.70)))</f>
        <v/>
      </c>
      <c r="K5964">
        <f>LET(
    purpose,'Loan Tape (S&amp;P)'!R5964,
    IF(purpose="Purchase",1.00,
        IF(purpose="Remortgage",1.00,
            1.20)))</f>
        <v/>
      </c>
      <c r="L5964">
        <f>LET(
    arrears_months,'Loan Tape (S&amp;P)'!AN5964,
    IF(arrears_months=0,1.00,
    IF(arrears_months=1,3.00,
    IF(arrears_months=2,5.00,
    IF(arrears_months=3,8.00,
    IF(arrears_months=4,10.00,
    IF(arrears_months=5,12.00,15.00)))))))</f>
        <v/>
      </c>
      <c r="M5964">
        <f>LET(
    seasoning_years,DATEDIF('Loan Tape (S&amp;P)'!K5964,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64">
        <f>IF(AND('Loan Tape (S&amp;P)'!U5964="Yes",
        'Loan Tape (S&amp;P)'!T5964&lt;&gt;"Yes",
        DATEDIF('Loan Tape (S&amp;P)'!K5964, TODAY(), "M")&lt;18),
    1.10,
    1.00)</f>
        <v/>
      </c>
      <c r="O5964">
        <f>IF('Loan Tape (S&amp;P)'!T5964="Yes",
    1.35,
    1.00)</f>
        <v/>
      </c>
      <c r="P5964">
        <f>IF('Loan Tape (S&amp;P)'!S5964="Yes",
    1.15,
    1.00)</f>
        <v/>
      </c>
      <c r="Q5964">
        <f>IF('Loan Tape (S&amp;P)'!V5964="Yes",
    1.20,
    1.00)</f>
        <v/>
      </c>
      <c r="T5964">
        <f>LET(
    payment_method,'Loan Tape (S&amp;P)'!P5964,
    occupancy,'Loan Tape (S&amp;P)'!N5964,
    maturity_date,'Loan Tape (S&amp;P)'!L5964,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65">
      <c r="J5965">
        <f>LET(
    lien,'Loan Tape (S&amp;P)'!Q5965,
    IF(lien="First",1.00,
        IF(lien="Second",1.50,
            1.70)))</f>
        <v/>
      </c>
      <c r="K5965">
        <f>LET(
    purpose,'Loan Tape (S&amp;P)'!R5965,
    IF(purpose="Purchase",1.00,
        IF(purpose="Remortgage",1.00,
            1.20)))</f>
        <v/>
      </c>
      <c r="L5965">
        <f>LET(
    arrears_months,'Loan Tape (S&amp;P)'!AN5965,
    IF(arrears_months=0,1.00,
    IF(arrears_months=1,3.00,
    IF(arrears_months=2,5.00,
    IF(arrears_months=3,8.00,
    IF(arrears_months=4,10.00,
    IF(arrears_months=5,12.00,15.00)))))))</f>
        <v/>
      </c>
      <c r="M5965">
        <f>LET(
    seasoning_years,DATEDIF('Loan Tape (S&amp;P)'!K5965,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65">
        <f>IF(AND('Loan Tape (S&amp;P)'!U5965="Yes",
        'Loan Tape (S&amp;P)'!T5965&lt;&gt;"Yes",
        DATEDIF('Loan Tape (S&amp;P)'!K5965, TODAY(), "M")&lt;18),
    1.10,
    1.00)</f>
        <v/>
      </c>
      <c r="O5965">
        <f>IF('Loan Tape (S&amp;P)'!T5965="Yes",
    1.35,
    1.00)</f>
        <v/>
      </c>
      <c r="P5965">
        <f>IF('Loan Tape (S&amp;P)'!S5965="Yes",
    1.15,
    1.00)</f>
        <v/>
      </c>
      <c r="Q5965">
        <f>IF('Loan Tape (S&amp;P)'!V5965="Yes",
    1.20,
    1.00)</f>
        <v/>
      </c>
      <c r="T5965">
        <f>LET(
    payment_method,'Loan Tape (S&amp;P)'!P5965,
    occupancy,'Loan Tape (S&amp;P)'!N5965,
    maturity_date,'Loan Tape (S&amp;P)'!L5965,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66">
      <c r="J5966">
        <f>LET(
    lien,'Loan Tape (S&amp;P)'!Q5966,
    IF(lien="First",1.00,
        IF(lien="Second",1.50,
            1.70)))</f>
        <v/>
      </c>
      <c r="K5966">
        <f>LET(
    purpose,'Loan Tape (S&amp;P)'!R5966,
    IF(purpose="Purchase",1.00,
        IF(purpose="Remortgage",1.00,
            1.20)))</f>
        <v/>
      </c>
      <c r="L5966">
        <f>LET(
    arrears_months,'Loan Tape (S&amp;P)'!AN5966,
    IF(arrears_months=0,1.00,
    IF(arrears_months=1,3.00,
    IF(arrears_months=2,5.00,
    IF(arrears_months=3,8.00,
    IF(arrears_months=4,10.00,
    IF(arrears_months=5,12.00,15.00)))))))</f>
        <v/>
      </c>
      <c r="M5966">
        <f>LET(
    seasoning_years,DATEDIF('Loan Tape (S&amp;P)'!K5966,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66">
        <f>IF(AND('Loan Tape (S&amp;P)'!U5966="Yes",
        'Loan Tape (S&amp;P)'!T5966&lt;&gt;"Yes",
        DATEDIF('Loan Tape (S&amp;P)'!K5966, TODAY(), "M")&lt;18),
    1.10,
    1.00)</f>
        <v/>
      </c>
      <c r="O5966">
        <f>IF('Loan Tape (S&amp;P)'!T5966="Yes",
    1.35,
    1.00)</f>
        <v/>
      </c>
      <c r="P5966">
        <f>IF('Loan Tape (S&amp;P)'!S5966="Yes",
    1.15,
    1.00)</f>
        <v/>
      </c>
      <c r="Q5966">
        <f>IF('Loan Tape (S&amp;P)'!V5966="Yes",
    1.20,
    1.00)</f>
        <v/>
      </c>
      <c r="T5966">
        <f>LET(
    payment_method,'Loan Tape (S&amp;P)'!P5966,
    occupancy,'Loan Tape (S&amp;P)'!N5966,
    maturity_date,'Loan Tape (S&amp;P)'!L5966,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67">
      <c r="J5967">
        <f>LET(
    lien,'Loan Tape (S&amp;P)'!Q5967,
    IF(lien="First",1.00,
        IF(lien="Second",1.50,
            1.70)))</f>
        <v/>
      </c>
      <c r="K5967">
        <f>LET(
    purpose,'Loan Tape (S&amp;P)'!R5967,
    IF(purpose="Purchase",1.00,
        IF(purpose="Remortgage",1.00,
            1.20)))</f>
        <v/>
      </c>
      <c r="L5967">
        <f>LET(
    arrears_months,'Loan Tape (S&amp;P)'!AN5967,
    IF(arrears_months=0,1.00,
    IF(arrears_months=1,3.00,
    IF(arrears_months=2,5.00,
    IF(arrears_months=3,8.00,
    IF(arrears_months=4,10.00,
    IF(arrears_months=5,12.00,15.00)))))))</f>
        <v/>
      </c>
      <c r="M5967">
        <f>LET(
    seasoning_years,DATEDIF('Loan Tape (S&amp;P)'!K5967,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67">
        <f>IF(AND('Loan Tape (S&amp;P)'!U5967="Yes",
        'Loan Tape (S&amp;P)'!T5967&lt;&gt;"Yes",
        DATEDIF('Loan Tape (S&amp;P)'!K5967, TODAY(), "M")&lt;18),
    1.10,
    1.00)</f>
        <v/>
      </c>
      <c r="O5967">
        <f>IF('Loan Tape (S&amp;P)'!T5967="Yes",
    1.35,
    1.00)</f>
        <v/>
      </c>
      <c r="P5967">
        <f>IF('Loan Tape (S&amp;P)'!S5967="Yes",
    1.15,
    1.00)</f>
        <v/>
      </c>
      <c r="Q5967">
        <f>IF('Loan Tape (S&amp;P)'!V5967="Yes",
    1.20,
    1.00)</f>
        <v/>
      </c>
      <c r="T5967">
        <f>LET(
    payment_method,'Loan Tape (S&amp;P)'!P5967,
    occupancy,'Loan Tape (S&amp;P)'!N5967,
    maturity_date,'Loan Tape (S&amp;P)'!L5967,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68">
      <c r="J5968">
        <f>LET(
    lien,'Loan Tape (S&amp;P)'!Q5968,
    IF(lien="First",1.00,
        IF(lien="Second",1.50,
            1.70)))</f>
        <v/>
      </c>
      <c r="K5968">
        <f>LET(
    purpose,'Loan Tape (S&amp;P)'!R5968,
    IF(purpose="Purchase",1.00,
        IF(purpose="Remortgage",1.00,
            1.20)))</f>
        <v/>
      </c>
      <c r="L5968">
        <f>LET(
    arrears_months,'Loan Tape (S&amp;P)'!AN5968,
    IF(arrears_months=0,1.00,
    IF(arrears_months=1,3.00,
    IF(arrears_months=2,5.00,
    IF(arrears_months=3,8.00,
    IF(arrears_months=4,10.00,
    IF(arrears_months=5,12.00,15.00)))))))</f>
        <v/>
      </c>
      <c r="M5968">
        <f>LET(
    seasoning_years,DATEDIF('Loan Tape (S&amp;P)'!K5968,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68">
        <f>IF(AND('Loan Tape (S&amp;P)'!U5968="Yes",
        'Loan Tape (S&amp;P)'!T5968&lt;&gt;"Yes",
        DATEDIF('Loan Tape (S&amp;P)'!K5968, TODAY(), "M")&lt;18),
    1.10,
    1.00)</f>
        <v/>
      </c>
      <c r="O5968">
        <f>IF('Loan Tape (S&amp;P)'!T5968="Yes",
    1.35,
    1.00)</f>
        <v/>
      </c>
      <c r="P5968">
        <f>IF('Loan Tape (S&amp;P)'!S5968="Yes",
    1.15,
    1.00)</f>
        <v/>
      </c>
      <c r="Q5968">
        <f>IF('Loan Tape (S&amp;P)'!V5968="Yes",
    1.20,
    1.00)</f>
        <v/>
      </c>
      <c r="T5968">
        <f>LET(
    payment_method,'Loan Tape (S&amp;P)'!P5968,
    occupancy,'Loan Tape (S&amp;P)'!N5968,
    maturity_date,'Loan Tape (S&amp;P)'!L5968,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69">
      <c r="J5969">
        <f>LET(
    lien,'Loan Tape (S&amp;P)'!Q5969,
    IF(lien="First",1.00,
        IF(lien="Second",1.50,
            1.70)))</f>
        <v/>
      </c>
      <c r="K5969">
        <f>LET(
    purpose,'Loan Tape (S&amp;P)'!R5969,
    IF(purpose="Purchase",1.00,
        IF(purpose="Remortgage",1.00,
            1.20)))</f>
        <v/>
      </c>
      <c r="L5969">
        <f>LET(
    arrears_months,'Loan Tape (S&amp;P)'!AN5969,
    IF(arrears_months=0,1.00,
    IF(arrears_months=1,3.00,
    IF(arrears_months=2,5.00,
    IF(arrears_months=3,8.00,
    IF(arrears_months=4,10.00,
    IF(arrears_months=5,12.00,15.00)))))))</f>
        <v/>
      </c>
      <c r="M5969">
        <f>LET(
    seasoning_years,DATEDIF('Loan Tape (S&amp;P)'!K5969,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69">
        <f>IF(AND('Loan Tape (S&amp;P)'!U5969="Yes",
        'Loan Tape (S&amp;P)'!T5969&lt;&gt;"Yes",
        DATEDIF('Loan Tape (S&amp;P)'!K5969, TODAY(), "M")&lt;18),
    1.10,
    1.00)</f>
        <v/>
      </c>
      <c r="O5969">
        <f>IF('Loan Tape (S&amp;P)'!T5969="Yes",
    1.35,
    1.00)</f>
        <v/>
      </c>
      <c r="P5969">
        <f>IF('Loan Tape (S&amp;P)'!S5969="Yes",
    1.15,
    1.00)</f>
        <v/>
      </c>
      <c r="Q5969">
        <f>IF('Loan Tape (S&amp;P)'!V5969="Yes",
    1.20,
    1.00)</f>
        <v/>
      </c>
      <c r="T5969">
        <f>LET(
    payment_method,'Loan Tape (S&amp;P)'!P5969,
    occupancy,'Loan Tape (S&amp;P)'!N5969,
    maturity_date,'Loan Tape (S&amp;P)'!L5969,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70">
      <c r="J5970">
        <f>LET(
    lien,'Loan Tape (S&amp;P)'!Q5970,
    IF(lien="First",1.00,
        IF(lien="Second",1.50,
            1.70)))</f>
        <v/>
      </c>
      <c r="K5970">
        <f>LET(
    purpose,'Loan Tape (S&amp;P)'!R5970,
    IF(purpose="Purchase",1.00,
        IF(purpose="Remortgage",1.00,
            1.20)))</f>
        <v/>
      </c>
      <c r="L5970">
        <f>LET(
    arrears_months,'Loan Tape (S&amp;P)'!AN5970,
    IF(arrears_months=0,1.00,
    IF(arrears_months=1,3.00,
    IF(arrears_months=2,5.00,
    IF(arrears_months=3,8.00,
    IF(arrears_months=4,10.00,
    IF(arrears_months=5,12.00,15.00)))))))</f>
        <v/>
      </c>
      <c r="M5970">
        <f>LET(
    seasoning_years,DATEDIF('Loan Tape (S&amp;P)'!K5970,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70">
        <f>IF(AND('Loan Tape (S&amp;P)'!U5970="Yes",
        'Loan Tape (S&amp;P)'!T5970&lt;&gt;"Yes",
        DATEDIF('Loan Tape (S&amp;P)'!K5970, TODAY(), "M")&lt;18),
    1.10,
    1.00)</f>
        <v/>
      </c>
      <c r="O5970">
        <f>IF('Loan Tape (S&amp;P)'!T5970="Yes",
    1.35,
    1.00)</f>
        <v/>
      </c>
      <c r="P5970">
        <f>IF('Loan Tape (S&amp;P)'!S5970="Yes",
    1.15,
    1.00)</f>
        <v/>
      </c>
      <c r="Q5970">
        <f>IF('Loan Tape (S&amp;P)'!V5970="Yes",
    1.20,
    1.00)</f>
        <v/>
      </c>
      <c r="T5970">
        <f>LET(
    payment_method,'Loan Tape (S&amp;P)'!P5970,
    occupancy,'Loan Tape (S&amp;P)'!N5970,
    maturity_date,'Loan Tape (S&amp;P)'!L5970,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71">
      <c r="J5971">
        <f>LET(
    lien,'Loan Tape (S&amp;P)'!Q5971,
    IF(lien="First",1.00,
        IF(lien="Second",1.50,
            1.70)))</f>
        <v/>
      </c>
      <c r="K5971">
        <f>LET(
    purpose,'Loan Tape (S&amp;P)'!R5971,
    IF(purpose="Purchase",1.00,
        IF(purpose="Remortgage",1.00,
            1.20)))</f>
        <v/>
      </c>
      <c r="L5971">
        <f>LET(
    arrears_months,'Loan Tape (S&amp;P)'!AN5971,
    IF(arrears_months=0,1.00,
    IF(arrears_months=1,3.00,
    IF(arrears_months=2,5.00,
    IF(arrears_months=3,8.00,
    IF(arrears_months=4,10.00,
    IF(arrears_months=5,12.00,15.00)))))))</f>
        <v/>
      </c>
      <c r="M5971">
        <f>LET(
    seasoning_years,DATEDIF('Loan Tape (S&amp;P)'!K5971,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71">
        <f>IF(AND('Loan Tape (S&amp;P)'!U5971="Yes",
        'Loan Tape (S&amp;P)'!T5971&lt;&gt;"Yes",
        DATEDIF('Loan Tape (S&amp;P)'!K5971, TODAY(), "M")&lt;18),
    1.10,
    1.00)</f>
        <v/>
      </c>
      <c r="O5971">
        <f>IF('Loan Tape (S&amp;P)'!T5971="Yes",
    1.35,
    1.00)</f>
        <v/>
      </c>
      <c r="P5971">
        <f>IF('Loan Tape (S&amp;P)'!S5971="Yes",
    1.15,
    1.00)</f>
        <v/>
      </c>
      <c r="Q5971">
        <f>IF('Loan Tape (S&amp;P)'!V5971="Yes",
    1.20,
    1.00)</f>
        <v/>
      </c>
      <c r="T5971">
        <f>LET(
    payment_method,'Loan Tape (S&amp;P)'!P5971,
    occupancy,'Loan Tape (S&amp;P)'!N5971,
    maturity_date,'Loan Tape (S&amp;P)'!L5971,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72">
      <c r="J5972">
        <f>LET(
    lien,'Loan Tape (S&amp;P)'!Q5972,
    IF(lien="First",1.00,
        IF(lien="Second",1.50,
            1.70)))</f>
        <v/>
      </c>
      <c r="K5972">
        <f>LET(
    purpose,'Loan Tape (S&amp;P)'!R5972,
    IF(purpose="Purchase",1.00,
        IF(purpose="Remortgage",1.00,
            1.20)))</f>
        <v/>
      </c>
      <c r="L5972">
        <f>LET(
    arrears_months,'Loan Tape (S&amp;P)'!AN5972,
    IF(arrears_months=0,1.00,
    IF(arrears_months=1,3.00,
    IF(arrears_months=2,5.00,
    IF(arrears_months=3,8.00,
    IF(arrears_months=4,10.00,
    IF(arrears_months=5,12.00,15.00)))))))</f>
        <v/>
      </c>
      <c r="M5972">
        <f>LET(
    seasoning_years,DATEDIF('Loan Tape (S&amp;P)'!K5972,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72">
        <f>IF(AND('Loan Tape (S&amp;P)'!U5972="Yes",
        'Loan Tape (S&amp;P)'!T5972&lt;&gt;"Yes",
        DATEDIF('Loan Tape (S&amp;P)'!K5972, TODAY(), "M")&lt;18),
    1.10,
    1.00)</f>
        <v/>
      </c>
      <c r="O5972">
        <f>IF('Loan Tape (S&amp;P)'!T5972="Yes",
    1.35,
    1.00)</f>
        <v/>
      </c>
      <c r="P5972">
        <f>IF('Loan Tape (S&amp;P)'!S5972="Yes",
    1.15,
    1.00)</f>
        <v/>
      </c>
      <c r="Q5972">
        <f>IF('Loan Tape (S&amp;P)'!V5972="Yes",
    1.20,
    1.00)</f>
        <v/>
      </c>
      <c r="T5972">
        <f>LET(
    payment_method,'Loan Tape (S&amp;P)'!P5972,
    occupancy,'Loan Tape (S&amp;P)'!N5972,
    maturity_date,'Loan Tape (S&amp;P)'!L5972,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73">
      <c r="J5973">
        <f>LET(
    lien,'Loan Tape (S&amp;P)'!Q5973,
    IF(lien="First",1.00,
        IF(lien="Second",1.50,
            1.70)))</f>
        <v/>
      </c>
      <c r="K5973">
        <f>LET(
    purpose,'Loan Tape (S&amp;P)'!R5973,
    IF(purpose="Purchase",1.00,
        IF(purpose="Remortgage",1.00,
            1.20)))</f>
        <v/>
      </c>
      <c r="L5973">
        <f>LET(
    arrears_months,'Loan Tape (S&amp;P)'!AN5973,
    IF(arrears_months=0,1.00,
    IF(arrears_months=1,3.00,
    IF(arrears_months=2,5.00,
    IF(arrears_months=3,8.00,
    IF(arrears_months=4,10.00,
    IF(arrears_months=5,12.00,15.00)))))))</f>
        <v/>
      </c>
      <c r="M5973">
        <f>LET(
    seasoning_years,DATEDIF('Loan Tape (S&amp;P)'!K5973,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73">
        <f>IF(AND('Loan Tape (S&amp;P)'!U5973="Yes",
        'Loan Tape (S&amp;P)'!T5973&lt;&gt;"Yes",
        DATEDIF('Loan Tape (S&amp;P)'!K5973, TODAY(), "M")&lt;18),
    1.10,
    1.00)</f>
        <v/>
      </c>
      <c r="O5973">
        <f>IF('Loan Tape (S&amp;P)'!T5973="Yes",
    1.35,
    1.00)</f>
        <v/>
      </c>
      <c r="P5973">
        <f>IF('Loan Tape (S&amp;P)'!S5973="Yes",
    1.15,
    1.00)</f>
        <v/>
      </c>
      <c r="Q5973">
        <f>IF('Loan Tape (S&amp;P)'!V5973="Yes",
    1.20,
    1.00)</f>
        <v/>
      </c>
      <c r="T5973">
        <f>LET(
    payment_method,'Loan Tape (S&amp;P)'!P5973,
    occupancy,'Loan Tape (S&amp;P)'!N5973,
    maturity_date,'Loan Tape (S&amp;P)'!L5973,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74">
      <c r="J5974">
        <f>LET(
    lien,'Loan Tape (S&amp;P)'!Q5974,
    IF(lien="First",1.00,
        IF(lien="Second",1.50,
            1.70)))</f>
        <v/>
      </c>
      <c r="K5974">
        <f>LET(
    purpose,'Loan Tape (S&amp;P)'!R5974,
    IF(purpose="Purchase",1.00,
        IF(purpose="Remortgage",1.00,
            1.20)))</f>
        <v/>
      </c>
      <c r="L5974">
        <f>LET(
    arrears_months,'Loan Tape (S&amp;P)'!AN5974,
    IF(arrears_months=0,1.00,
    IF(arrears_months=1,3.00,
    IF(arrears_months=2,5.00,
    IF(arrears_months=3,8.00,
    IF(arrears_months=4,10.00,
    IF(arrears_months=5,12.00,15.00)))))))</f>
        <v/>
      </c>
      <c r="M5974">
        <f>LET(
    seasoning_years,DATEDIF('Loan Tape (S&amp;P)'!K5974,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74">
        <f>IF(AND('Loan Tape (S&amp;P)'!U5974="Yes",
        'Loan Tape (S&amp;P)'!T5974&lt;&gt;"Yes",
        DATEDIF('Loan Tape (S&amp;P)'!K5974, TODAY(), "M")&lt;18),
    1.10,
    1.00)</f>
        <v/>
      </c>
      <c r="O5974">
        <f>IF('Loan Tape (S&amp;P)'!T5974="Yes",
    1.35,
    1.00)</f>
        <v/>
      </c>
      <c r="P5974">
        <f>IF('Loan Tape (S&amp;P)'!S5974="Yes",
    1.15,
    1.00)</f>
        <v/>
      </c>
      <c r="Q5974">
        <f>IF('Loan Tape (S&amp;P)'!V5974="Yes",
    1.20,
    1.00)</f>
        <v/>
      </c>
      <c r="T5974">
        <f>LET(
    payment_method,'Loan Tape (S&amp;P)'!P5974,
    occupancy,'Loan Tape (S&amp;P)'!N5974,
    maturity_date,'Loan Tape (S&amp;P)'!L5974,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75">
      <c r="J5975">
        <f>LET(
    lien,'Loan Tape (S&amp;P)'!Q5975,
    IF(lien="First",1.00,
        IF(lien="Second",1.50,
            1.70)))</f>
        <v/>
      </c>
      <c r="K5975">
        <f>LET(
    purpose,'Loan Tape (S&amp;P)'!R5975,
    IF(purpose="Purchase",1.00,
        IF(purpose="Remortgage",1.00,
            1.20)))</f>
        <v/>
      </c>
      <c r="L5975">
        <f>LET(
    arrears_months,'Loan Tape (S&amp;P)'!AN5975,
    IF(arrears_months=0,1.00,
    IF(arrears_months=1,3.00,
    IF(arrears_months=2,5.00,
    IF(arrears_months=3,8.00,
    IF(arrears_months=4,10.00,
    IF(arrears_months=5,12.00,15.00)))))))</f>
        <v/>
      </c>
      <c r="M5975">
        <f>LET(
    seasoning_years,DATEDIF('Loan Tape (S&amp;P)'!K5975,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75">
        <f>IF(AND('Loan Tape (S&amp;P)'!U5975="Yes",
        'Loan Tape (S&amp;P)'!T5975&lt;&gt;"Yes",
        DATEDIF('Loan Tape (S&amp;P)'!K5975, TODAY(), "M")&lt;18),
    1.10,
    1.00)</f>
        <v/>
      </c>
      <c r="O5975">
        <f>IF('Loan Tape (S&amp;P)'!T5975="Yes",
    1.35,
    1.00)</f>
        <v/>
      </c>
      <c r="P5975">
        <f>IF('Loan Tape (S&amp;P)'!S5975="Yes",
    1.15,
    1.00)</f>
        <v/>
      </c>
      <c r="Q5975">
        <f>IF('Loan Tape (S&amp;P)'!V5975="Yes",
    1.20,
    1.00)</f>
        <v/>
      </c>
      <c r="T5975">
        <f>LET(
    payment_method,'Loan Tape (S&amp;P)'!P5975,
    occupancy,'Loan Tape (S&amp;P)'!N5975,
    maturity_date,'Loan Tape (S&amp;P)'!L5975,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76">
      <c r="J5976">
        <f>LET(
    lien,'Loan Tape (S&amp;P)'!Q5976,
    IF(lien="First",1.00,
        IF(lien="Second",1.50,
            1.70)))</f>
        <v/>
      </c>
      <c r="K5976">
        <f>LET(
    purpose,'Loan Tape (S&amp;P)'!R5976,
    IF(purpose="Purchase",1.00,
        IF(purpose="Remortgage",1.00,
            1.20)))</f>
        <v/>
      </c>
      <c r="L5976">
        <f>LET(
    arrears_months,'Loan Tape (S&amp;P)'!AN5976,
    IF(arrears_months=0,1.00,
    IF(arrears_months=1,3.00,
    IF(arrears_months=2,5.00,
    IF(arrears_months=3,8.00,
    IF(arrears_months=4,10.00,
    IF(arrears_months=5,12.00,15.00)))))))</f>
        <v/>
      </c>
      <c r="M5976">
        <f>LET(
    seasoning_years,DATEDIF('Loan Tape (S&amp;P)'!K5976,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76">
        <f>IF(AND('Loan Tape (S&amp;P)'!U5976="Yes",
        'Loan Tape (S&amp;P)'!T5976&lt;&gt;"Yes",
        DATEDIF('Loan Tape (S&amp;P)'!K5976, TODAY(), "M")&lt;18),
    1.10,
    1.00)</f>
        <v/>
      </c>
      <c r="O5976">
        <f>IF('Loan Tape (S&amp;P)'!T5976="Yes",
    1.35,
    1.00)</f>
        <v/>
      </c>
      <c r="P5976">
        <f>IF('Loan Tape (S&amp;P)'!S5976="Yes",
    1.15,
    1.00)</f>
        <v/>
      </c>
      <c r="Q5976">
        <f>IF('Loan Tape (S&amp;P)'!V5976="Yes",
    1.20,
    1.00)</f>
        <v/>
      </c>
      <c r="T5976">
        <f>LET(
    payment_method,'Loan Tape (S&amp;P)'!P5976,
    occupancy,'Loan Tape (S&amp;P)'!N5976,
    maturity_date,'Loan Tape (S&amp;P)'!L5976,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77">
      <c r="J5977">
        <f>LET(
    lien,'Loan Tape (S&amp;P)'!Q5977,
    IF(lien="First",1.00,
        IF(lien="Second",1.50,
            1.70)))</f>
        <v/>
      </c>
      <c r="K5977">
        <f>LET(
    purpose,'Loan Tape (S&amp;P)'!R5977,
    IF(purpose="Purchase",1.00,
        IF(purpose="Remortgage",1.00,
            1.20)))</f>
        <v/>
      </c>
      <c r="L5977">
        <f>LET(
    arrears_months,'Loan Tape (S&amp;P)'!AN5977,
    IF(arrears_months=0,1.00,
    IF(arrears_months=1,3.00,
    IF(arrears_months=2,5.00,
    IF(arrears_months=3,8.00,
    IF(arrears_months=4,10.00,
    IF(arrears_months=5,12.00,15.00)))))))</f>
        <v/>
      </c>
      <c r="M5977">
        <f>LET(
    seasoning_years,DATEDIF('Loan Tape (S&amp;P)'!K5977,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77">
        <f>IF(AND('Loan Tape (S&amp;P)'!U5977="Yes",
        'Loan Tape (S&amp;P)'!T5977&lt;&gt;"Yes",
        DATEDIF('Loan Tape (S&amp;P)'!K5977, TODAY(), "M")&lt;18),
    1.10,
    1.00)</f>
        <v/>
      </c>
      <c r="O5977">
        <f>IF('Loan Tape (S&amp;P)'!T5977="Yes",
    1.35,
    1.00)</f>
        <v/>
      </c>
      <c r="P5977">
        <f>IF('Loan Tape (S&amp;P)'!S5977="Yes",
    1.15,
    1.00)</f>
        <v/>
      </c>
      <c r="Q5977">
        <f>IF('Loan Tape (S&amp;P)'!V5977="Yes",
    1.20,
    1.00)</f>
        <v/>
      </c>
      <c r="T5977">
        <f>LET(
    payment_method,'Loan Tape (S&amp;P)'!P5977,
    occupancy,'Loan Tape (S&amp;P)'!N5977,
    maturity_date,'Loan Tape (S&amp;P)'!L5977,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78">
      <c r="J5978">
        <f>LET(
    lien,'Loan Tape (S&amp;P)'!Q5978,
    IF(lien="First",1.00,
        IF(lien="Second",1.50,
            1.70)))</f>
        <v/>
      </c>
      <c r="K5978">
        <f>LET(
    purpose,'Loan Tape (S&amp;P)'!R5978,
    IF(purpose="Purchase",1.00,
        IF(purpose="Remortgage",1.00,
            1.20)))</f>
        <v/>
      </c>
      <c r="L5978">
        <f>LET(
    arrears_months,'Loan Tape (S&amp;P)'!AN5978,
    IF(arrears_months=0,1.00,
    IF(arrears_months=1,3.00,
    IF(arrears_months=2,5.00,
    IF(arrears_months=3,8.00,
    IF(arrears_months=4,10.00,
    IF(arrears_months=5,12.00,15.00)))))))</f>
        <v/>
      </c>
      <c r="M5978">
        <f>LET(
    seasoning_years,DATEDIF('Loan Tape (S&amp;P)'!K5978,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78">
        <f>IF(AND('Loan Tape (S&amp;P)'!U5978="Yes",
        'Loan Tape (S&amp;P)'!T5978&lt;&gt;"Yes",
        DATEDIF('Loan Tape (S&amp;P)'!K5978, TODAY(), "M")&lt;18),
    1.10,
    1.00)</f>
        <v/>
      </c>
      <c r="O5978">
        <f>IF('Loan Tape (S&amp;P)'!T5978="Yes",
    1.35,
    1.00)</f>
        <v/>
      </c>
      <c r="P5978">
        <f>IF('Loan Tape (S&amp;P)'!S5978="Yes",
    1.15,
    1.00)</f>
        <v/>
      </c>
      <c r="Q5978">
        <f>IF('Loan Tape (S&amp;P)'!V5978="Yes",
    1.20,
    1.00)</f>
        <v/>
      </c>
      <c r="T5978">
        <f>LET(
    payment_method,'Loan Tape (S&amp;P)'!P5978,
    occupancy,'Loan Tape (S&amp;P)'!N5978,
    maturity_date,'Loan Tape (S&amp;P)'!L5978,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79">
      <c r="J5979">
        <f>LET(
    lien,'Loan Tape (S&amp;P)'!Q5979,
    IF(lien="First",1.00,
        IF(lien="Second",1.50,
            1.70)))</f>
        <v/>
      </c>
      <c r="K5979">
        <f>LET(
    purpose,'Loan Tape (S&amp;P)'!R5979,
    IF(purpose="Purchase",1.00,
        IF(purpose="Remortgage",1.00,
            1.20)))</f>
        <v/>
      </c>
      <c r="L5979">
        <f>LET(
    arrears_months,'Loan Tape (S&amp;P)'!AN5979,
    IF(arrears_months=0,1.00,
    IF(arrears_months=1,3.00,
    IF(arrears_months=2,5.00,
    IF(arrears_months=3,8.00,
    IF(arrears_months=4,10.00,
    IF(arrears_months=5,12.00,15.00)))))))</f>
        <v/>
      </c>
      <c r="M5979">
        <f>LET(
    seasoning_years,DATEDIF('Loan Tape (S&amp;P)'!K5979,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79">
        <f>IF(AND('Loan Tape (S&amp;P)'!U5979="Yes",
        'Loan Tape (S&amp;P)'!T5979&lt;&gt;"Yes",
        DATEDIF('Loan Tape (S&amp;P)'!K5979, TODAY(), "M")&lt;18),
    1.10,
    1.00)</f>
        <v/>
      </c>
      <c r="O5979">
        <f>IF('Loan Tape (S&amp;P)'!T5979="Yes",
    1.35,
    1.00)</f>
        <v/>
      </c>
      <c r="P5979">
        <f>IF('Loan Tape (S&amp;P)'!S5979="Yes",
    1.15,
    1.00)</f>
        <v/>
      </c>
      <c r="Q5979">
        <f>IF('Loan Tape (S&amp;P)'!V5979="Yes",
    1.20,
    1.00)</f>
        <v/>
      </c>
      <c r="T5979">
        <f>LET(
    payment_method,'Loan Tape (S&amp;P)'!P5979,
    occupancy,'Loan Tape (S&amp;P)'!N5979,
    maturity_date,'Loan Tape (S&amp;P)'!L5979,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80">
      <c r="J5980">
        <f>LET(
    lien,'Loan Tape (S&amp;P)'!Q5980,
    IF(lien="First",1.00,
        IF(lien="Second",1.50,
            1.70)))</f>
        <v/>
      </c>
      <c r="K5980">
        <f>LET(
    purpose,'Loan Tape (S&amp;P)'!R5980,
    IF(purpose="Purchase",1.00,
        IF(purpose="Remortgage",1.00,
            1.20)))</f>
        <v/>
      </c>
      <c r="L5980">
        <f>LET(
    arrears_months,'Loan Tape (S&amp;P)'!AN5980,
    IF(arrears_months=0,1.00,
    IF(arrears_months=1,3.00,
    IF(arrears_months=2,5.00,
    IF(arrears_months=3,8.00,
    IF(arrears_months=4,10.00,
    IF(arrears_months=5,12.00,15.00)))))))</f>
        <v/>
      </c>
      <c r="M5980">
        <f>LET(
    seasoning_years,DATEDIF('Loan Tape (S&amp;P)'!K5980,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80">
        <f>IF(AND('Loan Tape (S&amp;P)'!U5980="Yes",
        'Loan Tape (S&amp;P)'!T5980&lt;&gt;"Yes",
        DATEDIF('Loan Tape (S&amp;P)'!K5980, TODAY(), "M")&lt;18),
    1.10,
    1.00)</f>
        <v/>
      </c>
      <c r="O5980">
        <f>IF('Loan Tape (S&amp;P)'!T5980="Yes",
    1.35,
    1.00)</f>
        <v/>
      </c>
      <c r="P5980">
        <f>IF('Loan Tape (S&amp;P)'!S5980="Yes",
    1.15,
    1.00)</f>
        <v/>
      </c>
      <c r="Q5980">
        <f>IF('Loan Tape (S&amp;P)'!V5980="Yes",
    1.20,
    1.00)</f>
        <v/>
      </c>
      <c r="T5980">
        <f>LET(
    payment_method,'Loan Tape (S&amp;P)'!P5980,
    occupancy,'Loan Tape (S&amp;P)'!N5980,
    maturity_date,'Loan Tape (S&amp;P)'!L5980,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81">
      <c r="J5981">
        <f>LET(
    lien,'Loan Tape (S&amp;P)'!Q5981,
    IF(lien="First",1.00,
        IF(lien="Second",1.50,
            1.70)))</f>
        <v/>
      </c>
      <c r="K5981">
        <f>LET(
    purpose,'Loan Tape (S&amp;P)'!R5981,
    IF(purpose="Purchase",1.00,
        IF(purpose="Remortgage",1.00,
            1.20)))</f>
        <v/>
      </c>
      <c r="L5981">
        <f>LET(
    arrears_months,'Loan Tape (S&amp;P)'!AN5981,
    IF(arrears_months=0,1.00,
    IF(arrears_months=1,3.00,
    IF(arrears_months=2,5.00,
    IF(arrears_months=3,8.00,
    IF(arrears_months=4,10.00,
    IF(arrears_months=5,12.00,15.00)))))))</f>
        <v/>
      </c>
      <c r="M5981">
        <f>LET(
    seasoning_years,DATEDIF('Loan Tape (S&amp;P)'!K5981,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81">
        <f>IF(AND('Loan Tape (S&amp;P)'!U5981="Yes",
        'Loan Tape (S&amp;P)'!T5981&lt;&gt;"Yes",
        DATEDIF('Loan Tape (S&amp;P)'!K5981, TODAY(), "M")&lt;18),
    1.10,
    1.00)</f>
        <v/>
      </c>
      <c r="O5981">
        <f>IF('Loan Tape (S&amp;P)'!T5981="Yes",
    1.35,
    1.00)</f>
        <v/>
      </c>
      <c r="P5981">
        <f>IF('Loan Tape (S&amp;P)'!S5981="Yes",
    1.15,
    1.00)</f>
        <v/>
      </c>
      <c r="Q5981">
        <f>IF('Loan Tape (S&amp;P)'!V5981="Yes",
    1.20,
    1.00)</f>
        <v/>
      </c>
      <c r="T5981">
        <f>LET(
    payment_method,'Loan Tape (S&amp;P)'!P5981,
    occupancy,'Loan Tape (S&amp;P)'!N5981,
    maturity_date,'Loan Tape (S&amp;P)'!L5981,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82">
      <c r="J5982">
        <f>LET(
    lien,'Loan Tape (S&amp;P)'!Q5982,
    IF(lien="First",1.00,
        IF(lien="Second",1.50,
            1.70)))</f>
        <v/>
      </c>
      <c r="K5982">
        <f>LET(
    purpose,'Loan Tape (S&amp;P)'!R5982,
    IF(purpose="Purchase",1.00,
        IF(purpose="Remortgage",1.00,
            1.20)))</f>
        <v/>
      </c>
      <c r="L5982">
        <f>LET(
    arrears_months,'Loan Tape (S&amp;P)'!AN5982,
    IF(arrears_months=0,1.00,
    IF(arrears_months=1,3.00,
    IF(arrears_months=2,5.00,
    IF(arrears_months=3,8.00,
    IF(arrears_months=4,10.00,
    IF(arrears_months=5,12.00,15.00)))))))</f>
        <v/>
      </c>
      <c r="M5982">
        <f>LET(
    seasoning_years,DATEDIF('Loan Tape (S&amp;P)'!K5982,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82">
        <f>IF(AND('Loan Tape (S&amp;P)'!U5982="Yes",
        'Loan Tape (S&amp;P)'!T5982&lt;&gt;"Yes",
        DATEDIF('Loan Tape (S&amp;P)'!K5982, TODAY(), "M")&lt;18),
    1.10,
    1.00)</f>
        <v/>
      </c>
      <c r="O5982">
        <f>IF('Loan Tape (S&amp;P)'!T5982="Yes",
    1.35,
    1.00)</f>
        <v/>
      </c>
      <c r="P5982">
        <f>IF('Loan Tape (S&amp;P)'!S5982="Yes",
    1.15,
    1.00)</f>
        <v/>
      </c>
      <c r="Q5982">
        <f>IF('Loan Tape (S&amp;P)'!V5982="Yes",
    1.20,
    1.00)</f>
        <v/>
      </c>
      <c r="T5982">
        <f>LET(
    payment_method,'Loan Tape (S&amp;P)'!P5982,
    occupancy,'Loan Tape (S&amp;P)'!N5982,
    maturity_date,'Loan Tape (S&amp;P)'!L5982,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83">
      <c r="J5983">
        <f>LET(
    lien,'Loan Tape (S&amp;P)'!Q5983,
    IF(lien="First",1.00,
        IF(lien="Second",1.50,
            1.70)))</f>
        <v/>
      </c>
      <c r="K5983">
        <f>LET(
    purpose,'Loan Tape (S&amp;P)'!R5983,
    IF(purpose="Purchase",1.00,
        IF(purpose="Remortgage",1.00,
            1.20)))</f>
        <v/>
      </c>
      <c r="L5983">
        <f>LET(
    arrears_months,'Loan Tape (S&amp;P)'!AN5983,
    IF(arrears_months=0,1.00,
    IF(arrears_months=1,3.00,
    IF(arrears_months=2,5.00,
    IF(arrears_months=3,8.00,
    IF(arrears_months=4,10.00,
    IF(arrears_months=5,12.00,15.00)))))))</f>
        <v/>
      </c>
      <c r="M5983">
        <f>LET(
    seasoning_years,DATEDIF('Loan Tape (S&amp;P)'!K5983,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83">
        <f>IF(AND('Loan Tape (S&amp;P)'!U5983="Yes",
        'Loan Tape (S&amp;P)'!T5983&lt;&gt;"Yes",
        DATEDIF('Loan Tape (S&amp;P)'!K5983, TODAY(), "M")&lt;18),
    1.10,
    1.00)</f>
        <v/>
      </c>
      <c r="O5983">
        <f>IF('Loan Tape (S&amp;P)'!T5983="Yes",
    1.35,
    1.00)</f>
        <v/>
      </c>
      <c r="P5983">
        <f>IF('Loan Tape (S&amp;P)'!S5983="Yes",
    1.15,
    1.00)</f>
        <v/>
      </c>
      <c r="Q5983">
        <f>IF('Loan Tape (S&amp;P)'!V5983="Yes",
    1.20,
    1.00)</f>
        <v/>
      </c>
      <c r="T5983">
        <f>LET(
    payment_method,'Loan Tape (S&amp;P)'!P5983,
    occupancy,'Loan Tape (S&amp;P)'!N5983,
    maturity_date,'Loan Tape (S&amp;P)'!L5983,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84">
      <c r="J5984">
        <f>LET(
    lien,'Loan Tape (S&amp;P)'!Q5984,
    IF(lien="First",1.00,
        IF(lien="Second",1.50,
            1.70)))</f>
        <v/>
      </c>
      <c r="K5984">
        <f>LET(
    purpose,'Loan Tape (S&amp;P)'!R5984,
    IF(purpose="Purchase",1.00,
        IF(purpose="Remortgage",1.00,
            1.20)))</f>
        <v/>
      </c>
      <c r="L5984">
        <f>LET(
    arrears_months,'Loan Tape (S&amp;P)'!AN5984,
    IF(arrears_months=0,1.00,
    IF(arrears_months=1,3.00,
    IF(arrears_months=2,5.00,
    IF(arrears_months=3,8.00,
    IF(arrears_months=4,10.00,
    IF(arrears_months=5,12.00,15.00)))))))</f>
        <v/>
      </c>
      <c r="M5984">
        <f>LET(
    seasoning_years,DATEDIF('Loan Tape (S&amp;P)'!K5984,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84">
        <f>IF(AND('Loan Tape (S&amp;P)'!U5984="Yes",
        'Loan Tape (S&amp;P)'!T5984&lt;&gt;"Yes",
        DATEDIF('Loan Tape (S&amp;P)'!K5984, TODAY(), "M")&lt;18),
    1.10,
    1.00)</f>
        <v/>
      </c>
      <c r="O5984">
        <f>IF('Loan Tape (S&amp;P)'!T5984="Yes",
    1.35,
    1.00)</f>
        <v/>
      </c>
      <c r="P5984">
        <f>IF('Loan Tape (S&amp;P)'!S5984="Yes",
    1.15,
    1.00)</f>
        <v/>
      </c>
      <c r="Q5984">
        <f>IF('Loan Tape (S&amp;P)'!V5984="Yes",
    1.20,
    1.00)</f>
        <v/>
      </c>
      <c r="T5984">
        <f>LET(
    payment_method,'Loan Tape (S&amp;P)'!P5984,
    occupancy,'Loan Tape (S&amp;P)'!N5984,
    maturity_date,'Loan Tape (S&amp;P)'!L5984,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85">
      <c r="J5985">
        <f>LET(
    lien,'Loan Tape (S&amp;P)'!Q5985,
    IF(lien="First",1.00,
        IF(lien="Second",1.50,
            1.70)))</f>
        <v/>
      </c>
      <c r="K5985">
        <f>LET(
    purpose,'Loan Tape (S&amp;P)'!R5985,
    IF(purpose="Purchase",1.00,
        IF(purpose="Remortgage",1.00,
            1.20)))</f>
        <v/>
      </c>
      <c r="L5985">
        <f>LET(
    arrears_months,'Loan Tape (S&amp;P)'!AN5985,
    IF(arrears_months=0,1.00,
    IF(arrears_months=1,3.00,
    IF(arrears_months=2,5.00,
    IF(arrears_months=3,8.00,
    IF(arrears_months=4,10.00,
    IF(arrears_months=5,12.00,15.00)))))))</f>
        <v/>
      </c>
      <c r="M5985">
        <f>LET(
    seasoning_years,DATEDIF('Loan Tape (S&amp;P)'!K5985,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85">
        <f>IF(AND('Loan Tape (S&amp;P)'!U5985="Yes",
        'Loan Tape (S&amp;P)'!T5985&lt;&gt;"Yes",
        DATEDIF('Loan Tape (S&amp;P)'!K5985, TODAY(), "M")&lt;18),
    1.10,
    1.00)</f>
        <v/>
      </c>
      <c r="O5985">
        <f>IF('Loan Tape (S&amp;P)'!T5985="Yes",
    1.35,
    1.00)</f>
        <v/>
      </c>
      <c r="P5985">
        <f>IF('Loan Tape (S&amp;P)'!S5985="Yes",
    1.15,
    1.00)</f>
        <v/>
      </c>
      <c r="Q5985">
        <f>IF('Loan Tape (S&amp;P)'!V5985="Yes",
    1.20,
    1.00)</f>
        <v/>
      </c>
      <c r="T5985">
        <f>LET(
    payment_method,'Loan Tape (S&amp;P)'!P5985,
    occupancy,'Loan Tape (S&amp;P)'!N5985,
    maturity_date,'Loan Tape (S&amp;P)'!L5985,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86">
      <c r="J5986">
        <f>LET(
    lien,'Loan Tape (S&amp;P)'!Q5986,
    IF(lien="First",1.00,
        IF(lien="Second",1.50,
            1.70)))</f>
        <v/>
      </c>
      <c r="K5986">
        <f>LET(
    purpose,'Loan Tape (S&amp;P)'!R5986,
    IF(purpose="Purchase",1.00,
        IF(purpose="Remortgage",1.00,
            1.20)))</f>
        <v/>
      </c>
      <c r="L5986">
        <f>LET(
    arrears_months,'Loan Tape (S&amp;P)'!AN5986,
    IF(arrears_months=0,1.00,
    IF(arrears_months=1,3.00,
    IF(arrears_months=2,5.00,
    IF(arrears_months=3,8.00,
    IF(arrears_months=4,10.00,
    IF(arrears_months=5,12.00,15.00)))))))</f>
        <v/>
      </c>
      <c r="M5986">
        <f>LET(
    seasoning_years,DATEDIF('Loan Tape (S&amp;P)'!K5986,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86">
        <f>IF(AND('Loan Tape (S&amp;P)'!U5986="Yes",
        'Loan Tape (S&amp;P)'!T5986&lt;&gt;"Yes",
        DATEDIF('Loan Tape (S&amp;P)'!K5986, TODAY(), "M")&lt;18),
    1.10,
    1.00)</f>
        <v/>
      </c>
      <c r="O5986">
        <f>IF('Loan Tape (S&amp;P)'!T5986="Yes",
    1.35,
    1.00)</f>
        <v/>
      </c>
      <c r="P5986">
        <f>IF('Loan Tape (S&amp;P)'!S5986="Yes",
    1.15,
    1.00)</f>
        <v/>
      </c>
      <c r="Q5986">
        <f>IF('Loan Tape (S&amp;P)'!V5986="Yes",
    1.20,
    1.00)</f>
        <v/>
      </c>
      <c r="T5986">
        <f>LET(
    payment_method,'Loan Tape (S&amp;P)'!P5986,
    occupancy,'Loan Tape (S&amp;P)'!N5986,
    maturity_date,'Loan Tape (S&amp;P)'!L5986,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87">
      <c r="J5987">
        <f>LET(
    lien,'Loan Tape (S&amp;P)'!Q5987,
    IF(lien="First",1.00,
        IF(lien="Second",1.50,
            1.70)))</f>
        <v/>
      </c>
      <c r="K5987">
        <f>LET(
    purpose,'Loan Tape (S&amp;P)'!R5987,
    IF(purpose="Purchase",1.00,
        IF(purpose="Remortgage",1.00,
            1.20)))</f>
        <v/>
      </c>
      <c r="L5987">
        <f>LET(
    arrears_months,'Loan Tape (S&amp;P)'!AN5987,
    IF(arrears_months=0,1.00,
    IF(arrears_months=1,3.00,
    IF(arrears_months=2,5.00,
    IF(arrears_months=3,8.00,
    IF(arrears_months=4,10.00,
    IF(arrears_months=5,12.00,15.00)))))))</f>
        <v/>
      </c>
      <c r="M5987">
        <f>LET(
    seasoning_years,DATEDIF('Loan Tape (S&amp;P)'!K5987,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87">
        <f>IF(AND('Loan Tape (S&amp;P)'!U5987="Yes",
        'Loan Tape (S&amp;P)'!T5987&lt;&gt;"Yes",
        DATEDIF('Loan Tape (S&amp;P)'!K5987, TODAY(), "M")&lt;18),
    1.10,
    1.00)</f>
        <v/>
      </c>
      <c r="O5987">
        <f>IF('Loan Tape (S&amp;P)'!T5987="Yes",
    1.35,
    1.00)</f>
        <v/>
      </c>
      <c r="P5987">
        <f>IF('Loan Tape (S&amp;P)'!S5987="Yes",
    1.15,
    1.00)</f>
        <v/>
      </c>
      <c r="Q5987">
        <f>IF('Loan Tape (S&amp;P)'!V5987="Yes",
    1.20,
    1.00)</f>
        <v/>
      </c>
      <c r="T5987">
        <f>LET(
    payment_method,'Loan Tape (S&amp;P)'!P5987,
    occupancy,'Loan Tape (S&amp;P)'!N5987,
    maturity_date,'Loan Tape (S&amp;P)'!L5987,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88">
      <c r="J5988">
        <f>LET(
    lien,'Loan Tape (S&amp;P)'!Q5988,
    IF(lien="First",1.00,
        IF(lien="Second",1.50,
            1.70)))</f>
        <v/>
      </c>
      <c r="K5988">
        <f>LET(
    purpose,'Loan Tape (S&amp;P)'!R5988,
    IF(purpose="Purchase",1.00,
        IF(purpose="Remortgage",1.00,
            1.20)))</f>
        <v/>
      </c>
      <c r="L5988">
        <f>LET(
    arrears_months,'Loan Tape (S&amp;P)'!AN5988,
    IF(arrears_months=0,1.00,
    IF(arrears_months=1,3.00,
    IF(arrears_months=2,5.00,
    IF(arrears_months=3,8.00,
    IF(arrears_months=4,10.00,
    IF(arrears_months=5,12.00,15.00)))))))</f>
        <v/>
      </c>
      <c r="M5988">
        <f>LET(
    seasoning_years,DATEDIF('Loan Tape (S&amp;P)'!K5988,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88">
        <f>IF(AND('Loan Tape (S&amp;P)'!U5988="Yes",
        'Loan Tape (S&amp;P)'!T5988&lt;&gt;"Yes",
        DATEDIF('Loan Tape (S&amp;P)'!K5988, TODAY(), "M")&lt;18),
    1.10,
    1.00)</f>
        <v/>
      </c>
      <c r="O5988">
        <f>IF('Loan Tape (S&amp;P)'!T5988="Yes",
    1.35,
    1.00)</f>
        <v/>
      </c>
      <c r="P5988">
        <f>IF('Loan Tape (S&amp;P)'!S5988="Yes",
    1.15,
    1.00)</f>
        <v/>
      </c>
      <c r="Q5988">
        <f>IF('Loan Tape (S&amp;P)'!V5988="Yes",
    1.20,
    1.00)</f>
        <v/>
      </c>
      <c r="T5988">
        <f>LET(
    payment_method,'Loan Tape (S&amp;P)'!P5988,
    occupancy,'Loan Tape (S&amp;P)'!N5988,
    maturity_date,'Loan Tape (S&amp;P)'!L5988,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89">
      <c r="J5989">
        <f>LET(
    lien,'Loan Tape (S&amp;P)'!Q5989,
    IF(lien="First",1.00,
        IF(lien="Second",1.50,
            1.70)))</f>
        <v/>
      </c>
      <c r="K5989">
        <f>LET(
    purpose,'Loan Tape (S&amp;P)'!R5989,
    IF(purpose="Purchase",1.00,
        IF(purpose="Remortgage",1.00,
            1.20)))</f>
        <v/>
      </c>
      <c r="L5989">
        <f>LET(
    arrears_months,'Loan Tape (S&amp;P)'!AN5989,
    IF(arrears_months=0,1.00,
    IF(arrears_months=1,3.00,
    IF(arrears_months=2,5.00,
    IF(arrears_months=3,8.00,
    IF(arrears_months=4,10.00,
    IF(arrears_months=5,12.00,15.00)))))))</f>
        <v/>
      </c>
      <c r="M5989">
        <f>LET(
    seasoning_years,DATEDIF('Loan Tape (S&amp;P)'!K5989,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89">
        <f>IF(AND('Loan Tape (S&amp;P)'!U5989="Yes",
        'Loan Tape (S&amp;P)'!T5989&lt;&gt;"Yes",
        DATEDIF('Loan Tape (S&amp;P)'!K5989, TODAY(), "M")&lt;18),
    1.10,
    1.00)</f>
        <v/>
      </c>
      <c r="O5989">
        <f>IF('Loan Tape (S&amp;P)'!T5989="Yes",
    1.35,
    1.00)</f>
        <v/>
      </c>
      <c r="P5989">
        <f>IF('Loan Tape (S&amp;P)'!S5989="Yes",
    1.15,
    1.00)</f>
        <v/>
      </c>
      <c r="Q5989">
        <f>IF('Loan Tape (S&amp;P)'!V5989="Yes",
    1.20,
    1.00)</f>
        <v/>
      </c>
      <c r="T5989">
        <f>LET(
    payment_method,'Loan Tape (S&amp;P)'!P5989,
    occupancy,'Loan Tape (S&amp;P)'!N5989,
    maturity_date,'Loan Tape (S&amp;P)'!L5989,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90">
      <c r="J5990">
        <f>LET(
    lien,'Loan Tape (S&amp;P)'!Q5990,
    IF(lien="First",1.00,
        IF(lien="Second",1.50,
            1.70)))</f>
        <v/>
      </c>
      <c r="K5990">
        <f>LET(
    purpose,'Loan Tape (S&amp;P)'!R5990,
    IF(purpose="Purchase",1.00,
        IF(purpose="Remortgage",1.00,
            1.20)))</f>
        <v/>
      </c>
      <c r="L5990">
        <f>LET(
    arrears_months,'Loan Tape (S&amp;P)'!AN5990,
    IF(arrears_months=0,1.00,
    IF(arrears_months=1,3.00,
    IF(arrears_months=2,5.00,
    IF(arrears_months=3,8.00,
    IF(arrears_months=4,10.00,
    IF(arrears_months=5,12.00,15.00)))))))</f>
        <v/>
      </c>
      <c r="M5990">
        <f>LET(
    seasoning_years,DATEDIF('Loan Tape (S&amp;P)'!K5990,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90">
        <f>IF(AND('Loan Tape (S&amp;P)'!U5990="Yes",
        'Loan Tape (S&amp;P)'!T5990&lt;&gt;"Yes",
        DATEDIF('Loan Tape (S&amp;P)'!K5990, TODAY(), "M")&lt;18),
    1.10,
    1.00)</f>
        <v/>
      </c>
      <c r="O5990">
        <f>IF('Loan Tape (S&amp;P)'!T5990="Yes",
    1.35,
    1.00)</f>
        <v/>
      </c>
      <c r="P5990">
        <f>IF('Loan Tape (S&amp;P)'!S5990="Yes",
    1.15,
    1.00)</f>
        <v/>
      </c>
      <c r="Q5990">
        <f>IF('Loan Tape (S&amp;P)'!V5990="Yes",
    1.20,
    1.00)</f>
        <v/>
      </c>
      <c r="T5990">
        <f>LET(
    payment_method,'Loan Tape (S&amp;P)'!P5990,
    occupancy,'Loan Tape (S&amp;P)'!N5990,
    maturity_date,'Loan Tape (S&amp;P)'!L5990,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91">
      <c r="J5991">
        <f>LET(
    lien,'Loan Tape (S&amp;P)'!Q5991,
    IF(lien="First",1.00,
        IF(lien="Second",1.50,
            1.70)))</f>
        <v/>
      </c>
      <c r="K5991">
        <f>LET(
    purpose,'Loan Tape (S&amp;P)'!R5991,
    IF(purpose="Purchase",1.00,
        IF(purpose="Remortgage",1.00,
            1.20)))</f>
        <v/>
      </c>
      <c r="L5991">
        <f>LET(
    arrears_months,'Loan Tape (S&amp;P)'!AN5991,
    IF(arrears_months=0,1.00,
    IF(arrears_months=1,3.00,
    IF(arrears_months=2,5.00,
    IF(arrears_months=3,8.00,
    IF(arrears_months=4,10.00,
    IF(arrears_months=5,12.00,15.00)))))))</f>
        <v/>
      </c>
      <c r="M5991">
        <f>LET(
    seasoning_years,DATEDIF('Loan Tape (S&amp;P)'!K5991,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91">
        <f>IF(AND('Loan Tape (S&amp;P)'!U5991="Yes",
        'Loan Tape (S&amp;P)'!T5991&lt;&gt;"Yes",
        DATEDIF('Loan Tape (S&amp;P)'!K5991, TODAY(), "M")&lt;18),
    1.10,
    1.00)</f>
        <v/>
      </c>
      <c r="O5991">
        <f>IF('Loan Tape (S&amp;P)'!T5991="Yes",
    1.35,
    1.00)</f>
        <v/>
      </c>
      <c r="P5991">
        <f>IF('Loan Tape (S&amp;P)'!S5991="Yes",
    1.15,
    1.00)</f>
        <v/>
      </c>
      <c r="Q5991">
        <f>IF('Loan Tape (S&amp;P)'!V5991="Yes",
    1.20,
    1.00)</f>
        <v/>
      </c>
      <c r="T5991">
        <f>LET(
    payment_method,'Loan Tape (S&amp;P)'!P5991,
    occupancy,'Loan Tape (S&amp;P)'!N5991,
    maturity_date,'Loan Tape (S&amp;P)'!L5991,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92">
      <c r="J5992">
        <f>LET(
    lien,'Loan Tape (S&amp;P)'!Q5992,
    IF(lien="First",1.00,
        IF(lien="Second",1.50,
            1.70)))</f>
        <v/>
      </c>
      <c r="K5992">
        <f>LET(
    purpose,'Loan Tape (S&amp;P)'!R5992,
    IF(purpose="Purchase",1.00,
        IF(purpose="Remortgage",1.00,
            1.20)))</f>
        <v/>
      </c>
      <c r="L5992">
        <f>LET(
    arrears_months,'Loan Tape (S&amp;P)'!AN5992,
    IF(arrears_months=0,1.00,
    IF(arrears_months=1,3.00,
    IF(arrears_months=2,5.00,
    IF(arrears_months=3,8.00,
    IF(arrears_months=4,10.00,
    IF(arrears_months=5,12.00,15.00)))))))</f>
        <v/>
      </c>
      <c r="M5992">
        <f>LET(
    seasoning_years,DATEDIF('Loan Tape (S&amp;P)'!K5992,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92">
        <f>IF(AND('Loan Tape (S&amp;P)'!U5992="Yes",
        'Loan Tape (S&amp;P)'!T5992&lt;&gt;"Yes",
        DATEDIF('Loan Tape (S&amp;P)'!K5992, TODAY(), "M")&lt;18),
    1.10,
    1.00)</f>
        <v/>
      </c>
      <c r="O5992">
        <f>IF('Loan Tape (S&amp;P)'!T5992="Yes",
    1.35,
    1.00)</f>
        <v/>
      </c>
      <c r="P5992">
        <f>IF('Loan Tape (S&amp;P)'!S5992="Yes",
    1.15,
    1.00)</f>
        <v/>
      </c>
      <c r="Q5992">
        <f>IF('Loan Tape (S&amp;P)'!V5992="Yes",
    1.20,
    1.00)</f>
        <v/>
      </c>
      <c r="T5992">
        <f>LET(
    payment_method,'Loan Tape (S&amp;P)'!P5992,
    occupancy,'Loan Tape (S&amp;P)'!N5992,
    maturity_date,'Loan Tape (S&amp;P)'!L5992,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93">
      <c r="J5993">
        <f>LET(
    lien,'Loan Tape (S&amp;P)'!Q5993,
    IF(lien="First",1.00,
        IF(lien="Second",1.50,
            1.70)))</f>
        <v/>
      </c>
      <c r="K5993">
        <f>LET(
    purpose,'Loan Tape (S&amp;P)'!R5993,
    IF(purpose="Purchase",1.00,
        IF(purpose="Remortgage",1.00,
            1.20)))</f>
        <v/>
      </c>
      <c r="L5993">
        <f>LET(
    arrears_months,'Loan Tape (S&amp;P)'!AN5993,
    IF(arrears_months=0,1.00,
    IF(arrears_months=1,3.00,
    IF(arrears_months=2,5.00,
    IF(arrears_months=3,8.00,
    IF(arrears_months=4,10.00,
    IF(arrears_months=5,12.00,15.00)))))))</f>
        <v/>
      </c>
      <c r="M5993">
        <f>LET(
    seasoning_years,DATEDIF('Loan Tape (S&amp;P)'!K5993,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93">
        <f>IF(AND('Loan Tape (S&amp;P)'!U5993="Yes",
        'Loan Tape (S&amp;P)'!T5993&lt;&gt;"Yes",
        DATEDIF('Loan Tape (S&amp;P)'!K5993, TODAY(), "M")&lt;18),
    1.10,
    1.00)</f>
        <v/>
      </c>
      <c r="O5993">
        <f>IF('Loan Tape (S&amp;P)'!T5993="Yes",
    1.35,
    1.00)</f>
        <v/>
      </c>
      <c r="P5993">
        <f>IF('Loan Tape (S&amp;P)'!S5993="Yes",
    1.15,
    1.00)</f>
        <v/>
      </c>
      <c r="Q5993">
        <f>IF('Loan Tape (S&amp;P)'!V5993="Yes",
    1.20,
    1.00)</f>
        <v/>
      </c>
      <c r="T5993">
        <f>LET(
    payment_method,'Loan Tape (S&amp;P)'!P5993,
    occupancy,'Loan Tape (S&amp;P)'!N5993,
    maturity_date,'Loan Tape (S&amp;P)'!L5993,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94">
      <c r="J5994">
        <f>LET(
    lien,'Loan Tape (S&amp;P)'!Q5994,
    IF(lien="First",1.00,
        IF(lien="Second",1.50,
            1.70)))</f>
        <v/>
      </c>
      <c r="K5994">
        <f>LET(
    purpose,'Loan Tape (S&amp;P)'!R5994,
    IF(purpose="Purchase",1.00,
        IF(purpose="Remortgage",1.00,
            1.20)))</f>
        <v/>
      </c>
      <c r="L5994">
        <f>LET(
    arrears_months,'Loan Tape (S&amp;P)'!AN5994,
    IF(arrears_months=0,1.00,
    IF(arrears_months=1,3.00,
    IF(arrears_months=2,5.00,
    IF(arrears_months=3,8.00,
    IF(arrears_months=4,10.00,
    IF(arrears_months=5,12.00,15.00)))))))</f>
        <v/>
      </c>
      <c r="M5994">
        <f>LET(
    seasoning_years,DATEDIF('Loan Tape (S&amp;P)'!K5994,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94">
        <f>IF(AND('Loan Tape (S&amp;P)'!U5994="Yes",
        'Loan Tape (S&amp;P)'!T5994&lt;&gt;"Yes",
        DATEDIF('Loan Tape (S&amp;P)'!K5994, TODAY(), "M")&lt;18),
    1.10,
    1.00)</f>
        <v/>
      </c>
      <c r="O5994">
        <f>IF('Loan Tape (S&amp;P)'!T5994="Yes",
    1.35,
    1.00)</f>
        <v/>
      </c>
      <c r="P5994">
        <f>IF('Loan Tape (S&amp;P)'!S5994="Yes",
    1.15,
    1.00)</f>
        <v/>
      </c>
      <c r="Q5994">
        <f>IF('Loan Tape (S&amp;P)'!V5994="Yes",
    1.20,
    1.00)</f>
        <v/>
      </c>
      <c r="T5994">
        <f>LET(
    payment_method,'Loan Tape (S&amp;P)'!P5994,
    occupancy,'Loan Tape (S&amp;P)'!N5994,
    maturity_date,'Loan Tape (S&amp;P)'!L5994,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95">
      <c r="J5995">
        <f>LET(
    lien,'Loan Tape (S&amp;P)'!Q5995,
    IF(lien="First",1.00,
        IF(lien="Second",1.50,
            1.70)))</f>
        <v/>
      </c>
      <c r="K5995">
        <f>LET(
    purpose,'Loan Tape (S&amp;P)'!R5995,
    IF(purpose="Purchase",1.00,
        IF(purpose="Remortgage",1.00,
            1.20)))</f>
        <v/>
      </c>
      <c r="L5995">
        <f>LET(
    arrears_months,'Loan Tape (S&amp;P)'!AN5995,
    IF(arrears_months=0,1.00,
    IF(arrears_months=1,3.00,
    IF(arrears_months=2,5.00,
    IF(arrears_months=3,8.00,
    IF(arrears_months=4,10.00,
    IF(arrears_months=5,12.00,15.00)))))))</f>
        <v/>
      </c>
      <c r="M5995">
        <f>LET(
    seasoning_years,DATEDIF('Loan Tape (S&amp;P)'!K5995,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95">
        <f>IF(AND('Loan Tape (S&amp;P)'!U5995="Yes",
        'Loan Tape (S&amp;P)'!T5995&lt;&gt;"Yes",
        DATEDIF('Loan Tape (S&amp;P)'!K5995, TODAY(), "M")&lt;18),
    1.10,
    1.00)</f>
        <v/>
      </c>
      <c r="O5995">
        <f>IF('Loan Tape (S&amp;P)'!T5995="Yes",
    1.35,
    1.00)</f>
        <v/>
      </c>
      <c r="P5995">
        <f>IF('Loan Tape (S&amp;P)'!S5995="Yes",
    1.15,
    1.00)</f>
        <v/>
      </c>
      <c r="Q5995">
        <f>IF('Loan Tape (S&amp;P)'!V5995="Yes",
    1.20,
    1.00)</f>
        <v/>
      </c>
      <c r="T5995">
        <f>LET(
    payment_method,'Loan Tape (S&amp;P)'!P5995,
    occupancy,'Loan Tape (S&amp;P)'!N5995,
    maturity_date,'Loan Tape (S&amp;P)'!L5995,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96">
      <c r="J5996">
        <f>LET(
    lien,'Loan Tape (S&amp;P)'!Q5996,
    IF(lien="First",1.00,
        IF(lien="Second",1.50,
            1.70)))</f>
        <v/>
      </c>
      <c r="K5996">
        <f>LET(
    purpose,'Loan Tape (S&amp;P)'!R5996,
    IF(purpose="Purchase",1.00,
        IF(purpose="Remortgage",1.00,
            1.20)))</f>
        <v/>
      </c>
      <c r="L5996">
        <f>LET(
    arrears_months,'Loan Tape (S&amp;P)'!AN5996,
    IF(arrears_months=0,1.00,
    IF(arrears_months=1,3.00,
    IF(arrears_months=2,5.00,
    IF(arrears_months=3,8.00,
    IF(arrears_months=4,10.00,
    IF(arrears_months=5,12.00,15.00)))))))</f>
        <v/>
      </c>
      <c r="M5996">
        <f>LET(
    seasoning_years,DATEDIF('Loan Tape (S&amp;P)'!K5996,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96">
        <f>IF(AND('Loan Tape (S&amp;P)'!U5996="Yes",
        'Loan Tape (S&amp;P)'!T5996&lt;&gt;"Yes",
        DATEDIF('Loan Tape (S&amp;P)'!K5996, TODAY(), "M")&lt;18),
    1.10,
    1.00)</f>
        <v/>
      </c>
      <c r="O5996">
        <f>IF('Loan Tape (S&amp;P)'!T5996="Yes",
    1.35,
    1.00)</f>
        <v/>
      </c>
      <c r="P5996">
        <f>IF('Loan Tape (S&amp;P)'!S5996="Yes",
    1.15,
    1.00)</f>
        <v/>
      </c>
      <c r="Q5996">
        <f>IF('Loan Tape (S&amp;P)'!V5996="Yes",
    1.20,
    1.00)</f>
        <v/>
      </c>
      <c r="T5996">
        <f>LET(
    payment_method,'Loan Tape (S&amp;P)'!P5996,
    occupancy,'Loan Tape (S&amp;P)'!N5996,
    maturity_date,'Loan Tape (S&amp;P)'!L5996,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97">
      <c r="J5997">
        <f>LET(
    lien,'Loan Tape (S&amp;P)'!Q5997,
    IF(lien="First",1.00,
        IF(lien="Second",1.50,
            1.70)))</f>
        <v/>
      </c>
      <c r="K5997">
        <f>LET(
    purpose,'Loan Tape (S&amp;P)'!R5997,
    IF(purpose="Purchase",1.00,
        IF(purpose="Remortgage",1.00,
            1.20)))</f>
        <v/>
      </c>
      <c r="L5997">
        <f>LET(
    arrears_months,'Loan Tape (S&amp;P)'!AN5997,
    IF(arrears_months=0,1.00,
    IF(arrears_months=1,3.00,
    IF(arrears_months=2,5.00,
    IF(arrears_months=3,8.00,
    IF(arrears_months=4,10.00,
    IF(arrears_months=5,12.00,15.00)))))))</f>
        <v/>
      </c>
      <c r="M5997">
        <f>LET(
    seasoning_years,DATEDIF('Loan Tape (S&amp;P)'!K5997,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97">
        <f>IF(AND('Loan Tape (S&amp;P)'!U5997="Yes",
        'Loan Tape (S&amp;P)'!T5997&lt;&gt;"Yes",
        DATEDIF('Loan Tape (S&amp;P)'!K5997, TODAY(), "M")&lt;18),
    1.10,
    1.00)</f>
        <v/>
      </c>
      <c r="O5997">
        <f>IF('Loan Tape (S&amp;P)'!T5997="Yes",
    1.35,
    1.00)</f>
        <v/>
      </c>
      <c r="P5997">
        <f>IF('Loan Tape (S&amp;P)'!S5997="Yes",
    1.15,
    1.00)</f>
        <v/>
      </c>
      <c r="Q5997">
        <f>IF('Loan Tape (S&amp;P)'!V5997="Yes",
    1.20,
    1.00)</f>
        <v/>
      </c>
      <c r="T5997">
        <f>LET(
    payment_method,'Loan Tape (S&amp;P)'!P5997,
    occupancy,'Loan Tape (S&amp;P)'!N5997,
    maturity_date,'Loan Tape (S&amp;P)'!L5997,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98">
      <c r="J5998">
        <f>LET(
    lien,'Loan Tape (S&amp;P)'!Q5998,
    IF(lien="First",1.00,
        IF(lien="Second",1.50,
            1.70)))</f>
        <v/>
      </c>
      <c r="K5998">
        <f>LET(
    purpose,'Loan Tape (S&amp;P)'!R5998,
    IF(purpose="Purchase",1.00,
        IF(purpose="Remortgage",1.00,
            1.20)))</f>
        <v/>
      </c>
      <c r="L5998">
        <f>LET(
    arrears_months,'Loan Tape (S&amp;P)'!AN5998,
    IF(arrears_months=0,1.00,
    IF(arrears_months=1,3.00,
    IF(arrears_months=2,5.00,
    IF(arrears_months=3,8.00,
    IF(arrears_months=4,10.00,
    IF(arrears_months=5,12.00,15.00)))))))</f>
        <v/>
      </c>
      <c r="M5998">
        <f>LET(
    seasoning_years,DATEDIF('Loan Tape (S&amp;P)'!K5998,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98">
        <f>IF(AND('Loan Tape (S&amp;P)'!U5998="Yes",
        'Loan Tape (S&amp;P)'!T5998&lt;&gt;"Yes",
        DATEDIF('Loan Tape (S&amp;P)'!K5998, TODAY(), "M")&lt;18),
    1.10,
    1.00)</f>
        <v/>
      </c>
      <c r="O5998">
        <f>IF('Loan Tape (S&amp;P)'!T5998="Yes",
    1.35,
    1.00)</f>
        <v/>
      </c>
      <c r="P5998">
        <f>IF('Loan Tape (S&amp;P)'!S5998="Yes",
    1.15,
    1.00)</f>
        <v/>
      </c>
      <c r="Q5998">
        <f>IF('Loan Tape (S&amp;P)'!V5998="Yes",
    1.20,
    1.00)</f>
        <v/>
      </c>
      <c r="T5998">
        <f>LET(
    payment_method,'Loan Tape (S&amp;P)'!P5998,
    occupancy,'Loan Tape (S&amp;P)'!N5998,
    maturity_date,'Loan Tape (S&amp;P)'!L5998,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5999">
      <c r="J5999">
        <f>LET(
    lien,'Loan Tape (S&amp;P)'!Q5999,
    IF(lien="First",1.00,
        IF(lien="Second",1.50,
            1.70)))</f>
        <v/>
      </c>
      <c r="K5999">
        <f>LET(
    purpose,'Loan Tape (S&amp;P)'!R5999,
    IF(purpose="Purchase",1.00,
        IF(purpose="Remortgage",1.00,
            1.20)))</f>
        <v/>
      </c>
      <c r="L5999">
        <f>LET(
    arrears_months,'Loan Tape (S&amp;P)'!AN5999,
    IF(arrears_months=0,1.00,
    IF(arrears_months=1,3.00,
    IF(arrears_months=2,5.00,
    IF(arrears_months=3,8.00,
    IF(arrears_months=4,10.00,
    IF(arrears_months=5,12.00,15.00)))))))</f>
        <v/>
      </c>
      <c r="M5999">
        <f>LET(
    seasoning_years,DATEDIF('Loan Tape (S&amp;P)'!K5999,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5999">
        <f>IF(AND('Loan Tape (S&amp;P)'!U5999="Yes",
        'Loan Tape (S&amp;P)'!T5999&lt;&gt;"Yes",
        DATEDIF('Loan Tape (S&amp;P)'!K5999, TODAY(), "M")&lt;18),
    1.10,
    1.00)</f>
        <v/>
      </c>
      <c r="O5999">
        <f>IF('Loan Tape (S&amp;P)'!T5999="Yes",
    1.35,
    1.00)</f>
        <v/>
      </c>
      <c r="P5999">
        <f>IF('Loan Tape (S&amp;P)'!S5999="Yes",
    1.15,
    1.00)</f>
        <v/>
      </c>
      <c r="Q5999">
        <f>IF('Loan Tape (S&amp;P)'!V5999="Yes",
    1.20,
    1.00)</f>
        <v/>
      </c>
      <c r="T5999">
        <f>LET(
    payment_method,'Loan Tape (S&amp;P)'!P5999,
    occupancy,'Loan Tape (S&amp;P)'!N5999,
    maturity_date,'Loan Tape (S&amp;P)'!L5999,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00">
      <c r="J6000">
        <f>LET(
    lien,'Loan Tape (S&amp;P)'!Q6000,
    IF(lien="First",1.00,
        IF(lien="Second",1.50,
            1.70)))</f>
        <v/>
      </c>
      <c r="K6000">
        <f>LET(
    purpose,'Loan Tape (S&amp;P)'!R6000,
    IF(purpose="Purchase",1.00,
        IF(purpose="Remortgage",1.00,
            1.20)))</f>
        <v/>
      </c>
      <c r="L6000">
        <f>LET(
    arrears_months,'Loan Tape (S&amp;P)'!AN6000,
    IF(arrears_months=0,1.00,
    IF(arrears_months=1,3.00,
    IF(arrears_months=2,5.00,
    IF(arrears_months=3,8.00,
    IF(arrears_months=4,10.00,
    IF(arrears_months=5,12.00,15.00)))))))</f>
        <v/>
      </c>
      <c r="M6000">
        <f>LET(
    seasoning_years,DATEDIF('Loan Tape (S&amp;P)'!K6000,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00">
        <f>IF(AND('Loan Tape (S&amp;P)'!U6000="Yes",
        'Loan Tape (S&amp;P)'!T6000&lt;&gt;"Yes",
        DATEDIF('Loan Tape (S&amp;P)'!K6000, TODAY(), "M")&lt;18),
    1.10,
    1.00)</f>
        <v/>
      </c>
      <c r="O6000">
        <f>IF('Loan Tape (S&amp;P)'!T6000="Yes",
    1.35,
    1.00)</f>
        <v/>
      </c>
      <c r="P6000">
        <f>IF('Loan Tape (S&amp;P)'!S6000="Yes",
    1.15,
    1.00)</f>
        <v/>
      </c>
      <c r="Q6000">
        <f>IF('Loan Tape (S&amp;P)'!V6000="Yes",
    1.20,
    1.00)</f>
        <v/>
      </c>
      <c r="T6000">
        <f>LET(
    payment_method,'Loan Tape (S&amp;P)'!P6000,
    occupancy,'Loan Tape (S&amp;P)'!N6000,
    maturity_date,'Loan Tape (S&amp;P)'!L6000,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01">
      <c r="J6001">
        <f>LET(
    lien,'Loan Tape (S&amp;P)'!Q6001,
    IF(lien="First",1.00,
        IF(lien="Second",1.50,
            1.70)))</f>
        <v/>
      </c>
      <c r="K6001">
        <f>LET(
    purpose,'Loan Tape (S&amp;P)'!R6001,
    IF(purpose="Purchase",1.00,
        IF(purpose="Remortgage",1.00,
            1.20)))</f>
        <v/>
      </c>
      <c r="L6001">
        <f>LET(
    arrears_months,'Loan Tape (S&amp;P)'!AN6001,
    IF(arrears_months=0,1.00,
    IF(arrears_months=1,3.00,
    IF(arrears_months=2,5.00,
    IF(arrears_months=3,8.00,
    IF(arrears_months=4,10.00,
    IF(arrears_months=5,12.00,15.00)))))))</f>
        <v/>
      </c>
      <c r="M6001">
        <f>LET(
    seasoning_years,DATEDIF('Loan Tape (S&amp;P)'!K6001,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01">
        <f>IF(AND('Loan Tape (S&amp;P)'!U6001="Yes",
        'Loan Tape (S&amp;P)'!T6001&lt;&gt;"Yes",
        DATEDIF('Loan Tape (S&amp;P)'!K6001, TODAY(), "M")&lt;18),
    1.10,
    1.00)</f>
        <v/>
      </c>
      <c r="O6001">
        <f>IF('Loan Tape (S&amp;P)'!T6001="Yes",
    1.35,
    1.00)</f>
        <v/>
      </c>
      <c r="P6001">
        <f>IF('Loan Tape (S&amp;P)'!S6001="Yes",
    1.15,
    1.00)</f>
        <v/>
      </c>
      <c r="Q6001">
        <f>IF('Loan Tape (S&amp;P)'!V6001="Yes",
    1.20,
    1.00)</f>
        <v/>
      </c>
      <c r="T6001">
        <f>LET(
    payment_method,'Loan Tape (S&amp;P)'!P6001,
    occupancy,'Loan Tape (S&amp;P)'!N6001,
    maturity_date,'Loan Tape (S&amp;P)'!L6001,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02">
      <c r="J6002">
        <f>LET(
    lien,'Loan Tape (S&amp;P)'!Q6002,
    IF(lien="First",1.00,
        IF(lien="Second",1.50,
            1.70)))</f>
        <v/>
      </c>
      <c r="K6002">
        <f>LET(
    purpose,'Loan Tape (S&amp;P)'!R6002,
    IF(purpose="Purchase",1.00,
        IF(purpose="Remortgage",1.00,
            1.20)))</f>
        <v/>
      </c>
      <c r="L6002">
        <f>LET(
    arrears_months,'Loan Tape (S&amp;P)'!AN6002,
    IF(arrears_months=0,1.00,
    IF(arrears_months=1,3.00,
    IF(arrears_months=2,5.00,
    IF(arrears_months=3,8.00,
    IF(arrears_months=4,10.00,
    IF(arrears_months=5,12.00,15.00)))))))</f>
        <v/>
      </c>
      <c r="M6002">
        <f>LET(
    seasoning_years,DATEDIF('Loan Tape (S&amp;P)'!K6002,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02">
        <f>IF(AND('Loan Tape (S&amp;P)'!U6002="Yes",
        'Loan Tape (S&amp;P)'!T6002&lt;&gt;"Yes",
        DATEDIF('Loan Tape (S&amp;P)'!K6002, TODAY(), "M")&lt;18),
    1.10,
    1.00)</f>
        <v/>
      </c>
      <c r="O6002">
        <f>IF('Loan Tape (S&amp;P)'!T6002="Yes",
    1.35,
    1.00)</f>
        <v/>
      </c>
      <c r="P6002">
        <f>IF('Loan Tape (S&amp;P)'!S6002="Yes",
    1.15,
    1.00)</f>
        <v/>
      </c>
      <c r="Q6002">
        <f>IF('Loan Tape (S&amp;P)'!V6002="Yes",
    1.20,
    1.00)</f>
        <v/>
      </c>
      <c r="T6002">
        <f>LET(
    payment_method,'Loan Tape (S&amp;P)'!P6002,
    occupancy,'Loan Tape (S&amp;P)'!N6002,
    maturity_date,'Loan Tape (S&amp;P)'!L6002,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03">
      <c r="J6003">
        <f>LET(
    lien,'Loan Tape (S&amp;P)'!Q6003,
    IF(lien="First",1.00,
        IF(lien="Second",1.50,
            1.70)))</f>
        <v/>
      </c>
      <c r="K6003">
        <f>LET(
    purpose,'Loan Tape (S&amp;P)'!R6003,
    IF(purpose="Purchase",1.00,
        IF(purpose="Remortgage",1.00,
            1.20)))</f>
        <v/>
      </c>
      <c r="L6003">
        <f>LET(
    arrears_months,'Loan Tape (S&amp;P)'!AN6003,
    IF(arrears_months=0,1.00,
    IF(arrears_months=1,3.00,
    IF(arrears_months=2,5.00,
    IF(arrears_months=3,8.00,
    IF(arrears_months=4,10.00,
    IF(arrears_months=5,12.00,15.00)))))))</f>
        <v/>
      </c>
      <c r="M6003">
        <f>LET(
    seasoning_years,DATEDIF('Loan Tape (S&amp;P)'!K6003,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03">
        <f>IF(AND('Loan Tape (S&amp;P)'!U6003="Yes",
        'Loan Tape (S&amp;P)'!T6003&lt;&gt;"Yes",
        DATEDIF('Loan Tape (S&amp;P)'!K6003, TODAY(), "M")&lt;18),
    1.10,
    1.00)</f>
        <v/>
      </c>
      <c r="O6003">
        <f>IF('Loan Tape (S&amp;P)'!T6003="Yes",
    1.35,
    1.00)</f>
        <v/>
      </c>
      <c r="P6003">
        <f>IF('Loan Tape (S&amp;P)'!S6003="Yes",
    1.15,
    1.00)</f>
        <v/>
      </c>
      <c r="Q6003">
        <f>IF('Loan Tape (S&amp;P)'!V6003="Yes",
    1.20,
    1.00)</f>
        <v/>
      </c>
      <c r="T6003">
        <f>LET(
    payment_method,'Loan Tape (S&amp;P)'!P6003,
    occupancy,'Loan Tape (S&amp;P)'!N6003,
    maturity_date,'Loan Tape (S&amp;P)'!L6003,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04">
      <c r="J6004">
        <f>LET(
    lien,'Loan Tape (S&amp;P)'!Q6004,
    IF(lien="First",1.00,
        IF(lien="Second",1.50,
            1.70)))</f>
        <v/>
      </c>
      <c r="K6004">
        <f>LET(
    purpose,'Loan Tape (S&amp;P)'!R6004,
    IF(purpose="Purchase",1.00,
        IF(purpose="Remortgage",1.00,
            1.20)))</f>
        <v/>
      </c>
      <c r="L6004">
        <f>LET(
    arrears_months,'Loan Tape (S&amp;P)'!AN6004,
    IF(arrears_months=0,1.00,
    IF(arrears_months=1,3.00,
    IF(arrears_months=2,5.00,
    IF(arrears_months=3,8.00,
    IF(arrears_months=4,10.00,
    IF(arrears_months=5,12.00,15.00)))))))</f>
        <v/>
      </c>
      <c r="M6004">
        <f>LET(
    seasoning_years,DATEDIF('Loan Tape (S&amp;P)'!K6004,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04">
        <f>IF(AND('Loan Tape (S&amp;P)'!U6004="Yes",
        'Loan Tape (S&amp;P)'!T6004&lt;&gt;"Yes",
        DATEDIF('Loan Tape (S&amp;P)'!K6004, TODAY(), "M")&lt;18),
    1.10,
    1.00)</f>
        <v/>
      </c>
      <c r="O6004">
        <f>IF('Loan Tape (S&amp;P)'!T6004="Yes",
    1.35,
    1.00)</f>
        <v/>
      </c>
      <c r="P6004">
        <f>IF('Loan Tape (S&amp;P)'!S6004="Yes",
    1.15,
    1.00)</f>
        <v/>
      </c>
      <c r="Q6004">
        <f>IF('Loan Tape (S&amp;P)'!V6004="Yes",
    1.20,
    1.00)</f>
        <v/>
      </c>
      <c r="T6004">
        <f>LET(
    payment_method,'Loan Tape (S&amp;P)'!P6004,
    occupancy,'Loan Tape (S&amp;P)'!N6004,
    maturity_date,'Loan Tape (S&amp;P)'!L6004,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05">
      <c r="J6005">
        <f>LET(
    lien,'Loan Tape (S&amp;P)'!Q6005,
    IF(lien="First",1.00,
        IF(lien="Second",1.50,
            1.70)))</f>
        <v/>
      </c>
      <c r="K6005">
        <f>LET(
    purpose,'Loan Tape (S&amp;P)'!R6005,
    IF(purpose="Purchase",1.00,
        IF(purpose="Remortgage",1.00,
            1.20)))</f>
        <v/>
      </c>
      <c r="L6005">
        <f>LET(
    arrears_months,'Loan Tape (S&amp;P)'!AN6005,
    IF(arrears_months=0,1.00,
    IF(arrears_months=1,3.00,
    IF(arrears_months=2,5.00,
    IF(arrears_months=3,8.00,
    IF(arrears_months=4,10.00,
    IF(arrears_months=5,12.00,15.00)))))))</f>
        <v/>
      </c>
      <c r="M6005">
        <f>LET(
    seasoning_years,DATEDIF('Loan Tape (S&amp;P)'!K6005,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05">
        <f>IF(AND('Loan Tape (S&amp;P)'!U6005="Yes",
        'Loan Tape (S&amp;P)'!T6005&lt;&gt;"Yes",
        DATEDIF('Loan Tape (S&amp;P)'!K6005, TODAY(), "M")&lt;18),
    1.10,
    1.00)</f>
        <v/>
      </c>
      <c r="O6005">
        <f>IF('Loan Tape (S&amp;P)'!T6005="Yes",
    1.35,
    1.00)</f>
        <v/>
      </c>
      <c r="P6005">
        <f>IF('Loan Tape (S&amp;P)'!S6005="Yes",
    1.15,
    1.00)</f>
        <v/>
      </c>
      <c r="Q6005">
        <f>IF('Loan Tape (S&amp;P)'!V6005="Yes",
    1.20,
    1.00)</f>
        <v/>
      </c>
      <c r="T6005">
        <f>LET(
    payment_method,'Loan Tape (S&amp;P)'!P6005,
    occupancy,'Loan Tape (S&amp;P)'!N6005,
    maturity_date,'Loan Tape (S&amp;P)'!L6005,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06">
      <c r="J6006">
        <f>LET(
    lien,'Loan Tape (S&amp;P)'!Q6006,
    IF(lien="First",1.00,
        IF(lien="Second",1.50,
            1.70)))</f>
        <v/>
      </c>
      <c r="K6006">
        <f>LET(
    purpose,'Loan Tape (S&amp;P)'!R6006,
    IF(purpose="Purchase",1.00,
        IF(purpose="Remortgage",1.00,
            1.20)))</f>
        <v/>
      </c>
      <c r="L6006">
        <f>LET(
    arrears_months,'Loan Tape (S&amp;P)'!AN6006,
    IF(arrears_months=0,1.00,
    IF(arrears_months=1,3.00,
    IF(arrears_months=2,5.00,
    IF(arrears_months=3,8.00,
    IF(arrears_months=4,10.00,
    IF(arrears_months=5,12.00,15.00)))))))</f>
        <v/>
      </c>
      <c r="M6006">
        <f>LET(
    seasoning_years,DATEDIF('Loan Tape (S&amp;P)'!K6006,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06">
        <f>IF(AND('Loan Tape (S&amp;P)'!U6006="Yes",
        'Loan Tape (S&amp;P)'!T6006&lt;&gt;"Yes",
        DATEDIF('Loan Tape (S&amp;P)'!K6006, TODAY(), "M")&lt;18),
    1.10,
    1.00)</f>
        <v/>
      </c>
      <c r="O6006">
        <f>IF('Loan Tape (S&amp;P)'!T6006="Yes",
    1.35,
    1.00)</f>
        <v/>
      </c>
      <c r="P6006">
        <f>IF('Loan Tape (S&amp;P)'!S6006="Yes",
    1.15,
    1.00)</f>
        <v/>
      </c>
      <c r="Q6006">
        <f>IF('Loan Tape (S&amp;P)'!V6006="Yes",
    1.20,
    1.00)</f>
        <v/>
      </c>
      <c r="T6006">
        <f>LET(
    payment_method,'Loan Tape (S&amp;P)'!P6006,
    occupancy,'Loan Tape (S&amp;P)'!N6006,
    maturity_date,'Loan Tape (S&amp;P)'!L6006,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07">
      <c r="J6007">
        <f>LET(
    lien,'Loan Tape (S&amp;P)'!Q6007,
    IF(lien="First",1.00,
        IF(lien="Second",1.50,
            1.70)))</f>
        <v/>
      </c>
      <c r="K6007">
        <f>LET(
    purpose,'Loan Tape (S&amp;P)'!R6007,
    IF(purpose="Purchase",1.00,
        IF(purpose="Remortgage",1.00,
            1.20)))</f>
        <v/>
      </c>
      <c r="L6007">
        <f>LET(
    arrears_months,'Loan Tape (S&amp;P)'!AN6007,
    IF(arrears_months=0,1.00,
    IF(arrears_months=1,3.00,
    IF(arrears_months=2,5.00,
    IF(arrears_months=3,8.00,
    IF(arrears_months=4,10.00,
    IF(arrears_months=5,12.00,15.00)))))))</f>
        <v/>
      </c>
      <c r="M6007">
        <f>LET(
    seasoning_years,DATEDIF('Loan Tape (S&amp;P)'!K6007,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07">
        <f>IF(AND('Loan Tape (S&amp;P)'!U6007="Yes",
        'Loan Tape (S&amp;P)'!T6007&lt;&gt;"Yes",
        DATEDIF('Loan Tape (S&amp;P)'!K6007, TODAY(), "M")&lt;18),
    1.10,
    1.00)</f>
        <v/>
      </c>
      <c r="O6007">
        <f>IF('Loan Tape (S&amp;P)'!T6007="Yes",
    1.35,
    1.00)</f>
        <v/>
      </c>
      <c r="P6007">
        <f>IF('Loan Tape (S&amp;P)'!S6007="Yes",
    1.15,
    1.00)</f>
        <v/>
      </c>
      <c r="Q6007">
        <f>IF('Loan Tape (S&amp;P)'!V6007="Yes",
    1.20,
    1.00)</f>
        <v/>
      </c>
      <c r="T6007">
        <f>LET(
    payment_method,'Loan Tape (S&amp;P)'!P6007,
    occupancy,'Loan Tape (S&amp;P)'!N6007,
    maturity_date,'Loan Tape (S&amp;P)'!L6007,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08">
      <c r="J6008">
        <f>LET(
    lien,'Loan Tape (S&amp;P)'!Q6008,
    IF(lien="First",1.00,
        IF(lien="Second",1.50,
            1.70)))</f>
        <v/>
      </c>
      <c r="K6008">
        <f>LET(
    purpose,'Loan Tape (S&amp;P)'!R6008,
    IF(purpose="Purchase",1.00,
        IF(purpose="Remortgage",1.00,
            1.20)))</f>
        <v/>
      </c>
      <c r="L6008">
        <f>LET(
    arrears_months,'Loan Tape (S&amp;P)'!AN6008,
    IF(arrears_months=0,1.00,
    IF(arrears_months=1,3.00,
    IF(arrears_months=2,5.00,
    IF(arrears_months=3,8.00,
    IF(arrears_months=4,10.00,
    IF(arrears_months=5,12.00,15.00)))))))</f>
        <v/>
      </c>
      <c r="M6008">
        <f>LET(
    seasoning_years,DATEDIF('Loan Tape (S&amp;P)'!K6008,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08">
        <f>IF(AND('Loan Tape (S&amp;P)'!U6008="Yes",
        'Loan Tape (S&amp;P)'!T6008&lt;&gt;"Yes",
        DATEDIF('Loan Tape (S&amp;P)'!K6008, TODAY(), "M")&lt;18),
    1.10,
    1.00)</f>
        <v/>
      </c>
      <c r="O6008">
        <f>IF('Loan Tape (S&amp;P)'!T6008="Yes",
    1.35,
    1.00)</f>
        <v/>
      </c>
      <c r="P6008">
        <f>IF('Loan Tape (S&amp;P)'!S6008="Yes",
    1.15,
    1.00)</f>
        <v/>
      </c>
      <c r="Q6008">
        <f>IF('Loan Tape (S&amp;P)'!V6008="Yes",
    1.20,
    1.00)</f>
        <v/>
      </c>
      <c r="T6008">
        <f>LET(
    payment_method,'Loan Tape (S&amp;P)'!P6008,
    occupancy,'Loan Tape (S&amp;P)'!N6008,
    maturity_date,'Loan Tape (S&amp;P)'!L6008,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09">
      <c r="J6009">
        <f>LET(
    lien,'Loan Tape (S&amp;P)'!Q6009,
    IF(lien="First",1.00,
        IF(lien="Second",1.50,
            1.70)))</f>
        <v/>
      </c>
      <c r="K6009">
        <f>LET(
    purpose,'Loan Tape (S&amp;P)'!R6009,
    IF(purpose="Purchase",1.00,
        IF(purpose="Remortgage",1.00,
            1.20)))</f>
        <v/>
      </c>
      <c r="L6009">
        <f>LET(
    arrears_months,'Loan Tape (S&amp;P)'!AN6009,
    IF(arrears_months=0,1.00,
    IF(arrears_months=1,3.00,
    IF(arrears_months=2,5.00,
    IF(arrears_months=3,8.00,
    IF(arrears_months=4,10.00,
    IF(arrears_months=5,12.00,15.00)))))))</f>
        <v/>
      </c>
      <c r="M6009">
        <f>LET(
    seasoning_years,DATEDIF('Loan Tape (S&amp;P)'!K6009,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09">
        <f>IF(AND('Loan Tape (S&amp;P)'!U6009="Yes",
        'Loan Tape (S&amp;P)'!T6009&lt;&gt;"Yes",
        DATEDIF('Loan Tape (S&amp;P)'!K6009, TODAY(), "M")&lt;18),
    1.10,
    1.00)</f>
        <v/>
      </c>
      <c r="O6009">
        <f>IF('Loan Tape (S&amp;P)'!T6009="Yes",
    1.35,
    1.00)</f>
        <v/>
      </c>
      <c r="P6009">
        <f>IF('Loan Tape (S&amp;P)'!S6009="Yes",
    1.15,
    1.00)</f>
        <v/>
      </c>
      <c r="Q6009">
        <f>IF('Loan Tape (S&amp;P)'!V6009="Yes",
    1.20,
    1.00)</f>
        <v/>
      </c>
      <c r="T6009">
        <f>LET(
    payment_method,'Loan Tape (S&amp;P)'!P6009,
    occupancy,'Loan Tape (S&amp;P)'!N6009,
    maturity_date,'Loan Tape (S&amp;P)'!L6009,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10">
      <c r="J6010">
        <f>LET(
    lien,'Loan Tape (S&amp;P)'!Q6010,
    IF(lien="First",1.00,
        IF(lien="Second",1.50,
            1.70)))</f>
        <v/>
      </c>
      <c r="K6010">
        <f>LET(
    purpose,'Loan Tape (S&amp;P)'!R6010,
    IF(purpose="Purchase",1.00,
        IF(purpose="Remortgage",1.00,
            1.20)))</f>
        <v/>
      </c>
      <c r="L6010">
        <f>LET(
    arrears_months,'Loan Tape (S&amp;P)'!AN6010,
    IF(arrears_months=0,1.00,
    IF(arrears_months=1,3.00,
    IF(arrears_months=2,5.00,
    IF(arrears_months=3,8.00,
    IF(arrears_months=4,10.00,
    IF(arrears_months=5,12.00,15.00)))))))</f>
        <v/>
      </c>
      <c r="M6010">
        <f>LET(
    seasoning_years,DATEDIF('Loan Tape (S&amp;P)'!K6010,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10">
        <f>IF(AND('Loan Tape (S&amp;P)'!U6010="Yes",
        'Loan Tape (S&amp;P)'!T6010&lt;&gt;"Yes",
        DATEDIF('Loan Tape (S&amp;P)'!K6010, TODAY(), "M")&lt;18),
    1.10,
    1.00)</f>
        <v/>
      </c>
      <c r="O6010">
        <f>IF('Loan Tape (S&amp;P)'!T6010="Yes",
    1.35,
    1.00)</f>
        <v/>
      </c>
      <c r="P6010">
        <f>IF('Loan Tape (S&amp;P)'!S6010="Yes",
    1.15,
    1.00)</f>
        <v/>
      </c>
      <c r="Q6010">
        <f>IF('Loan Tape (S&amp;P)'!V6010="Yes",
    1.20,
    1.00)</f>
        <v/>
      </c>
      <c r="T6010">
        <f>LET(
    payment_method,'Loan Tape (S&amp;P)'!P6010,
    occupancy,'Loan Tape (S&amp;P)'!N6010,
    maturity_date,'Loan Tape (S&amp;P)'!L6010,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11">
      <c r="J6011">
        <f>LET(
    lien,'Loan Tape (S&amp;P)'!Q6011,
    IF(lien="First",1.00,
        IF(lien="Second",1.50,
            1.70)))</f>
        <v/>
      </c>
      <c r="K6011">
        <f>LET(
    purpose,'Loan Tape (S&amp;P)'!R6011,
    IF(purpose="Purchase",1.00,
        IF(purpose="Remortgage",1.00,
            1.20)))</f>
        <v/>
      </c>
      <c r="L6011">
        <f>LET(
    arrears_months,'Loan Tape (S&amp;P)'!AN6011,
    IF(arrears_months=0,1.00,
    IF(arrears_months=1,3.00,
    IF(arrears_months=2,5.00,
    IF(arrears_months=3,8.00,
    IF(arrears_months=4,10.00,
    IF(arrears_months=5,12.00,15.00)))))))</f>
        <v/>
      </c>
      <c r="M6011">
        <f>LET(
    seasoning_years,DATEDIF('Loan Tape (S&amp;P)'!K6011,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11">
        <f>IF(AND('Loan Tape (S&amp;P)'!U6011="Yes",
        'Loan Tape (S&amp;P)'!T6011&lt;&gt;"Yes",
        DATEDIF('Loan Tape (S&amp;P)'!K6011, TODAY(), "M")&lt;18),
    1.10,
    1.00)</f>
        <v/>
      </c>
      <c r="O6011">
        <f>IF('Loan Tape (S&amp;P)'!T6011="Yes",
    1.35,
    1.00)</f>
        <v/>
      </c>
      <c r="P6011">
        <f>IF('Loan Tape (S&amp;P)'!S6011="Yes",
    1.15,
    1.00)</f>
        <v/>
      </c>
      <c r="Q6011">
        <f>IF('Loan Tape (S&amp;P)'!V6011="Yes",
    1.20,
    1.00)</f>
        <v/>
      </c>
      <c r="T6011">
        <f>LET(
    payment_method,'Loan Tape (S&amp;P)'!P6011,
    occupancy,'Loan Tape (S&amp;P)'!N6011,
    maturity_date,'Loan Tape (S&amp;P)'!L6011,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12">
      <c r="J6012">
        <f>LET(
    lien,'Loan Tape (S&amp;P)'!Q6012,
    IF(lien="First",1.00,
        IF(lien="Second",1.50,
            1.70)))</f>
        <v/>
      </c>
      <c r="K6012">
        <f>LET(
    purpose,'Loan Tape (S&amp;P)'!R6012,
    IF(purpose="Purchase",1.00,
        IF(purpose="Remortgage",1.00,
            1.20)))</f>
        <v/>
      </c>
      <c r="L6012">
        <f>LET(
    arrears_months,'Loan Tape (S&amp;P)'!AN6012,
    IF(arrears_months=0,1.00,
    IF(arrears_months=1,3.00,
    IF(arrears_months=2,5.00,
    IF(arrears_months=3,8.00,
    IF(arrears_months=4,10.00,
    IF(arrears_months=5,12.00,15.00)))))))</f>
        <v/>
      </c>
      <c r="M6012">
        <f>LET(
    seasoning_years,DATEDIF('Loan Tape (S&amp;P)'!K6012,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12">
        <f>IF(AND('Loan Tape (S&amp;P)'!U6012="Yes",
        'Loan Tape (S&amp;P)'!T6012&lt;&gt;"Yes",
        DATEDIF('Loan Tape (S&amp;P)'!K6012, TODAY(), "M")&lt;18),
    1.10,
    1.00)</f>
        <v/>
      </c>
      <c r="O6012">
        <f>IF('Loan Tape (S&amp;P)'!T6012="Yes",
    1.35,
    1.00)</f>
        <v/>
      </c>
      <c r="P6012">
        <f>IF('Loan Tape (S&amp;P)'!S6012="Yes",
    1.15,
    1.00)</f>
        <v/>
      </c>
      <c r="Q6012">
        <f>IF('Loan Tape (S&amp;P)'!V6012="Yes",
    1.20,
    1.00)</f>
        <v/>
      </c>
      <c r="T6012">
        <f>LET(
    payment_method,'Loan Tape (S&amp;P)'!P6012,
    occupancy,'Loan Tape (S&amp;P)'!N6012,
    maturity_date,'Loan Tape (S&amp;P)'!L6012,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13">
      <c r="J6013">
        <f>LET(
    lien,'Loan Tape (S&amp;P)'!Q6013,
    IF(lien="First",1.00,
        IF(lien="Second",1.50,
            1.70)))</f>
        <v/>
      </c>
      <c r="K6013">
        <f>LET(
    purpose,'Loan Tape (S&amp;P)'!R6013,
    IF(purpose="Purchase",1.00,
        IF(purpose="Remortgage",1.00,
            1.20)))</f>
        <v/>
      </c>
      <c r="L6013">
        <f>LET(
    arrears_months,'Loan Tape (S&amp;P)'!AN6013,
    IF(arrears_months=0,1.00,
    IF(arrears_months=1,3.00,
    IF(arrears_months=2,5.00,
    IF(arrears_months=3,8.00,
    IF(arrears_months=4,10.00,
    IF(arrears_months=5,12.00,15.00)))))))</f>
        <v/>
      </c>
      <c r="M6013">
        <f>LET(
    seasoning_years,DATEDIF('Loan Tape (S&amp;P)'!K6013,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13">
        <f>IF(AND('Loan Tape (S&amp;P)'!U6013="Yes",
        'Loan Tape (S&amp;P)'!T6013&lt;&gt;"Yes",
        DATEDIF('Loan Tape (S&amp;P)'!K6013, TODAY(), "M")&lt;18),
    1.10,
    1.00)</f>
        <v/>
      </c>
      <c r="O6013">
        <f>IF('Loan Tape (S&amp;P)'!T6013="Yes",
    1.35,
    1.00)</f>
        <v/>
      </c>
      <c r="P6013">
        <f>IF('Loan Tape (S&amp;P)'!S6013="Yes",
    1.15,
    1.00)</f>
        <v/>
      </c>
      <c r="Q6013">
        <f>IF('Loan Tape (S&amp;P)'!V6013="Yes",
    1.20,
    1.00)</f>
        <v/>
      </c>
      <c r="T6013">
        <f>LET(
    payment_method,'Loan Tape (S&amp;P)'!P6013,
    occupancy,'Loan Tape (S&amp;P)'!N6013,
    maturity_date,'Loan Tape (S&amp;P)'!L6013,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14">
      <c r="J6014">
        <f>LET(
    lien,'Loan Tape (S&amp;P)'!Q6014,
    IF(lien="First",1.00,
        IF(lien="Second",1.50,
            1.70)))</f>
        <v/>
      </c>
      <c r="K6014">
        <f>LET(
    purpose,'Loan Tape (S&amp;P)'!R6014,
    IF(purpose="Purchase",1.00,
        IF(purpose="Remortgage",1.00,
            1.20)))</f>
        <v/>
      </c>
      <c r="L6014">
        <f>LET(
    arrears_months,'Loan Tape (S&amp;P)'!AN6014,
    IF(arrears_months=0,1.00,
    IF(arrears_months=1,3.00,
    IF(arrears_months=2,5.00,
    IF(arrears_months=3,8.00,
    IF(arrears_months=4,10.00,
    IF(arrears_months=5,12.00,15.00)))))))</f>
        <v/>
      </c>
      <c r="M6014">
        <f>LET(
    seasoning_years,DATEDIF('Loan Tape (S&amp;P)'!K6014,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14">
        <f>IF(AND('Loan Tape (S&amp;P)'!U6014="Yes",
        'Loan Tape (S&amp;P)'!T6014&lt;&gt;"Yes",
        DATEDIF('Loan Tape (S&amp;P)'!K6014, TODAY(), "M")&lt;18),
    1.10,
    1.00)</f>
        <v/>
      </c>
      <c r="O6014">
        <f>IF('Loan Tape (S&amp;P)'!T6014="Yes",
    1.35,
    1.00)</f>
        <v/>
      </c>
      <c r="P6014">
        <f>IF('Loan Tape (S&amp;P)'!S6014="Yes",
    1.15,
    1.00)</f>
        <v/>
      </c>
      <c r="Q6014">
        <f>IF('Loan Tape (S&amp;P)'!V6014="Yes",
    1.20,
    1.00)</f>
        <v/>
      </c>
      <c r="T6014">
        <f>LET(
    payment_method,'Loan Tape (S&amp;P)'!P6014,
    occupancy,'Loan Tape (S&amp;P)'!N6014,
    maturity_date,'Loan Tape (S&amp;P)'!L6014,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15">
      <c r="J6015">
        <f>LET(
    lien,'Loan Tape (S&amp;P)'!Q6015,
    IF(lien="First",1.00,
        IF(lien="Second",1.50,
            1.70)))</f>
        <v/>
      </c>
      <c r="K6015">
        <f>LET(
    purpose,'Loan Tape (S&amp;P)'!R6015,
    IF(purpose="Purchase",1.00,
        IF(purpose="Remortgage",1.00,
            1.20)))</f>
        <v/>
      </c>
      <c r="L6015">
        <f>LET(
    arrears_months,'Loan Tape (S&amp;P)'!AN6015,
    IF(arrears_months=0,1.00,
    IF(arrears_months=1,3.00,
    IF(arrears_months=2,5.00,
    IF(arrears_months=3,8.00,
    IF(arrears_months=4,10.00,
    IF(arrears_months=5,12.00,15.00)))))))</f>
        <v/>
      </c>
      <c r="M6015">
        <f>LET(
    seasoning_years,DATEDIF('Loan Tape (S&amp;P)'!K6015,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15">
        <f>IF(AND('Loan Tape (S&amp;P)'!U6015="Yes",
        'Loan Tape (S&amp;P)'!T6015&lt;&gt;"Yes",
        DATEDIF('Loan Tape (S&amp;P)'!K6015, TODAY(), "M")&lt;18),
    1.10,
    1.00)</f>
        <v/>
      </c>
      <c r="O6015">
        <f>IF('Loan Tape (S&amp;P)'!T6015="Yes",
    1.35,
    1.00)</f>
        <v/>
      </c>
      <c r="P6015">
        <f>IF('Loan Tape (S&amp;P)'!S6015="Yes",
    1.15,
    1.00)</f>
        <v/>
      </c>
      <c r="Q6015">
        <f>IF('Loan Tape (S&amp;P)'!V6015="Yes",
    1.20,
    1.00)</f>
        <v/>
      </c>
      <c r="T6015">
        <f>LET(
    payment_method,'Loan Tape (S&amp;P)'!P6015,
    occupancy,'Loan Tape (S&amp;P)'!N6015,
    maturity_date,'Loan Tape (S&amp;P)'!L6015,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16">
      <c r="J6016">
        <f>LET(
    lien,'Loan Tape (S&amp;P)'!Q6016,
    IF(lien="First",1.00,
        IF(lien="Second",1.50,
            1.70)))</f>
        <v/>
      </c>
      <c r="K6016">
        <f>LET(
    purpose,'Loan Tape (S&amp;P)'!R6016,
    IF(purpose="Purchase",1.00,
        IF(purpose="Remortgage",1.00,
            1.20)))</f>
        <v/>
      </c>
      <c r="L6016">
        <f>LET(
    arrears_months,'Loan Tape (S&amp;P)'!AN6016,
    IF(arrears_months=0,1.00,
    IF(arrears_months=1,3.00,
    IF(arrears_months=2,5.00,
    IF(arrears_months=3,8.00,
    IF(arrears_months=4,10.00,
    IF(arrears_months=5,12.00,15.00)))))))</f>
        <v/>
      </c>
      <c r="M6016">
        <f>LET(
    seasoning_years,DATEDIF('Loan Tape (S&amp;P)'!K6016,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16">
        <f>IF(AND('Loan Tape (S&amp;P)'!U6016="Yes",
        'Loan Tape (S&amp;P)'!T6016&lt;&gt;"Yes",
        DATEDIF('Loan Tape (S&amp;P)'!K6016, TODAY(), "M")&lt;18),
    1.10,
    1.00)</f>
        <v/>
      </c>
      <c r="O6016">
        <f>IF('Loan Tape (S&amp;P)'!T6016="Yes",
    1.35,
    1.00)</f>
        <v/>
      </c>
      <c r="P6016">
        <f>IF('Loan Tape (S&amp;P)'!S6016="Yes",
    1.15,
    1.00)</f>
        <v/>
      </c>
      <c r="Q6016">
        <f>IF('Loan Tape (S&amp;P)'!V6016="Yes",
    1.20,
    1.00)</f>
        <v/>
      </c>
      <c r="T6016">
        <f>LET(
    payment_method,'Loan Tape (S&amp;P)'!P6016,
    occupancy,'Loan Tape (S&amp;P)'!N6016,
    maturity_date,'Loan Tape (S&amp;P)'!L6016,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17">
      <c r="J6017">
        <f>LET(
    lien,'Loan Tape (S&amp;P)'!Q6017,
    IF(lien="First",1.00,
        IF(lien="Second",1.50,
            1.70)))</f>
        <v/>
      </c>
      <c r="K6017">
        <f>LET(
    purpose,'Loan Tape (S&amp;P)'!R6017,
    IF(purpose="Purchase",1.00,
        IF(purpose="Remortgage",1.00,
            1.20)))</f>
        <v/>
      </c>
      <c r="L6017">
        <f>LET(
    arrears_months,'Loan Tape (S&amp;P)'!AN6017,
    IF(arrears_months=0,1.00,
    IF(arrears_months=1,3.00,
    IF(arrears_months=2,5.00,
    IF(arrears_months=3,8.00,
    IF(arrears_months=4,10.00,
    IF(arrears_months=5,12.00,15.00)))))))</f>
        <v/>
      </c>
      <c r="M6017">
        <f>LET(
    seasoning_years,DATEDIF('Loan Tape (S&amp;P)'!K6017,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17">
        <f>IF(AND('Loan Tape (S&amp;P)'!U6017="Yes",
        'Loan Tape (S&amp;P)'!T6017&lt;&gt;"Yes",
        DATEDIF('Loan Tape (S&amp;P)'!K6017, TODAY(), "M")&lt;18),
    1.10,
    1.00)</f>
        <v/>
      </c>
      <c r="O6017">
        <f>IF('Loan Tape (S&amp;P)'!T6017="Yes",
    1.35,
    1.00)</f>
        <v/>
      </c>
      <c r="P6017">
        <f>IF('Loan Tape (S&amp;P)'!S6017="Yes",
    1.15,
    1.00)</f>
        <v/>
      </c>
      <c r="Q6017">
        <f>IF('Loan Tape (S&amp;P)'!V6017="Yes",
    1.20,
    1.00)</f>
        <v/>
      </c>
      <c r="T6017">
        <f>LET(
    payment_method,'Loan Tape (S&amp;P)'!P6017,
    occupancy,'Loan Tape (S&amp;P)'!N6017,
    maturity_date,'Loan Tape (S&amp;P)'!L6017,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18">
      <c r="J6018">
        <f>LET(
    lien,'Loan Tape (S&amp;P)'!Q6018,
    IF(lien="First",1.00,
        IF(lien="Second",1.50,
            1.70)))</f>
        <v/>
      </c>
      <c r="K6018">
        <f>LET(
    purpose,'Loan Tape (S&amp;P)'!R6018,
    IF(purpose="Purchase",1.00,
        IF(purpose="Remortgage",1.00,
            1.20)))</f>
        <v/>
      </c>
      <c r="L6018">
        <f>LET(
    arrears_months,'Loan Tape (S&amp;P)'!AN6018,
    IF(arrears_months=0,1.00,
    IF(arrears_months=1,3.00,
    IF(arrears_months=2,5.00,
    IF(arrears_months=3,8.00,
    IF(arrears_months=4,10.00,
    IF(arrears_months=5,12.00,15.00)))))))</f>
        <v/>
      </c>
      <c r="M6018">
        <f>LET(
    seasoning_years,DATEDIF('Loan Tape (S&amp;P)'!K6018,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18">
        <f>IF(AND('Loan Tape (S&amp;P)'!U6018="Yes",
        'Loan Tape (S&amp;P)'!T6018&lt;&gt;"Yes",
        DATEDIF('Loan Tape (S&amp;P)'!K6018, TODAY(), "M")&lt;18),
    1.10,
    1.00)</f>
        <v/>
      </c>
      <c r="O6018">
        <f>IF('Loan Tape (S&amp;P)'!T6018="Yes",
    1.35,
    1.00)</f>
        <v/>
      </c>
      <c r="P6018">
        <f>IF('Loan Tape (S&amp;P)'!S6018="Yes",
    1.15,
    1.00)</f>
        <v/>
      </c>
      <c r="Q6018">
        <f>IF('Loan Tape (S&amp;P)'!V6018="Yes",
    1.20,
    1.00)</f>
        <v/>
      </c>
      <c r="T6018">
        <f>LET(
    payment_method,'Loan Tape (S&amp;P)'!P6018,
    occupancy,'Loan Tape (S&amp;P)'!N6018,
    maturity_date,'Loan Tape (S&amp;P)'!L6018,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19">
      <c r="J6019">
        <f>LET(
    lien,'Loan Tape (S&amp;P)'!Q6019,
    IF(lien="First",1.00,
        IF(lien="Second",1.50,
            1.70)))</f>
        <v/>
      </c>
      <c r="K6019">
        <f>LET(
    purpose,'Loan Tape (S&amp;P)'!R6019,
    IF(purpose="Purchase",1.00,
        IF(purpose="Remortgage",1.00,
            1.20)))</f>
        <v/>
      </c>
      <c r="L6019">
        <f>LET(
    arrears_months,'Loan Tape (S&amp;P)'!AN6019,
    IF(arrears_months=0,1.00,
    IF(arrears_months=1,3.00,
    IF(arrears_months=2,5.00,
    IF(arrears_months=3,8.00,
    IF(arrears_months=4,10.00,
    IF(arrears_months=5,12.00,15.00)))))))</f>
        <v/>
      </c>
      <c r="M6019">
        <f>LET(
    seasoning_years,DATEDIF('Loan Tape (S&amp;P)'!K6019,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19">
        <f>IF(AND('Loan Tape (S&amp;P)'!U6019="Yes",
        'Loan Tape (S&amp;P)'!T6019&lt;&gt;"Yes",
        DATEDIF('Loan Tape (S&amp;P)'!K6019, TODAY(), "M")&lt;18),
    1.10,
    1.00)</f>
        <v/>
      </c>
      <c r="O6019">
        <f>IF('Loan Tape (S&amp;P)'!T6019="Yes",
    1.35,
    1.00)</f>
        <v/>
      </c>
      <c r="P6019">
        <f>IF('Loan Tape (S&amp;P)'!S6019="Yes",
    1.15,
    1.00)</f>
        <v/>
      </c>
      <c r="Q6019">
        <f>IF('Loan Tape (S&amp;P)'!V6019="Yes",
    1.20,
    1.00)</f>
        <v/>
      </c>
      <c r="T6019">
        <f>LET(
    payment_method,'Loan Tape (S&amp;P)'!P6019,
    occupancy,'Loan Tape (S&amp;P)'!N6019,
    maturity_date,'Loan Tape (S&amp;P)'!L6019,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20">
      <c r="J6020">
        <f>LET(
    lien,'Loan Tape (S&amp;P)'!Q6020,
    IF(lien="First",1.00,
        IF(lien="Second",1.50,
            1.70)))</f>
        <v/>
      </c>
      <c r="K6020">
        <f>LET(
    purpose,'Loan Tape (S&amp;P)'!R6020,
    IF(purpose="Purchase",1.00,
        IF(purpose="Remortgage",1.00,
            1.20)))</f>
        <v/>
      </c>
      <c r="L6020">
        <f>LET(
    arrears_months,'Loan Tape (S&amp;P)'!AN6020,
    IF(arrears_months=0,1.00,
    IF(arrears_months=1,3.00,
    IF(arrears_months=2,5.00,
    IF(arrears_months=3,8.00,
    IF(arrears_months=4,10.00,
    IF(arrears_months=5,12.00,15.00)))))))</f>
        <v/>
      </c>
      <c r="M6020">
        <f>LET(
    seasoning_years,DATEDIF('Loan Tape (S&amp;P)'!K6020,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20">
        <f>IF(AND('Loan Tape (S&amp;P)'!U6020="Yes",
        'Loan Tape (S&amp;P)'!T6020&lt;&gt;"Yes",
        DATEDIF('Loan Tape (S&amp;P)'!K6020, TODAY(), "M")&lt;18),
    1.10,
    1.00)</f>
        <v/>
      </c>
      <c r="O6020">
        <f>IF('Loan Tape (S&amp;P)'!T6020="Yes",
    1.35,
    1.00)</f>
        <v/>
      </c>
      <c r="P6020">
        <f>IF('Loan Tape (S&amp;P)'!S6020="Yes",
    1.15,
    1.00)</f>
        <v/>
      </c>
      <c r="Q6020">
        <f>IF('Loan Tape (S&amp;P)'!V6020="Yes",
    1.20,
    1.00)</f>
        <v/>
      </c>
      <c r="T6020">
        <f>LET(
    payment_method,'Loan Tape (S&amp;P)'!P6020,
    occupancy,'Loan Tape (S&amp;P)'!N6020,
    maturity_date,'Loan Tape (S&amp;P)'!L6020,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21">
      <c r="J6021">
        <f>LET(
    lien,'Loan Tape (S&amp;P)'!Q6021,
    IF(lien="First",1.00,
        IF(lien="Second",1.50,
            1.70)))</f>
        <v/>
      </c>
      <c r="K6021">
        <f>LET(
    purpose,'Loan Tape (S&amp;P)'!R6021,
    IF(purpose="Purchase",1.00,
        IF(purpose="Remortgage",1.00,
            1.20)))</f>
        <v/>
      </c>
      <c r="L6021">
        <f>LET(
    arrears_months,'Loan Tape (S&amp;P)'!AN6021,
    IF(arrears_months=0,1.00,
    IF(arrears_months=1,3.00,
    IF(arrears_months=2,5.00,
    IF(arrears_months=3,8.00,
    IF(arrears_months=4,10.00,
    IF(arrears_months=5,12.00,15.00)))))))</f>
        <v/>
      </c>
      <c r="M6021">
        <f>LET(
    seasoning_years,DATEDIF('Loan Tape (S&amp;P)'!K6021,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21">
        <f>IF(AND('Loan Tape (S&amp;P)'!U6021="Yes",
        'Loan Tape (S&amp;P)'!T6021&lt;&gt;"Yes",
        DATEDIF('Loan Tape (S&amp;P)'!K6021, TODAY(), "M")&lt;18),
    1.10,
    1.00)</f>
        <v/>
      </c>
      <c r="O6021">
        <f>IF('Loan Tape (S&amp;P)'!T6021="Yes",
    1.35,
    1.00)</f>
        <v/>
      </c>
      <c r="P6021">
        <f>IF('Loan Tape (S&amp;P)'!S6021="Yes",
    1.15,
    1.00)</f>
        <v/>
      </c>
      <c r="Q6021">
        <f>IF('Loan Tape (S&amp;P)'!V6021="Yes",
    1.20,
    1.00)</f>
        <v/>
      </c>
      <c r="T6021">
        <f>LET(
    payment_method,'Loan Tape (S&amp;P)'!P6021,
    occupancy,'Loan Tape (S&amp;P)'!N6021,
    maturity_date,'Loan Tape (S&amp;P)'!L6021,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22">
      <c r="J6022">
        <f>LET(
    lien,'Loan Tape (S&amp;P)'!Q6022,
    IF(lien="First",1.00,
        IF(lien="Second",1.50,
            1.70)))</f>
        <v/>
      </c>
      <c r="K6022">
        <f>LET(
    purpose,'Loan Tape (S&amp;P)'!R6022,
    IF(purpose="Purchase",1.00,
        IF(purpose="Remortgage",1.00,
            1.20)))</f>
        <v/>
      </c>
      <c r="L6022">
        <f>LET(
    arrears_months,'Loan Tape (S&amp;P)'!AN6022,
    IF(arrears_months=0,1.00,
    IF(arrears_months=1,3.00,
    IF(arrears_months=2,5.00,
    IF(arrears_months=3,8.00,
    IF(arrears_months=4,10.00,
    IF(arrears_months=5,12.00,15.00)))))))</f>
        <v/>
      </c>
      <c r="M6022">
        <f>LET(
    seasoning_years,DATEDIF('Loan Tape (S&amp;P)'!K6022,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22">
        <f>IF(AND('Loan Tape (S&amp;P)'!U6022="Yes",
        'Loan Tape (S&amp;P)'!T6022&lt;&gt;"Yes",
        DATEDIF('Loan Tape (S&amp;P)'!K6022, TODAY(), "M")&lt;18),
    1.10,
    1.00)</f>
        <v/>
      </c>
      <c r="O6022">
        <f>IF('Loan Tape (S&amp;P)'!T6022="Yes",
    1.35,
    1.00)</f>
        <v/>
      </c>
      <c r="P6022">
        <f>IF('Loan Tape (S&amp;P)'!S6022="Yes",
    1.15,
    1.00)</f>
        <v/>
      </c>
      <c r="Q6022">
        <f>IF('Loan Tape (S&amp;P)'!V6022="Yes",
    1.20,
    1.00)</f>
        <v/>
      </c>
      <c r="T6022">
        <f>LET(
    payment_method,'Loan Tape (S&amp;P)'!P6022,
    occupancy,'Loan Tape (S&amp;P)'!N6022,
    maturity_date,'Loan Tape (S&amp;P)'!L6022,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23">
      <c r="J6023">
        <f>LET(
    lien,'Loan Tape (S&amp;P)'!Q6023,
    IF(lien="First",1.00,
        IF(lien="Second",1.50,
            1.70)))</f>
        <v/>
      </c>
      <c r="K6023">
        <f>LET(
    purpose,'Loan Tape (S&amp;P)'!R6023,
    IF(purpose="Purchase",1.00,
        IF(purpose="Remortgage",1.00,
            1.20)))</f>
        <v/>
      </c>
      <c r="L6023">
        <f>LET(
    arrears_months,'Loan Tape (S&amp;P)'!AN6023,
    IF(arrears_months=0,1.00,
    IF(arrears_months=1,3.00,
    IF(arrears_months=2,5.00,
    IF(arrears_months=3,8.00,
    IF(arrears_months=4,10.00,
    IF(arrears_months=5,12.00,15.00)))))))</f>
        <v/>
      </c>
      <c r="M6023">
        <f>LET(
    seasoning_years,DATEDIF('Loan Tape (S&amp;P)'!K6023,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23">
        <f>IF(AND('Loan Tape (S&amp;P)'!U6023="Yes",
        'Loan Tape (S&amp;P)'!T6023&lt;&gt;"Yes",
        DATEDIF('Loan Tape (S&amp;P)'!K6023, TODAY(), "M")&lt;18),
    1.10,
    1.00)</f>
        <v/>
      </c>
      <c r="O6023">
        <f>IF('Loan Tape (S&amp;P)'!T6023="Yes",
    1.35,
    1.00)</f>
        <v/>
      </c>
      <c r="P6023">
        <f>IF('Loan Tape (S&amp;P)'!S6023="Yes",
    1.15,
    1.00)</f>
        <v/>
      </c>
      <c r="Q6023">
        <f>IF('Loan Tape (S&amp;P)'!V6023="Yes",
    1.20,
    1.00)</f>
        <v/>
      </c>
      <c r="T6023">
        <f>LET(
    payment_method,'Loan Tape (S&amp;P)'!P6023,
    occupancy,'Loan Tape (S&amp;P)'!N6023,
    maturity_date,'Loan Tape (S&amp;P)'!L6023,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24">
      <c r="J6024">
        <f>LET(
    lien,'Loan Tape (S&amp;P)'!Q6024,
    IF(lien="First",1.00,
        IF(lien="Second",1.50,
            1.70)))</f>
        <v/>
      </c>
      <c r="K6024">
        <f>LET(
    purpose,'Loan Tape (S&amp;P)'!R6024,
    IF(purpose="Purchase",1.00,
        IF(purpose="Remortgage",1.00,
            1.20)))</f>
        <v/>
      </c>
      <c r="L6024">
        <f>LET(
    arrears_months,'Loan Tape (S&amp;P)'!AN6024,
    IF(arrears_months=0,1.00,
    IF(arrears_months=1,3.00,
    IF(arrears_months=2,5.00,
    IF(arrears_months=3,8.00,
    IF(arrears_months=4,10.00,
    IF(arrears_months=5,12.00,15.00)))))))</f>
        <v/>
      </c>
      <c r="M6024">
        <f>LET(
    seasoning_years,DATEDIF('Loan Tape (S&amp;P)'!K6024,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24">
        <f>IF(AND('Loan Tape (S&amp;P)'!U6024="Yes",
        'Loan Tape (S&amp;P)'!T6024&lt;&gt;"Yes",
        DATEDIF('Loan Tape (S&amp;P)'!K6024, TODAY(), "M")&lt;18),
    1.10,
    1.00)</f>
        <v/>
      </c>
      <c r="O6024">
        <f>IF('Loan Tape (S&amp;P)'!T6024="Yes",
    1.35,
    1.00)</f>
        <v/>
      </c>
      <c r="P6024">
        <f>IF('Loan Tape (S&amp;P)'!S6024="Yes",
    1.15,
    1.00)</f>
        <v/>
      </c>
      <c r="Q6024">
        <f>IF('Loan Tape (S&amp;P)'!V6024="Yes",
    1.20,
    1.00)</f>
        <v/>
      </c>
      <c r="T6024">
        <f>LET(
    payment_method,'Loan Tape (S&amp;P)'!P6024,
    occupancy,'Loan Tape (S&amp;P)'!N6024,
    maturity_date,'Loan Tape (S&amp;P)'!L6024,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25">
      <c r="J6025">
        <f>LET(
    lien,'Loan Tape (S&amp;P)'!Q6025,
    IF(lien="First",1.00,
        IF(lien="Second",1.50,
            1.70)))</f>
        <v/>
      </c>
      <c r="K6025">
        <f>LET(
    purpose,'Loan Tape (S&amp;P)'!R6025,
    IF(purpose="Purchase",1.00,
        IF(purpose="Remortgage",1.00,
            1.20)))</f>
        <v/>
      </c>
      <c r="L6025">
        <f>LET(
    arrears_months,'Loan Tape (S&amp;P)'!AN6025,
    IF(arrears_months=0,1.00,
    IF(arrears_months=1,3.00,
    IF(arrears_months=2,5.00,
    IF(arrears_months=3,8.00,
    IF(arrears_months=4,10.00,
    IF(arrears_months=5,12.00,15.00)))))))</f>
        <v/>
      </c>
      <c r="M6025">
        <f>LET(
    seasoning_years,DATEDIF('Loan Tape (S&amp;P)'!K6025,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25">
        <f>IF(AND('Loan Tape (S&amp;P)'!U6025="Yes",
        'Loan Tape (S&amp;P)'!T6025&lt;&gt;"Yes",
        DATEDIF('Loan Tape (S&amp;P)'!K6025, TODAY(), "M")&lt;18),
    1.10,
    1.00)</f>
        <v/>
      </c>
      <c r="O6025">
        <f>IF('Loan Tape (S&amp;P)'!T6025="Yes",
    1.35,
    1.00)</f>
        <v/>
      </c>
      <c r="P6025">
        <f>IF('Loan Tape (S&amp;P)'!S6025="Yes",
    1.15,
    1.00)</f>
        <v/>
      </c>
      <c r="Q6025">
        <f>IF('Loan Tape (S&amp;P)'!V6025="Yes",
    1.20,
    1.00)</f>
        <v/>
      </c>
      <c r="T6025">
        <f>LET(
    payment_method,'Loan Tape (S&amp;P)'!P6025,
    occupancy,'Loan Tape (S&amp;P)'!N6025,
    maturity_date,'Loan Tape (S&amp;P)'!L6025,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26">
      <c r="J6026">
        <f>LET(
    lien,'Loan Tape (S&amp;P)'!Q6026,
    IF(lien="First",1.00,
        IF(lien="Second",1.50,
            1.70)))</f>
        <v/>
      </c>
      <c r="K6026">
        <f>LET(
    purpose,'Loan Tape (S&amp;P)'!R6026,
    IF(purpose="Purchase",1.00,
        IF(purpose="Remortgage",1.00,
            1.20)))</f>
        <v/>
      </c>
      <c r="L6026">
        <f>LET(
    arrears_months,'Loan Tape (S&amp;P)'!AN6026,
    IF(arrears_months=0,1.00,
    IF(arrears_months=1,3.00,
    IF(arrears_months=2,5.00,
    IF(arrears_months=3,8.00,
    IF(arrears_months=4,10.00,
    IF(arrears_months=5,12.00,15.00)))))))</f>
        <v/>
      </c>
      <c r="M6026">
        <f>LET(
    seasoning_years,DATEDIF('Loan Tape (S&amp;P)'!K6026,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26">
        <f>IF(AND('Loan Tape (S&amp;P)'!U6026="Yes",
        'Loan Tape (S&amp;P)'!T6026&lt;&gt;"Yes",
        DATEDIF('Loan Tape (S&amp;P)'!K6026, TODAY(), "M")&lt;18),
    1.10,
    1.00)</f>
        <v/>
      </c>
      <c r="O6026">
        <f>IF('Loan Tape (S&amp;P)'!T6026="Yes",
    1.35,
    1.00)</f>
        <v/>
      </c>
      <c r="P6026">
        <f>IF('Loan Tape (S&amp;P)'!S6026="Yes",
    1.15,
    1.00)</f>
        <v/>
      </c>
      <c r="Q6026">
        <f>IF('Loan Tape (S&amp;P)'!V6026="Yes",
    1.20,
    1.00)</f>
        <v/>
      </c>
      <c r="T6026">
        <f>LET(
    payment_method,'Loan Tape (S&amp;P)'!P6026,
    occupancy,'Loan Tape (S&amp;P)'!N6026,
    maturity_date,'Loan Tape (S&amp;P)'!L6026,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27">
      <c r="J6027">
        <f>LET(
    lien,'Loan Tape (S&amp;P)'!Q6027,
    IF(lien="First",1.00,
        IF(lien="Second",1.50,
            1.70)))</f>
        <v/>
      </c>
      <c r="K6027">
        <f>LET(
    purpose,'Loan Tape (S&amp;P)'!R6027,
    IF(purpose="Purchase",1.00,
        IF(purpose="Remortgage",1.00,
            1.20)))</f>
        <v/>
      </c>
      <c r="L6027">
        <f>LET(
    arrears_months,'Loan Tape (S&amp;P)'!AN6027,
    IF(arrears_months=0,1.00,
    IF(arrears_months=1,3.00,
    IF(arrears_months=2,5.00,
    IF(arrears_months=3,8.00,
    IF(arrears_months=4,10.00,
    IF(arrears_months=5,12.00,15.00)))))))</f>
        <v/>
      </c>
      <c r="M6027">
        <f>LET(
    seasoning_years,DATEDIF('Loan Tape (S&amp;P)'!K6027,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27">
        <f>IF(AND('Loan Tape (S&amp;P)'!U6027="Yes",
        'Loan Tape (S&amp;P)'!T6027&lt;&gt;"Yes",
        DATEDIF('Loan Tape (S&amp;P)'!K6027, TODAY(), "M")&lt;18),
    1.10,
    1.00)</f>
        <v/>
      </c>
      <c r="O6027">
        <f>IF('Loan Tape (S&amp;P)'!T6027="Yes",
    1.35,
    1.00)</f>
        <v/>
      </c>
      <c r="P6027">
        <f>IF('Loan Tape (S&amp;P)'!S6027="Yes",
    1.15,
    1.00)</f>
        <v/>
      </c>
      <c r="Q6027">
        <f>IF('Loan Tape (S&amp;P)'!V6027="Yes",
    1.20,
    1.00)</f>
        <v/>
      </c>
      <c r="T6027">
        <f>LET(
    payment_method,'Loan Tape (S&amp;P)'!P6027,
    occupancy,'Loan Tape (S&amp;P)'!N6027,
    maturity_date,'Loan Tape (S&amp;P)'!L6027,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28">
      <c r="J6028">
        <f>LET(
    lien,'Loan Tape (S&amp;P)'!Q6028,
    IF(lien="First",1.00,
        IF(lien="Second",1.50,
            1.70)))</f>
        <v/>
      </c>
      <c r="K6028">
        <f>LET(
    purpose,'Loan Tape (S&amp;P)'!R6028,
    IF(purpose="Purchase",1.00,
        IF(purpose="Remortgage",1.00,
            1.20)))</f>
        <v/>
      </c>
      <c r="L6028">
        <f>LET(
    arrears_months,'Loan Tape (S&amp;P)'!AN6028,
    IF(arrears_months=0,1.00,
    IF(arrears_months=1,3.00,
    IF(arrears_months=2,5.00,
    IF(arrears_months=3,8.00,
    IF(arrears_months=4,10.00,
    IF(arrears_months=5,12.00,15.00)))))))</f>
        <v/>
      </c>
      <c r="M6028">
        <f>LET(
    seasoning_years,DATEDIF('Loan Tape (S&amp;P)'!K6028,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28">
        <f>IF(AND('Loan Tape (S&amp;P)'!U6028="Yes",
        'Loan Tape (S&amp;P)'!T6028&lt;&gt;"Yes",
        DATEDIF('Loan Tape (S&amp;P)'!K6028, TODAY(), "M")&lt;18),
    1.10,
    1.00)</f>
        <v/>
      </c>
      <c r="O6028">
        <f>IF('Loan Tape (S&amp;P)'!T6028="Yes",
    1.35,
    1.00)</f>
        <v/>
      </c>
      <c r="P6028">
        <f>IF('Loan Tape (S&amp;P)'!S6028="Yes",
    1.15,
    1.00)</f>
        <v/>
      </c>
      <c r="Q6028">
        <f>IF('Loan Tape (S&amp;P)'!V6028="Yes",
    1.20,
    1.00)</f>
        <v/>
      </c>
      <c r="T6028">
        <f>LET(
    payment_method,'Loan Tape (S&amp;P)'!P6028,
    occupancy,'Loan Tape (S&amp;P)'!N6028,
    maturity_date,'Loan Tape (S&amp;P)'!L6028,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29">
      <c r="J6029">
        <f>LET(
    lien,'Loan Tape (S&amp;P)'!Q6029,
    IF(lien="First",1.00,
        IF(lien="Second",1.50,
            1.70)))</f>
        <v/>
      </c>
      <c r="K6029">
        <f>LET(
    purpose,'Loan Tape (S&amp;P)'!R6029,
    IF(purpose="Purchase",1.00,
        IF(purpose="Remortgage",1.00,
            1.20)))</f>
        <v/>
      </c>
      <c r="L6029">
        <f>LET(
    arrears_months,'Loan Tape (S&amp;P)'!AN6029,
    IF(arrears_months=0,1.00,
    IF(arrears_months=1,3.00,
    IF(arrears_months=2,5.00,
    IF(arrears_months=3,8.00,
    IF(arrears_months=4,10.00,
    IF(arrears_months=5,12.00,15.00)))))))</f>
        <v/>
      </c>
      <c r="M6029">
        <f>LET(
    seasoning_years,DATEDIF('Loan Tape (S&amp;P)'!K6029,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29">
        <f>IF(AND('Loan Tape (S&amp;P)'!U6029="Yes",
        'Loan Tape (S&amp;P)'!T6029&lt;&gt;"Yes",
        DATEDIF('Loan Tape (S&amp;P)'!K6029, TODAY(), "M")&lt;18),
    1.10,
    1.00)</f>
        <v/>
      </c>
      <c r="O6029">
        <f>IF('Loan Tape (S&amp;P)'!T6029="Yes",
    1.35,
    1.00)</f>
        <v/>
      </c>
      <c r="P6029">
        <f>IF('Loan Tape (S&amp;P)'!S6029="Yes",
    1.15,
    1.00)</f>
        <v/>
      </c>
      <c r="Q6029">
        <f>IF('Loan Tape (S&amp;P)'!V6029="Yes",
    1.20,
    1.00)</f>
        <v/>
      </c>
      <c r="T6029">
        <f>LET(
    payment_method,'Loan Tape (S&amp;P)'!P6029,
    occupancy,'Loan Tape (S&amp;P)'!N6029,
    maturity_date,'Loan Tape (S&amp;P)'!L6029,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30">
      <c r="J6030">
        <f>LET(
    lien,'Loan Tape (S&amp;P)'!Q6030,
    IF(lien="First",1.00,
        IF(lien="Second",1.50,
            1.70)))</f>
        <v/>
      </c>
      <c r="K6030">
        <f>LET(
    purpose,'Loan Tape (S&amp;P)'!R6030,
    IF(purpose="Purchase",1.00,
        IF(purpose="Remortgage",1.00,
            1.20)))</f>
        <v/>
      </c>
      <c r="L6030">
        <f>LET(
    arrears_months,'Loan Tape (S&amp;P)'!AN6030,
    IF(arrears_months=0,1.00,
    IF(arrears_months=1,3.00,
    IF(arrears_months=2,5.00,
    IF(arrears_months=3,8.00,
    IF(arrears_months=4,10.00,
    IF(arrears_months=5,12.00,15.00)))))))</f>
        <v/>
      </c>
      <c r="M6030">
        <f>LET(
    seasoning_years,DATEDIF('Loan Tape (S&amp;P)'!K6030,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30">
        <f>IF(AND('Loan Tape (S&amp;P)'!U6030="Yes",
        'Loan Tape (S&amp;P)'!T6030&lt;&gt;"Yes",
        DATEDIF('Loan Tape (S&amp;P)'!K6030, TODAY(), "M")&lt;18),
    1.10,
    1.00)</f>
        <v/>
      </c>
      <c r="O6030">
        <f>IF('Loan Tape (S&amp;P)'!T6030="Yes",
    1.35,
    1.00)</f>
        <v/>
      </c>
      <c r="P6030">
        <f>IF('Loan Tape (S&amp;P)'!S6030="Yes",
    1.15,
    1.00)</f>
        <v/>
      </c>
      <c r="Q6030">
        <f>IF('Loan Tape (S&amp;P)'!V6030="Yes",
    1.20,
    1.00)</f>
        <v/>
      </c>
      <c r="T6030">
        <f>LET(
    payment_method,'Loan Tape (S&amp;P)'!P6030,
    occupancy,'Loan Tape (S&amp;P)'!N6030,
    maturity_date,'Loan Tape (S&amp;P)'!L6030,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31">
      <c r="J6031">
        <f>LET(
    lien,'Loan Tape (S&amp;P)'!Q6031,
    IF(lien="First",1.00,
        IF(lien="Second",1.50,
            1.70)))</f>
        <v/>
      </c>
      <c r="K6031">
        <f>LET(
    purpose,'Loan Tape (S&amp;P)'!R6031,
    IF(purpose="Purchase",1.00,
        IF(purpose="Remortgage",1.00,
            1.20)))</f>
        <v/>
      </c>
      <c r="L6031">
        <f>LET(
    arrears_months,'Loan Tape (S&amp;P)'!AN6031,
    IF(arrears_months=0,1.00,
    IF(arrears_months=1,3.00,
    IF(arrears_months=2,5.00,
    IF(arrears_months=3,8.00,
    IF(arrears_months=4,10.00,
    IF(arrears_months=5,12.00,15.00)))))))</f>
        <v/>
      </c>
      <c r="M6031">
        <f>LET(
    seasoning_years,DATEDIF('Loan Tape (S&amp;P)'!K6031,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31">
        <f>IF(AND('Loan Tape (S&amp;P)'!U6031="Yes",
        'Loan Tape (S&amp;P)'!T6031&lt;&gt;"Yes",
        DATEDIF('Loan Tape (S&amp;P)'!K6031, TODAY(), "M")&lt;18),
    1.10,
    1.00)</f>
        <v/>
      </c>
      <c r="O6031">
        <f>IF('Loan Tape (S&amp;P)'!T6031="Yes",
    1.35,
    1.00)</f>
        <v/>
      </c>
      <c r="P6031">
        <f>IF('Loan Tape (S&amp;P)'!S6031="Yes",
    1.15,
    1.00)</f>
        <v/>
      </c>
      <c r="Q6031">
        <f>IF('Loan Tape (S&amp;P)'!V6031="Yes",
    1.20,
    1.00)</f>
        <v/>
      </c>
      <c r="T6031">
        <f>LET(
    payment_method,'Loan Tape (S&amp;P)'!P6031,
    occupancy,'Loan Tape (S&amp;P)'!N6031,
    maturity_date,'Loan Tape (S&amp;P)'!L6031,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32">
      <c r="J6032">
        <f>LET(
    lien,'Loan Tape (S&amp;P)'!Q6032,
    IF(lien="First",1.00,
        IF(lien="Second",1.50,
            1.70)))</f>
        <v/>
      </c>
      <c r="K6032">
        <f>LET(
    purpose,'Loan Tape (S&amp;P)'!R6032,
    IF(purpose="Purchase",1.00,
        IF(purpose="Remortgage",1.00,
            1.20)))</f>
        <v/>
      </c>
      <c r="L6032">
        <f>LET(
    arrears_months,'Loan Tape (S&amp;P)'!AN6032,
    IF(arrears_months=0,1.00,
    IF(arrears_months=1,3.00,
    IF(arrears_months=2,5.00,
    IF(arrears_months=3,8.00,
    IF(arrears_months=4,10.00,
    IF(arrears_months=5,12.00,15.00)))))))</f>
        <v/>
      </c>
      <c r="M6032">
        <f>LET(
    seasoning_years,DATEDIF('Loan Tape (S&amp;P)'!K6032,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32">
        <f>IF(AND('Loan Tape (S&amp;P)'!U6032="Yes",
        'Loan Tape (S&amp;P)'!T6032&lt;&gt;"Yes",
        DATEDIF('Loan Tape (S&amp;P)'!K6032, TODAY(), "M")&lt;18),
    1.10,
    1.00)</f>
        <v/>
      </c>
      <c r="O6032">
        <f>IF('Loan Tape (S&amp;P)'!T6032="Yes",
    1.35,
    1.00)</f>
        <v/>
      </c>
      <c r="P6032">
        <f>IF('Loan Tape (S&amp;P)'!S6032="Yes",
    1.15,
    1.00)</f>
        <v/>
      </c>
      <c r="Q6032">
        <f>IF('Loan Tape (S&amp;P)'!V6032="Yes",
    1.20,
    1.00)</f>
        <v/>
      </c>
      <c r="T6032">
        <f>LET(
    payment_method,'Loan Tape (S&amp;P)'!P6032,
    occupancy,'Loan Tape (S&amp;P)'!N6032,
    maturity_date,'Loan Tape (S&amp;P)'!L6032,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33">
      <c r="J6033">
        <f>LET(
    lien,'Loan Tape (S&amp;P)'!Q6033,
    IF(lien="First",1.00,
        IF(lien="Second",1.50,
            1.70)))</f>
        <v/>
      </c>
      <c r="K6033">
        <f>LET(
    purpose,'Loan Tape (S&amp;P)'!R6033,
    IF(purpose="Purchase",1.00,
        IF(purpose="Remortgage",1.00,
            1.20)))</f>
        <v/>
      </c>
      <c r="L6033">
        <f>LET(
    arrears_months,'Loan Tape (S&amp;P)'!AN6033,
    IF(arrears_months=0,1.00,
    IF(arrears_months=1,3.00,
    IF(arrears_months=2,5.00,
    IF(arrears_months=3,8.00,
    IF(arrears_months=4,10.00,
    IF(arrears_months=5,12.00,15.00)))))))</f>
        <v/>
      </c>
      <c r="M6033">
        <f>LET(
    seasoning_years,DATEDIF('Loan Tape (S&amp;P)'!K6033,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33">
        <f>IF(AND('Loan Tape (S&amp;P)'!U6033="Yes",
        'Loan Tape (S&amp;P)'!T6033&lt;&gt;"Yes",
        DATEDIF('Loan Tape (S&amp;P)'!K6033, TODAY(), "M")&lt;18),
    1.10,
    1.00)</f>
        <v/>
      </c>
      <c r="O6033">
        <f>IF('Loan Tape (S&amp;P)'!T6033="Yes",
    1.35,
    1.00)</f>
        <v/>
      </c>
      <c r="P6033">
        <f>IF('Loan Tape (S&amp;P)'!S6033="Yes",
    1.15,
    1.00)</f>
        <v/>
      </c>
      <c r="Q6033">
        <f>IF('Loan Tape (S&amp;P)'!V6033="Yes",
    1.20,
    1.00)</f>
        <v/>
      </c>
      <c r="T6033">
        <f>LET(
    payment_method,'Loan Tape (S&amp;P)'!P6033,
    occupancy,'Loan Tape (S&amp;P)'!N6033,
    maturity_date,'Loan Tape (S&amp;P)'!L6033,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34">
      <c r="J6034">
        <f>LET(
    lien,'Loan Tape (S&amp;P)'!Q6034,
    IF(lien="First",1.00,
        IF(lien="Second",1.50,
            1.70)))</f>
        <v/>
      </c>
      <c r="K6034">
        <f>LET(
    purpose,'Loan Tape (S&amp;P)'!R6034,
    IF(purpose="Purchase",1.00,
        IF(purpose="Remortgage",1.00,
            1.20)))</f>
        <v/>
      </c>
      <c r="L6034">
        <f>LET(
    arrears_months,'Loan Tape (S&amp;P)'!AN6034,
    IF(arrears_months=0,1.00,
    IF(arrears_months=1,3.00,
    IF(arrears_months=2,5.00,
    IF(arrears_months=3,8.00,
    IF(arrears_months=4,10.00,
    IF(arrears_months=5,12.00,15.00)))))))</f>
        <v/>
      </c>
      <c r="M6034">
        <f>LET(
    seasoning_years,DATEDIF('Loan Tape (S&amp;P)'!K6034,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34">
        <f>IF(AND('Loan Tape (S&amp;P)'!U6034="Yes",
        'Loan Tape (S&amp;P)'!T6034&lt;&gt;"Yes",
        DATEDIF('Loan Tape (S&amp;P)'!K6034, TODAY(), "M")&lt;18),
    1.10,
    1.00)</f>
        <v/>
      </c>
      <c r="O6034">
        <f>IF('Loan Tape (S&amp;P)'!T6034="Yes",
    1.35,
    1.00)</f>
        <v/>
      </c>
      <c r="P6034">
        <f>IF('Loan Tape (S&amp;P)'!S6034="Yes",
    1.15,
    1.00)</f>
        <v/>
      </c>
      <c r="Q6034">
        <f>IF('Loan Tape (S&amp;P)'!V6034="Yes",
    1.20,
    1.00)</f>
        <v/>
      </c>
      <c r="T6034">
        <f>LET(
    payment_method,'Loan Tape (S&amp;P)'!P6034,
    occupancy,'Loan Tape (S&amp;P)'!N6034,
    maturity_date,'Loan Tape (S&amp;P)'!L6034,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35">
      <c r="J6035">
        <f>LET(
    lien,'Loan Tape (S&amp;P)'!Q6035,
    IF(lien="First",1.00,
        IF(lien="Second",1.50,
            1.70)))</f>
        <v/>
      </c>
      <c r="K6035">
        <f>LET(
    purpose,'Loan Tape (S&amp;P)'!R6035,
    IF(purpose="Purchase",1.00,
        IF(purpose="Remortgage",1.00,
            1.20)))</f>
        <v/>
      </c>
      <c r="L6035">
        <f>LET(
    arrears_months,'Loan Tape (S&amp;P)'!AN6035,
    IF(arrears_months=0,1.00,
    IF(arrears_months=1,3.00,
    IF(arrears_months=2,5.00,
    IF(arrears_months=3,8.00,
    IF(arrears_months=4,10.00,
    IF(arrears_months=5,12.00,15.00)))))))</f>
        <v/>
      </c>
      <c r="M6035">
        <f>LET(
    seasoning_years,DATEDIF('Loan Tape (S&amp;P)'!K6035,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35">
        <f>IF(AND('Loan Tape (S&amp;P)'!U6035="Yes",
        'Loan Tape (S&amp;P)'!T6035&lt;&gt;"Yes",
        DATEDIF('Loan Tape (S&amp;P)'!K6035, TODAY(), "M")&lt;18),
    1.10,
    1.00)</f>
        <v/>
      </c>
      <c r="O6035">
        <f>IF('Loan Tape (S&amp;P)'!T6035="Yes",
    1.35,
    1.00)</f>
        <v/>
      </c>
      <c r="P6035">
        <f>IF('Loan Tape (S&amp;P)'!S6035="Yes",
    1.15,
    1.00)</f>
        <v/>
      </c>
      <c r="Q6035">
        <f>IF('Loan Tape (S&amp;P)'!V6035="Yes",
    1.20,
    1.00)</f>
        <v/>
      </c>
      <c r="T6035">
        <f>LET(
    payment_method,'Loan Tape (S&amp;P)'!P6035,
    occupancy,'Loan Tape (S&amp;P)'!N6035,
    maturity_date,'Loan Tape (S&amp;P)'!L6035,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36">
      <c r="J6036">
        <f>LET(
    lien,'Loan Tape (S&amp;P)'!Q6036,
    IF(lien="First",1.00,
        IF(lien="Second",1.50,
            1.70)))</f>
        <v/>
      </c>
      <c r="K6036">
        <f>LET(
    purpose,'Loan Tape (S&amp;P)'!R6036,
    IF(purpose="Purchase",1.00,
        IF(purpose="Remortgage",1.00,
            1.20)))</f>
        <v/>
      </c>
      <c r="L6036">
        <f>LET(
    arrears_months,'Loan Tape (S&amp;P)'!AN6036,
    IF(arrears_months=0,1.00,
    IF(arrears_months=1,3.00,
    IF(arrears_months=2,5.00,
    IF(arrears_months=3,8.00,
    IF(arrears_months=4,10.00,
    IF(arrears_months=5,12.00,15.00)))))))</f>
        <v/>
      </c>
      <c r="M6036">
        <f>LET(
    seasoning_years,DATEDIF('Loan Tape (S&amp;P)'!K6036,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36">
        <f>IF(AND('Loan Tape (S&amp;P)'!U6036="Yes",
        'Loan Tape (S&amp;P)'!T6036&lt;&gt;"Yes",
        DATEDIF('Loan Tape (S&amp;P)'!K6036, TODAY(), "M")&lt;18),
    1.10,
    1.00)</f>
        <v/>
      </c>
      <c r="O6036">
        <f>IF('Loan Tape (S&amp;P)'!T6036="Yes",
    1.35,
    1.00)</f>
        <v/>
      </c>
      <c r="P6036">
        <f>IF('Loan Tape (S&amp;P)'!S6036="Yes",
    1.15,
    1.00)</f>
        <v/>
      </c>
      <c r="Q6036">
        <f>IF('Loan Tape (S&amp;P)'!V6036="Yes",
    1.20,
    1.00)</f>
        <v/>
      </c>
      <c r="T6036">
        <f>LET(
    payment_method,'Loan Tape (S&amp;P)'!P6036,
    occupancy,'Loan Tape (S&amp;P)'!N6036,
    maturity_date,'Loan Tape (S&amp;P)'!L6036,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37">
      <c r="J6037">
        <f>LET(
    lien,'Loan Tape (S&amp;P)'!Q6037,
    IF(lien="First",1.00,
        IF(lien="Second",1.50,
            1.70)))</f>
        <v/>
      </c>
      <c r="K6037">
        <f>LET(
    purpose,'Loan Tape (S&amp;P)'!R6037,
    IF(purpose="Purchase",1.00,
        IF(purpose="Remortgage",1.00,
            1.20)))</f>
        <v/>
      </c>
      <c r="L6037">
        <f>LET(
    arrears_months,'Loan Tape (S&amp;P)'!AN6037,
    IF(arrears_months=0,1.00,
    IF(arrears_months=1,3.00,
    IF(arrears_months=2,5.00,
    IF(arrears_months=3,8.00,
    IF(arrears_months=4,10.00,
    IF(arrears_months=5,12.00,15.00)))))))</f>
        <v/>
      </c>
      <c r="M6037">
        <f>LET(
    seasoning_years,DATEDIF('Loan Tape (S&amp;P)'!K6037,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37">
        <f>IF(AND('Loan Tape (S&amp;P)'!U6037="Yes",
        'Loan Tape (S&amp;P)'!T6037&lt;&gt;"Yes",
        DATEDIF('Loan Tape (S&amp;P)'!K6037, TODAY(), "M")&lt;18),
    1.10,
    1.00)</f>
        <v/>
      </c>
      <c r="O6037">
        <f>IF('Loan Tape (S&amp;P)'!T6037="Yes",
    1.35,
    1.00)</f>
        <v/>
      </c>
      <c r="P6037">
        <f>IF('Loan Tape (S&amp;P)'!S6037="Yes",
    1.15,
    1.00)</f>
        <v/>
      </c>
      <c r="Q6037">
        <f>IF('Loan Tape (S&amp;P)'!V6037="Yes",
    1.20,
    1.00)</f>
        <v/>
      </c>
      <c r="T6037">
        <f>LET(
    payment_method,'Loan Tape (S&amp;P)'!P6037,
    occupancy,'Loan Tape (S&amp;P)'!N6037,
    maturity_date,'Loan Tape (S&amp;P)'!L6037,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38">
      <c r="J6038">
        <f>LET(
    lien,'Loan Tape (S&amp;P)'!Q6038,
    IF(lien="First",1.00,
        IF(lien="Second",1.50,
            1.70)))</f>
        <v/>
      </c>
      <c r="K6038">
        <f>LET(
    purpose,'Loan Tape (S&amp;P)'!R6038,
    IF(purpose="Purchase",1.00,
        IF(purpose="Remortgage",1.00,
            1.20)))</f>
        <v/>
      </c>
      <c r="L6038">
        <f>LET(
    arrears_months,'Loan Tape (S&amp;P)'!AN6038,
    IF(arrears_months=0,1.00,
    IF(arrears_months=1,3.00,
    IF(arrears_months=2,5.00,
    IF(arrears_months=3,8.00,
    IF(arrears_months=4,10.00,
    IF(arrears_months=5,12.00,15.00)))))))</f>
        <v/>
      </c>
      <c r="M6038">
        <f>LET(
    seasoning_years,DATEDIF('Loan Tape (S&amp;P)'!K6038,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38">
        <f>IF(AND('Loan Tape (S&amp;P)'!U6038="Yes",
        'Loan Tape (S&amp;P)'!T6038&lt;&gt;"Yes",
        DATEDIF('Loan Tape (S&amp;P)'!K6038, TODAY(), "M")&lt;18),
    1.10,
    1.00)</f>
        <v/>
      </c>
      <c r="O6038">
        <f>IF('Loan Tape (S&amp;P)'!T6038="Yes",
    1.35,
    1.00)</f>
        <v/>
      </c>
      <c r="P6038">
        <f>IF('Loan Tape (S&amp;P)'!S6038="Yes",
    1.15,
    1.00)</f>
        <v/>
      </c>
      <c r="Q6038">
        <f>IF('Loan Tape (S&amp;P)'!V6038="Yes",
    1.20,
    1.00)</f>
        <v/>
      </c>
      <c r="T6038">
        <f>LET(
    payment_method,'Loan Tape (S&amp;P)'!P6038,
    occupancy,'Loan Tape (S&amp;P)'!N6038,
    maturity_date,'Loan Tape (S&amp;P)'!L6038,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39">
      <c r="J6039">
        <f>LET(
    lien,'Loan Tape (S&amp;P)'!Q6039,
    IF(lien="First",1.00,
        IF(lien="Second",1.50,
            1.70)))</f>
        <v/>
      </c>
      <c r="K6039">
        <f>LET(
    purpose,'Loan Tape (S&amp;P)'!R6039,
    IF(purpose="Purchase",1.00,
        IF(purpose="Remortgage",1.00,
            1.20)))</f>
        <v/>
      </c>
      <c r="L6039">
        <f>LET(
    arrears_months,'Loan Tape (S&amp;P)'!AN6039,
    IF(arrears_months=0,1.00,
    IF(arrears_months=1,3.00,
    IF(arrears_months=2,5.00,
    IF(arrears_months=3,8.00,
    IF(arrears_months=4,10.00,
    IF(arrears_months=5,12.00,15.00)))))))</f>
        <v/>
      </c>
      <c r="M6039">
        <f>LET(
    seasoning_years,DATEDIF('Loan Tape (S&amp;P)'!K6039,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39">
        <f>IF(AND('Loan Tape (S&amp;P)'!U6039="Yes",
        'Loan Tape (S&amp;P)'!T6039&lt;&gt;"Yes",
        DATEDIF('Loan Tape (S&amp;P)'!K6039, TODAY(), "M")&lt;18),
    1.10,
    1.00)</f>
        <v/>
      </c>
      <c r="O6039">
        <f>IF('Loan Tape (S&amp;P)'!T6039="Yes",
    1.35,
    1.00)</f>
        <v/>
      </c>
      <c r="P6039">
        <f>IF('Loan Tape (S&amp;P)'!S6039="Yes",
    1.15,
    1.00)</f>
        <v/>
      </c>
      <c r="Q6039">
        <f>IF('Loan Tape (S&amp;P)'!V6039="Yes",
    1.20,
    1.00)</f>
        <v/>
      </c>
      <c r="T6039">
        <f>LET(
    payment_method,'Loan Tape (S&amp;P)'!P6039,
    occupancy,'Loan Tape (S&amp;P)'!N6039,
    maturity_date,'Loan Tape (S&amp;P)'!L6039,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40">
      <c r="J6040">
        <f>LET(
    lien,'Loan Tape (S&amp;P)'!Q6040,
    IF(lien="First",1.00,
        IF(lien="Second",1.50,
            1.70)))</f>
        <v/>
      </c>
      <c r="K6040">
        <f>LET(
    purpose,'Loan Tape (S&amp;P)'!R6040,
    IF(purpose="Purchase",1.00,
        IF(purpose="Remortgage",1.00,
            1.20)))</f>
        <v/>
      </c>
      <c r="L6040">
        <f>LET(
    arrears_months,'Loan Tape (S&amp;P)'!AN6040,
    IF(arrears_months=0,1.00,
    IF(arrears_months=1,3.00,
    IF(arrears_months=2,5.00,
    IF(arrears_months=3,8.00,
    IF(arrears_months=4,10.00,
    IF(arrears_months=5,12.00,15.00)))))))</f>
        <v/>
      </c>
      <c r="M6040">
        <f>LET(
    seasoning_years,DATEDIF('Loan Tape (S&amp;P)'!K6040,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40">
        <f>IF(AND('Loan Tape (S&amp;P)'!U6040="Yes",
        'Loan Tape (S&amp;P)'!T6040&lt;&gt;"Yes",
        DATEDIF('Loan Tape (S&amp;P)'!K6040, TODAY(), "M")&lt;18),
    1.10,
    1.00)</f>
        <v/>
      </c>
      <c r="O6040">
        <f>IF('Loan Tape (S&amp;P)'!T6040="Yes",
    1.35,
    1.00)</f>
        <v/>
      </c>
      <c r="P6040">
        <f>IF('Loan Tape (S&amp;P)'!S6040="Yes",
    1.15,
    1.00)</f>
        <v/>
      </c>
      <c r="Q6040">
        <f>IF('Loan Tape (S&amp;P)'!V6040="Yes",
    1.20,
    1.00)</f>
        <v/>
      </c>
      <c r="T6040">
        <f>LET(
    payment_method,'Loan Tape (S&amp;P)'!P6040,
    occupancy,'Loan Tape (S&amp;P)'!N6040,
    maturity_date,'Loan Tape (S&amp;P)'!L6040,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41">
      <c r="J6041">
        <f>LET(
    lien,'Loan Tape (S&amp;P)'!Q6041,
    IF(lien="First",1.00,
        IF(lien="Second",1.50,
            1.70)))</f>
        <v/>
      </c>
      <c r="K6041">
        <f>LET(
    purpose,'Loan Tape (S&amp;P)'!R6041,
    IF(purpose="Purchase",1.00,
        IF(purpose="Remortgage",1.00,
            1.20)))</f>
        <v/>
      </c>
      <c r="L6041">
        <f>LET(
    arrears_months,'Loan Tape (S&amp;P)'!AN6041,
    IF(arrears_months=0,1.00,
    IF(arrears_months=1,3.00,
    IF(arrears_months=2,5.00,
    IF(arrears_months=3,8.00,
    IF(arrears_months=4,10.00,
    IF(arrears_months=5,12.00,15.00)))))))</f>
        <v/>
      </c>
      <c r="M6041">
        <f>LET(
    seasoning_years,DATEDIF('Loan Tape (S&amp;P)'!K6041,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41">
        <f>IF(AND('Loan Tape (S&amp;P)'!U6041="Yes",
        'Loan Tape (S&amp;P)'!T6041&lt;&gt;"Yes",
        DATEDIF('Loan Tape (S&amp;P)'!K6041, TODAY(), "M")&lt;18),
    1.10,
    1.00)</f>
        <v/>
      </c>
      <c r="O6041">
        <f>IF('Loan Tape (S&amp;P)'!T6041="Yes",
    1.35,
    1.00)</f>
        <v/>
      </c>
      <c r="P6041">
        <f>IF('Loan Tape (S&amp;P)'!S6041="Yes",
    1.15,
    1.00)</f>
        <v/>
      </c>
      <c r="Q6041">
        <f>IF('Loan Tape (S&amp;P)'!V6041="Yes",
    1.20,
    1.00)</f>
        <v/>
      </c>
      <c r="T6041">
        <f>LET(
    payment_method,'Loan Tape (S&amp;P)'!P6041,
    occupancy,'Loan Tape (S&amp;P)'!N6041,
    maturity_date,'Loan Tape (S&amp;P)'!L6041,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42">
      <c r="J6042">
        <f>LET(
    lien,'Loan Tape (S&amp;P)'!Q6042,
    IF(lien="First",1.00,
        IF(lien="Second",1.50,
            1.70)))</f>
        <v/>
      </c>
      <c r="K6042">
        <f>LET(
    purpose,'Loan Tape (S&amp;P)'!R6042,
    IF(purpose="Purchase",1.00,
        IF(purpose="Remortgage",1.00,
            1.20)))</f>
        <v/>
      </c>
      <c r="L6042">
        <f>LET(
    arrears_months,'Loan Tape (S&amp;P)'!AN6042,
    IF(arrears_months=0,1.00,
    IF(arrears_months=1,3.00,
    IF(arrears_months=2,5.00,
    IF(arrears_months=3,8.00,
    IF(arrears_months=4,10.00,
    IF(arrears_months=5,12.00,15.00)))))))</f>
        <v/>
      </c>
      <c r="M6042">
        <f>LET(
    seasoning_years,DATEDIF('Loan Tape (S&amp;P)'!K6042,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42">
        <f>IF(AND('Loan Tape (S&amp;P)'!U6042="Yes",
        'Loan Tape (S&amp;P)'!T6042&lt;&gt;"Yes",
        DATEDIF('Loan Tape (S&amp;P)'!K6042, TODAY(), "M")&lt;18),
    1.10,
    1.00)</f>
        <v/>
      </c>
      <c r="O6042">
        <f>IF('Loan Tape (S&amp;P)'!T6042="Yes",
    1.35,
    1.00)</f>
        <v/>
      </c>
      <c r="P6042">
        <f>IF('Loan Tape (S&amp;P)'!S6042="Yes",
    1.15,
    1.00)</f>
        <v/>
      </c>
      <c r="Q6042">
        <f>IF('Loan Tape (S&amp;P)'!V6042="Yes",
    1.20,
    1.00)</f>
        <v/>
      </c>
      <c r="T6042">
        <f>LET(
    payment_method,'Loan Tape (S&amp;P)'!P6042,
    occupancy,'Loan Tape (S&amp;P)'!N6042,
    maturity_date,'Loan Tape (S&amp;P)'!L6042,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43">
      <c r="J6043">
        <f>LET(
    lien,'Loan Tape (S&amp;P)'!Q6043,
    IF(lien="First",1.00,
        IF(lien="Second",1.50,
            1.70)))</f>
        <v/>
      </c>
      <c r="K6043">
        <f>LET(
    purpose,'Loan Tape (S&amp;P)'!R6043,
    IF(purpose="Purchase",1.00,
        IF(purpose="Remortgage",1.00,
            1.20)))</f>
        <v/>
      </c>
      <c r="L6043">
        <f>LET(
    arrears_months,'Loan Tape (S&amp;P)'!AN6043,
    IF(arrears_months=0,1.00,
    IF(arrears_months=1,3.00,
    IF(arrears_months=2,5.00,
    IF(arrears_months=3,8.00,
    IF(arrears_months=4,10.00,
    IF(arrears_months=5,12.00,15.00)))))))</f>
        <v/>
      </c>
      <c r="M6043">
        <f>LET(
    seasoning_years,DATEDIF('Loan Tape (S&amp;P)'!K6043,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43">
        <f>IF(AND('Loan Tape (S&amp;P)'!U6043="Yes",
        'Loan Tape (S&amp;P)'!T6043&lt;&gt;"Yes",
        DATEDIF('Loan Tape (S&amp;P)'!K6043, TODAY(), "M")&lt;18),
    1.10,
    1.00)</f>
        <v/>
      </c>
      <c r="O6043">
        <f>IF('Loan Tape (S&amp;P)'!T6043="Yes",
    1.35,
    1.00)</f>
        <v/>
      </c>
      <c r="P6043">
        <f>IF('Loan Tape (S&amp;P)'!S6043="Yes",
    1.15,
    1.00)</f>
        <v/>
      </c>
      <c r="Q6043">
        <f>IF('Loan Tape (S&amp;P)'!V6043="Yes",
    1.20,
    1.00)</f>
        <v/>
      </c>
      <c r="T6043">
        <f>LET(
    payment_method,'Loan Tape (S&amp;P)'!P6043,
    occupancy,'Loan Tape (S&amp;P)'!N6043,
    maturity_date,'Loan Tape (S&amp;P)'!L6043,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44">
      <c r="J6044">
        <f>LET(
    lien,'Loan Tape (S&amp;P)'!Q6044,
    IF(lien="First",1.00,
        IF(lien="Second",1.50,
            1.70)))</f>
        <v/>
      </c>
      <c r="K6044">
        <f>LET(
    purpose,'Loan Tape (S&amp;P)'!R6044,
    IF(purpose="Purchase",1.00,
        IF(purpose="Remortgage",1.00,
            1.20)))</f>
        <v/>
      </c>
      <c r="L6044">
        <f>LET(
    arrears_months,'Loan Tape (S&amp;P)'!AN6044,
    IF(arrears_months=0,1.00,
    IF(arrears_months=1,3.00,
    IF(arrears_months=2,5.00,
    IF(arrears_months=3,8.00,
    IF(arrears_months=4,10.00,
    IF(arrears_months=5,12.00,15.00)))))))</f>
        <v/>
      </c>
      <c r="M6044">
        <f>LET(
    seasoning_years,DATEDIF('Loan Tape (S&amp;P)'!K6044,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44">
        <f>IF(AND('Loan Tape (S&amp;P)'!U6044="Yes",
        'Loan Tape (S&amp;P)'!T6044&lt;&gt;"Yes",
        DATEDIF('Loan Tape (S&amp;P)'!K6044, TODAY(), "M")&lt;18),
    1.10,
    1.00)</f>
        <v/>
      </c>
      <c r="O6044">
        <f>IF('Loan Tape (S&amp;P)'!T6044="Yes",
    1.35,
    1.00)</f>
        <v/>
      </c>
      <c r="P6044">
        <f>IF('Loan Tape (S&amp;P)'!S6044="Yes",
    1.15,
    1.00)</f>
        <v/>
      </c>
      <c r="Q6044">
        <f>IF('Loan Tape (S&amp;P)'!V6044="Yes",
    1.20,
    1.00)</f>
        <v/>
      </c>
      <c r="T6044">
        <f>LET(
    payment_method,'Loan Tape (S&amp;P)'!P6044,
    occupancy,'Loan Tape (S&amp;P)'!N6044,
    maturity_date,'Loan Tape (S&amp;P)'!L6044,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45">
      <c r="J6045">
        <f>LET(
    lien,'Loan Tape (S&amp;P)'!Q6045,
    IF(lien="First",1.00,
        IF(lien="Second",1.50,
            1.70)))</f>
        <v/>
      </c>
      <c r="K6045">
        <f>LET(
    purpose,'Loan Tape (S&amp;P)'!R6045,
    IF(purpose="Purchase",1.00,
        IF(purpose="Remortgage",1.00,
            1.20)))</f>
        <v/>
      </c>
      <c r="L6045">
        <f>LET(
    arrears_months,'Loan Tape (S&amp;P)'!AN6045,
    IF(arrears_months=0,1.00,
    IF(arrears_months=1,3.00,
    IF(arrears_months=2,5.00,
    IF(arrears_months=3,8.00,
    IF(arrears_months=4,10.00,
    IF(arrears_months=5,12.00,15.00)))))))</f>
        <v/>
      </c>
      <c r="M6045">
        <f>LET(
    seasoning_years,DATEDIF('Loan Tape (S&amp;P)'!K6045,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45">
        <f>IF(AND('Loan Tape (S&amp;P)'!U6045="Yes",
        'Loan Tape (S&amp;P)'!T6045&lt;&gt;"Yes",
        DATEDIF('Loan Tape (S&amp;P)'!K6045, TODAY(), "M")&lt;18),
    1.10,
    1.00)</f>
        <v/>
      </c>
      <c r="O6045">
        <f>IF('Loan Tape (S&amp;P)'!T6045="Yes",
    1.35,
    1.00)</f>
        <v/>
      </c>
      <c r="P6045">
        <f>IF('Loan Tape (S&amp;P)'!S6045="Yes",
    1.15,
    1.00)</f>
        <v/>
      </c>
      <c r="Q6045">
        <f>IF('Loan Tape (S&amp;P)'!V6045="Yes",
    1.20,
    1.00)</f>
        <v/>
      </c>
      <c r="T6045">
        <f>LET(
    payment_method,'Loan Tape (S&amp;P)'!P6045,
    occupancy,'Loan Tape (S&amp;P)'!N6045,
    maturity_date,'Loan Tape (S&amp;P)'!L6045,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46">
      <c r="J6046">
        <f>LET(
    lien,'Loan Tape (S&amp;P)'!Q6046,
    IF(lien="First",1.00,
        IF(lien="Second",1.50,
            1.70)))</f>
        <v/>
      </c>
      <c r="K6046">
        <f>LET(
    purpose,'Loan Tape (S&amp;P)'!R6046,
    IF(purpose="Purchase",1.00,
        IF(purpose="Remortgage",1.00,
            1.20)))</f>
        <v/>
      </c>
      <c r="L6046">
        <f>LET(
    arrears_months,'Loan Tape (S&amp;P)'!AN6046,
    IF(arrears_months=0,1.00,
    IF(arrears_months=1,3.00,
    IF(arrears_months=2,5.00,
    IF(arrears_months=3,8.00,
    IF(arrears_months=4,10.00,
    IF(arrears_months=5,12.00,15.00)))))))</f>
        <v/>
      </c>
      <c r="M6046">
        <f>LET(
    seasoning_years,DATEDIF('Loan Tape (S&amp;P)'!K6046,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46">
        <f>IF(AND('Loan Tape (S&amp;P)'!U6046="Yes",
        'Loan Tape (S&amp;P)'!T6046&lt;&gt;"Yes",
        DATEDIF('Loan Tape (S&amp;P)'!K6046, TODAY(), "M")&lt;18),
    1.10,
    1.00)</f>
        <v/>
      </c>
      <c r="O6046">
        <f>IF('Loan Tape (S&amp;P)'!T6046="Yes",
    1.35,
    1.00)</f>
        <v/>
      </c>
      <c r="P6046">
        <f>IF('Loan Tape (S&amp;P)'!S6046="Yes",
    1.15,
    1.00)</f>
        <v/>
      </c>
      <c r="Q6046">
        <f>IF('Loan Tape (S&amp;P)'!V6046="Yes",
    1.20,
    1.00)</f>
        <v/>
      </c>
      <c r="T6046">
        <f>LET(
    payment_method,'Loan Tape (S&amp;P)'!P6046,
    occupancy,'Loan Tape (S&amp;P)'!N6046,
    maturity_date,'Loan Tape (S&amp;P)'!L6046,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47">
      <c r="J6047">
        <f>LET(
    lien,'Loan Tape (S&amp;P)'!Q6047,
    IF(lien="First",1.00,
        IF(lien="Second",1.50,
            1.70)))</f>
        <v/>
      </c>
      <c r="K6047">
        <f>LET(
    purpose,'Loan Tape (S&amp;P)'!R6047,
    IF(purpose="Purchase",1.00,
        IF(purpose="Remortgage",1.00,
            1.20)))</f>
        <v/>
      </c>
      <c r="L6047">
        <f>LET(
    arrears_months,'Loan Tape (S&amp;P)'!AN6047,
    IF(arrears_months=0,1.00,
    IF(arrears_months=1,3.00,
    IF(arrears_months=2,5.00,
    IF(arrears_months=3,8.00,
    IF(arrears_months=4,10.00,
    IF(arrears_months=5,12.00,15.00)))))))</f>
        <v/>
      </c>
      <c r="M6047">
        <f>LET(
    seasoning_years,DATEDIF('Loan Tape (S&amp;P)'!K6047,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47">
        <f>IF(AND('Loan Tape (S&amp;P)'!U6047="Yes",
        'Loan Tape (S&amp;P)'!T6047&lt;&gt;"Yes",
        DATEDIF('Loan Tape (S&amp;P)'!K6047, TODAY(), "M")&lt;18),
    1.10,
    1.00)</f>
        <v/>
      </c>
      <c r="O6047">
        <f>IF('Loan Tape (S&amp;P)'!T6047="Yes",
    1.35,
    1.00)</f>
        <v/>
      </c>
      <c r="P6047">
        <f>IF('Loan Tape (S&amp;P)'!S6047="Yes",
    1.15,
    1.00)</f>
        <v/>
      </c>
      <c r="Q6047">
        <f>IF('Loan Tape (S&amp;P)'!V6047="Yes",
    1.20,
    1.00)</f>
        <v/>
      </c>
      <c r="T6047">
        <f>LET(
    payment_method,'Loan Tape (S&amp;P)'!P6047,
    occupancy,'Loan Tape (S&amp;P)'!N6047,
    maturity_date,'Loan Tape (S&amp;P)'!L6047,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48">
      <c r="J6048">
        <f>LET(
    lien,'Loan Tape (S&amp;P)'!Q6048,
    IF(lien="First",1.00,
        IF(lien="Second",1.50,
            1.70)))</f>
        <v/>
      </c>
      <c r="K6048">
        <f>LET(
    purpose,'Loan Tape (S&amp;P)'!R6048,
    IF(purpose="Purchase",1.00,
        IF(purpose="Remortgage",1.00,
            1.20)))</f>
        <v/>
      </c>
      <c r="L6048">
        <f>LET(
    arrears_months,'Loan Tape (S&amp;P)'!AN6048,
    IF(arrears_months=0,1.00,
    IF(arrears_months=1,3.00,
    IF(arrears_months=2,5.00,
    IF(arrears_months=3,8.00,
    IF(arrears_months=4,10.00,
    IF(arrears_months=5,12.00,15.00)))))))</f>
        <v/>
      </c>
      <c r="M6048">
        <f>LET(
    seasoning_years,DATEDIF('Loan Tape (S&amp;P)'!K6048,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48">
        <f>IF(AND('Loan Tape (S&amp;P)'!U6048="Yes",
        'Loan Tape (S&amp;P)'!T6048&lt;&gt;"Yes",
        DATEDIF('Loan Tape (S&amp;P)'!K6048, TODAY(), "M")&lt;18),
    1.10,
    1.00)</f>
        <v/>
      </c>
      <c r="O6048">
        <f>IF('Loan Tape (S&amp;P)'!T6048="Yes",
    1.35,
    1.00)</f>
        <v/>
      </c>
      <c r="P6048">
        <f>IF('Loan Tape (S&amp;P)'!S6048="Yes",
    1.15,
    1.00)</f>
        <v/>
      </c>
      <c r="Q6048">
        <f>IF('Loan Tape (S&amp;P)'!V6048="Yes",
    1.20,
    1.00)</f>
        <v/>
      </c>
      <c r="T6048">
        <f>LET(
    payment_method,'Loan Tape (S&amp;P)'!P6048,
    occupancy,'Loan Tape (S&amp;P)'!N6048,
    maturity_date,'Loan Tape (S&amp;P)'!L6048,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49">
      <c r="J6049">
        <f>LET(
    lien,'Loan Tape (S&amp;P)'!Q6049,
    IF(lien="First",1.00,
        IF(lien="Second",1.50,
            1.70)))</f>
        <v/>
      </c>
      <c r="K6049">
        <f>LET(
    purpose,'Loan Tape (S&amp;P)'!R6049,
    IF(purpose="Purchase",1.00,
        IF(purpose="Remortgage",1.00,
            1.20)))</f>
        <v/>
      </c>
      <c r="L6049">
        <f>LET(
    arrears_months,'Loan Tape (S&amp;P)'!AN6049,
    IF(arrears_months=0,1.00,
    IF(arrears_months=1,3.00,
    IF(arrears_months=2,5.00,
    IF(arrears_months=3,8.00,
    IF(arrears_months=4,10.00,
    IF(arrears_months=5,12.00,15.00)))))))</f>
        <v/>
      </c>
      <c r="M6049">
        <f>LET(
    seasoning_years,DATEDIF('Loan Tape (S&amp;P)'!K6049,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49">
        <f>IF(AND('Loan Tape (S&amp;P)'!U6049="Yes",
        'Loan Tape (S&amp;P)'!T6049&lt;&gt;"Yes",
        DATEDIF('Loan Tape (S&amp;P)'!K6049, TODAY(), "M")&lt;18),
    1.10,
    1.00)</f>
        <v/>
      </c>
      <c r="O6049">
        <f>IF('Loan Tape (S&amp;P)'!T6049="Yes",
    1.35,
    1.00)</f>
        <v/>
      </c>
      <c r="P6049">
        <f>IF('Loan Tape (S&amp;P)'!S6049="Yes",
    1.15,
    1.00)</f>
        <v/>
      </c>
      <c r="Q6049">
        <f>IF('Loan Tape (S&amp;P)'!V6049="Yes",
    1.20,
    1.00)</f>
        <v/>
      </c>
      <c r="T6049">
        <f>LET(
    payment_method,'Loan Tape (S&amp;P)'!P6049,
    occupancy,'Loan Tape (S&amp;P)'!N6049,
    maturity_date,'Loan Tape (S&amp;P)'!L6049,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50">
      <c r="J6050">
        <f>LET(
    lien,'Loan Tape (S&amp;P)'!Q6050,
    IF(lien="First",1.00,
        IF(lien="Second",1.50,
            1.70)))</f>
        <v/>
      </c>
      <c r="K6050">
        <f>LET(
    purpose,'Loan Tape (S&amp;P)'!R6050,
    IF(purpose="Purchase",1.00,
        IF(purpose="Remortgage",1.00,
            1.20)))</f>
        <v/>
      </c>
      <c r="L6050">
        <f>LET(
    arrears_months,'Loan Tape (S&amp;P)'!AN6050,
    IF(arrears_months=0,1.00,
    IF(arrears_months=1,3.00,
    IF(arrears_months=2,5.00,
    IF(arrears_months=3,8.00,
    IF(arrears_months=4,10.00,
    IF(arrears_months=5,12.00,15.00)))))))</f>
        <v/>
      </c>
      <c r="M6050">
        <f>LET(
    seasoning_years,DATEDIF('Loan Tape (S&amp;P)'!K6050,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50">
        <f>IF(AND('Loan Tape (S&amp;P)'!U6050="Yes",
        'Loan Tape (S&amp;P)'!T6050&lt;&gt;"Yes",
        DATEDIF('Loan Tape (S&amp;P)'!K6050, TODAY(), "M")&lt;18),
    1.10,
    1.00)</f>
        <v/>
      </c>
      <c r="O6050">
        <f>IF('Loan Tape (S&amp;P)'!T6050="Yes",
    1.35,
    1.00)</f>
        <v/>
      </c>
      <c r="P6050">
        <f>IF('Loan Tape (S&amp;P)'!S6050="Yes",
    1.15,
    1.00)</f>
        <v/>
      </c>
      <c r="Q6050">
        <f>IF('Loan Tape (S&amp;P)'!V6050="Yes",
    1.20,
    1.00)</f>
        <v/>
      </c>
      <c r="T6050">
        <f>LET(
    payment_method,'Loan Tape (S&amp;P)'!P6050,
    occupancy,'Loan Tape (S&amp;P)'!N6050,
    maturity_date,'Loan Tape (S&amp;P)'!L6050,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51">
      <c r="J6051">
        <f>LET(
    lien,'Loan Tape (S&amp;P)'!Q6051,
    IF(lien="First",1.00,
        IF(lien="Second",1.50,
            1.70)))</f>
        <v/>
      </c>
      <c r="K6051">
        <f>LET(
    purpose,'Loan Tape (S&amp;P)'!R6051,
    IF(purpose="Purchase",1.00,
        IF(purpose="Remortgage",1.00,
            1.20)))</f>
        <v/>
      </c>
      <c r="L6051">
        <f>LET(
    arrears_months,'Loan Tape (S&amp;P)'!AN6051,
    IF(arrears_months=0,1.00,
    IF(arrears_months=1,3.00,
    IF(arrears_months=2,5.00,
    IF(arrears_months=3,8.00,
    IF(arrears_months=4,10.00,
    IF(arrears_months=5,12.00,15.00)))))))</f>
        <v/>
      </c>
      <c r="M6051">
        <f>LET(
    seasoning_years,DATEDIF('Loan Tape (S&amp;P)'!K6051,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51">
        <f>IF(AND('Loan Tape (S&amp;P)'!U6051="Yes",
        'Loan Tape (S&amp;P)'!T6051&lt;&gt;"Yes",
        DATEDIF('Loan Tape (S&amp;P)'!K6051, TODAY(), "M")&lt;18),
    1.10,
    1.00)</f>
        <v/>
      </c>
      <c r="O6051">
        <f>IF('Loan Tape (S&amp;P)'!T6051="Yes",
    1.35,
    1.00)</f>
        <v/>
      </c>
      <c r="P6051">
        <f>IF('Loan Tape (S&amp;P)'!S6051="Yes",
    1.15,
    1.00)</f>
        <v/>
      </c>
      <c r="Q6051">
        <f>IF('Loan Tape (S&amp;P)'!V6051="Yes",
    1.20,
    1.00)</f>
        <v/>
      </c>
      <c r="T6051">
        <f>LET(
    payment_method,'Loan Tape (S&amp;P)'!P6051,
    occupancy,'Loan Tape (S&amp;P)'!N6051,
    maturity_date,'Loan Tape (S&amp;P)'!L6051,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52">
      <c r="J6052">
        <f>LET(
    lien,'Loan Tape (S&amp;P)'!Q6052,
    IF(lien="First",1.00,
        IF(lien="Second",1.50,
            1.70)))</f>
        <v/>
      </c>
      <c r="K6052">
        <f>LET(
    purpose,'Loan Tape (S&amp;P)'!R6052,
    IF(purpose="Purchase",1.00,
        IF(purpose="Remortgage",1.00,
            1.20)))</f>
        <v/>
      </c>
      <c r="L6052">
        <f>LET(
    arrears_months,'Loan Tape (S&amp;P)'!AN6052,
    IF(arrears_months=0,1.00,
    IF(arrears_months=1,3.00,
    IF(arrears_months=2,5.00,
    IF(arrears_months=3,8.00,
    IF(arrears_months=4,10.00,
    IF(arrears_months=5,12.00,15.00)))))))</f>
        <v/>
      </c>
      <c r="M6052">
        <f>LET(
    seasoning_years,DATEDIF('Loan Tape (S&amp;P)'!K6052,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52">
        <f>IF(AND('Loan Tape (S&amp;P)'!U6052="Yes",
        'Loan Tape (S&amp;P)'!T6052&lt;&gt;"Yes",
        DATEDIF('Loan Tape (S&amp;P)'!K6052, TODAY(), "M")&lt;18),
    1.10,
    1.00)</f>
        <v/>
      </c>
      <c r="O6052">
        <f>IF('Loan Tape (S&amp;P)'!T6052="Yes",
    1.35,
    1.00)</f>
        <v/>
      </c>
      <c r="P6052">
        <f>IF('Loan Tape (S&amp;P)'!S6052="Yes",
    1.15,
    1.00)</f>
        <v/>
      </c>
      <c r="Q6052">
        <f>IF('Loan Tape (S&amp;P)'!V6052="Yes",
    1.20,
    1.00)</f>
        <v/>
      </c>
      <c r="T6052">
        <f>LET(
    payment_method,'Loan Tape (S&amp;P)'!P6052,
    occupancy,'Loan Tape (S&amp;P)'!N6052,
    maturity_date,'Loan Tape (S&amp;P)'!L6052,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53">
      <c r="J6053">
        <f>LET(
    lien,'Loan Tape (S&amp;P)'!Q6053,
    IF(lien="First",1.00,
        IF(lien="Second",1.50,
            1.70)))</f>
        <v/>
      </c>
      <c r="K6053">
        <f>LET(
    purpose,'Loan Tape (S&amp;P)'!R6053,
    IF(purpose="Purchase",1.00,
        IF(purpose="Remortgage",1.00,
            1.20)))</f>
        <v/>
      </c>
      <c r="L6053">
        <f>LET(
    arrears_months,'Loan Tape (S&amp;P)'!AN6053,
    IF(arrears_months=0,1.00,
    IF(arrears_months=1,3.00,
    IF(arrears_months=2,5.00,
    IF(arrears_months=3,8.00,
    IF(arrears_months=4,10.00,
    IF(arrears_months=5,12.00,15.00)))))))</f>
        <v/>
      </c>
      <c r="M6053">
        <f>LET(
    seasoning_years,DATEDIF('Loan Tape (S&amp;P)'!K6053,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53">
        <f>IF(AND('Loan Tape (S&amp;P)'!U6053="Yes",
        'Loan Tape (S&amp;P)'!T6053&lt;&gt;"Yes",
        DATEDIF('Loan Tape (S&amp;P)'!K6053, TODAY(), "M")&lt;18),
    1.10,
    1.00)</f>
        <v/>
      </c>
      <c r="O6053">
        <f>IF('Loan Tape (S&amp;P)'!T6053="Yes",
    1.35,
    1.00)</f>
        <v/>
      </c>
      <c r="P6053">
        <f>IF('Loan Tape (S&amp;P)'!S6053="Yes",
    1.15,
    1.00)</f>
        <v/>
      </c>
      <c r="Q6053">
        <f>IF('Loan Tape (S&amp;P)'!V6053="Yes",
    1.20,
    1.00)</f>
        <v/>
      </c>
      <c r="T6053">
        <f>LET(
    payment_method,'Loan Tape (S&amp;P)'!P6053,
    occupancy,'Loan Tape (S&amp;P)'!N6053,
    maturity_date,'Loan Tape (S&amp;P)'!L6053,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54">
      <c r="J6054">
        <f>LET(
    lien,'Loan Tape (S&amp;P)'!Q6054,
    IF(lien="First",1.00,
        IF(lien="Second",1.50,
            1.70)))</f>
        <v/>
      </c>
      <c r="K6054">
        <f>LET(
    purpose,'Loan Tape (S&amp;P)'!R6054,
    IF(purpose="Purchase",1.00,
        IF(purpose="Remortgage",1.00,
            1.20)))</f>
        <v/>
      </c>
      <c r="L6054">
        <f>LET(
    arrears_months,'Loan Tape (S&amp;P)'!AN6054,
    IF(arrears_months=0,1.00,
    IF(arrears_months=1,3.00,
    IF(arrears_months=2,5.00,
    IF(arrears_months=3,8.00,
    IF(arrears_months=4,10.00,
    IF(arrears_months=5,12.00,15.00)))))))</f>
        <v/>
      </c>
      <c r="M6054">
        <f>LET(
    seasoning_years,DATEDIF('Loan Tape (S&amp;P)'!K6054,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54">
        <f>IF(AND('Loan Tape (S&amp;P)'!U6054="Yes",
        'Loan Tape (S&amp;P)'!T6054&lt;&gt;"Yes",
        DATEDIF('Loan Tape (S&amp;P)'!K6054, TODAY(), "M")&lt;18),
    1.10,
    1.00)</f>
        <v/>
      </c>
      <c r="O6054">
        <f>IF('Loan Tape (S&amp;P)'!T6054="Yes",
    1.35,
    1.00)</f>
        <v/>
      </c>
      <c r="P6054">
        <f>IF('Loan Tape (S&amp;P)'!S6054="Yes",
    1.15,
    1.00)</f>
        <v/>
      </c>
      <c r="Q6054">
        <f>IF('Loan Tape (S&amp;P)'!V6054="Yes",
    1.20,
    1.00)</f>
        <v/>
      </c>
      <c r="T6054">
        <f>LET(
    payment_method,'Loan Tape (S&amp;P)'!P6054,
    occupancy,'Loan Tape (S&amp;P)'!N6054,
    maturity_date,'Loan Tape (S&amp;P)'!L6054,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55">
      <c r="J6055">
        <f>LET(
    lien,'Loan Tape (S&amp;P)'!Q6055,
    IF(lien="First",1.00,
        IF(lien="Second",1.50,
            1.70)))</f>
        <v/>
      </c>
      <c r="K6055">
        <f>LET(
    purpose,'Loan Tape (S&amp;P)'!R6055,
    IF(purpose="Purchase",1.00,
        IF(purpose="Remortgage",1.00,
            1.20)))</f>
        <v/>
      </c>
      <c r="L6055">
        <f>LET(
    arrears_months,'Loan Tape (S&amp;P)'!AN6055,
    IF(arrears_months=0,1.00,
    IF(arrears_months=1,3.00,
    IF(arrears_months=2,5.00,
    IF(arrears_months=3,8.00,
    IF(arrears_months=4,10.00,
    IF(arrears_months=5,12.00,15.00)))))))</f>
        <v/>
      </c>
      <c r="M6055">
        <f>LET(
    seasoning_years,DATEDIF('Loan Tape (S&amp;P)'!K6055,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55">
        <f>IF(AND('Loan Tape (S&amp;P)'!U6055="Yes",
        'Loan Tape (S&amp;P)'!T6055&lt;&gt;"Yes",
        DATEDIF('Loan Tape (S&amp;P)'!K6055, TODAY(), "M")&lt;18),
    1.10,
    1.00)</f>
        <v/>
      </c>
      <c r="O6055">
        <f>IF('Loan Tape (S&amp;P)'!T6055="Yes",
    1.35,
    1.00)</f>
        <v/>
      </c>
      <c r="P6055">
        <f>IF('Loan Tape (S&amp;P)'!S6055="Yes",
    1.15,
    1.00)</f>
        <v/>
      </c>
      <c r="Q6055">
        <f>IF('Loan Tape (S&amp;P)'!V6055="Yes",
    1.20,
    1.00)</f>
        <v/>
      </c>
      <c r="T6055">
        <f>LET(
    payment_method,'Loan Tape (S&amp;P)'!P6055,
    occupancy,'Loan Tape (S&amp;P)'!N6055,
    maturity_date,'Loan Tape (S&amp;P)'!L6055,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56">
      <c r="J6056">
        <f>LET(
    lien,'Loan Tape (S&amp;P)'!Q6056,
    IF(lien="First",1.00,
        IF(lien="Second",1.50,
            1.70)))</f>
        <v/>
      </c>
      <c r="K6056">
        <f>LET(
    purpose,'Loan Tape (S&amp;P)'!R6056,
    IF(purpose="Purchase",1.00,
        IF(purpose="Remortgage",1.00,
            1.20)))</f>
        <v/>
      </c>
      <c r="L6056">
        <f>LET(
    arrears_months,'Loan Tape (S&amp;P)'!AN6056,
    IF(arrears_months=0,1.00,
    IF(arrears_months=1,3.00,
    IF(arrears_months=2,5.00,
    IF(arrears_months=3,8.00,
    IF(arrears_months=4,10.00,
    IF(arrears_months=5,12.00,15.00)))))))</f>
        <v/>
      </c>
      <c r="M6056">
        <f>LET(
    seasoning_years,DATEDIF('Loan Tape (S&amp;P)'!K6056,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56">
        <f>IF(AND('Loan Tape (S&amp;P)'!U6056="Yes",
        'Loan Tape (S&amp;P)'!T6056&lt;&gt;"Yes",
        DATEDIF('Loan Tape (S&amp;P)'!K6056, TODAY(), "M")&lt;18),
    1.10,
    1.00)</f>
        <v/>
      </c>
      <c r="O6056">
        <f>IF('Loan Tape (S&amp;P)'!T6056="Yes",
    1.35,
    1.00)</f>
        <v/>
      </c>
      <c r="P6056">
        <f>IF('Loan Tape (S&amp;P)'!S6056="Yes",
    1.15,
    1.00)</f>
        <v/>
      </c>
      <c r="Q6056">
        <f>IF('Loan Tape (S&amp;P)'!V6056="Yes",
    1.20,
    1.00)</f>
        <v/>
      </c>
      <c r="T6056">
        <f>LET(
    payment_method,'Loan Tape (S&amp;P)'!P6056,
    occupancy,'Loan Tape (S&amp;P)'!N6056,
    maturity_date,'Loan Tape (S&amp;P)'!L6056,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57">
      <c r="J6057">
        <f>LET(
    lien,'Loan Tape (S&amp;P)'!Q6057,
    IF(lien="First",1.00,
        IF(lien="Second",1.50,
            1.70)))</f>
        <v/>
      </c>
      <c r="K6057">
        <f>LET(
    purpose,'Loan Tape (S&amp;P)'!R6057,
    IF(purpose="Purchase",1.00,
        IF(purpose="Remortgage",1.00,
            1.20)))</f>
        <v/>
      </c>
      <c r="L6057">
        <f>LET(
    arrears_months,'Loan Tape (S&amp;P)'!AN6057,
    IF(arrears_months=0,1.00,
    IF(arrears_months=1,3.00,
    IF(arrears_months=2,5.00,
    IF(arrears_months=3,8.00,
    IF(arrears_months=4,10.00,
    IF(arrears_months=5,12.00,15.00)))))))</f>
        <v/>
      </c>
      <c r="M6057">
        <f>LET(
    seasoning_years,DATEDIF('Loan Tape (S&amp;P)'!K6057,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57">
        <f>IF(AND('Loan Tape (S&amp;P)'!U6057="Yes",
        'Loan Tape (S&amp;P)'!T6057&lt;&gt;"Yes",
        DATEDIF('Loan Tape (S&amp;P)'!K6057, TODAY(), "M")&lt;18),
    1.10,
    1.00)</f>
        <v/>
      </c>
      <c r="O6057">
        <f>IF('Loan Tape (S&amp;P)'!T6057="Yes",
    1.35,
    1.00)</f>
        <v/>
      </c>
      <c r="P6057">
        <f>IF('Loan Tape (S&amp;P)'!S6057="Yes",
    1.15,
    1.00)</f>
        <v/>
      </c>
      <c r="Q6057">
        <f>IF('Loan Tape (S&amp;P)'!V6057="Yes",
    1.20,
    1.00)</f>
        <v/>
      </c>
      <c r="T6057">
        <f>LET(
    payment_method,'Loan Tape (S&amp;P)'!P6057,
    occupancy,'Loan Tape (S&amp;P)'!N6057,
    maturity_date,'Loan Tape (S&amp;P)'!L6057,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58">
      <c r="J6058">
        <f>LET(
    lien,'Loan Tape (S&amp;P)'!Q6058,
    IF(lien="First",1.00,
        IF(lien="Second",1.50,
            1.70)))</f>
        <v/>
      </c>
      <c r="K6058">
        <f>LET(
    purpose,'Loan Tape (S&amp;P)'!R6058,
    IF(purpose="Purchase",1.00,
        IF(purpose="Remortgage",1.00,
            1.20)))</f>
        <v/>
      </c>
      <c r="L6058">
        <f>LET(
    arrears_months,'Loan Tape (S&amp;P)'!AN6058,
    IF(arrears_months=0,1.00,
    IF(arrears_months=1,3.00,
    IF(arrears_months=2,5.00,
    IF(arrears_months=3,8.00,
    IF(arrears_months=4,10.00,
    IF(arrears_months=5,12.00,15.00)))))))</f>
        <v/>
      </c>
      <c r="M6058">
        <f>LET(
    seasoning_years,DATEDIF('Loan Tape (S&amp;P)'!K6058,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58">
        <f>IF(AND('Loan Tape (S&amp;P)'!U6058="Yes",
        'Loan Tape (S&amp;P)'!T6058&lt;&gt;"Yes",
        DATEDIF('Loan Tape (S&amp;P)'!K6058, TODAY(), "M")&lt;18),
    1.10,
    1.00)</f>
        <v/>
      </c>
      <c r="O6058">
        <f>IF('Loan Tape (S&amp;P)'!T6058="Yes",
    1.35,
    1.00)</f>
        <v/>
      </c>
      <c r="P6058">
        <f>IF('Loan Tape (S&amp;P)'!S6058="Yes",
    1.15,
    1.00)</f>
        <v/>
      </c>
      <c r="Q6058">
        <f>IF('Loan Tape (S&amp;P)'!V6058="Yes",
    1.20,
    1.00)</f>
        <v/>
      </c>
      <c r="T6058">
        <f>LET(
    payment_method,'Loan Tape (S&amp;P)'!P6058,
    occupancy,'Loan Tape (S&amp;P)'!N6058,
    maturity_date,'Loan Tape (S&amp;P)'!L6058,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59">
      <c r="J6059">
        <f>LET(
    lien,'Loan Tape (S&amp;P)'!Q6059,
    IF(lien="First",1.00,
        IF(lien="Second",1.50,
            1.70)))</f>
        <v/>
      </c>
      <c r="K6059">
        <f>LET(
    purpose,'Loan Tape (S&amp;P)'!R6059,
    IF(purpose="Purchase",1.00,
        IF(purpose="Remortgage",1.00,
            1.20)))</f>
        <v/>
      </c>
      <c r="L6059">
        <f>LET(
    arrears_months,'Loan Tape (S&amp;P)'!AN6059,
    IF(arrears_months=0,1.00,
    IF(arrears_months=1,3.00,
    IF(arrears_months=2,5.00,
    IF(arrears_months=3,8.00,
    IF(arrears_months=4,10.00,
    IF(arrears_months=5,12.00,15.00)))))))</f>
        <v/>
      </c>
      <c r="M6059">
        <f>LET(
    seasoning_years,DATEDIF('Loan Tape (S&amp;P)'!K6059,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59">
        <f>IF(AND('Loan Tape (S&amp;P)'!U6059="Yes",
        'Loan Tape (S&amp;P)'!T6059&lt;&gt;"Yes",
        DATEDIF('Loan Tape (S&amp;P)'!K6059, TODAY(), "M")&lt;18),
    1.10,
    1.00)</f>
        <v/>
      </c>
      <c r="O6059">
        <f>IF('Loan Tape (S&amp;P)'!T6059="Yes",
    1.35,
    1.00)</f>
        <v/>
      </c>
      <c r="P6059">
        <f>IF('Loan Tape (S&amp;P)'!S6059="Yes",
    1.15,
    1.00)</f>
        <v/>
      </c>
      <c r="Q6059">
        <f>IF('Loan Tape (S&amp;P)'!V6059="Yes",
    1.20,
    1.00)</f>
        <v/>
      </c>
      <c r="T6059">
        <f>LET(
    payment_method,'Loan Tape (S&amp;P)'!P6059,
    occupancy,'Loan Tape (S&amp;P)'!N6059,
    maturity_date,'Loan Tape (S&amp;P)'!L6059,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60">
      <c r="J6060">
        <f>LET(
    lien,'Loan Tape (S&amp;P)'!Q6060,
    IF(lien="First",1.00,
        IF(lien="Second",1.50,
            1.70)))</f>
        <v/>
      </c>
      <c r="K6060">
        <f>LET(
    purpose,'Loan Tape (S&amp;P)'!R6060,
    IF(purpose="Purchase",1.00,
        IF(purpose="Remortgage",1.00,
            1.20)))</f>
        <v/>
      </c>
      <c r="L6060">
        <f>LET(
    arrears_months,'Loan Tape (S&amp;P)'!AN6060,
    IF(arrears_months=0,1.00,
    IF(arrears_months=1,3.00,
    IF(arrears_months=2,5.00,
    IF(arrears_months=3,8.00,
    IF(arrears_months=4,10.00,
    IF(arrears_months=5,12.00,15.00)))))))</f>
        <v/>
      </c>
      <c r="M6060">
        <f>LET(
    seasoning_years,DATEDIF('Loan Tape (S&amp;P)'!K6060,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60">
        <f>IF(AND('Loan Tape (S&amp;P)'!U6060="Yes",
        'Loan Tape (S&amp;P)'!T6060&lt;&gt;"Yes",
        DATEDIF('Loan Tape (S&amp;P)'!K6060, TODAY(), "M")&lt;18),
    1.10,
    1.00)</f>
        <v/>
      </c>
      <c r="O6060">
        <f>IF('Loan Tape (S&amp;P)'!T6060="Yes",
    1.35,
    1.00)</f>
        <v/>
      </c>
      <c r="P6060">
        <f>IF('Loan Tape (S&amp;P)'!S6060="Yes",
    1.15,
    1.00)</f>
        <v/>
      </c>
      <c r="Q6060">
        <f>IF('Loan Tape (S&amp;P)'!V6060="Yes",
    1.20,
    1.00)</f>
        <v/>
      </c>
      <c r="T6060">
        <f>LET(
    payment_method,'Loan Tape (S&amp;P)'!P6060,
    occupancy,'Loan Tape (S&amp;P)'!N6060,
    maturity_date,'Loan Tape (S&amp;P)'!L6060,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61">
      <c r="J6061">
        <f>LET(
    lien,'Loan Tape (S&amp;P)'!Q6061,
    IF(lien="First",1.00,
        IF(lien="Second",1.50,
            1.70)))</f>
        <v/>
      </c>
      <c r="K6061">
        <f>LET(
    purpose,'Loan Tape (S&amp;P)'!R6061,
    IF(purpose="Purchase",1.00,
        IF(purpose="Remortgage",1.00,
            1.20)))</f>
        <v/>
      </c>
      <c r="L6061">
        <f>LET(
    arrears_months,'Loan Tape (S&amp;P)'!AN6061,
    IF(arrears_months=0,1.00,
    IF(arrears_months=1,3.00,
    IF(arrears_months=2,5.00,
    IF(arrears_months=3,8.00,
    IF(arrears_months=4,10.00,
    IF(arrears_months=5,12.00,15.00)))))))</f>
        <v/>
      </c>
      <c r="M6061">
        <f>LET(
    seasoning_years,DATEDIF('Loan Tape (S&amp;P)'!K6061,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61">
        <f>IF(AND('Loan Tape (S&amp;P)'!U6061="Yes",
        'Loan Tape (S&amp;P)'!T6061&lt;&gt;"Yes",
        DATEDIF('Loan Tape (S&amp;P)'!K6061, TODAY(), "M")&lt;18),
    1.10,
    1.00)</f>
        <v/>
      </c>
      <c r="O6061">
        <f>IF('Loan Tape (S&amp;P)'!T6061="Yes",
    1.35,
    1.00)</f>
        <v/>
      </c>
      <c r="P6061">
        <f>IF('Loan Tape (S&amp;P)'!S6061="Yes",
    1.15,
    1.00)</f>
        <v/>
      </c>
      <c r="Q6061">
        <f>IF('Loan Tape (S&amp;P)'!V6061="Yes",
    1.20,
    1.00)</f>
        <v/>
      </c>
      <c r="T6061">
        <f>LET(
    payment_method,'Loan Tape (S&amp;P)'!P6061,
    occupancy,'Loan Tape (S&amp;P)'!N6061,
    maturity_date,'Loan Tape (S&amp;P)'!L6061,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62">
      <c r="J6062">
        <f>LET(
    lien,'Loan Tape (S&amp;P)'!Q6062,
    IF(lien="First",1.00,
        IF(lien="Second",1.50,
            1.70)))</f>
        <v/>
      </c>
      <c r="K6062">
        <f>LET(
    purpose,'Loan Tape (S&amp;P)'!R6062,
    IF(purpose="Purchase",1.00,
        IF(purpose="Remortgage",1.00,
            1.20)))</f>
        <v/>
      </c>
      <c r="L6062">
        <f>LET(
    arrears_months,'Loan Tape (S&amp;P)'!AN6062,
    IF(arrears_months=0,1.00,
    IF(arrears_months=1,3.00,
    IF(arrears_months=2,5.00,
    IF(arrears_months=3,8.00,
    IF(arrears_months=4,10.00,
    IF(arrears_months=5,12.00,15.00)))))))</f>
        <v/>
      </c>
      <c r="M6062">
        <f>LET(
    seasoning_years,DATEDIF('Loan Tape (S&amp;P)'!K6062,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62">
        <f>IF(AND('Loan Tape (S&amp;P)'!U6062="Yes",
        'Loan Tape (S&amp;P)'!T6062&lt;&gt;"Yes",
        DATEDIF('Loan Tape (S&amp;P)'!K6062, TODAY(), "M")&lt;18),
    1.10,
    1.00)</f>
        <v/>
      </c>
      <c r="O6062">
        <f>IF('Loan Tape (S&amp;P)'!T6062="Yes",
    1.35,
    1.00)</f>
        <v/>
      </c>
      <c r="P6062">
        <f>IF('Loan Tape (S&amp;P)'!S6062="Yes",
    1.15,
    1.00)</f>
        <v/>
      </c>
      <c r="Q6062">
        <f>IF('Loan Tape (S&amp;P)'!V6062="Yes",
    1.20,
    1.00)</f>
        <v/>
      </c>
      <c r="T6062">
        <f>LET(
    payment_method,'Loan Tape (S&amp;P)'!P6062,
    occupancy,'Loan Tape (S&amp;P)'!N6062,
    maturity_date,'Loan Tape (S&amp;P)'!L6062,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63">
      <c r="J6063">
        <f>LET(
    lien,'Loan Tape (S&amp;P)'!Q6063,
    IF(lien="First",1.00,
        IF(lien="Second",1.50,
            1.70)))</f>
        <v/>
      </c>
      <c r="K6063">
        <f>LET(
    purpose,'Loan Tape (S&amp;P)'!R6063,
    IF(purpose="Purchase",1.00,
        IF(purpose="Remortgage",1.00,
            1.20)))</f>
        <v/>
      </c>
      <c r="L6063">
        <f>LET(
    arrears_months,'Loan Tape (S&amp;P)'!AN6063,
    IF(arrears_months=0,1.00,
    IF(arrears_months=1,3.00,
    IF(arrears_months=2,5.00,
    IF(arrears_months=3,8.00,
    IF(arrears_months=4,10.00,
    IF(arrears_months=5,12.00,15.00)))))))</f>
        <v/>
      </c>
      <c r="M6063">
        <f>LET(
    seasoning_years,DATEDIF('Loan Tape (S&amp;P)'!K6063,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63">
        <f>IF(AND('Loan Tape (S&amp;P)'!U6063="Yes",
        'Loan Tape (S&amp;P)'!T6063&lt;&gt;"Yes",
        DATEDIF('Loan Tape (S&amp;P)'!K6063, TODAY(), "M")&lt;18),
    1.10,
    1.00)</f>
        <v/>
      </c>
      <c r="O6063">
        <f>IF('Loan Tape (S&amp;P)'!T6063="Yes",
    1.35,
    1.00)</f>
        <v/>
      </c>
      <c r="P6063">
        <f>IF('Loan Tape (S&amp;P)'!S6063="Yes",
    1.15,
    1.00)</f>
        <v/>
      </c>
      <c r="Q6063">
        <f>IF('Loan Tape (S&amp;P)'!V6063="Yes",
    1.20,
    1.00)</f>
        <v/>
      </c>
      <c r="T6063">
        <f>LET(
    payment_method,'Loan Tape (S&amp;P)'!P6063,
    occupancy,'Loan Tape (S&amp;P)'!N6063,
    maturity_date,'Loan Tape (S&amp;P)'!L6063,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64">
      <c r="J6064">
        <f>LET(
    lien,'Loan Tape (S&amp;P)'!Q6064,
    IF(lien="First",1.00,
        IF(lien="Second",1.50,
            1.70)))</f>
        <v/>
      </c>
      <c r="K6064">
        <f>LET(
    purpose,'Loan Tape (S&amp;P)'!R6064,
    IF(purpose="Purchase",1.00,
        IF(purpose="Remortgage",1.00,
            1.20)))</f>
        <v/>
      </c>
      <c r="L6064">
        <f>LET(
    arrears_months,'Loan Tape (S&amp;P)'!AN6064,
    IF(arrears_months=0,1.00,
    IF(arrears_months=1,3.00,
    IF(arrears_months=2,5.00,
    IF(arrears_months=3,8.00,
    IF(arrears_months=4,10.00,
    IF(arrears_months=5,12.00,15.00)))))))</f>
        <v/>
      </c>
      <c r="M6064">
        <f>LET(
    seasoning_years,DATEDIF('Loan Tape (S&amp;P)'!K6064,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64">
        <f>IF(AND('Loan Tape (S&amp;P)'!U6064="Yes",
        'Loan Tape (S&amp;P)'!T6064&lt;&gt;"Yes",
        DATEDIF('Loan Tape (S&amp;P)'!K6064, TODAY(), "M")&lt;18),
    1.10,
    1.00)</f>
        <v/>
      </c>
      <c r="O6064">
        <f>IF('Loan Tape (S&amp;P)'!T6064="Yes",
    1.35,
    1.00)</f>
        <v/>
      </c>
      <c r="P6064">
        <f>IF('Loan Tape (S&amp;P)'!S6064="Yes",
    1.15,
    1.00)</f>
        <v/>
      </c>
      <c r="Q6064">
        <f>IF('Loan Tape (S&amp;P)'!V6064="Yes",
    1.20,
    1.00)</f>
        <v/>
      </c>
      <c r="T6064">
        <f>LET(
    payment_method,'Loan Tape (S&amp;P)'!P6064,
    occupancy,'Loan Tape (S&amp;P)'!N6064,
    maturity_date,'Loan Tape (S&amp;P)'!L6064,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65">
      <c r="J6065">
        <f>LET(
    lien,'Loan Tape (S&amp;P)'!Q6065,
    IF(lien="First",1.00,
        IF(lien="Second",1.50,
            1.70)))</f>
        <v/>
      </c>
      <c r="K6065">
        <f>LET(
    purpose,'Loan Tape (S&amp;P)'!R6065,
    IF(purpose="Purchase",1.00,
        IF(purpose="Remortgage",1.00,
            1.20)))</f>
        <v/>
      </c>
      <c r="L6065">
        <f>LET(
    arrears_months,'Loan Tape (S&amp;P)'!AN6065,
    IF(arrears_months=0,1.00,
    IF(arrears_months=1,3.00,
    IF(arrears_months=2,5.00,
    IF(arrears_months=3,8.00,
    IF(arrears_months=4,10.00,
    IF(arrears_months=5,12.00,15.00)))))))</f>
        <v/>
      </c>
      <c r="M6065">
        <f>LET(
    seasoning_years,DATEDIF('Loan Tape (S&amp;P)'!K6065,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65">
        <f>IF(AND('Loan Tape (S&amp;P)'!U6065="Yes",
        'Loan Tape (S&amp;P)'!T6065&lt;&gt;"Yes",
        DATEDIF('Loan Tape (S&amp;P)'!K6065, TODAY(), "M")&lt;18),
    1.10,
    1.00)</f>
        <v/>
      </c>
      <c r="O6065">
        <f>IF('Loan Tape (S&amp;P)'!T6065="Yes",
    1.35,
    1.00)</f>
        <v/>
      </c>
      <c r="P6065">
        <f>IF('Loan Tape (S&amp;P)'!S6065="Yes",
    1.15,
    1.00)</f>
        <v/>
      </c>
      <c r="Q6065">
        <f>IF('Loan Tape (S&amp;P)'!V6065="Yes",
    1.20,
    1.00)</f>
        <v/>
      </c>
      <c r="T6065">
        <f>LET(
    payment_method,'Loan Tape (S&amp;P)'!P6065,
    occupancy,'Loan Tape (S&amp;P)'!N6065,
    maturity_date,'Loan Tape (S&amp;P)'!L6065,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66">
      <c r="J6066">
        <f>LET(
    lien,'Loan Tape (S&amp;P)'!Q6066,
    IF(lien="First",1.00,
        IF(lien="Second",1.50,
            1.70)))</f>
        <v/>
      </c>
      <c r="K6066">
        <f>LET(
    purpose,'Loan Tape (S&amp;P)'!R6066,
    IF(purpose="Purchase",1.00,
        IF(purpose="Remortgage",1.00,
            1.20)))</f>
        <v/>
      </c>
      <c r="L6066">
        <f>LET(
    arrears_months,'Loan Tape (S&amp;P)'!AN6066,
    IF(arrears_months=0,1.00,
    IF(arrears_months=1,3.00,
    IF(arrears_months=2,5.00,
    IF(arrears_months=3,8.00,
    IF(arrears_months=4,10.00,
    IF(arrears_months=5,12.00,15.00)))))))</f>
        <v/>
      </c>
      <c r="M6066">
        <f>LET(
    seasoning_years,DATEDIF('Loan Tape (S&amp;P)'!K6066,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66">
        <f>IF(AND('Loan Tape (S&amp;P)'!U6066="Yes",
        'Loan Tape (S&amp;P)'!T6066&lt;&gt;"Yes",
        DATEDIF('Loan Tape (S&amp;P)'!K6066, TODAY(), "M")&lt;18),
    1.10,
    1.00)</f>
        <v/>
      </c>
      <c r="O6066">
        <f>IF('Loan Tape (S&amp;P)'!T6066="Yes",
    1.35,
    1.00)</f>
        <v/>
      </c>
      <c r="P6066">
        <f>IF('Loan Tape (S&amp;P)'!S6066="Yes",
    1.15,
    1.00)</f>
        <v/>
      </c>
      <c r="Q6066">
        <f>IF('Loan Tape (S&amp;P)'!V6066="Yes",
    1.20,
    1.00)</f>
        <v/>
      </c>
      <c r="T6066">
        <f>LET(
    payment_method,'Loan Tape (S&amp;P)'!P6066,
    occupancy,'Loan Tape (S&amp;P)'!N6066,
    maturity_date,'Loan Tape (S&amp;P)'!L6066,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67">
      <c r="J6067">
        <f>LET(
    lien,'Loan Tape (S&amp;P)'!Q6067,
    IF(lien="First",1.00,
        IF(lien="Second",1.50,
            1.70)))</f>
        <v/>
      </c>
      <c r="K6067">
        <f>LET(
    purpose,'Loan Tape (S&amp;P)'!R6067,
    IF(purpose="Purchase",1.00,
        IF(purpose="Remortgage",1.00,
            1.20)))</f>
        <v/>
      </c>
      <c r="L6067">
        <f>LET(
    arrears_months,'Loan Tape (S&amp;P)'!AN6067,
    IF(arrears_months=0,1.00,
    IF(arrears_months=1,3.00,
    IF(arrears_months=2,5.00,
    IF(arrears_months=3,8.00,
    IF(arrears_months=4,10.00,
    IF(arrears_months=5,12.00,15.00)))))))</f>
        <v/>
      </c>
      <c r="M6067">
        <f>LET(
    seasoning_years,DATEDIF('Loan Tape (S&amp;P)'!K6067,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67">
        <f>IF(AND('Loan Tape (S&amp;P)'!U6067="Yes",
        'Loan Tape (S&amp;P)'!T6067&lt;&gt;"Yes",
        DATEDIF('Loan Tape (S&amp;P)'!K6067, TODAY(), "M")&lt;18),
    1.10,
    1.00)</f>
        <v/>
      </c>
      <c r="O6067">
        <f>IF('Loan Tape (S&amp;P)'!T6067="Yes",
    1.35,
    1.00)</f>
        <v/>
      </c>
      <c r="P6067">
        <f>IF('Loan Tape (S&amp;P)'!S6067="Yes",
    1.15,
    1.00)</f>
        <v/>
      </c>
      <c r="Q6067">
        <f>IF('Loan Tape (S&amp;P)'!V6067="Yes",
    1.20,
    1.00)</f>
        <v/>
      </c>
      <c r="T6067">
        <f>LET(
    payment_method,'Loan Tape (S&amp;P)'!P6067,
    occupancy,'Loan Tape (S&amp;P)'!N6067,
    maturity_date,'Loan Tape (S&amp;P)'!L6067,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68">
      <c r="J6068">
        <f>LET(
    lien,'Loan Tape (S&amp;P)'!Q6068,
    IF(lien="First",1.00,
        IF(lien="Second",1.50,
            1.70)))</f>
        <v/>
      </c>
      <c r="K6068">
        <f>LET(
    purpose,'Loan Tape (S&amp;P)'!R6068,
    IF(purpose="Purchase",1.00,
        IF(purpose="Remortgage",1.00,
            1.20)))</f>
        <v/>
      </c>
      <c r="L6068">
        <f>LET(
    arrears_months,'Loan Tape (S&amp;P)'!AN6068,
    IF(arrears_months=0,1.00,
    IF(arrears_months=1,3.00,
    IF(arrears_months=2,5.00,
    IF(arrears_months=3,8.00,
    IF(arrears_months=4,10.00,
    IF(arrears_months=5,12.00,15.00)))))))</f>
        <v/>
      </c>
      <c r="M6068">
        <f>LET(
    seasoning_years,DATEDIF('Loan Tape (S&amp;P)'!K6068,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68">
        <f>IF(AND('Loan Tape (S&amp;P)'!U6068="Yes",
        'Loan Tape (S&amp;P)'!T6068&lt;&gt;"Yes",
        DATEDIF('Loan Tape (S&amp;P)'!K6068, TODAY(), "M")&lt;18),
    1.10,
    1.00)</f>
        <v/>
      </c>
      <c r="O6068">
        <f>IF('Loan Tape (S&amp;P)'!T6068="Yes",
    1.35,
    1.00)</f>
        <v/>
      </c>
      <c r="P6068">
        <f>IF('Loan Tape (S&amp;P)'!S6068="Yes",
    1.15,
    1.00)</f>
        <v/>
      </c>
      <c r="Q6068">
        <f>IF('Loan Tape (S&amp;P)'!V6068="Yes",
    1.20,
    1.00)</f>
        <v/>
      </c>
      <c r="T6068">
        <f>LET(
    payment_method,'Loan Tape (S&amp;P)'!P6068,
    occupancy,'Loan Tape (S&amp;P)'!N6068,
    maturity_date,'Loan Tape (S&amp;P)'!L6068,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69">
      <c r="J6069">
        <f>LET(
    lien,'Loan Tape (S&amp;P)'!Q6069,
    IF(lien="First",1.00,
        IF(lien="Second",1.50,
            1.70)))</f>
        <v/>
      </c>
      <c r="K6069">
        <f>LET(
    purpose,'Loan Tape (S&amp;P)'!R6069,
    IF(purpose="Purchase",1.00,
        IF(purpose="Remortgage",1.00,
            1.20)))</f>
        <v/>
      </c>
      <c r="L6069">
        <f>LET(
    arrears_months,'Loan Tape (S&amp;P)'!AN6069,
    IF(arrears_months=0,1.00,
    IF(arrears_months=1,3.00,
    IF(arrears_months=2,5.00,
    IF(arrears_months=3,8.00,
    IF(arrears_months=4,10.00,
    IF(arrears_months=5,12.00,15.00)))))))</f>
        <v/>
      </c>
      <c r="M6069">
        <f>LET(
    seasoning_years,DATEDIF('Loan Tape (S&amp;P)'!K6069,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69">
        <f>IF(AND('Loan Tape (S&amp;P)'!U6069="Yes",
        'Loan Tape (S&amp;P)'!T6069&lt;&gt;"Yes",
        DATEDIF('Loan Tape (S&amp;P)'!K6069, TODAY(), "M")&lt;18),
    1.10,
    1.00)</f>
        <v/>
      </c>
      <c r="O6069">
        <f>IF('Loan Tape (S&amp;P)'!T6069="Yes",
    1.35,
    1.00)</f>
        <v/>
      </c>
      <c r="P6069">
        <f>IF('Loan Tape (S&amp;P)'!S6069="Yes",
    1.15,
    1.00)</f>
        <v/>
      </c>
      <c r="Q6069">
        <f>IF('Loan Tape (S&amp;P)'!V6069="Yes",
    1.20,
    1.00)</f>
        <v/>
      </c>
      <c r="T6069">
        <f>LET(
    payment_method,'Loan Tape (S&amp;P)'!P6069,
    occupancy,'Loan Tape (S&amp;P)'!N6069,
    maturity_date,'Loan Tape (S&amp;P)'!L6069,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70">
      <c r="J6070">
        <f>LET(
    lien,'Loan Tape (S&amp;P)'!Q6070,
    IF(lien="First",1.00,
        IF(lien="Second",1.50,
            1.70)))</f>
        <v/>
      </c>
      <c r="K6070">
        <f>LET(
    purpose,'Loan Tape (S&amp;P)'!R6070,
    IF(purpose="Purchase",1.00,
        IF(purpose="Remortgage",1.00,
            1.20)))</f>
        <v/>
      </c>
      <c r="L6070">
        <f>LET(
    arrears_months,'Loan Tape (S&amp;P)'!AN6070,
    IF(arrears_months=0,1.00,
    IF(arrears_months=1,3.00,
    IF(arrears_months=2,5.00,
    IF(arrears_months=3,8.00,
    IF(arrears_months=4,10.00,
    IF(arrears_months=5,12.00,15.00)))))))</f>
        <v/>
      </c>
      <c r="M6070">
        <f>LET(
    seasoning_years,DATEDIF('Loan Tape (S&amp;P)'!K6070,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70">
        <f>IF(AND('Loan Tape (S&amp;P)'!U6070="Yes",
        'Loan Tape (S&amp;P)'!T6070&lt;&gt;"Yes",
        DATEDIF('Loan Tape (S&amp;P)'!K6070, TODAY(), "M")&lt;18),
    1.10,
    1.00)</f>
        <v/>
      </c>
      <c r="O6070">
        <f>IF('Loan Tape (S&amp;P)'!T6070="Yes",
    1.35,
    1.00)</f>
        <v/>
      </c>
      <c r="P6070">
        <f>IF('Loan Tape (S&amp;P)'!S6070="Yes",
    1.15,
    1.00)</f>
        <v/>
      </c>
      <c r="Q6070">
        <f>IF('Loan Tape (S&amp;P)'!V6070="Yes",
    1.20,
    1.00)</f>
        <v/>
      </c>
      <c r="T6070">
        <f>LET(
    payment_method,'Loan Tape (S&amp;P)'!P6070,
    occupancy,'Loan Tape (S&amp;P)'!N6070,
    maturity_date,'Loan Tape (S&amp;P)'!L6070,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71">
      <c r="J6071">
        <f>LET(
    lien,'Loan Tape (S&amp;P)'!Q6071,
    IF(lien="First",1.00,
        IF(lien="Second",1.50,
            1.70)))</f>
        <v/>
      </c>
      <c r="K6071">
        <f>LET(
    purpose,'Loan Tape (S&amp;P)'!R6071,
    IF(purpose="Purchase",1.00,
        IF(purpose="Remortgage",1.00,
            1.20)))</f>
        <v/>
      </c>
      <c r="L6071">
        <f>LET(
    arrears_months,'Loan Tape (S&amp;P)'!AN6071,
    IF(arrears_months=0,1.00,
    IF(arrears_months=1,3.00,
    IF(arrears_months=2,5.00,
    IF(arrears_months=3,8.00,
    IF(arrears_months=4,10.00,
    IF(arrears_months=5,12.00,15.00)))))))</f>
        <v/>
      </c>
      <c r="M6071">
        <f>LET(
    seasoning_years,DATEDIF('Loan Tape (S&amp;P)'!K6071,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71">
        <f>IF(AND('Loan Tape (S&amp;P)'!U6071="Yes",
        'Loan Tape (S&amp;P)'!T6071&lt;&gt;"Yes",
        DATEDIF('Loan Tape (S&amp;P)'!K6071, TODAY(), "M")&lt;18),
    1.10,
    1.00)</f>
        <v/>
      </c>
      <c r="O6071">
        <f>IF('Loan Tape (S&amp;P)'!T6071="Yes",
    1.35,
    1.00)</f>
        <v/>
      </c>
      <c r="P6071">
        <f>IF('Loan Tape (S&amp;P)'!S6071="Yes",
    1.15,
    1.00)</f>
        <v/>
      </c>
      <c r="Q6071">
        <f>IF('Loan Tape (S&amp;P)'!V6071="Yes",
    1.20,
    1.00)</f>
        <v/>
      </c>
      <c r="T6071">
        <f>LET(
    payment_method,'Loan Tape (S&amp;P)'!P6071,
    occupancy,'Loan Tape (S&amp;P)'!N6071,
    maturity_date,'Loan Tape (S&amp;P)'!L6071,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72">
      <c r="J6072">
        <f>LET(
    lien,'Loan Tape (S&amp;P)'!Q6072,
    IF(lien="First",1.00,
        IF(lien="Second",1.50,
            1.70)))</f>
        <v/>
      </c>
      <c r="K6072">
        <f>LET(
    purpose,'Loan Tape (S&amp;P)'!R6072,
    IF(purpose="Purchase",1.00,
        IF(purpose="Remortgage",1.00,
            1.20)))</f>
        <v/>
      </c>
      <c r="L6072">
        <f>LET(
    arrears_months,'Loan Tape (S&amp;P)'!AN6072,
    IF(arrears_months=0,1.00,
    IF(arrears_months=1,3.00,
    IF(arrears_months=2,5.00,
    IF(arrears_months=3,8.00,
    IF(arrears_months=4,10.00,
    IF(arrears_months=5,12.00,15.00)))))))</f>
        <v/>
      </c>
      <c r="M6072">
        <f>LET(
    seasoning_years,DATEDIF('Loan Tape (S&amp;P)'!K6072,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72">
        <f>IF(AND('Loan Tape (S&amp;P)'!U6072="Yes",
        'Loan Tape (S&amp;P)'!T6072&lt;&gt;"Yes",
        DATEDIF('Loan Tape (S&amp;P)'!K6072, TODAY(), "M")&lt;18),
    1.10,
    1.00)</f>
        <v/>
      </c>
      <c r="O6072">
        <f>IF('Loan Tape (S&amp;P)'!T6072="Yes",
    1.35,
    1.00)</f>
        <v/>
      </c>
      <c r="P6072">
        <f>IF('Loan Tape (S&amp;P)'!S6072="Yes",
    1.15,
    1.00)</f>
        <v/>
      </c>
      <c r="Q6072">
        <f>IF('Loan Tape (S&amp;P)'!V6072="Yes",
    1.20,
    1.00)</f>
        <v/>
      </c>
      <c r="T6072">
        <f>LET(
    payment_method,'Loan Tape (S&amp;P)'!P6072,
    occupancy,'Loan Tape (S&amp;P)'!N6072,
    maturity_date,'Loan Tape (S&amp;P)'!L6072,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73">
      <c r="J6073">
        <f>LET(
    lien,'Loan Tape (S&amp;P)'!Q6073,
    IF(lien="First",1.00,
        IF(lien="Second",1.50,
            1.70)))</f>
        <v/>
      </c>
      <c r="K6073">
        <f>LET(
    purpose,'Loan Tape (S&amp;P)'!R6073,
    IF(purpose="Purchase",1.00,
        IF(purpose="Remortgage",1.00,
            1.20)))</f>
        <v/>
      </c>
      <c r="L6073">
        <f>LET(
    arrears_months,'Loan Tape (S&amp;P)'!AN6073,
    IF(arrears_months=0,1.00,
    IF(arrears_months=1,3.00,
    IF(arrears_months=2,5.00,
    IF(arrears_months=3,8.00,
    IF(arrears_months=4,10.00,
    IF(arrears_months=5,12.00,15.00)))))))</f>
        <v/>
      </c>
      <c r="M6073">
        <f>LET(
    seasoning_years,DATEDIF('Loan Tape (S&amp;P)'!K6073,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73">
        <f>IF(AND('Loan Tape (S&amp;P)'!U6073="Yes",
        'Loan Tape (S&amp;P)'!T6073&lt;&gt;"Yes",
        DATEDIF('Loan Tape (S&amp;P)'!K6073, TODAY(), "M")&lt;18),
    1.10,
    1.00)</f>
        <v/>
      </c>
      <c r="O6073">
        <f>IF('Loan Tape (S&amp;P)'!T6073="Yes",
    1.35,
    1.00)</f>
        <v/>
      </c>
      <c r="P6073">
        <f>IF('Loan Tape (S&amp;P)'!S6073="Yes",
    1.15,
    1.00)</f>
        <v/>
      </c>
      <c r="Q6073">
        <f>IF('Loan Tape (S&amp;P)'!V6073="Yes",
    1.20,
    1.00)</f>
        <v/>
      </c>
      <c r="T6073">
        <f>LET(
    payment_method,'Loan Tape (S&amp;P)'!P6073,
    occupancy,'Loan Tape (S&amp;P)'!N6073,
    maturity_date,'Loan Tape (S&amp;P)'!L6073,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74">
      <c r="J6074">
        <f>LET(
    lien,'Loan Tape (S&amp;P)'!Q6074,
    IF(lien="First",1.00,
        IF(lien="Second",1.50,
            1.70)))</f>
        <v/>
      </c>
      <c r="K6074">
        <f>LET(
    purpose,'Loan Tape (S&amp;P)'!R6074,
    IF(purpose="Purchase",1.00,
        IF(purpose="Remortgage",1.00,
            1.20)))</f>
        <v/>
      </c>
      <c r="L6074">
        <f>LET(
    arrears_months,'Loan Tape (S&amp;P)'!AN6074,
    IF(arrears_months=0,1.00,
    IF(arrears_months=1,3.00,
    IF(arrears_months=2,5.00,
    IF(arrears_months=3,8.00,
    IF(arrears_months=4,10.00,
    IF(arrears_months=5,12.00,15.00)))))))</f>
        <v/>
      </c>
      <c r="M6074">
        <f>LET(
    seasoning_years,DATEDIF('Loan Tape (S&amp;P)'!K6074,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74">
        <f>IF(AND('Loan Tape (S&amp;P)'!U6074="Yes",
        'Loan Tape (S&amp;P)'!T6074&lt;&gt;"Yes",
        DATEDIF('Loan Tape (S&amp;P)'!K6074, TODAY(), "M")&lt;18),
    1.10,
    1.00)</f>
        <v/>
      </c>
      <c r="O6074">
        <f>IF('Loan Tape (S&amp;P)'!T6074="Yes",
    1.35,
    1.00)</f>
        <v/>
      </c>
      <c r="P6074">
        <f>IF('Loan Tape (S&amp;P)'!S6074="Yes",
    1.15,
    1.00)</f>
        <v/>
      </c>
      <c r="Q6074">
        <f>IF('Loan Tape (S&amp;P)'!V6074="Yes",
    1.20,
    1.00)</f>
        <v/>
      </c>
      <c r="T6074">
        <f>LET(
    payment_method,'Loan Tape (S&amp;P)'!P6074,
    occupancy,'Loan Tape (S&amp;P)'!N6074,
    maturity_date,'Loan Tape (S&amp;P)'!L6074,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75">
      <c r="J6075">
        <f>LET(
    lien,'Loan Tape (S&amp;P)'!Q6075,
    IF(lien="First",1.00,
        IF(lien="Second",1.50,
            1.70)))</f>
        <v/>
      </c>
      <c r="K6075">
        <f>LET(
    purpose,'Loan Tape (S&amp;P)'!R6075,
    IF(purpose="Purchase",1.00,
        IF(purpose="Remortgage",1.00,
            1.20)))</f>
        <v/>
      </c>
      <c r="L6075">
        <f>LET(
    arrears_months,'Loan Tape (S&amp;P)'!AN6075,
    IF(arrears_months=0,1.00,
    IF(arrears_months=1,3.00,
    IF(arrears_months=2,5.00,
    IF(arrears_months=3,8.00,
    IF(arrears_months=4,10.00,
    IF(arrears_months=5,12.00,15.00)))))))</f>
        <v/>
      </c>
      <c r="M6075">
        <f>LET(
    seasoning_years,DATEDIF('Loan Tape (S&amp;P)'!K6075,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75">
        <f>IF(AND('Loan Tape (S&amp;P)'!U6075="Yes",
        'Loan Tape (S&amp;P)'!T6075&lt;&gt;"Yes",
        DATEDIF('Loan Tape (S&amp;P)'!K6075, TODAY(), "M")&lt;18),
    1.10,
    1.00)</f>
        <v/>
      </c>
      <c r="O6075">
        <f>IF('Loan Tape (S&amp;P)'!T6075="Yes",
    1.35,
    1.00)</f>
        <v/>
      </c>
      <c r="P6075">
        <f>IF('Loan Tape (S&amp;P)'!S6075="Yes",
    1.15,
    1.00)</f>
        <v/>
      </c>
      <c r="Q6075">
        <f>IF('Loan Tape (S&amp;P)'!V6075="Yes",
    1.20,
    1.00)</f>
        <v/>
      </c>
      <c r="T6075">
        <f>LET(
    payment_method,'Loan Tape (S&amp;P)'!P6075,
    occupancy,'Loan Tape (S&amp;P)'!N6075,
    maturity_date,'Loan Tape (S&amp;P)'!L6075,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76">
      <c r="J6076">
        <f>LET(
    lien,'Loan Tape (S&amp;P)'!Q6076,
    IF(lien="First",1.00,
        IF(lien="Second",1.50,
            1.70)))</f>
        <v/>
      </c>
      <c r="K6076">
        <f>LET(
    purpose,'Loan Tape (S&amp;P)'!R6076,
    IF(purpose="Purchase",1.00,
        IF(purpose="Remortgage",1.00,
            1.20)))</f>
        <v/>
      </c>
      <c r="L6076">
        <f>LET(
    arrears_months,'Loan Tape (S&amp;P)'!AN6076,
    IF(arrears_months=0,1.00,
    IF(arrears_months=1,3.00,
    IF(arrears_months=2,5.00,
    IF(arrears_months=3,8.00,
    IF(arrears_months=4,10.00,
    IF(arrears_months=5,12.00,15.00)))))))</f>
        <v/>
      </c>
      <c r="M6076">
        <f>LET(
    seasoning_years,DATEDIF('Loan Tape (S&amp;P)'!K6076,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76">
        <f>IF(AND('Loan Tape (S&amp;P)'!U6076="Yes",
        'Loan Tape (S&amp;P)'!T6076&lt;&gt;"Yes",
        DATEDIF('Loan Tape (S&amp;P)'!K6076, TODAY(), "M")&lt;18),
    1.10,
    1.00)</f>
        <v/>
      </c>
      <c r="O6076">
        <f>IF('Loan Tape (S&amp;P)'!T6076="Yes",
    1.35,
    1.00)</f>
        <v/>
      </c>
      <c r="P6076">
        <f>IF('Loan Tape (S&amp;P)'!S6076="Yes",
    1.15,
    1.00)</f>
        <v/>
      </c>
      <c r="Q6076">
        <f>IF('Loan Tape (S&amp;P)'!V6076="Yes",
    1.20,
    1.00)</f>
        <v/>
      </c>
      <c r="T6076">
        <f>LET(
    payment_method,'Loan Tape (S&amp;P)'!P6076,
    occupancy,'Loan Tape (S&amp;P)'!N6076,
    maturity_date,'Loan Tape (S&amp;P)'!L6076,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77">
      <c r="J6077">
        <f>LET(
    lien,'Loan Tape (S&amp;P)'!Q6077,
    IF(lien="First",1.00,
        IF(lien="Second",1.50,
            1.70)))</f>
        <v/>
      </c>
      <c r="K6077">
        <f>LET(
    purpose,'Loan Tape (S&amp;P)'!R6077,
    IF(purpose="Purchase",1.00,
        IF(purpose="Remortgage",1.00,
            1.20)))</f>
        <v/>
      </c>
      <c r="L6077">
        <f>LET(
    arrears_months,'Loan Tape (S&amp;P)'!AN6077,
    IF(arrears_months=0,1.00,
    IF(arrears_months=1,3.00,
    IF(arrears_months=2,5.00,
    IF(arrears_months=3,8.00,
    IF(arrears_months=4,10.00,
    IF(arrears_months=5,12.00,15.00)))))))</f>
        <v/>
      </c>
      <c r="M6077">
        <f>LET(
    seasoning_years,DATEDIF('Loan Tape (S&amp;P)'!K6077,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77">
        <f>IF(AND('Loan Tape (S&amp;P)'!U6077="Yes",
        'Loan Tape (S&amp;P)'!T6077&lt;&gt;"Yes",
        DATEDIF('Loan Tape (S&amp;P)'!K6077, TODAY(), "M")&lt;18),
    1.10,
    1.00)</f>
        <v/>
      </c>
      <c r="O6077">
        <f>IF('Loan Tape (S&amp;P)'!T6077="Yes",
    1.35,
    1.00)</f>
        <v/>
      </c>
      <c r="P6077">
        <f>IF('Loan Tape (S&amp;P)'!S6077="Yes",
    1.15,
    1.00)</f>
        <v/>
      </c>
      <c r="Q6077">
        <f>IF('Loan Tape (S&amp;P)'!V6077="Yes",
    1.20,
    1.00)</f>
        <v/>
      </c>
      <c r="T6077">
        <f>LET(
    payment_method,'Loan Tape (S&amp;P)'!P6077,
    occupancy,'Loan Tape (S&amp;P)'!N6077,
    maturity_date,'Loan Tape (S&amp;P)'!L6077,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78">
      <c r="J6078">
        <f>LET(
    lien,'Loan Tape (S&amp;P)'!Q6078,
    IF(lien="First",1.00,
        IF(lien="Second",1.50,
            1.70)))</f>
        <v/>
      </c>
      <c r="K6078">
        <f>LET(
    purpose,'Loan Tape (S&amp;P)'!R6078,
    IF(purpose="Purchase",1.00,
        IF(purpose="Remortgage",1.00,
            1.20)))</f>
        <v/>
      </c>
      <c r="L6078">
        <f>LET(
    arrears_months,'Loan Tape (S&amp;P)'!AN6078,
    IF(arrears_months=0,1.00,
    IF(arrears_months=1,3.00,
    IF(arrears_months=2,5.00,
    IF(arrears_months=3,8.00,
    IF(arrears_months=4,10.00,
    IF(arrears_months=5,12.00,15.00)))))))</f>
        <v/>
      </c>
      <c r="M6078">
        <f>LET(
    seasoning_years,DATEDIF('Loan Tape (S&amp;P)'!K6078,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78">
        <f>IF(AND('Loan Tape (S&amp;P)'!U6078="Yes",
        'Loan Tape (S&amp;P)'!T6078&lt;&gt;"Yes",
        DATEDIF('Loan Tape (S&amp;P)'!K6078, TODAY(), "M")&lt;18),
    1.10,
    1.00)</f>
        <v/>
      </c>
      <c r="O6078">
        <f>IF('Loan Tape (S&amp;P)'!T6078="Yes",
    1.35,
    1.00)</f>
        <v/>
      </c>
      <c r="P6078">
        <f>IF('Loan Tape (S&amp;P)'!S6078="Yes",
    1.15,
    1.00)</f>
        <v/>
      </c>
      <c r="Q6078">
        <f>IF('Loan Tape (S&amp;P)'!V6078="Yes",
    1.20,
    1.00)</f>
        <v/>
      </c>
      <c r="T6078">
        <f>LET(
    payment_method,'Loan Tape (S&amp;P)'!P6078,
    occupancy,'Loan Tape (S&amp;P)'!N6078,
    maturity_date,'Loan Tape (S&amp;P)'!L6078,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79">
      <c r="J6079">
        <f>LET(
    lien,'Loan Tape (S&amp;P)'!Q6079,
    IF(lien="First",1.00,
        IF(lien="Second",1.50,
            1.70)))</f>
        <v/>
      </c>
      <c r="K6079">
        <f>LET(
    purpose,'Loan Tape (S&amp;P)'!R6079,
    IF(purpose="Purchase",1.00,
        IF(purpose="Remortgage",1.00,
            1.20)))</f>
        <v/>
      </c>
      <c r="L6079">
        <f>LET(
    arrears_months,'Loan Tape (S&amp;P)'!AN6079,
    IF(arrears_months=0,1.00,
    IF(arrears_months=1,3.00,
    IF(arrears_months=2,5.00,
    IF(arrears_months=3,8.00,
    IF(arrears_months=4,10.00,
    IF(arrears_months=5,12.00,15.00)))))))</f>
        <v/>
      </c>
      <c r="M6079">
        <f>LET(
    seasoning_years,DATEDIF('Loan Tape (S&amp;P)'!K6079,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79">
        <f>IF(AND('Loan Tape (S&amp;P)'!U6079="Yes",
        'Loan Tape (S&amp;P)'!T6079&lt;&gt;"Yes",
        DATEDIF('Loan Tape (S&amp;P)'!K6079, TODAY(), "M")&lt;18),
    1.10,
    1.00)</f>
        <v/>
      </c>
      <c r="O6079">
        <f>IF('Loan Tape (S&amp;P)'!T6079="Yes",
    1.35,
    1.00)</f>
        <v/>
      </c>
      <c r="P6079">
        <f>IF('Loan Tape (S&amp;P)'!S6079="Yes",
    1.15,
    1.00)</f>
        <v/>
      </c>
      <c r="Q6079">
        <f>IF('Loan Tape (S&amp;P)'!V6079="Yes",
    1.20,
    1.00)</f>
        <v/>
      </c>
      <c r="T6079">
        <f>LET(
    payment_method,'Loan Tape (S&amp;P)'!P6079,
    occupancy,'Loan Tape (S&amp;P)'!N6079,
    maturity_date,'Loan Tape (S&amp;P)'!L6079,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80">
      <c r="J6080">
        <f>LET(
    lien,'Loan Tape (S&amp;P)'!Q6080,
    IF(lien="First",1.00,
        IF(lien="Second",1.50,
            1.70)))</f>
        <v/>
      </c>
      <c r="K6080">
        <f>LET(
    purpose,'Loan Tape (S&amp;P)'!R6080,
    IF(purpose="Purchase",1.00,
        IF(purpose="Remortgage",1.00,
            1.20)))</f>
        <v/>
      </c>
      <c r="L6080">
        <f>LET(
    arrears_months,'Loan Tape (S&amp;P)'!AN6080,
    IF(arrears_months=0,1.00,
    IF(arrears_months=1,3.00,
    IF(arrears_months=2,5.00,
    IF(arrears_months=3,8.00,
    IF(arrears_months=4,10.00,
    IF(arrears_months=5,12.00,15.00)))))))</f>
        <v/>
      </c>
      <c r="M6080">
        <f>LET(
    seasoning_years,DATEDIF('Loan Tape (S&amp;P)'!K6080,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80">
        <f>IF(AND('Loan Tape (S&amp;P)'!U6080="Yes",
        'Loan Tape (S&amp;P)'!T6080&lt;&gt;"Yes",
        DATEDIF('Loan Tape (S&amp;P)'!K6080, TODAY(), "M")&lt;18),
    1.10,
    1.00)</f>
        <v/>
      </c>
      <c r="O6080">
        <f>IF('Loan Tape (S&amp;P)'!T6080="Yes",
    1.35,
    1.00)</f>
        <v/>
      </c>
      <c r="P6080">
        <f>IF('Loan Tape (S&amp;P)'!S6080="Yes",
    1.15,
    1.00)</f>
        <v/>
      </c>
      <c r="Q6080">
        <f>IF('Loan Tape (S&amp;P)'!V6080="Yes",
    1.20,
    1.00)</f>
        <v/>
      </c>
      <c r="T6080">
        <f>LET(
    payment_method,'Loan Tape (S&amp;P)'!P6080,
    occupancy,'Loan Tape (S&amp;P)'!N6080,
    maturity_date,'Loan Tape (S&amp;P)'!L6080,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81">
      <c r="J6081">
        <f>LET(
    lien,'Loan Tape (S&amp;P)'!Q6081,
    IF(lien="First",1.00,
        IF(lien="Second",1.50,
            1.70)))</f>
        <v/>
      </c>
      <c r="K6081">
        <f>LET(
    purpose,'Loan Tape (S&amp;P)'!R6081,
    IF(purpose="Purchase",1.00,
        IF(purpose="Remortgage",1.00,
            1.20)))</f>
        <v/>
      </c>
      <c r="L6081">
        <f>LET(
    arrears_months,'Loan Tape (S&amp;P)'!AN6081,
    IF(arrears_months=0,1.00,
    IF(arrears_months=1,3.00,
    IF(arrears_months=2,5.00,
    IF(arrears_months=3,8.00,
    IF(arrears_months=4,10.00,
    IF(arrears_months=5,12.00,15.00)))))))</f>
        <v/>
      </c>
      <c r="M6081">
        <f>LET(
    seasoning_years,DATEDIF('Loan Tape (S&amp;P)'!K6081,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81">
        <f>IF(AND('Loan Tape (S&amp;P)'!U6081="Yes",
        'Loan Tape (S&amp;P)'!T6081&lt;&gt;"Yes",
        DATEDIF('Loan Tape (S&amp;P)'!K6081, TODAY(), "M")&lt;18),
    1.10,
    1.00)</f>
        <v/>
      </c>
      <c r="O6081">
        <f>IF('Loan Tape (S&amp;P)'!T6081="Yes",
    1.35,
    1.00)</f>
        <v/>
      </c>
      <c r="P6081">
        <f>IF('Loan Tape (S&amp;P)'!S6081="Yes",
    1.15,
    1.00)</f>
        <v/>
      </c>
      <c r="Q6081">
        <f>IF('Loan Tape (S&amp;P)'!V6081="Yes",
    1.20,
    1.00)</f>
        <v/>
      </c>
      <c r="T6081">
        <f>LET(
    payment_method,'Loan Tape (S&amp;P)'!P6081,
    occupancy,'Loan Tape (S&amp;P)'!N6081,
    maturity_date,'Loan Tape (S&amp;P)'!L6081,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82">
      <c r="J6082">
        <f>LET(
    lien,'Loan Tape (S&amp;P)'!Q6082,
    IF(lien="First",1.00,
        IF(lien="Second",1.50,
            1.70)))</f>
        <v/>
      </c>
      <c r="K6082">
        <f>LET(
    purpose,'Loan Tape (S&amp;P)'!R6082,
    IF(purpose="Purchase",1.00,
        IF(purpose="Remortgage",1.00,
            1.20)))</f>
        <v/>
      </c>
      <c r="L6082">
        <f>LET(
    arrears_months,'Loan Tape (S&amp;P)'!AN6082,
    IF(arrears_months=0,1.00,
    IF(arrears_months=1,3.00,
    IF(arrears_months=2,5.00,
    IF(arrears_months=3,8.00,
    IF(arrears_months=4,10.00,
    IF(arrears_months=5,12.00,15.00)))))))</f>
        <v/>
      </c>
      <c r="M6082">
        <f>LET(
    seasoning_years,DATEDIF('Loan Tape (S&amp;P)'!K6082,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82">
        <f>IF(AND('Loan Tape (S&amp;P)'!U6082="Yes",
        'Loan Tape (S&amp;P)'!T6082&lt;&gt;"Yes",
        DATEDIF('Loan Tape (S&amp;P)'!K6082, TODAY(), "M")&lt;18),
    1.10,
    1.00)</f>
        <v/>
      </c>
      <c r="O6082">
        <f>IF('Loan Tape (S&amp;P)'!T6082="Yes",
    1.35,
    1.00)</f>
        <v/>
      </c>
      <c r="P6082">
        <f>IF('Loan Tape (S&amp;P)'!S6082="Yes",
    1.15,
    1.00)</f>
        <v/>
      </c>
      <c r="Q6082">
        <f>IF('Loan Tape (S&amp;P)'!V6082="Yes",
    1.20,
    1.00)</f>
        <v/>
      </c>
      <c r="T6082">
        <f>LET(
    payment_method,'Loan Tape (S&amp;P)'!P6082,
    occupancy,'Loan Tape (S&amp;P)'!N6082,
    maturity_date,'Loan Tape (S&amp;P)'!L6082,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83">
      <c r="J6083">
        <f>LET(
    lien,'Loan Tape (S&amp;P)'!Q6083,
    IF(lien="First",1.00,
        IF(lien="Second",1.50,
            1.70)))</f>
        <v/>
      </c>
      <c r="K6083">
        <f>LET(
    purpose,'Loan Tape (S&amp;P)'!R6083,
    IF(purpose="Purchase",1.00,
        IF(purpose="Remortgage",1.00,
            1.20)))</f>
        <v/>
      </c>
      <c r="L6083">
        <f>LET(
    arrears_months,'Loan Tape (S&amp;P)'!AN6083,
    IF(arrears_months=0,1.00,
    IF(arrears_months=1,3.00,
    IF(arrears_months=2,5.00,
    IF(arrears_months=3,8.00,
    IF(arrears_months=4,10.00,
    IF(arrears_months=5,12.00,15.00)))))))</f>
        <v/>
      </c>
      <c r="M6083">
        <f>LET(
    seasoning_years,DATEDIF('Loan Tape (S&amp;P)'!K6083,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83">
        <f>IF(AND('Loan Tape (S&amp;P)'!U6083="Yes",
        'Loan Tape (S&amp;P)'!T6083&lt;&gt;"Yes",
        DATEDIF('Loan Tape (S&amp;P)'!K6083, TODAY(), "M")&lt;18),
    1.10,
    1.00)</f>
        <v/>
      </c>
      <c r="O6083">
        <f>IF('Loan Tape (S&amp;P)'!T6083="Yes",
    1.35,
    1.00)</f>
        <v/>
      </c>
      <c r="P6083">
        <f>IF('Loan Tape (S&amp;P)'!S6083="Yes",
    1.15,
    1.00)</f>
        <v/>
      </c>
      <c r="Q6083">
        <f>IF('Loan Tape (S&amp;P)'!V6083="Yes",
    1.20,
    1.00)</f>
        <v/>
      </c>
      <c r="T6083">
        <f>LET(
    payment_method,'Loan Tape (S&amp;P)'!P6083,
    occupancy,'Loan Tape (S&amp;P)'!N6083,
    maturity_date,'Loan Tape (S&amp;P)'!L6083,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84">
      <c r="J6084">
        <f>LET(
    lien,'Loan Tape (S&amp;P)'!Q6084,
    IF(lien="First",1.00,
        IF(lien="Second",1.50,
            1.70)))</f>
        <v/>
      </c>
      <c r="K6084">
        <f>LET(
    purpose,'Loan Tape (S&amp;P)'!R6084,
    IF(purpose="Purchase",1.00,
        IF(purpose="Remortgage",1.00,
            1.20)))</f>
        <v/>
      </c>
      <c r="L6084">
        <f>LET(
    arrears_months,'Loan Tape (S&amp;P)'!AN6084,
    IF(arrears_months=0,1.00,
    IF(arrears_months=1,3.00,
    IF(arrears_months=2,5.00,
    IF(arrears_months=3,8.00,
    IF(arrears_months=4,10.00,
    IF(arrears_months=5,12.00,15.00)))))))</f>
        <v/>
      </c>
      <c r="M6084">
        <f>LET(
    seasoning_years,DATEDIF('Loan Tape (S&amp;P)'!K6084,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84">
        <f>IF(AND('Loan Tape (S&amp;P)'!U6084="Yes",
        'Loan Tape (S&amp;P)'!T6084&lt;&gt;"Yes",
        DATEDIF('Loan Tape (S&amp;P)'!K6084, TODAY(), "M")&lt;18),
    1.10,
    1.00)</f>
        <v/>
      </c>
      <c r="O6084">
        <f>IF('Loan Tape (S&amp;P)'!T6084="Yes",
    1.35,
    1.00)</f>
        <v/>
      </c>
      <c r="P6084">
        <f>IF('Loan Tape (S&amp;P)'!S6084="Yes",
    1.15,
    1.00)</f>
        <v/>
      </c>
      <c r="Q6084">
        <f>IF('Loan Tape (S&amp;P)'!V6084="Yes",
    1.20,
    1.00)</f>
        <v/>
      </c>
      <c r="T6084">
        <f>LET(
    payment_method,'Loan Tape (S&amp;P)'!P6084,
    occupancy,'Loan Tape (S&amp;P)'!N6084,
    maturity_date,'Loan Tape (S&amp;P)'!L6084,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85">
      <c r="J6085">
        <f>LET(
    lien,'Loan Tape (S&amp;P)'!Q6085,
    IF(lien="First",1.00,
        IF(lien="Second",1.50,
            1.70)))</f>
        <v/>
      </c>
      <c r="K6085">
        <f>LET(
    purpose,'Loan Tape (S&amp;P)'!R6085,
    IF(purpose="Purchase",1.00,
        IF(purpose="Remortgage",1.00,
            1.20)))</f>
        <v/>
      </c>
      <c r="L6085">
        <f>LET(
    arrears_months,'Loan Tape (S&amp;P)'!AN6085,
    IF(arrears_months=0,1.00,
    IF(arrears_months=1,3.00,
    IF(arrears_months=2,5.00,
    IF(arrears_months=3,8.00,
    IF(arrears_months=4,10.00,
    IF(arrears_months=5,12.00,15.00)))))))</f>
        <v/>
      </c>
      <c r="M6085">
        <f>LET(
    seasoning_years,DATEDIF('Loan Tape (S&amp;P)'!K6085,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85">
        <f>IF(AND('Loan Tape (S&amp;P)'!U6085="Yes",
        'Loan Tape (S&amp;P)'!T6085&lt;&gt;"Yes",
        DATEDIF('Loan Tape (S&amp;P)'!K6085, TODAY(), "M")&lt;18),
    1.10,
    1.00)</f>
        <v/>
      </c>
      <c r="O6085">
        <f>IF('Loan Tape (S&amp;P)'!T6085="Yes",
    1.35,
    1.00)</f>
        <v/>
      </c>
      <c r="P6085">
        <f>IF('Loan Tape (S&amp;P)'!S6085="Yes",
    1.15,
    1.00)</f>
        <v/>
      </c>
      <c r="Q6085">
        <f>IF('Loan Tape (S&amp;P)'!V6085="Yes",
    1.20,
    1.00)</f>
        <v/>
      </c>
      <c r="T6085">
        <f>LET(
    payment_method,'Loan Tape (S&amp;P)'!P6085,
    occupancy,'Loan Tape (S&amp;P)'!N6085,
    maturity_date,'Loan Tape (S&amp;P)'!L6085,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86">
      <c r="J6086">
        <f>LET(
    lien,'Loan Tape (S&amp;P)'!Q6086,
    IF(lien="First",1.00,
        IF(lien="Second",1.50,
            1.70)))</f>
        <v/>
      </c>
      <c r="K6086">
        <f>LET(
    purpose,'Loan Tape (S&amp;P)'!R6086,
    IF(purpose="Purchase",1.00,
        IF(purpose="Remortgage",1.00,
            1.20)))</f>
        <v/>
      </c>
      <c r="L6086">
        <f>LET(
    arrears_months,'Loan Tape (S&amp;P)'!AN6086,
    IF(arrears_months=0,1.00,
    IF(arrears_months=1,3.00,
    IF(arrears_months=2,5.00,
    IF(arrears_months=3,8.00,
    IF(arrears_months=4,10.00,
    IF(arrears_months=5,12.00,15.00)))))))</f>
        <v/>
      </c>
      <c r="M6086">
        <f>LET(
    seasoning_years,DATEDIF('Loan Tape (S&amp;P)'!K6086,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86">
        <f>IF(AND('Loan Tape (S&amp;P)'!U6086="Yes",
        'Loan Tape (S&amp;P)'!T6086&lt;&gt;"Yes",
        DATEDIF('Loan Tape (S&amp;P)'!K6086, TODAY(), "M")&lt;18),
    1.10,
    1.00)</f>
        <v/>
      </c>
      <c r="O6086">
        <f>IF('Loan Tape (S&amp;P)'!T6086="Yes",
    1.35,
    1.00)</f>
        <v/>
      </c>
      <c r="P6086">
        <f>IF('Loan Tape (S&amp;P)'!S6086="Yes",
    1.15,
    1.00)</f>
        <v/>
      </c>
      <c r="Q6086">
        <f>IF('Loan Tape (S&amp;P)'!V6086="Yes",
    1.20,
    1.00)</f>
        <v/>
      </c>
      <c r="T6086">
        <f>LET(
    payment_method,'Loan Tape (S&amp;P)'!P6086,
    occupancy,'Loan Tape (S&amp;P)'!N6086,
    maturity_date,'Loan Tape (S&amp;P)'!L6086,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87">
      <c r="J6087">
        <f>LET(
    lien,'Loan Tape (S&amp;P)'!Q6087,
    IF(lien="First",1.00,
        IF(lien="Second",1.50,
            1.70)))</f>
        <v/>
      </c>
      <c r="K6087">
        <f>LET(
    purpose,'Loan Tape (S&amp;P)'!R6087,
    IF(purpose="Purchase",1.00,
        IF(purpose="Remortgage",1.00,
            1.20)))</f>
        <v/>
      </c>
      <c r="L6087">
        <f>LET(
    arrears_months,'Loan Tape (S&amp;P)'!AN6087,
    IF(arrears_months=0,1.00,
    IF(arrears_months=1,3.00,
    IF(arrears_months=2,5.00,
    IF(arrears_months=3,8.00,
    IF(arrears_months=4,10.00,
    IF(arrears_months=5,12.00,15.00)))))))</f>
        <v/>
      </c>
      <c r="M6087">
        <f>LET(
    seasoning_years,DATEDIF('Loan Tape (S&amp;P)'!K6087,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87">
        <f>IF(AND('Loan Tape (S&amp;P)'!U6087="Yes",
        'Loan Tape (S&amp;P)'!T6087&lt;&gt;"Yes",
        DATEDIF('Loan Tape (S&amp;P)'!K6087, TODAY(), "M")&lt;18),
    1.10,
    1.00)</f>
        <v/>
      </c>
      <c r="O6087">
        <f>IF('Loan Tape (S&amp;P)'!T6087="Yes",
    1.35,
    1.00)</f>
        <v/>
      </c>
      <c r="P6087">
        <f>IF('Loan Tape (S&amp;P)'!S6087="Yes",
    1.15,
    1.00)</f>
        <v/>
      </c>
      <c r="Q6087">
        <f>IF('Loan Tape (S&amp;P)'!V6087="Yes",
    1.20,
    1.00)</f>
        <v/>
      </c>
      <c r="T6087">
        <f>LET(
    payment_method,'Loan Tape (S&amp;P)'!P6087,
    occupancy,'Loan Tape (S&amp;P)'!N6087,
    maturity_date,'Loan Tape (S&amp;P)'!L6087,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88">
      <c r="J6088">
        <f>LET(
    lien,'Loan Tape (S&amp;P)'!Q6088,
    IF(lien="First",1.00,
        IF(lien="Second",1.50,
            1.70)))</f>
        <v/>
      </c>
      <c r="K6088">
        <f>LET(
    purpose,'Loan Tape (S&amp;P)'!R6088,
    IF(purpose="Purchase",1.00,
        IF(purpose="Remortgage",1.00,
            1.20)))</f>
        <v/>
      </c>
      <c r="L6088">
        <f>LET(
    arrears_months,'Loan Tape (S&amp;P)'!AN6088,
    IF(arrears_months=0,1.00,
    IF(arrears_months=1,3.00,
    IF(arrears_months=2,5.00,
    IF(arrears_months=3,8.00,
    IF(arrears_months=4,10.00,
    IF(arrears_months=5,12.00,15.00)))))))</f>
        <v/>
      </c>
      <c r="M6088">
        <f>LET(
    seasoning_years,DATEDIF('Loan Tape (S&amp;P)'!K6088,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88">
        <f>IF(AND('Loan Tape (S&amp;P)'!U6088="Yes",
        'Loan Tape (S&amp;P)'!T6088&lt;&gt;"Yes",
        DATEDIF('Loan Tape (S&amp;P)'!K6088, TODAY(), "M")&lt;18),
    1.10,
    1.00)</f>
        <v/>
      </c>
      <c r="O6088">
        <f>IF('Loan Tape (S&amp;P)'!T6088="Yes",
    1.35,
    1.00)</f>
        <v/>
      </c>
      <c r="P6088">
        <f>IF('Loan Tape (S&amp;P)'!S6088="Yes",
    1.15,
    1.00)</f>
        <v/>
      </c>
      <c r="Q6088">
        <f>IF('Loan Tape (S&amp;P)'!V6088="Yes",
    1.20,
    1.00)</f>
        <v/>
      </c>
      <c r="T6088">
        <f>LET(
    payment_method,'Loan Tape (S&amp;P)'!P6088,
    occupancy,'Loan Tape (S&amp;P)'!N6088,
    maturity_date,'Loan Tape (S&amp;P)'!L6088,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89">
      <c r="J6089">
        <f>LET(
    lien,'Loan Tape (S&amp;P)'!Q6089,
    IF(lien="First",1.00,
        IF(lien="Second",1.50,
            1.70)))</f>
        <v/>
      </c>
      <c r="K6089">
        <f>LET(
    purpose,'Loan Tape (S&amp;P)'!R6089,
    IF(purpose="Purchase",1.00,
        IF(purpose="Remortgage",1.00,
            1.20)))</f>
        <v/>
      </c>
      <c r="L6089">
        <f>LET(
    arrears_months,'Loan Tape (S&amp;P)'!AN6089,
    IF(arrears_months=0,1.00,
    IF(arrears_months=1,3.00,
    IF(arrears_months=2,5.00,
    IF(arrears_months=3,8.00,
    IF(arrears_months=4,10.00,
    IF(arrears_months=5,12.00,15.00)))))))</f>
        <v/>
      </c>
      <c r="M6089">
        <f>LET(
    seasoning_years,DATEDIF('Loan Tape (S&amp;P)'!K6089,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89">
        <f>IF(AND('Loan Tape (S&amp;P)'!U6089="Yes",
        'Loan Tape (S&amp;P)'!T6089&lt;&gt;"Yes",
        DATEDIF('Loan Tape (S&amp;P)'!K6089, TODAY(), "M")&lt;18),
    1.10,
    1.00)</f>
        <v/>
      </c>
      <c r="O6089">
        <f>IF('Loan Tape (S&amp;P)'!T6089="Yes",
    1.35,
    1.00)</f>
        <v/>
      </c>
      <c r="P6089">
        <f>IF('Loan Tape (S&amp;P)'!S6089="Yes",
    1.15,
    1.00)</f>
        <v/>
      </c>
      <c r="Q6089">
        <f>IF('Loan Tape (S&amp;P)'!V6089="Yes",
    1.20,
    1.00)</f>
        <v/>
      </c>
      <c r="T6089">
        <f>LET(
    payment_method,'Loan Tape (S&amp;P)'!P6089,
    occupancy,'Loan Tape (S&amp;P)'!N6089,
    maturity_date,'Loan Tape (S&amp;P)'!L6089,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90">
      <c r="J6090">
        <f>LET(
    lien,'Loan Tape (S&amp;P)'!Q6090,
    IF(lien="First",1.00,
        IF(lien="Second",1.50,
            1.70)))</f>
        <v/>
      </c>
      <c r="K6090">
        <f>LET(
    purpose,'Loan Tape (S&amp;P)'!R6090,
    IF(purpose="Purchase",1.00,
        IF(purpose="Remortgage",1.00,
            1.20)))</f>
        <v/>
      </c>
      <c r="L6090">
        <f>LET(
    arrears_months,'Loan Tape (S&amp;P)'!AN6090,
    IF(arrears_months=0,1.00,
    IF(arrears_months=1,3.00,
    IF(arrears_months=2,5.00,
    IF(arrears_months=3,8.00,
    IF(arrears_months=4,10.00,
    IF(arrears_months=5,12.00,15.00)))))))</f>
        <v/>
      </c>
      <c r="M6090">
        <f>LET(
    seasoning_years,DATEDIF('Loan Tape (S&amp;P)'!K6090,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90">
        <f>IF(AND('Loan Tape (S&amp;P)'!U6090="Yes",
        'Loan Tape (S&amp;P)'!T6090&lt;&gt;"Yes",
        DATEDIF('Loan Tape (S&amp;P)'!K6090, TODAY(), "M")&lt;18),
    1.10,
    1.00)</f>
        <v/>
      </c>
      <c r="O6090">
        <f>IF('Loan Tape (S&amp;P)'!T6090="Yes",
    1.35,
    1.00)</f>
        <v/>
      </c>
      <c r="P6090">
        <f>IF('Loan Tape (S&amp;P)'!S6090="Yes",
    1.15,
    1.00)</f>
        <v/>
      </c>
      <c r="Q6090">
        <f>IF('Loan Tape (S&amp;P)'!V6090="Yes",
    1.20,
    1.00)</f>
        <v/>
      </c>
      <c r="T6090">
        <f>LET(
    payment_method,'Loan Tape (S&amp;P)'!P6090,
    occupancy,'Loan Tape (S&amp;P)'!N6090,
    maturity_date,'Loan Tape (S&amp;P)'!L6090,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91">
      <c r="J6091">
        <f>LET(
    lien,'Loan Tape (S&amp;P)'!Q6091,
    IF(lien="First",1.00,
        IF(lien="Second",1.50,
            1.70)))</f>
        <v/>
      </c>
      <c r="K6091">
        <f>LET(
    purpose,'Loan Tape (S&amp;P)'!R6091,
    IF(purpose="Purchase",1.00,
        IF(purpose="Remortgage",1.00,
            1.20)))</f>
        <v/>
      </c>
      <c r="L6091">
        <f>LET(
    arrears_months,'Loan Tape (S&amp;P)'!AN6091,
    IF(arrears_months=0,1.00,
    IF(arrears_months=1,3.00,
    IF(arrears_months=2,5.00,
    IF(arrears_months=3,8.00,
    IF(arrears_months=4,10.00,
    IF(arrears_months=5,12.00,15.00)))))))</f>
        <v/>
      </c>
      <c r="M6091">
        <f>LET(
    seasoning_years,DATEDIF('Loan Tape (S&amp;P)'!K6091,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91">
        <f>IF(AND('Loan Tape (S&amp;P)'!U6091="Yes",
        'Loan Tape (S&amp;P)'!T6091&lt;&gt;"Yes",
        DATEDIF('Loan Tape (S&amp;P)'!K6091, TODAY(), "M")&lt;18),
    1.10,
    1.00)</f>
        <v/>
      </c>
      <c r="O6091">
        <f>IF('Loan Tape (S&amp;P)'!T6091="Yes",
    1.35,
    1.00)</f>
        <v/>
      </c>
      <c r="P6091">
        <f>IF('Loan Tape (S&amp;P)'!S6091="Yes",
    1.15,
    1.00)</f>
        <v/>
      </c>
      <c r="Q6091">
        <f>IF('Loan Tape (S&amp;P)'!V6091="Yes",
    1.20,
    1.00)</f>
        <v/>
      </c>
      <c r="T6091">
        <f>LET(
    payment_method,'Loan Tape (S&amp;P)'!P6091,
    occupancy,'Loan Tape (S&amp;P)'!N6091,
    maturity_date,'Loan Tape (S&amp;P)'!L6091,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92">
      <c r="J6092">
        <f>LET(
    lien,'Loan Tape (S&amp;P)'!Q6092,
    IF(lien="First",1.00,
        IF(lien="Second",1.50,
            1.70)))</f>
        <v/>
      </c>
      <c r="K6092">
        <f>LET(
    purpose,'Loan Tape (S&amp;P)'!R6092,
    IF(purpose="Purchase",1.00,
        IF(purpose="Remortgage",1.00,
            1.20)))</f>
        <v/>
      </c>
      <c r="L6092">
        <f>LET(
    arrears_months,'Loan Tape (S&amp;P)'!AN6092,
    IF(arrears_months=0,1.00,
    IF(arrears_months=1,3.00,
    IF(arrears_months=2,5.00,
    IF(arrears_months=3,8.00,
    IF(arrears_months=4,10.00,
    IF(arrears_months=5,12.00,15.00)))))))</f>
        <v/>
      </c>
      <c r="M6092">
        <f>LET(
    seasoning_years,DATEDIF('Loan Tape (S&amp;P)'!K6092,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92">
        <f>IF(AND('Loan Tape (S&amp;P)'!U6092="Yes",
        'Loan Tape (S&amp;P)'!T6092&lt;&gt;"Yes",
        DATEDIF('Loan Tape (S&amp;P)'!K6092, TODAY(), "M")&lt;18),
    1.10,
    1.00)</f>
        <v/>
      </c>
      <c r="O6092">
        <f>IF('Loan Tape (S&amp;P)'!T6092="Yes",
    1.35,
    1.00)</f>
        <v/>
      </c>
      <c r="P6092">
        <f>IF('Loan Tape (S&amp;P)'!S6092="Yes",
    1.15,
    1.00)</f>
        <v/>
      </c>
      <c r="Q6092">
        <f>IF('Loan Tape (S&amp;P)'!V6092="Yes",
    1.20,
    1.00)</f>
        <v/>
      </c>
      <c r="T6092">
        <f>LET(
    payment_method,'Loan Tape (S&amp;P)'!P6092,
    occupancy,'Loan Tape (S&amp;P)'!N6092,
    maturity_date,'Loan Tape (S&amp;P)'!L6092,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93">
      <c r="J6093">
        <f>LET(
    lien,'Loan Tape (S&amp;P)'!Q6093,
    IF(lien="First",1.00,
        IF(lien="Second",1.50,
            1.70)))</f>
        <v/>
      </c>
      <c r="K6093">
        <f>LET(
    purpose,'Loan Tape (S&amp;P)'!R6093,
    IF(purpose="Purchase",1.00,
        IF(purpose="Remortgage",1.00,
            1.20)))</f>
        <v/>
      </c>
      <c r="L6093">
        <f>LET(
    arrears_months,'Loan Tape (S&amp;P)'!AN6093,
    IF(arrears_months=0,1.00,
    IF(arrears_months=1,3.00,
    IF(arrears_months=2,5.00,
    IF(arrears_months=3,8.00,
    IF(arrears_months=4,10.00,
    IF(arrears_months=5,12.00,15.00)))))))</f>
        <v/>
      </c>
      <c r="M6093">
        <f>LET(
    seasoning_years,DATEDIF('Loan Tape (S&amp;P)'!K6093,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93">
        <f>IF(AND('Loan Tape (S&amp;P)'!U6093="Yes",
        'Loan Tape (S&amp;P)'!T6093&lt;&gt;"Yes",
        DATEDIF('Loan Tape (S&amp;P)'!K6093, TODAY(), "M")&lt;18),
    1.10,
    1.00)</f>
        <v/>
      </c>
      <c r="O6093">
        <f>IF('Loan Tape (S&amp;P)'!T6093="Yes",
    1.35,
    1.00)</f>
        <v/>
      </c>
      <c r="P6093">
        <f>IF('Loan Tape (S&amp;P)'!S6093="Yes",
    1.15,
    1.00)</f>
        <v/>
      </c>
      <c r="Q6093">
        <f>IF('Loan Tape (S&amp;P)'!V6093="Yes",
    1.20,
    1.00)</f>
        <v/>
      </c>
      <c r="T6093">
        <f>LET(
    payment_method,'Loan Tape (S&amp;P)'!P6093,
    occupancy,'Loan Tape (S&amp;P)'!N6093,
    maturity_date,'Loan Tape (S&amp;P)'!L6093,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94">
      <c r="J6094">
        <f>LET(
    lien,'Loan Tape (S&amp;P)'!Q6094,
    IF(lien="First",1.00,
        IF(lien="Second",1.50,
            1.70)))</f>
        <v/>
      </c>
      <c r="K6094">
        <f>LET(
    purpose,'Loan Tape (S&amp;P)'!R6094,
    IF(purpose="Purchase",1.00,
        IF(purpose="Remortgage",1.00,
            1.20)))</f>
        <v/>
      </c>
      <c r="L6094">
        <f>LET(
    arrears_months,'Loan Tape (S&amp;P)'!AN6094,
    IF(arrears_months=0,1.00,
    IF(arrears_months=1,3.00,
    IF(arrears_months=2,5.00,
    IF(arrears_months=3,8.00,
    IF(arrears_months=4,10.00,
    IF(arrears_months=5,12.00,15.00)))))))</f>
        <v/>
      </c>
      <c r="M6094">
        <f>LET(
    seasoning_years,DATEDIF('Loan Tape (S&amp;P)'!K6094,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94">
        <f>IF(AND('Loan Tape (S&amp;P)'!U6094="Yes",
        'Loan Tape (S&amp;P)'!T6094&lt;&gt;"Yes",
        DATEDIF('Loan Tape (S&amp;P)'!K6094, TODAY(), "M")&lt;18),
    1.10,
    1.00)</f>
        <v/>
      </c>
      <c r="O6094">
        <f>IF('Loan Tape (S&amp;P)'!T6094="Yes",
    1.35,
    1.00)</f>
        <v/>
      </c>
      <c r="P6094">
        <f>IF('Loan Tape (S&amp;P)'!S6094="Yes",
    1.15,
    1.00)</f>
        <v/>
      </c>
      <c r="Q6094">
        <f>IF('Loan Tape (S&amp;P)'!V6094="Yes",
    1.20,
    1.00)</f>
        <v/>
      </c>
      <c r="T6094">
        <f>LET(
    payment_method,'Loan Tape (S&amp;P)'!P6094,
    occupancy,'Loan Tape (S&amp;P)'!N6094,
    maturity_date,'Loan Tape (S&amp;P)'!L6094,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95">
      <c r="J6095">
        <f>LET(
    lien,'Loan Tape (S&amp;P)'!Q6095,
    IF(lien="First",1.00,
        IF(lien="Second",1.50,
            1.70)))</f>
        <v/>
      </c>
      <c r="K6095">
        <f>LET(
    purpose,'Loan Tape (S&amp;P)'!R6095,
    IF(purpose="Purchase",1.00,
        IF(purpose="Remortgage",1.00,
            1.20)))</f>
        <v/>
      </c>
      <c r="L6095">
        <f>LET(
    arrears_months,'Loan Tape (S&amp;P)'!AN6095,
    IF(arrears_months=0,1.00,
    IF(arrears_months=1,3.00,
    IF(arrears_months=2,5.00,
    IF(arrears_months=3,8.00,
    IF(arrears_months=4,10.00,
    IF(arrears_months=5,12.00,15.00)))))))</f>
        <v/>
      </c>
      <c r="M6095">
        <f>LET(
    seasoning_years,DATEDIF('Loan Tape (S&amp;P)'!K6095,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95">
        <f>IF(AND('Loan Tape (S&amp;P)'!U6095="Yes",
        'Loan Tape (S&amp;P)'!T6095&lt;&gt;"Yes",
        DATEDIF('Loan Tape (S&amp;P)'!K6095, TODAY(), "M")&lt;18),
    1.10,
    1.00)</f>
        <v/>
      </c>
      <c r="O6095">
        <f>IF('Loan Tape (S&amp;P)'!T6095="Yes",
    1.35,
    1.00)</f>
        <v/>
      </c>
      <c r="P6095">
        <f>IF('Loan Tape (S&amp;P)'!S6095="Yes",
    1.15,
    1.00)</f>
        <v/>
      </c>
      <c r="Q6095">
        <f>IF('Loan Tape (S&amp;P)'!V6095="Yes",
    1.20,
    1.00)</f>
        <v/>
      </c>
      <c r="T6095">
        <f>LET(
    payment_method,'Loan Tape (S&amp;P)'!P6095,
    occupancy,'Loan Tape (S&amp;P)'!N6095,
    maturity_date,'Loan Tape (S&amp;P)'!L6095,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96">
      <c r="J6096">
        <f>LET(
    lien,'Loan Tape (S&amp;P)'!Q6096,
    IF(lien="First",1.00,
        IF(lien="Second",1.50,
            1.70)))</f>
        <v/>
      </c>
      <c r="K6096">
        <f>LET(
    purpose,'Loan Tape (S&amp;P)'!R6096,
    IF(purpose="Purchase",1.00,
        IF(purpose="Remortgage",1.00,
            1.20)))</f>
        <v/>
      </c>
      <c r="L6096">
        <f>LET(
    arrears_months,'Loan Tape (S&amp;P)'!AN6096,
    IF(arrears_months=0,1.00,
    IF(arrears_months=1,3.00,
    IF(arrears_months=2,5.00,
    IF(arrears_months=3,8.00,
    IF(arrears_months=4,10.00,
    IF(arrears_months=5,12.00,15.00)))))))</f>
        <v/>
      </c>
      <c r="M6096">
        <f>LET(
    seasoning_years,DATEDIF('Loan Tape (S&amp;P)'!K6096,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96">
        <f>IF(AND('Loan Tape (S&amp;P)'!U6096="Yes",
        'Loan Tape (S&amp;P)'!T6096&lt;&gt;"Yes",
        DATEDIF('Loan Tape (S&amp;P)'!K6096, TODAY(), "M")&lt;18),
    1.10,
    1.00)</f>
        <v/>
      </c>
      <c r="O6096">
        <f>IF('Loan Tape (S&amp;P)'!T6096="Yes",
    1.35,
    1.00)</f>
        <v/>
      </c>
      <c r="P6096">
        <f>IF('Loan Tape (S&amp;P)'!S6096="Yes",
    1.15,
    1.00)</f>
        <v/>
      </c>
      <c r="Q6096">
        <f>IF('Loan Tape (S&amp;P)'!V6096="Yes",
    1.20,
    1.00)</f>
        <v/>
      </c>
      <c r="T6096">
        <f>LET(
    payment_method,'Loan Tape (S&amp;P)'!P6096,
    occupancy,'Loan Tape (S&amp;P)'!N6096,
    maturity_date,'Loan Tape (S&amp;P)'!L6096,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97">
      <c r="J6097">
        <f>LET(
    lien,'Loan Tape (S&amp;P)'!Q6097,
    IF(lien="First",1.00,
        IF(lien="Second",1.50,
            1.70)))</f>
        <v/>
      </c>
      <c r="K6097">
        <f>LET(
    purpose,'Loan Tape (S&amp;P)'!R6097,
    IF(purpose="Purchase",1.00,
        IF(purpose="Remortgage",1.00,
            1.20)))</f>
        <v/>
      </c>
      <c r="L6097">
        <f>LET(
    arrears_months,'Loan Tape (S&amp;P)'!AN6097,
    IF(arrears_months=0,1.00,
    IF(arrears_months=1,3.00,
    IF(arrears_months=2,5.00,
    IF(arrears_months=3,8.00,
    IF(arrears_months=4,10.00,
    IF(arrears_months=5,12.00,15.00)))))))</f>
        <v/>
      </c>
      <c r="M6097">
        <f>LET(
    seasoning_years,DATEDIF('Loan Tape (S&amp;P)'!K6097,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97">
        <f>IF(AND('Loan Tape (S&amp;P)'!U6097="Yes",
        'Loan Tape (S&amp;P)'!T6097&lt;&gt;"Yes",
        DATEDIF('Loan Tape (S&amp;P)'!K6097, TODAY(), "M")&lt;18),
    1.10,
    1.00)</f>
        <v/>
      </c>
      <c r="O6097">
        <f>IF('Loan Tape (S&amp;P)'!T6097="Yes",
    1.35,
    1.00)</f>
        <v/>
      </c>
      <c r="P6097">
        <f>IF('Loan Tape (S&amp;P)'!S6097="Yes",
    1.15,
    1.00)</f>
        <v/>
      </c>
      <c r="Q6097">
        <f>IF('Loan Tape (S&amp;P)'!V6097="Yes",
    1.20,
    1.00)</f>
        <v/>
      </c>
      <c r="T6097">
        <f>LET(
    payment_method,'Loan Tape (S&amp;P)'!P6097,
    occupancy,'Loan Tape (S&amp;P)'!N6097,
    maturity_date,'Loan Tape (S&amp;P)'!L6097,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98">
      <c r="J6098">
        <f>LET(
    lien,'Loan Tape (S&amp;P)'!Q6098,
    IF(lien="First",1.00,
        IF(lien="Second",1.50,
            1.70)))</f>
        <v/>
      </c>
      <c r="K6098">
        <f>LET(
    purpose,'Loan Tape (S&amp;P)'!R6098,
    IF(purpose="Purchase",1.00,
        IF(purpose="Remortgage",1.00,
            1.20)))</f>
        <v/>
      </c>
      <c r="L6098">
        <f>LET(
    arrears_months,'Loan Tape (S&amp;P)'!AN6098,
    IF(arrears_months=0,1.00,
    IF(arrears_months=1,3.00,
    IF(arrears_months=2,5.00,
    IF(arrears_months=3,8.00,
    IF(arrears_months=4,10.00,
    IF(arrears_months=5,12.00,15.00)))))))</f>
        <v/>
      </c>
      <c r="M6098">
        <f>LET(
    seasoning_years,DATEDIF('Loan Tape (S&amp;P)'!K6098,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98">
        <f>IF(AND('Loan Tape (S&amp;P)'!U6098="Yes",
        'Loan Tape (S&amp;P)'!T6098&lt;&gt;"Yes",
        DATEDIF('Loan Tape (S&amp;P)'!K6098, TODAY(), "M")&lt;18),
    1.10,
    1.00)</f>
        <v/>
      </c>
      <c r="O6098">
        <f>IF('Loan Tape (S&amp;P)'!T6098="Yes",
    1.35,
    1.00)</f>
        <v/>
      </c>
      <c r="P6098">
        <f>IF('Loan Tape (S&amp;P)'!S6098="Yes",
    1.15,
    1.00)</f>
        <v/>
      </c>
      <c r="Q6098">
        <f>IF('Loan Tape (S&amp;P)'!V6098="Yes",
    1.20,
    1.00)</f>
        <v/>
      </c>
      <c r="T6098">
        <f>LET(
    payment_method,'Loan Tape (S&amp;P)'!P6098,
    occupancy,'Loan Tape (S&amp;P)'!N6098,
    maturity_date,'Loan Tape (S&amp;P)'!L6098,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099">
      <c r="J6099">
        <f>LET(
    lien,'Loan Tape (S&amp;P)'!Q6099,
    IF(lien="First",1.00,
        IF(lien="Second",1.50,
            1.70)))</f>
        <v/>
      </c>
      <c r="K6099">
        <f>LET(
    purpose,'Loan Tape (S&amp;P)'!R6099,
    IF(purpose="Purchase",1.00,
        IF(purpose="Remortgage",1.00,
            1.20)))</f>
        <v/>
      </c>
      <c r="L6099">
        <f>LET(
    arrears_months,'Loan Tape (S&amp;P)'!AN6099,
    IF(arrears_months=0,1.00,
    IF(arrears_months=1,3.00,
    IF(arrears_months=2,5.00,
    IF(arrears_months=3,8.00,
    IF(arrears_months=4,10.00,
    IF(arrears_months=5,12.00,15.00)))))))</f>
        <v/>
      </c>
      <c r="M6099">
        <f>LET(
    seasoning_years,DATEDIF('Loan Tape (S&amp;P)'!K6099,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099">
        <f>IF(AND('Loan Tape (S&amp;P)'!U6099="Yes",
        'Loan Tape (S&amp;P)'!T6099&lt;&gt;"Yes",
        DATEDIF('Loan Tape (S&amp;P)'!K6099, TODAY(), "M")&lt;18),
    1.10,
    1.00)</f>
        <v/>
      </c>
      <c r="O6099">
        <f>IF('Loan Tape (S&amp;P)'!T6099="Yes",
    1.35,
    1.00)</f>
        <v/>
      </c>
      <c r="P6099">
        <f>IF('Loan Tape (S&amp;P)'!S6099="Yes",
    1.15,
    1.00)</f>
        <v/>
      </c>
      <c r="Q6099">
        <f>IF('Loan Tape (S&amp;P)'!V6099="Yes",
    1.20,
    1.00)</f>
        <v/>
      </c>
      <c r="T6099">
        <f>LET(
    payment_method,'Loan Tape (S&amp;P)'!P6099,
    occupancy,'Loan Tape (S&amp;P)'!N6099,
    maturity_date,'Loan Tape (S&amp;P)'!L6099,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00">
      <c r="J6100">
        <f>LET(
    lien,'Loan Tape (S&amp;P)'!Q6100,
    IF(lien="First",1.00,
        IF(lien="Second",1.50,
            1.70)))</f>
        <v/>
      </c>
      <c r="K6100">
        <f>LET(
    purpose,'Loan Tape (S&amp;P)'!R6100,
    IF(purpose="Purchase",1.00,
        IF(purpose="Remortgage",1.00,
            1.20)))</f>
        <v/>
      </c>
      <c r="L6100">
        <f>LET(
    arrears_months,'Loan Tape (S&amp;P)'!AN6100,
    IF(arrears_months=0,1.00,
    IF(arrears_months=1,3.00,
    IF(arrears_months=2,5.00,
    IF(arrears_months=3,8.00,
    IF(arrears_months=4,10.00,
    IF(arrears_months=5,12.00,15.00)))))))</f>
        <v/>
      </c>
      <c r="M6100">
        <f>LET(
    seasoning_years,DATEDIF('Loan Tape (S&amp;P)'!K6100,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00">
        <f>IF(AND('Loan Tape (S&amp;P)'!U6100="Yes",
        'Loan Tape (S&amp;P)'!T6100&lt;&gt;"Yes",
        DATEDIF('Loan Tape (S&amp;P)'!K6100, TODAY(), "M")&lt;18),
    1.10,
    1.00)</f>
        <v/>
      </c>
      <c r="O6100">
        <f>IF('Loan Tape (S&amp;P)'!T6100="Yes",
    1.35,
    1.00)</f>
        <v/>
      </c>
      <c r="P6100">
        <f>IF('Loan Tape (S&amp;P)'!S6100="Yes",
    1.15,
    1.00)</f>
        <v/>
      </c>
      <c r="Q6100">
        <f>IF('Loan Tape (S&amp;P)'!V6100="Yes",
    1.20,
    1.00)</f>
        <v/>
      </c>
      <c r="T6100">
        <f>LET(
    payment_method,'Loan Tape (S&amp;P)'!P6100,
    occupancy,'Loan Tape (S&amp;P)'!N6100,
    maturity_date,'Loan Tape (S&amp;P)'!L6100,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01">
      <c r="J6101">
        <f>LET(
    lien,'Loan Tape (S&amp;P)'!Q6101,
    IF(lien="First",1.00,
        IF(lien="Second",1.50,
            1.70)))</f>
        <v/>
      </c>
      <c r="K6101">
        <f>LET(
    purpose,'Loan Tape (S&amp;P)'!R6101,
    IF(purpose="Purchase",1.00,
        IF(purpose="Remortgage",1.00,
            1.20)))</f>
        <v/>
      </c>
      <c r="L6101">
        <f>LET(
    arrears_months,'Loan Tape (S&amp;P)'!AN6101,
    IF(arrears_months=0,1.00,
    IF(arrears_months=1,3.00,
    IF(arrears_months=2,5.00,
    IF(arrears_months=3,8.00,
    IF(arrears_months=4,10.00,
    IF(arrears_months=5,12.00,15.00)))))))</f>
        <v/>
      </c>
      <c r="M6101">
        <f>LET(
    seasoning_years,DATEDIF('Loan Tape (S&amp;P)'!K6101,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01">
        <f>IF(AND('Loan Tape (S&amp;P)'!U6101="Yes",
        'Loan Tape (S&amp;P)'!T6101&lt;&gt;"Yes",
        DATEDIF('Loan Tape (S&amp;P)'!K6101, TODAY(), "M")&lt;18),
    1.10,
    1.00)</f>
        <v/>
      </c>
      <c r="O6101">
        <f>IF('Loan Tape (S&amp;P)'!T6101="Yes",
    1.35,
    1.00)</f>
        <v/>
      </c>
      <c r="P6101">
        <f>IF('Loan Tape (S&amp;P)'!S6101="Yes",
    1.15,
    1.00)</f>
        <v/>
      </c>
      <c r="Q6101">
        <f>IF('Loan Tape (S&amp;P)'!V6101="Yes",
    1.20,
    1.00)</f>
        <v/>
      </c>
      <c r="T6101">
        <f>LET(
    payment_method,'Loan Tape (S&amp;P)'!P6101,
    occupancy,'Loan Tape (S&amp;P)'!N6101,
    maturity_date,'Loan Tape (S&amp;P)'!L6101,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02">
      <c r="J6102">
        <f>LET(
    lien,'Loan Tape (S&amp;P)'!Q6102,
    IF(lien="First",1.00,
        IF(lien="Second",1.50,
            1.70)))</f>
        <v/>
      </c>
      <c r="K6102">
        <f>LET(
    purpose,'Loan Tape (S&amp;P)'!R6102,
    IF(purpose="Purchase",1.00,
        IF(purpose="Remortgage",1.00,
            1.20)))</f>
        <v/>
      </c>
      <c r="L6102">
        <f>LET(
    arrears_months,'Loan Tape (S&amp;P)'!AN6102,
    IF(arrears_months=0,1.00,
    IF(arrears_months=1,3.00,
    IF(arrears_months=2,5.00,
    IF(arrears_months=3,8.00,
    IF(arrears_months=4,10.00,
    IF(arrears_months=5,12.00,15.00)))))))</f>
        <v/>
      </c>
      <c r="M6102">
        <f>LET(
    seasoning_years,DATEDIF('Loan Tape (S&amp;P)'!K6102,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02">
        <f>IF(AND('Loan Tape (S&amp;P)'!U6102="Yes",
        'Loan Tape (S&amp;P)'!T6102&lt;&gt;"Yes",
        DATEDIF('Loan Tape (S&amp;P)'!K6102, TODAY(), "M")&lt;18),
    1.10,
    1.00)</f>
        <v/>
      </c>
      <c r="O6102">
        <f>IF('Loan Tape (S&amp;P)'!T6102="Yes",
    1.35,
    1.00)</f>
        <v/>
      </c>
      <c r="P6102">
        <f>IF('Loan Tape (S&amp;P)'!S6102="Yes",
    1.15,
    1.00)</f>
        <v/>
      </c>
      <c r="Q6102">
        <f>IF('Loan Tape (S&amp;P)'!V6102="Yes",
    1.20,
    1.00)</f>
        <v/>
      </c>
      <c r="T6102">
        <f>LET(
    payment_method,'Loan Tape (S&amp;P)'!P6102,
    occupancy,'Loan Tape (S&amp;P)'!N6102,
    maturity_date,'Loan Tape (S&amp;P)'!L6102,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03">
      <c r="J6103">
        <f>LET(
    lien,'Loan Tape (S&amp;P)'!Q6103,
    IF(lien="First",1.00,
        IF(lien="Second",1.50,
            1.70)))</f>
        <v/>
      </c>
      <c r="K6103">
        <f>LET(
    purpose,'Loan Tape (S&amp;P)'!R6103,
    IF(purpose="Purchase",1.00,
        IF(purpose="Remortgage",1.00,
            1.20)))</f>
        <v/>
      </c>
      <c r="L6103">
        <f>LET(
    arrears_months,'Loan Tape (S&amp;P)'!AN6103,
    IF(arrears_months=0,1.00,
    IF(arrears_months=1,3.00,
    IF(arrears_months=2,5.00,
    IF(arrears_months=3,8.00,
    IF(arrears_months=4,10.00,
    IF(arrears_months=5,12.00,15.00)))))))</f>
        <v/>
      </c>
      <c r="M6103">
        <f>LET(
    seasoning_years,DATEDIF('Loan Tape (S&amp;P)'!K6103,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03">
        <f>IF(AND('Loan Tape (S&amp;P)'!U6103="Yes",
        'Loan Tape (S&amp;P)'!T6103&lt;&gt;"Yes",
        DATEDIF('Loan Tape (S&amp;P)'!K6103, TODAY(), "M")&lt;18),
    1.10,
    1.00)</f>
        <v/>
      </c>
      <c r="O6103">
        <f>IF('Loan Tape (S&amp;P)'!T6103="Yes",
    1.35,
    1.00)</f>
        <v/>
      </c>
      <c r="P6103">
        <f>IF('Loan Tape (S&amp;P)'!S6103="Yes",
    1.15,
    1.00)</f>
        <v/>
      </c>
      <c r="Q6103">
        <f>IF('Loan Tape (S&amp;P)'!V6103="Yes",
    1.20,
    1.00)</f>
        <v/>
      </c>
      <c r="T6103">
        <f>LET(
    payment_method,'Loan Tape (S&amp;P)'!P6103,
    occupancy,'Loan Tape (S&amp;P)'!N6103,
    maturity_date,'Loan Tape (S&amp;P)'!L6103,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04">
      <c r="J6104">
        <f>LET(
    lien,'Loan Tape (S&amp;P)'!Q6104,
    IF(lien="First",1.00,
        IF(lien="Second",1.50,
            1.70)))</f>
        <v/>
      </c>
      <c r="K6104">
        <f>LET(
    purpose,'Loan Tape (S&amp;P)'!R6104,
    IF(purpose="Purchase",1.00,
        IF(purpose="Remortgage",1.00,
            1.20)))</f>
        <v/>
      </c>
      <c r="L6104">
        <f>LET(
    arrears_months,'Loan Tape (S&amp;P)'!AN6104,
    IF(arrears_months=0,1.00,
    IF(arrears_months=1,3.00,
    IF(arrears_months=2,5.00,
    IF(arrears_months=3,8.00,
    IF(arrears_months=4,10.00,
    IF(arrears_months=5,12.00,15.00)))))))</f>
        <v/>
      </c>
      <c r="M6104">
        <f>LET(
    seasoning_years,DATEDIF('Loan Tape (S&amp;P)'!K6104,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04">
        <f>IF(AND('Loan Tape (S&amp;P)'!U6104="Yes",
        'Loan Tape (S&amp;P)'!T6104&lt;&gt;"Yes",
        DATEDIF('Loan Tape (S&amp;P)'!K6104, TODAY(), "M")&lt;18),
    1.10,
    1.00)</f>
        <v/>
      </c>
      <c r="O6104">
        <f>IF('Loan Tape (S&amp;P)'!T6104="Yes",
    1.35,
    1.00)</f>
        <v/>
      </c>
      <c r="P6104">
        <f>IF('Loan Tape (S&amp;P)'!S6104="Yes",
    1.15,
    1.00)</f>
        <v/>
      </c>
      <c r="Q6104">
        <f>IF('Loan Tape (S&amp;P)'!V6104="Yes",
    1.20,
    1.00)</f>
        <v/>
      </c>
      <c r="T6104">
        <f>LET(
    payment_method,'Loan Tape (S&amp;P)'!P6104,
    occupancy,'Loan Tape (S&amp;P)'!N6104,
    maturity_date,'Loan Tape (S&amp;P)'!L6104,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05">
      <c r="J6105">
        <f>LET(
    lien,'Loan Tape (S&amp;P)'!Q6105,
    IF(lien="First",1.00,
        IF(lien="Second",1.50,
            1.70)))</f>
        <v/>
      </c>
      <c r="K6105">
        <f>LET(
    purpose,'Loan Tape (S&amp;P)'!R6105,
    IF(purpose="Purchase",1.00,
        IF(purpose="Remortgage",1.00,
            1.20)))</f>
        <v/>
      </c>
      <c r="L6105">
        <f>LET(
    arrears_months,'Loan Tape (S&amp;P)'!AN6105,
    IF(arrears_months=0,1.00,
    IF(arrears_months=1,3.00,
    IF(arrears_months=2,5.00,
    IF(arrears_months=3,8.00,
    IF(arrears_months=4,10.00,
    IF(arrears_months=5,12.00,15.00)))))))</f>
        <v/>
      </c>
      <c r="M6105">
        <f>LET(
    seasoning_years,DATEDIF('Loan Tape (S&amp;P)'!K6105,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05">
        <f>IF(AND('Loan Tape (S&amp;P)'!U6105="Yes",
        'Loan Tape (S&amp;P)'!T6105&lt;&gt;"Yes",
        DATEDIF('Loan Tape (S&amp;P)'!K6105, TODAY(), "M")&lt;18),
    1.10,
    1.00)</f>
        <v/>
      </c>
      <c r="O6105">
        <f>IF('Loan Tape (S&amp;P)'!T6105="Yes",
    1.35,
    1.00)</f>
        <v/>
      </c>
      <c r="P6105">
        <f>IF('Loan Tape (S&amp;P)'!S6105="Yes",
    1.15,
    1.00)</f>
        <v/>
      </c>
      <c r="Q6105">
        <f>IF('Loan Tape (S&amp;P)'!V6105="Yes",
    1.20,
    1.00)</f>
        <v/>
      </c>
      <c r="T6105">
        <f>LET(
    payment_method,'Loan Tape (S&amp;P)'!P6105,
    occupancy,'Loan Tape (S&amp;P)'!N6105,
    maturity_date,'Loan Tape (S&amp;P)'!L6105,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06">
      <c r="J6106">
        <f>LET(
    lien,'Loan Tape (S&amp;P)'!Q6106,
    IF(lien="First",1.00,
        IF(lien="Second",1.50,
            1.70)))</f>
        <v/>
      </c>
      <c r="K6106">
        <f>LET(
    purpose,'Loan Tape (S&amp;P)'!R6106,
    IF(purpose="Purchase",1.00,
        IF(purpose="Remortgage",1.00,
            1.20)))</f>
        <v/>
      </c>
      <c r="L6106">
        <f>LET(
    arrears_months,'Loan Tape (S&amp;P)'!AN6106,
    IF(arrears_months=0,1.00,
    IF(arrears_months=1,3.00,
    IF(arrears_months=2,5.00,
    IF(arrears_months=3,8.00,
    IF(arrears_months=4,10.00,
    IF(arrears_months=5,12.00,15.00)))))))</f>
        <v/>
      </c>
      <c r="M6106">
        <f>LET(
    seasoning_years,DATEDIF('Loan Tape (S&amp;P)'!K6106,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06">
        <f>IF(AND('Loan Tape (S&amp;P)'!U6106="Yes",
        'Loan Tape (S&amp;P)'!T6106&lt;&gt;"Yes",
        DATEDIF('Loan Tape (S&amp;P)'!K6106, TODAY(), "M")&lt;18),
    1.10,
    1.00)</f>
        <v/>
      </c>
      <c r="O6106">
        <f>IF('Loan Tape (S&amp;P)'!T6106="Yes",
    1.35,
    1.00)</f>
        <v/>
      </c>
      <c r="P6106">
        <f>IF('Loan Tape (S&amp;P)'!S6106="Yes",
    1.15,
    1.00)</f>
        <v/>
      </c>
      <c r="Q6106">
        <f>IF('Loan Tape (S&amp;P)'!V6106="Yes",
    1.20,
    1.00)</f>
        <v/>
      </c>
      <c r="T6106">
        <f>LET(
    payment_method,'Loan Tape (S&amp;P)'!P6106,
    occupancy,'Loan Tape (S&amp;P)'!N6106,
    maturity_date,'Loan Tape (S&amp;P)'!L6106,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07">
      <c r="J6107">
        <f>LET(
    lien,'Loan Tape (S&amp;P)'!Q6107,
    IF(lien="First",1.00,
        IF(lien="Second",1.50,
            1.70)))</f>
        <v/>
      </c>
      <c r="K6107">
        <f>LET(
    purpose,'Loan Tape (S&amp;P)'!R6107,
    IF(purpose="Purchase",1.00,
        IF(purpose="Remortgage",1.00,
            1.20)))</f>
        <v/>
      </c>
      <c r="L6107">
        <f>LET(
    arrears_months,'Loan Tape (S&amp;P)'!AN6107,
    IF(arrears_months=0,1.00,
    IF(arrears_months=1,3.00,
    IF(arrears_months=2,5.00,
    IF(arrears_months=3,8.00,
    IF(arrears_months=4,10.00,
    IF(arrears_months=5,12.00,15.00)))))))</f>
        <v/>
      </c>
      <c r="M6107">
        <f>LET(
    seasoning_years,DATEDIF('Loan Tape (S&amp;P)'!K6107,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07">
        <f>IF(AND('Loan Tape (S&amp;P)'!U6107="Yes",
        'Loan Tape (S&amp;P)'!T6107&lt;&gt;"Yes",
        DATEDIF('Loan Tape (S&amp;P)'!K6107, TODAY(), "M")&lt;18),
    1.10,
    1.00)</f>
        <v/>
      </c>
      <c r="O6107">
        <f>IF('Loan Tape (S&amp;P)'!T6107="Yes",
    1.35,
    1.00)</f>
        <v/>
      </c>
      <c r="P6107">
        <f>IF('Loan Tape (S&amp;P)'!S6107="Yes",
    1.15,
    1.00)</f>
        <v/>
      </c>
      <c r="Q6107">
        <f>IF('Loan Tape (S&amp;P)'!V6107="Yes",
    1.20,
    1.00)</f>
        <v/>
      </c>
      <c r="T6107">
        <f>LET(
    payment_method,'Loan Tape (S&amp;P)'!P6107,
    occupancy,'Loan Tape (S&amp;P)'!N6107,
    maturity_date,'Loan Tape (S&amp;P)'!L6107,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08">
      <c r="J6108">
        <f>LET(
    lien,'Loan Tape (S&amp;P)'!Q6108,
    IF(lien="First",1.00,
        IF(lien="Second",1.50,
            1.70)))</f>
        <v/>
      </c>
      <c r="K6108">
        <f>LET(
    purpose,'Loan Tape (S&amp;P)'!R6108,
    IF(purpose="Purchase",1.00,
        IF(purpose="Remortgage",1.00,
            1.20)))</f>
        <v/>
      </c>
      <c r="L6108">
        <f>LET(
    arrears_months,'Loan Tape (S&amp;P)'!AN6108,
    IF(arrears_months=0,1.00,
    IF(arrears_months=1,3.00,
    IF(arrears_months=2,5.00,
    IF(arrears_months=3,8.00,
    IF(arrears_months=4,10.00,
    IF(arrears_months=5,12.00,15.00)))))))</f>
        <v/>
      </c>
      <c r="M6108">
        <f>LET(
    seasoning_years,DATEDIF('Loan Tape (S&amp;P)'!K6108,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08">
        <f>IF(AND('Loan Tape (S&amp;P)'!U6108="Yes",
        'Loan Tape (S&amp;P)'!T6108&lt;&gt;"Yes",
        DATEDIF('Loan Tape (S&amp;P)'!K6108, TODAY(), "M")&lt;18),
    1.10,
    1.00)</f>
        <v/>
      </c>
      <c r="O6108">
        <f>IF('Loan Tape (S&amp;P)'!T6108="Yes",
    1.35,
    1.00)</f>
        <v/>
      </c>
      <c r="P6108">
        <f>IF('Loan Tape (S&amp;P)'!S6108="Yes",
    1.15,
    1.00)</f>
        <v/>
      </c>
      <c r="Q6108">
        <f>IF('Loan Tape (S&amp;P)'!V6108="Yes",
    1.20,
    1.00)</f>
        <v/>
      </c>
      <c r="T6108">
        <f>LET(
    payment_method,'Loan Tape (S&amp;P)'!P6108,
    occupancy,'Loan Tape (S&amp;P)'!N6108,
    maturity_date,'Loan Tape (S&amp;P)'!L6108,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09">
      <c r="J6109">
        <f>LET(
    lien,'Loan Tape (S&amp;P)'!Q6109,
    IF(lien="First",1.00,
        IF(lien="Second",1.50,
            1.70)))</f>
        <v/>
      </c>
      <c r="K6109">
        <f>LET(
    purpose,'Loan Tape (S&amp;P)'!R6109,
    IF(purpose="Purchase",1.00,
        IF(purpose="Remortgage",1.00,
            1.20)))</f>
        <v/>
      </c>
      <c r="L6109">
        <f>LET(
    arrears_months,'Loan Tape (S&amp;P)'!AN6109,
    IF(arrears_months=0,1.00,
    IF(arrears_months=1,3.00,
    IF(arrears_months=2,5.00,
    IF(arrears_months=3,8.00,
    IF(arrears_months=4,10.00,
    IF(arrears_months=5,12.00,15.00)))))))</f>
        <v/>
      </c>
      <c r="M6109">
        <f>LET(
    seasoning_years,DATEDIF('Loan Tape (S&amp;P)'!K6109,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09">
        <f>IF(AND('Loan Tape (S&amp;P)'!U6109="Yes",
        'Loan Tape (S&amp;P)'!T6109&lt;&gt;"Yes",
        DATEDIF('Loan Tape (S&amp;P)'!K6109, TODAY(), "M")&lt;18),
    1.10,
    1.00)</f>
        <v/>
      </c>
      <c r="O6109">
        <f>IF('Loan Tape (S&amp;P)'!T6109="Yes",
    1.35,
    1.00)</f>
        <v/>
      </c>
      <c r="P6109">
        <f>IF('Loan Tape (S&amp;P)'!S6109="Yes",
    1.15,
    1.00)</f>
        <v/>
      </c>
      <c r="Q6109">
        <f>IF('Loan Tape (S&amp;P)'!V6109="Yes",
    1.20,
    1.00)</f>
        <v/>
      </c>
      <c r="T6109">
        <f>LET(
    payment_method,'Loan Tape (S&amp;P)'!P6109,
    occupancy,'Loan Tape (S&amp;P)'!N6109,
    maturity_date,'Loan Tape (S&amp;P)'!L6109,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10">
      <c r="J6110">
        <f>LET(
    lien,'Loan Tape (S&amp;P)'!Q6110,
    IF(lien="First",1.00,
        IF(lien="Second",1.50,
            1.70)))</f>
        <v/>
      </c>
      <c r="K6110">
        <f>LET(
    purpose,'Loan Tape (S&amp;P)'!R6110,
    IF(purpose="Purchase",1.00,
        IF(purpose="Remortgage",1.00,
            1.20)))</f>
        <v/>
      </c>
      <c r="L6110">
        <f>LET(
    arrears_months,'Loan Tape (S&amp;P)'!AN6110,
    IF(arrears_months=0,1.00,
    IF(arrears_months=1,3.00,
    IF(arrears_months=2,5.00,
    IF(arrears_months=3,8.00,
    IF(arrears_months=4,10.00,
    IF(arrears_months=5,12.00,15.00)))))))</f>
        <v/>
      </c>
      <c r="M6110">
        <f>LET(
    seasoning_years,DATEDIF('Loan Tape (S&amp;P)'!K6110,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10">
        <f>IF(AND('Loan Tape (S&amp;P)'!U6110="Yes",
        'Loan Tape (S&amp;P)'!T6110&lt;&gt;"Yes",
        DATEDIF('Loan Tape (S&amp;P)'!K6110, TODAY(), "M")&lt;18),
    1.10,
    1.00)</f>
        <v/>
      </c>
      <c r="O6110">
        <f>IF('Loan Tape (S&amp;P)'!T6110="Yes",
    1.35,
    1.00)</f>
        <v/>
      </c>
      <c r="P6110">
        <f>IF('Loan Tape (S&amp;P)'!S6110="Yes",
    1.15,
    1.00)</f>
        <v/>
      </c>
      <c r="Q6110">
        <f>IF('Loan Tape (S&amp;P)'!V6110="Yes",
    1.20,
    1.00)</f>
        <v/>
      </c>
      <c r="T6110">
        <f>LET(
    payment_method,'Loan Tape (S&amp;P)'!P6110,
    occupancy,'Loan Tape (S&amp;P)'!N6110,
    maturity_date,'Loan Tape (S&amp;P)'!L6110,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11">
      <c r="J6111">
        <f>LET(
    lien,'Loan Tape (S&amp;P)'!Q6111,
    IF(lien="First",1.00,
        IF(lien="Second",1.50,
            1.70)))</f>
        <v/>
      </c>
      <c r="K6111">
        <f>LET(
    purpose,'Loan Tape (S&amp;P)'!R6111,
    IF(purpose="Purchase",1.00,
        IF(purpose="Remortgage",1.00,
            1.20)))</f>
        <v/>
      </c>
      <c r="L6111">
        <f>LET(
    arrears_months,'Loan Tape (S&amp;P)'!AN6111,
    IF(arrears_months=0,1.00,
    IF(arrears_months=1,3.00,
    IF(arrears_months=2,5.00,
    IF(arrears_months=3,8.00,
    IF(arrears_months=4,10.00,
    IF(arrears_months=5,12.00,15.00)))))))</f>
        <v/>
      </c>
      <c r="M6111">
        <f>LET(
    seasoning_years,DATEDIF('Loan Tape (S&amp;P)'!K6111,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11">
        <f>IF(AND('Loan Tape (S&amp;P)'!U6111="Yes",
        'Loan Tape (S&amp;P)'!T6111&lt;&gt;"Yes",
        DATEDIF('Loan Tape (S&amp;P)'!K6111, TODAY(), "M")&lt;18),
    1.10,
    1.00)</f>
        <v/>
      </c>
      <c r="O6111">
        <f>IF('Loan Tape (S&amp;P)'!T6111="Yes",
    1.35,
    1.00)</f>
        <v/>
      </c>
      <c r="P6111">
        <f>IF('Loan Tape (S&amp;P)'!S6111="Yes",
    1.15,
    1.00)</f>
        <v/>
      </c>
      <c r="Q6111">
        <f>IF('Loan Tape (S&amp;P)'!V6111="Yes",
    1.20,
    1.00)</f>
        <v/>
      </c>
      <c r="T6111">
        <f>LET(
    payment_method,'Loan Tape (S&amp;P)'!P6111,
    occupancy,'Loan Tape (S&amp;P)'!N6111,
    maturity_date,'Loan Tape (S&amp;P)'!L6111,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12">
      <c r="J6112">
        <f>LET(
    lien,'Loan Tape (S&amp;P)'!Q6112,
    IF(lien="First",1.00,
        IF(lien="Second",1.50,
            1.70)))</f>
        <v/>
      </c>
      <c r="K6112">
        <f>LET(
    purpose,'Loan Tape (S&amp;P)'!R6112,
    IF(purpose="Purchase",1.00,
        IF(purpose="Remortgage",1.00,
            1.20)))</f>
        <v/>
      </c>
      <c r="L6112">
        <f>LET(
    arrears_months,'Loan Tape (S&amp;P)'!AN6112,
    IF(arrears_months=0,1.00,
    IF(arrears_months=1,3.00,
    IF(arrears_months=2,5.00,
    IF(arrears_months=3,8.00,
    IF(arrears_months=4,10.00,
    IF(arrears_months=5,12.00,15.00)))))))</f>
        <v/>
      </c>
      <c r="M6112">
        <f>LET(
    seasoning_years,DATEDIF('Loan Tape (S&amp;P)'!K6112,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12">
        <f>IF(AND('Loan Tape (S&amp;P)'!U6112="Yes",
        'Loan Tape (S&amp;P)'!T6112&lt;&gt;"Yes",
        DATEDIF('Loan Tape (S&amp;P)'!K6112, TODAY(), "M")&lt;18),
    1.10,
    1.00)</f>
        <v/>
      </c>
      <c r="O6112">
        <f>IF('Loan Tape (S&amp;P)'!T6112="Yes",
    1.35,
    1.00)</f>
        <v/>
      </c>
      <c r="P6112">
        <f>IF('Loan Tape (S&amp;P)'!S6112="Yes",
    1.15,
    1.00)</f>
        <v/>
      </c>
      <c r="Q6112">
        <f>IF('Loan Tape (S&amp;P)'!V6112="Yes",
    1.20,
    1.00)</f>
        <v/>
      </c>
      <c r="T6112">
        <f>LET(
    payment_method,'Loan Tape (S&amp;P)'!P6112,
    occupancy,'Loan Tape (S&amp;P)'!N6112,
    maturity_date,'Loan Tape (S&amp;P)'!L6112,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13">
      <c r="J6113">
        <f>LET(
    lien,'Loan Tape (S&amp;P)'!Q6113,
    IF(lien="First",1.00,
        IF(lien="Second",1.50,
            1.70)))</f>
        <v/>
      </c>
      <c r="K6113">
        <f>LET(
    purpose,'Loan Tape (S&amp;P)'!R6113,
    IF(purpose="Purchase",1.00,
        IF(purpose="Remortgage",1.00,
            1.20)))</f>
        <v/>
      </c>
      <c r="L6113">
        <f>LET(
    arrears_months,'Loan Tape (S&amp;P)'!AN6113,
    IF(arrears_months=0,1.00,
    IF(arrears_months=1,3.00,
    IF(arrears_months=2,5.00,
    IF(arrears_months=3,8.00,
    IF(arrears_months=4,10.00,
    IF(arrears_months=5,12.00,15.00)))))))</f>
        <v/>
      </c>
      <c r="M6113">
        <f>LET(
    seasoning_years,DATEDIF('Loan Tape (S&amp;P)'!K6113,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13">
        <f>IF(AND('Loan Tape (S&amp;P)'!U6113="Yes",
        'Loan Tape (S&amp;P)'!T6113&lt;&gt;"Yes",
        DATEDIF('Loan Tape (S&amp;P)'!K6113, TODAY(), "M")&lt;18),
    1.10,
    1.00)</f>
        <v/>
      </c>
      <c r="O6113">
        <f>IF('Loan Tape (S&amp;P)'!T6113="Yes",
    1.35,
    1.00)</f>
        <v/>
      </c>
      <c r="P6113">
        <f>IF('Loan Tape (S&amp;P)'!S6113="Yes",
    1.15,
    1.00)</f>
        <v/>
      </c>
      <c r="Q6113">
        <f>IF('Loan Tape (S&amp;P)'!V6113="Yes",
    1.20,
    1.00)</f>
        <v/>
      </c>
      <c r="T6113">
        <f>LET(
    payment_method,'Loan Tape (S&amp;P)'!P6113,
    occupancy,'Loan Tape (S&amp;P)'!N6113,
    maturity_date,'Loan Tape (S&amp;P)'!L6113,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14">
      <c r="J6114">
        <f>LET(
    lien,'Loan Tape (S&amp;P)'!Q6114,
    IF(lien="First",1.00,
        IF(lien="Second",1.50,
            1.70)))</f>
        <v/>
      </c>
      <c r="K6114">
        <f>LET(
    purpose,'Loan Tape (S&amp;P)'!R6114,
    IF(purpose="Purchase",1.00,
        IF(purpose="Remortgage",1.00,
            1.20)))</f>
        <v/>
      </c>
      <c r="L6114">
        <f>LET(
    arrears_months,'Loan Tape (S&amp;P)'!AN6114,
    IF(arrears_months=0,1.00,
    IF(arrears_months=1,3.00,
    IF(arrears_months=2,5.00,
    IF(arrears_months=3,8.00,
    IF(arrears_months=4,10.00,
    IF(arrears_months=5,12.00,15.00)))))))</f>
        <v/>
      </c>
      <c r="M6114">
        <f>LET(
    seasoning_years,DATEDIF('Loan Tape (S&amp;P)'!K6114,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14">
        <f>IF(AND('Loan Tape (S&amp;P)'!U6114="Yes",
        'Loan Tape (S&amp;P)'!T6114&lt;&gt;"Yes",
        DATEDIF('Loan Tape (S&amp;P)'!K6114, TODAY(), "M")&lt;18),
    1.10,
    1.00)</f>
        <v/>
      </c>
      <c r="O6114">
        <f>IF('Loan Tape (S&amp;P)'!T6114="Yes",
    1.35,
    1.00)</f>
        <v/>
      </c>
      <c r="P6114">
        <f>IF('Loan Tape (S&amp;P)'!S6114="Yes",
    1.15,
    1.00)</f>
        <v/>
      </c>
      <c r="Q6114">
        <f>IF('Loan Tape (S&amp;P)'!V6114="Yes",
    1.20,
    1.00)</f>
        <v/>
      </c>
      <c r="T6114">
        <f>LET(
    payment_method,'Loan Tape (S&amp;P)'!P6114,
    occupancy,'Loan Tape (S&amp;P)'!N6114,
    maturity_date,'Loan Tape (S&amp;P)'!L6114,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15">
      <c r="J6115">
        <f>LET(
    lien,'Loan Tape (S&amp;P)'!Q6115,
    IF(lien="First",1.00,
        IF(lien="Second",1.50,
            1.70)))</f>
        <v/>
      </c>
      <c r="K6115">
        <f>LET(
    purpose,'Loan Tape (S&amp;P)'!R6115,
    IF(purpose="Purchase",1.00,
        IF(purpose="Remortgage",1.00,
            1.20)))</f>
        <v/>
      </c>
      <c r="L6115">
        <f>LET(
    arrears_months,'Loan Tape (S&amp;P)'!AN6115,
    IF(arrears_months=0,1.00,
    IF(arrears_months=1,3.00,
    IF(arrears_months=2,5.00,
    IF(arrears_months=3,8.00,
    IF(arrears_months=4,10.00,
    IF(arrears_months=5,12.00,15.00)))))))</f>
        <v/>
      </c>
      <c r="M6115">
        <f>LET(
    seasoning_years,DATEDIF('Loan Tape (S&amp;P)'!K6115,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15">
        <f>IF(AND('Loan Tape (S&amp;P)'!U6115="Yes",
        'Loan Tape (S&amp;P)'!T6115&lt;&gt;"Yes",
        DATEDIF('Loan Tape (S&amp;P)'!K6115, TODAY(), "M")&lt;18),
    1.10,
    1.00)</f>
        <v/>
      </c>
      <c r="O6115">
        <f>IF('Loan Tape (S&amp;P)'!T6115="Yes",
    1.35,
    1.00)</f>
        <v/>
      </c>
      <c r="P6115">
        <f>IF('Loan Tape (S&amp;P)'!S6115="Yes",
    1.15,
    1.00)</f>
        <v/>
      </c>
      <c r="Q6115">
        <f>IF('Loan Tape (S&amp;P)'!V6115="Yes",
    1.20,
    1.00)</f>
        <v/>
      </c>
      <c r="T6115">
        <f>LET(
    payment_method,'Loan Tape (S&amp;P)'!P6115,
    occupancy,'Loan Tape (S&amp;P)'!N6115,
    maturity_date,'Loan Tape (S&amp;P)'!L6115,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16">
      <c r="J6116">
        <f>LET(
    lien,'Loan Tape (S&amp;P)'!Q6116,
    IF(lien="First",1.00,
        IF(lien="Second",1.50,
            1.70)))</f>
        <v/>
      </c>
      <c r="K6116">
        <f>LET(
    purpose,'Loan Tape (S&amp;P)'!R6116,
    IF(purpose="Purchase",1.00,
        IF(purpose="Remortgage",1.00,
            1.20)))</f>
        <v/>
      </c>
      <c r="L6116">
        <f>LET(
    arrears_months,'Loan Tape (S&amp;P)'!AN6116,
    IF(arrears_months=0,1.00,
    IF(arrears_months=1,3.00,
    IF(arrears_months=2,5.00,
    IF(arrears_months=3,8.00,
    IF(arrears_months=4,10.00,
    IF(arrears_months=5,12.00,15.00)))))))</f>
        <v/>
      </c>
      <c r="M6116">
        <f>LET(
    seasoning_years,DATEDIF('Loan Tape (S&amp;P)'!K6116,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16">
        <f>IF(AND('Loan Tape (S&amp;P)'!U6116="Yes",
        'Loan Tape (S&amp;P)'!T6116&lt;&gt;"Yes",
        DATEDIF('Loan Tape (S&amp;P)'!K6116, TODAY(), "M")&lt;18),
    1.10,
    1.00)</f>
        <v/>
      </c>
      <c r="O6116">
        <f>IF('Loan Tape (S&amp;P)'!T6116="Yes",
    1.35,
    1.00)</f>
        <v/>
      </c>
      <c r="P6116">
        <f>IF('Loan Tape (S&amp;P)'!S6116="Yes",
    1.15,
    1.00)</f>
        <v/>
      </c>
      <c r="Q6116">
        <f>IF('Loan Tape (S&amp;P)'!V6116="Yes",
    1.20,
    1.00)</f>
        <v/>
      </c>
      <c r="T6116">
        <f>LET(
    payment_method,'Loan Tape (S&amp;P)'!P6116,
    occupancy,'Loan Tape (S&amp;P)'!N6116,
    maturity_date,'Loan Tape (S&amp;P)'!L6116,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17">
      <c r="J6117">
        <f>LET(
    lien,'Loan Tape (S&amp;P)'!Q6117,
    IF(lien="First",1.00,
        IF(lien="Second",1.50,
            1.70)))</f>
        <v/>
      </c>
      <c r="K6117">
        <f>LET(
    purpose,'Loan Tape (S&amp;P)'!R6117,
    IF(purpose="Purchase",1.00,
        IF(purpose="Remortgage",1.00,
            1.20)))</f>
        <v/>
      </c>
      <c r="L6117">
        <f>LET(
    arrears_months,'Loan Tape (S&amp;P)'!AN6117,
    IF(arrears_months=0,1.00,
    IF(arrears_months=1,3.00,
    IF(arrears_months=2,5.00,
    IF(arrears_months=3,8.00,
    IF(arrears_months=4,10.00,
    IF(arrears_months=5,12.00,15.00)))))))</f>
        <v/>
      </c>
      <c r="M6117">
        <f>LET(
    seasoning_years,DATEDIF('Loan Tape (S&amp;P)'!K6117,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17">
        <f>IF(AND('Loan Tape (S&amp;P)'!U6117="Yes",
        'Loan Tape (S&amp;P)'!T6117&lt;&gt;"Yes",
        DATEDIF('Loan Tape (S&amp;P)'!K6117, TODAY(), "M")&lt;18),
    1.10,
    1.00)</f>
        <v/>
      </c>
      <c r="O6117">
        <f>IF('Loan Tape (S&amp;P)'!T6117="Yes",
    1.35,
    1.00)</f>
        <v/>
      </c>
      <c r="P6117">
        <f>IF('Loan Tape (S&amp;P)'!S6117="Yes",
    1.15,
    1.00)</f>
        <v/>
      </c>
      <c r="Q6117">
        <f>IF('Loan Tape (S&amp;P)'!V6117="Yes",
    1.20,
    1.00)</f>
        <v/>
      </c>
      <c r="T6117">
        <f>LET(
    payment_method,'Loan Tape (S&amp;P)'!P6117,
    occupancy,'Loan Tape (S&amp;P)'!N6117,
    maturity_date,'Loan Tape (S&amp;P)'!L6117,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18">
      <c r="J6118">
        <f>LET(
    lien,'Loan Tape (S&amp;P)'!Q6118,
    IF(lien="First",1.00,
        IF(lien="Second",1.50,
            1.70)))</f>
        <v/>
      </c>
      <c r="K6118">
        <f>LET(
    purpose,'Loan Tape (S&amp;P)'!R6118,
    IF(purpose="Purchase",1.00,
        IF(purpose="Remortgage",1.00,
            1.20)))</f>
        <v/>
      </c>
      <c r="L6118">
        <f>LET(
    arrears_months,'Loan Tape (S&amp;P)'!AN6118,
    IF(arrears_months=0,1.00,
    IF(arrears_months=1,3.00,
    IF(arrears_months=2,5.00,
    IF(arrears_months=3,8.00,
    IF(arrears_months=4,10.00,
    IF(arrears_months=5,12.00,15.00)))))))</f>
        <v/>
      </c>
      <c r="M6118">
        <f>LET(
    seasoning_years,DATEDIF('Loan Tape (S&amp;P)'!K6118,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18">
        <f>IF(AND('Loan Tape (S&amp;P)'!U6118="Yes",
        'Loan Tape (S&amp;P)'!T6118&lt;&gt;"Yes",
        DATEDIF('Loan Tape (S&amp;P)'!K6118, TODAY(), "M")&lt;18),
    1.10,
    1.00)</f>
        <v/>
      </c>
      <c r="O6118">
        <f>IF('Loan Tape (S&amp;P)'!T6118="Yes",
    1.35,
    1.00)</f>
        <v/>
      </c>
      <c r="P6118">
        <f>IF('Loan Tape (S&amp;P)'!S6118="Yes",
    1.15,
    1.00)</f>
        <v/>
      </c>
      <c r="Q6118">
        <f>IF('Loan Tape (S&amp;P)'!V6118="Yes",
    1.20,
    1.00)</f>
        <v/>
      </c>
      <c r="T6118">
        <f>LET(
    payment_method,'Loan Tape (S&amp;P)'!P6118,
    occupancy,'Loan Tape (S&amp;P)'!N6118,
    maturity_date,'Loan Tape (S&amp;P)'!L6118,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19">
      <c r="J6119">
        <f>LET(
    lien,'Loan Tape (S&amp;P)'!Q6119,
    IF(lien="First",1.00,
        IF(lien="Second",1.50,
            1.70)))</f>
        <v/>
      </c>
      <c r="K6119">
        <f>LET(
    purpose,'Loan Tape (S&amp;P)'!R6119,
    IF(purpose="Purchase",1.00,
        IF(purpose="Remortgage",1.00,
            1.20)))</f>
        <v/>
      </c>
      <c r="L6119">
        <f>LET(
    arrears_months,'Loan Tape (S&amp;P)'!AN6119,
    IF(arrears_months=0,1.00,
    IF(arrears_months=1,3.00,
    IF(arrears_months=2,5.00,
    IF(arrears_months=3,8.00,
    IF(arrears_months=4,10.00,
    IF(arrears_months=5,12.00,15.00)))))))</f>
        <v/>
      </c>
      <c r="M6119">
        <f>LET(
    seasoning_years,DATEDIF('Loan Tape (S&amp;P)'!K6119,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19">
        <f>IF(AND('Loan Tape (S&amp;P)'!U6119="Yes",
        'Loan Tape (S&amp;P)'!T6119&lt;&gt;"Yes",
        DATEDIF('Loan Tape (S&amp;P)'!K6119, TODAY(), "M")&lt;18),
    1.10,
    1.00)</f>
        <v/>
      </c>
      <c r="O6119">
        <f>IF('Loan Tape (S&amp;P)'!T6119="Yes",
    1.35,
    1.00)</f>
        <v/>
      </c>
      <c r="P6119">
        <f>IF('Loan Tape (S&amp;P)'!S6119="Yes",
    1.15,
    1.00)</f>
        <v/>
      </c>
      <c r="Q6119">
        <f>IF('Loan Tape (S&amp;P)'!V6119="Yes",
    1.20,
    1.00)</f>
        <v/>
      </c>
      <c r="T6119">
        <f>LET(
    payment_method,'Loan Tape (S&amp;P)'!P6119,
    occupancy,'Loan Tape (S&amp;P)'!N6119,
    maturity_date,'Loan Tape (S&amp;P)'!L6119,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20">
      <c r="J6120">
        <f>LET(
    lien,'Loan Tape (S&amp;P)'!Q6120,
    IF(lien="First",1.00,
        IF(lien="Second",1.50,
            1.70)))</f>
        <v/>
      </c>
      <c r="K6120">
        <f>LET(
    purpose,'Loan Tape (S&amp;P)'!R6120,
    IF(purpose="Purchase",1.00,
        IF(purpose="Remortgage",1.00,
            1.20)))</f>
        <v/>
      </c>
      <c r="L6120">
        <f>LET(
    arrears_months,'Loan Tape (S&amp;P)'!AN6120,
    IF(arrears_months=0,1.00,
    IF(arrears_months=1,3.00,
    IF(arrears_months=2,5.00,
    IF(arrears_months=3,8.00,
    IF(arrears_months=4,10.00,
    IF(arrears_months=5,12.00,15.00)))))))</f>
        <v/>
      </c>
      <c r="M6120">
        <f>LET(
    seasoning_years,DATEDIF('Loan Tape (S&amp;P)'!K6120,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20">
        <f>IF(AND('Loan Tape (S&amp;P)'!U6120="Yes",
        'Loan Tape (S&amp;P)'!T6120&lt;&gt;"Yes",
        DATEDIF('Loan Tape (S&amp;P)'!K6120, TODAY(), "M")&lt;18),
    1.10,
    1.00)</f>
        <v/>
      </c>
      <c r="O6120">
        <f>IF('Loan Tape (S&amp;P)'!T6120="Yes",
    1.35,
    1.00)</f>
        <v/>
      </c>
      <c r="P6120">
        <f>IF('Loan Tape (S&amp;P)'!S6120="Yes",
    1.15,
    1.00)</f>
        <v/>
      </c>
      <c r="Q6120">
        <f>IF('Loan Tape (S&amp;P)'!V6120="Yes",
    1.20,
    1.00)</f>
        <v/>
      </c>
      <c r="T6120">
        <f>LET(
    payment_method,'Loan Tape (S&amp;P)'!P6120,
    occupancy,'Loan Tape (S&amp;P)'!N6120,
    maturity_date,'Loan Tape (S&amp;P)'!L6120,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21">
      <c r="J6121">
        <f>LET(
    lien,'Loan Tape (S&amp;P)'!Q6121,
    IF(lien="First",1.00,
        IF(lien="Second",1.50,
            1.70)))</f>
        <v/>
      </c>
      <c r="K6121">
        <f>LET(
    purpose,'Loan Tape (S&amp;P)'!R6121,
    IF(purpose="Purchase",1.00,
        IF(purpose="Remortgage",1.00,
            1.20)))</f>
        <v/>
      </c>
      <c r="L6121">
        <f>LET(
    arrears_months,'Loan Tape (S&amp;P)'!AN6121,
    IF(arrears_months=0,1.00,
    IF(arrears_months=1,3.00,
    IF(arrears_months=2,5.00,
    IF(arrears_months=3,8.00,
    IF(arrears_months=4,10.00,
    IF(arrears_months=5,12.00,15.00)))))))</f>
        <v/>
      </c>
      <c r="M6121">
        <f>LET(
    seasoning_years,DATEDIF('Loan Tape (S&amp;P)'!K6121,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21">
        <f>IF(AND('Loan Tape (S&amp;P)'!U6121="Yes",
        'Loan Tape (S&amp;P)'!T6121&lt;&gt;"Yes",
        DATEDIF('Loan Tape (S&amp;P)'!K6121, TODAY(), "M")&lt;18),
    1.10,
    1.00)</f>
        <v/>
      </c>
      <c r="O6121">
        <f>IF('Loan Tape (S&amp;P)'!T6121="Yes",
    1.35,
    1.00)</f>
        <v/>
      </c>
      <c r="P6121">
        <f>IF('Loan Tape (S&amp;P)'!S6121="Yes",
    1.15,
    1.00)</f>
        <v/>
      </c>
      <c r="Q6121">
        <f>IF('Loan Tape (S&amp;P)'!V6121="Yes",
    1.20,
    1.00)</f>
        <v/>
      </c>
      <c r="T6121">
        <f>LET(
    payment_method,'Loan Tape (S&amp;P)'!P6121,
    occupancy,'Loan Tape (S&amp;P)'!N6121,
    maturity_date,'Loan Tape (S&amp;P)'!L6121,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22">
      <c r="J6122">
        <f>LET(
    lien,'Loan Tape (S&amp;P)'!Q6122,
    IF(lien="First",1.00,
        IF(lien="Second",1.50,
            1.70)))</f>
        <v/>
      </c>
      <c r="K6122">
        <f>LET(
    purpose,'Loan Tape (S&amp;P)'!R6122,
    IF(purpose="Purchase",1.00,
        IF(purpose="Remortgage",1.00,
            1.20)))</f>
        <v/>
      </c>
      <c r="L6122">
        <f>LET(
    arrears_months,'Loan Tape (S&amp;P)'!AN6122,
    IF(arrears_months=0,1.00,
    IF(arrears_months=1,3.00,
    IF(arrears_months=2,5.00,
    IF(arrears_months=3,8.00,
    IF(arrears_months=4,10.00,
    IF(arrears_months=5,12.00,15.00)))))))</f>
        <v/>
      </c>
      <c r="M6122">
        <f>LET(
    seasoning_years,DATEDIF('Loan Tape (S&amp;P)'!K6122,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22">
        <f>IF(AND('Loan Tape (S&amp;P)'!U6122="Yes",
        'Loan Tape (S&amp;P)'!T6122&lt;&gt;"Yes",
        DATEDIF('Loan Tape (S&amp;P)'!K6122, TODAY(), "M")&lt;18),
    1.10,
    1.00)</f>
        <v/>
      </c>
      <c r="O6122">
        <f>IF('Loan Tape (S&amp;P)'!T6122="Yes",
    1.35,
    1.00)</f>
        <v/>
      </c>
      <c r="P6122">
        <f>IF('Loan Tape (S&amp;P)'!S6122="Yes",
    1.15,
    1.00)</f>
        <v/>
      </c>
      <c r="Q6122">
        <f>IF('Loan Tape (S&amp;P)'!V6122="Yes",
    1.20,
    1.00)</f>
        <v/>
      </c>
      <c r="T6122">
        <f>LET(
    payment_method,'Loan Tape (S&amp;P)'!P6122,
    occupancy,'Loan Tape (S&amp;P)'!N6122,
    maturity_date,'Loan Tape (S&amp;P)'!L6122,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23">
      <c r="J6123">
        <f>LET(
    lien,'Loan Tape (S&amp;P)'!Q6123,
    IF(lien="First",1.00,
        IF(lien="Second",1.50,
            1.70)))</f>
        <v/>
      </c>
      <c r="K6123">
        <f>LET(
    purpose,'Loan Tape (S&amp;P)'!R6123,
    IF(purpose="Purchase",1.00,
        IF(purpose="Remortgage",1.00,
            1.20)))</f>
        <v/>
      </c>
      <c r="L6123">
        <f>LET(
    arrears_months,'Loan Tape (S&amp;P)'!AN6123,
    IF(arrears_months=0,1.00,
    IF(arrears_months=1,3.00,
    IF(arrears_months=2,5.00,
    IF(arrears_months=3,8.00,
    IF(arrears_months=4,10.00,
    IF(arrears_months=5,12.00,15.00)))))))</f>
        <v/>
      </c>
      <c r="M6123">
        <f>LET(
    seasoning_years,DATEDIF('Loan Tape (S&amp;P)'!K6123,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23">
        <f>IF(AND('Loan Tape (S&amp;P)'!U6123="Yes",
        'Loan Tape (S&amp;P)'!T6123&lt;&gt;"Yes",
        DATEDIF('Loan Tape (S&amp;P)'!K6123, TODAY(), "M")&lt;18),
    1.10,
    1.00)</f>
        <v/>
      </c>
      <c r="O6123">
        <f>IF('Loan Tape (S&amp;P)'!T6123="Yes",
    1.35,
    1.00)</f>
        <v/>
      </c>
      <c r="P6123">
        <f>IF('Loan Tape (S&amp;P)'!S6123="Yes",
    1.15,
    1.00)</f>
        <v/>
      </c>
      <c r="Q6123">
        <f>IF('Loan Tape (S&amp;P)'!V6123="Yes",
    1.20,
    1.00)</f>
        <v/>
      </c>
      <c r="T6123">
        <f>LET(
    payment_method,'Loan Tape (S&amp;P)'!P6123,
    occupancy,'Loan Tape (S&amp;P)'!N6123,
    maturity_date,'Loan Tape (S&amp;P)'!L6123,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24">
      <c r="J6124">
        <f>LET(
    lien,'Loan Tape (S&amp;P)'!Q6124,
    IF(lien="First",1.00,
        IF(lien="Second",1.50,
            1.70)))</f>
        <v/>
      </c>
      <c r="K6124">
        <f>LET(
    purpose,'Loan Tape (S&amp;P)'!R6124,
    IF(purpose="Purchase",1.00,
        IF(purpose="Remortgage",1.00,
            1.20)))</f>
        <v/>
      </c>
      <c r="L6124">
        <f>LET(
    arrears_months,'Loan Tape (S&amp;P)'!AN6124,
    IF(arrears_months=0,1.00,
    IF(arrears_months=1,3.00,
    IF(arrears_months=2,5.00,
    IF(arrears_months=3,8.00,
    IF(arrears_months=4,10.00,
    IF(arrears_months=5,12.00,15.00)))))))</f>
        <v/>
      </c>
      <c r="M6124">
        <f>LET(
    seasoning_years,DATEDIF('Loan Tape (S&amp;P)'!K6124,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24">
        <f>IF(AND('Loan Tape (S&amp;P)'!U6124="Yes",
        'Loan Tape (S&amp;P)'!T6124&lt;&gt;"Yes",
        DATEDIF('Loan Tape (S&amp;P)'!K6124, TODAY(), "M")&lt;18),
    1.10,
    1.00)</f>
        <v/>
      </c>
      <c r="O6124">
        <f>IF('Loan Tape (S&amp;P)'!T6124="Yes",
    1.35,
    1.00)</f>
        <v/>
      </c>
      <c r="P6124">
        <f>IF('Loan Tape (S&amp;P)'!S6124="Yes",
    1.15,
    1.00)</f>
        <v/>
      </c>
      <c r="Q6124">
        <f>IF('Loan Tape (S&amp;P)'!V6124="Yes",
    1.20,
    1.00)</f>
        <v/>
      </c>
      <c r="T6124">
        <f>LET(
    payment_method,'Loan Tape (S&amp;P)'!P6124,
    occupancy,'Loan Tape (S&amp;P)'!N6124,
    maturity_date,'Loan Tape (S&amp;P)'!L6124,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25">
      <c r="J6125">
        <f>LET(
    lien,'Loan Tape (S&amp;P)'!Q6125,
    IF(lien="First",1.00,
        IF(lien="Second",1.50,
            1.70)))</f>
        <v/>
      </c>
      <c r="K6125">
        <f>LET(
    purpose,'Loan Tape (S&amp;P)'!R6125,
    IF(purpose="Purchase",1.00,
        IF(purpose="Remortgage",1.00,
            1.20)))</f>
        <v/>
      </c>
      <c r="L6125">
        <f>LET(
    arrears_months,'Loan Tape (S&amp;P)'!AN6125,
    IF(arrears_months=0,1.00,
    IF(arrears_months=1,3.00,
    IF(arrears_months=2,5.00,
    IF(arrears_months=3,8.00,
    IF(arrears_months=4,10.00,
    IF(arrears_months=5,12.00,15.00)))))))</f>
        <v/>
      </c>
      <c r="M6125">
        <f>LET(
    seasoning_years,DATEDIF('Loan Tape (S&amp;P)'!K6125,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25">
        <f>IF(AND('Loan Tape (S&amp;P)'!U6125="Yes",
        'Loan Tape (S&amp;P)'!T6125&lt;&gt;"Yes",
        DATEDIF('Loan Tape (S&amp;P)'!K6125, TODAY(), "M")&lt;18),
    1.10,
    1.00)</f>
        <v/>
      </c>
      <c r="O6125">
        <f>IF('Loan Tape (S&amp;P)'!T6125="Yes",
    1.35,
    1.00)</f>
        <v/>
      </c>
      <c r="P6125">
        <f>IF('Loan Tape (S&amp;P)'!S6125="Yes",
    1.15,
    1.00)</f>
        <v/>
      </c>
      <c r="Q6125">
        <f>IF('Loan Tape (S&amp;P)'!V6125="Yes",
    1.20,
    1.00)</f>
        <v/>
      </c>
      <c r="T6125">
        <f>LET(
    payment_method,'Loan Tape (S&amp;P)'!P6125,
    occupancy,'Loan Tape (S&amp;P)'!N6125,
    maturity_date,'Loan Tape (S&amp;P)'!L6125,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26">
      <c r="J6126">
        <f>LET(
    lien,'Loan Tape (S&amp;P)'!Q6126,
    IF(lien="First",1.00,
        IF(lien="Second",1.50,
            1.70)))</f>
        <v/>
      </c>
      <c r="K6126">
        <f>LET(
    purpose,'Loan Tape (S&amp;P)'!R6126,
    IF(purpose="Purchase",1.00,
        IF(purpose="Remortgage",1.00,
            1.20)))</f>
        <v/>
      </c>
      <c r="L6126">
        <f>LET(
    arrears_months,'Loan Tape (S&amp;P)'!AN6126,
    IF(arrears_months=0,1.00,
    IF(arrears_months=1,3.00,
    IF(arrears_months=2,5.00,
    IF(arrears_months=3,8.00,
    IF(arrears_months=4,10.00,
    IF(arrears_months=5,12.00,15.00)))))))</f>
        <v/>
      </c>
      <c r="M6126">
        <f>LET(
    seasoning_years,DATEDIF('Loan Tape (S&amp;P)'!K6126,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26">
        <f>IF(AND('Loan Tape (S&amp;P)'!U6126="Yes",
        'Loan Tape (S&amp;P)'!T6126&lt;&gt;"Yes",
        DATEDIF('Loan Tape (S&amp;P)'!K6126, TODAY(), "M")&lt;18),
    1.10,
    1.00)</f>
        <v/>
      </c>
      <c r="O6126">
        <f>IF('Loan Tape (S&amp;P)'!T6126="Yes",
    1.35,
    1.00)</f>
        <v/>
      </c>
      <c r="P6126">
        <f>IF('Loan Tape (S&amp;P)'!S6126="Yes",
    1.15,
    1.00)</f>
        <v/>
      </c>
      <c r="Q6126">
        <f>IF('Loan Tape (S&amp;P)'!V6126="Yes",
    1.20,
    1.00)</f>
        <v/>
      </c>
      <c r="T6126">
        <f>LET(
    payment_method,'Loan Tape (S&amp;P)'!P6126,
    occupancy,'Loan Tape (S&amp;P)'!N6126,
    maturity_date,'Loan Tape (S&amp;P)'!L6126,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27">
      <c r="J6127">
        <f>LET(
    lien,'Loan Tape (S&amp;P)'!Q6127,
    IF(lien="First",1.00,
        IF(lien="Second",1.50,
            1.70)))</f>
        <v/>
      </c>
      <c r="K6127">
        <f>LET(
    purpose,'Loan Tape (S&amp;P)'!R6127,
    IF(purpose="Purchase",1.00,
        IF(purpose="Remortgage",1.00,
            1.20)))</f>
        <v/>
      </c>
      <c r="L6127">
        <f>LET(
    arrears_months,'Loan Tape (S&amp;P)'!AN6127,
    IF(arrears_months=0,1.00,
    IF(arrears_months=1,3.00,
    IF(arrears_months=2,5.00,
    IF(arrears_months=3,8.00,
    IF(arrears_months=4,10.00,
    IF(arrears_months=5,12.00,15.00)))))))</f>
        <v/>
      </c>
      <c r="M6127">
        <f>LET(
    seasoning_years,DATEDIF('Loan Tape (S&amp;P)'!K6127,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27">
        <f>IF(AND('Loan Tape (S&amp;P)'!U6127="Yes",
        'Loan Tape (S&amp;P)'!T6127&lt;&gt;"Yes",
        DATEDIF('Loan Tape (S&amp;P)'!K6127, TODAY(), "M")&lt;18),
    1.10,
    1.00)</f>
        <v/>
      </c>
      <c r="O6127">
        <f>IF('Loan Tape (S&amp;P)'!T6127="Yes",
    1.35,
    1.00)</f>
        <v/>
      </c>
      <c r="P6127">
        <f>IF('Loan Tape (S&amp;P)'!S6127="Yes",
    1.15,
    1.00)</f>
        <v/>
      </c>
      <c r="Q6127">
        <f>IF('Loan Tape (S&amp;P)'!V6127="Yes",
    1.20,
    1.00)</f>
        <v/>
      </c>
      <c r="T6127">
        <f>LET(
    payment_method,'Loan Tape (S&amp;P)'!P6127,
    occupancy,'Loan Tape (S&amp;P)'!N6127,
    maturity_date,'Loan Tape (S&amp;P)'!L6127,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28">
      <c r="J6128">
        <f>LET(
    lien,'Loan Tape (S&amp;P)'!Q6128,
    IF(lien="First",1.00,
        IF(lien="Second",1.50,
            1.70)))</f>
        <v/>
      </c>
      <c r="K6128">
        <f>LET(
    purpose,'Loan Tape (S&amp;P)'!R6128,
    IF(purpose="Purchase",1.00,
        IF(purpose="Remortgage",1.00,
            1.20)))</f>
        <v/>
      </c>
      <c r="L6128">
        <f>LET(
    arrears_months,'Loan Tape (S&amp;P)'!AN6128,
    IF(arrears_months=0,1.00,
    IF(arrears_months=1,3.00,
    IF(arrears_months=2,5.00,
    IF(arrears_months=3,8.00,
    IF(arrears_months=4,10.00,
    IF(arrears_months=5,12.00,15.00)))))))</f>
        <v/>
      </c>
      <c r="M6128">
        <f>LET(
    seasoning_years,DATEDIF('Loan Tape (S&amp;P)'!K6128,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28">
        <f>IF(AND('Loan Tape (S&amp;P)'!U6128="Yes",
        'Loan Tape (S&amp;P)'!T6128&lt;&gt;"Yes",
        DATEDIF('Loan Tape (S&amp;P)'!K6128, TODAY(), "M")&lt;18),
    1.10,
    1.00)</f>
        <v/>
      </c>
      <c r="O6128">
        <f>IF('Loan Tape (S&amp;P)'!T6128="Yes",
    1.35,
    1.00)</f>
        <v/>
      </c>
      <c r="P6128">
        <f>IF('Loan Tape (S&amp;P)'!S6128="Yes",
    1.15,
    1.00)</f>
        <v/>
      </c>
      <c r="Q6128">
        <f>IF('Loan Tape (S&amp;P)'!V6128="Yes",
    1.20,
    1.00)</f>
        <v/>
      </c>
      <c r="T6128">
        <f>LET(
    payment_method,'Loan Tape (S&amp;P)'!P6128,
    occupancy,'Loan Tape (S&amp;P)'!N6128,
    maturity_date,'Loan Tape (S&amp;P)'!L6128,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29">
      <c r="J6129">
        <f>LET(
    lien,'Loan Tape (S&amp;P)'!Q6129,
    IF(lien="First",1.00,
        IF(lien="Second",1.50,
            1.70)))</f>
        <v/>
      </c>
      <c r="K6129">
        <f>LET(
    purpose,'Loan Tape (S&amp;P)'!R6129,
    IF(purpose="Purchase",1.00,
        IF(purpose="Remortgage",1.00,
            1.20)))</f>
        <v/>
      </c>
      <c r="L6129">
        <f>LET(
    arrears_months,'Loan Tape (S&amp;P)'!AN6129,
    IF(arrears_months=0,1.00,
    IF(arrears_months=1,3.00,
    IF(arrears_months=2,5.00,
    IF(arrears_months=3,8.00,
    IF(arrears_months=4,10.00,
    IF(arrears_months=5,12.00,15.00)))))))</f>
        <v/>
      </c>
      <c r="M6129">
        <f>LET(
    seasoning_years,DATEDIF('Loan Tape (S&amp;P)'!K6129,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29">
        <f>IF(AND('Loan Tape (S&amp;P)'!U6129="Yes",
        'Loan Tape (S&amp;P)'!T6129&lt;&gt;"Yes",
        DATEDIF('Loan Tape (S&amp;P)'!K6129, TODAY(), "M")&lt;18),
    1.10,
    1.00)</f>
        <v/>
      </c>
      <c r="O6129">
        <f>IF('Loan Tape (S&amp;P)'!T6129="Yes",
    1.35,
    1.00)</f>
        <v/>
      </c>
      <c r="P6129">
        <f>IF('Loan Tape (S&amp;P)'!S6129="Yes",
    1.15,
    1.00)</f>
        <v/>
      </c>
      <c r="Q6129">
        <f>IF('Loan Tape (S&amp;P)'!V6129="Yes",
    1.20,
    1.00)</f>
        <v/>
      </c>
      <c r="T6129">
        <f>LET(
    payment_method,'Loan Tape (S&amp;P)'!P6129,
    occupancy,'Loan Tape (S&amp;P)'!N6129,
    maturity_date,'Loan Tape (S&amp;P)'!L6129,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30">
      <c r="J6130">
        <f>LET(
    lien,'Loan Tape (S&amp;P)'!Q6130,
    IF(lien="First",1.00,
        IF(lien="Second",1.50,
            1.70)))</f>
        <v/>
      </c>
      <c r="K6130">
        <f>LET(
    purpose,'Loan Tape (S&amp;P)'!R6130,
    IF(purpose="Purchase",1.00,
        IF(purpose="Remortgage",1.00,
            1.20)))</f>
        <v/>
      </c>
      <c r="L6130">
        <f>LET(
    arrears_months,'Loan Tape (S&amp;P)'!AN6130,
    IF(arrears_months=0,1.00,
    IF(arrears_months=1,3.00,
    IF(arrears_months=2,5.00,
    IF(arrears_months=3,8.00,
    IF(arrears_months=4,10.00,
    IF(arrears_months=5,12.00,15.00)))))))</f>
        <v/>
      </c>
      <c r="M6130">
        <f>LET(
    seasoning_years,DATEDIF('Loan Tape (S&amp;P)'!K6130,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30">
        <f>IF(AND('Loan Tape (S&amp;P)'!U6130="Yes",
        'Loan Tape (S&amp;P)'!T6130&lt;&gt;"Yes",
        DATEDIF('Loan Tape (S&amp;P)'!K6130, TODAY(), "M")&lt;18),
    1.10,
    1.00)</f>
        <v/>
      </c>
      <c r="O6130">
        <f>IF('Loan Tape (S&amp;P)'!T6130="Yes",
    1.35,
    1.00)</f>
        <v/>
      </c>
      <c r="P6130">
        <f>IF('Loan Tape (S&amp;P)'!S6130="Yes",
    1.15,
    1.00)</f>
        <v/>
      </c>
      <c r="Q6130">
        <f>IF('Loan Tape (S&amp;P)'!V6130="Yes",
    1.20,
    1.00)</f>
        <v/>
      </c>
      <c r="T6130">
        <f>LET(
    payment_method,'Loan Tape (S&amp;P)'!P6130,
    occupancy,'Loan Tape (S&amp;P)'!N6130,
    maturity_date,'Loan Tape (S&amp;P)'!L6130,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31">
      <c r="J6131">
        <f>LET(
    lien,'Loan Tape (S&amp;P)'!Q6131,
    IF(lien="First",1.00,
        IF(lien="Second",1.50,
            1.70)))</f>
        <v/>
      </c>
      <c r="K6131">
        <f>LET(
    purpose,'Loan Tape (S&amp;P)'!R6131,
    IF(purpose="Purchase",1.00,
        IF(purpose="Remortgage",1.00,
            1.20)))</f>
        <v/>
      </c>
      <c r="L6131">
        <f>LET(
    arrears_months,'Loan Tape (S&amp;P)'!AN6131,
    IF(arrears_months=0,1.00,
    IF(arrears_months=1,3.00,
    IF(arrears_months=2,5.00,
    IF(arrears_months=3,8.00,
    IF(arrears_months=4,10.00,
    IF(arrears_months=5,12.00,15.00)))))))</f>
        <v/>
      </c>
      <c r="M6131">
        <f>LET(
    seasoning_years,DATEDIF('Loan Tape (S&amp;P)'!K6131,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31">
        <f>IF(AND('Loan Tape (S&amp;P)'!U6131="Yes",
        'Loan Tape (S&amp;P)'!T6131&lt;&gt;"Yes",
        DATEDIF('Loan Tape (S&amp;P)'!K6131, TODAY(), "M")&lt;18),
    1.10,
    1.00)</f>
        <v/>
      </c>
      <c r="O6131">
        <f>IF('Loan Tape (S&amp;P)'!T6131="Yes",
    1.35,
    1.00)</f>
        <v/>
      </c>
      <c r="P6131">
        <f>IF('Loan Tape (S&amp;P)'!S6131="Yes",
    1.15,
    1.00)</f>
        <v/>
      </c>
      <c r="Q6131">
        <f>IF('Loan Tape (S&amp;P)'!V6131="Yes",
    1.20,
    1.00)</f>
        <v/>
      </c>
      <c r="T6131">
        <f>LET(
    payment_method,'Loan Tape (S&amp;P)'!P6131,
    occupancy,'Loan Tape (S&amp;P)'!N6131,
    maturity_date,'Loan Tape (S&amp;P)'!L6131,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32">
      <c r="J6132">
        <f>LET(
    lien,'Loan Tape (S&amp;P)'!Q6132,
    IF(lien="First",1.00,
        IF(lien="Second",1.50,
            1.70)))</f>
        <v/>
      </c>
      <c r="K6132">
        <f>LET(
    purpose,'Loan Tape (S&amp;P)'!R6132,
    IF(purpose="Purchase",1.00,
        IF(purpose="Remortgage",1.00,
            1.20)))</f>
        <v/>
      </c>
      <c r="L6132">
        <f>LET(
    arrears_months,'Loan Tape (S&amp;P)'!AN6132,
    IF(arrears_months=0,1.00,
    IF(arrears_months=1,3.00,
    IF(arrears_months=2,5.00,
    IF(arrears_months=3,8.00,
    IF(arrears_months=4,10.00,
    IF(arrears_months=5,12.00,15.00)))))))</f>
        <v/>
      </c>
      <c r="M6132">
        <f>LET(
    seasoning_years,DATEDIF('Loan Tape (S&amp;P)'!K6132,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32">
        <f>IF(AND('Loan Tape (S&amp;P)'!U6132="Yes",
        'Loan Tape (S&amp;P)'!T6132&lt;&gt;"Yes",
        DATEDIF('Loan Tape (S&amp;P)'!K6132, TODAY(), "M")&lt;18),
    1.10,
    1.00)</f>
        <v/>
      </c>
      <c r="O6132">
        <f>IF('Loan Tape (S&amp;P)'!T6132="Yes",
    1.35,
    1.00)</f>
        <v/>
      </c>
      <c r="P6132">
        <f>IF('Loan Tape (S&amp;P)'!S6132="Yes",
    1.15,
    1.00)</f>
        <v/>
      </c>
      <c r="Q6132">
        <f>IF('Loan Tape (S&amp;P)'!V6132="Yes",
    1.20,
    1.00)</f>
        <v/>
      </c>
      <c r="T6132">
        <f>LET(
    payment_method,'Loan Tape (S&amp;P)'!P6132,
    occupancy,'Loan Tape (S&amp;P)'!N6132,
    maturity_date,'Loan Tape (S&amp;P)'!L6132,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33">
      <c r="J6133">
        <f>LET(
    lien,'Loan Tape (S&amp;P)'!Q6133,
    IF(lien="First",1.00,
        IF(lien="Second",1.50,
            1.70)))</f>
        <v/>
      </c>
      <c r="K6133">
        <f>LET(
    purpose,'Loan Tape (S&amp;P)'!R6133,
    IF(purpose="Purchase",1.00,
        IF(purpose="Remortgage",1.00,
            1.20)))</f>
        <v/>
      </c>
      <c r="L6133">
        <f>LET(
    arrears_months,'Loan Tape (S&amp;P)'!AN6133,
    IF(arrears_months=0,1.00,
    IF(arrears_months=1,3.00,
    IF(arrears_months=2,5.00,
    IF(arrears_months=3,8.00,
    IF(arrears_months=4,10.00,
    IF(arrears_months=5,12.00,15.00)))))))</f>
        <v/>
      </c>
      <c r="M6133">
        <f>LET(
    seasoning_years,DATEDIF('Loan Tape (S&amp;P)'!K6133,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33">
        <f>IF(AND('Loan Tape (S&amp;P)'!U6133="Yes",
        'Loan Tape (S&amp;P)'!T6133&lt;&gt;"Yes",
        DATEDIF('Loan Tape (S&amp;P)'!K6133, TODAY(), "M")&lt;18),
    1.10,
    1.00)</f>
        <v/>
      </c>
      <c r="O6133">
        <f>IF('Loan Tape (S&amp;P)'!T6133="Yes",
    1.35,
    1.00)</f>
        <v/>
      </c>
      <c r="P6133">
        <f>IF('Loan Tape (S&amp;P)'!S6133="Yes",
    1.15,
    1.00)</f>
        <v/>
      </c>
      <c r="Q6133">
        <f>IF('Loan Tape (S&amp;P)'!V6133="Yes",
    1.20,
    1.00)</f>
        <v/>
      </c>
      <c r="T6133">
        <f>LET(
    payment_method,'Loan Tape (S&amp;P)'!P6133,
    occupancy,'Loan Tape (S&amp;P)'!N6133,
    maturity_date,'Loan Tape (S&amp;P)'!L6133,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34">
      <c r="J6134">
        <f>LET(
    lien,'Loan Tape (S&amp;P)'!Q6134,
    IF(lien="First",1.00,
        IF(lien="Second",1.50,
            1.70)))</f>
        <v/>
      </c>
      <c r="K6134">
        <f>LET(
    purpose,'Loan Tape (S&amp;P)'!R6134,
    IF(purpose="Purchase",1.00,
        IF(purpose="Remortgage",1.00,
            1.20)))</f>
        <v/>
      </c>
      <c r="L6134">
        <f>LET(
    arrears_months,'Loan Tape (S&amp;P)'!AN6134,
    IF(arrears_months=0,1.00,
    IF(arrears_months=1,3.00,
    IF(arrears_months=2,5.00,
    IF(arrears_months=3,8.00,
    IF(arrears_months=4,10.00,
    IF(arrears_months=5,12.00,15.00)))))))</f>
        <v/>
      </c>
      <c r="M6134">
        <f>LET(
    seasoning_years,DATEDIF('Loan Tape (S&amp;P)'!K6134,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34">
        <f>IF(AND('Loan Tape (S&amp;P)'!U6134="Yes",
        'Loan Tape (S&amp;P)'!T6134&lt;&gt;"Yes",
        DATEDIF('Loan Tape (S&amp;P)'!K6134, TODAY(), "M")&lt;18),
    1.10,
    1.00)</f>
        <v/>
      </c>
      <c r="O6134">
        <f>IF('Loan Tape (S&amp;P)'!T6134="Yes",
    1.35,
    1.00)</f>
        <v/>
      </c>
      <c r="P6134">
        <f>IF('Loan Tape (S&amp;P)'!S6134="Yes",
    1.15,
    1.00)</f>
        <v/>
      </c>
      <c r="Q6134">
        <f>IF('Loan Tape (S&amp;P)'!V6134="Yes",
    1.20,
    1.00)</f>
        <v/>
      </c>
      <c r="T6134">
        <f>LET(
    payment_method,'Loan Tape (S&amp;P)'!P6134,
    occupancy,'Loan Tape (S&amp;P)'!N6134,
    maturity_date,'Loan Tape (S&amp;P)'!L6134,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35">
      <c r="J6135">
        <f>LET(
    lien,'Loan Tape (S&amp;P)'!Q6135,
    IF(lien="First",1.00,
        IF(lien="Second",1.50,
            1.70)))</f>
        <v/>
      </c>
      <c r="K6135">
        <f>LET(
    purpose,'Loan Tape (S&amp;P)'!R6135,
    IF(purpose="Purchase",1.00,
        IF(purpose="Remortgage",1.00,
            1.20)))</f>
        <v/>
      </c>
      <c r="L6135">
        <f>LET(
    arrears_months,'Loan Tape (S&amp;P)'!AN6135,
    IF(arrears_months=0,1.00,
    IF(arrears_months=1,3.00,
    IF(arrears_months=2,5.00,
    IF(arrears_months=3,8.00,
    IF(arrears_months=4,10.00,
    IF(arrears_months=5,12.00,15.00)))))))</f>
        <v/>
      </c>
      <c r="M6135">
        <f>LET(
    seasoning_years,DATEDIF('Loan Tape (S&amp;P)'!K6135,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35">
        <f>IF(AND('Loan Tape (S&amp;P)'!U6135="Yes",
        'Loan Tape (S&amp;P)'!T6135&lt;&gt;"Yes",
        DATEDIF('Loan Tape (S&amp;P)'!K6135, TODAY(), "M")&lt;18),
    1.10,
    1.00)</f>
        <v/>
      </c>
      <c r="O6135">
        <f>IF('Loan Tape (S&amp;P)'!T6135="Yes",
    1.35,
    1.00)</f>
        <v/>
      </c>
      <c r="P6135">
        <f>IF('Loan Tape (S&amp;P)'!S6135="Yes",
    1.15,
    1.00)</f>
        <v/>
      </c>
      <c r="Q6135">
        <f>IF('Loan Tape (S&amp;P)'!V6135="Yes",
    1.20,
    1.00)</f>
        <v/>
      </c>
      <c r="T6135">
        <f>LET(
    payment_method,'Loan Tape (S&amp;P)'!P6135,
    occupancy,'Loan Tape (S&amp;P)'!N6135,
    maturity_date,'Loan Tape (S&amp;P)'!L6135,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36">
      <c r="J6136">
        <f>LET(
    lien,'Loan Tape (S&amp;P)'!Q6136,
    IF(lien="First",1.00,
        IF(lien="Second",1.50,
            1.70)))</f>
        <v/>
      </c>
      <c r="K6136">
        <f>LET(
    purpose,'Loan Tape (S&amp;P)'!R6136,
    IF(purpose="Purchase",1.00,
        IF(purpose="Remortgage",1.00,
            1.20)))</f>
        <v/>
      </c>
      <c r="L6136">
        <f>LET(
    arrears_months,'Loan Tape (S&amp;P)'!AN6136,
    IF(arrears_months=0,1.00,
    IF(arrears_months=1,3.00,
    IF(arrears_months=2,5.00,
    IF(arrears_months=3,8.00,
    IF(arrears_months=4,10.00,
    IF(arrears_months=5,12.00,15.00)))))))</f>
        <v/>
      </c>
      <c r="M6136">
        <f>LET(
    seasoning_years,DATEDIF('Loan Tape (S&amp;P)'!K6136,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36">
        <f>IF(AND('Loan Tape (S&amp;P)'!U6136="Yes",
        'Loan Tape (S&amp;P)'!T6136&lt;&gt;"Yes",
        DATEDIF('Loan Tape (S&amp;P)'!K6136, TODAY(), "M")&lt;18),
    1.10,
    1.00)</f>
        <v/>
      </c>
      <c r="O6136">
        <f>IF('Loan Tape (S&amp;P)'!T6136="Yes",
    1.35,
    1.00)</f>
        <v/>
      </c>
      <c r="P6136">
        <f>IF('Loan Tape (S&amp;P)'!S6136="Yes",
    1.15,
    1.00)</f>
        <v/>
      </c>
      <c r="Q6136">
        <f>IF('Loan Tape (S&amp;P)'!V6136="Yes",
    1.20,
    1.00)</f>
        <v/>
      </c>
      <c r="T6136">
        <f>LET(
    payment_method,'Loan Tape (S&amp;P)'!P6136,
    occupancy,'Loan Tape (S&amp;P)'!N6136,
    maturity_date,'Loan Tape (S&amp;P)'!L6136,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37">
      <c r="J6137">
        <f>LET(
    lien,'Loan Tape (S&amp;P)'!Q6137,
    IF(lien="First",1.00,
        IF(lien="Second",1.50,
            1.70)))</f>
        <v/>
      </c>
      <c r="K6137">
        <f>LET(
    purpose,'Loan Tape (S&amp;P)'!R6137,
    IF(purpose="Purchase",1.00,
        IF(purpose="Remortgage",1.00,
            1.20)))</f>
        <v/>
      </c>
      <c r="L6137">
        <f>LET(
    arrears_months,'Loan Tape (S&amp;P)'!AN6137,
    IF(arrears_months=0,1.00,
    IF(arrears_months=1,3.00,
    IF(arrears_months=2,5.00,
    IF(arrears_months=3,8.00,
    IF(arrears_months=4,10.00,
    IF(arrears_months=5,12.00,15.00)))))))</f>
        <v/>
      </c>
      <c r="M6137">
        <f>LET(
    seasoning_years,DATEDIF('Loan Tape (S&amp;P)'!K6137,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37">
        <f>IF(AND('Loan Tape (S&amp;P)'!U6137="Yes",
        'Loan Tape (S&amp;P)'!T6137&lt;&gt;"Yes",
        DATEDIF('Loan Tape (S&amp;P)'!K6137, TODAY(), "M")&lt;18),
    1.10,
    1.00)</f>
        <v/>
      </c>
      <c r="O6137">
        <f>IF('Loan Tape (S&amp;P)'!T6137="Yes",
    1.35,
    1.00)</f>
        <v/>
      </c>
      <c r="P6137">
        <f>IF('Loan Tape (S&amp;P)'!S6137="Yes",
    1.15,
    1.00)</f>
        <v/>
      </c>
      <c r="Q6137">
        <f>IF('Loan Tape (S&amp;P)'!V6137="Yes",
    1.20,
    1.00)</f>
        <v/>
      </c>
      <c r="T6137">
        <f>LET(
    payment_method,'Loan Tape (S&amp;P)'!P6137,
    occupancy,'Loan Tape (S&amp;P)'!N6137,
    maturity_date,'Loan Tape (S&amp;P)'!L6137,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38">
      <c r="J6138">
        <f>LET(
    lien,'Loan Tape (S&amp;P)'!Q6138,
    IF(lien="First",1.00,
        IF(lien="Second",1.50,
            1.70)))</f>
        <v/>
      </c>
      <c r="K6138">
        <f>LET(
    purpose,'Loan Tape (S&amp;P)'!R6138,
    IF(purpose="Purchase",1.00,
        IF(purpose="Remortgage",1.00,
            1.20)))</f>
        <v/>
      </c>
      <c r="L6138">
        <f>LET(
    arrears_months,'Loan Tape (S&amp;P)'!AN6138,
    IF(arrears_months=0,1.00,
    IF(arrears_months=1,3.00,
    IF(arrears_months=2,5.00,
    IF(arrears_months=3,8.00,
    IF(arrears_months=4,10.00,
    IF(arrears_months=5,12.00,15.00)))))))</f>
        <v/>
      </c>
      <c r="M6138">
        <f>LET(
    seasoning_years,DATEDIF('Loan Tape (S&amp;P)'!K6138,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38">
        <f>IF(AND('Loan Tape (S&amp;P)'!U6138="Yes",
        'Loan Tape (S&amp;P)'!T6138&lt;&gt;"Yes",
        DATEDIF('Loan Tape (S&amp;P)'!K6138, TODAY(), "M")&lt;18),
    1.10,
    1.00)</f>
        <v/>
      </c>
      <c r="O6138">
        <f>IF('Loan Tape (S&amp;P)'!T6138="Yes",
    1.35,
    1.00)</f>
        <v/>
      </c>
      <c r="P6138">
        <f>IF('Loan Tape (S&amp;P)'!S6138="Yes",
    1.15,
    1.00)</f>
        <v/>
      </c>
      <c r="Q6138">
        <f>IF('Loan Tape (S&amp;P)'!V6138="Yes",
    1.20,
    1.00)</f>
        <v/>
      </c>
      <c r="T6138">
        <f>LET(
    payment_method,'Loan Tape (S&amp;P)'!P6138,
    occupancy,'Loan Tape (S&amp;P)'!N6138,
    maturity_date,'Loan Tape (S&amp;P)'!L6138,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39">
      <c r="J6139">
        <f>LET(
    lien,'Loan Tape (S&amp;P)'!Q6139,
    IF(lien="First",1.00,
        IF(lien="Second",1.50,
            1.70)))</f>
        <v/>
      </c>
      <c r="K6139">
        <f>LET(
    purpose,'Loan Tape (S&amp;P)'!R6139,
    IF(purpose="Purchase",1.00,
        IF(purpose="Remortgage",1.00,
            1.20)))</f>
        <v/>
      </c>
      <c r="L6139">
        <f>LET(
    arrears_months,'Loan Tape (S&amp;P)'!AN6139,
    IF(arrears_months=0,1.00,
    IF(arrears_months=1,3.00,
    IF(arrears_months=2,5.00,
    IF(arrears_months=3,8.00,
    IF(arrears_months=4,10.00,
    IF(arrears_months=5,12.00,15.00)))))))</f>
        <v/>
      </c>
      <c r="M6139">
        <f>LET(
    seasoning_years,DATEDIF('Loan Tape (S&amp;P)'!K6139,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39">
        <f>IF(AND('Loan Tape (S&amp;P)'!U6139="Yes",
        'Loan Tape (S&amp;P)'!T6139&lt;&gt;"Yes",
        DATEDIF('Loan Tape (S&amp;P)'!K6139, TODAY(), "M")&lt;18),
    1.10,
    1.00)</f>
        <v/>
      </c>
      <c r="O6139">
        <f>IF('Loan Tape (S&amp;P)'!T6139="Yes",
    1.35,
    1.00)</f>
        <v/>
      </c>
      <c r="P6139">
        <f>IF('Loan Tape (S&amp;P)'!S6139="Yes",
    1.15,
    1.00)</f>
        <v/>
      </c>
      <c r="Q6139">
        <f>IF('Loan Tape (S&amp;P)'!V6139="Yes",
    1.20,
    1.00)</f>
        <v/>
      </c>
      <c r="T6139">
        <f>LET(
    payment_method,'Loan Tape (S&amp;P)'!P6139,
    occupancy,'Loan Tape (S&amp;P)'!N6139,
    maturity_date,'Loan Tape (S&amp;P)'!L6139,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40">
      <c r="J6140">
        <f>LET(
    lien,'Loan Tape (S&amp;P)'!Q6140,
    IF(lien="First",1.00,
        IF(lien="Second",1.50,
            1.70)))</f>
        <v/>
      </c>
      <c r="K6140">
        <f>LET(
    purpose,'Loan Tape (S&amp;P)'!R6140,
    IF(purpose="Purchase",1.00,
        IF(purpose="Remortgage",1.00,
            1.20)))</f>
        <v/>
      </c>
      <c r="L6140">
        <f>LET(
    arrears_months,'Loan Tape (S&amp;P)'!AN6140,
    IF(arrears_months=0,1.00,
    IF(arrears_months=1,3.00,
    IF(arrears_months=2,5.00,
    IF(arrears_months=3,8.00,
    IF(arrears_months=4,10.00,
    IF(arrears_months=5,12.00,15.00)))))))</f>
        <v/>
      </c>
      <c r="M6140">
        <f>LET(
    seasoning_years,DATEDIF('Loan Tape (S&amp;P)'!K6140,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40">
        <f>IF(AND('Loan Tape (S&amp;P)'!U6140="Yes",
        'Loan Tape (S&amp;P)'!T6140&lt;&gt;"Yes",
        DATEDIF('Loan Tape (S&amp;P)'!K6140, TODAY(), "M")&lt;18),
    1.10,
    1.00)</f>
        <v/>
      </c>
      <c r="O6140">
        <f>IF('Loan Tape (S&amp;P)'!T6140="Yes",
    1.35,
    1.00)</f>
        <v/>
      </c>
      <c r="P6140">
        <f>IF('Loan Tape (S&amp;P)'!S6140="Yes",
    1.15,
    1.00)</f>
        <v/>
      </c>
      <c r="Q6140">
        <f>IF('Loan Tape (S&amp;P)'!V6140="Yes",
    1.20,
    1.00)</f>
        <v/>
      </c>
      <c r="T6140">
        <f>LET(
    payment_method,'Loan Tape (S&amp;P)'!P6140,
    occupancy,'Loan Tape (S&amp;P)'!N6140,
    maturity_date,'Loan Tape (S&amp;P)'!L6140,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41">
      <c r="J6141">
        <f>LET(
    lien,'Loan Tape (S&amp;P)'!Q6141,
    IF(lien="First",1.00,
        IF(lien="Second",1.50,
            1.70)))</f>
        <v/>
      </c>
      <c r="K6141">
        <f>LET(
    purpose,'Loan Tape (S&amp;P)'!R6141,
    IF(purpose="Purchase",1.00,
        IF(purpose="Remortgage",1.00,
            1.20)))</f>
        <v/>
      </c>
      <c r="L6141">
        <f>LET(
    arrears_months,'Loan Tape (S&amp;P)'!AN6141,
    IF(arrears_months=0,1.00,
    IF(arrears_months=1,3.00,
    IF(arrears_months=2,5.00,
    IF(arrears_months=3,8.00,
    IF(arrears_months=4,10.00,
    IF(arrears_months=5,12.00,15.00)))))))</f>
        <v/>
      </c>
      <c r="M6141">
        <f>LET(
    seasoning_years,DATEDIF('Loan Tape (S&amp;P)'!K6141,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41">
        <f>IF(AND('Loan Tape (S&amp;P)'!U6141="Yes",
        'Loan Tape (S&amp;P)'!T6141&lt;&gt;"Yes",
        DATEDIF('Loan Tape (S&amp;P)'!K6141, TODAY(), "M")&lt;18),
    1.10,
    1.00)</f>
        <v/>
      </c>
      <c r="O6141">
        <f>IF('Loan Tape (S&amp;P)'!T6141="Yes",
    1.35,
    1.00)</f>
        <v/>
      </c>
      <c r="P6141">
        <f>IF('Loan Tape (S&amp;P)'!S6141="Yes",
    1.15,
    1.00)</f>
        <v/>
      </c>
      <c r="Q6141">
        <f>IF('Loan Tape (S&amp;P)'!V6141="Yes",
    1.20,
    1.00)</f>
        <v/>
      </c>
      <c r="T6141">
        <f>LET(
    payment_method,'Loan Tape (S&amp;P)'!P6141,
    occupancy,'Loan Tape (S&amp;P)'!N6141,
    maturity_date,'Loan Tape (S&amp;P)'!L6141,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42">
      <c r="J6142">
        <f>LET(
    lien,'Loan Tape (S&amp;P)'!Q6142,
    IF(lien="First",1.00,
        IF(lien="Second",1.50,
            1.70)))</f>
        <v/>
      </c>
      <c r="K6142">
        <f>LET(
    purpose,'Loan Tape (S&amp;P)'!R6142,
    IF(purpose="Purchase",1.00,
        IF(purpose="Remortgage",1.00,
            1.20)))</f>
        <v/>
      </c>
      <c r="L6142">
        <f>LET(
    arrears_months,'Loan Tape (S&amp;P)'!AN6142,
    IF(arrears_months=0,1.00,
    IF(arrears_months=1,3.00,
    IF(arrears_months=2,5.00,
    IF(arrears_months=3,8.00,
    IF(arrears_months=4,10.00,
    IF(arrears_months=5,12.00,15.00)))))))</f>
        <v/>
      </c>
      <c r="M6142">
        <f>LET(
    seasoning_years,DATEDIF('Loan Tape (S&amp;P)'!K6142,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42">
        <f>IF(AND('Loan Tape (S&amp;P)'!U6142="Yes",
        'Loan Tape (S&amp;P)'!T6142&lt;&gt;"Yes",
        DATEDIF('Loan Tape (S&amp;P)'!K6142, TODAY(), "M")&lt;18),
    1.10,
    1.00)</f>
        <v/>
      </c>
      <c r="O6142">
        <f>IF('Loan Tape (S&amp;P)'!T6142="Yes",
    1.35,
    1.00)</f>
        <v/>
      </c>
      <c r="P6142">
        <f>IF('Loan Tape (S&amp;P)'!S6142="Yes",
    1.15,
    1.00)</f>
        <v/>
      </c>
      <c r="Q6142">
        <f>IF('Loan Tape (S&amp;P)'!V6142="Yes",
    1.20,
    1.00)</f>
        <v/>
      </c>
      <c r="T6142">
        <f>LET(
    payment_method,'Loan Tape (S&amp;P)'!P6142,
    occupancy,'Loan Tape (S&amp;P)'!N6142,
    maturity_date,'Loan Tape (S&amp;P)'!L6142,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43">
      <c r="J6143">
        <f>LET(
    lien,'Loan Tape (S&amp;P)'!Q6143,
    IF(lien="First",1.00,
        IF(lien="Second",1.50,
            1.70)))</f>
        <v/>
      </c>
      <c r="K6143">
        <f>LET(
    purpose,'Loan Tape (S&amp;P)'!R6143,
    IF(purpose="Purchase",1.00,
        IF(purpose="Remortgage",1.00,
            1.20)))</f>
        <v/>
      </c>
      <c r="L6143">
        <f>LET(
    arrears_months,'Loan Tape (S&amp;P)'!AN6143,
    IF(arrears_months=0,1.00,
    IF(arrears_months=1,3.00,
    IF(arrears_months=2,5.00,
    IF(arrears_months=3,8.00,
    IF(arrears_months=4,10.00,
    IF(arrears_months=5,12.00,15.00)))))))</f>
        <v/>
      </c>
      <c r="M6143">
        <f>LET(
    seasoning_years,DATEDIF('Loan Tape (S&amp;P)'!K6143,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43">
        <f>IF(AND('Loan Tape (S&amp;P)'!U6143="Yes",
        'Loan Tape (S&amp;P)'!T6143&lt;&gt;"Yes",
        DATEDIF('Loan Tape (S&amp;P)'!K6143, TODAY(), "M")&lt;18),
    1.10,
    1.00)</f>
        <v/>
      </c>
      <c r="O6143">
        <f>IF('Loan Tape (S&amp;P)'!T6143="Yes",
    1.35,
    1.00)</f>
        <v/>
      </c>
      <c r="P6143">
        <f>IF('Loan Tape (S&amp;P)'!S6143="Yes",
    1.15,
    1.00)</f>
        <v/>
      </c>
      <c r="Q6143">
        <f>IF('Loan Tape (S&amp;P)'!V6143="Yes",
    1.20,
    1.00)</f>
        <v/>
      </c>
      <c r="T6143">
        <f>LET(
    payment_method,'Loan Tape (S&amp;P)'!P6143,
    occupancy,'Loan Tape (S&amp;P)'!N6143,
    maturity_date,'Loan Tape (S&amp;P)'!L6143,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44">
      <c r="J6144">
        <f>LET(
    lien,'Loan Tape (S&amp;P)'!Q6144,
    IF(lien="First",1.00,
        IF(lien="Second",1.50,
            1.70)))</f>
        <v/>
      </c>
      <c r="K6144">
        <f>LET(
    purpose,'Loan Tape (S&amp;P)'!R6144,
    IF(purpose="Purchase",1.00,
        IF(purpose="Remortgage",1.00,
            1.20)))</f>
        <v/>
      </c>
      <c r="L6144">
        <f>LET(
    arrears_months,'Loan Tape (S&amp;P)'!AN6144,
    IF(arrears_months=0,1.00,
    IF(arrears_months=1,3.00,
    IF(arrears_months=2,5.00,
    IF(arrears_months=3,8.00,
    IF(arrears_months=4,10.00,
    IF(arrears_months=5,12.00,15.00)))))))</f>
        <v/>
      </c>
      <c r="M6144">
        <f>LET(
    seasoning_years,DATEDIF('Loan Tape (S&amp;P)'!K6144,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44">
        <f>IF(AND('Loan Tape (S&amp;P)'!U6144="Yes",
        'Loan Tape (S&amp;P)'!T6144&lt;&gt;"Yes",
        DATEDIF('Loan Tape (S&amp;P)'!K6144, TODAY(), "M")&lt;18),
    1.10,
    1.00)</f>
        <v/>
      </c>
      <c r="O6144">
        <f>IF('Loan Tape (S&amp;P)'!T6144="Yes",
    1.35,
    1.00)</f>
        <v/>
      </c>
      <c r="P6144">
        <f>IF('Loan Tape (S&amp;P)'!S6144="Yes",
    1.15,
    1.00)</f>
        <v/>
      </c>
      <c r="Q6144">
        <f>IF('Loan Tape (S&amp;P)'!V6144="Yes",
    1.20,
    1.00)</f>
        <v/>
      </c>
      <c r="T6144">
        <f>LET(
    payment_method,'Loan Tape (S&amp;P)'!P6144,
    occupancy,'Loan Tape (S&amp;P)'!N6144,
    maturity_date,'Loan Tape (S&amp;P)'!L6144,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45">
      <c r="J6145">
        <f>LET(
    lien,'Loan Tape (S&amp;P)'!Q6145,
    IF(lien="First",1.00,
        IF(lien="Second",1.50,
            1.70)))</f>
        <v/>
      </c>
      <c r="K6145">
        <f>LET(
    purpose,'Loan Tape (S&amp;P)'!R6145,
    IF(purpose="Purchase",1.00,
        IF(purpose="Remortgage",1.00,
            1.20)))</f>
        <v/>
      </c>
      <c r="L6145">
        <f>LET(
    arrears_months,'Loan Tape (S&amp;P)'!AN6145,
    IF(arrears_months=0,1.00,
    IF(arrears_months=1,3.00,
    IF(arrears_months=2,5.00,
    IF(arrears_months=3,8.00,
    IF(arrears_months=4,10.00,
    IF(arrears_months=5,12.00,15.00)))))))</f>
        <v/>
      </c>
      <c r="M6145">
        <f>LET(
    seasoning_years,DATEDIF('Loan Tape (S&amp;P)'!K6145,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45">
        <f>IF(AND('Loan Tape (S&amp;P)'!U6145="Yes",
        'Loan Tape (S&amp;P)'!T6145&lt;&gt;"Yes",
        DATEDIF('Loan Tape (S&amp;P)'!K6145, TODAY(), "M")&lt;18),
    1.10,
    1.00)</f>
        <v/>
      </c>
      <c r="O6145">
        <f>IF('Loan Tape (S&amp;P)'!T6145="Yes",
    1.35,
    1.00)</f>
        <v/>
      </c>
      <c r="P6145">
        <f>IF('Loan Tape (S&amp;P)'!S6145="Yes",
    1.15,
    1.00)</f>
        <v/>
      </c>
      <c r="Q6145">
        <f>IF('Loan Tape (S&amp;P)'!V6145="Yes",
    1.20,
    1.00)</f>
        <v/>
      </c>
      <c r="T6145">
        <f>LET(
    payment_method,'Loan Tape (S&amp;P)'!P6145,
    occupancy,'Loan Tape (S&amp;P)'!N6145,
    maturity_date,'Loan Tape (S&amp;P)'!L6145,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46">
      <c r="J6146">
        <f>LET(
    lien,'Loan Tape (S&amp;P)'!Q6146,
    IF(lien="First",1.00,
        IF(lien="Second",1.50,
            1.70)))</f>
        <v/>
      </c>
      <c r="K6146">
        <f>LET(
    purpose,'Loan Tape (S&amp;P)'!R6146,
    IF(purpose="Purchase",1.00,
        IF(purpose="Remortgage",1.00,
            1.20)))</f>
        <v/>
      </c>
      <c r="L6146">
        <f>LET(
    arrears_months,'Loan Tape (S&amp;P)'!AN6146,
    IF(arrears_months=0,1.00,
    IF(arrears_months=1,3.00,
    IF(arrears_months=2,5.00,
    IF(arrears_months=3,8.00,
    IF(arrears_months=4,10.00,
    IF(arrears_months=5,12.00,15.00)))))))</f>
        <v/>
      </c>
      <c r="M6146">
        <f>LET(
    seasoning_years,DATEDIF('Loan Tape (S&amp;P)'!K6146,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46">
        <f>IF(AND('Loan Tape (S&amp;P)'!U6146="Yes",
        'Loan Tape (S&amp;P)'!T6146&lt;&gt;"Yes",
        DATEDIF('Loan Tape (S&amp;P)'!K6146, TODAY(), "M")&lt;18),
    1.10,
    1.00)</f>
        <v/>
      </c>
      <c r="O6146">
        <f>IF('Loan Tape (S&amp;P)'!T6146="Yes",
    1.35,
    1.00)</f>
        <v/>
      </c>
      <c r="P6146">
        <f>IF('Loan Tape (S&amp;P)'!S6146="Yes",
    1.15,
    1.00)</f>
        <v/>
      </c>
      <c r="Q6146">
        <f>IF('Loan Tape (S&amp;P)'!V6146="Yes",
    1.20,
    1.00)</f>
        <v/>
      </c>
      <c r="T6146">
        <f>LET(
    payment_method,'Loan Tape (S&amp;P)'!P6146,
    occupancy,'Loan Tape (S&amp;P)'!N6146,
    maturity_date,'Loan Tape (S&amp;P)'!L6146,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47">
      <c r="J6147">
        <f>LET(
    lien,'Loan Tape (S&amp;P)'!Q6147,
    IF(lien="First",1.00,
        IF(lien="Second",1.50,
            1.70)))</f>
        <v/>
      </c>
      <c r="K6147">
        <f>LET(
    purpose,'Loan Tape (S&amp;P)'!R6147,
    IF(purpose="Purchase",1.00,
        IF(purpose="Remortgage",1.00,
            1.20)))</f>
        <v/>
      </c>
      <c r="L6147">
        <f>LET(
    arrears_months,'Loan Tape (S&amp;P)'!AN6147,
    IF(arrears_months=0,1.00,
    IF(arrears_months=1,3.00,
    IF(arrears_months=2,5.00,
    IF(arrears_months=3,8.00,
    IF(arrears_months=4,10.00,
    IF(arrears_months=5,12.00,15.00)))))))</f>
        <v/>
      </c>
      <c r="M6147">
        <f>LET(
    seasoning_years,DATEDIF('Loan Tape (S&amp;P)'!K6147,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47">
        <f>IF(AND('Loan Tape (S&amp;P)'!U6147="Yes",
        'Loan Tape (S&amp;P)'!T6147&lt;&gt;"Yes",
        DATEDIF('Loan Tape (S&amp;P)'!K6147, TODAY(), "M")&lt;18),
    1.10,
    1.00)</f>
        <v/>
      </c>
      <c r="O6147">
        <f>IF('Loan Tape (S&amp;P)'!T6147="Yes",
    1.35,
    1.00)</f>
        <v/>
      </c>
      <c r="P6147">
        <f>IF('Loan Tape (S&amp;P)'!S6147="Yes",
    1.15,
    1.00)</f>
        <v/>
      </c>
      <c r="Q6147">
        <f>IF('Loan Tape (S&amp;P)'!V6147="Yes",
    1.20,
    1.00)</f>
        <v/>
      </c>
      <c r="T6147">
        <f>LET(
    payment_method,'Loan Tape (S&amp;P)'!P6147,
    occupancy,'Loan Tape (S&amp;P)'!N6147,
    maturity_date,'Loan Tape (S&amp;P)'!L6147,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48">
      <c r="J6148">
        <f>LET(
    lien,'Loan Tape (S&amp;P)'!Q6148,
    IF(lien="First",1.00,
        IF(lien="Second",1.50,
            1.70)))</f>
        <v/>
      </c>
      <c r="K6148">
        <f>LET(
    purpose,'Loan Tape (S&amp;P)'!R6148,
    IF(purpose="Purchase",1.00,
        IF(purpose="Remortgage",1.00,
            1.20)))</f>
        <v/>
      </c>
      <c r="L6148">
        <f>LET(
    arrears_months,'Loan Tape (S&amp;P)'!AN6148,
    IF(arrears_months=0,1.00,
    IF(arrears_months=1,3.00,
    IF(arrears_months=2,5.00,
    IF(arrears_months=3,8.00,
    IF(arrears_months=4,10.00,
    IF(arrears_months=5,12.00,15.00)))))))</f>
        <v/>
      </c>
      <c r="M6148">
        <f>LET(
    seasoning_years,DATEDIF('Loan Tape (S&amp;P)'!K6148,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48">
        <f>IF(AND('Loan Tape (S&amp;P)'!U6148="Yes",
        'Loan Tape (S&amp;P)'!T6148&lt;&gt;"Yes",
        DATEDIF('Loan Tape (S&amp;P)'!K6148, TODAY(), "M")&lt;18),
    1.10,
    1.00)</f>
        <v/>
      </c>
      <c r="O6148">
        <f>IF('Loan Tape (S&amp;P)'!T6148="Yes",
    1.35,
    1.00)</f>
        <v/>
      </c>
      <c r="P6148">
        <f>IF('Loan Tape (S&amp;P)'!S6148="Yes",
    1.15,
    1.00)</f>
        <v/>
      </c>
      <c r="Q6148">
        <f>IF('Loan Tape (S&amp;P)'!V6148="Yes",
    1.20,
    1.00)</f>
        <v/>
      </c>
      <c r="T6148">
        <f>LET(
    payment_method,'Loan Tape (S&amp;P)'!P6148,
    occupancy,'Loan Tape (S&amp;P)'!N6148,
    maturity_date,'Loan Tape (S&amp;P)'!L6148,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49">
      <c r="J6149">
        <f>LET(
    lien,'Loan Tape (S&amp;P)'!Q6149,
    IF(lien="First",1.00,
        IF(lien="Second",1.50,
            1.70)))</f>
        <v/>
      </c>
      <c r="K6149">
        <f>LET(
    purpose,'Loan Tape (S&amp;P)'!R6149,
    IF(purpose="Purchase",1.00,
        IF(purpose="Remortgage",1.00,
            1.20)))</f>
        <v/>
      </c>
      <c r="L6149">
        <f>LET(
    arrears_months,'Loan Tape (S&amp;P)'!AN6149,
    IF(arrears_months=0,1.00,
    IF(arrears_months=1,3.00,
    IF(arrears_months=2,5.00,
    IF(arrears_months=3,8.00,
    IF(arrears_months=4,10.00,
    IF(arrears_months=5,12.00,15.00)))))))</f>
        <v/>
      </c>
      <c r="M6149">
        <f>LET(
    seasoning_years,DATEDIF('Loan Tape (S&amp;P)'!K6149,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49">
        <f>IF(AND('Loan Tape (S&amp;P)'!U6149="Yes",
        'Loan Tape (S&amp;P)'!T6149&lt;&gt;"Yes",
        DATEDIF('Loan Tape (S&amp;P)'!K6149, TODAY(), "M")&lt;18),
    1.10,
    1.00)</f>
        <v/>
      </c>
      <c r="O6149">
        <f>IF('Loan Tape (S&amp;P)'!T6149="Yes",
    1.35,
    1.00)</f>
        <v/>
      </c>
      <c r="P6149">
        <f>IF('Loan Tape (S&amp;P)'!S6149="Yes",
    1.15,
    1.00)</f>
        <v/>
      </c>
      <c r="Q6149">
        <f>IF('Loan Tape (S&amp;P)'!V6149="Yes",
    1.20,
    1.00)</f>
        <v/>
      </c>
      <c r="T6149">
        <f>LET(
    payment_method,'Loan Tape (S&amp;P)'!P6149,
    occupancy,'Loan Tape (S&amp;P)'!N6149,
    maturity_date,'Loan Tape (S&amp;P)'!L6149,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50">
      <c r="J6150">
        <f>LET(
    lien,'Loan Tape (S&amp;P)'!Q6150,
    IF(lien="First",1.00,
        IF(lien="Second",1.50,
            1.70)))</f>
        <v/>
      </c>
      <c r="K6150">
        <f>LET(
    purpose,'Loan Tape (S&amp;P)'!R6150,
    IF(purpose="Purchase",1.00,
        IF(purpose="Remortgage",1.00,
            1.20)))</f>
        <v/>
      </c>
      <c r="L6150">
        <f>LET(
    arrears_months,'Loan Tape (S&amp;P)'!AN6150,
    IF(arrears_months=0,1.00,
    IF(arrears_months=1,3.00,
    IF(arrears_months=2,5.00,
    IF(arrears_months=3,8.00,
    IF(arrears_months=4,10.00,
    IF(arrears_months=5,12.00,15.00)))))))</f>
        <v/>
      </c>
      <c r="M6150">
        <f>LET(
    seasoning_years,DATEDIF('Loan Tape (S&amp;P)'!K6150,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50">
        <f>IF(AND('Loan Tape (S&amp;P)'!U6150="Yes",
        'Loan Tape (S&amp;P)'!T6150&lt;&gt;"Yes",
        DATEDIF('Loan Tape (S&amp;P)'!K6150, TODAY(), "M")&lt;18),
    1.10,
    1.00)</f>
        <v/>
      </c>
      <c r="O6150">
        <f>IF('Loan Tape (S&amp;P)'!T6150="Yes",
    1.35,
    1.00)</f>
        <v/>
      </c>
      <c r="P6150">
        <f>IF('Loan Tape (S&amp;P)'!S6150="Yes",
    1.15,
    1.00)</f>
        <v/>
      </c>
      <c r="Q6150">
        <f>IF('Loan Tape (S&amp;P)'!V6150="Yes",
    1.20,
    1.00)</f>
        <v/>
      </c>
      <c r="T6150">
        <f>LET(
    payment_method,'Loan Tape (S&amp;P)'!P6150,
    occupancy,'Loan Tape (S&amp;P)'!N6150,
    maturity_date,'Loan Tape (S&amp;P)'!L6150,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51">
      <c r="J6151">
        <f>LET(
    lien,'Loan Tape (S&amp;P)'!Q6151,
    IF(lien="First",1.00,
        IF(lien="Second",1.50,
            1.70)))</f>
        <v/>
      </c>
      <c r="K6151">
        <f>LET(
    purpose,'Loan Tape (S&amp;P)'!R6151,
    IF(purpose="Purchase",1.00,
        IF(purpose="Remortgage",1.00,
            1.20)))</f>
        <v/>
      </c>
      <c r="L6151">
        <f>LET(
    arrears_months,'Loan Tape (S&amp;P)'!AN6151,
    IF(arrears_months=0,1.00,
    IF(arrears_months=1,3.00,
    IF(arrears_months=2,5.00,
    IF(arrears_months=3,8.00,
    IF(arrears_months=4,10.00,
    IF(arrears_months=5,12.00,15.00)))))))</f>
        <v/>
      </c>
      <c r="M6151">
        <f>LET(
    seasoning_years,DATEDIF('Loan Tape (S&amp;P)'!K6151,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51">
        <f>IF(AND('Loan Tape (S&amp;P)'!U6151="Yes",
        'Loan Tape (S&amp;P)'!T6151&lt;&gt;"Yes",
        DATEDIF('Loan Tape (S&amp;P)'!K6151, TODAY(), "M")&lt;18),
    1.10,
    1.00)</f>
        <v/>
      </c>
      <c r="O6151">
        <f>IF('Loan Tape (S&amp;P)'!T6151="Yes",
    1.35,
    1.00)</f>
        <v/>
      </c>
      <c r="P6151">
        <f>IF('Loan Tape (S&amp;P)'!S6151="Yes",
    1.15,
    1.00)</f>
        <v/>
      </c>
      <c r="Q6151">
        <f>IF('Loan Tape (S&amp;P)'!V6151="Yes",
    1.20,
    1.00)</f>
        <v/>
      </c>
      <c r="T6151">
        <f>LET(
    payment_method,'Loan Tape (S&amp;P)'!P6151,
    occupancy,'Loan Tape (S&amp;P)'!N6151,
    maturity_date,'Loan Tape (S&amp;P)'!L6151,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52">
      <c r="J6152">
        <f>LET(
    lien,'Loan Tape (S&amp;P)'!Q6152,
    IF(lien="First",1.00,
        IF(lien="Second",1.50,
            1.70)))</f>
        <v/>
      </c>
      <c r="K6152">
        <f>LET(
    purpose,'Loan Tape (S&amp;P)'!R6152,
    IF(purpose="Purchase",1.00,
        IF(purpose="Remortgage",1.00,
            1.20)))</f>
        <v/>
      </c>
      <c r="L6152">
        <f>LET(
    arrears_months,'Loan Tape (S&amp;P)'!AN6152,
    IF(arrears_months=0,1.00,
    IF(arrears_months=1,3.00,
    IF(arrears_months=2,5.00,
    IF(arrears_months=3,8.00,
    IF(arrears_months=4,10.00,
    IF(arrears_months=5,12.00,15.00)))))))</f>
        <v/>
      </c>
      <c r="M6152">
        <f>LET(
    seasoning_years,DATEDIF('Loan Tape (S&amp;P)'!K6152,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52">
        <f>IF(AND('Loan Tape (S&amp;P)'!U6152="Yes",
        'Loan Tape (S&amp;P)'!T6152&lt;&gt;"Yes",
        DATEDIF('Loan Tape (S&amp;P)'!K6152, TODAY(), "M")&lt;18),
    1.10,
    1.00)</f>
        <v/>
      </c>
      <c r="O6152">
        <f>IF('Loan Tape (S&amp;P)'!T6152="Yes",
    1.35,
    1.00)</f>
        <v/>
      </c>
      <c r="P6152">
        <f>IF('Loan Tape (S&amp;P)'!S6152="Yes",
    1.15,
    1.00)</f>
        <v/>
      </c>
      <c r="Q6152">
        <f>IF('Loan Tape (S&amp;P)'!V6152="Yes",
    1.20,
    1.00)</f>
        <v/>
      </c>
      <c r="T6152">
        <f>LET(
    payment_method,'Loan Tape (S&amp;P)'!P6152,
    occupancy,'Loan Tape (S&amp;P)'!N6152,
    maturity_date,'Loan Tape (S&amp;P)'!L6152,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53">
      <c r="J6153">
        <f>LET(
    lien,'Loan Tape (S&amp;P)'!Q6153,
    IF(lien="First",1.00,
        IF(lien="Second",1.50,
            1.70)))</f>
        <v/>
      </c>
      <c r="K6153">
        <f>LET(
    purpose,'Loan Tape (S&amp;P)'!R6153,
    IF(purpose="Purchase",1.00,
        IF(purpose="Remortgage",1.00,
            1.20)))</f>
        <v/>
      </c>
      <c r="L6153">
        <f>LET(
    arrears_months,'Loan Tape (S&amp;P)'!AN6153,
    IF(arrears_months=0,1.00,
    IF(arrears_months=1,3.00,
    IF(arrears_months=2,5.00,
    IF(arrears_months=3,8.00,
    IF(arrears_months=4,10.00,
    IF(arrears_months=5,12.00,15.00)))))))</f>
        <v/>
      </c>
      <c r="M6153">
        <f>LET(
    seasoning_years,DATEDIF('Loan Tape (S&amp;P)'!K6153,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53">
        <f>IF(AND('Loan Tape (S&amp;P)'!U6153="Yes",
        'Loan Tape (S&amp;P)'!T6153&lt;&gt;"Yes",
        DATEDIF('Loan Tape (S&amp;P)'!K6153, TODAY(), "M")&lt;18),
    1.10,
    1.00)</f>
        <v/>
      </c>
      <c r="O6153">
        <f>IF('Loan Tape (S&amp;P)'!T6153="Yes",
    1.35,
    1.00)</f>
        <v/>
      </c>
      <c r="P6153">
        <f>IF('Loan Tape (S&amp;P)'!S6153="Yes",
    1.15,
    1.00)</f>
        <v/>
      </c>
      <c r="Q6153">
        <f>IF('Loan Tape (S&amp;P)'!V6153="Yes",
    1.20,
    1.00)</f>
        <v/>
      </c>
      <c r="T6153">
        <f>LET(
    payment_method,'Loan Tape (S&amp;P)'!P6153,
    occupancy,'Loan Tape (S&amp;P)'!N6153,
    maturity_date,'Loan Tape (S&amp;P)'!L6153,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54">
      <c r="J6154">
        <f>LET(
    lien,'Loan Tape (S&amp;P)'!Q6154,
    IF(lien="First",1.00,
        IF(lien="Second",1.50,
            1.70)))</f>
        <v/>
      </c>
      <c r="K6154">
        <f>LET(
    purpose,'Loan Tape (S&amp;P)'!R6154,
    IF(purpose="Purchase",1.00,
        IF(purpose="Remortgage",1.00,
            1.20)))</f>
        <v/>
      </c>
      <c r="L6154">
        <f>LET(
    arrears_months,'Loan Tape (S&amp;P)'!AN6154,
    IF(arrears_months=0,1.00,
    IF(arrears_months=1,3.00,
    IF(arrears_months=2,5.00,
    IF(arrears_months=3,8.00,
    IF(arrears_months=4,10.00,
    IF(arrears_months=5,12.00,15.00)))))))</f>
        <v/>
      </c>
      <c r="M6154">
        <f>LET(
    seasoning_years,DATEDIF('Loan Tape (S&amp;P)'!K6154,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54">
        <f>IF(AND('Loan Tape (S&amp;P)'!U6154="Yes",
        'Loan Tape (S&amp;P)'!T6154&lt;&gt;"Yes",
        DATEDIF('Loan Tape (S&amp;P)'!K6154, TODAY(), "M")&lt;18),
    1.10,
    1.00)</f>
        <v/>
      </c>
      <c r="O6154">
        <f>IF('Loan Tape (S&amp;P)'!T6154="Yes",
    1.35,
    1.00)</f>
        <v/>
      </c>
      <c r="P6154">
        <f>IF('Loan Tape (S&amp;P)'!S6154="Yes",
    1.15,
    1.00)</f>
        <v/>
      </c>
      <c r="Q6154">
        <f>IF('Loan Tape (S&amp;P)'!V6154="Yes",
    1.20,
    1.00)</f>
        <v/>
      </c>
      <c r="T6154">
        <f>LET(
    payment_method,'Loan Tape (S&amp;P)'!P6154,
    occupancy,'Loan Tape (S&amp;P)'!N6154,
    maturity_date,'Loan Tape (S&amp;P)'!L6154,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55">
      <c r="J6155">
        <f>LET(
    lien,'Loan Tape (S&amp;P)'!Q6155,
    IF(lien="First",1.00,
        IF(lien="Second",1.50,
            1.70)))</f>
        <v/>
      </c>
      <c r="K6155">
        <f>LET(
    purpose,'Loan Tape (S&amp;P)'!R6155,
    IF(purpose="Purchase",1.00,
        IF(purpose="Remortgage",1.00,
            1.20)))</f>
        <v/>
      </c>
      <c r="L6155">
        <f>LET(
    arrears_months,'Loan Tape (S&amp;P)'!AN6155,
    IF(arrears_months=0,1.00,
    IF(arrears_months=1,3.00,
    IF(arrears_months=2,5.00,
    IF(arrears_months=3,8.00,
    IF(arrears_months=4,10.00,
    IF(arrears_months=5,12.00,15.00)))))))</f>
        <v/>
      </c>
      <c r="M6155">
        <f>LET(
    seasoning_years,DATEDIF('Loan Tape (S&amp;P)'!K6155,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55">
        <f>IF(AND('Loan Tape (S&amp;P)'!U6155="Yes",
        'Loan Tape (S&amp;P)'!T6155&lt;&gt;"Yes",
        DATEDIF('Loan Tape (S&amp;P)'!K6155, TODAY(), "M")&lt;18),
    1.10,
    1.00)</f>
        <v/>
      </c>
      <c r="O6155">
        <f>IF('Loan Tape (S&amp;P)'!T6155="Yes",
    1.35,
    1.00)</f>
        <v/>
      </c>
      <c r="P6155">
        <f>IF('Loan Tape (S&amp;P)'!S6155="Yes",
    1.15,
    1.00)</f>
        <v/>
      </c>
      <c r="Q6155">
        <f>IF('Loan Tape (S&amp;P)'!V6155="Yes",
    1.20,
    1.00)</f>
        <v/>
      </c>
      <c r="T6155">
        <f>LET(
    payment_method,'Loan Tape (S&amp;P)'!P6155,
    occupancy,'Loan Tape (S&amp;P)'!N6155,
    maturity_date,'Loan Tape (S&amp;P)'!L6155,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56">
      <c r="J6156">
        <f>LET(
    lien,'Loan Tape (S&amp;P)'!Q6156,
    IF(lien="First",1.00,
        IF(lien="Second",1.50,
            1.70)))</f>
        <v/>
      </c>
      <c r="K6156">
        <f>LET(
    purpose,'Loan Tape (S&amp;P)'!R6156,
    IF(purpose="Purchase",1.00,
        IF(purpose="Remortgage",1.00,
            1.20)))</f>
        <v/>
      </c>
      <c r="L6156">
        <f>LET(
    arrears_months,'Loan Tape (S&amp;P)'!AN6156,
    IF(arrears_months=0,1.00,
    IF(arrears_months=1,3.00,
    IF(arrears_months=2,5.00,
    IF(arrears_months=3,8.00,
    IF(arrears_months=4,10.00,
    IF(arrears_months=5,12.00,15.00)))))))</f>
        <v/>
      </c>
      <c r="M6156">
        <f>LET(
    seasoning_years,DATEDIF('Loan Tape (S&amp;P)'!K6156,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56">
        <f>IF(AND('Loan Tape (S&amp;P)'!U6156="Yes",
        'Loan Tape (S&amp;P)'!T6156&lt;&gt;"Yes",
        DATEDIF('Loan Tape (S&amp;P)'!K6156, TODAY(), "M")&lt;18),
    1.10,
    1.00)</f>
        <v/>
      </c>
      <c r="O6156">
        <f>IF('Loan Tape (S&amp;P)'!T6156="Yes",
    1.35,
    1.00)</f>
        <v/>
      </c>
      <c r="P6156">
        <f>IF('Loan Tape (S&amp;P)'!S6156="Yes",
    1.15,
    1.00)</f>
        <v/>
      </c>
      <c r="Q6156">
        <f>IF('Loan Tape (S&amp;P)'!V6156="Yes",
    1.20,
    1.00)</f>
        <v/>
      </c>
      <c r="T6156">
        <f>LET(
    payment_method,'Loan Tape (S&amp;P)'!P6156,
    occupancy,'Loan Tape (S&amp;P)'!N6156,
    maturity_date,'Loan Tape (S&amp;P)'!L6156,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57">
      <c r="J6157">
        <f>LET(
    lien,'Loan Tape (S&amp;P)'!Q6157,
    IF(lien="First",1.00,
        IF(lien="Second",1.50,
            1.70)))</f>
        <v/>
      </c>
      <c r="K6157">
        <f>LET(
    purpose,'Loan Tape (S&amp;P)'!R6157,
    IF(purpose="Purchase",1.00,
        IF(purpose="Remortgage",1.00,
            1.20)))</f>
        <v/>
      </c>
      <c r="L6157">
        <f>LET(
    arrears_months,'Loan Tape (S&amp;P)'!AN6157,
    IF(arrears_months=0,1.00,
    IF(arrears_months=1,3.00,
    IF(arrears_months=2,5.00,
    IF(arrears_months=3,8.00,
    IF(arrears_months=4,10.00,
    IF(arrears_months=5,12.00,15.00)))))))</f>
        <v/>
      </c>
      <c r="M6157">
        <f>LET(
    seasoning_years,DATEDIF('Loan Tape (S&amp;P)'!K6157,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57">
        <f>IF(AND('Loan Tape (S&amp;P)'!U6157="Yes",
        'Loan Tape (S&amp;P)'!T6157&lt;&gt;"Yes",
        DATEDIF('Loan Tape (S&amp;P)'!K6157, TODAY(), "M")&lt;18),
    1.10,
    1.00)</f>
        <v/>
      </c>
      <c r="O6157">
        <f>IF('Loan Tape (S&amp;P)'!T6157="Yes",
    1.35,
    1.00)</f>
        <v/>
      </c>
      <c r="P6157">
        <f>IF('Loan Tape (S&amp;P)'!S6157="Yes",
    1.15,
    1.00)</f>
        <v/>
      </c>
      <c r="Q6157">
        <f>IF('Loan Tape (S&amp;P)'!V6157="Yes",
    1.20,
    1.00)</f>
        <v/>
      </c>
      <c r="T6157">
        <f>LET(
    payment_method,'Loan Tape (S&amp;P)'!P6157,
    occupancy,'Loan Tape (S&amp;P)'!N6157,
    maturity_date,'Loan Tape (S&amp;P)'!L6157,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58">
      <c r="J6158">
        <f>LET(
    lien,'Loan Tape (S&amp;P)'!Q6158,
    IF(lien="First",1.00,
        IF(lien="Second",1.50,
            1.70)))</f>
        <v/>
      </c>
      <c r="K6158">
        <f>LET(
    purpose,'Loan Tape (S&amp;P)'!R6158,
    IF(purpose="Purchase",1.00,
        IF(purpose="Remortgage",1.00,
            1.20)))</f>
        <v/>
      </c>
      <c r="L6158">
        <f>LET(
    arrears_months,'Loan Tape (S&amp;P)'!AN6158,
    IF(arrears_months=0,1.00,
    IF(arrears_months=1,3.00,
    IF(arrears_months=2,5.00,
    IF(arrears_months=3,8.00,
    IF(arrears_months=4,10.00,
    IF(arrears_months=5,12.00,15.00)))))))</f>
        <v/>
      </c>
      <c r="M6158">
        <f>LET(
    seasoning_years,DATEDIF('Loan Tape (S&amp;P)'!K6158,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58">
        <f>IF(AND('Loan Tape (S&amp;P)'!U6158="Yes",
        'Loan Tape (S&amp;P)'!T6158&lt;&gt;"Yes",
        DATEDIF('Loan Tape (S&amp;P)'!K6158, TODAY(), "M")&lt;18),
    1.10,
    1.00)</f>
        <v/>
      </c>
      <c r="O6158">
        <f>IF('Loan Tape (S&amp;P)'!T6158="Yes",
    1.35,
    1.00)</f>
        <v/>
      </c>
      <c r="P6158">
        <f>IF('Loan Tape (S&amp;P)'!S6158="Yes",
    1.15,
    1.00)</f>
        <v/>
      </c>
      <c r="Q6158">
        <f>IF('Loan Tape (S&amp;P)'!V6158="Yes",
    1.20,
    1.00)</f>
        <v/>
      </c>
      <c r="T6158">
        <f>LET(
    payment_method,'Loan Tape (S&amp;P)'!P6158,
    occupancy,'Loan Tape (S&amp;P)'!N6158,
    maturity_date,'Loan Tape (S&amp;P)'!L6158,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59">
      <c r="J6159">
        <f>LET(
    lien,'Loan Tape (S&amp;P)'!Q6159,
    IF(lien="First",1.00,
        IF(lien="Second",1.50,
            1.70)))</f>
        <v/>
      </c>
      <c r="K6159">
        <f>LET(
    purpose,'Loan Tape (S&amp;P)'!R6159,
    IF(purpose="Purchase",1.00,
        IF(purpose="Remortgage",1.00,
            1.20)))</f>
        <v/>
      </c>
      <c r="L6159">
        <f>LET(
    arrears_months,'Loan Tape (S&amp;P)'!AN6159,
    IF(arrears_months=0,1.00,
    IF(arrears_months=1,3.00,
    IF(arrears_months=2,5.00,
    IF(arrears_months=3,8.00,
    IF(arrears_months=4,10.00,
    IF(arrears_months=5,12.00,15.00)))))))</f>
        <v/>
      </c>
      <c r="M6159">
        <f>LET(
    seasoning_years,DATEDIF('Loan Tape (S&amp;P)'!K6159,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59">
        <f>IF(AND('Loan Tape (S&amp;P)'!U6159="Yes",
        'Loan Tape (S&amp;P)'!T6159&lt;&gt;"Yes",
        DATEDIF('Loan Tape (S&amp;P)'!K6159, TODAY(), "M")&lt;18),
    1.10,
    1.00)</f>
        <v/>
      </c>
      <c r="O6159">
        <f>IF('Loan Tape (S&amp;P)'!T6159="Yes",
    1.35,
    1.00)</f>
        <v/>
      </c>
      <c r="P6159">
        <f>IF('Loan Tape (S&amp;P)'!S6159="Yes",
    1.15,
    1.00)</f>
        <v/>
      </c>
      <c r="Q6159">
        <f>IF('Loan Tape (S&amp;P)'!V6159="Yes",
    1.20,
    1.00)</f>
        <v/>
      </c>
      <c r="T6159">
        <f>LET(
    payment_method,'Loan Tape (S&amp;P)'!P6159,
    occupancy,'Loan Tape (S&amp;P)'!N6159,
    maturity_date,'Loan Tape (S&amp;P)'!L6159,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60">
      <c r="J6160">
        <f>LET(
    lien,'Loan Tape (S&amp;P)'!Q6160,
    IF(lien="First",1.00,
        IF(lien="Second",1.50,
            1.70)))</f>
        <v/>
      </c>
      <c r="K6160">
        <f>LET(
    purpose,'Loan Tape (S&amp;P)'!R6160,
    IF(purpose="Purchase",1.00,
        IF(purpose="Remortgage",1.00,
            1.20)))</f>
        <v/>
      </c>
      <c r="L6160">
        <f>LET(
    arrears_months,'Loan Tape (S&amp;P)'!AN6160,
    IF(arrears_months=0,1.00,
    IF(arrears_months=1,3.00,
    IF(arrears_months=2,5.00,
    IF(arrears_months=3,8.00,
    IF(arrears_months=4,10.00,
    IF(arrears_months=5,12.00,15.00)))))))</f>
        <v/>
      </c>
      <c r="M6160">
        <f>LET(
    seasoning_years,DATEDIF('Loan Tape (S&amp;P)'!K6160,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60">
        <f>IF(AND('Loan Tape (S&amp;P)'!U6160="Yes",
        'Loan Tape (S&amp;P)'!T6160&lt;&gt;"Yes",
        DATEDIF('Loan Tape (S&amp;P)'!K6160, TODAY(), "M")&lt;18),
    1.10,
    1.00)</f>
        <v/>
      </c>
      <c r="O6160">
        <f>IF('Loan Tape (S&amp;P)'!T6160="Yes",
    1.35,
    1.00)</f>
        <v/>
      </c>
      <c r="P6160">
        <f>IF('Loan Tape (S&amp;P)'!S6160="Yes",
    1.15,
    1.00)</f>
        <v/>
      </c>
      <c r="Q6160">
        <f>IF('Loan Tape (S&amp;P)'!V6160="Yes",
    1.20,
    1.00)</f>
        <v/>
      </c>
      <c r="T6160">
        <f>LET(
    payment_method,'Loan Tape (S&amp;P)'!P6160,
    occupancy,'Loan Tape (S&amp;P)'!N6160,
    maturity_date,'Loan Tape (S&amp;P)'!L6160,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61">
      <c r="J6161">
        <f>LET(
    lien,'Loan Tape (S&amp;P)'!Q6161,
    IF(lien="First",1.00,
        IF(lien="Second",1.50,
            1.70)))</f>
        <v/>
      </c>
      <c r="K6161">
        <f>LET(
    purpose,'Loan Tape (S&amp;P)'!R6161,
    IF(purpose="Purchase",1.00,
        IF(purpose="Remortgage",1.00,
            1.20)))</f>
        <v/>
      </c>
      <c r="L6161">
        <f>LET(
    arrears_months,'Loan Tape (S&amp;P)'!AN6161,
    IF(arrears_months=0,1.00,
    IF(arrears_months=1,3.00,
    IF(arrears_months=2,5.00,
    IF(arrears_months=3,8.00,
    IF(arrears_months=4,10.00,
    IF(arrears_months=5,12.00,15.00)))))))</f>
        <v/>
      </c>
      <c r="M6161">
        <f>LET(
    seasoning_years,DATEDIF('Loan Tape (S&amp;P)'!K6161,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61">
        <f>IF(AND('Loan Tape (S&amp;P)'!U6161="Yes",
        'Loan Tape (S&amp;P)'!T6161&lt;&gt;"Yes",
        DATEDIF('Loan Tape (S&amp;P)'!K6161, TODAY(), "M")&lt;18),
    1.10,
    1.00)</f>
        <v/>
      </c>
      <c r="O6161">
        <f>IF('Loan Tape (S&amp;P)'!T6161="Yes",
    1.35,
    1.00)</f>
        <v/>
      </c>
      <c r="P6161">
        <f>IF('Loan Tape (S&amp;P)'!S6161="Yes",
    1.15,
    1.00)</f>
        <v/>
      </c>
      <c r="Q6161">
        <f>IF('Loan Tape (S&amp;P)'!V6161="Yes",
    1.20,
    1.00)</f>
        <v/>
      </c>
      <c r="T6161">
        <f>LET(
    payment_method,'Loan Tape (S&amp;P)'!P6161,
    occupancy,'Loan Tape (S&amp;P)'!N6161,
    maturity_date,'Loan Tape (S&amp;P)'!L6161,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62">
      <c r="J6162">
        <f>LET(
    lien,'Loan Tape (S&amp;P)'!Q6162,
    IF(lien="First",1.00,
        IF(lien="Second",1.50,
            1.70)))</f>
        <v/>
      </c>
      <c r="K6162">
        <f>LET(
    purpose,'Loan Tape (S&amp;P)'!R6162,
    IF(purpose="Purchase",1.00,
        IF(purpose="Remortgage",1.00,
            1.20)))</f>
        <v/>
      </c>
      <c r="L6162">
        <f>LET(
    arrears_months,'Loan Tape (S&amp;P)'!AN6162,
    IF(arrears_months=0,1.00,
    IF(arrears_months=1,3.00,
    IF(arrears_months=2,5.00,
    IF(arrears_months=3,8.00,
    IF(arrears_months=4,10.00,
    IF(arrears_months=5,12.00,15.00)))))))</f>
        <v/>
      </c>
      <c r="M6162">
        <f>LET(
    seasoning_years,DATEDIF('Loan Tape (S&amp;P)'!K6162,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62">
        <f>IF(AND('Loan Tape (S&amp;P)'!U6162="Yes",
        'Loan Tape (S&amp;P)'!T6162&lt;&gt;"Yes",
        DATEDIF('Loan Tape (S&amp;P)'!K6162, TODAY(), "M")&lt;18),
    1.10,
    1.00)</f>
        <v/>
      </c>
      <c r="O6162">
        <f>IF('Loan Tape (S&amp;P)'!T6162="Yes",
    1.35,
    1.00)</f>
        <v/>
      </c>
      <c r="P6162">
        <f>IF('Loan Tape (S&amp;P)'!S6162="Yes",
    1.15,
    1.00)</f>
        <v/>
      </c>
      <c r="Q6162">
        <f>IF('Loan Tape (S&amp;P)'!V6162="Yes",
    1.20,
    1.00)</f>
        <v/>
      </c>
      <c r="T6162">
        <f>LET(
    payment_method,'Loan Tape (S&amp;P)'!P6162,
    occupancy,'Loan Tape (S&amp;P)'!N6162,
    maturity_date,'Loan Tape (S&amp;P)'!L6162,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63">
      <c r="J6163">
        <f>LET(
    lien,'Loan Tape (S&amp;P)'!Q6163,
    IF(lien="First",1.00,
        IF(lien="Second",1.50,
            1.70)))</f>
        <v/>
      </c>
      <c r="K6163">
        <f>LET(
    purpose,'Loan Tape (S&amp;P)'!R6163,
    IF(purpose="Purchase",1.00,
        IF(purpose="Remortgage",1.00,
            1.20)))</f>
        <v/>
      </c>
      <c r="L6163">
        <f>LET(
    arrears_months,'Loan Tape (S&amp;P)'!AN6163,
    IF(arrears_months=0,1.00,
    IF(arrears_months=1,3.00,
    IF(arrears_months=2,5.00,
    IF(arrears_months=3,8.00,
    IF(arrears_months=4,10.00,
    IF(arrears_months=5,12.00,15.00)))))))</f>
        <v/>
      </c>
      <c r="M6163">
        <f>LET(
    seasoning_years,DATEDIF('Loan Tape (S&amp;P)'!K6163,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63">
        <f>IF(AND('Loan Tape (S&amp;P)'!U6163="Yes",
        'Loan Tape (S&amp;P)'!T6163&lt;&gt;"Yes",
        DATEDIF('Loan Tape (S&amp;P)'!K6163, TODAY(), "M")&lt;18),
    1.10,
    1.00)</f>
        <v/>
      </c>
      <c r="O6163">
        <f>IF('Loan Tape (S&amp;P)'!T6163="Yes",
    1.35,
    1.00)</f>
        <v/>
      </c>
      <c r="P6163">
        <f>IF('Loan Tape (S&amp;P)'!S6163="Yes",
    1.15,
    1.00)</f>
        <v/>
      </c>
      <c r="Q6163">
        <f>IF('Loan Tape (S&amp;P)'!V6163="Yes",
    1.20,
    1.00)</f>
        <v/>
      </c>
      <c r="T6163">
        <f>LET(
    payment_method,'Loan Tape (S&amp;P)'!P6163,
    occupancy,'Loan Tape (S&amp;P)'!N6163,
    maturity_date,'Loan Tape (S&amp;P)'!L6163,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64">
      <c r="J6164">
        <f>LET(
    lien,'Loan Tape (S&amp;P)'!Q6164,
    IF(lien="First",1.00,
        IF(lien="Second",1.50,
            1.70)))</f>
        <v/>
      </c>
      <c r="K6164">
        <f>LET(
    purpose,'Loan Tape (S&amp;P)'!R6164,
    IF(purpose="Purchase",1.00,
        IF(purpose="Remortgage",1.00,
            1.20)))</f>
        <v/>
      </c>
      <c r="L6164">
        <f>LET(
    arrears_months,'Loan Tape (S&amp;P)'!AN6164,
    IF(arrears_months=0,1.00,
    IF(arrears_months=1,3.00,
    IF(arrears_months=2,5.00,
    IF(arrears_months=3,8.00,
    IF(arrears_months=4,10.00,
    IF(arrears_months=5,12.00,15.00)))))))</f>
        <v/>
      </c>
      <c r="M6164">
        <f>LET(
    seasoning_years,DATEDIF('Loan Tape (S&amp;P)'!K6164,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64">
        <f>IF(AND('Loan Tape (S&amp;P)'!U6164="Yes",
        'Loan Tape (S&amp;P)'!T6164&lt;&gt;"Yes",
        DATEDIF('Loan Tape (S&amp;P)'!K6164, TODAY(), "M")&lt;18),
    1.10,
    1.00)</f>
        <v/>
      </c>
      <c r="O6164">
        <f>IF('Loan Tape (S&amp;P)'!T6164="Yes",
    1.35,
    1.00)</f>
        <v/>
      </c>
      <c r="P6164">
        <f>IF('Loan Tape (S&amp;P)'!S6164="Yes",
    1.15,
    1.00)</f>
        <v/>
      </c>
      <c r="Q6164">
        <f>IF('Loan Tape (S&amp;P)'!V6164="Yes",
    1.20,
    1.00)</f>
        <v/>
      </c>
      <c r="T6164">
        <f>LET(
    payment_method,'Loan Tape (S&amp;P)'!P6164,
    occupancy,'Loan Tape (S&amp;P)'!N6164,
    maturity_date,'Loan Tape (S&amp;P)'!L6164,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65">
      <c r="J6165">
        <f>LET(
    lien,'Loan Tape (S&amp;P)'!Q6165,
    IF(lien="First",1.00,
        IF(lien="Second",1.50,
            1.70)))</f>
        <v/>
      </c>
      <c r="K6165">
        <f>LET(
    purpose,'Loan Tape (S&amp;P)'!R6165,
    IF(purpose="Purchase",1.00,
        IF(purpose="Remortgage",1.00,
            1.20)))</f>
        <v/>
      </c>
      <c r="L6165">
        <f>LET(
    arrears_months,'Loan Tape (S&amp;P)'!AN6165,
    IF(arrears_months=0,1.00,
    IF(arrears_months=1,3.00,
    IF(arrears_months=2,5.00,
    IF(arrears_months=3,8.00,
    IF(arrears_months=4,10.00,
    IF(arrears_months=5,12.00,15.00)))))))</f>
        <v/>
      </c>
      <c r="M6165">
        <f>LET(
    seasoning_years,DATEDIF('Loan Tape (S&amp;P)'!K6165,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65">
        <f>IF(AND('Loan Tape (S&amp;P)'!U6165="Yes",
        'Loan Tape (S&amp;P)'!T6165&lt;&gt;"Yes",
        DATEDIF('Loan Tape (S&amp;P)'!K6165, TODAY(), "M")&lt;18),
    1.10,
    1.00)</f>
        <v/>
      </c>
      <c r="O6165">
        <f>IF('Loan Tape (S&amp;P)'!T6165="Yes",
    1.35,
    1.00)</f>
        <v/>
      </c>
      <c r="P6165">
        <f>IF('Loan Tape (S&amp;P)'!S6165="Yes",
    1.15,
    1.00)</f>
        <v/>
      </c>
      <c r="Q6165">
        <f>IF('Loan Tape (S&amp;P)'!V6165="Yes",
    1.20,
    1.00)</f>
        <v/>
      </c>
      <c r="T6165">
        <f>LET(
    payment_method,'Loan Tape (S&amp;P)'!P6165,
    occupancy,'Loan Tape (S&amp;P)'!N6165,
    maturity_date,'Loan Tape (S&amp;P)'!L6165,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66">
      <c r="J6166">
        <f>LET(
    lien,'Loan Tape (S&amp;P)'!Q6166,
    IF(lien="First",1.00,
        IF(lien="Second",1.50,
            1.70)))</f>
        <v/>
      </c>
      <c r="K6166">
        <f>LET(
    purpose,'Loan Tape (S&amp;P)'!R6166,
    IF(purpose="Purchase",1.00,
        IF(purpose="Remortgage",1.00,
            1.20)))</f>
        <v/>
      </c>
      <c r="L6166">
        <f>LET(
    arrears_months,'Loan Tape (S&amp;P)'!AN6166,
    IF(arrears_months=0,1.00,
    IF(arrears_months=1,3.00,
    IF(arrears_months=2,5.00,
    IF(arrears_months=3,8.00,
    IF(arrears_months=4,10.00,
    IF(arrears_months=5,12.00,15.00)))))))</f>
        <v/>
      </c>
      <c r="M6166">
        <f>LET(
    seasoning_years,DATEDIF('Loan Tape (S&amp;P)'!K6166,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66">
        <f>IF(AND('Loan Tape (S&amp;P)'!U6166="Yes",
        'Loan Tape (S&amp;P)'!T6166&lt;&gt;"Yes",
        DATEDIF('Loan Tape (S&amp;P)'!K6166, TODAY(), "M")&lt;18),
    1.10,
    1.00)</f>
        <v/>
      </c>
      <c r="O6166">
        <f>IF('Loan Tape (S&amp;P)'!T6166="Yes",
    1.35,
    1.00)</f>
        <v/>
      </c>
      <c r="P6166">
        <f>IF('Loan Tape (S&amp;P)'!S6166="Yes",
    1.15,
    1.00)</f>
        <v/>
      </c>
      <c r="Q6166">
        <f>IF('Loan Tape (S&amp;P)'!V6166="Yes",
    1.20,
    1.00)</f>
        <v/>
      </c>
      <c r="T6166">
        <f>LET(
    payment_method,'Loan Tape (S&amp;P)'!P6166,
    occupancy,'Loan Tape (S&amp;P)'!N6166,
    maturity_date,'Loan Tape (S&amp;P)'!L6166,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67">
      <c r="J6167">
        <f>LET(
    lien,'Loan Tape (S&amp;P)'!Q6167,
    IF(lien="First",1.00,
        IF(lien="Second",1.50,
            1.70)))</f>
        <v/>
      </c>
      <c r="K6167">
        <f>LET(
    purpose,'Loan Tape (S&amp;P)'!R6167,
    IF(purpose="Purchase",1.00,
        IF(purpose="Remortgage",1.00,
            1.20)))</f>
        <v/>
      </c>
      <c r="L6167">
        <f>LET(
    arrears_months,'Loan Tape (S&amp;P)'!AN6167,
    IF(arrears_months=0,1.00,
    IF(arrears_months=1,3.00,
    IF(arrears_months=2,5.00,
    IF(arrears_months=3,8.00,
    IF(arrears_months=4,10.00,
    IF(arrears_months=5,12.00,15.00)))))))</f>
        <v/>
      </c>
      <c r="M6167">
        <f>LET(
    seasoning_years,DATEDIF('Loan Tape (S&amp;P)'!K6167,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67">
        <f>IF(AND('Loan Tape (S&amp;P)'!U6167="Yes",
        'Loan Tape (S&amp;P)'!T6167&lt;&gt;"Yes",
        DATEDIF('Loan Tape (S&amp;P)'!K6167, TODAY(), "M")&lt;18),
    1.10,
    1.00)</f>
        <v/>
      </c>
      <c r="O6167">
        <f>IF('Loan Tape (S&amp;P)'!T6167="Yes",
    1.35,
    1.00)</f>
        <v/>
      </c>
      <c r="P6167">
        <f>IF('Loan Tape (S&amp;P)'!S6167="Yes",
    1.15,
    1.00)</f>
        <v/>
      </c>
      <c r="Q6167">
        <f>IF('Loan Tape (S&amp;P)'!V6167="Yes",
    1.20,
    1.00)</f>
        <v/>
      </c>
      <c r="T6167">
        <f>LET(
    payment_method,'Loan Tape (S&amp;P)'!P6167,
    occupancy,'Loan Tape (S&amp;P)'!N6167,
    maturity_date,'Loan Tape (S&amp;P)'!L6167,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68">
      <c r="J6168">
        <f>LET(
    lien,'Loan Tape (S&amp;P)'!Q6168,
    IF(lien="First",1.00,
        IF(lien="Second",1.50,
            1.70)))</f>
        <v/>
      </c>
      <c r="K6168">
        <f>LET(
    purpose,'Loan Tape (S&amp;P)'!R6168,
    IF(purpose="Purchase",1.00,
        IF(purpose="Remortgage",1.00,
            1.20)))</f>
        <v/>
      </c>
      <c r="L6168">
        <f>LET(
    arrears_months,'Loan Tape (S&amp;P)'!AN6168,
    IF(arrears_months=0,1.00,
    IF(arrears_months=1,3.00,
    IF(arrears_months=2,5.00,
    IF(arrears_months=3,8.00,
    IF(arrears_months=4,10.00,
    IF(arrears_months=5,12.00,15.00)))))))</f>
        <v/>
      </c>
      <c r="M6168">
        <f>LET(
    seasoning_years,DATEDIF('Loan Tape (S&amp;P)'!K6168,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68">
        <f>IF(AND('Loan Tape (S&amp;P)'!U6168="Yes",
        'Loan Tape (S&amp;P)'!T6168&lt;&gt;"Yes",
        DATEDIF('Loan Tape (S&amp;P)'!K6168, TODAY(), "M")&lt;18),
    1.10,
    1.00)</f>
        <v/>
      </c>
      <c r="O6168">
        <f>IF('Loan Tape (S&amp;P)'!T6168="Yes",
    1.35,
    1.00)</f>
        <v/>
      </c>
      <c r="P6168">
        <f>IF('Loan Tape (S&amp;P)'!S6168="Yes",
    1.15,
    1.00)</f>
        <v/>
      </c>
      <c r="Q6168">
        <f>IF('Loan Tape (S&amp;P)'!V6168="Yes",
    1.20,
    1.00)</f>
        <v/>
      </c>
      <c r="T6168">
        <f>LET(
    payment_method,'Loan Tape (S&amp;P)'!P6168,
    occupancy,'Loan Tape (S&amp;P)'!N6168,
    maturity_date,'Loan Tape (S&amp;P)'!L6168,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69">
      <c r="J6169">
        <f>LET(
    lien,'Loan Tape (S&amp;P)'!Q6169,
    IF(lien="First",1.00,
        IF(lien="Second",1.50,
            1.70)))</f>
        <v/>
      </c>
      <c r="K6169">
        <f>LET(
    purpose,'Loan Tape (S&amp;P)'!R6169,
    IF(purpose="Purchase",1.00,
        IF(purpose="Remortgage",1.00,
            1.20)))</f>
        <v/>
      </c>
      <c r="L6169">
        <f>LET(
    arrears_months,'Loan Tape (S&amp;P)'!AN6169,
    IF(arrears_months=0,1.00,
    IF(arrears_months=1,3.00,
    IF(arrears_months=2,5.00,
    IF(arrears_months=3,8.00,
    IF(arrears_months=4,10.00,
    IF(arrears_months=5,12.00,15.00)))))))</f>
        <v/>
      </c>
      <c r="M6169">
        <f>LET(
    seasoning_years,DATEDIF('Loan Tape (S&amp;P)'!K6169,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69">
        <f>IF(AND('Loan Tape (S&amp;P)'!U6169="Yes",
        'Loan Tape (S&amp;P)'!T6169&lt;&gt;"Yes",
        DATEDIF('Loan Tape (S&amp;P)'!K6169, TODAY(), "M")&lt;18),
    1.10,
    1.00)</f>
        <v/>
      </c>
      <c r="O6169">
        <f>IF('Loan Tape (S&amp;P)'!T6169="Yes",
    1.35,
    1.00)</f>
        <v/>
      </c>
      <c r="P6169">
        <f>IF('Loan Tape (S&amp;P)'!S6169="Yes",
    1.15,
    1.00)</f>
        <v/>
      </c>
      <c r="Q6169">
        <f>IF('Loan Tape (S&amp;P)'!V6169="Yes",
    1.20,
    1.00)</f>
        <v/>
      </c>
      <c r="T6169">
        <f>LET(
    payment_method,'Loan Tape (S&amp;P)'!P6169,
    occupancy,'Loan Tape (S&amp;P)'!N6169,
    maturity_date,'Loan Tape (S&amp;P)'!L6169,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70">
      <c r="J6170">
        <f>LET(
    lien,'Loan Tape (S&amp;P)'!Q6170,
    IF(lien="First",1.00,
        IF(lien="Second",1.50,
            1.70)))</f>
        <v/>
      </c>
      <c r="K6170">
        <f>LET(
    purpose,'Loan Tape (S&amp;P)'!R6170,
    IF(purpose="Purchase",1.00,
        IF(purpose="Remortgage",1.00,
            1.20)))</f>
        <v/>
      </c>
      <c r="L6170">
        <f>LET(
    arrears_months,'Loan Tape (S&amp;P)'!AN6170,
    IF(arrears_months=0,1.00,
    IF(arrears_months=1,3.00,
    IF(arrears_months=2,5.00,
    IF(arrears_months=3,8.00,
    IF(arrears_months=4,10.00,
    IF(arrears_months=5,12.00,15.00)))))))</f>
        <v/>
      </c>
      <c r="M6170">
        <f>LET(
    seasoning_years,DATEDIF('Loan Tape (S&amp;P)'!K6170,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70">
        <f>IF(AND('Loan Tape (S&amp;P)'!U6170="Yes",
        'Loan Tape (S&amp;P)'!T6170&lt;&gt;"Yes",
        DATEDIF('Loan Tape (S&amp;P)'!K6170, TODAY(), "M")&lt;18),
    1.10,
    1.00)</f>
        <v/>
      </c>
      <c r="O6170">
        <f>IF('Loan Tape (S&amp;P)'!T6170="Yes",
    1.35,
    1.00)</f>
        <v/>
      </c>
      <c r="P6170">
        <f>IF('Loan Tape (S&amp;P)'!S6170="Yes",
    1.15,
    1.00)</f>
        <v/>
      </c>
      <c r="Q6170">
        <f>IF('Loan Tape (S&amp;P)'!V6170="Yes",
    1.20,
    1.00)</f>
        <v/>
      </c>
      <c r="T6170">
        <f>LET(
    payment_method,'Loan Tape (S&amp;P)'!P6170,
    occupancy,'Loan Tape (S&amp;P)'!N6170,
    maturity_date,'Loan Tape (S&amp;P)'!L6170,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71">
      <c r="J6171">
        <f>LET(
    lien,'Loan Tape (S&amp;P)'!Q6171,
    IF(lien="First",1.00,
        IF(lien="Second",1.50,
            1.70)))</f>
        <v/>
      </c>
      <c r="K6171">
        <f>LET(
    purpose,'Loan Tape (S&amp;P)'!R6171,
    IF(purpose="Purchase",1.00,
        IF(purpose="Remortgage",1.00,
            1.20)))</f>
        <v/>
      </c>
      <c r="L6171">
        <f>LET(
    arrears_months,'Loan Tape (S&amp;P)'!AN6171,
    IF(arrears_months=0,1.00,
    IF(arrears_months=1,3.00,
    IF(arrears_months=2,5.00,
    IF(arrears_months=3,8.00,
    IF(arrears_months=4,10.00,
    IF(arrears_months=5,12.00,15.00)))))))</f>
        <v/>
      </c>
      <c r="M6171">
        <f>LET(
    seasoning_years,DATEDIF('Loan Tape (S&amp;P)'!K6171,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71">
        <f>IF(AND('Loan Tape (S&amp;P)'!U6171="Yes",
        'Loan Tape (S&amp;P)'!T6171&lt;&gt;"Yes",
        DATEDIF('Loan Tape (S&amp;P)'!K6171, TODAY(), "M")&lt;18),
    1.10,
    1.00)</f>
        <v/>
      </c>
      <c r="O6171">
        <f>IF('Loan Tape (S&amp;P)'!T6171="Yes",
    1.35,
    1.00)</f>
        <v/>
      </c>
      <c r="P6171">
        <f>IF('Loan Tape (S&amp;P)'!S6171="Yes",
    1.15,
    1.00)</f>
        <v/>
      </c>
      <c r="Q6171">
        <f>IF('Loan Tape (S&amp;P)'!V6171="Yes",
    1.20,
    1.00)</f>
        <v/>
      </c>
      <c r="T6171">
        <f>LET(
    payment_method,'Loan Tape (S&amp;P)'!P6171,
    occupancy,'Loan Tape (S&amp;P)'!N6171,
    maturity_date,'Loan Tape (S&amp;P)'!L6171,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72">
      <c r="J6172">
        <f>LET(
    lien,'Loan Tape (S&amp;P)'!Q6172,
    IF(lien="First",1.00,
        IF(lien="Second",1.50,
            1.70)))</f>
        <v/>
      </c>
      <c r="K6172">
        <f>LET(
    purpose,'Loan Tape (S&amp;P)'!R6172,
    IF(purpose="Purchase",1.00,
        IF(purpose="Remortgage",1.00,
            1.20)))</f>
        <v/>
      </c>
      <c r="L6172">
        <f>LET(
    arrears_months,'Loan Tape (S&amp;P)'!AN6172,
    IF(arrears_months=0,1.00,
    IF(arrears_months=1,3.00,
    IF(arrears_months=2,5.00,
    IF(arrears_months=3,8.00,
    IF(arrears_months=4,10.00,
    IF(arrears_months=5,12.00,15.00)))))))</f>
        <v/>
      </c>
      <c r="M6172">
        <f>LET(
    seasoning_years,DATEDIF('Loan Tape (S&amp;P)'!K6172,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72">
        <f>IF(AND('Loan Tape (S&amp;P)'!U6172="Yes",
        'Loan Tape (S&amp;P)'!T6172&lt;&gt;"Yes",
        DATEDIF('Loan Tape (S&amp;P)'!K6172, TODAY(), "M")&lt;18),
    1.10,
    1.00)</f>
        <v/>
      </c>
      <c r="O6172">
        <f>IF('Loan Tape (S&amp;P)'!T6172="Yes",
    1.35,
    1.00)</f>
        <v/>
      </c>
      <c r="P6172">
        <f>IF('Loan Tape (S&amp;P)'!S6172="Yes",
    1.15,
    1.00)</f>
        <v/>
      </c>
      <c r="Q6172">
        <f>IF('Loan Tape (S&amp;P)'!V6172="Yes",
    1.20,
    1.00)</f>
        <v/>
      </c>
      <c r="T6172">
        <f>LET(
    payment_method,'Loan Tape (S&amp;P)'!P6172,
    occupancy,'Loan Tape (S&amp;P)'!N6172,
    maturity_date,'Loan Tape (S&amp;P)'!L6172,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73">
      <c r="J6173">
        <f>LET(
    lien,'Loan Tape (S&amp;P)'!Q6173,
    IF(lien="First",1.00,
        IF(lien="Second",1.50,
            1.70)))</f>
        <v/>
      </c>
      <c r="K6173">
        <f>LET(
    purpose,'Loan Tape (S&amp;P)'!R6173,
    IF(purpose="Purchase",1.00,
        IF(purpose="Remortgage",1.00,
            1.20)))</f>
        <v/>
      </c>
      <c r="L6173">
        <f>LET(
    arrears_months,'Loan Tape (S&amp;P)'!AN6173,
    IF(arrears_months=0,1.00,
    IF(arrears_months=1,3.00,
    IF(arrears_months=2,5.00,
    IF(arrears_months=3,8.00,
    IF(arrears_months=4,10.00,
    IF(arrears_months=5,12.00,15.00)))))))</f>
        <v/>
      </c>
      <c r="M6173">
        <f>LET(
    seasoning_years,DATEDIF('Loan Tape (S&amp;P)'!K6173,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73">
        <f>IF(AND('Loan Tape (S&amp;P)'!U6173="Yes",
        'Loan Tape (S&amp;P)'!T6173&lt;&gt;"Yes",
        DATEDIF('Loan Tape (S&amp;P)'!K6173, TODAY(), "M")&lt;18),
    1.10,
    1.00)</f>
        <v/>
      </c>
      <c r="O6173">
        <f>IF('Loan Tape (S&amp;P)'!T6173="Yes",
    1.35,
    1.00)</f>
        <v/>
      </c>
      <c r="P6173">
        <f>IF('Loan Tape (S&amp;P)'!S6173="Yes",
    1.15,
    1.00)</f>
        <v/>
      </c>
      <c r="Q6173">
        <f>IF('Loan Tape (S&amp;P)'!V6173="Yes",
    1.20,
    1.00)</f>
        <v/>
      </c>
      <c r="T6173">
        <f>LET(
    payment_method,'Loan Tape (S&amp;P)'!P6173,
    occupancy,'Loan Tape (S&amp;P)'!N6173,
    maturity_date,'Loan Tape (S&amp;P)'!L6173,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74">
      <c r="J6174">
        <f>LET(
    lien,'Loan Tape (S&amp;P)'!Q6174,
    IF(lien="First",1.00,
        IF(lien="Second",1.50,
            1.70)))</f>
        <v/>
      </c>
      <c r="K6174">
        <f>LET(
    purpose,'Loan Tape (S&amp;P)'!R6174,
    IF(purpose="Purchase",1.00,
        IF(purpose="Remortgage",1.00,
            1.20)))</f>
        <v/>
      </c>
      <c r="L6174">
        <f>LET(
    arrears_months,'Loan Tape (S&amp;P)'!AN6174,
    IF(arrears_months=0,1.00,
    IF(arrears_months=1,3.00,
    IF(arrears_months=2,5.00,
    IF(arrears_months=3,8.00,
    IF(arrears_months=4,10.00,
    IF(arrears_months=5,12.00,15.00)))))))</f>
        <v/>
      </c>
      <c r="M6174">
        <f>LET(
    seasoning_years,DATEDIF('Loan Tape (S&amp;P)'!K6174,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74">
        <f>IF(AND('Loan Tape (S&amp;P)'!U6174="Yes",
        'Loan Tape (S&amp;P)'!T6174&lt;&gt;"Yes",
        DATEDIF('Loan Tape (S&amp;P)'!K6174, TODAY(), "M")&lt;18),
    1.10,
    1.00)</f>
        <v/>
      </c>
      <c r="O6174">
        <f>IF('Loan Tape (S&amp;P)'!T6174="Yes",
    1.35,
    1.00)</f>
        <v/>
      </c>
      <c r="P6174">
        <f>IF('Loan Tape (S&amp;P)'!S6174="Yes",
    1.15,
    1.00)</f>
        <v/>
      </c>
      <c r="Q6174">
        <f>IF('Loan Tape (S&amp;P)'!V6174="Yes",
    1.20,
    1.00)</f>
        <v/>
      </c>
      <c r="T6174">
        <f>LET(
    payment_method,'Loan Tape (S&amp;P)'!P6174,
    occupancy,'Loan Tape (S&amp;P)'!N6174,
    maturity_date,'Loan Tape (S&amp;P)'!L6174,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75">
      <c r="J6175">
        <f>LET(
    lien,'Loan Tape (S&amp;P)'!Q6175,
    IF(lien="First",1.00,
        IF(lien="Second",1.50,
            1.70)))</f>
        <v/>
      </c>
      <c r="K6175">
        <f>LET(
    purpose,'Loan Tape (S&amp;P)'!R6175,
    IF(purpose="Purchase",1.00,
        IF(purpose="Remortgage",1.00,
            1.20)))</f>
        <v/>
      </c>
      <c r="L6175">
        <f>LET(
    arrears_months,'Loan Tape (S&amp;P)'!AN6175,
    IF(arrears_months=0,1.00,
    IF(arrears_months=1,3.00,
    IF(arrears_months=2,5.00,
    IF(arrears_months=3,8.00,
    IF(arrears_months=4,10.00,
    IF(arrears_months=5,12.00,15.00)))))))</f>
        <v/>
      </c>
      <c r="M6175">
        <f>LET(
    seasoning_years,DATEDIF('Loan Tape (S&amp;P)'!K6175,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75">
        <f>IF(AND('Loan Tape (S&amp;P)'!U6175="Yes",
        'Loan Tape (S&amp;P)'!T6175&lt;&gt;"Yes",
        DATEDIF('Loan Tape (S&amp;P)'!K6175, TODAY(), "M")&lt;18),
    1.10,
    1.00)</f>
        <v/>
      </c>
      <c r="O6175">
        <f>IF('Loan Tape (S&amp;P)'!T6175="Yes",
    1.35,
    1.00)</f>
        <v/>
      </c>
      <c r="P6175">
        <f>IF('Loan Tape (S&amp;P)'!S6175="Yes",
    1.15,
    1.00)</f>
        <v/>
      </c>
      <c r="Q6175">
        <f>IF('Loan Tape (S&amp;P)'!V6175="Yes",
    1.20,
    1.00)</f>
        <v/>
      </c>
      <c r="T6175">
        <f>LET(
    payment_method,'Loan Tape (S&amp;P)'!P6175,
    occupancy,'Loan Tape (S&amp;P)'!N6175,
    maturity_date,'Loan Tape (S&amp;P)'!L6175,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76">
      <c r="J6176">
        <f>LET(
    lien,'Loan Tape (S&amp;P)'!Q6176,
    IF(lien="First",1.00,
        IF(lien="Second",1.50,
            1.70)))</f>
        <v/>
      </c>
      <c r="K6176">
        <f>LET(
    purpose,'Loan Tape (S&amp;P)'!R6176,
    IF(purpose="Purchase",1.00,
        IF(purpose="Remortgage",1.00,
            1.20)))</f>
        <v/>
      </c>
      <c r="L6176">
        <f>LET(
    arrears_months,'Loan Tape (S&amp;P)'!AN6176,
    IF(arrears_months=0,1.00,
    IF(arrears_months=1,3.00,
    IF(arrears_months=2,5.00,
    IF(arrears_months=3,8.00,
    IF(arrears_months=4,10.00,
    IF(arrears_months=5,12.00,15.00)))))))</f>
        <v/>
      </c>
      <c r="M6176">
        <f>LET(
    seasoning_years,DATEDIF('Loan Tape (S&amp;P)'!K6176,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76">
        <f>IF(AND('Loan Tape (S&amp;P)'!U6176="Yes",
        'Loan Tape (S&amp;P)'!T6176&lt;&gt;"Yes",
        DATEDIF('Loan Tape (S&amp;P)'!K6176, TODAY(), "M")&lt;18),
    1.10,
    1.00)</f>
        <v/>
      </c>
      <c r="O6176">
        <f>IF('Loan Tape (S&amp;P)'!T6176="Yes",
    1.35,
    1.00)</f>
        <v/>
      </c>
      <c r="P6176">
        <f>IF('Loan Tape (S&amp;P)'!S6176="Yes",
    1.15,
    1.00)</f>
        <v/>
      </c>
      <c r="Q6176">
        <f>IF('Loan Tape (S&amp;P)'!V6176="Yes",
    1.20,
    1.00)</f>
        <v/>
      </c>
      <c r="T6176">
        <f>LET(
    payment_method,'Loan Tape (S&amp;P)'!P6176,
    occupancy,'Loan Tape (S&amp;P)'!N6176,
    maturity_date,'Loan Tape (S&amp;P)'!L6176,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77">
      <c r="J6177">
        <f>LET(
    lien,'Loan Tape (S&amp;P)'!Q6177,
    IF(lien="First",1.00,
        IF(lien="Second",1.50,
            1.70)))</f>
        <v/>
      </c>
      <c r="K6177">
        <f>LET(
    purpose,'Loan Tape (S&amp;P)'!R6177,
    IF(purpose="Purchase",1.00,
        IF(purpose="Remortgage",1.00,
            1.20)))</f>
        <v/>
      </c>
      <c r="L6177">
        <f>LET(
    arrears_months,'Loan Tape (S&amp;P)'!AN6177,
    IF(arrears_months=0,1.00,
    IF(arrears_months=1,3.00,
    IF(arrears_months=2,5.00,
    IF(arrears_months=3,8.00,
    IF(arrears_months=4,10.00,
    IF(arrears_months=5,12.00,15.00)))))))</f>
        <v/>
      </c>
      <c r="M6177">
        <f>LET(
    seasoning_years,DATEDIF('Loan Tape (S&amp;P)'!K6177,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77">
        <f>IF(AND('Loan Tape (S&amp;P)'!U6177="Yes",
        'Loan Tape (S&amp;P)'!T6177&lt;&gt;"Yes",
        DATEDIF('Loan Tape (S&amp;P)'!K6177, TODAY(), "M")&lt;18),
    1.10,
    1.00)</f>
        <v/>
      </c>
      <c r="O6177">
        <f>IF('Loan Tape (S&amp;P)'!T6177="Yes",
    1.35,
    1.00)</f>
        <v/>
      </c>
      <c r="P6177">
        <f>IF('Loan Tape (S&amp;P)'!S6177="Yes",
    1.15,
    1.00)</f>
        <v/>
      </c>
      <c r="Q6177">
        <f>IF('Loan Tape (S&amp;P)'!V6177="Yes",
    1.20,
    1.00)</f>
        <v/>
      </c>
      <c r="T6177">
        <f>LET(
    payment_method,'Loan Tape (S&amp;P)'!P6177,
    occupancy,'Loan Tape (S&amp;P)'!N6177,
    maturity_date,'Loan Tape (S&amp;P)'!L6177,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78">
      <c r="J6178">
        <f>LET(
    lien,'Loan Tape (S&amp;P)'!Q6178,
    IF(lien="First",1.00,
        IF(lien="Second",1.50,
            1.70)))</f>
        <v/>
      </c>
      <c r="K6178">
        <f>LET(
    purpose,'Loan Tape (S&amp;P)'!R6178,
    IF(purpose="Purchase",1.00,
        IF(purpose="Remortgage",1.00,
            1.20)))</f>
        <v/>
      </c>
      <c r="L6178">
        <f>LET(
    arrears_months,'Loan Tape (S&amp;P)'!AN6178,
    IF(arrears_months=0,1.00,
    IF(arrears_months=1,3.00,
    IF(arrears_months=2,5.00,
    IF(arrears_months=3,8.00,
    IF(arrears_months=4,10.00,
    IF(arrears_months=5,12.00,15.00)))))))</f>
        <v/>
      </c>
      <c r="M6178">
        <f>LET(
    seasoning_years,DATEDIF('Loan Tape (S&amp;P)'!K6178,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78">
        <f>IF(AND('Loan Tape (S&amp;P)'!U6178="Yes",
        'Loan Tape (S&amp;P)'!T6178&lt;&gt;"Yes",
        DATEDIF('Loan Tape (S&amp;P)'!K6178, TODAY(), "M")&lt;18),
    1.10,
    1.00)</f>
        <v/>
      </c>
      <c r="O6178">
        <f>IF('Loan Tape (S&amp;P)'!T6178="Yes",
    1.35,
    1.00)</f>
        <v/>
      </c>
      <c r="P6178">
        <f>IF('Loan Tape (S&amp;P)'!S6178="Yes",
    1.15,
    1.00)</f>
        <v/>
      </c>
      <c r="Q6178">
        <f>IF('Loan Tape (S&amp;P)'!V6178="Yes",
    1.20,
    1.00)</f>
        <v/>
      </c>
      <c r="T6178">
        <f>LET(
    payment_method,'Loan Tape (S&amp;P)'!P6178,
    occupancy,'Loan Tape (S&amp;P)'!N6178,
    maturity_date,'Loan Tape (S&amp;P)'!L6178,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79">
      <c r="J6179">
        <f>LET(
    lien,'Loan Tape (S&amp;P)'!Q6179,
    IF(lien="First",1.00,
        IF(lien="Second",1.50,
            1.70)))</f>
        <v/>
      </c>
      <c r="K6179">
        <f>LET(
    purpose,'Loan Tape (S&amp;P)'!R6179,
    IF(purpose="Purchase",1.00,
        IF(purpose="Remortgage",1.00,
            1.20)))</f>
        <v/>
      </c>
      <c r="L6179">
        <f>LET(
    arrears_months,'Loan Tape (S&amp;P)'!AN6179,
    IF(arrears_months=0,1.00,
    IF(arrears_months=1,3.00,
    IF(arrears_months=2,5.00,
    IF(arrears_months=3,8.00,
    IF(arrears_months=4,10.00,
    IF(arrears_months=5,12.00,15.00)))))))</f>
        <v/>
      </c>
      <c r="M6179">
        <f>LET(
    seasoning_years,DATEDIF('Loan Tape (S&amp;P)'!K6179,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79">
        <f>IF(AND('Loan Tape (S&amp;P)'!U6179="Yes",
        'Loan Tape (S&amp;P)'!T6179&lt;&gt;"Yes",
        DATEDIF('Loan Tape (S&amp;P)'!K6179, TODAY(), "M")&lt;18),
    1.10,
    1.00)</f>
        <v/>
      </c>
      <c r="O6179">
        <f>IF('Loan Tape (S&amp;P)'!T6179="Yes",
    1.35,
    1.00)</f>
        <v/>
      </c>
      <c r="P6179">
        <f>IF('Loan Tape (S&amp;P)'!S6179="Yes",
    1.15,
    1.00)</f>
        <v/>
      </c>
      <c r="Q6179">
        <f>IF('Loan Tape (S&amp;P)'!V6179="Yes",
    1.20,
    1.00)</f>
        <v/>
      </c>
      <c r="T6179">
        <f>LET(
    payment_method,'Loan Tape (S&amp;P)'!P6179,
    occupancy,'Loan Tape (S&amp;P)'!N6179,
    maturity_date,'Loan Tape (S&amp;P)'!L6179,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80">
      <c r="J6180">
        <f>LET(
    lien,'Loan Tape (S&amp;P)'!Q6180,
    IF(lien="First",1.00,
        IF(lien="Second",1.50,
            1.70)))</f>
        <v/>
      </c>
      <c r="K6180">
        <f>LET(
    purpose,'Loan Tape (S&amp;P)'!R6180,
    IF(purpose="Purchase",1.00,
        IF(purpose="Remortgage",1.00,
            1.20)))</f>
        <v/>
      </c>
      <c r="L6180">
        <f>LET(
    arrears_months,'Loan Tape (S&amp;P)'!AN6180,
    IF(arrears_months=0,1.00,
    IF(arrears_months=1,3.00,
    IF(arrears_months=2,5.00,
    IF(arrears_months=3,8.00,
    IF(arrears_months=4,10.00,
    IF(arrears_months=5,12.00,15.00)))))))</f>
        <v/>
      </c>
      <c r="M6180">
        <f>LET(
    seasoning_years,DATEDIF('Loan Tape (S&amp;P)'!K6180,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80">
        <f>IF(AND('Loan Tape (S&amp;P)'!U6180="Yes",
        'Loan Tape (S&amp;P)'!T6180&lt;&gt;"Yes",
        DATEDIF('Loan Tape (S&amp;P)'!K6180, TODAY(), "M")&lt;18),
    1.10,
    1.00)</f>
        <v/>
      </c>
      <c r="O6180">
        <f>IF('Loan Tape (S&amp;P)'!T6180="Yes",
    1.35,
    1.00)</f>
        <v/>
      </c>
      <c r="P6180">
        <f>IF('Loan Tape (S&amp;P)'!S6180="Yes",
    1.15,
    1.00)</f>
        <v/>
      </c>
      <c r="Q6180">
        <f>IF('Loan Tape (S&amp;P)'!V6180="Yes",
    1.20,
    1.00)</f>
        <v/>
      </c>
      <c r="T6180">
        <f>LET(
    payment_method,'Loan Tape (S&amp;P)'!P6180,
    occupancy,'Loan Tape (S&amp;P)'!N6180,
    maturity_date,'Loan Tape (S&amp;P)'!L6180,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81">
      <c r="J6181">
        <f>LET(
    lien,'Loan Tape (S&amp;P)'!Q6181,
    IF(lien="First",1.00,
        IF(lien="Second",1.50,
            1.70)))</f>
        <v/>
      </c>
      <c r="K6181">
        <f>LET(
    purpose,'Loan Tape (S&amp;P)'!R6181,
    IF(purpose="Purchase",1.00,
        IF(purpose="Remortgage",1.00,
            1.20)))</f>
        <v/>
      </c>
      <c r="L6181">
        <f>LET(
    arrears_months,'Loan Tape (S&amp;P)'!AN6181,
    IF(arrears_months=0,1.00,
    IF(arrears_months=1,3.00,
    IF(arrears_months=2,5.00,
    IF(arrears_months=3,8.00,
    IF(arrears_months=4,10.00,
    IF(arrears_months=5,12.00,15.00)))))))</f>
        <v/>
      </c>
      <c r="M6181">
        <f>LET(
    seasoning_years,DATEDIF('Loan Tape (S&amp;P)'!K6181,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81">
        <f>IF(AND('Loan Tape (S&amp;P)'!U6181="Yes",
        'Loan Tape (S&amp;P)'!T6181&lt;&gt;"Yes",
        DATEDIF('Loan Tape (S&amp;P)'!K6181, TODAY(), "M")&lt;18),
    1.10,
    1.00)</f>
        <v/>
      </c>
      <c r="O6181">
        <f>IF('Loan Tape (S&amp;P)'!T6181="Yes",
    1.35,
    1.00)</f>
        <v/>
      </c>
      <c r="P6181">
        <f>IF('Loan Tape (S&amp;P)'!S6181="Yes",
    1.15,
    1.00)</f>
        <v/>
      </c>
      <c r="Q6181">
        <f>IF('Loan Tape (S&amp;P)'!V6181="Yes",
    1.20,
    1.00)</f>
        <v/>
      </c>
      <c r="T6181">
        <f>LET(
    payment_method,'Loan Tape (S&amp;P)'!P6181,
    occupancy,'Loan Tape (S&amp;P)'!N6181,
    maturity_date,'Loan Tape (S&amp;P)'!L6181,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82">
      <c r="J6182">
        <f>LET(
    lien,'Loan Tape (S&amp;P)'!Q6182,
    IF(lien="First",1.00,
        IF(lien="Second",1.50,
            1.70)))</f>
        <v/>
      </c>
      <c r="K6182">
        <f>LET(
    purpose,'Loan Tape (S&amp;P)'!R6182,
    IF(purpose="Purchase",1.00,
        IF(purpose="Remortgage",1.00,
            1.20)))</f>
        <v/>
      </c>
      <c r="L6182">
        <f>LET(
    arrears_months,'Loan Tape (S&amp;P)'!AN6182,
    IF(arrears_months=0,1.00,
    IF(arrears_months=1,3.00,
    IF(arrears_months=2,5.00,
    IF(arrears_months=3,8.00,
    IF(arrears_months=4,10.00,
    IF(arrears_months=5,12.00,15.00)))))))</f>
        <v/>
      </c>
      <c r="M6182">
        <f>LET(
    seasoning_years,DATEDIF('Loan Tape (S&amp;P)'!K6182,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82">
        <f>IF(AND('Loan Tape (S&amp;P)'!U6182="Yes",
        'Loan Tape (S&amp;P)'!T6182&lt;&gt;"Yes",
        DATEDIF('Loan Tape (S&amp;P)'!K6182, TODAY(), "M")&lt;18),
    1.10,
    1.00)</f>
        <v/>
      </c>
      <c r="O6182">
        <f>IF('Loan Tape (S&amp;P)'!T6182="Yes",
    1.35,
    1.00)</f>
        <v/>
      </c>
      <c r="P6182">
        <f>IF('Loan Tape (S&amp;P)'!S6182="Yes",
    1.15,
    1.00)</f>
        <v/>
      </c>
      <c r="Q6182">
        <f>IF('Loan Tape (S&amp;P)'!V6182="Yes",
    1.20,
    1.00)</f>
        <v/>
      </c>
      <c r="T6182">
        <f>LET(
    payment_method,'Loan Tape (S&amp;P)'!P6182,
    occupancy,'Loan Tape (S&amp;P)'!N6182,
    maturity_date,'Loan Tape (S&amp;P)'!L6182,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83">
      <c r="J6183">
        <f>LET(
    lien,'Loan Tape (S&amp;P)'!Q6183,
    IF(lien="First",1.00,
        IF(lien="Second",1.50,
            1.70)))</f>
        <v/>
      </c>
      <c r="K6183">
        <f>LET(
    purpose,'Loan Tape (S&amp;P)'!R6183,
    IF(purpose="Purchase",1.00,
        IF(purpose="Remortgage",1.00,
            1.20)))</f>
        <v/>
      </c>
      <c r="L6183">
        <f>LET(
    arrears_months,'Loan Tape (S&amp;P)'!AN6183,
    IF(arrears_months=0,1.00,
    IF(arrears_months=1,3.00,
    IF(arrears_months=2,5.00,
    IF(arrears_months=3,8.00,
    IF(arrears_months=4,10.00,
    IF(arrears_months=5,12.00,15.00)))))))</f>
        <v/>
      </c>
      <c r="M6183">
        <f>LET(
    seasoning_years,DATEDIF('Loan Tape (S&amp;P)'!K6183,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83">
        <f>IF(AND('Loan Tape (S&amp;P)'!U6183="Yes",
        'Loan Tape (S&amp;P)'!T6183&lt;&gt;"Yes",
        DATEDIF('Loan Tape (S&amp;P)'!K6183, TODAY(), "M")&lt;18),
    1.10,
    1.00)</f>
        <v/>
      </c>
      <c r="O6183">
        <f>IF('Loan Tape (S&amp;P)'!T6183="Yes",
    1.35,
    1.00)</f>
        <v/>
      </c>
      <c r="P6183">
        <f>IF('Loan Tape (S&amp;P)'!S6183="Yes",
    1.15,
    1.00)</f>
        <v/>
      </c>
      <c r="Q6183">
        <f>IF('Loan Tape (S&amp;P)'!V6183="Yes",
    1.20,
    1.00)</f>
        <v/>
      </c>
      <c r="T6183">
        <f>LET(
    payment_method,'Loan Tape (S&amp;P)'!P6183,
    occupancy,'Loan Tape (S&amp;P)'!N6183,
    maturity_date,'Loan Tape (S&amp;P)'!L6183,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84">
      <c r="J6184">
        <f>LET(
    lien,'Loan Tape (S&amp;P)'!Q6184,
    IF(lien="First",1.00,
        IF(lien="Second",1.50,
            1.70)))</f>
        <v/>
      </c>
      <c r="K6184">
        <f>LET(
    purpose,'Loan Tape (S&amp;P)'!R6184,
    IF(purpose="Purchase",1.00,
        IF(purpose="Remortgage",1.00,
            1.20)))</f>
        <v/>
      </c>
      <c r="L6184">
        <f>LET(
    arrears_months,'Loan Tape (S&amp;P)'!AN6184,
    IF(arrears_months=0,1.00,
    IF(arrears_months=1,3.00,
    IF(arrears_months=2,5.00,
    IF(arrears_months=3,8.00,
    IF(arrears_months=4,10.00,
    IF(arrears_months=5,12.00,15.00)))))))</f>
        <v/>
      </c>
      <c r="M6184">
        <f>LET(
    seasoning_years,DATEDIF('Loan Tape (S&amp;P)'!K6184,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84">
        <f>IF(AND('Loan Tape (S&amp;P)'!U6184="Yes",
        'Loan Tape (S&amp;P)'!T6184&lt;&gt;"Yes",
        DATEDIF('Loan Tape (S&amp;P)'!K6184, TODAY(), "M")&lt;18),
    1.10,
    1.00)</f>
        <v/>
      </c>
      <c r="O6184">
        <f>IF('Loan Tape (S&amp;P)'!T6184="Yes",
    1.35,
    1.00)</f>
        <v/>
      </c>
      <c r="P6184">
        <f>IF('Loan Tape (S&amp;P)'!S6184="Yes",
    1.15,
    1.00)</f>
        <v/>
      </c>
      <c r="Q6184">
        <f>IF('Loan Tape (S&amp;P)'!V6184="Yes",
    1.20,
    1.00)</f>
        <v/>
      </c>
      <c r="T6184">
        <f>LET(
    payment_method,'Loan Tape (S&amp;P)'!P6184,
    occupancy,'Loan Tape (S&amp;P)'!N6184,
    maturity_date,'Loan Tape (S&amp;P)'!L6184,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85">
      <c r="J6185">
        <f>LET(
    lien,'Loan Tape (S&amp;P)'!Q6185,
    IF(lien="First",1.00,
        IF(lien="Second",1.50,
            1.70)))</f>
        <v/>
      </c>
      <c r="K6185">
        <f>LET(
    purpose,'Loan Tape (S&amp;P)'!R6185,
    IF(purpose="Purchase",1.00,
        IF(purpose="Remortgage",1.00,
            1.20)))</f>
        <v/>
      </c>
      <c r="L6185">
        <f>LET(
    arrears_months,'Loan Tape (S&amp;P)'!AN6185,
    IF(arrears_months=0,1.00,
    IF(arrears_months=1,3.00,
    IF(arrears_months=2,5.00,
    IF(arrears_months=3,8.00,
    IF(arrears_months=4,10.00,
    IF(arrears_months=5,12.00,15.00)))))))</f>
        <v/>
      </c>
      <c r="M6185">
        <f>LET(
    seasoning_years,DATEDIF('Loan Tape (S&amp;P)'!K6185,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85">
        <f>IF(AND('Loan Tape (S&amp;P)'!U6185="Yes",
        'Loan Tape (S&amp;P)'!T6185&lt;&gt;"Yes",
        DATEDIF('Loan Tape (S&amp;P)'!K6185, TODAY(), "M")&lt;18),
    1.10,
    1.00)</f>
        <v/>
      </c>
      <c r="O6185">
        <f>IF('Loan Tape (S&amp;P)'!T6185="Yes",
    1.35,
    1.00)</f>
        <v/>
      </c>
      <c r="P6185">
        <f>IF('Loan Tape (S&amp;P)'!S6185="Yes",
    1.15,
    1.00)</f>
        <v/>
      </c>
      <c r="Q6185">
        <f>IF('Loan Tape (S&amp;P)'!V6185="Yes",
    1.20,
    1.00)</f>
        <v/>
      </c>
      <c r="T6185">
        <f>LET(
    payment_method,'Loan Tape (S&amp;P)'!P6185,
    occupancy,'Loan Tape (S&amp;P)'!N6185,
    maturity_date,'Loan Tape (S&amp;P)'!L6185,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86">
      <c r="J6186">
        <f>LET(
    lien,'Loan Tape (S&amp;P)'!Q6186,
    IF(lien="First",1.00,
        IF(lien="Second",1.50,
            1.70)))</f>
        <v/>
      </c>
      <c r="K6186">
        <f>LET(
    purpose,'Loan Tape (S&amp;P)'!R6186,
    IF(purpose="Purchase",1.00,
        IF(purpose="Remortgage",1.00,
            1.20)))</f>
        <v/>
      </c>
      <c r="L6186">
        <f>LET(
    arrears_months,'Loan Tape (S&amp;P)'!AN6186,
    IF(arrears_months=0,1.00,
    IF(arrears_months=1,3.00,
    IF(arrears_months=2,5.00,
    IF(arrears_months=3,8.00,
    IF(arrears_months=4,10.00,
    IF(arrears_months=5,12.00,15.00)))))))</f>
        <v/>
      </c>
      <c r="M6186">
        <f>LET(
    seasoning_years,DATEDIF('Loan Tape (S&amp;P)'!K6186,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86">
        <f>IF(AND('Loan Tape (S&amp;P)'!U6186="Yes",
        'Loan Tape (S&amp;P)'!T6186&lt;&gt;"Yes",
        DATEDIF('Loan Tape (S&amp;P)'!K6186, TODAY(), "M")&lt;18),
    1.10,
    1.00)</f>
        <v/>
      </c>
      <c r="O6186">
        <f>IF('Loan Tape (S&amp;P)'!T6186="Yes",
    1.35,
    1.00)</f>
        <v/>
      </c>
      <c r="P6186">
        <f>IF('Loan Tape (S&amp;P)'!S6186="Yes",
    1.15,
    1.00)</f>
        <v/>
      </c>
      <c r="Q6186">
        <f>IF('Loan Tape (S&amp;P)'!V6186="Yes",
    1.20,
    1.00)</f>
        <v/>
      </c>
      <c r="T6186">
        <f>LET(
    payment_method,'Loan Tape (S&amp;P)'!P6186,
    occupancy,'Loan Tape (S&amp;P)'!N6186,
    maturity_date,'Loan Tape (S&amp;P)'!L6186,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87">
      <c r="J6187">
        <f>LET(
    lien,'Loan Tape (S&amp;P)'!Q6187,
    IF(lien="First",1.00,
        IF(lien="Second",1.50,
            1.70)))</f>
        <v/>
      </c>
      <c r="K6187">
        <f>LET(
    purpose,'Loan Tape (S&amp;P)'!R6187,
    IF(purpose="Purchase",1.00,
        IF(purpose="Remortgage",1.00,
            1.20)))</f>
        <v/>
      </c>
      <c r="L6187">
        <f>LET(
    arrears_months,'Loan Tape (S&amp;P)'!AN6187,
    IF(arrears_months=0,1.00,
    IF(arrears_months=1,3.00,
    IF(arrears_months=2,5.00,
    IF(arrears_months=3,8.00,
    IF(arrears_months=4,10.00,
    IF(arrears_months=5,12.00,15.00)))))))</f>
        <v/>
      </c>
      <c r="M6187">
        <f>LET(
    seasoning_years,DATEDIF('Loan Tape (S&amp;P)'!K6187,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87">
        <f>IF(AND('Loan Tape (S&amp;P)'!U6187="Yes",
        'Loan Tape (S&amp;P)'!T6187&lt;&gt;"Yes",
        DATEDIF('Loan Tape (S&amp;P)'!K6187, TODAY(), "M")&lt;18),
    1.10,
    1.00)</f>
        <v/>
      </c>
      <c r="O6187">
        <f>IF('Loan Tape (S&amp;P)'!T6187="Yes",
    1.35,
    1.00)</f>
        <v/>
      </c>
      <c r="P6187">
        <f>IF('Loan Tape (S&amp;P)'!S6187="Yes",
    1.15,
    1.00)</f>
        <v/>
      </c>
      <c r="Q6187">
        <f>IF('Loan Tape (S&amp;P)'!V6187="Yes",
    1.20,
    1.00)</f>
        <v/>
      </c>
      <c r="T6187">
        <f>LET(
    payment_method,'Loan Tape (S&amp;P)'!P6187,
    occupancy,'Loan Tape (S&amp;P)'!N6187,
    maturity_date,'Loan Tape (S&amp;P)'!L6187,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88">
      <c r="J6188">
        <f>LET(
    lien,'Loan Tape (S&amp;P)'!Q6188,
    IF(lien="First",1.00,
        IF(lien="Second",1.50,
            1.70)))</f>
        <v/>
      </c>
      <c r="K6188">
        <f>LET(
    purpose,'Loan Tape (S&amp;P)'!R6188,
    IF(purpose="Purchase",1.00,
        IF(purpose="Remortgage",1.00,
            1.20)))</f>
        <v/>
      </c>
      <c r="L6188">
        <f>LET(
    arrears_months,'Loan Tape (S&amp;P)'!AN6188,
    IF(arrears_months=0,1.00,
    IF(arrears_months=1,3.00,
    IF(arrears_months=2,5.00,
    IF(arrears_months=3,8.00,
    IF(arrears_months=4,10.00,
    IF(arrears_months=5,12.00,15.00)))))))</f>
        <v/>
      </c>
      <c r="M6188">
        <f>LET(
    seasoning_years,DATEDIF('Loan Tape (S&amp;P)'!K6188,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88">
        <f>IF(AND('Loan Tape (S&amp;P)'!U6188="Yes",
        'Loan Tape (S&amp;P)'!T6188&lt;&gt;"Yes",
        DATEDIF('Loan Tape (S&amp;P)'!K6188, TODAY(), "M")&lt;18),
    1.10,
    1.00)</f>
        <v/>
      </c>
      <c r="O6188">
        <f>IF('Loan Tape (S&amp;P)'!T6188="Yes",
    1.35,
    1.00)</f>
        <v/>
      </c>
      <c r="P6188">
        <f>IF('Loan Tape (S&amp;P)'!S6188="Yes",
    1.15,
    1.00)</f>
        <v/>
      </c>
      <c r="Q6188">
        <f>IF('Loan Tape (S&amp;P)'!V6188="Yes",
    1.20,
    1.00)</f>
        <v/>
      </c>
      <c r="T6188">
        <f>LET(
    payment_method,'Loan Tape (S&amp;P)'!P6188,
    occupancy,'Loan Tape (S&amp;P)'!N6188,
    maturity_date,'Loan Tape (S&amp;P)'!L6188,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89">
      <c r="J6189">
        <f>LET(
    lien,'Loan Tape (S&amp;P)'!Q6189,
    IF(lien="First",1.00,
        IF(lien="Second",1.50,
            1.70)))</f>
        <v/>
      </c>
      <c r="K6189">
        <f>LET(
    purpose,'Loan Tape (S&amp;P)'!R6189,
    IF(purpose="Purchase",1.00,
        IF(purpose="Remortgage",1.00,
            1.20)))</f>
        <v/>
      </c>
      <c r="L6189">
        <f>LET(
    arrears_months,'Loan Tape (S&amp;P)'!AN6189,
    IF(arrears_months=0,1.00,
    IF(arrears_months=1,3.00,
    IF(arrears_months=2,5.00,
    IF(arrears_months=3,8.00,
    IF(arrears_months=4,10.00,
    IF(arrears_months=5,12.00,15.00)))))))</f>
        <v/>
      </c>
      <c r="M6189">
        <f>LET(
    seasoning_years,DATEDIF('Loan Tape (S&amp;P)'!K6189,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89">
        <f>IF(AND('Loan Tape (S&amp;P)'!U6189="Yes",
        'Loan Tape (S&amp;P)'!T6189&lt;&gt;"Yes",
        DATEDIF('Loan Tape (S&amp;P)'!K6189, TODAY(), "M")&lt;18),
    1.10,
    1.00)</f>
        <v/>
      </c>
      <c r="O6189">
        <f>IF('Loan Tape (S&amp;P)'!T6189="Yes",
    1.35,
    1.00)</f>
        <v/>
      </c>
      <c r="P6189">
        <f>IF('Loan Tape (S&amp;P)'!S6189="Yes",
    1.15,
    1.00)</f>
        <v/>
      </c>
      <c r="Q6189">
        <f>IF('Loan Tape (S&amp;P)'!V6189="Yes",
    1.20,
    1.00)</f>
        <v/>
      </c>
      <c r="T6189">
        <f>LET(
    payment_method,'Loan Tape (S&amp;P)'!P6189,
    occupancy,'Loan Tape (S&amp;P)'!N6189,
    maturity_date,'Loan Tape (S&amp;P)'!L6189,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90">
      <c r="J6190">
        <f>LET(
    lien,'Loan Tape (S&amp;P)'!Q6190,
    IF(lien="First",1.00,
        IF(lien="Second",1.50,
            1.70)))</f>
        <v/>
      </c>
      <c r="K6190">
        <f>LET(
    purpose,'Loan Tape (S&amp;P)'!R6190,
    IF(purpose="Purchase",1.00,
        IF(purpose="Remortgage",1.00,
            1.20)))</f>
        <v/>
      </c>
      <c r="L6190">
        <f>LET(
    arrears_months,'Loan Tape (S&amp;P)'!AN6190,
    IF(arrears_months=0,1.00,
    IF(arrears_months=1,3.00,
    IF(arrears_months=2,5.00,
    IF(arrears_months=3,8.00,
    IF(arrears_months=4,10.00,
    IF(arrears_months=5,12.00,15.00)))))))</f>
        <v/>
      </c>
      <c r="M6190">
        <f>LET(
    seasoning_years,DATEDIF('Loan Tape (S&amp;P)'!K6190,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90">
        <f>IF(AND('Loan Tape (S&amp;P)'!U6190="Yes",
        'Loan Tape (S&amp;P)'!T6190&lt;&gt;"Yes",
        DATEDIF('Loan Tape (S&amp;P)'!K6190, TODAY(), "M")&lt;18),
    1.10,
    1.00)</f>
        <v/>
      </c>
      <c r="O6190">
        <f>IF('Loan Tape (S&amp;P)'!T6190="Yes",
    1.35,
    1.00)</f>
        <v/>
      </c>
      <c r="P6190">
        <f>IF('Loan Tape (S&amp;P)'!S6190="Yes",
    1.15,
    1.00)</f>
        <v/>
      </c>
      <c r="Q6190">
        <f>IF('Loan Tape (S&amp;P)'!V6190="Yes",
    1.20,
    1.00)</f>
        <v/>
      </c>
      <c r="T6190">
        <f>LET(
    payment_method,'Loan Tape (S&amp;P)'!P6190,
    occupancy,'Loan Tape (S&amp;P)'!N6190,
    maturity_date,'Loan Tape (S&amp;P)'!L6190,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91">
      <c r="J6191">
        <f>LET(
    lien,'Loan Tape (S&amp;P)'!Q6191,
    IF(lien="First",1.00,
        IF(lien="Second",1.50,
            1.70)))</f>
        <v/>
      </c>
      <c r="K6191">
        <f>LET(
    purpose,'Loan Tape (S&amp;P)'!R6191,
    IF(purpose="Purchase",1.00,
        IF(purpose="Remortgage",1.00,
            1.20)))</f>
        <v/>
      </c>
      <c r="L6191">
        <f>LET(
    arrears_months,'Loan Tape (S&amp;P)'!AN6191,
    IF(arrears_months=0,1.00,
    IF(arrears_months=1,3.00,
    IF(arrears_months=2,5.00,
    IF(arrears_months=3,8.00,
    IF(arrears_months=4,10.00,
    IF(arrears_months=5,12.00,15.00)))))))</f>
        <v/>
      </c>
      <c r="M6191">
        <f>LET(
    seasoning_years,DATEDIF('Loan Tape (S&amp;P)'!K6191,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91">
        <f>IF(AND('Loan Tape (S&amp;P)'!U6191="Yes",
        'Loan Tape (S&amp;P)'!T6191&lt;&gt;"Yes",
        DATEDIF('Loan Tape (S&amp;P)'!K6191, TODAY(), "M")&lt;18),
    1.10,
    1.00)</f>
        <v/>
      </c>
      <c r="O6191">
        <f>IF('Loan Tape (S&amp;P)'!T6191="Yes",
    1.35,
    1.00)</f>
        <v/>
      </c>
      <c r="P6191">
        <f>IF('Loan Tape (S&amp;P)'!S6191="Yes",
    1.15,
    1.00)</f>
        <v/>
      </c>
      <c r="Q6191">
        <f>IF('Loan Tape (S&amp;P)'!V6191="Yes",
    1.20,
    1.00)</f>
        <v/>
      </c>
      <c r="T6191">
        <f>LET(
    payment_method,'Loan Tape (S&amp;P)'!P6191,
    occupancy,'Loan Tape (S&amp;P)'!N6191,
    maturity_date,'Loan Tape (S&amp;P)'!L6191,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92">
      <c r="J6192">
        <f>LET(
    lien,'Loan Tape (S&amp;P)'!Q6192,
    IF(lien="First",1.00,
        IF(lien="Second",1.50,
            1.70)))</f>
        <v/>
      </c>
      <c r="K6192">
        <f>LET(
    purpose,'Loan Tape (S&amp;P)'!R6192,
    IF(purpose="Purchase",1.00,
        IF(purpose="Remortgage",1.00,
            1.20)))</f>
        <v/>
      </c>
      <c r="L6192">
        <f>LET(
    arrears_months,'Loan Tape (S&amp;P)'!AN6192,
    IF(arrears_months=0,1.00,
    IF(arrears_months=1,3.00,
    IF(arrears_months=2,5.00,
    IF(arrears_months=3,8.00,
    IF(arrears_months=4,10.00,
    IF(arrears_months=5,12.00,15.00)))))))</f>
        <v/>
      </c>
      <c r="M6192">
        <f>LET(
    seasoning_years,DATEDIF('Loan Tape (S&amp;P)'!K6192,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92">
        <f>IF(AND('Loan Tape (S&amp;P)'!U6192="Yes",
        'Loan Tape (S&amp;P)'!T6192&lt;&gt;"Yes",
        DATEDIF('Loan Tape (S&amp;P)'!K6192, TODAY(), "M")&lt;18),
    1.10,
    1.00)</f>
        <v/>
      </c>
      <c r="O6192">
        <f>IF('Loan Tape (S&amp;P)'!T6192="Yes",
    1.35,
    1.00)</f>
        <v/>
      </c>
      <c r="P6192">
        <f>IF('Loan Tape (S&amp;P)'!S6192="Yes",
    1.15,
    1.00)</f>
        <v/>
      </c>
      <c r="Q6192">
        <f>IF('Loan Tape (S&amp;P)'!V6192="Yes",
    1.20,
    1.00)</f>
        <v/>
      </c>
      <c r="T6192">
        <f>LET(
    payment_method,'Loan Tape (S&amp;P)'!P6192,
    occupancy,'Loan Tape (S&amp;P)'!N6192,
    maturity_date,'Loan Tape (S&amp;P)'!L6192,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93">
      <c r="J6193">
        <f>LET(
    lien,'Loan Tape (S&amp;P)'!Q6193,
    IF(lien="First",1.00,
        IF(lien="Second",1.50,
            1.70)))</f>
        <v/>
      </c>
      <c r="K6193">
        <f>LET(
    purpose,'Loan Tape (S&amp;P)'!R6193,
    IF(purpose="Purchase",1.00,
        IF(purpose="Remortgage",1.00,
            1.20)))</f>
        <v/>
      </c>
      <c r="L6193">
        <f>LET(
    arrears_months,'Loan Tape (S&amp;P)'!AN6193,
    IF(arrears_months=0,1.00,
    IF(arrears_months=1,3.00,
    IF(arrears_months=2,5.00,
    IF(arrears_months=3,8.00,
    IF(arrears_months=4,10.00,
    IF(arrears_months=5,12.00,15.00)))))))</f>
        <v/>
      </c>
      <c r="M6193">
        <f>LET(
    seasoning_years,DATEDIF('Loan Tape (S&amp;P)'!K6193,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93">
        <f>IF(AND('Loan Tape (S&amp;P)'!U6193="Yes",
        'Loan Tape (S&amp;P)'!T6193&lt;&gt;"Yes",
        DATEDIF('Loan Tape (S&amp;P)'!K6193, TODAY(), "M")&lt;18),
    1.10,
    1.00)</f>
        <v/>
      </c>
      <c r="O6193">
        <f>IF('Loan Tape (S&amp;P)'!T6193="Yes",
    1.35,
    1.00)</f>
        <v/>
      </c>
      <c r="P6193">
        <f>IF('Loan Tape (S&amp;P)'!S6193="Yes",
    1.15,
    1.00)</f>
        <v/>
      </c>
      <c r="Q6193">
        <f>IF('Loan Tape (S&amp;P)'!V6193="Yes",
    1.20,
    1.00)</f>
        <v/>
      </c>
      <c r="T6193">
        <f>LET(
    payment_method,'Loan Tape (S&amp;P)'!P6193,
    occupancy,'Loan Tape (S&amp;P)'!N6193,
    maturity_date,'Loan Tape (S&amp;P)'!L6193,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94">
      <c r="J6194">
        <f>LET(
    lien,'Loan Tape (S&amp;P)'!Q6194,
    IF(lien="First",1.00,
        IF(lien="Second",1.50,
            1.70)))</f>
        <v/>
      </c>
      <c r="K6194">
        <f>LET(
    purpose,'Loan Tape (S&amp;P)'!R6194,
    IF(purpose="Purchase",1.00,
        IF(purpose="Remortgage",1.00,
            1.20)))</f>
        <v/>
      </c>
      <c r="L6194">
        <f>LET(
    arrears_months,'Loan Tape (S&amp;P)'!AN6194,
    IF(arrears_months=0,1.00,
    IF(arrears_months=1,3.00,
    IF(arrears_months=2,5.00,
    IF(arrears_months=3,8.00,
    IF(arrears_months=4,10.00,
    IF(arrears_months=5,12.00,15.00)))))))</f>
        <v/>
      </c>
      <c r="M6194">
        <f>LET(
    seasoning_years,DATEDIF('Loan Tape (S&amp;P)'!K6194,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94">
        <f>IF(AND('Loan Tape (S&amp;P)'!U6194="Yes",
        'Loan Tape (S&amp;P)'!T6194&lt;&gt;"Yes",
        DATEDIF('Loan Tape (S&amp;P)'!K6194, TODAY(), "M")&lt;18),
    1.10,
    1.00)</f>
        <v/>
      </c>
      <c r="O6194">
        <f>IF('Loan Tape (S&amp;P)'!T6194="Yes",
    1.35,
    1.00)</f>
        <v/>
      </c>
      <c r="P6194">
        <f>IF('Loan Tape (S&amp;P)'!S6194="Yes",
    1.15,
    1.00)</f>
        <v/>
      </c>
      <c r="Q6194">
        <f>IF('Loan Tape (S&amp;P)'!V6194="Yes",
    1.20,
    1.00)</f>
        <v/>
      </c>
      <c r="T6194">
        <f>LET(
    payment_method,'Loan Tape (S&amp;P)'!P6194,
    occupancy,'Loan Tape (S&amp;P)'!N6194,
    maturity_date,'Loan Tape (S&amp;P)'!L6194,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95">
      <c r="J6195">
        <f>LET(
    lien,'Loan Tape (S&amp;P)'!Q6195,
    IF(lien="First",1.00,
        IF(lien="Second",1.50,
            1.70)))</f>
        <v/>
      </c>
      <c r="K6195">
        <f>LET(
    purpose,'Loan Tape (S&amp;P)'!R6195,
    IF(purpose="Purchase",1.00,
        IF(purpose="Remortgage",1.00,
            1.20)))</f>
        <v/>
      </c>
      <c r="L6195">
        <f>LET(
    arrears_months,'Loan Tape (S&amp;P)'!AN6195,
    IF(arrears_months=0,1.00,
    IF(arrears_months=1,3.00,
    IF(arrears_months=2,5.00,
    IF(arrears_months=3,8.00,
    IF(arrears_months=4,10.00,
    IF(arrears_months=5,12.00,15.00)))))))</f>
        <v/>
      </c>
      <c r="M6195">
        <f>LET(
    seasoning_years,DATEDIF('Loan Tape (S&amp;P)'!K6195,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95">
        <f>IF(AND('Loan Tape (S&amp;P)'!U6195="Yes",
        'Loan Tape (S&amp;P)'!T6195&lt;&gt;"Yes",
        DATEDIF('Loan Tape (S&amp;P)'!K6195, TODAY(), "M")&lt;18),
    1.10,
    1.00)</f>
        <v/>
      </c>
      <c r="O6195">
        <f>IF('Loan Tape (S&amp;P)'!T6195="Yes",
    1.35,
    1.00)</f>
        <v/>
      </c>
      <c r="P6195">
        <f>IF('Loan Tape (S&amp;P)'!S6195="Yes",
    1.15,
    1.00)</f>
        <v/>
      </c>
      <c r="Q6195">
        <f>IF('Loan Tape (S&amp;P)'!V6195="Yes",
    1.20,
    1.00)</f>
        <v/>
      </c>
      <c r="T6195">
        <f>LET(
    payment_method,'Loan Tape (S&amp;P)'!P6195,
    occupancy,'Loan Tape (S&amp;P)'!N6195,
    maturity_date,'Loan Tape (S&amp;P)'!L6195,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96">
      <c r="J6196">
        <f>LET(
    lien,'Loan Tape (S&amp;P)'!Q6196,
    IF(lien="First",1.00,
        IF(lien="Second",1.50,
            1.70)))</f>
        <v/>
      </c>
      <c r="K6196">
        <f>LET(
    purpose,'Loan Tape (S&amp;P)'!R6196,
    IF(purpose="Purchase",1.00,
        IF(purpose="Remortgage",1.00,
            1.20)))</f>
        <v/>
      </c>
      <c r="L6196">
        <f>LET(
    arrears_months,'Loan Tape (S&amp;P)'!AN6196,
    IF(arrears_months=0,1.00,
    IF(arrears_months=1,3.00,
    IF(arrears_months=2,5.00,
    IF(arrears_months=3,8.00,
    IF(arrears_months=4,10.00,
    IF(arrears_months=5,12.00,15.00)))))))</f>
        <v/>
      </c>
      <c r="M6196">
        <f>LET(
    seasoning_years,DATEDIF('Loan Tape (S&amp;P)'!K6196,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96">
        <f>IF(AND('Loan Tape (S&amp;P)'!U6196="Yes",
        'Loan Tape (S&amp;P)'!T6196&lt;&gt;"Yes",
        DATEDIF('Loan Tape (S&amp;P)'!K6196, TODAY(), "M")&lt;18),
    1.10,
    1.00)</f>
        <v/>
      </c>
      <c r="O6196">
        <f>IF('Loan Tape (S&amp;P)'!T6196="Yes",
    1.35,
    1.00)</f>
        <v/>
      </c>
      <c r="P6196">
        <f>IF('Loan Tape (S&amp;P)'!S6196="Yes",
    1.15,
    1.00)</f>
        <v/>
      </c>
      <c r="Q6196">
        <f>IF('Loan Tape (S&amp;P)'!V6196="Yes",
    1.20,
    1.00)</f>
        <v/>
      </c>
      <c r="T6196">
        <f>LET(
    payment_method,'Loan Tape (S&amp;P)'!P6196,
    occupancy,'Loan Tape (S&amp;P)'!N6196,
    maturity_date,'Loan Tape (S&amp;P)'!L6196,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97">
      <c r="J6197">
        <f>LET(
    lien,'Loan Tape (S&amp;P)'!Q6197,
    IF(lien="First",1.00,
        IF(lien="Second",1.50,
            1.70)))</f>
        <v/>
      </c>
      <c r="K6197">
        <f>LET(
    purpose,'Loan Tape (S&amp;P)'!R6197,
    IF(purpose="Purchase",1.00,
        IF(purpose="Remortgage",1.00,
            1.20)))</f>
        <v/>
      </c>
      <c r="L6197">
        <f>LET(
    arrears_months,'Loan Tape (S&amp;P)'!AN6197,
    IF(arrears_months=0,1.00,
    IF(arrears_months=1,3.00,
    IF(arrears_months=2,5.00,
    IF(arrears_months=3,8.00,
    IF(arrears_months=4,10.00,
    IF(arrears_months=5,12.00,15.00)))))))</f>
        <v/>
      </c>
      <c r="M6197">
        <f>LET(
    seasoning_years,DATEDIF('Loan Tape (S&amp;P)'!K6197,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97">
        <f>IF(AND('Loan Tape (S&amp;P)'!U6197="Yes",
        'Loan Tape (S&amp;P)'!T6197&lt;&gt;"Yes",
        DATEDIF('Loan Tape (S&amp;P)'!K6197, TODAY(), "M")&lt;18),
    1.10,
    1.00)</f>
        <v/>
      </c>
      <c r="O6197">
        <f>IF('Loan Tape (S&amp;P)'!T6197="Yes",
    1.35,
    1.00)</f>
        <v/>
      </c>
      <c r="P6197">
        <f>IF('Loan Tape (S&amp;P)'!S6197="Yes",
    1.15,
    1.00)</f>
        <v/>
      </c>
      <c r="Q6197">
        <f>IF('Loan Tape (S&amp;P)'!V6197="Yes",
    1.20,
    1.00)</f>
        <v/>
      </c>
      <c r="T6197">
        <f>LET(
    payment_method,'Loan Tape (S&amp;P)'!P6197,
    occupancy,'Loan Tape (S&amp;P)'!N6197,
    maturity_date,'Loan Tape (S&amp;P)'!L6197,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98">
      <c r="J6198">
        <f>LET(
    lien,'Loan Tape (S&amp;P)'!Q6198,
    IF(lien="First",1.00,
        IF(lien="Second",1.50,
            1.70)))</f>
        <v/>
      </c>
      <c r="K6198">
        <f>LET(
    purpose,'Loan Tape (S&amp;P)'!R6198,
    IF(purpose="Purchase",1.00,
        IF(purpose="Remortgage",1.00,
            1.20)))</f>
        <v/>
      </c>
      <c r="L6198">
        <f>LET(
    arrears_months,'Loan Tape (S&amp;P)'!AN6198,
    IF(arrears_months=0,1.00,
    IF(arrears_months=1,3.00,
    IF(arrears_months=2,5.00,
    IF(arrears_months=3,8.00,
    IF(arrears_months=4,10.00,
    IF(arrears_months=5,12.00,15.00)))))))</f>
        <v/>
      </c>
      <c r="M6198">
        <f>LET(
    seasoning_years,DATEDIF('Loan Tape (S&amp;P)'!K6198,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98">
        <f>IF(AND('Loan Tape (S&amp;P)'!U6198="Yes",
        'Loan Tape (S&amp;P)'!T6198&lt;&gt;"Yes",
        DATEDIF('Loan Tape (S&amp;P)'!K6198, TODAY(), "M")&lt;18),
    1.10,
    1.00)</f>
        <v/>
      </c>
      <c r="O6198">
        <f>IF('Loan Tape (S&amp;P)'!T6198="Yes",
    1.35,
    1.00)</f>
        <v/>
      </c>
      <c r="P6198">
        <f>IF('Loan Tape (S&amp;P)'!S6198="Yes",
    1.15,
    1.00)</f>
        <v/>
      </c>
      <c r="Q6198">
        <f>IF('Loan Tape (S&amp;P)'!V6198="Yes",
    1.20,
    1.00)</f>
        <v/>
      </c>
      <c r="T6198">
        <f>LET(
    payment_method,'Loan Tape (S&amp;P)'!P6198,
    occupancy,'Loan Tape (S&amp;P)'!N6198,
    maturity_date,'Loan Tape (S&amp;P)'!L6198,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199">
      <c r="J6199">
        <f>LET(
    lien,'Loan Tape (S&amp;P)'!Q6199,
    IF(lien="First",1.00,
        IF(lien="Second",1.50,
            1.70)))</f>
        <v/>
      </c>
      <c r="K6199">
        <f>LET(
    purpose,'Loan Tape (S&amp;P)'!R6199,
    IF(purpose="Purchase",1.00,
        IF(purpose="Remortgage",1.00,
            1.20)))</f>
        <v/>
      </c>
      <c r="L6199">
        <f>LET(
    arrears_months,'Loan Tape (S&amp;P)'!AN6199,
    IF(arrears_months=0,1.00,
    IF(arrears_months=1,3.00,
    IF(arrears_months=2,5.00,
    IF(arrears_months=3,8.00,
    IF(arrears_months=4,10.00,
    IF(arrears_months=5,12.00,15.00)))))))</f>
        <v/>
      </c>
      <c r="M6199">
        <f>LET(
    seasoning_years,DATEDIF('Loan Tape (S&amp;P)'!K6199,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199">
        <f>IF(AND('Loan Tape (S&amp;P)'!U6199="Yes",
        'Loan Tape (S&amp;P)'!T6199&lt;&gt;"Yes",
        DATEDIF('Loan Tape (S&amp;P)'!K6199, TODAY(), "M")&lt;18),
    1.10,
    1.00)</f>
        <v/>
      </c>
      <c r="O6199">
        <f>IF('Loan Tape (S&amp;P)'!T6199="Yes",
    1.35,
    1.00)</f>
        <v/>
      </c>
      <c r="P6199">
        <f>IF('Loan Tape (S&amp;P)'!S6199="Yes",
    1.15,
    1.00)</f>
        <v/>
      </c>
      <c r="Q6199">
        <f>IF('Loan Tape (S&amp;P)'!V6199="Yes",
    1.20,
    1.00)</f>
        <v/>
      </c>
      <c r="T6199">
        <f>LET(
    payment_method,'Loan Tape (S&amp;P)'!P6199,
    occupancy,'Loan Tape (S&amp;P)'!N6199,
    maturity_date,'Loan Tape (S&amp;P)'!L6199,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00">
      <c r="J6200">
        <f>LET(
    lien,'Loan Tape (S&amp;P)'!Q6200,
    IF(lien="First",1.00,
        IF(lien="Second",1.50,
            1.70)))</f>
        <v/>
      </c>
      <c r="K6200">
        <f>LET(
    purpose,'Loan Tape (S&amp;P)'!R6200,
    IF(purpose="Purchase",1.00,
        IF(purpose="Remortgage",1.00,
            1.20)))</f>
        <v/>
      </c>
      <c r="L6200">
        <f>LET(
    arrears_months,'Loan Tape (S&amp;P)'!AN6200,
    IF(arrears_months=0,1.00,
    IF(arrears_months=1,3.00,
    IF(arrears_months=2,5.00,
    IF(arrears_months=3,8.00,
    IF(arrears_months=4,10.00,
    IF(arrears_months=5,12.00,15.00)))))))</f>
        <v/>
      </c>
      <c r="M6200">
        <f>LET(
    seasoning_years,DATEDIF('Loan Tape (S&amp;P)'!K6200,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00">
        <f>IF(AND('Loan Tape (S&amp;P)'!U6200="Yes",
        'Loan Tape (S&amp;P)'!T6200&lt;&gt;"Yes",
        DATEDIF('Loan Tape (S&amp;P)'!K6200, TODAY(), "M")&lt;18),
    1.10,
    1.00)</f>
        <v/>
      </c>
      <c r="O6200">
        <f>IF('Loan Tape (S&amp;P)'!T6200="Yes",
    1.35,
    1.00)</f>
        <v/>
      </c>
      <c r="P6200">
        <f>IF('Loan Tape (S&amp;P)'!S6200="Yes",
    1.15,
    1.00)</f>
        <v/>
      </c>
      <c r="Q6200">
        <f>IF('Loan Tape (S&amp;P)'!V6200="Yes",
    1.20,
    1.00)</f>
        <v/>
      </c>
      <c r="T6200">
        <f>LET(
    payment_method,'Loan Tape (S&amp;P)'!P6200,
    occupancy,'Loan Tape (S&amp;P)'!N6200,
    maturity_date,'Loan Tape (S&amp;P)'!L6200,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01">
      <c r="J6201">
        <f>LET(
    lien,'Loan Tape (S&amp;P)'!Q6201,
    IF(lien="First",1.00,
        IF(lien="Second",1.50,
            1.70)))</f>
        <v/>
      </c>
      <c r="K6201">
        <f>LET(
    purpose,'Loan Tape (S&amp;P)'!R6201,
    IF(purpose="Purchase",1.00,
        IF(purpose="Remortgage",1.00,
            1.20)))</f>
        <v/>
      </c>
      <c r="L6201">
        <f>LET(
    arrears_months,'Loan Tape (S&amp;P)'!AN6201,
    IF(arrears_months=0,1.00,
    IF(arrears_months=1,3.00,
    IF(arrears_months=2,5.00,
    IF(arrears_months=3,8.00,
    IF(arrears_months=4,10.00,
    IF(arrears_months=5,12.00,15.00)))))))</f>
        <v/>
      </c>
      <c r="M6201">
        <f>LET(
    seasoning_years,DATEDIF('Loan Tape (S&amp;P)'!K6201,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01">
        <f>IF(AND('Loan Tape (S&amp;P)'!U6201="Yes",
        'Loan Tape (S&amp;P)'!T6201&lt;&gt;"Yes",
        DATEDIF('Loan Tape (S&amp;P)'!K6201, TODAY(), "M")&lt;18),
    1.10,
    1.00)</f>
        <v/>
      </c>
      <c r="O6201">
        <f>IF('Loan Tape (S&amp;P)'!T6201="Yes",
    1.35,
    1.00)</f>
        <v/>
      </c>
      <c r="P6201">
        <f>IF('Loan Tape (S&amp;P)'!S6201="Yes",
    1.15,
    1.00)</f>
        <v/>
      </c>
      <c r="Q6201">
        <f>IF('Loan Tape (S&amp;P)'!V6201="Yes",
    1.20,
    1.00)</f>
        <v/>
      </c>
      <c r="T6201">
        <f>LET(
    payment_method,'Loan Tape (S&amp;P)'!P6201,
    occupancy,'Loan Tape (S&amp;P)'!N6201,
    maturity_date,'Loan Tape (S&amp;P)'!L6201,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02">
      <c r="J6202">
        <f>LET(
    lien,'Loan Tape (S&amp;P)'!Q6202,
    IF(lien="First",1.00,
        IF(lien="Second",1.50,
            1.70)))</f>
        <v/>
      </c>
      <c r="K6202">
        <f>LET(
    purpose,'Loan Tape (S&amp;P)'!R6202,
    IF(purpose="Purchase",1.00,
        IF(purpose="Remortgage",1.00,
            1.20)))</f>
        <v/>
      </c>
      <c r="L6202">
        <f>LET(
    arrears_months,'Loan Tape (S&amp;P)'!AN6202,
    IF(arrears_months=0,1.00,
    IF(arrears_months=1,3.00,
    IF(arrears_months=2,5.00,
    IF(arrears_months=3,8.00,
    IF(arrears_months=4,10.00,
    IF(arrears_months=5,12.00,15.00)))))))</f>
        <v/>
      </c>
      <c r="M6202">
        <f>LET(
    seasoning_years,DATEDIF('Loan Tape (S&amp;P)'!K6202,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02">
        <f>IF(AND('Loan Tape (S&amp;P)'!U6202="Yes",
        'Loan Tape (S&amp;P)'!T6202&lt;&gt;"Yes",
        DATEDIF('Loan Tape (S&amp;P)'!K6202, TODAY(), "M")&lt;18),
    1.10,
    1.00)</f>
        <v/>
      </c>
      <c r="O6202">
        <f>IF('Loan Tape (S&amp;P)'!T6202="Yes",
    1.35,
    1.00)</f>
        <v/>
      </c>
      <c r="P6202">
        <f>IF('Loan Tape (S&amp;P)'!S6202="Yes",
    1.15,
    1.00)</f>
        <v/>
      </c>
      <c r="Q6202">
        <f>IF('Loan Tape (S&amp;P)'!V6202="Yes",
    1.20,
    1.00)</f>
        <v/>
      </c>
      <c r="T6202">
        <f>LET(
    payment_method,'Loan Tape (S&amp;P)'!P6202,
    occupancy,'Loan Tape (S&amp;P)'!N6202,
    maturity_date,'Loan Tape (S&amp;P)'!L6202,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03">
      <c r="J6203">
        <f>LET(
    lien,'Loan Tape (S&amp;P)'!Q6203,
    IF(lien="First",1.00,
        IF(lien="Second",1.50,
            1.70)))</f>
        <v/>
      </c>
      <c r="K6203">
        <f>LET(
    purpose,'Loan Tape (S&amp;P)'!R6203,
    IF(purpose="Purchase",1.00,
        IF(purpose="Remortgage",1.00,
            1.20)))</f>
        <v/>
      </c>
      <c r="L6203">
        <f>LET(
    arrears_months,'Loan Tape (S&amp;P)'!AN6203,
    IF(arrears_months=0,1.00,
    IF(arrears_months=1,3.00,
    IF(arrears_months=2,5.00,
    IF(arrears_months=3,8.00,
    IF(arrears_months=4,10.00,
    IF(arrears_months=5,12.00,15.00)))))))</f>
        <v/>
      </c>
      <c r="M6203">
        <f>LET(
    seasoning_years,DATEDIF('Loan Tape (S&amp;P)'!K6203,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03">
        <f>IF(AND('Loan Tape (S&amp;P)'!U6203="Yes",
        'Loan Tape (S&amp;P)'!T6203&lt;&gt;"Yes",
        DATEDIF('Loan Tape (S&amp;P)'!K6203, TODAY(), "M")&lt;18),
    1.10,
    1.00)</f>
        <v/>
      </c>
      <c r="O6203">
        <f>IF('Loan Tape (S&amp;P)'!T6203="Yes",
    1.35,
    1.00)</f>
        <v/>
      </c>
      <c r="P6203">
        <f>IF('Loan Tape (S&amp;P)'!S6203="Yes",
    1.15,
    1.00)</f>
        <v/>
      </c>
      <c r="Q6203">
        <f>IF('Loan Tape (S&amp;P)'!V6203="Yes",
    1.20,
    1.00)</f>
        <v/>
      </c>
      <c r="T6203">
        <f>LET(
    payment_method,'Loan Tape (S&amp;P)'!P6203,
    occupancy,'Loan Tape (S&amp;P)'!N6203,
    maturity_date,'Loan Tape (S&amp;P)'!L6203,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04">
      <c r="J6204">
        <f>LET(
    lien,'Loan Tape (S&amp;P)'!Q6204,
    IF(lien="First",1.00,
        IF(lien="Second",1.50,
            1.70)))</f>
        <v/>
      </c>
      <c r="K6204">
        <f>LET(
    purpose,'Loan Tape (S&amp;P)'!R6204,
    IF(purpose="Purchase",1.00,
        IF(purpose="Remortgage",1.00,
            1.20)))</f>
        <v/>
      </c>
      <c r="L6204">
        <f>LET(
    arrears_months,'Loan Tape (S&amp;P)'!AN6204,
    IF(arrears_months=0,1.00,
    IF(arrears_months=1,3.00,
    IF(arrears_months=2,5.00,
    IF(arrears_months=3,8.00,
    IF(arrears_months=4,10.00,
    IF(arrears_months=5,12.00,15.00)))))))</f>
        <v/>
      </c>
      <c r="M6204">
        <f>LET(
    seasoning_years,DATEDIF('Loan Tape (S&amp;P)'!K6204,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04">
        <f>IF(AND('Loan Tape (S&amp;P)'!U6204="Yes",
        'Loan Tape (S&amp;P)'!T6204&lt;&gt;"Yes",
        DATEDIF('Loan Tape (S&amp;P)'!K6204, TODAY(), "M")&lt;18),
    1.10,
    1.00)</f>
        <v/>
      </c>
      <c r="O6204">
        <f>IF('Loan Tape (S&amp;P)'!T6204="Yes",
    1.35,
    1.00)</f>
        <v/>
      </c>
      <c r="P6204">
        <f>IF('Loan Tape (S&amp;P)'!S6204="Yes",
    1.15,
    1.00)</f>
        <v/>
      </c>
      <c r="Q6204">
        <f>IF('Loan Tape (S&amp;P)'!V6204="Yes",
    1.20,
    1.00)</f>
        <v/>
      </c>
      <c r="T6204">
        <f>LET(
    payment_method,'Loan Tape (S&amp;P)'!P6204,
    occupancy,'Loan Tape (S&amp;P)'!N6204,
    maturity_date,'Loan Tape (S&amp;P)'!L6204,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05">
      <c r="J6205">
        <f>LET(
    lien,'Loan Tape (S&amp;P)'!Q6205,
    IF(lien="First",1.00,
        IF(lien="Second",1.50,
            1.70)))</f>
        <v/>
      </c>
      <c r="K6205">
        <f>LET(
    purpose,'Loan Tape (S&amp;P)'!R6205,
    IF(purpose="Purchase",1.00,
        IF(purpose="Remortgage",1.00,
            1.20)))</f>
        <v/>
      </c>
      <c r="L6205">
        <f>LET(
    arrears_months,'Loan Tape (S&amp;P)'!AN6205,
    IF(arrears_months=0,1.00,
    IF(arrears_months=1,3.00,
    IF(arrears_months=2,5.00,
    IF(arrears_months=3,8.00,
    IF(arrears_months=4,10.00,
    IF(arrears_months=5,12.00,15.00)))))))</f>
        <v/>
      </c>
      <c r="M6205">
        <f>LET(
    seasoning_years,DATEDIF('Loan Tape (S&amp;P)'!K6205,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05">
        <f>IF(AND('Loan Tape (S&amp;P)'!U6205="Yes",
        'Loan Tape (S&amp;P)'!T6205&lt;&gt;"Yes",
        DATEDIF('Loan Tape (S&amp;P)'!K6205, TODAY(), "M")&lt;18),
    1.10,
    1.00)</f>
        <v/>
      </c>
      <c r="O6205">
        <f>IF('Loan Tape (S&amp;P)'!T6205="Yes",
    1.35,
    1.00)</f>
        <v/>
      </c>
      <c r="P6205">
        <f>IF('Loan Tape (S&amp;P)'!S6205="Yes",
    1.15,
    1.00)</f>
        <v/>
      </c>
      <c r="Q6205">
        <f>IF('Loan Tape (S&amp;P)'!V6205="Yes",
    1.20,
    1.00)</f>
        <v/>
      </c>
      <c r="T6205">
        <f>LET(
    payment_method,'Loan Tape (S&amp;P)'!P6205,
    occupancy,'Loan Tape (S&amp;P)'!N6205,
    maturity_date,'Loan Tape (S&amp;P)'!L6205,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06">
      <c r="J6206">
        <f>LET(
    lien,'Loan Tape (S&amp;P)'!Q6206,
    IF(lien="First",1.00,
        IF(lien="Second",1.50,
            1.70)))</f>
        <v/>
      </c>
      <c r="K6206">
        <f>LET(
    purpose,'Loan Tape (S&amp;P)'!R6206,
    IF(purpose="Purchase",1.00,
        IF(purpose="Remortgage",1.00,
            1.20)))</f>
        <v/>
      </c>
      <c r="L6206">
        <f>LET(
    arrears_months,'Loan Tape (S&amp;P)'!AN6206,
    IF(arrears_months=0,1.00,
    IF(arrears_months=1,3.00,
    IF(arrears_months=2,5.00,
    IF(arrears_months=3,8.00,
    IF(arrears_months=4,10.00,
    IF(arrears_months=5,12.00,15.00)))))))</f>
        <v/>
      </c>
      <c r="M6206">
        <f>LET(
    seasoning_years,DATEDIF('Loan Tape (S&amp;P)'!K6206,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06">
        <f>IF(AND('Loan Tape (S&amp;P)'!U6206="Yes",
        'Loan Tape (S&amp;P)'!T6206&lt;&gt;"Yes",
        DATEDIF('Loan Tape (S&amp;P)'!K6206, TODAY(), "M")&lt;18),
    1.10,
    1.00)</f>
        <v/>
      </c>
      <c r="O6206">
        <f>IF('Loan Tape (S&amp;P)'!T6206="Yes",
    1.35,
    1.00)</f>
        <v/>
      </c>
      <c r="P6206">
        <f>IF('Loan Tape (S&amp;P)'!S6206="Yes",
    1.15,
    1.00)</f>
        <v/>
      </c>
      <c r="Q6206">
        <f>IF('Loan Tape (S&amp;P)'!V6206="Yes",
    1.20,
    1.00)</f>
        <v/>
      </c>
      <c r="T6206">
        <f>LET(
    payment_method,'Loan Tape (S&amp;P)'!P6206,
    occupancy,'Loan Tape (S&amp;P)'!N6206,
    maturity_date,'Loan Tape (S&amp;P)'!L6206,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07">
      <c r="J6207">
        <f>LET(
    lien,'Loan Tape (S&amp;P)'!Q6207,
    IF(lien="First",1.00,
        IF(lien="Second",1.50,
            1.70)))</f>
        <v/>
      </c>
      <c r="K6207">
        <f>LET(
    purpose,'Loan Tape (S&amp;P)'!R6207,
    IF(purpose="Purchase",1.00,
        IF(purpose="Remortgage",1.00,
            1.20)))</f>
        <v/>
      </c>
      <c r="L6207">
        <f>LET(
    arrears_months,'Loan Tape (S&amp;P)'!AN6207,
    IF(arrears_months=0,1.00,
    IF(arrears_months=1,3.00,
    IF(arrears_months=2,5.00,
    IF(arrears_months=3,8.00,
    IF(arrears_months=4,10.00,
    IF(arrears_months=5,12.00,15.00)))))))</f>
        <v/>
      </c>
      <c r="M6207">
        <f>LET(
    seasoning_years,DATEDIF('Loan Tape (S&amp;P)'!K6207,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07">
        <f>IF(AND('Loan Tape (S&amp;P)'!U6207="Yes",
        'Loan Tape (S&amp;P)'!T6207&lt;&gt;"Yes",
        DATEDIF('Loan Tape (S&amp;P)'!K6207, TODAY(), "M")&lt;18),
    1.10,
    1.00)</f>
        <v/>
      </c>
      <c r="O6207">
        <f>IF('Loan Tape (S&amp;P)'!T6207="Yes",
    1.35,
    1.00)</f>
        <v/>
      </c>
      <c r="P6207">
        <f>IF('Loan Tape (S&amp;P)'!S6207="Yes",
    1.15,
    1.00)</f>
        <v/>
      </c>
      <c r="Q6207">
        <f>IF('Loan Tape (S&amp;P)'!V6207="Yes",
    1.20,
    1.00)</f>
        <v/>
      </c>
      <c r="T6207">
        <f>LET(
    payment_method,'Loan Tape (S&amp;P)'!P6207,
    occupancy,'Loan Tape (S&amp;P)'!N6207,
    maturity_date,'Loan Tape (S&amp;P)'!L6207,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08">
      <c r="J6208">
        <f>LET(
    lien,'Loan Tape (S&amp;P)'!Q6208,
    IF(lien="First",1.00,
        IF(lien="Second",1.50,
            1.70)))</f>
        <v/>
      </c>
      <c r="K6208">
        <f>LET(
    purpose,'Loan Tape (S&amp;P)'!R6208,
    IF(purpose="Purchase",1.00,
        IF(purpose="Remortgage",1.00,
            1.20)))</f>
        <v/>
      </c>
      <c r="L6208">
        <f>LET(
    arrears_months,'Loan Tape (S&amp;P)'!AN6208,
    IF(arrears_months=0,1.00,
    IF(arrears_months=1,3.00,
    IF(arrears_months=2,5.00,
    IF(arrears_months=3,8.00,
    IF(arrears_months=4,10.00,
    IF(arrears_months=5,12.00,15.00)))))))</f>
        <v/>
      </c>
      <c r="M6208">
        <f>LET(
    seasoning_years,DATEDIF('Loan Tape (S&amp;P)'!K6208,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08">
        <f>IF(AND('Loan Tape (S&amp;P)'!U6208="Yes",
        'Loan Tape (S&amp;P)'!T6208&lt;&gt;"Yes",
        DATEDIF('Loan Tape (S&amp;P)'!K6208, TODAY(), "M")&lt;18),
    1.10,
    1.00)</f>
        <v/>
      </c>
      <c r="O6208">
        <f>IF('Loan Tape (S&amp;P)'!T6208="Yes",
    1.35,
    1.00)</f>
        <v/>
      </c>
      <c r="P6208">
        <f>IF('Loan Tape (S&amp;P)'!S6208="Yes",
    1.15,
    1.00)</f>
        <v/>
      </c>
      <c r="Q6208">
        <f>IF('Loan Tape (S&amp;P)'!V6208="Yes",
    1.20,
    1.00)</f>
        <v/>
      </c>
      <c r="T6208">
        <f>LET(
    payment_method,'Loan Tape (S&amp;P)'!P6208,
    occupancy,'Loan Tape (S&amp;P)'!N6208,
    maturity_date,'Loan Tape (S&amp;P)'!L6208,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09">
      <c r="J6209">
        <f>LET(
    lien,'Loan Tape (S&amp;P)'!Q6209,
    IF(lien="First",1.00,
        IF(lien="Second",1.50,
            1.70)))</f>
        <v/>
      </c>
      <c r="K6209">
        <f>LET(
    purpose,'Loan Tape (S&amp;P)'!R6209,
    IF(purpose="Purchase",1.00,
        IF(purpose="Remortgage",1.00,
            1.20)))</f>
        <v/>
      </c>
      <c r="L6209">
        <f>LET(
    arrears_months,'Loan Tape (S&amp;P)'!AN6209,
    IF(arrears_months=0,1.00,
    IF(arrears_months=1,3.00,
    IF(arrears_months=2,5.00,
    IF(arrears_months=3,8.00,
    IF(arrears_months=4,10.00,
    IF(arrears_months=5,12.00,15.00)))))))</f>
        <v/>
      </c>
      <c r="M6209">
        <f>LET(
    seasoning_years,DATEDIF('Loan Tape (S&amp;P)'!K6209,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09">
        <f>IF(AND('Loan Tape (S&amp;P)'!U6209="Yes",
        'Loan Tape (S&amp;P)'!T6209&lt;&gt;"Yes",
        DATEDIF('Loan Tape (S&amp;P)'!K6209, TODAY(), "M")&lt;18),
    1.10,
    1.00)</f>
        <v/>
      </c>
      <c r="O6209">
        <f>IF('Loan Tape (S&amp;P)'!T6209="Yes",
    1.35,
    1.00)</f>
        <v/>
      </c>
      <c r="P6209">
        <f>IF('Loan Tape (S&amp;P)'!S6209="Yes",
    1.15,
    1.00)</f>
        <v/>
      </c>
      <c r="Q6209">
        <f>IF('Loan Tape (S&amp;P)'!V6209="Yes",
    1.20,
    1.00)</f>
        <v/>
      </c>
      <c r="T6209">
        <f>LET(
    payment_method,'Loan Tape (S&amp;P)'!P6209,
    occupancy,'Loan Tape (S&amp;P)'!N6209,
    maturity_date,'Loan Tape (S&amp;P)'!L6209,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10">
      <c r="J6210">
        <f>LET(
    lien,'Loan Tape (S&amp;P)'!Q6210,
    IF(lien="First",1.00,
        IF(lien="Second",1.50,
            1.70)))</f>
        <v/>
      </c>
      <c r="K6210">
        <f>LET(
    purpose,'Loan Tape (S&amp;P)'!R6210,
    IF(purpose="Purchase",1.00,
        IF(purpose="Remortgage",1.00,
            1.20)))</f>
        <v/>
      </c>
      <c r="L6210">
        <f>LET(
    arrears_months,'Loan Tape (S&amp;P)'!AN6210,
    IF(arrears_months=0,1.00,
    IF(arrears_months=1,3.00,
    IF(arrears_months=2,5.00,
    IF(arrears_months=3,8.00,
    IF(arrears_months=4,10.00,
    IF(arrears_months=5,12.00,15.00)))))))</f>
        <v/>
      </c>
      <c r="M6210">
        <f>LET(
    seasoning_years,DATEDIF('Loan Tape (S&amp;P)'!K6210,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10">
        <f>IF(AND('Loan Tape (S&amp;P)'!U6210="Yes",
        'Loan Tape (S&amp;P)'!T6210&lt;&gt;"Yes",
        DATEDIF('Loan Tape (S&amp;P)'!K6210, TODAY(), "M")&lt;18),
    1.10,
    1.00)</f>
        <v/>
      </c>
      <c r="O6210">
        <f>IF('Loan Tape (S&amp;P)'!T6210="Yes",
    1.35,
    1.00)</f>
        <v/>
      </c>
      <c r="P6210">
        <f>IF('Loan Tape (S&amp;P)'!S6210="Yes",
    1.15,
    1.00)</f>
        <v/>
      </c>
      <c r="Q6210">
        <f>IF('Loan Tape (S&amp;P)'!V6210="Yes",
    1.20,
    1.00)</f>
        <v/>
      </c>
      <c r="T6210">
        <f>LET(
    payment_method,'Loan Tape (S&amp;P)'!P6210,
    occupancy,'Loan Tape (S&amp;P)'!N6210,
    maturity_date,'Loan Tape (S&amp;P)'!L6210,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11">
      <c r="J6211">
        <f>LET(
    lien,'Loan Tape (S&amp;P)'!Q6211,
    IF(lien="First",1.00,
        IF(lien="Second",1.50,
            1.70)))</f>
        <v/>
      </c>
      <c r="K6211">
        <f>LET(
    purpose,'Loan Tape (S&amp;P)'!R6211,
    IF(purpose="Purchase",1.00,
        IF(purpose="Remortgage",1.00,
            1.20)))</f>
        <v/>
      </c>
      <c r="L6211">
        <f>LET(
    arrears_months,'Loan Tape (S&amp;P)'!AN6211,
    IF(arrears_months=0,1.00,
    IF(arrears_months=1,3.00,
    IF(arrears_months=2,5.00,
    IF(arrears_months=3,8.00,
    IF(arrears_months=4,10.00,
    IF(arrears_months=5,12.00,15.00)))))))</f>
        <v/>
      </c>
      <c r="M6211">
        <f>LET(
    seasoning_years,DATEDIF('Loan Tape (S&amp;P)'!K6211,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11">
        <f>IF(AND('Loan Tape (S&amp;P)'!U6211="Yes",
        'Loan Tape (S&amp;P)'!T6211&lt;&gt;"Yes",
        DATEDIF('Loan Tape (S&amp;P)'!K6211, TODAY(), "M")&lt;18),
    1.10,
    1.00)</f>
        <v/>
      </c>
      <c r="O6211">
        <f>IF('Loan Tape (S&amp;P)'!T6211="Yes",
    1.35,
    1.00)</f>
        <v/>
      </c>
      <c r="P6211">
        <f>IF('Loan Tape (S&amp;P)'!S6211="Yes",
    1.15,
    1.00)</f>
        <v/>
      </c>
      <c r="Q6211">
        <f>IF('Loan Tape (S&amp;P)'!V6211="Yes",
    1.20,
    1.00)</f>
        <v/>
      </c>
      <c r="T6211">
        <f>LET(
    payment_method,'Loan Tape (S&amp;P)'!P6211,
    occupancy,'Loan Tape (S&amp;P)'!N6211,
    maturity_date,'Loan Tape (S&amp;P)'!L6211,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12">
      <c r="J6212">
        <f>LET(
    lien,'Loan Tape (S&amp;P)'!Q6212,
    IF(lien="First",1.00,
        IF(lien="Second",1.50,
            1.70)))</f>
        <v/>
      </c>
      <c r="K6212">
        <f>LET(
    purpose,'Loan Tape (S&amp;P)'!R6212,
    IF(purpose="Purchase",1.00,
        IF(purpose="Remortgage",1.00,
            1.20)))</f>
        <v/>
      </c>
      <c r="L6212">
        <f>LET(
    arrears_months,'Loan Tape (S&amp;P)'!AN6212,
    IF(arrears_months=0,1.00,
    IF(arrears_months=1,3.00,
    IF(arrears_months=2,5.00,
    IF(arrears_months=3,8.00,
    IF(arrears_months=4,10.00,
    IF(arrears_months=5,12.00,15.00)))))))</f>
        <v/>
      </c>
      <c r="M6212">
        <f>LET(
    seasoning_years,DATEDIF('Loan Tape (S&amp;P)'!K6212,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12">
        <f>IF(AND('Loan Tape (S&amp;P)'!U6212="Yes",
        'Loan Tape (S&amp;P)'!T6212&lt;&gt;"Yes",
        DATEDIF('Loan Tape (S&amp;P)'!K6212, TODAY(), "M")&lt;18),
    1.10,
    1.00)</f>
        <v/>
      </c>
      <c r="O6212">
        <f>IF('Loan Tape (S&amp;P)'!T6212="Yes",
    1.35,
    1.00)</f>
        <v/>
      </c>
      <c r="P6212">
        <f>IF('Loan Tape (S&amp;P)'!S6212="Yes",
    1.15,
    1.00)</f>
        <v/>
      </c>
      <c r="Q6212">
        <f>IF('Loan Tape (S&amp;P)'!V6212="Yes",
    1.20,
    1.00)</f>
        <v/>
      </c>
      <c r="T6212">
        <f>LET(
    payment_method,'Loan Tape (S&amp;P)'!P6212,
    occupancy,'Loan Tape (S&amp;P)'!N6212,
    maturity_date,'Loan Tape (S&amp;P)'!L6212,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13">
      <c r="J6213">
        <f>LET(
    lien,'Loan Tape (S&amp;P)'!Q6213,
    IF(lien="First",1.00,
        IF(lien="Second",1.50,
            1.70)))</f>
        <v/>
      </c>
      <c r="K6213">
        <f>LET(
    purpose,'Loan Tape (S&amp;P)'!R6213,
    IF(purpose="Purchase",1.00,
        IF(purpose="Remortgage",1.00,
            1.20)))</f>
        <v/>
      </c>
      <c r="L6213">
        <f>LET(
    arrears_months,'Loan Tape (S&amp;P)'!AN6213,
    IF(arrears_months=0,1.00,
    IF(arrears_months=1,3.00,
    IF(arrears_months=2,5.00,
    IF(arrears_months=3,8.00,
    IF(arrears_months=4,10.00,
    IF(arrears_months=5,12.00,15.00)))))))</f>
        <v/>
      </c>
      <c r="M6213">
        <f>LET(
    seasoning_years,DATEDIF('Loan Tape (S&amp;P)'!K6213,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13">
        <f>IF(AND('Loan Tape (S&amp;P)'!U6213="Yes",
        'Loan Tape (S&amp;P)'!T6213&lt;&gt;"Yes",
        DATEDIF('Loan Tape (S&amp;P)'!K6213, TODAY(), "M")&lt;18),
    1.10,
    1.00)</f>
        <v/>
      </c>
      <c r="O6213">
        <f>IF('Loan Tape (S&amp;P)'!T6213="Yes",
    1.35,
    1.00)</f>
        <v/>
      </c>
      <c r="P6213">
        <f>IF('Loan Tape (S&amp;P)'!S6213="Yes",
    1.15,
    1.00)</f>
        <v/>
      </c>
      <c r="Q6213">
        <f>IF('Loan Tape (S&amp;P)'!V6213="Yes",
    1.20,
    1.00)</f>
        <v/>
      </c>
      <c r="T6213">
        <f>LET(
    payment_method,'Loan Tape (S&amp;P)'!P6213,
    occupancy,'Loan Tape (S&amp;P)'!N6213,
    maturity_date,'Loan Tape (S&amp;P)'!L6213,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14">
      <c r="J6214">
        <f>LET(
    lien,'Loan Tape (S&amp;P)'!Q6214,
    IF(lien="First",1.00,
        IF(lien="Second",1.50,
            1.70)))</f>
        <v/>
      </c>
      <c r="K6214">
        <f>LET(
    purpose,'Loan Tape (S&amp;P)'!R6214,
    IF(purpose="Purchase",1.00,
        IF(purpose="Remortgage",1.00,
            1.20)))</f>
        <v/>
      </c>
      <c r="L6214">
        <f>LET(
    arrears_months,'Loan Tape (S&amp;P)'!AN6214,
    IF(arrears_months=0,1.00,
    IF(arrears_months=1,3.00,
    IF(arrears_months=2,5.00,
    IF(arrears_months=3,8.00,
    IF(arrears_months=4,10.00,
    IF(arrears_months=5,12.00,15.00)))))))</f>
        <v/>
      </c>
      <c r="M6214">
        <f>LET(
    seasoning_years,DATEDIF('Loan Tape (S&amp;P)'!K6214,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14">
        <f>IF(AND('Loan Tape (S&amp;P)'!U6214="Yes",
        'Loan Tape (S&amp;P)'!T6214&lt;&gt;"Yes",
        DATEDIF('Loan Tape (S&amp;P)'!K6214, TODAY(), "M")&lt;18),
    1.10,
    1.00)</f>
        <v/>
      </c>
      <c r="O6214">
        <f>IF('Loan Tape (S&amp;P)'!T6214="Yes",
    1.35,
    1.00)</f>
        <v/>
      </c>
      <c r="P6214">
        <f>IF('Loan Tape (S&amp;P)'!S6214="Yes",
    1.15,
    1.00)</f>
        <v/>
      </c>
      <c r="Q6214">
        <f>IF('Loan Tape (S&amp;P)'!V6214="Yes",
    1.20,
    1.00)</f>
        <v/>
      </c>
      <c r="T6214">
        <f>LET(
    payment_method,'Loan Tape (S&amp;P)'!P6214,
    occupancy,'Loan Tape (S&amp;P)'!N6214,
    maturity_date,'Loan Tape (S&amp;P)'!L6214,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15">
      <c r="J6215">
        <f>LET(
    lien,'Loan Tape (S&amp;P)'!Q6215,
    IF(lien="First",1.00,
        IF(lien="Second",1.50,
            1.70)))</f>
        <v/>
      </c>
      <c r="K6215">
        <f>LET(
    purpose,'Loan Tape (S&amp;P)'!R6215,
    IF(purpose="Purchase",1.00,
        IF(purpose="Remortgage",1.00,
            1.20)))</f>
        <v/>
      </c>
      <c r="L6215">
        <f>LET(
    arrears_months,'Loan Tape (S&amp;P)'!AN6215,
    IF(arrears_months=0,1.00,
    IF(arrears_months=1,3.00,
    IF(arrears_months=2,5.00,
    IF(arrears_months=3,8.00,
    IF(arrears_months=4,10.00,
    IF(arrears_months=5,12.00,15.00)))))))</f>
        <v/>
      </c>
      <c r="M6215">
        <f>LET(
    seasoning_years,DATEDIF('Loan Tape (S&amp;P)'!K6215,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15">
        <f>IF(AND('Loan Tape (S&amp;P)'!U6215="Yes",
        'Loan Tape (S&amp;P)'!T6215&lt;&gt;"Yes",
        DATEDIF('Loan Tape (S&amp;P)'!K6215, TODAY(), "M")&lt;18),
    1.10,
    1.00)</f>
        <v/>
      </c>
      <c r="O6215">
        <f>IF('Loan Tape (S&amp;P)'!T6215="Yes",
    1.35,
    1.00)</f>
        <v/>
      </c>
      <c r="P6215">
        <f>IF('Loan Tape (S&amp;P)'!S6215="Yes",
    1.15,
    1.00)</f>
        <v/>
      </c>
      <c r="Q6215">
        <f>IF('Loan Tape (S&amp;P)'!V6215="Yes",
    1.20,
    1.00)</f>
        <v/>
      </c>
      <c r="T6215">
        <f>LET(
    payment_method,'Loan Tape (S&amp;P)'!P6215,
    occupancy,'Loan Tape (S&amp;P)'!N6215,
    maturity_date,'Loan Tape (S&amp;P)'!L6215,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16">
      <c r="J6216">
        <f>LET(
    lien,'Loan Tape (S&amp;P)'!Q6216,
    IF(lien="First",1.00,
        IF(lien="Second",1.50,
            1.70)))</f>
        <v/>
      </c>
      <c r="K6216">
        <f>LET(
    purpose,'Loan Tape (S&amp;P)'!R6216,
    IF(purpose="Purchase",1.00,
        IF(purpose="Remortgage",1.00,
            1.20)))</f>
        <v/>
      </c>
      <c r="L6216">
        <f>LET(
    arrears_months,'Loan Tape (S&amp;P)'!AN6216,
    IF(arrears_months=0,1.00,
    IF(arrears_months=1,3.00,
    IF(arrears_months=2,5.00,
    IF(arrears_months=3,8.00,
    IF(arrears_months=4,10.00,
    IF(arrears_months=5,12.00,15.00)))))))</f>
        <v/>
      </c>
      <c r="M6216">
        <f>LET(
    seasoning_years,DATEDIF('Loan Tape (S&amp;P)'!K6216,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16">
        <f>IF(AND('Loan Tape (S&amp;P)'!U6216="Yes",
        'Loan Tape (S&amp;P)'!T6216&lt;&gt;"Yes",
        DATEDIF('Loan Tape (S&amp;P)'!K6216, TODAY(), "M")&lt;18),
    1.10,
    1.00)</f>
        <v/>
      </c>
      <c r="O6216">
        <f>IF('Loan Tape (S&amp;P)'!T6216="Yes",
    1.35,
    1.00)</f>
        <v/>
      </c>
      <c r="P6216">
        <f>IF('Loan Tape (S&amp;P)'!S6216="Yes",
    1.15,
    1.00)</f>
        <v/>
      </c>
      <c r="Q6216">
        <f>IF('Loan Tape (S&amp;P)'!V6216="Yes",
    1.20,
    1.00)</f>
        <v/>
      </c>
      <c r="T6216">
        <f>LET(
    payment_method,'Loan Tape (S&amp;P)'!P6216,
    occupancy,'Loan Tape (S&amp;P)'!N6216,
    maturity_date,'Loan Tape (S&amp;P)'!L6216,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17">
      <c r="J6217">
        <f>LET(
    lien,'Loan Tape (S&amp;P)'!Q6217,
    IF(lien="First",1.00,
        IF(lien="Second",1.50,
            1.70)))</f>
        <v/>
      </c>
      <c r="K6217">
        <f>LET(
    purpose,'Loan Tape (S&amp;P)'!R6217,
    IF(purpose="Purchase",1.00,
        IF(purpose="Remortgage",1.00,
            1.20)))</f>
        <v/>
      </c>
      <c r="L6217">
        <f>LET(
    arrears_months,'Loan Tape (S&amp;P)'!AN6217,
    IF(arrears_months=0,1.00,
    IF(arrears_months=1,3.00,
    IF(arrears_months=2,5.00,
    IF(arrears_months=3,8.00,
    IF(arrears_months=4,10.00,
    IF(arrears_months=5,12.00,15.00)))))))</f>
        <v/>
      </c>
      <c r="M6217">
        <f>LET(
    seasoning_years,DATEDIF('Loan Tape (S&amp;P)'!K6217,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17">
        <f>IF(AND('Loan Tape (S&amp;P)'!U6217="Yes",
        'Loan Tape (S&amp;P)'!T6217&lt;&gt;"Yes",
        DATEDIF('Loan Tape (S&amp;P)'!K6217, TODAY(), "M")&lt;18),
    1.10,
    1.00)</f>
        <v/>
      </c>
      <c r="O6217">
        <f>IF('Loan Tape (S&amp;P)'!T6217="Yes",
    1.35,
    1.00)</f>
        <v/>
      </c>
      <c r="P6217">
        <f>IF('Loan Tape (S&amp;P)'!S6217="Yes",
    1.15,
    1.00)</f>
        <v/>
      </c>
      <c r="Q6217">
        <f>IF('Loan Tape (S&amp;P)'!V6217="Yes",
    1.20,
    1.00)</f>
        <v/>
      </c>
      <c r="T6217">
        <f>LET(
    payment_method,'Loan Tape (S&amp;P)'!P6217,
    occupancy,'Loan Tape (S&amp;P)'!N6217,
    maturity_date,'Loan Tape (S&amp;P)'!L6217,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18">
      <c r="J6218">
        <f>LET(
    lien,'Loan Tape (S&amp;P)'!Q6218,
    IF(lien="First",1.00,
        IF(lien="Second",1.50,
            1.70)))</f>
        <v/>
      </c>
      <c r="K6218">
        <f>LET(
    purpose,'Loan Tape (S&amp;P)'!R6218,
    IF(purpose="Purchase",1.00,
        IF(purpose="Remortgage",1.00,
            1.20)))</f>
        <v/>
      </c>
      <c r="L6218">
        <f>LET(
    arrears_months,'Loan Tape (S&amp;P)'!AN6218,
    IF(arrears_months=0,1.00,
    IF(arrears_months=1,3.00,
    IF(arrears_months=2,5.00,
    IF(arrears_months=3,8.00,
    IF(arrears_months=4,10.00,
    IF(arrears_months=5,12.00,15.00)))))))</f>
        <v/>
      </c>
      <c r="M6218">
        <f>LET(
    seasoning_years,DATEDIF('Loan Tape (S&amp;P)'!K6218,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18">
        <f>IF(AND('Loan Tape (S&amp;P)'!U6218="Yes",
        'Loan Tape (S&amp;P)'!T6218&lt;&gt;"Yes",
        DATEDIF('Loan Tape (S&amp;P)'!K6218, TODAY(), "M")&lt;18),
    1.10,
    1.00)</f>
        <v/>
      </c>
      <c r="O6218">
        <f>IF('Loan Tape (S&amp;P)'!T6218="Yes",
    1.35,
    1.00)</f>
        <v/>
      </c>
      <c r="P6218">
        <f>IF('Loan Tape (S&amp;P)'!S6218="Yes",
    1.15,
    1.00)</f>
        <v/>
      </c>
      <c r="Q6218">
        <f>IF('Loan Tape (S&amp;P)'!V6218="Yes",
    1.20,
    1.00)</f>
        <v/>
      </c>
      <c r="T6218">
        <f>LET(
    payment_method,'Loan Tape (S&amp;P)'!P6218,
    occupancy,'Loan Tape (S&amp;P)'!N6218,
    maturity_date,'Loan Tape (S&amp;P)'!L6218,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19">
      <c r="J6219">
        <f>LET(
    lien,'Loan Tape (S&amp;P)'!Q6219,
    IF(lien="First",1.00,
        IF(lien="Second",1.50,
            1.70)))</f>
        <v/>
      </c>
      <c r="K6219">
        <f>LET(
    purpose,'Loan Tape (S&amp;P)'!R6219,
    IF(purpose="Purchase",1.00,
        IF(purpose="Remortgage",1.00,
            1.20)))</f>
        <v/>
      </c>
      <c r="L6219">
        <f>LET(
    arrears_months,'Loan Tape (S&amp;P)'!AN6219,
    IF(arrears_months=0,1.00,
    IF(arrears_months=1,3.00,
    IF(arrears_months=2,5.00,
    IF(arrears_months=3,8.00,
    IF(arrears_months=4,10.00,
    IF(arrears_months=5,12.00,15.00)))))))</f>
        <v/>
      </c>
      <c r="M6219">
        <f>LET(
    seasoning_years,DATEDIF('Loan Tape (S&amp;P)'!K6219,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19">
        <f>IF(AND('Loan Tape (S&amp;P)'!U6219="Yes",
        'Loan Tape (S&amp;P)'!T6219&lt;&gt;"Yes",
        DATEDIF('Loan Tape (S&amp;P)'!K6219, TODAY(), "M")&lt;18),
    1.10,
    1.00)</f>
        <v/>
      </c>
      <c r="O6219">
        <f>IF('Loan Tape (S&amp;P)'!T6219="Yes",
    1.35,
    1.00)</f>
        <v/>
      </c>
      <c r="P6219">
        <f>IF('Loan Tape (S&amp;P)'!S6219="Yes",
    1.15,
    1.00)</f>
        <v/>
      </c>
      <c r="Q6219">
        <f>IF('Loan Tape (S&amp;P)'!V6219="Yes",
    1.20,
    1.00)</f>
        <v/>
      </c>
      <c r="T6219">
        <f>LET(
    payment_method,'Loan Tape (S&amp;P)'!P6219,
    occupancy,'Loan Tape (S&amp;P)'!N6219,
    maturity_date,'Loan Tape (S&amp;P)'!L6219,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20">
      <c r="J6220">
        <f>LET(
    lien,'Loan Tape (S&amp;P)'!Q6220,
    IF(lien="First",1.00,
        IF(lien="Second",1.50,
            1.70)))</f>
        <v/>
      </c>
      <c r="K6220">
        <f>LET(
    purpose,'Loan Tape (S&amp;P)'!R6220,
    IF(purpose="Purchase",1.00,
        IF(purpose="Remortgage",1.00,
            1.20)))</f>
        <v/>
      </c>
      <c r="L6220">
        <f>LET(
    arrears_months,'Loan Tape (S&amp;P)'!AN6220,
    IF(arrears_months=0,1.00,
    IF(arrears_months=1,3.00,
    IF(arrears_months=2,5.00,
    IF(arrears_months=3,8.00,
    IF(arrears_months=4,10.00,
    IF(arrears_months=5,12.00,15.00)))))))</f>
        <v/>
      </c>
      <c r="M6220">
        <f>LET(
    seasoning_years,DATEDIF('Loan Tape (S&amp;P)'!K6220,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20">
        <f>IF(AND('Loan Tape (S&amp;P)'!U6220="Yes",
        'Loan Tape (S&amp;P)'!T6220&lt;&gt;"Yes",
        DATEDIF('Loan Tape (S&amp;P)'!K6220, TODAY(), "M")&lt;18),
    1.10,
    1.00)</f>
        <v/>
      </c>
      <c r="O6220">
        <f>IF('Loan Tape (S&amp;P)'!T6220="Yes",
    1.35,
    1.00)</f>
        <v/>
      </c>
      <c r="P6220">
        <f>IF('Loan Tape (S&amp;P)'!S6220="Yes",
    1.15,
    1.00)</f>
        <v/>
      </c>
      <c r="Q6220">
        <f>IF('Loan Tape (S&amp;P)'!V6220="Yes",
    1.20,
    1.00)</f>
        <v/>
      </c>
      <c r="T6220">
        <f>LET(
    payment_method,'Loan Tape (S&amp;P)'!P6220,
    occupancy,'Loan Tape (S&amp;P)'!N6220,
    maturity_date,'Loan Tape (S&amp;P)'!L6220,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21">
      <c r="J6221">
        <f>LET(
    lien,'Loan Tape (S&amp;P)'!Q6221,
    IF(lien="First",1.00,
        IF(lien="Second",1.50,
            1.70)))</f>
        <v/>
      </c>
      <c r="K6221">
        <f>LET(
    purpose,'Loan Tape (S&amp;P)'!R6221,
    IF(purpose="Purchase",1.00,
        IF(purpose="Remortgage",1.00,
            1.20)))</f>
        <v/>
      </c>
      <c r="L6221">
        <f>LET(
    arrears_months,'Loan Tape (S&amp;P)'!AN6221,
    IF(arrears_months=0,1.00,
    IF(arrears_months=1,3.00,
    IF(arrears_months=2,5.00,
    IF(arrears_months=3,8.00,
    IF(arrears_months=4,10.00,
    IF(arrears_months=5,12.00,15.00)))))))</f>
        <v/>
      </c>
      <c r="M6221">
        <f>LET(
    seasoning_years,DATEDIF('Loan Tape (S&amp;P)'!K6221,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21">
        <f>IF(AND('Loan Tape (S&amp;P)'!U6221="Yes",
        'Loan Tape (S&amp;P)'!T6221&lt;&gt;"Yes",
        DATEDIF('Loan Tape (S&amp;P)'!K6221, TODAY(), "M")&lt;18),
    1.10,
    1.00)</f>
        <v/>
      </c>
      <c r="O6221">
        <f>IF('Loan Tape (S&amp;P)'!T6221="Yes",
    1.35,
    1.00)</f>
        <v/>
      </c>
      <c r="P6221">
        <f>IF('Loan Tape (S&amp;P)'!S6221="Yes",
    1.15,
    1.00)</f>
        <v/>
      </c>
      <c r="Q6221">
        <f>IF('Loan Tape (S&amp;P)'!V6221="Yes",
    1.20,
    1.00)</f>
        <v/>
      </c>
      <c r="T6221">
        <f>LET(
    payment_method,'Loan Tape (S&amp;P)'!P6221,
    occupancy,'Loan Tape (S&amp;P)'!N6221,
    maturity_date,'Loan Tape (S&amp;P)'!L6221,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22">
      <c r="J6222">
        <f>LET(
    lien,'Loan Tape (S&amp;P)'!Q6222,
    IF(lien="First",1.00,
        IF(lien="Second",1.50,
            1.70)))</f>
        <v/>
      </c>
      <c r="K6222">
        <f>LET(
    purpose,'Loan Tape (S&amp;P)'!R6222,
    IF(purpose="Purchase",1.00,
        IF(purpose="Remortgage",1.00,
            1.20)))</f>
        <v/>
      </c>
      <c r="L6222">
        <f>LET(
    arrears_months,'Loan Tape (S&amp;P)'!AN6222,
    IF(arrears_months=0,1.00,
    IF(arrears_months=1,3.00,
    IF(arrears_months=2,5.00,
    IF(arrears_months=3,8.00,
    IF(arrears_months=4,10.00,
    IF(arrears_months=5,12.00,15.00)))))))</f>
        <v/>
      </c>
      <c r="M6222">
        <f>LET(
    seasoning_years,DATEDIF('Loan Tape (S&amp;P)'!K6222,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22">
        <f>IF(AND('Loan Tape (S&amp;P)'!U6222="Yes",
        'Loan Tape (S&amp;P)'!T6222&lt;&gt;"Yes",
        DATEDIF('Loan Tape (S&amp;P)'!K6222, TODAY(), "M")&lt;18),
    1.10,
    1.00)</f>
        <v/>
      </c>
      <c r="O6222">
        <f>IF('Loan Tape (S&amp;P)'!T6222="Yes",
    1.35,
    1.00)</f>
        <v/>
      </c>
      <c r="P6222">
        <f>IF('Loan Tape (S&amp;P)'!S6222="Yes",
    1.15,
    1.00)</f>
        <v/>
      </c>
      <c r="Q6222">
        <f>IF('Loan Tape (S&amp;P)'!V6222="Yes",
    1.20,
    1.00)</f>
        <v/>
      </c>
      <c r="T6222">
        <f>LET(
    payment_method,'Loan Tape (S&amp;P)'!P6222,
    occupancy,'Loan Tape (S&amp;P)'!N6222,
    maturity_date,'Loan Tape (S&amp;P)'!L6222,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23">
      <c r="J6223">
        <f>LET(
    lien,'Loan Tape (S&amp;P)'!Q6223,
    IF(lien="First",1.00,
        IF(lien="Second",1.50,
            1.70)))</f>
        <v/>
      </c>
      <c r="K6223">
        <f>LET(
    purpose,'Loan Tape (S&amp;P)'!R6223,
    IF(purpose="Purchase",1.00,
        IF(purpose="Remortgage",1.00,
            1.20)))</f>
        <v/>
      </c>
      <c r="L6223">
        <f>LET(
    arrears_months,'Loan Tape (S&amp;P)'!AN6223,
    IF(arrears_months=0,1.00,
    IF(arrears_months=1,3.00,
    IF(arrears_months=2,5.00,
    IF(arrears_months=3,8.00,
    IF(arrears_months=4,10.00,
    IF(arrears_months=5,12.00,15.00)))))))</f>
        <v/>
      </c>
      <c r="M6223">
        <f>LET(
    seasoning_years,DATEDIF('Loan Tape (S&amp;P)'!K6223,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23">
        <f>IF(AND('Loan Tape (S&amp;P)'!U6223="Yes",
        'Loan Tape (S&amp;P)'!T6223&lt;&gt;"Yes",
        DATEDIF('Loan Tape (S&amp;P)'!K6223, TODAY(), "M")&lt;18),
    1.10,
    1.00)</f>
        <v/>
      </c>
      <c r="O6223">
        <f>IF('Loan Tape (S&amp;P)'!T6223="Yes",
    1.35,
    1.00)</f>
        <v/>
      </c>
      <c r="P6223">
        <f>IF('Loan Tape (S&amp;P)'!S6223="Yes",
    1.15,
    1.00)</f>
        <v/>
      </c>
      <c r="Q6223">
        <f>IF('Loan Tape (S&amp;P)'!V6223="Yes",
    1.20,
    1.00)</f>
        <v/>
      </c>
      <c r="T6223">
        <f>LET(
    payment_method,'Loan Tape (S&amp;P)'!P6223,
    occupancy,'Loan Tape (S&amp;P)'!N6223,
    maturity_date,'Loan Tape (S&amp;P)'!L6223,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24">
      <c r="J6224">
        <f>LET(
    lien,'Loan Tape (S&amp;P)'!Q6224,
    IF(lien="First",1.00,
        IF(lien="Second",1.50,
            1.70)))</f>
        <v/>
      </c>
      <c r="K6224">
        <f>LET(
    purpose,'Loan Tape (S&amp;P)'!R6224,
    IF(purpose="Purchase",1.00,
        IF(purpose="Remortgage",1.00,
            1.20)))</f>
        <v/>
      </c>
      <c r="L6224">
        <f>LET(
    arrears_months,'Loan Tape (S&amp;P)'!AN6224,
    IF(arrears_months=0,1.00,
    IF(arrears_months=1,3.00,
    IF(arrears_months=2,5.00,
    IF(arrears_months=3,8.00,
    IF(arrears_months=4,10.00,
    IF(arrears_months=5,12.00,15.00)))))))</f>
        <v/>
      </c>
      <c r="M6224">
        <f>LET(
    seasoning_years,DATEDIF('Loan Tape (S&amp;P)'!K6224,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24">
        <f>IF(AND('Loan Tape (S&amp;P)'!U6224="Yes",
        'Loan Tape (S&amp;P)'!T6224&lt;&gt;"Yes",
        DATEDIF('Loan Tape (S&amp;P)'!K6224, TODAY(), "M")&lt;18),
    1.10,
    1.00)</f>
        <v/>
      </c>
      <c r="O6224">
        <f>IF('Loan Tape (S&amp;P)'!T6224="Yes",
    1.35,
    1.00)</f>
        <v/>
      </c>
      <c r="P6224">
        <f>IF('Loan Tape (S&amp;P)'!S6224="Yes",
    1.15,
    1.00)</f>
        <v/>
      </c>
      <c r="Q6224">
        <f>IF('Loan Tape (S&amp;P)'!V6224="Yes",
    1.20,
    1.00)</f>
        <v/>
      </c>
      <c r="T6224">
        <f>LET(
    payment_method,'Loan Tape (S&amp;P)'!P6224,
    occupancy,'Loan Tape (S&amp;P)'!N6224,
    maturity_date,'Loan Tape (S&amp;P)'!L6224,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25">
      <c r="J6225">
        <f>LET(
    lien,'Loan Tape (S&amp;P)'!Q6225,
    IF(lien="First",1.00,
        IF(lien="Second",1.50,
            1.70)))</f>
        <v/>
      </c>
      <c r="K6225">
        <f>LET(
    purpose,'Loan Tape (S&amp;P)'!R6225,
    IF(purpose="Purchase",1.00,
        IF(purpose="Remortgage",1.00,
            1.20)))</f>
        <v/>
      </c>
      <c r="L6225">
        <f>LET(
    arrears_months,'Loan Tape (S&amp;P)'!AN6225,
    IF(arrears_months=0,1.00,
    IF(arrears_months=1,3.00,
    IF(arrears_months=2,5.00,
    IF(arrears_months=3,8.00,
    IF(arrears_months=4,10.00,
    IF(arrears_months=5,12.00,15.00)))))))</f>
        <v/>
      </c>
      <c r="M6225">
        <f>LET(
    seasoning_years,DATEDIF('Loan Tape (S&amp;P)'!K6225,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25">
        <f>IF(AND('Loan Tape (S&amp;P)'!U6225="Yes",
        'Loan Tape (S&amp;P)'!T6225&lt;&gt;"Yes",
        DATEDIF('Loan Tape (S&amp;P)'!K6225, TODAY(), "M")&lt;18),
    1.10,
    1.00)</f>
        <v/>
      </c>
      <c r="O6225">
        <f>IF('Loan Tape (S&amp;P)'!T6225="Yes",
    1.35,
    1.00)</f>
        <v/>
      </c>
      <c r="P6225">
        <f>IF('Loan Tape (S&amp;P)'!S6225="Yes",
    1.15,
    1.00)</f>
        <v/>
      </c>
      <c r="Q6225">
        <f>IF('Loan Tape (S&amp;P)'!V6225="Yes",
    1.20,
    1.00)</f>
        <v/>
      </c>
      <c r="T6225">
        <f>LET(
    payment_method,'Loan Tape (S&amp;P)'!P6225,
    occupancy,'Loan Tape (S&amp;P)'!N6225,
    maturity_date,'Loan Tape (S&amp;P)'!L6225,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26">
      <c r="J6226">
        <f>LET(
    lien,'Loan Tape (S&amp;P)'!Q6226,
    IF(lien="First",1.00,
        IF(lien="Second",1.50,
            1.70)))</f>
        <v/>
      </c>
      <c r="K6226">
        <f>LET(
    purpose,'Loan Tape (S&amp;P)'!R6226,
    IF(purpose="Purchase",1.00,
        IF(purpose="Remortgage",1.00,
            1.20)))</f>
        <v/>
      </c>
      <c r="L6226">
        <f>LET(
    arrears_months,'Loan Tape (S&amp;P)'!AN6226,
    IF(arrears_months=0,1.00,
    IF(arrears_months=1,3.00,
    IF(arrears_months=2,5.00,
    IF(arrears_months=3,8.00,
    IF(arrears_months=4,10.00,
    IF(arrears_months=5,12.00,15.00)))))))</f>
        <v/>
      </c>
      <c r="M6226">
        <f>LET(
    seasoning_years,DATEDIF('Loan Tape (S&amp;P)'!K6226,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26">
        <f>IF(AND('Loan Tape (S&amp;P)'!U6226="Yes",
        'Loan Tape (S&amp;P)'!T6226&lt;&gt;"Yes",
        DATEDIF('Loan Tape (S&amp;P)'!K6226, TODAY(), "M")&lt;18),
    1.10,
    1.00)</f>
        <v/>
      </c>
      <c r="O6226">
        <f>IF('Loan Tape (S&amp;P)'!T6226="Yes",
    1.35,
    1.00)</f>
        <v/>
      </c>
      <c r="P6226">
        <f>IF('Loan Tape (S&amp;P)'!S6226="Yes",
    1.15,
    1.00)</f>
        <v/>
      </c>
      <c r="Q6226">
        <f>IF('Loan Tape (S&amp;P)'!V6226="Yes",
    1.20,
    1.00)</f>
        <v/>
      </c>
      <c r="T6226">
        <f>LET(
    payment_method,'Loan Tape (S&amp;P)'!P6226,
    occupancy,'Loan Tape (S&amp;P)'!N6226,
    maturity_date,'Loan Tape (S&amp;P)'!L6226,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27">
      <c r="J6227">
        <f>LET(
    lien,'Loan Tape (S&amp;P)'!Q6227,
    IF(lien="First",1.00,
        IF(lien="Second",1.50,
            1.70)))</f>
        <v/>
      </c>
      <c r="K6227">
        <f>LET(
    purpose,'Loan Tape (S&amp;P)'!R6227,
    IF(purpose="Purchase",1.00,
        IF(purpose="Remortgage",1.00,
            1.20)))</f>
        <v/>
      </c>
      <c r="L6227">
        <f>LET(
    arrears_months,'Loan Tape (S&amp;P)'!AN6227,
    IF(arrears_months=0,1.00,
    IF(arrears_months=1,3.00,
    IF(arrears_months=2,5.00,
    IF(arrears_months=3,8.00,
    IF(arrears_months=4,10.00,
    IF(arrears_months=5,12.00,15.00)))))))</f>
        <v/>
      </c>
      <c r="M6227">
        <f>LET(
    seasoning_years,DATEDIF('Loan Tape (S&amp;P)'!K6227,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27">
        <f>IF(AND('Loan Tape (S&amp;P)'!U6227="Yes",
        'Loan Tape (S&amp;P)'!T6227&lt;&gt;"Yes",
        DATEDIF('Loan Tape (S&amp;P)'!K6227, TODAY(), "M")&lt;18),
    1.10,
    1.00)</f>
        <v/>
      </c>
      <c r="O6227">
        <f>IF('Loan Tape (S&amp;P)'!T6227="Yes",
    1.35,
    1.00)</f>
        <v/>
      </c>
      <c r="P6227">
        <f>IF('Loan Tape (S&amp;P)'!S6227="Yes",
    1.15,
    1.00)</f>
        <v/>
      </c>
      <c r="Q6227">
        <f>IF('Loan Tape (S&amp;P)'!V6227="Yes",
    1.20,
    1.00)</f>
        <v/>
      </c>
      <c r="T6227">
        <f>LET(
    payment_method,'Loan Tape (S&amp;P)'!P6227,
    occupancy,'Loan Tape (S&amp;P)'!N6227,
    maturity_date,'Loan Tape (S&amp;P)'!L6227,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28">
      <c r="J6228">
        <f>LET(
    lien,'Loan Tape (S&amp;P)'!Q6228,
    IF(lien="First",1.00,
        IF(lien="Second",1.50,
            1.70)))</f>
        <v/>
      </c>
      <c r="K6228">
        <f>LET(
    purpose,'Loan Tape (S&amp;P)'!R6228,
    IF(purpose="Purchase",1.00,
        IF(purpose="Remortgage",1.00,
            1.20)))</f>
        <v/>
      </c>
      <c r="L6228">
        <f>LET(
    arrears_months,'Loan Tape (S&amp;P)'!AN6228,
    IF(arrears_months=0,1.00,
    IF(arrears_months=1,3.00,
    IF(arrears_months=2,5.00,
    IF(arrears_months=3,8.00,
    IF(arrears_months=4,10.00,
    IF(arrears_months=5,12.00,15.00)))))))</f>
        <v/>
      </c>
      <c r="M6228">
        <f>LET(
    seasoning_years,DATEDIF('Loan Tape (S&amp;P)'!K6228,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28">
        <f>IF(AND('Loan Tape (S&amp;P)'!U6228="Yes",
        'Loan Tape (S&amp;P)'!T6228&lt;&gt;"Yes",
        DATEDIF('Loan Tape (S&amp;P)'!K6228, TODAY(), "M")&lt;18),
    1.10,
    1.00)</f>
        <v/>
      </c>
      <c r="O6228">
        <f>IF('Loan Tape (S&amp;P)'!T6228="Yes",
    1.35,
    1.00)</f>
        <v/>
      </c>
      <c r="P6228">
        <f>IF('Loan Tape (S&amp;P)'!S6228="Yes",
    1.15,
    1.00)</f>
        <v/>
      </c>
      <c r="Q6228">
        <f>IF('Loan Tape (S&amp;P)'!V6228="Yes",
    1.20,
    1.00)</f>
        <v/>
      </c>
      <c r="T6228">
        <f>LET(
    payment_method,'Loan Tape (S&amp;P)'!P6228,
    occupancy,'Loan Tape (S&amp;P)'!N6228,
    maturity_date,'Loan Tape (S&amp;P)'!L6228,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29">
      <c r="J6229">
        <f>LET(
    lien,'Loan Tape (S&amp;P)'!Q6229,
    IF(lien="First",1.00,
        IF(lien="Second",1.50,
            1.70)))</f>
        <v/>
      </c>
      <c r="K6229">
        <f>LET(
    purpose,'Loan Tape (S&amp;P)'!R6229,
    IF(purpose="Purchase",1.00,
        IF(purpose="Remortgage",1.00,
            1.20)))</f>
        <v/>
      </c>
      <c r="L6229">
        <f>LET(
    arrears_months,'Loan Tape (S&amp;P)'!AN6229,
    IF(arrears_months=0,1.00,
    IF(arrears_months=1,3.00,
    IF(arrears_months=2,5.00,
    IF(arrears_months=3,8.00,
    IF(arrears_months=4,10.00,
    IF(arrears_months=5,12.00,15.00)))))))</f>
        <v/>
      </c>
      <c r="M6229">
        <f>LET(
    seasoning_years,DATEDIF('Loan Tape (S&amp;P)'!K6229,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29">
        <f>IF(AND('Loan Tape (S&amp;P)'!U6229="Yes",
        'Loan Tape (S&amp;P)'!T6229&lt;&gt;"Yes",
        DATEDIF('Loan Tape (S&amp;P)'!K6229, TODAY(), "M")&lt;18),
    1.10,
    1.00)</f>
        <v/>
      </c>
      <c r="O6229">
        <f>IF('Loan Tape (S&amp;P)'!T6229="Yes",
    1.35,
    1.00)</f>
        <v/>
      </c>
      <c r="P6229">
        <f>IF('Loan Tape (S&amp;P)'!S6229="Yes",
    1.15,
    1.00)</f>
        <v/>
      </c>
      <c r="Q6229">
        <f>IF('Loan Tape (S&amp;P)'!V6229="Yes",
    1.20,
    1.00)</f>
        <v/>
      </c>
      <c r="T6229">
        <f>LET(
    payment_method,'Loan Tape (S&amp;P)'!P6229,
    occupancy,'Loan Tape (S&amp;P)'!N6229,
    maturity_date,'Loan Tape (S&amp;P)'!L6229,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30">
      <c r="J6230">
        <f>LET(
    lien,'Loan Tape (S&amp;P)'!Q6230,
    IF(lien="First",1.00,
        IF(lien="Second",1.50,
            1.70)))</f>
        <v/>
      </c>
      <c r="K6230">
        <f>LET(
    purpose,'Loan Tape (S&amp;P)'!R6230,
    IF(purpose="Purchase",1.00,
        IF(purpose="Remortgage",1.00,
            1.20)))</f>
        <v/>
      </c>
      <c r="L6230">
        <f>LET(
    arrears_months,'Loan Tape (S&amp;P)'!AN6230,
    IF(arrears_months=0,1.00,
    IF(arrears_months=1,3.00,
    IF(arrears_months=2,5.00,
    IF(arrears_months=3,8.00,
    IF(arrears_months=4,10.00,
    IF(arrears_months=5,12.00,15.00)))))))</f>
        <v/>
      </c>
      <c r="M6230">
        <f>LET(
    seasoning_years,DATEDIF('Loan Tape (S&amp;P)'!K6230,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30">
        <f>IF(AND('Loan Tape (S&amp;P)'!U6230="Yes",
        'Loan Tape (S&amp;P)'!T6230&lt;&gt;"Yes",
        DATEDIF('Loan Tape (S&amp;P)'!K6230, TODAY(), "M")&lt;18),
    1.10,
    1.00)</f>
        <v/>
      </c>
      <c r="O6230">
        <f>IF('Loan Tape (S&amp;P)'!T6230="Yes",
    1.35,
    1.00)</f>
        <v/>
      </c>
      <c r="P6230">
        <f>IF('Loan Tape (S&amp;P)'!S6230="Yes",
    1.15,
    1.00)</f>
        <v/>
      </c>
      <c r="Q6230">
        <f>IF('Loan Tape (S&amp;P)'!V6230="Yes",
    1.20,
    1.00)</f>
        <v/>
      </c>
      <c r="T6230">
        <f>LET(
    payment_method,'Loan Tape (S&amp;P)'!P6230,
    occupancy,'Loan Tape (S&amp;P)'!N6230,
    maturity_date,'Loan Tape (S&amp;P)'!L6230,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31">
      <c r="J6231">
        <f>LET(
    lien,'Loan Tape (S&amp;P)'!Q6231,
    IF(lien="First",1.00,
        IF(lien="Second",1.50,
            1.70)))</f>
        <v/>
      </c>
      <c r="K6231">
        <f>LET(
    purpose,'Loan Tape (S&amp;P)'!R6231,
    IF(purpose="Purchase",1.00,
        IF(purpose="Remortgage",1.00,
            1.20)))</f>
        <v/>
      </c>
      <c r="L6231">
        <f>LET(
    arrears_months,'Loan Tape (S&amp;P)'!AN6231,
    IF(arrears_months=0,1.00,
    IF(arrears_months=1,3.00,
    IF(arrears_months=2,5.00,
    IF(arrears_months=3,8.00,
    IF(arrears_months=4,10.00,
    IF(arrears_months=5,12.00,15.00)))))))</f>
        <v/>
      </c>
      <c r="M6231">
        <f>LET(
    seasoning_years,DATEDIF('Loan Tape (S&amp;P)'!K6231,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31">
        <f>IF(AND('Loan Tape (S&amp;P)'!U6231="Yes",
        'Loan Tape (S&amp;P)'!T6231&lt;&gt;"Yes",
        DATEDIF('Loan Tape (S&amp;P)'!K6231, TODAY(), "M")&lt;18),
    1.10,
    1.00)</f>
        <v/>
      </c>
      <c r="O6231">
        <f>IF('Loan Tape (S&amp;P)'!T6231="Yes",
    1.35,
    1.00)</f>
        <v/>
      </c>
      <c r="P6231">
        <f>IF('Loan Tape (S&amp;P)'!S6231="Yes",
    1.15,
    1.00)</f>
        <v/>
      </c>
      <c r="Q6231">
        <f>IF('Loan Tape (S&amp;P)'!V6231="Yes",
    1.20,
    1.00)</f>
        <v/>
      </c>
      <c r="T6231">
        <f>LET(
    payment_method,'Loan Tape (S&amp;P)'!P6231,
    occupancy,'Loan Tape (S&amp;P)'!N6231,
    maturity_date,'Loan Tape (S&amp;P)'!L6231,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32">
      <c r="J6232">
        <f>LET(
    lien,'Loan Tape (S&amp;P)'!Q6232,
    IF(lien="First",1.00,
        IF(lien="Second",1.50,
            1.70)))</f>
        <v/>
      </c>
      <c r="K6232">
        <f>LET(
    purpose,'Loan Tape (S&amp;P)'!R6232,
    IF(purpose="Purchase",1.00,
        IF(purpose="Remortgage",1.00,
            1.20)))</f>
        <v/>
      </c>
      <c r="L6232">
        <f>LET(
    arrears_months,'Loan Tape (S&amp;P)'!AN6232,
    IF(arrears_months=0,1.00,
    IF(arrears_months=1,3.00,
    IF(arrears_months=2,5.00,
    IF(arrears_months=3,8.00,
    IF(arrears_months=4,10.00,
    IF(arrears_months=5,12.00,15.00)))))))</f>
        <v/>
      </c>
      <c r="M6232">
        <f>LET(
    seasoning_years,DATEDIF('Loan Tape (S&amp;P)'!K6232,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32">
        <f>IF(AND('Loan Tape (S&amp;P)'!U6232="Yes",
        'Loan Tape (S&amp;P)'!T6232&lt;&gt;"Yes",
        DATEDIF('Loan Tape (S&amp;P)'!K6232, TODAY(), "M")&lt;18),
    1.10,
    1.00)</f>
        <v/>
      </c>
      <c r="O6232">
        <f>IF('Loan Tape (S&amp;P)'!T6232="Yes",
    1.35,
    1.00)</f>
        <v/>
      </c>
      <c r="P6232">
        <f>IF('Loan Tape (S&amp;P)'!S6232="Yes",
    1.15,
    1.00)</f>
        <v/>
      </c>
      <c r="Q6232">
        <f>IF('Loan Tape (S&amp;P)'!V6232="Yes",
    1.20,
    1.00)</f>
        <v/>
      </c>
      <c r="T6232">
        <f>LET(
    payment_method,'Loan Tape (S&amp;P)'!P6232,
    occupancy,'Loan Tape (S&amp;P)'!N6232,
    maturity_date,'Loan Tape (S&amp;P)'!L6232,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33">
      <c r="J6233">
        <f>LET(
    lien,'Loan Tape (S&amp;P)'!Q6233,
    IF(lien="First",1.00,
        IF(lien="Second",1.50,
            1.70)))</f>
        <v/>
      </c>
      <c r="K6233">
        <f>LET(
    purpose,'Loan Tape (S&amp;P)'!R6233,
    IF(purpose="Purchase",1.00,
        IF(purpose="Remortgage",1.00,
            1.20)))</f>
        <v/>
      </c>
      <c r="L6233">
        <f>LET(
    arrears_months,'Loan Tape (S&amp;P)'!AN6233,
    IF(arrears_months=0,1.00,
    IF(arrears_months=1,3.00,
    IF(arrears_months=2,5.00,
    IF(arrears_months=3,8.00,
    IF(arrears_months=4,10.00,
    IF(arrears_months=5,12.00,15.00)))))))</f>
        <v/>
      </c>
      <c r="M6233">
        <f>LET(
    seasoning_years,DATEDIF('Loan Tape (S&amp;P)'!K6233,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33">
        <f>IF(AND('Loan Tape (S&amp;P)'!U6233="Yes",
        'Loan Tape (S&amp;P)'!T6233&lt;&gt;"Yes",
        DATEDIF('Loan Tape (S&amp;P)'!K6233, TODAY(), "M")&lt;18),
    1.10,
    1.00)</f>
        <v/>
      </c>
      <c r="O6233">
        <f>IF('Loan Tape (S&amp;P)'!T6233="Yes",
    1.35,
    1.00)</f>
        <v/>
      </c>
      <c r="P6233">
        <f>IF('Loan Tape (S&amp;P)'!S6233="Yes",
    1.15,
    1.00)</f>
        <v/>
      </c>
      <c r="Q6233">
        <f>IF('Loan Tape (S&amp;P)'!V6233="Yes",
    1.20,
    1.00)</f>
        <v/>
      </c>
      <c r="T6233">
        <f>LET(
    payment_method,'Loan Tape (S&amp;P)'!P6233,
    occupancy,'Loan Tape (S&amp;P)'!N6233,
    maturity_date,'Loan Tape (S&amp;P)'!L6233,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34">
      <c r="J6234">
        <f>LET(
    lien,'Loan Tape (S&amp;P)'!Q6234,
    IF(lien="First",1.00,
        IF(lien="Second",1.50,
            1.70)))</f>
        <v/>
      </c>
      <c r="K6234">
        <f>LET(
    purpose,'Loan Tape (S&amp;P)'!R6234,
    IF(purpose="Purchase",1.00,
        IF(purpose="Remortgage",1.00,
            1.20)))</f>
        <v/>
      </c>
      <c r="L6234">
        <f>LET(
    arrears_months,'Loan Tape (S&amp;P)'!AN6234,
    IF(arrears_months=0,1.00,
    IF(arrears_months=1,3.00,
    IF(arrears_months=2,5.00,
    IF(arrears_months=3,8.00,
    IF(arrears_months=4,10.00,
    IF(arrears_months=5,12.00,15.00)))))))</f>
        <v/>
      </c>
      <c r="M6234">
        <f>LET(
    seasoning_years,DATEDIF('Loan Tape (S&amp;P)'!K6234,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34">
        <f>IF(AND('Loan Tape (S&amp;P)'!U6234="Yes",
        'Loan Tape (S&amp;P)'!T6234&lt;&gt;"Yes",
        DATEDIF('Loan Tape (S&amp;P)'!K6234, TODAY(), "M")&lt;18),
    1.10,
    1.00)</f>
        <v/>
      </c>
      <c r="O6234">
        <f>IF('Loan Tape (S&amp;P)'!T6234="Yes",
    1.35,
    1.00)</f>
        <v/>
      </c>
      <c r="P6234">
        <f>IF('Loan Tape (S&amp;P)'!S6234="Yes",
    1.15,
    1.00)</f>
        <v/>
      </c>
      <c r="Q6234">
        <f>IF('Loan Tape (S&amp;P)'!V6234="Yes",
    1.20,
    1.00)</f>
        <v/>
      </c>
      <c r="T6234">
        <f>LET(
    payment_method,'Loan Tape (S&amp;P)'!P6234,
    occupancy,'Loan Tape (S&amp;P)'!N6234,
    maturity_date,'Loan Tape (S&amp;P)'!L6234,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35">
      <c r="J6235">
        <f>LET(
    lien,'Loan Tape (S&amp;P)'!Q6235,
    IF(lien="First",1.00,
        IF(lien="Second",1.50,
            1.70)))</f>
        <v/>
      </c>
      <c r="K6235">
        <f>LET(
    purpose,'Loan Tape (S&amp;P)'!R6235,
    IF(purpose="Purchase",1.00,
        IF(purpose="Remortgage",1.00,
            1.20)))</f>
        <v/>
      </c>
      <c r="L6235">
        <f>LET(
    arrears_months,'Loan Tape (S&amp;P)'!AN6235,
    IF(arrears_months=0,1.00,
    IF(arrears_months=1,3.00,
    IF(arrears_months=2,5.00,
    IF(arrears_months=3,8.00,
    IF(arrears_months=4,10.00,
    IF(arrears_months=5,12.00,15.00)))))))</f>
        <v/>
      </c>
      <c r="M6235">
        <f>LET(
    seasoning_years,DATEDIF('Loan Tape (S&amp;P)'!K6235,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35">
        <f>IF(AND('Loan Tape (S&amp;P)'!U6235="Yes",
        'Loan Tape (S&amp;P)'!T6235&lt;&gt;"Yes",
        DATEDIF('Loan Tape (S&amp;P)'!K6235, TODAY(), "M")&lt;18),
    1.10,
    1.00)</f>
        <v/>
      </c>
      <c r="O6235">
        <f>IF('Loan Tape (S&amp;P)'!T6235="Yes",
    1.35,
    1.00)</f>
        <v/>
      </c>
      <c r="P6235">
        <f>IF('Loan Tape (S&amp;P)'!S6235="Yes",
    1.15,
    1.00)</f>
        <v/>
      </c>
      <c r="Q6235">
        <f>IF('Loan Tape (S&amp;P)'!V6235="Yes",
    1.20,
    1.00)</f>
        <v/>
      </c>
      <c r="T6235">
        <f>LET(
    payment_method,'Loan Tape (S&amp;P)'!P6235,
    occupancy,'Loan Tape (S&amp;P)'!N6235,
    maturity_date,'Loan Tape (S&amp;P)'!L6235,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36">
      <c r="J6236">
        <f>LET(
    lien,'Loan Tape (S&amp;P)'!Q6236,
    IF(lien="First",1.00,
        IF(lien="Second",1.50,
            1.70)))</f>
        <v/>
      </c>
      <c r="K6236">
        <f>LET(
    purpose,'Loan Tape (S&amp;P)'!R6236,
    IF(purpose="Purchase",1.00,
        IF(purpose="Remortgage",1.00,
            1.20)))</f>
        <v/>
      </c>
      <c r="L6236">
        <f>LET(
    arrears_months,'Loan Tape (S&amp;P)'!AN6236,
    IF(arrears_months=0,1.00,
    IF(arrears_months=1,3.00,
    IF(arrears_months=2,5.00,
    IF(arrears_months=3,8.00,
    IF(arrears_months=4,10.00,
    IF(arrears_months=5,12.00,15.00)))))))</f>
        <v/>
      </c>
      <c r="M6236">
        <f>LET(
    seasoning_years,DATEDIF('Loan Tape (S&amp;P)'!K6236,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36">
        <f>IF(AND('Loan Tape (S&amp;P)'!U6236="Yes",
        'Loan Tape (S&amp;P)'!T6236&lt;&gt;"Yes",
        DATEDIF('Loan Tape (S&amp;P)'!K6236, TODAY(), "M")&lt;18),
    1.10,
    1.00)</f>
        <v/>
      </c>
      <c r="O6236">
        <f>IF('Loan Tape (S&amp;P)'!T6236="Yes",
    1.35,
    1.00)</f>
        <v/>
      </c>
      <c r="P6236">
        <f>IF('Loan Tape (S&amp;P)'!S6236="Yes",
    1.15,
    1.00)</f>
        <v/>
      </c>
      <c r="Q6236">
        <f>IF('Loan Tape (S&amp;P)'!V6236="Yes",
    1.20,
    1.00)</f>
        <v/>
      </c>
      <c r="T6236">
        <f>LET(
    payment_method,'Loan Tape (S&amp;P)'!P6236,
    occupancy,'Loan Tape (S&amp;P)'!N6236,
    maturity_date,'Loan Tape (S&amp;P)'!L6236,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37">
      <c r="J6237">
        <f>LET(
    lien,'Loan Tape (S&amp;P)'!Q6237,
    IF(lien="First",1.00,
        IF(lien="Second",1.50,
            1.70)))</f>
        <v/>
      </c>
      <c r="K6237">
        <f>LET(
    purpose,'Loan Tape (S&amp;P)'!R6237,
    IF(purpose="Purchase",1.00,
        IF(purpose="Remortgage",1.00,
            1.20)))</f>
        <v/>
      </c>
      <c r="L6237">
        <f>LET(
    arrears_months,'Loan Tape (S&amp;P)'!AN6237,
    IF(arrears_months=0,1.00,
    IF(arrears_months=1,3.00,
    IF(arrears_months=2,5.00,
    IF(arrears_months=3,8.00,
    IF(arrears_months=4,10.00,
    IF(arrears_months=5,12.00,15.00)))))))</f>
        <v/>
      </c>
      <c r="M6237">
        <f>LET(
    seasoning_years,DATEDIF('Loan Tape (S&amp;P)'!K6237,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37">
        <f>IF(AND('Loan Tape (S&amp;P)'!U6237="Yes",
        'Loan Tape (S&amp;P)'!T6237&lt;&gt;"Yes",
        DATEDIF('Loan Tape (S&amp;P)'!K6237, TODAY(), "M")&lt;18),
    1.10,
    1.00)</f>
        <v/>
      </c>
      <c r="O6237">
        <f>IF('Loan Tape (S&amp;P)'!T6237="Yes",
    1.35,
    1.00)</f>
        <v/>
      </c>
      <c r="P6237">
        <f>IF('Loan Tape (S&amp;P)'!S6237="Yes",
    1.15,
    1.00)</f>
        <v/>
      </c>
      <c r="Q6237">
        <f>IF('Loan Tape (S&amp;P)'!V6237="Yes",
    1.20,
    1.00)</f>
        <v/>
      </c>
      <c r="T6237">
        <f>LET(
    payment_method,'Loan Tape (S&amp;P)'!P6237,
    occupancy,'Loan Tape (S&amp;P)'!N6237,
    maturity_date,'Loan Tape (S&amp;P)'!L6237,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38">
      <c r="J6238">
        <f>LET(
    lien,'Loan Tape (S&amp;P)'!Q6238,
    IF(lien="First",1.00,
        IF(lien="Second",1.50,
            1.70)))</f>
        <v/>
      </c>
      <c r="K6238">
        <f>LET(
    purpose,'Loan Tape (S&amp;P)'!R6238,
    IF(purpose="Purchase",1.00,
        IF(purpose="Remortgage",1.00,
            1.20)))</f>
        <v/>
      </c>
      <c r="L6238">
        <f>LET(
    arrears_months,'Loan Tape (S&amp;P)'!AN6238,
    IF(arrears_months=0,1.00,
    IF(arrears_months=1,3.00,
    IF(arrears_months=2,5.00,
    IF(arrears_months=3,8.00,
    IF(arrears_months=4,10.00,
    IF(arrears_months=5,12.00,15.00)))))))</f>
        <v/>
      </c>
      <c r="M6238">
        <f>LET(
    seasoning_years,DATEDIF('Loan Tape (S&amp;P)'!K6238,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38">
        <f>IF(AND('Loan Tape (S&amp;P)'!U6238="Yes",
        'Loan Tape (S&amp;P)'!T6238&lt;&gt;"Yes",
        DATEDIF('Loan Tape (S&amp;P)'!K6238, TODAY(), "M")&lt;18),
    1.10,
    1.00)</f>
        <v/>
      </c>
      <c r="O6238">
        <f>IF('Loan Tape (S&amp;P)'!T6238="Yes",
    1.35,
    1.00)</f>
        <v/>
      </c>
      <c r="P6238">
        <f>IF('Loan Tape (S&amp;P)'!S6238="Yes",
    1.15,
    1.00)</f>
        <v/>
      </c>
      <c r="Q6238">
        <f>IF('Loan Tape (S&amp;P)'!V6238="Yes",
    1.20,
    1.00)</f>
        <v/>
      </c>
      <c r="T6238">
        <f>LET(
    payment_method,'Loan Tape (S&amp;P)'!P6238,
    occupancy,'Loan Tape (S&amp;P)'!N6238,
    maturity_date,'Loan Tape (S&amp;P)'!L6238,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39">
      <c r="J6239">
        <f>LET(
    lien,'Loan Tape (S&amp;P)'!Q6239,
    IF(lien="First",1.00,
        IF(lien="Second",1.50,
            1.70)))</f>
        <v/>
      </c>
      <c r="K6239">
        <f>LET(
    purpose,'Loan Tape (S&amp;P)'!R6239,
    IF(purpose="Purchase",1.00,
        IF(purpose="Remortgage",1.00,
            1.20)))</f>
        <v/>
      </c>
      <c r="L6239">
        <f>LET(
    arrears_months,'Loan Tape (S&amp;P)'!AN6239,
    IF(arrears_months=0,1.00,
    IF(arrears_months=1,3.00,
    IF(arrears_months=2,5.00,
    IF(arrears_months=3,8.00,
    IF(arrears_months=4,10.00,
    IF(arrears_months=5,12.00,15.00)))))))</f>
        <v/>
      </c>
      <c r="M6239">
        <f>LET(
    seasoning_years,DATEDIF('Loan Tape (S&amp;P)'!K6239,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39">
        <f>IF(AND('Loan Tape (S&amp;P)'!U6239="Yes",
        'Loan Tape (S&amp;P)'!T6239&lt;&gt;"Yes",
        DATEDIF('Loan Tape (S&amp;P)'!K6239, TODAY(), "M")&lt;18),
    1.10,
    1.00)</f>
        <v/>
      </c>
      <c r="O6239">
        <f>IF('Loan Tape (S&amp;P)'!T6239="Yes",
    1.35,
    1.00)</f>
        <v/>
      </c>
      <c r="P6239">
        <f>IF('Loan Tape (S&amp;P)'!S6239="Yes",
    1.15,
    1.00)</f>
        <v/>
      </c>
      <c r="Q6239">
        <f>IF('Loan Tape (S&amp;P)'!V6239="Yes",
    1.20,
    1.00)</f>
        <v/>
      </c>
      <c r="T6239">
        <f>LET(
    payment_method,'Loan Tape (S&amp;P)'!P6239,
    occupancy,'Loan Tape (S&amp;P)'!N6239,
    maturity_date,'Loan Tape (S&amp;P)'!L6239,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40">
      <c r="J6240">
        <f>LET(
    lien,'Loan Tape (S&amp;P)'!Q6240,
    IF(lien="First",1.00,
        IF(lien="Second",1.50,
            1.70)))</f>
        <v/>
      </c>
      <c r="K6240">
        <f>LET(
    purpose,'Loan Tape (S&amp;P)'!R6240,
    IF(purpose="Purchase",1.00,
        IF(purpose="Remortgage",1.00,
            1.20)))</f>
        <v/>
      </c>
      <c r="L6240">
        <f>LET(
    arrears_months,'Loan Tape (S&amp;P)'!AN6240,
    IF(arrears_months=0,1.00,
    IF(arrears_months=1,3.00,
    IF(arrears_months=2,5.00,
    IF(arrears_months=3,8.00,
    IF(arrears_months=4,10.00,
    IF(arrears_months=5,12.00,15.00)))))))</f>
        <v/>
      </c>
      <c r="M6240">
        <f>LET(
    seasoning_years,DATEDIF('Loan Tape (S&amp;P)'!K6240,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40">
        <f>IF(AND('Loan Tape (S&amp;P)'!U6240="Yes",
        'Loan Tape (S&amp;P)'!T6240&lt;&gt;"Yes",
        DATEDIF('Loan Tape (S&amp;P)'!K6240, TODAY(), "M")&lt;18),
    1.10,
    1.00)</f>
        <v/>
      </c>
      <c r="O6240">
        <f>IF('Loan Tape (S&amp;P)'!T6240="Yes",
    1.35,
    1.00)</f>
        <v/>
      </c>
      <c r="P6240">
        <f>IF('Loan Tape (S&amp;P)'!S6240="Yes",
    1.15,
    1.00)</f>
        <v/>
      </c>
      <c r="Q6240">
        <f>IF('Loan Tape (S&amp;P)'!V6240="Yes",
    1.20,
    1.00)</f>
        <v/>
      </c>
      <c r="T6240">
        <f>LET(
    payment_method,'Loan Tape (S&amp;P)'!P6240,
    occupancy,'Loan Tape (S&amp;P)'!N6240,
    maturity_date,'Loan Tape (S&amp;P)'!L6240,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41">
      <c r="J6241">
        <f>LET(
    lien,'Loan Tape (S&amp;P)'!Q6241,
    IF(lien="First",1.00,
        IF(lien="Second",1.50,
            1.70)))</f>
        <v/>
      </c>
      <c r="K6241">
        <f>LET(
    purpose,'Loan Tape (S&amp;P)'!R6241,
    IF(purpose="Purchase",1.00,
        IF(purpose="Remortgage",1.00,
            1.20)))</f>
        <v/>
      </c>
      <c r="L6241">
        <f>LET(
    arrears_months,'Loan Tape (S&amp;P)'!AN6241,
    IF(arrears_months=0,1.00,
    IF(arrears_months=1,3.00,
    IF(arrears_months=2,5.00,
    IF(arrears_months=3,8.00,
    IF(arrears_months=4,10.00,
    IF(arrears_months=5,12.00,15.00)))))))</f>
        <v/>
      </c>
      <c r="M6241">
        <f>LET(
    seasoning_years,DATEDIF('Loan Tape (S&amp;P)'!K6241,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41">
        <f>IF(AND('Loan Tape (S&amp;P)'!U6241="Yes",
        'Loan Tape (S&amp;P)'!T6241&lt;&gt;"Yes",
        DATEDIF('Loan Tape (S&amp;P)'!K6241, TODAY(), "M")&lt;18),
    1.10,
    1.00)</f>
        <v/>
      </c>
      <c r="O6241">
        <f>IF('Loan Tape (S&amp;P)'!T6241="Yes",
    1.35,
    1.00)</f>
        <v/>
      </c>
      <c r="P6241">
        <f>IF('Loan Tape (S&amp;P)'!S6241="Yes",
    1.15,
    1.00)</f>
        <v/>
      </c>
      <c r="Q6241">
        <f>IF('Loan Tape (S&amp;P)'!V6241="Yes",
    1.20,
    1.00)</f>
        <v/>
      </c>
      <c r="T6241">
        <f>LET(
    payment_method,'Loan Tape (S&amp;P)'!P6241,
    occupancy,'Loan Tape (S&amp;P)'!N6241,
    maturity_date,'Loan Tape (S&amp;P)'!L6241,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42">
      <c r="J6242">
        <f>LET(
    lien,'Loan Tape (S&amp;P)'!Q6242,
    IF(lien="First",1.00,
        IF(lien="Second",1.50,
            1.70)))</f>
        <v/>
      </c>
      <c r="K6242">
        <f>LET(
    purpose,'Loan Tape (S&amp;P)'!R6242,
    IF(purpose="Purchase",1.00,
        IF(purpose="Remortgage",1.00,
            1.20)))</f>
        <v/>
      </c>
      <c r="L6242">
        <f>LET(
    arrears_months,'Loan Tape (S&amp;P)'!AN6242,
    IF(arrears_months=0,1.00,
    IF(arrears_months=1,3.00,
    IF(arrears_months=2,5.00,
    IF(arrears_months=3,8.00,
    IF(arrears_months=4,10.00,
    IF(arrears_months=5,12.00,15.00)))))))</f>
        <v/>
      </c>
      <c r="M6242">
        <f>LET(
    seasoning_years,DATEDIF('Loan Tape (S&amp;P)'!K6242,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42">
        <f>IF(AND('Loan Tape (S&amp;P)'!U6242="Yes",
        'Loan Tape (S&amp;P)'!T6242&lt;&gt;"Yes",
        DATEDIF('Loan Tape (S&amp;P)'!K6242, TODAY(), "M")&lt;18),
    1.10,
    1.00)</f>
        <v/>
      </c>
      <c r="O6242">
        <f>IF('Loan Tape (S&amp;P)'!T6242="Yes",
    1.35,
    1.00)</f>
        <v/>
      </c>
      <c r="P6242">
        <f>IF('Loan Tape (S&amp;P)'!S6242="Yes",
    1.15,
    1.00)</f>
        <v/>
      </c>
      <c r="Q6242">
        <f>IF('Loan Tape (S&amp;P)'!V6242="Yes",
    1.20,
    1.00)</f>
        <v/>
      </c>
      <c r="T6242">
        <f>LET(
    payment_method,'Loan Tape (S&amp;P)'!P6242,
    occupancy,'Loan Tape (S&amp;P)'!N6242,
    maturity_date,'Loan Tape (S&amp;P)'!L6242,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43">
      <c r="J6243">
        <f>LET(
    lien,'Loan Tape (S&amp;P)'!Q6243,
    IF(lien="First",1.00,
        IF(lien="Second",1.50,
            1.70)))</f>
        <v/>
      </c>
      <c r="K6243">
        <f>LET(
    purpose,'Loan Tape (S&amp;P)'!R6243,
    IF(purpose="Purchase",1.00,
        IF(purpose="Remortgage",1.00,
            1.20)))</f>
        <v/>
      </c>
      <c r="L6243">
        <f>LET(
    arrears_months,'Loan Tape (S&amp;P)'!AN6243,
    IF(arrears_months=0,1.00,
    IF(arrears_months=1,3.00,
    IF(arrears_months=2,5.00,
    IF(arrears_months=3,8.00,
    IF(arrears_months=4,10.00,
    IF(arrears_months=5,12.00,15.00)))))))</f>
        <v/>
      </c>
      <c r="M6243">
        <f>LET(
    seasoning_years,DATEDIF('Loan Tape (S&amp;P)'!K6243,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43">
        <f>IF(AND('Loan Tape (S&amp;P)'!U6243="Yes",
        'Loan Tape (S&amp;P)'!T6243&lt;&gt;"Yes",
        DATEDIF('Loan Tape (S&amp;P)'!K6243, TODAY(), "M")&lt;18),
    1.10,
    1.00)</f>
        <v/>
      </c>
      <c r="O6243">
        <f>IF('Loan Tape (S&amp;P)'!T6243="Yes",
    1.35,
    1.00)</f>
        <v/>
      </c>
      <c r="P6243">
        <f>IF('Loan Tape (S&amp;P)'!S6243="Yes",
    1.15,
    1.00)</f>
        <v/>
      </c>
      <c r="Q6243">
        <f>IF('Loan Tape (S&amp;P)'!V6243="Yes",
    1.20,
    1.00)</f>
        <v/>
      </c>
      <c r="T6243">
        <f>LET(
    payment_method,'Loan Tape (S&amp;P)'!P6243,
    occupancy,'Loan Tape (S&amp;P)'!N6243,
    maturity_date,'Loan Tape (S&amp;P)'!L6243,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44">
      <c r="J6244">
        <f>LET(
    lien,'Loan Tape (S&amp;P)'!Q6244,
    IF(lien="First",1.00,
        IF(lien="Second",1.50,
            1.70)))</f>
        <v/>
      </c>
      <c r="K6244">
        <f>LET(
    purpose,'Loan Tape (S&amp;P)'!R6244,
    IF(purpose="Purchase",1.00,
        IF(purpose="Remortgage",1.00,
            1.20)))</f>
        <v/>
      </c>
      <c r="L6244">
        <f>LET(
    arrears_months,'Loan Tape (S&amp;P)'!AN6244,
    IF(arrears_months=0,1.00,
    IF(arrears_months=1,3.00,
    IF(arrears_months=2,5.00,
    IF(arrears_months=3,8.00,
    IF(arrears_months=4,10.00,
    IF(arrears_months=5,12.00,15.00)))))))</f>
        <v/>
      </c>
      <c r="M6244">
        <f>LET(
    seasoning_years,DATEDIF('Loan Tape (S&amp;P)'!K6244,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44">
        <f>IF(AND('Loan Tape (S&amp;P)'!U6244="Yes",
        'Loan Tape (S&amp;P)'!T6244&lt;&gt;"Yes",
        DATEDIF('Loan Tape (S&amp;P)'!K6244, TODAY(), "M")&lt;18),
    1.10,
    1.00)</f>
        <v/>
      </c>
      <c r="O6244">
        <f>IF('Loan Tape (S&amp;P)'!T6244="Yes",
    1.35,
    1.00)</f>
        <v/>
      </c>
      <c r="P6244">
        <f>IF('Loan Tape (S&amp;P)'!S6244="Yes",
    1.15,
    1.00)</f>
        <v/>
      </c>
      <c r="Q6244">
        <f>IF('Loan Tape (S&amp;P)'!V6244="Yes",
    1.20,
    1.00)</f>
        <v/>
      </c>
      <c r="T6244">
        <f>LET(
    payment_method,'Loan Tape (S&amp;P)'!P6244,
    occupancy,'Loan Tape (S&amp;P)'!N6244,
    maturity_date,'Loan Tape (S&amp;P)'!L6244,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45">
      <c r="J6245">
        <f>LET(
    lien,'Loan Tape (S&amp;P)'!Q6245,
    IF(lien="First",1.00,
        IF(lien="Second",1.50,
            1.70)))</f>
        <v/>
      </c>
      <c r="K6245">
        <f>LET(
    purpose,'Loan Tape (S&amp;P)'!R6245,
    IF(purpose="Purchase",1.00,
        IF(purpose="Remortgage",1.00,
            1.20)))</f>
        <v/>
      </c>
      <c r="L6245">
        <f>LET(
    arrears_months,'Loan Tape (S&amp;P)'!AN6245,
    IF(arrears_months=0,1.00,
    IF(arrears_months=1,3.00,
    IF(arrears_months=2,5.00,
    IF(arrears_months=3,8.00,
    IF(arrears_months=4,10.00,
    IF(arrears_months=5,12.00,15.00)))))))</f>
        <v/>
      </c>
      <c r="M6245">
        <f>LET(
    seasoning_years,DATEDIF('Loan Tape (S&amp;P)'!K6245,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45">
        <f>IF(AND('Loan Tape (S&amp;P)'!U6245="Yes",
        'Loan Tape (S&amp;P)'!T6245&lt;&gt;"Yes",
        DATEDIF('Loan Tape (S&amp;P)'!K6245, TODAY(), "M")&lt;18),
    1.10,
    1.00)</f>
        <v/>
      </c>
      <c r="O6245">
        <f>IF('Loan Tape (S&amp;P)'!T6245="Yes",
    1.35,
    1.00)</f>
        <v/>
      </c>
      <c r="P6245">
        <f>IF('Loan Tape (S&amp;P)'!S6245="Yes",
    1.15,
    1.00)</f>
        <v/>
      </c>
      <c r="Q6245">
        <f>IF('Loan Tape (S&amp;P)'!V6245="Yes",
    1.20,
    1.00)</f>
        <v/>
      </c>
      <c r="T6245">
        <f>LET(
    payment_method,'Loan Tape (S&amp;P)'!P6245,
    occupancy,'Loan Tape (S&amp;P)'!N6245,
    maturity_date,'Loan Tape (S&amp;P)'!L6245,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46">
      <c r="J6246">
        <f>LET(
    lien,'Loan Tape (S&amp;P)'!Q6246,
    IF(lien="First",1.00,
        IF(lien="Second",1.50,
            1.70)))</f>
        <v/>
      </c>
      <c r="K6246">
        <f>LET(
    purpose,'Loan Tape (S&amp;P)'!R6246,
    IF(purpose="Purchase",1.00,
        IF(purpose="Remortgage",1.00,
            1.20)))</f>
        <v/>
      </c>
      <c r="L6246">
        <f>LET(
    arrears_months,'Loan Tape (S&amp;P)'!AN6246,
    IF(arrears_months=0,1.00,
    IF(arrears_months=1,3.00,
    IF(arrears_months=2,5.00,
    IF(arrears_months=3,8.00,
    IF(arrears_months=4,10.00,
    IF(arrears_months=5,12.00,15.00)))))))</f>
        <v/>
      </c>
      <c r="M6246">
        <f>LET(
    seasoning_years,DATEDIF('Loan Tape (S&amp;P)'!K6246,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46">
        <f>IF(AND('Loan Tape (S&amp;P)'!U6246="Yes",
        'Loan Tape (S&amp;P)'!T6246&lt;&gt;"Yes",
        DATEDIF('Loan Tape (S&amp;P)'!K6246, TODAY(), "M")&lt;18),
    1.10,
    1.00)</f>
        <v/>
      </c>
      <c r="O6246">
        <f>IF('Loan Tape (S&amp;P)'!T6246="Yes",
    1.35,
    1.00)</f>
        <v/>
      </c>
      <c r="P6246">
        <f>IF('Loan Tape (S&amp;P)'!S6246="Yes",
    1.15,
    1.00)</f>
        <v/>
      </c>
      <c r="Q6246">
        <f>IF('Loan Tape (S&amp;P)'!V6246="Yes",
    1.20,
    1.00)</f>
        <v/>
      </c>
      <c r="T6246">
        <f>LET(
    payment_method,'Loan Tape (S&amp;P)'!P6246,
    occupancy,'Loan Tape (S&amp;P)'!N6246,
    maturity_date,'Loan Tape (S&amp;P)'!L6246,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47">
      <c r="J6247">
        <f>LET(
    lien,'Loan Tape (S&amp;P)'!Q6247,
    IF(lien="First",1.00,
        IF(lien="Second",1.50,
            1.70)))</f>
        <v/>
      </c>
      <c r="K6247">
        <f>LET(
    purpose,'Loan Tape (S&amp;P)'!R6247,
    IF(purpose="Purchase",1.00,
        IF(purpose="Remortgage",1.00,
            1.20)))</f>
        <v/>
      </c>
      <c r="L6247">
        <f>LET(
    arrears_months,'Loan Tape (S&amp;P)'!AN6247,
    IF(arrears_months=0,1.00,
    IF(arrears_months=1,3.00,
    IF(arrears_months=2,5.00,
    IF(arrears_months=3,8.00,
    IF(arrears_months=4,10.00,
    IF(arrears_months=5,12.00,15.00)))))))</f>
        <v/>
      </c>
      <c r="M6247">
        <f>LET(
    seasoning_years,DATEDIF('Loan Tape (S&amp;P)'!K6247,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47">
        <f>IF(AND('Loan Tape (S&amp;P)'!U6247="Yes",
        'Loan Tape (S&amp;P)'!T6247&lt;&gt;"Yes",
        DATEDIF('Loan Tape (S&amp;P)'!K6247, TODAY(), "M")&lt;18),
    1.10,
    1.00)</f>
        <v/>
      </c>
      <c r="O6247">
        <f>IF('Loan Tape (S&amp;P)'!T6247="Yes",
    1.35,
    1.00)</f>
        <v/>
      </c>
      <c r="P6247">
        <f>IF('Loan Tape (S&amp;P)'!S6247="Yes",
    1.15,
    1.00)</f>
        <v/>
      </c>
      <c r="Q6247">
        <f>IF('Loan Tape (S&amp;P)'!V6247="Yes",
    1.20,
    1.00)</f>
        <v/>
      </c>
      <c r="T6247">
        <f>LET(
    payment_method,'Loan Tape (S&amp;P)'!P6247,
    occupancy,'Loan Tape (S&amp;P)'!N6247,
    maturity_date,'Loan Tape (S&amp;P)'!L6247,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48">
      <c r="J6248">
        <f>LET(
    lien,'Loan Tape (S&amp;P)'!Q6248,
    IF(lien="First",1.00,
        IF(lien="Second",1.50,
            1.70)))</f>
        <v/>
      </c>
      <c r="K6248">
        <f>LET(
    purpose,'Loan Tape (S&amp;P)'!R6248,
    IF(purpose="Purchase",1.00,
        IF(purpose="Remortgage",1.00,
            1.20)))</f>
        <v/>
      </c>
      <c r="L6248">
        <f>LET(
    arrears_months,'Loan Tape (S&amp;P)'!AN6248,
    IF(arrears_months=0,1.00,
    IF(arrears_months=1,3.00,
    IF(arrears_months=2,5.00,
    IF(arrears_months=3,8.00,
    IF(arrears_months=4,10.00,
    IF(arrears_months=5,12.00,15.00)))))))</f>
        <v/>
      </c>
      <c r="M6248">
        <f>LET(
    seasoning_years,DATEDIF('Loan Tape (S&amp;P)'!K6248,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48">
        <f>IF(AND('Loan Tape (S&amp;P)'!U6248="Yes",
        'Loan Tape (S&amp;P)'!T6248&lt;&gt;"Yes",
        DATEDIF('Loan Tape (S&amp;P)'!K6248, TODAY(), "M")&lt;18),
    1.10,
    1.00)</f>
        <v/>
      </c>
      <c r="O6248">
        <f>IF('Loan Tape (S&amp;P)'!T6248="Yes",
    1.35,
    1.00)</f>
        <v/>
      </c>
      <c r="P6248">
        <f>IF('Loan Tape (S&amp;P)'!S6248="Yes",
    1.15,
    1.00)</f>
        <v/>
      </c>
      <c r="Q6248">
        <f>IF('Loan Tape (S&amp;P)'!V6248="Yes",
    1.20,
    1.00)</f>
        <v/>
      </c>
      <c r="T6248">
        <f>LET(
    payment_method,'Loan Tape (S&amp;P)'!P6248,
    occupancy,'Loan Tape (S&amp;P)'!N6248,
    maturity_date,'Loan Tape (S&amp;P)'!L6248,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49">
      <c r="J6249">
        <f>LET(
    lien,'Loan Tape (S&amp;P)'!Q6249,
    IF(lien="First",1.00,
        IF(lien="Second",1.50,
            1.70)))</f>
        <v/>
      </c>
      <c r="K6249">
        <f>LET(
    purpose,'Loan Tape (S&amp;P)'!R6249,
    IF(purpose="Purchase",1.00,
        IF(purpose="Remortgage",1.00,
            1.20)))</f>
        <v/>
      </c>
      <c r="L6249">
        <f>LET(
    arrears_months,'Loan Tape (S&amp;P)'!AN6249,
    IF(arrears_months=0,1.00,
    IF(arrears_months=1,3.00,
    IF(arrears_months=2,5.00,
    IF(arrears_months=3,8.00,
    IF(arrears_months=4,10.00,
    IF(arrears_months=5,12.00,15.00)))))))</f>
        <v/>
      </c>
      <c r="M6249">
        <f>LET(
    seasoning_years,DATEDIF('Loan Tape (S&amp;P)'!K6249,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49">
        <f>IF(AND('Loan Tape (S&amp;P)'!U6249="Yes",
        'Loan Tape (S&amp;P)'!T6249&lt;&gt;"Yes",
        DATEDIF('Loan Tape (S&amp;P)'!K6249, TODAY(), "M")&lt;18),
    1.10,
    1.00)</f>
        <v/>
      </c>
      <c r="O6249">
        <f>IF('Loan Tape (S&amp;P)'!T6249="Yes",
    1.35,
    1.00)</f>
        <v/>
      </c>
      <c r="P6249">
        <f>IF('Loan Tape (S&amp;P)'!S6249="Yes",
    1.15,
    1.00)</f>
        <v/>
      </c>
      <c r="Q6249">
        <f>IF('Loan Tape (S&amp;P)'!V6249="Yes",
    1.20,
    1.00)</f>
        <v/>
      </c>
      <c r="T6249">
        <f>LET(
    payment_method,'Loan Tape (S&amp;P)'!P6249,
    occupancy,'Loan Tape (S&amp;P)'!N6249,
    maturity_date,'Loan Tape (S&amp;P)'!L6249,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50">
      <c r="J6250">
        <f>LET(
    lien,'Loan Tape (S&amp;P)'!Q6250,
    IF(lien="First",1.00,
        IF(lien="Second",1.50,
            1.70)))</f>
        <v/>
      </c>
      <c r="K6250">
        <f>LET(
    purpose,'Loan Tape (S&amp;P)'!R6250,
    IF(purpose="Purchase",1.00,
        IF(purpose="Remortgage",1.00,
            1.20)))</f>
        <v/>
      </c>
      <c r="L6250">
        <f>LET(
    arrears_months,'Loan Tape (S&amp;P)'!AN6250,
    IF(arrears_months=0,1.00,
    IF(arrears_months=1,3.00,
    IF(arrears_months=2,5.00,
    IF(arrears_months=3,8.00,
    IF(arrears_months=4,10.00,
    IF(arrears_months=5,12.00,15.00)))))))</f>
        <v/>
      </c>
      <c r="M6250">
        <f>LET(
    seasoning_years,DATEDIF('Loan Tape (S&amp;P)'!K6250,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50">
        <f>IF(AND('Loan Tape (S&amp;P)'!U6250="Yes",
        'Loan Tape (S&amp;P)'!T6250&lt;&gt;"Yes",
        DATEDIF('Loan Tape (S&amp;P)'!K6250, TODAY(), "M")&lt;18),
    1.10,
    1.00)</f>
        <v/>
      </c>
      <c r="O6250">
        <f>IF('Loan Tape (S&amp;P)'!T6250="Yes",
    1.35,
    1.00)</f>
        <v/>
      </c>
      <c r="P6250">
        <f>IF('Loan Tape (S&amp;P)'!S6250="Yes",
    1.15,
    1.00)</f>
        <v/>
      </c>
      <c r="Q6250">
        <f>IF('Loan Tape (S&amp;P)'!V6250="Yes",
    1.20,
    1.00)</f>
        <v/>
      </c>
      <c r="T6250">
        <f>LET(
    payment_method,'Loan Tape (S&amp;P)'!P6250,
    occupancy,'Loan Tape (S&amp;P)'!N6250,
    maturity_date,'Loan Tape (S&amp;P)'!L6250,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51">
      <c r="J6251">
        <f>LET(
    lien,'Loan Tape (S&amp;P)'!Q6251,
    IF(lien="First",1.00,
        IF(lien="Second",1.50,
            1.70)))</f>
        <v/>
      </c>
      <c r="K6251">
        <f>LET(
    purpose,'Loan Tape (S&amp;P)'!R6251,
    IF(purpose="Purchase",1.00,
        IF(purpose="Remortgage",1.00,
            1.20)))</f>
        <v/>
      </c>
      <c r="L6251">
        <f>LET(
    arrears_months,'Loan Tape (S&amp;P)'!AN6251,
    IF(arrears_months=0,1.00,
    IF(arrears_months=1,3.00,
    IF(arrears_months=2,5.00,
    IF(arrears_months=3,8.00,
    IF(arrears_months=4,10.00,
    IF(arrears_months=5,12.00,15.00)))))))</f>
        <v/>
      </c>
      <c r="M6251">
        <f>LET(
    seasoning_years,DATEDIF('Loan Tape (S&amp;P)'!K6251,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51">
        <f>IF(AND('Loan Tape (S&amp;P)'!U6251="Yes",
        'Loan Tape (S&amp;P)'!T6251&lt;&gt;"Yes",
        DATEDIF('Loan Tape (S&amp;P)'!K6251, TODAY(), "M")&lt;18),
    1.10,
    1.00)</f>
        <v/>
      </c>
      <c r="O6251">
        <f>IF('Loan Tape (S&amp;P)'!T6251="Yes",
    1.35,
    1.00)</f>
        <v/>
      </c>
      <c r="P6251">
        <f>IF('Loan Tape (S&amp;P)'!S6251="Yes",
    1.15,
    1.00)</f>
        <v/>
      </c>
      <c r="Q6251">
        <f>IF('Loan Tape (S&amp;P)'!V6251="Yes",
    1.20,
    1.00)</f>
        <v/>
      </c>
      <c r="T6251">
        <f>LET(
    payment_method,'Loan Tape (S&amp;P)'!P6251,
    occupancy,'Loan Tape (S&amp;P)'!N6251,
    maturity_date,'Loan Tape (S&amp;P)'!L6251,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52">
      <c r="J6252">
        <f>LET(
    lien,'Loan Tape (S&amp;P)'!Q6252,
    IF(lien="First",1.00,
        IF(lien="Second",1.50,
            1.70)))</f>
        <v/>
      </c>
      <c r="K6252">
        <f>LET(
    purpose,'Loan Tape (S&amp;P)'!R6252,
    IF(purpose="Purchase",1.00,
        IF(purpose="Remortgage",1.00,
            1.20)))</f>
        <v/>
      </c>
      <c r="L6252">
        <f>LET(
    arrears_months,'Loan Tape (S&amp;P)'!AN6252,
    IF(arrears_months=0,1.00,
    IF(arrears_months=1,3.00,
    IF(arrears_months=2,5.00,
    IF(arrears_months=3,8.00,
    IF(arrears_months=4,10.00,
    IF(arrears_months=5,12.00,15.00)))))))</f>
        <v/>
      </c>
      <c r="M6252">
        <f>LET(
    seasoning_years,DATEDIF('Loan Tape (S&amp;P)'!K6252,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52">
        <f>IF(AND('Loan Tape (S&amp;P)'!U6252="Yes",
        'Loan Tape (S&amp;P)'!T6252&lt;&gt;"Yes",
        DATEDIF('Loan Tape (S&amp;P)'!K6252, TODAY(), "M")&lt;18),
    1.10,
    1.00)</f>
        <v/>
      </c>
      <c r="O6252">
        <f>IF('Loan Tape (S&amp;P)'!T6252="Yes",
    1.35,
    1.00)</f>
        <v/>
      </c>
      <c r="P6252">
        <f>IF('Loan Tape (S&amp;P)'!S6252="Yes",
    1.15,
    1.00)</f>
        <v/>
      </c>
      <c r="Q6252">
        <f>IF('Loan Tape (S&amp;P)'!V6252="Yes",
    1.20,
    1.00)</f>
        <v/>
      </c>
      <c r="T6252">
        <f>LET(
    payment_method,'Loan Tape (S&amp;P)'!P6252,
    occupancy,'Loan Tape (S&amp;P)'!N6252,
    maturity_date,'Loan Tape (S&amp;P)'!L6252,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53">
      <c r="J6253">
        <f>LET(
    lien,'Loan Tape (S&amp;P)'!Q6253,
    IF(lien="First",1.00,
        IF(lien="Second",1.50,
            1.70)))</f>
        <v/>
      </c>
      <c r="K6253">
        <f>LET(
    purpose,'Loan Tape (S&amp;P)'!R6253,
    IF(purpose="Purchase",1.00,
        IF(purpose="Remortgage",1.00,
            1.20)))</f>
        <v/>
      </c>
      <c r="L6253">
        <f>LET(
    arrears_months,'Loan Tape (S&amp;P)'!AN6253,
    IF(arrears_months=0,1.00,
    IF(arrears_months=1,3.00,
    IF(arrears_months=2,5.00,
    IF(arrears_months=3,8.00,
    IF(arrears_months=4,10.00,
    IF(arrears_months=5,12.00,15.00)))))))</f>
        <v/>
      </c>
      <c r="M6253">
        <f>LET(
    seasoning_years,DATEDIF('Loan Tape (S&amp;P)'!K6253,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53">
        <f>IF(AND('Loan Tape (S&amp;P)'!U6253="Yes",
        'Loan Tape (S&amp;P)'!T6253&lt;&gt;"Yes",
        DATEDIF('Loan Tape (S&amp;P)'!K6253, TODAY(), "M")&lt;18),
    1.10,
    1.00)</f>
        <v/>
      </c>
      <c r="O6253">
        <f>IF('Loan Tape (S&amp;P)'!T6253="Yes",
    1.35,
    1.00)</f>
        <v/>
      </c>
      <c r="P6253">
        <f>IF('Loan Tape (S&amp;P)'!S6253="Yes",
    1.15,
    1.00)</f>
        <v/>
      </c>
      <c r="Q6253">
        <f>IF('Loan Tape (S&amp;P)'!V6253="Yes",
    1.20,
    1.00)</f>
        <v/>
      </c>
      <c r="T6253">
        <f>LET(
    payment_method,'Loan Tape (S&amp;P)'!P6253,
    occupancy,'Loan Tape (S&amp;P)'!N6253,
    maturity_date,'Loan Tape (S&amp;P)'!L6253,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54">
      <c r="J6254">
        <f>LET(
    lien,'Loan Tape (S&amp;P)'!Q6254,
    IF(lien="First",1.00,
        IF(lien="Second",1.50,
            1.70)))</f>
        <v/>
      </c>
      <c r="K6254">
        <f>LET(
    purpose,'Loan Tape (S&amp;P)'!R6254,
    IF(purpose="Purchase",1.00,
        IF(purpose="Remortgage",1.00,
            1.20)))</f>
        <v/>
      </c>
      <c r="L6254">
        <f>LET(
    arrears_months,'Loan Tape (S&amp;P)'!AN6254,
    IF(arrears_months=0,1.00,
    IF(arrears_months=1,3.00,
    IF(arrears_months=2,5.00,
    IF(arrears_months=3,8.00,
    IF(arrears_months=4,10.00,
    IF(arrears_months=5,12.00,15.00)))))))</f>
        <v/>
      </c>
      <c r="M6254">
        <f>LET(
    seasoning_years,DATEDIF('Loan Tape (S&amp;P)'!K6254,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54">
        <f>IF(AND('Loan Tape (S&amp;P)'!U6254="Yes",
        'Loan Tape (S&amp;P)'!T6254&lt;&gt;"Yes",
        DATEDIF('Loan Tape (S&amp;P)'!K6254, TODAY(), "M")&lt;18),
    1.10,
    1.00)</f>
        <v/>
      </c>
      <c r="O6254">
        <f>IF('Loan Tape (S&amp;P)'!T6254="Yes",
    1.35,
    1.00)</f>
        <v/>
      </c>
      <c r="P6254">
        <f>IF('Loan Tape (S&amp;P)'!S6254="Yes",
    1.15,
    1.00)</f>
        <v/>
      </c>
      <c r="Q6254">
        <f>IF('Loan Tape (S&amp;P)'!V6254="Yes",
    1.20,
    1.00)</f>
        <v/>
      </c>
      <c r="T6254">
        <f>LET(
    payment_method,'Loan Tape (S&amp;P)'!P6254,
    occupancy,'Loan Tape (S&amp;P)'!N6254,
    maturity_date,'Loan Tape (S&amp;P)'!L6254,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55">
      <c r="J6255">
        <f>LET(
    lien,'Loan Tape (S&amp;P)'!Q6255,
    IF(lien="First",1.00,
        IF(lien="Second",1.50,
            1.70)))</f>
        <v/>
      </c>
      <c r="K6255">
        <f>LET(
    purpose,'Loan Tape (S&amp;P)'!R6255,
    IF(purpose="Purchase",1.00,
        IF(purpose="Remortgage",1.00,
            1.20)))</f>
        <v/>
      </c>
      <c r="L6255">
        <f>LET(
    arrears_months,'Loan Tape (S&amp;P)'!AN6255,
    IF(arrears_months=0,1.00,
    IF(arrears_months=1,3.00,
    IF(arrears_months=2,5.00,
    IF(arrears_months=3,8.00,
    IF(arrears_months=4,10.00,
    IF(arrears_months=5,12.00,15.00)))))))</f>
        <v/>
      </c>
      <c r="M6255">
        <f>LET(
    seasoning_years,DATEDIF('Loan Tape (S&amp;P)'!K6255,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55">
        <f>IF(AND('Loan Tape (S&amp;P)'!U6255="Yes",
        'Loan Tape (S&amp;P)'!T6255&lt;&gt;"Yes",
        DATEDIF('Loan Tape (S&amp;P)'!K6255, TODAY(), "M")&lt;18),
    1.10,
    1.00)</f>
        <v/>
      </c>
      <c r="O6255">
        <f>IF('Loan Tape (S&amp;P)'!T6255="Yes",
    1.35,
    1.00)</f>
        <v/>
      </c>
      <c r="P6255">
        <f>IF('Loan Tape (S&amp;P)'!S6255="Yes",
    1.15,
    1.00)</f>
        <v/>
      </c>
      <c r="Q6255">
        <f>IF('Loan Tape (S&amp;P)'!V6255="Yes",
    1.20,
    1.00)</f>
        <v/>
      </c>
      <c r="T6255">
        <f>LET(
    payment_method,'Loan Tape (S&amp;P)'!P6255,
    occupancy,'Loan Tape (S&amp;P)'!N6255,
    maturity_date,'Loan Tape (S&amp;P)'!L6255,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56">
      <c r="J6256">
        <f>LET(
    lien,'Loan Tape (S&amp;P)'!Q6256,
    IF(lien="First",1.00,
        IF(lien="Second",1.50,
            1.70)))</f>
        <v/>
      </c>
      <c r="K6256">
        <f>LET(
    purpose,'Loan Tape (S&amp;P)'!R6256,
    IF(purpose="Purchase",1.00,
        IF(purpose="Remortgage",1.00,
            1.20)))</f>
        <v/>
      </c>
      <c r="L6256">
        <f>LET(
    arrears_months,'Loan Tape (S&amp;P)'!AN6256,
    IF(arrears_months=0,1.00,
    IF(arrears_months=1,3.00,
    IF(arrears_months=2,5.00,
    IF(arrears_months=3,8.00,
    IF(arrears_months=4,10.00,
    IF(arrears_months=5,12.00,15.00)))))))</f>
        <v/>
      </c>
      <c r="M6256">
        <f>LET(
    seasoning_years,DATEDIF('Loan Tape (S&amp;P)'!K6256,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56">
        <f>IF(AND('Loan Tape (S&amp;P)'!U6256="Yes",
        'Loan Tape (S&amp;P)'!T6256&lt;&gt;"Yes",
        DATEDIF('Loan Tape (S&amp;P)'!K6256, TODAY(), "M")&lt;18),
    1.10,
    1.00)</f>
        <v/>
      </c>
      <c r="O6256">
        <f>IF('Loan Tape (S&amp;P)'!T6256="Yes",
    1.35,
    1.00)</f>
        <v/>
      </c>
      <c r="P6256">
        <f>IF('Loan Tape (S&amp;P)'!S6256="Yes",
    1.15,
    1.00)</f>
        <v/>
      </c>
      <c r="Q6256">
        <f>IF('Loan Tape (S&amp;P)'!V6256="Yes",
    1.20,
    1.00)</f>
        <v/>
      </c>
      <c r="T6256">
        <f>LET(
    payment_method,'Loan Tape (S&amp;P)'!P6256,
    occupancy,'Loan Tape (S&amp;P)'!N6256,
    maturity_date,'Loan Tape (S&amp;P)'!L6256,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57">
      <c r="J6257">
        <f>LET(
    lien,'Loan Tape (S&amp;P)'!Q6257,
    IF(lien="First",1.00,
        IF(lien="Second",1.50,
            1.70)))</f>
        <v/>
      </c>
      <c r="K6257">
        <f>LET(
    purpose,'Loan Tape (S&amp;P)'!R6257,
    IF(purpose="Purchase",1.00,
        IF(purpose="Remortgage",1.00,
            1.20)))</f>
        <v/>
      </c>
      <c r="L6257">
        <f>LET(
    arrears_months,'Loan Tape (S&amp;P)'!AN6257,
    IF(arrears_months=0,1.00,
    IF(arrears_months=1,3.00,
    IF(arrears_months=2,5.00,
    IF(arrears_months=3,8.00,
    IF(arrears_months=4,10.00,
    IF(arrears_months=5,12.00,15.00)))))))</f>
        <v/>
      </c>
      <c r="M6257">
        <f>LET(
    seasoning_years,DATEDIF('Loan Tape (S&amp;P)'!K6257,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57">
        <f>IF(AND('Loan Tape (S&amp;P)'!U6257="Yes",
        'Loan Tape (S&amp;P)'!T6257&lt;&gt;"Yes",
        DATEDIF('Loan Tape (S&amp;P)'!K6257, TODAY(), "M")&lt;18),
    1.10,
    1.00)</f>
        <v/>
      </c>
      <c r="O6257">
        <f>IF('Loan Tape (S&amp;P)'!T6257="Yes",
    1.35,
    1.00)</f>
        <v/>
      </c>
      <c r="P6257">
        <f>IF('Loan Tape (S&amp;P)'!S6257="Yes",
    1.15,
    1.00)</f>
        <v/>
      </c>
      <c r="Q6257">
        <f>IF('Loan Tape (S&amp;P)'!V6257="Yes",
    1.20,
    1.00)</f>
        <v/>
      </c>
      <c r="T6257">
        <f>LET(
    payment_method,'Loan Tape (S&amp;P)'!P6257,
    occupancy,'Loan Tape (S&amp;P)'!N6257,
    maturity_date,'Loan Tape (S&amp;P)'!L6257,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58">
      <c r="J6258">
        <f>LET(
    lien,'Loan Tape (S&amp;P)'!Q6258,
    IF(lien="First",1.00,
        IF(lien="Second",1.50,
            1.70)))</f>
        <v/>
      </c>
      <c r="K6258">
        <f>LET(
    purpose,'Loan Tape (S&amp;P)'!R6258,
    IF(purpose="Purchase",1.00,
        IF(purpose="Remortgage",1.00,
            1.20)))</f>
        <v/>
      </c>
      <c r="L6258">
        <f>LET(
    arrears_months,'Loan Tape (S&amp;P)'!AN6258,
    IF(arrears_months=0,1.00,
    IF(arrears_months=1,3.00,
    IF(arrears_months=2,5.00,
    IF(arrears_months=3,8.00,
    IF(arrears_months=4,10.00,
    IF(arrears_months=5,12.00,15.00)))))))</f>
        <v/>
      </c>
      <c r="M6258">
        <f>LET(
    seasoning_years,DATEDIF('Loan Tape (S&amp;P)'!K6258,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58">
        <f>IF(AND('Loan Tape (S&amp;P)'!U6258="Yes",
        'Loan Tape (S&amp;P)'!T6258&lt;&gt;"Yes",
        DATEDIF('Loan Tape (S&amp;P)'!K6258, TODAY(), "M")&lt;18),
    1.10,
    1.00)</f>
        <v/>
      </c>
      <c r="O6258">
        <f>IF('Loan Tape (S&amp;P)'!T6258="Yes",
    1.35,
    1.00)</f>
        <v/>
      </c>
      <c r="P6258">
        <f>IF('Loan Tape (S&amp;P)'!S6258="Yes",
    1.15,
    1.00)</f>
        <v/>
      </c>
      <c r="Q6258">
        <f>IF('Loan Tape (S&amp;P)'!V6258="Yes",
    1.20,
    1.00)</f>
        <v/>
      </c>
      <c r="T6258">
        <f>LET(
    payment_method,'Loan Tape (S&amp;P)'!P6258,
    occupancy,'Loan Tape (S&amp;P)'!N6258,
    maturity_date,'Loan Tape (S&amp;P)'!L6258,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59">
      <c r="J6259">
        <f>LET(
    lien,'Loan Tape (S&amp;P)'!Q6259,
    IF(lien="First",1.00,
        IF(lien="Second",1.50,
            1.70)))</f>
        <v/>
      </c>
      <c r="K6259">
        <f>LET(
    purpose,'Loan Tape (S&amp;P)'!R6259,
    IF(purpose="Purchase",1.00,
        IF(purpose="Remortgage",1.00,
            1.20)))</f>
        <v/>
      </c>
      <c r="L6259">
        <f>LET(
    arrears_months,'Loan Tape (S&amp;P)'!AN6259,
    IF(arrears_months=0,1.00,
    IF(arrears_months=1,3.00,
    IF(arrears_months=2,5.00,
    IF(arrears_months=3,8.00,
    IF(arrears_months=4,10.00,
    IF(arrears_months=5,12.00,15.00)))))))</f>
        <v/>
      </c>
      <c r="M6259">
        <f>LET(
    seasoning_years,DATEDIF('Loan Tape (S&amp;P)'!K6259,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59">
        <f>IF(AND('Loan Tape (S&amp;P)'!U6259="Yes",
        'Loan Tape (S&amp;P)'!T6259&lt;&gt;"Yes",
        DATEDIF('Loan Tape (S&amp;P)'!K6259, TODAY(), "M")&lt;18),
    1.10,
    1.00)</f>
        <v/>
      </c>
      <c r="O6259">
        <f>IF('Loan Tape (S&amp;P)'!T6259="Yes",
    1.35,
    1.00)</f>
        <v/>
      </c>
      <c r="P6259">
        <f>IF('Loan Tape (S&amp;P)'!S6259="Yes",
    1.15,
    1.00)</f>
        <v/>
      </c>
      <c r="Q6259">
        <f>IF('Loan Tape (S&amp;P)'!V6259="Yes",
    1.20,
    1.00)</f>
        <v/>
      </c>
      <c r="T6259">
        <f>LET(
    payment_method,'Loan Tape (S&amp;P)'!P6259,
    occupancy,'Loan Tape (S&amp;P)'!N6259,
    maturity_date,'Loan Tape (S&amp;P)'!L6259,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60">
      <c r="J6260">
        <f>LET(
    lien,'Loan Tape (S&amp;P)'!Q6260,
    IF(lien="First",1.00,
        IF(lien="Second",1.50,
            1.70)))</f>
        <v/>
      </c>
      <c r="K6260">
        <f>LET(
    purpose,'Loan Tape (S&amp;P)'!R6260,
    IF(purpose="Purchase",1.00,
        IF(purpose="Remortgage",1.00,
            1.20)))</f>
        <v/>
      </c>
      <c r="L6260">
        <f>LET(
    arrears_months,'Loan Tape (S&amp;P)'!AN6260,
    IF(arrears_months=0,1.00,
    IF(arrears_months=1,3.00,
    IF(arrears_months=2,5.00,
    IF(arrears_months=3,8.00,
    IF(arrears_months=4,10.00,
    IF(arrears_months=5,12.00,15.00)))))))</f>
        <v/>
      </c>
      <c r="M6260">
        <f>LET(
    seasoning_years,DATEDIF('Loan Tape (S&amp;P)'!K6260,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60">
        <f>IF(AND('Loan Tape (S&amp;P)'!U6260="Yes",
        'Loan Tape (S&amp;P)'!T6260&lt;&gt;"Yes",
        DATEDIF('Loan Tape (S&amp;P)'!K6260, TODAY(), "M")&lt;18),
    1.10,
    1.00)</f>
        <v/>
      </c>
      <c r="O6260">
        <f>IF('Loan Tape (S&amp;P)'!T6260="Yes",
    1.35,
    1.00)</f>
        <v/>
      </c>
      <c r="P6260">
        <f>IF('Loan Tape (S&amp;P)'!S6260="Yes",
    1.15,
    1.00)</f>
        <v/>
      </c>
      <c r="Q6260">
        <f>IF('Loan Tape (S&amp;P)'!V6260="Yes",
    1.20,
    1.00)</f>
        <v/>
      </c>
      <c r="T6260">
        <f>LET(
    payment_method,'Loan Tape (S&amp;P)'!P6260,
    occupancy,'Loan Tape (S&amp;P)'!N6260,
    maturity_date,'Loan Tape (S&amp;P)'!L6260,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61">
      <c r="J6261">
        <f>LET(
    lien,'Loan Tape (S&amp;P)'!Q6261,
    IF(lien="First",1.00,
        IF(lien="Second",1.50,
            1.70)))</f>
        <v/>
      </c>
      <c r="K6261">
        <f>LET(
    purpose,'Loan Tape (S&amp;P)'!R6261,
    IF(purpose="Purchase",1.00,
        IF(purpose="Remortgage",1.00,
            1.20)))</f>
        <v/>
      </c>
      <c r="L6261">
        <f>LET(
    arrears_months,'Loan Tape (S&amp;P)'!AN6261,
    IF(arrears_months=0,1.00,
    IF(arrears_months=1,3.00,
    IF(arrears_months=2,5.00,
    IF(arrears_months=3,8.00,
    IF(arrears_months=4,10.00,
    IF(arrears_months=5,12.00,15.00)))))))</f>
        <v/>
      </c>
      <c r="M6261">
        <f>LET(
    seasoning_years,DATEDIF('Loan Tape (S&amp;P)'!K6261,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61">
        <f>IF(AND('Loan Tape (S&amp;P)'!U6261="Yes",
        'Loan Tape (S&amp;P)'!T6261&lt;&gt;"Yes",
        DATEDIF('Loan Tape (S&amp;P)'!K6261, TODAY(), "M")&lt;18),
    1.10,
    1.00)</f>
        <v/>
      </c>
      <c r="O6261">
        <f>IF('Loan Tape (S&amp;P)'!T6261="Yes",
    1.35,
    1.00)</f>
        <v/>
      </c>
      <c r="P6261">
        <f>IF('Loan Tape (S&amp;P)'!S6261="Yes",
    1.15,
    1.00)</f>
        <v/>
      </c>
      <c r="Q6261">
        <f>IF('Loan Tape (S&amp;P)'!V6261="Yes",
    1.20,
    1.00)</f>
        <v/>
      </c>
      <c r="T6261">
        <f>LET(
    payment_method,'Loan Tape (S&amp;P)'!P6261,
    occupancy,'Loan Tape (S&amp;P)'!N6261,
    maturity_date,'Loan Tape (S&amp;P)'!L6261,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62">
      <c r="J6262">
        <f>LET(
    lien,'Loan Tape (S&amp;P)'!Q6262,
    IF(lien="First",1.00,
        IF(lien="Second",1.50,
            1.70)))</f>
        <v/>
      </c>
      <c r="K6262">
        <f>LET(
    purpose,'Loan Tape (S&amp;P)'!R6262,
    IF(purpose="Purchase",1.00,
        IF(purpose="Remortgage",1.00,
            1.20)))</f>
        <v/>
      </c>
      <c r="L6262">
        <f>LET(
    arrears_months,'Loan Tape (S&amp;P)'!AN6262,
    IF(arrears_months=0,1.00,
    IF(arrears_months=1,3.00,
    IF(arrears_months=2,5.00,
    IF(arrears_months=3,8.00,
    IF(arrears_months=4,10.00,
    IF(arrears_months=5,12.00,15.00)))))))</f>
        <v/>
      </c>
      <c r="M6262">
        <f>LET(
    seasoning_years,DATEDIF('Loan Tape (S&amp;P)'!K6262,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62">
        <f>IF(AND('Loan Tape (S&amp;P)'!U6262="Yes",
        'Loan Tape (S&amp;P)'!T6262&lt;&gt;"Yes",
        DATEDIF('Loan Tape (S&amp;P)'!K6262, TODAY(), "M")&lt;18),
    1.10,
    1.00)</f>
        <v/>
      </c>
      <c r="O6262">
        <f>IF('Loan Tape (S&amp;P)'!T6262="Yes",
    1.35,
    1.00)</f>
        <v/>
      </c>
      <c r="P6262">
        <f>IF('Loan Tape (S&amp;P)'!S6262="Yes",
    1.15,
    1.00)</f>
        <v/>
      </c>
      <c r="Q6262">
        <f>IF('Loan Tape (S&amp;P)'!V6262="Yes",
    1.20,
    1.00)</f>
        <v/>
      </c>
      <c r="T6262">
        <f>LET(
    payment_method,'Loan Tape (S&amp;P)'!P6262,
    occupancy,'Loan Tape (S&amp;P)'!N6262,
    maturity_date,'Loan Tape (S&amp;P)'!L6262,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63">
      <c r="J6263">
        <f>LET(
    lien,'Loan Tape (S&amp;P)'!Q6263,
    IF(lien="First",1.00,
        IF(lien="Second",1.50,
            1.70)))</f>
        <v/>
      </c>
      <c r="K6263">
        <f>LET(
    purpose,'Loan Tape (S&amp;P)'!R6263,
    IF(purpose="Purchase",1.00,
        IF(purpose="Remortgage",1.00,
            1.20)))</f>
        <v/>
      </c>
      <c r="L6263">
        <f>LET(
    arrears_months,'Loan Tape (S&amp;P)'!AN6263,
    IF(arrears_months=0,1.00,
    IF(arrears_months=1,3.00,
    IF(arrears_months=2,5.00,
    IF(arrears_months=3,8.00,
    IF(arrears_months=4,10.00,
    IF(arrears_months=5,12.00,15.00)))))))</f>
        <v/>
      </c>
      <c r="M6263">
        <f>LET(
    seasoning_years,DATEDIF('Loan Tape (S&amp;P)'!K6263,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63">
        <f>IF(AND('Loan Tape (S&amp;P)'!U6263="Yes",
        'Loan Tape (S&amp;P)'!T6263&lt;&gt;"Yes",
        DATEDIF('Loan Tape (S&amp;P)'!K6263, TODAY(), "M")&lt;18),
    1.10,
    1.00)</f>
        <v/>
      </c>
      <c r="O6263">
        <f>IF('Loan Tape (S&amp;P)'!T6263="Yes",
    1.35,
    1.00)</f>
        <v/>
      </c>
      <c r="P6263">
        <f>IF('Loan Tape (S&amp;P)'!S6263="Yes",
    1.15,
    1.00)</f>
        <v/>
      </c>
      <c r="Q6263">
        <f>IF('Loan Tape (S&amp;P)'!V6263="Yes",
    1.20,
    1.00)</f>
        <v/>
      </c>
      <c r="T6263">
        <f>LET(
    payment_method,'Loan Tape (S&amp;P)'!P6263,
    occupancy,'Loan Tape (S&amp;P)'!N6263,
    maturity_date,'Loan Tape (S&amp;P)'!L6263,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64">
      <c r="J6264">
        <f>LET(
    lien,'Loan Tape (S&amp;P)'!Q6264,
    IF(lien="First",1.00,
        IF(lien="Second",1.50,
            1.70)))</f>
        <v/>
      </c>
      <c r="K6264">
        <f>LET(
    purpose,'Loan Tape (S&amp;P)'!R6264,
    IF(purpose="Purchase",1.00,
        IF(purpose="Remortgage",1.00,
            1.20)))</f>
        <v/>
      </c>
      <c r="L6264">
        <f>LET(
    arrears_months,'Loan Tape (S&amp;P)'!AN6264,
    IF(arrears_months=0,1.00,
    IF(arrears_months=1,3.00,
    IF(arrears_months=2,5.00,
    IF(arrears_months=3,8.00,
    IF(arrears_months=4,10.00,
    IF(arrears_months=5,12.00,15.00)))))))</f>
        <v/>
      </c>
      <c r="M6264">
        <f>LET(
    seasoning_years,DATEDIF('Loan Tape (S&amp;P)'!K6264,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64">
        <f>IF(AND('Loan Tape (S&amp;P)'!U6264="Yes",
        'Loan Tape (S&amp;P)'!T6264&lt;&gt;"Yes",
        DATEDIF('Loan Tape (S&amp;P)'!K6264, TODAY(), "M")&lt;18),
    1.10,
    1.00)</f>
        <v/>
      </c>
      <c r="O6264">
        <f>IF('Loan Tape (S&amp;P)'!T6264="Yes",
    1.35,
    1.00)</f>
        <v/>
      </c>
      <c r="P6264">
        <f>IF('Loan Tape (S&amp;P)'!S6264="Yes",
    1.15,
    1.00)</f>
        <v/>
      </c>
      <c r="Q6264">
        <f>IF('Loan Tape (S&amp;P)'!V6264="Yes",
    1.20,
    1.00)</f>
        <v/>
      </c>
      <c r="T6264">
        <f>LET(
    payment_method,'Loan Tape (S&amp;P)'!P6264,
    occupancy,'Loan Tape (S&amp;P)'!N6264,
    maturity_date,'Loan Tape (S&amp;P)'!L6264,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65">
      <c r="J6265">
        <f>LET(
    lien,'Loan Tape (S&amp;P)'!Q6265,
    IF(lien="First",1.00,
        IF(lien="Second",1.50,
            1.70)))</f>
        <v/>
      </c>
      <c r="K6265">
        <f>LET(
    purpose,'Loan Tape (S&amp;P)'!R6265,
    IF(purpose="Purchase",1.00,
        IF(purpose="Remortgage",1.00,
            1.20)))</f>
        <v/>
      </c>
      <c r="L6265">
        <f>LET(
    arrears_months,'Loan Tape (S&amp;P)'!AN6265,
    IF(arrears_months=0,1.00,
    IF(arrears_months=1,3.00,
    IF(arrears_months=2,5.00,
    IF(arrears_months=3,8.00,
    IF(arrears_months=4,10.00,
    IF(arrears_months=5,12.00,15.00)))))))</f>
        <v/>
      </c>
      <c r="M6265">
        <f>LET(
    seasoning_years,DATEDIF('Loan Tape (S&amp;P)'!K6265,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65">
        <f>IF(AND('Loan Tape (S&amp;P)'!U6265="Yes",
        'Loan Tape (S&amp;P)'!T6265&lt;&gt;"Yes",
        DATEDIF('Loan Tape (S&amp;P)'!K6265, TODAY(), "M")&lt;18),
    1.10,
    1.00)</f>
        <v/>
      </c>
      <c r="O6265">
        <f>IF('Loan Tape (S&amp;P)'!T6265="Yes",
    1.35,
    1.00)</f>
        <v/>
      </c>
      <c r="P6265">
        <f>IF('Loan Tape (S&amp;P)'!S6265="Yes",
    1.15,
    1.00)</f>
        <v/>
      </c>
      <c r="Q6265">
        <f>IF('Loan Tape (S&amp;P)'!V6265="Yes",
    1.20,
    1.00)</f>
        <v/>
      </c>
      <c r="T6265">
        <f>LET(
    payment_method,'Loan Tape (S&amp;P)'!P6265,
    occupancy,'Loan Tape (S&amp;P)'!N6265,
    maturity_date,'Loan Tape (S&amp;P)'!L6265,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66">
      <c r="J6266">
        <f>LET(
    lien,'Loan Tape (S&amp;P)'!Q6266,
    IF(lien="First",1.00,
        IF(lien="Second",1.50,
            1.70)))</f>
        <v/>
      </c>
      <c r="K6266">
        <f>LET(
    purpose,'Loan Tape (S&amp;P)'!R6266,
    IF(purpose="Purchase",1.00,
        IF(purpose="Remortgage",1.00,
            1.20)))</f>
        <v/>
      </c>
      <c r="L6266">
        <f>LET(
    arrears_months,'Loan Tape (S&amp;P)'!AN6266,
    IF(arrears_months=0,1.00,
    IF(arrears_months=1,3.00,
    IF(arrears_months=2,5.00,
    IF(arrears_months=3,8.00,
    IF(arrears_months=4,10.00,
    IF(arrears_months=5,12.00,15.00)))))))</f>
        <v/>
      </c>
      <c r="M6266">
        <f>LET(
    seasoning_years,DATEDIF('Loan Tape (S&amp;P)'!K6266,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66">
        <f>IF(AND('Loan Tape (S&amp;P)'!U6266="Yes",
        'Loan Tape (S&amp;P)'!T6266&lt;&gt;"Yes",
        DATEDIF('Loan Tape (S&amp;P)'!K6266, TODAY(), "M")&lt;18),
    1.10,
    1.00)</f>
        <v/>
      </c>
      <c r="O6266">
        <f>IF('Loan Tape (S&amp;P)'!T6266="Yes",
    1.35,
    1.00)</f>
        <v/>
      </c>
      <c r="P6266">
        <f>IF('Loan Tape (S&amp;P)'!S6266="Yes",
    1.15,
    1.00)</f>
        <v/>
      </c>
      <c r="Q6266">
        <f>IF('Loan Tape (S&amp;P)'!V6266="Yes",
    1.20,
    1.00)</f>
        <v/>
      </c>
      <c r="T6266">
        <f>LET(
    payment_method,'Loan Tape (S&amp;P)'!P6266,
    occupancy,'Loan Tape (S&amp;P)'!N6266,
    maturity_date,'Loan Tape (S&amp;P)'!L6266,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67">
      <c r="J6267">
        <f>LET(
    lien,'Loan Tape (S&amp;P)'!Q6267,
    IF(lien="First",1.00,
        IF(lien="Second",1.50,
            1.70)))</f>
        <v/>
      </c>
      <c r="K6267">
        <f>LET(
    purpose,'Loan Tape (S&amp;P)'!R6267,
    IF(purpose="Purchase",1.00,
        IF(purpose="Remortgage",1.00,
            1.20)))</f>
        <v/>
      </c>
      <c r="L6267">
        <f>LET(
    arrears_months,'Loan Tape (S&amp;P)'!AN6267,
    IF(arrears_months=0,1.00,
    IF(arrears_months=1,3.00,
    IF(arrears_months=2,5.00,
    IF(arrears_months=3,8.00,
    IF(arrears_months=4,10.00,
    IF(arrears_months=5,12.00,15.00)))))))</f>
        <v/>
      </c>
      <c r="M6267">
        <f>LET(
    seasoning_years,DATEDIF('Loan Tape (S&amp;P)'!K6267,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67">
        <f>IF(AND('Loan Tape (S&amp;P)'!U6267="Yes",
        'Loan Tape (S&amp;P)'!T6267&lt;&gt;"Yes",
        DATEDIF('Loan Tape (S&amp;P)'!K6267, TODAY(), "M")&lt;18),
    1.10,
    1.00)</f>
        <v/>
      </c>
      <c r="O6267">
        <f>IF('Loan Tape (S&amp;P)'!T6267="Yes",
    1.35,
    1.00)</f>
        <v/>
      </c>
      <c r="P6267">
        <f>IF('Loan Tape (S&amp;P)'!S6267="Yes",
    1.15,
    1.00)</f>
        <v/>
      </c>
      <c r="Q6267">
        <f>IF('Loan Tape (S&amp;P)'!V6267="Yes",
    1.20,
    1.00)</f>
        <v/>
      </c>
      <c r="T6267">
        <f>LET(
    payment_method,'Loan Tape (S&amp;P)'!P6267,
    occupancy,'Loan Tape (S&amp;P)'!N6267,
    maturity_date,'Loan Tape (S&amp;P)'!L6267,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68">
      <c r="J6268">
        <f>LET(
    lien,'Loan Tape (S&amp;P)'!Q6268,
    IF(lien="First",1.00,
        IF(lien="Second",1.50,
            1.70)))</f>
        <v/>
      </c>
      <c r="K6268">
        <f>LET(
    purpose,'Loan Tape (S&amp;P)'!R6268,
    IF(purpose="Purchase",1.00,
        IF(purpose="Remortgage",1.00,
            1.20)))</f>
        <v/>
      </c>
      <c r="L6268">
        <f>LET(
    arrears_months,'Loan Tape (S&amp;P)'!AN6268,
    IF(arrears_months=0,1.00,
    IF(arrears_months=1,3.00,
    IF(arrears_months=2,5.00,
    IF(arrears_months=3,8.00,
    IF(arrears_months=4,10.00,
    IF(arrears_months=5,12.00,15.00)))))))</f>
        <v/>
      </c>
      <c r="M6268">
        <f>LET(
    seasoning_years,DATEDIF('Loan Tape (S&amp;P)'!K6268,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68">
        <f>IF(AND('Loan Tape (S&amp;P)'!U6268="Yes",
        'Loan Tape (S&amp;P)'!T6268&lt;&gt;"Yes",
        DATEDIF('Loan Tape (S&amp;P)'!K6268, TODAY(), "M")&lt;18),
    1.10,
    1.00)</f>
        <v/>
      </c>
      <c r="O6268">
        <f>IF('Loan Tape (S&amp;P)'!T6268="Yes",
    1.35,
    1.00)</f>
        <v/>
      </c>
      <c r="P6268">
        <f>IF('Loan Tape (S&amp;P)'!S6268="Yes",
    1.15,
    1.00)</f>
        <v/>
      </c>
      <c r="Q6268">
        <f>IF('Loan Tape (S&amp;P)'!V6268="Yes",
    1.20,
    1.00)</f>
        <v/>
      </c>
      <c r="T6268">
        <f>LET(
    payment_method,'Loan Tape (S&amp;P)'!P6268,
    occupancy,'Loan Tape (S&amp;P)'!N6268,
    maturity_date,'Loan Tape (S&amp;P)'!L6268,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69">
      <c r="J6269">
        <f>LET(
    lien,'Loan Tape (S&amp;P)'!Q6269,
    IF(lien="First",1.00,
        IF(lien="Second",1.50,
            1.70)))</f>
        <v/>
      </c>
      <c r="K6269">
        <f>LET(
    purpose,'Loan Tape (S&amp;P)'!R6269,
    IF(purpose="Purchase",1.00,
        IF(purpose="Remortgage",1.00,
            1.20)))</f>
        <v/>
      </c>
      <c r="L6269">
        <f>LET(
    arrears_months,'Loan Tape (S&amp;P)'!AN6269,
    IF(arrears_months=0,1.00,
    IF(arrears_months=1,3.00,
    IF(arrears_months=2,5.00,
    IF(arrears_months=3,8.00,
    IF(arrears_months=4,10.00,
    IF(arrears_months=5,12.00,15.00)))))))</f>
        <v/>
      </c>
      <c r="M6269">
        <f>LET(
    seasoning_years,DATEDIF('Loan Tape (S&amp;P)'!K6269,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69">
        <f>IF(AND('Loan Tape (S&amp;P)'!U6269="Yes",
        'Loan Tape (S&amp;P)'!T6269&lt;&gt;"Yes",
        DATEDIF('Loan Tape (S&amp;P)'!K6269, TODAY(), "M")&lt;18),
    1.10,
    1.00)</f>
        <v/>
      </c>
      <c r="O6269">
        <f>IF('Loan Tape (S&amp;P)'!T6269="Yes",
    1.35,
    1.00)</f>
        <v/>
      </c>
      <c r="P6269">
        <f>IF('Loan Tape (S&amp;P)'!S6269="Yes",
    1.15,
    1.00)</f>
        <v/>
      </c>
      <c r="Q6269">
        <f>IF('Loan Tape (S&amp;P)'!V6269="Yes",
    1.20,
    1.00)</f>
        <v/>
      </c>
      <c r="T6269">
        <f>LET(
    payment_method,'Loan Tape (S&amp;P)'!P6269,
    occupancy,'Loan Tape (S&amp;P)'!N6269,
    maturity_date,'Loan Tape (S&amp;P)'!L6269,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70">
      <c r="J6270">
        <f>LET(
    lien,'Loan Tape (S&amp;P)'!Q6270,
    IF(lien="First",1.00,
        IF(lien="Second",1.50,
            1.70)))</f>
        <v/>
      </c>
      <c r="K6270">
        <f>LET(
    purpose,'Loan Tape (S&amp;P)'!R6270,
    IF(purpose="Purchase",1.00,
        IF(purpose="Remortgage",1.00,
            1.20)))</f>
        <v/>
      </c>
      <c r="L6270">
        <f>LET(
    arrears_months,'Loan Tape (S&amp;P)'!AN6270,
    IF(arrears_months=0,1.00,
    IF(arrears_months=1,3.00,
    IF(arrears_months=2,5.00,
    IF(arrears_months=3,8.00,
    IF(arrears_months=4,10.00,
    IF(arrears_months=5,12.00,15.00)))))))</f>
        <v/>
      </c>
      <c r="M6270">
        <f>LET(
    seasoning_years,DATEDIF('Loan Tape (S&amp;P)'!K6270,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70">
        <f>IF(AND('Loan Tape (S&amp;P)'!U6270="Yes",
        'Loan Tape (S&amp;P)'!T6270&lt;&gt;"Yes",
        DATEDIF('Loan Tape (S&amp;P)'!K6270, TODAY(), "M")&lt;18),
    1.10,
    1.00)</f>
        <v/>
      </c>
      <c r="O6270">
        <f>IF('Loan Tape (S&amp;P)'!T6270="Yes",
    1.35,
    1.00)</f>
        <v/>
      </c>
      <c r="P6270">
        <f>IF('Loan Tape (S&amp;P)'!S6270="Yes",
    1.15,
    1.00)</f>
        <v/>
      </c>
      <c r="Q6270">
        <f>IF('Loan Tape (S&amp;P)'!V6270="Yes",
    1.20,
    1.00)</f>
        <v/>
      </c>
      <c r="T6270">
        <f>LET(
    payment_method,'Loan Tape (S&amp;P)'!P6270,
    occupancy,'Loan Tape (S&amp;P)'!N6270,
    maturity_date,'Loan Tape (S&amp;P)'!L6270,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71">
      <c r="J6271">
        <f>LET(
    lien,'Loan Tape (S&amp;P)'!Q6271,
    IF(lien="First",1.00,
        IF(lien="Second",1.50,
            1.70)))</f>
        <v/>
      </c>
      <c r="K6271">
        <f>LET(
    purpose,'Loan Tape (S&amp;P)'!R6271,
    IF(purpose="Purchase",1.00,
        IF(purpose="Remortgage",1.00,
            1.20)))</f>
        <v/>
      </c>
      <c r="L6271">
        <f>LET(
    arrears_months,'Loan Tape (S&amp;P)'!AN6271,
    IF(arrears_months=0,1.00,
    IF(arrears_months=1,3.00,
    IF(arrears_months=2,5.00,
    IF(arrears_months=3,8.00,
    IF(arrears_months=4,10.00,
    IF(arrears_months=5,12.00,15.00)))))))</f>
        <v/>
      </c>
      <c r="M6271">
        <f>LET(
    seasoning_years,DATEDIF('Loan Tape (S&amp;P)'!K6271,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71">
        <f>IF(AND('Loan Tape (S&amp;P)'!U6271="Yes",
        'Loan Tape (S&amp;P)'!T6271&lt;&gt;"Yes",
        DATEDIF('Loan Tape (S&amp;P)'!K6271, TODAY(), "M")&lt;18),
    1.10,
    1.00)</f>
        <v/>
      </c>
      <c r="O6271">
        <f>IF('Loan Tape (S&amp;P)'!T6271="Yes",
    1.35,
    1.00)</f>
        <v/>
      </c>
      <c r="P6271">
        <f>IF('Loan Tape (S&amp;P)'!S6271="Yes",
    1.15,
    1.00)</f>
        <v/>
      </c>
      <c r="Q6271">
        <f>IF('Loan Tape (S&amp;P)'!V6271="Yes",
    1.20,
    1.00)</f>
        <v/>
      </c>
      <c r="T6271">
        <f>LET(
    payment_method,'Loan Tape (S&amp;P)'!P6271,
    occupancy,'Loan Tape (S&amp;P)'!N6271,
    maturity_date,'Loan Tape (S&amp;P)'!L6271,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72">
      <c r="J6272">
        <f>LET(
    lien,'Loan Tape (S&amp;P)'!Q6272,
    IF(lien="First",1.00,
        IF(lien="Second",1.50,
            1.70)))</f>
        <v/>
      </c>
      <c r="K6272">
        <f>LET(
    purpose,'Loan Tape (S&amp;P)'!R6272,
    IF(purpose="Purchase",1.00,
        IF(purpose="Remortgage",1.00,
            1.20)))</f>
        <v/>
      </c>
      <c r="L6272">
        <f>LET(
    arrears_months,'Loan Tape (S&amp;P)'!AN6272,
    IF(arrears_months=0,1.00,
    IF(arrears_months=1,3.00,
    IF(arrears_months=2,5.00,
    IF(arrears_months=3,8.00,
    IF(arrears_months=4,10.00,
    IF(arrears_months=5,12.00,15.00)))))))</f>
        <v/>
      </c>
      <c r="M6272">
        <f>LET(
    seasoning_years,DATEDIF('Loan Tape (S&amp;P)'!K6272,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72">
        <f>IF(AND('Loan Tape (S&amp;P)'!U6272="Yes",
        'Loan Tape (S&amp;P)'!T6272&lt;&gt;"Yes",
        DATEDIF('Loan Tape (S&amp;P)'!K6272, TODAY(), "M")&lt;18),
    1.10,
    1.00)</f>
        <v/>
      </c>
      <c r="O6272">
        <f>IF('Loan Tape (S&amp;P)'!T6272="Yes",
    1.35,
    1.00)</f>
        <v/>
      </c>
      <c r="P6272">
        <f>IF('Loan Tape (S&amp;P)'!S6272="Yes",
    1.15,
    1.00)</f>
        <v/>
      </c>
      <c r="Q6272">
        <f>IF('Loan Tape (S&amp;P)'!V6272="Yes",
    1.20,
    1.00)</f>
        <v/>
      </c>
      <c r="T6272">
        <f>LET(
    payment_method,'Loan Tape (S&amp;P)'!P6272,
    occupancy,'Loan Tape (S&amp;P)'!N6272,
    maturity_date,'Loan Tape (S&amp;P)'!L6272,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73">
      <c r="J6273">
        <f>LET(
    lien,'Loan Tape (S&amp;P)'!Q6273,
    IF(lien="First",1.00,
        IF(lien="Second",1.50,
            1.70)))</f>
        <v/>
      </c>
      <c r="K6273">
        <f>LET(
    purpose,'Loan Tape (S&amp;P)'!R6273,
    IF(purpose="Purchase",1.00,
        IF(purpose="Remortgage",1.00,
            1.20)))</f>
        <v/>
      </c>
      <c r="L6273">
        <f>LET(
    arrears_months,'Loan Tape (S&amp;P)'!AN6273,
    IF(arrears_months=0,1.00,
    IF(arrears_months=1,3.00,
    IF(arrears_months=2,5.00,
    IF(arrears_months=3,8.00,
    IF(arrears_months=4,10.00,
    IF(arrears_months=5,12.00,15.00)))))))</f>
        <v/>
      </c>
      <c r="M6273">
        <f>LET(
    seasoning_years,DATEDIF('Loan Tape (S&amp;P)'!K6273,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73">
        <f>IF(AND('Loan Tape (S&amp;P)'!U6273="Yes",
        'Loan Tape (S&amp;P)'!T6273&lt;&gt;"Yes",
        DATEDIF('Loan Tape (S&amp;P)'!K6273, TODAY(), "M")&lt;18),
    1.10,
    1.00)</f>
        <v/>
      </c>
      <c r="O6273">
        <f>IF('Loan Tape (S&amp;P)'!T6273="Yes",
    1.35,
    1.00)</f>
        <v/>
      </c>
      <c r="P6273">
        <f>IF('Loan Tape (S&amp;P)'!S6273="Yes",
    1.15,
    1.00)</f>
        <v/>
      </c>
      <c r="Q6273">
        <f>IF('Loan Tape (S&amp;P)'!V6273="Yes",
    1.20,
    1.00)</f>
        <v/>
      </c>
      <c r="T6273">
        <f>LET(
    payment_method,'Loan Tape (S&amp;P)'!P6273,
    occupancy,'Loan Tape (S&amp;P)'!N6273,
    maturity_date,'Loan Tape (S&amp;P)'!L6273,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74">
      <c r="J6274">
        <f>LET(
    lien,'Loan Tape (S&amp;P)'!Q6274,
    IF(lien="First",1.00,
        IF(lien="Second",1.50,
            1.70)))</f>
        <v/>
      </c>
      <c r="K6274">
        <f>LET(
    purpose,'Loan Tape (S&amp;P)'!R6274,
    IF(purpose="Purchase",1.00,
        IF(purpose="Remortgage",1.00,
            1.20)))</f>
        <v/>
      </c>
      <c r="L6274">
        <f>LET(
    arrears_months,'Loan Tape (S&amp;P)'!AN6274,
    IF(arrears_months=0,1.00,
    IF(arrears_months=1,3.00,
    IF(arrears_months=2,5.00,
    IF(arrears_months=3,8.00,
    IF(arrears_months=4,10.00,
    IF(arrears_months=5,12.00,15.00)))))))</f>
        <v/>
      </c>
      <c r="M6274">
        <f>LET(
    seasoning_years,DATEDIF('Loan Tape (S&amp;P)'!K6274,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74">
        <f>IF(AND('Loan Tape (S&amp;P)'!U6274="Yes",
        'Loan Tape (S&amp;P)'!T6274&lt;&gt;"Yes",
        DATEDIF('Loan Tape (S&amp;P)'!K6274, TODAY(), "M")&lt;18),
    1.10,
    1.00)</f>
        <v/>
      </c>
      <c r="O6274">
        <f>IF('Loan Tape (S&amp;P)'!T6274="Yes",
    1.35,
    1.00)</f>
        <v/>
      </c>
      <c r="P6274">
        <f>IF('Loan Tape (S&amp;P)'!S6274="Yes",
    1.15,
    1.00)</f>
        <v/>
      </c>
      <c r="Q6274">
        <f>IF('Loan Tape (S&amp;P)'!V6274="Yes",
    1.20,
    1.00)</f>
        <v/>
      </c>
      <c r="T6274">
        <f>LET(
    payment_method,'Loan Tape (S&amp;P)'!P6274,
    occupancy,'Loan Tape (S&amp;P)'!N6274,
    maturity_date,'Loan Tape (S&amp;P)'!L6274,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75">
      <c r="J6275">
        <f>LET(
    lien,'Loan Tape (S&amp;P)'!Q6275,
    IF(lien="First",1.00,
        IF(lien="Second",1.50,
            1.70)))</f>
        <v/>
      </c>
      <c r="K6275">
        <f>LET(
    purpose,'Loan Tape (S&amp;P)'!R6275,
    IF(purpose="Purchase",1.00,
        IF(purpose="Remortgage",1.00,
            1.20)))</f>
        <v/>
      </c>
      <c r="L6275">
        <f>LET(
    arrears_months,'Loan Tape (S&amp;P)'!AN6275,
    IF(arrears_months=0,1.00,
    IF(arrears_months=1,3.00,
    IF(arrears_months=2,5.00,
    IF(arrears_months=3,8.00,
    IF(arrears_months=4,10.00,
    IF(arrears_months=5,12.00,15.00)))))))</f>
        <v/>
      </c>
      <c r="M6275">
        <f>LET(
    seasoning_years,DATEDIF('Loan Tape (S&amp;P)'!K6275,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75">
        <f>IF(AND('Loan Tape (S&amp;P)'!U6275="Yes",
        'Loan Tape (S&amp;P)'!T6275&lt;&gt;"Yes",
        DATEDIF('Loan Tape (S&amp;P)'!K6275, TODAY(), "M")&lt;18),
    1.10,
    1.00)</f>
        <v/>
      </c>
      <c r="O6275">
        <f>IF('Loan Tape (S&amp;P)'!T6275="Yes",
    1.35,
    1.00)</f>
        <v/>
      </c>
      <c r="P6275">
        <f>IF('Loan Tape (S&amp;P)'!S6275="Yes",
    1.15,
    1.00)</f>
        <v/>
      </c>
      <c r="Q6275">
        <f>IF('Loan Tape (S&amp;P)'!V6275="Yes",
    1.20,
    1.00)</f>
        <v/>
      </c>
      <c r="T6275">
        <f>LET(
    payment_method,'Loan Tape (S&amp;P)'!P6275,
    occupancy,'Loan Tape (S&amp;P)'!N6275,
    maturity_date,'Loan Tape (S&amp;P)'!L6275,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76">
      <c r="J6276">
        <f>LET(
    lien,'Loan Tape (S&amp;P)'!Q6276,
    IF(lien="First",1.00,
        IF(lien="Second",1.50,
            1.70)))</f>
        <v/>
      </c>
      <c r="K6276">
        <f>LET(
    purpose,'Loan Tape (S&amp;P)'!R6276,
    IF(purpose="Purchase",1.00,
        IF(purpose="Remortgage",1.00,
            1.20)))</f>
        <v/>
      </c>
      <c r="L6276">
        <f>LET(
    arrears_months,'Loan Tape (S&amp;P)'!AN6276,
    IF(arrears_months=0,1.00,
    IF(arrears_months=1,3.00,
    IF(arrears_months=2,5.00,
    IF(arrears_months=3,8.00,
    IF(arrears_months=4,10.00,
    IF(arrears_months=5,12.00,15.00)))))))</f>
        <v/>
      </c>
      <c r="M6276">
        <f>LET(
    seasoning_years,DATEDIF('Loan Tape (S&amp;P)'!K6276,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76">
        <f>IF(AND('Loan Tape (S&amp;P)'!U6276="Yes",
        'Loan Tape (S&amp;P)'!T6276&lt;&gt;"Yes",
        DATEDIF('Loan Tape (S&amp;P)'!K6276, TODAY(), "M")&lt;18),
    1.10,
    1.00)</f>
        <v/>
      </c>
      <c r="O6276">
        <f>IF('Loan Tape (S&amp;P)'!T6276="Yes",
    1.35,
    1.00)</f>
        <v/>
      </c>
      <c r="P6276">
        <f>IF('Loan Tape (S&amp;P)'!S6276="Yes",
    1.15,
    1.00)</f>
        <v/>
      </c>
      <c r="Q6276">
        <f>IF('Loan Tape (S&amp;P)'!V6276="Yes",
    1.20,
    1.00)</f>
        <v/>
      </c>
      <c r="T6276">
        <f>LET(
    payment_method,'Loan Tape (S&amp;P)'!P6276,
    occupancy,'Loan Tape (S&amp;P)'!N6276,
    maturity_date,'Loan Tape (S&amp;P)'!L6276,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77">
      <c r="J6277">
        <f>LET(
    lien,'Loan Tape (S&amp;P)'!Q6277,
    IF(lien="First",1.00,
        IF(lien="Second",1.50,
            1.70)))</f>
        <v/>
      </c>
      <c r="K6277">
        <f>LET(
    purpose,'Loan Tape (S&amp;P)'!R6277,
    IF(purpose="Purchase",1.00,
        IF(purpose="Remortgage",1.00,
            1.20)))</f>
        <v/>
      </c>
      <c r="L6277">
        <f>LET(
    arrears_months,'Loan Tape (S&amp;P)'!AN6277,
    IF(arrears_months=0,1.00,
    IF(arrears_months=1,3.00,
    IF(arrears_months=2,5.00,
    IF(arrears_months=3,8.00,
    IF(arrears_months=4,10.00,
    IF(arrears_months=5,12.00,15.00)))))))</f>
        <v/>
      </c>
      <c r="M6277">
        <f>LET(
    seasoning_years,DATEDIF('Loan Tape (S&amp;P)'!K6277,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77">
        <f>IF(AND('Loan Tape (S&amp;P)'!U6277="Yes",
        'Loan Tape (S&amp;P)'!T6277&lt;&gt;"Yes",
        DATEDIF('Loan Tape (S&amp;P)'!K6277, TODAY(), "M")&lt;18),
    1.10,
    1.00)</f>
        <v/>
      </c>
      <c r="O6277">
        <f>IF('Loan Tape (S&amp;P)'!T6277="Yes",
    1.35,
    1.00)</f>
        <v/>
      </c>
      <c r="P6277">
        <f>IF('Loan Tape (S&amp;P)'!S6277="Yes",
    1.15,
    1.00)</f>
        <v/>
      </c>
      <c r="Q6277">
        <f>IF('Loan Tape (S&amp;P)'!V6277="Yes",
    1.20,
    1.00)</f>
        <v/>
      </c>
      <c r="T6277">
        <f>LET(
    payment_method,'Loan Tape (S&amp;P)'!P6277,
    occupancy,'Loan Tape (S&amp;P)'!N6277,
    maturity_date,'Loan Tape (S&amp;P)'!L6277,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78">
      <c r="J6278">
        <f>LET(
    lien,'Loan Tape (S&amp;P)'!Q6278,
    IF(lien="First",1.00,
        IF(lien="Second",1.50,
            1.70)))</f>
        <v/>
      </c>
      <c r="K6278">
        <f>LET(
    purpose,'Loan Tape (S&amp;P)'!R6278,
    IF(purpose="Purchase",1.00,
        IF(purpose="Remortgage",1.00,
            1.20)))</f>
        <v/>
      </c>
      <c r="L6278">
        <f>LET(
    arrears_months,'Loan Tape (S&amp;P)'!AN6278,
    IF(arrears_months=0,1.00,
    IF(arrears_months=1,3.00,
    IF(arrears_months=2,5.00,
    IF(arrears_months=3,8.00,
    IF(arrears_months=4,10.00,
    IF(arrears_months=5,12.00,15.00)))))))</f>
        <v/>
      </c>
      <c r="M6278">
        <f>LET(
    seasoning_years,DATEDIF('Loan Tape (S&amp;P)'!K6278,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78">
        <f>IF(AND('Loan Tape (S&amp;P)'!U6278="Yes",
        'Loan Tape (S&amp;P)'!T6278&lt;&gt;"Yes",
        DATEDIF('Loan Tape (S&amp;P)'!K6278, TODAY(), "M")&lt;18),
    1.10,
    1.00)</f>
        <v/>
      </c>
      <c r="O6278">
        <f>IF('Loan Tape (S&amp;P)'!T6278="Yes",
    1.35,
    1.00)</f>
        <v/>
      </c>
      <c r="P6278">
        <f>IF('Loan Tape (S&amp;P)'!S6278="Yes",
    1.15,
    1.00)</f>
        <v/>
      </c>
      <c r="Q6278">
        <f>IF('Loan Tape (S&amp;P)'!V6278="Yes",
    1.20,
    1.00)</f>
        <v/>
      </c>
      <c r="T6278">
        <f>LET(
    payment_method,'Loan Tape (S&amp;P)'!P6278,
    occupancy,'Loan Tape (S&amp;P)'!N6278,
    maturity_date,'Loan Tape (S&amp;P)'!L6278,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79">
      <c r="J6279">
        <f>LET(
    lien,'Loan Tape (S&amp;P)'!Q6279,
    IF(lien="First",1.00,
        IF(lien="Second",1.50,
            1.70)))</f>
        <v/>
      </c>
      <c r="K6279">
        <f>LET(
    purpose,'Loan Tape (S&amp;P)'!R6279,
    IF(purpose="Purchase",1.00,
        IF(purpose="Remortgage",1.00,
            1.20)))</f>
        <v/>
      </c>
      <c r="L6279">
        <f>LET(
    arrears_months,'Loan Tape (S&amp;P)'!AN6279,
    IF(arrears_months=0,1.00,
    IF(arrears_months=1,3.00,
    IF(arrears_months=2,5.00,
    IF(arrears_months=3,8.00,
    IF(arrears_months=4,10.00,
    IF(arrears_months=5,12.00,15.00)))))))</f>
        <v/>
      </c>
      <c r="M6279">
        <f>LET(
    seasoning_years,DATEDIF('Loan Tape (S&amp;P)'!K6279,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79">
        <f>IF(AND('Loan Tape (S&amp;P)'!U6279="Yes",
        'Loan Tape (S&amp;P)'!T6279&lt;&gt;"Yes",
        DATEDIF('Loan Tape (S&amp;P)'!K6279, TODAY(), "M")&lt;18),
    1.10,
    1.00)</f>
        <v/>
      </c>
      <c r="O6279">
        <f>IF('Loan Tape (S&amp;P)'!T6279="Yes",
    1.35,
    1.00)</f>
        <v/>
      </c>
      <c r="P6279">
        <f>IF('Loan Tape (S&amp;P)'!S6279="Yes",
    1.15,
    1.00)</f>
        <v/>
      </c>
      <c r="Q6279">
        <f>IF('Loan Tape (S&amp;P)'!V6279="Yes",
    1.20,
    1.00)</f>
        <v/>
      </c>
      <c r="T6279">
        <f>LET(
    payment_method,'Loan Tape (S&amp;P)'!P6279,
    occupancy,'Loan Tape (S&amp;P)'!N6279,
    maturity_date,'Loan Tape (S&amp;P)'!L6279,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80">
      <c r="J6280">
        <f>LET(
    lien,'Loan Tape (S&amp;P)'!Q6280,
    IF(lien="First",1.00,
        IF(lien="Second",1.50,
            1.70)))</f>
        <v/>
      </c>
      <c r="K6280">
        <f>LET(
    purpose,'Loan Tape (S&amp;P)'!R6280,
    IF(purpose="Purchase",1.00,
        IF(purpose="Remortgage",1.00,
            1.20)))</f>
        <v/>
      </c>
      <c r="L6280">
        <f>LET(
    arrears_months,'Loan Tape (S&amp;P)'!AN6280,
    IF(arrears_months=0,1.00,
    IF(arrears_months=1,3.00,
    IF(arrears_months=2,5.00,
    IF(arrears_months=3,8.00,
    IF(arrears_months=4,10.00,
    IF(arrears_months=5,12.00,15.00)))))))</f>
        <v/>
      </c>
      <c r="M6280">
        <f>LET(
    seasoning_years,DATEDIF('Loan Tape (S&amp;P)'!K6280,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80">
        <f>IF(AND('Loan Tape (S&amp;P)'!U6280="Yes",
        'Loan Tape (S&amp;P)'!T6280&lt;&gt;"Yes",
        DATEDIF('Loan Tape (S&amp;P)'!K6280, TODAY(), "M")&lt;18),
    1.10,
    1.00)</f>
        <v/>
      </c>
      <c r="O6280">
        <f>IF('Loan Tape (S&amp;P)'!T6280="Yes",
    1.35,
    1.00)</f>
        <v/>
      </c>
      <c r="P6280">
        <f>IF('Loan Tape (S&amp;P)'!S6280="Yes",
    1.15,
    1.00)</f>
        <v/>
      </c>
      <c r="Q6280">
        <f>IF('Loan Tape (S&amp;P)'!V6280="Yes",
    1.20,
    1.00)</f>
        <v/>
      </c>
      <c r="T6280">
        <f>LET(
    payment_method,'Loan Tape (S&amp;P)'!P6280,
    occupancy,'Loan Tape (S&amp;P)'!N6280,
    maturity_date,'Loan Tape (S&amp;P)'!L6280,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81">
      <c r="J6281">
        <f>LET(
    lien,'Loan Tape (S&amp;P)'!Q6281,
    IF(lien="First",1.00,
        IF(lien="Second",1.50,
            1.70)))</f>
        <v/>
      </c>
      <c r="K6281">
        <f>LET(
    purpose,'Loan Tape (S&amp;P)'!R6281,
    IF(purpose="Purchase",1.00,
        IF(purpose="Remortgage",1.00,
            1.20)))</f>
        <v/>
      </c>
      <c r="L6281">
        <f>LET(
    arrears_months,'Loan Tape (S&amp;P)'!AN6281,
    IF(arrears_months=0,1.00,
    IF(arrears_months=1,3.00,
    IF(arrears_months=2,5.00,
    IF(arrears_months=3,8.00,
    IF(arrears_months=4,10.00,
    IF(arrears_months=5,12.00,15.00)))))))</f>
        <v/>
      </c>
      <c r="M6281">
        <f>LET(
    seasoning_years,DATEDIF('Loan Tape (S&amp;P)'!K6281,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81">
        <f>IF(AND('Loan Tape (S&amp;P)'!U6281="Yes",
        'Loan Tape (S&amp;P)'!T6281&lt;&gt;"Yes",
        DATEDIF('Loan Tape (S&amp;P)'!K6281, TODAY(), "M")&lt;18),
    1.10,
    1.00)</f>
        <v/>
      </c>
      <c r="O6281">
        <f>IF('Loan Tape (S&amp;P)'!T6281="Yes",
    1.35,
    1.00)</f>
        <v/>
      </c>
      <c r="P6281">
        <f>IF('Loan Tape (S&amp;P)'!S6281="Yes",
    1.15,
    1.00)</f>
        <v/>
      </c>
      <c r="Q6281">
        <f>IF('Loan Tape (S&amp;P)'!V6281="Yes",
    1.20,
    1.00)</f>
        <v/>
      </c>
      <c r="T6281">
        <f>LET(
    payment_method,'Loan Tape (S&amp;P)'!P6281,
    occupancy,'Loan Tape (S&amp;P)'!N6281,
    maturity_date,'Loan Tape (S&amp;P)'!L6281,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82">
      <c r="J6282">
        <f>LET(
    lien,'Loan Tape (S&amp;P)'!Q6282,
    IF(lien="First",1.00,
        IF(lien="Second",1.50,
            1.70)))</f>
        <v/>
      </c>
      <c r="K6282">
        <f>LET(
    purpose,'Loan Tape (S&amp;P)'!R6282,
    IF(purpose="Purchase",1.00,
        IF(purpose="Remortgage",1.00,
            1.20)))</f>
        <v/>
      </c>
      <c r="L6282">
        <f>LET(
    arrears_months,'Loan Tape (S&amp;P)'!AN6282,
    IF(arrears_months=0,1.00,
    IF(arrears_months=1,3.00,
    IF(arrears_months=2,5.00,
    IF(arrears_months=3,8.00,
    IF(arrears_months=4,10.00,
    IF(arrears_months=5,12.00,15.00)))))))</f>
        <v/>
      </c>
      <c r="M6282">
        <f>LET(
    seasoning_years,DATEDIF('Loan Tape (S&amp;P)'!K6282,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82">
        <f>IF(AND('Loan Tape (S&amp;P)'!U6282="Yes",
        'Loan Tape (S&amp;P)'!T6282&lt;&gt;"Yes",
        DATEDIF('Loan Tape (S&amp;P)'!K6282, TODAY(), "M")&lt;18),
    1.10,
    1.00)</f>
        <v/>
      </c>
      <c r="O6282">
        <f>IF('Loan Tape (S&amp;P)'!T6282="Yes",
    1.35,
    1.00)</f>
        <v/>
      </c>
      <c r="P6282">
        <f>IF('Loan Tape (S&amp;P)'!S6282="Yes",
    1.15,
    1.00)</f>
        <v/>
      </c>
      <c r="Q6282">
        <f>IF('Loan Tape (S&amp;P)'!V6282="Yes",
    1.20,
    1.00)</f>
        <v/>
      </c>
      <c r="T6282">
        <f>LET(
    payment_method,'Loan Tape (S&amp;P)'!P6282,
    occupancy,'Loan Tape (S&amp;P)'!N6282,
    maturity_date,'Loan Tape (S&amp;P)'!L6282,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83">
      <c r="J6283">
        <f>LET(
    lien,'Loan Tape (S&amp;P)'!Q6283,
    IF(lien="First",1.00,
        IF(lien="Second",1.50,
            1.70)))</f>
        <v/>
      </c>
      <c r="K6283">
        <f>LET(
    purpose,'Loan Tape (S&amp;P)'!R6283,
    IF(purpose="Purchase",1.00,
        IF(purpose="Remortgage",1.00,
            1.20)))</f>
        <v/>
      </c>
      <c r="L6283">
        <f>LET(
    arrears_months,'Loan Tape (S&amp;P)'!AN6283,
    IF(arrears_months=0,1.00,
    IF(arrears_months=1,3.00,
    IF(arrears_months=2,5.00,
    IF(arrears_months=3,8.00,
    IF(arrears_months=4,10.00,
    IF(arrears_months=5,12.00,15.00)))))))</f>
        <v/>
      </c>
      <c r="M6283">
        <f>LET(
    seasoning_years,DATEDIF('Loan Tape (S&amp;P)'!K6283,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83">
        <f>IF(AND('Loan Tape (S&amp;P)'!U6283="Yes",
        'Loan Tape (S&amp;P)'!T6283&lt;&gt;"Yes",
        DATEDIF('Loan Tape (S&amp;P)'!K6283, TODAY(), "M")&lt;18),
    1.10,
    1.00)</f>
        <v/>
      </c>
      <c r="O6283">
        <f>IF('Loan Tape (S&amp;P)'!T6283="Yes",
    1.35,
    1.00)</f>
        <v/>
      </c>
      <c r="P6283">
        <f>IF('Loan Tape (S&amp;P)'!S6283="Yes",
    1.15,
    1.00)</f>
        <v/>
      </c>
      <c r="Q6283">
        <f>IF('Loan Tape (S&amp;P)'!V6283="Yes",
    1.20,
    1.00)</f>
        <v/>
      </c>
      <c r="T6283">
        <f>LET(
    payment_method,'Loan Tape (S&amp;P)'!P6283,
    occupancy,'Loan Tape (S&amp;P)'!N6283,
    maturity_date,'Loan Tape (S&amp;P)'!L6283,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84">
      <c r="J6284">
        <f>LET(
    lien,'Loan Tape (S&amp;P)'!Q6284,
    IF(lien="First",1.00,
        IF(lien="Second",1.50,
            1.70)))</f>
        <v/>
      </c>
      <c r="K6284">
        <f>LET(
    purpose,'Loan Tape (S&amp;P)'!R6284,
    IF(purpose="Purchase",1.00,
        IF(purpose="Remortgage",1.00,
            1.20)))</f>
        <v/>
      </c>
      <c r="L6284">
        <f>LET(
    arrears_months,'Loan Tape (S&amp;P)'!AN6284,
    IF(arrears_months=0,1.00,
    IF(arrears_months=1,3.00,
    IF(arrears_months=2,5.00,
    IF(arrears_months=3,8.00,
    IF(arrears_months=4,10.00,
    IF(arrears_months=5,12.00,15.00)))))))</f>
        <v/>
      </c>
      <c r="M6284">
        <f>LET(
    seasoning_years,DATEDIF('Loan Tape (S&amp;P)'!K6284,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84">
        <f>IF(AND('Loan Tape (S&amp;P)'!U6284="Yes",
        'Loan Tape (S&amp;P)'!T6284&lt;&gt;"Yes",
        DATEDIF('Loan Tape (S&amp;P)'!K6284, TODAY(), "M")&lt;18),
    1.10,
    1.00)</f>
        <v/>
      </c>
      <c r="O6284">
        <f>IF('Loan Tape (S&amp;P)'!T6284="Yes",
    1.35,
    1.00)</f>
        <v/>
      </c>
      <c r="P6284">
        <f>IF('Loan Tape (S&amp;P)'!S6284="Yes",
    1.15,
    1.00)</f>
        <v/>
      </c>
      <c r="Q6284">
        <f>IF('Loan Tape (S&amp;P)'!V6284="Yes",
    1.20,
    1.00)</f>
        <v/>
      </c>
      <c r="T6284">
        <f>LET(
    payment_method,'Loan Tape (S&amp;P)'!P6284,
    occupancy,'Loan Tape (S&amp;P)'!N6284,
    maturity_date,'Loan Tape (S&amp;P)'!L6284,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85">
      <c r="J6285">
        <f>LET(
    lien,'Loan Tape (S&amp;P)'!Q6285,
    IF(lien="First",1.00,
        IF(lien="Second",1.50,
            1.70)))</f>
        <v/>
      </c>
      <c r="K6285">
        <f>LET(
    purpose,'Loan Tape (S&amp;P)'!R6285,
    IF(purpose="Purchase",1.00,
        IF(purpose="Remortgage",1.00,
            1.20)))</f>
        <v/>
      </c>
      <c r="L6285">
        <f>LET(
    arrears_months,'Loan Tape (S&amp;P)'!AN6285,
    IF(arrears_months=0,1.00,
    IF(arrears_months=1,3.00,
    IF(arrears_months=2,5.00,
    IF(arrears_months=3,8.00,
    IF(arrears_months=4,10.00,
    IF(arrears_months=5,12.00,15.00)))))))</f>
        <v/>
      </c>
      <c r="M6285">
        <f>LET(
    seasoning_years,DATEDIF('Loan Tape (S&amp;P)'!K6285,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85">
        <f>IF(AND('Loan Tape (S&amp;P)'!U6285="Yes",
        'Loan Tape (S&amp;P)'!T6285&lt;&gt;"Yes",
        DATEDIF('Loan Tape (S&amp;P)'!K6285, TODAY(), "M")&lt;18),
    1.10,
    1.00)</f>
        <v/>
      </c>
      <c r="O6285">
        <f>IF('Loan Tape (S&amp;P)'!T6285="Yes",
    1.35,
    1.00)</f>
        <v/>
      </c>
      <c r="P6285">
        <f>IF('Loan Tape (S&amp;P)'!S6285="Yes",
    1.15,
    1.00)</f>
        <v/>
      </c>
      <c r="Q6285">
        <f>IF('Loan Tape (S&amp;P)'!V6285="Yes",
    1.20,
    1.00)</f>
        <v/>
      </c>
      <c r="T6285">
        <f>LET(
    payment_method,'Loan Tape (S&amp;P)'!P6285,
    occupancy,'Loan Tape (S&amp;P)'!N6285,
    maturity_date,'Loan Tape (S&amp;P)'!L6285,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86">
      <c r="J6286">
        <f>LET(
    lien,'Loan Tape (S&amp;P)'!Q6286,
    IF(lien="First",1.00,
        IF(lien="Second",1.50,
            1.70)))</f>
        <v/>
      </c>
      <c r="K6286">
        <f>LET(
    purpose,'Loan Tape (S&amp;P)'!R6286,
    IF(purpose="Purchase",1.00,
        IF(purpose="Remortgage",1.00,
            1.20)))</f>
        <v/>
      </c>
      <c r="L6286">
        <f>LET(
    arrears_months,'Loan Tape (S&amp;P)'!AN6286,
    IF(arrears_months=0,1.00,
    IF(arrears_months=1,3.00,
    IF(arrears_months=2,5.00,
    IF(arrears_months=3,8.00,
    IF(arrears_months=4,10.00,
    IF(arrears_months=5,12.00,15.00)))))))</f>
        <v/>
      </c>
      <c r="M6286">
        <f>LET(
    seasoning_years,DATEDIF('Loan Tape (S&amp;P)'!K6286,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86">
        <f>IF(AND('Loan Tape (S&amp;P)'!U6286="Yes",
        'Loan Tape (S&amp;P)'!T6286&lt;&gt;"Yes",
        DATEDIF('Loan Tape (S&amp;P)'!K6286, TODAY(), "M")&lt;18),
    1.10,
    1.00)</f>
        <v/>
      </c>
      <c r="O6286">
        <f>IF('Loan Tape (S&amp;P)'!T6286="Yes",
    1.35,
    1.00)</f>
        <v/>
      </c>
      <c r="P6286">
        <f>IF('Loan Tape (S&amp;P)'!S6286="Yes",
    1.15,
    1.00)</f>
        <v/>
      </c>
      <c r="Q6286">
        <f>IF('Loan Tape (S&amp;P)'!V6286="Yes",
    1.20,
    1.00)</f>
        <v/>
      </c>
      <c r="T6286">
        <f>LET(
    payment_method,'Loan Tape (S&amp;P)'!P6286,
    occupancy,'Loan Tape (S&amp;P)'!N6286,
    maturity_date,'Loan Tape (S&amp;P)'!L6286,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87">
      <c r="J6287">
        <f>LET(
    lien,'Loan Tape (S&amp;P)'!Q6287,
    IF(lien="First",1.00,
        IF(lien="Second",1.50,
            1.70)))</f>
        <v/>
      </c>
      <c r="K6287">
        <f>LET(
    purpose,'Loan Tape (S&amp;P)'!R6287,
    IF(purpose="Purchase",1.00,
        IF(purpose="Remortgage",1.00,
            1.20)))</f>
        <v/>
      </c>
      <c r="L6287">
        <f>LET(
    arrears_months,'Loan Tape (S&amp;P)'!AN6287,
    IF(arrears_months=0,1.00,
    IF(arrears_months=1,3.00,
    IF(arrears_months=2,5.00,
    IF(arrears_months=3,8.00,
    IF(arrears_months=4,10.00,
    IF(arrears_months=5,12.00,15.00)))))))</f>
        <v/>
      </c>
      <c r="M6287">
        <f>LET(
    seasoning_years,DATEDIF('Loan Tape (S&amp;P)'!K6287,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87">
        <f>IF(AND('Loan Tape (S&amp;P)'!U6287="Yes",
        'Loan Tape (S&amp;P)'!T6287&lt;&gt;"Yes",
        DATEDIF('Loan Tape (S&amp;P)'!K6287, TODAY(), "M")&lt;18),
    1.10,
    1.00)</f>
        <v/>
      </c>
      <c r="O6287">
        <f>IF('Loan Tape (S&amp;P)'!T6287="Yes",
    1.35,
    1.00)</f>
        <v/>
      </c>
      <c r="P6287">
        <f>IF('Loan Tape (S&amp;P)'!S6287="Yes",
    1.15,
    1.00)</f>
        <v/>
      </c>
      <c r="Q6287">
        <f>IF('Loan Tape (S&amp;P)'!V6287="Yes",
    1.20,
    1.00)</f>
        <v/>
      </c>
      <c r="T6287">
        <f>LET(
    payment_method,'Loan Tape (S&amp;P)'!P6287,
    occupancy,'Loan Tape (S&amp;P)'!N6287,
    maturity_date,'Loan Tape (S&amp;P)'!L6287,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88">
      <c r="J6288">
        <f>LET(
    lien,'Loan Tape (S&amp;P)'!Q6288,
    IF(lien="First",1.00,
        IF(lien="Second",1.50,
            1.70)))</f>
        <v/>
      </c>
      <c r="K6288">
        <f>LET(
    purpose,'Loan Tape (S&amp;P)'!R6288,
    IF(purpose="Purchase",1.00,
        IF(purpose="Remortgage",1.00,
            1.20)))</f>
        <v/>
      </c>
      <c r="L6288">
        <f>LET(
    arrears_months,'Loan Tape (S&amp;P)'!AN6288,
    IF(arrears_months=0,1.00,
    IF(arrears_months=1,3.00,
    IF(arrears_months=2,5.00,
    IF(arrears_months=3,8.00,
    IF(arrears_months=4,10.00,
    IF(arrears_months=5,12.00,15.00)))))))</f>
        <v/>
      </c>
      <c r="M6288">
        <f>LET(
    seasoning_years,DATEDIF('Loan Tape (S&amp;P)'!K6288,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88">
        <f>IF(AND('Loan Tape (S&amp;P)'!U6288="Yes",
        'Loan Tape (S&amp;P)'!T6288&lt;&gt;"Yes",
        DATEDIF('Loan Tape (S&amp;P)'!K6288, TODAY(), "M")&lt;18),
    1.10,
    1.00)</f>
        <v/>
      </c>
      <c r="O6288">
        <f>IF('Loan Tape (S&amp;P)'!T6288="Yes",
    1.35,
    1.00)</f>
        <v/>
      </c>
      <c r="P6288">
        <f>IF('Loan Tape (S&amp;P)'!S6288="Yes",
    1.15,
    1.00)</f>
        <v/>
      </c>
      <c r="Q6288">
        <f>IF('Loan Tape (S&amp;P)'!V6288="Yes",
    1.20,
    1.00)</f>
        <v/>
      </c>
      <c r="T6288">
        <f>LET(
    payment_method,'Loan Tape (S&amp;P)'!P6288,
    occupancy,'Loan Tape (S&amp;P)'!N6288,
    maturity_date,'Loan Tape (S&amp;P)'!L6288,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89">
      <c r="J6289">
        <f>LET(
    lien,'Loan Tape (S&amp;P)'!Q6289,
    IF(lien="First",1.00,
        IF(lien="Second",1.50,
            1.70)))</f>
        <v/>
      </c>
      <c r="K6289">
        <f>LET(
    purpose,'Loan Tape (S&amp;P)'!R6289,
    IF(purpose="Purchase",1.00,
        IF(purpose="Remortgage",1.00,
            1.20)))</f>
        <v/>
      </c>
      <c r="L6289">
        <f>LET(
    arrears_months,'Loan Tape (S&amp;P)'!AN6289,
    IF(arrears_months=0,1.00,
    IF(arrears_months=1,3.00,
    IF(arrears_months=2,5.00,
    IF(arrears_months=3,8.00,
    IF(arrears_months=4,10.00,
    IF(arrears_months=5,12.00,15.00)))))))</f>
        <v/>
      </c>
      <c r="M6289">
        <f>LET(
    seasoning_years,DATEDIF('Loan Tape (S&amp;P)'!K6289,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89">
        <f>IF(AND('Loan Tape (S&amp;P)'!U6289="Yes",
        'Loan Tape (S&amp;P)'!T6289&lt;&gt;"Yes",
        DATEDIF('Loan Tape (S&amp;P)'!K6289, TODAY(), "M")&lt;18),
    1.10,
    1.00)</f>
        <v/>
      </c>
      <c r="O6289">
        <f>IF('Loan Tape (S&amp;P)'!T6289="Yes",
    1.35,
    1.00)</f>
        <v/>
      </c>
      <c r="P6289">
        <f>IF('Loan Tape (S&amp;P)'!S6289="Yes",
    1.15,
    1.00)</f>
        <v/>
      </c>
      <c r="Q6289">
        <f>IF('Loan Tape (S&amp;P)'!V6289="Yes",
    1.20,
    1.00)</f>
        <v/>
      </c>
      <c r="T6289">
        <f>LET(
    payment_method,'Loan Tape (S&amp;P)'!P6289,
    occupancy,'Loan Tape (S&amp;P)'!N6289,
    maturity_date,'Loan Tape (S&amp;P)'!L6289,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90">
      <c r="J6290">
        <f>LET(
    lien,'Loan Tape (S&amp;P)'!Q6290,
    IF(lien="First",1.00,
        IF(lien="Second",1.50,
            1.70)))</f>
        <v/>
      </c>
      <c r="K6290">
        <f>LET(
    purpose,'Loan Tape (S&amp;P)'!R6290,
    IF(purpose="Purchase",1.00,
        IF(purpose="Remortgage",1.00,
            1.20)))</f>
        <v/>
      </c>
      <c r="L6290">
        <f>LET(
    arrears_months,'Loan Tape (S&amp;P)'!AN6290,
    IF(arrears_months=0,1.00,
    IF(arrears_months=1,3.00,
    IF(arrears_months=2,5.00,
    IF(arrears_months=3,8.00,
    IF(arrears_months=4,10.00,
    IF(arrears_months=5,12.00,15.00)))))))</f>
        <v/>
      </c>
      <c r="M6290">
        <f>LET(
    seasoning_years,DATEDIF('Loan Tape (S&amp;P)'!K6290,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90">
        <f>IF(AND('Loan Tape (S&amp;P)'!U6290="Yes",
        'Loan Tape (S&amp;P)'!T6290&lt;&gt;"Yes",
        DATEDIF('Loan Tape (S&amp;P)'!K6290, TODAY(), "M")&lt;18),
    1.10,
    1.00)</f>
        <v/>
      </c>
      <c r="O6290">
        <f>IF('Loan Tape (S&amp;P)'!T6290="Yes",
    1.35,
    1.00)</f>
        <v/>
      </c>
      <c r="P6290">
        <f>IF('Loan Tape (S&amp;P)'!S6290="Yes",
    1.15,
    1.00)</f>
        <v/>
      </c>
      <c r="Q6290">
        <f>IF('Loan Tape (S&amp;P)'!V6290="Yes",
    1.20,
    1.00)</f>
        <v/>
      </c>
      <c r="T6290">
        <f>LET(
    payment_method,'Loan Tape (S&amp;P)'!P6290,
    occupancy,'Loan Tape (S&amp;P)'!N6290,
    maturity_date,'Loan Tape (S&amp;P)'!L6290,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91">
      <c r="J6291">
        <f>LET(
    lien,'Loan Tape (S&amp;P)'!Q6291,
    IF(lien="First",1.00,
        IF(lien="Second",1.50,
            1.70)))</f>
        <v/>
      </c>
      <c r="K6291">
        <f>LET(
    purpose,'Loan Tape (S&amp;P)'!R6291,
    IF(purpose="Purchase",1.00,
        IF(purpose="Remortgage",1.00,
            1.20)))</f>
        <v/>
      </c>
      <c r="L6291">
        <f>LET(
    arrears_months,'Loan Tape (S&amp;P)'!AN6291,
    IF(arrears_months=0,1.00,
    IF(arrears_months=1,3.00,
    IF(arrears_months=2,5.00,
    IF(arrears_months=3,8.00,
    IF(arrears_months=4,10.00,
    IF(arrears_months=5,12.00,15.00)))))))</f>
        <v/>
      </c>
      <c r="M6291">
        <f>LET(
    seasoning_years,DATEDIF('Loan Tape (S&amp;P)'!K6291,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91">
        <f>IF(AND('Loan Tape (S&amp;P)'!U6291="Yes",
        'Loan Tape (S&amp;P)'!T6291&lt;&gt;"Yes",
        DATEDIF('Loan Tape (S&amp;P)'!K6291, TODAY(), "M")&lt;18),
    1.10,
    1.00)</f>
        <v/>
      </c>
      <c r="O6291">
        <f>IF('Loan Tape (S&amp;P)'!T6291="Yes",
    1.35,
    1.00)</f>
        <v/>
      </c>
      <c r="P6291">
        <f>IF('Loan Tape (S&amp;P)'!S6291="Yes",
    1.15,
    1.00)</f>
        <v/>
      </c>
      <c r="Q6291">
        <f>IF('Loan Tape (S&amp;P)'!V6291="Yes",
    1.20,
    1.00)</f>
        <v/>
      </c>
      <c r="T6291">
        <f>LET(
    payment_method,'Loan Tape (S&amp;P)'!P6291,
    occupancy,'Loan Tape (S&amp;P)'!N6291,
    maturity_date,'Loan Tape (S&amp;P)'!L6291,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92">
      <c r="J6292">
        <f>LET(
    lien,'Loan Tape (S&amp;P)'!Q6292,
    IF(lien="First",1.00,
        IF(lien="Second",1.50,
            1.70)))</f>
        <v/>
      </c>
      <c r="K6292">
        <f>LET(
    purpose,'Loan Tape (S&amp;P)'!R6292,
    IF(purpose="Purchase",1.00,
        IF(purpose="Remortgage",1.00,
            1.20)))</f>
        <v/>
      </c>
      <c r="L6292">
        <f>LET(
    arrears_months,'Loan Tape (S&amp;P)'!AN6292,
    IF(arrears_months=0,1.00,
    IF(arrears_months=1,3.00,
    IF(arrears_months=2,5.00,
    IF(arrears_months=3,8.00,
    IF(arrears_months=4,10.00,
    IF(arrears_months=5,12.00,15.00)))))))</f>
        <v/>
      </c>
      <c r="M6292">
        <f>LET(
    seasoning_years,DATEDIF('Loan Tape (S&amp;P)'!K6292,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92">
        <f>IF(AND('Loan Tape (S&amp;P)'!U6292="Yes",
        'Loan Tape (S&amp;P)'!T6292&lt;&gt;"Yes",
        DATEDIF('Loan Tape (S&amp;P)'!K6292, TODAY(), "M")&lt;18),
    1.10,
    1.00)</f>
        <v/>
      </c>
      <c r="O6292">
        <f>IF('Loan Tape (S&amp;P)'!T6292="Yes",
    1.35,
    1.00)</f>
        <v/>
      </c>
      <c r="P6292">
        <f>IF('Loan Tape (S&amp;P)'!S6292="Yes",
    1.15,
    1.00)</f>
        <v/>
      </c>
      <c r="Q6292">
        <f>IF('Loan Tape (S&amp;P)'!V6292="Yes",
    1.20,
    1.00)</f>
        <v/>
      </c>
      <c r="T6292">
        <f>LET(
    payment_method,'Loan Tape (S&amp;P)'!P6292,
    occupancy,'Loan Tape (S&amp;P)'!N6292,
    maturity_date,'Loan Tape (S&amp;P)'!L6292,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93">
      <c r="J6293">
        <f>LET(
    lien,'Loan Tape (S&amp;P)'!Q6293,
    IF(lien="First",1.00,
        IF(lien="Second",1.50,
            1.70)))</f>
        <v/>
      </c>
      <c r="K6293">
        <f>LET(
    purpose,'Loan Tape (S&amp;P)'!R6293,
    IF(purpose="Purchase",1.00,
        IF(purpose="Remortgage",1.00,
            1.20)))</f>
        <v/>
      </c>
      <c r="L6293">
        <f>LET(
    arrears_months,'Loan Tape (S&amp;P)'!AN6293,
    IF(arrears_months=0,1.00,
    IF(arrears_months=1,3.00,
    IF(arrears_months=2,5.00,
    IF(arrears_months=3,8.00,
    IF(arrears_months=4,10.00,
    IF(arrears_months=5,12.00,15.00)))))))</f>
        <v/>
      </c>
      <c r="M6293">
        <f>LET(
    seasoning_years,DATEDIF('Loan Tape (S&amp;P)'!K6293,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93">
        <f>IF(AND('Loan Tape (S&amp;P)'!U6293="Yes",
        'Loan Tape (S&amp;P)'!T6293&lt;&gt;"Yes",
        DATEDIF('Loan Tape (S&amp;P)'!K6293, TODAY(), "M")&lt;18),
    1.10,
    1.00)</f>
        <v/>
      </c>
      <c r="O6293">
        <f>IF('Loan Tape (S&amp;P)'!T6293="Yes",
    1.35,
    1.00)</f>
        <v/>
      </c>
      <c r="P6293">
        <f>IF('Loan Tape (S&amp;P)'!S6293="Yes",
    1.15,
    1.00)</f>
        <v/>
      </c>
      <c r="Q6293">
        <f>IF('Loan Tape (S&amp;P)'!V6293="Yes",
    1.20,
    1.00)</f>
        <v/>
      </c>
      <c r="T6293">
        <f>LET(
    payment_method,'Loan Tape (S&amp;P)'!P6293,
    occupancy,'Loan Tape (S&amp;P)'!N6293,
    maturity_date,'Loan Tape (S&amp;P)'!L6293,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94">
      <c r="J6294">
        <f>LET(
    lien,'Loan Tape (S&amp;P)'!Q6294,
    IF(lien="First",1.00,
        IF(lien="Second",1.50,
            1.70)))</f>
        <v/>
      </c>
      <c r="K6294">
        <f>LET(
    purpose,'Loan Tape (S&amp;P)'!R6294,
    IF(purpose="Purchase",1.00,
        IF(purpose="Remortgage",1.00,
            1.20)))</f>
        <v/>
      </c>
      <c r="L6294">
        <f>LET(
    arrears_months,'Loan Tape (S&amp;P)'!AN6294,
    IF(arrears_months=0,1.00,
    IF(arrears_months=1,3.00,
    IF(arrears_months=2,5.00,
    IF(arrears_months=3,8.00,
    IF(arrears_months=4,10.00,
    IF(arrears_months=5,12.00,15.00)))))))</f>
        <v/>
      </c>
      <c r="M6294">
        <f>LET(
    seasoning_years,DATEDIF('Loan Tape (S&amp;P)'!K6294,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94">
        <f>IF(AND('Loan Tape (S&amp;P)'!U6294="Yes",
        'Loan Tape (S&amp;P)'!T6294&lt;&gt;"Yes",
        DATEDIF('Loan Tape (S&amp;P)'!K6294, TODAY(), "M")&lt;18),
    1.10,
    1.00)</f>
        <v/>
      </c>
      <c r="O6294">
        <f>IF('Loan Tape (S&amp;P)'!T6294="Yes",
    1.35,
    1.00)</f>
        <v/>
      </c>
      <c r="P6294">
        <f>IF('Loan Tape (S&amp;P)'!S6294="Yes",
    1.15,
    1.00)</f>
        <v/>
      </c>
      <c r="Q6294">
        <f>IF('Loan Tape (S&amp;P)'!V6294="Yes",
    1.20,
    1.00)</f>
        <v/>
      </c>
      <c r="T6294">
        <f>LET(
    payment_method,'Loan Tape (S&amp;P)'!P6294,
    occupancy,'Loan Tape (S&amp;P)'!N6294,
    maturity_date,'Loan Tape (S&amp;P)'!L6294,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95">
      <c r="J6295">
        <f>LET(
    lien,'Loan Tape (S&amp;P)'!Q6295,
    IF(lien="First",1.00,
        IF(lien="Second",1.50,
            1.70)))</f>
        <v/>
      </c>
      <c r="K6295">
        <f>LET(
    purpose,'Loan Tape (S&amp;P)'!R6295,
    IF(purpose="Purchase",1.00,
        IF(purpose="Remortgage",1.00,
            1.20)))</f>
        <v/>
      </c>
      <c r="L6295">
        <f>LET(
    arrears_months,'Loan Tape (S&amp;P)'!AN6295,
    IF(arrears_months=0,1.00,
    IF(arrears_months=1,3.00,
    IF(arrears_months=2,5.00,
    IF(arrears_months=3,8.00,
    IF(arrears_months=4,10.00,
    IF(arrears_months=5,12.00,15.00)))))))</f>
        <v/>
      </c>
      <c r="M6295">
        <f>LET(
    seasoning_years,DATEDIF('Loan Tape (S&amp;P)'!K6295,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95">
        <f>IF(AND('Loan Tape (S&amp;P)'!U6295="Yes",
        'Loan Tape (S&amp;P)'!T6295&lt;&gt;"Yes",
        DATEDIF('Loan Tape (S&amp;P)'!K6295, TODAY(), "M")&lt;18),
    1.10,
    1.00)</f>
        <v/>
      </c>
      <c r="O6295">
        <f>IF('Loan Tape (S&amp;P)'!T6295="Yes",
    1.35,
    1.00)</f>
        <v/>
      </c>
      <c r="P6295">
        <f>IF('Loan Tape (S&amp;P)'!S6295="Yes",
    1.15,
    1.00)</f>
        <v/>
      </c>
      <c r="Q6295">
        <f>IF('Loan Tape (S&amp;P)'!V6295="Yes",
    1.20,
    1.00)</f>
        <v/>
      </c>
      <c r="T6295">
        <f>LET(
    payment_method,'Loan Tape (S&amp;P)'!P6295,
    occupancy,'Loan Tape (S&amp;P)'!N6295,
    maturity_date,'Loan Tape (S&amp;P)'!L6295,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96">
      <c r="J6296">
        <f>LET(
    lien,'Loan Tape (S&amp;P)'!Q6296,
    IF(lien="First",1.00,
        IF(lien="Second",1.50,
            1.70)))</f>
        <v/>
      </c>
      <c r="K6296">
        <f>LET(
    purpose,'Loan Tape (S&amp;P)'!R6296,
    IF(purpose="Purchase",1.00,
        IF(purpose="Remortgage",1.00,
            1.20)))</f>
        <v/>
      </c>
      <c r="L6296">
        <f>LET(
    arrears_months,'Loan Tape (S&amp;P)'!AN6296,
    IF(arrears_months=0,1.00,
    IF(arrears_months=1,3.00,
    IF(arrears_months=2,5.00,
    IF(arrears_months=3,8.00,
    IF(arrears_months=4,10.00,
    IF(arrears_months=5,12.00,15.00)))))))</f>
        <v/>
      </c>
      <c r="M6296">
        <f>LET(
    seasoning_years,DATEDIF('Loan Tape (S&amp;P)'!K6296,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96">
        <f>IF(AND('Loan Tape (S&amp;P)'!U6296="Yes",
        'Loan Tape (S&amp;P)'!T6296&lt;&gt;"Yes",
        DATEDIF('Loan Tape (S&amp;P)'!K6296, TODAY(), "M")&lt;18),
    1.10,
    1.00)</f>
        <v/>
      </c>
      <c r="O6296">
        <f>IF('Loan Tape (S&amp;P)'!T6296="Yes",
    1.35,
    1.00)</f>
        <v/>
      </c>
      <c r="P6296">
        <f>IF('Loan Tape (S&amp;P)'!S6296="Yes",
    1.15,
    1.00)</f>
        <v/>
      </c>
      <c r="Q6296">
        <f>IF('Loan Tape (S&amp;P)'!V6296="Yes",
    1.20,
    1.00)</f>
        <v/>
      </c>
      <c r="T6296">
        <f>LET(
    payment_method,'Loan Tape (S&amp;P)'!P6296,
    occupancy,'Loan Tape (S&amp;P)'!N6296,
    maturity_date,'Loan Tape (S&amp;P)'!L6296,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97">
      <c r="J6297">
        <f>LET(
    lien,'Loan Tape (S&amp;P)'!Q6297,
    IF(lien="First",1.00,
        IF(lien="Second",1.50,
            1.70)))</f>
        <v/>
      </c>
      <c r="K6297">
        <f>LET(
    purpose,'Loan Tape (S&amp;P)'!R6297,
    IF(purpose="Purchase",1.00,
        IF(purpose="Remortgage",1.00,
            1.20)))</f>
        <v/>
      </c>
      <c r="L6297">
        <f>LET(
    arrears_months,'Loan Tape (S&amp;P)'!AN6297,
    IF(arrears_months=0,1.00,
    IF(arrears_months=1,3.00,
    IF(arrears_months=2,5.00,
    IF(arrears_months=3,8.00,
    IF(arrears_months=4,10.00,
    IF(arrears_months=5,12.00,15.00)))))))</f>
        <v/>
      </c>
      <c r="M6297">
        <f>LET(
    seasoning_years,DATEDIF('Loan Tape (S&amp;P)'!K6297,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97">
        <f>IF(AND('Loan Tape (S&amp;P)'!U6297="Yes",
        'Loan Tape (S&amp;P)'!T6297&lt;&gt;"Yes",
        DATEDIF('Loan Tape (S&amp;P)'!K6297, TODAY(), "M")&lt;18),
    1.10,
    1.00)</f>
        <v/>
      </c>
      <c r="O6297">
        <f>IF('Loan Tape (S&amp;P)'!T6297="Yes",
    1.35,
    1.00)</f>
        <v/>
      </c>
      <c r="P6297">
        <f>IF('Loan Tape (S&amp;P)'!S6297="Yes",
    1.15,
    1.00)</f>
        <v/>
      </c>
      <c r="Q6297">
        <f>IF('Loan Tape (S&amp;P)'!V6297="Yes",
    1.20,
    1.00)</f>
        <v/>
      </c>
      <c r="T6297">
        <f>LET(
    payment_method,'Loan Tape (S&amp;P)'!P6297,
    occupancy,'Loan Tape (S&amp;P)'!N6297,
    maturity_date,'Loan Tape (S&amp;P)'!L6297,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98">
      <c r="J6298">
        <f>LET(
    lien,'Loan Tape (S&amp;P)'!Q6298,
    IF(lien="First",1.00,
        IF(lien="Second",1.50,
            1.70)))</f>
        <v/>
      </c>
      <c r="K6298">
        <f>LET(
    purpose,'Loan Tape (S&amp;P)'!R6298,
    IF(purpose="Purchase",1.00,
        IF(purpose="Remortgage",1.00,
            1.20)))</f>
        <v/>
      </c>
      <c r="L6298">
        <f>LET(
    arrears_months,'Loan Tape (S&amp;P)'!AN6298,
    IF(arrears_months=0,1.00,
    IF(arrears_months=1,3.00,
    IF(arrears_months=2,5.00,
    IF(arrears_months=3,8.00,
    IF(arrears_months=4,10.00,
    IF(arrears_months=5,12.00,15.00)))))))</f>
        <v/>
      </c>
      <c r="M6298">
        <f>LET(
    seasoning_years,DATEDIF('Loan Tape (S&amp;P)'!K6298,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98">
        <f>IF(AND('Loan Tape (S&amp;P)'!U6298="Yes",
        'Loan Tape (S&amp;P)'!T6298&lt;&gt;"Yes",
        DATEDIF('Loan Tape (S&amp;P)'!K6298, TODAY(), "M")&lt;18),
    1.10,
    1.00)</f>
        <v/>
      </c>
      <c r="O6298">
        <f>IF('Loan Tape (S&amp;P)'!T6298="Yes",
    1.35,
    1.00)</f>
        <v/>
      </c>
      <c r="P6298">
        <f>IF('Loan Tape (S&amp;P)'!S6298="Yes",
    1.15,
    1.00)</f>
        <v/>
      </c>
      <c r="Q6298">
        <f>IF('Loan Tape (S&amp;P)'!V6298="Yes",
    1.20,
    1.00)</f>
        <v/>
      </c>
      <c r="T6298">
        <f>LET(
    payment_method,'Loan Tape (S&amp;P)'!P6298,
    occupancy,'Loan Tape (S&amp;P)'!N6298,
    maturity_date,'Loan Tape (S&amp;P)'!L6298,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299">
      <c r="J6299">
        <f>LET(
    lien,'Loan Tape (S&amp;P)'!Q6299,
    IF(lien="First",1.00,
        IF(lien="Second",1.50,
            1.70)))</f>
        <v/>
      </c>
      <c r="K6299">
        <f>LET(
    purpose,'Loan Tape (S&amp;P)'!R6299,
    IF(purpose="Purchase",1.00,
        IF(purpose="Remortgage",1.00,
            1.20)))</f>
        <v/>
      </c>
      <c r="L6299">
        <f>LET(
    arrears_months,'Loan Tape (S&amp;P)'!AN6299,
    IF(arrears_months=0,1.00,
    IF(arrears_months=1,3.00,
    IF(arrears_months=2,5.00,
    IF(arrears_months=3,8.00,
    IF(arrears_months=4,10.00,
    IF(arrears_months=5,12.00,15.00)))))))</f>
        <v/>
      </c>
      <c r="M6299">
        <f>LET(
    seasoning_years,DATEDIF('Loan Tape (S&amp;P)'!K6299,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299">
        <f>IF(AND('Loan Tape (S&amp;P)'!U6299="Yes",
        'Loan Tape (S&amp;P)'!T6299&lt;&gt;"Yes",
        DATEDIF('Loan Tape (S&amp;P)'!K6299, TODAY(), "M")&lt;18),
    1.10,
    1.00)</f>
        <v/>
      </c>
      <c r="O6299">
        <f>IF('Loan Tape (S&amp;P)'!T6299="Yes",
    1.35,
    1.00)</f>
        <v/>
      </c>
      <c r="P6299">
        <f>IF('Loan Tape (S&amp;P)'!S6299="Yes",
    1.15,
    1.00)</f>
        <v/>
      </c>
      <c r="Q6299">
        <f>IF('Loan Tape (S&amp;P)'!V6299="Yes",
    1.20,
    1.00)</f>
        <v/>
      </c>
      <c r="T6299">
        <f>LET(
    payment_method,'Loan Tape (S&amp;P)'!P6299,
    occupancy,'Loan Tape (S&amp;P)'!N6299,
    maturity_date,'Loan Tape (S&amp;P)'!L6299,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00">
      <c r="J6300">
        <f>LET(
    lien,'Loan Tape (S&amp;P)'!Q6300,
    IF(lien="First",1.00,
        IF(lien="Second",1.50,
            1.70)))</f>
        <v/>
      </c>
      <c r="K6300">
        <f>LET(
    purpose,'Loan Tape (S&amp;P)'!R6300,
    IF(purpose="Purchase",1.00,
        IF(purpose="Remortgage",1.00,
            1.20)))</f>
        <v/>
      </c>
      <c r="L6300">
        <f>LET(
    arrears_months,'Loan Tape (S&amp;P)'!AN6300,
    IF(arrears_months=0,1.00,
    IF(arrears_months=1,3.00,
    IF(arrears_months=2,5.00,
    IF(arrears_months=3,8.00,
    IF(arrears_months=4,10.00,
    IF(arrears_months=5,12.00,15.00)))))))</f>
        <v/>
      </c>
      <c r="M6300">
        <f>LET(
    seasoning_years,DATEDIF('Loan Tape (S&amp;P)'!K6300,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00">
        <f>IF(AND('Loan Tape (S&amp;P)'!U6300="Yes",
        'Loan Tape (S&amp;P)'!T6300&lt;&gt;"Yes",
        DATEDIF('Loan Tape (S&amp;P)'!K6300, TODAY(), "M")&lt;18),
    1.10,
    1.00)</f>
        <v/>
      </c>
      <c r="O6300">
        <f>IF('Loan Tape (S&amp;P)'!T6300="Yes",
    1.35,
    1.00)</f>
        <v/>
      </c>
      <c r="P6300">
        <f>IF('Loan Tape (S&amp;P)'!S6300="Yes",
    1.15,
    1.00)</f>
        <v/>
      </c>
      <c r="Q6300">
        <f>IF('Loan Tape (S&amp;P)'!V6300="Yes",
    1.20,
    1.00)</f>
        <v/>
      </c>
      <c r="T6300">
        <f>LET(
    payment_method,'Loan Tape (S&amp;P)'!P6300,
    occupancy,'Loan Tape (S&amp;P)'!N6300,
    maturity_date,'Loan Tape (S&amp;P)'!L6300,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01">
      <c r="J6301">
        <f>LET(
    lien,'Loan Tape (S&amp;P)'!Q6301,
    IF(lien="First",1.00,
        IF(lien="Second",1.50,
            1.70)))</f>
        <v/>
      </c>
      <c r="K6301">
        <f>LET(
    purpose,'Loan Tape (S&amp;P)'!R6301,
    IF(purpose="Purchase",1.00,
        IF(purpose="Remortgage",1.00,
            1.20)))</f>
        <v/>
      </c>
      <c r="L6301">
        <f>LET(
    arrears_months,'Loan Tape (S&amp;P)'!AN6301,
    IF(arrears_months=0,1.00,
    IF(arrears_months=1,3.00,
    IF(arrears_months=2,5.00,
    IF(arrears_months=3,8.00,
    IF(arrears_months=4,10.00,
    IF(arrears_months=5,12.00,15.00)))))))</f>
        <v/>
      </c>
      <c r="M6301">
        <f>LET(
    seasoning_years,DATEDIF('Loan Tape (S&amp;P)'!K6301,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01">
        <f>IF(AND('Loan Tape (S&amp;P)'!U6301="Yes",
        'Loan Tape (S&amp;P)'!T6301&lt;&gt;"Yes",
        DATEDIF('Loan Tape (S&amp;P)'!K6301, TODAY(), "M")&lt;18),
    1.10,
    1.00)</f>
        <v/>
      </c>
      <c r="O6301">
        <f>IF('Loan Tape (S&amp;P)'!T6301="Yes",
    1.35,
    1.00)</f>
        <v/>
      </c>
      <c r="P6301">
        <f>IF('Loan Tape (S&amp;P)'!S6301="Yes",
    1.15,
    1.00)</f>
        <v/>
      </c>
      <c r="Q6301">
        <f>IF('Loan Tape (S&amp;P)'!V6301="Yes",
    1.20,
    1.00)</f>
        <v/>
      </c>
      <c r="T6301">
        <f>LET(
    payment_method,'Loan Tape (S&amp;P)'!P6301,
    occupancy,'Loan Tape (S&amp;P)'!N6301,
    maturity_date,'Loan Tape (S&amp;P)'!L6301,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02">
      <c r="J6302">
        <f>LET(
    lien,'Loan Tape (S&amp;P)'!Q6302,
    IF(lien="First",1.00,
        IF(lien="Second",1.50,
            1.70)))</f>
        <v/>
      </c>
      <c r="K6302">
        <f>LET(
    purpose,'Loan Tape (S&amp;P)'!R6302,
    IF(purpose="Purchase",1.00,
        IF(purpose="Remortgage",1.00,
            1.20)))</f>
        <v/>
      </c>
      <c r="L6302">
        <f>LET(
    arrears_months,'Loan Tape (S&amp;P)'!AN6302,
    IF(arrears_months=0,1.00,
    IF(arrears_months=1,3.00,
    IF(arrears_months=2,5.00,
    IF(arrears_months=3,8.00,
    IF(arrears_months=4,10.00,
    IF(arrears_months=5,12.00,15.00)))))))</f>
        <v/>
      </c>
      <c r="M6302">
        <f>LET(
    seasoning_years,DATEDIF('Loan Tape (S&amp;P)'!K6302,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02">
        <f>IF(AND('Loan Tape (S&amp;P)'!U6302="Yes",
        'Loan Tape (S&amp;P)'!T6302&lt;&gt;"Yes",
        DATEDIF('Loan Tape (S&amp;P)'!K6302, TODAY(), "M")&lt;18),
    1.10,
    1.00)</f>
        <v/>
      </c>
      <c r="O6302">
        <f>IF('Loan Tape (S&amp;P)'!T6302="Yes",
    1.35,
    1.00)</f>
        <v/>
      </c>
      <c r="P6302">
        <f>IF('Loan Tape (S&amp;P)'!S6302="Yes",
    1.15,
    1.00)</f>
        <v/>
      </c>
      <c r="Q6302">
        <f>IF('Loan Tape (S&amp;P)'!V6302="Yes",
    1.20,
    1.00)</f>
        <v/>
      </c>
      <c r="T6302">
        <f>LET(
    payment_method,'Loan Tape (S&amp;P)'!P6302,
    occupancy,'Loan Tape (S&amp;P)'!N6302,
    maturity_date,'Loan Tape (S&amp;P)'!L6302,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03">
      <c r="J6303">
        <f>LET(
    lien,'Loan Tape (S&amp;P)'!Q6303,
    IF(lien="First",1.00,
        IF(lien="Second",1.50,
            1.70)))</f>
        <v/>
      </c>
      <c r="K6303">
        <f>LET(
    purpose,'Loan Tape (S&amp;P)'!R6303,
    IF(purpose="Purchase",1.00,
        IF(purpose="Remortgage",1.00,
            1.20)))</f>
        <v/>
      </c>
      <c r="L6303">
        <f>LET(
    arrears_months,'Loan Tape (S&amp;P)'!AN6303,
    IF(arrears_months=0,1.00,
    IF(arrears_months=1,3.00,
    IF(arrears_months=2,5.00,
    IF(arrears_months=3,8.00,
    IF(arrears_months=4,10.00,
    IF(arrears_months=5,12.00,15.00)))))))</f>
        <v/>
      </c>
      <c r="M6303">
        <f>LET(
    seasoning_years,DATEDIF('Loan Tape (S&amp;P)'!K6303,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03">
        <f>IF(AND('Loan Tape (S&amp;P)'!U6303="Yes",
        'Loan Tape (S&amp;P)'!T6303&lt;&gt;"Yes",
        DATEDIF('Loan Tape (S&amp;P)'!K6303, TODAY(), "M")&lt;18),
    1.10,
    1.00)</f>
        <v/>
      </c>
      <c r="O6303">
        <f>IF('Loan Tape (S&amp;P)'!T6303="Yes",
    1.35,
    1.00)</f>
        <v/>
      </c>
      <c r="P6303">
        <f>IF('Loan Tape (S&amp;P)'!S6303="Yes",
    1.15,
    1.00)</f>
        <v/>
      </c>
      <c r="Q6303">
        <f>IF('Loan Tape (S&amp;P)'!V6303="Yes",
    1.20,
    1.00)</f>
        <v/>
      </c>
      <c r="T6303">
        <f>LET(
    payment_method,'Loan Tape (S&amp;P)'!P6303,
    occupancy,'Loan Tape (S&amp;P)'!N6303,
    maturity_date,'Loan Tape (S&amp;P)'!L6303,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04">
      <c r="J6304">
        <f>LET(
    lien,'Loan Tape (S&amp;P)'!Q6304,
    IF(lien="First",1.00,
        IF(lien="Second",1.50,
            1.70)))</f>
        <v/>
      </c>
      <c r="K6304">
        <f>LET(
    purpose,'Loan Tape (S&amp;P)'!R6304,
    IF(purpose="Purchase",1.00,
        IF(purpose="Remortgage",1.00,
            1.20)))</f>
        <v/>
      </c>
      <c r="L6304">
        <f>LET(
    arrears_months,'Loan Tape (S&amp;P)'!AN6304,
    IF(arrears_months=0,1.00,
    IF(arrears_months=1,3.00,
    IF(arrears_months=2,5.00,
    IF(arrears_months=3,8.00,
    IF(arrears_months=4,10.00,
    IF(arrears_months=5,12.00,15.00)))))))</f>
        <v/>
      </c>
      <c r="M6304">
        <f>LET(
    seasoning_years,DATEDIF('Loan Tape (S&amp;P)'!K6304,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04">
        <f>IF(AND('Loan Tape (S&amp;P)'!U6304="Yes",
        'Loan Tape (S&amp;P)'!T6304&lt;&gt;"Yes",
        DATEDIF('Loan Tape (S&amp;P)'!K6304, TODAY(), "M")&lt;18),
    1.10,
    1.00)</f>
        <v/>
      </c>
      <c r="O6304">
        <f>IF('Loan Tape (S&amp;P)'!T6304="Yes",
    1.35,
    1.00)</f>
        <v/>
      </c>
      <c r="P6304">
        <f>IF('Loan Tape (S&amp;P)'!S6304="Yes",
    1.15,
    1.00)</f>
        <v/>
      </c>
      <c r="Q6304">
        <f>IF('Loan Tape (S&amp;P)'!V6304="Yes",
    1.20,
    1.00)</f>
        <v/>
      </c>
      <c r="T6304">
        <f>LET(
    payment_method,'Loan Tape (S&amp;P)'!P6304,
    occupancy,'Loan Tape (S&amp;P)'!N6304,
    maturity_date,'Loan Tape (S&amp;P)'!L6304,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05">
      <c r="J6305">
        <f>LET(
    lien,'Loan Tape (S&amp;P)'!Q6305,
    IF(lien="First",1.00,
        IF(lien="Second",1.50,
            1.70)))</f>
        <v/>
      </c>
      <c r="K6305">
        <f>LET(
    purpose,'Loan Tape (S&amp;P)'!R6305,
    IF(purpose="Purchase",1.00,
        IF(purpose="Remortgage",1.00,
            1.20)))</f>
        <v/>
      </c>
      <c r="L6305">
        <f>LET(
    arrears_months,'Loan Tape (S&amp;P)'!AN6305,
    IF(arrears_months=0,1.00,
    IF(arrears_months=1,3.00,
    IF(arrears_months=2,5.00,
    IF(arrears_months=3,8.00,
    IF(arrears_months=4,10.00,
    IF(arrears_months=5,12.00,15.00)))))))</f>
        <v/>
      </c>
      <c r="M6305">
        <f>LET(
    seasoning_years,DATEDIF('Loan Tape (S&amp;P)'!K6305,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05">
        <f>IF(AND('Loan Tape (S&amp;P)'!U6305="Yes",
        'Loan Tape (S&amp;P)'!T6305&lt;&gt;"Yes",
        DATEDIF('Loan Tape (S&amp;P)'!K6305, TODAY(), "M")&lt;18),
    1.10,
    1.00)</f>
        <v/>
      </c>
      <c r="O6305">
        <f>IF('Loan Tape (S&amp;P)'!T6305="Yes",
    1.35,
    1.00)</f>
        <v/>
      </c>
      <c r="P6305">
        <f>IF('Loan Tape (S&amp;P)'!S6305="Yes",
    1.15,
    1.00)</f>
        <v/>
      </c>
      <c r="Q6305">
        <f>IF('Loan Tape (S&amp;P)'!V6305="Yes",
    1.20,
    1.00)</f>
        <v/>
      </c>
      <c r="T6305">
        <f>LET(
    payment_method,'Loan Tape (S&amp;P)'!P6305,
    occupancy,'Loan Tape (S&amp;P)'!N6305,
    maturity_date,'Loan Tape (S&amp;P)'!L6305,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06">
      <c r="J6306">
        <f>LET(
    lien,'Loan Tape (S&amp;P)'!Q6306,
    IF(lien="First",1.00,
        IF(lien="Second",1.50,
            1.70)))</f>
        <v/>
      </c>
      <c r="K6306">
        <f>LET(
    purpose,'Loan Tape (S&amp;P)'!R6306,
    IF(purpose="Purchase",1.00,
        IF(purpose="Remortgage",1.00,
            1.20)))</f>
        <v/>
      </c>
      <c r="L6306">
        <f>LET(
    arrears_months,'Loan Tape (S&amp;P)'!AN6306,
    IF(arrears_months=0,1.00,
    IF(arrears_months=1,3.00,
    IF(arrears_months=2,5.00,
    IF(arrears_months=3,8.00,
    IF(arrears_months=4,10.00,
    IF(arrears_months=5,12.00,15.00)))))))</f>
        <v/>
      </c>
      <c r="M6306">
        <f>LET(
    seasoning_years,DATEDIF('Loan Tape (S&amp;P)'!K6306,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06">
        <f>IF(AND('Loan Tape (S&amp;P)'!U6306="Yes",
        'Loan Tape (S&amp;P)'!T6306&lt;&gt;"Yes",
        DATEDIF('Loan Tape (S&amp;P)'!K6306, TODAY(), "M")&lt;18),
    1.10,
    1.00)</f>
        <v/>
      </c>
      <c r="O6306">
        <f>IF('Loan Tape (S&amp;P)'!T6306="Yes",
    1.35,
    1.00)</f>
        <v/>
      </c>
      <c r="P6306">
        <f>IF('Loan Tape (S&amp;P)'!S6306="Yes",
    1.15,
    1.00)</f>
        <v/>
      </c>
      <c r="Q6306">
        <f>IF('Loan Tape (S&amp;P)'!V6306="Yes",
    1.20,
    1.00)</f>
        <v/>
      </c>
      <c r="T6306">
        <f>LET(
    payment_method,'Loan Tape (S&amp;P)'!P6306,
    occupancy,'Loan Tape (S&amp;P)'!N6306,
    maturity_date,'Loan Tape (S&amp;P)'!L6306,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07">
      <c r="J6307">
        <f>LET(
    lien,'Loan Tape (S&amp;P)'!Q6307,
    IF(lien="First",1.00,
        IF(lien="Second",1.50,
            1.70)))</f>
        <v/>
      </c>
      <c r="K6307">
        <f>LET(
    purpose,'Loan Tape (S&amp;P)'!R6307,
    IF(purpose="Purchase",1.00,
        IF(purpose="Remortgage",1.00,
            1.20)))</f>
        <v/>
      </c>
      <c r="L6307">
        <f>LET(
    arrears_months,'Loan Tape (S&amp;P)'!AN6307,
    IF(arrears_months=0,1.00,
    IF(arrears_months=1,3.00,
    IF(arrears_months=2,5.00,
    IF(arrears_months=3,8.00,
    IF(arrears_months=4,10.00,
    IF(arrears_months=5,12.00,15.00)))))))</f>
        <v/>
      </c>
      <c r="M6307">
        <f>LET(
    seasoning_years,DATEDIF('Loan Tape (S&amp;P)'!K6307,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07">
        <f>IF(AND('Loan Tape (S&amp;P)'!U6307="Yes",
        'Loan Tape (S&amp;P)'!T6307&lt;&gt;"Yes",
        DATEDIF('Loan Tape (S&amp;P)'!K6307, TODAY(), "M")&lt;18),
    1.10,
    1.00)</f>
        <v/>
      </c>
      <c r="O6307">
        <f>IF('Loan Tape (S&amp;P)'!T6307="Yes",
    1.35,
    1.00)</f>
        <v/>
      </c>
      <c r="P6307">
        <f>IF('Loan Tape (S&amp;P)'!S6307="Yes",
    1.15,
    1.00)</f>
        <v/>
      </c>
      <c r="Q6307">
        <f>IF('Loan Tape (S&amp;P)'!V6307="Yes",
    1.20,
    1.00)</f>
        <v/>
      </c>
      <c r="T6307">
        <f>LET(
    payment_method,'Loan Tape (S&amp;P)'!P6307,
    occupancy,'Loan Tape (S&amp;P)'!N6307,
    maturity_date,'Loan Tape (S&amp;P)'!L6307,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08">
      <c r="J6308">
        <f>LET(
    lien,'Loan Tape (S&amp;P)'!Q6308,
    IF(lien="First",1.00,
        IF(lien="Second",1.50,
            1.70)))</f>
        <v/>
      </c>
      <c r="K6308">
        <f>LET(
    purpose,'Loan Tape (S&amp;P)'!R6308,
    IF(purpose="Purchase",1.00,
        IF(purpose="Remortgage",1.00,
            1.20)))</f>
        <v/>
      </c>
      <c r="L6308">
        <f>LET(
    arrears_months,'Loan Tape (S&amp;P)'!AN6308,
    IF(arrears_months=0,1.00,
    IF(arrears_months=1,3.00,
    IF(arrears_months=2,5.00,
    IF(arrears_months=3,8.00,
    IF(arrears_months=4,10.00,
    IF(arrears_months=5,12.00,15.00)))))))</f>
        <v/>
      </c>
      <c r="M6308">
        <f>LET(
    seasoning_years,DATEDIF('Loan Tape (S&amp;P)'!K6308,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08">
        <f>IF(AND('Loan Tape (S&amp;P)'!U6308="Yes",
        'Loan Tape (S&amp;P)'!T6308&lt;&gt;"Yes",
        DATEDIF('Loan Tape (S&amp;P)'!K6308, TODAY(), "M")&lt;18),
    1.10,
    1.00)</f>
        <v/>
      </c>
      <c r="O6308">
        <f>IF('Loan Tape (S&amp;P)'!T6308="Yes",
    1.35,
    1.00)</f>
        <v/>
      </c>
      <c r="P6308">
        <f>IF('Loan Tape (S&amp;P)'!S6308="Yes",
    1.15,
    1.00)</f>
        <v/>
      </c>
      <c r="Q6308">
        <f>IF('Loan Tape (S&amp;P)'!V6308="Yes",
    1.20,
    1.00)</f>
        <v/>
      </c>
      <c r="T6308">
        <f>LET(
    payment_method,'Loan Tape (S&amp;P)'!P6308,
    occupancy,'Loan Tape (S&amp;P)'!N6308,
    maturity_date,'Loan Tape (S&amp;P)'!L6308,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09">
      <c r="J6309">
        <f>LET(
    lien,'Loan Tape (S&amp;P)'!Q6309,
    IF(lien="First",1.00,
        IF(lien="Second",1.50,
            1.70)))</f>
        <v/>
      </c>
      <c r="K6309">
        <f>LET(
    purpose,'Loan Tape (S&amp;P)'!R6309,
    IF(purpose="Purchase",1.00,
        IF(purpose="Remortgage",1.00,
            1.20)))</f>
        <v/>
      </c>
      <c r="L6309">
        <f>LET(
    arrears_months,'Loan Tape (S&amp;P)'!AN6309,
    IF(arrears_months=0,1.00,
    IF(arrears_months=1,3.00,
    IF(arrears_months=2,5.00,
    IF(arrears_months=3,8.00,
    IF(arrears_months=4,10.00,
    IF(arrears_months=5,12.00,15.00)))))))</f>
        <v/>
      </c>
      <c r="M6309">
        <f>LET(
    seasoning_years,DATEDIF('Loan Tape (S&amp;P)'!K6309,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09">
        <f>IF(AND('Loan Tape (S&amp;P)'!U6309="Yes",
        'Loan Tape (S&amp;P)'!T6309&lt;&gt;"Yes",
        DATEDIF('Loan Tape (S&amp;P)'!K6309, TODAY(), "M")&lt;18),
    1.10,
    1.00)</f>
        <v/>
      </c>
      <c r="O6309">
        <f>IF('Loan Tape (S&amp;P)'!T6309="Yes",
    1.35,
    1.00)</f>
        <v/>
      </c>
      <c r="P6309">
        <f>IF('Loan Tape (S&amp;P)'!S6309="Yes",
    1.15,
    1.00)</f>
        <v/>
      </c>
      <c r="Q6309">
        <f>IF('Loan Tape (S&amp;P)'!V6309="Yes",
    1.20,
    1.00)</f>
        <v/>
      </c>
      <c r="T6309">
        <f>LET(
    payment_method,'Loan Tape (S&amp;P)'!P6309,
    occupancy,'Loan Tape (S&amp;P)'!N6309,
    maturity_date,'Loan Tape (S&amp;P)'!L6309,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10">
      <c r="J6310">
        <f>LET(
    lien,'Loan Tape (S&amp;P)'!Q6310,
    IF(lien="First",1.00,
        IF(lien="Second",1.50,
            1.70)))</f>
        <v/>
      </c>
      <c r="K6310">
        <f>LET(
    purpose,'Loan Tape (S&amp;P)'!R6310,
    IF(purpose="Purchase",1.00,
        IF(purpose="Remortgage",1.00,
            1.20)))</f>
        <v/>
      </c>
      <c r="L6310">
        <f>LET(
    arrears_months,'Loan Tape (S&amp;P)'!AN6310,
    IF(arrears_months=0,1.00,
    IF(arrears_months=1,3.00,
    IF(arrears_months=2,5.00,
    IF(arrears_months=3,8.00,
    IF(arrears_months=4,10.00,
    IF(arrears_months=5,12.00,15.00)))))))</f>
        <v/>
      </c>
      <c r="M6310">
        <f>LET(
    seasoning_years,DATEDIF('Loan Tape (S&amp;P)'!K6310,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10">
        <f>IF(AND('Loan Tape (S&amp;P)'!U6310="Yes",
        'Loan Tape (S&amp;P)'!T6310&lt;&gt;"Yes",
        DATEDIF('Loan Tape (S&amp;P)'!K6310, TODAY(), "M")&lt;18),
    1.10,
    1.00)</f>
        <v/>
      </c>
      <c r="O6310">
        <f>IF('Loan Tape (S&amp;P)'!T6310="Yes",
    1.35,
    1.00)</f>
        <v/>
      </c>
      <c r="P6310">
        <f>IF('Loan Tape (S&amp;P)'!S6310="Yes",
    1.15,
    1.00)</f>
        <v/>
      </c>
      <c r="Q6310">
        <f>IF('Loan Tape (S&amp;P)'!V6310="Yes",
    1.20,
    1.00)</f>
        <v/>
      </c>
      <c r="T6310">
        <f>LET(
    payment_method,'Loan Tape (S&amp;P)'!P6310,
    occupancy,'Loan Tape (S&amp;P)'!N6310,
    maturity_date,'Loan Tape (S&amp;P)'!L6310,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11">
      <c r="J6311">
        <f>LET(
    lien,'Loan Tape (S&amp;P)'!Q6311,
    IF(lien="First",1.00,
        IF(lien="Second",1.50,
            1.70)))</f>
        <v/>
      </c>
      <c r="K6311">
        <f>LET(
    purpose,'Loan Tape (S&amp;P)'!R6311,
    IF(purpose="Purchase",1.00,
        IF(purpose="Remortgage",1.00,
            1.20)))</f>
        <v/>
      </c>
      <c r="L6311">
        <f>LET(
    arrears_months,'Loan Tape (S&amp;P)'!AN6311,
    IF(arrears_months=0,1.00,
    IF(arrears_months=1,3.00,
    IF(arrears_months=2,5.00,
    IF(arrears_months=3,8.00,
    IF(arrears_months=4,10.00,
    IF(arrears_months=5,12.00,15.00)))))))</f>
        <v/>
      </c>
      <c r="M6311">
        <f>LET(
    seasoning_years,DATEDIF('Loan Tape (S&amp;P)'!K6311,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11">
        <f>IF(AND('Loan Tape (S&amp;P)'!U6311="Yes",
        'Loan Tape (S&amp;P)'!T6311&lt;&gt;"Yes",
        DATEDIF('Loan Tape (S&amp;P)'!K6311, TODAY(), "M")&lt;18),
    1.10,
    1.00)</f>
        <v/>
      </c>
      <c r="O6311">
        <f>IF('Loan Tape (S&amp;P)'!T6311="Yes",
    1.35,
    1.00)</f>
        <v/>
      </c>
      <c r="P6311">
        <f>IF('Loan Tape (S&amp;P)'!S6311="Yes",
    1.15,
    1.00)</f>
        <v/>
      </c>
      <c r="Q6311">
        <f>IF('Loan Tape (S&amp;P)'!V6311="Yes",
    1.20,
    1.00)</f>
        <v/>
      </c>
      <c r="T6311">
        <f>LET(
    payment_method,'Loan Tape (S&amp;P)'!P6311,
    occupancy,'Loan Tape (S&amp;P)'!N6311,
    maturity_date,'Loan Tape (S&amp;P)'!L6311,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12">
      <c r="J6312">
        <f>LET(
    lien,'Loan Tape (S&amp;P)'!Q6312,
    IF(lien="First",1.00,
        IF(lien="Second",1.50,
            1.70)))</f>
        <v/>
      </c>
      <c r="K6312">
        <f>LET(
    purpose,'Loan Tape (S&amp;P)'!R6312,
    IF(purpose="Purchase",1.00,
        IF(purpose="Remortgage",1.00,
            1.20)))</f>
        <v/>
      </c>
      <c r="L6312">
        <f>LET(
    arrears_months,'Loan Tape (S&amp;P)'!AN6312,
    IF(arrears_months=0,1.00,
    IF(arrears_months=1,3.00,
    IF(arrears_months=2,5.00,
    IF(arrears_months=3,8.00,
    IF(arrears_months=4,10.00,
    IF(arrears_months=5,12.00,15.00)))))))</f>
        <v/>
      </c>
      <c r="M6312">
        <f>LET(
    seasoning_years,DATEDIF('Loan Tape (S&amp;P)'!K6312,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12">
        <f>IF(AND('Loan Tape (S&amp;P)'!U6312="Yes",
        'Loan Tape (S&amp;P)'!T6312&lt;&gt;"Yes",
        DATEDIF('Loan Tape (S&amp;P)'!K6312, TODAY(), "M")&lt;18),
    1.10,
    1.00)</f>
        <v/>
      </c>
      <c r="O6312">
        <f>IF('Loan Tape (S&amp;P)'!T6312="Yes",
    1.35,
    1.00)</f>
        <v/>
      </c>
      <c r="P6312">
        <f>IF('Loan Tape (S&amp;P)'!S6312="Yes",
    1.15,
    1.00)</f>
        <v/>
      </c>
      <c r="Q6312">
        <f>IF('Loan Tape (S&amp;P)'!V6312="Yes",
    1.20,
    1.00)</f>
        <v/>
      </c>
      <c r="T6312">
        <f>LET(
    payment_method,'Loan Tape (S&amp;P)'!P6312,
    occupancy,'Loan Tape (S&amp;P)'!N6312,
    maturity_date,'Loan Tape (S&amp;P)'!L6312,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13">
      <c r="J6313">
        <f>LET(
    lien,'Loan Tape (S&amp;P)'!Q6313,
    IF(lien="First",1.00,
        IF(lien="Second",1.50,
            1.70)))</f>
        <v/>
      </c>
      <c r="K6313">
        <f>LET(
    purpose,'Loan Tape (S&amp;P)'!R6313,
    IF(purpose="Purchase",1.00,
        IF(purpose="Remortgage",1.00,
            1.20)))</f>
        <v/>
      </c>
      <c r="L6313">
        <f>LET(
    arrears_months,'Loan Tape (S&amp;P)'!AN6313,
    IF(arrears_months=0,1.00,
    IF(arrears_months=1,3.00,
    IF(arrears_months=2,5.00,
    IF(arrears_months=3,8.00,
    IF(arrears_months=4,10.00,
    IF(arrears_months=5,12.00,15.00)))))))</f>
        <v/>
      </c>
      <c r="M6313">
        <f>LET(
    seasoning_years,DATEDIF('Loan Tape (S&amp;P)'!K6313,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13">
        <f>IF(AND('Loan Tape (S&amp;P)'!U6313="Yes",
        'Loan Tape (S&amp;P)'!T6313&lt;&gt;"Yes",
        DATEDIF('Loan Tape (S&amp;P)'!K6313, TODAY(), "M")&lt;18),
    1.10,
    1.00)</f>
        <v/>
      </c>
      <c r="O6313">
        <f>IF('Loan Tape (S&amp;P)'!T6313="Yes",
    1.35,
    1.00)</f>
        <v/>
      </c>
      <c r="P6313">
        <f>IF('Loan Tape (S&amp;P)'!S6313="Yes",
    1.15,
    1.00)</f>
        <v/>
      </c>
      <c r="Q6313">
        <f>IF('Loan Tape (S&amp;P)'!V6313="Yes",
    1.20,
    1.00)</f>
        <v/>
      </c>
      <c r="T6313">
        <f>LET(
    payment_method,'Loan Tape (S&amp;P)'!P6313,
    occupancy,'Loan Tape (S&amp;P)'!N6313,
    maturity_date,'Loan Tape (S&amp;P)'!L6313,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14">
      <c r="J6314">
        <f>LET(
    lien,'Loan Tape (S&amp;P)'!Q6314,
    IF(lien="First",1.00,
        IF(lien="Second",1.50,
            1.70)))</f>
        <v/>
      </c>
      <c r="K6314">
        <f>LET(
    purpose,'Loan Tape (S&amp;P)'!R6314,
    IF(purpose="Purchase",1.00,
        IF(purpose="Remortgage",1.00,
            1.20)))</f>
        <v/>
      </c>
      <c r="L6314">
        <f>LET(
    arrears_months,'Loan Tape (S&amp;P)'!AN6314,
    IF(arrears_months=0,1.00,
    IF(arrears_months=1,3.00,
    IF(arrears_months=2,5.00,
    IF(arrears_months=3,8.00,
    IF(arrears_months=4,10.00,
    IF(arrears_months=5,12.00,15.00)))))))</f>
        <v/>
      </c>
      <c r="M6314">
        <f>LET(
    seasoning_years,DATEDIF('Loan Tape (S&amp;P)'!K6314,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14">
        <f>IF(AND('Loan Tape (S&amp;P)'!U6314="Yes",
        'Loan Tape (S&amp;P)'!T6314&lt;&gt;"Yes",
        DATEDIF('Loan Tape (S&amp;P)'!K6314, TODAY(), "M")&lt;18),
    1.10,
    1.00)</f>
        <v/>
      </c>
      <c r="O6314">
        <f>IF('Loan Tape (S&amp;P)'!T6314="Yes",
    1.35,
    1.00)</f>
        <v/>
      </c>
      <c r="P6314">
        <f>IF('Loan Tape (S&amp;P)'!S6314="Yes",
    1.15,
    1.00)</f>
        <v/>
      </c>
      <c r="Q6314">
        <f>IF('Loan Tape (S&amp;P)'!V6314="Yes",
    1.20,
    1.00)</f>
        <v/>
      </c>
      <c r="T6314">
        <f>LET(
    payment_method,'Loan Tape (S&amp;P)'!P6314,
    occupancy,'Loan Tape (S&amp;P)'!N6314,
    maturity_date,'Loan Tape (S&amp;P)'!L6314,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15">
      <c r="J6315">
        <f>LET(
    lien,'Loan Tape (S&amp;P)'!Q6315,
    IF(lien="First",1.00,
        IF(lien="Second",1.50,
            1.70)))</f>
        <v/>
      </c>
      <c r="K6315">
        <f>LET(
    purpose,'Loan Tape (S&amp;P)'!R6315,
    IF(purpose="Purchase",1.00,
        IF(purpose="Remortgage",1.00,
            1.20)))</f>
        <v/>
      </c>
      <c r="L6315">
        <f>LET(
    arrears_months,'Loan Tape (S&amp;P)'!AN6315,
    IF(arrears_months=0,1.00,
    IF(arrears_months=1,3.00,
    IF(arrears_months=2,5.00,
    IF(arrears_months=3,8.00,
    IF(arrears_months=4,10.00,
    IF(arrears_months=5,12.00,15.00)))))))</f>
        <v/>
      </c>
      <c r="M6315">
        <f>LET(
    seasoning_years,DATEDIF('Loan Tape (S&amp;P)'!K6315,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15">
        <f>IF(AND('Loan Tape (S&amp;P)'!U6315="Yes",
        'Loan Tape (S&amp;P)'!T6315&lt;&gt;"Yes",
        DATEDIF('Loan Tape (S&amp;P)'!K6315, TODAY(), "M")&lt;18),
    1.10,
    1.00)</f>
        <v/>
      </c>
      <c r="O6315">
        <f>IF('Loan Tape (S&amp;P)'!T6315="Yes",
    1.35,
    1.00)</f>
        <v/>
      </c>
      <c r="P6315">
        <f>IF('Loan Tape (S&amp;P)'!S6315="Yes",
    1.15,
    1.00)</f>
        <v/>
      </c>
      <c r="Q6315">
        <f>IF('Loan Tape (S&amp;P)'!V6315="Yes",
    1.20,
    1.00)</f>
        <v/>
      </c>
      <c r="T6315">
        <f>LET(
    payment_method,'Loan Tape (S&amp;P)'!P6315,
    occupancy,'Loan Tape (S&amp;P)'!N6315,
    maturity_date,'Loan Tape (S&amp;P)'!L6315,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16">
      <c r="J6316">
        <f>LET(
    lien,'Loan Tape (S&amp;P)'!Q6316,
    IF(lien="First",1.00,
        IF(lien="Second",1.50,
            1.70)))</f>
        <v/>
      </c>
      <c r="K6316">
        <f>LET(
    purpose,'Loan Tape (S&amp;P)'!R6316,
    IF(purpose="Purchase",1.00,
        IF(purpose="Remortgage",1.00,
            1.20)))</f>
        <v/>
      </c>
      <c r="L6316">
        <f>LET(
    arrears_months,'Loan Tape (S&amp;P)'!AN6316,
    IF(arrears_months=0,1.00,
    IF(arrears_months=1,3.00,
    IF(arrears_months=2,5.00,
    IF(arrears_months=3,8.00,
    IF(arrears_months=4,10.00,
    IF(arrears_months=5,12.00,15.00)))))))</f>
        <v/>
      </c>
      <c r="M6316">
        <f>LET(
    seasoning_years,DATEDIF('Loan Tape (S&amp;P)'!K6316,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16">
        <f>IF(AND('Loan Tape (S&amp;P)'!U6316="Yes",
        'Loan Tape (S&amp;P)'!T6316&lt;&gt;"Yes",
        DATEDIF('Loan Tape (S&amp;P)'!K6316, TODAY(), "M")&lt;18),
    1.10,
    1.00)</f>
        <v/>
      </c>
      <c r="O6316">
        <f>IF('Loan Tape (S&amp;P)'!T6316="Yes",
    1.35,
    1.00)</f>
        <v/>
      </c>
      <c r="P6316">
        <f>IF('Loan Tape (S&amp;P)'!S6316="Yes",
    1.15,
    1.00)</f>
        <v/>
      </c>
      <c r="Q6316">
        <f>IF('Loan Tape (S&amp;P)'!V6316="Yes",
    1.20,
    1.00)</f>
        <v/>
      </c>
      <c r="T6316">
        <f>LET(
    payment_method,'Loan Tape (S&amp;P)'!P6316,
    occupancy,'Loan Tape (S&amp;P)'!N6316,
    maturity_date,'Loan Tape (S&amp;P)'!L6316,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17">
      <c r="J6317">
        <f>LET(
    lien,'Loan Tape (S&amp;P)'!Q6317,
    IF(lien="First",1.00,
        IF(lien="Second",1.50,
            1.70)))</f>
        <v/>
      </c>
      <c r="K6317">
        <f>LET(
    purpose,'Loan Tape (S&amp;P)'!R6317,
    IF(purpose="Purchase",1.00,
        IF(purpose="Remortgage",1.00,
            1.20)))</f>
        <v/>
      </c>
      <c r="L6317">
        <f>LET(
    arrears_months,'Loan Tape (S&amp;P)'!AN6317,
    IF(arrears_months=0,1.00,
    IF(arrears_months=1,3.00,
    IF(arrears_months=2,5.00,
    IF(arrears_months=3,8.00,
    IF(arrears_months=4,10.00,
    IF(arrears_months=5,12.00,15.00)))))))</f>
        <v/>
      </c>
      <c r="M6317">
        <f>LET(
    seasoning_years,DATEDIF('Loan Tape (S&amp;P)'!K6317,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17">
        <f>IF(AND('Loan Tape (S&amp;P)'!U6317="Yes",
        'Loan Tape (S&amp;P)'!T6317&lt;&gt;"Yes",
        DATEDIF('Loan Tape (S&amp;P)'!K6317, TODAY(), "M")&lt;18),
    1.10,
    1.00)</f>
        <v/>
      </c>
      <c r="O6317">
        <f>IF('Loan Tape (S&amp;P)'!T6317="Yes",
    1.35,
    1.00)</f>
        <v/>
      </c>
      <c r="P6317">
        <f>IF('Loan Tape (S&amp;P)'!S6317="Yes",
    1.15,
    1.00)</f>
        <v/>
      </c>
      <c r="Q6317">
        <f>IF('Loan Tape (S&amp;P)'!V6317="Yes",
    1.20,
    1.00)</f>
        <v/>
      </c>
      <c r="T6317">
        <f>LET(
    payment_method,'Loan Tape (S&amp;P)'!P6317,
    occupancy,'Loan Tape (S&amp;P)'!N6317,
    maturity_date,'Loan Tape (S&amp;P)'!L6317,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18">
      <c r="J6318">
        <f>LET(
    lien,'Loan Tape (S&amp;P)'!Q6318,
    IF(lien="First",1.00,
        IF(lien="Second",1.50,
            1.70)))</f>
        <v/>
      </c>
      <c r="K6318">
        <f>LET(
    purpose,'Loan Tape (S&amp;P)'!R6318,
    IF(purpose="Purchase",1.00,
        IF(purpose="Remortgage",1.00,
            1.20)))</f>
        <v/>
      </c>
      <c r="L6318">
        <f>LET(
    arrears_months,'Loan Tape (S&amp;P)'!AN6318,
    IF(arrears_months=0,1.00,
    IF(arrears_months=1,3.00,
    IF(arrears_months=2,5.00,
    IF(arrears_months=3,8.00,
    IF(arrears_months=4,10.00,
    IF(arrears_months=5,12.00,15.00)))))))</f>
        <v/>
      </c>
      <c r="M6318">
        <f>LET(
    seasoning_years,DATEDIF('Loan Tape (S&amp;P)'!K6318,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18">
        <f>IF(AND('Loan Tape (S&amp;P)'!U6318="Yes",
        'Loan Tape (S&amp;P)'!T6318&lt;&gt;"Yes",
        DATEDIF('Loan Tape (S&amp;P)'!K6318, TODAY(), "M")&lt;18),
    1.10,
    1.00)</f>
        <v/>
      </c>
      <c r="O6318">
        <f>IF('Loan Tape (S&amp;P)'!T6318="Yes",
    1.35,
    1.00)</f>
        <v/>
      </c>
      <c r="P6318">
        <f>IF('Loan Tape (S&amp;P)'!S6318="Yes",
    1.15,
    1.00)</f>
        <v/>
      </c>
      <c r="Q6318">
        <f>IF('Loan Tape (S&amp;P)'!V6318="Yes",
    1.20,
    1.00)</f>
        <v/>
      </c>
      <c r="T6318">
        <f>LET(
    payment_method,'Loan Tape (S&amp;P)'!P6318,
    occupancy,'Loan Tape (S&amp;P)'!N6318,
    maturity_date,'Loan Tape (S&amp;P)'!L6318,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19">
      <c r="J6319">
        <f>LET(
    lien,'Loan Tape (S&amp;P)'!Q6319,
    IF(lien="First",1.00,
        IF(lien="Second",1.50,
            1.70)))</f>
        <v/>
      </c>
      <c r="K6319">
        <f>LET(
    purpose,'Loan Tape (S&amp;P)'!R6319,
    IF(purpose="Purchase",1.00,
        IF(purpose="Remortgage",1.00,
            1.20)))</f>
        <v/>
      </c>
      <c r="L6319">
        <f>LET(
    arrears_months,'Loan Tape (S&amp;P)'!AN6319,
    IF(arrears_months=0,1.00,
    IF(arrears_months=1,3.00,
    IF(arrears_months=2,5.00,
    IF(arrears_months=3,8.00,
    IF(arrears_months=4,10.00,
    IF(arrears_months=5,12.00,15.00)))))))</f>
        <v/>
      </c>
      <c r="M6319">
        <f>LET(
    seasoning_years,DATEDIF('Loan Tape (S&amp;P)'!K6319,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19">
        <f>IF(AND('Loan Tape (S&amp;P)'!U6319="Yes",
        'Loan Tape (S&amp;P)'!T6319&lt;&gt;"Yes",
        DATEDIF('Loan Tape (S&amp;P)'!K6319, TODAY(), "M")&lt;18),
    1.10,
    1.00)</f>
        <v/>
      </c>
      <c r="O6319">
        <f>IF('Loan Tape (S&amp;P)'!T6319="Yes",
    1.35,
    1.00)</f>
        <v/>
      </c>
      <c r="P6319">
        <f>IF('Loan Tape (S&amp;P)'!S6319="Yes",
    1.15,
    1.00)</f>
        <v/>
      </c>
      <c r="Q6319">
        <f>IF('Loan Tape (S&amp;P)'!V6319="Yes",
    1.20,
    1.00)</f>
        <v/>
      </c>
      <c r="T6319">
        <f>LET(
    payment_method,'Loan Tape (S&amp;P)'!P6319,
    occupancy,'Loan Tape (S&amp;P)'!N6319,
    maturity_date,'Loan Tape (S&amp;P)'!L6319,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20">
      <c r="J6320">
        <f>LET(
    lien,'Loan Tape (S&amp;P)'!Q6320,
    IF(lien="First",1.00,
        IF(lien="Second",1.50,
            1.70)))</f>
        <v/>
      </c>
      <c r="K6320">
        <f>LET(
    purpose,'Loan Tape (S&amp;P)'!R6320,
    IF(purpose="Purchase",1.00,
        IF(purpose="Remortgage",1.00,
            1.20)))</f>
        <v/>
      </c>
      <c r="L6320">
        <f>LET(
    arrears_months,'Loan Tape (S&amp;P)'!AN6320,
    IF(arrears_months=0,1.00,
    IF(arrears_months=1,3.00,
    IF(arrears_months=2,5.00,
    IF(arrears_months=3,8.00,
    IF(arrears_months=4,10.00,
    IF(arrears_months=5,12.00,15.00)))))))</f>
        <v/>
      </c>
      <c r="M6320">
        <f>LET(
    seasoning_years,DATEDIF('Loan Tape (S&amp;P)'!K6320,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20">
        <f>IF(AND('Loan Tape (S&amp;P)'!U6320="Yes",
        'Loan Tape (S&amp;P)'!T6320&lt;&gt;"Yes",
        DATEDIF('Loan Tape (S&amp;P)'!K6320, TODAY(), "M")&lt;18),
    1.10,
    1.00)</f>
        <v/>
      </c>
      <c r="O6320">
        <f>IF('Loan Tape (S&amp;P)'!T6320="Yes",
    1.35,
    1.00)</f>
        <v/>
      </c>
      <c r="P6320">
        <f>IF('Loan Tape (S&amp;P)'!S6320="Yes",
    1.15,
    1.00)</f>
        <v/>
      </c>
      <c r="Q6320">
        <f>IF('Loan Tape (S&amp;P)'!V6320="Yes",
    1.20,
    1.00)</f>
        <v/>
      </c>
      <c r="T6320">
        <f>LET(
    payment_method,'Loan Tape (S&amp;P)'!P6320,
    occupancy,'Loan Tape (S&amp;P)'!N6320,
    maturity_date,'Loan Tape (S&amp;P)'!L6320,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21">
      <c r="J6321">
        <f>LET(
    lien,'Loan Tape (S&amp;P)'!Q6321,
    IF(lien="First",1.00,
        IF(lien="Second",1.50,
            1.70)))</f>
        <v/>
      </c>
      <c r="K6321">
        <f>LET(
    purpose,'Loan Tape (S&amp;P)'!R6321,
    IF(purpose="Purchase",1.00,
        IF(purpose="Remortgage",1.00,
            1.20)))</f>
        <v/>
      </c>
      <c r="L6321">
        <f>LET(
    arrears_months,'Loan Tape (S&amp;P)'!AN6321,
    IF(arrears_months=0,1.00,
    IF(arrears_months=1,3.00,
    IF(arrears_months=2,5.00,
    IF(arrears_months=3,8.00,
    IF(arrears_months=4,10.00,
    IF(arrears_months=5,12.00,15.00)))))))</f>
        <v/>
      </c>
      <c r="M6321">
        <f>LET(
    seasoning_years,DATEDIF('Loan Tape (S&amp;P)'!K6321,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21">
        <f>IF(AND('Loan Tape (S&amp;P)'!U6321="Yes",
        'Loan Tape (S&amp;P)'!T6321&lt;&gt;"Yes",
        DATEDIF('Loan Tape (S&amp;P)'!K6321, TODAY(), "M")&lt;18),
    1.10,
    1.00)</f>
        <v/>
      </c>
      <c r="O6321">
        <f>IF('Loan Tape (S&amp;P)'!T6321="Yes",
    1.35,
    1.00)</f>
        <v/>
      </c>
      <c r="P6321">
        <f>IF('Loan Tape (S&amp;P)'!S6321="Yes",
    1.15,
    1.00)</f>
        <v/>
      </c>
      <c r="Q6321">
        <f>IF('Loan Tape (S&amp;P)'!V6321="Yes",
    1.20,
    1.00)</f>
        <v/>
      </c>
      <c r="T6321">
        <f>LET(
    payment_method,'Loan Tape (S&amp;P)'!P6321,
    occupancy,'Loan Tape (S&amp;P)'!N6321,
    maturity_date,'Loan Tape (S&amp;P)'!L6321,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22">
      <c r="J6322">
        <f>LET(
    lien,'Loan Tape (S&amp;P)'!Q6322,
    IF(lien="First",1.00,
        IF(lien="Second",1.50,
            1.70)))</f>
        <v/>
      </c>
      <c r="K6322">
        <f>LET(
    purpose,'Loan Tape (S&amp;P)'!R6322,
    IF(purpose="Purchase",1.00,
        IF(purpose="Remortgage",1.00,
            1.20)))</f>
        <v/>
      </c>
      <c r="L6322">
        <f>LET(
    arrears_months,'Loan Tape (S&amp;P)'!AN6322,
    IF(arrears_months=0,1.00,
    IF(arrears_months=1,3.00,
    IF(arrears_months=2,5.00,
    IF(arrears_months=3,8.00,
    IF(arrears_months=4,10.00,
    IF(arrears_months=5,12.00,15.00)))))))</f>
        <v/>
      </c>
      <c r="M6322">
        <f>LET(
    seasoning_years,DATEDIF('Loan Tape (S&amp;P)'!K6322,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22">
        <f>IF(AND('Loan Tape (S&amp;P)'!U6322="Yes",
        'Loan Tape (S&amp;P)'!T6322&lt;&gt;"Yes",
        DATEDIF('Loan Tape (S&amp;P)'!K6322, TODAY(), "M")&lt;18),
    1.10,
    1.00)</f>
        <v/>
      </c>
      <c r="O6322">
        <f>IF('Loan Tape (S&amp;P)'!T6322="Yes",
    1.35,
    1.00)</f>
        <v/>
      </c>
      <c r="P6322">
        <f>IF('Loan Tape (S&amp;P)'!S6322="Yes",
    1.15,
    1.00)</f>
        <v/>
      </c>
      <c r="Q6322">
        <f>IF('Loan Tape (S&amp;P)'!V6322="Yes",
    1.20,
    1.00)</f>
        <v/>
      </c>
      <c r="T6322">
        <f>LET(
    payment_method,'Loan Tape (S&amp;P)'!P6322,
    occupancy,'Loan Tape (S&amp;P)'!N6322,
    maturity_date,'Loan Tape (S&amp;P)'!L6322,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23">
      <c r="J6323">
        <f>LET(
    lien,'Loan Tape (S&amp;P)'!Q6323,
    IF(lien="First",1.00,
        IF(lien="Second",1.50,
            1.70)))</f>
        <v/>
      </c>
      <c r="K6323">
        <f>LET(
    purpose,'Loan Tape (S&amp;P)'!R6323,
    IF(purpose="Purchase",1.00,
        IF(purpose="Remortgage",1.00,
            1.20)))</f>
        <v/>
      </c>
      <c r="L6323">
        <f>LET(
    arrears_months,'Loan Tape (S&amp;P)'!AN6323,
    IF(arrears_months=0,1.00,
    IF(arrears_months=1,3.00,
    IF(arrears_months=2,5.00,
    IF(arrears_months=3,8.00,
    IF(arrears_months=4,10.00,
    IF(arrears_months=5,12.00,15.00)))))))</f>
        <v/>
      </c>
      <c r="M6323">
        <f>LET(
    seasoning_years,DATEDIF('Loan Tape (S&amp;P)'!K6323,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23">
        <f>IF(AND('Loan Tape (S&amp;P)'!U6323="Yes",
        'Loan Tape (S&amp;P)'!T6323&lt;&gt;"Yes",
        DATEDIF('Loan Tape (S&amp;P)'!K6323, TODAY(), "M")&lt;18),
    1.10,
    1.00)</f>
        <v/>
      </c>
      <c r="O6323">
        <f>IF('Loan Tape (S&amp;P)'!T6323="Yes",
    1.35,
    1.00)</f>
        <v/>
      </c>
      <c r="P6323">
        <f>IF('Loan Tape (S&amp;P)'!S6323="Yes",
    1.15,
    1.00)</f>
        <v/>
      </c>
      <c r="Q6323">
        <f>IF('Loan Tape (S&amp;P)'!V6323="Yes",
    1.20,
    1.00)</f>
        <v/>
      </c>
      <c r="T6323">
        <f>LET(
    payment_method,'Loan Tape (S&amp;P)'!P6323,
    occupancy,'Loan Tape (S&amp;P)'!N6323,
    maturity_date,'Loan Tape (S&amp;P)'!L6323,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24">
      <c r="J6324">
        <f>LET(
    lien,'Loan Tape (S&amp;P)'!Q6324,
    IF(lien="First",1.00,
        IF(lien="Second",1.50,
            1.70)))</f>
        <v/>
      </c>
      <c r="K6324">
        <f>LET(
    purpose,'Loan Tape (S&amp;P)'!R6324,
    IF(purpose="Purchase",1.00,
        IF(purpose="Remortgage",1.00,
            1.20)))</f>
        <v/>
      </c>
      <c r="L6324">
        <f>LET(
    arrears_months,'Loan Tape (S&amp;P)'!AN6324,
    IF(arrears_months=0,1.00,
    IF(arrears_months=1,3.00,
    IF(arrears_months=2,5.00,
    IF(arrears_months=3,8.00,
    IF(arrears_months=4,10.00,
    IF(arrears_months=5,12.00,15.00)))))))</f>
        <v/>
      </c>
      <c r="M6324">
        <f>LET(
    seasoning_years,DATEDIF('Loan Tape (S&amp;P)'!K6324,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24">
        <f>IF(AND('Loan Tape (S&amp;P)'!U6324="Yes",
        'Loan Tape (S&amp;P)'!T6324&lt;&gt;"Yes",
        DATEDIF('Loan Tape (S&amp;P)'!K6324, TODAY(), "M")&lt;18),
    1.10,
    1.00)</f>
        <v/>
      </c>
      <c r="O6324">
        <f>IF('Loan Tape (S&amp;P)'!T6324="Yes",
    1.35,
    1.00)</f>
        <v/>
      </c>
      <c r="P6324">
        <f>IF('Loan Tape (S&amp;P)'!S6324="Yes",
    1.15,
    1.00)</f>
        <v/>
      </c>
      <c r="Q6324">
        <f>IF('Loan Tape (S&amp;P)'!V6324="Yes",
    1.20,
    1.00)</f>
        <v/>
      </c>
      <c r="T6324">
        <f>LET(
    payment_method,'Loan Tape (S&amp;P)'!P6324,
    occupancy,'Loan Tape (S&amp;P)'!N6324,
    maturity_date,'Loan Tape (S&amp;P)'!L6324,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25">
      <c r="J6325">
        <f>LET(
    lien,'Loan Tape (S&amp;P)'!Q6325,
    IF(lien="First",1.00,
        IF(lien="Second",1.50,
            1.70)))</f>
        <v/>
      </c>
      <c r="K6325">
        <f>LET(
    purpose,'Loan Tape (S&amp;P)'!R6325,
    IF(purpose="Purchase",1.00,
        IF(purpose="Remortgage",1.00,
            1.20)))</f>
        <v/>
      </c>
      <c r="L6325">
        <f>LET(
    arrears_months,'Loan Tape (S&amp;P)'!AN6325,
    IF(arrears_months=0,1.00,
    IF(arrears_months=1,3.00,
    IF(arrears_months=2,5.00,
    IF(arrears_months=3,8.00,
    IF(arrears_months=4,10.00,
    IF(arrears_months=5,12.00,15.00)))))))</f>
        <v/>
      </c>
      <c r="M6325">
        <f>LET(
    seasoning_years,DATEDIF('Loan Tape (S&amp;P)'!K6325,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25">
        <f>IF(AND('Loan Tape (S&amp;P)'!U6325="Yes",
        'Loan Tape (S&amp;P)'!T6325&lt;&gt;"Yes",
        DATEDIF('Loan Tape (S&amp;P)'!K6325, TODAY(), "M")&lt;18),
    1.10,
    1.00)</f>
        <v/>
      </c>
      <c r="O6325">
        <f>IF('Loan Tape (S&amp;P)'!T6325="Yes",
    1.35,
    1.00)</f>
        <v/>
      </c>
      <c r="P6325">
        <f>IF('Loan Tape (S&amp;P)'!S6325="Yes",
    1.15,
    1.00)</f>
        <v/>
      </c>
      <c r="Q6325">
        <f>IF('Loan Tape (S&amp;P)'!V6325="Yes",
    1.20,
    1.00)</f>
        <v/>
      </c>
      <c r="T6325">
        <f>LET(
    payment_method,'Loan Tape (S&amp;P)'!P6325,
    occupancy,'Loan Tape (S&amp;P)'!N6325,
    maturity_date,'Loan Tape (S&amp;P)'!L6325,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26">
      <c r="J6326">
        <f>LET(
    lien,'Loan Tape (S&amp;P)'!Q6326,
    IF(lien="First",1.00,
        IF(lien="Second",1.50,
            1.70)))</f>
        <v/>
      </c>
      <c r="K6326">
        <f>LET(
    purpose,'Loan Tape (S&amp;P)'!R6326,
    IF(purpose="Purchase",1.00,
        IF(purpose="Remortgage",1.00,
            1.20)))</f>
        <v/>
      </c>
      <c r="L6326">
        <f>LET(
    arrears_months,'Loan Tape (S&amp;P)'!AN6326,
    IF(arrears_months=0,1.00,
    IF(arrears_months=1,3.00,
    IF(arrears_months=2,5.00,
    IF(arrears_months=3,8.00,
    IF(arrears_months=4,10.00,
    IF(arrears_months=5,12.00,15.00)))))))</f>
        <v/>
      </c>
      <c r="M6326">
        <f>LET(
    seasoning_years,DATEDIF('Loan Tape (S&amp;P)'!K6326,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26">
        <f>IF(AND('Loan Tape (S&amp;P)'!U6326="Yes",
        'Loan Tape (S&amp;P)'!T6326&lt;&gt;"Yes",
        DATEDIF('Loan Tape (S&amp;P)'!K6326, TODAY(), "M")&lt;18),
    1.10,
    1.00)</f>
        <v/>
      </c>
      <c r="O6326">
        <f>IF('Loan Tape (S&amp;P)'!T6326="Yes",
    1.35,
    1.00)</f>
        <v/>
      </c>
      <c r="P6326">
        <f>IF('Loan Tape (S&amp;P)'!S6326="Yes",
    1.15,
    1.00)</f>
        <v/>
      </c>
      <c r="Q6326">
        <f>IF('Loan Tape (S&amp;P)'!V6326="Yes",
    1.20,
    1.00)</f>
        <v/>
      </c>
      <c r="T6326">
        <f>LET(
    payment_method,'Loan Tape (S&amp;P)'!P6326,
    occupancy,'Loan Tape (S&amp;P)'!N6326,
    maturity_date,'Loan Tape (S&amp;P)'!L6326,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27">
      <c r="J6327">
        <f>LET(
    lien,'Loan Tape (S&amp;P)'!Q6327,
    IF(lien="First",1.00,
        IF(lien="Second",1.50,
            1.70)))</f>
        <v/>
      </c>
      <c r="K6327">
        <f>LET(
    purpose,'Loan Tape (S&amp;P)'!R6327,
    IF(purpose="Purchase",1.00,
        IF(purpose="Remortgage",1.00,
            1.20)))</f>
        <v/>
      </c>
      <c r="L6327">
        <f>LET(
    arrears_months,'Loan Tape (S&amp;P)'!AN6327,
    IF(arrears_months=0,1.00,
    IF(arrears_months=1,3.00,
    IF(arrears_months=2,5.00,
    IF(arrears_months=3,8.00,
    IF(arrears_months=4,10.00,
    IF(arrears_months=5,12.00,15.00)))))))</f>
        <v/>
      </c>
      <c r="M6327">
        <f>LET(
    seasoning_years,DATEDIF('Loan Tape (S&amp;P)'!K6327,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27">
        <f>IF(AND('Loan Tape (S&amp;P)'!U6327="Yes",
        'Loan Tape (S&amp;P)'!T6327&lt;&gt;"Yes",
        DATEDIF('Loan Tape (S&amp;P)'!K6327, TODAY(), "M")&lt;18),
    1.10,
    1.00)</f>
        <v/>
      </c>
      <c r="O6327">
        <f>IF('Loan Tape (S&amp;P)'!T6327="Yes",
    1.35,
    1.00)</f>
        <v/>
      </c>
      <c r="P6327">
        <f>IF('Loan Tape (S&amp;P)'!S6327="Yes",
    1.15,
    1.00)</f>
        <v/>
      </c>
      <c r="Q6327">
        <f>IF('Loan Tape (S&amp;P)'!V6327="Yes",
    1.20,
    1.00)</f>
        <v/>
      </c>
      <c r="T6327">
        <f>LET(
    payment_method,'Loan Tape (S&amp;P)'!P6327,
    occupancy,'Loan Tape (S&amp;P)'!N6327,
    maturity_date,'Loan Tape (S&amp;P)'!L6327,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28">
      <c r="J6328">
        <f>LET(
    lien,'Loan Tape (S&amp;P)'!Q6328,
    IF(lien="First",1.00,
        IF(lien="Second",1.50,
            1.70)))</f>
        <v/>
      </c>
      <c r="K6328">
        <f>LET(
    purpose,'Loan Tape (S&amp;P)'!R6328,
    IF(purpose="Purchase",1.00,
        IF(purpose="Remortgage",1.00,
            1.20)))</f>
        <v/>
      </c>
      <c r="L6328">
        <f>LET(
    arrears_months,'Loan Tape (S&amp;P)'!AN6328,
    IF(arrears_months=0,1.00,
    IF(arrears_months=1,3.00,
    IF(arrears_months=2,5.00,
    IF(arrears_months=3,8.00,
    IF(arrears_months=4,10.00,
    IF(arrears_months=5,12.00,15.00)))))))</f>
        <v/>
      </c>
      <c r="M6328">
        <f>LET(
    seasoning_years,DATEDIF('Loan Tape (S&amp;P)'!K6328,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28">
        <f>IF(AND('Loan Tape (S&amp;P)'!U6328="Yes",
        'Loan Tape (S&amp;P)'!T6328&lt;&gt;"Yes",
        DATEDIF('Loan Tape (S&amp;P)'!K6328, TODAY(), "M")&lt;18),
    1.10,
    1.00)</f>
        <v/>
      </c>
      <c r="O6328">
        <f>IF('Loan Tape (S&amp;P)'!T6328="Yes",
    1.35,
    1.00)</f>
        <v/>
      </c>
      <c r="P6328">
        <f>IF('Loan Tape (S&amp;P)'!S6328="Yes",
    1.15,
    1.00)</f>
        <v/>
      </c>
      <c r="Q6328">
        <f>IF('Loan Tape (S&amp;P)'!V6328="Yes",
    1.20,
    1.00)</f>
        <v/>
      </c>
      <c r="T6328">
        <f>LET(
    payment_method,'Loan Tape (S&amp;P)'!P6328,
    occupancy,'Loan Tape (S&amp;P)'!N6328,
    maturity_date,'Loan Tape (S&amp;P)'!L6328,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29">
      <c r="J6329">
        <f>LET(
    lien,'Loan Tape (S&amp;P)'!Q6329,
    IF(lien="First",1.00,
        IF(lien="Second",1.50,
            1.70)))</f>
        <v/>
      </c>
      <c r="K6329">
        <f>LET(
    purpose,'Loan Tape (S&amp;P)'!R6329,
    IF(purpose="Purchase",1.00,
        IF(purpose="Remortgage",1.00,
            1.20)))</f>
        <v/>
      </c>
      <c r="L6329">
        <f>LET(
    arrears_months,'Loan Tape (S&amp;P)'!AN6329,
    IF(arrears_months=0,1.00,
    IF(arrears_months=1,3.00,
    IF(arrears_months=2,5.00,
    IF(arrears_months=3,8.00,
    IF(arrears_months=4,10.00,
    IF(arrears_months=5,12.00,15.00)))))))</f>
        <v/>
      </c>
      <c r="M6329">
        <f>LET(
    seasoning_years,DATEDIF('Loan Tape (S&amp;P)'!K6329,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29">
        <f>IF(AND('Loan Tape (S&amp;P)'!U6329="Yes",
        'Loan Tape (S&amp;P)'!T6329&lt;&gt;"Yes",
        DATEDIF('Loan Tape (S&amp;P)'!K6329, TODAY(), "M")&lt;18),
    1.10,
    1.00)</f>
        <v/>
      </c>
      <c r="O6329">
        <f>IF('Loan Tape (S&amp;P)'!T6329="Yes",
    1.35,
    1.00)</f>
        <v/>
      </c>
      <c r="P6329">
        <f>IF('Loan Tape (S&amp;P)'!S6329="Yes",
    1.15,
    1.00)</f>
        <v/>
      </c>
      <c r="Q6329">
        <f>IF('Loan Tape (S&amp;P)'!V6329="Yes",
    1.20,
    1.00)</f>
        <v/>
      </c>
      <c r="T6329">
        <f>LET(
    payment_method,'Loan Tape (S&amp;P)'!P6329,
    occupancy,'Loan Tape (S&amp;P)'!N6329,
    maturity_date,'Loan Tape (S&amp;P)'!L6329,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30">
      <c r="J6330">
        <f>LET(
    lien,'Loan Tape (S&amp;P)'!Q6330,
    IF(lien="First",1.00,
        IF(lien="Second",1.50,
            1.70)))</f>
        <v/>
      </c>
      <c r="K6330">
        <f>LET(
    purpose,'Loan Tape (S&amp;P)'!R6330,
    IF(purpose="Purchase",1.00,
        IF(purpose="Remortgage",1.00,
            1.20)))</f>
        <v/>
      </c>
      <c r="L6330">
        <f>LET(
    arrears_months,'Loan Tape (S&amp;P)'!AN6330,
    IF(arrears_months=0,1.00,
    IF(arrears_months=1,3.00,
    IF(arrears_months=2,5.00,
    IF(arrears_months=3,8.00,
    IF(arrears_months=4,10.00,
    IF(arrears_months=5,12.00,15.00)))))))</f>
        <v/>
      </c>
      <c r="M6330">
        <f>LET(
    seasoning_years,DATEDIF('Loan Tape (S&amp;P)'!K6330,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30">
        <f>IF(AND('Loan Tape (S&amp;P)'!U6330="Yes",
        'Loan Tape (S&amp;P)'!T6330&lt;&gt;"Yes",
        DATEDIF('Loan Tape (S&amp;P)'!K6330, TODAY(), "M")&lt;18),
    1.10,
    1.00)</f>
        <v/>
      </c>
      <c r="O6330">
        <f>IF('Loan Tape (S&amp;P)'!T6330="Yes",
    1.35,
    1.00)</f>
        <v/>
      </c>
      <c r="P6330">
        <f>IF('Loan Tape (S&amp;P)'!S6330="Yes",
    1.15,
    1.00)</f>
        <v/>
      </c>
      <c r="Q6330">
        <f>IF('Loan Tape (S&amp;P)'!V6330="Yes",
    1.20,
    1.00)</f>
        <v/>
      </c>
      <c r="T6330">
        <f>LET(
    payment_method,'Loan Tape (S&amp;P)'!P6330,
    occupancy,'Loan Tape (S&amp;P)'!N6330,
    maturity_date,'Loan Tape (S&amp;P)'!L6330,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31">
      <c r="J6331">
        <f>LET(
    lien,'Loan Tape (S&amp;P)'!Q6331,
    IF(lien="First",1.00,
        IF(lien="Second",1.50,
            1.70)))</f>
        <v/>
      </c>
      <c r="K6331">
        <f>LET(
    purpose,'Loan Tape (S&amp;P)'!R6331,
    IF(purpose="Purchase",1.00,
        IF(purpose="Remortgage",1.00,
            1.20)))</f>
        <v/>
      </c>
      <c r="L6331">
        <f>LET(
    arrears_months,'Loan Tape (S&amp;P)'!AN6331,
    IF(arrears_months=0,1.00,
    IF(arrears_months=1,3.00,
    IF(arrears_months=2,5.00,
    IF(arrears_months=3,8.00,
    IF(arrears_months=4,10.00,
    IF(arrears_months=5,12.00,15.00)))))))</f>
        <v/>
      </c>
      <c r="M6331">
        <f>LET(
    seasoning_years,DATEDIF('Loan Tape (S&amp;P)'!K6331,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31">
        <f>IF(AND('Loan Tape (S&amp;P)'!U6331="Yes",
        'Loan Tape (S&amp;P)'!T6331&lt;&gt;"Yes",
        DATEDIF('Loan Tape (S&amp;P)'!K6331, TODAY(), "M")&lt;18),
    1.10,
    1.00)</f>
        <v/>
      </c>
      <c r="O6331">
        <f>IF('Loan Tape (S&amp;P)'!T6331="Yes",
    1.35,
    1.00)</f>
        <v/>
      </c>
      <c r="P6331">
        <f>IF('Loan Tape (S&amp;P)'!S6331="Yes",
    1.15,
    1.00)</f>
        <v/>
      </c>
      <c r="Q6331">
        <f>IF('Loan Tape (S&amp;P)'!V6331="Yes",
    1.20,
    1.00)</f>
        <v/>
      </c>
      <c r="T6331">
        <f>LET(
    payment_method,'Loan Tape (S&amp;P)'!P6331,
    occupancy,'Loan Tape (S&amp;P)'!N6331,
    maturity_date,'Loan Tape (S&amp;P)'!L6331,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32">
      <c r="J6332">
        <f>LET(
    lien,'Loan Tape (S&amp;P)'!Q6332,
    IF(lien="First",1.00,
        IF(lien="Second",1.50,
            1.70)))</f>
        <v/>
      </c>
      <c r="K6332">
        <f>LET(
    purpose,'Loan Tape (S&amp;P)'!R6332,
    IF(purpose="Purchase",1.00,
        IF(purpose="Remortgage",1.00,
            1.20)))</f>
        <v/>
      </c>
      <c r="L6332">
        <f>LET(
    arrears_months,'Loan Tape (S&amp;P)'!AN6332,
    IF(arrears_months=0,1.00,
    IF(arrears_months=1,3.00,
    IF(arrears_months=2,5.00,
    IF(arrears_months=3,8.00,
    IF(arrears_months=4,10.00,
    IF(arrears_months=5,12.00,15.00)))))))</f>
        <v/>
      </c>
      <c r="M6332">
        <f>LET(
    seasoning_years,DATEDIF('Loan Tape (S&amp;P)'!K6332,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32">
        <f>IF(AND('Loan Tape (S&amp;P)'!U6332="Yes",
        'Loan Tape (S&amp;P)'!T6332&lt;&gt;"Yes",
        DATEDIF('Loan Tape (S&amp;P)'!K6332, TODAY(), "M")&lt;18),
    1.10,
    1.00)</f>
        <v/>
      </c>
      <c r="O6332">
        <f>IF('Loan Tape (S&amp;P)'!T6332="Yes",
    1.35,
    1.00)</f>
        <v/>
      </c>
      <c r="P6332">
        <f>IF('Loan Tape (S&amp;P)'!S6332="Yes",
    1.15,
    1.00)</f>
        <v/>
      </c>
      <c r="Q6332">
        <f>IF('Loan Tape (S&amp;P)'!V6332="Yes",
    1.20,
    1.00)</f>
        <v/>
      </c>
      <c r="T6332">
        <f>LET(
    payment_method,'Loan Tape (S&amp;P)'!P6332,
    occupancy,'Loan Tape (S&amp;P)'!N6332,
    maturity_date,'Loan Tape (S&amp;P)'!L6332,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33">
      <c r="J6333">
        <f>LET(
    lien,'Loan Tape (S&amp;P)'!Q6333,
    IF(lien="First",1.00,
        IF(lien="Second",1.50,
            1.70)))</f>
        <v/>
      </c>
      <c r="K6333">
        <f>LET(
    purpose,'Loan Tape (S&amp;P)'!R6333,
    IF(purpose="Purchase",1.00,
        IF(purpose="Remortgage",1.00,
            1.20)))</f>
        <v/>
      </c>
      <c r="L6333">
        <f>LET(
    arrears_months,'Loan Tape (S&amp;P)'!AN6333,
    IF(arrears_months=0,1.00,
    IF(arrears_months=1,3.00,
    IF(arrears_months=2,5.00,
    IF(arrears_months=3,8.00,
    IF(arrears_months=4,10.00,
    IF(arrears_months=5,12.00,15.00)))))))</f>
        <v/>
      </c>
      <c r="M6333">
        <f>LET(
    seasoning_years,DATEDIF('Loan Tape (S&amp;P)'!K6333,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33">
        <f>IF(AND('Loan Tape (S&amp;P)'!U6333="Yes",
        'Loan Tape (S&amp;P)'!T6333&lt;&gt;"Yes",
        DATEDIF('Loan Tape (S&amp;P)'!K6333, TODAY(), "M")&lt;18),
    1.10,
    1.00)</f>
        <v/>
      </c>
      <c r="O6333">
        <f>IF('Loan Tape (S&amp;P)'!T6333="Yes",
    1.35,
    1.00)</f>
        <v/>
      </c>
      <c r="P6333">
        <f>IF('Loan Tape (S&amp;P)'!S6333="Yes",
    1.15,
    1.00)</f>
        <v/>
      </c>
      <c r="Q6333">
        <f>IF('Loan Tape (S&amp;P)'!V6333="Yes",
    1.20,
    1.00)</f>
        <v/>
      </c>
      <c r="T6333">
        <f>LET(
    payment_method,'Loan Tape (S&amp;P)'!P6333,
    occupancy,'Loan Tape (S&amp;P)'!N6333,
    maturity_date,'Loan Tape (S&amp;P)'!L6333,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34">
      <c r="J6334">
        <f>LET(
    lien,'Loan Tape (S&amp;P)'!Q6334,
    IF(lien="First",1.00,
        IF(lien="Second",1.50,
            1.70)))</f>
        <v/>
      </c>
      <c r="K6334">
        <f>LET(
    purpose,'Loan Tape (S&amp;P)'!R6334,
    IF(purpose="Purchase",1.00,
        IF(purpose="Remortgage",1.00,
            1.20)))</f>
        <v/>
      </c>
      <c r="L6334">
        <f>LET(
    arrears_months,'Loan Tape (S&amp;P)'!AN6334,
    IF(arrears_months=0,1.00,
    IF(arrears_months=1,3.00,
    IF(arrears_months=2,5.00,
    IF(arrears_months=3,8.00,
    IF(arrears_months=4,10.00,
    IF(arrears_months=5,12.00,15.00)))))))</f>
        <v/>
      </c>
      <c r="M6334">
        <f>LET(
    seasoning_years,DATEDIF('Loan Tape (S&amp;P)'!K6334,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34">
        <f>IF(AND('Loan Tape (S&amp;P)'!U6334="Yes",
        'Loan Tape (S&amp;P)'!T6334&lt;&gt;"Yes",
        DATEDIF('Loan Tape (S&amp;P)'!K6334, TODAY(), "M")&lt;18),
    1.10,
    1.00)</f>
        <v/>
      </c>
      <c r="O6334">
        <f>IF('Loan Tape (S&amp;P)'!T6334="Yes",
    1.35,
    1.00)</f>
        <v/>
      </c>
      <c r="P6334">
        <f>IF('Loan Tape (S&amp;P)'!S6334="Yes",
    1.15,
    1.00)</f>
        <v/>
      </c>
      <c r="Q6334">
        <f>IF('Loan Tape (S&amp;P)'!V6334="Yes",
    1.20,
    1.00)</f>
        <v/>
      </c>
      <c r="T6334">
        <f>LET(
    payment_method,'Loan Tape (S&amp;P)'!P6334,
    occupancy,'Loan Tape (S&amp;P)'!N6334,
    maturity_date,'Loan Tape (S&amp;P)'!L6334,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35">
      <c r="J6335">
        <f>LET(
    lien,'Loan Tape (S&amp;P)'!Q6335,
    IF(lien="First",1.00,
        IF(lien="Second",1.50,
            1.70)))</f>
        <v/>
      </c>
      <c r="K6335">
        <f>LET(
    purpose,'Loan Tape (S&amp;P)'!R6335,
    IF(purpose="Purchase",1.00,
        IF(purpose="Remortgage",1.00,
            1.20)))</f>
        <v/>
      </c>
      <c r="L6335">
        <f>LET(
    arrears_months,'Loan Tape (S&amp;P)'!AN6335,
    IF(arrears_months=0,1.00,
    IF(arrears_months=1,3.00,
    IF(arrears_months=2,5.00,
    IF(arrears_months=3,8.00,
    IF(arrears_months=4,10.00,
    IF(arrears_months=5,12.00,15.00)))))))</f>
        <v/>
      </c>
      <c r="M6335">
        <f>LET(
    seasoning_years,DATEDIF('Loan Tape (S&amp;P)'!K6335,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35">
        <f>IF(AND('Loan Tape (S&amp;P)'!U6335="Yes",
        'Loan Tape (S&amp;P)'!T6335&lt;&gt;"Yes",
        DATEDIF('Loan Tape (S&amp;P)'!K6335, TODAY(), "M")&lt;18),
    1.10,
    1.00)</f>
        <v/>
      </c>
      <c r="O6335">
        <f>IF('Loan Tape (S&amp;P)'!T6335="Yes",
    1.35,
    1.00)</f>
        <v/>
      </c>
      <c r="P6335">
        <f>IF('Loan Tape (S&amp;P)'!S6335="Yes",
    1.15,
    1.00)</f>
        <v/>
      </c>
      <c r="Q6335">
        <f>IF('Loan Tape (S&amp;P)'!V6335="Yes",
    1.20,
    1.00)</f>
        <v/>
      </c>
      <c r="T6335">
        <f>LET(
    payment_method,'Loan Tape (S&amp;P)'!P6335,
    occupancy,'Loan Tape (S&amp;P)'!N6335,
    maturity_date,'Loan Tape (S&amp;P)'!L6335,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36">
      <c r="J6336">
        <f>LET(
    lien,'Loan Tape (S&amp;P)'!Q6336,
    IF(lien="First",1.00,
        IF(lien="Second",1.50,
            1.70)))</f>
        <v/>
      </c>
      <c r="K6336">
        <f>LET(
    purpose,'Loan Tape (S&amp;P)'!R6336,
    IF(purpose="Purchase",1.00,
        IF(purpose="Remortgage",1.00,
            1.20)))</f>
        <v/>
      </c>
      <c r="L6336">
        <f>LET(
    arrears_months,'Loan Tape (S&amp;P)'!AN6336,
    IF(arrears_months=0,1.00,
    IF(arrears_months=1,3.00,
    IF(arrears_months=2,5.00,
    IF(arrears_months=3,8.00,
    IF(arrears_months=4,10.00,
    IF(arrears_months=5,12.00,15.00)))))))</f>
        <v/>
      </c>
      <c r="M6336">
        <f>LET(
    seasoning_years,DATEDIF('Loan Tape (S&amp;P)'!K6336,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36">
        <f>IF(AND('Loan Tape (S&amp;P)'!U6336="Yes",
        'Loan Tape (S&amp;P)'!T6336&lt;&gt;"Yes",
        DATEDIF('Loan Tape (S&amp;P)'!K6336, TODAY(), "M")&lt;18),
    1.10,
    1.00)</f>
        <v/>
      </c>
      <c r="O6336">
        <f>IF('Loan Tape (S&amp;P)'!T6336="Yes",
    1.35,
    1.00)</f>
        <v/>
      </c>
      <c r="P6336">
        <f>IF('Loan Tape (S&amp;P)'!S6336="Yes",
    1.15,
    1.00)</f>
        <v/>
      </c>
      <c r="Q6336">
        <f>IF('Loan Tape (S&amp;P)'!V6336="Yes",
    1.20,
    1.00)</f>
        <v/>
      </c>
      <c r="T6336">
        <f>LET(
    payment_method,'Loan Tape (S&amp;P)'!P6336,
    occupancy,'Loan Tape (S&amp;P)'!N6336,
    maturity_date,'Loan Tape (S&amp;P)'!L6336,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37">
      <c r="J6337">
        <f>LET(
    lien,'Loan Tape (S&amp;P)'!Q6337,
    IF(lien="First",1.00,
        IF(lien="Second",1.50,
            1.70)))</f>
        <v/>
      </c>
      <c r="K6337">
        <f>LET(
    purpose,'Loan Tape (S&amp;P)'!R6337,
    IF(purpose="Purchase",1.00,
        IF(purpose="Remortgage",1.00,
            1.20)))</f>
        <v/>
      </c>
      <c r="L6337">
        <f>LET(
    arrears_months,'Loan Tape (S&amp;P)'!AN6337,
    IF(arrears_months=0,1.00,
    IF(arrears_months=1,3.00,
    IF(arrears_months=2,5.00,
    IF(arrears_months=3,8.00,
    IF(arrears_months=4,10.00,
    IF(arrears_months=5,12.00,15.00)))))))</f>
        <v/>
      </c>
      <c r="M6337">
        <f>LET(
    seasoning_years,DATEDIF('Loan Tape (S&amp;P)'!K6337,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37">
        <f>IF(AND('Loan Tape (S&amp;P)'!U6337="Yes",
        'Loan Tape (S&amp;P)'!T6337&lt;&gt;"Yes",
        DATEDIF('Loan Tape (S&amp;P)'!K6337, TODAY(), "M")&lt;18),
    1.10,
    1.00)</f>
        <v/>
      </c>
      <c r="O6337">
        <f>IF('Loan Tape (S&amp;P)'!T6337="Yes",
    1.35,
    1.00)</f>
        <v/>
      </c>
      <c r="P6337">
        <f>IF('Loan Tape (S&amp;P)'!S6337="Yes",
    1.15,
    1.00)</f>
        <v/>
      </c>
      <c r="Q6337">
        <f>IF('Loan Tape (S&amp;P)'!V6337="Yes",
    1.20,
    1.00)</f>
        <v/>
      </c>
      <c r="T6337">
        <f>LET(
    payment_method,'Loan Tape (S&amp;P)'!P6337,
    occupancy,'Loan Tape (S&amp;P)'!N6337,
    maturity_date,'Loan Tape (S&amp;P)'!L6337,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38">
      <c r="J6338">
        <f>LET(
    lien,'Loan Tape (S&amp;P)'!Q6338,
    IF(lien="First",1.00,
        IF(lien="Second",1.50,
            1.70)))</f>
        <v/>
      </c>
      <c r="K6338">
        <f>LET(
    purpose,'Loan Tape (S&amp;P)'!R6338,
    IF(purpose="Purchase",1.00,
        IF(purpose="Remortgage",1.00,
            1.20)))</f>
        <v/>
      </c>
      <c r="L6338">
        <f>LET(
    arrears_months,'Loan Tape (S&amp;P)'!AN6338,
    IF(arrears_months=0,1.00,
    IF(arrears_months=1,3.00,
    IF(arrears_months=2,5.00,
    IF(arrears_months=3,8.00,
    IF(arrears_months=4,10.00,
    IF(arrears_months=5,12.00,15.00)))))))</f>
        <v/>
      </c>
      <c r="M6338">
        <f>LET(
    seasoning_years,DATEDIF('Loan Tape (S&amp;P)'!K6338,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38">
        <f>IF(AND('Loan Tape (S&amp;P)'!U6338="Yes",
        'Loan Tape (S&amp;P)'!T6338&lt;&gt;"Yes",
        DATEDIF('Loan Tape (S&amp;P)'!K6338, TODAY(), "M")&lt;18),
    1.10,
    1.00)</f>
        <v/>
      </c>
      <c r="O6338">
        <f>IF('Loan Tape (S&amp;P)'!T6338="Yes",
    1.35,
    1.00)</f>
        <v/>
      </c>
      <c r="P6338">
        <f>IF('Loan Tape (S&amp;P)'!S6338="Yes",
    1.15,
    1.00)</f>
        <v/>
      </c>
      <c r="Q6338">
        <f>IF('Loan Tape (S&amp;P)'!V6338="Yes",
    1.20,
    1.00)</f>
        <v/>
      </c>
      <c r="T6338">
        <f>LET(
    payment_method,'Loan Tape (S&amp;P)'!P6338,
    occupancy,'Loan Tape (S&amp;P)'!N6338,
    maturity_date,'Loan Tape (S&amp;P)'!L6338,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39">
      <c r="J6339">
        <f>LET(
    lien,'Loan Tape (S&amp;P)'!Q6339,
    IF(lien="First",1.00,
        IF(lien="Second",1.50,
            1.70)))</f>
        <v/>
      </c>
      <c r="K6339">
        <f>LET(
    purpose,'Loan Tape (S&amp;P)'!R6339,
    IF(purpose="Purchase",1.00,
        IF(purpose="Remortgage",1.00,
            1.20)))</f>
        <v/>
      </c>
      <c r="L6339">
        <f>LET(
    arrears_months,'Loan Tape (S&amp;P)'!AN6339,
    IF(arrears_months=0,1.00,
    IF(arrears_months=1,3.00,
    IF(arrears_months=2,5.00,
    IF(arrears_months=3,8.00,
    IF(arrears_months=4,10.00,
    IF(arrears_months=5,12.00,15.00)))))))</f>
        <v/>
      </c>
      <c r="M6339">
        <f>LET(
    seasoning_years,DATEDIF('Loan Tape (S&amp;P)'!K6339,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39">
        <f>IF(AND('Loan Tape (S&amp;P)'!U6339="Yes",
        'Loan Tape (S&amp;P)'!T6339&lt;&gt;"Yes",
        DATEDIF('Loan Tape (S&amp;P)'!K6339, TODAY(), "M")&lt;18),
    1.10,
    1.00)</f>
        <v/>
      </c>
      <c r="O6339">
        <f>IF('Loan Tape (S&amp;P)'!T6339="Yes",
    1.35,
    1.00)</f>
        <v/>
      </c>
      <c r="P6339">
        <f>IF('Loan Tape (S&amp;P)'!S6339="Yes",
    1.15,
    1.00)</f>
        <v/>
      </c>
      <c r="Q6339">
        <f>IF('Loan Tape (S&amp;P)'!V6339="Yes",
    1.20,
    1.00)</f>
        <v/>
      </c>
      <c r="T6339">
        <f>LET(
    payment_method,'Loan Tape (S&amp;P)'!P6339,
    occupancy,'Loan Tape (S&amp;P)'!N6339,
    maturity_date,'Loan Tape (S&amp;P)'!L6339,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40">
      <c r="J6340">
        <f>LET(
    lien,'Loan Tape (S&amp;P)'!Q6340,
    IF(lien="First",1.00,
        IF(lien="Second",1.50,
            1.70)))</f>
        <v/>
      </c>
      <c r="K6340">
        <f>LET(
    purpose,'Loan Tape (S&amp;P)'!R6340,
    IF(purpose="Purchase",1.00,
        IF(purpose="Remortgage",1.00,
            1.20)))</f>
        <v/>
      </c>
      <c r="L6340">
        <f>LET(
    arrears_months,'Loan Tape (S&amp;P)'!AN6340,
    IF(arrears_months=0,1.00,
    IF(arrears_months=1,3.00,
    IF(arrears_months=2,5.00,
    IF(arrears_months=3,8.00,
    IF(arrears_months=4,10.00,
    IF(arrears_months=5,12.00,15.00)))))))</f>
        <v/>
      </c>
      <c r="M6340">
        <f>LET(
    seasoning_years,DATEDIF('Loan Tape (S&amp;P)'!K6340,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40">
        <f>IF(AND('Loan Tape (S&amp;P)'!U6340="Yes",
        'Loan Tape (S&amp;P)'!T6340&lt;&gt;"Yes",
        DATEDIF('Loan Tape (S&amp;P)'!K6340, TODAY(), "M")&lt;18),
    1.10,
    1.00)</f>
        <v/>
      </c>
      <c r="O6340">
        <f>IF('Loan Tape (S&amp;P)'!T6340="Yes",
    1.35,
    1.00)</f>
        <v/>
      </c>
      <c r="P6340">
        <f>IF('Loan Tape (S&amp;P)'!S6340="Yes",
    1.15,
    1.00)</f>
        <v/>
      </c>
      <c r="Q6340">
        <f>IF('Loan Tape (S&amp;P)'!V6340="Yes",
    1.20,
    1.00)</f>
        <v/>
      </c>
      <c r="T6340">
        <f>LET(
    payment_method,'Loan Tape (S&amp;P)'!P6340,
    occupancy,'Loan Tape (S&amp;P)'!N6340,
    maturity_date,'Loan Tape (S&amp;P)'!L6340,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41">
      <c r="J6341">
        <f>LET(
    lien,'Loan Tape (S&amp;P)'!Q6341,
    IF(lien="First",1.00,
        IF(lien="Second",1.50,
            1.70)))</f>
        <v/>
      </c>
      <c r="K6341">
        <f>LET(
    purpose,'Loan Tape (S&amp;P)'!R6341,
    IF(purpose="Purchase",1.00,
        IF(purpose="Remortgage",1.00,
            1.20)))</f>
        <v/>
      </c>
      <c r="L6341">
        <f>LET(
    arrears_months,'Loan Tape (S&amp;P)'!AN6341,
    IF(arrears_months=0,1.00,
    IF(arrears_months=1,3.00,
    IF(arrears_months=2,5.00,
    IF(arrears_months=3,8.00,
    IF(arrears_months=4,10.00,
    IF(arrears_months=5,12.00,15.00)))))))</f>
        <v/>
      </c>
      <c r="M6341">
        <f>LET(
    seasoning_years,DATEDIF('Loan Tape (S&amp;P)'!K6341,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41">
        <f>IF(AND('Loan Tape (S&amp;P)'!U6341="Yes",
        'Loan Tape (S&amp;P)'!T6341&lt;&gt;"Yes",
        DATEDIF('Loan Tape (S&amp;P)'!K6341, TODAY(), "M")&lt;18),
    1.10,
    1.00)</f>
        <v/>
      </c>
      <c r="O6341">
        <f>IF('Loan Tape (S&amp;P)'!T6341="Yes",
    1.35,
    1.00)</f>
        <v/>
      </c>
      <c r="P6341">
        <f>IF('Loan Tape (S&amp;P)'!S6341="Yes",
    1.15,
    1.00)</f>
        <v/>
      </c>
      <c r="Q6341">
        <f>IF('Loan Tape (S&amp;P)'!V6341="Yes",
    1.20,
    1.00)</f>
        <v/>
      </c>
      <c r="T6341">
        <f>LET(
    payment_method,'Loan Tape (S&amp;P)'!P6341,
    occupancy,'Loan Tape (S&amp;P)'!N6341,
    maturity_date,'Loan Tape (S&amp;P)'!L6341,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42">
      <c r="J6342">
        <f>LET(
    lien,'Loan Tape (S&amp;P)'!Q6342,
    IF(lien="First",1.00,
        IF(lien="Second",1.50,
            1.70)))</f>
        <v/>
      </c>
      <c r="K6342">
        <f>LET(
    purpose,'Loan Tape (S&amp;P)'!R6342,
    IF(purpose="Purchase",1.00,
        IF(purpose="Remortgage",1.00,
            1.20)))</f>
        <v/>
      </c>
      <c r="L6342">
        <f>LET(
    arrears_months,'Loan Tape (S&amp;P)'!AN6342,
    IF(arrears_months=0,1.00,
    IF(arrears_months=1,3.00,
    IF(arrears_months=2,5.00,
    IF(arrears_months=3,8.00,
    IF(arrears_months=4,10.00,
    IF(arrears_months=5,12.00,15.00)))))))</f>
        <v/>
      </c>
      <c r="M6342">
        <f>LET(
    seasoning_years,DATEDIF('Loan Tape (S&amp;P)'!K6342,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42">
        <f>IF(AND('Loan Tape (S&amp;P)'!U6342="Yes",
        'Loan Tape (S&amp;P)'!T6342&lt;&gt;"Yes",
        DATEDIF('Loan Tape (S&amp;P)'!K6342, TODAY(), "M")&lt;18),
    1.10,
    1.00)</f>
        <v/>
      </c>
      <c r="O6342">
        <f>IF('Loan Tape (S&amp;P)'!T6342="Yes",
    1.35,
    1.00)</f>
        <v/>
      </c>
      <c r="P6342">
        <f>IF('Loan Tape (S&amp;P)'!S6342="Yes",
    1.15,
    1.00)</f>
        <v/>
      </c>
      <c r="Q6342">
        <f>IF('Loan Tape (S&amp;P)'!V6342="Yes",
    1.20,
    1.00)</f>
        <v/>
      </c>
      <c r="T6342">
        <f>LET(
    payment_method,'Loan Tape (S&amp;P)'!P6342,
    occupancy,'Loan Tape (S&amp;P)'!N6342,
    maturity_date,'Loan Tape (S&amp;P)'!L6342,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43">
      <c r="J6343">
        <f>LET(
    lien,'Loan Tape (S&amp;P)'!Q6343,
    IF(lien="First",1.00,
        IF(lien="Second",1.50,
            1.70)))</f>
        <v/>
      </c>
      <c r="K6343">
        <f>LET(
    purpose,'Loan Tape (S&amp;P)'!R6343,
    IF(purpose="Purchase",1.00,
        IF(purpose="Remortgage",1.00,
            1.20)))</f>
        <v/>
      </c>
      <c r="L6343">
        <f>LET(
    arrears_months,'Loan Tape (S&amp;P)'!AN6343,
    IF(arrears_months=0,1.00,
    IF(arrears_months=1,3.00,
    IF(arrears_months=2,5.00,
    IF(arrears_months=3,8.00,
    IF(arrears_months=4,10.00,
    IF(arrears_months=5,12.00,15.00)))))))</f>
        <v/>
      </c>
      <c r="M6343">
        <f>LET(
    seasoning_years,DATEDIF('Loan Tape (S&amp;P)'!K6343,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43">
        <f>IF(AND('Loan Tape (S&amp;P)'!U6343="Yes",
        'Loan Tape (S&amp;P)'!T6343&lt;&gt;"Yes",
        DATEDIF('Loan Tape (S&amp;P)'!K6343, TODAY(), "M")&lt;18),
    1.10,
    1.00)</f>
        <v/>
      </c>
      <c r="O6343">
        <f>IF('Loan Tape (S&amp;P)'!T6343="Yes",
    1.35,
    1.00)</f>
        <v/>
      </c>
      <c r="P6343">
        <f>IF('Loan Tape (S&amp;P)'!S6343="Yes",
    1.15,
    1.00)</f>
        <v/>
      </c>
      <c r="Q6343">
        <f>IF('Loan Tape (S&amp;P)'!V6343="Yes",
    1.20,
    1.00)</f>
        <v/>
      </c>
      <c r="T6343">
        <f>LET(
    payment_method,'Loan Tape (S&amp;P)'!P6343,
    occupancy,'Loan Tape (S&amp;P)'!N6343,
    maturity_date,'Loan Tape (S&amp;P)'!L6343,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44">
      <c r="J6344">
        <f>LET(
    lien,'Loan Tape (S&amp;P)'!Q6344,
    IF(lien="First",1.00,
        IF(lien="Second",1.50,
            1.70)))</f>
        <v/>
      </c>
      <c r="K6344">
        <f>LET(
    purpose,'Loan Tape (S&amp;P)'!R6344,
    IF(purpose="Purchase",1.00,
        IF(purpose="Remortgage",1.00,
            1.20)))</f>
        <v/>
      </c>
      <c r="L6344">
        <f>LET(
    arrears_months,'Loan Tape (S&amp;P)'!AN6344,
    IF(arrears_months=0,1.00,
    IF(arrears_months=1,3.00,
    IF(arrears_months=2,5.00,
    IF(arrears_months=3,8.00,
    IF(arrears_months=4,10.00,
    IF(arrears_months=5,12.00,15.00)))))))</f>
        <v/>
      </c>
      <c r="M6344">
        <f>LET(
    seasoning_years,DATEDIF('Loan Tape (S&amp;P)'!K6344,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44">
        <f>IF(AND('Loan Tape (S&amp;P)'!U6344="Yes",
        'Loan Tape (S&amp;P)'!T6344&lt;&gt;"Yes",
        DATEDIF('Loan Tape (S&amp;P)'!K6344, TODAY(), "M")&lt;18),
    1.10,
    1.00)</f>
        <v/>
      </c>
      <c r="O6344">
        <f>IF('Loan Tape (S&amp;P)'!T6344="Yes",
    1.35,
    1.00)</f>
        <v/>
      </c>
      <c r="P6344">
        <f>IF('Loan Tape (S&amp;P)'!S6344="Yes",
    1.15,
    1.00)</f>
        <v/>
      </c>
      <c r="Q6344">
        <f>IF('Loan Tape (S&amp;P)'!V6344="Yes",
    1.20,
    1.00)</f>
        <v/>
      </c>
      <c r="T6344">
        <f>LET(
    payment_method,'Loan Tape (S&amp;P)'!P6344,
    occupancy,'Loan Tape (S&amp;P)'!N6344,
    maturity_date,'Loan Tape (S&amp;P)'!L6344,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45">
      <c r="J6345">
        <f>LET(
    lien,'Loan Tape (S&amp;P)'!Q6345,
    IF(lien="First",1.00,
        IF(lien="Second",1.50,
            1.70)))</f>
        <v/>
      </c>
      <c r="K6345">
        <f>LET(
    purpose,'Loan Tape (S&amp;P)'!R6345,
    IF(purpose="Purchase",1.00,
        IF(purpose="Remortgage",1.00,
            1.20)))</f>
        <v/>
      </c>
      <c r="L6345">
        <f>LET(
    arrears_months,'Loan Tape (S&amp;P)'!AN6345,
    IF(arrears_months=0,1.00,
    IF(arrears_months=1,3.00,
    IF(arrears_months=2,5.00,
    IF(arrears_months=3,8.00,
    IF(arrears_months=4,10.00,
    IF(arrears_months=5,12.00,15.00)))))))</f>
        <v/>
      </c>
      <c r="M6345">
        <f>LET(
    seasoning_years,DATEDIF('Loan Tape (S&amp;P)'!K6345,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45">
        <f>IF(AND('Loan Tape (S&amp;P)'!U6345="Yes",
        'Loan Tape (S&amp;P)'!T6345&lt;&gt;"Yes",
        DATEDIF('Loan Tape (S&amp;P)'!K6345, TODAY(), "M")&lt;18),
    1.10,
    1.00)</f>
        <v/>
      </c>
      <c r="O6345">
        <f>IF('Loan Tape (S&amp;P)'!T6345="Yes",
    1.35,
    1.00)</f>
        <v/>
      </c>
      <c r="P6345">
        <f>IF('Loan Tape (S&amp;P)'!S6345="Yes",
    1.15,
    1.00)</f>
        <v/>
      </c>
      <c r="Q6345">
        <f>IF('Loan Tape (S&amp;P)'!V6345="Yes",
    1.20,
    1.00)</f>
        <v/>
      </c>
      <c r="T6345">
        <f>LET(
    payment_method,'Loan Tape (S&amp;P)'!P6345,
    occupancy,'Loan Tape (S&amp;P)'!N6345,
    maturity_date,'Loan Tape (S&amp;P)'!L6345,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46">
      <c r="J6346">
        <f>LET(
    lien,'Loan Tape (S&amp;P)'!Q6346,
    IF(lien="First",1.00,
        IF(lien="Second",1.50,
            1.70)))</f>
        <v/>
      </c>
      <c r="K6346">
        <f>LET(
    purpose,'Loan Tape (S&amp;P)'!R6346,
    IF(purpose="Purchase",1.00,
        IF(purpose="Remortgage",1.00,
            1.20)))</f>
        <v/>
      </c>
      <c r="L6346">
        <f>LET(
    arrears_months,'Loan Tape (S&amp;P)'!AN6346,
    IF(arrears_months=0,1.00,
    IF(arrears_months=1,3.00,
    IF(arrears_months=2,5.00,
    IF(arrears_months=3,8.00,
    IF(arrears_months=4,10.00,
    IF(arrears_months=5,12.00,15.00)))))))</f>
        <v/>
      </c>
      <c r="M6346">
        <f>LET(
    seasoning_years,DATEDIF('Loan Tape (S&amp;P)'!K6346,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46">
        <f>IF(AND('Loan Tape (S&amp;P)'!U6346="Yes",
        'Loan Tape (S&amp;P)'!T6346&lt;&gt;"Yes",
        DATEDIF('Loan Tape (S&amp;P)'!K6346, TODAY(), "M")&lt;18),
    1.10,
    1.00)</f>
        <v/>
      </c>
      <c r="O6346">
        <f>IF('Loan Tape (S&amp;P)'!T6346="Yes",
    1.35,
    1.00)</f>
        <v/>
      </c>
      <c r="P6346">
        <f>IF('Loan Tape (S&amp;P)'!S6346="Yes",
    1.15,
    1.00)</f>
        <v/>
      </c>
      <c r="Q6346">
        <f>IF('Loan Tape (S&amp;P)'!V6346="Yes",
    1.20,
    1.00)</f>
        <v/>
      </c>
      <c r="T6346">
        <f>LET(
    payment_method,'Loan Tape (S&amp;P)'!P6346,
    occupancy,'Loan Tape (S&amp;P)'!N6346,
    maturity_date,'Loan Tape (S&amp;P)'!L6346,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47">
      <c r="J6347">
        <f>LET(
    lien,'Loan Tape (S&amp;P)'!Q6347,
    IF(lien="First",1.00,
        IF(lien="Second",1.50,
            1.70)))</f>
        <v/>
      </c>
      <c r="K6347">
        <f>LET(
    purpose,'Loan Tape (S&amp;P)'!R6347,
    IF(purpose="Purchase",1.00,
        IF(purpose="Remortgage",1.00,
            1.20)))</f>
        <v/>
      </c>
      <c r="L6347">
        <f>LET(
    arrears_months,'Loan Tape (S&amp;P)'!AN6347,
    IF(arrears_months=0,1.00,
    IF(arrears_months=1,3.00,
    IF(arrears_months=2,5.00,
    IF(arrears_months=3,8.00,
    IF(arrears_months=4,10.00,
    IF(arrears_months=5,12.00,15.00)))))))</f>
        <v/>
      </c>
      <c r="M6347">
        <f>LET(
    seasoning_years,DATEDIF('Loan Tape (S&amp;P)'!K6347,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47">
        <f>IF(AND('Loan Tape (S&amp;P)'!U6347="Yes",
        'Loan Tape (S&amp;P)'!T6347&lt;&gt;"Yes",
        DATEDIF('Loan Tape (S&amp;P)'!K6347, TODAY(), "M")&lt;18),
    1.10,
    1.00)</f>
        <v/>
      </c>
      <c r="O6347">
        <f>IF('Loan Tape (S&amp;P)'!T6347="Yes",
    1.35,
    1.00)</f>
        <v/>
      </c>
      <c r="P6347">
        <f>IF('Loan Tape (S&amp;P)'!S6347="Yes",
    1.15,
    1.00)</f>
        <v/>
      </c>
      <c r="Q6347">
        <f>IF('Loan Tape (S&amp;P)'!V6347="Yes",
    1.20,
    1.00)</f>
        <v/>
      </c>
      <c r="T6347">
        <f>LET(
    payment_method,'Loan Tape (S&amp;P)'!P6347,
    occupancy,'Loan Tape (S&amp;P)'!N6347,
    maturity_date,'Loan Tape (S&amp;P)'!L6347,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48">
      <c r="J6348">
        <f>LET(
    lien,'Loan Tape (S&amp;P)'!Q6348,
    IF(lien="First",1.00,
        IF(lien="Second",1.50,
            1.70)))</f>
        <v/>
      </c>
      <c r="K6348">
        <f>LET(
    purpose,'Loan Tape (S&amp;P)'!R6348,
    IF(purpose="Purchase",1.00,
        IF(purpose="Remortgage",1.00,
            1.20)))</f>
        <v/>
      </c>
      <c r="L6348">
        <f>LET(
    arrears_months,'Loan Tape (S&amp;P)'!AN6348,
    IF(arrears_months=0,1.00,
    IF(arrears_months=1,3.00,
    IF(arrears_months=2,5.00,
    IF(arrears_months=3,8.00,
    IF(arrears_months=4,10.00,
    IF(arrears_months=5,12.00,15.00)))))))</f>
        <v/>
      </c>
      <c r="M6348">
        <f>LET(
    seasoning_years,DATEDIF('Loan Tape (S&amp;P)'!K6348,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48">
        <f>IF(AND('Loan Tape (S&amp;P)'!U6348="Yes",
        'Loan Tape (S&amp;P)'!T6348&lt;&gt;"Yes",
        DATEDIF('Loan Tape (S&amp;P)'!K6348, TODAY(), "M")&lt;18),
    1.10,
    1.00)</f>
        <v/>
      </c>
      <c r="O6348">
        <f>IF('Loan Tape (S&amp;P)'!T6348="Yes",
    1.35,
    1.00)</f>
        <v/>
      </c>
      <c r="P6348">
        <f>IF('Loan Tape (S&amp;P)'!S6348="Yes",
    1.15,
    1.00)</f>
        <v/>
      </c>
      <c r="Q6348">
        <f>IF('Loan Tape (S&amp;P)'!V6348="Yes",
    1.20,
    1.00)</f>
        <v/>
      </c>
      <c r="T6348">
        <f>LET(
    payment_method,'Loan Tape (S&amp;P)'!P6348,
    occupancy,'Loan Tape (S&amp;P)'!N6348,
    maturity_date,'Loan Tape (S&amp;P)'!L6348,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49">
      <c r="J6349">
        <f>LET(
    lien,'Loan Tape (S&amp;P)'!Q6349,
    IF(lien="First",1.00,
        IF(lien="Second",1.50,
            1.70)))</f>
        <v/>
      </c>
      <c r="K6349">
        <f>LET(
    purpose,'Loan Tape (S&amp;P)'!R6349,
    IF(purpose="Purchase",1.00,
        IF(purpose="Remortgage",1.00,
            1.20)))</f>
        <v/>
      </c>
      <c r="L6349">
        <f>LET(
    arrears_months,'Loan Tape (S&amp;P)'!AN6349,
    IF(arrears_months=0,1.00,
    IF(arrears_months=1,3.00,
    IF(arrears_months=2,5.00,
    IF(arrears_months=3,8.00,
    IF(arrears_months=4,10.00,
    IF(arrears_months=5,12.00,15.00)))))))</f>
        <v/>
      </c>
      <c r="M6349">
        <f>LET(
    seasoning_years,DATEDIF('Loan Tape (S&amp;P)'!K6349,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49">
        <f>IF(AND('Loan Tape (S&amp;P)'!U6349="Yes",
        'Loan Tape (S&amp;P)'!T6349&lt;&gt;"Yes",
        DATEDIF('Loan Tape (S&amp;P)'!K6349, TODAY(), "M")&lt;18),
    1.10,
    1.00)</f>
        <v/>
      </c>
      <c r="O6349">
        <f>IF('Loan Tape (S&amp;P)'!T6349="Yes",
    1.35,
    1.00)</f>
        <v/>
      </c>
      <c r="P6349">
        <f>IF('Loan Tape (S&amp;P)'!S6349="Yes",
    1.15,
    1.00)</f>
        <v/>
      </c>
      <c r="Q6349">
        <f>IF('Loan Tape (S&amp;P)'!V6349="Yes",
    1.20,
    1.00)</f>
        <v/>
      </c>
      <c r="T6349">
        <f>LET(
    payment_method,'Loan Tape (S&amp;P)'!P6349,
    occupancy,'Loan Tape (S&amp;P)'!N6349,
    maturity_date,'Loan Tape (S&amp;P)'!L6349,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50">
      <c r="J6350">
        <f>LET(
    lien,'Loan Tape (S&amp;P)'!Q6350,
    IF(lien="First",1.00,
        IF(lien="Second",1.50,
            1.70)))</f>
        <v/>
      </c>
      <c r="K6350">
        <f>LET(
    purpose,'Loan Tape (S&amp;P)'!R6350,
    IF(purpose="Purchase",1.00,
        IF(purpose="Remortgage",1.00,
            1.20)))</f>
        <v/>
      </c>
      <c r="L6350">
        <f>LET(
    arrears_months,'Loan Tape (S&amp;P)'!AN6350,
    IF(arrears_months=0,1.00,
    IF(arrears_months=1,3.00,
    IF(arrears_months=2,5.00,
    IF(arrears_months=3,8.00,
    IF(arrears_months=4,10.00,
    IF(arrears_months=5,12.00,15.00)))))))</f>
        <v/>
      </c>
      <c r="M6350">
        <f>LET(
    seasoning_years,DATEDIF('Loan Tape (S&amp;P)'!K6350,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50">
        <f>IF(AND('Loan Tape (S&amp;P)'!U6350="Yes",
        'Loan Tape (S&amp;P)'!T6350&lt;&gt;"Yes",
        DATEDIF('Loan Tape (S&amp;P)'!K6350, TODAY(), "M")&lt;18),
    1.10,
    1.00)</f>
        <v/>
      </c>
      <c r="O6350">
        <f>IF('Loan Tape (S&amp;P)'!T6350="Yes",
    1.35,
    1.00)</f>
        <v/>
      </c>
      <c r="P6350">
        <f>IF('Loan Tape (S&amp;P)'!S6350="Yes",
    1.15,
    1.00)</f>
        <v/>
      </c>
      <c r="Q6350">
        <f>IF('Loan Tape (S&amp;P)'!V6350="Yes",
    1.20,
    1.00)</f>
        <v/>
      </c>
      <c r="T6350">
        <f>LET(
    payment_method,'Loan Tape (S&amp;P)'!P6350,
    occupancy,'Loan Tape (S&amp;P)'!N6350,
    maturity_date,'Loan Tape (S&amp;P)'!L6350,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51">
      <c r="J6351">
        <f>LET(
    lien,'Loan Tape (S&amp;P)'!Q6351,
    IF(lien="First",1.00,
        IF(lien="Second",1.50,
            1.70)))</f>
        <v/>
      </c>
      <c r="K6351">
        <f>LET(
    purpose,'Loan Tape (S&amp;P)'!R6351,
    IF(purpose="Purchase",1.00,
        IF(purpose="Remortgage",1.00,
            1.20)))</f>
        <v/>
      </c>
      <c r="L6351">
        <f>LET(
    arrears_months,'Loan Tape (S&amp;P)'!AN6351,
    IF(arrears_months=0,1.00,
    IF(arrears_months=1,3.00,
    IF(arrears_months=2,5.00,
    IF(arrears_months=3,8.00,
    IF(arrears_months=4,10.00,
    IF(arrears_months=5,12.00,15.00)))))))</f>
        <v/>
      </c>
      <c r="M6351">
        <f>LET(
    seasoning_years,DATEDIF('Loan Tape (S&amp;P)'!K6351,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51">
        <f>IF(AND('Loan Tape (S&amp;P)'!U6351="Yes",
        'Loan Tape (S&amp;P)'!T6351&lt;&gt;"Yes",
        DATEDIF('Loan Tape (S&amp;P)'!K6351, TODAY(), "M")&lt;18),
    1.10,
    1.00)</f>
        <v/>
      </c>
      <c r="O6351">
        <f>IF('Loan Tape (S&amp;P)'!T6351="Yes",
    1.35,
    1.00)</f>
        <v/>
      </c>
      <c r="P6351">
        <f>IF('Loan Tape (S&amp;P)'!S6351="Yes",
    1.15,
    1.00)</f>
        <v/>
      </c>
      <c r="Q6351">
        <f>IF('Loan Tape (S&amp;P)'!V6351="Yes",
    1.20,
    1.00)</f>
        <v/>
      </c>
      <c r="T6351">
        <f>LET(
    payment_method,'Loan Tape (S&amp;P)'!P6351,
    occupancy,'Loan Tape (S&amp;P)'!N6351,
    maturity_date,'Loan Tape (S&amp;P)'!L6351,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52">
      <c r="J6352">
        <f>LET(
    lien,'Loan Tape (S&amp;P)'!Q6352,
    IF(lien="First",1.00,
        IF(lien="Second",1.50,
            1.70)))</f>
        <v/>
      </c>
      <c r="K6352">
        <f>LET(
    purpose,'Loan Tape (S&amp;P)'!R6352,
    IF(purpose="Purchase",1.00,
        IF(purpose="Remortgage",1.00,
            1.20)))</f>
        <v/>
      </c>
      <c r="L6352">
        <f>LET(
    arrears_months,'Loan Tape (S&amp;P)'!AN6352,
    IF(arrears_months=0,1.00,
    IF(arrears_months=1,3.00,
    IF(arrears_months=2,5.00,
    IF(arrears_months=3,8.00,
    IF(arrears_months=4,10.00,
    IF(arrears_months=5,12.00,15.00)))))))</f>
        <v/>
      </c>
      <c r="M6352">
        <f>LET(
    seasoning_years,DATEDIF('Loan Tape (S&amp;P)'!K6352,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52">
        <f>IF(AND('Loan Tape (S&amp;P)'!U6352="Yes",
        'Loan Tape (S&amp;P)'!T6352&lt;&gt;"Yes",
        DATEDIF('Loan Tape (S&amp;P)'!K6352, TODAY(), "M")&lt;18),
    1.10,
    1.00)</f>
        <v/>
      </c>
      <c r="O6352">
        <f>IF('Loan Tape (S&amp;P)'!T6352="Yes",
    1.35,
    1.00)</f>
        <v/>
      </c>
      <c r="P6352">
        <f>IF('Loan Tape (S&amp;P)'!S6352="Yes",
    1.15,
    1.00)</f>
        <v/>
      </c>
      <c r="Q6352">
        <f>IF('Loan Tape (S&amp;P)'!V6352="Yes",
    1.20,
    1.00)</f>
        <v/>
      </c>
      <c r="T6352">
        <f>LET(
    payment_method,'Loan Tape (S&amp;P)'!P6352,
    occupancy,'Loan Tape (S&amp;P)'!N6352,
    maturity_date,'Loan Tape (S&amp;P)'!L6352,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53">
      <c r="J6353">
        <f>LET(
    lien,'Loan Tape (S&amp;P)'!Q6353,
    IF(lien="First",1.00,
        IF(lien="Second",1.50,
            1.70)))</f>
        <v/>
      </c>
      <c r="K6353">
        <f>LET(
    purpose,'Loan Tape (S&amp;P)'!R6353,
    IF(purpose="Purchase",1.00,
        IF(purpose="Remortgage",1.00,
            1.20)))</f>
        <v/>
      </c>
      <c r="L6353">
        <f>LET(
    arrears_months,'Loan Tape (S&amp;P)'!AN6353,
    IF(arrears_months=0,1.00,
    IF(arrears_months=1,3.00,
    IF(arrears_months=2,5.00,
    IF(arrears_months=3,8.00,
    IF(arrears_months=4,10.00,
    IF(arrears_months=5,12.00,15.00)))))))</f>
        <v/>
      </c>
      <c r="M6353">
        <f>LET(
    seasoning_years,DATEDIF('Loan Tape (S&amp;P)'!K6353,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53">
        <f>IF(AND('Loan Tape (S&amp;P)'!U6353="Yes",
        'Loan Tape (S&amp;P)'!T6353&lt;&gt;"Yes",
        DATEDIF('Loan Tape (S&amp;P)'!K6353, TODAY(), "M")&lt;18),
    1.10,
    1.00)</f>
        <v/>
      </c>
      <c r="O6353">
        <f>IF('Loan Tape (S&amp;P)'!T6353="Yes",
    1.35,
    1.00)</f>
        <v/>
      </c>
      <c r="P6353">
        <f>IF('Loan Tape (S&amp;P)'!S6353="Yes",
    1.15,
    1.00)</f>
        <v/>
      </c>
      <c r="Q6353">
        <f>IF('Loan Tape (S&amp;P)'!V6353="Yes",
    1.20,
    1.00)</f>
        <v/>
      </c>
      <c r="T6353">
        <f>LET(
    payment_method,'Loan Tape (S&amp;P)'!P6353,
    occupancy,'Loan Tape (S&amp;P)'!N6353,
    maturity_date,'Loan Tape (S&amp;P)'!L6353,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54">
      <c r="J6354">
        <f>LET(
    lien,'Loan Tape (S&amp;P)'!Q6354,
    IF(lien="First",1.00,
        IF(lien="Second",1.50,
            1.70)))</f>
        <v/>
      </c>
      <c r="K6354">
        <f>LET(
    purpose,'Loan Tape (S&amp;P)'!R6354,
    IF(purpose="Purchase",1.00,
        IF(purpose="Remortgage",1.00,
            1.20)))</f>
        <v/>
      </c>
      <c r="L6354">
        <f>LET(
    arrears_months,'Loan Tape (S&amp;P)'!AN6354,
    IF(arrears_months=0,1.00,
    IF(arrears_months=1,3.00,
    IF(arrears_months=2,5.00,
    IF(arrears_months=3,8.00,
    IF(arrears_months=4,10.00,
    IF(arrears_months=5,12.00,15.00)))))))</f>
        <v/>
      </c>
      <c r="M6354">
        <f>LET(
    seasoning_years,DATEDIF('Loan Tape (S&amp;P)'!K6354,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54">
        <f>IF(AND('Loan Tape (S&amp;P)'!U6354="Yes",
        'Loan Tape (S&amp;P)'!T6354&lt;&gt;"Yes",
        DATEDIF('Loan Tape (S&amp;P)'!K6354, TODAY(), "M")&lt;18),
    1.10,
    1.00)</f>
        <v/>
      </c>
      <c r="O6354">
        <f>IF('Loan Tape (S&amp;P)'!T6354="Yes",
    1.35,
    1.00)</f>
        <v/>
      </c>
      <c r="P6354">
        <f>IF('Loan Tape (S&amp;P)'!S6354="Yes",
    1.15,
    1.00)</f>
        <v/>
      </c>
      <c r="Q6354">
        <f>IF('Loan Tape (S&amp;P)'!V6354="Yes",
    1.20,
    1.00)</f>
        <v/>
      </c>
      <c r="T6354">
        <f>LET(
    payment_method,'Loan Tape (S&amp;P)'!P6354,
    occupancy,'Loan Tape (S&amp;P)'!N6354,
    maturity_date,'Loan Tape (S&amp;P)'!L6354,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55">
      <c r="J6355">
        <f>LET(
    lien,'Loan Tape (S&amp;P)'!Q6355,
    IF(lien="First",1.00,
        IF(lien="Second",1.50,
            1.70)))</f>
        <v/>
      </c>
      <c r="K6355">
        <f>LET(
    purpose,'Loan Tape (S&amp;P)'!R6355,
    IF(purpose="Purchase",1.00,
        IF(purpose="Remortgage",1.00,
            1.20)))</f>
        <v/>
      </c>
      <c r="L6355">
        <f>LET(
    arrears_months,'Loan Tape (S&amp;P)'!AN6355,
    IF(arrears_months=0,1.00,
    IF(arrears_months=1,3.00,
    IF(arrears_months=2,5.00,
    IF(arrears_months=3,8.00,
    IF(arrears_months=4,10.00,
    IF(arrears_months=5,12.00,15.00)))))))</f>
        <v/>
      </c>
      <c r="M6355">
        <f>LET(
    seasoning_years,DATEDIF('Loan Tape (S&amp;P)'!K6355,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55">
        <f>IF(AND('Loan Tape (S&amp;P)'!U6355="Yes",
        'Loan Tape (S&amp;P)'!T6355&lt;&gt;"Yes",
        DATEDIF('Loan Tape (S&amp;P)'!K6355, TODAY(), "M")&lt;18),
    1.10,
    1.00)</f>
        <v/>
      </c>
      <c r="O6355">
        <f>IF('Loan Tape (S&amp;P)'!T6355="Yes",
    1.35,
    1.00)</f>
        <v/>
      </c>
      <c r="P6355">
        <f>IF('Loan Tape (S&amp;P)'!S6355="Yes",
    1.15,
    1.00)</f>
        <v/>
      </c>
      <c r="Q6355">
        <f>IF('Loan Tape (S&amp;P)'!V6355="Yes",
    1.20,
    1.00)</f>
        <v/>
      </c>
      <c r="T6355">
        <f>LET(
    payment_method,'Loan Tape (S&amp;P)'!P6355,
    occupancy,'Loan Tape (S&amp;P)'!N6355,
    maturity_date,'Loan Tape (S&amp;P)'!L6355,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56">
      <c r="J6356">
        <f>LET(
    lien,'Loan Tape (S&amp;P)'!Q6356,
    IF(lien="First",1.00,
        IF(lien="Second",1.50,
            1.70)))</f>
        <v/>
      </c>
      <c r="K6356">
        <f>LET(
    purpose,'Loan Tape (S&amp;P)'!R6356,
    IF(purpose="Purchase",1.00,
        IF(purpose="Remortgage",1.00,
            1.20)))</f>
        <v/>
      </c>
      <c r="L6356">
        <f>LET(
    arrears_months,'Loan Tape (S&amp;P)'!AN6356,
    IF(arrears_months=0,1.00,
    IF(arrears_months=1,3.00,
    IF(arrears_months=2,5.00,
    IF(arrears_months=3,8.00,
    IF(arrears_months=4,10.00,
    IF(arrears_months=5,12.00,15.00)))))))</f>
        <v/>
      </c>
      <c r="M6356">
        <f>LET(
    seasoning_years,DATEDIF('Loan Tape (S&amp;P)'!K6356,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56">
        <f>IF(AND('Loan Tape (S&amp;P)'!U6356="Yes",
        'Loan Tape (S&amp;P)'!T6356&lt;&gt;"Yes",
        DATEDIF('Loan Tape (S&amp;P)'!K6356, TODAY(), "M")&lt;18),
    1.10,
    1.00)</f>
        <v/>
      </c>
      <c r="O6356">
        <f>IF('Loan Tape (S&amp;P)'!T6356="Yes",
    1.35,
    1.00)</f>
        <v/>
      </c>
      <c r="P6356">
        <f>IF('Loan Tape (S&amp;P)'!S6356="Yes",
    1.15,
    1.00)</f>
        <v/>
      </c>
      <c r="Q6356">
        <f>IF('Loan Tape (S&amp;P)'!V6356="Yes",
    1.20,
    1.00)</f>
        <v/>
      </c>
      <c r="T6356">
        <f>LET(
    payment_method,'Loan Tape (S&amp;P)'!P6356,
    occupancy,'Loan Tape (S&amp;P)'!N6356,
    maturity_date,'Loan Tape (S&amp;P)'!L6356,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57">
      <c r="J6357">
        <f>LET(
    lien,'Loan Tape (S&amp;P)'!Q6357,
    IF(lien="First",1.00,
        IF(lien="Second",1.50,
            1.70)))</f>
        <v/>
      </c>
      <c r="K6357">
        <f>LET(
    purpose,'Loan Tape (S&amp;P)'!R6357,
    IF(purpose="Purchase",1.00,
        IF(purpose="Remortgage",1.00,
            1.20)))</f>
        <v/>
      </c>
      <c r="L6357">
        <f>LET(
    arrears_months,'Loan Tape (S&amp;P)'!AN6357,
    IF(arrears_months=0,1.00,
    IF(arrears_months=1,3.00,
    IF(arrears_months=2,5.00,
    IF(arrears_months=3,8.00,
    IF(arrears_months=4,10.00,
    IF(arrears_months=5,12.00,15.00)))))))</f>
        <v/>
      </c>
      <c r="M6357">
        <f>LET(
    seasoning_years,DATEDIF('Loan Tape (S&amp;P)'!K6357,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57">
        <f>IF(AND('Loan Tape (S&amp;P)'!U6357="Yes",
        'Loan Tape (S&amp;P)'!T6357&lt;&gt;"Yes",
        DATEDIF('Loan Tape (S&amp;P)'!K6357, TODAY(), "M")&lt;18),
    1.10,
    1.00)</f>
        <v/>
      </c>
      <c r="O6357">
        <f>IF('Loan Tape (S&amp;P)'!T6357="Yes",
    1.35,
    1.00)</f>
        <v/>
      </c>
      <c r="P6357">
        <f>IF('Loan Tape (S&amp;P)'!S6357="Yes",
    1.15,
    1.00)</f>
        <v/>
      </c>
      <c r="Q6357">
        <f>IF('Loan Tape (S&amp;P)'!V6357="Yes",
    1.20,
    1.00)</f>
        <v/>
      </c>
      <c r="T6357">
        <f>LET(
    payment_method,'Loan Tape (S&amp;P)'!P6357,
    occupancy,'Loan Tape (S&amp;P)'!N6357,
    maturity_date,'Loan Tape (S&amp;P)'!L6357,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58">
      <c r="J6358">
        <f>LET(
    lien,'Loan Tape (S&amp;P)'!Q6358,
    IF(lien="First",1.00,
        IF(lien="Second",1.50,
            1.70)))</f>
        <v/>
      </c>
      <c r="K6358">
        <f>LET(
    purpose,'Loan Tape (S&amp;P)'!R6358,
    IF(purpose="Purchase",1.00,
        IF(purpose="Remortgage",1.00,
            1.20)))</f>
        <v/>
      </c>
      <c r="L6358">
        <f>LET(
    arrears_months,'Loan Tape (S&amp;P)'!AN6358,
    IF(arrears_months=0,1.00,
    IF(arrears_months=1,3.00,
    IF(arrears_months=2,5.00,
    IF(arrears_months=3,8.00,
    IF(arrears_months=4,10.00,
    IF(arrears_months=5,12.00,15.00)))))))</f>
        <v/>
      </c>
      <c r="M6358">
        <f>LET(
    seasoning_years,DATEDIF('Loan Tape (S&amp;P)'!K6358,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58">
        <f>IF(AND('Loan Tape (S&amp;P)'!U6358="Yes",
        'Loan Tape (S&amp;P)'!T6358&lt;&gt;"Yes",
        DATEDIF('Loan Tape (S&amp;P)'!K6358, TODAY(), "M")&lt;18),
    1.10,
    1.00)</f>
        <v/>
      </c>
      <c r="O6358">
        <f>IF('Loan Tape (S&amp;P)'!T6358="Yes",
    1.35,
    1.00)</f>
        <v/>
      </c>
      <c r="P6358">
        <f>IF('Loan Tape (S&amp;P)'!S6358="Yes",
    1.15,
    1.00)</f>
        <v/>
      </c>
      <c r="Q6358">
        <f>IF('Loan Tape (S&amp;P)'!V6358="Yes",
    1.20,
    1.00)</f>
        <v/>
      </c>
      <c r="T6358">
        <f>LET(
    payment_method,'Loan Tape (S&amp;P)'!P6358,
    occupancy,'Loan Tape (S&amp;P)'!N6358,
    maturity_date,'Loan Tape (S&amp;P)'!L6358,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59">
      <c r="J6359">
        <f>LET(
    lien,'Loan Tape (S&amp;P)'!Q6359,
    IF(lien="First",1.00,
        IF(lien="Second",1.50,
            1.70)))</f>
        <v/>
      </c>
      <c r="K6359">
        <f>LET(
    purpose,'Loan Tape (S&amp;P)'!R6359,
    IF(purpose="Purchase",1.00,
        IF(purpose="Remortgage",1.00,
            1.20)))</f>
        <v/>
      </c>
      <c r="L6359">
        <f>LET(
    arrears_months,'Loan Tape (S&amp;P)'!AN6359,
    IF(arrears_months=0,1.00,
    IF(arrears_months=1,3.00,
    IF(arrears_months=2,5.00,
    IF(arrears_months=3,8.00,
    IF(arrears_months=4,10.00,
    IF(arrears_months=5,12.00,15.00)))))))</f>
        <v/>
      </c>
      <c r="M6359">
        <f>LET(
    seasoning_years,DATEDIF('Loan Tape (S&amp;P)'!K6359,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59">
        <f>IF(AND('Loan Tape (S&amp;P)'!U6359="Yes",
        'Loan Tape (S&amp;P)'!T6359&lt;&gt;"Yes",
        DATEDIF('Loan Tape (S&amp;P)'!K6359, TODAY(), "M")&lt;18),
    1.10,
    1.00)</f>
        <v/>
      </c>
      <c r="O6359">
        <f>IF('Loan Tape (S&amp;P)'!T6359="Yes",
    1.35,
    1.00)</f>
        <v/>
      </c>
      <c r="P6359">
        <f>IF('Loan Tape (S&amp;P)'!S6359="Yes",
    1.15,
    1.00)</f>
        <v/>
      </c>
      <c r="Q6359">
        <f>IF('Loan Tape (S&amp;P)'!V6359="Yes",
    1.20,
    1.00)</f>
        <v/>
      </c>
      <c r="T6359">
        <f>LET(
    payment_method,'Loan Tape (S&amp;P)'!P6359,
    occupancy,'Loan Tape (S&amp;P)'!N6359,
    maturity_date,'Loan Tape (S&amp;P)'!L6359,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60">
      <c r="J6360">
        <f>LET(
    lien,'Loan Tape (S&amp;P)'!Q6360,
    IF(lien="First",1.00,
        IF(lien="Second",1.50,
            1.70)))</f>
        <v/>
      </c>
      <c r="K6360">
        <f>LET(
    purpose,'Loan Tape (S&amp;P)'!R6360,
    IF(purpose="Purchase",1.00,
        IF(purpose="Remortgage",1.00,
            1.20)))</f>
        <v/>
      </c>
      <c r="L6360">
        <f>LET(
    arrears_months,'Loan Tape (S&amp;P)'!AN6360,
    IF(arrears_months=0,1.00,
    IF(arrears_months=1,3.00,
    IF(arrears_months=2,5.00,
    IF(arrears_months=3,8.00,
    IF(arrears_months=4,10.00,
    IF(arrears_months=5,12.00,15.00)))))))</f>
        <v/>
      </c>
      <c r="M6360">
        <f>LET(
    seasoning_years,DATEDIF('Loan Tape (S&amp;P)'!K6360,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60">
        <f>IF(AND('Loan Tape (S&amp;P)'!U6360="Yes",
        'Loan Tape (S&amp;P)'!T6360&lt;&gt;"Yes",
        DATEDIF('Loan Tape (S&amp;P)'!K6360, TODAY(), "M")&lt;18),
    1.10,
    1.00)</f>
        <v/>
      </c>
      <c r="O6360">
        <f>IF('Loan Tape (S&amp;P)'!T6360="Yes",
    1.35,
    1.00)</f>
        <v/>
      </c>
      <c r="P6360">
        <f>IF('Loan Tape (S&amp;P)'!S6360="Yes",
    1.15,
    1.00)</f>
        <v/>
      </c>
      <c r="Q6360">
        <f>IF('Loan Tape (S&amp;P)'!V6360="Yes",
    1.20,
    1.00)</f>
        <v/>
      </c>
      <c r="T6360">
        <f>LET(
    payment_method,'Loan Tape (S&amp;P)'!P6360,
    occupancy,'Loan Tape (S&amp;P)'!N6360,
    maturity_date,'Loan Tape (S&amp;P)'!L6360,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61">
      <c r="J6361">
        <f>LET(
    lien,'Loan Tape (S&amp;P)'!Q6361,
    IF(lien="First",1.00,
        IF(lien="Second",1.50,
            1.70)))</f>
        <v/>
      </c>
      <c r="K6361">
        <f>LET(
    purpose,'Loan Tape (S&amp;P)'!R6361,
    IF(purpose="Purchase",1.00,
        IF(purpose="Remortgage",1.00,
            1.20)))</f>
        <v/>
      </c>
      <c r="L6361">
        <f>LET(
    arrears_months,'Loan Tape (S&amp;P)'!AN6361,
    IF(arrears_months=0,1.00,
    IF(arrears_months=1,3.00,
    IF(arrears_months=2,5.00,
    IF(arrears_months=3,8.00,
    IF(arrears_months=4,10.00,
    IF(arrears_months=5,12.00,15.00)))))))</f>
        <v/>
      </c>
      <c r="M6361">
        <f>LET(
    seasoning_years,DATEDIF('Loan Tape (S&amp;P)'!K6361,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61">
        <f>IF(AND('Loan Tape (S&amp;P)'!U6361="Yes",
        'Loan Tape (S&amp;P)'!T6361&lt;&gt;"Yes",
        DATEDIF('Loan Tape (S&amp;P)'!K6361, TODAY(), "M")&lt;18),
    1.10,
    1.00)</f>
        <v/>
      </c>
      <c r="O6361">
        <f>IF('Loan Tape (S&amp;P)'!T6361="Yes",
    1.35,
    1.00)</f>
        <v/>
      </c>
      <c r="P6361">
        <f>IF('Loan Tape (S&amp;P)'!S6361="Yes",
    1.15,
    1.00)</f>
        <v/>
      </c>
      <c r="Q6361">
        <f>IF('Loan Tape (S&amp;P)'!V6361="Yes",
    1.20,
    1.00)</f>
        <v/>
      </c>
      <c r="T6361">
        <f>LET(
    payment_method,'Loan Tape (S&amp;P)'!P6361,
    occupancy,'Loan Tape (S&amp;P)'!N6361,
    maturity_date,'Loan Tape (S&amp;P)'!L6361,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62">
      <c r="J6362">
        <f>LET(
    lien,'Loan Tape (S&amp;P)'!Q6362,
    IF(lien="First",1.00,
        IF(lien="Second",1.50,
            1.70)))</f>
        <v/>
      </c>
      <c r="K6362">
        <f>LET(
    purpose,'Loan Tape (S&amp;P)'!R6362,
    IF(purpose="Purchase",1.00,
        IF(purpose="Remortgage",1.00,
            1.20)))</f>
        <v/>
      </c>
      <c r="L6362">
        <f>LET(
    arrears_months,'Loan Tape (S&amp;P)'!AN6362,
    IF(arrears_months=0,1.00,
    IF(arrears_months=1,3.00,
    IF(arrears_months=2,5.00,
    IF(arrears_months=3,8.00,
    IF(arrears_months=4,10.00,
    IF(arrears_months=5,12.00,15.00)))))))</f>
        <v/>
      </c>
      <c r="M6362">
        <f>LET(
    seasoning_years,DATEDIF('Loan Tape (S&amp;P)'!K6362,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62">
        <f>IF(AND('Loan Tape (S&amp;P)'!U6362="Yes",
        'Loan Tape (S&amp;P)'!T6362&lt;&gt;"Yes",
        DATEDIF('Loan Tape (S&amp;P)'!K6362, TODAY(), "M")&lt;18),
    1.10,
    1.00)</f>
        <v/>
      </c>
      <c r="O6362">
        <f>IF('Loan Tape (S&amp;P)'!T6362="Yes",
    1.35,
    1.00)</f>
        <v/>
      </c>
      <c r="P6362">
        <f>IF('Loan Tape (S&amp;P)'!S6362="Yes",
    1.15,
    1.00)</f>
        <v/>
      </c>
      <c r="Q6362">
        <f>IF('Loan Tape (S&amp;P)'!V6362="Yes",
    1.20,
    1.00)</f>
        <v/>
      </c>
      <c r="T6362">
        <f>LET(
    payment_method,'Loan Tape (S&amp;P)'!P6362,
    occupancy,'Loan Tape (S&amp;P)'!N6362,
    maturity_date,'Loan Tape (S&amp;P)'!L6362,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63">
      <c r="J6363">
        <f>LET(
    lien,'Loan Tape (S&amp;P)'!Q6363,
    IF(lien="First",1.00,
        IF(lien="Second",1.50,
            1.70)))</f>
        <v/>
      </c>
      <c r="K6363">
        <f>LET(
    purpose,'Loan Tape (S&amp;P)'!R6363,
    IF(purpose="Purchase",1.00,
        IF(purpose="Remortgage",1.00,
            1.20)))</f>
        <v/>
      </c>
      <c r="L6363">
        <f>LET(
    arrears_months,'Loan Tape (S&amp;P)'!AN6363,
    IF(arrears_months=0,1.00,
    IF(arrears_months=1,3.00,
    IF(arrears_months=2,5.00,
    IF(arrears_months=3,8.00,
    IF(arrears_months=4,10.00,
    IF(arrears_months=5,12.00,15.00)))))))</f>
        <v/>
      </c>
      <c r="M6363">
        <f>LET(
    seasoning_years,DATEDIF('Loan Tape (S&amp;P)'!K6363,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63">
        <f>IF(AND('Loan Tape (S&amp;P)'!U6363="Yes",
        'Loan Tape (S&amp;P)'!T6363&lt;&gt;"Yes",
        DATEDIF('Loan Tape (S&amp;P)'!K6363, TODAY(), "M")&lt;18),
    1.10,
    1.00)</f>
        <v/>
      </c>
      <c r="O6363">
        <f>IF('Loan Tape (S&amp;P)'!T6363="Yes",
    1.35,
    1.00)</f>
        <v/>
      </c>
      <c r="P6363">
        <f>IF('Loan Tape (S&amp;P)'!S6363="Yes",
    1.15,
    1.00)</f>
        <v/>
      </c>
      <c r="Q6363">
        <f>IF('Loan Tape (S&amp;P)'!V6363="Yes",
    1.20,
    1.00)</f>
        <v/>
      </c>
      <c r="T6363">
        <f>LET(
    payment_method,'Loan Tape (S&amp;P)'!P6363,
    occupancy,'Loan Tape (S&amp;P)'!N6363,
    maturity_date,'Loan Tape (S&amp;P)'!L6363,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64">
      <c r="J6364">
        <f>LET(
    lien,'Loan Tape (S&amp;P)'!Q6364,
    IF(lien="First",1.00,
        IF(lien="Second",1.50,
            1.70)))</f>
        <v/>
      </c>
      <c r="K6364">
        <f>LET(
    purpose,'Loan Tape (S&amp;P)'!R6364,
    IF(purpose="Purchase",1.00,
        IF(purpose="Remortgage",1.00,
            1.20)))</f>
        <v/>
      </c>
      <c r="L6364">
        <f>LET(
    arrears_months,'Loan Tape (S&amp;P)'!AN6364,
    IF(arrears_months=0,1.00,
    IF(arrears_months=1,3.00,
    IF(arrears_months=2,5.00,
    IF(arrears_months=3,8.00,
    IF(arrears_months=4,10.00,
    IF(arrears_months=5,12.00,15.00)))))))</f>
        <v/>
      </c>
      <c r="M6364">
        <f>LET(
    seasoning_years,DATEDIF('Loan Tape (S&amp;P)'!K6364,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64">
        <f>IF(AND('Loan Tape (S&amp;P)'!U6364="Yes",
        'Loan Tape (S&amp;P)'!T6364&lt;&gt;"Yes",
        DATEDIF('Loan Tape (S&amp;P)'!K6364, TODAY(), "M")&lt;18),
    1.10,
    1.00)</f>
        <v/>
      </c>
      <c r="O6364">
        <f>IF('Loan Tape (S&amp;P)'!T6364="Yes",
    1.35,
    1.00)</f>
        <v/>
      </c>
      <c r="P6364">
        <f>IF('Loan Tape (S&amp;P)'!S6364="Yes",
    1.15,
    1.00)</f>
        <v/>
      </c>
      <c r="Q6364">
        <f>IF('Loan Tape (S&amp;P)'!V6364="Yes",
    1.20,
    1.00)</f>
        <v/>
      </c>
      <c r="T6364">
        <f>LET(
    payment_method,'Loan Tape (S&amp;P)'!P6364,
    occupancy,'Loan Tape (S&amp;P)'!N6364,
    maturity_date,'Loan Tape (S&amp;P)'!L6364,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65">
      <c r="J6365">
        <f>LET(
    lien,'Loan Tape (S&amp;P)'!Q6365,
    IF(lien="First",1.00,
        IF(lien="Second",1.50,
            1.70)))</f>
        <v/>
      </c>
      <c r="K6365">
        <f>LET(
    purpose,'Loan Tape (S&amp;P)'!R6365,
    IF(purpose="Purchase",1.00,
        IF(purpose="Remortgage",1.00,
            1.20)))</f>
        <v/>
      </c>
      <c r="L6365">
        <f>LET(
    arrears_months,'Loan Tape (S&amp;P)'!AN6365,
    IF(arrears_months=0,1.00,
    IF(arrears_months=1,3.00,
    IF(arrears_months=2,5.00,
    IF(arrears_months=3,8.00,
    IF(arrears_months=4,10.00,
    IF(arrears_months=5,12.00,15.00)))))))</f>
        <v/>
      </c>
      <c r="M6365">
        <f>LET(
    seasoning_years,DATEDIF('Loan Tape (S&amp;P)'!K6365,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65">
        <f>IF(AND('Loan Tape (S&amp;P)'!U6365="Yes",
        'Loan Tape (S&amp;P)'!T6365&lt;&gt;"Yes",
        DATEDIF('Loan Tape (S&amp;P)'!K6365, TODAY(), "M")&lt;18),
    1.10,
    1.00)</f>
        <v/>
      </c>
      <c r="O6365">
        <f>IF('Loan Tape (S&amp;P)'!T6365="Yes",
    1.35,
    1.00)</f>
        <v/>
      </c>
      <c r="P6365">
        <f>IF('Loan Tape (S&amp;P)'!S6365="Yes",
    1.15,
    1.00)</f>
        <v/>
      </c>
      <c r="Q6365">
        <f>IF('Loan Tape (S&amp;P)'!V6365="Yes",
    1.20,
    1.00)</f>
        <v/>
      </c>
      <c r="T6365">
        <f>LET(
    payment_method,'Loan Tape (S&amp;P)'!P6365,
    occupancy,'Loan Tape (S&amp;P)'!N6365,
    maturity_date,'Loan Tape (S&amp;P)'!L6365,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66">
      <c r="J6366">
        <f>LET(
    lien,'Loan Tape (S&amp;P)'!Q6366,
    IF(lien="First",1.00,
        IF(lien="Second",1.50,
            1.70)))</f>
        <v/>
      </c>
      <c r="K6366">
        <f>LET(
    purpose,'Loan Tape (S&amp;P)'!R6366,
    IF(purpose="Purchase",1.00,
        IF(purpose="Remortgage",1.00,
            1.20)))</f>
        <v/>
      </c>
      <c r="L6366">
        <f>LET(
    arrears_months,'Loan Tape (S&amp;P)'!AN6366,
    IF(arrears_months=0,1.00,
    IF(arrears_months=1,3.00,
    IF(arrears_months=2,5.00,
    IF(arrears_months=3,8.00,
    IF(arrears_months=4,10.00,
    IF(arrears_months=5,12.00,15.00)))))))</f>
        <v/>
      </c>
      <c r="M6366">
        <f>LET(
    seasoning_years,DATEDIF('Loan Tape (S&amp;P)'!K6366,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66">
        <f>IF(AND('Loan Tape (S&amp;P)'!U6366="Yes",
        'Loan Tape (S&amp;P)'!T6366&lt;&gt;"Yes",
        DATEDIF('Loan Tape (S&amp;P)'!K6366, TODAY(), "M")&lt;18),
    1.10,
    1.00)</f>
        <v/>
      </c>
      <c r="O6366">
        <f>IF('Loan Tape (S&amp;P)'!T6366="Yes",
    1.35,
    1.00)</f>
        <v/>
      </c>
      <c r="P6366">
        <f>IF('Loan Tape (S&amp;P)'!S6366="Yes",
    1.15,
    1.00)</f>
        <v/>
      </c>
      <c r="Q6366">
        <f>IF('Loan Tape (S&amp;P)'!V6366="Yes",
    1.20,
    1.00)</f>
        <v/>
      </c>
      <c r="T6366">
        <f>LET(
    payment_method,'Loan Tape (S&amp;P)'!P6366,
    occupancy,'Loan Tape (S&amp;P)'!N6366,
    maturity_date,'Loan Tape (S&amp;P)'!L6366,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67">
      <c r="J6367">
        <f>LET(
    lien,'Loan Tape (S&amp;P)'!Q6367,
    IF(lien="First",1.00,
        IF(lien="Second",1.50,
            1.70)))</f>
        <v/>
      </c>
      <c r="K6367">
        <f>LET(
    purpose,'Loan Tape (S&amp;P)'!R6367,
    IF(purpose="Purchase",1.00,
        IF(purpose="Remortgage",1.00,
            1.20)))</f>
        <v/>
      </c>
      <c r="L6367">
        <f>LET(
    arrears_months,'Loan Tape (S&amp;P)'!AN6367,
    IF(arrears_months=0,1.00,
    IF(arrears_months=1,3.00,
    IF(arrears_months=2,5.00,
    IF(arrears_months=3,8.00,
    IF(arrears_months=4,10.00,
    IF(arrears_months=5,12.00,15.00)))))))</f>
        <v/>
      </c>
      <c r="M6367">
        <f>LET(
    seasoning_years,DATEDIF('Loan Tape (S&amp;P)'!K6367,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67">
        <f>IF(AND('Loan Tape (S&amp;P)'!U6367="Yes",
        'Loan Tape (S&amp;P)'!T6367&lt;&gt;"Yes",
        DATEDIF('Loan Tape (S&amp;P)'!K6367, TODAY(), "M")&lt;18),
    1.10,
    1.00)</f>
        <v/>
      </c>
      <c r="O6367">
        <f>IF('Loan Tape (S&amp;P)'!T6367="Yes",
    1.35,
    1.00)</f>
        <v/>
      </c>
      <c r="P6367">
        <f>IF('Loan Tape (S&amp;P)'!S6367="Yes",
    1.15,
    1.00)</f>
        <v/>
      </c>
      <c r="Q6367">
        <f>IF('Loan Tape (S&amp;P)'!V6367="Yes",
    1.20,
    1.00)</f>
        <v/>
      </c>
      <c r="T6367">
        <f>LET(
    payment_method,'Loan Tape (S&amp;P)'!P6367,
    occupancy,'Loan Tape (S&amp;P)'!N6367,
    maturity_date,'Loan Tape (S&amp;P)'!L6367,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68">
      <c r="J6368">
        <f>LET(
    lien,'Loan Tape (S&amp;P)'!Q6368,
    IF(lien="First",1.00,
        IF(lien="Second",1.50,
            1.70)))</f>
        <v/>
      </c>
      <c r="K6368">
        <f>LET(
    purpose,'Loan Tape (S&amp;P)'!R6368,
    IF(purpose="Purchase",1.00,
        IF(purpose="Remortgage",1.00,
            1.20)))</f>
        <v/>
      </c>
      <c r="L6368">
        <f>LET(
    arrears_months,'Loan Tape (S&amp;P)'!AN6368,
    IF(arrears_months=0,1.00,
    IF(arrears_months=1,3.00,
    IF(arrears_months=2,5.00,
    IF(arrears_months=3,8.00,
    IF(arrears_months=4,10.00,
    IF(arrears_months=5,12.00,15.00)))))))</f>
        <v/>
      </c>
      <c r="M6368">
        <f>LET(
    seasoning_years,DATEDIF('Loan Tape (S&amp;P)'!K6368,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68">
        <f>IF(AND('Loan Tape (S&amp;P)'!U6368="Yes",
        'Loan Tape (S&amp;P)'!T6368&lt;&gt;"Yes",
        DATEDIF('Loan Tape (S&amp;P)'!K6368, TODAY(), "M")&lt;18),
    1.10,
    1.00)</f>
        <v/>
      </c>
      <c r="O6368">
        <f>IF('Loan Tape (S&amp;P)'!T6368="Yes",
    1.35,
    1.00)</f>
        <v/>
      </c>
      <c r="P6368">
        <f>IF('Loan Tape (S&amp;P)'!S6368="Yes",
    1.15,
    1.00)</f>
        <v/>
      </c>
      <c r="Q6368">
        <f>IF('Loan Tape (S&amp;P)'!V6368="Yes",
    1.20,
    1.00)</f>
        <v/>
      </c>
      <c r="T6368">
        <f>LET(
    payment_method,'Loan Tape (S&amp;P)'!P6368,
    occupancy,'Loan Tape (S&amp;P)'!N6368,
    maturity_date,'Loan Tape (S&amp;P)'!L6368,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69">
      <c r="J6369">
        <f>LET(
    lien,'Loan Tape (S&amp;P)'!Q6369,
    IF(lien="First",1.00,
        IF(lien="Second",1.50,
            1.70)))</f>
        <v/>
      </c>
      <c r="K6369">
        <f>LET(
    purpose,'Loan Tape (S&amp;P)'!R6369,
    IF(purpose="Purchase",1.00,
        IF(purpose="Remortgage",1.00,
            1.20)))</f>
        <v/>
      </c>
      <c r="L6369">
        <f>LET(
    arrears_months,'Loan Tape (S&amp;P)'!AN6369,
    IF(arrears_months=0,1.00,
    IF(arrears_months=1,3.00,
    IF(arrears_months=2,5.00,
    IF(arrears_months=3,8.00,
    IF(arrears_months=4,10.00,
    IF(arrears_months=5,12.00,15.00)))))))</f>
        <v/>
      </c>
      <c r="M6369">
        <f>LET(
    seasoning_years,DATEDIF('Loan Tape (S&amp;P)'!K6369,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69">
        <f>IF(AND('Loan Tape (S&amp;P)'!U6369="Yes",
        'Loan Tape (S&amp;P)'!T6369&lt;&gt;"Yes",
        DATEDIF('Loan Tape (S&amp;P)'!K6369, TODAY(), "M")&lt;18),
    1.10,
    1.00)</f>
        <v/>
      </c>
      <c r="O6369">
        <f>IF('Loan Tape (S&amp;P)'!T6369="Yes",
    1.35,
    1.00)</f>
        <v/>
      </c>
      <c r="P6369">
        <f>IF('Loan Tape (S&amp;P)'!S6369="Yes",
    1.15,
    1.00)</f>
        <v/>
      </c>
      <c r="Q6369">
        <f>IF('Loan Tape (S&amp;P)'!V6369="Yes",
    1.20,
    1.00)</f>
        <v/>
      </c>
      <c r="T6369">
        <f>LET(
    payment_method,'Loan Tape (S&amp;P)'!P6369,
    occupancy,'Loan Tape (S&amp;P)'!N6369,
    maturity_date,'Loan Tape (S&amp;P)'!L6369,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70">
      <c r="J6370">
        <f>LET(
    lien,'Loan Tape (S&amp;P)'!Q6370,
    IF(lien="First",1.00,
        IF(lien="Second",1.50,
            1.70)))</f>
        <v/>
      </c>
      <c r="K6370">
        <f>LET(
    purpose,'Loan Tape (S&amp;P)'!R6370,
    IF(purpose="Purchase",1.00,
        IF(purpose="Remortgage",1.00,
            1.20)))</f>
        <v/>
      </c>
      <c r="L6370">
        <f>LET(
    arrears_months,'Loan Tape (S&amp;P)'!AN6370,
    IF(arrears_months=0,1.00,
    IF(arrears_months=1,3.00,
    IF(arrears_months=2,5.00,
    IF(arrears_months=3,8.00,
    IF(arrears_months=4,10.00,
    IF(arrears_months=5,12.00,15.00)))))))</f>
        <v/>
      </c>
      <c r="M6370">
        <f>LET(
    seasoning_years,DATEDIF('Loan Tape (S&amp;P)'!K6370,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70">
        <f>IF(AND('Loan Tape (S&amp;P)'!U6370="Yes",
        'Loan Tape (S&amp;P)'!T6370&lt;&gt;"Yes",
        DATEDIF('Loan Tape (S&amp;P)'!K6370, TODAY(), "M")&lt;18),
    1.10,
    1.00)</f>
        <v/>
      </c>
      <c r="O6370">
        <f>IF('Loan Tape (S&amp;P)'!T6370="Yes",
    1.35,
    1.00)</f>
        <v/>
      </c>
      <c r="P6370">
        <f>IF('Loan Tape (S&amp;P)'!S6370="Yes",
    1.15,
    1.00)</f>
        <v/>
      </c>
      <c r="Q6370">
        <f>IF('Loan Tape (S&amp;P)'!V6370="Yes",
    1.20,
    1.00)</f>
        <v/>
      </c>
      <c r="T6370">
        <f>LET(
    payment_method,'Loan Tape (S&amp;P)'!P6370,
    occupancy,'Loan Tape (S&amp;P)'!N6370,
    maturity_date,'Loan Tape (S&amp;P)'!L6370,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71">
      <c r="J6371">
        <f>LET(
    lien,'Loan Tape (S&amp;P)'!Q6371,
    IF(lien="First",1.00,
        IF(lien="Second",1.50,
            1.70)))</f>
        <v/>
      </c>
      <c r="K6371">
        <f>LET(
    purpose,'Loan Tape (S&amp;P)'!R6371,
    IF(purpose="Purchase",1.00,
        IF(purpose="Remortgage",1.00,
            1.20)))</f>
        <v/>
      </c>
      <c r="L6371">
        <f>LET(
    arrears_months,'Loan Tape (S&amp;P)'!AN6371,
    IF(arrears_months=0,1.00,
    IF(arrears_months=1,3.00,
    IF(arrears_months=2,5.00,
    IF(arrears_months=3,8.00,
    IF(arrears_months=4,10.00,
    IF(arrears_months=5,12.00,15.00)))))))</f>
        <v/>
      </c>
      <c r="M6371">
        <f>LET(
    seasoning_years,DATEDIF('Loan Tape (S&amp;P)'!K6371,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71">
        <f>IF(AND('Loan Tape (S&amp;P)'!U6371="Yes",
        'Loan Tape (S&amp;P)'!T6371&lt;&gt;"Yes",
        DATEDIF('Loan Tape (S&amp;P)'!K6371, TODAY(), "M")&lt;18),
    1.10,
    1.00)</f>
        <v/>
      </c>
      <c r="O6371">
        <f>IF('Loan Tape (S&amp;P)'!T6371="Yes",
    1.35,
    1.00)</f>
        <v/>
      </c>
      <c r="P6371">
        <f>IF('Loan Tape (S&amp;P)'!S6371="Yes",
    1.15,
    1.00)</f>
        <v/>
      </c>
      <c r="Q6371">
        <f>IF('Loan Tape (S&amp;P)'!V6371="Yes",
    1.20,
    1.00)</f>
        <v/>
      </c>
      <c r="T6371">
        <f>LET(
    payment_method,'Loan Tape (S&amp;P)'!P6371,
    occupancy,'Loan Tape (S&amp;P)'!N6371,
    maturity_date,'Loan Tape (S&amp;P)'!L6371,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72">
      <c r="J6372">
        <f>LET(
    lien,'Loan Tape (S&amp;P)'!Q6372,
    IF(lien="First",1.00,
        IF(lien="Second",1.50,
            1.70)))</f>
        <v/>
      </c>
      <c r="K6372">
        <f>LET(
    purpose,'Loan Tape (S&amp;P)'!R6372,
    IF(purpose="Purchase",1.00,
        IF(purpose="Remortgage",1.00,
            1.20)))</f>
        <v/>
      </c>
      <c r="L6372">
        <f>LET(
    arrears_months,'Loan Tape (S&amp;P)'!AN6372,
    IF(arrears_months=0,1.00,
    IF(arrears_months=1,3.00,
    IF(arrears_months=2,5.00,
    IF(arrears_months=3,8.00,
    IF(arrears_months=4,10.00,
    IF(arrears_months=5,12.00,15.00)))))))</f>
        <v/>
      </c>
      <c r="M6372">
        <f>LET(
    seasoning_years,DATEDIF('Loan Tape (S&amp;P)'!K6372,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72">
        <f>IF(AND('Loan Tape (S&amp;P)'!U6372="Yes",
        'Loan Tape (S&amp;P)'!T6372&lt;&gt;"Yes",
        DATEDIF('Loan Tape (S&amp;P)'!K6372, TODAY(), "M")&lt;18),
    1.10,
    1.00)</f>
        <v/>
      </c>
      <c r="O6372">
        <f>IF('Loan Tape (S&amp;P)'!T6372="Yes",
    1.35,
    1.00)</f>
        <v/>
      </c>
      <c r="P6372">
        <f>IF('Loan Tape (S&amp;P)'!S6372="Yes",
    1.15,
    1.00)</f>
        <v/>
      </c>
      <c r="Q6372">
        <f>IF('Loan Tape (S&amp;P)'!V6372="Yes",
    1.20,
    1.00)</f>
        <v/>
      </c>
      <c r="T6372">
        <f>LET(
    payment_method,'Loan Tape (S&amp;P)'!P6372,
    occupancy,'Loan Tape (S&amp;P)'!N6372,
    maturity_date,'Loan Tape (S&amp;P)'!L6372,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73">
      <c r="J6373">
        <f>LET(
    lien,'Loan Tape (S&amp;P)'!Q6373,
    IF(lien="First",1.00,
        IF(lien="Second",1.50,
            1.70)))</f>
        <v/>
      </c>
      <c r="K6373">
        <f>LET(
    purpose,'Loan Tape (S&amp;P)'!R6373,
    IF(purpose="Purchase",1.00,
        IF(purpose="Remortgage",1.00,
            1.20)))</f>
        <v/>
      </c>
      <c r="L6373">
        <f>LET(
    arrears_months,'Loan Tape (S&amp;P)'!AN6373,
    IF(arrears_months=0,1.00,
    IF(arrears_months=1,3.00,
    IF(arrears_months=2,5.00,
    IF(arrears_months=3,8.00,
    IF(arrears_months=4,10.00,
    IF(arrears_months=5,12.00,15.00)))))))</f>
        <v/>
      </c>
      <c r="M6373">
        <f>LET(
    seasoning_years,DATEDIF('Loan Tape (S&amp;P)'!K6373,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73">
        <f>IF(AND('Loan Tape (S&amp;P)'!U6373="Yes",
        'Loan Tape (S&amp;P)'!T6373&lt;&gt;"Yes",
        DATEDIF('Loan Tape (S&amp;P)'!K6373, TODAY(), "M")&lt;18),
    1.10,
    1.00)</f>
        <v/>
      </c>
      <c r="O6373">
        <f>IF('Loan Tape (S&amp;P)'!T6373="Yes",
    1.35,
    1.00)</f>
        <v/>
      </c>
      <c r="P6373">
        <f>IF('Loan Tape (S&amp;P)'!S6373="Yes",
    1.15,
    1.00)</f>
        <v/>
      </c>
      <c r="Q6373">
        <f>IF('Loan Tape (S&amp;P)'!V6373="Yes",
    1.20,
    1.00)</f>
        <v/>
      </c>
      <c r="T6373">
        <f>LET(
    payment_method,'Loan Tape (S&amp;P)'!P6373,
    occupancy,'Loan Tape (S&amp;P)'!N6373,
    maturity_date,'Loan Tape (S&amp;P)'!L6373,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74">
      <c r="J6374">
        <f>LET(
    lien,'Loan Tape (S&amp;P)'!Q6374,
    IF(lien="First",1.00,
        IF(lien="Second",1.50,
            1.70)))</f>
        <v/>
      </c>
      <c r="K6374">
        <f>LET(
    purpose,'Loan Tape (S&amp;P)'!R6374,
    IF(purpose="Purchase",1.00,
        IF(purpose="Remortgage",1.00,
            1.20)))</f>
        <v/>
      </c>
      <c r="L6374">
        <f>LET(
    arrears_months,'Loan Tape (S&amp;P)'!AN6374,
    IF(arrears_months=0,1.00,
    IF(arrears_months=1,3.00,
    IF(arrears_months=2,5.00,
    IF(arrears_months=3,8.00,
    IF(arrears_months=4,10.00,
    IF(arrears_months=5,12.00,15.00)))))))</f>
        <v/>
      </c>
      <c r="M6374">
        <f>LET(
    seasoning_years,DATEDIF('Loan Tape (S&amp;P)'!K6374,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74">
        <f>IF(AND('Loan Tape (S&amp;P)'!U6374="Yes",
        'Loan Tape (S&amp;P)'!T6374&lt;&gt;"Yes",
        DATEDIF('Loan Tape (S&amp;P)'!K6374, TODAY(), "M")&lt;18),
    1.10,
    1.00)</f>
        <v/>
      </c>
      <c r="O6374">
        <f>IF('Loan Tape (S&amp;P)'!T6374="Yes",
    1.35,
    1.00)</f>
        <v/>
      </c>
      <c r="P6374">
        <f>IF('Loan Tape (S&amp;P)'!S6374="Yes",
    1.15,
    1.00)</f>
        <v/>
      </c>
      <c r="Q6374">
        <f>IF('Loan Tape (S&amp;P)'!V6374="Yes",
    1.20,
    1.00)</f>
        <v/>
      </c>
      <c r="T6374">
        <f>LET(
    payment_method,'Loan Tape (S&amp;P)'!P6374,
    occupancy,'Loan Tape (S&amp;P)'!N6374,
    maturity_date,'Loan Tape (S&amp;P)'!L6374,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75">
      <c r="J6375">
        <f>LET(
    lien,'Loan Tape (S&amp;P)'!Q6375,
    IF(lien="First",1.00,
        IF(lien="Second",1.50,
            1.70)))</f>
        <v/>
      </c>
      <c r="K6375">
        <f>LET(
    purpose,'Loan Tape (S&amp;P)'!R6375,
    IF(purpose="Purchase",1.00,
        IF(purpose="Remortgage",1.00,
            1.20)))</f>
        <v/>
      </c>
      <c r="L6375">
        <f>LET(
    arrears_months,'Loan Tape (S&amp;P)'!AN6375,
    IF(arrears_months=0,1.00,
    IF(arrears_months=1,3.00,
    IF(arrears_months=2,5.00,
    IF(arrears_months=3,8.00,
    IF(arrears_months=4,10.00,
    IF(arrears_months=5,12.00,15.00)))))))</f>
        <v/>
      </c>
      <c r="M6375">
        <f>LET(
    seasoning_years,DATEDIF('Loan Tape (S&amp;P)'!K6375,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75">
        <f>IF(AND('Loan Tape (S&amp;P)'!U6375="Yes",
        'Loan Tape (S&amp;P)'!T6375&lt;&gt;"Yes",
        DATEDIF('Loan Tape (S&amp;P)'!K6375, TODAY(), "M")&lt;18),
    1.10,
    1.00)</f>
        <v/>
      </c>
      <c r="O6375">
        <f>IF('Loan Tape (S&amp;P)'!T6375="Yes",
    1.35,
    1.00)</f>
        <v/>
      </c>
      <c r="P6375">
        <f>IF('Loan Tape (S&amp;P)'!S6375="Yes",
    1.15,
    1.00)</f>
        <v/>
      </c>
      <c r="Q6375">
        <f>IF('Loan Tape (S&amp;P)'!V6375="Yes",
    1.20,
    1.00)</f>
        <v/>
      </c>
      <c r="T6375">
        <f>LET(
    payment_method,'Loan Tape (S&amp;P)'!P6375,
    occupancy,'Loan Tape (S&amp;P)'!N6375,
    maturity_date,'Loan Tape (S&amp;P)'!L6375,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76">
      <c r="J6376">
        <f>LET(
    lien,'Loan Tape (S&amp;P)'!Q6376,
    IF(lien="First",1.00,
        IF(lien="Second",1.50,
            1.70)))</f>
        <v/>
      </c>
      <c r="K6376">
        <f>LET(
    purpose,'Loan Tape (S&amp;P)'!R6376,
    IF(purpose="Purchase",1.00,
        IF(purpose="Remortgage",1.00,
            1.20)))</f>
        <v/>
      </c>
      <c r="L6376">
        <f>LET(
    arrears_months,'Loan Tape (S&amp;P)'!AN6376,
    IF(arrears_months=0,1.00,
    IF(arrears_months=1,3.00,
    IF(arrears_months=2,5.00,
    IF(arrears_months=3,8.00,
    IF(arrears_months=4,10.00,
    IF(arrears_months=5,12.00,15.00)))))))</f>
        <v/>
      </c>
      <c r="M6376">
        <f>LET(
    seasoning_years,DATEDIF('Loan Tape (S&amp;P)'!K6376,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76">
        <f>IF(AND('Loan Tape (S&amp;P)'!U6376="Yes",
        'Loan Tape (S&amp;P)'!T6376&lt;&gt;"Yes",
        DATEDIF('Loan Tape (S&amp;P)'!K6376, TODAY(), "M")&lt;18),
    1.10,
    1.00)</f>
        <v/>
      </c>
      <c r="O6376">
        <f>IF('Loan Tape (S&amp;P)'!T6376="Yes",
    1.35,
    1.00)</f>
        <v/>
      </c>
      <c r="P6376">
        <f>IF('Loan Tape (S&amp;P)'!S6376="Yes",
    1.15,
    1.00)</f>
        <v/>
      </c>
      <c r="Q6376">
        <f>IF('Loan Tape (S&amp;P)'!V6376="Yes",
    1.20,
    1.00)</f>
        <v/>
      </c>
      <c r="T6376">
        <f>LET(
    payment_method,'Loan Tape (S&amp;P)'!P6376,
    occupancy,'Loan Tape (S&amp;P)'!N6376,
    maturity_date,'Loan Tape (S&amp;P)'!L6376,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77">
      <c r="J6377">
        <f>LET(
    lien,'Loan Tape (S&amp;P)'!Q6377,
    IF(lien="First",1.00,
        IF(lien="Second",1.50,
            1.70)))</f>
        <v/>
      </c>
      <c r="K6377">
        <f>LET(
    purpose,'Loan Tape (S&amp;P)'!R6377,
    IF(purpose="Purchase",1.00,
        IF(purpose="Remortgage",1.00,
            1.20)))</f>
        <v/>
      </c>
      <c r="L6377">
        <f>LET(
    arrears_months,'Loan Tape (S&amp;P)'!AN6377,
    IF(arrears_months=0,1.00,
    IF(arrears_months=1,3.00,
    IF(arrears_months=2,5.00,
    IF(arrears_months=3,8.00,
    IF(arrears_months=4,10.00,
    IF(arrears_months=5,12.00,15.00)))))))</f>
        <v/>
      </c>
      <c r="M6377">
        <f>LET(
    seasoning_years,DATEDIF('Loan Tape (S&amp;P)'!K6377,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77">
        <f>IF(AND('Loan Tape (S&amp;P)'!U6377="Yes",
        'Loan Tape (S&amp;P)'!T6377&lt;&gt;"Yes",
        DATEDIF('Loan Tape (S&amp;P)'!K6377, TODAY(), "M")&lt;18),
    1.10,
    1.00)</f>
        <v/>
      </c>
      <c r="O6377">
        <f>IF('Loan Tape (S&amp;P)'!T6377="Yes",
    1.35,
    1.00)</f>
        <v/>
      </c>
      <c r="P6377">
        <f>IF('Loan Tape (S&amp;P)'!S6377="Yes",
    1.15,
    1.00)</f>
        <v/>
      </c>
      <c r="Q6377">
        <f>IF('Loan Tape (S&amp;P)'!V6377="Yes",
    1.20,
    1.00)</f>
        <v/>
      </c>
      <c r="T6377">
        <f>LET(
    payment_method,'Loan Tape (S&amp;P)'!P6377,
    occupancy,'Loan Tape (S&amp;P)'!N6377,
    maturity_date,'Loan Tape (S&amp;P)'!L6377,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78">
      <c r="J6378">
        <f>LET(
    lien,'Loan Tape (S&amp;P)'!Q6378,
    IF(lien="First",1.00,
        IF(lien="Second",1.50,
            1.70)))</f>
        <v/>
      </c>
      <c r="K6378">
        <f>LET(
    purpose,'Loan Tape (S&amp;P)'!R6378,
    IF(purpose="Purchase",1.00,
        IF(purpose="Remortgage",1.00,
            1.20)))</f>
        <v/>
      </c>
      <c r="L6378">
        <f>LET(
    arrears_months,'Loan Tape (S&amp;P)'!AN6378,
    IF(arrears_months=0,1.00,
    IF(arrears_months=1,3.00,
    IF(arrears_months=2,5.00,
    IF(arrears_months=3,8.00,
    IF(arrears_months=4,10.00,
    IF(arrears_months=5,12.00,15.00)))))))</f>
        <v/>
      </c>
      <c r="M6378">
        <f>LET(
    seasoning_years,DATEDIF('Loan Tape (S&amp;P)'!K6378,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78">
        <f>IF(AND('Loan Tape (S&amp;P)'!U6378="Yes",
        'Loan Tape (S&amp;P)'!T6378&lt;&gt;"Yes",
        DATEDIF('Loan Tape (S&amp;P)'!K6378, TODAY(), "M")&lt;18),
    1.10,
    1.00)</f>
        <v/>
      </c>
      <c r="O6378">
        <f>IF('Loan Tape (S&amp;P)'!T6378="Yes",
    1.35,
    1.00)</f>
        <v/>
      </c>
      <c r="P6378">
        <f>IF('Loan Tape (S&amp;P)'!S6378="Yes",
    1.15,
    1.00)</f>
        <v/>
      </c>
      <c r="Q6378">
        <f>IF('Loan Tape (S&amp;P)'!V6378="Yes",
    1.20,
    1.00)</f>
        <v/>
      </c>
      <c r="T6378">
        <f>LET(
    payment_method,'Loan Tape (S&amp;P)'!P6378,
    occupancy,'Loan Tape (S&amp;P)'!N6378,
    maturity_date,'Loan Tape (S&amp;P)'!L6378,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79">
      <c r="J6379">
        <f>LET(
    lien,'Loan Tape (S&amp;P)'!Q6379,
    IF(lien="First",1.00,
        IF(lien="Second",1.50,
            1.70)))</f>
        <v/>
      </c>
      <c r="K6379">
        <f>LET(
    purpose,'Loan Tape (S&amp;P)'!R6379,
    IF(purpose="Purchase",1.00,
        IF(purpose="Remortgage",1.00,
            1.20)))</f>
        <v/>
      </c>
      <c r="L6379">
        <f>LET(
    arrears_months,'Loan Tape (S&amp;P)'!AN6379,
    IF(arrears_months=0,1.00,
    IF(arrears_months=1,3.00,
    IF(arrears_months=2,5.00,
    IF(arrears_months=3,8.00,
    IF(arrears_months=4,10.00,
    IF(arrears_months=5,12.00,15.00)))))))</f>
        <v/>
      </c>
      <c r="M6379">
        <f>LET(
    seasoning_years,DATEDIF('Loan Tape (S&amp;P)'!K6379,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79">
        <f>IF(AND('Loan Tape (S&amp;P)'!U6379="Yes",
        'Loan Tape (S&amp;P)'!T6379&lt;&gt;"Yes",
        DATEDIF('Loan Tape (S&amp;P)'!K6379, TODAY(), "M")&lt;18),
    1.10,
    1.00)</f>
        <v/>
      </c>
      <c r="O6379">
        <f>IF('Loan Tape (S&amp;P)'!T6379="Yes",
    1.35,
    1.00)</f>
        <v/>
      </c>
      <c r="P6379">
        <f>IF('Loan Tape (S&amp;P)'!S6379="Yes",
    1.15,
    1.00)</f>
        <v/>
      </c>
      <c r="Q6379">
        <f>IF('Loan Tape (S&amp;P)'!V6379="Yes",
    1.20,
    1.00)</f>
        <v/>
      </c>
      <c r="T6379">
        <f>LET(
    payment_method,'Loan Tape (S&amp;P)'!P6379,
    occupancy,'Loan Tape (S&amp;P)'!N6379,
    maturity_date,'Loan Tape (S&amp;P)'!L6379,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80">
      <c r="J6380">
        <f>LET(
    lien,'Loan Tape (S&amp;P)'!Q6380,
    IF(lien="First",1.00,
        IF(lien="Second",1.50,
            1.70)))</f>
        <v/>
      </c>
      <c r="K6380">
        <f>LET(
    purpose,'Loan Tape (S&amp;P)'!R6380,
    IF(purpose="Purchase",1.00,
        IF(purpose="Remortgage",1.00,
            1.20)))</f>
        <v/>
      </c>
      <c r="L6380">
        <f>LET(
    arrears_months,'Loan Tape (S&amp;P)'!AN6380,
    IF(arrears_months=0,1.00,
    IF(arrears_months=1,3.00,
    IF(arrears_months=2,5.00,
    IF(arrears_months=3,8.00,
    IF(arrears_months=4,10.00,
    IF(arrears_months=5,12.00,15.00)))))))</f>
        <v/>
      </c>
      <c r="M6380">
        <f>LET(
    seasoning_years,DATEDIF('Loan Tape (S&amp;P)'!K6380,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80">
        <f>IF(AND('Loan Tape (S&amp;P)'!U6380="Yes",
        'Loan Tape (S&amp;P)'!T6380&lt;&gt;"Yes",
        DATEDIF('Loan Tape (S&amp;P)'!K6380, TODAY(), "M")&lt;18),
    1.10,
    1.00)</f>
        <v/>
      </c>
      <c r="O6380">
        <f>IF('Loan Tape (S&amp;P)'!T6380="Yes",
    1.35,
    1.00)</f>
        <v/>
      </c>
      <c r="P6380">
        <f>IF('Loan Tape (S&amp;P)'!S6380="Yes",
    1.15,
    1.00)</f>
        <v/>
      </c>
      <c r="Q6380">
        <f>IF('Loan Tape (S&amp;P)'!V6380="Yes",
    1.20,
    1.00)</f>
        <v/>
      </c>
      <c r="T6380">
        <f>LET(
    payment_method,'Loan Tape (S&amp;P)'!P6380,
    occupancy,'Loan Tape (S&amp;P)'!N6380,
    maturity_date,'Loan Tape (S&amp;P)'!L6380,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81">
      <c r="J6381">
        <f>LET(
    lien,'Loan Tape (S&amp;P)'!Q6381,
    IF(lien="First",1.00,
        IF(lien="Second",1.50,
            1.70)))</f>
        <v/>
      </c>
      <c r="K6381">
        <f>LET(
    purpose,'Loan Tape (S&amp;P)'!R6381,
    IF(purpose="Purchase",1.00,
        IF(purpose="Remortgage",1.00,
            1.20)))</f>
        <v/>
      </c>
      <c r="L6381">
        <f>LET(
    arrears_months,'Loan Tape (S&amp;P)'!AN6381,
    IF(arrears_months=0,1.00,
    IF(arrears_months=1,3.00,
    IF(arrears_months=2,5.00,
    IF(arrears_months=3,8.00,
    IF(arrears_months=4,10.00,
    IF(arrears_months=5,12.00,15.00)))))))</f>
        <v/>
      </c>
      <c r="M6381">
        <f>LET(
    seasoning_years,DATEDIF('Loan Tape (S&amp;P)'!K6381,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81">
        <f>IF(AND('Loan Tape (S&amp;P)'!U6381="Yes",
        'Loan Tape (S&amp;P)'!T6381&lt;&gt;"Yes",
        DATEDIF('Loan Tape (S&amp;P)'!K6381, TODAY(), "M")&lt;18),
    1.10,
    1.00)</f>
        <v/>
      </c>
      <c r="O6381">
        <f>IF('Loan Tape (S&amp;P)'!T6381="Yes",
    1.35,
    1.00)</f>
        <v/>
      </c>
      <c r="P6381">
        <f>IF('Loan Tape (S&amp;P)'!S6381="Yes",
    1.15,
    1.00)</f>
        <v/>
      </c>
      <c r="Q6381">
        <f>IF('Loan Tape (S&amp;P)'!V6381="Yes",
    1.20,
    1.00)</f>
        <v/>
      </c>
      <c r="T6381">
        <f>LET(
    payment_method,'Loan Tape (S&amp;P)'!P6381,
    occupancy,'Loan Tape (S&amp;P)'!N6381,
    maturity_date,'Loan Tape (S&amp;P)'!L6381,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82">
      <c r="J6382">
        <f>LET(
    lien,'Loan Tape (S&amp;P)'!Q6382,
    IF(lien="First",1.00,
        IF(lien="Second",1.50,
            1.70)))</f>
        <v/>
      </c>
      <c r="K6382">
        <f>LET(
    purpose,'Loan Tape (S&amp;P)'!R6382,
    IF(purpose="Purchase",1.00,
        IF(purpose="Remortgage",1.00,
            1.20)))</f>
        <v/>
      </c>
      <c r="L6382">
        <f>LET(
    arrears_months,'Loan Tape (S&amp;P)'!AN6382,
    IF(arrears_months=0,1.00,
    IF(arrears_months=1,3.00,
    IF(arrears_months=2,5.00,
    IF(arrears_months=3,8.00,
    IF(arrears_months=4,10.00,
    IF(arrears_months=5,12.00,15.00)))))))</f>
        <v/>
      </c>
      <c r="M6382">
        <f>LET(
    seasoning_years,DATEDIF('Loan Tape (S&amp;P)'!K6382,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82">
        <f>IF(AND('Loan Tape (S&amp;P)'!U6382="Yes",
        'Loan Tape (S&amp;P)'!T6382&lt;&gt;"Yes",
        DATEDIF('Loan Tape (S&amp;P)'!K6382, TODAY(), "M")&lt;18),
    1.10,
    1.00)</f>
        <v/>
      </c>
      <c r="O6382">
        <f>IF('Loan Tape (S&amp;P)'!T6382="Yes",
    1.35,
    1.00)</f>
        <v/>
      </c>
      <c r="P6382">
        <f>IF('Loan Tape (S&amp;P)'!S6382="Yes",
    1.15,
    1.00)</f>
        <v/>
      </c>
      <c r="Q6382">
        <f>IF('Loan Tape (S&amp;P)'!V6382="Yes",
    1.20,
    1.00)</f>
        <v/>
      </c>
      <c r="T6382">
        <f>LET(
    payment_method,'Loan Tape (S&amp;P)'!P6382,
    occupancy,'Loan Tape (S&amp;P)'!N6382,
    maturity_date,'Loan Tape (S&amp;P)'!L6382,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83">
      <c r="J6383">
        <f>LET(
    lien,'Loan Tape (S&amp;P)'!Q6383,
    IF(lien="First",1.00,
        IF(lien="Second",1.50,
            1.70)))</f>
        <v/>
      </c>
      <c r="K6383">
        <f>LET(
    purpose,'Loan Tape (S&amp;P)'!R6383,
    IF(purpose="Purchase",1.00,
        IF(purpose="Remortgage",1.00,
            1.20)))</f>
        <v/>
      </c>
      <c r="L6383">
        <f>LET(
    arrears_months,'Loan Tape (S&amp;P)'!AN6383,
    IF(arrears_months=0,1.00,
    IF(arrears_months=1,3.00,
    IF(arrears_months=2,5.00,
    IF(arrears_months=3,8.00,
    IF(arrears_months=4,10.00,
    IF(arrears_months=5,12.00,15.00)))))))</f>
        <v/>
      </c>
      <c r="M6383">
        <f>LET(
    seasoning_years,DATEDIF('Loan Tape (S&amp;P)'!K6383,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83">
        <f>IF(AND('Loan Tape (S&amp;P)'!U6383="Yes",
        'Loan Tape (S&amp;P)'!T6383&lt;&gt;"Yes",
        DATEDIF('Loan Tape (S&amp;P)'!K6383, TODAY(), "M")&lt;18),
    1.10,
    1.00)</f>
        <v/>
      </c>
      <c r="O6383">
        <f>IF('Loan Tape (S&amp;P)'!T6383="Yes",
    1.35,
    1.00)</f>
        <v/>
      </c>
      <c r="P6383">
        <f>IF('Loan Tape (S&amp;P)'!S6383="Yes",
    1.15,
    1.00)</f>
        <v/>
      </c>
      <c r="Q6383">
        <f>IF('Loan Tape (S&amp;P)'!V6383="Yes",
    1.20,
    1.00)</f>
        <v/>
      </c>
      <c r="T6383">
        <f>LET(
    payment_method,'Loan Tape (S&amp;P)'!P6383,
    occupancy,'Loan Tape (S&amp;P)'!N6383,
    maturity_date,'Loan Tape (S&amp;P)'!L6383,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84">
      <c r="J6384">
        <f>LET(
    lien,'Loan Tape (S&amp;P)'!Q6384,
    IF(lien="First",1.00,
        IF(lien="Second",1.50,
            1.70)))</f>
        <v/>
      </c>
      <c r="K6384">
        <f>LET(
    purpose,'Loan Tape (S&amp;P)'!R6384,
    IF(purpose="Purchase",1.00,
        IF(purpose="Remortgage",1.00,
            1.20)))</f>
        <v/>
      </c>
      <c r="L6384">
        <f>LET(
    arrears_months,'Loan Tape (S&amp;P)'!AN6384,
    IF(arrears_months=0,1.00,
    IF(arrears_months=1,3.00,
    IF(arrears_months=2,5.00,
    IF(arrears_months=3,8.00,
    IF(arrears_months=4,10.00,
    IF(arrears_months=5,12.00,15.00)))))))</f>
        <v/>
      </c>
      <c r="M6384">
        <f>LET(
    seasoning_years,DATEDIF('Loan Tape (S&amp;P)'!K6384,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84">
        <f>IF(AND('Loan Tape (S&amp;P)'!U6384="Yes",
        'Loan Tape (S&amp;P)'!T6384&lt;&gt;"Yes",
        DATEDIF('Loan Tape (S&amp;P)'!K6384, TODAY(), "M")&lt;18),
    1.10,
    1.00)</f>
        <v/>
      </c>
      <c r="O6384">
        <f>IF('Loan Tape (S&amp;P)'!T6384="Yes",
    1.35,
    1.00)</f>
        <v/>
      </c>
      <c r="P6384">
        <f>IF('Loan Tape (S&amp;P)'!S6384="Yes",
    1.15,
    1.00)</f>
        <v/>
      </c>
      <c r="Q6384">
        <f>IF('Loan Tape (S&amp;P)'!V6384="Yes",
    1.20,
    1.00)</f>
        <v/>
      </c>
      <c r="T6384">
        <f>LET(
    payment_method,'Loan Tape (S&amp;P)'!P6384,
    occupancy,'Loan Tape (S&amp;P)'!N6384,
    maturity_date,'Loan Tape (S&amp;P)'!L6384,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85">
      <c r="J6385">
        <f>LET(
    lien,'Loan Tape (S&amp;P)'!Q6385,
    IF(lien="First",1.00,
        IF(lien="Second",1.50,
            1.70)))</f>
        <v/>
      </c>
      <c r="K6385">
        <f>LET(
    purpose,'Loan Tape (S&amp;P)'!R6385,
    IF(purpose="Purchase",1.00,
        IF(purpose="Remortgage",1.00,
            1.20)))</f>
        <v/>
      </c>
      <c r="L6385">
        <f>LET(
    arrears_months,'Loan Tape (S&amp;P)'!AN6385,
    IF(arrears_months=0,1.00,
    IF(arrears_months=1,3.00,
    IF(arrears_months=2,5.00,
    IF(arrears_months=3,8.00,
    IF(arrears_months=4,10.00,
    IF(arrears_months=5,12.00,15.00)))))))</f>
        <v/>
      </c>
      <c r="M6385">
        <f>LET(
    seasoning_years,DATEDIF('Loan Tape (S&amp;P)'!K6385,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85">
        <f>IF(AND('Loan Tape (S&amp;P)'!U6385="Yes",
        'Loan Tape (S&amp;P)'!T6385&lt;&gt;"Yes",
        DATEDIF('Loan Tape (S&amp;P)'!K6385, TODAY(), "M")&lt;18),
    1.10,
    1.00)</f>
        <v/>
      </c>
      <c r="O6385">
        <f>IF('Loan Tape (S&amp;P)'!T6385="Yes",
    1.35,
    1.00)</f>
        <v/>
      </c>
      <c r="P6385">
        <f>IF('Loan Tape (S&amp;P)'!S6385="Yes",
    1.15,
    1.00)</f>
        <v/>
      </c>
      <c r="Q6385">
        <f>IF('Loan Tape (S&amp;P)'!V6385="Yes",
    1.20,
    1.00)</f>
        <v/>
      </c>
      <c r="T6385">
        <f>LET(
    payment_method,'Loan Tape (S&amp;P)'!P6385,
    occupancy,'Loan Tape (S&amp;P)'!N6385,
    maturity_date,'Loan Tape (S&amp;P)'!L6385,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86">
      <c r="J6386">
        <f>LET(
    lien,'Loan Tape (S&amp;P)'!Q6386,
    IF(lien="First",1.00,
        IF(lien="Second",1.50,
            1.70)))</f>
        <v/>
      </c>
      <c r="K6386">
        <f>LET(
    purpose,'Loan Tape (S&amp;P)'!R6386,
    IF(purpose="Purchase",1.00,
        IF(purpose="Remortgage",1.00,
            1.20)))</f>
        <v/>
      </c>
      <c r="L6386">
        <f>LET(
    arrears_months,'Loan Tape (S&amp;P)'!AN6386,
    IF(arrears_months=0,1.00,
    IF(arrears_months=1,3.00,
    IF(arrears_months=2,5.00,
    IF(arrears_months=3,8.00,
    IF(arrears_months=4,10.00,
    IF(arrears_months=5,12.00,15.00)))))))</f>
        <v/>
      </c>
      <c r="M6386">
        <f>LET(
    seasoning_years,DATEDIF('Loan Tape (S&amp;P)'!K6386,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86">
        <f>IF(AND('Loan Tape (S&amp;P)'!U6386="Yes",
        'Loan Tape (S&amp;P)'!T6386&lt;&gt;"Yes",
        DATEDIF('Loan Tape (S&amp;P)'!K6386, TODAY(), "M")&lt;18),
    1.10,
    1.00)</f>
        <v/>
      </c>
      <c r="O6386">
        <f>IF('Loan Tape (S&amp;P)'!T6386="Yes",
    1.35,
    1.00)</f>
        <v/>
      </c>
      <c r="P6386">
        <f>IF('Loan Tape (S&amp;P)'!S6386="Yes",
    1.15,
    1.00)</f>
        <v/>
      </c>
      <c r="Q6386">
        <f>IF('Loan Tape (S&amp;P)'!V6386="Yes",
    1.20,
    1.00)</f>
        <v/>
      </c>
      <c r="T6386">
        <f>LET(
    payment_method,'Loan Tape (S&amp;P)'!P6386,
    occupancy,'Loan Tape (S&amp;P)'!N6386,
    maturity_date,'Loan Tape (S&amp;P)'!L6386,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87">
      <c r="J6387">
        <f>LET(
    lien,'Loan Tape (S&amp;P)'!Q6387,
    IF(lien="First",1.00,
        IF(lien="Second",1.50,
            1.70)))</f>
        <v/>
      </c>
      <c r="K6387">
        <f>LET(
    purpose,'Loan Tape (S&amp;P)'!R6387,
    IF(purpose="Purchase",1.00,
        IF(purpose="Remortgage",1.00,
            1.20)))</f>
        <v/>
      </c>
      <c r="L6387">
        <f>LET(
    arrears_months,'Loan Tape (S&amp;P)'!AN6387,
    IF(arrears_months=0,1.00,
    IF(arrears_months=1,3.00,
    IF(arrears_months=2,5.00,
    IF(arrears_months=3,8.00,
    IF(arrears_months=4,10.00,
    IF(arrears_months=5,12.00,15.00)))))))</f>
        <v/>
      </c>
      <c r="M6387">
        <f>LET(
    seasoning_years,DATEDIF('Loan Tape (S&amp;P)'!K6387,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87">
        <f>IF(AND('Loan Tape (S&amp;P)'!U6387="Yes",
        'Loan Tape (S&amp;P)'!T6387&lt;&gt;"Yes",
        DATEDIF('Loan Tape (S&amp;P)'!K6387, TODAY(), "M")&lt;18),
    1.10,
    1.00)</f>
        <v/>
      </c>
      <c r="O6387">
        <f>IF('Loan Tape (S&amp;P)'!T6387="Yes",
    1.35,
    1.00)</f>
        <v/>
      </c>
      <c r="P6387">
        <f>IF('Loan Tape (S&amp;P)'!S6387="Yes",
    1.15,
    1.00)</f>
        <v/>
      </c>
      <c r="Q6387">
        <f>IF('Loan Tape (S&amp;P)'!V6387="Yes",
    1.20,
    1.00)</f>
        <v/>
      </c>
      <c r="T6387">
        <f>LET(
    payment_method,'Loan Tape (S&amp;P)'!P6387,
    occupancy,'Loan Tape (S&amp;P)'!N6387,
    maturity_date,'Loan Tape (S&amp;P)'!L6387,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88">
      <c r="J6388">
        <f>LET(
    lien,'Loan Tape (S&amp;P)'!Q6388,
    IF(lien="First",1.00,
        IF(lien="Second",1.50,
            1.70)))</f>
        <v/>
      </c>
      <c r="K6388">
        <f>LET(
    purpose,'Loan Tape (S&amp;P)'!R6388,
    IF(purpose="Purchase",1.00,
        IF(purpose="Remortgage",1.00,
            1.20)))</f>
        <v/>
      </c>
      <c r="L6388">
        <f>LET(
    arrears_months,'Loan Tape (S&amp;P)'!AN6388,
    IF(arrears_months=0,1.00,
    IF(arrears_months=1,3.00,
    IF(arrears_months=2,5.00,
    IF(arrears_months=3,8.00,
    IF(arrears_months=4,10.00,
    IF(arrears_months=5,12.00,15.00)))))))</f>
        <v/>
      </c>
      <c r="M6388">
        <f>LET(
    seasoning_years,DATEDIF('Loan Tape (S&amp;P)'!K6388,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88">
        <f>IF(AND('Loan Tape (S&amp;P)'!U6388="Yes",
        'Loan Tape (S&amp;P)'!T6388&lt;&gt;"Yes",
        DATEDIF('Loan Tape (S&amp;P)'!K6388, TODAY(), "M")&lt;18),
    1.10,
    1.00)</f>
        <v/>
      </c>
      <c r="O6388">
        <f>IF('Loan Tape (S&amp;P)'!T6388="Yes",
    1.35,
    1.00)</f>
        <v/>
      </c>
      <c r="P6388">
        <f>IF('Loan Tape (S&amp;P)'!S6388="Yes",
    1.15,
    1.00)</f>
        <v/>
      </c>
      <c r="Q6388">
        <f>IF('Loan Tape (S&amp;P)'!V6388="Yes",
    1.20,
    1.00)</f>
        <v/>
      </c>
      <c r="T6388">
        <f>LET(
    payment_method,'Loan Tape (S&amp;P)'!P6388,
    occupancy,'Loan Tape (S&amp;P)'!N6388,
    maturity_date,'Loan Tape (S&amp;P)'!L6388,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89">
      <c r="J6389">
        <f>LET(
    lien,'Loan Tape (S&amp;P)'!Q6389,
    IF(lien="First",1.00,
        IF(lien="Second",1.50,
            1.70)))</f>
        <v/>
      </c>
      <c r="K6389">
        <f>LET(
    purpose,'Loan Tape (S&amp;P)'!R6389,
    IF(purpose="Purchase",1.00,
        IF(purpose="Remortgage",1.00,
            1.20)))</f>
        <v/>
      </c>
      <c r="L6389">
        <f>LET(
    arrears_months,'Loan Tape (S&amp;P)'!AN6389,
    IF(arrears_months=0,1.00,
    IF(arrears_months=1,3.00,
    IF(arrears_months=2,5.00,
    IF(arrears_months=3,8.00,
    IF(arrears_months=4,10.00,
    IF(arrears_months=5,12.00,15.00)))))))</f>
        <v/>
      </c>
      <c r="M6389">
        <f>LET(
    seasoning_years,DATEDIF('Loan Tape (S&amp;P)'!K6389,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89">
        <f>IF(AND('Loan Tape (S&amp;P)'!U6389="Yes",
        'Loan Tape (S&amp;P)'!T6389&lt;&gt;"Yes",
        DATEDIF('Loan Tape (S&amp;P)'!K6389, TODAY(), "M")&lt;18),
    1.10,
    1.00)</f>
        <v/>
      </c>
      <c r="O6389">
        <f>IF('Loan Tape (S&amp;P)'!T6389="Yes",
    1.35,
    1.00)</f>
        <v/>
      </c>
      <c r="P6389">
        <f>IF('Loan Tape (S&amp;P)'!S6389="Yes",
    1.15,
    1.00)</f>
        <v/>
      </c>
      <c r="Q6389">
        <f>IF('Loan Tape (S&amp;P)'!V6389="Yes",
    1.20,
    1.00)</f>
        <v/>
      </c>
      <c r="T6389">
        <f>LET(
    payment_method,'Loan Tape (S&amp;P)'!P6389,
    occupancy,'Loan Tape (S&amp;P)'!N6389,
    maturity_date,'Loan Tape (S&amp;P)'!L6389,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90">
      <c r="J6390">
        <f>LET(
    lien,'Loan Tape (S&amp;P)'!Q6390,
    IF(lien="First",1.00,
        IF(lien="Second",1.50,
            1.70)))</f>
        <v/>
      </c>
      <c r="K6390">
        <f>LET(
    purpose,'Loan Tape (S&amp;P)'!R6390,
    IF(purpose="Purchase",1.00,
        IF(purpose="Remortgage",1.00,
            1.20)))</f>
        <v/>
      </c>
      <c r="L6390">
        <f>LET(
    arrears_months,'Loan Tape (S&amp;P)'!AN6390,
    IF(arrears_months=0,1.00,
    IF(arrears_months=1,3.00,
    IF(arrears_months=2,5.00,
    IF(arrears_months=3,8.00,
    IF(arrears_months=4,10.00,
    IF(arrears_months=5,12.00,15.00)))))))</f>
        <v/>
      </c>
      <c r="M6390">
        <f>LET(
    seasoning_years,DATEDIF('Loan Tape (S&amp;P)'!K6390,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90">
        <f>IF(AND('Loan Tape (S&amp;P)'!U6390="Yes",
        'Loan Tape (S&amp;P)'!T6390&lt;&gt;"Yes",
        DATEDIF('Loan Tape (S&amp;P)'!K6390, TODAY(), "M")&lt;18),
    1.10,
    1.00)</f>
        <v/>
      </c>
      <c r="O6390">
        <f>IF('Loan Tape (S&amp;P)'!T6390="Yes",
    1.35,
    1.00)</f>
        <v/>
      </c>
      <c r="P6390">
        <f>IF('Loan Tape (S&amp;P)'!S6390="Yes",
    1.15,
    1.00)</f>
        <v/>
      </c>
      <c r="Q6390">
        <f>IF('Loan Tape (S&amp;P)'!V6390="Yes",
    1.20,
    1.00)</f>
        <v/>
      </c>
      <c r="T6390">
        <f>LET(
    payment_method,'Loan Tape (S&amp;P)'!P6390,
    occupancy,'Loan Tape (S&amp;P)'!N6390,
    maturity_date,'Loan Tape (S&amp;P)'!L6390,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91">
      <c r="J6391">
        <f>LET(
    lien,'Loan Tape (S&amp;P)'!Q6391,
    IF(lien="First",1.00,
        IF(lien="Second",1.50,
            1.70)))</f>
        <v/>
      </c>
      <c r="K6391">
        <f>LET(
    purpose,'Loan Tape (S&amp;P)'!R6391,
    IF(purpose="Purchase",1.00,
        IF(purpose="Remortgage",1.00,
            1.20)))</f>
        <v/>
      </c>
      <c r="L6391">
        <f>LET(
    arrears_months,'Loan Tape (S&amp;P)'!AN6391,
    IF(arrears_months=0,1.00,
    IF(arrears_months=1,3.00,
    IF(arrears_months=2,5.00,
    IF(arrears_months=3,8.00,
    IF(arrears_months=4,10.00,
    IF(arrears_months=5,12.00,15.00)))))))</f>
        <v/>
      </c>
      <c r="M6391">
        <f>LET(
    seasoning_years,DATEDIF('Loan Tape (S&amp;P)'!K6391,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91">
        <f>IF(AND('Loan Tape (S&amp;P)'!U6391="Yes",
        'Loan Tape (S&amp;P)'!T6391&lt;&gt;"Yes",
        DATEDIF('Loan Tape (S&amp;P)'!K6391, TODAY(), "M")&lt;18),
    1.10,
    1.00)</f>
        <v/>
      </c>
      <c r="O6391">
        <f>IF('Loan Tape (S&amp;P)'!T6391="Yes",
    1.35,
    1.00)</f>
        <v/>
      </c>
      <c r="P6391">
        <f>IF('Loan Tape (S&amp;P)'!S6391="Yes",
    1.15,
    1.00)</f>
        <v/>
      </c>
      <c r="Q6391">
        <f>IF('Loan Tape (S&amp;P)'!V6391="Yes",
    1.20,
    1.00)</f>
        <v/>
      </c>
      <c r="T6391">
        <f>LET(
    payment_method,'Loan Tape (S&amp;P)'!P6391,
    occupancy,'Loan Tape (S&amp;P)'!N6391,
    maturity_date,'Loan Tape (S&amp;P)'!L6391,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92">
      <c r="J6392">
        <f>LET(
    lien,'Loan Tape (S&amp;P)'!Q6392,
    IF(lien="First",1.00,
        IF(lien="Second",1.50,
            1.70)))</f>
        <v/>
      </c>
      <c r="K6392">
        <f>LET(
    purpose,'Loan Tape (S&amp;P)'!R6392,
    IF(purpose="Purchase",1.00,
        IF(purpose="Remortgage",1.00,
            1.20)))</f>
        <v/>
      </c>
      <c r="L6392">
        <f>LET(
    arrears_months,'Loan Tape (S&amp;P)'!AN6392,
    IF(arrears_months=0,1.00,
    IF(arrears_months=1,3.00,
    IF(arrears_months=2,5.00,
    IF(arrears_months=3,8.00,
    IF(arrears_months=4,10.00,
    IF(arrears_months=5,12.00,15.00)))))))</f>
        <v/>
      </c>
      <c r="M6392">
        <f>LET(
    seasoning_years,DATEDIF('Loan Tape (S&amp;P)'!K6392,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92">
        <f>IF(AND('Loan Tape (S&amp;P)'!U6392="Yes",
        'Loan Tape (S&amp;P)'!T6392&lt;&gt;"Yes",
        DATEDIF('Loan Tape (S&amp;P)'!K6392, TODAY(), "M")&lt;18),
    1.10,
    1.00)</f>
        <v/>
      </c>
      <c r="O6392">
        <f>IF('Loan Tape (S&amp;P)'!T6392="Yes",
    1.35,
    1.00)</f>
        <v/>
      </c>
      <c r="P6392">
        <f>IF('Loan Tape (S&amp;P)'!S6392="Yes",
    1.15,
    1.00)</f>
        <v/>
      </c>
      <c r="Q6392">
        <f>IF('Loan Tape (S&amp;P)'!V6392="Yes",
    1.20,
    1.00)</f>
        <v/>
      </c>
      <c r="T6392">
        <f>LET(
    payment_method,'Loan Tape (S&amp;P)'!P6392,
    occupancy,'Loan Tape (S&amp;P)'!N6392,
    maturity_date,'Loan Tape (S&amp;P)'!L6392,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93">
      <c r="J6393">
        <f>LET(
    lien,'Loan Tape (S&amp;P)'!Q6393,
    IF(lien="First",1.00,
        IF(lien="Second",1.50,
            1.70)))</f>
        <v/>
      </c>
      <c r="K6393">
        <f>LET(
    purpose,'Loan Tape (S&amp;P)'!R6393,
    IF(purpose="Purchase",1.00,
        IF(purpose="Remortgage",1.00,
            1.20)))</f>
        <v/>
      </c>
      <c r="L6393">
        <f>LET(
    arrears_months,'Loan Tape (S&amp;P)'!AN6393,
    IF(arrears_months=0,1.00,
    IF(arrears_months=1,3.00,
    IF(arrears_months=2,5.00,
    IF(arrears_months=3,8.00,
    IF(arrears_months=4,10.00,
    IF(arrears_months=5,12.00,15.00)))))))</f>
        <v/>
      </c>
      <c r="M6393">
        <f>LET(
    seasoning_years,DATEDIF('Loan Tape (S&amp;P)'!K6393,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93">
        <f>IF(AND('Loan Tape (S&amp;P)'!U6393="Yes",
        'Loan Tape (S&amp;P)'!T6393&lt;&gt;"Yes",
        DATEDIF('Loan Tape (S&amp;P)'!K6393, TODAY(), "M")&lt;18),
    1.10,
    1.00)</f>
        <v/>
      </c>
      <c r="O6393">
        <f>IF('Loan Tape (S&amp;P)'!T6393="Yes",
    1.35,
    1.00)</f>
        <v/>
      </c>
      <c r="P6393">
        <f>IF('Loan Tape (S&amp;P)'!S6393="Yes",
    1.15,
    1.00)</f>
        <v/>
      </c>
      <c r="Q6393">
        <f>IF('Loan Tape (S&amp;P)'!V6393="Yes",
    1.20,
    1.00)</f>
        <v/>
      </c>
      <c r="T6393">
        <f>LET(
    payment_method,'Loan Tape (S&amp;P)'!P6393,
    occupancy,'Loan Tape (S&amp;P)'!N6393,
    maturity_date,'Loan Tape (S&amp;P)'!L6393,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94">
      <c r="J6394">
        <f>LET(
    lien,'Loan Tape (S&amp;P)'!Q6394,
    IF(lien="First",1.00,
        IF(lien="Second",1.50,
            1.70)))</f>
        <v/>
      </c>
      <c r="K6394">
        <f>LET(
    purpose,'Loan Tape (S&amp;P)'!R6394,
    IF(purpose="Purchase",1.00,
        IF(purpose="Remortgage",1.00,
            1.20)))</f>
        <v/>
      </c>
      <c r="L6394">
        <f>LET(
    arrears_months,'Loan Tape (S&amp;P)'!AN6394,
    IF(arrears_months=0,1.00,
    IF(arrears_months=1,3.00,
    IF(arrears_months=2,5.00,
    IF(arrears_months=3,8.00,
    IF(arrears_months=4,10.00,
    IF(arrears_months=5,12.00,15.00)))))))</f>
        <v/>
      </c>
      <c r="M6394">
        <f>LET(
    seasoning_years,DATEDIF('Loan Tape (S&amp;P)'!K6394,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94">
        <f>IF(AND('Loan Tape (S&amp;P)'!U6394="Yes",
        'Loan Tape (S&amp;P)'!T6394&lt;&gt;"Yes",
        DATEDIF('Loan Tape (S&amp;P)'!K6394, TODAY(), "M")&lt;18),
    1.10,
    1.00)</f>
        <v/>
      </c>
      <c r="O6394">
        <f>IF('Loan Tape (S&amp;P)'!T6394="Yes",
    1.35,
    1.00)</f>
        <v/>
      </c>
      <c r="P6394">
        <f>IF('Loan Tape (S&amp;P)'!S6394="Yes",
    1.15,
    1.00)</f>
        <v/>
      </c>
      <c r="Q6394">
        <f>IF('Loan Tape (S&amp;P)'!V6394="Yes",
    1.20,
    1.00)</f>
        <v/>
      </c>
      <c r="T6394">
        <f>LET(
    payment_method,'Loan Tape (S&amp;P)'!P6394,
    occupancy,'Loan Tape (S&amp;P)'!N6394,
    maturity_date,'Loan Tape (S&amp;P)'!L6394,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95">
      <c r="J6395">
        <f>LET(
    lien,'Loan Tape (S&amp;P)'!Q6395,
    IF(lien="First",1.00,
        IF(lien="Second",1.50,
            1.70)))</f>
        <v/>
      </c>
      <c r="K6395">
        <f>LET(
    purpose,'Loan Tape (S&amp;P)'!R6395,
    IF(purpose="Purchase",1.00,
        IF(purpose="Remortgage",1.00,
            1.20)))</f>
        <v/>
      </c>
      <c r="L6395">
        <f>LET(
    arrears_months,'Loan Tape (S&amp;P)'!AN6395,
    IF(arrears_months=0,1.00,
    IF(arrears_months=1,3.00,
    IF(arrears_months=2,5.00,
    IF(arrears_months=3,8.00,
    IF(arrears_months=4,10.00,
    IF(arrears_months=5,12.00,15.00)))))))</f>
        <v/>
      </c>
      <c r="M6395">
        <f>LET(
    seasoning_years,DATEDIF('Loan Tape (S&amp;P)'!K6395,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95">
        <f>IF(AND('Loan Tape (S&amp;P)'!U6395="Yes",
        'Loan Tape (S&amp;P)'!T6395&lt;&gt;"Yes",
        DATEDIF('Loan Tape (S&amp;P)'!K6395, TODAY(), "M")&lt;18),
    1.10,
    1.00)</f>
        <v/>
      </c>
      <c r="O6395">
        <f>IF('Loan Tape (S&amp;P)'!T6395="Yes",
    1.35,
    1.00)</f>
        <v/>
      </c>
      <c r="P6395">
        <f>IF('Loan Tape (S&amp;P)'!S6395="Yes",
    1.15,
    1.00)</f>
        <v/>
      </c>
      <c r="Q6395">
        <f>IF('Loan Tape (S&amp;P)'!V6395="Yes",
    1.20,
    1.00)</f>
        <v/>
      </c>
      <c r="T6395">
        <f>LET(
    payment_method,'Loan Tape (S&amp;P)'!P6395,
    occupancy,'Loan Tape (S&amp;P)'!N6395,
    maturity_date,'Loan Tape (S&amp;P)'!L6395,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96">
      <c r="J6396">
        <f>LET(
    lien,'Loan Tape (S&amp;P)'!Q6396,
    IF(lien="First",1.00,
        IF(lien="Second",1.50,
            1.70)))</f>
        <v/>
      </c>
      <c r="K6396">
        <f>LET(
    purpose,'Loan Tape (S&amp;P)'!R6396,
    IF(purpose="Purchase",1.00,
        IF(purpose="Remortgage",1.00,
            1.20)))</f>
        <v/>
      </c>
      <c r="L6396">
        <f>LET(
    arrears_months,'Loan Tape (S&amp;P)'!AN6396,
    IF(arrears_months=0,1.00,
    IF(arrears_months=1,3.00,
    IF(arrears_months=2,5.00,
    IF(arrears_months=3,8.00,
    IF(arrears_months=4,10.00,
    IF(arrears_months=5,12.00,15.00)))))))</f>
        <v/>
      </c>
      <c r="M6396">
        <f>LET(
    seasoning_years,DATEDIF('Loan Tape (S&amp;P)'!K6396,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96">
        <f>IF(AND('Loan Tape (S&amp;P)'!U6396="Yes",
        'Loan Tape (S&amp;P)'!T6396&lt;&gt;"Yes",
        DATEDIF('Loan Tape (S&amp;P)'!K6396, TODAY(), "M")&lt;18),
    1.10,
    1.00)</f>
        <v/>
      </c>
      <c r="O6396">
        <f>IF('Loan Tape (S&amp;P)'!T6396="Yes",
    1.35,
    1.00)</f>
        <v/>
      </c>
      <c r="P6396">
        <f>IF('Loan Tape (S&amp;P)'!S6396="Yes",
    1.15,
    1.00)</f>
        <v/>
      </c>
      <c r="Q6396">
        <f>IF('Loan Tape (S&amp;P)'!V6396="Yes",
    1.20,
    1.00)</f>
        <v/>
      </c>
      <c r="T6396">
        <f>LET(
    payment_method,'Loan Tape (S&amp;P)'!P6396,
    occupancy,'Loan Tape (S&amp;P)'!N6396,
    maturity_date,'Loan Tape (S&amp;P)'!L6396,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97">
      <c r="J6397">
        <f>LET(
    lien,'Loan Tape (S&amp;P)'!Q6397,
    IF(lien="First",1.00,
        IF(lien="Second",1.50,
            1.70)))</f>
        <v/>
      </c>
      <c r="K6397">
        <f>LET(
    purpose,'Loan Tape (S&amp;P)'!R6397,
    IF(purpose="Purchase",1.00,
        IF(purpose="Remortgage",1.00,
            1.20)))</f>
        <v/>
      </c>
      <c r="L6397">
        <f>LET(
    arrears_months,'Loan Tape (S&amp;P)'!AN6397,
    IF(arrears_months=0,1.00,
    IF(arrears_months=1,3.00,
    IF(arrears_months=2,5.00,
    IF(arrears_months=3,8.00,
    IF(arrears_months=4,10.00,
    IF(arrears_months=5,12.00,15.00)))))))</f>
        <v/>
      </c>
      <c r="M6397">
        <f>LET(
    seasoning_years,DATEDIF('Loan Tape (S&amp;P)'!K6397,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97">
        <f>IF(AND('Loan Tape (S&amp;P)'!U6397="Yes",
        'Loan Tape (S&amp;P)'!T6397&lt;&gt;"Yes",
        DATEDIF('Loan Tape (S&amp;P)'!K6397, TODAY(), "M")&lt;18),
    1.10,
    1.00)</f>
        <v/>
      </c>
      <c r="O6397">
        <f>IF('Loan Tape (S&amp;P)'!T6397="Yes",
    1.35,
    1.00)</f>
        <v/>
      </c>
      <c r="P6397">
        <f>IF('Loan Tape (S&amp;P)'!S6397="Yes",
    1.15,
    1.00)</f>
        <v/>
      </c>
      <c r="Q6397">
        <f>IF('Loan Tape (S&amp;P)'!V6397="Yes",
    1.20,
    1.00)</f>
        <v/>
      </c>
      <c r="T6397">
        <f>LET(
    payment_method,'Loan Tape (S&amp;P)'!P6397,
    occupancy,'Loan Tape (S&amp;P)'!N6397,
    maturity_date,'Loan Tape (S&amp;P)'!L6397,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98">
      <c r="J6398">
        <f>LET(
    lien,'Loan Tape (S&amp;P)'!Q6398,
    IF(lien="First",1.00,
        IF(lien="Second",1.50,
            1.70)))</f>
        <v/>
      </c>
      <c r="K6398">
        <f>LET(
    purpose,'Loan Tape (S&amp;P)'!R6398,
    IF(purpose="Purchase",1.00,
        IF(purpose="Remortgage",1.00,
            1.20)))</f>
        <v/>
      </c>
      <c r="L6398">
        <f>LET(
    arrears_months,'Loan Tape (S&amp;P)'!AN6398,
    IF(arrears_months=0,1.00,
    IF(arrears_months=1,3.00,
    IF(arrears_months=2,5.00,
    IF(arrears_months=3,8.00,
    IF(arrears_months=4,10.00,
    IF(arrears_months=5,12.00,15.00)))))))</f>
        <v/>
      </c>
      <c r="M6398">
        <f>LET(
    seasoning_years,DATEDIF('Loan Tape (S&amp;P)'!K6398,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98">
        <f>IF(AND('Loan Tape (S&amp;P)'!U6398="Yes",
        'Loan Tape (S&amp;P)'!T6398&lt;&gt;"Yes",
        DATEDIF('Loan Tape (S&amp;P)'!K6398, TODAY(), "M")&lt;18),
    1.10,
    1.00)</f>
        <v/>
      </c>
      <c r="O6398">
        <f>IF('Loan Tape (S&amp;P)'!T6398="Yes",
    1.35,
    1.00)</f>
        <v/>
      </c>
      <c r="P6398">
        <f>IF('Loan Tape (S&amp;P)'!S6398="Yes",
    1.15,
    1.00)</f>
        <v/>
      </c>
      <c r="Q6398">
        <f>IF('Loan Tape (S&amp;P)'!V6398="Yes",
    1.20,
    1.00)</f>
        <v/>
      </c>
      <c r="T6398">
        <f>LET(
    payment_method,'Loan Tape (S&amp;P)'!P6398,
    occupancy,'Loan Tape (S&amp;P)'!N6398,
    maturity_date,'Loan Tape (S&amp;P)'!L6398,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399">
      <c r="J6399">
        <f>LET(
    lien,'Loan Tape (S&amp;P)'!Q6399,
    IF(lien="First",1.00,
        IF(lien="Second",1.50,
            1.70)))</f>
        <v/>
      </c>
      <c r="K6399">
        <f>LET(
    purpose,'Loan Tape (S&amp;P)'!R6399,
    IF(purpose="Purchase",1.00,
        IF(purpose="Remortgage",1.00,
            1.20)))</f>
        <v/>
      </c>
      <c r="L6399">
        <f>LET(
    arrears_months,'Loan Tape (S&amp;P)'!AN6399,
    IF(arrears_months=0,1.00,
    IF(arrears_months=1,3.00,
    IF(arrears_months=2,5.00,
    IF(arrears_months=3,8.00,
    IF(arrears_months=4,10.00,
    IF(arrears_months=5,12.00,15.00)))))))</f>
        <v/>
      </c>
      <c r="M6399">
        <f>LET(
    seasoning_years,DATEDIF('Loan Tape (S&amp;P)'!K6399,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399">
        <f>IF(AND('Loan Tape (S&amp;P)'!U6399="Yes",
        'Loan Tape (S&amp;P)'!T6399&lt;&gt;"Yes",
        DATEDIF('Loan Tape (S&amp;P)'!K6399, TODAY(), "M")&lt;18),
    1.10,
    1.00)</f>
        <v/>
      </c>
      <c r="O6399">
        <f>IF('Loan Tape (S&amp;P)'!T6399="Yes",
    1.35,
    1.00)</f>
        <v/>
      </c>
      <c r="P6399">
        <f>IF('Loan Tape (S&amp;P)'!S6399="Yes",
    1.15,
    1.00)</f>
        <v/>
      </c>
      <c r="Q6399">
        <f>IF('Loan Tape (S&amp;P)'!V6399="Yes",
    1.20,
    1.00)</f>
        <v/>
      </c>
      <c r="T6399">
        <f>LET(
    payment_method,'Loan Tape (S&amp;P)'!P6399,
    occupancy,'Loan Tape (S&amp;P)'!N6399,
    maturity_date,'Loan Tape (S&amp;P)'!L6399,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00">
      <c r="J6400">
        <f>LET(
    lien,'Loan Tape (S&amp;P)'!Q6400,
    IF(lien="First",1.00,
        IF(lien="Second",1.50,
            1.70)))</f>
        <v/>
      </c>
      <c r="K6400">
        <f>LET(
    purpose,'Loan Tape (S&amp;P)'!R6400,
    IF(purpose="Purchase",1.00,
        IF(purpose="Remortgage",1.00,
            1.20)))</f>
        <v/>
      </c>
      <c r="L6400">
        <f>LET(
    arrears_months,'Loan Tape (S&amp;P)'!AN6400,
    IF(arrears_months=0,1.00,
    IF(arrears_months=1,3.00,
    IF(arrears_months=2,5.00,
    IF(arrears_months=3,8.00,
    IF(arrears_months=4,10.00,
    IF(arrears_months=5,12.00,15.00)))))))</f>
        <v/>
      </c>
      <c r="M6400">
        <f>LET(
    seasoning_years,DATEDIF('Loan Tape (S&amp;P)'!K6400,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00">
        <f>IF(AND('Loan Tape (S&amp;P)'!U6400="Yes",
        'Loan Tape (S&amp;P)'!T6400&lt;&gt;"Yes",
        DATEDIF('Loan Tape (S&amp;P)'!K6400, TODAY(), "M")&lt;18),
    1.10,
    1.00)</f>
        <v/>
      </c>
      <c r="O6400">
        <f>IF('Loan Tape (S&amp;P)'!T6400="Yes",
    1.35,
    1.00)</f>
        <v/>
      </c>
      <c r="P6400">
        <f>IF('Loan Tape (S&amp;P)'!S6400="Yes",
    1.15,
    1.00)</f>
        <v/>
      </c>
      <c r="Q6400">
        <f>IF('Loan Tape (S&amp;P)'!V6400="Yes",
    1.20,
    1.00)</f>
        <v/>
      </c>
      <c r="T6400">
        <f>LET(
    payment_method,'Loan Tape (S&amp;P)'!P6400,
    occupancy,'Loan Tape (S&amp;P)'!N6400,
    maturity_date,'Loan Tape (S&amp;P)'!L6400,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01">
      <c r="J6401">
        <f>LET(
    lien,'Loan Tape (S&amp;P)'!Q6401,
    IF(lien="First",1.00,
        IF(lien="Second",1.50,
            1.70)))</f>
        <v/>
      </c>
      <c r="K6401">
        <f>LET(
    purpose,'Loan Tape (S&amp;P)'!R6401,
    IF(purpose="Purchase",1.00,
        IF(purpose="Remortgage",1.00,
            1.20)))</f>
        <v/>
      </c>
      <c r="L6401">
        <f>LET(
    arrears_months,'Loan Tape (S&amp;P)'!AN6401,
    IF(arrears_months=0,1.00,
    IF(arrears_months=1,3.00,
    IF(arrears_months=2,5.00,
    IF(arrears_months=3,8.00,
    IF(arrears_months=4,10.00,
    IF(arrears_months=5,12.00,15.00)))))))</f>
        <v/>
      </c>
      <c r="M6401">
        <f>LET(
    seasoning_years,DATEDIF('Loan Tape (S&amp;P)'!K6401,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01">
        <f>IF(AND('Loan Tape (S&amp;P)'!U6401="Yes",
        'Loan Tape (S&amp;P)'!T6401&lt;&gt;"Yes",
        DATEDIF('Loan Tape (S&amp;P)'!K6401, TODAY(), "M")&lt;18),
    1.10,
    1.00)</f>
        <v/>
      </c>
      <c r="O6401">
        <f>IF('Loan Tape (S&amp;P)'!T6401="Yes",
    1.35,
    1.00)</f>
        <v/>
      </c>
      <c r="P6401">
        <f>IF('Loan Tape (S&amp;P)'!S6401="Yes",
    1.15,
    1.00)</f>
        <v/>
      </c>
      <c r="Q6401">
        <f>IF('Loan Tape (S&amp;P)'!V6401="Yes",
    1.20,
    1.00)</f>
        <v/>
      </c>
      <c r="T6401">
        <f>LET(
    payment_method,'Loan Tape (S&amp;P)'!P6401,
    occupancy,'Loan Tape (S&amp;P)'!N6401,
    maturity_date,'Loan Tape (S&amp;P)'!L6401,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02">
      <c r="J6402">
        <f>LET(
    lien,'Loan Tape (S&amp;P)'!Q6402,
    IF(lien="First",1.00,
        IF(lien="Second",1.50,
            1.70)))</f>
        <v/>
      </c>
      <c r="K6402">
        <f>LET(
    purpose,'Loan Tape (S&amp;P)'!R6402,
    IF(purpose="Purchase",1.00,
        IF(purpose="Remortgage",1.00,
            1.20)))</f>
        <v/>
      </c>
      <c r="L6402">
        <f>LET(
    arrears_months,'Loan Tape (S&amp;P)'!AN6402,
    IF(arrears_months=0,1.00,
    IF(arrears_months=1,3.00,
    IF(arrears_months=2,5.00,
    IF(arrears_months=3,8.00,
    IF(arrears_months=4,10.00,
    IF(arrears_months=5,12.00,15.00)))))))</f>
        <v/>
      </c>
      <c r="M6402">
        <f>LET(
    seasoning_years,DATEDIF('Loan Tape (S&amp;P)'!K6402,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02">
        <f>IF(AND('Loan Tape (S&amp;P)'!U6402="Yes",
        'Loan Tape (S&amp;P)'!T6402&lt;&gt;"Yes",
        DATEDIF('Loan Tape (S&amp;P)'!K6402, TODAY(), "M")&lt;18),
    1.10,
    1.00)</f>
        <v/>
      </c>
      <c r="O6402">
        <f>IF('Loan Tape (S&amp;P)'!T6402="Yes",
    1.35,
    1.00)</f>
        <v/>
      </c>
      <c r="P6402">
        <f>IF('Loan Tape (S&amp;P)'!S6402="Yes",
    1.15,
    1.00)</f>
        <v/>
      </c>
      <c r="Q6402">
        <f>IF('Loan Tape (S&amp;P)'!V6402="Yes",
    1.20,
    1.00)</f>
        <v/>
      </c>
      <c r="T6402">
        <f>LET(
    payment_method,'Loan Tape (S&amp;P)'!P6402,
    occupancy,'Loan Tape (S&amp;P)'!N6402,
    maturity_date,'Loan Tape (S&amp;P)'!L6402,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03">
      <c r="J6403">
        <f>LET(
    lien,'Loan Tape (S&amp;P)'!Q6403,
    IF(lien="First",1.00,
        IF(lien="Second",1.50,
            1.70)))</f>
        <v/>
      </c>
      <c r="K6403">
        <f>LET(
    purpose,'Loan Tape (S&amp;P)'!R6403,
    IF(purpose="Purchase",1.00,
        IF(purpose="Remortgage",1.00,
            1.20)))</f>
        <v/>
      </c>
      <c r="L6403">
        <f>LET(
    arrears_months,'Loan Tape (S&amp;P)'!AN6403,
    IF(arrears_months=0,1.00,
    IF(arrears_months=1,3.00,
    IF(arrears_months=2,5.00,
    IF(arrears_months=3,8.00,
    IF(arrears_months=4,10.00,
    IF(arrears_months=5,12.00,15.00)))))))</f>
        <v/>
      </c>
      <c r="M6403">
        <f>LET(
    seasoning_years,DATEDIF('Loan Tape (S&amp;P)'!K6403,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03">
        <f>IF(AND('Loan Tape (S&amp;P)'!U6403="Yes",
        'Loan Tape (S&amp;P)'!T6403&lt;&gt;"Yes",
        DATEDIF('Loan Tape (S&amp;P)'!K6403, TODAY(), "M")&lt;18),
    1.10,
    1.00)</f>
        <v/>
      </c>
      <c r="O6403">
        <f>IF('Loan Tape (S&amp;P)'!T6403="Yes",
    1.35,
    1.00)</f>
        <v/>
      </c>
      <c r="P6403">
        <f>IF('Loan Tape (S&amp;P)'!S6403="Yes",
    1.15,
    1.00)</f>
        <v/>
      </c>
      <c r="Q6403">
        <f>IF('Loan Tape (S&amp;P)'!V6403="Yes",
    1.20,
    1.00)</f>
        <v/>
      </c>
      <c r="T6403">
        <f>LET(
    payment_method,'Loan Tape (S&amp;P)'!P6403,
    occupancy,'Loan Tape (S&amp;P)'!N6403,
    maturity_date,'Loan Tape (S&amp;P)'!L6403,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04">
      <c r="J6404">
        <f>LET(
    lien,'Loan Tape (S&amp;P)'!Q6404,
    IF(lien="First",1.00,
        IF(lien="Second",1.50,
            1.70)))</f>
        <v/>
      </c>
      <c r="K6404">
        <f>LET(
    purpose,'Loan Tape (S&amp;P)'!R6404,
    IF(purpose="Purchase",1.00,
        IF(purpose="Remortgage",1.00,
            1.20)))</f>
        <v/>
      </c>
      <c r="L6404">
        <f>LET(
    arrears_months,'Loan Tape (S&amp;P)'!AN6404,
    IF(arrears_months=0,1.00,
    IF(arrears_months=1,3.00,
    IF(arrears_months=2,5.00,
    IF(arrears_months=3,8.00,
    IF(arrears_months=4,10.00,
    IF(arrears_months=5,12.00,15.00)))))))</f>
        <v/>
      </c>
      <c r="M6404">
        <f>LET(
    seasoning_years,DATEDIF('Loan Tape (S&amp;P)'!K6404,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04">
        <f>IF(AND('Loan Tape (S&amp;P)'!U6404="Yes",
        'Loan Tape (S&amp;P)'!T6404&lt;&gt;"Yes",
        DATEDIF('Loan Tape (S&amp;P)'!K6404, TODAY(), "M")&lt;18),
    1.10,
    1.00)</f>
        <v/>
      </c>
      <c r="O6404">
        <f>IF('Loan Tape (S&amp;P)'!T6404="Yes",
    1.35,
    1.00)</f>
        <v/>
      </c>
      <c r="P6404">
        <f>IF('Loan Tape (S&amp;P)'!S6404="Yes",
    1.15,
    1.00)</f>
        <v/>
      </c>
      <c r="Q6404">
        <f>IF('Loan Tape (S&amp;P)'!V6404="Yes",
    1.20,
    1.00)</f>
        <v/>
      </c>
      <c r="T6404">
        <f>LET(
    payment_method,'Loan Tape (S&amp;P)'!P6404,
    occupancy,'Loan Tape (S&amp;P)'!N6404,
    maturity_date,'Loan Tape (S&amp;P)'!L6404,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05">
      <c r="J6405">
        <f>LET(
    lien,'Loan Tape (S&amp;P)'!Q6405,
    IF(lien="First",1.00,
        IF(lien="Second",1.50,
            1.70)))</f>
        <v/>
      </c>
      <c r="K6405">
        <f>LET(
    purpose,'Loan Tape (S&amp;P)'!R6405,
    IF(purpose="Purchase",1.00,
        IF(purpose="Remortgage",1.00,
            1.20)))</f>
        <v/>
      </c>
      <c r="L6405">
        <f>LET(
    arrears_months,'Loan Tape (S&amp;P)'!AN6405,
    IF(arrears_months=0,1.00,
    IF(arrears_months=1,3.00,
    IF(arrears_months=2,5.00,
    IF(arrears_months=3,8.00,
    IF(arrears_months=4,10.00,
    IF(arrears_months=5,12.00,15.00)))))))</f>
        <v/>
      </c>
      <c r="M6405">
        <f>LET(
    seasoning_years,DATEDIF('Loan Tape (S&amp;P)'!K6405,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05">
        <f>IF(AND('Loan Tape (S&amp;P)'!U6405="Yes",
        'Loan Tape (S&amp;P)'!T6405&lt;&gt;"Yes",
        DATEDIF('Loan Tape (S&amp;P)'!K6405, TODAY(), "M")&lt;18),
    1.10,
    1.00)</f>
        <v/>
      </c>
      <c r="O6405">
        <f>IF('Loan Tape (S&amp;P)'!T6405="Yes",
    1.35,
    1.00)</f>
        <v/>
      </c>
      <c r="P6405">
        <f>IF('Loan Tape (S&amp;P)'!S6405="Yes",
    1.15,
    1.00)</f>
        <v/>
      </c>
      <c r="Q6405">
        <f>IF('Loan Tape (S&amp;P)'!V6405="Yes",
    1.20,
    1.00)</f>
        <v/>
      </c>
      <c r="T6405">
        <f>LET(
    payment_method,'Loan Tape (S&amp;P)'!P6405,
    occupancy,'Loan Tape (S&amp;P)'!N6405,
    maturity_date,'Loan Tape (S&amp;P)'!L6405,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06">
      <c r="J6406">
        <f>LET(
    lien,'Loan Tape (S&amp;P)'!Q6406,
    IF(lien="First",1.00,
        IF(lien="Second",1.50,
            1.70)))</f>
        <v/>
      </c>
      <c r="K6406">
        <f>LET(
    purpose,'Loan Tape (S&amp;P)'!R6406,
    IF(purpose="Purchase",1.00,
        IF(purpose="Remortgage",1.00,
            1.20)))</f>
        <v/>
      </c>
      <c r="L6406">
        <f>LET(
    arrears_months,'Loan Tape (S&amp;P)'!AN6406,
    IF(arrears_months=0,1.00,
    IF(arrears_months=1,3.00,
    IF(arrears_months=2,5.00,
    IF(arrears_months=3,8.00,
    IF(arrears_months=4,10.00,
    IF(arrears_months=5,12.00,15.00)))))))</f>
        <v/>
      </c>
      <c r="M6406">
        <f>LET(
    seasoning_years,DATEDIF('Loan Tape (S&amp;P)'!K6406,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06">
        <f>IF(AND('Loan Tape (S&amp;P)'!U6406="Yes",
        'Loan Tape (S&amp;P)'!T6406&lt;&gt;"Yes",
        DATEDIF('Loan Tape (S&amp;P)'!K6406, TODAY(), "M")&lt;18),
    1.10,
    1.00)</f>
        <v/>
      </c>
      <c r="O6406">
        <f>IF('Loan Tape (S&amp;P)'!T6406="Yes",
    1.35,
    1.00)</f>
        <v/>
      </c>
      <c r="P6406">
        <f>IF('Loan Tape (S&amp;P)'!S6406="Yes",
    1.15,
    1.00)</f>
        <v/>
      </c>
      <c r="Q6406">
        <f>IF('Loan Tape (S&amp;P)'!V6406="Yes",
    1.20,
    1.00)</f>
        <v/>
      </c>
      <c r="T6406">
        <f>LET(
    payment_method,'Loan Tape (S&amp;P)'!P6406,
    occupancy,'Loan Tape (S&amp;P)'!N6406,
    maturity_date,'Loan Tape (S&amp;P)'!L6406,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07">
      <c r="J6407">
        <f>LET(
    lien,'Loan Tape (S&amp;P)'!Q6407,
    IF(lien="First",1.00,
        IF(lien="Second",1.50,
            1.70)))</f>
        <v/>
      </c>
      <c r="K6407">
        <f>LET(
    purpose,'Loan Tape (S&amp;P)'!R6407,
    IF(purpose="Purchase",1.00,
        IF(purpose="Remortgage",1.00,
            1.20)))</f>
        <v/>
      </c>
      <c r="L6407">
        <f>LET(
    arrears_months,'Loan Tape (S&amp;P)'!AN6407,
    IF(arrears_months=0,1.00,
    IF(arrears_months=1,3.00,
    IF(arrears_months=2,5.00,
    IF(arrears_months=3,8.00,
    IF(arrears_months=4,10.00,
    IF(arrears_months=5,12.00,15.00)))))))</f>
        <v/>
      </c>
      <c r="M6407">
        <f>LET(
    seasoning_years,DATEDIF('Loan Tape (S&amp;P)'!K6407,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07">
        <f>IF(AND('Loan Tape (S&amp;P)'!U6407="Yes",
        'Loan Tape (S&amp;P)'!T6407&lt;&gt;"Yes",
        DATEDIF('Loan Tape (S&amp;P)'!K6407, TODAY(), "M")&lt;18),
    1.10,
    1.00)</f>
        <v/>
      </c>
      <c r="O6407">
        <f>IF('Loan Tape (S&amp;P)'!T6407="Yes",
    1.35,
    1.00)</f>
        <v/>
      </c>
      <c r="P6407">
        <f>IF('Loan Tape (S&amp;P)'!S6407="Yes",
    1.15,
    1.00)</f>
        <v/>
      </c>
      <c r="Q6407">
        <f>IF('Loan Tape (S&amp;P)'!V6407="Yes",
    1.20,
    1.00)</f>
        <v/>
      </c>
      <c r="T6407">
        <f>LET(
    payment_method,'Loan Tape (S&amp;P)'!P6407,
    occupancy,'Loan Tape (S&amp;P)'!N6407,
    maturity_date,'Loan Tape (S&amp;P)'!L6407,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08">
      <c r="J6408">
        <f>LET(
    lien,'Loan Tape (S&amp;P)'!Q6408,
    IF(lien="First",1.00,
        IF(lien="Second",1.50,
            1.70)))</f>
        <v/>
      </c>
      <c r="K6408">
        <f>LET(
    purpose,'Loan Tape (S&amp;P)'!R6408,
    IF(purpose="Purchase",1.00,
        IF(purpose="Remortgage",1.00,
            1.20)))</f>
        <v/>
      </c>
      <c r="L6408">
        <f>LET(
    arrears_months,'Loan Tape (S&amp;P)'!AN6408,
    IF(arrears_months=0,1.00,
    IF(arrears_months=1,3.00,
    IF(arrears_months=2,5.00,
    IF(arrears_months=3,8.00,
    IF(arrears_months=4,10.00,
    IF(arrears_months=5,12.00,15.00)))))))</f>
        <v/>
      </c>
      <c r="M6408">
        <f>LET(
    seasoning_years,DATEDIF('Loan Tape (S&amp;P)'!K6408,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08">
        <f>IF(AND('Loan Tape (S&amp;P)'!U6408="Yes",
        'Loan Tape (S&amp;P)'!T6408&lt;&gt;"Yes",
        DATEDIF('Loan Tape (S&amp;P)'!K6408, TODAY(), "M")&lt;18),
    1.10,
    1.00)</f>
        <v/>
      </c>
      <c r="O6408">
        <f>IF('Loan Tape (S&amp;P)'!T6408="Yes",
    1.35,
    1.00)</f>
        <v/>
      </c>
      <c r="P6408">
        <f>IF('Loan Tape (S&amp;P)'!S6408="Yes",
    1.15,
    1.00)</f>
        <v/>
      </c>
      <c r="Q6408">
        <f>IF('Loan Tape (S&amp;P)'!V6408="Yes",
    1.20,
    1.00)</f>
        <v/>
      </c>
      <c r="T6408">
        <f>LET(
    payment_method,'Loan Tape (S&amp;P)'!P6408,
    occupancy,'Loan Tape (S&amp;P)'!N6408,
    maturity_date,'Loan Tape (S&amp;P)'!L6408,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09">
      <c r="J6409">
        <f>LET(
    lien,'Loan Tape (S&amp;P)'!Q6409,
    IF(lien="First",1.00,
        IF(lien="Second",1.50,
            1.70)))</f>
        <v/>
      </c>
      <c r="K6409">
        <f>LET(
    purpose,'Loan Tape (S&amp;P)'!R6409,
    IF(purpose="Purchase",1.00,
        IF(purpose="Remortgage",1.00,
            1.20)))</f>
        <v/>
      </c>
      <c r="L6409">
        <f>LET(
    arrears_months,'Loan Tape (S&amp;P)'!AN6409,
    IF(arrears_months=0,1.00,
    IF(arrears_months=1,3.00,
    IF(arrears_months=2,5.00,
    IF(arrears_months=3,8.00,
    IF(arrears_months=4,10.00,
    IF(arrears_months=5,12.00,15.00)))))))</f>
        <v/>
      </c>
      <c r="M6409">
        <f>LET(
    seasoning_years,DATEDIF('Loan Tape (S&amp;P)'!K6409,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09">
        <f>IF(AND('Loan Tape (S&amp;P)'!U6409="Yes",
        'Loan Tape (S&amp;P)'!T6409&lt;&gt;"Yes",
        DATEDIF('Loan Tape (S&amp;P)'!K6409, TODAY(), "M")&lt;18),
    1.10,
    1.00)</f>
        <v/>
      </c>
      <c r="O6409">
        <f>IF('Loan Tape (S&amp;P)'!T6409="Yes",
    1.35,
    1.00)</f>
        <v/>
      </c>
      <c r="P6409">
        <f>IF('Loan Tape (S&amp;P)'!S6409="Yes",
    1.15,
    1.00)</f>
        <v/>
      </c>
      <c r="Q6409">
        <f>IF('Loan Tape (S&amp;P)'!V6409="Yes",
    1.20,
    1.00)</f>
        <v/>
      </c>
      <c r="T6409">
        <f>LET(
    payment_method,'Loan Tape (S&amp;P)'!P6409,
    occupancy,'Loan Tape (S&amp;P)'!N6409,
    maturity_date,'Loan Tape (S&amp;P)'!L6409,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10">
      <c r="J6410">
        <f>LET(
    lien,'Loan Tape (S&amp;P)'!Q6410,
    IF(lien="First",1.00,
        IF(lien="Second",1.50,
            1.70)))</f>
        <v/>
      </c>
      <c r="K6410">
        <f>LET(
    purpose,'Loan Tape (S&amp;P)'!R6410,
    IF(purpose="Purchase",1.00,
        IF(purpose="Remortgage",1.00,
            1.20)))</f>
        <v/>
      </c>
      <c r="L6410">
        <f>LET(
    arrears_months,'Loan Tape (S&amp;P)'!AN6410,
    IF(arrears_months=0,1.00,
    IF(arrears_months=1,3.00,
    IF(arrears_months=2,5.00,
    IF(arrears_months=3,8.00,
    IF(arrears_months=4,10.00,
    IF(arrears_months=5,12.00,15.00)))))))</f>
        <v/>
      </c>
      <c r="M6410">
        <f>LET(
    seasoning_years,DATEDIF('Loan Tape (S&amp;P)'!K6410,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10">
        <f>IF(AND('Loan Tape (S&amp;P)'!U6410="Yes",
        'Loan Tape (S&amp;P)'!T6410&lt;&gt;"Yes",
        DATEDIF('Loan Tape (S&amp;P)'!K6410, TODAY(), "M")&lt;18),
    1.10,
    1.00)</f>
        <v/>
      </c>
      <c r="O6410">
        <f>IF('Loan Tape (S&amp;P)'!T6410="Yes",
    1.35,
    1.00)</f>
        <v/>
      </c>
      <c r="P6410">
        <f>IF('Loan Tape (S&amp;P)'!S6410="Yes",
    1.15,
    1.00)</f>
        <v/>
      </c>
      <c r="Q6410">
        <f>IF('Loan Tape (S&amp;P)'!V6410="Yes",
    1.20,
    1.00)</f>
        <v/>
      </c>
      <c r="T6410">
        <f>LET(
    payment_method,'Loan Tape (S&amp;P)'!P6410,
    occupancy,'Loan Tape (S&amp;P)'!N6410,
    maturity_date,'Loan Tape (S&amp;P)'!L6410,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11">
      <c r="J6411">
        <f>LET(
    lien,'Loan Tape (S&amp;P)'!Q6411,
    IF(lien="First",1.00,
        IF(lien="Second",1.50,
            1.70)))</f>
        <v/>
      </c>
      <c r="K6411">
        <f>LET(
    purpose,'Loan Tape (S&amp;P)'!R6411,
    IF(purpose="Purchase",1.00,
        IF(purpose="Remortgage",1.00,
            1.20)))</f>
        <v/>
      </c>
      <c r="L6411">
        <f>LET(
    arrears_months,'Loan Tape (S&amp;P)'!AN6411,
    IF(arrears_months=0,1.00,
    IF(arrears_months=1,3.00,
    IF(arrears_months=2,5.00,
    IF(arrears_months=3,8.00,
    IF(arrears_months=4,10.00,
    IF(arrears_months=5,12.00,15.00)))))))</f>
        <v/>
      </c>
      <c r="M6411">
        <f>LET(
    seasoning_years,DATEDIF('Loan Tape (S&amp;P)'!K6411,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11">
        <f>IF(AND('Loan Tape (S&amp;P)'!U6411="Yes",
        'Loan Tape (S&amp;P)'!T6411&lt;&gt;"Yes",
        DATEDIF('Loan Tape (S&amp;P)'!K6411, TODAY(), "M")&lt;18),
    1.10,
    1.00)</f>
        <v/>
      </c>
      <c r="O6411">
        <f>IF('Loan Tape (S&amp;P)'!T6411="Yes",
    1.35,
    1.00)</f>
        <v/>
      </c>
      <c r="P6411">
        <f>IF('Loan Tape (S&amp;P)'!S6411="Yes",
    1.15,
    1.00)</f>
        <v/>
      </c>
      <c r="Q6411">
        <f>IF('Loan Tape (S&amp;P)'!V6411="Yes",
    1.20,
    1.00)</f>
        <v/>
      </c>
      <c r="T6411">
        <f>LET(
    payment_method,'Loan Tape (S&amp;P)'!P6411,
    occupancy,'Loan Tape (S&amp;P)'!N6411,
    maturity_date,'Loan Tape (S&amp;P)'!L6411,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12">
      <c r="J6412">
        <f>LET(
    lien,'Loan Tape (S&amp;P)'!Q6412,
    IF(lien="First",1.00,
        IF(lien="Second",1.50,
            1.70)))</f>
        <v/>
      </c>
      <c r="K6412">
        <f>LET(
    purpose,'Loan Tape (S&amp;P)'!R6412,
    IF(purpose="Purchase",1.00,
        IF(purpose="Remortgage",1.00,
            1.20)))</f>
        <v/>
      </c>
      <c r="L6412">
        <f>LET(
    arrears_months,'Loan Tape (S&amp;P)'!AN6412,
    IF(arrears_months=0,1.00,
    IF(arrears_months=1,3.00,
    IF(arrears_months=2,5.00,
    IF(arrears_months=3,8.00,
    IF(arrears_months=4,10.00,
    IF(arrears_months=5,12.00,15.00)))))))</f>
        <v/>
      </c>
      <c r="M6412">
        <f>LET(
    seasoning_years,DATEDIF('Loan Tape (S&amp;P)'!K6412,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12">
        <f>IF(AND('Loan Tape (S&amp;P)'!U6412="Yes",
        'Loan Tape (S&amp;P)'!T6412&lt;&gt;"Yes",
        DATEDIF('Loan Tape (S&amp;P)'!K6412, TODAY(), "M")&lt;18),
    1.10,
    1.00)</f>
        <v/>
      </c>
      <c r="O6412">
        <f>IF('Loan Tape (S&amp;P)'!T6412="Yes",
    1.35,
    1.00)</f>
        <v/>
      </c>
      <c r="P6412">
        <f>IF('Loan Tape (S&amp;P)'!S6412="Yes",
    1.15,
    1.00)</f>
        <v/>
      </c>
      <c r="Q6412">
        <f>IF('Loan Tape (S&amp;P)'!V6412="Yes",
    1.20,
    1.00)</f>
        <v/>
      </c>
      <c r="T6412">
        <f>LET(
    payment_method,'Loan Tape (S&amp;P)'!P6412,
    occupancy,'Loan Tape (S&amp;P)'!N6412,
    maturity_date,'Loan Tape (S&amp;P)'!L6412,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13">
      <c r="J6413">
        <f>LET(
    lien,'Loan Tape (S&amp;P)'!Q6413,
    IF(lien="First",1.00,
        IF(lien="Second",1.50,
            1.70)))</f>
        <v/>
      </c>
      <c r="K6413">
        <f>LET(
    purpose,'Loan Tape (S&amp;P)'!R6413,
    IF(purpose="Purchase",1.00,
        IF(purpose="Remortgage",1.00,
            1.20)))</f>
        <v/>
      </c>
      <c r="L6413">
        <f>LET(
    arrears_months,'Loan Tape (S&amp;P)'!AN6413,
    IF(arrears_months=0,1.00,
    IF(arrears_months=1,3.00,
    IF(arrears_months=2,5.00,
    IF(arrears_months=3,8.00,
    IF(arrears_months=4,10.00,
    IF(arrears_months=5,12.00,15.00)))))))</f>
        <v/>
      </c>
      <c r="M6413">
        <f>LET(
    seasoning_years,DATEDIF('Loan Tape (S&amp;P)'!K6413,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13">
        <f>IF(AND('Loan Tape (S&amp;P)'!U6413="Yes",
        'Loan Tape (S&amp;P)'!T6413&lt;&gt;"Yes",
        DATEDIF('Loan Tape (S&amp;P)'!K6413, TODAY(), "M")&lt;18),
    1.10,
    1.00)</f>
        <v/>
      </c>
      <c r="O6413">
        <f>IF('Loan Tape (S&amp;P)'!T6413="Yes",
    1.35,
    1.00)</f>
        <v/>
      </c>
      <c r="P6413">
        <f>IF('Loan Tape (S&amp;P)'!S6413="Yes",
    1.15,
    1.00)</f>
        <v/>
      </c>
      <c r="Q6413">
        <f>IF('Loan Tape (S&amp;P)'!V6413="Yes",
    1.20,
    1.00)</f>
        <v/>
      </c>
      <c r="T6413">
        <f>LET(
    payment_method,'Loan Tape (S&amp;P)'!P6413,
    occupancy,'Loan Tape (S&amp;P)'!N6413,
    maturity_date,'Loan Tape (S&amp;P)'!L6413,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14">
      <c r="J6414">
        <f>LET(
    lien,'Loan Tape (S&amp;P)'!Q6414,
    IF(lien="First",1.00,
        IF(lien="Second",1.50,
            1.70)))</f>
        <v/>
      </c>
      <c r="K6414">
        <f>LET(
    purpose,'Loan Tape (S&amp;P)'!R6414,
    IF(purpose="Purchase",1.00,
        IF(purpose="Remortgage",1.00,
            1.20)))</f>
        <v/>
      </c>
      <c r="L6414">
        <f>LET(
    arrears_months,'Loan Tape (S&amp;P)'!AN6414,
    IF(arrears_months=0,1.00,
    IF(arrears_months=1,3.00,
    IF(arrears_months=2,5.00,
    IF(arrears_months=3,8.00,
    IF(arrears_months=4,10.00,
    IF(arrears_months=5,12.00,15.00)))))))</f>
        <v/>
      </c>
      <c r="M6414">
        <f>LET(
    seasoning_years,DATEDIF('Loan Tape (S&amp;P)'!K6414,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14">
        <f>IF(AND('Loan Tape (S&amp;P)'!U6414="Yes",
        'Loan Tape (S&amp;P)'!T6414&lt;&gt;"Yes",
        DATEDIF('Loan Tape (S&amp;P)'!K6414, TODAY(), "M")&lt;18),
    1.10,
    1.00)</f>
        <v/>
      </c>
      <c r="O6414">
        <f>IF('Loan Tape (S&amp;P)'!T6414="Yes",
    1.35,
    1.00)</f>
        <v/>
      </c>
      <c r="P6414">
        <f>IF('Loan Tape (S&amp;P)'!S6414="Yes",
    1.15,
    1.00)</f>
        <v/>
      </c>
      <c r="Q6414">
        <f>IF('Loan Tape (S&amp;P)'!V6414="Yes",
    1.20,
    1.00)</f>
        <v/>
      </c>
      <c r="T6414">
        <f>LET(
    payment_method,'Loan Tape (S&amp;P)'!P6414,
    occupancy,'Loan Tape (S&amp;P)'!N6414,
    maturity_date,'Loan Tape (S&amp;P)'!L6414,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15">
      <c r="J6415">
        <f>LET(
    lien,'Loan Tape (S&amp;P)'!Q6415,
    IF(lien="First",1.00,
        IF(lien="Second",1.50,
            1.70)))</f>
        <v/>
      </c>
      <c r="K6415">
        <f>LET(
    purpose,'Loan Tape (S&amp;P)'!R6415,
    IF(purpose="Purchase",1.00,
        IF(purpose="Remortgage",1.00,
            1.20)))</f>
        <v/>
      </c>
      <c r="L6415">
        <f>LET(
    arrears_months,'Loan Tape (S&amp;P)'!AN6415,
    IF(arrears_months=0,1.00,
    IF(arrears_months=1,3.00,
    IF(arrears_months=2,5.00,
    IF(arrears_months=3,8.00,
    IF(arrears_months=4,10.00,
    IF(arrears_months=5,12.00,15.00)))))))</f>
        <v/>
      </c>
      <c r="M6415">
        <f>LET(
    seasoning_years,DATEDIF('Loan Tape (S&amp;P)'!K6415,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15">
        <f>IF(AND('Loan Tape (S&amp;P)'!U6415="Yes",
        'Loan Tape (S&amp;P)'!T6415&lt;&gt;"Yes",
        DATEDIF('Loan Tape (S&amp;P)'!K6415, TODAY(), "M")&lt;18),
    1.10,
    1.00)</f>
        <v/>
      </c>
      <c r="O6415">
        <f>IF('Loan Tape (S&amp;P)'!T6415="Yes",
    1.35,
    1.00)</f>
        <v/>
      </c>
      <c r="P6415">
        <f>IF('Loan Tape (S&amp;P)'!S6415="Yes",
    1.15,
    1.00)</f>
        <v/>
      </c>
      <c r="Q6415">
        <f>IF('Loan Tape (S&amp;P)'!V6415="Yes",
    1.20,
    1.00)</f>
        <v/>
      </c>
      <c r="T6415">
        <f>LET(
    payment_method,'Loan Tape (S&amp;P)'!P6415,
    occupancy,'Loan Tape (S&amp;P)'!N6415,
    maturity_date,'Loan Tape (S&amp;P)'!L6415,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16">
      <c r="J6416">
        <f>LET(
    lien,'Loan Tape (S&amp;P)'!Q6416,
    IF(lien="First",1.00,
        IF(lien="Second",1.50,
            1.70)))</f>
        <v/>
      </c>
      <c r="K6416">
        <f>LET(
    purpose,'Loan Tape (S&amp;P)'!R6416,
    IF(purpose="Purchase",1.00,
        IF(purpose="Remortgage",1.00,
            1.20)))</f>
        <v/>
      </c>
      <c r="L6416">
        <f>LET(
    arrears_months,'Loan Tape (S&amp;P)'!AN6416,
    IF(arrears_months=0,1.00,
    IF(arrears_months=1,3.00,
    IF(arrears_months=2,5.00,
    IF(arrears_months=3,8.00,
    IF(arrears_months=4,10.00,
    IF(arrears_months=5,12.00,15.00)))))))</f>
        <v/>
      </c>
      <c r="M6416">
        <f>LET(
    seasoning_years,DATEDIF('Loan Tape (S&amp;P)'!K6416,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16">
        <f>IF(AND('Loan Tape (S&amp;P)'!U6416="Yes",
        'Loan Tape (S&amp;P)'!T6416&lt;&gt;"Yes",
        DATEDIF('Loan Tape (S&amp;P)'!K6416, TODAY(), "M")&lt;18),
    1.10,
    1.00)</f>
        <v/>
      </c>
      <c r="O6416">
        <f>IF('Loan Tape (S&amp;P)'!T6416="Yes",
    1.35,
    1.00)</f>
        <v/>
      </c>
      <c r="P6416">
        <f>IF('Loan Tape (S&amp;P)'!S6416="Yes",
    1.15,
    1.00)</f>
        <v/>
      </c>
      <c r="Q6416">
        <f>IF('Loan Tape (S&amp;P)'!V6416="Yes",
    1.20,
    1.00)</f>
        <v/>
      </c>
      <c r="T6416">
        <f>LET(
    payment_method,'Loan Tape (S&amp;P)'!P6416,
    occupancy,'Loan Tape (S&amp;P)'!N6416,
    maturity_date,'Loan Tape (S&amp;P)'!L6416,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17">
      <c r="J6417">
        <f>LET(
    lien,'Loan Tape (S&amp;P)'!Q6417,
    IF(lien="First",1.00,
        IF(lien="Second",1.50,
            1.70)))</f>
        <v/>
      </c>
      <c r="K6417">
        <f>LET(
    purpose,'Loan Tape (S&amp;P)'!R6417,
    IF(purpose="Purchase",1.00,
        IF(purpose="Remortgage",1.00,
            1.20)))</f>
        <v/>
      </c>
      <c r="L6417">
        <f>LET(
    arrears_months,'Loan Tape (S&amp;P)'!AN6417,
    IF(arrears_months=0,1.00,
    IF(arrears_months=1,3.00,
    IF(arrears_months=2,5.00,
    IF(arrears_months=3,8.00,
    IF(arrears_months=4,10.00,
    IF(arrears_months=5,12.00,15.00)))))))</f>
        <v/>
      </c>
      <c r="M6417">
        <f>LET(
    seasoning_years,DATEDIF('Loan Tape (S&amp;P)'!K6417,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17">
        <f>IF(AND('Loan Tape (S&amp;P)'!U6417="Yes",
        'Loan Tape (S&amp;P)'!T6417&lt;&gt;"Yes",
        DATEDIF('Loan Tape (S&amp;P)'!K6417, TODAY(), "M")&lt;18),
    1.10,
    1.00)</f>
        <v/>
      </c>
      <c r="O6417">
        <f>IF('Loan Tape (S&amp;P)'!T6417="Yes",
    1.35,
    1.00)</f>
        <v/>
      </c>
      <c r="P6417">
        <f>IF('Loan Tape (S&amp;P)'!S6417="Yes",
    1.15,
    1.00)</f>
        <v/>
      </c>
      <c r="Q6417">
        <f>IF('Loan Tape (S&amp;P)'!V6417="Yes",
    1.20,
    1.00)</f>
        <v/>
      </c>
      <c r="T6417">
        <f>LET(
    payment_method,'Loan Tape (S&amp;P)'!P6417,
    occupancy,'Loan Tape (S&amp;P)'!N6417,
    maturity_date,'Loan Tape (S&amp;P)'!L6417,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18">
      <c r="J6418">
        <f>LET(
    lien,'Loan Tape (S&amp;P)'!Q6418,
    IF(lien="First",1.00,
        IF(lien="Second",1.50,
            1.70)))</f>
        <v/>
      </c>
      <c r="K6418">
        <f>LET(
    purpose,'Loan Tape (S&amp;P)'!R6418,
    IF(purpose="Purchase",1.00,
        IF(purpose="Remortgage",1.00,
            1.20)))</f>
        <v/>
      </c>
      <c r="L6418">
        <f>LET(
    arrears_months,'Loan Tape (S&amp;P)'!AN6418,
    IF(arrears_months=0,1.00,
    IF(arrears_months=1,3.00,
    IF(arrears_months=2,5.00,
    IF(arrears_months=3,8.00,
    IF(arrears_months=4,10.00,
    IF(arrears_months=5,12.00,15.00)))))))</f>
        <v/>
      </c>
      <c r="M6418">
        <f>LET(
    seasoning_years,DATEDIF('Loan Tape (S&amp;P)'!K6418,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18">
        <f>IF(AND('Loan Tape (S&amp;P)'!U6418="Yes",
        'Loan Tape (S&amp;P)'!T6418&lt;&gt;"Yes",
        DATEDIF('Loan Tape (S&amp;P)'!K6418, TODAY(), "M")&lt;18),
    1.10,
    1.00)</f>
        <v/>
      </c>
      <c r="O6418">
        <f>IF('Loan Tape (S&amp;P)'!T6418="Yes",
    1.35,
    1.00)</f>
        <v/>
      </c>
      <c r="P6418">
        <f>IF('Loan Tape (S&amp;P)'!S6418="Yes",
    1.15,
    1.00)</f>
        <v/>
      </c>
      <c r="Q6418">
        <f>IF('Loan Tape (S&amp;P)'!V6418="Yes",
    1.20,
    1.00)</f>
        <v/>
      </c>
      <c r="T6418">
        <f>LET(
    payment_method,'Loan Tape (S&amp;P)'!P6418,
    occupancy,'Loan Tape (S&amp;P)'!N6418,
    maturity_date,'Loan Tape (S&amp;P)'!L6418,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19">
      <c r="J6419">
        <f>LET(
    lien,'Loan Tape (S&amp;P)'!Q6419,
    IF(lien="First",1.00,
        IF(lien="Second",1.50,
            1.70)))</f>
        <v/>
      </c>
      <c r="K6419">
        <f>LET(
    purpose,'Loan Tape (S&amp;P)'!R6419,
    IF(purpose="Purchase",1.00,
        IF(purpose="Remortgage",1.00,
            1.20)))</f>
        <v/>
      </c>
      <c r="L6419">
        <f>LET(
    arrears_months,'Loan Tape (S&amp;P)'!AN6419,
    IF(arrears_months=0,1.00,
    IF(arrears_months=1,3.00,
    IF(arrears_months=2,5.00,
    IF(arrears_months=3,8.00,
    IF(arrears_months=4,10.00,
    IF(arrears_months=5,12.00,15.00)))))))</f>
        <v/>
      </c>
      <c r="M6419">
        <f>LET(
    seasoning_years,DATEDIF('Loan Tape (S&amp;P)'!K6419,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19">
        <f>IF(AND('Loan Tape (S&amp;P)'!U6419="Yes",
        'Loan Tape (S&amp;P)'!T6419&lt;&gt;"Yes",
        DATEDIF('Loan Tape (S&amp;P)'!K6419, TODAY(), "M")&lt;18),
    1.10,
    1.00)</f>
        <v/>
      </c>
      <c r="O6419">
        <f>IF('Loan Tape (S&amp;P)'!T6419="Yes",
    1.35,
    1.00)</f>
        <v/>
      </c>
      <c r="P6419">
        <f>IF('Loan Tape (S&amp;P)'!S6419="Yes",
    1.15,
    1.00)</f>
        <v/>
      </c>
      <c r="Q6419">
        <f>IF('Loan Tape (S&amp;P)'!V6419="Yes",
    1.20,
    1.00)</f>
        <v/>
      </c>
      <c r="T6419">
        <f>LET(
    payment_method,'Loan Tape (S&amp;P)'!P6419,
    occupancy,'Loan Tape (S&amp;P)'!N6419,
    maturity_date,'Loan Tape (S&amp;P)'!L6419,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20">
      <c r="J6420">
        <f>LET(
    lien,'Loan Tape (S&amp;P)'!Q6420,
    IF(lien="First",1.00,
        IF(lien="Second",1.50,
            1.70)))</f>
        <v/>
      </c>
      <c r="K6420">
        <f>LET(
    purpose,'Loan Tape (S&amp;P)'!R6420,
    IF(purpose="Purchase",1.00,
        IF(purpose="Remortgage",1.00,
            1.20)))</f>
        <v/>
      </c>
      <c r="L6420">
        <f>LET(
    arrears_months,'Loan Tape (S&amp;P)'!AN6420,
    IF(arrears_months=0,1.00,
    IF(arrears_months=1,3.00,
    IF(arrears_months=2,5.00,
    IF(arrears_months=3,8.00,
    IF(arrears_months=4,10.00,
    IF(arrears_months=5,12.00,15.00)))))))</f>
        <v/>
      </c>
      <c r="M6420">
        <f>LET(
    seasoning_years,DATEDIF('Loan Tape (S&amp;P)'!K6420,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20">
        <f>IF(AND('Loan Tape (S&amp;P)'!U6420="Yes",
        'Loan Tape (S&amp;P)'!T6420&lt;&gt;"Yes",
        DATEDIF('Loan Tape (S&amp;P)'!K6420, TODAY(), "M")&lt;18),
    1.10,
    1.00)</f>
        <v/>
      </c>
      <c r="O6420">
        <f>IF('Loan Tape (S&amp;P)'!T6420="Yes",
    1.35,
    1.00)</f>
        <v/>
      </c>
      <c r="P6420">
        <f>IF('Loan Tape (S&amp;P)'!S6420="Yes",
    1.15,
    1.00)</f>
        <v/>
      </c>
      <c r="Q6420">
        <f>IF('Loan Tape (S&amp;P)'!V6420="Yes",
    1.20,
    1.00)</f>
        <v/>
      </c>
      <c r="T6420">
        <f>LET(
    payment_method,'Loan Tape (S&amp;P)'!P6420,
    occupancy,'Loan Tape (S&amp;P)'!N6420,
    maturity_date,'Loan Tape (S&amp;P)'!L6420,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21">
      <c r="J6421">
        <f>LET(
    lien,'Loan Tape (S&amp;P)'!Q6421,
    IF(lien="First",1.00,
        IF(lien="Second",1.50,
            1.70)))</f>
        <v/>
      </c>
      <c r="K6421">
        <f>LET(
    purpose,'Loan Tape (S&amp;P)'!R6421,
    IF(purpose="Purchase",1.00,
        IF(purpose="Remortgage",1.00,
            1.20)))</f>
        <v/>
      </c>
      <c r="L6421">
        <f>LET(
    arrears_months,'Loan Tape (S&amp;P)'!AN6421,
    IF(arrears_months=0,1.00,
    IF(arrears_months=1,3.00,
    IF(arrears_months=2,5.00,
    IF(arrears_months=3,8.00,
    IF(arrears_months=4,10.00,
    IF(arrears_months=5,12.00,15.00)))))))</f>
        <v/>
      </c>
      <c r="M6421">
        <f>LET(
    seasoning_years,DATEDIF('Loan Tape (S&amp;P)'!K6421,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21">
        <f>IF(AND('Loan Tape (S&amp;P)'!U6421="Yes",
        'Loan Tape (S&amp;P)'!T6421&lt;&gt;"Yes",
        DATEDIF('Loan Tape (S&amp;P)'!K6421, TODAY(), "M")&lt;18),
    1.10,
    1.00)</f>
        <v/>
      </c>
      <c r="O6421">
        <f>IF('Loan Tape (S&amp;P)'!T6421="Yes",
    1.35,
    1.00)</f>
        <v/>
      </c>
      <c r="P6421">
        <f>IF('Loan Tape (S&amp;P)'!S6421="Yes",
    1.15,
    1.00)</f>
        <v/>
      </c>
      <c r="Q6421">
        <f>IF('Loan Tape (S&amp;P)'!V6421="Yes",
    1.20,
    1.00)</f>
        <v/>
      </c>
      <c r="T6421">
        <f>LET(
    payment_method,'Loan Tape (S&amp;P)'!P6421,
    occupancy,'Loan Tape (S&amp;P)'!N6421,
    maturity_date,'Loan Tape (S&amp;P)'!L6421,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22">
      <c r="J6422">
        <f>LET(
    lien,'Loan Tape (S&amp;P)'!Q6422,
    IF(lien="First",1.00,
        IF(lien="Second",1.50,
            1.70)))</f>
        <v/>
      </c>
      <c r="K6422">
        <f>LET(
    purpose,'Loan Tape (S&amp;P)'!R6422,
    IF(purpose="Purchase",1.00,
        IF(purpose="Remortgage",1.00,
            1.20)))</f>
        <v/>
      </c>
      <c r="L6422">
        <f>LET(
    arrears_months,'Loan Tape (S&amp;P)'!AN6422,
    IF(arrears_months=0,1.00,
    IF(arrears_months=1,3.00,
    IF(arrears_months=2,5.00,
    IF(arrears_months=3,8.00,
    IF(arrears_months=4,10.00,
    IF(arrears_months=5,12.00,15.00)))))))</f>
        <v/>
      </c>
      <c r="M6422">
        <f>LET(
    seasoning_years,DATEDIF('Loan Tape (S&amp;P)'!K6422,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22">
        <f>IF(AND('Loan Tape (S&amp;P)'!U6422="Yes",
        'Loan Tape (S&amp;P)'!T6422&lt;&gt;"Yes",
        DATEDIF('Loan Tape (S&amp;P)'!K6422, TODAY(), "M")&lt;18),
    1.10,
    1.00)</f>
        <v/>
      </c>
      <c r="O6422">
        <f>IF('Loan Tape (S&amp;P)'!T6422="Yes",
    1.35,
    1.00)</f>
        <v/>
      </c>
      <c r="P6422">
        <f>IF('Loan Tape (S&amp;P)'!S6422="Yes",
    1.15,
    1.00)</f>
        <v/>
      </c>
      <c r="Q6422">
        <f>IF('Loan Tape (S&amp;P)'!V6422="Yes",
    1.20,
    1.00)</f>
        <v/>
      </c>
      <c r="T6422">
        <f>LET(
    payment_method,'Loan Tape (S&amp;P)'!P6422,
    occupancy,'Loan Tape (S&amp;P)'!N6422,
    maturity_date,'Loan Tape (S&amp;P)'!L6422,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23">
      <c r="J6423">
        <f>LET(
    lien,'Loan Tape (S&amp;P)'!Q6423,
    IF(lien="First",1.00,
        IF(lien="Second",1.50,
            1.70)))</f>
        <v/>
      </c>
      <c r="K6423">
        <f>LET(
    purpose,'Loan Tape (S&amp;P)'!R6423,
    IF(purpose="Purchase",1.00,
        IF(purpose="Remortgage",1.00,
            1.20)))</f>
        <v/>
      </c>
      <c r="L6423">
        <f>LET(
    arrears_months,'Loan Tape (S&amp;P)'!AN6423,
    IF(arrears_months=0,1.00,
    IF(arrears_months=1,3.00,
    IF(arrears_months=2,5.00,
    IF(arrears_months=3,8.00,
    IF(arrears_months=4,10.00,
    IF(arrears_months=5,12.00,15.00)))))))</f>
        <v/>
      </c>
      <c r="M6423">
        <f>LET(
    seasoning_years,DATEDIF('Loan Tape (S&amp;P)'!K6423,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23">
        <f>IF(AND('Loan Tape (S&amp;P)'!U6423="Yes",
        'Loan Tape (S&amp;P)'!T6423&lt;&gt;"Yes",
        DATEDIF('Loan Tape (S&amp;P)'!K6423, TODAY(), "M")&lt;18),
    1.10,
    1.00)</f>
        <v/>
      </c>
      <c r="O6423">
        <f>IF('Loan Tape (S&amp;P)'!T6423="Yes",
    1.35,
    1.00)</f>
        <v/>
      </c>
      <c r="P6423">
        <f>IF('Loan Tape (S&amp;P)'!S6423="Yes",
    1.15,
    1.00)</f>
        <v/>
      </c>
      <c r="Q6423">
        <f>IF('Loan Tape (S&amp;P)'!V6423="Yes",
    1.20,
    1.00)</f>
        <v/>
      </c>
      <c r="T6423">
        <f>LET(
    payment_method,'Loan Tape (S&amp;P)'!P6423,
    occupancy,'Loan Tape (S&amp;P)'!N6423,
    maturity_date,'Loan Tape (S&amp;P)'!L6423,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24">
      <c r="J6424">
        <f>LET(
    lien,'Loan Tape (S&amp;P)'!Q6424,
    IF(lien="First",1.00,
        IF(lien="Second",1.50,
            1.70)))</f>
        <v/>
      </c>
      <c r="K6424">
        <f>LET(
    purpose,'Loan Tape (S&amp;P)'!R6424,
    IF(purpose="Purchase",1.00,
        IF(purpose="Remortgage",1.00,
            1.20)))</f>
        <v/>
      </c>
      <c r="L6424">
        <f>LET(
    arrears_months,'Loan Tape (S&amp;P)'!AN6424,
    IF(arrears_months=0,1.00,
    IF(arrears_months=1,3.00,
    IF(arrears_months=2,5.00,
    IF(arrears_months=3,8.00,
    IF(arrears_months=4,10.00,
    IF(arrears_months=5,12.00,15.00)))))))</f>
        <v/>
      </c>
      <c r="M6424">
        <f>LET(
    seasoning_years,DATEDIF('Loan Tape (S&amp;P)'!K6424,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24">
        <f>IF(AND('Loan Tape (S&amp;P)'!U6424="Yes",
        'Loan Tape (S&amp;P)'!T6424&lt;&gt;"Yes",
        DATEDIF('Loan Tape (S&amp;P)'!K6424, TODAY(), "M")&lt;18),
    1.10,
    1.00)</f>
        <v/>
      </c>
      <c r="O6424">
        <f>IF('Loan Tape (S&amp;P)'!T6424="Yes",
    1.35,
    1.00)</f>
        <v/>
      </c>
      <c r="P6424">
        <f>IF('Loan Tape (S&amp;P)'!S6424="Yes",
    1.15,
    1.00)</f>
        <v/>
      </c>
      <c r="Q6424">
        <f>IF('Loan Tape (S&amp;P)'!V6424="Yes",
    1.20,
    1.00)</f>
        <v/>
      </c>
      <c r="T6424">
        <f>LET(
    payment_method,'Loan Tape (S&amp;P)'!P6424,
    occupancy,'Loan Tape (S&amp;P)'!N6424,
    maturity_date,'Loan Tape (S&amp;P)'!L6424,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25">
      <c r="J6425">
        <f>LET(
    lien,'Loan Tape (S&amp;P)'!Q6425,
    IF(lien="First",1.00,
        IF(lien="Second",1.50,
            1.70)))</f>
        <v/>
      </c>
      <c r="K6425">
        <f>LET(
    purpose,'Loan Tape (S&amp;P)'!R6425,
    IF(purpose="Purchase",1.00,
        IF(purpose="Remortgage",1.00,
            1.20)))</f>
        <v/>
      </c>
      <c r="L6425">
        <f>LET(
    arrears_months,'Loan Tape (S&amp;P)'!AN6425,
    IF(arrears_months=0,1.00,
    IF(arrears_months=1,3.00,
    IF(arrears_months=2,5.00,
    IF(arrears_months=3,8.00,
    IF(arrears_months=4,10.00,
    IF(arrears_months=5,12.00,15.00)))))))</f>
        <v/>
      </c>
      <c r="M6425">
        <f>LET(
    seasoning_years,DATEDIF('Loan Tape (S&amp;P)'!K6425,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25">
        <f>IF(AND('Loan Tape (S&amp;P)'!U6425="Yes",
        'Loan Tape (S&amp;P)'!T6425&lt;&gt;"Yes",
        DATEDIF('Loan Tape (S&amp;P)'!K6425, TODAY(), "M")&lt;18),
    1.10,
    1.00)</f>
        <v/>
      </c>
      <c r="O6425">
        <f>IF('Loan Tape (S&amp;P)'!T6425="Yes",
    1.35,
    1.00)</f>
        <v/>
      </c>
      <c r="P6425">
        <f>IF('Loan Tape (S&amp;P)'!S6425="Yes",
    1.15,
    1.00)</f>
        <v/>
      </c>
      <c r="Q6425">
        <f>IF('Loan Tape (S&amp;P)'!V6425="Yes",
    1.20,
    1.00)</f>
        <v/>
      </c>
      <c r="T6425">
        <f>LET(
    payment_method,'Loan Tape (S&amp;P)'!P6425,
    occupancy,'Loan Tape (S&amp;P)'!N6425,
    maturity_date,'Loan Tape (S&amp;P)'!L6425,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26">
      <c r="J6426">
        <f>LET(
    lien,'Loan Tape (S&amp;P)'!Q6426,
    IF(lien="First",1.00,
        IF(lien="Second",1.50,
            1.70)))</f>
        <v/>
      </c>
      <c r="K6426">
        <f>LET(
    purpose,'Loan Tape (S&amp;P)'!R6426,
    IF(purpose="Purchase",1.00,
        IF(purpose="Remortgage",1.00,
            1.20)))</f>
        <v/>
      </c>
      <c r="L6426">
        <f>LET(
    arrears_months,'Loan Tape (S&amp;P)'!AN6426,
    IF(arrears_months=0,1.00,
    IF(arrears_months=1,3.00,
    IF(arrears_months=2,5.00,
    IF(arrears_months=3,8.00,
    IF(arrears_months=4,10.00,
    IF(arrears_months=5,12.00,15.00)))))))</f>
        <v/>
      </c>
      <c r="M6426">
        <f>LET(
    seasoning_years,DATEDIF('Loan Tape (S&amp;P)'!K6426,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26">
        <f>IF(AND('Loan Tape (S&amp;P)'!U6426="Yes",
        'Loan Tape (S&amp;P)'!T6426&lt;&gt;"Yes",
        DATEDIF('Loan Tape (S&amp;P)'!K6426, TODAY(), "M")&lt;18),
    1.10,
    1.00)</f>
        <v/>
      </c>
      <c r="O6426">
        <f>IF('Loan Tape (S&amp;P)'!T6426="Yes",
    1.35,
    1.00)</f>
        <v/>
      </c>
      <c r="P6426">
        <f>IF('Loan Tape (S&amp;P)'!S6426="Yes",
    1.15,
    1.00)</f>
        <v/>
      </c>
      <c r="Q6426">
        <f>IF('Loan Tape (S&amp;P)'!V6426="Yes",
    1.20,
    1.00)</f>
        <v/>
      </c>
      <c r="T6426">
        <f>LET(
    payment_method,'Loan Tape (S&amp;P)'!P6426,
    occupancy,'Loan Tape (S&amp;P)'!N6426,
    maturity_date,'Loan Tape (S&amp;P)'!L6426,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27">
      <c r="J6427">
        <f>LET(
    lien,'Loan Tape (S&amp;P)'!Q6427,
    IF(lien="First",1.00,
        IF(lien="Second",1.50,
            1.70)))</f>
        <v/>
      </c>
      <c r="K6427">
        <f>LET(
    purpose,'Loan Tape (S&amp;P)'!R6427,
    IF(purpose="Purchase",1.00,
        IF(purpose="Remortgage",1.00,
            1.20)))</f>
        <v/>
      </c>
      <c r="L6427">
        <f>LET(
    arrears_months,'Loan Tape (S&amp;P)'!AN6427,
    IF(arrears_months=0,1.00,
    IF(arrears_months=1,3.00,
    IF(arrears_months=2,5.00,
    IF(arrears_months=3,8.00,
    IF(arrears_months=4,10.00,
    IF(arrears_months=5,12.00,15.00)))))))</f>
        <v/>
      </c>
      <c r="M6427">
        <f>LET(
    seasoning_years,DATEDIF('Loan Tape (S&amp;P)'!K6427,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27">
        <f>IF(AND('Loan Tape (S&amp;P)'!U6427="Yes",
        'Loan Tape (S&amp;P)'!T6427&lt;&gt;"Yes",
        DATEDIF('Loan Tape (S&amp;P)'!K6427, TODAY(), "M")&lt;18),
    1.10,
    1.00)</f>
        <v/>
      </c>
      <c r="O6427">
        <f>IF('Loan Tape (S&amp;P)'!T6427="Yes",
    1.35,
    1.00)</f>
        <v/>
      </c>
      <c r="P6427">
        <f>IF('Loan Tape (S&amp;P)'!S6427="Yes",
    1.15,
    1.00)</f>
        <v/>
      </c>
      <c r="Q6427">
        <f>IF('Loan Tape (S&amp;P)'!V6427="Yes",
    1.20,
    1.00)</f>
        <v/>
      </c>
      <c r="T6427">
        <f>LET(
    payment_method,'Loan Tape (S&amp;P)'!P6427,
    occupancy,'Loan Tape (S&amp;P)'!N6427,
    maturity_date,'Loan Tape (S&amp;P)'!L6427,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28">
      <c r="J6428">
        <f>LET(
    lien,'Loan Tape (S&amp;P)'!Q6428,
    IF(lien="First",1.00,
        IF(lien="Second",1.50,
            1.70)))</f>
        <v/>
      </c>
      <c r="K6428">
        <f>LET(
    purpose,'Loan Tape (S&amp;P)'!R6428,
    IF(purpose="Purchase",1.00,
        IF(purpose="Remortgage",1.00,
            1.20)))</f>
        <v/>
      </c>
      <c r="L6428">
        <f>LET(
    arrears_months,'Loan Tape (S&amp;P)'!AN6428,
    IF(arrears_months=0,1.00,
    IF(arrears_months=1,3.00,
    IF(arrears_months=2,5.00,
    IF(arrears_months=3,8.00,
    IF(arrears_months=4,10.00,
    IF(arrears_months=5,12.00,15.00)))))))</f>
        <v/>
      </c>
      <c r="M6428">
        <f>LET(
    seasoning_years,DATEDIF('Loan Tape (S&amp;P)'!K6428,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28">
        <f>IF(AND('Loan Tape (S&amp;P)'!U6428="Yes",
        'Loan Tape (S&amp;P)'!T6428&lt;&gt;"Yes",
        DATEDIF('Loan Tape (S&amp;P)'!K6428, TODAY(), "M")&lt;18),
    1.10,
    1.00)</f>
        <v/>
      </c>
      <c r="O6428">
        <f>IF('Loan Tape (S&amp;P)'!T6428="Yes",
    1.35,
    1.00)</f>
        <v/>
      </c>
      <c r="P6428">
        <f>IF('Loan Tape (S&amp;P)'!S6428="Yes",
    1.15,
    1.00)</f>
        <v/>
      </c>
      <c r="Q6428">
        <f>IF('Loan Tape (S&amp;P)'!V6428="Yes",
    1.20,
    1.00)</f>
        <v/>
      </c>
      <c r="T6428">
        <f>LET(
    payment_method,'Loan Tape (S&amp;P)'!P6428,
    occupancy,'Loan Tape (S&amp;P)'!N6428,
    maturity_date,'Loan Tape (S&amp;P)'!L6428,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29">
      <c r="J6429">
        <f>LET(
    lien,'Loan Tape (S&amp;P)'!Q6429,
    IF(lien="First",1.00,
        IF(lien="Second",1.50,
            1.70)))</f>
        <v/>
      </c>
      <c r="K6429">
        <f>LET(
    purpose,'Loan Tape (S&amp;P)'!R6429,
    IF(purpose="Purchase",1.00,
        IF(purpose="Remortgage",1.00,
            1.20)))</f>
        <v/>
      </c>
      <c r="L6429">
        <f>LET(
    arrears_months,'Loan Tape (S&amp;P)'!AN6429,
    IF(arrears_months=0,1.00,
    IF(arrears_months=1,3.00,
    IF(arrears_months=2,5.00,
    IF(arrears_months=3,8.00,
    IF(arrears_months=4,10.00,
    IF(arrears_months=5,12.00,15.00)))))))</f>
        <v/>
      </c>
      <c r="M6429">
        <f>LET(
    seasoning_years,DATEDIF('Loan Tape (S&amp;P)'!K6429,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29">
        <f>IF(AND('Loan Tape (S&amp;P)'!U6429="Yes",
        'Loan Tape (S&amp;P)'!T6429&lt;&gt;"Yes",
        DATEDIF('Loan Tape (S&amp;P)'!K6429, TODAY(), "M")&lt;18),
    1.10,
    1.00)</f>
        <v/>
      </c>
      <c r="O6429">
        <f>IF('Loan Tape (S&amp;P)'!T6429="Yes",
    1.35,
    1.00)</f>
        <v/>
      </c>
      <c r="P6429">
        <f>IF('Loan Tape (S&amp;P)'!S6429="Yes",
    1.15,
    1.00)</f>
        <v/>
      </c>
      <c r="Q6429">
        <f>IF('Loan Tape (S&amp;P)'!V6429="Yes",
    1.20,
    1.00)</f>
        <v/>
      </c>
      <c r="T6429">
        <f>LET(
    payment_method,'Loan Tape (S&amp;P)'!P6429,
    occupancy,'Loan Tape (S&amp;P)'!N6429,
    maturity_date,'Loan Tape (S&amp;P)'!L6429,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30">
      <c r="J6430">
        <f>LET(
    lien,'Loan Tape (S&amp;P)'!Q6430,
    IF(lien="First",1.00,
        IF(lien="Second",1.50,
            1.70)))</f>
        <v/>
      </c>
      <c r="K6430">
        <f>LET(
    purpose,'Loan Tape (S&amp;P)'!R6430,
    IF(purpose="Purchase",1.00,
        IF(purpose="Remortgage",1.00,
            1.20)))</f>
        <v/>
      </c>
      <c r="L6430">
        <f>LET(
    arrears_months,'Loan Tape (S&amp;P)'!AN6430,
    IF(arrears_months=0,1.00,
    IF(arrears_months=1,3.00,
    IF(arrears_months=2,5.00,
    IF(arrears_months=3,8.00,
    IF(arrears_months=4,10.00,
    IF(arrears_months=5,12.00,15.00)))))))</f>
        <v/>
      </c>
      <c r="M6430">
        <f>LET(
    seasoning_years,DATEDIF('Loan Tape (S&amp;P)'!K6430,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30">
        <f>IF(AND('Loan Tape (S&amp;P)'!U6430="Yes",
        'Loan Tape (S&amp;P)'!T6430&lt;&gt;"Yes",
        DATEDIF('Loan Tape (S&amp;P)'!K6430, TODAY(), "M")&lt;18),
    1.10,
    1.00)</f>
        <v/>
      </c>
      <c r="O6430">
        <f>IF('Loan Tape (S&amp;P)'!T6430="Yes",
    1.35,
    1.00)</f>
        <v/>
      </c>
      <c r="P6430">
        <f>IF('Loan Tape (S&amp;P)'!S6430="Yes",
    1.15,
    1.00)</f>
        <v/>
      </c>
      <c r="Q6430">
        <f>IF('Loan Tape (S&amp;P)'!V6430="Yes",
    1.20,
    1.00)</f>
        <v/>
      </c>
      <c r="T6430">
        <f>LET(
    payment_method,'Loan Tape (S&amp;P)'!P6430,
    occupancy,'Loan Tape (S&amp;P)'!N6430,
    maturity_date,'Loan Tape (S&amp;P)'!L6430,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31">
      <c r="J6431">
        <f>LET(
    lien,'Loan Tape (S&amp;P)'!Q6431,
    IF(lien="First",1.00,
        IF(lien="Second",1.50,
            1.70)))</f>
        <v/>
      </c>
      <c r="K6431">
        <f>LET(
    purpose,'Loan Tape (S&amp;P)'!R6431,
    IF(purpose="Purchase",1.00,
        IF(purpose="Remortgage",1.00,
            1.20)))</f>
        <v/>
      </c>
      <c r="L6431">
        <f>LET(
    arrears_months,'Loan Tape (S&amp;P)'!AN6431,
    IF(arrears_months=0,1.00,
    IF(arrears_months=1,3.00,
    IF(arrears_months=2,5.00,
    IF(arrears_months=3,8.00,
    IF(arrears_months=4,10.00,
    IF(arrears_months=5,12.00,15.00)))))))</f>
        <v/>
      </c>
      <c r="M6431">
        <f>LET(
    seasoning_years,DATEDIF('Loan Tape (S&amp;P)'!K6431,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31">
        <f>IF(AND('Loan Tape (S&amp;P)'!U6431="Yes",
        'Loan Tape (S&amp;P)'!T6431&lt;&gt;"Yes",
        DATEDIF('Loan Tape (S&amp;P)'!K6431, TODAY(), "M")&lt;18),
    1.10,
    1.00)</f>
        <v/>
      </c>
      <c r="O6431">
        <f>IF('Loan Tape (S&amp;P)'!T6431="Yes",
    1.35,
    1.00)</f>
        <v/>
      </c>
      <c r="P6431">
        <f>IF('Loan Tape (S&amp;P)'!S6431="Yes",
    1.15,
    1.00)</f>
        <v/>
      </c>
      <c r="Q6431">
        <f>IF('Loan Tape (S&amp;P)'!V6431="Yes",
    1.20,
    1.00)</f>
        <v/>
      </c>
      <c r="T6431">
        <f>LET(
    payment_method,'Loan Tape (S&amp;P)'!P6431,
    occupancy,'Loan Tape (S&amp;P)'!N6431,
    maturity_date,'Loan Tape (S&amp;P)'!L6431,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32">
      <c r="J6432">
        <f>LET(
    lien,'Loan Tape (S&amp;P)'!Q6432,
    IF(lien="First",1.00,
        IF(lien="Second",1.50,
            1.70)))</f>
        <v/>
      </c>
      <c r="K6432">
        <f>LET(
    purpose,'Loan Tape (S&amp;P)'!R6432,
    IF(purpose="Purchase",1.00,
        IF(purpose="Remortgage",1.00,
            1.20)))</f>
        <v/>
      </c>
      <c r="L6432">
        <f>LET(
    arrears_months,'Loan Tape (S&amp;P)'!AN6432,
    IF(arrears_months=0,1.00,
    IF(arrears_months=1,3.00,
    IF(arrears_months=2,5.00,
    IF(arrears_months=3,8.00,
    IF(arrears_months=4,10.00,
    IF(arrears_months=5,12.00,15.00)))))))</f>
        <v/>
      </c>
      <c r="M6432">
        <f>LET(
    seasoning_years,DATEDIF('Loan Tape (S&amp;P)'!K6432,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32">
        <f>IF(AND('Loan Tape (S&amp;P)'!U6432="Yes",
        'Loan Tape (S&amp;P)'!T6432&lt;&gt;"Yes",
        DATEDIF('Loan Tape (S&amp;P)'!K6432, TODAY(), "M")&lt;18),
    1.10,
    1.00)</f>
        <v/>
      </c>
      <c r="O6432">
        <f>IF('Loan Tape (S&amp;P)'!T6432="Yes",
    1.35,
    1.00)</f>
        <v/>
      </c>
      <c r="P6432">
        <f>IF('Loan Tape (S&amp;P)'!S6432="Yes",
    1.15,
    1.00)</f>
        <v/>
      </c>
      <c r="Q6432">
        <f>IF('Loan Tape (S&amp;P)'!V6432="Yes",
    1.20,
    1.00)</f>
        <v/>
      </c>
      <c r="T6432">
        <f>LET(
    payment_method,'Loan Tape (S&amp;P)'!P6432,
    occupancy,'Loan Tape (S&amp;P)'!N6432,
    maturity_date,'Loan Tape (S&amp;P)'!L6432,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33">
      <c r="J6433">
        <f>LET(
    lien,'Loan Tape (S&amp;P)'!Q6433,
    IF(lien="First",1.00,
        IF(lien="Second",1.50,
            1.70)))</f>
        <v/>
      </c>
      <c r="K6433">
        <f>LET(
    purpose,'Loan Tape (S&amp;P)'!R6433,
    IF(purpose="Purchase",1.00,
        IF(purpose="Remortgage",1.00,
            1.20)))</f>
        <v/>
      </c>
      <c r="L6433">
        <f>LET(
    arrears_months,'Loan Tape (S&amp;P)'!AN6433,
    IF(arrears_months=0,1.00,
    IF(arrears_months=1,3.00,
    IF(arrears_months=2,5.00,
    IF(arrears_months=3,8.00,
    IF(arrears_months=4,10.00,
    IF(arrears_months=5,12.00,15.00)))))))</f>
        <v/>
      </c>
      <c r="M6433">
        <f>LET(
    seasoning_years,DATEDIF('Loan Tape (S&amp;P)'!K6433,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33">
        <f>IF(AND('Loan Tape (S&amp;P)'!U6433="Yes",
        'Loan Tape (S&amp;P)'!T6433&lt;&gt;"Yes",
        DATEDIF('Loan Tape (S&amp;P)'!K6433, TODAY(), "M")&lt;18),
    1.10,
    1.00)</f>
        <v/>
      </c>
      <c r="O6433">
        <f>IF('Loan Tape (S&amp;P)'!T6433="Yes",
    1.35,
    1.00)</f>
        <v/>
      </c>
      <c r="P6433">
        <f>IF('Loan Tape (S&amp;P)'!S6433="Yes",
    1.15,
    1.00)</f>
        <v/>
      </c>
      <c r="Q6433">
        <f>IF('Loan Tape (S&amp;P)'!V6433="Yes",
    1.20,
    1.00)</f>
        <v/>
      </c>
      <c r="T6433">
        <f>LET(
    payment_method,'Loan Tape (S&amp;P)'!P6433,
    occupancy,'Loan Tape (S&amp;P)'!N6433,
    maturity_date,'Loan Tape (S&amp;P)'!L6433,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34">
      <c r="J6434">
        <f>LET(
    lien,'Loan Tape (S&amp;P)'!Q6434,
    IF(lien="First",1.00,
        IF(lien="Second",1.50,
            1.70)))</f>
        <v/>
      </c>
      <c r="K6434">
        <f>LET(
    purpose,'Loan Tape (S&amp;P)'!R6434,
    IF(purpose="Purchase",1.00,
        IF(purpose="Remortgage",1.00,
            1.20)))</f>
        <v/>
      </c>
      <c r="L6434">
        <f>LET(
    arrears_months,'Loan Tape (S&amp;P)'!AN6434,
    IF(arrears_months=0,1.00,
    IF(arrears_months=1,3.00,
    IF(arrears_months=2,5.00,
    IF(arrears_months=3,8.00,
    IF(arrears_months=4,10.00,
    IF(arrears_months=5,12.00,15.00)))))))</f>
        <v/>
      </c>
      <c r="M6434">
        <f>LET(
    seasoning_years,DATEDIF('Loan Tape (S&amp;P)'!K6434,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34">
        <f>IF(AND('Loan Tape (S&amp;P)'!U6434="Yes",
        'Loan Tape (S&amp;P)'!T6434&lt;&gt;"Yes",
        DATEDIF('Loan Tape (S&amp;P)'!K6434, TODAY(), "M")&lt;18),
    1.10,
    1.00)</f>
        <v/>
      </c>
      <c r="O6434">
        <f>IF('Loan Tape (S&amp;P)'!T6434="Yes",
    1.35,
    1.00)</f>
        <v/>
      </c>
      <c r="P6434">
        <f>IF('Loan Tape (S&amp;P)'!S6434="Yes",
    1.15,
    1.00)</f>
        <v/>
      </c>
      <c r="Q6434">
        <f>IF('Loan Tape (S&amp;P)'!V6434="Yes",
    1.20,
    1.00)</f>
        <v/>
      </c>
      <c r="T6434">
        <f>LET(
    payment_method,'Loan Tape (S&amp;P)'!P6434,
    occupancy,'Loan Tape (S&amp;P)'!N6434,
    maturity_date,'Loan Tape (S&amp;P)'!L6434,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35">
      <c r="J6435">
        <f>LET(
    lien,'Loan Tape (S&amp;P)'!Q6435,
    IF(lien="First",1.00,
        IF(lien="Second",1.50,
            1.70)))</f>
        <v/>
      </c>
      <c r="K6435">
        <f>LET(
    purpose,'Loan Tape (S&amp;P)'!R6435,
    IF(purpose="Purchase",1.00,
        IF(purpose="Remortgage",1.00,
            1.20)))</f>
        <v/>
      </c>
      <c r="L6435">
        <f>LET(
    arrears_months,'Loan Tape (S&amp;P)'!AN6435,
    IF(arrears_months=0,1.00,
    IF(arrears_months=1,3.00,
    IF(arrears_months=2,5.00,
    IF(arrears_months=3,8.00,
    IF(arrears_months=4,10.00,
    IF(arrears_months=5,12.00,15.00)))))))</f>
        <v/>
      </c>
      <c r="M6435">
        <f>LET(
    seasoning_years,DATEDIF('Loan Tape (S&amp;P)'!K6435,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35">
        <f>IF(AND('Loan Tape (S&amp;P)'!U6435="Yes",
        'Loan Tape (S&amp;P)'!T6435&lt;&gt;"Yes",
        DATEDIF('Loan Tape (S&amp;P)'!K6435, TODAY(), "M")&lt;18),
    1.10,
    1.00)</f>
        <v/>
      </c>
      <c r="O6435">
        <f>IF('Loan Tape (S&amp;P)'!T6435="Yes",
    1.35,
    1.00)</f>
        <v/>
      </c>
      <c r="P6435">
        <f>IF('Loan Tape (S&amp;P)'!S6435="Yes",
    1.15,
    1.00)</f>
        <v/>
      </c>
      <c r="Q6435">
        <f>IF('Loan Tape (S&amp;P)'!V6435="Yes",
    1.20,
    1.00)</f>
        <v/>
      </c>
      <c r="T6435">
        <f>LET(
    payment_method,'Loan Tape (S&amp;P)'!P6435,
    occupancy,'Loan Tape (S&amp;P)'!N6435,
    maturity_date,'Loan Tape (S&amp;P)'!L6435,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36">
      <c r="J6436">
        <f>LET(
    lien,'Loan Tape (S&amp;P)'!Q6436,
    IF(lien="First",1.00,
        IF(lien="Second",1.50,
            1.70)))</f>
        <v/>
      </c>
      <c r="K6436">
        <f>LET(
    purpose,'Loan Tape (S&amp;P)'!R6436,
    IF(purpose="Purchase",1.00,
        IF(purpose="Remortgage",1.00,
            1.20)))</f>
        <v/>
      </c>
      <c r="L6436">
        <f>LET(
    arrears_months,'Loan Tape (S&amp;P)'!AN6436,
    IF(arrears_months=0,1.00,
    IF(arrears_months=1,3.00,
    IF(arrears_months=2,5.00,
    IF(arrears_months=3,8.00,
    IF(arrears_months=4,10.00,
    IF(arrears_months=5,12.00,15.00)))))))</f>
        <v/>
      </c>
      <c r="M6436">
        <f>LET(
    seasoning_years,DATEDIF('Loan Tape (S&amp;P)'!K6436,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36">
        <f>IF(AND('Loan Tape (S&amp;P)'!U6436="Yes",
        'Loan Tape (S&amp;P)'!T6436&lt;&gt;"Yes",
        DATEDIF('Loan Tape (S&amp;P)'!K6436, TODAY(), "M")&lt;18),
    1.10,
    1.00)</f>
        <v/>
      </c>
      <c r="O6436">
        <f>IF('Loan Tape (S&amp;P)'!T6436="Yes",
    1.35,
    1.00)</f>
        <v/>
      </c>
      <c r="P6436">
        <f>IF('Loan Tape (S&amp;P)'!S6436="Yes",
    1.15,
    1.00)</f>
        <v/>
      </c>
      <c r="Q6436">
        <f>IF('Loan Tape (S&amp;P)'!V6436="Yes",
    1.20,
    1.00)</f>
        <v/>
      </c>
      <c r="T6436">
        <f>LET(
    payment_method,'Loan Tape (S&amp;P)'!P6436,
    occupancy,'Loan Tape (S&amp;P)'!N6436,
    maturity_date,'Loan Tape (S&amp;P)'!L6436,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37">
      <c r="J6437">
        <f>LET(
    lien,'Loan Tape (S&amp;P)'!Q6437,
    IF(lien="First",1.00,
        IF(lien="Second",1.50,
            1.70)))</f>
        <v/>
      </c>
      <c r="K6437">
        <f>LET(
    purpose,'Loan Tape (S&amp;P)'!R6437,
    IF(purpose="Purchase",1.00,
        IF(purpose="Remortgage",1.00,
            1.20)))</f>
        <v/>
      </c>
      <c r="L6437">
        <f>LET(
    arrears_months,'Loan Tape (S&amp;P)'!AN6437,
    IF(arrears_months=0,1.00,
    IF(arrears_months=1,3.00,
    IF(arrears_months=2,5.00,
    IF(arrears_months=3,8.00,
    IF(arrears_months=4,10.00,
    IF(arrears_months=5,12.00,15.00)))))))</f>
        <v/>
      </c>
      <c r="M6437">
        <f>LET(
    seasoning_years,DATEDIF('Loan Tape (S&amp;P)'!K6437,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37">
        <f>IF(AND('Loan Tape (S&amp;P)'!U6437="Yes",
        'Loan Tape (S&amp;P)'!T6437&lt;&gt;"Yes",
        DATEDIF('Loan Tape (S&amp;P)'!K6437, TODAY(), "M")&lt;18),
    1.10,
    1.00)</f>
        <v/>
      </c>
      <c r="O6437">
        <f>IF('Loan Tape (S&amp;P)'!T6437="Yes",
    1.35,
    1.00)</f>
        <v/>
      </c>
      <c r="P6437">
        <f>IF('Loan Tape (S&amp;P)'!S6437="Yes",
    1.15,
    1.00)</f>
        <v/>
      </c>
      <c r="Q6437">
        <f>IF('Loan Tape (S&amp;P)'!V6437="Yes",
    1.20,
    1.00)</f>
        <v/>
      </c>
      <c r="T6437">
        <f>LET(
    payment_method,'Loan Tape (S&amp;P)'!P6437,
    occupancy,'Loan Tape (S&amp;P)'!N6437,
    maturity_date,'Loan Tape (S&amp;P)'!L6437,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38">
      <c r="J6438">
        <f>LET(
    lien,'Loan Tape (S&amp;P)'!Q6438,
    IF(lien="First",1.00,
        IF(lien="Second",1.50,
            1.70)))</f>
        <v/>
      </c>
      <c r="K6438">
        <f>LET(
    purpose,'Loan Tape (S&amp;P)'!R6438,
    IF(purpose="Purchase",1.00,
        IF(purpose="Remortgage",1.00,
            1.20)))</f>
        <v/>
      </c>
      <c r="L6438">
        <f>LET(
    arrears_months,'Loan Tape (S&amp;P)'!AN6438,
    IF(arrears_months=0,1.00,
    IF(arrears_months=1,3.00,
    IF(arrears_months=2,5.00,
    IF(arrears_months=3,8.00,
    IF(arrears_months=4,10.00,
    IF(arrears_months=5,12.00,15.00)))))))</f>
        <v/>
      </c>
      <c r="M6438">
        <f>LET(
    seasoning_years,DATEDIF('Loan Tape (S&amp;P)'!K6438,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38">
        <f>IF(AND('Loan Tape (S&amp;P)'!U6438="Yes",
        'Loan Tape (S&amp;P)'!T6438&lt;&gt;"Yes",
        DATEDIF('Loan Tape (S&amp;P)'!K6438, TODAY(), "M")&lt;18),
    1.10,
    1.00)</f>
        <v/>
      </c>
      <c r="O6438">
        <f>IF('Loan Tape (S&amp;P)'!T6438="Yes",
    1.35,
    1.00)</f>
        <v/>
      </c>
      <c r="P6438">
        <f>IF('Loan Tape (S&amp;P)'!S6438="Yes",
    1.15,
    1.00)</f>
        <v/>
      </c>
      <c r="Q6438">
        <f>IF('Loan Tape (S&amp;P)'!V6438="Yes",
    1.20,
    1.00)</f>
        <v/>
      </c>
      <c r="T6438">
        <f>LET(
    payment_method,'Loan Tape (S&amp;P)'!P6438,
    occupancy,'Loan Tape (S&amp;P)'!N6438,
    maturity_date,'Loan Tape (S&amp;P)'!L6438,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39">
      <c r="J6439">
        <f>LET(
    lien,'Loan Tape (S&amp;P)'!Q6439,
    IF(lien="First",1.00,
        IF(lien="Second",1.50,
            1.70)))</f>
        <v/>
      </c>
      <c r="K6439">
        <f>LET(
    purpose,'Loan Tape (S&amp;P)'!R6439,
    IF(purpose="Purchase",1.00,
        IF(purpose="Remortgage",1.00,
            1.20)))</f>
        <v/>
      </c>
      <c r="L6439">
        <f>LET(
    arrears_months,'Loan Tape (S&amp;P)'!AN6439,
    IF(arrears_months=0,1.00,
    IF(arrears_months=1,3.00,
    IF(arrears_months=2,5.00,
    IF(arrears_months=3,8.00,
    IF(arrears_months=4,10.00,
    IF(arrears_months=5,12.00,15.00)))))))</f>
        <v/>
      </c>
      <c r="M6439">
        <f>LET(
    seasoning_years,DATEDIF('Loan Tape (S&amp;P)'!K6439,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39">
        <f>IF(AND('Loan Tape (S&amp;P)'!U6439="Yes",
        'Loan Tape (S&amp;P)'!T6439&lt;&gt;"Yes",
        DATEDIF('Loan Tape (S&amp;P)'!K6439, TODAY(), "M")&lt;18),
    1.10,
    1.00)</f>
        <v/>
      </c>
      <c r="O6439">
        <f>IF('Loan Tape (S&amp;P)'!T6439="Yes",
    1.35,
    1.00)</f>
        <v/>
      </c>
      <c r="P6439">
        <f>IF('Loan Tape (S&amp;P)'!S6439="Yes",
    1.15,
    1.00)</f>
        <v/>
      </c>
      <c r="Q6439">
        <f>IF('Loan Tape (S&amp;P)'!V6439="Yes",
    1.20,
    1.00)</f>
        <v/>
      </c>
      <c r="T6439">
        <f>LET(
    payment_method,'Loan Tape (S&amp;P)'!P6439,
    occupancy,'Loan Tape (S&amp;P)'!N6439,
    maturity_date,'Loan Tape (S&amp;P)'!L6439,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40">
      <c r="J6440">
        <f>LET(
    lien,'Loan Tape (S&amp;P)'!Q6440,
    IF(lien="First",1.00,
        IF(lien="Second",1.50,
            1.70)))</f>
        <v/>
      </c>
      <c r="K6440">
        <f>LET(
    purpose,'Loan Tape (S&amp;P)'!R6440,
    IF(purpose="Purchase",1.00,
        IF(purpose="Remortgage",1.00,
            1.20)))</f>
        <v/>
      </c>
      <c r="L6440">
        <f>LET(
    arrears_months,'Loan Tape (S&amp;P)'!AN6440,
    IF(arrears_months=0,1.00,
    IF(arrears_months=1,3.00,
    IF(arrears_months=2,5.00,
    IF(arrears_months=3,8.00,
    IF(arrears_months=4,10.00,
    IF(arrears_months=5,12.00,15.00)))))))</f>
        <v/>
      </c>
      <c r="M6440">
        <f>LET(
    seasoning_years,DATEDIF('Loan Tape (S&amp;P)'!K6440,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40">
        <f>IF(AND('Loan Tape (S&amp;P)'!U6440="Yes",
        'Loan Tape (S&amp;P)'!T6440&lt;&gt;"Yes",
        DATEDIF('Loan Tape (S&amp;P)'!K6440, TODAY(), "M")&lt;18),
    1.10,
    1.00)</f>
        <v/>
      </c>
      <c r="O6440">
        <f>IF('Loan Tape (S&amp;P)'!T6440="Yes",
    1.35,
    1.00)</f>
        <v/>
      </c>
      <c r="P6440">
        <f>IF('Loan Tape (S&amp;P)'!S6440="Yes",
    1.15,
    1.00)</f>
        <v/>
      </c>
      <c r="Q6440">
        <f>IF('Loan Tape (S&amp;P)'!V6440="Yes",
    1.20,
    1.00)</f>
        <v/>
      </c>
      <c r="T6440">
        <f>LET(
    payment_method,'Loan Tape (S&amp;P)'!P6440,
    occupancy,'Loan Tape (S&amp;P)'!N6440,
    maturity_date,'Loan Tape (S&amp;P)'!L6440,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41">
      <c r="J6441">
        <f>LET(
    lien,'Loan Tape (S&amp;P)'!Q6441,
    IF(lien="First",1.00,
        IF(lien="Second",1.50,
            1.70)))</f>
        <v/>
      </c>
      <c r="K6441">
        <f>LET(
    purpose,'Loan Tape (S&amp;P)'!R6441,
    IF(purpose="Purchase",1.00,
        IF(purpose="Remortgage",1.00,
            1.20)))</f>
        <v/>
      </c>
      <c r="L6441">
        <f>LET(
    arrears_months,'Loan Tape (S&amp;P)'!AN6441,
    IF(arrears_months=0,1.00,
    IF(arrears_months=1,3.00,
    IF(arrears_months=2,5.00,
    IF(arrears_months=3,8.00,
    IF(arrears_months=4,10.00,
    IF(arrears_months=5,12.00,15.00)))))))</f>
        <v/>
      </c>
      <c r="M6441">
        <f>LET(
    seasoning_years,DATEDIF('Loan Tape (S&amp;P)'!K6441,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41">
        <f>IF(AND('Loan Tape (S&amp;P)'!U6441="Yes",
        'Loan Tape (S&amp;P)'!T6441&lt;&gt;"Yes",
        DATEDIF('Loan Tape (S&amp;P)'!K6441, TODAY(), "M")&lt;18),
    1.10,
    1.00)</f>
        <v/>
      </c>
      <c r="O6441">
        <f>IF('Loan Tape (S&amp;P)'!T6441="Yes",
    1.35,
    1.00)</f>
        <v/>
      </c>
      <c r="P6441">
        <f>IF('Loan Tape (S&amp;P)'!S6441="Yes",
    1.15,
    1.00)</f>
        <v/>
      </c>
      <c r="Q6441">
        <f>IF('Loan Tape (S&amp;P)'!V6441="Yes",
    1.20,
    1.00)</f>
        <v/>
      </c>
      <c r="T6441">
        <f>LET(
    payment_method,'Loan Tape (S&amp;P)'!P6441,
    occupancy,'Loan Tape (S&amp;P)'!N6441,
    maturity_date,'Loan Tape (S&amp;P)'!L6441,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42">
      <c r="J6442">
        <f>LET(
    lien,'Loan Tape (S&amp;P)'!Q6442,
    IF(lien="First",1.00,
        IF(lien="Second",1.50,
            1.70)))</f>
        <v/>
      </c>
      <c r="K6442">
        <f>LET(
    purpose,'Loan Tape (S&amp;P)'!R6442,
    IF(purpose="Purchase",1.00,
        IF(purpose="Remortgage",1.00,
            1.20)))</f>
        <v/>
      </c>
      <c r="L6442">
        <f>LET(
    arrears_months,'Loan Tape (S&amp;P)'!AN6442,
    IF(arrears_months=0,1.00,
    IF(arrears_months=1,3.00,
    IF(arrears_months=2,5.00,
    IF(arrears_months=3,8.00,
    IF(arrears_months=4,10.00,
    IF(arrears_months=5,12.00,15.00)))))))</f>
        <v/>
      </c>
      <c r="M6442">
        <f>LET(
    seasoning_years,DATEDIF('Loan Tape (S&amp;P)'!K6442,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42">
        <f>IF(AND('Loan Tape (S&amp;P)'!U6442="Yes",
        'Loan Tape (S&amp;P)'!T6442&lt;&gt;"Yes",
        DATEDIF('Loan Tape (S&amp;P)'!K6442, TODAY(), "M")&lt;18),
    1.10,
    1.00)</f>
        <v/>
      </c>
      <c r="O6442">
        <f>IF('Loan Tape (S&amp;P)'!T6442="Yes",
    1.35,
    1.00)</f>
        <v/>
      </c>
      <c r="P6442">
        <f>IF('Loan Tape (S&amp;P)'!S6442="Yes",
    1.15,
    1.00)</f>
        <v/>
      </c>
      <c r="Q6442">
        <f>IF('Loan Tape (S&amp;P)'!V6442="Yes",
    1.20,
    1.00)</f>
        <v/>
      </c>
      <c r="T6442">
        <f>LET(
    payment_method,'Loan Tape (S&amp;P)'!P6442,
    occupancy,'Loan Tape (S&amp;P)'!N6442,
    maturity_date,'Loan Tape (S&amp;P)'!L6442,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43">
      <c r="J6443">
        <f>LET(
    lien,'Loan Tape (S&amp;P)'!Q6443,
    IF(lien="First",1.00,
        IF(lien="Second",1.50,
            1.70)))</f>
        <v/>
      </c>
      <c r="K6443">
        <f>LET(
    purpose,'Loan Tape (S&amp;P)'!R6443,
    IF(purpose="Purchase",1.00,
        IF(purpose="Remortgage",1.00,
            1.20)))</f>
        <v/>
      </c>
      <c r="L6443">
        <f>LET(
    arrears_months,'Loan Tape (S&amp;P)'!AN6443,
    IF(arrears_months=0,1.00,
    IF(arrears_months=1,3.00,
    IF(arrears_months=2,5.00,
    IF(arrears_months=3,8.00,
    IF(arrears_months=4,10.00,
    IF(arrears_months=5,12.00,15.00)))))))</f>
        <v/>
      </c>
      <c r="M6443">
        <f>LET(
    seasoning_years,DATEDIF('Loan Tape (S&amp;P)'!K6443,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43">
        <f>IF(AND('Loan Tape (S&amp;P)'!U6443="Yes",
        'Loan Tape (S&amp;P)'!T6443&lt;&gt;"Yes",
        DATEDIF('Loan Tape (S&amp;P)'!K6443, TODAY(), "M")&lt;18),
    1.10,
    1.00)</f>
        <v/>
      </c>
      <c r="O6443">
        <f>IF('Loan Tape (S&amp;P)'!T6443="Yes",
    1.35,
    1.00)</f>
        <v/>
      </c>
      <c r="P6443">
        <f>IF('Loan Tape (S&amp;P)'!S6443="Yes",
    1.15,
    1.00)</f>
        <v/>
      </c>
      <c r="Q6443">
        <f>IF('Loan Tape (S&amp;P)'!V6443="Yes",
    1.20,
    1.00)</f>
        <v/>
      </c>
      <c r="T6443">
        <f>LET(
    payment_method,'Loan Tape (S&amp;P)'!P6443,
    occupancy,'Loan Tape (S&amp;P)'!N6443,
    maturity_date,'Loan Tape (S&amp;P)'!L6443,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44">
      <c r="J6444">
        <f>LET(
    lien,'Loan Tape (S&amp;P)'!Q6444,
    IF(lien="First",1.00,
        IF(lien="Second",1.50,
            1.70)))</f>
        <v/>
      </c>
      <c r="K6444">
        <f>LET(
    purpose,'Loan Tape (S&amp;P)'!R6444,
    IF(purpose="Purchase",1.00,
        IF(purpose="Remortgage",1.00,
            1.20)))</f>
        <v/>
      </c>
      <c r="L6444">
        <f>LET(
    arrears_months,'Loan Tape (S&amp;P)'!AN6444,
    IF(arrears_months=0,1.00,
    IF(arrears_months=1,3.00,
    IF(arrears_months=2,5.00,
    IF(arrears_months=3,8.00,
    IF(arrears_months=4,10.00,
    IF(arrears_months=5,12.00,15.00)))))))</f>
        <v/>
      </c>
      <c r="M6444">
        <f>LET(
    seasoning_years,DATEDIF('Loan Tape (S&amp;P)'!K6444,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44">
        <f>IF(AND('Loan Tape (S&amp;P)'!U6444="Yes",
        'Loan Tape (S&amp;P)'!T6444&lt;&gt;"Yes",
        DATEDIF('Loan Tape (S&amp;P)'!K6444, TODAY(), "M")&lt;18),
    1.10,
    1.00)</f>
        <v/>
      </c>
      <c r="O6444">
        <f>IF('Loan Tape (S&amp;P)'!T6444="Yes",
    1.35,
    1.00)</f>
        <v/>
      </c>
      <c r="P6444">
        <f>IF('Loan Tape (S&amp;P)'!S6444="Yes",
    1.15,
    1.00)</f>
        <v/>
      </c>
      <c r="Q6444">
        <f>IF('Loan Tape (S&amp;P)'!V6444="Yes",
    1.20,
    1.00)</f>
        <v/>
      </c>
      <c r="T6444">
        <f>LET(
    payment_method,'Loan Tape (S&amp;P)'!P6444,
    occupancy,'Loan Tape (S&amp;P)'!N6444,
    maturity_date,'Loan Tape (S&amp;P)'!L6444,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45">
      <c r="J6445">
        <f>LET(
    lien,'Loan Tape (S&amp;P)'!Q6445,
    IF(lien="First",1.00,
        IF(lien="Second",1.50,
            1.70)))</f>
        <v/>
      </c>
      <c r="K6445">
        <f>LET(
    purpose,'Loan Tape (S&amp;P)'!R6445,
    IF(purpose="Purchase",1.00,
        IF(purpose="Remortgage",1.00,
            1.20)))</f>
        <v/>
      </c>
      <c r="L6445">
        <f>LET(
    arrears_months,'Loan Tape (S&amp;P)'!AN6445,
    IF(arrears_months=0,1.00,
    IF(arrears_months=1,3.00,
    IF(arrears_months=2,5.00,
    IF(arrears_months=3,8.00,
    IF(arrears_months=4,10.00,
    IF(arrears_months=5,12.00,15.00)))))))</f>
        <v/>
      </c>
      <c r="M6445">
        <f>LET(
    seasoning_years,DATEDIF('Loan Tape (S&amp;P)'!K6445,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45">
        <f>IF(AND('Loan Tape (S&amp;P)'!U6445="Yes",
        'Loan Tape (S&amp;P)'!T6445&lt;&gt;"Yes",
        DATEDIF('Loan Tape (S&amp;P)'!K6445, TODAY(), "M")&lt;18),
    1.10,
    1.00)</f>
        <v/>
      </c>
      <c r="O6445">
        <f>IF('Loan Tape (S&amp;P)'!T6445="Yes",
    1.35,
    1.00)</f>
        <v/>
      </c>
      <c r="P6445">
        <f>IF('Loan Tape (S&amp;P)'!S6445="Yes",
    1.15,
    1.00)</f>
        <v/>
      </c>
      <c r="Q6445">
        <f>IF('Loan Tape (S&amp;P)'!V6445="Yes",
    1.20,
    1.00)</f>
        <v/>
      </c>
      <c r="T6445">
        <f>LET(
    payment_method,'Loan Tape (S&amp;P)'!P6445,
    occupancy,'Loan Tape (S&amp;P)'!N6445,
    maturity_date,'Loan Tape (S&amp;P)'!L6445,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46">
      <c r="J6446">
        <f>LET(
    lien,'Loan Tape (S&amp;P)'!Q6446,
    IF(lien="First",1.00,
        IF(lien="Second",1.50,
            1.70)))</f>
        <v/>
      </c>
      <c r="K6446">
        <f>LET(
    purpose,'Loan Tape (S&amp;P)'!R6446,
    IF(purpose="Purchase",1.00,
        IF(purpose="Remortgage",1.00,
            1.20)))</f>
        <v/>
      </c>
      <c r="L6446">
        <f>LET(
    arrears_months,'Loan Tape (S&amp;P)'!AN6446,
    IF(arrears_months=0,1.00,
    IF(arrears_months=1,3.00,
    IF(arrears_months=2,5.00,
    IF(arrears_months=3,8.00,
    IF(arrears_months=4,10.00,
    IF(arrears_months=5,12.00,15.00)))))))</f>
        <v/>
      </c>
      <c r="M6446">
        <f>LET(
    seasoning_years,DATEDIF('Loan Tape (S&amp;P)'!K6446,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46">
        <f>IF(AND('Loan Tape (S&amp;P)'!U6446="Yes",
        'Loan Tape (S&amp;P)'!T6446&lt;&gt;"Yes",
        DATEDIF('Loan Tape (S&amp;P)'!K6446, TODAY(), "M")&lt;18),
    1.10,
    1.00)</f>
        <v/>
      </c>
      <c r="O6446">
        <f>IF('Loan Tape (S&amp;P)'!T6446="Yes",
    1.35,
    1.00)</f>
        <v/>
      </c>
      <c r="P6446">
        <f>IF('Loan Tape (S&amp;P)'!S6446="Yes",
    1.15,
    1.00)</f>
        <v/>
      </c>
      <c r="Q6446">
        <f>IF('Loan Tape (S&amp;P)'!V6446="Yes",
    1.20,
    1.00)</f>
        <v/>
      </c>
      <c r="T6446">
        <f>LET(
    payment_method,'Loan Tape (S&amp;P)'!P6446,
    occupancy,'Loan Tape (S&amp;P)'!N6446,
    maturity_date,'Loan Tape (S&amp;P)'!L6446,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47">
      <c r="J6447">
        <f>LET(
    lien,'Loan Tape (S&amp;P)'!Q6447,
    IF(lien="First",1.00,
        IF(lien="Second",1.50,
            1.70)))</f>
        <v/>
      </c>
      <c r="K6447">
        <f>LET(
    purpose,'Loan Tape (S&amp;P)'!R6447,
    IF(purpose="Purchase",1.00,
        IF(purpose="Remortgage",1.00,
            1.20)))</f>
        <v/>
      </c>
      <c r="L6447">
        <f>LET(
    arrears_months,'Loan Tape (S&amp;P)'!AN6447,
    IF(arrears_months=0,1.00,
    IF(arrears_months=1,3.00,
    IF(arrears_months=2,5.00,
    IF(arrears_months=3,8.00,
    IF(arrears_months=4,10.00,
    IF(arrears_months=5,12.00,15.00)))))))</f>
        <v/>
      </c>
      <c r="M6447">
        <f>LET(
    seasoning_years,DATEDIF('Loan Tape (S&amp;P)'!K6447,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47">
        <f>IF(AND('Loan Tape (S&amp;P)'!U6447="Yes",
        'Loan Tape (S&amp;P)'!T6447&lt;&gt;"Yes",
        DATEDIF('Loan Tape (S&amp;P)'!K6447, TODAY(), "M")&lt;18),
    1.10,
    1.00)</f>
        <v/>
      </c>
      <c r="O6447">
        <f>IF('Loan Tape (S&amp;P)'!T6447="Yes",
    1.35,
    1.00)</f>
        <v/>
      </c>
      <c r="P6447">
        <f>IF('Loan Tape (S&amp;P)'!S6447="Yes",
    1.15,
    1.00)</f>
        <v/>
      </c>
      <c r="Q6447">
        <f>IF('Loan Tape (S&amp;P)'!V6447="Yes",
    1.20,
    1.00)</f>
        <v/>
      </c>
      <c r="T6447">
        <f>LET(
    payment_method,'Loan Tape (S&amp;P)'!P6447,
    occupancy,'Loan Tape (S&amp;P)'!N6447,
    maturity_date,'Loan Tape (S&amp;P)'!L6447,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48">
      <c r="J6448">
        <f>LET(
    lien,'Loan Tape (S&amp;P)'!Q6448,
    IF(lien="First",1.00,
        IF(lien="Second",1.50,
            1.70)))</f>
        <v/>
      </c>
      <c r="K6448">
        <f>LET(
    purpose,'Loan Tape (S&amp;P)'!R6448,
    IF(purpose="Purchase",1.00,
        IF(purpose="Remortgage",1.00,
            1.20)))</f>
        <v/>
      </c>
      <c r="L6448">
        <f>LET(
    arrears_months,'Loan Tape (S&amp;P)'!AN6448,
    IF(arrears_months=0,1.00,
    IF(arrears_months=1,3.00,
    IF(arrears_months=2,5.00,
    IF(arrears_months=3,8.00,
    IF(arrears_months=4,10.00,
    IF(arrears_months=5,12.00,15.00)))))))</f>
        <v/>
      </c>
      <c r="M6448">
        <f>LET(
    seasoning_years,DATEDIF('Loan Tape (S&amp;P)'!K6448,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48">
        <f>IF(AND('Loan Tape (S&amp;P)'!U6448="Yes",
        'Loan Tape (S&amp;P)'!T6448&lt;&gt;"Yes",
        DATEDIF('Loan Tape (S&amp;P)'!K6448, TODAY(), "M")&lt;18),
    1.10,
    1.00)</f>
        <v/>
      </c>
      <c r="O6448">
        <f>IF('Loan Tape (S&amp;P)'!T6448="Yes",
    1.35,
    1.00)</f>
        <v/>
      </c>
      <c r="P6448">
        <f>IF('Loan Tape (S&amp;P)'!S6448="Yes",
    1.15,
    1.00)</f>
        <v/>
      </c>
      <c r="Q6448">
        <f>IF('Loan Tape (S&amp;P)'!V6448="Yes",
    1.20,
    1.00)</f>
        <v/>
      </c>
      <c r="T6448">
        <f>LET(
    payment_method,'Loan Tape (S&amp;P)'!P6448,
    occupancy,'Loan Tape (S&amp;P)'!N6448,
    maturity_date,'Loan Tape (S&amp;P)'!L6448,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49">
      <c r="J6449">
        <f>LET(
    lien,'Loan Tape (S&amp;P)'!Q6449,
    IF(lien="First",1.00,
        IF(lien="Second",1.50,
            1.70)))</f>
        <v/>
      </c>
      <c r="K6449">
        <f>LET(
    purpose,'Loan Tape (S&amp;P)'!R6449,
    IF(purpose="Purchase",1.00,
        IF(purpose="Remortgage",1.00,
            1.20)))</f>
        <v/>
      </c>
      <c r="L6449">
        <f>LET(
    arrears_months,'Loan Tape (S&amp;P)'!AN6449,
    IF(arrears_months=0,1.00,
    IF(arrears_months=1,3.00,
    IF(arrears_months=2,5.00,
    IF(arrears_months=3,8.00,
    IF(arrears_months=4,10.00,
    IF(arrears_months=5,12.00,15.00)))))))</f>
        <v/>
      </c>
      <c r="M6449">
        <f>LET(
    seasoning_years,DATEDIF('Loan Tape (S&amp;P)'!K6449,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49">
        <f>IF(AND('Loan Tape (S&amp;P)'!U6449="Yes",
        'Loan Tape (S&amp;P)'!T6449&lt;&gt;"Yes",
        DATEDIF('Loan Tape (S&amp;P)'!K6449, TODAY(), "M")&lt;18),
    1.10,
    1.00)</f>
        <v/>
      </c>
      <c r="O6449">
        <f>IF('Loan Tape (S&amp;P)'!T6449="Yes",
    1.35,
    1.00)</f>
        <v/>
      </c>
      <c r="P6449">
        <f>IF('Loan Tape (S&amp;P)'!S6449="Yes",
    1.15,
    1.00)</f>
        <v/>
      </c>
      <c r="Q6449">
        <f>IF('Loan Tape (S&amp;P)'!V6449="Yes",
    1.20,
    1.00)</f>
        <v/>
      </c>
      <c r="T6449">
        <f>LET(
    payment_method,'Loan Tape (S&amp;P)'!P6449,
    occupancy,'Loan Tape (S&amp;P)'!N6449,
    maturity_date,'Loan Tape (S&amp;P)'!L6449,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50">
      <c r="J6450">
        <f>LET(
    lien,'Loan Tape (S&amp;P)'!Q6450,
    IF(lien="First",1.00,
        IF(lien="Second",1.50,
            1.70)))</f>
        <v/>
      </c>
      <c r="K6450">
        <f>LET(
    purpose,'Loan Tape (S&amp;P)'!R6450,
    IF(purpose="Purchase",1.00,
        IF(purpose="Remortgage",1.00,
            1.20)))</f>
        <v/>
      </c>
      <c r="L6450">
        <f>LET(
    arrears_months,'Loan Tape (S&amp;P)'!AN6450,
    IF(arrears_months=0,1.00,
    IF(arrears_months=1,3.00,
    IF(arrears_months=2,5.00,
    IF(arrears_months=3,8.00,
    IF(arrears_months=4,10.00,
    IF(arrears_months=5,12.00,15.00)))))))</f>
        <v/>
      </c>
      <c r="M6450">
        <f>LET(
    seasoning_years,DATEDIF('Loan Tape (S&amp;P)'!K6450,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50">
        <f>IF(AND('Loan Tape (S&amp;P)'!U6450="Yes",
        'Loan Tape (S&amp;P)'!T6450&lt;&gt;"Yes",
        DATEDIF('Loan Tape (S&amp;P)'!K6450, TODAY(), "M")&lt;18),
    1.10,
    1.00)</f>
        <v/>
      </c>
      <c r="O6450">
        <f>IF('Loan Tape (S&amp;P)'!T6450="Yes",
    1.35,
    1.00)</f>
        <v/>
      </c>
      <c r="P6450">
        <f>IF('Loan Tape (S&amp;P)'!S6450="Yes",
    1.15,
    1.00)</f>
        <v/>
      </c>
      <c r="Q6450">
        <f>IF('Loan Tape (S&amp;P)'!V6450="Yes",
    1.20,
    1.00)</f>
        <v/>
      </c>
      <c r="T6450">
        <f>LET(
    payment_method,'Loan Tape (S&amp;P)'!P6450,
    occupancy,'Loan Tape (S&amp;P)'!N6450,
    maturity_date,'Loan Tape (S&amp;P)'!L6450,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51">
      <c r="J6451">
        <f>LET(
    lien,'Loan Tape (S&amp;P)'!Q6451,
    IF(lien="First",1.00,
        IF(lien="Second",1.50,
            1.70)))</f>
        <v/>
      </c>
      <c r="K6451">
        <f>LET(
    purpose,'Loan Tape (S&amp;P)'!R6451,
    IF(purpose="Purchase",1.00,
        IF(purpose="Remortgage",1.00,
            1.20)))</f>
        <v/>
      </c>
      <c r="L6451">
        <f>LET(
    arrears_months,'Loan Tape (S&amp;P)'!AN6451,
    IF(arrears_months=0,1.00,
    IF(arrears_months=1,3.00,
    IF(arrears_months=2,5.00,
    IF(arrears_months=3,8.00,
    IF(arrears_months=4,10.00,
    IF(arrears_months=5,12.00,15.00)))))))</f>
        <v/>
      </c>
      <c r="M6451">
        <f>LET(
    seasoning_years,DATEDIF('Loan Tape (S&amp;P)'!K6451,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51">
        <f>IF(AND('Loan Tape (S&amp;P)'!U6451="Yes",
        'Loan Tape (S&amp;P)'!T6451&lt;&gt;"Yes",
        DATEDIF('Loan Tape (S&amp;P)'!K6451, TODAY(), "M")&lt;18),
    1.10,
    1.00)</f>
        <v/>
      </c>
      <c r="O6451">
        <f>IF('Loan Tape (S&amp;P)'!T6451="Yes",
    1.35,
    1.00)</f>
        <v/>
      </c>
      <c r="P6451">
        <f>IF('Loan Tape (S&amp;P)'!S6451="Yes",
    1.15,
    1.00)</f>
        <v/>
      </c>
      <c r="Q6451">
        <f>IF('Loan Tape (S&amp;P)'!V6451="Yes",
    1.20,
    1.00)</f>
        <v/>
      </c>
      <c r="T6451">
        <f>LET(
    payment_method,'Loan Tape (S&amp;P)'!P6451,
    occupancy,'Loan Tape (S&amp;P)'!N6451,
    maturity_date,'Loan Tape (S&amp;P)'!L6451,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52">
      <c r="J6452">
        <f>LET(
    lien,'Loan Tape (S&amp;P)'!Q6452,
    IF(lien="First",1.00,
        IF(lien="Second",1.50,
            1.70)))</f>
        <v/>
      </c>
      <c r="K6452">
        <f>LET(
    purpose,'Loan Tape (S&amp;P)'!R6452,
    IF(purpose="Purchase",1.00,
        IF(purpose="Remortgage",1.00,
            1.20)))</f>
        <v/>
      </c>
      <c r="L6452">
        <f>LET(
    arrears_months,'Loan Tape (S&amp;P)'!AN6452,
    IF(arrears_months=0,1.00,
    IF(arrears_months=1,3.00,
    IF(arrears_months=2,5.00,
    IF(arrears_months=3,8.00,
    IF(arrears_months=4,10.00,
    IF(arrears_months=5,12.00,15.00)))))))</f>
        <v/>
      </c>
      <c r="M6452">
        <f>LET(
    seasoning_years,DATEDIF('Loan Tape (S&amp;P)'!K6452,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52">
        <f>IF(AND('Loan Tape (S&amp;P)'!U6452="Yes",
        'Loan Tape (S&amp;P)'!T6452&lt;&gt;"Yes",
        DATEDIF('Loan Tape (S&amp;P)'!K6452, TODAY(), "M")&lt;18),
    1.10,
    1.00)</f>
        <v/>
      </c>
      <c r="O6452">
        <f>IF('Loan Tape (S&amp;P)'!T6452="Yes",
    1.35,
    1.00)</f>
        <v/>
      </c>
      <c r="P6452">
        <f>IF('Loan Tape (S&amp;P)'!S6452="Yes",
    1.15,
    1.00)</f>
        <v/>
      </c>
      <c r="Q6452">
        <f>IF('Loan Tape (S&amp;P)'!V6452="Yes",
    1.20,
    1.00)</f>
        <v/>
      </c>
      <c r="T6452">
        <f>LET(
    payment_method,'Loan Tape (S&amp;P)'!P6452,
    occupancy,'Loan Tape (S&amp;P)'!N6452,
    maturity_date,'Loan Tape (S&amp;P)'!L6452,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53">
      <c r="J6453">
        <f>LET(
    lien,'Loan Tape (S&amp;P)'!Q6453,
    IF(lien="First",1.00,
        IF(lien="Second",1.50,
            1.70)))</f>
        <v/>
      </c>
      <c r="K6453">
        <f>LET(
    purpose,'Loan Tape (S&amp;P)'!R6453,
    IF(purpose="Purchase",1.00,
        IF(purpose="Remortgage",1.00,
            1.20)))</f>
        <v/>
      </c>
      <c r="L6453">
        <f>LET(
    arrears_months,'Loan Tape (S&amp;P)'!AN6453,
    IF(arrears_months=0,1.00,
    IF(arrears_months=1,3.00,
    IF(arrears_months=2,5.00,
    IF(arrears_months=3,8.00,
    IF(arrears_months=4,10.00,
    IF(arrears_months=5,12.00,15.00)))))))</f>
        <v/>
      </c>
      <c r="M6453">
        <f>LET(
    seasoning_years,DATEDIF('Loan Tape (S&amp;P)'!K6453,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53">
        <f>IF(AND('Loan Tape (S&amp;P)'!U6453="Yes",
        'Loan Tape (S&amp;P)'!T6453&lt;&gt;"Yes",
        DATEDIF('Loan Tape (S&amp;P)'!K6453, TODAY(), "M")&lt;18),
    1.10,
    1.00)</f>
        <v/>
      </c>
      <c r="O6453">
        <f>IF('Loan Tape (S&amp;P)'!T6453="Yes",
    1.35,
    1.00)</f>
        <v/>
      </c>
      <c r="P6453">
        <f>IF('Loan Tape (S&amp;P)'!S6453="Yes",
    1.15,
    1.00)</f>
        <v/>
      </c>
      <c r="Q6453">
        <f>IF('Loan Tape (S&amp;P)'!V6453="Yes",
    1.20,
    1.00)</f>
        <v/>
      </c>
      <c r="T6453">
        <f>LET(
    payment_method,'Loan Tape (S&amp;P)'!P6453,
    occupancy,'Loan Tape (S&amp;P)'!N6453,
    maturity_date,'Loan Tape (S&amp;P)'!L6453,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54">
      <c r="J6454">
        <f>LET(
    lien,'Loan Tape (S&amp;P)'!Q6454,
    IF(lien="First",1.00,
        IF(lien="Second",1.50,
            1.70)))</f>
        <v/>
      </c>
      <c r="K6454">
        <f>LET(
    purpose,'Loan Tape (S&amp;P)'!R6454,
    IF(purpose="Purchase",1.00,
        IF(purpose="Remortgage",1.00,
            1.20)))</f>
        <v/>
      </c>
      <c r="L6454">
        <f>LET(
    arrears_months,'Loan Tape (S&amp;P)'!AN6454,
    IF(arrears_months=0,1.00,
    IF(arrears_months=1,3.00,
    IF(arrears_months=2,5.00,
    IF(arrears_months=3,8.00,
    IF(arrears_months=4,10.00,
    IF(arrears_months=5,12.00,15.00)))))))</f>
        <v/>
      </c>
      <c r="M6454">
        <f>LET(
    seasoning_years,DATEDIF('Loan Tape (S&amp;P)'!K6454,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54">
        <f>IF(AND('Loan Tape (S&amp;P)'!U6454="Yes",
        'Loan Tape (S&amp;P)'!T6454&lt;&gt;"Yes",
        DATEDIF('Loan Tape (S&amp;P)'!K6454, TODAY(), "M")&lt;18),
    1.10,
    1.00)</f>
        <v/>
      </c>
      <c r="O6454">
        <f>IF('Loan Tape (S&amp;P)'!T6454="Yes",
    1.35,
    1.00)</f>
        <v/>
      </c>
      <c r="P6454">
        <f>IF('Loan Tape (S&amp;P)'!S6454="Yes",
    1.15,
    1.00)</f>
        <v/>
      </c>
      <c r="Q6454">
        <f>IF('Loan Tape (S&amp;P)'!V6454="Yes",
    1.20,
    1.00)</f>
        <v/>
      </c>
      <c r="T6454">
        <f>LET(
    payment_method,'Loan Tape (S&amp;P)'!P6454,
    occupancy,'Loan Tape (S&amp;P)'!N6454,
    maturity_date,'Loan Tape (S&amp;P)'!L6454,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55">
      <c r="J6455">
        <f>LET(
    lien,'Loan Tape (S&amp;P)'!Q6455,
    IF(lien="First",1.00,
        IF(lien="Second",1.50,
            1.70)))</f>
        <v/>
      </c>
      <c r="K6455">
        <f>LET(
    purpose,'Loan Tape (S&amp;P)'!R6455,
    IF(purpose="Purchase",1.00,
        IF(purpose="Remortgage",1.00,
            1.20)))</f>
        <v/>
      </c>
      <c r="L6455">
        <f>LET(
    arrears_months,'Loan Tape (S&amp;P)'!AN6455,
    IF(arrears_months=0,1.00,
    IF(arrears_months=1,3.00,
    IF(arrears_months=2,5.00,
    IF(arrears_months=3,8.00,
    IF(arrears_months=4,10.00,
    IF(arrears_months=5,12.00,15.00)))))))</f>
        <v/>
      </c>
      <c r="M6455">
        <f>LET(
    seasoning_years,DATEDIF('Loan Tape (S&amp;P)'!K6455,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55">
        <f>IF(AND('Loan Tape (S&amp;P)'!U6455="Yes",
        'Loan Tape (S&amp;P)'!T6455&lt;&gt;"Yes",
        DATEDIF('Loan Tape (S&amp;P)'!K6455, TODAY(), "M")&lt;18),
    1.10,
    1.00)</f>
        <v/>
      </c>
      <c r="O6455">
        <f>IF('Loan Tape (S&amp;P)'!T6455="Yes",
    1.35,
    1.00)</f>
        <v/>
      </c>
      <c r="P6455">
        <f>IF('Loan Tape (S&amp;P)'!S6455="Yes",
    1.15,
    1.00)</f>
        <v/>
      </c>
      <c r="Q6455">
        <f>IF('Loan Tape (S&amp;P)'!V6455="Yes",
    1.20,
    1.00)</f>
        <v/>
      </c>
      <c r="T6455">
        <f>LET(
    payment_method,'Loan Tape (S&amp;P)'!P6455,
    occupancy,'Loan Tape (S&amp;P)'!N6455,
    maturity_date,'Loan Tape (S&amp;P)'!L6455,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56">
      <c r="J6456">
        <f>LET(
    lien,'Loan Tape (S&amp;P)'!Q6456,
    IF(lien="First",1.00,
        IF(lien="Second",1.50,
            1.70)))</f>
        <v/>
      </c>
      <c r="K6456">
        <f>LET(
    purpose,'Loan Tape (S&amp;P)'!R6456,
    IF(purpose="Purchase",1.00,
        IF(purpose="Remortgage",1.00,
            1.20)))</f>
        <v/>
      </c>
      <c r="L6456">
        <f>LET(
    arrears_months,'Loan Tape (S&amp;P)'!AN6456,
    IF(arrears_months=0,1.00,
    IF(arrears_months=1,3.00,
    IF(arrears_months=2,5.00,
    IF(arrears_months=3,8.00,
    IF(arrears_months=4,10.00,
    IF(arrears_months=5,12.00,15.00)))))))</f>
        <v/>
      </c>
      <c r="M6456">
        <f>LET(
    seasoning_years,DATEDIF('Loan Tape (S&amp;P)'!K6456,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56">
        <f>IF(AND('Loan Tape (S&amp;P)'!U6456="Yes",
        'Loan Tape (S&amp;P)'!T6456&lt;&gt;"Yes",
        DATEDIF('Loan Tape (S&amp;P)'!K6456, TODAY(), "M")&lt;18),
    1.10,
    1.00)</f>
        <v/>
      </c>
      <c r="O6456">
        <f>IF('Loan Tape (S&amp;P)'!T6456="Yes",
    1.35,
    1.00)</f>
        <v/>
      </c>
      <c r="P6456">
        <f>IF('Loan Tape (S&amp;P)'!S6456="Yes",
    1.15,
    1.00)</f>
        <v/>
      </c>
      <c r="Q6456">
        <f>IF('Loan Tape (S&amp;P)'!V6456="Yes",
    1.20,
    1.00)</f>
        <v/>
      </c>
      <c r="T6456">
        <f>LET(
    payment_method,'Loan Tape (S&amp;P)'!P6456,
    occupancy,'Loan Tape (S&amp;P)'!N6456,
    maturity_date,'Loan Tape (S&amp;P)'!L6456,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57">
      <c r="J6457">
        <f>LET(
    lien,'Loan Tape (S&amp;P)'!Q6457,
    IF(lien="First",1.00,
        IF(lien="Second",1.50,
            1.70)))</f>
        <v/>
      </c>
      <c r="K6457">
        <f>LET(
    purpose,'Loan Tape (S&amp;P)'!R6457,
    IF(purpose="Purchase",1.00,
        IF(purpose="Remortgage",1.00,
            1.20)))</f>
        <v/>
      </c>
      <c r="L6457">
        <f>LET(
    arrears_months,'Loan Tape (S&amp;P)'!AN6457,
    IF(arrears_months=0,1.00,
    IF(arrears_months=1,3.00,
    IF(arrears_months=2,5.00,
    IF(arrears_months=3,8.00,
    IF(arrears_months=4,10.00,
    IF(arrears_months=5,12.00,15.00)))))))</f>
        <v/>
      </c>
      <c r="M6457">
        <f>LET(
    seasoning_years,DATEDIF('Loan Tape (S&amp;P)'!K6457,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57">
        <f>IF(AND('Loan Tape (S&amp;P)'!U6457="Yes",
        'Loan Tape (S&amp;P)'!T6457&lt;&gt;"Yes",
        DATEDIF('Loan Tape (S&amp;P)'!K6457, TODAY(), "M")&lt;18),
    1.10,
    1.00)</f>
        <v/>
      </c>
      <c r="O6457">
        <f>IF('Loan Tape (S&amp;P)'!T6457="Yes",
    1.35,
    1.00)</f>
        <v/>
      </c>
      <c r="P6457">
        <f>IF('Loan Tape (S&amp;P)'!S6457="Yes",
    1.15,
    1.00)</f>
        <v/>
      </c>
      <c r="Q6457">
        <f>IF('Loan Tape (S&amp;P)'!V6457="Yes",
    1.20,
    1.00)</f>
        <v/>
      </c>
      <c r="T6457">
        <f>LET(
    payment_method,'Loan Tape (S&amp;P)'!P6457,
    occupancy,'Loan Tape (S&amp;P)'!N6457,
    maturity_date,'Loan Tape (S&amp;P)'!L6457,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58">
      <c r="J6458">
        <f>LET(
    lien,'Loan Tape (S&amp;P)'!Q6458,
    IF(lien="First",1.00,
        IF(lien="Second",1.50,
            1.70)))</f>
        <v/>
      </c>
      <c r="K6458">
        <f>LET(
    purpose,'Loan Tape (S&amp;P)'!R6458,
    IF(purpose="Purchase",1.00,
        IF(purpose="Remortgage",1.00,
            1.20)))</f>
        <v/>
      </c>
      <c r="L6458">
        <f>LET(
    arrears_months,'Loan Tape (S&amp;P)'!AN6458,
    IF(arrears_months=0,1.00,
    IF(arrears_months=1,3.00,
    IF(arrears_months=2,5.00,
    IF(arrears_months=3,8.00,
    IF(arrears_months=4,10.00,
    IF(arrears_months=5,12.00,15.00)))))))</f>
        <v/>
      </c>
      <c r="M6458">
        <f>LET(
    seasoning_years,DATEDIF('Loan Tape (S&amp;P)'!K6458,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58">
        <f>IF(AND('Loan Tape (S&amp;P)'!U6458="Yes",
        'Loan Tape (S&amp;P)'!T6458&lt;&gt;"Yes",
        DATEDIF('Loan Tape (S&amp;P)'!K6458, TODAY(), "M")&lt;18),
    1.10,
    1.00)</f>
        <v/>
      </c>
      <c r="O6458">
        <f>IF('Loan Tape (S&amp;P)'!T6458="Yes",
    1.35,
    1.00)</f>
        <v/>
      </c>
      <c r="P6458">
        <f>IF('Loan Tape (S&amp;P)'!S6458="Yes",
    1.15,
    1.00)</f>
        <v/>
      </c>
      <c r="Q6458">
        <f>IF('Loan Tape (S&amp;P)'!V6458="Yes",
    1.20,
    1.00)</f>
        <v/>
      </c>
      <c r="T6458">
        <f>LET(
    payment_method,'Loan Tape (S&amp;P)'!P6458,
    occupancy,'Loan Tape (S&amp;P)'!N6458,
    maturity_date,'Loan Tape (S&amp;P)'!L6458,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59">
      <c r="J6459">
        <f>LET(
    lien,'Loan Tape (S&amp;P)'!Q6459,
    IF(lien="First",1.00,
        IF(lien="Second",1.50,
            1.70)))</f>
        <v/>
      </c>
      <c r="K6459">
        <f>LET(
    purpose,'Loan Tape (S&amp;P)'!R6459,
    IF(purpose="Purchase",1.00,
        IF(purpose="Remortgage",1.00,
            1.20)))</f>
        <v/>
      </c>
      <c r="L6459">
        <f>LET(
    arrears_months,'Loan Tape (S&amp;P)'!AN6459,
    IF(arrears_months=0,1.00,
    IF(arrears_months=1,3.00,
    IF(arrears_months=2,5.00,
    IF(arrears_months=3,8.00,
    IF(arrears_months=4,10.00,
    IF(arrears_months=5,12.00,15.00)))))))</f>
        <v/>
      </c>
      <c r="M6459">
        <f>LET(
    seasoning_years,DATEDIF('Loan Tape (S&amp;P)'!K6459,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59">
        <f>IF(AND('Loan Tape (S&amp;P)'!U6459="Yes",
        'Loan Tape (S&amp;P)'!T6459&lt;&gt;"Yes",
        DATEDIF('Loan Tape (S&amp;P)'!K6459, TODAY(), "M")&lt;18),
    1.10,
    1.00)</f>
        <v/>
      </c>
      <c r="O6459">
        <f>IF('Loan Tape (S&amp;P)'!T6459="Yes",
    1.35,
    1.00)</f>
        <v/>
      </c>
      <c r="P6459">
        <f>IF('Loan Tape (S&amp;P)'!S6459="Yes",
    1.15,
    1.00)</f>
        <v/>
      </c>
      <c r="Q6459">
        <f>IF('Loan Tape (S&amp;P)'!V6459="Yes",
    1.20,
    1.00)</f>
        <v/>
      </c>
      <c r="T6459">
        <f>LET(
    payment_method,'Loan Tape (S&amp;P)'!P6459,
    occupancy,'Loan Tape (S&amp;P)'!N6459,
    maturity_date,'Loan Tape (S&amp;P)'!L6459,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60">
      <c r="J6460">
        <f>LET(
    lien,'Loan Tape (S&amp;P)'!Q6460,
    IF(lien="First",1.00,
        IF(lien="Second",1.50,
            1.70)))</f>
        <v/>
      </c>
      <c r="K6460">
        <f>LET(
    purpose,'Loan Tape (S&amp;P)'!R6460,
    IF(purpose="Purchase",1.00,
        IF(purpose="Remortgage",1.00,
            1.20)))</f>
        <v/>
      </c>
      <c r="L6460">
        <f>LET(
    arrears_months,'Loan Tape (S&amp;P)'!AN6460,
    IF(arrears_months=0,1.00,
    IF(arrears_months=1,3.00,
    IF(arrears_months=2,5.00,
    IF(arrears_months=3,8.00,
    IF(arrears_months=4,10.00,
    IF(arrears_months=5,12.00,15.00)))))))</f>
        <v/>
      </c>
      <c r="M6460">
        <f>LET(
    seasoning_years,DATEDIF('Loan Tape (S&amp;P)'!K6460,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60">
        <f>IF(AND('Loan Tape (S&amp;P)'!U6460="Yes",
        'Loan Tape (S&amp;P)'!T6460&lt;&gt;"Yes",
        DATEDIF('Loan Tape (S&amp;P)'!K6460, TODAY(), "M")&lt;18),
    1.10,
    1.00)</f>
        <v/>
      </c>
      <c r="O6460">
        <f>IF('Loan Tape (S&amp;P)'!T6460="Yes",
    1.35,
    1.00)</f>
        <v/>
      </c>
      <c r="P6460">
        <f>IF('Loan Tape (S&amp;P)'!S6460="Yes",
    1.15,
    1.00)</f>
        <v/>
      </c>
      <c r="Q6460">
        <f>IF('Loan Tape (S&amp;P)'!V6460="Yes",
    1.20,
    1.00)</f>
        <v/>
      </c>
      <c r="T6460">
        <f>LET(
    payment_method,'Loan Tape (S&amp;P)'!P6460,
    occupancy,'Loan Tape (S&amp;P)'!N6460,
    maturity_date,'Loan Tape (S&amp;P)'!L6460,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61">
      <c r="J6461">
        <f>LET(
    lien,'Loan Tape (S&amp;P)'!Q6461,
    IF(lien="First",1.00,
        IF(lien="Second",1.50,
            1.70)))</f>
        <v/>
      </c>
      <c r="K6461">
        <f>LET(
    purpose,'Loan Tape (S&amp;P)'!R6461,
    IF(purpose="Purchase",1.00,
        IF(purpose="Remortgage",1.00,
            1.20)))</f>
        <v/>
      </c>
      <c r="L6461">
        <f>LET(
    arrears_months,'Loan Tape (S&amp;P)'!AN6461,
    IF(arrears_months=0,1.00,
    IF(arrears_months=1,3.00,
    IF(arrears_months=2,5.00,
    IF(arrears_months=3,8.00,
    IF(arrears_months=4,10.00,
    IF(arrears_months=5,12.00,15.00)))))))</f>
        <v/>
      </c>
      <c r="M6461">
        <f>LET(
    seasoning_years,DATEDIF('Loan Tape (S&amp;P)'!K6461,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61">
        <f>IF(AND('Loan Tape (S&amp;P)'!U6461="Yes",
        'Loan Tape (S&amp;P)'!T6461&lt;&gt;"Yes",
        DATEDIF('Loan Tape (S&amp;P)'!K6461, TODAY(), "M")&lt;18),
    1.10,
    1.00)</f>
        <v/>
      </c>
      <c r="O6461">
        <f>IF('Loan Tape (S&amp;P)'!T6461="Yes",
    1.35,
    1.00)</f>
        <v/>
      </c>
      <c r="P6461">
        <f>IF('Loan Tape (S&amp;P)'!S6461="Yes",
    1.15,
    1.00)</f>
        <v/>
      </c>
      <c r="Q6461">
        <f>IF('Loan Tape (S&amp;P)'!V6461="Yes",
    1.20,
    1.00)</f>
        <v/>
      </c>
      <c r="T6461">
        <f>LET(
    payment_method,'Loan Tape (S&amp;P)'!P6461,
    occupancy,'Loan Tape (S&amp;P)'!N6461,
    maturity_date,'Loan Tape (S&amp;P)'!L6461,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62">
      <c r="J6462">
        <f>LET(
    lien,'Loan Tape (S&amp;P)'!Q6462,
    IF(lien="First",1.00,
        IF(lien="Second",1.50,
            1.70)))</f>
        <v/>
      </c>
      <c r="K6462">
        <f>LET(
    purpose,'Loan Tape (S&amp;P)'!R6462,
    IF(purpose="Purchase",1.00,
        IF(purpose="Remortgage",1.00,
            1.20)))</f>
        <v/>
      </c>
      <c r="L6462">
        <f>LET(
    arrears_months,'Loan Tape (S&amp;P)'!AN6462,
    IF(arrears_months=0,1.00,
    IF(arrears_months=1,3.00,
    IF(arrears_months=2,5.00,
    IF(arrears_months=3,8.00,
    IF(arrears_months=4,10.00,
    IF(arrears_months=5,12.00,15.00)))))))</f>
        <v/>
      </c>
      <c r="M6462">
        <f>LET(
    seasoning_years,DATEDIF('Loan Tape (S&amp;P)'!K6462,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62">
        <f>IF(AND('Loan Tape (S&amp;P)'!U6462="Yes",
        'Loan Tape (S&amp;P)'!T6462&lt;&gt;"Yes",
        DATEDIF('Loan Tape (S&amp;P)'!K6462, TODAY(), "M")&lt;18),
    1.10,
    1.00)</f>
        <v/>
      </c>
      <c r="O6462">
        <f>IF('Loan Tape (S&amp;P)'!T6462="Yes",
    1.35,
    1.00)</f>
        <v/>
      </c>
      <c r="P6462">
        <f>IF('Loan Tape (S&amp;P)'!S6462="Yes",
    1.15,
    1.00)</f>
        <v/>
      </c>
      <c r="Q6462">
        <f>IF('Loan Tape (S&amp;P)'!V6462="Yes",
    1.20,
    1.00)</f>
        <v/>
      </c>
      <c r="T6462">
        <f>LET(
    payment_method,'Loan Tape (S&amp;P)'!P6462,
    occupancy,'Loan Tape (S&amp;P)'!N6462,
    maturity_date,'Loan Tape (S&amp;P)'!L6462,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63">
      <c r="J6463">
        <f>LET(
    lien,'Loan Tape (S&amp;P)'!Q6463,
    IF(lien="First",1.00,
        IF(lien="Second",1.50,
            1.70)))</f>
        <v/>
      </c>
      <c r="K6463">
        <f>LET(
    purpose,'Loan Tape (S&amp;P)'!R6463,
    IF(purpose="Purchase",1.00,
        IF(purpose="Remortgage",1.00,
            1.20)))</f>
        <v/>
      </c>
      <c r="L6463">
        <f>LET(
    arrears_months,'Loan Tape (S&amp;P)'!AN6463,
    IF(arrears_months=0,1.00,
    IF(arrears_months=1,3.00,
    IF(arrears_months=2,5.00,
    IF(arrears_months=3,8.00,
    IF(arrears_months=4,10.00,
    IF(arrears_months=5,12.00,15.00)))))))</f>
        <v/>
      </c>
      <c r="M6463">
        <f>LET(
    seasoning_years,DATEDIF('Loan Tape (S&amp;P)'!K6463,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63">
        <f>IF(AND('Loan Tape (S&amp;P)'!U6463="Yes",
        'Loan Tape (S&amp;P)'!T6463&lt;&gt;"Yes",
        DATEDIF('Loan Tape (S&amp;P)'!K6463, TODAY(), "M")&lt;18),
    1.10,
    1.00)</f>
        <v/>
      </c>
      <c r="O6463">
        <f>IF('Loan Tape (S&amp;P)'!T6463="Yes",
    1.35,
    1.00)</f>
        <v/>
      </c>
      <c r="P6463">
        <f>IF('Loan Tape (S&amp;P)'!S6463="Yes",
    1.15,
    1.00)</f>
        <v/>
      </c>
      <c r="Q6463">
        <f>IF('Loan Tape (S&amp;P)'!V6463="Yes",
    1.20,
    1.00)</f>
        <v/>
      </c>
      <c r="T6463">
        <f>LET(
    payment_method,'Loan Tape (S&amp;P)'!P6463,
    occupancy,'Loan Tape (S&amp;P)'!N6463,
    maturity_date,'Loan Tape (S&amp;P)'!L6463,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64">
      <c r="J6464">
        <f>LET(
    lien,'Loan Tape (S&amp;P)'!Q6464,
    IF(lien="First",1.00,
        IF(lien="Second",1.50,
            1.70)))</f>
        <v/>
      </c>
      <c r="K6464">
        <f>LET(
    purpose,'Loan Tape (S&amp;P)'!R6464,
    IF(purpose="Purchase",1.00,
        IF(purpose="Remortgage",1.00,
            1.20)))</f>
        <v/>
      </c>
      <c r="L6464">
        <f>LET(
    arrears_months,'Loan Tape (S&amp;P)'!AN6464,
    IF(arrears_months=0,1.00,
    IF(arrears_months=1,3.00,
    IF(arrears_months=2,5.00,
    IF(arrears_months=3,8.00,
    IF(arrears_months=4,10.00,
    IF(arrears_months=5,12.00,15.00)))))))</f>
        <v/>
      </c>
      <c r="M6464">
        <f>LET(
    seasoning_years,DATEDIF('Loan Tape (S&amp;P)'!K6464,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64">
        <f>IF(AND('Loan Tape (S&amp;P)'!U6464="Yes",
        'Loan Tape (S&amp;P)'!T6464&lt;&gt;"Yes",
        DATEDIF('Loan Tape (S&amp;P)'!K6464, TODAY(), "M")&lt;18),
    1.10,
    1.00)</f>
        <v/>
      </c>
      <c r="O6464">
        <f>IF('Loan Tape (S&amp;P)'!T6464="Yes",
    1.35,
    1.00)</f>
        <v/>
      </c>
      <c r="P6464">
        <f>IF('Loan Tape (S&amp;P)'!S6464="Yes",
    1.15,
    1.00)</f>
        <v/>
      </c>
      <c r="Q6464">
        <f>IF('Loan Tape (S&amp;P)'!V6464="Yes",
    1.20,
    1.00)</f>
        <v/>
      </c>
      <c r="T6464">
        <f>LET(
    payment_method,'Loan Tape (S&amp;P)'!P6464,
    occupancy,'Loan Tape (S&amp;P)'!N6464,
    maturity_date,'Loan Tape (S&amp;P)'!L6464,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65">
      <c r="J6465">
        <f>LET(
    lien,'Loan Tape (S&amp;P)'!Q6465,
    IF(lien="First",1.00,
        IF(lien="Second",1.50,
            1.70)))</f>
        <v/>
      </c>
      <c r="K6465">
        <f>LET(
    purpose,'Loan Tape (S&amp;P)'!R6465,
    IF(purpose="Purchase",1.00,
        IF(purpose="Remortgage",1.00,
            1.20)))</f>
        <v/>
      </c>
      <c r="L6465">
        <f>LET(
    arrears_months,'Loan Tape (S&amp;P)'!AN6465,
    IF(arrears_months=0,1.00,
    IF(arrears_months=1,3.00,
    IF(arrears_months=2,5.00,
    IF(arrears_months=3,8.00,
    IF(arrears_months=4,10.00,
    IF(arrears_months=5,12.00,15.00)))))))</f>
        <v/>
      </c>
      <c r="M6465">
        <f>LET(
    seasoning_years,DATEDIF('Loan Tape (S&amp;P)'!K6465,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65">
        <f>IF(AND('Loan Tape (S&amp;P)'!U6465="Yes",
        'Loan Tape (S&amp;P)'!T6465&lt;&gt;"Yes",
        DATEDIF('Loan Tape (S&amp;P)'!K6465, TODAY(), "M")&lt;18),
    1.10,
    1.00)</f>
        <v/>
      </c>
      <c r="O6465">
        <f>IF('Loan Tape (S&amp;P)'!T6465="Yes",
    1.35,
    1.00)</f>
        <v/>
      </c>
      <c r="P6465">
        <f>IF('Loan Tape (S&amp;P)'!S6465="Yes",
    1.15,
    1.00)</f>
        <v/>
      </c>
      <c r="Q6465">
        <f>IF('Loan Tape (S&amp;P)'!V6465="Yes",
    1.20,
    1.00)</f>
        <v/>
      </c>
      <c r="T6465">
        <f>LET(
    payment_method,'Loan Tape (S&amp;P)'!P6465,
    occupancy,'Loan Tape (S&amp;P)'!N6465,
    maturity_date,'Loan Tape (S&amp;P)'!L6465,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66">
      <c r="J6466">
        <f>LET(
    lien,'Loan Tape (S&amp;P)'!Q6466,
    IF(lien="First",1.00,
        IF(lien="Second",1.50,
            1.70)))</f>
        <v/>
      </c>
      <c r="K6466">
        <f>LET(
    purpose,'Loan Tape (S&amp;P)'!R6466,
    IF(purpose="Purchase",1.00,
        IF(purpose="Remortgage",1.00,
            1.20)))</f>
        <v/>
      </c>
      <c r="L6466">
        <f>LET(
    arrears_months,'Loan Tape (S&amp;P)'!AN6466,
    IF(arrears_months=0,1.00,
    IF(arrears_months=1,3.00,
    IF(arrears_months=2,5.00,
    IF(arrears_months=3,8.00,
    IF(arrears_months=4,10.00,
    IF(arrears_months=5,12.00,15.00)))))))</f>
        <v/>
      </c>
      <c r="M6466">
        <f>LET(
    seasoning_years,DATEDIF('Loan Tape (S&amp;P)'!K6466,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66">
        <f>IF(AND('Loan Tape (S&amp;P)'!U6466="Yes",
        'Loan Tape (S&amp;P)'!T6466&lt;&gt;"Yes",
        DATEDIF('Loan Tape (S&amp;P)'!K6466, TODAY(), "M")&lt;18),
    1.10,
    1.00)</f>
        <v/>
      </c>
      <c r="O6466">
        <f>IF('Loan Tape (S&amp;P)'!T6466="Yes",
    1.35,
    1.00)</f>
        <v/>
      </c>
      <c r="P6466">
        <f>IF('Loan Tape (S&amp;P)'!S6466="Yes",
    1.15,
    1.00)</f>
        <v/>
      </c>
      <c r="Q6466">
        <f>IF('Loan Tape (S&amp;P)'!V6466="Yes",
    1.20,
    1.00)</f>
        <v/>
      </c>
      <c r="T6466">
        <f>LET(
    payment_method,'Loan Tape (S&amp;P)'!P6466,
    occupancy,'Loan Tape (S&amp;P)'!N6466,
    maturity_date,'Loan Tape (S&amp;P)'!L6466,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67">
      <c r="J6467">
        <f>LET(
    lien,'Loan Tape (S&amp;P)'!Q6467,
    IF(lien="First",1.00,
        IF(lien="Second",1.50,
            1.70)))</f>
        <v/>
      </c>
      <c r="K6467">
        <f>LET(
    purpose,'Loan Tape (S&amp;P)'!R6467,
    IF(purpose="Purchase",1.00,
        IF(purpose="Remortgage",1.00,
            1.20)))</f>
        <v/>
      </c>
      <c r="L6467">
        <f>LET(
    arrears_months,'Loan Tape (S&amp;P)'!AN6467,
    IF(arrears_months=0,1.00,
    IF(arrears_months=1,3.00,
    IF(arrears_months=2,5.00,
    IF(arrears_months=3,8.00,
    IF(arrears_months=4,10.00,
    IF(arrears_months=5,12.00,15.00)))))))</f>
        <v/>
      </c>
      <c r="M6467">
        <f>LET(
    seasoning_years,DATEDIF('Loan Tape (S&amp;P)'!K6467,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67">
        <f>IF(AND('Loan Tape (S&amp;P)'!U6467="Yes",
        'Loan Tape (S&amp;P)'!T6467&lt;&gt;"Yes",
        DATEDIF('Loan Tape (S&amp;P)'!K6467, TODAY(), "M")&lt;18),
    1.10,
    1.00)</f>
        <v/>
      </c>
      <c r="O6467">
        <f>IF('Loan Tape (S&amp;P)'!T6467="Yes",
    1.35,
    1.00)</f>
        <v/>
      </c>
      <c r="P6467">
        <f>IF('Loan Tape (S&amp;P)'!S6467="Yes",
    1.15,
    1.00)</f>
        <v/>
      </c>
      <c r="Q6467">
        <f>IF('Loan Tape (S&amp;P)'!V6467="Yes",
    1.20,
    1.00)</f>
        <v/>
      </c>
      <c r="T6467">
        <f>LET(
    payment_method,'Loan Tape (S&amp;P)'!P6467,
    occupancy,'Loan Tape (S&amp;P)'!N6467,
    maturity_date,'Loan Tape (S&amp;P)'!L6467,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68">
      <c r="J6468">
        <f>LET(
    lien,'Loan Tape (S&amp;P)'!Q6468,
    IF(lien="First",1.00,
        IF(lien="Second",1.50,
            1.70)))</f>
        <v/>
      </c>
      <c r="K6468">
        <f>LET(
    purpose,'Loan Tape (S&amp;P)'!R6468,
    IF(purpose="Purchase",1.00,
        IF(purpose="Remortgage",1.00,
            1.20)))</f>
        <v/>
      </c>
      <c r="L6468">
        <f>LET(
    arrears_months,'Loan Tape (S&amp;P)'!AN6468,
    IF(arrears_months=0,1.00,
    IF(arrears_months=1,3.00,
    IF(arrears_months=2,5.00,
    IF(arrears_months=3,8.00,
    IF(arrears_months=4,10.00,
    IF(arrears_months=5,12.00,15.00)))))))</f>
        <v/>
      </c>
      <c r="M6468">
        <f>LET(
    seasoning_years,DATEDIF('Loan Tape (S&amp;P)'!K6468,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68">
        <f>IF(AND('Loan Tape (S&amp;P)'!U6468="Yes",
        'Loan Tape (S&amp;P)'!T6468&lt;&gt;"Yes",
        DATEDIF('Loan Tape (S&amp;P)'!K6468, TODAY(), "M")&lt;18),
    1.10,
    1.00)</f>
        <v/>
      </c>
      <c r="O6468">
        <f>IF('Loan Tape (S&amp;P)'!T6468="Yes",
    1.35,
    1.00)</f>
        <v/>
      </c>
      <c r="P6468">
        <f>IF('Loan Tape (S&amp;P)'!S6468="Yes",
    1.15,
    1.00)</f>
        <v/>
      </c>
      <c r="Q6468">
        <f>IF('Loan Tape (S&amp;P)'!V6468="Yes",
    1.20,
    1.00)</f>
        <v/>
      </c>
      <c r="T6468">
        <f>LET(
    payment_method,'Loan Tape (S&amp;P)'!P6468,
    occupancy,'Loan Tape (S&amp;P)'!N6468,
    maturity_date,'Loan Tape (S&amp;P)'!L6468,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69">
      <c r="J6469">
        <f>LET(
    lien,'Loan Tape (S&amp;P)'!Q6469,
    IF(lien="First",1.00,
        IF(lien="Second",1.50,
            1.70)))</f>
        <v/>
      </c>
      <c r="K6469">
        <f>LET(
    purpose,'Loan Tape (S&amp;P)'!R6469,
    IF(purpose="Purchase",1.00,
        IF(purpose="Remortgage",1.00,
            1.20)))</f>
        <v/>
      </c>
      <c r="L6469">
        <f>LET(
    arrears_months,'Loan Tape (S&amp;P)'!AN6469,
    IF(arrears_months=0,1.00,
    IF(arrears_months=1,3.00,
    IF(arrears_months=2,5.00,
    IF(arrears_months=3,8.00,
    IF(arrears_months=4,10.00,
    IF(arrears_months=5,12.00,15.00)))))))</f>
        <v/>
      </c>
      <c r="M6469">
        <f>LET(
    seasoning_years,DATEDIF('Loan Tape (S&amp;P)'!K6469,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69">
        <f>IF(AND('Loan Tape (S&amp;P)'!U6469="Yes",
        'Loan Tape (S&amp;P)'!T6469&lt;&gt;"Yes",
        DATEDIF('Loan Tape (S&amp;P)'!K6469, TODAY(), "M")&lt;18),
    1.10,
    1.00)</f>
        <v/>
      </c>
      <c r="O6469">
        <f>IF('Loan Tape (S&amp;P)'!T6469="Yes",
    1.35,
    1.00)</f>
        <v/>
      </c>
      <c r="P6469">
        <f>IF('Loan Tape (S&amp;P)'!S6469="Yes",
    1.15,
    1.00)</f>
        <v/>
      </c>
      <c r="Q6469">
        <f>IF('Loan Tape (S&amp;P)'!V6469="Yes",
    1.20,
    1.00)</f>
        <v/>
      </c>
      <c r="T6469">
        <f>LET(
    payment_method,'Loan Tape (S&amp;P)'!P6469,
    occupancy,'Loan Tape (S&amp;P)'!N6469,
    maturity_date,'Loan Tape (S&amp;P)'!L6469,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70">
      <c r="J6470">
        <f>LET(
    lien,'Loan Tape (S&amp;P)'!Q6470,
    IF(lien="First",1.00,
        IF(lien="Second",1.50,
            1.70)))</f>
        <v/>
      </c>
      <c r="K6470">
        <f>LET(
    purpose,'Loan Tape (S&amp;P)'!R6470,
    IF(purpose="Purchase",1.00,
        IF(purpose="Remortgage",1.00,
            1.20)))</f>
        <v/>
      </c>
      <c r="L6470">
        <f>LET(
    arrears_months,'Loan Tape (S&amp;P)'!AN6470,
    IF(arrears_months=0,1.00,
    IF(arrears_months=1,3.00,
    IF(arrears_months=2,5.00,
    IF(arrears_months=3,8.00,
    IF(arrears_months=4,10.00,
    IF(arrears_months=5,12.00,15.00)))))))</f>
        <v/>
      </c>
      <c r="M6470">
        <f>LET(
    seasoning_years,DATEDIF('Loan Tape (S&amp;P)'!K6470,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70">
        <f>IF(AND('Loan Tape (S&amp;P)'!U6470="Yes",
        'Loan Tape (S&amp;P)'!T6470&lt;&gt;"Yes",
        DATEDIF('Loan Tape (S&amp;P)'!K6470, TODAY(), "M")&lt;18),
    1.10,
    1.00)</f>
        <v/>
      </c>
      <c r="O6470">
        <f>IF('Loan Tape (S&amp;P)'!T6470="Yes",
    1.35,
    1.00)</f>
        <v/>
      </c>
      <c r="P6470">
        <f>IF('Loan Tape (S&amp;P)'!S6470="Yes",
    1.15,
    1.00)</f>
        <v/>
      </c>
      <c r="Q6470">
        <f>IF('Loan Tape (S&amp;P)'!V6470="Yes",
    1.20,
    1.00)</f>
        <v/>
      </c>
      <c r="T6470">
        <f>LET(
    payment_method,'Loan Tape (S&amp;P)'!P6470,
    occupancy,'Loan Tape (S&amp;P)'!N6470,
    maturity_date,'Loan Tape (S&amp;P)'!L6470,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71">
      <c r="J6471">
        <f>LET(
    lien,'Loan Tape (S&amp;P)'!Q6471,
    IF(lien="First",1.00,
        IF(lien="Second",1.50,
            1.70)))</f>
        <v/>
      </c>
      <c r="K6471">
        <f>LET(
    purpose,'Loan Tape (S&amp;P)'!R6471,
    IF(purpose="Purchase",1.00,
        IF(purpose="Remortgage",1.00,
            1.20)))</f>
        <v/>
      </c>
      <c r="L6471">
        <f>LET(
    arrears_months,'Loan Tape (S&amp;P)'!AN6471,
    IF(arrears_months=0,1.00,
    IF(arrears_months=1,3.00,
    IF(arrears_months=2,5.00,
    IF(arrears_months=3,8.00,
    IF(arrears_months=4,10.00,
    IF(arrears_months=5,12.00,15.00)))))))</f>
        <v/>
      </c>
      <c r="M6471">
        <f>LET(
    seasoning_years,DATEDIF('Loan Tape (S&amp;P)'!K6471,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71">
        <f>IF(AND('Loan Tape (S&amp;P)'!U6471="Yes",
        'Loan Tape (S&amp;P)'!T6471&lt;&gt;"Yes",
        DATEDIF('Loan Tape (S&amp;P)'!K6471, TODAY(), "M")&lt;18),
    1.10,
    1.00)</f>
        <v/>
      </c>
      <c r="O6471">
        <f>IF('Loan Tape (S&amp;P)'!T6471="Yes",
    1.35,
    1.00)</f>
        <v/>
      </c>
      <c r="P6471">
        <f>IF('Loan Tape (S&amp;P)'!S6471="Yes",
    1.15,
    1.00)</f>
        <v/>
      </c>
      <c r="Q6471">
        <f>IF('Loan Tape (S&amp;P)'!V6471="Yes",
    1.20,
    1.00)</f>
        <v/>
      </c>
      <c r="T6471">
        <f>LET(
    payment_method,'Loan Tape (S&amp;P)'!P6471,
    occupancy,'Loan Tape (S&amp;P)'!N6471,
    maturity_date,'Loan Tape (S&amp;P)'!L6471,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72">
      <c r="J6472">
        <f>LET(
    lien,'Loan Tape (S&amp;P)'!Q6472,
    IF(lien="First",1.00,
        IF(lien="Second",1.50,
            1.70)))</f>
        <v/>
      </c>
      <c r="K6472">
        <f>LET(
    purpose,'Loan Tape (S&amp;P)'!R6472,
    IF(purpose="Purchase",1.00,
        IF(purpose="Remortgage",1.00,
            1.20)))</f>
        <v/>
      </c>
      <c r="L6472">
        <f>LET(
    arrears_months,'Loan Tape (S&amp;P)'!AN6472,
    IF(arrears_months=0,1.00,
    IF(arrears_months=1,3.00,
    IF(arrears_months=2,5.00,
    IF(arrears_months=3,8.00,
    IF(arrears_months=4,10.00,
    IF(arrears_months=5,12.00,15.00)))))))</f>
        <v/>
      </c>
      <c r="M6472">
        <f>LET(
    seasoning_years,DATEDIF('Loan Tape (S&amp;P)'!K6472,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72">
        <f>IF(AND('Loan Tape (S&amp;P)'!U6472="Yes",
        'Loan Tape (S&amp;P)'!T6472&lt;&gt;"Yes",
        DATEDIF('Loan Tape (S&amp;P)'!K6472, TODAY(), "M")&lt;18),
    1.10,
    1.00)</f>
        <v/>
      </c>
      <c r="O6472">
        <f>IF('Loan Tape (S&amp;P)'!T6472="Yes",
    1.35,
    1.00)</f>
        <v/>
      </c>
      <c r="P6472">
        <f>IF('Loan Tape (S&amp;P)'!S6472="Yes",
    1.15,
    1.00)</f>
        <v/>
      </c>
      <c r="Q6472">
        <f>IF('Loan Tape (S&amp;P)'!V6472="Yes",
    1.20,
    1.00)</f>
        <v/>
      </c>
      <c r="T6472">
        <f>LET(
    payment_method,'Loan Tape (S&amp;P)'!P6472,
    occupancy,'Loan Tape (S&amp;P)'!N6472,
    maturity_date,'Loan Tape (S&amp;P)'!L6472,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73">
      <c r="J6473">
        <f>LET(
    lien,'Loan Tape (S&amp;P)'!Q6473,
    IF(lien="First",1.00,
        IF(lien="Second",1.50,
            1.70)))</f>
        <v/>
      </c>
      <c r="K6473">
        <f>LET(
    purpose,'Loan Tape (S&amp;P)'!R6473,
    IF(purpose="Purchase",1.00,
        IF(purpose="Remortgage",1.00,
            1.20)))</f>
        <v/>
      </c>
      <c r="L6473">
        <f>LET(
    arrears_months,'Loan Tape (S&amp;P)'!AN6473,
    IF(arrears_months=0,1.00,
    IF(arrears_months=1,3.00,
    IF(arrears_months=2,5.00,
    IF(arrears_months=3,8.00,
    IF(arrears_months=4,10.00,
    IF(arrears_months=5,12.00,15.00)))))))</f>
        <v/>
      </c>
      <c r="M6473">
        <f>LET(
    seasoning_years,DATEDIF('Loan Tape (S&amp;P)'!K6473,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73">
        <f>IF(AND('Loan Tape (S&amp;P)'!U6473="Yes",
        'Loan Tape (S&amp;P)'!T6473&lt;&gt;"Yes",
        DATEDIF('Loan Tape (S&amp;P)'!K6473, TODAY(), "M")&lt;18),
    1.10,
    1.00)</f>
        <v/>
      </c>
      <c r="O6473">
        <f>IF('Loan Tape (S&amp;P)'!T6473="Yes",
    1.35,
    1.00)</f>
        <v/>
      </c>
      <c r="P6473">
        <f>IF('Loan Tape (S&amp;P)'!S6473="Yes",
    1.15,
    1.00)</f>
        <v/>
      </c>
      <c r="Q6473">
        <f>IF('Loan Tape (S&amp;P)'!V6473="Yes",
    1.20,
    1.00)</f>
        <v/>
      </c>
      <c r="T6473">
        <f>LET(
    payment_method,'Loan Tape (S&amp;P)'!P6473,
    occupancy,'Loan Tape (S&amp;P)'!N6473,
    maturity_date,'Loan Tape (S&amp;P)'!L6473,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74">
      <c r="J6474">
        <f>LET(
    lien,'Loan Tape (S&amp;P)'!Q6474,
    IF(lien="First",1.00,
        IF(lien="Second",1.50,
            1.70)))</f>
        <v/>
      </c>
      <c r="K6474">
        <f>LET(
    purpose,'Loan Tape (S&amp;P)'!R6474,
    IF(purpose="Purchase",1.00,
        IF(purpose="Remortgage",1.00,
            1.20)))</f>
        <v/>
      </c>
      <c r="L6474">
        <f>LET(
    arrears_months,'Loan Tape (S&amp;P)'!AN6474,
    IF(arrears_months=0,1.00,
    IF(arrears_months=1,3.00,
    IF(arrears_months=2,5.00,
    IF(arrears_months=3,8.00,
    IF(arrears_months=4,10.00,
    IF(arrears_months=5,12.00,15.00)))))))</f>
        <v/>
      </c>
      <c r="M6474">
        <f>LET(
    seasoning_years,DATEDIF('Loan Tape (S&amp;P)'!K6474,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74">
        <f>IF(AND('Loan Tape (S&amp;P)'!U6474="Yes",
        'Loan Tape (S&amp;P)'!T6474&lt;&gt;"Yes",
        DATEDIF('Loan Tape (S&amp;P)'!K6474, TODAY(), "M")&lt;18),
    1.10,
    1.00)</f>
        <v/>
      </c>
      <c r="O6474">
        <f>IF('Loan Tape (S&amp;P)'!T6474="Yes",
    1.35,
    1.00)</f>
        <v/>
      </c>
      <c r="P6474">
        <f>IF('Loan Tape (S&amp;P)'!S6474="Yes",
    1.15,
    1.00)</f>
        <v/>
      </c>
      <c r="Q6474">
        <f>IF('Loan Tape (S&amp;P)'!V6474="Yes",
    1.20,
    1.00)</f>
        <v/>
      </c>
      <c r="T6474">
        <f>LET(
    payment_method,'Loan Tape (S&amp;P)'!P6474,
    occupancy,'Loan Tape (S&amp;P)'!N6474,
    maturity_date,'Loan Tape (S&amp;P)'!L6474,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75">
      <c r="J6475">
        <f>LET(
    lien,'Loan Tape (S&amp;P)'!Q6475,
    IF(lien="First",1.00,
        IF(lien="Second",1.50,
            1.70)))</f>
        <v/>
      </c>
      <c r="K6475">
        <f>LET(
    purpose,'Loan Tape (S&amp;P)'!R6475,
    IF(purpose="Purchase",1.00,
        IF(purpose="Remortgage",1.00,
            1.20)))</f>
        <v/>
      </c>
      <c r="L6475">
        <f>LET(
    arrears_months,'Loan Tape (S&amp;P)'!AN6475,
    IF(arrears_months=0,1.00,
    IF(arrears_months=1,3.00,
    IF(arrears_months=2,5.00,
    IF(arrears_months=3,8.00,
    IF(arrears_months=4,10.00,
    IF(arrears_months=5,12.00,15.00)))))))</f>
        <v/>
      </c>
      <c r="M6475">
        <f>LET(
    seasoning_years,DATEDIF('Loan Tape (S&amp;P)'!K6475,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75">
        <f>IF(AND('Loan Tape (S&amp;P)'!U6475="Yes",
        'Loan Tape (S&amp;P)'!T6475&lt;&gt;"Yes",
        DATEDIF('Loan Tape (S&amp;P)'!K6475, TODAY(), "M")&lt;18),
    1.10,
    1.00)</f>
        <v/>
      </c>
      <c r="O6475">
        <f>IF('Loan Tape (S&amp;P)'!T6475="Yes",
    1.35,
    1.00)</f>
        <v/>
      </c>
      <c r="P6475">
        <f>IF('Loan Tape (S&amp;P)'!S6475="Yes",
    1.15,
    1.00)</f>
        <v/>
      </c>
      <c r="Q6475">
        <f>IF('Loan Tape (S&amp;P)'!V6475="Yes",
    1.20,
    1.00)</f>
        <v/>
      </c>
      <c r="T6475">
        <f>LET(
    payment_method,'Loan Tape (S&amp;P)'!P6475,
    occupancy,'Loan Tape (S&amp;P)'!N6475,
    maturity_date,'Loan Tape (S&amp;P)'!L6475,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76">
      <c r="J6476">
        <f>LET(
    lien,'Loan Tape (S&amp;P)'!Q6476,
    IF(lien="First",1.00,
        IF(lien="Second",1.50,
            1.70)))</f>
        <v/>
      </c>
      <c r="K6476">
        <f>LET(
    purpose,'Loan Tape (S&amp;P)'!R6476,
    IF(purpose="Purchase",1.00,
        IF(purpose="Remortgage",1.00,
            1.20)))</f>
        <v/>
      </c>
      <c r="L6476">
        <f>LET(
    arrears_months,'Loan Tape (S&amp;P)'!AN6476,
    IF(arrears_months=0,1.00,
    IF(arrears_months=1,3.00,
    IF(arrears_months=2,5.00,
    IF(arrears_months=3,8.00,
    IF(arrears_months=4,10.00,
    IF(arrears_months=5,12.00,15.00)))))))</f>
        <v/>
      </c>
      <c r="M6476">
        <f>LET(
    seasoning_years,DATEDIF('Loan Tape (S&amp;P)'!K6476,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76">
        <f>IF(AND('Loan Tape (S&amp;P)'!U6476="Yes",
        'Loan Tape (S&amp;P)'!T6476&lt;&gt;"Yes",
        DATEDIF('Loan Tape (S&amp;P)'!K6476, TODAY(), "M")&lt;18),
    1.10,
    1.00)</f>
        <v/>
      </c>
      <c r="O6476">
        <f>IF('Loan Tape (S&amp;P)'!T6476="Yes",
    1.35,
    1.00)</f>
        <v/>
      </c>
      <c r="P6476">
        <f>IF('Loan Tape (S&amp;P)'!S6476="Yes",
    1.15,
    1.00)</f>
        <v/>
      </c>
      <c r="Q6476">
        <f>IF('Loan Tape (S&amp;P)'!V6476="Yes",
    1.20,
    1.00)</f>
        <v/>
      </c>
      <c r="T6476">
        <f>LET(
    payment_method,'Loan Tape (S&amp;P)'!P6476,
    occupancy,'Loan Tape (S&amp;P)'!N6476,
    maturity_date,'Loan Tape (S&amp;P)'!L6476,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77">
      <c r="J6477">
        <f>LET(
    lien,'Loan Tape (S&amp;P)'!Q6477,
    IF(lien="First",1.00,
        IF(lien="Second",1.50,
            1.70)))</f>
        <v/>
      </c>
      <c r="K6477">
        <f>LET(
    purpose,'Loan Tape (S&amp;P)'!R6477,
    IF(purpose="Purchase",1.00,
        IF(purpose="Remortgage",1.00,
            1.20)))</f>
        <v/>
      </c>
      <c r="L6477">
        <f>LET(
    arrears_months,'Loan Tape (S&amp;P)'!AN6477,
    IF(arrears_months=0,1.00,
    IF(arrears_months=1,3.00,
    IF(arrears_months=2,5.00,
    IF(arrears_months=3,8.00,
    IF(arrears_months=4,10.00,
    IF(arrears_months=5,12.00,15.00)))))))</f>
        <v/>
      </c>
      <c r="M6477">
        <f>LET(
    seasoning_years,DATEDIF('Loan Tape (S&amp;P)'!K6477,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77">
        <f>IF(AND('Loan Tape (S&amp;P)'!U6477="Yes",
        'Loan Tape (S&amp;P)'!T6477&lt;&gt;"Yes",
        DATEDIF('Loan Tape (S&amp;P)'!K6477, TODAY(), "M")&lt;18),
    1.10,
    1.00)</f>
        <v/>
      </c>
      <c r="O6477">
        <f>IF('Loan Tape (S&amp;P)'!T6477="Yes",
    1.35,
    1.00)</f>
        <v/>
      </c>
      <c r="P6477">
        <f>IF('Loan Tape (S&amp;P)'!S6477="Yes",
    1.15,
    1.00)</f>
        <v/>
      </c>
      <c r="Q6477">
        <f>IF('Loan Tape (S&amp;P)'!V6477="Yes",
    1.20,
    1.00)</f>
        <v/>
      </c>
      <c r="T6477">
        <f>LET(
    payment_method,'Loan Tape (S&amp;P)'!P6477,
    occupancy,'Loan Tape (S&amp;P)'!N6477,
    maturity_date,'Loan Tape (S&amp;P)'!L6477,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78">
      <c r="J6478">
        <f>LET(
    lien,'Loan Tape (S&amp;P)'!Q6478,
    IF(lien="First",1.00,
        IF(lien="Second",1.50,
            1.70)))</f>
        <v/>
      </c>
      <c r="K6478">
        <f>LET(
    purpose,'Loan Tape (S&amp;P)'!R6478,
    IF(purpose="Purchase",1.00,
        IF(purpose="Remortgage",1.00,
            1.20)))</f>
        <v/>
      </c>
      <c r="L6478">
        <f>LET(
    arrears_months,'Loan Tape (S&amp;P)'!AN6478,
    IF(arrears_months=0,1.00,
    IF(arrears_months=1,3.00,
    IF(arrears_months=2,5.00,
    IF(arrears_months=3,8.00,
    IF(arrears_months=4,10.00,
    IF(arrears_months=5,12.00,15.00)))))))</f>
        <v/>
      </c>
      <c r="M6478">
        <f>LET(
    seasoning_years,DATEDIF('Loan Tape (S&amp;P)'!K6478,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78">
        <f>IF(AND('Loan Tape (S&amp;P)'!U6478="Yes",
        'Loan Tape (S&amp;P)'!T6478&lt;&gt;"Yes",
        DATEDIF('Loan Tape (S&amp;P)'!K6478, TODAY(), "M")&lt;18),
    1.10,
    1.00)</f>
        <v/>
      </c>
      <c r="O6478">
        <f>IF('Loan Tape (S&amp;P)'!T6478="Yes",
    1.35,
    1.00)</f>
        <v/>
      </c>
      <c r="P6478">
        <f>IF('Loan Tape (S&amp;P)'!S6478="Yes",
    1.15,
    1.00)</f>
        <v/>
      </c>
      <c r="Q6478">
        <f>IF('Loan Tape (S&amp;P)'!V6478="Yes",
    1.20,
    1.00)</f>
        <v/>
      </c>
      <c r="T6478">
        <f>LET(
    payment_method,'Loan Tape (S&amp;P)'!P6478,
    occupancy,'Loan Tape (S&amp;P)'!N6478,
    maturity_date,'Loan Tape (S&amp;P)'!L6478,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79">
      <c r="J6479">
        <f>LET(
    lien,'Loan Tape (S&amp;P)'!Q6479,
    IF(lien="First",1.00,
        IF(lien="Second",1.50,
            1.70)))</f>
        <v/>
      </c>
      <c r="K6479">
        <f>LET(
    purpose,'Loan Tape (S&amp;P)'!R6479,
    IF(purpose="Purchase",1.00,
        IF(purpose="Remortgage",1.00,
            1.20)))</f>
        <v/>
      </c>
      <c r="L6479">
        <f>LET(
    arrears_months,'Loan Tape (S&amp;P)'!AN6479,
    IF(arrears_months=0,1.00,
    IF(arrears_months=1,3.00,
    IF(arrears_months=2,5.00,
    IF(arrears_months=3,8.00,
    IF(arrears_months=4,10.00,
    IF(arrears_months=5,12.00,15.00)))))))</f>
        <v/>
      </c>
      <c r="M6479">
        <f>LET(
    seasoning_years,DATEDIF('Loan Tape (S&amp;P)'!K6479,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79">
        <f>IF(AND('Loan Tape (S&amp;P)'!U6479="Yes",
        'Loan Tape (S&amp;P)'!T6479&lt;&gt;"Yes",
        DATEDIF('Loan Tape (S&amp;P)'!K6479, TODAY(), "M")&lt;18),
    1.10,
    1.00)</f>
        <v/>
      </c>
      <c r="O6479">
        <f>IF('Loan Tape (S&amp;P)'!T6479="Yes",
    1.35,
    1.00)</f>
        <v/>
      </c>
      <c r="P6479">
        <f>IF('Loan Tape (S&amp;P)'!S6479="Yes",
    1.15,
    1.00)</f>
        <v/>
      </c>
      <c r="Q6479">
        <f>IF('Loan Tape (S&amp;P)'!V6479="Yes",
    1.20,
    1.00)</f>
        <v/>
      </c>
      <c r="T6479">
        <f>LET(
    payment_method,'Loan Tape (S&amp;P)'!P6479,
    occupancy,'Loan Tape (S&amp;P)'!N6479,
    maturity_date,'Loan Tape (S&amp;P)'!L6479,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80">
      <c r="J6480">
        <f>LET(
    lien,'Loan Tape (S&amp;P)'!Q6480,
    IF(lien="First",1.00,
        IF(lien="Second",1.50,
            1.70)))</f>
        <v/>
      </c>
      <c r="K6480">
        <f>LET(
    purpose,'Loan Tape (S&amp;P)'!R6480,
    IF(purpose="Purchase",1.00,
        IF(purpose="Remortgage",1.00,
            1.20)))</f>
        <v/>
      </c>
      <c r="L6480">
        <f>LET(
    arrears_months,'Loan Tape (S&amp;P)'!AN6480,
    IF(arrears_months=0,1.00,
    IF(arrears_months=1,3.00,
    IF(arrears_months=2,5.00,
    IF(arrears_months=3,8.00,
    IF(arrears_months=4,10.00,
    IF(arrears_months=5,12.00,15.00)))))))</f>
        <v/>
      </c>
      <c r="M6480">
        <f>LET(
    seasoning_years,DATEDIF('Loan Tape (S&amp;P)'!K6480,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80">
        <f>IF(AND('Loan Tape (S&amp;P)'!U6480="Yes",
        'Loan Tape (S&amp;P)'!T6480&lt;&gt;"Yes",
        DATEDIF('Loan Tape (S&amp;P)'!K6480, TODAY(), "M")&lt;18),
    1.10,
    1.00)</f>
        <v/>
      </c>
      <c r="O6480">
        <f>IF('Loan Tape (S&amp;P)'!T6480="Yes",
    1.35,
    1.00)</f>
        <v/>
      </c>
      <c r="P6480">
        <f>IF('Loan Tape (S&amp;P)'!S6480="Yes",
    1.15,
    1.00)</f>
        <v/>
      </c>
      <c r="Q6480">
        <f>IF('Loan Tape (S&amp;P)'!V6480="Yes",
    1.20,
    1.00)</f>
        <v/>
      </c>
      <c r="T6480">
        <f>LET(
    payment_method,'Loan Tape (S&amp;P)'!P6480,
    occupancy,'Loan Tape (S&amp;P)'!N6480,
    maturity_date,'Loan Tape (S&amp;P)'!L6480,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81">
      <c r="J6481">
        <f>LET(
    lien,'Loan Tape (S&amp;P)'!Q6481,
    IF(lien="First",1.00,
        IF(lien="Second",1.50,
            1.70)))</f>
        <v/>
      </c>
      <c r="K6481">
        <f>LET(
    purpose,'Loan Tape (S&amp;P)'!R6481,
    IF(purpose="Purchase",1.00,
        IF(purpose="Remortgage",1.00,
            1.20)))</f>
        <v/>
      </c>
      <c r="L6481">
        <f>LET(
    arrears_months,'Loan Tape (S&amp;P)'!AN6481,
    IF(arrears_months=0,1.00,
    IF(arrears_months=1,3.00,
    IF(arrears_months=2,5.00,
    IF(arrears_months=3,8.00,
    IF(arrears_months=4,10.00,
    IF(arrears_months=5,12.00,15.00)))))))</f>
        <v/>
      </c>
      <c r="M6481">
        <f>LET(
    seasoning_years,DATEDIF('Loan Tape (S&amp;P)'!K6481,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81">
        <f>IF(AND('Loan Tape (S&amp;P)'!U6481="Yes",
        'Loan Tape (S&amp;P)'!T6481&lt;&gt;"Yes",
        DATEDIF('Loan Tape (S&amp;P)'!K6481, TODAY(), "M")&lt;18),
    1.10,
    1.00)</f>
        <v/>
      </c>
      <c r="O6481">
        <f>IF('Loan Tape (S&amp;P)'!T6481="Yes",
    1.35,
    1.00)</f>
        <v/>
      </c>
      <c r="P6481">
        <f>IF('Loan Tape (S&amp;P)'!S6481="Yes",
    1.15,
    1.00)</f>
        <v/>
      </c>
      <c r="Q6481">
        <f>IF('Loan Tape (S&amp;P)'!V6481="Yes",
    1.20,
    1.00)</f>
        <v/>
      </c>
      <c r="T6481">
        <f>LET(
    payment_method,'Loan Tape (S&amp;P)'!P6481,
    occupancy,'Loan Tape (S&amp;P)'!N6481,
    maturity_date,'Loan Tape (S&amp;P)'!L6481,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82">
      <c r="J6482">
        <f>LET(
    lien,'Loan Tape (S&amp;P)'!Q6482,
    IF(lien="First",1.00,
        IF(lien="Second",1.50,
            1.70)))</f>
        <v/>
      </c>
      <c r="K6482">
        <f>LET(
    purpose,'Loan Tape (S&amp;P)'!R6482,
    IF(purpose="Purchase",1.00,
        IF(purpose="Remortgage",1.00,
            1.20)))</f>
        <v/>
      </c>
      <c r="L6482">
        <f>LET(
    arrears_months,'Loan Tape (S&amp;P)'!AN6482,
    IF(arrears_months=0,1.00,
    IF(arrears_months=1,3.00,
    IF(arrears_months=2,5.00,
    IF(arrears_months=3,8.00,
    IF(arrears_months=4,10.00,
    IF(arrears_months=5,12.00,15.00)))))))</f>
        <v/>
      </c>
      <c r="M6482">
        <f>LET(
    seasoning_years,DATEDIF('Loan Tape (S&amp;P)'!K6482,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82">
        <f>IF(AND('Loan Tape (S&amp;P)'!U6482="Yes",
        'Loan Tape (S&amp;P)'!T6482&lt;&gt;"Yes",
        DATEDIF('Loan Tape (S&amp;P)'!K6482, TODAY(), "M")&lt;18),
    1.10,
    1.00)</f>
        <v/>
      </c>
      <c r="O6482">
        <f>IF('Loan Tape (S&amp;P)'!T6482="Yes",
    1.35,
    1.00)</f>
        <v/>
      </c>
      <c r="P6482">
        <f>IF('Loan Tape (S&amp;P)'!S6482="Yes",
    1.15,
    1.00)</f>
        <v/>
      </c>
      <c r="Q6482">
        <f>IF('Loan Tape (S&amp;P)'!V6482="Yes",
    1.20,
    1.00)</f>
        <v/>
      </c>
      <c r="T6482">
        <f>LET(
    payment_method,'Loan Tape (S&amp;P)'!P6482,
    occupancy,'Loan Tape (S&amp;P)'!N6482,
    maturity_date,'Loan Tape (S&amp;P)'!L6482,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83">
      <c r="J6483">
        <f>LET(
    lien,'Loan Tape (S&amp;P)'!Q6483,
    IF(lien="First",1.00,
        IF(lien="Second",1.50,
            1.70)))</f>
        <v/>
      </c>
      <c r="K6483">
        <f>LET(
    purpose,'Loan Tape (S&amp;P)'!R6483,
    IF(purpose="Purchase",1.00,
        IF(purpose="Remortgage",1.00,
            1.20)))</f>
        <v/>
      </c>
      <c r="L6483">
        <f>LET(
    arrears_months,'Loan Tape (S&amp;P)'!AN6483,
    IF(arrears_months=0,1.00,
    IF(arrears_months=1,3.00,
    IF(arrears_months=2,5.00,
    IF(arrears_months=3,8.00,
    IF(arrears_months=4,10.00,
    IF(arrears_months=5,12.00,15.00)))))))</f>
        <v/>
      </c>
      <c r="M6483">
        <f>LET(
    seasoning_years,DATEDIF('Loan Tape (S&amp;P)'!K6483,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83">
        <f>IF(AND('Loan Tape (S&amp;P)'!U6483="Yes",
        'Loan Tape (S&amp;P)'!T6483&lt;&gt;"Yes",
        DATEDIF('Loan Tape (S&amp;P)'!K6483, TODAY(), "M")&lt;18),
    1.10,
    1.00)</f>
        <v/>
      </c>
      <c r="O6483">
        <f>IF('Loan Tape (S&amp;P)'!T6483="Yes",
    1.35,
    1.00)</f>
        <v/>
      </c>
      <c r="P6483">
        <f>IF('Loan Tape (S&amp;P)'!S6483="Yes",
    1.15,
    1.00)</f>
        <v/>
      </c>
      <c r="Q6483">
        <f>IF('Loan Tape (S&amp;P)'!V6483="Yes",
    1.20,
    1.00)</f>
        <v/>
      </c>
      <c r="T6483">
        <f>LET(
    payment_method,'Loan Tape (S&amp;P)'!P6483,
    occupancy,'Loan Tape (S&amp;P)'!N6483,
    maturity_date,'Loan Tape (S&amp;P)'!L6483,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84">
      <c r="J6484">
        <f>LET(
    lien,'Loan Tape (S&amp;P)'!Q6484,
    IF(lien="First",1.00,
        IF(lien="Second",1.50,
            1.70)))</f>
        <v/>
      </c>
      <c r="K6484">
        <f>LET(
    purpose,'Loan Tape (S&amp;P)'!R6484,
    IF(purpose="Purchase",1.00,
        IF(purpose="Remortgage",1.00,
            1.20)))</f>
        <v/>
      </c>
      <c r="L6484">
        <f>LET(
    arrears_months,'Loan Tape (S&amp;P)'!AN6484,
    IF(arrears_months=0,1.00,
    IF(arrears_months=1,3.00,
    IF(arrears_months=2,5.00,
    IF(arrears_months=3,8.00,
    IF(arrears_months=4,10.00,
    IF(arrears_months=5,12.00,15.00)))))))</f>
        <v/>
      </c>
      <c r="M6484">
        <f>LET(
    seasoning_years,DATEDIF('Loan Tape (S&amp;P)'!K6484,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84">
        <f>IF(AND('Loan Tape (S&amp;P)'!U6484="Yes",
        'Loan Tape (S&amp;P)'!T6484&lt;&gt;"Yes",
        DATEDIF('Loan Tape (S&amp;P)'!K6484, TODAY(), "M")&lt;18),
    1.10,
    1.00)</f>
        <v/>
      </c>
      <c r="O6484">
        <f>IF('Loan Tape (S&amp;P)'!T6484="Yes",
    1.35,
    1.00)</f>
        <v/>
      </c>
      <c r="P6484">
        <f>IF('Loan Tape (S&amp;P)'!S6484="Yes",
    1.15,
    1.00)</f>
        <v/>
      </c>
      <c r="Q6484">
        <f>IF('Loan Tape (S&amp;P)'!V6484="Yes",
    1.20,
    1.00)</f>
        <v/>
      </c>
      <c r="T6484">
        <f>LET(
    payment_method,'Loan Tape (S&amp;P)'!P6484,
    occupancy,'Loan Tape (S&amp;P)'!N6484,
    maturity_date,'Loan Tape (S&amp;P)'!L6484,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85">
      <c r="J6485">
        <f>LET(
    lien,'Loan Tape (S&amp;P)'!Q6485,
    IF(lien="First",1.00,
        IF(lien="Second",1.50,
            1.70)))</f>
        <v/>
      </c>
      <c r="K6485">
        <f>LET(
    purpose,'Loan Tape (S&amp;P)'!R6485,
    IF(purpose="Purchase",1.00,
        IF(purpose="Remortgage",1.00,
            1.20)))</f>
        <v/>
      </c>
      <c r="L6485">
        <f>LET(
    arrears_months,'Loan Tape (S&amp;P)'!AN6485,
    IF(arrears_months=0,1.00,
    IF(arrears_months=1,3.00,
    IF(arrears_months=2,5.00,
    IF(arrears_months=3,8.00,
    IF(arrears_months=4,10.00,
    IF(arrears_months=5,12.00,15.00)))))))</f>
        <v/>
      </c>
      <c r="M6485">
        <f>LET(
    seasoning_years,DATEDIF('Loan Tape (S&amp;P)'!K6485,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85">
        <f>IF(AND('Loan Tape (S&amp;P)'!U6485="Yes",
        'Loan Tape (S&amp;P)'!T6485&lt;&gt;"Yes",
        DATEDIF('Loan Tape (S&amp;P)'!K6485, TODAY(), "M")&lt;18),
    1.10,
    1.00)</f>
        <v/>
      </c>
      <c r="O6485">
        <f>IF('Loan Tape (S&amp;P)'!T6485="Yes",
    1.35,
    1.00)</f>
        <v/>
      </c>
      <c r="P6485">
        <f>IF('Loan Tape (S&amp;P)'!S6485="Yes",
    1.15,
    1.00)</f>
        <v/>
      </c>
      <c r="Q6485">
        <f>IF('Loan Tape (S&amp;P)'!V6485="Yes",
    1.20,
    1.00)</f>
        <v/>
      </c>
      <c r="T6485">
        <f>LET(
    payment_method,'Loan Tape (S&amp;P)'!P6485,
    occupancy,'Loan Tape (S&amp;P)'!N6485,
    maturity_date,'Loan Tape (S&amp;P)'!L6485,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86">
      <c r="J6486">
        <f>LET(
    lien,'Loan Tape (S&amp;P)'!Q6486,
    IF(lien="First",1.00,
        IF(lien="Second",1.50,
            1.70)))</f>
        <v/>
      </c>
      <c r="K6486">
        <f>LET(
    purpose,'Loan Tape (S&amp;P)'!R6486,
    IF(purpose="Purchase",1.00,
        IF(purpose="Remortgage",1.00,
            1.20)))</f>
        <v/>
      </c>
      <c r="L6486">
        <f>LET(
    arrears_months,'Loan Tape (S&amp;P)'!AN6486,
    IF(arrears_months=0,1.00,
    IF(arrears_months=1,3.00,
    IF(arrears_months=2,5.00,
    IF(arrears_months=3,8.00,
    IF(arrears_months=4,10.00,
    IF(arrears_months=5,12.00,15.00)))))))</f>
        <v/>
      </c>
      <c r="M6486">
        <f>LET(
    seasoning_years,DATEDIF('Loan Tape (S&amp;P)'!K6486,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86">
        <f>IF(AND('Loan Tape (S&amp;P)'!U6486="Yes",
        'Loan Tape (S&amp;P)'!T6486&lt;&gt;"Yes",
        DATEDIF('Loan Tape (S&amp;P)'!K6486, TODAY(), "M")&lt;18),
    1.10,
    1.00)</f>
        <v/>
      </c>
      <c r="O6486">
        <f>IF('Loan Tape (S&amp;P)'!T6486="Yes",
    1.35,
    1.00)</f>
        <v/>
      </c>
      <c r="P6486">
        <f>IF('Loan Tape (S&amp;P)'!S6486="Yes",
    1.15,
    1.00)</f>
        <v/>
      </c>
      <c r="Q6486">
        <f>IF('Loan Tape (S&amp;P)'!V6486="Yes",
    1.20,
    1.00)</f>
        <v/>
      </c>
      <c r="T6486">
        <f>LET(
    payment_method,'Loan Tape (S&amp;P)'!P6486,
    occupancy,'Loan Tape (S&amp;P)'!N6486,
    maturity_date,'Loan Tape (S&amp;P)'!L6486,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87">
      <c r="J6487">
        <f>LET(
    lien,'Loan Tape (S&amp;P)'!Q6487,
    IF(lien="First",1.00,
        IF(lien="Second",1.50,
            1.70)))</f>
        <v/>
      </c>
      <c r="K6487">
        <f>LET(
    purpose,'Loan Tape (S&amp;P)'!R6487,
    IF(purpose="Purchase",1.00,
        IF(purpose="Remortgage",1.00,
            1.20)))</f>
        <v/>
      </c>
      <c r="L6487">
        <f>LET(
    arrears_months,'Loan Tape (S&amp;P)'!AN6487,
    IF(arrears_months=0,1.00,
    IF(arrears_months=1,3.00,
    IF(arrears_months=2,5.00,
    IF(arrears_months=3,8.00,
    IF(arrears_months=4,10.00,
    IF(arrears_months=5,12.00,15.00)))))))</f>
        <v/>
      </c>
      <c r="M6487">
        <f>LET(
    seasoning_years,DATEDIF('Loan Tape (S&amp;P)'!K6487,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87">
        <f>IF(AND('Loan Tape (S&amp;P)'!U6487="Yes",
        'Loan Tape (S&amp;P)'!T6487&lt;&gt;"Yes",
        DATEDIF('Loan Tape (S&amp;P)'!K6487, TODAY(), "M")&lt;18),
    1.10,
    1.00)</f>
        <v/>
      </c>
      <c r="O6487">
        <f>IF('Loan Tape (S&amp;P)'!T6487="Yes",
    1.35,
    1.00)</f>
        <v/>
      </c>
      <c r="P6487">
        <f>IF('Loan Tape (S&amp;P)'!S6487="Yes",
    1.15,
    1.00)</f>
        <v/>
      </c>
      <c r="Q6487">
        <f>IF('Loan Tape (S&amp;P)'!V6487="Yes",
    1.20,
    1.00)</f>
        <v/>
      </c>
      <c r="T6487">
        <f>LET(
    payment_method,'Loan Tape (S&amp;P)'!P6487,
    occupancy,'Loan Tape (S&amp;P)'!N6487,
    maturity_date,'Loan Tape (S&amp;P)'!L6487,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88">
      <c r="J6488">
        <f>LET(
    lien,'Loan Tape (S&amp;P)'!Q6488,
    IF(lien="First",1.00,
        IF(lien="Second",1.50,
            1.70)))</f>
        <v/>
      </c>
      <c r="K6488">
        <f>LET(
    purpose,'Loan Tape (S&amp;P)'!R6488,
    IF(purpose="Purchase",1.00,
        IF(purpose="Remortgage",1.00,
            1.20)))</f>
        <v/>
      </c>
      <c r="L6488">
        <f>LET(
    arrears_months,'Loan Tape (S&amp;P)'!AN6488,
    IF(arrears_months=0,1.00,
    IF(arrears_months=1,3.00,
    IF(arrears_months=2,5.00,
    IF(arrears_months=3,8.00,
    IF(arrears_months=4,10.00,
    IF(arrears_months=5,12.00,15.00)))))))</f>
        <v/>
      </c>
      <c r="M6488">
        <f>LET(
    seasoning_years,DATEDIF('Loan Tape (S&amp;P)'!K6488,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88">
        <f>IF(AND('Loan Tape (S&amp;P)'!U6488="Yes",
        'Loan Tape (S&amp;P)'!T6488&lt;&gt;"Yes",
        DATEDIF('Loan Tape (S&amp;P)'!K6488, TODAY(), "M")&lt;18),
    1.10,
    1.00)</f>
        <v/>
      </c>
      <c r="O6488">
        <f>IF('Loan Tape (S&amp;P)'!T6488="Yes",
    1.35,
    1.00)</f>
        <v/>
      </c>
      <c r="P6488">
        <f>IF('Loan Tape (S&amp;P)'!S6488="Yes",
    1.15,
    1.00)</f>
        <v/>
      </c>
      <c r="Q6488">
        <f>IF('Loan Tape (S&amp;P)'!V6488="Yes",
    1.20,
    1.00)</f>
        <v/>
      </c>
      <c r="T6488">
        <f>LET(
    payment_method,'Loan Tape (S&amp;P)'!P6488,
    occupancy,'Loan Tape (S&amp;P)'!N6488,
    maturity_date,'Loan Tape (S&amp;P)'!L6488,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89">
      <c r="J6489">
        <f>LET(
    lien,'Loan Tape (S&amp;P)'!Q6489,
    IF(lien="First",1.00,
        IF(lien="Second",1.50,
            1.70)))</f>
        <v/>
      </c>
      <c r="K6489">
        <f>LET(
    purpose,'Loan Tape (S&amp;P)'!R6489,
    IF(purpose="Purchase",1.00,
        IF(purpose="Remortgage",1.00,
            1.20)))</f>
        <v/>
      </c>
      <c r="L6489">
        <f>LET(
    arrears_months,'Loan Tape (S&amp;P)'!AN6489,
    IF(arrears_months=0,1.00,
    IF(arrears_months=1,3.00,
    IF(arrears_months=2,5.00,
    IF(arrears_months=3,8.00,
    IF(arrears_months=4,10.00,
    IF(arrears_months=5,12.00,15.00)))))))</f>
        <v/>
      </c>
      <c r="M6489">
        <f>LET(
    seasoning_years,DATEDIF('Loan Tape (S&amp;P)'!K6489,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89">
        <f>IF(AND('Loan Tape (S&amp;P)'!U6489="Yes",
        'Loan Tape (S&amp;P)'!T6489&lt;&gt;"Yes",
        DATEDIF('Loan Tape (S&amp;P)'!K6489, TODAY(), "M")&lt;18),
    1.10,
    1.00)</f>
        <v/>
      </c>
      <c r="O6489">
        <f>IF('Loan Tape (S&amp;P)'!T6489="Yes",
    1.35,
    1.00)</f>
        <v/>
      </c>
      <c r="P6489">
        <f>IF('Loan Tape (S&amp;P)'!S6489="Yes",
    1.15,
    1.00)</f>
        <v/>
      </c>
      <c r="Q6489">
        <f>IF('Loan Tape (S&amp;P)'!V6489="Yes",
    1.20,
    1.00)</f>
        <v/>
      </c>
      <c r="T6489">
        <f>LET(
    payment_method,'Loan Tape (S&amp;P)'!P6489,
    occupancy,'Loan Tape (S&amp;P)'!N6489,
    maturity_date,'Loan Tape (S&amp;P)'!L6489,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90">
      <c r="J6490">
        <f>LET(
    lien,'Loan Tape (S&amp;P)'!Q6490,
    IF(lien="First",1.00,
        IF(lien="Second",1.50,
            1.70)))</f>
        <v/>
      </c>
      <c r="K6490">
        <f>LET(
    purpose,'Loan Tape (S&amp;P)'!R6490,
    IF(purpose="Purchase",1.00,
        IF(purpose="Remortgage",1.00,
            1.20)))</f>
        <v/>
      </c>
      <c r="L6490">
        <f>LET(
    arrears_months,'Loan Tape (S&amp;P)'!AN6490,
    IF(arrears_months=0,1.00,
    IF(arrears_months=1,3.00,
    IF(arrears_months=2,5.00,
    IF(arrears_months=3,8.00,
    IF(arrears_months=4,10.00,
    IF(arrears_months=5,12.00,15.00)))))))</f>
        <v/>
      </c>
      <c r="M6490">
        <f>LET(
    seasoning_years,DATEDIF('Loan Tape (S&amp;P)'!K6490,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90">
        <f>IF(AND('Loan Tape (S&amp;P)'!U6490="Yes",
        'Loan Tape (S&amp;P)'!T6490&lt;&gt;"Yes",
        DATEDIF('Loan Tape (S&amp;P)'!K6490, TODAY(), "M")&lt;18),
    1.10,
    1.00)</f>
        <v/>
      </c>
      <c r="O6490">
        <f>IF('Loan Tape (S&amp;P)'!T6490="Yes",
    1.35,
    1.00)</f>
        <v/>
      </c>
      <c r="P6490">
        <f>IF('Loan Tape (S&amp;P)'!S6490="Yes",
    1.15,
    1.00)</f>
        <v/>
      </c>
      <c r="Q6490">
        <f>IF('Loan Tape (S&amp;P)'!V6490="Yes",
    1.20,
    1.00)</f>
        <v/>
      </c>
      <c r="T6490">
        <f>LET(
    payment_method,'Loan Tape (S&amp;P)'!P6490,
    occupancy,'Loan Tape (S&amp;P)'!N6490,
    maturity_date,'Loan Tape (S&amp;P)'!L6490,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91">
      <c r="J6491">
        <f>LET(
    lien,'Loan Tape (S&amp;P)'!Q6491,
    IF(lien="First",1.00,
        IF(lien="Second",1.50,
            1.70)))</f>
        <v/>
      </c>
      <c r="K6491">
        <f>LET(
    purpose,'Loan Tape (S&amp;P)'!R6491,
    IF(purpose="Purchase",1.00,
        IF(purpose="Remortgage",1.00,
            1.20)))</f>
        <v/>
      </c>
      <c r="L6491">
        <f>LET(
    arrears_months,'Loan Tape (S&amp;P)'!AN6491,
    IF(arrears_months=0,1.00,
    IF(arrears_months=1,3.00,
    IF(arrears_months=2,5.00,
    IF(arrears_months=3,8.00,
    IF(arrears_months=4,10.00,
    IF(arrears_months=5,12.00,15.00)))))))</f>
        <v/>
      </c>
      <c r="M6491">
        <f>LET(
    seasoning_years,DATEDIF('Loan Tape (S&amp;P)'!K6491,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91">
        <f>IF(AND('Loan Tape (S&amp;P)'!U6491="Yes",
        'Loan Tape (S&amp;P)'!T6491&lt;&gt;"Yes",
        DATEDIF('Loan Tape (S&amp;P)'!K6491, TODAY(), "M")&lt;18),
    1.10,
    1.00)</f>
        <v/>
      </c>
      <c r="O6491">
        <f>IF('Loan Tape (S&amp;P)'!T6491="Yes",
    1.35,
    1.00)</f>
        <v/>
      </c>
      <c r="P6491">
        <f>IF('Loan Tape (S&amp;P)'!S6491="Yes",
    1.15,
    1.00)</f>
        <v/>
      </c>
      <c r="Q6491">
        <f>IF('Loan Tape (S&amp;P)'!V6491="Yes",
    1.20,
    1.00)</f>
        <v/>
      </c>
      <c r="T6491">
        <f>LET(
    payment_method,'Loan Tape (S&amp;P)'!P6491,
    occupancy,'Loan Tape (S&amp;P)'!N6491,
    maturity_date,'Loan Tape (S&amp;P)'!L6491,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92">
      <c r="J6492">
        <f>LET(
    lien,'Loan Tape (S&amp;P)'!Q6492,
    IF(lien="First",1.00,
        IF(lien="Second",1.50,
            1.70)))</f>
        <v/>
      </c>
      <c r="K6492">
        <f>LET(
    purpose,'Loan Tape (S&amp;P)'!R6492,
    IF(purpose="Purchase",1.00,
        IF(purpose="Remortgage",1.00,
            1.20)))</f>
        <v/>
      </c>
      <c r="L6492">
        <f>LET(
    arrears_months,'Loan Tape (S&amp;P)'!AN6492,
    IF(arrears_months=0,1.00,
    IF(arrears_months=1,3.00,
    IF(arrears_months=2,5.00,
    IF(arrears_months=3,8.00,
    IF(arrears_months=4,10.00,
    IF(arrears_months=5,12.00,15.00)))))))</f>
        <v/>
      </c>
      <c r="M6492">
        <f>LET(
    seasoning_years,DATEDIF('Loan Tape (S&amp;P)'!K6492,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92">
        <f>IF(AND('Loan Tape (S&amp;P)'!U6492="Yes",
        'Loan Tape (S&amp;P)'!T6492&lt;&gt;"Yes",
        DATEDIF('Loan Tape (S&amp;P)'!K6492, TODAY(), "M")&lt;18),
    1.10,
    1.00)</f>
        <v/>
      </c>
      <c r="O6492">
        <f>IF('Loan Tape (S&amp;P)'!T6492="Yes",
    1.35,
    1.00)</f>
        <v/>
      </c>
      <c r="P6492">
        <f>IF('Loan Tape (S&amp;P)'!S6492="Yes",
    1.15,
    1.00)</f>
        <v/>
      </c>
      <c r="Q6492">
        <f>IF('Loan Tape (S&amp;P)'!V6492="Yes",
    1.20,
    1.00)</f>
        <v/>
      </c>
      <c r="T6492">
        <f>LET(
    payment_method,'Loan Tape (S&amp;P)'!P6492,
    occupancy,'Loan Tape (S&amp;P)'!N6492,
    maturity_date,'Loan Tape (S&amp;P)'!L6492,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93">
      <c r="J6493">
        <f>LET(
    lien,'Loan Tape (S&amp;P)'!Q6493,
    IF(lien="First",1.00,
        IF(lien="Second",1.50,
            1.70)))</f>
        <v/>
      </c>
      <c r="K6493">
        <f>LET(
    purpose,'Loan Tape (S&amp;P)'!R6493,
    IF(purpose="Purchase",1.00,
        IF(purpose="Remortgage",1.00,
            1.20)))</f>
        <v/>
      </c>
      <c r="L6493">
        <f>LET(
    arrears_months,'Loan Tape (S&amp;P)'!AN6493,
    IF(arrears_months=0,1.00,
    IF(arrears_months=1,3.00,
    IF(arrears_months=2,5.00,
    IF(arrears_months=3,8.00,
    IF(arrears_months=4,10.00,
    IF(arrears_months=5,12.00,15.00)))))))</f>
        <v/>
      </c>
      <c r="M6493">
        <f>LET(
    seasoning_years,DATEDIF('Loan Tape (S&amp;P)'!K6493,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93">
        <f>IF(AND('Loan Tape (S&amp;P)'!U6493="Yes",
        'Loan Tape (S&amp;P)'!T6493&lt;&gt;"Yes",
        DATEDIF('Loan Tape (S&amp;P)'!K6493, TODAY(), "M")&lt;18),
    1.10,
    1.00)</f>
        <v/>
      </c>
      <c r="O6493">
        <f>IF('Loan Tape (S&amp;P)'!T6493="Yes",
    1.35,
    1.00)</f>
        <v/>
      </c>
      <c r="P6493">
        <f>IF('Loan Tape (S&amp;P)'!S6493="Yes",
    1.15,
    1.00)</f>
        <v/>
      </c>
      <c r="Q6493">
        <f>IF('Loan Tape (S&amp;P)'!V6493="Yes",
    1.20,
    1.00)</f>
        <v/>
      </c>
      <c r="T6493">
        <f>LET(
    payment_method,'Loan Tape (S&amp;P)'!P6493,
    occupancy,'Loan Tape (S&amp;P)'!N6493,
    maturity_date,'Loan Tape (S&amp;P)'!L6493,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94">
      <c r="J6494">
        <f>LET(
    lien,'Loan Tape (S&amp;P)'!Q6494,
    IF(lien="First",1.00,
        IF(lien="Second",1.50,
            1.70)))</f>
        <v/>
      </c>
      <c r="K6494">
        <f>LET(
    purpose,'Loan Tape (S&amp;P)'!R6494,
    IF(purpose="Purchase",1.00,
        IF(purpose="Remortgage",1.00,
            1.20)))</f>
        <v/>
      </c>
      <c r="L6494">
        <f>LET(
    arrears_months,'Loan Tape (S&amp;P)'!AN6494,
    IF(arrears_months=0,1.00,
    IF(arrears_months=1,3.00,
    IF(arrears_months=2,5.00,
    IF(arrears_months=3,8.00,
    IF(arrears_months=4,10.00,
    IF(arrears_months=5,12.00,15.00)))))))</f>
        <v/>
      </c>
      <c r="M6494">
        <f>LET(
    seasoning_years,DATEDIF('Loan Tape (S&amp;P)'!K6494,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94">
        <f>IF(AND('Loan Tape (S&amp;P)'!U6494="Yes",
        'Loan Tape (S&amp;P)'!T6494&lt;&gt;"Yes",
        DATEDIF('Loan Tape (S&amp;P)'!K6494, TODAY(), "M")&lt;18),
    1.10,
    1.00)</f>
        <v/>
      </c>
      <c r="O6494">
        <f>IF('Loan Tape (S&amp;P)'!T6494="Yes",
    1.35,
    1.00)</f>
        <v/>
      </c>
      <c r="P6494">
        <f>IF('Loan Tape (S&amp;P)'!S6494="Yes",
    1.15,
    1.00)</f>
        <v/>
      </c>
      <c r="Q6494">
        <f>IF('Loan Tape (S&amp;P)'!V6494="Yes",
    1.20,
    1.00)</f>
        <v/>
      </c>
      <c r="T6494">
        <f>LET(
    payment_method,'Loan Tape (S&amp;P)'!P6494,
    occupancy,'Loan Tape (S&amp;P)'!N6494,
    maturity_date,'Loan Tape (S&amp;P)'!L6494,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95">
      <c r="J6495">
        <f>LET(
    lien,'Loan Tape (S&amp;P)'!Q6495,
    IF(lien="First",1.00,
        IF(lien="Second",1.50,
            1.70)))</f>
        <v/>
      </c>
      <c r="K6495">
        <f>LET(
    purpose,'Loan Tape (S&amp;P)'!R6495,
    IF(purpose="Purchase",1.00,
        IF(purpose="Remortgage",1.00,
            1.20)))</f>
        <v/>
      </c>
      <c r="L6495">
        <f>LET(
    arrears_months,'Loan Tape (S&amp;P)'!AN6495,
    IF(arrears_months=0,1.00,
    IF(arrears_months=1,3.00,
    IF(arrears_months=2,5.00,
    IF(arrears_months=3,8.00,
    IF(arrears_months=4,10.00,
    IF(arrears_months=5,12.00,15.00)))))))</f>
        <v/>
      </c>
      <c r="M6495">
        <f>LET(
    seasoning_years,DATEDIF('Loan Tape (S&amp;P)'!K6495,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95">
        <f>IF(AND('Loan Tape (S&amp;P)'!U6495="Yes",
        'Loan Tape (S&amp;P)'!T6495&lt;&gt;"Yes",
        DATEDIF('Loan Tape (S&amp;P)'!K6495, TODAY(), "M")&lt;18),
    1.10,
    1.00)</f>
        <v/>
      </c>
      <c r="O6495">
        <f>IF('Loan Tape (S&amp;P)'!T6495="Yes",
    1.35,
    1.00)</f>
        <v/>
      </c>
      <c r="P6495">
        <f>IF('Loan Tape (S&amp;P)'!S6495="Yes",
    1.15,
    1.00)</f>
        <v/>
      </c>
      <c r="Q6495">
        <f>IF('Loan Tape (S&amp;P)'!V6495="Yes",
    1.20,
    1.00)</f>
        <v/>
      </c>
      <c r="T6495">
        <f>LET(
    payment_method,'Loan Tape (S&amp;P)'!P6495,
    occupancy,'Loan Tape (S&amp;P)'!N6495,
    maturity_date,'Loan Tape (S&amp;P)'!L6495,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96">
      <c r="J6496">
        <f>LET(
    lien,'Loan Tape (S&amp;P)'!Q6496,
    IF(lien="First",1.00,
        IF(lien="Second",1.50,
            1.70)))</f>
        <v/>
      </c>
      <c r="K6496">
        <f>LET(
    purpose,'Loan Tape (S&amp;P)'!R6496,
    IF(purpose="Purchase",1.00,
        IF(purpose="Remortgage",1.00,
            1.20)))</f>
        <v/>
      </c>
      <c r="L6496">
        <f>LET(
    arrears_months,'Loan Tape (S&amp;P)'!AN6496,
    IF(arrears_months=0,1.00,
    IF(arrears_months=1,3.00,
    IF(arrears_months=2,5.00,
    IF(arrears_months=3,8.00,
    IF(arrears_months=4,10.00,
    IF(arrears_months=5,12.00,15.00)))))))</f>
        <v/>
      </c>
      <c r="M6496">
        <f>LET(
    seasoning_years,DATEDIF('Loan Tape (S&amp;P)'!K6496,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96">
        <f>IF(AND('Loan Tape (S&amp;P)'!U6496="Yes",
        'Loan Tape (S&amp;P)'!T6496&lt;&gt;"Yes",
        DATEDIF('Loan Tape (S&amp;P)'!K6496, TODAY(), "M")&lt;18),
    1.10,
    1.00)</f>
        <v/>
      </c>
      <c r="O6496">
        <f>IF('Loan Tape (S&amp;P)'!T6496="Yes",
    1.35,
    1.00)</f>
        <v/>
      </c>
      <c r="P6496">
        <f>IF('Loan Tape (S&amp;P)'!S6496="Yes",
    1.15,
    1.00)</f>
        <v/>
      </c>
      <c r="Q6496">
        <f>IF('Loan Tape (S&amp;P)'!V6496="Yes",
    1.20,
    1.00)</f>
        <v/>
      </c>
      <c r="T6496">
        <f>LET(
    payment_method,'Loan Tape (S&amp;P)'!P6496,
    occupancy,'Loan Tape (S&amp;P)'!N6496,
    maturity_date,'Loan Tape (S&amp;P)'!L6496,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97">
      <c r="J6497">
        <f>LET(
    lien,'Loan Tape (S&amp;P)'!Q6497,
    IF(lien="First",1.00,
        IF(lien="Second",1.50,
            1.70)))</f>
        <v/>
      </c>
      <c r="K6497">
        <f>LET(
    purpose,'Loan Tape (S&amp;P)'!R6497,
    IF(purpose="Purchase",1.00,
        IF(purpose="Remortgage",1.00,
            1.20)))</f>
        <v/>
      </c>
      <c r="L6497">
        <f>LET(
    arrears_months,'Loan Tape (S&amp;P)'!AN6497,
    IF(arrears_months=0,1.00,
    IF(arrears_months=1,3.00,
    IF(arrears_months=2,5.00,
    IF(arrears_months=3,8.00,
    IF(arrears_months=4,10.00,
    IF(arrears_months=5,12.00,15.00)))))))</f>
        <v/>
      </c>
      <c r="M6497">
        <f>LET(
    seasoning_years,DATEDIF('Loan Tape (S&amp;P)'!K6497,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97">
        <f>IF(AND('Loan Tape (S&amp;P)'!U6497="Yes",
        'Loan Tape (S&amp;P)'!T6497&lt;&gt;"Yes",
        DATEDIF('Loan Tape (S&amp;P)'!K6497, TODAY(), "M")&lt;18),
    1.10,
    1.00)</f>
        <v/>
      </c>
      <c r="O6497">
        <f>IF('Loan Tape (S&amp;P)'!T6497="Yes",
    1.35,
    1.00)</f>
        <v/>
      </c>
      <c r="P6497">
        <f>IF('Loan Tape (S&amp;P)'!S6497="Yes",
    1.15,
    1.00)</f>
        <v/>
      </c>
      <c r="Q6497">
        <f>IF('Loan Tape (S&amp;P)'!V6497="Yes",
    1.20,
    1.00)</f>
        <v/>
      </c>
      <c r="T6497">
        <f>LET(
    payment_method,'Loan Tape (S&amp;P)'!P6497,
    occupancy,'Loan Tape (S&amp;P)'!N6497,
    maturity_date,'Loan Tape (S&amp;P)'!L6497,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98">
      <c r="J6498">
        <f>LET(
    lien,'Loan Tape (S&amp;P)'!Q6498,
    IF(lien="First",1.00,
        IF(lien="Second",1.50,
            1.70)))</f>
        <v/>
      </c>
      <c r="K6498">
        <f>LET(
    purpose,'Loan Tape (S&amp;P)'!R6498,
    IF(purpose="Purchase",1.00,
        IF(purpose="Remortgage",1.00,
            1.20)))</f>
        <v/>
      </c>
      <c r="L6498">
        <f>LET(
    arrears_months,'Loan Tape (S&amp;P)'!AN6498,
    IF(arrears_months=0,1.00,
    IF(arrears_months=1,3.00,
    IF(arrears_months=2,5.00,
    IF(arrears_months=3,8.00,
    IF(arrears_months=4,10.00,
    IF(arrears_months=5,12.00,15.00)))))))</f>
        <v/>
      </c>
      <c r="M6498">
        <f>LET(
    seasoning_years,DATEDIF('Loan Tape (S&amp;P)'!K6498,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98">
        <f>IF(AND('Loan Tape (S&amp;P)'!U6498="Yes",
        'Loan Tape (S&amp;P)'!T6498&lt;&gt;"Yes",
        DATEDIF('Loan Tape (S&amp;P)'!K6498, TODAY(), "M")&lt;18),
    1.10,
    1.00)</f>
        <v/>
      </c>
      <c r="O6498">
        <f>IF('Loan Tape (S&amp;P)'!T6498="Yes",
    1.35,
    1.00)</f>
        <v/>
      </c>
      <c r="P6498">
        <f>IF('Loan Tape (S&amp;P)'!S6498="Yes",
    1.15,
    1.00)</f>
        <v/>
      </c>
      <c r="Q6498">
        <f>IF('Loan Tape (S&amp;P)'!V6498="Yes",
    1.20,
    1.00)</f>
        <v/>
      </c>
      <c r="T6498">
        <f>LET(
    payment_method,'Loan Tape (S&amp;P)'!P6498,
    occupancy,'Loan Tape (S&amp;P)'!N6498,
    maturity_date,'Loan Tape (S&amp;P)'!L6498,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499">
      <c r="J6499">
        <f>LET(
    lien,'Loan Tape (S&amp;P)'!Q6499,
    IF(lien="First",1.00,
        IF(lien="Second",1.50,
            1.70)))</f>
        <v/>
      </c>
      <c r="K6499">
        <f>LET(
    purpose,'Loan Tape (S&amp;P)'!R6499,
    IF(purpose="Purchase",1.00,
        IF(purpose="Remortgage",1.00,
            1.20)))</f>
        <v/>
      </c>
      <c r="L6499">
        <f>LET(
    arrears_months,'Loan Tape (S&amp;P)'!AN6499,
    IF(arrears_months=0,1.00,
    IF(arrears_months=1,3.00,
    IF(arrears_months=2,5.00,
    IF(arrears_months=3,8.00,
    IF(arrears_months=4,10.00,
    IF(arrears_months=5,12.00,15.00)))))))</f>
        <v/>
      </c>
      <c r="M6499">
        <f>LET(
    seasoning_years,DATEDIF('Loan Tape (S&amp;P)'!K6499,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499">
        <f>IF(AND('Loan Tape (S&amp;P)'!U6499="Yes",
        'Loan Tape (S&amp;P)'!T6499&lt;&gt;"Yes",
        DATEDIF('Loan Tape (S&amp;P)'!K6499, TODAY(), "M")&lt;18),
    1.10,
    1.00)</f>
        <v/>
      </c>
      <c r="O6499">
        <f>IF('Loan Tape (S&amp;P)'!T6499="Yes",
    1.35,
    1.00)</f>
        <v/>
      </c>
      <c r="P6499">
        <f>IF('Loan Tape (S&amp;P)'!S6499="Yes",
    1.15,
    1.00)</f>
        <v/>
      </c>
      <c r="Q6499">
        <f>IF('Loan Tape (S&amp;P)'!V6499="Yes",
    1.20,
    1.00)</f>
        <v/>
      </c>
      <c r="T6499">
        <f>LET(
    payment_method,'Loan Tape (S&amp;P)'!P6499,
    occupancy,'Loan Tape (S&amp;P)'!N6499,
    maturity_date,'Loan Tape (S&amp;P)'!L6499,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00">
      <c r="J6500">
        <f>LET(
    lien,'Loan Tape (S&amp;P)'!Q6500,
    IF(lien="First",1.00,
        IF(lien="Second",1.50,
            1.70)))</f>
        <v/>
      </c>
      <c r="K6500">
        <f>LET(
    purpose,'Loan Tape (S&amp;P)'!R6500,
    IF(purpose="Purchase",1.00,
        IF(purpose="Remortgage",1.00,
            1.20)))</f>
        <v/>
      </c>
      <c r="L6500">
        <f>LET(
    arrears_months,'Loan Tape (S&amp;P)'!AN6500,
    IF(arrears_months=0,1.00,
    IF(arrears_months=1,3.00,
    IF(arrears_months=2,5.00,
    IF(arrears_months=3,8.00,
    IF(arrears_months=4,10.00,
    IF(arrears_months=5,12.00,15.00)))))))</f>
        <v/>
      </c>
      <c r="M6500">
        <f>LET(
    seasoning_years,DATEDIF('Loan Tape (S&amp;P)'!K6500,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00">
        <f>IF(AND('Loan Tape (S&amp;P)'!U6500="Yes",
        'Loan Tape (S&amp;P)'!T6500&lt;&gt;"Yes",
        DATEDIF('Loan Tape (S&amp;P)'!K6500, TODAY(), "M")&lt;18),
    1.10,
    1.00)</f>
        <v/>
      </c>
      <c r="O6500">
        <f>IF('Loan Tape (S&amp;P)'!T6500="Yes",
    1.35,
    1.00)</f>
        <v/>
      </c>
      <c r="P6500">
        <f>IF('Loan Tape (S&amp;P)'!S6500="Yes",
    1.15,
    1.00)</f>
        <v/>
      </c>
      <c r="Q6500">
        <f>IF('Loan Tape (S&amp;P)'!V6500="Yes",
    1.20,
    1.00)</f>
        <v/>
      </c>
      <c r="T6500">
        <f>LET(
    payment_method,'Loan Tape (S&amp;P)'!P6500,
    occupancy,'Loan Tape (S&amp;P)'!N6500,
    maturity_date,'Loan Tape (S&amp;P)'!L6500,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01">
      <c r="J6501">
        <f>LET(
    lien,'Loan Tape (S&amp;P)'!Q6501,
    IF(lien="First",1.00,
        IF(lien="Second",1.50,
            1.70)))</f>
        <v/>
      </c>
      <c r="K6501">
        <f>LET(
    purpose,'Loan Tape (S&amp;P)'!R6501,
    IF(purpose="Purchase",1.00,
        IF(purpose="Remortgage",1.00,
            1.20)))</f>
        <v/>
      </c>
      <c r="L6501">
        <f>LET(
    arrears_months,'Loan Tape (S&amp;P)'!AN6501,
    IF(arrears_months=0,1.00,
    IF(arrears_months=1,3.00,
    IF(arrears_months=2,5.00,
    IF(arrears_months=3,8.00,
    IF(arrears_months=4,10.00,
    IF(arrears_months=5,12.00,15.00)))))))</f>
        <v/>
      </c>
      <c r="M6501">
        <f>LET(
    seasoning_years,DATEDIF('Loan Tape (S&amp;P)'!K6501,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01">
        <f>IF(AND('Loan Tape (S&amp;P)'!U6501="Yes",
        'Loan Tape (S&amp;P)'!T6501&lt;&gt;"Yes",
        DATEDIF('Loan Tape (S&amp;P)'!K6501, TODAY(), "M")&lt;18),
    1.10,
    1.00)</f>
        <v/>
      </c>
      <c r="O6501">
        <f>IF('Loan Tape (S&amp;P)'!T6501="Yes",
    1.35,
    1.00)</f>
        <v/>
      </c>
      <c r="P6501">
        <f>IF('Loan Tape (S&amp;P)'!S6501="Yes",
    1.15,
    1.00)</f>
        <v/>
      </c>
      <c r="Q6501">
        <f>IF('Loan Tape (S&amp;P)'!V6501="Yes",
    1.20,
    1.00)</f>
        <v/>
      </c>
      <c r="T6501">
        <f>LET(
    payment_method,'Loan Tape (S&amp;P)'!P6501,
    occupancy,'Loan Tape (S&amp;P)'!N6501,
    maturity_date,'Loan Tape (S&amp;P)'!L6501,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02">
      <c r="J6502">
        <f>LET(
    lien,'Loan Tape (S&amp;P)'!Q6502,
    IF(lien="First",1.00,
        IF(lien="Second",1.50,
            1.70)))</f>
        <v/>
      </c>
      <c r="K6502">
        <f>LET(
    purpose,'Loan Tape (S&amp;P)'!R6502,
    IF(purpose="Purchase",1.00,
        IF(purpose="Remortgage",1.00,
            1.20)))</f>
        <v/>
      </c>
      <c r="L6502">
        <f>LET(
    arrears_months,'Loan Tape (S&amp;P)'!AN6502,
    IF(arrears_months=0,1.00,
    IF(arrears_months=1,3.00,
    IF(arrears_months=2,5.00,
    IF(arrears_months=3,8.00,
    IF(arrears_months=4,10.00,
    IF(arrears_months=5,12.00,15.00)))))))</f>
        <v/>
      </c>
      <c r="M6502">
        <f>LET(
    seasoning_years,DATEDIF('Loan Tape (S&amp;P)'!K6502,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02">
        <f>IF(AND('Loan Tape (S&amp;P)'!U6502="Yes",
        'Loan Tape (S&amp;P)'!T6502&lt;&gt;"Yes",
        DATEDIF('Loan Tape (S&amp;P)'!K6502, TODAY(), "M")&lt;18),
    1.10,
    1.00)</f>
        <v/>
      </c>
      <c r="O6502">
        <f>IF('Loan Tape (S&amp;P)'!T6502="Yes",
    1.35,
    1.00)</f>
        <v/>
      </c>
      <c r="P6502">
        <f>IF('Loan Tape (S&amp;P)'!S6502="Yes",
    1.15,
    1.00)</f>
        <v/>
      </c>
      <c r="Q6502">
        <f>IF('Loan Tape (S&amp;P)'!V6502="Yes",
    1.20,
    1.00)</f>
        <v/>
      </c>
      <c r="T6502">
        <f>LET(
    payment_method,'Loan Tape (S&amp;P)'!P6502,
    occupancy,'Loan Tape (S&amp;P)'!N6502,
    maturity_date,'Loan Tape (S&amp;P)'!L6502,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03">
      <c r="J6503">
        <f>LET(
    lien,'Loan Tape (S&amp;P)'!Q6503,
    IF(lien="First",1.00,
        IF(lien="Second",1.50,
            1.70)))</f>
        <v/>
      </c>
      <c r="K6503">
        <f>LET(
    purpose,'Loan Tape (S&amp;P)'!R6503,
    IF(purpose="Purchase",1.00,
        IF(purpose="Remortgage",1.00,
            1.20)))</f>
        <v/>
      </c>
      <c r="L6503">
        <f>LET(
    arrears_months,'Loan Tape (S&amp;P)'!AN6503,
    IF(arrears_months=0,1.00,
    IF(arrears_months=1,3.00,
    IF(arrears_months=2,5.00,
    IF(arrears_months=3,8.00,
    IF(arrears_months=4,10.00,
    IF(arrears_months=5,12.00,15.00)))))))</f>
        <v/>
      </c>
      <c r="M6503">
        <f>LET(
    seasoning_years,DATEDIF('Loan Tape (S&amp;P)'!K6503,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03">
        <f>IF(AND('Loan Tape (S&amp;P)'!U6503="Yes",
        'Loan Tape (S&amp;P)'!T6503&lt;&gt;"Yes",
        DATEDIF('Loan Tape (S&amp;P)'!K6503, TODAY(), "M")&lt;18),
    1.10,
    1.00)</f>
        <v/>
      </c>
      <c r="O6503">
        <f>IF('Loan Tape (S&amp;P)'!T6503="Yes",
    1.35,
    1.00)</f>
        <v/>
      </c>
      <c r="P6503">
        <f>IF('Loan Tape (S&amp;P)'!S6503="Yes",
    1.15,
    1.00)</f>
        <v/>
      </c>
      <c r="Q6503">
        <f>IF('Loan Tape (S&amp;P)'!V6503="Yes",
    1.20,
    1.00)</f>
        <v/>
      </c>
      <c r="T6503">
        <f>LET(
    payment_method,'Loan Tape (S&amp;P)'!P6503,
    occupancy,'Loan Tape (S&amp;P)'!N6503,
    maturity_date,'Loan Tape (S&amp;P)'!L6503,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04">
      <c r="J6504">
        <f>LET(
    lien,'Loan Tape (S&amp;P)'!Q6504,
    IF(lien="First",1.00,
        IF(lien="Second",1.50,
            1.70)))</f>
        <v/>
      </c>
      <c r="K6504">
        <f>LET(
    purpose,'Loan Tape (S&amp;P)'!R6504,
    IF(purpose="Purchase",1.00,
        IF(purpose="Remortgage",1.00,
            1.20)))</f>
        <v/>
      </c>
      <c r="L6504">
        <f>LET(
    arrears_months,'Loan Tape (S&amp;P)'!AN6504,
    IF(arrears_months=0,1.00,
    IF(arrears_months=1,3.00,
    IF(arrears_months=2,5.00,
    IF(arrears_months=3,8.00,
    IF(arrears_months=4,10.00,
    IF(arrears_months=5,12.00,15.00)))))))</f>
        <v/>
      </c>
      <c r="M6504">
        <f>LET(
    seasoning_years,DATEDIF('Loan Tape (S&amp;P)'!K6504,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04">
        <f>IF(AND('Loan Tape (S&amp;P)'!U6504="Yes",
        'Loan Tape (S&amp;P)'!T6504&lt;&gt;"Yes",
        DATEDIF('Loan Tape (S&amp;P)'!K6504, TODAY(), "M")&lt;18),
    1.10,
    1.00)</f>
        <v/>
      </c>
      <c r="O6504">
        <f>IF('Loan Tape (S&amp;P)'!T6504="Yes",
    1.35,
    1.00)</f>
        <v/>
      </c>
      <c r="P6504">
        <f>IF('Loan Tape (S&amp;P)'!S6504="Yes",
    1.15,
    1.00)</f>
        <v/>
      </c>
      <c r="Q6504">
        <f>IF('Loan Tape (S&amp;P)'!V6504="Yes",
    1.20,
    1.00)</f>
        <v/>
      </c>
      <c r="T6504">
        <f>LET(
    payment_method,'Loan Tape (S&amp;P)'!P6504,
    occupancy,'Loan Tape (S&amp;P)'!N6504,
    maturity_date,'Loan Tape (S&amp;P)'!L6504,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05">
      <c r="J6505">
        <f>LET(
    lien,'Loan Tape (S&amp;P)'!Q6505,
    IF(lien="First",1.00,
        IF(lien="Second",1.50,
            1.70)))</f>
        <v/>
      </c>
      <c r="K6505">
        <f>LET(
    purpose,'Loan Tape (S&amp;P)'!R6505,
    IF(purpose="Purchase",1.00,
        IF(purpose="Remortgage",1.00,
            1.20)))</f>
        <v/>
      </c>
      <c r="L6505">
        <f>LET(
    arrears_months,'Loan Tape (S&amp;P)'!AN6505,
    IF(arrears_months=0,1.00,
    IF(arrears_months=1,3.00,
    IF(arrears_months=2,5.00,
    IF(arrears_months=3,8.00,
    IF(arrears_months=4,10.00,
    IF(arrears_months=5,12.00,15.00)))))))</f>
        <v/>
      </c>
      <c r="M6505">
        <f>LET(
    seasoning_years,DATEDIF('Loan Tape (S&amp;P)'!K6505,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05">
        <f>IF(AND('Loan Tape (S&amp;P)'!U6505="Yes",
        'Loan Tape (S&amp;P)'!T6505&lt;&gt;"Yes",
        DATEDIF('Loan Tape (S&amp;P)'!K6505, TODAY(), "M")&lt;18),
    1.10,
    1.00)</f>
        <v/>
      </c>
      <c r="O6505">
        <f>IF('Loan Tape (S&amp;P)'!T6505="Yes",
    1.35,
    1.00)</f>
        <v/>
      </c>
      <c r="P6505">
        <f>IF('Loan Tape (S&amp;P)'!S6505="Yes",
    1.15,
    1.00)</f>
        <v/>
      </c>
      <c r="Q6505">
        <f>IF('Loan Tape (S&amp;P)'!V6505="Yes",
    1.20,
    1.00)</f>
        <v/>
      </c>
      <c r="T6505">
        <f>LET(
    payment_method,'Loan Tape (S&amp;P)'!P6505,
    occupancy,'Loan Tape (S&amp;P)'!N6505,
    maturity_date,'Loan Tape (S&amp;P)'!L6505,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06">
      <c r="J6506">
        <f>LET(
    lien,'Loan Tape (S&amp;P)'!Q6506,
    IF(lien="First",1.00,
        IF(lien="Second",1.50,
            1.70)))</f>
        <v/>
      </c>
      <c r="K6506">
        <f>LET(
    purpose,'Loan Tape (S&amp;P)'!R6506,
    IF(purpose="Purchase",1.00,
        IF(purpose="Remortgage",1.00,
            1.20)))</f>
        <v/>
      </c>
      <c r="L6506">
        <f>LET(
    arrears_months,'Loan Tape (S&amp;P)'!AN6506,
    IF(arrears_months=0,1.00,
    IF(arrears_months=1,3.00,
    IF(arrears_months=2,5.00,
    IF(arrears_months=3,8.00,
    IF(arrears_months=4,10.00,
    IF(arrears_months=5,12.00,15.00)))))))</f>
        <v/>
      </c>
      <c r="M6506">
        <f>LET(
    seasoning_years,DATEDIF('Loan Tape (S&amp;P)'!K6506,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06">
        <f>IF(AND('Loan Tape (S&amp;P)'!U6506="Yes",
        'Loan Tape (S&amp;P)'!T6506&lt;&gt;"Yes",
        DATEDIF('Loan Tape (S&amp;P)'!K6506, TODAY(), "M")&lt;18),
    1.10,
    1.00)</f>
        <v/>
      </c>
      <c r="O6506">
        <f>IF('Loan Tape (S&amp;P)'!T6506="Yes",
    1.35,
    1.00)</f>
        <v/>
      </c>
      <c r="P6506">
        <f>IF('Loan Tape (S&amp;P)'!S6506="Yes",
    1.15,
    1.00)</f>
        <v/>
      </c>
      <c r="Q6506">
        <f>IF('Loan Tape (S&amp;P)'!V6506="Yes",
    1.20,
    1.00)</f>
        <v/>
      </c>
      <c r="T6506">
        <f>LET(
    payment_method,'Loan Tape (S&amp;P)'!P6506,
    occupancy,'Loan Tape (S&amp;P)'!N6506,
    maturity_date,'Loan Tape (S&amp;P)'!L6506,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07">
      <c r="J6507">
        <f>LET(
    lien,'Loan Tape (S&amp;P)'!Q6507,
    IF(lien="First",1.00,
        IF(lien="Second",1.50,
            1.70)))</f>
        <v/>
      </c>
      <c r="K6507">
        <f>LET(
    purpose,'Loan Tape (S&amp;P)'!R6507,
    IF(purpose="Purchase",1.00,
        IF(purpose="Remortgage",1.00,
            1.20)))</f>
        <v/>
      </c>
      <c r="L6507">
        <f>LET(
    arrears_months,'Loan Tape (S&amp;P)'!AN6507,
    IF(arrears_months=0,1.00,
    IF(arrears_months=1,3.00,
    IF(arrears_months=2,5.00,
    IF(arrears_months=3,8.00,
    IF(arrears_months=4,10.00,
    IF(arrears_months=5,12.00,15.00)))))))</f>
        <v/>
      </c>
      <c r="M6507">
        <f>LET(
    seasoning_years,DATEDIF('Loan Tape (S&amp;P)'!K6507,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07">
        <f>IF(AND('Loan Tape (S&amp;P)'!U6507="Yes",
        'Loan Tape (S&amp;P)'!T6507&lt;&gt;"Yes",
        DATEDIF('Loan Tape (S&amp;P)'!K6507, TODAY(), "M")&lt;18),
    1.10,
    1.00)</f>
        <v/>
      </c>
      <c r="O6507">
        <f>IF('Loan Tape (S&amp;P)'!T6507="Yes",
    1.35,
    1.00)</f>
        <v/>
      </c>
      <c r="P6507">
        <f>IF('Loan Tape (S&amp;P)'!S6507="Yes",
    1.15,
    1.00)</f>
        <v/>
      </c>
      <c r="Q6507">
        <f>IF('Loan Tape (S&amp;P)'!V6507="Yes",
    1.20,
    1.00)</f>
        <v/>
      </c>
      <c r="T6507">
        <f>LET(
    payment_method,'Loan Tape (S&amp;P)'!P6507,
    occupancy,'Loan Tape (S&amp;P)'!N6507,
    maturity_date,'Loan Tape (S&amp;P)'!L6507,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08">
      <c r="J6508">
        <f>LET(
    lien,'Loan Tape (S&amp;P)'!Q6508,
    IF(lien="First",1.00,
        IF(lien="Second",1.50,
            1.70)))</f>
        <v/>
      </c>
      <c r="K6508">
        <f>LET(
    purpose,'Loan Tape (S&amp;P)'!R6508,
    IF(purpose="Purchase",1.00,
        IF(purpose="Remortgage",1.00,
            1.20)))</f>
        <v/>
      </c>
      <c r="L6508">
        <f>LET(
    arrears_months,'Loan Tape (S&amp;P)'!AN6508,
    IF(arrears_months=0,1.00,
    IF(arrears_months=1,3.00,
    IF(arrears_months=2,5.00,
    IF(arrears_months=3,8.00,
    IF(arrears_months=4,10.00,
    IF(arrears_months=5,12.00,15.00)))))))</f>
        <v/>
      </c>
      <c r="M6508">
        <f>LET(
    seasoning_years,DATEDIF('Loan Tape (S&amp;P)'!K6508,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08">
        <f>IF(AND('Loan Tape (S&amp;P)'!U6508="Yes",
        'Loan Tape (S&amp;P)'!T6508&lt;&gt;"Yes",
        DATEDIF('Loan Tape (S&amp;P)'!K6508, TODAY(), "M")&lt;18),
    1.10,
    1.00)</f>
        <v/>
      </c>
      <c r="O6508">
        <f>IF('Loan Tape (S&amp;P)'!T6508="Yes",
    1.35,
    1.00)</f>
        <v/>
      </c>
      <c r="P6508">
        <f>IF('Loan Tape (S&amp;P)'!S6508="Yes",
    1.15,
    1.00)</f>
        <v/>
      </c>
      <c r="Q6508">
        <f>IF('Loan Tape (S&amp;P)'!V6508="Yes",
    1.20,
    1.00)</f>
        <v/>
      </c>
      <c r="T6508">
        <f>LET(
    payment_method,'Loan Tape (S&amp;P)'!P6508,
    occupancy,'Loan Tape (S&amp;P)'!N6508,
    maturity_date,'Loan Tape (S&amp;P)'!L6508,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09">
      <c r="J6509">
        <f>LET(
    lien,'Loan Tape (S&amp;P)'!Q6509,
    IF(lien="First",1.00,
        IF(lien="Second",1.50,
            1.70)))</f>
        <v/>
      </c>
      <c r="K6509">
        <f>LET(
    purpose,'Loan Tape (S&amp;P)'!R6509,
    IF(purpose="Purchase",1.00,
        IF(purpose="Remortgage",1.00,
            1.20)))</f>
        <v/>
      </c>
      <c r="L6509">
        <f>LET(
    arrears_months,'Loan Tape (S&amp;P)'!AN6509,
    IF(arrears_months=0,1.00,
    IF(arrears_months=1,3.00,
    IF(arrears_months=2,5.00,
    IF(arrears_months=3,8.00,
    IF(arrears_months=4,10.00,
    IF(arrears_months=5,12.00,15.00)))))))</f>
        <v/>
      </c>
      <c r="M6509">
        <f>LET(
    seasoning_years,DATEDIF('Loan Tape (S&amp;P)'!K6509,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09">
        <f>IF(AND('Loan Tape (S&amp;P)'!U6509="Yes",
        'Loan Tape (S&amp;P)'!T6509&lt;&gt;"Yes",
        DATEDIF('Loan Tape (S&amp;P)'!K6509, TODAY(), "M")&lt;18),
    1.10,
    1.00)</f>
        <v/>
      </c>
      <c r="O6509">
        <f>IF('Loan Tape (S&amp;P)'!T6509="Yes",
    1.35,
    1.00)</f>
        <v/>
      </c>
      <c r="P6509">
        <f>IF('Loan Tape (S&amp;P)'!S6509="Yes",
    1.15,
    1.00)</f>
        <v/>
      </c>
      <c r="Q6509">
        <f>IF('Loan Tape (S&amp;P)'!V6509="Yes",
    1.20,
    1.00)</f>
        <v/>
      </c>
      <c r="T6509">
        <f>LET(
    payment_method,'Loan Tape (S&amp;P)'!P6509,
    occupancy,'Loan Tape (S&amp;P)'!N6509,
    maturity_date,'Loan Tape (S&amp;P)'!L6509,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10">
      <c r="J6510">
        <f>LET(
    lien,'Loan Tape (S&amp;P)'!Q6510,
    IF(lien="First",1.00,
        IF(lien="Second",1.50,
            1.70)))</f>
        <v/>
      </c>
      <c r="K6510">
        <f>LET(
    purpose,'Loan Tape (S&amp;P)'!R6510,
    IF(purpose="Purchase",1.00,
        IF(purpose="Remortgage",1.00,
            1.20)))</f>
        <v/>
      </c>
      <c r="L6510">
        <f>LET(
    arrears_months,'Loan Tape (S&amp;P)'!AN6510,
    IF(arrears_months=0,1.00,
    IF(arrears_months=1,3.00,
    IF(arrears_months=2,5.00,
    IF(arrears_months=3,8.00,
    IF(arrears_months=4,10.00,
    IF(arrears_months=5,12.00,15.00)))))))</f>
        <v/>
      </c>
      <c r="M6510">
        <f>LET(
    seasoning_years,DATEDIF('Loan Tape (S&amp;P)'!K6510,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10">
        <f>IF(AND('Loan Tape (S&amp;P)'!U6510="Yes",
        'Loan Tape (S&amp;P)'!T6510&lt;&gt;"Yes",
        DATEDIF('Loan Tape (S&amp;P)'!K6510, TODAY(), "M")&lt;18),
    1.10,
    1.00)</f>
        <v/>
      </c>
      <c r="O6510">
        <f>IF('Loan Tape (S&amp;P)'!T6510="Yes",
    1.35,
    1.00)</f>
        <v/>
      </c>
      <c r="P6510">
        <f>IF('Loan Tape (S&amp;P)'!S6510="Yes",
    1.15,
    1.00)</f>
        <v/>
      </c>
      <c r="Q6510">
        <f>IF('Loan Tape (S&amp;P)'!V6510="Yes",
    1.20,
    1.00)</f>
        <v/>
      </c>
      <c r="T6510">
        <f>LET(
    payment_method,'Loan Tape (S&amp;P)'!P6510,
    occupancy,'Loan Tape (S&amp;P)'!N6510,
    maturity_date,'Loan Tape (S&amp;P)'!L6510,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11">
      <c r="J6511">
        <f>LET(
    lien,'Loan Tape (S&amp;P)'!Q6511,
    IF(lien="First",1.00,
        IF(lien="Second",1.50,
            1.70)))</f>
        <v/>
      </c>
      <c r="K6511">
        <f>LET(
    purpose,'Loan Tape (S&amp;P)'!R6511,
    IF(purpose="Purchase",1.00,
        IF(purpose="Remortgage",1.00,
            1.20)))</f>
        <v/>
      </c>
      <c r="L6511">
        <f>LET(
    arrears_months,'Loan Tape (S&amp;P)'!AN6511,
    IF(arrears_months=0,1.00,
    IF(arrears_months=1,3.00,
    IF(arrears_months=2,5.00,
    IF(arrears_months=3,8.00,
    IF(arrears_months=4,10.00,
    IF(arrears_months=5,12.00,15.00)))))))</f>
        <v/>
      </c>
      <c r="M6511">
        <f>LET(
    seasoning_years,DATEDIF('Loan Tape (S&amp;P)'!K6511,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11">
        <f>IF(AND('Loan Tape (S&amp;P)'!U6511="Yes",
        'Loan Tape (S&amp;P)'!T6511&lt;&gt;"Yes",
        DATEDIF('Loan Tape (S&amp;P)'!K6511, TODAY(), "M")&lt;18),
    1.10,
    1.00)</f>
        <v/>
      </c>
      <c r="O6511">
        <f>IF('Loan Tape (S&amp;P)'!T6511="Yes",
    1.35,
    1.00)</f>
        <v/>
      </c>
      <c r="P6511">
        <f>IF('Loan Tape (S&amp;P)'!S6511="Yes",
    1.15,
    1.00)</f>
        <v/>
      </c>
      <c r="Q6511">
        <f>IF('Loan Tape (S&amp;P)'!V6511="Yes",
    1.20,
    1.00)</f>
        <v/>
      </c>
      <c r="T6511">
        <f>LET(
    payment_method,'Loan Tape (S&amp;P)'!P6511,
    occupancy,'Loan Tape (S&amp;P)'!N6511,
    maturity_date,'Loan Tape (S&amp;P)'!L6511,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12">
      <c r="J6512">
        <f>LET(
    lien,'Loan Tape (S&amp;P)'!Q6512,
    IF(lien="First",1.00,
        IF(lien="Second",1.50,
            1.70)))</f>
        <v/>
      </c>
      <c r="K6512">
        <f>LET(
    purpose,'Loan Tape (S&amp;P)'!R6512,
    IF(purpose="Purchase",1.00,
        IF(purpose="Remortgage",1.00,
            1.20)))</f>
        <v/>
      </c>
      <c r="L6512">
        <f>LET(
    arrears_months,'Loan Tape (S&amp;P)'!AN6512,
    IF(arrears_months=0,1.00,
    IF(arrears_months=1,3.00,
    IF(arrears_months=2,5.00,
    IF(arrears_months=3,8.00,
    IF(arrears_months=4,10.00,
    IF(arrears_months=5,12.00,15.00)))))))</f>
        <v/>
      </c>
      <c r="M6512">
        <f>LET(
    seasoning_years,DATEDIF('Loan Tape (S&amp;P)'!K6512,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12">
        <f>IF(AND('Loan Tape (S&amp;P)'!U6512="Yes",
        'Loan Tape (S&amp;P)'!T6512&lt;&gt;"Yes",
        DATEDIF('Loan Tape (S&amp;P)'!K6512, TODAY(), "M")&lt;18),
    1.10,
    1.00)</f>
        <v/>
      </c>
      <c r="O6512">
        <f>IF('Loan Tape (S&amp;P)'!T6512="Yes",
    1.35,
    1.00)</f>
        <v/>
      </c>
      <c r="P6512">
        <f>IF('Loan Tape (S&amp;P)'!S6512="Yes",
    1.15,
    1.00)</f>
        <v/>
      </c>
      <c r="Q6512">
        <f>IF('Loan Tape (S&amp;P)'!V6512="Yes",
    1.20,
    1.00)</f>
        <v/>
      </c>
      <c r="T6512">
        <f>LET(
    payment_method,'Loan Tape (S&amp;P)'!P6512,
    occupancy,'Loan Tape (S&amp;P)'!N6512,
    maturity_date,'Loan Tape (S&amp;P)'!L6512,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13">
      <c r="J6513">
        <f>LET(
    lien,'Loan Tape (S&amp;P)'!Q6513,
    IF(lien="First",1.00,
        IF(lien="Second",1.50,
            1.70)))</f>
        <v/>
      </c>
      <c r="K6513">
        <f>LET(
    purpose,'Loan Tape (S&amp;P)'!R6513,
    IF(purpose="Purchase",1.00,
        IF(purpose="Remortgage",1.00,
            1.20)))</f>
        <v/>
      </c>
      <c r="L6513">
        <f>LET(
    arrears_months,'Loan Tape (S&amp;P)'!AN6513,
    IF(arrears_months=0,1.00,
    IF(arrears_months=1,3.00,
    IF(arrears_months=2,5.00,
    IF(arrears_months=3,8.00,
    IF(arrears_months=4,10.00,
    IF(arrears_months=5,12.00,15.00)))))))</f>
        <v/>
      </c>
      <c r="M6513">
        <f>LET(
    seasoning_years,DATEDIF('Loan Tape (S&amp;P)'!K6513,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13">
        <f>IF(AND('Loan Tape (S&amp;P)'!U6513="Yes",
        'Loan Tape (S&amp;P)'!T6513&lt;&gt;"Yes",
        DATEDIF('Loan Tape (S&amp;P)'!K6513, TODAY(), "M")&lt;18),
    1.10,
    1.00)</f>
        <v/>
      </c>
      <c r="O6513">
        <f>IF('Loan Tape (S&amp;P)'!T6513="Yes",
    1.35,
    1.00)</f>
        <v/>
      </c>
      <c r="P6513">
        <f>IF('Loan Tape (S&amp;P)'!S6513="Yes",
    1.15,
    1.00)</f>
        <v/>
      </c>
      <c r="Q6513">
        <f>IF('Loan Tape (S&amp;P)'!V6513="Yes",
    1.20,
    1.00)</f>
        <v/>
      </c>
      <c r="T6513">
        <f>LET(
    payment_method,'Loan Tape (S&amp;P)'!P6513,
    occupancy,'Loan Tape (S&amp;P)'!N6513,
    maturity_date,'Loan Tape (S&amp;P)'!L6513,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14">
      <c r="J6514">
        <f>LET(
    lien,'Loan Tape (S&amp;P)'!Q6514,
    IF(lien="First",1.00,
        IF(lien="Second",1.50,
            1.70)))</f>
        <v/>
      </c>
      <c r="K6514">
        <f>LET(
    purpose,'Loan Tape (S&amp;P)'!R6514,
    IF(purpose="Purchase",1.00,
        IF(purpose="Remortgage",1.00,
            1.20)))</f>
        <v/>
      </c>
      <c r="L6514">
        <f>LET(
    arrears_months,'Loan Tape (S&amp;P)'!AN6514,
    IF(arrears_months=0,1.00,
    IF(arrears_months=1,3.00,
    IF(arrears_months=2,5.00,
    IF(arrears_months=3,8.00,
    IF(arrears_months=4,10.00,
    IF(arrears_months=5,12.00,15.00)))))))</f>
        <v/>
      </c>
      <c r="M6514">
        <f>LET(
    seasoning_years,DATEDIF('Loan Tape (S&amp;P)'!K6514,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14">
        <f>IF(AND('Loan Tape (S&amp;P)'!U6514="Yes",
        'Loan Tape (S&amp;P)'!T6514&lt;&gt;"Yes",
        DATEDIF('Loan Tape (S&amp;P)'!K6514, TODAY(), "M")&lt;18),
    1.10,
    1.00)</f>
        <v/>
      </c>
      <c r="O6514">
        <f>IF('Loan Tape (S&amp;P)'!T6514="Yes",
    1.35,
    1.00)</f>
        <v/>
      </c>
      <c r="P6514">
        <f>IF('Loan Tape (S&amp;P)'!S6514="Yes",
    1.15,
    1.00)</f>
        <v/>
      </c>
      <c r="Q6514">
        <f>IF('Loan Tape (S&amp;P)'!V6514="Yes",
    1.20,
    1.00)</f>
        <v/>
      </c>
      <c r="T6514">
        <f>LET(
    payment_method,'Loan Tape (S&amp;P)'!P6514,
    occupancy,'Loan Tape (S&amp;P)'!N6514,
    maturity_date,'Loan Tape (S&amp;P)'!L6514,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15">
      <c r="J6515">
        <f>LET(
    lien,'Loan Tape (S&amp;P)'!Q6515,
    IF(lien="First",1.00,
        IF(lien="Second",1.50,
            1.70)))</f>
        <v/>
      </c>
      <c r="K6515">
        <f>LET(
    purpose,'Loan Tape (S&amp;P)'!R6515,
    IF(purpose="Purchase",1.00,
        IF(purpose="Remortgage",1.00,
            1.20)))</f>
        <v/>
      </c>
      <c r="L6515">
        <f>LET(
    arrears_months,'Loan Tape (S&amp;P)'!AN6515,
    IF(arrears_months=0,1.00,
    IF(arrears_months=1,3.00,
    IF(arrears_months=2,5.00,
    IF(arrears_months=3,8.00,
    IF(arrears_months=4,10.00,
    IF(arrears_months=5,12.00,15.00)))))))</f>
        <v/>
      </c>
      <c r="M6515">
        <f>LET(
    seasoning_years,DATEDIF('Loan Tape (S&amp;P)'!K6515,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15">
        <f>IF(AND('Loan Tape (S&amp;P)'!U6515="Yes",
        'Loan Tape (S&amp;P)'!T6515&lt;&gt;"Yes",
        DATEDIF('Loan Tape (S&amp;P)'!K6515, TODAY(), "M")&lt;18),
    1.10,
    1.00)</f>
        <v/>
      </c>
      <c r="O6515">
        <f>IF('Loan Tape (S&amp;P)'!T6515="Yes",
    1.35,
    1.00)</f>
        <v/>
      </c>
      <c r="P6515">
        <f>IF('Loan Tape (S&amp;P)'!S6515="Yes",
    1.15,
    1.00)</f>
        <v/>
      </c>
      <c r="Q6515">
        <f>IF('Loan Tape (S&amp;P)'!V6515="Yes",
    1.20,
    1.00)</f>
        <v/>
      </c>
      <c r="T6515">
        <f>LET(
    payment_method,'Loan Tape (S&amp;P)'!P6515,
    occupancy,'Loan Tape (S&amp;P)'!N6515,
    maturity_date,'Loan Tape (S&amp;P)'!L6515,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16">
      <c r="J6516">
        <f>LET(
    lien,'Loan Tape (S&amp;P)'!Q6516,
    IF(lien="First",1.00,
        IF(lien="Second",1.50,
            1.70)))</f>
        <v/>
      </c>
      <c r="K6516">
        <f>LET(
    purpose,'Loan Tape (S&amp;P)'!R6516,
    IF(purpose="Purchase",1.00,
        IF(purpose="Remortgage",1.00,
            1.20)))</f>
        <v/>
      </c>
      <c r="L6516">
        <f>LET(
    arrears_months,'Loan Tape (S&amp;P)'!AN6516,
    IF(arrears_months=0,1.00,
    IF(arrears_months=1,3.00,
    IF(arrears_months=2,5.00,
    IF(arrears_months=3,8.00,
    IF(arrears_months=4,10.00,
    IF(arrears_months=5,12.00,15.00)))))))</f>
        <v/>
      </c>
      <c r="M6516">
        <f>LET(
    seasoning_years,DATEDIF('Loan Tape (S&amp;P)'!K6516,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16">
        <f>IF(AND('Loan Tape (S&amp;P)'!U6516="Yes",
        'Loan Tape (S&amp;P)'!T6516&lt;&gt;"Yes",
        DATEDIF('Loan Tape (S&amp;P)'!K6516, TODAY(), "M")&lt;18),
    1.10,
    1.00)</f>
        <v/>
      </c>
      <c r="O6516">
        <f>IF('Loan Tape (S&amp;P)'!T6516="Yes",
    1.35,
    1.00)</f>
        <v/>
      </c>
      <c r="P6516">
        <f>IF('Loan Tape (S&amp;P)'!S6516="Yes",
    1.15,
    1.00)</f>
        <v/>
      </c>
      <c r="Q6516">
        <f>IF('Loan Tape (S&amp;P)'!V6516="Yes",
    1.20,
    1.00)</f>
        <v/>
      </c>
      <c r="T6516">
        <f>LET(
    payment_method,'Loan Tape (S&amp;P)'!P6516,
    occupancy,'Loan Tape (S&amp;P)'!N6516,
    maturity_date,'Loan Tape (S&amp;P)'!L6516,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17">
      <c r="J6517">
        <f>LET(
    lien,'Loan Tape (S&amp;P)'!Q6517,
    IF(lien="First",1.00,
        IF(lien="Second",1.50,
            1.70)))</f>
        <v/>
      </c>
      <c r="K6517">
        <f>LET(
    purpose,'Loan Tape (S&amp;P)'!R6517,
    IF(purpose="Purchase",1.00,
        IF(purpose="Remortgage",1.00,
            1.20)))</f>
        <v/>
      </c>
      <c r="L6517">
        <f>LET(
    arrears_months,'Loan Tape (S&amp;P)'!AN6517,
    IF(arrears_months=0,1.00,
    IF(arrears_months=1,3.00,
    IF(arrears_months=2,5.00,
    IF(arrears_months=3,8.00,
    IF(arrears_months=4,10.00,
    IF(arrears_months=5,12.00,15.00)))))))</f>
        <v/>
      </c>
      <c r="M6517">
        <f>LET(
    seasoning_years,DATEDIF('Loan Tape (S&amp;P)'!K6517,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17">
        <f>IF(AND('Loan Tape (S&amp;P)'!U6517="Yes",
        'Loan Tape (S&amp;P)'!T6517&lt;&gt;"Yes",
        DATEDIF('Loan Tape (S&amp;P)'!K6517, TODAY(), "M")&lt;18),
    1.10,
    1.00)</f>
        <v/>
      </c>
      <c r="O6517">
        <f>IF('Loan Tape (S&amp;P)'!T6517="Yes",
    1.35,
    1.00)</f>
        <v/>
      </c>
      <c r="P6517">
        <f>IF('Loan Tape (S&amp;P)'!S6517="Yes",
    1.15,
    1.00)</f>
        <v/>
      </c>
      <c r="Q6517">
        <f>IF('Loan Tape (S&amp;P)'!V6517="Yes",
    1.20,
    1.00)</f>
        <v/>
      </c>
      <c r="T6517">
        <f>LET(
    payment_method,'Loan Tape (S&amp;P)'!P6517,
    occupancy,'Loan Tape (S&amp;P)'!N6517,
    maturity_date,'Loan Tape (S&amp;P)'!L6517,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18">
      <c r="J6518">
        <f>LET(
    lien,'Loan Tape (S&amp;P)'!Q6518,
    IF(lien="First",1.00,
        IF(lien="Second",1.50,
            1.70)))</f>
        <v/>
      </c>
      <c r="K6518">
        <f>LET(
    purpose,'Loan Tape (S&amp;P)'!R6518,
    IF(purpose="Purchase",1.00,
        IF(purpose="Remortgage",1.00,
            1.20)))</f>
        <v/>
      </c>
      <c r="L6518">
        <f>LET(
    arrears_months,'Loan Tape (S&amp;P)'!AN6518,
    IF(arrears_months=0,1.00,
    IF(arrears_months=1,3.00,
    IF(arrears_months=2,5.00,
    IF(arrears_months=3,8.00,
    IF(arrears_months=4,10.00,
    IF(arrears_months=5,12.00,15.00)))))))</f>
        <v/>
      </c>
      <c r="M6518">
        <f>LET(
    seasoning_years,DATEDIF('Loan Tape (S&amp;P)'!K6518,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18">
        <f>IF(AND('Loan Tape (S&amp;P)'!U6518="Yes",
        'Loan Tape (S&amp;P)'!T6518&lt;&gt;"Yes",
        DATEDIF('Loan Tape (S&amp;P)'!K6518, TODAY(), "M")&lt;18),
    1.10,
    1.00)</f>
        <v/>
      </c>
      <c r="O6518">
        <f>IF('Loan Tape (S&amp;P)'!T6518="Yes",
    1.35,
    1.00)</f>
        <v/>
      </c>
      <c r="P6518">
        <f>IF('Loan Tape (S&amp;P)'!S6518="Yes",
    1.15,
    1.00)</f>
        <v/>
      </c>
      <c r="Q6518">
        <f>IF('Loan Tape (S&amp;P)'!V6518="Yes",
    1.20,
    1.00)</f>
        <v/>
      </c>
      <c r="T6518">
        <f>LET(
    payment_method,'Loan Tape (S&amp;P)'!P6518,
    occupancy,'Loan Tape (S&amp;P)'!N6518,
    maturity_date,'Loan Tape (S&amp;P)'!L6518,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19">
      <c r="J6519">
        <f>LET(
    lien,'Loan Tape (S&amp;P)'!Q6519,
    IF(lien="First",1.00,
        IF(lien="Second",1.50,
            1.70)))</f>
        <v/>
      </c>
      <c r="K6519">
        <f>LET(
    purpose,'Loan Tape (S&amp;P)'!R6519,
    IF(purpose="Purchase",1.00,
        IF(purpose="Remortgage",1.00,
            1.20)))</f>
        <v/>
      </c>
      <c r="L6519">
        <f>LET(
    arrears_months,'Loan Tape (S&amp;P)'!AN6519,
    IF(arrears_months=0,1.00,
    IF(arrears_months=1,3.00,
    IF(arrears_months=2,5.00,
    IF(arrears_months=3,8.00,
    IF(arrears_months=4,10.00,
    IF(arrears_months=5,12.00,15.00)))))))</f>
        <v/>
      </c>
      <c r="M6519">
        <f>LET(
    seasoning_years,DATEDIF('Loan Tape (S&amp;P)'!K6519,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19">
        <f>IF(AND('Loan Tape (S&amp;P)'!U6519="Yes",
        'Loan Tape (S&amp;P)'!T6519&lt;&gt;"Yes",
        DATEDIF('Loan Tape (S&amp;P)'!K6519, TODAY(), "M")&lt;18),
    1.10,
    1.00)</f>
        <v/>
      </c>
      <c r="O6519">
        <f>IF('Loan Tape (S&amp;P)'!T6519="Yes",
    1.35,
    1.00)</f>
        <v/>
      </c>
      <c r="P6519">
        <f>IF('Loan Tape (S&amp;P)'!S6519="Yes",
    1.15,
    1.00)</f>
        <v/>
      </c>
      <c r="Q6519">
        <f>IF('Loan Tape (S&amp;P)'!V6519="Yes",
    1.20,
    1.00)</f>
        <v/>
      </c>
      <c r="T6519">
        <f>LET(
    payment_method,'Loan Tape (S&amp;P)'!P6519,
    occupancy,'Loan Tape (S&amp;P)'!N6519,
    maturity_date,'Loan Tape (S&amp;P)'!L6519,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20">
      <c r="J6520">
        <f>LET(
    lien,'Loan Tape (S&amp;P)'!Q6520,
    IF(lien="First",1.00,
        IF(lien="Second",1.50,
            1.70)))</f>
        <v/>
      </c>
      <c r="K6520">
        <f>LET(
    purpose,'Loan Tape (S&amp;P)'!R6520,
    IF(purpose="Purchase",1.00,
        IF(purpose="Remortgage",1.00,
            1.20)))</f>
        <v/>
      </c>
      <c r="L6520">
        <f>LET(
    arrears_months,'Loan Tape (S&amp;P)'!AN6520,
    IF(arrears_months=0,1.00,
    IF(arrears_months=1,3.00,
    IF(arrears_months=2,5.00,
    IF(arrears_months=3,8.00,
    IF(arrears_months=4,10.00,
    IF(arrears_months=5,12.00,15.00)))))))</f>
        <v/>
      </c>
      <c r="M6520">
        <f>LET(
    seasoning_years,DATEDIF('Loan Tape (S&amp;P)'!K6520,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20">
        <f>IF(AND('Loan Tape (S&amp;P)'!U6520="Yes",
        'Loan Tape (S&amp;P)'!T6520&lt;&gt;"Yes",
        DATEDIF('Loan Tape (S&amp;P)'!K6520, TODAY(), "M")&lt;18),
    1.10,
    1.00)</f>
        <v/>
      </c>
      <c r="O6520">
        <f>IF('Loan Tape (S&amp;P)'!T6520="Yes",
    1.35,
    1.00)</f>
        <v/>
      </c>
      <c r="P6520">
        <f>IF('Loan Tape (S&amp;P)'!S6520="Yes",
    1.15,
    1.00)</f>
        <v/>
      </c>
      <c r="Q6520">
        <f>IF('Loan Tape (S&amp;P)'!V6520="Yes",
    1.20,
    1.00)</f>
        <v/>
      </c>
      <c r="T6520">
        <f>LET(
    payment_method,'Loan Tape (S&amp;P)'!P6520,
    occupancy,'Loan Tape (S&amp;P)'!N6520,
    maturity_date,'Loan Tape (S&amp;P)'!L6520,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21">
      <c r="J6521">
        <f>LET(
    lien,'Loan Tape (S&amp;P)'!Q6521,
    IF(lien="First",1.00,
        IF(lien="Second",1.50,
            1.70)))</f>
        <v/>
      </c>
      <c r="K6521">
        <f>LET(
    purpose,'Loan Tape (S&amp;P)'!R6521,
    IF(purpose="Purchase",1.00,
        IF(purpose="Remortgage",1.00,
            1.20)))</f>
        <v/>
      </c>
      <c r="L6521">
        <f>LET(
    arrears_months,'Loan Tape (S&amp;P)'!AN6521,
    IF(arrears_months=0,1.00,
    IF(arrears_months=1,3.00,
    IF(arrears_months=2,5.00,
    IF(arrears_months=3,8.00,
    IF(arrears_months=4,10.00,
    IF(arrears_months=5,12.00,15.00)))))))</f>
        <v/>
      </c>
      <c r="M6521">
        <f>LET(
    seasoning_years,DATEDIF('Loan Tape (S&amp;P)'!K6521,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21">
        <f>IF(AND('Loan Tape (S&amp;P)'!U6521="Yes",
        'Loan Tape (S&amp;P)'!T6521&lt;&gt;"Yes",
        DATEDIF('Loan Tape (S&amp;P)'!K6521, TODAY(), "M")&lt;18),
    1.10,
    1.00)</f>
        <v/>
      </c>
      <c r="O6521">
        <f>IF('Loan Tape (S&amp;P)'!T6521="Yes",
    1.35,
    1.00)</f>
        <v/>
      </c>
      <c r="P6521">
        <f>IF('Loan Tape (S&amp;P)'!S6521="Yes",
    1.15,
    1.00)</f>
        <v/>
      </c>
      <c r="Q6521">
        <f>IF('Loan Tape (S&amp;P)'!V6521="Yes",
    1.20,
    1.00)</f>
        <v/>
      </c>
      <c r="T6521">
        <f>LET(
    payment_method,'Loan Tape (S&amp;P)'!P6521,
    occupancy,'Loan Tape (S&amp;P)'!N6521,
    maturity_date,'Loan Tape (S&amp;P)'!L6521,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22">
      <c r="J6522">
        <f>LET(
    lien,'Loan Tape (S&amp;P)'!Q6522,
    IF(lien="First",1.00,
        IF(lien="Second",1.50,
            1.70)))</f>
        <v/>
      </c>
      <c r="K6522">
        <f>LET(
    purpose,'Loan Tape (S&amp;P)'!R6522,
    IF(purpose="Purchase",1.00,
        IF(purpose="Remortgage",1.00,
            1.20)))</f>
        <v/>
      </c>
      <c r="L6522">
        <f>LET(
    arrears_months,'Loan Tape (S&amp;P)'!AN6522,
    IF(arrears_months=0,1.00,
    IF(arrears_months=1,3.00,
    IF(arrears_months=2,5.00,
    IF(arrears_months=3,8.00,
    IF(arrears_months=4,10.00,
    IF(arrears_months=5,12.00,15.00)))))))</f>
        <v/>
      </c>
      <c r="M6522">
        <f>LET(
    seasoning_years,DATEDIF('Loan Tape (S&amp;P)'!K6522,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22">
        <f>IF(AND('Loan Tape (S&amp;P)'!U6522="Yes",
        'Loan Tape (S&amp;P)'!T6522&lt;&gt;"Yes",
        DATEDIF('Loan Tape (S&amp;P)'!K6522, TODAY(), "M")&lt;18),
    1.10,
    1.00)</f>
        <v/>
      </c>
      <c r="O6522">
        <f>IF('Loan Tape (S&amp;P)'!T6522="Yes",
    1.35,
    1.00)</f>
        <v/>
      </c>
      <c r="P6522">
        <f>IF('Loan Tape (S&amp;P)'!S6522="Yes",
    1.15,
    1.00)</f>
        <v/>
      </c>
      <c r="Q6522">
        <f>IF('Loan Tape (S&amp;P)'!V6522="Yes",
    1.20,
    1.00)</f>
        <v/>
      </c>
      <c r="T6522">
        <f>LET(
    payment_method,'Loan Tape (S&amp;P)'!P6522,
    occupancy,'Loan Tape (S&amp;P)'!N6522,
    maturity_date,'Loan Tape (S&amp;P)'!L6522,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23">
      <c r="J6523">
        <f>LET(
    lien,'Loan Tape (S&amp;P)'!Q6523,
    IF(lien="First",1.00,
        IF(lien="Second",1.50,
            1.70)))</f>
        <v/>
      </c>
      <c r="K6523">
        <f>LET(
    purpose,'Loan Tape (S&amp;P)'!R6523,
    IF(purpose="Purchase",1.00,
        IF(purpose="Remortgage",1.00,
            1.20)))</f>
        <v/>
      </c>
      <c r="L6523">
        <f>LET(
    arrears_months,'Loan Tape (S&amp;P)'!AN6523,
    IF(arrears_months=0,1.00,
    IF(arrears_months=1,3.00,
    IF(arrears_months=2,5.00,
    IF(arrears_months=3,8.00,
    IF(arrears_months=4,10.00,
    IF(arrears_months=5,12.00,15.00)))))))</f>
        <v/>
      </c>
      <c r="M6523">
        <f>LET(
    seasoning_years,DATEDIF('Loan Tape (S&amp;P)'!K6523,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23">
        <f>IF(AND('Loan Tape (S&amp;P)'!U6523="Yes",
        'Loan Tape (S&amp;P)'!T6523&lt;&gt;"Yes",
        DATEDIF('Loan Tape (S&amp;P)'!K6523, TODAY(), "M")&lt;18),
    1.10,
    1.00)</f>
        <v/>
      </c>
      <c r="O6523">
        <f>IF('Loan Tape (S&amp;P)'!T6523="Yes",
    1.35,
    1.00)</f>
        <v/>
      </c>
      <c r="P6523">
        <f>IF('Loan Tape (S&amp;P)'!S6523="Yes",
    1.15,
    1.00)</f>
        <v/>
      </c>
      <c r="Q6523">
        <f>IF('Loan Tape (S&amp;P)'!V6523="Yes",
    1.20,
    1.00)</f>
        <v/>
      </c>
      <c r="T6523">
        <f>LET(
    payment_method,'Loan Tape (S&amp;P)'!P6523,
    occupancy,'Loan Tape (S&amp;P)'!N6523,
    maturity_date,'Loan Tape (S&amp;P)'!L6523,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24">
      <c r="J6524">
        <f>LET(
    lien,'Loan Tape (S&amp;P)'!Q6524,
    IF(lien="First",1.00,
        IF(lien="Second",1.50,
            1.70)))</f>
        <v/>
      </c>
      <c r="K6524">
        <f>LET(
    purpose,'Loan Tape (S&amp;P)'!R6524,
    IF(purpose="Purchase",1.00,
        IF(purpose="Remortgage",1.00,
            1.20)))</f>
        <v/>
      </c>
      <c r="L6524">
        <f>LET(
    arrears_months,'Loan Tape (S&amp;P)'!AN6524,
    IF(arrears_months=0,1.00,
    IF(arrears_months=1,3.00,
    IF(arrears_months=2,5.00,
    IF(arrears_months=3,8.00,
    IF(arrears_months=4,10.00,
    IF(arrears_months=5,12.00,15.00)))))))</f>
        <v/>
      </c>
      <c r="M6524">
        <f>LET(
    seasoning_years,DATEDIF('Loan Tape (S&amp;P)'!K6524,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24">
        <f>IF(AND('Loan Tape (S&amp;P)'!U6524="Yes",
        'Loan Tape (S&amp;P)'!T6524&lt;&gt;"Yes",
        DATEDIF('Loan Tape (S&amp;P)'!K6524, TODAY(), "M")&lt;18),
    1.10,
    1.00)</f>
        <v/>
      </c>
      <c r="O6524">
        <f>IF('Loan Tape (S&amp;P)'!T6524="Yes",
    1.35,
    1.00)</f>
        <v/>
      </c>
      <c r="P6524">
        <f>IF('Loan Tape (S&amp;P)'!S6524="Yes",
    1.15,
    1.00)</f>
        <v/>
      </c>
      <c r="Q6524">
        <f>IF('Loan Tape (S&amp;P)'!V6524="Yes",
    1.20,
    1.00)</f>
        <v/>
      </c>
      <c r="T6524">
        <f>LET(
    payment_method,'Loan Tape (S&amp;P)'!P6524,
    occupancy,'Loan Tape (S&amp;P)'!N6524,
    maturity_date,'Loan Tape (S&amp;P)'!L6524,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25">
      <c r="J6525">
        <f>LET(
    lien,'Loan Tape (S&amp;P)'!Q6525,
    IF(lien="First",1.00,
        IF(lien="Second",1.50,
            1.70)))</f>
        <v/>
      </c>
      <c r="K6525">
        <f>LET(
    purpose,'Loan Tape (S&amp;P)'!R6525,
    IF(purpose="Purchase",1.00,
        IF(purpose="Remortgage",1.00,
            1.20)))</f>
        <v/>
      </c>
      <c r="L6525">
        <f>LET(
    arrears_months,'Loan Tape (S&amp;P)'!AN6525,
    IF(arrears_months=0,1.00,
    IF(arrears_months=1,3.00,
    IF(arrears_months=2,5.00,
    IF(arrears_months=3,8.00,
    IF(arrears_months=4,10.00,
    IF(arrears_months=5,12.00,15.00)))))))</f>
        <v/>
      </c>
      <c r="M6525">
        <f>LET(
    seasoning_years,DATEDIF('Loan Tape (S&amp;P)'!K6525,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25">
        <f>IF(AND('Loan Tape (S&amp;P)'!U6525="Yes",
        'Loan Tape (S&amp;P)'!T6525&lt;&gt;"Yes",
        DATEDIF('Loan Tape (S&amp;P)'!K6525, TODAY(), "M")&lt;18),
    1.10,
    1.00)</f>
        <v/>
      </c>
      <c r="O6525">
        <f>IF('Loan Tape (S&amp;P)'!T6525="Yes",
    1.35,
    1.00)</f>
        <v/>
      </c>
      <c r="P6525">
        <f>IF('Loan Tape (S&amp;P)'!S6525="Yes",
    1.15,
    1.00)</f>
        <v/>
      </c>
      <c r="Q6525">
        <f>IF('Loan Tape (S&amp;P)'!V6525="Yes",
    1.20,
    1.00)</f>
        <v/>
      </c>
      <c r="T6525">
        <f>LET(
    payment_method,'Loan Tape (S&amp;P)'!P6525,
    occupancy,'Loan Tape (S&amp;P)'!N6525,
    maturity_date,'Loan Tape (S&amp;P)'!L6525,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26">
      <c r="J6526">
        <f>LET(
    lien,'Loan Tape (S&amp;P)'!Q6526,
    IF(lien="First",1.00,
        IF(lien="Second",1.50,
            1.70)))</f>
        <v/>
      </c>
      <c r="K6526">
        <f>LET(
    purpose,'Loan Tape (S&amp;P)'!R6526,
    IF(purpose="Purchase",1.00,
        IF(purpose="Remortgage",1.00,
            1.20)))</f>
        <v/>
      </c>
      <c r="L6526">
        <f>LET(
    arrears_months,'Loan Tape (S&amp;P)'!AN6526,
    IF(arrears_months=0,1.00,
    IF(arrears_months=1,3.00,
    IF(arrears_months=2,5.00,
    IF(arrears_months=3,8.00,
    IF(arrears_months=4,10.00,
    IF(arrears_months=5,12.00,15.00)))))))</f>
        <v/>
      </c>
      <c r="M6526">
        <f>LET(
    seasoning_years,DATEDIF('Loan Tape (S&amp;P)'!K6526,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26">
        <f>IF(AND('Loan Tape (S&amp;P)'!U6526="Yes",
        'Loan Tape (S&amp;P)'!T6526&lt;&gt;"Yes",
        DATEDIF('Loan Tape (S&amp;P)'!K6526, TODAY(), "M")&lt;18),
    1.10,
    1.00)</f>
        <v/>
      </c>
      <c r="O6526">
        <f>IF('Loan Tape (S&amp;P)'!T6526="Yes",
    1.35,
    1.00)</f>
        <v/>
      </c>
      <c r="P6526">
        <f>IF('Loan Tape (S&amp;P)'!S6526="Yes",
    1.15,
    1.00)</f>
        <v/>
      </c>
      <c r="Q6526">
        <f>IF('Loan Tape (S&amp;P)'!V6526="Yes",
    1.20,
    1.00)</f>
        <v/>
      </c>
      <c r="T6526">
        <f>LET(
    payment_method,'Loan Tape (S&amp;P)'!P6526,
    occupancy,'Loan Tape (S&amp;P)'!N6526,
    maturity_date,'Loan Tape (S&amp;P)'!L6526,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27">
      <c r="J6527">
        <f>LET(
    lien,'Loan Tape (S&amp;P)'!Q6527,
    IF(lien="First",1.00,
        IF(lien="Second",1.50,
            1.70)))</f>
        <v/>
      </c>
      <c r="K6527">
        <f>LET(
    purpose,'Loan Tape (S&amp;P)'!R6527,
    IF(purpose="Purchase",1.00,
        IF(purpose="Remortgage",1.00,
            1.20)))</f>
        <v/>
      </c>
      <c r="L6527">
        <f>LET(
    arrears_months,'Loan Tape (S&amp;P)'!AN6527,
    IF(arrears_months=0,1.00,
    IF(arrears_months=1,3.00,
    IF(arrears_months=2,5.00,
    IF(arrears_months=3,8.00,
    IF(arrears_months=4,10.00,
    IF(arrears_months=5,12.00,15.00)))))))</f>
        <v/>
      </c>
      <c r="M6527">
        <f>LET(
    seasoning_years,DATEDIF('Loan Tape (S&amp;P)'!K6527,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27">
        <f>IF(AND('Loan Tape (S&amp;P)'!U6527="Yes",
        'Loan Tape (S&amp;P)'!T6527&lt;&gt;"Yes",
        DATEDIF('Loan Tape (S&amp;P)'!K6527, TODAY(), "M")&lt;18),
    1.10,
    1.00)</f>
        <v/>
      </c>
      <c r="O6527">
        <f>IF('Loan Tape (S&amp;P)'!T6527="Yes",
    1.35,
    1.00)</f>
        <v/>
      </c>
      <c r="P6527">
        <f>IF('Loan Tape (S&amp;P)'!S6527="Yes",
    1.15,
    1.00)</f>
        <v/>
      </c>
      <c r="Q6527">
        <f>IF('Loan Tape (S&amp;P)'!V6527="Yes",
    1.20,
    1.00)</f>
        <v/>
      </c>
      <c r="T6527">
        <f>LET(
    payment_method,'Loan Tape (S&amp;P)'!P6527,
    occupancy,'Loan Tape (S&amp;P)'!N6527,
    maturity_date,'Loan Tape (S&amp;P)'!L6527,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28">
      <c r="J6528">
        <f>LET(
    lien,'Loan Tape (S&amp;P)'!Q6528,
    IF(lien="First",1.00,
        IF(lien="Second",1.50,
            1.70)))</f>
        <v/>
      </c>
      <c r="K6528">
        <f>LET(
    purpose,'Loan Tape (S&amp;P)'!R6528,
    IF(purpose="Purchase",1.00,
        IF(purpose="Remortgage",1.00,
            1.20)))</f>
        <v/>
      </c>
      <c r="L6528">
        <f>LET(
    arrears_months,'Loan Tape (S&amp;P)'!AN6528,
    IF(arrears_months=0,1.00,
    IF(arrears_months=1,3.00,
    IF(arrears_months=2,5.00,
    IF(arrears_months=3,8.00,
    IF(arrears_months=4,10.00,
    IF(arrears_months=5,12.00,15.00)))))))</f>
        <v/>
      </c>
      <c r="M6528">
        <f>LET(
    seasoning_years,DATEDIF('Loan Tape (S&amp;P)'!K6528,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28">
        <f>IF(AND('Loan Tape (S&amp;P)'!U6528="Yes",
        'Loan Tape (S&amp;P)'!T6528&lt;&gt;"Yes",
        DATEDIF('Loan Tape (S&amp;P)'!K6528, TODAY(), "M")&lt;18),
    1.10,
    1.00)</f>
        <v/>
      </c>
      <c r="O6528">
        <f>IF('Loan Tape (S&amp;P)'!T6528="Yes",
    1.35,
    1.00)</f>
        <v/>
      </c>
      <c r="P6528">
        <f>IF('Loan Tape (S&amp;P)'!S6528="Yes",
    1.15,
    1.00)</f>
        <v/>
      </c>
      <c r="Q6528">
        <f>IF('Loan Tape (S&amp;P)'!V6528="Yes",
    1.20,
    1.00)</f>
        <v/>
      </c>
      <c r="T6528">
        <f>LET(
    payment_method,'Loan Tape (S&amp;P)'!P6528,
    occupancy,'Loan Tape (S&amp;P)'!N6528,
    maturity_date,'Loan Tape (S&amp;P)'!L6528,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29">
      <c r="J6529">
        <f>LET(
    lien,'Loan Tape (S&amp;P)'!Q6529,
    IF(lien="First",1.00,
        IF(lien="Second",1.50,
            1.70)))</f>
        <v/>
      </c>
      <c r="K6529">
        <f>LET(
    purpose,'Loan Tape (S&amp;P)'!R6529,
    IF(purpose="Purchase",1.00,
        IF(purpose="Remortgage",1.00,
            1.20)))</f>
        <v/>
      </c>
      <c r="L6529">
        <f>LET(
    arrears_months,'Loan Tape (S&amp;P)'!AN6529,
    IF(arrears_months=0,1.00,
    IF(arrears_months=1,3.00,
    IF(arrears_months=2,5.00,
    IF(arrears_months=3,8.00,
    IF(arrears_months=4,10.00,
    IF(arrears_months=5,12.00,15.00)))))))</f>
        <v/>
      </c>
      <c r="M6529">
        <f>LET(
    seasoning_years,DATEDIF('Loan Tape (S&amp;P)'!K6529,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29">
        <f>IF(AND('Loan Tape (S&amp;P)'!U6529="Yes",
        'Loan Tape (S&amp;P)'!T6529&lt;&gt;"Yes",
        DATEDIF('Loan Tape (S&amp;P)'!K6529, TODAY(), "M")&lt;18),
    1.10,
    1.00)</f>
        <v/>
      </c>
      <c r="O6529">
        <f>IF('Loan Tape (S&amp;P)'!T6529="Yes",
    1.35,
    1.00)</f>
        <v/>
      </c>
      <c r="P6529">
        <f>IF('Loan Tape (S&amp;P)'!S6529="Yes",
    1.15,
    1.00)</f>
        <v/>
      </c>
      <c r="Q6529">
        <f>IF('Loan Tape (S&amp;P)'!V6529="Yes",
    1.20,
    1.00)</f>
        <v/>
      </c>
      <c r="T6529">
        <f>LET(
    payment_method,'Loan Tape (S&amp;P)'!P6529,
    occupancy,'Loan Tape (S&amp;P)'!N6529,
    maturity_date,'Loan Tape (S&amp;P)'!L6529,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30">
      <c r="J6530">
        <f>LET(
    lien,'Loan Tape (S&amp;P)'!Q6530,
    IF(lien="First",1.00,
        IF(lien="Second",1.50,
            1.70)))</f>
        <v/>
      </c>
      <c r="K6530">
        <f>LET(
    purpose,'Loan Tape (S&amp;P)'!R6530,
    IF(purpose="Purchase",1.00,
        IF(purpose="Remortgage",1.00,
            1.20)))</f>
        <v/>
      </c>
      <c r="L6530">
        <f>LET(
    arrears_months,'Loan Tape (S&amp;P)'!AN6530,
    IF(arrears_months=0,1.00,
    IF(arrears_months=1,3.00,
    IF(arrears_months=2,5.00,
    IF(arrears_months=3,8.00,
    IF(arrears_months=4,10.00,
    IF(arrears_months=5,12.00,15.00)))))))</f>
        <v/>
      </c>
      <c r="M6530">
        <f>LET(
    seasoning_years,DATEDIF('Loan Tape (S&amp;P)'!K6530,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30">
        <f>IF(AND('Loan Tape (S&amp;P)'!U6530="Yes",
        'Loan Tape (S&amp;P)'!T6530&lt;&gt;"Yes",
        DATEDIF('Loan Tape (S&amp;P)'!K6530, TODAY(), "M")&lt;18),
    1.10,
    1.00)</f>
        <v/>
      </c>
      <c r="O6530">
        <f>IF('Loan Tape (S&amp;P)'!T6530="Yes",
    1.35,
    1.00)</f>
        <v/>
      </c>
      <c r="P6530">
        <f>IF('Loan Tape (S&amp;P)'!S6530="Yes",
    1.15,
    1.00)</f>
        <v/>
      </c>
      <c r="Q6530">
        <f>IF('Loan Tape (S&amp;P)'!V6530="Yes",
    1.20,
    1.00)</f>
        <v/>
      </c>
      <c r="T6530">
        <f>LET(
    payment_method,'Loan Tape (S&amp;P)'!P6530,
    occupancy,'Loan Tape (S&amp;P)'!N6530,
    maturity_date,'Loan Tape (S&amp;P)'!L6530,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31">
      <c r="J6531">
        <f>LET(
    lien,'Loan Tape (S&amp;P)'!Q6531,
    IF(lien="First",1.00,
        IF(lien="Second",1.50,
            1.70)))</f>
        <v/>
      </c>
      <c r="K6531">
        <f>LET(
    purpose,'Loan Tape (S&amp;P)'!R6531,
    IF(purpose="Purchase",1.00,
        IF(purpose="Remortgage",1.00,
            1.20)))</f>
        <v/>
      </c>
      <c r="L6531">
        <f>LET(
    arrears_months,'Loan Tape (S&amp;P)'!AN6531,
    IF(arrears_months=0,1.00,
    IF(arrears_months=1,3.00,
    IF(arrears_months=2,5.00,
    IF(arrears_months=3,8.00,
    IF(arrears_months=4,10.00,
    IF(arrears_months=5,12.00,15.00)))))))</f>
        <v/>
      </c>
      <c r="M6531">
        <f>LET(
    seasoning_years,DATEDIF('Loan Tape (S&amp;P)'!K6531,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31">
        <f>IF(AND('Loan Tape (S&amp;P)'!U6531="Yes",
        'Loan Tape (S&amp;P)'!T6531&lt;&gt;"Yes",
        DATEDIF('Loan Tape (S&amp;P)'!K6531, TODAY(), "M")&lt;18),
    1.10,
    1.00)</f>
        <v/>
      </c>
      <c r="O6531">
        <f>IF('Loan Tape (S&amp;P)'!T6531="Yes",
    1.35,
    1.00)</f>
        <v/>
      </c>
      <c r="P6531">
        <f>IF('Loan Tape (S&amp;P)'!S6531="Yes",
    1.15,
    1.00)</f>
        <v/>
      </c>
      <c r="Q6531">
        <f>IF('Loan Tape (S&amp;P)'!V6531="Yes",
    1.20,
    1.00)</f>
        <v/>
      </c>
      <c r="T6531">
        <f>LET(
    payment_method,'Loan Tape (S&amp;P)'!P6531,
    occupancy,'Loan Tape (S&amp;P)'!N6531,
    maturity_date,'Loan Tape (S&amp;P)'!L6531,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32">
      <c r="J6532">
        <f>LET(
    lien,'Loan Tape (S&amp;P)'!Q6532,
    IF(lien="First",1.00,
        IF(lien="Second",1.50,
            1.70)))</f>
        <v/>
      </c>
      <c r="K6532">
        <f>LET(
    purpose,'Loan Tape (S&amp;P)'!R6532,
    IF(purpose="Purchase",1.00,
        IF(purpose="Remortgage",1.00,
            1.20)))</f>
        <v/>
      </c>
      <c r="L6532">
        <f>LET(
    arrears_months,'Loan Tape (S&amp;P)'!AN6532,
    IF(arrears_months=0,1.00,
    IF(arrears_months=1,3.00,
    IF(arrears_months=2,5.00,
    IF(arrears_months=3,8.00,
    IF(arrears_months=4,10.00,
    IF(arrears_months=5,12.00,15.00)))))))</f>
        <v/>
      </c>
      <c r="M6532">
        <f>LET(
    seasoning_years,DATEDIF('Loan Tape (S&amp;P)'!K6532,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32">
        <f>IF(AND('Loan Tape (S&amp;P)'!U6532="Yes",
        'Loan Tape (S&amp;P)'!T6532&lt;&gt;"Yes",
        DATEDIF('Loan Tape (S&amp;P)'!K6532, TODAY(), "M")&lt;18),
    1.10,
    1.00)</f>
        <v/>
      </c>
      <c r="O6532">
        <f>IF('Loan Tape (S&amp;P)'!T6532="Yes",
    1.35,
    1.00)</f>
        <v/>
      </c>
      <c r="P6532">
        <f>IF('Loan Tape (S&amp;P)'!S6532="Yes",
    1.15,
    1.00)</f>
        <v/>
      </c>
      <c r="Q6532">
        <f>IF('Loan Tape (S&amp;P)'!V6532="Yes",
    1.20,
    1.00)</f>
        <v/>
      </c>
      <c r="T6532">
        <f>LET(
    payment_method,'Loan Tape (S&amp;P)'!P6532,
    occupancy,'Loan Tape (S&amp;P)'!N6532,
    maturity_date,'Loan Tape (S&amp;P)'!L6532,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33">
      <c r="J6533">
        <f>LET(
    lien,'Loan Tape (S&amp;P)'!Q6533,
    IF(lien="First",1.00,
        IF(lien="Second",1.50,
            1.70)))</f>
        <v/>
      </c>
      <c r="K6533">
        <f>LET(
    purpose,'Loan Tape (S&amp;P)'!R6533,
    IF(purpose="Purchase",1.00,
        IF(purpose="Remortgage",1.00,
            1.20)))</f>
        <v/>
      </c>
      <c r="L6533">
        <f>LET(
    arrears_months,'Loan Tape (S&amp;P)'!AN6533,
    IF(arrears_months=0,1.00,
    IF(arrears_months=1,3.00,
    IF(arrears_months=2,5.00,
    IF(arrears_months=3,8.00,
    IF(arrears_months=4,10.00,
    IF(arrears_months=5,12.00,15.00)))))))</f>
        <v/>
      </c>
      <c r="M6533">
        <f>LET(
    seasoning_years,DATEDIF('Loan Tape (S&amp;P)'!K6533,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33">
        <f>IF(AND('Loan Tape (S&amp;P)'!U6533="Yes",
        'Loan Tape (S&amp;P)'!T6533&lt;&gt;"Yes",
        DATEDIF('Loan Tape (S&amp;P)'!K6533, TODAY(), "M")&lt;18),
    1.10,
    1.00)</f>
        <v/>
      </c>
      <c r="O6533">
        <f>IF('Loan Tape (S&amp;P)'!T6533="Yes",
    1.35,
    1.00)</f>
        <v/>
      </c>
      <c r="P6533">
        <f>IF('Loan Tape (S&amp;P)'!S6533="Yes",
    1.15,
    1.00)</f>
        <v/>
      </c>
      <c r="Q6533">
        <f>IF('Loan Tape (S&amp;P)'!V6533="Yes",
    1.20,
    1.00)</f>
        <v/>
      </c>
      <c r="T6533">
        <f>LET(
    payment_method,'Loan Tape (S&amp;P)'!P6533,
    occupancy,'Loan Tape (S&amp;P)'!N6533,
    maturity_date,'Loan Tape (S&amp;P)'!L6533,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34">
      <c r="J6534">
        <f>LET(
    lien,'Loan Tape (S&amp;P)'!Q6534,
    IF(lien="First",1.00,
        IF(lien="Second",1.50,
            1.70)))</f>
        <v/>
      </c>
      <c r="K6534">
        <f>LET(
    purpose,'Loan Tape (S&amp;P)'!R6534,
    IF(purpose="Purchase",1.00,
        IF(purpose="Remortgage",1.00,
            1.20)))</f>
        <v/>
      </c>
      <c r="L6534">
        <f>LET(
    arrears_months,'Loan Tape (S&amp;P)'!AN6534,
    IF(arrears_months=0,1.00,
    IF(arrears_months=1,3.00,
    IF(arrears_months=2,5.00,
    IF(arrears_months=3,8.00,
    IF(arrears_months=4,10.00,
    IF(arrears_months=5,12.00,15.00)))))))</f>
        <v/>
      </c>
      <c r="M6534">
        <f>LET(
    seasoning_years,DATEDIF('Loan Tape (S&amp;P)'!K6534,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34">
        <f>IF(AND('Loan Tape (S&amp;P)'!U6534="Yes",
        'Loan Tape (S&amp;P)'!T6534&lt;&gt;"Yes",
        DATEDIF('Loan Tape (S&amp;P)'!K6534, TODAY(), "M")&lt;18),
    1.10,
    1.00)</f>
        <v/>
      </c>
      <c r="O6534">
        <f>IF('Loan Tape (S&amp;P)'!T6534="Yes",
    1.35,
    1.00)</f>
        <v/>
      </c>
      <c r="P6534">
        <f>IF('Loan Tape (S&amp;P)'!S6534="Yes",
    1.15,
    1.00)</f>
        <v/>
      </c>
      <c r="Q6534">
        <f>IF('Loan Tape (S&amp;P)'!V6534="Yes",
    1.20,
    1.00)</f>
        <v/>
      </c>
      <c r="T6534">
        <f>LET(
    payment_method,'Loan Tape (S&amp;P)'!P6534,
    occupancy,'Loan Tape (S&amp;P)'!N6534,
    maturity_date,'Loan Tape (S&amp;P)'!L6534,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35">
      <c r="J6535">
        <f>LET(
    lien,'Loan Tape (S&amp;P)'!Q6535,
    IF(lien="First",1.00,
        IF(lien="Second",1.50,
            1.70)))</f>
        <v/>
      </c>
      <c r="K6535">
        <f>LET(
    purpose,'Loan Tape (S&amp;P)'!R6535,
    IF(purpose="Purchase",1.00,
        IF(purpose="Remortgage",1.00,
            1.20)))</f>
        <v/>
      </c>
      <c r="L6535">
        <f>LET(
    arrears_months,'Loan Tape (S&amp;P)'!AN6535,
    IF(arrears_months=0,1.00,
    IF(arrears_months=1,3.00,
    IF(arrears_months=2,5.00,
    IF(arrears_months=3,8.00,
    IF(arrears_months=4,10.00,
    IF(arrears_months=5,12.00,15.00)))))))</f>
        <v/>
      </c>
      <c r="M6535">
        <f>LET(
    seasoning_years,DATEDIF('Loan Tape (S&amp;P)'!K6535,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35">
        <f>IF(AND('Loan Tape (S&amp;P)'!U6535="Yes",
        'Loan Tape (S&amp;P)'!T6535&lt;&gt;"Yes",
        DATEDIF('Loan Tape (S&amp;P)'!K6535, TODAY(), "M")&lt;18),
    1.10,
    1.00)</f>
        <v/>
      </c>
      <c r="O6535">
        <f>IF('Loan Tape (S&amp;P)'!T6535="Yes",
    1.35,
    1.00)</f>
        <v/>
      </c>
      <c r="P6535">
        <f>IF('Loan Tape (S&amp;P)'!S6535="Yes",
    1.15,
    1.00)</f>
        <v/>
      </c>
      <c r="Q6535">
        <f>IF('Loan Tape (S&amp;P)'!V6535="Yes",
    1.20,
    1.00)</f>
        <v/>
      </c>
      <c r="T6535">
        <f>LET(
    payment_method,'Loan Tape (S&amp;P)'!P6535,
    occupancy,'Loan Tape (S&amp;P)'!N6535,
    maturity_date,'Loan Tape (S&amp;P)'!L6535,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36">
      <c r="J6536">
        <f>LET(
    lien,'Loan Tape (S&amp;P)'!Q6536,
    IF(lien="First",1.00,
        IF(lien="Second",1.50,
            1.70)))</f>
        <v/>
      </c>
      <c r="K6536">
        <f>LET(
    purpose,'Loan Tape (S&amp;P)'!R6536,
    IF(purpose="Purchase",1.00,
        IF(purpose="Remortgage",1.00,
            1.20)))</f>
        <v/>
      </c>
      <c r="L6536">
        <f>LET(
    arrears_months,'Loan Tape (S&amp;P)'!AN6536,
    IF(arrears_months=0,1.00,
    IF(arrears_months=1,3.00,
    IF(arrears_months=2,5.00,
    IF(arrears_months=3,8.00,
    IF(arrears_months=4,10.00,
    IF(arrears_months=5,12.00,15.00)))))))</f>
        <v/>
      </c>
      <c r="M6536">
        <f>LET(
    seasoning_years,DATEDIF('Loan Tape (S&amp;P)'!K6536,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36">
        <f>IF(AND('Loan Tape (S&amp;P)'!U6536="Yes",
        'Loan Tape (S&amp;P)'!T6536&lt;&gt;"Yes",
        DATEDIF('Loan Tape (S&amp;P)'!K6536, TODAY(), "M")&lt;18),
    1.10,
    1.00)</f>
        <v/>
      </c>
      <c r="O6536">
        <f>IF('Loan Tape (S&amp;P)'!T6536="Yes",
    1.35,
    1.00)</f>
        <v/>
      </c>
      <c r="P6536">
        <f>IF('Loan Tape (S&amp;P)'!S6536="Yes",
    1.15,
    1.00)</f>
        <v/>
      </c>
      <c r="Q6536">
        <f>IF('Loan Tape (S&amp;P)'!V6536="Yes",
    1.20,
    1.00)</f>
        <v/>
      </c>
      <c r="T6536">
        <f>LET(
    payment_method,'Loan Tape (S&amp;P)'!P6536,
    occupancy,'Loan Tape (S&amp;P)'!N6536,
    maturity_date,'Loan Tape (S&amp;P)'!L6536,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37">
      <c r="J6537">
        <f>LET(
    lien,'Loan Tape (S&amp;P)'!Q6537,
    IF(lien="First",1.00,
        IF(lien="Second",1.50,
            1.70)))</f>
        <v/>
      </c>
      <c r="K6537">
        <f>LET(
    purpose,'Loan Tape (S&amp;P)'!R6537,
    IF(purpose="Purchase",1.00,
        IF(purpose="Remortgage",1.00,
            1.20)))</f>
        <v/>
      </c>
      <c r="L6537">
        <f>LET(
    arrears_months,'Loan Tape (S&amp;P)'!AN6537,
    IF(arrears_months=0,1.00,
    IF(arrears_months=1,3.00,
    IF(arrears_months=2,5.00,
    IF(arrears_months=3,8.00,
    IF(arrears_months=4,10.00,
    IF(arrears_months=5,12.00,15.00)))))))</f>
        <v/>
      </c>
      <c r="M6537">
        <f>LET(
    seasoning_years,DATEDIF('Loan Tape (S&amp;P)'!K6537,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37">
        <f>IF(AND('Loan Tape (S&amp;P)'!U6537="Yes",
        'Loan Tape (S&amp;P)'!T6537&lt;&gt;"Yes",
        DATEDIF('Loan Tape (S&amp;P)'!K6537, TODAY(), "M")&lt;18),
    1.10,
    1.00)</f>
        <v/>
      </c>
      <c r="O6537">
        <f>IF('Loan Tape (S&amp;P)'!T6537="Yes",
    1.35,
    1.00)</f>
        <v/>
      </c>
      <c r="P6537">
        <f>IF('Loan Tape (S&amp;P)'!S6537="Yes",
    1.15,
    1.00)</f>
        <v/>
      </c>
      <c r="Q6537">
        <f>IF('Loan Tape (S&amp;P)'!V6537="Yes",
    1.20,
    1.00)</f>
        <v/>
      </c>
      <c r="T6537">
        <f>LET(
    payment_method,'Loan Tape (S&amp;P)'!P6537,
    occupancy,'Loan Tape (S&amp;P)'!N6537,
    maturity_date,'Loan Tape (S&amp;P)'!L6537,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38">
      <c r="J6538">
        <f>LET(
    lien,'Loan Tape (S&amp;P)'!Q6538,
    IF(lien="First",1.00,
        IF(lien="Second",1.50,
            1.70)))</f>
        <v/>
      </c>
      <c r="K6538">
        <f>LET(
    purpose,'Loan Tape (S&amp;P)'!R6538,
    IF(purpose="Purchase",1.00,
        IF(purpose="Remortgage",1.00,
            1.20)))</f>
        <v/>
      </c>
      <c r="L6538">
        <f>LET(
    arrears_months,'Loan Tape (S&amp;P)'!AN6538,
    IF(arrears_months=0,1.00,
    IF(arrears_months=1,3.00,
    IF(arrears_months=2,5.00,
    IF(arrears_months=3,8.00,
    IF(arrears_months=4,10.00,
    IF(arrears_months=5,12.00,15.00)))))))</f>
        <v/>
      </c>
      <c r="M6538">
        <f>LET(
    seasoning_years,DATEDIF('Loan Tape (S&amp;P)'!K6538,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38">
        <f>IF(AND('Loan Tape (S&amp;P)'!U6538="Yes",
        'Loan Tape (S&amp;P)'!T6538&lt;&gt;"Yes",
        DATEDIF('Loan Tape (S&amp;P)'!K6538, TODAY(), "M")&lt;18),
    1.10,
    1.00)</f>
        <v/>
      </c>
      <c r="O6538">
        <f>IF('Loan Tape (S&amp;P)'!T6538="Yes",
    1.35,
    1.00)</f>
        <v/>
      </c>
      <c r="P6538">
        <f>IF('Loan Tape (S&amp;P)'!S6538="Yes",
    1.15,
    1.00)</f>
        <v/>
      </c>
      <c r="Q6538">
        <f>IF('Loan Tape (S&amp;P)'!V6538="Yes",
    1.20,
    1.00)</f>
        <v/>
      </c>
      <c r="T6538">
        <f>LET(
    payment_method,'Loan Tape (S&amp;P)'!P6538,
    occupancy,'Loan Tape (S&amp;P)'!N6538,
    maturity_date,'Loan Tape (S&amp;P)'!L6538,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39">
      <c r="J6539">
        <f>LET(
    lien,'Loan Tape (S&amp;P)'!Q6539,
    IF(lien="First",1.00,
        IF(lien="Second",1.50,
            1.70)))</f>
        <v/>
      </c>
      <c r="K6539">
        <f>LET(
    purpose,'Loan Tape (S&amp;P)'!R6539,
    IF(purpose="Purchase",1.00,
        IF(purpose="Remortgage",1.00,
            1.20)))</f>
        <v/>
      </c>
      <c r="L6539">
        <f>LET(
    arrears_months,'Loan Tape (S&amp;P)'!AN6539,
    IF(arrears_months=0,1.00,
    IF(arrears_months=1,3.00,
    IF(arrears_months=2,5.00,
    IF(arrears_months=3,8.00,
    IF(arrears_months=4,10.00,
    IF(arrears_months=5,12.00,15.00)))))))</f>
        <v/>
      </c>
      <c r="M6539">
        <f>LET(
    seasoning_years,DATEDIF('Loan Tape (S&amp;P)'!K6539,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39">
        <f>IF(AND('Loan Tape (S&amp;P)'!U6539="Yes",
        'Loan Tape (S&amp;P)'!T6539&lt;&gt;"Yes",
        DATEDIF('Loan Tape (S&amp;P)'!K6539, TODAY(), "M")&lt;18),
    1.10,
    1.00)</f>
        <v/>
      </c>
      <c r="O6539">
        <f>IF('Loan Tape (S&amp;P)'!T6539="Yes",
    1.35,
    1.00)</f>
        <v/>
      </c>
      <c r="P6539">
        <f>IF('Loan Tape (S&amp;P)'!S6539="Yes",
    1.15,
    1.00)</f>
        <v/>
      </c>
      <c r="Q6539">
        <f>IF('Loan Tape (S&amp;P)'!V6539="Yes",
    1.20,
    1.00)</f>
        <v/>
      </c>
      <c r="T6539">
        <f>LET(
    payment_method,'Loan Tape (S&amp;P)'!P6539,
    occupancy,'Loan Tape (S&amp;P)'!N6539,
    maturity_date,'Loan Tape (S&amp;P)'!L6539,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40">
      <c r="J6540">
        <f>LET(
    lien,'Loan Tape (S&amp;P)'!Q6540,
    IF(lien="First",1.00,
        IF(lien="Second",1.50,
            1.70)))</f>
        <v/>
      </c>
      <c r="K6540">
        <f>LET(
    purpose,'Loan Tape (S&amp;P)'!R6540,
    IF(purpose="Purchase",1.00,
        IF(purpose="Remortgage",1.00,
            1.20)))</f>
        <v/>
      </c>
      <c r="L6540">
        <f>LET(
    arrears_months,'Loan Tape (S&amp;P)'!AN6540,
    IF(arrears_months=0,1.00,
    IF(arrears_months=1,3.00,
    IF(arrears_months=2,5.00,
    IF(arrears_months=3,8.00,
    IF(arrears_months=4,10.00,
    IF(arrears_months=5,12.00,15.00)))))))</f>
        <v/>
      </c>
      <c r="M6540">
        <f>LET(
    seasoning_years,DATEDIF('Loan Tape (S&amp;P)'!K6540,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40">
        <f>IF(AND('Loan Tape (S&amp;P)'!U6540="Yes",
        'Loan Tape (S&amp;P)'!T6540&lt;&gt;"Yes",
        DATEDIF('Loan Tape (S&amp;P)'!K6540, TODAY(), "M")&lt;18),
    1.10,
    1.00)</f>
        <v/>
      </c>
      <c r="O6540">
        <f>IF('Loan Tape (S&amp;P)'!T6540="Yes",
    1.35,
    1.00)</f>
        <v/>
      </c>
      <c r="P6540">
        <f>IF('Loan Tape (S&amp;P)'!S6540="Yes",
    1.15,
    1.00)</f>
        <v/>
      </c>
      <c r="Q6540">
        <f>IF('Loan Tape (S&amp;P)'!V6540="Yes",
    1.20,
    1.00)</f>
        <v/>
      </c>
      <c r="T6540">
        <f>LET(
    payment_method,'Loan Tape (S&amp;P)'!P6540,
    occupancy,'Loan Tape (S&amp;P)'!N6540,
    maturity_date,'Loan Tape (S&amp;P)'!L6540,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41">
      <c r="J6541">
        <f>LET(
    lien,'Loan Tape (S&amp;P)'!Q6541,
    IF(lien="First",1.00,
        IF(lien="Second",1.50,
            1.70)))</f>
        <v/>
      </c>
      <c r="K6541">
        <f>LET(
    purpose,'Loan Tape (S&amp;P)'!R6541,
    IF(purpose="Purchase",1.00,
        IF(purpose="Remortgage",1.00,
            1.20)))</f>
        <v/>
      </c>
      <c r="L6541">
        <f>LET(
    arrears_months,'Loan Tape (S&amp;P)'!AN6541,
    IF(arrears_months=0,1.00,
    IF(arrears_months=1,3.00,
    IF(arrears_months=2,5.00,
    IF(arrears_months=3,8.00,
    IF(arrears_months=4,10.00,
    IF(arrears_months=5,12.00,15.00)))))))</f>
        <v/>
      </c>
      <c r="M6541">
        <f>LET(
    seasoning_years,DATEDIF('Loan Tape (S&amp;P)'!K6541,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41">
        <f>IF(AND('Loan Tape (S&amp;P)'!U6541="Yes",
        'Loan Tape (S&amp;P)'!T6541&lt;&gt;"Yes",
        DATEDIF('Loan Tape (S&amp;P)'!K6541, TODAY(), "M")&lt;18),
    1.10,
    1.00)</f>
        <v/>
      </c>
      <c r="O6541">
        <f>IF('Loan Tape (S&amp;P)'!T6541="Yes",
    1.35,
    1.00)</f>
        <v/>
      </c>
      <c r="P6541">
        <f>IF('Loan Tape (S&amp;P)'!S6541="Yes",
    1.15,
    1.00)</f>
        <v/>
      </c>
      <c r="Q6541">
        <f>IF('Loan Tape (S&amp;P)'!V6541="Yes",
    1.20,
    1.00)</f>
        <v/>
      </c>
      <c r="T6541">
        <f>LET(
    payment_method,'Loan Tape (S&amp;P)'!P6541,
    occupancy,'Loan Tape (S&amp;P)'!N6541,
    maturity_date,'Loan Tape (S&amp;P)'!L6541,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42">
      <c r="J6542">
        <f>LET(
    lien,'Loan Tape (S&amp;P)'!Q6542,
    IF(lien="First",1.00,
        IF(lien="Second",1.50,
            1.70)))</f>
        <v/>
      </c>
      <c r="K6542">
        <f>LET(
    purpose,'Loan Tape (S&amp;P)'!R6542,
    IF(purpose="Purchase",1.00,
        IF(purpose="Remortgage",1.00,
            1.20)))</f>
        <v/>
      </c>
      <c r="L6542">
        <f>LET(
    arrears_months,'Loan Tape (S&amp;P)'!AN6542,
    IF(arrears_months=0,1.00,
    IF(arrears_months=1,3.00,
    IF(arrears_months=2,5.00,
    IF(arrears_months=3,8.00,
    IF(arrears_months=4,10.00,
    IF(arrears_months=5,12.00,15.00)))))))</f>
        <v/>
      </c>
      <c r="M6542">
        <f>LET(
    seasoning_years,DATEDIF('Loan Tape (S&amp;P)'!K6542,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42">
        <f>IF(AND('Loan Tape (S&amp;P)'!U6542="Yes",
        'Loan Tape (S&amp;P)'!T6542&lt;&gt;"Yes",
        DATEDIF('Loan Tape (S&amp;P)'!K6542, TODAY(), "M")&lt;18),
    1.10,
    1.00)</f>
        <v/>
      </c>
      <c r="O6542">
        <f>IF('Loan Tape (S&amp;P)'!T6542="Yes",
    1.35,
    1.00)</f>
        <v/>
      </c>
      <c r="P6542">
        <f>IF('Loan Tape (S&amp;P)'!S6542="Yes",
    1.15,
    1.00)</f>
        <v/>
      </c>
      <c r="Q6542">
        <f>IF('Loan Tape (S&amp;P)'!V6542="Yes",
    1.20,
    1.00)</f>
        <v/>
      </c>
      <c r="T6542">
        <f>LET(
    payment_method,'Loan Tape (S&amp;P)'!P6542,
    occupancy,'Loan Tape (S&amp;P)'!N6542,
    maturity_date,'Loan Tape (S&amp;P)'!L6542,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43">
      <c r="J6543">
        <f>LET(
    lien,'Loan Tape (S&amp;P)'!Q6543,
    IF(lien="First",1.00,
        IF(lien="Second",1.50,
            1.70)))</f>
        <v/>
      </c>
      <c r="K6543">
        <f>LET(
    purpose,'Loan Tape (S&amp;P)'!R6543,
    IF(purpose="Purchase",1.00,
        IF(purpose="Remortgage",1.00,
            1.20)))</f>
        <v/>
      </c>
      <c r="L6543">
        <f>LET(
    arrears_months,'Loan Tape (S&amp;P)'!AN6543,
    IF(arrears_months=0,1.00,
    IF(arrears_months=1,3.00,
    IF(arrears_months=2,5.00,
    IF(arrears_months=3,8.00,
    IF(arrears_months=4,10.00,
    IF(arrears_months=5,12.00,15.00)))))))</f>
        <v/>
      </c>
      <c r="M6543">
        <f>LET(
    seasoning_years,DATEDIF('Loan Tape (S&amp;P)'!K6543,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43">
        <f>IF(AND('Loan Tape (S&amp;P)'!U6543="Yes",
        'Loan Tape (S&amp;P)'!T6543&lt;&gt;"Yes",
        DATEDIF('Loan Tape (S&amp;P)'!K6543, TODAY(), "M")&lt;18),
    1.10,
    1.00)</f>
        <v/>
      </c>
      <c r="O6543">
        <f>IF('Loan Tape (S&amp;P)'!T6543="Yes",
    1.35,
    1.00)</f>
        <v/>
      </c>
      <c r="P6543">
        <f>IF('Loan Tape (S&amp;P)'!S6543="Yes",
    1.15,
    1.00)</f>
        <v/>
      </c>
      <c r="Q6543">
        <f>IF('Loan Tape (S&amp;P)'!V6543="Yes",
    1.20,
    1.00)</f>
        <v/>
      </c>
      <c r="T6543">
        <f>LET(
    payment_method,'Loan Tape (S&amp;P)'!P6543,
    occupancy,'Loan Tape (S&amp;P)'!N6543,
    maturity_date,'Loan Tape (S&amp;P)'!L6543,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44">
      <c r="J6544">
        <f>LET(
    lien,'Loan Tape (S&amp;P)'!Q6544,
    IF(lien="First",1.00,
        IF(lien="Second",1.50,
            1.70)))</f>
        <v/>
      </c>
      <c r="K6544">
        <f>LET(
    purpose,'Loan Tape (S&amp;P)'!R6544,
    IF(purpose="Purchase",1.00,
        IF(purpose="Remortgage",1.00,
            1.20)))</f>
        <v/>
      </c>
      <c r="L6544">
        <f>LET(
    arrears_months,'Loan Tape (S&amp;P)'!AN6544,
    IF(arrears_months=0,1.00,
    IF(arrears_months=1,3.00,
    IF(arrears_months=2,5.00,
    IF(arrears_months=3,8.00,
    IF(arrears_months=4,10.00,
    IF(arrears_months=5,12.00,15.00)))))))</f>
        <v/>
      </c>
      <c r="M6544">
        <f>LET(
    seasoning_years,DATEDIF('Loan Tape (S&amp;P)'!K6544,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44">
        <f>IF(AND('Loan Tape (S&amp;P)'!U6544="Yes",
        'Loan Tape (S&amp;P)'!T6544&lt;&gt;"Yes",
        DATEDIF('Loan Tape (S&amp;P)'!K6544, TODAY(), "M")&lt;18),
    1.10,
    1.00)</f>
        <v/>
      </c>
      <c r="O6544">
        <f>IF('Loan Tape (S&amp;P)'!T6544="Yes",
    1.35,
    1.00)</f>
        <v/>
      </c>
      <c r="P6544">
        <f>IF('Loan Tape (S&amp;P)'!S6544="Yes",
    1.15,
    1.00)</f>
        <v/>
      </c>
      <c r="Q6544">
        <f>IF('Loan Tape (S&amp;P)'!V6544="Yes",
    1.20,
    1.00)</f>
        <v/>
      </c>
      <c r="T6544">
        <f>LET(
    payment_method,'Loan Tape (S&amp;P)'!P6544,
    occupancy,'Loan Tape (S&amp;P)'!N6544,
    maturity_date,'Loan Tape (S&amp;P)'!L6544,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45">
      <c r="J6545">
        <f>LET(
    lien,'Loan Tape (S&amp;P)'!Q6545,
    IF(lien="First",1.00,
        IF(lien="Second",1.50,
            1.70)))</f>
        <v/>
      </c>
      <c r="K6545">
        <f>LET(
    purpose,'Loan Tape (S&amp;P)'!R6545,
    IF(purpose="Purchase",1.00,
        IF(purpose="Remortgage",1.00,
            1.20)))</f>
        <v/>
      </c>
      <c r="L6545">
        <f>LET(
    arrears_months,'Loan Tape (S&amp;P)'!AN6545,
    IF(arrears_months=0,1.00,
    IF(arrears_months=1,3.00,
    IF(arrears_months=2,5.00,
    IF(arrears_months=3,8.00,
    IF(arrears_months=4,10.00,
    IF(arrears_months=5,12.00,15.00)))))))</f>
        <v/>
      </c>
      <c r="M6545">
        <f>LET(
    seasoning_years,DATEDIF('Loan Tape (S&amp;P)'!K6545,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45">
        <f>IF(AND('Loan Tape (S&amp;P)'!U6545="Yes",
        'Loan Tape (S&amp;P)'!T6545&lt;&gt;"Yes",
        DATEDIF('Loan Tape (S&amp;P)'!K6545, TODAY(), "M")&lt;18),
    1.10,
    1.00)</f>
        <v/>
      </c>
      <c r="O6545">
        <f>IF('Loan Tape (S&amp;P)'!T6545="Yes",
    1.35,
    1.00)</f>
        <v/>
      </c>
      <c r="P6545">
        <f>IF('Loan Tape (S&amp;P)'!S6545="Yes",
    1.15,
    1.00)</f>
        <v/>
      </c>
      <c r="Q6545">
        <f>IF('Loan Tape (S&amp;P)'!V6545="Yes",
    1.20,
    1.00)</f>
        <v/>
      </c>
      <c r="T6545">
        <f>LET(
    payment_method,'Loan Tape (S&amp;P)'!P6545,
    occupancy,'Loan Tape (S&amp;P)'!N6545,
    maturity_date,'Loan Tape (S&amp;P)'!L6545,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46">
      <c r="J6546">
        <f>LET(
    lien,'Loan Tape (S&amp;P)'!Q6546,
    IF(lien="First",1.00,
        IF(lien="Second",1.50,
            1.70)))</f>
        <v/>
      </c>
      <c r="K6546">
        <f>LET(
    purpose,'Loan Tape (S&amp;P)'!R6546,
    IF(purpose="Purchase",1.00,
        IF(purpose="Remortgage",1.00,
            1.20)))</f>
        <v/>
      </c>
      <c r="L6546">
        <f>LET(
    arrears_months,'Loan Tape (S&amp;P)'!AN6546,
    IF(arrears_months=0,1.00,
    IF(arrears_months=1,3.00,
    IF(arrears_months=2,5.00,
    IF(arrears_months=3,8.00,
    IF(arrears_months=4,10.00,
    IF(arrears_months=5,12.00,15.00)))))))</f>
        <v/>
      </c>
      <c r="M6546">
        <f>LET(
    seasoning_years,DATEDIF('Loan Tape (S&amp;P)'!K6546,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46">
        <f>IF(AND('Loan Tape (S&amp;P)'!U6546="Yes",
        'Loan Tape (S&amp;P)'!T6546&lt;&gt;"Yes",
        DATEDIF('Loan Tape (S&amp;P)'!K6546, TODAY(), "M")&lt;18),
    1.10,
    1.00)</f>
        <v/>
      </c>
      <c r="O6546">
        <f>IF('Loan Tape (S&amp;P)'!T6546="Yes",
    1.35,
    1.00)</f>
        <v/>
      </c>
      <c r="P6546">
        <f>IF('Loan Tape (S&amp;P)'!S6546="Yes",
    1.15,
    1.00)</f>
        <v/>
      </c>
      <c r="Q6546">
        <f>IF('Loan Tape (S&amp;P)'!V6546="Yes",
    1.20,
    1.00)</f>
        <v/>
      </c>
      <c r="T6546">
        <f>LET(
    payment_method,'Loan Tape (S&amp;P)'!P6546,
    occupancy,'Loan Tape (S&amp;P)'!N6546,
    maturity_date,'Loan Tape (S&amp;P)'!L6546,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47">
      <c r="J6547">
        <f>LET(
    lien,'Loan Tape (S&amp;P)'!Q6547,
    IF(lien="First",1.00,
        IF(lien="Second",1.50,
            1.70)))</f>
        <v/>
      </c>
      <c r="K6547">
        <f>LET(
    purpose,'Loan Tape (S&amp;P)'!R6547,
    IF(purpose="Purchase",1.00,
        IF(purpose="Remortgage",1.00,
            1.20)))</f>
        <v/>
      </c>
      <c r="L6547">
        <f>LET(
    arrears_months,'Loan Tape (S&amp;P)'!AN6547,
    IF(arrears_months=0,1.00,
    IF(arrears_months=1,3.00,
    IF(arrears_months=2,5.00,
    IF(arrears_months=3,8.00,
    IF(arrears_months=4,10.00,
    IF(arrears_months=5,12.00,15.00)))))))</f>
        <v/>
      </c>
      <c r="M6547">
        <f>LET(
    seasoning_years,DATEDIF('Loan Tape (S&amp;P)'!K6547,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47">
        <f>IF(AND('Loan Tape (S&amp;P)'!U6547="Yes",
        'Loan Tape (S&amp;P)'!T6547&lt;&gt;"Yes",
        DATEDIF('Loan Tape (S&amp;P)'!K6547, TODAY(), "M")&lt;18),
    1.10,
    1.00)</f>
        <v/>
      </c>
      <c r="O6547">
        <f>IF('Loan Tape (S&amp;P)'!T6547="Yes",
    1.35,
    1.00)</f>
        <v/>
      </c>
      <c r="P6547">
        <f>IF('Loan Tape (S&amp;P)'!S6547="Yes",
    1.15,
    1.00)</f>
        <v/>
      </c>
      <c r="Q6547">
        <f>IF('Loan Tape (S&amp;P)'!V6547="Yes",
    1.20,
    1.00)</f>
        <v/>
      </c>
      <c r="T6547">
        <f>LET(
    payment_method,'Loan Tape (S&amp;P)'!P6547,
    occupancy,'Loan Tape (S&amp;P)'!N6547,
    maturity_date,'Loan Tape (S&amp;P)'!L6547,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48">
      <c r="J6548">
        <f>LET(
    lien,'Loan Tape (S&amp;P)'!Q6548,
    IF(lien="First",1.00,
        IF(lien="Second",1.50,
            1.70)))</f>
        <v/>
      </c>
      <c r="K6548">
        <f>LET(
    purpose,'Loan Tape (S&amp;P)'!R6548,
    IF(purpose="Purchase",1.00,
        IF(purpose="Remortgage",1.00,
            1.20)))</f>
        <v/>
      </c>
      <c r="L6548">
        <f>LET(
    arrears_months,'Loan Tape (S&amp;P)'!AN6548,
    IF(arrears_months=0,1.00,
    IF(arrears_months=1,3.00,
    IF(arrears_months=2,5.00,
    IF(arrears_months=3,8.00,
    IF(arrears_months=4,10.00,
    IF(arrears_months=5,12.00,15.00)))))))</f>
        <v/>
      </c>
      <c r="M6548">
        <f>LET(
    seasoning_years,DATEDIF('Loan Tape (S&amp;P)'!K6548,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48">
        <f>IF(AND('Loan Tape (S&amp;P)'!U6548="Yes",
        'Loan Tape (S&amp;P)'!T6548&lt;&gt;"Yes",
        DATEDIF('Loan Tape (S&amp;P)'!K6548, TODAY(), "M")&lt;18),
    1.10,
    1.00)</f>
        <v/>
      </c>
      <c r="O6548">
        <f>IF('Loan Tape (S&amp;P)'!T6548="Yes",
    1.35,
    1.00)</f>
        <v/>
      </c>
      <c r="P6548">
        <f>IF('Loan Tape (S&amp;P)'!S6548="Yes",
    1.15,
    1.00)</f>
        <v/>
      </c>
      <c r="Q6548">
        <f>IF('Loan Tape (S&amp;P)'!V6548="Yes",
    1.20,
    1.00)</f>
        <v/>
      </c>
      <c r="T6548">
        <f>LET(
    payment_method,'Loan Tape (S&amp;P)'!P6548,
    occupancy,'Loan Tape (S&amp;P)'!N6548,
    maturity_date,'Loan Tape (S&amp;P)'!L6548,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49">
      <c r="J6549">
        <f>LET(
    lien,'Loan Tape (S&amp;P)'!Q6549,
    IF(lien="First",1.00,
        IF(lien="Second",1.50,
            1.70)))</f>
        <v/>
      </c>
      <c r="K6549">
        <f>LET(
    purpose,'Loan Tape (S&amp;P)'!R6549,
    IF(purpose="Purchase",1.00,
        IF(purpose="Remortgage",1.00,
            1.20)))</f>
        <v/>
      </c>
      <c r="L6549">
        <f>LET(
    arrears_months,'Loan Tape (S&amp;P)'!AN6549,
    IF(arrears_months=0,1.00,
    IF(arrears_months=1,3.00,
    IF(arrears_months=2,5.00,
    IF(arrears_months=3,8.00,
    IF(arrears_months=4,10.00,
    IF(arrears_months=5,12.00,15.00)))))))</f>
        <v/>
      </c>
      <c r="M6549">
        <f>LET(
    seasoning_years,DATEDIF('Loan Tape (S&amp;P)'!K6549,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49">
        <f>IF(AND('Loan Tape (S&amp;P)'!U6549="Yes",
        'Loan Tape (S&amp;P)'!T6549&lt;&gt;"Yes",
        DATEDIF('Loan Tape (S&amp;P)'!K6549, TODAY(), "M")&lt;18),
    1.10,
    1.00)</f>
        <v/>
      </c>
      <c r="O6549">
        <f>IF('Loan Tape (S&amp;P)'!T6549="Yes",
    1.35,
    1.00)</f>
        <v/>
      </c>
      <c r="P6549">
        <f>IF('Loan Tape (S&amp;P)'!S6549="Yes",
    1.15,
    1.00)</f>
        <v/>
      </c>
      <c r="Q6549">
        <f>IF('Loan Tape (S&amp;P)'!V6549="Yes",
    1.20,
    1.00)</f>
        <v/>
      </c>
      <c r="T6549">
        <f>LET(
    payment_method,'Loan Tape (S&amp;P)'!P6549,
    occupancy,'Loan Tape (S&amp;P)'!N6549,
    maturity_date,'Loan Tape (S&amp;P)'!L6549,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50">
      <c r="J6550">
        <f>LET(
    lien,'Loan Tape (S&amp;P)'!Q6550,
    IF(lien="First",1.00,
        IF(lien="Second",1.50,
            1.70)))</f>
        <v/>
      </c>
      <c r="K6550">
        <f>LET(
    purpose,'Loan Tape (S&amp;P)'!R6550,
    IF(purpose="Purchase",1.00,
        IF(purpose="Remortgage",1.00,
            1.20)))</f>
        <v/>
      </c>
      <c r="L6550">
        <f>LET(
    arrears_months,'Loan Tape (S&amp;P)'!AN6550,
    IF(arrears_months=0,1.00,
    IF(arrears_months=1,3.00,
    IF(arrears_months=2,5.00,
    IF(arrears_months=3,8.00,
    IF(arrears_months=4,10.00,
    IF(arrears_months=5,12.00,15.00)))))))</f>
        <v/>
      </c>
      <c r="M6550">
        <f>LET(
    seasoning_years,DATEDIF('Loan Tape (S&amp;P)'!K6550,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50">
        <f>IF(AND('Loan Tape (S&amp;P)'!U6550="Yes",
        'Loan Tape (S&amp;P)'!T6550&lt;&gt;"Yes",
        DATEDIF('Loan Tape (S&amp;P)'!K6550, TODAY(), "M")&lt;18),
    1.10,
    1.00)</f>
        <v/>
      </c>
      <c r="O6550">
        <f>IF('Loan Tape (S&amp;P)'!T6550="Yes",
    1.35,
    1.00)</f>
        <v/>
      </c>
      <c r="P6550">
        <f>IF('Loan Tape (S&amp;P)'!S6550="Yes",
    1.15,
    1.00)</f>
        <v/>
      </c>
      <c r="Q6550">
        <f>IF('Loan Tape (S&amp;P)'!V6550="Yes",
    1.20,
    1.00)</f>
        <v/>
      </c>
      <c r="T6550">
        <f>LET(
    payment_method,'Loan Tape (S&amp;P)'!P6550,
    occupancy,'Loan Tape (S&amp;P)'!N6550,
    maturity_date,'Loan Tape (S&amp;P)'!L6550,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51">
      <c r="J6551">
        <f>LET(
    lien,'Loan Tape (S&amp;P)'!Q6551,
    IF(lien="First",1.00,
        IF(lien="Second",1.50,
            1.70)))</f>
        <v/>
      </c>
      <c r="K6551">
        <f>LET(
    purpose,'Loan Tape (S&amp;P)'!R6551,
    IF(purpose="Purchase",1.00,
        IF(purpose="Remortgage",1.00,
            1.20)))</f>
        <v/>
      </c>
      <c r="L6551">
        <f>LET(
    arrears_months,'Loan Tape (S&amp;P)'!AN6551,
    IF(arrears_months=0,1.00,
    IF(arrears_months=1,3.00,
    IF(arrears_months=2,5.00,
    IF(arrears_months=3,8.00,
    IF(arrears_months=4,10.00,
    IF(arrears_months=5,12.00,15.00)))))))</f>
        <v/>
      </c>
      <c r="M6551">
        <f>LET(
    seasoning_years,DATEDIF('Loan Tape (S&amp;P)'!K6551,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51">
        <f>IF(AND('Loan Tape (S&amp;P)'!U6551="Yes",
        'Loan Tape (S&amp;P)'!T6551&lt;&gt;"Yes",
        DATEDIF('Loan Tape (S&amp;P)'!K6551, TODAY(), "M")&lt;18),
    1.10,
    1.00)</f>
        <v/>
      </c>
      <c r="O6551">
        <f>IF('Loan Tape (S&amp;P)'!T6551="Yes",
    1.35,
    1.00)</f>
        <v/>
      </c>
      <c r="P6551">
        <f>IF('Loan Tape (S&amp;P)'!S6551="Yes",
    1.15,
    1.00)</f>
        <v/>
      </c>
      <c r="Q6551">
        <f>IF('Loan Tape (S&amp;P)'!V6551="Yes",
    1.20,
    1.00)</f>
        <v/>
      </c>
      <c r="T6551">
        <f>LET(
    payment_method,'Loan Tape (S&amp;P)'!P6551,
    occupancy,'Loan Tape (S&amp;P)'!N6551,
    maturity_date,'Loan Tape (S&amp;P)'!L6551,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52">
      <c r="J6552">
        <f>LET(
    lien,'Loan Tape (S&amp;P)'!Q6552,
    IF(lien="First",1.00,
        IF(lien="Second",1.50,
            1.70)))</f>
        <v/>
      </c>
      <c r="K6552">
        <f>LET(
    purpose,'Loan Tape (S&amp;P)'!R6552,
    IF(purpose="Purchase",1.00,
        IF(purpose="Remortgage",1.00,
            1.20)))</f>
        <v/>
      </c>
      <c r="L6552">
        <f>LET(
    arrears_months,'Loan Tape (S&amp;P)'!AN6552,
    IF(arrears_months=0,1.00,
    IF(arrears_months=1,3.00,
    IF(arrears_months=2,5.00,
    IF(arrears_months=3,8.00,
    IF(arrears_months=4,10.00,
    IF(arrears_months=5,12.00,15.00)))))))</f>
        <v/>
      </c>
      <c r="M6552">
        <f>LET(
    seasoning_years,DATEDIF('Loan Tape (S&amp;P)'!K6552,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52">
        <f>IF(AND('Loan Tape (S&amp;P)'!U6552="Yes",
        'Loan Tape (S&amp;P)'!T6552&lt;&gt;"Yes",
        DATEDIF('Loan Tape (S&amp;P)'!K6552, TODAY(), "M")&lt;18),
    1.10,
    1.00)</f>
        <v/>
      </c>
      <c r="O6552">
        <f>IF('Loan Tape (S&amp;P)'!T6552="Yes",
    1.35,
    1.00)</f>
        <v/>
      </c>
      <c r="P6552">
        <f>IF('Loan Tape (S&amp;P)'!S6552="Yes",
    1.15,
    1.00)</f>
        <v/>
      </c>
      <c r="Q6552">
        <f>IF('Loan Tape (S&amp;P)'!V6552="Yes",
    1.20,
    1.00)</f>
        <v/>
      </c>
      <c r="T6552">
        <f>LET(
    payment_method,'Loan Tape (S&amp;P)'!P6552,
    occupancy,'Loan Tape (S&amp;P)'!N6552,
    maturity_date,'Loan Tape (S&amp;P)'!L6552,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53">
      <c r="J6553">
        <f>LET(
    lien,'Loan Tape (S&amp;P)'!Q6553,
    IF(lien="First",1.00,
        IF(lien="Second",1.50,
            1.70)))</f>
        <v/>
      </c>
      <c r="K6553">
        <f>LET(
    purpose,'Loan Tape (S&amp;P)'!R6553,
    IF(purpose="Purchase",1.00,
        IF(purpose="Remortgage",1.00,
            1.20)))</f>
        <v/>
      </c>
      <c r="L6553">
        <f>LET(
    arrears_months,'Loan Tape (S&amp;P)'!AN6553,
    IF(arrears_months=0,1.00,
    IF(arrears_months=1,3.00,
    IF(arrears_months=2,5.00,
    IF(arrears_months=3,8.00,
    IF(arrears_months=4,10.00,
    IF(arrears_months=5,12.00,15.00)))))))</f>
        <v/>
      </c>
      <c r="M6553">
        <f>LET(
    seasoning_years,DATEDIF('Loan Tape (S&amp;P)'!K6553,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53">
        <f>IF(AND('Loan Tape (S&amp;P)'!U6553="Yes",
        'Loan Tape (S&amp;P)'!T6553&lt;&gt;"Yes",
        DATEDIF('Loan Tape (S&amp;P)'!K6553, TODAY(), "M")&lt;18),
    1.10,
    1.00)</f>
        <v/>
      </c>
      <c r="O6553">
        <f>IF('Loan Tape (S&amp;P)'!T6553="Yes",
    1.35,
    1.00)</f>
        <v/>
      </c>
      <c r="P6553">
        <f>IF('Loan Tape (S&amp;P)'!S6553="Yes",
    1.15,
    1.00)</f>
        <v/>
      </c>
      <c r="Q6553">
        <f>IF('Loan Tape (S&amp;P)'!V6553="Yes",
    1.20,
    1.00)</f>
        <v/>
      </c>
      <c r="T6553">
        <f>LET(
    payment_method,'Loan Tape (S&amp;P)'!P6553,
    occupancy,'Loan Tape (S&amp;P)'!N6553,
    maturity_date,'Loan Tape (S&amp;P)'!L6553,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54">
      <c r="J6554">
        <f>LET(
    lien,'Loan Tape (S&amp;P)'!Q6554,
    IF(lien="First",1.00,
        IF(lien="Second",1.50,
            1.70)))</f>
        <v/>
      </c>
      <c r="K6554">
        <f>LET(
    purpose,'Loan Tape (S&amp;P)'!R6554,
    IF(purpose="Purchase",1.00,
        IF(purpose="Remortgage",1.00,
            1.20)))</f>
        <v/>
      </c>
      <c r="L6554">
        <f>LET(
    arrears_months,'Loan Tape (S&amp;P)'!AN6554,
    IF(arrears_months=0,1.00,
    IF(arrears_months=1,3.00,
    IF(arrears_months=2,5.00,
    IF(arrears_months=3,8.00,
    IF(arrears_months=4,10.00,
    IF(arrears_months=5,12.00,15.00)))))))</f>
        <v/>
      </c>
      <c r="M6554">
        <f>LET(
    seasoning_years,DATEDIF('Loan Tape (S&amp;P)'!K6554,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54">
        <f>IF(AND('Loan Tape (S&amp;P)'!U6554="Yes",
        'Loan Tape (S&amp;P)'!T6554&lt;&gt;"Yes",
        DATEDIF('Loan Tape (S&amp;P)'!K6554, TODAY(), "M")&lt;18),
    1.10,
    1.00)</f>
        <v/>
      </c>
      <c r="O6554">
        <f>IF('Loan Tape (S&amp;P)'!T6554="Yes",
    1.35,
    1.00)</f>
        <v/>
      </c>
      <c r="P6554">
        <f>IF('Loan Tape (S&amp;P)'!S6554="Yes",
    1.15,
    1.00)</f>
        <v/>
      </c>
      <c r="Q6554">
        <f>IF('Loan Tape (S&amp;P)'!V6554="Yes",
    1.20,
    1.00)</f>
        <v/>
      </c>
      <c r="T6554">
        <f>LET(
    payment_method,'Loan Tape (S&amp;P)'!P6554,
    occupancy,'Loan Tape (S&amp;P)'!N6554,
    maturity_date,'Loan Tape (S&amp;P)'!L6554,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55">
      <c r="J6555">
        <f>LET(
    lien,'Loan Tape (S&amp;P)'!Q6555,
    IF(lien="First",1.00,
        IF(lien="Second",1.50,
            1.70)))</f>
        <v/>
      </c>
      <c r="K6555">
        <f>LET(
    purpose,'Loan Tape (S&amp;P)'!R6555,
    IF(purpose="Purchase",1.00,
        IF(purpose="Remortgage",1.00,
            1.20)))</f>
        <v/>
      </c>
      <c r="L6555">
        <f>LET(
    arrears_months,'Loan Tape (S&amp;P)'!AN6555,
    IF(arrears_months=0,1.00,
    IF(arrears_months=1,3.00,
    IF(arrears_months=2,5.00,
    IF(arrears_months=3,8.00,
    IF(arrears_months=4,10.00,
    IF(arrears_months=5,12.00,15.00)))))))</f>
        <v/>
      </c>
      <c r="M6555">
        <f>LET(
    seasoning_years,DATEDIF('Loan Tape (S&amp;P)'!K6555,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55">
        <f>IF(AND('Loan Tape (S&amp;P)'!U6555="Yes",
        'Loan Tape (S&amp;P)'!T6555&lt;&gt;"Yes",
        DATEDIF('Loan Tape (S&amp;P)'!K6555, TODAY(), "M")&lt;18),
    1.10,
    1.00)</f>
        <v/>
      </c>
      <c r="O6555">
        <f>IF('Loan Tape (S&amp;P)'!T6555="Yes",
    1.35,
    1.00)</f>
        <v/>
      </c>
      <c r="P6555">
        <f>IF('Loan Tape (S&amp;P)'!S6555="Yes",
    1.15,
    1.00)</f>
        <v/>
      </c>
      <c r="Q6555">
        <f>IF('Loan Tape (S&amp;P)'!V6555="Yes",
    1.20,
    1.00)</f>
        <v/>
      </c>
      <c r="T6555">
        <f>LET(
    payment_method,'Loan Tape (S&amp;P)'!P6555,
    occupancy,'Loan Tape (S&amp;P)'!N6555,
    maturity_date,'Loan Tape (S&amp;P)'!L6555,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56">
      <c r="J6556">
        <f>LET(
    lien,'Loan Tape (S&amp;P)'!Q6556,
    IF(lien="First",1.00,
        IF(lien="Second",1.50,
            1.70)))</f>
        <v/>
      </c>
      <c r="K6556">
        <f>LET(
    purpose,'Loan Tape (S&amp;P)'!R6556,
    IF(purpose="Purchase",1.00,
        IF(purpose="Remortgage",1.00,
            1.20)))</f>
        <v/>
      </c>
      <c r="L6556">
        <f>LET(
    arrears_months,'Loan Tape (S&amp;P)'!AN6556,
    IF(arrears_months=0,1.00,
    IF(arrears_months=1,3.00,
    IF(arrears_months=2,5.00,
    IF(arrears_months=3,8.00,
    IF(arrears_months=4,10.00,
    IF(arrears_months=5,12.00,15.00)))))))</f>
        <v/>
      </c>
      <c r="M6556">
        <f>LET(
    seasoning_years,DATEDIF('Loan Tape (S&amp;P)'!K6556,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56">
        <f>IF(AND('Loan Tape (S&amp;P)'!U6556="Yes",
        'Loan Tape (S&amp;P)'!T6556&lt;&gt;"Yes",
        DATEDIF('Loan Tape (S&amp;P)'!K6556, TODAY(), "M")&lt;18),
    1.10,
    1.00)</f>
        <v/>
      </c>
      <c r="O6556">
        <f>IF('Loan Tape (S&amp;P)'!T6556="Yes",
    1.35,
    1.00)</f>
        <v/>
      </c>
      <c r="P6556">
        <f>IF('Loan Tape (S&amp;P)'!S6556="Yes",
    1.15,
    1.00)</f>
        <v/>
      </c>
      <c r="Q6556">
        <f>IF('Loan Tape (S&amp;P)'!V6556="Yes",
    1.20,
    1.00)</f>
        <v/>
      </c>
      <c r="T6556">
        <f>LET(
    payment_method,'Loan Tape (S&amp;P)'!P6556,
    occupancy,'Loan Tape (S&amp;P)'!N6556,
    maturity_date,'Loan Tape (S&amp;P)'!L6556,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57">
      <c r="J6557">
        <f>LET(
    lien,'Loan Tape (S&amp;P)'!Q6557,
    IF(lien="First",1.00,
        IF(lien="Second",1.50,
            1.70)))</f>
        <v/>
      </c>
      <c r="K6557">
        <f>LET(
    purpose,'Loan Tape (S&amp;P)'!R6557,
    IF(purpose="Purchase",1.00,
        IF(purpose="Remortgage",1.00,
            1.20)))</f>
        <v/>
      </c>
      <c r="L6557">
        <f>LET(
    arrears_months,'Loan Tape (S&amp;P)'!AN6557,
    IF(arrears_months=0,1.00,
    IF(arrears_months=1,3.00,
    IF(arrears_months=2,5.00,
    IF(arrears_months=3,8.00,
    IF(arrears_months=4,10.00,
    IF(arrears_months=5,12.00,15.00)))))))</f>
        <v/>
      </c>
      <c r="M6557">
        <f>LET(
    seasoning_years,DATEDIF('Loan Tape (S&amp;P)'!K6557,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57">
        <f>IF(AND('Loan Tape (S&amp;P)'!U6557="Yes",
        'Loan Tape (S&amp;P)'!T6557&lt;&gt;"Yes",
        DATEDIF('Loan Tape (S&amp;P)'!K6557, TODAY(), "M")&lt;18),
    1.10,
    1.00)</f>
        <v/>
      </c>
      <c r="O6557">
        <f>IF('Loan Tape (S&amp;P)'!T6557="Yes",
    1.35,
    1.00)</f>
        <v/>
      </c>
      <c r="P6557">
        <f>IF('Loan Tape (S&amp;P)'!S6557="Yes",
    1.15,
    1.00)</f>
        <v/>
      </c>
      <c r="Q6557">
        <f>IF('Loan Tape (S&amp;P)'!V6557="Yes",
    1.20,
    1.00)</f>
        <v/>
      </c>
      <c r="T6557">
        <f>LET(
    payment_method,'Loan Tape (S&amp;P)'!P6557,
    occupancy,'Loan Tape (S&amp;P)'!N6557,
    maturity_date,'Loan Tape (S&amp;P)'!L6557,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58">
      <c r="J6558">
        <f>LET(
    lien,'Loan Tape (S&amp;P)'!Q6558,
    IF(lien="First",1.00,
        IF(lien="Second",1.50,
            1.70)))</f>
        <v/>
      </c>
      <c r="K6558">
        <f>LET(
    purpose,'Loan Tape (S&amp;P)'!R6558,
    IF(purpose="Purchase",1.00,
        IF(purpose="Remortgage",1.00,
            1.20)))</f>
        <v/>
      </c>
      <c r="L6558">
        <f>LET(
    arrears_months,'Loan Tape (S&amp;P)'!AN6558,
    IF(arrears_months=0,1.00,
    IF(arrears_months=1,3.00,
    IF(arrears_months=2,5.00,
    IF(arrears_months=3,8.00,
    IF(arrears_months=4,10.00,
    IF(arrears_months=5,12.00,15.00)))))))</f>
        <v/>
      </c>
      <c r="M6558">
        <f>LET(
    seasoning_years,DATEDIF('Loan Tape (S&amp;P)'!K6558,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58">
        <f>IF(AND('Loan Tape (S&amp;P)'!U6558="Yes",
        'Loan Tape (S&amp;P)'!T6558&lt;&gt;"Yes",
        DATEDIF('Loan Tape (S&amp;P)'!K6558, TODAY(), "M")&lt;18),
    1.10,
    1.00)</f>
        <v/>
      </c>
      <c r="O6558">
        <f>IF('Loan Tape (S&amp;P)'!T6558="Yes",
    1.35,
    1.00)</f>
        <v/>
      </c>
      <c r="P6558">
        <f>IF('Loan Tape (S&amp;P)'!S6558="Yes",
    1.15,
    1.00)</f>
        <v/>
      </c>
      <c r="Q6558">
        <f>IF('Loan Tape (S&amp;P)'!V6558="Yes",
    1.20,
    1.00)</f>
        <v/>
      </c>
      <c r="T6558">
        <f>LET(
    payment_method,'Loan Tape (S&amp;P)'!P6558,
    occupancy,'Loan Tape (S&amp;P)'!N6558,
    maturity_date,'Loan Tape (S&amp;P)'!L6558,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59">
      <c r="J6559">
        <f>LET(
    lien,'Loan Tape (S&amp;P)'!Q6559,
    IF(lien="First",1.00,
        IF(lien="Second",1.50,
            1.70)))</f>
        <v/>
      </c>
      <c r="K6559">
        <f>LET(
    purpose,'Loan Tape (S&amp;P)'!R6559,
    IF(purpose="Purchase",1.00,
        IF(purpose="Remortgage",1.00,
            1.20)))</f>
        <v/>
      </c>
      <c r="L6559">
        <f>LET(
    arrears_months,'Loan Tape (S&amp;P)'!AN6559,
    IF(arrears_months=0,1.00,
    IF(arrears_months=1,3.00,
    IF(arrears_months=2,5.00,
    IF(arrears_months=3,8.00,
    IF(arrears_months=4,10.00,
    IF(arrears_months=5,12.00,15.00)))))))</f>
        <v/>
      </c>
      <c r="M6559">
        <f>LET(
    seasoning_years,DATEDIF('Loan Tape (S&amp;P)'!K6559,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59">
        <f>IF(AND('Loan Tape (S&amp;P)'!U6559="Yes",
        'Loan Tape (S&amp;P)'!T6559&lt;&gt;"Yes",
        DATEDIF('Loan Tape (S&amp;P)'!K6559, TODAY(), "M")&lt;18),
    1.10,
    1.00)</f>
        <v/>
      </c>
      <c r="O6559">
        <f>IF('Loan Tape (S&amp;P)'!T6559="Yes",
    1.35,
    1.00)</f>
        <v/>
      </c>
      <c r="P6559">
        <f>IF('Loan Tape (S&amp;P)'!S6559="Yes",
    1.15,
    1.00)</f>
        <v/>
      </c>
      <c r="Q6559">
        <f>IF('Loan Tape (S&amp;P)'!V6559="Yes",
    1.20,
    1.00)</f>
        <v/>
      </c>
      <c r="T6559">
        <f>LET(
    payment_method,'Loan Tape (S&amp;P)'!P6559,
    occupancy,'Loan Tape (S&amp;P)'!N6559,
    maturity_date,'Loan Tape (S&amp;P)'!L6559,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60">
      <c r="J6560">
        <f>LET(
    lien,'Loan Tape (S&amp;P)'!Q6560,
    IF(lien="First",1.00,
        IF(lien="Second",1.50,
            1.70)))</f>
        <v/>
      </c>
      <c r="K6560">
        <f>LET(
    purpose,'Loan Tape (S&amp;P)'!R6560,
    IF(purpose="Purchase",1.00,
        IF(purpose="Remortgage",1.00,
            1.20)))</f>
        <v/>
      </c>
      <c r="L6560">
        <f>LET(
    arrears_months,'Loan Tape (S&amp;P)'!AN6560,
    IF(arrears_months=0,1.00,
    IF(arrears_months=1,3.00,
    IF(arrears_months=2,5.00,
    IF(arrears_months=3,8.00,
    IF(arrears_months=4,10.00,
    IF(arrears_months=5,12.00,15.00)))))))</f>
        <v/>
      </c>
      <c r="M6560">
        <f>LET(
    seasoning_years,DATEDIF('Loan Tape (S&amp;P)'!K6560,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60">
        <f>IF(AND('Loan Tape (S&amp;P)'!U6560="Yes",
        'Loan Tape (S&amp;P)'!T6560&lt;&gt;"Yes",
        DATEDIF('Loan Tape (S&amp;P)'!K6560, TODAY(), "M")&lt;18),
    1.10,
    1.00)</f>
        <v/>
      </c>
      <c r="O6560">
        <f>IF('Loan Tape (S&amp;P)'!T6560="Yes",
    1.35,
    1.00)</f>
        <v/>
      </c>
      <c r="P6560">
        <f>IF('Loan Tape (S&amp;P)'!S6560="Yes",
    1.15,
    1.00)</f>
        <v/>
      </c>
      <c r="Q6560">
        <f>IF('Loan Tape (S&amp;P)'!V6560="Yes",
    1.20,
    1.00)</f>
        <v/>
      </c>
      <c r="T6560">
        <f>LET(
    payment_method,'Loan Tape (S&amp;P)'!P6560,
    occupancy,'Loan Tape (S&amp;P)'!N6560,
    maturity_date,'Loan Tape (S&amp;P)'!L6560,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61">
      <c r="J6561">
        <f>LET(
    lien,'Loan Tape (S&amp;P)'!Q6561,
    IF(lien="First",1.00,
        IF(lien="Second",1.50,
            1.70)))</f>
        <v/>
      </c>
      <c r="K6561">
        <f>LET(
    purpose,'Loan Tape (S&amp;P)'!R6561,
    IF(purpose="Purchase",1.00,
        IF(purpose="Remortgage",1.00,
            1.20)))</f>
        <v/>
      </c>
      <c r="L6561">
        <f>LET(
    arrears_months,'Loan Tape (S&amp;P)'!AN6561,
    IF(arrears_months=0,1.00,
    IF(arrears_months=1,3.00,
    IF(arrears_months=2,5.00,
    IF(arrears_months=3,8.00,
    IF(arrears_months=4,10.00,
    IF(arrears_months=5,12.00,15.00)))))))</f>
        <v/>
      </c>
      <c r="M6561">
        <f>LET(
    seasoning_years,DATEDIF('Loan Tape (S&amp;P)'!K6561,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61">
        <f>IF(AND('Loan Tape (S&amp;P)'!U6561="Yes",
        'Loan Tape (S&amp;P)'!T6561&lt;&gt;"Yes",
        DATEDIF('Loan Tape (S&amp;P)'!K6561, TODAY(), "M")&lt;18),
    1.10,
    1.00)</f>
        <v/>
      </c>
      <c r="O6561">
        <f>IF('Loan Tape (S&amp;P)'!T6561="Yes",
    1.35,
    1.00)</f>
        <v/>
      </c>
      <c r="P6561">
        <f>IF('Loan Tape (S&amp;P)'!S6561="Yes",
    1.15,
    1.00)</f>
        <v/>
      </c>
      <c r="Q6561">
        <f>IF('Loan Tape (S&amp;P)'!V6561="Yes",
    1.20,
    1.00)</f>
        <v/>
      </c>
      <c r="T6561">
        <f>LET(
    payment_method,'Loan Tape (S&amp;P)'!P6561,
    occupancy,'Loan Tape (S&amp;P)'!N6561,
    maturity_date,'Loan Tape (S&amp;P)'!L6561,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62">
      <c r="J6562">
        <f>LET(
    lien,'Loan Tape (S&amp;P)'!Q6562,
    IF(lien="First",1.00,
        IF(lien="Second",1.50,
            1.70)))</f>
        <v/>
      </c>
      <c r="K6562">
        <f>LET(
    purpose,'Loan Tape (S&amp;P)'!R6562,
    IF(purpose="Purchase",1.00,
        IF(purpose="Remortgage",1.00,
            1.20)))</f>
        <v/>
      </c>
      <c r="L6562">
        <f>LET(
    arrears_months,'Loan Tape (S&amp;P)'!AN6562,
    IF(arrears_months=0,1.00,
    IF(arrears_months=1,3.00,
    IF(arrears_months=2,5.00,
    IF(arrears_months=3,8.00,
    IF(arrears_months=4,10.00,
    IF(arrears_months=5,12.00,15.00)))))))</f>
        <v/>
      </c>
      <c r="M6562">
        <f>LET(
    seasoning_years,DATEDIF('Loan Tape (S&amp;P)'!K6562,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62">
        <f>IF(AND('Loan Tape (S&amp;P)'!U6562="Yes",
        'Loan Tape (S&amp;P)'!T6562&lt;&gt;"Yes",
        DATEDIF('Loan Tape (S&amp;P)'!K6562, TODAY(), "M")&lt;18),
    1.10,
    1.00)</f>
        <v/>
      </c>
      <c r="O6562">
        <f>IF('Loan Tape (S&amp;P)'!T6562="Yes",
    1.35,
    1.00)</f>
        <v/>
      </c>
      <c r="P6562">
        <f>IF('Loan Tape (S&amp;P)'!S6562="Yes",
    1.15,
    1.00)</f>
        <v/>
      </c>
      <c r="Q6562">
        <f>IF('Loan Tape (S&amp;P)'!V6562="Yes",
    1.20,
    1.00)</f>
        <v/>
      </c>
      <c r="T6562">
        <f>LET(
    payment_method,'Loan Tape (S&amp;P)'!P6562,
    occupancy,'Loan Tape (S&amp;P)'!N6562,
    maturity_date,'Loan Tape (S&amp;P)'!L6562,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63">
      <c r="J6563">
        <f>LET(
    lien,'Loan Tape (S&amp;P)'!Q6563,
    IF(lien="First",1.00,
        IF(lien="Second",1.50,
            1.70)))</f>
        <v/>
      </c>
      <c r="K6563">
        <f>LET(
    purpose,'Loan Tape (S&amp;P)'!R6563,
    IF(purpose="Purchase",1.00,
        IF(purpose="Remortgage",1.00,
            1.20)))</f>
        <v/>
      </c>
      <c r="L6563">
        <f>LET(
    arrears_months,'Loan Tape (S&amp;P)'!AN6563,
    IF(arrears_months=0,1.00,
    IF(arrears_months=1,3.00,
    IF(arrears_months=2,5.00,
    IF(arrears_months=3,8.00,
    IF(arrears_months=4,10.00,
    IF(arrears_months=5,12.00,15.00)))))))</f>
        <v/>
      </c>
      <c r="M6563">
        <f>LET(
    seasoning_years,DATEDIF('Loan Tape (S&amp;P)'!K6563,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63">
        <f>IF(AND('Loan Tape (S&amp;P)'!U6563="Yes",
        'Loan Tape (S&amp;P)'!T6563&lt;&gt;"Yes",
        DATEDIF('Loan Tape (S&amp;P)'!K6563, TODAY(), "M")&lt;18),
    1.10,
    1.00)</f>
        <v/>
      </c>
      <c r="O6563">
        <f>IF('Loan Tape (S&amp;P)'!T6563="Yes",
    1.35,
    1.00)</f>
        <v/>
      </c>
      <c r="P6563">
        <f>IF('Loan Tape (S&amp;P)'!S6563="Yes",
    1.15,
    1.00)</f>
        <v/>
      </c>
      <c r="Q6563">
        <f>IF('Loan Tape (S&amp;P)'!V6563="Yes",
    1.20,
    1.00)</f>
        <v/>
      </c>
      <c r="T6563">
        <f>LET(
    payment_method,'Loan Tape (S&amp;P)'!P6563,
    occupancy,'Loan Tape (S&amp;P)'!N6563,
    maturity_date,'Loan Tape (S&amp;P)'!L6563,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64">
      <c r="J6564">
        <f>LET(
    lien,'Loan Tape (S&amp;P)'!Q6564,
    IF(lien="First",1.00,
        IF(lien="Second",1.50,
            1.70)))</f>
        <v/>
      </c>
      <c r="K6564">
        <f>LET(
    purpose,'Loan Tape (S&amp;P)'!R6564,
    IF(purpose="Purchase",1.00,
        IF(purpose="Remortgage",1.00,
            1.20)))</f>
        <v/>
      </c>
      <c r="L6564">
        <f>LET(
    arrears_months,'Loan Tape (S&amp;P)'!AN6564,
    IF(arrears_months=0,1.00,
    IF(arrears_months=1,3.00,
    IF(arrears_months=2,5.00,
    IF(arrears_months=3,8.00,
    IF(arrears_months=4,10.00,
    IF(arrears_months=5,12.00,15.00)))))))</f>
        <v/>
      </c>
      <c r="M6564">
        <f>LET(
    seasoning_years,DATEDIF('Loan Tape (S&amp;P)'!K6564,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64">
        <f>IF(AND('Loan Tape (S&amp;P)'!U6564="Yes",
        'Loan Tape (S&amp;P)'!T6564&lt;&gt;"Yes",
        DATEDIF('Loan Tape (S&amp;P)'!K6564, TODAY(), "M")&lt;18),
    1.10,
    1.00)</f>
        <v/>
      </c>
      <c r="O6564">
        <f>IF('Loan Tape (S&amp;P)'!T6564="Yes",
    1.35,
    1.00)</f>
        <v/>
      </c>
      <c r="P6564">
        <f>IF('Loan Tape (S&amp;P)'!S6564="Yes",
    1.15,
    1.00)</f>
        <v/>
      </c>
      <c r="Q6564">
        <f>IF('Loan Tape (S&amp;P)'!V6564="Yes",
    1.20,
    1.00)</f>
        <v/>
      </c>
      <c r="T6564">
        <f>LET(
    payment_method,'Loan Tape (S&amp;P)'!P6564,
    occupancy,'Loan Tape (S&amp;P)'!N6564,
    maturity_date,'Loan Tape (S&amp;P)'!L6564,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65">
      <c r="J6565">
        <f>LET(
    lien,'Loan Tape (S&amp;P)'!Q6565,
    IF(lien="First",1.00,
        IF(lien="Second",1.50,
            1.70)))</f>
        <v/>
      </c>
      <c r="K6565">
        <f>LET(
    purpose,'Loan Tape (S&amp;P)'!R6565,
    IF(purpose="Purchase",1.00,
        IF(purpose="Remortgage",1.00,
            1.20)))</f>
        <v/>
      </c>
      <c r="L6565">
        <f>LET(
    arrears_months,'Loan Tape (S&amp;P)'!AN6565,
    IF(arrears_months=0,1.00,
    IF(arrears_months=1,3.00,
    IF(arrears_months=2,5.00,
    IF(arrears_months=3,8.00,
    IF(arrears_months=4,10.00,
    IF(arrears_months=5,12.00,15.00)))))))</f>
        <v/>
      </c>
      <c r="M6565">
        <f>LET(
    seasoning_years,DATEDIF('Loan Tape (S&amp;P)'!K6565,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65">
        <f>IF(AND('Loan Tape (S&amp;P)'!U6565="Yes",
        'Loan Tape (S&amp;P)'!T6565&lt;&gt;"Yes",
        DATEDIF('Loan Tape (S&amp;P)'!K6565, TODAY(), "M")&lt;18),
    1.10,
    1.00)</f>
        <v/>
      </c>
      <c r="O6565">
        <f>IF('Loan Tape (S&amp;P)'!T6565="Yes",
    1.35,
    1.00)</f>
        <v/>
      </c>
      <c r="P6565">
        <f>IF('Loan Tape (S&amp;P)'!S6565="Yes",
    1.15,
    1.00)</f>
        <v/>
      </c>
      <c r="Q6565">
        <f>IF('Loan Tape (S&amp;P)'!V6565="Yes",
    1.20,
    1.00)</f>
        <v/>
      </c>
      <c r="T6565">
        <f>LET(
    payment_method,'Loan Tape (S&amp;P)'!P6565,
    occupancy,'Loan Tape (S&amp;P)'!N6565,
    maturity_date,'Loan Tape (S&amp;P)'!L6565,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66">
      <c r="J6566">
        <f>LET(
    lien,'Loan Tape (S&amp;P)'!Q6566,
    IF(lien="First",1.00,
        IF(lien="Second",1.50,
            1.70)))</f>
        <v/>
      </c>
      <c r="K6566">
        <f>LET(
    purpose,'Loan Tape (S&amp;P)'!R6566,
    IF(purpose="Purchase",1.00,
        IF(purpose="Remortgage",1.00,
            1.20)))</f>
        <v/>
      </c>
      <c r="L6566">
        <f>LET(
    arrears_months,'Loan Tape (S&amp;P)'!AN6566,
    IF(arrears_months=0,1.00,
    IF(arrears_months=1,3.00,
    IF(arrears_months=2,5.00,
    IF(arrears_months=3,8.00,
    IF(arrears_months=4,10.00,
    IF(arrears_months=5,12.00,15.00)))))))</f>
        <v/>
      </c>
      <c r="M6566">
        <f>LET(
    seasoning_years,DATEDIF('Loan Tape (S&amp;P)'!K6566,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66">
        <f>IF(AND('Loan Tape (S&amp;P)'!U6566="Yes",
        'Loan Tape (S&amp;P)'!T6566&lt;&gt;"Yes",
        DATEDIF('Loan Tape (S&amp;P)'!K6566, TODAY(), "M")&lt;18),
    1.10,
    1.00)</f>
        <v/>
      </c>
      <c r="O6566">
        <f>IF('Loan Tape (S&amp;P)'!T6566="Yes",
    1.35,
    1.00)</f>
        <v/>
      </c>
      <c r="P6566">
        <f>IF('Loan Tape (S&amp;P)'!S6566="Yes",
    1.15,
    1.00)</f>
        <v/>
      </c>
      <c r="Q6566">
        <f>IF('Loan Tape (S&amp;P)'!V6566="Yes",
    1.20,
    1.00)</f>
        <v/>
      </c>
      <c r="T6566">
        <f>LET(
    payment_method,'Loan Tape (S&amp;P)'!P6566,
    occupancy,'Loan Tape (S&amp;P)'!N6566,
    maturity_date,'Loan Tape (S&amp;P)'!L6566,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67">
      <c r="J6567">
        <f>LET(
    lien,'Loan Tape (S&amp;P)'!Q6567,
    IF(lien="First",1.00,
        IF(lien="Second",1.50,
            1.70)))</f>
        <v/>
      </c>
      <c r="K6567">
        <f>LET(
    purpose,'Loan Tape (S&amp;P)'!R6567,
    IF(purpose="Purchase",1.00,
        IF(purpose="Remortgage",1.00,
            1.20)))</f>
        <v/>
      </c>
      <c r="L6567">
        <f>LET(
    arrears_months,'Loan Tape (S&amp;P)'!AN6567,
    IF(arrears_months=0,1.00,
    IF(arrears_months=1,3.00,
    IF(arrears_months=2,5.00,
    IF(arrears_months=3,8.00,
    IF(arrears_months=4,10.00,
    IF(arrears_months=5,12.00,15.00)))))))</f>
        <v/>
      </c>
      <c r="M6567">
        <f>LET(
    seasoning_years,DATEDIF('Loan Tape (S&amp;P)'!K6567,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67">
        <f>IF(AND('Loan Tape (S&amp;P)'!U6567="Yes",
        'Loan Tape (S&amp;P)'!T6567&lt;&gt;"Yes",
        DATEDIF('Loan Tape (S&amp;P)'!K6567, TODAY(), "M")&lt;18),
    1.10,
    1.00)</f>
        <v/>
      </c>
      <c r="O6567">
        <f>IF('Loan Tape (S&amp;P)'!T6567="Yes",
    1.35,
    1.00)</f>
        <v/>
      </c>
      <c r="P6567">
        <f>IF('Loan Tape (S&amp;P)'!S6567="Yes",
    1.15,
    1.00)</f>
        <v/>
      </c>
      <c r="Q6567">
        <f>IF('Loan Tape (S&amp;P)'!V6567="Yes",
    1.20,
    1.00)</f>
        <v/>
      </c>
      <c r="T6567">
        <f>LET(
    payment_method,'Loan Tape (S&amp;P)'!P6567,
    occupancy,'Loan Tape (S&amp;P)'!N6567,
    maturity_date,'Loan Tape (S&amp;P)'!L6567,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68">
      <c r="J6568">
        <f>LET(
    lien,'Loan Tape (S&amp;P)'!Q6568,
    IF(lien="First",1.00,
        IF(lien="Second",1.50,
            1.70)))</f>
        <v/>
      </c>
      <c r="K6568">
        <f>LET(
    purpose,'Loan Tape (S&amp;P)'!R6568,
    IF(purpose="Purchase",1.00,
        IF(purpose="Remortgage",1.00,
            1.20)))</f>
        <v/>
      </c>
      <c r="L6568">
        <f>LET(
    arrears_months,'Loan Tape (S&amp;P)'!AN6568,
    IF(arrears_months=0,1.00,
    IF(arrears_months=1,3.00,
    IF(arrears_months=2,5.00,
    IF(arrears_months=3,8.00,
    IF(arrears_months=4,10.00,
    IF(arrears_months=5,12.00,15.00)))))))</f>
        <v/>
      </c>
      <c r="M6568">
        <f>LET(
    seasoning_years,DATEDIF('Loan Tape (S&amp;P)'!K6568,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68">
        <f>IF(AND('Loan Tape (S&amp;P)'!U6568="Yes",
        'Loan Tape (S&amp;P)'!T6568&lt;&gt;"Yes",
        DATEDIF('Loan Tape (S&amp;P)'!K6568, TODAY(), "M")&lt;18),
    1.10,
    1.00)</f>
        <v/>
      </c>
      <c r="O6568">
        <f>IF('Loan Tape (S&amp;P)'!T6568="Yes",
    1.35,
    1.00)</f>
        <v/>
      </c>
      <c r="P6568">
        <f>IF('Loan Tape (S&amp;P)'!S6568="Yes",
    1.15,
    1.00)</f>
        <v/>
      </c>
      <c r="Q6568">
        <f>IF('Loan Tape (S&amp;P)'!V6568="Yes",
    1.20,
    1.00)</f>
        <v/>
      </c>
      <c r="T6568">
        <f>LET(
    payment_method,'Loan Tape (S&amp;P)'!P6568,
    occupancy,'Loan Tape (S&amp;P)'!N6568,
    maturity_date,'Loan Tape (S&amp;P)'!L6568,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69">
      <c r="J6569">
        <f>LET(
    lien,'Loan Tape (S&amp;P)'!Q6569,
    IF(lien="First",1.00,
        IF(lien="Second",1.50,
            1.70)))</f>
        <v/>
      </c>
      <c r="K6569">
        <f>LET(
    purpose,'Loan Tape (S&amp;P)'!R6569,
    IF(purpose="Purchase",1.00,
        IF(purpose="Remortgage",1.00,
            1.20)))</f>
        <v/>
      </c>
      <c r="L6569">
        <f>LET(
    arrears_months,'Loan Tape (S&amp;P)'!AN6569,
    IF(arrears_months=0,1.00,
    IF(arrears_months=1,3.00,
    IF(arrears_months=2,5.00,
    IF(arrears_months=3,8.00,
    IF(arrears_months=4,10.00,
    IF(arrears_months=5,12.00,15.00)))))))</f>
        <v/>
      </c>
      <c r="M6569">
        <f>LET(
    seasoning_years,DATEDIF('Loan Tape (S&amp;P)'!K6569,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69">
        <f>IF(AND('Loan Tape (S&amp;P)'!U6569="Yes",
        'Loan Tape (S&amp;P)'!T6569&lt;&gt;"Yes",
        DATEDIF('Loan Tape (S&amp;P)'!K6569, TODAY(), "M")&lt;18),
    1.10,
    1.00)</f>
        <v/>
      </c>
      <c r="O6569">
        <f>IF('Loan Tape (S&amp;P)'!T6569="Yes",
    1.35,
    1.00)</f>
        <v/>
      </c>
      <c r="P6569">
        <f>IF('Loan Tape (S&amp;P)'!S6569="Yes",
    1.15,
    1.00)</f>
        <v/>
      </c>
      <c r="Q6569">
        <f>IF('Loan Tape (S&amp;P)'!V6569="Yes",
    1.20,
    1.00)</f>
        <v/>
      </c>
      <c r="T6569">
        <f>LET(
    payment_method,'Loan Tape (S&amp;P)'!P6569,
    occupancy,'Loan Tape (S&amp;P)'!N6569,
    maturity_date,'Loan Tape (S&amp;P)'!L6569,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70">
      <c r="J6570">
        <f>LET(
    lien,'Loan Tape (S&amp;P)'!Q6570,
    IF(lien="First",1.00,
        IF(lien="Second",1.50,
            1.70)))</f>
        <v/>
      </c>
      <c r="K6570">
        <f>LET(
    purpose,'Loan Tape (S&amp;P)'!R6570,
    IF(purpose="Purchase",1.00,
        IF(purpose="Remortgage",1.00,
            1.20)))</f>
        <v/>
      </c>
      <c r="L6570">
        <f>LET(
    arrears_months,'Loan Tape (S&amp;P)'!AN6570,
    IF(arrears_months=0,1.00,
    IF(arrears_months=1,3.00,
    IF(arrears_months=2,5.00,
    IF(arrears_months=3,8.00,
    IF(arrears_months=4,10.00,
    IF(arrears_months=5,12.00,15.00)))))))</f>
        <v/>
      </c>
      <c r="M6570">
        <f>LET(
    seasoning_years,DATEDIF('Loan Tape (S&amp;P)'!K6570,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70">
        <f>IF(AND('Loan Tape (S&amp;P)'!U6570="Yes",
        'Loan Tape (S&amp;P)'!T6570&lt;&gt;"Yes",
        DATEDIF('Loan Tape (S&amp;P)'!K6570, TODAY(), "M")&lt;18),
    1.10,
    1.00)</f>
        <v/>
      </c>
      <c r="O6570">
        <f>IF('Loan Tape (S&amp;P)'!T6570="Yes",
    1.35,
    1.00)</f>
        <v/>
      </c>
      <c r="P6570">
        <f>IF('Loan Tape (S&amp;P)'!S6570="Yes",
    1.15,
    1.00)</f>
        <v/>
      </c>
      <c r="Q6570">
        <f>IF('Loan Tape (S&amp;P)'!V6570="Yes",
    1.20,
    1.00)</f>
        <v/>
      </c>
      <c r="T6570">
        <f>LET(
    payment_method,'Loan Tape (S&amp;P)'!P6570,
    occupancy,'Loan Tape (S&amp;P)'!N6570,
    maturity_date,'Loan Tape (S&amp;P)'!L6570,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71">
      <c r="J6571">
        <f>LET(
    lien,'Loan Tape (S&amp;P)'!Q6571,
    IF(lien="First",1.00,
        IF(lien="Second",1.50,
            1.70)))</f>
        <v/>
      </c>
      <c r="K6571">
        <f>LET(
    purpose,'Loan Tape (S&amp;P)'!R6571,
    IF(purpose="Purchase",1.00,
        IF(purpose="Remortgage",1.00,
            1.20)))</f>
        <v/>
      </c>
      <c r="L6571">
        <f>LET(
    arrears_months,'Loan Tape (S&amp;P)'!AN6571,
    IF(arrears_months=0,1.00,
    IF(arrears_months=1,3.00,
    IF(arrears_months=2,5.00,
    IF(arrears_months=3,8.00,
    IF(arrears_months=4,10.00,
    IF(arrears_months=5,12.00,15.00)))))))</f>
        <v/>
      </c>
      <c r="M6571">
        <f>LET(
    seasoning_years,DATEDIF('Loan Tape (S&amp;P)'!K6571,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71">
        <f>IF(AND('Loan Tape (S&amp;P)'!U6571="Yes",
        'Loan Tape (S&amp;P)'!T6571&lt;&gt;"Yes",
        DATEDIF('Loan Tape (S&amp;P)'!K6571, TODAY(), "M")&lt;18),
    1.10,
    1.00)</f>
        <v/>
      </c>
      <c r="O6571">
        <f>IF('Loan Tape (S&amp;P)'!T6571="Yes",
    1.35,
    1.00)</f>
        <v/>
      </c>
      <c r="P6571">
        <f>IF('Loan Tape (S&amp;P)'!S6571="Yes",
    1.15,
    1.00)</f>
        <v/>
      </c>
      <c r="Q6571">
        <f>IF('Loan Tape (S&amp;P)'!V6571="Yes",
    1.20,
    1.00)</f>
        <v/>
      </c>
      <c r="T6571">
        <f>LET(
    payment_method,'Loan Tape (S&amp;P)'!P6571,
    occupancy,'Loan Tape (S&amp;P)'!N6571,
    maturity_date,'Loan Tape (S&amp;P)'!L6571,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72">
      <c r="J6572">
        <f>LET(
    lien,'Loan Tape (S&amp;P)'!Q6572,
    IF(lien="First",1.00,
        IF(lien="Second",1.50,
            1.70)))</f>
        <v/>
      </c>
      <c r="K6572">
        <f>LET(
    purpose,'Loan Tape (S&amp;P)'!R6572,
    IF(purpose="Purchase",1.00,
        IF(purpose="Remortgage",1.00,
            1.20)))</f>
        <v/>
      </c>
      <c r="L6572">
        <f>LET(
    arrears_months,'Loan Tape (S&amp;P)'!AN6572,
    IF(arrears_months=0,1.00,
    IF(arrears_months=1,3.00,
    IF(arrears_months=2,5.00,
    IF(arrears_months=3,8.00,
    IF(arrears_months=4,10.00,
    IF(arrears_months=5,12.00,15.00)))))))</f>
        <v/>
      </c>
      <c r="M6572">
        <f>LET(
    seasoning_years,DATEDIF('Loan Tape (S&amp;P)'!K6572,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72">
        <f>IF(AND('Loan Tape (S&amp;P)'!U6572="Yes",
        'Loan Tape (S&amp;P)'!T6572&lt;&gt;"Yes",
        DATEDIF('Loan Tape (S&amp;P)'!K6572, TODAY(), "M")&lt;18),
    1.10,
    1.00)</f>
        <v/>
      </c>
      <c r="O6572">
        <f>IF('Loan Tape (S&amp;P)'!T6572="Yes",
    1.35,
    1.00)</f>
        <v/>
      </c>
      <c r="P6572">
        <f>IF('Loan Tape (S&amp;P)'!S6572="Yes",
    1.15,
    1.00)</f>
        <v/>
      </c>
      <c r="Q6572">
        <f>IF('Loan Tape (S&amp;P)'!V6572="Yes",
    1.20,
    1.00)</f>
        <v/>
      </c>
      <c r="T6572">
        <f>LET(
    payment_method,'Loan Tape (S&amp;P)'!P6572,
    occupancy,'Loan Tape (S&amp;P)'!N6572,
    maturity_date,'Loan Tape (S&amp;P)'!L6572,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73">
      <c r="J6573">
        <f>LET(
    lien,'Loan Tape (S&amp;P)'!Q6573,
    IF(lien="First",1.00,
        IF(lien="Second",1.50,
            1.70)))</f>
        <v/>
      </c>
      <c r="K6573">
        <f>LET(
    purpose,'Loan Tape (S&amp;P)'!R6573,
    IF(purpose="Purchase",1.00,
        IF(purpose="Remortgage",1.00,
            1.20)))</f>
        <v/>
      </c>
      <c r="L6573">
        <f>LET(
    arrears_months,'Loan Tape (S&amp;P)'!AN6573,
    IF(arrears_months=0,1.00,
    IF(arrears_months=1,3.00,
    IF(arrears_months=2,5.00,
    IF(arrears_months=3,8.00,
    IF(arrears_months=4,10.00,
    IF(arrears_months=5,12.00,15.00)))))))</f>
        <v/>
      </c>
      <c r="M6573">
        <f>LET(
    seasoning_years,DATEDIF('Loan Tape (S&amp;P)'!K6573,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73">
        <f>IF(AND('Loan Tape (S&amp;P)'!U6573="Yes",
        'Loan Tape (S&amp;P)'!T6573&lt;&gt;"Yes",
        DATEDIF('Loan Tape (S&amp;P)'!K6573, TODAY(), "M")&lt;18),
    1.10,
    1.00)</f>
        <v/>
      </c>
      <c r="O6573">
        <f>IF('Loan Tape (S&amp;P)'!T6573="Yes",
    1.35,
    1.00)</f>
        <v/>
      </c>
      <c r="P6573">
        <f>IF('Loan Tape (S&amp;P)'!S6573="Yes",
    1.15,
    1.00)</f>
        <v/>
      </c>
      <c r="Q6573">
        <f>IF('Loan Tape (S&amp;P)'!V6573="Yes",
    1.20,
    1.00)</f>
        <v/>
      </c>
      <c r="T6573">
        <f>LET(
    payment_method,'Loan Tape (S&amp;P)'!P6573,
    occupancy,'Loan Tape (S&amp;P)'!N6573,
    maturity_date,'Loan Tape (S&amp;P)'!L6573,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74">
      <c r="J6574">
        <f>LET(
    lien,'Loan Tape (S&amp;P)'!Q6574,
    IF(lien="First",1.00,
        IF(lien="Second",1.50,
            1.70)))</f>
        <v/>
      </c>
      <c r="K6574">
        <f>LET(
    purpose,'Loan Tape (S&amp;P)'!R6574,
    IF(purpose="Purchase",1.00,
        IF(purpose="Remortgage",1.00,
            1.20)))</f>
        <v/>
      </c>
      <c r="L6574">
        <f>LET(
    arrears_months,'Loan Tape (S&amp;P)'!AN6574,
    IF(arrears_months=0,1.00,
    IF(arrears_months=1,3.00,
    IF(arrears_months=2,5.00,
    IF(arrears_months=3,8.00,
    IF(arrears_months=4,10.00,
    IF(arrears_months=5,12.00,15.00)))))))</f>
        <v/>
      </c>
      <c r="M6574">
        <f>LET(
    seasoning_years,DATEDIF('Loan Tape (S&amp;P)'!K6574,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74">
        <f>IF(AND('Loan Tape (S&amp;P)'!U6574="Yes",
        'Loan Tape (S&amp;P)'!T6574&lt;&gt;"Yes",
        DATEDIF('Loan Tape (S&amp;P)'!K6574, TODAY(), "M")&lt;18),
    1.10,
    1.00)</f>
        <v/>
      </c>
      <c r="O6574">
        <f>IF('Loan Tape (S&amp;P)'!T6574="Yes",
    1.35,
    1.00)</f>
        <v/>
      </c>
      <c r="P6574">
        <f>IF('Loan Tape (S&amp;P)'!S6574="Yes",
    1.15,
    1.00)</f>
        <v/>
      </c>
      <c r="Q6574">
        <f>IF('Loan Tape (S&amp;P)'!V6574="Yes",
    1.20,
    1.00)</f>
        <v/>
      </c>
      <c r="T6574">
        <f>LET(
    payment_method,'Loan Tape (S&amp;P)'!P6574,
    occupancy,'Loan Tape (S&amp;P)'!N6574,
    maturity_date,'Loan Tape (S&amp;P)'!L6574,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75">
      <c r="J6575">
        <f>LET(
    lien,'Loan Tape (S&amp;P)'!Q6575,
    IF(lien="First",1.00,
        IF(lien="Second",1.50,
            1.70)))</f>
        <v/>
      </c>
      <c r="K6575">
        <f>LET(
    purpose,'Loan Tape (S&amp;P)'!R6575,
    IF(purpose="Purchase",1.00,
        IF(purpose="Remortgage",1.00,
            1.20)))</f>
        <v/>
      </c>
      <c r="L6575">
        <f>LET(
    arrears_months,'Loan Tape (S&amp;P)'!AN6575,
    IF(arrears_months=0,1.00,
    IF(arrears_months=1,3.00,
    IF(arrears_months=2,5.00,
    IF(arrears_months=3,8.00,
    IF(arrears_months=4,10.00,
    IF(arrears_months=5,12.00,15.00)))))))</f>
        <v/>
      </c>
      <c r="M6575">
        <f>LET(
    seasoning_years,DATEDIF('Loan Tape (S&amp;P)'!K6575,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75">
        <f>IF(AND('Loan Tape (S&amp;P)'!U6575="Yes",
        'Loan Tape (S&amp;P)'!T6575&lt;&gt;"Yes",
        DATEDIF('Loan Tape (S&amp;P)'!K6575, TODAY(), "M")&lt;18),
    1.10,
    1.00)</f>
        <v/>
      </c>
      <c r="O6575">
        <f>IF('Loan Tape (S&amp;P)'!T6575="Yes",
    1.35,
    1.00)</f>
        <v/>
      </c>
      <c r="P6575">
        <f>IF('Loan Tape (S&amp;P)'!S6575="Yes",
    1.15,
    1.00)</f>
        <v/>
      </c>
      <c r="Q6575">
        <f>IF('Loan Tape (S&amp;P)'!V6575="Yes",
    1.20,
    1.00)</f>
        <v/>
      </c>
      <c r="T6575">
        <f>LET(
    payment_method,'Loan Tape (S&amp;P)'!P6575,
    occupancy,'Loan Tape (S&amp;P)'!N6575,
    maturity_date,'Loan Tape (S&amp;P)'!L6575,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76">
      <c r="J6576">
        <f>LET(
    lien,'Loan Tape (S&amp;P)'!Q6576,
    IF(lien="First",1.00,
        IF(lien="Second",1.50,
            1.70)))</f>
        <v/>
      </c>
      <c r="K6576">
        <f>LET(
    purpose,'Loan Tape (S&amp;P)'!R6576,
    IF(purpose="Purchase",1.00,
        IF(purpose="Remortgage",1.00,
            1.20)))</f>
        <v/>
      </c>
      <c r="L6576">
        <f>LET(
    arrears_months,'Loan Tape (S&amp;P)'!AN6576,
    IF(arrears_months=0,1.00,
    IF(arrears_months=1,3.00,
    IF(arrears_months=2,5.00,
    IF(arrears_months=3,8.00,
    IF(arrears_months=4,10.00,
    IF(arrears_months=5,12.00,15.00)))))))</f>
        <v/>
      </c>
      <c r="M6576">
        <f>LET(
    seasoning_years,DATEDIF('Loan Tape (S&amp;P)'!K6576,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76">
        <f>IF(AND('Loan Tape (S&amp;P)'!U6576="Yes",
        'Loan Tape (S&amp;P)'!T6576&lt;&gt;"Yes",
        DATEDIF('Loan Tape (S&amp;P)'!K6576, TODAY(), "M")&lt;18),
    1.10,
    1.00)</f>
        <v/>
      </c>
      <c r="O6576">
        <f>IF('Loan Tape (S&amp;P)'!T6576="Yes",
    1.35,
    1.00)</f>
        <v/>
      </c>
      <c r="P6576">
        <f>IF('Loan Tape (S&amp;P)'!S6576="Yes",
    1.15,
    1.00)</f>
        <v/>
      </c>
      <c r="Q6576">
        <f>IF('Loan Tape (S&amp;P)'!V6576="Yes",
    1.20,
    1.00)</f>
        <v/>
      </c>
      <c r="T6576">
        <f>LET(
    payment_method,'Loan Tape (S&amp;P)'!P6576,
    occupancy,'Loan Tape (S&amp;P)'!N6576,
    maturity_date,'Loan Tape (S&amp;P)'!L6576,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77">
      <c r="J6577">
        <f>LET(
    lien,'Loan Tape (S&amp;P)'!Q6577,
    IF(lien="First",1.00,
        IF(lien="Second",1.50,
            1.70)))</f>
        <v/>
      </c>
      <c r="K6577">
        <f>LET(
    purpose,'Loan Tape (S&amp;P)'!R6577,
    IF(purpose="Purchase",1.00,
        IF(purpose="Remortgage",1.00,
            1.20)))</f>
        <v/>
      </c>
      <c r="L6577">
        <f>LET(
    arrears_months,'Loan Tape (S&amp;P)'!AN6577,
    IF(arrears_months=0,1.00,
    IF(arrears_months=1,3.00,
    IF(arrears_months=2,5.00,
    IF(arrears_months=3,8.00,
    IF(arrears_months=4,10.00,
    IF(arrears_months=5,12.00,15.00)))))))</f>
        <v/>
      </c>
      <c r="M6577">
        <f>LET(
    seasoning_years,DATEDIF('Loan Tape (S&amp;P)'!K6577,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77">
        <f>IF(AND('Loan Tape (S&amp;P)'!U6577="Yes",
        'Loan Tape (S&amp;P)'!T6577&lt;&gt;"Yes",
        DATEDIF('Loan Tape (S&amp;P)'!K6577, TODAY(), "M")&lt;18),
    1.10,
    1.00)</f>
        <v/>
      </c>
      <c r="O6577">
        <f>IF('Loan Tape (S&amp;P)'!T6577="Yes",
    1.35,
    1.00)</f>
        <v/>
      </c>
      <c r="P6577">
        <f>IF('Loan Tape (S&amp;P)'!S6577="Yes",
    1.15,
    1.00)</f>
        <v/>
      </c>
      <c r="Q6577">
        <f>IF('Loan Tape (S&amp;P)'!V6577="Yes",
    1.20,
    1.00)</f>
        <v/>
      </c>
      <c r="T6577">
        <f>LET(
    payment_method,'Loan Tape (S&amp;P)'!P6577,
    occupancy,'Loan Tape (S&amp;P)'!N6577,
    maturity_date,'Loan Tape (S&amp;P)'!L6577,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78">
      <c r="J6578">
        <f>LET(
    lien,'Loan Tape (S&amp;P)'!Q6578,
    IF(lien="First",1.00,
        IF(lien="Second",1.50,
            1.70)))</f>
        <v/>
      </c>
      <c r="K6578">
        <f>LET(
    purpose,'Loan Tape (S&amp;P)'!R6578,
    IF(purpose="Purchase",1.00,
        IF(purpose="Remortgage",1.00,
            1.20)))</f>
        <v/>
      </c>
      <c r="L6578">
        <f>LET(
    arrears_months,'Loan Tape (S&amp;P)'!AN6578,
    IF(arrears_months=0,1.00,
    IF(arrears_months=1,3.00,
    IF(arrears_months=2,5.00,
    IF(arrears_months=3,8.00,
    IF(arrears_months=4,10.00,
    IF(arrears_months=5,12.00,15.00)))))))</f>
        <v/>
      </c>
      <c r="M6578">
        <f>LET(
    seasoning_years,DATEDIF('Loan Tape (S&amp;P)'!K6578,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78">
        <f>IF(AND('Loan Tape (S&amp;P)'!U6578="Yes",
        'Loan Tape (S&amp;P)'!T6578&lt;&gt;"Yes",
        DATEDIF('Loan Tape (S&amp;P)'!K6578, TODAY(), "M")&lt;18),
    1.10,
    1.00)</f>
        <v/>
      </c>
      <c r="O6578">
        <f>IF('Loan Tape (S&amp;P)'!T6578="Yes",
    1.35,
    1.00)</f>
        <v/>
      </c>
      <c r="P6578">
        <f>IF('Loan Tape (S&amp;P)'!S6578="Yes",
    1.15,
    1.00)</f>
        <v/>
      </c>
      <c r="Q6578">
        <f>IF('Loan Tape (S&amp;P)'!V6578="Yes",
    1.20,
    1.00)</f>
        <v/>
      </c>
      <c r="T6578">
        <f>LET(
    payment_method,'Loan Tape (S&amp;P)'!P6578,
    occupancy,'Loan Tape (S&amp;P)'!N6578,
    maturity_date,'Loan Tape (S&amp;P)'!L6578,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79">
      <c r="J6579">
        <f>LET(
    lien,'Loan Tape (S&amp;P)'!Q6579,
    IF(lien="First",1.00,
        IF(lien="Second",1.50,
            1.70)))</f>
        <v/>
      </c>
      <c r="K6579">
        <f>LET(
    purpose,'Loan Tape (S&amp;P)'!R6579,
    IF(purpose="Purchase",1.00,
        IF(purpose="Remortgage",1.00,
            1.20)))</f>
        <v/>
      </c>
      <c r="L6579">
        <f>LET(
    arrears_months,'Loan Tape (S&amp;P)'!AN6579,
    IF(arrears_months=0,1.00,
    IF(arrears_months=1,3.00,
    IF(arrears_months=2,5.00,
    IF(arrears_months=3,8.00,
    IF(arrears_months=4,10.00,
    IF(arrears_months=5,12.00,15.00)))))))</f>
        <v/>
      </c>
      <c r="M6579">
        <f>LET(
    seasoning_years,DATEDIF('Loan Tape (S&amp;P)'!K6579,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79">
        <f>IF(AND('Loan Tape (S&amp;P)'!U6579="Yes",
        'Loan Tape (S&amp;P)'!T6579&lt;&gt;"Yes",
        DATEDIF('Loan Tape (S&amp;P)'!K6579, TODAY(), "M")&lt;18),
    1.10,
    1.00)</f>
        <v/>
      </c>
      <c r="O6579">
        <f>IF('Loan Tape (S&amp;P)'!T6579="Yes",
    1.35,
    1.00)</f>
        <v/>
      </c>
      <c r="P6579">
        <f>IF('Loan Tape (S&amp;P)'!S6579="Yes",
    1.15,
    1.00)</f>
        <v/>
      </c>
      <c r="Q6579">
        <f>IF('Loan Tape (S&amp;P)'!V6579="Yes",
    1.20,
    1.00)</f>
        <v/>
      </c>
      <c r="T6579">
        <f>LET(
    payment_method,'Loan Tape (S&amp;P)'!P6579,
    occupancy,'Loan Tape (S&amp;P)'!N6579,
    maturity_date,'Loan Tape (S&amp;P)'!L6579,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80">
      <c r="J6580">
        <f>LET(
    lien,'Loan Tape (S&amp;P)'!Q6580,
    IF(lien="First",1.00,
        IF(lien="Second",1.50,
            1.70)))</f>
        <v/>
      </c>
      <c r="K6580">
        <f>LET(
    purpose,'Loan Tape (S&amp;P)'!R6580,
    IF(purpose="Purchase",1.00,
        IF(purpose="Remortgage",1.00,
            1.20)))</f>
        <v/>
      </c>
      <c r="L6580">
        <f>LET(
    arrears_months,'Loan Tape (S&amp;P)'!AN6580,
    IF(arrears_months=0,1.00,
    IF(arrears_months=1,3.00,
    IF(arrears_months=2,5.00,
    IF(arrears_months=3,8.00,
    IF(arrears_months=4,10.00,
    IF(arrears_months=5,12.00,15.00)))))))</f>
        <v/>
      </c>
      <c r="M6580">
        <f>LET(
    seasoning_years,DATEDIF('Loan Tape (S&amp;P)'!K6580,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80">
        <f>IF(AND('Loan Tape (S&amp;P)'!U6580="Yes",
        'Loan Tape (S&amp;P)'!T6580&lt;&gt;"Yes",
        DATEDIF('Loan Tape (S&amp;P)'!K6580, TODAY(), "M")&lt;18),
    1.10,
    1.00)</f>
        <v/>
      </c>
      <c r="O6580">
        <f>IF('Loan Tape (S&amp;P)'!T6580="Yes",
    1.35,
    1.00)</f>
        <v/>
      </c>
      <c r="P6580">
        <f>IF('Loan Tape (S&amp;P)'!S6580="Yes",
    1.15,
    1.00)</f>
        <v/>
      </c>
      <c r="Q6580">
        <f>IF('Loan Tape (S&amp;P)'!V6580="Yes",
    1.20,
    1.00)</f>
        <v/>
      </c>
      <c r="T6580">
        <f>LET(
    payment_method,'Loan Tape (S&amp;P)'!P6580,
    occupancy,'Loan Tape (S&amp;P)'!N6580,
    maturity_date,'Loan Tape (S&amp;P)'!L6580,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81">
      <c r="J6581">
        <f>LET(
    lien,'Loan Tape (S&amp;P)'!Q6581,
    IF(lien="First",1.00,
        IF(lien="Second",1.50,
            1.70)))</f>
        <v/>
      </c>
      <c r="K6581">
        <f>LET(
    purpose,'Loan Tape (S&amp;P)'!R6581,
    IF(purpose="Purchase",1.00,
        IF(purpose="Remortgage",1.00,
            1.20)))</f>
        <v/>
      </c>
      <c r="L6581">
        <f>LET(
    arrears_months,'Loan Tape (S&amp;P)'!AN6581,
    IF(arrears_months=0,1.00,
    IF(arrears_months=1,3.00,
    IF(arrears_months=2,5.00,
    IF(arrears_months=3,8.00,
    IF(arrears_months=4,10.00,
    IF(arrears_months=5,12.00,15.00)))))))</f>
        <v/>
      </c>
      <c r="M6581">
        <f>LET(
    seasoning_years,DATEDIF('Loan Tape (S&amp;P)'!K6581,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81">
        <f>IF(AND('Loan Tape (S&amp;P)'!U6581="Yes",
        'Loan Tape (S&amp;P)'!T6581&lt;&gt;"Yes",
        DATEDIF('Loan Tape (S&amp;P)'!K6581, TODAY(), "M")&lt;18),
    1.10,
    1.00)</f>
        <v/>
      </c>
      <c r="O6581">
        <f>IF('Loan Tape (S&amp;P)'!T6581="Yes",
    1.35,
    1.00)</f>
        <v/>
      </c>
      <c r="P6581">
        <f>IF('Loan Tape (S&amp;P)'!S6581="Yes",
    1.15,
    1.00)</f>
        <v/>
      </c>
      <c r="Q6581">
        <f>IF('Loan Tape (S&amp;P)'!V6581="Yes",
    1.20,
    1.00)</f>
        <v/>
      </c>
      <c r="T6581">
        <f>LET(
    payment_method,'Loan Tape (S&amp;P)'!P6581,
    occupancy,'Loan Tape (S&amp;P)'!N6581,
    maturity_date,'Loan Tape (S&amp;P)'!L6581,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82">
      <c r="J6582">
        <f>LET(
    lien,'Loan Tape (S&amp;P)'!Q6582,
    IF(lien="First",1.00,
        IF(lien="Second",1.50,
            1.70)))</f>
        <v/>
      </c>
      <c r="K6582">
        <f>LET(
    purpose,'Loan Tape (S&amp;P)'!R6582,
    IF(purpose="Purchase",1.00,
        IF(purpose="Remortgage",1.00,
            1.20)))</f>
        <v/>
      </c>
      <c r="L6582">
        <f>LET(
    arrears_months,'Loan Tape (S&amp;P)'!AN6582,
    IF(arrears_months=0,1.00,
    IF(arrears_months=1,3.00,
    IF(arrears_months=2,5.00,
    IF(arrears_months=3,8.00,
    IF(arrears_months=4,10.00,
    IF(arrears_months=5,12.00,15.00)))))))</f>
        <v/>
      </c>
      <c r="M6582">
        <f>LET(
    seasoning_years,DATEDIF('Loan Tape (S&amp;P)'!K6582,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82">
        <f>IF(AND('Loan Tape (S&amp;P)'!U6582="Yes",
        'Loan Tape (S&amp;P)'!T6582&lt;&gt;"Yes",
        DATEDIF('Loan Tape (S&amp;P)'!K6582, TODAY(), "M")&lt;18),
    1.10,
    1.00)</f>
        <v/>
      </c>
      <c r="O6582">
        <f>IF('Loan Tape (S&amp;P)'!T6582="Yes",
    1.35,
    1.00)</f>
        <v/>
      </c>
      <c r="P6582">
        <f>IF('Loan Tape (S&amp;P)'!S6582="Yes",
    1.15,
    1.00)</f>
        <v/>
      </c>
      <c r="Q6582">
        <f>IF('Loan Tape (S&amp;P)'!V6582="Yes",
    1.20,
    1.00)</f>
        <v/>
      </c>
      <c r="T6582">
        <f>LET(
    payment_method,'Loan Tape (S&amp;P)'!P6582,
    occupancy,'Loan Tape (S&amp;P)'!N6582,
    maturity_date,'Loan Tape (S&amp;P)'!L6582,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83">
      <c r="J6583">
        <f>LET(
    lien,'Loan Tape (S&amp;P)'!Q6583,
    IF(lien="First",1.00,
        IF(lien="Second",1.50,
            1.70)))</f>
        <v/>
      </c>
      <c r="K6583">
        <f>LET(
    purpose,'Loan Tape (S&amp;P)'!R6583,
    IF(purpose="Purchase",1.00,
        IF(purpose="Remortgage",1.00,
            1.20)))</f>
        <v/>
      </c>
      <c r="L6583">
        <f>LET(
    arrears_months,'Loan Tape (S&amp;P)'!AN6583,
    IF(arrears_months=0,1.00,
    IF(arrears_months=1,3.00,
    IF(arrears_months=2,5.00,
    IF(arrears_months=3,8.00,
    IF(arrears_months=4,10.00,
    IF(arrears_months=5,12.00,15.00)))))))</f>
        <v/>
      </c>
      <c r="M6583">
        <f>LET(
    seasoning_years,DATEDIF('Loan Tape (S&amp;P)'!K6583,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83">
        <f>IF(AND('Loan Tape (S&amp;P)'!U6583="Yes",
        'Loan Tape (S&amp;P)'!T6583&lt;&gt;"Yes",
        DATEDIF('Loan Tape (S&amp;P)'!K6583, TODAY(), "M")&lt;18),
    1.10,
    1.00)</f>
        <v/>
      </c>
      <c r="O6583">
        <f>IF('Loan Tape (S&amp;P)'!T6583="Yes",
    1.35,
    1.00)</f>
        <v/>
      </c>
      <c r="P6583">
        <f>IF('Loan Tape (S&amp;P)'!S6583="Yes",
    1.15,
    1.00)</f>
        <v/>
      </c>
      <c r="Q6583">
        <f>IF('Loan Tape (S&amp;P)'!V6583="Yes",
    1.20,
    1.00)</f>
        <v/>
      </c>
      <c r="T6583">
        <f>LET(
    payment_method,'Loan Tape (S&amp;P)'!P6583,
    occupancy,'Loan Tape (S&amp;P)'!N6583,
    maturity_date,'Loan Tape (S&amp;P)'!L6583,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84">
      <c r="J6584">
        <f>LET(
    lien,'Loan Tape (S&amp;P)'!Q6584,
    IF(lien="First",1.00,
        IF(lien="Second",1.50,
            1.70)))</f>
        <v/>
      </c>
      <c r="K6584">
        <f>LET(
    purpose,'Loan Tape (S&amp;P)'!R6584,
    IF(purpose="Purchase",1.00,
        IF(purpose="Remortgage",1.00,
            1.20)))</f>
        <v/>
      </c>
      <c r="L6584">
        <f>LET(
    arrears_months,'Loan Tape (S&amp;P)'!AN6584,
    IF(arrears_months=0,1.00,
    IF(arrears_months=1,3.00,
    IF(arrears_months=2,5.00,
    IF(arrears_months=3,8.00,
    IF(arrears_months=4,10.00,
    IF(arrears_months=5,12.00,15.00)))))))</f>
        <v/>
      </c>
      <c r="M6584">
        <f>LET(
    seasoning_years,DATEDIF('Loan Tape (S&amp;P)'!K6584,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84">
        <f>IF(AND('Loan Tape (S&amp;P)'!U6584="Yes",
        'Loan Tape (S&amp;P)'!T6584&lt;&gt;"Yes",
        DATEDIF('Loan Tape (S&amp;P)'!K6584, TODAY(), "M")&lt;18),
    1.10,
    1.00)</f>
        <v/>
      </c>
      <c r="O6584">
        <f>IF('Loan Tape (S&amp;P)'!T6584="Yes",
    1.35,
    1.00)</f>
        <v/>
      </c>
      <c r="P6584">
        <f>IF('Loan Tape (S&amp;P)'!S6584="Yes",
    1.15,
    1.00)</f>
        <v/>
      </c>
      <c r="Q6584">
        <f>IF('Loan Tape (S&amp;P)'!V6584="Yes",
    1.20,
    1.00)</f>
        <v/>
      </c>
      <c r="T6584">
        <f>LET(
    payment_method,'Loan Tape (S&amp;P)'!P6584,
    occupancy,'Loan Tape (S&amp;P)'!N6584,
    maturity_date,'Loan Tape (S&amp;P)'!L6584,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85">
      <c r="J6585">
        <f>LET(
    lien,'Loan Tape (S&amp;P)'!Q6585,
    IF(lien="First",1.00,
        IF(lien="Second",1.50,
            1.70)))</f>
        <v/>
      </c>
      <c r="K6585">
        <f>LET(
    purpose,'Loan Tape (S&amp;P)'!R6585,
    IF(purpose="Purchase",1.00,
        IF(purpose="Remortgage",1.00,
            1.20)))</f>
        <v/>
      </c>
      <c r="L6585">
        <f>LET(
    arrears_months,'Loan Tape (S&amp;P)'!AN6585,
    IF(arrears_months=0,1.00,
    IF(arrears_months=1,3.00,
    IF(arrears_months=2,5.00,
    IF(arrears_months=3,8.00,
    IF(arrears_months=4,10.00,
    IF(arrears_months=5,12.00,15.00)))))))</f>
        <v/>
      </c>
      <c r="M6585">
        <f>LET(
    seasoning_years,DATEDIF('Loan Tape (S&amp;P)'!K6585,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85">
        <f>IF(AND('Loan Tape (S&amp;P)'!U6585="Yes",
        'Loan Tape (S&amp;P)'!T6585&lt;&gt;"Yes",
        DATEDIF('Loan Tape (S&amp;P)'!K6585, TODAY(), "M")&lt;18),
    1.10,
    1.00)</f>
        <v/>
      </c>
      <c r="O6585">
        <f>IF('Loan Tape (S&amp;P)'!T6585="Yes",
    1.35,
    1.00)</f>
        <v/>
      </c>
      <c r="P6585">
        <f>IF('Loan Tape (S&amp;P)'!S6585="Yes",
    1.15,
    1.00)</f>
        <v/>
      </c>
      <c r="Q6585">
        <f>IF('Loan Tape (S&amp;P)'!V6585="Yes",
    1.20,
    1.00)</f>
        <v/>
      </c>
      <c r="T6585">
        <f>LET(
    payment_method,'Loan Tape (S&amp;P)'!P6585,
    occupancy,'Loan Tape (S&amp;P)'!N6585,
    maturity_date,'Loan Tape (S&amp;P)'!L6585,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86">
      <c r="J6586">
        <f>LET(
    lien,'Loan Tape (S&amp;P)'!Q6586,
    IF(lien="First",1.00,
        IF(lien="Second",1.50,
            1.70)))</f>
        <v/>
      </c>
      <c r="K6586">
        <f>LET(
    purpose,'Loan Tape (S&amp;P)'!R6586,
    IF(purpose="Purchase",1.00,
        IF(purpose="Remortgage",1.00,
            1.20)))</f>
        <v/>
      </c>
      <c r="L6586">
        <f>LET(
    arrears_months,'Loan Tape (S&amp;P)'!AN6586,
    IF(arrears_months=0,1.00,
    IF(arrears_months=1,3.00,
    IF(arrears_months=2,5.00,
    IF(arrears_months=3,8.00,
    IF(arrears_months=4,10.00,
    IF(arrears_months=5,12.00,15.00)))))))</f>
        <v/>
      </c>
      <c r="M6586">
        <f>LET(
    seasoning_years,DATEDIF('Loan Tape (S&amp;P)'!K6586,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86">
        <f>IF(AND('Loan Tape (S&amp;P)'!U6586="Yes",
        'Loan Tape (S&amp;P)'!T6586&lt;&gt;"Yes",
        DATEDIF('Loan Tape (S&amp;P)'!K6586, TODAY(), "M")&lt;18),
    1.10,
    1.00)</f>
        <v/>
      </c>
      <c r="O6586">
        <f>IF('Loan Tape (S&amp;P)'!T6586="Yes",
    1.35,
    1.00)</f>
        <v/>
      </c>
      <c r="P6586">
        <f>IF('Loan Tape (S&amp;P)'!S6586="Yes",
    1.15,
    1.00)</f>
        <v/>
      </c>
      <c r="Q6586">
        <f>IF('Loan Tape (S&amp;P)'!V6586="Yes",
    1.20,
    1.00)</f>
        <v/>
      </c>
      <c r="T6586">
        <f>LET(
    payment_method,'Loan Tape (S&amp;P)'!P6586,
    occupancy,'Loan Tape (S&amp;P)'!N6586,
    maturity_date,'Loan Tape (S&amp;P)'!L6586,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87">
      <c r="J6587">
        <f>LET(
    lien,'Loan Tape (S&amp;P)'!Q6587,
    IF(lien="First",1.00,
        IF(lien="Second",1.50,
            1.70)))</f>
        <v/>
      </c>
      <c r="K6587">
        <f>LET(
    purpose,'Loan Tape (S&amp;P)'!R6587,
    IF(purpose="Purchase",1.00,
        IF(purpose="Remortgage",1.00,
            1.20)))</f>
        <v/>
      </c>
      <c r="L6587">
        <f>LET(
    arrears_months,'Loan Tape (S&amp;P)'!AN6587,
    IF(arrears_months=0,1.00,
    IF(arrears_months=1,3.00,
    IF(arrears_months=2,5.00,
    IF(arrears_months=3,8.00,
    IF(arrears_months=4,10.00,
    IF(arrears_months=5,12.00,15.00)))))))</f>
        <v/>
      </c>
      <c r="M6587">
        <f>LET(
    seasoning_years,DATEDIF('Loan Tape (S&amp;P)'!K6587,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87">
        <f>IF(AND('Loan Tape (S&amp;P)'!U6587="Yes",
        'Loan Tape (S&amp;P)'!T6587&lt;&gt;"Yes",
        DATEDIF('Loan Tape (S&amp;P)'!K6587, TODAY(), "M")&lt;18),
    1.10,
    1.00)</f>
        <v/>
      </c>
      <c r="O6587">
        <f>IF('Loan Tape (S&amp;P)'!T6587="Yes",
    1.35,
    1.00)</f>
        <v/>
      </c>
      <c r="P6587">
        <f>IF('Loan Tape (S&amp;P)'!S6587="Yes",
    1.15,
    1.00)</f>
        <v/>
      </c>
      <c r="Q6587">
        <f>IF('Loan Tape (S&amp;P)'!V6587="Yes",
    1.20,
    1.00)</f>
        <v/>
      </c>
      <c r="T6587">
        <f>LET(
    payment_method,'Loan Tape (S&amp;P)'!P6587,
    occupancy,'Loan Tape (S&amp;P)'!N6587,
    maturity_date,'Loan Tape (S&amp;P)'!L6587,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88">
      <c r="J6588">
        <f>LET(
    lien,'Loan Tape (S&amp;P)'!Q6588,
    IF(lien="First",1.00,
        IF(lien="Second",1.50,
            1.70)))</f>
        <v/>
      </c>
      <c r="K6588">
        <f>LET(
    purpose,'Loan Tape (S&amp;P)'!R6588,
    IF(purpose="Purchase",1.00,
        IF(purpose="Remortgage",1.00,
            1.20)))</f>
        <v/>
      </c>
      <c r="L6588">
        <f>LET(
    arrears_months,'Loan Tape (S&amp;P)'!AN6588,
    IF(arrears_months=0,1.00,
    IF(arrears_months=1,3.00,
    IF(arrears_months=2,5.00,
    IF(arrears_months=3,8.00,
    IF(arrears_months=4,10.00,
    IF(arrears_months=5,12.00,15.00)))))))</f>
        <v/>
      </c>
      <c r="M6588">
        <f>LET(
    seasoning_years,DATEDIF('Loan Tape (S&amp;P)'!K6588,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88">
        <f>IF(AND('Loan Tape (S&amp;P)'!U6588="Yes",
        'Loan Tape (S&amp;P)'!T6588&lt;&gt;"Yes",
        DATEDIF('Loan Tape (S&amp;P)'!K6588, TODAY(), "M")&lt;18),
    1.10,
    1.00)</f>
        <v/>
      </c>
      <c r="O6588">
        <f>IF('Loan Tape (S&amp;P)'!T6588="Yes",
    1.35,
    1.00)</f>
        <v/>
      </c>
      <c r="P6588">
        <f>IF('Loan Tape (S&amp;P)'!S6588="Yes",
    1.15,
    1.00)</f>
        <v/>
      </c>
      <c r="Q6588">
        <f>IF('Loan Tape (S&amp;P)'!V6588="Yes",
    1.20,
    1.00)</f>
        <v/>
      </c>
      <c r="T6588">
        <f>LET(
    payment_method,'Loan Tape (S&amp;P)'!P6588,
    occupancy,'Loan Tape (S&amp;P)'!N6588,
    maturity_date,'Loan Tape (S&amp;P)'!L6588,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89">
      <c r="J6589">
        <f>LET(
    lien,'Loan Tape (S&amp;P)'!Q6589,
    IF(lien="First",1.00,
        IF(lien="Second",1.50,
            1.70)))</f>
        <v/>
      </c>
      <c r="K6589">
        <f>LET(
    purpose,'Loan Tape (S&amp;P)'!R6589,
    IF(purpose="Purchase",1.00,
        IF(purpose="Remortgage",1.00,
            1.20)))</f>
        <v/>
      </c>
      <c r="L6589">
        <f>LET(
    arrears_months,'Loan Tape (S&amp;P)'!AN6589,
    IF(arrears_months=0,1.00,
    IF(arrears_months=1,3.00,
    IF(arrears_months=2,5.00,
    IF(arrears_months=3,8.00,
    IF(arrears_months=4,10.00,
    IF(arrears_months=5,12.00,15.00)))))))</f>
        <v/>
      </c>
      <c r="M6589">
        <f>LET(
    seasoning_years,DATEDIF('Loan Tape (S&amp;P)'!K6589,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89">
        <f>IF(AND('Loan Tape (S&amp;P)'!U6589="Yes",
        'Loan Tape (S&amp;P)'!T6589&lt;&gt;"Yes",
        DATEDIF('Loan Tape (S&amp;P)'!K6589, TODAY(), "M")&lt;18),
    1.10,
    1.00)</f>
        <v/>
      </c>
      <c r="O6589">
        <f>IF('Loan Tape (S&amp;P)'!T6589="Yes",
    1.35,
    1.00)</f>
        <v/>
      </c>
      <c r="P6589">
        <f>IF('Loan Tape (S&amp;P)'!S6589="Yes",
    1.15,
    1.00)</f>
        <v/>
      </c>
      <c r="Q6589">
        <f>IF('Loan Tape (S&amp;P)'!V6589="Yes",
    1.20,
    1.00)</f>
        <v/>
      </c>
      <c r="T6589">
        <f>LET(
    payment_method,'Loan Tape (S&amp;P)'!P6589,
    occupancy,'Loan Tape (S&amp;P)'!N6589,
    maturity_date,'Loan Tape (S&amp;P)'!L6589,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90">
      <c r="J6590">
        <f>LET(
    lien,'Loan Tape (S&amp;P)'!Q6590,
    IF(lien="First",1.00,
        IF(lien="Second",1.50,
            1.70)))</f>
        <v/>
      </c>
      <c r="K6590">
        <f>LET(
    purpose,'Loan Tape (S&amp;P)'!R6590,
    IF(purpose="Purchase",1.00,
        IF(purpose="Remortgage",1.00,
            1.20)))</f>
        <v/>
      </c>
      <c r="L6590">
        <f>LET(
    arrears_months,'Loan Tape (S&amp;P)'!AN6590,
    IF(arrears_months=0,1.00,
    IF(arrears_months=1,3.00,
    IF(arrears_months=2,5.00,
    IF(arrears_months=3,8.00,
    IF(arrears_months=4,10.00,
    IF(arrears_months=5,12.00,15.00)))))))</f>
        <v/>
      </c>
      <c r="M6590">
        <f>LET(
    seasoning_years,DATEDIF('Loan Tape (S&amp;P)'!K6590,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90">
        <f>IF(AND('Loan Tape (S&amp;P)'!U6590="Yes",
        'Loan Tape (S&amp;P)'!T6590&lt;&gt;"Yes",
        DATEDIF('Loan Tape (S&amp;P)'!K6590, TODAY(), "M")&lt;18),
    1.10,
    1.00)</f>
        <v/>
      </c>
      <c r="O6590">
        <f>IF('Loan Tape (S&amp;P)'!T6590="Yes",
    1.35,
    1.00)</f>
        <v/>
      </c>
      <c r="P6590">
        <f>IF('Loan Tape (S&amp;P)'!S6590="Yes",
    1.15,
    1.00)</f>
        <v/>
      </c>
      <c r="Q6590">
        <f>IF('Loan Tape (S&amp;P)'!V6590="Yes",
    1.20,
    1.00)</f>
        <v/>
      </c>
      <c r="T6590">
        <f>LET(
    payment_method,'Loan Tape (S&amp;P)'!P6590,
    occupancy,'Loan Tape (S&amp;P)'!N6590,
    maturity_date,'Loan Tape (S&amp;P)'!L6590,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91">
      <c r="J6591">
        <f>LET(
    lien,'Loan Tape (S&amp;P)'!Q6591,
    IF(lien="First",1.00,
        IF(lien="Second",1.50,
            1.70)))</f>
        <v/>
      </c>
      <c r="K6591">
        <f>LET(
    purpose,'Loan Tape (S&amp;P)'!R6591,
    IF(purpose="Purchase",1.00,
        IF(purpose="Remortgage",1.00,
            1.20)))</f>
        <v/>
      </c>
      <c r="L6591">
        <f>LET(
    arrears_months,'Loan Tape (S&amp;P)'!AN6591,
    IF(arrears_months=0,1.00,
    IF(arrears_months=1,3.00,
    IF(arrears_months=2,5.00,
    IF(arrears_months=3,8.00,
    IF(arrears_months=4,10.00,
    IF(arrears_months=5,12.00,15.00)))))))</f>
        <v/>
      </c>
      <c r="M6591">
        <f>LET(
    seasoning_years,DATEDIF('Loan Tape (S&amp;P)'!K6591,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91">
        <f>IF(AND('Loan Tape (S&amp;P)'!U6591="Yes",
        'Loan Tape (S&amp;P)'!T6591&lt;&gt;"Yes",
        DATEDIF('Loan Tape (S&amp;P)'!K6591, TODAY(), "M")&lt;18),
    1.10,
    1.00)</f>
        <v/>
      </c>
      <c r="O6591">
        <f>IF('Loan Tape (S&amp;P)'!T6591="Yes",
    1.35,
    1.00)</f>
        <v/>
      </c>
      <c r="P6591">
        <f>IF('Loan Tape (S&amp;P)'!S6591="Yes",
    1.15,
    1.00)</f>
        <v/>
      </c>
      <c r="Q6591">
        <f>IF('Loan Tape (S&amp;P)'!V6591="Yes",
    1.20,
    1.00)</f>
        <v/>
      </c>
      <c r="T6591">
        <f>LET(
    payment_method,'Loan Tape (S&amp;P)'!P6591,
    occupancy,'Loan Tape (S&amp;P)'!N6591,
    maturity_date,'Loan Tape (S&amp;P)'!L6591,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92">
      <c r="J6592">
        <f>LET(
    lien,'Loan Tape (S&amp;P)'!Q6592,
    IF(lien="First",1.00,
        IF(lien="Second",1.50,
            1.70)))</f>
        <v/>
      </c>
      <c r="K6592">
        <f>LET(
    purpose,'Loan Tape (S&amp;P)'!R6592,
    IF(purpose="Purchase",1.00,
        IF(purpose="Remortgage",1.00,
            1.20)))</f>
        <v/>
      </c>
      <c r="L6592">
        <f>LET(
    arrears_months,'Loan Tape (S&amp;P)'!AN6592,
    IF(arrears_months=0,1.00,
    IF(arrears_months=1,3.00,
    IF(arrears_months=2,5.00,
    IF(arrears_months=3,8.00,
    IF(arrears_months=4,10.00,
    IF(arrears_months=5,12.00,15.00)))))))</f>
        <v/>
      </c>
      <c r="M6592">
        <f>LET(
    seasoning_years,DATEDIF('Loan Tape (S&amp;P)'!K6592,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92">
        <f>IF(AND('Loan Tape (S&amp;P)'!U6592="Yes",
        'Loan Tape (S&amp;P)'!T6592&lt;&gt;"Yes",
        DATEDIF('Loan Tape (S&amp;P)'!K6592, TODAY(), "M")&lt;18),
    1.10,
    1.00)</f>
        <v/>
      </c>
      <c r="O6592">
        <f>IF('Loan Tape (S&amp;P)'!T6592="Yes",
    1.35,
    1.00)</f>
        <v/>
      </c>
      <c r="P6592">
        <f>IF('Loan Tape (S&amp;P)'!S6592="Yes",
    1.15,
    1.00)</f>
        <v/>
      </c>
      <c r="Q6592">
        <f>IF('Loan Tape (S&amp;P)'!V6592="Yes",
    1.20,
    1.00)</f>
        <v/>
      </c>
      <c r="T6592">
        <f>LET(
    payment_method,'Loan Tape (S&amp;P)'!P6592,
    occupancy,'Loan Tape (S&amp;P)'!N6592,
    maturity_date,'Loan Tape (S&amp;P)'!L6592,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93">
      <c r="J6593">
        <f>LET(
    lien,'Loan Tape (S&amp;P)'!Q6593,
    IF(lien="First",1.00,
        IF(lien="Second",1.50,
            1.70)))</f>
        <v/>
      </c>
      <c r="K6593">
        <f>LET(
    purpose,'Loan Tape (S&amp;P)'!R6593,
    IF(purpose="Purchase",1.00,
        IF(purpose="Remortgage",1.00,
            1.20)))</f>
        <v/>
      </c>
      <c r="L6593">
        <f>LET(
    arrears_months,'Loan Tape (S&amp;P)'!AN6593,
    IF(arrears_months=0,1.00,
    IF(arrears_months=1,3.00,
    IF(arrears_months=2,5.00,
    IF(arrears_months=3,8.00,
    IF(arrears_months=4,10.00,
    IF(arrears_months=5,12.00,15.00)))))))</f>
        <v/>
      </c>
      <c r="M6593">
        <f>LET(
    seasoning_years,DATEDIF('Loan Tape (S&amp;P)'!K6593,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93">
        <f>IF(AND('Loan Tape (S&amp;P)'!U6593="Yes",
        'Loan Tape (S&amp;P)'!T6593&lt;&gt;"Yes",
        DATEDIF('Loan Tape (S&amp;P)'!K6593, TODAY(), "M")&lt;18),
    1.10,
    1.00)</f>
        <v/>
      </c>
      <c r="O6593">
        <f>IF('Loan Tape (S&amp;P)'!T6593="Yes",
    1.35,
    1.00)</f>
        <v/>
      </c>
      <c r="P6593">
        <f>IF('Loan Tape (S&amp;P)'!S6593="Yes",
    1.15,
    1.00)</f>
        <v/>
      </c>
      <c r="Q6593">
        <f>IF('Loan Tape (S&amp;P)'!V6593="Yes",
    1.20,
    1.00)</f>
        <v/>
      </c>
      <c r="T6593">
        <f>LET(
    payment_method,'Loan Tape (S&amp;P)'!P6593,
    occupancy,'Loan Tape (S&amp;P)'!N6593,
    maturity_date,'Loan Tape (S&amp;P)'!L6593,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94">
      <c r="J6594">
        <f>LET(
    lien,'Loan Tape (S&amp;P)'!Q6594,
    IF(lien="First",1.00,
        IF(lien="Second",1.50,
            1.70)))</f>
        <v/>
      </c>
      <c r="K6594">
        <f>LET(
    purpose,'Loan Tape (S&amp;P)'!R6594,
    IF(purpose="Purchase",1.00,
        IF(purpose="Remortgage",1.00,
            1.20)))</f>
        <v/>
      </c>
      <c r="L6594">
        <f>LET(
    arrears_months,'Loan Tape (S&amp;P)'!AN6594,
    IF(arrears_months=0,1.00,
    IF(arrears_months=1,3.00,
    IF(arrears_months=2,5.00,
    IF(arrears_months=3,8.00,
    IF(arrears_months=4,10.00,
    IF(arrears_months=5,12.00,15.00)))))))</f>
        <v/>
      </c>
      <c r="M6594">
        <f>LET(
    seasoning_years,DATEDIF('Loan Tape (S&amp;P)'!K6594,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94">
        <f>IF(AND('Loan Tape (S&amp;P)'!U6594="Yes",
        'Loan Tape (S&amp;P)'!T6594&lt;&gt;"Yes",
        DATEDIF('Loan Tape (S&amp;P)'!K6594, TODAY(), "M")&lt;18),
    1.10,
    1.00)</f>
        <v/>
      </c>
      <c r="O6594">
        <f>IF('Loan Tape (S&amp;P)'!T6594="Yes",
    1.35,
    1.00)</f>
        <v/>
      </c>
      <c r="P6594">
        <f>IF('Loan Tape (S&amp;P)'!S6594="Yes",
    1.15,
    1.00)</f>
        <v/>
      </c>
      <c r="Q6594">
        <f>IF('Loan Tape (S&amp;P)'!V6594="Yes",
    1.20,
    1.00)</f>
        <v/>
      </c>
      <c r="T6594">
        <f>LET(
    payment_method,'Loan Tape (S&amp;P)'!P6594,
    occupancy,'Loan Tape (S&amp;P)'!N6594,
    maturity_date,'Loan Tape (S&amp;P)'!L6594,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95">
      <c r="J6595">
        <f>LET(
    lien,'Loan Tape (S&amp;P)'!Q6595,
    IF(lien="First",1.00,
        IF(lien="Second",1.50,
            1.70)))</f>
        <v/>
      </c>
      <c r="K6595">
        <f>LET(
    purpose,'Loan Tape (S&amp;P)'!R6595,
    IF(purpose="Purchase",1.00,
        IF(purpose="Remortgage",1.00,
            1.20)))</f>
        <v/>
      </c>
      <c r="L6595">
        <f>LET(
    arrears_months,'Loan Tape (S&amp;P)'!AN6595,
    IF(arrears_months=0,1.00,
    IF(arrears_months=1,3.00,
    IF(arrears_months=2,5.00,
    IF(arrears_months=3,8.00,
    IF(arrears_months=4,10.00,
    IF(arrears_months=5,12.00,15.00)))))))</f>
        <v/>
      </c>
      <c r="M6595">
        <f>LET(
    seasoning_years,DATEDIF('Loan Tape (S&amp;P)'!K6595,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95">
        <f>IF(AND('Loan Tape (S&amp;P)'!U6595="Yes",
        'Loan Tape (S&amp;P)'!T6595&lt;&gt;"Yes",
        DATEDIF('Loan Tape (S&amp;P)'!K6595, TODAY(), "M")&lt;18),
    1.10,
    1.00)</f>
        <v/>
      </c>
      <c r="O6595">
        <f>IF('Loan Tape (S&amp;P)'!T6595="Yes",
    1.35,
    1.00)</f>
        <v/>
      </c>
      <c r="P6595">
        <f>IF('Loan Tape (S&amp;P)'!S6595="Yes",
    1.15,
    1.00)</f>
        <v/>
      </c>
      <c r="Q6595">
        <f>IF('Loan Tape (S&amp;P)'!V6595="Yes",
    1.20,
    1.00)</f>
        <v/>
      </c>
      <c r="T6595">
        <f>LET(
    payment_method,'Loan Tape (S&amp;P)'!P6595,
    occupancy,'Loan Tape (S&amp;P)'!N6595,
    maturity_date,'Loan Tape (S&amp;P)'!L6595,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96">
      <c r="J6596">
        <f>LET(
    lien,'Loan Tape (S&amp;P)'!Q6596,
    IF(lien="First",1.00,
        IF(lien="Second",1.50,
            1.70)))</f>
        <v/>
      </c>
      <c r="K6596">
        <f>LET(
    purpose,'Loan Tape (S&amp;P)'!R6596,
    IF(purpose="Purchase",1.00,
        IF(purpose="Remortgage",1.00,
            1.20)))</f>
        <v/>
      </c>
      <c r="L6596">
        <f>LET(
    arrears_months,'Loan Tape (S&amp;P)'!AN6596,
    IF(arrears_months=0,1.00,
    IF(arrears_months=1,3.00,
    IF(arrears_months=2,5.00,
    IF(arrears_months=3,8.00,
    IF(arrears_months=4,10.00,
    IF(arrears_months=5,12.00,15.00)))))))</f>
        <v/>
      </c>
      <c r="M6596">
        <f>LET(
    seasoning_years,DATEDIF('Loan Tape (S&amp;P)'!K6596,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96">
        <f>IF(AND('Loan Tape (S&amp;P)'!U6596="Yes",
        'Loan Tape (S&amp;P)'!T6596&lt;&gt;"Yes",
        DATEDIF('Loan Tape (S&amp;P)'!K6596, TODAY(), "M")&lt;18),
    1.10,
    1.00)</f>
        <v/>
      </c>
      <c r="O6596">
        <f>IF('Loan Tape (S&amp;P)'!T6596="Yes",
    1.35,
    1.00)</f>
        <v/>
      </c>
      <c r="P6596">
        <f>IF('Loan Tape (S&amp;P)'!S6596="Yes",
    1.15,
    1.00)</f>
        <v/>
      </c>
      <c r="Q6596">
        <f>IF('Loan Tape (S&amp;P)'!V6596="Yes",
    1.20,
    1.00)</f>
        <v/>
      </c>
      <c r="T6596">
        <f>LET(
    payment_method,'Loan Tape (S&amp;P)'!P6596,
    occupancy,'Loan Tape (S&amp;P)'!N6596,
    maturity_date,'Loan Tape (S&amp;P)'!L6596,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97">
      <c r="J6597">
        <f>LET(
    lien,'Loan Tape (S&amp;P)'!Q6597,
    IF(lien="First",1.00,
        IF(lien="Second",1.50,
            1.70)))</f>
        <v/>
      </c>
      <c r="K6597">
        <f>LET(
    purpose,'Loan Tape (S&amp;P)'!R6597,
    IF(purpose="Purchase",1.00,
        IF(purpose="Remortgage",1.00,
            1.20)))</f>
        <v/>
      </c>
      <c r="L6597">
        <f>LET(
    arrears_months,'Loan Tape (S&amp;P)'!AN6597,
    IF(arrears_months=0,1.00,
    IF(arrears_months=1,3.00,
    IF(arrears_months=2,5.00,
    IF(arrears_months=3,8.00,
    IF(arrears_months=4,10.00,
    IF(arrears_months=5,12.00,15.00)))))))</f>
        <v/>
      </c>
      <c r="M6597">
        <f>LET(
    seasoning_years,DATEDIF('Loan Tape (S&amp;P)'!K6597,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97">
        <f>IF(AND('Loan Tape (S&amp;P)'!U6597="Yes",
        'Loan Tape (S&amp;P)'!T6597&lt;&gt;"Yes",
        DATEDIF('Loan Tape (S&amp;P)'!K6597, TODAY(), "M")&lt;18),
    1.10,
    1.00)</f>
        <v/>
      </c>
      <c r="O6597">
        <f>IF('Loan Tape (S&amp;P)'!T6597="Yes",
    1.35,
    1.00)</f>
        <v/>
      </c>
      <c r="P6597">
        <f>IF('Loan Tape (S&amp;P)'!S6597="Yes",
    1.15,
    1.00)</f>
        <v/>
      </c>
      <c r="Q6597">
        <f>IF('Loan Tape (S&amp;P)'!V6597="Yes",
    1.20,
    1.00)</f>
        <v/>
      </c>
      <c r="T6597">
        <f>LET(
    payment_method,'Loan Tape (S&amp;P)'!P6597,
    occupancy,'Loan Tape (S&amp;P)'!N6597,
    maturity_date,'Loan Tape (S&amp;P)'!L6597,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98">
      <c r="J6598">
        <f>LET(
    lien,'Loan Tape (S&amp;P)'!Q6598,
    IF(lien="First",1.00,
        IF(lien="Second",1.50,
            1.70)))</f>
        <v/>
      </c>
      <c r="K6598">
        <f>LET(
    purpose,'Loan Tape (S&amp;P)'!R6598,
    IF(purpose="Purchase",1.00,
        IF(purpose="Remortgage",1.00,
            1.20)))</f>
        <v/>
      </c>
      <c r="L6598">
        <f>LET(
    arrears_months,'Loan Tape (S&amp;P)'!AN6598,
    IF(arrears_months=0,1.00,
    IF(arrears_months=1,3.00,
    IF(arrears_months=2,5.00,
    IF(arrears_months=3,8.00,
    IF(arrears_months=4,10.00,
    IF(arrears_months=5,12.00,15.00)))))))</f>
        <v/>
      </c>
      <c r="M6598">
        <f>LET(
    seasoning_years,DATEDIF('Loan Tape (S&amp;P)'!K6598,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98">
        <f>IF(AND('Loan Tape (S&amp;P)'!U6598="Yes",
        'Loan Tape (S&amp;P)'!T6598&lt;&gt;"Yes",
        DATEDIF('Loan Tape (S&amp;P)'!K6598, TODAY(), "M")&lt;18),
    1.10,
    1.00)</f>
        <v/>
      </c>
      <c r="O6598">
        <f>IF('Loan Tape (S&amp;P)'!T6598="Yes",
    1.35,
    1.00)</f>
        <v/>
      </c>
      <c r="P6598">
        <f>IF('Loan Tape (S&amp;P)'!S6598="Yes",
    1.15,
    1.00)</f>
        <v/>
      </c>
      <c r="Q6598">
        <f>IF('Loan Tape (S&amp;P)'!V6598="Yes",
    1.20,
    1.00)</f>
        <v/>
      </c>
      <c r="T6598">
        <f>LET(
    payment_method,'Loan Tape (S&amp;P)'!P6598,
    occupancy,'Loan Tape (S&amp;P)'!N6598,
    maturity_date,'Loan Tape (S&amp;P)'!L6598,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599">
      <c r="J6599">
        <f>LET(
    lien,'Loan Tape (S&amp;P)'!Q6599,
    IF(lien="First",1.00,
        IF(lien="Second",1.50,
            1.70)))</f>
        <v/>
      </c>
      <c r="K6599">
        <f>LET(
    purpose,'Loan Tape (S&amp;P)'!R6599,
    IF(purpose="Purchase",1.00,
        IF(purpose="Remortgage",1.00,
            1.20)))</f>
        <v/>
      </c>
      <c r="L6599">
        <f>LET(
    arrears_months,'Loan Tape (S&amp;P)'!AN6599,
    IF(arrears_months=0,1.00,
    IF(arrears_months=1,3.00,
    IF(arrears_months=2,5.00,
    IF(arrears_months=3,8.00,
    IF(arrears_months=4,10.00,
    IF(arrears_months=5,12.00,15.00)))))))</f>
        <v/>
      </c>
      <c r="M6599">
        <f>LET(
    seasoning_years,DATEDIF('Loan Tape (S&amp;P)'!K6599,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599">
        <f>IF(AND('Loan Tape (S&amp;P)'!U6599="Yes",
        'Loan Tape (S&amp;P)'!T6599&lt;&gt;"Yes",
        DATEDIF('Loan Tape (S&amp;P)'!K6599, TODAY(), "M")&lt;18),
    1.10,
    1.00)</f>
        <v/>
      </c>
      <c r="O6599">
        <f>IF('Loan Tape (S&amp;P)'!T6599="Yes",
    1.35,
    1.00)</f>
        <v/>
      </c>
      <c r="P6599">
        <f>IF('Loan Tape (S&amp;P)'!S6599="Yes",
    1.15,
    1.00)</f>
        <v/>
      </c>
      <c r="Q6599">
        <f>IF('Loan Tape (S&amp;P)'!V6599="Yes",
    1.20,
    1.00)</f>
        <v/>
      </c>
      <c r="T6599">
        <f>LET(
    payment_method,'Loan Tape (S&amp;P)'!P6599,
    occupancy,'Loan Tape (S&amp;P)'!N6599,
    maturity_date,'Loan Tape (S&amp;P)'!L6599,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00">
      <c r="J6600">
        <f>LET(
    lien,'Loan Tape (S&amp;P)'!Q6600,
    IF(lien="First",1.00,
        IF(lien="Second",1.50,
            1.70)))</f>
        <v/>
      </c>
      <c r="K6600">
        <f>LET(
    purpose,'Loan Tape (S&amp;P)'!R6600,
    IF(purpose="Purchase",1.00,
        IF(purpose="Remortgage",1.00,
            1.20)))</f>
        <v/>
      </c>
      <c r="L6600">
        <f>LET(
    arrears_months,'Loan Tape (S&amp;P)'!AN6600,
    IF(arrears_months=0,1.00,
    IF(arrears_months=1,3.00,
    IF(arrears_months=2,5.00,
    IF(arrears_months=3,8.00,
    IF(arrears_months=4,10.00,
    IF(arrears_months=5,12.00,15.00)))))))</f>
        <v/>
      </c>
      <c r="M6600">
        <f>LET(
    seasoning_years,DATEDIF('Loan Tape (S&amp;P)'!K6600,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00">
        <f>IF(AND('Loan Tape (S&amp;P)'!U6600="Yes",
        'Loan Tape (S&amp;P)'!T6600&lt;&gt;"Yes",
        DATEDIF('Loan Tape (S&amp;P)'!K6600, TODAY(), "M")&lt;18),
    1.10,
    1.00)</f>
        <v/>
      </c>
      <c r="O6600">
        <f>IF('Loan Tape (S&amp;P)'!T6600="Yes",
    1.35,
    1.00)</f>
        <v/>
      </c>
      <c r="P6600">
        <f>IF('Loan Tape (S&amp;P)'!S6600="Yes",
    1.15,
    1.00)</f>
        <v/>
      </c>
      <c r="Q6600">
        <f>IF('Loan Tape (S&amp;P)'!V6600="Yes",
    1.20,
    1.00)</f>
        <v/>
      </c>
      <c r="T6600">
        <f>LET(
    payment_method,'Loan Tape (S&amp;P)'!P6600,
    occupancy,'Loan Tape (S&amp;P)'!N6600,
    maturity_date,'Loan Tape (S&amp;P)'!L6600,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01">
      <c r="J6601">
        <f>LET(
    lien,'Loan Tape (S&amp;P)'!Q6601,
    IF(lien="First",1.00,
        IF(lien="Second",1.50,
            1.70)))</f>
        <v/>
      </c>
      <c r="K6601">
        <f>LET(
    purpose,'Loan Tape (S&amp;P)'!R6601,
    IF(purpose="Purchase",1.00,
        IF(purpose="Remortgage",1.00,
            1.20)))</f>
        <v/>
      </c>
      <c r="L6601">
        <f>LET(
    arrears_months,'Loan Tape (S&amp;P)'!AN6601,
    IF(arrears_months=0,1.00,
    IF(arrears_months=1,3.00,
    IF(arrears_months=2,5.00,
    IF(arrears_months=3,8.00,
    IF(arrears_months=4,10.00,
    IF(arrears_months=5,12.00,15.00)))))))</f>
        <v/>
      </c>
      <c r="M6601">
        <f>LET(
    seasoning_years,DATEDIF('Loan Tape (S&amp;P)'!K6601,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01">
        <f>IF(AND('Loan Tape (S&amp;P)'!U6601="Yes",
        'Loan Tape (S&amp;P)'!T6601&lt;&gt;"Yes",
        DATEDIF('Loan Tape (S&amp;P)'!K6601, TODAY(), "M")&lt;18),
    1.10,
    1.00)</f>
        <v/>
      </c>
      <c r="O6601">
        <f>IF('Loan Tape (S&amp;P)'!T6601="Yes",
    1.35,
    1.00)</f>
        <v/>
      </c>
      <c r="P6601">
        <f>IF('Loan Tape (S&amp;P)'!S6601="Yes",
    1.15,
    1.00)</f>
        <v/>
      </c>
      <c r="Q6601">
        <f>IF('Loan Tape (S&amp;P)'!V6601="Yes",
    1.20,
    1.00)</f>
        <v/>
      </c>
      <c r="T6601">
        <f>LET(
    payment_method,'Loan Tape (S&amp;P)'!P6601,
    occupancy,'Loan Tape (S&amp;P)'!N6601,
    maturity_date,'Loan Tape (S&amp;P)'!L6601,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02">
      <c r="J6602">
        <f>LET(
    lien,'Loan Tape (S&amp;P)'!Q6602,
    IF(lien="First",1.00,
        IF(lien="Second",1.50,
            1.70)))</f>
        <v/>
      </c>
      <c r="K6602">
        <f>LET(
    purpose,'Loan Tape (S&amp;P)'!R6602,
    IF(purpose="Purchase",1.00,
        IF(purpose="Remortgage",1.00,
            1.20)))</f>
        <v/>
      </c>
      <c r="L6602">
        <f>LET(
    arrears_months,'Loan Tape (S&amp;P)'!AN6602,
    IF(arrears_months=0,1.00,
    IF(arrears_months=1,3.00,
    IF(arrears_months=2,5.00,
    IF(arrears_months=3,8.00,
    IF(arrears_months=4,10.00,
    IF(arrears_months=5,12.00,15.00)))))))</f>
        <v/>
      </c>
      <c r="M6602">
        <f>LET(
    seasoning_years,DATEDIF('Loan Tape (S&amp;P)'!K6602,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02">
        <f>IF(AND('Loan Tape (S&amp;P)'!U6602="Yes",
        'Loan Tape (S&amp;P)'!T6602&lt;&gt;"Yes",
        DATEDIF('Loan Tape (S&amp;P)'!K6602, TODAY(), "M")&lt;18),
    1.10,
    1.00)</f>
        <v/>
      </c>
      <c r="O6602">
        <f>IF('Loan Tape (S&amp;P)'!T6602="Yes",
    1.35,
    1.00)</f>
        <v/>
      </c>
      <c r="P6602">
        <f>IF('Loan Tape (S&amp;P)'!S6602="Yes",
    1.15,
    1.00)</f>
        <v/>
      </c>
      <c r="Q6602">
        <f>IF('Loan Tape (S&amp;P)'!V6602="Yes",
    1.20,
    1.00)</f>
        <v/>
      </c>
      <c r="T6602">
        <f>LET(
    payment_method,'Loan Tape (S&amp;P)'!P6602,
    occupancy,'Loan Tape (S&amp;P)'!N6602,
    maturity_date,'Loan Tape (S&amp;P)'!L6602,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03">
      <c r="J6603">
        <f>LET(
    lien,'Loan Tape (S&amp;P)'!Q6603,
    IF(lien="First",1.00,
        IF(lien="Second",1.50,
            1.70)))</f>
        <v/>
      </c>
      <c r="K6603">
        <f>LET(
    purpose,'Loan Tape (S&amp;P)'!R6603,
    IF(purpose="Purchase",1.00,
        IF(purpose="Remortgage",1.00,
            1.20)))</f>
        <v/>
      </c>
      <c r="L6603">
        <f>LET(
    arrears_months,'Loan Tape (S&amp;P)'!AN6603,
    IF(arrears_months=0,1.00,
    IF(arrears_months=1,3.00,
    IF(arrears_months=2,5.00,
    IF(arrears_months=3,8.00,
    IF(arrears_months=4,10.00,
    IF(arrears_months=5,12.00,15.00)))))))</f>
        <v/>
      </c>
      <c r="M6603">
        <f>LET(
    seasoning_years,DATEDIF('Loan Tape (S&amp;P)'!K6603,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03">
        <f>IF(AND('Loan Tape (S&amp;P)'!U6603="Yes",
        'Loan Tape (S&amp;P)'!T6603&lt;&gt;"Yes",
        DATEDIF('Loan Tape (S&amp;P)'!K6603, TODAY(), "M")&lt;18),
    1.10,
    1.00)</f>
        <v/>
      </c>
      <c r="O6603">
        <f>IF('Loan Tape (S&amp;P)'!T6603="Yes",
    1.35,
    1.00)</f>
        <v/>
      </c>
      <c r="P6603">
        <f>IF('Loan Tape (S&amp;P)'!S6603="Yes",
    1.15,
    1.00)</f>
        <v/>
      </c>
      <c r="Q6603">
        <f>IF('Loan Tape (S&amp;P)'!V6603="Yes",
    1.20,
    1.00)</f>
        <v/>
      </c>
      <c r="T6603">
        <f>LET(
    payment_method,'Loan Tape (S&amp;P)'!P6603,
    occupancy,'Loan Tape (S&amp;P)'!N6603,
    maturity_date,'Loan Tape (S&amp;P)'!L6603,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04">
      <c r="J6604">
        <f>LET(
    lien,'Loan Tape (S&amp;P)'!Q6604,
    IF(lien="First",1.00,
        IF(lien="Second",1.50,
            1.70)))</f>
        <v/>
      </c>
      <c r="K6604">
        <f>LET(
    purpose,'Loan Tape (S&amp;P)'!R6604,
    IF(purpose="Purchase",1.00,
        IF(purpose="Remortgage",1.00,
            1.20)))</f>
        <v/>
      </c>
      <c r="L6604">
        <f>LET(
    arrears_months,'Loan Tape (S&amp;P)'!AN6604,
    IF(arrears_months=0,1.00,
    IF(arrears_months=1,3.00,
    IF(arrears_months=2,5.00,
    IF(arrears_months=3,8.00,
    IF(arrears_months=4,10.00,
    IF(arrears_months=5,12.00,15.00)))))))</f>
        <v/>
      </c>
      <c r="M6604">
        <f>LET(
    seasoning_years,DATEDIF('Loan Tape (S&amp;P)'!K6604,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04">
        <f>IF(AND('Loan Tape (S&amp;P)'!U6604="Yes",
        'Loan Tape (S&amp;P)'!T6604&lt;&gt;"Yes",
        DATEDIF('Loan Tape (S&amp;P)'!K6604, TODAY(), "M")&lt;18),
    1.10,
    1.00)</f>
        <v/>
      </c>
      <c r="O6604">
        <f>IF('Loan Tape (S&amp;P)'!T6604="Yes",
    1.35,
    1.00)</f>
        <v/>
      </c>
      <c r="P6604">
        <f>IF('Loan Tape (S&amp;P)'!S6604="Yes",
    1.15,
    1.00)</f>
        <v/>
      </c>
      <c r="Q6604">
        <f>IF('Loan Tape (S&amp;P)'!V6604="Yes",
    1.20,
    1.00)</f>
        <v/>
      </c>
      <c r="T6604">
        <f>LET(
    payment_method,'Loan Tape (S&amp;P)'!P6604,
    occupancy,'Loan Tape (S&amp;P)'!N6604,
    maturity_date,'Loan Tape (S&amp;P)'!L6604,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05">
      <c r="J6605">
        <f>LET(
    lien,'Loan Tape (S&amp;P)'!Q6605,
    IF(lien="First",1.00,
        IF(lien="Second",1.50,
            1.70)))</f>
        <v/>
      </c>
      <c r="K6605">
        <f>LET(
    purpose,'Loan Tape (S&amp;P)'!R6605,
    IF(purpose="Purchase",1.00,
        IF(purpose="Remortgage",1.00,
            1.20)))</f>
        <v/>
      </c>
      <c r="L6605">
        <f>LET(
    arrears_months,'Loan Tape (S&amp;P)'!AN6605,
    IF(arrears_months=0,1.00,
    IF(arrears_months=1,3.00,
    IF(arrears_months=2,5.00,
    IF(arrears_months=3,8.00,
    IF(arrears_months=4,10.00,
    IF(arrears_months=5,12.00,15.00)))))))</f>
        <v/>
      </c>
      <c r="M6605">
        <f>LET(
    seasoning_years,DATEDIF('Loan Tape (S&amp;P)'!K6605,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05">
        <f>IF(AND('Loan Tape (S&amp;P)'!U6605="Yes",
        'Loan Tape (S&amp;P)'!T6605&lt;&gt;"Yes",
        DATEDIF('Loan Tape (S&amp;P)'!K6605, TODAY(), "M")&lt;18),
    1.10,
    1.00)</f>
        <v/>
      </c>
      <c r="O6605">
        <f>IF('Loan Tape (S&amp;P)'!T6605="Yes",
    1.35,
    1.00)</f>
        <v/>
      </c>
      <c r="P6605">
        <f>IF('Loan Tape (S&amp;P)'!S6605="Yes",
    1.15,
    1.00)</f>
        <v/>
      </c>
      <c r="Q6605">
        <f>IF('Loan Tape (S&amp;P)'!V6605="Yes",
    1.20,
    1.00)</f>
        <v/>
      </c>
      <c r="T6605">
        <f>LET(
    payment_method,'Loan Tape (S&amp;P)'!P6605,
    occupancy,'Loan Tape (S&amp;P)'!N6605,
    maturity_date,'Loan Tape (S&amp;P)'!L6605,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06">
      <c r="J6606">
        <f>LET(
    lien,'Loan Tape (S&amp;P)'!Q6606,
    IF(lien="First",1.00,
        IF(lien="Second",1.50,
            1.70)))</f>
        <v/>
      </c>
      <c r="K6606">
        <f>LET(
    purpose,'Loan Tape (S&amp;P)'!R6606,
    IF(purpose="Purchase",1.00,
        IF(purpose="Remortgage",1.00,
            1.20)))</f>
        <v/>
      </c>
      <c r="L6606">
        <f>LET(
    arrears_months,'Loan Tape (S&amp;P)'!AN6606,
    IF(arrears_months=0,1.00,
    IF(arrears_months=1,3.00,
    IF(arrears_months=2,5.00,
    IF(arrears_months=3,8.00,
    IF(arrears_months=4,10.00,
    IF(arrears_months=5,12.00,15.00)))))))</f>
        <v/>
      </c>
      <c r="M6606">
        <f>LET(
    seasoning_years,DATEDIF('Loan Tape (S&amp;P)'!K6606,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06">
        <f>IF(AND('Loan Tape (S&amp;P)'!U6606="Yes",
        'Loan Tape (S&amp;P)'!T6606&lt;&gt;"Yes",
        DATEDIF('Loan Tape (S&amp;P)'!K6606, TODAY(), "M")&lt;18),
    1.10,
    1.00)</f>
        <v/>
      </c>
      <c r="O6606">
        <f>IF('Loan Tape (S&amp;P)'!T6606="Yes",
    1.35,
    1.00)</f>
        <v/>
      </c>
      <c r="P6606">
        <f>IF('Loan Tape (S&amp;P)'!S6606="Yes",
    1.15,
    1.00)</f>
        <v/>
      </c>
      <c r="Q6606">
        <f>IF('Loan Tape (S&amp;P)'!V6606="Yes",
    1.20,
    1.00)</f>
        <v/>
      </c>
      <c r="T6606">
        <f>LET(
    payment_method,'Loan Tape (S&amp;P)'!P6606,
    occupancy,'Loan Tape (S&amp;P)'!N6606,
    maturity_date,'Loan Tape (S&amp;P)'!L6606,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07">
      <c r="J6607">
        <f>LET(
    lien,'Loan Tape (S&amp;P)'!Q6607,
    IF(lien="First",1.00,
        IF(lien="Second",1.50,
            1.70)))</f>
        <v/>
      </c>
      <c r="K6607">
        <f>LET(
    purpose,'Loan Tape (S&amp;P)'!R6607,
    IF(purpose="Purchase",1.00,
        IF(purpose="Remortgage",1.00,
            1.20)))</f>
        <v/>
      </c>
      <c r="L6607">
        <f>LET(
    arrears_months,'Loan Tape (S&amp;P)'!AN6607,
    IF(arrears_months=0,1.00,
    IF(arrears_months=1,3.00,
    IF(arrears_months=2,5.00,
    IF(arrears_months=3,8.00,
    IF(arrears_months=4,10.00,
    IF(arrears_months=5,12.00,15.00)))))))</f>
        <v/>
      </c>
      <c r="M6607">
        <f>LET(
    seasoning_years,DATEDIF('Loan Tape (S&amp;P)'!K6607,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07">
        <f>IF(AND('Loan Tape (S&amp;P)'!U6607="Yes",
        'Loan Tape (S&amp;P)'!T6607&lt;&gt;"Yes",
        DATEDIF('Loan Tape (S&amp;P)'!K6607, TODAY(), "M")&lt;18),
    1.10,
    1.00)</f>
        <v/>
      </c>
      <c r="O6607">
        <f>IF('Loan Tape (S&amp;P)'!T6607="Yes",
    1.35,
    1.00)</f>
        <v/>
      </c>
      <c r="P6607">
        <f>IF('Loan Tape (S&amp;P)'!S6607="Yes",
    1.15,
    1.00)</f>
        <v/>
      </c>
      <c r="Q6607">
        <f>IF('Loan Tape (S&amp;P)'!V6607="Yes",
    1.20,
    1.00)</f>
        <v/>
      </c>
      <c r="T6607">
        <f>LET(
    payment_method,'Loan Tape (S&amp;P)'!P6607,
    occupancy,'Loan Tape (S&amp;P)'!N6607,
    maturity_date,'Loan Tape (S&amp;P)'!L6607,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08">
      <c r="J6608">
        <f>LET(
    lien,'Loan Tape (S&amp;P)'!Q6608,
    IF(lien="First",1.00,
        IF(lien="Second",1.50,
            1.70)))</f>
        <v/>
      </c>
      <c r="K6608">
        <f>LET(
    purpose,'Loan Tape (S&amp;P)'!R6608,
    IF(purpose="Purchase",1.00,
        IF(purpose="Remortgage",1.00,
            1.20)))</f>
        <v/>
      </c>
      <c r="L6608">
        <f>LET(
    arrears_months,'Loan Tape (S&amp;P)'!AN6608,
    IF(arrears_months=0,1.00,
    IF(arrears_months=1,3.00,
    IF(arrears_months=2,5.00,
    IF(arrears_months=3,8.00,
    IF(arrears_months=4,10.00,
    IF(arrears_months=5,12.00,15.00)))))))</f>
        <v/>
      </c>
      <c r="M6608">
        <f>LET(
    seasoning_years,DATEDIF('Loan Tape (S&amp;P)'!K6608,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08">
        <f>IF(AND('Loan Tape (S&amp;P)'!U6608="Yes",
        'Loan Tape (S&amp;P)'!T6608&lt;&gt;"Yes",
        DATEDIF('Loan Tape (S&amp;P)'!K6608, TODAY(), "M")&lt;18),
    1.10,
    1.00)</f>
        <v/>
      </c>
      <c r="O6608">
        <f>IF('Loan Tape (S&amp;P)'!T6608="Yes",
    1.35,
    1.00)</f>
        <v/>
      </c>
      <c r="P6608">
        <f>IF('Loan Tape (S&amp;P)'!S6608="Yes",
    1.15,
    1.00)</f>
        <v/>
      </c>
      <c r="Q6608">
        <f>IF('Loan Tape (S&amp;P)'!V6608="Yes",
    1.20,
    1.00)</f>
        <v/>
      </c>
      <c r="T6608">
        <f>LET(
    payment_method,'Loan Tape (S&amp;P)'!P6608,
    occupancy,'Loan Tape (S&amp;P)'!N6608,
    maturity_date,'Loan Tape (S&amp;P)'!L6608,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09">
      <c r="J6609">
        <f>LET(
    lien,'Loan Tape (S&amp;P)'!Q6609,
    IF(lien="First",1.00,
        IF(lien="Second",1.50,
            1.70)))</f>
        <v/>
      </c>
      <c r="K6609">
        <f>LET(
    purpose,'Loan Tape (S&amp;P)'!R6609,
    IF(purpose="Purchase",1.00,
        IF(purpose="Remortgage",1.00,
            1.20)))</f>
        <v/>
      </c>
      <c r="L6609">
        <f>LET(
    arrears_months,'Loan Tape (S&amp;P)'!AN6609,
    IF(arrears_months=0,1.00,
    IF(arrears_months=1,3.00,
    IF(arrears_months=2,5.00,
    IF(arrears_months=3,8.00,
    IF(arrears_months=4,10.00,
    IF(arrears_months=5,12.00,15.00)))))))</f>
        <v/>
      </c>
      <c r="M6609">
        <f>LET(
    seasoning_years,DATEDIF('Loan Tape (S&amp;P)'!K6609,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09">
        <f>IF(AND('Loan Tape (S&amp;P)'!U6609="Yes",
        'Loan Tape (S&amp;P)'!T6609&lt;&gt;"Yes",
        DATEDIF('Loan Tape (S&amp;P)'!K6609, TODAY(), "M")&lt;18),
    1.10,
    1.00)</f>
        <v/>
      </c>
      <c r="O6609">
        <f>IF('Loan Tape (S&amp;P)'!T6609="Yes",
    1.35,
    1.00)</f>
        <v/>
      </c>
      <c r="P6609">
        <f>IF('Loan Tape (S&amp;P)'!S6609="Yes",
    1.15,
    1.00)</f>
        <v/>
      </c>
      <c r="Q6609">
        <f>IF('Loan Tape (S&amp;P)'!V6609="Yes",
    1.20,
    1.00)</f>
        <v/>
      </c>
      <c r="T6609">
        <f>LET(
    payment_method,'Loan Tape (S&amp;P)'!P6609,
    occupancy,'Loan Tape (S&amp;P)'!N6609,
    maturity_date,'Loan Tape (S&amp;P)'!L6609,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10">
      <c r="J6610">
        <f>LET(
    lien,'Loan Tape (S&amp;P)'!Q6610,
    IF(lien="First",1.00,
        IF(lien="Second",1.50,
            1.70)))</f>
        <v/>
      </c>
      <c r="K6610">
        <f>LET(
    purpose,'Loan Tape (S&amp;P)'!R6610,
    IF(purpose="Purchase",1.00,
        IF(purpose="Remortgage",1.00,
            1.20)))</f>
        <v/>
      </c>
      <c r="L6610">
        <f>LET(
    arrears_months,'Loan Tape (S&amp;P)'!AN6610,
    IF(arrears_months=0,1.00,
    IF(arrears_months=1,3.00,
    IF(arrears_months=2,5.00,
    IF(arrears_months=3,8.00,
    IF(arrears_months=4,10.00,
    IF(arrears_months=5,12.00,15.00)))))))</f>
        <v/>
      </c>
      <c r="M6610">
        <f>LET(
    seasoning_years,DATEDIF('Loan Tape (S&amp;P)'!K6610,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10">
        <f>IF(AND('Loan Tape (S&amp;P)'!U6610="Yes",
        'Loan Tape (S&amp;P)'!T6610&lt;&gt;"Yes",
        DATEDIF('Loan Tape (S&amp;P)'!K6610, TODAY(), "M")&lt;18),
    1.10,
    1.00)</f>
        <v/>
      </c>
      <c r="O6610">
        <f>IF('Loan Tape (S&amp;P)'!T6610="Yes",
    1.35,
    1.00)</f>
        <v/>
      </c>
      <c r="P6610">
        <f>IF('Loan Tape (S&amp;P)'!S6610="Yes",
    1.15,
    1.00)</f>
        <v/>
      </c>
      <c r="Q6610">
        <f>IF('Loan Tape (S&amp;P)'!V6610="Yes",
    1.20,
    1.00)</f>
        <v/>
      </c>
      <c r="T6610">
        <f>LET(
    payment_method,'Loan Tape (S&amp;P)'!P6610,
    occupancy,'Loan Tape (S&amp;P)'!N6610,
    maturity_date,'Loan Tape (S&amp;P)'!L6610,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11">
      <c r="J6611">
        <f>LET(
    lien,'Loan Tape (S&amp;P)'!Q6611,
    IF(lien="First",1.00,
        IF(lien="Second",1.50,
            1.70)))</f>
        <v/>
      </c>
      <c r="K6611">
        <f>LET(
    purpose,'Loan Tape (S&amp;P)'!R6611,
    IF(purpose="Purchase",1.00,
        IF(purpose="Remortgage",1.00,
            1.20)))</f>
        <v/>
      </c>
      <c r="L6611">
        <f>LET(
    arrears_months,'Loan Tape (S&amp;P)'!AN6611,
    IF(arrears_months=0,1.00,
    IF(arrears_months=1,3.00,
    IF(arrears_months=2,5.00,
    IF(arrears_months=3,8.00,
    IF(arrears_months=4,10.00,
    IF(arrears_months=5,12.00,15.00)))))))</f>
        <v/>
      </c>
      <c r="M6611">
        <f>LET(
    seasoning_years,DATEDIF('Loan Tape (S&amp;P)'!K6611,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11">
        <f>IF(AND('Loan Tape (S&amp;P)'!U6611="Yes",
        'Loan Tape (S&amp;P)'!T6611&lt;&gt;"Yes",
        DATEDIF('Loan Tape (S&amp;P)'!K6611, TODAY(), "M")&lt;18),
    1.10,
    1.00)</f>
        <v/>
      </c>
      <c r="O6611">
        <f>IF('Loan Tape (S&amp;P)'!T6611="Yes",
    1.35,
    1.00)</f>
        <v/>
      </c>
      <c r="P6611">
        <f>IF('Loan Tape (S&amp;P)'!S6611="Yes",
    1.15,
    1.00)</f>
        <v/>
      </c>
      <c r="Q6611">
        <f>IF('Loan Tape (S&amp;P)'!V6611="Yes",
    1.20,
    1.00)</f>
        <v/>
      </c>
      <c r="T6611">
        <f>LET(
    payment_method,'Loan Tape (S&amp;P)'!P6611,
    occupancy,'Loan Tape (S&amp;P)'!N6611,
    maturity_date,'Loan Tape (S&amp;P)'!L6611,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12">
      <c r="J6612">
        <f>LET(
    lien,'Loan Tape (S&amp;P)'!Q6612,
    IF(lien="First",1.00,
        IF(lien="Second",1.50,
            1.70)))</f>
        <v/>
      </c>
      <c r="K6612">
        <f>LET(
    purpose,'Loan Tape (S&amp;P)'!R6612,
    IF(purpose="Purchase",1.00,
        IF(purpose="Remortgage",1.00,
            1.20)))</f>
        <v/>
      </c>
      <c r="L6612">
        <f>LET(
    arrears_months,'Loan Tape (S&amp;P)'!AN6612,
    IF(arrears_months=0,1.00,
    IF(arrears_months=1,3.00,
    IF(arrears_months=2,5.00,
    IF(arrears_months=3,8.00,
    IF(arrears_months=4,10.00,
    IF(arrears_months=5,12.00,15.00)))))))</f>
        <v/>
      </c>
      <c r="M6612">
        <f>LET(
    seasoning_years,DATEDIF('Loan Tape (S&amp;P)'!K6612,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12">
        <f>IF(AND('Loan Tape (S&amp;P)'!U6612="Yes",
        'Loan Tape (S&amp;P)'!T6612&lt;&gt;"Yes",
        DATEDIF('Loan Tape (S&amp;P)'!K6612, TODAY(), "M")&lt;18),
    1.10,
    1.00)</f>
        <v/>
      </c>
      <c r="O6612">
        <f>IF('Loan Tape (S&amp;P)'!T6612="Yes",
    1.35,
    1.00)</f>
        <v/>
      </c>
      <c r="P6612">
        <f>IF('Loan Tape (S&amp;P)'!S6612="Yes",
    1.15,
    1.00)</f>
        <v/>
      </c>
      <c r="Q6612">
        <f>IF('Loan Tape (S&amp;P)'!V6612="Yes",
    1.20,
    1.00)</f>
        <v/>
      </c>
      <c r="T6612">
        <f>LET(
    payment_method,'Loan Tape (S&amp;P)'!P6612,
    occupancy,'Loan Tape (S&amp;P)'!N6612,
    maturity_date,'Loan Tape (S&amp;P)'!L6612,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13">
      <c r="J6613">
        <f>LET(
    lien,'Loan Tape (S&amp;P)'!Q6613,
    IF(lien="First",1.00,
        IF(lien="Second",1.50,
            1.70)))</f>
        <v/>
      </c>
      <c r="K6613">
        <f>LET(
    purpose,'Loan Tape (S&amp;P)'!R6613,
    IF(purpose="Purchase",1.00,
        IF(purpose="Remortgage",1.00,
            1.20)))</f>
        <v/>
      </c>
      <c r="L6613">
        <f>LET(
    arrears_months,'Loan Tape (S&amp;P)'!AN6613,
    IF(arrears_months=0,1.00,
    IF(arrears_months=1,3.00,
    IF(arrears_months=2,5.00,
    IF(arrears_months=3,8.00,
    IF(arrears_months=4,10.00,
    IF(arrears_months=5,12.00,15.00)))))))</f>
        <v/>
      </c>
      <c r="M6613">
        <f>LET(
    seasoning_years,DATEDIF('Loan Tape (S&amp;P)'!K6613,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13">
        <f>IF(AND('Loan Tape (S&amp;P)'!U6613="Yes",
        'Loan Tape (S&amp;P)'!T6613&lt;&gt;"Yes",
        DATEDIF('Loan Tape (S&amp;P)'!K6613, TODAY(), "M")&lt;18),
    1.10,
    1.00)</f>
        <v/>
      </c>
      <c r="O6613">
        <f>IF('Loan Tape (S&amp;P)'!T6613="Yes",
    1.35,
    1.00)</f>
        <v/>
      </c>
      <c r="P6613">
        <f>IF('Loan Tape (S&amp;P)'!S6613="Yes",
    1.15,
    1.00)</f>
        <v/>
      </c>
      <c r="Q6613">
        <f>IF('Loan Tape (S&amp;P)'!V6613="Yes",
    1.20,
    1.00)</f>
        <v/>
      </c>
      <c r="T6613">
        <f>LET(
    payment_method,'Loan Tape (S&amp;P)'!P6613,
    occupancy,'Loan Tape (S&amp;P)'!N6613,
    maturity_date,'Loan Tape (S&amp;P)'!L6613,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14">
      <c r="J6614">
        <f>LET(
    lien,'Loan Tape (S&amp;P)'!Q6614,
    IF(lien="First",1.00,
        IF(lien="Second",1.50,
            1.70)))</f>
        <v/>
      </c>
      <c r="K6614">
        <f>LET(
    purpose,'Loan Tape (S&amp;P)'!R6614,
    IF(purpose="Purchase",1.00,
        IF(purpose="Remortgage",1.00,
            1.20)))</f>
        <v/>
      </c>
      <c r="L6614">
        <f>LET(
    arrears_months,'Loan Tape (S&amp;P)'!AN6614,
    IF(arrears_months=0,1.00,
    IF(arrears_months=1,3.00,
    IF(arrears_months=2,5.00,
    IF(arrears_months=3,8.00,
    IF(arrears_months=4,10.00,
    IF(arrears_months=5,12.00,15.00)))))))</f>
        <v/>
      </c>
      <c r="M6614">
        <f>LET(
    seasoning_years,DATEDIF('Loan Tape (S&amp;P)'!K6614,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14">
        <f>IF(AND('Loan Tape (S&amp;P)'!U6614="Yes",
        'Loan Tape (S&amp;P)'!T6614&lt;&gt;"Yes",
        DATEDIF('Loan Tape (S&amp;P)'!K6614, TODAY(), "M")&lt;18),
    1.10,
    1.00)</f>
        <v/>
      </c>
      <c r="O6614">
        <f>IF('Loan Tape (S&amp;P)'!T6614="Yes",
    1.35,
    1.00)</f>
        <v/>
      </c>
      <c r="P6614">
        <f>IF('Loan Tape (S&amp;P)'!S6614="Yes",
    1.15,
    1.00)</f>
        <v/>
      </c>
      <c r="Q6614">
        <f>IF('Loan Tape (S&amp;P)'!V6614="Yes",
    1.20,
    1.00)</f>
        <v/>
      </c>
      <c r="T6614">
        <f>LET(
    payment_method,'Loan Tape (S&amp;P)'!P6614,
    occupancy,'Loan Tape (S&amp;P)'!N6614,
    maturity_date,'Loan Tape (S&amp;P)'!L6614,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15">
      <c r="J6615">
        <f>LET(
    lien,'Loan Tape (S&amp;P)'!Q6615,
    IF(lien="First",1.00,
        IF(lien="Second",1.50,
            1.70)))</f>
        <v/>
      </c>
      <c r="K6615">
        <f>LET(
    purpose,'Loan Tape (S&amp;P)'!R6615,
    IF(purpose="Purchase",1.00,
        IF(purpose="Remortgage",1.00,
            1.20)))</f>
        <v/>
      </c>
      <c r="L6615">
        <f>LET(
    arrears_months,'Loan Tape (S&amp;P)'!AN6615,
    IF(arrears_months=0,1.00,
    IF(arrears_months=1,3.00,
    IF(arrears_months=2,5.00,
    IF(arrears_months=3,8.00,
    IF(arrears_months=4,10.00,
    IF(arrears_months=5,12.00,15.00)))))))</f>
        <v/>
      </c>
      <c r="M6615">
        <f>LET(
    seasoning_years,DATEDIF('Loan Tape (S&amp;P)'!K6615,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15">
        <f>IF(AND('Loan Tape (S&amp;P)'!U6615="Yes",
        'Loan Tape (S&amp;P)'!T6615&lt;&gt;"Yes",
        DATEDIF('Loan Tape (S&amp;P)'!K6615, TODAY(), "M")&lt;18),
    1.10,
    1.00)</f>
        <v/>
      </c>
      <c r="O6615">
        <f>IF('Loan Tape (S&amp;P)'!T6615="Yes",
    1.35,
    1.00)</f>
        <v/>
      </c>
      <c r="P6615">
        <f>IF('Loan Tape (S&amp;P)'!S6615="Yes",
    1.15,
    1.00)</f>
        <v/>
      </c>
      <c r="Q6615">
        <f>IF('Loan Tape (S&amp;P)'!V6615="Yes",
    1.20,
    1.00)</f>
        <v/>
      </c>
      <c r="T6615">
        <f>LET(
    payment_method,'Loan Tape (S&amp;P)'!P6615,
    occupancy,'Loan Tape (S&amp;P)'!N6615,
    maturity_date,'Loan Tape (S&amp;P)'!L6615,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16">
      <c r="J6616">
        <f>LET(
    lien,'Loan Tape (S&amp;P)'!Q6616,
    IF(lien="First",1.00,
        IF(lien="Second",1.50,
            1.70)))</f>
        <v/>
      </c>
      <c r="K6616">
        <f>LET(
    purpose,'Loan Tape (S&amp;P)'!R6616,
    IF(purpose="Purchase",1.00,
        IF(purpose="Remortgage",1.00,
            1.20)))</f>
        <v/>
      </c>
      <c r="L6616">
        <f>LET(
    arrears_months,'Loan Tape (S&amp;P)'!AN6616,
    IF(arrears_months=0,1.00,
    IF(arrears_months=1,3.00,
    IF(arrears_months=2,5.00,
    IF(arrears_months=3,8.00,
    IF(arrears_months=4,10.00,
    IF(arrears_months=5,12.00,15.00)))))))</f>
        <v/>
      </c>
      <c r="M6616">
        <f>LET(
    seasoning_years,DATEDIF('Loan Tape (S&amp;P)'!K6616,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16">
        <f>IF(AND('Loan Tape (S&amp;P)'!U6616="Yes",
        'Loan Tape (S&amp;P)'!T6616&lt;&gt;"Yes",
        DATEDIF('Loan Tape (S&amp;P)'!K6616, TODAY(), "M")&lt;18),
    1.10,
    1.00)</f>
        <v/>
      </c>
      <c r="O6616">
        <f>IF('Loan Tape (S&amp;P)'!T6616="Yes",
    1.35,
    1.00)</f>
        <v/>
      </c>
      <c r="P6616">
        <f>IF('Loan Tape (S&amp;P)'!S6616="Yes",
    1.15,
    1.00)</f>
        <v/>
      </c>
      <c r="Q6616">
        <f>IF('Loan Tape (S&amp;P)'!V6616="Yes",
    1.20,
    1.00)</f>
        <v/>
      </c>
      <c r="T6616">
        <f>LET(
    payment_method,'Loan Tape (S&amp;P)'!P6616,
    occupancy,'Loan Tape (S&amp;P)'!N6616,
    maturity_date,'Loan Tape (S&amp;P)'!L6616,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17">
      <c r="J6617">
        <f>LET(
    lien,'Loan Tape (S&amp;P)'!Q6617,
    IF(lien="First",1.00,
        IF(lien="Second",1.50,
            1.70)))</f>
        <v/>
      </c>
      <c r="K6617">
        <f>LET(
    purpose,'Loan Tape (S&amp;P)'!R6617,
    IF(purpose="Purchase",1.00,
        IF(purpose="Remortgage",1.00,
            1.20)))</f>
        <v/>
      </c>
      <c r="L6617">
        <f>LET(
    arrears_months,'Loan Tape (S&amp;P)'!AN6617,
    IF(arrears_months=0,1.00,
    IF(arrears_months=1,3.00,
    IF(arrears_months=2,5.00,
    IF(arrears_months=3,8.00,
    IF(arrears_months=4,10.00,
    IF(arrears_months=5,12.00,15.00)))))))</f>
        <v/>
      </c>
      <c r="M6617">
        <f>LET(
    seasoning_years,DATEDIF('Loan Tape (S&amp;P)'!K6617,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17">
        <f>IF(AND('Loan Tape (S&amp;P)'!U6617="Yes",
        'Loan Tape (S&amp;P)'!T6617&lt;&gt;"Yes",
        DATEDIF('Loan Tape (S&amp;P)'!K6617, TODAY(), "M")&lt;18),
    1.10,
    1.00)</f>
        <v/>
      </c>
      <c r="O6617">
        <f>IF('Loan Tape (S&amp;P)'!T6617="Yes",
    1.35,
    1.00)</f>
        <v/>
      </c>
      <c r="P6617">
        <f>IF('Loan Tape (S&amp;P)'!S6617="Yes",
    1.15,
    1.00)</f>
        <v/>
      </c>
      <c r="Q6617">
        <f>IF('Loan Tape (S&amp;P)'!V6617="Yes",
    1.20,
    1.00)</f>
        <v/>
      </c>
      <c r="T6617">
        <f>LET(
    payment_method,'Loan Tape (S&amp;P)'!P6617,
    occupancy,'Loan Tape (S&amp;P)'!N6617,
    maturity_date,'Loan Tape (S&amp;P)'!L6617,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18">
      <c r="J6618">
        <f>LET(
    lien,'Loan Tape (S&amp;P)'!Q6618,
    IF(lien="First",1.00,
        IF(lien="Second",1.50,
            1.70)))</f>
        <v/>
      </c>
      <c r="K6618">
        <f>LET(
    purpose,'Loan Tape (S&amp;P)'!R6618,
    IF(purpose="Purchase",1.00,
        IF(purpose="Remortgage",1.00,
            1.20)))</f>
        <v/>
      </c>
      <c r="L6618">
        <f>LET(
    arrears_months,'Loan Tape (S&amp;P)'!AN6618,
    IF(arrears_months=0,1.00,
    IF(arrears_months=1,3.00,
    IF(arrears_months=2,5.00,
    IF(arrears_months=3,8.00,
    IF(arrears_months=4,10.00,
    IF(arrears_months=5,12.00,15.00)))))))</f>
        <v/>
      </c>
      <c r="M6618">
        <f>LET(
    seasoning_years,DATEDIF('Loan Tape (S&amp;P)'!K6618,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18">
        <f>IF(AND('Loan Tape (S&amp;P)'!U6618="Yes",
        'Loan Tape (S&amp;P)'!T6618&lt;&gt;"Yes",
        DATEDIF('Loan Tape (S&amp;P)'!K6618, TODAY(), "M")&lt;18),
    1.10,
    1.00)</f>
        <v/>
      </c>
      <c r="O6618">
        <f>IF('Loan Tape (S&amp;P)'!T6618="Yes",
    1.35,
    1.00)</f>
        <v/>
      </c>
      <c r="P6618">
        <f>IF('Loan Tape (S&amp;P)'!S6618="Yes",
    1.15,
    1.00)</f>
        <v/>
      </c>
      <c r="Q6618">
        <f>IF('Loan Tape (S&amp;P)'!V6618="Yes",
    1.20,
    1.00)</f>
        <v/>
      </c>
      <c r="T6618">
        <f>LET(
    payment_method,'Loan Tape (S&amp;P)'!P6618,
    occupancy,'Loan Tape (S&amp;P)'!N6618,
    maturity_date,'Loan Tape (S&amp;P)'!L6618,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19">
      <c r="J6619">
        <f>LET(
    lien,'Loan Tape (S&amp;P)'!Q6619,
    IF(lien="First",1.00,
        IF(lien="Second",1.50,
            1.70)))</f>
        <v/>
      </c>
      <c r="K6619">
        <f>LET(
    purpose,'Loan Tape (S&amp;P)'!R6619,
    IF(purpose="Purchase",1.00,
        IF(purpose="Remortgage",1.00,
            1.20)))</f>
        <v/>
      </c>
      <c r="L6619">
        <f>LET(
    arrears_months,'Loan Tape (S&amp;P)'!AN6619,
    IF(arrears_months=0,1.00,
    IF(arrears_months=1,3.00,
    IF(arrears_months=2,5.00,
    IF(arrears_months=3,8.00,
    IF(arrears_months=4,10.00,
    IF(arrears_months=5,12.00,15.00)))))))</f>
        <v/>
      </c>
      <c r="M6619">
        <f>LET(
    seasoning_years,DATEDIF('Loan Tape (S&amp;P)'!K6619,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19">
        <f>IF(AND('Loan Tape (S&amp;P)'!U6619="Yes",
        'Loan Tape (S&amp;P)'!T6619&lt;&gt;"Yes",
        DATEDIF('Loan Tape (S&amp;P)'!K6619, TODAY(), "M")&lt;18),
    1.10,
    1.00)</f>
        <v/>
      </c>
      <c r="O6619">
        <f>IF('Loan Tape (S&amp;P)'!T6619="Yes",
    1.35,
    1.00)</f>
        <v/>
      </c>
      <c r="P6619">
        <f>IF('Loan Tape (S&amp;P)'!S6619="Yes",
    1.15,
    1.00)</f>
        <v/>
      </c>
      <c r="Q6619">
        <f>IF('Loan Tape (S&amp;P)'!V6619="Yes",
    1.20,
    1.00)</f>
        <v/>
      </c>
      <c r="T6619">
        <f>LET(
    payment_method,'Loan Tape (S&amp;P)'!P6619,
    occupancy,'Loan Tape (S&amp;P)'!N6619,
    maturity_date,'Loan Tape (S&amp;P)'!L6619,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20">
      <c r="J6620">
        <f>LET(
    lien,'Loan Tape (S&amp;P)'!Q6620,
    IF(lien="First",1.00,
        IF(lien="Second",1.50,
            1.70)))</f>
        <v/>
      </c>
      <c r="K6620">
        <f>LET(
    purpose,'Loan Tape (S&amp;P)'!R6620,
    IF(purpose="Purchase",1.00,
        IF(purpose="Remortgage",1.00,
            1.20)))</f>
        <v/>
      </c>
      <c r="L6620">
        <f>LET(
    arrears_months,'Loan Tape (S&amp;P)'!AN6620,
    IF(arrears_months=0,1.00,
    IF(arrears_months=1,3.00,
    IF(arrears_months=2,5.00,
    IF(arrears_months=3,8.00,
    IF(arrears_months=4,10.00,
    IF(arrears_months=5,12.00,15.00)))))))</f>
        <v/>
      </c>
      <c r="M6620">
        <f>LET(
    seasoning_years,DATEDIF('Loan Tape (S&amp;P)'!K6620,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20">
        <f>IF(AND('Loan Tape (S&amp;P)'!U6620="Yes",
        'Loan Tape (S&amp;P)'!T6620&lt;&gt;"Yes",
        DATEDIF('Loan Tape (S&amp;P)'!K6620, TODAY(), "M")&lt;18),
    1.10,
    1.00)</f>
        <v/>
      </c>
      <c r="O6620">
        <f>IF('Loan Tape (S&amp;P)'!T6620="Yes",
    1.35,
    1.00)</f>
        <v/>
      </c>
      <c r="P6620">
        <f>IF('Loan Tape (S&amp;P)'!S6620="Yes",
    1.15,
    1.00)</f>
        <v/>
      </c>
      <c r="Q6620">
        <f>IF('Loan Tape (S&amp;P)'!V6620="Yes",
    1.20,
    1.00)</f>
        <v/>
      </c>
      <c r="T6620">
        <f>LET(
    payment_method,'Loan Tape (S&amp;P)'!P6620,
    occupancy,'Loan Tape (S&amp;P)'!N6620,
    maturity_date,'Loan Tape (S&amp;P)'!L6620,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21">
      <c r="J6621">
        <f>LET(
    lien,'Loan Tape (S&amp;P)'!Q6621,
    IF(lien="First",1.00,
        IF(lien="Second",1.50,
            1.70)))</f>
        <v/>
      </c>
      <c r="K6621">
        <f>LET(
    purpose,'Loan Tape (S&amp;P)'!R6621,
    IF(purpose="Purchase",1.00,
        IF(purpose="Remortgage",1.00,
            1.20)))</f>
        <v/>
      </c>
      <c r="L6621">
        <f>LET(
    arrears_months,'Loan Tape (S&amp;P)'!AN6621,
    IF(arrears_months=0,1.00,
    IF(arrears_months=1,3.00,
    IF(arrears_months=2,5.00,
    IF(arrears_months=3,8.00,
    IF(arrears_months=4,10.00,
    IF(arrears_months=5,12.00,15.00)))))))</f>
        <v/>
      </c>
      <c r="M6621">
        <f>LET(
    seasoning_years,DATEDIF('Loan Tape (S&amp;P)'!K6621,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21">
        <f>IF(AND('Loan Tape (S&amp;P)'!U6621="Yes",
        'Loan Tape (S&amp;P)'!T6621&lt;&gt;"Yes",
        DATEDIF('Loan Tape (S&amp;P)'!K6621, TODAY(), "M")&lt;18),
    1.10,
    1.00)</f>
        <v/>
      </c>
      <c r="O6621">
        <f>IF('Loan Tape (S&amp;P)'!T6621="Yes",
    1.35,
    1.00)</f>
        <v/>
      </c>
      <c r="P6621">
        <f>IF('Loan Tape (S&amp;P)'!S6621="Yes",
    1.15,
    1.00)</f>
        <v/>
      </c>
      <c r="Q6621">
        <f>IF('Loan Tape (S&amp;P)'!V6621="Yes",
    1.20,
    1.00)</f>
        <v/>
      </c>
      <c r="T6621">
        <f>LET(
    payment_method,'Loan Tape (S&amp;P)'!P6621,
    occupancy,'Loan Tape (S&amp;P)'!N6621,
    maturity_date,'Loan Tape (S&amp;P)'!L6621,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22">
      <c r="J6622">
        <f>LET(
    lien,'Loan Tape (S&amp;P)'!Q6622,
    IF(lien="First",1.00,
        IF(lien="Second",1.50,
            1.70)))</f>
        <v/>
      </c>
      <c r="K6622">
        <f>LET(
    purpose,'Loan Tape (S&amp;P)'!R6622,
    IF(purpose="Purchase",1.00,
        IF(purpose="Remortgage",1.00,
            1.20)))</f>
        <v/>
      </c>
      <c r="L6622">
        <f>LET(
    arrears_months,'Loan Tape (S&amp;P)'!AN6622,
    IF(arrears_months=0,1.00,
    IF(arrears_months=1,3.00,
    IF(arrears_months=2,5.00,
    IF(arrears_months=3,8.00,
    IF(arrears_months=4,10.00,
    IF(arrears_months=5,12.00,15.00)))))))</f>
        <v/>
      </c>
      <c r="M6622">
        <f>LET(
    seasoning_years,DATEDIF('Loan Tape (S&amp;P)'!K6622,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22">
        <f>IF(AND('Loan Tape (S&amp;P)'!U6622="Yes",
        'Loan Tape (S&amp;P)'!T6622&lt;&gt;"Yes",
        DATEDIF('Loan Tape (S&amp;P)'!K6622, TODAY(), "M")&lt;18),
    1.10,
    1.00)</f>
        <v/>
      </c>
      <c r="O6622">
        <f>IF('Loan Tape (S&amp;P)'!T6622="Yes",
    1.35,
    1.00)</f>
        <v/>
      </c>
      <c r="P6622">
        <f>IF('Loan Tape (S&amp;P)'!S6622="Yes",
    1.15,
    1.00)</f>
        <v/>
      </c>
      <c r="Q6622">
        <f>IF('Loan Tape (S&amp;P)'!V6622="Yes",
    1.20,
    1.00)</f>
        <v/>
      </c>
      <c r="T6622">
        <f>LET(
    payment_method,'Loan Tape (S&amp;P)'!P6622,
    occupancy,'Loan Tape (S&amp;P)'!N6622,
    maturity_date,'Loan Tape (S&amp;P)'!L6622,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23">
      <c r="J6623">
        <f>LET(
    lien,'Loan Tape (S&amp;P)'!Q6623,
    IF(lien="First",1.00,
        IF(lien="Second",1.50,
            1.70)))</f>
        <v/>
      </c>
      <c r="K6623">
        <f>LET(
    purpose,'Loan Tape (S&amp;P)'!R6623,
    IF(purpose="Purchase",1.00,
        IF(purpose="Remortgage",1.00,
            1.20)))</f>
        <v/>
      </c>
      <c r="L6623">
        <f>LET(
    arrears_months,'Loan Tape (S&amp;P)'!AN6623,
    IF(arrears_months=0,1.00,
    IF(arrears_months=1,3.00,
    IF(arrears_months=2,5.00,
    IF(arrears_months=3,8.00,
    IF(arrears_months=4,10.00,
    IF(arrears_months=5,12.00,15.00)))))))</f>
        <v/>
      </c>
      <c r="M6623">
        <f>LET(
    seasoning_years,DATEDIF('Loan Tape (S&amp;P)'!K6623,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23">
        <f>IF(AND('Loan Tape (S&amp;P)'!U6623="Yes",
        'Loan Tape (S&amp;P)'!T6623&lt;&gt;"Yes",
        DATEDIF('Loan Tape (S&amp;P)'!K6623, TODAY(), "M")&lt;18),
    1.10,
    1.00)</f>
        <v/>
      </c>
      <c r="O6623">
        <f>IF('Loan Tape (S&amp;P)'!T6623="Yes",
    1.35,
    1.00)</f>
        <v/>
      </c>
      <c r="P6623">
        <f>IF('Loan Tape (S&amp;P)'!S6623="Yes",
    1.15,
    1.00)</f>
        <v/>
      </c>
      <c r="Q6623">
        <f>IF('Loan Tape (S&amp;P)'!V6623="Yes",
    1.20,
    1.00)</f>
        <v/>
      </c>
      <c r="T6623">
        <f>LET(
    payment_method,'Loan Tape (S&amp;P)'!P6623,
    occupancy,'Loan Tape (S&amp;P)'!N6623,
    maturity_date,'Loan Tape (S&amp;P)'!L6623,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24">
      <c r="J6624">
        <f>LET(
    lien,'Loan Tape (S&amp;P)'!Q6624,
    IF(lien="First",1.00,
        IF(lien="Second",1.50,
            1.70)))</f>
        <v/>
      </c>
      <c r="K6624">
        <f>LET(
    purpose,'Loan Tape (S&amp;P)'!R6624,
    IF(purpose="Purchase",1.00,
        IF(purpose="Remortgage",1.00,
            1.20)))</f>
        <v/>
      </c>
      <c r="L6624">
        <f>LET(
    arrears_months,'Loan Tape (S&amp;P)'!AN6624,
    IF(arrears_months=0,1.00,
    IF(arrears_months=1,3.00,
    IF(arrears_months=2,5.00,
    IF(arrears_months=3,8.00,
    IF(arrears_months=4,10.00,
    IF(arrears_months=5,12.00,15.00)))))))</f>
        <v/>
      </c>
      <c r="M6624">
        <f>LET(
    seasoning_years,DATEDIF('Loan Tape (S&amp;P)'!K6624,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24">
        <f>IF(AND('Loan Tape (S&amp;P)'!U6624="Yes",
        'Loan Tape (S&amp;P)'!T6624&lt;&gt;"Yes",
        DATEDIF('Loan Tape (S&amp;P)'!K6624, TODAY(), "M")&lt;18),
    1.10,
    1.00)</f>
        <v/>
      </c>
      <c r="O6624">
        <f>IF('Loan Tape (S&amp;P)'!T6624="Yes",
    1.35,
    1.00)</f>
        <v/>
      </c>
      <c r="P6624">
        <f>IF('Loan Tape (S&amp;P)'!S6624="Yes",
    1.15,
    1.00)</f>
        <v/>
      </c>
      <c r="Q6624">
        <f>IF('Loan Tape (S&amp;P)'!V6624="Yes",
    1.20,
    1.00)</f>
        <v/>
      </c>
      <c r="T6624">
        <f>LET(
    payment_method,'Loan Tape (S&amp;P)'!P6624,
    occupancy,'Loan Tape (S&amp;P)'!N6624,
    maturity_date,'Loan Tape (S&amp;P)'!L6624,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25">
      <c r="J6625">
        <f>LET(
    lien,'Loan Tape (S&amp;P)'!Q6625,
    IF(lien="First",1.00,
        IF(lien="Second",1.50,
            1.70)))</f>
        <v/>
      </c>
      <c r="K6625">
        <f>LET(
    purpose,'Loan Tape (S&amp;P)'!R6625,
    IF(purpose="Purchase",1.00,
        IF(purpose="Remortgage",1.00,
            1.20)))</f>
        <v/>
      </c>
      <c r="L6625">
        <f>LET(
    arrears_months,'Loan Tape (S&amp;P)'!AN6625,
    IF(arrears_months=0,1.00,
    IF(arrears_months=1,3.00,
    IF(arrears_months=2,5.00,
    IF(arrears_months=3,8.00,
    IF(arrears_months=4,10.00,
    IF(arrears_months=5,12.00,15.00)))))))</f>
        <v/>
      </c>
      <c r="M6625">
        <f>LET(
    seasoning_years,DATEDIF('Loan Tape (S&amp;P)'!K6625,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25">
        <f>IF(AND('Loan Tape (S&amp;P)'!U6625="Yes",
        'Loan Tape (S&amp;P)'!T6625&lt;&gt;"Yes",
        DATEDIF('Loan Tape (S&amp;P)'!K6625, TODAY(), "M")&lt;18),
    1.10,
    1.00)</f>
        <v/>
      </c>
      <c r="O6625">
        <f>IF('Loan Tape (S&amp;P)'!T6625="Yes",
    1.35,
    1.00)</f>
        <v/>
      </c>
      <c r="P6625">
        <f>IF('Loan Tape (S&amp;P)'!S6625="Yes",
    1.15,
    1.00)</f>
        <v/>
      </c>
      <c r="Q6625">
        <f>IF('Loan Tape (S&amp;P)'!V6625="Yes",
    1.20,
    1.00)</f>
        <v/>
      </c>
      <c r="T6625">
        <f>LET(
    payment_method,'Loan Tape (S&amp;P)'!P6625,
    occupancy,'Loan Tape (S&amp;P)'!N6625,
    maturity_date,'Loan Tape (S&amp;P)'!L6625,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26">
      <c r="J6626">
        <f>LET(
    lien,'Loan Tape (S&amp;P)'!Q6626,
    IF(lien="First",1.00,
        IF(lien="Second",1.50,
            1.70)))</f>
        <v/>
      </c>
      <c r="K6626">
        <f>LET(
    purpose,'Loan Tape (S&amp;P)'!R6626,
    IF(purpose="Purchase",1.00,
        IF(purpose="Remortgage",1.00,
            1.20)))</f>
        <v/>
      </c>
      <c r="L6626">
        <f>LET(
    arrears_months,'Loan Tape (S&amp;P)'!AN6626,
    IF(arrears_months=0,1.00,
    IF(arrears_months=1,3.00,
    IF(arrears_months=2,5.00,
    IF(arrears_months=3,8.00,
    IF(arrears_months=4,10.00,
    IF(arrears_months=5,12.00,15.00)))))))</f>
        <v/>
      </c>
      <c r="M6626">
        <f>LET(
    seasoning_years,DATEDIF('Loan Tape (S&amp;P)'!K6626,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26">
        <f>IF(AND('Loan Tape (S&amp;P)'!U6626="Yes",
        'Loan Tape (S&amp;P)'!T6626&lt;&gt;"Yes",
        DATEDIF('Loan Tape (S&amp;P)'!K6626, TODAY(), "M")&lt;18),
    1.10,
    1.00)</f>
        <v/>
      </c>
      <c r="O6626">
        <f>IF('Loan Tape (S&amp;P)'!T6626="Yes",
    1.35,
    1.00)</f>
        <v/>
      </c>
      <c r="P6626">
        <f>IF('Loan Tape (S&amp;P)'!S6626="Yes",
    1.15,
    1.00)</f>
        <v/>
      </c>
      <c r="Q6626">
        <f>IF('Loan Tape (S&amp;P)'!V6626="Yes",
    1.20,
    1.00)</f>
        <v/>
      </c>
      <c r="T6626">
        <f>LET(
    payment_method,'Loan Tape (S&amp;P)'!P6626,
    occupancy,'Loan Tape (S&amp;P)'!N6626,
    maturity_date,'Loan Tape (S&amp;P)'!L6626,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27">
      <c r="J6627">
        <f>LET(
    lien,'Loan Tape (S&amp;P)'!Q6627,
    IF(lien="First",1.00,
        IF(lien="Second",1.50,
            1.70)))</f>
        <v/>
      </c>
      <c r="K6627">
        <f>LET(
    purpose,'Loan Tape (S&amp;P)'!R6627,
    IF(purpose="Purchase",1.00,
        IF(purpose="Remortgage",1.00,
            1.20)))</f>
        <v/>
      </c>
      <c r="L6627">
        <f>LET(
    arrears_months,'Loan Tape (S&amp;P)'!AN6627,
    IF(arrears_months=0,1.00,
    IF(arrears_months=1,3.00,
    IF(arrears_months=2,5.00,
    IF(arrears_months=3,8.00,
    IF(arrears_months=4,10.00,
    IF(arrears_months=5,12.00,15.00)))))))</f>
        <v/>
      </c>
      <c r="M6627">
        <f>LET(
    seasoning_years,DATEDIF('Loan Tape (S&amp;P)'!K6627,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27">
        <f>IF(AND('Loan Tape (S&amp;P)'!U6627="Yes",
        'Loan Tape (S&amp;P)'!T6627&lt;&gt;"Yes",
        DATEDIF('Loan Tape (S&amp;P)'!K6627, TODAY(), "M")&lt;18),
    1.10,
    1.00)</f>
        <v/>
      </c>
      <c r="O6627">
        <f>IF('Loan Tape (S&amp;P)'!T6627="Yes",
    1.35,
    1.00)</f>
        <v/>
      </c>
      <c r="P6627">
        <f>IF('Loan Tape (S&amp;P)'!S6627="Yes",
    1.15,
    1.00)</f>
        <v/>
      </c>
      <c r="Q6627">
        <f>IF('Loan Tape (S&amp;P)'!V6627="Yes",
    1.20,
    1.00)</f>
        <v/>
      </c>
      <c r="T6627">
        <f>LET(
    payment_method,'Loan Tape (S&amp;P)'!P6627,
    occupancy,'Loan Tape (S&amp;P)'!N6627,
    maturity_date,'Loan Tape (S&amp;P)'!L6627,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28">
      <c r="J6628">
        <f>LET(
    lien,'Loan Tape (S&amp;P)'!Q6628,
    IF(lien="First",1.00,
        IF(lien="Second",1.50,
            1.70)))</f>
        <v/>
      </c>
      <c r="K6628">
        <f>LET(
    purpose,'Loan Tape (S&amp;P)'!R6628,
    IF(purpose="Purchase",1.00,
        IF(purpose="Remortgage",1.00,
            1.20)))</f>
        <v/>
      </c>
      <c r="L6628">
        <f>LET(
    arrears_months,'Loan Tape (S&amp;P)'!AN6628,
    IF(arrears_months=0,1.00,
    IF(arrears_months=1,3.00,
    IF(arrears_months=2,5.00,
    IF(arrears_months=3,8.00,
    IF(arrears_months=4,10.00,
    IF(arrears_months=5,12.00,15.00)))))))</f>
        <v/>
      </c>
      <c r="M6628">
        <f>LET(
    seasoning_years,DATEDIF('Loan Tape (S&amp;P)'!K6628,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28">
        <f>IF(AND('Loan Tape (S&amp;P)'!U6628="Yes",
        'Loan Tape (S&amp;P)'!T6628&lt;&gt;"Yes",
        DATEDIF('Loan Tape (S&amp;P)'!K6628, TODAY(), "M")&lt;18),
    1.10,
    1.00)</f>
        <v/>
      </c>
      <c r="O6628">
        <f>IF('Loan Tape (S&amp;P)'!T6628="Yes",
    1.35,
    1.00)</f>
        <v/>
      </c>
      <c r="P6628">
        <f>IF('Loan Tape (S&amp;P)'!S6628="Yes",
    1.15,
    1.00)</f>
        <v/>
      </c>
      <c r="Q6628">
        <f>IF('Loan Tape (S&amp;P)'!V6628="Yes",
    1.20,
    1.00)</f>
        <v/>
      </c>
      <c r="T6628">
        <f>LET(
    payment_method,'Loan Tape (S&amp;P)'!P6628,
    occupancy,'Loan Tape (S&amp;P)'!N6628,
    maturity_date,'Loan Tape (S&amp;P)'!L6628,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29">
      <c r="J6629">
        <f>LET(
    lien,'Loan Tape (S&amp;P)'!Q6629,
    IF(lien="First",1.00,
        IF(lien="Second",1.50,
            1.70)))</f>
        <v/>
      </c>
      <c r="K6629">
        <f>LET(
    purpose,'Loan Tape (S&amp;P)'!R6629,
    IF(purpose="Purchase",1.00,
        IF(purpose="Remortgage",1.00,
            1.20)))</f>
        <v/>
      </c>
      <c r="L6629">
        <f>LET(
    arrears_months,'Loan Tape (S&amp;P)'!AN6629,
    IF(arrears_months=0,1.00,
    IF(arrears_months=1,3.00,
    IF(arrears_months=2,5.00,
    IF(arrears_months=3,8.00,
    IF(arrears_months=4,10.00,
    IF(arrears_months=5,12.00,15.00)))))))</f>
        <v/>
      </c>
      <c r="M6629">
        <f>LET(
    seasoning_years,DATEDIF('Loan Tape (S&amp;P)'!K6629,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29">
        <f>IF(AND('Loan Tape (S&amp;P)'!U6629="Yes",
        'Loan Tape (S&amp;P)'!T6629&lt;&gt;"Yes",
        DATEDIF('Loan Tape (S&amp;P)'!K6629, TODAY(), "M")&lt;18),
    1.10,
    1.00)</f>
        <v/>
      </c>
      <c r="O6629">
        <f>IF('Loan Tape (S&amp;P)'!T6629="Yes",
    1.35,
    1.00)</f>
        <v/>
      </c>
      <c r="P6629">
        <f>IF('Loan Tape (S&amp;P)'!S6629="Yes",
    1.15,
    1.00)</f>
        <v/>
      </c>
      <c r="Q6629">
        <f>IF('Loan Tape (S&amp;P)'!V6629="Yes",
    1.20,
    1.00)</f>
        <v/>
      </c>
      <c r="T6629">
        <f>LET(
    payment_method,'Loan Tape (S&amp;P)'!P6629,
    occupancy,'Loan Tape (S&amp;P)'!N6629,
    maturity_date,'Loan Tape (S&amp;P)'!L6629,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30">
      <c r="J6630">
        <f>LET(
    lien,'Loan Tape (S&amp;P)'!Q6630,
    IF(lien="First",1.00,
        IF(lien="Second",1.50,
            1.70)))</f>
        <v/>
      </c>
      <c r="K6630">
        <f>LET(
    purpose,'Loan Tape (S&amp;P)'!R6630,
    IF(purpose="Purchase",1.00,
        IF(purpose="Remortgage",1.00,
            1.20)))</f>
        <v/>
      </c>
      <c r="L6630">
        <f>LET(
    arrears_months,'Loan Tape (S&amp;P)'!AN6630,
    IF(arrears_months=0,1.00,
    IF(arrears_months=1,3.00,
    IF(arrears_months=2,5.00,
    IF(arrears_months=3,8.00,
    IF(arrears_months=4,10.00,
    IF(arrears_months=5,12.00,15.00)))))))</f>
        <v/>
      </c>
      <c r="M6630">
        <f>LET(
    seasoning_years,DATEDIF('Loan Tape (S&amp;P)'!K6630,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30">
        <f>IF(AND('Loan Tape (S&amp;P)'!U6630="Yes",
        'Loan Tape (S&amp;P)'!T6630&lt;&gt;"Yes",
        DATEDIF('Loan Tape (S&amp;P)'!K6630, TODAY(), "M")&lt;18),
    1.10,
    1.00)</f>
        <v/>
      </c>
      <c r="O6630">
        <f>IF('Loan Tape (S&amp;P)'!T6630="Yes",
    1.35,
    1.00)</f>
        <v/>
      </c>
      <c r="P6630">
        <f>IF('Loan Tape (S&amp;P)'!S6630="Yes",
    1.15,
    1.00)</f>
        <v/>
      </c>
      <c r="Q6630">
        <f>IF('Loan Tape (S&amp;P)'!V6630="Yes",
    1.20,
    1.00)</f>
        <v/>
      </c>
      <c r="T6630">
        <f>LET(
    payment_method,'Loan Tape (S&amp;P)'!P6630,
    occupancy,'Loan Tape (S&amp;P)'!N6630,
    maturity_date,'Loan Tape (S&amp;P)'!L6630,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31">
      <c r="J6631">
        <f>LET(
    lien,'Loan Tape (S&amp;P)'!Q6631,
    IF(lien="First",1.00,
        IF(lien="Second",1.50,
            1.70)))</f>
        <v/>
      </c>
      <c r="K6631">
        <f>LET(
    purpose,'Loan Tape (S&amp;P)'!R6631,
    IF(purpose="Purchase",1.00,
        IF(purpose="Remortgage",1.00,
            1.20)))</f>
        <v/>
      </c>
      <c r="L6631">
        <f>LET(
    arrears_months,'Loan Tape (S&amp;P)'!AN6631,
    IF(arrears_months=0,1.00,
    IF(arrears_months=1,3.00,
    IF(arrears_months=2,5.00,
    IF(arrears_months=3,8.00,
    IF(arrears_months=4,10.00,
    IF(arrears_months=5,12.00,15.00)))))))</f>
        <v/>
      </c>
      <c r="M6631">
        <f>LET(
    seasoning_years,DATEDIF('Loan Tape (S&amp;P)'!K6631,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31">
        <f>IF(AND('Loan Tape (S&amp;P)'!U6631="Yes",
        'Loan Tape (S&amp;P)'!T6631&lt;&gt;"Yes",
        DATEDIF('Loan Tape (S&amp;P)'!K6631, TODAY(), "M")&lt;18),
    1.10,
    1.00)</f>
        <v/>
      </c>
      <c r="O6631">
        <f>IF('Loan Tape (S&amp;P)'!T6631="Yes",
    1.35,
    1.00)</f>
        <v/>
      </c>
      <c r="P6631">
        <f>IF('Loan Tape (S&amp;P)'!S6631="Yes",
    1.15,
    1.00)</f>
        <v/>
      </c>
      <c r="Q6631">
        <f>IF('Loan Tape (S&amp;P)'!V6631="Yes",
    1.20,
    1.00)</f>
        <v/>
      </c>
      <c r="T6631">
        <f>LET(
    payment_method,'Loan Tape (S&amp;P)'!P6631,
    occupancy,'Loan Tape (S&amp;P)'!N6631,
    maturity_date,'Loan Tape (S&amp;P)'!L6631,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32">
      <c r="J6632">
        <f>LET(
    lien,'Loan Tape (S&amp;P)'!Q6632,
    IF(lien="First",1.00,
        IF(lien="Second",1.50,
            1.70)))</f>
        <v/>
      </c>
      <c r="K6632">
        <f>LET(
    purpose,'Loan Tape (S&amp;P)'!R6632,
    IF(purpose="Purchase",1.00,
        IF(purpose="Remortgage",1.00,
            1.20)))</f>
        <v/>
      </c>
      <c r="L6632">
        <f>LET(
    arrears_months,'Loan Tape (S&amp;P)'!AN6632,
    IF(arrears_months=0,1.00,
    IF(arrears_months=1,3.00,
    IF(arrears_months=2,5.00,
    IF(arrears_months=3,8.00,
    IF(arrears_months=4,10.00,
    IF(arrears_months=5,12.00,15.00)))))))</f>
        <v/>
      </c>
      <c r="M6632">
        <f>LET(
    seasoning_years,DATEDIF('Loan Tape (S&amp;P)'!K6632,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32">
        <f>IF(AND('Loan Tape (S&amp;P)'!U6632="Yes",
        'Loan Tape (S&amp;P)'!T6632&lt;&gt;"Yes",
        DATEDIF('Loan Tape (S&amp;P)'!K6632, TODAY(), "M")&lt;18),
    1.10,
    1.00)</f>
        <v/>
      </c>
      <c r="O6632">
        <f>IF('Loan Tape (S&amp;P)'!T6632="Yes",
    1.35,
    1.00)</f>
        <v/>
      </c>
      <c r="P6632">
        <f>IF('Loan Tape (S&amp;P)'!S6632="Yes",
    1.15,
    1.00)</f>
        <v/>
      </c>
      <c r="Q6632">
        <f>IF('Loan Tape (S&amp;P)'!V6632="Yes",
    1.20,
    1.00)</f>
        <v/>
      </c>
      <c r="T6632">
        <f>LET(
    payment_method,'Loan Tape (S&amp;P)'!P6632,
    occupancy,'Loan Tape (S&amp;P)'!N6632,
    maturity_date,'Loan Tape (S&amp;P)'!L6632,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33">
      <c r="J6633">
        <f>LET(
    lien,'Loan Tape (S&amp;P)'!Q6633,
    IF(lien="First",1.00,
        IF(lien="Second",1.50,
            1.70)))</f>
        <v/>
      </c>
      <c r="K6633">
        <f>LET(
    purpose,'Loan Tape (S&amp;P)'!R6633,
    IF(purpose="Purchase",1.00,
        IF(purpose="Remortgage",1.00,
            1.20)))</f>
        <v/>
      </c>
      <c r="L6633">
        <f>LET(
    arrears_months,'Loan Tape (S&amp;P)'!AN6633,
    IF(arrears_months=0,1.00,
    IF(arrears_months=1,3.00,
    IF(arrears_months=2,5.00,
    IF(arrears_months=3,8.00,
    IF(arrears_months=4,10.00,
    IF(arrears_months=5,12.00,15.00)))))))</f>
        <v/>
      </c>
      <c r="M6633">
        <f>LET(
    seasoning_years,DATEDIF('Loan Tape (S&amp;P)'!K6633,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33">
        <f>IF(AND('Loan Tape (S&amp;P)'!U6633="Yes",
        'Loan Tape (S&amp;P)'!T6633&lt;&gt;"Yes",
        DATEDIF('Loan Tape (S&amp;P)'!K6633, TODAY(), "M")&lt;18),
    1.10,
    1.00)</f>
        <v/>
      </c>
      <c r="O6633">
        <f>IF('Loan Tape (S&amp;P)'!T6633="Yes",
    1.35,
    1.00)</f>
        <v/>
      </c>
      <c r="P6633">
        <f>IF('Loan Tape (S&amp;P)'!S6633="Yes",
    1.15,
    1.00)</f>
        <v/>
      </c>
      <c r="Q6633">
        <f>IF('Loan Tape (S&amp;P)'!V6633="Yes",
    1.20,
    1.00)</f>
        <v/>
      </c>
      <c r="T6633">
        <f>LET(
    payment_method,'Loan Tape (S&amp;P)'!P6633,
    occupancy,'Loan Tape (S&amp;P)'!N6633,
    maturity_date,'Loan Tape (S&amp;P)'!L6633,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34">
      <c r="J6634">
        <f>LET(
    lien,'Loan Tape (S&amp;P)'!Q6634,
    IF(lien="First",1.00,
        IF(lien="Second",1.50,
            1.70)))</f>
        <v/>
      </c>
      <c r="K6634">
        <f>LET(
    purpose,'Loan Tape (S&amp;P)'!R6634,
    IF(purpose="Purchase",1.00,
        IF(purpose="Remortgage",1.00,
            1.20)))</f>
        <v/>
      </c>
      <c r="L6634">
        <f>LET(
    arrears_months,'Loan Tape (S&amp;P)'!AN6634,
    IF(arrears_months=0,1.00,
    IF(arrears_months=1,3.00,
    IF(arrears_months=2,5.00,
    IF(arrears_months=3,8.00,
    IF(arrears_months=4,10.00,
    IF(arrears_months=5,12.00,15.00)))))))</f>
        <v/>
      </c>
      <c r="M6634">
        <f>LET(
    seasoning_years,DATEDIF('Loan Tape (S&amp;P)'!K6634,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34">
        <f>IF(AND('Loan Tape (S&amp;P)'!U6634="Yes",
        'Loan Tape (S&amp;P)'!T6634&lt;&gt;"Yes",
        DATEDIF('Loan Tape (S&amp;P)'!K6634, TODAY(), "M")&lt;18),
    1.10,
    1.00)</f>
        <v/>
      </c>
      <c r="O6634">
        <f>IF('Loan Tape (S&amp;P)'!T6634="Yes",
    1.35,
    1.00)</f>
        <v/>
      </c>
      <c r="P6634">
        <f>IF('Loan Tape (S&amp;P)'!S6634="Yes",
    1.15,
    1.00)</f>
        <v/>
      </c>
      <c r="Q6634">
        <f>IF('Loan Tape (S&amp;P)'!V6634="Yes",
    1.20,
    1.00)</f>
        <v/>
      </c>
      <c r="T6634">
        <f>LET(
    payment_method,'Loan Tape (S&amp;P)'!P6634,
    occupancy,'Loan Tape (S&amp;P)'!N6634,
    maturity_date,'Loan Tape (S&amp;P)'!L6634,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35">
      <c r="J6635">
        <f>LET(
    lien,'Loan Tape (S&amp;P)'!Q6635,
    IF(lien="First",1.00,
        IF(lien="Second",1.50,
            1.70)))</f>
        <v/>
      </c>
      <c r="K6635">
        <f>LET(
    purpose,'Loan Tape (S&amp;P)'!R6635,
    IF(purpose="Purchase",1.00,
        IF(purpose="Remortgage",1.00,
            1.20)))</f>
        <v/>
      </c>
      <c r="L6635">
        <f>LET(
    arrears_months,'Loan Tape (S&amp;P)'!AN6635,
    IF(arrears_months=0,1.00,
    IF(arrears_months=1,3.00,
    IF(arrears_months=2,5.00,
    IF(arrears_months=3,8.00,
    IF(arrears_months=4,10.00,
    IF(arrears_months=5,12.00,15.00)))))))</f>
        <v/>
      </c>
      <c r="M6635">
        <f>LET(
    seasoning_years,DATEDIF('Loan Tape (S&amp;P)'!K6635,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35">
        <f>IF(AND('Loan Tape (S&amp;P)'!U6635="Yes",
        'Loan Tape (S&amp;P)'!T6635&lt;&gt;"Yes",
        DATEDIF('Loan Tape (S&amp;P)'!K6635, TODAY(), "M")&lt;18),
    1.10,
    1.00)</f>
        <v/>
      </c>
      <c r="O6635">
        <f>IF('Loan Tape (S&amp;P)'!T6635="Yes",
    1.35,
    1.00)</f>
        <v/>
      </c>
      <c r="P6635">
        <f>IF('Loan Tape (S&amp;P)'!S6635="Yes",
    1.15,
    1.00)</f>
        <v/>
      </c>
      <c r="Q6635">
        <f>IF('Loan Tape (S&amp;P)'!V6635="Yes",
    1.20,
    1.00)</f>
        <v/>
      </c>
      <c r="T6635">
        <f>LET(
    payment_method,'Loan Tape (S&amp;P)'!P6635,
    occupancy,'Loan Tape (S&amp;P)'!N6635,
    maturity_date,'Loan Tape (S&amp;P)'!L6635,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36">
      <c r="J6636">
        <f>LET(
    lien,'Loan Tape (S&amp;P)'!Q6636,
    IF(lien="First",1.00,
        IF(lien="Second",1.50,
            1.70)))</f>
        <v/>
      </c>
      <c r="K6636">
        <f>LET(
    purpose,'Loan Tape (S&amp;P)'!R6636,
    IF(purpose="Purchase",1.00,
        IF(purpose="Remortgage",1.00,
            1.20)))</f>
        <v/>
      </c>
      <c r="L6636">
        <f>LET(
    arrears_months,'Loan Tape (S&amp;P)'!AN6636,
    IF(arrears_months=0,1.00,
    IF(arrears_months=1,3.00,
    IF(arrears_months=2,5.00,
    IF(arrears_months=3,8.00,
    IF(arrears_months=4,10.00,
    IF(arrears_months=5,12.00,15.00)))))))</f>
        <v/>
      </c>
      <c r="M6636">
        <f>LET(
    seasoning_years,DATEDIF('Loan Tape (S&amp;P)'!K6636,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36">
        <f>IF(AND('Loan Tape (S&amp;P)'!U6636="Yes",
        'Loan Tape (S&amp;P)'!T6636&lt;&gt;"Yes",
        DATEDIF('Loan Tape (S&amp;P)'!K6636, TODAY(), "M")&lt;18),
    1.10,
    1.00)</f>
        <v/>
      </c>
      <c r="O6636">
        <f>IF('Loan Tape (S&amp;P)'!T6636="Yes",
    1.35,
    1.00)</f>
        <v/>
      </c>
      <c r="P6636">
        <f>IF('Loan Tape (S&amp;P)'!S6636="Yes",
    1.15,
    1.00)</f>
        <v/>
      </c>
      <c r="Q6636">
        <f>IF('Loan Tape (S&amp;P)'!V6636="Yes",
    1.20,
    1.00)</f>
        <v/>
      </c>
      <c r="T6636">
        <f>LET(
    payment_method,'Loan Tape (S&amp;P)'!P6636,
    occupancy,'Loan Tape (S&amp;P)'!N6636,
    maturity_date,'Loan Tape (S&amp;P)'!L6636,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37">
      <c r="J6637">
        <f>LET(
    lien,'Loan Tape (S&amp;P)'!Q6637,
    IF(lien="First",1.00,
        IF(lien="Second",1.50,
            1.70)))</f>
        <v/>
      </c>
      <c r="K6637">
        <f>LET(
    purpose,'Loan Tape (S&amp;P)'!R6637,
    IF(purpose="Purchase",1.00,
        IF(purpose="Remortgage",1.00,
            1.20)))</f>
        <v/>
      </c>
      <c r="L6637">
        <f>LET(
    arrears_months,'Loan Tape (S&amp;P)'!AN6637,
    IF(arrears_months=0,1.00,
    IF(arrears_months=1,3.00,
    IF(arrears_months=2,5.00,
    IF(arrears_months=3,8.00,
    IF(arrears_months=4,10.00,
    IF(arrears_months=5,12.00,15.00)))))))</f>
        <v/>
      </c>
      <c r="M6637">
        <f>LET(
    seasoning_years,DATEDIF('Loan Tape (S&amp;P)'!K6637,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37">
        <f>IF(AND('Loan Tape (S&amp;P)'!U6637="Yes",
        'Loan Tape (S&amp;P)'!T6637&lt;&gt;"Yes",
        DATEDIF('Loan Tape (S&amp;P)'!K6637, TODAY(), "M")&lt;18),
    1.10,
    1.00)</f>
        <v/>
      </c>
      <c r="O6637">
        <f>IF('Loan Tape (S&amp;P)'!T6637="Yes",
    1.35,
    1.00)</f>
        <v/>
      </c>
      <c r="P6637">
        <f>IF('Loan Tape (S&amp;P)'!S6637="Yes",
    1.15,
    1.00)</f>
        <v/>
      </c>
      <c r="Q6637">
        <f>IF('Loan Tape (S&amp;P)'!V6637="Yes",
    1.20,
    1.00)</f>
        <v/>
      </c>
      <c r="T6637">
        <f>LET(
    payment_method,'Loan Tape (S&amp;P)'!P6637,
    occupancy,'Loan Tape (S&amp;P)'!N6637,
    maturity_date,'Loan Tape (S&amp;P)'!L6637,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38">
      <c r="J6638">
        <f>LET(
    lien,'Loan Tape (S&amp;P)'!Q6638,
    IF(lien="First",1.00,
        IF(lien="Second",1.50,
            1.70)))</f>
        <v/>
      </c>
      <c r="K6638">
        <f>LET(
    purpose,'Loan Tape (S&amp;P)'!R6638,
    IF(purpose="Purchase",1.00,
        IF(purpose="Remortgage",1.00,
            1.20)))</f>
        <v/>
      </c>
      <c r="L6638">
        <f>LET(
    arrears_months,'Loan Tape (S&amp;P)'!AN6638,
    IF(arrears_months=0,1.00,
    IF(arrears_months=1,3.00,
    IF(arrears_months=2,5.00,
    IF(arrears_months=3,8.00,
    IF(arrears_months=4,10.00,
    IF(arrears_months=5,12.00,15.00)))))))</f>
        <v/>
      </c>
      <c r="M6638">
        <f>LET(
    seasoning_years,DATEDIF('Loan Tape (S&amp;P)'!K6638,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38">
        <f>IF(AND('Loan Tape (S&amp;P)'!U6638="Yes",
        'Loan Tape (S&amp;P)'!T6638&lt;&gt;"Yes",
        DATEDIF('Loan Tape (S&amp;P)'!K6638, TODAY(), "M")&lt;18),
    1.10,
    1.00)</f>
        <v/>
      </c>
      <c r="O6638">
        <f>IF('Loan Tape (S&amp;P)'!T6638="Yes",
    1.35,
    1.00)</f>
        <v/>
      </c>
      <c r="P6638">
        <f>IF('Loan Tape (S&amp;P)'!S6638="Yes",
    1.15,
    1.00)</f>
        <v/>
      </c>
      <c r="Q6638">
        <f>IF('Loan Tape (S&amp;P)'!V6638="Yes",
    1.20,
    1.00)</f>
        <v/>
      </c>
      <c r="T6638">
        <f>LET(
    payment_method,'Loan Tape (S&amp;P)'!P6638,
    occupancy,'Loan Tape (S&amp;P)'!N6638,
    maturity_date,'Loan Tape (S&amp;P)'!L6638,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39">
      <c r="J6639">
        <f>LET(
    lien,'Loan Tape (S&amp;P)'!Q6639,
    IF(lien="First",1.00,
        IF(lien="Second",1.50,
            1.70)))</f>
        <v/>
      </c>
      <c r="K6639">
        <f>LET(
    purpose,'Loan Tape (S&amp;P)'!R6639,
    IF(purpose="Purchase",1.00,
        IF(purpose="Remortgage",1.00,
            1.20)))</f>
        <v/>
      </c>
      <c r="L6639">
        <f>LET(
    arrears_months,'Loan Tape (S&amp;P)'!AN6639,
    IF(arrears_months=0,1.00,
    IF(arrears_months=1,3.00,
    IF(arrears_months=2,5.00,
    IF(arrears_months=3,8.00,
    IF(arrears_months=4,10.00,
    IF(arrears_months=5,12.00,15.00)))))))</f>
        <v/>
      </c>
      <c r="M6639">
        <f>LET(
    seasoning_years,DATEDIF('Loan Tape (S&amp;P)'!K6639,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39">
        <f>IF(AND('Loan Tape (S&amp;P)'!U6639="Yes",
        'Loan Tape (S&amp;P)'!T6639&lt;&gt;"Yes",
        DATEDIF('Loan Tape (S&amp;P)'!K6639, TODAY(), "M")&lt;18),
    1.10,
    1.00)</f>
        <v/>
      </c>
      <c r="O6639">
        <f>IF('Loan Tape (S&amp;P)'!T6639="Yes",
    1.35,
    1.00)</f>
        <v/>
      </c>
      <c r="P6639">
        <f>IF('Loan Tape (S&amp;P)'!S6639="Yes",
    1.15,
    1.00)</f>
        <v/>
      </c>
      <c r="Q6639">
        <f>IF('Loan Tape (S&amp;P)'!V6639="Yes",
    1.20,
    1.00)</f>
        <v/>
      </c>
      <c r="T6639">
        <f>LET(
    payment_method,'Loan Tape (S&amp;P)'!P6639,
    occupancy,'Loan Tape (S&amp;P)'!N6639,
    maturity_date,'Loan Tape (S&amp;P)'!L6639,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40">
      <c r="J6640">
        <f>LET(
    lien,'Loan Tape (S&amp;P)'!Q6640,
    IF(lien="First",1.00,
        IF(lien="Second",1.50,
            1.70)))</f>
        <v/>
      </c>
      <c r="K6640">
        <f>LET(
    purpose,'Loan Tape (S&amp;P)'!R6640,
    IF(purpose="Purchase",1.00,
        IF(purpose="Remortgage",1.00,
            1.20)))</f>
        <v/>
      </c>
      <c r="L6640">
        <f>LET(
    arrears_months,'Loan Tape (S&amp;P)'!AN6640,
    IF(arrears_months=0,1.00,
    IF(arrears_months=1,3.00,
    IF(arrears_months=2,5.00,
    IF(arrears_months=3,8.00,
    IF(arrears_months=4,10.00,
    IF(arrears_months=5,12.00,15.00)))))))</f>
        <v/>
      </c>
      <c r="M6640">
        <f>LET(
    seasoning_years,DATEDIF('Loan Tape (S&amp;P)'!K6640,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40">
        <f>IF(AND('Loan Tape (S&amp;P)'!U6640="Yes",
        'Loan Tape (S&amp;P)'!T6640&lt;&gt;"Yes",
        DATEDIF('Loan Tape (S&amp;P)'!K6640, TODAY(), "M")&lt;18),
    1.10,
    1.00)</f>
        <v/>
      </c>
      <c r="O6640">
        <f>IF('Loan Tape (S&amp;P)'!T6640="Yes",
    1.35,
    1.00)</f>
        <v/>
      </c>
      <c r="P6640">
        <f>IF('Loan Tape (S&amp;P)'!S6640="Yes",
    1.15,
    1.00)</f>
        <v/>
      </c>
      <c r="Q6640">
        <f>IF('Loan Tape (S&amp;P)'!V6640="Yes",
    1.20,
    1.00)</f>
        <v/>
      </c>
      <c r="T6640">
        <f>LET(
    payment_method,'Loan Tape (S&amp;P)'!P6640,
    occupancy,'Loan Tape (S&amp;P)'!N6640,
    maturity_date,'Loan Tape (S&amp;P)'!L6640,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41">
      <c r="J6641">
        <f>LET(
    lien,'Loan Tape (S&amp;P)'!Q6641,
    IF(lien="First",1.00,
        IF(lien="Second",1.50,
            1.70)))</f>
        <v/>
      </c>
      <c r="K6641">
        <f>LET(
    purpose,'Loan Tape (S&amp;P)'!R6641,
    IF(purpose="Purchase",1.00,
        IF(purpose="Remortgage",1.00,
            1.20)))</f>
        <v/>
      </c>
      <c r="L6641">
        <f>LET(
    arrears_months,'Loan Tape (S&amp;P)'!AN6641,
    IF(arrears_months=0,1.00,
    IF(arrears_months=1,3.00,
    IF(arrears_months=2,5.00,
    IF(arrears_months=3,8.00,
    IF(arrears_months=4,10.00,
    IF(arrears_months=5,12.00,15.00)))))))</f>
        <v/>
      </c>
      <c r="M6641">
        <f>LET(
    seasoning_years,DATEDIF('Loan Tape (S&amp;P)'!K6641,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41">
        <f>IF(AND('Loan Tape (S&amp;P)'!U6641="Yes",
        'Loan Tape (S&amp;P)'!T6641&lt;&gt;"Yes",
        DATEDIF('Loan Tape (S&amp;P)'!K6641, TODAY(), "M")&lt;18),
    1.10,
    1.00)</f>
        <v/>
      </c>
      <c r="O6641">
        <f>IF('Loan Tape (S&amp;P)'!T6641="Yes",
    1.35,
    1.00)</f>
        <v/>
      </c>
      <c r="P6641">
        <f>IF('Loan Tape (S&amp;P)'!S6641="Yes",
    1.15,
    1.00)</f>
        <v/>
      </c>
      <c r="Q6641">
        <f>IF('Loan Tape (S&amp;P)'!V6641="Yes",
    1.20,
    1.00)</f>
        <v/>
      </c>
      <c r="T6641">
        <f>LET(
    payment_method,'Loan Tape (S&amp;P)'!P6641,
    occupancy,'Loan Tape (S&amp;P)'!N6641,
    maturity_date,'Loan Tape (S&amp;P)'!L6641,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42">
      <c r="J6642">
        <f>LET(
    lien,'Loan Tape (S&amp;P)'!Q6642,
    IF(lien="First",1.00,
        IF(lien="Second",1.50,
            1.70)))</f>
        <v/>
      </c>
      <c r="K6642">
        <f>LET(
    purpose,'Loan Tape (S&amp;P)'!R6642,
    IF(purpose="Purchase",1.00,
        IF(purpose="Remortgage",1.00,
            1.20)))</f>
        <v/>
      </c>
      <c r="L6642">
        <f>LET(
    arrears_months,'Loan Tape (S&amp;P)'!AN6642,
    IF(arrears_months=0,1.00,
    IF(arrears_months=1,3.00,
    IF(arrears_months=2,5.00,
    IF(arrears_months=3,8.00,
    IF(arrears_months=4,10.00,
    IF(arrears_months=5,12.00,15.00)))))))</f>
        <v/>
      </c>
      <c r="M6642">
        <f>LET(
    seasoning_years,DATEDIF('Loan Tape (S&amp;P)'!K6642,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42">
        <f>IF(AND('Loan Tape (S&amp;P)'!U6642="Yes",
        'Loan Tape (S&amp;P)'!T6642&lt;&gt;"Yes",
        DATEDIF('Loan Tape (S&amp;P)'!K6642, TODAY(), "M")&lt;18),
    1.10,
    1.00)</f>
        <v/>
      </c>
      <c r="O6642">
        <f>IF('Loan Tape (S&amp;P)'!T6642="Yes",
    1.35,
    1.00)</f>
        <v/>
      </c>
      <c r="P6642">
        <f>IF('Loan Tape (S&amp;P)'!S6642="Yes",
    1.15,
    1.00)</f>
        <v/>
      </c>
      <c r="Q6642">
        <f>IF('Loan Tape (S&amp;P)'!V6642="Yes",
    1.20,
    1.00)</f>
        <v/>
      </c>
      <c r="T6642">
        <f>LET(
    payment_method,'Loan Tape (S&amp;P)'!P6642,
    occupancy,'Loan Tape (S&amp;P)'!N6642,
    maturity_date,'Loan Tape (S&amp;P)'!L6642,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43">
      <c r="J6643">
        <f>LET(
    lien,'Loan Tape (S&amp;P)'!Q6643,
    IF(lien="First",1.00,
        IF(lien="Second",1.50,
            1.70)))</f>
        <v/>
      </c>
      <c r="K6643">
        <f>LET(
    purpose,'Loan Tape (S&amp;P)'!R6643,
    IF(purpose="Purchase",1.00,
        IF(purpose="Remortgage",1.00,
            1.20)))</f>
        <v/>
      </c>
      <c r="L6643">
        <f>LET(
    arrears_months,'Loan Tape (S&amp;P)'!AN6643,
    IF(arrears_months=0,1.00,
    IF(arrears_months=1,3.00,
    IF(arrears_months=2,5.00,
    IF(arrears_months=3,8.00,
    IF(arrears_months=4,10.00,
    IF(arrears_months=5,12.00,15.00)))))))</f>
        <v/>
      </c>
      <c r="M6643">
        <f>LET(
    seasoning_years,DATEDIF('Loan Tape (S&amp;P)'!K6643,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43">
        <f>IF(AND('Loan Tape (S&amp;P)'!U6643="Yes",
        'Loan Tape (S&amp;P)'!T6643&lt;&gt;"Yes",
        DATEDIF('Loan Tape (S&amp;P)'!K6643, TODAY(), "M")&lt;18),
    1.10,
    1.00)</f>
        <v/>
      </c>
      <c r="O6643">
        <f>IF('Loan Tape (S&amp;P)'!T6643="Yes",
    1.35,
    1.00)</f>
        <v/>
      </c>
      <c r="P6643">
        <f>IF('Loan Tape (S&amp;P)'!S6643="Yes",
    1.15,
    1.00)</f>
        <v/>
      </c>
      <c r="Q6643">
        <f>IF('Loan Tape (S&amp;P)'!V6643="Yes",
    1.20,
    1.00)</f>
        <v/>
      </c>
      <c r="T6643">
        <f>LET(
    payment_method,'Loan Tape (S&amp;P)'!P6643,
    occupancy,'Loan Tape (S&amp;P)'!N6643,
    maturity_date,'Loan Tape (S&amp;P)'!L6643,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44">
      <c r="J6644">
        <f>LET(
    lien,'Loan Tape (S&amp;P)'!Q6644,
    IF(lien="First",1.00,
        IF(lien="Second",1.50,
            1.70)))</f>
        <v/>
      </c>
      <c r="K6644">
        <f>LET(
    purpose,'Loan Tape (S&amp;P)'!R6644,
    IF(purpose="Purchase",1.00,
        IF(purpose="Remortgage",1.00,
            1.20)))</f>
        <v/>
      </c>
      <c r="L6644">
        <f>LET(
    arrears_months,'Loan Tape (S&amp;P)'!AN6644,
    IF(arrears_months=0,1.00,
    IF(arrears_months=1,3.00,
    IF(arrears_months=2,5.00,
    IF(arrears_months=3,8.00,
    IF(arrears_months=4,10.00,
    IF(arrears_months=5,12.00,15.00)))))))</f>
        <v/>
      </c>
      <c r="M6644">
        <f>LET(
    seasoning_years,DATEDIF('Loan Tape (S&amp;P)'!K6644,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44">
        <f>IF(AND('Loan Tape (S&amp;P)'!U6644="Yes",
        'Loan Tape (S&amp;P)'!T6644&lt;&gt;"Yes",
        DATEDIF('Loan Tape (S&amp;P)'!K6644, TODAY(), "M")&lt;18),
    1.10,
    1.00)</f>
        <v/>
      </c>
      <c r="O6644">
        <f>IF('Loan Tape (S&amp;P)'!T6644="Yes",
    1.35,
    1.00)</f>
        <v/>
      </c>
      <c r="P6644">
        <f>IF('Loan Tape (S&amp;P)'!S6644="Yes",
    1.15,
    1.00)</f>
        <v/>
      </c>
      <c r="Q6644">
        <f>IF('Loan Tape (S&amp;P)'!V6644="Yes",
    1.20,
    1.00)</f>
        <v/>
      </c>
      <c r="T6644">
        <f>LET(
    payment_method,'Loan Tape (S&amp;P)'!P6644,
    occupancy,'Loan Tape (S&amp;P)'!N6644,
    maturity_date,'Loan Tape (S&amp;P)'!L6644,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45">
      <c r="J6645">
        <f>LET(
    lien,'Loan Tape (S&amp;P)'!Q6645,
    IF(lien="First",1.00,
        IF(lien="Second",1.50,
            1.70)))</f>
        <v/>
      </c>
      <c r="K6645">
        <f>LET(
    purpose,'Loan Tape (S&amp;P)'!R6645,
    IF(purpose="Purchase",1.00,
        IF(purpose="Remortgage",1.00,
            1.20)))</f>
        <v/>
      </c>
      <c r="L6645">
        <f>LET(
    arrears_months,'Loan Tape (S&amp;P)'!AN6645,
    IF(arrears_months=0,1.00,
    IF(arrears_months=1,3.00,
    IF(arrears_months=2,5.00,
    IF(arrears_months=3,8.00,
    IF(arrears_months=4,10.00,
    IF(arrears_months=5,12.00,15.00)))))))</f>
        <v/>
      </c>
      <c r="M6645">
        <f>LET(
    seasoning_years,DATEDIF('Loan Tape (S&amp;P)'!K6645,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45">
        <f>IF(AND('Loan Tape (S&amp;P)'!U6645="Yes",
        'Loan Tape (S&amp;P)'!T6645&lt;&gt;"Yes",
        DATEDIF('Loan Tape (S&amp;P)'!K6645, TODAY(), "M")&lt;18),
    1.10,
    1.00)</f>
        <v/>
      </c>
      <c r="O6645">
        <f>IF('Loan Tape (S&amp;P)'!T6645="Yes",
    1.35,
    1.00)</f>
        <v/>
      </c>
      <c r="P6645">
        <f>IF('Loan Tape (S&amp;P)'!S6645="Yes",
    1.15,
    1.00)</f>
        <v/>
      </c>
      <c r="Q6645">
        <f>IF('Loan Tape (S&amp;P)'!V6645="Yes",
    1.20,
    1.00)</f>
        <v/>
      </c>
      <c r="T6645">
        <f>LET(
    payment_method,'Loan Tape (S&amp;P)'!P6645,
    occupancy,'Loan Tape (S&amp;P)'!N6645,
    maturity_date,'Loan Tape (S&amp;P)'!L6645,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46">
      <c r="J6646">
        <f>LET(
    lien,'Loan Tape (S&amp;P)'!Q6646,
    IF(lien="First",1.00,
        IF(lien="Second",1.50,
            1.70)))</f>
        <v/>
      </c>
      <c r="K6646">
        <f>LET(
    purpose,'Loan Tape (S&amp;P)'!R6646,
    IF(purpose="Purchase",1.00,
        IF(purpose="Remortgage",1.00,
            1.20)))</f>
        <v/>
      </c>
      <c r="L6646">
        <f>LET(
    arrears_months,'Loan Tape (S&amp;P)'!AN6646,
    IF(arrears_months=0,1.00,
    IF(arrears_months=1,3.00,
    IF(arrears_months=2,5.00,
    IF(arrears_months=3,8.00,
    IF(arrears_months=4,10.00,
    IF(arrears_months=5,12.00,15.00)))))))</f>
        <v/>
      </c>
      <c r="M6646">
        <f>LET(
    seasoning_years,DATEDIF('Loan Tape (S&amp;P)'!K6646,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46">
        <f>IF(AND('Loan Tape (S&amp;P)'!U6646="Yes",
        'Loan Tape (S&amp;P)'!T6646&lt;&gt;"Yes",
        DATEDIF('Loan Tape (S&amp;P)'!K6646, TODAY(), "M")&lt;18),
    1.10,
    1.00)</f>
        <v/>
      </c>
      <c r="O6646">
        <f>IF('Loan Tape (S&amp;P)'!T6646="Yes",
    1.35,
    1.00)</f>
        <v/>
      </c>
      <c r="P6646">
        <f>IF('Loan Tape (S&amp;P)'!S6646="Yes",
    1.15,
    1.00)</f>
        <v/>
      </c>
      <c r="Q6646">
        <f>IF('Loan Tape (S&amp;P)'!V6646="Yes",
    1.20,
    1.00)</f>
        <v/>
      </c>
      <c r="T6646">
        <f>LET(
    payment_method,'Loan Tape (S&amp;P)'!P6646,
    occupancy,'Loan Tape (S&amp;P)'!N6646,
    maturity_date,'Loan Tape (S&amp;P)'!L6646,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47">
      <c r="J6647">
        <f>LET(
    lien,'Loan Tape (S&amp;P)'!Q6647,
    IF(lien="First",1.00,
        IF(lien="Second",1.50,
            1.70)))</f>
        <v/>
      </c>
      <c r="K6647">
        <f>LET(
    purpose,'Loan Tape (S&amp;P)'!R6647,
    IF(purpose="Purchase",1.00,
        IF(purpose="Remortgage",1.00,
            1.20)))</f>
        <v/>
      </c>
      <c r="L6647">
        <f>LET(
    arrears_months,'Loan Tape (S&amp;P)'!AN6647,
    IF(arrears_months=0,1.00,
    IF(arrears_months=1,3.00,
    IF(arrears_months=2,5.00,
    IF(arrears_months=3,8.00,
    IF(arrears_months=4,10.00,
    IF(arrears_months=5,12.00,15.00)))))))</f>
        <v/>
      </c>
      <c r="M6647">
        <f>LET(
    seasoning_years,DATEDIF('Loan Tape (S&amp;P)'!K6647,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47">
        <f>IF(AND('Loan Tape (S&amp;P)'!U6647="Yes",
        'Loan Tape (S&amp;P)'!T6647&lt;&gt;"Yes",
        DATEDIF('Loan Tape (S&amp;P)'!K6647, TODAY(), "M")&lt;18),
    1.10,
    1.00)</f>
        <v/>
      </c>
      <c r="O6647">
        <f>IF('Loan Tape (S&amp;P)'!T6647="Yes",
    1.35,
    1.00)</f>
        <v/>
      </c>
      <c r="P6647">
        <f>IF('Loan Tape (S&amp;P)'!S6647="Yes",
    1.15,
    1.00)</f>
        <v/>
      </c>
      <c r="Q6647">
        <f>IF('Loan Tape (S&amp;P)'!V6647="Yes",
    1.20,
    1.00)</f>
        <v/>
      </c>
      <c r="T6647">
        <f>LET(
    payment_method,'Loan Tape (S&amp;P)'!P6647,
    occupancy,'Loan Tape (S&amp;P)'!N6647,
    maturity_date,'Loan Tape (S&amp;P)'!L6647,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48">
      <c r="J6648">
        <f>LET(
    lien,'Loan Tape (S&amp;P)'!Q6648,
    IF(lien="First",1.00,
        IF(lien="Second",1.50,
            1.70)))</f>
        <v/>
      </c>
      <c r="K6648">
        <f>LET(
    purpose,'Loan Tape (S&amp;P)'!R6648,
    IF(purpose="Purchase",1.00,
        IF(purpose="Remortgage",1.00,
            1.20)))</f>
        <v/>
      </c>
      <c r="L6648">
        <f>LET(
    arrears_months,'Loan Tape (S&amp;P)'!AN6648,
    IF(arrears_months=0,1.00,
    IF(arrears_months=1,3.00,
    IF(arrears_months=2,5.00,
    IF(arrears_months=3,8.00,
    IF(arrears_months=4,10.00,
    IF(arrears_months=5,12.00,15.00)))))))</f>
        <v/>
      </c>
      <c r="M6648">
        <f>LET(
    seasoning_years,DATEDIF('Loan Tape (S&amp;P)'!K6648,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48">
        <f>IF(AND('Loan Tape (S&amp;P)'!U6648="Yes",
        'Loan Tape (S&amp;P)'!T6648&lt;&gt;"Yes",
        DATEDIF('Loan Tape (S&amp;P)'!K6648, TODAY(), "M")&lt;18),
    1.10,
    1.00)</f>
        <v/>
      </c>
      <c r="O6648">
        <f>IF('Loan Tape (S&amp;P)'!T6648="Yes",
    1.35,
    1.00)</f>
        <v/>
      </c>
      <c r="P6648">
        <f>IF('Loan Tape (S&amp;P)'!S6648="Yes",
    1.15,
    1.00)</f>
        <v/>
      </c>
      <c r="Q6648">
        <f>IF('Loan Tape (S&amp;P)'!V6648="Yes",
    1.20,
    1.00)</f>
        <v/>
      </c>
      <c r="T6648">
        <f>LET(
    payment_method,'Loan Tape (S&amp;P)'!P6648,
    occupancy,'Loan Tape (S&amp;P)'!N6648,
    maturity_date,'Loan Tape (S&amp;P)'!L6648,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49">
      <c r="J6649">
        <f>LET(
    lien,'Loan Tape (S&amp;P)'!Q6649,
    IF(lien="First",1.00,
        IF(lien="Second",1.50,
            1.70)))</f>
        <v/>
      </c>
      <c r="K6649">
        <f>LET(
    purpose,'Loan Tape (S&amp;P)'!R6649,
    IF(purpose="Purchase",1.00,
        IF(purpose="Remortgage",1.00,
            1.20)))</f>
        <v/>
      </c>
      <c r="L6649">
        <f>LET(
    arrears_months,'Loan Tape (S&amp;P)'!AN6649,
    IF(arrears_months=0,1.00,
    IF(arrears_months=1,3.00,
    IF(arrears_months=2,5.00,
    IF(arrears_months=3,8.00,
    IF(arrears_months=4,10.00,
    IF(arrears_months=5,12.00,15.00)))))))</f>
        <v/>
      </c>
      <c r="M6649">
        <f>LET(
    seasoning_years,DATEDIF('Loan Tape (S&amp;P)'!K6649,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49">
        <f>IF(AND('Loan Tape (S&amp;P)'!U6649="Yes",
        'Loan Tape (S&amp;P)'!T6649&lt;&gt;"Yes",
        DATEDIF('Loan Tape (S&amp;P)'!K6649, TODAY(), "M")&lt;18),
    1.10,
    1.00)</f>
        <v/>
      </c>
      <c r="O6649">
        <f>IF('Loan Tape (S&amp;P)'!T6649="Yes",
    1.35,
    1.00)</f>
        <v/>
      </c>
      <c r="P6649">
        <f>IF('Loan Tape (S&amp;P)'!S6649="Yes",
    1.15,
    1.00)</f>
        <v/>
      </c>
      <c r="Q6649">
        <f>IF('Loan Tape (S&amp;P)'!V6649="Yes",
    1.20,
    1.00)</f>
        <v/>
      </c>
      <c r="T6649">
        <f>LET(
    payment_method,'Loan Tape (S&amp;P)'!P6649,
    occupancy,'Loan Tape (S&amp;P)'!N6649,
    maturity_date,'Loan Tape (S&amp;P)'!L6649,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50">
      <c r="J6650">
        <f>LET(
    lien,'Loan Tape (S&amp;P)'!Q6650,
    IF(lien="First",1.00,
        IF(lien="Second",1.50,
            1.70)))</f>
        <v/>
      </c>
      <c r="K6650">
        <f>LET(
    purpose,'Loan Tape (S&amp;P)'!R6650,
    IF(purpose="Purchase",1.00,
        IF(purpose="Remortgage",1.00,
            1.20)))</f>
        <v/>
      </c>
      <c r="L6650">
        <f>LET(
    arrears_months,'Loan Tape (S&amp;P)'!AN6650,
    IF(arrears_months=0,1.00,
    IF(arrears_months=1,3.00,
    IF(arrears_months=2,5.00,
    IF(arrears_months=3,8.00,
    IF(arrears_months=4,10.00,
    IF(arrears_months=5,12.00,15.00)))))))</f>
        <v/>
      </c>
      <c r="M6650">
        <f>LET(
    seasoning_years,DATEDIF('Loan Tape (S&amp;P)'!K6650,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50">
        <f>IF(AND('Loan Tape (S&amp;P)'!U6650="Yes",
        'Loan Tape (S&amp;P)'!T6650&lt;&gt;"Yes",
        DATEDIF('Loan Tape (S&amp;P)'!K6650, TODAY(), "M")&lt;18),
    1.10,
    1.00)</f>
        <v/>
      </c>
      <c r="O6650">
        <f>IF('Loan Tape (S&amp;P)'!T6650="Yes",
    1.35,
    1.00)</f>
        <v/>
      </c>
      <c r="P6650">
        <f>IF('Loan Tape (S&amp;P)'!S6650="Yes",
    1.15,
    1.00)</f>
        <v/>
      </c>
      <c r="Q6650">
        <f>IF('Loan Tape (S&amp;P)'!V6650="Yes",
    1.20,
    1.00)</f>
        <v/>
      </c>
      <c r="T6650">
        <f>LET(
    payment_method,'Loan Tape (S&amp;P)'!P6650,
    occupancy,'Loan Tape (S&amp;P)'!N6650,
    maturity_date,'Loan Tape (S&amp;P)'!L6650,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51">
      <c r="J6651">
        <f>LET(
    lien,'Loan Tape (S&amp;P)'!Q6651,
    IF(lien="First",1.00,
        IF(lien="Second",1.50,
            1.70)))</f>
        <v/>
      </c>
      <c r="K6651">
        <f>LET(
    purpose,'Loan Tape (S&amp;P)'!R6651,
    IF(purpose="Purchase",1.00,
        IF(purpose="Remortgage",1.00,
            1.20)))</f>
        <v/>
      </c>
      <c r="L6651">
        <f>LET(
    arrears_months,'Loan Tape (S&amp;P)'!AN6651,
    IF(arrears_months=0,1.00,
    IF(arrears_months=1,3.00,
    IF(arrears_months=2,5.00,
    IF(arrears_months=3,8.00,
    IF(arrears_months=4,10.00,
    IF(arrears_months=5,12.00,15.00)))))))</f>
        <v/>
      </c>
      <c r="M6651">
        <f>LET(
    seasoning_years,DATEDIF('Loan Tape (S&amp;P)'!K6651,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51">
        <f>IF(AND('Loan Tape (S&amp;P)'!U6651="Yes",
        'Loan Tape (S&amp;P)'!T6651&lt;&gt;"Yes",
        DATEDIF('Loan Tape (S&amp;P)'!K6651, TODAY(), "M")&lt;18),
    1.10,
    1.00)</f>
        <v/>
      </c>
      <c r="O6651">
        <f>IF('Loan Tape (S&amp;P)'!T6651="Yes",
    1.35,
    1.00)</f>
        <v/>
      </c>
      <c r="P6651">
        <f>IF('Loan Tape (S&amp;P)'!S6651="Yes",
    1.15,
    1.00)</f>
        <v/>
      </c>
      <c r="Q6651">
        <f>IF('Loan Tape (S&amp;P)'!V6651="Yes",
    1.20,
    1.00)</f>
        <v/>
      </c>
      <c r="T6651">
        <f>LET(
    payment_method,'Loan Tape (S&amp;P)'!P6651,
    occupancy,'Loan Tape (S&amp;P)'!N6651,
    maturity_date,'Loan Tape (S&amp;P)'!L6651,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52">
      <c r="J6652">
        <f>LET(
    lien,'Loan Tape (S&amp;P)'!Q6652,
    IF(lien="First",1.00,
        IF(lien="Second",1.50,
            1.70)))</f>
        <v/>
      </c>
      <c r="K6652">
        <f>LET(
    purpose,'Loan Tape (S&amp;P)'!R6652,
    IF(purpose="Purchase",1.00,
        IF(purpose="Remortgage",1.00,
            1.20)))</f>
        <v/>
      </c>
      <c r="L6652">
        <f>LET(
    arrears_months,'Loan Tape (S&amp;P)'!AN6652,
    IF(arrears_months=0,1.00,
    IF(arrears_months=1,3.00,
    IF(arrears_months=2,5.00,
    IF(arrears_months=3,8.00,
    IF(arrears_months=4,10.00,
    IF(arrears_months=5,12.00,15.00)))))))</f>
        <v/>
      </c>
      <c r="M6652">
        <f>LET(
    seasoning_years,DATEDIF('Loan Tape (S&amp;P)'!K6652,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52">
        <f>IF(AND('Loan Tape (S&amp;P)'!U6652="Yes",
        'Loan Tape (S&amp;P)'!T6652&lt;&gt;"Yes",
        DATEDIF('Loan Tape (S&amp;P)'!K6652, TODAY(), "M")&lt;18),
    1.10,
    1.00)</f>
        <v/>
      </c>
      <c r="O6652">
        <f>IF('Loan Tape (S&amp;P)'!T6652="Yes",
    1.35,
    1.00)</f>
        <v/>
      </c>
      <c r="P6652">
        <f>IF('Loan Tape (S&amp;P)'!S6652="Yes",
    1.15,
    1.00)</f>
        <v/>
      </c>
      <c r="Q6652">
        <f>IF('Loan Tape (S&amp;P)'!V6652="Yes",
    1.20,
    1.00)</f>
        <v/>
      </c>
      <c r="T6652">
        <f>LET(
    payment_method,'Loan Tape (S&amp;P)'!P6652,
    occupancy,'Loan Tape (S&amp;P)'!N6652,
    maturity_date,'Loan Tape (S&amp;P)'!L6652,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53">
      <c r="J6653">
        <f>LET(
    lien,'Loan Tape (S&amp;P)'!Q6653,
    IF(lien="First",1.00,
        IF(lien="Second",1.50,
            1.70)))</f>
        <v/>
      </c>
      <c r="K6653">
        <f>LET(
    purpose,'Loan Tape (S&amp;P)'!R6653,
    IF(purpose="Purchase",1.00,
        IF(purpose="Remortgage",1.00,
            1.20)))</f>
        <v/>
      </c>
      <c r="L6653">
        <f>LET(
    arrears_months,'Loan Tape (S&amp;P)'!AN6653,
    IF(arrears_months=0,1.00,
    IF(arrears_months=1,3.00,
    IF(arrears_months=2,5.00,
    IF(arrears_months=3,8.00,
    IF(arrears_months=4,10.00,
    IF(arrears_months=5,12.00,15.00)))))))</f>
        <v/>
      </c>
      <c r="M6653">
        <f>LET(
    seasoning_years,DATEDIF('Loan Tape (S&amp;P)'!K6653,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53">
        <f>IF(AND('Loan Tape (S&amp;P)'!U6653="Yes",
        'Loan Tape (S&amp;P)'!T6653&lt;&gt;"Yes",
        DATEDIF('Loan Tape (S&amp;P)'!K6653, TODAY(), "M")&lt;18),
    1.10,
    1.00)</f>
        <v/>
      </c>
      <c r="O6653">
        <f>IF('Loan Tape (S&amp;P)'!T6653="Yes",
    1.35,
    1.00)</f>
        <v/>
      </c>
      <c r="P6653">
        <f>IF('Loan Tape (S&amp;P)'!S6653="Yes",
    1.15,
    1.00)</f>
        <v/>
      </c>
      <c r="Q6653">
        <f>IF('Loan Tape (S&amp;P)'!V6653="Yes",
    1.20,
    1.00)</f>
        <v/>
      </c>
      <c r="T6653">
        <f>LET(
    payment_method,'Loan Tape (S&amp;P)'!P6653,
    occupancy,'Loan Tape (S&amp;P)'!N6653,
    maturity_date,'Loan Tape (S&amp;P)'!L6653,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54">
      <c r="J6654">
        <f>LET(
    lien,'Loan Tape (S&amp;P)'!Q6654,
    IF(lien="First",1.00,
        IF(lien="Second",1.50,
            1.70)))</f>
        <v/>
      </c>
      <c r="K6654">
        <f>LET(
    purpose,'Loan Tape (S&amp;P)'!R6654,
    IF(purpose="Purchase",1.00,
        IF(purpose="Remortgage",1.00,
            1.20)))</f>
        <v/>
      </c>
      <c r="L6654">
        <f>LET(
    arrears_months,'Loan Tape (S&amp;P)'!AN6654,
    IF(arrears_months=0,1.00,
    IF(arrears_months=1,3.00,
    IF(arrears_months=2,5.00,
    IF(arrears_months=3,8.00,
    IF(arrears_months=4,10.00,
    IF(arrears_months=5,12.00,15.00)))))))</f>
        <v/>
      </c>
      <c r="M6654">
        <f>LET(
    seasoning_years,DATEDIF('Loan Tape (S&amp;P)'!K6654,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54">
        <f>IF(AND('Loan Tape (S&amp;P)'!U6654="Yes",
        'Loan Tape (S&amp;P)'!T6654&lt;&gt;"Yes",
        DATEDIF('Loan Tape (S&amp;P)'!K6654, TODAY(), "M")&lt;18),
    1.10,
    1.00)</f>
        <v/>
      </c>
      <c r="O6654">
        <f>IF('Loan Tape (S&amp;P)'!T6654="Yes",
    1.35,
    1.00)</f>
        <v/>
      </c>
      <c r="P6654">
        <f>IF('Loan Tape (S&amp;P)'!S6654="Yes",
    1.15,
    1.00)</f>
        <v/>
      </c>
      <c r="Q6654">
        <f>IF('Loan Tape (S&amp;P)'!V6654="Yes",
    1.20,
    1.00)</f>
        <v/>
      </c>
      <c r="T6654">
        <f>LET(
    payment_method,'Loan Tape (S&amp;P)'!P6654,
    occupancy,'Loan Tape (S&amp;P)'!N6654,
    maturity_date,'Loan Tape (S&amp;P)'!L6654,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55">
      <c r="J6655">
        <f>LET(
    lien,'Loan Tape (S&amp;P)'!Q6655,
    IF(lien="First",1.00,
        IF(lien="Second",1.50,
            1.70)))</f>
        <v/>
      </c>
      <c r="K6655">
        <f>LET(
    purpose,'Loan Tape (S&amp;P)'!R6655,
    IF(purpose="Purchase",1.00,
        IF(purpose="Remortgage",1.00,
            1.20)))</f>
        <v/>
      </c>
      <c r="L6655">
        <f>LET(
    arrears_months,'Loan Tape (S&amp;P)'!AN6655,
    IF(arrears_months=0,1.00,
    IF(arrears_months=1,3.00,
    IF(arrears_months=2,5.00,
    IF(arrears_months=3,8.00,
    IF(arrears_months=4,10.00,
    IF(arrears_months=5,12.00,15.00)))))))</f>
        <v/>
      </c>
      <c r="M6655">
        <f>LET(
    seasoning_years,DATEDIF('Loan Tape (S&amp;P)'!K6655,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55">
        <f>IF(AND('Loan Tape (S&amp;P)'!U6655="Yes",
        'Loan Tape (S&amp;P)'!T6655&lt;&gt;"Yes",
        DATEDIF('Loan Tape (S&amp;P)'!K6655, TODAY(), "M")&lt;18),
    1.10,
    1.00)</f>
        <v/>
      </c>
      <c r="O6655">
        <f>IF('Loan Tape (S&amp;P)'!T6655="Yes",
    1.35,
    1.00)</f>
        <v/>
      </c>
      <c r="P6655">
        <f>IF('Loan Tape (S&amp;P)'!S6655="Yes",
    1.15,
    1.00)</f>
        <v/>
      </c>
      <c r="Q6655">
        <f>IF('Loan Tape (S&amp;P)'!V6655="Yes",
    1.20,
    1.00)</f>
        <v/>
      </c>
      <c r="T6655">
        <f>LET(
    payment_method,'Loan Tape (S&amp;P)'!P6655,
    occupancy,'Loan Tape (S&amp;P)'!N6655,
    maturity_date,'Loan Tape (S&amp;P)'!L6655,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56">
      <c r="J6656">
        <f>LET(
    lien,'Loan Tape (S&amp;P)'!Q6656,
    IF(lien="First",1.00,
        IF(lien="Second",1.50,
            1.70)))</f>
        <v/>
      </c>
      <c r="K6656">
        <f>LET(
    purpose,'Loan Tape (S&amp;P)'!R6656,
    IF(purpose="Purchase",1.00,
        IF(purpose="Remortgage",1.00,
            1.20)))</f>
        <v/>
      </c>
      <c r="L6656">
        <f>LET(
    arrears_months,'Loan Tape (S&amp;P)'!AN6656,
    IF(arrears_months=0,1.00,
    IF(arrears_months=1,3.00,
    IF(arrears_months=2,5.00,
    IF(arrears_months=3,8.00,
    IF(arrears_months=4,10.00,
    IF(arrears_months=5,12.00,15.00)))))))</f>
        <v/>
      </c>
      <c r="M6656">
        <f>LET(
    seasoning_years,DATEDIF('Loan Tape (S&amp;P)'!K6656,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56">
        <f>IF(AND('Loan Tape (S&amp;P)'!U6656="Yes",
        'Loan Tape (S&amp;P)'!T6656&lt;&gt;"Yes",
        DATEDIF('Loan Tape (S&amp;P)'!K6656, TODAY(), "M")&lt;18),
    1.10,
    1.00)</f>
        <v/>
      </c>
      <c r="O6656">
        <f>IF('Loan Tape (S&amp;P)'!T6656="Yes",
    1.35,
    1.00)</f>
        <v/>
      </c>
      <c r="P6656">
        <f>IF('Loan Tape (S&amp;P)'!S6656="Yes",
    1.15,
    1.00)</f>
        <v/>
      </c>
      <c r="Q6656">
        <f>IF('Loan Tape (S&amp;P)'!V6656="Yes",
    1.20,
    1.00)</f>
        <v/>
      </c>
      <c r="T6656">
        <f>LET(
    payment_method,'Loan Tape (S&amp;P)'!P6656,
    occupancy,'Loan Tape (S&amp;P)'!N6656,
    maturity_date,'Loan Tape (S&amp;P)'!L6656,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57">
      <c r="J6657">
        <f>LET(
    lien,'Loan Tape (S&amp;P)'!Q6657,
    IF(lien="First",1.00,
        IF(lien="Second",1.50,
            1.70)))</f>
        <v/>
      </c>
      <c r="K6657">
        <f>LET(
    purpose,'Loan Tape (S&amp;P)'!R6657,
    IF(purpose="Purchase",1.00,
        IF(purpose="Remortgage",1.00,
            1.20)))</f>
        <v/>
      </c>
      <c r="L6657">
        <f>LET(
    arrears_months,'Loan Tape (S&amp;P)'!AN6657,
    IF(arrears_months=0,1.00,
    IF(arrears_months=1,3.00,
    IF(arrears_months=2,5.00,
    IF(arrears_months=3,8.00,
    IF(arrears_months=4,10.00,
    IF(arrears_months=5,12.00,15.00)))))))</f>
        <v/>
      </c>
      <c r="M6657">
        <f>LET(
    seasoning_years,DATEDIF('Loan Tape (S&amp;P)'!K6657,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57">
        <f>IF(AND('Loan Tape (S&amp;P)'!U6657="Yes",
        'Loan Tape (S&amp;P)'!T6657&lt;&gt;"Yes",
        DATEDIF('Loan Tape (S&amp;P)'!K6657, TODAY(), "M")&lt;18),
    1.10,
    1.00)</f>
        <v/>
      </c>
      <c r="O6657">
        <f>IF('Loan Tape (S&amp;P)'!T6657="Yes",
    1.35,
    1.00)</f>
        <v/>
      </c>
      <c r="P6657">
        <f>IF('Loan Tape (S&amp;P)'!S6657="Yes",
    1.15,
    1.00)</f>
        <v/>
      </c>
      <c r="Q6657">
        <f>IF('Loan Tape (S&amp;P)'!V6657="Yes",
    1.20,
    1.00)</f>
        <v/>
      </c>
      <c r="T6657">
        <f>LET(
    payment_method,'Loan Tape (S&amp;P)'!P6657,
    occupancy,'Loan Tape (S&amp;P)'!N6657,
    maturity_date,'Loan Tape (S&amp;P)'!L6657,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58">
      <c r="J6658">
        <f>LET(
    lien,'Loan Tape (S&amp;P)'!Q6658,
    IF(lien="First",1.00,
        IF(lien="Second",1.50,
            1.70)))</f>
        <v/>
      </c>
      <c r="K6658">
        <f>LET(
    purpose,'Loan Tape (S&amp;P)'!R6658,
    IF(purpose="Purchase",1.00,
        IF(purpose="Remortgage",1.00,
            1.20)))</f>
        <v/>
      </c>
      <c r="L6658">
        <f>LET(
    arrears_months,'Loan Tape (S&amp;P)'!AN6658,
    IF(arrears_months=0,1.00,
    IF(arrears_months=1,3.00,
    IF(arrears_months=2,5.00,
    IF(arrears_months=3,8.00,
    IF(arrears_months=4,10.00,
    IF(arrears_months=5,12.00,15.00)))))))</f>
        <v/>
      </c>
      <c r="M6658">
        <f>LET(
    seasoning_years,DATEDIF('Loan Tape (S&amp;P)'!K6658,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58">
        <f>IF(AND('Loan Tape (S&amp;P)'!U6658="Yes",
        'Loan Tape (S&amp;P)'!T6658&lt;&gt;"Yes",
        DATEDIF('Loan Tape (S&amp;P)'!K6658, TODAY(), "M")&lt;18),
    1.10,
    1.00)</f>
        <v/>
      </c>
      <c r="O6658">
        <f>IF('Loan Tape (S&amp;P)'!T6658="Yes",
    1.35,
    1.00)</f>
        <v/>
      </c>
      <c r="P6658">
        <f>IF('Loan Tape (S&amp;P)'!S6658="Yes",
    1.15,
    1.00)</f>
        <v/>
      </c>
      <c r="Q6658">
        <f>IF('Loan Tape (S&amp;P)'!V6658="Yes",
    1.20,
    1.00)</f>
        <v/>
      </c>
      <c r="T6658">
        <f>LET(
    payment_method,'Loan Tape (S&amp;P)'!P6658,
    occupancy,'Loan Tape (S&amp;P)'!N6658,
    maturity_date,'Loan Tape (S&amp;P)'!L6658,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59">
      <c r="J6659">
        <f>LET(
    lien,'Loan Tape (S&amp;P)'!Q6659,
    IF(lien="First",1.00,
        IF(lien="Second",1.50,
            1.70)))</f>
        <v/>
      </c>
      <c r="K6659">
        <f>LET(
    purpose,'Loan Tape (S&amp;P)'!R6659,
    IF(purpose="Purchase",1.00,
        IF(purpose="Remortgage",1.00,
            1.20)))</f>
        <v/>
      </c>
      <c r="L6659">
        <f>LET(
    arrears_months,'Loan Tape (S&amp;P)'!AN6659,
    IF(arrears_months=0,1.00,
    IF(arrears_months=1,3.00,
    IF(arrears_months=2,5.00,
    IF(arrears_months=3,8.00,
    IF(arrears_months=4,10.00,
    IF(arrears_months=5,12.00,15.00)))))))</f>
        <v/>
      </c>
      <c r="M6659">
        <f>LET(
    seasoning_years,DATEDIF('Loan Tape (S&amp;P)'!K6659,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59">
        <f>IF(AND('Loan Tape (S&amp;P)'!U6659="Yes",
        'Loan Tape (S&amp;P)'!T6659&lt;&gt;"Yes",
        DATEDIF('Loan Tape (S&amp;P)'!K6659, TODAY(), "M")&lt;18),
    1.10,
    1.00)</f>
        <v/>
      </c>
      <c r="O6659">
        <f>IF('Loan Tape (S&amp;P)'!T6659="Yes",
    1.35,
    1.00)</f>
        <v/>
      </c>
      <c r="P6659">
        <f>IF('Loan Tape (S&amp;P)'!S6659="Yes",
    1.15,
    1.00)</f>
        <v/>
      </c>
      <c r="Q6659">
        <f>IF('Loan Tape (S&amp;P)'!V6659="Yes",
    1.20,
    1.00)</f>
        <v/>
      </c>
      <c r="T6659">
        <f>LET(
    payment_method,'Loan Tape (S&amp;P)'!P6659,
    occupancy,'Loan Tape (S&amp;P)'!N6659,
    maturity_date,'Loan Tape (S&amp;P)'!L6659,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60">
      <c r="J6660">
        <f>LET(
    lien,'Loan Tape (S&amp;P)'!Q6660,
    IF(lien="First",1.00,
        IF(lien="Second",1.50,
            1.70)))</f>
        <v/>
      </c>
      <c r="K6660">
        <f>LET(
    purpose,'Loan Tape (S&amp;P)'!R6660,
    IF(purpose="Purchase",1.00,
        IF(purpose="Remortgage",1.00,
            1.20)))</f>
        <v/>
      </c>
      <c r="L6660">
        <f>LET(
    arrears_months,'Loan Tape (S&amp;P)'!AN6660,
    IF(arrears_months=0,1.00,
    IF(arrears_months=1,3.00,
    IF(arrears_months=2,5.00,
    IF(arrears_months=3,8.00,
    IF(arrears_months=4,10.00,
    IF(arrears_months=5,12.00,15.00)))))))</f>
        <v/>
      </c>
      <c r="M6660">
        <f>LET(
    seasoning_years,DATEDIF('Loan Tape (S&amp;P)'!K6660,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60">
        <f>IF(AND('Loan Tape (S&amp;P)'!U6660="Yes",
        'Loan Tape (S&amp;P)'!T6660&lt;&gt;"Yes",
        DATEDIF('Loan Tape (S&amp;P)'!K6660, TODAY(), "M")&lt;18),
    1.10,
    1.00)</f>
        <v/>
      </c>
      <c r="O6660">
        <f>IF('Loan Tape (S&amp;P)'!T6660="Yes",
    1.35,
    1.00)</f>
        <v/>
      </c>
      <c r="P6660">
        <f>IF('Loan Tape (S&amp;P)'!S6660="Yes",
    1.15,
    1.00)</f>
        <v/>
      </c>
      <c r="Q6660">
        <f>IF('Loan Tape (S&amp;P)'!V6660="Yes",
    1.20,
    1.00)</f>
        <v/>
      </c>
      <c r="T6660">
        <f>LET(
    payment_method,'Loan Tape (S&amp;P)'!P6660,
    occupancy,'Loan Tape (S&amp;P)'!N6660,
    maturity_date,'Loan Tape (S&amp;P)'!L6660,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61">
      <c r="J6661">
        <f>LET(
    lien,'Loan Tape (S&amp;P)'!Q6661,
    IF(lien="First",1.00,
        IF(lien="Second",1.50,
            1.70)))</f>
        <v/>
      </c>
      <c r="K6661">
        <f>LET(
    purpose,'Loan Tape (S&amp;P)'!R6661,
    IF(purpose="Purchase",1.00,
        IF(purpose="Remortgage",1.00,
            1.20)))</f>
        <v/>
      </c>
      <c r="L6661">
        <f>LET(
    arrears_months,'Loan Tape (S&amp;P)'!AN6661,
    IF(arrears_months=0,1.00,
    IF(arrears_months=1,3.00,
    IF(arrears_months=2,5.00,
    IF(arrears_months=3,8.00,
    IF(arrears_months=4,10.00,
    IF(arrears_months=5,12.00,15.00)))))))</f>
        <v/>
      </c>
      <c r="M6661">
        <f>LET(
    seasoning_years,DATEDIF('Loan Tape (S&amp;P)'!K6661,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61">
        <f>IF(AND('Loan Tape (S&amp;P)'!U6661="Yes",
        'Loan Tape (S&amp;P)'!T6661&lt;&gt;"Yes",
        DATEDIF('Loan Tape (S&amp;P)'!K6661, TODAY(), "M")&lt;18),
    1.10,
    1.00)</f>
        <v/>
      </c>
      <c r="O6661">
        <f>IF('Loan Tape (S&amp;P)'!T6661="Yes",
    1.35,
    1.00)</f>
        <v/>
      </c>
      <c r="P6661">
        <f>IF('Loan Tape (S&amp;P)'!S6661="Yes",
    1.15,
    1.00)</f>
        <v/>
      </c>
      <c r="Q6661">
        <f>IF('Loan Tape (S&amp;P)'!V6661="Yes",
    1.20,
    1.00)</f>
        <v/>
      </c>
      <c r="T6661">
        <f>LET(
    payment_method,'Loan Tape (S&amp;P)'!P6661,
    occupancy,'Loan Tape (S&amp;P)'!N6661,
    maturity_date,'Loan Tape (S&amp;P)'!L6661,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62">
      <c r="J6662">
        <f>LET(
    lien,'Loan Tape (S&amp;P)'!Q6662,
    IF(lien="First",1.00,
        IF(lien="Second",1.50,
            1.70)))</f>
        <v/>
      </c>
      <c r="K6662">
        <f>LET(
    purpose,'Loan Tape (S&amp;P)'!R6662,
    IF(purpose="Purchase",1.00,
        IF(purpose="Remortgage",1.00,
            1.20)))</f>
        <v/>
      </c>
      <c r="L6662">
        <f>LET(
    arrears_months,'Loan Tape (S&amp;P)'!AN6662,
    IF(arrears_months=0,1.00,
    IF(arrears_months=1,3.00,
    IF(arrears_months=2,5.00,
    IF(arrears_months=3,8.00,
    IF(arrears_months=4,10.00,
    IF(arrears_months=5,12.00,15.00)))))))</f>
        <v/>
      </c>
      <c r="M6662">
        <f>LET(
    seasoning_years,DATEDIF('Loan Tape (S&amp;P)'!K6662,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62">
        <f>IF(AND('Loan Tape (S&amp;P)'!U6662="Yes",
        'Loan Tape (S&amp;P)'!T6662&lt;&gt;"Yes",
        DATEDIF('Loan Tape (S&amp;P)'!K6662, TODAY(), "M")&lt;18),
    1.10,
    1.00)</f>
        <v/>
      </c>
      <c r="O6662">
        <f>IF('Loan Tape (S&amp;P)'!T6662="Yes",
    1.35,
    1.00)</f>
        <v/>
      </c>
      <c r="P6662">
        <f>IF('Loan Tape (S&amp;P)'!S6662="Yes",
    1.15,
    1.00)</f>
        <v/>
      </c>
      <c r="Q6662">
        <f>IF('Loan Tape (S&amp;P)'!V6662="Yes",
    1.20,
    1.00)</f>
        <v/>
      </c>
      <c r="T6662">
        <f>LET(
    payment_method,'Loan Tape (S&amp;P)'!P6662,
    occupancy,'Loan Tape (S&amp;P)'!N6662,
    maturity_date,'Loan Tape (S&amp;P)'!L6662,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63">
      <c r="J6663">
        <f>LET(
    lien,'Loan Tape (S&amp;P)'!Q6663,
    IF(lien="First",1.00,
        IF(lien="Second",1.50,
            1.70)))</f>
        <v/>
      </c>
      <c r="K6663">
        <f>LET(
    purpose,'Loan Tape (S&amp;P)'!R6663,
    IF(purpose="Purchase",1.00,
        IF(purpose="Remortgage",1.00,
            1.20)))</f>
        <v/>
      </c>
      <c r="L6663">
        <f>LET(
    arrears_months,'Loan Tape (S&amp;P)'!AN6663,
    IF(arrears_months=0,1.00,
    IF(arrears_months=1,3.00,
    IF(arrears_months=2,5.00,
    IF(arrears_months=3,8.00,
    IF(arrears_months=4,10.00,
    IF(arrears_months=5,12.00,15.00)))))))</f>
        <v/>
      </c>
      <c r="M6663">
        <f>LET(
    seasoning_years,DATEDIF('Loan Tape (S&amp;P)'!K6663,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63">
        <f>IF(AND('Loan Tape (S&amp;P)'!U6663="Yes",
        'Loan Tape (S&amp;P)'!T6663&lt;&gt;"Yes",
        DATEDIF('Loan Tape (S&amp;P)'!K6663, TODAY(), "M")&lt;18),
    1.10,
    1.00)</f>
        <v/>
      </c>
      <c r="O6663">
        <f>IF('Loan Tape (S&amp;P)'!T6663="Yes",
    1.35,
    1.00)</f>
        <v/>
      </c>
      <c r="P6663">
        <f>IF('Loan Tape (S&amp;P)'!S6663="Yes",
    1.15,
    1.00)</f>
        <v/>
      </c>
      <c r="Q6663">
        <f>IF('Loan Tape (S&amp;P)'!V6663="Yes",
    1.20,
    1.00)</f>
        <v/>
      </c>
      <c r="T6663">
        <f>LET(
    payment_method,'Loan Tape (S&amp;P)'!P6663,
    occupancy,'Loan Tape (S&amp;P)'!N6663,
    maturity_date,'Loan Tape (S&amp;P)'!L6663,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64">
      <c r="J6664">
        <f>LET(
    lien,'Loan Tape (S&amp;P)'!Q6664,
    IF(lien="First",1.00,
        IF(lien="Second",1.50,
            1.70)))</f>
        <v/>
      </c>
      <c r="K6664">
        <f>LET(
    purpose,'Loan Tape (S&amp;P)'!R6664,
    IF(purpose="Purchase",1.00,
        IF(purpose="Remortgage",1.00,
            1.20)))</f>
        <v/>
      </c>
      <c r="L6664">
        <f>LET(
    arrears_months,'Loan Tape (S&amp;P)'!AN6664,
    IF(arrears_months=0,1.00,
    IF(arrears_months=1,3.00,
    IF(arrears_months=2,5.00,
    IF(arrears_months=3,8.00,
    IF(arrears_months=4,10.00,
    IF(arrears_months=5,12.00,15.00)))))))</f>
        <v/>
      </c>
      <c r="M6664">
        <f>LET(
    seasoning_years,DATEDIF('Loan Tape (S&amp;P)'!K6664,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64">
        <f>IF(AND('Loan Tape (S&amp;P)'!U6664="Yes",
        'Loan Tape (S&amp;P)'!T6664&lt;&gt;"Yes",
        DATEDIF('Loan Tape (S&amp;P)'!K6664, TODAY(), "M")&lt;18),
    1.10,
    1.00)</f>
        <v/>
      </c>
      <c r="O6664">
        <f>IF('Loan Tape (S&amp;P)'!T6664="Yes",
    1.35,
    1.00)</f>
        <v/>
      </c>
      <c r="P6664">
        <f>IF('Loan Tape (S&amp;P)'!S6664="Yes",
    1.15,
    1.00)</f>
        <v/>
      </c>
      <c r="Q6664">
        <f>IF('Loan Tape (S&amp;P)'!V6664="Yes",
    1.20,
    1.00)</f>
        <v/>
      </c>
      <c r="T6664">
        <f>LET(
    payment_method,'Loan Tape (S&amp;P)'!P6664,
    occupancy,'Loan Tape (S&amp;P)'!N6664,
    maturity_date,'Loan Tape (S&amp;P)'!L6664,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65">
      <c r="J6665">
        <f>LET(
    lien,'Loan Tape (S&amp;P)'!Q6665,
    IF(lien="First",1.00,
        IF(lien="Second",1.50,
            1.70)))</f>
        <v/>
      </c>
      <c r="K6665">
        <f>LET(
    purpose,'Loan Tape (S&amp;P)'!R6665,
    IF(purpose="Purchase",1.00,
        IF(purpose="Remortgage",1.00,
            1.20)))</f>
        <v/>
      </c>
      <c r="L6665">
        <f>LET(
    arrears_months,'Loan Tape (S&amp;P)'!AN6665,
    IF(arrears_months=0,1.00,
    IF(arrears_months=1,3.00,
    IF(arrears_months=2,5.00,
    IF(arrears_months=3,8.00,
    IF(arrears_months=4,10.00,
    IF(arrears_months=5,12.00,15.00)))))))</f>
        <v/>
      </c>
      <c r="M6665">
        <f>LET(
    seasoning_years,DATEDIF('Loan Tape (S&amp;P)'!K6665,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65">
        <f>IF(AND('Loan Tape (S&amp;P)'!U6665="Yes",
        'Loan Tape (S&amp;P)'!T6665&lt;&gt;"Yes",
        DATEDIF('Loan Tape (S&amp;P)'!K6665, TODAY(), "M")&lt;18),
    1.10,
    1.00)</f>
        <v/>
      </c>
      <c r="O6665">
        <f>IF('Loan Tape (S&amp;P)'!T6665="Yes",
    1.35,
    1.00)</f>
        <v/>
      </c>
      <c r="P6665">
        <f>IF('Loan Tape (S&amp;P)'!S6665="Yes",
    1.15,
    1.00)</f>
        <v/>
      </c>
      <c r="Q6665">
        <f>IF('Loan Tape (S&amp;P)'!V6665="Yes",
    1.20,
    1.00)</f>
        <v/>
      </c>
      <c r="T6665">
        <f>LET(
    payment_method,'Loan Tape (S&amp;P)'!P6665,
    occupancy,'Loan Tape (S&amp;P)'!N6665,
    maturity_date,'Loan Tape (S&amp;P)'!L6665,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66">
      <c r="J6666">
        <f>LET(
    lien,'Loan Tape (S&amp;P)'!Q6666,
    IF(lien="First",1.00,
        IF(lien="Second",1.50,
            1.70)))</f>
        <v/>
      </c>
      <c r="K6666">
        <f>LET(
    purpose,'Loan Tape (S&amp;P)'!R6666,
    IF(purpose="Purchase",1.00,
        IF(purpose="Remortgage",1.00,
            1.20)))</f>
        <v/>
      </c>
      <c r="L6666">
        <f>LET(
    arrears_months,'Loan Tape (S&amp;P)'!AN6666,
    IF(arrears_months=0,1.00,
    IF(arrears_months=1,3.00,
    IF(arrears_months=2,5.00,
    IF(arrears_months=3,8.00,
    IF(arrears_months=4,10.00,
    IF(arrears_months=5,12.00,15.00)))))))</f>
        <v/>
      </c>
      <c r="M6666">
        <f>LET(
    seasoning_years,DATEDIF('Loan Tape (S&amp;P)'!K6666,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66">
        <f>IF(AND('Loan Tape (S&amp;P)'!U6666="Yes",
        'Loan Tape (S&amp;P)'!T6666&lt;&gt;"Yes",
        DATEDIF('Loan Tape (S&amp;P)'!K6666, TODAY(), "M")&lt;18),
    1.10,
    1.00)</f>
        <v/>
      </c>
      <c r="O6666">
        <f>IF('Loan Tape (S&amp;P)'!T6666="Yes",
    1.35,
    1.00)</f>
        <v/>
      </c>
      <c r="P6666">
        <f>IF('Loan Tape (S&amp;P)'!S6666="Yes",
    1.15,
    1.00)</f>
        <v/>
      </c>
      <c r="Q6666">
        <f>IF('Loan Tape (S&amp;P)'!V6666="Yes",
    1.20,
    1.00)</f>
        <v/>
      </c>
      <c r="T6666">
        <f>LET(
    payment_method,'Loan Tape (S&amp;P)'!P6666,
    occupancy,'Loan Tape (S&amp;P)'!N6666,
    maturity_date,'Loan Tape (S&amp;P)'!L6666,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67">
      <c r="J6667">
        <f>LET(
    lien,'Loan Tape (S&amp;P)'!Q6667,
    IF(lien="First",1.00,
        IF(lien="Second",1.50,
            1.70)))</f>
        <v/>
      </c>
      <c r="K6667">
        <f>LET(
    purpose,'Loan Tape (S&amp;P)'!R6667,
    IF(purpose="Purchase",1.00,
        IF(purpose="Remortgage",1.00,
            1.20)))</f>
        <v/>
      </c>
      <c r="L6667">
        <f>LET(
    arrears_months,'Loan Tape (S&amp;P)'!AN6667,
    IF(arrears_months=0,1.00,
    IF(arrears_months=1,3.00,
    IF(arrears_months=2,5.00,
    IF(arrears_months=3,8.00,
    IF(arrears_months=4,10.00,
    IF(arrears_months=5,12.00,15.00)))))))</f>
        <v/>
      </c>
      <c r="M6667">
        <f>LET(
    seasoning_years,DATEDIF('Loan Tape (S&amp;P)'!K6667,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67">
        <f>IF(AND('Loan Tape (S&amp;P)'!U6667="Yes",
        'Loan Tape (S&amp;P)'!T6667&lt;&gt;"Yes",
        DATEDIF('Loan Tape (S&amp;P)'!K6667, TODAY(), "M")&lt;18),
    1.10,
    1.00)</f>
        <v/>
      </c>
      <c r="O6667">
        <f>IF('Loan Tape (S&amp;P)'!T6667="Yes",
    1.35,
    1.00)</f>
        <v/>
      </c>
      <c r="P6667">
        <f>IF('Loan Tape (S&amp;P)'!S6667="Yes",
    1.15,
    1.00)</f>
        <v/>
      </c>
      <c r="Q6667">
        <f>IF('Loan Tape (S&amp;P)'!V6667="Yes",
    1.20,
    1.00)</f>
        <v/>
      </c>
      <c r="T6667">
        <f>LET(
    payment_method,'Loan Tape (S&amp;P)'!P6667,
    occupancy,'Loan Tape (S&amp;P)'!N6667,
    maturity_date,'Loan Tape (S&amp;P)'!L6667,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68">
      <c r="J6668">
        <f>LET(
    lien,'Loan Tape (S&amp;P)'!Q6668,
    IF(lien="First",1.00,
        IF(lien="Second",1.50,
            1.70)))</f>
        <v/>
      </c>
      <c r="K6668">
        <f>LET(
    purpose,'Loan Tape (S&amp;P)'!R6668,
    IF(purpose="Purchase",1.00,
        IF(purpose="Remortgage",1.00,
            1.20)))</f>
        <v/>
      </c>
      <c r="L6668">
        <f>LET(
    arrears_months,'Loan Tape (S&amp;P)'!AN6668,
    IF(arrears_months=0,1.00,
    IF(arrears_months=1,3.00,
    IF(arrears_months=2,5.00,
    IF(arrears_months=3,8.00,
    IF(arrears_months=4,10.00,
    IF(arrears_months=5,12.00,15.00)))))))</f>
        <v/>
      </c>
      <c r="M6668">
        <f>LET(
    seasoning_years,DATEDIF('Loan Tape (S&amp;P)'!K6668,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68">
        <f>IF(AND('Loan Tape (S&amp;P)'!U6668="Yes",
        'Loan Tape (S&amp;P)'!T6668&lt;&gt;"Yes",
        DATEDIF('Loan Tape (S&amp;P)'!K6668, TODAY(), "M")&lt;18),
    1.10,
    1.00)</f>
        <v/>
      </c>
      <c r="O6668">
        <f>IF('Loan Tape (S&amp;P)'!T6668="Yes",
    1.35,
    1.00)</f>
        <v/>
      </c>
      <c r="P6668">
        <f>IF('Loan Tape (S&amp;P)'!S6668="Yes",
    1.15,
    1.00)</f>
        <v/>
      </c>
      <c r="Q6668">
        <f>IF('Loan Tape (S&amp;P)'!V6668="Yes",
    1.20,
    1.00)</f>
        <v/>
      </c>
      <c r="T6668">
        <f>LET(
    payment_method,'Loan Tape (S&amp;P)'!P6668,
    occupancy,'Loan Tape (S&amp;P)'!N6668,
    maturity_date,'Loan Tape (S&amp;P)'!L6668,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69">
      <c r="J6669">
        <f>LET(
    lien,'Loan Tape (S&amp;P)'!Q6669,
    IF(lien="First",1.00,
        IF(lien="Second",1.50,
            1.70)))</f>
        <v/>
      </c>
      <c r="K6669">
        <f>LET(
    purpose,'Loan Tape (S&amp;P)'!R6669,
    IF(purpose="Purchase",1.00,
        IF(purpose="Remortgage",1.00,
            1.20)))</f>
        <v/>
      </c>
      <c r="L6669">
        <f>LET(
    arrears_months,'Loan Tape (S&amp;P)'!AN6669,
    IF(arrears_months=0,1.00,
    IF(arrears_months=1,3.00,
    IF(arrears_months=2,5.00,
    IF(arrears_months=3,8.00,
    IF(arrears_months=4,10.00,
    IF(arrears_months=5,12.00,15.00)))))))</f>
        <v/>
      </c>
      <c r="M6669">
        <f>LET(
    seasoning_years,DATEDIF('Loan Tape (S&amp;P)'!K6669,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69">
        <f>IF(AND('Loan Tape (S&amp;P)'!U6669="Yes",
        'Loan Tape (S&amp;P)'!T6669&lt;&gt;"Yes",
        DATEDIF('Loan Tape (S&amp;P)'!K6669, TODAY(), "M")&lt;18),
    1.10,
    1.00)</f>
        <v/>
      </c>
      <c r="O6669">
        <f>IF('Loan Tape (S&amp;P)'!T6669="Yes",
    1.35,
    1.00)</f>
        <v/>
      </c>
      <c r="P6669">
        <f>IF('Loan Tape (S&amp;P)'!S6669="Yes",
    1.15,
    1.00)</f>
        <v/>
      </c>
      <c r="Q6669">
        <f>IF('Loan Tape (S&amp;P)'!V6669="Yes",
    1.20,
    1.00)</f>
        <v/>
      </c>
      <c r="T6669">
        <f>LET(
    payment_method,'Loan Tape (S&amp;P)'!P6669,
    occupancy,'Loan Tape (S&amp;P)'!N6669,
    maturity_date,'Loan Tape (S&amp;P)'!L6669,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70">
      <c r="J6670">
        <f>LET(
    lien,'Loan Tape (S&amp;P)'!Q6670,
    IF(lien="First",1.00,
        IF(lien="Second",1.50,
            1.70)))</f>
        <v/>
      </c>
      <c r="K6670">
        <f>LET(
    purpose,'Loan Tape (S&amp;P)'!R6670,
    IF(purpose="Purchase",1.00,
        IF(purpose="Remortgage",1.00,
            1.20)))</f>
        <v/>
      </c>
      <c r="L6670">
        <f>LET(
    arrears_months,'Loan Tape (S&amp;P)'!AN6670,
    IF(arrears_months=0,1.00,
    IF(arrears_months=1,3.00,
    IF(arrears_months=2,5.00,
    IF(arrears_months=3,8.00,
    IF(arrears_months=4,10.00,
    IF(arrears_months=5,12.00,15.00)))))))</f>
        <v/>
      </c>
      <c r="M6670">
        <f>LET(
    seasoning_years,DATEDIF('Loan Tape (S&amp;P)'!K6670,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70">
        <f>IF(AND('Loan Tape (S&amp;P)'!U6670="Yes",
        'Loan Tape (S&amp;P)'!T6670&lt;&gt;"Yes",
        DATEDIF('Loan Tape (S&amp;P)'!K6670, TODAY(), "M")&lt;18),
    1.10,
    1.00)</f>
        <v/>
      </c>
      <c r="O6670">
        <f>IF('Loan Tape (S&amp;P)'!T6670="Yes",
    1.35,
    1.00)</f>
        <v/>
      </c>
      <c r="P6670">
        <f>IF('Loan Tape (S&amp;P)'!S6670="Yes",
    1.15,
    1.00)</f>
        <v/>
      </c>
      <c r="Q6670">
        <f>IF('Loan Tape (S&amp;P)'!V6670="Yes",
    1.20,
    1.00)</f>
        <v/>
      </c>
      <c r="T6670">
        <f>LET(
    payment_method,'Loan Tape (S&amp;P)'!P6670,
    occupancy,'Loan Tape (S&amp;P)'!N6670,
    maturity_date,'Loan Tape (S&amp;P)'!L6670,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71">
      <c r="J6671">
        <f>LET(
    lien,'Loan Tape (S&amp;P)'!Q6671,
    IF(lien="First",1.00,
        IF(lien="Second",1.50,
            1.70)))</f>
        <v/>
      </c>
      <c r="K6671">
        <f>LET(
    purpose,'Loan Tape (S&amp;P)'!R6671,
    IF(purpose="Purchase",1.00,
        IF(purpose="Remortgage",1.00,
            1.20)))</f>
        <v/>
      </c>
      <c r="L6671">
        <f>LET(
    arrears_months,'Loan Tape (S&amp;P)'!AN6671,
    IF(arrears_months=0,1.00,
    IF(arrears_months=1,3.00,
    IF(arrears_months=2,5.00,
    IF(arrears_months=3,8.00,
    IF(arrears_months=4,10.00,
    IF(arrears_months=5,12.00,15.00)))))))</f>
        <v/>
      </c>
      <c r="M6671">
        <f>LET(
    seasoning_years,DATEDIF('Loan Tape (S&amp;P)'!K6671,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71">
        <f>IF(AND('Loan Tape (S&amp;P)'!U6671="Yes",
        'Loan Tape (S&amp;P)'!T6671&lt;&gt;"Yes",
        DATEDIF('Loan Tape (S&amp;P)'!K6671, TODAY(), "M")&lt;18),
    1.10,
    1.00)</f>
        <v/>
      </c>
      <c r="O6671">
        <f>IF('Loan Tape (S&amp;P)'!T6671="Yes",
    1.35,
    1.00)</f>
        <v/>
      </c>
      <c r="P6671">
        <f>IF('Loan Tape (S&amp;P)'!S6671="Yes",
    1.15,
    1.00)</f>
        <v/>
      </c>
      <c r="Q6671">
        <f>IF('Loan Tape (S&amp;P)'!V6671="Yes",
    1.20,
    1.00)</f>
        <v/>
      </c>
      <c r="T6671">
        <f>LET(
    payment_method,'Loan Tape (S&amp;P)'!P6671,
    occupancy,'Loan Tape (S&amp;P)'!N6671,
    maturity_date,'Loan Tape (S&amp;P)'!L6671,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72">
      <c r="J6672">
        <f>LET(
    lien,'Loan Tape (S&amp;P)'!Q6672,
    IF(lien="First",1.00,
        IF(lien="Second",1.50,
            1.70)))</f>
        <v/>
      </c>
      <c r="K6672">
        <f>LET(
    purpose,'Loan Tape (S&amp;P)'!R6672,
    IF(purpose="Purchase",1.00,
        IF(purpose="Remortgage",1.00,
            1.20)))</f>
        <v/>
      </c>
      <c r="L6672">
        <f>LET(
    arrears_months,'Loan Tape (S&amp;P)'!AN6672,
    IF(arrears_months=0,1.00,
    IF(arrears_months=1,3.00,
    IF(arrears_months=2,5.00,
    IF(arrears_months=3,8.00,
    IF(arrears_months=4,10.00,
    IF(arrears_months=5,12.00,15.00)))))))</f>
        <v/>
      </c>
      <c r="M6672">
        <f>LET(
    seasoning_years,DATEDIF('Loan Tape (S&amp;P)'!K6672,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72">
        <f>IF(AND('Loan Tape (S&amp;P)'!U6672="Yes",
        'Loan Tape (S&amp;P)'!T6672&lt;&gt;"Yes",
        DATEDIF('Loan Tape (S&amp;P)'!K6672, TODAY(), "M")&lt;18),
    1.10,
    1.00)</f>
        <v/>
      </c>
      <c r="O6672">
        <f>IF('Loan Tape (S&amp;P)'!T6672="Yes",
    1.35,
    1.00)</f>
        <v/>
      </c>
      <c r="P6672">
        <f>IF('Loan Tape (S&amp;P)'!S6672="Yes",
    1.15,
    1.00)</f>
        <v/>
      </c>
      <c r="Q6672">
        <f>IF('Loan Tape (S&amp;P)'!V6672="Yes",
    1.20,
    1.00)</f>
        <v/>
      </c>
      <c r="T6672">
        <f>LET(
    payment_method,'Loan Tape (S&amp;P)'!P6672,
    occupancy,'Loan Tape (S&amp;P)'!N6672,
    maturity_date,'Loan Tape (S&amp;P)'!L6672,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73">
      <c r="J6673">
        <f>LET(
    lien,'Loan Tape (S&amp;P)'!Q6673,
    IF(lien="First",1.00,
        IF(lien="Second",1.50,
            1.70)))</f>
        <v/>
      </c>
      <c r="K6673">
        <f>LET(
    purpose,'Loan Tape (S&amp;P)'!R6673,
    IF(purpose="Purchase",1.00,
        IF(purpose="Remortgage",1.00,
            1.20)))</f>
        <v/>
      </c>
      <c r="L6673">
        <f>LET(
    arrears_months,'Loan Tape (S&amp;P)'!AN6673,
    IF(arrears_months=0,1.00,
    IF(arrears_months=1,3.00,
    IF(arrears_months=2,5.00,
    IF(arrears_months=3,8.00,
    IF(arrears_months=4,10.00,
    IF(arrears_months=5,12.00,15.00)))))))</f>
        <v/>
      </c>
      <c r="M6673">
        <f>LET(
    seasoning_years,DATEDIF('Loan Tape (S&amp;P)'!K6673,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73">
        <f>IF(AND('Loan Tape (S&amp;P)'!U6673="Yes",
        'Loan Tape (S&amp;P)'!T6673&lt;&gt;"Yes",
        DATEDIF('Loan Tape (S&amp;P)'!K6673, TODAY(), "M")&lt;18),
    1.10,
    1.00)</f>
        <v/>
      </c>
      <c r="O6673">
        <f>IF('Loan Tape (S&amp;P)'!T6673="Yes",
    1.35,
    1.00)</f>
        <v/>
      </c>
      <c r="P6673">
        <f>IF('Loan Tape (S&amp;P)'!S6673="Yes",
    1.15,
    1.00)</f>
        <v/>
      </c>
      <c r="Q6673">
        <f>IF('Loan Tape (S&amp;P)'!V6673="Yes",
    1.20,
    1.00)</f>
        <v/>
      </c>
      <c r="T6673">
        <f>LET(
    payment_method,'Loan Tape (S&amp;P)'!P6673,
    occupancy,'Loan Tape (S&amp;P)'!N6673,
    maturity_date,'Loan Tape (S&amp;P)'!L6673,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74">
      <c r="J6674">
        <f>LET(
    lien,'Loan Tape (S&amp;P)'!Q6674,
    IF(lien="First",1.00,
        IF(lien="Second",1.50,
            1.70)))</f>
        <v/>
      </c>
      <c r="K6674">
        <f>LET(
    purpose,'Loan Tape (S&amp;P)'!R6674,
    IF(purpose="Purchase",1.00,
        IF(purpose="Remortgage",1.00,
            1.20)))</f>
        <v/>
      </c>
      <c r="L6674">
        <f>LET(
    arrears_months,'Loan Tape (S&amp;P)'!AN6674,
    IF(arrears_months=0,1.00,
    IF(arrears_months=1,3.00,
    IF(arrears_months=2,5.00,
    IF(arrears_months=3,8.00,
    IF(arrears_months=4,10.00,
    IF(arrears_months=5,12.00,15.00)))))))</f>
        <v/>
      </c>
      <c r="M6674">
        <f>LET(
    seasoning_years,DATEDIF('Loan Tape (S&amp;P)'!K6674,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74">
        <f>IF(AND('Loan Tape (S&amp;P)'!U6674="Yes",
        'Loan Tape (S&amp;P)'!T6674&lt;&gt;"Yes",
        DATEDIF('Loan Tape (S&amp;P)'!K6674, TODAY(), "M")&lt;18),
    1.10,
    1.00)</f>
        <v/>
      </c>
      <c r="O6674">
        <f>IF('Loan Tape (S&amp;P)'!T6674="Yes",
    1.35,
    1.00)</f>
        <v/>
      </c>
      <c r="P6674">
        <f>IF('Loan Tape (S&amp;P)'!S6674="Yes",
    1.15,
    1.00)</f>
        <v/>
      </c>
      <c r="Q6674">
        <f>IF('Loan Tape (S&amp;P)'!V6674="Yes",
    1.20,
    1.00)</f>
        <v/>
      </c>
      <c r="T6674">
        <f>LET(
    payment_method,'Loan Tape (S&amp;P)'!P6674,
    occupancy,'Loan Tape (S&amp;P)'!N6674,
    maturity_date,'Loan Tape (S&amp;P)'!L6674,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75">
      <c r="J6675">
        <f>LET(
    lien,'Loan Tape (S&amp;P)'!Q6675,
    IF(lien="First",1.00,
        IF(lien="Second",1.50,
            1.70)))</f>
        <v/>
      </c>
      <c r="K6675">
        <f>LET(
    purpose,'Loan Tape (S&amp;P)'!R6675,
    IF(purpose="Purchase",1.00,
        IF(purpose="Remortgage",1.00,
            1.20)))</f>
        <v/>
      </c>
      <c r="L6675">
        <f>LET(
    arrears_months,'Loan Tape (S&amp;P)'!AN6675,
    IF(arrears_months=0,1.00,
    IF(arrears_months=1,3.00,
    IF(arrears_months=2,5.00,
    IF(arrears_months=3,8.00,
    IF(arrears_months=4,10.00,
    IF(arrears_months=5,12.00,15.00)))))))</f>
        <v/>
      </c>
      <c r="M6675">
        <f>LET(
    seasoning_years,DATEDIF('Loan Tape (S&amp;P)'!K6675,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75">
        <f>IF(AND('Loan Tape (S&amp;P)'!U6675="Yes",
        'Loan Tape (S&amp;P)'!T6675&lt;&gt;"Yes",
        DATEDIF('Loan Tape (S&amp;P)'!K6675, TODAY(), "M")&lt;18),
    1.10,
    1.00)</f>
        <v/>
      </c>
      <c r="O6675">
        <f>IF('Loan Tape (S&amp;P)'!T6675="Yes",
    1.35,
    1.00)</f>
        <v/>
      </c>
      <c r="P6675">
        <f>IF('Loan Tape (S&amp;P)'!S6675="Yes",
    1.15,
    1.00)</f>
        <v/>
      </c>
      <c r="Q6675">
        <f>IF('Loan Tape (S&amp;P)'!V6675="Yes",
    1.20,
    1.00)</f>
        <v/>
      </c>
      <c r="T6675">
        <f>LET(
    payment_method,'Loan Tape (S&amp;P)'!P6675,
    occupancy,'Loan Tape (S&amp;P)'!N6675,
    maturity_date,'Loan Tape (S&amp;P)'!L6675,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76">
      <c r="J6676">
        <f>LET(
    lien,'Loan Tape (S&amp;P)'!Q6676,
    IF(lien="First",1.00,
        IF(lien="Second",1.50,
            1.70)))</f>
        <v/>
      </c>
      <c r="K6676">
        <f>LET(
    purpose,'Loan Tape (S&amp;P)'!R6676,
    IF(purpose="Purchase",1.00,
        IF(purpose="Remortgage",1.00,
            1.20)))</f>
        <v/>
      </c>
      <c r="L6676">
        <f>LET(
    arrears_months,'Loan Tape (S&amp;P)'!AN6676,
    IF(arrears_months=0,1.00,
    IF(arrears_months=1,3.00,
    IF(arrears_months=2,5.00,
    IF(arrears_months=3,8.00,
    IF(arrears_months=4,10.00,
    IF(arrears_months=5,12.00,15.00)))))))</f>
        <v/>
      </c>
      <c r="M6676">
        <f>LET(
    seasoning_years,DATEDIF('Loan Tape (S&amp;P)'!K6676,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76">
        <f>IF(AND('Loan Tape (S&amp;P)'!U6676="Yes",
        'Loan Tape (S&amp;P)'!T6676&lt;&gt;"Yes",
        DATEDIF('Loan Tape (S&amp;P)'!K6676, TODAY(), "M")&lt;18),
    1.10,
    1.00)</f>
        <v/>
      </c>
      <c r="O6676">
        <f>IF('Loan Tape (S&amp;P)'!T6676="Yes",
    1.35,
    1.00)</f>
        <v/>
      </c>
      <c r="P6676">
        <f>IF('Loan Tape (S&amp;P)'!S6676="Yes",
    1.15,
    1.00)</f>
        <v/>
      </c>
      <c r="Q6676">
        <f>IF('Loan Tape (S&amp;P)'!V6676="Yes",
    1.20,
    1.00)</f>
        <v/>
      </c>
      <c r="T6676">
        <f>LET(
    payment_method,'Loan Tape (S&amp;P)'!P6676,
    occupancy,'Loan Tape (S&amp;P)'!N6676,
    maturity_date,'Loan Tape (S&amp;P)'!L6676,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77">
      <c r="J6677">
        <f>LET(
    lien,'Loan Tape (S&amp;P)'!Q6677,
    IF(lien="First",1.00,
        IF(lien="Second",1.50,
            1.70)))</f>
        <v/>
      </c>
      <c r="K6677">
        <f>LET(
    purpose,'Loan Tape (S&amp;P)'!R6677,
    IF(purpose="Purchase",1.00,
        IF(purpose="Remortgage",1.00,
            1.20)))</f>
        <v/>
      </c>
      <c r="L6677">
        <f>LET(
    arrears_months,'Loan Tape (S&amp;P)'!AN6677,
    IF(arrears_months=0,1.00,
    IF(arrears_months=1,3.00,
    IF(arrears_months=2,5.00,
    IF(arrears_months=3,8.00,
    IF(arrears_months=4,10.00,
    IF(arrears_months=5,12.00,15.00)))))))</f>
        <v/>
      </c>
      <c r="M6677">
        <f>LET(
    seasoning_years,DATEDIF('Loan Tape (S&amp;P)'!K6677,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77">
        <f>IF(AND('Loan Tape (S&amp;P)'!U6677="Yes",
        'Loan Tape (S&amp;P)'!T6677&lt;&gt;"Yes",
        DATEDIF('Loan Tape (S&amp;P)'!K6677, TODAY(), "M")&lt;18),
    1.10,
    1.00)</f>
        <v/>
      </c>
      <c r="O6677">
        <f>IF('Loan Tape (S&amp;P)'!T6677="Yes",
    1.35,
    1.00)</f>
        <v/>
      </c>
      <c r="P6677">
        <f>IF('Loan Tape (S&amp;P)'!S6677="Yes",
    1.15,
    1.00)</f>
        <v/>
      </c>
      <c r="Q6677">
        <f>IF('Loan Tape (S&amp;P)'!V6677="Yes",
    1.20,
    1.00)</f>
        <v/>
      </c>
      <c r="T6677">
        <f>LET(
    payment_method,'Loan Tape (S&amp;P)'!P6677,
    occupancy,'Loan Tape (S&amp;P)'!N6677,
    maturity_date,'Loan Tape (S&amp;P)'!L6677,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78">
      <c r="J6678">
        <f>LET(
    lien,'Loan Tape (S&amp;P)'!Q6678,
    IF(lien="First",1.00,
        IF(lien="Second",1.50,
            1.70)))</f>
        <v/>
      </c>
      <c r="K6678">
        <f>LET(
    purpose,'Loan Tape (S&amp;P)'!R6678,
    IF(purpose="Purchase",1.00,
        IF(purpose="Remortgage",1.00,
            1.20)))</f>
        <v/>
      </c>
      <c r="L6678">
        <f>LET(
    arrears_months,'Loan Tape (S&amp;P)'!AN6678,
    IF(arrears_months=0,1.00,
    IF(arrears_months=1,3.00,
    IF(arrears_months=2,5.00,
    IF(arrears_months=3,8.00,
    IF(arrears_months=4,10.00,
    IF(arrears_months=5,12.00,15.00)))))))</f>
        <v/>
      </c>
      <c r="M6678">
        <f>LET(
    seasoning_years,DATEDIF('Loan Tape (S&amp;P)'!K6678,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78">
        <f>IF(AND('Loan Tape (S&amp;P)'!U6678="Yes",
        'Loan Tape (S&amp;P)'!T6678&lt;&gt;"Yes",
        DATEDIF('Loan Tape (S&amp;P)'!K6678, TODAY(), "M")&lt;18),
    1.10,
    1.00)</f>
        <v/>
      </c>
      <c r="O6678">
        <f>IF('Loan Tape (S&amp;P)'!T6678="Yes",
    1.35,
    1.00)</f>
        <v/>
      </c>
      <c r="P6678">
        <f>IF('Loan Tape (S&amp;P)'!S6678="Yes",
    1.15,
    1.00)</f>
        <v/>
      </c>
      <c r="Q6678">
        <f>IF('Loan Tape (S&amp;P)'!V6678="Yes",
    1.20,
    1.00)</f>
        <v/>
      </c>
      <c r="T6678">
        <f>LET(
    payment_method,'Loan Tape (S&amp;P)'!P6678,
    occupancy,'Loan Tape (S&amp;P)'!N6678,
    maturity_date,'Loan Tape (S&amp;P)'!L6678,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79">
      <c r="J6679">
        <f>LET(
    lien,'Loan Tape (S&amp;P)'!Q6679,
    IF(lien="First",1.00,
        IF(lien="Second",1.50,
            1.70)))</f>
        <v/>
      </c>
      <c r="K6679">
        <f>LET(
    purpose,'Loan Tape (S&amp;P)'!R6679,
    IF(purpose="Purchase",1.00,
        IF(purpose="Remortgage",1.00,
            1.20)))</f>
        <v/>
      </c>
      <c r="L6679">
        <f>LET(
    arrears_months,'Loan Tape (S&amp;P)'!AN6679,
    IF(arrears_months=0,1.00,
    IF(arrears_months=1,3.00,
    IF(arrears_months=2,5.00,
    IF(arrears_months=3,8.00,
    IF(arrears_months=4,10.00,
    IF(arrears_months=5,12.00,15.00)))))))</f>
        <v/>
      </c>
      <c r="M6679">
        <f>LET(
    seasoning_years,DATEDIF('Loan Tape (S&amp;P)'!K6679,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79">
        <f>IF(AND('Loan Tape (S&amp;P)'!U6679="Yes",
        'Loan Tape (S&amp;P)'!T6679&lt;&gt;"Yes",
        DATEDIF('Loan Tape (S&amp;P)'!K6679, TODAY(), "M")&lt;18),
    1.10,
    1.00)</f>
        <v/>
      </c>
      <c r="O6679">
        <f>IF('Loan Tape (S&amp;P)'!T6679="Yes",
    1.35,
    1.00)</f>
        <v/>
      </c>
      <c r="P6679">
        <f>IF('Loan Tape (S&amp;P)'!S6679="Yes",
    1.15,
    1.00)</f>
        <v/>
      </c>
      <c r="Q6679">
        <f>IF('Loan Tape (S&amp;P)'!V6679="Yes",
    1.20,
    1.00)</f>
        <v/>
      </c>
      <c r="T6679">
        <f>LET(
    payment_method,'Loan Tape (S&amp;P)'!P6679,
    occupancy,'Loan Tape (S&amp;P)'!N6679,
    maturity_date,'Loan Tape (S&amp;P)'!L6679,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80">
      <c r="J6680">
        <f>LET(
    lien,'Loan Tape (S&amp;P)'!Q6680,
    IF(lien="First",1.00,
        IF(lien="Second",1.50,
            1.70)))</f>
        <v/>
      </c>
      <c r="K6680">
        <f>LET(
    purpose,'Loan Tape (S&amp;P)'!R6680,
    IF(purpose="Purchase",1.00,
        IF(purpose="Remortgage",1.00,
            1.20)))</f>
        <v/>
      </c>
      <c r="L6680">
        <f>LET(
    arrears_months,'Loan Tape (S&amp;P)'!AN6680,
    IF(arrears_months=0,1.00,
    IF(arrears_months=1,3.00,
    IF(arrears_months=2,5.00,
    IF(arrears_months=3,8.00,
    IF(arrears_months=4,10.00,
    IF(arrears_months=5,12.00,15.00)))))))</f>
        <v/>
      </c>
      <c r="M6680">
        <f>LET(
    seasoning_years,DATEDIF('Loan Tape (S&amp;P)'!K6680,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80">
        <f>IF(AND('Loan Tape (S&amp;P)'!U6680="Yes",
        'Loan Tape (S&amp;P)'!T6680&lt;&gt;"Yes",
        DATEDIF('Loan Tape (S&amp;P)'!K6680, TODAY(), "M")&lt;18),
    1.10,
    1.00)</f>
        <v/>
      </c>
      <c r="O6680">
        <f>IF('Loan Tape (S&amp;P)'!T6680="Yes",
    1.35,
    1.00)</f>
        <v/>
      </c>
      <c r="P6680">
        <f>IF('Loan Tape (S&amp;P)'!S6680="Yes",
    1.15,
    1.00)</f>
        <v/>
      </c>
      <c r="Q6680">
        <f>IF('Loan Tape (S&amp;P)'!V6680="Yes",
    1.20,
    1.00)</f>
        <v/>
      </c>
      <c r="T6680">
        <f>LET(
    payment_method,'Loan Tape (S&amp;P)'!P6680,
    occupancy,'Loan Tape (S&amp;P)'!N6680,
    maturity_date,'Loan Tape (S&amp;P)'!L6680,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81">
      <c r="J6681">
        <f>LET(
    lien,'Loan Tape (S&amp;P)'!Q6681,
    IF(lien="First",1.00,
        IF(lien="Second",1.50,
            1.70)))</f>
        <v/>
      </c>
      <c r="K6681">
        <f>LET(
    purpose,'Loan Tape (S&amp;P)'!R6681,
    IF(purpose="Purchase",1.00,
        IF(purpose="Remortgage",1.00,
            1.20)))</f>
        <v/>
      </c>
      <c r="L6681">
        <f>LET(
    arrears_months,'Loan Tape (S&amp;P)'!AN6681,
    IF(arrears_months=0,1.00,
    IF(arrears_months=1,3.00,
    IF(arrears_months=2,5.00,
    IF(arrears_months=3,8.00,
    IF(arrears_months=4,10.00,
    IF(arrears_months=5,12.00,15.00)))))))</f>
        <v/>
      </c>
      <c r="M6681">
        <f>LET(
    seasoning_years,DATEDIF('Loan Tape (S&amp;P)'!K6681,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81">
        <f>IF(AND('Loan Tape (S&amp;P)'!U6681="Yes",
        'Loan Tape (S&amp;P)'!T6681&lt;&gt;"Yes",
        DATEDIF('Loan Tape (S&amp;P)'!K6681, TODAY(), "M")&lt;18),
    1.10,
    1.00)</f>
        <v/>
      </c>
      <c r="O6681">
        <f>IF('Loan Tape (S&amp;P)'!T6681="Yes",
    1.35,
    1.00)</f>
        <v/>
      </c>
      <c r="P6681">
        <f>IF('Loan Tape (S&amp;P)'!S6681="Yes",
    1.15,
    1.00)</f>
        <v/>
      </c>
      <c r="Q6681">
        <f>IF('Loan Tape (S&amp;P)'!V6681="Yes",
    1.20,
    1.00)</f>
        <v/>
      </c>
      <c r="T6681">
        <f>LET(
    payment_method,'Loan Tape (S&amp;P)'!P6681,
    occupancy,'Loan Tape (S&amp;P)'!N6681,
    maturity_date,'Loan Tape (S&amp;P)'!L6681,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82">
      <c r="J6682">
        <f>LET(
    lien,'Loan Tape (S&amp;P)'!Q6682,
    IF(lien="First",1.00,
        IF(lien="Second",1.50,
            1.70)))</f>
        <v/>
      </c>
      <c r="K6682">
        <f>LET(
    purpose,'Loan Tape (S&amp;P)'!R6682,
    IF(purpose="Purchase",1.00,
        IF(purpose="Remortgage",1.00,
            1.20)))</f>
        <v/>
      </c>
      <c r="L6682">
        <f>LET(
    arrears_months,'Loan Tape (S&amp;P)'!AN6682,
    IF(arrears_months=0,1.00,
    IF(arrears_months=1,3.00,
    IF(arrears_months=2,5.00,
    IF(arrears_months=3,8.00,
    IF(arrears_months=4,10.00,
    IF(arrears_months=5,12.00,15.00)))))))</f>
        <v/>
      </c>
      <c r="M6682">
        <f>LET(
    seasoning_years,DATEDIF('Loan Tape (S&amp;P)'!K6682,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82">
        <f>IF(AND('Loan Tape (S&amp;P)'!U6682="Yes",
        'Loan Tape (S&amp;P)'!T6682&lt;&gt;"Yes",
        DATEDIF('Loan Tape (S&amp;P)'!K6682, TODAY(), "M")&lt;18),
    1.10,
    1.00)</f>
        <v/>
      </c>
      <c r="O6682">
        <f>IF('Loan Tape (S&amp;P)'!T6682="Yes",
    1.35,
    1.00)</f>
        <v/>
      </c>
      <c r="P6682">
        <f>IF('Loan Tape (S&amp;P)'!S6682="Yes",
    1.15,
    1.00)</f>
        <v/>
      </c>
      <c r="Q6682">
        <f>IF('Loan Tape (S&amp;P)'!V6682="Yes",
    1.20,
    1.00)</f>
        <v/>
      </c>
      <c r="T6682">
        <f>LET(
    payment_method,'Loan Tape (S&amp;P)'!P6682,
    occupancy,'Loan Tape (S&amp;P)'!N6682,
    maturity_date,'Loan Tape (S&amp;P)'!L6682,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83">
      <c r="J6683">
        <f>LET(
    lien,'Loan Tape (S&amp;P)'!Q6683,
    IF(lien="First",1.00,
        IF(lien="Second",1.50,
            1.70)))</f>
        <v/>
      </c>
      <c r="K6683">
        <f>LET(
    purpose,'Loan Tape (S&amp;P)'!R6683,
    IF(purpose="Purchase",1.00,
        IF(purpose="Remortgage",1.00,
            1.20)))</f>
        <v/>
      </c>
      <c r="L6683">
        <f>LET(
    arrears_months,'Loan Tape (S&amp;P)'!AN6683,
    IF(arrears_months=0,1.00,
    IF(arrears_months=1,3.00,
    IF(arrears_months=2,5.00,
    IF(arrears_months=3,8.00,
    IF(arrears_months=4,10.00,
    IF(arrears_months=5,12.00,15.00)))))))</f>
        <v/>
      </c>
      <c r="M6683">
        <f>LET(
    seasoning_years,DATEDIF('Loan Tape (S&amp;P)'!K6683,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83">
        <f>IF(AND('Loan Tape (S&amp;P)'!U6683="Yes",
        'Loan Tape (S&amp;P)'!T6683&lt;&gt;"Yes",
        DATEDIF('Loan Tape (S&amp;P)'!K6683, TODAY(), "M")&lt;18),
    1.10,
    1.00)</f>
        <v/>
      </c>
      <c r="O6683">
        <f>IF('Loan Tape (S&amp;P)'!T6683="Yes",
    1.35,
    1.00)</f>
        <v/>
      </c>
      <c r="P6683">
        <f>IF('Loan Tape (S&amp;P)'!S6683="Yes",
    1.15,
    1.00)</f>
        <v/>
      </c>
      <c r="Q6683">
        <f>IF('Loan Tape (S&amp;P)'!V6683="Yes",
    1.20,
    1.00)</f>
        <v/>
      </c>
      <c r="T6683">
        <f>LET(
    payment_method,'Loan Tape (S&amp;P)'!P6683,
    occupancy,'Loan Tape (S&amp;P)'!N6683,
    maturity_date,'Loan Tape (S&amp;P)'!L6683,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84">
      <c r="J6684">
        <f>LET(
    lien,'Loan Tape (S&amp;P)'!Q6684,
    IF(lien="First",1.00,
        IF(lien="Second",1.50,
            1.70)))</f>
        <v/>
      </c>
      <c r="K6684">
        <f>LET(
    purpose,'Loan Tape (S&amp;P)'!R6684,
    IF(purpose="Purchase",1.00,
        IF(purpose="Remortgage",1.00,
            1.20)))</f>
        <v/>
      </c>
      <c r="L6684">
        <f>LET(
    arrears_months,'Loan Tape (S&amp;P)'!AN6684,
    IF(arrears_months=0,1.00,
    IF(arrears_months=1,3.00,
    IF(arrears_months=2,5.00,
    IF(arrears_months=3,8.00,
    IF(arrears_months=4,10.00,
    IF(arrears_months=5,12.00,15.00)))))))</f>
        <v/>
      </c>
      <c r="M6684">
        <f>LET(
    seasoning_years,DATEDIF('Loan Tape (S&amp;P)'!K6684,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84">
        <f>IF(AND('Loan Tape (S&amp;P)'!U6684="Yes",
        'Loan Tape (S&amp;P)'!T6684&lt;&gt;"Yes",
        DATEDIF('Loan Tape (S&amp;P)'!K6684, TODAY(), "M")&lt;18),
    1.10,
    1.00)</f>
        <v/>
      </c>
      <c r="O6684">
        <f>IF('Loan Tape (S&amp;P)'!T6684="Yes",
    1.35,
    1.00)</f>
        <v/>
      </c>
      <c r="P6684">
        <f>IF('Loan Tape (S&amp;P)'!S6684="Yes",
    1.15,
    1.00)</f>
        <v/>
      </c>
      <c r="Q6684">
        <f>IF('Loan Tape (S&amp;P)'!V6684="Yes",
    1.20,
    1.00)</f>
        <v/>
      </c>
      <c r="T6684">
        <f>LET(
    payment_method,'Loan Tape (S&amp;P)'!P6684,
    occupancy,'Loan Tape (S&amp;P)'!N6684,
    maturity_date,'Loan Tape (S&amp;P)'!L6684,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85">
      <c r="J6685">
        <f>LET(
    lien,'Loan Tape (S&amp;P)'!Q6685,
    IF(lien="First",1.00,
        IF(lien="Second",1.50,
            1.70)))</f>
        <v/>
      </c>
      <c r="K6685">
        <f>LET(
    purpose,'Loan Tape (S&amp;P)'!R6685,
    IF(purpose="Purchase",1.00,
        IF(purpose="Remortgage",1.00,
            1.20)))</f>
        <v/>
      </c>
      <c r="L6685">
        <f>LET(
    arrears_months,'Loan Tape (S&amp;P)'!AN6685,
    IF(arrears_months=0,1.00,
    IF(arrears_months=1,3.00,
    IF(arrears_months=2,5.00,
    IF(arrears_months=3,8.00,
    IF(arrears_months=4,10.00,
    IF(arrears_months=5,12.00,15.00)))))))</f>
        <v/>
      </c>
      <c r="M6685">
        <f>LET(
    seasoning_years,DATEDIF('Loan Tape (S&amp;P)'!K6685,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85">
        <f>IF(AND('Loan Tape (S&amp;P)'!U6685="Yes",
        'Loan Tape (S&amp;P)'!T6685&lt;&gt;"Yes",
        DATEDIF('Loan Tape (S&amp;P)'!K6685, TODAY(), "M")&lt;18),
    1.10,
    1.00)</f>
        <v/>
      </c>
      <c r="O6685">
        <f>IF('Loan Tape (S&amp;P)'!T6685="Yes",
    1.35,
    1.00)</f>
        <v/>
      </c>
      <c r="P6685">
        <f>IF('Loan Tape (S&amp;P)'!S6685="Yes",
    1.15,
    1.00)</f>
        <v/>
      </c>
      <c r="Q6685">
        <f>IF('Loan Tape (S&amp;P)'!V6685="Yes",
    1.20,
    1.00)</f>
        <v/>
      </c>
      <c r="T6685">
        <f>LET(
    payment_method,'Loan Tape (S&amp;P)'!P6685,
    occupancy,'Loan Tape (S&amp;P)'!N6685,
    maturity_date,'Loan Tape (S&amp;P)'!L6685,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86">
      <c r="J6686">
        <f>LET(
    lien,'Loan Tape (S&amp;P)'!Q6686,
    IF(lien="First",1.00,
        IF(lien="Second",1.50,
            1.70)))</f>
        <v/>
      </c>
      <c r="K6686">
        <f>LET(
    purpose,'Loan Tape (S&amp;P)'!R6686,
    IF(purpose="Purchase",1.00,
        IF(purpose="Remortgage",1.00,
            1.20)))</f>
        <v/>
      </c>
      <c r="L6686">
        <f>LET(
    arrears_months,'Loan Tape (S&amp;P)'!AN6686,
    IF(arrears_months=0,1.00,
    IF(arrears_months=1,3.00,
    IF(arrears_months=2,5.00,
    IF(arrears_months=3,8.00,
    IF(arrears_months=4,10.00,
    IF(arrears_months=5,12.00,15.00)))))))</f>
        <v/>
      </c>
      <c r="M6686">
        <f>LET(
    seasoning_years,DATEDIF('Loan Tape (S&amp;P)'!K6686,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86">
        <f>IF(AND('Loan Tape (S&amp;P)'!U6686="Yes",
        'Loan Tape (S&amp;P)'!T6686&lt;&gt;"Yes",
        DATEDIF('Loan Tape (S&amp;P)'!K6686, TODAY(), "M")&lt;18),
    1.10,
    1.00)</f>
        <v/>
      </c>
      <c r="O6686">
        <f>IF('Loan Tape (S&amp;P)'!T6686="Yes",
    1.35,
    1.00)</f>
        <v/>
      </c>
      <c r="P6686">
        <f>IF('Loan Tape (S&amp;P)'!S6686="Yes",
    1.15,
    1.00)</f>
        <v/>
      </c>
      <c r="Q6686">
        <f>IF('Loan Tape (S&amp;P)'!V6686="Yes",
    1.20,
    1.00)</f>
        <v/>
      </c>
      <c r="T6686">
        <f>LET(
    payment_method,'Loan Tape (S&amp;P)'!P6686,
    occupancy,'Loan Tape (S&amp;P)'!N6686,
    maturity_date,'Loan Tape (S&amp;P)'!L6686,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87">
      <c r="J6687">
        <f>LET(
    lien,'Loan Tape (S&amp;P)'!Q6687,
    IF(lien="First",1.00,
        IF(lien="Second",1.50,
            1.70)))</f>
        <v/>
      </c>
      <c r="K6687">
        <f>LET(
    purpose,'Loan Tape (S&amp;P)'!R6687,
    IF(purpose="Purchase",1.00,
        IF(purpose="Remortgage",1.00,
            1.20)))</f>
        <v/>
      </c>
      <c r="L6687">
        <f>LET(
    arrears_months,'Loan Tape (S&amp;P)'!AN6687,
    IF(arrears_months=0,1.00,
    IF(arrears_months=1,3.00,
    IF(arrears_months=2,5.00,
    IF(arrears_months=3,8.00,
    IF(arrears_months=4,10.00,
    IF(arrears_months=5,12.00,15.00)))))))</f>
        <v/>
      </c>
      <c r="M6687">
        <f>LET(
    seasoning_years,DATEDIF('Loan Tape (S&amp;P)'!K6687,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87">
        <f>IF(AND('Loan Tape (S&amp;P)'!U6687="Yes",
        'Loan Tape (S&amp;P)'!T6687&lt;&gt;"Yes",
        DATEDIF('Loan Tape (S&amp;P)'!K6687, TODAY(), "M")&lt;18),
    1.10,
    1.00)</f>
        <v/>
      </c>
      <c r="O6687">
        <f>IF('Loan Tape (S&amp;P)'!T6687="Yes",
    1.35,
    1.00)</f>
        <v/>
      </c>
      <c r="P6687">
        <f>IF('Loan Tape (S&amp;P)'!S6687="Yes",
    1.15,
    1.00)</f>
        <v/>
      </c>
      <c r="Q6687">
        <f>IF('Loan Tape (S&amp;P)'!V6687="Yes",
    1.20,
    1.00)</f>
        <v/>
      </c>
      <c r="T6687">
        <f>LET(
    payment_method,'Loan Tape (S&amp;P)'!P6687,
    occupancy,'Loan Tape (S&amp;P)'!N6687,
    maturity_date,'Loan Tape (S&amp;P)'!L6687,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88">
      <c r="J6688">
        <f>LET(
    lien,'Loan Tape (S&amp;P)'!Q6688,
    IF(lien="First",1.00,
        IF(lien="Second",1.50,
            1.70)))</f>
        <v/>
      </c>
      <c r="K6688">
        <f>LET(
    purpose,'Loan Tape (S&amp;P)'!R6688,
    IF(purpose="Purchase",1.00,
        IF(purpose="Remortgage",1.00,
            1.20)))</f>
        <v/>
      </c>
      <c r="L6688">
        <f>LET(
    arrears_months,'Loan Tape (S&amp;P)'!AN6688,
    IF(arrears_months=0,1.00,
    IF(arrears_months=1,3.00,
    IF(arrears_months=2,5.00,
    IF(arrears_months=3,8.00,
    IF(arrears_months=4,10.00,
    IF(arrears_months=5,12.00,15.00)))))))</f>
        <v/>
      </c>
      <c r="M6688">
        <f>LET(
    seasoning_years,DATEDIF('Loan Tape (S&amp;P)'!K6688,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88">
        <f>IF(AND('Loan Tape (S&amp;P)'!U6688="Yes",
        'Loan Tape (S&amp;P)'!T6688&lt;&gt;"Yes",
        DATEDIF('Loan Tape (S&amp;P)'!K6688, TODAY(), "M")&lt;18),
    1.10,
    1.00)</f>
        <v/>
      </c>
      <c r="O6688">
        <f>IF('Loan Tape (S&amp;P)'!T6688="Yes",
    1.35,
    1.00)</f>
        <v/>
      </c>
      <c r="P6688">
        <f>IF('Loan Tape (S&amp;P)'!S6688="Yes",
    1.15,
    1.00)</f>
        <v/>
      </c>
      <c r="Q6688">
        <f>IF('Loan Tape (S&amp;P)'!V6688="Yes",
    1.20,
    1.00)</f>
        <v/>
      </c>
      <c r="T6688">
        <f>LET(
    payment_method,'Loan Tape (S&amp;P)'!P6688,
    occupancy,'Loan Tape (S&amp;P)'!N6688,
    maturity_date,'Loan Tape (S&amp;P)'!L6688,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89">
      <c r="J6689">
        <f>LET(
    lien,'Loan Tape (S&amp;P)'!Q6689,
    IF(lien="First",1.00,
        IF(lien="Second",1.50,
            1.70)))</f>
        <v/>
      </c>
      <c r="K6689">
        <f>LET(
    purpose,'Loan Tape (S&amp;P)'!R6689,
    IF(purpose="Purchase",1.00,
        IF(purpose="Remortgage",1.00,
            1.20)))</f>
        <v/>
      </c>
      <c r="L6689">
        <f>LET(
    arrears_months,'Loan Tape (S&amp;P)'!AN6689,
    IF(arrears_months=0,1.00,
    IF(arrears_months=1,3.00,
    IF(arrears_months=2,5.00,
    IF(arrears_months=3,8.00,
    IF(arrears_months=4,10.00,
    IF(arrears_months=5,12.00,15.00)))))))</f>
        <v/>
      </c>
      <c r="M6689">
        <f>LET(
    seasoning_years,DATEDIF('Loan Tape (S&amp;P)'!K6689,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89">
        <f>IF(AND('Loan Tape (S&amp;P)'!U6689="Yes",
        'Loan Tape (S&amp;P)'!T6689&lt;&gt;"Yes",
        DATEDIF('Loan Tape (S&amp;P)'!K6689, TODAY(), "M")&lt;18),
    1.10,
    1.00)</f>
        <v/>
      </c>
      <c r="O6689">
        <f>IF('Loan Tape (S&amp;P)'!T6689="Yes",
    1.35,
    1.00)</f>
        <v/>
      </c>
      <c r="P6689">
        <f>IF('Loan Tape (S&amp;P)'!S6689="Yes",
    1.15,
    1.00)</f>
        <v/>
      </c>
      <c r="Q6689">
        <f>IF('Loan Tape (S&amp;P)'!V6689="Yes",
    1.20,
    1.00)</f>
        <v/>
      </c>
      <c r="T6689">
        <f>LET(
    payment_method,'Loan Tape (S&amp;P)'!P6689,
    occupancy,'Loan Tape (S&amp;P)'!N6689,
    maturity_date,'Loan Tape (S&amp;P)'!L6689,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90">
      <c r="J6690">
        <f>LET(
    lien,'Loan Tape (S&amp;P)'!Q6690,
    IF(lien="First",1.00,
        IF(lien="Second",1.50,
            1.70)))</f>
        <v/>
      </c>
      <c r="K6690">
        <f>LET(
    purpose,'Loan Tape (S&amp;P)'!R6690,
    IF(purpose="Purchase",1.00,
        IF(purpose="Remortgage",1.00,
            1.20)))</f>
        <v/>
      </c>
      <c r="L6690">
        <f>LET(
    arrears_months,'Loan Tape (S&amp;P)'!AN6690,
    IF(arrears_months=0,1.00,
    IF(arrears_months=1,3.00,
    IF(arrears_months=2,5.00,
    IF(arrears_months=3,8.00,
    IF(arrears_months=4,10.00,
    IF(arrears_months=5,12.00,15.00)))))))</f>
        <v/>
      </c>
      <c r="M6690">
        <f>LET(
    seasoning_years,DATEDIF('Loan Tape (S&amp;P)'!K6690,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90">
        <f>IF(AND('Loan Tape (S&amp;P)'!U6690="Yes",
        'Loan Tape (S&amp;P)'!T6690&lt;&gt;"Yes",
        DATEDIF('Loan Tape (S&amp;P)'!K6690, TODAY(), "M")&lt;18),
    1.10,
    1.00)</f>
        <v/>
      </c>
      <c r="O6690">
        <f>IF('Loan Tape (S&amp;P)'!T6690="Yes",
    1.35,
    1.00)</f>
        <v/>
      </c>
      <c r="P6690">
        <f>IF('Loan Tape (S&amp;P)'!S6690="Yes",
    1.15,
    1.00)</f>
        <v/>
      </c>
      <c r="Q6690">
        <f>IF('Loan Tape (S&amp;P)'!V6690="Yes",
    1.20,
    1.00)</f>
        <v/>
      </c>
      <c r="T6690">
        <f>LET(
    payment_method,'Loan Tape (S&amp;P)'!P6690,
    occupancy,'Loan Tape (S&amp;P)'!N6690,
    maturity_date,'Loan Tape (S&amp;P)'!L6690,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91">
      <c r="J6691">
        <f>LET(
    lien,'Loan Tape (S&amp;P)'!Q6691,
    IF(lien="First",1.00,
        IF(lien="Second",1.50,
            1.70)))</f>
        <v/>
      </c>
      <c r="K6691">
        <f>LET(
    purpose,'Loan Tape (S&amp;P)'!R6691,
    IF(purpose="Purchase",1.00,
        IF(purpose="Remortgage",1.00,
            1.20)))</f>
        <v/>
      </c>
      <c r="L6691">
        <f>LET(
    arrears_months,'Loan Tape (S&amp;P)'!AN6691,
    IF(arrears_months=0,1.00,
    IF(arrears_months=1,3.00,
    IF(arrears_months=2,5.00,
    IF(arrears_months=3,8.00,
    IF(arrears_months=4,10.00,
    IF(arrears_months=5,12.00,15.00)))))))</f>
        <v/>
      </c>
      <c r="M6691">
        <f>LET(
    seasoning_years,DATEDIF('Loan Tape (S&amp;P)'!K6691,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91">
        <f>IF(AND('Loan Tape (S&amp;P)'!U6691="Yes",
        'Loan Tape (S&amp;P)'!T6691&lt;&gt;"Yes",
        DATEDIF('Loan Tape (S&amp;P)'!K6691, TODAY(), "M")&lt;18),
    1.10,
    1.00)</f>
        <v/>
      </c>
      <c r="O6691">
        <f>IF('Loan Tape (S&amp;P)'!T6691="Yes",
    1.35,
    1.00)</f>
        <v/>
      </c>
      <c r="P6691">
        <f>IF('Loan Tape (S&amp;P)'!S6691="Yes",
    1.15,
    1.00)</f>
        <v/>
      </c>
      <c r="Q6691">
        <f>IF('Loan Tape (S&amp;P)'!V6691="Yes",
    1.20,
    1.00)</f>
        <v/>
      </c>
      <c r="T6691">
        <f>LET(
    payment_method,'Loan Tape (S&amp;P)'!P6691,
    occupancy,'Loan Tape (S&amp;P)'!N6691,
    maturity_date,'Loan Tape (S&amp;P)'!L6691,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92">
      <c r="J6692">
        <f>LET(
    lien,'Loan Tape (S&amp;P)'!Q6692,
    IF(lien="First",1.00,
        IF(lien="Second",1.50,
            1.70)))</f>
        <v/>
      </c>
      <c r="K6692">
        <f>LET(
    purpose,'Loan Tape (S&amp;P)'!R6692,
    IF(purpose="Purchase",1.00,
        IF(purpose="Remortgage",1.00,
            1.20)))</f>
        <v/>
      </c>
      <c r="L6692">
        <f>LET(
    arrears_months,'Loan Tape (S&amp;P)'!AN6692,
    IF(arrears_months=0,1.00,
    IF(arrears_months=1,3.00,
    IF(arrears_months=2,5.00,
    IF(arrears_months=3,8.00,
    IF(arrears_months=4,10.00,
    IF(arrears_months=5,12.00,15.00)))))))</f>
        <v/>
      </c>
      <c r="M6692">
        <f>LET(
    seasoning_years,DATEDIF('Loan Tape (S&amp;P)'!K6692,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92">
        <f>IF(AND('Loan Tape (S&amp;P)'!U6692="Yes",
        'Loan Tape (S&amp;P)'!T6692&lt;&gt;"Yes",
        DATEDIF('Loan Tape (S&amp;P)'!K6692, TODAY(), "M")&lt;18),
    1.10,
    1.00)</f>
        <v/>
      </c>
      <c r="O6692">
        <f>IF('Loan Tape (S&amp;P)'!T6692="Yes",
    1.35,
    1.00)</f>
        <v/>
      </c>
      <c r="P6692">
        <f>IF('Loan Tape (S&amp;P)'!S6692="Yes",
    1.15,
    1.00)</f>
        <v/>
      </c>
      <c r="Q6692">
        <f>IF('Loan Tape (S&amp;P)'!V6692="Yes",
    1.20,
    1.00)</f>
        <v/>
      </c>
      <c r="T6692">
        <f>LET(
    payment_method,'Loan Tape (S&amp;P)'!P6692,
    occupancy,'Loan Tape (S&amp;P)'!N6692,
    maturity_date,'Loan Tape (S&amp;P)'!L6692,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93">
      <c r="J6693">
        <f>LET(
    lien,'Loan Tape (S&amp;P)'!Q6693,
    IF(lien="First",1.00,
        IF(lien="Second",1.50,
            1.70)))</f>
        <v/>
      </c>
      <c r="K6693">
        <f>LET(
    purpose,'Loan Tape (S&amp;P)'!R6693,
    IF(purpose="Purchase",1.00,
        IF(purpose="Remortgage",1.00,
            1.20)))</f>
        <v/>
      </c>
      <c r="L6693">
        <f>LET(
    arrears_months,'Loan Tape (S&amp;P)'!AN6693,
    IF(arrears_months=0,1.00,
    IF(arrears_months=1,3.00,
    IF(arrears_months=2,5.00,
    IF(arrears_months=3,8.00,
    IF(arrears_months=4,10.00,
    IF(arrears_months=5,12.00,15.00)))))))</f>
        <v/>
      </c>
      <c r="M6693">
        <f>LET(
    seasoning_years,DATEDIF('Loan Tape (S&amp;P)'!K6693,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93">
        <f>IF(AND('Loan Tape (S&amp;P)'!U6693="Yes",
        'Loan Tape (S&amp;P)'!T6693&lt;&gt;"Yes",
        DATEDIF('Loan Tape (S&amp;P)'!K6693, TODAY(), "M")&lt;18),
    1.10,
    1.00)</f>
        <v/>
      </c>
      <c r="O6693">
        <f>IF('Loan Tape (S&amp;P)'!T6693="Yes",
    1.35,
    1.00)</f>
        <v/>
      </c>
      <c r="P6693">
        <f>IF('Loan Tape (S&amp;P)'!S6693="Yes",
    1.15,
    1.00)</f>
        <v/>
      </c>
      <c r="Q6693">
        <f>IF('Loan Tape (S&amp;P)'!V6693="Yes",
    1.20,
    1.00)</f>
        <v/>
      </c>
      <c r="T6693">
        <f>LET(
    payment_method,'Loan Tape (S&amp;P)'!P6693,
    occupancy,'Loan Tape (S&amp;P)'!N6693,
    maturity_date,'Loan Tape (S&amp;P)'!L6693,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94">
      <c r="J6694">
        <f>LET(
    lien,'Loan Tape (S&amp;P)'!Q6694,
    IF(lien="First",1.00,
        IF(lien="Second",1.50,
            1.70)))</f>
        <v/>
      </c>
      <c r="K6694">
        <f>LET(
    purpose,'Loan Tape (S&amp;P)'!R6694,
    IF(purpose="Purchase",1.00,
        IF(purpose="Remortgage",1.00,
            1.20)))</f>
        <v/>
      </c>
      <c r="L6694">
        <f>LET(
    arrears_months,'Loan Tape (S&amp;P)'!AN6694,
    IF(arrears_months=0,1.00,
    IF(arrears_months=1,3.00,
    IF(arrears_months=2,5.00,
    IF(arrears_months=3,8.00,
    IF(arrears_months=4,10.00,
    IF(arrears_months=5,12.00,15.00)))))))</f>
        <v/>
      </c>
      <c r="M6694">
        <f>LET(
    seasoning_years,DATEDIF('Loan Tape (S&amp;P)'!K6694,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94">
        <f>IF(AND('Loan Tape (S&amp;P)'!U6694="Yes",
        'Loan Tape (S&amp;P)'!T6694&lt;&gt;"Yes",
        DATEDIF('Loan Tape (S&amp;P)'!K6694, TODAY(), "M")&lt;18),
    1.10,
    1.00)</f>
        <v/>
      </c>
      <c r="O6694">
        <f>IF('Loan Tape (S&amp;P)'!T6694="Yes",
    1.35,
    1.00)</f>
        <v/>
      </c>
      <c r="P6694">
        <f>IF('Loan Tape (S&amp;P)'!S6694="Yes",
    1.15,
    1.00)</f>
        <v/>
      </c>
      <c r="Q6694">
        <f>IF('Loan Tape (S&amp;P)'!V6694="Yes",
    1.20,
    1.00)</f>
        <v/>
      </c>
      <c r="T6694">
        <f>LET(
    payment_method,'Loan Tape (S&amp;P)'!P6694,
    occupancy,'Loan Tape (S&amp;P)'!N6694,
    maturity_date,'Loan Tape (S&amp;P)'!L6694,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95">
      <c r="J6695">
        <f>LET(
    lien,'Loan Tape (S&amp;P)'!Q6695,
    IF(lien="First",1.00,
        IF(lien="Second",1.50,
            1.70)))</f>
        <v/>
      </c>
      <c r="K6695">
        <f>LET(
    purpose,'Loan Tape (S&amp;P)'!R6695,
    IF(purpose="Purchase",1.00,
        IF(purpose="Remortgage",1.00,
            1.20)))</f>
        <v/>
      </c>
      <c r="L6695">
        <f>LET(
    arrears_months,'Loan Tape (S&amp;P)'!AN6695,
    IF(arrears_months=0,1.00,
    IF(arrears_months=1,3.00,
    IF(arrears_months=2,5.00,
    IF(arrears_months=3,8.00,
    IF(arrears_months=4,10.00,
    IF(arrears_months=5,12.00,15.00)))))))</f>
        <v/>
      </c>
      <c r="M6695">
        <f>LET(
    seasoning_years,DATEDIF('Loan Tape (S&amp;P)'!K6695,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95">
        <f>IF(AND('Loan Tape (S&amp;P)'!U6695="Yes",
        'Loan Tape (S&amp;P)'!T6695&lt;&gt;"Yes",
        DATEDIF('Loan Tape (S&amp;P)'!K6695, TODAY(), "M")&lt;18),
    1.10,
    1.00)</f>
        <v/>
      </c>
      <c r="O6695">
        <f>IF('Loan Tape (S&amp;P)'!T6695="Yes",
    1.35,
    1.00)</f>
        <v/>
      </c>
      <c r="P6695">
        <f>IF('Loan Tape (S&amp;P)'!S6695="Yes",
    1.15,
    1.00)</f>
        <v/>
      </c>
      <c r="Q6695">
        <f>IF('Loan Tape (S&amp;P)'!V6695="Yes",
    1.20,
    1.00)</f>
        <v/>
      </c>
      <c r="T6695">
        <f>LET(
    payment_method,'Loan Tape (S&amp;P)'!P6695,
    occupancy,'Loan Tape (S&amp;P)'!N6695,
    maturity_date,'Loan Tape (S&amp;P)'!L6695,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96">
      <c r="J6696">
        <f>LET(
    lien,'Loan Tape (S&amp;P)'!Q6696,
    IF(lien="First",1.00,
        IF(lien="Second",1.50,
            1.70)))</f>
        <v/>
      </c>
      <c r="K6696">
        <f>LET(
    purpose,'Loan Tape (S&amp;P)'!R6696,
    IF(purpose="Purchase",1.00,
        IF(purpose="Remortgage",1.00,
            1.20)))</f>
        <v/>
      </c>
      <c r="L6696">
        <f>LET(
    arrears_months,'Loan Tape (S&amp;P)'!AN6696,
    IF(arrears_months=0,1.00,
    IF(arrears_months=1,3.00,
    IF(arrears_months=2,5.00,
    IF(arrears_months=3,8.00,
    IF(arrears_months=4,10.00,
    IF(arrears_months=5,12.00,15.00)))))))</f>
        <v/>
      </c>
      <c r="M6696">
        <f>LET(
    seasoning_years,DATEDIF('Loan Tape (S&amp;P)'!K6696,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96">
        <f>IF(AND('Loan Tape (S&amp;P)'!U6696="Yes",
        'Loan Tape (S&amp;P)'!T6696&lt;&gt;"Yes",
        DATEDIF('Loan Tape (S&amp;P)'!K6696, TODAY(), "M")&lt;18),
    1.10,
    1.00)</f>
        <v/>
      </c>
      <c r="O6696">
        <f>IF('Loan Tape (S&amp;P)'!T6696="Yes",
    1.35,
    1.00)</f>
        <v/>
      </c>
      <c r="P6696">
        <f>IF('Loan Tape (S&amp;P)'!S6696="Yes",
    1.15,
    1.00)</f>
        <v/>
      </c>
      <c r="Q6696">
        <f>IF('Loan Tape (S&amp;P)'!V6696="Yes",
    1.20,
    1.00)</f>
        <v/>
      </c>
      <c r="T6696">
        <f>LET(
    payment_method,'Loan Tape (S&amp;P)'!P6696,
    occupancy,'Loan Tape (S&amp;P)'!N6696,
    maturity_date,'Loan Tape (S&amp;P)'!L6696,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97">
      <c r="J6697">
        <f>LET(
    lien,'Loan Tape (S&amp;P)'!Q6697,
    IF(lien="First",1.00,
        IF(lien="Second",1.50,
            1.70)))</f>
        <v/>
      </c>
      <c r="K6697">
        <f>LET(
    purpose,'Loan Tape (S&amp;P)'!R6697,
    IF(purpose="Purchase",1.00,
        IF(purpose="Remortgage",1.00,
            1.20)))</f>
        <v/>
      </c>
      <c r="L6697">
        <f>LET(
    arrears_months,'Loan Tape (S&amp;P)'!AN6697,
    IF(arrears_months=0,1.00,
    IF(arrears_months=1,3.00,
    IF(arrears_months=2,5.00,
    IF(arrears_months=3,8.00,
    IF(arrears_months=4,10.00,
    IF(arrears_months=5,12.00,15.00)))))))</f>
        <v/>
      </c>
      <c r="M6697">
        <f>LET(
    seasoning_years,DATEDIF('Loan Tape (S&amp;P)'!K6697,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97">
        <f>IF(AND('Loan Tape (S&amp;P)'!U6697="Yes",
        'Loan Tape (S&amp;P)'!T6697&lt;&gt;"Yes",
        DATEDIF('Loan Tape (S&amp;P)'!K6697, TODAY(), "M")&lt;18),
    1.10,
    1.00)</f>
        <v/>
      </c>
      <c r="O6697">
        <f>IF('Loan Tape (S&amp;P)'!T6697="Yes",
    1.35,
    1.00)</f>
        <v/>
      </c>
      <c r="P6697">
        <f>IF('Loan Tape (S&amp;P)'!S6697="Yes",
    1.15,
    1.00)</f>
        <v/>
      </c>
      <c r="Q6697">
        <f>IF('Loan Tape (S&amp;P)'!V6697="Yes",
    1.20,
    1.00)</f>
        <v/>
      </c>
      <c r="T6697">
        <f>LET(
    payment_method,'Loan Tape (S&amp;P)'!P6697,
    occupancy,'Loan Tape (S&amp;P)'!N6697,
    maturity_date,'Loan Tape (S&amp;P)'!L6697,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98">
      <c r="J6698">
        <f>LET(
    lien,'Loan Tape (S&amp;P)'!Q6698,
    IF(lien="First",1.00,
        IF(lien="Second",1.50,
            1.70)))</f>
        <v/>
      </c>
      <c r="K6698">
        <f>LET(
    purpose,'Loan Tape (S&amp;P)'!R6698,
    IF(purpose="Purchase",1.00,
        IF(purpose="Remortgage",1.00,
            1.20)))</f>
        <v/>
      </c>
      <c r="L6698">
        <f>LET(
    arrears_months,'Loan Tape (S&amp;P)'!AN6698,
    IF(arrears_months=0,1.00,
    IF(arrears_months=1,3.00,
    IF(arrears_months=2,5.00,
    IF(arrears_months=3,8.00,
    IF(arrears_months=4,10.00,
    IF(arrears_months=5,12.00,15.00)))))))</f>
        <v/>
      </c>
      <c r="M6698">
        <f>LET(
    seasoning_years,DATEDIF('Loan Tape (S&amp;P)'!K6698,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98">
        <f>IF(AND('Loan Tape (S&amp;P)'!U6698="Yes",
        'Loan Tape (S&amp;P)'!T6698&lt;&gt;"Yes",
        DATEDIF('Loan Tape (S&amp;P)'!K6698, TODAY(), "M")&lt;18),
    1.10,
    1.00)</f>
        <v/>
      </c>
      <c r="O6698">
        <f>IF('Loan Tape (S&amp;P)'!T6698="Yes",
    1.35,
    1.00)</f>
        <v/>
      </c>
      <c r="P6698">
        <f>IF('Loan Tape (S&amp;P)'!S6698="Yes",
    1.15,
    1.00)</f>
        <v/>
      </c>
      <c r="Q6698">
        <f>IF('Loan Tape (S&amp;P)'!V6698="Yes",
    1.20,
    1.00)</f>
        <v/>
      </c>
      <c r="T6698">
        <f>LET(
    payment_method,'Loan Tape (S&amp;P)'!P6698,
    occupancy,'Loan Tape (S&amp;P)'!N6698,
    maturity_date,'Loan Tape (S&amp;P)'!L6698,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699">
      <c r="J6699">
        <f>LET(
    lien,'Loan Tape (S&amp;P)'!Q6699,
    IF(lien="First",1.00,
        IF(lien="Second",1.50,
            1.70)))</f>
        <v/>
      </c>
      <c r="K6699">
        <f>LET(
    purpose,'Loan Tape (S&amp;P)'!R6699,
    IF(purpose="Purchase",1.00,
        IF(purpose="Remortgage",1.00,
            1.20)))</f>
        <v/>
      </c>
      <c r="L6699">
        <f>LET(
    arrears_months,'Loan Tape (S&amp;P)'!AN6699,
    IF(arrears_months=0,1.00,
    IF(arrears_months=1,3.00,
    IF(arrears_months=2,5.00,
    IF(arrears_months=3,8.00,
    IF(arrears_months=4,10.00,
    IF(arrears_months=5,12.00,15.00)))))))</f>
        <v/>
      </c>
      <c r="M6699">
        <f>LET(
    seasoning_years,DATEDIF('Loan Tape (S&amp;P)'!K6699,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699">
        <f>IF(AND('Loan Tape (S&amp;P)'!U6699="Yes",
        'Loan Tape (S&amp;P)'!T6699&lt;&gt;"Yes",
        DATEDIF('Loan Tape (S&amp;P)'!K6699, TODAY(), "M")&lt;18),
    1.10,
    1.00)</f>
        <v/>
      </c>
      <c r="O6699">
        <f>IF('Loan Tape (S&amp;P)'!T6699="Yes",
    1.35,
    1.00)</f>
        <v/>
      </c>
      <c r="P6699">
        <f>IF('Loan Tape (S&amp;P)'!S6699="Yes",
    1.15,
    1.00)</f>
        <v/>
      </c>
      <c r="Q6699">
        <f>IF('Loan Tape (S&amp;P)'!V6699="Yes",
    1.20,
    1.00)</f>
        <v/>
      </c>
      <c r="T6699">
        <f>LET(
    payment_method,'Loan Tape (S&amp;P)'!P6699,
    occupancy,'Loan Tape (S&amp;P)'!N6699,
    maturity_date,'Loan Tape (S&amp;P)'!L6699,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00">
      <c r="J6700">
        <f>LET(
    lien,'Loan Tape (S&amp;P)'!Q6700,
    IF(lien="First",1.00,
        IF(lien="Second",1.50,
            1.70)))</f>
        <v/>
      </c>
      <c r="K6700">
        <f>LET(
    purpose,'Loan Tape (S&amp;P)'!R6700,
    IF(purpose="Purchase",1.00,
        IF(purpose="Remortgage",1.00,
            1.20)))</f>
        <v/>
      </c>
      <c r="L6700">
        <f>LET(
    arrears_months,'Loan Tape (S&amp;P)'!AN6700,
    IF(arrears_months=0,1.00,
    IF(arrears_months=1,3.00,
    IF(arrears_months=2,5.00,
    IF(arrears_months=3,8.00,
    IF(arrears_months=4,10.00,
    IF(arrears_months=5,12.00,15.00)))))))</f>
        <v/>
      </c>
      <c r="M6700">
        <f>LET(
    seasoning_years,DATEDIF('Loan Tape (S&amp;P)'!K6700,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00">
        <f>IF(AND('Loan Tape (S&amp;P)'!U6700="Yes",
        'Loan Tape (S&amp;P)'!T6700&lt;&gt;"Yes",
        DATEDIF('Loan Tape (S&amp;P)'!K6700, TODAY(), "M")&lt;18),
    1.10,
    1.00)</f>
        <v/>
      </c>
      <c r="O6700">
        <f>IF('Loan Tape (S&amp;P)'!T6700="Yes",
    1.35,
    1.00)</f>
        <v/>
      </c>
      <c r="P6700">
        <f>IF('Loan Tape (S&amp;P)'!S6700="Yes",
    1.15,
    1.00)</f>
        <v/>
      </c>
      <c r="Q6700">
        <f>IF('Loan Tape (S&amp;P)'!V6700="Yes",
    1.20,
    1.00)</f>
        <v/>
      </c>
      <c r="T6700">
        <f>LET(
    payment_method,'Loan Tape (S&amp;P)'!P6700,
    occupancy,'Loan Tape (S&amp;P)'!N6700,
    maturity_date,'Loan Tape (S&amp;P)'!L6700,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01">
      <c r="J6701">
        <f>LET(
    lien,'Loan Tape (S&amp;P)'!Q6701,
    IF(lien="First",1.00,
        IF(lien="Second",1.50,
            1.70)))</f>
        <v/>
      </c>
      <c r="K6701">
        <f>LET(
    purpose,'Loan Tape (S&amp;P)'!R6701,
    IF(purpose="Purchase",1.00,
        IF(purpose="Remortgage",1.00,
            1.20)))</f>
        <v/>
      </c>
      <c r="L6701">
        <f>LET(
    arrears_months,'Loan Tape (S&amp;P)'!AN6701,
    IF(arrears_months=0,1.00,
    IF(arrears_months=1,3.00,
    IF(arrears_months=2,5.00,
    IF(arrears_months=3,8.00,
    IF(arrears_months=4,10.00,
    IF(arrears_months=5,12.00,15.00)))))))</f>
        <v/>
      </c>
      <c r="M6701">
        <f>LET(
    seasoning_years,DATEDIF('Loan Tape (S&amp;P)'!K6701,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01">
        <f>IF(AND('Loan Tape (S&amp;P)'!U6701="Yes",
        'Loan Tape (S&amp;P)'!T6701&lt;&gt;"Yes",
        DATEDIF('Loan Tape (S&amp;P)'!K6701, TODAY(), "M")&lt;18),
    1.10,
    1.00)</f>
        <v/>
      </c>
      <c r="O6701">
        <f>IF('Loan Tape (S&amp;P)'!T6701="Yes",
    1.35,
    1.00)</f>
        <v/>
      </c>
      <c r="P6701">
        <f>IF('Loan Tape (S&amp;P)'!S6701="Yes",
    1.15,
    1.00)</f>
        <v/>
      </c>
      <c r="Q6701">
        <f>IF('Loan Tape (S&amp;P)'!V6701="Yes",
    1.20,
    1.00)</f>
        <v/>
      </c>
      <c r="T6701">
        <f>LET(
    payment_method,'Loan Tape (S&amp;P)'!P6701,
    occupancy,'Loan Tape (S&amp;P)'!N6701,
    maturity_date,'Loan Tape (S&amp;P)'!L6701,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02">
      <c r="J6702">
        <f>LET(
    lien,'Loan Tape (S&amp;P)'!Q6702,
    IF(lien="First",1.00,
        IF(lien="Second",1.50,
            1.70)))</f>
        <v/>
      </c>
      <c r="K6702">
        <f>LET(
    purpose,'Loan Tape (S&amp;P)'!R6702,
    IF(purpose="Purchase",1.00,
        IF(purpose="Remortgage",1.00,
            1.20)))</f>
        <v/>
      </c>
      <c r="L6702">
        <f>LET(
    arrears_months,'Loan Tape (S&amp;P)'!AN6702,
    IF(arrears_months=0,1.00,
    IF(arrears_months=1,3.00,
    IF(arrears_months=2,5.00,
    IF(arrears_months=3,8.00,
    IF(arrears_months=4,10.00,
    IF(arrears_months=5,12.00,15.00)))))))</f>
        <v/>
      </c>
      <c r="M6702">
        <f>LET(
    seasoning_years,DATEDIF('Loan Tape (S&amp;P)'!K6702,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02">
        <f>IF(AND('Loan Tape (S&amp;P)'!U6702="Yes",
        'Loan Tape (S&amp;P)'!T6702&lt;&gt;"Yes",
        DATEDIF('Loan Tape (S&amp;P)'!K6702, TODAY(), "M")&lt;18),
    1.10,
    1.00)</f>
        <v/>
      </c>
      <c r="O6702">
        <f>IF('Loan Tape (S&amp;P)'!T6702="Yes",
    1.35,
    1.00)</f>
        <v/>
      </c>
      <c r="P6702">
        <f>IF('Loan Tape (S&amp;P)'!S6702="Yes",
    1.15,
    1.00)</f>
        <v/>
      </c>
      <c r="Q6702">
        <f>IF('Loan Tape (S&amp;P)'!V6702="Yes",
    1.20,
    1.00)</f>
        <v/>
      </c>
      <c r="T6702">
        <f>LET(
    payment_method,'Loan Tape (S&amp;P)'!P6702,
    occupancy,'Loan Tape (S&amp;P)'!N6702,
    maturity_date,'Loan Tape (S&amp;P)'!L6702,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03">
      <c r="J6703">
        <f>LET(
    lien,'Loan Tape (S&amp;P)'!Q6703,
    IF(lien="First",1.00,
        IF(lien="Second",1.50,
            1.70)))</f>
        <v/>
      </c>
      <c r="K6703">
        <f>LET(
    purpose,'Loan Tape (S&amp;P)'!R6703,
    IF(purpose="Purchase",1.00,
        IF(purpose="Remortgage",1.00,
            1.20)))</f>
        <v/>
      </c>
      <c r="L6703">
        <f>LET(
    arrears_months,'Loan Tape (S&amp;P)'!AN6703,
    IF(arrears_months=0,1.00,
    IF(arrears_months=1,3.00,
    IF(arrears_months=2,5.00,
    IF(arrears_months=3,8.00,
    IF(arrears_months=4,10.00,
    IF(arrears_months=5,12.00,15.00)))))))</f>
        <v/>
      </c>
      <c r="M6703">
        <f>LET(
    seasoning_years,DATEDIF('Loan Tape (S&amp;P)'!K6703,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03">
        <f>IF(AND('Loan Tape (S&amp;P)'!U6703="Yes",
        'Loan Tape (S&amp;P)'!T6703&lt;&gt;"Yes",
        DATEDIF('Loan Tape (S&amp;P)'!K6703, TODAY(), "M")&lt;18),
    1.10,
    1.00)</f>
        <v/>
      </c>
      <c r="O6703">
        <f>IF('Loan Tape (S&amp;P)'!T6703="Yes",
    1.35,
    1.00)</f>
        <v/>
      </c>
      <c r="P6703">
        <f>IF('Loan Tape (S&amp;P)'!S6703="Yes",
    1.15,
    1.00)</f>
        <v/>
      </c>
      <c r="Q6703">
        <f>IF('Loan Tape (S&amp;P)'!V6703="Yes",
    1.20,
    1.00)</f>
        <v/>
      </c>
      <c r="T6703">
        <f>LET(
    payment_method,'Loan Tape (S&amp;P)'!P6703,
    occupancy,'Loan Tape (S&amp;P)'!N6703,
    maturity_date,'Loan Tape (S&amp;P)'!L6703,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04">
      <c r="J6704">
        <f>LET(
    lien,'Loan Tape (S&amp;P)'!Q6704,
    IF(lien="First",1.00,
        IF(lien="Second",1.50,
            1.70)))</f>
        <v/>
      </c>
      <c r="K6704">
        <f>LET(
    purpose,'Loan Tape (S&amp;P)'!R6704,
    IF(purpose="Purchase",1.00,
        IF(purpose="Remortgage",1.00,
            1.20)))</f>
        <v/>
      </c>
      <c r="L6704">
        <f>LET(
    arrears_months,'Loan Tape (S&amp;P)'!AN6704,
    IF(arrears_months=0,1.00,
    IF(arrears_months=1,3.00,
    IF(arrears_months=2,5.00,
    IF(arrears_months=3,8.00,
    IF(arrears_months=4,10.00,
    IF(arrears_months=5,12.00,15.00)))))))</f>
        <v/>
      </c>
      <c r="M6704">
        <f>LET(
    seasoning_years,DATEDIF('Loan Tape (S&amp;P)'!K6704,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04">
        <f>IF(AND('Loan Tape (S&amp;P)'!U6704="Yes",
        'Loan Tape (S&amp;P)'!T6704&lt;&gt;"Yes",
        DATEDIF('Loan Tape (S&amp;P)'!K6704, TODAY(), "M")&lt;18),
    1.10,
    1.00)</f>
        <v/>
      </c>
      <c r="O6704">
        <f>IF('Loan Tape (S&amp;P)'!T6704="Yes",
    1.35,
    1.00)</f>
        <v/>
      </c>
      <c r="P6704">
        <f>IF('Loan Tape (S&amp;P)'!S6704="Yes",
    1.15,
    1.00)</f>
        <v/>
      </c>
      <c r="Q6704">
        <f>IF('Loan Tape (S&amp;P)'!V6704="Yes",
    1.20,
    1.00)</f>
        <v/>
      </c>
      <c r="T6704">
        <f>LET(
    payment_method,'Loan Tape (S&amp;P)'!P6704,
    occupancy,'Loan Tape (S&amp;P)'!N6704,
    maturity_date,'Loan Tape (S&amp;P)'!L6704,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05">
      <c r="J6705">
        <f>LET(
    lien,'Loan Tape (S&amp;P)'!Q6705,
    IF(lien="First",1.00,
        IF(lien="Second",1.50,
            1.70)))</f>
        <v/>
      </c>
      <c r="K6705">
        <f>LET(
    purpose,'Loan Tape (S&amp;P)'!R6705,
    IF(purpose="Purchase",1.00,
        IF(purpose="Remortgage",1.00,
            1.20)))</f>
        <v/>
      </c>
      <c r="L6705">
        <f>LET(
    arrears_months,'Loan Tape (S&amp;P)'!AN6705,
    IF(arrears_months=0,1.00,
    IF(arrears_months=1,3.00,
    IF(arrears_months=2,5.00,
    IF(arrears_months=3,8.00,
    IF(arrears_months=4,10.00,
    IF(arrears_months=5,12.00,15.00)))))))</f>
        <v/>
      </c>
      <c r="M6705">
        <f>LET(
    seasoning_years,DATEDIF('Loan Tape (S&amp;P)'!K6705,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05">
        <f>IF(AND('Loan Tape (S&amp;P)'!U6705="Yes",
        'Loan Tape (S&amp;P)'!T6705&lt;&gt;"Yes",
        DATEDIF('Loan Tape (S&amp;P)'!K6705, TODAY(), "M")&lt;18),
    1.10,
    1.00)</f>
        <v/>
      </c>
      <c r="O6705">
        <f>IF('Loan Tape (S&amp;P)'!T6705="Yes",
    1.35,
    1.00)</f>
        <v/>
      </c>
      <c r="P6705">
        <f>IF('Loan Tape (S&amp;P)'!S6705="Yes",
    1.15,
    1.00)</f>
        <v/>
      </c>
      <c r="Q6705">
        <f>IF('Loan Tape (S&amp;P)'!V6705="Yes",
    1.20,
    1.00)</f>
        <v/>
      </c>
      <c r="T6705">
        <f>LET(
    payment_method,'Loan Tape (S&amp;P)'!P6705,
    occupancy,'Loan Tape (S&amp;P)'!N6705,
    maturity_date,'Loan Tape (S&amp;P)'!L6705,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06">
      <c r="J6706">
        <f>LET(
    lien,'Loan Tape (S&amp;P)'!Q6706,
    IF(lien="First",1.00,
        IF(lien="Second",1.50,
            1.70)))</f>
        <v/>
      </c>
      <c r="K6706">
        <f>LET(
    purpose,'Loan Tape (S&amp;P)'!R6706,
    IF(purpose="Purchase",1.00,
        IF(purpose="Remortgage",1.00,
            1.20)))</f>
        <v/>
      </c>
      <c r="L6706">
        <f>LET(
    arrears_months,'Loan Tape (S&amp;P)'!AN6706,
    IF(arrears_months=0,1.00,
    IF(arrears_months=1,3.00,
    IF(arrears_months=2,5.00,
    IF(arrears_months=3,8.00,
    IF(arrears_months=4,10.00,
    IF(arrears_months=5,12.00,15.00)))))))</f>
        <v/>
      </c>
      <c r="M6706">
        <f>LET(
    seasoning_years,DATEDIF('Loan Tape (S&amp;P)'!K6706,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06">
        <f>IF(AND('Loan Tape (S&amp;P)'!U6706="Yes",
        'Loan Tape (S&amp;P)'!T6706&lt;&gt;"Yes",
        DATEDIF('Loan Tape (S&amp;P)'!K6706, TODAY(), "M")&lt;18),
    1.10,
    1.00)</f>
        <v/>
      </c>
      <c r="O6706">
        <f>IF('Loan Tape (S&amp;P)'!T6706="Yes",
    1.35,
    1.00)</f>
        <v/>
      </c>
      <c r="P6706">
        <f>IF('Loan Tape (S&amp;P)'!S6706="Yes",
    1.15,
    1.00)</f>
        <v/>
      </c>
      <c r="Q6706">
        <f>IF('Loan Tape (S&amp;P)'!V6706="Yes",
    1.20,
    1.00)</f>
        <v/>
      </c>
      <c r="T6706">
        <f>LET(
    payment_method,'Loan Tape (S&amp;P)'!P6706,
    occupancy,'Loan Tape (S&amp;P)'!N6706,
    maturity_date,'Loan Tape (S&amp;P)'!L6706,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07">
      <c r="J6707">
        <f>LET(
    lien,'Loan Tape (S&amp;P)'!Q6707,
    IF(lien="First",1.00,
        IF(lien="Second",1.50,
            1.70)))</f>
        <v/>
      </c>
      <c r="K6707">
        <f>LET(
    purpose,'Loan Tape (S&amp;P)'!R6707,
    IF(purpose="Purchase",1.00,
        IF(purpose="Remortgage",1.00,
            1.20)))</f>
        <v/>
      </c>
      <c r="L6707">
        <f>LET(
    arrears_months,'Loan Tape (S&amp;P)'!AN6707,
    IF(arrears_months=0,1.00,
    IF(arrears_months=1,3.00,
    IF(arrears_months=2,5.00,
    IF(arrears_months=3,8.00,
    IF(arrears_months=4,10.00,
    IF(arrears_months=5,12.00,15.00)))))))</f>
        <v/>
      </c>
      <c r="M6707">
        <f>LET(
    seasoning_years,DATEDIF('Loan Tape (S&amp;P)'!K6707,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07">
        <f>IF(AND('Loan Tape (S&amp;P)'!U6707="Yes",
        'Loan Tape (S&amp;P)'!T6707&lt;&gt;"Yes",
        DATEDIF('Loan Tape (S&amp;P)'!K6707, TODAY(), "M")&lt;18),
    1.10,
    1.00)</f>
        <v/>
      </c>
      <c r="O6707">
        <f>IF('Loan Tape (S&amp;P)'!T6707="Yes",
    1.35,
    1.00)</f>
        <v/>
      </c>
      <c r="P6707">
        <f>IF('Loan Tape (S&amp;P)'!S6707="Yes",
    1.15,
    1.00)</f>
        <v/>
      </c>
      <c r="Q6707">
        <f>IF('Loan Tape (S&amp;P)'!V6707="Yes",
    1.20,
    1.00)</f>
        <v/>
      </c>
      <c r="T6707">
        <f>LET(
    payment_method,'Loan Tape (S&amp;P)'!P6707,
    occupancy,'Loan Tape (S&amp;P)'!N6707,
    maturity_date,'Loan Tape (S&amp;P)'!L6707,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08">
      <c r="J6708">
        <f>LET(
    lien,'Loan Tape (S&amp;P)'!Q6708,
    IF(lien="First",1.00,
        IF(lien="Second",1.50,
            1.70)))</f>
        <v/>
      </c>
      <c r="K6708">
        <f>LET(
    purpose,'Loan Tape (S&amp;P)'!R6708,
    IF(purpose="Purchase",1.00,
        IF(purpose="Remortgage",1.00,
            1.20)))</f>
        <v/>
      </c>
      <c r="L6708">
        <f>LET(
    arrears_months,'Loan Tape (S&amp;P)'!AN6708,
    IF(arrears_months=0,1.00,
    IF(arrears_months=1,3.00,
    IF(arrears_months=2,5.00,
    IF(arrears_months=3,8.00,
    IF(arrears_months=4,10.00,
    IF(arrears_months=5,12.00,15.00)))))))</f>
        <v/>
      </c>
      <c r="M6708">
        <f>LET(
    seasoning_years,DATEDIF('Loan Tape (S&amp;P)'!K6708,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08">
        <f>IF(AND('Loan Tape (S&amp;P)'!U6708="Yes",
        'Loan Tape (S&amp;P)'!T6708&lt;&gt;"Yes",
        DATEDIF('Loan Tape (S&amp;P)'!K6708, TODAY(), "M")&lt;18),
    1.10,
    1.00)</f>
        <v/>
      </c>
      <c r="O6708">
        <f>IF('Loan Tape (S&amp;P)'!T6708="Yes",
    1.35,
    1.00)</f>
        <v/>
      </c>
      <c r="P6708">
        <f>IF('Loan Tape (S&amp;P)'!S6708="Yes",
    1.15,
    1.00)</f>
        <v/>
      </c>
      <c r="Q6708">
        <f>IF('Loan Tape (S&amp;P)'!V6708="Yes",
    1.20,
    1.00)</f>
        <v/>
      </c>
      <c r="T6708">
        <f>LET(
    payment_method,'Loan Tape (S&amp;P)'!P6708,
    occupancy,'Loan Tape (S&amp;P)'!N6708,
    maturity_date,'Loan Tape (S&amp;P)'!L6708,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09">
      <c r="J6709">
        <f>LET(
    lien,'Loan Tape (S&amp;P)'!Q6709,
    IF(lien="First",1.00,
        IF(lien="Second",1.50,
            1.70)))</f>
        <v/>
      </c>
      <c r="K6709">
        <f>LET(
    purpose,'Loan Tape (S&amp;P)'!R6709,
    IF(purpose="Purchase",1.00,
        IF(purpose="Remortgage",1.00,
            1.20)))</f>
        <v/>
      </c>
      <c r="L6709">
        <f>LET(
    arrears_months,'Loan Tape (S&amp;P)'!AN6709,
    IF(arrears_months=0,1.00,
    IF(arrears_months=1,3.00,
    IF(arrears_months=2,5.00,
    IF(arrears_months=3,8.00,
    IF(arrears_months=4,10.00,
    IF(arrears_months=5,12.00,15.00)))))))</f>
        <v/>
      </c>
      <c r="M6709">
        <f>LET(
    seasoning_years,DATEDIF('Loan Tape (S&amp;P)'!K6709,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09">
        <f>IF(AND('Loan Tape (S&amp;P)'!U6709="Yes",
        'Loan Tape (S&amp;P)'!T6709&lt;&gt;"Yes",
        DATEDIF('Loan Tape (S&amp;P)'!K6709, TODAY(), "M")&lt;18),
    1.10,
    1.00)</f>
        <v/>
      </c>
      <c r="O6709">
        <f>IF('Loan Tape (S&amp;P)'!T6709="Yes",
    1.35,
    1.00)</f>
        <v/>
      </c>
      <c r="P6709">
        <f>IF('Loan Tape (S&amp;P)'!S6709="Yes",
    1.15,
    1.00)</f>
        <v/>
      </c>
      <c r="Q6709">
        <f>IF('Loan Tape (S&amp;P)'!V6709="Yes",
    1.20,
    1.00)</f>
        <v/>
      </c>
      <c r="T6709">
        <f>LET(
    payment_method,'Loan Tape (S&amp;P)'!P6709,
    occupancy,'Loan Tape (S&amp;P)'!N6709,
    maturity_date,'Loan Tape (S&amp;P)'!L6709,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10">
      <c r="J6710">
        <f>LET(
    lien,'Loan Tape (S&amp;P)'!Q6710,
    IF(lien="First",1.00,
        IF(lien="Second",1.50,
            1.70)))</f>
        <v/>
      </c>
      <c r="K6710">
        <f>LET(
    purpose,'Loan Tape (S&amp;P)'!R6710,
    IF(purpose="Purchase",1.00,
        IF(purpose="Remortgage",1.00,
            1.20)))</f>
        <v/>
      </c>
      <c r="L6710">
        <f>LET(
    arrears_months,'Loan Tape (S&amp;P)'!AN6710,
    IF(arrears_months=0,1.00,
    IF(arrears_months=1,3.00,
    IF(arrears_months=2,5.00,
    IF(arrears_months=3,8.00,
    IF(arrears_months=4,10.00,
    IF(arrears_months=5,12.00,15.00)))))))</f>
        <v/>
      </c>
      <c r="M6710">
        <f>LET(
    seasoning_years,DATEDIF('Loan Tape (S&amp;P)'!K6710,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10">
        <f>IF(AND('Loan Tape (S&amp;P)'!U6710="Yes",
        'Loan Tape (S&amp;P)'!T6710&lt;&gt;"Yes",
        DATEDIF('Loan Tape (S&amp;P)'!K6710, TODAY(), "M")&lt;18),
    1.10,
    1.00)</f>
        <v/>
      </c>
      <c r="O6710">
        <f>IF('Loan Tape (S&amp;P)'!T6710="Yes",
    1.35,
    1.00)</f>
        <v/>
      </c>
      <c r="P6710">
        <f>IF('Loan Tape (S&amp;P)'!S6710="Yes",
    1.15,
    1.00)</f>
        <v/>
      </c>
      <c r="Q6710">
        <f>IF('Loan Tape (S&amp;P)'!V6710="Yes",
    1.20,
    1.00)</f>
        <v/>
      </c>
      <c r="T6710">
        <f>LET(
    payment_method,'Loan Tape (S&amp;P)'!P6710,
    occupancy,'Loan Tape (S&amp;P)'!N6710,
    maturity_date,'Loan Tape (S&amp;P)'!L6710,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11">
      <c r="J6711">
        <f>LET(
    lien,'Loan Tape (S&amp;P)'!Q6711,
    IF(lien="First",1.00,
        IF(lien="Second",1.50,
            1.70)))</f>
        <v/>
      </c>
      <c r="K6711">
        <f>LET(
    purpose,'Loan Tape (S&amp;P)'!R6711,
    IF(purpose="Purchase",1.00,
        IF(purpose="Remortgage",1.00,
            1.20)))</f>
        <v/>
      </c>
      <c r="L6711">
        <f>LET(
    arrears_months,'Loan Tape (S&amp;P)'!AN6711,
    IF(arrears_months=0,1.00,
    IF(arrears_months=1,3.00,
    IF(arrears_months=2,5.00,
    IF(arrears_months=3,8.00,
    IF(arrears_months=4,10.00,
    IF(arrears_months=5,12.00,15.00)))))))</f>
        <v/>
      </c>
      <c r="M6711">
        <f>LET(
    seasoning_years,DATEDIF('Loan Tape (S&amp;P)'!K6711,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11">
        <f>IF(AND('Loan Tape (S&amp;P)'!U6711="Yes",
        'Loan Tape (S&amp;P)'!T6711&lt;&gt;"Yes",
        DATEDIF('Loan Tape (S&amp;P)'!K6711, TODAY(), "M")&lt;18),
    1.10,
    1.00)</f>
        <v/>
      </c>
      <c r="O6711">
        <f>IF('Loan Tape (S&amp;P)'!T6711="Yes",
    1.35,
    1.00)</f>
        <v/>
      </c>
      <c r="P6711">
        <f>IF('Loan Tape (S&amp;P)'!S6711="Yes",
    1.15,
    1.00)</f>
        <v/>
      </c>
      <c r="Q6711">
        <f>IF('Loan Tape (S&amp;P)'!V6711="Yes",
    1.20,
    1.00)</f>
        <v/>
      </c>
      <c r="T6711">
        <f>LET(
    payment_method,'Loan Tape (S&amp;P)'!P6711,
    occupancy,'Loan Tape (S&amp;P)'!N6711,
    maturity_date,'Loan Tape (S&amp;P)'!L6711,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12">
      <c r="J6712">
        <f>LET(
    lien,'Loan Tape (S&amp;P)'!Q6712,
    IF(lien="First",1.00,
        IF(lien="Second",1.50,
            1.70)))</f>
        <v/>
      </c>
      <c r="K6712">
        <f>LET(
    purpose,'Loan Tape (S&amp;P)'!R6712,
    IF(purpose="Purchase",1.00,
        IF(purpose="Remortgage",1.00,
            1.20)))</f>
        <v/>
      </c>
      <c r="L6712">
        <f>LET(
    arrears_months,'Loan Tape (S&amp;P)'!AN6712,
    IF(arrears_months=0,1.00,
    IF(arrears_months=1,3.00,
    IF(arrears_months=2,5.00,
    IF(arrears_months=3,8.00,
    IF(arrears_months=4,10.00,
    IF(arrears_months=5,12.00,15.00)))))))</f>
        <v/>
      </c>
      <c r="M6712">
        <f>LET(
    seasoning_years,DATEDIF('Loan Tape (S&amp;P)'!K6712,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12">
        <f>IF(AND('Loan Tape (S&amp;P)'!U6712="Yes",
        'Loan Tape (S&amp;P)'!T6712&lt;&gt;"Yes",
        DATEDIF('Loan Tape (S&amp;P)'!K6712, TODAY(), "M")&lt;18),
    1.10,
    1.00)</f>
        <v/>
      </c>
      <c r="O6712">
        <f>IF('Loan Tape (S&amp;P)'!T6712="Yes",
    1.35,
    1.00)</f>
        <v/>
      </c>
      <c r="P6712">
        <f>IF('Loan Tape (S&amp;P)'!S6712="Yes",
    1.15,
    1.00)</f>
        <v/>
      </c>
      <c r="Q6712">
        <f>IF('Loan Tape (S&amp;P)'!V6712="Yes",
    1.20,
    1.00)</f>
        <v/>
      </c>
      <c r="T6712">
        <f>LET(
    payment_method,'Loan Tape (S&amp;P)'!P6712,
    occupancy,'Loan Tape (S&amp;P)'!N6712,
    maturity_date,'Loan Tape (S&amp;P)'!L6712,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13">
      <c r="J6713">
        <f>LET(
    lien,'Loan Tape (S&amp;P)'!Q6713,
    IF(lien="First",1.00,
        IF(lien="Second",1.50,
            1.70)))</f>
        <v/>
      </c>
      <c r="K6713">
        <f>LET(
    purpose,'Loan Tape (S&amp;P)'!R6713,
    IF(purpose="Purchase",1.00,
        IF(purpose="Remortgage",1.00,
            1.20)))</f>
        <v/>
      </c>
      <c r="L6713">
        <f>LET(
    arrears_months,'Loan Tape (S&amp;P)'!AN6713,
    IF(arrears_months=0,1.00,
    IF(arrears_months=1,3.00,
    IF(arrears_months=2,5.00,
    IF(arrears_months=3,8.00,
    IF(arrears_months=4,10.00,
    IF(arrears_months=5,12.00,15.00)))))))</f>
        <v/>
      </c>
      <c r="M6713">
        <f>LET(
    seasoning_years,DATEDIF('Loan Tape (S&amp;P)'!K6713,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13">
        <f>IF(AND('Loan Tape (S&amp;P)'!U6713="Yes",
        'Loan Tape (S&amp;P)'!T6713&lt;&gt;"Yes",
        DATEDIF('Loan Tape (S&amp;P)'!K6713, TODAY(), "M")&lt;18),
    1.10,
    1.00)</f>
        <v/>
      </c>
      <c r="O6713">
        <f>IF('Loan Tape (S&amp;P)'!T6713="Yes",
    1.35,
    1.00)</f>
        <v/>
      </c>
      <c r="P6713">
        <f>IF('Loan Tape (S&amp;P)'!S6713="Yes",
    1.15,
    1.00)</f>
        <v/>
      </c>
      <c r="Q6713">
        <f>IF('Loan Tape (S&amp;P)'!V6713="Yes",
    1.20,
    1.00)</f>
        <v/>
      </c>
      <c r="T6713">
        <f>LET(
    payment_method,'Loan Tape (S&amp;P)'!P6713,
    occupancy,'Loan Tape (S&amp;P)'!N6713,
    maturity_date,'Loan Tape (S&amp;P)'!L6713,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14">
      <c r="J6714">
        <f>LET(
    lien,'Loan Tape (S&amp;P)'!Q6714,
    IF(lien="First",1.00,
        IF(lien="Second",1.50,
            1.70)))</f>
        <v/>
      </c>
      <c r="K6714">
        <f>LET(
    purpose,'Loan Tape (S&amp;P)'!R6714,
    IF(purpose="Purchase",1.00,
        IF(purpose="Remortgage",1.00,
            1.20)))</f>
        <v/>
      </c>
      <c r="L6714">
        <f>LET(
    arrears_months,'Loan Tape (S&amp;P)'!AN6714,
    IF(arrears_months=0,1.00,
    IF(arrears_months=1,3.00,
    IF(arrears_months=2,5.00,
    IF(arrears_months=3,8.00,
    IF(arrears_months=4,10.00,
    IF(arrears_months=5,12.00,15.00)))))))</f>
        <v/>
      </c>
      <c r="M6714">
        <f>LET(
    seasoning_years,DATEDIF('Loan Tape (S&amp;P)'!K6714,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14">
        <f>IF(AND('Loan Tape (S&amp;P)'!U6714="Yes",
        'Loan Tape (S&amp;P)'!T6714&lt;&gt;"Yes",
        DATEDIF('Loan Tape (S&amp;P)'!K6714, TODAY(), "M")&lt;18),
    1.10,
    1.00)</f>
        <v/>
      </c>
      <c r="O6714">
        <f>IF('Loan Tape (S&amp;P)'!T6714="Yes",
    1.35,
    1.00)</f>
        <v/>
      </c>
      <c r="P6714">
        <f>IF('Loan Tape (S&amp;P)'!S6714="Yes",
    1.15,
    1.00)</f>
        <v/>
      </c>
      <c r="Q6714">
        <f>IF('Loan Tape (S&amp;P)'!V6714="Yes",
    1.20,
    1.00)</f>
        <v/>
      </c>
      <c r="T6714">
        <f>LET(
    payment_method,'Loan Tape (S&amp;P)'!P6714,
    occupancy,'Loan Tape (S&amp;P)'!N6714,
    maturity_date,'Loan Tape (S&amp;P)'!L6714,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15">
      <c r="J6715">
        <f>LET(
    lien,'Loan Tape (S&amp;P)'!Q6715,
    IF(lien="First",1.00,
        IF(lien="Second",1.50,
            1.70)))</f>
        <v/>
      </c>
      <c r="K6715">
        <f>LET(
    purpose,'Loan Tape (S&amp;P)'!R6715,
    IF(purpose="Purchase",1.00,
        IF(purpose="Remortgage",1.00,
            1.20)))</f>
        <v/>
      </c>
      <c r="L6715">
        <f>LET(
    arrears_months,'Loan Tape (S&amp;P)'!AN6715,
    IF(arrears_months=0,1.00,
    IF(arrears_months=1,3.00,
    IF(arrears_months=2,5.00,
    IF(arrears_months=3,8.00,
    IF(arrears_months=4,10.00,
    IF(arrears_months=5,12.00,15.00)))))))</f>
        <v/>
      </c>
      <c r="M6715">
        <f>LET(
    seasoning_years,DATEDIF('Loan Tape (S&amp;P)'!K6715,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15">
        <f>IF(AND('Loan Tape (S&amp;P)'!U6715="Yes",
        'Loan Tape (S&amp;P)'!T6715&lt;&gt;"Yes",
        DATEDIF('Loan Tape (S&amp;P)'!K6715, TODAY(), "M")&lt;18),
    1.10,
    1.00)</f>
        <v/>
      </c>
      <c r="O6715">
        <f>IF('Loan Tape (S&amp;P)'!T6715="Yes",
    1.35,
    1.00)</f>
        <v/>
      </c>
      <c r="P6715">
        <f>IF('Loan Tape (S&amp;P)'!S6715="Yes",
    1.15,
    1.00)</f>
        <v/>
      </c>
      <c r="Q6715">
        <f>IF('Loan Tape (S&amp;P)'!V6715="Yes",
    1.20,
    1.00)</f>
        <v/>
      </c>
      <c r="T6715">
        <f>LET(
    payment_method,'Loan Tape (S&amp;P)'!P6715,
    occupancy,'Loan Tape (S&amp;P)'!N6715,
    maturity_date,'Loan Tape (S&amp;P)'!L6715,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16">
      <c r="J6716">
        <f>LET(
    lien,'Loan Tape (S&amp;P)'!Q6716,
    IF(lien="First",1.00,
        IF(lien="Second",1.50,
            1.70)))</f>
        <v/>
      </c>
      <c r="K6716">
        <f>LET(
    purpose,'Loan Tape (S&amp;P)'!R6716,
    IF(purpose="Purchase",1.00,
        IF(purpose="Remortgage",1.00,
            1.20)))</f>
        <v/>
      </c>
      <c r="L6716">
        <f>LET(
    arrears_months,'Loan Tape (S&amp;P)'!AN6716,
    IF(arrears_months=0,1.00,
    IF(arrears_months=1,3.00,
    IF(arrears_months=2,5.00,
    IF(arrears_months=3,8.00,
    IF(arrears_months=4,10.00,
    IF(arrears_months=5,12.00,15.00)))))))</f>
        <v/>
      </c>
      <c r="M6716">
        <f>LET(
    seasoning_years,DATEDIF('Loan Tape (S&amp;P)'!K6716,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16">
        <f>IF(AND('Loan Tape (S&amp;P)'!U6716="Yes",
        'Loan Tape (S&amp;P)'!T6716&lt;&gt;"Yes",
        DATEDIF('Loan Tape (S&amp;P)'!K6716, TODAY(), "M")&lt;18),
    1.10,
    1.00)</f>
        <v/>
      </c>
      <c r="O6716">
        <f>IF('Loan Tape (S&amp;P)'!T6716="Yes",
    1.35,
    1.00)</f>
        <v/>
      </c>
      <c r="P6716">
        <f>IF('Loan Tape (S&amp;P)'!S6716="Yes",
    1.15,
    1.00)</f>
        <v/>
      </c>
      <c r="Q6716">
        <f>IF('Loan Tape (S&amp;P)'!V6716="Yes",
    1.20,
    1.00)</f>
        <v/>
      </c>
      <c r="T6716">
        <f>LET(
    payment_method,'Loan Tape (S&amp;P)'!P6716,
    occupancy,'Loan Tape (S&amp;P)'!N6716,
    maturity_date,'Loan Tape (S&amp;P)'!L6716,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17">
      <c r="J6717">
        <f>LET(
    lien,'Loan Tape (S&amp;P)'!Q6717,
    IF(lien="First",1.00,
        IF(lien="Second",1.50,
            1.70)))</f>
        <v/>
      </c>
      <c r="K6717">
        <f>LET(
    purpose,'Loan Tape (S&amp;P)'!R6717,
    IF(purpose="Purchase",1.00,
        IF(purpose="Remortgage",1.00,
            1.20)))</f>
        <v/>
      </c>
      <c r="L6717">
        <f>LET(
    arrears_months,'Loan Tape (S&amp;P)'!AN6717,
    IF(arrears_months=0,1.00,
    IF(arrears_months=1,3.00,
    IF(arrears_months=2,5.00,
    IF(arrears_months=3,8.00,
    IF(arrears_months=4,10.00,
    IF(arrears_months=5,12.00,15.00)))))))</f>
        <v/>
      </c>
      <c r="M6717">
        <f>LET(
    seasoning_years,DATEDIF('Loan Tape (S&amp;P)'!K6717,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17">
        <f>IF(AND('Loan Tape (S&amp;P)'!U6717="Yes",
        'Loan Tape (S&amp;P)'!T6717&lt;&gt;"Yes",
        DATEDIF('Loan Tape (S&amp;P)'!K6717, TODAY(), "M")&lt;18),
    1.10,
    1.00)</f>
        <v/>
      </c>
      <c r="O6717">
        <f>IF('Loan Tape (S&amp;P)'!T6717="Yes",
    1.35,
    1.00)</f>
        <v/>
      </c>
      <c r="P6717">
        <f>IF('Loan Tape (S&amp;P)'!S6717="Yes",
    1.15,
    1.00)</f>
        <v/>
      </c>
      <c r="Q6717">
        <f>IF('Loan Tape (S&amp;P)'!V6717="Yes",
    1.20,
    1.00)</f>
        <v/>
      </c>
      <c r="T6717">
        <f>LET(
    payment_method,'Loan Tape (S&amp;P)'!P6717,
    occupancy,'Loan Tape (S&amp;P)'!N6717,
    maturity_date,'Loan Tape (S&amp;P)'!L6717,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18">
      <c r="J6718">
        <f>LET(
    lien,'Loan Tape (S&amp;P)'!Q6718,
    IF(lien="First",1.00,
        IF(lien="Second",1.50,
            1.70)))</f>
        <v/>
      </c>
      <c r="K6718">
        <f>LET(
    purpose,'Loan Tape (S&amp;P)'!R6718,
    IF(purpose="Purchase",1.00,
        IF(purpose="Remortgage",1.00,
            1.20)))</f>
        <v/>
      </c>
      <c r="L6718">
        <f>LET(
    arrears_months,'Loan Tape (S&amp;P)'!AN6718,
    IF(arrears_months=0,1.00,
    IF(arrears_months=1,3.00,
    IF(arrears_months=2,5.00,
    IF(arrears_months=3,8.00,
    IF(arrears_months=4,10.00,
    IF(arrears_months=5,12.00,15.00)))))))</f>
        <v/>
      </c>
      <c r="M6718">
        <f>LET(
    seasoning_years,DATEDIF('Loan Tape (S&amp;P)'!K6718,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18">
        <f>IF(AND('Loan Tape (S&amp;P)'!U6718="Yes",
        'Loan Tape (S&amp;P)'!T6718&lt;&gt;"Yes",
        DATEDIF('Loan Tape (S&amp;P)'!K6718, TODAY(), "M")&lt;18),
    1.10,
    1.00)</f>
        <v/>
      </c>
      <c r="O6718">
        <f>IF('Loan Tape (S&amp;P)'!T6718="Yes",
    1.35,
    1.00)</f>
        <v/>
      </c>
      <c r="P6718">
        <f>IF('Loan Tape (S&amp;P)'!S6718="Yes",
    1.15,
    1.00)</f>
        <v/>
      </c>
      <c r="Q6718">
        <f>IF('Loan Tape (S&amp;P)'!V6718="Yes",
    1.20,
    1.00)</f>
        <v/>
      </c>
      <c r="T6718">
        <f>LET(
    payment_method,'Loan Tape (S&amp;P)'!P6718,
    occupancy,'Loan Tape (S&amp;P)'!N6718,
    maturity_date,'Loan Tape (S&amp;P)'!L6718,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19">
      <c r="J6719">
        <f>LET(
    lien,'Loan Tape (S&amp;P)'!Q6719,
    IF(lien="First",1.00,
        IF(lien="Second",1.50,
            1.70)))</f>
        <v/>
      </c>
      <c r="K6719">
        <f>LET(
    purpose,'Loan Tape (S&amp;P)'!R6719,
    IF(purpose="Purchase",1.00,
        IF(purpose="Remortgage",1.00,
            1.20)))</f>
        <v/>
      </c>
      <c r="L6719">
        <f>LET(
    arrears_months,'Loan Tape (S&amp;P)'!AN6719,
    IF(arrears_months=0,1.00,
    IF(arrears_months=1,3.00,
    IF(arrears_months=2,5.00,
    IF(arrears_months=3,8.00,
    IF(arrears_months=4,10.00,
    IF(arrears_months=5,12.00,15.00)))))))</f>
        <v/>
      </c>
      <c r="M6719">
        <f>LET(
    seasoning_years,DATEDIF('Loan Tape (S&amp;P)'!K6719,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19">
        <f>IF(AND('Loan Tape (S&amp;P)'!U6719="Yes",
        'Loan Tape (S&amp;P)'!T6719&lt;&gt;"Yes",
        DATEDIF('Loan Tape (S&amp;P)'!K6719, TODAY(), "M")&lt;18),
    1.10,
    1.00)</f>
        <v/>
      </c>
      <c r="O6719">
        <f>IF('Loan Tape (S&amp;P)'!T6719="Yes",
    1.35,
    1.00)</f>
        <v/>
      </c>
      <c r="P6719">
        <f>IF('Loan Tape (S&amp;P)'!S6719="Yes",
    1.15,
    1.00)</f>
        <v/>
      </c>
      <c r="Q6719">
        <f>IF('Loan Tape (S&amp;P)'!V6719="Yes",
    1.20,
    1.00)</f>
        <v/>
      </c>
      <c r="T6719">
        <f>LET(
    payment_method,'Loan Tape (S&amp;P)'!P6719,
    occupancy,'Loan Tape (S&amp;P)'!N6719,
    maturity_date,'Loan Tape (S&amp;P)'!L6719,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20">
      <c r="J6720">
        <f>LET(
    lien,'Loan Tape (S&amp;P)'!Q6720,
    IF(lien="First",1.00,
        IF(lien="Second",1.50,
            1.70)))</f>
        <v/>
      </c>
      <c r="K6720">
        <f>LET(
    purpose,'Loan Tape (S&amp;P)'!R6720,
    IF(purpose="Purchase",1.00,
        IF(purpose="Remortgage",1.00,
            1.20)))</f>
        <v/>
      </c>
      <c r="L6720">
        <f>LET(
    arrears_months,'Loan Tape (S&amp;P)'!AN6720,
    IF(arrears_months=0,1.00,
    IF(arrears_months=1,3.00,
    IF(arrears_months=2,5.00,
    IF(arrears_months=3,8.00,
    IF(arrears_months=4,10.00,
    IF(arrears_months=5,12.00,15.00)))))))</f>
        <v/>
      </c>
      <c r="M6720">
        <f>LET(
    seasoning_years,DATEDIF('Loan Tape (S&amp;P)'!K6720,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20">
        <f>IF(AND('Loan Tape (S&amp;P)'!U6720="Yes",
        'Loan Tape (S&amp;P)'!T6720&lt;&gt;"Yes",
        DATEDIF('Loan Tape (S&amp;P)'!K6720, TODAY(), "M")&lt;18),
    1.10,
    1.00)</f>
        <v/>
      </c>
      <c r="O6720">
        <f>IF('Loan Tape (S&amp;P)'!T6720="Yes",
    1.35,
    1.00)</f>
        <v/>
      </c>
      <c r="P6720">
        <f>IF('Loan Tape (S&amp;P)'!S6720="Yes",
    1.15,
    1.00)</f>
        <v/>
      </c>
      <c r="Q6720">
        <f>IF('Loan Tape (S&amp;P)'!V6720="Yes",
    1.20,
    1.00)</f>
        <v/>
      </c>
      <c r="T6720">
        <f>LET(
    payment_method,'Loan Tape (S&amp;P)'!P6720,
    occupancy,'Loan Tape (S&amp;P)'!N6720,
    maturity_date,'Loan Tape (S&amp;P)'!L6720,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21">
      <c r="J6721">
        <f>LET(
    lien,'Loan Tape (S&amp;P)'!Q6721,
    IF(lien="First",1.00,
        IF(lien="Second",1.50,
            1.70)))</f>
        <v/>
      </c>
      <c r="K6721">
        <f>LET(
    purpose,'Loan Tape (S&amp;P)'!R6721,
    IF(purpose="Purchase",1.00,
        IF(purpose="Remortgage",1.00,
            1.20)))</f>
        <v/>
      </c>
      <c r="L6721">
        <f>LET(
    arrears_months,'Loan Tape (S&amp;P)'!AN6721,
    IF(arrears_months=0,1.00,
    IF(arrears_months=1,3.00,
    IF(arrears_months=2,5.00,
    IF(arrears_months=3,8.00,
    IF(arrears_months=4,10.00,
    IF(arrears_months=5,12.00,15.00)))))))</f>
        <v/>
      </c>
      <c r="M6721">
        <f>LET(
    seasoning_years,DATEDIF('Loan Tape (S&amp;P)'!K6721,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21">
        <f>IF(AND('Loan Tape (S&amp;P)'!U6721="Yes",
        'Loan Tape (S&amp;P)'!T6721&lt;&gt;"Yes",
        DATEDIF('Loan Tape (S&amp;P)'!K6721, TODAY(), "M")&lt;18),
    1.10,
    1.00)</f>
        <v/>
      </c>
      <c r="O6721">
        <f>IF('Loan Tape (S&amp;P)'!T6721="Yes",
    1.35,
    1.00)</f>
        <v/>
      </c>
      <c r="P6721">
        <f>IF('Loan Tape (S&amp;P)'!S6721="Yes",
    1.15,
    1.00)</f>
        <v/>
      </c>
      <c r="Q6721">
        <f>IF('Loan Tape (S&amp;P)'!V6721="Yes",
    1.20,
    1.00)</f>
        <v/>
      </c>
      <c r="T6721">
        <f>LET(
    payment_method,'Loan Tape (S&amp;P)'!P6721,
    occupancy,'Loan Tape (S&amp;P)'!N6721,
    maturity_date,'Loan Tape (S&amp;P)'!L6721,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22">
      <c r="J6722">
        <f>LET(
    lien,'Loan Tape (S&amp;P)'!Q6722,
    IF(lien="First",1.00,
        IF(lien="Second",1.50,
            1.70)))</f>
        <v/>
      </c>
      <c r="K6722">
        <f>LET(
    purpose,'Loan Tape (S&amp;P)'!R6722,
    IF(purpose="Purchase",1.00,
        IF(purpose="Remortgage",1.00,
            1.20)))</f>
        <v/>
      </c>
      <c r="L6722">
        <f>LET(
    arrears_months,'Loan Tape (S&amp;P)'!AN6722,
    IF(arrears_months=0,1.00,
    IF(arrears_months=1,3.00,
    IF(arrears_months=2,5.00,
    IF(arrears_months=3,8.00,
    IF(arrears_months=4,10.00,
    IF(arrears_months=5,12.00,15.00)))))))</f>
        <v/>
      </c>
      <c r="M6722">
        <f>LET(
    seasoning_years,DATEDIF('Loan Tape (S&amp;P)'!K6722,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22">
        <f>IF(AND('Loan Tape (S&amp;P)'!U6722="Yes",
        'Loan Tape (S&amp;P)'!T6722&lt;&gt;"Yes",
        DATEDIF('Loan Tape (S&amp;P)'!K6722, TODAY(), "M")&lt;18),
    1.10,
    1.00)</f>
        <v/>
      </c>
      <c r="O6722">
        <f>IF('Loan Tape (S&amp;P)'!T6722="Yes",
    1.35,
    1.00)</f>
        <v/>
      </c>
      <c r="P6722">
        <f>IF('Loan Tape (S&amp;P)'!S6722="Yes",
    1.15,
    1.00)</f>
        <v/>
      </c>
      <c r="Q6722">
        <f>IF('Loan Tape (S&amp;P)'!V6722="Yes",
    1.20,
    1.00)</f>
        <v/>
      </c>
      <c r="T6722">
        <f>LET(
    payment_method,'Loan Tape (S&amp;P)'!P6722,
    occupancy,'Loan Tape (S&amp;P)'!N6722,
    maturity_date,'Loan Tape (S&amp;P)'!L6722,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23">
      <c r="J6723">
        <f>LET(
    lien,'Loan Tape (S&amp;P)'!Q6723,
    IF(lien="First",1.00,
        IF(lien="Second",1.50,
            1.70)))</f>
        <v/>
      </c>
      <c r="K6723">
        <f>LET(
    purpose,'Loan Tape (S&amp;P)'!R6723,
    IF(purpose="Purchase",1.00,
        IF(purpose="Remortgage",1.00,
            1.20)))</f>
        <v/>
      </c>
      <c r="L6723">
        <f>LET(
    arrears_months,'Loan Tape (S&amp;P)'!AN6723,
    IF(arrears_months=0,1.00,
    IF(arrears_months=1,3.00,
    IF(arrears_months=2,5.00,
    IF(arrears_months=3,8.00,
    IF(arrears_months=4,10.00,
    IF(arrears_months=5,12.00,15.00)))))))</f>
        <v/>
      </c>
      <c r="M6723">
        <f>LET(
    seasoning_years,DATEDIF('Loan Tape (S&amp;P)'!K6723,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23">
        <f>IF(AND('Loan Tape (S&amp;P)'!U6723="Yes",
        'Loan Tape (S&amp;P)'!T6723&lt;&gt;"Yes",
        DATEDIF('Loan Tape (S&amp;P)'!K6723, TODAY(), "M")&lt;18),
    1.10,
    1.00)</f>
        <v/>
      </c>
      <c r="O6723">
        <f>IF('Loan Tape (S&amp;P)'!T6723="Yes",
    1.35,
    1.00)</f>
        <v/>
      </c>
      <c r="P6723">
        <f>IF('Loan Tape (S&amp;P)'!S6723="Yes",
    1.15,
    1.00)</f>
        <v/>
      </c>
      <c r="Q6723">
        <f>IF('Loan Tape (S&amp;P)'!V6723="Yes",
    1.20,
    1.00)</f>
        <v/>
      </c>
      <c r="T6723">
        <f>LET(
    payment_method,'Loan Tape (S&amp;P)'!P6723,
    occupancy,'Loan Tape (S&amp;P)'!N6723,
    maturity_date,'Loan Tape (S&amp;P)'!L6723,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24">
      <c r="J6724">
        <f>LET(
    lien,'Loan Tape (S&amp;P)'!Q6724,
    IF(lien="First",1.00,
        IF(lien="Second",1.50,
            1.70)))</f>
        <v/>
      </c>
      <c r="K6724">
        <f>LET(
    purpose,'Loan Tape (S&amp;P)'!R6724,
    IF(purpose="Purchase",1.00,
        IF(purpose="Remortgage",1.00,
            1.20)))</f>
        <v/>
      </c>
      <c r="L6724">
        <f>LET(
    arrears_months,'Loan Tape (S&amp;P)'!AN6724,
    IF(arrears_months=0,1.00,
    IF(arrears_months=1,3.00,
    IF(arrears_months=2,5.00,
    IF(arrears_months=3,8.00,
    IF(arrears_months=4,10.00,
    IF(arrears_months=5,12.00,15.00)))))))</f>
        <v/>
      </c>
      <c r="M6724">
        <f>LET(
    seasoning_years,DATEDIF('Loan Tape (S&amp;P)'!K6724,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24">
        <f>IF(AND('Loan Tape (S&amp;P)'!U6724="Yes",
        'Loan Tape (S&amp;P)'!T6724&lt;&gt;"Yes",
        DATEDIF('Loan Tape (S&amp;P)'!K6724, TODAY(), "M")&lt;18),
    1.10,
    1.00)</f>
        <v/>
      </c>
      <c r="O6724">
        <f>IF('Loan Tape (S&amp;P)'!T6724="Yes",
    1.35,
    1.00)</f>
        <v/>
      </c>
      <c r="P6724">
        <f>IF('Loan Tape (S&amp;P)'!S6724="Yes",
    1.15,
    1.00)</f>
        <v/>
      </c>
      <c r="Q6724">
        <f>IF('Loan Tape (S&amp;P)'!V6724="Yes",
    1.20,
    1.00)</f>
        <v/>
      </c>
      <c r="T6724">
        <f>LET(
    payment_method,'Loan Tape (S&amp;P)'!P6724,
    occupancy,'Loan Tape (S&amp;P)'!N6724,
    maturity_date,'Loan Tape (S&amp;P)'!L6724,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25">
      <c r="J6725">
        <f>LET(
    lien,'Loan Tape (S&amp;P)'!Q6725,
    IF(lien="First",1.00,
        IF(lien="Second",1.50,
            1.70)))</f>
        <v/>
      </c>
      <c r="K6725">
        <f>LET(
    purpose,'Loan Tape (S&amp;P)'!R6725,
    IF(purpose="Purchase",1.00,
        IF(purpose="Remortgage",1.00,
            1.20)))</f>
        <v/>
      </c>
      <c r="L6725">
        <f>LET(
    arrears_months,'Loan Tape (S&amp;P)'!AN6725,
    IF(arrears_months=0,1.00,
    IF(arrears_months=1,3.00,
    IF(arrears_months=2,5.00,
    IF(arrears_months=3,8.00,
    IF(arrears_months=4,10.00,
    IF(arrears_months=5,12.00,15.00)))))))</f>
        <v/>
      </c>
      <c r="M6725">
        <f>LET(
    seasoning_years,DATEDIF('Loan Tape (S&amp;P)'!K6725,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25">
        <f>IF(AND('Loan Tape (S&amp;P)'!U6725="Yes",
        'Loan Tape (S&amp;P)'!T6725&lt;&gt;"Yes",
        DATEDIF('Loan Tape (S&amp;P)'!K6725, TODAY(), "M")&lt;18),
    1.10,
    1.00)</f>
        <v/>
      </c>
      <c r="O6725">
        <f>IF('Loan Tape (S&amp;P)'!T6725="Yes",
    1.35,
    1.00)</f>
        <v/>
      </c>
      <c r="P6725">
        <f>IF('Loan Tape (S&amp;P)'!S6725="Yes",
    1.15,
    1.00)</f>
        <v/>
      </c>
      <c r="Q6725">
        <f>IF('Loan Tape (S&amp;P)'!V6725="Yes",
    1.20,
    1.00)</f>
        <v/>
      </c>
      <c r="T6725">
        <f>LET(
    payment_method,'Loan Tape (S&amp;P)'!P6725,
    occupancy,'Loan Tape (S&amp;P)'!N6725,
    maturity_date,'Loan Tape (S&amp;P)'!L6725,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26">
      <c r="J6726">
        <f>LET(
    lien,'Loan Tape (S&amp;P)'!Q6726,
    IF(lien="First",1.00,
        IF(lien="Second",1.50,
            1.70)))</f>
        <v/>
      </c>
      <c r="K6726">
        <f>LET(
    purpose,'Loan Tape (S&amp;P)'!R6726,
    IF(purpose="Purchase",1.00,
        IF(purpose="Remortgage",1.00,
            1.20)))</f>
        <v/>
      </c>
      <c r="L6726">
        <f>LET(
    arrears_months,'Loan Tape (S&amp;P)'!AN6726,
    IF(arrears_months=0,1.00,
    IF(arrears_months=1,3.00,
    IF(arrears_months=2,5.00,
    IF(arrears_months=3,8.00,
    IF(arrears_months=4,10.00,
    IF(arrears_months=5,12.00,15.00)))))))</f>
        <v/>
      </c>
      <c r="M6726">
        <f>LET(
    seasoning_years,DATEDIF('Loan Tape (S&amp;P)'!K6726,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26">
        <f>IF(AND('Loan Tape (S&amp;P)'!U6726="Yes",
        'Loan Tape (S&amp;P)'!T6726&lt;&gt;"Yes",
        DATEDIF('Loan Tape (S&amp;P)'!K6726, TODAY(), "M")&lt;18),
    1.10,
    1.00)</f>
        <v/>
      </c>
      <c r="O6726">
        <f>IF('Loan Tape (S&amp;P)'!T6726="Yes",
    1.35,
    1.00)</f>
        <v/>
      </c>
      <c r="P6726">
        <f>IF('Loan Tape (S&amp;P)'!S6726="Yes",
    1.15,
    1.00)</f>
        <v/>
      </c>
      <c r="Q6726">
        <f>IF('Loan Tape (S&amp;P)'!V6726="Yes",
    1.20,
    1.00)</f>
        <v/>
      </c>
      <c r="T6726">
        <f>LET(
    payment_method,'Loan Tape (S&amp;P)'!P6726,
    occupancy,'Loan Tape (S&amp;P)'!N6726,
    maturity_date,'Loan Tape (S&amp;P)'!L6726,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27">
      <c r="J6727">
        <f>LET(
    lien,'Loan Tape (S&amp;P)'!Q6727,
    IF(lien="First",1.00,
        IF(lien="Second",1.50,
            1.70)))</f>
        <v/>
      </c>
      <c r="K6727">
        <f>LET(
    purpose,'Loan Tape (S&amp;P)'!R6727,
    IF(purpose="Purchase",1.00,
        IF(purpose="Remortgage",1.00,
            1.20)))</f>
        <v/>
      </c>
      <c r="L6727">
        <f>LET(
    arrears_months,'Loan Tape (S&amp;P)'!AN6727,
    IF(arrears_months=0,1.00,
    IF(arrears_months=1,3.00,
    IF(arrears_months=2,5.00,
    IF(arrears_months=3,8.00,
    IF(arrears_months=4,10.00,
    IF(arrears_months=5,12.00,15.00)))))))</f>
        <v/>
      </c>
      <c r="M6727">
        <f>LET(
    seasoning_years,DATEDIF('Loan Tape (S&amp;P)'!K6727,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27">
        <f>IF(AND('Loan Tape (S&amp;P)'!U6727="Yes",
        'Loan Tape (S&amp;P)'!T6727&lt;&gt;"Yes",
        DATEDIF('Loan Tape (S&amp;P)'!K6727, TODAY(), "M")&lt;18),
    1.10,
    1.00)</f>
        <v/>
      </c>
      <c r="O6727">
        <f>IF('Loan Tape (S&amp;P)'!T6727="Yes",
    1.35,
    1.00)</f>
        <v/>
      </c>
      <c r="P6727">
        <f>IF('Loan Tape (S&amp;P)'!S6727="Yes",
    1.15,
    1.00)</f>
        <v/>
      </c>
      <c r="Q6727">
        <f>IF('Loan Tape (S&amp;P)'!V6727="Yes",
    1.20,
    1.00)</f>
        <v/>
      </c>
      <c r="T6727">
        <f>LET(
    payment_method,'Loan Tape (S&amp;P)'!P6727,
    occupancy,'Loan Tape (S&amp;P)'!N6727,
    maturity_date,'Loan Tape (S&amp;P)'!L6727,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28">
      <c r="J6728">
        <f>LET(
    lien,'Loan Tape (S&amp;P)'!Q6728,
    IF(lien="First",1.00,
        IF(lien="Second",1.50,
            1.70)))</f>
        <v/>
      </c>
      <c r="K6728">
        <f>LET(
    purpose,'Loan Tape (S&amp;P)'!R6728,
    IF(purpose="Purchase",1.00,
        IF(purpose="Remortgage",1.00,
            1.20)))</f>
        <v/>
      </c>
      <c r="L6728">
        <f>LET(
    arrears_months,'Loan Tape (S&amp;P)'!AN6728,
    IF(arrears_months=0,1.00,
    IF(arrears_months=1,3.00,
    IF(arrears_months=2,5.00,
    IF(arrears_months=3,8.00,
    IF(arrears_months=4,10.00,
    IF(arrears_months=5,12.00,15.00)))))))</f>
        <v/>
      </c>
      <c r="M6728">
        <f>LET(
    seasoning_years,DATEDIF('Loan Tape (S&amp;P)'!K6728,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28">
        <f>IF(AND('Loan Tape (S&amp;P)'!U6728="Yes",
        'Loan Tape (S&amp;P)'!T6728&lt;&gt;"Yes",
        DATEDIF('Loan Tape (S&amp;P)'!K6728, TODAY(), "M")&lt;18),
    1.10,
    1.00)</f>
        <v/>
      </c>
      <c r="O6728">
        <f>IF('Loan Tape (S&amp;P)'!T6728="Yes",
    1.35,
    1.00)</f>
        <v/>
      </c>
      <c r="P6728">
        <f>IF('Loan Tape (S&amp;P)'!S6728="Yes",
    1.15,
    1.00)</f>
        <v/>
      </c>
      <c r="Q6728">
        <f>IF('Loan Tape (S&amp;P)'!V6728="Yes",
    1.20,
    1.00)</f>
        <v/>
      </c>
      <c r="T6728">
        <f>LET(
    payment_method,'Loan Tape (S&amp;P)'!P6728,
    occupancy,'Loan Tape (S&amp;P)'!N6728,
    maturity_date,'Loan Tape (S&amp;P)'!L6728,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29">
      <c r="J6729">
        <f>LET(
    lien,'Loan Tape (S&amp;P)'!Q6729,
    IF(lien="First",1.00,
        IF(lien="Second",1.50,
            1.70)))</f>
        <v/>
      </c>
      <c r="K6729">
        <f>LET(
    purpose,'Loan Tape (S&amp;P)'!R6729,
    IF(purpose="Purchase",1.00,
        IF(purpose="Remortgage",1.00,
            1.20)))</f>
        <v/>
      </c>
      <c r="L6729">
        <f>LET(
    arrears_months,'Loan Tape (S&amp;P)'!AN6729,
    IF(arrears_months=0,1.00,
    IF(arrears_months=1,3.00,
    IF(arrears_months=2,5.00,
    IF(arrears_months=3,8.00,
    IF(arrears_months=4,10.00,
    IF(arrears_months=5,12.00,15.00)))))))</f>
        <v/>
      </c>
      <c r="M6729">
        <f>LET(
    seasoning_years,DATEDIF('Loan Tape (S&amp;P)'!K6729,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29">
        <f>IF(AND('Loan Tape (S&amp;P)'!U6729="Yes",
        'Loan Tape (S&amp;P)'!T6729&lt;&gt;"Yes",
        DATEDIF('Loan Tape (S&amp;P)'!K6729, TODAY(), "M")&lt;18),
    1.10,
    1.00)</f>
        <v/>
      </c>
      <c r="O6729">
        <f>IF('Loan Tape (S&amp;P)'!T6729="Yes",
    1.35,
    1.00)</f>
        <v/>
      </c>
      <c r="P6729">
        <f>IF('Loan Tape (S&amp;P)'!S6729="Yes",
    1.15,
    1.00)</f>
        <v/>
      </c>
      <c r="Q6729">
        <f>IF('Loan Tape (S&amp;P)'!V6729="Yes",
    1.20,
    1.00)</f>
        <v/>
      </c>
      <c r="T6729">
        <f>LET(
    payment_method,'Loan Tape (S&amp;P)'!P6729,
    occupancy,'Loan Tape (S&amp;P)'!N6729,
    maturity_date,'Loan Tape (S&amp;P)'!L6729,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30">
      <c r="J6730">
        <f>LET(
    lien,'Loan Tape (S&amp;P)'!Q6730,
    IF(lien="First",1.00,
        IF(lien="Second",1.50,
            1.70)))</f>
        <v/>
      </c>
      <c r="K6730">
        <f>LET(
    purpose,'Loan Tape (S&amp;P)'!R6730,
    IF(purpose="Purchase",1.00,
        IF(purpose="Remortgage",1.00,
            1.20)))</f>
        <v/>
      </c>
      <c r="L6730">
        <f>LET(
    arrears_months,'Loan Tape (S&amp;P)'!AN6730,
    IF(arrears_months=0,1.00,
    IF(arrears_months=1,3.00,
    IF(arrears_months=2,5.00,
    IF(arrears_months=3,8.00,
    IF(arrears_months=4,10.00,
    IF(arrears_months=5,12.00,15.00)))))))</f>
        <v/>
      </c>
      <c r="M6730">
        <f>LET(
    seasoning_years,DATEDIF('Loan Tape (S&amp;P)'!K6730,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30">
        <f>IF(AND('Loan Tape (S&amp;P)'!U6730="Yes",
        'Loan Tape (S&amp;P)'!T6730&lt;&gt;"Yes",
        DATEDIF('Loan Tape (S&amp;P)'!K6730, TODAY(), "M")&lt;18),
    1.10,
    1.00)</f>
        <v/>
      </c>
      <c r="O6730">
        <f>IF('Loan Tape (S&amp;P)'!T6730="Yes",
    1.35,
    1.00)</f>
        <v/>
      </c>
      <c r="P6730">
        <f>IF('Loan Tape (S&amp;P)'!S6730="Yes",
    1.15,
    1.00)</f>
        <v/>
      </c>
      <c r="Q6730">
        <f>IF('Loan Tape (S&amp;P)'!V6730="Yes",
    1.20,
    1.00)</f>
        <v/>
      </c>
      <c r="T6730">
        <f>LET(
    payment_method,'Loan Tape (S&amp;P)'!P6730,
    occupancy,'Loan Tape (S&amp;P)'!N6730,
    maturity_date,'Loan Tape (S&amp;P)'!L6730,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31">
      <c r="J6731">
        <f>LET(
    lien,'Loan Tape (S&amp;P)'!Q6731,
    IF(lien="First",1.00,
        IF(lien="Second",1.50,
            1.70)))</f>
        <v/>
      </c>
      <c r="K6731">
        <f>LET(
    purpose,'Loan Tape (S&amp;P)'!R6731,
    IF(purpose="Purchase",1.00,
        IF(purpose="Remortgage",1.00,
            1.20)))</f>
        <v/>
      </c>
      <c r="L6731">
        <f>LET(
    arrears_months,'Loan Tape (S&amp;P)'!AN6731,
    IF(arrears_months=0,1.00,
    IF(arrears_months=1,3.00,
    IF(arrears_months=2,5.00,
    IF(arrears_months=3,8.00,
    IF(arrears_months=4,10.00,
    IF(arrears_months=5,12.00,15.00)))))))</f>
        <v/>
      </c>
      <c r="M6731">
        <f>LET(
    seasoning_years,DATEDIF('Loan Tape (S&amp;P)'!K6731,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31">
        <f>IF(AND('Loan Tape (S&amp;P)'!U6731="Yes",
        'Loan Tape (S&amp;P)'!T6731&lt;&gt;"Yes",
        DATEDIF('Loan Tape (S&amp;P)'!K6731, TODAY(), "M")&lt;18),
    1.10,
    1.00)</f>
        <v/>
      </c>
      <c r="O6731">
        <f>IF('Loan Tape (S&amp;P)'!T6731="Yes",
    1.35,
    1.00)</f>
        <v/>
      </c>
      <c r="P6731">
        <f>IF('Loan Tape (S&amp;P)'!S6731="Yes",
    1.15,
    1.00)</f>
        <v/>
      </c>
      <c r="Q6731">
        <f>IF('Loan Tape (S&amp;P)'!V6731="Yes",
    1.20,
    1.00)</f>
        <v/>
      </c>
      <c r="T6731">
        <f>LET(
    payment_method,'Loan Tape (S&amp;P)'!P6731,
    occupancy,'Loan Tape (S&amp;P)'!N6731,
    maturity_date,'Loan Tape (S&amp;P)'!L6731,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32">
      <c r="J6732">
        <f>LET(
    lien,'Loan Tape (S&amp;P)'!Q6732,
    IF(lien="First",1.00,
        IF(lien="Second",1.50,
            1.70)))</f>
        <v/>
      </c>
      <c r="K6732">
        <f>LET(
    purpose,'Loan Tape (S&amp;P)'!R6732,
    IF(purpose="Purchase",1.00,
        IF(purpose="Remortgage",1.00,
            1.20)))</f>
        <v/>
      </c>
      <c r="L6732">
        <f>LET(
    arrears_months,'Loan Tape (S&amp;P)'!AN6732,
    IF(arrears_months=0,1.00,
    IF(arrears_months=1,3.00,
    IF(arrears_months=2,5.00,
    IF(arrears_months=3,8.00,
    IF(arrears_months=4,10.00,
    IF(arrears_months=5,12.00,15.00)))))))</f>
        <v/>
      </c>
      <c r="M6732">
        <f>LET(
    seasoning_years,DATEDIF('Loan Tape (S&amp;P)'!K6732,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32">
        <f>IF(AND('Loan Tape (S&amp;P)'!U6732="Yes",
        'Loan Tape (S&amp;P)'!T6732&lt;&gt;"Yes",
        DATEDIF('Loan Tape (S&amp;P)'!K6732, TODAY(), "M")&lt;18),
    1.10,
    1.00)</f>
        <v/>
      </c>
      <c r="O6732">
        <f>IF('Loan Tape (S&amp;P)'!T6732="Yes",
    1.35,
    1.00)</f>
        <v/>
      </c>
      <c r="P6732">
        <f>IF('Loan Tape (S&amp;P)'!S6732="Yes",
    1.15,
    1.00)</f>
        <v/>
      </c>
      <c r="Q6732">
        <f>IF('Loan Tape (S&amp;P)'!V6732="Yes",
    1.20,
    1.00)</f>
        <v/>
      </c>
      <c r="T6732">
        <f>LET(
    payment_method,'Loan Tape (S&amp;P)'!P6732,
    occupancy,'Loan Tape (S&amp;P)'!N6732,
    maturity_date,'Loan Tape (S&amp;P)'!L6732,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33">
      <c r="J6733">
        <f>LET(
    lien,'Loan Tape (S&amp;P)'!Q6733,
    IF(lien="First",1.00,
        IF(lien="Second",1.50,
            1.70)))</f>
        <v/>
      </c>
      <c r="K6733">
        <f>LET(
    purpose,'Loan Tape (S&amp;P)'!R6733,
    IF(purpose="Purchase",1.00,
        IF(purpose="Remortgage",1.00,
            1.20)))</f>
        <v/>
      </c>
      <c r="L6733">
        <f>LET(
    arrears_months,'Loan Tape (S&amp;P)'!AN6733,
    IF(arrears_months=0,1.00,
    IF(arrears_months=1,3.00,
    IF(arrears_months=2,5.00,
    IF(arrears_months=3,8.00,
    IF(arrears_months=4,10.00,
    IF(arrears_months=5,12.00,15.00)))))))</f>
        <v/>
      </c>
      <c r="M6733">
        <f>LET(
    seasoning_years,DATEDIF('Loan Tape (S&amp;P)'!K6733,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33">
        <f>IF(AND('Loan Tape (S&amp;P)'!U6733="Yes",
        'Loan Tape (S&amp;P)'!T6733&lt;&gt;"Yes",
        DATEDIF('Loan Tape (S&amp;P)'!K6733, TODAY(), "M")&lt;18),
    1.10,
    1.00)</f>
        <v/>
      </c>
      <c r="O6733">
        <f>IF('Loan Tape (S&amp;P)'!T6733="Yes",
    1.35,
    1.00)</f>
        <v/>
      </c>
      <c r="P6733">
        <f>IF('Loan Tape (S&amp;P)'!S6733="Yes",
    1.15,
    1.00)</f>
        <v/>
      </c>
      <c r="Q6733">
        <f>IF('Loan Tape (S&amp;P)'!V6733="Yes",
    1.20,
    1.00)</f>
        <v/>
      </c>
      <c r="T6733">
        <f>LET(
    payment_method,'Loan Tape (S&amp;P)'!P6733,
    occupancy,'Loan Tape (S&amp;P)'!N6733,
    maturity_date,'Loan Tape (S&amp;P)'!L6733,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34">
      <c r="J6734">
        <f>LET(
    lien,'Loan Tape (S&amp;P)'!Q6734,
    IF(lien="First",1.00,
        IF(lien="Second",1.50,
            1.70)))</f>
        <v/>
      </c>
      <c r="K6734">
        <f>LET(
    purpose,'Loan Tape (S&amp;P)'!R6734,
    IF(purpose="Purchase",1.00,
        IF(purpose="Remortgage",1.00,
            1.20)))</f>
        <v/>
      </c>
      <c r="L6734">
        <f>LET(
    arrears_months,'Loan Tape (S&amp;P)'!AN6734,
    IF(arrears_months=0,1.00,
    IF(arrears_months=1,3.00,
    IF(arrears_months=2,5.00,
    IF(arrears_months=3,8.00,
    IF(arrears_months=4,10.00,
    IF(arrears_months=5,12.00,15.00)))))))</f>
        <v/>
      </c>
      <c r="M6734">
        <f>LET(
    seasoning_years,DATEDIF('Loan Tape (S&amp;P)'!K6734,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34">
        <f>IF(AND('Loan Tape (S&amp;P)'!U6734="Yes",
        'Loan Tape (S&amp;P)'!T6734&lt;&gt;"Yes",
        DATEDIF('Loan Tape (S&amp;P)'!K6734, TODAY(), "M")&lt;18),
    1.10,
    1.00)</f>
        <v/>
      </c>
      <c r="O6734">
        <f>IF('Loan Tape (S&amp;P)'!T6734="Yes",
    1.35,
    1.00)</f>
        <v/>
      </c>
      <c r="P6734">
        <f>IF('Loan Tape (S&amp;P)'!S6734="Yes",
    1.15,
    1.00)</f>
        <v/>
      </c>
      <c r="Q6734">
        <f>IF('Loan Tape (S&amp;P)'!V6734="Yes",
    1.20,
    1.00)</f>
        <v/>
      </c>
      <c r="T6734">
        <f>LET(
    payment_method,'Loan Tape (S&amp;P)'!P6734,
    occupancy,'Loan Tape (S&amp;P)'!N6734,
    maturity_date,'Loan Tape (S&amp;P)'!L6734,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35">
      <c r="J6735">
        <f>LET(
    lien,'Loan Tape (S&amp;P)'!Q6735,
    IF(lien="First",1.00,
        IF(lien="Second",1.50,
            1.70)))</f>
        <v/>
      </c>
      <c r="K6735">
        <f>LET(
    purpose,'Loan Tape (S&amp;P)'!R6735,
    IF(purpose="Purchase",1.00,
        IF(purpose="Remortgage",1.00,
            1.20)))</f>
        <v/>
      </c>
      <c r="L6735">
        <f>LET(
    arrears_months,'Loan Tape (S&amp;P)'!AN6735,
    IF(arrears_months=0,1.00,
    IF(arrears_months=1,3.00,
    IF(arrears_months=2,5.00,
    IF(arrears_months=3,8.00,
    IF(arrears_months=4,10.00,
    IF(arrears_months=5,12.00,15.00)))))))</f>
        <v/>
      </c>
      <c r="M6735">
        <f>LET(
    seasoning_years,DATEDIF('Loan Tape (S&amp;P)'!K6735,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35">
        <f>IF(AND('Loan Tape (S&amp;P)'!U6735="Yes",
        'Loan Tape (S&amp;P)'!T6735&lt;&gt;"Yes",
        DATEDIF('Loan Tape (S&amp;P)'!K6735, TODAY(), "M")&lt;18),
    1.10,
    1.00)</f>
        <v/>
      </c>
      <c r="O6735">
        <f>IF('Loan Tape (S&amp;P)'!T6735="Yes",
    1.35,
    1.00)</f>
        <v/>
      </c>
      <c r="P6735">
        <f>IF('Loan Tape (S&amp;P)'!S6735="Yes",
    1.15,
    1.00)</f>
        <v/>
      </c>
      <c r="Q6735">
        <f>IF('Loan Tape (S&amp;P)'!V6735="Yes",
    1.20,
    1.00)</f>
        <v/>
      </c>
      <c r="T6735">
        <f>LET(
    payment_method,'Loan Tape (S&amp;P)'!P6735,
    occupancy,'Loan Tape (S&amp;P)'!N6735,
    maturity_date,'Loan Tape (S&amp;P)'!L6735,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36">
      <c r="J6736">
        <f>LET(
    lien,'Loan Tape (S&amp;P)'!Q6736,
    IF(lien="First",1.00,
        IF(lien="Second",1.50,
            1.70)))</f>
        <v/>
      </c>
      <c r="K6736">
        <f>LET(
    purpose,'Loan Tape (S&amp;P)'!R6736,
    IF(purpose="Purchase",1.00,
        IF(purpose="Remortgage",1.00,
            1.20)))</f>
        <v/>
      </c>
      <c r="L6736">
        <f>LET(
    arrears_months,'Loan Tape (S&amp;P)'!AN6736,
    IF(arrears_months=0,1.00,
    IF(arrears_months=1,3.00,
    IF(arrears_months=2,5.00,
    IF(arrears_months=3,8.00,
    IF(arrears_months=4,10.00,
    IF(arrears_months=5,12.00,15.00)))))))</f>
        <v/>
      </c>
      <c r="M6736">
        <f>LET(
    seasoning_years,DATEDIF('Loan Tape (S&amp;P)'!K6736,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36">
        <f>IF(AND('Loan Tape (S&amp;P)'!U6736="Yes",
        'Loan Tape (S&amp;P)'!T6736&lt;&gt;"Yes",
        DATEDIF('Loan Tape (S&amp;P)'!K6736, TODAY(), "M")&lt;18),
    1.10,
    1.00)</f>
        <v/>
      </c>
      <c r="O6736">
        <f>IF('Loan Tape (S&amp;P)'!T6736="Yes",
    1.35,
    1.00)</f>
        <v/>
      </c>
      <c r="P6736">
        <f>IF('Loan Tape (S&amp;P)'!S6736="Yes",
    1.15,
    1.00)</f>
        <v/>
      </c>
      <c r="Q6736">
        <f>IF('Loan Tape (S&amp;P)'!V6736="Yes",
    1.20,
    1.00)</f>
        <v/>
      </c>
      <c r="T6736">
        <f>LET(
    payment_method,'Loan Tape (S&amp;P)'!P6736,
    occupancy,'Loan Tape (S&amp;P)'!N6736,
    maturity_date,'Loan Tape (S&amp;P)'!L6736,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37">
      <c r="J6737">
        <f>LET(
    lien,'Loan Tape (S&amp;P)'!Q6737,
    IF(lien="First",1.00,
        IF(lien="Second",1.50,
            1.70)))</f>
        <v/>
      </c>
      <c r="K6737">
        <f>LET(
    purpose,'Loan Tape (S&amp;P)'!R6737,
    IF(purpose="Purchase",1.00,
        IF(purpose="Remortgage",1.00,
            1.20)))</f>
        <v/>
      </c>
      <c r="L6737">
        <f>LET(
    arrears_months,'Loan Tape (S&amp;P)'!AN6737,
    IF(arrears_months=0,1.00,
    IF(arrears_months=1,3.00,
    IF(arrears_months=2,5.00,
    IF(arrears_months=3,8.00,
    IF(arrears_months=4,10.00,
    IF(arrears_months=5,12.00,15.00)))))))</f>
        <v/>
      </c>
      <c r="M6737">
        <f>LET(
    seasoning_years,DATEDIF('Loan Tape (S&amp;P)'!K6737,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37">
        <f>IF(AND('Loan Tape (S&amp;P)'!U6737="Yes",
        'Loan Tape (S&amp;P)'!T6737&lt;&gt;"Yes",
        DATEDIF('Loan Tape (S&amp;P)'!K6737, TODAY(), "M")&lt;18),
    1.10,
    1.00)</f>
        <v/>
      </c>
      <c r="O6737">
        <f>IF('Loan Tape (S&amp;P)'!T6737="Yes",
    1.35,
    1.00)</f>
        <v/>
      </c>
      <c r="P6737">
        <f>IF('Loan Tape (S&amp;P)'!S6737="Yes",
    1.15,
    1.00)</f>
        <v/>
      </c>
      <c r="Q6737">
        <f>IF('Loan Tape (S&amp;P)'!V6737="Yes",
    1.20,
    1.00)</f>
        <v/>
      </c>
      <c r="T6737">
        <f>LET(
    payment_method,'Loan Tape (S&amp;P)'!P6737,
    occupancy,'Loan Tape (S&amp;P)'!N6737,
    maturity_date,'Loan Tape (S&amp;P)'!L6737,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38">
      <c r="J6738">
        <f>LET(
    lien,'Loan Tape (S&amp;P)'!Q6738,
    IF(lien="First",1.00,
        IF(lien="Second",1.50,
            1.70)))</f>
        <v/>
      </c>
      <c r="K6738">
        <f>LET(
    purpose,'Loan Tape (S&amp;P)'!R6738,
    IF(purpose="Purchase",1.00,
        IF(purpose="Remortgage",1.00,
            1.20)))</f>
        <v/>
      </c>
      <c r="L6738">
        <f>LET(
    arrears_months,'Loan Tape (S&amp;P)'!AN6738,
    IF(arrears_months=0,1.00,
    IF(arrears_months=1,3.00,
    IF(arrears_months=2,5.00,
    IF(arrears_months=3,8.00,
    IF(arrears_months=4,10.00,
    IF(arrears_months=5,12.00,15.00)))))))</f>
        <v/>
      </c>
      <c r="M6738">
        <f>LET(
    seasoning_years,DATEDIF('Loan Tape (S&amp;P)'!K6738,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38">
        <f>IF(AND('Loan Tape (S&amp;P)'!U6738="Yes",
        'Loan Tape (S&amp;P)'!T6738&lt;&gt;"Yes",
        DATEDIF('Loan Tape (S&amp;P)'!K6738, TODAY(), "M")&lt;18),
    1.10,
    1.00)</f>
        <v/>
      </c>
      <c r="O6738">
        <f>IF('Loan Tape (S&amp;P)'!T6738="Yes",
    1.35,
    1.00)</f>
        <v/>
      </c>
      <c r="P6738">
        <f>IF('Loan Tape (S&amp;P)'!S6738="Yes",
    1.15,
    1.00)</f>
        <v/>
      </c>
      <c r="Q6738">
        <f>IF('Loan Tape (S&amp;P)'!V6738="Yes",
    1.20,
    1.00)</f>
        <v/>
      </c>
      <c r="T6738">
        <f>LET(
    payment_method,'Loan Tape (S&amp;P)'!P6738,
    occupancy,'Loan Tape (S&amp;P)'!N6738,
    maturity_date,'Loan Tape (S&amp;P)'!L6738,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39">
      <c r="J6739">
        <f>LET(
    lien,'Loan Tape (S&amp;P)'!Q6739,
    IF(lien="First",1.00,
        IF(lien="Second",1.50,
            1.70)))</f>
        <v/>
      </c>
      <c r="K6739">
        <f>LET(
    purpose,'Loan Tape (S&amp;P)'!R6739,
    IF(purpose="Purchase",1.00,
        IF(purpose="Remortgage",1.00,
            1.20)))</f>
        <v/>
      </c>
      <c r="L6739">
        <f>LET(
    arrears_months,'Loan Tape (S&amp;P)'!AN6739,
    IF(arrears_months=0,1.00,
    IF(arrears_months=1,3.00,
    IF(arrears_months=2,5.00,
    IF(arrears_months=3,8.00,
    IF(arrears_months=4,10.00,
    IF(arrears_months=5,12.00,15.00)))))))</f>
        <v/>
      </c>
      <c r="M6739">
        <f>LET(
    seasoning_years,DATEDIF('Loan Tape (S&amp;P)'!K6739,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39">
        <f>IF(AND('Loan Tape (S&amp;P)'!U6739="Yes",
        'Loan Tape (S&amp;P)'!T6739&lt;&gt;"Yes",
        DATEDIF('Loan Tape (S&amp;P)'!K6739, TODAY(), "M")&lt;18),
    1.10,
    1.00)</f>
        <v/>
      </c>
      <c r="O6739">
        <f>IF('Loan Tape (S&amp;P)'!T6739="Yes",
    1.35,
    1.00)</f>
        <v/>
      </c>
      <c r="P6739">
        <f>IF('Loan Tape (S&amp;P)'!S6739="Yes",
    1.15,
    1.00)</f>
        <v/>
      </c>
      <c r="Q6739">
        <f>IF('Loan Tape (S&amp;P)'!V6739="Yes",
    1.20,
    1.00)</f>
        <v/>
      </c>
      <c r="T6739">
        <f>LET(
    payment_method,'Loan Tape (S&amp;P)'!P6739,
    occupancy,'Loan Tape (S&amp;P)'!N6739,
    maturity_date,'Loan Tape (S&amp;P)'!L6739,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40">
      <c r="J6740">
        <f>LET(
    lien,'Loan Tape (S&amp;P)'!Q6740,
    IF(lien="First",1.00,
        IF(lien="Second",1.50,
            1.70)))</f>
        <v/>
      </c>
      <c r="K6740">
        <f>LET(
    purpose,'Loan Tape (S&amp;P)'!R6740,
    IF(purpose="Purchase",1.00,
        IF(purpose="Remortgage",1.00,
            1.20)))</f>
        <v/>
      </c>
      <c r="L6740">
        <f>LET(
    arrears_months,'Loan Tape (S&amp;P)'!AN6740,
    IF(arrears_months=0,1.00,
    IF(arrears_months=1,3.00,
    IF(arrears_months=2,5.00,
    IF(arrears_months=3,8.00,
    IF(arrears_months=4,10.00,
    IF(arrears_months=5,12.00,15.00)))))))</f>
        <v/>
      </c>
      <c r="M6740">
        <f>LET(
    seasoning_years,DATEDIF('Loan Tape (S&amp;P)'!K6740,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40">
        <f>IF(AND('Loan Tape (S&amp;P)'!U6740="Yes",
        'Loan Tape (S&amp;P)'!T6740&lt;&gt;"Yes",
        DATEDIF('Loan Tape (S&amp;P)'!K6740, TODAY(), "M")&lt;18),
    1.10,
    1.00)</f>
        <v/>
      </c>
      <c r="O6740">
        <f>IF('Loan Tape (S&amp;P)'!T6740="Yes",
    1.35,
    1.00)</f>
        <v/>
      </c>
      <c r="P6740">
        <f>IF('Loan Tape (S&amp;P)'!S6740="Yes",
    1.15,
    1.00)</f>
        <v/>
      </c>
      <c r="Q6740">
        <f>IF('Loan Tape (S&amp;P)'!V6740="Yes",
    1.20,
    1.00)</f>
        <v/>
      </c>
      <c r="T6740">
        <f>LET(
    payment_method,'Loan Tape (S&amp;P)'!P6740,
    occupancy,'Loan Tape (S&amp;P)'!N6740,
    maturity_date,'Loan Tape (S&amp;P)'!L6740,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41">
      <c r="J6741">
        <f>LET(
    lien,'Loan Tape (S&amp;P)'!Q6741,
    IF(lien="First",1.00,
        IF(lien="Second",1.50,
            1.70)))</f>
        <v/>
      </c>
      <c r="K6741">
        <f>LET(
    purpose,'Loan Tape (S&amp;P)'!R6741,
    IF(purpose="Purchase",1.00,
        IF(purpose="Remortgage",1.00,
            1.20)))</f>
        <v/>
      </c>
      <c r="L6741">
        <f>LET(
    arrears_months,'Loan Tape (S&amp;P)'!AN6741,
    IF(arrears_months=0,1.00,
    IF(arrears_months=1,3.00,
    IF(arrears_months=2,5.00,
    IF(arrears_months=3,8.00,
    IF(arrears_months=4,10.00,
    IF(arrears_months=5,12.00,15.00)))))))</f>
        <v/>
      </c>
      <c r="M6741">
        <f>LET(
    seasoning_years,DATEDIF('Loan Tape (S&amp;P)'!K6741,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41">
        <f>IF(AND('Loan Tape (S&amp;P)'!U6741="Yes",
        'Loan Tape (S&amp;P)'!T6741&lt;&gt;"Yes",
        DATEDIF('Loan Tape (S&amp;P)'!K6741, TODAY(), "M")&lt;18),
    1.10,
    1.00)</f>
        <v/>
      </c>
      <c r="O6741">
        <f>IF('Loan Tape (S&amp;P)'!T6741="Yes",
    1.35,
    1.00)</f>
        <v/>
      </c>
      <c r="P6741">
        <f>IF('Loan Tape (S&amp;P)'!S6741="Yes",
    1.15,
    1.00)</f>
        <v/>
      </c>
      <c r="Q6741">
        <f>IF('Loan Tape (S&amp;P)'!V6741="Yes",
    1.20,
    1.00)</f>
        <v/>
      </c>
      <c r="T6741">
        <f>LET(
    payment_method,'Loan Tape (S&amp;P)'!P6741,
    occupancy,'Loan Tape (S&amp;P)'!N6741,
    maturity_date,'Loan Tape (S&amp;P)'!L6741,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42">
      <c r="J6742">
        <f>LET(
    lien,'Loan Tape (S&amp;P)'!Q6742,
    IF(lien="First",1.00,
        IF(lien="Second",1.50,
            1.70)))</f>
        <v/>
      </c>
      <c r="K6742">
        <f>LET(
    purpose,'Loan Tape (S&amp;P)'!R6742,
    IF(purpose="Purchase",1.00,
        IF(purpose="Remortgage",1.00,
            1.20)))</f>
        <v/>
      </c>
      <c r="L6742">
        <f>LET(
    arrears_months,'Loan Tape (S&amp;P)'!AN6742,
    IF(arrears_months=0,1.00,
    IF(arrears_months=1,3.00,
    IF(arrears_months=2,5.00,
    IF(arrears_months=3,8.00,
    IF(arrears_months=4,10.00,
    IF(arrears_months=5,12.00,15.00)))))))</f>
        <v/>
      </c>
      <c r="M6742">
        <f>LET(
    seasoning_years,DATEDIF('Loan Tape (S&amp;P)'!K6742,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42">
        <f>IF(AND('Loan Tape (S&amp;P)'!U6742="Yes",
        'Loan Tape (S&amp;P)'!T6742&lt;&gt;"Yes",
        DATEDIF('Loan Tape (S&amp;P)'!K6742, TODAY(), "M")&lt;18),
    1.10,
    1.00)</f>
        <v/>
      </c>
      <c r="O6742">
        <f>IF('Loan Tape (S&amp;P)'!T6742="Yes",
    1.35,
    1.00)</f>
        <v/>
      </c>
      <c r="P6742">
        <f>IF('Loan Tape (S&amp;P)'!S6742="Yes",
    1.15,
    1.00)</f>
        <v/>
      </c>
      <c r="Q6742">
        <f>IF('Loan Tape (S&amp;P)'!V6742="Yes",
    1.20,
    1.00)</f>
        <v/>
      </c>
      <c r="T6742">
        <f>LET(
    payment_method,'Loan Tape (S&amp;P)'!P6742,
    occupancy,'Loan Tape (S&amp;P)'!N6742,
    maturity_date,'Loan Tape (S&amp;P)'!L6742,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43">
      <c r="J6743">
        <f>LET(
    lien,'Loan Tape (S&amp;P)'!Q6743,
    IF(lien="First",1.00,
        IF(lien="Second",1.50,
            1.70)))</f>
        <v/>
      </c>
      <c r="K6743">
        <f>LET(
    purpose,'Loan Tape (S&amp;P)'!R6743,
    IF(purpose="Purchase",1.00,
        IF(purpose="Remortgage",1.00,
            1.20)))</f>
        <v/>
      </c>
      <c r="L6743">
        <f>LET(
    arrears_months,'Loan Tape (S&amp;P)'!AN6743,
    IF(arrears_months=0,1.00,
    IF(arrears_months=1,3.00,
    IF(arrears_months=2,5.00,
    IF(arrears_months=3,8.00,
    IF(arrears_months=4,10.00,
    IF(arrears_months=5,12.00,15.00)))))))</f>
        <v/>
      </c>
      <c r="M6743">
        <f>LET(
    seasoning_years,DATEDIF('Loan Tape (S&amp;P)'!K6743,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43">
        <f>IF(AND('Loan Tape (S&amp;P)'!U6743="Yes",
        'Loan Tape (S&amp;P)'!T6743&lt;&gt;"Yes",
        DATEDIF('Loan Tape (S&amp;P)'!K6743, TODAY(), "M")&lt;18),
    1.10,
    1.00)</f>
        <v/>
      </c>
      <c r="O6743">
        <f>IF('Loan Tape (S&amp;P)'!T6743="Yes",
    1.35,
    1.00)</f>
        <v/>
      </c>
      <c r="P6743">
        <f>IF('Loan Tape (S&amp;P)'!S6743="Yes",
    1.15,
    1.00)</f>
        <v/>
      </c>
      <c r="Q6743">
        <f>IF('Loan Tape (S&amp;P)'!V6743="Yes",
    1.20,
    1.00)</f>
        <v/>
      </c>
      <c r="T6743">
        <f>LET(
    payment_method,'Loan Tape (S&amp;P)'!P6743,
    occupancy,'Loan Tape (S&amp;P)'!N6743,
    maturity_date,'Loan Tape (S&amp;P)'!L6743,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44">
      <c r="J6744">
        <f>LET(
    lien,'Loan Tape (S&amp;P)'!Q6744,
    IF(lien="First",1.00,
        IF(lien="Second",1.50,
            1.70)))</f>
        <v/>
      </c>
      <c r="K6744">
        <f>LET(
    purpose,'Loan Tape (S&amp;P)'!R6744,
    IF(purpose="Purchase",1.00,
        IF(purpose="Remortgage",1.00,
            1.20)))</f>
        <v/>
      </c>
      <c r="L6744">
        <f>LET(
    arrears_months,'Loan Tape (S&amp;P)'!AN6744,
    IF(arrears_months=0,1.00,
    IF(arrears_months=1,3.00,
    IF(arrears_months=2,5.00,
    IF(arrears_months=3,8.00,
    IF(arrears_months=4,10.00,
    IF(arrears_months=5,12.00,15.00)))))))</f>
        <v/>
      </c>
      <c r="M6744">
        <f>LET(
    seasoning_years,DATEDIF('Loan Tape (S&amp;P)'!K6744,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44">
        <f>IF(AND('Loan Tape (S&amp;P)'!U6744="Yes",
        'Loan Tape (S&amp;P)'!T6744&lt;&gt;"Yes",
        DATEDIF('Loan Tape (S&amp;P)'!K6744, TODAY(), "M")&lt;18),
    1.10,
    1.00)</f>
        <v/>
      </c>
      <c r="O6744">
        <f>IF('Loan Tape (S&amp;P)'!T6744="Yes",
    1.35,
    1.00)</f>
        <v/>
      </c>
      <c r="P6744">
        <f>IF('Loan Tape (S&amp;P)'!S6744="Yes",
    1.15,
    1.00)</f>
        <v/>
      </c>
      <c r="Q6744">
        <f>IF('Loan Tape (S&amp;P)'!V6744="Yes",
    1.20,
    1.00)</f>
        <v/>
      </c>
      <c r="T6744">
        <f>LET(
    payment_method,'Loan Tape (S&amp;P)'!P6744,
    occupancy,'Loan Tape (S&amp;P)'!N6744,
    maturity_date,'Loan Tape (S&amp;P)'!L6744,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45">
      <c r="J6745">
        <f>LET(
    lien,'Loan Tape (S&amp;P)'!Q6745,
    IF(lien="First",1.00,
        IF(lien="Second",1.50,
            1.70)))</f>
        <v/>
      </c>
      <c r="K6745">
        <f>LET(
    purpose,'Loan Tape (S&amp;P)'!R6745,
    IF(purpose="Purchase",1.00,
        IF(purpose="Remortgage",1.00,
            1.20)))</f>
        <v/>
      </c>
      <c r="L6745">
        <f>LET(
    arrears_months,'Loan Tape (S&amp;P)'!AN6745,
    IF(arrears_months=0,1.00,
    IF(arrears_months=1,3.00,
    IF(arrears_months=2,5.00,
    IF(arrears_months=3,8.00,
    IF(arrears_months=4,10.00,
    IF(arrears_months=5,12.00,15.00)))))))</f>
        <v/>
      </c>
      <c r="M6745">
        <f>LET(
    seasoning_years,DATEDIF('Loan Tape (S&amp;P)'!K6745,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45">
        <f>IF(AND('Loan Tape (S&amp;P)'!U6745="Yes",
        'Loan Tape (S&amp;P)'!T6745&lt;&gt;"Yes",
        DATEDIF('Loan Tape (S&amp;P)'!K6745, TODAY(), "M")&lt;18),
    1.10,
    1.00)</f>
        <v/>
      </c>
      <c r="O6745">
        <f>IF('Loan Tape (S&amp;P)'!T6745="Yes",
    1.35,
    1.00)</f>
        <v/>
      </c>
      <c r="P6745">
        <f>IF('Loan Tape (S&amp;P)'!S6745="Yes",
    1.15,
    1.00)</f>
        <v/>
      </c>
      <c r="Q6745">
        <f>IF('Loan Tape (S&amp;P)'!V6745="Yes",
    1.20,
    1.00)</f>
        <v/>
      </c>
      <c r="T6745">
        <f>LET(
    payment_method,'Loan Tape (S&amp;P)'!P6745,
    occupancy,'Loan Tape (S&amp;P)'!N6745,
    maturity_date,'Loan Tape (S&amp;P)'!L6745,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46">
      <c r="J6746">
        <f>LET(
    lien,'Loan Tape (S&amp;P)'!Q6746,
    IF(lien="First",1.00,
        IF(lien="Second",1.50,
            1.70)))</f>
        <v/>
      </c>
      <c r="K6746">
        <f>LET(
    purpose,'Loan Tape (S&amp;P)'!R6746,
    IF(purpose="Purchase",1.00,
        IF(purpose="Remortgage",1.00,
            1.20)))</f>
        <v/>
      </c>
      <c r="L6746">
        <f>LET(
    arrears_months,'Loan Tape (S&amp;P)'!AN6746,
    IF(arrears_months=0,1.00,
    IF(arrears_months=1,3.00,
    IF(arrears_months=2,5.00,
    IF(arrears_months=3,8.00,
    IF(arrears_months=4,10.00,
    IF(arrears_months=5,12.00,15.00)))))))</f>
        <v/>
      </c>
      <c r="M6746">
        <f>LET(
    seasoning_years,DATEDIF('Loan Tape (S&amp;P)'!K6746,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46">
        <f>IF(AND('Loan Tape (S&amp;P)'!U6746="Yes",
        'Loan Tape (S&amp;P)'!T6746&lt;&gt;"Yes",
        DATEDIF('Loan Tape (S&amp;P)'!K6746, TODAY(), "M")&lt;18),
    1.10,
    1.00)</f>
        <v/>
      </c>
      <c r="O6746">
        <f>IF('Loan Tape (S&amp;P)'!T6746="Yes",
    1.35,
    1.00)</f>
        <v/>
      </c>
      <c r="P6746">
        <f>IF('Loan Tape (S&amp;P)'!S6746="Yes",
    1.15,
    1.00)</f>
        <v/>
      </c>
      <c r="Q6746">
        <f>IF('Loan Tape (S&amp;P)'!V6746="Yes",
    1.20,
    1.00)</f>
        <v/>
      </c>
      <c r="T6746">
        <f>LET(
    payment_method,'Loan Tape (S&amp;P)'!P6746,
    occupancy,'Loan Tape (S&amp;P)'!N6746,
    maturity_date,'Loan Tape (S&amp;P)'!L6746,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47">
      <c r="J6747">
        <f>LET(
    lien,'Loan Tape (S&amp;P)'!Q6747,
    IF(lien="First",1.00,
        IF(lien="Second",1.50,
            1.70)))</f>
        <v/>
      </c>
      <c r="K6747">
        <f>LET(
    purpose,'Loan Tape (S&amp;P)'!R6747,
    IF(purpose="Purchase",1.00,
        IF(purpose="Remortgage",1.00,
            1.20)))</f>
        <v/>
      </c>
      <c r="L6747">
        <f>LET(
    arrears_months,'Loan Tape (S&amp;P)'!AN6747,
    IF(arrears_months=0,1.00,
    IF(arrears_months=1,3.00,
    IF(arrears_months=2,5.00,
    IF(arrears_months=3,8.00,
    IF(arrears_months=4,10.00,
    IF(arrears_months=5,12.00,15.00)))))))</f>
        <v/>
      </c>
      <c r="M6747">
        <f>LET(
    seasoning_years,DATEDIF('Loan Tape (S&amp;P)'!K6747,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47">
        <f>IF(AND('Loan Tape (S&amp;P)'!U6747="Yes",
        'Loan Tape (S&amp;P)'!T6747&lt;&gt;"Yes",
        DATEDIF('Loan Tape (S&amp;P)'!K6747, TODAY(), "M")&lt;18),
    1.10,
    1.00)</f>
        <v/>
      </c>
      <c r="O6747">
        <f>IF('Loan Tape (S&amp;P)'!T6747="Yes",
    1.35,
    1.00)</f>
        <v/>
      </c>
      <c r="P6747">
        <f>IF('Loan Tape (S&amp;P)'!S6747="Yes",
    1.15,
    1.00)</f>
        <v/>
      </c>
      <c r="Q6747">
        <f>IF('Loan Tape (S&amp;P)'!V6747="Yes",
    1.20,
    1.00)</f>
        <v/>
      </c>
      <c r="T6747">
        <f>LET(
    payment_method,'Loan Tape (S&amp;P)'!P6747,
    occupancy,'Loan Tape (S&amp;P)'!N6747,
    maturity_date,'Loan Tape (S&amp;P)'!L6747,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48">
      <c r="J6748">
        <f>LET(
    lien,'Loan Tape (S&amp;P)'!Q6748,
    IF(lien="First",1.00,
        IF(lien="Second",1.50,
            1.70)))</f>
        <v/>
      </c>
      <c r="K6748">
        <f>LET(
    purpose,'Loan Tape (S&amp;P)'!R6748,
    IF(purpose="Purchase",1.00,
        IF(purpose="Remortgage",1.00,
            1.20)))</f>
        <v/>
      </c>
      <c r="L6748">
        <f>LET(
    arrears_months,'Loan Tape (S&amp;P)'!AN6748,
    IF(arrears_months=0,1.00,
    IF(arrears_months=1,3.00,
    IF(arrears_months=2,5.00,
    IF(arrears_months=3,8.00,
    IF(arrears_months=4,10.00,
    IF(arrears_months=5,12.00,15.00)))))))</f>
        <v/>
      </c>
      <c r="M6748">
        <f>LET(
    seasoning_years,DATEDIF('Loan Tape (S&amp;P)'!K6748,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48">
        <f>IF(AND('Loan Tape (S&amp;P)'!U6748="Yes",
        'Loan Tape (S&amp;P)'!T6748&lt;&gt;"Yes",
        DATEDIF('Loan Tape (S&amp;P)'!K6748, TODAY(), "M")&lt;18),
    1.10,
    1.00)</f>
        <v/>
      </c>
      <c r="O6748">
        <f>IF('Loan Tape (S&amp;P)'!T6748="Yes",
    1.35,
    1.00)</f>
        <v/>
      </c>
      <c r="P6748">
        <f>IF('Loan Tape (S&amp;P)'!S6748="Yes",
    1.15,
    1.00)</f>
        <v/>
      </c>
      <c r="Q6748">
        <f>IF('Loan Tape (S&amp;P)'!V6748="Yes",
    1.20,
    1.00)</f>
        <v/>
      </c>
      <c r="T6748">
        <f>LET(
    payment_method,'Loan Tape (S&amp;P)'!P6748,
    occupancy,'Loan Tape (S&amp;P)'!N6748,
    maturity_date,'Loan Tape (S&amp;P)'!L6748,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49">
      <c r="J6749">
        <f>LET(
    lien,'Loan Tape (S&amp;P)'!Q6749,
    IF(lien="First",1.00,
        IF(lien="Second",1.50,
            1.70)))</f>
        <v/>
      </c>
      <c r="K6749">
        <f>LET(
    purpose,'Loan Tape (S&amp;P)'!R6749,
    IF(purpose="Purchase",1.00,
        IF(purpose="Remortgage",1.00,
            1.20)))</f>
        <v/>
      </c>
      <c r="L6749">
        <f>LET(
    arrears_months,'Loan Tape (S&amp;P)'!AN6749,
    IF(arrears_months=0,1.00,
    IF(arrears_months=1,3.00,
    IF(arrears_months=2,5.00,
    IF(arrears_months=3,8.00,
    IF(arrears_months=4,10.00,
    IF(arrears_months=5,12.00,15.00)))))))</f>
        <v/>
      </c>
      <c r="M6749">
        <f>LET(
    seasoning_years,DATEDIF('Loan Tape (S&amp;P)'!K6749,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49">
        <f>IF(AND('Loan Tape (S&amp;P)'!U6749="Yes",
        'Loan Tape (S&amp;P)'!T6749&lt;&gt;"Yes",
        DATEDIF('Loan Tape (S&amp;P)'!K6749, TODAY(), "M")&lt;18),
    1.10,
    1.00)</f>
        <v/>
      </c>
      <c r="O6749">
        <f>IF('Loan Tape (S&amp;P)'!T6749="Yes",
    1.35,
    1.00)</f>
        <v/>
      </c>
      <c r="P6749">
        <f>IF('Loan Tape (S&amp;P)'!S6749="Yes",
    1.15,
    1.00)</f>
        <v/>
      </c>
      <c r="Q6749">
        <f>IF('Loan Tape (S&amp;P)'!V6749="Yes",
    1.20,
    1.00)</f>
        <v/>
      </c>
      <c r="T6749">
        <f>LET(
    payment_method,'Loan Tape (S&amp;P)'!P6749,
    occupancy,'Loan Tape (S&amp;P)'!N6749,
    maturity_date,'Loan Tape (S&amp;P)'!L6749,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50">
      <c r="J6750">
        <f>LET(
    lien,'Loan Tape (S&amp;P)'!Q6750,
    IF(lien="First",1.00,
        IF(lien="Second",1.50,
            1.70)))</f>
        <v/>
      </c>
      <c r="K6750">
        <f>LET(
    purpose,'Loan Tape (S&amp;P)'!R6750,
    IF(purpose="Purchase",1.00,
        IF(purpose="Remortgage",1.00,
            1.20)))</f>
        <v/>
      </c>
      <c r="L6750">
        <f>LET(
    arrears_months,'Loan Tape (S&amp;P)'!AN6750,
    IF(arrears_months=0,1.00,
    IF(arrears_months=1,3.00,
    IF(arrears_months=2,5.00,
    IF(arrears_months=3,8.00,
    IF(arrears_months=4,10.00,
    IF(arrears_months=5,12.00,15.00)))))))</f>
        <v/>
      </c>
      <c r="M6750">
        <f>LET(
    seasoning_years,DATEDIF('Loan Tape (S&amp;P)'!K6750,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50">
        <f>IF(AND('Loan Tape (S&amp;P)'!U6750="Yes",
        'Loan Tape (S&amp;P)'!T6750&lt;&gt;"Yes",
        DATEDIF('Loan Tape (S&amp;P)'!K6750, TODAY(), "M")&lt;18),
    1.10,
    1.00)</f>
        <v/>
      </c>
      <c r="O6750">
        <f>IF('Loan Tape (S&amp;P)'!T6750="Yes",
    1.35,
    1.00)</f>
        <v/>
      </c>
      <c r="P6750">
        <f>IF('Loan Tape (S&amp;P)'!S6750="Yes",
    1.15,
    1.00)</f>
        <v/>
      </c>
      <c r="Q6750">
        <f>IF('Loan Tape (S&amp;P)'!V6750="Yes",
    1.20,
    1.00)</f>
        <v/>
      </c>
      <c r="T6750">
        <f>LET(
    payment_method,'Loan Tape (S&amp;P)'!P6750,
    occupancy,'Loan Tape (S&amp;P)'!N6750,
    maturity_date,'Loan Tape (S&amp;P)'!L6750,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51">
      <c r="J6751">
        <f>LET(
    lien,'Loan Tape (S&amp;P)'!Q6751,
    IF(lien="First",1.00,
        IF(lien="Second",1.50,
            1.70)))</f>
        <v/>
      </c>
      <c r="K6751">
        <f>LET(
    purpose,'Loan Tape (S&amp;P)'!R6751,
    IF(purpose="Purchase",1.00,
        IF(purpose="Remortgage",1.00,
            1.20)))</f>
        <v/>
      </c>
      <c r="L6751">
        <f>LET(
    arrears_months,'Loan Tape (S&amp;P)'!AN6751,
    IF(arrears_months=0,1.00,
    IF(arrears_months=1,3.00,
    IF(arrears_months=2,5.00,
    IF(arrears_months=3,8.00,
    IF(arrears_months=4,10.00,
    IF(arrears_months=5,12.00,15.00)))))))</f>
        <v/>
      </c>
      <c r="M6751">
        <f>LET(
    seasoning_years,DATEDIF('Loan Tape (S&amp;P)'!K6751,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51">
        <f>IF(AND('Loan Tape (S&amp;P)'!U6751="Yes",
        'Loan Tape (S&amp;P)'!T6751&lt;&gt;"Yes",
        DATEDIF('Loan Tape (S&amp;P)'!K6751, TODAY(), "M")&lt;18),
    1.10,
    1.00)</f>
        <v/>
      </c>
      <c r="O6751">
        <f>IF('Loan Tape (S&amp;P)'!T6751="Yes",
    1.35,
    1.00)</f>
        <v/>
      </c>
      <c r="P6751">
        <f>IF('Loan Tape (S&amp;P)'!S6751="Yes",
    1.15,
    1.00)</f>
        <v/>
      </c>
      <c r="Q6751">
        <f>IF('Loan Tape (S&amp;P)'!V6751="Yes",
    1.20,
    1.00)</f>
        <v/>
      </c>
      <c r="T6751">
        <f>LET(
    payment_method,'Loan Tape (S&amp;P)'!P6751,
    occupancy,'Loan Tape (S&amp;P)'!N6751,
    maturity_date,'Loan Tape (S&amp;P)'!L6751,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52">
      <c r="J6752">
        <f>LET(
    lien,'Loan Tape (S&amp;P)'!Q6752,
    IF(lien="First",1.00,
        IF(lien="Second",1.50,
            1.70)))</f>
        <v/>
      </c>
      <c r="K6752">
        <f>LET(
    purpose,'Loan Tape (S&amp;P)'!R6752,
    IF(purpose="Purchase",1.00,
        IF(purpose="Remortgage",1.00,
            1.20)))</f>
        <v/>
      </c>
      <c r="L6752">
        <f>LET(
    arrears_months,'Loan Tape (S&amp;P)'!AN6752,
    IF(arrears_months=0,1.00,
    IF(arrears_months=1,3.00,
    IF(arrears_months=2,5.00,
    IF(arrears_months=3,8.00,
    IF(arrears_months=4,10.00,
    IF(arrears_months=5,12.00,15.00)))))))</f>
        <v/>
      </c>
      <c r="M6752">
        <f>LET(
    seasoning_years,DATEDIF('Loan Tape (S&amp;P)'!K6752,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52">
        <f>IF(AND('Loan Tape (S&amp;P)'!U6752="Yes",
        'Loan Tape (S&amp;P)'!T6752&lt;&gt;"Yes",
        DATEDIF('Loan Tape (S&amp;P)'!K6752, TODAY(), "M")&lt;18),
    1.10,
    1.00)</f>
        <v/>
      </c>
      <c r="O6752">
        <f>IF('Loan Tape (S&amp;P)'!T6752="Yes",
    1.35,
    1.00)</f>
        <v/>
      </c>
      <c r="P6752">
        <f>IF('Loan Tape (S&amp;P)'!S6752="Yes",
    1.15,
    1.00)</f>
        <v/>
      </c>
      <c r="Q6752">
        <f>IF('Loan Tape (S&amp;P)'!V6752="Yes",
    1.20,
    1.00)</f>
        <v/>
      </c>
      <c r="T6752">
        <f>LET(
    payment_method,'Loan Tape (S&amp;P)'!P6752,
    occupancy,'Loan Tape (S&amp;P)'!N6752,
    maturity_date,'Loan Tape (S&amp;P)'!L6752,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53">
      <c r="J6753">
        <f>LET(
    lien,'Loan Tape (S&amp;P)'!Q6753,
    IF(lien="First",1.00,
        IF(lien="Second",1.50,
            1.70)))</f>
        <v/>
      </c>
      <c r="K6753">
        <f>LET(
    purpose,'Loan Tape (S&amp;P)'!R6753,
    IF(purpose="Purchase",1.00,
        IF(purpose="Remortgage",1.00,
            1.20)))</f>
        <v/>
      </c>
      <c r="L6753">
        <f>LET(
    arrears_months,'Loan Tape (S&amp;P)'!AN6753,
    IF(arrears_months=0,1.00,
    IF(arrears_months=1,3.00,
    IF(arrears_months=2,5.00,
    IF(arrears_months=3,8.00,
    IF(arrears_months=4,10.00,
    IF(arrears_months=5,12.00,15.00)))))))</f>
        <v/>
      </c>
      <c r="M6753">
        <f>LET(
    seasoning_years,DATEDIF('Loan Tape (S&amp;P)'!K6753,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53">
        <f>IF(AND('Loan Tape (S&amp;P)'!U6753="Yes",
        'Loan Tape (S&amp;P)'!T6753&lt;&gt;"Yes",
        DATEDIF('Loan Tape (S&amp;P)'!K6753, TODAY(), "M")&lt;18),
    1.10,
    1.00)</f>
        <v/>
      </c>
      <c r="O6753">
        <f>IF('Loan Tape (S&amp;P)'!T6753="Yes",
    1.35,
    1.00)</f>
        <v/>
      </c>
      <c r="P6753">
        <f>IF('Loan Tape (S&amp;P)'!S6753="Yes",
    1.15,
    1.00)</f>
        <v/>
      </c>
      <c r="Q6753">
        <f>IF('Loan Tape (S&amp;P)'!V6753="Yes",
    1.20,
    1.00)</f>
        <v/>
      </c>
      <c r="T6753">
        <f>LET(
    payment_method,'Loan Tape (S&amp;P)'!P6753,
    occupancy,'Loan Tape (S&amp;P)'!N6753,
    maturity_date,'Loan Tape (S&amp;P)'!L6753,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54">
      <c r="J6754">
        <f>LET(
    lien,'Loan Tape (S&amp;P)'!Q6754,
    IF(lien="First",1.00,
        IF(lien="Second",1.50,
            1.70)))</f>
        <v/>
      </c>
      <c r="K6754">
        <f>LET(
    purpose,'Loan Tape (S&amp;P)'!R6754,
    IF(purpose="Purchase",1.00,
        IF(purpose="Remortgage",1.00,
            1.20)))</f>
        <v/>
      </c>
      <c r="L6754">
        <f>LET(
    arrears_months,'Loan Tape (S&amp;P)'!AN6754,
    IF(arrears_months=0,1.00,
    IF(arrears_months=1,3.00,
    IF(arrears_months=2,5.00,
    IF(arrears_months=3,8.00,
    IF(arrears_months=4,10.00,
    IF(arrears_months=5,12.00,15.00)))))))</f>
        <v/>
      </c>
      <c r="M6754">
        <f>LET(
    seasoning_years,DATEDIF('Loan Tape (S&amp;P)'!K6754,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54">
        <f>IF(AND('Loan Tape (S&amp;P)'!U6754="Yes",
        'Loan Tape (S&amp;P)'!T6754&lt;&gt;"Yes",
        DATEDIF('Loan Tape (S&amp;P)'!K6754, TODAY(), "M")&lt;18),
    1.10,
    1.00)</f>
        <v/>
      </c>
      <c r="O6754">
        <f>IF('Loan Tape (S&amp;P)'!T6754="Yes",
    1.35,
    1.00)</f>
        <v/>
      </c>
      <c r="P6754">
        <f>IF('Loan Tape (S&amp;P)'!S6754="Yes",
    1.15,
    1.00)</f>
        <v/>
      </c>
      <c r="Q6754">
        <f>IF('Loan Tape (S&amp;P)'!V6754="Yes",
    1.20,
    1.00)</f>
        <v/>
      </c>
      <c r="T6754">
        <f>LET(
    payment_method,'Loan Tape (S&amp;P)'!P6754,
    occupancy,'Loan Tape (S&amp;P)'!N6754,
    maturity_date,'Loan Tape (S&amp;P)'!L6754,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55">
      <c r="J6755">
        <f>LET(
    lien,'Loan Tape (S&amp;P)'!Q6755,
    IF(lien="First",1.00,
        IF(lien="Second",1.50,
            1.70)))</f>
        <v/>
      </c>
      <c r="K6755">
        <f>LET(
    purpose,'Loan Tape (S&amp;P)'!R6755,
    IF(purpose="Purchase",1.00,
        IF(purpose="Remortgage",1.00,
            1.20)))</f>
        <v/>
      </c>
      <c r="L6755">
        <f>LET(
    arrears_months,'Loan Tape (S&amp;P)'!AN6755,
    IF(arrears_months=0,1.00,
    IF(arrears_months=1,3.00,
    IF(arrears_months=2,5.00,
    IF(arrears_months=3,8.00,
    IF(arrears_months=4,10.00,
    IF(arrears_months=5,12.00,15.00)))))))</f>
        <v/>
      </c>
      <c r="M6755">
        <f>LET(
    seasoning_years,DATEDIF('Loan Tape (S&amp;P)'!K6755,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55">
        <f>IF(AND('Loan Tape (S&amp;P)'!U6755="Yes",
        'Loan Tape (S&amp;P)'!T6755&lt;&gt;"Yes",
        DATEDIF('Loan Tape (S&amp;P)'!K6755, TODAY(), "M")&lt;18),
    1.10,
    1.00)</f>
        <v/>
      </c>
      <c r="O6755">
        <f>IF('Loan Tape (S&amp;P)'!T6755="Yes",
    1.35,
    1.00)</f>
        <v/>
      </c>
      <c r="P6755">
        <f>IF('Loan Tape (S&amp;P)'!S6755="Yes",
    1.15,
    1.00)</f>
        <v/>
      </c>
      <c r="Q6755">
        <f>IF('Loan Tape (S&amp;P)'!V6755="Yes",
    1.20,
    1.00)</f>
        <v/>
      </c>
      <c r="T6755">
        <f>LET(
    payment_method,'Loan Tape (S&amp;P)'!P6755,
    occupancy,'Loan Tape (S&amp;P)'!N6755,
    maturity_date,'Loan Tape (S&amp;P)'!L6755,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56">
      <c r="J6756">
        <f>LET(
    lien,'Loan Tape (S&amp;P)'!Q6756,
    IF(lien="First",1.00,
        IF(lien="Second",1.50,
            1.70)))</f>
        <v/>
      </c>
      <c r="K6756">
        <f>LET(
    purpose,'Loan Tape (S&amp;P)'!R6756,
    IF(purpose="Purchase",1.00,
        IF(purpose="Remortgage",1.00,
            1.20)))</f>
        <v/>
      </c>
      <c r="L6756">
        <f>LET(
    arrears_months,'Loan Tape (S&amp;P)'!AN6756,
    IF(arrears_months=0,1.00,
    IF(arrears_months=1,3.00,
    IF(arrears_months=2,5.00,
    IF(arrears_months=3,8.00,
    IF(arrears_months=4,10.00,
    IF(arrears_months=5,12.00,15.00)))))))</f>
        <v/>
      </c>
      <c r="M6756">
        <f>LET(
    seasoning_years,DATEDIF('Loan Tape (S&amp;P)'!K6756,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56">
        <f>IF(AND('Loan Tape (S&amp;P)'!U6756="Yes",
        'Loan Tape (S&amp;P)'!T6756&lt;&gt;"Yes",
        DATEDIF('Loan Tape (S&amp;P)'!K6756, TODAY(), "M")&lt;18),
    1.10,
    1.00)</f>
        <v/>
      </c>
      <c r="O6756">
        <f>IF('Loan Tape (S&amp;P)'!T6756="Yes",
    1.35,
    1.00)</f>
        <v/>
      </c>
      <c r="P6756">
        <f>IF('Loan Tape (S&amp;P)'!S6756="Yes",
    1.15,
    1.00)</f>
        <v/>
      </c>
      <c r="Q6756">
        <f>IF('Loan Tape (S&amp;P)'!V6756="Yes",
    1.20,
    1.00)</f>
        <v/>
      </c>
      <c r="T6756">
        <f>LET(
    payment_method,'Loan Tape (S&amp;P)'!P6756,
    occupancy,'Loan Tape (S&amp;P)'!N6756,
    maturity_date,'Loan Tape (S&amp;P)'!L6756,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57">
      <c r="J6757">
        <f>LET(
    lien,'Loan Tape (S&amp;P)'!Q6757,
    IF(lien="First",1.00,
        IF(lien="Second",1.50,
            1.70)))</f>
        <v/>
      </c>
      <c r="K6757">
        <f>LET(
    purpose,'Loan Tape (S&amp;P)'!R6757,
    IF(purpose="Purchase",1.00,
        IF(purpose="Remortgage",1.00,
            1.20)))</f>
        <v/>
      </c>
      <c r="L6757">
        <f>LET(
    arrears_months,'Loan Tape (S&amp;P)'!AN6757,
    IF(arrears_months=0,1.00,
    IF(arrears_months=1,3.00,
    IF(arrears_months=2,5.00,
    IF(arrears_months=3,8.00,
    IF(arrears_months=4,10.00,
    IF(arrears_months=5,12.00,15.00)))))))</f>
        <v/>
      </c>
      <c r="M6757">
        <f>LET(
    seasoning_years,DATEDIF('Loan Tape (S&amp;P)'!K6757,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57">
        <f>IF(AND('Loan Tape (S&amp;P)'!U6757="Yes",
        'Loan Tape (S&amp;P)'!T6757&lt;&gt;"Yes",
        DATEDIF('Loan Tape (S&amp;P)'!K6757, TODAY(), "M")&lt;18),
    1.10,
    1.00)</f>
        <v/>
      </c>
      <c r="O6757">
        <f>IF('Loan Tape (S&amp;P)'!T6757="Yes",
    1.35,
    1.00)</f>
        <v/>
      </c>
      <c r="P6757">
        <f>IF('Loan Tape (S&amp;P)'!S6757="Yes",
    1.15,
    1.00)</f>
        <v/>
      </c>
      <c r="Q6757">
        <f>IF('Loan Tape (S&amp;P)'!V6757="Yes",
    1.20,
    1.00)</f>
        <v/>
      </c>
      <c r="T6757">
        <f>LET(
    payment_method,'Loan Tape (S&amp;P)'!P6757,
    occupancy,'Loan Tape (S&amp;P)'!N6757,
    maturity_date,'Loan Tape (S&amp;P)'!L6757,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58">
      <c r="J6758">
        <f>LET(
    lien,'Loan Tape (S&amp;P)'!Q6758,
    IF(lien="First",1.00,
        IF(lien="Second",1.50,
            1.70)))</f>
        <v/>
      </c>
      <c r="K6758">
        <f>LET(
    purpose,'Loan Tape (S&amp;P)'!R6758,
    IF(purpose="Purchase",1.00,
        IF(purpose="Remortgage",1.00,
            1.20)))</f>
        <v/>
      </c>
      <c r="L6758">
        <f>LET(
    arrears_months,'Loan Tape (S&amp;P)'!AN6758,
    IF(arrears_months=0,1.00,
    IF(arrears_months=1,3.00,
    IF(arrears_months=2,5.00,
    IF(arrears_months=3,8.00,
    IF(arrears_months=4,10.00,
    IF(arrears_months=5,12.00,15.00)))))))</f>
        <v/>
      </c>
      <c r="M6758">
        <f>LET(
    seasoning_years,DATEDIF('Loan Tape (S&amp;P)'!K6758,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58">
        <f>IF(AND('Loan Tape (S&amp;P)'!U6758="Yes",
        'Loan Tape (S&amp;P)'!T6758&lt;&gt;"Yes",
        DATEDIF('Loan Tape (S&amp;P)'!K6758, TODAY(), "M")&lt;18),
    1.10,
    1.00)</f>
        <v/>
      </c>
      <c r="O6758">
        <f>IF('Loan Tape (S&amp;P)'!T6758="Yes",
    1.35,
    1.00)</f>
        <v/>
      </c>
      <c r="P6758">
        <f>IF('Loan Tape (S&amp;P)'!S6758="Yes",
    1.15,
    1.00)</f>
        <v/>
      </c>
      <c r="Q6758">
        <f>IF('Loan Tape (S&amp;P)'!V6758="Yes",
    1.20,
    1.00)</f>
        <v/>
      </c>
      <c r="T6758">
        <f>LET(
    payment_method,'Loan Tape (S&amp;P)'!P6758,
    occupancy,'Loan Tape (S&amp;P)'!N6758,
    maturity_date,'Loan Tape (S&amp;P)'!L6758,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59">
      <c r="J6759">
        <f>LET(
    lien,'Loan Tape (S&amp;P)'!Q6759,
    IF(lien="First",1.00,
        IF(lien="Second",1.50,
            1.70)))</f>
        <v/>
      </c>
      <c r="K6759">
        <f>LET(
    purpose,'Loan Tape (S&amp;P)'!R6759,
    IF(purpose="Purchase",1.00,
        IF(purpose="Remortgage",1.00,
            1.20)))</f>
        <v/>
      </c>
      <c r="L6759">
        <f>LET(
    arrears_months,'Loan Tape (S&amp;P)'!AN6759,
    IF(arrears_months=0,1.00,
    IF(arrears_months=1,3.00,
    IF(arrears_months=2,5.00,
    IF(arrears_months=3,8.00,
    IF(arrears_months=4,10.00,
    IF(arrears_months=5,12.00,15.00)))))))</f>
        <v/>
      </c>
      <c r="M6759">
        <f>LET(
    seasoning_years,DATEDIF('Loan Tape (S&amp;P)'!K6759,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59">
        <f>IF(AND('Loan Tape (S&amp;P)'!U6759="Yes",
        'Loan Tape (S&amp;P)'!T6759&lt;&gt;"Yes",
        DATEDIF('Loan Tape (S&amp;P)'!K6759, TODAY(), "M")&lt;18),
    1.10,
    1.00)</f>
        <v/>
      </c>
      <c r="O6759">
        <f>IF('Loan Tape (S&amp;P)'!T6759="Yes",
    1.35,
    1.00)</f>
        <v/>
      </c>
      <c r="P6759">
        <f>IF('Loan Tape (S&amp;P)'!S6759="Yes",
    1.15,
    1.00)</f>
        <v/>
      </c>
      <c r="Q6759">
        <f>IF('Loan Tape (S&amp;P)'!V6759="Yes",
    1.20,
    1.00)</f>
        <v/>
      </c>
      <c r="T6759">
        <f>LET(
    payment_method,'Loan Tape (S&amp;P)'!P6759,
    occupancy,'Loan Tape (S&amp;P)'!N6759,
    maturity_date,'Loan Tape (S&amp;P)'!L6759,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60">
      <c r="J6760">
        <f>LET(
    lien,'Loan Tape (S&amp;P)'!Q6760,
    IF(lien="First",1.00,
        IF(lien="Second",1.50,
            1.70)))</f>
        <v/>
      </c>
      <c r="K6760">
        <f>LET(
    purpose,'Loan Tape (S&amp;P)'!R6760,
    IF(purpose="Purchase",1.00,
        IF(purpose="Remortgage",1.00,
            1.20)))</f>
        <v/>
      </c>
      <c r="L6760">
        <f>LET(
    arrears_months,'Loan Tape (S&amp;P)'!AN6760,
    IF(arrears_months=0,1.00,
    IF(arrears_months=1,3.00,
    IF(arrears_months=2,5.00,
    IF(arrears_months=3,8.00,
    IF(arrears_months=4,10.00,
    IF(arrears_months=5,12.00,15.00)))))))</f>
        <v/>
      </c>
      <c r="M6760">
        <f>LET(
    seasoning_years,DATEDIF('Loan Tape (S&amp;P)'!K6760,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60">
        <f>IF(AND('Loan Tape (S&amp;P)'!U6760="Yes",
        'Loan Tape (S&amp;P)'!T6760&lt;&gt;"Yes",
        DATEDIF('Loan Tape (S&amp;P)'!K6760, TODAY(), "M")&lt;18),
    1.10,
    1.00)</f>
        <v/>
      </c>
      <c r="O6760">
        <f>IF('Loan Tape (S&amp;P)'!T6760="Yes",
    1.35,
    1.00)</f>
        <v/>
      </c>
      <c r="P6760">
        <f>IF('Loan Tape (S&amp;P)'!S6760="Yes",
    1.15,
    1.00)</f>
        <v/>
      </c>
      <c r="Q6760">
        <f>IF('Loan Tape (S&amp;P)'!V6760="Yes",
    1.20,
    1.00)</f>
        <v/>
      </c>
      <c r="T6760">
        <f>LET(
    payment_method,'Loan Tape (S&amp;P)'!P6760,
    occupancy,'Loan Tape (S&amp;P)'!N6760,
    maturity_date,'Loan Tape (S&amp;P)'!L6760,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61">
      <c r="J6761">
        <f>LET(
    lien,'Loan Tape (S&amp;P)'!Q6761,
    IF(lien="First",1.00,
        IF(lien="Second",1.50,
            1.70)))</f>
        <v/>
      </c>
      <c r="K6761">
        <f>LET(
    purpose,'Loan Tape (S&amp;P)'!R6761,
    IF(purpose="Purchase",1.00,
        IF(purpose="Remortgage",1.00,
            1.20)))</f>
        <v/>
      </c>
      <c r="L6761">
        <f>LET(
    arrears_months,'Loan Tape (S&amp;P)'!AN6761,
    IF(arrears_months=0,1.00,
    IF(arrears_months=1,3.00,
    IF(arrears_months=2,5.00,
    IF(arrears_months=3,8.00,
    IF(arrears_months=4,10.00,
    IF(arrears_months=5,12.00,15.00)))))))</f>
        <v/>
      </c>
      <c r="M6761">
        <f>LET(
    seasoning_years,DATEDIF('Loan Tape (S&amp;P)'!K6761,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61">
        <f>IF(AND('Loan Tape (S&amp;P)'!U6761="Yes",
        'Loan Tape (S&amp;P)'!T6761&lt;&gt;"Yes",
        DATEDIF('Loan Tape (S&amp;P)'!K6761, TODAY(), "M")&lt;18),
    1.10,
    1.00)</f>
        <v/>
      </c>
      <c r="O6761">
        <f>IF('Loan Tape (S&amp;P)'!T6761="Yes",
    1.35,
    1.00)</f>
        <v/>
      </c>
      <c r="P6761">
        <f>IF('Loan Tape (S&amp;P)'!S6761="Yes",
    1.15,
    1.00)</f>
        <v/>
      </c>
      <c r="Q6761">
        <f>IF('Loan Tape (S&amp;P)'!V6761="Yes",
    1.20,
    1.00)</f>
        <v/>
      </c>
      <c r="T6761">
        <f>LET(
    payment_method,'Loan Tape (S&amp;P)'!P6761,
    occupancy,'Loan Tape (S&amp;P)'!N6761,
    maturity_date,'Loan Tape (S&amp;P)'!L6761,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62">
      <c r="J6762">
        <f>LET(
    lien,'Loan Tape (S&amp;P)'!Q6762,
    IF(lien="First",1.00,
        IF(lien="Second",1.50,
            1.70)))</f>
        <v/>
      </c>
      <c r="K6762">
        <f>LET(
    purpose,'Loan Tape (S&amp;P)'!R6762,
    IF(purpose="Purchase",1.00,
        IF(purpose="Remortgage",1.00,
            1.20)))</f>
        <v/>
      </c>
      <c r="L6762">
        <f>LET(
    arrears_months,'Loan Tape (S&amp;P)'!AN6762,
    IF(arrears_months=0,1.00,
    IF(arrears_months=1,3.00,
    IF(arrears_months=2,5.00,
    IF(arrears_months=3,8.00,
    IF(arrears_months=4,10.00,
    IF(arrears_months=5,12.00,15.00)))))))</f>
        <v/>
      </c>
      <c r="M6762">
        <f>LET(
    seasoning_years,DATEDIF('Loan Tape (S&amp;P)'!K6762,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62">
        <f>IF(AND('Loan Tape (S&amp;P)'!U6762="Yes",
        'Loan Tape (S&amp;P)'!T6762&lt;&gt;"Yes",
        DATEDIF('Loan Tape (S&amp;P)'!K6762, TODAY(), "M")&lt;18),
    1.10,
    1.00)</f>
        <v/>
      </c>
      <c r="O6762">
        <f>IF('Loan Tape (S&amp;P)'!T6762="Yes",
    1.35,
    1.00)</f>
        <v/>
      </c>
      <c r="P6762">
        <f>IF('Loan Tape (S&amp;P)'!S6762="Yes",
    1.15,
    1.00)</f>
        <v/>
      </c>
      <c r="Q6762">
        <f>IF('Loan Tape (S&amp;P)'!V6762="Yes",
    1.20,
    1.00)</f>
        <v/>
      </c>
      <c r="T6762">
        <f>LET(
    payment_method,'Loan Tape (S&amp;P)'!P6762,
    occupancy,'Loan Tape (S&amp;P)'!N6762,
    maturity_date,'Loan Tape (S&amp;P)'!L6762,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63">
      <c r="J6763">
        <f>LET(
    lien,'Loan Tape (S&amp;P)'!Q6763,
    IF(lien="First",1.00,
        IF(lien="Second",1.50,
            1.70)))</f>
        <v/>
      </c>
      <c r="K6763">
        <f>LET(
    purpose,'Loan Tape (S&amp;P)'!R6763,
    IF(purpose="Purchase",1.00,
        IF(purpose="Remortgage",1.00,
            1.20)))</f>
        <v/>
      </c>
      <c r="L6763">
        <f>LET(
    arrears_months,'Loan Tape (S&amp;P)'!AN6763,
    IF(arrears_months=0,1.00,
    IF(arrears_months=1,3.00,
    IF(arrears_months=2,5.00,
    IF(arrears_months=3,8.00,
    IF(arrears_months=4,10.00,
    IF(arrears_months=5,12.00,15.00)))))))</f>
        <v/>
      </c>
      <c r="M6763">
        <f>LET(
    seasoning_years,DATEDIF('Loan Tape (S&amp;P)'!K6763,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63">
        <f>IF(AND('Loan Tape (S&amp;P)'!U6763="Yes",
        'Loan Tape (S&amp;P)'!T6763&lt;&gt;"Yes",
        DATEDIF('Loan Tape (S&amp;P)'!K6763, TODAY(), "M")&lt;18),
    1.10,
    1.00)</f>
        <v/>
      </c>
      <c r="O6763">
        <f>IF('Loan Tape (S&amp;P)'!T6763="Yes",
    1.35,
    1.00)</f>
        <v/>
      </c>
      <c r="P6763">
        <f>IF('Loan Tape (S&amp;P)'!S6763="Yes",
    1.15,
    1.00)</f>
        <v/>
      </c>
      <c r="Q6763">
        <f>IF('Loan Tape (S&amp;P)'!V6763="Yes",
    1.20,
    1.00)</f>
        <v/>
      </c>
      <c r="T6763">
        <f>LET(
    payment_method,'Loan Tape (S&amp;P)'!P6763,
    occupancy,'Loan Tape (S&amp;P)'!N6763,
    maturity_date,'Loan Tape (S&amp;P)'!L6763,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64">
      <c r="J6764">
        <f>LET(
    lien,'Loan Tape (S&amp;P)'!Q6764,
    IF(lien="First",1.00,
        IF(lien="Second",1.50,
            1.70)))</f>
        <v/>
      </c>
      <c r="K6764">
        <f>LET(
    purpose,'Loan Tape (S&amp;P)'!R6764,
    IF(purpose="Purchase",1.00,
        IF(purpose="Remortgage",1.00,
            1.20)))</f>
        <v/>
      </c>
      <c r="L6764">
        <f>LET(
    arrears_months,'Loan Tape (S&amp;P)'!AN6764,
    IF(arrears_months=0,1.00,
    IF(arrears_months=1,3.00,
    IF(arrears_months=2,5.00,
    IF(arrears_months=3,8.00,
    IF(arrears_months=4,10.00,
    IF(arrears_months=5,12.00,15.00)))))))</f>
        <v/>
      </c>
      <c r="M6764">
        <f>LET(
    seasoning_years,DATEDIF('Loan Tape (S&amp;P)'!K6764,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64">
        <f>IF(AND('Loan Tape (S&amp;P)'!U6764="Yes",
        'Loan Tape (S&amp;P)'!T6764&lt;&gt;"Yes",
        DATEDIF('Loan Tape (S&amp;P)'!K6764, TODAY(), "M")&lt;18),
    1.10,
    1.00)</f>
        <v/>
      </c>
      <c r="O6764">
        <f>IF('Loan Tape (S&amp;P)'!T6764="Yes",
    1.35,
    1.00)</f>
        <v/>
      </c>
      <c r="P6764">
        <f>IF('Loan Tape (S&amp;P)'!S6764="Yes",
    1.15,
    1.00)</f>
        <v/>
      </c>
      <c r="Q6764">
        <f>IF('Loan Tape (S&amp;P)'!V6764="Yes",
    1.20,
    1.00)</f>
        <v/>
      </c>
      <c r="T6764">
        <f>LET(
    payment_method,'Loan Tape (S&amp;P)'!P6764,
    occupancy,'Loan Tape (S&amp;P)'!N6764,
    maturity_date,'Loan Tape (S&amp;P)'!L6764,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65">
      <c r="J6765">
        <f>LET(
    lien,'Loan Tape (S&amp;P)'!Q6765,
    IF(lien="First",1.00,
        IF(lien="Second",1.50,
            1.70)))</f>
        <v/>
      </c>
      <c r="K6765">
        <f>LET(
    purpose,'Loan Tape (S&amp;P)'!R6765,
    IF(purpose="Purchase",1.00,
        IF(purpose="Remortgage",1.00,
            1.20)))</f>
        <v/>
      </c>
      <c r="L6765">
        <f>LET(
    arrears_months,'Loan Tape (S&amp;P)'!AN6765,
    IF(arrears_months=0,1.00,
    IF(arrears_months=1,3.00,
    IF(arrears_months=2,5.00,
    IF(arrears_months=3,8.00,
    IF(arrears_months=4,10.00,
    IF(arrears_months=5,12.00,15.00)))))))</f>
        <v/>
      </c>
      <c r="M6765">
        <f>LET(
    seasoning_years,DATEDIF('Loan Tape (S&amp;P)'!K6765,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65">
        <f>IF(AND('Loan Tape (S&amp;P)'!U6765="Yes",
        'Loan Tape (S&amp;P)'!T6765&lt;&gt;"Yes",
        DATEDIF('Loan Tape (S&amp;P)'!K6765, TODAY(), "M")&lt;18),
    1.10,
    1.00)</f>
        <v/>
      </c>
      <c r="O6765">
        <f>IF('Loan Tape (S&amp;P)'!T6765="Yes",
    1.35,
    1.00)</f>
        <v/>
      </c>
      <c r="P6765">
        <f>IF('Loan Tape (S&amp;P)'!S6765="Yes",
    1.15,
    1.00)</f>
        <v/>
      </c>
      <c r="Q6765">
        <f>IF('Loan Tape (S&amp;P)'!V6765="Yes",
    1.20,
    1.00)</f>
        <v/>
      </c>
      <c r="T6765">
        <f>LET(
    payment_method,'Loan Tape (S&amp;P)'!P6765,
    occupancy,'Loan Tape (S&amp;P)'!N6765,
    maturity_date,'Loan Tape (S&amp;P)'!L6765,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66">
      <c r="J6766">
        <f>LET(
    lien,'Loan Tape (S&amp;P)'!Q6766,
    IF(lien="First",1.00,
        IF(lien="Second",1.50,
            1.70)))</f>
        <v/>
      </c>
      <c r="K6766">
        <f>LET(
    purpose,'Loan Tape (S&amp;P)'!R6766,
    IF(purpose="Purchase",1.00,
        IF(purpose="Remortgage",1.00,
            1.20)))</f>
        <v/>
      </c>
      <c r="L6766">
        <f>LET(
    arrears_months,'Loan Tape (S&amp;P)'!AN6766,
    IF(arrears_months=0,1.00,
    IF(arrears_months=1,3.00,
    IF(arrears_months=2,5.00,
    IF(arrears_months=3,8.00,
    IF(arrears_months=4,10.00,
    IF(arrears_months=5,12.00,15.00)))))))</f>
        <v/>
      </c>
      <c r="M6766">
        <f>LET(
    seasoning_years,DATEDIF('Loan Tape (S&amp;P)'!K6766,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66">
        <f>IF(AND('Loan Tape (S&amp;P)'!U6766="Yes",
        'Loan Tape (S&amp;P)'!T6766&lt;&gt;"Yes",
        DATEDIF('Loan Tape (S&amp;P)'!K6766, TODAY(), "M")&lt;18),
    1.10,
    1.00)</f>
        <v/>
      </c>
      <c r="O6766">
        <f>IF('Loan Tape (S&amp;P)'!T6766="Yes",
    1.35,
    1.00)</f>
        <v/>
      </c>
      <c r="P6766">
        <f>IF('Loan Tape (S&amp;P)'!S6766="Yes",
    1.15,
    1.00)</f>
        <v/>
      </c>
      <c r="Q6766">
        <f>IF('Loan Tape (S&amp;P)'!V6766="Yes",
    1.20,
    1.00)</f>
        <v/>
      </c>
      <c r="T6766">
        <f>LET(
    payment_method,'Loan Tape (S&amp;P)'!P6766,
    occupancy,'Loan Tape (S&amp;P)'!N6766,
    maturity_date,'Loan Tape (S&amp;P)'!L6766,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67">
      <c r="J6767">
        <f>LET(
    lien,'Loan Tape (S&amp;P)'!Q6767,
    IF(lien="First",1.00,
        IF(lien="Second",1.50,
            1.70)))</f>
        <v/>
      </c>
      <c r="K6767">
        <f>LET(
    purpose,'Loan Tape (S&amp;P)'!R6767,
    IF(purpose="Purchase",1.00,
        IF(purpose="Remortgage",1.00,
            1.20)))</f>
        <v/>
      </c>
      <c r="L6767">
        <f>LET(
    arrears_months,'Loan Tape (S&amp;P)'!AN6767,
    IF(arrears_months=0,1.00,
    IF(arrears_months=1,3.00,
    IF(arrears_months=2,5.00,
    IF(arrears_months=3,8.00,
    IF(arrears_months=4,10.00,
    IF(arrears_months=5,12.00,15.00)))))))</f>
        <v/>
      </c>
      <c r="M6767">
        <f>LET(
    seasoning_years,DATEDIF('Loan Tape (S&amp;P)'!K6767,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67">
        <f>IF(AND('Loan Tape (S&amp;P)'!U6767="Yes",
        'Loan Tape (S&amp;P)'!T6767&lt;&gt;"Yes",
        DATEDIF('Loan Tape (S&amp;P)'!K6767, TODAY(), "M")&lt;18),
    1.10,
    1.00)</f>
        <v/>
      </c>
      <c r="O6767">
        <f>IF('Loan Tape (S&amp;P)'!T6767="Yes",
    1.35,
    1.00)</f>
        <v/>
      </c>
      <c r="P6767">
        <f>IF('Loan Tape (S&amp;P)'!S6767="Yes",
    1.15,
    1.00)</f>
        <v/>
      </c>
      <c r="Q6767">
        <f>IF('Loan Tape (S&amp;P)'!V6767="Yes",
    1.20,
    1.00)</f>
        <v/>
      </c>
      <c r="T6767">
        <f>LET(
    payment_method,'Loan Tape (S&amp;P)'!P6767,
    occupancy,'Loan Tape (S&amp;P)'!N6767,
    maturity_date,'Loan Tape (S&amp;P)'!L6767,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68">
      <c r="J6768">
        <f>LET(
    lien,'Loan Tape (S&amp;P)'!Q6768,
    IF(lien="First",1.00,
        IF(lien="Second",1.50,
            1.70)))</f>
        <v/>
      </c>
      <c r="K6768">
        <f>LET(
    purpose,'Loan Tape (S&amp;P)'!R6768,
    IF(purpose="Purchase",1.00,
        IF(purpose="Remortgage",1.00,
            1.20)))</f>
        <v/>
      </c>
      <c r="L6768">
        <f>LET(
    arrears_months,'Loan Tape (S&amp;P)'!AN6768,
    IF(arrears_months=0,1.00,
    IF(arrears_months=1,3.00,
    IF(arrears_months=2,5.00,
    IF(arrears_months=3,8.00,
    IF(arrears_months=4,10.00,
    IF(arrears_months=5,12.00,15.00)))))))</f>
        <v/>
      </c>
      <c r="M6768">
        <f>LET(
    seasoning_years,DATEDIF('Loan Tape (S&amp;P)'!K6768,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68">
        <f>IF(AND('Loan Tape (S&amp;P)'!U6768="Yes",
        'Loan Tape (S&amp;P)'!T6768&lt;&gt;"Yes",
        DATEDIF('Loan Tape (S&amp;P)'!K6768, TODAY(), "M")&lt;18),
    1.10,
    1.00)</f>
        <v/>
      </c>
      <c r="O6768">
        <f>IF('Loan Tape (S&amp;P)'!T6768="Yes",
    1.35,
    1.00)</f>
        <v/>
      </c>
      <c r="P6768">
        <f>IF('Loan Tape (S&amp;P)'!S6768="Yes",
    1.15,
    1.00)</f>
        <v/>
      </c>
      <c r="Q6768">
        <f>IF('Loan Tape (S&amp;P)'!V6768="Yes",
    1.20,
    1.00)</f>
        <v/>
      </c>
      <c r="T6768">
        <f>LET(
    payment_method,'Loan Tape (S&amp;P)'!P6768,
    occupancy,'Loan Tape (S&amp;P)'!N6768,
    maturity_date,'Loan Tape (S&amp;P)'!L6768,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69">
      <c r="J6769">
        <f>LET(
    lien,'Loan Tape (S&amp;P)'!Q6769,
    IF(lien="First",1.00,
        IF(lien="Second",1.50,
            1.70)))</f>
        <v/>
      </c>
      <c r="K6769">
        <f>LET(
    purpose,'Loan Tape (S&amp;P)'!R6769,
    IF(purpose="Purchase",1.00,
        IF(purpose="Remortgage",1.00,
            1.20)))</f>
        <v/>
      </c>
      <c r="L6769">
        <f>LET(
    arrears_months,'Loan Tape (S&amp;P)'!AN6769,
    IF(arrears_months=0,1.00,
    IF(arrears_months=1,3.00,
    IF(arrears_months=2,5.00,
    IF(arrears_months=3,8.00,
    IF(arrears_months=4,10.00,
    IF(arrears_months=5,12.00,15.00)))))))</f>
        <v/>
      </c>
      <c r="M6769">
        <f>LET(
    seasoning_years,DATEDIF('Loan Tape (S&amp;P)'!K6769,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69">
        <f>IF(AND('Loan Tape (S&amp;P)'!U6769="Yes",
        'Loan Tape (S&amp;P)'!T6769&lt;&gt;"Yes",
        DATEDIF('Loan Tape (S&amp;P)'!K6769, TODAY(), "M")&lt;18),
    1.10,
    1.00)</f>
        <v/>
      </c>
      <c r="O6769">
        <f>IF('Loan Tape (S&amp;P)'!T6769="Yes",
    1.35,
    1.00)</f>
        <v/>
      </c>
      <c r="P6769">
        <f>IF('Loan Tape (S&amp;P)'!S6769="Yes",
    1.15,
    1.00)</f>
        <v/>
      </c>
      <c r="Q6769">
        <f>IF('Loan Tape (S&amp;P)'!V6769="Yes",
    1.20,
    1.00)</f>
        <v/>
      </c>
      <c r="T6769">
        <f>LET(
    payment_method,'Loan Tape (S&amp;P)'!P6769,
    occupancy,'Loan Tape (S&amp;P)'!N6769,
    maturity_date,'Loan Tape (S&amp;P)'!L6769,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70">
      <c r="J6770">
        <f>LET(
    lien,'Loan Tape (S&amp;P)'!Q6770,
    IF(lien="First",1.00,
        IF(lien="Second",1.50,
            1.70)))</f>
        <v/>
      </c>
      <c r="K6770">
        <f>LET(
    purpose,'Loan Tape (S&amp;P)'!R6770,
    IF(purpose="Purchase",1.00,
        IF(purpose="Remortgage",1.00,
            1.20)))</f>
        <v/>
      </c>
      <c r="L6770">
        <f>LET(
    arrears_months,'Loan Tape (S&amp;P)'!AN6770,
    IF(arrears_months=0,1.00,
    IF(arrears_months=1,3.00,
    IF(arrears_months=2,5.00,
    IF(arrears_months=3,8.00,
    IF(arrears_months=4,10.00,
    IF(arrears_months=5,12.00,15.00)))))))</f>
        <v/>
      </c>
      <c r="M6770">
        <f>LET(
    seasoning_years,DATEDIF('Loan Tape (S&amp;P)'!K6770,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70">
        <f>IF(AND('Loan Tape (S&amp;P)'!U6770="Yes",
        'Loan Tape (S&amp;P)'!T6770&lt;&gt;"Yes",
        DATEDIF('Loan Tape (S&amp;P)'!K6770, TODAY(), "M")&lt;18),
    1.10,
    1.00)</f>
        <v/>
      </c>
      <c r="O6770">
        <f>IF('Loan Tape (S&amp;P)'!T6770="Yes",
    1.35,
    1.00)</f>
        <v/>
      </c>
      <c r="P6770">
        <f>IF('Loan Tape (S&amp;P)'!S6770="Yes",
    1.15,
    1.00)</f>
        <v/>
      </c>
      <c r="Q6770">
        <f>IF('Loan Tape (S&amp;P)'!V6770="Yes",
    1.20,
    1.00)</f>
        <v/>
      </c>
      <c r="T6770">
        <f>LET(
    payment_method,'Loan Tape (S&amp;P)'!P6770,
    occupancy,'Loan Tape (S&amp;P)'!N6770,
    maturity_date,'Loan Tape (S&amp;P)'!L6770,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71">
      <c r="J6771">
        <f>LET(
    lien,'Loan Tape (S&amp;P)'!Q6771,
    IF(lien="First",1.00,
        IF(lien="Second",1.50,
            1.70)))</f>
        <v/>
      </c>
      <c r="K6771">
        <f>LET(
    purpose,'Loan Tape (S&amp;P)'!R6771,
    IF(purpose="Purchase",1.00,
        IF(purpose="Remortgage",1.00,
            1.20)))</f>
        <v/>
      </c>
      <c r="L6771">
        <f>LET(
    arrears_months,'Loan Tape (S&amp;P)'!AN6771,
    IF(arrears_months=0,1.00,
    IF(arrears_months=1,3.00,
    IF(arrears_months=2,5.00,
    IF(arrears_months=3,8.00,
    IF(arrears_months=4,10.00,
    IF(arrears_months=5,12.00,15.00)))))))</f>
        <v/>
      </c>
      <c r="M6771">
        <f>LET(
    seasoning_years,DATEDIF('Loan Tape (S&amp;P)'!K6771,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71">
        <f>IF(AND('Loan Tape (S&amp;P)'!U6771="Yes",
        'Loan Tape (S&amp;P)'!T6771&lt;&gt;"Yes",
        DATEDIF('Loan Tape (S&amp;P)'!K6771, TODAY(), "M")&lt;18),
    1.10,
    1.00)</f>
        <v/>
      </c>
      <c r="O6771">
        <f>IF('Loan Tape (S&amp;P)'!T6771="Yes",
    1.35,
    1.00)</f>
        <v/>
      </c>
      <c r="P6771">
        <f>IF('Loan Tape (S&amp;P)'!S6771="Yes",
    1.15,
    1.00)</f>
        <v/>
      </c>
      <c r="Q6771">
        <f>IF('Loan Tape (S&amp;P)'!V6771="Yes",
    1.20,
    1.00)</f>
        <v/>
      </c>
      <c r="T6771">
        <f>LET(
    payment_method,'Loan Tape (S&amp;P)'!P6771,
    occupancy,'Loan Tape (S&amp;P)'!N6771,
    maturity_date,'Loan Tape (S&amp;P)'!L6771,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72">
      <c r="J6772">
        <f>LET(
    lien,'Loan Tape (S&amp;P)'!Q6772,
    IF(lien="First",1.00,
        IF(lien="Second",1.50,
            1.70)))</f>
        <v/>
      </c>
      <c r="K6772">
        <f>LET(
    purpose,'Loan Tape (S&amp;P)'!R6772,
    IF(purpose="Purchase",1.00,
        IF(purpose="Remortgage",1.00,
            1.20)))</f>
        <v/>
      </c>
      <c r="L6772">
        <f>LET(
    arrears_months,'Loan Tape (S&amp;P)'!AN6772,
    IF(arrears_months=0,1.00,
    IF(arrears_months=1,3.00,
    IF(arrears_months=2,5.00,
    IF(arrears_months=3,8.00,
    IF(arrears_months=4,10.00,
    IF(arrears_months=5,12.00,15.00)))))))</f>
        <v/>
      </c>
      <c r="M6772">
        <f>LET(
    seasoning_years,DATEDIF('Loan Tape (S&amp;P)'!K6772,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72">
        <f>IF(AND('Loan Tape (S&amp;P)'!U6772="Yes",
        'Loan Tape (S&amp;P)'!T6772&lt;&gt;"Yes",
        DATEDIF('Loan Tape (S&amp;P)'!K6772, TODAY(), "M")&lt;18),
    1.10,
    1.00)</f>
        <v/>
      </c>
      <c r="O6772">
        <f>IF('Loan Tape (S&amp;P)'!T6772="Yes",
    1.35,
    1.00)</f>
        <v/>
      </c>
      <c r="P6772">
        <f>IF('Loan Tape (S&amp;P)'!S6772="Yes",
    1.15,
    1.00)</f>
        <v/>
      </c>
      <c r="Q6772">
        <f>IF('Loan Tape (S&amp;P)'!V6772="Yes",
    1.20,
    1.00)</f>
        <v/>
      </c>
      <c r="T6772">
        <f>LET(
    payment_method,'Loan Tape (S&amp;P)'!P6772,
    occupancy,'Loan Tape (S&amp;P)'!N6772,
    maturity_date,'Loan Tape (S&amp;P)'!L6772,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73">
      <c r="J6773">
        <f>LET(
    lien,'Loan Tape (S&amp;P)'!Q6773,
    IF(lien="First",1.00,
        IF(lien="Second",1.50,
            1.70)))</f>
        <v/>
      </c>
      <c r="K6773">
        <f>LET(
    purpose,'Loan Tape (S&amp;P)'!R6773,
    IF(purpose="Purchase",1.00,
        IF(purpose="Remortgage",1.00,
            1.20)))</f>
        <v/>
      </c>
      <c r="L6773">
        <f>LET(
    arrears_months,'Loan Tape (S&amp;P)'!AN6773,
    IF(arrears_months=0,1.00,
    IF(arrears_months=1,3.00,
    IF(arrears_months=2,5.00,
    IF(arrears_months=3,8.00,
    IF(arrears_months=4,10.00,
    IF(arrears_months=5,12.00,15.00)))))))</f>
        <v/>
      </c>
      <c r="M6773">
        <f>LET(
    seasoning_years,DATEDIF('Loan Tape (S&amp;P)'!K6773,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73">
        <f>IF(AND('Loan Tape (S&amp;P)'!U6773="Yes",
        'Loan Tape (S&amp;P)'!T6773&lt;&gt;"Yes",
        DATEDIF('Loan Tape (S&amp;P)'!K6773, TODAY(), "M")&lt;18),
    1.10,
    1.00)</f>
        <v/>
      </c>
      <c r="O6773">
        <f>IF('Loan Tape (S&amp;P)'!T6773="Yes",
    1.35,
    1.00)</f>
        <v/>
      </c>
      <c r="P6773">
        <f>IF('Loan Tape (S&amp;P)'!S6773="Yes",
    1.15,
    1.00)</f>
        <v/>
      </c>
      <c r="Q6773">
        <f>IF('Loan Tape (S&amp;P)'!V6773="Yes",
    1.20,
    1.00)</f>
        <v/>
      </c>
      <c r="T6773">
        <f>LET(
    payment_method,'Loan Tape (S&amp;P)'!P6773,
    occupancy,'Loan Tape (S&amp;P)'!N6773,
    maturity_date,'Loan Tape (S&amp;P)'!L6773,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74">
      <c r="J6774">
        <f>LET(
    lien,'Loan Tape (S&amp;P)'!Q6774,
    IF(lien="First",1.00,
        IF(lien="Second",1.50,
            1.70)))</f>
        <v/>
      </c>
      <c r="K6774">
        <f>LET(
    purpose,'Loan Tape (S&amp;P)'!R6774,
    IF(purpose="Purchase",1.00,
        IF(purpose="Remortgage",1.00,
            1.20)))</f>
        <v/>
      </c>
      <c r="L6774">
        <f>LET(
    arrears_months,'Loan Tape (S&amp;P)'!AN6774,
    IF(arrears_months=0,1.00,
    IF(arrears_months=1,3.00,
    IF(arrears_months=2,5.00,
    IF(arrears_months=3,8.00,
    IF(arrears_months=4,10.00,
    IF(arrears_months=5,12.00,15.00)))))))</f>
        <v/>
      </c>
      <c r="M6774">
        <f>LET(
    seasoning_years,DATEDIF('Loan Tape (S&amp;P)'!K6774,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74">
        <f>IF(AND('Loan Tape (S&amp;P)'!U6774="Yes",
        'Loan Tape (S&amp;P)'!T6774&lt;&gt;"Yes",
        DATEDIF('Loan Tape (S&amp;P)'!K6774, TODAY(), "M")&lt;18),
    1.10,
    1.00)</f>
        <v/>
      </c>
      <c r="O6774">
        <f>IF('Loan Tape (S&amp;P)'!T6774="Yes",
    1.35,
    1.00)</f>
        <v/>
      </c>
      <c r="P6774">
        <f>IF('Loan Tape (S&amp;P)'!S6774="Yes",
    1.15,
    1.00)</f>
        <v/>
      </c>
      <c r="Q6774">
        <f>IF('Loan Tape (S&amp;P)'!V6774="Yes",
    1.20,
    1.00)</f>
        <v/>
      </c>
      <c r="T6774">
        <f>LET(
    payment_method,'Loan Tape (S&amp;P)'!P6774,
    occupancy,'Loan Tape (S&amp;P)'!N6774,
    maturity_date,'Loan Tape (S&amp;P)'!L6774,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75">
      <c r="J6775">
        <f>LET(
    lien,'Loan Tape (S&amp;P)'!Q6775,
    IF(lien="First",1.00,
        IF(lien="Second",1.50,
            1.70)))</f>
        <v/>
      </c>
      <c r="K6775">
        <f>LET(
    purpose,'Loan Tape (S&amp;P)'!R6775,
    IF(purpose="Purchase",1.00,
        IF(purpose="Remortgage",1.00,
            1.20)))</f>
        <v/>
      </c>
      <c r="L6775">
        <f>LET(
    arrears_months,'Loan Tape (S&amp;P)'!AN6775,
    IF(arrears_months=0,1.00,
    IF(arrears_months=1,3.00,
    IF(arrears_months=2,5.00,
    IF(arrears_months=3,8.00,
    IF(arrears_months=4,10.00,
    IF(arrears_months=5,12.00,15.00)))))))</f>
        <v/>
      </c>
      <c r="M6775">
        <f>LET(
    seasoning_years,DATEDIF('Loan Tape (S&amp;P)'!K6775,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75">
        <f>IF(AND('Loan Tape (S&amp;P)'!U6775="Yes",
        'Loan Tape (S&amp;P)'!T6775&lt;&gt;"Yes",
        DATEDIF('Loan Tape (S&amp;P)'!K6775, TODAY(), "M")&lt;18),
    1.10,
    1.00)</f>
        <v/>
      </c>
      <c r="O6775">
        <f>IF('Loan Tape (S&amp;P)'!T6775="Yes",
    1.35,
    1.00)</f>
        <v/>
      </c>
      <c r="P6775">
        <f>IF('Loan Tape (S&amp;P)'!S6775="Yes",
    1.15,
    1.00)</f>
        <v/>
      </c>
      <c r="Q6775">
        <f>IF('Loan Tape (S&amp;P)'!V6775="Yes",
    1.20,
    1.00)</f>
        <v/>
      </c>
      <c r="T6775">
        <f>LET(
    payment_method,'Loan Tape (S&amp;P)'!P6775,
    occupancy,'Loan Tape (S&amp;P)'!N6775,
    maturity_date,'Loan Tape (S&amp;P)'!L6775,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76">
      <c r="J6776">
        <f>LET(
    lien,'Loan Tape (S&amp;P)'!Q6776,
    IF(lien="First",1.00,
        IF(lien="Second",1.50,
            1.70)))</f>
        <v/>
      </c>
      <c r="K6776">
        <f>LET(
    purpose,'Loan Tape (S&amp;P)'!R6776,
    IF(purpose="Purchase",1.00,
        IF(purpose="Remortgage",1.00,
            1.20)))</f>
        <v/>
      </c>
      <c r="L6776">
        <f>LET(
    arrears_months,'Loan Tape (S&amp;P)'!AN6776,
    IF(arrears_months=0,1.00,
    IF(arrears_months=1,3.00,
    IF(arrears_months=2,5.00,
    IF(arrears_months=3,8.00,
    IF(arrears_months=4,10.00,
    IF(arrears_months=5,12.00,15.00)))))))</f>
        <v/>
      </c>
      <c r="M6776">
        <f>LET(
    seasoning_years,DATEDIF('Loan Tape (S&amp;P)'!K6776,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76">
        <f>IF(AND('Loan Tape (S&amp;P)'!U6776="Yes",
        'Loan Tape (S&amp;P)'!T6776&lt;&gt;"Yes",
        DATEDIF('Loan Tape (S&amp;P)'!K6776, TODAY(), "M")&lt;18),
    1.10,
    1.00)</f>
        <v/>
      </c>
      <c r="O6776">
        <f>IF('Loan Tape (S&amp;P)'!T6776="Yes",
    1.35,
    1.00)</f>
        <v/>
      </c>
      <c r="P6776">
        <f>IF('Loan Tape (S&amp;P)'!S6776="Yes",
    1.15,
    1.00)</f>
        <v/>
      </c>
      <c r="Q6776">
        <f>IF('Loan Tape (S&amp;P)'!V6776="Yes",
    1.20,
    1.00)</f>
        <v/>
      </c>
      <c r="T6776">
        <f>LET(
    payment_method,'Loan Tape (S&amp;P)'!P6776,
    occupancy,'Loan Tape (S&amp;P)'!N6776,
    maturity_date,'Loan Tape (S&amp;P)'!L6776,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77">
      <c r="J6777">
        <f>LET(
    lien,'Loan Tape (S&amp;P)'!Q6777,
    IF(lien="First",1.00,
        IF(lien="Second",1.50,
            1.70)))</f>
        <v/>
      </c>
      <c r="K6777">
        <f>LET(
    purpose,'Loan Tape (S&amp;P)'!R6777,
    IF(purpose="Purchase",1.00,
        IF(purpose="Remortgage",1.00,
            1.20)))</f>
        <v/>
      </c>
      <c r="L6777">
        <f>LET(
    arrears_months,'Loan Tape (S&amp;P)'!AN6777,
    IF(arrears_months=0,1.00,
    IF(arrears_months=1,3.00,
    IF(arrears_months=2,5.00,
    IF(arrears_months=3,8.00,
    IF(arrears_months=4,10.00,
    IF(arrears_months=5,12.00,15.00)))))))</f>
        <v/>
      </c>
      <c r="M6777">
        <f>LET(
    seasoning_years,DATEDIF('Loan Tape (S&amp;P)'!K6777,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77">
        <f>IF(AND('Loan Tape (S&amp;P)'!U6777="Yes",
        'Loan Tape (S&amp;P)'!T6777&lt;&gt;"Yes",
        DATEDIF('Loan Tape (S&amp;P)'!K6777, TODAY(), "M")&lt;18),
    1.10,
    1.00)</f>
        <v/>
      </c>
      <c r="O6777">
        <f>IF('Loan Tape (S&amp;P)'!T6777="Yes",
    1.35,
    1.00)</f>
        <v/>
      </c>
      <c r="P6777">
        <f>IF('Loan Tape (S&amp;P)'!S6777="Yes",
    1.15,
    1.00)</f>
        <v/>
      </c>
      <c r="Q6777">
        <f>IF('Loan Tape (S&amp;P)'!V6777="Yes",
    1.20,
    1.00)</f>
        <v/>
      </c>
      <c r="T6777">
        <f>LET(
    payment_method,'Loan Tape (S&amp;P)'!P6777,
    occupancy,'Loan Tape (S&amp;P)'!N6777,
    maturity_date,'Loan Tape (S&amp;P)'!L6777,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78">
      <c r="J6778">
        <f>LET(
    lien,'Loan Tape (S&amp;P)'!Q6778,
    IF(lien="First",1.00,
        IF(lien="Second",1.50,
            1.70)))</f>
        <v/>
      </c>
      <c r="K6778">
        <f>LET(
    purpose,'Loan Tape (S&amp;P)'!R6778,
    IF(purpose="Purchase",1.00,
        IF(purpose="Remortgage",1.00,
            1.20)))</f>
        <v/>
      </c>
      <c r="L6778">
        <f>LET(
    arrears_months,'Loan Tape (S&amp;P)'!AN6778,
    IF(arrears_months=0,1.00,
    IF(arrears_months=1,3.00,
    IF(arrears_months=2,5.00,
    IF(arrears_months=3,8.00,
    IF(arrears_months=4,10.00,
    IF(arrears_months=5,12.00,15.00)))))))</f>
        <v/>
      </c>
      <c r="M6778">
        <f>LET(
    seasoning_years,DATEDIF('Loan Tape (S&amp;P)'!K6778,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78">
        <f>IF(AND('Loan Tape (S&amp;P)'!U6778="Yes",
        'Loan Tape (S&amp;P)'!T6778&lt;&gt;"Yes",
        DATEDIF('Loan Tape (S&amp;P)'!K6778, TODAY(), "M")&lt;18),
    1.10,
    1.00)</f>
        <v/>
      </c>
      <c r="O6778">
        <f>IF('Loan Tape (S&amp;P)'!T6778="Yes",
    1.35,
    1.00)</f>
        <v/>
      </c>
      <c r="P6778">
        <f>IF('Loan Tape (S&amp;P)'!S6778="Yes",
    1.15,
    1.00)</f>
        <v/>
      </c>
      <c r="Q6778">
        <f>IF('Loan Tape (S&amp;P)'!V6778="Yes",
    1.20,
    1.00)</f>
        <v/>
      </c>
      <c r="T6778">
        <f>LET(
    payment_method,'Loan Tape (S&amp;P)'!P6778,
    occupancy,'Loan Tape (S&amp;P)'!N6778,
    maturity_date,'Loan Tape (S&amp;P)'!L6778,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79">
      <c r="J6779">
        <f>LET(
    lien,'Loan Tape (S&amp;P)'!Q6779,
    IF(lien="First",1.00,
        IF(lien="Second",1.50,
            1.70)))</f>
        <v/>
      </c>
      <c r="K6779">
        <f>LET(
    purpose,'Loan Tape (S&amp;P)'!R6779,
    IF(purpose="Purchase",1.00,
        IF(purpose="Remortgage",1.00,
            1.20)))</f>
        <v/>
      </c>
      <c r="L6779">
        <f>LET(
    arrears_months,'Loan Tape (S&amp;P)'!AN6779,
    IF(arrears_months=0,1.00,
    IF(arrears_months=1,3.00,
    IF(arrears_months=2,5.00,
    IF(arrears_months=3,8.00,
    IF(arrears_months=4,10.00,
    IF(arrears_months=5,12.00,15.00)))))))</f>
        <v/>
      </c>
      <c r="M6779">
        <f>LET(
    seasoning_years,DATEDIF('Loan Tape (S&amp;P)'!K6779,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79">
        <f>IF(AND('Loan Tape (S&amp;P)'!U6779="Yes",
        'Loan Tape (S&amp;P)'!T6779&lt;&gt;"Yes",
        DATEDIF('Loan Tape (S&amp;P)'!K6779, TODAY(), "M")&lt;18),
    1.10,
    1.00)</f>
        <v/>
      </c>
      <c r="O6779">
        <f>IF('Loan Tape (S&amp;P)'!T6779="Yes",
    1.35,
    1.00)</f>
        <v/>
      </c>
      <c r="P6779">
        <f>IF('Loan Tape (S&amp;P)'!S6779="Yes",
    1.15,
    1.00)</f>
        <v/>
      </c>
      <c r="Q6779">
        <f>IF('Loan Tape (S&amp;P)'!V6779="Yes",
    1.20,
    1.00)</f>
        <v/>
      </c>
      <c r="T6779">
        <f>LET(
    payment_method,'Loan Tape (S&amp;P)'!P6779,
    occupancy,'Loan Tape (S&amp;P)'!N6779,
    maturity_date,'Loan Tape (S&amp;P)'!L6779,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80">
      <c r="J6780">
        <f>LET(
    lien,'Loan Tape (S&amp;P)'!Q6780,
    IF(lien="First",1.00,
        IF(lien="Second",1.50,
            1.70)))</f>
        <v/>
      </c>
      <c r="K6780">
        <f>LET(
    purpose,'Loan Tape (S&amp;P)'!R6780,
    IF(purpose="Purchase",1.00,
        IF(purpose="Remortgage",1.00,
            1.20)))</f>
        <v/>
      </c>
      <c r="L6780">
        <f>LET(
    arrears_months,'Loan Tape (S&amp;P)'!AN6780,
    IF(arrears_months=0,1.00,
    IF(arrears_months=1,3.00,
    IF(arrears_months=2,5.00,
    IF(arrears_months=3,8.00,
    IF(arrears_months=4,10.00,
    IF(arrears_months=5,12.00,15.00)))))))</f>
        <v/>
      </c>
      <c r="M6780">
        <f>LET(
    seasoning_years,DATEDIF('Loan Tape (S&amp;P)'!K6780,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80">
        <f>IF(AND('Loan Tape (S&amp;P)'!U6780="Yes",
        'Loan Tape (S&amp;P)'!T6780&lt;&gt;"Yes",
        DATEDIF('Loan Tape (S&amp;P)'!K6780, TODAY(), "M")&lt;18),
    1.10,
    1.00)</f>
        <v/>
      </c>
      <c r="O6780">
        <f>IF('Loan Tape (S&amp;P)'!T6780="Yes",
    1.35,
    1.00)</f>
        <v/>
      </c>
      <c r="P6780">
        <f>IF('Loan Tape (S&amp;P)'!S6780="Yes",
    1.15,
    1.00)</f>
        <v/>
      </c>
      <c r="Q6780">
        <f>IF('Loan Tape (S&amp;P)'!V6780="Yes",
    1.20,
    1.00)</f>
        <v/>
      </c>
      <c r="T6780">
        <f>LET(
    payment_method,'Loan Tape (S&amp;P)'!P6780,
    occupancy,'Loan Tape (S&amp;P)'!N6780,
    maturity_date,'Loan Tape (S&amp;P)'!L6780,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81">
      <c r="J6781">
        <f>LET(
    lien,'Loan Tape (S&amp;P)'!Q6781,
    IF(lien="First",1.00,
        IF(lien="Second",1.50,
            1.70)))</f>
        <v/>
      </c>
      <c r="K6781">
        <f>LET(
    purpose,'Loan Tape (S&amp;P)'!R6781,
    IF(purpose="Purchase",1.00,
        IF(purpose="Remortgage",1.00,
            1.20)))</f>
        <v/>
      </c>
      <c r="L6781">
        <f>LET(
    arrears_months,'Loan Tape (S&amp;P)'!AN6781,
    IF(arrears_months=0,1.00,
    IF(arrears_months=1,3.00,
    IF(arrears_months=2,5.00,
    IF(arrears_months=3,8.00,
    IF(arrears_months=4,10.00,
    IF(arrears_months=5,12.00,15.00)))))))</f>
        <v/>
      </c>
      <c r="M6781">
        <f>LET(
    seasoning_years,DATEDIF('Loan Tape (S&amp;P)'!K6781,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81">
        <f>IF(AND('Loan Tape (S&amp;P)'!U6781="Yes",
        'Loan Tape (S&amp;P)'!T6781&lt;&gt;"Yes",
        DATEDIF('Loan Tape (S&amp;P)'!K6781, TODAY(), "M")&lt;18),
    1.10,
    1.00)</f>
        <v/>
      </c>
      <c r="O6781">
        <f>IF('Loan Tape (S&amp;P)'!T6781="Yes",
    1.35,
    1.00)</f>
        <v/>
      </c>
      <c r="P6781">
        <f>IF('Loan Tape (S&amp;P)'!S6781="Yes",
    1.15,
    1.00)</f>
        <v/>
      </c>
      <c r="Q6781">
        <f>IF('Loan Tape (S&amp;P)'!V6781="Yes",
    1.20,
    1.00)</f>
        <v/>
      </c>
      <c r="T6781">
        <f>LET(
    payment_method,'Loan Tape (S&amp;P)'!P6781,
    occupancy,'Loan Tape (S&amp;P)'!N6781,
    maturity_date,'Loan Tape (S&amp;P)'!L6781,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82">
      <c r="J6782">
        <f>LET(
    lien,'Loan Tape (S&amp;P)'!Q6782,
    IF(lien="First",1.00,
        IF(lien="Second",1.50,
            1.70)))</f>
        <v/>
      </c>
      <c r="K6782">
        <f>LET(
    purpose,'Loan Tape (S&amp;P)'!R6782,
    IF(purpose="Purchase",1.00,
        IF(purpose="Remortgage",1.00,
            1.20)))</f>
        <v/>
      </c>
      <c r="L6782">
        <f>LET(
    arrears_months,'Loan Tape (S&amp;P)'!AN6782,
    IF(arrears_months=0,1.00,
    IF(arrears_months=1,3.00,
    IF(arrears_months=2,5.00,
    IF(arrears_months=3,8.00,
    IF(arrears_months=4,10.00,
    IF(arrears_months=5,12.00,15.00)))))))</f>
        <v/>
      </c>
      <c r="M6782">
        <f>LET(
    seasoning_years,DATEDIF('Loan Tape (S&amp;P)'!K6782,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82">
        <f>IF(AND('Loan Tape (S&amp;P)'!U6782="Yes",
        'Loan Tape (S&amp;P)'!T6782&lt;&gt;"Yes",
        DATEDIF('Loan Tape (S&amp;P)'!K6782, TODAY(), "M")&lt;18),
    1.10,
    1.00)</f>
        <v/>
      </c>
      <c r="O6782">
        <f>IF('Loan Tape (S&amp;P)'!T6782="Yes",
    1.35,
    1.00)</f>
        <v/>
      </c>
      <c r="P6782">
        <f>IF('Loan Tape (S&amp;P)'!S6782="Yes",
    1.15,
    1.00)</f>
        <v/>
      </c>
      <c r="Q6782">
        <f>IF('Loan Tape (S&amp;P)'!V6782="Yes",
    1.20,
    1.00)</f>
        <v/>
      </c>
      <c r="T6782">
        <f>LET(
    payment_method,'Loan Tape (S&amp;P)'!P6782,
    occupancy,'Loan Tape (S&amp;P)'!N6782,
    maturity_date,'Loan Tape (S&amp;P)'!L6782,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83">
      <c r="J6783">
        <f>LET(
    lien,'Loan Tape (S&amp;P)'!Q6783,
    IF(lien="First",1.00,
        IF(lien="Second",1.50,
            1.70)))</f>
        <v/>
      </c>
      <c r="K6783">
        <f>LET(
    purpose,'Loan Tape (S&amp;P)'!R6783,
    IF(purpose="Purchase",1.00,
        IF(purpose="Remortgage",1.00,
            1.20)))</f>
        <v/>
      </c>
      <c r="L6783">
        <f>LET(
    arrears_months,'Loan Tape (S&amp;P)'!AN6783,
    IF(arrears_months=0,1.00,
    IF(arrears_months=1,3.00,
    IF(arrears_months=2,5.00,
    IF(arrears_months=3,8.00,
    IF(arrears_months=4,10.00,
    IF(arrears_months=5,12.00,15.00)))))))</f>
        <v/>
      </c>
      <c r="M6783">
        <f>LET(
    seasoning_years,DATEDIF('Loan Tape (S&amp;P)'!K6783,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83">
        <f>IF(AND('Loan Tape (S&amp;P)'!U6783="Yes",
        'Loan Tape (S&amp;P)'!T6783&lt;&gt;"Yes",
        DATEDIF('Loan Tape (S&amp;P)'!K6783, TODAY(), "M")&lt;18),
    1.10,
    1.00)</f>
        <v/>
      </c>
      <c r="O6783">
        <f>IF('Loan Tape (S&amp;P)'!T6783="Yes",
    1.35,
    1.00)</f>
        <v/>
      </c>
      <c r="P6783">
        <f>IF('Loan Tape (S&amp;P)'!S6783="Yes",
    1.15,
    1.00)</f>
        <v/>
      </c>
      <c r="Q6783">
        <f>IF('Loan Tape (S&amp;P)'!V6783="Yes",
    1.20,
    1.00)</f>
        <v/>
      </c>
      <c r="T6783">
        <f>LET(
    payment_method,'Loan Tape (S&amp;P)'!P6783,
    occupancy,'Loan Tape (S&amp;P)'!N6783,
    maturity_date,'Loan Tape (S&amp;P)'!L6783,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84">
      <c r="J6784">
        <f>LET(
    lien,'Loan Tape (S&amp;P)'!Q6784,
    IF(lien="First",1.00,
        IF(lien="Second",1.50,
            1.70)))</f>
        <v/>
      </c>
      <c r="K6784">
        <f>LET(
    purpose,'Loan Tape (S&amp;P)'!R6784,
    IF(purpose="Purchase",1.00,
        IF(purpose="Remortgage",1.00,
            1.20)))</f>
        <v/>
      </c>
      <c r="L6784">
        <f>LET(
    arrears_months,'Loan Tape (S&amp;P)'!AN6784,
    IF(arrears_months=0,1.00,
    IF(arrears_months=1,3.00,
    IF(arrears_months=2,5.00,
    IF(arrears_months=3,8.00,
    IF(arrears_months=4,10.00,
    IF(arrears_months=5,12.00,15.00)))))))</f>
        <v/>
      </c>
      <c r="M6784">
        <f>LET(
    seasoning_years,DATEDIF('Loan Tape (S&amp;P)'!K6784,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84">
        <f>IF(AND('Loan Tape (S&amp;P)'!U6784="Yes",
        'Loan Tape (S&amp;P)'!T6784&lt;&gt;"Yes",
        DATEDIF('Loan Tape (S&amp;P)'!K6784, TODAY(), "M")&lt;18),
    1.10,
    1.00)</f>
        <v/>
      </c>
      <c r="O6784">
        <f>IF('Loan Tape (S&amp;P)'!T6784="Yes",
    1.35,
    1.00)</f>
        <v/>
      </c>
      <c r="P6784">
        <f>IF('Loan Tape (S&amp;P)'!S6784="Yes",
    1.15,
    1.00)</f>
        <v/>
      </c>
      <c r="Q6784">
        <f>IF('Loan Tape (S&amp;P)'!V6784="Yes",
    1.20,
    1.00)</f>
        <v/>
      </c>
      <c r="T6784">
        <f>LET(
    payment_method,'Loan Tape (S&amp;P)'!P6784,
    occupancy,'Loan Tape (S&amp;P)'!N6784,
    maturity_date,'Loan Tape (S&amp;P)'!L6784,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85">
      <c r="J6785">
        <f>LET(
    lien,'Loan Tape (S&amp;P)'!Q6785,
    IF(lien="First",1.00,
        IF(lien="Second",1.50,
            1.70)))</f>
        <v/>
      </c>
      <c r="K6785">
        <f>LET(
    purpose,'Loan Tape (S&amp;P)'!R6785,
    IF(purpose="Purchase",1.00,
        IF(purpose="Remortgage",1.00,
            1.20)))</f>
        <v/>
      </c>
      <c r="L6785">
        <f>LET(
    arrears_months,'Loan Tape (S&amp;P)'!AN6785,
    IF(arrears_months=0,1.00,
    IF(arrears_months=1,3.00,
    IF(arrears_months=2,5.00,
    IF(arrears_months=3,8.00,
    IF(arrears_months=4,10.00,
    IF(arrears_months=5,12.00,15.00)))))))</f>
        <v/>
      </c>
      <c r="M6785">
        <f>LET(
    seasoning_years,DATEDIF('Loan Tape (S&amp;P)'!K6785,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85">
        <f>IF(AND('Loan Tape (S&amp;P)'!U6785="Yes",
        'Loan Tape (S&amp;P)'!T6785&lt;&gt;"Yes",
        DATEDIF('Loan Tape (S&amp;P)'!K6785, TODAY(), "M")&lt;18),
    1.10,
    1.00)</f>
        <v/>
      </c>
      <c r="O6785">
        <f>IF('Loan Tape (S&amp;P)'!T6785="Yes",
    1.35,
    1.00)</f>
        <v/>
      </c>
      <c r="P6785">
        <f>IF('Loan Tape (S&amp;P)'!S6785="Yes",
    1.15,
    1.00)</f>
        <v/>
      </c>
      <c r="Q6785">
        <f>IF('Loan Tape (S&amp;P)'!V6785="Yes",
    1.20,
    1.00)</f>
        <v/>
      </c>
      <c r="T6785">
        <f>LET(
    payment_method,'Loan Tape (S&amp;P)'!P6785,
    occupancy,'Loan Tape (S&amp;P)'!N6785,
    maturity_date,'Loan Tape (S&amp;P)'!L6785,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86">
      <c r="J6786">
        <f>LET(
    lien,'Loan Tape (S&amp;P)'!Q6786,
    IF(lien="First",1.00,
        IF(lien="Second",1.50,
            1.70)))</f>
        <v/>
      </c>
      <c r="K6786">
        <f>LET(
    purpose,'Loan Tape (S&amp;P)'!R6786,
    IF(purpose="Purchase",1.00,
        IF(purpose="Remortgage",1.00,
            1.20)))</f>
        <v/>
      </c>
      <c r="L6786">
        <f>LET(
    arrears_months,'Loan Tape (S&amp;P)'!AN6786,
    IF(arrears_months=0,1.00,
    IF(arrears_months=1,3.00,
    IF(arrears_months=2,5.00,
    IF(arrears_months=3,8.00,
    IF(arrears_months=4,10.00,
    IF(arrears_months=5,12.00,15.00)))))))</f>
        <v/>
      </c>
      <c r="M6786">
        <f>LET(
    seasoning_years,DATEDIF('Loan Tape (S&amp;P)'!K6786,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86">
        <f>IF(AND('Loan Tape (S&amp;P)'!U6786="Yes",
        'Loan Tape (S&amp;P)'!T6786&lt;&gt;"Yes",
        DATEDIF('Loan Tape (S&amp;P)'!K6786, TODAY(), "M")&lt;18),
    1.10,
    1.00)</f>
        <v/>
      </c>
      <c r="O6786">
        <f>IF('Loan Tape (S&amp;P)'!T6786="Yes",
    1.35,
    1.00)</f>
        <v/>
      </c>
      <c r="P6786">
        <f>IF('Loan Tape (S&amp;P)'!S6786="Yes",
    1.15,
    1.00)</f>
        <v/>
      </c>
      <c r="Q6786">
        <f>IF('Loan Tape (S&amp;P)'!V6786="Yes",
    1.20,
    1.00)</f>
        <v/>
      </c>
      <c r="T6786">
        <f>LET(
    payment_method,'Loan Tape (S&amp;P)'!P6786,
    occupancy,'Loan Tape (S&amp;P)'!N6786,
    maturity_date,'Loan Tape (S&amp;P)'!L6786,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87">
      <c r="J6787">
        <f>LET(
    lien,'Loan Tape (S&amp;P)'!Q6787,
    IF(lien="First",1.00,
        IF(lien="Second",1.50,
            1.70)))</f>
        <v/>
      </c>
      <c r="K6787">
        <f>LET(
    purpose,'Loan Tape (S&amp;P)'!R6787,
    IF(purpose="Purchase",1.00,
        IF(purpose="Remortgage",1.00,
            1.20)))</f>
        <v/>
      </c>
      <c r="L6787">
        <f>LET(
    arrears_months,'Loan Tape (S&amp;P)'!AN6787,
    IF(arrears_months=0,1.00,
    IF(arrears_months=1,3.00,
    IF(arrears_months=2,5.00,
    IF(arrears_months=3,8.00,
    IF(arrears_months=4,10.00,
    IF(arrears_months=5,12.00,15.00)))))))</f>
        <v/>
      </c>
      <c r="M6787">
        <f>LET(
    seasoning_years,DATEDIF('Loan Tape (S&amp;P)'!K6787,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87">
        <f>IF(AND('Loan Tape (S&amp;P)'!U6787="Yes",
        'Loan Tape (S&amp;P)'!T6787&lt;&gt;"Yes",
        DATEDIF('Loan Tape (S&amp;P)'!K6787, TODAY(), "M")&lt;18),
    1.10,
    1.00)</f>
        <v/>
      </c>
      <c r="O6787">
        <f>IF('Loan Tape (S&amp;P)'!T6787="Yes",
    1.35,
    1.00)</f>
        <v/>
      </c>
      <c r="P6787">
        <f>IF('Loan Tape (S&amp;P)'!S6787="Yes",
    1.15,
    1.00)</f>
        <v/>
      </c>
      <c r="Q6787">
        <f>IF('Loan Tape (S&amp;P)'!V6787="Yes",
    1.20,
    1.00)</f>
        <v/>
      </c>
      <c r="T6787">
        <f>LET(
    payment_method,'Loan Tape (S&amp;P)'!P6787,
    occupancy,'Loan Tape (S&amp;P)'!N6787,
    maturity_date,'Loan Tape (S&amp;P)'!L6787,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88">
      <c r="J6788">
        <f>LET(
    lien,'Loan Tape (S&amp;P)'!Q6788,
    IF(lien="First",1.00,
        IF(lien="Second",1.50,
            1.70)))</f>
        <v/>
      </c>
      <c r="K6788">
        <f>LET(
    purpose,'Loan Tape (S&amp;P)'!R6788,
    IF(purpose="Purchase",1.00,
        IF(purpose="Remortgage",1.00,
            1.20)))</f>
        <v/>
      </c>
      <c r="L6788">
        <f>LET(
    arrears_months,'Loan Tape (S&amp;P)'!AN6788,
    IF(arrears_months=0,1.00,
    IF(arrears_months=1,3.00,
    IF(arrears_months=2,5.00,
    IF(arrears_months=3,8.00,
    IF(arrears_months=4,10.00,
    IF(arrears_months=5,12.00,15.00)))))))</f>
        <v/>
      </c>
      <c r="M6788">
        <f>LET(
    seasoning_years,DATEDIF('Loan Tape (S&amp;P)'!K6788,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88">
        <f>IF(AND('Loan Tape (S&amp;P)'!U6788="Yes",
        'Loan Tape (S&amp;P)'!T6788&lt;&gt;"Yes",
        DATEDIF('Loan Tape (S&amp;P)'!K6788, TODAY(), "M")&lt;18),
    1.10,
    1.00)</f>
        <v/>
      </c>
      <c r="O6788">
        <f>IF('Loan Tape (S&amp;P)'!T6788="Yes",
    1.35,
    1.00)</f>
        <v/>
      </c>
      <c r="P6788">
        <f>IF('Loan Tape (S&amp;P)'!S6788="Yes",
    1.15,
    1.00)</f>
        <v/>
      </c>
      <c r="Q6788">
        <f>IF('Loan Tape (S&amp;P)'!V6788="Yes",
    1.20,
    1.00)</f>
        <v/>
      </c>
      <c r="T6788">
        <f>LET(
    payment_method,'Loan Tape (S&amp;P)'!P6788,
    occupancy,'Loan Tape (S&amp;P)'!N6788,
    maturity_date,'Loan Tape (S&amp;P)'!L6788,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89">
      <c r="J6789">
        <f>LET(
    lien,'Loan Tape (S&amp;P)'!Q6789,
    IF(lien="First",1.00,
        IF(lien="Second",1.50,
            1.70)))</f>
        <v/>
      </c>
      <c r="K6789">
        <f>LET(
    purpose,'Loan Tape (S&amp;P)'!R6789,
    IF(purpose="Purchase",1.00,
        IF(purpose="Remortgage",1.00,
            1.20)))</f>
        <v/>
      </c>
      <c r="L6789">
        <f>LET(
    arrears_months,'Loan Tape (S&amp;P)'!AN6789,
    IF(arrears_months=0,1.00,
    IF(arrears_months=1,3.00,
    IF(arrears_months=2,5.00,
    IF(arrears_months=3,8.00,
    IF(arrears_months=4,10.00,
    IF(arrears_months=5,12.00,15.00)))))))</f>
        <v/>
      </c>
      <c r="M6789">
        <f>LET(
    seasoning_years,DATEDIF('Loan Tape (S&amp;P)'!K6789,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89">
        <f>IF(AND('Loan Tape (S&amp;P)'!U6789="Yes",
        'Loan Tape (S&amp;P)'!T6789&lt;&gt;"Yes",
        DATEDIF('Loan Tape (S&amp;P)'!K6789, TODAY(), "M")&lt;18),
    1.10,
    1.00)</f>
        <v/>
      </c>
      <c r="O6789">
        <f>IF('Loan Tape (S&amp;P)'!T6789="Yes",
    1.35,
    1.00)</f>
        <v/>
      </c>
      <c r="P6789">
        <f>IF('Loan Tape (S&amp;P)'!S6789="Yes",
    1.15,
    1.00)</f>
        <v/>
      </c>
      <c r="Q6789">
        <f>IF('Loan Tape (S&amp;P)'!V6789="Yes",
    1.20,
    1.00)</f>
        <v/>
      </c>
      <c r="T6789">
        <f>LET(
    payment_method,'Loan Tape (S&amp;P)'!P6789,
    occupancy,'Loan Tape (S&amp;P)'!N6789,
    maturity_date,'Loan Tape (S&amp;P)'!L6789,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90">
      <c r="J6790">
        <f>LET(
    lien,'Loan Tape (S&amp;P)'!Q6790,
    IF(lien="First",1.00,
        IF(lien="Second",1.50,
            1.70)))</f>
        <v/>
      </c>
      <c r="K6790">
        <f>LET(
    purpose,'Loan Tape (S&amp;P)'!R6790,
    IF(purpose="Purchase",1.00,
        IF(purpose="Remortgage",1.00,
            1.20)))</f>
        <v/>
      </c>
      <c r="L6790">
        <f>LET(
    arrears_months,'Loan Tape (S&amp;P)'!AN6790,
    IF(arrears_months=0,1.00,
    IF(arrears_months=1,3.00,
    IF(arrears_months=2,5.00,
    IF(arrears_months=3,8.00,
    IF(arrears_months=4,10.00,
    IF(arrears_months=5,12.00,15.00)))))))</f>
        <v/>
      </c>
      <c r="M6790">
        <f>LET(
    seasoning_years,DATEDIF('Loan Tape (S&amp;P)'!K6790,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90">
        <f>IF(AND('Loan Tape (S&amp;P)'!U6790="Yes",
        'Loan Tape (S&amp;P)'!T6790&lt;&gt;"Yes",
        DATEDIF('Loan Tape (S&amp;P)'!K6790, TODAY(), "M")&lt;18),
    1.10,
    1.00)</f>
        <v/>
      </c>
      <c r="O6790">
        <f>IF('Loan Tape (S&amp;P)'!T6790="Yes",
    1.35,
    1.00)</f>
        <v/>
      </c>
      <c r="P6790">
        <f>IF('Loan Tape (S&amp;P)'!S6790="Yes",
    1.15,
    1.00)</f>
        <v/>
      </c>
      <c r="Q6790">
        <f>IF('Loan Tape (S&amp;P)'!V6790="Yes",
    1.20,
    1.00)</f>
        <v/>
      </c>
      <c r="T6790">
        <f>LET(
    payment_method,'Loan Tape (S&amp;P)'!P6790,
    occupancy,'Loan Tape (S&amp;P)'!N6790,
    maturity_date,'Loan Tape (S&amp;P)'!L6790,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91">
      <c r="J6791">
        <f>LET(
    lien,'Loan Tape (S&amp;P)'!Q6791,
    IF(lien="First",1.00,
        IF(lien="Second",1.50,
            1.70)))</f>
        <v/>
      </c>
      <c r="K6791">
        <f>LET(
    purpose,'Loan Tape (S&amp;P)'!R6791,
    IF(purpose="Purchase",1.00,
        IF(purpose="Remortgage",1.00,
            1.20)))</f>
        <v/>
      </c>
      <c r="L6791">
        <f>LET(
    arrears_months,'Loan Tape (S&amp;P)'!AN6791,
    IF(arrears_months=0,1.00,
    IF(arrears_months=1,3.00,
    IF(arrears_months=2,5.00,
    IF(arrears_months=3,8.00,
    IF(arrears_months=4,10.00,
    IF(arrears_months=5,12.00,15.00)))))))</f>
        <v/>
      </c>
      <c r="M6791">
        <f>LET(
    seasoning_years,DATEDIF('Loan Tape (S&amp;P)'!K6791,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91">
        <f>IF(AND('Loan Tape (S&amp;P)'!U6791="Yes",
        'Loan Tape (S&amp;P)'!T6791&lt;&gt;"Yes",
        DATEDIF('Loan Tape (S&amp;P)'!K6791, TODAY(), "M")&lt;18),
    1.10,
    1.00)</f>
        <v/>
      </c>
      <c r="O6791">
        <f>IF('Loan Tape (S&amp;P)'!T6791="Yes",
    1.35,
    1.00)</f>
        <v/>
      </c>
      <c r="P6791">
        <f>IF('Loan Tape (S&amp;P)'!S6791="Yes",
    1.15,
    1.00)</f>
        <v/>
      </c>
      <c r="Q6791">
        <f>IF('Loan Tape (S&amp;P)'!V6791="Yes",
    1.20,
    1.00)</f>
        <v/>
      </c>
      <c r="T6791">
        <f>LET(
    payment_method,'Loan Tape (S&amp;P)'!P6791,
    occupancy,'Loan Tape (S&amp;P)'!N6791,
    maturity_date,'Loan Tape (S&amp;P)'!L6791,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92">
      <c r="J6792">
        <f>LET(
    lien,'Loan Tape (S&amp;P)'!Q6792,
    IF(lien="First",1.00,
        IF(lien="Second",1.50,
            1.70)))</f>
        <v/>
      </c>
      <c r="K6792">
        <f>LET(
    purpose,'Loan Tape (S&amp;P)'!R6792,
    IF(purpose="Purchase",1.00,
        IF(purpose="Remortgage",1.00,
            1.20)))</f>
        <v/>
      </c>
      <c r="L6792">
        <f>LET(
    arrears_months,'Loan Tape (S&amp;P)'!AN6792,
    IF(arrears_months=0,1.00,
    IF(arrears_months=1,3.00,
    IF(arrears_months=2,5.00,
    IF(arrears_months=3,8.00,
    IF(arrears_months=4,10.00,
    IF(arrears_months=5,12.00,15.00)))))))</f>
        <v/>
      </c>
      <c r="M6792">
        <f>LET(
    seasoning_years,DATEDIF('Loan Tape (S&amp;P)'!K6792,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92">
        <f>IF(AND('Loan Tape (S&amp;P)'!U6792="Yes",
        'Loan Tape (S&amp;P)'!T6792&lt;&gt;"Yes",
        DATEDIF('Loan Tape (S&amp;P)'!K6792, TODAY(), "M")&lt;18),
    1.10,
    1.00)</f>
        <v/>
      </c>
      <c r="O6792">
        <f>IF('Loan Tape (S&amp;P)'!T6792="Yes",
    1.35,
    1.00)</f>
        <v/>
      </c>
      <c r="P6792">
        <f>IF('Loan Tape (S&amp;P)'!S6792="Yes",
    1.15,
    1.00)</f>
        <v/>
      </c>
      <c r="Q6792">
        <f>IF('Loan Tape (S&amp;P)'!V6792="Yes",
    1.20,
    1.00)</f>
        <v/>
      </c>
      <c r="T6792">
        <f>LET(
    payment_method,'Loan Tape (S&amp;P)'!P6792,
    occupancy,'Loan Tape (S&amp;P)'!N6792,
    maturity_date,'Loan Tape (S&amp;P)'!L6792,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93">
      <c r="J6793">
        <f>LET(
    lien,'Loan Tape (S&amp;P)'!Q6793,
    IF(lien="First",1.00,
        IF(lien="Second",1.50,
            1.70)))</f>
        <v/>
      </c>
      <c r="K6793">
        <f>LET(
    purpose,'Loan Tape (S&amp;P)'!R6793,
    IF(purpose="Purchase",1.00,
        IF(purpose="Remortgage",1.00,
            1.20)))</f>
        <v/>
      </c>
      <c r="L6793">
        <f>LET(
    arrears_months,'Loan Tape (S&amp;P)'!AN6793,
    IF(arrears_months=0,1.00,
    IF(arrears_months=1,3.00,
    IF(arrears_months=2,5.00,
    IF(arrears_months=3,8.00,
    IF(arrears_months=4,10.00,
    IF(arrears_months=5,12.00,15.00)))))))</f>
        <v/>
      </c>
      <c r="M6793">
        <f>LET(
    seasoning_years,DATEDIF('Loan Tape (S&amp;P)'!K6793,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93">
        <f>IF(AND('Loan Tape (S&amp;P)'!U6793="Yes",
        'Loan Tape (S&amp;P)'!T6793&lt;&gt;"Yes",
        DATEDIF('Loan Tape (S&amp;P)'!K6793, TODAY(), "M")&lt;18),
    1.10,
    1.00)</f>
        <v/>
      </c>
      <c r="O6793">
        <f>IF('Loan Tape (S&amp;P)'!T6793="Yes",
    1.35,
    1.00)</f>
        <v/>
      </c>
      <c r="P6793">
        <f>IF('Loan Tape (S&amp;P)'!S6793="Yes",
    1.15,
    1.00)</f>
        <v/>
      </c>
      <c r="Q6793">
        <f>IF('Loan Tape (S&amp;P)'!V6793="Yes",
    1.20,
    1.00)</f>
        <v/>
      </c>
      <c r="T6793">
        <f>LET(
    payment_method,'Loan Tape (S&amp;P)'!P6793,
    occupancy,'Loan Tape (S&amp;P)'!N6793,
    maturity_date,'Loan Tape (S&amp;P)'!L6793,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94">
      <c r="J6794">
        <f>LET(
    lien,'Loan Tape (S&amp;P)'!Q6794,
    IF(lien="First",1.00,
        IF(lien="Second",1.50,
            1.70)))</f>
        <v/>
      </c>
      <c r="K6794">
        <f>LET(
    purpose,'Loan Tape (S&amp;P)'!R6794,
    IF(purpose="Purchase",1.00,
        IF(purpose="Remortgage",1.00,
            1.20)))</f>
        <v/>
      </c>
      <c r="L6794">
        <f>LET(
    arrears_months,'Loan Tape (S&amp;P)'!AN6794,
    IF(arrears_months=0,1.00,
    IF(arrears_months=1,3.00,
    IF(arrears_months=2,5.00,
    IF(arrears_months=3,8.00,
    IF(arrears_months=4,10.00,
    IF(arrears_months=5,12.00,15.00)))))))</f>
        <v/>
      </c>
      <c r="M6794">
        <f>LET(
    seasoning_years,DATEDIF('Loan Tape (S&amp;P)'!K6794,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94">
        <f>IF(AND('Loan Tape (S&amp;P)'!U6794="Yes",
        'Loan Tape (S&amp;P)'!T6794&lt;&gt;"Yes",
        DATEDIF('Loan Tape (S&amp;P)'!K6794, TODAY(), "M")&lt;18),
    1.10,
    1.00)</f>
        <v/>
      </c>
      <c r="O6794">
        <f>IF('Loan Tape (S&amp;P)'!T6794="Yes",
    1.35,
    1.00)</f>
        <v/>
      </c>
      <c r="P6794">
        <f>IF('Loan Tape (S&amp;P)'!S6794="Yes",
    1.15,
    1.00)</f>
        <v/>
      </c>
      <c r="Q6794">
        <f>IF('Loan Tape (S&amp;P)'!V6794="Yes",
    1.20,
    1.00)</f>
        <v/>
      </c>
      <c r="T6794">
        <f>LET(
    payment_method,'Loan Tape (S&amp;P)'!P6794,
    occupancy,'Loan Tape (S&amp;P)'!N6794,
    maturity_date,'Loan Tape (S&amp;P)'!L6794,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95">
      <c r="J6795">
        <f>LET(
    lien,'Loan Tape (S&amp;P)'!Q6795,
    IF(lien="First",1.00,
        IF(lien="Second",1.50,
            1.70)))</f>
        <v/>
      </c>
      <c r="K6795">
        <f>LET(
    purpose,'Loan Tape (S&amp;P)'!R6795,
    IF(purpose="Purchase",1.00,
        IF(purpose="Remortgage",1.00,
            1.20)))</f>
        <v/>
      </c>
      <c r="L6795">
        <f>LET(
    arrears_months,'Loan Tape (S&amp;P)'!AN6795,
    IF(arrears_months=0,1.00,
    IF(arrears_months=1,3.00,
    IF(arrears_months=2,5.00,
    IF(arrears_months=3,8.00,
    IF(arrears_months=4,10.00,
    IF(arrears_months=5,12.00,15.00)))))))</f>
        <v/>
      </c>
      <c r="M6795">
        <f>LET(
    seasoning_years,DATEDIF('Loan Tape (S&amp;P)'!K6795,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95">
        <f>IF(AND('Loan Tape (S&amp;P)'!U6795="Yes",
        'Loan Tape (S&amp;P)'!T6795&lt;&gt;"Yes",
        DATEDIF('Loan Tape (S&amp;P)'!K6795, TODAY(), "M")&lt;18),
    1.10,
    1.00)</f>
        <v/>
      </c>
      <c r="O6795">
        <f>IF('Loan Tape (S&amp;P)'!T6795="Yes",
    1.35,
    1.00)</f>
        <v/>
      </c>
      <c r="P6795">
        <f>IF('Loan Tape (S&amp;P)'!S6795="Yes",
    1.15,
    1.00)</f>
        <v/>
      </c>
      <c r="Q6795">
        <f>IF('Loan Tape (S&amp;P)'!V6795="Yes",
    1.20,
    1.00)</f>
        <v/>
      </c>
      <c r="T6795">
        <f>LET(
    payment_method,'Loan Tape (S&amp;P)'!P6795,
    occupancy,'Loan Tape (S&amp;P)'!N6795,
    maturity_date,'Loan Tape (S&amp;P)'!L6795,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96">
      <c r="J6796">
        <f>LET(
    lien,'Loan Tape (S&amp;P)'!Q6796,
    IF(lien="First",1.00,
        IF(lien="Second",1.50,
            1.70)))</f>
        <v/>
      </c>
      <c r="K6796">
        <f>LET(
    purpose,'Loan Tape (S&amp;P)'!R6796,
    IF(purpose="Purchase",1.00,
        IF(purpose="Remortgage",1.00,
            1.20)))</f>
        <v/>
      </c>
      <c r="L6796">
        <f>LET(
    arrears_months,'Loan Tape (S&amp;P)'!AN6796,
    IF(arrears_months=0,1.00,
    IF(arrears_months=1,3.00,
    IF(arrears_months=2,5.00,
    IF(arrears_months=3,8.00,
    IF(arrears_months=4,10.00,
    IF(arrears_months=5,12.00,15.00)))))))</f>
        <v/>
      </c>
      <c r="M6796">
        <f>LET(
    seasoning_years,DATEDIF('Loan Tape (S&amp;P)'!K6796,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96">
        <f>IF(AND('Loan Tape (S&amp;P)'!U6796="Yes",
        'Loan Tape (S&amp;P)'!T6796&lt;&gt;"Yes",
        DATEDIF('Loan Tape (S&amp;P)'!K6796, TODAY(), "M")&lt;18),
    1.10,
    1.00)</f>
        <v/>
      </c>
      <c r="O6796">
        <f>IF('Loan Tape (S&amp;P)'!T6796="Yes",
    1.35,
    1.00)</f>
        <v/>
      </c>
      <c r="P6796">
        <f>IF('Loan Tape (S&amp;P)'!S6796="Yes",
    1.15,
    1.00)</f>
        <v/>
      </c>
      <c r="Q6796">
        <f>IF('Loan Tape (S&amp;P)'!V6796="Yes",
    1.20,
    1.00)</f>
        <v/>
      </c>
      <c r="T6796">
        <f>LET(
    payment_method,'Loan Tape (S&amp;P)'!P6796,
    occupancy,'Loan Tape (S&amp;P)'!N6796,
    maturity_date,'Loan Tape (S&amp;P)'!L6796,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97">
      <c r="J6797">
        <f>LET(
    lien,'Loan Tape (S&amp;P)'!Q6797,
    IF(lien="First",1.00,
        IF(lien="Second",1.50,
            1.70)))</f>
        <v/>
      </c>
      <c r="K6797">
        <f>LET(
    purpose,'Loan Tape (S&amp;P)'!R6797,
    IF(purpose="Purchase",1.00,
        IF(purpose="Remortgage",1.00,
            1.20)))</f>
        <v/>
      </c>
      <c r="L6797">
        <f>LET(
    arrears_months,'Loan Tape (S&amp;P)'!AN6797,
    IF(arrears_months=0,1.00,
    IF(arrears_months=1,3.00,
    IF(arrears_months=2,5.00,
    IF(arrears_months=3,8.00,
    IF(arrears_months=4,10.00,
    IF(arrears_months=5,12.00,15.00)))))))</f>
        <v/>
      </c>
      <c r="M6797">
        <f>LET(
    seasoning_years,DATEDIF('Loan Tape (S&amp;P)'!K6797,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97">
        <f>IF(AND('Loan Tape (S&amp;P)'!U6797="Yes",
        'Loan Tape (S&amp;P)'!T6797&lt;&gt;"Yes",
        DATEDIF('Loan Tape (S&amp;P)'!K6797, TODAY(), "M")&lt;18),
    1.10,
    1.00)</f>
        <v/>
      </c>
      <c r="O6797">
        <f>IF('Loan Tape (S&amp;P)'!T6797="Yes",
    1.35,
    1.00)</f>
        <v/>
      </c>
      <c r="P6797">
        <f>IF('Loan Tape (S&amp;P)'!S6797="Yes",
    1.15,
    1.00)</f>
        <v/>
      </c>
      <c r="Q6797">
        <f>IF('Loan Tape (S&amp;P)'!V6797="Yes",
    1.20,
    1.00)</f>
        <v/>
      </c>
      <c r="T6797">
        <f>LET(
    payment_method,'Loan Tape (S&amp;P)'!P6797,
    occupancy,'Loan Tape (S&amp;P)'!N6797,
    maturity_date,'Loan Tape (S&amp;P)'!L6797,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98">
      <c r="J6798">
        <f>LET(
    lien,'Loan Tape (S&amp;P)'!Q6798,
    IF(lien="First",1.00,
        IF(lien="Second",1.50,
            1.70)))</f>
        <v/>
      </c>
      <c r="K6798">
        <f>LET(
    purpose,'Loan Tape (S&amp;P)'!R6798,
    IF(purpose="Purchase",1.00,
        IF(purpose="Remortgage",1.00,
            1.20)))</f>
        <v/>
      </c>
      <c r="L6798">
        <f>LET(
    arrears_months,'Loan Tape (S&amp;P)'!AN6798,
    IF(arrears_months=0,1.00,
    IF(arrears_months=1,3.00,
    IF(arrears_months=2,5.00,
    IF(arrears_months=3,8.00,
    IF(arrears_months=4,10.00,
    IF(arrears_months=5,12.00,15.00)))))))</f>
        <v/>
      </c>
      <c r="M6798">
        <f>LET(
    seasoning_years,DATEDIF('Loan Tape (S&amp;P)'!K6798,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98">
        <f>IF(AND('Loan Tape (S&amp;P)'!U6798="Yes",
        'Loan Tape (S&amp;P)'!T6798&lt;&gt;"Yes",
        DATEDIF('Loan Tape (S&amp;P)'!K6798, TODAY(), "M")&lt;18),
    1.10,
    1.00)</f>
        <v/>
      </c>
      <c r="O6798">
        <f>IF('Loan Tape (S&amp;P)'!T6798="Yes",
    1.35,
    1.00)</f>
        <v/>
      </c>
      <c r="P6798">
        <f>IF('Loan Tape (S&amp;P)'!S6798="Yes",
    1.15,
    1.00)</f>
        <v/>
      </c>
      <c r="Q6798">
        <f>IF('Loan Tape (S&amp;P)'!V6798="Yes",
    1.20,
    1.00)</f>
        <v/>
      </c>
      <c r="T6798">
        <f>LET(
    payment_method,'Loan Tape (S&amp;P)'!P6798,
    occupancy,'Loan Tape (S&amp;P)'!N6798,
    maturity_date,'Loan Tape (S&amp;P)'!L6798,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799">
      <c r="J6799">
        <f>LET(
    lien,'Loan Tape (S&amp;P)'!Q6799,
    IF(lien="First",1.00,
        IF(lien="Second",1.50,
            1.70)))</f>
        <v/>
      </c>
      <c r="K6799">
        <f>LET(
    purpose,'Loan Tape (S&amp;P)'!R6799,
    IF(purpose="Purchase",1.00,
        IF(purpose="Remortgage",1.00,
            1.20)))</f>
        <v/>
      </c>
      <c r="L6799">
        <f>LET(
    arrears_months,'Loan Tape (S&amp;P)'!AN6799,
    IF(arrears_months=0,1.00,
    IF(arrears_months=1,3.00,
    IF(arrears_months=2,5.00,
    IF(arrears_months=3,8.00,
    IF(arrears_months=4,10.00,
    IF(arrears_months=5,12.00,15.00)))))))</f>
        <v/>
      </c>
      <c r="M6799">
        <f>LET(
    seasoning_years,DATEDIF('Loan Tape (S&amp;P)'!K6799,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799">
        <f>IF(AND('Loan Tape (S&amp;P)'!U6799="Yes",
        'Loan Tape (S&amp;P)'!T6799&lt;&gt;"Yes",
        DATEDIF('Loan Tape (S&amp;P)'!K6799, TODAY(), "M")&lt;18),
    1.10,
    1.00)</f>
        <v/>
      </c>
      <c r="O6799">
        <f>IF('Loan Tape (S&amp;P)'!T6799="Yes",
    1.35,
    1.00)</f>
        <v/>
      </c>
      <c r="P6799">
        <f>IF('Loan Tape (S&amp;P)'!S6799="Yes",
    1.15,
    1.00)</f>
        <v/>
      </c>
      <c r="Q6799">
        <f>IF('Loan Tape (S&amp;P)'!V6799="Yes",
    1.20,
    1.00)</f>
        <v/>
      </c>
      <c r="T6799">
        <f>LET(
    payment_method,'Loan Tape (S&amp;P)'!P6799,
    occupancy,'Loan Tape (S&amp;P)'!N6799,
    maturity_date,'Loan Tape (S&amp;P)'!L6799,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00">
      <c r="J6800">
        <f>LET(
    lien,'Loan Tape (S&amp;P)'!Q6800,
    IF(lien="First",1.00,
        IF(lien="Second",1.50,
            1.70)))</f>
        <v/>
      </c>
      <c r="K6800">
        <f>LET(
    purpose,'Loan Tape (S&amp;P)'!R6800,
    IF(purpose="Purchase",1.00,
        IF(purpose="Remortgage",1.00,
            1.20)))</f>
        <v/>
      </c>
      <c r="L6800">
        <f>LET(
    arrears_months,'Loan Tape (S&amp;P)'!AN6800,
    IF(arrears_months=0,1.00,
    IF(arrears_months=1,3.00,
    IF(arrears_months=2,5.00,
    IF(arrears_months=3,8.00,
    IF(arrears_months=4,10.00,
    IF(arrears_months=5,12.00,15.00)))))))</f>
        <v/>
      </c>
      <c r="M6800">
        <f>LET(
    seasoning_years,DATEDIF('Loan Tape (S&amp;P)'!K6800,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00">
        <f>IF(AND('Loan Tape (S&amp;P)'!U6800="Yes",
        'Loan Tape (S&amp;P)'!T6800&lt;&gt;"Yes",
        DATEDIF('Loan Tape (S&amp;P)'!K6800, TODAY(), "M")&lt;18),
    1.10,
    1.00)</f>
        <v/>
      </c>
      <c r="O6800">
        <f>IF('Loan Tape (S&amp;P)'!T6800="Yes",
    1.35,
    1.00)</f>
        <v/>
      </c>
      <c r="P6800">
        <f>IF('Loan Tape (S&amp;P)'!S6800="Yes",
    1.15,
    1.00)</f>
        <v/>
      </c>
      <c r="Q6800">
        <f>IF('Loan Tape (S&amp;P)'!V6800="Yes",
    1.20,
    1.00)</f>
        <v/>
      </c>
      <c r="T6800">
        <f>LET(
    payment_method,'Loan Tape (S&amp;P)'!P6800,
    occupancy,'Loan Tape (S&amp;P)'!N6800,
    maturity_date,'Loan Tape (S&amp;P)'!L6800,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01">
      <c r="J6801">
        <f>LET(
    lien,'Loan Tape (S&amp;P)'!Q6801,
    IF(lien="First",1.00,
        IF(lien="Second",1.50,
            1.70)))</f>
        <v/>
      </c>
      <c r="K6801">
        <f>LET(
    purpose,'Loan Tape (S&amp;P)'!R6801,
    IF(purpose="Purchase",1.00,
        IF(purpose="Remortgage",1.00,
            1.20)))</f>
        <v/>
      </c>
      <c r="L6801">
        <f>LET(
    arrears_months,'Loan Tape (S&amp;P)'!AN6801,
    IF(arrears_months=0,1.00,
    IF(arrears_months=1,3.00,
    IF(arrears_months=2,5.00,
    IF(arrears_months=3,8.00,
    IF(arrears_months=4,10.00,
    IF(arrears_months=5,12.00,15.00)))))))</f>
        <v/>
      </c>
      <c r="M6801">
        <f>LET(
    seasoning_years,DATEDIF('Loan Tape (S&amp;P)'!K6801,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01">
        <f>IF(AND('Loan Tape (S&amp;P)'!U6801="Yes",
        'Loan Tape (S&amp;P)'!T6801&lt;&gt;"Yes",
        DATEDIF('Loan Tape (S&amp;P)'!K6801, TODAY(), "M")&lt;18),
    1.10,
    1.00)</f>
        <v/>
      </c>
      <c r="O6801">
        <f>IF('Loan Tape (S&amp;P)'!T6801="Yes",
    1.35,
    1.00)</f>
        <v/>
      </c>
      <c r="P6801">
        <f>IF('Loan Tape (S&amp;P)'!S6801="Yes",
    1.15,
    1.00)</f>
        <v/>
      </c>
      <c r="Q6801">
        <f>IF('Loan Tape (S&amp;P)'!V6801="Yes",
    1.20,
    1.00)</f>
        <v/>
      </c>
      <c r="T6801">
        <f>LET(
    payment_method,'Loan Tape (S&amp;P)'!P6801,
    occupancy,'Loan Tape (S&amp;P)'!N6801,
    maturity_date,'Loan Tape (S&amp;P)'!L6801,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02">
      <c r="J6802">
        <f>LET(
    lien,'Loan Tape (S&amp;P)'!Q6802,
    IF(lien="First",1.00,
        IF(lien="Second",1.50,
            1.70)))</f>
        <v/>
      </c>
      <c r="K6802">
        <f>LET(
    purpose,'Loan Tape (S&amp;P)'!R6802,
    IF(purpose="Purchase",1.00,
        IF(purpose="Remortgage",1.00,
            1.20)))</f>
        <v/>
      </c>
      <c r="L6802">
        <f>LET(
    arrears_months,'Loan Tape (S&amp;P)'!AN6802,
    IF(arrears_months=0,1.00,
    IF(arrears_months=1,3.00,
    IF(arrears_months=2,5.00,
    IF(arrears_months=3,8.00,
    IF(arrears_months=4,10.00,
    IF(arrears_months=5,12.00,15.00)))))))</f>
        <v/>
      </c>
      <c r="M6802">
        <f>LET(
    seasoning_years,DATEDIF('Loan Tape (S&amp;P)'!K6802,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02">
        <f>IF(AND('Loan Tape (S&amp;P)'!U6802="Yes",
        'Loan Tape (S&amp;P)'!T6802&lt;&gt;"Yes",
        DATEDIF('Loan Tape (S&amp;P)'!K6802, TODAY(), "M")&lt;18),
    1.10,
    1.00)</f>
        <v/>
      </c>
      <c r="O6802">
        <f>IF('Loan Tape (S&amp;P)'!T6802="Yes",
    1.35,
    1.00)</f>
        <v/>
      </c>
      <c r="P6802">
        <f>IF('Loan Tape (S&amp;P)'!S6802="Yes",
    1.15,
    1.00)</f>
        <v/>
      </c>
      <c r="Q6802">
        <f>IF('Loan Tape (S&amp;P)'!V6802="Yes",
    1.20,
    1.00)</f>
        <v/>
      </c>
      <c r="T6802">
        <f>LET(
    payment_method,'Loan Tape (S&amp;P)'!P6802,
    occupancy,'Loan Tape (S&amp;P)'!N6802,
    maturity_date,'Loan Tape (S&amp;P)'!L6802,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03">
      <c r="J6803">
        <f>LET(
    lien,'Loan Tape (S&amp;P)'!Q6803,
    IF(lien="First",1.00,
        IF(lien="Second",1.50,
            1.70)))</f>
        <v/>
      </c>
      <c r="K6803">
        <f>LET(
    purpose,'Loan Tape (S&amp;P)'!R6803,
    IF(purpose="Purchase",1.00,
        IF(purpose="Remortgage",1.00,
            1.20)))</f>
        <v/>
      </c>
      <c r="L6803">
        <f>LET(
    arrears_months,'Loan Tape (S&amp;P)'!AN6803,
    IF(arrears_months=0,1.00,
    IF(arrears_months=1,3.00,
    IF(arrears_months=2,5.00,
    IF(arrears_months=3,8.00,
    IF(arrears_months=4,10.00,
    IF(arrears_months=5,12.00,15.00)))))))</f>
        <v/>
      </c>
      <c r="M6803">
        <f>LET(
    seasoning_years,DATEDIF('Loan Tape (S&amp;P)'!K6803,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03">
        <f>IF(AND('Loan Tape (S&amp;P)'!U6803="Yes",
        'Loan Tape (S&amp;P)'!T6803&lt;&gt;"Yes",
        DATEDIF('Loan Tape (S&amp;P)'!K6803, TODAY(), "M")&lt;18),
    1.10,
    1.00)</f>
        <v/>
      </c>
      <c r="O6803">
        <f>IF('Loan Tape (S&amp;P)'!T6803="Yes",
    1.35,
    1.00)</f>
        <v/>
      </c>
      <c r="P6803">
        <f>IF('Loan Tape (S&amp;P)'!S6803="Yes",
    1.15,
    1.00)</f>
        <v/>
      </c>
      <c r="Q6803">
        <f>IF('Loan Tape (S&amp;P)'!V6803="Yes",
    1.20,
    1.00)</f>
        <v/>
      </c>
      <c r="T6803">
        <f>LET(
    payment_method,'Loan Tape (S&amp;P)'!P6803,
    occupancy,'Loan Tape (S&amp;P)'!N6803,
    maturity_date,'Loan Tape (S&amp;P)'!L6803,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04">
      <c r="J6804">
        <f>LET(
    lien,'Loan Tape (S&amp;P)'!Q6804,
    IF(lien="First",1.00,
        IF(lien="Second",1.50,
            1.70)))</f>
        <v/>
      </c>
      <c r="K6804">
        <f>LET(
    purpose,'Loan Tape (S&amp;P)'!R6804,
    IF(purpose="Purchase",1.00,
        IF(purpose="Remortgage",1.00,
            1.20)))</f>
        <v/>
      </c>
      <c r="L6804">
        <f>LET(
    arrears_months,'Loan Tape (S&amp;P)'!AN6804,
    IF(arrears_months=0,1.00,
    IF(arrears_months=1,3.00,
    IF(arrears_months=2,5.00,
    IF(arrears_months=3,8.00,
    IF(arrears_months=4,10.00,
    IF(arrears_months=5,12.00,15.00)))))))</f>
        <v/>
      </c>
      <c r="M6804">
        <f>LET(
    seasoning_years,DATEDIF('Loan Tape (S&amp;P)'!K6804,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04">
        <f>IF(AND('Loan Tape (S&amp;P)'!U6804="Yes",
        'Loan Tape (S&amp;P)'!T6804&lt;&gt;"Yes",
        DATEDIF('Loan Tape (S&amp;P)'!K6804, TODAY(), "M")&lt;18),
    1.10,
    1.00)</f>
        <v/>
      </c>
      <c r="O6804">
        <f>IF('Loan Tape (S&amp;P)'!T6804="Yes",
    1.35,
    1.00)</f>
        <v/>
      </c>
      <c r="P6804">
        <f>IF('Loan Tape (S&amp;P)'!S6804="Yes",
    1.15,
    1.00)</f>
        <v/>
      </c>
      <c r="Q6804">
        <f>IF('Loan Tape (S&amp;P)'!V6804="Yes",
    1.20,
    1.00)</f>
        <v/>
      </c>
      <c r="T6804">
        <f>LET(
    payment_method,'Loan Tape (S&amp;P)'!P6804,
    occupancy,'Loan Tape (S&amp;P)'!N6804,
    maturity_date,'Loan Tape (S&amp;P)'!L6804,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05">
      <c r="J6805">
        <f>LET(
    lien,'Loan Tape (S&amp;P)'!Q6805,
    IF(lien="First",1.00,
        IF(lien="Second",1.50,
            1.70)))</f>
        <v/>
      </c>
      <c r="K6805">
        <f>LET(
    purpose,'Loan Tape (S&amp;P)'!R6805,
    IF(purpose="Purchase",1.00,
        IF(purpose="Remortgage",1.00,
            1.20)))</f>
        <v/>
      </c>
      <c r="L6805">
        <f>LET(
    arrears_months,'Loan Tape (S&amp;P)'!AN6805,
    IF(arrears_months=0,1.00,
    IF(arrears_months=1,3.00,
    IF(arrears_months=2,5.00,
    IF(arrears_months=3,8.00,
    IF(arrears_months=4,10.00,
    IF(arrears_months=5,12.00,15.00)))))))</f>
        <v/>
      </c>
      <c r="M6805">
        <f>LET(
    seasoning_years,DATEDIF('Loan Tape (S&amp;P)'!K6805,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05">
        <f>IF(AND('Loan Tape (S&amp;P)'!U6805="Yes",
        'Loan Tape (S&amp;P)'!T6805&lt;&gt;"Yes",
        DATEDIF('Loan Tape (S&amp;P)'!K6805, TODAY(), "M")&lt;18),
    1.10,
    1.00)</f>
        <v/>
      </c>
      <c r="O6805">
        <f>IF('Loan Tape (S&amp;P)'!T6805="Yes",
    1.35,
    1.00)</f>
        <v/>
      </c>
      <c r="P6805">
        <f>IF('Loan Tape (S&amp;P)'!S6805="Yes",
    1.15,
    1.00)</f>
        <v/>
      </c>
      <c r="Q6805">
        <f>IF('Loan Tape (S&amp;P)'!V6805="Yes",
    1.20,
    1.00)</f>
        <v/>
      </c>
      <c r="T6805">
        <f>LET(
    payment_method,'Loan Tape (S&amp;P)'!P6805,
    occupancy,'Loan Tape (S&amp;P)'!N6805,
    maturity_date,'Loan Tape (S&amp;P)'!L6805,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06">
      <c r="J6806">
        <f>LET(
    lien,'Loan Tape (S&amp;P)'!Q6806,
    IF(lien="First",1.00,
        IF(lien="Second",1.50,
            1.70)))</f>
        <v/>
      </c>
      <c r="K6806">
        <f>LET(
    purpose,'Loan Tape (S&amp;P)'!R6806,
    IF(purpose="Purchase",1.00,
        IF(purpose="Remortgage",1.00,
            1.20)))</f>
        <v/>
      </c>
      <c r="L6806">
        <f>LET(
    arrears_months,'Loan Tape (S&amp;P)'!AN6806,
    IF(arrears_months=0,1.00,
    IF(arrears_months=1,3.00,
    IF(arrears_months=2,5.00,
    IF(arrears_months=3,8.00,
    IF(arrears_months=4,10.00,
    IF(arrears_months=5,12.00,15.00)))))))</f>
        <v/>
      </c>
      <c r="M6806">
        <f>LET(
    seasoning_years,DATEDIF('Loan Tape (S&amp;P)'!K6806,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06">
        <f>IF(AND('Loan Tape (S&amp;P)'!U6806="Yes",
        'Loan Tape (S&amp;P)'!T6806&lt;&gt;"Yes",
        DATEDIF('Loan Tape (S&amp;P)'!K6806, TODAY(), "M")&lt;18),
    1.10,
    1.00)</f>
        <v/>
      </c>
      <c r="O6806">
        <f>IF('Loan Tape (S&amp;P)'!T6806="Yes",
    1.35,
    1.00)</f>
        <v/>
      </c>
      <c r="P6806">
        <f>IF('Loan Tape (S&amp;P)'!S6806="Yes",
    1.15,
    1.00)</f>
        <v/>
      </c>
      <c r="Q6806">
        <f>IF('Loan Tape (S&amp;P)'!V6806="Yes",
    1.20,
    1.00)</f>
        <v/>
      </c>
      <c r="T6806">
        <f>LET(
    payment_method,'Loan Tape (S&amp;P)'!P6806,
    occupancy,'Loan Tape (S&amp;P)'!N6806,
    maturity_date,'Loan Tape (S&amp;P)'!L6806,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07">
      <c r="J6807">
        <f>LET(
    lien,'Loan Tape (S&amp;P)'!Q6807,
    IF(lien="First",1.00,
        IF(lien="Second",1.50,
            1.70)))</f>
        <v/>
      </c>
      <c r="K6807">
        <f>LET(
    purpose,'Loan Tape (S&amp;P)'!R6807,
    IF(purpose="Purchase",1.00,
        IF(purpose="Remortgage",1.00,
            1.20)))</f>
        <v/>
      </c>
      <c r="L6807">
        <f>LET(
    arrears_months,'Loan Tape (S&amp;P)'!AN6807,
    IF(arrears_months=0,1.00,
    IF(arrears_months=1,3.00,
    IF(arrears_months=2,5.00,
    IF(arrears_months=3,8.00,
    IF(arrears_months=4,10.00,
    IF(arrears_months=5,12.00,15.00)))))))</f>
        <v/>
      </c>
      <c r="M6807">
        <f>LET(
    seasoning_years,DATEDIF('Loan Tape (S&amp;P)'!K6807,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07">
        <f>IF(AND('Loan Tape (S&amp;P)'!U6807="Yes",
        'Loan Tape (S&amp;P)'!T6807&lt;&gt;"Yes",
        DATEDIF('Loan Tape (S&amp;P)'!K6807, TODAY(), "M")&lt;18),
    1.10,
    1.00)</f>
        <v/>
      </c>
      <c r="O6807">
        <f>IF('Loan Tape (S&amp;P)'!T6807="Yes",
    1.35,
    1.00)</f>
        <v/>
      </c>
      <c r="P6807">
        <f>IF('Loan Tape (S&amp;P)'!S6807="Yes",
    1.15,
    1.00)</f>
        <v/>
      </c>
      <c r="Q6807">
        <f>IF('Loan Tape (S&amp;P)'!V6807="Yes",
    1.20,
    1.00)</f>
        <v/>
      </c>
      <c r="T6807">
        <f>LET(
    payment_method,'Loan Tape (S&amp;P)'!P6807,
    occupancy,'Loan Tape (S&amp;P)'!N6807,
    maturity_date,'Loan Tape (S&amp;P)'!L6807,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08">
      <c r="J6808">
        <f>LET(
    lien,'Loan Tape (S&amp;P)'!Q6808,
    IF(lien="First",1.00,
        IF(lien="Second",1.50,
            1.70)))</f>
        <v/>
      </c>
      <c r="K6808">
        <f>LET(
    purpose,'Loan Tape (S&amp;P)'!R6808,
    IF(purpose="Purchase",1.00,
        IF(purpose="Remortgage",1.00,
            1.20)))</f>
        <v/>
      </c>
      <c r="L6808">
        <f>LET(
    arrears_months,'Loan Tape (S&amp;P)'!AN6808,
    IF(arrears_months=0,1.00,
    IF(arrears_months=1,3.00,
    IF(arrears_months=2,5.00,
    IF(arrears_months=3,8.00,
    IF(arrears_months=4,10.00,
    IF(arrears_months=5,12.00,15.00)))))))</f>
        <v/>
      </c>
      <c r="M6808">
        <f>LET(
    seasoning_years,DATEDIF('Loan Tape (S&amp;P)'!K6808,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08">
        <f>IF(AND('Loan Tape (S&amp;P)'!U6808="Yes",
        'Loan Tape (S&amp;P)'!T6808&lt;&gt;"Yes",
        DATEDIF('Loan Tape (S&amp;P)'!K6808, TODAY(), "M")&lt;18),
    1.10,
    1.00)</f>
        <v/>
      </c>
      <c r="O6808">
        <f>IF('Loan Tape (S&amp;P)'!T6808="Yes",
    1.35,
    1.00)</f>
        <v/>
      </c>
      <c r="P6808">
        <f>IF('Loan Tape (S&amp;P)'!S6808="Yes",
    1.15,
    1.00)</f>
        <v/>
      </c>
      <c r="Q6808">
        <f>IF('Loan Tape (S&amp;P)'!V6808="Yes",
    1.20,
    1.00)</f>
        <v/>
      </c>
      <c r="T6808">
        <f>LET(
    payment_method,'Loan Tape (S&amp;P)'!P6808,
    occupancy,'Loan Tape (S&amp;P)'!N6808,
    maturity_date,'Loan Tape (S&amp;P)'!L6808,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09">
      <c r="J6809">
        <f>LET(
    lien,'Loan Tape (S&amp;P)'!Q6809,
    IF(lien="First",1.00,
        IF(lien="Second",1.50,
            1.70)))</f>
        <v/>
      </c>
      <c r="K6809">
        <f>LET(
    purpose,'Loan Tape (S&amp;P)'!R6809,
    IF(purpose="Purchase",1.00,
        IF(purpose="Remortgage",1.00,
            1.20)))</f>
        <v/>
      </c>
      <c r="L6809">
        <f>LET(
    arrears_months,'Loan Tape (S&amp;P)'!AN6809,
    IF(arrears_months=0,1.00,
    IF(arrears_months=1,3.00,
    IF(arrears_months=2,5.00,
    IF(arrears_months=3,8.00,
    IF(arrears_months=4,10.00,
    IF(arrears_months=5,12.00,15.00)))))))</f>
        <v/>
      </c>
      <c r="M6809">
        <f>LET(
    seasoning_years,DATEDIF('Loan Tape (S&amp;P)'!K6809,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09">
        <f>IF(AND('Loan Tape (S&amp;P)'!U6809="Yes",
        'Loan Tape (S&amp;P)'!T6809&lt;&gt;"Yes",
        DATEDIF('Loan Tape (S&amp;P)'!K6809, TODAY(), "M")&lt;18),
    1.10,
    1.00)</f>
        <v/>
      </c>
      <c r="O6809">
        <f>IF('Loan Tape (S&amp;P)'!T6809="Yes",
    1.35,
    1.00)</f>
        <v/>
      </c>
      <c r="P6809">
        <f>IF('Loan Tape (S&amp;P)'!S6809="Yes",
    1.15,
    1.00)</f>
        <v/>
      </c>
      <c r="Q6809">
        <f>IF('Loan Tape (S&amp;P)'!V6809="Yes",
    1.20,
    1.00)</f>
        <v/>
      </c>
      <c r="T6809">
        <f>LET(
    payment_method,'Loan Tape (S&amp;P)'!P6809,
    occupancy,'Loan Tape (S&amp;P)'!N6809,
    maturity_date,'Loan Tape (S&amp;P)'!L6809,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10">
      <c r="J6810">
        <f>LET(
    lien,'Loan Tape (S&amp;P)'!Q6810,
    IF(lien="First",1.00,
        IF(lien="Second",1.50,
            1.70)))</f>
        <v/>
      </c>
      <c r="K6810">
        <f>LET(
    purpose,'Loan Tape (S&amp;P)'!R6810,
    IF(purpose="Purchase",1.00,
        IF(purpose="Remortgage",1.00,
            1.20)))</f>
        <v/>
      </c>
      <c r="L6810">
        <f>LET(
    arrears_months,'Loan Tape (S&amp;P)'!AN6810,
    IF(arrears_months=0,1.00,
    IF(arrears_months=1,3.00,
    IF(arrears_months=2,5.00,
    IF(arrears_months=3,8.00,
    IF(arrears_months=4,10.00,
    IF(arrears_months=5,12.00,15.00)))))))</f>
        <v/>
      </c>
      <c r="M6810">
        <f>LET(
    seasoning_years,DATEDIF('Loan Tape (S&amp;P)'!K6810,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10">
        <f>IF(AND('Loan Tape (S&amp;P)'!U6810="Yes",
        'Loan Tape (S&amp;P)'!T6810&lt;&gt;"Yes",
        DATEDIF('Loan Tape (S&amp;P)'!K6810, TODAY(), "M")&lt;18),
    1.10,
    1.00)</f>
        <v/>
      </c>
      <c r="O6810">
        <f>IF('Loan Tape (S&amp;P)'!T6810="Yes",
    1.35,
    1.00)</f>
        <v/>
      </c>
      <c r="P6810">
        <f>IF('Loan Tape (S&amp;P)'!S6810="Yes",
    1.15,
    1.00)</f>
        <v/>
      </c>
      <c r="Q6810">
        <f>IF('Loan Tape (S&amp;P)'!V6810="Yes",
    1.20,
    1.00)</f>
        <v/>
      </c>
      <c r="T6810">
        <f>LET(
    payment_method,'Loan Tape (S&amp;P)'!P6810,
    occupancy,'Loan Tape (S&amp;P)'!N6810,
    maturity_date,'Loan Tape (S&amp;P)'!L6810,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11">
      <c r="J6811">
        <f>LET(
    lien,'Loan Tape (S&amp;P)'!Q6811,
    IF(lien="First",1.00,
        IF(lien="Second",1.50,
            1.70)))</f>
        <v/>
      </c>
      <c r="K6811">
        <f>LET(
    purpose,'Loan Tape (S&amp;P)'!R6811,
    IF(purpose="Purchase",1.00,
        IF(purpose="Remortgage",1.00,
            1.20)))</f>
        <v/>
      </c>
      <c r="L6811">
        <f>LET(
    arrears_months,'Loan Tape (S&amp;P)'!AN6811,
    IF(arrears_months=0,1.00,
    IF(arrears_months=1,3.00,
    IF(arrears_months=2,5.00,
    IF(arrears_months=3,8.00,
    IF(arrears_months=4,10.00,
    IF(arrears_months=5,12.00,15.00)))))))</f>
        <v/>
      </c>
      <c r="M6811">
        <f>LET(
    seasoning_years,DATEDIF('Loan Tape (S&amp;P)'!K6811,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11">
        <f>IF(AND('Loan Tape (S&amp;P)'!U6811="Yes",
        'Loan Tape (S&amp;P)'!T6811&lt;&gt;"Yes",
        DATEDIF('Loan Tape (S&amp;P)'!K6811, TODAY(), "M")&lt;18),
    1.10,
    1.00)</f>
        <v/>
      </c>
      <c r="O6811">
        <f>IF('Loan Tape (S&amp;P)'!T6811="Yes",
    1.35,
    1.00)</f>
        <v/>
      </c>
      <c r="P6811">
        <f>IF('Loan Tape (S&amp;P)'!S6811="Yes",
    1.15,
    1.00)</f>
        <v/>
      </c>
      <c r="Q6811">
        <f>IF('Loan Tape (S&amp;P)'!V6811="Yes",
    1.20,
    1.00)</f>
        <v/>
      </c>
      <c r="T6811">
        <f>LET(
    payment_method,'Loan Tape (S&amp;P)'!P6811,
    occupancy,'Loan Tape (S&amp;P)'!N6811,
    maturity_date,'Loan Tape (S&amp;P)'!L6811,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12">
      <c r="J6812">
        <f>LET(
    lien,'Loan Tape (S&amp;P)'!Q6812,
    IF(lien="First",1.00,
        IF(lien="Second",1.50,
            1.70)))</f>
        <v/>
      </c>
      <c r="K6812">
        <f>LET(
    purpose,'Loan Tape (S&amp;P)'!R6812,
    IF(purpose="Purchase",1.00,
        IF(purpose="Remortgage",1.00,
            1.20)))</f>
        <v/>
      </c>
      <c r="L6812">
        <f>LET(
    arrears_months,'Loan Tape (S&amp;P)'!AN6812,
    IF(arrears_months=0,1.00,
    IF(arrears_months=1,3.00,
    IF(arrears_months=2,5.00,
    IF(arrears_months=3,8.00,
    IF(arrears_months=4,10.00,
    IF(arrears_months=5,12.00,15.00)))))))</f>
        <v/>
      </c>
      <c r="M6812">
        <f>LET(
    seasoning_years,DATEDIF('Loan Tape (S&amp;P)'!K6812,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12">
        <f>IF(AND('Loan Tape (S&amp;P)'!U6812="Yes",
        'Loan Tape (S&amp;P)'!T6812&lt;&gt;"Yes",
        DATEDIF('Loan Tape (S&amp;P)'!K6812, TODAY(), "M")&lt;18),
    1.10,
    1.00)</f>
        <v/>
      </c>
      <c r="O6812">
        <f>IF('Loan Tape (S&amp;P)'!T6812="Yes",
    1.35,
    1.00)</f>
        <v/>
      </c>
      <c r="P6812">
        <f>IF('Loan Tape (S&amp;P)'!S6812="Yes",
    1.15,
    1.00)</f>
        <v/>
      </c>
      <c r="Q6812">
        <f>IF('Loan Tape (S&amp;P)'!V6812="Yes",
    1.20,
    1.00)</f>
        <v/>
      </c>
      <c r="T6812">
        <f>LET(
    payment_method,'Loan Tape (S&amp;P)'!P6812,
    occupancy,'Loan Tape (S&amp;P)'!N6812,
    maturity_date,'Loan Tape (S&amp;P)'!L6812,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13">
      <c r="J6813">
        <f>LET(
    lien,'Loan Tape (S&amp;P)'!Q6813,
    IF(lien="First",1.00,
        IF(lien="Second",1.50,
            1.70)))</f>
        <v/>
      </c>
      <c r="K6813">
        <f>LET(
    purpose,'Loan Tape (S&amp;P)'!R6813,
    IF(purpose="Purchase",1.00,
        IF(purpose="Remortgage",1.00,
            1.20)))</f>
        <v/>
      </c>
      <c r="L6813">
        <f>LET(
    arrears_months,'Loan Tape (S&amp;P)'!AN6813,
    IF(arrears_months=0,1.00,
    IF(arrears_months=1,3.00,
    IF(arrears_months=2,5.00,
    IF(arrears_months=3,8.00,
    IF(arrears_months=4,10.00,
    IF(arrears_months=5,12.00,15.00)))))))</f>
        <v/>
      </c>
      <c r="M6813">
        <f>LET(
    seasoning_years,DATEDIF('Loan Tape (S&amp;P)'!K6813,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13">
        <f>IF(AND('Loan Tape (S&amp;P)'!U6813="Yes",
        'Loan Tape (S&amp;P)'!T6813&lt;&gt;"Yes",
        DATEDIF('Loan Tape (S&amp;P)'!K6813, TODAY(), "M")&lt;18),
    1.10,
    1.00)</f>
        <v/>
      </c>
      <c r="O6813">
        <f>IF('Loan Tape (S&amp;P)'!T6813="Yes",
    1.35,
    1.00)</f>
        <v/>
      </c>
      <c r="P6813">
        <f>IF('Loan Tape (S&amp;P)'!S6813="Yes",
    1.15,
    1.00)</f>
        <v/>
      </c>
      <c r="Q6813">
        <f>IF('Loan Tape (S&amp;P)'!V6813="Yes",
    1.20,
    1.00)</f>
        <v/>
      </c>
      <c r="T6813">
        <f>LET(
    payment_method,'Loan Tape (S&amp;P)'!P6813,
    occupancy,'Loan Tape (S&amp;P)'!N6813,
    maturity_date,'Loan Tape (S&amp;P)'!L6813,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14">
      <c r="J6814">
        <f>LET(
    lien,'Loan Tape (S&amp;P)'!Q6814,
    IF(lien="First",1.00,
        IF(lien="Second",1.50,
            1.70)))</f>
        <v/>
      </c>
      <c r="K6814">
        <f>LET(
    purpose,'Loan Tape (S&amp;P)'!R6814,
    IF(purpose="Purchase",1.00,
        IF(purpose="Remortgage",1.00,
            1.20)))</f>
        <v/>
      </c>
      <c r="L6814">
        <f>LET(
    arrears_months,'Loan Tape (S&amp;P)'!AN6814,
    IF(arrears_months=0,1.00,
    IF(arrears_months=1,3.00,
    IF(arrears_months=2,5.00,
    IF(arrears_months=3,8.00,
    IF(arrears_months=4,10.00,
    IF(arrears_months=5,12.00,15.00)))))))</f>
        <v/>
      </c>
      <c r="M6814">
        <f>LET(
    seasoning_years,DATEDIF('Loan Tape (S&amp;P)'!K6814,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14">
        <f>IF(AND('Loan Tape (S&amp;P)'!U6814="Yes",
        'Loan Tape (S&amp;P)'!T6814&lt;&gt;"Yes",
        DATEDIF('Loan Tape (S&amp;P)'!K6814, TODAY(), "M")&lt;18),
    1.10,
    1.00)</f>
        <v/>
      </c>
      <c r="O6814">
        <f>IF('Loan Tape (S&amp;P)'!T6814="Yes",
    1.35,
    1.00)</f>
        <v/>
      </c>
      <c r="P6814">
        <f>IF('Loan Tape (S&amp;P)'!S6814="Yes",
    1.15,
    1.00)</f>
        <v/>
      </c>
      <c r="Q6814">
        <f>IF('Loan Tape (S&amp;P)'!V6814="Yes",
    1.20,
    1.00)</f>
        <v/>
      </c>
      <c r="T6814">
        <f>LET(
    payment_method,'Loan Tape (S&amp;P)'!P6814,
    occupancy,'Loan Tape (S&amp;P)'!N6814,
    maturity_date,'Loan Tape (S&amp;P)'!L6814,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15">
      <c r="J6815">
        <f>LET(
    lien,'Loan Tape (S&amp;P)'!Q6815,
    IF(lien="First",1.00,
        IF(lien="Second",1.50,
            1.70)))</f>
        <v/>
      </c>
      <c r="K6815">
        <f>LET(
    purpose,'Loan Tape (S&amp;P)'!R6815,
    IF(purpose="Purchase",1.00,
        IF(purpose="Remortgage",1.00,
            1.20)))</f>
        <v/>
      </c>
      <c r="L6815">
        <f>LET(
    arrears_months,'Loan Tape (S&amp;P)'!AN6815,
    IF(arrears_months=0,1.00,
    IF(arrears_months=1,3.00,
    IF(arrears_months=2,5.00,
    IF(arrears_months=3,8.00,
    IF(arrears_months=4,10.00,
    IF(arrears_months=5,12.00,15.00)))))))</f>
        <v/>
      </c>
      <c r="M6815">
        <f>LET(
    seasoning_years,DATEDIF('Loan Tape (S&amp;P)'!K6815,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15">
        <f>IF(AND('Loan Tape (S&amp;P)'!U6815="Yes",
        'Loan Tape (S&amp;P)'!T6815&lt;&gt;"Yes",
        DATEDIF('Loan Tape (S&amp;P)'!K6815, TODAY(), "M")&lt;18),
    1.10,
    1.00)</f>
        <v/>
      </c>
      <c r="O6815">
        <f>IF('Loan Tape (S&amp;P)'!T6815="Yes",
    1.35,
    1.00)</f>
        <v/>
      </c>
      <c r="P6815">
        <f>IF('Loan Tape (S&amp;P)'!S6815="Yes",
    1.15,
    1.00)</f>
        <v/>
      </c>
      <c r="Q6815">
        <f>IF('Loan Tape (S&amp;P)'!V6815="Yes",
    1.20,
    1.00)</f>
        <v/>
      </c>
      <c r="T6815">
        <f>LET(
    payment_method,'Loan Tape (S&amp;P)'!P6815,
    occupancy,'Loan Tape (S&amp;P)'!N6815,
    maturity_date,'Loan Tape (S&amp;P)'!L6815,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16">
      <c r="J6816">
        <f>LET(
    lien,'Loan Tape (S&amp;P)'!Q6816,
    IF(lien="First",1.00,
        IF(lien="Second",1.50,
            1.70)))</f>
        <v/>
      </c>
      <c r="K6816">
        <f>LET(
    purpose,'Loan Tape (S&amp;P)'!R6816,
    IF(purpose="Purchase",1.00,
        IF(purpose="Remortgage",1.00,
            1.20)))</f>
        <v/>
      </c>
      <c r="L6816">
        <f>LET(
    arrears_months,'Loan Tape (S&amp;P)'!AN6816,
    IF(arrears_months=0,1.00,
    IF(arrears_months=1,3.00,
    IF(arrears_months=2,5.00,
    IF(arrears_months=3,8.00,
    IF(arrears_months=4,10.00,
    IF(arrears_months=5,12.00,15.00)))))))</f>
        <v/>
      </c>
      <c r="M6816">
        <f>LET(
    seasoning_years,DATEDIF('Loan Tape (S&amp;P)'!K6816,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16">
        <f>IF(AND('Loan Tape (S&amp;P)'!U6816="Yes",
        'Loan Tape (S&amp;P)'!T6816&lt;&gt;"Yes",
        DATEDIF('Loan Tape (S&amp;P)'!K6816, TODAY(), "M")&lt;18),
    1.10,
    1.00)</f>
        <v/>
      </c>
      <c r="O6816">
        <f>IF('Loan Tape (S&amp;P)'!T6816="Yes",
    1.35,
    1.00)</f>
        <v/>
      </c>
      <c r="P6816">
        <f>IF('Loan Tape (S&amp;P)'!S6816="Yes",
    1.15,
    1.00)</f>
        <v/>
      </c>
      <c r="Q6816">
        <f>IF('Loan Tape (S&amp;P)'!V6816="Yes",
    1.20,
    1.00)</f>
        <v/>
      </c>
      <c r="T6816">
        <f>LET(
    payment_method,'Loan Tape (S&amp;P)'!P6816,
    occupancy,'Loan Tape (S&amp;P)'!N6816,
    maturity_date,'Loan Tape (S&amp;P)'!L6816,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17">
      <c r="J6817">
        <f>LET(
    lien,'Loan Tape (S&amp;P)'!Q6817,
    IF(lien="First",1.00,
        IF(lien="Second",1.50,
            1.70)))</f>
        <v/>
      </c>
      <c r="K6817">
        <f>LET(
    purpose,'Loan Tape (S&amp;P)'!R6817,
    IF(purpose="Purchase",1.00,
        IF(purpose="Remortgage",1.00,
            1.20)))</f>
        <v/>
      </c>
      <c r="L6817">
        <f>LET(
    arrears_months,'Loan Tape (S&amp;P)'!AN6817,
    IF(arrears_months=0,1.00,
    IF(arrears_months=1,3.00,
    IF(arrears_months=2,5.00,
    IF(arrears_months=3,8.00,
    IF(arrears_months=4,10.00,
    IF(arrears_months=5,12.00,15.00)))))))</f>
        <v/>
      </c>
      <c r="M6817">
        <f>LET(
    seasoning_years,DATEDIF('Loan Tape (S&amp;P)'!K6817,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17">
        <f>IF(AND('Loan Tape (S&amp;P)'!U6817="Yes",
        'Loan Tape (S&amp;P)'!T6817&lt;&gt;"Yes",
        DATEDIF('Loan Tape (S&amp;P)'!K6817, TODAY(), "M")&lt;18),
    1.10,
    1.00)</f>
        <v/>
      </c>
      <c r="O6817">
        <f>IF('Loan Tape (S&amp;P)'!T6817="Yes",
    1.35,
    1.00)</f>
        <v/>
      </c>
      <c r="P6817">
        <f>IF('Loan Tape (S&amp;P)'!S6817="Yes",
    1.15,
    1.00)</f>
        <v/>
      </c>
      <c r="Q6817">
        <f>IF('Loan Tape (S&amp;P)'!V6817="Yes",
    1.20,
    1.00)</f>
        <v/>
      </c>
      <c r="T6817">
        <f>LET(
    payment_method,'Loan Tape (S&amp;P)'!P6817,
    occupancy,'Loan Tape (S&amp;P)'!N6817,
    maturity_date,'Loan Tape (S&amp;P)'!L6817,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18">
      <c r="J6818">
        <f>LET(
    lien,'Loan Tape (S&amp;P)'!Q6818,
    IF(lien="First",1.00,
        IF(lien="Second",1.50,
            1.70)))</f>
        <v/>
      </c>
      <c r="K6818">
        <f>LET(
    purpose,'Loan Tape (S&amp;P)'!R6818,
    IF(purpose="Purchase",1.00,
        IF(purpose="Remortgage",1.00,
            1.20)))</f>
        <v/>
      </c>
      <c r="L6818">
        <f>LET(
    arrears_months,'Loan Tape (S&amp;P)'!AN6818,
    IF(arrears_months=0,1.00,
    IF(arrears_months=1,3.00,
    IF(arrears_months=2,5.00,
    IF(arrears_months=3,8.00,
    IF(arrears_months=4,10.00,
    IF(arrears_months=5,12.00,15.00)))))))</f>
        <v/>
      </c>
      <c r="M6818">
        <f>LET(
    seasoning_years,DATEDIF('Loan Tape (S&amp;P)'!K6818,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18">
        <f>IF(AND('Loan Tape (S&amp;P)'!U6818="Yes",
        'Loan Tape (S&amp;P)'!T6818&lt;&gt;"Yes",
        DATEDIF('Loan Tape (S&amp;P)'!K6818, TODAY(), "M")&lt;18),
    1.10,
    1.00)</f>
        <v/>
      </c>
      <c r="O6818">
        <f>IF('Loan Tape (S&amp;P)'!T6818="Yes",
    1.35,
    1.00)</f>
        <v/>
      </c>
      <c r="P6818">
        <f>IF('Loan Tape (S&amp;P)'!S6818="Yes",
    1.15,
    1.00)</f>
        <v/>
      </c>
      <c r="Q6818">
        <f>IF('Loan Tape (S&amp;P)'!V6818="Yes",
    1.20,
    1.00)</f>
        <v/>
      </c>
      <c r="T6818">
        <f>LET(
    payment_method,'Loan Tape (S&amp;P)'!P6818,
    occupancy,'Loan Tape (S&amp;P)'!N6818,
    maturity_date,'Loan Tape (S&amp;P)'!L6818,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19">
      <c r="J6819">
        <f>LET(
    lien,'Loan Tape (S&amp;P)'!Q6819,
    IF(lien="First",1.00,
        IF(lien="Second",1.50,
            1.70)))</f>
        <v/>
      </c>
      <c r="K6819">
        <f>LET(
    purpose,'Loan Tape (S&amp;P)'!R6819,
    IF(purpose="Purchase",1.00,
        IF(purpose="Remortgage",1.00,
            1.20)))</f>
        <v/>
      </c>
      <c r="L6819">
        <f>LET(
    arrears_months,'Loan Tape (S&amp;P)'!AN6819,
    IF(arrears_months=0,1.00,
    IF(arrears_months=1,3.00,
    IF(arrears_months=2,5.00,
    IF(arrears_months=3,8.00,
    IF(arrears_months=4,10.00,
    IF(arrears_months=5,12.00,15.00)))))))</f>
        <v/>
      </c>
      <c r="M6819">
        <f>LET(
    seasoning_years,DATEDIF('Loan Tape (S&amp;P)'!K6819,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19">
        <f>IF(AND('Loan Tape (S&amp;P)'!U6819="Yes",
        'Loan Tape (S&amp;P)'!T6819&lt;&gt;"Yes",
        DATEDIF('Loan Tape (S&amp;P)'!K6819, TODAY(), "M")&lt;18),
    1.10,
    1.00)</f>
        <v/>
      </c>
      <c r="O6819">
        <f>IF('Loan Tape (S&amp;P)'!T6819="Yes",
    1.35,
    1.00)</f>
        <v/>
      </c>
      <c r="P6819">
        <f>IF('Loan Tape (S&amp;P)'!S6819="Yes",
    1.15,
    1.00)</f>
        <v/>
      </c>
      <c r="Q6819">
        <f>IF('Loan Tape (S&amp;P)'!V6819="Yes",
    1.20,
    1.00)</f>
        <v/>
      </c>
      <c r="T6819">
        <f>LET(
    payment_method,'Loan Tape (S&amp;P)'!P6819,
    occupancy,'Loan Tape (S&amp;P)'!N6819,
    maturity_date,'Loan Tape (S&amp;P)'!L6819,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20">
      <c r="J6820">
        <f>LET(
    lien,'Loan Tape (S&amp;P)'!Q6820,
    IF(lien="First",1.00,
        IF(lien="Second",1.50,
            1.70)))</f>
        <v/>
      </c>
      <c r="K6820">
        <f>LET(
    purpose,'Loan Tape (S&amp;P)'!R6820,
    IF(purpose="Purchase",1.00,
        IF(purpose="Remortgage",1.00,
            1.20)))</f>
        <v/>
      </c>
      <c r="L6820">
        <f>LET(
    arrears_months,'Loan Tape (S&amp;P)'!AN6820,
    IF(arrears_months=0,1.00,
    IF(arrears_months=1,3.00,
    IF(arrears_months=2,5.00,
    IF(arrears_months=3,8.00,
    IF(arrears_months=4,10.00,
    IF(arrears_months=5,12.00,15.00)))))))</f>
        <v/>
      </c>
      <c r="M6820">
        <f>LET(
    seasoning_years,DATEDIF('Loan Tape (S&amp;P)'!K6820,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20">
        <f>IF(AND('Loan Tape (S&amp;P)'!U6820="Yes",
        'Loan Tape (S&amp;P)'!T6820&lt;&gt;"Yes",
        DATEDIF('Loan Tape (S&amp;P)'!K6820, TODAY(), "M")&lt;18),
    1.10,
    1.00)</f>
        <v/>
      </c>
      <c r="O6820">
        <f>IF('Loan Tape (S&amp;P)'!T6820="Yes",
    1.35,
    1.00)</f>
        <v/>
      </c>
      <c r="P6820">
        <f>IF('Loan Tape (S&amp;P)'!S6820="Yes",
    1.15,
    1.00)</f>
        <v/>
      </c>
      <c r="Q6820">
        <f>IF('Loan Tape (S&amp;P)'!V6820="Yes",
    1.20,
    1.00)</f>
        <v/>
      </c>
      <c r="T6820">
        <f>LET(
    payment_method,'Loan Tape (S&amp;P)'!P6820,
    occupancy,'Loan Tape (S&amp;P)'!N6820,
    maturity_date,'Loan Tape (S&amp;P)'!L6820,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21">
      <c r="J6821">
        <f>LET(
    lien,'Loan Tape (S&amp;P)'!Q6821,
    IF(lien="First",1.00,
        IF(lien="Second",1.50,
            1.70)))</f>
        <v/>
      </c>
      <c r="K6821">
        <f>LET(
    purpose,'Loan Tape (S&amp;P)'!R6821,
    IF(purpose="Purchase",1.00,
        IF(purpose="Remortgage",1.00,
            1.20)))</f>
        <v/>
      </c>
      <c r="L6821">
        <f>LET(
    arrears_months,'Loan Tape (S&amp;P)'!AN6821,
    IF(arrears_months=0,1.00,
    IF(arrears_months=1,3.00,
    IF(arrears_months=2,5.00,
    IF(arrears_months=3,8.00,
    IF(arrears_months=4,10.00,
    IF(arrears_months=5,12.00,15.00)))))))</f>
        <v/>
      </c>
      <c r="M6821">
        <f>LET(
    seasoning_years,DATEDIF('Loan Tape (S&amp;P)'!K6821,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21">
        <f>IF(AND('Loan Tape (S&amp;P)'!U6821="Yes",
        'Loan Tape (S&amp;P)'!T6821&lt;&gt;"Yes",
        DATEDIF('Loan Tape (S&amp;P)'!K6821, TODAY(), "M")&lt;18),
    1.10,
    1.00)</f>
        <v/>
      </c>
      <c r="O6821">
        <f>IF('Loan Tape (S&amp;P)'!T6821="Yes",
    1.35,
    1.00)</f>
        <v/>
      </c>
      <c r="P6821">
        <f>IF('Loan Tape (S&amp;P)'!S6821="Yes",
    1.15,
    1.00)</f>
        <v/>
      </c>
      <c r="Q6821">
        <f>IF('Loan Tape (S&amp;P)'!V6821="Yes",
    1.20,
    1.00)</f>
        <v/>
      </c>
      <c r="T6821">
        <f>LET(
    payment_method,'Loan Tape (S&amp;P)'!P6821,
    occupancy,'Loan Tape (S&amp;P)'!N6821,
    maturity_date,'Loan Tape (S&amp;P)'!L6821,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22">
      <c r="J6822">
        <f>LET(
    lien,'Loan Tape (S&amp;P)'!Q6822,
    IF(lien="First",1.00,
        IF(lien="Second",1.50,
            1.70)))</f>
        <v/>
      </c>
      <c r="K6822">
        <f>LET(
    purpose,'Loan Tape (S&amp;P)'!R6822,
    IF(purpose="Purchase",1.00,
        IF(purpose="Remortgage",1.00,
            1.20)))</f>
        <v/>
      </c>
      <c r="L6822">
        <f>LET(
    arrears_months,'Loan Tape (S&amp;P)'!AN6822,
    IF(arrears_months=0,1.00,
    IF(arrears_months=1,3.00,
    IF(arrears_months=2,5.00,
    IF(arrears_months=3,8.00,
    IF(arrears_months=4,10.00,
    IF(arrears_months=5,12.00,15.00)))))))</f>
        <v/>
      </c>
      <c r="M6822">
        <f>LET(
    seasoning_years,DATEDIF('Loan Tape (S&amp;P)'!K6822,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22">
        <f>IF(AND('Loan Tape (S&amp;P)'!U6822="Yes",
        'Loan Tape (S&amp;P)'!T6822&lt;&gt;"Yes",
        DATEDIF('Loan Tape (S&amp;P)'!K6822, TODAY(), "M")&lt;18),
    1.10,
    1.00)</f>
        <v/>
      </c>
      <c r="O6822">
        <f>IF('Loan Tape (S&amp;P)'!T6822="Yes",
    1.35,
    1.00)</f>
        <v/>
      </c>
      <c r="P6822">
        <f>IF('Loan Tape (S&amp;P)'!S6822="Yes",
    1.15,
    1.00)</f>
        <v/>
      </c>
      <c r="Q6822">
        <f>IF('Loan Tape (S&amp;P)'!V6822="Yes",
    1.20,
    1.00)</f>
        <v/>
      </c>
      <c r="T6822">
        <f>LET(
    payment_method,'Loan Tape (S&amp;P)'!P6822,
    occupancy,'Loan Tape (S&amp;P)'!N6822,
    maturity_date,'Loan Tape (S&amp;P)'!L6822,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23">
      <c r="J6823">
        <f>LET(
    lien,'Loan Tape (S&amp;P)'!Q6823,
    IF(lien="First",1.00,
        IF(lien="Second",1.50,
            1.70)))</f>
        <v/>
      </c>
      <c r="K6823">
        <f>LET(
    purpose,'Loan Tape (S&amp;P)'!R6823,
    IF(purpose="Purchase",1.00,
        IF(purpose="Remortgage",1.00,
            1.20)))</f>
        <v/>
      </c>
      <c r="L6823">
        <f>LET(
    arrears_months,'Loan Tape (S&amp;P)'!AN6823,
    IF(arrears_months=0,1.00,
    IF(arrears_months=1,3.00,
    IF(arrears_months=2,5.00,
    IF(arrears_months=3,8.00,
    IF(arrears_months=4,10.00,
    IF(arrears_months=5,12.00,15.00)))))))</f>
        <v/>
      </c>
      <c r="M6823">
        <f>LET(
    seasoning_years,DATEDIF('Loan Tape (S&amp;P)'!K6823,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23">
        <f>IF(AND('Loan Tape (S&amp;P)'!U6823="Yes",
        'Loan Tape (S&amp;P)'!T6823&lt;&gt;"Yes",
        DATEDIF('Loan Tape (S&amp;P)'!K6823, TODAY(), "M")&lt;18),
    1.10,
    1.00)</f>
        <v/>
      </c>
      <c r="O6823">
        <f>IF('Loan Tape (S&amp;P)'!T6823="Yes",
    1.35,
    1.00)</f>
        <v/>
      </c>
      <c r="P6823">
        <f>IF('Loan Tape (S&amp;P)'!S6823="Yes",
    1.15,
    1.00)</f>
        <v/>
      </c>
      <c r="Q6823">
        <f>IF('Loan Tape (S&amp;P)'!V6823="Yes",
    1.20,
    1.00)</f>
        <v/>
      </c>
      <c r="T6823">
        <f>LET(
    payment_method,'Loan Tape (S&amp;P)'!P6823,
    occupancy,'Loan Tape (S&amp;P)'!N6823,
    maturity_date,'Loan Tape (S&amp;P)'!L6823,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24">
      <c r="J6824">
        <f>LET(
    lien,'Loan Tape (S&amp;P)'!Q6824,
    IF(lien="First",1.00,
        IF(lien="Second",1.50,
            1.70)))</f>
        <v/>
      </c>
      <c r="K6824">
        <f>LET(
    purpose,'Loan Tape (S&amp;P)'!R6824,
    IF(purpose="Purchase",1.00,
        IF(purpose="Remortgage",1.00,
            1.20)))</f>
        <v/>
      </c>
      <c r="L6824">
        <f>LET(
    arrears_months,'Loan Tape (S&amp;P)'!AN6824,
    IF(arrears_months=0,1.00,
    IF(arrears_months=1,3.00,
    IF(arrears_months=2,5.00,
    IF(arrears_months=3,8.00,
    IF(arrears_months=4,10.00,
    IF(arrears_months=5,12.00,15.00)))))))</f>
        <v/>
      </c>
      <c r="M6824">
        <f>LET(
    seasoning_years,DATEDIF('Loan Tape (S&amp;P)'!K6824,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24">
        <f>IF(AND('Loan Tape (S&amp;P)'!U6824="Yes",
        'Loan Tape (S&amp;P)'!T6824&lt;&gt;"Yes",
        DATEDIF('Loan Tape (S&amp;P)'!K6824, TODAY(), "M")&lt;18),
    1.10,
    1.00)</f>
        <v/>
      </c>
      <c r="O6824">
        <f>IF('Loan Tape (S&amp;P)'!T6824="Yes",
    1.35,
    1.00)</f>
        <v/>
      </c>
      <c r="P6824">
        <f>IF('Loan Tape (S&amp;P)'!S6824="Yes",
    1.15,
    1.00)</f>
        <v/>
      </c>
      <c r="Q6824">
        <f>IF('Loan Tape (S&amp;P)'!V6824="Yes",
    1.20,
    1.00)</f>
        <v/>
      </c>
      <c r="T6824">
        <f>LET(
    payment_method,'Loan Tape (S&amp;P)'!P6824,
    occupancy,'Loan Tape (S&amp;P)'!N6824,
    maturity_date,'Loan Tape (S&amp;P)'!L6824,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25">
      <c r="J6825">
        <f>LET(
    lien,'Loan Tape (S&amp;P)'!Q6825,
    IF(lien="First",1.00,
        IF(lien="Second",1.50,
            1.70)))</f>
        <v/>
      </c>
      <c r="K6825">
        <f>LET(
    purpose,'Loan Tape (S&amp;P)'!R6825,
    IF(purpose="Purchase",1.00,
        IF(purpose="Remortgage",1.00,
            1.20)))</f>
        <v/>
      </c>
      <c r="L6825">
        <f>LET(
    arrears_months,'Loan Tape (S&amp;P)'!AN6825,
    IF(arrears_months=0,1.00,
    IF(arrears_months=1,3.00,
    IF(arrears_months=2,5.00,
    IF(arrears_months=3,8.00,
    IF(arrears_months=4,10.00,
    IF(arrears_months=5,12.00,15.00)))))))</f>
        <v/>
      </c>
      <c r="M6825">
        <f>LET(
    seasoning_years,DATEDIF('Loan Tape (S&amp;P)'!K6825,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25">
        <f>IF(AND('Loan Tape (S&amp;P)'!U6825="Yes",
        'Loan Tape (S&amp;P)'!T6825&lt;&gt;"Yes",
        DATEDIF('Loan Tape (S&amp;P)'!K6825, TODAY(), "M")&lt;18),
    1.10,
    1.00)</f>
        <v/>
      </c>
      <c r="O6825">
        <f>IF('Loan Tape (S&amp;P)'!T6825="Yes",
    1.35,
    1.00)</f>
        <v/>
      </c>
      <c r="P6825">
        <f>IF('Loan Tape (S&amp;P)'!S6825="Yes",
    1.15,
    1.00)</f>
        <v/>
      </c>
      <c r="Q6825">
        <f>IF('Loan Tape (S&amp;P)'!V6825="Yes",
    1.20,
    1.00)</f>
        <v/>
      </c>
      <c r="T6825">
        <f>LET(
    payment_method,'Loan Tape (S&amp;P)'!P6825,
    occupancy,'Loan Tape (S&amp;P)'!N6825,
    maturity_date,'Loan Tape (S&amp;P)'!L6825,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26">
      <c r="J6826">
        <f>LET(
    lien,'Loan Tape (S&amp;P)'!Q6826,
    IF(lien="First",1.00,
        IF(lien="Second",1.50,
            1.70)))</f>
        <v/>
      </c>
      <c r="K6826">
        <f>LET(
    purpose,'Loan Tape (S&amp;P)'!R6826,
    IF(purpose="Purchase",1.00,
        IF(purpose="Remortgage",1.00,
            1.20)))</f>
        <v/>
      </c>
      <c r="L6826">
        <f>LET(
    arrears_months,'Loan Tape (S&amp;P)'!AN6826,
    IF(arrears_months=0,1.00,
    IF(arrears_months=1,3.00,
    IF(arrears_months=2,5.00,
    IF(arrears_months=3,8.00,
    IF(arrears_months=4,10.00,
    IF(arrears_months=5,12.00,15.00)))))))</f>
        <v/>
      </c>
      <c r="M6826">
        <f>LET(
    seasoning_years,DATEDIF('Loan Tape (S&amp;P)'!K6826,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26">
        <f>IF(AND('Loan Tape (S&amp;P)'!U6826="Yes",
        'Loan Tape (S&amp;P)'!T6826&lt;&gt;"Yes",
        DATEDIF('Loan Tape (S&amp;P)'!K6826, TODAY(), "M")&lt;18),
    1.10,
    1.00)</f>
        <v/>
      </c>
      <c r="O6826">
        <f>IF('Loan Tape (S&amp;P)'!T6826="Yes",
    1.35,
    1.00)</f>
        <v/>
      </c>
      <c r="P6826">
        <f>IF('Loan Tape (S&amp;P)'!S6826="Yes",
    1.15,
    1.00)</f>
        <v/>
      </c>
      <c r="Q6826">
        <f>IF('Loan Tape (S&amp;P)'!V6826="Yes",
    1.20,
    1.00)</f>
        <v/>
      </c>
      <c r="T6826">
        <f>LET(
    payment_method,'Loan Tape (S&amp;P)'!P6826,
    occupancy,'Loan Tape (S&amp;P)'!N6826,
    maturity_date,'Loan Tape (S&amp;P)'!L6826,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27">
      <c r="J6827">
        <f>LET(
    lien,'Loan Tape (S&amp;P)'!Q6827,
    IF(lien="First",1.00,
        IF(lien="Second",1.50,
            1.70)))</f>
        <v/>
      </c>
      <c r="K6827">
        <f>LET(
    purpose,'Loan Tape (S&amp;P)'!R6827,
    IF(purpose="Purchase",1.00,
        IF(purpose="Remortgage",1.00,
            1.20)))</f>
        <v/>
      </c>
      <c r="L6827">
        <f>LET(
    arrears_months,'Loan Tape (S&amp;P)'!AN6827,
    IF(arrears_months=0,1.00,
    IF(arrears_months=1,3.00,
    IF(arrears_months=2,5.00,
    IF(arrears_months=3,8.00,
    IF(arrears_months=4,10.00,
    IF(arrears_months=5,12.00,15.00)))))))</f>
        <v/>
      </c>
      <c r="M6827">
        <f>LET(
    seasoning_years,DATEDIF('Loan Tape (S&amp;P)'!K6827,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27">
        <f>IF(AND('Loan Tape (S&amp;P)'!U6827="Yes",
        'Loan Tape (S&amp;P)'!T6827&lt;&gt;"Yes",
        DATEDIF('Loan Tape (S&amp;P)'!K6827, TODAY(), "M")&lt;18),
    1.10,
    1.00)</f>
        <v/>
      </c>
      <c r="O6827">
        <f>IF('Loan Tape (S&amp;P)'!T6827="Yes",
    1.35,
    1.00)</f>
        <v/>
      </c>
      <c r="P6827">
        <f>IF('Loan Tape (S&amp;P)'!S6827="Yes",
    1.15,
    1.00)</f>
        <v/>
      </c>
      <c r="Q6827">
        <f>IF('Loan Tape (S&amp;P)'!V6827="Yes",
    1.20,
    1.00)</f>
        <v/>
      </c>
      <c r="T6827">
        <f>LET(
    payment_method,'Loan Tape (S&amp;P)'!P6827,
    occupancy,'Loan Tape (S&amp;P)'!N6827,
    maturity_date,'Loan Tape (S&amp;P)'!L6827,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28">
      <c r="J6828">
        <f>LET(
    lien,'Loan Tape (S&amp;P)'!Q6828,
    IF(lien="First",1.00,
        IF(lien="Second",1.50,
            1.70)))</f>
        <v/>
      </c>
      <c r="K6828">
        <f>LET(
    purpose,'Loan Tape (S&amp;P)'!R6828,
    IF(purpose="Purchase",1.00,
        IF(purpose="Remortgage",1.00,
            1.20)))</f>
        <v/>
      </c>
      <c r="L6828">
        <f>LET(
    arrears_months,'Loan Tape (S&amp;P)'!AN6828,
    IF(arrears_months=0,1.00,
    IF(arrears_months=1,3.00,
    IF(arrears_months=2,5.00,
    IF(arrears_months=3,8.00,
    IF(arrears_months=4,10.00,
    IF(arrears_months=5,12.00,15.00)))))))</f>
        <v/>
      </c>
      <c r="M6828">
        <f>LET(
    seasoning_years,DATEDIF('Loan Tape (S&amp;P)'!K6828,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28">
        <f>IF(AND('Loan Tape (S&amp;P)'!U6828="Yes",
        'Loan Tape (S&amp;P)'!T6828&lt;&gt;"Yes",
        DATEDIF('Loan Tape (S&amp;P)'!K6828, TODAY(), "M")&lt;18),
    1.10,
    1.00)</f>
        <v/>
      </c>
      <c r="O6828">
        <f>IF('Loan Tape (S&amp;P)'!T6828="Yes",
    1.35,
    1.00)</f>
        <v/>
      </c>
      <c r="P6828">
        <f>IF('Loan Tape (S&amp;P)'!S6828="Yes",
    1.15,
    1.00)</f>
        <v/>
      </c>
      <c r="Q6828">
        <f>IF('Loan Tape (S&amp;P)'!V6828="Yes",
    1.20,
    1.00)</f>
        <v/>
      </c>
      <c r="T6828">
        <f>LET(
    payment_method,'Loan Tape (S&amp;P)'!P6828,
    occupancy,'Loan Tape (S&amp;P)'!N6828,
    maturity_date,'Loan Tape (S&amp;P)'!L6828,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29">
      <c r="J6829">
        <f>LET(
    lien,'Loan Tape (S&amp;P)'!Q6829,
    IF(lien="First",1.00,
        IF(lien="Second",1.50,
            1.70)))</f>
        <v/>
      </c>
      <c r="K6829">
        <f>LET(
    purpose,'Loan Tape (S&amp;P)'!R6829,
    IF(purpose="Purchase",1.00,
        IF(purpose="Remortgage",1.00,
            1.20)))</f>
        <v/>
      </c>
      <c r="L6829">
        <f>LET(
    arrears_months,'Loan Tape (S&amp;P)'!AN6829,
    IF(arrears_months=0,1.00,
    IF(arrears_months=1,3.00,
    IF(arrears_months=2,5.00,
    IF(arrears_months=3,8.00,
    IF(arrears_months=4,10.00,
    IF(arrears_months=5,12.00,15.00)))))))</f>
        <v/>
      </c>
      <c r="M6829">
        <f>LET(
    seasoning_years,DATEDIF('Loan Tape (S&amp;P)'!K6829,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29">
        <f>IF(AND('Loan Tape (S&amp;P)'!U6829="Yes",
        'Loan Tape (S&amp;P)'!T6829&lt;&gt;"Yes",
        DATEDIF('Loan Tape (S&amp;P)'!K6829, TODAY(), "M")&lt;18),
    1.10,
    1.00)</f>
        <v/>
      </c>
      <c r="O6829">
        <f>IF('Loan Tape (S&amp;P)'!T6829="Yes",
    1.35,
    1.00)</f>
        <v/>
      </c>
      <c r="P6829">
        <f>IF('Loan Tape (S&amp;P)'!S6829="Yes",
    1.15,
    1.00)</f>
        <v/>
      </c>
      <c r="Q6829">
        <f>IF('Loan Tape (S&amp;P)'!V6829="Yes",
    1.20,
    1.00)</f>
        <v/>
      </c>
      <c r="T6829">
        <f>LET(
    payment_method,'Loan Tape (S&amp;P)'!P6829,
    occupancy,'Loan Tape (S&amp;P)'!N6829,
    maturity_date,'Loan Tape (S&amp;P)'!L6829,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30">
      <c r="J6830">
        <f>LET(
    lien,'Loan Tape (S&amp;P)'!Q6830,
    IF(lien="First",1.00,
        IF(lien="Second",1.50,
            1.70)))</f>
        <v/>
      </c>
      <c r="K6830">
        <f>LET(
    purpose,'Loan Tape (S&amp;P)'!R6830,
    IF(purpose="Purchase",1.00,
        IF(purpose="Remortgage",1.00,
            1.20)))</f>
        <v/>
      </c>
      <c r="L6830">
        <f>LET(
    arrears_months,'Loan Tape (S&amp;P)'!AN6830,
    IF(arrears_months=0,1.00,
    IF(arrears_months=1,3.00,
    IF(arrears_months=2,5.00,
    IF(arrears_months=3,8.00,
    IF(arrears_months=4,10.00,
    IF(arrears_months=5,12.00,15.00)))))))</f>
        <v/>
      </c>
      <c r="M6830">
        <f>LET(
    seasoning_years,DATEDIF('Loan Tape (S&amp;P)'!K6830,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30">
        <f>IF(AND('Loan Tape (S&amp;P)'!U6830="Yes",
        'Loan Tape (S&amp;P)'!T6830&lt;&gt;"Yes",
        DATEDIF('Loan Tape (S&amp;P)'!K6830, TODAY(), "M")&lt;18),
    1.10,
    1.00)</f>
        <v/>
      </c>
      <c r="O6830">
        <f>IF('Loan Tape (S&amp;P)'!T6830="Yes",
    1.35,
    1.00)</f>
        <v/>
      </c>
      <c r="P6830">
        <f>IF('Loan Tape (S&amp;P)'!S6830="Yes",
    1.15,
    1.00)</f>
        <v/>
      </c>
      <c r="Q6830">
        <f>IF('Loan Tape (S&amp;P)'!V6830="Yes",
    1.20,
    1.00)</f>
        <v/>
      </c>
      <c r="T6830">
        <f>LET(
    payment_method,'Loan Tape (S&amp;P)'!P6830,
    occupancy,'Loan Tape (S&amp;P)'!N6830,
    maturity_date,'Loan Tape (S&amp;P)'!L6830,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31">
      <c r="J6831">
        <f>LET(
    lien,'Loan Tape (S&amp;P)'!Q6831,
    IF(lien="First",1.00,
        IF(lien="Second",1.50,
            1.70)))</f>
        <v/>
      </c>
      <c r="K6831">
        <f>LET(
    purpose,'Loan Tape (S&amp;P)'!R6831,
    IF(purpose="Purchase",1.00,
        IF(purpose="Remortgage",1.00,
            1.20)))</f>
        <v/>
      </c>
      <c r="L6831">
        <f>LET(
    arrears_months,'Loan Tape (S&amp;P)'!AN6831,
    IF(arrears_months=0,1.00,
    IF(arrears_months=1,3.00,
    IF(arrears_months=2,5.00,
    IF(arrears_months=3,8.00,
    IF(arrears_months=4,10.00,
    IF(arrears_months=5,12.00,15.00)))))))</f>
        <v/>
      </c>
      <c r="M6831">
        <f>LET(
    seasoning_years,DATEDIF('Loan Tape (S&amp;P)'!K6831,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31">
        <f>IF(AND('Loan Tape (S&amp;P)'!U6831="Yes",
        'Loan Tape (S&amp;P)'!T6831&lt;&gt;"Yes",
        DATEDIF('Loan Tape (S&amp;P)'!K6831, TODAY(), "M")&lt;18),
    1.10,
    1.00)</f>
        <v/>
      </c>
      <c r="O6831">
        <f>IF('Loan Tape (S&amp;P)'!T6831="Yes",
    1.35,
    1.00)</f>
        <v/>
      </c>
      <c r="P6831">
        <f>IF('Loan Tape (S&amp;P)'!S6831="Yes",
    1.15,
    1.00)</f>
        <v/>
      </c>
      <c r="Q6831">
        <f>IF('Loan Tape (S&amp;P)'!V6831="Yes",
    1.20,
    1.00)</f>
        <v/>
      </c>
      <c r="T6831">
        <f>LET(
    payment_method,'Loan Tape (S&amp;P)'!P6831,
    occupancy,'Loan Tape (S&amp;P)'!N6831,
    maturity_date,'Loan Tape (S&amp;P)'!L6831,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32">
      <c r="J6832">
        <f>LET(
    lien,'Loan Tape (S&amp;P)'!Q6832,
    IF(lien="First",1.00,
        IF(lien="Second",1.50,
            1.70)))</f>
        <v/>
      </c>
      <c r="K6832">
        <f>LET(
    purpose,'Loan Tape (S&amp;P)'!R6832,
    IF(purpose="Purchase",1.00,
        IF(purpose="Remortgage",1.00,
            1.20)))</f>
        <v/>
      </c>
      <c r="L6832">
        <f>LET(
    arrears_months,'Loan Tape (S&amp;P)'!AN6832,
    IF(arrears_months=0,1.00,
    IF(arrears_months=1,3.00,
    IF(arrears_months=2,5.00,
    IF(arrears_months=3,8.00,
    IF(arrears_months=4,10.00,
    IF(arrears_months=5,12.00,15.00)))))))</f>
        <v/>
      </c>
      <c r="M6832">
        <f>LET(
    seasoning_years,DATEDIF('Loan Tape (S&amp;P)'!K6832,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32">
        <f>IF(AND('Loan Tape (S&amp;P)'!U6832="Yes",
        'Loan Tape (S&amp;P)'!T6832&lt;&gt;"Yes",
        DATEDIF('Loan Tape (S&amp;P)'!K6832, TODAY(), "M")&lt;18),
    1.10,
    1.00)</f>
        <v/>
      </c>
      <c r="O6832">
        <f>IF('Loan Tape (S&amp;P)'!T6832="Yes",
    1.35,
    1.00)</f>
        <v/>
      </c>
      <c r="P6832">
        <f>IF('Loan Tape (S&amp;P)'!S6832="Yes",
    1.15,
    1.00)</f>
        <v/>
      </c>
      <c r="Q6832">
        <f>IF('Loan Tape (S&amp;P)'!V6832="Yes",
    1.20,
    1.00)</f>
        <v/>
      </c>
      <c r="T6832">
        <f>LET(
    payment_method,'Loan Tape (S&amp;P)'!P6832,
    occupancy,'Loan Tape (S&amp;P)'!N6832,
    maturity_date,'Loan Tape (S&amp;P)'!L6832,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33">
      <c r="J6833">
        <f>LET(
    lien,'Loan Tape (S&amp;P)'!Q6833,
    IF(lien="First",1.00,
        IF(lien="Second",1.50,
            1.70)))</f>
        <v/>
      </c>
      <c r="K6833">
        <f>LET(
    purpose,'Loan Tape (S&amp;P)'!R6833,
    IF(purpose="Purchase",1.00,
        IF(purpose="Remortgage",1.00,
            1.20)))</f>
        <v/>
      </c>
      <c r="L6833">
        <f>LET(
    arrears_months,'Loan Tape (S&amp;P)'!AN6833,
    IF(arrears_months=0,1.00,
    IF(arrears_months=1,3.00,
    IF(arrears_months=2,5.00,
    IF(arrears_months=3,8.00,
    IF(arrears_months=4,10.00,
    IF(arrears_months=5,12.00,15.00)))))))</f>
        <v/>
      </c>
      <c r="M6833">
        <f>LET(
    seasoning_years,DATEDIF('Loan Tape (S&amp;P)'!K6833,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33">
        <f>IF(AND('Loan Tape (S&amp;P)'!U6833="Yes",
        'Loan Tape (S&amp;P)'!T6833&lt;&gt;"Yes",
        DATEDIF('Loan Tape (S&amp;P)'!K6833, TODAY(), "M")&lt;18),
    1.10,
    1.00)</f>
        <v/>
      </c>
      <c r="O6833">
        <f>IF('Loan Tape (S&amp;P)'!T6833="Yes",
    1.35,
    1.00)</f>
        <v/>
      </c>
      <c r="P6833">
        <f>IF('Loan Tape (S&amp;P)'!S6833="Yes",
    1.15,
    1.00)</f>
        <v/>
      </c>
      <c r="Q6833">
        <f>IF('Loan Tape (S&amp;P)'!V6833="Yes",
    1.20,
    1.00)</f>
        <v/>
      </c>
      <c r="T6833">
        <f>LET(
    payment_method,'Loan Tape (S&amp;P)'!P6833,
    occupancy,'Loan Tape (S&amp;P)'!N6833,
    maturity_date,'Loan Tape (S&amp;P)'!L6833,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34">
      <c r="J6834">
        <f>LET(
    lien,'Loan Tape (S&amp;P)'!Q6834,
    IF(lien="First",1.00,
        IF(lien="Second",1.50,
            1.70)))</f>
        <v/>
      </c>
      <c r="K6834">
        <f>LET(
    purpose,'Loan Tape (S&amp;P)'!R6834,
    IF(purpose="Purchase",1.00,
        IF(purpose="Remortgage",1.00,
            1.20)))</f>
        <v/>
      </c>
      <c r="L6834">
        <f>LET(
    arrears_months,'Loan Tape (S&amp;P)'!AN6834,
    IF(arrears_months=0,1.00,
    IF(arrears_months=1,3.00,
    IF(arrears_months=2,5.00,
    IF(arrears_months=3,8.00,
    IF(arrears_months=4,10.00,
    IF(arrears_months=5,12.00,15.00)))))))</f>
        <v/>
      </c>
      <c r="M6834">
        <f>LET(
    seasoning_years,DATEDIF('Loan Tape (S&amp;P)'!K6834,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34">
        <f>IF(AND('Loan Tape (S&amp;P)'!U6834="Yes",
        'Loan Tape (S&amp;P)'!T6834&lt;&gt;"Yes",
        DATEDIF('Loan Tape (S&amp;P)'!K6834, TODAY(), "M")&lt;18),
    1.10,
    1.00)</f>
        <v/>
      </c>
      <c r="O6834">
        <f>IF('Loan Tape (S&amp;P)'!T6834="Yes",
    1.35,
    1.00)</f>
        <v/>
      </c>
      <c r="P6834">
        <f>IF('Loan Tape (S&amp;P)'!S6834="Yes",
    1.15,
    1.00)</f>
        <v/>
      </c>
      <c r="Q6834">
        <f>IF('Loan Tape (S&amp;P)'!V6834="Yes",
    1.20,
    1.00)</f>
        <v/>
      </c>
      <c r="T6834">
        <f>LET(
    payment_method,'Loan Tape (S&amp;P)'!P6834,
    occupancy,'Loan Tape (S&amp;P)'!N6834,
    maturity_date,'Loan Tape (S&amp;P)'!L6834,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35">
      <c r="J6835">
        <f>LET(
    lien,'Loan Tape (S&amp;P)'!Q6835,
    IF(lien="First",1.00,
        IF(lien="Second",1.50,
            1.70)))</f>
        <v/>
      </c>
      <c r="K6835">
        <f>LET(
    purpose,'Loan Tape (S&amp;P)'!R6835,
    IF(purpose="Purchase",1.00,
        IF(purpose="Remortgage",1.00,
            1.20)))</f>
        <v/>
      </c>
      <c r="L6835">
        <f>LET(
    arrears_months,'Loan Tape (S&amp;P)'!AN6835,
    IF(arrears_months=0,1.00,
    IF(arrears_months=1,3.00,
    IF(arrears_months=2,5.00,
    IF(arrears_months=3,8.00,
    IF(arrears_months=4,10.00,
    IF(arrears_months=5,12.00,15.00)))))))</f>
        <v/>
      </c>
      <c r="M6835">
        <f>LET(
    seasoning_years,DATEDIF('Loan Tape (S&amp;P)'!K6835,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35">
        <f>IF(AND('Loan Tape (S&amp;P)'!U6835="Yes",
        'Loan Tape (S&amp;P)'!T6835&lt;&gt;"Yes",
        DATEDIF('Loan Tape (S&amp;P)'!K6835, TODAY(), "M")&lt;18),
    1.10,
    1.00)</f>
        <v/>
      </c>
      <c r="O6835">
        <f>IF('Loan Tape (S&amp;P)'!T6835="Yes",
    1.35,
    1.00)</f>
        <v/>
      </c>
      <c r="P6835">
        <f>IF('Loan Tape (S&amp;P)'!S6835="Yes",
    1.15,
    1.00)</f>
        <v/>
      </c>
      <c r="Q6835">
        <f>IF('Loan Tape (S&amp;P)'!V6835="Yes",
    1.20,
    1.00)</f>
        <v/>
      </c>
      <c r="T6835">
        <f>LET(
    payment_method,'Loan Tape (S&amp;P)'!P6835,
    occupancy,'Loan Tape (S&amp;P)'!N6835,
    maturity_date,'Loan Tape (S&amp;P)'!L6835,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36">
      <c r="J6836">
        <f>LET(
    lien,'Loan Tape (S&amp;P)'!Q6836,
    IF(lien="First",1.00,
        IF(lien="Second",1.50,
            1.70)))</f>
        <v/>
      </c>
      <c r="K6836">
        <f>LET(
    purpose,'Loan Tape (S&amp;P)'!R6836,
    IF(purpose="Purchase",1.00,
        IF(purpose="Remortgage",1.00,
            1.20)))</f>
        <v/>
      </c>
      <c r="L6836">
        <f>LET(
    arrears_months,'Loan Tape (S&amp;P)'!AN6836,
    IF(arrears_months=0,1.00,
    IF(arrears_months=1,3.00,
    IF(arrears_months=2,5.00,
    IF(arrears_months=3,8.00,
    IF(arrears_months=4,10.00,
    IF(arrears_months=5,12.00,15.00)))))))</f>
        <v/>
      </c>
      <c r="M6836">
        <f>LET(
    seasoning_years,DATEDIF('Loan Tape (S&amp;P)'!K6836,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36">
        <f>IF(AND('Loan Tape (S&amp;P)'!U6836="Yes",
        'Loan Tape (S&amp;P)'!T6836&lt;&gt;"Yes",
        DATEDIF('Loan Tape (S&amp;P)'!K6836, TODAY(), "M")&lt;18),
    1.10,
    1.00)</f>
        <v/>
      </c>
      <c r="O6836">
        <f>IF('Loan Tape (S&amp;P)'!T6836="Yes",
    1.35,
    1.00)</f>
        <v/>
      </c>
      <c r="P6836">
        <f>IF('Loan Tape (S&amp;P)'!S6836="Yes",
    1.15,
    1.00)</f>
        <v/>
      </c>
      <c r="Q6836">
        <f>IF('Loan Tape (S&amp;P)'!V6836="Yes",
    1.20,
    1.00)</f>
        <v/>
      </c>
      <c r="T6836">
        <f>LET(
    payment_method,'Loan Tape (S&amp;P)'!P6836,
    occupancy,'Loan Tape (S&amp;P)'!N6836,
    maturity_date,'Loan Tape (S&amp;P)'!L6836,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37">
      <c r="J6837">
        <f>LET(
    lien,'Loan Tape (S&amp;P)'!Q6837,
    IF(lien="First",1.00,
        IF(lien="Second",1.50,
            1.70)))</f>
        <v/>
      </c>
      <c r="K6837">
        <f>LET(
    purpose,'Loan Tape (S&amp;P)'!R6837,
    IF(purpose="Purchase",1.00,
        IF(purpose="Remortgage",1.00,
            1.20)))</f>
        <v/>
      </c>
      <c r="L6837">
        <f>LET(
    arrears_months,'Loan Tape (S&amp;P)'!AN6837,
    IF(arrears_months=0,1.00,
    IF(arrears_months=1,3.00,
    IF(arrears_months=2,5.00,
    IF(arrears_months=3,8.00,
    IF(arrears_months=4,10.00,
    IF(arrears_months=5,12.00,15.00)))))))</f>
        <v/>
      </c>
      <c r="M6837">
        <f>LET(
    seasoning_years,DATEDIF('Loan Tape (S&amp;P)'!K6837,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37">
        <f>IF(AND('Loan Tape (S&amp;P)'!U6837="Yes",
        'Loan Tape (S&amp;P)'!T6837&lt;&gt;"Yes",
        DATEDIF('Loan Tape (S&amp;P)'!K6837, TODAY(), "M")&lt;18),
    1.10,
    1.00)</f>
        <v/>
      </c>
      <c r="O6837">
        <f>IF('Loan Tape (S&amp;P)'!T6837="Yes",
    1.35,
    1.00)</f>
        <v/>
      </c>
      <c r="P6837">
        <f>IF('Loan Tape (S&amp;P)'!S6837="Yes",
    1.15,
    1.00)</f>
        <v/>
      </c>
      <c r="Q6837">
        <f>IF('Loan Tape (S&amp;P)'!V6837="Yes",
    1.20,
    1.00)</f>
        <v/>
      </c>
      <c r="T6837">
        <f>LET(
    payment_method,'Loan Tape (S&amp;P)'!P6837,
    occupancy,'Loan Tape (S&amp;P)'!N6837,
    maturity_date,'Loan Tape (S&amp;P)'!L6837,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38">
      <c r="J6838">
        <f>LET(
    lien,'Loan Tape (S&amp;P)'!Q6838,
    IF(lien="First",1.00,
        IF(lien="Second",1.50,
            1.70)))</f>
        <v/>
      </c>
      <c r="K6838">
        <f>LET(
    purpose,'Loan Tape (S&amp;P)'!R6838,
    IF(purpose="Purchase",1.00,
        IF(purpose="Remortgage",1.00,
            1.20)))</f>
        <v/>
      </c>
      <c r="L6838">
        <f>LET(
    arrears_months,'Loan Tape (S&amp;P)'!AN6838,
    IF(arrears_months=0,1.00,
    IF(arrears_months=1,3.00,
    IF(arrears_months=2,5.00,
    IF(arrears_months=3,8.00,
    IF(arrears_months=4,10.00,
    IF(arrears_months=5,12.00,15.00)))))))</f>
        <v/>
      </c>
      <c r="M6838">
        <f>LET(
    seasoning_years,DATEDIF('Loan Tape (S&amp;P)'!K6838,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38">
        <f>IF(AND('Loan Tape (S&amp;P)'!U6838="Yes",
        'Loan Tape (S&amp;P)'!T6838&lt;&gt;"Yes",
        DATEDIF('Loan Tape (S&amp;P)'!K6838, TODAY(), "M")&lt;18),
    1.10,
    1.00)</f>
        <v/>
      </c>
      <c r="O6838">
        <f>IF('Loan Tape (S&amp;P)'!T6838="Yes",
    1.35,
    1.00)</f>
        <v/>
      </c>
      <c r="P6838">
        <f>IF('Loan Tape (S&amp;P)'!S6838="Yes",
    1.15,
    1.00)</f>
        <v/>
      </c>
      <c r="Q6838">
        <f>IF('Loan Tape (S&amp;P)'!V6838="Yes",
    1.20,
    1.00)</f>
        <v/>
      </c>
      <c r="T6838">
        <f>LET(
    payment_method,'Loan Tape (S&amp;P)'!P6838,
    occupancy,'Loan Tape (S&amp;P)'!N6838,
    maturity_date,'Loan Tape (S&amp;P)'!L6838,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39">
      <c r="J6839">
        <f>LET(
    lien,'Loan Tape (S&amp;P)'!Q6839,
    IF(lien="First",1.00,
        IF(lien="Second",1.50,
            1.70)))</f>
        <v/>
      </c>
      <c r="K6839">
        <f>LET(
    purpose,'Loan Tape (S&amp;P)'!R6839,
    IF(purpose="Purchase",1.00,
        IF(purpose="Remortgage",1.00,
            1.20)))</f>
        <v/>
      </c>
      <c r="L6839">
        <f>LET(
    arrears_months,'Loan Tape (S&amp;P)'!AN6839,
    IF(arrears_months=0,1.00,
    IF(arrears_months=1,3.00,
    IF(arrears_months=2,5.00,
    IF(arrears_months=3,8.00,
    IF(arrears_months=4,10.00,
    IF(arrears_months=5,12.00,15.00)))))))</f>
        <v/>
      </c>
      <c r="M6839">
        <f>LET(
    seasoning_years,DATEDIF('Loan Tape (S&amp;P)'!K6839,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39">
        <f>IF(AND('Loan Tape (S&amp;P)'!U6839="Yes",
        'Loan Tape (S&amp;P)'!T6839&lt;&gt;"Yes",
        DATEDIF('Loan Tape (S&amp;P)'!K6839, TODAY(), "M")&lt;18),
    1.10,
    1.00)</f>
        <v/>
      </c>
      <c r="O6839">
        <f>IF('Loan Tape (S&amp;P)'!T6839="Yes",
    1.35,
    1.00)</f>
        <v/>
      </c>
      <c r="P6839">
        <f>IF('Loan Tape (S&amp;P)'!S6839="Yes",
    1.15,
    1.00)</f>
        <v/>
      </c>
      <c r="Q6839">
        <f>IF('Loan Tape (S&amp;P)'!V6839="Yes",
    1.20,
    1.00)</f>
        <v/>
      </c>
      <c r="T6839">
        <f>LET(
    payment_method,'Loan Tape (S&amp;P)'!P6839,
    occupancy,'Loan Tape (S&amp;P)'!N6839,
    maturity_date,'Loan Tape (S&amp;P)'!L6839,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40">
      <c r="J6840">
        <f>LET(
    lien,'Loan Tape (S&amp;P)'!Q6840,
    IF(lien="First",1.00,
        IF(lien="Second",1.50,
            1.70)))</f>
        <v/>
      </c>
      <c r="K6840">
        <f>LET(
    purpose,'Loan Tape (S&amp;P)'!R6840,
    IF(purpose="Purchase",1.00,
        IF(purpose="Remortgage",1.00,
            1.20)))</f>
        <v/>
      </c>
      <c r="L6840">
        <f>LET(
    arrears_months,'Loan Tape (S&amp;P)'!AN6840,
    IF(arrears_months=0,1.00,
    IF(arrears_months=1,3.00,
    IF(arrears_months=2,5.00,
    IF(arrears_months=3,8.00,
    IF(arrears_months=4,10.00,
    IF(arrears_months=5,12.00,15.00)))))))</f>
        <v/>
      </c>
      <c r="M6840">
        <f>LET(
    seasoning_years,DATEDIF('Loan Tape (S&amp;P)'!K6840,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40">
        <f>IF(AND('Loan Tape (S&amp;P)'!U6840="Yes",
        'Loan Tape (S&amp;P)'!T6840&lt;&gt;"Yes",
        DATEDIF('Loan Tape (S&amp;P)'!K6840, TODAY(), "M")&lt;18),
    1.10,
    1.00)</f>
        <v/>
      </c>
      <c r="O6840">
        <f>IF('Loan Tape (S&amp;P)'!T6840="Yes",
    1.35,
    1.00)</f>
        <v/>
      </c>
      <c r="P6840">
        <f>IF('Loan Tape (S&amp;P)'!S6840="Yes",
    1.15,
    1.00)</f>
        <v/>
      </c>
      <c r="Q6840">
        <f>IF('Loan Tape (S&amp;P)'!V6840="Yes",
    1.20,
    1.00)</f>
        <v/>
      </c>
      <c r="T6840">
        <f>LET(
    payment_method,'Loan Tape (S&amp;P)'!P6840,
    occupancy,'Loan Tape (S&amp;P)'!N6840,
    maturity_date,'Loan Tape (S&amp;P)'!L6840,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41">
      <c r="J6841">
        <f>LET(
    lien,'Loan Tape (S&amp;P)'!Q6841,
    IF(lien="First",1.00,
        IF(lien="Second",1.50,
            1.70)))</f>
        <v/>
      </c>
      <c r="K6841">
        <f>LET(
    purpose,'Loan Tape (S&amp;P)'!R6841,
    IF(purpose="Purchase",1.00,
        IF(purpose="Remortgage",1.00,
            1.20)))</f>
        <v/>
      </c>
      <c r="L6841">
        <f>LET(
    arrears_months,'Loan Tape (S&amp;P)'!AN6841,
    IF(arrears_months=0,1.00,
    IF(arrears_months=1,3.00,
    IF(arrears_months=2,5.00,
    IF(arrears_months=3,8.00,
    IF(arrears_months=4,10.00,
    IF(arrears_months=5,12.00,15.00)))))))</f>
        <v/>
      </c>
      <c r="M6841">
        <f>LET(
    seasoning_years,DATEDIF('Loan Tape (S&amp;P)'!K6841,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41">
        <f>IF(AND('Loan Tape (S&amp;P)'!U6841="Yes",
        'Loan Tape (S&amp;P)'!T6841&lt;&gt;"Yes",
        DATEDIF('Loan Tape (S&amp;P)'!K6841, TODAY(), "M")&lt;18),
    1.10,
    1.00)</f>
        <v/>
      </c>
      <c r="O6841">
        <f>IF('Loan Tape (S&amp;P)'!T6841="Yes",
    1.35,
    1.00)</f>
        <v/>
      </c>
      <c r="P6841">
        <f>IF('Loan Tape (S&amp;P)'!S6841="Yes",
    1.15,
    1.00)</f>
        <v/>
      </c>
      <c r="Q6841">
        <f>IF('Loan Tape (S&amp;P)'!V6841="Yes",
    1.20,
    1.00)</f>
        <v/>
      </c>
      <c r="T6841">
        <f>LET(
    payment_method,'Loan Tape (S&amp;P)'!P6841,
    occupancy,'Loan Tape (S&amp;P)'!N6841,
    maturity_date,'Loan Tape (S&amp;P)'!L6841,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42">
      <c r="J6842">
        <f>LET(
    lien,'Loan Tape (S&amp;P)'!Q6842,
    IF(lien="First",1.00,
        IF(lien="Second",1.50,
            1.70)))</f>
        <v/>
      </c>
      <c r="K6842">
        <f>LET(
    purpose,'Loan Tape (S&amp;P)'!R6842,
    IF(purpose="Purchase",1.00,
        IF(purpose="Remortgage",1.00,
            1.20)))</f>
        <v/>
      </c>
      <c r="L6842">
        <f>LET(
    arrears_months,'Loan Tape (S&amp;P)'!AN6842,
    IF(arrears_months=0,1.00,
    IF(arrears_months=1,3.00,
    IF(arrears_months=2,5.00,
    IF(arrears_months=3,8.00,
    IF(arrears_months=4,10.00,
    IF(arrears_months=5,12.00,15.00)))))))</f>
        <v/>
      </c>
      <c r="M6842">
        <f>LET(
    seasoning_years,DATEDIF('Loan Tape (S&amp;P)'!K6842,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42">
        <f>IF(AND('Loan Tape (S&amp;P)'!U6842="Yes",
        'Loan Tape (S&amp;P)'!T6842&lt;&gt;"Yes",
        DATEDIF('Loan Tape (S&amp;P)'!K6842, TODAY(), "M")&lt;18),
    1.10,
    1.00)</f>
        <v/>
      </c>
      <c r="O6842">
        <f>IF('Loan Tape (S&amp;P)'!T6842="Yes",
    1.35,
    1.00)</f>
        <v/>
      </c>
      <c r="P6842">
        <f>IF('Loan Tape (S&amp;P)'!S6842="Yes",
    1.15,
    1.00)</f>
        <v/>
      </c>
      <c r="Q6842">
        <f>IF('Loan Tape (S&amp;P)'!V6842="Yes",
    1.20,
    1.00)</f>
        <v/>
      </c>
      <c r="T6842">
        <f>LET(
    payment_method,'Loan Tape (S&amp;P)'!P6842,
    occupancy,'Loan Tape (S&amp;P)'!N6842,
    maturity_date,'Loan Tape (S&amp;P)'!L6842,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43">
      <c r="J6843">
        <f>LET(
    lien,'Loan Tape (S&amp;P)'!Q6843,
    IF(lien="First",1.00,
        IF(lien="Second",1.50,
            1.70)))</f>
        <v/>
      </c>
      <c r="K6843">
        <f>LET(
    purpose,'Loan Tape (S&amp;P)'!R6843,
    IF(purpose="Purchase",1.00,
        IF(purpose="Remortgage",1.00,
            1.20)))</f>
        <v/>
      </c>
      <c r="L6843">
        <f>LET(
    arrears_months,'Loan Tape (S&amp;P)'!AN6843,
    IF(arrears_months=0,1.00,
    IF(arrears_months=1,3.00,
    IF(arrears_months=2,5.00,
    IF(arrears_months=3,8.00,
    IF(arrears_months=4,10.00,
    IF(arrears_months=5,12.00,15.00)))))))</f>
        <v/>
      </c>
      <c r="M6843">
        <f>LET(
    seasoning_years,DATEDIF('Loan Tape (S&amp;P)'!K6843,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43">
        <f>IF(AND('Loan Tape (S&amp;P)'!U6843="Yes",
        'Loan Tape (S&amp;P)'!T6843&lt;&gt;"Yes",
        DATEDIF('Loan Tape (S&amp;P)'!K6843, TODAY(), "M")&lt;18),
    1.10,
    1.00)</f>
        <v/>
      </c>
      <c r="O6843">
        <f>IF('Loan Tape (S&amp;P)'!T6843="Yes",
    1.35,
    1.00)</f>
        <v/>
      </c>
      <c r="P6843">
        <f>IF('Loan Tape (S&amp;P)'!S6843="Yes",
    1.15,
    1.00)</f>
        <v/>
      </c>
      <c r="Q6843">
        <f>IF('Loan Tape (S&amp;P)'!V6843="Yes",
    1.20,
    1.00)</f>
        <v/>
      </c>
      <c r="T6843">
        <f>LET(
    payment_method,'Loan Tape (S&amp;P)'!P6843,
    occupancy,'Loan Tape (S&amp;P)'!N6843,
    maturity_date,'Loan Tape (S&amp;P)'!L6843,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44">
      <c r="J6844">
        <f>LET(
    lien,'Loan Tape (S&amp;P)'!Q6844,
    IF(lien="First",1.00,
        IF(lien="Second",1.50,
            1.70)))</f>
        <v/>
      </c>
      <c r="K6844">
        <f>LET(
    purpose,'Loan Tape (S&amp;P)'!R6844,
    IF(purpose="Purchase",1.00,
        IF(purpose="Remortgage",1.00,
            1.20)))</f>
        <v/>
      </c>
      <c r="L6844">
        <f>LET(
    arrears_months,'Loan Tape (S&amp;P)'!AN6844,
    IF(arrears_months=0,1.00,
    IF(arrears_months=1,3.00,
    IF(arrears_months=2,5.00,
    IF(arrears_months=3,8.00,
    IF(arrears_months=4,10.00,
    IF(arrears_months=5,12.00,15.00)))))))</f>
        <v/>
      </c>
      <c r="M6844">
        <f>LET(
    seasoning_years,DATEDIF('Loan Tape (S&amp;P)'!K6844,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44">
        <f>IF(AND('Loan Tape (S&amp;P)'!U6844="Yes",
        'Loan Tape (S&amp;P)'!T6844&lt;&gt;"Yes",
        DATEDIF('Loan Tape (S&amp;P)'!K6844, TODAY(), "M")&lt;18),
    1.10,
    1.00)</f>
        <v/>
      </c>
      <c r="O6844">
        <f>IF('Loan Tape (S&amp;P)'!T6844="Yes",
    1.35,
    1.00)</f>
        <v/>
      </c>
      <c r="P6844">
        <f>IF('Loan Tape (S&amp;P)'!S6844="Yes",
    1.15,
    1.00)</f>
        <v/>
      </c>
      <c r="Q6844">
        <f>IF('Loan Tape (S&amp;P)'!V6844="Yes",
    1.20,
    1.00)</f>
        <v/>
      </c>
      <c r="T6844">
        <f>LET(
    payment_method,'Loan Tape (S&amp;P)'!P6844,
    occupancy,'Loan Tape (S&amp;P)'!N6844,
    maturity_date,'Loan Tape (S&amp;P)'!L6844,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45">
      <c r="J6845">
        <f>LET(
    lien,'Loan Tape (S&amp;P)'!Q6845,
    IF(lien="First",1.00,
        IF(lien="Second",1.50,
            1.70)))</f>
        <v/>
      </c>
      <c r="K6845">
        <f>LET(
    purpose,'Loan Tape (S&amp;P)'!R6845,
    IF(purpose="Purchase",1.00,
        IF(purpose="Remortgage",1.00,
            1.20)))</f>
        <v/>
      </c>
      <c r="L6845">
        <f>LET(
    arrears_months,'Loan Tape (S&amp;P)'!AN6845,
    IF(arrears_months=0,1.00,
    IF(arrears_months=1,3.00,
    IF(arrears_months=2,5.00,
    IF(arrears_months=3,8.00,
    IF(arrears_months=4,10.00,
    IF(arrears_months=5,12.00,15.00)))))))</f>
        <v/>
      </c>
      <c r="M6845">
        <f>LET(
    seasoning_years,DATEDIF('Loan Tape (S&amp;P)'!K6845,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45">
        <f>IF(AND('Loan Tape (S&amp;P)'!U6845="Yes",
        'Loan Tape (S&amp;P)'!T6845&lt;&gt;"Yes",
        DATEDIF('Loan Tape (S&amp;P)'!K6845, TODAY(), "M")&lt;18),
    1.10,
    1.00)</f>
        <v/>
      </c>
      <c r="O6845">
        <f>IF('Loan Tape (S&amp;P)'!T6845="Yes",
    1.35,
    1.00)</f>
        <v/>
      </c>
      <c r="P6845">
        <f>IF('Loan Tape (S&amp;P)'!S6845="Yes",
    1.15,
    1.00)</f>
        <v/>
      </c>
      <c r="Q6845">
        <f>IF('Loan Tape (S&amp;P)'!V6845="Yes",
    1.20,
    1.00)</f>
        <v/>
      </c>
      <c r="T6845">
        <f>LET(
    payment_method,'Loan Tape (S&amp;P)'!P6845,
    occupancy,'Loan Tape (S&amp;P)'!N6845,
    maturity_date,'Loan Tape (S&amp;P)'!L6845,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46">
      <c r="J6846">
        <f>LET(
    lien,'Loan Tape (S&amp;P)'!Q6846,
    IF(lien="First",1.00,
        IF(lien="Second",1.50,
            1.70)))</f>
        <v/>
      </c>
      <c r="K6846">
        <f>LET(
    purpose,'Loan Tape (S&amp;P)'!R6846,
    IF(purpose="Purchase",1.00,
        IF(purpose="Remortgage",1.00,
            1.20)))</f>
        <v/>
      </c>
      <c r="L6846">
        <f>LET(
    arrears_months,'Loan Tape (S&amp;P)'!AN6846,
    IF(arrears_months=0,1.00,
    IF(arrears_months=1,3.00,
    IF(arrears_months=2,5.00,
    IF(arrears_months=3,8.00,
    IF(arrears_months=4,10.00,
    IF(arrears_months=5,12.00,15.00)))))))</f>
        <v/>
      </c>
      <c r="M6846">
        <f>LET(
    seasoning_years,DATEDIF('Loan Tape (S&amp;P)'!K6846,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46">
        <f>IF(AND('Loan Tape (S&amp;P)'!U6846="Yes",
        'Loan Tape (S&amp;P)'!T6846&lt;&gt;"Yes",
        DATEDIF('Loan Tape (S&amp;P)'!K6846, TODAY(), "M")&lt;18),
    1.10,
    1.00)</f>
        <v/>
      </c>
      <c r="O6846">
        <f>IF('Loan Tape (S&amp;P)'!T6846="Yes",
    1.35,
    1.00)</f>
        <v/>
      </c>
      <c r="P6846">
        <f>IF('Loan Tape (S&amp;P)'!S6846="Yes",
    1.15,
    1.00)</f>
        <v/>
      </c>
      <c r="Q6846">
        <f>IF('Loan Tape (S&amp;P)'!V6846="Yes",
    1.20,
    1.00)</f>
        <v/>
      </c>
      <c r="T6846">
        <f>LET(
    payment_method,'Loan Tape (S&amp;P)'!P6846,
    occupancy,'Loan Tape (S&amp;P)'!N6846,
    maturity_date,'Loan Tape (S&amp;P)'!L6846,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47">
      <c r="J6847">
        <f>LET(
    lien,'Loan Tape (S&amp;P)'!Q6847,
    IF(lien="First",1.00,
        IF(lien="Second",1.50,
            1.70)))</f>
        <v/>
      </c>
      <c r="K6847">
        <f>LET(
    purpose,'Loan Tape (S&amp;P)'!R6847,
    IF(purpose="Purchase",1.00,
        IF(purpose="Remortgage",1.00,
            1.20)))</f>
        <v/>
      </c>
      <c r="L6847">
        <f>LET(
    arrears_months,'Loan Tape (S&amp;P)'!AN6847,
    IF(arrears_months=0,1.00,
    IF(arrears_months=1,3.00,
    IF(arrears_months=2,5.00,
    IF(arrears_months=3,8.00,
    IF(arrears_months=4,10.00,
    IF(arrears_months=5,12.00,15.00)))))))</f>
        <v/>
      </c>
      <c r="M6847">
        <f>LET(
    seasoning_years,DATEDIF('Loan Tape (S&amp;P)'!K6847,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47">
        <f>IF(AND('Loan Tape (S&amp;P)'!U6847="Yes",
        'Loan Tape (S&amp;P)'!T6847&lt;&gt;"Yes",
        DATEDIF('Loan Tape (S&amp;P)'!K6847, TODAY(), "M")&lt;18),
    1.10,
    1.00)</f>
        <v/>
      </c>
      <c r="O6847">
        <f>IF('Loan Tape (S&amp;P)'!T6847="Yes",
    1.35,
    1.00)</f>
        <v/>
      </c>
      <c r="P6847">
        <f>IF('Loan Tape (S&amp;P)'!S6847="Yes",
    1.15,
    1.00)</f>
        <v/>
      </c>
      <c r="Q6847">
        <f>IF('Loan Tape (S&amp;P)'!V6847="Yes",
    1.20,
    1.00)</f>
        <v/>
      </c>
      <c r="T6847">
        <f>LET(
    payment_method,'Loan Tape (S&amp;P)'!P6847,
    occupancy,'Loan Tape (S&amp;P)'!N6847,
    maturity_date,'Loan Tape (S&amp;P)'!L6847,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48">
      <c r="J6848">
        <f>LET(
    lien,'Loan Tape (S&amp;P)'!Q6848,
    IF(lien="First",1.00,
        IF(lien="Second",1.50,
            1.70)))</f>
        <v/>
      </c>
      <c r="K6848">
        <f>LET(
    purpose,'Loan Tape (S&amp;P)'!R6848,
    IF(purpose="Purchase",1.00,
        IF(purpose="Remortgage",1.00,
            1.20)))</f>
        <v/>
      </c>
      <c r="L6848">
        <f>LET(
    arrears_months,'Loan Tape (S&amp;P)'!AN6848,
    IF(arrears_months=0,1.00,
    IF(arrears_months=1,3.00,
    IF(arrears_months=2,5.00,
    IF(arrears_months=3,8.00,
    IF(arrears_months=4,10.00,
    IF(arrears_months=5,12.00,15.00)))))))</f>
        <v/>
      </c>
      <c r="M6848">
        <f>LET(
    seasoning_years,DATEDIF('Loan Tape (S&amp;P)'!K6848,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48">
        <f>IF(AND('Loan Tape (S&amp;P)'!U6848="Yes",
        'Loan Tape (S&amp;P)'!T6848&lt;&gt;"Yes",
        DATEDIF('Loan Tape (S&amp;P)'!K6848, TODAY(), "M")&lt;18),
    1.10,
    1.00)</f>
        <v/>
      </c>
      <c r="O6848">
        <f>IF('Loan Tape (S&amp;P)'!T6848="Yes",
    1.35,
    1.00)</f>
        <v/>
      </c>
      <c r="P6848">
        <f>IF('Loan Tape (S&amp;P)'!S6848="Yes",
    1.15,
    1.00)</f>
        <v/>
      </c>
      <c r="Q6848">
        <f>IF('Loan Tape (S&amp;P)'!V6848="Yes",
    1.20,
    1.00)</f>
        <v/>
      </c>
      <c r="T6848">
        <f>LET(
    payment_method,'Loan Tape (S&amp;P)'!P6848,
    occupancy,'Loan Tape (S&amp;P)'!N6848,
    maturity_date,'Loan Tape (S&amp;P)'!L6848,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49">
      <c r="J6849">
        <f>LET(
    lien,'Loan Tape (S&amp;P)'!Q6849,
    IF(lien="First",1.00,
        IF(lien="Second",1.50,
            1.70)))</f>
        <v/>
      </c>
      <c r="K6849">
        <f>LET(
    purpose,'Loan Tape (S&amp;P)'!R6849,
    IF(purpose="Purchase",1.00,
        IF(purpose="Remortgage",1.00,
            1.20)))</f>
        <v/>
      </c>
      <c r="L6849">
        <f>LET(
    arrears_months,'Loan Tape (S&amp;P)'!AN6849,
    IF(arrears_months=0,1.00,
    IF(arrears_months=1,3.00,
    IF(arrears_months=2,5.00,
    IF(arrears_months=3,8.00,
    IF(arrears_months=4,10.00,
    IF(arrears_months=5,12.00,15.00)))))))</f>
        <v/>
      </c>
      <c r="M6849">
        <f>LET(
    seasoning_years,DATEDIF('Loan Tape (S&amp;P)'!K6849,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49">
        <f>IF(AND('Loan Tape (S&amp;P)'!U6849="Yes",
        'Loan Tape (S&amp;P)'!T6849&lt;&gt;"Yes",
        DATEDIF('Loan Tape (S&amp;P)'!K6849, TODAY(), "M")&lt;18),
    1.10,
    1.00)</f>
        <v/>
      </c>
      <c r="O6849">
        <f>IF('Loan Tape (S&amp;P)'!T6849="Yes",
    1.35,
    1.00)</f>
        <v/>
      </c>
      <c r="P6849">
        <f>IF('Loan Tape (S&amp;P)'!S6849="Yes",
    1.15,
    1.00)</f>
        <v/>
      </c>
      <c r="Q6849">
        <f>IF('Loan Tape (S&amp;P)'!V6849="Yes",
    1.20,
    1.00)</f>
        <v/>
      </c>
      <c r="T6849">
        <f>LET(
    payment_method,'Loan Tape (S&amp;P)'!P6849,
    occupancy,'Loan Tape (S&amp;P)'!N6849,
    maturity_date,'Loan Tape (S&amp;P)'!L6849,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50">
      <c r="J6850">
        <f>LET(
    lien,'Loan Tape (S&amp;P)'!Q6850,
    IF(lien="First",1.00,
        IF(lien="Second",1.50,
            1.70)))</f>
        <v/>
      </c>
      <c r="K6850">
        <f>LET(
    purpose,'Loan Tape (S&amp;P)'!R6850,
    IF(purpose="Purchase",1.00,
        IF(purpose="Remortgage",1.00,
            1.20)))</f>
        <v/>
      </c>
      <c r="L6850">
        <f>LET(
    arrears_months,'Loan Tape (S&amp;P)'!AN6850,
    IF(arrears_months=0,1.00,
    IF(arrears_months=1,3.00,
    IF(arrears_months=2,5.00,
    IF(arrears_months=3,8.00,
    IF(arrears_months=4,10.00,
    IF(arrears_months=5,12.00,15.00)))))))</f>
        <v/>
      </c>
      <c r="M6850">
        <f>LET(
    seasoning_years,DATEDIF('Loan Tape (S&amp;P)'!K6850,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50">
        <f>IF(AND('Loan Tape (S&amp;P)'!U6850="Yes",
        'Loan Tape (S&amp;P)'!T6850&lt;&gt;"Yes",
        DATEDIF('Loan Tape (S&amp;P)'!K6850, TODAY(), "M")&lt;18),
    1.10,
    1.00)</f>
        <v/>
      </c>
      <c r="O6850">
        <f>IF('Loan Tape (S&amp;P)'!T6850="Yes",
    1.35,
    1.00)</f>
        <v/>
      </c>
      <c r="P6850">
        <f>IF('Loan Tape (S&amp;P)'!S6850="Yes",
    1.15,
    1.00)</f>
        <v/>
      </c>
      <c r="Q6850">
        <f>IF('Loan Tape (S&amp;P)'!V6850="Yes",
    1.20,
    1.00)</f>
        <v/>
      </c>
      <c r="T6850">
        <f>LET(
    payment_method,'Loan Tape (S&amp;P)'!P6850,
    occupancy,'Loan Tape (S&amp;P)'!N6850,
    maturity_date,'Loan Tape (S&amp;P)'!L6850,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51">
      <c r="J6851">
        <f>LET(
    lien,'Loan Tape (S&amp;P)'!Q6851,
    IF(lien="First",1.00,
        IF(lien="Second",1.50,
            1.70)))</f>
        <v/>
      </c>
      <c r="K6851">
        <f>LET(
    purpose,'Loan Tape (S&amp;P)'!R6851,
    IF(purpose="Purchase",1.00,
        IF(purpose="Remortgage",1.00,
            1.20)))</f>
        <v/>
      </c>
      <c r="L6851">
        <f>LET(
    arrears_months,'Loan Tape (S&amp;P)'!AN6851,
    IF(arrears_months=0,1.00,
    IF(arrears_months=1,3.00,
    IF(arrears_months=2,5.00,
    IF(arrears_months=3,8.00,
    IF(arrears_months=4,10.00,
    IF(arrears_months=5,12.00,15.00)))))))</f>
        <v/>
      </c>
      <c r="M6851">
        <f>LET(
    seasoning_years,DATEDIF('Loan Tape (S&amp;P)'!K6851,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51">
        <f>IF(AND('Loan Tape (S&amp;P)'!U6851="Yes",
        'Loan Tape (S&amp;P)'!T6851&lt;&gt;"Yes",
        DATEDIF('Loan Tape (S&amp;P)'!K6851, TODAY(), "M")&lt;18),
    1.10,
    1.00)</f>
        <v/>
      </c>
      <c r="O6851">
        <f>IF('Loan Tape (S&amp;P)'!T6851="Yes",
    1.35,
    1.00)</f>
        <v/>
      </c>
      <c r="P6851">
        <f>IF('Loan Tape (S&amp;P)'!S6851="Yes",
    1.15,
    1.00)</f>
        <v/>
      </c>
      <c r="Q6851">
        <f>IF('Loan Tape (S&amp;P)'!V6851="Yes",
    1.20,
    1.00)</f>
        <v/>
      </c>
      <c r="T6851">
        <f>LET(
    payment_method,'Loan Tape (S&amp;P)'!P6851,
    occupancy,'Loan Tape (S&amp;P)'!N6851,
    maturity_date,'Loan Tape (S&amp;P)'!L6851,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52">
      <c r="J6852">
        <f>LET(
    lien,'Loan Tape (S&amp;P)'!Q6852,
    IF(lien="First",1.00,
        IF(lien="Second",1.50,
            1.70)))</f>
        <v/>
      </c>
      <c r="K6852">
        <f>LET(
    purpose,'Loan Tape (S&amp;P)'!R6852,
    IF(purpose="Purchase",1.00,
        IF(purpose="Remortgage",1.00,
            1.20)))</f>
        <v/>
      </c>
      <c r="L6852">
        <f>LET(
    arrears_months,'Loan Tape (S&amp;P)'!AN6852,
    IF(arrears_months=0,1.00,
    IF(arrears_months=1,3.00,
    IF(arrears_months=2,5.00,
    IF(arrears_months=3,8.00,
    IF(arrears_months=4,10.00,
    IF(arrears_months=5,12.00,15.00)))))))</f>
        <v/>
      </c>
      <c r="M6852">
        <f>LET(
    seasoning_years,DATEDIF('Loan Tape (S&amp;P)'!K6852,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52">
        <f>IF(AND('Loan Tape (S&amp;P)'!U6852="Yes",
        'Loan Tape (S&amp;P)'!T6852&lt;&gt;"Yes",
        DATEDIF('Loan Tape (S&amp;P)'!K6852, TODAY(), "M")&lt;18),
    1.10,
    1.00)</f>
        <v/>
      </c>
      <c r="O6852">
        <f>IF('Loan Tape (S&amp;P)'!T6852="Yes",
    1.35,
    1.00)</f>
        <v/>
      </c>
      <c r="P6852">
        <f>IF('Loan Tape (S&amp;P)'!S6852="Yes",
    1.15,
    1.00)</f>
        <v/>
      </c>
      <c r="Q6852">
        <f>IF('Loan Tape (S&amp;P)'!V6852="Yes",
    1.20,
    1.00)</f>
        <v/>
      </c>
      <c r="T6852">
        <f>LET(
    payment_method,'Loan Tape (S&amp;P)'!P6852,
    occupancy,'Loan Tape (S&amp;P)'!N6852,
    maturity_date,'Loan Tape (S&amp;P)'!L6852,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53">
      <c r="J6853">
        <f>LET(
    lien,'Loan Tape (S&amp;P)'!Q6853,
    IF(lien="First",1.00,
        IF(lien="Second",1.50,
            1.70)))</f>
        <v/>
      </c>
      <c r="K6853">
        <f>LET(
    purpose,'Loan Tape (S&amp;P)'!R6853,
    IF(purpose="Purchase",1.00,
        IF(purpose="Remortgage",1.00,
            1.20)))</f>
        <v/>
      </c>
      <c r="L6853">
        <f>LET(
    arrears_months,'Loan Tape (S&amp;P)'!AN6853,
    IF(arrears_months=0,1.00,
    IF(arrears_months=1,3.00,
    IF(arrears_months=2,5.00,
    IF(arrears_months=3,8.00,
    IF(arrears_months=4,10.00,
    IF(arrears_months=5,12.00,15.00)))))))</f>
        <v/>
      </c>
      <c r="M6853">
        <f>LET(
    seasoning_years,DATEDIF('Loan Tape (S&amp;P)'!K6853,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53">
        <f>IF(AND('Loan Tape (S&amp;P)'!U6853="Yes",
        'Loan Tape (S&amp;P)'!T6853&lt;&gt;"Yes",
        DATEDIF('Loan Tape (S&amp;P)'!K6853, TODAY(), "M")&lt;18),
    1.10,
    1.00)</f>
        <v/>
      </c>
      <c r="O6853">
        <f>IF('Loan Tape (S&amp;P)'!T6853="Yes",
    1.35,
    1.00)</f>
        <v/>
      </c>
      <c r="P6853">
        <f>IF('Loan Tape (S&amp;P)'!S6853="Yes",
    1.15,
    1.00)</f>
        <v/>
      </c>
      <c r="Q6853">
        <f>IF('Loan Tape (S&amp;P)'!V6853="Yes",
    1.20,
    1.00)</f>
        <v/>
      </c>
      <c r="T6853">
        <f>LET(
    payment_method,'Loan Tape (S&amp;P)'!P6853,
    occupancy,'Loan Tape (S&amp;P)'!N6853,
    maturity_date,'Loan Tape (S&amp;P)'!L6853,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54">
      <c r="J6854">
        <f>LET(
    lien,'Loan Tape (S&amp;P)'!Q6854,
    IF(lien="First",1.00,
        IF(lien="Second",1.50,
            1.70)))</f>
        <v/>
      </c>
      <c r="K6854">
        <f>LET(
    purpose,'Loan Tape (S&amp;P)'!R6854,
    IF(purpose="Purchase",1.00,
        IF(purpose="Remortgage",1.00,
            1.20)))</f>
        <v/>
      </c>
      <c r="L6854">
        <f>LET(
    arrears_months,'Loan Tape (S&amp;P)'!AN6854,
    IF(arrears_months=0,1.00,
    IF(arrears_months=1,3.00,
    IF(arrears_months=2,5.00,
    IF(arrears_months=3,8.00,
    IF(arrears_months=4,10.00,
    IF(arrears_months=5,12.00,15.00)))))))</f>
        <v/>
      </c>
      <c r="M6854">
        <f>LET(
    seasoning_years,DATEDIF('Loan Tape (S&amp;P)'!K6854,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54">
        <f>IF(AND('Loan Tape (S&amp;P)'!U6854="Yes",
        'Loan Tape (S&amp;P)'!T6854&lt;&gt;"Yes",
        DATEDIF('Loan Tape (S&amp;P)'!K6854, TODAY(), "M")&lt;18),
    1.10,
    1.00)</f>
        <v/>
      </c>
      <c r="O6854">
        <f>IF('Loan Tape (S&amp;P)'!T6854="Yes",
    1.35,
    1.00)</f>
        <v/>
      </c>
      <c r="P6854">
        <f>IF('Loan Tape (S&amp;P)'!S6854="Yes",
    1.15,
    1.00)</f>
        <v/>
      </c>
      <c r="Q6854">
        <f>IF('Loan Tape (S&amp;P)'!V6854="Yes",
    1.20,
    1.00)</f>
        <v/>
      </c>
      <c r="T6854">
        <f>LET(
    payment_method,'Loan Tape (S&amp;P)'!P6854,
    occupancy,'Loan Tape (S&amp;P)'!N6854,
    maturity_date,'Loan Tape (S&amp;P)'!L6854,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55">
      <c r="J6855">
        <f>LET(
    lien,'Loan Tape (S&amp;P)'!Q6855,
    IF(lien="First",1.00,
        IF(lien="Second",1.50,
            1.70)))</f>
        <v/>
      </c>
      <c r="K6855">
        <f>LET(
    purpose,'Loan Tape (S&amp;P)'!R6855,
    IF(purpose="Purchase",1.00,
        IF(purpose="Remortgage",1.00,
            1.20)))</f>
        <v/>
      </c>
      <c r="L6855">
        <f>LET(
    arrears_months,'Loan Tape (S&amp;P)'!AN6855,
    IF(arrears_months=0,1.00,
    IF(arrears_months=1,3.00,
    IF(arrears_months=2,5.00,
    IF(arrears_months=3,8.00,
    IF(arrears_months=4,10.00,
    IF(arrears_months=5,12.00,15.00)))))))</f>
        <v/>
      </c>
      <c r="M6855">
        <f>LET(
    seasoning_years,DATEDIF('Loan Tape (S&amp;P)'!K6855,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55">
        <f>IF(AND('Loan Tape (S&amp;P)'!U6855="Yes",
        'Loan Tape (S&amp;P)'!T6855&lt;&gt;"Yes",
        DATEDIF('Loan Tape (S&amp;P)'!K6855, TODAY(), "M")&lt;18),
    1.10,
    1.00)</f>
        <v/>
      </c>
      <c r="O6855">
        <f>IF('Loan Tape (S&amp;P)'!T6855="Yes",
    1.35,
    1.00)</f>
        <v/>
      </c>
      <c r="P6855">
        <f>IF('Loan Tape (S&amp;P)'!S6855="Yes",
    1.15,
    1.00)</f>
        <v/>
      </c>
      <c r="Q6855">
        <f>IF('Loan Tape (S&amp;P)'!V6855="Yes",
    1.20,
    1.00)</f>
        <v/>
      </c>
      <c r="T6855">
        <f>LET(
    payment_method,'Loan Tape (S&amp;P)'!P6855,
    occupancy,'Loan Tape (S&amp;P)'!N6855,
    maturity_date,'Loan Tape (S&amp;P)'!L6855,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56">
      <c r="J6856">
        <f>LET(
    lien,'Loan Tape (S&amp;P)'!Q6856,
    IF(lien="First",1.00,
        IF(lien="Second",1.50,
            1.70)))</f>
        <v/>
      </c>
      <c r="K6856">
        <f>LET(
    purpose,'Loan Tape (S&amp;P)'!R6856,
    IF(purpose="Purchase",1.00,
        IF(purpose="Remortgage",1.00,
            1.20)))</f>
        <v/>
      </c>
      <c r="L6856">
        <f>LET(
    arrears_months,'Loan Tape (S&amp;P)'!AN6856,
    IF(arrears_months=0,1.00,
    IF(arrears_months=1,3.00,
    IF(arrears_months=2,5.00,
    IF(arrears_months=3,8.00,
    IF(arrears_months=4,10.00,
    IF(arrears_months=5,12.00,15.00)))))))</f>
        <v/>
      </c>
      <c r="M6856">
        <f>LET(
    seasoning_years,DATEDIF('Loan Tape (S&amp;P)'!K6856,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56">
        <f>IF(AND('Loan Tape (S&amp;P)'!U6856="Yes",
        'Loan Tape (S&amp;P)'!T6856&lt;&gt;"Yes",
        DATEDIF('Loan Tape (S&amp;P)'!K6856, TODAY(), "M")&lt;18),
    1.10,
    1.00)</f>
        <v/>
      </c>
      <c r="O6856">
        <f>IF('Loan Tape (S&amp;P)'!T6856="Yes",
    1.35,
    1.00)</f>
        <v/>
      </c>
      <c r="P6856">
        <f>IF('Loan Tape (S&amp;P)'!S6856="Yes",
    1.15,
    1.00)</f>
        <v/>
      </c>
      <c r="Q6856">
        <f>IF('Loan Tape (S&amp;P)'!V6856="Yes",
    1.20,
    1.00)</f>
        <v/>
      </c>
      <c r="T6856">
        <f>LET(
    payment_method,'Loan Tape (S&amp;P)'!P6856,
    occupancy,'Loan Tape (S&amp;P)'!N6856,
    maturity_date,'Loan Tape (S&amp;P)'!L6856,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57">
      <c r="J6857">
        <f>LET(
    lien,'Loan Tape (S&amp;P)'!Q6857,
    IF(lien="First",1.00,
        IF(lien="Second",1.50,
            1.70)))</f>
        <v/>
      </c>
      <c r="K6857">
        <f>LET(
    purpose,'Loan Tape (S&amp;P)'!R6857,
    IF(purpose="Purchase",1.00,
        IF(purpose="Remortgage",1.00,
            1.20)))</f>
        <v/>
      </c>
      <c r="L6857">
        <f>LET(
    arrears_months,'Loan Tape (S&amp;P)'!AN6857,
    IF(arrears_months=0,1.00,
    IF(arrears_months=1,3.00,
    IF(arrears_months=2,5.00,
    IF(arrears_months=3,8.00,
    IF(arrears_months=4,10.00,
    IF(arrears_months=5,12.00,15.00)))))))</f>
        <v/>
      </c>
      <c r="M6857">
        <f>LET(
    seasoning_years,DATEDIF('Loan Tape (S&amp;P)'!K6857,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57">
        <f>IF(AND('Loan Tape (S&amp;P)'!U6857="Yes",
        'Loan Tape (S&amp;P)'!T6857&lt;&gt;"Yes",
        DATEDIF('Loan Tape (S&amp;P)'!K6857, TODAY(), "M")&lt;18),
    1.10,
    1.00)</f>
        <v/>
      </c>
      <c r="O6857">
        <f>IF('Loan Tape (S&amp;P)'!T6857="Yes",
    1.35,
    1.00)</f>
        <v/>
      </c>
      <c r="P6857">
        <f>IF('Loan Tape (S&amp;P)'!S6857="Yes",
    1.15,
    1.00)</f>
        <v/>
      </c>
      <c r="Q6857">
        <f>IF('Loan Tape (S&amp;P)'!V6857="Yes",
    1.20,
    1.00)</f>
        <v/>
      </c>
      <c r="T6857">
        <f>LET(
    payment_method,'Loan Tape (S&amp;P)'!P6857,
    occupancy,'Loan Tape (S&amp;P)'!N6857,
    maturity_date,'Loan Tape (S&amp;P)'!L6857,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58">
      <c r="J6858">
        <f>LET(
    lien,'Loan Tape (S&amp;P)'!Q6858,
    IF(lien="First",1.00,
        IF(lien="Second",1.50,
            1.70)))</f>
        <v/>
      </c>
      <c r="K6858">
        <f>LET(
    purpose,'Loan Tape (S&amp;P)'!R6858,
    IF(purpose="Purchase",1.00,
        IF(purpose="Remortgage",1.00,
            1.20)))</f>
        <v/>
      </c>
      <c r="L6858">
        <f>LET(
    arrears_months,'Loan Tape (S&amp;P)'!AN6858,
    IF(arrears_months=0,1.00,
    IF(arrears_months=1,3.00,
    IF(arrears_months=2,5.00,
    IF(arrears_months=3,8.00,
    IF(arrears_months=4,10.00,
    IF(arrears_months=5,12.00,15.00)))))))</f>
        <v/>
      </c>
      <c r="M6858">
        <f>LET(
    seasoning_years,DATEDIF('Loan Tape (S&amp;P)'!K6858,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58">
        <f>IF(AND('Loan Tape (S&amp;P)'!U6858="Yes",
        'Loan Tape (S&amp;P)'!T6858&lt;&gt;"Yes",
        DATEDIF('Loan Tape (S&amp;P)'!K6858, TODAY(), "M")&lt;18),
    1.10,
    1.00)</f>
        <v/>
      </c>
      <c r="O6858">
        <f>IF('Loan Tape (S&amp;P)'!T6858="Yes",
    1.35,
    1.00)</f>
        <v/>
      </c>
      <c r="P6858">
        <f>IF('Loan Tape (S&amp;P)'!S6858="Yes",
    1.15,
    1.00)</f>
        <v/>
      </c>
      <c r="Q6858">
        <f>IF('Loan Tape (S&amp;P)'!V6858="Yes",
    1.20,
    1.00)</f>
        <v/>
      </c>
      <c r="T6858">
        <f>LET(
    payment_method,'Loan Tape (S&amp;P)'!P6858,
    occupancy,'Loan Tape (S&amp;P)'!N6858,
    maturity_date,'Loan Tape (S&amp;P)'!L6858,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59">
      <c r="J6859">
        <f>LET(
    lien,'Loan Tape (S&amp;P)'!Q6859,
    IF(lien="First",1.00,
        IF(lien="Second",1.50,
            1.70)))</f>
        <v/>
      </c>
      <c r="K6859">
        <f>LET(
    purpose,'Loan Tape (S&amp;P)'!R6859,
    IF(purpose="Purchase",1.00,
        IF(purpose="Remortgage",1.00,
            1.20)))</f>
        <v/>
      </c>
      <c r="L6859">
        <f>LET(
    arrears_months,'Loan Tape (S&amp;P)'!AN6859,
    IF(arrears_months=0,1.00,
    IF(arrears_months=1,3.00,
    IF(arrears_months=2,5.00,
    IF(arrears_months=3,8.00,
    IF(arrears_months=4,10.00,
    IF(arrears_months=5,12.00,15.00)))))))</f>
        <v/>
      </c>
      <c r="M6859">
        <f>LET(
    seasoning_years,DATEDIF('Loan Tape (S&amp;P)'!K6859,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59">
        <f>IF(AND('Loan Tape (S&amp;P)'!U6859="Yes",
        'Loan Tape (S&amp;P)'!T6859&lt;&gt;"Yes",
        DATEDIF('Loan Tape (S&amp;P)'!K6859, TODAY(), "M")&lt;18),
    1.10,
    1.00)</f>
        <v/>
      </c>
      <c r="O6859">
        <f>IF('Loan Tape (S&amp;P)'!T6859="Yes",
    1.35,
    1.00)</f>
        <v/>
      </c>
      <c r="P6859">
        <f>IF('Loan Tape (S&amp;P)'!S6859="Yes",
    1.15,
    1.00)</f>
        <v/>
      </c>
      <c r="Q6859">
        <f>IF('Loan Tape (S&amp;P)'!V6859="Yes",
    1.20,
    1.00)</f>
        <v/>
      </c>
      <c r="T6859">
        <f>LET(
    payment_method,'Loan Tape (S&amp;P)'!P6859,
    occupancy,'Loan Tape (S&amp;P)'!N6859,
    maturity_date,'Loan Tape (S&amp;P)'!L6859,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60">
      <c r="J6860">
        <f>LET(
    lien,'Loan Tape (S&amp;P)'!Q6860,
    IF(lien="First",1.00,
        IF(lien="Second",1.50,
            1.70)))</f>
        <v/>
      </c>
      <c r="K6860">
        <f>LET(
    purpose,'Loan Tape (S&amp;P)'!R6860,
    IF(purpose="Purchase",1.00,
        IF(purpose="Remortgage",1.00,
            1.20)))</f>
        <v/>
      </c>
      <c r="L6860">
        <f>LET(
    arrears_months,'Loan Tape (S&amp;P)'!AN6860,
    IF(arrears_months=0,1.00,
    IF(arrears_months=1,3.00,
    IF(arrears_months=2,5.00,
    IF(arrears_months=3,8.00,
    IF(arrears_months=4,10.00,
    IF(arrears_months=5,12.00,15.00)))))))</f>
        <v/>
      </c>
      <c r="M6860">
        <f>LET(
    seasoning_years,DATEDIF('Loan Tape (S&amp;P)'!K6860,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60">
        <f>IF(AND('Loan Tape (S&amp;P)'!U6860="Yes",
        'Loan Tape (S&amp;P)'!T6860&lt;&gt;"Yes",
        DATEDIF('Loan Tape (S&amp;P)'!K6860, TODAY(), "M")&lt;18),
    1.10,
    1.00)</f>
        <v/>
      </c>
      <c r="O6860">
        <f>IF('Loan Tape (S&amp;P)'!T6860="Yes",
    1.35,
    1.00)</f>
        <v/>
      </c>
      <c r="P6860">
        <f>IF('Loan Tape (S&amp;P)'!S6860="Yes",
    1.15,
    1.00)</f>
        <v/>
      </c>
      <c r="Q6860">
        <f>IF('Loan Tape (S&amp;P)'!V6860="Yes",
    1.20,
    1.00)</f>
        <v/>
      </c>
      <c r="T6860">
        <f>LET(
    payment_method,'Loan Tape (S&amp;P)'!P6860,
    occupancy,'Loan Tape (S&amp;P)'!N6860,
    maturity_date,'Loan Tape (S&amp;P)'!L6860,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61">
      <c r="J6861">
        <f>LET(
    lien,'Loan Tape (S&amp;P)'!Q6861,
    IF(lien="First",1.00,
        IF(lien="Second",1.50,
            1.70)))</f>
        <v/>
      </c>
      <c r="K6861">
        <f>LET(
    purpose,'Loan Tape (S&amp;P)'!R6861,
    IF(purpose="Purchase",1.00,
        IF(purpose="Remortgage",1.00,
            1.20)))</f>
        <v/>
      </c>
      <c r="L6861">
        <f>LET(
    arrears_months,'Loan Tape (S&amp;P)'!AN6861,
    IF(arrears_months=0,1.00,
    IF(arrears_months=1,3.00,
    IF(arrears_months=2,5.00,
    IF(arrears_months=3,8.00,
    IF(arrears_months=4,10.00,
    IF(arrears_months=5,12.00,15.00)))))))</f>
        <v/>
      </c>
      <c r="M6861">
        <f>LET(
    seasoning_years,DATEDIF('Loan Tape (S&amp;P)'!K6861,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61">
        <f>IF(AND('Loan Tape (S&amp;P)'!U6861="Yes",
        'Loan Tape (S&amp;P)'!T6861&lt;&gt;"Yes",
        DATEDIF('Loan Tape (S&amp;P)'!K6861, TODAY(), "M")&lt;18),
    1.10,
    1.00)</f>
        <v/>
      </c>
      <c r="O6861">
        <f>IF('Loan Tape (S&amp;P)'!T6861="Yes",
    1.35,
    1.00)</f>
        <v/>
      </c>
      <c r="P6861">
        <f>IF('Loan Tape (S&amp;P)'!S6861="Yes",
    1.15,
    1.00)</f>
        <v/>
      </c>
      <c r="Q6861">
        <f>IF('Loan Tape (S&amp;P)'!V6861="Yes",
    1.20,
    1.00)</f>
        <v/>
      </c>
      <c r="T6861">
        <f>LET(
    payment_method,'Loan Tape (S&amp;P)'!P6861,
    occupancy,'Loan Tape (S&amp;P)'!N6861,
    maturity_date,'Loan Tape (S&amp;P)'!L6861,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62">
      <c r="J6862">
        <f>LET(
    lien,'Loan Tape (S&amp;P)'!Q6862,
    IF(lien="First",1.00,
        IF(lien="Second",1.50,
            1.70)))</f>
        <v/>
      </c>
      <c r="K6862">
        <f>LET(
    purpose,'Loan Tape (S&amp;P)'!R6862,
    IF(purpose="Purchase",1.00,
        IF(purpose="Remortgage",1.00,
            1.20)))</f>
        <v/>
      </c>
      <c r="L6862">
        <f>LET(
    arrears_months,'Loan Tape (S&amp;P)'!AN6862,
    IF(arrears_months=0,1.00,
    IF(arrears_months=1,3.00,
    IF(arrears_months=2,5.00,
    IF(arrears_months=3,8.00,
    IF(arrears_months=4,10.00,
    IF(arrears_months=5,12.00,15.00)))))))</f>
        <v/>
      </c>
      <c r="M6862">
        <f>LET(
    seasoning_years,DATEDIF('Loan Tape (S&amp;P)'!K6862,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62">
        <f>IF(AND('Loan Tape (S&amp;P)'!U6862="Yes",
        'Loan Tape (S&amp;P)'!T6862&lt;&gt;"Yes",
        DATEDIF('Loan Tape (S&amp;P)'!K6862, TODAY(), "M")&lt;18),
    1.10,
    1.00)</f>
        <v/>
      </c>
      <c r="O6862">
        <f>IF('Loan Tape (S&amp;P)'!T6862="Yes",
    1.35,
    1.00)</f>
        <v/>
      </c>
      <c r="P6862">
        <f>IF('Loan Tape (S&amp;P)'!S6862="Yes",
    1.15,
    1.00)</f>
        <v/>
      </c>
      <c r="Q6862">
        <f>IF('Loan Tape (S&amp;P)'!V6862="Yes",
    1.20,
    1.00)</f>
        <v/>
      </c>
      <c r="T6862">
        <f>LET(
    payment_method,'Loan Tape (S&amp;P)'!P6862,
    occupancy,'Loan Tape (S&amp;P)'!N6862,
    maturity_date,'Loan Tape (S&amp;P)'!L6862,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63">
      <c r="J6863">
        <f>LET(
    lien,'Loan Tape (S&amp;P)'!Q6863,
    IF(lien="First",1.00,
        IF(lien="Second",1.50,
            1.70)))</f>
        <v/>
      </c>
      <c r="K6863">
        <f>LET(
    purpose,'Loan Tape (S&amp;P)'!R6863,
    IF(purpose="Purchase",1.00,
        IF(purpose="Remortgage",1.00,
            1.20)))</f>
        <v/>
      </c>
      <c r="L6863">
        <f>LET(
    arrears_months,'Loan Tape (S&amp;P)'!AN6863,
    IF(arrears_months=0,1.00,
    IF(arrears_months=1,3.00,
    IF(arrears_months=2,5.00,
    IF(arrears_months=3,8.00,
    IF(arrears_months=4,10.00,
    IF(arrears_months=5,12.00,15.00)))))))</f>
        <v/>
      </c>
      <c r="M6863">
        <f>LET(
    seasoning_years,DATEDIF('Loan Tape (S&amp;P)'!K6863,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63">
        <f>IF(AND('Loan Tape (S&amp;P)'!U6863="Yes",
        'Loan Tape (S&amp;P)'!T6863&lt;&gt;"Yes",
        DATEDIF('Loan Tape (S&amp;P)'!K6863, TODAY(), "M")&lt;18),
    1.10,
    1.00)</f>
        <v/>
      </c>
      <c r="O6863">
        <f>IF('Loan Tape (S&amp;P)'!T6863="Yes",
    1.35,
    1.00)</f>
        <v/>
      </c>
      <c r="P6863">
        <f>IF('Loan Tape (S&amp;P)'!S6863="Yes",
    1.15,
    1.00)</f>
        <v/>
      </c>
      <c r="Q6863">
        <f>IF('Loan Tape (S&amp;P)'!V6863="Yes",
    1.20,
    1.00)</f>
        <v/>
      </c>
      <c r="T6863">
        <f>LET(
    payment_method,'Loan Tape (S&amp;P)'!P6863,
    occupancy,'Loan Tape (S&amp;P)'!N6863,
    maturity_date,'Loan Tape (S&amp;P)'!L6863,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64">
      <c r="J6864">
        <f>LET(
    lien,'Loan Tape (S&amp;P)'!Q6864,
    IF(lien="First",1.00,
        IF(lien="Second",1.50,
            1.70)))</f>
        <v/>
      </c>
      <c r="K6864">
        <f>LET(
    purpose,'Loan Tape (S&amp;P)'!R6864,
    IF(purpose="Purchase",1.00,
        IF(purpose="Remortgage",1.00,
            1.20)))</f>
        <v/>
      </c>
      <c r="L6864">
        <f>LET(
    arrears_months,'Loan Tape (S&amp;P)'!AN6864,
    IF(arrears_months=0,1.00,
    IF(arrears_months=1,3.00,
    IF(arrears_months=2,5.00,
    IF(arrears_months=3,8.00,
    IF(arrears_months=4,10.00,
    IF(arrears_months=5,12.00,15.00)))))))</f>
        <v/>
      </c>
      <c r="M6864">
        <f>LET(
    seasoning_years,DATEDIF('Loan Tape (S&amp;P)'!K6864,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64">
        <f>IF(AND('Loan Tape (S&amp;P)'!U6864="Yes",
        'Loan Tape (S&amp;P)'!T6864&lt;&gt;"Yes",
        DATEDIF('Loan Tape (S&amp;P)'!K6864, TODAY(), "M")&lt;18),
    1.10,
    1.00)</f>
        <v/>
      </c>
      <c r="O6864">
        <f>IF('Loan Tape (S&amp;P)'!T6864="Yes",
    1.35,
    1.00)</f>
        <v/>
      </c>
      <c r="P6864">
        <f>IF('Loan Tape (S&amp;P)'!S6864="Yes",
    1.15,
    1.00)</f>
        <v/>
      </c>
      <c r="Q6864">
        <f>IF('Loan Tape (S&amp;P)'!V6864="Yes",
    1.20,
    1.00)</f>
        <v/>
      </c>
      <c r="T6864">
        <f>LET(
    payment_method,'Loan Tape (S&amp;P)'!P6864,
    occupancy,'Loan Tape (S&amp;P)'!N6864,
    maturity_date,'Loan Tape (S&amp;P)'!L6864,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65">
      <c r="J6865">
        <f>LET(
    lien,'Loan Tape (S&amp;P)'!Q6865,
    IF(lien="First",1.00,
        IF(lien="Second",1.50,
            1.70)))</f>
        <v/>
      </c>
      <c r="K6865">
        <f>LET(
    purpose,'Loan Tape (S&amp;P)'!R6865,
    IF(purpose="Purchase",1.00,
        IF(purpose="Remortgage",1.00,
            1.20)))</f>
        <v/>
      </c>
      <c r="L6865">
        <f>LET(
    arrears_months,'Loan Tape (S&amp;P)'!AN6865,
    IF(arrears_months=0,1.00,
    IF(arrears_months=1,3.00,
    IF(arrears_months=2,5.00,
    IF(arrears_months=3,8.00,
    IF(arrears_months=4,10.00,
    IF(arrears_months=5,12.00,15.00)))))))</f>
        <v/>
      </c>
      <c r="M6865">
        <f>LET(
    seasoning_years,DATEDIF('Loan Tape (S&amp;P)'!K6865,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65">
        <f>IF(AND('Loan Tape (S&amp;P)'!U6865="Yes",
        'Loan Tape (S&amp;P)'!T6865&lt;&gt;"Yes",
        DATEDIF('Loan Tape (S&amp;P)'!K6865, TODAY(), "M")&lt;18),
    1.10,
    1.00)</f>
        <v/>
      </c>
      <c r="O6865">
        <f>IF('Loan Tape (S&amp;P)'!T6865="Yes",
    1.35,
    1.00)</f>
        <v/>
      </c>
      <c r="P6865">
        <f>IF('Loan Tape (S&amp;P)'!S6865="Yes",
    1.15,
    1.00)</f>
        <v/>
      </c>
      <c r="Q6865">
        <f>IF('Loan Tape (S&amp;P)'!V6865="Yes",
    1.20,
    1.00)</f>
        <v/>
      </c>
      <c r="T6865">
        <f>LET(
    payment_method,'Loan Tape (S&amp;P)'!P6865,
    occupancy,'Loan Tape (S&amp;P)'!N6865,
    maturity_date,'Loan Tape (S&amp;P)'!L6865,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66">
      <c r="J6866">
        <f>LET(
    lien,'Loan Tape (S&amp;P)'!Q6866,
    IF(lien="First",1.00,
        IF(lien="Second",1.50,
            1.70)))</f>
        <v/>
      </c>
      <c r="K6866">
        <f>LET(
    purpose,'Loan Tape (S&amp;P)'!R6866,
    IF(purpose="Purchase",1.00,
        IF(purpose="Remortgage",1.00,
            1.20)))</f>
        <v/>
      </c>
      <c r="L6866">
        <f>LET(
    arrears_months,'Loan Tape (S&amp;P)'!AN6866,
    IF(arrears_months=0,1.00,
    IF(arrears_months=1,3.00,
    IF(arrears_months=2,5.00,
    IF(arrears_months=3,8.00,
    IF(arrears_months=4,10.00,
    IF(arrears_months=5,12.00,15.00)))))))</f>
        <v/>
      </c>
      <c r="M6866">
        <f>LET(
    seasoning_years,DATEDIF('Loan Tape (S&amp;P)'!K6866,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66">
        <f>IF(AND('Loan Tape (S&amp;P)'!U6866="Yes",
        'Loan Tape (S&amp;P)'!T6866&lt;&gt;"Yes",
        DATEDIF('Loan Tape (S&amp;P)'!K6866, TODAY(), "M")&lt;18),
    1.10,
    1.00)</f>
        <v/>
      </c>
      <c r="O6866">
        <f>IF('Loan Tape (S&amp;P)'!T6866="Yes",
    1.35,
    1.00)</f>
        <v/>
      </c>
      <c r="P6866">
        <f>IF('Loan Tape (S&amp;P)'!S6866="Yes",
    1.15,
    1.00)</f>
        <v/>
      </c>
      <c r="Q6866">
        <f>IF('Loan Tape (S&amp;P)'!V6866="Yes",
    1.20,
    1.00)</f>
        <v/>
      </c>
      <c r="T6866">
        <f>LET(
    payment_method,'Loan Tape (S&amp;P)'!P6866,
    occupancy,'Loan Tape (S&amp;P)'!N6866,
    maturity_date,'Loan Tape (S&amp;P)'!L6866,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67">
      <c r="J6867">
        <f>LET(
    lien,'Loan Tape (S&amp;P)'!Q6867,
    IF(lien="First",1.00,
        IF(lien="Second",1.50,
            1.70)))</f>
        <v/>
      </c>
      <c r="K6867">
        <f>LET(
    purpose,'Loan Tape (S&amp;P)'!R6867,
    IF(purpose="Purchase",1.00,
        IF(purpose="Remortgage",1.00,
            1.20)))</f>
        <v/>
      </c>
      <c r="L6867">
        <f>LET(
    arrears_months,'Loan Tape (S&amp;P)'!AN6867,
    IF(arrears_months=0,1.00,
    IF(arrears_months=1,3.00,
    IF(arrears_months=2,5.00,
    IF(arrears_months=3,8.00,
    IF(arrears_months=4,10.00,
    IF(arrears_months=5,12.00,15.00)))))))</f>
        <v/>
      </c>
      <c r="M6867">
        <f>LET(
    seasoning_years,DATEDIF('Loan Tape (S&amp;P)'!K6867,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67">
        <f>IF(AND('Loan Tape (S&amp;P)'!U6867="Yes",
        'Loan Tape (S&amp;P)'!T6867&lt;&gt;"Yes",
        DATEDIF('Loan Tape (S&amp;P)'!K6867, TODAY(), "M")&lt;18),
    1.10,
    1.00)</f>
        <v/>
      </c>
      <c r="O6867">
        <f>IF('Loan Tape (S&amp;P)'!T6867="Yes",
    1.35,
    1.00)</f>
        <v/>
      </c>
      <c r="P6867">
        <f>IF('Loan Tape (S&amp;P)'!S6867="Yes",
    1.15,
    1.00)</f>
        <v/>
      </c>
      <c r="Q6867">
        <f>IF('Loan Tape (S&amp;P)'!V6867="Yes",
    1.20,
    1.00)</f>
        <v/>
      </c>
      <c r="T6867">
        <f>LET(
    payment_method,'Loan Tape (S&amp;P)'!P6867,
    occupancy,'Loan Tape (S&amp;P)'!N6867,
    maturity_date,'Loan Tape (S&amp;P)'!L6867,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68">
      <c r="J6868">
        <f>LET(
    lien,'Loan Tape (S&amp;P)'!Q6868,
    IF(lien="First",1.00,
        IF(lien="Second",1.50,
            1.70)))</f>
        <v/>
      </c>
      <c r="K6868">
        <f>LET(
    purpose,'Loan Tape (S&amp;P)'!R6868,
    IF(purpose="Purchase",1.00,
        IF(purpose="Remortgage",1.00,
            1.20)))</f>
        <v/>
      </c>
      <c r="L6868">
        <f>LET(
    arrears_months,'Loan Tape (S&amp;P)'!AN6868,
    IF(arrears_months=0,1.00,
    IF(arrears_months=1,3.00,
    IF(arrears_months=2,5.00,
    IF(arrears_months=3,8.00,
    IF(arrears_months=4,10.00,
    IF(arrears_months=5,12.00,15.00)))))))</f>
        <v/>
      </c>
      <c r="M6868">
        <f>LET(
    seasoning_years,DATEDIF('Loan Tape (S&amp;P)'!K6868,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68">
        <f>IF(AND('Loan Tape (S&amp;P)'!U6868="Yes",
        'Loan Tape (S&amp;P)'!T6868&lt;&gt;"Yes",
        DATEDIF('Loan Tape (S&amp;P)'!K6868, TODAY(), "M")&lt;18),
    1.10,
    1.00)</f>
        <v/>
      </c>
      <c r="O6868">
        <f>IF('Loan Tape (S&amp;P)'!T6868="Yes",
    1.35,
    1.00)</f>
        <v/>
      </c>
      <c r="P6868">
        <f>IF('Loan Tape (S&amp;P)'!S6868="Yes",
    1.15,
    1.00)</f>
        <v/>
      </c>
      <c r="Q6868">
        <f>IF('Loan Tape (S&amp;P)'!V6868="Yes",
    1.20,
    1.00)</f>
        <v/>
      </c>
      <c r="T6868">
        <f>LET(
    payment_method,'Loan Tape (S&amp;P)'!P6868,
    occupancy,'Loan Tape (S&amp;P)'!N6868,
    maturity_date,'Loan Tape (S&amp;P)'!L6868,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69">
      <c r="J6869">
        <f>LET(
    lien,'Loan Tape (S&amp;P)'!Q6869,
    IF(lien="First",1.00,
        IF(lien="Second",1.50,
            1.70)))</f>
        <v/>
      </c>
      <c r="K6869">
        <f>LET(
    purpose,'Loan Tape (S&amp;P)'!R6869,
    IF(purpose="Purchase",1.00,
        IF(purpose="Remortgage",1.00,
            1.20)))</f>
        <v/>
      </c>
      <c r="L6869">
        <f>LET(
    arrears_months,'Loan Tape (S&amp;P)'!AN6869,
    IF(arrears_months=0,1.00,
    IF(arrears_months=1,3.00,
    IF(arrears_months=2,5.00,
    IF(arrears_months=3,8.00,
    IF(arrears_months=4,10.00,
    IF(arrears_months=5,12.00,15.00)))))))</f>
        <v/>
      </c>
      <c r="M6869">
        <f>LET(
    seasoning_years,DATEDIF('Loan Tape (S&amp;P)'!K6869,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69">
        <f>IF(AND('Loan Tape (S&amp;P)'!U6869="Yes",
        'Loan Tape (S&amp;P)'!T6869&lt;&gt;"Yes",
        DATEDIF('Loan Tape (S&amp;P)'!K6869, TODAY(), "M")&lt;18),
    1.10,
    1.00)</f>
        <v/>
      </c>
      <c r="O6869">
        <f>IF('Loan Tape (S&amp;P)'!T6869="Yes",
    1.35,
    1.00)</f>
        <v/>
      </c>
      <c r="P6869">
        <f>IF('Loan Tape (S&amp;P)'!S6869="Yes",
    1.15,
    1.00)</f>
        <v/>
      </c>
      <c r="Q6869">
        <f>IF('Loan Tape (S&amp;P)'!V6869="Yes",
    1.20,
    1.00)</f>
        <v/>
      </c>
      <c r="T6869">
        <f>LET(
    payment_method,'Loan Tape (S&amp;P)'!P6869,
    occupancy,'Loan Tape (S&amp;P)'!N6869,
    maturity_date,'Loan Tape (S&amp;P)'!L6869,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70">
      <c r="J6870">
        <f>LET(
    lien,'Loan Tape (S&amp;P)'!Q6870,
    IF(lien="First",1.00,
        IF(lien="Second",1.50,
            1.70)))</f>
        <v/>
      </c>
      <c r="K6870">
        <f>LET(
    purpose,'Loan Tape (S&amp;P)'!R6870,
    IF(purpose="Purchase",1.00,
        IF(purpose="Remortgage",1.00,
            1.20)))</f>
        <v/>
      </c>
      <c r="L6870">
        <f>LET(
    arrears_months,'Loan Tape (S&amp;P)'!AN6870,
    IF(arrears_months=0,1.00,
    IF(arrears_months=1,3.00,
    IF(arrears_months=2,5.00,
    IF(arrears_months=3,8.00,
    IF(arrears_months=4,10.00,
    IF(arrears_months=5,12.00,15.00)))))))</f>
        <v/>
      </c>
      <c r="M6870">
        <f>LET(
    seasoning_years,DATEDIF('Loan Tape (S&amp;P)'!K6870,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70">
        <f>IF(AND('Loan Tape (S&amp;P)'!U6870="Yes",
        'Loan Tape (S&amp;P)'!T6870&lt;&gt;"Yes",
        DATEDIF('Loan Tape (S&amp;P)'!K6870, TODAY(), "M")&lt;18),
    1.10,
    1.00)</f>
        <v/>
      </c>
      <c r="O6870">
        <f>IF('Loan Tape (S&amp;P)'!T6870="Yes",
    1.35,
    1.00)</f>
        <v/>
      </c>
      <c r="P6870">
        <f>IF('Loan Tape (S&amp;P)'!S6870="Yes",
    1.15,
    1.00)</f>
        <v/>
      </c>
      <c r="Q6870">
        <f>IF('Loan Tape (S&amp;P)'!V6870="Yes",
    1.20,
    1.00)</f>
        <v/>
      </c>
      <c r="T6870">
        <f>LET(
    payment_method,'Loan Tape (S&amp;P)'!P6870,
    occupancy,'Loan Tape (S&amp;P)'!N6870,
    maturity_date,'Loan Tape (S&amp;P)'!L6870,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71">
      <c r="J6871">
        <f>LET(
    lien,'Loan Tape (S&amp;P)'!Q6871,
    IF(lien="First",1.00,
        IF(lien="Second",1.50,
            1.70)))</f>
        <v/>
      </c>
      <c r="K6871">
        <f>LET(
    purpose,'Loan Tape (S&amp;P)'!R6871,
    IF(purpose="Purchase",1.00,
        IF(purpose="Remortgage",1.00,
            1.20)))</f>
        <v/>
      </c>
      <c r="L6871">
        <f>LET(
    arrears_months,'Loan Tape (S&amp;P)'!AN6871,
    IF(arrears_months=0,1.00,
    IF(arrears_months=1,3.00,
    IF(arrears_months=2,5.00,
    IF(arrears_months=3,8.00,
    IF(arrears_months=4,10.00,
    IF(arrears_months=5,12.00,15.00)))))))</f>
        <v/>
      </c>
      <c r="M6871">
        <f>LET(
    seasoning_years,DATEDIF('Loan Tape (S&amp;P)'!K6871,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71">
        <f>IF(AND('Loan Tape (S&amp;P)'!U6871="Yes",
        'Loan Tape (S&amp;P)'!T6871&lt;&gt;"Yes",
        DATEDIF('Loan Tape (S&amp;P)'!K6871, TODAY(), "M")&lt;18),
    1.10,
    1.00)</f>
        <v/>
      </c>
      <c r="O6871">
        <f>IF('Loan Tape (S&amp;P)'!T6871="Yes",
    1.35,
    1.00)</f>
        <v/>
      </c>
      <c r="P6871">
        <f>IF('Loan Tape (S&amp;P)'!S6871="Yes",
    1.15,
    1.00)</f>
        <v/>
      </c>
      <c r="Q6871">
        <f>IF('Loan Tape (S&amp;P)'!V6871="Yes",
    1.20,
    1.00)</f>
        <v/>
      </c>
      <c r="T6871">
        <f>LET(
    payment_method,'Loan Tape (S&amp;P)'!P6871,
    occupancy,'Loan Tape (S&amp;P)'!N6871,
    maturity_date,'Loan Tape (S&amp;P)'!L6871,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72">
      <c r="J6872">
        <f>LET(
    lien,'Loan Tape (S&amp;P)'!Q6872,
    IF(lien="First",1.00,
        IF(lien="Second",1.50,
            1.70)))</f>
        <v/>
      </c>
      <c r="K6872">
        <f>LET(
    purpose,'Loan Tape (S&amp;P)'!R6872,
    IF(purpose="Purchase",1.00,
        IF(purpose="Remortgage",1.00,
            1.20)))</f>
        <v/>
      </c>
      <c r="L6872">
        <f>LET(
    arrears_months,'Loan Tape (S&amp;P)'!AN6872,
    IF(arrears_months=0,1.00,
    IF(arrears_months=1,3.00,
    IF(arrears_months=2,5.00,
    IF(arrears_months=3,8.00,
    IF(arrears_months=4,10.00,
    IF(arrears_months=5,12.00,15.00)))))))</f>
        <v/>
      </c>
      <c r="M6872">
        <f>LET(
    seasoning_years,DATEDIF('Loan Tape (S&amp;P)'!K6872,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72">
        <f>IF(AND('Loan Tape (S&amp;P)'!U6872="Yes",
        'Loan Tape (S&amp;P)'!T6872&lt;&gt;"Yes",
        DATEDIF('Loan Tape (S&amp;P)'!K6872, TODAY(), "M")&lt;18),
    1.10,
    1.00)</f>
        <v/>
      </c>
      <c r="O6872">
        <f>IF('Loan Tape (S&amp;P)'!T6872="Yes",
    1.35,
    1.00)</f>
        <v/>
      </c>
      <c r="P6872">
        <f>IF('Loan Tape (S&amp;P)'!S6872="Yes",
    1.15,
    1.00)</f>
        <v/>
      </c>
      <c r="Q6872">
        <f>IF('Loan Tape (S&amp;P)'!V6872="Yes",
    1.20,
    1.00)</f>
        <v/>
      </c>
      <c r="T6872">
        <f>LET(
    payment_method,'Loan Tape (S&amp;P)'!P6872,
    occupancy,'Loan Tape (S&amp;P)'!N6872,
    maturity_date,'Loan Tape (S&amp;P)'!L6872,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73">
      <c r="J6873">
        <f>LET(
    lien,'Loan Tape (S&amp;P)'!Q6873,
    IF(lien="First",1.00,
        IF(lien="Second",1.50,
            1.70)))</f>
        <v/>
      </c>
      <c r="K6873">
        <f>LET(
    purpose,'Loan Tape (S&amp;P)'!R6873,
    IF(purpose="Purchase",1.00,
        IF(purpose="Remortgage",1.00,
            1.20)))</f>
        <v/>
      </c>
      <c r="L6873">
        <f>LET(
    arrears_months,'Loan Tape (S&amp;P)'!AN6873,
    IF(arrears_months=0,1.00,
    IF(arrears_months=1,3.00,
    IF(arrears_months=2,5.00,
    IF(arrears_months=3,8.00,
    IF(arrears_months=4,10.00,
    IF(arrears_months=5,12.00,15.00)))))))</f>
        <v/>
      </c>
      <c r="M6873">
        <f>LET(
    seasoning_years,DATEDIF('Loan Tape (S&amp;P)'!K6873,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73">
        <f>IF(AND('Loan Tape (S&amp;P)'!U6873="Yes",
        'Loan Tape (S&amp;P)'!T6873&lt;&gt;"Yes",
        DATEDIF('Loan Tape (S&amp;P)'!K6873, TODAY(), "M")&lt;18),
    1.10,
    1.00)</f>
        <v/>
      </c>
      <c r="O6873">
        <f>IF('Loan Tape (S&amp;P)'!T6873="Yes",
    1.35,
    1.00)</f>
        <v/>
      </c>
      <c r="P6873">
        <f>IF('Loan Tape (S&amp;P)'!S6873="Yes",
    1.15,
    1.00)</f>
        <v/>
      </c>
      <c r="Q6873">
        <f>IF('Loan Tape (S&amp;P)'!V6873="Yes",
    1.20,
    1.00)</f>
        <v/>
      </c>
      <c r="T6873">
        <f>LET(
    payment_method,'Loan Tape (S&amp;P)'!P6873,
    occupancy,'Loan Tape (S&amp;P)'!N6873,
    maturity_date,'Loan Tape (S&amp;P)'!L6873,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74">
      <c r="J6874">
        <f>LET(
    lien,'Loan Tape (S&amp;P)'!Q6874,
    IF(lien="First",1.00,
        IF(lien="Second",1.50,
            1.70)))</f>
        <v/>
      </c>
      <c r="K6874">
        <f>LET(
    purpose,'Loan Tape (S&amp;P)'!R6874,
    IF(purpose="Purchase",1.00,
        IF(purpose="Remortgage",1.00,
            1.20)))</f>
        <v/>
      </c>
      <c r="L6874">
        <f>LET(
    arrears_months,'Loan Tape (S&amp;P)'!AN6874,
    IF(arrears_months=0,1.00,
    IF(arrears_months=1,3.00,
    IF(arrears_months=2,5.00,
    IF(arrears_months=3,8.00,
    IF(arrears_months=4,10.00,
    IF(arrears_months=5,12.00,15.00)))))))</f>
        <v/>
      </c>
      <c r="M6874">
        <f>LET(
    seasoning_years,DATEDIF('Loan Tape (S&amp;P)'!K6874,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74">
        <f>IF(AND('Loan Tape (S&amp;P)'!U6874="Yes",
        'Loan Tape (S&amp;P)'!T6874&lt;&gt;"Yes",
        DATEDIF('Loan Tape (S&amp;P)'!K6874, TODAY(), "M")&lt;18),
    1.10,
    1.00)</f>
        <v/>
      </c>
      <c r="O6874">
        <f>IF('Loan Tape (S&amp;P)'!T6874="Yes",
    1.35,
    1.00)</f>
        <v/>
      </c>
      <c r="P6874">
        <f>IF('Loan Tape (S&amp;P)'!S6874="Yes",
    1.15,
    1.00)</f>
        <v/>
      </c>
      <c r="Q6874">
        <f>IF('Loan Tape (S&amp;P)'!V6874="Yes",
    1.20,
    1.00)</f>
        <v/>
      </c>
      <c r="T6874">
        <f>LET(
    payment_method,'Loan Tape (S&amp;P)'!P6874,
    occupancy,'Loan Tape (S&amp;P)'!N6874,
    maturity_date,'Loan Tape (S&amp;P)'!L6874,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75">
      <c r="J6875">
        <f>LET(
    lien,'Loan Tape (S&amp;P)'!Q6875,
    IF(lien="First",1.00,
        IF(lien="Second",1.50,
            1.70)))</f>
        <v/>
      </c>
      <c r="K6875">
        <f>LET(
    purpose,'Loan Tape (S&amp;P)'!R6875,
    IF(purpose="Purchase",1.00,
        IF(purpose="Remortgage",1.00,
            1.20)))</f>
        <v/>
      </c>
      <c r="L6875">
        <f>LET(
    arrears_months,'Loan Tape (S&amp;P)'!AN6875,
    IF(arrears_months=0,1.00,
    IF(arrears_months=1,3.00,
    IF(arrears_months=2,5.00,
    IF(arrears_months=3,8.00,
    IF(arrears_months=4,10.00,
    IF(arrears_months=5,12.00,15.00)))))))</f>
        <v/>
      </c>
      <c r="M6875">
        <f>LET(
    seasoning_years,DATEDIF('Loan Tape (S&amp;P)'!K6875,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75">
        <f>IF(AND('Loan Tape (S&amp;P)'!U6875="Yes",
        'Loan Tape (S&amp;P)'!T6875&lt;&gt;"Yes",
        DATEDIF('Loan Tape (S&amp;P)'!K6875, TODAY(), "M")&lt;18),
    1.10,
    1.00)</f>
        <v/>
      </c>
      <c r="O6875">
        <f>IF('Loan Tape (S&amp;P)'!T6875="Yes",
    1.35,
    1.00)</f>
        <v/>
      </c>
      <c r="P6875">
        <f>IF('Loan Tape (S&amp;P)'!S6875="Yes",
    1.15,
    1.00)</f>
        <v/>
      </c>
      <c r="Q6875">
        <f>IF('Loan Tape (S&amp;P)'!V6875="Yes",
    1.20,
    1.00)</f>
        <v/>
      </c>
      <c r="T6875">
        <f>LET(
    payment_method,'Loan Tape (S&amp;P)'!P6875,
    occupancy,'Loan Tape (S&amp;P)'!N6875,
    maturity_date,'Loan Tape (S&amp;P)'!L6875,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76">
      <c r="J6876">
        <f>LET(
    lien,'Loan Tape (S&amp;P)'!Q6876,
    IF(lien="First",1.00,
        IF(lien="Second",1.50,
            1.70)))</f>
        <v/>
      </c>
      <c r="K6876">
        <f>LET(
    purpose,'Loan Tape (S&amp;P)'!R6876,
    IF(purpose="Purchase",1.00,
        IF(purpose="Remortgage",1.00,
            1.20)))</f>
        <v/>
      </c>
      <c r="L6876">
        <f>LET(
    arrears_months,'Loan Tape (S&amp;P)'!AN6876,
    IF(arrears_months=0,1.00,
    IF(arrears_months=1,3.00,
    IF(arrears_months=2,5.00,
    IF(arrears_months=3,8.00,
    IF(arrears_months=4,10.00,
    IF(arrears_months=5,12.00,15.00)))))))</f>
        <v/>
      </c>
      <c r="M6876">
        <f>LET(
    seasoning_years,DATEDIF('Loan Tape (S&amp;P)'!K6876,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76">
        <f>IF(AND('Loan Tape (S&amp;P)'!U6876="Yes",
        'Loan Tape (S&amp;P)'!T6876&lt;&gt;"Yes",
        DATEDIF('Loan Tape (S&amp;P)'!K6876, TODAY(), "M")&lt;18),
    1.10,
    1.00)</f>
        <v/>
      </c>
      <c r="O6876">
        <f>IF('Loan Tape (S&amp;P)'!T6876="Yes",
    1.35,
    1.00)</f>
        <v/>
      </c>
      <c r="P6876">
        <f>IF('Loan Tape (S&amp;P)'!S6876="Yes",
    1.15,
    1.00)</f>
        <v/>
      </c>
      <c r="Q6876">
        <f>IF('Loan Tape (S&amp;P)'!V6876="Yes",
    1.20,
    1.00)</f>
        <v/>
      </c>
      <c r="T6876">
        <f>LET(
    payment_method,'Loan Tape (S&amp;P)'!P6876,
    occupancy,'Loan Tape (S&amp;P)'!N6876,
    maturity_date,'Loan Tape (S&amp;P)'!L6876,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77">
      <c r="J6877">
        <f>LET(
    lien,'Loan Tape (S&amp;P)'!Q6877,
    IF(lien="First",1.00,
        IF(lien="Second",1.50,
            1.70)))</f>
        <v/>
      </c>
      <c r="K6877">
        <f>LET(
    purpose,'Loan Tape (S&amp;P)'!R6877,
    IF(purpose="Purchase",1.00,
        IF(purpose="Remortgage",1.00,
            1.20)))</f>
        <v/>
      </c>
      <c r="L6877">
        <f>LET(
    arrears_months,'Loan Tape (S&amp;P)'!AN6877,
    IF(arrears_months=0,1.00,
    IF(arrears_months=1,3.00,
    IF(arrears_months=2,5.00,
    IF(arrears_months=3,8.00,
    IF(arrears_months=4,10.00,
    IF(arrears_months=5,12.00,15.00)))))))</f>
        <v/>
      </c>
      <c r="M6877">
        <f>LET(
    seasoning_years,DATEDIF('Loan Tape (S&amp;P)'!K6877,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77">
        <f>IF(AND('Loan Tape (S&amp;P)'!U6877="Yes",
        'Loan Tape (S&amp;P)'!T6877&lt;&gt;"Yes",
        DATEDIF('Loan Tape (S&amp;P)'!K6877, TODAY(), "M")&lt;18),
    1.10,
    1.00)</f>
        <v/>
      </c>
      <c r="O6877">
        <f>IF('Loan Tape (S&amp;P)'!T6877="Yes",
    1.35,
    1.00)</f>
        <v/>
      </c>
      <c r="P6877">
        <f>IF('Loan Tape (S&amp;P)'!S6877="Yes",
    1.15,
    1.00)</f>
        <v/>
      </c>
      <c r="Q6877">
        <f>IF('Loan Tape (S&amp;P)'!V6877="Yes",
    1.20,
    1.00)</f>
        <v/>
      </c>
      <c r="T6877">
        <f>LET(
    payment_method,'Loan Tape (S&amp;P)'!P6877,
    occupancy,'Loan Tape (S&amp;P)'!N6877,
    maturity_date,'Loan Tape (S&amp;P)'!L6877,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78">
      <c r="J6878">
        <f>LET(
    lien,'Loan Tape (S&amp;P)'!Q6878,
    IF(lien="First",1.00,
        IF(lien="Second",1.50,
            1.70)))</f>
        <v/>
      </c>
      <c r="K6878">
        <f>LET(
    purpose,'Loan Tape (S&amp;P)'!R6878,
    IF(purpose="Purchase",1.00,
        IF(purpose="Remortgage",1.00,
            1.20)))</f>
        <v/>
      </c>
      <c r="L6878">
        <f>LET(
    arrears_months,'Loan Tape (S&amp;P)'!AN6878,
    IF(arrears_months=0,1.00,
    IF(arrears_months=1,3.00,
    IF(arrears_months=2,5.00,
    IF(arrears_months=3,8.00,
    IF(arrears_months=4,10.00,
    IF(arrears_months=5,12.00,15.00)))))))</f>
        <v/>
      </c>
      <c r="M6878">
        <f>LET(
    seasoning_years,DATEDIF('Loan Tape (S&amp;P)'!K6878,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78">
        <f>IF(AND('Loan Tape (S&amp;P)'!U6878="Yes",
        'Loan Tape (S&amp;P)'!T6878&lt;&gt;"Yes",
        DATEDIF('Loan Tape (S&amp;P)'!K6878, TODAY(), "M")&lt;18),
    1.10,
    1.00)</f>
        <v/>
      </c>
      <c r="O6878">
        <f>IF('Loan Tape (S&amp;P)'!T6878="Yes",
    1.35,
    1.00)</f>
        <v/>
      </c>
      <c r="P6878">
        <f>IF('Loan Tape (S&amp;P)'!S6878="Yes",
    1.15,
    1.00)</f>
        <v/>
      </c>
      <c r="Q6878">
        <f>IF('Loan Tape (S&amp;P)'!V6878="Yes",
    1.20,
    1.00)</f>
        <v/>
      </c>
      <c r="T6878">
        <f>LET(
    payment_method,'Loan Tape (S&amp;P)'!P6878,
    occupancy,'Loan Tape (S&amp;P)'!N6878,
    maturity_date,'Loan Tape (S&amp;P)'!L6878,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79">
      <c r="J6879">
        <f>LET(
    lien,'Loan Tape (S&amp;P)'!Q6879,
    IF(lien="First",1.00,
        IF(lien="Second",1.50,
            1.70)))</f>
        <v/>
      </c>
      <c r="K6879">
        <f>LET(
    purpose,'Loan Tape (S&amp;P)'!R6879,
    IF(purpose="Purchase",1.00,
        IF(purpose="Remortgage",1.00,
            1.20)))</f>
        <v/>
      </c>
      <c r="L6879">
        <f>LET(
    arrears_months,'Loan Tape (S&amp;P)'!AN6879,
    IF(arrears_months=0,1.00,
    IF(arrears_months=1,3.00,
    IF(arrears_months=2,5.00,
    IF(arrears_months=3,8.00,
    IF(arrears_months=4,10.00,
    IF(arrears_months=5,12.00,15.00)))))))</f>
        <v/>
      </c>
      <c r="M6879">
        <f>LET(
    seasoning_years,DATEDIF('Loan Tape (S&amp;P)'!K6879,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79">
        <f>IF(AND('Loan Tape (S&amp;P)'!U6879="Yes",
        'Loan Tape (S&amp;P)'!T6879&lt;&gt;"Yes",
        DATEDIF('Loan Tape (S&amp;P)'!K6879, TODAY(), "M")&lt;18),
    1.10,
    1.00)</f>
        <v/>
      </c>
      <c r="O6879">
        <f>IF('Loan Tape (S&amp;P)'!T6879="Yes",
    1.35,
    1.00)</f>
        <v/>
      </c>
      <c r="P6879">
        <f>IF('Loan Tape (S&amp;P)'!S6879="Yes",
    1.15,
    1.00)</f>
        <v/>
      </c>
      <c r="Q6879">
        <f>IF('Loan Tape (S&amp;P)'!V6879="Yes",
    1.20,
    1.00)</f>
        <v/>
      </c>
      <c r="T6879">
        <f>LET(
    payment_method,'Loan Tape (S&amp;P)'!P6879,
    occupancy,'Loan Tape (S&amp;P)'!N6879,
    maturity_date,'Loan Tape (S&amp;P)'!L6879,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80">
      <c r="J6880">
        <f>LET(
    lien,'Loan Tape (S&amp;P)'!Q6880,
    IF(lien="First",1.00,
        IF(lien="Second",1.50,
            1.70)))</f>
        <v/>
      </c>
      <c r="K6880">
        <f>LET(
    purpose,'Loan Tape (S&amp;P)'!R6880,
    IF(purpose="Purchase",1.00,
        IF(purpose="Remortgage",1.00,
            1.20)))</f>
        <v/>
      </c>
      <c r="L6880">
        <f>LET(
    arrears_months,'Loan Tape (S&amp;P)'!AN6880,
    IF(arrears_months=0,1.00,
    IF(arrears_months=1,3.00,
    IF(arrears_months=2,5.00,
    IF(arrears_months=3,8.00,
    IF(arrears_months=4,10.00,
    IF(arrears_months=5,12.00,15.00)))))))</f>
        <v/>
      </c>
      <c r="M6880">
        <f>LET(
    seasoning_years,DATEDIF('Loan Tape (S&amp;P)'!K6880,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80">
        <f>IF(AND('Loan Tape (S&amp;P)'!U6880="Yes",
        'Loan Tape (S&amp;P)'!T6880&lt;&gt;"Yes",
        DATEDIF('Loan Tape (S&amp;P)'!K6880, TODAY(), "M")&lt;18),
    1.10,
    1.00)</f>
        <v/>
      </c>
      <c r="O6880">
        <f>IF('Loan Tape (S&amp;P)'!T6880="Yes",
    1.35,
    1.00)</f>
        <v/>
      </c>
      <c r="P6880">
        <f>IF('Loan Tape (S&amp;P)'!S6880="Yes",
    1.15,
    1.00)</f>
        <v/>
      </c>
      <c r="Q6880">
        <f>IF('Loan Tape (S&amp;P)'!V6880="Yes",
    1.20,
    1.00)</f>
        <v/>
      </c>
      <c r="T6880">
        <f>LET(
    payment_method,'Loan Tape (S&amp;P)'!P6880,
    occupancy,'Loan Tape (S&amp;P)'!N6880,
    maturity_date,'Loan Tape (S&amp;P)'!L6880,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81">
      <c r="J6881">
        <f>LET(
    lien,'Loan Tape (S&amp;P)'!Q6881,
    IF(lien="First",1.00,
        IF(lien="Second",1.50,
            1.70)))</f>
        <v/>
      </c>
      <c r="K6881">
        <f>LET(
    purpose,'Loan Tape (S&amp;P)'!R6881,
    IF(purpose="Purchase",1.00,
        IF(purpose="Remortgage",1.00,
            1.20)))</f>
        <v/>
      </c>
      <c r="L6881">
        <f>LET(
    arrears_months,'Loan Tape (S&amp;P)'!AN6881,
    IF(arrears_months=0,1.00,
    IF(arrears_months=1,3.00,
    IF(arrears_months=2,5.00,
    IF(arrears_months=3,8.00,
    IF(arrears_months=4,10.00,
    IF(arrears_months=5,12.00,15.00)))))))</f>
        <v/>
      </c>
      <c r="M6881">
        <f>LET(
    seasoning_years,DATEDIF('Loan Tape (S&amp;P)'!K6881,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81">
        <f>IF(AND('Loan Tape (S&amp;P)'!U6881="Yes",
        'Loan Tape (S&amp;P)'!T6881&lt;&gt;"Yes",
        DATEDIF('Loan Tape (S&amp;P)'!K6881, TODAY(), "M")&lt;18),
    1.10,
    1.00)</f>
        <v/>
      </c>
      <c r="O6881">
        <f>IF('Loan Tape (S&amp;P)'!T6881="Yes",
    1.35,
    1.00)</f>
        <v/>
      </c>
      <c r="P6881">
        <f>IF('Loan Tape (S&amp;P)'!S6881="Yes",
    1.15,
    1.00)</f>
        <v/>
      </c>
      <c r="Q6881">
        <f>IF('Loan Tape (S&amp;P)'!V6881="Yes",
    1.20,
    1.00)</f>
        <v/>
      </c>
      <c r="T6881">
        <f>LET(
    payment_method,'Loan Tape (S&amp;P)'!P6881,
    occupancy,'Loan Tape (S&amp;P)'!N6881,
    maturity_date,'Loan Tape (S&amp;P)'!L6881,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82">
      <c r="J6882">
        <f>LET(
    lien,'Loan Tape (S&amp;P)'!Q6882,
    IF(lien="First",1.00,
        IF(lien="Second",1.50,
            1.70)))</f>
        <v/>
      </c>
      <c r="K6882">
        <f>LET(
    purpose,'Loan Tape (S&amp;P)'!R6882,
    IF(purpose="Purchase",1.00,
        IF(purpose="Remortgage",1.00,
            1.20)))</f>
        <v/>
      </c>
      <c r="L6882">
        <f>LET(
    arrears_months,'Loan Tape (S&amp;P)'!AN6882,
    IF(arrears_months=0,1.00,
    IF(arrears_months=1,3.00,
    IF(arrears_months=2,5.00,
    IF(arrears_months=3,8.00,
    IF(arrears_months=4,10.00,
    IF(arrears_months=5,12.00,15.00)))))))</f>
        <v/>
      </c>
      <c r="M6882">
        <f>LET(
    seasoning_years,DATEDIF('Loan Tape (S&amp;P)'!K6882,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82">
        <f>IF(AND('Loan Tape (S&amp;P)'!U6882="Yes",
        'Loan Tape (S&amp;P)'!T6882&lt;&gt;"Yes",
        DATEDIF('Loan Tape (S&amp;P)'!K6882, TODAY(), "M")&lt;18),
    1.10,
    1.00)</f>
        <v/>
      </c>
      <c r="O6882">
        <f>IF('Loan Tape (S&amp;P)'!T6882="Yes",
    1.35,
    1.00)</f>
        <v/>
      </c>
      <c r="P6882">
        <f>IF('Loan Tape (S&amp;P)'!S6882="Yes",
    1.15,
    1.00)</f>
        <v/>
      </c>
      <c r="Q6882">
        <f>IF('Loan Tape (S&amp;P)'!V6882="Yes",
    1.20,
    1.00)</f>
        <v/>
      </c>
      <c r="T6882">
        <f>LET(
    payment_method,'Loan Tape (S&amp;P)'!P6882,
    occupancy,'Loan Tape (S&amp;P)'!N6882,
    maturity_date,'Loan Tape (S&amp;P)'!L6882,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83">
      <c r="J6883">
        <f>LET(
    lien,'Loan Tape (S&amp;P)'!Q6883,
    IF(lien="First",1.00,
        IF(lien="Second",1.50,
            1.70)))</f>
        <v/>
      </c>
      <c r="K6883">
        <f>LET(
    purpose,'Loan Tape (S&amp;P)'!R6883,
    IF(purpose="Purchase",1.00,
        IF(purpose="Remortgage",1.00,
            1.20)))</f>
        <v/>
      </c>
      <c r="L6883">
        <f>LET(
    arrears_months,'Loan Tape (S&amp;P)'!AN6883,
    IF(arrears_months=0,1.00,
    IF(arrears_months=1,3.00,
    IF(arrears_months=2,5.00,
    IF(arrears_months=3,8.00,
    IF(arrears_months=4,10.00,
    IF(arrears_months=5,12.00,15.00)))))))</f>
        <v/>
      </c>
      <c r="M6883">
        <f>LET(
    seasoning_years,DATEDIF('Loan Tape (S&amp;P)'!K6883,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83">
        <f>IF(AND('Loan Tape (S&amp;P)'!U6883="Yes",
        'Loan Tape (S&amp;P)'!T6883&lt;&gt;"Yes",
        DATEDIF('Loan Tape (S&amp;P)'!K6883, TODAY(), "M")&lt;18),
    1.10,
    1.00)</f>
        <v/>
      </c>
      <c r="O6883">
        <f>IF('Loan Tape (S&amp;P)'!T6883="Yes",
    1.35,
    1.00)</f>
        <v/>
      </c>
      <c r="P6883">
        <f>IF('Loan Tape (S&amp;P)'!S6883="Yes",
    1.15,
    1.00)</f>
        <v/>
      </c>
      <c r="Q6883">
        <f>IF('Loan Tape (S&amp;P)'!V6883="Yes",
    1.20,
    1.00)</f>
        <v/>
      </c>
      <c r="T6883">
        <f>LET(
    payment_method,'Loan Tape (S&amp;P)'!P6883,
    occupancy,'Loan Tape (S&amp;P)'!N6883,
    maturity_date,'Loan Tape (S&amp;P)'!L6883,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84">
      <c r="J6884">
        <f>LET(
    lien,'Loan Tape (S&amp;P)'!Q6884,
    IF(lien="First",1.00,
        IF(lien="Second",1.50,
            1.70)))</f>
        <v/>
      </c>
      <c r="K6884">
        <f>LET(
    purpose,'Loan Tape (S&amp;P)'!R6884,
    IF(purpose="Purchase",1.00,
        IF(purpose="Remortgage",1.00,
            1.20)))</f>
        <v/>
      </c>
      <c r="L6884">
        <f>LET(
    arrears_months,'Loan Tape (S&amp;P)'!AN6884,
    IF(arrears_months=0,1.00,
    IF(arrears_months=1,3.00,
    IF(arrears_months=2,5.00,
    IF(arrears_months=3,8.00,
    IF(arrears_months=4,10.00,
    IF(arrears_months=5,12.00,15.00)))))))</f>
        <v/>
      </c>
      <c r="M6884">
        <f>LET(
    seasoning_years,DATEDIF('Loan Tape (S&amp;P)'!K6884,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84">
        <f>IF(AND('Loan Tape (S&amp;P)'!U6884="Yes",
        'Loan Tape (S&amp;P)'!T6884&lt;&gt;"Yes",
        DATEDIF('Loan Tape (S&amp;P)'!K6884, TODAY(), "M")&lt;18),
    1.10,
    1.00)</f>
        <v/>
      </c>
      <c r="O6884">
        <f>IF('Loan Tape (S&amp;P)'!T6884="Yes",
    1.35,
    1.00)</f>
        <v/>
      </c>
      <c r="P6884">
        <f>IF('Loan Tape (S&amp;P)'!S6884="Yes",
    1.15,
    1.00)</f>
        <v/>
      </c>
      <c r="Q6884">
        <f>IF('Loan Tape (S&amp;P)'!V6884="Yes",
    1.20,
    1.00)</f>
        <v/>
      </c>
      <c r="T6884">
        <f>LET(
    payment_method,'Loan Tape (S&amp;P)'!P6884,
    occupancy,'Loan Tape (S&amp;P)'!N6884,
    maturity_date,'Loan Tape (S&amp;P)'!L6884,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85">
      <c r="J6885">
        <f>LET(
    lien,'Loan Tape (S&amp;P)'!Q6885,
    IF(lien="First",1.00,
        IF(lien="Second",1.50,
            1.70)))</f>
        <v/>
      </c>
      <c r="K6885">
        <f>LET(
    purpose,'Loan Tape (S&amp;P)'!R6885,
    IF(purpose="Purchase",1.00,
        IF(purpose="Remortgage",1.00,
            1.20)))</f>
        <v/>
      </c>
      <c r="L6885">
        <f>LET(
    arrears_months,'Loan Tape (S&amp;P)'!AN6885,
    IF(arrears_months=0,1.00,
    IF(arrears_months=1,3.00,
    IF(arrears_months=2,5.00,
    IF(arrears_months=3,8.00,
    IF(arrears_months=4,10.00,
    IF(arrears_months=5,12.00,15.00)))))))</f>
        <v/>
      </c>
      <c r="M6885">
        <f>LET(
    seasoning_years,DATEDIF('Loan Tape (S&amp;P)'!K6885,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85">
        <f>IF(AND('Loan Tape (S&amp;P)'!U6885="Yes",
        'Loan Tape (S&amp;P)'!T6885&lt;&gt;"Yes",
        DATEDIF('Loan Tape (S&amp;P)'!K6885, TODAY(), "M")&lt;18),
    1.10,
    1.00)</f>
        <v/>
      </c>
      <c r="O6885">
        <f>IF('Loan Tape (S&amp;P)'!T6885="Yes",
    1.35,
    1.00)</f>
        <v/>
      </c>
      <c r="P6885">
        <f>IF('Loan Tape (S&amp;P)'!S6885="Yes",
    1.15,
    1.00)</f>
        <v/>
      </c>
      <c r="Q6885">
        <f>IF('Loan Tape (S&amp;P)'!V6885="Yes",
    1.20,
    1.00)</f>
        <v/>
      </c>
      <c r="T6885">
        <f>LET(
    payment_method,'Loan Tape (S&amp;P)'!P6885,
    occupancy,'Loan Tape (S&amp;P)'!N6885,
    maturity_date,'Loan Tape (S&amp;P)'!L6885,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86">
      <c r="J6886">
        <f>LET(
    lien,'Loan Tape (S&amp;P)'!Q6886,
    IF(lien="First",1.00,
        IF(lien="Second",1.50,
            1.70)))</f>
        <v/>
      </c>
      <c r="K6886">
        <f>LET(
    purpose,'Loan Tape (S&amp;P)'!R6886,
    IF(purpose="Purchase",1.00,
        IF(purpose="Remortgage",1.00,
            1.20)))</f>
        <v/>
      </c>
      <c r="L6886">
        <f>LET(
    arrears_months,'Loan Tape (S&amp;P)'!AN6886,
    IF(arrears_months=0,1.00,
    IF(arrears_months=1,3.00,
    IF(arrears_months=2,5.00,
    IF(arrears_months=3,8.00,
    IF(arrears_months=4,10.00,
    IF(arrears_months=5,12.00,15.00)))))))</f>
        <v/>
      </c>
      <c r="M6886">
        <f>LET(
    seasoning_years,DATEDIF('Loan Tape (S&amp;P)'!K6886,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86">
        <f>IF(AND('Loan Tape (S&amp;P)'!U6886="Yes",
        'Loan Tape (S&amp;P)'!T6886&lt;&gt;"Yes",
        DATEDIF('Loan Tape (S&amp;P)'!K6886, TODAY(), "M")&lt;18),
    1.10,
    1.00)</f>
        <v/>
      </c>
      <c r="O6886">
        <f>IF('Loan Tape (S&amp;P)'!T6886="Yes",
    1.35,
    1.00)</f>
        <v/>
      </c>
      <c r="P6886">
        <f>IF('Loan Tape (S&amp;P)'!S6886="Yes",
    1.15,
    1.00)</f>
        <v/>
      </c>
      <c r="Q6886">
        <f>IF('Loan Tape (S&amp;P)'!V6886="Yes",
    1.20,
    1.00)</f>
        <v/>
      </c>
      <c r="T6886">
        <f>LET(
    payment_method,'Loan Tape (S&amp;P)'!P6886,
    occupancy,'Loan Tape (S&amp;P)'!N6886,
    maturity_date,'Loan Tape (S&amp;P)'!L6886,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87">
      <c r="J6887">
        <f>LET(
    lien,'Loan Tape (S&amp;P)'!Q6887,
    IF(lien="First",1.00,
        IF(lien="Second",1.50,
            1.70)))</f>
        <v/>
      </c>
      <c r="K6887">
        <f>LET(
    purpose,'Loan Tape (S&amp;P)'!R6887,
    IF(purpose="Purchase",1.00,
        IF(purpose="Remortgage",1.00,
            1.20)))</f>
        <v/>
      </c>
      <c r="L6887">
        <f>LET(
    arrears_months,'Loan Tape (S&amp;P)'!AN6887,
    IF(arrears_months=0,1.00,
    IF(arrears_months=1,3.00,
    IF(arrears_months=2,5.00,
    IF(arrears_months=3,8.00,
    IF(arrears_months=4,10.00,
    IF(arrears_months=5,12.00,15.00)))))))</f>
        <v/>
      </c>
      <c r="M6887">
        <f>LET(
    seasoning_years,DATEDIF('Loan Tape (S&amp;P)'!K6887,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87">
        <f>IF(AND('Loan Tape (S&amp;P)'!U6887="Yes",
        'Loan Tape (S&amp;P)'!T6887&lt;&gt;"Yes",
        DATEDIF('Loan Tape (S&amp;P)'!K6887, TODAY(), "M")&lt;18),
    1.10,
    1.00)</f>
        <v/>
      </c>
      <c r="O6887">
        <f>IF('Loan Tape (S&amp;P)'!T6887="Yes",
    1.35,
    1.00)</f>
        <v/>
      </c>
      <c r="P6887">
        <f>IF('Loan Tape (S&amp;P)'!S6887="Yes",
    1.15,
    1.00)</f>
        <v/>
      </c>
      <c r="Q6887">
        <f>IF('Loan Tape (S&amp;P)'!V6887="Yes",
    1.20,
    1.00)</f>
        <v/>
      </c>
      <c r="T6887">
        <f>LET(
    payment_method,'Loan Tape (S&amp;P)'!P6887,
    occupancy,'Loan Tape (S&amp;P)'!N6887,
    maturity_date,'Loan Tape (S&amp;P)'!L6887,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88">
      <c r="J6888">
        <f>LET(
    lien,'Loan Tape (S&amp;P)'!Q6888,
    IF(lien="First",1.00,
        IF(lien="Second",1.50,
            1.70)))</f>
        <v/>
      </c>
      <c r="K6888">
        <f>LET(
    purpose,'Loan Tape (S&amp;P)'!R6888,
    IF(purpose="Purchase",1.00,
        IF(purpose="Remortgage",1.00,
            1.20)))</f>
        <v/>
      </c>
      <c r="L6888">
        <f>LET(
    arrears_months,'Loan Tape (S&amp;P)'!AN6888,
    IF(arrears_months=0,1.00,
    IF(arrears_months=1,3.00,
    IF(arrears_months=2,5.00,
    IF(arrears_months=3,8.00,
    IF(arrears_months=4,10.00,
    IF(arrears_months=5,12.00,15.00)))))))</f>
        <v/>
      </c>
      <c r="M6888">
        <f>LET(
    seasoning_years,DATEDIF('Loan Tape (S&amp;P)'!K6888,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88">
        <f>IF(AND('Loan Tape (S&amp;P)'!U6888="Yes",
        'Loan Tape (S&amp;P)'!T6888&lt;&gt;"Yes",
        DATEDIF('Loan Tape (S&amp;P)'!K6888, TODAY(), "M")&lt;18),
    1.10,
    1.00)</f>
        <v/>
      </c>
      <c r="O6888">
        <f>IF('Loan Tape (S&amp;P)'!T6888="Yes",
    1.35,
    1.00)</f>
        <v/>
      </c>
      <c r="P6888">
        <f>IF('Loan Tape (S&amp;P)'!S6888="Yes",
    1.15,
    1.00)</f>
        <v/>
      </c>
      <c r="Q6888">
        <f>IF('Loan Tape (S&amp;P)'!V6888="Yes",
    1.20,
    1.00)</f>
        <v/>
      </c>
      <c r="T6888">
        <f>LET(
    payment_method,'Loan Tape (S&amp;P)'!P6888,
    occupancy,'Loan Tape (S&amp;P)'!N6888,
    maturity_date,'Loan Tape (S&amp;P)'!L6888,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89">
      <c r="J6889">
        <f>LET(
    lien,'Loan Tape (S&amp;P)'!Q6889,
    IF(lien="First",1.00,
        IF(lien="Second",1.50,
            1.70)))</f>
        <v/>
      </c>
      <c r="K6889">
        <f>LET(
    purpose,'Loan Tape (S&amp;P)'!R6889,
    IF(purpose="Purchase",1.00,
        IF(purpose="Remortgage",1.00,
            1.20)))</f>
        <v/>
      </c>
      <c r="L6889">
        <f>LET(
    arrears_months,'Loan Tape (S&amp;P)'!AN6889,
    IF(arrears_months=0,1.00,
    IF(arrears_months=1,3.00,
    IF(arrears_months=2,5.00,
    IF(arrears_months=3,8.00,
    IF(arrears_months=4,10.00,
    IF(arrears_months=5,12.00,15.00)))))))</f>
        <v/>
      </c>
      <c r="M6889">
        <f>LET(
    seasoning_years,DATEDIF('Loan Tape (S&amp;P)'!K6889,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89">
        <f>IF(AND('Loan Tape (S&amp;P)'!U6889="Yes",
        'Loan Tape (S&amp;P)'!T6889&lt;&gt;"Yes",
        DATEDIF('Loan Tape (S&amp;P)'!K6889, TODAY(), "M")&lt;18),
    1.10,
    1.00)</f>
        <v/>
      </c>
      <c r="O6889">
        <f>IF('Loan Tape (S&amp;P)'!T6889="Yes",
    1.35,
    1.00)</f>
        <v/>
      </c>
      <c r="P6889">
        <f>IF('Loan Tape (S&amp;P)'!S6889="Yes",
    1.15,
    1.00)</f>
        <v/>
      </c>
      <c r="Q6889">
        <f>IF('Loan Tape (S&amp;P)'!V6889="Yes",
    1.20,
    1.00)</f>
        <v/>
      </c>
      <c r="T6889">
        <f>LET(
    payment_method,'Loan Tape (S&amp;P)'!P6889,
    occupancy,'Loan Tape (S&amp;P)'!N6889,
    maturity_date,'Loan Tape (S&amp;P)'!L6889,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90">
      <c r="J6890">
        <f>LET(
    lien,'Loan Tape (S&amp;P)'!Q6890,
    IF(lien="First",1.00,
        IF(lien="Second",1.50,
            1.70)))</f>
        <v/>
      </c>
      <c r="K6890">
        <f>LET(
    purpose,'Loan Tape (S&amp;P)'!R6890,
    IF(purpose="Purchase",1.00,
        IF(purpose="Remortgage",1.00,
            1.20)))</f>
        <v/>
      </c>
      <c r="L6890">
        <f>LET(
    arrears_months,'Loan Tape (S&amp;P)'!AN6890,
    IF(arrears_months=0,1.00,
    IF(arrears_months=1,3.00,
    IF(arrears_months=2,5.00,
    IF(arrears_months=3,8.00,
    IF(arrears_months=4,10.00,
    IF(arrears_months=5,12.00,15.00)))))))</f>
        <v/>
      </c>
      <c r="M6890">
        <f>LET(
    seasoning_years,DATEDIF('Loan Tape (S&amp;P)'!K6890,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90">
        <f>IF(AND('Loan Tape (S&amp;P)'!U6890="Yes",
        'Loan Tape (S&amp;P)'!T6890&lt;&gt;"Yes",
        DATEDIF('Loan Tape (S&amp;P)'!K6890, TODAY(), "M")&lt;18),
    1.10,
    1.00)</f>
        <v/>
      </c>
      <c r="O6890">
        <f>IF('Loan Tape (S&amp;P)'!T6890="Yes",
    1.35,
    1.00)</f>
        <v/>
      </c>
      <c r="P6890">
        <f>IF('Loan Tape (S&amp;P)'!S6890="Yes",
    1.15,
    1.00)</f>
        <v/>
      </c>
      <c r="Q6890">
        <f>IF('Loan Tape (S&amp;P)'!V6890="Yes",
    1.20,
    1.00)</f>
        <v/>
      </c>
      <c r="T6890">
        <f>LET(
    payment_method,'Loan Tape (S&amp;P)'!P6890,
    occupancy,'Loan Tape (S&amp;P)'!N6890,
    maturity_date,'Loan Tape (S&amp;P)'!L6890,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91">
      <c r="J6891">
        <f>LET(
    lien,'Loan Tape (S&amp;P)'!Q6891,
    IF(lien="First",1.00,
        IF(lien="Second",1.50,
            1.70)))</f>
        <v/>
      </c>
      <c r="K6891">
        <f>LET(
    purpose,'Loan Tape (S&amp;P)'!R6891,
    IF(purpose="Purchase",1.00,
        IF(purpose="Remortgage",1.00,
            1.20)))</f>
        <v/>
      </c>
      <c r="L6891">
        <f>LET(
    arrears_months,'Loan Tape (S&amp;P)'!AN6891,
    IF(arrears_months=0,1.00,
    IF(arrears_months=1,3.00,
    IF(arrears_months=2,5.00,
    IF(arrears_months=3,8.00,
    IF(arrears_months=4,10.00,
    IF(arrears_months=5,12.00,15.00)))))))</f>
        <v/>
      </c>
      <c r="M6891">
        <f>LET(
    seasoning_years,DATEDIF('Loan Tape (S&amp;P)'!K6891,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91">
        <f>IF(AND('Loan Tape (S&amp;P)'!U6891="Yes",
        'Loan Tape (S&amp;P)'!T6891&lt;&gt;"Yes",
        DATEDIF('Loan Tape (S&amp;P)'!K6891, TODAY(), "M")&lt;18),
    1.10,
    1.00)</f>
        <v/>
      </c>
      <c r="O6891">
        <f>IF('Loan Tape (S&amp;P)'!T6891="Yes",
    1.35,
    1.00)</f>
        <v/>
      </c>
      <c r="P6891">
        <f>IF('Loan Tape (S&amp;P)'!S6891="Yes",
    1.15,
    1.00)</f>
        <v/>
      </c>
      <c r="Q6891">
        <f>IF('Loan Tape (S&amp;P)'!V6891="Yes",
    1.20,
    1.00)</f>
        <v/>
      </c>
      <c r="T6891">
        <f>LET(
    payment_method,'Loan Tape (S&amp;P)'!P6891,
    occupancy,'Loan Tape (S&amp;P)'!N6891,
    maturity_date,'Loan Tape (S&amp;P)'!L6891,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92">
      <c r="J6892">
        <f>LET(
    lien,'Loan Tape (S&amp;P)'!Q6892,
    IF(lien="First",1.00,
        IF(lien="Second",1.50,
            1.70)))</f>
        <v/>
      </c>
      <c r="K6892">
        <f>LET(
    purpose,'Loan Tape (S&amp;P)'!R6892,
    IF(purpose="Purchase",1.00,
        IF(purpose="Remortgage",1.00,
            1.20)))</f>
        <v/>
      </c>
      <c r="L6892">
        <f>LET(
    arrears_months,'Loan Tape (S&amp;P)'!AN6892,
    IF(arrears_months=0,1.00,
    IF(arrears_months=1,3.00,
    IF(arrears_months=2,5.00,
    IF(arrears_months=3,8.00,
    IF(arrears_months=4,10.00,
    IF(arrears_months=5,12.00,15.00)))))))</f>
        <v/>
      </c>
      <c r="M6892">
        <f>LET(
    seasoning_years,DATEDIF('Loan Tape (S&amp;P)'!K6892,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92">
        <f>IF(AND('Loan Tape (S&amp;P)'!U6892="Yes",
        'Loan Tape (S&amp;P)'!T6892&lt;&gt;"Yes",
        DATEDIF('Loan Tape (S&amp;P)'!K6892, TODAY(), "M")&lt;18),
    1.10,
    1.00)</f>
        <v/>
      </c>
      <c r="O6892">
        <f>IF('Loan Tape (S&amp;P)'!T6892="Yes",
    1.35,
    1.00)</f>
        <v/>
      </c>
      <c r="P6892">
        <f>IF('Loan Tape (S&amp;P)'!S6892="Yes",
    1.15,
    1.00)</f>
        <v/>
      </c>
      <c r="Q6892">
        <f>IF('Loan Tape (S&amp;P)'!V6892="Yes",
    1.20,
    1.00)</f>
        <v/>
      </c>
      <c r="T6892">
        <f>LET(
    payment_method,'Loan Tape (S&amp;P)'!P6892,
    occupancy,'Loan Tape (S&amp;P)'!N6892,
    maturity_date,'Loan Tape (S&amp;P)'!L6892,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93">
      <c r="J6893">
        <f>LET(
    lien,'Loan Tape (S&amp;P)'!Q6893,
    IF(lien="First",1.00,
        IF(lien="Second",1.50,
            1.70)))</f>
        <v/>
      </c>
      <c r="K6893">
        <f>LET(
    purpose,'Loan Tape (S&amp;P)'!R6893,
    IF(purpose="Purchase",1.00,
        IF(purpose="Remortgage",1.00,
            1.20)))</f>
        <v/>
      </c>
      <c r="L6893">
        <f>LET(
    arrears_months,'Loan Tape (S&amp;P)'!AN6893,
    IF(arrears_months=0,1.00,
    IF(arrears_months=1,3.00,
    IF(arrears_months=2,5.00,
    IF(arrears_months=3,8.00,
    IF(arrears_months=4,10.00,
    IF(arrears_months=5,12.00,15.00)))))))</f>
        <v/>
      </c>
      <c r="M6893">
        <f>LET(
    seasoning_years,DATEDIF('Loan Tape (S&amp;P)'!K6893,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93">
        <f>IF(AND('Loan Tape (S&amp;P)'!U6893="Yes",
        'Loan Tape (S&amp;P)'!T6893&lt;&gt;"Yes",
        DATEDIF('Loan Tape (S&amp;P)'!K6893, TODAY(), "M")&lt;18),
    1.10,
    1.00)</f>
        <v/>
      </c>
      <c r="O6893">
        <f>IF('Loan Tape (S&amp;P)'!T6893="Yes",
    1.35,
    1.00)</f>
        <v/>
      </c>
      <c r="P6893">
        <f>IF('Loan Tape (S&amp;P)'!S6893="Yes",
    1.15,
    1.00)</f>
        <v/>
      </c>
      <c r="Q6893">
        <f>IF('Loan Tape (S&amp;P)'!V6893="Yes",
    1.20,
    1.00)</f>
        <v/>
      </c>
      <c r="T6893">
        <f>LET(
    payment_method,'Loan Tape (S&amp;P)'!P6893,
    occupancy,'Loan Tape (S&amp;P)'!N6893,
    maturity_date,'Loan Tape (S&amp;P)'!L6893,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94">
      <c r="J6894">
        <f>LET(
    lien,'Loan Tape (S&amp;P)'!Q6894,
    IF(lien="First",1.00,
        IF(lien="Second",1.50,
            1.70)))</f>
        <v/>
      </c>
      <c r="K6894">
        <f>LET(
    purpose,'Loan Tape (S&amp;P)'!R6894,
    IF(purpose="Purchase",1.00,
        IF(purpose="Remortgage",1.00,
            1.20)))</f>
        <v/>
      </c>
      <c r="L6894">
        <f>LET(
    arrears_months,'Loan Tape (S&amp;P)'!AN6894,
    IF(arrears_months=0,1.00,
    IF(arrears_months=1,3.00,
    IF(arrears_months=2,5.00,
    IF(arrears_months=3,8.00,
    IF(arrears_months=4,10.00,
    IF(arrears_months=5,12.00,15.00)))))))</f>
        <v/>
      </c>
      <c r="M6894">
        <f>LET(
    seasoning_years,DATEDIF('Loan Tape (S&amp;P)'!K6894,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94">
        <f>IF(AND('Loan Tape (S&amp;P)'!U6894="Yes",
        'Loan Tape (S&amp;P)'!T6894&lt;&gt;"Yes",
        DATEDIF('Loan Tape (S&amp;P)'!K6894, TODAY(), "M")&lt;18),
    1.10,
    1.00)</f>
        <v/>
      </c>
      <c r="O6894">
        <f>IF('Loan Tape (S&amp;P)'!T6894="Yes",
    1.35,
    1.00)</f>
        <v/>
      </c>
      <c r="P6894">
        <f>IF('Loan Tape (S&amp;P)'!S6894="Yes",
    1.15,
    1.00)</f>
        <v/>
      </c>
      <c r="Q6894">
        <f>IF('Loan Tape (S&amp;P)'!V6894="Yes",
    1.20,
    1.00)</f>
        <v/>
      </c>
      <c r="T6894">
        <f>LET(
    payment_method,'Loan Tape (S&amp;P)'!P6894,
    occupancy,'Loan Tape (S&amp;P)'!N6894,
    maturity_date,'Loan Tape (S&amp;P)'!L6894,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95">
      <c r="J6895">
        <f>LET(
    lien,'Loan Tape (S&amp;P)'!Q6895,
    IF(lien="First",1.00,
        IF(lien="Second",1.50,
            1.70)))</f>
        <v/>
      </c>
      <c r="K6895">
        <f>LET(
    purpose,'Loan Tape (S&amp;P)'!R6895,
    IF(purpose="Purchase",1.00,
        IF(purpose="Remortgage",1.00,
            1.20)))</f>
        <v/>
      </c>
      <c r="L6895">
        <f>LET(
    arrears_months,'Loan Tape (S&amp;P)'!AN6895,
    IF(arrears_months=0,1.00,
    IF(arrears_months=1,3.00,
    IF(arrears_months=2,5.00,
    IF(arrears_months=3,8.00,
    IF(arrears_months=4,10.00,
    IF(arrears_months=5,12.00,15.00)))))))</f>
        <v/>
      </c>
      <c r="M6895">
        <f>LET(
    seasoning_years,DATEDIF('Loan Tape (S&amp;P)'!K6895,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95">
        <f>IF(AND('Loan Tape (S&amp;P)'!U6895="Yes",
        'Loan Tape (S&amp;P)'!T6895&lt;&gt;"Yes",
        DATEDIF('Loan Tape (S&amp;P)'!K6895, TODAY(), "M")&lt;18),
    1.10,
    1.00)</f>
        <v/>
      </c>
      <c r="O6895">
        <f>IF('Loan Tape (S&amp;P)'!T6895="Yes",
    1.35,
    1.00)</f>
        <v/>
      </c>
      <c r="P6895">
        <f>IF('Loan Tape (S&amp;P)'!S6895="Yes",
    1.15,
    1.00)</f>
        <v/>
      </c>
      <c r="Q6895">
        <f>IF('Loan Tape (S&amp;P)'!V6895="Yes",
    1.20,
    1.00)</f>
        <v/>
      </c>
      <c r="T6895">
        <f>LET(
    payment_method,'Loan Tape (S&amp;P)'!P6895,
    occupancy,'Loan Tape (S&amp;P)'!N6895,
    maturity_date,'Loan Tape (S&amp;P)'!L6895,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96">
      <c r="J6896">
        <f>LET(
    lien,'Loan Tape (S&amp;P)'!Q6896,
    IF(lien="First",1.00,
        IF(lien="Second",1.50,
            1.70)))</f>
        <v/>
      </c>
      <c r="K6896">
        <f>LET(
    purpose,'Loan Tape (S&amp;P)'!R6896,
    IF(purpose="Purchase",1.00,
        IF(purpose="Remortgage",1.00,
            1.20)))</f>
        <v/>
      </c>
      <c r="L6896">
        <f>LET(
    arrears_months,'Loan Tape (S&amp;P)'!AN6896,
    IF(arrears_months=0,1.00,
    IF(arrears_months=1,3.00,
    IF(arrears_months=2,5.00,
    IF(arrears_months=3,8.00,
    IF(arrears_months=4,10.00,
    IF(arrears_months=5,12.00,15.00)))))))</f>
        <v/>
      </c>
      <c r="M6896">
        <f>LET(
    seasoning_years,DATEDIF('Loan Tape (S&amp;P)'!K6896,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96">
        <f>IF(AND('Loan Tape (S&amp;P)'!U6896="Yes",
        'Loan Tape (S&amp;P)'!T6896&lt;&gt;"Yes",
        DATEDIF('Loan Tape (S&amp;P)'!K6896, TODAY(), "M")&lt;18),
    1.10,
    1.00)</f>
        <v/>
      </c>
      <c r="O6896">
        <f>IF('Loan Tape (S&amp;P)'!T6896="Yes",
    1.35,
    1.00)</f>
        <v/>
      </c>
      <c r="P6896">
        <f>IF('Loan Tape (S&amp;P)'!S6896="Yes",
    1.15,
    1.00)</f>
        <v/>
      </c>
      <c r="Q6896">
        <f>IF('Loan Tape (S&amp;P)'!V6896="Yes",
    1.20,
    1.00)</f>
        <v/>
      </c>
      <c r="T6896">
        <f>LET(
    payment_method,'Loan Tape (S&amp;P)'!P6896,
    occupancy,'Loan Tape (S&amp;P)'!N6896,
    maturity_date,'Loan Tape (S&amp;P)'!L6896,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97">
      <c r="J6897">
        <f>LET(
    lien,'Loan Tape (S&amp;P)'!Q6897,
    IF(lien="First",1.00,
        IF(lien="Second",1.50,
            1.70)))</f>
        <v/>
      </c>
      <c r="K6897">
        <f>LET(
    purpose,'Loan Tape (S&amp;P)'!R6897,
    IF(purpose="Purchase",1.00,
        IF(purpose="Remortgage",1.00,
            1.20)))</f>
        <v/>
      </c>
      <c r="L6897">
        <f>LET(
    arrears_months,'Loan Tape (S&amp;P)'!AN6897,
    IF(arrears_months=0,1.00,
    IF(arrears_months=1,3.00,
    IF(arrears_months=2,5.00,
    IF(arrears_months=3,8.00,
    IF(arrears_months=4,10.00,
    IF(arrears_months=5,12.00,15.00)))))))</f>
        <v/>
      </c>
      <c r="M6897">
        <f>LET(
    seasoning_years,DATEDIF('Loan Tape (S&amp;P)'!K6897,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97">
        <f>IF(AND('Loan Tape (S&amp;P)'!U6897="Yes",
        'Loan Tape (S&amp;P)'!T6897&lt;&gt;"Yes",
        DATEDIF('Loan Tape (S&amp;P)'!K6897, TODAY(), "M")&lt;18),
    1.10,
    1.00)</f>
        <v/>
      </c>
      <c r="O6897">
        <f>IF('Loan Tape (S&amp;P)'!T6897="Yes",
    1.35,
    1.00)</f>
        <v/>
      </c>
      <c r="P6897">
        <f>IF('Loan Tape (S&amp;P)'!S6897="Yes",
    1.15,
    1.00)</f>
        <v/>
      </c>
      <c r="Q6897">
        <f>IF('Loan Tape (S&amp;P)'!V6897="Yes",
    1.20,
    1.00)</f>
        <v/>
      </c>
      <c r="T6897">
        <f>LET(
    payment_method,'Loan Tape (S&amp;P)'!P6897,
    occupancy,'Loan Tape (S&amp;P)'!N6897,
    maturity_date,'Loan Tape (S&amp;P)'!L6897,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98">
      <c r="J6898">
        <f>LET(
    lien,'Loan Tape (S&amp;P)'!Q6898,
    IF(lien="First",1.00,
        IF(lien="Second",1.50,
            1.70)))</f>
        <v/>
      </c>
      <c r="K6898">
        <f>LET(
    purpose,'Loan Tape (S&amp;P)'!R6898,
    IF(purpose="Purchase",1.00,
        IF(purpose="Remortgage",1.00,
            1.20)))</f>
        <v/>
      </c>
      <c r="L6898">
        <f>LET(
    arrears_months,'Loan Tape (S&amp;P)'!AN6898,
    IF(arrears_months=0,1.00,
    IF(arrears_months=1,3.00,
    IF(arrears_months=2,5.00,
    IF(arrears_months=3,8.00,
    IF(arrears_months=4,10.00,
    IF(arrears_months=5,12.00,15.00)))))))</f>
        <v/>
      </c>
      <c r="M6898">
        <f>LET(
    seasoning_years,DATEDIF('Loan Tape (S&amp;P)'!K6898,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98">
        <f>IF(AND('Loan Tape (S&amp;P)'!U6898="Yes",
        'Loan Tape (S&amp;P)'!T6898&lt;&gt;"Yes",
        DATEDIF('Loan Tape (S&amp;P)'!K6898, TODAY(), "M")&lt;18),
    1.10,
    1.00)</f>
        <v/>
      </c>
      <c r="O6898">
        <f>IF('Loan Tape (S&amp;P)'!T6898="Yes",
    1.35,
    1.00)</f>
        <v/>
      </c>
      <c r="P6898">
        <f>IF('Loan Tape (S&amp;P)'!S6898="Yes",
    1.15,
    1.00)</f>
        <v/>
      </c>
      <c r="Q6898">
        <f>IF('Loan Tape (S&amp;P)'!V6898="Yes",
    1.20,
    1.00)</f>
        <v/>
      </c>
      <c r="T6898">
        <f>LET(
    payment_method,'Loan Tape (S&amp;P)'!P6898,
    occupancy,'Loan Tape (S&amp;P)'!N6898,
    maturity_date,'Loan Tape (S&amp;P)'!L6898,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899">
      <c r="J6899">
        <f>LET(
    lien,'Loan Tape (S&amp;P)'!Q6899,
    IF(lien="First",1.00,
        IF(lien="Second",1.50,
            1.70)))</f>
        <v/>
      </c>
      <c r="K6899">
        <f>LET(
    purpose,'Loan Tape (S&amp;P)'!R6899,
    IF(purpose="Purchase",1.00,
        IF(purpose="Remortgage",1.00,
            1.20)))</f>
        <v/>
      </c>
      <c r="L6899">
        <f>LET(
    arrears_months,'Loan Tape (S&amp;P)'!AN6899,
    IF(arrears_months=0,1.00,
    IF(arrears_months=1,3.00,
    IF(arrears_months=2,5.00,
    IF(arrears_months=3,8.00,
    IF(arrears_months=4,10.00,
    IF(arrears_months=5,12.00,15.00)))))))</f>
        <v/>
      </c>
      <c r="M6899">
        <f>LET(
    seasoning_years,DATEDIF('Loan Tape (S&amp;P)'!K6899,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899">
        <f>IF(AND('Loan Tape (S&amp;P)'!U6899="Yes",
        'Loan Tape (S&amp;P)'!T6899&lt;&gt;"Yes",
        DATEDIF('Loan Tape (S&amp;P)'!K6899, TODAY(), "M")&lt;18),
    1.10,
    1.00)</f>
        <v/>
      </c>
      <c r="O6899">
        <f>IF('Loan Tape (S&amp;P)'!T6899="Yes",
    1.35,
    1.00)</f>
        <v/>
      </c>
      <c r="P6899">
        <f>IF('Loan Tape (S&amp;P)'!S6899="Yes",
    1.15,
    1.00)</f>
        <v/>
      </c>
      <c r="Q6899">
        <f>IF('Loan Tape (S&amp;P)'!V6899="Yes",
    1.20,
    1.00)</f>
        <v/>
      </c>
      <c r="T6899">
        <f>LET(
    payment_method,'Loan Tape (S&amp;P)'!P6899,
    occupancy,'Loan Tape (S&amp;P)'!N6899,
    maturity_date,'Loan Tape (S&amp;P)'!L6899,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00">
      <c r="J6900">
        <f>LET(
    lien,'Loan Tape (S&amp;P)'!Q6900,
    IF(lien="First",1.00,
        IF(lien="Second",1.50,
            1.70)))</f>
        <v/>
      </c>
      <c r="K6900">
        <f>LET(
    purpose,'Loan Tape (S&amp;P)'!R6900,
    IF(purpose="Purchase",1.00,
        IF(purpose="Remortgage",1.00,
            1.20)))</f>
        <v/>
      </c>
      <c r="L6900">
        <f>LET(
    arrears_months,'Loan Tape (S&amp;P)'!AN6900,
    IF(arrears_months=0,1.00,
    IF(arrears_months=1,3.00,
    IF(arrears_months=2,5.00,
    IF(arrears_months=3,8.00,
    IF(arrears_months=4,10.00,
    IF(arrears_months=5,12.00,15.00)))))))</f>
        <v/>
      </c>
      <c r="M6900">
        <f>LET(
    seasoning_years,DATEDIF('Loan Tape (S&amp;P)'!K6900,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00">
        <f>IF(AND('Loan Tape (S&amp;P)'!U6900="Yes",
        'Loan Tape (S&amp;P)'!T6900&lt;&gt;"Yes",
        DATEDIF('Loan Tape (S&amp;P)'!K6900, TODAY(), "M")&lt;18),
    1.10,
    1.00)</f>
        <v/>
      </c>
      <c r="O6900">
        <f>IF('Loan Tape (S&amp;P)'!T6900="Yes",
    1.35,
    1.00)</f>
        <v/>
      </c>
      <c r="P6900">
        <f>IF('Loan Tape (S&amp;P)'!S6900="Yes",
    1.15,
    1.00)</f>
        <v/>
      </c>
      <c r="Q6900">
        <f>IF('Loan Tape (S&amp;P)'!V6900="Yes",
    1.20,
    1.00)</f>
        <v/>
      </c>
      <c r="T6900">
        <f>LET(
    payment_method,'Loan Tape (S&amp;P)'!P6900,
    occupancy,'Loan Tape (S&amp;P)'!N6900,
    maturity_date,'Loan Tape (S&amp;P)'!L6900,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01">
      <c r="J6901">
        <f>LET(
    lien,'Loan Tape (S&amp;P)'!Q6901,
    IF(lien="First",1.00,
        IF(lien="Second",1.50,
            1.70)))</f>
        <v/>
      </c>
      <c r="K6901">
        <f>LET(
    purpose,'Loan Tape (S&amp;P)'!R6901,
    IF(purpose="Purchase",1.00,
        IF(purpose="Remortgage",1.00,
            1.20)))</f>
        <v/>
      </c>
      <c r="L6901">
        <f>LET(
    arrears_months,'Loan Tape (S&amp;P)'!AN6901,
    IF(arrears_months=0,1.00,
    IF(arrears_months=1,3.00,
    IF(arrears_months=2,5.00,
    IF(arrears_months=3,8.00,
    IF(arrears_months=4,10.00,
    IF(arrears_months=5,12.00,15.00)))))))</f>
        <v/>
      </c>
      <c r="M6901">
        <f>LET(
    seasoning_years,DATEDIF('Loan Tape (S&amp;P)'!K6901,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01">
        <f>IF(AND('Loan Tape (S&amp;P)'!U6901="Yes",
        'Loan Tape (S&amp;P)'!T6901&lt;&gt;"Yes",
        DATEDIF('Loan Tape (S&amp;P)'!K6901, TODAY(), "M")&lt;18),
    1.10,
    1.00)</f>
        <v/>
      </c>
      <c r="O6901">
        <f>IF('Loan Tape (S&amp;P)'!T6901="Yes",
    1.35,
    1.00)</f>
        <v/>
      </c>
      <c r="P6901">
        <f>IF('Loan Tape (S&amp;P)'!S6901="Yes",
    1.15,
    1.00)</f>
        <v/>
      </c>
      <c r="Q6901">
        <f>IF('Loan Tape (S&amp;P)'!V6901="Yes",
    1.20,
    1.00)</f>
        <v/>
      </c>
      <c r="T6901">
        <f>LET(
    payment_method,'Loan Tape (S&amp;P)'!P6901,
    occupancy,'Loan Tape (S&amp;P)'!N6901,
    maturity_date,'Loan Tape (S&amp;P)'!L6901,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02">
      <c r="J6902">
        <f>LET(
    lien,'Loan Tape (S&amp;P)'!Q6902,
    IF(lien="First",1.00,
        IF(lien="Second",1.50,
            1.70)))</f>
        <v/>
      </c>
      <c r="K6902">
        <f>LET(
    purpose,'Loan Tape (S&amp;P)'!R6902,
    IF(purpose="Purchase",1.00,
        IF(purpose="Remortgage",1.00,
            1.20)))</f>
        <v/>
      </c>
      <c r="L6902">
        <f>LET(
    arrears_months,'Loan Tape (S&amp;P)'!AN6902,
    IF(arrears_months=0,1.00,
    IF(arrears_months=1,3.00,
    IF(arrears_months=2,5.00,
    IF(arrears_months=3,8.00,
    IF(arrears_months=4,10.00,
    IF(arrears_months=5,12.00,15.00)))))))</f>
        <v/>
      </c>
      <c r="M6902">
        <f>LET(
    seasoning_years,DATEDIF('Loan Tape (S&amp;P)'!K6902,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02">
        <f>IF(AND('Loan Tape (S&amp;P)'!U6902="Yes",
        'Loan Tape (S&amp;P)'!T6902&lt;&gt;"Yes",
        DATEDIF('Loan Tape (S&amp;P)'!K6902, TODAY(), "M")&lt;18),
    1.10,
    1.00)</f>
        <v/>
      </c>
      <c r="O6902">
        <f>IF('Loan Tape (S&amp;P)'!T6902="Yes",
    1.35,
    1.00)</f>
        <v/>
      </c>
      <c r="P6902">
        <f>IF('Loan Tape (S&amp;P)'!S6902="Yes",
    1.15,
    1.00)</f>
        <v/>
      </c>
      <c r="Q6902">
        <f>IF('Loan Tape (S&amp;P)'!V6902="Yes",
    1.20,
    1.00)</f>
        <v/>
      </c>
      <c r="T6902">
        <f>LET(
    payment_method,'Loan Tape (S&amp;P)'!P6902,
    occupancy,'Loan Tape (S&amp;P)'!N6902,
    maturity_date,'Loan Tape (S&amp;P)'!L6902,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03">
      <c r="J6903">
        <f>LET(
    lien,'Loan Tape (S&amp;P)'!Q6903,
    IF(lien="First",1.00,
        IF(lien="Second",1.50,
            1.70)))</f>
        <v/>
      </c>
      <c r="K6903">
        <f>LET(
    purpose,'Loan Tape (S&amp;P)'!R6903,
    IF(purpose="Purchase",1.00,
        IF(purpose="Remortgage",1.00,
            1.20)))</f>
        <v/>
      </c>
      <c r="L6903">
        <f>LET(
    arrears_months,'Loan Tape (S&amp;P)'!AN6903,
    IF(arrears_months=0,1.00,
    IF(arrears_months=1,3.00,
    IF(arrears_months=2,5.00,
    IF(arrears_months=3,8.00,
    IF(arrears_months=4,10.00,
    IF(arrears_months=5,12.00,15.00)))))))</f>
        <v/>
      </c>
      <c r="M6903">
        <f>LET(
    seasoning_years,DATEDIF('Loan Tape (S&amp;P)'!K6903,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03">
        <f>IF(AND('Loan Tape (S&amp;P)'!U6903="Yes",
        'Loan Tape (S&amp;P)'!T6903&lt;&gt;"Yes",
        DATEDIF('Loan Tape (S&amp;P)'!K6903, TODAY(), "M")&lt;18),
    1.10,
    1.00)</f>
        <v/>
      </c>
      <c r="O6903">
        <f>IF('Loan Tape (S&amp;P)'!T6903="Yes",
    1.35,
    1.00)</f>
        <v/>
      </c>
      <c r="P6903">
        <f>IF('Loan Tape (S&amp;P)'!S6903="Yes",
    1.15,
    1.00)</f>
        <v/>
      </c>
      <c r="Q6903">
        <f>IF('Loan Tape (S&amp;P)'!V6903="Yes",
    1.20,
    1.00)</f>
        <v/>
      </c>
      <c r="T6903">
        <f>LET(
    payment_method,'Loan Tape (S&amp;P)'!P6903,
    occupancy,'Loan Tape (S&amp;P)'!N6903,
    maturity_date,'Loan Tape (S&amp;P)'!L6903,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04">
      <c r="J6904">
        <f>LET(
    lien,'Loan Tape (S&amp;P)'!Q6904,
    IF(lien="First",1.00,
        IF(lien="Second",1.50,
            1.70)))</f>
        <v/>
      </c>
      <c r="K6904">
        <f>LET(
    purpose,'Loan Tape (S&amp;P)'!R6904,
    IF(purpose="Purchase",1.00,
        IF(purpose="Remortgage",1.00,
            1.20)))</f>
        <v/>
      </c>
      <c r="L6904">
        <f>LET(
    arrears_months,'Loan Tape (S&amp;P)'!AN6904,
    IF(arrears_months=0,1.00,
    IF(arrears_months=1,3.00,
    IF(arrears_months=2,5.00,
    IF(arrears_months=3,8.00,
    IF(arrears_months=4,10.00,
    IF(arrears_months=5,12.00,15.00)))))))</f>
        <v/>
      </c>
      <c r="M6904">
        <f>LET(
    seasoning_years,DATEDIF('Loan Tape (S&amp;P)'!K6904,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04">
        <f>IF(AND('Loan Tape (S&amp;P)'!U6904="Yes",
        'Loan Tape (S&amp;P)'!T6904&lt;&gt;"Yes",
        DATEDIF('Loan Tape (S&amp;P)'!K6904, TODAY(), "M")&lt;18),
    1.10,
    1.00)</f>
        <v/>
      </c>
      <c r="O6904">
        <f>IF('Loan Tape (S&amp;P)'!T6904="Yes",
    1.35,
    1.00)</f>
        <v/>
      </c>
      <c r="P6904">
        <f>IF('Loan Tape (S&amp;P)'!S6904="Yes",
    1.15,
    1.00)</f>
        <v/>
      </c>
      <c r="Q6904">
        <f>IF('Loan Tape (S&amp;P)'!V6904="Yes",
    1.20,
    1.00)</f>
        <v/>
      </c>
      <c r="T6904">
        <f>LET(
    payment_method,'Loan Tape (S&amp;P)'!P6904,
    occupancy,'Loan Tape (S&amp;P)'!N6904,
    maturity_date,'Loan Tape (S&amp;P)'!L6904,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05">
      <c r="J6905">
        <f>LET(
    lien,'Loan Tape (S&amp;P)'!Q6905,
    IF(lien="First",1.00,
        IF(lien="Second",1.50,
            1.70)))</f>
        <v/>
      </c>
      <c r="K6905">
        <f>LET(
    purpose,'Loan Tape (S&amp;P)'!R6905,
    IF(purpose="Purchase",1.00,
        IF(purpose="Remortgage",1.00,
            1.20)))</f>
        <v/>
      </c>
      <c r="L6905">
        <f>LET(
    arrears_months,'Loan Tape (S&amp;P)'!AN6905,
    IF(arrears_months=0,1.00,
    IF(arrears_months=1,3.00,
    IF(arrears_months=2,5.00,
    IF(arrears_months=3,8.00,
    IF(arrears_months=4,10.00,
    IF(arrears_months=5,12.00,15.00)))))))</f>
        <v/>
      </c>
      <c r="M6905">
        <f>LET(
    seasoning_years,DATEDIF('Loan Tape (S&amp;P)'!K6905,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05">
        <f>IF(AND('Loan Tape (S&amp;P)'!U6905="Yes",
        'Loan Tape (S&amp;P)'!T6905&lt;&gt;"Yes",
        DATEDIF('Loan Tape (S&amp;P)'!K6905, TODAY(), "M")&lt;18),
    1.10,
    1.00)</f>
        <v/>
      </c>
      <c r="O6905">
        <f>IF('Loan Tape (S&amp;P)'!T6905="Yes",
    1.35,
    1.00)</f>
        <v/>
      </c>
      <c r="P6905">
        <f>IF('Loan Tape (S&amp;P)'!S6905="Yes",
    1.15,
    1.00)</f>
        <v/>
      </c>
      <c r="Q6905">
        <f>IF('Loan Tape (S&amp;P)'!V6905="Yes",
    1.20,
    1.00)</f>
        <v/>
      </c>
      <c r="T6905">
        <f>LET(
    payment_method,'Loan Tape (S&amp;P)'!P6905,
    occupancy,'Loan Tape (S&amp;P)'!N6905,
    maturity_date,'Loan Tape (S&amp;P)'!L6905,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06">
      <c r="J6906">
        <f>LET(
    lien,'Loan Tape (S&amp;P)'!Q6906,
    IF(lien="First",1.00,
        IF(lien="Second",1.50,
            1.70)))</f>
        <v/>
      </c>
      <c r="K6906">
        <f>LET(
    purpose,'Loan Tape (S&amp;P)'!R6906,
    IF(purpose="Purchase",1.00,
        IF(purpose="Remortgage",1.00,
            1.20)))</f>
        <v/>
      </c>
      <c r="L6906">
        <f>LET(
    arrears_months,'Loan Tape (S&amp;P)'!AN6906,
    IF(arrears_months=0,1.00,
    IF(arrears_months=1,3.00,
    IF(arrears_months=2,5.00,
    IF(arrears_months=3,8.00,
    IF(arrears_months=4,10.00,
    IF(arrears_months=5,12.00,15.00)))))))</f>
        <v/>
      </c>
      <c r="M6906">
        <f>LET(
    seasoning_years,DATEDIF('Loan Tape (S&amp;P)'!K6906,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06">
        <f>IF(AND('Loan Tape (S&amp;P)'!U6906="Yes",
        'Loan Tape (S&amp;P)'!T6906&lt;&gt;"Yes",
        DATEDIF('Loan Tape (S&amp;P)'!K6906, TODAY(), "M")&lt;18),
    1.10,
    1.00)</f>
        <v/>
      </c>
      <c r="O6906">
        <f>IF('Loan Tape (S&amp;P)'!T6906="Yes",
    1.35,
    1.00)</f>
        <v/>
      </c>
      <c r="P6906">
        <f>IF('Loan Tape (S&amp;P)'!S6906="Yes",
    1.15,
    1.00)</f>
        <v/>
      </c>
      <c r="Q6906">
        <f>IF('Loan Tape (S&amp;P)'!V6906="Yes",
    1.20,
    1.00)</f>
        <v/>
      </c>
      <c r="T6906">
        <f>LET(
    payment_method,'Loan Tape (S&amp;P)'!P6906,
    occupancy,'Loan Tape (S&amp;P)'!N6906,
    maturity_date,'Loan Tape (S&amp;P)'!L6906,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07">
      <c r="J6907">
        <f>LET(
    lien,'Loan Tape (S&amp;P)'!Q6907,
    IF(lien="First",1.00,
        IF(lien="Second",1.50,
            1.70)))</f>
        <v/>
      </c>
      <c r="K6907">
        <f>LET(
    purpose,'Loan Tape (S&amp;P)'!R6907,
    IF(purpose="Purchase",1.00,
        IF(purpose="Remortgage",1.00,
            1.20)))</f>
        <v/>
      </c>
      <c r="L6907">
        <f>LET(
    arrears_months,'Loan Tape (S&amp;P)'!AN6907,
    IF(arrears_months=0,1.00,
    IF(arrears_months=1,3.00,
    IF(arrears_months=2,5.00,
    IF(arrears_months=3,8.00,
    IF(arrears_months=4,10.00,
    IF(arrears_months=5,12.00,15.00)))))))</f>
        <v/>
      </c>
      <c r="M6907">
        <f>LET(
    seasoning_years,DATEDIF('Loan Tape (S&amp;P)'!K6907,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07">
        <f>IF(AND('Loan Tape (S&amp;P)'!U6907="Yes",
        'Loan Tape (S&amp;P)'!T6907&lt;&gt;"Yes",
        DATEDIF('Loan Tape (S&amp;P)'!K6907, TODAY(), "M")&lt;18),
    1.10,
    1.00)</f>
        <v/>
      </c>
      <c r="O6907">
        <f>IF('Loan Tape (S&amp;P)'!T6907="Yes",
    1.35,
    1.00)</f>
        <v/>
      </c>
      <c r="P6907">
        <f>IF('Loan Tape (S&amp;P)'!S6907="Yes",
    1.15,
    1.00)</f>
        <v/>
      </c>
      <c r="Q6907">
        <f>IF('Loan Tape (S&amp;P)'!V6907="Yes",
    1.20,
    1.00)</f>
        <v/>
      </c>
      <c r="T6907">
        <f>LET(
    payment_method,'Loan Tape (S&amp;P)'!P6907,
    occupancy,'Loan Tape (S&amp;P)'!N6907,
    maturity_date,'Loan Tape (S&amp;P)'!L6907,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08">
      <c r="J6908">
        <f>LET(
    lien,'Loan Tape (S&amp;P)'!Q6908,
    IF(lien="First",1.00,
        IF(lien="Second",1.50,
            1.70)))</f>
        <v/>
      </c>
      <c r="K6908">
        <f>LET(
    purpose,'Loan Tape (S&amp;P)'!R6908,
    IF(purpose="Purchase",1.00,
        IF(purpose="Remortgage",1.00,
            1.20)))</f>
        <v/>
      </c>
      <c r="L6908">
        <f>LET(
    arrears_months,'Loan Tape (S&amp;P)'!AN6908,
    IF(arrears_months=0,1.00,
    IF(arrears_months=1,3.00,
    IF(arrears_months=2,5.00,
    IF(arrears_months=3,8.00,
    IF(arrears_months=4,10.00,
    IF(arrears_months=5,12.00,15.00)))))))</f>
        <v/>
      </c>
      <c r="M6908">
        <f>LET(
    seasoning_years,DATEDIF('Loan Tape (S&amp;P)'!K6908,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08">
        <f>IF(AND('Loan Tape (S&amp;P)'!U6908="Yes",
        'Loan Tape (S&amp;P)'!T6908&lt;&gt;"Yes",
        DATEDIF('Loan Tape (S&amp;P)'!K6908, TODAY(), "M")&lt;18),
    1.10,
    1.00)</f>
        <v/>
      </c>
      <c r="O6908">
        <f>IF('Loan Tape (S&amp;P)'!T6908="Yes",
    1.35,
    1.00)</f>
        <v/>
      </c>
      <c r="P6908">
        <f>IF('Loan Tape (S&amp;P)'!S6908="Yes",
    1.15,
    1.00)</f>
        <v/>
      </c>
      <c r="Q6908">
        <f>IF('Loan Tape (S&amp;P)'!V6908="Yes",
    1.20,
    1.00)</f>
        <v/>
      </c>
      <c r="T6908">
        <f>LET(
    payment_method,'Loan Tape (S&amp;P)'!P6908,
    occupancy,'Loan Tape (S&amp;P)'!N6908,
    maturity_date,'Loan Tape (S&amp;P)'!L6908,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09">
      <c r="J6909">
        <f>LET(
    lien,'Loan Tape (S&amp;P)'!Q6909,
    IF(lien="First",1.00,
        IF(lien="Second",1.50,
            1.70)))</f>
        <v/>
      </c>
      <c r="K6909">
        <f>LET(
    purpose,'Loan Tape (S&amp;P)'!R6909,
    IF(purpose="Purchase",1.00,
        IF(purpose="Remortgage",1.00,
            1.20)))</f>
        <v/>
      </c>
      <c r="L6909">
        <f>LET(
    arrears_months,'Loan Tape (S&amp;P)'!AN6909,
    IF(arrears_months=0,1.00,
    IF(arrears_months=1,3.00,
    IF(arrears_months=2,5.00,
    IF(arrears_months=3,8.00,
    IF(arrears_months=4,10.00,
    IF(arrears_months=5,12.00,15.00)))))))</f>
        <v/>
      </c>
      <c r="M6909">
        <f>LET(
    seasoning_years,DATEDIF('Loan Tape (S&amp;P)'!K6909,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09">
        <f>IF(AND('Loan Tape (S&amp;P)'!U6909="Yes",
        'Loan Tape (S&amp;P)'!T6909&lt;&gt;"Yes",
        DATEDIF('Loan Tape (S&amp;P)'!K6909, TODAY(), "M")&lt;18),
    1.10,
    1.00)</f>
        <v/>
      </c>
      <c r="O6909">
        <f>IF('Loan Tape (S&amp;P)'!T6909="Yes",
    1.35,
    1.00)</f>
        <v/>
      </c>
      <c r="P6909">
        <f>IF('Loan Tape (S&amp;P)'!S6909="Yes",
    1.15,
    1.00)</f>
        <v/>
      </c>
      <c r="Q6909">
        <f>IF('Loan Tape (S&amp;P)'!V6909="Yes",
    1.20,
    1.00)</f>
        <v/>
      </c>
      <c r="T6909">
        <f>LET(
    payment_method,'Loan Tape (S&amp;P)'!P6909,
    occupancy,'Loan Tape (S&amp;P)'!N6909,
    maturity_date,'Loan Tape (S&amp;P)'!L6909,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10">
      <c r="J6910">
        <f>LET(
    lien,'Loan Tape (S&amp;P)'!Q6910,
    IF(lien="First",1.00,
        IF(lien="Second",1.50,
            1.70)))</f>
        <v/>
      </c>
      <c r="K6910">
        <f>LET(
    purpose,'Loan Tape (S&amp;P)'!R6910,
    IF(purpose="Purchase",1.00,
        IF(purpose="Remortgage",1.00,
            1.20)))</f>
        <v/>
      </c>
      <c r="L6910">
        <f>LET(
    arrears_months,'Loan Tape (S&amp;P)'!AN6910,
    IF(arrears_months=0,1.00,
    IF(arrears_months=1,3.00,
    IF(arrears_months=2,5.00,
    IF(arrears_months=3,8.00,
    IF(arrears_months=4,10.00,
    IF(arrears_months=5,12.00,15.00)))))))</f>
        <v/>
      </c>
      <c r="M6910">
        <f>LET(
    seasoning_years,DATEDIF('Loan Tape (S&amp;P)'!K6910,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10">
        <f>IF(AND('Loan Tape (S&amp;P)'!U6910="Yes",
        'Loan Tape (S&amp;P)'!T6910&lt;&gt;"Yes",
        DATEDIF('Loan Tape (S&amp;P)'!K6910, TODAY(), "M")&lt;18),
    1.10,
    1.00)</f>
        <v/>
      </c>
      <c r="O6910">
        <f>IF('Loan Tape (S&amp;P)'!T6910="Yes",
    1.35,
    1.00)</f>
        <v/>
      </c>
      <c r="P6910">
        <f>IF('Loan Tape (S&amp;P)'!S6910="Yes",
    1.15,
    1.00)</f>
        <v/>
      </c>
      <c r="Q6910">
        <f>IF('Loan Tape (S&amp;P)'!V6910="Yes",
    1.20,
    1.00)</f>
        <v/>
      </c>
      <c r="T6910">
        <f>LET(
    payment_method,'Loan Tape (S&amp;P)'!P6910,
    occupancy,'Loan Tape (S&amp;P)'!N6910,
    maturity_date,'Loan Tape (S&amp;P)'!L6910,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11">
      <c r="J6911">
        <f>LET(
    lien,'Loan Tape (S&amp;P)'!Q6911,
    IF(lien="First",1.00,
        IF(lien="Second",1.50,
            1.70)))</f>
        <v/>
      </c>
      <c r="K6911">
        <f>LET(
    purpose,'Loan Tape (S&amp;P)'!R6911,
    IF(purpose="Purchase",1.00,
        IF(purpose="Remortgage",1.00,
            1.20)))</f>
        <v/>
      </c>
      <c r="L6911">
        <f>LET(
    arrears_months,'Loan Tape (S&amp;P)'!AN6911,
    IF(arrears_months=0,1.00,
    IF(arrears_months=1,3.00,
    IF(arrears_months=2,5.00,
    IF(arrears_months=3,8.00,
    IF(arrears_months=4,10.00,
    IF(arrears_months=5,12.00,15.00)))))))</f>
        <v/>
      </c>
      <c r="M6911">
        <f>LET(
    seasoning_years,DATEDIF('Loan Tape (S&amp;P)'!K6911,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11">
        <f>IF(AND('Loan Tape (S&amp;P)'!U6911="Yes",
        'Loan Tape (S&amp;P)'!T6911&lt;&gt;"Yes",
        DATEDIF('Loan Tape (S&amp;P)'!K6911, TODAY(), "M")&lt;18),
    1.10,
    1.00)</f>
        <v/>
      </c>
      <c r="O6911">
        <f>IF('Loan Tape (S&amp;P)'!T6911="Yes",
    1.35,
    1.00)</f>
        <v/>
      </c>
      <c r="P6911">
        <f>IF('Loan Tape (S&amp;P)'!S6911="Yes",
    1.15,
    1.00)</f>
        <v/>
      </c>
      <c r="Q6911">
        <f>IF('Loan Tape (S&amp;P)'!V6911="Yes",
    1.20,
    1.00)</f>
        <v/>
      </c>
      <c r="T6911">
        <f>LET(
    payment_method,'Loan Tape (S&amp;P)'!P6911,
    occupancy,'Loan Tape (S&amp;P)'!N6911,
    maturity_date,'Loan Tape (S&amp;P)'!L6911,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12">
      <c r="J6912">
        <f>LET(
    lien,'Loan Tape (S&amp;P)'!Q6912,
    IF(lien="First",1.00,
        IF(lien="Second",1.50,
            1.70)))</f>
        <v/>
      </c>
      <c r="K6912">
        <f>LET(
    purpose,'Loan Tape (S&amp;P)'!R6912,
    IF(purpose="Purchase",1.00,
        IF(purpose="Remortgage",1.00,
            1.20)))</f>
        <v/>
      </c>
      <c r="L6912">
        <f>LET(
    arrears_months,'Loan Tape (S&amp;P)'!AN6912,
    IF(arrears_months=0,1.00,
    IF(arrears_months=1,3.00,
    IF(arrears_months=2,5.00,
    IF(arrears_months=3,8.00,
    IF(arrears_months=4,10.00,
    IF(arrears_months=5,12.00,15.00)))))))</f>
        <v/>
      </c>
      <c r="M6912">
        <f>LET(
    seasoning_years,DATEDIF('Loan Tape (S&amp;P)'!K6912,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12">
        <f>IF(AND('Loan Tape (S&amp;P)'!U6912="Yes",
        'Loan Tape (S&amp;P)'!T6912&lt;&gt;"Yes",
        DATEDIF('Loan Tape (S&amp;P)'!K6912, TODAY(), "M")&lt;18),
    1.10,
    1.00)</f>
        <v/>
      </c>
      <c r="O6912">
        <f>IF('Loan Tape (S&amp;P)'!T6912="Yes",
    1.35,
    1.00)</f>
        <v/>
      </c>
      <c r="P6912">
        <f>IF('Loan Tape (S&amp;P)'!S6912="Yes",
    1.15,
    1.00)</f>
        <v/>
      </c>
      <c r="Q6912">
        <f>IF('Loan Tape (S&amp;P)'!V6912="Yes",
    1.20,
    1.00)</f>
        <v/>
      </c>
      <c r="T6912">
        <f>LET(
    payment_method,'Loan Tape (S&amp;P)'!P6912,
    occupancy,'Loan Tape (S&amp;P)'!N6912,
    maturity_date,'Loan Tape (S&amp;P)'!L6912,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13">
      <c r="J6913">
        <f>LET(
    lien,'Loan Tape (S&amp;P)'!Q6913,
    IF(lien="First",1.00,
        IF(lien="Second",1.50,
            1.70)))</f>
        <v/>
      </c>
      <c r="K6913">
        <f>LET(
    purpose,'Loan Tape (S&amp;P)'!R6913,
    IF(purpose="Purchase",1.00,
        IF(purpose="Remortgage",1.00,
            1.20)))</f>
        <v/>
      </c>
      <c r="L6913">
        <f>LET(
    arrears_months,'Loan Tape (S&amp;P)'!AN6913,
    IF(arrears_months=0,1.00,
    IF(arrears_months=1,3.00,
    IF(arrears_months=2,5.00,
    IF(arrears_months=3,8.00,
    IF(arrears_months=4,10.00,
    IF(arrears_months=5,12.00,15.00)))))))</f>
        <v/>
      </c>
      <c r="M6913">
        <f>LET(
    seasoning_years,DATEDIF('Loan Tape (S&amp;P)'!K6913,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13">
        <f>IF(AND('Loan Tape (S&amp;P)'!U6913="Yes",
        'Loan Tape (S&amp;P)'!T6913&lt;&gt;"Yes",
        DATEDIF('Loan Tape (S&amp;P)'!K6913, TODAY(), "M")&lt;18),
    1.10,
    1.00)</f>
        <v/>
      </c>
      <c r="O6913">
        <f>IF('Loan Tape (S&amp;P)'!T6913="Yes",
    1.35,
    1.00)</f>
        <v/>
      </c>
      <c r="P6913">
        <f>IF('Loan Tape (S&amp;P)'!S6913="Yes",
    1.15,
    1.00)</f>
        <v/>
      </c>
      <c r="Q6913">
        <f>IF('Loan Tape (S&amp;P)'!V6913="Yes",
    1.20,
    1.00)</f>
        <v/>
      </c>
      <c r="T6913">
        <f>LET(
    payment_method,'Loan Tape (S&amp;P)'!P6913,
    occupancy,'Loan Tape (S&amp;P)'!N6913,
    maturity_date,'Loan Tape (S&amp;P)'!L6913,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14">
      <c r="J6914">
        <f>LET(
    lien,'Loan Tape (S&amp;P)'!Q6914,
    IF(lien="First",1.00,
        IF(lien="Second",1.50,
            1.70)))</f>
        <v/>
      </c>
      <c r="K6914">
        <f>LET(
    purpose,'Loan Tape (S&amp;P)'!R6914,
    IF(purpose="Purchase",1.00,
        IF(purpose="Remortgage",1.00,
            1.20)))</f>
        <v/>
      </c>
      <c r="L6914">
        <f>LET(
    arrears_months,'Loan Tape (S&amp;P)'!AN6914,
    IF(arrears_months=0,1.00,
    IF(arrears_months=1,3.00,
    IF(arrears_months=2,5.00,
    IF(arrears_months=3,8.00,
    IF(arrears_months=4,10.00,
    IF(arrears_months=5,12.00,15.00)))))))</f>
        <v/>
      </c>
      <c r="M6914">
        <f>LET(
    seasoning_years,DATEDIF('Loan Tape (S&amp;P)'!K6914,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14">
        <f>IF(AND('Loan Tape (S&amp;P)'!U6914="Yes",
        'Loan Tape (S&amp;P)'!T6914&lt;&gt;"Yes",
        DATEDIF('Loan Tape (S&amp;P)'!K6914, TODAY(), "M")&lt;18),
    1.10,
    1.00)</f>
        <v/>
      </c>
      <c r="O6914">
        <f>IF('Loan Tape (S&amp;P)'!T6914="Yes",
    1.35,
    1.00)</f>
        <v/>
      </c>
      <c r="P6914">
        <f>IF('Loan Tape (S&amp;P)'!S6914="Yes",
    1.15,
    1.00)</f>
        <v/>
      </c>
      <c r="Q6914">
        <f>IF('Loan Tape (S&amp;P)'!V6914="Yes",
    1.20,
    1.00)</f>
        <v/>
      </c>
      <c r="T6914">
        <f>LET(
    payment_method,'Loan Tape (S&amp;P)'!P6914,
    occupancy,'Loan Tape (S&amp;P)'!N6914,
    maturity_date,'Loan Tape (S&amp;P)'!L6914,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15">
      <c r="J6915">
        <f>LET(
    lien,'Loan Tape (S&amp;P)'!Q6915,
    IF(lien="First",1.00,
        IF(lien="Second",1.50,
            1.70)))</f>
        <v/>
      </c>
      <c r="K6915">
        <f>LET(
    purpose,'Loan Tape (S&amp;P)'!R6915,
    IF(purpose="Purchase",1.00,
        IF(purpose="Remortgage",1.00,
            1.20)))</f>
        <v/>
      </c>
      <c r="L6915">
        <f>LET(
    arrears_months,'Loan Tape (S&amp;P)'!AN6915,
    IF(arrears_months=0,1.00,
    IF(arrears_months=1,3.00,
    IF(arrears_months=2,5.00,
    IF(arrears_months=3,8.00,
    IF(arrears_months=4,10.00,
    IF(arrears_months=5,12.00,15.00)))))))</f>
        <v/>
      </c>
      <c r="M6915">
        <f>LET(
    seasoning_years,DATEDIF('Loan Tape (S&amp;P)'!K6915,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15">
        <f>IF(AND('Loan Tape (S&amp;P)'!U6915="Yes",
        'Loan Tape (S&amp;P)'!T6915&lt;&gt;"Yes",
        DATEDIF('Loan Tape (S&amp;P)'!K6915, TODAY(), "M")&lt;18),
    1.10,
    1.00)</f>
        <v/>
      </c>
      <c r="O6915">
        <f>IF('Loan Tape (S&amp;P)'!T6915="Yes",
    1.35,
    1.00)</f>
        <v/>
      </c>
      <c r="P6915">
        <f>IF('Loan Tape (S&amp;P)'!S6915="Yes",
    1.15,
    1.00)</f>
        <v/>
      </c>
      <c r="Q6915">
        <f>IF('Loan Tape (S&amp;P)'!V6915="Yes",
    1.20,
    1.00)</f>
        <v/>
      </c>
      <c r="T6915">
        <f>LET(
    payment_method,'Loan Tape (S&amp;P)'!P6915,
    occupancy,'Loan Tape (S&amp;P)'!N6915,
    maturity_date,'Loan Tape (S&amp;P)'!L6915,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16">
      <c r="J6916">
        <f>LET(
    lien,'Loan Tape (S&amp;P)'!Q6916,
    IF(lien="First",1.00,
        IF(lien="Second",1.50,
            1.70)))</f>
        <v/>
      </c>
      <c r="K6916">
        <f>LET(
    purpose,'Loan Tape (S&amp;P)'!R6916,
    IF(purpose="Purchase",1.00,
        IF(purpose="Remortgage",1.00,
            1.20)))</f>
        <v/>
      </c>
      <c r="L6916">
        <f>LET(
    arrears_months,'Loan Tape (S&amp;P)'!AN6916,
    IF(arrears_months=0,1.00,
    IF(arrears_months=1,3.00,
    IF(arrears_months=2,5.00,
    IF(arrears_months=3,8.00,
    IF(arrears_months=4,10.00,
    IF(arrears_months=5,12.00,15.00)))))))</f>
        <v/>
      </c>
      <c r="M6916">
        <f>LET(
    seasoning_years,DATEDIF('Loan Tape (S&amp;P)'!K6916,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16">
        <f>IF(AND('Loan Tape (S&amp;P)'!U6916="Yes",
        'Loan Tape (S&amp;P)'!T6916&lt;&gt;"Yes",
        DATEDIF('Loan Tape (S&amp;P)'!K6916, TODAY(), "M")&lt;18),
    1.10,
    1.00)</f>
        <v/>
      </c>
      <c r="O6916">
        <f>IF('Loan Tape (S&amp;P)'!T6916="Yes",
    1.35,
    1.00)</f>
        <v/>
      </c>
      <c r="P6916">
        <f>IF('Loan Tape (S&amp;P)'!S6916="Yes",
    1.15,
    1.00)</f>
        <v/>
      </c>
      <c r="Q6916">
        <f>IF('Loan Tape (S&amp;P)'!V6916="Yes",
    1.20,
    1.00)</f>
        <v/>
      </c>
      <c r="T6916">
        <f>LET(
    payment_method,'Loan Tape (S&amp;P)'!P6916,
    occupancy,'Loan Tape (S&amp;P)'!N6916,
    maturity_date,'Loan Tape (S&amp;P)'!L6916,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17">
      <c r="J6917">
        <f>LET(
    lien,'Loan Tape (S&amp;P)'!Q6917,
    IF(lien="First",1.00,
        IF(lien="Second",1.50,
            1.70)))</f>
        <v/>
      </c>
      <c r="K6917">
        <f>LET(
    purpose,'Loan Tape (S&amp;P)'!R6917,
    IF(purpose="Purchase",1.00,
        IF(purpose="Remortgage",1.00,
            1.20)))</f>
        <v/>
      </c>
      <c r="L6917">
        <f>LET(
    arrears_months,'Loan Tape (S&amp;P)'!AN6917,
    IF(arrears_months=0,1.00,
    IF(arrears_months=1,3.00,
    IF(arrears_months=2,5.00,
    IF(arrears_months=3,8.00,
    IF(arrears_months=4,10.00,
    IF(arrears_months=5,12.00,15.00)))))))</f>
        <v/>
      </c>
      <c r="M6917">
        <f>LET(
    seasoning_years,DATEDIF('Loan Tape (S&amp;P)'!K6917,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17">
        <f>IF(AND('Loan Tape (S&amp;P)'!U6917="Yes",
        'Loan Tape (S&amp;P)'!T6917&lt;&gt;"Yes",
        DATEDIF('Loan Tape (S&amp;P)'!K6917, TODAY(), "M")&lt;18),
    1.10,
    1.00)</f>
        <v/>
      </c>
      <c r="O6917">
        <f>IF('Loan Tape (S&amp;P)'!T6917="Yes",
    1.35,
    1.00)</f>
        <v/>
      </c>
      <c r="P6917">
        <f>IF('Loan Tape (S&amp;P)'!S6917="Yes",
    1.15,
    1.00)</f>
        <v/>
      </c>
      <c r="Q6917">
        <f>IF('Loan Tape (S&amp;P)'!V6917="Yes",
    1.20,
    1.00)</f>
        <v/>
      </c>
      <c r="T6917">
        <f>LET(
    payment_method,'Loan Tape (S&amp;P)'!P6917,
    occupancy,'Loan Tape (S&amp;P)'!N6917,
    maturity_date,'Loan Tape (S&amp;P)'!L6917,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18">
      <c r="J6918">
        <f>LET(
    lien,'Loan Tape (S&amp;P)'!Q6918,
    IF(lien="First",1.00,
        IF(lien="Second",1.50,
            1.70)))</f>
        <v/>
      </c>
      <c r="K6918">
        <f>LET(
    purpose,'Loan Tape (S&amp;P)'!R6918,
    IF(purpose="Purchase",1.00,
        IF(purpose="Remortgage",1.00,
            1.20)))</f>
        <v/>
      </c>
      <c r="L6918">
        <f>LET(
    arrears_months,'Loan Tape (S&amp;P)'!AN6918,
    IF(arrears_months=0,1.00,
    IF(arrears_months=1,3.00,
    IF(arrears_months=2,5.00,
    IF(arrears_months=3,8.00,
    IF(arrears_months=4,10.00,
    IF(arrears_months=5,12.00,15.00)))))))</f>
        <v/>
      </c>
      <c r="M6918">
        <f>LET(
    seasoning_years,DATEDIF('Loan Tape (S&amp;P)'!K6918,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18">
        <f>IF(AND('Loan Tape (S&amp;P)'!U6918="Yes",
        'Loan Tape (S&amp;P)'!T6918&lt;&gt;"Yes",
        DATEDIF('Loan Tape (S&amp;P)'!K6918, TODAY(), "M")&lt;18),
    1.10,
    1.00)</f>
        <v/>
      </c>
      <c r="O6918">
        <f>IF('Loan Tape (S&amp;P)'!T6918="Yes",
    1.35,
    1.00)</f>
        <v/>
      </c>
      <c r="P6918">
        <f>IF('Loan Tape (S&amp;P)'!S6918="Yes",
    1.15,
    1.00)</f>
        <v/>
      </c>
      <c r="Q6918">
        <f>IF('Loan Tape (S&amp;P)'!V6918="Yes",
    1.20,
    1.00)</f>
        <v/>
      </c>
      <c r="T6918">
        <f>LET(
    payment_method,'Loan Tape (S&amp;P)'!P6918,
    occupancy,'Loan Tape (S&amp;P)'!N6918,
    maturity_date,'Loan Tape (S&amp;P)'!L6918,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19">
      <c r="J6919">
        <f>LET(
    lien,'Loan Tape (S&amp;P)'!Q6919,
    IF(lien="First",1.00,
        IF(lien="Second",1.50,
            1.70)))</f>
        <v/>
      </c>
      <c r="K6919">
        <f>LET(
    purpose,'Loan Tape (S&amp;P)'!R6919,
    IF(purpose="Purchase",1.00,
        IF(purpose="Remortgage",1.00,
            1.20)))</f>
        <v/>
      </c>
      <c r="L6919">
        <f>LET(
    arrears_months,'Loan Tape (S&amp;P)'!AN6919,
    IF(arrears_months=0,1.00,
    IF(arrears_months=1,3.00,
    IF(arrears_months=2,5.00,
    IF(arrears_months=3,8.00,
    IF(arrears_months=4,10.00,
    IF(arrears_months=5,12.00,15.00)))))))</f>
        <v/>
      </c>
      <c r="M6919">
        <f>LET(
    seasoning_years,DATEDIF('Loan Tape (S&amp;P)'!K6919,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19">
        <f>IF(AND('Loan Tape (S&amp;P)'!U6919="Yes",
        'Loan Tape (S&amp;P)'!T6919&lt;&gt;"Yes",
        DATEDIF('Loan Tape (S&amp;P)'!K6919, TODAY(), "M")&lt;18),
    1.10,
    1.00)</f>
        <v/>
      </c>
      <c r="O6919">
        <f>IF('Loan Tape (S&amp;P)'!T6919="Yes",
    1.35,
    1.00)</f>
        <v/>
      </c>
      <c r="P6919">
        <f>IF('Loan Tape (S&amp;P)'!S6919="Yes",
    1.15,
    1.00)</f>
        <v/>
      </c>
      <c r="Q6919">
        <f>IF('Loan Tape (S&amp;P)'!V6919="Yes",
    1.20,
    1.00)</f>
        <v/>
      </c>
      <c r="T6919">
        <f>LET(
    payment_method,'Loan Tape (S&amp;P)'!P6919,
    occupancy,'Loan Tape (S&amp;P)'!N6919,
    maturity_date,'Loan Tape (S&amp;P)'!L6919,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20">
      <c r="J6920">
        <f>LET(
    lien,'Loan Tape (S&amp;P)'!Q6920,
    IF(lien="First",1.00,
        IF(lien="Second",1.50,
            1.70)))</f>
        <v/>
      </c>
      <c r="K6920">
        <f>LET(
    purpose,'Loan Tape (S&amp;P)'!R6920,
    IF(purpose="Purchase",1.00,
        IF(purpose="Remortgage",1.00,
            1.20)))</f>
        <v/>
      </c>
      <c r="L6920">
        <f>LET(
    arrears_months,'Loan Tape (S&amp;P)'!AN6920,
    IF(arrears_months=0,1.00,
    IF(arrears_months=1,3.00,
    IF(arrears_months=2,5.00,
    IF(arrears_months=3,8.00,
    IF(arrears_months=4,10.00,
    IF(arrears_months=5,12.00,15.00)))))))</f>
        <v/>
      </c>
      <c r="M6920">
        <f>LET(
    seasoning_years,DATEDIF('Loan Tape (S&amp;P)'!K6920,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20">
        <f>IF(AND('Loan Tape (S&amp;P)'!U6920="Yes",
        'Loan Tape (S&amp;P)'!T6920&lt;&gt;"Yes",
        DATEDIF('Loan Tape (S&amp;P)'!K6920, TODAY(), "M")&lt;18),
    1.10,
    1.00)</f>
        <v/>
      </c>
      <c r="O6920">
        <f>IF('Loan Tape (S&amp;P)'!T6920="Yes",
    1.35,
    1.00)</f>
        <v/>
      </c>
      <c r="P6920">
        <f>IF('Loan Tape (S&amp;P)'!S6920="Yes",
    1.15,
    1.00)</f>
        <v/>
      </c>
      <c r="Q6920">
        <f>IF('Loan Tape (S&amp;P)'!V6920="Yes",
    1.20,
    1.00)</f>
        <v/>
      </c>
      <c r="T6920">
        <f>LET(
    payment_method,'Loan Tape (S&amp;P)'!P6920,
    occupancy,'Loan Tape (S&amp;P)'!N6920,
    maturity_date,'Loan Tape (S&amp;P)'!L6920,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21">
      <c r="J6921">
        <f>LET(
    lien,'Loan Tape (S&amp;P)'!Q6921,
    IF(lien="First",1.00,
        IF(lien="Second",1.50,
            1.70)))</f>
        <v/>
      </c>
      <c r="K6921">
        <f>LET(
    purpose,'Loan Tape (S&amp;P)'!R6921,
    IF(purpose="Purchase",1.00,
        IF(purpose="Remortgage",1.00,
            1.20)))</f>
        <v/>
      </c>
      <c r="L6921">
        <f>LET(
    arrears_months,'Loan Tape (S&amp;P)'!AN6921,
    IF(arrears_months=0,1.00,
    IF(arrears_months=1,3.00,
    IF(arrears_months=2,5.00,
    IF(arrears_months=3,8.00,
    IF(arrears_months=4,10.00,
    IF(arrears_months=5,12.00,15.00)))))))</f>
        <v/>
      </c>
      <c r="M6921">
        <f>LET(
    seasoning_years,DATEDIF('Loan Tape (S&amp;P)'!K6921,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21">
        <f>IF(AND('Loan Tape (S&amp;P)'!U6921="Yes",
        'Loan Tape (S&amp;P)'!T6921&lt;&gt;"Yes",
        DATEDIF('Loan Tape (S&amp;P)'!K6921, TODAY(), "M")&lt;18),
    1.10,
    1.00)</f>
        <v/>
      </c>
      <c r="O6921">
        <f>IF('Loan Tape (S&amp;P)'!T6921="Yes",
    1.35,
    1.00)</f>
        <v/>
      </c>
      <c r="P6921">
        <f>IF('Loan Tape (S&amp;P)'!S6921="Yes",
    1.15,
    1.00)</f>
        <v/>
      </c>
      <c r="Q6921">
        <f>IF('Loan Tape (S&amp;P)'!V6921="Yes",
    1.20,
    1.00)</f>
        <v/>
      </c>
      <c r="T6921">
        <f>LET(
    payment_method,'Loan Tape (S&amp;P)'!P6921,
    occupancy,'Loan Tape (S&amp;P)'!N6921,
    maturity_date,'Loan Tape (S&amp;P)'!L6921,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22">
      <c r="J6922">
        <f>LET(
    lien,'Loan Tape (S&amp;P)'!Q6922,
    IF(lien="First",1.00,
        IF(lien="Second",1.50,
            1.70)))</f>
        <v/>
      </c>
      <c r="K6922">
        <f>LET(
    purpose,'Loan Tape (S&amp;P)'!R6922,
    IF(purpose="Purchase",1.00,
        IF(purpose="Remortgage",1.00,
            1.20)))</f>
        <v/>
      </c>
      <c r="L6922">
        <f>LET(
    arrears_months,'Loan Tape (S&amp;P)'!AN6922,
    IF(arrears_months=0,1.00,
    IF(arrears_months=1,3.00,
    IF(arrears_months=2,5.00,
    IF(arrears_months=3,8.00,
    IF(arrears_months=4,10.00,
    IF(arrears_months=5,12.00,15.00)))))))</f>
        <v/>
      </c>
      <c r="M6922">
        <f>LET(
    seasoning_years,DATEDIF('Loan Tape (S&amp;P)'!K6922,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22">
        <f>IF(AND('Loan Tape (S&amp;P)'!U6922="Yes",
        'Loan Tape (S&amp;P)'!T6922&lt;&gt;"Yes",
        DATEDIF('Loan Tape (S&amp;P)'!K6922, TODAY(), "M")&lt;18),
    1.10,
    1.00)</f>
        <v/>
      </c>
      <c r="O6922">
        <f>IF('Loan Tape (S&amp;P)'!T6922="Yes",
    1.35,
    1.00)</f>
        <v/>
      </c>
      <c r="P6922">
        <f>IF('Loan Tape (S&amp;P)'!S6922="Yes",
    1.15,
    1.00)</f>
        <v/>
      </c>
      <c r="Q6922">
        <f>IF('Loan Tape (S&amp;P)'!V6922="Yes",
    1.20,
    1.00)</f>
        <v/>
      </c>
      <c r="T6922">
        <f>LET(
    payment_method,'Loan Tape (S&amp;P)'!P6922,
    occupancy,'Loan Tape (S&amp;P)'!N6922,
    maturity_date,'Loan Tape (S&amp;P)'!L6922,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23">
      <c r="J6923">
        <f>LET(
    lien,'Loan Tape (S&amp;P)'!Q6923,
    IF(lien="First",1.00,
        IF(lien="Second",1.50,
            1.70)))</f>
        <v/>
      </c>
      <c r="K6923">
        <f>LET(
    purpose,'Loan Tape (S&amp;P)'!R6923,
    IF(purpose="Purchase",1.00,
        IF(purpose="Remortgage",1.00,
            1.20)))</f>
        <v/>
      </c>
      <c r="L6923">
        <f>LET(
    arrears_months,'Loan Tape (S&amp;P)'!AN6923,
    IF(arrears_months=0,1.00,
    IF(arrears_months=1,3.00,
    IF(arrears_months=2,5.00,
    IF(arrears_months=3,8.00,
    IF(arrears_months=4,10.00,
    IF(arrears_months=5,12.00,15.00)))))))</f>
        <v/>
      </c>
      <c r="M6923">
        <f>LET(
    seasoning_years,DATEDIF('Loan Tape (S&amp;P)'!K6923,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23">
        <f>IF(AND('Loan Tape (S&amp;P)'!U6923="Yes",
        'Loan Tape (S&amp;P)'!T6923&lt;&gt;"Yes",
        DATEDIF('Loan Tape (S&amp;P)'!K6923, TODAY(), "M")&lt;18),
    1.10,
    1.00)</f>
        <v/>
      </c>
      <c r="O6923">
        <f>IF('Loan Tape (S&amp;P)'!T6923="Yes",
    1.35,
    1.00)</f>
        <v/>
      </c>
      <c r="P6923">
        <f>IF('Loan Tape (S&amp;P)'!S6923="Yes",
    1.15,
    1.00)</f>
        <v/>
      </c>
      <c r="Q6923">
        <f>IF('Loan Tape (S&amp;P)'!V6923="Yes",
    1.20,
    1.00)</f>
        <v/>
      </c>
      <c r="T6923">
        <f>LET(
    payment_method,'Loan Tape (S&amp;P)'!P6923,
    occupancy,'Loan Tape (S&amp;P)'!N6923,
    maturity_date,'Loan Tape (S&amp;P)'!L6923,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24">
      <c r="J6924">
        <f>LET(
    lien,'Loan Tape (S&amp;P)'!Q6924,
    IF(lien="First",1.00,
        IF(lien="Second",1.50,
            1.70)))</f>
        <v/>
      </c>
      <c r="K6924">
        <f>LET(
    purpose,'Loan Tape (S&amp;P)'!R6924,
    IF(purpose="Purchase",1.00,
        IF(purpose="Remortgage",1.00,
            1.20)))</f>
        <v/>
      </c>
      <c r="L6924">
        <f>LET(
    arrears_months,'Loan Tape (S&amp;P)'!AN6924,
    IF(arrears_months=0,1.00,
    IF(arrears_months=1,3.00,
    IF(arrears_months=2,5.00,
    IF(arrears_months=3,8.00,
    IF(arrears_months=4,10.00,
    IF(arrears_months=5,12.00,15.00)))))))</f>
        <v/>
      </c>
      <c r="M6924">
        <f>LET(
    seasoning_years,DATEDIF('Loan Tape (S&amp;P)'!K6924,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24">
        <f>IF(AND('Loan Tape (S&amp;P)'!U6924="Yes",
        'Loan Tape (S&amp;P)'!T6924&lt;&gt;"Yes",
        DATEDIF('Loan Tape (S&amp;P)'!K6924, TODAY(), "M")&lt;18),
    1.10,
    1.00)</f>
        <v/>
      </c>
      <c r="O6924">
        <f>IF('Loan Tape (S&amp;P)'!T6924="Yes",
    1.35,
    1.00)</f>
        <v/>
      </c>
      <c r="P6924">
        <f>IF('Loan Tape (S&amp;P)'!S6924="Yes",
    1.15,
    1.00)</f>
        <v/>
      </c>
      <c r="Q6924">
        <f>IF('Loan Tape (S&amp;P)'!V6924="Yes",
    1.20,
    1.00)</f>
        <v/>
      </c>
      <c r="T6924">
        <f>LET(
    payment_method,'Loan Tape (S&amp;P)'!P6924,
    occupancy,'Loan Tape (S&amp;P)'!N6924,
    maturity_date,'Loan Tape (S&amp;P)'!L6924,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25">
      <c r="J6925">
        <f>LET(
    lien,'Loan Tape (S&amp;P)'!Q6925,
    IF(lien="First",1.00,
        IF(lien="Second",1.50,
            1.70)))</f>
        <v/>
      </c>
      <c r="K6925">
        <f>LET(
    purpose,'Loan Tape (S&amp;P)'!R6925,
    IF(purpose="Purchase",1.00,
        IF(purpose="Remortgage",1.00,
            1.20)))</f>
        <v/>
      </c>
      <c r="L6925">
        <f>LET(
    arrears_months,'Loan Tape (S&amp;P)'!AN6925,
    IF(arrears_months=0,1.00,
    IF(arrears_months=1,3.00,
    IF(arrears_months=2,5.00,
    IF(arrears_months=3,8.00,
    IF(arrears_months=4,10.00,
    IF(arrears_months=5,12.00,15.00)))))))</f>
        <v/>
      </c>
      <c r="M6925">
        <f>LET(
    seasoning_years,DATEDIF('Loan Tape (S&amp;P)'!K6925,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25">
        <f>IF(AND('Loan Tape (S&amp;P)'!U6925="Yes",
        'Loan Tape (S&amp;P)'!T6925&lt;&gt;"Yes",
        DATEDIF('Loan Tape (S&amp;P)'!K6925, TODAY(), "M")&lt;18),
    1.10,
    1.00)</f>
        <v/>
      </c>
      <c r="O6925">
        <f>IF('Loan Tape (S&amp;P)'!T6925="Yes",
    1.35,
    1.00)</f>
        <v/>
      </c>
      <c r="P6925">
        <f>IF('Loan Tape (S&amp;P)'!S6925="Yes",
    1.15,
    1.00)</f>
        <v/>
      </c>
      <c r="Q6925">
        <f>IF('Loan Tape (S&amp;P)'!V6925="Yes",
    1.20,
    1.00)</f>
        <v/>
      </c>
      <c r="T6925">
        <f>LET(
    payment_method,'Loan Tape (S&amp;P)'!P6925,
    occupancy,'Loan Tape (S&amp;P)'!N6925,
    maturity_date,'Loan Tape (S&amp;P)'!L6925,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26">
      <c r="J6926">
        <f>LET(
    lien,'Loan Tape (S&amp;P)'!Q6926,
    IF(lien="First",1.00,
        IF(lien="Second",1.50,
            1.70)))</f>
        <v/>
      </c>
      <c r="K6926">
        <f>LET(
    purpose,'Loan Tape (S&amp;P)'!R6926,
    IF(purpose="Purchase",1.00,
        IF(purpose="Remortgage",1.00,
            1.20)))</f>
        <v/>
      </c>
      <c r="L6926">
        <f>LET(
    arrears_months,'Loan Tape (S&amp;P)'!AN6926,
    IF(arrears_months=0,1.00,
    IF(arrears_months=1,3.00,
    IF(arrears_months=2,5.00,
    IF(arrears_months=3,8.00,
    IF(arrears_months=4,10.00,
    IF(arrears_months=5,12.00,15.00)))))))</f>
        <v/>
      </c>
      <c r="M6926">
        <f>LET(
    seasoning_years,DATEDIF('Loan Tape (S&amp;P)'!K6926,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26">
        <f>IF(AND('Loan Tape (S&amp;P)'!U6926="Yes",
        'Loan Tape (S&amp;P)'!T6926&lt;&gt;"Yes",
        DATEDIF('Loan Tape (S&amp;P)'!K6926, TODAY(), "M")&lt;18),
    1.10,
    1.00)</f>
        <v/>
      </c>
      <c r="O6926">
        <f>IF('Loan Tape (S&amp;P)'!T6926="Yes",
    1.35,
    1.00)</f>
        <v/>
      </c>
      <c r="P6926">
        <f>IF('Loan Tape (S&amp;P)'!S6926="Yes",
    1.15,
    1.00)</f>
        <v/>
      </c>
      <c r="Q6926">
        <f>IF('Loan Tape (S&amp;P)'!V6926="Yes",
    1.20,
    1.00)</f>
        <v/>
      </c>
      <c r="T6926">
        <f>LET(
    payment_method,'Loan Tape (S&amp;P)'!P6926,
    occupancy,'Loan Tape (S&amp;P)'!N6926,
    maturity_date,'Loan Tape (S&amp;P)'!L6926,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27">
      <c r="J6927">
        <f>LET(
    lien,'Loan Tape (S&amp;P)'!Q6927,
    IF(lien="First",1.00,
        IF(lien="Second",1.50,
            1.70)))</f>
        <v/>
      </c>
      <c r="K6927">
        <f>LET(
    purpose,'Loan Tape (S&amp;P)'!R6927,
    IF(purpose="Purchase",1.00,
        IF(purpose="Remortgage",1.00,
            1.20)))</f>
        <v/>
      </c>
      <c r="L6927">
        <f>LET(
    arrears_months,'Loan Tape (S&amp;P)'!AN6927,
    IF(arrears_months=0,1.00,
    IF(arrears_months=1,3.00,
    IF(arrears_months=2,5.00,
    IF(arrears_months=3,8.00,
    IF(arrears_months=4,10.00,
    IF(arrears_months=5,12.00,15.00)))))))</f>
        <v/>
      </c>
      <c r="M6927">
        <f>LET(
    seasoning_years,DATEDIF('Loan Tape (S&amp;P)'!K6927,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27">
        <f>IF(AND('Loan Tape (S&amp;P)'!U6927="Yes",
        'Loan Tape (S&amp;P)'!T6927&lt;&gt;"Yes",
        DATEDIF('Loan Tape (S&amp;P)'!K6927, TODAY(), "M")&lt;18),
    1.10,
    1.00)</f>
        <v/>
      </c>
      <c r="O6927">
        <f>IF('Loan Tape (S&amp;P)'!T6927="Yes",
    1.35,
    1.00)</f>
        <v/>
      </c>
      <c r="P6927">
        <f>IF('Loan Tape (S&amp;P)'!S6927="Yes",
    1.15,
    1.00)</f>
        <v/>
      </c>
      <c r="Q6927">
        <f>IF('Loan Tape (S&amp;P)'!V6927="Yes",
    1.20,
    1.00)</f>
        <v/>
      </c>
      <c r="T6927">
        <f>LET(
    payment_method,'Loan Tape (S&amp;P)'!P6927,
    occupancy,'Loan Tape (S&amp;P)'!N6927,
    maturity_date,'Loan Tape (S&amp;P)'!L6927,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28">
      <c r="J6928">
        <f>LET(
    lien,'Loan Tape (S&amp;P)'!Q6928,
    IF(lien="First",1.00,
        IF(lien="Second",1.50,
            1.70)))</f>
        <v/>
      </c>
      <c r="K6928">
        <f>LET(
    purpose,'Loan Tape (S&amp;P)'!R6928,
    IF(purpose="Purchase",1.00,
        IF(purpose="Remortgage",1.00,
            1.20)))</f>
        <v/>
      </c>
      <c r="L6928">
        <f>LET(
    arrears_months,'Loan Tape (S&amp;P)'!AN6928,
    IF(arrears_months=0,1.00,
    IF(arrears_months=1,3.00,
    IF(arrears_months=2,5.00,
    IF(arrears_months=3,8.00,
    IF(arrears_months=4,10.00,
    IF(arrears_months=5,12.00,15.00)))))))</f>
        <v/>
      </c>
      <c r="M6928">
        <f>LET(
    seasoning_years,DATEDIF('Loan Tape (S&amp;P)'!K6928,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28">
        <f>IF(AND('Loan Tape (S&amp;P)'!U6928="Yes",
        'Loan Tape (S&amp;P)'!T6928&lt;&gt;"Yes",
        DATEDIF('Loan Tape (S&amp;P)'!K6928, TODAY(), "M")&lt;18),
    1.10,
    1.00)</f>
        <v/>
      </c>
      <c r="O6928">
        <f>IF('Loan Tape (S&amp;P)'!T6928="Yes",
    1.35,
    1.00)</f>
        <v/>
      </c>
      <c r="P6928">
        <f>IF('Loan Tape (S&amp;P)'!S6928="Yes",
    1.15,
    1.00)</f>
        <v/>
      </c>
      <c r="Q6928">
        <f>IF('Loan Tape (S&amp;P)'!V6928="Yes",
    1.20,
    1.00)</f>
        <v/>
      </c>
      <c r="T6928">
        <f>LET(
    payment_method,'Loan Tape (S&amp;P)'!P6928,
    occupancy,'Loan Tape (S&amp;P)'!N6928,
    maturity_date,'Loan Tape (S&amp;P)'!L6928,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29">
      <c r="J6929">
        <f>LET(
    lien,'Loan Tape (S&amp;P)'!Q6929,
    IF(lien="First",1.00,
        IF(lien="Second",1.50,
            1.70)))</f>
        <v/>
      </c>
      <c r="K6929">
        <f>LET(
    purpose,'Loan Tape (S&amp;P)'!R6929,
    IF(purpose="Purchase",1.00,
        IF(purpose="Remortgage",1.00,
            1.20)))</f>
        <v/>
      </c>
      <c r="L6929">
        <f>LET(
    arrears_months,'Loan Tape (S&amp;P)'!AN6929,
    IF(arrears_months=0,1.00,
    IF(arrears_months=1,3.00,
    IF(arrears_months=2,5.00,
    IF(arrears_months=3,8.00,
    IF(arrears_months=4,10.00,
    IF(arrears_months=5,12.00,15.00)))))))</f>
        <v/>
      </c>
      <c r="M6929">
        <f>LET(
    seasoning_years,DATEDIF('Loan Tape (S&amp;P)'!K6929,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29">
        <f>IF(AND('Loan Tape (S&amp;P)'!U6929="Yes",
        'Loan Tape (S&amp;P)'!T6929&lt;&gt;"Yes",
        DATEDIF('Loan Tape (S&amp;P)'!K6929, TODAY(), "M")&lt;18),
    1.10,
    1.00)</f>
        <v/>
      </c>
      <c r="O6929">
        <f>IF('Loan Tape (S&amp;P)'!T6929="Yes",
    1.35,
    1.00)</f>
        <v/>
      </c>
      <c r="P6929">
        <f>IF('Loan Tape (S&amp;P)'!S6929="Yes",
    1.15,
    1.00)</f>
        <v/>
      </c>
      <c r="Q6929">
        <f>IF('Loan Tape (S&amp;P)'!V6929="Yes",
    1.20,
    1.00)</f>
        <v/>
      </c>
      <c r="T6929">
        <f>LET(
    payment_method,'Loan Tape (S&amp;P)'!P6929,
    occupancy,'Loan Tape (S&amp;P)'!N6929,
    maturity_date,'Loan Tape (S&amp;P)'!L6929,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30">
      <c r="J6930">
        <f>LET(
    lien,'Loan Tape (S&amp;P)'!Q6930,
    IF(lien="First",1.00,
        IF(lien="Second",1.50,
            1.70)))</f>
        <v/>
      </c>
      <c r="K6930">
        <f>LET(
    purpose,'Loan Tape (S&amp;P)'!R6930,
    IF(purpose="Purchase",1.00,
        IF(purpose="Remortgage",1.00,
            1.20)))</f>
        <v/>
      </c>
      <c r="L6930">
        <f>LET(
    arrears_months,'Loan Tape (S&amp;P)'!AN6930,
    IF(arrears_months=0,1.00,
    IF(arrears_months=1,3.00,
    IF(arrears_months=2,5.00,
    IF(arrears_months=3,8.00,
    IF(arrears_months=4,10.00,
    IF(arrears_months=5,12.00,15.00)))))))</f>
        <v/>
      </c>
      <c r="M6930">
        <f>LET(
    seasoning_years,DATEDIF('Loan Tape (S&amp;P)'!K6930,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30">
        <f>IF(AND('Loan Tape (S&amp;P)'!U6930="Yes",
        'Loan Tape (S&amp;P)'!T6930&lt;&gt;"Yes",
        DATEDIF('Loan Tape (S&amp;P)'!K6930, TODAY(), "M")&lt;18),
    1.10,
    1.00)</f>
        <v/>
      </c>
      <c r="O6930">
        <f>IF('Loan Tape (S&amp;P)'!T6930="Yes",
    1.35,
    1.00)</f>
        <v/>
      </c>
      <c r="P6930">
        <f>IF('Loan Tape (S&amp;P)'!S6930="Yes",
    1.15,
    1.00)</f>
        <v/>
      </c>
      <c r="Q6930">
        <f>IF('Loan Tape (S&amp;P)'!V6930="Yes",
    1.20,
    1.00)</f>
        <v/>
      </c>
      <c r="T6930">
        <f>LET(
    payment_method,'Loan Tape (S&amp;P)'!P6930,
    occupancy,'Loan Tape (S&amp;P)'!N6930,
    maturity_date,'Loan Tape (S&amp;P)'!L6930,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31">
      <c r="J6931">
        <f>LET(
    lien,'Loan Tape (S&amp;P)'!Q6931,
    IF(lien="First",1.00,
        IF(lien="Second",1.50,
            1.70)))</f>
        <v/>
      </c>
      <c r="K6931">
        <f>LET(
    purpose,'Loan Tape (S&amp;P)'!R6931,
    IF(purpose="Purchase",1.00,
        IF(purpose="Remortgage",1.00,
            1.20)))</f>
        <v/>
      </c>
      <c r="L6931">
        <f>LET(
    arrears_months,'Loan Tape (S&amp;P)'!AN6931,
    IF(arrears_months=0,1.00,
    IF(arrears_months=1,3.00,
    IF(arrears_months=2,5.00,
    IF(arrears_months=3,8.00,
    IF(arrears_months=4,10.00,
    IF(arrears_months=5,12.00,15.00)))))))</f>
        <v/>
      </c>
      <c r="M6931">
        <f>LET(
    seasoning_years,DATEDIF('Loan Tape (S&amp;P)'!K6931,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31">
        <f>IF(AND('Loan Tape (S&amp;P)'!U6931="Yes",
        'Loan Tape (S&amp;P)'!T6931&lt;&gt;"Yes",
        DATEDIF('Loan Tape (S&amp;P)'!K6931, TODAY(), "M")&lt;18),
    1.10,
    1.00)</f>
        <v/>
      </c>
      <c r="O6931">
        <f>IF('Loan Tape (S&amp;P)'!T6931="Yes",
    1.35,
    1.00)</f>
        <v/>
      </c>
      <c r="P6931">
        <f>IF('Loan Tape (S&amp;P)'!S6931="Yes",
    1.15,
    1.00)</f>
        <v/>
      </c>
      <c r="Q6931">
        <f>IF('Loan Tape (S&amp;P)'!V6931="Yes",
    1.20,
    1.00)</f>
        <v/>
      </c>
      <c r="T6931">
        <f>LET(
    payment_method,'Loan Tape (S&amp;P)'!P6931,
    occupancy,'Loan Tape (S&amp;P)'!N6931,
    maturity_date,'Loan Tape (S&amp;P)'!L6931,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32">
      <c r="J6932">
        <f>LET(
    lien,'Loan Tape (S&amp;P)'!Q6932,
    IF(lien="First",1.00,
        IF(lien="Second",1.50,
            1.70)))</f>
        <v/>
      </c>
      <c r="K6932">
        <f>LET(
    purpose,'Loan Tape (S&amp;P)'!R6932,
    IF(purpose="Purchase",1.00,
        IF(purpose="Remortgage",1.00,
            1.20)))</f>
        <v/>
      </c>
      <c r="L6932">
        <f>LET(
    arrears_months,'Loan Tape (S&amp;P)'!AN6932,
    IF(arrears_months=0,1.00,
    IF(arrears_months=1,3.00,
    IF(arrears_months=2,5.00,
    IF(arrears_months=3,8.00,
    IF(arrears_months=4,10.00,
    IF(arrears_months=5,12.00,15.00)))))))</f>
        <v/>
      </c>
      <c r="M6932">
        <f>LET(
    seasoning_years,DATEDIF('Loan Tape (S&amp;P)'!K6932,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32">
        <f>IF(AND('Loan Tape (S&amp;P)'!U6932="Yes",
        'Loan Tape (S&amp;P)'!T6932&lt;&gt;"Yes",
        DATEDIF('Loan Tape (S&amp;P)'!K6932, TODAY(), "M")&lt;18),
    1.10,
    1.00)</f>
        <v/>
      </c>
      <c r="O6932">
        <f>IF('Loan Tape (S&amp;P)'!T6932="Yes",
    1.35,
    1.00)</f>
        <v/>
      </c>
      <c r="P6932">
        <f>IF('Loan Tape (S&amp;P)'!S6932="Yes",
    1.15,
    1.00)</f>
        <v/>
      </c>
      <c r="Q6932">
        <f>IF('Loan Tape (S&amp;P)'!V6932="Yes",
    1.20,
    1.00)</f>
        <v/>
      </c>
      <c r="T6932">
        <f>LET(
    payment_method,'Loan Tape (S&amp;P)'!P6932,
    occupancy,'Loan Tape (S&amp;P)'!N6932,
    maturity_date,'Loan Tape (S&amp;P)'!L6932,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33">
      <c r="J6933">
        <f>LET(
    lien,'Loan Tape (S&amp;P)'!Q6933,
    IF(lien="First",1.00,
        IF(lien="Second",1.50,
            1.70)))</f>
        <v/>
      </c>
      <c r="K6933">
        <f>LET(
    purpose,'Loan Tape (S&amp;P)'!R6933,
    IF(purpose="Purchase",1.00,
        IF(purpose="Remortgage",1.00,
            1.20)))</f>
        <v/>
      </c>
      <c r="L6933">
        <f>LET(
    arrears_months,'Loan Tape (S&amp;P)'!AN6933,
    IF(arrears_months=0,1.00,
    IF(arrears_months=1,3.00,
    IF(arrears_months=2,5.00,
    IF(arrears_months=3,8.00,
    IF(arrears_months=4,10.00,
    IF(arrears_months=5,12.00,15.00)))))))</f>
        <v/>
      </c>
      <c r="M6933">
        <f>LET(
    seasoning_years,DATEDIF('Loan Tape (S&amp;P)'!K6933,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33">
        <f>IF(AND('Loan Tape (S&amp;P)'!U6933="Yes",
        'Loan Tape (S&amp;P)'!T6933&lt;&gt;"Yes",
        DATEDIF('Loan Tape (S&amp;P)'!K6933, TODAY(), "M")&lt;18),
    1.10,
    1.00)</f>
        <v/>
      </c>
      <c r="O6933">
        <f>IF('Loan Tape (S&amp;P)'!T6933="Yes",
    1.35,
    1.00)</f>
        <v/>
      </c>
      <c r="P6933">
        <f>IF('Loan Tape (S&amp;P)'!S6933="Yes",
    1.15,
    1.00)</f>
        <v/>
      </c>
      <c r="Q6933">
        <f>IF('Loan Tape (S&amp;P)'!V6933="Yes",
    1.20,
    1.00)</f>
        <v/>
      </c>
      <c r="T6933">
        <f>LET(
    payment_method,'Loan Tape (S&amp;P)'!P6933,
    occupancy,'Loan Tape (S&amp;P)'!N6933,
    maturity_date,'Loan Tape (S&amp;P)'!L6933,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34">
      <c r="J6934">
        <f>LET(
    lien,'Loan Tape (S&amp;P)'!Q6934,
    IF(lien="First",1.00,
        IF(lien="Second",1.50,
            1.70)))</f>
        <v/>
      </c>
      <c r="K6934">
        <f>LET(
    purpose,'Loan Tape (S&amp;P)'!R6934,
    IF(purpose="Purchase",1.00,
        IF(purpose="Remortgage",1.00,
            1.20)))</f>
        <v/>
      </c>
      <c r="L6934">
        <f>LET(
    arrears_months,'Loan Tape (S&amp;P)'!AN6934,
    IF(arrears_months=0,1.00,
    IF(arrears_months=1,3.00,
    IF(arrears_months=2,5.00,
    IF(arrears_months=3,8.00,
    IF(arrears_months=4,10.00,
    IF(arrears_months=5,12.00,15.00)))))))</f>
        <v/>
      </c>
      <c r="M6934">
        <f>LET(
    seasoning_years,DATEDIF('Loan Tape (S&amp;P)'!K6934,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34">
        <f>IF(AND('Loan Tape (S&amp;P)'!U6934="Yes",
        'Loan Tape (S&amp;P)'!T6934&lt;&gt;"Yes",
        DATEDIF('Loan Tape (S&amp;P)'!K6934, TODAY(), "M")&lt;18),
    1.10,
    1.00)</f>
        <v/>
      </c>
      <c r="O6934">
        <f>IF('Loan Tape (S&amp;P)'!T6934="Yes",
    1.35,
    1.00)</f>
        <v/>
      </c>
      <c r="P6934">
        <f>IF('Loan Tape (S&amp;P)'!S6934="Yes",
    1.15,
    1.00)</f>
        <v/>
      </c>
      <c r="Q6934">
        <f>IF('Loan Tape (S&amp;P)'!V6934="Yes",
    1.20,
    1.00)</f>
        <v/>
      </c>
      <c r="T6934">
        <f>LET(
    payment_method,'Loan Tape (S&amp;P)'!P6934,
    occupancy,'Loan Tape (S&amp;P)'!N6934,
    maturity_date,'Loan Tape (S&amp;P)'!L6934,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35">
      <c r="J6935">
        <f>LET(
    lien,'Loan Tape (S&amp;P)'!Q6935,
    IF(lien="First",1.00,
        IF(lien="Second",1.50,
            1.70)))</f>
        <v/>
      </c>
      <c r="K6935">
        <f>LET(
    purpose,'Loan Tape (S&amp;P)'!R6935,
    IF(purpose="Purchase",1.00,
        IF(purpose="Remortgage",1.00,
            1.20)))</f>
        <v/>
      </c>
      <c r="L6935">
        <f>LET(
    arrears_months,'Loan Tape (S&amp;P)'!AN6935,
    IF(arrears_months=0,1.00,
    IF(arrears_months=1,3.00,
    IF(arrears_months=2,5.00,
    IF(arrears_months=3,8.00,
    IF(arrears_months=4,10.00,
    IF(arrears_months=5,12.00,15.00)))))))</f>
        <v/>
      </c>
      <c r="M6935">
        <f>LET(
    seasoning_years,DATEDIF('Loan Tape (S&amp;P)'!K6935,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35">
        <f>IF(AND('Loan Tape (S&amp;P)'!U6935="Yes",
        'Loan Tape (S&amp;P)'!T6935&lt;&gt;"Yes",
        DATEDIF('Loan Tape (S&amp;P)'!K6935, TODAY(), "M")&lt;18),
    1.10,
    1.00)</f>
        <v/>
      </c>
      <c r="O6935">
        <f>IF('Loan Tape (S&amp;P)'!T6935="Yes",
    1.35,
    1.00)</f>
        <v/>
      </c>
      <c r="P6935">
        <f>IF('Loan Tape (S&amp;P)'!S6935="Yes",
    1.15,
    1.00)</f>
        <v/>
      </c>
      <c r="Q6935">
        <f>IF('Loan Tape (S&amp;P)'!V6935="Yes",
    1.20,
    1.00)</f>
        <v/>
      </c>
      <c r="T6935">
        <f>LET(
    payment_method,'Loan Tape (S&amp;P)'!P6935,
    occupancy,'Loan Tape (S&amp;P)'!N6935,
    maturity_date,'Loan Tape (S&amp;P)'!L6935,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36">
      <c r="J6936">
        <f>LET(
    lien,'Loan Tape (S&amp;P)'!Q6936,
    IF(lien="First",1.00,
        IF(lien="Second",1.50,
            1.70)))</f>
        <v/>
      </c>
      <c r="K6936">
        <f>LET(
    purpose,'Loan Tape (S&amp;P)'!R6936,
    IF(purpose="Purchase",1.00,
        IF(purpose="Remortgage",1.00,
            1.20)))</f>
        <v/>
      </c>
      <c r="L6936">
        <f>LET(
    arrears_months,'Loan Tape (S&amp;P)'!AN6936,
    IF(arrears_months=0,1.00,
    IF(arrears_months=1,3.00,
    IF(arrears_months=2,5.00,
    IF(arrears_months=3,8.00,
    IF(arrears_months=4,10.00,
    IF(arrears_months=5,12.00,15.00)))))))</f>
        <v/>
      </c>
      <c r="M6936">
        <f>LET(
    seasoning_years,DATEDIF('Loan Tape (S&amp;P)'!K6936,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36">
        <f>IF(AND('Loan Tape (S&amp;P)'!U6936="Yes",
        'Loan Tape (S&amp;P)'!T6936&lt;&gt;"Yes",
        DATEDIF('Loan Tape (S&amp;P)'!K6936, TODAY(), "M")&lt;18),
    1.10,
    1.00)</f>
        <v/>
      </c>
      <c r="O6936">
        <f>IF('Loan Tape (S&amp;P)'!T6936="Yes",
    1.35,
    1.00)</f>
        <v/>
      </c>
      <c r="P6936">
        <f>IF('Loan Tape (S&amp;P)'!S6936="Yes",
    1.15,
    1.00)</f>
        <v/>
      </c>
      <c r="Q6936">
        <f>IF('Loan Tape (S&amp;P)'!V6936="Yes",
    1.20,
    1.00)</f>
        <v/>
      </c>
      <c r="T6936">
        <f>LET(
    payment_method,'Loan Tape (S&amp;P)'!P6936,
    occupancy,'Loan Tape (S&amp;P)'!N6936,
    maturity_date,'Loan Tape (S&amp;P)'!L6936,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37">
      <c r="J6937">
        <f>LET(
    lien,'Loan Tape (S&amp;P)'!Q6937,
    IF(lien="First",1.00,
        IF(lien="Second",1.50,
            1.70)))</f>
        <v/>
      </c>
      <c r="K6937">
        <f>LET(
    purpose,'Loan Tape (S&amp;P)'!R6937,
    IF(purpose="Purchase",1.00,
        IF(purpose="Remortgage",1.00,
            1.20)))</f>
        <v/>
      </c>
      <c r="L6937">
        <f>LET(
    arrears_months,'Loan Tape (S&amp;P)'!AN6937,
    IF(arrears_months=0,1.00,
    IF(arrears_months=1,3.00,
    IF(arrears_months=2,5.00,
    IF(arrears_months=3,8.00,
    IF(arrears_months=4,10.00,
    IF(arrears_months=5,12.00,15.00)))))))</f>
        <v/>
      </c>
      <c r="M6937">
        <f>LET(
    seasoning_years,DATEDIF('Loan Tape (S&amp;P)'!K6937,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37">
        <f>IF(AND('Loan Tape (S&amp;P)'!U6937="Yes",
        'Loan Tape (S&amp;P)'!T6937&lt;&gt;"Yes",
        DATEDIF('Loan Tape (S&amp;P)'!K6937, TODAY(), "M")&lt;18),
    1.10,
    1.00)</f>
        <v/>
      </c>
      <c r="O6937">
        <f>IF('Loan Tape (S&amp;P)'!T6937="Yes",
    1.35,
    1.00)</f>
        <v/>
      </c>
      <c r="P6937">
        <f>IF('Loan Tape (S&amp;P)'!S6937="Yes",
    1.15,
    1.00)</f>
        <v/>
      </c>
      <c r="Q6937">
        <f>IF('Loan Tape (S&amp;P)'!V6937="Yes",
    1.20,
    1.00)</f>
        <v/>
      </c>
      <c r="T6937">
        <f>LET(
    payment_method,'Loan Tape (S&amp;P)'!P6937,
    occupancy,'Loan Tape (S&amp;P)'!N6937,
    maturity_date,'Loan Tape (S&amp;P)'!L6937,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38">
      <c r="J6938">
        <f>LET(
    lien,'Loan Tape (S&amp;P)'!Q6938,
    IF(lien="First",1.00,
        IF(lien="Second",1.50,
            1.70)))</f>
        <v/>
      </c>
      <c r="K6938">
        <f>LET(
    purpose,'Loan Tape (S&amp;P)'!R6938,
    IF(purpose="Purchase",1.00,
        IF(purpose="Remortgage",1.00,
            1.20)))</f>
        <v/>
      </c>
      <c r="L6938">
        <f>LET(
    arrears_months,'Loan Tape (S&amp;P)'!AN6938,
    IF(arrears_months=0,1.00,
    IF(arrears_months=1,3.00,
    IF(arrears_months=2,5.00,
    IF(arrears_months=3,8.00,
    IF(arrears_months=4,10.00,
    IF(arrears_months=5,12.00,15.00)))))))</f>
        <v/>
      </c>
      <c r="M6938">
        <f>LET(
    seasoning_years,DATEDIF('Loan Tape (S&amp;P)'!K6938,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38">
        <f>IF(AND('Loan Tape (S&amp;P)'!U6938="Yes",
        'Loan Tape (S&amp;P)'!T6938&lt;&gt;"Yes",
        DATEDIF('Loan Tape (S&amp;P)'!K6938, TODAY(), "M")&lt;18),
    1.10,
    1.00)</f>
        <v/>
      </c>
      <c r="O6938">
        <f>IF('Loan Tape (S&amp;P)'!T6938="Yes",
    1.35,
    1.00)</f>
        <v/>
      </c>
      <c r="P6938">
        <f>IF('Loan Tape (S&amp;P)'!S6938="Yes",
    1.15,
    1.00)</f>
        <v/>
      </c>
      <c r="Q6938">
        <f>IF('Loan Tape (S&amp;P)'!V6938="Yes",
    1.20,
    1.00)</f>
        <v/>
      </c>
      <c r="T6938">
        <f>LET(
    payment_method,'Loan Tape (S&amp;P)'!P6938,
    occupancy,'Loan Tape (S&amp;P)'!N6938,
    maturity_date,'Loan Tape (S&amp;P)'!L6938,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39">
      <c r="J6939">
        <f>LET(
    lien,'Loan Tape (S&amp;P)'!Q6939,
    IF(lien="First",1.00,
        IF(lien="Second",1.50,
            1.70)))</f>
        <v/>
      </c>
      <c r="K6939">
        <f>LET(
    purpose,'Loan Tape (S&amp;P)'!R6939,
    IF(purpose="Purchase",1.00,
        IF(purpose="Remortgage",1.00,
            1.20)))</f>
        <v/>
      </c>
      <c r="L6939">
        <f>LET(
    arrears_months,'Loan Tape (S&amp;P)'!AN6939,
    IF(arrears_months=0,1.00,
    IF(arrears_months=1,3.00,
    IF(arrears_months=2,5.00,
    IF(arrears_months=3,8.00,
    IF(arrears_months=4,10.00,
    IF(arrears_months=5,12.00,15.00)))))))</f>
        <v/>
      </c>
      <c r="M6939">
        <f>LET(
    seasoning_years,DATEDIF('Loan Tape (S&amp;P)'!K6939,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39">
        <f>IF(AND('Loan Tape (S&amp;P)'!U6939="Yes",
        'Loan Tape (S&amp;P)'!T6939&lt;&gt;"Yes",
        DATEDIF('Loan Tape (S&amp;P)'!K6939, TODAY(), "M")&lt;18),
    1.10,
    1.00)</f>
        <v/>
      </c>
      <c r="O6939">
        <f>IF('Loan Tape (S&amp;P)'!T6939="Yes",
    1.35,
    1.00)</f>
        <v/>
      </c>
      <c r="P6939">
        <f>IF('Loan Tape (S&amp;P)'!S6939="Yes",
    1.15,
    1.00)</f>
        <v/>
      </c>
      <c r="Q6939">
        <f>IF('Loan Tape (S&amp;P)'!V6939="Yes",
    1.20,
    1.00)</f>
        <v/>
      </c>
      <c r="T6939">
        <f>LET(
    payment_method,'Loan Tape (S&amp;P)'!P6939,
    occupancy,'Loan Tape (S&amp;P)'!N6939,
    maturity_date,'Loan Tape (S&amp;P)'!L6939,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40">
      <c r="J6940">
        <f>LET(
    lien,'Loan Tape (S&amp;P)'!Q6940,
    IF(lien="First",1.00,
        IF(lien="Second",1.50,
            1.70)))</f>
        <v/>
      </c>
      <c r="K6940">
        <f>LET(
    purpose,'Loan Tape (S&amp;P)'!R6940,
    IF(purpose="Purchase",1.00,
        IF(purpose="Remortgage",1.00,
            1.20)))</f>
        <v/>
      </c>
      <c r="L6940">
        <f>LET(
    arrears_months,'Loan Tape (S&amp;P)'!AN6940,
    IF(arrears_months=0,1.00,
    IF(arrears_months=1,3.00,
    IF(arrears_months=2,5.00,
    IF(arrears_months=3,8.00,
    IF(arrears_months=4,10.00,
    IF(arrears_months=5,12.00,15.00)))))))</f>
        <v/>
      </c>
      <c r="M6940">
        <f>LET(
    seasoning_years,DATEDIF('Loan Tape (S&amp;P)'!K6940,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40">
        <f>IF(AND('Loan Tape (S&amp;P)'!U6940="Yes",
        'Loan Tape (S&amp;P)'!T6940&lt;&gt;"Yes",
        DATEDIF('Loan Tape (S&amp;P)'!K6940, TODAY(), "M")&lt;18),
    1.10,
    1.00)</f>
        <v/>
      </c>
      <c r="O6940">
        <f>IF('Loan Tape (S&amp;P)'!T6940="Yes",
    1.35,
    1.00)</f>
        <v/>
      </c>
      <c r="P6940">
        <f>IF('Loan Tape (S&amp;P)'!S6940="Yes",
    1.15,
    1.00)</f>
        <v/>
      </c>
      <c r="Q6940">
        <f>IF('Loan Tape (S&amp;P)'!V6940="Yes",
    1.20,
    1.00)</f>
        <v/>
      </c>
      <c r="T6940">
        <f>LET(
    payment_method,'Loan Tape (S&amp;P)'!P6940,
    occupancy,'Loan Tape (S&amp;P)'!N6940,
    maturity_date,'Loan Tape (S&amp;P)'!L6940,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41">
      <c r="J6941">
        <f>LET(
    lien,'Loan Tape (S&amp;P)'!Q6941,
    IF(lien="First",1.00,
        IF(lien="Second",1.50,
            1.70)))</f>
        <v/>
      </c>
      <c r="K6941">
        <f>LET(
    purpose,'Loan Tape (S&amp;P)'!R6941,
    IF(purpose="Purchase",1.00,
        IF(purpose="Remortgage",1.00,
            1.20)))</f>
        <v/>
      </c>
      <c r="L6941">
        <f>LET(
    arrears_months,'Loan Tape (S&amp;P)'!AN6941,
    IF(arrears_months=0,1.00,
    IF(arrears_months=1,3.00,
    IF(arrears_months=2,5.00,
    IF(arrears_months=3,8.00,
    IF(arrears_months=4,10.00,
    IF(arrears_months=5,12.00,15.00)))))))</f>
        <v/>
      </c>
      <c r="M6941">
        <f>LET(
    seasoning_years,DATEDIF('Loan Tape (S&amp;P)'!K6941,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41">
        <f>IF(AND('Loan Tape (S&amp;P)'!U6941="Yes",
        'Loan Tape (S&amp;P)'!T6941&lt;&gt;"Yes",
        DATEDIF('Loan Tape (S&amp;P)'!K6941, TODAY(), "M")&lt;18),
    1.10,
    1.00)</f>
        <v/>
      </c>
      <c r="O6941">
        <f>IF('Loan Tape (S&amp;P)'!T6941="Yes",
    1.35,
    1.00)</f>
        <v/>
      </c>
      <c r="P6941">
        <f>IF('Loan Tape (S&amp;P)'!S6941="Yes",
    1.15,
    1.00)</f>
        <v/>
      </c>
      <c r="Q6941">
        <f>IF('Loan Tape (S&amp;P)'!V6941="Yes",
    1.20,
    1.00)</f>
        <v/>
      </c>
      <c r="T6941">
        <f>LET(
    payment_method,'Loan Tape (S&amp;P)'!P6941,
    occupancy,'Loan Tape (S&amp;P)'!N6941,
    maturity_date,'Loan Tape (S&amp;P)'!L6941,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42">
      <c r="J6942">
        <f>LET(
    lien,'Loan Tape (S&amp;P)'!Q6942,
    IF(lien="First",1.00,
        IF(lien="Second",1.50,
            1.70)))</f>
        <v/>
      </c>
      <c r="K6942">
        <f>LET(
    purpose,'Loan Tape (S&amp;P)'!R6942,
    IF(purpose="Purchase",1.00,
        IF(purpose="Remortgage",1.00,
            1.20)))</f>
        <v/>
      </c>
      <c r="L6942">
        <f>LET(
    arrears_months,'Loan Tape (S&amp;P)'!AN6942,
    IF(arrears_months=0,1.00,
    IF(arrears_months=1,3.00,
    IF(arrears_months=2,5.00,
    IF(arrears_months=3,8.00,
    IF(arrears_months=4,10.00,
    IF(arrears_months=5,12.00,15.00)))))))</f>
        <v/>
      </c>
      <c r="M6942">
        <f>LET(
    seasoning_years,DATEDIF('Loan Tape (S&amp;P)'!K6942,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42">
        <f>IF(AND('Loan Tape (S&amp;P)'!U6942="Yes",
        'Loan Tape (S&amp;P)'!T6942&lt;&gt;"Yes",
        DATEDIF('Loan Tape (S&amp;P)'!K6942, TODAY(), "M")&lt;18),
    1.10,
    1.00)</f>
        <v/>
      </c>
      <c r="O6942">
        <f>IF('Loan Tape (S&amp;P)'!T6942="Yes",
    1.35,
    1.00)</f>
        <v/>
      </c>
      <c r="P6942">
        <f>IF('Loan Tape (S&amp;P)'!S6942="Yes",
    1.15,
    1.00)</f>
        <v/>
      </c>
      <c r="Q6942">
        <f>IF('Loan Tape (S&amp;P)'!V6942="Yes",
    1.20,
    1.00)</f>
        <v/>
      </c>
      <c r="T6942">
        <f>LET(
    payment_method,'Loan Tape (S&amp;P)'!P6942,
    occupancy,'Loan Tape (S&amp;P)'!N6942,
    maturity_date,'Loan Tape (S&amp;P)'!L6942,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43">
      <c r="J6943">
        <f>LET(
    lien,'Loan Tape (S&amp;P)'!Q6943,
    IF(lien="First",1.00,
        IF(lien="Second",1.50,
            1.70)))</f>
        <v/>
      </c>
      <c r="K6943">
        <f>LET(
    purpose,'Loan Tape (S&amp;P)'!R6943,
    IF(purpose="Purchase",1.00,
        IF(purpose="Remortgage",1.00,
            1.20)))</f>
        <v/>
      </c>
      <c r="L6943">
        <f>LET(
    arrears_months,'Loan Tape (S&amp;P)'!AN6943,
    IF(arrears_months=0,1.00,
    IF(arrears_months=1,3.00,
    IF(arrears_months=2,5.00,
    IF(arrears_months=3,8.00,
    IF(arrears_months=4,10.00,
    IF(arrears_months=5,12.00,15.00)))))))</f>
        <v/>
      </c>
      <c r="M6943">
        <f>LET(
    seasoning_years,DATEDIF('Loan Tape (S&amp;P)'!K6943,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43">
        <f>IF(AND('Loan Tape (S&amp;P)'!U6943="Yes",
        'Loan Tape (S&amp;P)'!T6943&lt;&gt;"Yes",
        DATEDIF('Loan Tape (S&amp;P)'!K6943, TODAY(), "M")&lt;18),
    1.10,
    1.00)</f>
        <v/>
      </c>
      <c r="O6943">
        <f>IF('Loan Tape (S&amp;P)'!T6943="Yes",
    1.35,
    1.00)</f>
        <v/>
      </c>
      <c r="P6943">
        <f>IF('Loan Tape (S&amp;P)'!S6943="Yes",
    1.15,
    1.00)</f>
        <v/>
      </c>
      <c r="Q6943">
        <f>IF('Loan Tape (S&amp;P)'!V6943="Yes",
    1.20,
    1.00)</f>
        <v/>
      </c>
      <c r="T6943">
        <f>LET(
    payment_method,'Loan Tape (S&amp;P)'!P6943,
    occupancy,'Loan Tape (S&amp;P)'!N6943,
    maturity_date,'Loan Tape (S&amp;P)'!L6943,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44">
      <c r="J6944">
        <f>LET(
    lien,'Loan Tape (S&amp;P)'!Q6944,
    IF(lien="First",1.00,
        IF(lien="Second",1.50,
            1.70)))</f>
        <v/>
      </c>
      <c r="K6944">
        <f>LET(
    purpose,'Loan Tape (S&amp;P)'!R6944,
    IF(purpose="Purchase",1.00,
        IF(purpose="Remortgage",1.00,
            1.20)))</f>
        <v/>
      </c>
      <c r="L6944">
        <f>LET(
    arrears_months,'Loan Tape (S&amp;P)'!AN6944,
    IF(arrears_months=0,1.00,
    IF(arrears_months=1,3.00,
    IF(arrears_months=2,5.00,
    IF(arrears_months=3,8.00,
    IF(arrears_months=4,10.00,
    IF(arrears_months=5,12.00,15.00)))))))</f>
        <v/>
      </c>
      <c r="M6944">
        <f>LET(
    seasoning_years,DATEDIF('Loan Tape (S&amp;P)'!K6944,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44">
        <f>IF(AND('Loan Tape (S&amp;P)'!U6944="Yes",
        'Loan Tape (S&amp;P)'!T6944&lt;&gt;"Yes",
        DATEDIF('Loan Tape (S&amp;P)'!K6944, TODAY(), "M")&lt;18),
    1.10,
    1.00)</f>
        <v/>
      </c>
      <c r="O6944">
        <f>IF('Loan Tape (S&amp;P)'!T6944="Yes",
    1.35,
    1.00)</f>
        <v/>
      </c>
      <c r="P6944">
        <f>IF('Loan Tape (S&amp;P)'!S6944="Yes",
    1.15,
    1.00)</f>
        <v/>
      </c>
      <c r="Q6944">
        <f>IF('Loan Tape (S&amp;P)'!V6944="Yes",
    1.20,
    1.00)</f>
        <v/>
      </c>
      <c r="T6944">
        <f>LET(
    payment_method,'Loan Tape (S&amp;P)'!P6944,
    occupancy,'Loan Tape (S&amp;P)'!N6944,
    maturity_date,'Loan Tape (S&amp;P)'!L6944,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45">
      <c r="J6945">
        <f>LET(
    lien,'Loan Tape (S&amp;P)'!Q6945,
    IF(lien="First",1.00,
        IF(lien="Second",1.50,
            1.70)))</f>
        <v/>
      </c>
      <c r="K6945">
        <f>LET(
    purpose,'Loan Tape (S&amp;P)'!R6945,
    IF(purpose="Purchase",1.00,
        IF(purpose="Remortgage",1.00,
            1.20)))</f>
        <v/>
      </c>
      <c r="L6945">
        <f>LET(
    arrears_months,'Loan Tape (S&amp;P)'!AN6945,
    IF(arrears_months=0,1.00,
    IF(arrears_months=1,3.00,
    IF(arrears_months=2,5.00,
    IF(arrears_months=3,8.00,
    IF(arrears_months=4,10.00,
    IF(arrears_months=5,12.00,15.00)))))))</f>
        <v/>
      </c>
      <c r="M6945">
        <f>LET(
    seasoning_years,DATEDIF('Loan Tape (S&amp;P)'!K6945,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45">
        <f>IF(AND('Loan Tape (S&amp;P)'!U6945="Yes",
        'Loan Tape (S&amp;P)'!T6945&lt;&gt;"Yes",
        DATEDIF('Loan Tape (S&amp;P)'!K6945, TODAY(), "M")&lt;18),
    1.10,
    1.00)</f>
        <v/>
      </c>
      <c r="O6945">
        <f>IF('Loan Tape (S&amp;P)'!T6945="Yes",
    1.35,
    1.00)</f>
        <v/>
      </c>
      <c r="P6945">
        <f>IF('Loan Tape (S&amp;P)'!S6945="Yes",
    1.15,
    1.00)</f>
        <v/>
      </c>
      <c r="Q6945">
        <f>IF('Loan Tape (S&amp;P)'!V6945="Yes",
    1.20,
    1.00)</f>
        <v/>
      </c>
      <c r="T6945">
        <f>LET(
    payment_method,'Loan Tape (S&amp;P)'!P6945,
    occupancy,'Loan Tape (S&amp;P)'!N6945,
    maturity_date,'Loan Tape (S&amp;P)'!L6945,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46">
      <c r="J6946">
        <f>LET(
    lien,'Loan Tape (S&amp;P)'!Q6946,
    IF(lien="First",1.00,
        IF(lien="Second",1.50,
            1.70)))</f>
        <v/>
      </c>
      <c r="K6946">
        <f>LET(
    purpose,'Loan Tape (S&amp;P)'!R6946,
    IF(purpose="Purchase",1.00,
        IF(purpose="Remortgage",1.00,
            1.20)))</f>
        <v/>
      </c>
      <c r="L6946">
        <f>LET(
    arrears_months,'Loan Tape (S&amp;P)'!AN6946,
    IF(arrears_months=0,1.00,
    IF(arrears_months=1,3.00,
    IF(arrears_months=2,5.00,
    IF(arrears_months=3,8.00,
    IF(arrears_months=4,10.00,
    IF(arrears_months=5,12.00,15.00)))))))</f>
        <v/>
      </c>
      <c r="M6946">
        <f>LET(
    seasoning_years,DATEDIF('Loan Tape (S&amp;P)'!K6946,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46">
        <f>IF(AND('Loan Tape (S&amp;P)'!U6946="Yes",
        'Loan Tape (S&amp;P)'!T6946&lt;&gt;"Yes",
        DATEDIF('Loan Tape (S&amp;P)'!K6946, TODAY(), "M")&lt;18),
    1.10,
    1.00)</f>
        <v/>
      </c>
      <c r="O6946">
        <f>IF('Loan Tape (S&amp;P)'!T6946="Yes",
    1.35,
    1.00)</f>
        <v/>
      </c>
      <c r="P6946">
        <f>IF('Loan Tape (S&amp;P)'!S6946="Yes",
    1.15,
    1.00)</f>
        <v/>
      </c>
      <c r="Q6946">
        <f>IF('Loan Tape (S&amp;P)'!V6946="Yes",
    1.20,
    1.00)</f>
        <v/>
      </c>
      <c r="T6946">
        <f>LET(
    payment_method,'Loan Tape (S&amp;P)'!P6946,
    occupancy,'Loan Tape (S&amp;P)'!N6946,
    maturity_date,'Loan Tape (S&amp;P)'!L6946,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47">
      <c r="J6947">
        <f>LET(
    lien,'Loan Tape (S&amp;P)'!Q6947,
    IF(lien="First",1.00,
        IF(lien="Second",1.50,
            1.70)))</f>
        <v/>
      </c>
      <c r="K6947">
        <f>LET(
    purpose,'Loan Tape (S&amp;P)'!R6947,
    IF(purpose="Purchase",1.00,
        IF(purpose="Remortgage",1.00,
            1.20)))</f>
        <v/>
      </c>
      <c r="L6947">
        <f>LET(
    arrears_months,'Loan Tape (S&amp;P)'!AN6947,
    IF(arrears_months=0,1.00,
    IF(arrears_months=1,3.00,
    IF(arrears_months=2,5.00,
    IF(arrears_months=3,8.00,
    IF(arrears_months=4,10.00,
    IF(arrears_months=5,12.00,15.00)))))))</f>
        <v/>
      </c>
      <c r="M6947">
        <f>LET(
    seasoning_years,DATEDIF('Loan Tape (S&amp;P)'!K6947,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47">
        <f>IF(AND('Loan Tape (S&amp;P)'!U6947="Yes",
        'Loan Tape (S&amp;P)'!T6947&lt;&gt;"Yes",
        DATEDIF('Loan Tape (S&amp;P)'!K6947, TODAY(), "M")&lt;18),
    1.10,
    1.00)</f>
        <v/>
      </c>
      <c r="O6947">
        <f>IF('Loan Tape (S&amp;P)'!T6947="Yes",
    1.35,
    1.00)</f>
        <v/>
      </c>
      <c r="P6947">
        <f>IF('Loan Tape (S&amp;P)'!S6947="Yes",
    1.15,
    1.00)</f>
        <v/>
      </c>
      <c r="Q6947">
        <f>IF('Loan Tape (S&amp;P)'!V6947="Yes",
    1.20,
    1.00)</f>
        <v/>
      </c>
      <c r="T6947">
        <f>LET(
    payment_method,'Loan Tape (S&amp;P)'!P6947,
    occupancy,'Loan Tape (S&amp;P)'!N6947,
    maturity_date,'Loan Tape (S&amp;P)'!L6947,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48">
      <c r="J6948">
        <f>LET(
    lien,'Loan Tape (S&amp;P)'!Q6948,
    IF(lien="First",1.00,
        IF(lien="Second",1.50,
            1.70)))</f>
        <v/>
      </c>
      <c r="K6948">
        <f>LET(
    purpose,'Loan Tape (S&amp;P)'!R6948,
    IF(purpose="Purchase",1.00,
        IF(purpose="Remortgage",1.00,
            1.20)))</f>
        <v/>
      </c>
      <c r="L6948">
        <f>LET(
    arrears_months,'Loan Tape (S&amp;P)'!AN6948,
    IF(arrears_months=0,1.00,
    IF(arrears_months=1,3.00,
    IF(arrears_months=2,5.00,
    IF(arrears_months=3,8.00,
    IF(arrears_months=4,10.00,
    IF(arrears_months=5,12.00,15.00)))))))</f>
        <v/>
      </c>
      <c r="M6948">
        <f>LET(
    seasoning_years,DATEDIF('Loan Tape (S&amp;P)'!K6948,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48">
        <f>IF(AND('Loan Tape (S&amp;P)'!U6948="Yes",
        'Loan Tape (S&amp;P)'!T6948&lt;&gt;"Yes",
        DATEDIF('Loan Tape (S&amp;P)'!K6948, TODAY(), "M")&lt;18),
    1.10,
    1.00)</f>
        <v/>
      </c>
      <c r="O6948">
        <f>IF('Loan Tape (S&amp;P)'!T6948="Yes",
    1.35,
    1.00)</f>
        <v/>
      </c>
      <c r="P6948">
        <f>IF('Loan Tape (S&amp;P)'!S6948="Yes",
    1.15,
    1.00)</f>
        <v/>
      </c>
      <c r="Q6948">
        <f>IF('Loan Tape (S&amp;P)'!V6948="Yes",
    1.20,
    1.00)</f>
        <v/>
      </c>
      <c r="T6948">
        <f>LET(
    payment_method,'Loan Tape (S&amp;P)'!P6948,
    occupancy,'Loan Tape (S&amp;P)'!N6948,
    maturity_date,'Loan Tape (S&amp;P)'!L6948,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49">
      <c r="J6949">
        <f>LET(
    lien,'Loan Tape (S&amp;P)'!Q6949,
    IF(lien="First",1.00,
        IF(lien="Second",1.50,
            1.70)))</f>
        <v/>
      </c>
      <c r="K6949">
        <f>LET(
    purpose,'Loan Tape (S&amp;P)'!R6949,
    IF(purpose="Purchase",1.00,
        IF(purpose="Remortgage",1.00,
            1.20)))</f>
        <v/>
      </c>
      <c r="L6949">
        <f>LET(
    arrears_months,'Loan Tape (S&amp;P)'!AN6949,
    IF(arrears_months=0,1.00,
    IF(arrears_months=1,3.00,
    IF(arrears_months=2,5.00,
    IF(arrears_months=3,8.00,
    IF(arrears_months=4,10.00,
    IF(arrears_months=5,12.00,15.00)))))))</f>
        <v/>
      </c>
      <c r="M6949">
        <f>LET(
    seasoning_years,DATEDIF('Loan Tape (S&amp;P)'!K6949,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49">
        <f>IF(AND('Loan Tape (S&amp;P)'!U6949="Yes",
        'Loan Tape (S&amp;P)'!T6949&lt;&gt;"Yes",
        DATEDIF('Loan Tape (S&amp;P)'!K6949, TODAY(), "M")&lt;18),
    1.10,
    1.00)</f>
        <v/>
      </c>
      <c r="O6949">
        <f>IF('Loan Tape (S&amp;P)'!T6949="Yes",
    1.35,
    1.00)</f>
        <v/>
      </c>
      <c r="P6949">
        <f>IF('Loan Tape (S&amp;P)'!S6949="Yes",
    1.15,
    1.00)</f>
        <v/>
      </c>
      <c r="Q6949">
        <f>IF('Loan Tape (S&amp;P)'!V6949="Yes",
    1.20,
    1.00)</f>
        <v/>
      </c>
      <c r="T6949">
        <f>LET(
    payment_method,'Loan Tape (S&amp;P)'!P6949,
    occupancy,'Loan Tape (S&amp;P)'!N6949,
    maturity_date,'Loan Tape (S&amp;P)'!L6949,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50">
      <c r="J6950">
        <f>LET(
    lien,'Loan Tape (S&amp;P)'!Q6950,
    IF(lien="First",1.00,
        IF(lien="Second",1.50,
            1.70)))</f>
        <v/>
      </c>
      <c r="K6950">
        <f>LET(
    purpose,'Loan Tape (S&amp;P)'!R6950,
    IF(purpose="Purchase",1.00,
        IF(purpose="Remortgage",1.00,
            1.20)))</f>
        <v/>
      </c>
      <c r="L6950">
        <f>LET(
    arrears_months,'Loan Tape (S&amp;P)'!AN6950,
    IF(arrears_months=0,1.00,
    IF(arrears_months=1,3.00,
    IF(arrears_months=2,5.00,
    IF(arrears_months=3,8.00,
    IF(arrears_months=4,10.00,
    IF(arrears_months=5,12.00,15.00)))))))</f>
        <v/>
      </c>
      <c r="M6950">
        <f>LET(
    seasoning_years,DATEDIF('Loan Tape (S&amp;P)'!K6950,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50">
        <f>IF(AND('Loan Tape (S&amp;P)'!U6950="Yes",
        'Loan Tape (S&amp;P)'!T6950&lt;&gt;"Yes",
        DATEDIF('Loan Tape (S&amp;P)'!K6950, TODAY(), "M")&lt;18),
    1.10,
    1.00)</f>
        <v/>
      </c>
      <c r="O6950">
        <f>IF('Loan Tape (S&amp;P)'!T6950="Yes",
    1.35,
    1.00)</f>
        <v/>
      </c>
      <c r="P6950">
        <f>IF('Loan Tape (S&amp;P)'!S6950="Yes",
    1.15,
    1.00)</f>
        <v/>
      </c>
      <c r="Q6950">
        <f>IF('Loan Tape (S&amp;P)'!V6950="Yes",
    1.20,
    1.00)</f>
        <v/>
      </c>
      <c r="T6950">
        <f>LET(
    payment_method,'Loan Tape (S&amp;P)'!P6950,
    occupancy,'Loan Tape (S&amp;P)'!N6950,
    maturity_date,'Loan Tape (S&amp;P)'!L6950,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51">
      <c r="J6951">
        <f>LET(
    lien,'Loan Tape (S&amp;P)'!Q6951,
    IF(lien="First",1.00,
        IF(lien="Second",1.50,
            1.70)))</f>
        <v/>
      </c>
      <c r="K6951">
        <f>LET(
    purpose,'Loan Tape (S&amp;P)'!R6951,
    IF(purpose="Purchase",1.00,
        IF(purpose="Remortgage",1.00,
            1.20)))</f>
        <v/>
      </c>
      <c r="L6951">
        <f>LET(
    arrears_months,'Loan Tape (S&amp;P)'!AN6951,
    IF(arrears_months=0,1.00,
    IF(arrears_months=1,3.00,
    IF(arrears_months=2,5.00,
    IF(arrears_months=3,8.00,
    IF(arrears_months=4,10.00,
    IF(arrears_months=5,12.00,15.00)))))))</f>
        <v/>
      </c>
      <c r="M6951">
        <f>LET(
    seasoning_years,DATEDIF('Loan Tape (S&amp;P)'!K6951,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51">
        <f>IF(AND('Loan Tape (S&amp;P)'!U6951="Yes",
        'Loan Tape (S&amp;P)'!T6951&lt;&gt;"Yes",
        DATEDIF('Loan Tape (S&amp;P)'!K6951, TODAY(), "M")&lt;18),
    1.10,
    1.00)</f>
        <v/>
      </c>
      <c r="O6951">
        <f>IF('Loan Tape (S&amp;P)'!T6951="Yes",
    1.35,
    1.00)</f>
        <v/>
      </c>
      <c r="P6951">
        <f>IF('Loan Tape (S&amp;P)'!S6951="Yes",
    1.15,
    1.00)</f>
        <v/>
      </c>
      <c r="Q6951">
        <f>IF('Loan Tape (S&amp;P)'!V6951="Yes",
    1.20,
    1.00)</f>
        <v/>
      </c>
      <c r="T6951">
        <f>LET(
    payment_method,'Loan Tape (S&amp;P)'!P6951,
    occupancy,'Loan Tape (S&amp;P)'!N6951,
    maturity_date,'Loan Tape (S&amp;P)'!L6951,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52">
      <c r="J6952">
        <f>LET(
    lien,'Loan Tape (S&amp;P)'!Q6952,
    IF(lien="First",1.00,
        IF(lien="Second",1.50,
            1.70)))</f>
        <v/>
      </c>
      <c r="K6952">
        <f>LET(
    purpose,'Loan Tape (S&amp;P)'!R6952,
    IF(purpose="Purchase",1.00,
        IF(purpose="Remortgage",1.00,
            1.20)))</f>
        <v/>
      </c>
      <c r="L6952">
        <f>LET(
    arrears_months,'Loan Tape (S&amp;P)'!AN6952,
    IF(arrears_months=0,1.00,
    IF(arrears_months=1,3.00,
    IF(arrears_months=2,5.00,
    IF(arrears_months=3,8.00,
    IF(arrears_months=4,10.00,
    IF(arrears_months=5,12.00,15.00)))))))</f>
        <v/>
      </c>
      <c r="M6952">
        <f>LET(
    seasoning_years,DATEDIF('Loan Tape (S&amp;P)'!K6952,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52">
        <f>IF(AND('Loan Tape (S&amp;P)'!U6952="Yes",
        'Loan Tape (S&amp;P)'!T6952&lt;&gt;"Yes",
        DATEDIF('Loan Tape (S&amp;P)'!K6952, TODAY(), "M")&lt;18),
    1.10,
    1.00)</f>
        <v/>
      </c>
      <c r="O6952">
        <f>IF('Loan Tape (S&amp;P)'!T6952="Yes",
    1.35,
    1.00)</f>
        <v/>
      </c>
      <c r="P6952">
        <f>IF('Loan Tape (S&amp;P)'!S6952="Yes",
    1.15,
    1.00)</f>
        <v/>
      </c>
      <c r="Q6952">
        <f>IF('Loan Tape (S&amp;P)'!V6952="Yes",
    1.20,
    1.00)</f>
        <v/>
      </c>
      <c r="T6952">
        <f>LET(
    payment_method,'Loan Tape (S&amp;P)'!P6952,
    occupancy,'Loan Tape (S&amp;P)'!N6952,
    maturity_date,'Loan Tape (S&amp;P)'!L6952,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53">
      <c r="J6953">
        <f>LET(
    lien,'Loan Tape (S&amp;P)'!Q6953,
    IF(lien="First",1.00,
        IF(lien="Second",1.50,
            1.70)))</f>
        <v/>
      </c>
      <c r="K6953">
        <f>LET(
    purpose,'Loan Tape (S&amp;P)'!R6953,
    IF(purpose="Purchase",1.00,
        IF(purpose="Remortgage",1.00,
            1.20)))</f>
        <v/>
      </c>
      <c r="L6953">
        <f>LET(
    arrears_months,'Loan Tape (S&amp;P)'!AN6953,
    IF(arrears_months=0,1.00,
    IF(arrears_months=1,3.00,
    IF(arrears_months=2,5.00,
    IF(arrears_months=3,8.00,
    IF(arrears_months=4,10.00,
    IF(arrears_months=5,12.00,15.00)))))))</f>
        <v/>
      </c>
      <c r="M6953">
        <f>LET(
    seasoning_years,DATEDIF('Loan Tape (S&amp;P)'!K6953,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53">
        <f>IF(AND('Loan Tape (S&amp;P)'!U6953="Yes",
        'Loan Tape (S&amp;P)'!T6953&lt;&gt;"Yes",
        DATEDIF('Loan Tape (S&amp;P)'!K6953, TODAY(), "M")&lt;18),
    1.10,
    1.00)</f>
        <v/>
      </c>
      <c r="O6953">
        <f>IF('Loan Tape (S&amp;P)'!T6953="Yes",
    1.35,
    1.00)</f>
        <v/>
      </c>
      <c r="P6953">
        <f>IF('Loan Tape (S&amp;P)'!S6953="Yes",
    1.15,
    1.00)</f>
        <v/>
      </c>
      <c r="Q6953">
        <f>IF('Loan Tape (S&amp;P)'!V6953="Yes",
    1.20,
    1.00)</f>
        <v/>
      </c>
      <c r="T6953">
        <f>LET(
    payment_method,'Loan Tape (S&amp;P)'!P6953,
    occupancy,'Loan Tape (S&amp;P)'!N6953,
    maturity_date,'Loan Tape (S&amp;P)'!L6953,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54">
      <c r="J6954">
        <f>LET(
    lien,'Loan Tape (S&amp;P)'!Q6954,
    IF(lien="First",1.00,
        IF(lien="Second",1.50,
            1.70)))</f>
        <v/>
      </c>
      <c r="K6954">
        <f>LET(
    purpose,'Loan Tape (S&amp;P)'!R6954,
    IF(purpose="Purchase",1.00,
        IF(purpose="Remortgage",1.00,
            1.20)))</f>
        <v/>
      </c>
      <c r="L6954">
        <f>LET(
    arrears_months,'Loan Tape (S&amp;P)'!AN6954,
    IF(arrears_months=0,1.00,
    IF(arrears_months=1,3.00,
    IF(arrears_months=2,5.00,
    IF(arrears_months=3,8.00,
    IF(arrears_months=4,10.00,
    IF(arrears_months=5,12.00,15.00)))))))</f>
        <v/>
      </c>
      <c r="M6954">
        <f>LET(
    seasoning_years,DATEDIF('Loan Tape (S&amp;P)'!K6954,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54">
        <f>IF(AND('Loan Tape (S&amp;P)'!U6954="Yes",
        'Loan Tape (S&amp;P)'!T6954&lt;&gt;"Yes",
        DATEDIF('Loan Tape (S&amp;P)'!K6954, TODAY(), "M")&lt;18),
    1.10,
    1.00)</f>
        <v/>
      </c>
      <c r="O6954">
        <f>IF('Loan Tape (S&amp;P)'!T6954="Yes",
    1.35,
    1.00)</f>
        <v/>
      </c>
      <c r="P6954">
        <f>IF('Loan Tape (S&amp;P)'!S6954="Yes",
    1.15,
    1.00)</f>
        <v/>
      </c>
      <c r="Q6954">
        <f>IF('Loan Tape (S&amp;P)'!V6954="Yes",
    1.20,
    1.00)</f>
        <v/>
      </c>
      <c r="T6954">
        <f>LET(
    payment_method,'Loan Tape (S&amp;P)'!P6954,
    occupancy,'Loan Tape (S&amp;P)'!N6954,
    maturity_date,'Loan Tape (S&amp;P)'!L6954,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55">
      <c r="J6955">
        <f>LET(
    lien,'Loan Tape (S&amp;P)'!Q6955,
    IF(lien="First",1.00,
        IF(lien="Second",1.50,
            1.70)))</f>
        <v/>
      </c>
      <c r="K6955">
        <f>LET(
    purpose,'Loan Tape (S&amp;P)'!R6955,
    IF(purpose="Purchase",1.00,
        IF(purpose="Remortgage",1.00,
            1.20)))</f>
        <v/>
      </c>
      <c r="L6955">
        <f>LET(
    arrears_months,'Loan Tape (S&amp;P)'!AN6955,
    IF(arrears_months=0,1.00,
    IF(arrears_months=1,3.00,
    IF(arrears_months=2,5.00,
    IF(arrears_months=3,8.00,
    IF(arrears_months=4,10.00,
    IF(arrears_months=5,12.00,15.00)))))))</f>
        <v/>
      </c>
      <c r="M6955">
        <f>LET(
    seasoning_years,DATEDIF('Loan Tape (S&amp;P)'!K6955,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55">
        <f>IF(AND('Loan Tape (S&amp;P)'!U6955="Yes",
        'Loan Tape (S&amp;P)'!T6955&lt;&gt;"Yes",
        DATEDIF('Loan Tape (S&amp;P)'!K6955, TODAY(), "M")&lt;18),
    1.10,
    1.00)</f>
        <v/>
      </c>
      <c r="O6955">
        <f>IF('Loan Tape (S&amp;P)'!T6955="Yes",
    1.35,
    1.00)</f>
        <v/>
      </c>
      <c r="P6955">
        <f>IF('Loan Tape (S&amp;P)'!S6955="Yes",
    1.15,
    1.00)</f>
        <v/>
      </c>
      <c r="Q6955">
        <f>IF('Loan Tape (S&amp;P)'!V6955="Yes",
    1.20,
    1.00)</f>
        <v/>
      </c>
      <c r="T6955">
        <f>LET(
    payment_method,'Loan Tape (S&amp;P)'!P6955,
    occupancy,'Loan Tape (S&amp;P)'!N6955,
    maturity_date,'Loan Tape (S&amp;P)'!L6955,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56">
      <c r="J6956">
        <f>LET(
    lien,'Loan Tape (S&amp;P)'!Q6956,
    IF(lien="First",1.00,
        IF(lien="Second",1.50,
            1.70)))</f>
        <v/>
      </c>
      <c r="K6956">
        <f>LET(
    purpose,'Loan Tape (S&amp;P)'!R6956,
    IF(purpose="Purchase",1.00,
        IF(purpose="Remortgage",1.00,
            1.20)))</f>
        <v/>
      </c>
      <c r="L6956">
        <f>LET(
    arrears_months,'Loan Tape (S&amp;P)'!AN6956,
    IF(arrears_months=0,1.00,
    IF(arrears_months=1,3.00,
    IF(arrears_months=2,5.00,
    IF(arrears_months=3,8.00,
    IF(arrears_months=4,10.00,
    IF(arrears_months=5,12.00,15.00)))))))</f>
        <v/>
      </c>
      <c r="M6956">
        <f>LET(
    seasoning_years,DATEDIF('Loan Tape (S&amp;P)'!K6956,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56">
        <f>IF(AND('Loan Tape (S&amp;P)'!U6956="Yes",
        'Loan Tape (S&amp;P)'!T6956&lt;&gt;"Yes",
        DATEDIF('Loan Tape (S&amp;P)'!K6956, TODAY(), "M")&lt;18),
    1.10,
    1.00)</f>
        <v/>
      </c>
      <c r="O6956">
        <f>IF('Loan Tape (S&amp;P)'!T6956="Yes",
    1.35,
    1.00)</f>
        <v/>
      </c>
      <c r="P6956">
        <f>IF('Loan Tape (S&amp;P)'!S6956="Yes",
    1.15,
    1.00)</f>
        <v/>
      </c>
      <c r="Q6956">
        <f>IF('Loan Tape (S&amp;P)'!V6956="Yes",
    1.20,
    1.00)</f>
        <v/>
      </c>
      <c r="T6956">
        <f>LET(
    payment_method,'Loan Tape (S&amp;P)'!P6956,
    occupancy,'Loan Tape (S&amp;P)'!N6956,
    maturity_date,'Loan Tape (S&amp;P)'!L6956,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57">
      <c r="J6957">
        <f>LET(
    lien,'Loan Tape (S&amp;P)'!Q6957,
    IF(lien="First",1.00,
        IF(lien="Second",1.50,
            1.70)))</f>
        <v/>
      </c>
      <c r="K6957">
        <f>LET(
    purpose,'Loan Tape (S&amp;P)'!R6957,
    IF(purpose="Purchase",1.00,
        IF(purpose="Remortgage",1.00,
            1.20)))</f>
        <v/>
      </c>
      <c r="L6957">
        <f>LET(
    arrears_months,'Loan Tape (S&amp;P)'!AN6957,
    IF(arrears_months=0,1.00,
    IF(arrears_months=1,3.00,
    IF(arrears_months=2,5.00,
    IF(arrears_months=3,8.00,
    IF(arrears_months=4,10.00,
    IF(arrears_months=5,12.00,15.00)))))))</f>
        <v/>
      </c>
      <c r="M6957">
        <f>LET(
    seasoning_years,DATEDIF('Loan Tape (S&amp;P)'!K6957,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57">
        <f>IF(AND('Loan Tape (S&amp;P)'!U6957="Yes",
        'Loan Tape (S&amp;P)'!T6957&lt;&gt;"Yes",
        DATEDIF('Loan Tape (S&amp;P)'!K6957, TODAY(), "M")&lt;18),
    1.10,
    1.00)</f>
        <v/>
      </c>
      <c r="O6957">
        <f>IF('Loan Tape (S&amp;P)'!T6957="Yes",
    1.35,
    1.00)</f>
        <v/>
      </c>
      <c r="P6957">
        <f>IF('Loan Tape (S&amp;P)'!S6957="Yes",
    1.15,
    1.00)</f>
        <v/>
      </c>
      <c r="Q6957">
        <f>IF('Loan Tape (S&amp;P)'!V6957="Yes",
    1.20,
    1.00)</f>
        <v/>
      </c>
      <c r="T6957">
        <f>LET(
    payment_method,'Loan Tape (S&amp;P)'!P6957,
    occupancy,'Loan Tape (S&amp;P)'!N6957,
    maturity_date,'Loan Tape (S&amp;P)'!L6957,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58">
      <c r="J6958">
        <f>LET(
    lien,'Loan Tape (S&amp;P)'!Q6958,
    IF(lien="First",1.00,
        IF(lien="Second",1.50,
            1.70)))</f>
        <v/>
      </c>
      <c r="K6958">
        <f>LET(
    purpose,'Loan Tape (S&amp;P)'!R6958,
    IF(purpose="Purchase",1.00,
        IF(purpose="Remortgage",1.00,
            1.20)))</f>
        <v/>
      </c>
      <c r="L6958">
        <f>LET(
    arrears_months,'Loan Tape (S&amp;P)'!AN6958,
    IF(arrears_months=0,1.00,
    IF(arrears_months=1,3.00,
    IF(arrears_months=2,5.00,
    IF(arrears_months=3,8.00,
    IF(arrears_months=4,10.00,
    IF(arrears_months=5,12.00,15.00)))))))</f>
        <v/>
      </c>
      <c r="M6958">
        <f>LET(
    seasoning_years,DATEDIF('Loan Tape (S&amp;P)'!K6958,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58">
        <f>IF(AND('Loan Tape (S&amp;P)'!U6958="Yes",
        'Loan Tape (S&amp;P)'!T6958&lt;&gt;"Yes",
        DATEDIF('Loan Tape (S&amp;P)'!K6958, TODAY(), "M")&lt;18),
    1.10,
    1.00)</f>
        <v/>
      </c>
      <c r="O6958">
        <f>IF('Loan Tape (S&amp;P)'!T6958="Yes",
    1.35,
    1.00)</f>
        <v/>
      </c>
      <c r="P6958">
        <f>IF('Loan Tape (S&amp;P)'!S6958="Yes",
    1.15,
    1.00)</f>
        <v/>
      </c>
      <c r="Q6958">
        <f>IF('Loan Tape (S&amp;P)'!V6958="Yes",
    1.20,
    1.00)</f>
        <v/>
      </c>
      <c r="T6958">
        <f>LET(
    payment_method,'Loan Tape (S&amp;P)'!P6958,
    occupancy,'Loan Tape (S&amp;P)'!N6958,
    maturity_date,'Loan Tape (S&amp;P)'!L6958,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59">
      <c r="J6959">
        <f>LET(
    lien,'Loan Tape (S&amp;P)'!Q6959,
    IF(lien="First",1.00,
        IF(lien="Second",1.50,
            1.70)))</f>
        <v/>
      </c>
      <c r="K6959">
        <f>LET(
    purpose,'Loan Tape (S&amp;P)'!R6959,
    IF(purpose="Purchase",1.00,
        IF(purpose="Remortgage",1.00,
            1.20)))</f>
        <v/>
      </c>
      <c r="L6959">
        <f>LET(
    arrears_months,'Loan Tape (S&amp;P)'!AN6959,
    IF(arrears_months=0,1.00,
    IF(arrears_months=1,3.00,
    IF(arrears_months=2,5.00,
    IF(arrears_months=3,8.00,
    IF(arrears_months=4,10.00,
    IF(arrears_months=5,12.00,15.00)))))))</f>
        <v/>
      </c>
      <c r="M6959">
        <f>LET(
    seasoning_years,DATEDIF('Loan Tape (S&amp;P)'!K6959,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59">
        <f>IF(AND('Loan Tape (S&amp;P)'!U6959="Yes",
        'Loan Tape (S&amp;P)'!T6959&lt;&gt;"Yes",
        DATEDIF('Loan Tape (S&amp;P)'!K6959, TODAY(), "M")&lt;18),
    1.10,
    1.00)</f>
        <v/>
      </c>
      <c r="O6959">
        <f>IF('Loan Tape (S&amp;P)'!T6959="Yes",
    1.35,
    1.00)</f>
        <v/>
      </c>
      <c r="P6959">
        <f>IF('Loan Tape (S&amp;P)'!S6959="Yes",
    1.15,
    1.00)</f>
        <v/>
      </c>
      <c r="Q6959">
        <f>IF('Loan Tape (S&amp;P)'!V6959="Yes",
    1.20,
    1.00)</f>
        <v/>
      </c>
      <c r="T6959">
        <f>LET(
    payment_method,'Loan Tape (S&amp;P)'!P6959,
    occupancy,'Loan Tape (S&amp;P)'!N6959,
    maturity_date,'Loan Tape (S&amp;P)'!L6959,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60">
      <c r="J6960">
        <f>LET(
    lien,'Loan Tape (S&amp;P)'!Q6960,
    IF(lien="First",1.00,
        IF(lien="Second",1.50,
            1.70)))</f>
        <v/>
      </c>
      <c r="K6960">
        <f>LET(
    purpose,'Loan Tape (S&amp;P)'!R6960,
    IF(purpose="Purchase",1.00,
        IF(purpose="Remortgage",1.00,
            1.20)))</f>
        <v/>
      </c>
      <c r="L6960">
        <f>LET(
    arrears_months,'Loan Tape (S&amp;P)'!AN6960,
    IF(arrears_months=0,1.00,
    IF(arrears_months=1,3.00,
    IF(arrears_months=2,5.00,
    IF(arrears_months=3,8.00,
    IF(arrears_months=4,10.00,
    IF(arrears_months=5,12.00,15.00)))))))</f>
        <v/>
      </c>
      <c r="M6960">
        <f>LET(
    seasoning_years,DATEDIF('Loan Tape (S&amp;P)'!K6960,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60">
        <f>IF(AND('Loan Tape (S&amp;P)'!U6960="Yes",
        'Loan Tape (S&amp;P)'!T6960&lt;&gt;"Yes",
        DATEDIF('Loan Tape (S&amp;P)'!K6960, TODAY(), "M")&lt;18),
    1.10,
    1.00)</f>
        <v/>
      </c>
      <c r="O6960">
        <f>IF('Loan Tape (S&amp;P)'!T6960="Yes",
    1.35,
    1.00)</f>
        <v/>
      </c>
      <c r="P6960">
        <f>IF('Loan Tape (S&amp;P)'!S6960="Yes",
    1.15,
    1.00)</f>
        <v/>
      </c>
      <c r="Q6960">
        <f>IF('Loan Tape (S&amp;P)'!V6960="Yes",
    1.20,
    1.00)</f>
        <v/>
      </c>
      <c r="T6960">
        <f>LET(
    payment_method,'Loan Tape (S&amp;P)'!P6960,
    occupancy,'Loan Tape (S&amp;P)'!N6960,
    maturity_date,'Loan Tape (S&amp;P)'!L6960,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61">
      <c r="J6961">
        <f>LET(
    lien,'Loan Tape (S&amp;P)'!Q6961,
    IF(lien="First",1.00,
        IF(lien="Second",1.50,
            1.70)))</f>
        <v/>
      </c>
      <c r="K6961">
        <f>LET(
    purpose,'Loan Tape (S&amp;P)'!R6961,
    IF(purpose="Purchase",1.00,
        IF(purpose="Remortgage",1.00,
            1.20)))</f>
        <v/>
      </c>
      <c r="L6961">
        <f>LET(
    arrears_months,'Loan Tape (S&amp;P)'!AN6961,
    IF(arrears_months=0,1.00,
    IF(arrears_months=1,3.00,
    IF(arrears_months=2,5.00,
    IF(arrears_months=3,8.00,
    IF(arrears_months=4,10.00,
    IF(arrears_months=5,12.00,15.00)))))))</f>
        <v/>
      </c>
      <c r="M6961">
        <f>LET(
    seasoning_years,DATEDIF('Loan Tape (S&amp;P)'!K6961,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61">
        <f>IF(AND('Loan Tape (S&amp;P)'!U6961="Yes",
        'Loan Tape (S&amp;P)'!T6961&lt;&gt;"Yes",
        DATEDIF('Loan Tape (S&amp;P)'!K6961, TODAY(), "M")&lt;18),
    1.10,
    1.00)</f>
        <v/>
      </c>
      <c r="O6961">
        <f>IF('Loan Tape (S&amp;P)'!T6961="Yes",
    1.35,
    1.00)</f>
        <v/>
      </c>
      <c r="P6961">
        <f>IF('Loan Tape (S&amp;P)'!S6961="Yes",
    1.15,
    1.00)</f>
        <v/>
      </c>
      <c r="Q6961">
        <f>IF('Loan Tape (S&amp;P)'!V6961="Yes",
    1.20,
    1.00)</f>
        <v/>
      </c>
      <c r="T6961">
        <f>LET(
    payment_method,'Loan Tape (S&amp;P)'!P6961,
    occupancy,'Loan Tape (S&amp;P)'!N6961,
    maturity_date,'Loan Tape (S&amp;P)'!L6961,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62">
      <c r="J6962">
        <f>LET(
    lien,'Loan Tape (S&amp;P)'!Q6962,
    IF(lien="First",1.00,
        IF(lien="Second",1.50,
            1.70)))</f>
        <v/>
      </c>
      <c r="K6962">
        <f>LET(
    purpose,'Loan Tape (S&amp;P)'!R6962,
    IF(purpose="Purchase",1.00,
        IF(purpose="Remortgage",1.00,
            1.20)))</f>
        <v/>
      </c>
      <c r="L6962">
        <f>LET(
    arrears_months,'Loan Tape (S&amp;P)'!AN6962,
    IF(arrears_months=0,1.00,
    IF(arrears_months=1,3.00,
    IF(arrears_months=2,5.00,
    IF(arrears_months=3,8.00,
    IF(arrears_months=4,10.00,
    IF(arrears_months=5,12.00,15.00)))))))</f>
        <v/>
      </c>
      <c r="M6962">
        <f>LET(
    seasoning_years,DATEDIF('Loan Tape (S&amp;P)'!K6962,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62">
        <f>IF(AND('Loan Tape (S&amp;P)'!U6962="Yes",
        'Loan Tape (S&amp;P)'!T6962&lt;&gt;"Yes",
        DATEDIF('Loan Tape (S&amp;P)'!K6962, TODAY(), "M")&lt;18),
    1.10,
    1.00)</f>
        <v/>
      </c>
      <c r="O6962">
        <f>IF('Loan Tape (S&amp;P)'!T6962="Yes",
    1.35,
    1.00)</f>
        <v/>
      </c>
      <c r="P6962">
        <f>IF('Loan Tape (S&amp;P)'!S6962="Yes",
    1.15,
    1.00)</f>
        <v/>
      </c>
      <c r="Q6962">
        <f>IF('Loan Tape (S&amp;P)'!V6962="Yes",
    1.20,
    1.00)</f>
        <v/>
      </c>
      <c r="T6962">
        <f>LET(
    payment_method,'Loan Tape (S&amp;P)'!P6962,
    occupancy,'Loan Tape (S&amp;P)'!N6962,
    maturity_date,'Loan Tape (S&amp;P)'!L6962,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63">
      <c r="J6963">
        <f>LET(
    lien,'Loan Tape (S&amp;P)'!Q6963,
    IF(lien="First",1.00,
        IF(lien="Second",1.50,
            1.70)))</f>
        <v/>
      </c>
      <c r="K6963">
        <f>LET(
    purpose,'Loan Tape (S&amp;P)'!R6963,
    IF(purpose="Purchase",1.00,
        IF(purpose="Remortgage",1.00,
            1.20)))</f>
        <v/>
      </c>
      <c r="L6963">
        <f>LET(
    arrears_months,'Loan Tape (S&amp;P)'!AN6963,
    IF(arrears_months=0,1.00,
    IF(arrears_months=1,3.00,
    IF(arrears_months=2,5.00,
    IF(arrears_months=3,8.00,
    IF(arrears_months=4,10.00,
    IF(arrears_months=5,12.00,15.00)))))))</f>
        <v/>
      </c>
      <c r="M6963">
        <f>LET(
    seasoning_years,DATEDIF('Loan Tape (S&amp;P)'!K6963,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63">
        <f>IF(AND('Loan Tape (S&amp;P)'!U6963="Yes",
        'Loan Tape (S&amp;P)'!T6963&lt;&gt;"Yes",
        DATEDIF('Loan Tape (S&amp;P)'!K6963, TODAY(), "M")&lt;18),
    1.10,
    1.00)</f>
        <v/>
      </c>
      <c r="O6963">
        <f>IF('Loan Tape (S&amp;P)'!T6963="Yes",
    1.35,
    1.00)</f>
        <v/>
      </c>
      <c r="P6963">
        <f>IF('Loan Tape (S&amp;P)'!S6963="Yes",
    1.15,
    1.00)</f>
        <v/>
      </c>
      <c r="Q6963">
        <f>IF('Loan Tape (S&amp;P)'!V6963="Yes",
    1.20,
    1.00)</f>
        <v/>
      </c>
      <c r="T6963">
        <f>LET(
    payment_method,'Loan Tape (S&amp;P)'!P6963,
    occupancy,'Loan Tape (S&amp;P)'!N6963,
    maturity_date,'Loan Tape (S&amp;P)'!L6963,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64">
      <c r="J6964">
        <f>LET(
    lien,'Loan Tape (S&amp;P)'!Q6964,
    IF(lien="First",1.00,
        IF(lien="Second",1.50,
            1.70)))</f>
        <v/>
      </c>
      <c r="K6964">
        <f>LET(
    purpose,'Loan Tape (S&amp;P)'!R6964,
    IF(purpose="Purchase",1.00,
        IF(purpose="Remortgage",1.00,
            1.20)))</f>
        <v/>
      </c>
      <c r="L6964">
        <f>LET(
    arrears_months,'Loan Tape (S&amp;P)'!AN6964,
    IF(arrears_months=0,1.00,
    IF(arrears_months=1,3.00,
    IF(arrears_months=2,5.00,
    IF(arrears_months=3,8.00,
    IF(arrears_months=4,10.00,
    IF(arrears_months=5,12.00,15.00)))))))</f>
        <v/>
      </c>
      <c r="M6964">
        <f>LET(
    seasoning_years,DATEDIF('Loan Tape (S&amp;P)'!K6964,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64">
        <f>IF(AND('Loan Tape (S&amp;P)'!U6964="Yes",
        'Loan Tape (S&amp;P)'!T6964&lt;&gt;"Yes",
        DATEDIF('Loan Tape (S&amp;P)'!K6964, TODAY(), "M")&lt;18),
    1.10,
    1.00)</f>
        <v/>
      </c>
      <c r="O6964">
        <f>IF('Loan Tape (S&amp;P)'!T6964="Yes",
    1.35,
    1.00)</f>
        <v/>
      </c>
      <c r="P6964">
        <f>IF('Loan Tape (S&amp;P)'!S6964="Yes",
    1.15,
    1.00)</f>
        <v/>
      </c>
      <c r="Q6964">
        <f>IF('Loan Tape (S&amp;P)'!V6964="Yes",
    1.20,
    1.00)</f>
        <v/>
      </c>
      <c r="T6964">
        <f>LET(
    payment_method,'Loan Tape (S&amp;P)'!P6964,
    occupancy,'Loan Tape (S&amp;P)'!N6964,
    maturity_date,'Loan Tape (S&amp;P)'!L6964,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65">
      <c r="J6965">
        <f>LET(
    lien,'Loan Tape (S&amp;P)'!Q6965,
    IF(lien="First",1.00,
        IF(lien="Second",1.50,
            1.70)))</f>
        <v/>
      </c>
      <c r="K6965">
        <f>LET(
    purpose,'Loan Tape (S&amp;P)'!R6965,
    IF(purpose="Purchase",1.00,
        IF(purpose="Remortgage",1.00,
            1.20)))</f>
        <v/>
      </c>
      <c r="L6965">
        <f>LET(
    arrears_months,'Loan Tape (S&amp;P)'!AN6965,
    IF(arrears_months=0,1.00,
    IF(arrears_months=1,3.00,
    IF(arrears_months=2,5.00,
    IF(arrears_months=3,8.00,
    IF(arrears_months=4,10.00,
    IF(arrears_months=5,12.00,15.00)))))))</f>
        <v/>
      </c>
      <c r="M6965">
        <f>LET(
    seasoning_years,DATEDIF('Loan Tape (S&amp;P)'!K6965,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65">
        <f>IF(AND('Loan Tape (S&amp;P)'!U6965="Yes",
        'Loan Tape (S&amp;P)'!T6965&lt;&gt;"Yes",
        DATEDIF('Loan Tape (S&amp;P)'!K6965, TODAY(), "M")&lt;18),
    1.10,
    1.00)</f>
        <v/>
      </c>
      <c r="O6965">
        <f>IF('Loan Tape (S&amp;P)'!T6965="Yes",
    1.35,
    1.00)</f>
        <v/>
      </c>
      <c r="P6965">
        <f>IF('Loan Tape (S&amp;P)'!S6965="Yes",
    1.15,
    1.00)</f>
        <v/>
      </c>
      <c r="Q6965">
        <f>IF('Loan Tape (S&amp;P)'!V6965="Yes",
    1.20,
    1.00)</f>
        <v/>
      </c>
      <c r="T6965">
        <f>LET(
    payment_method,'Loan Tape (S&amp;P)'!P6965,
    occupancy,'Loan Tape (S&amp;P)'!N6965,
    maturity_date,'Loan Tape (S&amp;P)'!L6965,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66">
      <c r="J6966">
        <f>LET(
    lien,'Loan Tape (S&amp;P)'!Q6966,
    IF(lien="First",1.00,
        IF(lien="Second",1.50,
            1.70)))</f>
        <v/>
      </c>
      <c r="K6966">
        <f>LET(
    purpose,'Loan Tape (S&amp;P)'!R6966,
    IF(purpose="Purchase",1.00,
        IF(purpose="Remortgage",1.00,
            1.20)))</f>
        <v/>
      </c>
      <c r="L6966">
        <f>LET(
    arrears_months,'Loan Tape (S&amp;P)'!AN6966,
    IF(arrears_months=0,1.00,
    IF(arrears_months=1,3.00,
    IF(arrears_months=2,5.00,
    IF(arrears_months=3,8.00,
    IF(arrears_months=4,10.00,
    IF(arrears_months=5,12.00,15.00)))))))</f>
        <v/>
      </c>
      <c r="M6966">
        <f>LET(
    seasoning_years,DATEDIF('Loan Tape (S&amp;P)'!K6966,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66">
        <f>IF(AND('Loan Tape (S&amp;P)'!U6966="Yes",
        'Loan Tape (S&amp;P)'!T6966&lt;&gt;"Yes",
        DATEDIF('Loan Tape (S&amp;P)'!K6966, TODAY(), "M")&lt;18),
    1.10,
    1.00)</f>
        <v/>
      </c>
      <c r="O6966">
        <f>IF('Loan Tape (S&amp;P)'!T6966="Yes",
    1.35,
    1.00)</f>
        <v/>
      </c>
      <c r="P6966">
        <f>IF('Loan Tape (S&amp;P)'!S6966="Yes",
    1.15,
    1.00)</f>
        <v/>
      </c>
      <c r="Q6966">
        <f>IF('Loan Tape (S&amp;P)'!V6966="Yes",
    1.20,
    1.00)</f>
        <v/>
      </c>
      <c r="T6966">
        <f>LET(
    payment_method,'Loan Tape (S&amp;P)'!P6966,
    occupancy,'Loan Tape (S&amp;P)'!N6966,
    maturity_date,'Loan Tape (S&amp;P)'!L6966,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67">
      <c r="J6967">
        <f>LET(
    lien,'Loan Tape (S&amp;P)'!Q6967,
    IF(lien="First",1.00,
        IF(lien="Second",1.50,
            1.70)))</f>
        <v/>
      </c>
      <c r="K6967">
        <f>LET(
    purpose,'Loan Tape (S&amp;P)'!R6967,
    IF(purpose="Purchase",1.00,
        IF(purpose="Remortgage",1.00,
            1.20)))</f>
        <v/>
      </c>
      <c r="L6967">
        <f>LET(
    arrears_months,'Loan Tape (S&amp;P)'!AN6967,
    IF(arrears_months=0,1.00,
    IF(arrears_months=1,3.00,
    IF(arrears_months=2,5.00,
    IF(arrears_months=3,8.00,
    IF(arrears_months=4,10.00,
    IF(arrears_months=5,12.00,15.00)))))))</f>
        <v/>
      </c>
      <c r="M6967">
        <f>LET(
    seasoning_years,DATEDIF('Loan Tape (S&amp;P)'!K6967,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67">
        <f>IF(AND('Loan Tape (S&amp;P)'!U6967="Yes",
        'Loan Tape (S&amp;P)'!T6967&lt;&gt;"Yes",
        DATEDIF('Loan Tape (S&amp;P)'!K6967, TODAY(), "M")&lt;18),
    1.10,
    1.00)</f>
        <v/>
      </c>
      <c r="O6967">
        <f>IF('Loan Tape (S&amp;P)'!T6967="Yes",
    1.35,
    1.00)</f>
        <v/>
      </c>
      <c r="P6967">
        <f>IF('Loan Tape (S&amp;P)'!S6967="Yes",
    1.15,
    1.00)</f>
        <v/>
      </c>
      <c r="Q6967">
        <f>IF('Loan Tape (S&amp;P)'!V6967="Yes",
    1.20,
    1.00)</f>
        <v/>
      </c>
      <c r="T6967">
        <f>LET(
    payment_method,'Loan Tape (S&amp;P)'!P6967,
    occupancy,'Loan Tape (S&amp;P)'!N6967,
    maturity_date,'Loan Tape (S&amp;P)'!L6967,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68">
      <c r="J6968">
        <f>LET(
    lien,'Loan Tape (S&amp;P)'!Q6968,
    IF(lien="First",1.00,
        IF(lien="Second",1.50,
            1.70)))</f>
        <v/>
      </c>
      <c r="K6968">
        <f>LET(
    purpose,'Loan Tape (S&amp;P)'!R6968,
    IF(purpose="Purchase",1.00,
        IF(purpose="Remortgage",1.00,
            1.20)))</f>
        <v/>
      </c>
      <c r="L6968">
        <f>LET(
    arrears_months,'Loan Tape (S&amp;P)'!AN6968,
    IF(arrears_months=0,1.00,
    IF(arrears_months=1,3.00,
    IF(arrears_months=2,5.00,
    IF(arrears_months=3,8.00,
    IF(arrears_months=4,10.00,
    IF(arrears_months=5,12.00,15.00)))))))</f>
        <v/>
      </c>
      <c r="M6968">
        <f>LET(
    seasoning_years,DATEDIF('Loan Tape (S&amp;P)'!K6968,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68">
        <f>IF(AND('Loan Tape (S&amp;P)'!U6968="Yes",
        'Loan Tape (S&amp;P)'!T6968&lt;&gt;"Yes",
        DATEDIF('Loan Tape (S&amp;P)'!K6968, TODAY(), "M")&lt;18),
    1.10,
    1.00)</f>
        <v/>
      </c>
      <c r="O6968">
        <f>IF('Loan Tape (S&amp;P)'!T6968="Yes",
    1.35,
    1.00)</f>
        <v/>
      </c>
      <c r="P6968">
        <f>IF('Loan Tape (S&amp;P)'!S6968="Yes",
    1.15,
    1.00)</f>
        <v/>
      </c>
      <c r="Q6968">
        <f>IF('Loan Tape (S&amp;P)'!V6968="Yes",
    1.20,
    1.00)</f>
        <v/>
      </c>
      <c r="T6968">
        <f>LET(
    payment_method,'Loan Tape (S&amp;P)'!P6968,
    occupancy,'Loan Tape (S&amp;P)'!N6968,
    maturity_date,'Loan Tape (S&amp;P)'!L6968,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69">
      <c r="J6969">
        <f>LET(
    lien,'Loan Tape (S&amp;P)'!Q6969,
    IF(lien="First",1.00,
        IF(lien="Second",1.50,
            1.70)))</f>
        <v/>
      </c>
      <c r="K6969">
        <f>LET(
    purpose,'Loan Tape (S&amp;P)'!R6969,
    IF(purpose="Purchase",1.00,
        IF(purpose="Remortgage",1.00,
            1.20)))</f>
        <v/>
      </c>
      <c r="L6969">
        <f>LET(
    arrears_months,'Loan Tape (S&amp;P)'!AN6969,
    IF(arrears_months=0,1.00,
    IF(arrears_months=1,3.00,
    IF(arrears_months=2,5.00,
    IF(arrears_months=3,8.00,
    IF(arrears_months=4,10.00,
    IF(arrears_months=5,12.00,15.00)))))))</f>
        <v/>
      </c>
      <c r="M6969">
        <f>LET(
    seasoning_years,DATEDIF('Loan Tape (S&amp;P)'!K6969,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69">
        <f>IF(AND('Loan Tape (S&amp;P)'!U6969="Yes",
        'Loan Tape (S&amp;P)'!T6969&lt;&gt;"Yes",
        DATEDIF('Loan Tape (S&amp;P)'!K6969, TODAY(), "M")&lt;18),
    1.10,
    1.00)</f>
        <v/>
      </c>
      <c r="O6969">
        <f>IF('Loan Tape (S&amp;P)'!T6969="Yes",
    1.35,
    1.00)</f>
        <v/>
      </c>
      <c r="P6969">
        <f>IF('Loan Tape (S&amp;P)'!S6969="Yes",
    1.15,
    1.00)</f>
        <v/>
      </c>
      <c r="Q6969">
        <f>IF('Loan Tape (S&amp;P)'!V6969="Yes",
    1.20,
    1.00)</f>
        <v/>
      </c>
      <c r="T6969">
        <f>LET(
    payment_method,'Loan Tape (S&amp;P)'!P6969,
    occupancy,'Loan Tape (S&amp;P)'!N6969,
    maturity_date,'Loan Tape (S&amp;P)'!L6969,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70">
      <c r="J6970">
        <f>LET(
    lien,'Loan Tape (S&amp;P)'!Q6970,
    IF(lien="First",1.00,
        IF(lien="Second",1.50,
            1.70)))</f>
        <v/>
      </c>
      <c r="K6970">
        <f>LET(
    purpose,'Loan Tape (S&amp;P)'!R6970,
    IF(purpose="Purchase",1.00,
        IF(purpose="Remortgage",1.00,
            1.20)))</f>
        <v/>
      </c>
      <c r="L6970">
        <f>LET(
    arrears_months,'Loan Tape (S&amp;P)'!AN6970,
    IF(arrears_months=0,1.00,
    IF(arrears_months=1,3.00,
    IF(arrears_months=2,5.00,
    IF(arrears_months=3,8.00,
    IF(arrears_months=4,10.00,
    IF(arrears_months=5,12.00,15.00)))))))</f>
        <v/>
      </c>
      <c r="M6970">
        <f>LET(
    seasoning_years,DATEDIF('Loan Tape (S&amp;P)'!K6970,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70">
        <f>IF(AND('Loan Tape (S&amp;P)'!U6970="Yes",
        'Loan Tape (S&amp;P)'!T6970&lt;&gt;"Yes",
        DATEDIF('Loan Tape (S&amp;P)'!K6970, TODAY(), "M")&lt;18),
    1.10,
    1.00)</f>
        <v/>
      </c>
      <c r="O6970">
        <f>IF('Loan Tape (S&amp;P)'!T6970="Yes",
    1.35,
    1.00)</f>
        <v/>
      </c>
      <c r="P6970">
        <f>IF('Loan Tape (S&amp;P)'!S6970="Yes",
    1.15,
    1.00)</f>
        <v/>
      </c>
      <c r="Q6970">
        <f>IF('Loan Tape (S&amp;P)'!V6970="Yes",
    1.20,
    1.00)</f>
        <v/>
      </c>
      <c r="T6970">
        <f>LET(
    payment_method,'Loan Tape (S&amp;P)'!P6970,
    occupancy,'Loan Tape (S&amp;P)'!N6970,
    maturity_date,'Loan Tape (S&amp;P)'!L6970,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71">
      <c r="J6971">
        <f>LET(
    lien,'Loan Tape (S&amp;P)'!Q6971,
    IF(lien="First",1.00,
        IF(lien="Second",1.50,
            1.70)))</f>
        <v/>
      </c>
      <c r="K6971">
        <f>LET(
    purpose,'Loan Tape (S&amp;P)'!R6971,
    IF(purpose="Purchase",1.00,
        IF(purpose="Remortgage",1.00,
            1.20)))</f>
        <v/>
      </c>
      <c r="L6971">
        <f>LET(
    arrears_months,'Loan Tape (S&amp;P)'!AN6971,
    IF(arrears_months=0,1.00,
    IF(arrears_months=1,3.00,
    IF(arrears_months=2,5.00,
    IF(arrears_months=3,8.00,
    IF(arrears_months=4,10.00,
    IF(arrears_months=5,12.00,15.00)))))))</f>
        <v/>
      </c>
      <c r="M6971">
        <f>LET(
    seasoning_years,DATEDIF('Loan Tape (S&amp;P)'!K6971,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71">
        <f>IF(AND('Loan Tape (S&amp;P)'!U6971="Yes",
        'Loan Tape (S&amp;P)'!T6971&lt;&gt;"Yes",
        DATEDIF('Loan Tape (S&amp;P)'!K6971, TODAY(), "M")&lt;18),
    1.10,
    1.00)</f>
        <v/>
      </c>
      <c r="O6971">
        <f>IF('Loan Tape (S&amp;P)'!T6971="Yes",
    1.35,
    1.00)</f>
        <v/>
      </c>
      <c r="P6971">
        <f>IF('Loan Tape (S&amp;P)'!S6971="Yes",
    1.15,
    1.00)</f>
        <v/>
      </c>
      <c r="Q6971">
        <f>IF('Loan Tape (S&amp;P)'!V6971="Yes",
    1.20,
    1.00)</f>
        <v/>
      </c>
      <c r="T6971">
        <f>LET(
    payment_method,'Loan Tape (S&amp;P)'!P6971,
    occupancy,'Loan Tape (S&amp;P)'!N6971,
    maturity_date,'Loan Tape (S&amp;P)'!L6971,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72">
      <c r="J6972">
        <f>LET(
    lien,'Loan Tape (S&amp;P)'!Q6972,
    IF(lien="First",1.00,
        IF(lien="Second",1.50,
            1.70)))</f>
        <v/>
      </c>
      <c r="K6972">
        <f>LET(
    purpose,'Loan Tape (S&amp;P)'!R6972,
    IF(purpose="Purchase",1.00,
        IF(purpose="Remortgage",1.00,
            1.20)))</f>
        <v/>
      </c>
      <c r="L6972">
        <f>LET(
    arrears_months,'Loan Tape (S&amp;P)'!AN6972,
    IF(arrears_months=0,1.00,
    IF(arrears_months=1,3.00,
    IF(arrears_months=2,5.00,
    IF(arrears_months=3,8.00,
    IF(arrears_months=4,10.00,
    IF(arrears_months=5,12.00,15.00)))))))</f>
        <v/>
      </c>
      <c r="M6972">
        <f>LET(
    seasoning_years,DATEDIF('Loan Tape (S&amp;P)'!K6972,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72">
        <f>IF(AND('Loan Tape (S&amp;P)'!U6972="Yes",
        'Loan Tape (S&amp;P)'!T6972&lt;&gt;"Yes",
        DATEDIF('Loan Tape (S&amp;P)'!K6972, TODAY(), "M")&lt;18),
    1.10,
    1.00)</f>
        <v/>
      </c>
      <c r="O6972">
        <f>IF('Loan Tape (S&amp;P)'!T6972="Yes",
    1.35,
    1.00)</f>
        <v/>
      </c>
      <c r="P6972">
        <f>IF('Loan Tape (S&amp;P)'!S6972="Yes",
    1.15,
    1.00)</f>
        <v/>
      </c>
      <c r="Q6972">
        <f>IF('Loan Tape (S&amp;P)'!V6972="Yes",
    1.20,
    1.00)</f>
        <v/>
      </c>
      <c r="T6972">
        <f>LET(
    payment_method,'Loan Tape (S&amp;P)'!P6972,
    occupancy,'Loan Tape (S&amp;P)'!N6972,
    maturity_date,'Loan Tape (S&amp;P)'!L6972,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73">
      <c r="J6973">
        <f>LET(
    lien,'Loan Tape (S&amp;P)'!Q6973,
    IF(lien="First",1.00,
        IF(lien="Second",1.50,
            1.70)))</f>
        <v/>
      </c>
      <c r="K6973">
        <f>LET(
    purpose,'Loan Tape (S&amp;P)'!R6973,
    IF(purpose="Purchase",1.00,
        IF(purpose="Remortgage",1.00,
            1.20)))</f>
        <v/>
      </c>
      <c r="L6973">
        <f>LET(
    arrears_months,'Loan Tape (S&amp;P)'!AN6973,
    IF(arrears_months=0,1.00,
    IF(arrears_months=1,3.00,
    IF(arrears_months=2,5.00,
    IF(arrears_months=3,8.00,
    IF(arrears_months=4,10.00,
    IF(arrears_months=5,12.00,15.00)))))))</f>
        <v/>
      </c>
      <c r="M6973">
        <f>LET(
    seasoning_years,DATEDIF('Loan Tape (S&amp;P)'!K6973,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73">
        <f>IF(AND('Loan Tape (S&amp;P)'!U6973="Yes",
        'Loan Tape (S&amp;P)'!T6973&lt;&gt;"Yes",
        DATEDIF('Loan Tape (S&amp;P)'!K6973, TODAY(), "M")&lt;18),
    1.10,
    1.00)</f>
        <v/>
      </c>
      <c r="O6973">
        <f>IF('Loan Tape (S&amp;P)'!T6973="Yes",
    1.35,
    1.00)</f>
        <v/>
      </c>
      <c r="P6973">
        <f>IF('Loan Tape (S&amp;P)'!S6973="Yes",
    1.15,
    1.00)</f>
        <v/>
      </c>
      <c r="Q6973">
        <f>IF('Loan Tape (S&amp;P)'!V6973="Yes",
    1.20,
    1.00)</f>
        <v/>
      </c>
      <c r="T6973">
        <f>LET(
    payment_method,'Loan Tape (S&amp;P)'!P6973,
    occupancy,'Loan Tape (S&amp;P)'!N6973,
    maturity_date,'Loan Tape (S&amp;P)'!L6973,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74">
      <c r="J6974">
        <f>LET(
    lien,'Loan Tape (S&amp;P)'!Q6974,
    IF(lien="First",1.00,
        IF(lien="Second",1.50,
            1.70)))</f>
        <v/>
      </c>
      <c r="K6974">
        <f>LET(
    purpose,'Loan Tape (S&amp;P)'!R6974,
    IF(purpose="Purchase",1.00,
        IF(purpose="Remortgage",1.00,
            1.20)))</f>
        <v/>
      </c>
      <c r="L6974">
        <f>LET(
    arrears_months,'Loan Tape (S&amp;P)'!AN6974,
    IF(arrears_months=0,1.00,
    IF(arrears_months=1,3.00,
    IF(arrears_months=2,5.00,
    IF(arrears_months=3,8.00,
    IF(arrears_months=4,10.00,
    IF(arrears_months=5,12.00,15.00)))))))</f>
        <v/>
      </c>
      <c r="M6974">
        <f>LET(
    seasoning_years,DATEDIF('Loan Tape (S&amp;P)'!K6974,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74">
        <f>IF(AND('Loan Tape (S&amp;P)'!U6974="Yes",
        'Loan Tape (S&amp;P)'!T6974&lt;&gt;"Yes",
        DATEDIF('Loan Tape (S&amp;P)'!K6974, TODAY(), "M")&lt;18),
    1.10,
    1.00)</f>
        <v/>
      </c>
      <c r="O6974">
        <f>IF('Loan Tape (S&amp;P)'!T6974="Yes",
    1.35,
    1.00)</f>
        <v/>
      </c>
      <c r="P6974">
        <f>IF('Loan Tape (S&amp;P)'!S6974="Yes",
    1.15,
    1.00)</f>
        <v/>
      </c>
      <c r="Q6974">
        <f>IF('Loan Tape (S&amp;P)'!V6974="Yes",
    1.20,
    1.00)</f>
        <v/>
      </c>
      <c r="T6974">
        <f>LET(
    payment_method,'Loan Tape (S&amp;P)'!P6974,
    occupancy,'Loan Tape (S&amp;P)'!N6974,
    maturity_date,'Loan Tape (S&amp;P)'!L6974,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75">
      <c r="J6975">
        <f>LET(
    lien,'Loan Tape (S&amp;P)'!Q6975,
    IF(lien="First",1.00,
        IF(lien="Second",1.50,
            1.70)))</f>
        <v/>
      </c>
      <c r="K6975">
        <f>LET(
    purpose,'Loan Tape (S&amp;P)'!R6975,
    IF(purpose="Purchase",1.00,
        IF(purpose="Remortgage",1.00,
            1.20)))</f>
        <v/>
      </c>
      <c r="L6975">
        <f>LET(
    arrears_months,'Loan Tape (S&amp;P)'!AN6975,
    IF(arrears_months=0,1.00,
    IF(arrears_months=1,3.00,
    IF(arrears_months=2,5.00,
    IF(arrears_months=3,8.00,
    IF(arrears_months=4,10.00,
    IF(arrears_months=5,12.00,15.00)))))))</f>
        <v/>
      </c>
      <c r="M6975">
        <f>LET(
    seasoning_years,DATEDIF('Loan Tape (S&amp;P)'!K6975,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75">
        <f>IF(AND('Loan Tape (S&amp;P)'!U6975="Yes",
        'Loan Tape (S&amp;P)'!T6975&lt;&gt;"Yes",
        DATEDIF('Loan Tape (S&amp;P)'!K6975, TODAY(), "M")&lt;18),
    1.10,
    1.00)</f>
        <v/>
      </c>
      <c r="O6975">
        <f>IF('Loan Tape (S&amp;P)'!T6975="Yes",
    1.35,
    1.00)</f>
        <v/>
      </c>
      <c r="P6975">
        <f>IF('Loan Tape (S&amp;P)'!S6975="Yes",
    1.15,
    1.00)</f>
        <v/>
      </c>
      <c r="Q6975">
        <f>IF('Loan Tape (S&amp;P)'!V6975="Yes",
    1.20,
    1.00)</f>
        <v/>
      </c>
      <c r="T6975">
        <f>LET(
    payment_method,'Loan Tape (S&amp;P)'!P6975,
    occupancy,'Loan Tape (S&amp;P)'!N6975,
    maturity_date,'Loan Tape (S&amp;P)'!L6975,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76">
      <c r="J6976">
        <f>LET(
    lien,'Loan Tape (S&amp;P)'!Q6976,
    IF(lien="First",1.00,
        IF(lien="Second",1.50,
            1.70)))</f>
        <v/>
      </c>
      <c r="K6976">
        <f>LET(
    purpose,'Loan Tape (S&amp;P)'!R6976,
    IF(purpose="Purchase",1.00,
        IF(purpose="Remortgage",1.00,
            1.20)))</f>
        <v/>
      </c>
      <c r="L6976">
        <f>LET(
    arrears_months,'Loan Tape (S&amp;P)'!AN6976,
    IF(arrears_months=0,1.00,
    IF(arrears_months=1,3.00,
    IF(arrears_months=2,5.00,
    IF(arrears_months=3,8.00,
    IF(arrears_months=4,10.00,
    IF(arrears_months=5,12.00,15.00)))))))</f>
        <v/>
      </c>
      <c r="M6976">
        <f>LET(
    seasoning_years,DATEDIF('Loan Tape (S&amp;P)'!K6976,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76">
        <f>IF(AND('Loan Tape (S&amp;P)'!U6976="Yes",
        'Loan Tape (S&amp;P)'!T6976&lt;&gt;"Yes",
        DATEDIF('Loan Tape (S&amp;P)'!K6976, TODAY(), "M")&lt;18),
    1.10,
    1.00)</f>
        <v/>
      </c>
      <c r="O6976">
        <f>IF('Loan Tape (S&amp;P)'!T6976="Yes",
    1.35,
    1.00)</f>
        <v/>
      </c>
      <c r="P6976">
        <f>IF('Loan Tape (S&amp;P)'!S6976="Yes",
    1.15,
    1.00)</f>
        <v/>
      </c>
      <c r="Q6976">
        <f>IF('Loan Tape (S&amp;P)'!V6976="Yes",
    1.20,
    1.00)</f>
        <v/>
      </c>
      <c r="T6976">
        <f>LET(
    payment_method,'Loan Tape (S&amp;P)'!P6976,
    occupancy,'Loan Tape (S&amp;P)'!N6976,
    maturity_date,'Loan Tape (S&amp;P)'!L6976,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77">
      <c r="J6977">
        <f>LET(
    lien,'Loan Tape (S&amp;P)'!Q6977,
    IF(lien="First",1.00,
        IF(lien="Second",1.50,
            1.70)))</f>
        <v/>
      </c>
      <c r="K6977">
        <f>LET(
    purpose,'Loan Tape (S&amp;P)'!R6977,
    IF(purpose="Purchase",1.00,
        IF(purpose="Remortgage",1.00,
            1.20)))</f>
        <v/>
      </c>
      <c r="L6977">
        <f>LET(
    arrears_months,'Loan Tape (S&amp;P)'!AN6977,
    IF(arrears_months=0,1.00,
    IF(arrears_months=1,3.00,
    IF(arrears_months=2,5.00,
    IF(arrears_months=3,8.00,
    IF(arrears_months=4,10.00,
    IF(arrears_months=5,12.00,15.00)))))))</f>
        <v/>
      </c>
      <c r="M6977">
        <f>LET(
    seasoning_years,DATEDIF('Loan Tape (S&amp;P)'!K6977,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77">
        <f>IF(AND('Loan Tape (S&amp;P)'!U6977="Yes",
        'Loan Tape (S&amp;P)'!T6977&lt;&gt;"Yes",
        DATEDIF('Loan Tape (S&amp;P)'!K6977, TODAY(), "M")&lt;18),
    1.10,
    1.00)</f>
        <v/>
      </c>
      <c r="O6977">
        <f>IF('Loan Tape (S&amp;P)'!T6977="Yes",
    1.35,
    1.00)</f>
        <v/>
      </c>
      <c r="P6977">
        <f>IF('Loan Tape (S&amp;P)'!S6977="Yes",
    1.15,
    1.00)</f>
        <v/>
      </c>
      <c r="Q6977">
        <f>IF('Loan Tape (S&amp;P)'!V6977="Yes",
    1.20,
    1.00)</f>
        <v/>
      </c>
      <c r="T6977">
        <f>LET(
    payment_method,'Loan Tape (S&amp;P)'!P6977,
    occupancy,'Loan Tape (S&amp;P)'!N6977,
    maturity_date,'Loan Tape (S&amp;P)'!L6977,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78">
      <c r="J6978">
        <f>LET(
    lien,'Loan Tape (S&amp;P)'!Q6978,
    IF(lien="First",1.00,
        IF(lien="Second",1.50,
            1.70)))</f>
        <v/>
      </c>
      <c r="K6978">
        <f>LET(
    purpose,'Loan Tape (S&amp;P)'!R6978,
    IF(purpose="Purchase",1.00,
        IF(purpose="Remortgage",1.00,
            1.20)))</f>
        <v/>
      </c>
      <c r="L6978">
        <f>LET(
    arrears_months,'Loan Tape (S&amp;P)'!AN6978,
    IF(arrears_months=0,1.00,
    IF(arrears_months=1,3.00,
    IF(arrears_months=2,5.00,
    IF(arrears_months=3,8.00,
    IF(arrears_months=4,10.00,
    IF(arrears_months=5,12.00,15.00)))))))</f>
        <v/>
      </c>
      <c r="M6978">
        <f>LET(
    seasoning_years,DATEDIF('Loan Tape (S&amp;P)'!K6978,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78">
        <f>IF(AND('Loan Tape (S&amp;P)'!U6978="Yes",
        'Loan Tape (S&amp;P)'!T6978&lt;&gt;"Yes",
        DATEDIF('Loan Tape (S&amp;P)'!K6978, TODAY(), "M")&lt;18),
    1.10,
    1.00)</f>
        <v/>
      </c>
      <c r="O6978">
        <f>IF('Loan Tape (S&amp;P)'!T6978="Yes",
    1.35,
    1.00)</f>
        <v/>
      </c>
      <c r="P6978">
        <f>IF('Loan Tape (S&amp;P)'!S6978="Yes",
    1.15,
    1.00)</f>
        <v/>
      </c>
      <c r="Q6978">
        <f>IF('Loan Tape (S&amp;P)'!V6978="Yes",
    1.20,
    1.00)</f>
        <v/>
      </c>
      <c r="T6978">
        <f>LET(
    payment_method,'Loan Tape (S&amp;P)'!P6978,
    occupancy,'Loan Tape (S&amp;P)'!N6978,
    maturity_date,'Loan Tape (S&amp;P)'!L6978,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79">
      <c r="J6979">
        <f>LET(
    lien,'Loan Tape (S&amp;P)'!Q6979,
    IF(lien="First",1.00,
        IF(lien="Second",1.50,
            1.70)))</f>
        <v/>
      </c>
      <c r="K6979">
        <f>LET(
    purpose,'Loan Tape (S&amp;P)'!R6979,
    IF(purpose="Purchase",1.00,
        IF(purpose="Remortgage",1.00,
            1.20)))</f>
        <v/>
      </c>
      <c r="L6979">
        <f>LET(
    arrears_months,'Loan Tape (S&amp;P)'!AN6979,
    IF(arrears_months=0,1.00,
    IF(arrears_months=1,3.00,
    IF(arrears_months=2,5.00,
    IF(arrears_months=3,8.00,
    IF(arrears_months=4,10.00,
    IF(arrears_months=5,12.00,15.00)))))))</f>
        <v/>
      </c>
      <c r="M6979">
        <f>LET(
    seasoning_years,DATEDIF('Loan Tape (S&amp;P)'!K6979,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79">
        <f>IF(AND('Loan Tape (S&amp;P)'!U6979="Yes",
        'Loan Tape (S&amp;P)'!T6979&lt;&gt;"Yes",
        DATEDIF('Loan Tape (S&amp;P)'!K6979, TODAY(), "M")&lt;18),
    1.10,
    1.00)</f>
        <v/>
      </c>
      <c r="O6979">
        <f>IF('Loan Tape (S&amp;P)'!T6979="Yes",
    1.35,
    1.00)</f>
        <v/>
      </c>
      <c r="P6979">
        <f>IF('Loan Tape (S&amp;P)'!S6979="Yes",
    1.15,
    1.00)</f>
        <v/>
      </c>
      <c r="Q6979">
        <f>IF('Loan Tape (S&amp;P)'!V6979="Yes",
    1.20,
    1.00)</f>
        <v/>
      </c>
      <c r="T6979">
        <f>LET(
    payment_method,'Loan Tape (S&amp;P)'!P6979,
    occupancy,'Loan Tape (S&amp;P)'!N6979,
    maturity_date,'Loan Tape (S&amp;P)'!L6979,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80">
      <c r="J6980">
        <f>LET(
    lien,'Loan Tape (S&amp;P)'!Q6980,
    IF(lien="First",1.00,
        IF(lien="Second",1.50,
            1.70)))</f>
        <v/>
      </c>
      <c r="K6980">
        <f>LET(
    purpose,'Loan Tape (S&amp;P)'!R6980,
    IF(purpose="Purchase",1.00,
        IF(purpose="Remortgage",1.00,
            1.20)))</f>
        <v/>
      </c>
      <c r="L6980">
        <f>LET(
    arrears_months,'Loan Tape (S&amp;P)'!AN6980,
    IF(arrears_months=0,1.00,
    IF(arrears_months=1,3.00,
    IF(arrears_months=2,5.00,
    IF(arrears_months=3,8.00,
    IF(arrears_months=4,10.00,
    IF(arrears_months=5,12.00,15.00)))))))</f>
        <v/>
      </c>
      <c r="M6980">
        <f>LET(
    seasoning_years,DATEDIF('Loan Tape (S&amp;P)'!K6980,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80">
        <f>IF(AND('Loan Tape (S&amp;P)'!U6980="Yes",
        'Loan Tape (S&amp;P)'!T6980&lt;&gt;"Yes",
        DATEDIF('Loan Tape (S&amp;P)'!K6980, TODAY(), "M")&lt;18),
    1.10,
    1.00)</f>
        <v/>
      </c>
      <c r="O6980">
        <f>IF('Loan Tape (S&amp;P)'!T6980="Yes",
    1.35,
    1.00)</f>
        <v/>
      </c>
      <c r="P6980">
        <f>IF('Loan Tape (S&amp;P)'!S6980="Yes",
    1.15,
    1.00)</f>
        <v/>
      </c>
      <c r="Q6980">
        <f>IF('Loan Tape (S&amp;P)'!V6980="Yes",
    1.20,
    1.00)</f>
        <v/>
      </c>
      <c r="T6980">
        <f>LET(
    payment_method,'Loan Tape (S&amp;P)'!P6980,
    occupancy,'Loan Tape (S&amp;P)'!N6980,
    maturity_date,'Loan Tape (S&amp;P)'!L6980,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81">
      <c r="J6981">
        <f>LET(
    lien,'Loan Tape (S&amp;P)'!Q6981,
    IF(lien="First",1.00,
        IF(lien="Second",1.50,
            1.70)))</f>
        <v/>
      </c>
      <c r="K6981">
        <f>LET(
    purpose,'Loan Tape (S&amp;P)'!R6981,
    IF(purpose="Purchase",1.00,
        IF(purpose="Remortgage",1.00,
            1.20)))</f>
        <v/>
      </c>
      <c r="L6981">
        <f>LET(
    arrears_months,'Loan Tape (S&amp;P)'!AN6981,
    IF(arrears_months=0,1.00,
    IF(arrears_months=1,3.00,
    IF(arrears_months=2,5.00,
    IF(arrears_months=3,8.00,
    IF(arrears_months=4,10.00,
    IF(arrears_months=5,12.00,15.00)))))))</f>
        <v/>
      </c>
      <c r="M6981">
        <f>LET(
    seasoning_years,DATEDIF('Loan Tape (S&amp;P)'!K6981,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81">
        <f>IF(AND('Loan Tape (S&amp;P)'!U6981="Yes",
        'Loan Tape (S&amp;P)'!T6981&lt;&gt;"Yes",
        DATEDIF('Loan Tape (S&amp;P)'!K6981, TODAY(), "M")&lt;18),
    1.10,
    1.00)</f>
        <v/>
      </c>
      <c r="O6981">
        <f>IF('Loan Tape (S&amp;P)'!T6981="Yes",
    1.35,
    1.00)</f>
        <v/>
      </c>
      <c r="P6981">
        <f>IF('Loan Tape (S&amp;P)'!S6981="Yes",
    1.15,
    1.00)</f>
        <v/>
      </c>
      <c r="Q6981">
        <f>IF('Loan Tape (S&amp;P)'!V6981="Yes",
    1.20,
    1.00)</f>
        <v/>
      </c>
      <c r="T6981">
        <f>LET(
    payment_method,'Loan Tape (S&amp;P)'!P6981,
    occupancy,'Loan Tape (S&amp;P)'!N6981,
    maturity_date,'Loan Tape (S&amp;P)'!L6981,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82">
      <c r="J6982">
        <f>LET(
    lien,'Loan Tape (S&amp;P)'!Q6982,
    IF(lien="First",1.00,
        IF(lien="Second",1.50,
            1.70)))</f>
        <v/>
      </c>
      <c r="K6982">
        <f>LET(
    purpose,'Loan Tape (S&amp;P)'!R6982,
    IF(purpose="Purchase",1.00,
        IF(purpose="Remortgage",1.00,
            1.20)))</f>
        <v/>
      </c>
      <c r="L6982">
        <f>LET(
    arrears_months,'Loan Tape (S&amp;P)'!AN6982,
    IF(arrears_months=0,1.00,
    IF(arrears_months=1,3.00,
    IF(arrears_months=2,5.00,
    IF(arrears_months=3,8.00,
    IF(arrears_months=4,10.00,
    IF(arrears_months=5,12.00,15.00)))))))</f>
        <v/>
      </c>
      <c r="M6982">
        <f>LET(
    seasoning_years,DATEDIF('Loan Tape (S&amp;P)'!K6982,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82">
        <f>IF(AND('Loan Tape (S&amp;P)'!U6982="Yes",
        'Loan Tape (S&amp;P)'!T6982&lt;&gt;"Yes",
        DATEDIF('Loan Tape (S&amp;P)'!K6982, TODAY(), "M")&lt;18),
    1.10,
    1.00)</f>
        <v/>
      </c>
      <c r="O6982">
        <f>IF('Loan Tape (S&amp;P)'!T6982="Yes",
    1.35,
    1.00)</f>
        <v/>
      </c>
      <c r="P6982">
        <f>IF('Loan Tape (S&amp;P)'!S6982="Yes",
    1.15,
    1.00)</f>
        <v/>
      </c>
      <c r="Q6982">
        <f>IF('Loan Tape (S&amp;P)'!V6982="Yes",
    1.20,
    1.00)</f>
        <v/>
      </c>
      <c r="T6982">
        <f>LET(
    payment_method,'Loan Tape (S&amp;P)'!P6982,
    occupancy,'Loan Tape (S&amp;P)'!N6982,
    maturity_date,'Loan Tape (S&amp;P)'!L6982,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83">
      <c r="J6983">
        <f>LET(
    lien,'Loan Tape (S&amp;P)'!Q6983,
    IF(lien="First",1.00,
        IF(lien="Second",1.50,
            1.70)))</f>
        <v/>
      </c>
      <c r="K6983">
        <f>LET(
    purpose,'Loan Tape (S&amp;P)'!R6983,
    IF(purpose="Purchase",1.00,
        IF(purpose="Remortgage",1.00,
            1.20)))</f>
        <v/>
      </c>
      <c r="L6983">
        <f>LET(
    arrears_months,'Loan Tape (S&amp;P)'!AN6983,
    IF(arrears_months=0,1.00,
    IF(arrears_months=1,3.00,
    IF(arrears_months=2,5.00,
    IF(arrears_months=3,8.00,
    IF(arrears_months=4,10.00,
    IF(arrears_months=5,12.00,15.00)))))))</f>
        <v/>
      </c>
      <c r="M6983">
        <f>LET(
    seasoning_years,DATEDIF('Loan Tape (S&amp;P)'!K6983,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83">
        <f>IF(AND('Loan Tape (S&amp;P)'!U6983="Yes",
        'Loan Tape (S&amp;P)'!T6983&lt;&gt;"Yes",
        DATEDIF('Loan Tape (S&amp;P)'!K6983, TODAY(), "M")&lt;18),
    1.10,
    1.00)</f>
        <v/>
      </c>
      <c r="O6983">
        <f>IF('Loan Tape (S&amp;P)'!T6983="Yes",
    1.35,
    1.00)</f>
        <v/>
      </c>
      <c r="P6983">
        <f>IF('Loan Tape (S&amp;P)'!S6983="Yes",
    1.15,
    1.00)</f>
        <v/>
      </c>
      <c r="Q6983">
        <f>IF('Loan Tape (S&amp;P)'!V6983="Yes",
    1.20,
    1.00)</f>
        <v/>
      </c>
      <c r="T6983">
        <f>LET(
    payment_method,'Loan Tape (S&amp;P)'!P6983,
    occupancy,'Loan Tape (S&amp;P)'!N6983,
    maturity_date,'Loan Tape (S&amp;P)'!L6983,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84">
      <c r="J6984">
        <f>LET(
    lien,'Loan Tape (S&amp;P)'!Q6984,
    IF(lien="First",1.00,
        IF(lien="Second",1.50,
            1.70)))</f>
        <v/>
      </c>
      <c r="K6984">
        <f>LET(
    purpose,'Loan Tape (S&amp;P)'!R6984,
    IF(purpose="Purchase",1.00,
        IF(purpose="Remortgage",1.00,
            1.20)))</f>
        <v/>
      </c>
      <c r="L6984">
        <f>LET(
    arrears_months,'Loan Tape (S&amp;P)'!AN6984,
    IF(arrears_months=0,1.00,
    IF(arrears_months=1,3.00,
    IF(arrears_months=2,5.00,
    IF(arrears_months=3,8.00,
    IF(arrears_months=4,10.00,
    IF(arrears_months=5,12.00,15.00)))))))</f>
        <v/>
      </c>
      <c r="M6984">
        <f>LET(
    seasoning_years,DATEDIF('Loan Tape (S&amp;P)'!K6984,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84">
        <f>IF(AND('Loan Tape (S&amp;P)'!U6984="Yes",
        'Loan Tape (S&amp;P)'!T6984&lt;&gt;"Yes",
        DATEDIF('Loan Tape (S&amp;P)'!K6984, TODAY(), "M")&lt;18),
    1.10,
    1.00)</f>
        <v/>
      </c>
      <c r="O6984">
        <f>IF('Loan Tape (S&amp;P)'!T6984="Yes",
    1.35,
    1.00)</f>
        <v/>
      </c>
      <c r="P6984">
        <f>IF('Loan Tape (S&amp;P)'!S6984="Yes",
    1.15,
    1.00)</f>
        <v/>
      </c>
      <c r="Q6984">
        <f>IF('Loan Tape (S&amp;P)'!V6984="Yes",
    1.20,
    1.00)</f>
        <v/>
      </c>
      <c r="T6984">
        <f>LET(
    payment_method,'Loan Tape (S&amp;P)'!P6984,
    occupancy,'Loan Tape (S&amp;P)'!N6984,
    maturity_date,'Loan Tape (S&amp;P)'!L6984,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85">
      <c r="J6985">
        <f>LET(
    lien,'Loan Tape (S&amp;P)'!Q6985,
    IF(lien="First",1.00,
        IF(lien="Second",1.50,
            1.70)))</f>
        <v/>
      </c>
      <c r="K6985">
        <f>LET(
    purpose,'Loan Tape (S&amp;P)'!R6985,
    IF(purpose="Purchase",1.00,
        IF(purpose="Remortgage",1.00,
            1.20)))</f>
        <v/>
      </c>
      <c r="L6985">
        <f>LET(
    arrears_months,'Loan Tape (S&amp;P)'!AN6985,
    IF(arrears_months=0,1.00,
    IF(arrears_months=1,3.00,
    IF(arrears_months=2,5.00,
    IF(arrears_months=3,8.00,
    IF(arrears_months=4,10.00,
    IF(arrears_months=5,12.00,15.00)))))))</f>
        <v/>
      </c>
      <c r="M6985">
        <f>LET(
    seasoning_years,DATEDIF('Loan Tape (S&amp;P)'!K6985,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85">
        <f>IF(AND('Loan Tape (S&amp;P)'!U6985="Yes",
        'Loan Tape (S&amp;P)'!T6985&lt;&gt;"Yes",
        DATEDIF('Loan Tape (S&amp;P)'!K6985, TODAY(), "M")&lt;18),
    1.10,
    1.00)</f>
        <v/>
      </c>
      <c r="O6985">
        <f>IF('Loan Tape (S&amp;P)'!T6985="Yes",
    1.35,
    1.00)</f>
        <v/>
      </c>
      <c r="P6985">
        <f>IF('Loan Tape (S&amp;P)'!S6985="Yes",
    1.15,
    1.00)</f>
        <v/>
      </c>
      <c r="Q6985">
        <f>IF('Loan Tape (S&amp;P)'!V6985="Yes",
    1.20,
    1.00)</f>
        <v/>
      </c>
      <c r="T6985">
        <f>LET(
    payment_method,'Loan Tape (S&amp;P)'!P6985,
    occupancy,'Loan Tape (S&amp;P)'!N6985,
    maturity_date,'Loan Tape (S&amp;P)'!L6985,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86">
      <c r="J6986">
        <f>LET(
    lien,'Loan Tape (S&amp;P)'!Q6986,
    IF(lien="First",1.00,
        IF(lien="Second",1.50,
            1.70)))</f>
        <v/>
      </c>
      <c r="K6986">
        <f>LET(
    purpose,'Loan Tape (S&amp;P)'!R6986,
    IF(purpose="Purchase",1.00,
        IF(purpose="Remortgage",1.00,
            1.20)))</f>
        <v/>
      </c>
      <c r="L6986">
        <f>LET(
    arrears_months,'Loan Tape (S&amp;P)'!AN6986,
    IF(arrears_months=0,1.00,
    IF(arrears_months=1,3.00,
    IF(arrears_months=2,5.00,
    IF(arrears_months=3,8.00,
    IF(arrears_months=4,10.00,
    IF(arrears_months=5,12.00,15.00)))))))</f>
        <v/>
      </c>
      <c r="M6986">
        <f>LET(
    seasoning_years,DATEDIF('Loan Tape (S&amp;P)'!K6986,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86">
        <f>IF(AND('Loan Tape (S&amp;P)'!U6986="Yes",
        'Loan Tape (S&amp;P)'!T6986&lt;&gt;"Yes",
        DATEDIF('Loan Tape (S&amp;P)'!K6986, TODAY(), "M")&lt;18),
    1.10,
    1.00)</f>
        <v/>
      </c>
      <c r="O6986">
        <f>IF('Loan Tape (S&amp;P)'!T6986="Yes",
    1.35,
    1.00)</f>
        <v/>
      </c>
      <c r="P6986">
        <f>IF('Loan Tape (S&amp;P)'!S6986="Yes",
    1.15,
    1.00)</f>
        <v/>
      </c>
      <c r="Q6986">
        <f>IF('Loan Tape (S&amp;P)'!V6986="Yes",
    1.20,
    1.00)</f>
        <v/>
      </c>
      <c r="T6986">
        <f>LET(
    payment_method,'Loan Tape (S&amp;P)'!P6986,
    occupancy,'Loan Tape (S&amp;P)'!N6986,
    maturity_date,'Loan Tape (S&amp;P)'!L6986,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87">
      <c r="J6987">
        <f>LET(
    lien,'Loan Tape (S&amp;P)'!Q6987,
    IF(lien="First",1.00,
        IF(lien="Second",1.50,
            1.70)))</f>
        <v/>
      </c>
      <c r="K6987">
        <f>LET(
    purpose,'Loan Tape (S&amp;P)'!R6987,
    IF(purpose="Purchase",1.00,
        IF(purpose="Remortgage",1.00,
            1.20)))</f>
        <v/>
      </c>
      <c r="L6987">
        <f>LET(
    arrears_months,'Loan Tape (S&amp;P)'!AN6987,
    IF(arrears_months=0,1.00,
    IF(arrears_months=1,3.00,
    IF(arrears_months=2,5.00,
    IF(arrears_months=3,8.00,
    IF(arrears_months=4,10.00,
    IF(arrears_months=5,12.00,15.00)))))))</f>
        <v/>
      </c>
      <c r="M6987">
        <f>LET(
    seasoning_years,DATEDIF('Loan Tape (S&amp;P)'!K6987,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87">
        <f>IF(AND('Loan Tape (S&amp;P)'!U6987="Yes",
        'Loan Tape (S&amp;P)'!T6987&lt;&gt;"Yes",
        DATEDIF('Loan Tape (S&amp;P)'!K6987, TODAY(), "M")&lt;18),
    1.10,
    1.00)</f>
        <v/>
      </c>
      <c r="O6987">
        <f>IF('Loan Tape (S&amp;P)'!T6987="Yes",
    1.35,
    1.00)</f>
        <v/>
      </c>
      <c r="P6987">
        <f>IF('Loan Tape (S&amp;P)'!S6987="Yes",
    1.15,
    1.00)</f>
        <v/>
      </c>
      <c r="Q6987">
        <f>IF('Loan Tape (S&amp;P)'!V6987="Yes",
    1.20,
    1.00)</f>
        <v/>
      </c>
      <c r="T6987">
        <f>LET(
    payment_method,'Loan Tape (S&amp;P)'!P6987,
    occupancy,'Loan Tape (S&amp;P)'!N6987,
    maturity_date,'Loan Tape (S&amp;P)'!L6987,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88">
      <c r="J6988">
        <f>LET(
    lien,'Loan Tape (S&amp;P)'!Q6988,
    IF(lien="First",1.00,
        IF(lien="Second",1.50,
            1.70)))</f>
        <v/>
      </c>
      <c r="K6988">
        <f>LET(
    purpose,'Loan Tape (S&amp;P)'!R6988,
    IF(purpose="Purchase",1.00,
        IF(purpose="Remortgage",1.00,
            1.20)))</f>
        <v/>
      </c>
      <c r="L6988">
        <f>LET(
    arrears_months,'Loan Tape (S&amp;P)'!AN6988,
    IF(arrears_months=0,1.00,
    IF(arrears_months=1,3.00,
    IF(arrears_months=2,5.00,
    IF(arrears_months=3,8.00,
    IF(arrears_months=4,10.00,
    IF(arrears_months=5,12.00,15.00)))))))</f>
        <v/>
      </c>
      <c r="M6988">
        <f>LET(
    seasoning_years,DATEDIF('Loan Tape (S&amp;P)'!K6988,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88">
        <f>IF(AND('Loan Tape (S&amp;P)'!U6988="Yes",
        'Loan Tape (S&amp;P)'!T6988&lt;&gt;"Yes",
        DATEDIF('Loan Tape (S&amp;P)'!K6988, TODAY(), "M")&lt;18),
    1.10,
    1.00)</f>
        <v/>
      </c>
      <c r="O6988">
        <f>IF('Loan Tape (S&amp;P)'!T6988="Yes",
    1.35,
    1.00)</f>
        <v/>
      </c>
      <c r="P6988">
        <f>IF('Loan Tape (S&amp;P)'!S6988="Yes",
    1.15,
    1.00)</f>
        <v/>
      </c>
      <c r="Q6988">
        <f>IF('Loan Tape (S&amp;P)'!V6988="Yes",
    1.20,
    1.00)</f>
        <v/>
      </c>
      <c r="T6988">
        <f>LET(
    payment_method,'Loan Tape (S&amp;P)'!P6988,
    occupancy,'Loan Tape (S&amp;P)'!N6988,
    maturity_date,'Loan Tape (S&amp;P)'!L6988,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89">
      <c r="J6989">
        <f>LET(
    lien,'Loan Tape (S&amp;P)'!Q6989,
    IF(lien="First",1.00,
        IF(lien="Second",1.50,
            1.70)))</f>
        <v/>
      </c>
      <c r="K6989">
        <f>LET(
    purpose,'Loan Tape (S&amp;P)'!R6989,
    IF(purpose="Purchase",1.00,
        IF(purpose="Remortgage",1.00,
            1.20)))</f>
        <v/>
      </c>
      <c r="L6989">
        <f>LET(
    arrears_months,'Loan Tape (S&amp;P)'!AN6989,
    IF(arrears_months=0,1.00,
    IF(arrears_months=1,3.00,
    IF(arrears_months=2,5.00,
    IF(arrears_months=3,8.00,
    IF(arrears_months=4,10.00,
    IF(arrears_months=5,12.00,15.00)))))))</f>
        <v/>
      </c>
      <c r="M6989">
        <f>LET(
    seasoning_years,DATEDIF('Loan Tape (S&amp;P)'!K6989,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89">
        <f>IF(AND('Loan Tape (S&amp;P)'!U6989="Yes",
        'Loan Tape (S&amp;P)'!T6989&lt;&gt;"Yes",
        DATEDIF('Loan Tape (S&amp;P)'!K6989, TODAY(), "M")&lt;18),
    1.10,
    1.00)</f>
        <v/>
      </c>
      <c r="O6989">
        <f>IF('Loan Tape (S&amp;P)'!T6989="Yes",
    1.35,
    1.00)</f>
        <v/>
      </c>
      <c r="P6989">
        <f>IF('Loan Tape (S&amp;P)'!S6989="Yes",
    1.15,
    1.00)</f>
        <v/>
      </c>
      <c r="Q6989">
        <f>IF('Loan Tape (S&amp;P)'!V6989="Yes",
    1.20,
    1.00)</f>
        <v/>
      </c>
      <c r="T6989">
        <f>LET(
    payment_method,'Loan Tape (S&amp;P)'!P6989,
    occupancy,'Loan Tape (S&amp;P)'!N6989,
    maturity_date,'Loan Tape (S&amp;P)'!L6989,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90">
      <c r="J6990">
        <f>LET(
    lien,'Loan Tape (S&amp;P)'!Q6990,
    IF(lien="First",1.00,
        IF(lien="Second",1.50,
            1.70)))</f>
        <v/>
      </c>
      <c r="K6990">
        <f>LET(
    purpose,'Loan Tape (S&amp;P)'!R6990,
    IF(purpose="Purchase",1.00,
        IF(purpose="Remortgage",1.00,
            1.20)))</f>
        <v/>
      </c>
      <c r="L6990">
        <f>LET(
    arrears_months,'Loan Tape (S&amp;P)'!AN6990,
    IF(arrears_months=0,1.00,
    IF(arrears_months=1,3.00,
    IF(arrears_months=2,5.00,
    IF(arrears_months=3,8.00,
    IF(arrears_months=4,10.00,
    IF(arrears_months=5,12.00,15.00)))))))</f>
        <v/>
      </c>
      <c r="M6990">
        <f>LET(
    seasoning_years,DATEDIF('Loan Tape (S&amp;P)'!K6990,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90">
        <f>IF(AND('Loan Tape (S&amp;P)'!U6990="Yes",
        'Loan Tape (S&amp;P)'!T6990&lt;&gt;"Yes",
        DATEDIF('Loan Tape (S&amp;P)'!K6990, TODAY(), "M")&lt;18),
    1.10,
    1.00)</f>
        <v/>
      </c>
      <c r="O6990">
        <f>IF('Loan Tape (S&amp;P)'!T6990="Yes",
    1.35,
    1.00)</f>
        <v/>
      </c>
      <c r="P6990">
        <f>IF('Loan Tape (S&amp;P)'!S6990="Yes",
    1.15,
    1.00)</f>
        <v/>
      </c>
      <c r="Q6990">
        <f>IF('Loan Tape (S&amp;P)'!V6990="Yes",
    1.20,
    1.00)</f>
        <v/>
      </c>
      <c r="T6990">
        <f>LET(
    payment_method,'Loan Tape (S&amp;P)'!P6990,
    occupancy,'Loan Tape (S&amp;P)'!N6990,
    maturity_date,'Loan Tape (S&amp;P)'!L6990,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91">
      <c r="J6991">
        <f>LET(
    lien,'Loan Tape (S&amp;P)'!Q6991,
    IF(lien="First",1.00,
        IF(lien="Second",1.50,
            1.70)))</f>
        <v/>
      </c>
      <c r="K6991">
        <f>LET(
    purpose,'Loan Tape (S&amp;P)'!R6991,
    IF(purpose="Purchase",1.00,
        IF(purpose="Remortgage",1.00,
            1.20)))</f>
        <v/>
      </c>
      <c r="L6991">
        <f>LET(
    arrears_months,'Loan Tape (S&amp;P)'!AN6991,
    IF(arrears_months=0,1.00,
    IF(arrears_months=1,3.00,
    IF(arrears_months=2,5.00,
    IF(arrears_months=3,8.00,
    IF(arrears_months=4,10.00,
    IF(arrears_months=5,12.00,15.00)))))))</f>
        <v/>
      </c>
      <c r="M6991">
        <f>LET(
    seasoning_years,DATEDIF('Loan Tape (S&amp;P)'!K6991,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91">
        <f>IF(AND('Loan Tape (S&amp;P)'!U6991="Yes",
        'Loan Tape (S&amp;P)'!T6991&lt;&gt;"Yes",
        DATEDIF('Loan Tape (S&amp;P)'!K6991, TODAY(), "M")&lt;18),
    1.10,
    1.00)</f>
        <v/>
      </c>
      <c r="O6991">
        <f>IF('Loan Tape (S&amp;P)'!T6991="Yes",
    1.35,
    1.00)</f>
        <v/>
      </c>
      <c r="P6991">
        <f>IF('Loan Tape (S&amp;P)'!S6991="Yes",
    1.15,
    1.00)</f>
        <v/>
      </c>
      <c r="Q6991">
        <f>IF('Loan Tape (S&amp;P)'!V6991="Yes",
    1.20,
    1.00)</f>
        <v/>
      </c>
      <c r="T6991">
        <f>LET(
    payment_method,'Loan Tape (S&amp;P)'!P6991,
    occupancy,'Loan Tape (S&amp;P)'!N6991,
    maturity_date,'Loan Tape (S&amp;P)'!L6991,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92">
      <c r="J6992">
        <f>LET(
    lien,'Loan Tape (S&amp;P)'!Q6992,
    IF(lien="First",1.00,
        IF(lien="Second",1.50,
            1.70)))</f>
        <v/>
      </c>
      <c r="K6992">
        <f>LET(
    purpose,'Loan Tape (S&amp;P)'!R6992,
    IF(purpose="Purchase",1.00,
        IF(purpose="Remortgage",1.00,
            1.20)))</f>
        <v/>
      </c>
      <c r="L6992">
        <f>LET(
    arrears_months,'Loan Tape (S&amp;P)'!AN6992,
    IF(arrears_months=0,1.00,
    IF(arrears_months=1,3.00,
    IF(arrears_months=2,5.00,
    IF(arrears_months=3,8.00,
    IF(arrears_months=4,10.00,
    IF(arrears_months=5,12.00,15.00)))))))</f>
        <v/>
      </c>
      <c r="M6992">
        <f>LET(
    seasoning_years,DATEDIF('Loan Tape (S&amp;P)'!K6992,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92">
        <f>IF(AND('Loan Tape (S&amp;P)'!U6992="Yes",
        'Loan Tape (S&amp;P)'!T6992&lt;&gt;"Yes",
        DATEDIF('Loan Tape (S&amp;P)'!K6992, TODAY(), "M")&lt;18),
    1.10,
    1.00)</f>
        <v/>
      </c>
      <c r="O6992">
        <f>IF('Loan Tape (S&amp;P)'!T6992="Yes",
    1.35,
    1.00)</f>
        <v/>
      </c>
      <c r="P6992">
        <f>IF('Loan Tape (S&amp;P)'!S6992="Yes",
    1.15,
    1.00)</f>
        <v/>
      </c>
      <c r="Q6992">
        <f>IF('Loan Tape (S&amp;P)'!V6992="Yes",
    1.20,
    1.00)</f>
        <v/>
      </c>
      <c r="T6992">
        <f>LET(
    payment_method,'Loan Tape (S&amp;P)'!P6992,
    occupancy,'Loan Tape (S&amp;P)'!N6992,
    maturity_date,'Loan Tape (S&amp;P)'!L6992,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93">
      <c r="J6993">
        <f>LET(
    lien,'Loan Tape (S&amp;P)'!Q6993,
    IF(lien="First",1.00,
        IF(lien="Second",1.50,
            1.70)))</f>
        <v/>
      </c>
      <c r="K6993">
        <f>LET(
    purpose,'Loan Tape (S&amp;P)'!R6993,
    IF(purpose="Purchase",1.00,
        IF(purpose="Remortgage",1.00,
            1.20)))</f>
        <v/>
      </c>
      <c r="L6993">
        <f>LET(
    arrears_months,'Loan Tape (S&amp;P)'!AN6993,
    IF(arrears_months=0,1.00,
    IF(arrears_months=1,3.00,
    IF(arrears_months=2,5.00,
    IF(arrears_months=3,8.00,
    IF(arrears_months=4,10.00,
    IF(arrears_months=5,12.00,15.00)))))))</f>
        <v/>
      </c>
      <c r="M6993">
        <f>LET(
    seasoning_years,DATEDIF('Loan Tape (S&amp;P)'!K6993,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93">
        <f>IF(AND('Loan Tape (S&amp;P)'!U6993="Yes",
        'Loan Tape (S&amp;P)'!T6993&lt;&gt;"Yes",
        DATEDIF('Loan Tape (S&amp;P)'!K6993, TODAY(), "M")&lt;18),
    1.10,
    1.00)</f>
        <v/>
      </c>
      <c r="O6993">
        <f>IF('Loan Tape (S&amp;P)'!T6993="Yes",
    1.35,
    1.00)</f>
        <v/>
      </c>
      <c r="P6993">
        <f>IF('Loan Tape (S&amp;P)'!S6993="Yes",
    1.15,
    1.00)</f>
        <v/>
      </c>
      <c r="Q6993">
        <f>IF('Loan Tape (S&amp;P)'!V6993="Yes",
    1.20,
    1.00)</f>
        <v/>
      </c>
      <c r="T6993">
        <f>LET(
    payment_method,'Loan Tape (S&amp;P)'!P6993,
    occupancy,'Loan Tape (S&amp;P)'!N6993,
    maturity_date,'Loan Tape (S&amp;P)'!L6993,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94">
      <c r="J6994">
        <f>LET(
    lien,'Loan Tape (S&amp;P)'!Q6994,
    IF(lien="First",1.00,
        IF(lien="Second",1.50,
            1.70)))</f>
        <v/>
      </c>
      <c r="K6994">
        <f>LET(
    purpose,'Loan Tape (S&amp;P)'!R6994,
    IF(purpose="Purchase",1.00,
        IF(purpose="Remortgage",1.00,
            1.20)))</f>
        <v/>
      </c>
      <c r="L6994">
        <f>LET(
    arrears_months,'Loan Tape (S&amp;P)'!AN6994,
    IF(arrears_months=0,1.00,
    IF(arrears_months=1,3.00,
    IF(arrears_months=2,5.00,
    IF(arrears_months=3,8.00,
    IF(arrears_months=4,10.00,
    IF(arrears_months=5,12.00,15.00)))))))</f>
        <v/>
      </c>
      <c r="M6994">
        <f>LET(
    seasoning_years,DATEDIF('Loan Tape (S&amp;P)'!K6994,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94">
        <f>IF(AND('Loan Tape (S&amp;P)'!U6994="Yes",
        'Loan Tape (S&amp;P)'!T6994&lt;&gt;"Yes",
        DATEDIF('Loan Tape (S&amp;P)'!K6994, TODAY(), "M")&lt;18),
    1.10,
    1.00)</f>
        <v/>
      </c>
      <c r="O6994">
        <f>IF('Loan Tape (S&amp;P)'!T6994="Yes",
    1.35,
    1.00)</f>
        <v/>
      </c>
      <c r="P6994">
        <f>IF('Loan Tape (S&amp;P)'!S6994="Yes",
    1.15,
    1.00)</f>
        <v/>
      </c>
      <c r="Q6994">
        <f>IF('Loan Tape (S&amp;P)'!V6994="Yes",
    1.20,
    1.00)</f>
        <v/>
      </c>
      <c r="T6994">
        <f>LET(
    payment_method,'Loan Tape (S&amp;P)'!P6994,
    occupancy,'Loan Tape (S&amp;P)'!N6994,
    maturity_date,'Loan Tape (S&amp;P)'!L6994,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95">
      <c r="J6995">
        <f>LET(
    lien,'Loan Tape (S&amp;P)'!Q6995,
    IF(lien="First",1.00,
        IF(lien="Second",1.50,
            1.70)))</f>
        <v/>
      </c>
      <c r="K6995">
        <f>LET(
    purpose,'Loan Tape (S&amp;P)'!R6995,
    IF(purpose="Purchase",1.00,
        IF(purpose="Remortgage",1.00,
            1.20)))</f>
        <v/>
      </c>
      <c r="L6995">
        <f>LET(
    arrears_months,'Loan Tape (S&amp;P)'!AN6995,
    IF(arrears_months=0,1.00,
    IF(arrears_months=1,3.00,
    IF(arrears_months=2,5.00,
    IF(arrears_months=3,8.00,
    IF(arrears_months=4,10.00,
    IF(arrears_months=5,12.00,15.00)))))))</f>
        <v/>
      </c>
      <c r="M6995">
        <f>LET(
    seasoning_years,DATEDIF('Loan Tape (S&amp;P)'!K6995,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95">
        <f>IF(AND('Loan Tape (S&amp;P)'!U6995="Yes",
        'Loan Tape (S&amp;P)'!T6995&lt;&gt;"Yes",
        DATEDIF('Loan Tape (S&amp;P)'!K6995, TODAY(), "M")&lt;18),
    1.10,
    1.00)</f>
        <v/>
      </c>
      <c r="O6995">
        <f>IF('Loan Tape (S&amp;P)'!T6995="Yes",
    1.35,
    1.00)</f>
        <v/>
      </c>
      <c r="P6995">
        <f>IF('Loan Tape (S&amp;P)'!S6995="Yes",
    1.15,
    1.00)</f>
        <v/>
      </c>
      <c r="Q6995">
        <f>IF('Loan Tape (S&amp;P)'!V6995="Yes",
    1.20,
    1.00)</f>
        <v/>
      </c>
      <c r="T6995">
        <f>LET(
    payment_method,'Loan Tape (S&amp;P)'!P6995,
    occupancy,'Loan Tape (S&amp;P)'!N6995,
    maturity_date,'Loan Tape (S&amp;P)'!L6995,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96">
      <c r="J6996">
        <f>LET(
    lien,'Loan Tape (S&amp;P)'!Q6996,
    IF(lien="First",1.00,
        IF(lien="Second",1.50,
            1.70)))</f>
        <v/>
      </c>
      <c r="K6996">
        <f>LET(
    purpose,'Loan Tape (S&amp;P)'!R6996,
    IF(purpose="Purchase",1.00,
        IF(purpose="Remortgage",1.00,
            1.20)))</f>
        <v/>
      </c>
      <c r="L6996">
        <f>LET(
    arrears_months,'Loan Tape (S&amp;P)'!AN6996,
    IF(arrears_months=0,1.00,
    IF(arrears_months=1,3.00,
    IF(arrears_months=2,5.00,
    IF(arrears_months=3,8.00,
    IF(arrears_months=4,10.00,
    IF(arrears_months=5,12.00,15.00)))))))</f>
        <v/>
      </c>
      <c r="M6996">
        <f>LET(
    seasoning_years,DATEDIF('Loan Tape (S&amp;P)'!K6996,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96">
        <f>IF(AND('Loan Tape (S&amp;P)'!U6996="Yes",
        'Loan Tape (S&amp;P)'!T6996&lt;&gt;"Yes",
        DATEDIF('Loan Tape (S&amp;P)'!K6996, TODAY(), "M")&lt;18),
    1.10,
    1.00)</f>
        <v/>
      </c>
      <c r="O6996">
        <f>IF('Loan Tape (S&amp;P)'!T6996="Yes",
    1.35,
    1.00)</f>
        <v/>
      </c>
      <c r="P6996">
        <f>IF('Loan Tape (S&amp;P)'!S6996="Yes",
    1.15,
    1.00)</f>
        <v/>
      </c>
      <c r="Q6996">
        <f>IF('Loan Tape (S&amp;P)'!V6996="Yes",
    1.20,
    1.00)</f>
        <v/>
      </c>
      <c r="T6996">
        <f>LET(
    payment_method,'Loan Tape (S&amp;P)'!P6996,
    occupancy,'Loan Tape (S&amp;P)'!N6996,
    maturity_date,'Loan Tape (S&amp;P)'!L6996,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97">
      <c r="J6997">
        <f>LET(
    lien,'Loan Tape (S&amp;P)'!Q6997,
    IF(lien="First",1.00,
        IF(lien="Second",1.50,
            1.70)))</f>
        <v/>
      </c>
      <c r="K6997">
        <f>LET(
    purpose,'Loan Tape (S&amp;P)'!R6997,
    IF(purpose="Purchase",1.00,
        IF(purpose="Remortgage",1.00,
            1.20)))</f>
        <v/>
      </c>
      <c r="L6997">
        <f>LET(
    arrears_months,'Loan Tape (S&amp;P)'!AN6997,
    IF(arrears_months=0,1.00,
    IF(arrears_months=1,3.00,
    IF(arrears_months=2,5.00,
    IF(arrears_months=3,8.00,
    IF(arrears_months=4,10.00,
    IF(arrears_months=5,12.00,15.00)))))))</f>
        <v/>
      </c>
      <c r="M6997">
        <f>LET(
    seasoning_years,DATEDIF('Loan Tape (S&amp;P)'!K6997,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97">
        <f>IF(AND('Loan Tape (S&amp;P)'!U6997="Yes",
        'Loan Tape (S&amp;P)'!T6997&lt;&gt;"Yes",
        DATEDIF('Loan Tape (S&amp;P)'!K6997, TODAY(), "M")&lt;18),
    1.10,
    1.00)</f>
        <v/>
      </c>
      <c r="O6997">
        <f>IF('Loan Tape (S&amp;P)'!T6997="Yes",
    1.35,
    1.00)</f>
        <v/>
      </c>
      <c r="P6997">
        <f>IF('Loan Tape (S&amp;P)'!S6997="Yes",
    1.15,
    1.00)</f>
        <v/>
      </c>
      <c r="Q6997">
        <f>IF('Loan Tape (S&amp;P)'!V6997="Yes",
    1.20,
    1.00)</f>
        <v/>
      </c>
      <c r="T6997">
        <f>LET(
    payment_method,'Loan Tape (S&amp;P)'!P6997,
    occupancy,'Loan Tape (S&amp;P)'!N6997,
    maturity_date,'Loan Tape (S&amp;P)'!L6997,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98">
      <c r="J6998">
        <f>LET(
    lien,'Loan Tape (S&amp;P)'!Q6998,
    IF(lien="First",1.00,
        IF(lien="Second",1.50,
            1.70)))</f>
        <v/>
      </c>
      <c r="K6998">
        <f>LET(
    purpose,'Loan Tape (S&amp;P)'!R6998,
    IF(purpose="Purchase",1.00,
        IF(purpose="Remortgage",1.00,
            1.20)))</f>
        <v/>
      </c>
      <c r="L6998">
        <f>LET(
    arrears_months,'Loan Tape (S&amp;P)'!AN6998,
    IF(arrears_months=0,1.00,
    IF(arrears_months=1,3.00,
    IF(arrears_months=2,5.00,
    IF(arrears_months=3,8.00,
    IF(arrears_months=4,10.00,
    IF(arrears_months=5,12.00,15.00)))))))</f>
        <v/>
      </c>
      <c r="M6998">
        <f>LET(
    seasoning_years,DATEDIF('Loan Tape (S&amp;P)'!K6998,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98">
        <f>IF(AND('Loan Tape (S&amp;P)'!U6998="Yes",
        'Loan Tape (S&amp;P)'!T6998&lt;&gt;"Yes",
        DATEDIF('Loan Tape (S&amp;P)'!K6998, TODAY(), "M")&lt;18),
    1.10,
    1.00)</f>
        <v/>
      </c>
      <c r="O6998">
        <f>IF('Loan Tape (S&amp;P)'!T6998="Yes",
    1.35,
    1.00)</f>
        <v/>
      </c>
      <c r="P6998">
        <f>IF('Loan Tape (S&amp;P)'!S6998="Yes",
    1.15,
    1.00)</f>
        <v/>
      </c>
      <c r="Q6998">
        <f>IF('Loan Tape (S&amp;P)'!V6998="Yes",
    1.20,
    1.00)</f>
        <v/>
      </c>
      <c r="T6998">
        <f>LET(
    payment_method,'Loan Tape (S&amp;P)'!P6998,
    occupancy,'Loan Tape (S&amp;P)'!N6998,
    maturity_date,'Loan Tape (S&amp;P)'!L6998,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6999">
      <c r="J6999">
        <f>LET(
    lien,'Loan Tape (S&amp;P)'!Q6999,
    IF(lien="First",1.00,
        IF(lien="Second",1.50,
            1.70)))</f>
        <v/>
      </c>
      <c r="K6999">
        <f>LET(
    purpose,'Loan Tape (S&amp;P)'!R6999,
    IF(purpose="Purchase",1.00,
        IF(purpose="Remortgage",1.00,
            1.20)))</f>
        <v/>
      </c>
      <c r="L6999">
        <f>LET(
    arrears_months,'Loan Tape (S&amp;P)'!AN6999,
    IF(arrears_months=0,1.00,
    IF(arrears_months=1,3.00,
    IF(arrears_months=2,5.00,
    IF(arrears_months=3,8.00,
    IF(arrears_months=4,10.00,
    IF(arrears_months=5,12.00,15.00)))))))</f>
        <v/>
      </c>
      <c r="M6999">
        <f>LET(
    seasoning_years,DATEDIF('Loan Tape (S&amp;P)'!K6999,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6999">
        <f>IF(AND('Loan Tape (S&amp;P)'!U6999="Yes",
        'Loan Tape (S&amp;P)'!T6999&lt;&gt;"Yes",
        DATEDIF('Loan Tape (S&amp;P)'!K6999, TODAY(), "M")&lt;18),
    1.10,
    1.00)</f>
        <v/>
      </c>
      <c r="O6999">
        <f>IF('Loan Tape (S&amp;P)'!T6999="Yes",
    1.35,
    1.00)</f>
        <v/>
      </c>
      <c r="P6999">
        <f>IF('Loan Tape (S&amp;P)'!S6999="Yes",
    1.15,
    1.00)</f>
        <v/>
      </c>
      <c r="Q6999">
        <f>IF('Loan Tape (S&amp;P)'!V6999="Yes",
    1.20,
    1.00)</f>
        <v/>
      </c>
      <c r="T6999">
        <f>LET(
    payment_method,'Loan Tape (S&amp;P)'!P6999,
    occupancy,'Loan Tape (S&amp;P)'!N6999,
    maturity_date,'Loan Tape (S&amp;P)'!L6999,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00">
      <c r="J7000">
        <f>LET(
    lien,'Loan Tape (S&amp;P)'!Q7000,
    IF(lien="First",1.00,
        IF(lien="Second",1.50,
            1.70)))</f>
        <v/>
      </c>
      <c r="K7000">
        <f>LET(
    purpose,'Loan Tape (S&amp;P)'!R7000,
    IF(purpose="Purchase",1.00,
        IF(purpose="Remortgage",1.00,
            1.20)))</f>
        <v/>
      </c>
      <c r="L7000">
        <f>LET(
    arrears_months,'Loan Tape (S&amp;P)'!AN7000,
    IF(arrears_months=0,1.00,
    IF(arrears_months=1,3.00,
    IF(arrears_months=2,5.00,
    IF(arrears_months=3,8.00,
    IF(arrears_months=4,10.00,
    IF(arrears_months=5,12.00,15.00)))))))</f>
        <v/>
      </c>
      <c r="M7000">
        <f>LET(
    seasoning_years,DATEDIF('Loan Tape (S&amp;P)'!K7000,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00">
        <f>IF(AND('Loan Tape (S&amp;P)'!U7000="Yes",
        'Loan Tape (S&amp;P)'!T7000&lt;&gt;"Yes",
        DATEDIF('Loan Tape (S&amp;P)'!K7000, TODAY(), "M")&lt;18),
    1.10,
    1.00)</f>
        <v/>
      </c>
      <c r="O7000">
        <f>IF('Loan Tape (S&amp;P)'!T7000="Yes",
    1.35,
    1.00)</f>
        <v/>
      </c>
      <c r="P7000">
        <f>IF('Loan Tape (S&amp;P)'!S7000="Yes",
    1.15,
    1.00)</f>
        <v/>
      </c>
      <c r="Q7000">
        <f>IF('Loan Tape (S&amp;P)'!V7000="Yes",
    1.20,
    1.00)</f>
        <v/>
      </c>
      <c r="T7000">
        <f>LET(
    payment_method,'Loan Tape (S&amp;P)'!P7000,
    occupancy,'Loan Tape (S&amp;P)'!N7000,
    maturity_date,'Loan Tape (S&amp;P)'!L7000,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01">
      <c r="J7001">
        <f>LET(
    lien,'Loan Tape (S&amp;P)'!Q7001,
    IF(lien="First",1.00,
        IF(lien="Second",1.50,
            1.70)))</f>
        <v/>
      </c>
      <c r="K7001">
        <f>LET(
    purpose,'Loan Tape (S&amp;P)'!R7001,
    IF(purpose="Purchase",1.00,
        IF(purpose="Remortgage",1.00,
            1.20)))</f>
        <v/>
      </c>
      <c r="L7001">
        <f>LET(
    arrears_months,'Loan Tape (S&amp;P)'!AN7001,
    IF(arrears_months=0,1.00,
    IF(arrears_months=1,3.00,
    IF(arrears_months=2,5.00,
    IF(arrears_months=3,8.00,
    IF(arrears_months=4,10.00,
    IF(arrears_months=5,12.00,15.00)))))))</f>
        <v/>
      </c>
      <c r="M7001">
        <f>LET(
    seasoning_years,DATEDIF('Loan Tape (S&amp;P)'!K7001,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01">
        <f>IF(AND('Loan Tape (S&amp;P)'!U7001="Yes",
        'Loan Tape (S&amp;P)'!T7001&lt;&gt;"Yes",
        DATEDIF('Loan Tape (S&amp;P)'!K7001, TODAY(), "M")&lt;18),
    1.10,
    1.00)</f>
        <v/>
      </c>
      <c r="O7001">
        <f>IF('Loan Tape (S&amp;P)'!T7001="Yes",
    1.35,
    1.00)</f>
        <v/>
      </c>
      <c r="P7001">
        <f>IF('Loan Tape (S&amp;P)'!S7001="Yes",
    1.15,
    1.00)</f>
        <v/>
      </c>
      <c r="Q7001">
        <f>IF('Loan Tape (S&amp;P)'!V7001="Yes",
    1.20,
    1.00)</f>
        <v/>
      </c>
      <c r="T7001">
        <f>LET(
    payment_method,'Loan Tape (S&amp;P)'!P7001,
    occupancy,'Loan Tape (S&amp;P)'!N7001,
    maturity_date,'Loan Tape (S&amp;P)'!L7001,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02">
      <c r="J7002">
        <f>LET(
    lien,'Loan Tape (S&amp;P)'!Q7002,
    IF(lien="First",1.00,
        IF(lien="Second",1.50,
            1.70)))</f>
        <v/>
      </c>
      <c r="K7002">
        <f>LET(
    purpose,'Loan Tape (S&amp;P)'!R7002,
    IF(purpose="Purchase",1.00,
        IF(purpose="Remortgage",1.00,
            1.20)))</f>
        <v/>
      </c>
      <c r="L7002">
        <f>LET(
    arrears_months,'Loan Tape (S&amp;P)'!AN7002,
    IF(arrears_months=0,1.00,
    IF(arrears_months=1,3.00,
    IF(arrears_months=2,5.00,
    IF(arrears_months=3,8.00,
    IF(arrears_months=4,10.00,
    IF(arrears_months=5,12.00,15.00)))))))</f>
        <v/>
      </c>
      <c r="M7002">
        <f>LET(
    seasoning_years,DATEDIF('Loan Tape (S&amp;P)'!K7002,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02">
        <f>IF(AND('Loan Tape (S&amp;P)'!U7002="Yes",
        'Loan Tape (S&amp;P)'!T7002&lt;&gt;"Yes",
        DATEDIF('Loan Tape (S&amp;P)'!K7002, TODAY(), "M")&lt;18),
    1.10,
    1.00)</f>
        <v/>
      </c>
      <c r="O7002">
        <f>IF('Loan Tape (S&amp;P)'!T7002="Yes",
    1.35,
    1.00)</f>
        <v/>
      </c>
      <c r="P7002">
        <f>IF('Loan Tape (S&amp;P)'!S7002="Yes",
    1.15,
    1.00)</f>
        <v/>
      </c>
      <c r="Q7002">
        <f>IF('Loan Tape (S&amp;P)'!V7002="Yes",
    1.20,
    1.00)</f>
        <v/>
      </c>
      <c r="T7002">
        <f>LET(
    payment_method,'Loan Tape (S&amp;P)'!P7002,
    occupancy,'Loan Tape (S&amp;P)'!N7002,
    maturity_date,'Loan Tape (S&amp;P)'!L7002,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03">
      <c r="J7003">
        <f>LET(
    lien,'Loan Tape (S&amp;P)'!Q7003,
    IF(lien="First",1.00,
        IF(lien="Second",1.50,
            1.70)))</f>
        <v/>
      </c>
      <c r="K7003">
        <f>LET(
    purpose,'Loan Tape (S&amp;P)'!R7003,
    IF(purpose="Purchase",1.00,
        IF(purpose="Remortgage",1.00,
            1.20)))</f>
        <v/>
      </c>
      <c r="L7003">
        <f>LET(
    arrears_months,'Loan Tape (S&amp;P)'!AN7003,
    IF(arrears_months=0,1.00,
    IF(arrears_months=1,3.00,
    IF(arrears_months=2,5.00,
    IF(arrears_months=3,8.00,
    IF(arrears_months=4,10.00,
    IF(arrears_months=5,12.00,15.00)))))))</f>
        <v/>
      </c>
      <c r="M7003">
        <f>LET(
    seasoning_years,DATEDIF('Loan Tape (S&amp;P)'!K7003,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03">
        <f>IF(AND('Loan Tape (S&amp;P)'!U7003="Yes",
        'Loan Tape (S&amp;P)'!T7003&lt;&gt;"Yes",
        DATEDIF('Loan Tape (S&amp;P)'!K7003, TODAY(), "M")&lt;18),
    1.10,
    1.00)</f>
        <v/>
      </c>
      <c r="O7003">
        <f>IF('Loan Tape (S&amp;P)'!T7003="Yes",
    1.35,
    1.00)</f>
        <v/>
      </c>
      <c r="P7003">
        <f>IF('Loan Tape (S&amp;P)'!S7003="Yes",
    1.15,
    1.00)</f>
        <v/>
      </c>
      <c r="Q7003">
        <f>IF('Loan Tape (S&amp;P)'!V7003="Yes",
    1.20,
    1.00)</f>
        <v/>
      </c>
      <c r="T7003">
        <f>LET(
    payment_method,'Loan Tape (S&amp;P)'!P7003,
    occupancy,'Loan Tape (S&amp;P)'!N7003,
    maturity_date,'Loan Tape (S&amp;P)'!L7003,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04">
      <c r="J7004">
        <f>LET(
    lien,'Loan Tape (S&amp;P)'!Q7004,
    IF(lien="First",1.00,
        IF(lien="Second",1.50,
            1.70)))</f>
        <v/>
      </c>
      <c r="K7004">
        <f>LET(
    purpose,'Loan Tape (S&amp;P)'!R7004,
    IF(purpose="Purchase",1.00,
        IF(purpose="Remortgage",1.00,
            1.20)))</f>
        <v/>
      </c>
      <c r="L7004">
        <f>LET(
    arrears_months,'Loan Tape (S&amp;P)'!AN7004,
    IF(arrears_months=0,1.00,
    IF(arrears_months=1,3.00,
    IF(arrears_months=2,5.00,
    IF(arrears_months=3,8.00,
    IF(arrears_months=4,10.00,
    IF(arrears_months=5,12.00,15.00)))))))</f>
        <v/>
      </c>
      <c r="M7004">
        <f>LET(
    seasoning_years,DATEDIF('Loan Tape (S&amp;P)'!K7004,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04">
        <f>IF(AND('Loan Tape (S&amp;P)'!U7004="Yes",
        'Loan Tape (S&amp;P)'!T7004&lt;&gt;"Yes",
        DATEDIF('Loan Tape (S&amp;P)'!K7004, TODAY(), "M")&lt;18),
    1.10,
    1.00)</f>
        <v/>
      </c>
      <c r="O7004">
        <f>IF('Loan Tape (S&amp;P)'!T7004="Yes",
    1.35,
    1.00)</f>
        <v/>
      </c>
      <c r="P7004">
        <f>IF('Loan Tape (S&amp;P)'!S7004="Yes",
    1.15,
    1.00)</f>
        <v/>
      </c>
      <c r="Q7004">
        <f>IF('Loan Tape (S&amp;P)'!V7004="Yes",
    1.20,
    1.00)</f>
        <v/>
      </c>
      <c r="T7004">
        <f>LET(
    payment_method,'Loan Tape (S&amp;P)'!P7004,
    occupancy,'Loan Tape (S&amp;P)'!N7004,
    maturity_date,'Loan Tape (S&amp;P)'!L7004,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05">
      <c r="J7005">
        <f>LET(
    lien,'Loan Tape (S&amp;P)'!Q7005,
    IF(lien="First",1.00,
        IF(lien="Second",1.50,
            1.70)))</f>
        <v/>
      </c>
      <c r="K7005">
        <f>LET(
    purpose,'Loan Tape (S&amp;P)'!R7005,
    IF(purpose="Purchase",1.00,
        IF(purpose="Remortgage",1.00,
            1.20)))</f>
        <v/>
      </c>
      <c r="L7005">
        <f>LET(
    arrears_months,'Loan Tape (S&amp;P)'!AN7005,
    IF(arrears_months=0,1.00,
    IF(arrears_months=1,3.00,
    IF(arrears_months=2,5.00,
    IF(arrears_months=3,8.00,
    IF(arrears_months=4,10.00,
    IF(arrears_months=5,12.00,15.00)))))))</f>
        <v/>
      </c>
      <c r="M7005">
        <f>LET(
    seasoning_years,DATEDIF('Loan Tape (S&amp;P)'!K7005,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05">
        <f>IF(AND('Loan Tape (S&amp;P)'!U7005="Yes",
        'Loan Tape (S&amp;P)'!T7005&lt;&gt;"Yes",
        DATEDIF('Loan Tape (S&amp;P)'!K7005, TODAY(), "M")&lt;18),
    1.10,
    1.00)</f>
        <v/>
      </c>
      <c r="O7005">
        <f>IF('Loan Tape (S&amp;P)'!T7005="Yes",
    1.35,
    1.00)</f>
        <v/>
      </c>
      <c r="P7005">
        <f>IF('Loan Tape (S&amp;P)'!S7005="Yes",
    1.15,
    1.00)</f>
        <v/>
      </c>
      <c r="Q7005">
        <f>IF('Loan Tape (S&amp;P)'!V7005="Yes",
    1.20,
    1.00)</f>
        <v/>
      </c>
      <c r="T7005">
        <f>LET(
    payment_method,'Loan Tape (S&amp;P)'!P7005,
    occupancy,'Loan Tape (S&amp;P)'!N7005,
    maturity_date,'Loan Tape (S&amp;P)'!L7005,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06">
      <c r="J7006">
        <f>LET(
    lien,'Loan Tape (S&amp;P)'!Q7006,
    IF(lien="First",1.00,
        IF(lien="Second",1.50,
            1.70)))</f>
        <v/>
      </c>
      <c r="K7006">
        <f>LET(
    purpose,'Loan Tape (S&amp;P)'!R7006,
    IF(purpose="Purchase",1.00,
        IF(purpose="Remortgage",1.00,
            1.20)))</f>
        <v/>
      </c>
      <c r="L7006">
        <f>LET(
    arrears_months,'Loan Tape (S&amp;P)'!AN7006,
    IF(arrears_months=0,1.00,
    IF(arrears_months=1,3.00,
    IF(arrears_months=2,5.00,
    IF(arrears_months=3,8.00,
    IF(arrears_months=4,10.00,
    IF(arrears_months=5,12.00,15.00)))))))</f>
        <v/>
      </c>
      <c r="M7006">
        <f>LET(
    seasoning_years,DATEDIF('Loan Tape (S&amp;P)'!K7006,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06">
        <f>IF(AND('Loan Tape (S&amp;P)'!U7006="Yes",
        'Loan Tape (S&amp;P)'!T7006&lt;&gt;"Yes",
        DATEDIF('Loan Tape (S&amp;P)'!K7006, TODAY(), "M")&lt;18),
    1.10,
    1.00)</f>
        <v/>
      </c>
      <c r="O7006">
        <f>IF('Loan Tape (S&amp;P)'!T7006="Yes",
    1.35,
    1.00)</f>
        <v/>
      </c>
      <c r="P7006">
        <f>IF('Loan Tape (S&amp;P)'!S7006="Yes",
    1.15,
    1.00)</f>
        <v/>
      </c>
      <c r="Q7006">
        <f>IF('Loan Tape (S&amp;P)'!V7006="Yes",
    1.20,
    1.00)</f>
        <v/>
      </c>
      <c r="T7006">
        <f>LET(
    payment_method,'Loan Tape (S&amp;P)'!P7006,
    occupancy,'Loan Tape (S&amp;P)'!N7006,
    maturity_date,'Loan Tape (S&amp;P)'!L7006,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07">
      <c r="J7007">
        <f>LET(
    lien,'Loan Tape (S&amp;P)'!Q7007,
    IF(lien="First",1.00,
        IF(lien="Second",1.50,
            1.70)))</f>
        <v/>
      </c>
      <c r="K7007">
        <f>LET(
    purpose,'Loan Tape (S&amp;P)'!R7007,
    IF(purpose="Purchase",1.00,
        IF(purpose="Remortgage",1.00,
            1.20)))</f>
        <v/>
      </c>
      <c r="L7007">
        <f>LET(
    arrears_months,'Loan Tape (S&amp;P)'!AN7007,
    IF(arrears_months=0,1.00,
    IF(arrears_months=1,3.00,
    IF(arrears_months=2,5.00,
    IF(arrears_months=3,8.00,
    IF(arrears_months=4,10.00,
    IF(arrears_months=5,12.00,15.00)))))))</f>
        <v/>
      </c>
      <c r="M7007">
        <f>LET(
    seasoning_years,DATEDIF('Loan Tape (S&amp;P)'!K7007,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07">
        <f>IF(AND('Loan Tape (S&amp;P)'!U7007="Yes",
        'Loan Tape (S&amp;P)'!T7007&lt;&gt;"Yes",
        DATEDIF('Loan Tape (S&amp;P)'!K7007, TODAY(), "M")&lt;18),
    1.10,
    1.00)</f>
        <v/>
      </c>
      <c r="O7007">
        <f>IF('Loan Tape (S&amp;P)'!T7007="Yes",
    1.35,
    1.00)</f>
        <v/>
      </c>
      <c r="P7007">
        <f>IF('Loan Tape (S&amp;P)'!S7007="Yes",
    1.15,
    1.00)</f>
        <v/>
      </c>
      <c r="Q7007">
        <f>IF('Loan Tape (S&amp;P)'!V7007="Yes",
    1.20,
    1.00)</f>
        <v/>
      </c>
      <c r="T7007">
        <f>LET(
    payment_method,'Loan Tape (S&amp;P)'!P7007,
    occupancy,'Loan Tape (S&amp;P)'!N7007,
    maturity_date,'Loan Tape (S&amp;P)'!L7007,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08">
      <c r="J7008">
        <f>LET(
    lien,'Loan Tape (S&amp;P)'!Q7008,
    IF(lien="First",1.00,
        IF(lien="Second",1.50,
            1.70)))</f>
        <v/>
      </c>
      <c r="K7008">
        <f>LET(
    purpose,'Loan Tape (S&amp;P)'!R7008,
    IF(purpose="Purchase",1.00,
        IF(purpose="Remortgage",1.00,
            1.20)))</f>
        <v/>
      </c>
      <c r="L7008">
        <f>LET(
    arrears_months,'Loan Tape (S&amp;P)'!AN7008,
    IF(arrears_months=0,1.00,
    IF(arrears_months=1,3.00,
    IF(arrears_months=2,5.00,
    IF(arrears_months=3,8.00,
    IF(arrears_months=4,10.00,
    IF(arrears_months=5,12.00,15.00)))))))</f>
        <v/>
      </c>
      <c r="M7008">
        <f>LET(
    seasoning_years,DATEDIF('Loan Tape (S&amp;P)'!K7008,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08">
        <f>IF(AND('Loan Tape (S&amp;P)'!U7008="Yes",
        'Loan Tape (S&amp;P)'!T7008&lt;&gt;"Yes",
        DATEDIF('Loan Tape (S&amp;P)'!K7008, TODAY(), "M")&lt;18),
    1.10,
    1.00)</f>
        <v/>
      </c>
      <c r="O7008">
        <f>IF('Loan Tape (S&amp;P)'!T7008="Yes",
    1.35,
    1.00)</f>
        <v/>
      </c>
      <c r="P7008">
        <f>IF('Loan Tape (S&amp;P)'!S7008="Yes",
    1.15,
    1.00)</f>
        <v/>
      </c>
      <c r="Q7008">
        <f>IF('Loan Tape (S&amp;P)'!V7008="Yes",
    1.20,
    1.00)</f>
        <v/>
      </c>
      <c r="T7008">
        <f>LET(
    payment_method,'Loan Tape (S&amp;P)'!P7008,
    occupancy,'Loan Tape (S&amp;P)'!N7008,
    maturity_date,'Loan Tape (S&amp;P)'!L7008,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09">
      <c r="J7009">
        <f>LET(
    lien,'Loan Tape (S&amp;P)'!Q7009,
    IF(lien="First",1.00,
        IF(lien="Second",1.50,
            1.70)))</f>
        <v/>
      </c>
      <c r="K7009">
        <f>LET(
    purpose,'Loan Tape (S&amp;P)'!R7009,
    IF(purpose="Purchase",1.00,
        IF(purpose="Remortgage",1.00,
            1.20)))</f>
        <v/>
      </c>
      <c r="L7009">
        <f>LET(
    arrears_months,'Loan Tape (S&amp;P)'!AN7009,
    IF(arrears_months=0,1.00,
    IF(arrears_months=1,3.00,
    IF(arrears_months=2,5.00,
    IF(arrears_months=3,8.00,
    IF(arrears_months=4,10.00,
    IF(arrears_months=5,12.00,15.00)))))))</f>
        <v/>
      </c>
      <c r="M7009">
        <f>LET(
    seasoning_years,DATEDIF('Loan Tape (S&amp;P)'!K7009,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09">
        <f>IF(AND('Loan Tape (S&amp;P)'!U7009="Yes",
        'Loan Tape (S&amp;P)'!T7009&lt;&gt;"Yes",
        DATEDIF('Loan Tape (S&amp;P)'!K7009, TODAY(), "M")&lt;18),
    1.10,
    1.00)</f>
        <v/>
      </c>
      <c r="O7009">
        <f>IF('Loan Tape (S&amp;P)'!T7009="Yes",
    1.35,
    1.00)</f>
        <v/>
      </c>
      <c r="P7009">
        <f>IF('Loan Tape (S&amp;P)'!S7009="Yes",
    1.15,
    1.00)</f>
        <v/>
      </c>
      <c r="Q7009">
        <f>IF('Loan Tape (S&amp;P)'!V7009="Yes",
    1.20,
    1.00)</f>
        <v/>
      </c>
      <c r="T7009">
        <f>LET(
    payment_method,'Loan Tape (S&amp;P)'!P7009,
    occupancy,'Loan Tape (S&amp;P)'!N7009,
    maturity_date,'Loan Tape (S&amp;P)'!L7009,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10">
      <c r="J7010">
        <f>LET(
    lien,'Loan Tape (S&amp;P)'!Q7010,
    IF(lien="First",1.00,
        IF(lien="Second",1.50,
            1.70)))</f>
        <v/>
      </c>
      <c r="K7010">
        <f>LET(
    purpose,'Loan Tape (S&amp;P)'!R7010,
    IF(purpose="Purchase",1.00,
        IF(purpose="Remortgage",1.00,
            1.20)))</f>
        <v/>
      </c>
      <c r="L7010">
        <f>LET(
    arrears_months,'Loan Tape (S&amp;P)'!AN7010,
    IF(arrears_months=0,1.00,
    IF(arrears_months=1,3.00,
    IF(arrears_months=2,5.00,
    IF(arrears_months=3,8.00,
    IF(arrears_months=4,10.00,
    IF(arrears_months=5,12.00,15.00)))))))</f>
        <v/>
      </c>
      <c r="M7010">
        <f>LET(
    seasoning_years,DATEDIF('Loan Tape (S&amp;P)'!K7010,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10">
        <f>IF(AND('Loan Tape (S&amp;P)'!U7010="Yes",
        'Loan Tape (S&amp;P)'!T7010&lt;&gt;"Yes",
        DATEDIF('Loan Tape (S&amp;P)'!K7010, TODAY(), "M")&lt;18),
    1.10,
    1.00)</f>
        <v/>
      </c>
      <c r="O7010">
        <f>IF('Loan Tape (S&amp;P)'!T7010="Yes",
    1.35,
    1.00)</f>
        <v/>
      </c>
      <c r="P7010">
        <f>IF('Loan Tape (S&amp;P)'!S7010="Yes",
    1.15,
    1.00)</f>
        <v/>
      </c>
      <c r="Q7010">
        <f>IF('Loan Tape (S&amp;P)'!V7010="Yes",
    1.20,
    1.00)</f>
        <v/>
      </c>
      <c r="T7010">
        <f>LET(
    payment_method,'Loan Tape (S&amp;P)'!P7010,
    occupancy,'Loan Tape (S&amp;P)'!N7010,
    maturity_date,'Loan Tape (S&amp;P)'!L7010,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11">
      <c r="J7011">
        <f>LET(
    lien,'Loan Tape (S&amp;P)'!Q7011,
    IF(lien="First",1.00,
        IF(lien="Second",1.50,
            1.70)))</f>
        <v/>
      </c>
      <c r="K7011">
        <f>LET(
    purpose,'Loan Tape (S&amp;P)'!R7011,
    IF(purpose="Purchase",1.00,
        IF(purpose="Remortgage",1.00,
            1.20)))</f>
        <v/>
      </c>
      <c r="L7011">
        <f>LET(
    arrears_months,'Loan Tape (S&amp;P)'!AN7011,
    IF(arrears_months=0,1.00,
    IF(arrears_months=1,3.00,
    IF(arrears_months=2,5.00,
    IF(arrears_months=3,8.00,
    IF(arrears_months=4,10.00,
    IF(arrears_months=5,12.00,15.00)))))))</f>
        <v/>
      </c>
      <c r="M7011">
        <f>LET(
    seasoning_years,DATEDIF('Loan Tape (S&amp;P)'!K7011,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11">
        <f>IF(AND('Loan Tape (S&amp;P)'!U7011="Yes",
        'Loan Tape (S&amp;P)'!T7011&lt;&gt;"Yes",
        DATEDIF('Loan Tape (S&amp;P)'!K7011, TODAY(), "M")&lt;18),
    1.10,
    1.00)</f>
        <v/>
      </c>
      <c r="O7011">
        <f>IF('Loan Tape (S&amp;P)'!T7011="Yes",
    1.35,
    1.00)</f>
        <v/>
      </c>
      <c r="P7011">
        <f>IF('Loan Tape (S&amp;P)'!S7011="Yes",
    1.15,
    1.00)</f>
        <v/>
      </c>
      <c r="Q7011">
        <f>IF('Loan Tape (S&amp;P)'!V7011="Yes",
    1.20,
    1.00)</f>
        <v/>
      </c>
      <c r="T7011">
        <f>LET(
    payment_method,'Loan Tape (S&amp;P)'!P7011,
    occupancy,'Loan Tape (S&amp;P)'!N7011,
    maturity_date,'Loan Tape (S&amp;P)'!L7011,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12">
      <c r="J7012">
        <f>LET(
    lien,'Loan Tape (S&amp;P)'!Q7012,
    IF(lien="First",1.00,
        IF(lien="Second",1.50,
            1.70)))</f>
        <v/>
      </c>
      <c r="K7012">
        <f>LET(
    purpose,'Loan Tape (S&amp;P)'!R7012,
    IF(purpose="Purchase",1.00,
        IF(purpose="Remortgage",1.00,
            1.20)))</f>
        <v/>
      </c>
      <c r="L7012">
        <f>LET(
    arrears_months,'Loan Tape (S&amp;P)'!AN7012,
    IF(arrears_months=0,1.00,
    IF(arrears_months=1,3.00,
    IF(arrears_months=2,5.00,
    IF(arrears_months=3,8.00,
    IF(arrears_months=4,10.00,
    IF(arrears_months=5,12.00,15.00)))))))</f>
        <v/>
      </c>
      <c r="M7012">
        <f>LET(
    seasoning_years,DATEDIF('Loan Tape (S&amp;P)'!K7012,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12">
        <f>IF(AND('Loan Tape (S&amp;P)'!U7012="Yes",
        'Loan Tape (S&amp;P)'!T7012&lt;&gt;"Yes",
        DATEDIF('Loan Tape (S&amp;P)'!K7012, TODAY(), "M")&lt;18),
    1.10,
    1.00)</f>
        <v/>
      </c>
      <c r="O7012">
        <f>IF('Loan Tape (S&amp;P)'!T7012="Yes",
    1.35,
    1.00)</f>
        <v/>
      </c>
      <c r="P7012">
        <f>IF('Loan Tape (S&amp;P)'!S7012="Yes",
    1.15,
    1.00)</f>
        <v/>
      </c>
      <c r="Q7012">
        <f>IF('Loan Tape (S&amp;P)'!V7012="Yes",
    1.20,
    1.00)</f>
        <v/>
      </c>
      <c r="T7012">
        <f>LET(
    payment_method,'Loan Tape (S&amp;P)'!P7012,
    occupancy,'Loan Tape (S&amp;P)'!N7012,
    maturity_date,'Loan Tape (S&amp;P)'!L7012,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13">
      <c r="J7013">
        <f>LET(
    lien,'Loan Tape (S&amp;P)'!Q7013,
    IF(lien="First",1.00,
        IF(lien="Second",1.50,
            1.70)))</f>
        <v/>
      </c>
      <c r="K7013">
        <f>LET(
    purpose,'Loan Tape (S&amp;P)'!R7013,
    IF(purpose="Purchase",1.00,
        IF(purpose="Remortgage",1.00,
            1.20)))</f>
        <v/>
      </c>
      <c r="L7013">
        <f>LET(
    arrears_months,'Loan Tape (S&amp;P)'!AN7013,
    IF(arrears_months=0,1.00,
    IF(arrears_months=1,3.00,
    IF(arrears_months=2,5.00,
    IF(arrears_months=3,8.00,
    IF(arrears_months=4,10.00,
    IF(arrears_months=5,12.00,15.00)))))))</f>
        <v/>
      </c>
      <c r="M7013">
        <f>LET(
    seasoning_years,DATEDIF('Loan Tape (S&amp;P)'!K7013,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13">
        <f>IF(AND('Loan Tape (S&amp;P)'!U7013="Yes",
        'Loan Tape (S&amp;P)'!T7013&lt;&gt;"Yes",
        DATEDIF('Loan Tape (S&amp;P)'!K7013, TODAY(), "M")&lt;18),
    1.10,
    1.00)</f>
        <v/>
      </c>
      <c r="O7013">
        <f>IF('Loan Tape (S&amp;P)'!T7013="Yes",
    1.35,
    1.00)</f>
        <v/>
      </c>
      <c r="P7013">
        <f>IF('Loan Tape (S&amp;P)'!S7013="Yes",
    1.15,
    1.00)</f>
        <v/>
      </c>
      <c r="Q7013">
        <f>IF('Loan Tape (S&amp;P)'!V7013="Yes",
    1.20,
    1.00)</f>
        <v/>
      </c>
      <c r="T7013">
        <f>LET(
    payment_method,'Loan Tape (S&amp;P)'!P7013,
    occupancy,'Loan Tape (S&amp;P)'!N7013,
    maturity_date,'Loan Tape (S&amp;P)'!L7013,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14">
      <c r="J7014">
        <f>LET(
    lien,'Loan Tape (S&amp;P)'!Q7014,
    IF(lien="First",1.00,
        IF(lien="Second",1.50,
            1.70)))</f>
        <v/>
      </c>
      <c r="K7014">
        <f>LET(
    purpose,'Loan Tape (S&amp;P)'!R7014,
    IF(purpose="Purchase",1.00,
        IF(purpose="Remortgage",1.00,
            1.20)))</f>
        <v/>
      </c>
      <c r="L7014">
        <f>LET(
    arrears_months,'Loan Tape (S&amp;P)'!AN7014,
    IF(arrears_months=0,1.00,
    IF(arrears_months=1,3.00,
    IF(arrears_months=2,5.00,
    IF(arrears_months=3,8.00,
    IF(arrears_months=4,10.00,
    IF(arrears_months=5,12.00,15.00)))))))</f>
        <v/>
      </c>
      <c r="M7014">
        <f>LET(
    seasoning_years,DATEDIF('Loan Tape (S&amp;P)'!K7014,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14">
        <f>IF(AND('Loan Tape (S&amp;P)'!U7014="Yes",
        'Loan Tape (S&amp;P)'!T7014&lt;&gt;"Yes",
        DATEDIF('Loan Tape (S&amp;P)'!K7014, TODAY(), "M")&lt;18),
    1.10,
    1.00)</f>
        <v/>
      </c>
      <c r="O7014">
        <f>IF('Loan Tape (S&amp;P)'!T7014="Yes",
    1.35,
    1.00)</f>
        <v/>
      </c>
      <c r="P7014">
        <f>IF('Loan Tape (S&amp;P)'!S7014="Yes",
    1.15,
    1.00)</f>
        <v/>
      </c>
      <c r="Q7014">
        <f>IF('Loan Tape (S&amp;P)'!V7014="Yes",
    1.20,
    1.00)</f>
        <v/>
      </c>
      <c r="T7014">
        <f>LET(
    payment_method,'Loan Tape (S&amp;P)'!P7014,
    occupancy,'Loan Tape (S&amp;P)'!N7014,
    maturity_date,'Loan Tape (S&amp;P)'!L7014,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15">
      <c r="J7015">
        <f>LET(
    lien,'Loan Tape (S&amp;P)'!Q7015,
    IF(lien="First",1.00,
        IF(lien="Second",1.50,
            1.70)))</f>
        <v/>
      </c>
      <c r="K7015">
        <f>LET(
    purpose,'Loan Tape (S&amp;P)'!R7015,
    IF(purpose="Purchase",1.00,
        IF(purpose="Remortgage",1.00,
            1.20)))</f>
        <v/>
      </c>
      <c r="L7015">
        <f>LET(
    arrears_months,'Loan Tape (S&amp;P)'!AN7015,
    IF(arrears_months=0,1.00,
    IF(arrears_months=1,3.00,
    IF(arrears_months=2,5.00,
    IF(arrears_months=3,8.00,
    IF(arrears_months=4,10.00,
    IF(arrears_months=5,12.00,15.00)))))))</f>
        <v/>
      </c>
      <c r="M7015">
        <f>LET(
    seasoning_years,DATEDIF('Loan Tape (S&amp;P)'!K7015,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15">
        <f>IF(AND('Loan Tape (S&amp;P)'!U7015="Yes",
        'Loan Tape (S&amp;P)'!T7015&lt;&gt;"Yes",
        DATEDIF('Loan Tape (S&amp;P)'!K7015, TODAY(), "M")&lt;18),
    1.10,
    1.00)</f>
        <v/>
      </c>
      <c r="O7015">
        <f>IF('Loan Tape (S&amp;P)'!T7015="Yes",
    1.35,
    1.00)</f>
        <v/>
      </c>
      <c r="P7015">
        <f>IF('Loan Tape (S&amp;P)'!S7015="Yes",
    1.15,
    1.00)</f>
        <v/>
      </c>
      <c r="Q7015">
        <f>IF('Loan Tape (S&amp;P)'!V7015="Yes",
    1.20,
    1.00)</f>
        <v/>
      </c>
      <c r="T7015">
        <f>LET(
    payment_method,'Loan Tape (S&amp;P)'!P7015,
    occupancy,'Loan Tape (S&amp;P)'!N7015,
    maturity_date,'Loan Tape (S&amp;P)'!L7015,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16">
      <c r="J7016">
        <f>LET(
    lien,'Loan Tape (S&amp;P)'!Q7016,
    IF(lien="First",1.00,
        IF(lien="Second",1.50,
            1.70)))</f>
        <v/>
      </c>
      <c r="K7016">
        <f>LET(
    purpose,'Loan Tape (S&amp;P)'!R7016,
    IF(purpose="Purchase",1.00,
        IF(purpose="Remortgage",1.00,
            1.20)))</f>
        <v/>
      </c>
      <c r="L7016">
        <f>LET(
    arrears_months,'Loan Tape (S&amp;P)'!AN7016,
    IF(arrears_months=0,1.00,
    IF(arrears_months=1,3.00,
    IF(arrears_months=2,5.00,
    IF(arrears_months=3,8.00,
    IF(arrears_months=4,10.00,
    IF(arrears_months=5,12.00,15.00)))))))</f>
        <v/>
      </c>
      <c r="M7016">
        <f>LET(
    seasoning_years,DATEDIF('Loan Tape (S&amp;P)'!K7016,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16">
        <f>IF(AND('Loan Tape (S&amp;P)'!U7016="Yes",
        'Loan Tape (S&amp;P)'!T7016&lt;&gt;"Yes",
        DATEDIF('Loan Tape (S&amp;P)'!K7016, TODAY(), "M")&lt;18),
    1.10,
    1.00)</f>
        <v/>
      </c>
      <c r="O7016">
        <f>IF('Loan Tape (S&amp;P)'!T7016="Yes",
    1.35,
    1.00)</f>
        <v/>
      </c>
      <c r="P7016">
        <f>IF('Loan Tape (S&amp;P)'!S7016="Yes",
    1.15,
    1.00)</f>
        <v/>
      </c>
      <c r="Q7016">
        <f>IF('Loan Tape (S&amp;P)'!V7016="Yes",
    1.20,
    1.00)</f>
        <v/>
      </c>
      <c r="T7016">
        <f>LET(
    payment_method,'Loan Tape (S&amp;P)'!P7016,
    occupancy,'Loan Tape (S&amp;P)'!N7016,
    maturity_date,'Loan Tape (S&amp;P)'!L7016,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17">
      <c r="J7017">
        <f>LET(
    lien,'Loan Tape (S&amp;P)'!Q7017,
    IF(lien="First",1.00,
        IF(lien="Second",1.50,
            1.70)))</f>
        <v/>
      </c>
      <c r="K7017">
        <f>LET(
    purpose,'Loan Tape (S&amp;P)'!R7017,
    IF(purpose="Purchase",1.00,
        IF(purpose="Remortgage",1.00,
            1.20)))</f>
        <v/>
      </c>
      <c r="L7017">
        <f>LET(
    arrears_months,'Loan Tape (S&amp;P)'!AN7017,
    IF(arrears_months=0,1.00,
    IF(arrears_months=1,3.00,
    IF(arrears_months=2,5.00,
    IF(arrears_months=3,8.00,
    IF(arrears_months=4,10.00,
    IF(arrears_months=5,12.00,15.00)))))))</f>
        <v/>
      </c>
      <c r="M7017">
        <f>LET(
    seasoning_years,DATEDIF('Loan Tape (S&amp;P)'!K7017,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17">
        <f>IF(AND('Loan Tape (S&amp;P)'!U7017="Yes",
        'Loan Tape (S&amp;P)'!T7017&lt;&gt;"Yes",
        DATEDIF('Loan Tape (S&amp;P)'!K7017, TODAY(), "M")&lt;18),
    1.10,
    1.00)</f>
        <v/>
      </c>
      <c r="O7017">
        <f>IF('Loan Tape (S&amp;P)'!T7017="Yes",
    1.35,
    1.00)</f>
        <v/>
      </c>
      <c r="P7017">
        <f>IF('Loan Tape (S&amp;P)'!S7017="Yes",
    1.15,
    1.00)</f>
        <v/>
      </c>
      <c r="Q7017">
        <f>IF('Loan Tape (S&amp;P)'!V7017="Yes",
    1.20,
    1.00)</f>
        <v/>
      </c>
      <c r="T7017">
        <f>LET(
    payment_method,'Loan Tape (S&amp;P)'!P7017,
    occupancy,'Loan Tape (S&amp;P)'!N7017,
    maturity_date,'Loan Tape (S&amp;P)'!L7017,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18">
      <c r="J7018">
        <f>LET(
    lien,'Loan Tape (S&amp;P)'!Q7018,
    IF(lien="First",1.00,
        IF(lien="Second",1.50,
            1.70)))</f>
        <v/>
      </c>
      <c r="K7018">
        <f>LET(
    purpose,'Loan Tape (S&amp;P)'!R7018,
    IF(purpose="Purchase",1.00,
        IF(purpose="Remortgage",1.00,
            1.20)))</f>
        <v/>
      </c>
      <c r="L7018">
        <f>LET(
    arrears_months,'Loan Tape (S&amp;P)'!AN7018,
    IF(arrears_months=0,1.00,
    IF(arrears_months=1,3.00,
    IF(arrears_months=2,5.00,
    IF(arrears_months=3,8.00,
    IF(arrears_months=4,10.00,
    IF(arrears_months=5,12.00,15.00)))))))</f>
        <v/>
      </c>
      <c r="M7018">
        <f>LET(
    seasoning_years,DATEDIF('Loan Tape (S&amp;P)'!K7018,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18">
        <f>IF(AND('Loan Tape (S&amp;P)'!U7018="Yes",
        'Loan Tape (S&amp;P)'!T7018&lt;&gt;"Yes",
        DATEDIF('Loan Tape (S&amp;P)'!K7018, TODAY(), "M")&lt;18),
    1.10,
    1.00)</f>
        <v/>
      </c>
      <c r="O7018">
        <f>IF('Loan Tape (S&amp;P)'!T7018="Yes",
    1.35,
    1.00)</f>
        <v/>
      </c>
      <c r="P7018">
        <f>IF('Loan Tape (S&amp;P)'!S7018="Yes",
    1.15,
    1.00)</f>
        <v/>
      </c>
      <c r="Q7018">
        <f>IF('Loan Tape (S&amp;P)'!V7018="Yes",
    1.20,
    1.00)</f>
        <v/>
      </c>
      <c r="T7018">
        <f>LET(
    payment_method,'Loan Tape (S&amp;P)'!P7018,
    occupancy,'Loan Tape (S&amp;P)'!N7018,
    maturity_date,'Loan Tape (S&amp;P)'!L7018,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19">
      <c r="J7019">
        <f>LET(
    lien,'Loan Tape (S&amp;P)'!Q7019,
    IF(lien="First",1.00,
        IF(lien="Second",1.50,
            1.70)))</f>
        <v/>
      </c>
      <c r="K7019">
        <f>LET(
    purpose,'Loan Tape (S&amp;P)'!R7019,
    IF(purpose="Purchase",1.00,
        IF(purpose="Remortgage",1.00,
            1.20)))</f>
        <v/>
      </c>
      <c r="L7019">
        <f>LET(
    arrears_months,'Loan Tape (S&amp;P)'!AN7019,
    IF(arrears_months=0,1.00,
    IF(arrears_months=1,3.00,
    IF(arrears_months=2,5.00,
    IF(arrears_months=3,8.00,
    IF(arrears_months=4,10.00,
    IF(arrears_months=5,12.00,15.00)))))))</f>
        <v/>
      </c>
      <c r="M7019">
        <f>LET(
    seasoning_years,DATEDIF('Loan Tape (S&amp;P)'!K7019,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19">
        <f>IF(AND('Loan Tape (S&amp;P)'!U7019="Yes",
        'Loan Tape (S&amp;P)'!T7019&lt;&gt;"Yes",
        DATEDIF('Loan Tape (S&amp;P)'!K7019, TODAY(), "M")&lt;18),
    1.10,
    1.00)</f>
        <v/>
      </c>
      <c r="O7019">
        <f>IF('Loan Tape (S&amp;P)'!T7019="Yes",
    1.35,
    1.00)</f>
        <v/>
      </c>
      <c r="P7019">
        <f>IF('Loan Tape (S&amp;P)'!S7019="Yes",
    1.15,
    1.00)</f>
        <v/>
      </c>
      <c r="Q7019">
        <f>IF('Loan Tape (S&amp;P)'!V7019="Yes",
    1.20,
    1.00)</f>
        <v/>
      </c>
      <c r="T7019">
        <f>LET(
    payment_method,'Loan Tape (S&amp;P)'!P7019,
    occupancy,'Loan Tape (S&amp;P)'!N7019,
    maturity_date,'Loan Tape (S&amp;P)'!L7019,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20">
      <c r="J7020">
        <f>LET(
    lien,'Loan Tape (S&amp;P)'!Q7020,
    IF(lien="First",1.00,
        IF(lien="Second",1.50,
            1.70)))</f>
        <v/>
      </c>
      <c r="K7020">
        <f>LET(
    purpose,'Loan Tape (S&amp;P)'!R7020,
    IF(purpose="Purchase",1.00,
        IF(purpose="Remortgage",1.00,
            1.20)))</f>
        <v/>
      </c>
      <c r="L7020">
        <f>LET(
    arrears_months,'Loan Tape (S&amp;P)'!AN7020,
    IF(arrears_months=0,1.00,
    IF(arrears_months=1,3.00,
    IF(arrears_months=2,5.00,
    IF(arrears_months=3,8.00,
    IF(arrears_months=4,10.00,
    IF(arrears_months=5,12.00,15.00)))))))</f>
        <v/>
      </c>
      <c r="M7020">
        <f>LET(
    seasoning_years,DATEDIF('Loan Tape (S&amp;P)'!K7020,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20">
        <f>IF(AND('Loan Tape (S&amp;P)'!U7020="Yes",
        'Loan Tape (S&amp;P)'!T7020&lt;&gt;"Yes",
        DATEDIF('Loan Tape (S&amp;P)'!K7020, TODAY(), "M")&lt;18),
    1.10,
    1.00)</f>
        <v/>
      </c>
      <c r="O7020">
        <f>IF('Loan Tape (S&amp;P)'!T7020="Yes",
    1.35,
    1.00)</f>
        <v/>
      </c>
      <c r="P7020">
        <f>IF('Loan Tape (S&amp;P)'!S7020="Yes",
    1.15,
    1.00)</f>
        <v/>
      </c>
      <c r="Q7020">
        <f>IF('Loan Tape (S&amp;P)'!V7020="Yes",
    1.20,
    1.00)</f>
        <v/>
      </c>
      <c r="T7020">
        <f>LET(
    payment_method,'Loan Tape (S&amp;P)'!P7020,
    occupancy,'Loan Tape (S&amp;P)'!N7020,
    maturity_date,'Loan Tape (S&amp;P)'!L7020,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21">
      <c r="J7021">
        <f>LET(
    lien,'Loan Tape (S&amp;P)'!Q7021,
    IF(lien="First",1.00,
        IF(lien="Second",1.50,
            1.70)))</f>
        <v/>
      </c>
      <c r="K7021">
        <f>LET(
    purpose,'Loan Tape (S&amp;P)'!R7021,
    IF(purpose="Purchase",1.00,
        IF(purpose="Remortgage",1.00,
            1.20)))</f>
        <v/>
      </c>
      <c r="L7021">
        <f>LET(
    arrears_months,'Loan Tape (S&amp;P)'!AN7021,
    IF(arrears_months=0,1.00,
    IF(arrears_months=1,3.00,
    IF(arrears_months=2,5.00,
    IF(arrears_months=3,8.00,
    IF(arrears_months=4,10.00,
    IF(arrears_months=5,12.00,15.00)))))))</f>
        <v/>
      </c>
      <c r="M7021">
        <f>LET(
    seasoning_years,DATEDIF('Loan Tape (S&amp;P)'!K7021,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21">
        <f>IF(AND('Loan Tape (S&amp;P)'!U7021="Yes",
        'Loan Tape (S&amp;P)'!T7021&lt;&gt;"Yes",
        DATEDIF('Loan Tape (S&amp;P)'!K7021, TODAY(), "M")&lt;18),
    1.10,
    1.00)</f>
        <v/>
      </c>
      <c r="O7021">
        <f>IF('Loan Tape (S&amp;P)'!T7021="Yes",
    1.35,
    1.00)</f>
        <v/>
      </c>
      <c r="P7021">
        <f>IF('Loan Tape (S&amp;P)'!S7021="Yes",
    1.15,
    1.00)</f>
        <v/>
      </c>
      <c r="Q7021">
        <f>IF('Loan Tape (S&amp;P)'!V7021="Yes",
    1.20,
    1.00)</f>
        <v/>
      </c>
      <c r="T7021">
        <f>LET(
    payment_method,'Loan Tape (S&amp;P)'!P7021,
    occupancy,'Loan Tape (S&amp;P)'!N7021,
    maturity_date,'Loan Tape (S&amp;P)'!L7021,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22">
      <c r="J7022">
        <f>LET(
    lien,'Loan Tape (S&amp;P)'!Q7022,
    IF(lien="First",1.00,
        IF(lien="Second",1.50,
            1.70)))</f>
        <v/>
      </c>
      <c r="K7022">
        <f>LET(
    purpose,'Loan Tape (S&amp;P)'!R7022,
    IF(purpose="Purchase",1.00,
        IF(purpose="Remortgage",1.00,
            1.20)))</f>
        <v/>
      </c>
      <c r="L7022">
        <f>LET(
    arrears_months,'Loan Tape (S&amp;P)'!AN7022,
    IF(arrears_months=0,1.00,
    IF(arrears_months=1,3.00,
    IF(arrears_months=2,5.00,
    IF(arrears_months=3,8.00,
    IF(arrears_months=4,10.00,
    IF(arrears_months=5,12.00,15.00)))))))</f>
        <v/>
      </c>
      <c r="M7022">
        <f>LET(
    seasoning_years,DATEDIF('Loan Tape (S&amp;P)'!K7022,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22">
        <f>IF(AND('Loan Tape (S&amp;P)'!U7022="Yes",
        'Loan Tape (S&amp;P)'!T7022&lt;&gt;"Yes",
        DATEDIF('Loan Tape (S&amp;P)'!K7022, TODAY(), "M")&lt;18),
    1.10,
    1.00)</f>
        <v/>
      </c>
      <c r="O7022">
        <f>IF('Loan Tape (S&amp;P)'!T7022="Yes",
    1.35,
    1.00)</f>
        <v/>
      </c>
      <c r="P7022">
        <f>IF('Loan Tape (S&amp;P)'!S7022="Yes",
    1.15,
    1.00)</f>
        <v/>
      </c>
      <c r="Q7022">
        <f>IF('Loan Tape (S&amp;P)'!V7022="Yes",
    1.20,
    1.00)</f>
        <v/>
      </c>
      <c r="T7022">
        <f>LET(
    payment_method,'Loan Tape (S&amp;P)'!P7022,
    occupancy,'Loan Tape (S&amp;P)'!N7022,
    maturity_date,'Loan Tape (S&amp;P)'!L7022,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23">
      <c r="J7023">
        <f>LET(
    lien,'Loan Tape (S&amp;P)'!Q7023,
    IF(lien="First",1.00,
        IF(lien="Second",1.50,
            1.70)))</f>
        <v/>
      </c>
      <c r="K7023">
        <f>LET(
    purpose,'Loan Tape (S&amp;P)'!R7023,
    IF(purpose="Purchase",1.00,
        IF(purpose="Remortgage",1.00,
            1.20)))</f>
        <v/>
      </c>
      <c r="L7023">
        <f>LET(
    arrears_months,'Loan Tape (S&amp;P)'!AN7023,
    IF(arrears_months=0,1.00,
    IF(arrears_months=1,3.00,
    IF(arrears_months=2,5.00,
    IF(arrears_months=3,8.00,
    IF(arrears_months=4,10.00,
    IF(arrears_months=5,12.00,15.00)))))))</f>
        <v/>
      </c>
      <c r="M7023">
        <f>LET(
    seasoning_years,DATEDIF('Loan Tape (S&amp;P)'!K7023,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23">
        <f>IF(AND('Loan Tape (S&amp;P)'!U7023="Yes",
        'Loan Tape (S&amp;P)'!T7023&lt;&gt;"Yes",
        DATEDIF('Loan Tape (S&amp;P)'!K7023, TODAY(), "M")&lt;18),
    1.10,
    1.00)</f>
        <v/>
      </c>
      <c r="O7023">
        <f>IF('Loan Tape (S&amp;P)'!T7023="Yes",
    1.35,
    1.00)</f>
        <v/>
      </c>
      <c r="P7023">
        <f>IF('Loan Tape (S&amp;P)'!S7023="Yes",
    1.15,
    1.00)</f>
        <v/>
      </c>
      <c r="Q7023">
        <f>IF('Loan Tape (S&amp;P)'!V7023="Yes",
    1.20,
    1.00)</f>
        <v/>
      </c>
      <c r="T7023">
        <f>LET(
    payment_method,'Loan Tape (S&amp;P)'!P7023,
    occupancy,'Loan Tape (S&amp;P)'!N7023,
    maturity_date,'Loan Tape (S&amp;P)'!L7023,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24">
      <c r="J7024">
        <f>LET(
    lien,'Loan Tape (S&amp;P)'!Q7024,
    IF(lien="First",1.00,
        IF(lien="Second",1.50,
            1.70)))</f>
        <v/>
      </c>
      <c r="K7024">
        <f>LET(
    purpose,'Loan Tape (S&amp;P)'!R7024,
    IF(purpose="Purchase",1.00,
        IF(purpose="Remortgage",1.00,
            1.20)))</f>
        <v/>
      </c>
      <c r="L7024">
        <f>LET(
    arrears_months,'Loan Tape (S&amp;P)'!AN7024,
    IF(arrears_months=0,1.00,
    IF(arrears_months=1,3.00,
    IF(arrears_months=2,5.00,
    IF(arrears_months=3,8.00,
    IF(arrears_months=4,10.00,
    IF(arrears_months=5,12.00,15.00)))))))</f>
        <v/>
      </c>
      <c r="M7024">
        <f>LET(
    seasoning_years,DATEDIF('Loan Tape (S&amp;P)'!K7024,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24">
        <f>IF(AND('Loan Tape (S&amp;P)'!U7024="Yes",
        'Loan Tape (S&amp;P)'!T7024&lt;&gt;"Yes",
        DATEDIF('Loan Tape (S&amp;P)'!K7024, TODAY(), "M")&lt;18),
    1.10,
    1.00)</f>
        <v/>
      </c>
      <c r="O7024">
        <f>IF('Loan Tape (S&amp;P)'!T7024="Yes",
    1.35,
    1.00)</f>
        <v/>
      </c>
      <c r="P7024">
        <f>IF('Loan Tape (S&amp;P)'!S7024="Yes",
    1.15,
    1.00)</f>
        <v/>
      </c>
      <c r="Q7024">
        <f>IF('Loan Tape (S&amp;P)'!V7024="Yes",
    1.20,
    1.00)</f>
        <v/>
      </c>
      <c r="T7024">
        <f>LET(
    payment_method,'Loan Tape (S&amp;P)'!P7024,
    occupancy,'Loan Tape (S&amp;P)'!N7024,
    maturity_date,'Loan Tape (S&amp;P)'!L7024,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25">
      <c r="J7025">
        <f>LET(
    lien,'Loan Tape (S&amp;P)'!Q7025,
    IF(lien="First",1.00,
        IF(lien="Second",1.50,
            1.70)))</f>
        <v/>
      </c>
      <c r="K7025">
        <f>LET(
    purpose,'Loan Tape (S&amp;P)'!R7025,
    IF(purpose="Purchase",1.00,
        IF(purpose="Remortgage",1.00,
            1.20)))</f>
        <v/>
      </c>
      <c r="L7025">
        <f>LET(
    arrears_months,'Loan Tape (S&amp;P)'!AN7025,
    IF(arrears_months=0,1.00,
    IF(arrears_months=1,3.00,
    IF(arrears_months=2,5.00,
    IF(arrears_months=3,8.00,
    IF(arrears_months=4,10.00,
    IF(arrears_months=5,12.00,15.00)))))))</f>
        <v/>
      </c>
      <c r="M7025">
        <f>LET(
    seasoning_years,DATEDIF('Loan Tape (S&amp;P)'!K7025,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25">
        <f>IF(AND('Loan Tape (S&amp;P)'!U7025="Yes",
        'Loan Tape (S&amp;P)'!T7025&lt;&gt;"Yes",
        DATEDIF('Loan Tape (S&amp;P)'!K7025, TODAY(), "M")&lt;18),
    1.10,
    1.00)</f>
        <v/>
      </c>
      <c r="O7025">
        <f>IF('Loan Tape (S&amp;P)'!T7025="Yes",
    1.35,
    1.00)</f>
        <v/>
      </c>
      <c r="P7025">
        <f>IF('Loan Tape (S&amp;P)'!S7025="Yes",
    1.15,
    1.00)</f>
        <v/>
      </c>
      <c r="Q7025">
        <f>IF('Loan Tape (S&amp;P)'!V7025="Yes",
    1.20,
    1.00)</f>
        <v/>
      </c>
      <c r="T7025">
        <f>LET(
    payment_method,'Loan Tape (S&amp;P)'!P7025,
    occupancy,'Loan Tape (S&amp;P)'!N7025,
    maturity_date,'Loan Tape (S&amp;P)'!L7025,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26">
      <c r="J7026">
        <f>LET(
    lien,'Loan Tape (S&amp;P)'!Q7026,
    IF(lien="First",1.00,
        IF(lien="Second",1.50,
            1.70)))</f>
        <v/>
      </c>
      <c r="K7026">
        <f>LET(
    purpose,'Loan Tape (S&amp;P)'!R7026,
    IF(purpose="Purchase",1.00,
        IF(purpose="Remortgage",1.00,
            1.20)))</f>
        <v/>
      </c>
      <c r="L7026">
        <f>LET(
    arrears_months,'Loan Tape (S&amp;P)'!AN7026,
    IF(arrears_months=0,1.00,
    IF(arrears_months=1,3.00,
    IF(arrears_months=2,5.00,
    IF(arrears_months=3,8.00,
    IF(arrears_months=4,10.00,
    IF(arrears_months=5,12.00,15.00)))))))</f>
        <v/>
      </c>
      <c r="M7026">
        <f>LET(
    seasoning_years,DATEDIF('Loan Tape (S&amp;P)'!K7026,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26">
        <f>IF(AND('Loan Tape (S&amp;P)'!U7026="Yes",
        'Loan Tape (S&amp;P)'!T7026&lt;&gt;"Yes",
        DATEDIF('Loan Tape (S&amp;P)'!K7026, TODAY(), "M")&lt;18),
    1.10,
    1.00)</f>
        <v/>
      </c>
      <c r="O7026">
        <f>IF('Loan Tape (S&amp;P)'!T7026="Yes",
    1.35,
    1.00)</f>
        <v/>
      </c>
      <c r="P7026">
        <f>IF('Loan Tape (S&amp;P)'!S7026="Yes",
    1.15,
    1.00)</f>
        <v/>
      </c>
      <c r="Q7026">
        <f>IF('Loan Tape (S&amp;P)'!V7026="Yes",
    1.20,
    1.00)</f>
        <v/>
      </c>
      <c r="T7026">
        <f>LET(
    payment_method,'Loan Tape (S&amp;P)'!P7026,
    occupancy,'Loan Tape (S&amp;P)'!N7026,
    maturity_date,'Loan Tape (S&amp;P)'!L7026,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27">
      <c r="J7027">
        <f>LET(
    lien,'Loan Tape (S&amp;P)'!Q7027,
    IF(lien="First",1.00,
        IF(lien="Second",1.50,
            1.70)))</f>
        <v/>
      </c>
      <c r="K7027">
        <f>LET(
    purpose,'Loan Tape (S&amp;P)'!R7027,
    IF(purpose="Purchase",1.00,
        IF(purpose="Remortgage",1.00,
            1.20)))</f>
        <v/>
      </c>
      <c r="L7027">
        <f>LET(
    arrears_months,'Loan Tape (S&amp;P)'!AN7027,
    IF(arrears_months=0,1.00,
    IF(arrears_months=1,3.00,
    IF(arrears_months=2,5.00,
    IF(arrears_months=3,8.00,
    IF(arrears_months=4,10.00,
    IF(arrears_months=5,12.00,15.00)))))))</f>
        <v/>
      </c>
      <c r="M7027">
        <f>LET(
    seasoning_years,DATEDIF('Loan Tape (S&amp;P)'!K7027,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27">
        <f>IF(AND('Loan Tape (S&amp;P)'!U7027="Yes",
        'Loan Tape (S&amp;P)'!T7027&lt;&gt;"Yes",
        DATEDIF('Loan Tape (S&amp;P)'!K7027, TODAY(), "M")&lt;18),
    1.10,
    1.00)</f>
        <v/>
      </c>
      <c r="O7027">
        <f>IF('Loan Tape (S&amp;P)'!T7027="Yes",
    1.35,
    1.00)</f>
        <v/>
      </c>
      <c r="P7027">
        <f>IF('Loan Tape (S&amp;P)'!S7027="Yes",
    1.15,
    1.00)</f>
        <v/>
      </c>
      <c r="Q7027">
        <f>IF('Loan Tape (S&amp;P)'!V7027="Yes",
    1.20,
    1.00)</f>
        <v/>
      </c>
      <c r="T7027">
        <f>LET(
    payment_method,'Loan Tape (S&amp;P)'!P7027,
    occupancy,'Loan Tape (S&amp;P)'!N7027,
    maturity_date,'Loan Tape (S&amp;P)'!L7027,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28">
      <c r="J7028">
        <f>LET(
    lien,'Loan Tape (S&amp;P)'!Q7028,
    IF(lien="First",1.00,
        IF(lien="Second",1.50,
            1.70)))</f>
        <v/>
      </c>
      <c r="K7028">
        <f>LET(
    purpose,'Loan Tape (S&amp;P)'!R7028,
    IF(purpose="Purchase",1.00,
        IF(purpose="Remortgage",1.00,
            1.20)))</f>
        <v/>
      </c>
      <c r="L7028">
        <f>LET(
    arrears_months,'Loan Tape (S&amp;P)'!AN7028,
    IF(arrears_months=0,1.00,
    IF(arrears_months=1,3.00,
    IF(arrears_months=2,5.00,
    IF(arrears_months=3,8.00,
    IF(arrears_months=4,10.00,
    IF(arrears_months=5,12.00,15.00)))))))</f>
        <v/>
      </c>
      <c r="M7028">
        <f>LET(
    seasoning_years,DATEDIF('Loan Tape (S&amp;P)'!K7028,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28">
        <f>IF(AND('Loan Tape (S&amp;P)'!U7028="Yes",
        'Loan Tape (S&amp;P)'!T7028&lt;&gt;"Yes",
        DATEDIF('Loan Tape (S&amp;P)'!K7028, TODAY(), "M")&lt;18),
    1.10,
    1.00)</f>
        <v/>
      </c>
      <c r="O7028">
        <f>IF('Loan Tape (S&amp;P)'!T7028="Yes",
    1.35,
    1.00)</f>
        <v/>
      </c>
      <c r="P7028">
        <f>IF('Loan Tape (S&amp;P)'!S7028="Yes",
    1.15,
    1.00)</f>
        <v/>
      </c>
      <c r="Q7028">
        <f>IF('Loan Tape (S&amp;P)'!V7028="Yes",
    1.20,
    1.00)</f>
        <v/>
      </c>
      <c r="T7028">
        <f>LET(
    payment_method,'Loan Tape (S&amp;P)'!P7028,
    occupancy,'Loan Tape (S&amp;P)'!N7028,
    maturity_date,'Loan Tape (S&amp;P)'!L7028,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29">
      <c r="J7029">
        <f>LET(
    lien,'Loan Tape (S&amp;P)'!Q7029,
    IF(lien="First",1.00,
        IF(lien="Second",1.50,
            1.70)))</f>
        <v/>
      </c>
      <c r="K7029">
        <f>LET(
    purpose,'Loan Tape (S&amp;P)'!R7029,
    IF(purpose="Purchase",1.00,
        IF(purpose="Remortgage",1.00,
            1.20)))</f>
        <v/>
      </c>
      <c r="L7029">
        <f>LET(
    arrears_months,'Loan Tape (S&amp;P)'!AN7029,
    IF(arrears_months=0,1.00,
    IF(arrears_months=1,3.00,
    IF(arrears_months=2,5.00,
    IF(arrears_months=3,8.00,
    IF(arrears_months=4,10.00,
    IF(arrears_months=5,12.00,15.00)))))))</f>
        <v/>
      </c>
      <c r="M7029">
        <f>LET(
    seasoning_years,DATEDIF('Loan Tape (S&amp;P)'!K7029,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29">
        <f>IF(AND('Loan Tape (S&amp;P)'!U7029="Yes",
        'Loan Tape (S&amp;P)'!T7029&lt;&gt;"Yes",
        DATEDIF('Loan Tape (S&amp;P)'!K7029, TODAY(), "M")&lt;18),
    1.10,
    1.00)</f>
        <v/>
      </c>
      <c r="O7029">
        <f>IF('Loan Tape (S&amp;P)'!T7029="Yes",
    1.35,
    1.00)</f>
        <v/>
      </c>
      <c r="P7029">
        <f>IF('Loan Tape (S&amp;P)'!S7029="Yes",
    1.15,
    1.00)</f>
        <v/>
      </c>
      <c r="Q7029">
        <f>IF('Loan Tape (S&amp;P)'!V7029="Yes",
    1.20,
    1.00)</f>
        <v/>
      </c>
      <c r="T7029">
        <f>LET(
    payment_method,'Loan Tape (S&amp;P)'!P7029,
    occupancy,'Loan Tape (S&amp;P)'!N7029,
    maturity_date,'Loan Tape (S&amp;P)'!L7029,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30">
      <c r="J7030">
        <f>LET(
    lien,'Loan Tape (S&amp;P)'!Q7030,
    IF(lien="First",1.00,
        IF(lien="Second",1.50,
            1.70)))</f>
        <v/>
      </c>
      <c r="K7030">
        <f>LET(
    purpose,'Loan Tape (S&amp;P)'!R7030,
    IF(purpose="Purchase",1.00,
        IF(purpose="Remortgage",1.00,
            1.20)))</f>
        <v/>
      </c>
      <c r="L7030">
        <f>LET(
    arrears_months,'Loan Tape (S&amp;P)'!AN7030,
    IF(arrears_months=0,1.00,
    IF(arrears_months=1,3.00,
    IF(arrears_months=2,5.00,
    IF(arrears_months=3,8.00,
    IF(arrears_months=4,10.00,
    IF(arrears_months=5,12.00,15.00)))))))</f>
        <v/>
      </c>
      <c r="M7030">
        <f>LET(
    seasoning_years,DATEDIF('Loan Tape (S&amp;P)'!K7030,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30">
        <f>IF(AND('Loan Tape (S&amp;P)'!U7030="Yes",
        'Loan Tape (S&amp;P)'!T7030&lt;&gt;"Yes",
        DATEDIF('Loan Tape (S&amp;P)'!K7030, TODAY(), "M")&lt;18),
    1.10,
    1.00)</f>
        <v/>
      </c>
      <c r="O7030">
        <f>IF('Loan Tape (S&amp;P)'!T7030="Yes",
    1.35,
    1.00)</f>
        <v/>
      </c>
      <c r="P7030">
        <f>IF('Loan Tape (S&amp;P)'!S7030="Yes",
    1.15,
    1.00)</f>
        <v/>
      </c>
      <c r="Q7030">
        <f>IF('Loan Tape (S&amp;P)'!V7030="Yes",
    1.20,
    1.00)</f>
        <v/>
      </c>
      <c r="T7030">
        <f>LET(
    payment_method,'Loan Tape (S&amp;P)'!P7030,
    occupancy,'Loan Tape (S&amp;P)'!N7030,
    maturity_date,'Loan Tape (S&amp;P)'!L7030,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31">
      <c r="J7031">
        <f>LET(
    lien,'Loan Tape (S&amp;P)'!Q7031,
    IF(lien="First",1.00,
        IF(lien="Second",1.50,
            1.70)))</f>
        <v/>
      </c>
      <c r="K7031">
        <f>LET(
    purpose,'Loan Tape (S&amp;P)'!R7031,
    IF(purpose="Purchase",1.00,
        IF(purpose="Remortgage",1.00,
            1.20)))</f>
        <v/>
      </c>
      <c r="L7031">
        <f>LET(
    arrears_months,'Loan Tape (S&amp;P)'!AN7031,
    IF(arrears_months=0,1.00,
    IF(arrears_months=1,3.00,
    IF(arrears_months=2,5.00,
    IF(arrears_months=3,8.00,
    IF(arrears_months=4,10.00,
    IF(arrears_months=5,12.00,15.00)))))))</f>
        <v/>
      </c>
      <c r="M7031">
        <f>LET(
    seasoning_years,DATEDIF('Loan Tape (S&amp;P)'!K7031,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31">
        <f>IF(AND('Loan Tape (S&amp;P)'!U7031="Yes",
        'Loan Tape (S&amp;P)'!T7031&lt;&gt;"Yes",
        DATEDIF('Loan Tape (S&amp;P)'!K7031, TODAY(), "M")&lt;18),
    1.10,
    1.00)</f>
        <v/>
      </c>
      <c r="O7031">
        <f>IF('Loan Tape (S&amp;P)'!T7031="Yes",
    1.35,
    1.00)</f>
        <v/>
      </c>
      <c r="P7031">
        <f>IF('Loan Tape (S&amp;P)'!S7031="Yes",
    1.15,
    1.00)</f>
        <v/>
      </c>
      <c r="Q7031">
        <f>IF('Loan Tape (S&amp;P)'!V7031="Yes",
    1.20,
    1.00)</f>
        <v/>
      </c>
      <c r="T7031">
        <f>LET(
    payment_method,'Loan Tape (S&amp;P)'!P7031,
    occupancy,'Loan Tape (S&amp;P)'!N7031,
    maturity_date,'Loan Tape (S&amp;P)'!L7031,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32">
      <c r="J7032">
        <f>LET(
    lien,'Loan Tape (S&amp;P)'!Q7032,
    IF(lien="First",1.00,
        IF(lien="Second",1.50,
            1.70)))</f>
        <v/>
      </c>
      <c r="K7032">
        <f>LET(
    purpose,'Loan Tape (S&amp;P)'!R7032,
    IF(purpose="Purchase",1.00,
        IF(purpose="Remortgage",1.00,
            1.20)))</f>
        <v/>
      </c>
      <c r="L7032">
        <f>LET(
    arrears_months,'Loan Tape (S&amp;P)'!AN7032,
    IF(arrears_months=0,1.00,
    IF(arrears_months=1,3.00,
    IF(arrears_months=2,5.00,
    IF(arrears_months=3,8.00,
    IF(arrears_months=4,10.00,
    IF(arrears_months=5,12.00,15.00)))))))</f>
        <v/>
      </c>
      <c r="M7032">
        <f>LET(
    seasoning_years,DATEDIF('Loan Tape (S&amp;P)'!K7032,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32">
        <f>IF(AND('Loan Tape (S&amp;P)'!U7032="Yes",
        'Loan Tape (S&amp;P)'!T7032&lt;&gt;"Yes",
        DATEDIF('Loan Tape (S&amp;P)'!K7032, TODAY(), "M")&lt;18),
    1.10,
    1.00)</f>
        <v/>
      </c>
      <c r="O7032">
        <f>IF('Loan Tape (S&amp;P)'!T7032="Yes",
    1.35,
    1.00)</f>
        <v/>
      </c>
      <c r="P7032">
        <f>IF('Loan Tape (S&amp;P)'!S7032="Yes",
    1.15,
    1.00)</f>
        <v/>
      </c>
      <c r="Q7032">
        <f>IF('Loan Tape (S&amp;P)'!V7032="Yes",
    1.20,
    1.00)</f>
        <v/>
      </c>
      <c r="T7032">
        <f>LET(
    payment_method,'Loan Tape (S&amp;P)'!P7032,
    occupancy,'Loan Tape (S&amp;P)'!N7032,
    maturity_date,'Loan Tape (S&amp;P)'!L7032,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33">
      <c r="J7033">
        <f>LET(
    lien,'Loan Tape (S&amp;P)'!Q7033,
    IF(lien="First",1.00,
        IF(lien="Second",1.50,
            1.70)))</f>
        <v/>
      </c>
      <c r="K7033">
        <f>LET(
    purpose,'Loan Tape (S&amp;P)'!R7033,
    IF(purpose="Purchase",1.00,
        IF(purpose="Remortgage",1.00,
            1.20)))</f>
        <v/>
      </c>
      <c r="L7033">
        <f>LET(
    arrears_months,'Loan Tape (S&amp;P)'!AN7033,
    IF(arrears_months=0,1.00,
    IF(arrears_months=1,3.00,
    IF(arrears_months=2,5.00,
    IF(arrears_months=3,8.00,
    IF(arrears_months=4,10.00,
    IF(arrears_months=5,12.00,15.00)))))))</f>
        <v/>
      </c>
      <c r="M7033">
        <f>LET(
    seasoning_years,DATEDIF('Loan Tape (S&amp;P)'!K7033,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33">
        <f>IF(AND('Loan Tape (S&amp;P)'!U7033="Yes",
        'Loan Tape (S&amp;P)'!T7033&lt;&gt;"Yes",
        DATEDIF('Loan Tape (S&amp;P)'!K7033, TODAY(), "M")&lt;18),
    1.10,
    1.00)</f>
        <v/>
      </c>
      <c r="O7033">
        <f>IF('Loan Tape (S&amp;P)'!T7033="Yes",
    1.35,
    1.00)</f>
        <v/>
      </c>
      <c r="P7033">
        <f>IF('Loan Tape (S&amp;P)'!S7033="Yes",
    1.15,
    1.00)</f>
        <v/>
      </c>
      <c r="Q7033">
        <f>IF('Loan Tape (S&amp;P)'!V7033="Yes",
    1.20,
    1.00)</f>
        <v/>
      </c>
      <c r="T7033">
        <f>LET(
    payment_method,'Loan Tape (S&amp;P)'!P7033,
    occupancy,'Loan Tape (S&amp;P)'!N7033,
    maturity_date,'Loan Tape (S&amp;P)'!L7033,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34">
      <c r="J7034">
        <f>LET(
    lien,'Loan Tape (S&amp;P)'!Q7034,
    IF(lien="First",1.00,
        IF(lien="Second",1.50,
            1.70)))</f>
        <v/>
      </c>
      <c r="K7034">
        <f>LET(
    purpose,'Loan Tape (S&amp;P)'!R7034,
    IF(purpose="Purchase",1.00,
        IF(purpose="Remortgage",1.00,
            1.20)))</f>
        <v/>
      </c>
      <c r="L7034">
        <f>LET(
    arrears_months,'Loan Tape (S&amp;P)'!AN7034,
    IF(arrears_months=0,1.00,
    IF(arrears_months=1,3.00,
    IF(arrears_months=2,5.00,
    IF(arrears_months=3,8.00,
    IF(arrears_months=4,10.00,
    IF(arrears_months=5,12.00,15.00)))))))</f>
        <v/>
      </c>
      <c r="M7034">
        <f>LET(
    seasoning_years,DATEDIF('Loan Tape (S&amp;P)'!K7034,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34">
        <f>IF(AND('Loan Tape (S&amp;P)'!U7034="Yes",
        'Loan Tape (S&amp;P)'!T7034&lt;&gt;"Yes",
        DATEDIF('Loan Tape (S&amp;P)'!K7034, TODAY(), "M")&lt;18),
    1.10,
    1.00)</f>
        <v/>
      </c>
      <c r="O7034">
        <f>IF('Loan Tape (S&amp;P)'!T7034="Yes",
    1.35,
    1.00)</f>
        <v/>
      </c>
      <c r="P7034">
        <f>IF('Loan Tape (S&amp;P)'!S7034="Yes",
    1.15,
    1.00)</f>
        <v/>
      </c>
      <c r="Q7034">
        <f>IF('Loan Tape (S&amp;P)'!V7034="Yes",
    1.20,
    1.00)</f>
        <v/>
      </c>
      <c r="T7034">
        <f>LET(
    payment_method,'Loan Tape (S&amp;P)'!P7034,
    occupancy,'Loan Tape (S&amp;P)'!N7034,
    maturity_date,'Loan Tape (S&amp;P)'!L7034,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35">
      <c r="J7035">
        <f>LET(
    lien,'Loan Tape (S&amp;P)'!Q7035,
    IF(lien="First",1.00,
        IF(lien="Second",1.50,
            1.70)))</f>
        <v/>
      </c>
      <c r="K7035">
        <f>LET(
    purpose,'Loan Tape (S&amp;P)'!R7035,
    IF(purpose="Purchase",1.00,
        IF(purpose="Remortgage",1.00,
            1.20)))</f>
        <v/>
      </c>
      <c r="L7035">
        <f>LET(
    arrears_months,'Loan Tape (S&amp;P)'!AN7035,
    IF(arrears_months=0,1.00,
    IF(arrears_months=1,3.00,
    IF(arrears_months=2,5.00,
    IF(arrears_months=3,8.00,
    IF(arrears_months=4,10.00,
    IF(arrears_months=5,12.00,15.00)))))))</f>
        <v/>
      </c>
      <c r="M7035">
        <f>LET(
    seasoning_years,DATEDIF('Loan Tape (S&amp;P)'!K7035,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35">
        <f>IF(AND('Loan Tape (S&amp;P)'!U7035="Yes",
        'Loan Tape (S&amp;P)'!T7035&lt;&gt;"Yes",
        DATEDIF('Loan Tape (S&amp;P)'!K7035, TODAY(), "M")&lt;18),
    1.10,
    1.00)</f>
        <v/>
      </c>
      <c r="O7035">
        <f>IF('Loan Tape (S&amp;P)'!T7035="Yes",
    1.35,
    1.00)</f>
        <v/>
      </c>
      <c r="P7035">
        <f>IF('Loan Tape (S&amp;P)'!S7035="Yes",
    1.15,
    1.00)</f>
        <v/>
      </c>
      <c r="Q7035">
        <f>IF('Loan Tape (S&amp;P)'!V7035="Yes",
    1.20,
    1.00)</f>
        <v/>
      </c>
      <c r="T7035">
        <f>LET(
    payment_method,'Loan Tape (S&amp;P)'!P7035,
    occupancy,'Loan Tape (S&amp;P)'!N7035,
    maturity_date,'Loan Tape (S&amp;P)'!L7035,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36">
      <c r="J7036">
        <f>LET(
    lien,'Loan Tape (S&amp;P)'!Q7036,
    IF(lien="First",1.00,
        IF(lien="Second",1.50,
            1.70)))</f>
        <v/>
      </c>
      <c r="K7036">
        <f>LET(
    purpose,'Loan Tape (S&amp;P)'!R7036,
    IF(purpose="Purchase",1.00,
        IF(purpose="Remortgage",1.00,
            1.20)))</f>
        <v/>
      </c>
      <c r="L7036">
        <f>LET(
    arrears_months,'Loan Tape (S&amp;P)'!AN7036,
    IF(arrears_months=0,1.00,
    IF(arrears_months=1,3.00,
    IF(arrears_months=2,5.00,
    IF(arrears_months=3,8.00,
    IF(arrears_months=4,10.00,
    IF(arrears_months=5,12.00,15.00)))))))</f>
        <v/>
      </c>
      <c r="M7036">
        <f>LET(
    seasoning_years,DATEDIF('Loan Tape (S&amp;P)'!K7036,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36">
        <f>IF(AND('Loan Tape (S&amp;P)'!U7036="Yes",
        'Loan Tape (S&amp;P)'!T7036&lt;&gt;"Yes",
        DATEDIF('Loan Tape (S&amp;P)'!K7036, TODAY(), "M")&lt;18),
    1.10,
    1.00)</f>
        <v/>
      </c>
      <c r="O7036">
        <f>IF('Loan Tape (S&amp;P)'!T7036="Yes",
    1.35,
    1.00)</f>
        <v/>
      </c>
      <c r="P7036">
        <f>IF('Loan Tape (S&amp;P)'!S7036="Yes",
    1.15,
    1.00)</f>
        <v/>
      </c>
      <c r="Q7036">
        <f>IF('Loan Tape (S&amp;P)'!V7036="Yes",
    1.20,
    1.00)</f>
        <v/>
      </c>
      <c r="T7036">
        <f>LET(
    payment_method,'Loan Tape (S&amp;P)'!P7036,
    occupancy,'Loan Tape (S&amp;P)'!N7036,
    maturity_date,'Loan Tape (S&amp;P)'!L7036,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37">
      <c r="J7037">
        <f>LET(
    lien,'Loan Tape (S&amp;P)'!Q7037,
    IF(lien="First",1.00,
        IF(lien="Second",1.50,
            1.70)))</f>
        <v/>
      </c>
      <c r="K7037">
        <f>LET(
    purpose,'Loan Tape (S&amp;P)'!R7037,
    IF(purpose="Purchase",1.00,
        IF(purpose="Remortgage",1.00,
            1.20)))</f>
        <v/>
      </c>
      <c r="L7037">
        <f>LET(
    arrears_months,'Loan Tape (S&amp;P)'!AN7037,
    IF(arrears_months=0,1.00,
    IF(arrears_months=1,3.00,
    IF(arrears_months=2,5.00,
    IF(arrears_months=3,8.00,
    IF(arrears_months=4,10.00,
    IF(arrears_months=5,12.00,15.00)))))))</f>
        <v/>
      </c>
      <c r="M7037">
        <f>LET(
    seasoning_years,DATEDIF('Loan Tape (S&amp;P)'!K7037,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37">
        <f>IF(AND('Loan Tape (S&amp;P)'!U7037="Yes",
        'Loan Tape (S&amp;P)'!T7037&lt;&gt;"Yes",
        DATEDIF('Loan Tape (S&amp;P)'!K7037, TODAY(), "M")&lt;18),
    1.10,
    1.00)</f>
        <v/>
      </c>
      <c r="O7037">
        <f>IF('Loan Tape (S&amp;P)'!T7037="Yes",
    1.35,
    1.00)</f>
        <v/>
      </c>
      <c r="P7037">
        <f>IF('Loan Tape (S&amp;P)'!S7037="Yes",
    1.15,
    1.00)</f>
        <v/>
      </c>
      <c r="Q7037">
        <f>IF('Loan Tape (S&amp;P)'!V7037="Yes",
    1.20,
    1.00)</f>
        <v/>
      </c>
      <c r="T7037">
        <f>LET(
    payment_method,'Loan Tape (S&amp;P)'!P7037,
    occupancy,'Loan Tape (S&amp;P)'!N7037,
    maturity_date,'Loan Tape (S&amp;P)'!L7037,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38">
      <c r="J7038">
        <f>LET(
    lien,'Loan Tape (S&amp;P)'!Q7038,
    IF(lien="First",1.00,
        IF(lien="Second",1.50,
            1.70)))</f>
        <v/>
      </c>
      <c r="K7038">
        <f>LET(
    purpose,'Loan Tape (S&amp;P)'!R7038,
    IF(purpose="Purchase",1.00,
        IF(purpose="Remortgage",1.00,
            1.20)))</f>
        <v/>
      </c>
      <c r="L7038">
        <f>LET(
    arrears_months,'Loan Tape (S&amp;P)'!AN7038,
    IF(arrears_months=0,1.00,
    IF(arrears_months=1,3.00,
    IF(arrears_months=2,5.00,
    IF(arrears_months=3,8.00,
    IF(arrears_months=4,10.00,
    IF(arrears_months=5,12.00,15.00)))))))</f>
        <v/>
      </c>
      <c r="M7038">
        <f>LET(
    seasoning_years,DATEDIF('Loan Tape (S&amp;P)'!K7038,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38">
        <f>IF(AND('Loan Tape (S&amp;P)'!U7038="Yes",
        'Loan Tape (S&amp;P)'!T7038&lt;&gt;"Yes",
        DATEDIF('Loan Tape (S&amp;P)'!K7038, TODAY(), "M")&lt;18),
    1.10,
    1.00)</f>
        <v/>
      </c>
      <c r="O7038">
        <f>IF('Loan Tape (S&amp;P)'!T7038="Yes",
    1.35,
    1.00)</f>
        <v/>
      </c>
      <c r="P7038">
        <f>IF('Loan Tape (S&amp;P)'!S7038="Yes",
    1.15,
    1.00)</f>
        <v/>
      </c>
      <c r="Q7038">
        <f>IF('Loan Tape (S&amp;P)'!V7038="Yes",
    1.20,
    1.00)</f>
        <v/>
      </c>
      <c r="T7038">
        <f>LET(
    payment_method,'Loan Tape (S&amp;P)'!P7038,
    occupancy,'Loan Tape (S&amp;P)'!N7038,
    maturity_date,'Loan Tape (S&amp;P)'!L7038,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39">
      <c r="J7039">
        <f>LET(
    lien,'Loan Tape (S&amp;P)'!Q7039,
    IF(lien="First",1.00,
        IF(lien="Second",1.50,
            1.70)))</f>
        <v/>
      </c>
      <c r="K7039">
        <f>LET(
    purpose,'Loan Tape (S&amp;P)'!R7039,
    IF(purpose="Purchase",1.00,
        IF(purpose="Remortgage",1.00,
            1.20)))</f>
        <v/>
      </c>
      <c r="L7039">
        <f>LET(
    arrears_months,'Loan Tape (S&amp;P)'!AN7039,
    IF(arrears_months=0,1.00,
    IF(arrears_months=1,3.00,
    IF(arrears_months=2,5.00,
    IF(arrears_months=3,8.00,
    IF(arrears_months=4,10.00,
    IF(arrears_months=5,12.00,15.00)))))))</f>
        <v/>
      </c>
      <c r="M7039">
        <f>LET(
    seasoning_years,DATEDIF('Loan Tape (S&amp;P)'!K7039,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39">
        <f>IF(AND('Loan Tape (S&amp;P)'!U7039="Yes",
        'Loan Tape (S&amp;P)'!T7039&lt;&gt;"Yes",
        DATEDIF('Loan Tape (S&amp;P)'!K7039, TODAY(), "M")&lt;18),
    1.10,
    1.00)</f>
        <v/>
      </c>
      <c r="O7039">
        <f>IF('Loan Tape (S&amp;P)'!T7039="Yes",
    1.35,
    1.00)</f>
        <v/>
      </c>
      <c r="P7039">
        <f>IF('Loan Tape (S&amp;P)'!S7039="Yes",
    1.15,
    1.00)</f>
        <v/>
      </c>
      <c r="Q7039">
        <f>IF('Loan Tape (S&amp;P)'!V7039="Yes",
    1.20,
    1.00)</f>
        <v/>
      </c>
      <c r="T7039">
        <f>LET(
    payment_method,'Loan Tape (S&amp;P)'!P7039,
    occupancy,'Loan Tape (S&amp;P)'!N7039,
    maturity_date,'Loan Tape (S&amp;P)'!L7039,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40">
      <c r="J7040">
        <f>LET(
    lien,'Loan Tape (S&amp;P)'!Q7040,
    IF(lien="First",1.00,
        IF(lien="Second",1.50,
            1.70)))</f>
        <v/>
      </c>
      <c r="K7040">
        <f>LET(
    purpose,'Loan Tape (S&amp;P)'!R7040,
    IF(purpose="Purchase",1.00,
        IF(purpose="Remortgage",1.00,
            1.20)))</f>
        <v/>
      </c>
      <c r="L7040">
        <f>LET(
    arrears_months,'Loan Tape (S&amp;P)'!AN7040,
    IF(arrears_months=0,1.00,
    IF(arrears_months=1,3.00,
    IF(arrears_months=2,5.00,
    IF(arrears_months=3,8.00,
    IF(arrears_months=4,10.00,
    IF(arrears_months=5,12.00,15.00)))))))</f>
        <v/>
      </c>
      <c r="M7040">
        <f>LET(
    seasoning_years,DATEDIF('Loan Tape (S&amp;P)'!K7040,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40">
        <f>IF(AND('Loan Tape (S&amp;P)'!U7040="Yes",
        'Loan Tape (S&amp;P)'!T7040&lt;&gt;"Yes",
        DATEDIF('Loan Tape (S&amp;P)'!K7040, TODAY(), "M")&lt;18),
    1.10,
    1.00)</f>
        <v/>
      </c>
      <c r="O7040">
        <f>IF('Loan Tape (S&amp;P)'!T7040="Yes",
    1.35,
    1.00)</f>
        <v/>
      </c>
      <c r="P7040">
        <f>IF('Loan Tape (S&amp;P)'!S7040="Yes",
    1.15,
    1.00)</f>
        <v/>
      </c>
      <c r="Q7040">
        <f>IF('Loan Tape (S&amp;P)'!V7040="Yes",
    1.20,
    1.00)</f>
        <v/>
      </c>
      <c r="T7040">
        <f>LET(
    payment_method,'Loan Tape (S&amp;P)'!P7040,
    occupancy,'Loan Tape (S&amp;P)'!N7040,
    maturity_date,'Loan Tape (S&amp;P)'!L7040,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41">
      <c r="J7041">
        <f>LET(
    lien,'Loan Tape (S&amp;P)'!Q7041,
    IF(lien="First",1.00,
        IF(lien="Second",1.50,
            1.70)))</f>
        <v/>
      </c>
      <c r="K7041">
        <f>LET(
    purpose,'Loan Tape (S&amp;P)'!R7041,
    IF(purpose="Purchase",1.00,
        IF(purpose="Remortgage",1.00,
            1.20)))</f>
        <v/>
      </c>
      <c r="L7041">
        <f>LET(
    arrears_months,'Loan Tape (S&amp;P)'!AN7041,
    IF(arrears_months=0,1.00,
    IF(arrears_months=1,3.00,
    IF(arrears_months=2,5.00,
    IF(arrears_months=3,8.00,
    IF(arrears_months=4,10.00,
    IF(arrears_months=5,12.00,15.00)))))))</f>
        <v/>
      </c>
      <c r="M7041">
        <f>LET(
    seasoning_years,DATEDIF('Loan Tape (S&amp;P)'!K7041,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41">
        <f>IF(AND('Loan Tape (S&amp;P)'!U7041="Yes",
        'Loan Tape (S&amp;P)'!T7041&lt;&gt;"Yes",
        DATEDIF('Loan Tape (S&amp;P)'!K7041, TODAY(), "M")&lt;18),
    1.10,
    1.00)</f>
        <v/>
      </c>
      <c r="O7041">
        <f>IF('Loan Tape (S&amp;P)'!T7041="Yes",
    1.35,
    1.00)</f>
        <v/>
      </c>
      <c r="P7041">
        <f>IF('Loan Tape (S&amp;P)'!S7041="Yes",
    1.15,
    1.00)</f>
        <v/>
      </c>
      <c r="Q7041">
        <f>IF('Loan Tape (S&amp;P)'!V7041="Yes",
    1.20,
    1.00)</f>
        <v/>
      </c>
      <c r="T7041">
        <f>LET(
    payment_method,'Loan Tape (S&amp;P)'!P7041,
    occupancy,'Loan Tape (S&amp;P)'!N7041,
    maturity_date,'Loan Tape (S&amp;P)'!L7041,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42">
      <c r="J7042">
        <f>LET(
    lien,'Loan Tape (S&amp;P)'!Q7042,
    IF(lien="First",1.00,
        IF(lien="Second",1.50,
            1.70)))</f>
        <v/>
      </c>
      <c r="K7042">
        <f>LET(
    purpose,'Loan Tape (S&amp;P)'!R7042,
    IF(purpose="Purchase",1.00,
        IF(purpose="Remortgage",1.00,
            1.20)))</f>
        <v/>
      </c>
      <c r="L7042">
        <f>LET(
    arrears_months,'Loan Tape (S&amp;P)'!AN7042,
    IF(arrears_months=0,1.00,
    IF(arrears_months=1,3.00,
    IF(arrears_months=2,5.00,
    IF(arrears_months=3,8.00,
    IF(arrears_months=4,10.00,
    IF(arrears_months=5,12.00,15.00)))))))</f>
        <v/>
      </c>
      <c r="M7042">
        <f>LET(
    seasoning_years,DATEDIF('Loan Tape (S&amp;P)'!K7042,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42">
        <f>IF(AND('Loan Tape (S&amp;P)'!U7042="Yes",
        'Loan Tape (S&amp;P)'!T7042&lt;&gt;"Yes",
        DATEDIF('Loan Tape (S&amp;P)'!K7042, TODAY(), "M")&lt;18),
    1.10,
    1.00)</f>
        <v/>
      </c>
      <c r="O7042">
        <f>IF('Loan Tape (S&amp;P)'!T7042="Yes",
    1.35,
    1.00)</f>
        <v/>
      </c>
      <c r="P7042">
        <f>IF('Loan Tape (S&amp;P)'!S7042="Yes",
    1.15,
    1.00)</f>
        <v/>
      </c>
      <c r="Q7042">
        <f>IF('Loan Tape (S&amp;P)'!V7042="Yes",
    1.20,
    1.00)</f>
        <v/>
      </c>
      <c r="T7042">
        <f>LET(
    payment_method,'Loan Tape (S&amp;P)'!P7042,
    occupancy,'Loan Tape (S&amp;P)'!N7042,
    maturity_date,'Loan Tape (S&amp;P)'!L7042,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43">
      <c r="J7043">
        <f>LET(
    lien,'Loan Tape (S&amp;P)'!Q7043,
    IF(lien="First",1.00,
        IF(lien="Second",1.50,
            1.70)))</f>
        <v/>
      </c>
      <c r="K7043">
        <f>LET(
    purpose,'Loan Tape (S&amp;P)'!R7043,
    IF(purpose="Purchase",1.00,
        IF(purpose="Remortgage",1.00,
            1.20)))</f>
        <v/>
      </c>
      <c r="L7043">
        <f>LET(
    arrears_months,'Loan Tape (S&amp;P)'!AN7043,
    IF(arrears_months=0,1.00,
    IF(arrears_months=1,3.00,
    IF(arrears_months=2,5.00,
    IF(arrears_months=3,8.00,
    IF(arrears_months=4,10.00,
    IF(arrears_months=5,12.00,15.00)))))))</f>
        <v/>
      </c>
      <c r="M7043">
        <f>LET(
    seasoning_years,DATEDIF('Loan Tape (S&amp;P)'!K7043,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43">
        <f>IF(AND('Loan Tape (S&amp;P)'!U7043="Yes",
        'Loan Tape (S&amp;P)'!T7043&lt;&gt;"Yes",
        DATEDIF('Loan Tape (S&amp;P)'!K7043, TODAY(), "M")&lt;18),
    1.10,
    1.00)</f>
        <v/>
      </c>
      <c r="O7043">
        <f>IF('Loan Tape (S&amp;P)'!T7043="Yes",
    1.35,
    1.00)</f>
        <v/>
      </c>
      <c r="P7043">
        <f>IF('Loan Tape (S&amp;P)'!S7043="Yes",
    1.15,
    1.00)</f>
        <v/>
      </c>
      <c r="Q7043">
        <f>IF('Loan Tape (S&amp;P)'!V7043="Yes",
    1.20,
    1.00)</f>
        <v/>
      </c>
      <c r="T7043">
        <f>LET(
    payment_method,'Loan Tape (S&amp;P)'!P7043,
    occupancy,'Loan Tape (S&amp;P)'!N7043,
    maturity_date,'Loan Tape (S&amp;P)'!L7043,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44">
      <c r="J7044">
        <f>LET(
    lien,'Loan Tape (S&amp;P)'!Q7044,
    IF(lien="First",1.00,
        IF(lien="Second",1.50,
            1.70)))</f>
        <v/>
      </c>
      <c r="K7044">
        <f>LET(
    purpose,'Loan Tape (S&amp;P)'!R7044,
    IF(purpose="Purchase",1.00,
        IF(purpose="Remortgage",1.00,
            1.20)))</f>
        <v/>
      </c>
      <c r="L7044">
        <f>LET(
    arrears_months,'Loan Tape (S&amp;P)'!AN7044,
    IF(arrears_months=0,1.00,
    IF(arrears_months=1,3.00,
    IF(arrears_months=2,5.00,
    IF(arrears_months=3,8.00,
    IF(arrears_months=4,10.00,
    IF(arrears_months=5,12.00,15.00)))))))</f>
        <v/>
      </c>
      <c r="M7044">
        <f>LET(
    seasoning_years,DATEDIF('Loan Tape (S&amp;P)'!K7044,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44">
        <f>IF(AND('Loan Tape (S&amp;P)'!U7044="Yes",
        'Loan Tape (S&amp;P)'!T7044&lt;&gt;"Yes",
        DATEDIF('Loan Tape (S&amp;P)'!K7044, TODAY(), "M")&lt;18),
    1.10,
    1.00)</f>
        <v/>
      </c>
      <c r="O7044">
        <f>IF('Loan Tape (S&amp;P)'!T7044="Yes",
    1.35,
    1.00)</f>
        <v/>
      </c>
      <c r="P7044">
        <f>IF('Loan Tape (S&amp;P)'!S7044="Yes",
    1.15,
    1.00)</f>
        <v/>
      </c>
      <c r="Q7044">
        <f>IF('Loan Tape (S&amp;P)'!V7044="Yes",
    1.20,
    1.00)</f>
        <v/>
      </c>
      <c r="T7044">
        <f>LET(
    payment_method,'Loan Tape (S&amp;P)'!P7044,
    occupancy,'Loan Tape (S&amp;P)'!N7044,
    maturity_date,'Loan Tape (S&amp;P)'!L7044,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45">
      <c r="J7045">
        <f>LET(
    lien,'Loan Tape (S&amp;P)'!Q7045,
    IF(lien="First",1.00,
        IF(lien="Second",1.50,
            1.70)))</f>
        <v/>
      </c>
      <c r="K7045">
        <f>LET(
    purpose,'Loan Tape (S&amp;P)'!R7045,
    IF(purpose="Purchase",1.00,
        IF(purpose="Remortgage",1.00,
            1.20)))</f>
        <v/>
      </c>
      <c r="L7045">
        <f>LET(
    arrears_months,'Loan Tape (S&amp;P)'!AN7045,
    IF(arrears_months=0,1.00,
    IF(arrears_months=1,3.00,
    IF(arrears_months=2,5.00,
    IF(arrears_months=3,8.00,
    IF(arrears_months=4,10.00,
    IF(arrears_months=5,12.00,15.00)))))))</f>
        <v/>
      </c>
      <c r="M7045">
        <f>LET(
    seasoning_years,DATEDIF('Loan Tape (S&amp;P)'!K7045,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45">
        <f>IF(AND('Loan Tape (S&amp;P)'!U7045="Yes",
        'Loan Tape (S&amp;P)'!T7045&lt;&gt;"Yes",
        DATEDIF('Loan Tape (S&amp;P)'!K7045, TODAY(), "M")&lt;18),
    1.10,
    1.00)</f>
        <v/>
      </c>
      <c r="O7045">
        <f>IF('Loan Tape (S&amp;P)'!T7045="Yes",
    1.35,
    1.00)</f>
        <v/>
      </c>
      <c r="P7045">
        <f>IF('Loan Tape (S&amp;P)'!S7045="Yes",
    1.15,
    1.00)</f>
        <v/>
      </c>
      <c r="Q7045">
        <f>IF('Loan Tape (S&amp;P)'!V7045="Yes",
    1.20,
    1.00)</f>
        <v/>
      </c>
      <c r="T7045">
        <f>LET(
    payment_method,'Loan Tape (S&amp;P)'!P7045,
    occupancy,'Loan Tape (S&amp;P)'!N7045,
    maturity_date,'Loan Tape (S&amp;P)'!L7045,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46">
      <c r="J7046">
        <f>LET(
    lien,'Loan Tape (S&amp;P)'!Q7046,
    IF(lien="First",1.00,
        IF(lien="Second",1.50,
            1.70)))</f>
        <v/>
      </c>
      <c r="K7046">
        <f>LET(
    purpose,'Loan Tape (S&amp;P)'!R7046,
    IF(purpose="Purchase",1.00,
        IF(purpose="Remortgage",1.00,
            1.20)))</f>
        <v/>
      </c>
      <c r="L7046">
        <f>LET(
    arrears_months,'Loan Tape (S&amp;P)'!AN7046,
    IF(arrears_months=0,1.00,
    IF(arrears_months=1,3.00,
    IF(arrears_months=2,5.00,
    IF(arrears_months=3,8.00,
    IF(arrears_months=4,10.00,
    IF(arrears_months=5,12.00,15.00)))))))</f>
        <v/>
      </c>
      <c r="M7046">
        <f>LET(
    seasoning_years,DATEDIF('Loan Tape (S&amp;P)'!K7046,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46">
        <f>IF(AND('Loan Tape (S&amp;P)'!U7046="Yes",
        'Loan Tape (S&amp;P)'!T7046&lt;&gt;"Yes",
        DATEDIF('Loan Tape (S&amp;P)'!K7046, TODAY(), "M")&lt;18),
    1.10,
    1.00)</f>
        <v/>
      </c>
      <c r="O7046">
        <f>IF('Loan Tape (S&amp;P)'!T7046="Yes",
    1.35,
    1.00)</f>
        <v/>
      </c>
      <c r="P7046">
        <f>IF('Loan Tape (S&amp;P)'!S7046="Yes",
    1.15,
    1.00)</f>
        <v/>
      </c>
      <c r="Q7046">
        <f>IF('Loan Tape (S&amp;P)'!V7046="Yes",
    1.20,
    1.00)</f>
        <v/>
      </c>
      <c r="T7046">
        <f>LET(
    payment_method,'Loan Tape (S&amp;P)'!P7046,
    occupancy,'Loan Tape (S&amp;P)'!N7046,
    maturity_date,'Loan Tape (S&amp;P)'!L7046,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47">
      <c r="J7047">
        <f>LET(
    lien,'Loan Tape (S&amp;P)'!Q7047,
    IF(lien="First",1.00,
        IF(lien="Second",1.50,
            1.70)))</f>
        <v/>
      </c>
      <c r="K7047">
        <f>LET(
    purpose,'Loan Tape (S&amp;P)'!R7047,
    IF(purpose="Purchase",1.00,
        IF(purpose="Remortgage",1.00,
            1.20)))</f>
        <v/>
      </c>
      <c r="L7047">
        <f>LET(
    arrears_months,'Loan Tape (S&amp;P)'!AN7047,
    IF(arrears_months=0,1.00,
    IF(arrears_months=1,3.00,
    IF(arrears_months=2,5.00,
    IF(arrears_months=3,8.00,
    IF(arrears_months=4,10.00,
    IF(arrears_months=5,12.00,15.00)))))))</f>
        <v/>
      </c>
      <c r="M7047">
        <f>LET(
    seasoning_years,DATEDIF('Loan Tape (S&amp;P)'!K7047,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47">
        <f>IF(AND('Loan Tape (S&amp;P)'!U7047="Yes",
        'Loan Tape (S&amp;P)'!T7047&lt;&gt;"Yes",
        DATEDIF('Loan Tape (S&amp;P)'!K7047, TODAY(), "M")&lt;18),
    1.10,
    1.00)</f>
        <v/>
      </c>
      <c r="O7047">
        <f>IF('Loan Tape (S&amp;P)'!T7047="Yes",
    1.35,
    1.00)</f>
        <v/>
      </c>
      <c r="P7047">
        <f>IF('Loan Tape (S&amp;P)'!S7047="Yes",
    1.15,
    1.00)</f>
        <v/>
      </c>
      <c r="Q7047">
        <f>IF('Loan Tape (S&amp;P)'!V7047="Yes",
    1.20,
    1.00)</f>
        <v/>
      </c>
      <c r="T7047">
        <f>LET(
    payment_method,'Loan Tape (S&amp;P)'!P7047,
    occupancy,'Loan Tape (S&amp;P)'!N7047,
    maturity_date,'Loan Tape (S&amp;P)'!L7047,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48">
      <c r="J7048">
        <f>LET(
    lien,'Loan Tape (S&amp;P)'!Q7048,
    IF(lien="First",1.00,
        IF(lien="Second",1.50,
            1.70)))</f>
        <v/>
      </c>
      <c r="K7048">
        <f>LET(
    purpose,'Loan Tape (S&amp;P)'!R7048,
    IF(purpose="Purchase",1.00,
        IF(purpose="Remortgage",1.00,
            1.20)))</f>
        <v/>
      </c>
      <c r="L7048">
        <f>LET(
    arrears_months,'Loan Tape (S&amp;P)'!AN7048,
    IF(arrears_months=0,1.00,
    IF(arrears_months=1,3.00,
    IF(arrears_months=2,5.00,
    IF(arrears_months=3,8.00,
    IF(arrears_months=4,10.00,
    IF(arrears_months=5,12.00,15.00)))))))</f>
        <v/>
      </c>
      <c r="M7048">
        <f>LET(
    seasoning_years,DATEDIF('Loan Tape (S&amp;P)'!K7048,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48">
        <f>IF(AND('Loan Tape (S&amp;P)'!U7048="Yes",
        'Loan Tape (S&amp;P)'!T7048&lt;&gt;"Yes",
        DATEDIF('Loan Tape (S&amp;P)'!K7048, TODAY(), "M")&lt;18),
    1.10,
    1.00)</f>
        <v/>
      </c>
      <c r="O7048">
        <f>IF('Loan Tape (S&amp;P)'!T7048="Yes",
    1.35,
    1.00)</f>
        <v/>
      </c>
      <c r="P7048">
        <f>IF('Loan Tape (S&amp;P)'!S7048="Yes",
    1.15,
    1.00)</f>
        <v/>
      </c>
      <c r="Q7048">
        <f>IF('Loan Tape (S&amp;P)'!V7048="Yes",
    1.20,
    1.00)</f>
        <v/>
      </c>
      <c r="T7048">
        <f>LET(
    payment_method,'Loan Tape (S&amp;P)'!P7048,
    occupancy,'Loan Tape (S&amp;P)'!N7048,
    maturity_date,'Loan Tape (S&amp;P)'!L7048,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49">
      <c r="J7049">
        <f>LET(
    lien,'Loan Tape (S&amp;P)'!Q7049,
    IF(lien="First",1.00,
        IF(lien="Second",1.50,
            1.70)))</f>
        <v/>
      </c>
      <c r="K7049">
        <f>LET(
    purpose,'Loan Tape (S&amp;P)'!R7049,
    IF(purpose="Purchase",1.00,
        IF(purpose="Remortgage",1.00,
            1.20)))</f>
        <v/>
      </c>
      <c r="L7049">
        <f>LET(
    arrears_months,'Loan Tape (S&amp;P)'!AN7049,
    IF(arrears_months=0,1.00,
    IF(arrears_months=1,3.00,
    IF(arrears_months=2,5.00,
    IF(arrears_months=3,8.00,
    IF(arrears_months=4,10.00,
    IF(arrears_months=5,12.00,15.00)))))))</f>
        <v/>
      </c>
      <c r="M7049">
        <f>LET(
    seasoning_years,DATEDIF('Loan Tape (S&amp;P)'!K7049,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49">
        <f>IF(AND('Loan Tape (S&amp;P)'!U7049="Yes",
        'Loan Tape (S&amp;P)'!T7049&lt;&gt;"Yes",
        DATEDIF('Loan Tape (S&amp;P)'!K7049, TODAY(), "M")&lt;18),
    1.10,
    1.00)</f>
        <v/>
      </c>
      <c r="O7049">
        <f>IF('Loan Tape (S&amp;P)'!T7049="Yes",
    1.35,
    1.00)</f>
        <v/>
      </c>
      <c r="P7049">
        <f>IF('Loan Tape (S&amp;P)'!S7049="Yes",
    1.15,
    1.00)</f>
        <v/>
      </c>
      <c r="Q7049">
        <f>IF('Loan Tape (S&amp;P)'!V7049="Yes",
    1.20,
    1.00)</f>
        <v/>
      </c>
      <c r="T7049">
        <f>LET(
    payment_method,'Loan Tape (S&amp;P)'!P7049,
    occupancy,'Loan Tape (S&amp;P)'!N7049,
    maturity_date,'Loan Tape (S&amp;P)'!L7049,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50">
      <c r="J7050">
        <f>LET(
    lien,'Loan Tape (S&amp;P)'!Q7050,
    IF(lien="First",1.00,
        IF(lien="Second",1.50,
            1.70)))</f>
        <v/>
      </c>
      <c r="K7050">
        <f>LET(
    purpose,'Loan Tape (S&amp;P)'!R7050,
    IF(purpose="Purchase",1.00,
        IF(purpose="Remortgage",1.00,
            1.20)))</f>
        <v/>
      </c>
      <c r="L7050">
        <f>LET(
    arrears_months,'Loan Tape (S&amp;P)'!AN7050,
    IF(arrears_months=0,1.00,
    IF(arrears_months=1,3.00,
    IF(arrears_months=2,5.00,
    IF(arrears_months=3,8.00,
    IF(arrears_months=4,10.00,
    IF(arrears_months=5,12.00,15.00)))))))</f>
        <v/>
      </c>
      <c r="M7050">
        <f>LET(
    seasoning_years,DATEDIF('Loan Tape (S&amp;P)'!K7050,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50">
        <f>IF(AND('Loan Tape (S&amp;P)'!U7050="Yes",
        'Loan Tape (S&amp;P)'!T7050&lt;&gt;"Yes",
        DATEDIF('Loan Tape (S&amp;P)'!K7050, TODAY(), "M")&lt;18),
    1.10,
    1.00)</f>
        <v/>
      </c>
      <c r="O7050">
        <f>IF('Loan Tape (S&amp;P)'!T7050="Yes",
    1.35,
    1.00)</f>
        <v/>
      </c>
      <c r="P7050">
        <f>IF('Loan Tape (S&amp;P)'!S7050="Yes",
    1.15,
    1.00)</f>
        <v/>
      </c>
      <c r="Q7050">
        <f>IF('Loan Tape (S&amp;P)'!V7050="Yes",
    1.20,
    1.00)</f>
        <v/>
      </c>
      <c r="T7050">
        <f>LET(
    payment_method,'Loan Tape (S&amp;P)'!P7050,
    occupancy,'Loan Tape (S&amp;P)'!N7050,
    maturity_date,'Loan Tape (S&amp;P)'!L7050,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51">
      <c r="J7051">
        <f>LET(
    lien,'Loan Tape (S&amp;P)'!Q7051,
    IF(lien="First",1.00,
        IF(lien="Second",1.50,
            1.70)))</f>
        <v/>
      </c>
      <c r="K7051">
        <f>LET(
    purpose,'Loan Tape (S&amp;P)'!R7051,
    IF(purpose="Purchase",1.00,
        IF(purpose="Remortgage",1.00,
            1.20)))</f>
        <v/>
      </c>
      <c r="L7051">
        <f>LET(
    arrears_months,'Loan Tape (S&amp;P)'!AN7051,
    IF(arrears_months=0,1.00,
    IF(arrears_months=1,3.00,
    IF(arrears_months=2,5.00,
    IF(arrears_months=3,8.00,
    IF(arrears_months=4,10.00,
    IF(arrears_months=5,12.00,15.00)))))))</f>
        <v/>
      </c>
      <c r="M7051">
        <f>LET(
    seasoning_years,DATEDIF('Loan Tape (S&amp;P)'!K7051,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51">
        <f>IF(AND('Loan Tape (S&amp;P)'!U7051="Yes",
        'Loan Tape (S&amp;P)'!T7051&lt;&gt;"Yes",
        DATEDIF('Loan Tape (S&amp;P)'!K7051, TODAY(), "M")&lt;18),
    1.10,
    1.00)</f>
        <v/>
      </c>
      <c r="O7051">
        <f>IF('Loan Tape (S&amp;P)'!T7051="Yes",
    1.35,
    1.00)</f>
        <v/>
      </c>
      <c r="P7051">
        <f>IF('Loan Tape (S&amp;P)'!S7051="Yes",
    1.15,
    1.00)</f>
        <v/>
      </c>
      <c r="Q7051">
        <f>IF('Loan Tape (S&amp;P)'!V7051="Yes",
    1.20,
    1.00)</f>
        <v/>
      </c>
      <c r="T7051">
        <f>LET(
    payment_method,'Loan Tape (S&amp;P)'!P7051,
    occupancy,'Loan Tape (S&amp;P)'!N7051,
    maturity_date,'Loan Tape (S&amp;P)'!L7051,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52">
      <c r="J7052">
        <f>LET(
    lien,'Loan Tape (S&amp;P)'!Q7052,
    IF(lien="First",1.00,
        IF(lien="Second",1.50,
            1.70)))</f>
        <v/>
      </c>
      <c r="K7052">
        <f>LET(
    purpose,'Loan Tape (S&amp;P)'!R7052,
    IF(purpose="Purchase",1.00,
        IF(purpose="Remortgage",1.00,
            1.20)))</f>
        <v/>
      </c>
      <c r="L7052">
        <f>LET(
    arrears_months,'Loan Tape (S&amp;P)'!AN7052,
    IF(arrears_months=0,1.00,
    IF(arrears_months=1,3.00,
    IF(arrears_months=2,5.00,
    IF(arrears_months=3,8.00,
    IF(arrears_months=4,10.00,
    IF(arrears_months=5,12.00,15.00)))))))</f>
        <v/>
      </c>
      <c r="M7052">
        <f>LET(
    seasoning_years,DATEDIF('Loan Tape (S&amp;P)'!K7052,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52">
        <f>IF(AND('Loan Tape (S&amp;P)'!U7052="Yes",
        'Loan Tape (S&amp;P)'!T7052&lt;&gt;"Yes",
        DATEDIF('Loan Tape (S&amp;P)'!K7052, TODAY(), "M")&lt;18),
    1.10,
    1.00)</f>
        <v/>
      </c>
      <c r="O7052">
        <f>IF('Loan Tape (S&amp;P)'!T7052="Yes",
    1.35,
    1.00)</f>
        <v/>
      </c>
      <c r="P7052">
        <f>IF('Loan Tape (S&amp;P)'!S7052="Yes",
    1.15,
    1.00)</f>
        <v/>
      </c>
      <c r="Q7052">
        <f>IF('Loan Tape (S&amp;P)'!V7052="Yes",
    1.20,
    1.00)</f>
        <v/>
      </c>
      <c r="T7052">
        <f>LET(
    payment_method,'Loan Tape (S&amp;P)'!P7052,
    occupancy,'Loan Tape (S&amp;P)'!N7052,
    maturity_date,'Loan Tape (S&amp;P)'!L7052,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53">
      <c r="J7053">
        <f>LET(
    lien,'Loan Tape (S&amp;P)'!Q7053,
    IF(lien="First",1.00,
        IF(lien="Second",1.50,
            1.70)))</f>
        <v/>
      </c>
      <c r="K7053">
        <f>LET(
    purpose,'Loan Tape (S&amp;P)'!R7053,
    IF(purpose="Purchase",1.00,
        IF(purpose="Remortgage",1.00,
            1.20)))</f>
        <v/>
      </c>
      <c r="L7053">
        <f>LET(
    arrears_months,'Loan Tape (S&amp;P)'!AN7053,
    IF(arrears_months=0,1.00,
    IF(arrears_months=1,3.00,
    IF(arrears_months=2,5.00,
    IF(arrears_months=3,8.00,
    IF(arrears_months=4,10.00,
    IF(arrears_months=5,12.00,15.00)))))))</f>
        <v/>
      </c>
      <c r="M7053">
        <f>LET(
    seasoning_years,DATEDIF('Loan Tape (S&amp;P)'!K7053,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53">
        <f>IF(AND('Loan Tape (S&amp;P)'!U7053="Yes",
        'Loan Tape (S&amp;P)'!T7053&lt;&gt;"Yes",
        DATEDIF('Loan Tape (S&amp;P)'!K7053, TODAY(), "M")&lt;18),
    1.10,
    1.00)</f>
        <v/>
      </c>
      <c r="O7053">
        <f>IF('Loan Tape (S&amp;P)'!T7053="Yes",
    1.35,
    1.00)</f>
        <v/>
      </c>
      <c r="P7053">
        <f>IF('Loan Tape (S&amp;P)'!S7053="Yes",
    1.15,
    1.00)</f>
        <v/>
      </c>
      <c r="Q7053">
        <f>IF('Loan Tape (S&amp;P)'!V7053="Yes",
    1.20,
    1.00)</f>
        <v/>
      </c>
      <c r="T7053">
        <f>LET(
    payment_method,'Loan Tape (S&amp;P)'!P7053,
    occupancy,'Loan Tape (S&amp;P)'!N7053,
    maturity_date,'Loan Tape (S&amp;P)'!L7053,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54">
      <c r="J7054">
        <f>LET(
    lien,'Loan Tape (S&amp;P)'!Q7054,
    IF(lien="First",1.00,
        IF(lien="Second",1.50,
            1.70)))</f>
        <v/>
      </c>
      <c r="K7054">
        <f>LET(
    purpose,'Loan Tape (S&amp;P)'!R7054,
    IF(purpose="Purchase",1.00,
        IF(purpose="Remortgage",1.00,
            1.20)))</f>
        <v/>
      </c>
      <c r="L7054">
        <f>LET(
    arrears_months,'Loan Tape (S&amp;P)'!AN7054,
    IF(arrears_months=0,1.00,
    IF(arrears_months=1,3.00,
    IF(arrears_months=2,5.00,
    IF(arrears_months=3,8.00,
    IF(arrears_months=4,10.00,
    IF(arrears_months=5,12.00,15.00)))))))</f>
        <v/>
      </c>
      <c r="M7054">
        <f>LET(
    seasoning_years,DATEDIF('Loan Tape (S&amp;P)'!K7054,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54">
        <f>IF(AND('Loan Tape (S&amp;P)'!U7054="Yes",
        'Loan Tape (S&amp;P)'!T7054&lt;&gt;"Yes",
        DATEDIF('Loan Tape (S&amp;P)'!K7054, TODAY(), "M")&lt;18),
    1.10,
    1.00)</f>
        <v/>
      </c>
      <c r="O7054">
        <f>IF('Loan Tape (S&amp;P)'!T7054="Yes",
    1.35,
    1.00)</f>
        <v/>
      </c>
      <c r="P7054">
        <f>IF('Loan Tape (S&amp;P)'!S7054="Yes",
    1.15,
    1.00)</f>
        <v/>
      </c>
      <c r="Q7054">
        <f>IF('Loan Tape (S&amp;P)'!V7054="Yes",
    1.20,
    1.00)</f>
        <v/>
      </c>
      <c r="T7054">
        <f>LET(
    payment_method,'Loan Tape (S&amp;P)'!P7054,
    occupancy,'Loan Tape (S&amp;P)'!N7054,
    maturity_date,'Loan Tape (S&amp;P)'!L7054,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55">
      <c r="J7055">
        <f>LET(
    lien,'Loan Tape (S&amp;P)'!Q7055,
    IF(lien="First",1.00,
        IF(lien="Second",1.50,
            1.70)))</f>
        <v/>
      </c>
      <c r="K7055">
        <f>LET(
    purpose,'Loan Tape (S&amp;P)'!R7055,
    IF(purpose="Purchase",1.00,
        IF(purpose="Remortgage",1.00,
            1.20)))</f>
        <v/>
      </c>
      <c r="L7055">
        <f>LET(
    arrears_months,'Loan Tape (S&amp;P)'!AN7055,
    IF(arrears_months=0,1.00,
    IF(arrears_months=1,3.00,
    IF(arrears_months=2,5.00,
    IF(arrears_months=3,8.00,
    IF(arrears_months=4,10.00,
    IF(arrears_months=5,12.00,15.00)))))))</f>
        <v/>
      </c>
      <c r="M7055">
        <f>LET(
    seasoning_years,DATEDIF('Loan Tape (S&amp;P)'!K7055,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55">
        <f>IF(AND('Loan Tape (S&amp;P)'!U7055="Yes",
        'Loan Tape (S&amp;P)'!T7055&lt;&gt;"Yes",
        DATEDIF('Loan Tape (S&amp;P)'!K7055, TODAY(), "M")&lt;18),
    1.10,
    1.00)</f>
        <v/>
      </c>
      <c r="O7055">
        <f>IF('Loan Tape (S&amp;P)'!T7055="Yes",
    1.35,
    1.00)</f>
        <v/>
      </c>
      <c r="P7055">
        <f>IF('Loan Tape (S&amp;P)'!S7055="Yes",
    1.15,
    1.00)</f>
        <v/>
      </c>
      <c r="Q7055">
        <f>IF('Loan Tape (S&amp;P)'!V7055="Yes",
    1.20,
    1.00)</f>
        <v/>
      </c>
      <c r="T7055">
        <f>LET(
    payment_method,'Loan Tape (S&amp;P)'!P7055,
    occupancy,'Loan Tape (S&amp;P)'!N7055,
    maturity_date,'Loan Tape (S&amp;P)'!L7055,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56">
      <c r="J7056">
        <f>LET(
    lien,'Loan Tape (S&amp;P)'!Q7056,
    IF(lien="First",1.00,
        IF(lien="Second",1.50,
            1.70)))</f>
        <v/>
      </c>
      <c r="K7056">
        <f>LET(
    purpose,'Loan Tape (S&amp;P)'!R7056,
    IF(purpose="Purchase",1.00,
        IF(purpose="Remortgage",1.00,
            1.20)))</f>
        <v/>
      </c>
      <c r="L7056">
        <f>LET(
    arrears_months,'Loan Tape (S&amp;P)'!AN7056,
    IF(arrears_months=0,1.00,
    IF(arrears_months=1,3.00,
    IF(arrears_months=2,5.00,
    IF(arrears_months=3,8.00,
    IF(arrears_months=4,10.00,
    IF(arrears_months=5,12.00,15.00)))))))</f>
        <v/>
      </c>
      <c r="M7056">
        <f>LET(
    seasoning_years,DATEDIF('Loan Tape (S&amp;P)'!K7056,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56">
        <f>IF(AND('Loan Tape (S&amp;P)'!U7056="Yes",
        'Loan Tape (S&amp;P)'!T7056&lt;&gt;"Yes",
        DATEDIF('Loan Tape (S&amp;P)'!K7056, TODAY(), "M")&lt;18),
    1.10,
    1.00)</f>
        <v/>
      </c>
      <c r="O7056">
        <f>IF('Loan Tape (S&amp;P)'!T7056="Yes",
    1.35,
    1.00)</f>
        <v/>
      </c>
      <c r="P7056">
        <f>IF('Loan Tape (S&amp;P)'!S7056="Yes",
    1.15,
    1.00)</f>
        <v/>
      </c>
      <c r="Q7056">
        <f>IF('Loan Tape (S&amp;P)'!V7056="Yes",
    1.20,
    1.00)</f>
        <v/>
      </c>
      <c r="T7056">
        <f>LET(
    payment_method,'Loan Tape (S&amp;P)'!P7056,
    occupancy,'Loan Tape (S&amp;P)'!N7056,
    maturity_date,'Loan Tape (S&amp;P)'!L7056,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57">
      <c r="J7057">
        <f>LET(
    lien,'Loan Tape (S&amp;P)'!Q7057,
    IF(lien="First",1.00,
        IF(lien="Second",1.50,
            1.70)))</f>
        <v/>
      </c>
      <c r="K7057">
        <f>LET(
    purpose,'Loan Tape (S&amp;P)'!R7057,
    IF(purpose="Purchase",1.00,
        IF(purpose="Remortgage",1.00,
            1.20)))</f>
        <v/>
      </c>
      <c r="L7057">
        <f>LET(
    arrears_months,'Loan Tape (S&amp;P)'!AN7057,
    IF(arrears_months=0,1.00,
    IF(arrears_months=1,3.00,
    IF(arrears_months=2,5.00,
    IF(arrears_months=3,8.00,
    IF(arrears_months=4,10.00,
    IF(arrears_months=5,12.00,15.00)))))))</f>
        <v/>
      </c>
      <c r="M7057">
        <f>LET(
    seasoning_years,DATEDIF('Loan Tape (S&amp;P)'!K7057,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57">
        <f>IF(AND('Loan Tape (S&amp;P)'!U7057="Yes",
        'Loan Tape (S&amp;P)'!T7057&lt;&gt;"Yes",
        DATEDIF('Loan Tape (S&amp;P)'!K7057, TODAY(), "M")&lt;18),
    1.10,
    1.00)</f>
        <v/>
      </c>
      <c r="O7057">
        <f>IF('Loan Tape (S&amp;P)'!T7057="Yes",
    1.35,
    1.00)</f>
        <v/>
      </c>
      <c r="P7057">
        <f>IF('Loan Tape (S&amp;P)'!S7057="Yes",
    1.15,
    1.00)</f>
        <v/>
      </c>
      <c r="Q7057">
        <f>IF('Loan Tape (S&amp;P)'!V7057="Yes",
    1.20,
    1.00)</f>
        <v/>
      </c>
      <c r="T7057">
        <f>LET(
    payment_method,'Loan Tape (S&amp;P)'!P7057,
    occupancy,'Loan Tape (S&amp;P)'!N7057,
    maturity_date,'Loan Tape (S&amp;P)'!L7057,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58">
      <c r="J7058">
        <f>LET(
    lien,'Loan Tape (S&amp;P)'!Q7058,
    IF(lien="First",1.00,
        IF(lien="Second",1.50,
            1.70)))</f>
        <v/>
      </c>
      <c r="K7058">
        <f>LET(
    purpose,'Loan Tape (S&amp;P)'!R7058,
    IF(purpose="Purchase",1.00,
        IF(purpose="Remortgage",1.00,
            1.20)))</f>
        <v/>
      </c>
      <c r="L7058">
        <f>LET(
    arrears_months,'Loan Tape (S&amp;P)'!AN7058,
    IF(arrears_months=0,1.00,
    IF(arrears_months=1,3.00,
    IF(arrears_months=2,5.00,
    IF(arrears_months=3,8.00,
    IF(arrears_months=4,10.00,
    IF(arrears_months=5,12.00,15.00)))))))</f>
        <v/>
      </c>
      <c r="M7058">
        <f>LET(
    seasoning_years,DATEDIF('Loan Tape (S&amp;P)'!K7058,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58">
        <f>IF(AND('Loan Tape (S&amp;P)'!U7058="Yes",
        'Loan Tape (S&amp;P)'!T7058&lt;&gt;"Yes",
        DATEDIF('Loan Tape (S&amp;P)'!K7058, TODAY(), "M")&lt;18),
    1.10,
    1.00)</f>
        <v/>
      </c>
      <c r="O7058">
        <f>IF('Loan Tape (S&amp;P)'!T7058="Yes",
    1.35,
    1.00)</f>
        <v/>
      </c>
      <c r="P7058">
        <f>IF('Loan Tape (S&amp;P)'!S7058="Yes",
    1.15,
    1.00)</f>
        <v/>
      </c>
      <c r="Q7058">
        <f>IF('Loan Tape (S&amp;P)'!V7058="Yes",
    1.20,
    1.00)</f>
        <v/>
      </c>
      <c r="T7058">
        <f>LET(
    payment_method,'Loan Tape (S&amp;P)'!P7058,
    occupancy,'Loan Tape (S&amp;P)'!N7058,
    maturity_date,'Loan Tape (S&amp;P)'!L7058,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59">
      <c r="J7059">
        <f>LET(
    lien,'Loan Tape (S&amp;P)'!Q7059,
    IF(lien="First",1.00,
        IF(lien="Second",1.50,
            1.70)))</f>
        <v/>
      </c>
      <c r="K7059">
        <f>LET(
    purpose,'Loan Tape (S&amp;P)'!R7059,
    IF(purpose="Purchase",1.00,
        IF(purpose="Remortgage",1.00,
            1.20)))</f>
        <v/>
      </c>
      <c r="L7059">
        <f>LET(
    arrears_months,'Loan Tape (S&amp;P)'!AN7059,
    IF(arrears_months=0,1.00,
    IF(arrears_months=1,3.00,
    IF(arrears_months=2,5.00,
    IF(arrears_months=3,8.00,
    IF(arrears_months=4,10.00,
    IF(arrears_months=5,12.00,15.00)))))))</f>
        <v/>
      </c>
      <c r="M7059">
        <f>LET(
    seasoning_years,DATEDIF('Loan Tape (S&amp;P)'!K7059,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59">
        <f>IF(AND('Loan Tape (S&amp;P)'!U7059="Yes",
        'Loan Tape (S&amp;P)'!T7059&lt;&gt;"Yes",
        DATEDIF('Loan Tape (S&amp;P)'!K7059, TODAY(), "M")&lt;18),
    1.10,
    1.00)</f>
        <v/>
      </c>
      <c r="O7059">
        <f>IF('Loan Tape (S&amp;P)'!T7059="Yes",
    1.35,
    1.00)</f>
        <v/>
      </c>
      <c r="P7059">
        <f>IF('Loan Tape (S&amp;P)'!S7059="Yes",
    1.15,
    1.00)</f>
        <v/>
      </c>
      <c r="Q7059">
        <f>IF('Loan Tape (S&amp;P)'!V7059="Yes",
    1.20,
    1.00)</f>
        <v/>
      </c>
      <c r="T7059">
        <f>LET(
    payment_method,'Loan Tape (S&amp;P)'!P7059,
    occupancy,'Loan Tape (S&amp;P)'!N7059,
    maturity_date,'Loan Tape (S&amp;P)'!L7059,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60">
      <c r="J7060">
        <f>LET(
    lien,'Loan Tape (S&amp;P)'!Q7060,
    IF(lien="First",1.00,
        IF(lien="Second",1.50,
            1.70)))</f>
        <v/>
      </c>
      <c r="K7060">
        <f>LET(
    purpose,'Loan Tape (S&amp;P)'!R7060,
    IF(purpose="Purchase",1.00,
        IF(purpose="Remortgage",1.00,
            1.20)))</f>
        <v/>
      </c>
      <c r="L7060">
        <f>LET(
    arrears_months,'Loan Tape (S&amp;P)'!AN7060,
    IF(arrears_months=0,1.00,
    IF(arrears_months=1,3.00,
    IF(arrears_months=2,5.00,
    IF(arrears_months=3,8.00,
    IF(arrears_months=4,10.00,
    IF(arrears_months=5,12.00,15.00)))))))</f>
        <v/>
      </c>
      <c r="M7060">
        <f>LET(
    seasoning_years,DATEDIF('Loan Tape (S&amp;P)'!K7060,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60">
        <f>IF(AND('Loan Tape (S&amp;P)'!U7060="Yes",
        'Loan Tape (S&amp;P)'!T7060&lt;&gt;"Yes",
        DATEDIF('Loan Tape (S&amp;P)'!K7060, TODAY(), "M")&lt;18),
    1.10,
    1.00)</f>
        <v/>
      </c>
      <c r="O7060">
        <f>IF('Loan Tape (S&amp;P)'!T7060="Yes",
    1.35,
    1.00)</f>
        <v/>
      </c>
      <c r="P7060">
        <f>IF('Loan Tape (S&amp;P)'!S7060="Yes",
    1.15,
    1.00)</f>
        <v/>
      </c>
      <c r="Q7060">
        <f>IF('Loan Tape (S&amp;P)'!V7060="Yes",
    1.20,
    1.00)</f>
        <v/>
      </c>
      <c r="T7060">
        <f>LET(
    payment_method,'Loan Tape (S&amp;P)'!P7060,
    occupancy,'Loan Tape (S&amp;P)'!N7060,
    maturity_date,'Loan Tape (S&amp;P)'!L7060,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61">
      <c r="J7061">
        <f>LET(
    lien,'Loan Tape (S&amp;P)'!Q7061,
    IF(lien="First",1.00,
        IF(lien="Second",1.50,
            1.70)))</f>
        <v/>
      </c>
      <c r="K7061">
        <f>LET(
    purpose,'Loan Tape (S&amp;P)'!R7061,
    IF(purpose="Purchase",1.00,
        IF(purpose="Remortgage",1.00,
            1.20)))</f>
        <v/>
      </c>
      <c r="L7061">
        <f>LET(
    arrears_months,'Loan Tape (S&amp;P)'!AN7061,
    IF(arrears_months=0,1.00,
    IF(arrears_months=1,3.00,
    IF(arrears_months=2,5.00,
    IF(arrears_months=3,8.00,
    IF(arrears_months=4,10.00,
    IF(arrears_months=5,12.00,15.00)))))))</f>
        <v/>
      </c>
      <c r="M7061">
        <f>LET(
    seasoning_years,DATEDIF('Loan Tape (S&amp;P)'!K7061,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61">
        <f>IF(AND('Loan Tape (S&amp;P)'!U7061="Yes",
        'Loan Tape (S&amp;P)'!T7061&lt;&gt;"Yes",
        DATEDIF('Loan Tape (S&amp;P)'!K7061, TODAY(), "M")&lt;18),
    1.10,
    1.00)</f>
        <v/>
      </c>
      <c r="O7061">
        <f>IF('Loan Tape (S&amp;P)'!T7061="Yes",
    1.35,
    1.00)</f>
        <v/>
      </c>
      <c r="P7061">
        <f>IF('Loan Tape (S&amp;P)'!S7061="Yes",
    1.15,
    1.00)</f>
        <v/>
      </c>
      <c r="Q7061">
        <f>IF('Loan Tape (S&amp;P)'!V7061="Yes",
    1.20,
    1.00)</f>
        <v/>
      </c>
      <c r="T7061">
        <f>LET(
    payment_method,'Loan Tape (S&amp;P)'!P7061,
    occupancy,'Loan Tape (S&amp;P)'!N7061,
    maturity_date,'Loan Tape (S&amp;P)'!L7061,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62">
      <c r="J7062">
        <f>LET(
    lien,'Loan Tape (S&amp;P)'!Q7062,
    IF(lien="First",1.00,
        IF(lien="Second",1.50,
            1.70)))</f>
        <v/>
      </c>
      <c r="K7062">
        <f>LET(
    purpose,'Loan Tape (S&amp;P)'!R7062,
    IF(purpose="Purchase",1.00,
        IF(purpose="Remortgage",1.00,
            1.20)))</f>
        <v/>
      </c>
      <c r="L7062">
        <f>LET(
    arrears_months,'Loan Tape (S&amp;P)'!AN7062,
    IF(arrears_months=0,1.00,
    IF(arrears_months=1,3.00,
    IF(arrears_months=2,5.00,
    IF(arrears_months=3,8.00,
    IF(arrears_months=4,10.00,
    IF(arrears_months=5,12.00,15.00)))))))</f>
        <v/>
      </c>
      <c r="M7062">
        <f>LET(
    seasoning_years,DATEDIF('Loan Tape (S&amp;P)'!K7062,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62">
        <f>IF(AND('Loan Tape (S&amp;P)'!U7062="Yes",
        'Loan Tape (S&amp;P)'!T7062&lt;&gt;"Yes",
        DATEDIF('Loan Tape (S&amp;P)'!K7062, TODAY(), "M")&lt;18),
    1.10,
    1.00)</f>
        <v/>
      </c>
      <c r="O7062">
        <f>IF('Loan Tape (S&amp;P)'!T7062="Yes",
    1.35,
    1.00)</f>
        <v/>
      </c>
      <c r="P7062">
        <f>IF('Loan Tape (S&amp;P)'!S7062="Yes",
    1.15,
    1.00)</f>
        <v/>
      </c>
      <c r="Q7062">
        <f>IF('Loan Tape (S&amp;P)'!V7062="Yes",
    1.20,
    1.00)</f>
        <v/>
      </c>
      <c r="T7062">
        <f>LET(
    payment_method,'Loan Tape (S&amp;P)'!P7062,
    occupancy,'Loan Tape (S&amp;P)'!N7062,
    maturity_date,'Loan Tape (S&amp;P)'!L7062,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63">
      <c r="J7063">
        <f>LET(
    lien,'Loan Tape (S&amp;P)'!Q7063,
    IF(lien="First",1.00,
        IF(lien="Second",1.50,
            1.70)))</f>
        <v/>
      </c>
      <c r="K7063">
        <f>LET(
    purpose,'Loan Tape (S&amp;P)'!R7063,
    IF(purpose="Purchase",1.00,
        IF(purpose="Remortgage",1.00,
            1.20)))</f>
        <v/>
      </c>
      <c r="L7063">
        <f>LET(
    arrears_months,'Loan Tape (S&amp;P)'!AN7063,
    IF(arrears_months=0,1.00,
    IF(arrears_months=1,3.00,
    IF(arrears_months=2,5.00,
    IF(arrears_months=3,8.00,
    IF(arrears_months=4,10.00,
    IF(arrears_months=5,12.00,15.00)))))))</f>
        <v/>
      </c>
      <c r="M7063">
        <f>LET(
    seasoning_years,DATEDIF('Loan Tape (S&amp;P)'!K7063,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63">
        <f>IF(AND('Loan Tape (S&amp;P)'!U7063="Yes",
        'Loan Tape (S&amp;P)'!T7063&lt;&gt;"Yes",
        DATEDIF('Loan Tape (S&amp;P)'!K7063, TODAY(), "M")&lt;18),
    1.10,
    1.00)</f>
        <v/>
      </c>
      <c r="O7063">
        <f>IF('Loan Tape (S&amp;P)'!T7063="Yes",
    1.35,
    1.00)</f>
        <v/>
      </c>
      <c r="P7063">
        <f>IF('Loan Tape (S&amp;P)'!S7063="Yes",
    1.15,
    1.00)</f>
        <v/>
      </c>
      <c r="Q7063">
        <f>IF('Loan Tape (S&amp;P)'!V7063="Yes",
    1.20,
    1.00)</f>
        <v/>
      </c>
      <c r="T7063">
        <f>LET(
    payment_method,'Loan Tape (S&amp;P)'!P7063,
    occupancy,'Loan Tape (S&amp;P)'!N7063,
    maturity_date,'Loan Tape (S&amp;P)'!L7063,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64">
      <c r="J7064">
        <f>LET(
    lien,'Loan Tape (S&amp;P)'!Q7064,
    IF(lien="First",1.00,
        IF(lien="Second",1.50,
            1.70)))</f>
        <v/>
      </c>
      <c r="K7064">
        <f>LET(
    purpose,'Loan Tape (S&amp;P)'!R7064,
    IF(purpose="Purchase",1.00,
        IF(purpose="Remortgage",1.00,
            1.20)))</f>
        <v/>
      </c>
      <c r="L7064">
        <f>LET(
    arrears_months,'Loan Tape (S&amp;P)'!AN7064,
    IF(arrears_months=0,1.00,
    IF(arrears_months=1,3.00,
    IF(arrears_months=2,5.00,
    IF(arrears_months=3,8.00,
    IF(arrears_months=4,10.00,
    IF(arrears_months=5,12.00,15.00)))))))</f>
        <v/>
      </c>
      <c r="M7064">
        <f>LET(
    seasoning_years,DATEDIF('Loan Tape (S&amp;P)'!K7064,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64">
        <f>IF(AND('Loan Tape (S&amp;P)'!U7064="Yes",
        'Loan Tape (S&amp;P)'!T7064&lt;&gt;"Yes",
        DATEDIF('Loan Tape (S&amp;P)'!K7064, TODAY(), "M")&lt;18),
    1.10,
    1.00)</f>
        <v/>
      </c>
      <c r="O7064">
        <f>IF('Loan Tape (S&amp;P)'!T7064="Yes",
    1.35,
    1.00)</f>
        <v/>
      </c>
      <c r="P7064">
        <f>IF('Loan Tape (S&amp;P)'!S7064="Yes",
    1.15,
    1.00)</f>
        <v/>
      </c>
      <c r="Q7064">
        <f>IF('Loan Tape (S&amp;P)'!V7064="Yes",
    1.20,
    1.00)</f>
        <v/>
      </c>
      <c r="T7064">
        <f>LET(
    payment_method,'Loan Tape (S&amp;P)'!P7064,
    occupancy,'Loan Tape (S&amp;P)'!N7064,
    maturity_date,'Loan Tape (S&amp;P)'!L7064,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65">
      <c r="J7065">
        <f>LET(
    lien,'Loan Tape (S&amp;P)'!Q7065,
    IF(lien="First",1.00,
        IF(lien="Second",1.50,
            1.70)))</f>
        <v/>
      </c>
      <c r="K7065">
        <f>LET(
    purpose,'Loan Tape (S&amp;P)'!R7065,
    IF(purpose="Purchase",1.00,
        IF(purpose="Remortgage",1.00,
            1.20)))</f>
        <v/>
      </c>
      <c r="L7065">
        <f>LET(
    arrears_months,'Loan Tape (S&amp;P)'!AN7065,
    IF(arrears_months=0,1.00,
    IF(arrears_months=1,3.00,
    IF(arrears_months=2,5.00,
    IF(arrears_months=3,8.00,
    IF(arrears_months=4,10.00,
    IF(arrears_months=5,12.00,15.00)))))))</f>
        <v/>
      </c>
      <c r="M7065">
        <f>LET(
    seasoning_years,DATEDIF('Loan Tape (S&amp;P)'!K7065,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65">
        <f>IF(AND('Loan Tape (S&amp;P)'!U7065="Yes",
        'Loan Tape (S&amp;P)'!T7065&lt;&gt;"Yes",
        DATEDIF('Loan Tape (S&amp;P)'!K7065, TODAY(), "M")&lt;18),
    1.10,
    1.00)</f>
        <v/>
      </c>
      <c r="O7065">
        <f>IF('Loan Tape (S&amp;P)'!T7065="Yes",
    1.35,
    1.00)</f>
        <v/>
      </c>
      <c r="P7065">
        <f>IF('Loan Tape (S&amp;P)'!S7065="Yes",
    1.15,
    1.00)</f>
        <v/>
      </c>
      <c r="Q7065">
        <f>IF('Loan Tape (S&amp;P)'!V7065="Yes",
    1.20,
    1.00)</f>
        <v/>
      </c>
      <c r="T7065">
        <f>LET(
    payment_method,'Loan Tape (S&amp;P)'!P7065,
    occupancy,'Loan Tape (S&amp;P)'!N7065,
    maturity_date,'Loan Tape (S&amp;P)'!L7065,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66">
      <c r="J7066">
        <f>LET(
    lien,'Loan Tape (S&amp;P)'!Q7066,
    IF(lien="First",1.00,
        IF(lien="Second",1.50,
            1.70)))</f>
        <v/>
      </c>
      <c r="K7066">
        <f>LET(
    purpose,'Loan Tape (S&amp;P)'!R7066,
    IF(purpose="Purchase",1.00,
        IF(purpose="Remortgage",1.00,
            1.20)))</f>
        <v/>
      </c>
      <c r="L7066">
        <f>LET(
    arrears_months,'Loan Tape (S&amp;P)'!AN7066,
    IF(arrears_months=0,1.00,
    IF(arrears_months=1,3.00,
    IF(arrears_months=2,5.00,
    IF(arrears_months=3,8.00,
    IF(arrears_months=4,10.00,
    IF(arrears_months=5,12.00,15.00)))))))</f>
        <v/>
      </c>
      <c r="M7066">
        <f>LET(
    seasoning_years,DATEDIF('Loan Tape (S&amp;P)'!K7066,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66">
        <f>IF(AND('Loan Tape (S&amp;P)'!U7066="Yes",
        'Loan Tape (S&amp;P)'!T7066&lt;&gt;"Yes",
        DATEDIF('Loan Tape (S&amp;P)'!K7066, TODAY(), "M")&lt;18),
    1.10,
    1.00)</f>
        <v/>
      </c>
      <c r="O7066">
        <f>IF('Loan Tape (S&amp;P)'!T7066="Yes",
    1.35,
    1.00)</f>
        <v/>
      </c>
      <c r="P7066">
        <f>IF('Loan Tape (S&amp;P)'!S7066="Yes",
    1.15,
    1.00)</f>
        <v/>
      </c>
      <c r="Q7066">
        <f>IF('Loan Tape (S&amp;P)'!V7066="Yes",
    1.20,
    1.00)</f>
        <v/>
      </c>
      <c r="T7066">
        <f>LET(
    payment_method,'Loan Tape (S&amp;P)'!P7066,
    occupancy,'Loan Tape (S&amp;P)'!N7066,
    maturity_date,'Loan Tape (S&amp;P)'!L7066,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67">
      <c r="J7067">
        <f>LET(
    lien,'Loan Tape (S&amp;P)'!Q7067,
    IF(lien="First",1.00,
        IF(lien="Second",1.50,
            1.70)))</f>
        <v/>
      </c>
      <c r="K7067">
        <f>LET(
    purpose,'Loan Tape (S&amp;P)'!R7067,
    IF(purpose="Purchase",1.00,
        IF(purpose="Remortgage",1.00,
            1.20)))</f>
        <v/>
      </c>
      <c r="L7067">
        <f>LET(
    arrears_months,'Loan Tape (S&amp;P)'!AN7067,
    IF(arrears_months=0,1.00,
    IF(arrears_months=1,3.00,
    IF(arrears_months=2,5.00,
    IF(arrears_months=3,8.00,
    IF(arrears_months=4,10.00,
    IF(arrears_months=5,12.00,15.00)))))))</f>
        <v/>
      </c>
      <c r="M7067">
        <f>LET(
    seasoning_years,DATEDIF('Loan Tape (S&amp;P)'!K7067,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67">
        <f>IF(AND('Loan Tape (S&amp;P)'!U7067="Yes",
        'Loan Tape (S&amp;P)'!T7067&lt;&gt;"Yes",
        DATEDIF('Loan Tape (S&amp;P)'!K7067, TODAY(), "M")&lt;18),
    1.10,
    1.00)</f>
        <v/>
      </c>
      <c r="O7067">
        <f>IF('Loan Tape (S&amp;P)'!T7067="Yes",
    1.35,
    1.00)</f>
        <v/>
      </c>
      <c r="P7067">
        <f>IF('Loan Tape (S&amp;P)'!S7067="Yes",
    1.15,
    1.00)</f>
        <v/>
      </c>
      <c r="Q7067">
        <f>IF('Loan Tape (S&amp;P)'!V7067="Yes",
    1.20,
    1.00)</f>
        <v/>
      </c>
      <c r="T7067">
        <f>LET(
    payment_method,'Loan Tape (S&amp;P)'!P7067,
    occupancy,'Loan Tape (S&amp;P)'!N7067,
    maturity_date,'Loan Tape (S&amp;P)'!L7067,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68">
      <c r="J7068">
        <f>LET(
    lien,'Loan Tape (S&amp;P)'!Q7068,
    IF(lien="First",1.00,
        IF(lien="Second",1.50,
            1.70)))</f>
        <v/>
      </c>
      <c r="K7068">
        <f>LET(
    purpose,'Loan Tape (S&amp;P)'!R7068,
    IF(purpose="Purchase",1.00,
        IF(purpose="Remortgage",1.00,
            1.20)))</f>
        <v/>
      </c>
      <c r="L7068">
        <f>LET(
    arrears_months,'Loan Tape (S&amp;P)'!AN7068,
    IF(arrears_months=0,1.00,
    IF(arrears_months=1,3.00,
    IF(arrears_months=2,5.00,
    IF(arrears_months=3,8.00,
    IF(arrears_months=4,10.00,
    IF(arrears_months=5,12.00,15.00)))))))</f>
        <v/>
      </c>
      <c r="M7068">
        <f>LET(
    seasoning_years,DATEDIF('Loan Tape (S&amp;P)'!K7068,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68">
        <f>IF(AND('Loan Tape (S&amp;P)'!U7068="Yes",
        'Loan Tape (S&amp;P)'!T7068&lt;&gt;"Yes",
        DATEDIF('Loan Tape (S&amp;P)'!K7068, TODAY(), "M")&lt;18),
    1.10,
    1.00)</f>
        <v/>
      </c>
      <c r="O7068">
        <f>IF('Loan Tape (S&amp;P)'!T7068="Yes",
    1.35,
    1.00)</f>
        <v/>
      </c>
      <c r="P7068">
        <f>IF('Loan Tape (S&amp;P)'!S7068="Yes",
    1.15,
    1.00)</f>
        <v/>
      </c>
      <c r="Q7068">
        <f>IF('Loan Tape (S&amp;P)'!V7068="Yes",
    1.20,
    1.00)</f>
        <v/>
      </c>
      <c r="T7068">
        <f>LET(
    payment_method,'Loan Tape (S&amp;P)'!P7068,
    occupancy,'Loan Tape (S&amp;P)'!N7068,
    maturity_date,'Loan Tape (S&amp;P)'!L7068,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69">
      <c r="J7069">
        <f>LET(
    lien,'Loan Tape (S&amp;P)'!Q7069,
    IF(lien="First",1.00,
        IF(lien="Second",1.50,
            1.70)))</f>
        <v/>
      </c>
      <c r="K7069">
        <f>LET(
    purpose,'Loan Tape (S&amp;P)'!R7069,
    IF(purpose="Purchase",1.00,
        IF(purpose="Remortgage",1.00,
            1.20)))</f>
        <v/>
      </c>
      <c r="L7069">
        <f>LET(
    arrears_months,'Loan Tape (S&amp;P)'!AN7069,
    IF(arrears_months=0,1.00,
    IF(arrears_months=1,3.00,
    IF(arrears_months=2,5.00,
    IF(arrears_months=3,8.00,
    IF(arrears_months=4,10.00,
    IF(arrears_months=5,12.00,15.00)))))))</f>
        <v/>
      </c>
      <c r="M7069">
        <f>LET(
    seasoning_years,DATEDIF('Loan Tape (S&amp;P)'!K7069,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69">
        <f>IF(AND('Loan Tape (S&amp;P)'!U7069="Yes",
        'Loan Tape (S&amp;P)'!T7069&lt;&gt;"Yes",
        DATEDIF('Loan Tape (S&amp;P)'!K7069, TODAY(), "M")&lt;18),
    1.10,
    1.00)</f>
        <v/>
      </c>
      <c r="O7069">
        <f>IF('Loan Tape (S&amp;P)'!T7069="Yes",
    1.35,
    1.00)</f>
        <v/>
      </c>
      <c r="P7069">
        <f>IF('Loan Tape (S&amp;P)'!S7069="Yes",
    1.15,
    1.00)</f>
        <v/>
      </c>
      <c r="Q7069">
        <f>IF('Loan Tape (S&amp;P)'!V7069="Yes",
    1.20,
    1.00)</f>
        <v/>
      </c>
      <c r="T7069">
        <f>LET(
    payment_method,'Loan Tape (S&amp;P)'!P7069,
    occupancy,'Loan Tape (S&amp;P)'!N7069,
    maturity_date,'Loan Tape (S&amp;P)'!L7069,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70">
      <c r="J7070">
        <f>LET(
    lien,'Loan Tape (S&amp;P)'!Q7070,
    IF(lien="First",1.00,
        IF(lien="Second",1.50,
            1.70)))</f>
        <v/>
      </c>
      <c r="K7070">
        <f>LET(
    purpose,'Loan Tape (S&amp;P)'!R7070,
    IF(purpose="Purchase",1.00,
        IF(purpose="Remortgage",1.00,
            1.20)))</f>
        <v/>
      </c>
      <c r="L7070">
        <f>LET(
    arrears_months,'Loan Tape (S&amp;P)'!AN7070,
    IF(arrears_months=0,1.00,
    IF(arrears_months=1,3.00,
    IF(arrears_months=2,5.00,
    IF(arrears_months=3,8.00,
    IF(arrears_months=4,10.00,
    IF(arrears_months=5,12.00,15.00)))))))</f>
        <v/>
      </c>
      <c r="M7070">
        <f>LET(
    seasoning_years,DATEDIF('Loan Tape (S&amp;P)'!K7070,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70">
        <f>IF(AND('Loan Tape (S&amp;P)'!U7070="Yes",
        'Loan Tape (S&amp;P)'!T7070&lt;&gt;"Yes",
        DATEDIF('Loan Tape (S&amp;P)'!K7070, TODAY(), "M")&lt;18),
    1.10,
    1.00)</f>
        <v/>
      </c>
      <c r="O7070">
        <f>IF('Loan Tape (S&amp;P)'!T7070="Yes",
    1.35,
    1.00)</f>
        <v/>
      </c>
      <c r="P7070">
        <f>IF('Loan Tape (S&amp;P)'!S7070="Yes",
    1.15,
    1.00)</f>
        <v/>
      </c>
      <c r="Q7070">
        <f>IF('Loan Tape (S&amp;P)'!V7070="Yes",
    1.20,
    1.00)</f>
        <v/>
      </c>
      <c r="T7070">
        <f>LET(
    payment_method,'Loan Tape (S&amp;P)'!P7070,
    occupancy,'Loan Tape (S&amp;P)'!N7070,
    maturity_date,'Loan Tape (S&amp;P)'!L7070,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71">
      <c r="J7071">
        <f>LET(
    lien,'Loan Tape (S&amp;P)'!Q7071,
    IF(lien="First",1.00,
        IF(lien="Second",1.50,
            1.70)))</f>
        <v/>
      </c>
      <c r="K7071">
        <f>LET(
    purpose,'Loan Tape (S&amp;P)'!R7071,
    IF(purpose="Purchase",1.00,
        IF(purpose="Remortgage",1.00,
            1.20)))</f>
        <v/>
      </c>
      <c r="L7071">
        <f>LET(
    arrears_months,'Loan Tape (S&amp;P)'!AN7071,
    IF(arrears_months=0,1.00,
    IF(arrears_months=1,3.00,
    IF(arrears_months=2,5.00,
    IF(arrears_months=3,8.00,
    IF(arrears_months=4,10.00,
    IF(arrears_months=5,12.00,15.00)))))))</f>
        <v/>
      </c>
      <c r="M7071">
        <f>LET(
    seasoning_years,DATEDIF('Loan Tape (S&amp;P)'!K7071,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71">
        <f>IF(AND('Loan Tape (S&amp;P)'!U7071="Yes",
        'Loan Tape (S&amp;P)'!T7071&lt;&gt;"Yes",
        DATEDIF('Loan Tape (S&amp;P)'!K7071, TODAY(), "M")&lt;18),
    1.10,
    1.00)</f>
        <v/>
      </c>
      <c r="O7071">
        <f>IF('Loan Tape (S&amp;P)'!T7071="Yes",
    1.35,
    1.00)</f>
        <v/>
      </c>
      <c r="P7071">
        <f>IF('Loan Tape (S&amp;P)'!S7071="Yes",
    1.15,
    1.00)</f>
        <v/>
      </c>
      <c r="Q7071">
        <f>IF('Loan Tape (S&amp;P)'!V7071="Yes",
    1.20,
    1.00)</f>
        <v/>
      </c>
      <c r="T7071">
        <f>LET(
    payment_method,'Loan Tape (S&amp;P)'!P7071,
    occupancy,'Loan Tape (S&amp;P)'!N7071,
    maturity_date,'Loan Tape (S&amp;P)'!L7071,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72">
      <c r="J7072">
        <f>LET(
    lien,'Loan Tape (S&amp;P)'!Q7072,
    IF(lien="First",1.00,
        IF(lien="Second",1.50,
            1.70)))</f>
        <v/>
      </c>
      <c r="K7072">
        <f>LET(
    purpose,'Loan Tape (S&amp;P)'!R7072,
    IF(purpose="Purchase",1.00,
        IF(purpose="Remortgage",1.00,
            1.20)))</f>
        <v/>
      </c>
      <c r="L7072">
        <f>LET(
    arrears_months,'Loan Tape (S&amp;P)'!AN7072,
    IF(arrears_months=0,1.00,
    IF(arrears_months=1,3.00,
    IF(arrears_months=2,5.00,
    IF(arrears_months=3,8.00,
    IF(arrears_months=4,10.00,
    IF(arrears_months=5,12.00,15.00)))))))</f>
        <v/>
      </c>
      <c r="M7072">
        <f>LET(
    seasoning_years,DATEDIF('Loan Tape (S&amp;P)'!K7072,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72">
        <f>IF(AND('Loan Tape (S&amp;P)'!U7072="Yes",
        'Loan Tape (S&amp;P)'!T7072&lt;&gt;"Yes",
        DATEDIF('Loan Tape (S&amp;P)'!K7072, TODAY(), "M")&lt;18),
    1.10,
    1.00)</f>
        <v/>
      </c>
      <c r="O7072">
        <f>IF('Loan Tape (S&amp;P)'!T7072="Yes",
    1.35,
    1.00)</f>
        <v/>
      </c>
      <c r="P7072">
        <f>IF('Loan Tape (S&amp;P)'!S7072="Yes",
    1.15,
    1.00)</f>
        <v/>
      </c>
      <c r="Q7072">
        <f>IF('Loan Tape (S&amp;P)'!V7072="Yes",
    1.20,
    1.00)</f>
        <v/>
      </c>
      <c r="T7072">
        <f>LET(
    payment_method,'Loan Tape (S&amp;P)'!P7072,
    occupancy,'Loan Tape (S&amp;P)'!N7072,
    maturity_date,'Loan Tape (S&amp;P)'!L7072,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73">
      <c r="J7073">
        <f>LET(
    lien,'Loan Tape (S&amp;P)'!Q7073,
    IF(lien="First",1.00,
        IF(lien="Second",1.50,
            1.70)))</f>
        <v/>
      </c>
      <c r="K7073">
        <f>LET(
    purpose,'Loan Tape (S&amp;P)'!R7073,
    IF(purpose="Purchase",1.00,
        IF(purpose="Remortgage",1.00,
            1.20)))</f>
        <v/>
      </c>
      <c r="L7073">
        <f>LET(
    arrears_months,'Loan Tape (S&amp;P)'!AN7073,
    IF(arrears_months=0,1.00,
    IF(arrears_months=1,3.00,
    IF(arrears_months=2,5.00,
    IF(arrears_months=3,8.00,
    IF(arrears_months=4,10.00,
    IF(arrears_months=5,12.00,15.00)))))))</f>
        <v/>
      </c>
      <c r="M7073">
        <f>LET(
    seasoning_years,DATEDIF('Loan Tape (S&amp;P)'!K7073,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73">
        <f>IF(AND('Loan Tape (S&amp;P)'!U7073="Yes",
        'Loan Tape (S&amp;P)'!T7073&lt;&gt;"Yes",
        DATEDIF('Loan Tape (S&amp;P)'!K7073, TODAY(), "M")&lt;18),
    1.10,
    1.00)</f>
        <v/>
      </c>
      <c r="O7073">
        <f>IF('Loan Tape (S&amp;P)'!T7073="Yes",
    1.35,
    1.00)</f>
        <v/>
      </c>
      <c r="P7073">
        <f>IF('Loan Tape (S&amp;P)'!S7073="Yes",
    1.15,
    1.00)</f>
        <v/>
      </c>
      <c r="Q7073">
        <f>IF('Loan Tape (S&amp;P)'!V7073="Yes",
    1.20,
    1.00)</f>
        <v/>
      </c>
      <c r="T7073">
        <f>LET(
    payment_method,'Loan Tape (S&amp;P)'!P7073,
    occupancy,'Loan Tape (S&amp;P)'!N7073,
    maturity_date,'Loan Tape (S&amp;P)'!L7073,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74">
      <c r="J7074">
        <f>LET(
    lien,'Loan Tape (S&amp;P)'!Q7074,
    IF(lien="First",1.00,
        IF(lien="Second",1.50,
            1.70)))</f>
        <v/>
      </c>
      <c r="K7074">
        <f>LET(
    purpose,'Loan Tape (S&amp;P)'!R7074,
    IF(purpose="Purchase",1.00,
        IF(purpose="Remortgage",1.00,
            1.20)))</f>
        <v/>
      </c>
      <c r="L7074">
        <f>LET(
    arrears_months,'Loan Tape (S&amp;P)'!AN7074,
    IF(arrears_months=0,1.00,
    IF(arrears_months=1,3.00,
    IF(arrears_months=2,5.00,
    IF(arrears_months=3,8.00,
    IF(arrears_months=4,10.00,
    IF(arrears_months=5,12.00,15.00)))))))</f>
        <v/>
      </c>
      <c r="M7074">
        <f>LET(
    seasoning_years,DATEDIF('Loan Tape (S&amp;P)'!K7074,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74">
        <f>IF(AND('Loan Tape (S&amp;P)'!U7074="Yes",
        'Loan Tape (S&amp;P)'!T7074&lt;&gt;"Yes",
        DATEDIF('Loan Tape (S&amp;P)'!K7074, TODAY(), "M")&lt;18),
    1.10,
    1.00)</f>
        <v/>
      </c>
      <c r="O7074">
        <f>IF('Loan Tape (S&amp;P)'!T7074="Yes",
    1.35,
    1.00)</f>
        <v/>
      </c>
      <c r="P7074">
        <f>IF('Loan Tape (S&amp;P)'!S7074="Yes",
    1.15,
    1.00)</f>
        <v/>
      </c>
      <c r="Q7074">
        <f>IF('Loan Tape (S&amp;P)'!V7074="Yes",
    1.20,
    1.00)</f>
        <v/>
      </c>
      <c r="T7074">
        <f>LET(
    payment_method,'Loan Tape (S&amp;P)'!P7074,
    occupancy,'Loan Tape (S&amp;P)'!N7074,
    maturity_date,'Loan Tape (S&amp;P)'!L7074,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75">
      <c r="J7075">
        <f>LET(
    lien,'Loan Tape (S&amp;P)'!Q7075,
    IF(lien="First",1.00,
        IF(lien="Second",1.50,
            1.70)))</f>
        <v/>
      </c>
      <c r="K7075">
        <f>LET(
    purpose,'Loan Tape (S&amp;P)'!R7075,
    IF(purpose="Purchase",1.00,
        IF(purpose="Remortgage",1.00,
            1.20)))</f>
        <v/>
      </c>
      <c r="L7075">
        <f>LET(
    arrears_months,'Loan Tape (S&amp;P)'!AN7075,
    IF(arrears_months=0,1.00,
    IF(arrears_months=1,3.00,
    IF(arrears_months=2,5.00,
    IF(arrears_months=3,8.00,
    IF(arrears_months=4,10.00,
    IF(arrears_months=5,12.00,15.00)))))))</f>
        <v/>
      </c>
      <c r="M7075">
        <f>LET(
    seasoning_years,DATEDIF('Loan Tape (S&amp;P)'!K7075,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75">
        <f>IF(AND('Loan Tape (S&amp;P)'!U7075="Yes",
        'Loan Tape (S&amp;P)'!T7075&lt;&gt;"Yes",
        DATEDIF('Loan Tape (S&amp;P)'!K7075, TODAY(), "M")&lt;18),
    1.10,
    1.00)</f>
        <v/>
      </c>
      <c r="O7075">
        <f>IF('Loan Tape (S&amp;P)'!T7075="Yes",
    1.35,
    1.00)</f>
        <v/>
      </c>
      <c r="P7075">
        <f>IF('Loan Tape (S&amp;P)'!S7075="Yes",
    1.15,
    1.00)</f>
        <v/>
      </c>
      <c r="Q7075">
        <f>IF('Loan Tape (S&amp;P)'!V7075="Yes",
    1.20,
    1.00)</f>
        <v/>
      </c>
      <c r="T7075">
        <f>LET(
    payment_method,'Loan Tape (S&amp;P)'!P7075,
    occupancy,'Loan Tape (S&amp;P)'!N7075,
    maturity_date,'Loan Tape (S&amp;P)'!L7075,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76">
      <c r="J7076">
        <f>LET(
    lien,'Loan Tape (S&amp;P)'!Q7076,
    IF(lien="First",1.00,
        IF(lien="Second",1.50,
            1.70)))</f>
        <v/>
      </c>
      <c r="K7076">
        <f>LET(
    purpose,'Loan Tape (S&amp;P)'!R7076,
    IF(purpose="Purchase",1.00,
        IF(purpose="Remortgage",1.00,
            1.20)))</f>
        <v/>
      </c>
      <c r="L7076">
        <f>LET(
    arrears_months,'Loan Tape (S&amp;P)'!AN7076,
    IF(arrears_months=0,1.00,
    IF(arrears_months=1,3.00,
    IF(arrears_months=2,5.00,
    IF(arrears_months=3,8.00,
    IF(arrears_months=4,10.00,
    IF(arrears_months=5,12.00,15.00)))))))</f>
        <v/>
      </c>
      <c r="M7076">
        <f>LET(
    seasoning_years,DATEDIF('Loan Tape (S&amp;P)'!K7076,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76">
        <f>IF(AND('Loan Tape (S&amp;P)'!U7076="Yes",
        'Loan Tape (S&amp;P)'!T7076&lt;&gt;"Yes",
        DATEDIF('Loan Tape (S&amp;P)'!K7076, TODAY(), "M")&lt;18),
    1.10,
    1.00)</f>
        <v/>
      </c>
      <c r="O7076">
        <f>IF('Loan Tape (S&amp;P)'!T7076="Yes",
    1.35,
    1.00)</f>
        <v/>
      </c>
      <c r="P7076">
        <f>IF('Loan Tape (S&amp;P)'!S7076="Yes",
    1.15,
    1.00)</f>
        <v/>
      </c>
      <c r="Q7076">
        <f>IF('Loan Tape (S&amp;P)'!V7076="Yes",
    1.20,
    1.00)</f>
        <v/>
      </c>
      <c r="T7076">
        <f>LET(
    payment_method,'Loan Tape (S&amp;P)'!P7076,
    occupancy,'Loan Tape (S&amp;P)'!N7076,
    maturity_date,'Loan Tape (S&amp;P)'!L7076,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77">
      <c r="J7077">
        <f>LET(
    lien,'Loan Tape (S&amp;P)'!Q7077,
    IF(lien="First",1.00,
        IF(lien="Second",1.50,
            1.70)))</f>
        <v/>
      </c>
      <c r="K7077">
        <f>LET(
    purpose,'Loan Tape (S&amp;P)'!R7077,
    IF(purpose="Purchase",1.00,
        IF(purpose="Remortgage",1.00,
            1.20)))</f>
        <v/>
      </c>
      <c r="L7077">
        <f>LET(
    arrears_months,'Loan Tape (S&amp;P)'!AN7077,
    IF(arrears_months=0,1.00,
    IF(arrears_months=1,3.00,
    IF(arrears_months=2,5.00,
    IF(arrears_months=3,8.00,
    IF(arrears_months=4,10.00,
    IF(arrears_months=5,12.00,15.00)))))))</f>
        <v/>
      </c>
      <c r="M7077">
        <f>LET(
    seasoning_years,DATEDIF('Loan Tape (S&amp;P)'!K7077,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77">
        <f>IF(AND('Loan Tape (S&amp;P)'!U7077="Yes",
        'Loan Tape (S&amp;P)'!T7077&lt;&gt;"Yes",
        DATEDIF('Loan Tape (S&amp;P)'!K7077, TODAY(), "M")&lt;18),
    1.10,
    1.00)</f>
        <v/>
      </c>
      <c r="O7077">
        <f>IF('Loan Tape (S&amp;P)'!T7077="Yes",
    1.35,
    1.00)</f>
        <v/>
      </c>
      <c r="P7077">
        <f>IF('Loan Tape (S&amp;P)'!S7077="Yes",
    1.15,
    1.00)</f>
        <v/>
      </c>
      <c r="Q7077">
        <f>IF('Loan Tape (S&amp;P)'!V7077="Yes",
    1.20,
    1.00)</f>
        <v/>
      </c>
      <c r="T7077">
        <f>LET(
    payment_method,'Loan Tape (S&amp;P)'!P7077,
    occupancy,'Loan Tape (S&amp;P)'!N7077,
    maturity_date,'Loan Tape (S&amp;P)'!L7077,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78">
      <c r="J7078">
        <f>LET(
    lien,'Loan Tape (S&amp;P)'!Q7078,
    IF(lien="First",1.00,
        IF(lien="Second",1.50,
            1.70)))</f>
        <v/>
      </c>
      <c r="K7078">
        <f>LET(
    purpose,'Loan Tape (S&amp;P)'!R7078,
    IF(purpose="Purchase",1.00,
        IF(purpose="Remortgage",1.00,
            1.20)))</f>
        <v/>
      </c>
      <c r="L7078">
        <f>LET(
    arrears_months,'Loan Tape (S&amp;P)'!AN7078,
    IF(arrears_months=0,1.00,
    IF(arrears_months=1,3.00,
    IF(arrears_months=2,5.00,
    IF(arrears_months=3,8.00,
    IF(arrears_months=4,10.00,
    IF(arrears_months=5,12.00,15.00)))))))</f>
        <v/>
      </c>
      <c r="M7078">
        <f>LET(
    seasoning_years,DATEDIF('Loan Tape (S&amp;P)'!K7078,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78">
        <f>IF(AND('Loan Tape (S&amp;P)'!U7078="Yes",
        'Loan Tape (S&amp;P)'!T7078&lt;&gt;"Yes",
        DATEDIF('Loan Tape (S&amp;P)'!K7078, TODAY(), "M")&lt;18),
    1.10,
    1.00)</f>
        <v/>
      </c>
      <c r="O7078">
        <f>IF('Loan Tape (S&amp;P)'!T7078="Yes",
    1.35,
    1.00)</f>
        <v/>
      </c>
      <c r="P7078">
        <f>IF('Loan Tape (S&amp;P)'!S7078="Yes",
    1.15,
    1.00)</f>
        <v/>
      </c>
      <c r="Q7078">
        <f>IF('Loan Tape (S&amp;P)'!V7078="Yes",
    1.20,
    1.00)</f>
        <v/>
      </c>
      <c r="T7078">
        <f>LET(
    payment_method,'Loan Tape (S&amp;P)'!P7078,
    occupancy,'Loan Tape (S&amp;P)'!N7078,
    maturity_date,'Loan Tape (S&amp;P)'!L7078,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79">
      <c r="J7079">
        <f>LET(
    lien,'Loan Tape (S&amp;P)'!Q7079,
    IF(lien="First",1.00,
        IF(lien="Second",1.50,
            1.70)))</f>
        <v/>
      </c>
      <c r="K7079">
        <f>LET(
    purpose,'Loan Tape (S&amp;P)'!R7079,
    IF(purpose="Purchase",1.00,
        IF(purpose="Remortgage",1.00,
            1.20)))</f>
        <v/>
      </c>
      <c r="L7079">
        <f>LET(
    arrears_months,'Loan Tape (S&amp;P)'!AN7079,
    IF(arrears_months=0,1.00,
    IF(arrears_months=1,3.00,
    IF(arrears_months=2,5.00,
    IF(arrears_months=3,8.00,
    IF(arrears_months=4,10.00,
    IF(arrears_months=5,12.00,15.00)))))))</f>
        <v/>
      </c>
      <c r="M7079">
        <f>LET(
    seasoning_years,DATEDIF('Loan Tape (S&amp;P)'!K7079,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79">
        <f>IF(AND('Loan Tape (S&amp;P)'!U7079="Yes",
        'Loan Tape (S&amp;P)'!T7079&lt;&gt;"Yes",
        DATEDIF('Loan Tape (S&amp;P)'!K7079, TODAY(), "M")&lt;18),
    1.10,
    1.00)</f>
        <v/>
      </c>
      <c r="O7079">
        <f>IF('Loan Tape (S&amp;P)'!T7079="Yes",
    1.35,
    1.00)</f>
        <v/>
      </c>
      <c r="P7079">
        <f>IF('Loan Tape (S&amp;P)'!S7079="Yes",
    1.15,
    1.00)</f>
        <v/>
      </c>
      <c r="Q7079">
        <f>IF('Loan Tape (S&amp;P)'!V7079="Yes",
    1.20,
    1.00)</f>
        <v/>
      </c>
      <c r="T7079">
        <f>LET(
    payment_method,'Loan Tape (S&amp;P)'!P7079,
    occupancy,'Loan Tape (S&amp;P)'!N7079,
    maturity_date,'Loan Tape (S&amp;P)'!L7079,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80">
      <c r="J7080">
        <f>LET(
    lien,'Loan Tape (S&amp;P)'!Q7080,
    IF(lien="First",1.00,
        IF(lien="Second",1.50,
            1.70)))</f>
        <v/>
      </c>
      <c r="K7080">
        <f>LET(
    purpose,'Loan Tape (S&amp;P)'!R7080,
    IF(purpose="Purchase",1.00,
        IF(purpose="Remortgage",1.00,
            1.20)))</f>
        <v/>
      </c>
      <c r="L7080">
        <f>LET(
    arrears_months,'Loan Tape (S&amp;P)'!AN7080,
    IF(arrears_months=0,1.00,
    IF(arrears_months=1,3.00,
    IF(arrears_months=2,5.00,
    IF(arrears_months=3,8.00,
    IF(arrears_months=4,10.00,
    IF(arrears_months=5,12.00,15.00)))))))</f>
        <v/>
      </c>
      <c r="M7080">
        <f>LET(
    seasoning_years,DATEDIF('Loan Tape (S&amp;P)'!K7080,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80">
        <f>IF(AND('Loan Tape (S&amp;P)'!U7080="Yes",
        'Loan Tape (S&amp;P)'!T7080&lt;&gt;"Yes",
        DATEDIF('Loan Tape (S&amp;P)'!K7080, TODAY(), "M")&lt;18),
    1.10,
    1.00)</f>
        <v/>
      </c>
      <c r="O7080">
        <f>IF('Loan Tape (S&amp;P)'!T7080="Yes",
    1.35,
    1.00)</f>
        <v/>
      </c>
      <c r="P7080">
        <f>IF('Loan Tape (S&amp;P)'!S7080="Yes",
    1.15,
    1.00)</f>
        <v/>
      </c>
      <c r="Q7080">
        <f>IF('Loan Tape (S&amp;P)'!V7080="Yes",
    1.20,
    1.00)</f>
        <v/>
      </c>
      <c r="T7080">
        <f>LET(
    payment_method,'Loan Tape (S&amp;P)'!P7080,
    occupancy,'Loan Tape (S&amp;P)'!N7080,
    maturity_date,'Loan Tape (S&amp;P)'!L7080,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81">
      <c r="J7081">
        <f>LET(
    lien,'Loan Tape (S&amp;P)'!Q7081,
    IF(lien="First",1.00,
        IF(lien="Second",1.50,
            1.70)))</f>
        <v/>
      </c>
      <c r="K7081">
        <f>LET(
    purpose,'Loan Tape (S&amp;P)'!R7081,
    IF(purpose="Purchase",1.00,
        IF(purpose="Remortgage",1.00,
            1.20)))</f>
        <v/>
      </c>
      <c r="L7081">
        <f>LET(
    arrears_months,'Loan Tape (S&amp;P)'!AN7081,
    IF(arrears_months=0,1.00,
    IF(arrears_months=1,3.00,
    IF(arrears_months=2,5.00,
    IF(arrears_months=3,8.00,
    IF(arrears_months=4,10.00,
    IF(arrears_months=5,12.00,15.00)))))))</f>
        <v/>
      </c>
      <c r="M7081">
        <f>LET(
    seasoning_years,DATEDIF('Loan Tape (S&amp;P)'!K7081,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81">
        <f>IF(AND('Loan Tape (S&amp;P)'!U7081="Yes",
        'Loan Tape (S&amp;P)'!T7081&lt;&gt;"Yes",
        DATEDIF('Loan Tape (S&amp;P)'!K7081, TODAY(), "M")&lt;18),
    1.10,
    1.00)</f>
        <v/>
      </c>
      <c r="O7081">
        <f>IF('Loan Tape (S&amp;P)'!T7081="Yes",
    1.35,
    1.00)</f>
        <v/>
      </c>
      <c r="P7081">
        <f>IF('Loan Tape (S&amp;P)'!S7081="Yes",
    1.15,
    1.00)</f>
        <v/>
      </c>
      <c r="Q7081">
        <f>IF('Loan Tape (S&amp;P)'!V7081="Yes",
    1.20,
    1.00)</f>
        <v/>
      </c>
      <c r="T7081">
        <f>LET(
    payment_method,'Loan Tape (S&amp;P)'!P7081,
    occupancy,'Loan Tape (S&amp;P)'!N7081,
    maturity_date,'Loan Tape (S&amp;P)'!L7081,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82">
      <c r="J7082">
        <f>LET(
    lien,'Loan Tape (S&amp;P)'!Q7082,
    IF(lien="First",1.00,
        IF(lien="Second",1.50,
            1.70)))</f>
        <v/>
      </c>
      <c r="K7082">
        <f>LET(
    purpose,'Loan Tape (S&amp;P)'!R7082,
    IF(purpose="Purchase",1.00,
        IF(purpose="Remortgage",1.00,
            1.20)))</f>
        <v/>
      </c>
      <c r="L7082">
        <f>LET(
    arrears_months,'Loan Tape (S&amp;P)'!AN7082,
    IF(arrears_months=0,1.00,
    IF(arrears_months=1,3.00,
    IF(arrears_months=2,5.00,
    IF(arrears_months=3,8.00,
    IF(arrears_months=4,10.00,
    IF(arrears_months=5,12.00,15.00)))))))</f>
        <v/>
      </c>
      <c r="M7082">
        <f>LET(
    seasoning_years,DATEDIF('Loan Tape (S&amp;P)'!K7082,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82">
        <f>IF(AND('Loan Tape (S&amp;P)'!U7082="Yes",
        'Loan Tape (S&amp;P)'!T7082&lt;&gt;"Yes",
        DATEDIF('Loan Tape (S&amp;P)'!K7082, TODAY(), "M")&lt;18),
    1.10,
    1.00)</f>
        <v/>
      </c>
      <c r="O7082">
        <f>IF('Loan Tape (S&amp;P)'!T7082="Yes",
    1.35,
    1.00)</f>
        <v/>
      </c>
      <c r="P7082">
        <f>IF('Loan Tape (S&amp;P)'!S7082="Yes",
    1.15,
    1.00)</f>
        <v/>
      </c>
      <c r="Q7082">
        <f>IF('Loan Tape (S&amp;P)'!V7082="Yes",
    1.20,
    1.00)</f>
        <v/>
      </c>
      <c r="T7082">
        <f>LET(
    payment_method,'Loan Tape (S&amp;P)'!P7082,
    occupancy,'Loan Tape (S&amp;P)'!N7082,
    maturity_date,'Loan Tape (S&amp;P)'!L7082,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83">
      <c r="J7083">
        <f>LET(
    lien,'Loan Tape (S&amp;P)'!Q7083,
    IF(lien="First",1.00,
        IF(lien="Second",1.50,
            1.70)))</f>
        <v/>
      </c>
      <c r="K7083">
        <f>LET(
    purpose,'Loan Tape (S&amp;P)'!R7083,
    IF(purpose="Purchase",1.00,
        IF(purpose="Remortgage",1.00,
            1.20)))</f>
        <v/>
      </c>
      <c r="L7083">
        <f>LET(
    arrears_months,'Loan Tape (S&amp;P)'!AN7083,
    IF(arrears_months=0,1.00,
    IF(arrears_months=1,3.00,
    IF(arrears_months=2,5.00,
    IF(arrears_months=3,8.00,
    IF(arrears_months=4,10.00,
    IF(arrears_months=5,12.00,15.00)))))))</f>
        <v/>
      </c>
      <c r="M7083">
        <f>LET(
    seasoning_years,DATEDIF('Loan Tape (S&amp;P)'!K7083,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83">
        <f>IF(AND('Loan Tape (S&amp;P)'!U7083="Yes",
        'Loan Tape (S&amp;P)'!T7083&lt;&gt;"Yes",
        DATEDIF('Loan Tape (S&amp;P)'!K7083, TODAY(), "M")&lt;18),
    1.10,
    1.00)</f>
        <v/>
      </c>
      <c r="O7083">
        <f>IF('Loan Tape (S&amp;P)'!T7083="Yes",
    1.35,
    1.00)</f>
        <v/>
      </c>
      <c r="P7083">
        <f>IF('Loan Tape (S&amp;P)'!S7083="Yes",
    1.15,
    1.00)</f>
        <v/>
      </c>
      <c r="Q7083">
        <f>IF('Loan Tape (S&amp;P)'!V7083="Yes",
    1.20,
    1.00)</f>
        <v/>
      </c>
      <c r="T7083">
        <f>LET(
    payment_method,'Loan Tape (S&amp;P)'!P7083,
    occupancy,'Loan Tape (S&amp;P)'!N7083,
    maturity_date,'Loan Tape (S&amp;P)'!L7083,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84">
      <c r="J7084">
        <f>LET(
    lien,'Loan Tape (S&amp;P)'!Q7084,
    IF(lien="First",1.00,
        IF(lien="Second",1.50,
            1.70)))</f>
        <v/>
      </c>
      <c r="K7084">
        <f>LET(
    purpose,'Loan Tape (S&amp;P)'!R7084,
    IF(purpose="Purchase",1.00,
        IF(purpose="Remortgage",1.00,
            1.20)))</f>
        <v/>
      </c>
      <c r="L7084">
        <f>LET(
    arrears_months,'Loan Tape (S&amp;P)'!AN7084,
    IF(arrears_months=0,1.00,
    IF(arrears_months=1,3.00,
    IF(arrears_months=2,5.00,
    IF(arrears_months=3,8.00,
    IF(arrears_months=4,10.00,
    IF(arrears_months=5,12.00,15.00)))))))</f>
        <v/>
      </c>
      <c r="M7084">
        <f>LET(
    seasoning_years,DATEDIF('Loan Tape (S&amp;P)'!K7084,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84">
        <f>IF(AND('Loan Tape (S&amp;P)'!U7084="Yes",
        'Loan Tape (S&amp;P)'!T7084&lt;&gt;"Yes",
        DATEDIF('Loan Tape (S&amp;P)'!K7084, TODAY(), "M")&lt;18),
    1.10,
    1.00)</f>
        <v/>
      </c>
      <c r="O7084">
        <f>IF('Loan Tape (S&amp;P)'!T7084="Yes",
    1.35,
    1.00)</f>
        <v/>
      </c>
      <c r="P7084">
        <f>IF('Loan Tape (S&amp;P)'!S7084="Yes",
    1.15,
    1.00)</f>
        <v/>
      </c>
      <c r="Q7084">
        <f>IF('Loan Tape (S&amp;P)'!V7084="Yes",
    1.20,
    1.00)</f>
        <v/>
      </c>
      <c r="T7084">
        <f>LET(
    payment_method,'Loan Tape (S&amp;P)'!P7084,
    occupancy,'Loan Tape (S&amp;P)'!N7084,
    maturity_date,'Loan Tape (S&amp;P)'!L7084,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85">
      <c r="J7085">
        <f>LET(
    lien,'Loan Tape (S&amp;P)'!Q7085,
    IF(lien="First",1.00,
        IF(lien="Second",1.50,
            1.70)))</f>
        <v/>
      </c>
      <c r="K7085">
        <f>LET(
    purpose,'Loan Tape (S&amp;P)'!R7085,
    IF(purpose="Purchase",1.00,
        IF(purpose="Remortgage",1.00,
            1.20)))</f>
        <v/>
      </c>
      <c r="L7085">
        <f>LET(
    arrears_months,'Loan Tape (S&amp;P)'!AN7085,
    IF(arrears_months=0,1.00,
    IF(arrears_months=1,3.00,
    IF(arrears_months=2,5.00,
    IF(arrears_months=3,8.00,
    IF(arrears_months=4,10.00,
    IF(arrears_months=5,12.00,15.00)))))))</f>
        <v/>
      </c>
      <c r="M7085">
        <f>LET(
    seasoning_years,DATEDIF('Loan Tape (S&amp;P)'!K7085,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85">
        <f>IF(AND('Loan Tape (S&amp;P)'!U7085="Yes",
        'Loan Tape (S&amp;P)'!T7085&lt;&gt;"Yes",
        DATEDIF('Loan Tape (S&amp;P)'!K7085, TODAY(), "M")&lt;18),
    1.10,
    1.00)</f>
        <v/>
      </c>
      <c r="O7085">
        <f>IF('Loan Tape (S&amp;P)'!T7085="Yes",
    1.35,
    1.00)</f>
        <v/>
      </c>
      <c r="P7085">
        <f>IF('Loan Tape (S&amp;P)'!S7085="Yes",
    1.15,
    1.00)</f>
        <v/>
      </c>
      <c r="Q7085">
        <f>IF('Loan Tape (S&amp;P)'!V7085="Yes",
    1.20,
    1.00)</f>
        <v/>
      </c>
      <c r="T7085">
        <f>LET(
    payment_method,'Loan Tape (S&amp;P)'!P7085,
    occupancy,'Loan Tape (S&amp;P)'!N7085,
    maturity_date,'Loan Tape (S&amp;P)'!L7085,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86">
      <c r="J7086">
        <f>LET(
    lien,'Loan Tape (S&amp;P)'!Q7086,
    IF(lien="First",1.00,
        IF(lien="Second",1.50,
            1.70)))</f>
        <v/>
      </c>
      <c r="K7086">
        <f>LET(
    purpose,'Loan Tape (S&amp;P)'!R7086,
    IF(purpose="Purchase",1.00,
        IF(purpose="Remortgage",1.00,
            1.20)))</f>
        <v/>
      </c>
      <c r="L7086">
        <f>LET(
    arrears_months,'Loan Tape (S&amp;P)'!AN7086,
    IF(arrears_months=0,1.00,
    IF(arrears_months=1,3.00,
    IF(arrears_months=2,5.00,
    IF(arrears_months=3,8.00,
    IF(arrears_months=4,10.00,
    IF(arrears_months=5,12.00,15.00)))))))</f>
        <v/>
      </c>
      <c r="M7086">
        <f>LET(
    seasoning_years,DATEDIF('Loan Tape (S&amp;P)'!K7086,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86">
        <f>IF(AND('Loan Tape (S&amp;P)'!U7086="Yes",
        'Loan Tape (S&amp;P)'!T7086&lt;&gt;"Yes",
        DATEDIF('Loan Tape (S&amp;P)'!K7086, TODAY(), "M")&lt;18),
    1.10,
    1.00)</f>
        <v/>
      </c>
      <c r="O7086">
        <f>IF('Loan Tape (S&amp;P)'!T7086="Yes",
    1.35,
    1.00)</f>
        <v/>
      </c>
      <c r="P7086">
        <f>IF('Loan Tape (S&amp;P)'!S7086="Yes",
    1.15,
    1.00)</f>
        <v/>
      </c>
      <c r="Q7086">
        <f>IF('Loan Tape (S&amp;P)'!V7086="Yes",
    1.20,
    1.00)</f>
        <v/>
      </c>
      <c r="T7086">
        <f>LET(
    payment_method,'Loan Tape (S&amp;P)'!P7086,
    occupancy,'Loan Tape (S&amp;P)'!N7086,
    maturity_date,'Loan Tape (S&amp;P)'!L7086,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87">
      <c r="J7087">
        <f>LET(
    lien,'Loan Tape (S&amp;P)'!Q7087,
    IF(lien="First",1.00,
        IF(lien="Second",1.50,
            1.70)))</f>
        <v/>
      </c>
      <c r="K7087">
        <f>LET(
    purpose,'Loan Tape (S&amp;P)'!R7087,
    IF(purpose="Purchase",1.00,
        IF(purpose="Remortgage",1.00,
            1.20)))</f>
        <v/>
      </c>
      <c r="L7087">
        <f>LET(
    arrears_months,'Loan Tape (S&amp;P)'!AN7087,
    IF(arrears_months=0,1.00,
    IF(arrears_months=1,3.00,
    IF(arrears_months=2,5.00,
    IF(arrears_months=3,8.00,
    IF(arrears_months=4,10.00,
    IF(arrears_months=5,12.00,15.00)))))))</f>
        <v/>
      </c>
      <c r="M7087">
        <f>LET(
    seasoning_years,DATEDIF('Loan Tape (S&amp;P)'!K7087,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87">
        <f>IF(AND('Loan Tape (S&amp;P)'!U7087="Yes",
        'Loan Tape (S&amp;P)'!T7087&lt;&gt;"Yes",
        DATEDIF('Loan Tape (S&amp;P)'!K7087, TODAY(), "M")&lt;18),
    1.10,
    1.00)</f>
        <v/>
      </c>
      <c r="O7087">
        <f>IF('Loan Tape (S&amp;P)'!T7087="Yes",
    1.35,
    1.00)</f>
        <v/>
      </c>
      <c r="P7087">
        <f>IF('Loan Tape (S&amp;P)'!S7087="Yes",
    1.15,
    1.00)</f>
        <v/>
      </c>
      <c r="Q7087">
        <f>IF('Loan Tape (S&amp;P)'!V7087="Yes",
    1.20,
    1.00)</f>
        <v/>
      </c>
      <c r="T7087">
        <f>LET(
    payment_method,'Loan Tape (S&amp;P)'!P7087,
    occupancy,'Loan Tape (S&amp;P)'!N7087,
    maturity_date,'Loan Tape (S&amp;P)'!L7087,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88">
      <c r="J7088">
        <f>LET(
    lien,'Loan Tape (S&amp;P)'!Q7088,
    IF(lien="First",1.00,
        IF(lien="Second",1.50,
            1.70)))</f>
        <v/>
      </c>
      <c r="K7088">
        <f>LET(
    purpose,'Loan Tape (S&amp;P)'!R7088,
    IF(purpose="Purchase",1.00,
        IF(purpose="Remortgage",1.00,
            1.20)))</f>
        <v/>
      </c>
      <c r="L7088">
        <f>LET(
    arrears_months,'Loan Tape (S&amp;P)'!AN7088,
    IF(arrears_months=0,1.00,
    IF(arrears_months=1,3.00,
    IF(arrears_months=2,5.00,
    IF(arrears_months=3,8.00,
    IF(arrears_months=4,10.00,
    IF(arrears_months=5,12.00,15.00)))))))</f>
        <v/>
      </c>
      <c r="M7088">
        <f>LET(
    seasoning_years,DATEDIF('Loan Tape (S&amp;P)'!K7088,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88">
        <f>IF(AND('Loan Tape (S&amp;P)'!U7088="Yes",
        'Loan Tape (S&amp;P)'!T7088&lt;&gt;"Yes",
        DATEDIF('Loan Tape (S&amp;P)'!K7088, TODAY(), "M")&lt;18),
    1.10,
    1.00)</f>
        <v/>
      </c>
      <c r="O7088">
        <f>IF('Loan Tape (S&amp;P)'!T7088="Yes",
    1.35,
    1.00)</f>
        <v/>
      </c>
      <c r="P7088">
        <f>IF('Loan Tape (S&amp;P)'!S7088="Yes",
    1.15,
    1.00)</f>
        <v/>
      </c>
      <c r="Q7088">
        <f>IF('Loan Tape (S&amp;P)'!V7088="Yes",
    1.20,
    1.00)</f>
        <v/>
      </c>
      <c r="T7088">
        <f>LET(
    payment_method,'Loan Tape (S&amp;P)'!P7088,
    occupancy,'Loan Tape (S&amp;P)'!N7088,
    maturity_date,'Loan Tape (S&amp;P)'!L7088,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89">
      <c r="J7089">
        <f>LET(
    lien,'Loan Tape (S&amp;P)'!Q7089,
    IF(lien="First",1.00,
        IF(lien="Second",1.50,
            1.70)))</f>
        <v/>
      </c>
      <c r="K7089">
        <f>LET(
    purpose,'Loan Tape (S&amp;P)'!R7089,
    IF(purpose="Purchase",1.00,
        IF(purpose="Remortgage",1.00,
            1.20)))</f>
        <v/>
      </c>
      <c r="L7089">
        <f>LET(
    arrears_months,'Loan Tape (S&amp;P)'!AN7089,
    IF(arrears_months=0,1.00,
    IF(arrears_months=1,3.00,
    IF(arrears_months=2,5.00,
    IF(arrears_months=3,8.00,
    IF(arrears_months=4,10.00,
    IF(arrears_months=5,12.00,15.00)))))))</f>
        <v/>
      </c>
      <c r="M7089">
        <f>LET(
    seasoning_years,DATEDIF('Loan Tape (S&amp;P)'!K7089,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89">
        <f>IF(AND('Loan Tape (S&amp;P)'!U7089="Yes",
        'Loan Tape (S&amp;P)'!T7089&lt;&gt;"Yes",
        DATEDIF('Loan Tape (S&amp;P)'!K7089, TODAY(), "M")&lt;18),
    1.10,
    1.00)</f>
        <v/>
      </c>
      <c r="O7089">
        <f>IF('Loan Tape (S&amp;P)'!T7089="Yes",
    1.35,
    1.00)</f>
        <v/>
      </c>
      <c r="P7089">
        <f>IF('Loan Tape (S&amp;P)'!S7089="Yes",
    1.15,
    1.00)</f>
        <v/>
      </c>
      <c r="Q7089">
        <f>IF('Loan Tape (S&amp;P)'!V7089="Yes",
    1.20,
    1.00)</f>
        <v/>
      </c>
      <c r="T7089">
        <f>LET(
    payment_method,'Loan Tape (S&amp;P)'!P7089,
    occupancy,'Loan Tape (S&amp;P)'!N7089,
    maturity_date,'Loan Tape (S&amp;P)'!L7089,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90">
      <c r="J7090">
        <f>LET(
    lien,'Loan Tape (S&amp;P)'!Q7090,
    IF(lien="First",1.00,
        IF(lien="Second",1.50,
            1.70)))</f>
        <v/>
      </c>
      <c r="K7090">
        <f>LET(
    purpose,'Loan Tape (S&amp;P)'!R7090,
    IF(purpose="Purchase",1.00,
        IF(purpose="Remortgage",1.00,
            1.20)))</f>
        <v/>
      </c>
      <c r="L7090">
        <f>LET(
    arrears_months,'Loan Tape (S&amp;P)'!AN7090,
    IF(arrears_months=0,1.00,
    IF(arrears_months=1,3.00,
    IF(arrears_months=2,5.00,
    IF(arrears_months=3,8.00,
    IF(arrears_months=4,10.00,
    IF(arrears_months=5,12.00,15.00)))))))</f>
        <v/>
      </c>
      <c r="M7090">
        <f>LET(
    seasoning_years,DATEDIF('Loan Tape (S&amp;P)'!K7090,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90">
        <f>IF(AND('Loan Tape (S&amp;P)'!U7090="Yes",
        'Loan Tape (S&amp;P)'!T7090&lt;&gt;"Yes",
        DATEDIF('Loan Tape (S&amp;P)'!K7090, TODAY(), "M")&lt;18),
    1.10,
    1.00)</f>
        <v/>
      </c>
      <c r="O7090">
        <f>IF('Loan Tape (S&amp;P)'!T7090="Yes",
    1.35,
    1.00)</f>
        <v/>
      </c>
      <c r="P7090">
        <f>IF('Loan Tape (S&amp;P)'!S7090="Yes",
    1.15,
    1.00)</f>
        <v/>
      </c>
      <c r="Q7090">
        <f>IF('Loan Tape (S&amp;P)'!V7090="Yes",
    1.20,
    1.00)</f>
        <v/>
      </c>
      <c r="T7090">
        <f>LET(
    payment_method,'Loan Tape (S&amp;P)'!P7090,
    occupancy,'Loan Tape (S&amp;P)'!N7090,
    maturity_date,'Loan Tape (S&amp;P)'!L7090,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91">
      <c r="J7091">
        <f>LET(
    lien,'Loan Tape (S&amp;P)'!Q7091,
    IF(lien="First",1.00,
        IF(lien="Second",1.50,
            1.70)))</f>
        <v/>
      </c>
      <c r="K7091">
        <f>LET(
    purpose,'Loan Tape (S&amp;P)'!R7091,
    IF(purpose="Purchase",1.00,
        IF(purpose="Remortgage",1.00,
            1.20)))</f>
        <v/>
      </c>
      <c r="L7091">
        <f>LET(
    arrears_months,'Loan Tape (S&amp;P)'!AN7091,
    IF(arrears_months=0,1.00,
    IF(arrears_months=1,3.00,
    IF(arrears_months=2,5.00,
    IF(arrears_months=3,8.00,
    IF(arrears_months=4,10.00,
    IF(arrears_months=5,12.00,15.00)))))))</f>
        <v/>
      </c>
      <c r="M7091">
        <f>LET(
    seasoning_years,DATEDIF('Loan Tape (S&amp;P)'!K7091,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91">
        <f>IF(AND('Loan Tape (S&amp;P)'!U7091="Yes",
        'Loan Tape (S&amp;P)'!T7091&lt;&gt;"Yes",
        DATEDIF('Loan Tape (S&amp;P)'!K7091, TODAY(), "M")&lt;18),
    1.10,
    1.00)</f>
        <v/>
      </c>
      <c r="O7091">
        <f>IF('Loan Tape (S&amp;P)'!T7091="Yes",
    1.35,
    1.00)</f>
        <v/>
      </c>
      <c r="P7091">
        <f>IF('Loan Tape (S&amp;P)'!S7091="Yes",
    1.15,
    1.00)</f>
        <v/>
      </c>
      <c r="Q7091">
        <f>IF('Loan Tape (S&amp;P)'!V7091="Yes",
    1.20,
    1.00)</f>
        <v/>
      </c>
      <c r="T7091">
        <f>LET(
    payment_method,'Loan Tape (S&amp;P)'!P7091,
    occupancy,'Loan Tape (S&amp;P)'!N7091,
    maturity_date,'Loan Tape (S&amp;P)'!L7091,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92">
      <c r="J7092">
        <f>LET(
    lien,'Loan Tape (S&amp;P)'!Q7092,
    IF(lien="First",1.00,
        IF(lien="Second",1.50,
            1.70)))</f>
        <v/>
      </c>
      <c r="K7092">
        <f>LET(
    purpose,'Loan Tape (S&amp;P)'!R7092,
    IF(purpose="Purchase",1.00,
        IF(purpose="Remortgage",1.00,
            1.20)))</f>
        <v/>
      </c>
      <c r="L7092">
        <f>LET(
    arrears_months,'Loan Tape (S&amp;P)'!AN7092,
    IF(arrears_months=0,1.00,
    IF(arrears_months=1,3.00,
    IF(arrears_months=2,5.00,
    IF(arrears_months=3,8.00,
    IF(arrears_months=4,10.00,
    IF(arrears_months=5,12.00,15.00)))))))</f>
        <v/>
      </c>
      <c r="M7092">
        <f>LET(
    seasoning_years,DATEDIF('Loan Tape (S&amp;P)'!K7092,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92">
        <f>IF(AND('Loan Tape (S&amp;P)'!U7092="Yes",
        'Loan Tape (S&amp;P)'!T7092&lt;&gt;"Yes",
        DATEDIF('Loan Tape (S&amp;P)'!K7092, TODAY(), "M")&lt;18),
    1.10,
    1.00)</f>
        <v/>
      </c>
      <c r="O7092">
        <f>IF('Loan Tape (S&amp;P)'!T7092="Yes",
    1.35,
    1.00)</f>
        <v/>
      </c>
      <c r="P7092">
        <f>IF('Loan Tape (S&amp;P)'!S7092="Yes",
    1.15,
    1.00)</f>
        <v/>
      </c>
      <c r="Q7092">
        <f>IF('Loan Tape (S&amp;P)'!V7092="Yes",
    1.20,
    1.00)</f>
        <v/>
      </c>
      <c r="T7092">
        <f>LET(
    payment_method,'Loan Tape (S&amp;P)'!P7092,
    occupancy,'Loan Tape (S&amp;P)'!N7092,
    maturity_date,'Loan Tape (S&amp;P)'!L7092,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93">
      <c r="J7093">
        <f>LET(
    lien,'Loan Tape (S&amp;P)'!Q7093,
    IF(lien="First",1.00,
        IF(lien="Second",1.50,
            1.70)))</f>
        <v/>
      </c>
      <c r="K7093">
        <f>LET(
    purpose,'Loan Tape (S&amp;P)'!R7093,
    IF(purpose="Purchase",1.00,
        IF(purpose="Remortgage",1.00,
            1.20)))</f>
        <v/>
      </c>
      <c r="L7093">
        <f>LET(
    arrears_months,'Loan Tape (S&amp;P)'!AN7093,
    IF(arrears_months=0,1.00,
    IF(arrears_months=1,3.00,
    IF(arrears_months=2,5.00,
    IF(arrears_months=3,8.00,
    IF(arrears_months=4,10.00,
    IF(arrears_months=5,12.00,15.00)))))))</f>
        <v/>
      </c>
      <c r="M7093">
        <f>LET(
    seasoning_years,DATEDIF('Loan Tape (S&amp;P)'!K7093,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93">
        <f>IF(AND('Loan Tape (S&amp;P)'!U7093="Yes",
        'Loan Tape (S&amp;P)'!T7093&lt;&gt;"Yes",
        DATEDIF('Loan Tape (S&amp;P)'!K7093, TODAY(), "M")&lt;18),
    1.10,
    1.00)</f>
        <v/>
      </c>
      <c r="O7093">
        <f>IF('Loan Tape (S&amp;P)'!T7093="Yes",
    1.35,
    1.00)</f>
        <v/>
      </c>
      <c r="P7093">
        <f>IF('Loan Tape (S&amp;P)'!S7093="Yes",
    1.15,
    1.00)</f>
        <v/>
      </c>
      <c r="Q7093">
        <f>IF('Loan Tape (S&amp;P)'!V7093="Yes",
    1.20,
    1.00)</f>
        <v/>
      </c>
      <c r="T7093">
        <f>LET(
    payment_method,'Loan Tape (S&amp;P)'!P7093,
    occupancy,'Loan Tape (S&amp;P)'!N7093,
    maturity_date,'Loan Tape (S&amp;P)'!L7093,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94">
      <c r="J7094">
        <f>LET(
    lien,'Loan Tape (S&amp;P)'!Q7094,
    IF(lien="First",1.00,
        IF(lien="Second",1.50,
            1.70)))</f>
        <v/>
      </c>
      <c r="K7094">
        <f>LET(
    purpose,'Loan Tape (S&amp;P)'!R7094,
    IF(purpose="Purchase",1.00,
        IF(purpose="Remortgage",1.00,
            1.20)))</f>
        <v/>
      </c>
      <c r="L7094">
        <f>LET(
    arrears_months,'Loan Tape (S&amp;P)'!AN7094,
    IF(arrears_months=0,1.00,
    IF(arrears_months=1,3.00,
    IF(arrears_months=2,5.00,
    IF(arrears_months=3,8.00,
    IF(arrears_months=4,10.00,
    IF(arrears_months=5,12.00,15.00)))))))</f>
        <v/>
      </c>
      <c r="M7094">
        <f>LET(
    seasoning_years,DATEDIF('Loan Tape (S&amp;P)'!K7094,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94">
        <f>IF(AND('Loan Tape (S&amp;P)'!U7094="Yes",
        'Loan Tape (S&amp;P)'!T7094&lt;&gt;"Yes",
        DATEDIF('Loan Tape (S&amp;P)'!K7094, TODAY(), "M")&lt;18),
    1.10,
    1.00)</f>
        <v/>
      </c>
      <c r="O7094">
        <f>IF('Loan Tape (S&amp;P)'!T7094="Yes",
    1.35,
    1.00)</f>
        <v/>
      </c>
      <c r="P7094">
        <f>IF('Loan Tape (S&amp;P)'!S7094="Yes",
    1.15,
    1.00)</f>
        <v/>
      </c>
      <c r="Q7094">
        <f>IF('Loan Tape (S&amp;P)'!V7094="Yes",
    1.20,
    1.00)</f>
        <v/>
      </c>
      <c r="T7094">
        <f>LET(
    payment_method,'Loan Tape (S&amp;P)'!P7094,
    occupancy,'Loan Tape (S&amp;P)'!N7094,
    maturity_date,'Loan Tape (S&amp;P)'!L7094,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95">
      <c r="J7095">
        <f>LET(
    lien,'Loan Tape (S&amp;P)'!Q7095,
    IF(lien="First",1.00,
        IF(lien="Second",1.50,
            1.70)))</f>
        <v/>
      </c>
      <c r="K7095">
        <f>LET(
    purpose,'Loan Tape (S&amp;P)'!R7095,
    IF(purpose="Purchase",1.00,
        IF(purpose="Remortgage",1.00,
            1.20)))</f>
        <v/>
      </c>
      <c r="L7095">
        <f>LET(
    arrears_months,'Loan Tape (S&amp;P)'!AN7095,
    IF(arrears_months=0,1.00,
    IF(arrears_months=1,3.00,
    IF(arrears_months=2,5.00,
    IF(arrears_months=3,8.00,
    IF(arrears_months=4,10.00,
    IF(arrears_months=5,12.00,15.00)))))))</f>
        <v/>
      </c>
      <c r="M7095">
        <f>LET(
    seasoning_years,DATEDIF('Loan Tape (S&amp;P)'!K7095,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95">
        <f>IF(AND('Loan Tape (S&amp;P)'!U7095="Yes",
        'Loan Tape (S&amp;P)'!T7095&lt;&gt;"Yes",
        DATEDIF('Loan Tape (S&amp;P)'!K7095, TODAY(), "M")&lt;18),
    1.10,
    1.00)</f>
        <v/>
      </c>
      <c r="O7095">
        <f>IF('Loan Tape (S&amp;P)'!T7095="Yes",
    1.35,
    1.00)</f>
        <v/>
      </c>
      <c r="P7095">
        <f>IF('Loan Tape (S&amp;P)'!S7095="Yes",
    1.15,
    1.00)</f>
        <v/>
      </c>
      <c r="Q7095">
        <f>IF('Loan Tape (S&amp;P)'!V7095="Yes",
    1.20,
    1.00)</f>
        <v/>
      </c>
      <c r="T7095">
        <f>LET(
    payment_method,'Loan Tape (S&amp;P)'!P7095,
    occupancy,'Loan Tape (S&amp;P)'!N7095,
    maturity_date,'Loan Tape (S&amp;P)'!L7095,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96">
      <c r="J7096">
        <f>LET(
    lien,'Loan Tape (S&amp;P)'!Q7096,
    IF(lien="First",1.00,
        IF(lien="Second",1.50,
            1.70)))</f>
        <v/>
      </c>
      <c r="K7096">
        <f>LET(
    purpose,'Loan Tape (S&amp;P)'!R7096,
    IF(purpose="Purchase",1.00,
        IF(purpose="Remortgage",1.00,
            1.20)))</f>
        <v/>
      </c>
      <c r="L7096">
        <f>LET(
    arrears_months,'Loan Tape (S&amp;P)'!AN7096,
    IF(arrears_months=0,1.00,
    IF(arrears_months=1,3.00,
    IF(arrears_months=2,5.00,
    IF(arrears_months=3,8.00,
    IF(arrears_months=4,10.00,
    IF(arrears_months=5,12.00,15.00)))))))</f>
        <v/>
      </c>
      <c r="M7096">
        <f>LET(
    seasoning_years,DATEDIF('Loan Tape (S&amp;P)'!K7096,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96">
        <f>IF(AND('Loan Tape (S&amp;P)'!U7096="Yes",
        'Loan Tape (S&amp;P)'!T7096&lt;&gt;"Yes",
        DATEDIF('Loan Tape (S&amp;P)'!K7096, TODAY(), "M")&lt;18),
    1.10,
    1.00)</f>
        <v/>
      </c>
      <c r="O7096">
        <f>IF('Loan Tape (S&amp;P)'!T7096="Yes",
    1.35,
    1.00)</f>
        <v/>
      </c>
      <c r="P7096">
        <f>IF('Loan Tape (S&amp;P)'!S7096="Yes",
    1.15,
    1.00)</f>
        <v/>
      </c>
      <c r="Q7096">
        <f>IF('Loan Tape (S&amp;P)'!V7096="Yes",
    1.20,
    1.00)</f>
        <v/>
      </c>
      <c r="T7096">
        <f>LET(
    payment_method,'Loan Tape (S&amp;P)'!P7096,
    occupancy,'Loan Tape (S&amp;P)'!N7096,
    maturity_date,'Loan Tape (S&amp;P)'!L7096,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97">
      <c r="J7097">
        <f>LET(
    lien,'Loan Tape (S&amp;P)'!Q7097,
    IF(lien="First",1.00,
        IF(lien="Second",1.50,
            1.70)))</f>
        <v/>
      </c>
      <c r="K7097">
        <f>LET(
    purpose,'Loan Tape (S&amp;P)'!R7097,
    IF(purpose="Purchase",1.00,
        IF(purpose="Remortgage",1.00,
            1.20)))</f>
        <v/>
      </c>
      <c r="L7097">
        <f>LET(
    arrears_months,'Loan Tape (S&amp;P)'!AN7097,
    IF(arrears_months=0,1.00,
    IF(arrears_months=1,3.00,
    IF(arrears_months=2,5.00,
    IF(arrears_months=3,8.00,
    IF(arrears_months=4,10.00,
    IF(arrears_months=5,12.00,15.00)))))))</f>
        <v/>
      </c>
      <c r="M7097">
        <f>LET(
    seasoning_years,DATEDIF('Loan Tape (S&amp;P)'!K7097,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97">
        <f>IF(AND('Loan Tape (S&amp;P)'!U7097="Yes",
        'Loan Tape (S&amp;P)'!T7097&lt;&gt;"Yes",
        DATEDIF('Loan Tape (S&amp;P)'!K7097, TODAY(), "M")&lt;18),
    1.10,
    1.00)</f>
        <v/>
      </c>
      <c r="O7097">
        <f>IF('Loan Tape (S&amp;P)'!T7097="Yes",
    1.35,
    1.00)</f>
        <v/>
      </c>
      <c r="P7097">
        <f>IF('Loan Tape (S&amp;P)'!S7097="Yes",
    1.15,
    1.00)</f>
        <v/>
      </c>
      <c r="Q7097">
        <f>IF('Loan Tape (S&amp;P)'!V7097="Yes",
    1.20,
    1.00)</f>
        <v/>
      </c>
      <c r="T7097">
        <f>LET(
    payment_method,'Loan Tape (S&amp;P)'!P7097,
    occupancy,'Loan Tape (S&amp;P)'!N7097,
    maturity_date,'Loan Tape (S&amp;P)'!L7097,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98">
      <c r="J7098">
        <f>LET(
    lien,'Loan Tape (S&amp;P)'!Q7098,
    IF(lien="First",1.00,
        IF(lien="Second",1.50,
            1.70)))</f>
        <v/>
      </c>
      <c r="K7098">
        <f>LET(
    purpose,'Loan Tape (S&amp;P)'!R7098,
    IF(purpose="Purchase",1.00,
        IF(purpose="Remortgage",1.00,
            1.20)))</f>
        <v/>
      </c>
      <c r="L7098">
        <f>LET(
    arrears_months,'Loan Tape (S&amp;P)'!AN7098,
    IF(arrears_months=0,1.00,
    IF(arrears_months=1,3.00,
    IF(arrears_months=2,5.00,
    IF(arrears_months=3,8.00,
    IF(arrears_months=4,10.00,
    IF(arrears_months=5,12.00,15.00)))))))</f>
        <v/>
      </c>
      <c r="M7098">
        <f>LET(
    seasoning_years,DATEDIF('Loan Tape (S&amp;P)'!K7098,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98">
        <f>IF(AND('Loan Tape (S&amp;P)'!U7098="Yes",
        'Loan Tape (S&amp;P)'!T7098&lt;&gt;"Yes",
        DATEDIF('Loan Tape (S&amp;P)'!K7098, TODAY(), "M")&lt;18),
    1.10,
    1.00)</f>
        <v/>
      </c>
      <c r="O7098">
        <f>IF('Loan Tape (S&amp;P)'!T7098="Yes",
    1.35,
    1.00)</f>
        <v/>
      </c>
      <c r="P7098">
        <f>IF('Loan Tape (S&amp;P)'!S7098="Yes",
    1.15,
    1.00)</f>
        <v/>
      </c>
      <c r="Q7098">
        <f>IF('Loan Tape (S&amp;P)'!V7098="Yes",
    1.20,
    1.00)</f>
        <v/>
      </c>
      <c r="T7098">
        <f>LET(
    payment_method,'Loan Tape (S&amp;P)'!P7098,
    occupancy,'Loan Tape (S&amp;P)'!N7098,
    maturity_date,'Loan Tape (S&amp;P)'!L7098,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099">
      <c r="J7099">
        <f>LET(
    lien,'Loan Tape (S&amp;P)'!Q7099,
    IF(lien="First",1.00,
        IF(lien="Second",1.50,
            1.70)))</f>
        <v/>
      </c>
      <c r="K7099">
        <f>LET(
    purpose,'Loan Tape (S&amp;P)'!R7099,
    IF(purpose="Purchase",1.00,
        IF(purpose="Remortgage",1.00,
            1.20)))</f>
        <v/>
      </c>
      <c r="L7099">
        <f>LET(
    arrears_months,'Loan Tape (S&amp;P)'!AN7099,
    IF(arrears_months=0,1.00,
    IF(arrears_months=1,3.00,
    IF(arrears_months=2,5.00,
    IF(arrears_months=3,8.00,
    IF(arrears_months=4,10.00,
    IF(arrears_months=5,12.00,15.00)))))))</f>
        <v/>
      </c>
      <c r="M7099">
        <f>LET(
    seasoning_years,DATEDIF('Loan Tape (S&amp;P)'!K7099,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099">
        <f>IF(AND('Loan Tape (S&amp;P)'!U7099="Yes",
        'Loan Tape (S&amp;P)'!T7099&lt;&gt;"Yes",
        DATEDIF('Loan Tape (S&amp;P)'!K7099, TODAY(), "M")&lt;18),
    1.10,
    1.00)</f>
        <v/>
      </c>
      <c r="O7099">
        <f>IF('Loan Tape (S&amp;P)'!T7099="Yes",
    1.35,
    1.00)</f>
        <v/>
      </c>
      <c r="P7099">
        <f>IF('Loan Tape (S&amp;P)'!S7099="Yes",
    1.15,
    1.00)</f>
        <v/>
      </c>
      <c r="Q7099">
        <f>IF('Loan Tape (S&amp;P)'!V7099="Yes",
    1.20,
    1.00)</f>
        <v/>
      </c>
      <c r="T7099">
        <f>LET(
    payment_method,'Loan Tape (S&amp;P)'!P7099,
    occupancy,'Loan Tape (S&amp;P)'!N7099,
    maturity_date,'Loan Tape (S&amp;P)'!L7099,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00">
      <c r="J7100">
        <f>LET(
    lien,'Loan Tape (S&amp;P)'!Q7100,
    IF(lien="First",1.00,
        IF(lien="Second",1.50,
            1.70)))</f>
        <v/>
      </c>
      <c r="K7100">
        <f>LET(
    purpose,'Loan Tape (S&amp;P)'!R7100,
    IF(purpose="Purchase",1.00,
        IF(purpose="Remortgage",1.00,
            1.20)))</f>
        <v/>
      </c>
      <c r="L7100">
        <f>LET(
    arrears_months,'Loan Tape (S&amp;P)'!AN7100,
    IF(arrears_months=0,1.00,
    IF(arrears_months=1,3.00,
    IF(arrears_months=2,5.00,
    IF(arrears_months=3,8.00,
    IF(arrears_months=4,10.00,
    IF(arrears_months=5,12.00,15.00)))))))</f>
        <v/>
      </c>
      <c r="M7100">
        <f>LET(
    seasoning_years,DATEDIF('Loan Tape (S&amp;P)'!K7100,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00">
        <f>IF(AND('Loan Tape (S&amp;P)'!U7100="Yes",
        'Loan Tape (S&amp;P)'!T7100&lt;&gt;"Yes",
        DATEDIF('Loan Tape (S&amp;P)'!K7100, TODAY(), "M")&lt;18),
    1.10,
    1.00)</f>
        <v/>
      </c>
      <c r="O7100">
        <f>IF('Loan Tape (S&amp;P)'!T7100="Yes",
    1.35,
    1.00)</f>
        <v/>
      </c>
      <c r="P7100">
        <f>IF('Loan Tape (S&amp;P)'!S7100="Yes",
    1.15,
    1.00)</f>
        <v/>
      </c>
      <c r="Q7100">
        <f>IF('Loan Tape (S&amp;P)'!V7100="Yes",
    1.20,
    1.00)</f>
        <v/>
      </c>
      <c r="T7100">
        <f>LET(
    payment_method,'Loan Tape (S&amp;P)'!P7100,
    occupancy,'Loan Tape (S&amp;P)'!N7100,
    maturity_date,'Loan Tape (S&amp;P)'!L7100,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01">
      <c r="J7101">
        <f>LET(
    lien,'Loan Tape (S&amp;P)'!Q7101,
    IF(lien="First",1.00,
        IF(lien="Second",1.50,
            1.70)))</f>
        <v/>
      </c>
      <c r="K7101">
        <f>LET(
    purpose,'Loan Tape (S&amp;P)'!R7101,
    IF(purpose="Purchase",1.00,
        IF(purpose="Remortgage",1.00,
            1.20)))</f>
        <v/>
      </c>
      <c r="L7101">
        <f>LET(
    arrears_months,'Loan Tape (S&amp;P)'!AN7101,
    IF(arrears_months=0,1.00,
    IF(arrears_months=1,3.00,
    IF(arrears_months=2,5.00,
    IF(arrears_months=3,8.00,
    IF(arrears_months=4,10.00,
    IF(arrears_months=5,12.00,15.00)))))))</f>
        <v/>
      </c>
      <c r="M7101">
        <f>LET(
    seasoning_years,DATEDIF('Loan Tape (S&amp;P)'!K7101,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01">
        <f>IF(AND('Loan Tape (S&amp;P)'!U7101="Yes",
        'Loan Tape (S&amp;P)'!T7101&lt;&gt;"Yes",
        DATEDIF('Loan Tape (S&amp;P)'!K7101, TODAY(), "M")&lt;18),
    1.10,
    1.00)</f>
        <v/>
      </c>
      <c r="O7101">
        <f>IF('Loan Tape (S&amp;P)'!T7101="Yes",
    1.35,
    1.00)</f>
        <v/>
      </c>
      <c r="P7101">
        <f>IF('Loan Tape (S&amp;P)'!S7101="Yes",
    1.15,
    1.00)</f>
        <v/>
      </c>
      <c r="Q7101">
        <f>IF('Loan Tape (S&amp;P)'!V7101="Yes",
    1.20,
    1.00)</f>
        <v/>
      </c>
      <c r="T7101">
        <f>LET(
    payment_method,'Loan Tape (S&amp;P)'!P7101,
    occupancy,'Loan Tape (S&amp;P)'!N7101,
    maturity_date,'Loan Tape (S&amp;P)'!L7101,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02">
      <c r="J7102">
        <f>LET(
    lien,'Loan Tape (S&amp;P)'!Q7102,
    IF(lien="First",1.00,
        IF(lien="Second",1.50,
            1.70)))</f>
        <v/>
      </c>
      <c r="K7102">
        <f>LET(
    purpose,'Loan Tape (S&amp;P)'!R7102,
    IF(purpose="Purchase",1.00,
        IF(purpose="Remortgage",1.00,
            1.20)))</f>
        <v/>
      </c>
      <c r="L7102">
        <f>LET(
    arrears_months,'Loan Tape (S&amp;P)'!AN7102,
    IF(arrears_months=0,1.00,
    IF(arrears_months=1,3.00,
    IF(arrears_months=2,5.00,
    IF(arrears_months=3,8.00,
    IF(arrears_months=4,10.00,
    IF(arrears_months=5,12.00,15.00)))))))</f>
        <v/>
      </c>
      <c r="M7102">
        <f>LET(
    seasoning_years,DATEDIF('Loan Tape (S&amp;P)'!K7102,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02">
        <f>IF(AND('Loan Tape (S&amp;P)'!U7102="Yes",
        'Loan Tape (S&amp;P)'!T7102&lt;&gt;"Yes",
        DATEDIF('Loan Tape (S&amp;P)'!K7102, TODAY(), "M")&lt;18),
    1.10,
    1.00)</f>
        <v/>
      </c>
      <c r="O7102">
        <f>IF('Loan Tape (S&amp;P)'!T7102="Yes",
    1.35,
    1.00)</f>
        <v/>
      </c>
      <c r="P7102">
        <f>IF('Loan Tape (S&amp;P)'!S7102="Yes",
    1.15,
    1.00)</f>
        <v/>
      </c>
      <c r="Q7102">
        <f>IF('Loan Tape (S&amp;P)'!V7102="Yes",
    1.20,
    1.00)</f>
        <v/>
      </c>
      <c r="T7102">
        <f>LET(
    payment_method,'Loan Tape (S&amp;P)'!P7102,
    occupancy,'Loan Tape (S&amp;P)'!N7102,
    maturity_date,'Loan Tape (S&amp;P)'!L7102,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03">
      <c r="J7103">
        <f>LET(
    lien,'Loan Tape (S&amp;P)'!Q7103,
    IF(lien="First",1.00,
        IF(lien="Second",1.50,
            1.70)))</f>
        <v/>
      </c>
      <c r="K7103">
        <f>LET(
    purpose,'Loan Tape (S&amp;P)'!R7103,
    IF(purpose="Purchase",1.00,
        IF(purpose="Remortgage",1.00,
            1.20)))</f>
        <v/>
      </c>
      <c r="L7103">
        <f>LET(
    arrears_months,'Loan Tape (S&amp;P)'!AN7103,
    IF(arrears_months=0,1.00,
    IF(arrears_months=1,3.00,
    IF(arrears_months=2,5.00,
    IF(arrears_months=3,8.00,
    IF(arrears_months=4,10.00,
    IF(arrears_months=5,12.00,15.00)))))))</f>
        <v/>
      </c>
      <c r="M7103">
        <f>LET(
    seasoning_years,DATEDIF('Loan Tape (S&amp;P)'!K7103,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03">
        <f>IF(AND('Loan Tape (S&amp;P)'!U7103="Yes",
        'Loan Tape (S&amp;P)'!T7103&lt;&gt;"Yes",
        DATEDIF('Loan Tape (S&amp;P)'!K7103, TODAY(), "M")&lt;18),
    1.10,
    1.00)</f>
        <v/>
      </c>
      <c r="O7103">
        <f>IF('Loan Tape (S&amp;P)'!T7103="Yes",
    1.35,
    1.00)</f>
        <v/>
      </c>
      <c r="P7103">
        <f>IF('Loan Tape (S&amp;P)'!S7103="Yes",
    1.15,
    1.00)</f>
        <v/>
      </c>
      <c r="Q7103">
        <f>IF('Loan Tape (S&amp;P)'!V7103="Yes",
    1.20,
    1.00)</f>
        <v/>
      </c>
      <c r="T7103">
        <f>LET(
    payment_method,'Loan Tape (S&amp;P)'!P7103,
    occupancy,'Loan Tape (S&amp;P)'!N7103,
    maturity_date,'Loan Tape (S&amp;P)'!L7103,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04">
      <c r="J7104">
        <f>LET(
    lien,'Loan Tape (S&amp;P)'!Q7104,
    IF(lien="First",1.00,
        IF(lien="Second",1.50,
            1.70)))</f>
        <v/>
      </c>
      <c r="K7104">
        <f>LET(
    purpose,'Loan Tape (S&amp;P)'!R7104,
    IF(purpose="Purchase",1.00,
        IF(purpose="Remortgage",1.00,
            1.20)))</f>
        <v/>
      </c>
      <c r="L7104">
        <f>LET(
    arrears_months,'Loan Tape (S&amp;P)'!AN7104,
    IF(arrears_months=0,1.00,
    IF(arrears_months=1,3.00,
    IF(arrears_months=2,5.00,
    IF(arrears_months=3,8.00,
    IF(arrears_months=4,10.00,
    IF(arrears_months=5,12.00,15.00)))))))</f>
        <v/>
      </c>
      <c r="M7104">
        <f>LET(
    seasoning_years,DATEDIF('Loan Tape (S&amp;P)'!K7104,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04">
        <f>IF(AND('Loan Tape (S&amp;P)'!U7104="Yes",
        'Loan Tape (S&amp;P)'!T7104&lt;&gt;"Yes",
        DATEDIF('Loan Tape (S&amp;P)'!K7104, TODAY(), "M")&lt;18),
    1.10,
    1.00)</f>
        <v/>
      </c>
      <c r="O7104">
        <f>IF('Loan Tape (S&amp;P)'!T7104="Yes",
    1.35,
    1.00)</f>
        <v/>
      </c>
      <c r="P7104">
        <f>IF('Loan Tape (S&amp;P)'!S7104="Yes",
    1.15,
    1.00)</f>
        <v/>
      </c>
      <c r="Q7104">
        <f>IF('Loan Tape (S&amp;P)'!V7104="Yes",
    1.20,
    1.00)</f>
        <v/>
      </c>
      <c r="T7104">
        <f>LET(
    payment_method,'Loan Tape (S&amp;P)'!P7104,
    occupancy,'Loan Tape (S&amp;P)'!N7104,
    maturity_date,'Loan Tape (S&amp;P)'!L7104,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05">
      <c r="J7105">
        <f>LET(
    lien,'Loan Tape (S&amp;P)'!Q7105,
    IF(lien="First",1.00,
        IF(lien="Second",1.50,
            1.70)))</f>
        <v/>
      </c>
      <c r="K7105">
        <f>LET(
    purpose,'Loan Tape (S&amp;P)'!R7105,
    IF(purpose="Purchase",1.00,
        IF(purpose="Remortgage",1.00,
            1.20)))</f>
        <v/>
      </c>
      <c r="L7105">
        <f>LET(
    arrears_months,'Loan Tape (S&amp;P)'!AN7105,
    IF(arrears_months=0,1.00,
    IF(arrears_months=1,3.00,
    IF(arrears_months=2,5.00,
    IF(arrears_months=3,8.00,
    IF(arrears_months=4,10.00,
    IF(arrears_months=5,12.00,15.00)))))))</f>
        <v/>
      </c>
      <c r="M7105">
        <f>LET(
    seasoning_years,DATEDIF('Loan Tape (S&amp;P)'!K7105,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05">
        <f>IF(AND('Loan Tape (S&amp;P)'!U7105="Yes",
        'Loan Tape (S&amp;P)'!T7105&lt;&gt;"Yes",
        DATEDIF('Loan Tape (S&amp;P)'!K7105, TODAY(), "M")&lt;18),
    1.10,
    1.00)</f>
        <v/>
      </c>
      <c r="O7105">
        <f>IF('Loan Tape (S&amp;P)'!T7105="Yes",
    1.35,
    1.00)</f>
        <v/>
      </c>
      <c r="P7105">
        <f>IF('Loan Tape (S&amp;P)'!S7105="Yes",
    1.15,
    1.00)</f>
        <v/>
      </c>
      <c r="Q7105">
        <f>IF('Loan Tape (S&amp;P)'!V7105="Yes",
    1.20,
    1.00)</f>
        <v/>
      </c>
      <c r="T7105">
        <f>LET(
    payment_method,'Loan Tape (S&amp;P)'!P7105,
    occupancy,'Loan Tape (S&amp;P)'!N7105,
    maturity_date,'Loan Tape (S&amp;P)'!L7105,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06">
      <c r="J7106">
        <f>LET(
    lien,'Loan Tape (S&amp;P)'!Q7106,
    IF(lien="First",1.00,
        IF(lien="Second",1.50,
            1.70)))</f>
        <v/>
      </c>
      <c r="K7106">
        <f>LET(
    purpose,'Loan Tape (S&amp;P)'!R7106,
    IF(purpose="Purchase",1.00,
        IF(purpose="Remortgage",1.00,
            1.20)))</f>
        <v/>
      </c>
      <c r="L7106">
        <f>LET(
    arrears_months,'Loan Tape (S&amp;P)'!AN7106,
    IF(arrears_months=0,1.00,
    IF(arrears_months=1,3.00,
    IF(arrears_months=2,5.00,
    IF(arrears_months=3,8.00,
    IF(arrears_months=4,10.00,
    IF(arrears_months=5,12.00,15.00)))))))</f>
        <v/>
      </c>
      <c r="M7106">
        <f>LET(
    seasoning_years,DATEDIF('Loan Tape (S&amp;P)'!K7106,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06">
        <f>IF(AND('Loan Tape (S&amp;P)'!U7106="Yes",
        'Loan Tape (S&amp;P)'!T7106&lt;&gt;"Yes",
        DATEDIF('Loan Tape (S&amp;P)'!K7106, TODAY(), "M")&lt;18),
    1.10,
    1.00)</f>
        <v/>
      </c>
      <c r="O7106">
        <f>IF('Loan Tape (S&amp;P)'!T7106="Yes",
    1.35,
    1.00)</f>
        <v/>
      </c>
      <c r="P7106">
        <f>IF('Loan Tape (S&amp;P)'!S7106="Yes",
    1.15,
    1.00)</f>
        <v/>
      </c>
      <c r="Q7106">
        <f>IF('Loan Tape (S&amp;P)'!V7106="Yes",
    1.20,
    1.00)</f>
        <v/>
      </c>
      <c r="T7106">
        <f>LET(
    payment_method,'Loan Tape (S&amp;P)'!P7106,
    occupancy,'Loan Tape (S&amp;P)'!N7106,
    maturity_date,'Loan Tape (S&amp;P)'!L7106,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07">
      <c r="J7107">
        <f>LET(
    lien,'Loan Tape (S&amp;P)'!Q7107,
    IF(lien="First",1.00,
        IF(lien="Second",1.50,
            1.70)))</f>
        <v/>
      </c>
      <c r="K7107">
        <f>LET(
    purpose,'Loan Tape (S&amp;P)'!R7107,
    IF(purpose="Purchase",1.00,
        IF(purpose="Remortgage",1.00,
            1.20)))</f>
        <v/>
      </c>
      <c r="L7107">
        <f>LET(
    arrears_months,'Loan Tape (S&amp;P)'!AN7107,
    IF(arrears_months=0,1.00,
    IF(arrears_months=1,3.00,
    IF(arrears_months=2,5.00,
    IF(arrears_months=3,8.00,
    IF(arrears_months=4,10.00,
    IF(arrears_months=5,12.00,15.00)))))))</f>
        <v/>
      </c>
      <c r="M7107">
        <f>LET(
    seasoning_years,DATEDIF('Loan Tape (S&amp;P)'!K7107,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07">
        <f>IF(AND('Loan Tape (S&amp;P)'!U7107="Yes",
        'Loan Tape (S&amp;P)'!T7107&lt;&gt;"Yes",
        DATEDIF('Loan Tape (S&amp;P)'!K7107, TODAY(), "M")&lt;18),
    1.10,
    1.00)</f>
        <v/>
      </c>
      <c r="O7107">
        <f>IF('Loan Tape (S&amp;P)'!T7107="Yes",
    1.35,
    1.00)</f>
        <v/>
      </c>
      <c r="P7107">
        <f>IF('Loan Tape (S&amp;P)'!S7107="Yes",
    1.15,
    1.00)</f>
        <v/>
      </c>
      <c r="Q7107">
        <f>IF('Loan Tape (S&amp;P)'!V7107="Yes",
    1.20,
    1.00)</f>
        <v/>
      </c>
      <c r="T7107">
        <f>LET(
    payment_method,'Loan Tape (S&amp;P)'!P7107,
    occupancy,'Loan Tape (S&amp;P)'!N7107,
    maturity_date,'Loan Tape (S&amp;P)'!L7107,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08">
      <c r="J7108">
        <f>LET(
    lien,'Loan Tape (S&amp;P)'!Q7108,
    IF(lien="First",1.00,
        IF(lien="Second",1.50,
            1.70)))</f>
        <v/>
      </c>
      <c r="K7108">
        <f>LET(
    purpose,'Loan Tape (S&amp;P)'!R7108,
    IF(purpose="Purchase",1.00,
        IF(purpose="Remortgage",1.00,
            1.20)))</f>
        <v/>
      </c>
      <c r="L7108">
        <f>LET(
    arrears_months,'Loan Tape (S&amp;P)'!AN7108,
    IF(arrears_months=0,1.00,
    IF(arrears_months=1,3.00,
    IF(arrears_months=2,5.00,
    IF(arrears_months=3,8.00,
    IF(arrears_months=4,10.00,
    IF(arrears_months=5,12.00,15.00)))))))</f>
        <v/>
      </c>
      <c r="M7108">
        <f>LET(
    seasoning_years,DATEDIF('Loan Tape (S&amp;P)'!K7108,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08">
        <f>IF(AND('Loan Tape (S&amp;P)'!U7108="Yes",
        'Loan Tape (S&amp;P)'!T7108&lt;&gt;"Yes",
        DATEDIF('Loan Tape (S&amp;P)'!K7108, TODAY(), "M")&lt;18),
    1.10,
    1.00)</f>
        <v/>
      </c>
      <c r="O7108">
        <f>IF('Loan Tape (S&amp;P)'!T7108="Yes",
    1.35,
    1.00)</f>
        <v/>
      </c>
      <c r="P7108">
        <f>IF('Loan Tape (S&amp;P)'!S7108="Yes",
    1.15,
    1.00)</f>
        <v/>
      </c>
      <c r="Q7108">
        <f>IF('Loan Tape (S&amp;P)'!V7108="Yes",
    1.20,
    1.00)</f>
        <v/>
      </c>
      <c r="T7108">
        <f>LET(
    payment_method,'Loan Tape (S&amp;P)'!P7108,
    occupancy,'Loan Tape (S&amp;P)'!N7108,
    maturity_date,'Loan Tape (S&amp;P)'!L7108,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09">
      <c r="J7109">
        <f>LET(
    lien,'Loan Tape (S&amp;P)'!Q7109,
    IF(lien="First",1.00,
        IF(lien="Second",1.50,
            1.70)))</f>
        <v/>
      </c>
      <c r="K7109">
        <f>LET(
    purpose,'Loan Tape (S&amp;P)'!R7109,
    IF(purpose="Purchase",1.00,
        IF(purpose="Remortgage",1.00,
            1.20)))</f>
        <v/>
      </c>
      <c r="L7109">
        <f>LET(
    arrears_months,'Loan Tape (S&amp;P)'!AN7109,
    IF(arrears_months=0,1.00,
    IF(arrears_months=1,3.00,
    IF(arrears_months=2,5.00,
    IF(arrears_months=3,8.00,
    IF(arrears_months=4,10.00,
    IF(arrears_months=5,12.00,15.00)))))))</f>
        <v/>
      </c>
      <c r="M7109">
        <f>LET(
    seasoning_years,DATEDIF('Loan Tape (S&amp;P)'!K7109,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09">
        <f>IF(AND('Loan Tape (S&amp;P)'!U7109="Yes",
        'Loan Tape (S&amp;P)'!T7109&lt;&gt;"Yes",
        DATEDIF('Loan Tape (S&amp;P)'!K7109, TODAY(), "M")&lt;18),
    1.10,
    1.00)</f>
        <v/>
      </c>
      <c r="O7109">
        <f>IF('Loan Tape (S&amp;P)'!T7109="Yes",
    1.35,
    1.00)</f>
        <v/>
      </c>
      <c r="P7109">
        <f>IF('Loan Tape (S&amp;P)'!S7109="Yes",
    1.15,
    1.00)</f>
        <v/>
      </c>
      <c r="Q7109">
        <f>IF('Loan Tape (S&amp;P)'!V7109="Yes",
    1.20,
    1.00)</f>
        <v/>
      </c>
      <c r="T7109">
        <f>LET(
    payment_method,'Loan Tape (S&amp;P)'!P7109,
    occupancy,'Loan Tape (S&amp;P)'!N7109,
    maturity_date,'Loan Tape (S&amp;P)'!L7109,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10">
      <c r="J7110">
        <f>LET(
    lien,'Loan Tape (S&amp;P)'!Q7110,
    IF(lien="First",1.00,
        IF(lien="Second",1.50,
            1.70)))</f>
        <v/>
      </c>
      <c r="K7110">
        <f>LET(
    purpose,'Loan Tape (S&amp;P)'!R7110,
    IF(purpose="Purchase",1.00,
        IF(purpose="Remortgage",1.00,
            1.20)))</f>
        <v/>
      </c>
      <c r="L7110">
        <f>LET(
    arrears_months,'Loan Tape (S&amp;P)'!AN7110,
    IF(arrears_months=0,1.00,
    IF(arrears_months=1,3.00,
    IF(arrears_months=2,5.00,
    IF(arrears_months=3,8.00,
    IF(arrears_months=4,10.00,
    IF(arrears_months=5,12.00,15.00)))))))</f>
        <v/>
      </c>
      <c r="M7110">
        <f>LET(
    seasoning_years,DATEDIF('Loan Tape (S&amp;P)'!K7110,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10">
        <f>IF(AND('Loan Tape (S&amp;P)'!U7110="Yes",
        'Loan Tape (S&amp;P)'!T7110&lt;&gt;"Yes",
        DATEDIF('Loan Tape (S&amp;P)'!K7110, TODAY(), "M")&lt;18),
    1.10,
    1.00)</f>
        <v/>
      </c>
      <c r="O7110">
        <f>IF('Loan Tape (S&amp;P)'!T7110="Yes",
    1.35,
    1.00)</f>
        <v/>
      </c>
      <c r="P7110">
        <f>IF('Loan Tape (S&amp;P)'!S7110="Yes",
    1.15,
    1.00)</f>
        <v/>
      </c>
      <c r="Q7110">
        <f>IF('Loan Tape (S&amp;P)'!V7110="Yes",
    1.20,
    1.00)</f>
        <v/>
      </c>
      <c r="T7110">
        <f>LET(
    payment_method,'Loan Tape (S&amp;P)'!P7110,
    occupancy,'Loan Tape (S&amp;P)'!N7110,
    maturity_date,'Loan Tape (S&amp;P)'!L7110,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11">
      <c r="J7111">
        <f>LET(
    lien,'Loan Tape (S&amp;P)'!Q7111,
    IF(lien="First",1.00,
        IF(lien="Second",1.50,
            1.70)))</f>
        <v/>
      </c>
      <c r="K7111">
        <f>LET(
    purpose,'Loan Tape (S&amp;P)'!R7111,
    IF(purpose="Purchase",1.00,
        IF(purpose="Remortgage",1.00,
            1.20)))</f>
        <v/>
      </c>
      <c r="L7111">
        <f>LET(
    arrears_months,'Loan Tape (S&amp;P)'!AN7111,
    IF(arrears_months=0,1.00,
    IF(arrears_months=1,3.00,
    IF(arrears_months=2,5.00,
    IF(arrears_months=3,8.00,
    IF(arrears_months=4,10.00,
    IF(arrears_months=5,12.00,15.00)))))))</f>
        <v/>
      </c>
      <c r="M7111">
        <f>LET(
    seasoning_years,DATEDIF('Loan Tape (S&amp;P)'!K7111,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11">
        <f>IF(AND('Loan Tape (S&amp;P)'!U7111="Yes",
        'Loan Tape (S&amp;P)'!T7111&lt;&gt;"Yes",
        DATEDIF('Loan Tape (S&amp;P)'!K7111, TODAY(), "M")&lt;18),
    1.10,
    1.00)</f>
        <v/>
      </c>
      <c r="O7111">
        <f>IF('Loan Tape (S&amp;P)'!T7111="Yes",
    1.35,
    1.00)</f>
        <v/>
      </c>
      <c r="P7111">
        <f>IF('Loan Tape (S&amp;P)'!S7111="Yes",
    1.15,
    1.00)</f>
        <v/>
      </c>
      <c r="Q7111">
        <f>IF('Loan Tape (S&amp;P)'!V7111="Yes",
    1.20,
    1.00)</f>
        <v/>
      </c>
      <c r="T7111">
        <f>LET(
    payment_method,'Loan Tape (S&amp;P)'!P7111,
    occupancy,'Loan Tape (S&amp;P)'!N7111,
    maturity_date,'Loan Tape (S&amp;P)'!L7111,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12">
      <c r="J7112">
        <f>LET(
    lien,'Loan Tape (S&amp;P)'!Q7112,
    IF(lien="First",1.00,
        IF(lien="Second",1.50,
            1.70)))</f>
        <v/>
      </c>
      <c r="K7112">
        <f>LET(
    purpose,'Loan Tape (S&amp;P)'!R7112,
    IF(purpose="Purchase",1.00,
        IF(purpose="Remortgage",1.00,
            1.20)))</f>
        <v/>
      </c>
      <c r="L7112">
        <f>LET(
    arrears_months,'Loan Tape (S&amp;P)'!AN7112,
    IF(arrears_months=0,1.00,
    IF(arrears_months=1,3.00,
    IF(arrears_months=2,5.00,
    IF(arrears_months=3,8.00,
    IF(arrears_months=4,10.00,
    IF(arrears_months=5,12.00,15.00)))))))</f>
        <v/>
      </c>
      <c r="M7112">
        <f>LET(
    seasoning_years,DATEDIF('Loan Tape (S&amp;P)'!K7112,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12">
        <f>IF(AND('Loan Tape (S&amp;P)'!U7112="Yes",
        'Loan Tape (S&amp;P)'!T7112&lt;&gt;"Yes",
        DATEDIF('Loan Tape (S&amp;P)'!K7112, TODAY(), "M")&lt;18),
    1.10,
    1.00)</f>
        <v/>
      </c>
      <c r="O7112">
        <f>IF('Loan Tape (S&amp;P)'!T7112="Yes",
    1.35,
    1.00)</f>
        <v/>
      </c>
      <c r="P7112">
        <f>IF('Loan Tape (S&amp;P)'!S7112="Yes",
    1.15,
    1.00)</f>
        <v/>
      </c>
      <c r="Q7112">
        <f>IF('Loan Tape (S&amp;P)'!V7112="Yes",
    1.20,
    1.00)</f>
        <v/>
      </c>
      <c r="T7112">
        <f>LET(
    payment_method,'Loan Tape (S&amp;P)'!P7112,
    occupancy,'Loan Tape (S&amp;P)'!N7112,
    maturity_date,'Loan Tape (S&amp;P)'!L7112,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13">
      <c r="J7113">
        <f>LET(
    lien,'Loan Tape (S&amp;P)'!Q7113,
    IF(lien="First",1.00,
        IF(lien="Second",1.50,
            1.70)))</f>
        <v/>
      </c>
      <c r="K7113">
        <f>LET(
    purpose,'Loan Tape (S&amp;P)'!R7113,
    IF(purpose="Purchase",1.00,
        IF(purpose="Remortgage",1.00,
            1.20)))</f>
        <v/>
      </c>
      <c r="L7113">
        <f>LET(
    arrears_months,'Loan Tape (S&amp;P)'!AN7113,
    IF(arrears_months=0,1.00,
    IF(arrears_months=1,3.00,
    IF(arrears_months=2,5.00,
    IF(arrears_months=3,8.00,
    IF(arrears_months=4,10.00,
    IF(arrears_months=5,12.00,15.00)))))))</f>
        <v/>
      </c>
      <c r="M7113">
        <f>LET(
    seasoning_years,DATEDIF('Loan Tape (S&amp;P)'!K7113,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13">
        <f>IF(AND('Loan Tape (S&amp;P)'!U7113="Yes",
        'Loan Tape (S&amp;P)'!T7113&lt;&gt;"Yes",
        DATEDIF('Loan Tape (S&amp;P)'!K7113, TODAY(), "M")&lt;18),
    1.10,
    1.00)</f>
        <v/>
      </c>
      <c r="O7113">
        <f>IF('Loan Tape (S&amp;P)'!T7113="Yes",
    1.35,
    1.00)</f>
        <v/>
      </c>
      <c r="P7113">
        <f>IF('Loan Tape (S&amp;P)'!S7113="Yes",
    1.15,
    1.00)</f>
        <v/>
      </c>
      <c r="Q7113">
        <f>IF('Loan Tape (S&amp;P)'!V7113="Yes",
    1.20,
    1.00)</f>
        <v/>
      </c>
      <c r="T7113">
        <f>LET(
    payment_method,'Loan Tape (S&amp;P)'!P7113,
    occupancy,'Loan Tape (S&amp;P)'!N7113,
    maturity_date,'Loan Tape (S&amp;P)'!L7113,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14">
      <c r="J7114">
        <f>LET(
    lien,'Loan Tape (S&amp;P)'!Q7114,
    IF(lien="First",1.00,
        IF(lien="Second",1.50,
            1.70)))</f>
        <v/>
      </c>
      <c r="K7114">
        <f>LET(
    purpose,'Loan Tape (S&amp;P)'!R7114,
    IF(purpose="Purchase",1.00,
        IF(purpose="Remortgage",1.00,
            1.20)))</f>
        <v/>
      </c>
      <c r="L7114">
        <f>LET(
    arrears_months,'Loan Tape (S&amp;P)'!AN7114,
    IF(arrears_months=0,1.00,
    IF(arrears_months=1,3.00,
    IF(arrears_months=2,5.00,
    IF(arrears_months=3,8.00,
    IF(arrears_months=4,10.00,
    IF(arrears_months=5,12.00,15.00)))))))</f>
        <v/>
      </c>
      <c r="M7114">
        <f>LET(
    seasoning_years,DATEDIF('Loan Tape (S&amp;P)'!K7114,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14">
        <f>IF(AND('Loan Tape (S&amp;P)'!U7114="Yes",
        'Loan Tape (S&amp;P)'!T7114&lt;&gt;"Yes",
        DATEDIF('Loan Tape (S&amp;P)'!K7114, TODAY(), "M")&lt;18),
    1.10,
    1.00)</f>
        <v/>
      </c>
      <c r="O7114">
        <f>IF('Loan Tape (S&amp;P)'!T7114="Yes",
    1.35,
    1.00)</f>
        <v/>
      </c>
      <c r="P7114">
        <f>IF('Loan Tape (S&amp;P)'!S7114="Yes",
    1.15,
    1.00)</f>
        <v/>
      </c>
      <c r="Q7114">
        <f>IF('Loan Tape (S&amp;P)'!V7114="Yes",
    1.20,
    1.00)</f>
        <v/>
      </c>
      <c r="T7114">
        <f>LET(
    payment_method,'Loan Tape (S&amp;P)'!P7114,
    occupancy,'Loan Tape (S&amp;P)'!N7114,
    maturity_date,'Loan Tape (S&amp;P)'!L7114,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15">
      <c r="J7115">
        <f>LET(
    lien,'Loan Tape (S&amp;P)'!Q7115,
    IF(lien="First",1.00,
        IF(lien="Second",1.50,
            1.70)))</f>
        <v/>
      </c>
      <c r="K7115">
        <f>LET(
    purpose,'Loan Tape (S&amp;P)'!R7115,
    IF(purpose="Purchase",1.00,
        IF(purpose="Remortgage",1.00,
            1.20)))</f>
        <v/>
      </c>
      <c r="L7115">
        <f>LET(
    arrears_months,'Loan Tape (S&amp;P)'!AN7115,
    IF(arrears_months=0,1.00,
    IF(arrears_months=1,3.00,
    IF(arrears_months=2,5.00,
    IF(arrears_months=3,8.00,
    IF(arrears_months=4,10.00,
    IF(arrears_months=5,12.00,15.00)))))))</f>
        <v/>
      </c>
      <c r="M7115">
        <f>LET(
    seasoning_years,DATEDIF('Loan Tape (S&amp;P)'!K7115,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15">
        <f>IF(AND('Loan Tape (S&amp;P)'!U7115="Yes",
        'Loan Tape (S&amp;P)'!T7115&lt;&gt;"Yes",
        DATEDIF('Loan Tape (S&amp;P)'!K7115, TODAY(), "M")&lt;18),
    1.10,
    1.00)</f>
        <v/>
      </c>
      <c r="O7115">
        <f>IF('Loan Tape (S&amp;P)'!T7115="Yes",
    1.35,
    1.00)</f>
        <v/>
      </c>
      <c r="P7115">
        <f>IF('Loan Tape (S&amp;P)'!S7115="Yes",
    1.15,
    1.00)</f>
        <v/>
      </c>
      <c r="Q7115">
        <f>IF('Loan Tape (S&amp;P)'!V7115="Yes",
    1.20,
    1.00)</f>
        <v/>
      </c>
      <c r="T7115">
        <f>LET(
    payment_method,'Loan Tape (S&amp;P)'!P7115,
    occupancy,'Loan Tape (S&amp;P)'!N7115,
    maturity_date,'Loan Tape (S&amp;P)'!L7115,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16">
      <c r="J7116">
        <f>LET(
    lien,'Loan Tape (S&amp;P)'!Q7116,
    IF(lien="First",1.00,
        IF(lien="Second",1.50,
            1.70)))</f>
        <v/>
      </c>
      <c r="K7116">
        <f>LET(
    purpose,'Loan Tape (S&amp;P)'!R7116,
    IF(purpose="Purchase",1.00,
        IF(purpose="Remortgage",1.00,
            1.20)))</f>
        <v/>
      </c>
      <c r="L7116">
        <f>LET(
    arrears_months,'Loan Tape (S&amp;P)'!AN7116,
    IF(arrears_months=0,1.00,
    IF(arrears_months=1,3.00,
    IF(arrears_months=2,5.00,
    IF(arrears_months=3,8.00,
    IF(arrears_months=4,10.00,
    IF(arrears_months=5,12.00,15.00)))))))</f>
        <v/>
      </c>
      <c r="M7116">
        <f>LET(
    seasoning_years,DATEDIF('Loan Tape (S&amp;P)'!K7116,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16">
        <f>IF(AND('Loan Tape (S&amp;P)'!U7116="Yes",
        'Loan Tape (S&amp;P)'!T7116&lt;&gt;"Yes",
        DATEDIF('Loan Tape (S&amp;P)'!K7116, TODAY(), "M")&lt;18),
    1.10,
    1.00)</f>
        <v/>
      </c>
      <c r="O7116">
        <f>IF('Loan Tape (S&amp;P)'!T7116="Yes",
    1.35,
    1.00)</f>
        <v/>
      </c>
      <c r="P7116">
        <f>IF('Loan Tape (S&amp;P)'!S7116="Yes",
    1.15,
    1.00)</f>
        <v/>
      </c>
      <c r="Q7116">
        <f>IF('Loan Tape (S&amp;P)'!V7116="Yes",
    1.20,
    1.00)</f>
        <v/>
      </c>
      <c r="T7116">
        <f>LET(
    payment_method,'Loan Tape (S&amp;P)'!P7116,
    occupancy,'Loan Tape (S&amp;P)'!N7116,
    maturity_date,'Loan Tape (S&amp;P)'!L7116,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17">
      <c r="J7117">
        <f>LET(
    lien,'Loan Tape (S&amp;P)'!Q7117,
    IF(lien="First",1.00,
        IF(lien="Second",1.50,
            1.70)))</f>
        <v/>
      </c>
      <c r="K7117">
        <f>LET(
    purpose,'Loan Tape (S&amp;P)'!R7117,
    IF(purpose="Purchase",1.00,
        IF(purpose="Remortgage",1.00,
            1.20)))</f>
        <v/>
      </c>
      <c r="L7117">
        <f>LET(
    arrears_months,'Loan Tape (S&amp;P)'!AN7117,
    IF(arrears_months=0,1.00,
    IF(arrears_months=1,3.00,
    IF(arrears_months=2,5.00,
    IF(arrears_months=3,8.00,
    IF(arrears_months=4,10.00,
    IF(arrears_months=5,12.00,15.00)))))))</f>
        <v/>
      </c>
      <c r="M7117">
        <f>LET(
    seasoning_years,DATEDIF('Loan Tape (S&amp;P)'!K7117,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17">
        <f>IF(AND('Loan Tape (S&amp;P)'!U7117="Yes",
        'Loan Tape (S&amp;P)'!T7117&lt;&gt;"Yes",
        DATEDIF('Loan Tape (S&amp;P)'!K7117, TODAY(), "M")&lt;18),
    1.10,
    1.00)</f>
        <v/>
      </c>
      <c r="O7117">
        <f>IF('Loan Tape (S&amp;P)'!T7117="Yes",
    1.35,
    1.00)</f>
        <v/>
      </c>
      <c r="P7117">
        <f>IF('Loan Tape (S&amp;P)'!S7117="Yes",
    1.15,
    1.00)</f>
        <v/>
      </c>
      <c r="Q7117">
        <f>IF('Loan Tape (S&amp;P)'!V7117="Yes",
    1.20,
    1.00)</f>
        <v/>
      </c>
      <c r="T7117">
        <f>LET(
    payment_method,'Loan Tape (S&amp;P)'!P7117,
    occupancy,'Loan Tape (S&amp;P)'!N7117,
    maturity_date,'Loan Tape (S&amp;P)'!L7117,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18">
      <c r="J7118">
        <f>LET(
    lien,'Loan Tape (S&amp;P)'!Q7118,
    IF(lien="First",1.00,
        IF(lien="Second",1.50,
            1.70)))</f>
        <v/>
      </c>
      <c r="K7118">
        <f>LET(
    purpose,'Loan Tape (S&amp;P)'!R7118,
    IF(purpose="Purchase",1.00,
        IF(purpose="Remortgage",1.00,
            1.20)))</f>
        <v/>
      </c>
      <c r="L7118">
        <f>LET(
    arrears_months,'Loan Tape (S&amp;P)'!AN7118,
    IF(arrears_months=0,1.00,
    IF(arrears_months=1,3.00,
    IF(arrears_months=2,5.00,
    IF(arrears_months=3,8.00,
    IF(arrears_months=4,10.00,
    IF(arrears_months=5,12.00,15.00)))))))</f>
        <v/>
      </c>
      <c r="M7118">
        <f>LET(
    seasoning_years,DATEDIF('Loan Tape (S&amp;P)'!K7118,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18">
        <f>IF(AND('Loan Tape (S&amp;P)'!U7118="Yes",
        'Loan Tape (S&amp;P)'!T7118&lt;&gt;"Yes",
        DATEDIF('Loan Tape (S&amp;P)'!K7118, TODAY(), "M")&lt;18),
    1.10,
    1.00)</f>
        <v/>
      </c>
      <c r="O7118">
        <f>IF('Loan Tape (S&amp;P)'!T7118="Yes",
    1.35,
    1.00)</f>
        <v/>
      </c>
      <c r="P7118">
        <f>IF('Loan Tape (S&amp;P)'!S7118="Yes",
    1.15,
    1.00)</f>
        <v/>
      </c>
      <c r="Q7118">
        <f>IF('Loan Tape (S&amp;P)'!V7118="Yes",
    1.20,
    1.00)</f>
        <v/>
      </c>
      <c r="T7118">
        <f>LET(
    payment_method,'Loan Tape (S&amp;P)'!P7118,
    occupancy,'Loan Tape (S&amp;P)'!N7118,
    maturity_date,'Loan Tape (S&amp;P)'!L7118,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19">
      <c r="J7119">
        <f>LET(
    lien,'Loan Tape (S&amp;P)'!Q7119,
    IF(lien="First",1.00,
        IF(lien="Second",1.50,
            1.70)))</f>
        <v/>
      </c>
      <c r="K7119">
        <f>LET(
    purpose,'Loan Tape (S&amp;P)'!R7119,
    IF(purpose="Purchase",1.00,
        IF(purpose="Remortgage",1.00,
            1.20)))</f>
        <v/>
      </c>
      <c r="L7119">
        <f>LET(
    arrears_months,'Loan Tape (S&amp;P)'!AN7119,
    IF(arrears_months=0,1.00,
    IF(arrears_months=1,3.00,
    IF(arrears_months=2,5.00,
    IF(arrears_months=3,8.00,
    IF(arrears_months=4,10.00,
    IF(arrears_months=5,12.00,15.00)))))))</f>
        <v/>
      </c>
      <c r="M7119">
        <f>LET(
    seasoning_years,DATEDIF('Loan Tape (S&amp;P)'!K7119,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19">
        <f>IF(AND('Loan Tape (S&amp;P)'!U7119="Yes",
        'Loan Tape (S&amp;P)'!T7119&lt;&gt;"Yes",
        DATEDIF('Loan Tape (S&amp;P)'!K7119, TODAY(), "M")&lt;18),
    1.10,
    1.00)</f>
        <v/>
      </c>
      <c r="O7119">
        <f>IF('Loan Tape (S&amp;P)'!T7119="Yes",
    1.35,
    1.00)</f>
        <v/>
      </c>
      <c r="P7119">
        <f>IF('Loan Tape (S&amp;P)'!S7119="Yes",
    1.15,
    1.00)</f>
        <v/>
      </c>
      <c r="Q7119">
        <f>IF('Loan Tape (S&amp;P)'!V7119="Yes",
    1.20,
    1.00)</f>
        <v/>
      </c>
      <c r="T7119">
        <f>LET(
    payment_method,'Loan Tape (S&amp;P)'!P7119,
    occupancy,'Loan Tape (S&amp;P)'!N7119,
    maturity_date,'Loan Tape (S&amp;P)'!L7119,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20">
      <c r="J7120">
        <f>LET(
    lien,'Loan Tape (S&amp;P)'!Q7120,
    IF(lien="First",1.00,
        IF(lien="Second",1.50,
            1.70)))</f>
        <v/>
      </c>
      <c r="K7120">
        <f>LET(
    purpose,'Loan Tape (S&amp;P)'!R7120,
    IF(purpose="Purchase",1.00,
        IF(purpose="Remortgage",1.00,
            1.20)))</f>
        <v/>
      </c>
      <c r="L7120">
        <f>LET(
    arrears_months,'Loan Tape (S&amp;P)'!AN7120,
    IF(arrears_months=0,1.00,
    IF(arrears_months=1,3.00,
    IF(arrears_months=2,5.00,
    IF(arrears_months=3,8.00,
    IF(arrears_months=4,10.00,
    IF(arrears_months=5,12.00,15.00)))))))</f>
        <v/>
      </c>
      <c r="M7120">
        <f>LET(
    seasoning_years,DATEDIF('Loan Tape (S&amp;P)'!K7120,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20">
        <f>IF(AND('Loan Tape (S&amp;P)'!U7120="Yes",
        'Loan Tape (S&amp;P)'!T7120&lt;&gt;"Yes",
        DATEDIF('Loan Tape (S&amp;P)'!K7120, TODAY(), "M")&lt;18),
    1.10,
    1.00)</f>
        <v/>
      </c>
      <c r="O7120">
        <f>IF('Loan Tape (S&amp;P)'!T7120="Yes",
    1.35,
    1.00)</f>
        <v/>
      </c>
      <c r="P7120">
        <f>IF('Loan Tape (S&amp;P)'!S7120="Yes",
    1.15,
    1.00)</f>
        <v/>
      </c>
      <c r="Q7120">
        <f>IF('Loan Tape (S&amp;P)'!V7120="Yes",
    1.20,
    1.00)</f>
        <v/>
      </c>
      <c r="T7120">
        <f>LET(
    payment_method,'Loan Tape (S&amp;P)'!P7120,
    occupancy,'Loan Tape (S&amp;P)'!N7120,
    maturity_date,'Loan Tape (S&amp;P)'!L7120,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21">
      <c r="J7121">
        <f>LET(
    lien,'Loan Tape (S&amp;P)'!Q7121,
    IF(lien="First",1.00,
        IF(lien="Second",1.50,
            1.70)))</f>
        <v/>
      </c>
      <c r="K7121">
        <f>LET(
    purpose,'Loan Tape (S&amp;P)'!R7121,
    IF(purpose="Purchase",1.00,
        IF(purpose="Remortgage",1.00,
            1.20)))</f>
        <v/>
      </c>
      <c r="L7121">
        <f>LET(
    arrears_months,'Loan Tape (S&amp;P)'!AN7121,
    IF(arrears_months=0,1.00,
    IF(arrears_months=1,3.00,
    IF(arrears_months=2,5.00,
    IF(arrears_months=3,8.00,
    IF(arrears_months=4,10.00,
    IF(arrears_months=5,12.00,15.00)))))))</f>
        <v/>
      </c>
      <c r="M7121">
        <f>LET(
    seasoning_years,DATEDIF('Loan Tape (S&amp;P)'!K7121,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21">
        <f>IF(AND('Loan Tape (S&amp;P)'!U7121="Yes",
        'Loan Tape (S&amp;P)'!T7121&lt;&gt;"Yes",
        DATEDIF('Loan Tape (S&amp;P)'!K7121, TODAY(), "M")&lt;18),
    1.10,
    1.00)</f>
        <v/>
      </c>
      <c r="O7121">
        <f>IF('Loan Tape (S&amp;P)'!T7121="Yes",
    1.35,
    1.00)</f>
        <v/>
      </c>
      <c r="P7121">
        <f>IF('Loan Tape (S&amp;P)'!S7121="Yes",
    1.15,
    1.00)</f>
        <v/>
      </c>
      <c r="Q7121">
        <f>IF('Loan Tape (S&amp;P)'!V7121="Yes",
    1.20,
    1.00)</f>
        <v/>
      </c>
      <c r="T7121">
        <f>LET(
    payment_method,'Loan Tape (S&amp;P)'!P7121,
    occupancy,'Loan Tape (S&amp;P)'!N7121,
    maturity_date,'Loan Tape (S&amp;P)'!L7121,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22">
      <c r="J7122">
        <f>LET(
    lien,'Loan Tape (S&amp;P)'!Q7122,
    IF(lien="First",1.00,
        IF(lien="Second",1.50,
            1.70)))</f>
        <v/>
      </c>
      <c r="K7122">
        <f>LET(
    purpose,'Loan Tape (S&amp;P)'!R7122,
    IF(purpose="Purchase",1.00,
        IF(purpose="Remortgage",1.00,
            1.20)))</f>
        <v/>
      </c>
      <c r="L7122">
        <f>LET(
    arrears_months,'Loan Tape (S&amp;P)'!AN7122,
    IF(arrears_months=0,1.00,
    IF(arrears_months=1,3.00,
    IF(arrears_months=2,5.00,
    IF(arrears_months=3,8.00,
    IF(arrears_months=4,10.00,
    IF(arrears_months=5,12.00,15.00)))))))</f>
        <v/>
      </c>
      <c r="M7122">
        <f>LET(
    seasoning_years,DATEDIF('Loan Tape (S&amp;P)'!K7122,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22">
        <f>IF(AND('Loan Tape (S&amp;P)'!U7122="Yes",
        'Loan Tape (S&amp;P)'!T7122&lt;&gt;"Yes",
        DATEDIF('Loan Tape (S&amp;P)'!K7122, TODAY(), "M")&lt;18),
    1.10,
    1.00)</f>
        <v/>
      </c>
      <c r="O7122">
        <f>IF('Loan Tape (S&amp;P)'!T7122="Yes",
    1.35,
    1.00)</f>
        <v/>
      </c>
      <c r="P7122">
        <f>IF('Loan Tape (S&amp;P)'!S7122="Yes",
    1.15,
    1.00)</f>
        <v/>
      </c>
      <c r="Q7122">
        <f>IF('Loan Tape (S&amp;P)'!V7122="Yes",
    1.20,
    1.00)</f>
        <v/>
      </c>
      <c r="T7122">
        <f>LET(
    payment_method,'Loan Tape (S&amp;P)'!P7122,
    occupancy,'Loan Tape (S&amp;P)'!N7122,
    maturity_date,'Loan Tape (S&amp;P)'!L7122,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23">
      <c r="J7123">
        <f>LET(
    lien,'Loan Tape (S&amp;P)'!Q7123,
    IF(lien="First",1.00,
        IF(lien="Second",1.50,
            1.70)))</f>
        <v/>
      </c>
      <c r="K7123">
        <f>LET(
    purpose,'Loan Tape (S&amp;P)'!R7123,
    IF(purpose="Purchase",1.00,
        IF(purpose="Remortgage",1.00,
            1.20)))</f>
        <v/>
      </c>
      <c r="L7123">
        <f>LET(
    arrears_months,'Loan Tape (S&amp;P)'!AN7123,
    IF(arrears_months=0,1.00,
    IF(arrears_months=1,3.00,
    IF(arrears_months=2,5.00,
    IF(arrears_months=3,8.00,
    IF(arrears_months=4,10.00,
    IF(arrears_months=5,12.00,15.00)))))))</f>
        <v/>
      </c>
      <c r="M7123">
        <f>LET(
    seasoning_years,DATEDIF('Loan Tape (S&amp;P)'!K7123,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23">
        <f>IF(AND('Loan Tape (S&amp;P)'!U7123="Yes",
        'Loan Tape (S&amp;P)'!T7123&lt;&gt;"Yes",
        DATEDIF('Loan Tape (S&amp;P)'!K7123, TODAY(), "M")&lt;18),
    1.10,
    1.00)</f>
        <v/>
      </c>
      <c r="O7123">
        <f>IF('Loan Tape (S&amp;P)'!T7123="Yes",
    1.35,
    1.00)</f>
        <v/>
      </c>
      <c r="P7123">
        <f>IF('Loan Tape (S&amp;P)'!S7123="Yes",
    1.15,
    1.00)</f>
        <v/>
      </c>
      <c r="Q7123">
        <f>IF('Loan Tape (S&amp;P)'!V7123="Yes",
    1.20,
    1.00)</f>
        <v/>
      </c>
      <c r="T7123">
        <f>LET(
    payment_method,'Loan Tape (S&amp;P)'!P7123,
    occupancy,'Loan Tape (S&amp;P)'!N7123,
    maturity_date,'Loan Tape (S&amp;P)'!L7123,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24">
      <c r="J7124">
        <f>LET(
    lien,'Loan Tape (S&amp;P)'!Q7124,
    IF(lien="First",1.00,
        IF(lien="Second",1.50,
            1.70)))</f>
        <v/>
      </c>
      <c r="K7124">
        <f>LET(
    purpose,'Loan Tape (S&amp;P)'!R7124,
    IF(purpose="Purchase",1.00,
        IF(purpose="Remortgage",1.00,
            1.20)))</f>
        <v/>
      </c>
      <c r="L7124">
        <f>LET(
    arrears_months,'Loan Tape (S&amp;P)'!AN7124,
    IF(arrears_months=0,1.00,
    IF(arrears_months=1,3.00,
    IF(arrears_months=2,5.00,
    IF(arrears_months=3,8.00,
    IF(arrears_months=4,10.00,
    IF(arrears_months=5,12.00,15.00)))))))</f>
        <v/>
      </c>
      <c r="M7124">
        <f>LET(
    seasoning_years,DATEDIF('Loan Tape (S&amp;P)'!K7124,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24">
        <f>IF(AND('Loan Tape (S&amp;P)'!U7124="Yes",
        'Loan Tape (S&amp;P)'!T7124&lt;&gt;"Yes",
        DATEDIF('Loan Tape (S&amp;P)'!K7124, TODAY(), "M")&lt;18),
    1.10,
    1.00)</f>
        <v/>
      </c>
      <c r="O7124">
        <f>IF('Loan Tape (S&amp;P)'!T7124="Yes",
    1.35,
    1.00)</f>
        <v/>
      </c>
      <c r="P7124">
        <f>IF('Loan Tape (S&amp;P)'!S7124="Yes",
    1.15,
    1.00)</f>
        <v/>
      </c>
      <c r="Q7124">
        <f>IF('Loan Tape (S&amp;P)'!V7124="Yes",
    1.20,
    1.00)</f>
        <v/>
      </c>
      <c r="T7124">
        <f>LET(
    payment_method,'Loan Tape (S&amp;P)'!P7124,
    occupancy,'Loan Tape (S&amp;P)'!N7124,
    maturity_date,'Loan Tape (S&amp;P)'!L7124,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25">
      <c r="J7125">
        <f>LET(
    lien,'Loan Tape (S&amp;P)'!Q7125,
    IF(lien="First",1.00,
        IF(lien="Second",1.50,
            1.70)))</f>
        <v/>
      </c>
      <c r="K7125">
        <f>LET(
    purpose,'Loan Tape (S&amp;P)'!R7125,
    IF(purpose="Purchase",1.00,
        IF(purpose="Remortgage",1.00,
            1.20)))</f>
        <v/>
      </c>
      <c r="L7125">
        <f>LET(
    arrears_months,'Loan Tape (S&amp;P)'!AN7125,
    IF(arrears_months=0,1.00,
    IF(arrears_months=1,3.00,
    IF(arrears_months=2,5.00,
    IF(arrears_months=3,8.00,
    IF(arrears_months=4,10.00,
    IF(arrears_months=5,12.00,15.00)))))))</f>
        <v/>
      </c>
      <c r="M7125">
        <f>LET(
    seasoning_years,DATEDIF('Loan Tape (S&amp;P)'!K7125,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25">
        <f>IF(AND('Loan Tape (S&amp;P)'!U7125="Yes",
        'Loan Tape (S&amp;P)'!T7125&lt;&gt;"Yes",
        DATEDIF('Loan Tape (S&amp;P)'!K7125, TODAY(), "M")&lt;18),
    1.10,
    1.00)</f>
        <v/>
      </c>
      <c r="O7125">
        <f>IF('Loan Tape (S&amp;P)'!T7125="Yes",
    1.35,
    1.00)</f>
        <v/>
      </c>
      <c r="P7125">
        <f>IF('Loan Tape (S&amp;P)'!S7125="Yes",
    1.15,
    1.00)</f>
        <v/>
      </c>
      <c r="Q7125">
        <f>IF('Loan Tape (S&amp;P)'!V7125="Yes",
    1.20,
    1.00)</f>
        <v/>
      </c>
      <c r="T7125">
        <f>LET(
    payment_method,'Loan Tape (S&amp;P)'!P7125,
    occupancy,'Loan Tape (S&amp;P)'!N7125,
    maturity_date,'Loan Tape (S&amp;P)'!L7125,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26">
      <c r="J7126">
        <f>LET(
    lien,'Loan Tape (S&amp;P)'!Q7126,
    IF(lien="First",1.00,
        IF(lien="Second",1.50,
            1.70)))</f>
        <v/>
      </c>
      <c r="K7126">
        <f>LET(
    purpose,'Loan Tape (S&amp;P)'!R7126,
    IF(purpose="Purchase",1.00,
        IF(purpose="Remortgage",1.00,
            1.20)))</f>
        <v/>
      </c>
      <c r="L7126">
        <f>LET(
    arrears_months,'Loan Tape (S&amp;P)'!AN7126,
    IF(arrears_months=0,1.00,
    IF(arrears_months=1,3.00,
    IF(arrears_months=2,5.00,
    IF(arrears_months=3,8.00,
    IF(arrears_months=4,10.00,
    IF(arrears_months=5,12.00,15.00)))))))</f>
        <v/>
      </c>
      <c r="M7126">
        <f>LET(
    seasoning_years,DATEDIF('Loan Tape (S&amp;P)'!K7126,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26">
        <f>IF(AND('Loan Tape (S&amp;P)'!U7126="Yes",
        'Loan Tape (S&amp;P)'!T7126&lt;&gt;"Yes",
        DATEDIF('Loan Tape (S&amp;P)'!K7126, TODAY(), "M")&lt;18),
    1.10,
    1.00)</f>
        <v/>
      </c>
      <c r="O7126">
        <f>IF('Loan Tape (S&amp;P)'!T7126="Yes",
    1.35,
    1.00)</f>
        <v/>
      </c>
      <c r="P7126">
        <f>IF('Loan Tape (S&amp;P)'!S7126="Yes",
    1.15,
    1.00)</f>
        <v/>
      </c>
      <c r="Q7126">
        <f>IF('Loan Tape (S&amp;P)'!V7126="Yes",
    1.20,
    1.00)</f>
        <v/>
      </c>
      <c r="T7126">
        <f>LET(
    payment_method,'Loan Tape (S&amp;P)'!P7126,
    occupancy,'Loan Tape (S&amp;P)'!N7126,
    maturity_date,'Loan Tape (S&amp;P)'!L7126,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27">
      <c r="J7127">
        <f>LET(
    lien,'Loan Tape (S&amp;P)'!Q7127,
    IF(lien="First",1.00,
        IF(lien="Second",1.50,
            1.70)))</f>
        <v/>
      </c>
      <c r="K7127">
        <f>LET(
    purpose,'Loan Tape (S&amp;P)'!R7127,
    IF(purpose="Purchase",1.00,
        IF(purpose="Remortgage",1.00,
            1.20)))</f>
        <v/>
      </c>
      <c r="L7127">
        <f>LET(
    arrears_months,'Loan Tape (S&amp;P)'!AN7127,
    IF(arrears_months=0,1.00,
    IF(arrears_months=1,3.00,
    IF(arrears_months=2,5.00,
    IF(arrears_months=3,8.00,
    IF(arrears_months=4,10.00,
    IF(arrears_months=5,12.00,15.00)))))))</f>
        <v/>
      </c>
      <c r="M7127">
        <f>LET(
    seasoning_years,DATEDIF('Loan Tape (S&amp;P)'!K7127,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27">
        <f>IF(AND('Loan Tape (S&amp;P)'!U7127="Yes",
        'Loan Tape (S&amp;P)'!T7127&lt;&gt;"Yes",
        DATEDIF('Loan Tape (S&amp;P)'!K7127, TODAY(), "M")&lt;18),
    1.10,
    1.00)</f>
        <v/>
      </c>
      <c r="O7127">
        <f>IF('Loan Tape (S&amp;P)'!T7127="Yes",
    1.35,
    1.00)</f>
        <v/>
      </c>
      <c r="P7127">
        <f>IF('Loan Tape (S&amp;P)'!S7127="Yes",
    1.15,
    1.00)</f>
        <v/>
      </c>
      <c r="Q7127">
        <f>IF('Loan Tape (S&amp;P)'!V7127="Yes",
    1.20,
    1.00)</f>
        <v/>
      </c>
      <c r="T7127">
        <f>LET(
    payment_method,'Loan Tape (S&amp;P)'!P7127,
    occupancy,'Loan Tape (S&amp;P)'!N7127,
    maturity_date,'Loan Tape (S&amp;P)'!L7127,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28">
      <c r="J7128">
        <f>LET(
    lien,'Loan Tape (S&amp;P)'!Q7128,
    IF(lien="First",1.00,
        IF(lien="Second",1.50,
            1.70)))</f>
        <v/>
      </c>
      <c r="K7128">
        <f>LET(
    purpose,'Loan Tape (S&amp;P)'!R7128,
    IF(purpose="Purchase",1.00,
        IF(purpose="Remortgage",1.00,
            1.20)))</f>
        <v/>
      </c>
      <c r="L7128">
        <f>LET(
    arrears_months,'Loan Tape (S&amp;P)'!AN7128,
    IF(arrears_months=0,1.00,
    IF(arrears_months=1,3.00,
    IF(arrears_months=2,5.00,
    IF(arrears_months=3,8.00,
    IF(arrears_months=4,10.00,
    IF(arrears_months=5,12.00,15.00)))))))</f>
        <v/>
      </c>
      <c r="M7128">
        <f>LET(
    seasoning_years,DATEDIF('Loan Tape (S&amp;P)'!K7128,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28">
        <f>IF(AND('Loan Tape (S&amp;P)'!U7128="Yes",
        'Loan Tape (S&amp;P)'!T7128&lt;&gt;"Yes",
        DATEDIF('Loan Tape (S&amp;P)'!K7128, TODAY(), "M")&lt;18),
    1.10,
    1.00)</f>
        <v/>
      </c>
      <c r="O7128">
        <f>IF('Loan Tape (S&amp;P)'!T7128="Yes",
    1.35,
    1.00)</f>
        <v/>
      </c>
      <c r="P7128">
        <f>IF('Loan Tape (S&amp;P)'!S7128="Yes",
    1.15,
    1.00)</f>
        <v/>
      </c>
      <c r="Q7128">
        <f>IF('Loan Tape (S&amp;P)'!V7128="Yes",
    1.20,
    1.00)</f>
        <v/>
      </c>
      <c r="T7128">
        <f>LET(
    payment_method,'Loan Tape (S&amp;P)'!P7128,
    occupancy,'Loan Tape (S&amp;P)'!N7128,
    maturity_date,'Loan Tape (S&amp;P)'!L7128,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29">
      <c r="J7129">
        <f>LET(
    lien,'Loan Tape (S&amp;P)'!Q7129,
    IF(lien="First",1.00,
        IF(lien="Second",1.50,
            1.70)))</f>
        <v/>
      </c>
      <c r="K7129">
        <f>LET(
    purpose,'Loan Tape (S&amp;P)'!R7129,
    IF(purpose="Purchase",1.00,
        IF(purpose="Remortgage",1.00,
            1.20)))</f>
        <v/>
      </c>
      <c r="L7129">
        <f>LET(
    arrears_months,'Loan Tape (S&amp;P)'!AN7129,
    IF(arrears_months=0,1.00,
    IF(arrears_months=1,3.00,
    IF(arrears_months=2,5.00,
    IF(arrears_months=3,8.00,
    IF(arrears_months=4,10.00,
    IF(arrears_months=5,12.00,15.00)))))))</f>
        <v/>
      </c>
      <c r="M7129">
        <f>LET(
    seasoning_years,DATEDIF('Loan Tape (S&amp;P)'!K7129,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29">
        <f>IF(AND('Loan Tape (S&amp;P)'!U7129="Yes",
        'Loan Tape (S&amp;P)'!T7129&lt;&gt;"Yes",
        DATEDIF('Loan Tape (S&amp;P)'!K7129, TODAY(), "M")&lt;18),
    1.10,
    1.00)</f>
        <v/>
      </c>
      <c r="O7129">
        <f>IF('Loan Tape (S&amp;P)'!T7129="Yes",
    1.35,
    1.00)</f>
        <v/>
      </c>
      <c r="P7129">
        <f>IF('Loan Tape (S&amp;P)'!S7129="Yes",
    1.15,
    1.00)</f>
        <v/>
      </c>
      <c r="Q7129">
        <f>IF('Loan Tape (S&amp;P)'!V7129="Yes",
    1.20,
    1.00)</f>
        <v/>
      </c>
      <c r="T7129">
        <f>LET(
    payment_method,'Loan Tape (S&amp;P)'!P7129,
    occupancy,'Loan Tape (S&amp;P)'!N7129,
    maturity_date,'Loan Tape (S&amp;P)'!L7129,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30">
      <c r="J7130">
        <f>LET(
    lien,'Loan Tape (S&amp;P)'!Q7130,
    IF(lien="First",1.00,
        IF(lien="Second",1.50,
            1.70)))</f>
        <v/>
      </c>
      <c r="K7130">
        <f>LET(
    purpose,'Loan Tape (S&amp;P)'!R7130,
    IF(purpose="Purchase",1.00,
        IF(purpose="Remortgage",1.00,
            1.20)))</f>
        <v/>
      </c>
      <c r="L7130">
        <f>LET(
    arrears_months,'Loan Tape (S&amp;P)'!AN7130,
    IF(arrears_months=0,1.00,
    IF(arrears_months=1,3.00,
    IF(arrears_months=2,5.00,
    IF(arrears_months=3,8.00,
    IF(arrears_months=4,10.00,
    IF(arrears_months=5,12.00,15.00)))))))</f>
        <v/>
      </c>
      <c r="M7130">
        <f>LET(
    seasoning_years,DATEDIF('Loan Tape (S&amp;P)'!K7130,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30">
        <f>IF(AND('Loan Tape (S&amp;P)'!U7130="Yes",
        'Loan Tape (S&amp;P)'!T7130&lt;&gt;"Yes",
        DATEDIF('Loan Tape (S&amp;P)'!K7130, TODAY(), "M")&lt;18),
    1.10,
    1.00)</f>
        <v/>
      </c>
      <c r="O7130">
        <f>IF('Loan Tape (S&amp;P)'!T7130="Yes",
    1.35,
    1.00)</f>
        <v/>
      </c>
      <c r="P7130">
        <f>IF('Loan Tape (S&amp;P)'!S7130="Yes",
    1.15,
    1.00)</f>
        <v/>
      </c>
      <c r="Q7130">
        <f>IF('Loan Tape (S&amp;P)'!V7130="Yes",
    1.20,
    1.00)</f>
        <v/>
      </c>
      <c r="T7130">
        <f>LET(
    payment_method,'Loan Tape (S&amp;P)'!P7130,
    occupancy,'Loan Tape (S&amp;P)'!N7130,
    maturity_date,'Loan Tape (S&amp;P)'!L7130,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31">
      <c r="J7131">
        <f>LET(
    lien,'Loan Tape (S&amp;P)'!Q7131,
    IF(lien="First",1.00,
        IF(lien="Second",1.50,
            1.70)))</f>
        <v/>
      </c>
      <c r="K7131">
        <f>LET(
    purpose,'Loan Tape (S&amp;P)'!R7131,
    IF(purpose="Purchase",1.00,
        IF(purpose="Remortgage",1.00,
            1.20)))</f>
        <v/>
      </c>
      <c r="L7131">
        <f>LET(
    arrears_months,'Loan Tape (S&amp;P)'!AN7131,
    IF(arrears_months=0,1.00,
    IF(arrears_months=1,3.00,
    IF(arrears_months=2,5.00,
    IF(arrears_months=3,8.00,
    IF(arrears_months=4,10.00,
    IF(arrears_months=5,12.00,15.00)))))))</f>
        <v/>
      </c>
      <c r="M7131">
        <f>LET(
    seasoning_years,DATEDIF('Loan Tape (S&amp;P)'!K7131,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31">
        <f>IF(AND('Loan Tape (S&amp;P)'!U7131="Yes",
        'Loan Tape (S&amp;P)'!T7131&lt;&gt;"Yes",
        DATEDIF('Loan Tape (S&amp;P)'!K7131, TODAY(), "M")&lt;18),
    1.10,
    1.00)</f>
        <v/>
      </c>
      <c r="O7131">
        <f>IF('Loan Tape (S&amp;P)'!T7131="Yes",
    1.35,
    1.00)</f>
        <v/>
      </c>
      <c r="P7131">
        <f>IF('Loan Tape (S&amp;P)'!S7131="Yes",
    1.15,
    1.00)</f>
        <v/>
      </c>
      <c r="Q7131">
        <f>IF('Loan Tape (S&amp;P)'!V7131="Yes",
    1.20,
    1.00)</f>
        <v/>
      </c>
      <c r="T7131">
        <f>LET(
    payment_method,'Loan Tape (S&amp;P)'!P7131,
    occupancy,'Loan Tape (S&amp;P)'!N7131,
    maturity_date,'Loan Tape (S&amp;P)'!L7131,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32">
      <c r="J7132">
        <f>LET(
    lien,'Loan Tape (S&amp;P)'!Q7132,
    IF(lien="First",1.00,
        IF(lien="Second",1.50,
            1.70)))</f>
        <v/>
      </c>
      <c r="K7132">
        <f>LET(
    purpose,'Loan Tape (S&amp;P)'!R7132,
    IF(purpose="Purchase",1.00,
        IF(purpose="Remortgage",1.00,
            1.20)))</f>
        <v/>
      </c>
      <c r="L7132">
        <f>LET(
    arrears_months,'Loan Tape (S&amp;P)'!AN7132,
    IF(arrears_months=0,1.00,
    IF(arrears_months=1,3.00,
    IF(arrears_months=2,5.00,
    IF(arrears_months=3,8.00,
    IF(arrears_months=4,10.00,
    IF(arrears_months=5,12.00,15.00)))))))</f>
        <v/>
      </c>
      <c r="M7132">
        <f>LET(
    seasoning_years,DATEDIF('Loan Tape (S&amp;P)'!K7132,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32">
        <f>IF(AND('Loan Tape (S&amp;P)'!U7132="Yes",
        'Loan Tape (S&amp;P)'!T7132&lt;&gt;"Yes",
        DATEDIF('Loan Tape (S&amp;P)'!K7132, TODAY(), "M")&lt;18),
    1.10,
    1.00)</f>
        <v/>
      </c>
      <c r="O7132">
        <f>IF('Loan Tape (S&amp;P)'!T7132="Yes",
    1.35,
    1.00)</f>
        <v/>
      </c>
      <c r="P7132">
        <f>IF('Loan Tape (S&amp;P)'!S7132="Yes",
    1.15,
    1.00)</f>
        <v/>
      </c>
      <c r="Q7132">
        <f>IF('Loan Tape (S&amp;P)'!V7132="Yes",
    1.20,
    1.00)</f>
        <v/>
      </c>
      <c r="T7132">
        <f>LET(
    payment_method,'Loan Tape (S&amp;P)'!P7132,
    occupancy,'Loan Tape (S&amp;P)'!N7132,
    maturity_date,'Loan Tape (S&amp;P)'!L7132,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33">
      <c r="J7133">
        <f>LET(
    lien,'Loan Tape (S&amp;P)'!Q7133,
    IF(lien="First",1.00,
        IF(lien="Second",1.50,
            1.70)))</f>
        <v/>
      </c>
      <c r="K7133">
        <f>LET(
    purpose,'Loan Tape (S&amp;P)'!R7133,
    IF(purpose="Purchase",1.00,
        IF(purpose="Remortgage",1.00,
            1.20)))</f>
        <v/>
      </c>
      <c r="L7133">
        <f>LET(
    arrears_months,'Loan Tape (S&amp;P)'!AN7133,
    IF(arrears_months=0,1.00,
    IF(arrears_months=1,3.00,
    IF(arrears_months=2,5.00,
    IF(arrears_months=3,8.00,
    IF(arrears_months=4,10.00,
    IF(arrears_months=5,12.00,15.00)))))))</f>
        <v/>
      </c>
      <c r="M7133">
        <f>LET(
    seasoning_years,DATEDIF('Loan Tape (S&amp;P)'!K7133,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33">
        <f>IF(AND('Loan Tape (S&amp;P)'!U7133="Yes",
        'Loan Tape (S&amp;P)'!T7133&lt;&gt;"Yes",
        DATEDIF('Loan Tape (S&amp;P)'!K7133, TODAY(), "M")&lt;18),
    1.10,
    1.00)</f>
        <v/>
      </c>
      <c r="O7133">
        <f>IF('Loan Tape (S&amp;P)'!T7133="Yes",
    1.35,
    1.00)</f>
        <v/>
      </c>
      <c r="P7133">
        <f>IF('Loan Tape (S&amp;P)'!S7133="Yes",
    1.15,
    1.00)</f>
        <v/>
      </c>
      <c r="Q7133">
        <f>IF('Loan Tape (S&amp;P)'!V7133="Yes",
    1.20,
    1.00)</f>
        <v/>
      </c>
      <c r="T7133">
        <f>LET(
    payment_method,'Loan Tape (S&amp;P)'!P7133,
    occupancy,'Loan Tape (S&amp;P)'!N7133,
    maturity_date,'Loan Tape (S&amp;P)'!L7133,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34">
      <c r="J7134">
        <f>LET(
    lien,'Loan Tape (S&amp;P)'!Q7134,
    IF(lien="First",1.00,
        IF(lien="Second",1.50,
            1.70)))</f>
        <v/>
      </c>
      <c r="K7134">
        <f>LET(
    purpose,'Loan Tape (S&amp;P)'!R7134,
    IF(purpose="Purchase",1.00,
        IF(purpose="Remortgage",1.00,
            1.20)))</f>
        <v/>
      </c>
      <c r="L7134">
        <f>LET(
    arrears_months,'Loan Tape (S&amp;P)'!AN7134,
    IF(arrears_months=0,1.00,
    IF(arrears_months=1,3.00,
    IF(arrears_months=2,5.00,
    IF(arrears_months=3,8.00,
    IF(arrears_months=4,10.00,
    IF(arrears_months=5,12.00,15.00)))))))</f>
        <v/>
      </c>
      <c r="M7134">
        <f>LET(
    seasoning_years,DATEDIF('Loan Tape (S&amp;P)'!K7134,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34">
        <f>IF(AND('Loan Tape (S&amp;P)'!U7134="Yes",
        'Loan Tape (S&amp;P)'!T7134&lt;&gt;"Yes",
        DATEDIF('Loan Tape (S&amp;P)'!K7134, TODAY(), "M")&lt;18),
    1.10,
    1.00)</f>
        <v/>
      </c>
      <c r="O7134">
        <f>IF('Loan Tape (S&amp;P)'!T7134="Yes",
    1.35,
    1.00)</f>
        <v/>
      </c>
      <c r="P7134">
        <f>IF('Loan Tape (S&amp;P)'!S7134="Yes",
    1.15,
    1.00)</f>
        <v/>
      </c>
      <c r="Q7134">
        <f>IF('Loan Tape (S&amp;P)'!V7134="Yes",
    1.20,
    1.00)</f>
        <v/>
      </c>
      <c r="T7134">
        <f>LET(
    payment_method,'Loan Tape (S&amp;P)'!P7134,
    occupancy,'Loan Tape (S&amp;P)'!N7134,
    maturity_date,'Loan Tape (S&amp;P)'!L7134,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35">
      <c r="J7135">
        <f>LET(
    lien,'Loan Tape (S&amp;P)'!Q7135,
    IF(lien="First",1.00,
        IF(lien="Second",1.50,
            1.70)))</f>
        <v/>
      </c>
      <c r="K7135">
        <f>LET(
    purpose,'Loan Tape (S&amp;P)'!R7135,
    IF(purpose="Purchase",1.00,
        IF(purpose="Remortgage",1.00,
            1.20)))</f>
        <v/>
      </c>
      <c r="L7135">
        <f>LET(
    arrears_months,'Loan Tape (S&amp;P)'!AN7135,
    IF(arrears_months=0,1.00,
    IF(arrears_months=1,3.00,
    IF(arrears_months=2,5.00,
    IF(arrears_months=3,8.00,
    IF(arrears_months=4,10.00,
    IF(arrears_months=5,12.00,15.00)))))))</f>
        <v/>
      </c>
      <c r="M7135">
        <f>LET(
    seasoning_years,DATEDIF('Loan Tape (S&amp;P)'!K7135,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35">
        <f>IF(AND('Loan Tape (S&amp;P)'!U7135="Yes",
        'Loan Tape (S&amp;P)'!T7135&lt;&gt;"Yes",
        DATEDIF('Loan Tape (S&amp;P)'!K7135, TODAY(), "M")&lt;18),
    1.10,
    1.00)</f>
        <v/>
      </c>
      <c r="O7135">
        <f>IF('Loan Tape (S&amp;P)'!T7135="Yes",
    1.35,
    1.00)</f>
        <v/>
      </c>
      <c r="P7135">
        <f>IF('Loan Tape (S&amp;P)'!S7135="Yes",
    1.15,
    1.00)</f>
        <v/>
      </c>
      <c r="Q7135">
        <f>IF('Loan Tape (S&amp;P)'!V7135="Yes",
    1.20,
    1.00)</f>
        <v/>
      </c>
      <c r="T7135">
        <f>LET(
    payment_method,'Loan Tape (S&amp;P)'!P7135,
    occupancy,'Loan Tape (S&amp;P)'!N7135,
    maturity_date,'Loan Tape (S&amp;P)'!L7135,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36">
      <c r="J7136">
        <f>LET(
    lien,'Loan Tape (S&amp;P)'!Q7136,
    IF(lien="First",1.00,
        IF(lien="Second",1.50,
            1.70)))</f>
        <v/>
      </c>
      <c r="K7136">
        <f>LET(
    purpose,'Loan Tape (S&amp;P)'!R7136,
    IF(purpose="Purchase",1.00,
        IF(purpose="Remortgage",1.00,
            1.20)))</f>
        <v/>
      </c>
      <c r="L7136">
        <f>LET(
    arrears_months,'Loan Tape (S&amp;P)'!AN7136,
    IF(arrears_months=0,1.00,
    IF(arrears_months=1,3.00,
    IF(arrears_months=2,5.00,
    IF(arrears_months=3,8.00,
    IF(arrears_months=4,10.00,
    IF(arrears_months=5,12.00,15.00)))))))</f>
        <v/>
      </c>
      <c r="M7136">
        <f>LET(
    seasoning_years,DATEDIF('Loan Tape (S&amp;P)'!K7136,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36">
        <f>IF(AND('Loan Tape (S&amp;P)'!U7136="Yes",
        'Loan Tape (S&amp;P)'!T7136&lt;&gt;"Yes",
        DATEDIF('Loan Tape (S&amp;P)'!K7136, TODAY(), "M")&lt;18),
    1.10,
    1.00)</f>
        <v/>
      </c>
      <c r="O7136">
        <f>IF('Loan Tape (S&amp;P)'!T7136="Yes",
    1.35,
    1.00)</f>
        <v/>
      </c>
      <c r="P7136">
        <f>IF('Loan Tape (S&amp;P)'!S7136="Yes",
    1.15,
    1.00)</f>
        <v/>
      </c>
      <c r="Q7136">
        <f>IF('Loan Tape (S&amp;P)'!V7136="Yes",
    1.20,
    1.00)</f>
        <v/>
      </c>
      <c r="T7136">
        <f>LET(
    payment_method,'Loan Tape (S&amp;P)'!P7136,
    occupancy,'Loan Tape (S&amp;P)'!N7136,
    maturity_date,'Loan Tape (S&amp;P)'!L7136,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37">
      <c r="J7137">
        <f>LET(
    lien,'Loan Tape (S&amp;P)'!Q7137,
    IF(lien="First",1.00,
        IF(lien="Second",1.50,
            1.70)))</f>
        <v/>
      </c>
      <c r="K7137">
        <f>LET(
    purpose,'Loan Tape (S&amp;P)'!R7137,
    IF(purpose="Purchase",1.00,
        IF(purpose="Remortgage",1.00,
            1.20)))</f>
        <v/>
      </c>
      <c r="L7137">
        <f>LET(
    arrears_months,'Loan Tape (S&amp;P)'!AN7137,
    IF(arrears_months=0,1.00,
    IF(arrears_months=1,3.00,
    IF(arrears_months=2,5.00,
    IF(arrears_months=3,8.00,
    IF(arrears_months=4,10.00,
    IF(arrears_months=5,12.00,15.00)))))))</f>
        <v/>
      </c>
      <c r="M7137">
        <f>LET(
    seasoning_years,DATEDIF('Loan Tape (S&amp;P)'!K7137,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37">
        <f>IF(AND('Loan Tape (S&amp;P)'!U7137="Yes",
        'Loan Tape (S&amp;P)'!T7137&lt;&gt;"Yes",
        DATEDIF('Loan Tape (S&amp;P)'!K7137, TODAY(), "M")&lt;18),
    1.10,
    1.00)</f>
        <v/>
      </c>
      <c r="O7137">
        <f>IF('Loan Tape (S&amp;P)'!T7137="Yes",
    1.35,
    1.00)</f>
        <v/>
      </c>
      <c r="P7137">
        <f>IF('Loan Tape (S&amp;P)'!S7137="Yes",
    1.15,
    1.00)</f>
        <v/>
      </c>
      <c r="Q7137">
        <f>IF('Loan Tape (S&amp;P)'!V7137="Yes",
    1.20,
    1.00)</f>
        <v/>
      </c>
      <c r="T7137">
        <f>LET(
    payment_method,'Loan Tape (S&amp;P)'!P7137,
    occupancy,'Loan Tape (S&amp;P)'!N7137,
    maturity_date,'Loan Tape (S&amp;P)'!L7137,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38">
      <c r="J7138">
        <f>LET(
    lien,'Loan Tape (S&amp;P)'!Q7138,
    IF(lien="First",1.00,
        IF(lien="Second",1.50,
            1.70)))</f>
        <v/>
      </c>
      <c r="K7138">
        <f>LET(
    purpose,'Loan Tape (S&amp;P)'!R7138,
    IF(purpose="Purchase",1.00,
        IF(purpose="Remortgage",1.00,
            1.20)))</f>
        <v/>
      </c>
      <c r="L7138">
        <f>LET(
    arrears_months,'Loan Tape (S&amp;P)'!AN7138,
    IF(arrears_months=0,1.00,
    IF(arrears_months=1,3.00,
    IF(arrears_months=2,5.00,
    IF(arrears_months=3,8.00,
    IF(arrears_months=4,10.00,
    IF(arrears_months=5,12.00,15.00)))))))</f>
        <v/>
      </c>
      <c r="M7138">
        <f>LET(
    seasoning_years,DATEDIF('Loan Tape (S&amp;P)'!K7138,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38">
        <f>IF(AND('Loan Tape (S&amp;P)'!U7138="Yes",
        'Loan Tape (S&amp;P)'!T7138&lt;&gt;"Yes",
        DATEDIF('Loan Tape (S&amp;P)'!K7138, TODAY(), "M")&lt;18),
    1.10,
    1.00)</f>
        <v/>
      </c>
      <c r="O7138">
        <f>IF('Loan Tape (S&amp;P)'!T7138="Yes",
    1.35,
    1.00)</f>
        <v/>
      </c>
      <c r="P7138">
        <f>IF('Loan Tape (S&amp;P)'!S7138="Yes",
    1.15,
    1.00)</f>
        <v/>
      </c>
      <c r="Q7138">
        <f>IF('Loan Tape (S&amp;P)'!V7138="Yes",
    1.20,
    1.00)</f>
        <v/>
      </c>
      <c r="T7138">
        <f>LET(
    payment_method,'Loan Tape (S&amp;P)'!P7138,
    occupancy,'Loan Tape (S&amp;P)'!N7138,
    maturity_date,'Loan Tape (S&amp;P)'!L7138,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39">
      <c r="J7139">
        <f>LET(
    lien,'Loan Tape (S&amp;P)'!Q7139,
    IF(lien="First",1.00,
        IF(lien="Second",1.50,
            1.70)))</f>
        <v/>
      </c>
      <c r="K7139">
        <f>LET(
    purpose,'Loan Tape (S&amp;P)'!R7139,
    IF(purpose="Purchase",1.00,
        IF(purpose="Remortgage",1.00,
            1.20)))</f>
        <v/>
      </c>
      <c r="L7139">
        <f>LET(
    arrears_months,'Loan Tape (S&amp;P)'!AN7139,
    IF(arrears_months=0,1.00,
    IF(arrears_months=1,3.00,
    IF(arrears_months=2,5.00,
    IF(arrears_months=3,8.00,
    IF(arrears_months=4,10.00,
    IF(arrears_months=5,12.00,15.00)))))))</f>
        <v/>
      </c>
      <c r="M7139">
        <f>LET(
    seasoning_years,DATEDIF('Loan Tape (S&amp;P)'!K7139,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39">
        <f>IF(AND('Loan Tape (S&amp;P)'!U7139="Yes",
        'Loan Tape (S&amp;P)'!T7139&lt;&gt;"Yes",
        DATEDIF('Loan Tape (S&amp;P)'!K7139, TODAY(), "M")&lt;18),
    1.10,
    1.00)</f>
        <v/>
      </c>
      <c r="O7139">
        <f>IF('Loan Tape (S&amp;P)'!T7139="Yes",
    1.35,
    1.00)</f>
        <v/>
      </c>
      <c r="P7139">
        <f>IF('Loan Tape (S&amp;P)'!S7139="Yes",
    1.15,
    1.00)</f>
        <v/>
      </c>
      <c r="Q7139">
        <f>IF('Loan Tape (S&amp;P)'!V7139="Yes",
    1.20,
    1.00)</f>
        <v/>
      </c>
      <c r="T7139">
        <f>LET(
    payment_method,'Loan Tape (S&amp;P)'!P7139,
    occupancy,'Loan Tape (S&amp;P)'!N7139,
    maturity_date,'Loan Tape (S&amp;P)'!L7139,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40">
      <c r="J7140">
        <f>LET(
    lien,'Loan Tape (S&amp;P)'!Q7140,
    IF(lien="First",1.00,
        IF(lien="Second",1.50,
            1.70)))</f>
        <v/>
      </c>
      <c r="K7140">
        <f>LET(
    purpose,'Loan Tape (S&amp;P)'!R7140,
    IF(purpose="Purchase",1.00,
        IF(purpose="Remortgage",1.00,
            1.20)))</f>
        <v/>
      </c>
      <c r="L7140">
        <f>LET(
    arrears_months,'Loan Tape (S&amp;P)'!AN7140,
    IF(arrears_months=0,1.00,
    IF(arrears_months=1,3.00,
    IF(arrears_months=2,5.00,
    IF(arrears_months=3,8.00,
    IF(arrears_months=4,10.00,
    IF(arrears_months=5,12.00,15.00)))))))</f>
        <v/>
      </c>
      <c r="M7140">
        <f>LET(
    seasoning_years,DATEDIF('Loan Tape (S&amp;P)'!K7140,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40">
        <f>IF(AND('Loan Tape (S&amp;P)'!U7140="Yes",
        'Loan Tape (S&amp;P)'!T7140&lt;&gt;"Yes",
        DATEDIF('Loan Tape (S&amp;P)'!K7140, TODAY(), "M")&lt;18),
    1.10,
    1.00)</f>
        <v/>
      </c>
      <c r="O7140">
        <f>IF('Loan Tape (S&amp;P)'!T7140="Yes",
    1.35,
    1.00)</f>
        <v/>
      </c>
      <c r="P7140">
        <f>IF('Loan Tape (S&amp;P)'!S7140="Yes",
    1.15,
    1.00)</f>
        <v/>
      </c>
      <c r="Q7140">
        <f>IF('Loan Tape (S&amp;P)'!V7140="Yes",
    1.20,
    1.00)</f>
        <v/>
      </c>
      <c r="T7140">
        <f>LET(
    payment_method,'Loan Tape (S&amp;P)'!P7140,
    occupancy,'Loan Tape (S&amp;P)'!N7140,
    maturity_date,'Loan Tape (S&amp;P)'!L7140,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41">
      <c r="J7141">
        <f>LET(
    lien,'Loan Tape (S&amp;P)'!Q7141,
    IF(lien="First",1.00,
        IF(lien="Second",1.50,
            1.70)))</f>
        <v/>
      </c>
      <c r="K7141">
        <f>LET(
    purpose,'Loan Tape (S&amp;P)'!R7141,
    IF(purpose="Purchase",1.00,
        IF(purpose="Remortgage",1.00,
            1.20)))</f>
        <v/>
      </c>
      <c r="L7141">
        <f>LET(
    arrears_months,'Loan Tape (S&amp;P)'!AN7141,
    IF(arrears_months=0,1.00,
    IF(arrears_months=1,3.00,
    IF(arrears_months=2,5.00,
    IF(arrears_months=3,8.00,
    IF(arrears_months=4,10.00,
    IF(arrears_months=5,12.00,15.00)))))))</f>
        <v/>
      </c>
      <c r="M7141">
        <f>LET(
    seasoning_years,DATEDIF('Loan Tape (S&amp;P)'!K7141,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41">
        <f>IF(AND('Loan Tape (S&amp;P)'!U7141="Yes",
        'Loan Tape (S&amp;P)'!T7141&lt;&gt;"Yes",
        DATEDIF('Loan Tape (S&amp;P)'!K7141, TODAY(), "M")&lt;18),
    1.10,
    1.00)</f>
        <v/>
      </c>
      <c r="O7141">
        <f>IF('Loan Tape (S&amp;P)'!T7141="Yes",
    1.35,
    1.00)</f>
        <v/>
      </c>
      <c r="P7141">
        <f>IF('Loan Tape (S&amp;P)'!S7141="Yes",
    1.15,
    1.00)</f>
        <v/>
      </c>
      <c r="Q7141">
        <f>IF('Loan Tape (S&amp;P)'!V7141="Yes",
    1.20,
    1.00)</f>
        <v/>
      </c>
      <c r="T7141">
        <f>LET(
    payment_method,'Loan Tape (S&amp;P)'!P7141,
    occupancy,'Loan Tape (S&amp;P)'!N7141,
    maturity_date,'Loan Tape (S&amp;P)'!L7141,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42">
      <c r="J7142">
        <f>LET(
    lien,'Loan Tape (S&amp;P)'!Q7142,
    IF(lien="First",1.00,
        IF(lien="Second",1.50,
            1.70)))</f>
        <v/>
      </c>
      <c r="K7142">
        <f>LET(
    purpose,'Loan Tape (S&amp;P)'!R7142,
    IF(purpose="Purchase",1.00,
        IF(purpose="Remortgage",1.00,
            1.20)))</f>
        <v/>
      </c>
      <c r="L7142">
        <f>LET(
    arrears_months,'Loan Tape (S&amp;P)'!AN7142,
    IF(arrears_months=0,1.00,
    IF(arrears_months=1,3.00,
    IF(arrears_months=2,5.00,
    IF(arrears_months=3,8.00,
    IF(arrears_months=4,10.00,
    IF(arrears_months=5,12.00,15.00)))))))</f>
        <v/>
      </c>
      <c r="M7142">
        <f>LET(
    seasoning_years,DATEDIF('Loan Tape (S&amp;P)'!K7142,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42">
        <f>IF(AND('Loan Tape (S&amp;P)'!U7142="Yes",
        'Loan Tape (S&amp;P)'!T7142&lt;&gt;"Yes",
        DATEDIF('Loan Tape (S&amp;P)'!K7142, TODAY(), "M")&lt;18),
    1.10,
    1.00)</f>
        <v/>
      </c>
      <c r="O7142">
        <f>IF('Loan Tape (S&amp;P)'!T7142="Yes",
    1.35,
    1.00)</f>
        <v/>
      </c>
      <c r="P7142">
        <f>IF('Loan Tape (S&amp;P)'!S7142="Yes",
    1.15,
    1.00)</f>
        <v/>
      </c>
      <c r="Q7142">
        <f>IF('Loan Tape (S&amp;P)'!V7142="Yes",
    1.20,
    1.00)</f>
        <v/>
      </c>
      <c r="T7142">
        <f>LET(
    payment_method,'Loan Tape (S&amp;P)'!P7142,
    occupancy,'Loan Tape (S&amp;P)'!N7142,
    maturity_date,'Loan Tape (S&amp;P)'!L7142,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43">
      <c r="J7143">
        <f>LET(
    lien,'Loan Tape (S&amp;P)'!Q7143,
    IF(lien="First",1.00,
        IF(lien="Second",1.50,
            1.70)))</f>
        <v/>
      </c>
      <c r="K7143">
        <f>LET(
    purpose,'Loan Tape (S&amp;P)'!R7143,
    IF(purpose="Purchase",1.00,
        IF(purpose="Remortgage",1.00,
            1.20)))</f>
        <v/>
      </c>
      <c r="L7143">
        <f>LET(
    arrears_months,'Loan Tape (S&amp;P)'!AN7143,
    IF(arrears_months=0,1.00,
    IF(arrears_months=1,3.00,
    IF(arrears_months=2,5.00,
    IF(arrears_months=3,8.00,
    IF(arrears_months=4,10.00,
    IF(arrears_months=5,12.00,15.00)))))))</f>
        <v/>
      </c>
      <c r="M7143">
        <f>LET(
    seasoning_years,DATEDIF('Loan Tape (S&amp;P)'!K7143,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43">
        <f>IF(AND('Loan Tape (S&amp;P)'!U7143="Yes",
        'Loan Tape (S&amp;P)'!T7143&lt;&gt;"Yes",
        DATEDIF('Loan Tape (S&amp;P)'!K7143, TODAY(), "M")&lt;18),
    1.10,
    1.00)</f>
        <v/>
      </c>
      <c r="O7143">
        <f>IF('Loan Tape (S&amp;P)'!T7143="Yes",
    1.35,
    1.00)</f>
        <v/>
      </c>
      <c r="P7143">
        <f>IF('Loan Tape (S&amp;P)'!S7143="Yes",
    1.15,
    1.00)</f>
        <v/>
      </c>
      <c r="Q7143">
        <f>IF('Loan Tape (S&amp;P)'!V7143="Yes",
    1.20,
    1.00)</f>
        <v/>
      </c>
      <c r="T7143">
        <f>LET(
    payment_method,'Loan Tape (S&amp;P)'!P7143,
    occupancy,'Loan Tape (S&amp;P)'!N7143,
    maturity_date,'Loan Tape (S&amp;P)'!L7143,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44">
      <c r="J7144">
        <f>LET(
    lien,'Loan Tape (S&amp;P)'!Q7144,
    IF(lien="First",1.00,
        IF(lien="Second",1.50,
            1.70)))</f>
        <v/>
      </c>
      <c r="K7144">
        <f>LET(
    purpose,'Loan Tape (S&amp;P)'!R7144,
    IF(purpose="Purchase",1.00,
        IF(purpose="Remortgage",1.00,
            1.20)))</f>
        <v/>
      </c>
      <c r="L7144">
        <f>LET(
    arrears_months,'Loan Tape (S&amp;P)'!AN7144,
    IF(arrears_months=0,1.00,
    IF(arrears_months=1,3.00,
    IF(arrears_months=2,5.00,
    IF(arrears_months=3,8.00,
    IF(arrears_months=4,10.00,
    IF(arrears_months=5,12.00,15.00)))))))</f>
        <v/>
      </c>
      <c r="M7144">
        <f>LET(
    seasoning_years,DATEDIF('Loan Tape (S&amp;P)'!K7144,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44">
        <f>IF(AND('Loan Tape (S&amp;P)'!U7144="Yes",
        'Loan Tape (S&amp;P)'!T7144&lt;&gt;"Yes",
        DATEDIF('Loan Tape (S&amp;P)'!K7144, TODAY(), "M")&lt;18),
    1.10,
    1.00)</f>
        <v/>
      </c>
      <c r="O7144">
        <f>IF('Loan Tape (S&amp;P)'!T7144="Yes",
    1.35,
    1.00)</f>
        <v/>
      </c>
      <c r="P7144">
        <f>IF('Loan Tape (S&amp;P)'!S7144="Yes",
    1.15,
    1.00)</f>
        <v/>
      </c>
      <c r="Q7144">
        <f>IF('Loan Tape (S&amp;P)'!V7144="Yes",
    1.20,
    1.00)</f>
        <v/>
      </c>
      <c r="T7144">
        <f>LET(
    payment_method,'Loan Tape (S&amp;P)'!P7144,
    occupancy,'Loan Tape (S&amp;P)'!N7144,
    maturity_date,'Loan Tape (S&amp;P)'!L7144,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45">
      <c r="J7145">
        <f>LET(
    lien,'Loan Tape (S&amp;P)'!Q7145,
    IF(lien="First",1.00,
        IF(lien="Second",1.50,
            1.70)))</f>
        <v/>
      </c>
      <c r="K7145">
        <f>LET(
    purpose,'Loan Tape (S&amp;P)'!R7145,
    IF(purpose="Purchase",1.00,
        IF(purpose="Remortgage",1.00,
            1.20)))</f>
        <v/>
      </c>
      <c r="L7145">
        <f>LET(
    arrears_months,'Loan Tape (S&amp;P)'!AN7145,
    IF(arrears_months=0,1.00,
    IF(arrears_months=1,3.00,
    IF(arrears_months=2,5.00,
    IF(arrears_months=3,8.00,
    IF(arrears_months=4,10.00,
    IF(arrears_months=5,12.00,15.00)))))))</f>
        <v/>
      </c>
      <c r="M7145">
        <f>LET(
    seasoning_years,DATEDIF('Loan Tape (S&amp;P)'!K7145,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45">
        <f>IF(AND('Loan Tape (S&amp;P)'!U7145="Yes",
        'Loan Tape (S&amp;P)'!T7145&lt;&gt;"Yes",
        DATEDIF('Loan Tape (S&amp;P)'!K7145, TODAY(), "M")&lt;18),
    1.10,
    1.00)</f>
        <v/>
      </c>
      <c r="O7145">
        <f>IF('Loan Tape (S&amp;P)'!T7145="Yes",
    1.35,
    1.00)</f>
        <v/>
      </c>
      <c r="P7145">
        <f>IF('Loan Tape (S&amp;P)'!S7145="Yes",
    1.15,
    1.00)</f>
        <v/>
      </c>
      <c r="Q7145">
        <f>IF('Loan Tape (S&amp;P)'!V7145="Yes",
    1.20,
    1.00)</f>
        <v/>
      </c>
      <c r="T7145">
        <f>LET(
    payment_method,'Loan Tape (S&amp;P)'!P7145,
    occupancy,'Loan Tape (S&amp;P)'!N7145,
    maturity_date,'Loan Tape (S&amp;P)'!L7145,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46">
      <c r="J7146">
        <f>LET(
    lien,'Loan Tape (S&amp;P)'!Q7146,
    IF(lien="First",1.00,
        IF(lien="Second",1.50,
            1.70)))</f>
        <v/>
      </c>
      <c r="K7146">
        <f>LET(
    purpose,'Loan Tape (S&amp;P)'!R7146,
    IF(purpose="Purchase",1.00,
        IF(purpose="Remortgage",1.00,
            1.20)))</f>
        <v/>
      </c>
      <c r="L7146">
        <f>LET(
    arrears_months,'Loan Tape (S&amp;P)'!AN7146,
    IF(arrears_months=0,1.00,
    IF(arrears_months=1,3.00,
    IF(arrears_months=2,5.00,
    IF(arrears_months=3,8.00,
    IF(arrears_months=4,10.00,
    IF(arrears_months=5,12.00,15.00)))))))</f>
        <v/>
      </c>
      <c r="M7146">
        <f>LET(
    seasoning_years,DATEDIF('Loan Tape (S&amp;P)'!K7146,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46">
        <f>IF(AND('Loan Tape (S&amp;P)'!U7146="Yes",
        'Loan Tape (S&amp;P)'!T7146&lt;&gt;"Yes",
        DATEDIF('Loan Tape (S&amp;P)'!K7146, TODAY(), "M")&lt;18),
    1.10,
    1.00)</f>
        <v/>
      </c>
      <c r="O7146">
        <f>IF('Loan Tape (S&amp;P)'!T7146="Yes",
    1.35,
    1.00)</f>
        <v/>
      </c>
      <c r="P7146">
        <f>IF('Loan Tape (S&amp;P)'!S7146="Yes",
    1.15,
    1.00)</f>
        <v/>
      </c>
      <c r="Q7146">
        <f>IF('Loan Tape (S&amp;P)'!V7146="Yes",
    1.20,
    1.00)</f>
        <v/>
      </c>
      <c r="T7146">
        <f>LET(
    payment_method,'Loan Tape (S&amp;P)'!P7146,
    occupancy,'Loan Tape (S&amp;P)'!N7146,
    maturity_date,'Loan Tape (S&amp;P)'!L7146,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47">
      <c r="J7147">
        <f>LET(
    lien,'Loan Tape (S&amp;P)'!Q7147,
    IF(lien="First",1.00,
        IF(lien="Second",1.50,
            1.70)))</f>
        <v/>
      </c>
      <c r="K7147">
        <f>LET(
    purpose,'Loan Tape (S&amp;P)'!R7147,
    IF(purpose="Purchase",1.00,
        IF(purpose="Remortgage",1.00,
            1.20)))</f>
        <v/>
      </c>
      <c r="L7147">
        <f>LET(
    arrears_months,'Loan Tape (S&amp;P)'!AN7147,
    IF(arrears_months=0,1.00,
    IF(arrears_months=1,3.00,
    IF(arrears_months=2,5.00,
    IF(arrears_months=3,8.00,
    IF(arrears_months=4,10.00,
    IF(arrears_months=5,12.00,15.00)))))))</f>
        <v/>
      </c>
      <c r="M7147">
        <f>LET(
    seasoning_years,DATEDIF('Loan Tape (S&amp;P)'!K7147,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47">
        <f>IF(AND('Loan Tape (S&amp;P)'!U7147="Yes",
        'Loan Tape (S&amp;P)'!T7147&lt;&gt;"Yes",
        DATEDIF('Loan Tape (S&amp;P)'!K7147, TODAY(), "M")&lt;18),
    1.10,
    1.00)</f>
        <v/>
      </c>
      <c r="O7147">
        <f>IF('Loan Tape (S&amp;P)'!T7147="Yes",
    1.35,
    1.00)</f>
        <v/>
      </c>
      <c r="P7147">
        <f>IF('Loan Tape (S&amp;P)'!S7147="Yes",
    1.15,
    1.00)</f>
        <v/>
      </c>
      <c r="Q7147">
        <f>IF('Loan Tape (S&amp;P)'!V7147="Yes",
    1.20,
    1.00)</f>
        <v/>
      </c>
      <c r="T7147">
        <f>LET(
    payment_method,'Loan Tape (S&amp;P)'!P7147,
    occupancy,'Loan Tape (S&amp;P)'!N7147,
    maturity_date,'Loan Tape (S&amp;P)'!L7147,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48">
      <c r="J7148">
        <f>LET(
    lien,'Loan Tape (S&amp;P)'!Q7148,
    IF(lien="First",1.00,
        IF(lien="Second",1.50,
            1.70)))</f>
        <v/>
      </c>
      <c r="K7148">
        <f>LET(
    purpose,'Loan Tape (S&amp;P)'!R7148,
    IF(purpose="Purchase",1.00,
        IF(purpose="Remortgage",1.00,
            1.20)))</f>
        <v/>
      </c>
      <c r="L7148">
        <f>LET(
    arrears_months,'Loan Tape (S&amp;P)'!AN7148,
    IF(arrears_months=0,1.00,
    IF(arrears_months=1,3.00,
    IF(arrears_months=2,5.00,
    IF(arrears_months=3,8.00,
    IF(arrears_months=4,10.00,
    IF(arrears_months=5,12.00,15.00)))))))</f>
        <v/>
      </c>
      <c r="M7148">
        <f>LET(
    seasoning_years,DATEDIF('Loan Tape (S&amp;P)'!K7148,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48">
        <f>IF(AND('Loan Tape (S&amp;P)'!U7148="Yes",
        'Loan Tape (S&amp;P)'!T7148&lt;&gt;"Yes",
        DATEDIF('Loan Tape (S&amp;P)'!K7148, TODAY(), "M")&lt;18),
    1.10,
    1.00)</f>
        <v/>
      </c>
      <c r="O7148">
        <f>IF('Loan Tape (S&amp;P)'!T7148="Yes",
    1.35,
    1.00)</f>
        <v/>
      </c>
      <c r="P7148">
        <f>IF('Loan Tape (S&amp;P)'!S7148="Yes",
    1.15,
    1.00)</f>
        <v/>
      </c>
      <c r="Q7148">
        <f>IF('Loan Tape (S&amp;P)'!V7148="Yes",
    1.20,
    1.00)</f>
        <v/>
      </c>
      <c r="T7148">
        <f>LET(
    payment_method,'Loan Tape (S&amp;P)'!P7148,
    occupancy,'Loan Tape (S&amp;P)'!N7148,
    maturity_date,'Loan Tape (S&amp;P)'!L7148,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49">
      <c r="J7149">
        <f>LET(
    lien,'Loan Tape (S&amp;P)'!Q7149,
    IF(lien="First",1.00,
        IF(lien="Second",1.50,
            1.70)))</f>
        <v/>
      </c>
      <c r="K7149">
        <f>LET(
    purpose,'Loan Tape (S&amp;P)'!R7149,
    IF(purpose="Purchase",1.00,
        IF(purpose="Remortgage",1.00,
            1.20)))</f>
        <v/>
      </c>
      <c r="L7149">
        <f>LET(
    arrears_months,'Loan Tape (S&amp;P)'!AN7149,
    IF(arrears_months=0,1.00,
    IF(arrears_months=1,3.00,
    IF(arrears_months=2,5.00,
    IF(arrears_months=3,8.00,
    IF(arrears_months=4,10.00,
    IF(arrears_months=5,12.00,15.00)))))))</f>
        <v/>
      </c>
      <c r="M7149">
        <f>LET(
    seasoning_years,DATEDIF('Loan Tape (S&amp;P)'!K7149,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49">
        <f>IF(AND('Loan Tape (S&amp;P)'!U7149="Yes",
        'Loan Tape (S&amp;P)'!T7149&lt;&gt;"Yes",
        DATEDIF('Loan Tape (S&amp;P)'!K7149, TODAY(), "M")&lt;18),
    1.10,
    1.00)</f>
        <v/>
      </c>
      <c r="O7149">
        <f>IF('Loan Tape (S&amp;P)'!T7149="Yes",
    1.35,
    1.00)</f>
        <v/>
      </c>
      <c r="P7149">
        <f>IF('Loan Tape (S&amp;P)'!S7149="Yes",
    1.15,
    1.00)</f>
        <v/>
      </c>
      <c r="Q7149">
        <f>IF('Loan Tape (S&amp;P)'!V7149="Yes",
    1.20,
    1.00)</f>
        <v/>
      </c>
      <c r="T7149">
        <f>LET(
    payment_method,'Loan Tape (S&amp;P)'!P7149,
    occupancy,'Loan Tape (S&amp;P)'!N7149,
    maturity_date,'Loan Tape (S&amp;P)'!L7149,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50">
      <c r="J7150">
        <f>LET(
    lien,'Loan Tape (S&amp;P)'!Q7150,
    IF(lien="First",1.00,
        IF(lien="Second",1.50,
            1.70)))</f>
        <v/>
      </c>
      <c r="K7150">
        <f>LET(
    purpose,'Loan Tape (S&amp;P)'!R7150,
    IF(purpose="Purchase",1.00,
        IF(purpose="Remortgage",1.00,
            1.20)))</f>
        <v/>
      </c>
      <c r="L7150">
        <f>LET(
    arrears_months,'Loan Tape (S&amp;P)'!AN7150,
    IF(arrears_months=0,1.00,
    IF(arrears_months=1,3.00,
    IF(arrears_months=2,5.00,
    IF(arrears_months=3,8.00,
    IF(arrears_months=4,10.00,
    IF(arrears_months=5,12.00,15.00)))))))</f>
        <v/>
      </c>
      <c r="M7150">
        <f>LET(
    seasoning_years,DATEDIF('Loan Tape (S&amp;P)'!K7150,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50">
        <f>IF(AND('Loan Tape (S&amp;P)'!U7150="Yes",
        'Loan Tape (S&amp;P)'!T7150&lt;&gt;"Yes",
        DATEDIF('Loan Tape (S&amp;P)'!K7150, TODAY(), "M")&lt;18),
    1.10,
    1.00)</f>
        <v/>
      </c>
      <c r="O7150">
        <f>IF('Loan Tape (S&amp;P)'!T7150="Yes",
    1.35,
    1.00)</f>
        <v/>
      </c>
      <c r="P7150">
        <f>IF('Loan Tape (S&amp;P)'!S7150="Yes",
    1.15,
    1.00)</f>
        <v/>
      </c>
      <c r="Q7150">
        <f>IF('Loan Tape (S&amp;P)'!V7150="Yes",
    1.20,
    1.00)</f>
        <v/>
      </c>
      <c r="T7150">
        <f>LET(
    payment_method,'Loan Tape (S&amp;P)'!P7150,
    occupancy,'Loan Tape (S&amp;P)'!N7150,
    maturity_date,'Loan Tape (S&amp;P)'!L7150,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51">
      <c r="J7151">
        <f>LET(
    lien,'Loan Tape (S&amp;P)'!Q7151,
    IF(lien="First",1.00,
        IF(lien="Second",1.50,
            1.70)))</f>
        <v/>
      </c>
      <c r="K7151">
        <f>LET(
    purpose,'Loan Tape (S&amp;P)'!R7151,
    IF(purpose="Purchase",1.00,
        IF(purpose="Remortgage",1.00,
            1.20)))</f>
        <v/>
      </c>
      <c r="L7151">
        <f>LET(
    arrears_months,'Loan Tape (S&amp;P)'!AN7151,
    IF(arrears_months=0,1.00,
    IF(arrears_months=1,3.00,
    IF(arrears_months=2,5.00,
    IF(arrears_months=3,8.00,
    IF(arrears_months=4,10.00,
    IF(arrears_months=5,12.00,15.00)))))))</f>
        <v/>
      </c>
      <c r="M7151">
        <f>LET(
    seasoning_years,DATEDIF('Loan Tape (S&amp;P)'!K7151,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51">
        <f>IF(AND('Loan Tape (S&amp;P)'!U7151="Yes",
        'Loan Tape (S&amp;P)'!T7151&lt;&gt;"Yes",
        DATEDIF('Loan Tape (S&amp;P)'!K7151, TODAY(), "M")&lt;18),
    1.10,
    1.00)</f>
        <v/>
      </c>
      <c r="O7151">
        <f>IF('Loan Tape (S&amp;P)'!T7151="Yes",
    1.35,
    1.00)</f>
        <v/>
      </c>
      <c r="P7151">
        <f>IF('Loan Tape (S&amp;P)'!S7151="Yes",
    1.15,
    1.00)</f>
        <v/>
      </c>
      <c r="Q7151">
        <f>IF('Loan Tape (S&amp;P)'!V7151="Yes",
    1.20,
    1.00)</f>
        <v/>
      </c>
      <c r="T7151">
        <f>LET(
    payment_method,'Loan Tape (S&amp;P)'!P7151,
    occupancy,'Loan Tape (S&amp;P)'!N7151,
    maturity_date,'Loan Tape (S&amp;P)'!L7151,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52">
      <c r="J7152">
        <f>LET(
    lien,'Loan Tape (S&amp;P)'!Q7152,
    IF(lien="First",1.00,
        IF(lien="Second",1.50,
            1.70)))</f>
        <v/>
      </c>
      <c r="K7152">
        <f>LET(
    purpose,'Loan Tape (S&amp;P)'!R7152,
    IF(purpose="Purchase",1.00,
        IF(purpose="Remortgage",1.00,
            1.20)))</f>
        <v/>
      </c>
      <c r="L7152">
        <f>LET(
    arrears_months,'Loan Tape (S&amp;P)'!AN7152,
    IF(arrears_months=0,1.00,
    IF(arrears_months=1,3.00,
    IF(arrears_months=2,5.00,
    IF(arrears_months=3,8.00,
    IF(arrears_months=4,10.00,
    IF(arrears_months=5,12.00,15.00)))))))</f>
        <v/>
      </c>
      <c r="M7152">
        <f>LET(
    seasoning_years,DATEDIF('Loan Tape (S&amp;P)'!K7152,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52">
        <f>IF(AND('Loan Tape (S&amp;P)'!U7152="Yes",
        'Loan Tape (S&amp;P)'!T7152&lt;&gt;"Yes",
        DATEDIF('Loan Tape (S&amp;P)'!K7152, TODAY(), "M")&lt;18),
    1.10,
    1.00)</f>
        <v/>
      </c>
      <c r="O7152">
        <f>IF('Loan Tape (S&amp;P)'!T7152="Yes",
    1.35,
    1.00)</f>
        <v/>
      </c>
      <c r="P7152">
        <f>IF('Loan Tape (S&amp;P)'!S7152="Yes",
    1.15,
    1.00)</f>
        <v/>
      </c>
      <c r="Q7152">
        <f>IF('Loan Tape (S&amp;P)'!V7152="Yes",
    1.20,
    1.00)</f>
        <v/>
      </c>
      <c r="T7152">
        <f>LET(
    payment_method,'Loan Tape (S&amp;P)'!P7152,
    occupancy,'Loan Tape (S&amp;P)'!N7152,
    maturity_date,'Loan Tape (S&amp;P)'!L7152,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53">
      <c r="J7153">
        <f>LET(
    lien,'Loan Tape (S&amp;P)'!Q7153,
    IF(lien="First",1.00,
        IF(lien="Second",1.50,
            1.70)))</f>
        <v/>
      </c>
      <c r="K7153">
        <f>LET(
    purpose,'Loan Tape (S&amp;P)'!R7153,
    IF(purpose="Purchase",1.00,
        IF(purpose="Remortgage",1.00,
            1.20)))</f>
        <v/>
      </c>
      <c r="L7153">
        <f>LET(
    arrears_months,'Loan Tape (S&amp;P)'!AN7153,
    IF(arrears_months=0,1.00,
    IF(arrears_months=1,3.00,
    IF(arrears_months=2,5.00,
    IF(arrears_months=3,8.00,
    IF(arrears_months=4,10.00,
    IF(arrears_months=5,12.00,15.00)))))))</f>
        <v/>
      </c>
      <c r="M7153">
        <f>LET(
    seasoning_years,DATEDIF('Loan Tape (S&amp;P)'!K7153,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53">
        <f>IF(AND('Loan Tape (S&amp;P)'!U7153="Yes",
        'Loan Tape (S&amp;P)'!T7153&lt;&gt;"Yes",
        DATEDIF('Loan Tape (S&amp;P)'!K7153, TODAY(), "M")&lt;18),
    1.10,
    1.00)</f>
        <v/>
      </c>
      <c r="O7153">
        <f>IF('Loan Tape (S&amp;P)'!T7153="Yes",
    1.35,
    1.00)</f>
        <v/>
      </c>
      <c r="P7153">
        <f>IF('Loan Tape (S&amp;P)'!S7153="Yes",
    1.15,
    1.00)</f>
        <v/>
      </c>
      <c r="Q7153">
        <f>IF('Loan Tape (S&amp;P)'!V7153="Yes",
    1.20,
    1.00)</f>
        <v/>
      </c>
      <c r="T7153">
        <f>LET(
    payment_method,'Loan Tape (S&amp;P)'!P7153,
    occupancy,'Loan Tape (S&amp;P)'!N7153,
    maturity_date,'Loan Tape (S&amp;P)'!L7153,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54">
      <c r="J7154">
        <f>LET(
    lien,'Loan Tape (S&amp;P)'!Q7154,
    IF(lien="First",1.00,
        IF(lien="Second",1.50,
            1.70)))</f>
        <v/>
      </c>
      <c r="K7154">
        <f>LET(
    purpose,'Loan Tape (S&amp;P)'!R7154,
    IF(purpose="Purchase",1.00,
        IF(purpose="Remortgage",1.00,
            1.20)))</f>
        <v/>
      </c>
      <c r="L7154">
        <f>LET(
    arrears_months,'Loan Tape (S&amp;P)'!AN7154,
    IF(arrears_months=0,1.00,
    IF(arrears_months=1,3.00,
    IF(arrears_months=2,5.00,
    IF(arrears_months=3,8.00,
    IF(arrears_months=4,10.00,
    IF(arrears_months=5,12.00,15.00)))))))</f>
        <v/>
      </c>
      <c r="M7154">
        <f>LET(
    seasoning_years,DATEDIF('Loan Tape (S&amp;P)'!K7154,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54">
        <f>IF(AND('Loan Tape (S&amp;P)'!U7154="Yes",
        'Loan Tape (S&amp;P)'!T7154&lt;&gt;"Yes",
        DATEDIF('Loan Tape (S&amp;P)'!K7154, TODAY(), "M")&lt;18),
    1.10,
    1.00)</f>
        <v/>
      </c>
      <c r="O7154">
        <f>IF('Loan Tape (S&amp;P)'!T7154="Yes",
    1.35,
    1.00)</f>
        <v/>
      </c>
      <c r="P7154">
        <f>IF('Loan Tape (S&amp;P)'!S7154="Yes",
    1.15,
    1.00)</f>
        <v/>
      </c>
      <c r="Q7154">
        <f>IF('Loan Tape (S&amp;P)'!V7154="Yes",
    1.20,
    1.00)</f>
        <v/>
      </c>
      <c r="T7154">
        <f>LET(
    payment_method,'Loan Tape (S&amp;P)'!P7154,
    occupancy,'Loan Tape (S&amp;P)'!N7154,
    maturity_date,'Loan Tape (S&amp;P)'!L7154,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55">
      <c r="J7155">
        <f>LET(
    lien,'Loan Tape (S&amp;P)'!Q7155,
    IF(lien="First",1.00,
        IF(lien="Second",1.50,
            1.70)))</f>
        <v/>
      </c>
      <c r="K7155">
        <f>LET(
    purpose,'Loan Tape (S&amp;P)'!R7155,
    IF(purpose="Purchase",1.00,
        IF(purpose="Remortgage",1.00,
            1.20)))</f>
        <v/>
      </c>
      <c r="L7155">
        <f>LET(
    arrears_months,'Loan Tape (S&amp;P)'!AN7155,
    IF(arrears_months=0,1.00,
    IF(arrears_months=1,3.00,
    IF(arrears_months=2,5.00,
    IF(arrears_months=3,8.00,
    IF(arrears_months=4,10.00,
    IF(arrears_months=5,12.00,15.00)))))))</f>
        <v/>
      </c>
      <c r="M7155">
        <f>LET(
    seasoning_years,DATEDIF('Loan Tape (S&amp;P)'!K7155,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55">
        <f>IF(AND('Loan Tape (S&amp;P)'!U7155="Yes",
        'Loan Tape (S&amp;P)'!T7155&lt;&gt;"Yes",
        DATEDIF('Loan Tape (S&amp;P)'!K7155, TODAY(), "M")&lt;18),
    1.10,
    1.00)</f>
        <v/>
      </c>
      <c r="O7155">
        <f>IF('Loan Tape (S&amp;P)'!T7155="Yes",
    1.35,
    1.00)</f>
        <v/>
      </c>
      <c r="P7155">
        <f>IF('Loan Tape (S&amp;P)'!S7155="Yes",
    1.15,
    1.00)</f>
        <v/>
      </c>
      <c r="Q7155">
        <f>IF('Loan Tape (S&amp;P)'!V7155="Yes",
    1.20,
    1.00)</f>
        <v/>
      </c>
      <c r="T7155">
        <f>LET(
    payment_method,'Loan Tape (S&amp;P)'!P7155,
    occupancy,'Loan Tape (S&amp;P)'!N7155,
    maturity_date,'Loan Tape (S&amp;P)'!L7155,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56">
      <c r="J7156">
        <f>LET(
    lien,'Loan Tape (S&amp;P)'!Q7156,
    IF(lien="First",1.00,
        IF(lien="Second",1.50,
            1.70)))</f>
        <v/>
      </c>
      <c r="K7156">
        <f>LET(
    purpose,'Loan Tape (S&amp;P)'!R7156,
    IF(purpose="Purchase",1.00,
        IF(purpose="Remortgage",1.00,
            1.20)))</f>
        <v/>
      </c>
      <c r="L7156">
        <f>LET(
    arrears_months,'Loan Tape (S&amp;P)'!AN7156,
    IF(arrears_months=0,1.00,
    IF(arrears_months=1,3.00,
    IF(arrears_months=2,5.00,
    IF(arrears_months=3,8.00,
    IF(arrears_months=4,10.00,
    IF(arrears_months=5,12.00,15.00)))))))</f>
        <v/>
      </c>
      <c r="M7156">
        <f>LET(
    seasoning_years,DATEDIF('Loan Tape (S&amp;P)'!K7156,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56">
        <f>IF(AND('Loan Tape (S&amp;P)'!U7156="Yes",
        'Loan Tape (S&amp;P)'!T7156&lt;&gt;"Yes",
        DATEDIF('Loan Tape (S&amp;P)'!K7156, TODAY(), "M")&lt;18),
    1.10,
    1.00)</f>
        <v/>
      </c>
      <c r="O7156">
        <f>IF('Loan Tape (S&amp;P)'!T7156="Yes",
    1.35,
    1.00)</f>
        <v/>
      </c>
      <c r="P7156">
        <f>IF('Loan Tape (S&amp;P)'!S7156="Yes",
    1.15,
    1.00)</f>
        <v/>
      </c>
      <c r="Q7156">
        <f>IF('Loan Tape (S&amp;P)'!V7156="Yes",
    1.20,
    1.00)</f>
        <v/>
      </c>
      <c r="T7156">
        <f>LET(
    payment_method,'Loan Tape (S&amp;P)'!P7156,
    occupancy,'Loan Tape (S&amp;P)'!N7156,
    maturity_date,'Loan Tape (S&amp;P)'!L7156,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57">
      <c r="J7157">
        <f>LET(
    lien,'Loan Tape (S&amp;P)'!Q7157,
    IF(lien="First",1.00,
        IF(lien="Second",1.50,
            1.70)))</f>
        <v/>
      </c>
      <c r="K7157">
        <f>LET(
    purpose,'Loan Tape (S&amp;P)'!R7157,
    IF(purpose="Purchase",1.00,
        IF(purpose="Remortgage",1.00,
            1.20)))</f>
        <v/>
      </c>
      <c r="L7157">
        <f>LET(
    arrears_months,'Loan Tape (S&amp;P)'!AN7157,
    IF(arrears_months=0,1.00,
    IF(arrears_months=1,3.00,
    IF(arrears_months=2,5.00,
    IF(arrears_months=3,8.00,
    IF(arrears_months=4,10.00,
    IF(arrears_months=5,12.00,15.00)))))))</f>
        <v/>
      </c>
      <c r="M7157">
        <f>LET(
    seasoning_years,DATEDIF('Loan Tape (S&amp;P)'!K7157,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57">
        <f>IF(AND('Loan Tape (S&amp;P)'!U7157="Yes",
        'Loan Tape (S&amp;P)'!T7157&lt;&gt;"Yes",
        DATEDIF('Loan Tape (S&amp;P)'!K7157, TODAY(), "M")&lt;18),
    1.10,
    1.00)</f>
        <v/>
      </c>
      <c r="O7157">
        <f>IF('Loan Tape (S&amp;P)'!T7157="Yes",
    1.35,
    1.00)</f>
        <v/>
      </c>
      <c r="P7157">
        <f>IF('Loan Tape (S&amp;P)'!S7157="Yes",
    1.15,
    1.00)</f>
        <v/>
      </c>
      <c r="Q7157">
        <f>IF('Loan Tape (S&amp;P)'!V7157="Yes",
    1.20,
    1.00)</f>
        <v/>
      </c>
      <c r="T7157">
        <f>LET(
    payment_method,'Loan Tape (S&amp;P)'!P7157,
    occupancy,'Loan Tape (S&amp;P)'!N7157,
    maturity_date,'Loan Tape (S&amp;P)'!L7157,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58">
      <c r="J7158">
        <f>LET(
    lien,'Loan Tape (S&amp;P)'!Q7158,
    IF(lien="First",1.00,
        IF(lien="Second",1.50,
            1.70)))</f>
        <v/>
      </c>
      <c r="K7158">
        <f>LET(
    purpose,'Loan Tape (S&amp;P)'!R7158,
    IF(purpose="Purchase",1.00,
        IF(purpose="Remortgage",1.00,
            1.20)))</f>
        <v/>
      </c>
      <c r="L7158">
        <f>LET(
    arrears_months,'Loan Tape (S&amp;P)'!AN7158,
    IF(arrears_months=0,1.00,
    IF(arrears_months=1,3.00,
    IF(arrears_months=2,5.00,
    IF(arrears_months=3,8.00,
    IF(arrears_months=4,10.00,
    IF(arrears_months=5,12.00,15.00)))))))</f>
        <v/>
      </c>
      <c r="M7158">
        <f>LET(
    seasoning_years,DATEDIF('Loan Tape (S&amp;P)'!K7158,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58">
        <f>IF(AND('Loan Tape (S&amp;P)'!U7158="Yes",
        'Loan Tape (S&amp;P)'!T7158&lt;&gt;"Yes",
        DATEDIF('Loan Tape (S&amp;P)'!K7158, TODAY(), "M")&lt;18),
    1.10,
    1.00)</f>
        <v/>
      </c>
      <c r="O7158">
        <f>IF('Loan Tape (S&amp;P)'!T7158="Yes",
    1.35,
    1.00)</f>
        <v/>
      </c>
      <c r="P7158">
        <f>IF('Loan Tape (S&amp;P)'!S7158="Yes",
    1.15,
    1.00)</f>
        <v/>
      </c>
      <c r="Q7158">
        <f>IF('Loan Tape (S&amp;P)'!V7158="Yes",
    1.20,
    1.00)</f>
        <v/>
      </c>
      <c r="T7158">
        <f>LET(
    payment_method,'Loan Tape (S&amp;P)'!P7158,
    occupancy,'Loan Tape (S&amp;P)'!N7158,
    maturity_date,'Loan Tape (S&amp;P)'!L7158,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59">
      <c r="J7159">
        <f>LET(
    lien,'Loan Tape (S&amp;P)'!Q7159,
    IF(lien="First",1.00,
        IF(lien="Second",1.50,
            1.70)))</f>
        <v/>
      </c>
      <c r="K7159">
        <f>LET(
    purpose,'Loan Tape (S&amp;P)'!R7159,
    IF(purpose="Purchase",1.00,
        IF(purpose="Remortgage",1.00,
            1.20)))</f>
        <v/>
      </c>
      <c r="L7159">
        <f>LET(
    arrears_months,'Loan Tape (S&amp;P)'!AN7159,
    IF(arrears_months=0,1.00,
    IF(arrears_months=1,3.00,
    IF(arrears_months=2,5.00,
    IF(arrears_months=3,8.00,
    IF(arrears_months=4,10.00,
    IF(arrears_months=5,12.00,15.00)))))))</f>
        <v/>
      </c>
      <c r="M7159">
        <f>LET(
    seasoning_years,DATEDIF('Loan Tape (S&amp;P)'!K7159,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59">
        <f>IF(AND('Loan Tape (S&amp;P)'!U7159="Yes",
        'Loan Tape (S&amp;P)'!T7159&lt;&gt;"Yes",
        DATEDIF('Loan Tape (S&amp;P)'!K7159, TODAY(), "M")&lt;18),
    1.10,
    1.00)</f>
        <v/>
      </c>
      <c r="O7159">
        <f>IF('Loan Tape (S&amp;P)'!T7159="Yes",
    1.35,
    1.00)</f>
        <v/>
      </c>
      <c r="P7159">
        <f>IF('Loan Tape (S&amp;P)'!S7159="Yes",
    1.15,
    1.00)</f>
        <v/>
      </c>
      <c r="Q7159">
        <f>IF('Loan Tape (S&amp;P)'!V7159="Yes",
    1.20,
    1.00)</f>
        <v/>
      </c>
      <c r="T7159">
        <f>LET(
    payment_method,'Loan Tape (S&amp;P)'!P7159,
    occupancy,'Loan Tape (S&amp;P)'!N7159,
    maturity_date,'Loan Tape (S&amp;P)'!L7159,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60">
      <c r="J7160">
        <f>LET(
    lien,'Loan Tape (S&amp;P)'!Q7160,
    IF(lien="First",1.00,
        IF(lien="Second",1.50,
            1.70)))</f>
        <v/>
      </c>
      <c r="K7160">
        <f>LET(
    purpose,'Loan Tape (S&amp;P)'!R7160,
    IF(purpose="Purchase",1.00,
        IF(purpose="Remortgage",1.00,
            1.20)))</f>
        <v/>
      </c>
      <c r="L7160">
        <f>LET(
    arrears_months,'Loan Tape (S&amp;P)'!AN7160,
    IF(arrears_months=0,1.00,
    IF(arrears_months=1,3.00,
    IF(arrears_months=2,5.00,
    IF(arrears_months=3,8.00,
    IF(arrears_months=4,10.00,
    IF(arrears_months=5,12.00,15.00)))))))</f>
        <v/>
      </c>
      <c r="M7160">
        <f>LET(
    seasoning_years,DATEDIF('Loan Tape (S&amp;P)'!K7160,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60">
        <f>IF(AND('Loan Tape (S&amp;P)'!U7160="Yes",
        'Loan Tape (S&amp;P)'!T7160&lt;&gt;"Yes",
        DATEDIF('Loan Tape (S&amp;P)'!K7160, TODAY(), "M")&lt;18),
    1.10,
    1.00)</f>
        <v/>
      </c>
      <c r="O7160">
        <f>IF('Loan Tape (S&amp;P)'!T7160="Yes",
    1.35,
    1.00)</f>
        <v/>
      </c>
      <c r="P7160">
        <f>IF('Loan Tape (S&amp;P)'!S7160="Yes",
    1.15,
    1.00)</f>
        <v/>
      </c>
      <c r="Q7160">
        <f>IF('Loan Tape (S&amp;P)'!V7160="Yes",
    1.20,
    1.00)</f>
        <v/>
      </c>
      <c r="T7160">
        <f>LET(
    payment_method,'Loan Tape (S&amp;P)'!P7160,
    occupancy,'Loan Tape (S&amp;P)'!N7160,
    maturity_date,'Loan Tape (S&amp;P)'!L7160,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61">
      <c r="J7161">
        <f>LET(
    lien,'Loan Tape (S&amp;P)'!Q7161,
    IF(lien="First",1.00,
        IF(lien="Second",1.50,
            1.70)))</f>
        <v/>
      </c>
      <c r="K7161">
        <f>LET(
    purpose,'Loan Tape (S&amp;P)'!R7161,
    IF(purpose="Purchase",1.00,
        IF(purpose="Remortgage",1.00,
            1.20)))</f>
        <v/>
      </c>
      <c r="L7161">
        <f>LET(
    arrears_months,'Loan Tape (S&amp;P)'!AN7161,
    IF(arrears_months=0,1.00,
    IF(arrears_months=1,3.00,
    IF(arrears_months=2,5.00,
    IF(arrears_months=3,8.00,
    IF(arrears_months=4,10.00,
    IF(arrears_months=5,12.00,15.00)))))))</f>
        <v/>
      </c>
      <c r="M7161">
        <f>LET(
    seasoning_years,DATEDIF('Loan Tape (S&amp;P)'!K7161,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61">
        <f>IF(AND('Loan Tape (S&amp;P)'!U7161="Yes",
        'Loan Tape (S&amp;P)'!T7161&lt;&gt;"Yes",
        DATEDIF('Loan Tape (S&amp;P)'!K7161, TODAY(), "M")&lt;18),
    1.10,
    1.00)</f>
        <v/>
      </c>
      <c r="O7161">
        <f>IF('Loan Tape (S&amp;P)'!T7161="Yes",
    1.35,
    1.00)</f>
        <v/>
      </c>
      <c r="P7161">
        <f>IF('Loan Tape (S&amp;P)'!S7161="Yes",
    1.15,
    1.00)</f>
        <v/>
      </c>
      <c r="Q7161">
        <f>IF('Loan Tape (S&amp;P)'!V7161="Yes",
    1.20,
    1.00)</f>
        <v/>
      </c>
      <c r="T7161">
        <f>LET(
    payment_method,'Loan Tape (S&amp;P)'!P7161,
    occupancy,'Loan Tape (S&amp;P)'!N7161,
    maturity_date,'Loan Tape (S&amp;P)'!L7161,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62">
      <c r="J7162">
        <f>LET(
    lien,'Loan Tape (S&amp;P)'!Q7162,
    IF(lien="First",1.00,
        IF(lien="Second",1.50,
            1.70)))</f>
        <v/>
      </c>
      <c r="K7162">
        <f>LET(
    purpose,'Loan Tape (S&amp;P)'!R7162,
    IF(purpose="Purchase",1.00,
        IF(purpose="Remortgage",1.00,
            1.20)))</f>
        <v/>
      </c>
      <c r="L7162">
        <f>LET(
    arrears_months,'Loan Tape (S&amp;P)'!AN7162,
    IF(arrears_months=0,1.00,
    IF(arrears_months=1,3.00,
    IF(arrears_months=2,5.00,
    IF(arrears_months=3,8.00,
    IF(arrears_months=4,10.00,
    IF(arrears_months=5,12.00,15.00)))))))</f>
        <v/>
      </c>
      <c r="M7162">
        <f>LET(
    seasoning_years,DATEDIF('Loan Tape (S&amp;P)'!K7162,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62">
        <f>IF(AND('Loan Tape (S&amp;P)'!U7162="Yes",
        'Loan Tape (S&amp;P)'!T7162&lt;&gt;"Yes",
        DATEDIF('Loan Tape (S&amp;P)'!K7162, TODAY(), "M")&lt;18),
    1.10,
    1.00)</f>
        <v/>
      </c>
      <c r="O7162">
        <f>IF('Loan Tape (S&amp;P)'!T7162="Yes",
    1.35,
    1.00)</f>
        <v/>
      </c>
      <c r="P7162">
        <f>IF('Loan Tape (S&amp;P)'!S7162="Yes",
    1.15,
    1.00)</f>
        <v/>
      </c>
      <c r="Q7162">
        <f>IF('Loan Tape (S&amp;P)'!V7162="Yes",
    1.20,
    1.00)</f>
        <v/>
      </c>
      <c r="T7162">
        <f>LET(
    payment_method,'Loan Tape (S&amp;P)'!P7162,
    occupancy,'Loan Tape (S&amp;P)'!N7162,
    maturity_date,'Loan Tape (S&amp;P)'!L7162,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63">
      <c r="J7163">
        <f>LET(
    lien,'Loan Tape (S&amp;P)'!Q7163,
    IF(lien="First",1.00,
        IF(lien="Second",1.50,
            1.70)))</f>
        <v/>
      </c>
      <c r="K7163">
        <f>LET(
    purpose,'Loan Tape (S&amp;P)'!R7163,
    IF(purpose="Purchase",1.00,
        IF(purpose="Remortgage",1.00,
            1.20)))</f>
        <v/>
      </c>
      <c r="L7163">
        <f>LET(
    arrears_months,'Loan Tape (S&amp;P)'!AN7163,
    IF(arrears_months=0,1.00,
    IF(arrears_months=1,3.00,
    IF(arrears_months=2,5.00,
    IF(arrears_months=3,8.00,
    IF(arrears_months=4,10.00,
    IF(arrears_months=5,12.00,15.00)))))))</f>
        <v/>
      </c>
      <c r="M7163">
        <f>LET(
    seasoning_years,DATEDIF('Loan Tape (S&amp;P)'!K7163,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63">
        <f>IF(AND('Loan Tape (S&amp;P)'!U7163="Yes",
        'Loan Tape (S&amp;P)'!T7163&lt;&gt;"Yes",
        DATEDIF('Loan Tape (S&amp;P)'!K7163, TODAY(), "M")&lt;18),
    1.10,
    1.00)</f>
        <v/>
      </c>
      <c r="O7163">
        <f>IF('Loan Tape (S&amp;P)'!T7163="Yes",
    1.35,
    1.00)</f>
        <v/>
      </c>
      <c r="P7163">
        <f>IF('Loan Tape (S&amp;P)'!S7163="Yes",
    1.15,
    1.00)</f>
        <v/>
      </c>
      <c r="Q7163">
        <f>IF('Loan Tape (S&amp;P)'!V7163="Yes",
    1.20,
    1.00)</f>
        <v/>
      </c>
      <c r="T7163">
        <f>LET(
    payment_method,'Loan Tape (S&amp;P)'!P7163,
    occupancy,'Loan Tape (S&amp;P)'!N7163,
    maturity_date,'Loan Tape (S&amp;P)'!L7163,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64">
      <c r="J7164">
        <f>LET(
    lien,'Loan Tape (S&amp;P)'!Q7164,
    IF(lien="First",1.00,
        IF(lien="Second",1.50,
            1.70)))</f>
        <v/>
      </c>
      <c r="K7164">
        <f>LET(
    purpose,'Loan Tape (S&amp;P)'!R7164,
    IF(purpose="Purchase",1.00,
        IF(purpose="Remortgage",1.00,
            1.20)))</f>
        <v/>
      </c>
      <c r="L7164">
        <f>LET(
    arrears_months,'Loan Tape (S&amp;P)'!AN7164,
    IF(arrears_months=0,1.00,
    IF(arrears_months=1,3.00,
    IF(arrears_months=2,5.00,
    IF(arrears_months=3,8.00,
    IF(arrears_months=4,10.00,
    IF(arrears_months=5,12.00,15.00)))))))</f>
        <v/>
      </c>
      <c r="M7164">
        <f>LET(
    seasoning_years,DATEDIF('Loan Tape (S&amp;P)'!K7164,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64">
        <f>IF(AND('Loan Tape (S&amp;P)'!U7164="Yes",
        'Loan Tape (S&amp;P)'!T7164&lt;&gt;"Yes",
        DATEDIF('Loan Tape (S&amp;P)'!K7164, TODAY(), "M")&lt;18),
    1.10,
    1.00)</f>
        <v/>
      </c>
      <c r="O7164">
        <f>IF('Loan Tape (S&amp;P)'!T7164="Yes",
    1.35,
    1.00)</f>
        <v/>
      </c>
      <c r="P7164">
        <f>IF('Loan Tape (S&amp;P)'!S7164="Yes",
    1.15,
    1.00)</f>
        <v/>
      </c>
      <c r="Q7164">
        <f>IF('Loan Tape (S&amp;P)'!V7164="Yes",
    1.20,
    1.00)</f>
        <v/>
      </c>
      <c r="T7164">
        <f>LET(
    payment_method,'Loan Tape (S&amp;P)'!P7164,
    occupancy,'Loan Tape (S&amp;P)'!N7164,
    maturity_date,'Loan Tape (S&amp;P)'!L7164,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65">
      <c r="J7165">
        <f>LET(
    lien,'Loan Tape (S&amp;P)'!Q7165,
    IF(lien="First",1.00,
        IF(lien="Second",1.50,
            1.70)))</f>
        <v/>
      </c>
      <c r="K7165">
        <f>LET(
    purpose,'Loan Tape (S&amp;P)'!R7165,
    IF(purpose="Purchase",1.00,
        IF(purpose="Remortgage",1.00,
            1.20)))</f>
        <v/>
      </c>
      <c r="L7165">
        <f>LET(
    arrears_months,'Loan Tape (S&amp;P)'!AN7165,
    IF(arrears_months=0,1.00,
    IF(arrears_months=1,3.00,
    IF(arrears_months=2,5.00,
    IF(arrears_months=3,8.00,
    IF(arrears_months=4,10.00,
    IF(arrears_months=5,12.00,15.00)))))))</f>
        <v/>
      </c>
      <c r="M7165">
        <f>LET(
    seasoning_years,DATEDIF('Loan Tape (S&amp;P)'!K7165,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65">
        <f>IF(AND('Loan Tape (S&amp;P)'!U7165="Yes",
        'Loan Tape (S&amp;P)'!T7165&lt;&gt;"Yes",
        DATEDIF('Loan Tape (S&amp;P)'!K7165, TODAY(), "M")&lt;18),
    1.10,
    1.00)</f>
        <v/>
      </c>
      <c r="O7165">
        <f>IF('Loan Tape (S&amp;P)'!T7165="Yes",
    1.35,
    1.00)</f>
        <v/>
      </c>
      <c r="P7165">
        <f>IF('Loan Tape (S&amp;P)'!S7165="Yes",
    1.15,
    1.00)</f>
        <v/>
      </c>
      <c r="Q7165">
        <f>IF('Loan Tape (S&amp;P)'!V7165="Yes",
    1.20,
    1.00)</f>
        <v/>
      </c>
      <c r="T7165">
        <f>LET(
    payment_method,'Loan Tape (S&amp;P)'!P7165,
    occupancy,'Loan Tape (S&amp;P)'!N7165,
    maturity_date,'Loan Tape (S&amp;P)'!L7165,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66">
      <c r="J7166">
        <f>LET(
    lien,'Loan Tape (S&amp;P)'!Q7166,
    IF(lien="First",1.00,
        IF(lien="Second",1.50,
            1.70)))</f>
        <v/>
      </c>
      <c r="K7166">
        <f>LET(
    purpose,'Loan Tape (S&amp;P)'!R7166,
    IF(purpose="Purchase",1.00,
        IF(purpose="Remortgage",1.00,
            1.20)))</f>
        <v/>
      </c>
      <c r="L7166">
        <f>LET(
    arrears_months,'Loan Tape (S&amp;P)'!AN7166,
    IF(arrears_months=0,1.00,
    IF(arrears_months=1,3.00,
    IF(arrears_months=2,5.00,
    IF(arrears_months=3,8.00,
    IF(arrears_months=4,10.00,
    IF(arrears_months=5,12.00,15.00)))))))</f>
        <v/>
      </c>
      <c r="M7166">
        <f>LET(
    seasoning_years,DATEDIF('Loan Tape (S&amp;P)'!K7166,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66">
        <f>IF(AND('Loan Tape (S&amp;P)'!U7166="Yes",
        'Loan Tape (S&amp;P)'!T7166&lt;&gt;"Yes",
        DATEDIF('Loan Tape (S&amp;P)'!K7166, TODAY(), "M")&lt;18),
    1.10,
    1.00)</f>
        <v/>
      </c>
      <c r="O7166">
        <f>IF('Loan Tape (S&amp;P)'!T7166="Yes",
    1.35,
    1.00)</f>
        <v/>
      </c>
      <c r="P7166">
        <f>IF('Loan Tape (S&amp;P)'!S7166="Yes",
    1.15,
    1.00)</f>
        <v/>
      </c>
      <c r="Q7166">
        <f>IF('Loan Tape (S&amp;P)'!V7166="Yes",
    1.20,
    1.00)</f>
        <v/>
      </c>
      <c r="T7166">
        <f>LET(
    payment_method,'Loan Tape (S&amp;P)'!P7166,
    occupancy,'Loan Tape (S&amp;P)'!N7166,
    maturity_date,'Loan Tape (S&amp;P)'!L7166,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67">
      <c r="J7167">
        <f>LET(
    lien,'Loan Tape (S&amp;P)'!Q7167,
    IF(lien="First",1.00,
        IF(lien="Second",1.50,
            1.70)))</f>
        <v/>
      </c>
      <c r="K7167">
        <f>LET(
    purpose,'Loan Tape (S&amp;P)'!R7167,
    IF(purpose="Purchase",1.00,
        IF(purpose="Remortgage",1.00,
            1.20)))</f>
        <v/>
      </c>
      <c r="L7167">
        <f>LET(
    arrears_months,'Loan Tape (S&amp;P)'!AN7167,
    IF(arrears_months=0,1.00,
    IF(arrears_months=1,3.00,
    IF(arrears_months=2,5.00,
    IF(arrears_months=3,8.00,
    IF(arrears_months=4,10.00,
    IF(arrears_months=5,12.00,15.00)))))))</f>
        <v/>
      </c>
      <c r="M7167">
        <f>LET(
    seasoning_years,DATEDIF('Loan Tape (S&amp;P)'!K7167,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67">
        <f>IF(AND('Loan Tape (S&amp;P)'!U7167="Yes",
        'Loan Tape (S&amp;P)'!T7167&lt;&gt;"Yes",
        DATEDIF('Loan Tape (S&amp;P)'!K7167, TODAY(), "M")&lt;18),
    1.10,
    1.00)</f>
        <v/>
      </c>
      <c r="O7167">
        <f>IF('Loan Tape (S&amp;P)'!T7167="Yes",
    1.35,
    1.00)</f>
        <v/>
      </c>
      <c r="P7167">
        <f>IF('Loan Tape (S&amp;P)'!S7167="Yes",
    1.15,
    1.00)</f>
        <v/>
      </c>
      <c r="Q7167">
        <f>IF('Loan Tape (S&amp;P)'!V7167="Yes",
    1.20,
    1.00)</f>
        <v/>
      </c>
      <c r="T7167">
        <f>LET(
    payment_method,'Loan Tape (S&amp;P)'!P7167,
    occupancy,'Loan Tape (S&amp;P)'!N7167,
    maturity_date,'Loan Tape (S&amp;P)'!L7167,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68">
      <c r="J7168">
        <f>LET(
    lien,'Loan Tape (S&amp;P)'!Q7168,
    IF(lien="First",1.00,
        IF(lien="Second",1.50,
            1.70)))</f>
        <v/>
      </c>
      <c r="K7168">
        <f>LET(
    purpose,'Loan Tape (S&amp;P)'!R7168,
    IF(purpose="Purchase",1.00,
        IF(purpose="Remortgage",1.00,
            1.20)))</f>
        <v/>
      </c>
      <c r="L7168">
        <f>LET(
    arrears_months,'Loan Tape (S&amp;P)'!AN7168,
    IF(arrears_months=0,1.00,
    IF(arrears_months=1,3.00,
    IF(arrears_months=2,5.00,
    IF(arrears_months=3,8.00,
    IF(arrears_months=4,10.00,
    IF(arrears_months=5,12.00,15.00)))))))</f>
        <v/>
      </c>
      <c r="M7168">
        <f>LET(
    seasoning_years,DATEDIF('Loan Tape (S&amp;P)'!K7168,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68">
        <f>IF(AND('Loan Tape (S&amp;P)'!U7168="Yes",
        'Loan Tape (S&amp;P)'!T7168&lt;&gt;"Yes",
        DATEDIF('Loan Tape (S&amp;P)'!K7168, TODAY(), "M")&lt;18),
    1.10,
    1.00)</f>
        <v/>
      </c>
      <c r="O7168">
        <f>IF('Loan Tape (S&amp;P)'!T7168="Yes",
    1.35,
    1.00)</f>
        <v/>
      </c>
      <c r="P7168">
        <f>IF('Loan Tape (S&amp;P)'!S7168="Yes",
    1.15,
    1.00)</f>
        <v/>
      </c>
      <c r="Q7168">
        <f>IF('Loan Tape (S&amp;P)'!V7168="Yes",
    1.20,
    1.00)</f>
        <v/>
      </c>
      <c r="T7168">
        <f>LET(
    payment_method,'Loan Tape (S&amp;P)'!P7168,
    occupancy,'Loan Tape (S&amp;P)'!N7168,
    maturity_date,'Loan Tape (S&amp;P)'!L7168,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69">
      <c r="J7169">
        <f>LET(
    lien,'Loan Tape (S&amp;P)'!Q7169,
    IF(lien="First",1.00,
        IF(lien="Second",1.50,
            1.70)))</f>
        <v/>
      </c>
      <c r="K7169">
        <f>LET(
    purpose,'Loan Tape (S&amp;P)'!R7169,
    IF(purpose="Purchase",1.00,
        IF(purpose="Remortgage",1.00,
            1.20)))</f>
        <v/>
      </c>
      <c r="L7169">
        <f>LET(
    arrears_months,'Loan Tape (S&amp;P)'!AN7169,
    IF(arrears_months=0,1.00,
    IF(arrears_months=1,3.00,
    IF(arrears_months=2,5.00,
    IF(arrears_months=3,8.00,
    IF(arrears_months=4,10.00,
    IF(arrears_months=5,12.00,15.00)))))))</f>
        <v/>
      </c>
      <c r="M7169">
        <f>LET(
    seasoning_years,DATEDIF('Loan Tape (S&amp;P)'!K7169,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69">
        <f>IF(AND('Loan Tape (S&amp;P)'!U7169="Yes",
        'Loan Tape (S&amp;P)'!T7169&lt;&gt;"Yes",
        DATEDIF('Loan Tape (S&amp;P)'!K7169, TODAY(), "M")&lt;18),
    1.10,
    1.00)</f>
        <v/>
      </c>
      <c r="O7169">
        <f>IF('Loan Tape (S&amp;P)'!T7169="Yes",
    1.35,
    1.00)</f>
        <v/>
      </c>
      <c r="P7169">
        <f>IF('Loan Tape (S&amp;P)'!S7169="Yes",
    1.15,
    1.00)</f>
        <v/>
      </c>
      <c r="Q7169">
        <f>IF('Loan Tape (S&amp;P)'!V7169="Yes",
    1.20,
    1.00)</f>
        <v/>
      </c>
      <c r="T7169">
        <f>LET(
    payment_method,'Loan Tape (S&amp;P)'!P7169,
    occupancy,'Loan Tape (S&amp;P)'!N7169,
    maturity_date,'Loan Tape (S&amp;P)'!L7169,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70">
      <c r="J7170">
        <f>LET(
    lien,'Loan Tape (S&amp;P)'!Q7170,
    IF(lien="First",1.00,
        IF(lien="Second",1.50,
            1.70)))</f>
        <v/>
      </c>
      <c r="K7170">
        <f>LET(
    purpose,'Loan Tape (S&amp;P)'!R7170,
    IF(purpose="Purchase",1.00,
        IF(purpose="Remortgage",1.00,
            1.20)))</f>
        <v/>
      </c>
      <c r="L7170">
        <f>LET(
    arrears_months,'Loan Tape (S&amp;P)'!AN7170,
    IF(arrears_months=0,1.00,
    IF(arrears_months=1,3.00,
    IF(arrears_months=2,5.00,
    IF(arrears_months=3,8.00,
    IF(arrears_months=4,10.00,
    IF(arrears_months=5,12.00,15.00)))))))</f>
        <v/>
      </c>
      <c r="M7170">
        <f>LET(
    seasoning_years,DATEDIF('Loan Tape (S&amp;P)'!K7170,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70">
        <f>IF(AND('Loan Tape (S&amp;P)'!U7170="Yes",
        'Loan Tape (S&amp;P)'!T7170&lt;&gt;"Yes",
        DATEDIF('Loan Tape (S&amp;P)'!K7170, TODAY(), "M")&lt;18),
    1.10,
    1.00)</f>
        <v/>
      </c>
      <c r="O7170">
        <f>IF('Loan Tape (S&amp;P)'!T7170="Yes",
    1.35,
    1.00)</f>
        <v/>
      </c>
      <c r="P7170">
        <f>IF('Loan Tape (S&amp;P)'!S7170="Yes",
    1.15,
    1.00)</f>
        <v/>
      </c>
      <c r="Q7170">
        <f>IF('Loan Tape (S&amp;P)'!V7170="Yes",
    1.20,
    1.00)</f>
        <v/>
      </c>
      <c r="T7170">
        <f>LET(
    payment_method,'Loan Tape (S&amp;P)'!P7170,
    occupancy,'Loan Tape (S&amp;P)'!N7170,
    maturity_date,'Loan Tape (S&amp;P)'!L7170,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71">
      <c r="J7171">
        <f>LET(
    lien,'Loan Tape (S&amp;P)'!Q7171,
    IF(lien="First",1.00,
        IF(lien="Second",1.50,
            1.70)))</f>
        <v/>
      </c>
      <c r="K7171">
        <f>LET(
    purpose,'Loan Tape (S&amp;P)'!R7171,
    IF(purpose="Purchase",1.00,
        IF(purpose="Remortgage",1.00,
            1.20)))</f>
        <v/>
      </c>
      <c r="L7171">
        <f>LET(
    arrears_months,'Loan Tape (S&amp;P)'!AN7171,
    IF(arrears_months=0,1.00,
    IF(arrears_months=1,3.00,
    IF(arrears_months=2,5.00,
    IF(arrears_months=3,8.00,
    IF(arrears_months=4,10.00,
    IF(arrears_months=5,12.00,15.00)))))))</f>
        <v/>
      </c>
      <c r="M7171">
        <f>LET(
    seasoning_years,DATEDIF('Loan Tape (S&amp;P)'!K7171,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71">
        <f>IF(AND('Loan Tape (S&amp;P)'!U7171="Yes",
        'Loan Tape (S&amp;P)'!T7171&lt;&gt;"Yes",
        DATEDIF('Loan Tape (S&amp;P)'!K7171, TODAY(), "M")&lt;18),
    1.10,
    1.00)</f>
        <v/>
      </c>
      <c r="O7171">
        <f>IF('Loan Tape (S&amp;P)'!T7171="Yes",
    1.35,
    1.00)</f>
        <v/>
      </c>
      <c r="P7171">
        <f>IF('Loan Tape (S&amp;P)'!S7171="Yes",
    1.15,
    1.00)</f>
        <v/>
      </c>
      <c r="Q7171">
        <f>IF('Loan Tape (S&amp;P)'!V7171="Yes",
    1.20,
    1.00)</f>
        <v/>
      </c>
      <c r="T7171">
        <f>LET(
    payment_method,'Loan Tape (S&amp;P)'!P7171,
    occupancy,'Loan Tape (S&amp;P)'!N7171,
    maturity_date,'Loan Tape (S&amp;P)'!L7171,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72">
      <c r="J7172">
        <f>LET(
    lien,'Loan Tape (S&amp;P)'!Q7172,
    IF(lien="First",1.00,
        IF(lien="Second",1.50,
            1.70)))</f>
        <v/>
      </c>
      <c r="K7172">
        <f>LET(
    purpose,'Loan Tape (S&amp;P)'!R7172,
    IF(purpose="Purchase",1.00,
        IF(purpose="Remortgage",1.00,
            1.20)))</f>
        <v/>
      </c>
      <c r="L7172">
        <f>LET(
    arrears_months,'Loan Tape (S&amp;P)'!AN7172,
    IF(arrears_months=0,1.00,
    IF(arrears_months=1,3.00,
    IF(arrears_months=2,5.00,
    IF(arrears_months=3,8.00,
    IF(arrears_months=4,10.00,
    IF(arrears_months=5,12.00,15.00)))))))</f>
        <v/>
      </c>
      <c r="M7172">
        <f>LET(
    seasoning_years,DATEDIF('Loan Tape (S&amp;P)'!K7172,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72">
        <f>IF(AND('Loan Tape (S&amp;P)'!U7172="Yes",
        'Loan Tape (S&amp;P)'!T7172&lt;&gt;"Yes",
        DATEDIF('Loan Tape (S&amp;P)'!K7172, TODAY(), "M")&lt;18),
    1.10,
    1.00)</f>
        <v/>
      </c>
      <c r="O7172">
        <f>IF('Loan Tape (S&amp;P)'!T7172="Yes",
    1.35,
    1.00)</f>
        <v/>
      </c>
      <c r="P7172">
        <f>IF('Loan Tape (S&amp;P)'!S7172="Yes",
    1.15,
    1.00)</f>
        <v/>
      </c>
      <c r="Q7172">
        <f>IF('Loan Tape (S&amp;P)'!V7172="Yes",
    1.20,
    1.00)</f>
        <v/>
      </c>
      <c r="T7172">
        <f>LET(
    payment_method,'Loan Tape (S&amp;P)'!P7172,
    occupancy,'Loan Tape (S&amp;P)'!N7172,
    maturity_date,'Loan Tape (S&amp;P)'!L7172,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73">
      <c r="J7173">
        <f>LET(
    lien,'Loan Tape (S&amp;P)'!Q7173,
    IF(lien="First",1.00,
        IF(lien="Second",1.50,
            1.70)))</f>
        <v/>
      </c>
      <c r="K7173">
        <f>LET(
    purpose,'Loan Tape (S&amp;P)'!R7173,
    IF(purpose="Purchase",1.00,
        IF(purpose="Remortgage",1.00,
            1.20)))</f>
        <v/>
      </c>
      <c r="L7173">
        <f>LET(
    arrears_months,'Loan Tape (S&amp;P)'!AN7173,
    IF(arrears_months=0,1.00,
    IF(arrears_months=1,3.00,
    IF(arrears_months=2,5.00,
    IF(arrears_months=3,8.00,
    IF(arrears_months=4,10.00,
    IF(arrears_months=5,12.00,15.00)))))))</f>
        <v/>
      </c>
      <c r="M7173">
        <f>LET(
    seasoning_years,DATEDIF('Loan Tape (S&amp;P)'!K7173,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73">
        <f>IF(AND('Loan Tape (S&amp;P)'!U7173="Yes",
        'Loan Tape (S&amp;P)'!T7173&lt;&gt;"Yes",
        DATEDIF('Loan Tape (S&amp;P)'!K7173, TODAY(), "M")&lt;18),
    1.10,
    1.00)</f>
        <v/>
      </c>
      <c r="O7173">
        <f>IF('Loan Tape (S&amp;P)'!T7173="Yes",
    1.35,
    1.00)</f>
        <v/>
      </c>
      <c r="P7173">
        <f>IF('Loan Tape (S&amp;P)'!S7173="Yes",
    1.15,
    1.00)</f>
        <v/>
      </c>
      <c r="Q7173">
        <f>IF('Loan Tape (S&amp;P)'!V7173="Yes",
    1.20,
    1.00)</f>
        <v/>
      </c>
      <c r="T7173">
        <f>LET(
    payment_method,'Loan Tape (S&amp;P)'!P7173,
    occupancy,'Loan Tape (S&amp;P)'!N7173,
    maturity_date,'Loan Tape (S&amp;P)'!L7173,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74">
      <c r="J7174">
        <f>LET(
    lien,'Loan Tape (S&amp;P)'!Q7174,
    IF(lien="First",1.00,
        IF(lien="Second",1.50,
            1.70)))</f>
        <v/>
      </c>
      <c r="K7174">
        <f>LET(
    purpose,'Loan Tape (S&amp;P)'!R7174,
    IF(purpose="Purchase",1.00,
        IF(purpose="Remortgage",1.00,
            1.20)))</f>
        <v/>
      </c>
      <c r="L7174">
        <f>LET(
    arrears_months,'Loan Tape (S&amp;P)'!AN7174,
    IF(arrears_months=0,1.00,
    IF(arrears_months=1,3.00,
    IF(arrears_months=2,5.00,
    IF(arrears_months=3,8.00,
    IF(arrears_months=4,10.00,
    IF(arrears_months=5,12.00,15.00)))))))</f>
        <v/>
      </c>
      <c r="M7174">
        <f>LET(
    seasoning_years,DATEDIF('Loan Tape (S&amp;P)'!K7174,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74">
        <f>IF(AND('Loan Tape (S&amp;P)'!U7174="Yes",
        'Loan Tape (S&amp;P)'!T7174&lt;&gt;"Yes",
        DATEDIF('Loan Tape (S&amp;P)'!K7174, TODAY(), "M")&lt;18),
    1.10,
    1.00)</f>
        <v/>
      </c>
      <c r="O7174">
        <f>IF('Loan Tape (S&amp;P)'!T7174="Yes",
    1.35,
    1.00)</f>
        <v/>
      </c>
      <c r="P7174">
        <f>IF('Loan Tape (S&amp;P)'!S7174="Yes",
    1.15,
    1.00)</f>
        <v/>
      </c>
      <c r="Q7174">
        <f>IF('Loan Tape (S&amp;P)'!V7174="Yes",
    1.20,
    1.00)</f>
        <v/>
      </c>
      <c r="T7174">
        <f>LET(
    payment_method,'Loan Tape (S&amp;P)'!P7174,
    occupancy,'Loan Tape (S&amp;P)'!N7174,
    maturity_date,'Loan Tape (S&amp;P)'!L7174,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75">
      <c r="J7175">
        <f>LET(
    lien,'Loan Tape (S&amp;P)'!Q7175,
    IF(lien="First",1.00,
        IF(lien="Second",1.50,
            1.70)))</f>
        <v/>
      </c>
      <c r="K7175">
        <f>LET(
    purpose,'Loan Tape (S&amp;P)'!R7175,
    IF(purpose="Purchase",1.00,
        IF(purpose="Remortgage",1.00,
            1.20)))</f>
        <v/>
      </c>
      <c r="L7175">
        <f>LET(
    arrears_months,'Loan Tape (S&amp;P)'!AN7175,
    IF(arrears_months=0,1.00,
    IF(arrears_months=1,3.00,
    IF(arrears_months=2,5.00,
    IF(arrears_months=3,8.00,
    IF(arrears_months=4,10.00,
    IF(arrears_months=5,12.00,15.00)))))))</f>
        <v/>
      </c>
      <c r="M7175">
        <f>LET(
    seasoning_years,DATEDIF('Loan Tape (S&amp;P)'!K7175,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75">
        <f>IF(AND('Loan Tape (S&amp;P)'!U7175="Yes",
        'Loan Tape (S&amp;P)'!T7175&lt;&gt;"Yes",
        DATEDIF('Loan Tape (S&amp;P)'!K7175, TODAY(), "M")&lt;18),
    1.10,
    1.00)</f>
        <v/>
      </c>
      <c r="O7175">
        <f>IF('Loan Tape (S&amp;P)'!T7175="Yes",
    1.35,
    1.00)</f>
        <v/>
      </c>
      <c r="P7175">
        <f>IF('Loan Tape (S&amp;P)'!S7175="Yes",
    1.15,
    1.00)</f>
        <v/>
      </c>
      <c r="Q7175">
        <f>IF('Loan Tape (S&amp;P)'!V7175="Yes",
    1.20,
    1.00)</f>
        <v/>
      </c>
      <c r="T7175">
        <f>LET(
    payment_method,'Loan Tape (S&amp;P)'!P7175,
    occupancy,'Loan Tape (S&amp;P)'!N7175,
    maturity_date,'Loan Tape (S&amp;P)'!L7175,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76">
      <c r="J7176">
        <f>LET(
    lien,'Loan Tape (S&amp;P)'!Q7176,
    IF(lien="First",1.00,
        IF(lien="Second",1.50,
            1.70)))</f>
        <v/>
      </c>
      <c r="K7176">
        <f>LET(
    purpose,'Loan Tape (S&amp;P)'!R7176,
    IF(purpose="Purchase",1.00,
        IF(purpose="Remortgage",1.00,
            1.20)))</f>
        <v/>
      </c>
      <c r="L7176">
        <f>LET(
    arrears_months,'Loan Tape (S&amp;P)'!AN7176,
    IF(arrears_months=0,1.00,
    IF(arrears_months=1,3.00,
    IF(arrears_months=2,5.00,
    IF(arrears_months=3,8.00,
    IF(arrears_months=4,10.00,
    IF(arrears_months=5,12.00,15.00)))))))</f>
        <v/>
      </c>
      <c r="M7176">
        <f>LET(
    seasoning_years,DATEDIF('Loan Tape (S&amp;P)'!K7176,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76">
        <f>IF(AND('Loan Tape (S&amp;P)'!U7176="Yes",
        'Loan Tape (S&amp;P)'!T7176&lt;&gt;"Yes",
        DATEDIF('Loan Tape (S&amp;P)'!K7176, TODAY(), "M")&lt;18),
    1.10,
    1.00)</f>
        <v/>
      </c>
      <c r="O7176">
        <f>IF('Loan Tape (S&amp;P)'!T7176="Yes",
    1.35,
    1.00)</f>
        <v/>
      </c>
      <c r="P7176">
        <f>IF('Loan Tape (S&amp;P)'!S7176="Yes",
    1.15,
    1.00)</f>
        <v/>
      </c>
      <c r="Q7176">
        <f>IF('Loan Tape (S&amp;P)'!V7176="Yes",
    1.20,
    1.00)</f>
        <v/>
      </c>
      <c r="T7176">
        <f>LET(
    payment_method,'Loan Tape (S&amp;P)'!P7176,
    occupancy,'Loan Tape (S&amp;P)'!N7176,
    maturity_date,'Loan Tape (S&amp;P)'!L7176,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77">
      <c r="J7177">
        <f>LET(
    lien,'Loan Tape (S&amp;P)'!Q7177,
    IF(lien="First",1.00,
        IF(lien="Second",1.50,
            1.70)))</f>
        <v/>
      </c>
      <c r="K7177">
        <f>LET(
    purpose,'Loan Tape (S&amp;P)'!R7177,
    IF(purpose="Purchase",1.00,
        IF(purpose="Remortgage",1.00,
            1.20)))</f>
        <v/>
      </c>
      <c r="L7177">
        <f>LET(
    arrears_months,'Loan Tape (S&amp;P)'!AN7177,
    IF(arrears_months=0,1.00,
    IF(arrears_months=1,3.00,
    IF(arrears_months=2,5.00,
    IF(arrears_months=3,8.00,
    IF(arrears_months=4,10.00,
    IF(arrears_months=5,12.00,15.00)))))))</f>
        <v/>
      </c>
      <c r="M7177">
        <f>LET(
    seasoning_years,DATEDIF('Loan Tape (S&amp;P)'!K7177,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77">
        <f>IF(AND('Loan Tape (S&amp;P)'!U7177="Yes",
        'Loan Tape (S&amp;P)'!T7177&lt;&gt;"Yes",
        DATEDIF('Loan Tape (S&amp;P)'!K7177, TODAY(), "M")&lt;18),
    1.10,
    1.00)</f>
        <v/>
      </c>
      <c r="O7177">
        <f>IF('Loan Tape (S&amp;P)'!T7177="Yes",
    1.35,
    1.00)</f>
        <v/>
      </c>
      <c r="P7177">
        <f>IF('Loan Tape (S&amp;P)'!S7177="Yes",
    1.15,
    1.00)</f>
        <v/>
      </c>
      <c r="Q7177">
        <f>IF('Loan Tape (S&amp;P)'!V7177="Yes",
    1.20,
    1.00)</f>
        <v/>
      </c>
      <c r="T7177">
        <f>LET(
    payment_method,'Loan Tape (S&amp;P)'!P7177,
    occupancy,'Loan Tape (S&amp;P)'!N7177,
    maturity_date,'Loan Tape (S&amp;P)'!L7177,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78">
      <c r="J7178">
        <f>LET(
    lien,'Loan Tape (S&amp;P)'!Q7178,
    IF(lien="First",1.00,
        IF(lien="Second",1.50,
            1.70)))</f>
        <v/>
      </c>
      <c r="K7178">
        <f>LET(
    purpose,'Loan Tape (S&amp;P)'!R7178,
    IF(purpose="Purchase",1.00,
        IF(purpose="Remortgage",1.00,
            1.20)))</f>
        <v/>
      </c>
      <c r="L7178">
        <f>LET(
    arrears_months,'Loan Tape (S&amp;P)'!AN7178,
    IF(arrears_months=0,1.00,
    IF(arrears_months=1,3.00,
    IF(arrears_months=2,5.00,
    IF(arrears_months=3,8.00,
    IF(arrears_months=4,10.00,
    IF(arrears_months=5,12.00,15.00)))))))</f>
        <v/>
      </c>
      <c r="M7178">
        <f>LET(
    seasoning_years,DATEDIF('Loan Tape (S&amp;P)'!K7178,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78">
        <f>IF(AND('Loan Tape (S&amp;P)'!U7178="Yes",
        'Loan Tape (S&amp;P)'!T7178&lt;&gt;"Yes",
        DATEDIF('Loan Tape (S&amp;P)'!K7178, TODAY(), "M")&lt;18),
    1.10,
    1.00)</f>
        <v/>
      </c>
      <c r="O7178">
        <f>IF('Loan Tape (S&amp;P)'!T7178="Yes",
    1.35,
    1.00)</f>
        <v/>
      </c>
      <c r="P7178">
        <f>IF('Loan Tape (S&amp;P)'!S7178="Yes",
    1.15,
    1.00)</f>
        <v/>
      </c>
      <c r="Q7178">
        <f>IF('Loan Tape (S&amp;P)'!V7178="Yes",
    1.20,
    1.00)</f>
        <v/>
      </c>
      <c r="T7178">
        <f>LET(
    payment_method,'Loan Tape (S&amp;P)'!P7178,
    occupancy,'Loan Tape (S&amp;P)'!N7178,
    maturity_date,'Loan Tape (S&amp;P)'!L7178,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79">
      <c r="J7179">
        <f>LET(
    lien,'Loan Tape (S&amp;P)'!Q7179,
    IF(lien="First",1.00,
        IF(lien="Second",1.50,
            1.70)))</f>
        <v/>
      </c>
      <c r="K7179">
        <f>LET(
    purpose,'Loan Tape (S&amp;P)'!R7179,
    IF(purpose="Purchase",1.00,
        IF(purpose="Remortgage",1.00,
            1.20)))</f>
        <v/>
      </c>
      <c r="L7179">
        <f>LET(
    arrears_months,'Loan Tape (S&amp;P)'!AN7179,
    IF(arrears_months=0,1.00,
    IF(arrears_months=1,3.00,
    IF(arrears_months=2,5.00,
    IF(arrears_months=3,8.00,
    IF(arrears_months=4,10.00,
    IF(arrears_months=5,12.00,15.00)))))))</f>
        <v/>
      </c>
      <c r="M7179">
        <f>LET(
    seasoning_years,DATEDIF('Loan Tape (S&amp;P)'!K7179,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79">
        <f>IF(AND('Loan Tape (S&amp;P)'!U7179="Yes",
        'Loan Tape (S&amp;P)'!T7179&lt;&gt;"Yes",
        DATEDIF('Loan Tape (S&amp;P)'!K7179, TODAY(), "M")&lt;18),
    1.10,
    1.00)</f>
        <v/>
      </c>
      <c r="O7179">
        <f>IF('Loan Tape (S&amp;P)'!T7179="Yes",
    1.35,
    1.00)</f>
        <v/>
      </c>
      <c r="P7179">
        <f>IF('Loan Tape (S&amp;P)'!S7179="Yes",
    1.15,
    1.00)</f>
        <v/>
      </c>
      <c r="Q7179">
        <f>IF('Loan Tape (S&amp;P)'!V7179="Yes",
    1.20,
    1.00)</f>
        <v/>
      </c>
      <c r="T7179">
        <f>LET(
    payment_method,'Loan Tape (S&amp;P)'!P7179,
    occupancy,'Loan Tape (S&amp;P)'!N7179,
    maturity_date,'Loan Tape (S&amp;P)'!L7179,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80">
      <c r="J7180">
        <f>LET(
    lien,'Loan Tape (S&amp;P)'!Q7180,
    IF(lien="First",1.00,
        IF(lien="Second",1.50,
            1.70)))</f>
        <v/>
      </c>
      <c r="K7180">
        <f>LET(
    purpose,'Loan Tape (S&amp;P)'!R7180,
    IF(purpose="Purchase",1.00,
        IF(purpose="Remortgage",1.00,
            1.20)))</f>
        <v/>
      </c>
      <c r="L7180">
        <f>LET(
    arrears_months,'Loan Tape (S&amp;P)'!AN7180,
    IF(arrears_months=0,1.00,
    IF(arrears_months=1,3.00,
    IF(arrears_months=2,5.00,
    IF(arrears_months=3,8.00,
    IF(arrears_months=4,10.00,
    IF(arrears_months=5,12.00,15.00)))))))</f>
        <v/>
      </c>
      <c r="M7180">
        <f>LET(
    seasoning_years,DATEDIF('Loan Tape (S&amp;P)'!K7180,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80">
        <f>IF(AND('Loan Tape (S&amp;P)'!U7180="Yes",
        'Loan Tape (S&amp;P)'!T7180&lt;&gt;"Yes",
        DATEDIF('Loan Tape (S&amp;P)'!K7180, TODAY(), "M")&lt;18),
    1.10,
    1.00)</f>
        <v/>
      </c>
      <c r="O7180">
        <f>IF('Loan Tape (S&amp;P)'!T7180="Yes",
    1.35,
    1.00)</f>
        <v/>
      </c>
      <c r="P7180">
        <f>IF('Loan Tape (S&amp;P)'!S7180="Yes",
    1.15,
    1.00)</f>
        <v/>
      </c>
      <c r="Q7180">
        <f>IF('Loan Tape (S&amp;P)'!V7180="Yes",
    1.20,
    1.00)</f>
        <v/>
      </c>
      <c r="T7180">
        <f>LET(
    payment_method,'Loan Tape (S&amp;P)'!P7180,
    occupancy,'Loan Tape (S&amp;P)'!N7180,
    maturity_date,'Loan Tape (S&amp;P)'!L7180,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81">
      <c r="J7181">
        <f>LET(
    lien,'Loan Tape (S&amp;P)'!Q7181,
    IF(lien="First",1.00,
        IF(lien="Second",1.50,
            1.70)))</f>
        <v/>
      </c>
      <c r="K7181">
        <f>LET(
    purpose,'Loan Tape (S&amp;P)'!R7181,
    IF(purpose="Purchase",1.00,
        IF(purpose="Remortgage",1.00,
            1.20)))</f>
        <v/>
      </c>
      <c r="L7181">
        <f>LET(
    arrears_months,'Loan Tape (S&amp;P)'!AN7181,
    IF(arrears_months=0,1.00,
    IF(arrears_months=1,3.00,
    IF(arrears_months=2,5.00,
    IF(arrears_months=3,8.00,
    IF(arrears_months=4,10.00,
    IF(arrears_months=5,12.00,15.00)))))))</f>
        <v/>
      </c>
      <c r="M7181">
        <f>LET(
    seasoning_years,DATEDIF('Loan Tape (S&amp;P)'!K7181,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81">
        <f>IF(AND('Loan Tape (S&amp;P)'!U7181="Yes",
        'Loan Tape (S&amp;P)'!T7181&lt;&gt;"Yes",
        DATEDIF('Loan Tape (S&amp;P)'!K7181, TODAY(), "M")&lt;18),
    1.10,
    1.00)</f>
        <v/>
      </c>
      <c r="O7181">
        <f>IF('Loan Tape (S&amp;P)'!T7181="Yes",
    1.35,
    1.00)</f>
        <v/>
      </c>
      <c r="P7181">
        <f>IF('Loan Tape (S&amp;P)'!S7181="Yes",
    1.15,
    1.00)</f>
        <v/>
      </c>
      <c r="Q7181">
        <f>IF('Loan Tape (S&amp;P)'!V7181="Yes",
    1.20,
    1.00)</f>
        <v/>
      </c>
      <c r="T7181">
        <f>LET(
    payment_method,'Loan Tape (S&amp;P)'!P7181,
    occupancy,'Loan Tape (S&amp;P)'!N7181,
    maturity_date,'Loan Tape (S&amp;P)'!L7181,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82">
      <c r="J7182">
        <f>LET(
    lien,'Loan Tape (S&amp;P)'!Q7182,
    IF(lien="First",1.00,
        IF(lien="Second",1.50,
            1.70)))</f>
        <v/>
      </c>
      <c r="K7182">
        <f>LET(
    purpose,'Loan Tape (S&amp;P)'!R7182,
    IF(purpose="Purchase",1.00,
        IF(purpose="Remortgage",1.00,
            1.20)))</f>
        <v/>
      </c>
      <c r="L7182">
        <f>LET(
    arrears_months,'Loan Tape (S&amp;P)'!AN7182,
    IF(arrears_months=0,1.00,
    IF(arrears_months=1,3.00,
    IF(arrears_months=2,5.00,
    IF(arrears_months=3,8.00,
    IF(arrears_months=4,10.00,
    IF(arrears_months=5,12.00,15.00)))))))</f>
        <v/>
      </c>
      <c r="M7182">
        <f>LET(
    seasoning_years,DATEDIF('Loan Tape (S&amp;P)'!K7182,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82">
        <f>IF(AND('Loan Tape (S&amp;P)'!U7182="Yes",
        'Loan Tape (S&amp;P)'!T7182&lt;&gt;"Yes",
        DATEDIF('Loan Tape (S&amp;P)'!K7182, TODAY(), "M")&lt;18),
    1.10,
    1.00)</f>
        <v/>
      </c>
      <c r="O7182">
        <f>IF('Loan Tape (S&amp;P)'!T7182="Yes",
    1.35,
    1.00)</f>
        <v/>
      </c>
      <c r="P7182">
        <f>IF('Loan Tape (S&amp;P)'!S7182="Yes",
    1.15,
    1.00)</f>
        <v/>
      </c>
      <c r="Q7182">
        <f>IF('Loan Tape (S&amp;P)'!V7182="Yes",
    1.20,
    1.00)</f>
        <v/>
      </c>
      <c r="T7182">
        <f>LET(
    payment_method,'Loan Tape (S&amp;P)'!P7182,
    occupancy,'Loan Tape (S&amp;P)'!N7182,
    maturity_date,'Loan Tape (S&amp;P)'!L7182,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83">
      <c r="J7183">
        <f>LET(
    lien,'Loan Tape (S&amp;P)'!Q7183,
    IF(lien="First",1.00,
        IF(lien="Second",1.50,
            1.70)))</f>
        <v/>
      </c>
      <c r="K7183">
        <f>LET(
    purpose,'Loan Tape (S&amp;P)'!R7183,
    IF(purpose="Purchase",1.00,
        IF(purpose="Remortgage",1.00,
            1.20)))</f>
        <v/>
      </c>
      <c r="L7183">
        <f>LET(
    arrears_months,'Loan Tape (S&amp;P)'!AN7183,
    IF(arrears_months=0,1.00,
    IF(arrears_months=1,3.00,
    IF(arrears_months=2,5.00,
    IF(arrears_months=3,8.00,
    IF(arrears_months=4,10.00,
    IF(arrears_months=5,12.00,15.00)))))))</f>
        <v/>
      </c>
      <c r="M7183">
        <f>LET(
    seasoning_years,DATEDIF('Loan Tape (S&amp;P)'!K7183,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83">
        <f>IF(AND('Loan Tape (S&amp;P)'!U7183="Yes",
        'Loan Tape (S&amp;P)'!T7183&lt;&gt;"Yes",
        DATEDIF('Loan Tape (S&amp;P)'!K7183, TODAY(), "M")&lt;18),
    1.10,
    1.00)</f>
        <v/>
      </c>
      <c r="O7183">
        <f>IF('Loan Tape (S&amp;P)'!T7183="Yes",
    1.35,
    1.00)</f>
        <v/>
      </c>
      <c r="P7183">
        <f>IF('Loan Tape (S&amp;P)'!S7183="Yes",
    1.15,
    1.00)</f>
        <v/>
      </c>
      <c r="Q7183">
        <f>IF('Loan Tape (S&amp;P)'!V7183="Yes",
    1.20,
    1.00)</f>
        <v/>
      </c>
      <c r="T7183">
        <f>LET(
    payment_method,'Loan Tape (S&amp;P)'!P7183,
    occupancy,'Loan Tape (S&amp;P)'!N7183,
    maturity_date,'Loan Tape (S&amp;P)'!L7183,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84">
      <c r="J7184">
        <f>LET(
    lien,'Loan Tape (S&amp;P)'!Q7184,
    IF(lien="First",1.00,
        IF(lien="Second",1.50,
            1.70)))</f>
        <v/>
      </c>
      <c r="K7184">
        <f>LET(
    purpose,'Loan Tape (S&amp;P)'!R7184,
    IF(purpose="Purchase",1.00,
        IF(purpose="Remortgage",1.00,
            1.20)))</f>
        <v/>
      </c>
      <c r="L7184">
        <f>LET(
    arrears_months,'Loan Tape (S&amp;P)'!AN7184,
    IF(arrears_months=0,1.00,
    IF(arrears_months=1,3.00,
    IF(arrears_months=2,5.00,
    IF(arrears_months=3,8.00,
    IF(arrears_months=4,10.00,
    IF(arrears_months=5,12.00,15.00)))))))</f>
        <v/>
      </c>
      <c r="M7184">
        <f>LET(
    seasoning_years,DATEDIF('Loan Tape (S&amp;P)'!K7184,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84">
        <f>IF(AND('Loan Tape (S&amp;P)'!U7184="Yes",
        'Loan Tape (S&amp;P)'!T7184&lt;&gt;"Yes",
        DATEDIF('Loan Tape (S&amp;P)'!K7184, TODAY(), "M")&lt;18),
    1.10,
    1.00)</f>
        <v/>
      </c>
      <c r="O7184">
        <f>IF('Loan Tape (S&amp;P)'!T7184="Yes",
    1.35,
    1.00)</f>
        <v/>
      </c>
      <c r="P7184">
        <f>IF('Loan Tape (S&amp;P)'!S7184="Yes",
    1.15,
    1.00)</f>
        <v/>
      </c>
      <c r="Q7184">
        <f>IF('Loan Tape (S&amp;P)'!V7184="Yes",
    1.20,
    1.00)</f>
        <v/>
      </c>
      <c r="T7184">
        <f>LET(
    payment_method,'Loan Tape (S&amp;P)'!P7184,
    occupancy,'Loan Tape (S&amp;P)'!N7184,
    maturity_date,'Loan Tape (S&amp;P)'!L7184,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85">
      <c r="J7185">
        <f>LET(
    lien,'Loan Tape (S&amp;P)'!Q7185,
    IF(lien="First",1.00,
        IF(lien="Second",1.50,
            1.70)))</f>
        <v/>
      </c>
      <c r="K7185">
        <f>LET(
    purpose,'Loan Tape (S&amp;P)'!R7185,
    IF(purpose="Purchase",1.00,
        IF(purpose="Remortgage",1.00,
            1.20)))</f>
        <v/>
      </c>
      <c r="L7185">
        <f>LET(
    arrears_months,'Loan Tape (S&amp;P)'!AN7185,
    IF(arrears_months=0,1.00,
    IF(arrears_months=1,3.00,
    IF(arrears_months=2,5.00,
    IF(arrears_months=3,8.00,
    IF(arrears_months=4,10.00,
    IF(arrears_months=5,12.00,15.00)))))))</f>
        <v/>
      </c>
      <c r="M7185">
        <f>LET(
    seasoning_years,DATEDIF('Loan Tape (S&amp;P)'!K7185,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85">
        <f>IF(AND('Loan Tape (S&amp;P)'!U7185="Yes",
        'Loan Tape (S&amp;P)'!T7185&lt;&gt;"Yes",
        DATEDIF('Loan Tape (S&amp;P)'!K7185, TODAY(), "M")&lt;18),
    1.10,
    1.00)</f>
        <v/>
      </c>
      <c r="O7185">
        <f>IF('Loan Tape (S&amp;P)'!T7185="Yes",
    1.35,
    1.00)</f>
        <v/>
      </c>
      <c r="P7185">
        <f>IF('Loan Tape (S&amp;P)'!S7185="Yes",
    1.15,
    1.00)</f>
        <v/>
      </c>
      <c r="Q7185">
        <f>IF('Loan Tape (S&amp;P)'!V7185="Yes",
    1.20,
    1.00)</f>
        <v/>
      </c>
      <c r="T7185">
        <f>LET(
    payment_method,'Loan Tape (S&amp;P)'!P7185,
    occupancy,'Loan Tape (S&amp;P)'!N7185,
    maturity_date,'Loan Tape (S&amp;P)'!L7185,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86">
      <c r="J7186">
        <f>LET(
    lien,'Loan Tape (S&amp;P)'!Q7186,
    IF(lien="First",1.00,
        IF(lien="Second",1.50,
            1.70)))</f>
        <v/>
      </c>
      <c r="K7186">
        <f>LET(
    purpose,'Loan Tape (S&amp;P)'!R7186,
    IF(purpose="Purchase",1.00,
        IF(purpose="Remortgage",1.00,
            1.20)))</f>
        <v/>
      </c>
      <c r="L7186">
        <f>LET(
    arrears_months,'Loan Tape (S&amp;P)'!AN7186,
    IF(arrears_months=0,1.00,
    IF(arrears_months=1,3.00,
    IF(arrears_months=2,5.00,
    IF(arrears_months=3,8.00,
    IF(arrears_months=4,10.00,
    IF(arrears_months=5,12.00,15.00)))))))</f>
        <v/>
      </c>
      <c r="M7186">
        <f>LET(
    seasoning_years,DATEDIF('Loan Tape (S&amp;P)'!K7186,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86">
        <f>IF(AND('Loan Tape (S&amp;P)'!U7186="Yes",
        'Loan Tape (S&amp;P)'!T7186&lt;&gt;"Yes",
        DATEDIF('Loan Tape (S&amp;P)'!K7186, TODAY(), "M")&lt;18),
    1.10,
    1.00)</f>
        <v/>
      </c>
      <c r="O7186">
        <f>IF('Loan Tape (S&amp;P)'!T7186="Yes",
    1.35,
    1.00)</f>
        <v/>
      </c>
      <c r="P7186">
        <f>IF('Loan Tape (S&amp;P)'!S7186="Yes",
    1.15,
    1.00)</f>
        <v/>
      </c>
      <c r="Q7186">
        <f>IF('Loan Tape (S&amp;P)'!V7186="Yes",
    1.20,
    1.00)</f>
        <v/>
      </c>
      <c r="T7186">
        <f>LET(
    payment_method,'Loan Tape (S&amp;P)'!P7186,
    occupancy,'Loan Tape (S&amp;P)'!N7186,
    maturity_date,'Loan Tape (S&amp;P)'!L7186,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87">
      <c r="J7187">
        <f>LET(
    lien,'Loan Tape (S&amp;P)'!Q7187,
    IF(lien="First",1.00,
        IF(lien="Second",1.50,
            1.70)))</f>
        <v/>
      </c>
      <c r="K7187">
        <f>LET(
    purpose,'Loan Tape (S&amp;P)'!R7187,
    IF(purpose="Purchase",1.00,
        IF(purpose="Remortgage",1.00,
            1.20)))</f>
        <v/>
      </c>
      <c r="L7187">
        <f>LET(
    arrears_months,'Loan Tape (S&amp;P)'!AN7187,
    IF(arrears_months=0,1.00,
    IF(arrears_months=1,3.00,
    IF(arrears_months=2,5.00,
    IF(arrears_months=3,8.00,
    IF(arrears_months=4,10.00,
    IF(arrears_months=5,12.00,15.00)))))))</f>
        <v/>
      </c>
      <c r="M7187">
        <f>LET(
    seasoning_years,DATEDIF('Loan Tape (S&amp;P)'!K7187,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87">
        <f>IF(AND('Loan Tape (S&amp;P)'!U7187="Yes",
        'Loan Tape (S&amp;P)'!T7187&lt;&gt;"Yes",
        DATEDIF('Loan Tape (S&amp;P)'!K7187, TODAY(), "M")&lt;18),
    1.10,
    1.00)</f>
        <v/>
      </c>
      <c r="O7187">
        <f>IF('Loan Tape (S&amp;P)'!T7187="Yes",
    1.35,
    1.00)</f>
        <v/>
      </c>
      <c r="P7187">
        <f>IF('Loan Tape (S&amp;P)'!S7187="Yes",
    1.15,
    1.00)</f>
        <v/>
      </c>
      <c r="Q7187">
        <f>IF('Loan Tape (S&amp;P)'!V7187="Yes",
    1.20,
    1.00)</f>
        <v/>
      </c>
      <c r="T7187">
        <f>LET(
    payment_method,'Loan Tape (S&amp;P)'!P7187,
    occupancy,'Loan Tape (S&amp;P)'!N7187,
    maturity_date,'Loan Tape (S&amp;P)'!L7187,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88">
      <c r="J7188">
        <f>LET(
    lien,'Loan Tape (S&amp;P)'!Q7188,
    IF(lien="First",1.00,
        IF(lien="Second",1.50,
            1.70)))</f>
        <v/>
      </c>
      <c r="K7188">
        <f>LET(
    purpose,'Loan Tape (S&amp;P)'!R7188,
    IF(purpose="Purchase",1.00,
        IF(purpose="Remortgage",1.00,
            1.20)))</f>
        <v/>
      </c>
      <c r="L7188">
        <f>LET(
    arrears_months,'Loan Tape (S&amp;P)'!AN7188,
    IF(arrears_months=0,1.00,
    IF(arrears_months=1,3.00,
    IF(arrears_months=2,5.00,
    IF(arrears_months=3,8.00,
    IF(arrears_months=4,10.00,
    IF(arrears_months=5,12.00,15.00)))))))</f>
        <v/>
      </c>
      <c r="M7188">
        <f>LET(
    seasoning_years,DATEDIF('Loan Tape (S&amp;P)'!K7188,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88">
        <f>IF(AND('Loan Tape (S&amp;P)'!U7188="Yes",
        'Loan Tape (S&amp;P)'!T7188&lt;&gt;"Yes",
        DATEDIF('Loan Tape (S&amp;P)'!K7188, TODAY(), "M")&lt;18),
    1.10,
    1.00)</f>
        <v/>
      </c>
      <c r="O7188">
        <f>IF('Loan Tape (S&amp;P)'!T7188="Yes",
    1.35,
    1.00)</f>
        <v/>
      </c>
      <c r="P7188">
        <f>IF('Loan Tape (S&amp;P)'!S7188="Yes",
    1.15,
    1.00)</f>
        <v/>
      </c>
      <c r="Q7188">
        <f>IF('Loan Tape (S&amp;P)'!V7188="Yes",
    1.20,
    1.00)</f>
        <v/>
      </c>
      <c r="T7188">
        <f>LET(
    payment_method,'Loan Tape (S&amp;P)'!P7188,
    occupancy,'Loan Tape (S&amp;P)'!N7188,
    maturity_date,'Loan Tape (S&amp;P)'!L7188,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89">
      <c r="J7189">
        <f>LET(
    lien,'Loan Tape (S&amp;P)'!Q7189,
    IF(lien="First",1.00,
        IF(lien="Second",1.50,
            1.70)))</f>
        <v/>
      </c>
      <c r="K7189">
        <f>LET(
    purpose,'Loan Tape (S&amp;P)'!R7189,
    IF(purpose="Purchase",1.00,
        IF(purpose="Remortgage",1.00,
            1.20)))</f>
        <v/>
      </c>
      <c r="L7189">
        <f>LET(
    arrears_months,'Loan Tape (S&amp;P)'!AN7189,
    IF(arrears_months=0,1.00,
    IF(arrears_months=1,3.00,
    IF(arrears_months=2,5.00,
    IF(arrears_months=3,8.00,
    IF(arrears_months=4,10.00,
    IF(arrears_months=5,12.00,15.00)))))))</f>
        <v/>
      </c>
      <c r="M7189">
        <f>LET(
    seasoning_years,DATEDIF('Loan Tape (S&amp;P)'!K7189,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89">
        <f>IF(AND('Loan Tape (S&amp;P)'!U7189="Yes",
        'Loan Tape (S&amp;P)'!T7189&lt;&gt;"Yes",
        DATEDIF('Loan Tape (S&amp;P)'!K7189, TODAY(), "M")&lt;18),
    1.10,
    1.00)</f>
        <v/>
      </c>
      <c r="O7189">
        <f>IF('Loan Tape (S&amp;P)'!T7189="Yes",
    1.35,
    1.00)</f>
        <v/>
      </c>
      <c r="P7189">
        <f>IF('Loan Tape (S&amp;P)'!S7189="Yes",
    1.15,
    1.00)</f>
        <v/>
      </c>
      <c r="Q7189">
        <f>IF('Loan Tape (S&amp;P)'!V7189="Yes",
    1.20,
    1.00)</f>
        <v/>
      </c>
      <c r="T7189">
        <f>LET(
    payment_method,'Loan Tape (S&amp;P)'!P7189,
    occupancy,'Loan Tape (S&amp;P)'!N7189,
    maturity_date,'Loan Tape (S&amp;P)'!L7189,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90">
      <c r="J7190">
        <f>LET(
    lien,'Loan Tape (S&amp;P)'!Q7190,
    IF(lien="First",1.00,
        IF(lien="Second",1.50,
            1.70)))</f>
        <v/>
      </c>
      <c r="K7190">
        <f>LET(
    purpose,'Loan Tape (S&amp;P)'!R7190,
    IF(purpose="Purchase",1.00,
        IF(purpose="Remortgage",1.00,
            1.20)))</f>
        <v/>
      </c>
      <c r="L7190">
        <f>LET(
    arrears_months,'Loan Tape (S&amp;P)'!AN7190,
    IF(arrears_months=0,1.00,
    IF(arrears_months=1,3.00,
    IF(arrears_months=2,5.00,
    IF(arrears_months=3,8.00,
    IF(arrears_months=4,10.00,
    IF(arrears_months=5,12.00,15.00)))))))</f>
        <v/>
      </c>
      <c r="M7190">
        <f>LET(
    seasoning_years,DATEDIF('Loan Tape (S&amp;P)'!K7190,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90">
        <f>IF(AND('Loan Tape (S&amp;P)'!U7190="Yes",
        'Loan Tape (S&amp;P)'!T7190&lt;&gt;"Yes",
        DATEDIF('Loan Tape (S&amp;P)'!K7190, TODAY(), "M")&lt;18),
    1.10,
    1.00)</f>
        <v/>
      </c>
      <c r="O7190">
        <f>IF('Loan Tape (S&amp;P)'!T7190="Yes",
    1.35,
    1.00)</f>
        <v/>
      </c>
      <c r="P7190">
        <f>IF('Loan Tape (S&amp;P)'!S7190="Yes",
    1.15,
    1.00)</f>
        <v/>
      </c>
      <c r="Q7190">
        <f>IF('Loan Tape (S&amp;P)'!V7190="Yes",
    1.20,
    1.00)</f>
        <v/>
      </c>
      <c r="T7190">
        <f>LET(
    payment_method,'Loan Tape (S&amp;P)'!P7190,
    occupancy,'Loan Tape (S&amp;P)'!N7190,
    maturity_date,'Loan Tape (S&amp;P)'!L7190,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91">
      <c r="J7191">
        <f>LET(
    lien,'Loan Tape (S&amp;P)'!Q7191,
    IF(lien="First",1.00,
        IF(lien="Second",1.50,
            1.70)))</f>
        <v/>
      </c>
      <c r="K7191">
        <f>LET(
    purpose,'Loan Tape (S&amp;P)'!R7191,
    IF(purpose="Purchase",1.00,
        IF(purpose="Remortgage",1.00,
            1.20)))</f>
        <v/>
      </c>
      <c r="L7191">
        <f>LET(
    arrears_months,'Loan Tape (S&amp;P)'!AN7191,
    IF(arrears_months=0,1.00,
    IF(arrears_months=1,3.00,
    IF(arrears_months=2,5.00,
    IF(arrears_months=3,8.00,
    IF(arrears_months=4,10.00,
    IF(arrears_months=5,12.00,15.00)))))))</f>
        <v/>
      </c>
      <c r="M7191">
        <f>LET(
    seasoning_years,DATEDIF('Loan Tape (S&amp;P)'!K7191,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91">
        <f>IF(AND('Loan Tape (S&amp;P)'!U7191="Yes",
        'Loan Tape (S&amp;P)'!T7191&lt;&gt;"Yes",
        DATEDIF('Loan Tape (S&amp;P)'!K7191, TODAY(), "M")&lt;18),
    1.10,
    1.00)</f>
        <v/>
      </c>
      <c r="O7191">
        <f>IF('Loan Tape (S&amp;P)'!T7191="Yes",
    1.35,
    1.00)</f>
        <v/>
      </c>
      <c r="P7191">
        <f>IF('Loan Tape (S&amp;P)'!S7191="Yes",
    1.15,
    1.00)</f>
        <v/>
      </c>
      <c r="Q7191">
        <f>IF('Loan Tape (S&amp;P)'!V7191="Yes",
    1.20,
    1.00)</f>
        <v/>
      </c>
      <c r="T7191">
        <f>LET(
    payment_method,'Loan Tape (S&amp;P)'!P7191,
    occupancy,'Loan Tape (S&amp;P)'!N7191,
    maturity_date,'Loan Tape (S&amp;P)'!L7191,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92">
      <c r="J7192">
        <f>LET(
    lien,'Loan Tape (S&amp;P)'!Q7192,
    IF(lien="First",1.00,
        IF(lien="Second",1.50,
            1.70)))</f>
        <v/>
      </c>
      <c r="K7192">
        <f>LET(
    purpose,'Loan Tape (S&amp;P)'!R7192,
    IF(purpose="Purchase",1.00,
        IF(purpose="Remortgage",1.00,
            1.20)))</f>
        <v/>
      </c>
      <c r="L7192">
        <f>LET(
    arrears_months,'Loan Tape (S&amp;P)'!AN7192,
    IF(arrears_months=0,1.00,
    IF(arrears_months=1,3.00,
    IF(arrears_months=2,5.00,
    IF(arrears_months=3,8.00,
    IF(arrears_months=4,10.00,
    IF(arrears_months=5,12.00,15.00)))))))</f>
        <v/>
      </c>
      <c r="M7192">
        <f>LET(
    seasoning_years,DATEDIF('Loan Tape (S&amp;P)'!K7192,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92">
        <f>IF(AND('Loan Tape (S&amp;P)'!U7192="Yes",
        'Loan Tape (S&amp;P)'!T7192&lt;&gt;"Yes",
        DATEDIF('Loan Tape (S&amp;P)'!K7192, TODAY(), "M")&lt;18),
    1.10,
    1.00)</f>
        <v/>
      </c>
      <c r="O7192">
        <f>IF('Loan Tape (S&amp;P)'!T7192="Yes",
    1.35,
    1.00)</f>
        <v/>
      </c>
      <c r="P7192">
        <f>IF('Loan Tape (S&amp;P)'!S7192="Yes",
    1.15,
    1.00)</f>
        <v/>
      </c>
      <c r="Q7192">
        <f>IF('Loan Tape (S&amp;P)'!V7192="Yes",
    1.20,
    1.00)</f>
        <v/>
      </c>
      <c r="T7192">
        <f>LET(
    payment_method,'Loan Tape (S&amp;P)'!P7192,
    occupancy,'Loan Tape (S&amp;P)'!N7192,
    maturity_date,'Loan Tape (S&amp;P)'!L7192,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93">
      <c r="J7193">
        <f>LET(
    lien,'Loan Tape (S&amp;P)'!Q7193,
    IF(lien="First",1.00,
        IF(lien="Second",1.50,
            1.70)))</f>
        <v/>
      </c>
      <c r="K7193">
        <f>LET(
    purpose,'Loan Tape (S&amp;P)'!R7193,
    IF(purpose="Purchase",1.00,
        IF(purpose="Remortgage",1.00,
            1.20)))</f>
        <v/>
      </c>
      <c r="L7193">
        <f>LET(
    arrears_months,'Loan Tape (S&amp;P)'!AN7193,
    IF(arrears_months=0,1.00,
    IF(arrears_months=1,3.00,
    IF(arrears_months=2,5.00,
    IF(arrears_months=3,8.00,
    IF(arrears_months=4,10.00,
    IF(arrears_months=5,12.00,15.00)))))))</f>
        <v/>
      </c>
      <c r="M7193">
        <f>LET(
    seasoning_years,DATEDIF('Loan Tape (S&amp;P)'!K7193,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93">
        <f>IF(AND('Loan Tape (S&amp;P)'!U7193="Yes",
        'Loan Tape (S&amp;P)'!T7193&lt;&gt;"Yes",
        DATEDIF('Loan Tape (S&amp;P)'!K7193, TODAY(), "M")&lt;18),
    1.10,
    1.00)</f>
        <v/>
      </c>
      <c r="O7193">
        <f>IF('Loan Tape (S&amp;P)'!T7193="Yes",
    1.35,
    1.00)</f>
        <v/>
      </c>
      <c r="P7193">
        <f>IF('Loan Tape (S&amp;P)'!S7193="Yes",
    1.15,
    1.00)</f>
        <v/>
      </c>
      <c r="Q7193">
        <f>IF('Loan Tape (S&amp;P)'!V7193="Yes",
    1.20,
    1.00)</f>
        <v/>
      </c>
      <c r="T7193">
        <f>LET(
    payment_method,'Loan Tape (S&amp;P)'!P7193,
    occupancy,'Loan Tape (S&amp;P)'!N7193,
    maturity_date,'Loan Tape (S&amp;P)'!L7193,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94">
      <c r="J7194">
        <f>LET(
    lien,'Loan Tape (S&amp;P)'!Q7194,
    IF(lien="First",1.00,
        IF(lien="Second",1.50,
            1.70)))</f>
        <v/>
      </c>
      <c r="K7194">
        <f>LET(
    purpose,'Loan Tape (S&amp;P)'!R7194,
    IF(purpose="Purchase",1.00,
        IF(purpose="Remortgage",1.00,
            1.20)))</f>
        <v/>
      </c>
      <c r="L7194">
        <f>LET(
    arrears_months,'Loan Tape (S&amp;P)'!AN7194,
    IF(arrears_months=0,1.00,
    IF(arrears_months=1,3.00,
    IF(arrears_months=2,5.00,
    IF(arrears_months=3,8.00,
    IF(arrears_months=4,10.00,
    IF(arrears_months=5,12.00,15.00)))))))</f>
        <v/>
      </c>
      <c r="M7194">
        <f>LET(
    seasoning_years,DATEDIF('Loan Tape (S&amp;P)'!K7194,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94">
        <f>IF(AND('Loan Tape (S&amp;P)'!U7194="Yes",
        'Loan Tape (S&amp;P)'!T7194&lt;&gt;"Yes",
        DATEDIF('Loan Tape (S&amp;P)'!K7194, TODAY(), "M")&lt;18),
    1.10,
    1.00)</f>
        <v/>
      </c>
      <c r="O7194">
        <f>IF('Loan Tape (S&amp;P)'!T7194="Yes",
    1.35,
    1.00)</f>
        <v/>
      </c>
      <c r="P7194">
        <f>IF('Loan Tape (S&amp;P)'!S7194="Yes",
    1.15,
    1.00)</f>
        <v/>
      </c>
      <c r="Q7194">
        <f>IF('Loan Tape (S&amp;P)'!V7194="Yes",
    1.20,
    1.00)</f>
        <v/>
      </c>
      <c r="T7194">
        <f>LET(
    payment_method,'Loan Tape (S&amp;P)'!P7194,
    occupancy,'Loan Tape (S&amp;P)'!N7194,
    maturity_date,'Loan Tape (S&amp;P)'!L7194,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95">
      <c r="J7195">
        <f>LET(
    lien,'Loan Tape (S&amp;P)'!Q7195,
    IF(lien="First",1.00,
        IF(lien="Second",1.50,
            1.70)))</f>
        <v/>
      </c>
      <c r="K7195">
        <f>LET(
    purpose,'Loan Tape (S&amp;P)'!R7195,
    IF(purpose="Purchase",1.00,
        IF(purpose="Remortgage",1.00,
            1.20)))</f>
        <v/>
      </c>
      <c r="L7195">
        <f>LET(
    arrears_months,'Loan Tape (S&amp;P)'!AN7195,
    IF(arrears_months=0,1.00,
    IF(arrears_months=1,3.00,
    IF(arrears_months=2,5.00,
    IF(arrears_months=3,8.00,
    IF(arrears_months=4,10.00,
    IF(arrears_months=5,12.00,15.00)))))))</f>
        <v/>
      </c>
      <c r="M7195">
        <f>LET(
    seasoning_years,DATEDIF('Loan Tape (S&amp;P)'!K7195,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95">
        <f>IF(AND('Loan Tape (S&amp;P)'!U7195="Yes",
        'Loan Tape (S&amp;P)'!T7195&lt;&gt;"Yes",
        DATEDIF('Loan Tape (S&amp;P)'!K7195, TODAY(), "M")&lt;18),
    1.10,
    1.00)</f>
        <v/>
      </c>
      <c r="O7195">
        <f>IF('Loan Tape (S&amp;P)'!T7195="Yes",
    1.35,
    1.00)</f>
        <v/>
      </c>
      <c r="P7195">
        <f>IF('Loan Tape (S&amp;P)'!S7195="Yes",
    1.15,
    1.00)</f>
        <v/>
      </c>
      <c r="Q7195">
        <f>IF('Loan Tape (S&amp;P)'!V7195="Yes",
    1.20,
    1.00)</f>
        <v/>
      </c>
      <c r="T7195">
        <f>LET(
    payment_method,'Loan Tape (S&amp;P)'!P7195,
    occupancy,'Loan Tape (S&amp;P)'!N7195,
    maturity_date,'Loan Tape (S&amp;P)'!L7195,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96">
      <c r="J7196">
        <f>LET(
    lien,'Loan Tape (S&amp;P)'!Q7196,
    IF(lien="First",1.00,
        IF(lien="Second",1.50,
            1.70)))</f>
        <v/>
      </c>
      <c r="K7196">
        <f>LET(
    purpose,'Loan Tape (S&amp;P)'!R7196,
    IF(purpose="Purchase",1.00,
        IF(purpose="Remortgage",1.00,
            1.20)))</f>
        <v/>
      </c>
      <c r="L7196">
        <f>LET(
    arrears_months,'Loan Tape (S&amp;P)'!AN7196,
    IF(arrears_months=0,1.00,
    IF(arrears_months=1,3.00,
    IF(arrears_months=2,5.00,
    IF(arrears_months=3,8.00,
    IF(arrears_months=4,10.00,
    IF(arrears_months=5,12.00,15.00)))))))</f>
        <v/>
      </c>
      <c r="M7196">
        <f>LET(
    seasoning_years,DATEDIF('Loan Tape (S&amp;P)'!K7196,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96">
        <f>IF(AND('Loan Tape (S&amp;P)'!U7196="Yes",
        'Loan Tape (S&amp;P)'!T7196&lt;&gt;"Yes",
        DATEDIF('Loan Tape (S&amp;P)'!K7196, TODAY(), "M")&lt;18),
    1.10,
    1.00)</f>
        <v/>
      </c>
      <c r="O7196">
        <f>IF('Loan Tape (S&amp;P)'!T7196="Yes",
    1.35,
    1.00)</f>
        <v/>
      </c>
      <c r="P7196">
        <f>IF('Loan Tape (S&amp;P)'!S7196="Yes",
    1.15,
    1.00)</f>
        <v/>
      </c>
      <c r="Q7196">
        <f>IF('Loan Tape (S&amp;P)'!V7196="Yes",
    1.20,
    1.00)</f>
        <v/>
      </c>
      <c r="T7196">
        <f>LET(
    payment_method,'Loan Tape (S&amp;P)'!P7196,
    occupancy,'Loan Tape (S&amp;P)'!N7196,
    maturity_date,'Loan Tape (S&amp;P)'!L7196,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97">
      <c r="J7197">
        <f>LET(
    lien,'Loan Tape (S&amp;P)'!Q7197,
    IF(lien="First",1.00,
        IF(lien="Second",1.50,
            1.70)))</f>
        <v/>
      </c>
      <c r="K7197">
        <f>LET(
    purpose,'Loan Tape (S&amp;P)'!R7197,
    IF(purpose="Purchase",1.00,
        IF(purpose="Remortgage",1.00,
            1.20)))</f>
        <v/>
      </c>
      <c r="L7197">
        <f>LET(
    arrears_months,'Loan Tape (S&amp;P)'!AN7197,
    IF(arrears_months=0,1.00,
    IF(arrears_months=1,3.00,
    IF(arrears_months=2,5.00,
    IF(arrears_months=3,8.00,
    IF(arrears_months=4,10.00,
    IF(arrears_months=5,12.00,15.00)))))))</f>
        <v/>
      </c>
      <c r="M7197">
        <f>LET(
    seasoning_years,DATEDIF('Loan Tape (S&amp;P)'!K7197,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97">
        <f>IF(AND('Loan Tape (S&amp;P)'!U7197="Yes",
        'Loan Tape (S&amp;P)'!T7197&lt;&gt;"Yes",
        DATEDIF('Loan Tape (S&amp;P)'!K7197, TODAY(), "M")&lt;18),
    1.10,
    1.00)</f>
        <v/>
      </c>
      <c r="O7197">
        <f>IF('Loan Tape (S&amp;P)'!T7197="Yes",
    1.35,
    1.00)</f>
        <v/>
      </c>
      <c r="P7197">
        <f>IF('Loan Tape (S&amp;P)'!S7197="Yes",
    1.15,
    1.00)</f>
        <v/>
      </c>
      <c r="Q7197">
        <f>IF('Loan Tape (S&amp;P)'!V7197="Yes",
    1.20,
    1.00)</f>
        <v/>
      </c>
      <c r="T7197">
        <f>LET(
    payment_method,'Loan Tape (S&amp;P)'!P7197,
    occupancy,'Loan Tape (S&amp;P)'!N7197,
    maturity_date,'Loan Tape (S&amp;P)'!L7197,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98">
      <c r="J7198">
        <f>LET(
    lien,'Loan Tape (S&amp;P)'!Q7198,
    IF(lien="First",1.00,
        IF(lien="Second",1.50,
            1.70)))</f>
        <v/>
      </c>
      <c r="K7198">
        <f>LET(
    purpose,'Loan Tape (S&amp;P)'!R7198,
    IF(purpose="Purchase",1.00,
        IF(purpose="Remortgage",1.00,
            1.20)))</f>
        <v/>
      </c>
      <c r="L7198">
        <f>LET(
    arrears_months,'Loan Tape (S&amp;P)'!AN7198,
    IF(arrears_months=0,1.00,
    IF(arrears_months=1,3.00,
    IF(arrears_months=2,5.00,
    IF(arrears_months=3,8.00,
    IF(arrears_months=4,10.00,
    IF(arrears_months=5,12.00,15.00)))))))</f>
        <v/>
      </c>
      <c r="M7198">
        <f>LET(
    seasoning_years,DATEDIF('Loan Tape (S&amp;P)'!K7198,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98">
        <f>IF(AND('Loan Tape (S&amp;P)'!U7198="Yes",
        'Loan Tape (S&amp;P)'!T7198&lt;&gt;"Yes",
        DATEDIF('Loan Tape (S&amp;P)'!K7198, TODAY(), "M")&lt;18),
    1.10,
    1.00)</f>
        <v/>
      </c>
      <c r="O7198">
        <f>IF('Loan Tape (S&amp;P)'!T7198="Yes",
    1.35,
    1.00)</f>
        <v/>
      </c>
      <c r="P7198">
        <f>IF('Loan Tape (S&amp;P)'!S7198="Yes",
    1.15,
    1.00)</f>
        <v/>
      </c>
      <c r="Q7198">
        <f>IF('Loan Tape (S&amp;P)'!V7198="Yes",
    1.20,
    1.00)</f>
        <v/>
      </c>
      <c r="T7198">
        <f>LET(
    payment_method,'Loan Tape (S&amp;P)'!P7198,
    occupancy,'Loan Tape (S&amp;P)'!N7198,
    maturity_date,'Loan Tape (S&amp;P)'!L7198,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199">
      <c r="J7199">
        <f>LET(
    lien,'Loan Tape (S&amp;P)'!Q7199,
    IF(lien="First",1.00,
        IF(lien="Second",1.50,
            1.70)))</f>
        <v/>
      </c>
      <c r="K7199">
        <f>LET(
    purpose,'Loan Tape (S&amp;P)'!R7199,
    IF(purpose="Purchase",1.00,
        IF(purpose="Remortgage",1.00,
            1.20)))</f>
        <v/>
      </c>
      <c r="L7199">
        <f>LET(
    arrears_months,'Loan Tape (S&amp;P)'!AN7199,
    IF(arrears_months=0,1.00,
    IF(arrears_months=1,3.00,
    IF(arrears_months=2,5.00,
    IF(arrears_months=3,8.00,
    IF(arrears_months=4,10.00,
    IF(arrears_months=5,12.00,15.00)))))))</f>
        <v/>
      </c>
      <c r="M7199">
        <f>LET(
    seasoning_years,DATEDIF('Loan Tape (S&amp;P)'!K7199,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199">
        <f>IF(AND('Loan Tape (S&amp;P)'!U7199="Yes",
        'Loan Tape (S&amp;P)'!T7199&lt;&gt;"Yes",
        DATEDIF('Loan Tape (S&amp;P)'!K7199, TODAY(), "M")&lt;18),
    1.10,
    1.00)</f>
        <v/>
      </c>
      <c r="O7199">
        <f>IF('Loan Tape (S&amp;P)'!T7199="Yes",
    1.35,
    1.00)</f>
        <v/>
      </c>
      <c r="P7199">
        <f>IF('Loan Tape (S&amp;P)'!S7199="Yes",
    1.15,
    1.00)</f>
        <v/>
      </c>
      <c r="Q7199">
        <f>IF('Loan Tape (S&amp;P)'!V7199="Yes",
    1.20,
    1.00)</f>
        <v/>
      </c>
      <c r="T7199">
        <f>LET(
    payment_method,'Loan Tape (S&amp;P)'!P7199,
    occupancy,'Loan Tape (S&amp;P)'!N7199,
    maturity_date,'Loan Tape (S&amp;P)'!L7199,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00">
      <c r="J7200">
        <f>LET(
    lien,'Loan Tape (S&amp;P)'!Q7200,
    IF(lien="First",1.00,
        IF(lien="Second",1.50,
            1.70)))</f>
        <v/>
      </c>
      <c r="K7200">
        <f>LET(
    purpose,'Loan Tape (S&amp;P)'!R7200,
    IF(purpose="Purchase",1.00,
        IF(purpose="Remortgage",1.00,
            1.20)))</f>
        <v/>
      </c>
      <c r="L7200">
        <f>LET(
    arrears_months,'Loan Tape (S&amp;P)'!AN7200,
    IF(arrears_months=0,1.00,
    IF(arrears_months=1,3.00,
    IF(arrears_months=2,5.00,
    IF(arrears_months=3,8.00,
    IF(arrears_months=4,10.00,
    IF(arrears_months=5,12.00,15.00)))))))</f>
        <v/>
      </c>
      <c r="M7200">
        <f>LET(
    seasoning_years,DATEDIF('Loan Tape (S&amp;P)'!K7200,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00">
        <f>IF(AND('Loan Tape (S&amp;P)'!U7200="Yes",
        'Loan Tape (S&amp;P)'!T7200&lt;&gt;"Yes",
        DATEDIF('Loan Tape (S&amp;P)'!K7200, TODAY(), "M")&lt;18),
    1.10,
    1.00)</f>
        <v/>
      </c>
      <c r="O7200">
        <f>IF('Loan Tape (S&amp;P)'!T7200="Yes",
    1.35,
    1.00)</f>
        <v/>
      </c>
      <c r="P7200">
        <f>IF('Loan Tape (S&amp;P)'!S7200="Yes",
    1.15,
    1.00)</f>
        <v/>
      </c>
      <c r="Q7200">
        <f>IF('Loan Tape (S&amp;P)'!V7200="Yes",
    1.20,
    1.00)</f>
        <v/>
      </c>
      <c r="T7200">
        <f>LET(
    payment_method,'Loan Tape (S&amp;P)'!P7200,
    occupancy,'Loan Tape (S&amp;P)'!N7200,
    maturity_date,'Loan Tape (S&amp;P)'!L7200,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01">
      <c r="J7201">
        <f>LET(
    lien,'Loan Tape (S&amp;P)'!Q7201,
    IF(lien="First",1.00,
        IF(lien="Second",1.50,
            1.70)))</f>
        <v/>
      </c>
      <c r="K7201">
        <f>LET(
    purpose,'Loan Tape (S&amp;P)'!R7201,
    IF(purpose="Purchase",1.00,
        IF(purpose="Remortgage",1.00,
            1.20)))</f>
        <v/>
      </c>
      <c r="L7201">
        <f>LET(
    arrears_months,'Loan Tape (S&amp;P)'!AN7201,
    IF(arrears_months=0,1.00,
    IF(arrears_months=1,3.00,
    IF(arrears_months=2,5.00,
    IF(arrears_months=3,8.00,
    IF(arrears_months=4,10.00,
    IF(arrears_months=5,12.00,15.00)))))))</f>
        <v/>
      </c>
      <c r="M7201">
        <f>LET(
    seasoning_years,DATEDIF('Loan Tape (S&amp;P)'!K7201,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01">
        <f>IF(AND('Loan Tape (S&amp;P)'!U7201="Yes",
        'Loan Tape (S&amp;P)'!T7201&lt;&gt;"Yes",
        DATEDIF('Loan Tape (S&amp;P)'!K7201, TODAY(), "M")&lt;18),
    1.10,
    1.00)</f>
        <v/>
      </c>
      <c r="O7201">
        <f>IF('Loan Tape (S&amp;P)'!T7201="Yes",
    1.35,
    1.00)</f>
        <v/>
      </c>
      <c r="P7201">
        <f>IF('Loan Tape (S&amp;P)'!S7201="Yes",
    1.15,
    1.00)</f>
        <v/>
      </c>
      <c r="Q7201">
        <f>IF('Loan Tape (S&amp;P)'!V7201="Yes",
    1.20,
    1.00)</f>
        <v/>
      </c>
      <c r="T7201">
        <f>LET(
    payment_method,'Loan Tape (S&amp;P)'!P7201,
    occupancy,'Loan Tape (S&amp;P)'!N7201,
    maturity_date,'Loan Tape (S&amp;P)'!L7201,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02">
      <c r="J7202">
        <f>LET(
    lien,'Loan Tape (S&amp;P)'!Q7202,
    IF(lien="First",1.00,
        IF(lien="Second",1.50,
            1.70)))</f>
        <v/>
      </c>
      <c r="K7202">
        <f>LET(
    purpose,'Loan Tape (S&amp;P)'!R7202,
    IF(purpose="Purchase",1.00,
        IF(purpose="Remortgage",1.00,
            1.20)))</f>
        <v/>
      </c>
      <c r="L7202">
        <f>LET(
    arrears_months,'Loan Tape (S&amp;P)'!AN7202,
    IF(arrears_months=0,1.00,
    IF(arrears_months=1,3.00,
    IF(arrears_months=2,5.00,
    IF(arrears_months=3,8.00,
    IF(arrears_months=4,10.00,
    IF(arrears_months=5,12.00,15.00)))))))</f>
        <v/>
      </c>
      <c r="M7202">
        <f>LET(
    seasoning_years,DATEDIF('Loan Tape (S&amp;P)'!K7202,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02">
        <f>IF(AND('Loan Tape (S&amp;P)'!U7202="Yes",
        'Loan Tape (S&amp;P)'!T7202&lt;&gt;"Yes",
        DATEDIF('Loan Tape (S&amp;P)'!K7202, TODAY(), "M")&lt;18),
    1.10,
    1.00)</f>
        <v/>
      </c>
      <c r="O7202">
        <f>IF('Loan Tape (S&amp;P)'!T7202="Yes",
    1.35,
    1.00)</f>
        <v/>
      </c>
      <c r="P7202">
        <f>IF('Loan Tape (S&amp;P)'!S7202="Yes",
    1.15,
    1.00)</f>
        <v/>
      </c>
      <c r="Q7202">
        <f>IF('Loan Tape (S&amp;P)'!V7202="Yes",
    1.20,
    1.00)</f>
        <v/>
      </c>
      <c r="T7202">
        <f>LET(
    payment_method,'Loan Tape (S&amp;P)'!P7202,
    occupancy,'Loan Tape (S&amp;P)'!N7202,
    maturity_date,'Loan Tape (S&amp;P)'!L7202,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03">
      <c r="J7203">
        <f>LET(
    lien,'Loan Tape (S&amp;P)'!Q7203,
    IF(lien="First",1.00,
        IF(lien="Second",1.50,
            1.70)))</f>
        <v/>
      </c>
      <c r="K7203">
        <f>LET(
    purpose,'Loan Tape (S&amp;P)'!R7203,
    IF(purpose="Purchase",1.00,
        IF(purpose="Remortgage",1.00,
            1.20)))</f>
        <v/>
      </c>
      <c r="L7203">
        <f>LET(
    arrears_months,'Loan Tape (S&amp;P)'!AN7203,
    IF(arrears_months=0,1.00,
    IF(arrears_months=1,3.00,
    IF(arrears_months=2,5.00,
    IF(arrears_months=3,8.00,
    IF(arrears_months=4,10.00,
    IF(arrears_months=5,12.00,15.00)))))))</f>
        <v/>
      </c>
      <c r="M7203">
        <f>LET(
    seasoning_years,DATEDIF('Loan Tape (S&amp;P)'!K7203,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03">
        <f>IF(AND('Loan Tape (S&amp;P)'!U7203="Yes",
        'Loan Tape (S&amp;P)'!T7203&lt;&gt;"Yes",
        DATEDIF('Loan Tape (S&amp;P)'!K7203, TODAY(), "M")&lt;18),
    1.10,
    1.00)</f>
        <v/>
      </c>
      <c r="O7203">
        <f>IF('Loan Tape (S&amp;P)'!T7203="Yes",
    1.35,
    1.00)</f>
        <v/>
      </c>
      <c r="P7203">
        <f>IF('Loan Tape (S&amp;P)'!S7203="Yes",
    1.15,
    1.00)</f>
        <v/>
      </c>
      <c r="Q7203">
        <f>IF('Loan Tape (S&amp;P)'!V7203="Yes",
    1.20,
    1.00)</f>
        <v/>
      </c>
      <c r="T7203">
        <f>LET(
    payment_method,'Loan Tape (S&amp;P)'!P7203,
    occupancy,'Loan Tape (S&amp;P)'!N7203,
    maturity_date,'Loan Tape (S&amp;P)'!L7203,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04">
      <c r="J7204">
        <f>LET(
    lien,'Loan Tape (S&amp;P)'!Q7204,
    IF(lien="First",1.00,
        IF(lien="Second",1.50,
            1.70)))</f>
        <v/>
      </c>
      <c r="K7204">
        <f>LET(
    purpose,'Loan Tape (S&amp;P)'!R7204,
    IF(purpose="Purchase",1.00,
        IF(purpose="Remortgage",1.00,
            1.20)))</f>
        <v/>
      </c>
      <c r="L7204">
        <f>LET(
    arrears_months,'Loan Tape (S&amp;P)'!AN7204,
    IF(arrears_months=0,1.00,
    IF(arrears_months=1,3.00,
    IF(arrears_months=2,5.00,
    IF(arrears_months=3,8.00,
    IF(arrears_months=4,10.00,
    IF(arrears_months=5,12.00,15.00)))))))</f>
        <v/>
      </c>
      <c r="M7204">
        <f>LET(
    seasoning_years,DATEDIF('Loan Tape (S&amp;P)'!K7204,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04">
        <f>IF(AND('Loan Tape (S&amp;P)'!U7204="Yes",
        'Loan Tape (S&amp;P)'!T7204&lt;&gt;"Yes",
        DATEDIF('Loan Tape (S&amp;P)'!K7204, TODAY(), "M")&lt;18),
    1.10,
    1.00)</f>
        <v/>
      </c>
      <c r="O7204">
        <f>IF('Loan Tape (S&amp;P)'!T7204="Yes",
    1.35,
    1.00)</f>
        <v/>
      </c>
      <c r="P7204">
        <f>IF('Loan Tape (S&amp;P)'!S7204="Yes",
    1.15,
    1.00)</f>
        <v/>
      </c>
      <c r="Q7204">
        <f>IF('Loan Tape (S&amp;P)'!V7204="Yes",
    1.20,
    1.00)</f>
        <v/>
      </c>
      <c r="T7204">
        <f>LET(
    payment_method,'Loan Tape (S&amp;P)'!P7204,
    occupancy,'Loan Tape (S&amp;P)'!N7204,
    maturity_date,'Loan Tape (S&amp;P)'!L7204,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05">
      <c r="J7205">
        <f>LET(
    lien,'Loan Tape (S&amp;P)'!Q7205,
    IF(lien="First",1.00,
        IF(lien="Second",1.50,
            1.70)))</f>
        <v/>
      </c>
      <c r="K7205">
        <f>LET(
    purpose,'Loan Tape (S&amp;P)'!R7205,
    IF(purpose="Purchase",1.00,
        IF(purpose="Remortgage",1.00,
            1.20)))</f>
        <v/>
      </c>
      <c r="L7205">
        <f>LET(
    arrears_months,'Loan Tape (S&amp;P)'!AN7205,
    IF(arrears_months=0,1.00,
    IF(arrears_months=1,3.00,
    IF(arrears_months=2,5.00,
    IF(arrears_months=3,8.00,
    IF(arrears_months=4,10.00,
    IF(arrears_months=5,12.00,15.00)))))))</f>
        <v/>
      </c>
      <c r="M7205">
        <f>LET(
    seasoning_years,DATEDIF('Loan Tape (S&amp;P)'!K7205,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05">
        <f>IF(AND('Loan Tape (S&amp;P)'!U7205="Yes",
        'Loan Tape (S&amp;P)'!T7205&lt;&gt;"Yes",
        DATEDIF('Loan Tape (S&amp;P)'!K7205, TODAY(), "M")&lt;18),
    1.10,
    1.00)</f>
        <v/>
      </c>
      <c r="O7205">
        <f>IF('Loan Tape (S&amp;P)'!T7205="Yes",
    1.35,
    1.00)</f>
        <v/>
      </c>
      <c r="P7205">
        <f>IF('Loan Tape (S&amp;P)'!S7205="Yes",
    1.15,
    1.00)</f>
        <v/>
      </c>
      <c r="Q7205">
        <f>IF('Loan Tape (S&amp;P)'!V7205="Yes",
    1.20,
    1.00)</f>
        <v/>
      </c>
      <c r="T7205">
        <f>LET(
    payment_method,'Loan Tape (S&amp;P)'!P7205,
    occupancy,'Loan Tape (S&amp;P)'!N7205,
    maturity_date,'Loan Tape (S&amp;P)'!L7205,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06">
      <c r="J7206">
        <f>LET(
    lien,'Loan Tape (S&amp;P)'!Q7206,
    IF(lien="First",1.00,
        IF(lien="Second",1.50,
            1.70)))</f>
        <v/>
      </c>
      <c r="K7206">
        <f>LET(
    purpose,'Loan Tape (S&amp;P)'!R7206,
    IF(purpose="Purchase",1.00,
        IF(purpose="Remortgage",1.00,
            1.20)))</f>
        <v/>
      </c>
      <c r="L7206">
        <f>LET(
    arrears_months,'Loan Tape (S&amp;P)'!AN7206,
    IF(arrears_months=0,1.00,
    IF(arrears_months=1,3.00,
    IF(arrears_months=2,5.00,
    IF(arrears_months=3,8.00,
    IF(arrears_months=4,10.00,
    IF(arrears_months=5,12.00,15.00)))))))</f>
        <v/>
      </c>
      <c r="M7206">
        <f>LET(
    seasoning_years,DATEDIF('Loan Tape (S&amp;P)'!K7206,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06">
        <f>IF(AND('Loan Tape (S&amp;P)'!U7206="Yes",
        'Loan Tape (S&amp;P)'!T7206&lt;&gt;"Yes",
        DATEDIF('Loan Tape (S&amp;P)'!K7206, TODAY(), "M")&lt;18),
    1.10,
    1.00)</f>
        <v/>
      </c>
      <c r="O7206">
        <f>IF('Loan Tape (S&amp;P)'!T7206="Yes",
    1.35,
    1.00)</f>
        <v/>
      </c>
      <c r="P7206">
        <f>IF('Loan Tape (S&amp;P)'!S7206="Yes",
    1.15,
    1.00)</f>
        <v/>
      </c>
      <c r="Q7206">
        <f>IF('Loan Tape (S&amp;P)'!V7206="Yes",
    1.20,
    1.00)</f>
        <v/>
      </c>
      <c r="T7206">
        <f>LET(
    payment_method,'Loan Tape (S&amp;P)'!P7206,
    occupancy,'Loan Tape (S&amp;P)'!N7206,
    maturity_date,'Loan Tape (S&amp;P)'!L7206,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07">
      <c r="J7207">
        <f>LET(
    lien,'Loan Tape (S&amp;P)'!Q7207,
    IF(lien="First",1.00,
        IF(lien="Second",1.50,
            1.70)))</f>
        <v/>
      </c>
      <c r="K7207">
        <f>LET(
    purpose,'Loan Tape (S&amp;P)'!R7207,
    IF(purpose="Purchase",1.00,
        IF(purpose="Remortgage",1.00,
            1.20)))</f>
        <v/>
      </c>
      <c r="L7207">
        <f>LET(
    arrears_months,'Loan Tape (S&amp;P)'!AN7207,
    IF(arrears_months=0,1.00,
    IF(arrears_months=1,3.00,
    IF(arrears_months=2,5.00,
    IF(arrears_months=3,8.00,
    IF(arrears_months=4,10.00,
    IF(arrears_months=5,12.00,15.00)))))))</f>
        <v/>
      </c>
      <c r="M7207">
        <f>LET(
    seasoning_years,DATEDIF('Loan Tape (S&amp;P)'!K7207,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07">
        <f>IF(AND('Loan Tape (S&amp;P)'!U7207="Yes",
        'Loan Tape (S&amp;P)'!T7207&lt;&gt;"Yes",
        DATEDIF('Loan Tape (S&amp;P)'!K7207, TODAY(), "M")&lt;18),
    1.10,
    1.00)</f>
        <v/>
      </c>
      <c r="O7207">
        <f>IF('Loan Tape (S&amp;P)'!T7207="Yes",
    1.35,
    1.00)</f>
        <v/>
      </c>
      <c r="P7207">
        <f>IF('Loan Tape (S&amp;P)'!S7207="Yes",
    1.15,
    1.00)</f>
        <v/>
      </c>
      <c r="Q7207">
        <f>IF('Loan Tape (S&amp;P)'!V7207="Yes",
    1.20,
    1.00)</f>
        <v/>
      </c>
      <c r="T7207">
        <f>LET(
    payment_method,'Loan Tape (S&amp;P)'!P7207,
    occupancy,'Loan Tape (S&amp;P)'!N7207,
    maturity_date,'Loan Tape (S&amp;P)'!L7207,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08">
      <c r="J7208">
        <f>LET(
    lien,'Loan Tape (S&amp;P)'!Q7208,
    IF(lien="First",1.00,
        IF(lien="Second",1.50,
            1.70)))</f>
        <v/>
      </c>
      <c r="K7208">
        <f>LET(
    purpose,'Loan Tape (S&amp;P)'!R7208,
    IF(purpose="Purchase",1.00,
        IF(purpose="Remortgage",1.00,
            1.20)))</f>
        <v/>
      </c>
      <c r="L7208">
        <f>LET(
    arrears_months,'Loan Tape (S&amp;P)'!AN7208,
    IF(arrears_months=0,1.00,
    IF(arrears_months=1,3.00,
    IF(arrears_months=2,5.00,
    IF(arrears_months=3,8.00,
    IF(arrears_months=4,10.00,
    IF(arrears_months=5,12.00,15.00)))))))</f>
        <v/>
      </c>
      <c r="M7208">
        <f>LET(
    seasoning_years,DATEDIF('Loan Tape (S&amp;P)'!K7208,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08">
        <f>IF(AND('Loan Tape (S&amp;P)'!U7208="Yes",
        'Loan Tape (S&amp;P)'!T7208&lt;&gt;"Yes",
        DATEDIF('Loan Tape (S&amp;P)'!K7208, TODAY(), "M")&lt;18),
    1.10,
    1.00)</f>
        <v/>
      </c>
      <c r="O7208">
        <f>IF('Loan Tape (S&amp;P)'!T7208="Yes",
    1.35,
    1.00)</f>
        <v/>
      </c>
      <c r="P7208">
        <f>IF('Loan Tape (S&amp;P)'!S7208="Yes",
    1.15,
    1.00)</f>
        <v/>
      </c>
      <c r="Q7208">
        <f>IF('Loan Tape (S&amp;P)'!V7208="Yes",
    1.20,
    1.00)</f>
        <v/>
      </c>
      <c r="T7208">
        <f>LET(
    payment_method,'Loan Tape (S&amp;P)'!P7208,
    occupancy,'Loan Tape (S&amp;P)'!N7208,
    maturity_date,'Loan Tape (S&amp;P)'!L7208,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09">
      <c r="J7209">
        <f>LET(
    lien,'Loan Tape (S&amp;P)'!Q7209,
    IF(lien="First",1.00,
        IF(lien="Second",1.50,
            1.70)))</f>
        <v/>
      </c>
      <c r="K7209">
        <f>LET(
    purpose,'Loan Tape (S&amp;P)'!R7209,
    IF(purpose="Purchase",1.00,
        IF(purpose="Remortgage",1.00,
            1.20)))</f>
        <v/>
      </c>
      <c r="L7209">
        <f>LET(
    arrears_months,'Loan Tape (S&amp;P)'!AN7209,
    IF(arrears_months=0,1.00,
    IF(arrears_months=1,3.00,
    IF(arrears_months=2,5.00,
    IF(arrears_months=3,8.00,
    IF(arrears_months=4,10.00,
    IF(arrears_months=5,12.00,15.00)))))))</f>
        <v/>
      </c>
      <c r="M7209">
        <f>LET(
    seasoning_years,DATEDIF('Loan Tape (S&amp;P)'!K7209,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09">
        <f>IF(AND('Loan Tape (S&amp;P)'!U7209="Yes",
        'Loan Tape (S&amp;P)'!T7209&lt;&gt;"Yes",
        DATEDIF('Loan Tape (S&amp;P)'!K7209, TODAY(), "M")&lt;18),
    1.10,
    1.00)</f>
        <v/>
      </c>
      <c r="O7209">
        <f>IF('Loan Tape (S&amp;P)'!T7209="Yes",
    1.35,
    1.00)</f>
        <v/>
      </c>
      <c r="P7209">
        <f>IF('Loan Tape (S&amp;P)'!S7209="Yes",
    1.15,
    1.00)</f>
        <v/>
      </c>
      <c r="Q7209">
        <f>IF('Loan Tape (S&amp;P)'!V7209="Yes",
    1.20,
    1.00)</f>
        <v/>
      </c>
      <c r="T7209">
        <f>LET(
    payment_method,'Loan Tape (S&amp;P)'!P7209,
    occupancy,'Loan Tape (S&amp;P)'!N7209,
    maturity_date,'Loan Tape (S&amp;P)'!L7209,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10">
      <c r="J7210">
        <f>LET(
    lien,'Loan Tape (S&amp;P)'!Q7210,
    IF(lien="First",1.00,
        IF(lien="Second",1.50,
            1.70)))</f>
        <v/>
      </c>
      <c r="K7210">
        <f>LET(
    purpose,'Loan Tape (S&amp;P)'!R7210,
    IF(purpose="Purchase",1.00,
        IF(purpose="Remortgage",1.00,
            1.20)))</f>
        <v/>
      </c>
      <c r="L7210">
        <f>LET(
    arrears_months,'Loan Tape (S&amp;P)'!AN7210,
    IF(arrears_months=0,1.00,
    IF(arrears_months=1,3.00,
    IF(arrears_months=2,5.00,
    IF(arrears_months=3,8.00,
    IF(arrears_months=4,10.00,
    IF(arrears_months=5,12.00,15.00)))))))</f>
        <v/>
      </c>
      <c r="M7210">
        <f>LET(
    seasoning_years,DATEDIF('Loan Tape (S&amp;P)'!K7210,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10">
        <f>IF(AND('Loan Tape (S&amp;P)'!U7210="Yes",
        'Loan Tape (S&amp;P)'!T7210&lt;&gt;"Yes",
        DATEDIF('Loan Tape (S&amp;P)'!K7210, TODAY(), "M")&lt;18),
    1.10,
    1.00)</f>
        <v/>
      </c>
      <c r="O7210">
        <f>IF('Loan Tape (S&amp;P)'!T7210="Yes",
    1.35,
    1.00)</f>
        <v/>
      </c>
      <c r="P7210">
        <f>IF('Loan Tape (S&amp;P)'!S7210="Yes",
    1.15,
    1.00)</f>
        <v/>
      </c>
      <c r="Q7210">
        <f>IF('Loan Tape (S&amp;P)'!V7210="Yes",
    1.20,
    1.00)</f>
        <v/>
      </c>
      <c r="T7210">
        <f>LET(
    payment_method,'Loan Tape (S&amp;P)'!P7210,
    occupancy,'Loan Tape (S&amp;P)'!N7210,
    maturity_date,'Loan Tape (S&amp;P)'!L7210,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11">
      <c r="J7211">
        <f>LET(
    lien,'Loan Tape (S&amp;P)'!Q7211,
    IF(lien="First",1.00,
        IF(lien="Second",1.50,
            1.70)))</f>
        <v/>
      </c>
      <c r="K7211">
        <f>LET(
    purpose,'Loan Tape (S&amp;P)'!R7211,
    IF(purpose="Purchase",1.00,
        IF(purpose="Remortgage",1.00,
            1.20)))</f>
        <v/>
      </c>
      <c r="L7211">
        <f>LET(
    arrears_months,'Loan Tape (S&amp;P)'!AN7211,
    IF(arrears_months=0,1.00,
    IF(arrears_months=1,3.00,
    IF(arrears_months=2,5.00,
    IF(arrears_months=3,8.00,
    IF(arrears_months=4,10.00,
    IF(arrears_months=5,12.00,15.00)))))))</f>
        <v/>
      </c>
      <c r="M7211">
        <f>LET(
    seasoning_years,DATEDIF('Loan Tape (S&amp;P)'!K7211,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11">
        <f>IF(AND('Loan Tape (S&amp;P)'!U7211="Yes",
        'Loan Tape (S&amp;P)'!T7211&lt;&gt;"Yes",
        DATEDIF('Loan Tape (S&amp;P)'!K7211, TODAY(), "M")&lt;18),
    1.10,
    1.00)</f>
        <v/>
      </c>
      <c r="O7211">
        <f>IF('Loan Tape (S&amp;P)'!T7211="Yes",
    1.35,
    1.00)</f>
        <v/>
      </c>
      <c r="P7211">
        <f>IF('Loan Tape (S&amp;P)'!S7211="Yes",
    1.15,
    1.00)</f>
        <v/>
      </c>
      <c r="Q7211">
        <f>IF('Loan Tape (S&amp;P)'!V7211="Yes",
    1.20,
    1.00)</f>
        <v/>
      </c>
      <c r="T7211">
        <f>LET(
    payment_method,'Loan Tape (S&amp;P)'!P7211,
    occupancy,'Loan Tape (S&amp;P)'!N7211,
    maturity_date,'Loan Tape (S&amp;P)'!L7211,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12">
      <c r="J7212">
        <f>LET(
    lien,'Loan Tape (S&amp;P)'!Q7212,
    IF(lien="First",1.00,
        IF(lien="Second",1.50,
            1.70)))</f>
        <v/>
      </c>
      <c r="K7212">
        <f>LET(
    purpose,'Loan Tape (S&amp;P)'!R7212,
    IF(purpose="Purchase",1.00,
        IF(purpose="Remortgage",1.00,
            1.20)))</f>
        <v/>
      </c>
      <c r="L7212">
        <f>LET(
    arrears_months,'Loan Tape (S&amp;P)'!AN7212,
    IF(arrears_months=0,1.00,
    IF(arrears_months=1,3.00,
    IF(arrears_months=2,5.00,
    IF(arrears_months=3,8.00,
    IF(arrears_months=4,10.00,
    IF(arrears_months=5,12.00,15.00)))))))</f>
        <v/>
      </c>
      <c r="M7212">
        <f>LET(
    seasoning_years,DATEDIF('Loan Tape (S&amp;P)'!K7212,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12">
        <f>IF(AND('Loan Tape (S&amp;P)'!U7212="Yes",
        'Loan Tape (S&amp;P)'!T7212&lt;&gt;"Yes",
        DATEDIF('Loan Tape (S&amp;P)'!K7212, TODAY(), "M")&lt;18),
    1.10,
    1.00)</f>
        <v/>
      </c>
      <c r="O7212">
        <f>IF('Loan Tape (S&amp;P)'!T7212="Yes",
    1.35,
    1.00)</f>
        <v/>
      </c>
      <c r="P7212">
        <f>IF('Loan Tape (S&amp;P)'!S7212="Yes",
    1.15,
    1.00)</f>
        <v/>
      </c>
      <c r="Q7212">
        <f>IF('Loan Tape (S&amp;P)'!V7212="Yes",
    1.20,
    1.00)</f>
        <v/>
      </c>
      <c r="T7212">
        <f>LET(
    payment_method,'Loan Tape (S&amp;P)'!P7212,
    occupancy,'Loan Tape (S&amp;P)'!N7212,
    maturity_date,'Loan Tape (S&amp;P)'!L7212,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13">
      <c r="J7213">
        <f>LET(
    lien,'Loan Tape (S&amp;P)'!Q7213,
    IF(lien="First",1.00,
        IF(lien="Second",1.50,
            1.70)))</f>
        <v/>
      </c>
      <c r="K7213">
        <f>LET(
    purpose,'Loan Tape (S&amp;P)'!R7213,
    IF(purpose="Purchase",1.00,
        IF(purpose="Remortgage",1.00,
            1.20)))</f>
        <v/>
      </c>
      <c r="L7213">
        <f>LET(
    arrears_months,'Loan Tape (S&amp;P)'!AN7213,
    IF(arrears_months=0,1.00,
    IF(arrears_months=1,3.00,
    IF(arrears_months=2,5.00,
    IF(arrears_months=3,8.00,
    IF(arrears_months=4,10.00,
    IF(arrears_months=5,12.00,15.00)))))))</f>
        <v/>
      </c>
      <c r="M7213">
        <f>LET(
    seasoning_years,DATEDIF('Loan Tape (S&amp;P)'!K7213,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13">
        <f>IF(AND('Loan Tape (S&amp;P)'!U7213="Yes",
        'Loan Tape (S&amp;P)'!T7213&lt;&gt;"Yes",
        DATEDIF('Loan Tape (S&amp;P)'!K7213, TODAY(), "M")&lt;18),
    1.10,
    1.00)</f>
        <v/>
      </c>
      <c r="O7213">
        <f>IF('Loan Tape (S&amp;P)'!T7213="Yes",
    1.35,
    1.00)</f>
        <v/>
      </c>
      <c r="P7213">
        <f>IF('Loan Tape (S&amp;P)'!S7213="Yes",
    1.15,
    1.00)</f>
        <v/>
      </c>
      <c r="Q7213">
        <f>IF('Loan Tape (S&amp;P)'!V7213="Yes",
    1.20,
    1.00)</f>
        <v/>
      </c>
      <c r="T7213">
        <f>LET(
    payment_method,'Loan Tape (S&amp;P)'!P7213,
    occupancy,'Loan Tape (S&amp;P)'!N7213,
    maturity_date,'Loan Tape (S&amp;P)'!L7213,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14">
      <c r="J7214">
        <f>LET(
    lien,'Loan Tape (S&amp;P)'!Q7214,
    IF(lien="First",1.00,
        IF(lien="Second",1.50,
            1.70)))</f>
        <v/>
      </c>
      <c r="K7214">
        <f>LET(
    purpose,'Loan Tape (S&amp;P)'!R7214,
    IF(purpose="Purchase",1.00,
        IF(purpose="Remortgage",1.00,
            1.20)))</f>
        <v/>
      </c>
      <c r="L7214">
        <f>LET(
    arrears_months,'Loan Tape (S&amp;P)'!AN7214,
    IF(arrears_months=0,1.00,
    IF(arrears_months=1,3.00,
    IF(arrears_months=2,5.00,
    IF(arrears_months=3,8.00,
    IF(arrears_months=4,10.00,
    IF(arrears_months=5,12.00,15.00)))))))</f>
        <v/>
      </c>
      <c r="M7214">
        <f>LET(
    seasoning_years,DATEDIF('Loan Tape (S&amp;P)'!K7214,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14">
        <f>IF(AND('Loan Tape (S&amp;P)'!U7214="Yes",
        'Loan Tape (S&amp;P)'!T7214&lt;&gt;"Yes",
        DATEDIF('Loan Tape (S&amp;P)'!K7214, TODAY(), "M")&lt;18),
    1.10,
    1.00)</f>
        <v/>
      </c>
      <c r="O7214">
        <f>IF('Loan Tape (S&amp;P)'!T7214="Yes",
    1.35,
    1.00)</f>
        <v/>
      </c>
      <c r="P7214">
        <f>IF('Loan Tape (S&amp;P)'!S7214="Yes",
    1.15,
    1.00)</f>
        <v/>
      </c>
      <c r="Q7214">
        <f>IF('Loan Tape (S&amp;P)'!V7214="Yes",
    1.20,
    1.00)</f>
        <v/>
      </c>
      <c r="T7214">
        <f>LET(
    payment_method,'Loan Tape (S&amp;P)'!P7214,
    occupancy,'Loan Tape (S&amp;P)'!N7214,
    maturity_date,'Loan Tape (S&amp;P)'!L7214,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15">
      <c r="J7215">
        <f>LET(
    lien,'Loan Tape (S&amp;P)'!Q7215,
    IF(lien="First",1.00,
        IF(lien="Second",1.50,
            1.70)))</f>
        <v/>
      </c>
      <c r="K7215">
        <f>LET(
    purpose,'Loan Tape (S&amp;P)'!R7215,
    IF(purpose="Purchase",1.00,
        IF(purpose="Remortgage",1.00,
            1.20)))</f>
        <v/>
      </c>
      <c r="L7215">
        <f>LET(
    arrears_months,'Loan Tape (S&amp;P)'!AN7215,
    IF(arrears_months=0,1.00,
    IF(arrears_months=1,3.00,
    IF(arrears_months=2,5.00,
    IF(arrears_months=3,8.00,
    IF(arrears_months=4,10.00,
    IF(arrears_months=5,12.00,15.00)))))))</f>
        <v/>
      </c>
      <c r="M7215">
        <f>LET(
    seasoning_years,DATEDIF('Loan Tape (S&amp;P)'!K7215,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15">
        <f>IF(AND('Loan Tape (S&amp;P)'!U7215="Yes",
        'Loan Tape (S&amp;P)'!T7215&lt;&gt;"Yes",
        DATEDIF('Loan Tape (S&amp;P)'!K7215, TODAY(), "M")&lt;18),
    1.10,
    1.00)</f>
        <v/>
      </c>
      <c r="O7215">
        <f>IF('Loan Tape (S&amp;P)'!T7215="Yes",
    1.35,
    1.00)</f>
        <v/>
      </c>
      <c r="P7215">
        <f>IF('Loan Tape (S&amp;P)'!S7215="Yes",
    1.15,
    1.00)</f>
        <v/>
      </c>
      <c r="Q7215">
        <f>IF('Loan Tape (S&amp;P)'!V7215="Yes",
    1.20,
    1.00)</f>
        <v/>
      </c>
      <c r="T7215">
        <f>LET(
    payment_method,'Loan Tape (S&amp;P)'!P7215,
    occupancy,'Loan Tape (S&amp;P)'!N7215,
    maturity_date,'Loan Tape (S&amp;P)'!L7215,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16">
      <c r="J7216">
        <f>LET(
    lien,'Loan Tape (S&amp;P)'!Q7216,
    IF(lien="First",1.00,
        IF(lien="Second",1.50,
            1.70)))</f>
        <v/>
      </c>
      <c r="K7216">
        <f>LET(
    purpose,'Loan Tape (S&amp;P)'!R7216,
    IF(purpose="Purchase",1.00,
        IF(purpose="Remortgage",1.00,
            1.20)))</f>
        <v/>
      </c>
      <c r="L7216">
        <f>LET(
    arrears_months,'Loan Tape (S&amp;P)'!AN7216,
    IF(arrears_months=0,1.00,
    IF(arrears_months=1,3.00,
    IF(arrears_months=2,5.00,
    IF(arrears_months=3,8.00,
    IF(arrears_months=4,10.00,
    IF(arrears_months=5,12.00,15.00)))))))</f>
        <v/>
      </c>
      <c r="M7216">
        <f>LET(
    seasoning_years,DATEDIF('Loan Tape (S&amp;P)'!K7216,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16">
        <f>IF(AND('Loan Tape (S&amp;P)'!U7216="Yes",
        'Loan Tape (S&amp;P)'!T7216&lt;&gt;"Yes",
        DATEDIF('Loan Tape (S&amp;P)'!K7216, TODAY(), "M")&lt;18),
    1.10,
    1.00)</f>
        <v/>
      </c>
      <c r="O7216">
        <f>IF('Loan Tape (S&amp;P)'!T7216="Yes",
    1.35,
    1.00)</f>
        <v/>
      </c>
      <c r="P7216">
        <f>IF('Loan Tape (S&amp;P)'!S7216="Yes",
    1.15,
    1.00)</f>
        <v/>
      </c>
      <c r="Q7216">
        <f>IF('Loan Tape (S&amp;P)'!V7216="Yes",
    1.20,
    1.00)</f>
        <v/>
      </c>
      <c r="T7216">
        <f>LET(
    payment_method,'Loan Tape (S&amp;P)'!P7216,
    occupancy,'Loan Tape (S&amp;P)'!N7216,
    maturity_date,'Loan Tape (S&amp;P)'!L7216,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17">
      <c r="J7217">
        <f>LET(
    lien,'Loan Tape (S&amp;P)'!Q7217,
    IF(lien="First",1.00,
        IF(lien="Second",1.50,
            1.70)))</f>
        <v/>
      </c>
      <c r="K7217">
        <f>LET(
    purpose,'Loan Tape (S&amp;P)'!R7217,
    IF(purpose="Purchase",1.00,
        IF(purpose="Remortgage",1.00,
            1.20)))</f>
        <v/>
      </c>
      <c r="L7217">
        <f>LET(
    arrears_months,'Loan Tape (S&amp;P)'!AN7217,
    IF(arrears_months=0,1.00,
    IF(arrears_months=1,3.00,
    IF(arrears_months=2,5.00,
    IF(arrears_months=3,8.00,
    IF(arrears_months=4,10.00,
    IF(arrears_months=5,12.00,15.00)))))))</f>
        <v/>
      </c>
      <c r="M7217">
        <f>LET(
    seasoning_years,DATEDIF('Loan Tape (S&amp;P)'!K7217,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17">
        <f>IF(AND('Loan Tape (S&amp;P)'!U7217="Yes",
        'Loan Tape (S&amp;P)'!T7217&lt;&gt;"Yes",
        DATEDIF('Loan Tape (S&amp;P)'!K7217, TODAY(), "M")&lt;18),
    1.10,
    1.00)</f>
        <v/>
      </c>
      <c r="O7217">
        <f>IF('Loan Tape (S&amp;P)'!T7217="Yes",
    1.35,
    1.00)</f>
        <v/>
      </c>
      <c r="P7217">
        <f>IF('Loan Tape (S&amp;P)'!S7217="Yes",
    1.15,
    1.00)</f>
        <v/>
      </c>
      <c r="Q7217">
        <f>IF('Loan Tape (S&amp;P)'!V7217="Yes",
    1.20,
    1.00)</f>
        <v/>
      </c>
      <c r="T7217">
        <f>LET(
    payment_method,'Loan Tape (S&amp;P)'!P7217,
    occupancy,'Loan Tape (S&amp;P)'!N7217,
    maturity_date,'Loan Tape (S&amp;P)'!L7217,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18">
      <c r="J7218">
        <f>LET(
    lien,'Loan Tape (S&amp;P)'!Q7218,
    IF(lien="First",1.00,
        IF(lien="Second",1.50,
            1.70)))</f>
        <v/>
      </c>
      <c r="K7218">
        <f>LET(
    purpose,'Loan Tape (S&amp;P)'!R7218,
    IF(purpose="Purchase",1.00,
        IF(purpose="Remortgage",1.00,
            1.20)))</f>
        <v/>
      </c>
      <c r="L7218">
        <f>LET(
    arrears_months,'Loan Tape (S&amp;P)'!AN7218,
    IF(arrears_months=0,1.00,
    IF(arrears_months=1,3.00,
    IF(arrears_months=2,5.00,
    IF(arrears_months=3,8.00,
    IF(arrears_months=4,10.00,
    IF(arrears_months=5,12.00,15.00)))))))</f>
        <v/>
      </c>
      <c r="M7218">
        <f>LET(
    seasoning_years,DATEDIF('Loan Tape (S&amp;P)'!K7218,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18">
        <f>IF(AND('Loan Tape (S&amp;P)'!U7218="Yes",
        'Loan Tape (S&amp;P)'!T7218&lt;&gt;"Yes",
        DATEDIF('Loan Tape (S&amp;P)'!K7218, TODAY(), "M")&lt;18),
    1.10,
    1.00)</f>
        <v/>
      </c>
      <c r="O7218">
        <f>IF('Loan Tape (S&amp;P)'!T7218="Yes",
    1.35,
    1.00)</f>
        <v/>
      </c>
      <c r="P7218">
        <f>IF('Loan Tape (S&amp;P)'!S7218="Yes",
    1.15,
    1.00)</f>
        <v/>
      </c>
      <c r="Q7218">
        <f>IF('Loan Tape (S&amp;P)'!V7218="Yes",
    1.20,
    1.00)</f>
        <v/>
      </c>
      <c r="T7218">
        <f>LET(
    payment_method,'Loan Tape (S&amp;P)'!P7218,
    occupancy,'Loan Tape (S&amp;P)'!N7218,
    maturity_date,'Loan Tape (S&amp;P)'!L7218,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19">
      <c r="J7219">
        <f>LET(
    lien,'Loan Tape (S&amp;P)'!Q7219,
    IF(lien="First",1.00,
        IF(lien="Second",1.50,
            1.70)))</f>
        <v/>
      </c>
      <c r="K7219">
        <f>LET(
    purpose,'Loan Tape (S&amp;P)'!R7219,
    IF(purpose="Purchase",1.00,
        IF(purpose="Remortgage",1.00,
            1.20)))</f>
        <v/>
      </c>
      <c r="L7219">
        <f>LET(
    arrears_months,'Loan Tape (S&amp;P)'!AN7219,
    IF(arrears_months=0,1.00,
    IF(arrears_months=1,3.00,
    IF(arrears_months=2,5.00,
    IF(arrears_months=3,8.00,
    IF(arrears_months=4,10.00,
    IF(arrears_months=5,12.00,15.00)))))))</f>
        <v/>
      </c>
      <c r="M7219">
        <f>LET(
    seasoning_years,DATEDIF('Loan Tape (S&amp;P)'!K7219,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19">
        <f>IF(AND('Loan Tape (S&amp;P)'!U7219="Yes",
        'Loan Tape (S&amp;P)'!T7219&lt;&gt;"Yes",
        DATEDIF('Loan Tape (S&amp;P)'!K7219, TODAY(), "M")&lt;18),
    1.10,
    1.00)</f>
        <v/>
      </c>
      <c r="O7219">
        <f>IF('Loan Tape (S&amp;P)'!T7219="Yes",
    1.35,
    1.00)</f>
        <v/>
      </c>
      <c r="P7219">
        <f>IF('Loan Tape (S&amp;P)'!S7219="Yes",
    1.15,
    1.00)</f>
        <v/>
      </c>
      <c r="Q7219">
        <f>IF('Loan Tape (S&amp;P)'!V7219="Yes",
    1.20,
    1.00)</f>
        <v/>
      </c>
      <c r="T7219">
        <f>LET(
    payment_method,'Loan Tape (S&amp;P)'!P7219,
    occupancy,'Loan Tape (S&amp;P)'!N7219,
    maturity_date,'Loan Tape (S&amp;P)'!L7219,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20">
      <c r="J7220">
        <f>LET(
    lien,'Loan Tape (S&amp;P)'!Q7220,
    IF(lien="First",1.00,
        IF(lien="Second",1.50,
            1.70)))</f>
        <v/>
      </c>
      <c r="K7220">
        <f>LET(
    purpose,'Loan Tape (S&amp;P)'!R7220,
    IF(purpose="Purchase",1.00,
        IF(purpose="Remortgage",1.00,
            1.20)))</f>
        <v/>
      </c>
      <c r="L7220">
        <f>LET(
    arrears_months,'Loan Tape (S&amp;P)'!AN7220,
    IF(arrears_months=0,1.00,
    IF(arrears_months=1,3.00,
    IF(arrears_months=2,5.00,
    IF(arrears_months=3,8.00,
    IF(arrears_months=4,10.00,
    IF(arrears_months=5,12.00,15.00)))))))</f>
        <v/>
      </c>
      <c r="M7220">
        <f>LET(
    seasoning_years,DATEDIF('Loan Tape (S&amp;P)'!K7220,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20">
        <f>IF(AND('Loan Tape (S&amp;P)'!U7220="Yes",
        'Loan Tape (S&amp;P)'!T7220&lt;&gt;"Yes",
        DATEDIF('Loan Tape (S&amp;P)'!K7220, TODAY(), "M")&lt;18),
    1.10,
    1.00)</f>
        <v/>
      </c>
      <c r="O7220">
        <f>IF('Loan Tape (S&amp;P)'!T7220="Yes",
    1.35,
    1.00)</f>
        <v/>
      </c>
      <c r="P7220">
        <f>IF('Loan Tape (S&amp;P)'!S7220="Yes",
    1.15,
    1.00)</f>
        <v/>
      </c>
      <c r="Q7220">
        <f>IF('Loan Tape (S&amp;P)'!V7220="Yes",
    1.20,
    1.00)</f>
        <v/>
      </c>
      <c r="T7220">
        <f>LET(
    payment_method,'Loan Tape (S&amp;P)'!P7220,
    occupancy,'Loan Tape (S&amp;P)'!N7220,
    maturity_date,'Loan Tape (S&amp;P)'!L7220,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21">
      <c r="J7221">
        <f>LET(
    lien,'Loan Tape (S&amp;P)'!Q7221,
    IF(lien="First",1.00,
        IF(lien="Second",1.50,
            1.70)))</f>
        <v/>
      </c>
      <c r="K7221">
        <f>LET(
    purpose,'Loan Tape (S&amp;P)'!R7221,
    IF(purpose="Purchase",1.00,
        IF(purpose="Remortgage",1.00,
            1.20)))</f>
        <v/>
      </c>
      <c r="L7221">
        <f>LET(
    arrears_months,'Loan Tape (S&amp;P)'!AN7221,
    IF(arrears_months=0,1.00,
    IF(arrears_months=1,3.00,
    IF(arrears_months=2,5.00,
    IF(arrears_months=3,8.00,
    IF(arrears_months=4,10.00,
    IF(arrears_months=5,12.00,15.00)))))))</f>
        <v/>
      </c>
      <c r="M7221">
        <f>LET(
    seasoning_years,DATEDIF('Loan Tape (S&amp;P)'!K7221,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21">
        <f>IF(AND('Loan Tape (S&amp;P)'!U7221="Yes",
        'Loan Tape (S&amp;P)'!T7221&lt;&gt;"Yes",
        DATEDIF('Loan Tape (S&amp;P)'!K7221, TODAY(), "M")&lt;18),
    1.10,
    1.00)</f>
        <v/>
      </c>
      <c r="O7221">
        <f>IF('Loan Tape (S&amp;P)'!T7221="Yes",
    1.35,
    1.00)</f>
        <v/>
      </c>
      <c r="P7221">
        <f>IF('Loan Tape (S&amp;P)'!S7221="Yes",
    1.15,
    1.00)</f>
        <v/>
      </c>
      <c r="Q7221">
        <f>IF('Loan Tape (S&amp;P)'!V7221="Yes",
    1.20,
    1.00)</f>
        <v/>
      </c>
      <c r="T7221">
        <f>LET(
    payment_method,'Loan Tape (S&amp;P)'!P7221,
    occupancy,'Loan Tape (S&amp;P)'!N7221,
    maturity_date,'Loan Tape (S&amp;P)'!L7221,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22">
      <c r="J7222">
        <f>LET(
    lien,'Loan Tape (S&amp;P)'!Q7222,
    IF(lien="First",1.00,
        IF(lien="Second",1.50,
            1.70)))</f>
        <v/>
      </c>
      <c r="K7222">
        <f>LET(
    purpose,'Loan Tape (S&amp;P)'!R7222,
    IF(purpose="Purchase",1.00,
        IF(purpose="Remortgage",1.00,
            1.20)))</f>
        <v/>
      </c>
      <c r="L7222">
        <f>LET(
    arrears_months,'Loan Tape (S&amp;P)'!AN7222,
    IF(arrears_months=0,1.00,
    IF(arrears_months=1,3.00,
    IF(arrears_months=2,5.00,
    IF(arrears_months=3,8.00,
    IF(arrears_months=4,10.00,
    IF(arrears_months=5,12.00,15.00)))))))</f>
        <v/>
      </c>
      <c r="M7222">
        <f>LET(
    seasoning_years,DATEDIF('Loan Tape (S&amp;P)'!K7222,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22">
        <f>IF(AND('Loan Tape (S&amp;P)'!U7222="Yes",
        'Loan Tape (S&amp;P)'!T7222&lt;&gt;"Yes",
        DATEDIF('Loan Tape (S&amp;P)'!K7222, TODAY(), "M")&lt;18),
    1.10,
    1.00)</f>
        <v/>
      </c>
      <c r="O7222">
        <f>IF('Loan Tape (S&amp;P)'!T7222="Yes",
    1.35,
    1.00)</f>
        <v/>
      </c>
      <c r="P7222">
        <f>IF('Loan Tape (S&amp;P)'!S7222="Yes",
    1.15,
    1.00)</f>
        <v/>
      </c>
      <c r="Q7222">
        <f>IF('Loan Tape (S&amp;P)'!V7222="Yes",
    1.20,
    1.00)</f>
        <v/>
      </c>
      <c r="T7222">
        <f>LET(
    payment_method,'Loan Tape (S&amp;P)'!P7222,
    occupancy,'Loan Tape (S&amp;P)'!N7222,
    maturity_date,'Loan Tape (S&amp;P)'!L7222,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23">
      <c r="J7223">
        <f>LET(
    lien,'Loan Tape (S&amp;P)'!Q7223,
    IF(lien="First",1.00,
        IF(lien="Second",1.50,
            1.70)))</f>
        <v/>
      </c>
      <c r="K7223">
        <f>LET(
    purpose,'Loan Tape (S&amp;P)'!R7223,
    IF(purpose="Purchase",1.00,
        IF(purpose="Remortgage",1.00,
            1.20)))</f>
        <v/>
      </c>
      <c r="L7223">
        <f>LET(
    arrears_months,'Loan Tape (S&amp;P)'!AN7223,
    IF(arrears_months=0,1.00,
    IF(arrears_months=1,3.00,
    IF(arrears_months=2,5.00,
    IF(arrears_months=3,8.00,
    IF(arrears_months=4,10.00,
    IF(arrears_months=5,12.00,15.00)))))))</f>
        <v/>
      </c>
      <c r="M7223">
        <f>LET(
    seasoning_years,DATEDIF('Loan Tape (S&amp;P)'!K7223,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23">
        <f>IF(AND('Loan Tape (S&amp;P)'!U7223="Yes",
        'Loan Tape (S&amp;P)'!T7223&lt;&gt;"Yes",
        DATEDIF('Loan Tape (S&amp;P)'!K7223, TODAY(), "M")&lt;18),
    1.10,
    1.00)</f>
        <v/>
      </c>
      <c r="O7223">
        <f>IF('Loan Tape (S&amp;P)'!T7223="Yes",
    1.35,
    1.00)</f>
        <v/>
      </c>
      <c r="P7223">
        <f>IF('Loan Tape (S&amp;P)'!S7223="Yes",
    1.15,
    1.00)</f>
        <v/>
      </c>
      <c r="Q7223">
        <f>IF('Loan Tape (S&amp;P)'!V7223="Yes",
    1.20,
    1.00)</f>
        <v/>
      </c>
      <c r="T7223">
        <f>LET(
    payment_method,'Loan Tape (S&amp;P)'!P7223,
    occupancy,'Loan Tape (S&amp;P)'!N7223,
    maturity_date,'Loan Tape (S&amp;P)'!L7223,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24">
      <c r="J7224">
        <f>LET(
    lien,'Loan Tape (S&amp;P)'!Q7224,
    IF(lien="First",1.00,
        IF(lien="Second",1.50,
            1.70)))</f>
        <v/>
      </c>
      <c r="K7224">
        <f>LET(
    purpose,'Loan Tape (S&amp;P)'!R7224,
    IF(purpose="Purchase",1.00,
        IF(purpose="Remortgage",1.00,
            1.20)))</f>
        <v/>
      </c>
      <c r="L7224">
        <f>LET(
    arrears_months,'Loan Tape (S&amp;P)'!AN7224,
    IF(arrears_months=0,1.00,
    IF(arrears_months=1,3.00,
    IF(arrears_months=2,5.00,
    IF(arrears_months=3,8.00,
    IF(arrears_months=4,10.00,
    IF(arrears_months=5,12.00,15.00)))))))</f>
        <v/>
      </c>
      <c r="M7224">
        <f>LET(
    seasoning_years,DATEDIF('Loan Tape (S&amp;P)'!K7224,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24">
        <f>IF(AND('Loan Tape (S&amp;P)'!U7224="Yes",
        'Loan Tape (S&amp;P)'!T7224&lt;&gt;"Yes",
        DATEDIF('Loan Tape (S&amp;P)'!K7224, TODAY(), "M")&lt;18),
    1.10,
    1.00)</f>
        <v/>
      </c>
      <c r="O7224">
        <f>IF('Loan Tape (S&amp;P)'!T7224="Yes",
    1.35,
    1.00)</f>
        <v/>
      </c>
      <c r="P7224">
        <f>IF('Loan Tape (S&amp;P)'!S7224="Yes",
    1.15,
    1.00)</f>
        <v/>
      </c>
      <c r="Q7224">
        <f>IF('Loan Tape (S&amp;P)'!V7224="Yes",
    1.20,
    1.00)</f>
        <v/>
      </c>
      <c r="T7224">
        <f>LET(
    payment_method,'Loan Tape (S&amp;P)'!P7224,
    occupancy,'Loan Tape (S&amp;P)'!N7224,
    maturity_date,'Loan Tape (S&amp;P)'!L7224,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25">
      <c r="J7225">
        <f>LET(
    lien,'Loan Tape (S&amp;P)'!Q7225,
    IF(lien="First",1.00,
        IF(lien="Second",1.50,
            1.70)))</f>
        <v/>
      </c>
      <c r="K7225">
        <f>LET(
    purpose,'Loan Tape (S&amp;P)'!R7225,
    IF(purpose="Purchase",1.00,
        IF(purpose="Remortgage",1.00,
            1.20)))</f>
        <v/>
      </c>
      <c r="L7225">
        <f>LET(
    arrears_months,'Loan Tape (S&amp;P)'!AN7225,
    IF(arrears_months=0,1.00,
    IF(arrears_months=1,3.00,
    IF(arrears_months=2,5.00,
    IF(arrears_months=3,8.00,
    IF(arrears_months=4,10.00,
    IF(arrears_months=5,12.00,15.00)))))))</f>
        <v/>
      </c>
      <c r="M7225">
        <f>LET(
    seasoning_years,DATEDIF('Loan Tape (S&amp;P)'!K7225,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25">
        <f>IF(AND('Loan Tape (S&amp;P)'!U7225="Yes",
        'Loan Tape (S&amp;P)'!T7225&lt;&gt;"Yes",
        DATEDIF('Loan Tape (S&amp;P)'!K7225, TODAY(), "M")&lt;18),
    1.10,
    1.00)</f>
        <v/>
      </c>
      <c r="O7225">
        <f>IF('Loan Tape (S&amp;P)'!T7225="Yes",
    1.35,
    1.00)</f>
        <v/>
      </c>
      <c r="P7225">
        <f>IF('Loan Tape (S&amp;P)'!S7225="Yes",
    1.15,
    1.00)</f>
        <v/>
      </c>
      <c r="Q7225">
        <f>IF('Loan Tape (S&amp;P)'!V7225="Yes",
    1.20,
    1.00)</f>
        <v/>
      </c>
      <c r="T7225">
        <f>LET(
    payment_method,'Loan Tape (S&amp;P)'!P7225,
    occupancy,'Loan Tape (S&amp;P)'!N7225,
    maturity_date,'Loan Tape (S&amp;P)'!L7225,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26">
      <c r="J7226">
        <f>LET(
    lien,'Loan Tape (S&amp;P)'!Q7226,
    IF(lien="First",1.00,
        IF(lien="Second",1.50,
            1.70)))</f>
        <v/>
      </c>
      <c r="K7226">
        <f>LET(
    purpose,'Loan Tape (S&amp;P)'!R7226,
    IF(purpose="Purchase",1.00,
        IF(purpose="Remortgage",1.00,
            1.20)))</f>
        <v/>
      </c>
      <c r="L7226">
        <f>LET(
    arrears_months,'Loan Tape (S&amp;P)'!AN7226,
    IF(arrears_months=0,1.00,
    IF(arrears_months=1,3.00,
    IF(arrears_months=2,5.00,
    IF(arrears_months=3,8.00,
    IF(arrears_months=4,10.00,
    IF(arrears_months=5,12.00,15.00)))))))</f>
        <v/>
      </c>
      <c r="M7226">
        <f>LET(
    seasoning_years,DATEDIF('Loan Tape (S&amp;P)'!K7226,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26">
        <f>IF(AND('Loan Tape (S&amp;P)'!U7226="Yes",
        'Loan Tape (S&amp;P)'!T7226&lt;&gt;"Yes",
        DATEDIF('Loan Tape (S&amp;P)'!K7226, TODAY(), "M")&lt;18),
    1.10,
    1.00)</f>
        <v/>
      </c>
      <c r="O7226">
        <f>IF('Loan Tape (S&amp;P)'!T7226="Yes",
    1.35,
    1.00)</f>
        <v/>
      </c>
      <c r="P7226">
        <f>IF('Loan Tape (S&amp;P)'!S7226="Yes",
    1.15,
    1.00)</f>
        <v/>
      </c>
      <c r="Q7226">
        <f>IF('Loan Tape (S&amp;P)'!V7226="Yes",
    1.20,
    1.00)</f>
        <v/>
      </c>
      <c r="T7226">
        <f>LET(
    payment_method,'Loan Tape (S&amp;P)'!P7226,
    occupancy,'Loan Tape (S&amp;P)'!N7226,
    maturity_date,'Loan Tape (S&amp;P)'!L7226,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27">
      <c r="J7227">
        <f>LET(
    lien,'Loan Tape (S&amp;P)'!Q7227,
    IF(lien="First",1.00,
        IF(lien="Second",1.50,
            1.70)))</f>
        <v/>
      </c>
      <c r="K7227">
        <f>LET(
    purpose,'Loan Tape (S&amp;P)'!R7227,
    IF(purpose="Purchase",1.00,
        IF(purpose="Remortgage",1.00,
            1.20)))</f>
        <v/>
      </c>
      <c r="L7227">
        <f>LET(
    arrears_months,'Loan Tape (S&amp;P)'!AN7227,
    IF(arrears_months=0,1.00,
    IF(arrears_months=1,3.00,
    IF(arrears_months=2,5.00,
    IF(arrears_months=3,8.00,
    IF(arrears_months=4,10.00,
    IF(arrears_months=5,12.00,15.00)))))))</f>
        <v/>
      </c>
      <c r="M7227">
        <f>LET(
    seasoning_years,DATEDIF('Loan Tape (S&amp;P)'!K7227,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27">
        <f>IF(AND('Loan Tape (S&amp;P)'!U7227="Yes",
        'Loan Tape (S&amp;P)'!T7227&lt;&gt;"Yes",
        DATEDIF('Loan Tape (S&amp;P)'!K7227, TODAY(), "M")&lt;18),
    1.10,
    1.00)</f>
        <v/>
      </c>
      <c r="O7227">
        <f>IF('Loan Tape (S&amp;P)'!T7227="Yes",
    1.35,
    1.00)</f>
        <v/>
      </c>
      <c r="P7227">
        <f>IF('Loan Tape (S&amp;P)'!S7227="Yes",
    1.15,
    1.00)</f>
        <v/>
      </c>
      <c r="Q7227">
        <f>IF('Loan Tape (S&amp;P)'!V7227="Yes",
    1.20,
    1.00)</f>
        <v/>
      </c>
      <c r="T7227">
        <f>LET(
    payment_method,'Loan Tape (S&amp;P)'!P7227,
    occupancy,'Loan Tape (S&amp;P)'!N7227,
    maturity_date,'Loan Tape (S&amp;P)'!L7227,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28">
      <c r="J7228">
        <f>LET(
    lien,'Loan Tape (S&amp;P)'!Q7228,
    IF(lien="First",1.00,
        IF(lien="Second",1.50,
            1.70)))</f>
        <v/>
      </c>
      <c r="K7228">
        <f>LET(
    purpose,'Loan Tape (S&amp;P)'!R7228,
    IF(purpose="Purchase",1.00,
        IF(purpose="Remortgage",1.00,
            1.20)))</f>
        <v/>
      </c>
      <c r="L7228">
        <f>LET(
    arrears_months,'Loan Tape (S&amp;P)'!AN7228,
    IF(arrears_months=0,1.00,
    IF(arrears_months=1,3.00,
    IF(arrears_months=2,5.00,
    IF(arrears_months=3,8.00,
    IF(arrears_months=4,10.00,
    IF(arrears_months=5,12.00,15.00)))))))</f>
        <v/>
      </c>
      <c r="M7228">
        <f>LET(
    seasoning_years,DATEDIF('Loan Tape (S&amp;P)'!K7228,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28">
        <f>IF(AND('Loan Tape (S&amp;P)'!U7228="Yes",
        'Loan Tape (S&amp;P)'!T7228&lt;&gt;"Yes",
        DATEDIF('Loan Tape (S&amp;P)'!K7228, TODAY(), "M")&lt;18),
    1.10,
    1.00)</f>
        <v/>
      </c>
      <c r="O7228">
        <f>IF('Loan Tape (S&amp;P)'!T7228="Yes",
    1.35,
    1.00)</f>
        <v/>
      </c>
      <c r="P7228">
        <f>IF('Loan Tape (S&amp;P)'!S7228="Yes",
    1.15,
    1.00)</f>
        <v/>
      </c>
      <c r="Q7228">
        <f>IF('Loan Tape (S&amp;P)'!V7228="Yes",
    1.20,
    1.00)</f>
        <v/>
      </c>
      <c r="T7228">
        <f>LET(
    payment_method,'Loan Tape (S&amp;P)'!P7228,
    occupancy,'Loan Tape (S&amp;P)'!N7228,
    maturity_date,'Loan Tape (S&amp;P)'!L7228,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29">
      <c r="J7229">
        <f>LET(
    lien,'Loan Tape (S&amp;P)'!Q7229,
    IF(lien="First",1.00,
        IF(lien="Second",1.50,
            1.70)))</f>
        <v/>
      </c>
      <c r="K7229">
        <f>LET(
    purpose,'Loan Tape (S&amp;P)'!R7229,
    IF(purpose="Purchase",1.00,
        IF(purpose="Remortgage",1.00,
            1.20)))</f>
        <v/>
      </c>
      <c r="L7229">
        <f>LET(
    arrears_months,'Loan Tape (S&amp;P)'!AN7229,
    IF(arrears_months=0,1.00,
    IF(arrears_months=1,3.00,
    IF(arrears_months=2,5.00,
    IF(arrears_months=3,8.00,
    IF(arrears_months=4,10.00,
    IF(arrears_months=5,12.00,15.00)))))))</f>
        <v/>
      </c>
      <c r="M7229">
        <f>LET(
    seasoning_years,DATEDIF('Loan Tape (S&amp;P)'!K7229,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29">
        <f>IF(AND('Loan Tape (S&amp;P)'!U7229="Yes",
        'Loan Tape (S&amp;P)'!T7229&lt;&gt;"Yes",
        DATEDIF('Loan Tape (S&amp;P)'!K7229, TODAY(), "M")&lt;18),
    1.10,
    1.00)</f>
        <v/>
      </c>
      <c r="O7229">
        <f>IF('Loan Tape (S&amp;P)'!T7229="Yes",
    1.35,
    1.00)</f>
        <v/>
      </c>
      <c r="P7229">
        <f>IF('Loan Tape (S&amp;P)'!S7229="Yes",
    1.15,
    1.00)</f>
        <v/>
      </c>
      <c r="Q7229">
        <f>IF('Loan Tape (S&amp;P)'!V7229="Yes",
    1.20,
    1.00)</f>
        <v/>
      </c>
      <c r="T7229">
        <f>LET(
    payment_method,'Loan Tape (S&amp;P)'!P7229,
    occupancy,'Loan Tape (S&amp;P)'!N7229,
    maturity_date,'Loan Tape (S&amp;P)'!L7229,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30">
      <c r="J7230">
        <f>LET(
    lien,'Loan Tape (S&amp;P)'!Q7230,
    IF(lien="First",1.00,
        IF(lien="Second",1.50,
            1.70)))</f>
        <v/>
      </c>
      <c r="K7230">
        <f>LET(
    purpose,'Loan Tape (S&amp;P)'!R7230,
    IF(purpose="Purchase",1.00,
        IF(purpose="Remortgage",1.00,
            1.20)))</f>
        <v/>
      </c>
      <c r="L7230">
        <f>LET(
    arrears_months,'Loan Tape (S&amp;P)'!AN7230,
    IF(arrears_months=0,1.00,
    IF(arrears_months=1,3.00,
    IF(arrears_months=2,5.00,
    IF(arrears_months=3,8.00,
    IF(arrears_months=4,10.00,
    IF(arrears_months=5,12.00,15.00)))))))</f>
        <v/>
      </c>
      <c r="M7230">
        <f>LET(
    seasoning_years,DATEDIF('Loan Tape (S&amp;P)'!K7230,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30">
        <f>IF(AND('Loan Tape (S&amp;P)'!U7230="Yes",
        'Loan Tape (S&amp;P)'!T7230&lt;&gt;"Yes",
        DATEDIF('Loan Tape (S&amp;P)'!K7230, TODAY(), "M")&lt;18),
    1.10,
    1.00)</f>
        <v/>
      </c>
      <c r="O7230">
        <f>IF('Loan Tape (S&amp;P)'!T7230="Yes",
    1.35,
    1.00)</f>
        <v/>
      </c>
      <c r="P7230">
        <f>IF('Loan Tape (S&amp;P)'!S7230="Yes",
    1.15,
    1.00)</f>
        <v/>
      </c>
      <c r="Q7230">
        <f>IF('Loan Tape (S&amp;P)'!V7230="Yes",
    1.20,
    1.00)</f>
        <v/>
      </c>
      <c r="T7230">
        <f>LET(
    payment_method,'Loan Tape (S&amp;P)'!P7230,
    occupancy,'Loan Tape (S&amp;P)'!N7230,
    maturity_date,'Loan Tape (S&amp;P)'!L7230,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31">
      <c r="J7231">
        <f>LET(
    lien,'Loan Tape (S&amp;P)'!Q7231,
    IF(lien="First",1.00,
        IF(lien="Second",1.50,
            1.70)))</f>
        <v/>
      </c>
      <c r="K7231">
        <f>LET(
    purpose,'Loan Tape (S&amp;P)'!R7231,
    IF(purpose="Purchase",1.00,
        IF(purpose="Remortgage",1.00,
            1.20)))</f>
        <v/>
      </c>
      <c r="L7231">
        <f>LET(
    arrears_months,'Loan Tape (S&amp;P)'!AN7231,
    IF(arrears_months=0,1.00,
    IF(arrears_months=1,3.00,
    IF(arrears_months=2,5.00,
    IF(arrears_months=3,8.00,
    IF(arrears_months=4,10.00,
    IF(arrears_months=5,12.00,15.00)))))))</f>
        <v/>
      </c>
      <c r="M7231">
        <f>LET(
    seasoning_years,DATEDIF('Loan Tape (S&amp;P)'!K7231,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31">
        <f>IF(AND('Loan Tape (S&amp;P)'!U7231="Yes",
        'Loan Tape (S&amp;P)'!T7231&lt;&gt;"Yes",
        DATEDIF('Loan Tape (S&amp;P)'!K7231, TODAY(), "M")&lt;18),
    1.10,
    1.00)</f>
        <v/>
      </c>
      <c r="O7231">
        <f>IF('Loan Tape (S&amp;P)'!T7231="Yes",
    1.35,
    1.00)</f>
        <v/>
      </c>
      <c r="P7231">
        <f>IF('Loan Tape (S&amp;P)'!S7231="Yes",
    1.15,
    1.00)</f>
        <v/>
      </c>
      <c r="Q7231">
        <f>IF('Loan Tape (S&amp;P)'!V7231="Yes",
    1.20,
    1.00)</f>
        <v/>
      </c>
      <c r="T7231">
        <f>LET(
    payment_method,'Loan Tape (S&amp;P)'!P7231,
    occupancy,'Loan Tape (S&amp;P)'!N7231,
    maturity_date,'Loan Tape (S&amp;P)'!L7231,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32">
      <c r="J7232">
        <f>LET(
    lien,'Loan Tape (S&amp;P)'!Q7232,
    IF(lien="First",1.00,
        IF(lien="Second",1.50,
            1.70)))</f>
        <v/>
      </c>
      <c r="K7232">
        <f>LET(
    purpose,'Loan Tape (S&amp;P)'!R7232,
    IF(purpose="Purchase",1.00,
        IF(purpose="Remortgage",1.00,
            1.20)))</f>
        <v/>
      </c>
      <c r="L7232">
        <f>LET(
    arrears_months,'Loan Tape (S&amp;P)'!AN7232,
    IF(arrears_months=0,1.00,
    IF(arrears_months=1,3.00,
    IF(arrears_months=2,5.00,
    IF(arrears_months=3,8.00,
    IF(arrears_months=4,10.00,
    IF(arrears_months=5,12.00,15.00)))))))</f>
        <v/>
      </c>
      <c r="M7232">
        <f>LET(
    seasoning_years,DATEDIF('Loan Tape (S&amp;P)'!K7232,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32">
        <f>IF(AND('Loan Tape (S&amp;P)'!U7232="Yes",
        'Loan Tape (S&amp;P)'!T7232&lt;&gt;"Yes",
        DATEDIF('Loan Tape (S&amp;P)'!K7232, TODAY(), "M")&lt;18),
    1.10,
    1.00)</f>
        <v/>
      </c>
      <c r="O7232">
        <f>IF('Loan Tape (S&amp;P)'!T7232="Yes",
    1.35,
    1.00)</f>
        <v/>
      </c>
      <c r="P7232">
        <f>IF('Loan Tape (S&amp;P)'!S7232="Yes",
    1.15,
    1.00)</f>
        <v/>
      </c>
      <c r="Q7232">
        <f>IF('Loan Tape (S&amp;P)'!V7232="Yes",
    1.20,
    1.00)</f>
        <v/>
      </c>
      <c r="T7232">
        <f>LET(
    payment_method,'Loan Tape (S&amp;P)'!P7232,
    occupancy,'Loan Tape (S&amp;P)'!N7232,
    maturity_date,'Loan Tape (S&amp;P)'!L7232,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33">
      <c r="J7233">
        <f>LET(
    lien,'Loan Tape (S&amp;P)'!Q7233,
    IF(lien="First",1.00,
        IF(lien="Second",1.50,
            1.70)))</f>
        <v/>
      </c>
      <c r="K7233">
        <f>LET(
    purpose,'Loan Tape (S&amp;P)'!R7233,
    IF(purpose="Purchase",1.00,
        IF(purpose="Remortgage",1.00,
            1.20)))</f>
        <v/>
      </c>
      <c r="L7233">
        <f>LET(
    arrears_months,'Loan Tape (S&amp;P)'!AN7233,
    IF(arrears_months=0,1.00,
    IF(arrears_months=1,3.00,
    IF(arrears_months=2,5.00,
    IF(arrears_months=3,8.00,
    IF(arrears_months=4,10.00,
    IF(arrears_months=5,12.00,15.00)))))))</f>
        <v/>
      </c>
      <c r="M7233">
        <f>LET(
    seasoning_years,DATEDIF('Loan Tape (S&amp;P)'!K7233,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33">
        <f>IF(AND('Loan Tape (S&amp;P)'!U7233="Yes",
        'Loan Tape (S&amp;P)'!T7233&lt;&gt;"Yes",
        DATEDIF('Loan Tape (S&amp;P)'!K7233, TODAY(), "M")&lt;18),
    1.10,
    1.00)</f>
        <v/>
      </c>
      <c r="O7233">
        <f>IF('Loan Tape (S&amp;P)'!T7233="Yes",
    1.35,
    1.00)</f>
        <v/>
      </c>
      <c r="P7233">
        <f>IF('Loan Tape (S&amp;P)'!S7233="Yes",
    1.15,
    1.00)</f>
        <v/>
      </c>
      <c r="Q7233">
        <f>IF('Loan Tape (S&amp;P)'!V7233="Yes",
    1.20,
    1.00)</f>
        <v/>
      </c>
      <c r="T7233">
        <f>LET(
    payment_method,'Loan Tape (S&amp;P)'!P7233,
    occupancy,'Loan Tape (S&amp;P)'!N7233,
    maturity_date,'Loan Tape (S&amp;P)'!L7233,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34">
      <c r="J7234">
        <f>LET(
    lien,'Loan Tape (S&amp;P)'!Q7234,
    IF(lien="First",1.00,
        IF(lien="Second",1.50,
            1.70)))</f>
        <v/>
      </c>
      <c r="K7234">
        <f>LET(
    purpose,'Loan Tape (S&amp;P)'!R7234,
    IF(purpose="Purchase",1.00,
        IF(purpose="Remortgage",1.00,
            1.20)))</f>
        <v/>
      </c>
      <c r="L7234">
        <f>LET(
    arrears_months,'Loan Tape (S&amp;P)'!AN7234,
    IF(arrears_months=0,1.00,
    IF(arrears_months=1,3.00,
    IF(arrears_months=2,5.00,
    IF(arrears_months=3,8.00,
    IF(arrears_months=4,10.00,
    IF(arrears_months=5,12.00,15.00)))))))</f>
        <v/>
      </c>
      <c r="M7234">
        <f>LET(
    seasoning_years,DATEDIF('Loan Tape (S&amp;P)'!K7234,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34">
        <f>IF(AND('Loan Tape (S&amp;P)'!U7234="Yes",
        'Loan Tape (S&amp;P)'!T7234&lt;&gt;"Yes",
        DATEDIF('Loan Tape (S&amp;P)'!K7234, TODAY(), "M")&lt;18),
    1.10,
    1.00)</f>
        <v/>
      </c>
      <c r="O7234">
        <f>IF('Loan Tape (S&amp;P)'!T7234="Yes",
    1.35,
    1.00)</f>
        <v/>
      </c>
      <c r="P7234">
        <f>IF('Loan Tape (S&amp;P)'!S7234="Yes",
    1.15,
    1.00)</f>
        <v/>
      </c>
      <c r="Q7234">
        <f>IF('Loan Tape (S&amp;P)'!V7234="Yes",
    1.20,
    1.00)</f>
        <v/>
      </c>
      <c r="T7234">
        <f>LET(
    payment_method,'Loan Tape (S&amp;P)'!P7234,
    occupancy,'Loan Tape (S&amp;P)'!N7234,
    maturity_date,'Loan Tape (S&amp;P)'!L7234,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35">
      <c r="J7235">
        <f>LET(
    lien,'Loan Tape (S&amp;P)'!Q7235,
    IF(lien="First",1.00,
        IF(lien="Second",1.50,
            1.70)))</f>
        <v/>
      </c>
      <c r="K7235">
        <f>LET(
    purpose,'Loan Tape (S&amp;P)'!R7235,
    IF(purpose="Purchase",1.00,
        IF(purpose="Remortgage",1.00,
            1.20)))</f>
        <v/>
      </c>
      <c r="L7235">
        <f>LET(
    arrears_months,'Loan Tape (S&amp;P)'!AN7235,
    IF(arrears_months=0,1.00,
    IF(arrears_months=1,3.00,
    IF(arrears_months=2,5.00,
    IF(arrears_months=3,8.00,
    IF(arrears_months=4,10.00,
    IF(arrears_months=5,12.00,15.00)))))))</f>
        <v/>
      </c>
      <c r="M7235">
        <f>LET(
    seasoning_years,DATEDIF('Loan Tape (S&amp;P)'!K7235,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35">
        <f>IF(AND('Loan Tape (S&amp;P)'!U7235="Yes",
        'Loan Tape (S&amp;P)'!T7235&lt;&gt;"Yes",
        DATEDIF('Loan Tape (S&amp;P)'!K7235, TODAY(), "M")&lt;18),
    1.10,
    1.00)</f>
        <v/>
      </c>
      <c r="O7235">
        <f>IF('Loan Tape (S&amp;P)'!T7235="Yes",
    1.35,
    1.00)</f>
        <v/>
      </c>
      <c r="P7235">
        <f>IF('Loan Tape (S&amp;P)'!S7235="Yes",
    1.15,
    1.00)</f>
        <v/>
      </c>
      <c r="Q7235">
        <f>IF('Loan Tape (S&amp;P)'!V7235="Yes",
    1.20,
    1.00)</f>
        <v/>
      </c>
      <c r="T7235">
        <f>LET(
    payment_method,'Loan Tape (S&amp;P)'!P7235,
    occupancy,'Loan Tape (S&amp;P)'!N7235,
    maturity_date,'Loan Tape (S&amp;P)'!L7235,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36">
      <c r="J7236">
        <f>LET(
    lien,'Loan Tape (S&amp;P)'!Q7236,
    IF(lien="First",1.00,
        IF(lien="Second",1.50,
            1.70)))</f>
        <v/>
      </c>
      <c r="K7236">
        <f>LET(
    purpose,'Loan Tape (S&amp;P)'!R7236,
    IF(purpose="Purchase",1.00,
        IF(purpose="Remortgage",1.00,
            1.20)))</f>
        <v/>
      </c>
      <c r="L7236">
        <f>LET(
    arrears_months,'Loan Tape (S&amp;P)'!AN7236,
    IF(arrears_months=0,1.00,
    IF(arrears_months=1,3.00,
    IF(arrears_months=2,5.00,
    IF(arrears_months=3,8.00,
    IF(arrears_months=4,10.00,
    IF(arrears_months=5,12.00,15.00)))))))</f>
        <v/>
      </c>
      <c r="M7236">
        <f>LET(
    seasoning_years,DATEDIF('Loan Tape (S&amp;P)'!K7236,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36">
        <f>IF(AND('Loan Tape (S&amp;P)'!U7236="Yes",
        'Loan Tape (S&amp;P)'!T7236&lt;&gt;"Yes",
        DATEDIF('Loan Tape (S&amp;P)'!K7236, TODAY(), "M")&lt;18),
    1.10,
    1.00)</f>
        <v/>
      </c>
      <c r="O7236">
        <f>IF('Loan Tape (S&amp;P)'!T7236="Yes",
    1.35,
    1.00)</f>
        <v/>
      </c>
      <c r="P7236">
        <f>IF('Loan Tape (S&amp;P)'!S7236="Yes",
    1.15,
    1.00)</f>
        <v/>
      </c>
      <c r="Q7236">
        <f>IF('Loan Tape (S&amp;P)'!V7236="Yes",
    1.20,
    1.00)</f>
        <v/>
      </c>
      <c r="T7236">
        <f>LET(
    payment_method,'Loan Tape (S&amp;P)'!P7236,
    occupancy,'Loan Tape (S&amp;P)'!N7236,
    maturity_date,'Loan Tape (S&amp;P)'!L7236,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37">
      <c r="J7237">
        <f>LET(
    lien,'Loan Tape (S&amp;P)'!Q7237,
    IF(lien="First",1.00,
        IF(lien="Second",1.50,
            1.70)))</f>
        <v/>
      </c>
      <c r="K7237">
        <f>LET(
    purpose,'Loan Tape (S&amp;P)'!R7237,
    IF(purpose="Purchase",1.00,
        IF(purpose="Remortgage",1.00,
            1.20)))</f>
        <v/>
      </c>
      <c r="L7237">
        <f>LET(
    arrears_months,'Loan Tape (S&amp;P)'!AN7237,
    IF(arrears_months=0,1.00,
    IF(arrears_months=1,3.00,
    IF(arrears_months=2,5.00,
    IF(arrears_months=3,8.00,
    IF(arrears_months=4,10.00,
    IF(arrears_months=5,12.00,15.00)))))))</f>
        <v/>
      </c>
      <c r="M7237">
        <f>LET(
    seasoning_years,DATEDIF('Loan Tape (S&amp;P)'!K7237,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37">
        <f>IF(AND('Loan Tape (S&amp;P)'!U7237="Yes",
        'Loan Tape (S&amp;P)'!T7237&lt;&gt;"Yes",
        DATEDIF('Loan Tape (S&amp;P)'!K7237, TODAY(), "M")&lt;18),
    1.10,
    1.00)</f>
        <v/>
      </c>
      <c r="O7237">
        <f>IF('Loan Tape (S&amp;P)'!T7237="Yes",
    1.35,
    1.00)</f>
        <v/>
      </c>
      <c r="P7237">
        <f>IF('Loan Tape (S&amp;P)'!S7237="Yes",
    1.15,
    1.00)</f>
        <v/>
      </c>
      <c r="Q7237">
        <f>IF('Loan Tape (S&amp;P)'!V7237="Yes",
    1.20,
    1.00)</f>
        <v/>
      </c>
      <c r="T7237">
        <f>LET(
    payment_method,'Loan Tape (S&amp;P)'!P7237,
    occupancy,'Loan Tape (S&amp;P)'!N7237,
    maturity_date,'Loan Tape (S&amp;P)'!L7237,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38">
      <c r="J7238">
        <f>LET(
    lien,'Loan Tape (S&amp;P)'!Q7238,
    IF(lien="First",1.00,
        IF(lien="Second",1.50,
            1.70)))</f>
        <v/>
      </c>
      <c r="K7238">
        <f>LET(
    purpose,'Loan Tape (S&amp;P)'!R7238,
    IF(purpose="Purchase",1.00,
        IF(purpose="Remortgage",1.00,
            1.20)))</f>
        <v/>
      </c>
      <c r="L7238">
        <f>LET(
    arrears_months,'Loan Tape (S&amp;P)'!AN7238,
    IF(arrears_months=0,1.00,
    IF(arrears_months=1,3.00,
    IF(arrears_months=2,5.00,
    IF(arrears_months=3,8.00,
    IF(arrears_months=4,10.00,
    IF(arrears_months=5,12.00,15.00)))))))</f>
        <v/>
      </c>
      <c r="M7238">
        <f>LET(
    seasoning_years,DATEDIF('Loan Tape (S&amp;P)'!K7238,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38">
        <f>IF(AND('Loan Tape (S&amp;P)'!U7238="Yes",
        'Loan Tape (S&amp;P)'!T7238&lt;&gt;"Yes",
        DATEDIF('Loan Tape (S&amp;P)'!K7238, TODAY(), "M")&lt;18),
    1.10,
    1.00)</f>
        <v/>
      </c>
      <c r="O7238">
        <f>IF('Loan Tape (S&amp;P)'!T7238="Yes",
    1.35,
    1.00)</f>
        <v/>
      </c>
      <c r="P7238">
        <f>IF('Loan Tape (S&amp;P)'!S7238="Yes",
    1.15,
    1.00)</f>
        <v/>
      </c>
      <c r="Q7238">
        <f>IF('Loan Tape (S&amp;P)'!V7238="Yes",
    1.20,
    1.00)</f>
        <v/>
      </c>
      <c r="T7238">
        <f>LET(
    payment_method,'Loan Tape (S&amp;P)'!P7238,
    occupancy,'Loan Tape (S&amp;P)'!N7238,
    maturity_date,'Loan Tape (S&amp;P)'!L7238,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39">
      <c r="J7239">
        <f>LET(
    lien,'Loan Tape (S&amp;P)'!Q7239,
    IF(lien="First",1.00,
        IF(lien="Second",1.50,
            1.70)))</f>
        <v/>
      </c>
      <c r="K7239">
        <f>LET(
    purpose,'Loan Tape (S&amp;P)'!R7239,
    IF(purpose="Purchase",1.00,
        IF(purpose="Remortgage",1.00,
            1.20)))</f>
        <v/>
      </c>
      <c r="L7239">
        <f>LET(
    arrears_months,'Loan Tape (S&amp;P)'!AN7239,
    IF(arrears_months=0,1.00,
    IF(arrears_months=1,3.00,
    IF(arrears_months=2,5.00,
    IF(arrears_months=3,8.00,
    IF(arrears_months=4,10.00,
    IF(arrears_months=5,12.00,15.00)))))))</f>
        <v/>
      </c>
      <c r="M7239">
        <f>LET(
    seasoning_years,DATEDIF('Loan Tape (S&amp;P)'!K7239,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39">
        <f>IF(AND('Loan Tape (S&amp;P)'!U7239="Yes",
        'Loan Tape (S&amp;P)'!T7239&lt;&gt;"Yes",
        DATEDIF('Loan Tape (S&amp;P)'!K7239, TODAY(), "M")&lt;18),
    1.10,
    1.00)</f>
        <v/>
      </c>
      <c r="O7239">
        <f>IF('Loan Tape (S&amp;P)'!T7239="Yes",
    1.35,
    1.00)</f>
        <v/>
      </c>
      <c r="P7239">
        <f>IF('Loan Tape (S&amp;P)'!S7239="Yes",
    1.15,
    1.00)</f>
        <v/>
      </c>
      <c r="Q7239">
        <f>IF('Loan Tape (S&amp;P)'!V7239="Yes",
    1.20,
    1.00)</f>
        <v/>
      </c>
      <c r="T7239">
        <f>LET(
    payment_method,'Loan Tape (S&amp;P)'!P7239,
    occupancy,'Loan Tape (S&amp;P)'!N7239,
    maturity_date,'Loan Tape (S&amp;P)'!L7239,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40">
      <c r="J7240">
        <f>LET(
    lien,'Loan Tape (S&amp;P)'!Q7240,
    IF(lien="First",1.00,
        IF(lien="Second",1.50,
            1.70)))</f>
        <v/>
      </c>
      <c r="K7240">
        <f>LET(
    purpose,'Loan Tape (S&amp;P)'!R7240,
    IF(purpose="Purchase",1.00,
        IF(purpose="Remortgage",1.00,
            1.20)))</f>
        <v/>
      </c>
      <c r="L7240">
        <f>LET(
    arrears_months,'Loan Tape (S&amp;P)'!AN7240,
    IF(arrears_months=0,1.00,
    IF(arrears_months=1,3.00,
    IF(arrears_months=2,5.00,
    IF(arrears_months=3,8.00,
    IF(arrears_months=4,10.00,
    IF(arrears_months=5,12.00,15.00)))))))</f>
        <v/>
      </c>
      <c r="M7240">
        <f>LET(
    seasoning_years,DATEDIF('Loan Tape (S&amp;P)'!K7240,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40">
        <f>IF(AND('Loan Tape (S&amp;P)'!U7240="Yes",
        'Loan Tape (S&amp;P)'!T7240&lt;&gt;"Yes",
        DATEDIF('Loan Tape (S&amp;P)'!K7240, TODAY(), "M")&lt;18),
    1.10,
    1.00)</f>
        <v/>
      </c>
      <c r="O7240">
        <f>IF('Loan Tape (S&amp;P)'!T7240="Yes",
    1.35,
    1.00)</f>
        <v/>
      </c>
      <c r="P7240">
        <f>IF('Loan Tape (S&amp;P)'!S7240="Yes",
    1.15,
    1.00)</f>
        <v/>
      </c>
      <c r="Q7240">
        <f>IF('Loan Tape (S&amp;P)'!V7240="Yes",
    1.20,
    1.00)</f>
        <v/>
      </c>
      <c r="T7240">
        <f>LET(
    payment_method,'Loan Tape (S&amp;P)'!P7240,
    occupancy,'Loan Tape (S&amp;P)'!N7240,
    maturity_date,'Loan Tape (S&amp;P)'!L7240,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41">
      <c r="J7241">
        <f>LET(
    lien,'Loan Tape (S&amp;P)'!Q7241,
    IF(lien="First",1.00,
        IF(lien="Second",1.50,
            1.70)))</f>
        <v/>
      </c>
      <c r="K7241">
        <f>LET(
    purpose,'Loan Tape (S&amp;P)'!R7241,
    IF(purpose="Purchase",1.00,
        IF(purpose="Remortgage",1.00,
            1.20)))</f>
        <v/>
      </c>
      <c r="L7241">
        <f>LET(
    arrears_months,'Loan Tape (S&amp;P)'!AN7241,
    IF(arrears_months=0,1.00,
    IF(arrears_months=1,3.00,
    IF(arrears_months=2,5.00,
    IF(arrears_months=3,8.00,
    IF(arrears_months=4,10.00,
    IF(arrears_months=5,12.00,15.00)))))))</f>
        <v/>
      </c>
      <c r="M7241">
        <f>LET(
    seasoning_years,DATEDIF('Loan Tape (S&amp;P)'!K7241,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41">
        <f>IF(AND('Loan Tape (S&amp;P)'!U7241="Yes",
        'Loan Tape (S&amp;P)'!T7241&lt;&gt;"Yes",
        DATEDIF('Loan Tape (S&amp;P)'!K7241, TODAY(), "M")&lt;18),
    1.10,
    1.00)</f>
        <v/>
      </c>
      <c r="O7241">
        <f>IF('Loan Tape (S&amp;P)'!T7241="Yes",
    1.35,
    1.00)</f>
        <v/>
      </c>
      <c r="P7241">
        <f>IF('Loan Tape (S&amp;P)'!S7241="Yes",
    1.15,
    1.00)</f>
        <v/>
      </c>
      <c r="Q7241">
        <f>IF('Loan Tape (S&amp;P)'!V7241="Yes",
    1.20,
    1.00)</f>
        <v/>
      </c>
      <c r="T7241">
        <f>LET(
    payment_method,'Loan Tape (S&amp;P)'!P7241,
    occupancy,'Loan Tape (S&amp;P)'!N7241,
    maturity_date,'Loan Tape (S&amp;P)'!L7241,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42">
      <c r="J7242">
        <f>LET(
    lien,'Loan Tape (S&amp;P)'!Q7242,
    IF(lien="First",1.00,
        IF(lien="Second",1.50,
            1.70)))</f>
        <v/>
      </c>
      <c r="K7242">
        <f>LET(
    purpose,'Loan Tape (S&amp;P)'!R7242,
    IF(purpose="Purchase",1.00,
        IF(purpose="Remortgage",1.00,
            1.20)))</f>
        <v/>
      </c>
      <c r="L7242">
        <f>LET(
    arrears_months,'Loan Tape (S&amp;P)'!AN7242,
    IF(arrears_months=0,1.00,
    IF(arrears_months=1,3.00,
    IF(arrears_months=2,5.00,
    IF(arrears_months=3,8.00,
    IF(arrears_months=4,10.00,
    IF(arrears_months=5,12.00,15.00)))))))</f>
        <v/>
      </c>
      <c r="M7242">
        <f>LET(
    seasoning_years,DATEDIF('Loan Tape (S&amp;P)'!K7242,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42">
        <f>IF(AND('Loan Tape (S&amp;P)'!U7242="Yes",
        'Loan Tape (S&amp;P)'!T7242&lt;&gt;"Yes",
        DATEDIF('Loan Tape (S&amp;P)'!K7242, TODAY(), "M")&lt;18),
    1.10,
    1.00)</f>
        <v/>
      </c>
      <c r="O7242">
        <f>IF('Loan Tape (S&amp;P)'!T7242="Yes",
    1.35,
    1.00)</f>
        <v/>
      </c>
      <c r="P7242">
        <f>IF('Loan Tape (S&amp;P)'!S7242="Yes",
    1.15,
    1.00)</f>
        <v/>
      </c>
      <c r="Q7242">
        <f>IF('Loan Tape (S&amp;P)'!V7242="Yes",
    1.20,
    1.00)</f>
        <v/>
      </c>
      <c r="T7242">
        <f>LET(
    payment_method,'Loan Tape (S&amp;P)'!P7242,
    occupancy,'Loan Tape (S&amp;P)'!N7242,
    maturity_date,'Loan Tape (S&amp;P)'!L7242,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43">
      <c r="J7243">
        <f>LET(
    lien,'Loan Tape (S&amp;P)'!Q7243,
    IF(lien="First",1.00,
        IF(lien="Second",1.50,
            1.70)))</f>
        <v/>
      </c>
      <c r="K7243">
        <f>LET(
    purpose,'Loan Tape (S&amp;P)'!R7243,
    IF(purpose="Purchase",1.00,
        IF(purpose="Remortgage",1.00,
            1.20)))</f>
        <v/>
      </c>
      <c r="L7243">
        <f>LET(
    arrears_months,'Loan Tape (S&amp;P)'!AN7243,
    IF(arrears_months=0,1.00,
    IF(arrears_months=1,3.00,
    IF(arrears_months=2,5.00,
    IF(arrears_months=3,8.00,
    IF(arrears_months=4,10.00,
    IF(arrears_months=5,12.00,15.00)))))))</f>
        <v/>
      </c>
      <c r="M7243">
        <f>LET(
    seasoning_years,DATEDIF('Loan Tape (S&amp;P)'!K7243,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43">
        <f>IF(AND('Loan Tape (S&amp;P)'!U7243="Yes",
        'Loan Tape (S&amp;P)'!T7243&lt;&gt;"Yes",
        DATEDIF('Loan Tape (S&amp;P)'!K7243, TODAY(), "M")&lt;18),
    1.10,
    1.00)</f>
        <v/>
      </c>
      <c r="O7243">
        <f>IF('Loan Tape (S&amp;P)'!T7243="Yes",
    1.35,
    1.00)</f>
        <v/>
      </c>
      <c r="P7243">
        <f>IF('Loan Tape (S&amp;P)'!S7243="Yes",
    1.15,
    1.00)</f>
        <v/>
      </c>
      <c r="Q7243">
        <f>IF('Loan Tape (S&amp;P)'!V7243="Yes",
    1.20,
    1.00)</f>
        <v/>
      </c>
      <c r="T7243">
        <f>LET(
    payment_method,'Loan Tape (S&amp;P)'!P7243,
    occupancy,'Loan Tape (S&amp;P)'!N7243,
    maturity_date,'Loan Tape (S&amp;P)'!L7243,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44">
      <c r="J7244">
        <f>LET(
    lien,'Loan Tape (S&amp;P)'!Q7244,
    IF(lien="First",1.00,
        IF(lien="Second",1.50,
            1.70)))</f>
        <v/>
      </c>
      <c r="K7244">
        <f>LET(
    purpose,'Loan Tape (S&amp;P)'!R7244,
    IF(purpose="Purchase",1.00,
        IF(purpose="Remortgage",1.00,
            1.20)))</f>
        <v/>
      </c>
      <c r="L7244">
        <f>LET(
    arrears_months,'Loan Tape (S&amp;P)'!AN7244,
    IF(arrears_months=0,1.00,
    IF(arrears_months=1,3.00,
    IF(arrears_months=2,5.00,
    IF(arrears_months=3,8.00,
    IF(arrears_months=4,10.00,
    IF(arrears_months=5,12.00,15.00)))))))</f>
        <v/>
      </c>
      <c r="M7244">
        <f>LET(
    seasoning_years,DATEDIF('Loan Tape (S&amp;P)'!K7244,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44">
        <f>IF(AND('Loan Tape (S&amp;P)'!U7244="Yes",
        'Loan Tape (S&amp;P)'!T7244&lt;&gt;"Yes",
        DATEDIF('Loan Tape (S&amp;P)'!K7244, TODAY(), "M")&lt;18),
    1.10,
    1.00)</f>
        <v/>
      </c>
      <c r="O7244">
        <f>IF('Loan Tape (S&amp;P)'!T7244="Yes",
    1.35,
    1.00)</f>
        <v/>
      </c>
      <c r="P7244">
        <f>IF('Loan Tape (S&amp;P)'!S7244="Yes",
    1.15,
    1.00)</f>
        <v/>
      </c>
      <c r="Q7244">
        <f>IF('Loan Tape (S&amp;P)'!V7244="Yes",
    1.20,
    1.00)</f>
        <v/>
      </c>
      <c r="T7244">
        <f>LET(
    payment_method,'Loan Tape (S&amp;P)'!P7244,
    occupancy,'Loan Tape (S&amp;P)'!N7244,
    maturity_date,'Loan Tape (S&amp;P)'!L7244,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45">
      <c r="J7245">
        <f>LET(
    lien,'Loan Tape (S&amp;P)'!Q7245,
    IF(lien="First",1.00,
        IF(lien="Second",1.50,
            1.70)))</f>
        <v/>
      </c>
      <c r="K7245">
        <f>LET(
    purpose,'Loan Tape (S&amp;P)'!R7245,
    IF(purpose="Purchase",1.00,
        IF(purpose="Remortgage",1.00,
            1.20)))</f>
        <v/>
      </c>
      <c r="L7245">
        <f>LET(
    arrears_months,'Loan Tape (S&amp;P)'!AN7245,
    IF(arrears_months=0,1.00,
    IF(arrears_months=1,3.00,
    IF(arrears_months=2,5.00,
    IF(arrears_months=3,8.00,
    IF(arrears_months=4,10.00,
    IF(arrears_months=5,12.00,15.00)))))))</f>
        <v/>
      </c>
      <c r="M7245">
        <f>LET(
    seasoning_years,DATEDIF('Loan Tape (S&amp;P)'!K7245,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45">
        <f>IF(AND('Loan Tape (S&amp;P)'!U7245="Yes",
        'Loan Tape (S&amp;P)'!T7245&lt;&gt;"Yes",
        DATEDIF('Loan Tape (S&amp;P)'!K7245, TODAY(), "M")&lt;18),
    1.10,
    1.00)</f>
        <v/>
      </c>
      <c r="O7245">
        <f>IF('Loan Tape (S&amp;P)'!T7245="Yes",
    1.35,
    1.00)</f>
        <v/>
      </c>
      <c r="P7245">
        <f>IF('Loan Tape (S&amp;P)'!S7245="Yes",
    1.15,
    1.00)</f>
        <v/>
      </c>
      <c r="Q7245">
        <f>IF('Loan Tape (S&amp;P)'!V7245="Yes",
    1.20,
    1.00)</f>
        <v/>
      </c>
      <c r="T7245">
        <f>LET(
    payment_method,'Loan Tape (S&amp;P)'!P7245,
    occupancy,'Loan Tape (S&amp;P)'!N7245,
    maturity_date,'Loan Tape (S&amp;P)'!L7245,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46">
      <c r="J7246">
        <f>LET(
    lien,'Loan Tape (S&amp;P)'!Q7246,
    IF(lien="First",1.00,
        IF(lien="Second",1.50,
            1.70)))</f>
        <v/>
      </c>
      <c r="K7246">
        <f>LET(
    purpose,'Loan Tape (S&amp;P)'!R7246,
    IF(purpose="Purchase",1.00,
        IF(purpose="Remortgage",1.00,
            1.20)))</f>
        <v/>
      </c>
      <c r="L7246">
        <f>LET(
    arrears_months,'Loan Tape (S&amp;P)'!AN7246,
    IF(arrears_months=0,1.00,
    IF(arrears_months=1,3.00,
    IF(arrears_months=2,5.00,
    IF(arrears_months=3,8.00,
    IF(arrears_months=4,10.00,
    IF(arrears_months=5,12.00,15.00)))))))</f>
        <v/>
      </c>
      <c r="M7246">
        <f>LET(
    seasoning_years,DATEDIF('Loan Tape (S&amp;P)'!K7246,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46">
        <f>IF(AND('Loan Tape (S&amp;P)'!U7246="Yes",
        'Loan Tape (S&amp;P)'!T7246&lt;&gt;"Yes",
        DATEDIF('Loan Tape (S&amp;P)'!K7246, TODAY(), "M")&lt;18),
    1.10,
    1.00)</f>
        <v/>
      </c>
      <c r="O7246">
        <f>IF('Loan Tape (S&amp;P)'!T7246="Yes",
    1.35,
    1.00)</f>
        <v/>
      </c>
      <c r="P7246">
        <f>IF('Loan Tape (S&amp;P)'!S7246="Yes",
    1.15,
    1.00)</f>
        <v/>
      </c>
      <c r="Q7246">
        <f>IF('Loan Tape (S&amp;P)'!V7246="Yes",
    1.20,
    1.00)</f>
        <v/>
      </c>
      <c r="T7246">
        <f>LET(
    payment_method,'Loan Tape (S&amp;P)'!P7246,
    occupancy,'Loan Tape (S&amp;P)'!N7246,
    maturity_date,'Loan Tape (S&amp;P)'!L7246,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47">
      <c r="J7247">
        <f>LET(
    lien,'Loan Tape (S&amp;P)'!Q7247,
    IF(lien="First",1.00,
        IF(lien="Second",1.50,
            1.70)))</f>
        <v/>
      </c>
      <c r="K7247">
        <f>LET(
    purpose,'Loan Tape (S&amp;P)'!R7247,
    IF(purpose="Purchase",1.00,
        IF(purpose="Remortgage",1.00,
            1.20)))</f>
        <v/>
      </c>
      <c r="L7247">
        <f>LET(
    arrears_months,'Loan Tape (S&amp;P)'!AN7247,
    IF(arrears_months=0,1.00,
    IF(arrears_months=1,3.00,
    IF(arrears_months=2,5.00,
    IF(arrears_months=3,8.00,
    IF(arrears_months=4,10.00,
    IF(arrears_months=5,12.00,15.00)))))))</f>
        <v/>
      </c>
      <c r="M7247">
        <f>LET(
    seasoning_years,DATEDIF('Loan Tape (S&amp;P)'!K7247,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47">
        <f>IF(AND('Loan Tape (S&amp;P)'!U7247="Yes",
        'Loan Tape (S&amp;P)'!T7247&lt;&gt;"Yes",
        DATEDIF('Loan Tape (S&amp;P)'!K7247, TODAY(), "M")&lt;18),
    1.10,
    1.00)</f>
        <v/>
      </c>
      <c r="O7247">
        <f>IF('Loan Tape (S&amp;P)'!T7247="Yes",
    1.35,
    1.00)</f>
        <v/>
      </c>
      <c r="P7247">
        <f>IF('Loan Tape (S&amp;P)'!S7247="Yes",
    1.15,
    1.00)</f>
        <v/>
      </c>
      <c r="Q7247">
        <f>IF('Loan Tape (S&amp;P)'!V7247="Yes",
    1.20,
    1.00)</f>
        <v/>
      </c>
      <c r="T7247">
        <f>LET(
    payment_method,'Loan Tape (S&amp;P)'!P7247,
    occupancy,'Loan Tape (S&amp;P)'!N7247,
    maturity_date,'Loan Tape (S&amp;P)'!L7247,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48">
      <c r="J7248">
        <f>LET(
    lien,'Loan Tape (S&amp;P)'!Q7248,
    IF(lien="First",1.00,
        IF(lien="Second",1.50,
            1.70)))</f>
        <v/>
      </c>
      <c r="K7248">
        <f>LET(
    purpose,'Loan Tape (S&amp;P)'!R7248,
    IF(purpose="Purchase",1.00,
        IF(purpose="Remortgage",1.00,
            1.20)))</f>
        <v/>
      </c>
      <c r="L7248">
        <f>LET(
    arrears_months,'Loan Tape (S&amp;P)'!AN7248,
    IF(arrears_months=0,1.00,
    IF(arrears_months=1,3.00,
    IF(arrears_months=2,5.00,
    IF(arrears_months=3,8.00,
    IF(arrears_months=4,10.00,
    IF(arrears_months=5,12.00,15.00)))))))</f>
        <v/>
      </c>
      <c r="M7248">
        <f>LET(
    seasoning_years,DATEDIF('Loan Tape (S&amp;P)'!K7248,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48">
        <f>IF(AND('Loan Tape (S&amp;P)'!U7248="Yes",
        'Loan Tape (S&amp;P)'!T7248&lt;&gt;"Yes",
        DATEDIF('Loan Tape (S&amp;P)'!K7248, TODAY(), "M")&lt;18),
    1.10,
    1.00)</f>
        <v/>
      </c>
      <c r="O7248">
        <f>IF('Loan Tape (S&amp;P)'!T7248="Yes",
    1.35,
    1.00)</f>
        <v/>
      </c>
      <c r="P7248">
        <f>IF('Loan Tape (S&amp;P)'!S7248="Yes",
    1.15,
    1.00)</f>
        <v/>
      </c>
      <c r="Q7248">
        <f>IF('Loan Tape (S&amp;P)'!V7248="Yes",
    1.20,
    1.00)</f>
        <v/>
      </c>
      <c r="T7248">
        <f>LET(
    payment_method,'Loan Tape (S&amp;P)'!P7248,
    occupancy,'Loan Tape (S&amp;P)'!N7248,
    maturity_date,'Loan Tape (S&amp;P)'!L7248,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49">
      <c r="J7249">
        <f>LET(
    lien,'Loan Tape (S&amp;P)'!Q7249,
    IF(lien="First",1.00,
        IF(lien="Second",1.50,
            1.70)))</f>
        <v/>
      </c>
      <c r="K7249">
        <f>LET(
    purpose,'Loan Tape (S&amp;P)'!R7249,
    IF(purpose="Purchase",1.00,
        IF(purpose="Remortgage",1.00,
            1.20)))</f>
        <v/>
      </c>
      <c r="L7249">
        <f>LET(
    arrears_months,'Loan Tape (S&amp;P)'!AN7249,
    IF(arrears_months=0,1.00,
    IF(arrears_months=1,3.00,
    IF(arrears_months=2,5.00,
    IF(arrears_months=3,8.00,
    IF(arrears_months=4,10.00,
    IF(arrears_months=5,12.00,15.00)))))))</f>
        <v/>
      </c>
      <c r="M7249">
        <f>LET(
    seasoning_years,DATEDIF('Loan Tape (S&amp;P)'!K7249,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49">
        <f>IF(AND('Loan Tape (S&amp;P)'!U7249="Yes",
        'Loan Tape (S&amp;P)'!T7249&lt;&gt;"Yes",
        DATEDIF('Loan Tape (S&amp;P)'!K7249, TODAY(), "M")&lt;18),
    1.10,
    1.00)</f>
        <v/>
      </c>
      <c r="O7249">
        <f>IF('Loan Tape (S&amp;P)'!T7249="Yes",
    1.35,
    1.00)</f>
        <v/>
      </c>
      <c r="P7249">
        <f>IF('Loan Tape (S&amp;P)'!S7249="Yes",
    1.15,
    1.00)</f>
        <v/>
      </c>
      <c r="Q7249">
        <f>IF('Loan Tape (S&amp;P)'!V7249="Yes",
    1.20,
    1.00)</f>
        <v/>
      </c>
      <c r="T7249">
        <f>LET(
    payment_method,'Loan Tape (S&amp;P)'!P7249,
    occupancy,'Loan Tape (S&amp;P)'!N7249,
    maturity_date,'Loan Tape (S&amp;P)'!L7249,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50">
      <c r="J7250">
        <f>LET(
    lien,'Loan Tape (S&amp;P)'!Q7250,
    IF(lien="First",1.00,
        IF(lien="Second",1.50,
            1.70)))</f>
        <v/>
      </c>
      <c r="K7250">
        <f>LET(
    purpose,'Loan Tape (S&amp;P)'!R7250,
    IF(purpose="Purchase",1.00,
        IF(purpose="Remortgage",1.00,
            1.20)))</f>
        <v/>
      </c>
      <c r="L7250">
        <f>LET(
    arrears_months,'Loan Tape (S&amp;P)'!AN7250,
    IF(arrears_months=0,1.00,
    IF(arrears_months=1,3.00,
    IF(arrears_months=2,5.00,
    IF(arrears_months=3,8.00,
    IF(arrears_months=4,10.00,
    IF(arrears_months=5,12.00,15.00)))))))</f>
        <v/>
      </c>
      <c r="M7250">
        <f>LET(
    seasoning_years,DATEDIF('Loan Tape (S&amp;P)'!K7250,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50">
        <f>IF(AND('Loan Tape (S&amp;P)'!U7250="Yes",
        'Loan Tape (S&amp;P)'!T7250&lt;&gt;"Yes",
        DATEDIF('Loan Tape (S&amp;P)'!K7250, TODAY(), "M")&lt;18),
    1.10,
    1.00)</f>
        <v/>
      </c>
      <c r="O7250">
        <f>IF('Loan Tape (S&amp;P)'!T7250="Yes",
    1.35,
    1.00)</f>
        <v/>
      </c>
      <c r="P7250">
        <f>IF('Loan Tape (S&amp;P)'!S7250="Yes",
    1.15,
    1.00)</f>
        <v/>
      </c>
      <c r="Q7250">
        <f>IF('Loan Tape (S&amp;P)'!V7250="Yes",
    1.20,
    1.00)</f>
        <v/>
      </c>
      <c r="T7250">
        <f>LET(
    payment_method,'Loan Tape (S&amp;P)'!P7250,
    occupancy,'Loan Tape (S&amp;P)'!N7250,
    maturity_date,'Loan Tape (S&amp;P)'!L7250,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51">
      <c r="J7251">
        <f>LET(
    lien,'Loan Tape (S&amp;P)'!Q7251,
    IF(lien="First",1.00,
        IF(lien="Second",1.50,
            1.70)))</f>
        <v/>
      </c>
      <c r="K7251">
        <f>LET(
    purpose,'Loan Tape (S&amp;P)'!R7251,
    IF(purpose="Purchase",1.00,
        IF(purpose="Remortgage",1.00,
            1.20)))</f>
        <v/>
      </c>
      <c r="L7251">
        <f>LET(
    arrears_months,'Loan Tape (S&amp;P)'!AN7251,
    IF(arrears_months=0,1.00,
    IF(arrears_months=1,3.00,
    IF(arrears_months=2,5.00,
    IF(arrears_months=3,8.00,
    IF(arrears_months=4,10.00,
    IF(arrears_months=5,12.00,15.00)))))))</f>
        <v/>
      </c>
      <c r="M7251">
        <f>LET(
    seasoning_years,DATEDIF('Loan Tape (S&amp;P)'!K7251,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51">
        <f>IF(AND('Loan Tape (S&amp;P)'!U7251="Yes",
        'Loan Tape (S&amp;P)'!T7251&lt;&gt;"Yes",
        DATEDIF('Loan Tape (S&amp;P)'!K7251, TODAY(), "M")&lt;18),
    1.10,
    1.00)</f>
        <v/>
      </c>
      <c r="O7251">
        <f>IF('Loan Tape (S&amp;P)'!T7251="Yes",
    1.35,
    1.00)</f>
        <v/>
      </c>
      <c r="P7251">
        <f>IF('Loan Tape (S&amp;P)'!S7251="Yes",
    1.15,
    1.00)</f>
        <v/>
      </c>
      <c r="Q7251">
        <f>IF('Loan Tape (S&amp;P)'!V7251="Yes",
    1.20,
    1.00)</f>
        <v/>
      </c>
      <c r="T7251">
        <f>LET(
    payment_method,'Loan Tape (S&amp;P)'!P7251,
    occupancy,'Loan Tape (S&amp;P)'!N7251,
    maturity_date,'Loan Tape (S&amp;P)'!L7251,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52">
      <c r="J7252">
        <f>LET(
    lien,'Loan Tape (S&amp;P)'!Q7252,
    IF(lien="First",1.00,
        IF(lien="Second",1.50,
            1.70)))</f>
        <v/>
      </c>
      <c r="K7252">
        <f>LET(
    purpose,'Loan Tape (S&amp;P)'!R7252,
    IF(purpose="Purchase",1.00,
        IF(purpose="Remortgage",1.00,
            1.20)))</f>
        <v/>
      </c>
      <c r="L7252">
        <f>LET(
    arrears_months,'Loan Tape (S&amp;P)'!AN7252,
    IF(arrears_months=0,1.00,
    IF(arrears_months=1,3.00,
    IF(arrears_months=2,5.00,
    IF(arrears_months=3,8.00,
    IF(arrears_months=4,10.00,
    IF(arrears_months=5,12.00,15.00)))))))</f>
        <v/>
      </c>
      <c r="M7252">
        <f>LET(
    seasoning_years,DATEDIF('Loan Tape (S&amp;P)'!K7252,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52">
        <f>IF(AND('Loan Tape (S&amp;P)'!U7252="Yes",
        'Loan Tape (S&amp;P)'!T7252&lt;&gt;"Yes",
        DATEDIF('Loan Tape (S&amp;P)'!K7252, TODAY(), "M")&lt;18),
    1.10,
    1.00)</f>
        <v/>
      </c>
      <c r="O7252">
        <f>IF('Loan Tape (S&amp;P)'!T7252="Yes",
    1.35,
    1.00)</f>
        <v/>
      </c>
      <c r="P7252">
        <f>IF('Loan Tape (S&amp;P)'!S7252="Yes",
    1.15,
    1.00)</f>
        <v/>
      </c>
      <c r="Q7252">
        <f>IF('Loan Tape (S&amp;P)'!V7252="Yes",
    1.20,
    1.00)</f>
        <v/>
      </c>
      <c r="T7252">
        <f>LET(
    payment_method,'Loan Tape (S&amp;P)'!P7252,
    occupancy,'Loan Tape (S&amp;P)'!N7252,
    maturity_date,'Loan Tape (S&amp;P)'!L7252,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53">
      <c r="J7253">
        <f>LET(
    lien,'Loan Tape (S&amp;P)'!Q7253,
    IF(lien="First",1.00,
        IF(lien="Second",1.50,
            1.70)))</f>
        <v/>
      </c>
      <c r="K7253">
        <f>LET(
    purpose,'Loan Tape (S&amp;P)'!R7253,
    IF(purpose="Purchase",1.00,
        IF(purpose="Remortgage",1.00,
            1.20)))</f>
        <v/>
      </c>
      <c r="L7253">
        <f>LET(
    arrears_months,'Loan Tape (S&amp;P)'!AN7253,
    IF(arrears_months=0,1.00,
    IF(arrears_months=1,3.00,
    IF(arrears_months=2,5.00,
    IF(arrears_months=3,8.00,
    IF(arrears_months=4,10.00,
    IF(arrears_months=5,12.00,15.00)))))))</f>
        <v/>
      </c>
      <c r="M7253">
        <f>LET(
    seasoning_years,DATEDIF('Loan Tape (S&amp;P)'!K7253,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53">
        <f>IF(AND('Loan Tape (S&amp;P)'!U7253="Yes",
        'Loan Tape (S&amp;P)'!T7253&lt;&gt;"Yes",
        DATEDIF('Loan Tape (S&amp;P)'!K7253, TODAY(), "M")&lt;18),
    1.10,
    1.00)</f>
        <v/>
      </c>
      <c r="O7253">
        <f>IF('Loan Tape (S&amp;P)'!T7253="Yes",
    1.35,
    1.00)</f>
        <v/>
      </c>
      <c r="P7253">
        <f>IF('Loan Tape (S&amp;P)'!S7253="Yes",
    1.15,
    1.00)</f>
        <v/>
      </c>
      <c r="Q7253">
        <f>IF('Loan Tape (S&amp;P)'!V7253="Yes",
    1.20,
    1.00)</f>
        <v/>
      </c>
      <c r="T7253">
        <f>LET(
    payment_method,'Loan Tape (S&amp;P)'!P7253,
    occupancy,'Loan Tape (S&amp;P)'!N7253,
    maturity_date,'Loan Tape (S&amp;P)'!L7253,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54">
      <c r="J7254">
        <f>LET(
    lien,'Loan Tape (S&amp;P)'!Q7254,
    IF(lien="First",1.00,
        IF(lien="Second",1.50,
            1.70)))</f>
        <v/>
      </c>
      <c r="K7254">
        <f>LET(
    purpose,'Loan Tape (S&amp;P)'!R7254,
    IF(purpose="Purchase",1.00,
        IF(purpose="Remortgage",1.00,
            1.20)))</f>
        <v/>
      </c>
      <c r="L7254">
        <f>LET(
    arrears_months,'Loan Tape (S&amp;P)'!AN7254,
    IF(arrears_months=0,1.00,
    IF(arrears_months=1,3.00,
    IF(arrears_months=2,5.00,
    IF(arrears_months=3,8.00,
    IF(arrears_months=4,10.00,
    IF(arrears_months=5,12.00,15.00)))))))</f>
        <v/>
      </c>
      <c r="M7254">
        <f>LET(
    seasoning_years,DATEDIF('Loan Tape (S&amp;P)'!K7254,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54">
        <f>IF(AND('Loan Tape (S&amp;P)'!U7254="Yes",
        'Loan Tape (S&amp;P)'!T7254&lt;&gt;"Yes",
        DATEDIF('Loan Tape (S&amp;P)'!K7254, TODAY(), "M")&lt;18),
    1.10,
    1.00)</f>
        <v/>
      </c>
      <c r="O7254">
        <f>IF('Loan Tape (S&amp;P)'!T7254="Yes",
    1.35,
    1.00)</f>
        <v/>
      </c>
      <c r="P7254">
        <f>IF('Loan Tape (S&amp;P)'!S7254="Yes",
    1.15,
    1.00)</f>
        <v/>
      </c>
      <c r="Q7254">
        <f>IF('Loan Tape (S&amp;P)'!V7254="Yes",
    1.20,
    1.00)</f>
        <v/>
      </c>
      <c r="T7254">
        <f>LET(
    payment_method,'Loan Tape (S&amp;P)'!P7254,
    occupancy,'Loan Tape (S&amp;P)'!N7254,
    maturity_date,'Loan Tape (S&amp;P)'!L7254,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55">
      <c r="J7255">
        <f>LET(
    lien,'Loan Tape (S&amp;P)'!Q7255,
    IF(lien="First",1.00,
        IF(lien="Second",1.50,
            1.70)))</f>
        <v/>
      </c>
      <c r="K7255">
        <f>LET(
    purpose,'Loan Tape (S&amp;P)'!R7255,
    IF(purpose="Purchase",1.00,
        IF(purpose="Remortgage",1.00,
            1.20)))</f>
        <v/>
      </c>
      <c r="L7255">
        <f>LET(
    arrears_months,'Loan Tape (S&amp;P)'!AN7255,
    IF(arrears_months=0,1.00,
    IF(arrears_months=1,3.00,
    IF(arrears_months=2,5.00,
    IF(arrears_months=3,8.00,
    IF(arrears_months=4,10.00,
    IF(arrears_months=5,12.00,15.00)))))))</f>
        <v/>
      </c>
      <c r="M7255">
        <f>LET(
    seasoning_years,DATEDIF('Loan Tape (S&amp;P)'!K7255,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55">
        <f>IF(AND('Loan Tape (S&amp;P)'!U7255="Yes",
        'Loan Tape (S&amp;P)'!T7255&lt;&gt;"Yes",
        DATEDIF('Loan Tape (S&amp;P)'!K7255, TODAY(), "M")&lt;18),
    1.10,
    1.00)</f>
        <v/>
      </c>
      <c r="O7255">
        <f>IF('Loan Tape (S&amp;P)'!T7255="Yes",
    1.35,
    1.00)</f>
        <v/>
      </c>
      <c r="P7255">
        <f>IF('Loan Tape (S&amp;P)'!S7255="Yes",
    1.15,
    1.00)</f>
        <v/>
      </c>
      <c r="Q7255">
        <f>IF('Loan Tape (S&amp;P)'!V7255="Yes",
    1.20,
    1.00)</f>
        <v/>
      </c>
      <c r="T7255">
        <f>LET(
    payment_method,'Loan Tape (S&amp;P)'!P7255,
    occupancy,'Loan Tape (S&amp;P)'!N7255,
    maturity_date,'Loan Tape (S&amp;P)'!L7255,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56">
      <c r="J7256">
        <f>LET(
    lien,'Loan Tape (S&amp;P)'!Q7256,
    IF(lien="First",1.00,
        IF(lien="Second",1.50,
            1.70)))</f>
        <v/>
      </c>
      <c r="K7256">
        <f>LET(
    purpose,'Loan Tape (S&amp;P)'!R7256,
    IF(purpose="Purchase",1.00,
        IF(purpose="Remortgage",1.00,
            1.20)))</f>
        <v/>
      </c>
      <c r="L7256">
        <f>LET(
    arrears_months,'Loan Tape (S&amp;P)'!AN7256,
    IF(arrears_months=0,1.00,
    IF(arrears_months=1,3.00,
    IF(arrears_months=2,5.00,
    IF(arrears_months=3,8.00,
    IF(arrears_months=4,10.00,
    IF(arrears_months=5,12.00,15.00)))))))</f>
        <v/>
      </c>
      <c r="M7256">
        <f>LET(
    seasoning_years,DATEDIF('Loan Tape (S&amp;P)'!K7256,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56">
        <f>IF(AND('Loan Tape (S&amp;P)'!U7256="Yes",
        'Loan Tape (S&amp;P)'!T7256&lt;&gt;"Yes",
        DATEDIF('Loan Tape (S&amp;P)'!K7256, TODAY(), "M")&lt;18),
    1.10,
    1.00)</f>
        <v/>
      </c>
      <c r="O7256">
        <f>IF('Loan Tape (S&amp;P)'!T7256="Yes",
    1.35,
    1.00)</f>
        <v/>
      </c>
      <c r="P7256">
        <f>IF('Loan Tape (S&amp;P)'!S7256="Yes",
    1.15,
    1.00)</f>
        <v/>
      </c>
      <c r="Q7256">
        <f>IF('Loan Tape (S&amp;P)'!V7256="Yes",
    1.20,
    1.00)</f>
        <v/>
      </c>
      <c r="T7256">
        <f>LET(
    payment_method,'Loan Tape (S&amp;P)'!P7256,
    occupancy,'Loan Tape (S&amp;P)'!N7256,
    maturity_date,'Loan Tape (S&amp;P)'!L7256,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57">
      <c r="J7257">
        <f>LET(
    lien,'Loan Tape (S&amp;P)'!Q7257,
    IF(lien="First",1.00,
        IF(lien="Second",1.50,
            1.70)))</f>
        <v/>
      </c>
      <c r="K7257">
        <f>LET(
    purpose,'Loan Tape (S&amp;P)'!R7257,
    IF(purpose="Purchase",1.00,
        IF(purpose="Remortgage",1.00,
            1.20)))</f>
        <v/>
      </c>
      <c r="L7257">
        <f>LET(
    arrears_months,'Loan Tape (S&amp;P)'!AN7257,
    IF(arrears_months=0,1.00,
    IF(arrears_months=1,3.00,
    IF(arrears_months=2,5.00,
    IF(arrears_months=3,8.00,
    IF(arrears_months=4,10.00,
    IF(arrears_months=5,12.00,15.00)))))))</f>
        <v/>
      </c>
      <c r="M7257">
        <f>LET(
    seasoning_years,DATEDIF('Loan Tape (S&amp;P)'!K7257,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57">
        <f>IF(AND('Loan Tape (S&amp;P)'!U7257="Yes",
        'Loan Tape (S&amp;P)'!T7257&lt;&gt;"Yes",
        DATEDIF('Loan Tape (S&amp;P)'!K7257, TODAY(), "M")&lt;18),
    1.10,
    1.00)</f>
        <v/>
      </c>
      <c r="O7257">
        <f>IF('Loan Tape (S&amp;P)'!T7257="Yes",
    1.35,
    1.00)</f>
        <v/>
      </c>
      <c r="P7257">
        <f>IF('Loan Tape (S&amp;P)'!S7257="Yes",
    1.15,
    1.00)</f>
        <v/>
      </c>
      <c r="Q7257">
        <f>IF('Loan Tape (S&amp;P)'!V7257="Yes",
    1.20,
    1.00)</f>
        <v/>
      </c>
      <c r="T7257">
        <f>LET(
    payment_method,'Loan Tape (S&amp;P)'!P7257,
    occupancy,'Loan Tape (S&amp;P)'!N7257,
    maturity_date,'Loan Tape (S&amp;P)'!L7257,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58">
      <c r="J7258">
        <f>LET(
    lien,'Loan Tape (S&amp;P)'!Q7258,
    IF(lien="First",1.00,
        IF(lien="Second",1.50,
            1.70)))</f>
        <v/>
      </c>
      <c r="K7258">
        <f>LET(
    purpose,'Loan Tape (S&amp;P)'!R7258,
    IF(purpose="Purchase",1.00,
        IF(purpose="Remortgage",1.00,
            1.20)))</f>
        <v/>
      </c>
      <c r="L7258">
        <f>LET(
    arrears_months,'Loan Tape (S&amp;P)'!AN7258,
    IF(arrears_months=0,1.00,
    IF(arrears_months=1,3.00,
    IF(arrears_months=2,5.00,
    IF(arrears_months=3,8.00,
    IF(arrears_months=4,10.00,
    IF(arrears_months=5,12.00,15.00)))))))</f>
        <v/>
      </c>
      <c r="M7258">
        <f>LET(
    seasoning_years,DATEDIF('Loan Tape (S&amp;P)'!K7258,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58">
        <f>IF(AND('Loan Tape (S&amp;P)'!U7258="Yes",
        'Loan Tape (S&amp;P)'!T7258&lt;&gt;"Yes",
        DATEDIF('Loan Tape (S&amp;P)'!K7258, TODAY(), "M")&lt;18),
    1.10,
    1.00)</f>
        <v/>
      </c>
      <c r="O7258">
        <f>IF('Loan Tape (S&amp;P)'!T7258="Yes",
    1.35,
    1.00)</f>
        <v/>
      </c>
      <c r="P7258">
        <f>IF('Loan Tape (S&amp;P)'!S7258="Yes",
    1.15,
    1.00)</f>
        <v/>
      </c>
      <c r="Q7258">
        <f>IF('Loan Tape (S&amp;P)'!V7258="Yes",
    1.20,
    1.00)</f>
        <v/>
      </c>
      <c r="T7258">
        <f>LET(
    payment_method,'Loan Tape (S&amp;P)'!P7258,
    occupancy,'Loan Tape (S&amp;P)'!N7258,
    maturity_date,'Loan Tape (S&amp;P)'!L7258,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59">
      <c r="J7259">
        <f>LET(
    lien,'Loan Tape (S&amp;P)'!Q7259,
    IF(lien="First",1.00,
        IF(lien="Second",1.50,
            1.70)))</f>
        <v/>
      </c>
      <c r="K7259">
        <f>LET(
    purpose,'Loan Tape (S&amp;P)'!R7259,
    IF(purpose="Purchase",1.00,
        IF(purpose="Remortgage",1.00,
            1.20)))</f>
        <v/>
      </c>
      <c r="L7259">
        <f>LET(
    arrears_months,'Loan Tape (S&amp;P)'!AN7259,
    IF(arrears_months=0,1.00,
    IF(arrears_months=1,3.00,
    IF(arrears_months=2,5.00,
    IF(arrears_months=3,8.00,
    IF(arrears_months=4,10.00,
    IF(arrears_months=5,12.00,15.00)))))))</f>
        <v/>
      </c>
      <c r="M7259">
        <f>LET(
    seasoning_years,DATEDIF('Loan Tape (S&amp;P)'!K7259,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59">
        <f>IF(AND('Loan Tape (S&amp;P)'!U7259="Yes",
        'Loan Tape (S&amp;P)'!T7259&lt;&gt;"Yes",
        DATEDIF('Loan Tape (S&amp;P)'!K7259, TODAY(), "M")&lt;18),
    1.10,
    1.00)</f>
        <v/>
      </c>
      <c r="O7259">
        <f>IF('Loan Tape (S&amp;P)'!T7259="Yes",
    1.35,
    1.00)</f>
        <v/>
      </c>
      <c r="P7259">
        <f>IF('Loan Tape (S&amp;P)'!S7259="Yes",
    1.15,
    1.00)</f>
        <v/>
      </c>
      <c r="Q7259">
        <f>IF('Loan Tape (S&amp;P)'!V7259="Yes",
    1.20,
    1.00)</f>
        <v/>
      </c>
      <c r="T7259">
        <f>LET(
    payment_method,'Loan Tape (S&amp;P)'!P7259,
    occupancy,'Loan Tape (S&amp;P)'!N7259,
    maturity_date,'Loan Tape (S&amp;P)'!L7259,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60">
      <c r="J7260">
        <f>LET(
    lien,'Loan Tape (S&amp;P)'!Q7260,
    IF(lien="First",1.00,
        IF(lien="Second",1.50,
            1.70)))</f>
        <v/>
      </c>
      <c r="K7260">
        <f>LET(
    purpose,'Loan Tape (S&amp;P)'!R7260,
    IF(purpose="Purchase",1.00,
        IF(purpose="Remortgage",1.00,
            1.20)))</f>
        <v/>
      </c>
      <c r="L7260">
        <f>LET(
    arrears_months,'Loan Tape (S&amp;P)'!AN7260,
    IF(arrears_months=0,1.00,
    IF(arrears_months=1,3.00,
    IF(arrears_months=2,5.00,
    IF(arrears_months=3,8.00,
    IF(arrears_months=4,10.00,
    IF(arrears_months=5,12.00,15.00)))))))</f>
        <v/>
      </c>
      <c r="M7260">
        <f>LET(
    seasoning_years,DATEDIF('Loan Tape (S&amp;P)'!K7260,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60">
        <f>IF(AND('Loan Tape (S&amp;P)'!U7260="Yes",
        'Loan Tape (S&amp;P)'!T7260&lt;&gt;"Yes",
        DATEDIF('Loan Tape (S&amp;P)'!K7260, TODAY(), "M")&lt;18),
    1.10,
    1.00)</f>
        <v/>
      </c>
      <c r="O7260">
        <f>IF('Loan Tape (S&amp;P)'!T7260="Yes",
    1.35,
    1.00)</f>
        <v/>
      </c>
      <c r="P7260">
        <f>IF('Loan Tape (S&amp;P)'!S7260="Yes",
    1.15,
    1.00)</f>
        <v/>
      </c>
      <c r="Q7260">
        <f>IF('Loan Tape (S&amp;P)'!V7260="Yes",
    1.20,
    1.00)</f>
        <v/>
      </c>
      <c r="T7260">
        <f>LET(
    payment_method,'Loan Tape (S&amp;P)'!P7260,
    occupancy,'Loan Tape (S&amp;P)'!N7260,
    maturity_date,'Loan Tape (S&amp;P)'!L7260,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61">
      <c r="J7261">
        <f>LET(
    lien,'Loan Tape (S&amp;P)'!Q7261,
    IF(lien="First",1.00,
        IF(lien="Second",1.50,
            1.70)))</f>
        <v/>
      </c>
      <c r="K7261">
        <f>LET(
    purpose,'Loan Tape (S&amp;P)'!R7261,
    IF(purpose="Purchase",1.00,
        IF(purpose="Remortgage",1.00,
            1.20)))</f>
        <v/>
      </c>
      <c r="L7261">
        <f>LET(
    arrears_months,'Loan Tape (S&amp;P)'!AN7261,
    IF(arrears_months=0,1.00,
    IF(arrears_months=1,3.00,
    IF(arrears_months=2,5.00,
    IF(arrears_months=3,8.00,
    IF(arrears_months=4,10.00,
    IF(arrears_months=5,12.00,15.00)))))))</f>
        <v/>
      </c>
      <c r="M7261">
        <f>LET(
    seasoning_years,DATEDIF('Loan Tape (S&amp;P)'!K7261,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61">
        <f>IF(AND('Loan Tape (S&amp;P)'!U7261="Yes",
        'Loan Tape (S&amp;P)'!T7261&lt;&gt;"Yes",
        DATEDIF('Loan Tape (S&amp;P)'!K7261, TODAY(), "M")&lt;18),
    1.10,
    1.00)</f>
        <v/>
      </c>
      <c r="O7261">
        <f>IF('Loan Tape (S&amp;P)'!T7261="Yes",
    1.35,
    1.00)</f>
        <v/>
      </c>
      <c r="P7261">
        <f>IF('Loan Tape (S&amp;P)'!S7261="Yes",
    1.15,
    1.00)</f>
        <v/>
      </c>
      <c r="Q7261">
        <f>IF('Loan Tape (S&amp;P)'!V7261="Yes",
    1.20,
    1.00)</f>
        <v/>
      </c>
      <c r="T7261">
        <f>LET(
    payment_method,'Loan Tape (S&amp;P)'!P7261,
    occupancy,'Loan Tape (S&amp;P)'!N7261,
    maturity_date,'Loan Tape (S&amp;P)'!L7261,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62">
      <c r="J7262">
        <f>LET(
    lien,'Loan Tape (S&amp;P)'!Q7262,
    IF(lien="First",1.00,
        IF(lien="Second",1.50,
            1.70)))</f>
        <v/>
      </c>
      <c r="K7262">
        <f>LET(
    purpose,'Loan Tape (S&amp;P)'!R7262,
    IF(purpose="Purchase",1.00,
        IF(purpose="Remortgage",1.00,
            1.20)))</f>
        <v/>
      </c>
      <c r="L7262">
        <f>LET(
    arrears_months,'Loan Tape (S&amp;P)'!AN7262,
    IF(arrears_months=0,1.00,
    IF(arrears_months=1,3.00,
    IF(arrears_months=2,5.00,
    IF(arrears_months=3,8.00,
    IF(arrears_months=4,10.00,
    IF(arrears_months=5,12.00,15.00)))))))</f>
        <v/>
      </c>
      <c r="M7262">
        <f>LET(
    seasoning_years,DATEDIF('Loan Tape (S&amp;P)'!K7262,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62">
        <f>IF(AND('Loan Tape (S&amp;P)'!U7262="Yes",
        'Loan Tape (S&amp;P)'!T7262&lt;&gt;"Yes",
        DATEDIF('Loan Tape (S&amp;P)'!K7262, TODAY(), "M")&lt;18),
    1.10,
    1.00)</f>
        <v/>
      </c>
      <c r="O7262">
        <f>IF('Loan Tape (S&amp;P)'!T7262="Yes",
    1.35,
    1.00)</f>
        <v/>
      </c>
      <c r="P7262">
        <f>IF('Loan Tape (S&amp;P)'!S7262="Yes",
    1.15,
    1.00)</f>
        <v/>
      </c>
      <c r="Q7262">
        <f>IF('Loan Tape (S&amp;P)'!V7262="Yes",
    1.20,
    1.00)</f>
        <v/>
      </c>
      <c r="T7262">
        <f>LET(
    payment_method,'Loan Tape (S&amp;P)'!P7262,
    occupancy,'Loan Tape (S&amp;P)'!N7262,
    maturity_date,'Loan Tape (S&amp;P)'!L7262,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63">
      <c r="J7263">
        <f>LET(
    lien,'Loan Tape (S&amp;P)'!Q7263,
    IF(lien="First",1.00,
        IF(lien="Second",1.50,
            1.70)))</f>
        <v/>
      </c>
      <c r="K7263">
        <f>LET(
    purpose,'Loan Tape (S&amp;P)'!R7263,
    IF(purpose="Purchase",1.00,
        IF(purpose="Remortgage",1.00,
            1.20)))</f>
        <v/>
      </c>
      <c r="L7263">
        <f>LET(
    arrears_months,'Loan Tape (S&amp;P)'!AN7263,
    IF(arrears_months=0,1.00,
    IF(arrears_months=1,3.00,
    IF(arrears_months=2,5.00,
    IF(arrears_months=3,8.00,
    IF(arrears_months=4,10.00,
    IF(arrears_months=5,12.00,15.00)))))))</f>
        <v/>
      </c>
      <c r="M7263">
        <f>LET(
    seasoning_years,DATEDIF('Loan Tape (S&amp;P)'!K7263,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63">
        <f>IF(AND('Loan Tape (S&amp;P)'!U7263="Yes",
        'Loan Tape (S&amp;P)'!T7263&lt;&gt;"Yes",
        DATEDIF('Loan Tape (S&amp;P)'!K7263, TODAY(), "M")&lt;18),
    1.10,
    1.00)</f>
        <v/>
      </c>
      <c r="O7263">
        <f>IF('Loan Tape (S&amp;P)'!T7263="Yes",
    1.35,
    1.00)</f>
        <v/>
      </c>
      <c r="P7263">
        <f>IF('Loan Tape (S&amp;P)'!S7263="Yes",
    1.15,
    1.00)</f>
        <v/>
      </c>
      <c r="Q7263">
        <f>IF('Loan Tape (S&amp;P)'!V7263="Yes",
    1.20,
    1.00)</f>
        <v/>
      </c>
      <c r="T7263">
        <f>LET(
    payment_method,'Loan Tape (S&amp;P)'!P7263,
    occupancy,'Loan Tape (S&amp;P)'!N7263,
    maturity_date,'Loan Tape (S&amp;P)'!L7263,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64">
      <c r="J7264">
        <f>LET(
    lien,'Loan Tape (S&amp;P)'!Q7264,
    IF(lien="First",1.00,
        IF(lien="Second",1.50,
            1.70)))</f>
        <v/>
      </c>
      <c r="K7264">
        <f>LET(
    purpose,'Loan Tape (S&amp;P)'!R7264,
    IF(purpose="Purchase",1.00,
        IF(purpose="Remortgage",1.00,
            1.20)))</f>
        <v/>
      </c>
      <c r="L7264">
        <f>LET(
    arrears_months,'Loan Tape (S&amp;P)'!AN7264,
    IF(arrears_months=0,1.00,
    IF(arrears_months=1,3.00,
    IF(arrears_months=2,5.00,
    IF(arrears_months=3,8.00,
    IF(arrears_months=4,10.00,
    IF(arrears_months=5,12.00,15.00)))))))</f>
        <v/>
      </c>
      <c r="M7264">
        <f>LET(
    seasoning_years,DATEDIF('Loan Tape (S&amp;P)'!K7264,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64">
        <f>IF(AND('Loan Tape (S&amp;P)'!U7264="Yes",
        'Loan Tape (S&amp;P)'!T7264&lt;&gt;"Yes",
        DATEDIF('Loan Tape (S&amp;P)'!K7264, TODAY(), "M")&lt;18),
    1.10,
    1.00)</f>
        <v/>
      </c>
      <c r="O7264">
        <f>IF('Loan Tape (S&amp;P)'!T7264="Yes",
    1.35,
    1.00)</f>
        <v/>
      </c>
      <c r="P7264">
        <f>IF('Loan Tape (S&amp;P)'!S7264="Yes",
    1.15,
    1.00)</f>
        <v/>
      </c>
      <c r="Q7264">
        <f>IF('Loan Tape (S&amp;P)'!V7264="Yes",
    1.20,
    1.00)</f>
        <v/>
      </c>
      <c r="T7264">
        <f>LET(
    payment_method,'Loan Tape (S&amp;P)'!P7264,
    occupancy,'Loan Tape (S&amp;P)'!N7264,
    maturity_date,'Loan Tape (S&amp;P)'!L7264,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65">
      <c r="J7265">
        <f>LET(
    lien,'Loan Tape (S&amp;P)'!Q7265,
    IF(lien="First",1.00,
        IF(lien="Second",1.50,
            1.70)))</f>
        <v/>
      </c>
      <c r="K7265">
        <f>LET(
    purpose,'Loan Tape (S&amp;P)'!R7265,
    IF(purpose="Purchase",1.00,
        IF(purpose="Remortgage",1.00,
            1.20)))</f>
        <v/>
      </c>
      <c r="L7265">
        <f>LET(
    arrears_months,'Loan Tape (S&amp;P)'!AN7265,
    IF(arrears_months=0,1.00,
    IF(arrears_months=1,3.00,
    IF(arrears_months=2,5.00,
    IF(arrears_months=3,8.00,
    IF(arrears_months=4,10.00,
    IF(arrears_months=5,12.00,15.00)))))))</f>
        <v/>
      </c>
      <c r="M7265">
        <f>LET(
    seasoning_years,DATEDIF('Loan Tape (S&amp;P)'!K7265,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65">
        <f>IF(AND('Loan Tape (S&amp;P)'!U7265="Yes",
        'Loan Tape (S&amp;P)'!T7265&lt;&gt;"Yes",
        DATEDIF('Loan Tape (S&amp;P)'!K7265, TODAY(), "M")&lt;18),
    1.10,
    1.00)</f>
        <v/>
      </c>
      <c r="O7265">
        <f>IF('Loan Tape (S&amp;P)'!T7265="Yes",
    1.35,
    1.00)</f>
        <v/>
      </c>
      <c r="P7265">
        <f>IF('Loan Tape (S&amp;P)'!S7265="Yes",
    1.15,
    1.00)</f>
        <v/>
      </c>
      <c r="Q7265">
        <f>IF('Loan Tape (S&amp;P)'!V7265="Yes",
    1.20,
    1.00)</f>
        <v/>
      </c>
      <c r="T7265">
        <f>LET(
    payment_method,'Loan Tape (S&amp;P)'!P7265,
    occupancy,'Loan Tape (S&amp;P)'!N7265,
    maturity_date,'Loan Tape (S&amp;P)'!L7265,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66">
      <c r="J7266">
        <f>LET(
    lien,'Loan Tape (S&amp;P)'!Q7266,
    IF(lien="First",1.00,
        IF(lien="Second",1.50,
            1.70)))</f>
        <v/>
      </c>
      <c r="K7266">
        <f>LET(
    purpose,'Loan Tape (S&amp;P)'!R7266,
    IF(purpose="Purchase",1.00,
        IF(purpose="Remortgage",1.00,
            1.20)))</f>
        <v/>
      </c>
      <c r="L7266">
        <f>LET(
    arrears_months,'Loan Tape (S&amp;P)'!AN7266,
    IF(arrears_months=0,1.00,
    IF(arrears_months=1,3.00,
    IF(arrears_months=2,5.00,
    IF(arrears_months=3,8.00,
    IF(arrears_months=4,10.00,
    IF(arrears_months=5,12.00,15.00)))))))</f>
        <v/>
      </c>
      <c r="M7266">
        <f>LET(
    seasoning_years,DATEDIF('Loan Tape (S&amp;P)'!K7266,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66">
        <f>IF(AND('Loan Tape (S&amp;P)'!U7266="Yes",
        'Loan Tape (S&amp;P)'!T7266&lt;&gt;"Yes",
        DATEDIF('Loan Tape (S&amp;P)'!K7266, TODAY(), "M")&lt;18),
    1.10,
    1.00)</f>
        <v/>
      </c>
      <c r="O7266">
        <f>IF('Loan Tape (S&amp;P)'!T7266="Yes",
    1.35,
    1.00)</f>
        <v/>
      </c>
      <c r="P7266">
        <f>IF('Loan Tape (S&amp;P)'!S7266="Yes",
    1.15,
    1.00)</f>
        <v/>
      </c>
      <c r="Q7266">
        <f>IF('Loan Tape (S&amp;P)'!V7266="Yes",
    1.20,
    1.00)</f>
        <v/>
      </c>
      <c r="T7266">
        <f>LET(
    payment_method,'Loan Tape (S&amp;P)'!P7266,
    occupancy,'Loan Tape (S&amp;P)'!N7266,
    maturity_date,'Loan Tape (S&amp;P)'!L7266,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67">
      <c r="J7267">
        <f>LET(
    lien,'Loan Tape (S&amp;P)'!Q7267,
    IF(lien="First",1.00,
        IF(lien="Second",1.50,
            1.70)))</f>
        <v/>
      </c>
      <c r="K7267">
        <f>LET(
    purpose,'Loan Tape (S&amp;P)'!R7267,
    IF(purpose="Purchase",1.00,
        IF(purpose="Remortgage",1.00,
            1.20)))</f>
        <v/>
      </c>
      <c r="L7267">
        <f>LET(
    arrears_months,'Loan Tape (S&amp;P)'!AN7267,
    IF(arrears_months=0,1.00,
    IF(arrears_months=1,3.00,
    IF(arrears_months=2,5.00,
    IF(arrears_months=3,8.00,
    IF(arrears_months=4,10.00,
    IF(arrears_months=5,12.00,15.00)))))))</f>
        <v/>
      </c>
      <c r="M7267">
        <f>LET(
    seasoning_years,DATEDIF('Loan Tape (S&amp;P)'!K7267,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67">
        <f>IF(AND('Loan Tape (S&amp;P)'!U7267="Yes",
        'Loan Tape (S&amp;P)'!T7267&lt;&gt;"Yes",
        DATEDIF('Loan Tape (S&amp;P)'!K7267, TODAY(), "M")&lt;18),
    1.10,
    1.00)</f>
        <v/>
      </c>
      <c r="O7267">
        <f>IF('Loan Tape (S&amp;P)'!T7267="Yes",
    1.35,
    1.00)</f>
        <v/>
      </c>
      <c r="P7267">
        <f>IF('Loan Tape (S&amp;P)'!S7267="Yes",
    1.15,
    1.00)</f>
        <v/>
      </c>
      <c r="Q7267">
        <f>IF('Loan Tape (S&amp;P)'!V7267="Yes",
    1.20,
    1.00)</f>
        <v/>
      </c>
      <c r="T7267">
        <f>LET(
    payment_method,'Loan Tape (S&amp;P)'!P7267,
    occupancy,'Loan Tape (S&amp;P)'!N7267,
    maturity_date,'Loan Tape (S&amp;P)'!L7267,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68">
      <c r="J7268">
        <f>LET(
    lien,'Loan Tape (S&amp;P)'!Q7268,
    IF(lien="First",1.00,
        IF(lien="Second",1.50,
            1.70)))</f>
        <v/>
      </c>
      <c r="K7268">
        <f>LET(
    purpose,'Loan Tape (S&amp;P)'!R7268,
    IF(purpose="Purchase",1.00,
        IF(purpose="Remortgage",1.00,
            1.20)))</f>
        <v/>
      </c>
      <c r="L7268">
        <f>LET(
    arrears_months,'Loan Tape (S&amp;P)'!AN7268,
    IF(arrears_months=0,1.00,
    IF(arrears_months=1,3.00,
    IF(arrears_months=2,5.00,
    IF(arrears_months=3,8.00,
    IF(arrears_months=4,10.00,
    IF(arrears_months=5,12.00,15.00)))))))</f>
        <v/>
      </c>
      <c r="M7268">
        <f>LET(
    seasoning_years,DATEDIF('Loan Tape (S&amp;P)'!K7268,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68">
        <f>IF(AND('Loan Tape (S&amp;P)'!U7268="Yes",
        'Loan Tape (S&amp;P)'!T7268&lt;&gt;"Yes",
        DATEDIF('Loan Tape (S&amp;P)'!K7268, TODAY(), "M")&lt;18),
    1.10,
    1.00)</f>
        <v/>
      </c>
      <c r="O7268">
        <f>IF('Loan Tape (S&amp;P)'!T7268="Yes",
    1.35,
    1.00)</f>
        <v/>
      </c>
      <c r="P7268">
        <f>IF('Loan Tape (S&amp;P)'!S7268="Yes",
    1.15,
    1.00)</f>
        <v/>
      </c>
      <c r="Q7268">
        <f>IF('Loan Tape (S&amp;P)'!V7268="Yes",
    1.20,
    1.00)</f>
        <v/>
      </c>
      <c r="T7268">
        <f>LET(
    payment_method,'Loan Tape (S&amp;P)'!P7268,
    occupancy,'Loan Tape (S&amp;P)'!N7268,
    maturity_date,'Loan Tape (S&amp;P)'!L7268,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69">
      <c r="J7269">
        <f>LET(
    lien,'Loan Tape (S&amp;P)'!Q7269,
    IF(lien="First",1.00,
        IF(lien="Second",1.50,
            1.70)))</f>
        <v/>
      </c>
      <c r="K7269">
        <f>LET(
    purpose,'Loan Tape (S&amp;P)'!R7269,
    IF(purpose="Purchase",1.00,
        IF(purpose="Remortgage",1.00,
            1.20)))</f>
        <v/>
      </c>
      <c r="L7269">
        <f>LET(
    arrears_months,'Loan Tape (S&amp;P)'!AN7269,
    IF(arrears_months=0,1.00,
    IF(arrears_months=1,3.00,
    IF(arrears_months=2,5.00,
    IF(arrears_months=3,8.00,
    IF(arrears_months=4,10.00,
    IF(arrears_months=5,12.00,15.00)))))))</f>
        <v/>
      </c>
      <c r="M7269">
        <f>LET(
    seasoning_years,DATEDIF('Loan Tape (S&amp;P)'!K7269,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69">
        <f>IF(AND('Loan Tape (S&amp;P)'!U7269="Yes",
        'Loan Tape (S&amp;P)'!T7269&lt;&gt;"Yes",
        DATEDIF('Loan Tape (S&amp;P)'!K7269, TODAY(), "M")&lt;18),
    1.10,
    1.00)</f>
        <v/>
      </c>
      <c r="O7269">
        <f>IF('Loan Tape (S&amp;P)'!T7269="Yes",
    1.35,
    1.00)</f>
        <v/>
      </c>
      <c r="P7269">
        <f>IF('Loan Tape (S&amp;P)'!S7269="Yes",
    1.15,
    1.00)</f>
        <v/>
      </c>
      <c r="Q7269">
        <f>IF('Loan Tape (S&amp;P)'!V7269="Yes",
    1.20,
    1.00)</f>
        <v/>
      </c>
      <c r="T7269">
        <f>LET(
    payment_method,'Loan Tape (S&amp;P)'!P7269,
    occupancy,'Loan Tape (S&amp;P)'!N7269,
    maturity_date,'Loan Tape (S&amp;P)'!L7269,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70">
      <c r="J7270">
        <f>LET(
    lien,'Loan Tape (S&amp;P)'!Q7270,
    IF(lien="First",1.00,
        IF(lien="Second",1.50,
            1.70)))</f>
        <v/>
      </c>
      <c r="K7270">
        <f>LET(
    purpose,'Loan Tape (S&amp;P)'!R7270,
    IF(purpose="Purchase",1.00,
        IF(purpose="Remortgage",1.00,
            1.20)))</f>
        <v/>
      </c>
      <c r="L7270">
        <f>LET(
    arrears_months,'Loan Tape (S&amp;P)'!AN7270,
    IF(arrears_months=0,1.00,
    IF(arrears_months=1,3.00,
    IF(arrears_months=2,5.00,
    IF(arrears_months=3,8.00,
    IF(arrears_months=4,10.00,
    IF(arrears_months=5,12.00,15.00)))))))</f>
        <v/>
      </c>
      <c r="M7270">
        <f>LET(
    seasoning_years,DATEDIF('Loan Tape (S&amp;P)'!K7270,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70">
        <f>IF(AND('Loan Tape (S&amp;P)'!U7270="Yes",
        'Loan Tape (S&amp;P)'!T7270&lt;&gt;"Yes",
        DATEDIF('Loan Tape (S&amp;P)'!K7270, TODAY(), "M")&lt;18),
    1.10,
    1.00)</f>
        <v/>
      </c>
      <c r="O7270">
        <f>IF('Loan Tape (S&amp;P)'!T7270="Yes",
    1.35,
    1.00)</f>
        <v/>
      </c>
      <c r="P7270">
        <f>IF('Loan Tape (S&amp;P)'!S7270="Yes",
    1.15,
    1.00)</f>
        <v/>
      </c>
      <c r="Q7270">
        <f>IF('Loan Tape (S&amp;P)'!V7270="Yes",
    1.20,
    1.00)</f>
        <v/>
      </c>
      <c r="T7270">
        <f>LET(
    payment_method,'Loan Tape (S&amp;P)'!P7270,
    occupancy,'Loan Tape (S&amp;P)'!N7270,
    maturity_date,'Loan Tape (S&amp;P)'!L7270,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71">
      <c r="J7271">
        <f>LET(
    lien,'Loan Tape (S&amp;P)'!Q7271,
    IF(lien="First",1.00,
        IF(lien="Second",1.50,
            1.70)))</f>
        <v/>
      </c>
      <c r="K7271">
        <f>LET(
    purpose,'Loan Tape (S&amp;P)'!R7271,
    IF(purpose="Purchase",1.00,
        IF(purpose="Remortgage",1.00,
            1.20)))</f>
        <v/>
      </c>
      <c r="L7271">
        <f>LET(
    arrears_months,'Loan Tape (S&amp;P)'!AN7271,
    IF(arrears_months=0,1.00,
    IF(arrears_months=1,3.00,
    IF(arrears_months=2,5.00,
    IF(arrears_months=3,8.00,
    IF(arrears_months=4,10.00,
    IF(arrears_months=5,12.00,15.00)))))))</f>
        <v/>
      </c>
      <c r="M7271">
        <f>LET(
    seasoning_years,DATEDIF('Loan Tape (S&amp;P)'!K7271,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71">
        <f>IF(AND('Loan Tape (S&amp;P)'!U7271="Yes",
        'Loan Tape (S&amp;P)'!T7271&lt;&gt;"Yes",
        DATEDIF('Loan Tape (S&amp;P)'!K7271, TODAY(), "M")&lt;18),
    1.10,
    1.00)</f>
        <v/>
      </c>
      <c r="O7271">
        <f>IF('Loan Tape (S&amp;P)'!T7271="Yes",
    1.35,
    1.00)</f>
        <v/>
      </c>
      <c r="P7271">
        <f>IF('Loan Tape (S&amp;P)'!S7271="Yes",
    1.15,
    1.00)</f>
        <v/>
      </c>
      <c r="Q7271">
        <f>IF('Loan Tape (S&amp;P)'!V7271="Yes",
    1.20,
    1.00)</f>
        <v/>
      </c>
      <c r="T7271">
        <f>LET(
    payment_method,'Loan Tape (S&amp;P)'!P7271,
    occupancy,'Loan Tape (S&amp;P)'!N7271,
    maturity_date,'Loan Tape (S&amp;P)'!L7271,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72">
      <c r="J7272">
        <f>LET(
    lien,'Loan Tape (S&amp;P)'!Q7272,
    IF(lien="First",1.00,
        IF(lien="Second",1.50,
            1.70)))</f>
        <v/>
      </c>
      <c r="K7272">
        <f>LET(
    purpose,'Loan Tape (S&amp;P)'!R7272,
    IF(purpose="Purchase",1.00,
        IF(purpose="Remortgage",1.00,
            1.20)))</f>
        <v/>
      </c>
      <c r="L7272">
        <f>LET(
    arrears_months,'Loan Tape (S&amp;P)'!AN7272,
    IF(arrears_months=0,1.00,
    IF(arrears_months=1,3.00,
    IF(arrears_months=2,5.00,
    IF(arrears_months=3,8.00,
    IF(arrears_months=4,10.00,
    IF(arrears_months=5,12.00,15.00)))))))</f>
        <v/>
      </c>
      <c r="M7272">
        <f>LET(
    seasoning_years,DATEDIF('Loan Tape (S&amp;P)'!K7272,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72">
        <f>IF(AND('Loan Tape (S&amp;P)'!U7272="Yes",
        'Loan Tape (S&amp;P)'!T7272&lt;&gt;"Yes",
        DATEDIF('Loan Tape (S&amp;P)'!K7272, TODAY(), "M")&lt;18),
    1.10,
    1.00)</f>
        <v/>
      </c>
      <c r="O7272">
        <f>IF('Loan Tape (S&amp;P)'!T7272="Yes",
    1.35,
    1.00)</f>
        <v/>
      </c>
      <c r="P7272">
        <f>IF('Loan Tape (S&amp;P)'!S7272="Yes",
    1.15,
    1.00)</f>
        <v/>
      </c>
      <c r="Q7272">
        <f>IF('Loan Tape (S&amp;P)'!V7272="Yes",
    1.20,
    1.00)</f>
        <v/>
      </c>
      <c r="T7272">
        <f>LET(
    payment_method,'Loan Tape (S&amp;P)'!P7272,
    occupancy,'Loan Tape (S&amp;P)'!N7272,
    maturity_date,'Loan Tape (S&amp;P)'!L7272,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73">
      <c r="J7273">
        <f>LET(
    lien,'Loan Tape (S&amp;P)'!Q7273,
    IF(lien="First",1.00,
        IF(lien="Second",1.50,
            1.70)))</f>
        <v/>
      </c>
      <c r="K7273">
        <f>LET(
    purpose,'Loan Tape (S&amp;P)'!R7273,
    IF(purpose="Purchase",1.00,
        IF(purpose="Remortgage",1.00,
            1.20)))</f>
        <v/>
      </c>
      <c r="L7273">
        <f>LET(
    arrears_months,'Loan Tape (S&amp;P)'!AN7273,
    IF(arrears_months=0,1.00,
    IF(arrears_months=1,3.00,
    IF(arrears_months=2,5.00,
    IF(arrears_months=3,8.00,
    IF(arrears_months=4,10.00,
    IF(arrears_months=5,12.00,15.00)))))))</f>
        <v/>
      </c>
      <c r="M7273">
        <f>LET(
    seasoning_years,DATEDIF('Loan Tape (S&amp;P)'!K7273,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73">
        <f>IF(AND('Loan Tape (S&amp;P)'!U7273="Yes",
        'Loan Tape (S&amp;P)'!T7273&lt;&gt;"Yes",
        DATEDIF('Loan Tape (S&amp;P)'!K7273, TODAY(), "M")&lt;18),
    1.10,
    1.00)</f>
        <v/>
      </c>
      <c r="O7273">
        <f>IF('Loan Tape (S&amp;P)'!T7273="Yes",
    1.35,
    1.00)</f>
        <v/>
      </c>
      <c r="P7273">
        <f>IF('Loan Tape (S&amp;P)'!S7273="Yes",
    1.15,
    1.00)</f>
        <v/>
      </c>
      <c r="Q7273">
        <f>IF('Loan Tape (S&amp;P)'!V7273="Yes",
    1.20,
    1.00)</f>
        <v/>
      </c>
      <c r="T7273">
        <f>LET(
    payment_method,'Loan Tape (S&amp;P)'!P7273,
    occupancy,'Loan Tape (S&amp;P)'!N7273,
    maturity_date,'Loan Tape (S&amp;P)'!L7273,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74">
      <c r="J7274">
        <f>LET(
    lien,'Loan Tape (S&amp;P)'!Q7274,
    IF(lien="First",1.00,
        IF(lien="Second",1.50,
            1.70)))</f>
        <v/>
      </c>
      <c r="K7274">
        <f>LET(
    purpose,'Loan Tape (S&amp;P)'!R7274,
    IF(purpose="Purchase",1.00,
        IF(purpose="Remortgage",1.00,
            1.20)))</f>
        <v/>
      </c>
      <c r="L7274">
        <f>LET(
    arrears_months,'Loan Tape (S&amp;P)'!AN7274,
    IF(arrears_months=0,1.00,
    IF(arrears_months=1,3.00,
    IF(arrears_months=2,5.00,
    IF(arrears_months=3,8.00,
    IF(arrears_months=4,10.00,
    IF(arrears_months=5,12.00,15.00)))))))</f>
        <v/>
      </c>
      <c r="M7274">
        <f>LET(
    seasoning_years,DATEDIF('Loan Tape (S&amp;P)'!K7274,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74">
        <f>IF(AND('Loan Tape (S&amp;P)'!U7274="Yes",
        'Loan Tape (S&amp;P)'!T7274&lt;&gt;"Yes",
        DATEDIF('Loan Tape (S&amp;P)'!K7274, TODAY(), "M")&lt;18),
    1.10,
    1.00)</f>
        <v/>
      </c>
      <c r="O7274">
        <f>IF('Loan Tape (S&amp;P)'!T7274="Yes",
    1.35,
    1.00)</f>
        <v/>
      </c>
      <c r="P7274">
        <f>IF('Loan Tape (S&amp;P)'!S7274="Yes",
    1.15,
    1.00)</f>
        <v/>
      </c>
      <c r="Q7274">
        <f>IF('Loan Tape (S&amp;P)'!V7274="Yes",
    1.20,
    1.00)</f>
        <v/>
      </c>
      <c r="T7274">
        <f>LET(
    payment_method,'Loan Tape (S&amp;P)'!P7274,
    occupancy,'Loan Tape (S&amp;P)'!N7274,
    maturity_date,'Loan Tape (S&amp;P)'!L7274,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75">
      <c r="J7275">
        <f>LET(
    lien,'Loan Tape (S&amp;P)'!Q7275,
    IF(lien="First",1.00,
        IF(lien="Second",1.50,
            1.70)))</f>
        <v/>
      </c>
      <c r="K7275">
        <f>LET(
    purpose,'Loan Tape (S&amp;P)'!R7275,
    IF(purpose="Purchase",1.00,
        IF(purpose="Remortgage",1.00,
            1.20)))</f>
        <v/>
      </c>
      <c r="L7275">
        <f>LET(
    arrears_months,'Loan Tape (S&amp;P)'!AN7275,
    IF(arrears_months=0,1.00,
    IF(arrears_months=1,3.00,
    IF(arrears_months=2,5.00,
    IF(arrears_months=3,8.00,
    IF(arrears_months=4,10.00,
    IF(arrears_months=5,12.00,15.00)))))))</f>
        <v/>
      </c>
      <c r="M7275">
        <f>LET(
    seasoning_years,DATEDIF('Loan Tape (S&amp;P)'!K7275,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75">
        <f>IF(AND('Loan Tape (S&amp;P)'!U7275="Yes",
        'Loan Tape (S&amp;P)'!T7275&lt;&gt;"Yes",
        DATEDIF('Loan Tape (S&amp;P)'!K7275, TODAY(), "M")&lt;18),
    1.10,
    1.00)</f>
        <v/>
      </c>
      <c r="O7275">
        <f>IF('Loan Tape (S&amp;P)'!T7275="Yes",
    1.35,
    1.00)</f>
        <v/>
      </c>
      <c r="P7275">
        <f>IF('Loan Tape (S&amp;P)'!S7275="Yes",
    1.15,
    1.00)</f>
        <v/>
      </c>
      <c r="Q7275">
        <f>IF('Loan Tape (S&amp;P)'!V7275="Yes",
    1.20,
    1.00)</f>
        <v/>
      </c>
      <c r="T7275">
        <f>LET(
    payment_method,'Loan Tape (S&amp;P)'!P7275,
    occupancy,'Loan Tape (S&amp;P)'!N7275,
    maturity_date,'Loan Tape (S&amp;P)'!L7275,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76">
      <c r="J7276">
        <f>LET(
    lien,'Loan Tape (S&amp;P)'!Q7276,
    IF(lien="First",1.00,
        IF(lien="Second",1.50,
            1.70)))</f>
        <v/>
      </c>
      <c r="K7276">
        <f>LET(
    purpose,'Loan Tape (S&amp;P)'!R7276,
    IF(purpose="Purchase",1.00,
        IF(purpose="Remortgage",1.00,
            1.20)))</f>
        <v/>
      </c>
      <c r="L7276">
        <f>LET(
    arrears_months,'Loan Tape (S&amp;P)'!AN7276,
    IF(arrears_months=0,1.00,
    IF(arrears_months=1,3.00,
    IF(arrears_months=2,5.00,
    IF(arrears_months=3,8.00,
    IF(arrears_months=4,10.00,
    IF(arrears_months=5,12.00,15.00)))))))</f>
        <v/>
      </c>
      <c r="M7276">
        <f>LET(
    seasoning_years,DATEDIF('Loan Tape (S&amp;P)'!K7276,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76">
        <f>IF(AND('Loan Tape (S&amp;P)'!U7276="Yes",
        'Loan Tape (S&amp;P)'!T7276&lt;&gt;"Yes",
        DATEDIF('Loan Tape (S&amp;P)'!K7276, TODAY(), "M")&lt;18),
    1.10,
    1.00)</f>
        <v/>
      </c>
      <c r="O7276">
        <f>IF('Loan Tape (S&amp;P)'!T7276="Yes",
    1.35,
    1.00)</f>
        <v/>
      </c>
      <c r="P7276">
        <f>IF('Loan Tape (S&amp;P)'!S7276="Yes",
    1.15,
    1.00)</f>
        <v/>
      </c>
      <c r="Q7276">
        <f>IF('Loan Tape (S&amp;P)'!V7276="Yes",
    1.20,
    1.00)</f>
        <v/>
      </c>
      <c r="T7276">
        <f>LET(
    payment_method,'Loan Tape (S&amp;P)'!P7276,
    occupancy,'Loan Tape (S&amp;P)'!N7276,
    maturity_date,'Loan Tape (S&amp;P)'!L7276,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77">
      <c r="J7277">
        <f>LET(
    lien,'Loan Tape (S&amp;P)'!Q7277,
    IF(lien="First",1.00,
        IF(lien="Second",1.50,
            1.70)))</f>
        <v/>
      </c>
      <c r="K7277">
        <f>LET(
    purpose,'Loan Tape (S&amp;P)'!R7277,
    IF(purpose="Purchase",1.00,
        IF(purpose="Remortgage",1.00,
            1.20)))</f>
        <v/>
      </c>
      <c r="L7277">
        <f>LET(
    arrears_months,'Loan Tape (S&amp;P)'!AN7277,
    IF(arrears_months=0,1.00,
    IF(arrears_months=1,3.00,
    IF(arrears_months=2,5.00,
    IF(arrears_months=3,8.00,
    IF(arrears_months=4,10.00,
    IF(arrears_months=5,12.00,15.00)))))))</f>
        <v/>
      </c>
      <c r="M7277">
        <f>LET(
    seasoning_years,DATEDIF('Loan Tape (S&amp;P)'!K7277,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77">
        <f>IF(AND('Loan Tape (S&amp;P)'!U7277="Yes",
        'Loan Tape (S&amp;P)'!T7277&lt;&gt;"Yes",
        DATEDIF('Loan Tape (S&amp;P)'!K7277, TODAY(), "M")&lt;18),
    1.10,
    1.00)</f>
        <v/>
      </c>
      <c r="O7277">
        <f>IF('Loan Tape (S&amp;P)'!T7277="Yes",
    1.35,
    1.00)</f>
        <v/>
      </c>
      <c r="P7277">
        <f>IF('Loan Tape (S&amp;P)'!S7277="Yes",
    1.15,
    1.00)</f>
        <v/>
      </c>
      <c r="Q7277">
        <f>IF('Loan Tape (S&amp;P)'!V7277="Yes",
    1.20,
    1.00)</f>
        <v/>
      </c>
      <c r="T7277">
        <f>LET(
    payment_method,'Loan Tape (S&amp;P)'!P7277,
    occupancy,'Loan Tape (S&amp;P)'!N7277,
    maturity_date,'Loan Tape (S&amp;P)'!L7277,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78">
      <c r="J7278">
        <f>LET(
    lien,'Loan Tape (S&amp;P)'!Q7278,
    IF(lien="First",1.00,
        IF(lien="Second",1.50,
            1.70)))</f>
        <v/>
      </c>
      <c r="K7278">
        <f>LET(
    purpose,'Loan Tape (S&amp;P)'!R7278,
    IF(purpose="Purchase",1.00,
        IF(purpose="Remortgage",1.00,
            1.20)))</f>
        <v/>
      </c>
      <c r="L7278">
        <f>LET(
    arrears_months,'Loan Tape (S&amp;P)'!AN7278,
    IF(arrears_months=0,1.00,
    IF(arrears_months=1,3.00,
    IF(arrears_months=2,5.00,
    IF(arrears_months=3,8.00,
    IF(arrears_months=4,10.00,
    IF(arrears_months=5,12.00,15.00)))))))</f>
        <v/>
      </c>
      <c r="M7278">
        <f>LET(
    seasoning_years,DATEDIF('Loan Tape (S&amp;P)'!K7278,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78">
        <f>IF(AND('Loan Tape (S&amp;P)'!U7278="Yes",
        'Loan Tape (S&amp;P)'!T7278&lt;&gt;"Yes",
        DATEDIF('Loan Tape (S&amp;P)'!K7278, TODAY(), "M")&lt;18),
    1.10,
    1.00)</f>
        <v/>
      </c>
      <c r="O7278">
        <f>IF('Loan Tape (S&amp;P)'!T7278="Yes",
    1.35,
    1.00)</f>
        <v/>
      </c>
      <c r="P7278">
        <f>IF('Loan Tape (S&amp;P)'!S7278="Yes",
    1.15,
    1.00)</f>
        <v/>
      </c>
      <c r="Q7278">
        <f>IF('Loan Tape (S&amp;P)'!V7278="Yes",
    1.20,
    1.00)</f>
        <v/>
      </c>
      <c r="T7278">
        <f>LET(
    payment_method,'Loan Tape (S&amp;P)'!P7278,
    occupancy,'Loan Tape (S&amp;P)'!N7278,
    maturity_date,'Loan Tape (S&amp;P)'!L7278,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79">
      <c r="J7279">
        <f>LET(
    lien,'Loan Tape (S&amp;P)'!Q7279,
    IF(lien="First",1.00,
        IF(lien="Second",1.50,
            1.70)))</f>
        <v/>
      </c>
      <c r="K7279">
        <f>LET(
    purpose,'Loan Tape (S&amp;P)'!R7279,
    IF(purpose="Purchase",1.00,
        IF(purpose="Remortgage",1.00,
            1.20)))</f>
        <v/>
      </c>
      <c r="L7279">
        <f>LET(
    arrears_months,'Loan Tape (S&amp;P)'!AN7279,
    IF(arrears_months=0,1.00,
    IF(arrears_months=1,3.00,
    IF(arrears_months=2,5.00,
    IF(arrears_months=3,8.00,
    IF(arrears_months=4,10.00,
    IF(arrears_months=5,12.00,15.00)))))))</f>
        <v/>
      </c>
      <c r="M7279">
        <f>LET(
    seasoning_years,DATEDIF('Loan Tape (S&amp;P)'!K7279,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79">
        <f>IF(AND('Loan Tape (S&amp;P)'!U7279="Yes",
        'Loan Tape (S&amp;P)'!T7279&lt;&gt;"Yes",
        DATEDIF('Loan Tape (S&amp;P)'!K7279, TODAY(), "M")&lt;18),
    1.10,
    1.00)</f>
        <v/>
      </c>
      <c r="O7279">
        <f>IF('Loan Tape (S&amp;P)'!T7279="Yes",
    1.35,
    1.00)</f>
        <v/>
      </c>
      <c r="P7279">
        <f>IF('Loan Tape (S&amp;P)'!S7279="Yes",
    1.15,
    1.00)</f>
        <v/>
      </c>
      <c r="Q7279">
        <f>IF('Loan Tape (S&amp;P)'!V7279="Yes",
    1.20,
    1.00)</f>
        <v/>
      </c>
      <c r="T7279">
        <f>LET(
    payment_method,'Loan Tape (S&amp;P)'!P7279,
    occupancy,'Loan Tape (S&amp;P)'!N7279,
    maturity_date,'Loan Tape (S&amp;P)'!L7279,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80">
      <c r="J7280">
        <f>LET(
    lien,'Loan Tape (S&amp;P)'!Q7280,
    IF(lien="First",1.00,
        IF(lien="Second",1.50,
            1.70)))</f>
        <v/>
      </c>
      <c r="K7280">
        <f>LET(
    purpose,'Loan Tape (S&amp;P)'!R7280,
    IF(purpose="Purchase",1.00,
        IF(purpose="Remortgage",1.00,
            1.20)))</f>
        <v/>
      </c>
      <c r="L7280">
        <f>LET(
    arrears_months,'Loan Tape (S&amp;P)'!AN7280,
    IF(arrears_months=0,1.00,
    IF(arrears_months=1,3.00,
    IF(arrears_months=2,5.00,
    IF(arrears_months=3,8.00,
    IF(arrears_months=4,10.00,
    IF(arrears_months=5,12.00,15.00)))))))</f>
        <v/>
      </c>
      <c r="M7280">
        <f>LET(
    seasoning_years,DATEDIF('Loan Tape (S&amp;P)'!K7280,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80">
        <f>IF(AND('Loan Tape (S&amp;P)'!U7280="Yes",
        'Loan Tape (S&amp;P)'!T7280&lt;&gt;"Yes",
        DATEDIF('Loan Tape (S&amp;P)'!K7280, TODAY(), "M")&lt;18),
    1.10,
    1.00)</f>
        <v/>
      </c>
      <c r="O7280">
        <f>IF('Loan Tape (S&amp;P)'!T7280="Yes",
    1.35,
    1.00)</f>
        <v/>
      </c>
      <c r="P7280">
        <f>IF('Loan Tape (S&amp;P)'!S7280="Yes",
    1.15,
    1.00)</f>
        <v/>
      </c>
      <c r="Q7280">
        <f>IF('Loan Tape (S&amp;P)'!V7280="Yes",
    1.20,
    1.00)</f>
        <v/>
      </c>
      <c r="T7280">
        <f>LET(
    payment_method,'Loan Tape (S&amp;P)'!P7280,
    occupancy,'Loan Tape (S&amp;P)'!N7280,
    maturity_date,'Loan Tape (S&amp;P)'!L7280,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81">
      <c r="J7281">
        <f>LET(
    lien,'Loan Tape (S&amp;P)'!Q7281,
    IF(lien="First",1.00,
        IF(lien="Second",1.50,
            1.70)))</f>
        <v/>
      </c>
      <c r="K7281">
        <f>LET(
    purpose,'Loan Tape (S&amp;P)'!R7281,
    IF(purpose="Purchase",1.00,
        IF(purpose="Remortgage",1.00,
            1.20)))</f>
        <v/>
      </c>
      <c r="L7281">
        <f>LET(
    arrears_months,'Loan Tape (S&amp;P)'!AN7281,
    IF(arrears_months=0,1.00,
    IF(arrears_months=1,3.00,
    IF(arrears_months=2,5.00,
    IF(arrears_months=3,8.00,
    IF(arrears_months=4,10.00,
    IF(arrears_months=5,12.00,15.00)))))))</f>
        <v/>
      </c>
      <c r="M7281">
        <f>LET(
    seasoning_years,DATEDIF('Loan Tape (S&amp;P)'!K7281,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81">
        <f>IF(AND('Loan Tape (S&amp;P)'!U7281="Yes",
        'Loan Tape (S&amp;P)'!T7281&lt;&gt;"Yes",
        DATEDIF('Loan Tape (S&amp;P)'!K7281, TODAY(), "M")&lt;18),
    1.10,
    1.00)</f>
        <v/>
      </c>
      <c r="O7281">
        <f>IF('Loan Tape (S&amp;P)'!T7281="Yes",
    1.35,
    1.00)</f>
        <v/>
      </c>
      <c r="P7281">
        <f>IF('Loan Tape (S&amp;P)'!S7281="Yes",
    1.15,
    1.00)</f>
        <v/>
      </c>
      <c r="Q7281">
        <f>IF('Loan Tape (S&amp;P)'!V7281="Yes",
    1.20,
    1.00)</f>
        <v/>
      </c>
      <c r="T7281">
        <f>LET(
    payment_method,'Loan Tape (S&amp;P)'!P7281,
    occupancy,'Loan Tape (S&amp;P)'!N7281,
    maturity_date,'Loan Tape (S&amp;P)'!L7281,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82">
      <c r="J7282">
        <f>LET(
    lien,'Loan Tape (S&amp;P)'!Q7282,
    IF(lien="First",1.00,
        IF(lien="Second",1.50,
            1.70)))</f>
        <v/>
      </c>
      <c r="K7282">
        <f>LET(
    purpose,'Loan Tape (S&amp;P)'!R7282,
    IF(purpose="Purchase",1.00,
        IF(purpose="Remortgage",1.00,
            1.20)))</f>
        <v/>
      </c>
      <c r="L7282">
        <f>LET(
    arrears_months,'Loan Tape (S&amp;P)'!AN7282,
    IF(arrears_months=0,1.00,
    IF(arrears_months=1,3.00,
    IF(arrears_months=2,5.00,
    IF(arrears_months=3,8.00,
    IF(arrears_months=4,10.00,
    IF(arrears_months=5,12.00,15.00)))))))</f>
        <v/>
      </c>
      <c r="M7282">
        <f>LET(
    seasoning_years,DATEDIF('Loan Tape (S&amp;P)'!K7282,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82">
        <f>IF(AND('Loan Tape (S&amp;P)'!U7282="Yes",
        'Loan Tape (S&amp;P)'!T7282&lt;&gt;"Yes",
        DATEDIF('Loan Tape (S&amp;P)'!K7282, TODAY(), "M")&lt;18),
    1.10,
    1.00)</f>
        <v/>
      </c>
      <c r="O7282">
        <f>IF('Loan Tape (S&amp;P)'!T7282="Yes",
    1.35,
    1.00)</f>
        <v/>
      </c>
      <c r="P7282">
        <f>IF('Loan Tape (S&amp;P)'!S7282="Yes",
    1.15,
    1.00)</f>
        <v/>
      </c>
      <c r="Q7282">
        <f>IF('Loan Tape (S&amp;P)'!V7282="Yes",
    1.20,
    1.00)</f>
        <v/>
      </c>
      <c r="T7282">
        <f>LET(
    payment_method,'Loan Tape (S&amp;P)'!P7282,
    occupancy,'Loan Tape (S&amp;P)'!N7282,
    maturity_date,'Loan Tape (S&amp;P)'!L7282,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83">
      <c r="J7283">
        <f>LET(
    lien,'Loan Tape (S&amp;P)'!Q7283,
    IF(lien="First",1.00,
        IF(lien="Second",1.50,
            1.70)))</f>
        <v/>
      </c>
      <c r="K7283">
        <f>LET(
    purpose,'Loan Tape (S&amp;P)'!R7283,
    IF(purpose="Purchase",1.00,
        IF(purpose="Remortgage",1.00,
            1.20)))</f>
        <v/>
      </c>
      <c r="L7283">
        <f>LET(
    arrears_months,'Loan Tape (S&amp;P)'!AN7283,
    IF(arrears_months=0,1.00,
    IF(arrears_months=1,3.00,
    IF(arrears_months=2,5.00,
    IF(arrears_months=3,8.00,
    IF(arrears_months=4,10.00,
    IF(arrears_months=5,12.00,15.00)))))))</f>
        <v/>
      </c>
      <c r="M7283">
        <f>LET(
    seasoning_years,DATEDIF('Loan Tape (S&amp;P)'!K7283,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83">
        <f>IF(AND('Loan Tape (S&amp;P)'!U7283="Yes",
        'Loan Tape (S&amp;P)'!T7283&lt;&gt;"Yes",
        DATEDIF('Loan Tape (S&amp;P)'!K7283, TODAY(), "M")&lt;18),
    1.10,
    1.00)</f>
        <v/>
      </c>
      <c r="O7283">
        <f>IF('Loan Tape (S&amp;P)'!T7283="Yes",
    1.35,
    1.00)</f>
        <v/>
      </c>
      <c r="P7283">
        <f>IF('Loan Tape (S&amp;P)'!S7283="Yes",
    1.15,
    1.00)</f>
        <v/>
      </c>
      <c r="Q7283">
        <f>IF('Loan Tape (S&amp;P)'!V7283="Yes",
    1.20,
    1.00)</f>
        <v/>
      </c>
      <c r="T7283">
        <f>LET(
    payment_method,'Loan Tape (S&amp;P)'!P7283,
    occupancy,'Loan Tape (S&amp;P)'!N7283,
    maturity_date,'Loan Tape (S&amp;P)'!L7283,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84">
      <c r="J7284">
        <f>LET(
    lien,'Loan Tape (S&amp;P)'!Q7284,
    IF(lien="First",1.00,
        IF(lien="Second",1.50,
            1.70)))</f>
        <v/>
      </c>
      <c r="K7284">
        <f>LET(
    purpose,'Loan Tape (S&amp;P)'!R7284,
    IF(purpose="Purchase",1.00,
        IF(purpose="Remortgage",1.00,
            1.20)))</f>
        <v/>
      </c>
      <c r="L7284">
        <f>LET(
    arrears_months,'Loan Tape (S&amp;P)'!AN7284,
    IF(arrears_months=0,1.00,
    IF(arrears_months=1,3.00,
    IF(arrears_months=2,5.00,
    IF(arrears_months=3,8.00,
    IF(arrears_months=4,10.00,
    IF(arrears_months=5,12.00,15.00)))))))</f>
        <v/>
      </c>
      <c r="M7284">
        <f>LET(
    seasoning_years,DATEDIF('Loan Tape (S&amp;P)'!K7284,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84">
        <f>IF(AND('Loan Tape (S&amp;P)'!U7284="Yes",
        'Loan Tape (S&amp;P)'!T7284&lt;&gt;"Yes",
        DATEDIF('Loan Tape (S&amp;P)'!K7284, TODAY(), "M")&lt;18),
    1.10,
    1.00)</f>
        <v/>
      </c>
      <c r="O7284">
        <f>IF('Loan Tape (S&amp;P)'!T7284="Yes",
    1.35,
    1.00)</f>
        <v/>
      </c>
      <c r="P7284">
        <f>IF('Loan Tape (S&amp;P)'!S7284="Yes",
    1.15,
    1.00)</f>
        <v/>
      </c>
      <c r="Q7284">
        <f>IF('Loan Tape (S&amp;P)'!V7284="Yes",
    1.20,
    1.00)</f>
        <v/>
      </c>
      <c r="T7284">
        <f>LET(
    payment_method,'Loan Tape (S&amp;P)'!P7284,
    occupancy,'Loan Tape (S&amp;P)'!N7284,
    maturity_date,'Loan Tape (S&amp;P)'!L7284,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85">
      <c r="J7285">
        <f>LET(
    lien,'Loan Tape (S&amp;P)'!Q7285,
    IF(lien="First",1.00,
        IF(lien="Second",1.50,
            1.70)))</f>
        <v/>
      </c>
      <c r="K7285">
        <f>LET(
    purpose,'Loan Tape (S&amp;P)'!R7285,
    IF(purpose="Purchase",1.00,
        IF(purpose="Remortgage",1.00,
            1.20)))</f>
        <v/>
      </c>
      <c r="L7285">
        <f>LET(
    arrears_months,'Loan Tape (S&amp;P)'!AN7285,
    IF(arrears_months=0,1.00,
    IF(arrears_months=1,3.00,
    IF(arrears_months=2,5.00,
    IF(arrears_months=3,8.00,
    IF(arrears_months=4,10.00,
    IF(arrears_months=5,12.00,15.00)))))))</f>
        <v/>
      </c>
      <c r="M7285">
        <f>LET(
    seasoning_years,DATEDIF('Loan Tape (S&amp;P)'!K7285,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85">
        <f>IF(AND('Loan Tape (S&amp;P)'!U7285="Yes",
        'Loan Tape (S&amp;P)'!T7285&lt;&gt;"Yes",
        DATEDIF('Loan Tape (S&amp;P)'!K7285, TODAY(), "M")&lt;18),
    1.10,
    1.00)</f>
        <v/>
      </c>
      <c r="O7285">
        <f>IF('Loan Tape (S&amp;P)'!T7285="Yes",
    1.35,
    1.00)</f>
        <v/>
      </c>
      <c r="P7285">
        <f>IF('Loan Tape (S&amp;P)'!S7285="Yes",
    1.15,
    1.00)</f>
        <v/>
      </c>
      <c r="Q7285">
        <f>IF('Loan Tape (S&amp;P)'!V7285="Yes",
    1.20,
    1.00)</f>
        <v/>
      </c>
      <c r="T7285">
        <f>LET(
    payment_method,'Loan Tape (S&amp;P)'!P7285,
    occupancy,'Loan Tape (S&amp;P)'!N7285,
    maturity_date,'Loan Tape (S&amp;P)'!L7285,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86">
      <c r="J7286">
        <f>LET(
    lien,'Loan Tape (S&amp;P)'!Q7286,
    IF(lien="First",1.00,
        IF(lien="Second",1.50,
            1.70)))</f>
        <v/>
      </c>
      <c r="K7286">
        <f>LET(
    purpose,'Loan Tape (S&amp;P)'!R7286,
    IF(purpose="Purchase",1.00,
        IF(purpose="Remortgage",1.00,
            1.20)))</f>
        <v/>
      </c>
      <c r="L7286">
        <f>LET(
    arrears_months,'Loan Tape (S&amp;P)'!AN7286,
    IF(arrears_months=0,1.00,
    IF(arrears_months=1,3.00,
    IF(arrears_months=2,5.00,
    IF(arrears_months=3,8.00,
    IF(arrears_months=4,10.00,
    IF(arrears_months=5,12.00,15.00)))))))</f>
        <v/>
      </c>
      <c r="M7286">
        <f>LET(
    seasoning_years,DATEDIF('Loan Tape (S&amp;P)'!K7286,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86">
        <f>IF(AND('Loan Tape (S&amp;P)'!U7286="Yes",
        'Loan Tape (S&amp;P)'!T7286&lt;&gt;"Yes",
        DATEDIF('Loan Tape (S&amp;P)'!K7286, TODAY(), "M")&lt;18),
    1.10,
    1.00)</f>
        <v/>
      </c>
      <c r="O7286">
        <f>IF('Loan Tape (S&amp;P)'!T7286="Yes",
    1.35,
    1.00)</f>
        <v/>
      </c>
      <c r="P7286">
        <f>IF('Loan Tape (S&amp;P)'!S7286="Yes",
    1.15,
    1.00)</f>
        <v/>
      </c>
      <c r="Q7286">
        <f>IF('Loan Tape (S&amp;P)'!V7286="Yes",
    1.20,
    1.00)</f>
        <v/>
      </c>
      <c r="T7286">
        <f>LET(
    payment_method,'Loan Tape (S&amp;P)'!P7286,
    occupancy,'Loan Tape (S&amp;P)'!N7286,
    maturity_date,'Loan Tape (S&amp;P)'!L7286,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87">
      <c r="J7287">
        <f>LET(
    lien,'Loan Tape (S&amp;P)'!Q7287,
    IF(lien="First",1.00,
        IF(lien="Second",1.50,
            1.70)))</f>
        <v/>
      </c>
      <c r="K7287">
        <f>LET(
    purpose,'Loan Tape (S&amp;P)'!R7287,
    IF(purpose="Purchase",1.00,
        IF(purpose="Remortgage",1.00,
            1.20)))</f>
        <v/>
      </c>
      <c r="L7287">
        <f>LET(
    arrears_months,'Loan Tape (S&amp;P)'!AN7287,
    IF(arrears_months=0,1.00,
    IF(arrears_months=1,3.00,
    IF(arrears_months=2,5.00,
    IF(arrears_months=3,8.00,
    IF(arrears_months=4,10.00,
    IF(arrears_months=5,12.00,15.00)))))))</f>
        <v/>
      </c>
      <c r="M7287">
        <f>LET(
    seasoning_years,DATEDIF('Loan Tape (S&amp;P)'!K7287,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87">
        <f>IF(AND('Loan Tape (S&amp;P)'!U7287="Yes",
        'Loan Tape (S&amp;P)'!T7287&lt;&gt;"Yes",
        DATEDIF('Loan Tape (S&amp;P)'!K7287, TODAY(), "M")&lt;18),
    1.10,
    1.00)</f>
        <v/>
      </c>
      <c r="O7287">
        <f>IF('Loan Tape (S&amp;P)'!T7287="Yes",
    1.35,
    1.00)</f>
        <v/>
      </c>
      <c r="P7287">
        <f>IF('Loan Tape (S&amp;P)'!S7287="Yes",
    1.15,
    1.00)</f>
        <v/>
      </c>
      <c r="Q7287">
        <f>IF('Loan Tape (S&amp;P)'!V7287="Yes",
    1.20,
    1.00)</f>
        <v/>
      </c>
      <c r="T7287">
        <f>LET(
    payment_method,'Loan Tape (S&amp;P)'!P7287,
    occupancy,'Loan Tape (S&amp;P)'!N7287,
    maturity_date,'Loan Tape (S&amp;P)'!L7287,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88">
      <c r="J7288">
        <f>LET(
    lien,'Loan Tape (S&amp;P)'!Q7288,
    IF(lien="First",1.00,
        IF(lien="Second",1.50,
            1.70)))</f>
        <v/>
      </c>
      <c r="K7288">
        <f>LET(
    purpose,'Loan Tape (S&amp;P)'!R7288,
    IF(purpose="Purchase",1.00,
        IF(purpose="Remortgage",1.00,
            1.20)))</f>
        <v/>
      </c>
      <c r="L7288">
        <f>LET(
    arrears_months,'Loan Tape (S&amp;P)'!AN7288,
    IF(arrears_months=0,1.00,
    IF(arrears_months=1,3.00,
    IF(arrears_months=2,5.00,
    IF(arrears_months=3,8.00,
    IF(arrears_months=4,10.00,
    IF(arrears_months=5,12.00,15.00)))))))</f>
        <v/>
      </c>
      <c r="M7288">
        <f>LET(
    seasoning_years,DATEDIF('Loan Tape (S&amp;P)'!K7288,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88">
        <f>IF(AND('Loan Tape (S&amp;P)'!U7288="Yes",
        'Loan Tape (S&amp;P)'!T7288&lt;&gt;"Yes",
        DATEDIF('Loan Tape (S&amp;P)'!K7288, TODAY(), "M")&lt;18),
    1.10,
    1.00)</f>
        <v/>
      </c>
      <c r="O7288">
        <f>IF('Loan Tape (S&amp;P)'!T7288="Yes",
    1.35,
    1.00)</f>
        <v/>
      </c>
      <c r="P7288">
        <f>IF('Loan Tape (S&amp;P)'!S7288="Yes",
    1.15,
    1.00)</f>
        <v/>
      </c>
      <c r="Q7288">
        <f>IF('Loan Tape (S&amp;P)'!V7288="Yes",
    1.20,
    1.00)</f>
        <v/>
      </c>
      <c r="T7288">
        <f>LET(
    payment_method,'Loan Tape (S&amp;P)'!P7288,
    occupancy,'Loan Tape (S&amp;P)'!N7288,
    maturity_date,'Loan Tape (S&amp;P)'!L7288,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89">
      <c r="J7289">
        <f>LET(
    lien,'Loan Tape (S&amp;P)'!Q7289,
    IF(lien="First",1.00,
        IF(lien="Second",1.50,
            1.70)))</f>
        <v/>
      </c>
      <c r="K7289">
        <f>LET(
    purpose,'Loan Tape (S&amp;P)'!R7289,
    IF(purpose="Purchase",1.00,
        IF(purpose="Remortgage",1.00,
            1.20)))</f>
        <v/>
      </c>
      <c r="L7289">
        <f>LET(
    arrears_months,'Loan Tape (S&amp;P)'!AN7289,
    IF(arrears_months=0,1.00,
    IF(arrears_months=1,3.00,
    IF(arrears_months=2,5.00,
    IF(arrears_months=3,8.00,
    IF(arrears_months=4,10.00,
    IF(arrears_months=5,12.00,15.00)))))))</f>
        <v/>
      </c>
      <c r="M7289">
        <f>LET(
    seasoning_years,DATEDIF('Loan Tape (S&amp;P)'!K7289,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89">
        <f>IF(AND('Loan Tape (S&amp;P)'!U7289="Yes",
        'Loan Tape (S&amp;P)'!T7289&lt;&gt;"Yes",
        DATEDIF('Loan Tape (S&amp;P)'!K7289, TODAY(), "M")&lt;18),
    1.10,
    1.00)</f>
        <v/>
      </c>
      <c r="O7289">
        <f>IF('Loan Tape (S&amp;P)'!T7289="Yes",
    1.35,
    1.00)</f>
        <v/>
      </c>
      <c r="P7289">
        <f>IF('Loan Tape (S&amp;P)'!S7289="Yes",
    1.15,
    1.00)</f>
        <v/>
      </c>
      <c r="Q7289">
        <f>IF('Loan Tape (S&amp;P)'!V7289="Yes",
    1.20,
    1.00)</f>
        <v/>
      </c>
      <c r="T7289">
        <f>LET(
    payment_method,'Loan Tape (S&amp;P)'!P7289,
    occupancy,'Loan Tape (S&amp;P)'!N7289,
    maturity_date,'Loan Tape (S&amp;P)'!L7289,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90">
      <c r="J7290">
        <f>LET(
    lien,'Loan Tape (S&amp;P)'!Q7290,
    IF(lien="First",1.00,
        IF(lien="Second",1.50,
            1.70)))</f>
        <v/>
      </c>
      <c r="K7290">
        <f>LET(
    purpose,'Loan Tape (S&amp;P)'!R7290,
    IF(purpose="Purchase",1.00,
        IF(purpose="Remortgage",1.00,
            1.20)))</f>
        <v/>
      </c>
      <c r="L7290">
        <f>LET(
    arrears_months,'Loan Tape (S&amp;P)'!AN7290,
    IF(arrears_months=0,1.00,
    IF(arrears_months=1,3.00,
    IF(arrears_months=2,5.00,
    IF(arrears_months=3,8.00,
    IF(arrears_months=4,10.00,
    IF(arrears_months=5,12.00,15.00)))))))</f>
        <v/>
      </c>
      <c r="M7290">
        <f>LET(
    seasoning_years,DATEDIF('Loan Tape (S&amp;P)'!K7290,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90">
        <f>IF(AND('Loan Tape (S&amp;P)'!U7290="Yes",
        'Loan Tape (S&amp;P)'!T7290&lt;&gt;"Yes",
        DATEDIF('Loan Tape (S&amp;P)'!K7290, TODAY(), "M")&lt;18),
    1.10,
    1.00)</f>
        <v/>
      </c>
      <c r="O7290">
        <f>IF('Loan Tape (S&amp;P)'!T7290="Yes",
    1.35,
    1.00)</f>
        <v/>
      </c>
      <c r="P7290">
        <f>IF('Loan Tape (S&amp;P)'!S7290="Yes",
    1.15,
    1.00)</f>
        <v/>
      </c>
      <c r="Q7290">
        <f>IF('Loan Tape (S&amp;P)'!V7290="Yes",
    1.20,
    1.00)</f>
        <v/>
      </c>
      <c r="T7290">
        <f>LET(
    payment_method,'Loan Tape (S&amp;P)'!P7290,
    occupancy,'Loan Tape (S&amp;P)'!N7290,
    maturity_date,'Loan Tape (S&amp;P)'!L7290,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91">
      <c r="J7291">
        <f>LET(
    lien,'Loan Tape (S&amp;P)'!Q7291,
    IF(lien="First",1.00,
        IF(lien="Second",1.50,
            1.70)))</f>
        <v/>
      </c>
      <c r="K7291">
        <f>LET(
    purpose,'Loan Tape (S&amp;P)'!R7291,
    IF(purpose="Purchase",1.00,
        IF(purpose="Remortgage",1.00,
            1.20)))</f>
        <v/>
      </c>
      <c r="L7291">
        <f>LET(
    arrears_months,'Loan Tape (S&amp;P)'!AN7291,
    IF(arrears_months=0,1.00,
    IF(arrears_months=1,3.00,
    IF(arrears_months=2,5.00,
    IF(arrears_months=3,8.00,
    IF(arrears_months=4,10.00,
    IF(arrears_months=5,12.00,15.00)))))))</f>
        <v/>
      </c>
      <c r="M7291">
        <f>LET(
    seasoning_years,DATEDIF('Loan Tape (S&amp;P)'!K7291,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91">
        <f>IF(AND('Loan Tape (S&amp;P)'!U7291="Yes",
        'Loan Tape (S&amp;P)'!T7291&lt;&gt;"Yes",
        DATEDIF('Loan Tape (S&amp;P)'!K7291, TODAY(), "M")&lt;18),
    1.10,
    1.00)</f>
        <v/>
      </c>
      <c r="O7291">
        <f>IF('Loan Tape (S&amp;P)'!T7291="Yes",
    1.35,
    1.00)</f>
        <v/>
      </c>
      <c r="P7291">
        <f>IF('Loan Tape (S&amp;P)'!S7291="Yes",
    1.15,
    1.00)</f>
        <v/>
      </c>
      <c r="Q7291">
        <f>IF('Loan Tape (S&amp;P)'!V7291="Yes",
    1.20,
    1.00)</f>
        <v/>
      </c>
      <c r="T7291">
        <f>LET(
    payment_method,'Loan Tape (S&amp;P)'!P7291,
    occupancy,'Loan Tape (S&amp;P)'!N7291,
    maturity_date,'Loan Tape (S&amp;P)'!L7291,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92">
      <c r="J7292">
        <f>LET(
    lien,'Loan Tape (S&amp;P)'!Q7292,
    IF(lien="First",1.00,
        IF(lien="Second",1.50,
            1.70)))</f>
        <v/>
      </c>
      <c r="K7292">
        <f>LET(
    purpose,'Loan Tape (S&amp;P)'!R7292,
    IF(purpose="Purchase",1.00,
        IF(purpose="Remortgage",1.00,
            1.20)))</f>
        <v/>
      </c>
      <c r="L7292">
        <f>LET(
    arrears_months,'Loan Tape (S&amp;P)'!AN7292,
    IF(arrears_months=0,1.00,
    IF(arrears_months=1,3.00,
    IF(arrears_months=2,5.00,
    IF(arrears_months=3,8.00,
    IF(arrears_months=4,10.00,
    IF(arrears_months=5,12.00,15.00)))))))</f>
        <v/>
      </c>
      <c r="M7292">
        <f>LET(
    seasoning_years,DATEDIF('Loan Tape (S&amp;P)'!K7292,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92">
        <f>IF(AND('Loan Tape (S&amp;P)'!U7292="Yes",
        'Loan Tape (S&amp;P)'!T7292&lt;&gt;"Yes",
        DATEDIF('Loan Tape (S&amp;P)'!K7292, TODAY(), "M")&lt;18),
    1.10,
    1.00)</f>
        <v/>
      </c>
      <c r="O7292">
        <f>IF('Loan Tape (S&amp;P)'!T7292="Yes",
    1.35,
    1.00)</f>
        <v/>
      </c>
      <c r="P7292">
        <f>IF('Loan Tape (S&amp;P)'!S7292="Yes",
    1.15,
    1.00)</f>
        <v/>
      </c>
      <c r="Q7292">
        <f>IF('Loan Tape (S&amp;P)'!V7292="Yes",
    1.20,
    1.00)</f>
        <v/>
      </c>
      <c r="T7292">
        <f>LET(
    payment_method,'Loan Tape (S&amp;P)'!P7292,
    occupancy,'Loan Tape (S&amp;P)'!N7292,
    maturity_date,'Loan Tape (S&amp;P)'!L7292,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93">
      <c r="J7293">
        <f>LET(
    lien,'Loan Tape (S&amp;P)'!Q7293,
    IF(lien="First",1.00,
        IF(lien="Second",1.50,
            1.70)))</f>
        <v/>
      </c>
      <c r="K7293">
        <f>LET(
    purpose,'Loan Tape (S&amp;P)'!R7293,
    IF(purpose="Purchase",1.00,
        IF(purpose="Remortgage",1.00,
            1.20)))</f>
        <v/>
      </c>
      <c r="L7293">
        <f>LET(
    arrears_months,'Loan Tape (S&amp;P)'!AN7293,
    IF(arrears_months=0,1.00,
    IF(arrears_months=1,3.00,
    IF(arrears_months=2,5.00,
    IF(arrears_months=3,8.00,
    IF(arrears_months=4,10.00,
    IF(arrears_months=5,12.00,15.00)))))))</f>
        <v/>
      </c>
      <c r="M7293">
        <f>LET(
    seasoning_years,DATEDIF('Loan Tape (S&amp;P)'!K7293,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93">
        <f>IF(AND('Loan Tape (S&amp;P)'!U7293="Yes",
        'Loan Tape (S&amp;P)'!T7293&lt;&gt;"Yes",
        DATEDIF('Loan Tape (S&amp;P)'!K7293, TODAY(), "M")&lt;18),
    1.10,
    1.00)</f>
        <v/>
      </c>
      <c r="O7293">
        <f>IF('Loan Tape (S&amp;P)'!T7293="Yes",
    1.35,
    1.00)</f>
        <v/>
      </c>
      <c r="P7293">
        <f>IF('Loan Tape (S&amp;P)'!S7293="Yes",
    1.15,
    1.00)</f>
        <v/>
      </c>
      <c r="Q7293">
        <f>IF('Loan Tape (S&amp;P)'!V7293="Yes",
    1.20,
    1.00)</f>
        <v/>
      </c>
      <c r="T7293">
        <f>LET(
    payment_method,'Loan Tape (S&amp;P)'!P7293,
    occupancy,'Loan Tape (S&amp;P)'!N7293,
    maturity_date,'Loan Tape (S&amp;P)'!L7293,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94">
      <c r="J7294">
        <f>LET(
    lien,'Loan Tape (S&amp;P)'!Q7294,
    IF(lien="First",1.00,
        IF(lien="Second",1.50,
            1.70)))</f>
        <v/>
      </c>
      <c r="K7294">
        <f>LET(
    purpose,'Loan Tape (S&amp;P)'!R7294,
    IF(purpose="Purchase",1.00,
        IF(purpose="Remortgage",1.00,
            1.20)))</f>
        <v/>
      </c>
      <c r="L7294">
        <f>LET(
    arrears_months,'Loan Tape (S&amp;P)'!AN7294,
    IF(arrears_months=0,1.00,
    IF(arrears_months=1,3.00,
    IF(arrears_months=2,5.00,
    IF(arrears_months=3,8.00,
    IF(arrears_months=4,10.00,
    IF(arrears_months=5,12.00,15.00)))))))</f>
        <v/>
      </c>
      <c r="M7294">
        <f>LET(
    seasoning_years,DATEDIF('Loan Tape (S&amp;P)'!K7294,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94">
        <f>IF(AND('Loan Tape (S&amp;P)'!U7294="Yes",
        'Loan Tape (S&amp;P)'!T7294&lt;&gt;"Yes",
        DATEDIF('Loan Tape (S&amp;P)'!K7294, TODAY(), "M")&lt;18),
    1.10,
    1.00)</f>
        <v/>
      </c>
      <c r="O7294">
        <f>IF('Loan Tape (S&amp;P)'!T7294="Yes",
    1.35,
    1.00)</f>
        <v/>
      </c>
      <c r="P7294">
        <f>IF('Loan Tape (S&amp;P)'!S7294="Yes",
    1.15,
    1.00)</f>
        <v/>
      </c>
      <c r="Q7294">
        <f>IF('Loan Tape (S&amp;P)'!V7294="Yes",
    1.20,
    1.00)</f>
        <v/>
      </c>
      <c r="T7294">
        <f>LET(
    payment_method,'Loan Tape (S&amp;P)'!P7294,
    occupancy,'Loan Tape (S&amp;P)'!N7294,
    maturity_date,'Loan Tape (S&amp;P)'!L7294,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95">
      <c r="J7295">
        <f>LET(
    lien,'Loan Tape (S&amp;P)'!Q7295,
    IF(lien="First",1.00,
        IF(lien="Second",1.50,
            1.70)))</f>
        <v/>
      </c>
      <c r="K7295">
        <f>LET(
    purpose,'Loan Tape (S&amp;P)'!R7295,
    IF(purpose="Purchase",1.00,
        IF(purpose="Remortgage",1.00,
            1.20)))</f>
        <v/>
      </c>
      <c r="L7295">
        <f>LET(
    arrears_months,'Loan Tape (S&amp;P)'!AN7295,
    IF(arrears_months=0,1.00,
    IF(arrears_months=1,3.00,
    IF(arrears_months=2,5.00,
    IF(arrears_months=3,8.00,
    IF(arrears_months=4,10.00,
    IF(arrears_months=5,12.00,15.00)))))))</f>
        <v/>
      </c>
      <c r="M7295">
        <f>LET(
    seasoning_years,DATEDIF('Loan Tape (S&amp;P)'!K7295,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95">
        <f>IF(AND('Loan Tape (S&amp;P)'!U7295="Yes",
        'Loan Tape (S&amp;P)'!T7295&lt;&gt;"Yes",
        DATEDIF('Loan Tape (S&amp;P)'!K7295, TODAY(), "M")&lt;18),
    1.10,
    1.00)</f>
        <v/>
      </c>
      <c r="O7295">
        <f>IF('Loan Tape (S&amp;P)'!T7295="Yes",
    1.35,
    1.00)</f>
        <v/>
      </c>
      <c r="P7295">
        <f>IF('Loan Tape (S&amp;P)'!S7295="Yes",
    1.15,
    1.00)</f>
        <v/>
      </c>
      <c r="Q7295">
        <f>IF('Loan Tape (S&amp;P)'!V7295="Yes",
    1.20,
    1.00)</f>
        <v/>
      </c>
      <c r="T7295">
        <f>LET(
    payment_method,'Loan Tape (S&amp;P)'!P7295,
    occupancy,'Loan Tape (S&amp;P)'!N7295,
    maturity_date,'Loan Tape (S&amp;P)'!L7295,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96">
      <c r="J7296">
        <f>LET(
    lien,'Loan Tape (S&amp;P)'!Q7296,
    IF(lien="First",1.00,
        IF(lien="Second",1.50,
            1.70)))</f>
        <v/>
      </c>
      <c r="K7296">
        <f>LET(
    purpose,'Loan Tape (S&amp;P)'!R7296,
    IF(purpose="Purchase",1.00,
        IF(purpose="Remortgage",1.00,
            1.20)))</f>
        <v/>
      </c>
      <c r="L7296">
        <f>LET(
    arrears_months,'Loan Tape (S&amp;P)'!AN7296,
    IF(arrears_months=0,1.00,
    IF(arrears_months=1,3.00,
    IF(arrears_months=2,5.00,
    IF(arrears_months=3,8.00,
    IF(arrears_months=4,10.00,
    IF(arrears_months=5,12.00,15.00)))))))</f>
        <v/>
      </c>
      <c r="M7296">
        <f>LET(
    seasoning_years,DATEDIF('Loan Tape (S&amp;P)'!K7296,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96">
        <f>IF(AND('Loan Tape (S&amp;P)'!U7296="Yes",
        'Loan Tape (S&amp;P)'!T7296&lt;&gt;"Yes",
        DATEDIF('Loan Tape (S&amp;P)'!K7296, TODAY(), "M")&lt;18),
    1.10,
    1.00)</f>
        <v/>
      </c>
      <c r="O7296">
        <f>IF('Loan Tape (S&amp;P)'!T7296="Yes",
    1.35,
    1.00)</f>
        <v/>
      </c>
      <c r="P7296">
        <f>IF('Loan Tape (S&amp;P)'!S7296="Yes",
    1.15,
    1.00)</f>
        <v/>
      </c>
      <c r="Q7296">
        <f>IF('Loan Tape (S&amp;P)'!V7296="Yes",
    1.20,
    1.00)</f>
        <v/>
      </c>
      <c r="T7296">
        <f>LET(
    payment_method,'Loan Tape (S&amp;P)'!P7296,
    occupancy,'Loan Tape (S&amp;P)'!N7296,
    maturity_date,'Loan Tape (S&amp;P)'!L7296,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97">
      <c r="J7297">
        <f>LET(
    lien,'Loan Tape (S&amp;P)'!Q7297,
    IF(lien="First",1.00,
        IF(lien="Second",1.50,
            1.70)))</f>
        <v/>
      </c>
      <c r="K7297">
        <f>LET(
    purpose,'Loan Tape (S&amp;P)'!R7297,
    IF(purpose="Purchase",1.00,
        IF(purpose="Remortgage",1.00,
            1.20)))</f>
        <v/>
      </c>
      <c r="L7297">
        <f>LET(
    arrears_months,'Loan Tape (S&amp;P)'!AN7297,
    IF(arrears_months=0,1.00,
    IF(arrears_months=1,3.00,
    IF(arrears_months=2,5.00,
    IF(arrears_months=3,8.00,
    IF(arrears_months=4,10.00,
    IF(arrears_months=5,12.00,15.00)))))))</f>
        <v/>
      </c>
      <c r="M7297">
        <f>LET(
    seasoning_years,DATEDIF('Loan Tape (S&amp;P)'!K7297,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97">
        <f>IF(AND('Loan Tape (S&amp;P)'!U7297="Yes",
        'Loan Tape (S&amp;P)'!T7297&lt;&gt;"Yes",
        DATEDIF('Loan Tape (S&amp;P)'!K7297, TODAY(), "M")&lt;18),
    1.10,
    1.00)</f>
        <v/>
      </c>
      <c r="O7297">
        <f>IF('Loan Tape (S&amp;P)'!T7297="Yes",
    1.35,
    1.00)</f>
        <v/>
      </c>
      <c r="P7297">
        <f>IF('Loan Tape (S&amp;P)'!S7297="Yes",
    1.15,
    1.00)</f>
        <v/>
      </c>
      <c r="Q7297">
        <f>IF('Loan Tape (S&amp;P)'!V7297="Yes",
    1.20,
    1.00)</f>
        <v/>
      </c>
      <c r="T7297">
        <f>LET(
    payment_method,'Loan Tape (S&amp;P)'!P7297,
    occupancy,'Loan Tape (S&amp;P)'!N7297,
    maturity_date,'Loan Tape (S&amp;P)'!L7297,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98">
      <c r="J7298">
        <f>LET(
    lien,'Loan Tape (S&amp;P)'!Q7298,
    IF(lien="First",1.00,
        IF(lien="Second",1.50,
            1.70)))</f>
        <v/>
      </c>
      <c r="K7298">
        <f>LET(
    purpose,'Loan Tape (S&amp;P)'!R7298,
    IF(purpose="Purchase",1.00,
        IF(purpose="Remortgage",1.00,
            1.20)))</f>
        <v/>
      </c>
      <c r="L7298">
        <f>LET(
    arrears_months,'Loan Tape (S&amp;P)'!AN7298,
    IF(arrears_months=0,1.00,
    IF(arrears_months=1,3.00,
    IF(arrears_months=2,5.00,
    IF(arrears_months=3,8.00,
    IF(arrears_months=4,10.00,
    IF(arrears_months=5,12.00,15.00)))))))</f>
        <v/>
      </c>
      <c r="M7298">
        <f>LET(
    seasoning_years,DATEDIF('Loan Tape (S&amp;P)'!K7298,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98">
        <f>IF(AND('Loan Tape (S&amp;P)'!U7298="Yes",
        'Loan Tape (S&amp;P)'!T7298&lt;&gt;"Yes",
        DATEDIF('Loan Tape (S&amp;P)'!K7298, TODAY(), "M")&lt;18),
    1.10,
    1.00)</f>
        <v/>
      </c>
      <c r="O7298">
        <f>IF('Loan Tape (S&amp;P)'!T7298="Yes",
    1.35,
    1.00)</f>
        <v/>
      </c>
      <c r="P7298">
        <f>IF('Loan Tape (S&amp;P)'!S7298="Yes",
    1.15,
    1.00)</f>
        <v/>
      </c>
      <c r="Q7298">
        <f>IF('Loan Tape (S&amp;P)'!V7298="Yes",
    1.20,
    1.00)</f>
        <v/>
      </c>
      <c r="T7298">
        <f>LET(
    payment_method,'Loan Tape (S&amp;P)'!P7298,
    occupancy,'Loan Tape (S&amp;P)'!N7298,
    maturity_date,'Loan Tape (S&amp;P)'!L7298,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299">
      <c r="J7299">
        <f>LET(
    lien,'Loan Tape (S&amp;P)'!Q7299,
    IF(lien="First",1.00,
        IF(lien="Second",1.50,
            1.70)))</f>
        <v/>
      </c>
      <c r="K7299">
        <f>LET(
    purpose,'Loan Tape (S&amp;P)'!R7299,
    IF(purpose="Purchase",1.00,
        IF(purpose="Remortgage",1.00,
            1.20)))</f>
        <v/>
      </c>
      <c r="L7299">
        <f>LET(
    arrears_months,'Loan Tape (S&amp;P)'!AN7299,
    IF(arrears_months=0,1.00,
    IF(arrears_months=1,3.00,
    IF(arrears_months=2,5.00,
    IF(arrears_months=3,8.00,
    IF(arrears_months=4,10.00,
    IF(arrears_months=5,12.00,15.00)))))))</f>
        <v/>
      </c>
      <c r="M7299">
        <f>LET(
    seasoning_years,DATEDIF('Loan Tape (S&amp;P)'!K7299,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299">
        <f>IF(AND('Loan Tape (S&amp;P)'!U7299="Yes",
        'Loan Tape (S&amp;P)'!T7299&lt;&gt;"Yes",
        DATEDIF('Loan Tape (S&amp;P)'!K7299, TODAY(), "M")&lt;18),
    1.10,
    1.00)</f>
        <v/>
      </c>
      <c r="O7299">
        <f>IF('Loan Tape (S&amp;P)'!T7299="Yes",
    1.35,
    1.00)</f>
        <v/>
      </c>
      <c r="P7299">
        <f>IF('Loan Tape (S&amp;P)'!S7299="Yes",
    1.15,
    1.00)</f>
        <v/>
      </c>
      <c r="Q7299">
        <f>IF('Loan Tape (S&amp;P)'!V7299="Yes",
    1.20,
    1.00)</f>
        <v/>
      </c>
      <c r="T7299">
        <f>LET(
    payment_method,'Loan Tape (S&amp;P)'!P7299,
    occupancy,'Loan Tape (S&amp;P)'!N7299,
    maturity_date,'Loan Tape (S&amp;P)'!L7299,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00">
      <c r="J7300">
        <f>LET(
    lien,'Loan Tape (S&amp;P)'!Q7300,
    IF(lien="First",1.00,
        IF(lien="Second",1.50,
            1.70)))</f>
        <v/>
      </c>
      <c r="K7300">
        <f>LET(
    purpose,'Loan Tape (S&amp;P)'!R7300,
    IF(purpose="Purchase",1.00,
        IF(purpose="Remortgage",1.00,
            1.20)))</f>
        <v/>
      </c>
      <c r="L7300">
        <f>LET(
    arrears_months,'Loan Tape (S&amp;P)'!AN7300,
    IF(arrears_months=0,1.00,
    IF(arrears_months=1,3.00,
    IF(arrears_months=2,5.00,
    IF(arrears_months=3,8.00,
    IF(arrears_months=4,10.00,
    IF(arrears_months=5,12.00,15.00)))))))</f>
        <v/>
      </c>
      <c r="M7300">
        <f>LET(
    seasoning_years,DATEDIF('Loan Tape (S&amp;P)'!K7300,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00">
        <f>IF(AND('Loan Tape (S&amp;P)'!U7300="Yes",
        'Loan Tape (S&amp;P)'!T7300&lt;&gt;"Yes",
        DATEDIF('Loan Tape (S&amp;P)'!K7300, TODAY(), "M")&lt;18),
    1.10,
    1.00)</f>
        <v/>
      </c>
      <c r="O7300">
        <f>IF('Loan Tape (S&amp;P)'!T7300="Yes",
    1.35,
    1.00)</f>
        <v/>
      </c>
      <c r="P7300">
        <f>IF('Loan Tape (S&amp;P)'!S7300="Yes",
    1.15,
    1.00)</f>
        <v/>
      </c>
      <c r="Q7300">
        <f>IF('Loan Tape (S&amp;P)'!V7300="Yes",
    1.20,
    1.00)</f>
        <v/>
      </c>
      <c r="T7300">
        <f>LET(
    payment_method,'Loan Tape (S&amp;P)'!P7300,
    occupancy,'Loan Tape (S&amp;P)'!N7300,
    maturity_date,'Loan Tape (S&amp;P)'!L7300,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01">
      <c r="J7301">
        <f>LET(
    lien,'Loan Tape (S&amp;P)'!Q7301,
    IF(lien="First",1.00,
        IF(lien="Second",1.50,
            1.70)))</f>
        <v/>
      </c>
      <c r="K7301">
        <f>LET(
    purpose,'Loan Tape (S&amp;P)'!R7301,
    IF(purpose="Purchase",1.00,
        IF(purpose="Remortgage",1.00,
            1.20)))</f>
        <v/>
      </c>
      <c r="L7301">
        <f>LET(
    arrears_months,'Loan Tape (S&amp;P)'!AN7301,
    IF(arrears_months=0,1.00,
    IF(arrears_months=1,3.00,
    IF(arrears_months=2,5.00,
    IF(arrears_months=3,8.00,
    IF(arrears_months=4,10.00,
    IF(arrears_months=5,12.00,15.00)))))))</f>
        <v/>
      </c>
      <c r="M7301">
        <f>LET(
    seasoning_years,DATEDIF('Loan Tape (S&amp;P)'!K7301,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01">
        <f>IF(AND('Loan Tape (S&amp;P)'!U7301="Yes",
        'Loan Tape (S&amp;P)'!T7301&lt;&gt;"Yes",
        DATEDIF('Loan Tape (S&amp;P)'!K7301, TODAY(), "M")&lt;18),
    1.10,
    1.00)</f>
        <v/>
      </c>
      <c r="O7301">
        <f>IF('Loan Tape (S&amp;P)'!T7301="Yes",
    1.35,
    1.00)</f>
        <v/>
      </c>
      <c r="P7301">
        <f>IF('Loan Tape (S&amp;P)'!S7301="Yes",
    1.15,
    1.00)</f>
        <v/>
      </c>
      <c r="Q7301">
        <f>IF('Loan Tape (S&amp;P)'!V7301="Yes",
    1.20,
    1.00)</f>
        <v/>
      </c>
      <c r="T7301">
        <f>LET(
    payment_method,'Loan Tape (S&amp;P)'!P7301,
    occupancy,'Loan Tape (S&amp;P)'!N7301,
    maturity_date,'Loan Tape (S&amp;P)'!L7301,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02">
      <c r="J7302">
        <f>LET(
    lien,'Loan Tape (S&amp;P)'!Q7302,
    IF(lien="First",1.00,
        IF(lien="Second",1.50,
            1.70)))</f>
        <v/>
      </c>
      <c r="K7302">
        <f>LET(
    purpose,'Loan Tape (S&amp;P)'!R7302,
    IF(purpose="Purchase",1.00,
        IF(purpose="Remortgage",1.00,
            1.20)))</f>
        <v/>
      </c>
      <c r="L7302">
        <f>LET(
    arrears_months,'Loan Tape (S&amp;P)'!AN7302,
    IF(arrears_months=0,1.00,
    IF(arrears_months=1,3.00,
    IF(arrears_months=2,5.00,
    IF(arrears_months=3,8.00,
    IF(arrears_months=4,10.00,
    IF(arrears_months=5,12.00,15.00)))))))</f>
        <v/>
      </c>
      <c r="M7302">
        <f>LET(
    seasoning_years,DATEDIF('Loan Tape (S&amp;P)'!K7302,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02">
        <f>IF(AND('Loan Tape (S&amp;P)'!U7302="Yes",
        'Loan Tape (S&amp;P)'!T7302&lt;&gt;"Yes",
        DATEDIF('Loan Tape (S&amp;P)'!K7302, TODAY(), "M")&lt;18),
    1.10,
    1.00)</f>
        <v/>
      </c>
      <c r="O7302">
        <f>IF('Loan Tape (S&amp;P)'!T7302="Yes",
    1.35,
    1.00)</f>
        <v/>
      </c>
      <c r="P7302">
        <f>IF('Loan Tape (S&amp;P)'!S7302="Yes",
    1.15,
    1.00)</f>
        <v/>
      </c>
      <c r="Q7302">
        <f>IF('Loan Tape (S&amp;P)'!V7302="Yes",
    1.20,
    1.00)</f>
        <v/>
      </c>
      <c r="T7302">
        <f>LET(
    payment_method,'Loan Tape (S&amp;P)'!P7302,
    occupancy,'Loan Tape (S&amp;P)'!N7302,
    maturity_date,'Loan Tape (S&amp;P)'!L7302,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03">
      <c r="J7303">
        <f>LET(
    lien,'Loan Tape (S&amp;P)'!Q7303,
    IF(lien="First",1.00,
        IF(lien="Second",1.50,
            1.70)))</f>
        <v/>
      </c>
      <c r="K7303">
        <f>LET(
    purpose,'Loan Tape (S&amp;P)'!R7303,
    IF(purpose="Purchase",1.00,
        IF(purpose="Remortgage",1.00,
            1.20)))</f>
        <v/>
      </c>
      <c r="L7303">
        <f>LET(
    arrears_months,'Loan Tape (S&amp;P)'!AN7303,
    IF(arrears_months=0,1.00,
    IF(arrears_months=1,3.00,
    IF(arrears_months=2,5.00,
    IF(arrears_months=3,8.00,
    IF(arrears_months=4,10.00,
    IF(arrears_months=5,12.00,15.00)))))))</f>
        <v/>
      </c>
      <c r="M7303">
        <f>LET(
    seasoning_years,DATEDIF('Loan Tape (S&amp;P)'!K7303,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03">
        <f>IF(AND('Loan Tape (S&amp;P)'!U7303="Yes",
        'Loan Tape (S&amp;P)'!T7303&lt;&gt;"Yes",
        DATEDIF('Loan Tape (S&amp;P)'!K7303, TODAY(), "M")&lt;18),
    1.10,
    1.00)</f>
        <v/>
      </c>
      <c r="O7303">
        <f>IF('Loan Tape (S&amp;P)'!T7303="Yes",
    1.35,
    1.00)</f>
        <v/>
      </c>
      <c r="P7303">
        <f>IF('Loan Tape (S&amp;P)'!S7303="Yes",
    1.15,
    1.00)</f>
        <v/>
      </c>
      <c r="Q7303">
        <f>IF('Loan Tape (S&amp;P)'!V7303="Yes",
    1.20,
    1.00)</f>
        <v/>
      </c>
      <c r="T7303">
        <f>LET(
    payment_method,'Loan Tape (S&amp;P)'!P7303,
    occupancy,'Loan Tape (S&amp;P)'!N7303,
    maturity_date,'Loan Tape (S&amp;P)'!L7303,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04">
      <c r="J7304">
        <f>LET(
    lien,'Loan Tape (S&amp;P)'!Q7304,
    IF(lien="First",1.00,
        IF(lien="Second",1.50,
            1.70)))</f>
        <v/>
      </c>
      <c r="K7304">
        <f>LET(
    purpose,'Loan Tape (S&amp;P)'!R7304,
    IF(purpose="Purchase",1.00,
        IF(purpose="Remortgage",1.00,
            1.20)))</f>
        <v/>
      </c>
      <c r="L7304">
        <f>LET(
    arrears_months,'Loan Tape (S&amp;P)'!AN7304,
    IF(arrears_months=0,1.00,
    IF(arrears_months=1,3.00,
    IF(arrears_months=2,5.00,
    IF(arrears_months=3,8.00,
    IF(arrears_months=4,10.00,
    IF(arrears_months=5,12.00,15.00)))))))</f>
        <v/>
      </c>
      <c r="M7304">
        <f>LET(
    seasoning_years,DATEDIF('Loan Tape (S&amp;P)'!K7304,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04">
        <f>IF(AND('Loan Tape (S&amp;P)'!U7304="Yes",
        'Loan Tape (S&amp;P)'!T7304&lt;&gt;"Yes",
        DATEDIF('Loan Tape (S&amp;P)'!K7304, TODAY(), "M")&lt;18),
    1.10,
    1.00)</f>
        <v/>
      </c>
      <c r="O7304">
        <f>IF('Loan Tape (S&amp;P)'!T7304="Yes",
    1.35,
    1.00)</f>
        <v/>
      </c>
      <c r="P7304">
        <f>IF('Loan Tape (S&amp;P)'!S7304="Yes",
    1.15,
    1.00)</f>
        <v/>
      </c>
      <c r="Q7304">
        <f>IF('Loan Tape (S&amp;P)'!V7304="Yes",
    1.20,
    1.00)</f>
        <v/>
      </c>
      <c r="T7304">
        <f>LET(
    payment_method,'Loan Tape (S&amp;P)'!P7304,
    occupancy,'Loan Tape (S&amp;P)'!N7304,
    maturity_date,'Loan Tape (S&amp;P)'!L7304,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05">
      <c r="J7305">
        <f>LET(
    lien,'Loan Tape (S&amp;P)'!Q7305,
    IF(lien="First",1.00,
        IF(lien="Second",1.50,
            1.70)))</f>
        <v/>
      </c>
      <c r="K7305">
        <f>LET(
    purpose,'Loan Tape (S&amp;P)'!R7305,
    IF(purpose="Purchase",1.00,
        IF(purpose="Remortgage",1.00,
            1.20)))</f>
        <v/>
      </c>
      <c r="L7305">
        <f>LET(
    arrears_months,'Loan Tape (S&amp;P)'!AN7305,
    IF(arrears_months=0,1.00,
    IF(arrears_months=1,3.00,
    IF(arrears_months=2,5.00,
    IF(arrears_months=3,8.00,
    IF(arrears_months=4,10.00,
    IF(arrears_months=5,12.00,15.00)))))))</f>
        <v/>
      </c>
      <c r="M7305">
        <f>LET(
    seasoning_years,DATEDIF('Loan Tape (S&amp;P)'!K7305,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05">
        <f>IF(AND('Loan Tape (S&amp;P)'!U7305="Yes",
        'Loan Tape (S&amp;P)'!T7305&lt;&gt;"Yes",
        DATEDIF('Loan Tape (S&amp;P)'!K7305, TODAY(), "M")&lt;18),
    1.10,
    1.00)</f>
        <v/>
      </c>
      <c r="O7305">
        <f>IF('Loan Tape (S&amp;P)'!T7305="Yes",
    1.35,
    1.00)</f>
        <v/>
      </c>
      <c r="P7305">
        <f>IF('Loan Tape (S&amp;P)'!S7305="Yes",
    1.15,
    1.00)</f>
        <v/>
      </c>
      <c r="Q7305">
        <f>IF('Loan Tape (S&amp;P)'!V7305="Yes",
    1.20,
    1.00)</f>
        <v/>
      </c>
      <c r="T7305">
        <f>LET(
    payment_method,'Loan Tape (S&amp;P)'!P7305,
    occupancy,'Loan Tape (S&amp;P)'!N7305,
    maturity_date,'Loan Tape (S&amp;P)'!L7305,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06">
      <c r="J7306">
        <f>LET(
    lien,'Loan Tape (S&amp;P)'!Q7306,
    IF(lien="First",1.00,
        IF(lien="Second",1.50,
            1.70)))</f>
        <v/>
      </c>
      <c r="K7306">
        <f>LET(
    purpose,'Loan Tape (S&amp;P)'!R7306,
    IF(purpose="Purchase",1.00,
        IF(purpose="Remortgage",1.00,
            1.20)))</f>
        <v/>
      </c>
      <c r="L7306">
        <f>LET(
    arrears_months,'Loan Tape (S&amp;P)'!AN7306,
    IF(arrears_months=0,1.00,
    IF(arrears_months=1,3.00,
    IF(arrears_months=2,5.00,
    IF(arrears_months=3,8.00,
    IF(arrears_months=4,10.00,
    IF(arrears_months=5,12.00,15.00)))))))</f>
        <v/>
      </c>
      <c r="M7306">
        <f>LET(
    seasoning_years,DATEDIF('Loan Tape (S&amp;P)'!K7306,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06">
        <f>IF(AND('Loan Tape (S&amp;P)'!U7306="Yes",
        'Loan Tape (S&amp;P)'!T7306&lt;&gt;"Yes",
        DATEDIF('Loan Tape (S&amp;P)'!K7306, TODAY(), "M")&lt;18),
    1.10,
    1.00)</f>
        <v/>
      </c>
      <c r="O7306">
        <f>IF('Loan Tape (S&amp;P)'!T7306="Yes",
    1.35,
    1.00)</f>
        <v/>
      </c>
      <c r="P7306">
        <f>IF('Loan Tape (S&amp;P)'!S7306="Yes",
    1.15,
    1.00)</f>
        <v/>
      </c>
      <c r="Q7306">
        <f>IF('Loan Tape (S&amp;P)'!V7306="Yes",
    1.20,
    1.00)</f>
        <v/>
      </c>
      <c r="T7306">
        <f>LET(
    payment_method,'Loan Tape (S&amp;P)'!P7306,
    occupancy,'Loan Tape (S&amp;P)'!N7306,
    maturity_date,'Loan Tape (S&amp;P)'!L7306,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07">
      <c r="J7307">
        <f>LET(
    lien,'Loan Tape (S&amp;P)'!Q7307,
    IF(lien="First",1.00,
        IF(lien="Second",1.50,
            1.70)))</f>
        <v/>
      </c>
      <c r="K7307">
        <f>LET(
    purpose,'Loan Tape (S&amp;P)'!R7307,
    IF(purpose="Purchase",1.00,
        IF(purpose="Remortgage",1.00,
            1.20)))</f>
        <v/>
      </c>
      <c r="L7307">
        <f>LET(
    arrears_months,'Loan Tape (S&amp;P)'!AN7307,
    IF(arrears_months=0,1.00,
    IF(arrears_months=1,3.00,
    IF(arrears_months=2,5.00,
    IF(arrears_months=3,8.00,
    IF(arrears_months=4,10.00,
    IF(arrears_months=5,12.00,15.00)))))))</f>
        <v/>
      </c>
      <c r="M7307">
        <f>LET(
    seasoning_years,DATEDIF('Loan Tape (S&amp;P)'!K7307,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07">
        <f>IF(AND('Loan Tape (S&amp;P)'!U7307="Yes",
        'Loan Tape (S&amp;P)'!T7307&lt;&gt;"Yes",
        DATEDIF('Loan Tape (S&amp;P)'!K7307, TODAY(), "M")&lt;18),
    1.10,
    1.00)</f>
        <v/>
      </c>
      <c r="O7307">
        <f>IF('Loan Tape (S&amp;P)'!T7307="Yes",
    1.35,
    1.00)</f>
        <v/>
      </c>
      <c r="P7307">
        <f>IF('Loan Tape (S&amp;P)'!S7307="Yes",
    1.15,
    1.00)</f>
        <v/>
      </c>
      <c r="Q7307">
        <f>IF('Loan Tape (S&amp;P)'!V7307="Yes",
    1.20,
    1.00)</f>
        <v/>
      </c>
      <c r="T7307">
        <f>LET(
    payment_method,'Loan Tape (S&amp;P)'!P7307,
    occupancy,'Loan Tape (S&amp;P)'!N7307,
    maturity_date,'Loan Tape (S&amp;P)'!L7307,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08">
      <c r="J7308">
        <f>LET(
    lien,'Loan Tape (S&amp;P)'!Q7308,
    IF(lien="First",1.00,
        IF(lien="Second",1.50,
            1.70)))</f>
        <v/>
      </c>
      <c r="K7308">
        <f>LET(
    purpose,'Loan Tape (S&amp;P)'!R7308,
    IF(purpose="Purchase",1.00,
        IF(purpose="Remortgage",1.00,
            1.20)))</f>
        <v/>
      </c>
      <c r="L7308">
        <f>LET(
    arrears_months,'Loan Tape (S&amp;P)'!AN7308,
    IF(arrears_months=0,1.00,
    IF(arrears_months=1,3.00,
    IF(arrears_months=2,5.00,
    IF(arrears_months=3,8.00,
    IF(arrears_months=4,10.00,
    IF(arrears_months=5,12.00,15.00)))))))</f>
        <v/>
      </c>
      <c r="M7308">
        <f>LET(
    seasoning_years,DATEDIF('Loan Tape (S&amp;P)'!K7308,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08">
        <f>IF(AND('Loan Tape (S&amp;P)'!U7308="Yes",
        'Loan Tape (S&amp;P)'!T7308&lt;&gt;"Yes",
        DATEDIF('Loan Tape (S&amp;P)'!K7308, TODAY(), "M")&lt;18),
    1.10,
    1.00)</f>
        <v/>
      </c>
      <c r="O7308">
        <f>IF('Loan Tape (S&amp;P)'!T7308="Yes",
    1.35,
    1.00)</f>
        <v/>
      </c>
      <c r="P7308">
        <f>IF('Loan Tape (S&amp;P)'!S7308="Yes",
    1.15,
    1.00)</f>
        <v/>
      </c>
      <c r="Q7308">
        <f>IF('Loan Tape (S&amp;P)'!V7308="Yes",
    1.20,
    1.00)</f>
        <v/>
      </c>
      <c r="T7308">
        <f>LET(
    payment_method,'Loan Tape (S&amp;P)'!P7308,
    occupancy,'Loan Tape (S&amp;P)'!N7308,
    maturity_date,'Loan Tape (S&amp;P)'!L7308,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09">
      <c r="J7309">
        <f>LET(
    lien,'Loan Tape (S&amp;P)'!Q7309,
    IF(lien="First",1.00,
        IF(lien="Second",1.50,
            1.70)))</f>
        <v/>
      </c>
      <c r="K7309">
        <f>LET(
    purpose,'Loan Tape (S&amp;P)'!R7309,
    IF(purpose="Purchase",1.00,
        IF(purpose="Remortgage",1.00,
            1.20)))</f>
        <v/>
      </c>
      <c r="L7309">
        <f>LET(
    arrears_months,'Loan Tape (S&amp;P)'!AN7309,
    IF(arrears_months=0,1.00,
    IF(arrears_months=1,3.00,
    IF(arrears_months=2,5.00,
    IF(arrears_months=3,8.00,
    IF(arrears_months=4,10.00,
    IF(arrears_months=5,12.00,15.00)))))))</f>
        <v/>
      </c>
      <c r="M7309">
        <f>LET(
    seasoning_years,DATEDIF('Loan Tape (S&amp;P)'!K7309,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09">
        <f>IF(AND('Loan Tape (S&amp;P)'!U7309="Yes",
        'Loan Tape (S&amp;P)'!T7309&lt;&gt;"Yes",
        DATEDIF('Loan Tape (S&amp;P)'!K7309, TODAY(), "M")&lt;18),
    1.10,
    1.00)</f>
        <v/>
      </c>
      <c r="O7309">
        <f>IF('Loan Tape (S&amp;P)'!T7309="Yes",
    1.35,
    1.00)</f>
        <v/>
      </c>
      <c r="P7309">
        <f>IF('Loan Tape (S&amp;P)'!S7309="Yes",
    1.15,
    1.00)</f>
        <v/>
      </c>
      <c r="Q7309">
        <f>IF('Loan Tape (S&amp;P)'!V7309="Yes",
    1.20,
    1.00)</f>
        <v/>
      </c>
      <c r="T7309">
        <f>LET(
    payment_method,'Loan Tape (S&amp;P)'!P7309,
    occupancy,'Loan Tape (S&amp;P)'!N7309,
    maturity_date,'Loan Tape (S&amp;P)'!L7309,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10">
      <c r="J7310">
        <f>LET(
    lien,'Loan Tape (S&amp;P)'!Q7310,
    IF(lien="First",1.00,
        IF(lien="Second",1.50,
            1.70)))</f>
        <v/>
      </c>
      <c r="K7310">
        <f>LET(
    purpose,'Loan Tape (S&amp;P)'!R7310,
    IF(purpose="Purchase",1.00,
        IF(purpose="Remortgage",1.00,
            1.20)))</f>
        <v/>
      </c>
      <c r="L7310">
        <f>LET(
    arrears_months,'Loan Tape (S&amp;P)'!AN7310,
    IF(arrears_months=0,1.00,
    IF(arrears_months=1,3.00,
    IF(arrears_months=2,5.00,
    IF(arrears_months=3,8.00,
    IF(arrears_months=4,10.00,
    IF(arrears_months=5,12.00,15.00)))))))</f>
        <v/>
      </c>
      <c r="M7310">
        <f>LET(
    seasoning_years,DATEDIF('Loan Tape (S&amp;P)'!K7310,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10">
        <f>IF(AND('Loan Tape (S&amp;P)'!U7310="Yes",
        'Loan Tape (S&amp;P)'!T7310&lt;&gt;"Yes",
        DATEDIF('Loan Tape (S&amp;P)'!K7310, TODAY(), "M")&lt;18),
    1.10,
    1.00)</f>
        <v/>
      </c>
      <c r="O7310">
        <f>IF('Loan Tape (S&amp;P)'!T7310="Yes",
    1.35,
    1.00)</f>
        <v/>
      </c>
      <c r="P7310">
        <f>IF('Loan Tape (S&amp;P)'!S7310="Yes",
    1.15,
    1.00)</f>
        <v/>
      </c>
      <c r="Q7310">
        <f>IF('Loan Tape (S&amp;P)'!V7310="Yes",
    1.20,
    1.00)</f>
        <v/>
      </c>
      <c r="T7310">
        <f>LET(
    payment_method,'Loan Tape (S&amp;P)'!P7310,
    occupancy,'Loan Tape (S&amp;P)'!N7310,
    maturity_date,'Loan Tape (S&amp;P)'!L7310,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11">
      <c r="J7311">
        <f>LET(
    lien,'Loan Tape (S&amp;P)'!Q7311,
    IF(lien="First",1.00,
        IF(lien="Second",1.50,
            1.70)))</f>
        <v/>
      </c>
      <c r="K7311">
        <f>LET(
    purpose,'Loan Tape (S&amp;P)'!R7311,
    IF(purpose="Purchase",1.00,
        IF(purpose="Remortgage",1.00,
            1.20)))</f>
        <v/>
      </c>
      <c r="L7311">
        <f>LET(
    arrears_months,'Loan Tape (S&amp;P)'!AN7311,
    IF(arrears_months=0,1.00,
    IF(arrears_months=1,3.00,
    IF(arrears_months=2,5.00,
    IF(arrears_months=3,8.00,
    IF(arrears_months=4,10.00,
    IF(arrears_months=5,12.00,15.00)))))))</f>
        <v/>
      </c>
      <c r="M7311">
        <f>LET(
    seasoning_years,DATEDIF('Loan Tape (S&amp;P)'!K7311,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11">
        <f>IF(AND('Loan Tape (S&amp;P)'!U7311="Yes",
        'Loan Tape (S&amp;P)'!T7311&lt;&gt;"Yes",
        DATEDIF('Loan Tape (S&amp;P)'!K7311, TODAY(), "M")&lt;18),
    1.10,
    1.00)</f>
        <v/>
      </c>
      <c r="O7311">
        <f>IF('Loan Tape (S&amp;P)'!T7311="Yes",
    1.35,
    1.00)</f>
        <v/>
      </c>
      <c r="P7311">
        <f>IF('Loan Tape (S&amp;P)'!S7311="Yes",
    1.15,
    1.00)</f>
        <v/>
      </c>
      <c r="Q7311">
        <f>IF('Loan Tape (S&amp;P)'!V7311="Yes",
    1.20,
    1.00)</f>
        <v/>
      </c>
      <c r="T7311">
        <f>LET(
    payment_method,'Loan Tape (S&amp;P)'!P7311,
    occupancy,'Loan Tape (S&amp;P)'!N7311,
    maturity_date,'Loan Tape (S&amp;P)'!L7311,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12">
      <c r="J7312">
        <f>LET(
    lien,'Loan Tape (S&amp;P)'!Q7312,
    IF(lien="First",1.00,
        IF(lien="Second",1.50,
            1.70)))</f>
        <v/>
      </c>
      <c r="K7312">
        <f>LET(
    purpose,'Loan Tape (S&amp;P)'!R7312,
    IF(purpose="Purchase",1.00,
        IF(purpose="Remortgage",1.00,
            1.20)))</f>
        <v/>
      </c>
      <c r="L7312">
        <f>LET(
    arrears_months,'Loan Tape (S&amp;P)'!AN7312,
    IF(arrears_months=0,1.00,
    IF(arrears_months=1,3.00,
    IF(arrears_months=2,5.00,
    IF(arrears_months=3,8.00,
    IF(arrears_months=4,10.00,
    IF(arrears_months=5,12.00,15.00)))))))</f>
        <v/>
      </c>
      <c r="M7312">
        <f>LET(
    seasoning_years,DATEDIF('Loan Tape (S&amp;P)'!K7312,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12">
        <f>IF(AND('Loan Tape (S&amp;P)'!U7312="Yes",
        'Loan Tape (S&amp;P)'!T7312&lt;&gt;"Yes",
        DATEDIF('Loan Tape (S&amp;P)'!K7312, TODAY(), "M")&lt;18),
    1.10,
    1.00)</f>
        <v/>
      </c>
      <c r="O7312">
        <f>IF('Loan Tape (S&amp;P)'!T7312="Yes",
    1.35,
    1.00)</f>
        <v/>
      </c>
      <c r="P7312">
        <f>IF('Loan Tape (S&amp;P)'!S7312="Yes",
    1.15,
    1.00)</f>
        <v/>
      </c>
      <c r="Q7312">
        <f>IF('Loan Tape (S&amp;P)'!V7312="Yes",
    1.20,
    1.00)</f>
        <v/>
      </c>
      <c r="T7312">
        <f>LET(
    payment_method,'Loan Tape (S&amp;P)'!P7312,
    occupancy,'Loan Tape (S&amp;P)'!N7312,
    maturity_date,'Loan Tape (S&amp;P)'!L7312,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13">
      <c r="J7313">
        <f>LET(
    lien,'Loan Tape (S&amp;P)'!Q7313,
    IF(lien="First",1.00,
        IF(lien="Second",1.50,
            1.70)))</f>
        <v/>
      </c>
      <c r="K7313">
        <f>LET(
    purpose,'Loan Tape (S&amp;P)'!R7313,
    IF(purpose="Purchase",1.00,
        IF(purpose="Remortgage",1.00,
            1.20)))</f>
        <v/>
      </c>
      <c r="L7313">
        <f>LET(
    arrears_months,'Loan Tape (S&amp;P)'!AN7313,
    IF(arrears_months=0,1.00,
    IF(arrears_months=1,3.00,
    IF(arrears_months=2,5.00,
    IF(arrears_months=3,8.00,
    IF(arrears_months=4,10.00,
    IF(arrears_months=5,12.00,15.00)))))))</f>
        <v/>
      </c>
      <c r="M7313">
        <f>LET(
    seasoning_years,DATEDIF('Loan Tape (S&amp;P)'!K7313,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13">
        <f>IF(AND('Loan Tape (S&amp;P)'!U7313="Yes",
        'Loan Tape (S&amp;P)'!T7313&lt;&gt;"Yes",
        DATEDIF('Loan Tape (S&amp;P)'!K7313, TODAY(), "M")&lt;18),
    1.10,
    1.00)</f>
        <v/>
      </c>
      <c r="O7313">
        <f>IF('Loan Tape (S&amp;P)'!T7313="Yes",
    1.35,
    1.00)</f>
        <v/>
      </c>
      <c r="P7313">
        <f>IF('Loan Tape (S&amp;P)'!S7313="Yes",
    1.15,
    1.00)</f>
        <v/>
      </c>
      <c r="Q7313">
        <f>IF('Loan Tape (S&amp;P)'!V7313="Yes",
    1.20,
    1.00)</f>
        <v/>
      </c>
      <c r="T7313">
        <f>LET(
    payment_method,'Loan Tape (S&amp;P)'!P7313,
    occupancy,'Loan Tape (S&amp;P)'!N7313,
    maturity_date,'Loan Tape (S&amp;P)'!L7313,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14">
      <c r="J7314">
        <f>LET(
    lien,'Loan Tape (S&amp;P)'!Q7314,
    IF(lien="First",1.00,
        IF(lien="Second",1.50,
            1.70)))</f>
        <v/>
      </c>
      <c r="K7314">
        <f>LET(
    purpose,'Loan Tape (S&amp;P)'!R7314,
    IF(purpose="Purchase",1.00,
        IF(purpose="Remortgage",1.00,
            1.20)))</f>
        <v/>
      </c>
      <c r="L7314">
        <f>LET(
    arrears_months,'Loan Tape (S&amp;P)'!AN7314,
    IF(arrears_months=0,1.00,
    IF(arrears_months=1,3.00,
    IF(arrears_months=2,5.00,
    IF(arrears_months=3,8.00,
    IF(arrears_months=4,10.00,
    IF(arrears_months=5,12.00,15.00)))))))</f>
        <v/>
      </c>
      <c r="M7314">
        <f>LET(
    seasoning_years,DATEDIF('Loan Tape (S&amp;P)'!K7314,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14">
        <f>IF(AND('Loan Tape (S&amp;P)'!U7314="Yes",
        'Loan Tape (S&amp;P)'!T7314&lt;&gt;"Yes",
        DATEDIF('Loan Tape (S&amp;P)'!K7314, TODAY(), "M")&lt;18),
    1.10,
    1.00)</f>
        <v/>
      </c>
      <c r="O7314">
        <f>IF('Loan Tape (S&amp;P)'!T7314="Yes",
    1.35,
    1.00)</f>
        <v/>
      </c>
      <c r="P7314">
        <f>IF('Loan Tape (S&amp;P)'!S7314="Yes",
    1.15,
    1.00)</f>
        <v/>
      </c>
      <c r="Q7314">
        <f>IF('Loan Tape (S&amp;P)'!V7314="Yes",
    1.20,
    1.00)</f>
        <v/>
      </c>
      <c r="T7314">
        <f>LET(
    payment_method,'Loan Tape (S&amp;P)'!P7314,
    occupancy,'Loan Tape (S&amp;P)'!N7314,
    maturity_date,'Loan Tape (S&amp;P)'!L7314,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15">
      <c r="J7315">
        <f>LET(
    lien,'Loan Tape (S&amp;P)'!Q7315,
    IF(lien="First",1.00,
        IF(lien="Second",1.50,
            1.70)))</f>
        <v/>
      </c>
      <c r="K7315">
        <f>LET(
    purpose,'Loan Tape (S&amp;P)'!R7315,
    IF(purpose="Purchase",1.00,
        IF(purpose="Remortgage",1.00,
            1.20)))</f>
        <v/>
      </c>
      <c r="L7315">
        <f>LET(
    arrears_months,'Loan Tape (S&amp;P)'!AN7315,
    IF(arrears_months=0,1.00,
    IF(arrears_months=1,3.00,
    IF(arrears_months=2,5.00,
    IF(arrears_months=3,8.00,
    IF(arrears_months=4,10.00,
    IF(arrears_months=5,12.00,15.00)))))))</f>
        <v/>
      </c>
      <c r="M7315">
        <f>LET(
    seasoning_years,DATEDIF('Loan Tape (S&amp;P)'!K7315,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15">
        <f>IF(AND('Loan Tape (S&amp;P)'!U7315="Yes",
        'Loan Tape (S&amp;P)'!T7315&lt;&gt;"Yes",
        DATEDIF('Loan Tape (S&amp;P)'!K7315, TODAY(), "M")&lt;18),
    1.10,
    1.00)</f>
        <v/>
      </c>
      <c r="O7315">
        <f>IF('Loan Tape (S&amp;P)'!T7315="Yes",
    1.35,
    1.00)</f>
        <v/>
      </c>
      <c r="P7315">
        <f>IF('Loan Tape (S&amp;P)'!S7315="Yes",
    1.15,
    1.00)</f>
        <v/>
      </c>
      <c r="Q7315">
        <f>IF('Loan Tape (S&amp;P)'!V7315="Yes",
    1.20,
    1.00)</f>
        <v/>
      </c>
      <c r="T7315">
        <f>LET(
    payment_method,'Loan Tape (S&amp;P)'!P7315,
    occupancy,'Loan Tape (S&amp;P)'!N7315,
    maturity_date,'Loan Tape (S&amp;P)'!L7315,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16">
      <c r="J7316">
        <f>LET(
    lien,'Loan Tape (S&amp;P)'!Q7316,
    IF(lien="First",1.00,
        IF(lien="Second",1.50,
            1.70)))</f>
        <v/>
      </c>
      <c r="K7316">
        <f>LET(
    purpose,'Loan Tape (S&amp;P)'!R7316,
    IF(purpose="Purchase",1.00,
        IF(purpose="Remortgage",1.00,
            1.20)))</f>
        <v/>
      </c>
      <c r="L7316">
        <f>LET(
    arrears_months,'Loan Tape (S&amp;P)'!AN7316,
    IF(arrears_months=0,1.00,
    IF(arrears_months=1,3.00,
    IF(arrears_months=2,5.00,
    IF(arrears_months=3,8.00,
    IF(arrears_months=4,10.00,
    IF(arrears_months=5,12.00,15.00)))))))</f>
        <v/>
      </c>
      <c r="M7316">
        <f>LET(
    seasoning_years,DATEDIF('Loan Tape (S&amp;P)'!K7316,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16">
        <f>IF(AND('Loan Tape (S&amp;P)'!U7316="Yes",
        'Loan Tape (S&amp;P)'!T7316&lt;&gt;"Yes",
        DATEDIF('Loan Tape (S&amp;P)'!K7316, TODAY(), "M")&lt;18),
    1.10,
    1.00)</f>
        <v/>
      </c>
      <c r="O7316">
        <f>IF('Loan Tape (S&amp;P)'!T7316="Yes",
    1.35,
    1.00)</f>
        <v/>
      </c>
      <c r="P7316">
        <f>IF('Loan Tape (S&amp;P)'!S7316="Yes",
    1.15,
    1.00)</f>
        <v/>
      </c>
      <c r="Q7316">
        <f>IF('Loan Tape (S&amp;P)'!V7316="Yes",
    1.20,
    1.00)</f>
        <v/>
      </c>
      <c r="T7316">
        <f>LET(
    payment_method,'Loan Tape (S&amp;P)'!P7316,
    occupancy,'Loan Tape (S&amp;P)'!N7316,
    maturity_date,'Loan Tape (S&amp;P)'!L7316,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17">
      <c r="J7317">
        <f>LET(
    lien,'Loan Tape (S&amp;P)'!Q7317,
    IF(lien="First",1.00,
        IF(lien="Second",1.50,
            1.70)))</f>
        <v/>
      </c>
      <c r="K7317">
        <f>LET(
    purpose,'Loan Tape (S&amp;P)'!R7317,
    IF(purpose="Purchase",1.00,
        IF(purpose="Remortgage",1.00,
            1.20)))</f>
        <v/>
      </c>
      <c r="L7317">
        <f>LET(
    arrears_months,'Loan Tape (S&amp;P)'!AN7317,
    IF(arrears_months=0,1.00,
    IF(arrears_months=1,3.00,
    IF(arrears_months=2,5.00,
    IF(arrears_months=3,8.00,
    IF(arrears_months=4,10.00,
    IF(arrears_months=5,12.00,15.00)))))))</f>
        <v/>
      </c>
      <c r="M7317">
        <f>LET(
    seasoning_years,DATEDIF('Loan Tape (S&amp;P)'!K7317,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17">
        <f>IF(AND('Loan Tape (S&amp;P)'!U7317="Yes",
        'Loan Tape (S&amp;P)'!T7317&lt;&gt;"Yes",
        DATEDIF('Loan Tape (S&amp;P)'!K7317, TODAY(), "M")&lt;18),
    1.10,
    1.00)</f>
        <v/>
      </c>
      <c r="O7317">
        <f>IF('Loan Tape (S&amp;P)'!T7317="Yes",
    1.35,
    1.00)</f>
        <v/>
      </c>
      <c r="P7317">
        <f>IF('Loan Tape (S&amp;P)'!S7317="Yes",
    1.15,
    1.00)</f>
        <v/>
      </c>
      <c r="Q7317">
        <f>IF('Loan Tape (S&amp;P)'!V7317="Yes",
    1.20,
    1.00)</f>
        <v/>
      </c>
      <c r="T7317">
        <f>LET(
    payment_method,'Loan Tape (S&amp;P)'!P7317,
    occupancy,'Loan Tape (S&amp;P)'!N7317,
    maturity_date,'Loan Tape (S&amp;P)'!L7317,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18">
      <c r="J7318">
        <f>LET(
    lien,'Loan Tape (S&amp;P)'!Q7318,
    IF(lien="First",1.00,
        IF(lien="Second",1.50,
            1.70)))</f>
        <v/>
      </c>
      <c r="K7318">
        <f>LET(
    purpose,'Loan Tape (S&amp;P)'!R7318,
    IF(purpose="Purchase",1.00,
        IF(purpose="Remortgage",1.00,
            1.20)))</f>
        <v/>
      </c>
      <c r="L7318">
        <f>LET(
    arrears_months,'Loan Tape (S&amp;P)'!AN7318,
    IF(arrears_months=0,1.00,
    IF(arrears_months=1,3.00,
    IF(arrears_months=2,5.00,
    IF(arrears_months=3,8.00,
    IF(arrears_months=4,10.00,
    IF(arrears_months=5,12.00,15.00)))))))</f>
        <v/>
      </c>
      <c r="M7318">
        <f>LET(
    seasoning_years,DATEDIF('Loan Tape (S&amp;P)'!K7318,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18">
        <f>IF(AND('Loan Tape (S&amp;P)'!U7318="Yes",
        'Loan Tape (S&amp;P)'!T7318&lt;&gt;"Yes",
        DATEDIF('Loan Tape (S&amp;P)'!K7318, TODAY(), "M")&lt;18),
    1.10,
    1.00)</f>
        <v/>
      </c>
      <c r="O7318">
        <f>IF('Loan Tape (S&amp;P)'!T7318="Yes",
    1.35,
    1.00)</f>
        <v/>
      </c>
      <c r="P7318">
        <f>IF('Loan Tape (S&amp;P)'!S7318="Yes",
    1.15,
    1.00)</f>
        <v/>
      </c>
      <c r="Q7318">
        <f>IF('Loan Tape (S&amp;P)'!V7318="Yes",
    1.20,
    1.00)</f>
        <v/>
      </c>
      <c r="T7318">
        <f>LET(
    payment_method,'Loan Tape (S&amp;P)'!P7318,
    occupancy,'Loan Tape (S&amp;P)'!N7318,
    maturity_date,'Loan Tape (S&amp;P)'!L7318,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19">
      <c r="J7319">
        <f>LET(
    lien,'Loan Tape (S&amp;P)'!Q7319,
    IF(lien="First",1.00,
        IF(lien="Second",1.50,
            1.70)))</f>
        <v/>
      </c>
      <c r="K7319">
        <f>LET(
    purpose,'Loan Tape (S&amp;P)'!R7319,
    IF(purpose="Purchase",1.00,
        IF(purpose="Remortgage",1.00,
            1.20)))</f>
        <v/>
      </c>
      <c r="L7319">
        <f>LET(
    arrears_months,'Loan Tape (S&amp;P)'!AN7319,
    IF(arrears_months=0,1.00,
    IF(arrears_months=1,3.00,
    IF(arrears_months=2,5.00,
    IF(arrears_months=3,8.00,
    IF(arrears_months=4,10.00,
    IF(arrears_months=5,12.00,15.00)))))))</f>
        <v/>
      </c>
      <c r="M7319">
        <f>LET(
    seasoning_years,DATEDIF('Loan Tape (S&amp;P)'!K7319,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19">
        <f>IF(AND('Loan Tape (S&amp;P)'!U7319="Yes",
        'Loan Tape (S&amp;P)'!T7319&lt;&gt;"Yes",
        DATEDIF('Loan Tape (S&amp;P)'!K7319, TODAY(), "M")&lt;18),
    1.10,
    1.00)</f>
        <v/>
      </c>
      <c r="O7319">
        <f>IF('Loan Tape (S&amp;P)'!T7319="Yes",
    1.35,
    1.00)</f>
        <v/>
      </c>
      <c r="P7319">
        <f>IF('Loan Tape (S&amp;P)'!S7319="Yes",
    1.15,
    1.00)</f>
        <v/>
      </c>
      <c r="Q7319">
        <f>IF('Loan Tape (S&amp;P)'!V7319="Yes",
    1.20,
    1.00)</f>
        <v/>
      </c>
      <c r="T7319">
        <f>LET(
    payment_method,'Loan Tape (S&amp;P)'!P7319,
    occupancy,'Loan Tape (S&amp;P)'!N7319,
    maturity_date,'Loan Tape (S&amp;P)'!L7319,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20">
      <c r="J7320">
        <f>LET(
    lien,'Loan Tape (S&amp;P)'!Q7320,
    IF(lien="First",1.00,
        IF(lien="Second",1.50,
            1.70)))</f>
        <v/>
      </c>
      <c r="K7320">
        <f>LET(
    purpose,'Loan Tape (S&amp;P)'!R7320,
    IF(purpose="Purchase",1.00,
        IF(purpose="Remortgage",1.00,
            1.20)))</f>
        <v/>
      </c>
      <c r="L7320">
        <f>LET(
    arrears_months,'Loan Tape (S&amp;P)'!AN7320,
    IF(arrears_months=0,1.00,
    IF(arrears_months=1,3.00,
    IF(arrears_months=2,5.00,
    IF(arrears_months=3,8.00,
    IF(arrears_months=4,10.00,
    IF(arrears_months=5,12.00,15.00)))))))</f>
        <v/>
      </c>
      <c r="M7320">
        <f>LET(
    seasoning_years,DATEDIF('Loan Tape (S&amp;P)'!K7320,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20">
        <f>IF(AND('Loan Tape (S&amp;P)'!U7320="Yes",
        'Loan Tape (S&amp;P)'!T7320&lt;&gt;"Yes",
        DATEDIF('Loan Tape (S&amp;P)'!K7320, TODAY(), "M")&lt;18),
    1.10,
    1.00)</f>
        <v/>
      </c>
      <c r="O7320">
        <f>IF('Loan Tape (S&amp;P)'!T7320="Yes",
    1.35,
    1.00)</f>
        <v/>
      </c>
      <c r="P7320">
        <f>IF('Loan Tape (S&amp;P)'!S7320="Yes",
    1.15,
    1.00)</f>
        <v/>
      </c>
      <c r="Q7320">
        <f>IF('Loan Tape (S&amp;P)'!V7320="Yes",
    1.20,
    1.00)</f>
        <v/>
      </c>
      <c r="T7320">
        <f>LET(
    payment_method,'Loan Tape (S&amp;P)'!P7320,
    occupancy,'Loan Tape (S&amp;P)'!N7320,
    maturity_date,'Loan Tape (S&amp;P)'!L7320,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21">
      <c r="J7321">
        <f>LET(
    lien,'Loan Tape (S&amp;P)'!Q7321,
    IF(lien="First",1.00,
        IF(lien="Second",1.50,
            1.70)))</f>
        <v/>
      </c>
      <c r="K7321">
        <f>LET(
    purpose,'Loan Tape (S&amp;P)'!R7321,
    IF(purpose="Purchase",1.00,
        IF(purpose="Remortgage",1.00,
            1.20)))</f>
        <v/>
      </c>
      <c r="L7321">
        <f>LET(
    arrears_months,'Loan Tape (S&amp;P)'!AN7321,
    IF(arrears_months=0,1.00,
    IF(arrears_months=1,3.00,
    IF(arrears_months=2,5.00,
    IF(arrears_months=3,8.00,
    IF(arrears_months=4,10.00,
    IF(arrears_months=5,12.00,15.00)))))))</f>
        <v/>
      </c>
      <c r="M7321">
        <f>LET(
    seasoning_years,DATEDIF('Loan Tape (S&amp;P)'!K7321,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21">
        <f>IF(AND('Loan Tape (S&amp;P)'!U7321="Yes",
        'Loan Tape (S&amp;P)'!T7321&lt;&gt;"Yes",
        DATEDIF('Loan Tape (S&amp;P)'!K7321, TODAY(), "M")&lt;18),
    1.10,
    1.00)</f>
        <v/>
      </c>
      <c r="O7321">
        <f>IF('Loan Tape (S&amp;P)'!T7321="Yes",
    1.35,
    1.00)</f>
        <v/>
      </c>
      <c r="P7321">
        <f>IF('Loan Tape (S&amp;P)'!S7321="Yes",
    1.15,
    1.00)</f>
        <v/>
      </c>
      <c r="Q7321">
        <f>IF('Loan Tape (S&amp;P)'!V7321="Yes",
    1.20,
    1.00)</f>
        <v/>
      </c>
      <c r="T7321">
        <f>LET(
    payment_method,'Loan Tape (S&amp;P)'!P7321,
    occupancy,'Loan Tape (S&amp;P)'!N7321,
    maturity_date,'Loan Tape (S&amp;P)'!L7321,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22">
      <c r="J7322">
        <f>LET(
    lien,'Loan Tape (S&amp;P)'!Q7322,
    IF(lien="First",1.00,
        IF(lien="Second",1.50,
            1.70)))</f>
        <v/>
      </c>
      <c r="K7322">
        <f>LET(
    purpose,'Loan Tape (S&amp;P)'!R7322,
    IF(purpose="Purchase",1.00,
        IF(purpose="Remortgage",1.00,
            1.20)))</f>
        <v/>
      </c>
      <c r="L7322">
        <f>LET(
    arrears_months,'Loan Tape (S&amp;P)'!AN7322,
    IF(arrears_months=0,1.00,
    IF(arrears_months=1,3.00,
    IF(arrears_months=2,5.00,
    IF(arrears_months=3,8.00,
    IF(arrears_months=4,10.00,
    IF(arrears_months=5,12.00,15.00)))))))</f>
        <v/>
      </c>
      <c r="M7322">
        <f>LET(
    seasoning_years,DATEDIF('Loan Tape (S&amp;P)'!K7322,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22">
        <f>IF(AND('Loan Tape (S&amp;P)'!U7322="Yes",
        'Loan Tape (S&amp;P)'!T7322&lt;&gt;"Yes",
        DATEDIF('Loan Tape (S&amp;P)'!K7322, TODAY(), "M")&lt;18),
    1.10,
    1.00)</f>
        <v/>
      </c>
      <c r="O7322">
        <f>IF('Loan Tape (S&amp;P)'!T7322="Yes",
    1.35,
    1.00)</f>
        <v/>
      </c>
      <c r="P7322">
        <f>IF('Loan Tape (S&amp;P)'!S7322="Yes",
    1.15,
    1.00)</f>
        <v/>
      </c>
      <c r="Q7322">
        <f>IF('Loan Tape (S&amp;P)'!V7322="Yes",
    1.20,
    1.00)</f>
        <v/>
      </c>
      <c r="T7322">
        <f>LET(
    payment_method,'Loan Tape (S&amp;P)'!P7322,
    occupancy,'Loan Tape (S&amp;P)'!N7322,
    maturity_date,'Loan Tape (S&amp;P)'!L7322,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23">
      <c r="J7323">
        <f>LET(
    lien,'Loan Tape (S&amp;P)'!Q7323,
    IF(lien="First",1.00,
        IF(lien="Second",1.50,
            1.70)))</f>
        <v/>
      </c>
      <c r="K7323">
        <f>LET(
    purpose,'Loan Tape (S&amp;P)'!R7323,
    IF(purpose="Purchase",1.00,
        IF(purpose="Remortgage",1.00,
            1.20)))</f>
        <v/>
      </c>
      <c r="L7323">
        <f>LET(
    arrears_months,'Loan Tape (S&amp;P)'!AN7323,
    IF(arrears_months=0,1.00,
    IF(arrears_months=1,3.00,
    IF(arrears_months=2,5.00,
    IF(arrears_months=3,8.00,
    IF(arrears_months=4,10.00,
    IF(arrears_months=5,12.00,15.00)))))))</f>
        <v/>
      </c>
      <c r="M7323">
        <f>LET(
    seasoning_years,DATEDIF('Loan Tape (S&amp;P)'!K7323,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23">
        <f>IF(AND('Loan Tape (S&amp;P)'!U7323="Yes",
        'Loan Tape (S&amp;P)'!T7323&lt;&gt;"Yes",
        DATEDIF('Loan Tape (S&amp;P)'!K7323, TODAY(), "M")&lt;18),
    1.10,
    1.00)</f>
        <v/>
      </c>
      <c r="O7323">
        <f>IF('Loan Tape (S&amp;P)'!T7323="Yes",
    1.35,
    1.00)</f>
        <v/>
      </c>
      <c r="P7323">
        <f>IF('Loan Tape (S&amp;P)'!S7323="Yes",
    1.15,
    1.00)</f>
        <v/>
      </c>
      <c r="Q7323">
        <f>IF('Loan Tape (S&amp;P)'!V7323="Yes",
    1.20,
    1.00)</f>
        <v/>
      </c>
      <c r="T7323">
        <f>LET(
    payment_method,'Loan Tape (S&amp;P)'!P7323,
    occupancy,'Loan Tape (S&amp;P)'!N7323,
    maturity_date,'Loan Tape (S&amp;P)'!L7323,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24">
      <c r="J7324">
        <f>LET(
    lien,'Loan Tape (S&amp;P)'!Q7324,
    IF(lien="First",1.00,
        IF(lien="Second",1.50,
            1.70)))</f>
        <v/>
      </c>
      <c r="K7324">
        <f>LET(
    purpose,'Loan Tape (S&amp;P)'!R7324,
    IF(purpose="Purchase",1.00,
        IF(purpose="Remortgage",1.00,
            1.20)))</f>
        <v/>
      </c>
      <c r="L7324">
        <f>LET(
    arrears_months,'Loan Tape (S&amp;P)'!AN7324,
    IF(arrears_months=0,1.00,
    IF(arrears_months=1,3.00,
    IF(arrears_months=2,5.00,
    IF(arrears_months=3,8.00,
    IF(arrears_months=4,10.00,
    IF(arrears_months=5,12.00,15.00)))))))</f>
        <v/>
      </c>
      <c r="M7324">
        <f>LET(
    seasoning_years,DATEDIF('Loan Tape (S&amp;P)'!K7324,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24">
        <f>IF(AND('Loan Tape (S&amp;P)'!U7324="Yes",
        'Loan Tape (S&amp;P)'!T7324&lt;&gt;"Yes",
        DATEDIF('Loan Tape (S&amp;P)'!K7324, TODAY(), "M")&lt;18),
    1.10,
    1.00)</f>
        <v/>
      </c>
      <c r="O7324">
        <f>IF('Loan Tape (S&amp;P)'!T7324="Yes",
    1.35,
    1.00)</f>
        <v/>
      </c>
      <c r="P7324">
        <f>IF('Loan Tape (S&amp;P)'!S7324="Yes",
    1.15,
    1.00)</f>
        <v/>
      </c>
      <c r="Q7324">
        <f>IF('Loan Tape (S&amp;P)'!V7324="Yes",
    1.20,
    1.00)</f>
        <v/>
      </c>
      <c r="T7324">
        <f>LET(
    payment_method,'Loan Tape (S&amp;P)'!P7324,
    occupancy,'Loan Tape (S&amp;P)'!N7324,
    maturity_date,'Loan Tape (S&amp;P)'!L7324,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25">
      <c r="J7325">
        <f>LET(
    lien,'Loan Tape (S&amp;P)'!Q7325,
    IF(lien="First",1.00,
        IF(lien="Second",1.50,
            1.70)))</f>
        <v/>
      </c>
      <c r="K7325">
        <f>LET(
    purpose,'Loan Tape (S&amp;P)'!R7325,
    IF(purpose="Purchase",1.00,
        IF(purpose="Remortgage",1.00,
            1.20)))</f>
        <v/>
      </c>
      <c r="L7325">
        <f>LET(
    arrears_months,'Loan Tape (S&amp;P)'!AN7325,
    IF(arrears_months=0,1.00,
    IF(arrears_months=1,3.00,
    IF(arrears_months=2,5.00,
    IF(arrears_months=3,8.00,
    IF(arrears_months=4,10.00,
    IF(arrears_months=5,12.00,15.00)))))))</f>
        <v/>
      </c>
      <c r="M7325">
        <f>LET(
    seasoning_years,DATEDIF('Loan Tape (S&amp;P)'!K7325,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25">
        <f>IF(AND('Loan Tape (S&amp;P)'!U7325="Yes",
        'Loan Tape (S&amp;P)'!T7325&lt;&gt;"Yes",
        DATEDIF('Loan Tape (S&amp;P)'!K7325, TODAY(), "M")&lt;18),
    1.10,
    1.00)</f>
        <v/>
      </c>
      <c r="O7325">
        <f>IF('Loan Tape (S&amp;P)'!T7325="Yes",
    1.35,
    1.00)</f>
        <v/>
      </c>
      <c r="P7325">
        <f>IF('Loan Tape (S&amp;P)'!S7325="Yes",
    1.15,
    1.00)</f>
        <v/>
      </c>
      <c r="Q7325">
        <f>IF('Loan Tape (S&amp;P)'!V7325="Yes",
    1.20,
    1.00)</f>
        <v/>
      </c>
      <c r="T7325">
        <f>LET(
    payment_method,'Loan Tape (S&amp;P)'!P7325,
    occupancy,'Loan Tape (S&amp;P)'!N7325,
    maturity_date,'Loan Tape (S&amp;P)'!L7325,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26">
      <c r="J7326">
        <f>LET(
    lien,'Loan Tape (S&amp;P)'!Q7326,
    IF(lien="First",1.00,
        IF(lien="Second",1.50,
            1.70)))</f>
        <v/>
      </c>
      <c r="K7326">
        <f>LET(
    purpose,'Loan Tape (S&amp;P)'!R7326,
    IF(purpose="Purchase",1.00,
        IF(purpose="Remortgage",1.00,
            1.20)))</f>
        <v/>
      </c>
      <c r="L7326">
        <f>LET(
    arrears_months,'Loan Tape (S&amp;P)'!AN7326,
    IF(arrears_months=0,1.00,
    IF(arrears_months=1,3.00,
    IF(arrears_months=2,5.00,
    IF(arrears_months=3,8.00,
    IF(arrears_months=4,10.00,
    IF(arrears_months=5,12.00,15.00)))))))</f>
        <v/>
      </c>
      <c r="M7326">
        <f>LET(
    seasoning_years,DATEDIF('Loan Tape (S&amp;P)'!K7326,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26">
        <f>IF(AND('Loan Tape (S&amp;P)'!U7326="Yes",
        'Loan Tape (S&amp;P)'!T7326&lt;&gt;"Yes",
        DATEDIF('Loan Tape (S&amp;P)'!K7326, TODAY(), "M")&lt;18),
    1.10,
    1.00)</f>
        <v/>
      </c>
      <c r="O7326">
        <f>IF('Loan Tape (S&amp;P)'!T7326="Yes",
    1.35,
    1.00)</f>
        <v/>
      </c>
      <c r="P7326">
        <f>IF('Loan Tape (S&amp;P)'!S7326="Yes",
    1.15,
    1.00)</f>
        <v/>
      </c>
      <c r="Q7326">
        <f>IF('Loan Tape (S&amp;P)'!V7326="Yes",
    1.20,
    1.00)</f>
        <v/>
      </c>
      <c r="T7326">
        <f>LET(
    payment_method,'Loan Tape (S&amp;P)'!P7326,
    occupancy,'Loan Tape (S&amp;P)'!N7326,
    maturity_date,'Loan Tape (S&amp;P)'!L7326,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27">
      <c r="J7327">
        <f>LET(
    lien,'Loan Tape (S&amp;P)'!Q7327,
    IF(lien="First",1.00,
        IF(lien="Second",1.50,
            1.70)))</f>
        <v/>
      </c>
      <c r="K7327">
        <f>LET(
    purpose,'Loan Tape (S&amp;P)'!R7327,
    IF(purpose="Purchase",1.00,
        IF(purpose="Remortgage",1.00,
            1.20)))</f>
        <v/>
      </c>
      <c r="L7327">
        <f>LET(
    arrears_months,'Loan Tape (S&amp;P)'!AN7327,
    IF(arrears_months=0,1.00,
    IF(arrears_months=1,3.00,
    IF(arrears_months=2,5.00,
    IF(arrears_months=3,8.00,
    IF(arrears_months=4,10.00,
    IF(arrears_months=5,12.00,15.00)))))))</f>
        <v/>
      </c>
      <c r="M7327">
        <f>LET(
    seasoning_years,DATEDIF('Loan Tape (S&amp;P)'!K7327,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27">
        <f>IF(AND('Loan Tape (S&amp;P)'!U7327="Yes",
        'Loan Tape (S&amp;P)'!T7327&lt;&gt;"Yes",
        DATEDIF('Loan Tape (S&amp;P)'!K7327, TODAY(), "M")&lt;18),
    1.10,
    1.00)</f>
        <v/>
      </c>
      <c r="O7327">
        <f>IF('Loan Tape (S&amp;P)'!T7327="Yes",
    1.35,
    1.00)</f>
        <v/>
      </c>
      <c r="P7327">
        <f>IF('Loan Tape (S&amp;P)'!S7327="Yes",
    1.15,
    1.00)</f>
        <v/>
      </c>
      <c r="Q7327">
        <f>IF('Loan Tape (S&amp;P)'!V7327="Yes",
    1.20,
    1.00)</f>
        <v/>
      </c>
      <c r="T7327">
        <f>LET(
    payment_method,'Loan Tape (S&amp;P)'!P7327,
    occupancy,'Loan Tape (S&amp;P)'!N7327,
    maturity_date,'Loan Tape (S&amp;P)'!L7327,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28">
      <c r="J7328">
        <f>LET(
    lien,'Loan Tape (S&amp;P)'!Q7328,
    IF(lien="First",1.00,
        IF(lien="Second",1.50,
            1.70)))</f>
        <v/>
      </c>
      <c r="K7328">
        <f>LET(
    purpose,'Loan Tape (S&amp;P)'!R7328,
    IF(purpose="Purchase",1.00,
        IF(purpose="Remortgage",1.00,
            1.20)))</f>
        <v/>
      </c>
      <c r="L7328">
        <f>LET(
    arrears_months,'Loan Tape (S&amp;P)'!AN7328,
    IF(arrears_months=0,1.00,
    IF(arrears_months=1,3.00,
    IF(arrears_months=2,5.00,
    IF(arrears_months=3,8.00,
    IF(arrears_months=4,10.00,
    IF(arrears_months=5,12.00,15.00)))))))</f>
        <v/>
      </c>
      <c r="M7328">
        <f>LET(
    seasoning_years,DATEDIF('Loan Tape (S&amp;P)'!K7328,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28">
        <f>IF(AND('Loan Tape (S&amp;P)'!U7328="Yes",
        'Loan Tape (S&amp;P)'!T7328&lt;&gt;"Yes",
        DATEDIF('Loan Tape (S&amp;P)'!K7328, TODAY(), "M")&lt;18),
    1.10,
    1.00)</f>
        <v/>
      </c>
      <c r="O7328">
        <f>IF('Loan Tape (S&amp;P)'!T7328="Yes",
    1.35,
    1.00)</f>
        <v/>
      </c>
      <c r="P7328">
        <f>IF('Loan Tape (S&amp;P)'!S7328="Yes",
    1.15,
    1.00)</f>
        <v/>
      </c>
      <c r="Q7328">
        <f>IF('Loan Tape (S&amp;P)'!V7328="Yes",
    1.20,
    1.00)</f>
        <v/>
      </c>
      <c r="T7328">
        <f>LET(
    payment_method,'Loan Tape (S&amp;P)'!P7328,
    occupancy,'Loan Tape (S&amp;P)'!N7328,
    maturity_date,'Loan Tape (S&amp;P)'!L7328,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29">
      <c r="J7329">
        <f>LET(
    lien,'Loan Tape (S&amp;P)'!Q7329,
    IF(lien="First",1.00,
        IF(lien="Second",1.50,
            1.70)))</f>
        <v/>
      </c>
      <c r="K7329">
        <f>LET(
    purpose,'Loan Tape (S&amp;P)'!R7329,
    IF(purpose="Purchase",1.00,
        IF(purpose="Remortgage",1.00,
            1.20)))</f>
        <v/>
      </c>
      <c r="L7329">
        <f>LET(
    arrears_months,'Loan Tape (S&amp;P)'!AN7329,
    IF(arrears_months=0,1.00,
    IF(arrears_months=1,3.00,
    IF(arrears_months=2,5.00,
    IF(arrears_months=3,8.00,
    IF(arrears_months=4,10.00,
    IF(arrears_months=5,12.00,15.00)))))))</f>
        <v/>
      </c>
      <c r="M7329">
        <f>LET(
    seasoning_years,DATEDIF('Loan Tape (S&amp;P)'!K7329,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29">
        <f>IF(AND('Loan Tape (S&amp;P)'!U7329="Yes",
        'Loan Tape (S&amp;P)'!T7329&lt;&gt;"Yes",
        DATEDIF('Loan Tape (S&amp;P)'!K7329, TODAY(), "M")&lt;18),
    1.10,
    1.00)</f>
        <v/>
      </c>
      <c r="O7329">
        <f>IF('Loan Tape (S&amp;P)'!T7329="Yes",
    1.35,
    1.00)</f>
        <v/>
      </c>
      <c r="P7329">
        <f>IF('Loan Tape (S&amp;P)'!S7329="Yes",
    1.15,
    1.00)</f>
        <v/>
      </c>
      <c r="Q7329">
        <f>IF('Loan Tape (S&amp;P)'!V7329="Yes",
    1.20,
    1.00)</f>
        <v/>
      </c>
      <c r="T7329">
        <f>LET(
    payment_method,'Loan Tape (S&amp;P)'!P7329,
    occupancy,'Loan Tape (S&amp;P)'!N7329,
    maturity_date,'Loan Tape (S&amp;P)'!L7329,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30">
      <c r="J7330">
        <f>LET(
    lien,'Loan Tape (S&amp;P)'!Q7330,
    IF(lien="First",1.00,
        IF(lien="Second",1.50,
            1.70)))</f>
        <v/>
      </c>
      <c r="K7330">
        <f>LET(
    purpose,'Loan Tape (S&amp;P)'!R7330,
    IF(purpose="Purchase",1.00,
        IF(purpose="Remortgage",1.00,
            1.20)))</f>
        <v/>
      </c>
      <c r="L7330">
        <f>LET(
    arrears_months,'Loan Tape (S&amp;P)'!AN7330,
    IF(arrears_months=0,1.00,
    IF(arrears_months=1,3.00,
    IF(arrears_months=2,5.00,
    IF(arrears_months=3,8.00,
    IF(arrears_months=4,10.00,
    IF(arrears_months=5,12.00,15.00)))))))</f>
        <v/>
      </c>
      <c r="M7330">
        <f>LET(
    seasoning_years,DATEDIF('Loan Tape (S&amp;P)'!K7330,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30">
        <f>IF(AND('Loan Tape (S&amp;P)'!U7330="Yes",
        'Loan Tape (S&amp;P)'!T7330&lt;&gt;"Yes",
        DATEDIF('Loan Tape (S&amp;P)'!K7330, TODAY(), "M")&lt;18),
    1.10,
    1.00)</f>
        <v/>
      </c>
      <c r="O7330">
        <f>IF('Loan Tape (S&amp;P)'!T7330="Yes",
    1.35,
    1.00)</f>
        <v/>
      </c>
      <c r="P7330">
        <f>IF('Loan Tape (S&amp;P)'!S7330="Yes",
    1.15,
    1.00)</f>
        <v/>
      </c>
      <c r="Q7330">
        <f>IF('Loan Tape (S&amp;P)'!V7330="Yes",
    1.20,
    1.00)</f>
        <v/>
      </c>
      <c r="T7330">
        <f>LET(
    payment_method,'Loan Tape (S&amp;P)'!P7330,
    occupancy,'Loan Tape (S&amp;P)'!N7330,
    maturity_date,'Loan Tape (S&amp;P)'!L7330,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31">
      <c r="J7331">
        <f>LET(
    lien,'Loan Tape (S&amp;P)'!Q7331,
    IF(lien="First",1.00,
        IF(lien="Second",1.50,
            1.70)))</f>
        <v/>
      </c>
      <c r="K7331">
        <f>LET(
    purpose,'Loan Tape (S&amp;P)'!R7331,
    IF(purpose="Purchase",1.00,
        IF(purpose="Remortgage",1.00,
            1.20)))</f>
        <v/>
      </c>
      <c r="L7331">
        <f>LET(
    arrears_months,'Loan Tape (S&amp;P)'!AN7331,
    IF(arrears_months=0,1.00,
    IF(arrears_months=1,3.00,
    IF(arrears_months=2,5.00,
    IF(arrears_months=3,8.00,
    IF(arrears_months=4,10.00,
    IF(arrears_months=5,12.00,15.00)))))))</f>
        <v/>
      </c>
      <c r="M7331">
        <f>LET(
    seasoning_years,DATEDIF('Loan Tape (S&amp;P)'!K7331,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31">
        <f>IF(AND('Loan Tape (S&amp;P)'!U7331="Yes",
        'Loan Tape (S&amp;P)'!T7331&lt;&gt;"Yes",
        DATEDIF('Loan Tape (S&amp;P)'!K7331, TODAY(), "M")&lt;18),
    1.10,
    1.00)</f>
        <v/>
      </c>
      <c r="O7331">
        <f>IF('Loan Tape (S&amp;P)'!T7331="Yes",
    1.35,
    1.00)</f>
        <v/>
      </c>
      <c r="P7331">
        <f>IF('Loan Tape (S&amp;P)'!S7331="Yes",
    1.15,
    1.00)</f>
        <v/>
      </c>
      <c r="Q7331">
        <f>IF('Loan Tape (S&amp;P)'!V7331="Yes",
    1.20,
    1.00)</f>
        <v/>
      </c>
      <c r="T7331">
        <f>LET(
    payment_method,'Loan Tape (S&amp;P)'!P7331,
    occupancy,'Loan Tape (S&amp;P)'!N7331,
    maturity_date,'Loan Tape (S&amp;P)'!L7331,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32">
      <c r="J7332">
        <f>LET(
    lien,'Loan Tape (S&amp;P)'!Q7332,
    IF(lien="First",1.00,
        IF(lien="Second",1.50,
            1.70)))</f>
        <v/>
      </c>
      <c r="K7332">
        <f>LET(
    purpose,'Loan Tape (S&amp;P)'!R7332,
    IF(purpose="Purchase",1.00,
        IF(purpose="Remortgage",1.00,
            1.20)))</f>
        <v/>
      </c>
      <c r="L7332">
        <f>LET(
    arrears_months,'Loan Tape (S&amp;P)'!AN7332,
    IF(arrears_months=0,1.00,
    IF(arrears_months=1,3.00,
    IF(arrears_months=2,5.00,
    IF(arrears_months=3,8.00,
    IF(arrears_months=4,10.00,
    IF(arrears_months=5,12.00,15.00)))))))</f>
        <v/>
      </c>
      <c r="M7332">
        <f>LET(
    seasoning_years,DATEDIF('Loan Tape (S&amp;P)'!K7332,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32">
        <f>IF(AND('Loan Tape (S&amp;P)'!U7332="Yes",
        'Loan Tape (S&amp;P)'!T7332&lt;&gt;"Yes",
        DATEDIF('Loan Tape (S&amp;P)'!K7332, TODAY(), "M")&lt;18),
    1.10,
    1.00)</f>
        <v/>
      </c>
      <c r="O7332">
        <f>IF('Loan Tape (S&amp;P)'!T7332="Yes",
    1.35,
    1.00)</f>
        <v/>
      </c>
      <c r="P7332">
        <f>IF('Loan Tape (S&amp;P)'!S7332="Yes",
    1.15,
    1.00)</f>
        <v/>
      </c>
      <c r="Q7332">
        <f>IF('Loan Tape (S&amp;P)'!V7332="Yes",
    1.20,
    1.00)</f>
        <v/>
      </c>
      <c r="T7332">
        <f>LET(
    payment_method,'Loan Tape (S&amp;P)'!P7332,
    occupancy,'Loan Tape (S&amp;P)'!N7332,
    maturity_date,'Loan Tape (S&amp;P)'!L7332,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33">
      <c r="J7333">
        <f>LET(
    lien,'Loan Tape (S&amp;P)'!Q7333,
    IF(lien="First",1.00,
        IF(lien="Second",1.50,
            1.70)))</f>
        <v/>
      </c>
      <c r="K7333">
        <f>LET(
    purpose,'Loan Tape (S&amp;P)'!R7333,
    IF(purpose="Purchase",1.00,
        IF(purpose="Remortgage",1.00,
            1.20)))</f>
        <v/>
      </c>
      <c r="L7333">
        <f>LET(
    arrears_months,'Loan Tape (S&amp;P)'!AN7333,
    IF(arrears_months=0,1.00,
    IF(arrears_months=1,3.00,
    IF(arrears_months=2,5.00,
    IF(arrears_months=3,8.00,
    IF(arrears_months=4,10.00,
    IF(arrears_months=5,12.00,15.00)))))))</f>
        <v/>
      </c>
      <c r="M7333">
        <f>LET(
    seasoning_years,DATEDIF('Loan Tape (S&amp;P)'!K7333,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33">
        <f>IF(AND('Loan Tape (S&amp;P)'!U7333="Yes",
        'Loan Tape (S&amp;P)'!T7333&lt;&gt;"Yes",
        DATEDIF('Loan Tape (S&amp;P)'!K7333, TODAY(), "M")&lt;18),
    1.10,
    1.00)</f>
        <v/>
      </c>
      <c r="O7333">
        <f>IF('Loan Tape (S&amp;P)'!T7333="Yes",
    1.35,
    1.00)</f>
        <v/>
      </c>
      <c r="P7333">
        <f>IF('Loan Tape (S&amp;P)'!S7333="Yes",
    1.15,
    1.00)</f>
        <v/>
      </c>
      <c r="Q7333">
        <f>IF('Loan Tape (S&amp;P)'!V7333="Yes",
    1.20,
    1.00)</f>
        <v/>
      </c>
      <c r="T7333">
        <f>LET(
    payment_method,'Loan Tape (S&amp;P)'!P7333,
    occupancy,'Loan Tape (S&amp;P)'!N7333,
    maturity_date,'Loan Tape (S&amp;P)'!L7333,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34">
      <c r="J7334">
        <f>LET(
    lien,'Loan Tape (S&amp;P)'!Q7334,
    IF(lien="First",1.00,
        IF(lien="Second",1.50,
            1.70)))</f>
        <v/>
      </c>
      <c r="K7334">
        <f>LET(
    purpose,'Loan Tape (S&amp;P)'!R7334,
    IF(purpose="Purchase",1.00,
        IF(purpose="Remortgage",1.00,
            1.20)))</f>
        <v/>
      </c>
      <c r="L7334">
        <f>LET(
    arrears_months,'Loan Tape (S&amp;P)'!AN7334,
    IF(arrears_months=0,1.00,
    IF(arrears_months=1,3.00,
    IF(arrears_months=2,5.00,
    IF(arrears_months=3,8.00,
    IF(arrears_months=4,10.00,
    IF(arrears_months=5,12.00,15.00)))))))</f>
        <v/>
      </c>
      <c r="M7334">
        <f>LET(
    seasoning_years,DATEDIF('Loan Tape (S&amp;P)'!K7334,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34">
        <f>IF(AND('Loan Tape (S&amp;P)'!U7334="Yes",
        'Loan Tape (S&amp;P)'!T7334&lt;&gt;"Yes",
        DATEDIF('Loan Tape (S&amp;P)'!K7334, TODAY(), "M")&lt;18),
    1.10,
    1.00)</f>
        <v/>
      </c>
      <c r="O7334">
        <f>IF('Loan Tape (S&amp;P)'!T7334="Yes",
    1.35,
    1.00)</f>
        <v/>
      </c>
      <c r="P7334">
        <f>IF('Loan Tape (S&amp;P)'!S7334="Yes",
    1.15,
    1.00)</f>
        <v/>
      </c>
      <c r="Q7334">
        <f>IF('Loan Tape (S&amp;P)'!V7334="Yes",
    1.20,
    1.00)</f>
        <v/>
      </c>
      <c r="T7334">
        <f>LET(
    payment_method,'Loan Tape (S&amp;P)'!P7334,
    occupancy,'Loan Tape (S&amp;P)'!N7334,
    maturity_date,'Loan Tape (S&amp;P)'!L7334,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35">
      <c r="J7335">
        <f>LET(
    lien,'Loan Tape (S&amp;P)'!Q7335,
    IF(lien="First",1.00,
        IF(lien="Second",1.50,
            1.70)))</f>
        <v/>
      </c>
      <c r="K7335">
        <f>LET(
    purpose,'Loan Tape (S&amp;P)'!R7335,
    IF(purpose="Purchase",1.00,
        IF(purpose="Remortgage",1.00,
            1.20)))</f>
        <v/>
      </c>
      <c r="L7335">
        <f>LET(
    arrears_months,'Loan Tape (S&amp;P)'!AN7335,
    IF(arrears_months=0,1.00,
    IF(arrears_months=1,3.00,
    IF(arrears_months=2,5.00,
    IF(arrears_months=3,8.00,
    IF(arrears_months=4,10.00,
    IF(arrears_months=5,12.00,15.00)))))))</f>
        <v/>
      </c>
      <c r="M7335">
        <f>LET(
    seasoning_years,DATEDIF('Loan Tape (S&amp;P)'!K7335,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35">
        <f>IF(AND('Loan Tape (S&amp;P)'!U7335="Yes",
        'Loan Tape (S&amp;P)'!T7335&lt;&gt;"Yes",
        DATEDIF('Loan Tape (S&amp;P)'!K7335, TODAY(), "M")&lt;18),
    1.10,
    1.00)</f>
        <v/>
      </c>
      <c r="O7335">
        <f>IF('Loan Tape (S&amp;P)'!T7335="Yes",
    1.35,
    1.00)</f>
        <v/>
      </c>
      <c r="P7335">
        <f>IF('Loan Tape (S&amp;P)'!S7335="Yes",
    1.15,
    1.00)</f>
        <v/>
      </c>
      <c r="Q7335">
        <f>IF('Loan Tape (S&amp;P)'!V7335="Yes",
    1.20,
    1.00)</f>
        <v/>
      </c>
      <c r="T7335">
        <f>LET(
    payment_method,'Loan Tape (S&amp;P)'!P7335,
    occupancy,'Loan Tape (S&amp;P)'!N7335,
    maturity_date,'Loan Tape (S&amp;P)'!L7335,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36">
      <c r="J7336">
        <f>LET(
    lien,'Loan Tape (S&amp;P)'!Q7336,
    IF(lien="First",1.00,
        IF(lien="Second",1.50,
            1.70)))</f>
        <v/>
      </c>
      <c r="K7336">
        <f>LET(
    purpose,'Loan Tape (S&amp;P)'!R7336,
    IF(purpose="Purchase",1.00,
        IF(purpose="Remortgage",1.00,
            1.20)))</f>
        <v/>
      </c>
      <c r="L7336">
        <f>LET(
    arrears_months,'Loan Tape (S&amp;P)'!AN7336,
    IF(arrears_months=0,1.00,
    IF(arrears_months=1,3.00,
    IF(arrears_months=2,5.00,
    IF(arrears_months=3,8.00,
    IF(arrears_months=4,10.00,
    IF(arrears_months=5,12.00,15.00)))))))</f>
        <v/>
      </c>
      <c r="M7336">
        <f>LET(
    seasoning_years,DATEDIF('Loan Tape (S&amp;P)'!K7336,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36">
        <f>IF(AND('Loan Tape (S&amp;P)'!U7336="Yes",
        'Loan Tape (S&amp;P)'!T7336&lt;&gt;"Yes",
        DATEDIF('Loan Tape (S&amp;P)'!K7336, TODAY(), "M")&lt;18),
    1.10,
    1.00)</f>
        <v/>
      </c>
      <c r="O7336">
        <f>IF('Loan Tape (S&amp;P)'!T7336="Yes",
    1.35,
    1.00)</f>
        <v/>
      </c>
      <c r="P7336">
        <f>IF('Loan Tape (S&amp;P)'!S7336="Yes",
    1.15,
    1.00)</f>
        <v/>
      </c>
      <c r="Q7336">
        <f>IF('Loan Tape (S&amp;P)'!V7336="Yes",
    1.20,
    1.00)</f>
        <v/>
      </c>
      <c r="T7336">
        <f>LET(
    payment_method,'Loan Tape (S&amp;P)'!P7336,
    occupancy,'Loan Tape (S&amp;P)'!N7336,
    maturity_date,'Loan Tape (S&amp;P)'!L7336,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37">
      <c r="J7337">
        <f>LET(
    lien,'Loan Tape (S&amp;P)'!Q7337,
    IF(lien="First",1.00,
        IF(lien="Second",1.50,
            1.70)))</f>
        <v/>
      </c>
      <c r="K7337">
        <f>LET(
    purpose,'Loan Tape (S&amp;P)'!R7337,
    IF(purpose="Purchase",1.00,
        IF(purpose="Remortgage",1.00,
            1.20)))</f>
        <v/>
      </c>
      <c r="L7337">
        <f>LET(
    arrears_months,'Loan Tape (S&amp;P)'!AN7337,
    IF(arrears_months=0,1.00,
    IF(arrears_months=1,3.00,
    IF(arrears_months=2,5.00,
    IF(arrears_months=3,8.00,
    IF(arrears_months=4,10.00,
    IF(arrears_months=5,12.00,15.00)))))))</f>
        <v/>
      </c>
      <c r="M7337">
        <f>LET(
    seasoning_years,DATEDIF('Loan Tape (S&amp;P)'!K7337,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37">
        <f>IF(AND('Loan Tape (S&amp;P)'!U7337="Yes",
        'Loan Tape (S&amp;P)'!T7337&lt;&gt;"Yes",
        DATEDIF('Loan Tape (S&amp;P)'!K7337, TODAY(), "M")&lt;18),
    1.10,
    1.00)</f>
        <v/>
      </c>
      <c r="O7337">
        <f>IF('Loan Tape (S&amp;P)'!T7337="Yes",
    1.35,
    1.00)</f>
        <v/>
      </c>
      <c r="P7337">
        <f>IF('Loan Tape (S&amp;P)'!S7337="Yes",
    1.15,
    1.00)</f>
        <v/>
      </c>
      <c r="Q7337">
        <f>IF('Loan Tape (S&amp;P)'!V7337="Yes",
    1.20,
    1.00)</f>
        <v/>
      </c>
      <c r="T7337">
        <f>LET(
    payment_method,'Loan Tape (S&amp;P)'!P7337,
    occupancy,'Loan Tape (S&amp;P)'!N7337,
    maturity_date,'Loan Tape (S&amp;P)'!L7337,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38">
      <c r="J7338">
        <f>LET(
    lien,'Loan Tape (S&amp;P)'!Q7338,
    IF(lien="First",1.00,
        IF(lien="Second",1.50,
            1.70)))</f>
        <v/>
      </c>
      <c r="K7338">
        <f>LET(
    purpose,'Loan Tape (S&amp;P)'!R7338,
    IF(purpose="Purchase",1.00,
        IF(purpose="Remortgage",1.00,
            1.20)))</f>
        <v/>
      </c>
      <c r="L7338">
        <f>LET(
    arrears_months,'Loan Tape (S&amp;P)'!AN7338,
    IF(arrears_months=0,1.00,
    IF(arrears_months=1,3.00,
    IF(arrears_months=2,5.00,
    IF(arrears_months=3,8.00,
    IF(arrears_months=4,10.00,
    IF(arrears_months=5,12.00,15.00)))))))</f>
        <v/>
      </c>
      <c r="M7338">
        <f>LET(
    seasoning_years,DATEDIF('Loan Tape (S&amp;P)'!K7338,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38">
        <f>IF(AND('Loan Tape (S&amp;P)'!U7338="Yes",
        'Loan Tape (S&amp;P)'!T7338&lt;&gt;"Yes",
        DATEDIF('Loan Tape (S&amp;P)'!K7338, TODAY(), "M")&lt;18),
    1.10,
    1.00)</f>
        <v/>
      </c>
      <c r="O7338">
        <f>IF('Loan Tape (S&amp;P)'!T7338="Yes",
    1.35,
    1.00)</f>
        <v/>
      </c>
      <c r="P7338">
        <f>IF('Loan Tape (S&amp;P)'!S7338="Yes",
    1.15,
    1.00)</f>
        <v/>
      </c>
      <c r="Q7338">
        <f>IF('Loan Tape (S&amp;P)'!V7338="Yes",
    1.20,
    1.00)</f>
        <v/>
      </c>
      <c r="T7338">
        <f>LET(
    payment_method,'Loan Tape (S&amp;P)'!P7338,
    occupancy,'Loan Tape (S&amp;P)'!N7338,
    maturity_date,'Loan Tape (S&amp;P)'!L7338,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39">
      <c r="J7339">
        <f>LET(
    lien,'Loan Tape (S&amp;P)'!Q7339,
    IF(lien="First",1.00,
        IF(lien="Second",1.50,
            1.70)))</f>
        <v/>
      </c>
      <c r="K7339">
        <f>LET(
    purpose,'Loan Tape (S&amp;P)'!R7339,
    IF(purpose="Purchase",1.00,
        IF(purpose="Remortgage",1.00,
            1.20)))</f>
        <v/>
      </c>
      <c r="L7339">
        <f>LET(
    arrears_months,'Loan Tape (S&amp;P)'!AN7339,
    IF(arrears_months=0,1.00,
    IF(arrears_months=1,3.00,
    IF(arrears_months=2,5.00,
    IF(arrears_months=3,8.00,
    IF(arrears_months=4,10.00,
    IF(arrears_months=5,12.00,15.00)))))))</f>
        <v/>
      </c>
      <c r="M7339">
        <f>LET(
    seasoning_years,DATEDIF('Loan Tape (S&amp;P)'!K7339,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39">
        <f>IF(AND('Loan Tape (S&amp;P)'!U7339="Yes",
        'Loan Tape (S&amp;P)'!T7339&lt;&gt;"Yes",
        DATEDIF('Loan Tape (S&amp;P)'!K7339, TODAY(), "M")&lt;18),
    1.10,
    1.00)</f>
        <v/>
      </c>
      <c r="O7339">
        <f>IF('Loan Tape (S&amp;P)'!T7339="Yes",
    1.35,
    1.00)</f>
        <v/>
      </c>
      <c r="P7339">
        <f>IF('Loan Tape (S&amp;P)'!S7339="Yes",
    1.15,
    1.00)</f>
        <v/>
      </c>
      <c r="Q7339">
        <f>IF('Loan Tape (S&amp;P)'!V7339="Yes",
    1.20,
    1.00)</f>
        <v/>
      </c>
      <c r="T7339">
        <f>LET(
    payment_method,'Loan Tape (S&amp;P)'!P7339,
    occupancy,'Loan Tape (S&amp;P)'!N7339,
    maturity_date,'Loan Tape (S&amp;P)'!L7339,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40">
      <c r="J7340">
        <f>LET(
    lien,'Loan Tape (S&amp;P)'!Q7340,
    IF(lien="First",1.00,
        IF(lien="Second",1.50,
            1.70)))</f>
        <v/>
      </c>
      <c r="K7340">
        <f>LET(
    purpose,'Loan Tape (S&amp;P)'!R7340,
    IF(purpose="Purchase",1.00,
        IF(purpose="Remortgage",1.00,
            1.20)))</f>
        <v/>
      </c>
      <c r="L7340">
        <f>LET(
    arrears_months,'Loan Tape (S&amp;P)'!AN7340,
    IF(arrears_months=0,1.00,
    IF(arrears_months=1,3.00,
    IF(arrears_months=2,5.00,
    IF(arrears_months=3,8.00,
    IF(arrears_months=4,10.00,
    IF(arrears_months=5,12.00,15.00)))))))</f>
        <v/>
      </c>
      <c r="M7340">
        <f>LET(
    seasoning_years,DATEDIF('Loan Tape (S&amp;P)'!K7340,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40">
        <f>IF(AND('Loan Tape (S&amp;P)'!U7340="Yes",
        'Loan Tape (S&amp;P)'!T7340&lt;&gt;"Yes",
        DATEDIF('Loan Tape (S&amp;P)'!K7340, TODAY(), "M")&lt;18),
    1.10,
    1.00)</f>
        <v/>
      </c>
      <c r="O7340">
        <f>IF('Loan Tape (S&amp;P)'!T7340="Yes",
    1.35,
    1.00)</f>
        <v/>
      </c>
      <c r="P7340">
        <f>IF('Loan Tape (S&amp;P)'!S7340="Yes",
    1.15,
    1.00)</f>
        <v/>
      </c>
      <c r="Q7340">
        <f>IF('Loan Tape (S&amp;P)'!V7340="Yes",
    1.20,
    1.00)</f>
        <v/>
      </c>
      <c r="T7340">
        <f>LET(
    payment_method,'Loan Tape (S&amp;P)'!P7340,
    occupancy,'Loan Tape (S&amp;P)'!N7340,
    maturity_date,'Loan Tape (S&amp;P)'!L7340,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41">
      <c r="J7341">
        <f>LET(
    lien,'Loan Tape (S&amp;P)'!Q7341,
    IF(lien="First",1.00,
        IF(lien="Second",1.50,
            1.70)))</f>
        <v/>
      </c>
      <c r="K7341">
        <f>LET(
    purpose,'Loan Tape (S&amp;P)'!R7341,
    IF(purpose="Purchase",1.00,
        IF(purpose="Remortgage",1.00,
            1.20)))</f>
        <v/>
      </c>
      <c r="L7341">
        <f>LET(
    arrears_months,'Loan Tape (S&amp;P)'!AN7341,
    IF(arrears_months=0,1.00,
    IF(arrears_months=1,3.00,
    IF(arrears_months=2,5.00,
    IF(arrears_months=3,8.00,
    IF(arrears_months=4,10.00,
    IF(arrears_months=5,12.00,15.00)))))))</f>
        <v/>
      </c>
      <c r="M7341">
        <f>LET(
    seasoning_years,DATEDIF('Loan Tape (S&amp;P)'!K7341,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41">
        <f>IF(AND('Loan Tape (S&amp;P)'!U7341="Yes",
        'Loan Tape (S&amp;P)'!T7341&lt;&gt;"Yes",
        DATEDIF('Loan Tape (S&amp;P)'!K7341, TODAY(), "M")&lt;18),
    1.10,
    1.00)</f>
        <v/>
      </c>
      <c r="O7341">
        <f>IF('Loan Tape (S&amp;P)'!T7341="Yes",
    1.35,
    1.00)</f>
        <v/>
      </c>
      <c r="P7341">
        <f>IF('Loan Tape (S&amp;P)'!S7341="Yes",
    1.15,
    1.00)</f>
        <v/>
      </c>
      <c r="Q7341">
        <f>IF('Loan Tape (S&amp;P)'!V7341="Yes",
    1.20,
    1.00)</f>
        <v/>
      </c>
      <c r="T7341">
        <f>LET(
    payment_method,'Loan Tape (S&amp;P)'!P7341,
    occupancy,'Loan Tape (S&amp;P)'!N7341,
    maturity_date,'Loan Tape (S&amp;P)'!L7341,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42">
      <c r="J7342">
        <f>LET(
    lien,'Loan Tape (S&amp;P)'!Q7342,
    IF(lien="First",1.00,
        IF(lien="Second",1.50,
            1.70)))</f>
        <v/>
      </c>
      <c r="K7342">
        <f>LET(
    purpose,'Loan Tape (S&amp;P)'!R7342,
    IF(purpose="Purchase",1.00,
        IF(purpose="Remortgage",1.00,
            1.20)))</f>
        <v/>
      </c>
      <c r="L7342">
        <f>LET(
    arrears_months,'Loan Tape (S&amp;P)'!AN7342,
    IF(arrears_months=0,1.00,
    IF(arrears_months=1,3.00,
    IF(arrears_months=2,5.00,
    IF(arrears_months=3,8.00,
    IF(arrears_months=4,10.00,
    IF(arrears_months=5,12.00,15.00)))))))</f>
        <v/>
      </c>
      <c r="M7342">
        <f>LET(
    seasoning_years,DATEDIF('Loan Tape (S&amp;P)'!K7342,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42">
        <f>IF(AND('Loan Tape (S&amp;P)'!U7342="Yes",
        'Loan Tape (S&amp;P)'!T7342&lt;&gt;"Yes",
        DATEDIF('Loan Tape (S&amp;P)'!K7342, TODAY(), "M")&lt;18),
    1.10,
    1.00)</f>
        <v/>
      </c>
      <c r="O7342">
        <f>IF('Loan Tape (S&amp;P)'!T7342="Yes",
    1.35,
    1.00)</f>
        <v/>
      </c>
      <c r="P7342">
        <f>IF('Loan Tape (S&amp;P)'!S7342="Yes",
    1.15,
    1.00)</f>
        <v/>
      </c>
      <c r="Q7342">
        <f>IF('Loan Tape (S&amp;P)'!V7342="Yes",
    1.20,
    1.00)</f>
        <v/>
      </c>
      <c r="T7342">
        <f>LET(
    payment_method,'Loan Tape (S&amp;P)'!P7342,
    occupancy,'Loan Tape (S&amp;P)'!N7342,
    maturity_date,'Loan Tape (S&amp;P)'!L7342,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43">
      <c r="J7343">
        <f>LET(
    lien,'Loan Tape (S&amp;P)'!Q7343,
    IF(lien="First",1.00,
        IF(lien="Second",1.50,
            1.70)))</f>
        <v/>
      </c>
      <c r="K7343">
        <f>LET(
    purpose,'Loan Tape (S&amp;P)'!R7343,
    IF(purpose="Purchase",1.00,
        IF(purpose="Remortgage",1.00,
            1.20)))</f>
        <v/>
      </c>
      <c r="L7343">
        <f>LET(
    arrears_months,'Loan Tape (S&amp;P)'!AN7343,
    IF(arrears_months=0,1.00,
    IF(arrears_months=1,3.00,
    IF(arrears_months=2,5.00,
    IF(arrears_months=3,8.00,
    IF(arrears_months=4,10.00,
    IF(arrears_months=5,12.00,15.00)))))))</f>
        <v/>
      </c>
      <c r="M7343">
        <f>LET(
    seasoning_years,DATEDIF('Loan Tape (S&amp;P)'!K7343,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43">
        <f>IF(AND('Loan Tape (S&amp;P)'!U7343="Yes",
        'Loan Tape (S&amp;P)'!T7343&lt;&gt;"Yes",
        DATEDIF('Loan Tape (S&amp;P)'!K7343, TODAY(), "M")&lt;18),
    1.10,
    1.00)</f>
        <v/>
      </c>
      <c r="O7343">
        <f>IF('Loan Tape (S&amp;P)'!T7343="Yes",
    1.35,
    1.00)</f>
        <v/>
      </c>
      <c r="P7343">
        <f>IF('Loan Tape (S&amp;P)'!S7343="Yes",
    1.15,
    1.00)</f>
        <v/>
      </c>
      <c r="Q7343">
        <f>IF('Loan Tape (S&amp;P)'!V7343="Yes",
    1.20,
    1.00)</f>
        <v/>
      </c>
      <c r="T7343">
        <f>LET(
    payment_method,'Loan Tape (S&amp;P)'!P7343,
    occupancy,'Loan Tape (S&amp;P)'!N7343,
    maturity_date,'Loan Tape (S&amp;P)'!L7343,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44">
      <c r="J7344">
        <f>LET(
    lien,'Loan Tape (S&amp;P)'!Q7344,
    IF(lien="First",1.00,
        IF(lien="Second",1.50,
            1.70)))</f>
        <v/>
      </c>
      <c r="K7344">
        <f>LET(
    purpose,'Loan Tape (S&amp;P)'!R7344,
    IF(purpose="Purchase",1.00,
        IF(purpose="Remortgage",1.00,
            1.20)))</f>
        <v/>
      </c>
      <c r="L7344">
        <f>LET(
    arrears_months,'Loan Tape (S&amp;P)'!AN7344,
    IF(arrears_months=0,1.00,
    IF(arrears_months=1,3.00,
    IF(arrears_months=2,5.00,
    IF(arrears_months=3,8.00,
    IF(arrears_months=4,10.00,
    IF(arrears_months=5,12.00,15.00)))))))</f>
        <v/>
      </c>
      <c r="M7344">
        <f>LET(
    seasoning_years,DATEDIF('Loan Tape (S&amp;P)'!K7344,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44">
        <f>IF(AND('Loan Tape (S&amp;P)'!U7344="Yes",
        'Loan Tape (S&amp;P)'!T7344&lt;&gt;"Yes",
        DATEDIF('Loan Tape (S&amp;P)'!K7344, TODAY(), "M")&lt;18),
    1.10,
    1.00)</f>
        <v/>
      </c>
      <c r="O7344">
        <f>IF('Loan Tape (S&amp;P)'!T7344="Yes",
    1.35,
    1.00)</f>
        <v/>
      </c>
      <c r="P7344">
        <f>IF('Loan Tape (S&amp;P)'!S7344="Yes",
    1.15,
    1.00)</f>
        <v/>
      </c>
      <c r="Q7344">
        <f>IF('Loan Tape (S&amp;P)'!V7344="Yes",
    1.20,
    1.00)</f>
        <v/>
      </c>
      <c r="T7344">
        <f>LET(
    payment_method,'Loan Tape (S&amp;P)'!P7344,
    occupancy,'Loan Tape (S&amp;P)'!N7344,
    maturity_date,'Loan Tape (S&amp;P)'!L7344,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45">
      <c r="J7345">
        <f>LET(
    lien,'Loan Tape (S&amp;P)'!Q7345,
    IF(lien="First",1.00,
        IF(lien="Second",1.50,
            1.70)))</f>
        <v/>
      </c>
      <c r="K7345">
        <f>LET(
    purpose,'Loan Tape (S&amp;P)'!R7345,
    IF(purpose="Purchase",1.00,
        IF(purpose="Remortgage",1.00,
            1.20)))</f>
        <v/>
      </c>
      <c r="L7345">
        <f>LET(
    arrears_months,'Loan Tape (S&amp;P)'!AN7345,
    IF(arrears_months=0,1.00,
    IF(arrears_months=1,3.00,
    IF(arrears_months=2,5.00,
    IF(arrears_months=3,8.00,
    IF(arrears_months=4,10.00,
    IF(arrears_months=5,12.00,15.00)))))))</f>
        <v/>
      </c>
      <c r="M7345">
        <f>LET(
    seasoning_years,DATEDIF('Loan Tape (S&amp;P)'!K7345,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45">
        <f>IF(AND('Loan Tape (S&amp;P)'!U7345="Yes",
        'Loan Tape (S&amp;P)'!T7345&lt;&gt;"Yes",
        DATEDIF('Loan Tape (S&amp;P)'!K7345, TODAY(), "M")&lt;18),
    1.10,
    1.00)</f>
        <v/>
      </c>
      <c r="O7345">
        <f>IF('Loan Tape (S&amp;P)'!T7345="Yes",
    1.35,
    1.00)</f>
        <v/>
      </c>
      <c r="P7345">
        <f>IF('Loan Tape (S&amp;P)'!S7345="Yes",
    1.15,
    1.00)</f>
        <v/>
      </c>
      <c r="Q7345">
        <f>IF('Loan Tape (S&amp;P)'!V7345="Yes",
    1.20,
    1.00)</f>
        <v/>
      </c>
      <c r="T7345">
        <f>LET(
    payment_method,'Loan Tape (S&amp;P)'!P7345,
    occupancy,'Loan Tape (S&amp;P)'!N7345,
    maturity_date,'Loan Tape (S&amp;P)'!L7345,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46">
      <c r="J7346">
        <f>LET(
    lien,'Loan Tape (S&amp;P)'!Q7346,
    IF(lien="First",1.00,
        IF(lien="Second",1.50,
            1.70)))</f>
        <v/>
      </c>
      <c r="K7346">
        <f>LET(
    purpose,'Loan Tape (S&amp;P)'!R7346,
    IF(purpose="Purchase",1.00,
        IF(purpose="Remortgage",1.00,
            1.20)))</f>
        <v/>
      </c>
      <c r="L7346">
        <f>LET(
    arrears_months,'Loan Tape (S&amp;P)'!AN7346,
    IF(arrears_months=0,1.00,
    IF(arrears_months=1,3.00,
    IF(arrears_months=2,5.00,
    IF(arrears_months=3,8.00,
    IF(arrears_months=4,10.00,
    IF(arrears_months=5,12.00,15.00)))))))</f>
        <v/>
      </c>
      <c r="M7346">
        <f>LET(
    seasoning_years,DATEDIF('Loan Tape (S&amp;P)'!K7346,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46">
        <f>IF(AND('Loan Tape (S&amp;P)'!U7346="Yes",
        'Loan Tape (S&amp;P)'!T7346&lt;&gt;"Yes",
        DATEDIF('Loan Tape (S&amp;P)'!K7346, TODAY(), "M")&lt;18),
    1.10,
    1.00)</f>
        <v/>
      </c>
      <c r="O7346">
        <f>IF('Loan Tape (S&amp;P)'!T7346="Yes",
    1.35,
    1.00)</f>
        <v/>
      </c>
      <c r="P7346">
        <f>IF('Loan Tape (S&amp;P)'!S7346="Yes",
    1.15,
    1.00)</f>
        <v/>
      </c>
      <c r="Q7346">
        <f>IF('Loan Tape (S&amp;P)'!V7346="Yes",
    1.20,
    1.00)</f>
        <v/>
      </c>
      <c r="T7346">
        <f>LET(
    payment_method,'Loan Tape (S&amp;P)'!P7346,
    occupancy,'Loan Tape (S&amp;P)'!N7346,
    maturity_date,'Loan Tape (S&amp;P)'!L7346,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47">
      <c r="J7347">
        <f>LET(
    lien,'Loan Tape (S&amp;P)'!Q7347,
    IF(lien="First",1.00,
        IF(lien="Second",1.50,
            1.70)))</f>
        <v/>
      </c>
      <c r="K7347">
        <f>LET(
    purpose,'Loan Tape (S&amp;P)'!R7347,
    IF(purpose="Purchase",1.00,
        IF(purpose="Remortgage",1.00,
            1.20)))</f>
        <v/>
      </c>
      <c r="L7347">
        <f>LET(
    arrears_months,'Loan Tape (S&amp;P)'!AN7347,
    IF(arrears_months=0,1.00,
    IF(arrears_months=1,3.00,
    IF(arrears_months=2,5.00,
    IF(arrears_months=3,8.00,
    IF(arrears_months=4,10.00,
    IF(arrears_months=5,12.00,15.00)))))))</f>
        <v/>
      </c>
      <c r="M7347">
        <f>LET(
    seasoning_years,DATEDIF('Loan Tape (S&amp;P)'!K7347,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47">
        <f>IF(AND('Loan Tape (S&amp;P)'!U7347="Yes",
        'Loan Tape (S&amp;P)'!T7347&lt;&gt;"Yes",
        DATEDIF('Loan Tape (S&amp;P)'!K7347, TODAY(), "M")&lt;18),
    1.10,
    1.00)</f>
        <v/>
      </c>
      <c r="O7347">
        <f>IF('Loan Tape (S&amp;P)'!T7347="Yes",
    1.35,
    1.00)</f>
        <v/>
      </c>
      <c r="P7347">
        <f>IF('Loan Tape (S&amp;P)'!S7347="Yes",
    1.15,
    1.00)</f>
        <v/>
      </c>
      <c r="Q7347">
        <f>IF('Loan Tape (S&amp;P)'!V7347="Yes",
    1.20,
    1.00)</f>
        <v/>
      </c>
      <c r="T7347">
        <f>LET(
    payment_method,'Loan Tape (S&amp;P)'!P7347,
    occupancy,'Loan Tape (S&amp;P)'!N7347,
    maturity_date,'Loan Tape (S&amp;P)'!L7347,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48">
      <c r="J7348">
        <f>LET(
    lien,'Loan Tape (S&amp;P)'!Q7348,
    IF(lien="First",1.00,
        IF(lien="Second",1.50,
            1.70)))</f>
        <v/>
      </c>
      <c r="K7348">
        <f>LET(
    purpose,'Loan Tape (S&amp;P)'!R7348,
    IF(purpose="Purchase",1.00,
        IF(purpose="Remortgage",1.00,
            1.20)))</f>
        <v/>
      </c>
      <c r="L7348">
        <f>LET(
    arrears_months,'Loan Tape (S&amp;P)'!AN7348,
    IF(arrears_months=0,1.00,
    IF(arrears_months=1,3.00,
    IF(arrears_months=2,5.00,
    IF(arrears_months=3,8.00,
    IF(arrears_months=4,10.00,
    IF(arrears_months=5,12.00,15.00)))))))</f>
        <v/>
      </c>
      <c r="M7348">
        <f>LET(
    seasoning_years,DATEDIF('Loan Tape (S&amp;P)'!K7348,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48">
        <f>IF(AND('Loan Tape (S&amp;P)'!U7348="Yes",
        'Loan Tape (S&amp;P)'!T7348&lt;&gt;"Yes",
        DATEDIF('Loan Tape (S&amp;P)'!K7348, TODAY(), "M")&lt;18),
    1.10,
    1.00)</f>
        <v/>
      </c>
      <c r="O7348">
        <f>IF('Loan Tape (S&amp;P)'!T7348="Yes",
    1.35,
    1.00)</f>
        <v/>
      </c>
      <c r="P7348">
        <f>IF('Loan Tape (S&amp;P)'!S7348="Yes",
    1.15,
    1.00)</f>
        <v/>
      </c>
      <c r="Q7348">
        <f>IF('Loan Tape (S&amp;P)'!V7348="Yes",
    1.20,
    1.00)</f>
        <v/>
      </c>
      <c r="T7348">
        <f>LET(
    payment_method,'Loan Tape (S&amp;P)'!P7348,
    occupancy,'Loan Tape (S&amp;P)'!N7348,
    maturity_date,'Loan Tape (S&amp;P)'!L7348,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49">
      <c r="J7349">
        <f>LET(
    lien,'Loan Tape (S&amp;P)'!Q7349,
    IF(lien="First",1.00,
        IF(lien="Second",1.50,
            1.70)))</f>
        <v/>
      </c>
      <c r="K7349">
        <f>LET(
    purpose,'Loan Tape (S&amp;P)'!R7349,
    IF(purpose="Purchase",1.00,
        IF(purpose="Remortgage",1.00,
            1.20)))</f>
        <v/>
      </c>
      <c r="L7349">
        <f>LET(
    arrears_months,'Loan Tape (S&amp;P)'!AN7349,
    IF(arrears_months=0,1.00,
    IF(arrears_months=1,3.00,
    IF(arrears_months=2,5.00,
    IF(arrears_months=3,8.00,
    IF(arrears_months=4,10.00,
    IF(arrears_months=5,12.00,15.00)))))))</f>
        <v/>
      </c>
      <c r="M7349">
        <f>LET(
    seasoning_years,DATEDIF('Loan Tape (S&amp;P)'!K7349,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49">
        <f>IF(AND('Loan Tape (S&amp;P)'!U7349="Yes",
        'Loan Tape (S&amp;P)'!T7349&lt;&gt;"Yes",
        DATEDIF('Loan Tape (S&amp;P)'!K7349, TODAY(), "M")&lt;18),
    1.10,
    1.00)</f>
        <v/>
      </c>
      <c r="O7349">
        <f>IF('Loan Tape (S&amp;P)'!T7349="Yes",
    1.35,
    1.00)</f>
        <v/>
      </c>
      <c r="P7349">
        <f>IF('Loan Tape (S&amp;P)'!S7349="Yes",
    1.15,
    1.00)</f>
        <v/>
      </c>
      <c r="Q7349">
        <f>IF('Loan Tape (S&amp;P)'!V7349="Yes",
    1.20,
    1.00)</f>
        <v/>
      </c>
      <c r="T7349">
        <f>LET(
    payment_method,'Loan Tape (S&amp;P)'!P7349,
    occupancy,'Loan Tape (S&amp;P)'!N7349,
    maturity_date,'Loan Tape (S&amp;P)'!L7349,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50">
      <c r="J7350">
        <f>LET(
    lien,'Loan Tape (S&amp;P)'!Q7350,
    IF(lien="First",1.00,
        IF(lien="Second",1.50,
            1.70)))</f>
        <v/>
      </c>
      <c r="K7350">
        <f>LET(
    purpose,'Loan Tape (S&amp;P)'!R7350,
    IF(purpose="Purchase",1.00,
        IF(purpose="Remortgage",1.00,
            1.20)))</f>
        <v/>
      </c>
      <c r="L7350">
        <f>LET(
    arrears_months,'Loan Tape (S&amp;P)'!AN7350,
    IF(arrears_months=0,1.00,
    IF(arrears_months=1,3.00,
    IF(arrears_months=2,5.00,
    IF(arrears_months=3,8.00,
    IF(arrears_months=4,10.00,
    IF(arrears_months=5,12.00,15.00)))))))</f>
        <v/>
      </c>
      <c r="M7350">
        <f>LET(
    seasoning_years,DATEDIF('Loan Tape (S&amp;P)'!K7350,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50">
        <f>IF(AND('Loan Tape (S&amp;P)'!U7350="Yes",
        'Loan Tape (S&amp;P)'!T7350&lt;&gt;"Yes",
        DATEDIF('Loan Tape (S&amp;P)'!K7350, TODAY(), "M")&lt;18),
    1.10,
    1.00)</f>
        <v/>
      </c>
      <c r="O7350">
        <f>IF('Loan Tape (S&amp;P)'!T7350="Yes",
    1.35,
    1.00)</f>
        <v/>
      </c>
      <c r="P7350">
        <f>IF('Loan Tape (S&amp;P)'!S7350="Yes",
    1.15,
    1.00)</f>
        <v/>
      </c>
      <c r="Q7350">
        <f>IF('Loan Tape (S&amp;P)'!V7350="Yes",
    1.20,
    1.00)</f>
        <v/>
      </c>
      <c r="T7350">
        <f>LET(
    payment_method,'Loan Tape (S&amp;P)'!P7350,
    occupancy,'Loan Tape (S&amp;P)'!N7350,
    maturity_date,'Loan Tape (S&amp;P)'!L7350,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51">
      <c r="J7351">
        <f>LET(
    lien,'Loan Tape (S&amp;P)'!Q7351,
    IF(lien="First",1.00,
        IF(lien="Second",1.50,
            1.70)))</f>
        <v/>
      </c>
      <c r="K7351">
        <f>LET(
    purpose,'Loan Tape (S&amp;P)'!R7351,
    IF(purpose="Purchase",1.00,
        IF(purpose="Remortgage",1.00,
            1.20)))</f>
        <v/>
      </c>
      <c r="L7351">
        <f>LET(
    arrears_months,'Loan Tape (S&amp;P)'!AN7351,
    IF(arrears_months=0,1.00,
    IF(arrears_months=1,3.00,
    IF(arrears_months=2,5.00,
    IF(arrears_months=3,8.00,
    IF(arrears_months=4,10.00,
    IF(arrears_months=5,12.00,15.00)))))))</f>
        <v/>
      </c>
      <c r="M7351">
        <f>LET(
    seasoning_years,DATEDIF('Loan Tape (S&amp;P)'!K7351,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51">
        <f>IF(AND('Loan Tape (S&amp;P)'!U7351="Yes",
        'Loan Tape (S&amp;P)'!T7351&lt;&gt;"Yes",
        DATEDIF('Loan Tape (S&amp;P)'!K7351, TODAY(), "M")&lt;18),
    1.10,
    1.00)</f>
        <v/>
      </c>
      <c r="O7351">
        <f>IF('Loan Tape (S&amp;P)'!T7351="Yes",
    1.35,
    1.00)</f>
        <v/>
      </c>
      <c r="P7351">
        <f>IF('Loan Tape (S&amp;P)'!S7351="Yes",
    1.15,
    1.00)</f>
        <v/>
      </c>
      <c r="Q7351">
        <f>IF('Loan Tape (S&amp;P)'!V7351="Yes",
    1.20,
    1.00)</f>
        <v/>
      </c>
      <c r="T7351">
        <f>LET(
    payment_method,'Loan Tape (S&amp;P)'!P7351,
    occupancy,'Loan Tape (S&amp;P)'!N7351,
    maturity_date,'Loan Tape (S&amp;P)'!L7351,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52">
      <c r="J7352">
        <f>LET(
    lien,'Loan Tape (S&amp;P)'!Q7352,
    IF(lien="First",1.00,
        IF(lien="Second",1.50,
            1.70)))</f>
        <v/>
      </c>
      <c r="K7352">
        <f>LET(
    purpose,'Loan Tape (S&amp;P)'!R7352,
    IF(purpose="Purchase",1.00,
        IF(purpose="Remortgage",1.00,
            1.20)))</f>
        <v/>
      </c>
      <c r="L7352">
        <f>LET(
    arrears_months,'Loan Tape (S&amp;P)'!AN7352,
    IF(arrears_months=0,1.00,
    IF(arrears_months=1,3.00,
    IF(arrears_months=2,5.00,
    IF(arrears_months=3,8.00,
    IF(arrears_months=4,10.00,
    IF(arrears_months=5,12.00,15.00)))))))</f>
        <v/>
      </c>
      <c r="M7352">
        <f>LET(
    seasoning_years,DATEDIF('Loan Tape (S&amp;P)'!K7352,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52">
        <f>IF(AND('Loan Tape (S&amp;P)'!U7352="Yes",
        'Loan Tape (S&amp;P)'!T7352&lt;&gt;"Yes",
        DATEDIF('Loan Tape (S&amp;P)'!K7352, TODAY(), "M")&lt;18),
    1.10,
    1.00)</f>
        <v/>
      </c>
      <c r="O7352">
        <f>IF('Loan Tape (S&amp;P)'!T7352="Yes",
    1.35,
    1.00)</f>
        <v/>
      </c>
      <c r="P7352">
        <f>IF('Loan Tape (S&amp;P)'!S7352="Yes",
    1.15,
    1.00)</f>
        <v/>
      </c>
      <c r="Q7352">
        <f>IF('Loan Tape (S&amp;P)'!V7352="Yes",
    1.20,
    1.00)</f>
        <v/>
      </c>
      <c r="T7352">
        <f>LET(
    payment_method,'Loan Tape (S&amp;P)'!P7352,
    occupancy,'Loan Tape (S&amp;P)'!N7352,
    maturity_date,'Loan Tape (S&amp;P)'!L7352,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53">
      <c r="J7353">
        <f>LET(
    lien,'Loan Tape (S&amp;P)'!Q7353,
    IF(lien="First",1.00,
        IF(lien="Second",1.50,
            1.70)))</f>
        <v/>
      </c>
      <c r="K7353">
        <f>LET(
    purpose,'Loan Tape (S&amp;P)'!R7353,
    IF(purpose="Purchase",1.00,
        IF(purpose="Remortgage",1.00,
            1.20)))</f>
        <v/>
      </c>
      <c r="L7353">
        <f>LET(
    arrears_months,'Loan Tape (S&amp;P)'!AN7353,
    IF(arrears_months=0,1.00,
    IF(arrears_months=1,3.00,
    IF(arrears_months=2,5.00,
    IF(arrears_months=3,8.00,
    IF(arrears_months=4,10.00,
    IF(arrears_months=5,12.00,15.00)))))))</f>
        <v/>
      </c>
      <c r="M7353">
        <f>LET(
    seasoning_years,DATEDIF('Loan Tape (S&amp;P)'!K7353,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53">
        <f>IF(AND('Loan Tape (S&amp;P)'!U7353="Yes",
        'Loan Tape (S&amp;P)'!T7353&lt;&gt;"Yes",
        DATEDIF('Loan Tape (S&amp;P)'!K7353, TODAY(), "M")&lt;18),
    1.10,
    1.00)</f>
        <v/>
      </c>
      <c r="O7353">
        <f>IF('Loan Tape (S&amp;P)'!T7353="Yes",
    1.35,
    1.00)</f>
        <v/>
      </c>
      <c r="P7353">
        <f>IF('Loan Tape (S&amp;P)'!S7353="Yes",
    1.15,
    1.00)</f>
        <v/>
      </c>
      <c r="Q7353">
        <f>IF('Loan Tape (S&amp;P)'!V7353="Yes",
    1.20,
    1.00)</f>
        <v/>
      </c>
      <c r="T7353">
        <f>LET(
    payment_method,'Loan Tape (S&amp;P)'!P7353,
    occupancy,'Loan Tape (S&amp;P)'!N7353,
    maturity_date,'Loan Tape (S&amp;P)'!L7353,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54">
      <c r="J7354">
        <f>LET(
    lien,'Loan Tape (S&amp;P)'!Q7354,
    IF(lien="First",1.00,
        IF(lien="Second",1.50,
            1.70)))</f>
        <v/>
      </c>
      <c r="K7354">
        <f>LET(
    purpose,'Loan Tape (S&amp;P)'!R7354,
    IF(purpose="Purchase",1.00,
        IF(purpose="Remortgage",1.00,
            1.20)))</f>
        <v/>
      </c>
      <c r="L7354">
        <f>LET(
    arrears_months,'Loan Tape (S&amp;P)'!AN7354,
    IF(arrears_months=0,1.00,
    IF(arrears_months=1,3.00,
    IF(arrears_months=2,5.00,
    IF(arrears_months=3,8.00,
    IF(arrears_months=4,10.00,
    IF(arrears_months=5,12.00,15.00)))))))</f>
        <v/>
      </c>
      <c r="M7354">
        <f>LET(
    seasoning_years,DATEDIF('Loan Tape (S&amp;P)'!K7354,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54">
        <f>IF(AND('Loan Tape (S&amp;P)'!U7354="Yes",
        'Loan Tape (S&amp;P)'!T7354&lt;&gt;"Yes",
        DATEDIF('Loan Tape (S&amp;P)'!K7354, TODAY(), "M")&lt;18),
    1.10,
    1.00)</f>
        <v/>
      </c>
      <c r="O7354">
        <f>IF('Loan Tape (S&amp;P)'!T7354="Yes",
    1.35,
    1.00)</f>
        <v/>
      </c>
      <c r="P7354">
        <f>IF('Loan Tape (S&amp;P)'!S7354="Yes",
    1.15,
    1.00)</f>
        <v/>
      </c>
      <c r="Q7354">
        <f>IF('Loan Tape (S&amp;P)'!V7354="Yes",
    1.20,
    1.00)</f>
        <v/>
      </c>
      <c r="T7354">
        <f>LET(
    payment_method,'Loan Tape (S&amp;P)'!P7354,
    occupancy,'Loan Tape (S&amp;P)'!N7354,
    maturity_date,'Loan Tape (S&amp;P)'!L7354,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55">
      <c r="J7355">
        <f>LET(
    lien,'Loan Tape (S&amp;P)'!Q7355,
    IF(lien="First",1.00,
        IF(lien="Second",1.50,
            1.70)))</f>
        <v/>
      </c>
      <c r="K7355">
        <f>LET(
    purpose,'Loan Tape (S&amp;P)'!R7355,
    IF(purpose="Purchase",1.00,
        IF(purpose="Remortgage",1.00,
            1.20)))</f>
        <v/>
      </c>
      <c r="L7355">
        <f>LET(
    arrears_months,'Loan Tape (S&amp;P)'!AN7355,
    IF(arrears_months=0,1.00,
    IF(arrears_months=1,3.00,
    IF(arrears_months=2,5.00,
    IF(arrears_months=3,8.00,
    IF(arrears_months=4,10.00,
    IF(arrears_months=5,12.00,15.00)))))))</f>
        <v/>
      </c>
      <c r="M7355">
        <f>LET(
    seasoning_years,DATEDIF('Loan Tape (S&amp;P)'!K7355,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55">
        <f>IF(AND('Loan Tape (S&amp;P)'!U7355="Yes",
        'Loan Tape (S&amp;P)'!T7355&lt;&gt;"Yes",
        DATEDIF('Loan Tape (S&amp;P)'!K7355, TODAY(), "M")&lt;18),
    1.10,
    1.00)</f>
        <v/>
      </c>
      <c r="O7355">
        <f>IF('Loan Tape (S&amp;P)'!T7355="Yes",
    1.35,
    1.00)</f>
        <v/>
      </c>
      <c r="P7355">
        <f>IF('Loan Tape (S&amp;P)'!S7355="Yes",
    1.15,
    1.00)</f>
        <v/>
      </c>
      <c r="Q7355">
        <f>IF('Loan Tape (S&amp;P)'!V7355="Yes",
    1.20,
    1.00)</f>
        <v/>
      </c>
      <c r="T7355">
        <f>LET(
    payment_method,'Loan Tape (S&amp;P)'!P7355,
    occupancy,'Loan Tape (S&amp;P)'!N7355,
    maturity_date,'Loan Tape (S&amp;P)'!L7355,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56">
      <c r="J7356">
        <f>LET(
    lien,'Loan Tape (S&amp;P)'!Q7356,
    IF(lien="First",1.00,
        IF(lien="Second",1.50,
            1.70)))</f>
        <v/>
      </c>
      <c r="K7356">
        <f>LET(
    purpose,'Loan Tape (S&amp;P)'!R7356,
    IF(purpose="Purchase",1.00,
        IF(purpose="Remortgage",1.00,
            1.20)))</f>
        <v/>
      </c>
      <c r="L7356">
        <f>LET(
    arrears_months,'Loan Tape (S&amp;P)'!AN7356,
    IF(arrears_months=0,1.00,
    IF(arrears_months=1,3.00,
    IF(arrears_months=2,5.00,
    IF(arrears_months=3,8.00,
    IF(arrears_months=4,10.00,
    IF(arrears_months=5,12.00,15.00)))))))</f>
        <v/>
      </c>
      <c r="M7356">
        <f>LET(
    seasoning_years,DATEDIF('Loan Tape (S&amp;P)'!K7356,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56">
        <f>IF(AND('Loan Tape (S&amp;P)'!U7356="Yes",
        'Loan Tape (S&amp;P)'!T7356&lt;&gt;"Yes",
        DATEDIF('Loan Tape (S&amp;P)'!K7356, TODAY(), "M")&lt;18),
    1.10,
    1.00)</f>
        <v/>
      </c>
      <c r="O7356">
        <f>IF('Loan Tape (S&amp;P)'!T7356="Yes",
    1.35,
    1.00)</f>
        <v/>
      </c>
      <c r="P7356">
        <f>IF('Loan Tape (S&amp;P)'!S7356="Yes",
    1.15,
    1.00)</f>
        <v/>
      </c>
      <c r="Q7356">
        <f>IF('Loan Tape (S&amp;P)'!V7356="Yes",
    1.20,
    1.00)</f>
        <v/>
      </c>
      <c r="T7356">
        <f>LET(
    payment_method,'Loan Tape (S&amp;P)'!P7356,
    occupancy,'Loan Tape (S&amp;P)'!N7356,
    maturity_date,'Loan Tape (S&amp;P)'!L7356,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57">
      <c r="J7357">
        <f>LET(
    lien,'Loan Tape (S&amp;P)'!Q7357,
    IF(lien="First",1.00,
        IF(lien="Second",1.50,
            1.70)))</f>
        <v/>
      </c>
      <c r="K7357">
        <f>LET(
    purpose,'Loan Tape (S&amp;P)'!R7357,
    IF(purpose="Purchase",1.00,
        IF(purpose="Remortgage",1.00,
            1.20)))</f>
        <v/>
      </c>
      <c r="L7357">
        <f>LET(
    arrears_months,'Loan Tape (S&amp;P)'!AN7357,
    IF(arrears_months=0,1.00,
    IF(arrears_months=1,3.00,
    IF(arrears_months=2,5.00,
    IF(arrears_months=3,8.00,
    IF(arrears_months=4,10.00,
    IF(arrears_months=5,12.00,15.00)))))))</f>
        <v/>
      </c>
      <c r="M7357">
        <f>LET(
    seasoning_years,DATEDIF('Loan Tape (S&amp;P)'!K7357,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57">
        <f>IF(AND('Loan Tape (S&amp;P)'!U7357="Yes",
        'Loan Tape (S&amp;P)'!T7357&lt;&gt;"Yes",
        DATEDIF('Loan Tape (S&amp;P)'!K7357, TODAY(), "M")&lt;18),
    1.10,
    1.00)</f>
        <v/>
      </c>
      <c r="O7357">
        <f>IF('Loan Tape (S&amp;P)'!T7357="Yes",
    1.35,
    1.00)</f>
        <v/>
      </c>
      <c r="P7357">
        <f>IF('Loan Tape (S&amp;P)'!S7357="Yes",
    1.15,
    1.00)</f>
        <v/>
      </c>
      <c r="Q7357">
        <f>IF('Loan Tape (S&amp;P)'!V7357="Yes",
    1.20,
    1.00)</f>
        <v/>
      </c>
      <c r="T7357">
        <f>LET(
    payment_method,'Loan Tape (S&amp;P)'!P7357,
    occupancy,'Loan Tape (S&amp;P)'!N7357,
    maturity_date,'Loan Tape (S&amp;P)'!L7357,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58">
      <c r="J7358">
        <f>LET(
    lien,'Loan Tape (S&amp;P)'!Q7358,
    IF(lien="First",1.00,
        IF(lien="Second",1.50,
            1.70)))</f>
        <v/>
      </c>
      <c r="K7358">
        <f>LET(
    purpose,'Loan Tape (S&amp;P)'!R7358,
    IF(purpose="Purchase",1.00,
        IF(purpose="Remortgage",1.00,
            1.20)))</f>
        <v/>
      </c>
      <c r="L7358">
        <f>LET(
    arrears_months,'Loan Tape (S&amp;P)'!AN7358,
    IF(arrears_months=0,1.00,
    IF(arrears_months=1,3.00,
    IF(arrears_months=2,5.00,
    IF(arrears_months=3,8.00,
    IF(arrears_months=4,10.00,
    IF(arrears_months=5,12.00,15.00)))))))</f>
        <v/>
      </c>
      <c r="M7358">
        <f>LET(
    seasoning_years,DATEDIF('Loan Tape (S&amp;P)'!K7358,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58">
        <f>IF(AND('Loan Tape (S&amp;P)'!U7358="Yes",
        'Loan Tape (S&amp;P)'!T7358&lt;&gt;"Yes",
        DATEDIF('Loan Tape (S&amp;P)'!K7358, TODAY(), "M")&lt;18),
    1.10,
    1.00)</f>
        <v/>
      </c>
      <c r="O7358">
        <f>IF('Loan Tape (S&amp;P)'!T7358="Yes",
    1.35,
    1.00)</f>
        <v/>
      </c>
      <c r="P7358">
        <f>IF('Loan Tape (S&amp;P)'!S7358="Yes",
    1.15,
    1.00)</f>
        <v/>
      </c>
      <c r="Q7358">
        <f>IF('Loan Tape (S&amp;P)'!V7358="Yes",
    1.20,
    1.00)</f>
        <v/>
      </c>
      <c r="T7358">
        <f>LET(
    payment_method,'Loan Tape (S&amp;P)'!P7358,
    occupancy,'Loan Tape (S&amp;P)'!N7358,
    maturity_date,'Loan Tape (S&amp;P)'!L7358,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59">
      <c r="J7359">
        <f>LET(
    lien,'Loan Tape (S&amp;P)'!Q7359,
    IF(lien="First",1.00,
        IF(lien="Second",1.50,
            1.70)))</f>
        <v/>
      </c>
      <c r="K7359">
        <f>LET(
    purpose,'Loan Tape (S&amp;P)'!R7359,
    IF(purpose="Purchase",1.00,
        IF(purpose="Remortgage",1.00,
            1.20)))</f>
        <v/>
      </c>
      <c r="L7359">
        <f>LET(
    arrears_months,'Loan Tape (S&amp;P)'!AN7359,
    IF(arrears_months=0,1.00,
    IF(arrears_months=1,3.00,
    IF(arrears_months=2,5.00,
    IF(arrears_months=3,8.00,
    IF(arrears_months=4,10.00,
    IF(arrears_months=5,12.00,15.00)))))))</f>
        <v/>
      </c>
      <c r="M7359">
        <f>LET(
    seasoning_years,DATEDIF('Loan Tape (S&amp;P)'!K7359,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59">
        <f>IF(AND('Loan Tape (S&amp;P)'!U7359="Yes",
        'Loan Tape (S&amp;P)'!T7359&lt;&gt;"Yes",
        DATEDIF('Loan Tape (S&amp;P)'!K7359, TODAY(), "M")&lt;18),
    1.10,
    1.00)</f>
        <v/>
      </c>
      <c r="O7359">
        <f>IF('Loan Tape (S&amp;P)'!T7359="Yes",
    1.35,
    1.00)</f>
        <v/>
      </c>
      <c r="P7359">
        <f>IF('Loan Tape (S&amp;P)'!S7359="Yes",
    1.15,
    1.00)</f>
        <v/>
      </c>
      <c r="Q7359">
        <f>IF('Loan Tape (S&amp;P)'!V7359="Yes",
    1.20,
    1.00)</f>
        <v/>
      </c>
      <c r="T7359">
        <f>LET(
    payment_method,'Loan Tape (S&amp;P)'!P7359,
    occupancy,'Loan Tape (S&amp;P)'!N7359,
    maturity_date,'Loan Tape (S&amp;P)'!L7359,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60">
      <c r="J7360">
        <f>LET(
    lien,'Loan Tape (S&amp;P)'!Q7360,
    IF(lien="First",1.00,
        IF(lien="Second",1.50,
            1.70)))</f>
        <v/>
      </c>
      <c r="K7360">
        <f>LET(
    purpose,'Loan Tape (S&amp;P)'!R7360,
    IF(purpose="Purchase",1.00,
        IF(purpose="Remortgage",1.00,
            1.20)))</f>
        <v/>
      </c>
      <c r="L7360">
        <f>LET(
    arrears_months,'Loan Tape (S&amp;P)'!AN7360,
    IF(arrears_months=0,1.00,
    IF(arrears_months=1,3.00,
    IF(arrears_months=2,5.00,
    IF(arrears_months=3,8.00,
    IF(arrears_months=4,10.00,
    IF(arrears_months=5,12.00,15.00)))))))</f>
        <v/>
      </c>
      <c r="M7360">
        <f>LET(
    seasoning_years,DATEDIF('Loan Tape (S&amp;P)'!K7360,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60">
        <f>IF(AND('Loan Tape (S&amp;P)'!U7360="Yes",
        'Loan Tape (S&amp;P)'!T7360&lt;&gt;"Yes",
        DATEDIF('Loan Tape (S&amp;P)'!K7360, TODAY(), "M")&lt;18),
    1.10,
    1.00)</f>
        <v/>
      </c>
      <c r="O7360">
        <f>IF('Loan Tape (S&amp;P)'!T7360="Yes",
    1.35,
    1.00)</f>
        <v/>
      </c>
      <c r="P7360">
        <f>IF('Loan Tape (S&amp;P)'!S7360="Yes",
    1.15,
    1.00)</f>
        <v/>
      </c>
      <c r="Q7360">
        <f>IF('Loan Tape (S&amp;P)'!V7360="Yes",
    1.20,
    1.00)</f>
        <v/>
      </c>
      <c r="T7360">
        <f>LET(
    payment_method,'Loan Tape (S&amp;P)'!P7360,
    occupancy,'Loan Tape (S&amp;P)'!N7360,
    maturity_date,'Loan Tape (S&amp;P)'!L7360,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61">
      <c r="J7361">
        <f>LET(
    lien,'Loan Tape (S&amp;P)'!Q7361,
    IF(lien="First",1.00,
        IF(lien="Second",1.50,
            1.70)))</f>
        <v/>
      </c>
      <c r="K7361">
        <f>LET(
    purpose,'Loan Tape (S&amp;P)'!R7361,
    IF(purpose="Purchase",1.00,
        IF(purpose="Remortgage",1.00,
            1.20)))</f>
        <v/>
      </c>
      <c r="L7361">
        <f>LET(
    arrears_months,'Loan Tape (S&amp;P)'!AN7361,
    IF(arrears_months=0,1.00,
    IF(arrears_months=1,3.00,
    IF(arrears_months=2,5.00,
    IF(arrears_months=3,8.00,
    IF(arrears_months=4,10.00,
    IF(arrears_months=5,12.00,15.00)))))))</f>
        <v/>
      </c>
      <c r="M7361">
        <f>LET(
    seasoning_years,DATEDIF('Loan Tape (S&amp;P)'!K7361,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61">
        <f>IF(AND('Loan Tape (S&amp;P)'!U7361="Yes",
        'Loan Tape (S&amp;P)'!T7361&lt;&gt;"Yes",
        DATEDIF('Loan Tape (S&amp;P)'!K7361, TODAY(), "M")&lt;18),
    1.10,
    1.00)</f>
        <v/>
      </c>
      <c r="O7361">
        <f>IF('Loan Tape (S&amp;P)'!T7361="Yes",
    1.35,
    1.00)</f>
        <v/>
      </c>
      <c r="P7361">
        <f>IF('Loan Tape (S&amp;P)'!S7361="Yes",
    1.15,
    1.00)</f>
        <v/>
      </c>
      <c r="Q7361">
        <f>IF('Loan Tape (S&amp;P)'!V7361="Yes",
    1.20,
    1.00)</f>
        <v/>
      </c>
      <c r="T7361">
        <f>LET(
    payment_method,'Loan Tape (S&amp;P)'!P7361,
    occupancy,'Loan Tape (S&amp;P)'!N7361,
    maturity_date,'Loan Tape (S&amp;P)'!L7361,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62">
      <c r="J7362">
        <f>LET(
    lien,'Loan Tape (S&amp;P)'!Q7362,
    IF(lien="First",1.00,
        IF(lien="Second",1.50,
            1.70)))</f>
        <v/>
      </c>
      <c r="K7362">
        <f>LET(
    purpose,'Loan Tape (S&amp;P)'!R7362,
    IF(purpose="Purchase",1.00,
        IF(purpose="Remortgage",1.00,
            1.20)))</f>
        <v/>
      </c>
      <c r="L7362">
        <f>LET(
    arrears_months,'Loan Tape (S&amp;P)'!AN7362,
    IF(arrears_months=0,1.00,
    IF(arrears_months=1,3.00,
    IF(arrears_months=2,5.00,
    IF(arrears_months=3,8.00,
    IF(arrears_months=4,10.00,
    IF(arrears_months=5,12.00,15.00)))))))</f>
        <v/>
      </c>
      <c r="M7362">
        <f>LET(
    seasoning_years,DATEDIF('Loan Tape (S&amp;P)'!K7362,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62">
        <f>IF(AND('Loan Tape (S&amp;P)'!U7362="Yes",
        'Loan Tape (S&amp;P)'!T7362&lt;&gt;"Yes",
        DATEDIF('Loan Tape (S&amp;P)'!K7362, TODAY(), "M")&lt;18),
    1.10,
    1.00)</f>
        <v/>
      </c>
      <c r="O7362">
        <f>IF('Loan Tape (S&amp;P)'!T7362="Yes",
    1.35,
    1.00)</f>
        <v/>
      </c>
      <c r="P7362">
        <f>IF('Loan Tape (S&amp;P)'!S7362="Yes",
    1.15,
    1.00)</f>
        <v/>
      </c>
      <c r="Q7362">
        <f>IF('Loan Tape (S&amp;P)'!V7362="Yes",
    1.20,
    1.00)</f>
        <v/>
      </c>
      <c r="T7362">
        <f>LET(
    payment_method,'Loan Tape (S&amp;P)'!P7362,
    occupancy,'Loan Tape (S&amp;P)'!N7362,
    maturity_date,'Loan Tape (S&amp;P)'!L7362,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63">
      <c r="J7363">
        <f>LET(
    lien,'Loan Tape (S&amp;P)'!Q7363,
    IF(lien="First",1.00,
        IF(lien="Second",1.50,
            1.70)))</f>
        <v/>
      </c>
      <c r="K7363">
        <f>LET(
    purpose,'Loan Tape (S&amp;P)'!R7363,
    IF(purpose="Purchase",1.00,
        IF(purpose="Remortgage",1.00,
            1.20)))</f>
        <v/>
      </c>
      <c r="L7363">
        <f>LET(
    arrears_months,'Loan Tape (S&amp;P)'!AN7363,
    IF(arrears_months=0,1.00,
    IF(arrears_months=1,3.00,
    IF(arrears_months=2,5.00,
    IF(arrears_months=3,8.00,
    IF(arrears_months=4,10.00,
    IF(arrears_months=5,12.00,15.00)))))))</f>
        <v/>
      </c>
      <c r="M7363">
        <f>LET(
    seasoning_years,DATEDIF('Loan Tape (S&amp;P)'!K7363,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63">
        <f>IF(AND('Loan Tape (S&amp;P)'!U7363="Yes",
        'Loan Tape (S&amp;P)'!T7363&lt;&gt;"Yes",
        DATEDIF('Loan Tape (S&amp;P)'!K7363, TODAY(), "M")&lt;18),
    1.10,
    1.00)</f>
        <v/>
      </c>
      <c r="O7363">
        <f>IF('Loan Tape (S&amp;P)'!T7363="Yes",
    1.35,
    1.00)</f>
        <v/>
      </c>
      <c r="P7363">
        <f>IF('Loan Tape (S&amp;P)'!S7363="Yes",
    1.15,
    1.00)</f>
        <v/>
      </c>
      <c r="Q7363">
        <f>IF('Loan Tape (S&amp;P)'!V7363="Yes",
    1.20,
    1.00)</f>
        <v/>
      </c>
      <c r="T7363">
        <f>LET(
    payment_method,'Loan Tape (S&amp;P)'!P7363,
    occupancy,'Loan Tape (S&amp;P)'!N7363,
    maturity_date,'Loan Tape (S&amp;P)'!L7363,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64">
      <c r="J7364">
        <f>LET(
    lien,'Loan Tape (S&amp;P)'!Q7364,
    IF(lien="First",1.00,
        IF(lien="Second",1.50,
            1.70)))</f>
        <v/>
      </c>
      <c r="K7364">
        <f>LET(
    purpose,'Loan Tape (S&amp;P)'!R7364,
    IF(purpose="Purchase",1.00,
        IF(purpose="Remortgage",1.00,
            1.20)))</f>
        <v/>
      </c>
      <c r="L7364">
        <f>LET(
    arrears_months,'Loan Tape (S&amp;P)'!AN7364,
    IF(arrears_months=0,1.00,
    IF(arrears_months=1,3.00,
    IF(arrears_months=2,5.00,
    IF(arrears_months=3,8.00,
    IF(arrears_months=4,10.00,
    IF(arrears_months=5,12.00,15.00)))))))</f>
        <v/>
      </c>
      <c r="M7364">
        <f>LET(
    seasoning_years,DATEDIF('Loan Tape (S&amp;P)'!K7364,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64">
        <f>IF(AND('Loan Tape (S&amp;P)'!U7364="Yes",
        'Loan Tape (S&amp;P)'!T7364&lt;&gt;"Yes",
        DATEDIF('Loan Tape (S&amp;P)'!K7364, TODAY(), "M")&lt;18),
    1.10,
    1.00)</f>
        <v/>
      </c>
      <c r="O7364">
        <f>IF('Loan Tape (S&amp;P)'!T7364="Yes",
    1.35,
    1.00)</f>
        <v/>
      </c>
      <c r="P7364">
        <f>IF('Loan Tape (S&amp;P)'!S7364="Yes",
    1.15,
    1.00)</f>
        <v/>
      </c>
      <c r="Q7364">
        <f>IF('Loan Tape (S&amp;P)'!V7364="Yes",
    1.20,
    1.00)</f>
        <v/>
      </c>
      <c r="T7364">
        <f>LET(
    payment_method,'Loan Tape (S&amp;P)'!P7364,
    occupancy,'Loan Tape (S&amp;P)'!N7364,
    maturity_date,'Loan Tape (S&amp;P)'!L7364,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65">
      <c r="J7365">
        <f>LET(
    lien,'Loan Tape (S&amp;P)'!Q7365,
    IF(lien="First",1.00,
        IF(lien="Second",1.50,
            1.70)))</f>
        <v/>
      </c>
      <c r="K7365">
        <f>LET(
    purpose,'Loan Tape (S&amp;P)'!R7365,
    IF(purpose="Purchase",1.00,
        IF(purpose="Remortgage",1.00,
            1.20)))</f>
        <v/>
      </c>
      <c r="L7365">
        <f>LET(
    arrears_months,'Loan Tape (S&amp;P)'!AN7365,
    IF(arrears_months=0,1.00,
    IF(arrears_months=1,3.00,
    IF(arrears_months=2,5.00,
    IF(arrears_months=3,8.00,
    IF(arrears_months=4,10.00,
    IF(arrears_months=5,12.00,15.00)))))))</f>
        <v/>
      </c>
      <c r="M7365">
        <f>LET(
    seasoning_years,DATEDIF('Loan Tape (S&amp;P)'!K7365,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65">
        <f>IF(AND('Loan Tape (S&amp;P)'!U7365="Yes",
        'Loan Tape (S&amp;P)'!T7365&lt;&gt;"Yes",
        DATEDIF('Loan Tape (S&amp;P)'!K7365, TODAY(), "M")&lt;18),
    1.10,
    1.00)</f>
        <v/>
      </c>
      <c r="O7365">
        <f>IF('Loan Tape (S&amp;P)'!T7365="Yes",
    1.35,
    1.00)</f>
        <v/>
      </c>
      <c r="P7365">
        <f>IF('Loan Tape (S&amp;P)'!S7365="Yes",
    1.15,
    1.00)</f>
        <v/>
      </c>
      <c r="Q7365">
        <f>IF('Loan Tape (S&amp;P)'!V7365="Yes",
    1.20,
    1.00)</f>
        <v/>
      </c>
      <c r="T7365">
        <f>LET(
    payment_method,'Loan Tape (S&amp;P)'!P7365,
    occupancy,'Loan Tape (S&amp;P)'!N7365,
    maturity_date,'Loan Tape (S&amp;P)'!L7365,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66">
      <c r="J7366">
        <f>LET(
    lien,'Loan Tape (S&amp;P)'!Q7366,
    IF(lien="First",1.00,
        IF(lien="Second",1.50,
            1.70)))</f>
        <v/>
      </c>
      <c r="K7366">
        <f>LET(
    purpose,'Loan Tape (S&amp;P)'!R7366,
    IF(purpose="Purchase",1.00,
        IF(purpose="Remortgage",1.00,
            1.20)))</f>
        <v/>
      </c>
      <c r="L7366">
        <f>LET(
    arrears_months,'Loan Tape (S&amp;P)'!AN7366,
    IF(arrears_months=0,1.00,
    IF(arrears_months=1,3.00,
    IF(arrears_months=2,5.00,
    IF(arrears_months=3,8.00,
    IF(arrears_months=4,10.00,
    IF(arrears_months=5,12.00,15.00)))))))</f>
        <v/>
      </c>
      <c r="M7366">
        <f>LET(
    seasoning_years,DATEDIF('Loan Tape (S&amp;P)'!K7366,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66">
        <f>IF(AND('Loan Tape (S&amp;P)'!U7366="Yes",
        'Loan Tape (S&amp;P)'!T7366&lt;&gt;"Yes",
        DATEDIF('Loan Tape (S&amp;P)'!K7366, TODAY(), "M")&lt;18),
    1.10,
    1.00)</f>
        <v/>
      </c>
      <c r="O7366">
        <f>IF('Loan Tape (S&amp;P)'!T7366="Yes",
    1.35,
    1.00)</f>
        <v/>
      </c>
      <c r="P7366">
        <f>IF('Loan Tape (S&amp;P)'!S7366="Yes",
    1.15,
    1.00)</f>
        <v/>
      </c>
      <c r="Q7366">
        <f>IF('Loan Tape (S&amp;P)'!V7366="Yes",
    1.20,
    1.00)</f>
        <v/>
      </c>
      <c r="T7366">
        <f>LET(
    payment_method,'Loan Tape (S&amp;P)'!P7366,
    occupancy,'Loan Tape (S&amp;P)'!N7366,
    maturity_date,'Loan Tape (S&amp;P)'!L7366,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67">
      <c r="J7367">
        <f>LET(
    lien,'Loan Tape (S&amp;P)'!Q7367,
    IF(lien="First",1.00,
        IF(lien="Second",1.50,
            1.70)))</f>
        <v/>
      </c>
      <c r="K7367">
        <f>LET(
    purpose,'Loan Tape (S&amp;P)'!R7367,
    IF(purpose="Purchase",1.00,
        IF(purpose="Remortgage",1.00,
            1.20)))</f>
        <v/>
      </c>
      <c r="L7367">
        <f>LET(
    arrears_months,'Loan Tape (S&amp;P)'!AN7367,
    IF(arrears_months=0,1.00,
    IF(arrears_months=1,3.00,
    IF(arrears_months=2,5.00,
    IF(arrears_months=3,8.00,
    IF(arrears_months=4,10.00,
    IF(arrears_months=5,12.00,15.00)))))))</f>
        <v/>
      </c>
      <c r="M7367">
        <f>LET(
    seasoning_years,DATEDIF('Loan Tape (S&amp;P)'!K7367,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67">
        <f>IF(AND('Loan Tape (S&amp;P)'!U7367="Yes",
        'Loan Tape (S&amp;P)'!T7367&lt;&gt;"Yes",
        DATEDIF('Loan Tape (S&amp;P)'!K7367, TODAY(), "M")&lt;18),
    1.10,
    1.00)</f>
        <v/>
      </c>
      <c r="O7367">
        <f>IF('Loan Tape (S&amp;P)'!T7367="Yes",
    1.35,
    1.00)</f>
        <v/>
      </c>
      <c r="P7367">
        <f>IF('Loan Tape (S&amp;P)'!S7367="Yes",
    1.15,
    1.00)</f>
        <v/>
      </c>
      <c r="Q7367">
        <f>IF('Loan Tape (S&amp;P)'!V7367="Yes",
    1.20,
    1.00)</f>
        <v/>
      </c>
      <c r="T7367">
        <f>LET(
    payment_method,'Loan Tape (S&amp;P)'!P7367,
    occupancy,'Loan Tape (S&amp;P)'!N7367,
    maturity_date,'Loan Tape (S&amp;P)'!L7367,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68">
      <c r="J7368">
        <f>LET(
    lien,'Loan Tape (S&amp;P)'!Q7368,
    IF(lien="First",1.00,
        IF(lien="Second",1.50,
            1.70)))</f>
        <v/>
      </c>
      <c r="K7368">
        <f>LET(
    purpose,'Loan Tape (S&amp;P)'!R7368,
    IF(purpose="Purchase",1.00,
        IF(purpose="Remortgage",1.00,
            1.20)))</f>
        <v/>
      </c>
      <c r="L7368">
        <f>LET(
    arrears_months,'Loan Tape (S&amp;P)'!AN7368,
    IF(arrears_months=0,1.00,
    IF(arrears_months=1,3.00,
    IF(arrears_months=2,5.00,
    IF(arrears_months=3,8.00,
    IF(arrears_months=4,10.00,
    IF(arrears_months=5,12.00,15.00)))))))</f>
        <v/>
      </c>
      <c r="M7368">
        <f>LET(
    seasoning_years,DATEDIF('Loan Tape (S&amp;P)'!K7368,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68">
        <f>IF(AND('Loan Tape (S&amp;P)'!U7368="Yes",
        'Loan Tape (S&amp;P)'!T7368&lt;&gt;"Yes",
        DATEDIF('Loan Tape (S&amp;P)'!K7368, TODAY(), "M")&lt;18),
    1.10,
    1.00)</f>
        <v/>
      </c>
      <c r="O7368">
        <f>IF('Loan Tape (S&amp;P)'!T7368="Yes",
    1.35,
    1.00)</f>
        <v/>
      </c>
      <c r="P7368">
        <f>IF('Loan Tape (S&amp;P)'!S7368="Yes",
    1.15,
    1.00)</f>
        <v/>
      </c>
      <c r="Q7368">
        <f>IF('Loan Tape (S&amp;P)'!V7368="Yes",
    1.20,
    1.00)</f>
        <v/>
      </c>
      <c r="T7368">
        <f>LET(
    payment_method,'Loan Tape (S&amp;P)'!P7368,
    occupancy,'Loan Tape (S&amp;P)'!N7368,
    maturity_date,'Loan Tape (S&amp;P)'!L7368,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69">
      <c r="J7369">
        <f>LET(
    lien,'Loan Tape (S&amp;P)'!Q7369,
    IF(lien="First",1.00,
        IF(lien="Second",1.50,
            1.70)))</f>
        <v/>
      </c>
      <c r="K7369">
        <f>LET(
    purpose,'Loan Tape (S&amp;P)'!R7369,
    IF(purpose="Purchase",1.00,
        IF(purpose="Remortgage",1.00,
            1.20)))</f>
        <v/>
      </c>
      <c r="L7369">
        <f>LET(
    arrears_months,'Loan Tape (S&amp;P)'!AN7369,
    IF(arrears_months=0,1.00,
    IF(arrears_months=1,3.00,
    IF(arrears_months=2,5.00,
    IF(arrears_months=3,8.00,
    IF(arrears_months=4,10.00,
    IF(arrears_months=5,12.00,15.00)))))))</f>
        <v/>
      </c>
      <c r="M7369">
        <f>LET(
    seasoning_years,DATEDIF('Loan Tape (S&amp;P)'!K7369,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69">
        <f>IF(AND('Loan Tape (S&amp;P)'!U7369="Yes",
        'Loan Tape (S&amp;P)'!T7369&lt;&gt;"Yes",
        DATEDIF('Loan Tape (S&amp;P)'!K7369, TODAY(), "M")&lt;18),
    1.10,
    1.00)</f>
        <v/>
      </c>
      <c r="O7369">
        <f>IF('Loan Tape (S&amp;P)'!T7369="Yes",
    1.35,
    1.00)</f>
        <v/>
      </c>
      <c r="P7369">
        <f>IF('Loan Tape (S&amp;P)'!S7369="Yes",
    1.15,
    1.00)</f>
        <v/>
      </c>
      <c r="Q7369">
        <f>IF('Loan Tape (S&amp;P)'!V7369="Yes",
    1.20,
    1.00)</f>
        <v/>
      </c>
      <c r="T7369">
        <f>LET(
    payment_method,'Loan Tape (S&amp;P)'!P7369,
    occupancy,'Loan Tape (S&amp;P)'!N7369,
    maturity_date,'Loan Tape (S&amp;P)'!L7369,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70">
      <c r="J7370">
        <f>LET(
    lien,'Loan Tape (S&amp;P)'!Q7370,
    IF(lien="First",1.00,
        IF(lien="Second",1.50,
            1.70)))</f>
        <v/>
      </c>
      <c r="K7370">
        <f>LET(
    purpose,'Loan Tape (S&amp;P)'!R7370,
    IF(purpose="Purchase",1.00,
        IF(purpose="Remortgage",1.00,
            1.20)))</f>
        <v/>
      </c>
      <c r="L7370">
        <f>LET(
    arrears_months,'Loan Tape (S&amp;P)'!AN7370,
    IF(arrears_months=0,1.00,
    IF(arrears_months=1,3.00,
    IF(arrears_months=2,5.00,
    IF(arrears_months=3,8.00,
    IF(arrears_months=4,10.00,
    IF(arrears_months=5,12.00,15.00)))))))</f>
        <v/>
      </c>
      <c r="M7370">
        <f>LET(
    seasoning_years,DATEDIF('Loan Tape (S&amp;P)'!K7370,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70">
        <f>IF(AND('Loan Tape (S&amp;P)'!U7370="Yes",
        'Loan Tape (S&amp;P)'!T7370&lt;&gt;"Yes",
        DATEDIF('Loan Tape (S&amp;P)'!K7370, TODAY(), "M")&lt;18),
    1.10,
    1.00)</f>
        <v/>
      </c>
      <c r="O7370">
        <f>IF('Loan Tape (S&amp;P)'!T7370="Yes",
    1.35,
    1.00)</f>
        <v/>
      </c>
      <c r="P7370">
        <f>IF('Loan Tape (S&amp;P)'!S7370="Yes",
    1.15,
    1.00)</f>
        <v/>
      </c>
      <c r="Q7370">
        <f>IF('Loan Tape (S&amp;P)'!V7370="Yes",
    1.20,
    1.00)</f>
        <v/>
      </c>
      <c r="T7370">
        <f>LET(
    payment_method,'Loan Tape (S&amp;P)'!P7370,
    occupancy,'Loan Tape (S&amp;P)'!N7370,
    maturity_date,'Loan Tape (S&amp;P)'!L7370,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71">
      <c r="J7371">
        <f>LET(
    lien,'Loan Tape (S&amp;P)'!Q7371,
    IF(lien="First",1.00,
        IF(lien="Second",1.50,
            1.70)))</f>
        <v/>
      </c>
      <c r="K7371">
        <f>LET(
    purpose,'Loan Tape (S&amp;P)'!R7371,
    IF(purpose="Purchase",1.00,
        IF(purpose="Remortgage",1.00,
            1.20)))</f>
        <v/>
      </c>
      <c r="L7371">
        <f>LET(
    arrears_months,'Loan Tape (S&amp;P)'!AN7371,
    IF(arrears_months=0,1.00,
    IF(arrears_months=1,3.00,
    IF(arrears_months=2,5.00,
    IF(arrears_months=3,8.00,
    IF(arrears_months=4,10.00,
    IF(arrears_months=5,12.00,15.00)))))))</f>
        <v/>
      </c>
      <c r="M7371">
        <f>LET(
    seasoning_years,DATEDIF('Loan Tape (S&amp;P)'!K7371,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71">
        <f>IF(AND('Loan Tape (S&amp;P)'!U7371="Yes",
        'Loan Tape (S&amp;P)'!T7371&lt;&gt;"Yes",
        DATEDIF('Loan Tape (S&amp;P)'!K7371, TODAY(), "M")&lt;18),
    1.10,
    1.00)</f>
        <v/>
      </c>
      <c r="O7371">
        <f>IF('Loan Tape (S&amp;P)'!T7371="Yes",
    1.35,
    1.00)</f>
        <v/>
      </c>
      <c r="P7371">
        <f>IF('Loan Tape (S&amp;P)'!S7371="Yes",
    1.15,
    1.00)</f>
        <v/>
      </c>
      <c r="Q7371">
        <f>IF('Loan Tape (S&amp;P)'!V7371="Yes",
    1.20,
    1.00)</f>
        <v/>
      </c>
      <c r="T7371">
        <f>LET(
    payment_method,'Loan Tape (S&amp;P)'!P7371,
    occupancy,'Loan Tape (S&amp;P)'!N7371,
    maturity_date,'Loan Tape (S&amp;P)'!L7371,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72">
      <c r="J7372">
        <f>LET(
    lien,'Loan Tape (S&amp;P)'!Q7372,
    IF(lien="First",1.00,
        IF(lien="Second",1.50,
            1.70)))</f>
        <v/>
      </c>
      <c r="K7372">
        <f>LET(
    purpose,'Loan Tape (S&amp;P)'!R7372,
    IF(purpose="Purchase",1.00,
        IF(purpose="Remortgage",1.00,
            1.20)))</f>
        <v/>
      </c>
      <c r="L7372">
        <f>LET(
    arrears_months,'Loan Tape (S&amp;P)'!AN7372,
    IF(arrears_months=0,1.00,
    IF(arrears_months=1,3.00,
    IF(arrears_months=2,5.00,
    IF(arrears_months=3,8.00,
    IF(arrears_months=4,10.00,
    IF(arrears_months=5,12.00,15.00)))))))</f>
        <v/>
      </c>
      <c r="M7372">
        <f>LET(
    seasoning_years,DATEDIF('Loan Tape (S&amp;P)'!K7372,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72">
        <f>IF(AND('Loan Tape (S&amp;P)'!U7372="Yes",
        'Loan Tape (S&amp;P)'!T7372&lt;&gt;"Yes",
        DATEDIF('Loan Tape (S&amp;P)'!K7372, TODAY(), "M")&lt;18),
    1.10,
    1.00)</f>
        <v/>
      </c>
      <c r="O7372">
        <f>IF('Loan Tape (S&amp;P)'!T7372="Yes",
    1.35,
    1.00)</f>
        <v/>
      </c>
      <c r="P7372">
        <f>IF('Loan Tape (S&amp;P)'!S7372="Yes",
    1.15,
    1.00)</f>
        <v/>
      </c>
      <c r="Q7372">
        <f>IF('Loan Tape (S&amp;P)'!V7372="Yes",
    1.20,
    1.00)</f>
        <v/>
      </c>
      <c r="T7372">
        <f>LET(
    payment_method,'Loan Tape (S&amp;P)'!P7372,
    occupancy,'Loan Tape (S&amp;P)'!N7372,
    maturity_date,'Loan Tape (S&amp;P)'!L7372,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73">
      <c r="J7373">
        <f>LET(
    lien,'Loan Tape (S&amp;P)'!Q7373,
    IF(lien="First",1.00,
        IF(lien="Second",1.50,
            1.70)))</f>
        <v/>
      </c>
      <c r="K7373">
        <f>LET(
    purpose,'Loan Tape (S&amp;P)'!R7373,
    IF(purpose="Purchase",1.00,
        IF(purpose="Remortgage",1.00,
            1.20)))</f>
        <v/>
      </c>
      <c r="L7373">
        <f>LET(
    arrears_months,'Loan Tape (S&amp;P)'!AN7373,
    IF(arrears_months=0,1.00,
    IF(arrears_months=1,3.00,
    IF(arrears_months=2,5.00,
    IF(arrears_months=3,8.00,
    IF(arrears_months=4,10.00,
    IF(arrears_months=5,12.00,15.00)))))))</f>
        <v/>
      </c>
      <c r="M7373">
        <f>LET(
    seasoning_years,DATEDIF('Loan Tape (S&amp;P)'!K7373,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73">
        <f>IF(AND('Loan Tape (S&amp;P)'!U7373="Yes",
        'Loan Tape (S&amp;P)'!T7373&lt;&gt;"Yes",
        DATEDIF('Loan Tape (S&amp;P)'!K7373, TODAY(), "M")&lt;18),
    1.10,
    1.00)</f>
        <v/>
      </c>
      <c r="O7373">
        <f>IF('Loan Tape (S&amp;P)'!T7373="Yes",
    1.35,
    1.00)</f>
        <v/>
      </c>
      <c r="P7373">
        <f>IF('Loan Tape (S&amp;P)'!S7373="Yes",
    1.15,
    1.00)</f>
        <v/>
      </c>
      <c r="Q7373">
        <f>IF('Loan Tape (S&amp;P)'!V7373="Yes",
    1.20,
    1.00)</f>
        <v/>
      </c>
      <c r="T7373">
        <f>LET(
    payment_method,'Loan Tape (S&amp;P)'!P7373,
    occupancy,'Loan Tape (S&amp;P)'!N7373,
    maturity_date,'Loan Tape (S&amp;P)'!L7373,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74">
      <c r="J7374">
        <f>LET(
    lien,'Loan Tape (S&amp;P)'!Q7374,
    IF(lien="First",1.00,
        IF(lien="Second",1.50,
            1.70)))</f>
        <v/>
      </c>
      <c r="K7374">
        <f>LET(
    purpose,'Loan Tape (S&amp;P)'!R7374,
    IF(purpose="Purchase",1.00,
        IF(purpose="Remortgage",1.00,
            1.20)))</f>
        <v/>
      </c>
      <c r="L7374">
        <f>LET(
    arrears_months,'Loan Tape (S&amp;P)'!AN7374,
    IF(arrears_months=0,1.00,
    IF(arrears_months=1,3.00,
    IF(arrears_months=2,5.00,
    IF(arrears_months=3,8.00,
    IF(arrears_months=4,10.00,
    IF(arrears_months=5,12.00,15.00)))))))</f>
        <v/>
      </c>
      <c r="M7374">
        <f>LET(
    seasoning_years,DATEDIF('Loan Tape (S&amp;P)'!K7374,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74">
        <f>IF(AND('Loan Tape (S&amp;P)'!U7374="Yes",
        'Loan Tape (S&amp;P)'!T7374&lt;&gt;"Yes",
        DATEDIF('Loan Tape (S&amp;P)'!K7374, TODAY(), "M")&lt;18),
    1.10,
    1.00)</f>
        <v/>
      </c>
      <c r="O7374">
        <f>IF('Loan Tape (S&amp;P)'!T7374="Yes",
    1.35,
    1.00)</f>
        <v/>
      </c>
      <c r="P7374">
        <f>IF('Loan Tape (S&amp;P)'!S7374="Yes",
    1.15,
    1.00)</f>
        <v/>
      </c>
      <c r="Q7374">
        <f>IF('Loan Tape (S&amp;P)'!V7374="Yes",
    1.20,
    1.00)</f>
        <v/>
      </c>
      <c r="T7374">
        <f>LET(
    payment_method,'Loan Tape (S&amp;P)'!P7374,
    occupancy,'Loan Tape (S&amp;P)'!N7374,
    maturity_date,'Loan Tape (S&amp;P)'!L7374,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75">
      <c r="J7375">
        <f>LET(
    lien,'Loan Tape (S&amp;P)'!Q7375,
    IF(lien="First",1.00,
        IF(lien="Second",1.50,
            1.70)))</f>
        <v/>
      </c>
      <c r="K7375">
        <f>LET(
    purpose,'Loan Tape (S&amp;P)'!R7375,
    IF(purpose="Purchase",1.00,
        IF(purpose="Remortgage",1.00,
            1.20)))</f>
        <v/>
      </c>
      <c r="L7375">
        <f>LET(
    arrears_months,'Loan Tape (S&amp;P)'!AN7375,
    IF(arrears_months=0,1.00,
    IF(arrears_months=1,3.00,
    IF(arrears_months=2,5.00,
    IF(arrears_months=3,8.00,
    IF(arrears_months=4,10.00,
    IF(arrears_months=5,12.00,15.00)))))))</f>
        <v/>
      </c>
      <c r="M7375">
        <f>LET(
    seasoning_years,DATEDIF('Loan Tape (S&amp;P)'!K7375,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75">
        <f>IF(AND('Loan Tape (S&amp;P)'!U7375="Yes",
        'Loan Tape (S&amp;P)'!T7375&lt;&gt;"Yes",
        DATEDIF('Loan Tape (S&amp;P)'!K7375, TODAY(), "M")&lt;18),
    1.10,
    1.00)</f>
        <v/>
      </c>
      <c r="O7375">
        <f>IF('Loan Tape (S&amp;P)'!T7375="Yes",
    1.35,
    1.00)</f>
        <v/>
      </c>
      <c r="P7375">
        <f>IF('Loan Tape (S&amp;P)'!S7375="Yes",
    1.15,
    1.00)</f>
        <v/>
      </c>
      <c r="Q7375">
        <f>IF('Loan Tape (S&amp;P)'!V7375="Yes",
    1.20,
    1.00)</f>
        <v/>
      </c>
      <c r="T7375">
        <f>LET(
    payment_method,'Loan Tape (S&amp;P)'!P7375,
    occupancy,'Loan Tape (S&amp;P)'!N7375,
    maturity_date,'Loan Tape (S&amp;P)'!L7375,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76">
      <c r="J7376">
        <f>LET(
    lien,'Loan Tape (S&amp;P)'!Q7376,
    IF(lien="First",1.00,
        IF(lien="Second",1.50,
            1.70)))</f>
        <v/>
      </c>
      <c r="K7376">
        <f>LET(
    purpose,'Loan Tape (S&amp;P)'!R7376,
    IF(purpose="Purchase",1.00,
        IF(purpose="Remortgage",1.00,
            1.20)))</f>
        <v/>
      </c>
      <c r="L7376">
        <f>LET(
    arrears_months,'Loan Tape (S&amp;P)'!AN7376,
    IF(arrears_months=0,1.00,
    IF(arrears_months=1,3.00,
    IF(arrears_months=2,5.00,
    IF(arrears_months=3,8.00,
    IF(arrears_months=4,10.00,
    IF(arrears_months=5,12.00,15.00)))))))</f>
        <v/>
      </c>
      <c r="M7376">
        <f>LET(
    seasoning_years,DATEDIF('Loan Tape (S&amp;P)'!K7376,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76">
        <f>IF(AND('Loan Tape (S&amp;P)'!U7376="Yes",
        'Loan Tape (S&amp;P)'!T7376&lt;&gt;"Yes",
        DATEDIF('Loan Tape (S&amp;P)'!K7376, TODAY(), "M")&lt;18),
    1.10,
    1.00)</f>
        <v/>
      </c>
      <c r="O7376">
        <f>IF('Loan Tape (S&amp;P)'!T7376="Yes",
    1.35,
    1.00)</f>
        <v/>
      </c>
      <c r="P7376">
        <f>IF('Loan Tape (S&amp;P)'!S7376="Yes",
    1.15,
    1.00)</f>
        <v/>
      </c>
      <c r="Q7376">
        <f>IF('Loan Tape (S&amp;P)'!V7376="Yes",
    1.20,
    1.00)</f>
        <v/>
      </c>
      <c r="T7376">
        <f>LET(
    payment_method,'Loan Tape (S&amp;P)'!P7376,
    occupancy,'Loan Tape (S&amp;P)'!N7376,
    maturity_date,'Loan Tape (S&amp;P)'!L7376,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77">
      <c r="J7377">
        <f>LET(
    lien,'Loan Tape (S&amp;P)'!Q7377,
    IF(lien="First",1.00,
        IF(lien="Second",1.50,
            1.70)))</f>
        <v/>
      </c>
      <c r="K7377">
        <f>LET(
    purpose,'Loan Tape (S&amp;P)'!R7377,
    IF(purpose="Purchase",1.00,
        IF(purpose="Remortgage",1.00,
            1.20)))</f>
        <v/>
      </c>
      <c r="L7377">
        <f>LET(
    arrears_months,'Loan Tape (S&amp;P)'!AN7377,
    IF(arrears_months=0,1.00,
    IF(arrears_months=1,3.00,
    IF(arrears_months=2,5.00,
    IF(arrears_months=3,8.00,
    IF(arrears_months=4,10.00,
    IF(arrears_months=5,12.00,15.00)))))))</f>
        <v/>
      </c>
      <c r="M7377">
        <f>LET(
    seasoning_years,DATEDIF('Loan Tape (S&amp;P)'!K7377,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77">
        <f>IF(AND('Loan Tape (S&amp;P)'!U7377="Yes",
        'Loan Tape (S&amp;P)'!T7377&lt;&gt;"Yes",
        DATEDIF('Loan Tape (S&amp;P)'!K7377, TODAY(), "M")&lt;18),
    1.10,
    1.00)</f>
        <v/>
      </c>
      <c r="O7377">
        <f>IF('Loan Tape (S&amp;P)'!T7377="Yes",
    1.35,
    1.00)</f>
        <v/>
      </c>
      <c r="P7377">
        <f>IF('Loan Tape (S&amp;P)'!S7377="Yes",
    1.15,
    1.00)</f>
        <v/>
      </c>
      <c r="Q7377">
        <f>IF('Loan Tape (S&amp;P)'!V7377="Yes",
    1.20,
    1.00)</f>
        <v/>
      </c>
      <c r="T7377">
        <f>LET(
    payment_method,'Loan Tape (S&amp;P)'!P7377,
    occupancy,'Loan Tape (S&amp;P)'!N7377,
    maturity_date,'Loan Tape (S&amp;P)'!L7377,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78">
      <c r="J7378">
        <f>LET(
    lien,'Loan Tape (S&amp;P)'!Q7378,
    IF(lien="First",1.00,
        IF(lien="Second",1.50,
            1.70)))</f>
        <v/>
      </c>
      <c r="K7378">
        <f>LET(
    purpose,'Loan Tape (S&amp;P)'!R7378,
    IF(purpose="Purchase",1.00,
        IF(purpose="Remortgage",1.00,
            1.20)))</f>
        <v/>
      </c>
      <c r="L7378">
        <f>LET(
    arrears_months,'Loan Tape (S&amp;P)'!AN7378,
    IF(arrears_months=0,1.00,
    IF(arrears_months=1,3.00,
    IF(arrears_months=2,5.00,
    IF(arrears_months=3,8.00,
    IF(arrears_months=4,10.00,
    IF(arrears_months=5,12.00,15.00)))))))</f>
        <v/>
      </c>
      <c r="M7378">
        <f>LET(
    seasoning_years,DATEDIF('Loan Tape (S&amp;P)'!K7378,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78">
        <f>IF(AND('Loan Tape (S&amp;P)'!U7378="Yes",
        'Loan Tape (S&amp;P)'!T7378&lt;&gt;"Yes",
        DATEDIF('Loan Tape (S&amp;P)'!K7378, TODAY(), "M")&lt;18),
    1.10,
    1.00)</f>
        <v/>
      </c>
      <c r="O7378">
        <f>IF('Loan Tape (S&amp;P)'!T7378="Yes",
    1.35,
    1.00)</f>
        <v/>
      </c>
      <c r="P7378">
        <f>IF('Loan Tape (S&amp;P)'!S7378="Yes",
    1.15,
    1.00)</f>
        <v/>
      </c>
      <c r="Q7378">
        <f>IF('Loan Tape (S&amp;P)'!V7378="Yes",
    1.20,
    1.00)</f>
        <v/>
      </c>
      <c r="T7378">
        <f>LET(
    payment_method,'Loan Tape (S&amp;P)'!P7378,
    occupancy,'Loan Tape (S&amp;P)'!N7378,
    maturity_date,'Loan Tape (S&amp;P)'!L7378,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79">
      <c r="J7379">
        <f>LET(
    lien,'Loan Tape (S&amp;P)'!Q7379,
    IF(lien="First",1.00,
        IF(lien="Second",1.50,
            1.70)))</f>
        <v/>
      </c>
      <c r="K7379">
        <f>LET(
    purpose,'Loan Tape (S&amp;P)'!R7379,
    IF(purpose="Purchase",1.00,
        IF(purpose="Remortgage",1.00,
            1.20)))</f>
        <v/>
      </c>
      <c r="L7379">
        <f>LET(
    arrears_months,'Loan Tape (S&amp;P)'!AN7379,
    IF(arrears_months=0,1.00,
    IF(arrears_months=1,3.00,
    IF(arrears_months=2,5.00,
    IF(arrears_months=3,8.00,
    IF(arrears_months=4,10.00,
    IF(arrears_months=5,12.00,15.00)))))))</f>
        <v/>
      </c>
      <c r="M7379">
        <f>LET(
    seasoning_years,DATEDIF('Loan Tape (S&amp;P)'!K7379,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79">
        <f>IF(AND('Loan Tape (S&amp;P)'!U7379="Yes",
        'Loan Tape (S&amp;P)'!T7379&lt;&gt;"Yes",
        DATEDIF('Loan Tape (S&amp;P)'!K7379, TODAY(), "M")&lt;18),
    1.10,
    1.00)</f>
        <v/>
      </c>
      <c r="O7379">
        <f>IF('Loan Tape (S&amp;P)'!T7379="Yes",
    1.35,
    1.00)</f>
        <v/>
      </c>
      <c r="P7379">
        <f>IF('Loan Tape (S&amp;P)'!S7379="Yes",
    1.15,
    1.00)</f>
        <v/>
      </c>
      <c r="Q7379">
        <f>IF('Loan Tape (S&amp;P)'!V7379="Yes",
    1.20,
    1.00)</f>
        <v/>
      </c>
      <c r="T7379">
        <f>LET(
    payment_method,'Loan Tape (S&amp;P)'!P7379,
    occupancy,'Loan Tape (S&amp;P)'!N7379,
    maturity_date,'Loan Tape (S&amp;P)'!L7379,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80">
      <c r="J7380">
        <f>LET(
    lien,'Loan Tape (S&amp;P)'!Q7380,
    IF(lien="First",1.00,
        IF(lien="Second",1.50,
            1.70)))</f>
        <v/>
      </c>
      <c r="K7380">
        <f>LET(
    purpose,'Loan Tape (S&amp;P)'!R7380,
    IF(purpose="Purchase",1.00,
        IF(purpose="Remortgage",1.00,
            1.20)))</f>
        <v/>
      </c>
      <c r="L7380">
        <f>LET(
    arrears_months,'Loan Tape (S&amp;P)'!AN7380,
    IF(arrears_months=0,1.00,
    IF(arrears_months=1,3.00,
    IF(arrears_months=2,5.00,
    IF(arrears_months=3,8.00,
    IF(arrears_months=4,10.00,
    IF(arrears_months=5,12.00,15.00)))))))</f>
        <v/>
      </c>
      <c r="M7380">
        <f>LET(
    seasoning_years,DATEDIF('Loan Tape (S&amp;P)'!K7380,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80">
        <f>IF(AND('Loan Tape (S&amp;P)'!U7380="Yes",
        'Loan Tape (S&amp;P)'!T7380&lt;&gt;"Yes",
        DATEDIF('Loan Tape (S&amp;P)'!K7380, TODAY(), "M")&lt;18),
    1.10,
    1.00)</f>
        <v/>
      </c>
      <c r="O7380">
        <f>IF('Loan Tape (S&amp;P)'!T7380="Yes",
    1.35,
    1.00)</f>
        <v/>
      </c>
      <c r="P7380">
        <f>IF('Loan Tape (S&amp;P)'!S7380="Yes",
    1.15,
    1.00)</f>
        <v/>
      </c>
      <c r="Q7380">
        <f>IF('Loan Tape (S&amp;P)'!V7380="Yes",
    1.20,
    1.00)</f>
        <v/>
      </c>
      <c r="T7380">
        <f>LET(
    payment_method,'Loan Tape (S&amp;P)'!P7380,
    occupancy,'Loan Tape (S&amp;P)'!N7380,
    maturity_date,'Loan Tape (S&amp;P)'!L7380,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81">
      <c r="J7381">
        <f>LET(
    lien,'Loan Tape (S&amp;P)'!Q7381,
    IF(lien="First",1.00,
        IF(lien="Second",1.50,
            1.70)))</f>
        <v/>
      </c>
      <c r="K7381">
        <f>LET(
    purpose,'Loan Tape (S&amp;P)'!R7381,
    IF(purpose="Purchase",1.00,
        IF(purpose="Remortgage",1.00,
            1.20)))</f>
        <v/>
      </c>
      <c r="L7381">
        <f>LET(
    arrears_months,'Loan Tape (S&amp;P)'!AN7381,
    IF(arrears_months=0,1.00,
    IF(arrears_months=1,3.00,
    IF(arrears_months=2,5.00,
    IF(arrears_months=3,8.00,
    IF(arrears_months=4,10.00,
    IF(arrears_months=5,12.00,15.00)))))))</f>
        <v/>
      </c>
      <c r="M7381">
        <f>LET(
    seasoning_years,DATEDIF('Loan Tape (S&amp;P)'!K7381,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81">
        <f>IF(AND('Loan Tape (S&amp;P)'!U7381="Yes",
        'Loan Tape (S&amp;P)'!T7381&lt;&gt;"Yes",
        DATEDIF('Loan Tape (S&amp;P)'!K7381, TODAY(), "M")&lt;18),
    1.10,
    1.00)</f>
        <v/>
      </c>
      <c r="O7381">
        <f>IF('Loan Tape (S&amp;P)'!T7381="Yes",
    1.35,
    1.00)</f>
        <v/>
      </c>
      <c r="P7381">
        <f>IF('Loan Tape (S&amp;P)'!S7381="Yes",
    1.15,
    1.00)</f>
        <v/>
      </c>
      <c r="Q7381">
        <f>IF('Loan Tape (S&amp;P)'!V7381="Yes",
    1.20,
    1.00)</f>
        <v/>
      </c>
      <c r="T7381">
        <f>LET(
    payment_method,'Loan Tape (S&amp;P)'!P7381,
    occupancy,'Loan Tape (S&amp;P)'!N7381,
    maturity_date,'Loan Tape (S&amp;P)'!L7381,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82">
      <c r="J7382">
        <f>LET(
    lien,'Loan Tape (S&amp;P)'!Q7382,
    IF(lien="First",1.00,
        IF(lien="Second",1.50,
            1.70)))</f>
        <v/>
      </c>
      <c r="K7382">
        <f>LET(
    purpose,'Loan Tape (S&amp;P)'!R7382,
    IF(purpose="Purchase",1.00,
        IF(purpose="Remortgage",1.00,
            1.20)))</f>
        <v/>
      </c>
      <c r="L7382">
        <f>LET(
    arrears_months,'Loan Tape (S&amp;P)'!AN7382,
    IF(arrears_months=0,1.00,
    IF(arrears_months=1,3.00,
    IF(arrears_months=2,5.00,
    IF(arrears_months=3,8.00,
    IF(arrears_months=4,10.00,
    IF(arrears_months=5,12.00,15.00)))))))</f>
        <v/>
      </c>
      <c r="M7382">
        <f>LET(
    seasoning_years,DATEDIF('Loan Tape (S&amp;P)'!K7382,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82">
        <f>IF(AND('Loan Tape (S&amp;P)'!U7382="Yes",
        'Loan Tape (S&amp;P)'!T7382&lt;&gt;"Yes",
        DATEDIF('Loan Tape (S&amp;P)'!K7382, TODAY(), "M")&lt;18),
    1.10,
    1.00)</f>
        <v/>
      </c>
      <c r="O7382">
        <f>IF('Loan Tape (S&amp;P)'!T7382="Yes",
    1.35,
    1.00)</f>
        <v/>
      </c>
      <c r="P7382">
        <f>IF('Loan Tape (S&amp;P)'!S7382="Yes",
    1.15,
    1.00)</f>
        <v/>
      </c>
      <c r="Q7382">
        <f>IF('Loan Tape (S&amp;P)'!V7382="Yes",
    1.20,
    1.00)</f>
        <v/>
      </c>
      <c r="T7382">
        <f>LET(
    payment_method,'Loan Tape (S&amp;P)'!P7382,
    occupancy,'Loan Tape (S&amp;P)'!N7382,
    maturity_date,'Loan Tape (S&amp;P)'!L7382,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83">
      <c r="J7383">
        <f>LET(
    lien,'Loan Tape (S&amp;P)'!Q7383,
    IF(lien="First",1.00,
        IF(lien="Second",1.50,
            1.70)))</f>
        <v/>
      </c>
      <c r="K7383">
        <f>LET(
    purpose,'Loan Tape (S&amp;P)'!R7383,
    IF(purpose="Purchase",1.00,
        IF(purpose="Remortgage",1.00,
            1.20)))</f>
        <v/>
      </c>
      <c r="L7383">
        <f>LET(
    arrears_months,'Loan Tape (S&amp;P)'!AN7383,
    IF(arrears_months=0,1.00,
    IF(arrears_months=1,3.00,
    IF(arrears_months=2,5.00,
    IF(arrears_months=3,8.00,
    IF(arrears_months=4,10.00,
    IF(arrears_months=5,12.00,15.00)))))))</f>
        <v/>
      </c>
      <c r="M7383">
        <f>LET(
    seasoning_years,DATEDIF('Loan Tape (S&amp;P)'!K7383,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83">
        <f>IF(AND('Loan Tape (S&amp;P)'!U7383="Yes",
        'Loan Tape (S&amp;P)'!T7383&lt;&gt;"Yes",
        DATEDIF('Loan Tape (S&amp;P)'!K7383, TODAY(), "M")&lt;18),
    1.10,
    1.00)</f>
        <v/>
      </c>
      <c r="O7383">
        <f>IF('Loan Tape (S&amp;P)'!T7383="Yes",
    1.35,
    1.00)</f>
        <v/>
      </c>
      <c r="P7383">
        <f>IF('Loan Tape (S&amp;P)'!S7383="Yes",
    1.15,
    1.00)</f>
        <v/>
      </c>
      <c r="Q7383">
        <f>IF('Loan Tape (S&amp;P)'!V7383="Yes",
    1.20,
    1.00)</f>
        <v/>
      </c>
      <c r="T7383">
        <f>LET(
    payment_method,'Loan Tape (S&amp;P)'!P7383,
    occupancy,'Loan Tape (S&amp;P)'!N7383,
    maturity_date,'Loan Tape (S&amp;P)'!L7383,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84">
      <c r="J7384">
        <f>LET(
    lien,'Loan Tape (S&amp;P)'!Q7384,
    IF(lien="First",1.00,
        IF(lien="Second",1.50,
            1.70)))</f>
        <v/>
      </c>
      <c r="K7384">
        <f>LET(
    purpose,'Loan Tape (S&amp;P)'!R7384,
    IF(purpose="Purchase",1.00,
        IF(purpose="Remortgage",1.00,
            1.20)))</f>
        <v/>
      </c>
      <c r="L7384">
        <f>LET(
    arrears_months,'Loan Tape (S&amp;P)'!AN7384,
    IF(arrears_months=0,1.00,
    IF(arrears_months=1,3.00,
    IF(arrears_months=2,5.00,
    IF(arrears_months=3,8.00,
    IF(arrears_months=4,10.00,
    IF(arrears_months=5,12.00,15.00)))))))</f>
        <v/>
      </c>
      <c r="M7384">
        <f>LET(
    seasoning_years,DATEDIF('Loan Tape (S&amp;P)'!K7384,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84">
        <f>IF(AND('Loan Tape (S&amp;P)'!U7384="Yes",
        'Loan Tape (S&amp;P)'!T7384&lt;&gt;"Yes",
        DATEDIF('Loan Tape (S&amp;P)'!K7384, TODAY(), "M")&lt;18),
    1.10,
    1.00)</f>
        <v/>
      </c>
      <c r="O7384">
        <f>IF('Loan Tape (S&amp;P)'!T7384="Yes",
    1.35,
    1.00)</f>
        <v/>
      </c>
      <c r="P7384">
        <f>IF('Loan Tape (S&amp;P)'!S7384="Yes",
    1.15,
    1.00)</f>
        <v/>
      </c>
      <c r="Q7384">
        <f>IF('Loan Tape (S&amp;P)'!V7384="Yes",
    1.20,
    1.00)</f>
        <v/>
      </c>
      <c r="T7384">
        <f>LET(
    payment_method,'Loan Tape (S&amp;P)'!P7384,
    occupancy,'Loan Tape (S&amp;P)'!N7384,
    maturity_date,'Loan Tape (S&amp;P)'!L7384,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85">
      <c r="J7385">
        <f>LET(
    lien,'Loan Tape (S&amp;P)'!Q7385,
    IF(lien="First",1.00,
        IF(lien="Second",1.50,
            1.70)))</f>
        <v/>
      </c>
      <c r="K7385">
        <f>LET(
    purpose,'Loan Tape (S&amp;P)'!R7385,
    IF(purpose="Purchase",1.00,
        IF(purpose="Remortgage",1.00,
            1.20)))</f>
        <v/>
      </c>
      <c r="L7385">
        <f>LET(
    arrears_months,'Loan Tape (S&amp;P)'!AN7385,
    IF(arrears_months=0,1.00,
    IF(arrears_months=1,3.00,
    IF(arrears_months=2,5.00,
    IF(arrears_months=3,8.00,
    IF(arrears_months=4,10.00,
    IF(arrears_months=5,12.00,15.00)))))))</f>
        <v/>
      </c>
      <c r="M7385">
        <f>LET(
    seasoning_years,DATEDIF('Loan Tape (S&amp;P)'!K7385,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85">
        <f>IF(AND('Loan Tape (S&amp;P)'!U7385="Yes",
        'Loan Tape (S&amp;P)'!T7385&lt;&gt;"Yes",
        DATEDIF('Loan Tape (S&amp;P)'!K7385, TODAY(), "M")&lt;18),
    1.10,
    1.00)</f>
        <v/>
      </c>
      <c r="O7385">
        <f>IF('Loan Tape (S&amp;P)'!T7385="Yes",
    1.35,
    1.00)</f>
        <v/>
      </c>
      <c r="P7385">
        <f>IF('Loan Tape (S&amp;P)'!S7385="Yes",
    1.15,
    1.00)</f>
        <v/>
      </c>
      <c r="Q7385">
        <f>IF('Loan Tape (S&amp;P)'!V7385="Yes",
    1.20,
    1.00)</f>
        <v/>
      </c>
      <c r="T7385">
        <f>LET(
    payment_method,'Loan Tape (S&amp;P)'!P7385,
    occupancy,'Loan Tape (S&amp;P)'!N7385,
    maturity_date,'Loan Tape (S&amp;P)'!L7385,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86">
      <c r="J7386">
        <f>LET(
    lien,'Loan Tape (S&amp;P)'!Q7386,
    IF(lien="First",1.00,
        IF(lien="Second",1.50,
            1.70)))</f>
        <v/>
      </c>
      <c r="K7386">
        <f>LET(
    purpose,'Loan Tape (S&amp;P)'!R7386,
    IF(purpose="Purchase",1.00,
        IF(purpose="Remortgage",1.00,
            1.20)))</f>
        <v/>
      </c>
      <c r="L7386">
        <f>LET(
    arrears_months,'Loan Tape (S&amp;P)'!AN7386,
    IF(arrears_months=0,1.00,
    IF(arrears_months=1,3.00,
    IF(arrears_months=2,5.00,
    IF(arrears_months=3,8.00,
    IF(arrears_months=4,10.00,
    IF(arrears_months=5,12.00,15.00)))))))</f>
        <v/>
      </c>
      <c r="M7386">
        <f>LET(
    seasoning_years,DATEDIF('Loan Tape (S&amp;P)'!K7386,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86">
        <f>IF(AND('Loan Tape (S&amp;P)'!U7386="Yes",
        'Loan Tape (S&amp;P)'!T7386&lt;&gt;"Yes",
        DATEDIF('Loan Tape (S&amp;P)'!K7386, TODAY(), "M")&lt;18),
    1.10,
    1.00)</f>
        <v/>
      </c>
      <c r="O7386">
        <f>IF('Loan Tape (S&amp;P)'!T7386="Yes",
    1.35,
    1.00)</f>
        <v/>
      </c>
      <c r="P7386">
        <f>IF('Loan Tape (S&amp;P)'!S7386="Yes",
    1.15,
    1.00)</f>
        <v/>
      </c>
      <c r="Q7386">
        <f>IF('Loan Tape (S&amp;P)'!V7386="Yes",
    1.20,
    1.00)</f>
        <v/>
      </c>
      <c r="T7386">
        <f>LET(
    payment_method,'Loan Tape (S&amp;P)'!P7386,
    occupancy,'Loan Tape (S&amp;P)'!N7386,
    maturity_date,'Loan Tape (S&amp;P)'!L7386,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87">
      <c r="J7387">
        <f>LET(
    lien,'Loan Tape (S&amp;P)'!Q7387,
    IF(lien="First",1.00,
        IF(lien="Second",1.50,
            1.70)))</f>
        <v/>
      </c>
      <c r="K7387">
        <f>LET(
    purpose,'Loan Tape (S&amp;P)'!R7387,
    IF(purpose="Purchase",1.00,
        IF(purpose="Remortgage",1.00,
            1.20)))</f>
        <v/>
      </c>
      <c r="L7387">
        <f>LET(
    arrears_months,'Loan Tape (S&amp;P)'!AN7387,
    IF(arrears_months=0,1.00,
    IF(arrears_months=1,3.00,
    IF(arrears_months=2,5.00,
    IF(arrears_months=3,8.00,
    IF(arrears_months=4,10.00,
    IF(arrears_months=5,12.00,15.00)))))))</f>
        <v/>
      </c>
      <c r="M7387">
        <f>LET(
    seasoning_years,DATEDIF('Loan Tape (S&amp;P)'!K7387,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87">
        <f>IF(AND('Loan Tape (S&amp;P)'!U7387="Yes",
        'Loan Tape (S&amp;P)'!T7387&lt;&gt;"Yes",
        DATEDIF('Loan Tape (S&amp;P)'!K7387, TODAY(), "M")&lt;18),
    1.10,
    1.00)</f>
        <v/>
      </c>
      <c r="O7387">
        <f>IF('Loan Tape (S&amp;P)'!T7387="Yes",
    1.35,
    1.00)</f>
        <v/>
      </c>
      <c r="P7387">
        <f>IF('Loan Tape (S&amp;P)'!S7387="Yes",
    1.15,
    1.00)</f>
        <v/>
      </c>
      <c r="Q7387">
        <f>IF('Loan Tape (S&amp;P)'!V7387="Yes",
    1.20,
    1.00)</f>
        <v/>
      </c>
      <c r="T7387">
        <f>LET(
    payment_method,'Loan Tape (S&amp;P)'!P7387,
    occupancy,'Loan Tape (S&amp;P)'!N7387,
    maturity_date,'Loan Tape (S&amp;P)'!L7387,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88">
      <c r="J7388">
        <f>LET(
    lien,'Loan Tape (S&amp;P)'!Q7388,
    IF(lien="First",1.00,
        IF(lien="Second",1.50,
            1.70)))</f>
        <v/>
      </c>
      <c r="K7388">
        <f>LET(
    purpose,'Loan Tape (S&amp;P)'!R7388,
    IF(purpose="Purchase",1.00,
        IF(purpose="Remortgage",1.00,
            1.20)))</f>
        <v/>
      </c>
      <c r="L7388">
        <f>LET(
    arrears_months,'Loan Tape (S&amp;P)'!AN7388,
    IF(arrears_months=0,1.00,
    IF(arrears_months=1,3.00,
    IF(arrears_months=2,5.00,
    IF(arrears_months=3,8.00,
    IF(arrears_months=4,10.00,
    IF(arrears_months=5,12.00,15.00)))))))</f>
        <v/>
      </c>
      <c r="M7388">
        <f>LET(
    seasoning_years,DATEDIF('Loan Tape (S&amp;P)'!K7388,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88">
        <f>IF(AND('Loan Tape (S&amp;P)'!U7388="Yes",
        'Loan Tape (S&amp;P)'!T7388&lt;&gt;"Yes",
        DATEDIF('Loan Tape (S&amp;P)'!K7388, TODAY(), "M")&lt;18),
    1.10,
    1.00)</f>
        <v/>
      </c>
      <c r="O7388">
        <f>IF('Loan Tape (S&amp;P)'!T7388="Yes",
    1.35,
    1.00)</f>
        <v/>
      </c>
      <c r="P7388">
        <f>IF('Loan Tape (S&amp;P)'!S7388="Yes",
    1.15,
    1.00)</f>
        <v/>
      </c>
      <c r="Q7388">
        <f>IF('Loan Tape (S&amp;P)'!V7388="Yes",
    1.20,
    1.00)</f>
        <v/>
      </c>
      <c r="T7388">
        <f>LET(
    payment_method,'Loan Tape (S&amp;P)'!P7388,
    occupancy,'Loan Tape (S&amp;P)'!N7388,
    maturity_date,'Loan Tape (S&amp;P)'!L7388,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89">
      <c r="J7389">
        <f>LET(
    lien,'Loan Tape (S&amp;P)'!Q7389,
    IF(lien="First",1.00,
        IF(lien="Second",1.50,
            1.70)))</f>
        <v/>
      </c>
      <c r="K7389">
        <f>LET(
    purpose,'Loan Tape (S&amp;P)'!R7389,
    IF(purpose="Purchase",1.00,
        IF(purpose="Remortgage",1.00,
            1.20)))</f>
        <v/>
      </c>
      <c r="L7389">
        <f>LET(
    arrears_months,'Loan Tape (S&amp;P)'!AN7389,
    IF(arrears_months=0,1.00,
    IF(arrears_months=1,3.00,
    IF(arrears_months=2,5.00,
    IF(arrears_months=3,8.00,
    IF(arrears_months=4,10.00,
    IF(arrears_months=5,12.00,15.00)))))))</f>
        <v/>
      </c>
      <c r="M7389">
        <f>LET(
    seasoning_years,DATEDIF('Loan Tape (S&amp;P)'!K7389,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89">
        <f>IF(AND('Loan Tape (S&amp;P)'!U7389="Yes",
        'Loan Tape (S&amp;P)'!T7389&lt;&gt;"Yes",
        DATEDIF('Loan Tape (S&amp;P)'!K7389, TODAY(), "M")&lt;18),
    1.10,
    1.00)</f>
        <v/>
      </c>
      <c r="O7389">
        <f>IF('Loan Tape (S&amp;P)'!T7389="Yes",
    1.35,
    1.00)</f>
        <v/>
      </c>
      <c r="P7389">
        <f>IF('Loan Tape (S&amp;P)'!S7389="Yes",
    1.15,
    1.00)</f>
        <v/>
      </c>
      <c r="Q7389">
        <f>IF('Loan Tape (S&amp;P)'!V7389="Yes",
    1.20,
    1.00)</f>
        <v/>
      </c>
      <c r="T7389">
        <f>LET(
    payment_method,'Loan Tape (S&amp;P)'!P7389,
    occupancy,'Loan Tape (S&amp;P)'!N7389,
    maturity_date,'Loan Tape (S&amp;P)'!L7389,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90">
      <c r="J7390">
        <f>LET(
    lien,'Loan Tape (S&amp;P)'!Q7390,
    IF(lien="First",1.00,
        IF(lien="Second",1.50,
            1.70)))</f>
        <v/>
      </c>
      <c r="K7390">
        <f>LET(
    purpose,'Loan Tape (S&amp;P)'!R7390,
    IF(purpose="Purchase",1.00,
        IF(purpose="Remortgage",1.00,
            1.20)))</f>
        <v/>
      </c>
      <c r="L7390">
        <f>LET(
    arrears_months,'Loan Tape (S&amp;P)'!AN7390,
    IF(arrears_months=0,1.00,
    IF(arrears_months=1,3.00,
    IF(arrears_months=2,5.00,
    IF(arrears_months=3,8.00,
    IF(arrears_months=4,10.00,
    IF(arrears_months=5,12.00,15.00)))))))</f>
        <v/>
      </c>
      <c r="M7390">
        <f>LET(
    seasoning_years,DATEDIF('Loan Tape (S&amp;P)'!K7390,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90">
        <f>IF(AND('Loan Tape (S&amp;P)'!U7390="Yes",
        'Loan Tape (S&amp;P)'!T7390&lt;&gt;"Yes",
        DATEDIF('Loan Tape (S&amp;P)'!K7390, TODAY(), "M")&lt;18),
    1.10,
    1.00)</f>
        <v/>
      </c>
      <c r="O7390">
        <f>IF('Loan Tape (S&amp;P)'!T7390="Yes",
    1.35,
    1.00)</f>
        <v/>
      </c>
      <c r="P7390">
        <f>IF('Loan Tape (S&amp;P)'!S7390="Yes",
    1.15,
    1.00)</f>
        <v/>
      </c>
      <c r="Q7390">
        <f>IF('Loan Tape (S&amp;P)'!V7390="Yes",
    1.20,
    1.00)</f>
        <v/>
      </c>
      <c r="T7390">
        <f>LET(
    payment_method,'Loan Tape (S&amp;P)'!P7390,
    occupancy,'Loan Tape (S&amp;P)'!N7390,
    maturity_date,'Loan Tape (S&amp;P)'!L7390,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91">
      <c r="J7391">
        <f>LET(
    lien,'Loan Tape (S&amp;P)'!Q7391,
    IF(lien="First",1.00,
        IF(lien="Second",1.50,
            1.70)))</f>
        <v/>
      </c>
      <c r="K7391">
        <f>LET(
    purpose,'Loan Tape (S&amp;P)'!R7391,
    IF(purpose="Purchase",1.00,
        IF(purpose="Remortgage",1.00,
            1.20)))</f>
        <v/>
      </c>
      <c r="L7391">
        <f>LET(
    arrears_months,'Loan Tape (S&amp;P)'!AN7391,
    IF(arrears_months=0,1.00,
    IF(arrears_months=1,3.00,
    IF(arrears_months=2,5.00,
    IF(arrears_months=3,8.00,
    IF(arrears_months=4,10.00,
    IF(arrears_months=5,12.00,15.00)))))))</f>
        <v/>
      </c>
      <c r="M7391">
        <f>LET(
    seasoning_years,DATEDIF('Loan Tape (S&amp;P)'!K7391,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91">
        <f>IF(AND('Loan Tape (S&amp;P)'!U7391="Yes",
        'Loan Tape (S&amp;P)'!T7391&lt;&gt;"Yes",
        DATEDIF('Loan Tape (S&amp;P)'!K7391, TODAY(), "M")&lt;18),
    1.10,
    1.00)</f>
        <v/>
      </c>
      <c r="O7391">
        <f>IF('Loan Tape (S&amp;P)'!T7391="Yes",
    1.35,
    1.00)</f>
        <v/>
      </c>
      <c r="P7391">
        <f>IF('Loan Tape (S&amp;P)'!S7391="Yes",
    1.15,
    1.00)</f>
        <v/>
      </c>
      <c r="Q7391">
        <f>IF('Loan Tape (S&amp;P)'!V7391="Yes",
    1.20,
    1.00)</f>
        <v/>
      </c>
      <c r="T7391">
        <f>LET(
    payment_method,'Loan Tape (S&amp;P)'!P7391,
    occupancy,'Loan Tape (S&amp;P)'!N7391,
    maturity_date,'Loan Tape (S&amp;P)'!L7391,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92">
      <c r="J7392">
        <f>LET(
    lien,'Loan Tape (S&amp;P)'!Q7392,
    IF(lien="First",1.00,
        IF(lien="Second",1.50,
            1.70)))</f>
        <v/>
      </c>
      <c r="K7392">
        <f>LET(
    purpose,'Loan Tape (S&amp;P)'!R7392,
    IF(purpose="Purchase",1.00,
        IF(purpose="Remortgage",1.00,
            1.20)))</f>
        <v/>
      </c>
      <c r="L7392">
        <f>LET(
    arrears_months,'Loan Tape (S&amp;P)'!AN7392,
    IF(arrears_months=0,1.00,
    IF(arrears_months=1,3.00,
    IF(arrears_months=2,5.00,
    IF(arrears_months=3,8.00,
    IF(arrears_months=4,10.00,
    IF(arrears_months=5,12.00,15.00)))))))</f>
        <v/>
      </c>
      <c r="M7392">
        <f>LET(
    seasoning_years,DATEDIF('Loan Tape (S&amp;P)'!K7392,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92">
        <f>IF(AND('Loan Tape (S&amp;P)'!U7392="Yes",
        'Loan Tape (S&amp;P)'!T7392&lt;&gt;"Yes",
        DATEDIF('Loan Tape (S&amp;P)'!K7392, TODAY(), "M")&lt;18),
    1.10,
    1.00)</f>
        <v/>
      </c>
      <c r="O7392">
        <f>IF('Loan Tape (S&amp;P)'!T7392="Yes",
    1.35,
    1.00)</f>
        <v/>
      </c>
      <c r="P7392">
        <f>IF('Loan Tape (S&amp;P)'!S7392="Yes",
    1.15,
    1.00)</f>
        <v/>
      </c>
      <c r="Q7392">
        <f>IF('Loan Tape (S&amp;P)'!V7392="Yes",
    1.20,
    1.00)</f>
        <v/>
      </c>
      <c r="T7392">
        <f>LET(
    payment_method,'Loan Tape (S&amp;P)'!P7392,
    occupancy,'Loan Tape (S&amp;P)'!N7392,
    maturity_date,'Loan Tape (S&amp;P)'!L7392,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93">
      <c r="J7393">
        <f>LET(
    lien,'Loan Tape (S&amp;P)'!Q7393,
    IF(lien="First",1.00,
        IF(lien="Second",1.50,
            1.70)))</f>
        <v/>
      </c>
      <c r="K7393">
        <f>LET(
    purpose,'Loan Tape (S&amp;P)'!R7393,
    IF(purpose="Purchase",1.00,
        IF(purpose="Remortgage",1.00,
            1.20)))</f>
        <v/>
      </c>
      <c r="L7393">
        <f>LET(
    arrears_months,'Loan Tape (S&amp;P)'!AN7393,
    IF(arrears_months=0,1.00,
    IF(arrears_months=1,3.00,
    IF(arrears_months=2,5.00,
    IF(arrears_months=3,8.00,
    IF(arrears_months=4,10.00,
    IF(arrears_months=5,12.00,15.00)))))))</f>
        <v/>
      </c>
      <c r="M7393">
        <f>LET(
    seasoning_years,DATEDIF('Loan Tape (S&amp;P)'!K7393,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93">
        <f>IF(AND('Loan Tape (S&amp;P)'!U7393="Yes",
        'Loan Tape (S&amp;P)'!T7393&lt;&gt;"Yes",
        DATEDIF('Loan Tape (S&amp;P)'!K7393, TODAY(), "M")&lt;18),
    1.10,
    1.00)</f>
        <v/>
      </c>
      <c r="O7393">
        <f>IF('Loan Tape (S&amp;P)'!T7393="Yes",
    1.35,
    1.00)</f>
        <v/>
      </c>
      <c r="P7393">
        <f>IF('Loan Tape (S&amp;P)'!S7393="Yes",
    1.15,
    1.00)</f>
        <v/>
      </c>
      <c r="Q7393">
        <f>IF('Loan Tape (S&amp;P)'!V7393="Yes",
    1.20,
    1.00)</f>
        <v/>
      </c>
      <c r="T7393">
        <f>LET(
    payment_method,'Loan Tape (S&amp;P)'!P7393,
    occupancy,'Loan Tape (S&amp;P)'!N7393,
    maturity_date,'Loan Tape (S&amp;P)'!L7393,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94">
      <c r="J7394">
        <f>LET(
    lien,'Loan Tape (S&amp;P)'!Q7394,
    IF(lien="First",1.00,
        IF(lien="Second",1.50,
            1.70)))</f>
        <v/>
      </c>
      <c r="K7394">
        <f>LET(
    purpose,'Loan Tape (S&amp;P)'!R7394,
    IF(purpose="Purchase",1.00,
        IF(purpose="Remortgage",1.00,
            1.20)))</f>
        <v/>
      </c>
      <c r="L7394">
        <f>LET(
    arrears_months,'Loan Tape (S&amp;P)'!AN7394,
    IF(arrears_months=0,1.00,
    IF(arrears_months=1,3.00,
    IF(arrears_months=2,5.00,
    IF(arrears_months=3,8.00,
    IF(arrears_months=4,10.00,
    IF(arrears_months=5,12.00,15.00)))))))</f>
        <v/>
      </c>
      <c r="M7394">
        <f>LET(
    seasoning_years,DATEDIF('Loan Tape (S&amp;P)'!K7394,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94">
        <f>IF(AND('Loan Tape (S&amp;P)'!U7394="Yes",
        'Loan Tape (S&amp;P)'!T7394&lt;&gt;"Yes",
        DATEDIF('Loan Tape (S&amp;P)'!K7394, TODAY(), "M")&lt;18),
    1.10,
    1.00)</f>
        <v/>
      </c>
      <c r="O7394">
        <f>IF('Loan Tape (S&amp;P)'!T7394="Yes",
    1.35,
    1.00)</f>
        <v/>
      </c>
      <c r="P7394">
        <f>IF('Loan Tape (S&amp;P)'!S7394="Yes",
    1.15,
    1.00)</f>
        <v/>
      </c>
      <c r="Q7394">
        <f>IF('Loan Tape (S&amp;P)'!V7394="Yes",
    1.20,
    1.00)</f>
        <v/>
      </c>
      <c r="T7394">
        <f>LET(
    payment_method,'Loan Tape (S&amp;P)'!P7394,
    occupancy,'Loan Tape (S&amp;P)'!N7394,
    maturity_date,'Loan Tape (S&amp;P)'!L7394,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95">
      <c r="J7395">
        <f>LET(
    lien,'Loan Tape (S&amp;P)'!Q7395,
    IF(lien="First",1.00,
        IF(lien="Second",1.50,
            1.70)))</f>
        <v/>
      </c>
      <c r="K7395">
        <f>LET(
    purpose,'Loan Tape (S&amp;P)'!R7395,
    IF(purpose="Purchase",1.00,
        IF(purpose="Remortgage",1.00,
            1.20)))</f>
        <v/>
      </c>
      <c r="L7395">
        <f>LET(
    arrears_months,'Loan Tape (S&amp;P)'!AN7395,
    IF(arrears_months=0,1.00,
    IF(arrears_months=1,3.00,
    IF(arrears_months=2,5.00,
    IF(arrears_months=3,8.00,
    IF(arrears_months=4,10.00,
    IF(arrears_months=5,12.00,15.00)))))))</f>
        <v/>
      </c>
      <c r="M7395">
        <f>LET(
    seasoning_years,DATEDIF('Loan Tape (S&amp;P)'!K7395,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95">
        <f>IF(AND('Loan Tape (S&amp;P)'!U7395="Yes",
        'Loan Tape (S&amp;P)'!T7395&lt;&gt;"Yes",
        DATEDIF('Loan Tape (S&amp;P)'!K7395, TODAY(), "M")&lt;18),
    1.10,
    1.00)</f>
        <v/>
      </c>
      <c r="O7395">
        <f>IF('Loan Tape (S&amp;P)'!T7395="Yes",
    1.35,
    1.00)</f>
        <v/>
      </c>
      <c r="P7395">
        <f>IF('Loan Tape (S&amp;P)'!S7395="Yes",
    1.15,
    1.00)</f>
        <v/>
      </c>
      <c r="Q7395">
        <f>IF('Loan Tape (S&amp;P)'!V7395="Yes",
    1.20,
    1.00)</f>
        <v/>
      </c>
      <c r="T7395">
        <f>LET(
    payment_method,'Loan Tape (S&amp;P)'!P7395,
    occupancy,'Loan Tape (S&amp;P)'!N7395,
    maturity_date,'Loan Tape (S&amp;P)'!L7395,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96">
      <c r="J7396">
        <f>LET(
    lien,'Loan Tape (S&amp;P)'!Q7396,
    IF(lien="First",1.00,
        IF(lien="Second",1.50,
            1.70)))</f>
        <v/>
      </c>
      <c r="K7396">
        <f>LET(
    purpose,'Loan Tape (S&amp;P)'!R7396,
    IF(purpose="Purchase",1.00,
        IF(purpose="Remortgage",1.00,
            1.20)))</f>
        <v/>
      </c>
      <c r="L7396">
        <f>LET(
    arrears_months,'Loan Tape (S&amp;P)'!AN7396,
    IF(arrears_months=0,1.00,
    IF(arrears_months=1,3.00,
    IF(arrears_months=2,5.00,
    IF(arrears_months=3,8.00,
    IF(arrears_months=4,10.00,
    IF(arrears_months=5,12.00,15.00)))))))</f>
        <v/>
      </c>
      <c r="M7396">
        <f>LET(
    seasoning_years,DATEDIF('Loan Tape (S&amp;P)'!K7396,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96">
        <f>IF(AND('Loan Tape (S&amp;P)'!U7396="Yes",
        'Loan Tape (S&amp;P)'!T7396&lt;&gt;"Yes",
        DATEDIF('Loan Tape (S&amp;P)'!K7396, TODAY(), "M")&lt;18),
    1.10,
    1.00)</f>
        <v/>
      </c>
      <c r="O7396">
        <f>IF('Loan Tape (S&amp;P)'!T7396="Yes",
    1.35,
    1.00)</f>
        <v/>
      </c>
      <c r="P7396">
        <f>IF('Loan Tape (S&amp;P)'!S7396="Yes",
    1.15,
    1.00)</f>
        <v/>
      </c>
      <c r="Q7396">
        <f>IF('Loan Tape (S&amp;P)'!V7396="Yes",
    1.20,
    1.00)</f>
        <v/>
      </c>
      <c r="T7396">
        <f>LET(
    payment_method,'Loan Tape (S&amp;P)'!P7396,
    occupancy,'Loan Tape (S&amp;P)'!N7396,
    maturity_date,'Loan Tape (S&amp;P)'!L7396,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97">
      <c r="J7397">
        <f>LET(
    lien,'Loan Tape (S&amp;P)'!Q7397,
    IF(lien="First",1.00,
        IF(lien="Second",1.50,
            1.70)))</f>
        <v/>
      </c>
      <c r="K7397">
        <f>LET(
    purpose,'Loan Tape (S&amp;P)'!R7397,
    IF(purpose="Purchase",1.00,
        IF(purpose="Remortgage",1.00,
            1.20)))</f>
        <v/>
      </c>
      <c r="L7397">
        <f>LET(
    arrears_months,'Loan Tape (S&amp;P)'!AN7397,
    IF(arrears_months=0,1.00,
    IF(arrears_months=1,3.00,
    IF(arrears_months=2,5.00,
    IF(arrears_months=3,8.00,
    IF(arrears_months=4,10.00,
    IF(arrears_months=5,12.00,15.00)))))))</f>
        <v/>
      </c>
      <c r="M7397">
        <f>LET(
    seasoning_years,DATEDIF('Loan Tape (S&amp;P)'!K7397,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97">
        <f>IF(AND('Loan Tape (S&amp;P)'!U7397="Yes",
        'Loan Tape (S&amp;P)'!T7397&lt;&gt;"Yes",
        DATEDIF('Loan Tape (S&amp;P)'!K7397, TODAY(), "M")&lt;18),
    1.10,
    1.00)</f>
        <v/>
      </c>
      <c r="O7397">
        <f>IF('Loan Tape (S&amp;P)'!T7397="Yes",
    1.35,
    1.00)</f>
        <v/>
      </c>
      <c r="P7397">
        <f>IF('Loan Tape (S&amp;P)'!S7397="Yes",
    1.15,
    1.00)</f>
        <v/>
      </c>
      <c r="Q7397">
        <f>IF('Loan Tape (S&amp;P)'!V7397="Yes",
    1.20,
    1.00)</f>
        <v/>
      </c>
      <c r="T7397">
        <f>LET(
    payment_method,'Loan Tape (S&amp;P)'!P7397,
    occupancy,'Loan Tape (S&amp;P)'!N7397,
    maturity_date,'Loan Tape (S&amp;P)'!L7397,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98">
      <c r="J7398">
        <f>LET(
    lien,'Loan Tape (S&amp;P)'!Q7398,
    IF(lien="First",1.00,
        IF(lien="Second",1.50,
            1.70)))</f>
        <v/>
      </c>
      <c r="K7398">
        <f>LET(
    purpose,'Loan Tape (S&amp;P)'!R7398,
    IF(purpose="Purchase",1.00,
        IF(purpose="Remortgage",1.00,
            1.20)))</f>
        <v/>
      </c>
      <c r="L7398">
        <f>LET(
    arrears_months,'Loan Tape (S&amp;P)'!AN7398,
    IF(arrears_months=0,1.00,
    IF(arrears_months=1,3.00,
    IF(arrears_months=2,5.00,
    IF(arrears_months=3,8.00,
    IF(arrears_months=4,10.00,
    IF(arrears_months=5,12.00,15.00)))))))</f>
        <v/>
      </c>
      <c r="M7398">
        <f>LET(
    seasoning_years,DATEDIF('Loan Tape (S&amp;P)'!K7398,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98">
        <f>IF(AND('Loan Tape (S&amp;P)'!U7398="Yes",
        'Loan Tape (S&amp;P)'!T7398&lt;&gt;"Yes",
        DATEDIF('Loan Tape (S&amp;P)'!K7398, TODAY(), "M")&lt;18),
    1.10,
    1.00)</f>
        <v/>
      </c>
      <c r="O7398">
        <f>IF('Loan Tape (S&amp;P)'!T7398="Yes",
    1.35,
    1.00)</f>
        <v/>
      </c>
      <c r="P7398">
        <f>IF('Loan Tape (S&amp;P)'!S7398="Yes",
    1.15,
    1.00)</f>
        <v/>
      </c>
      <c r="Q7398">
        <f>IF('Loan Tape (S&amp;P)'!V7398="Yes",
    1.20,
    1.00)</f>
        <v/>
      </c>
      <c r="T7398">
        <f>LET(
    payment_method,'Loan Tape (S&amp;P)'!P7398,
    occupancy,'Loan Tape (S&amp;P)'!N7398,
    maturity_date,'Loan Tape (S&amp;P)'!L7398,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399">
      <c r="J7399">
        <f>LET(
    lien,'Loan Tape (S&amp;P)'!Q7399,
    IF(lien="First",1.00,
        IF(lien="Second",1.50,
            1.70)))</f>
        <v/>
      </c>
      <c r="K7399">
        <f>LET(
    purpose,'Loan Tape (S&amp;P)'!R7399,
    IF(purpose="Purchase",1.00,
        IF(purpose="Remortgage",1.00,
            1.20)))</f>
        <v/>
      </c>
      <c r="L7399">
        <f>LET(
    arrears_months,'Loan Tape (S&amp;P)'!AN7399,
    IF(arrears_months=0,1.00,
    IF(arrears_months=1,3.00,
    IF(arrears_months=2,5.00,
    IF(arrears_months=3,8.00,
    IF(arrears_months=4,10.00,
    IF(arrears_months=5,12.00,15.00)))))))</f>
        <v/>
      </c>
      <c r="M7399">
        <f>LET(
    seasoning_years,DATEDIF('Loan Tape (S&amp;P)'!K7399,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399">
        <f>IF(AND('Loan Tape (S&amp;P)'!U7399="Yes",
        'Loan Tape (S&amp;P)'!T7399&lt;&gt;"Yes",
        DATEDIF('Loan Tape (S&amp;P)'!K7399, TODAY(), "M")&lt;18),
    1.10,
    1.00)</f>
        <v/>
      </c>
      <c r="O7399">
        <f>IF('Loan Tape (S&amp;P)'!T7399="Yes",
    1.35,
    1.00)</f>
        <v/>
      </c>
      <c r="P7399">
        <f>IF('Loan Tape (S&amp;P)'!S7399="Yes",
    1.15,
    1.00)</f>
        <v/>
      </c>
      <c r="Q7399">
        <f>IF('Loan Tape (S&amp;P)'!V7399="Yes",
    1.20,
    1.00)</f>
        <v/>
      </c>
      <c r="T7399">
        <f>LET(
    payment_method,'Loan Tape (S&amp;P)'!P7399,
    occupancy,'Loan Tape (S&amp;P)'!N7399,
    maturity_date,'Loan Tape (S&amp;P)'!L7399,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00">
      <c r="J7400">
        <f>LET(
    lien,'Loan Tape (S&amp;P)'!Q7400,
    IF(lien="First",1.00,
        IF(lien="Second",1.50,
            1.70)))</f>
        <v/>
      </c>
      <c r="K7400">
        <f>LET(
    purpose,'Loan Tape (S&amp;P)'!R7400,
    IF(purpose="Purchase",1.00,
        IF(purpose="Remortgage",1.00,
            1.20)))</f>
        <v/>
      </c>
      <c r="L7400">
        <f>LET(
    arrears_months,'Loan Tape (S&amp;P)'!AN7400,
    IF(arrears_months=0,1.00,
    IF(arrears_months=1,3.00,
    IF(arrears_months=2,5.00,
    IF(arrears_months=3,8.00,
    IF(arrears_months=4,10.00,
    IF(arrears_months=5,12.00,15.00)))))))</f>
        <v/>
      </c>
      <c r="M7400">
        <f>LET(
    seasoning_years,DATEDIF('Loan Tape (S&amp;P)'!K7400,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00">
        <f>IF(AND('Loan Tape (S&amp;P)'!U7400="Yes",
        'Loan Tape (S&amp;P)'!T7400&lt;&gt;"Yes",
        DATEDIF('Loan Tape (S&amp;P)'!K7400, TODAY(), "M")&lt;18),
    1.10,
    1.00)</f>
        <v/>
      </c>
      <c r="O7400">
        <f>IF('Loan Tape (S&amp;P)'!T7400="Yes",
    1.35,
    1.00)</f>
        <v/>
      </c>
      <c r="P7400">
        <f>IF('Loan Tape (S&amp;P)'!S7400="Yes",
    1.15,
    1.00)</f>
        <v/>
      </c>
      <c r="Q7400">
        <f>IF('Loan Tape (S&amp;P)'!V7400="Yes",
    1.20,
    1.00)</f>
        <v/>
      </c>
      <c r="T7400">
        <f>LET(
    payment_method,'Loan Tape (S&amp;P)'!P7400,
    occupancy,'Loan Tape (S&amp;P)'!N7400,
    maturity_date,'Loan Tape (S&amp;P)'!L7400,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01">
      <c r="J7401">
        <f>LET(
    lien,'Loan Tape (S&amp;P)'!Q7401,
    IF(lien="First",1.00,
        IF(lien="Second",1.50,
            1.70)))</f>
        <v/>
      </c>
      <c r="K7401">
        <f>LET(
    purpose,'Loan Tape (S&amp;P)'!R7401,
    IF(purpose="Purchase",1.00,
        IF(purpose="Remortgage",1.00,
            1.20)))</f>
        <v/>
      </c>
      <c r="L7401">
        <f>LET(
    arrears_months,'Loan Tape (S&amp;P)'!AN7401,
    IF(arrears_months=0,1.00,
    IF(arrears_months=1,3.00,
    IF(arrears_months=2,5.00,
    IF(arrears_months=3,8.00,
    IF(arrears_months=4,10.00,
    IF(arrears_months=5,12.00,15.00)))))))</f>
        <v/>
      </c>
      <c r="M7401">
        <f>LET(
    seasoning_years,DATEDIF('Loan Tape (S&amp;P)'!K7401,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01">
        <f>IF(AND('Loan Tape (S&amp;P)'!U7401="Yes",
        'Loan Tape (S&amp;P)'!T7401&lt;&gt;"Yes",
        DATEDIF('Loan Tape (S&amp;P)'!K7401, TODAY(), "M")&lt;18),
    1.10,
    1.00)</f>
        <v/>
      </c>
      <c r="O7401">
        <f>IF('Loan Tape (S&amp;P)'!T7401="Yes",
    1.35,
    1.00)</f>
        <v/>
      </c>
      <c r="P7401">
        <f>IF('Loan Tape (S&amp;P)'!S7401="Yes",
    1.15,
    1.00)</f>
        <v/>
      </c>
      <c r="Q7401">
        <f>IF('Loan Tape (S&amp;P)'!V7401="Yes",
    1.20,
    1.00)</f>
        <v/>
      </c>
      <c r="T7401">
        <f>LET(
    payment_method,'Loan Tape (S&amp;P)'!P7401,
    occupancy,'Loan Tape (S&amp;P)'!N7401,
    maturity_date,'Loan Tape (S&amp;P)'!L7401,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02">
      <c r="J7402">
        <f>LET(
    lien,'Loan Tape (S&amp;P)'!Q7402,
    IF(lien="First",1.00,
        IF(lien="Second",1.50,
            1.70)))</f>
        <v/>
      </c>
      <c r="K7402">
        <f>LET(
    purpose,'Loan Tape (S&amp;P)'!R7402,
    IF(purpose="Purchase",1.00,
        IF(purpose="Remortgage",1.00,
            1.20)))</f>
        <v/>
      </c>
      <c r="L7402">
        <f>LET(
    arrears_months,'Loan Tape (S&amp;P)'!AN7402,
    IF(arrears_months=0,1.00,
    IF(arrears_months=1,3.00,
    IF(arrears_months=2,5.00,
    IF(arrears_months=3,8.00,
    IF(arrears_months=4,10.00,
    IF(arrears_months=5,12.00,15.00)))))))</f>
        <v/>
      </c>
      <c r="M7402">
        <f>LET(
    seasoning_years,DATEDIF('Loan Tape (S&amp;P)'!K7402,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02">
        <f>IF(AND('Loan Tape (S&amp;P)'!U7402="Yes",
        'Loan Tape (S&amp;P)'!T7402&lt;&gt;"Yes",
        DATEDIF('Loan Tape (S&amp;P)'!K7402, TODAY(), "M")&lt;18),
    1.10,
    1.00)</f>
        <v/>
      </c>
      <c r="O7402">
        <f>IF('Loan Tape (S&amp;P)'!T7402="Yes",
    1.35,
    1.00)</f>
        <v/>
      </c>
      <c r="P7402">
        <f>IF('Loan Tape (S&amp;P)'!S7402="Yes",
    1.15,
    1.00)</f>
        <v/>
      </c>
      <c r="Q7402">
        <f>IF('Loan Tape (S&amp;P)'!V7402="Yes",
    1.20,
    1.00)</f>
        <v/>
      </c>
      <c r="T7402">
        <f>LET(
    payment_method,'Loan Tape (S&amp;P)'!P7402,
    occupancy,'Loan Tape (S&amp;P)'!N7402,
    maturity_date,'Loan Tape (S&amp;P)'!L7402,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03">
      <c r="J7403">
        <f>LET(
    lien,'Loan Tape (S&amp;P)'!Q7403,
    IF(lien="First",1.00,
        IF(lien="Second",1.50,
            1.70)))</f>
        <v/>
      </c>
      <c r="K7403">
        <f>LET(
    purpose,'Loan Tape (S&amp;P)'!R7403,
    IF(purpose="Purchase",1.00,
        IF(purpose="Remortgage",1.00,
            1.20)))</f>
        <v/>
      </c>
      <c r="L7403">
        <f>LET(
    arrears_months,'Loan Tape (S&amp;P)'!AN7403,
    IF(arrears_months=0,1.00,
    IF(arrears_months=1,3.00,
    IF(arrears_months=2,5.00,
    IF(arrears_months=3,8.00,
    IF(arrears_months=4,10.00,
    IF(arrears_months=5,12.00,15.00)))))))</f>
        <v/>
      </c>
      <c r="M7403">
        <f>LET(
    seasoning_years,DATEDIF('Loan Tape (S&amp;P)'!K7403,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03">
        <f>IF(AND('Loan Tape (S&amp;P)'!U7403="Yes",
        'Loan Tape (S&amp;P)'!T7403&lt;&gt;"Yes",
        DATEDIF('Loan Tape (S&amp;P)'!K7403, TODAY(), "M")&lt;18),
    1.10,
    1.00)</f>
        <v/>
      </c>
      <c r="O7403">
        <f>IF('Loan Tape (S&amp;P)'!T7403="Yes",
    1.35,
    1.00)</f>
        <v/>
      </c>
      <c r="P7403">
        <f>IF('Loan Tape (S&amp;P)'!S7403="Yes",
    1.15,
    1.00)</f>
        <v/>
      </c>
      <c r="Q7403">
        <f>IF('Loan Tape (S&amp;P)'!V7403="Yes",
    1.20,
    1.00)</f>
        <v/>
      </c>
      <c r="T7403">
        <f>LET(
    payment_method,'Loan Tape (S&amp;P)'!P7403,
    occupancy,'Loan Tape (S&amp;P)'!N7403,
    maturity_date,'Loan Tape (S&amp;P)'!L7403,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04">
      <c r="J7404">
        <f>LET(
    lien,'Loan Tape (S&amp;P)'!Q7404,
    IF(lien="First",1.00,
        IF(lien="Second",1.50,
            1.70)))</f>
        <v/>
      </c>
      <c r="K7404">
        <f>LET(
    purpose,'Loan Tape (S&amp;P)'!R7404,
    IF(purpose="Purchase",1.00,
        IF(purpose="Remortgage",1.00,
            1.20)))</f>
        <v/>
      </c>
      <c r="L7404">
        <f>LET(
    arrears_months,'Loan Tape (S&amp;P)'!AN7404,
    IF(arrears_months=0,1.00,
    IF(arrears_months=1,3.00,
    IF(arrears_months=2,5.00,
    IF(arrears_months=3,8.00,
    IF(arrears_months=4,10.00,
    IF(arrears_months=5,12.00,15.00)))))))</f>
        <v/>
      </c>
      <c r="M7404">
        <f>LET(
    seasoning_years,DATEDIF('Loan Tape (S&amp;P)'!K7404,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04">
        <f>IF(AND('Loan Tape (S&amp;P)'!U7404="Yes",
        'Loan Tape (S&amp;P)'!T7404&lt;&gt;"Yes",
        DATEDIF('Loan Tape (S&amp;P)'!K7404, TODAY(), "M")&lt;18),
    1.10,
    1.00)</f>
        <v/>
      </c>
      <c r="O7404">
        <f>IF('Loan Tape (S&amp;P)'!T7404="Yes",
    1.35,
    1.00)</f>
        <v/>
      </c>
      <c r="P7404">
        <f>IF('Loan Tape (S&amp;P)'!S7404="Yes",
    1.15,
    1.00)</f>
        <v/>
      </c>
      <c r="Q7404">
        <f>IF('Loan Tape (S&amp;P)'!V7404="Yes",
    1.20,
    1.00)</f>
        <v/>
      </c>
      <c r="T7404">
        <f>LET(
    payment_method,'Loan Tape (S&amp;P)'!P7404,
    occupancy,'Loan Tape (S&amp;P)'!N7404,
    maturity_date,'Loan Tape (S&amp;P)'!L7404,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05">
      <c r="J7405">
        <f>LET(
    lien,'Loan Tape (S&amp;P)'!Q7405,
    IF(lien="First",1.00,
        IF(lien="Second",1.50,
            1.70)))</f>
        <v/>
      </c>
      <c r="K7405">
        <f>LET(
    purpose,'Loan Tape (S&amp;P)'!R7405,
    IF(purpose="Purchase",1.00,
        IF(purpose="Remortgage",1.00,
            1.20)))</f>
        <v/>
      </c>
      <c r="L7405">
        <f>LET(
    arrears_months,'Loan Tape (S&amp;P)'!AN7405,
    IF(arrears_months=0,1.00,
    IF(arrears_months=1,3.00,
    IF(arrears_months=2,5.00,
    IF(arrears_months=3,8.00,
    IF(arrears_months=4,10.00,
    IF(arrears_months=5,12.00,15.00)))))))</f>
        <v/>
      </c>
      <c r="M7405">
        <f>LET(
    seasoning_years,DATEDIF('Loan Tape (S&amp;P)'!K7405,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05">
        <f>IF(AND('Loan Tape (S&amp;P)'!U7405="Yes",
        'Loan Tape (S&amp;P)'!T7405&lt;&gt;"Yes",
        DATEDIF('Loan Tape (S&amp;P)'!K7405, TODAY(), "M")&lt;18),
    1.10,
    1.00)</f>
        <v/>
      </c>
      <c r="O7405">
        <f>IF('Loan Tape (S&amp;P)'!T7405="Yes",
    1.35,
    1.00)</f>
        <v/>
      </c>
      <c r="P7405">
        <f>IF('Loan Tape (S&amp;P)'!S7405="Yes",
    1.15,
    1.00)</f>
        <v/>
      </c>
      <c r="Q7405">
        <f>IF('Loan Tape (S&amp;P)'!V7405="Yes",
    1.20,
    1.00)</f>
        <v/>
      </c>
      <c r="T7405">
        <f>LET(
    payment_method,'Loan Tape (S&amp;P)'!P7405,
    occupancy,'Loan Tape (S&amp;P)'!N7405,
    maturity_date,'Loan Tape (S&amp;P)'!L7405,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06">
      <c r="J7406">
        <f>LET(
    lien,'Loan Tape (S&amp;P)'!Q7406,
    IF(lien="First",1.00,
        IF(lien="Second",1.50,
            1.70)))</f>
        <v/>
      </c>
      <c r="K7406">
        <f>LET(
    purpose,'Loan Tape (S&amp;P)'!R7406,
    IF(purpose="Purchase",1.00,
        IF(purpose="Remortgage",1.00,
            1.20)))</f>
        <v/>
      </c>
      <c r="L7406">
        <f>LET(
    arrears_months,'Loan Tape (S&amp;P)'!AN7406,
    IF(arrears_months=0,1.00,
    IF(arrears_months=1,3.00,
    IF(arrears_months=2,5.00,
    IF(arrears_months=3,8.00,
    IF(arrears_months=4,10.00,
    IF(arrears_months=5,12.00,15.00)))))))</f>
        <v/>
      </c>
      <c r="M7406">
        <f>LET(
    seasoning_years,DATEDIF('Loan Tape (S&amp;P)'!K7406,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06">
        <f>IF(AND('Loan Tape (S&amp;P)'!U7406="Yes",
        'Loan Tape (S&amp;P)'!T7406&lt;&gt;"Yes",
        DATEDIF('Loan Tape (S&amp;P)'!K7406, TODAY(), "M")&lt;18),
    1.10,
    1.00)</f>
        <v/>
      </c>
      <c r="O7406">
        <f>IF('Loan Tape (S&amp;P)'!T7406="Yes",
    1.35,
    1.00)</f>
        <v/>
      </c>
      <c r="P7406">
        <f>IF('Loan Tape (S&amp;P)'!S7406="Yes",
    1.15,
    1.00)</f>
        <v/>
      </c>
      <c r="Q7406">
        <f>IF('Loan Tape (S&amp;P)'!V7406="Yes",
    1.20,
    1.00)</f>
        <v/>
      </c>
      <c r="T7406">
        <f>LET(
    payment_method,'Loan Tape (S&amp;P)'!P7406,
    occupancy,'Loan Tape (S&amp;P)'!N7406,
    maturity_date,'Loan Tape (S&amp;P)'!L7406,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07">
      <c r="J7407">
        <f>LET(
    lien,'Loan Tape (S&amp;P)'!Q7407,
    IF(lien="First",1.00,
        IF(lien="Second",1.50,
            1.70)))</f>
        <v/>
      </c>
      <c r="K7407">
        <f>LET(
    purpose,'Loan Tape (S&amp;P)'!R7407,
    IF(purpose="Purchase",1.00,
        IF(purpose="Remortgage",1.00,
            1.20)))</f>
        <v/>
      </c>
      <c r="L7407">
        <f>LET(
    arrears_months,'Loan Tape (S&amp;P)'!AN7407,
    IF(arrears_months=0,1.00,
    IF(arrears_months=1,3.00,
    IF(arrears_months=2,5.00,
    IF(arrears_months=3,8.00,
    IF(arrears_months=4,10.00,
    IF(arrears_months=5,12.00,15.00)))))))</f>
        <v/>
      </c>
      <c r="M7407">
        <f>LET(
    seasoning_years,DATEDIF('Loan Tape (S&amp;P)'!K7407,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07">
        <f>IF(AND('Loan Tape (S&amp;P)'!U7407="Yes",
        'Loan Tape (S&amp;P)'!T7407&lt;&gt;"Yes",
        DATEDIF('Loan Tape (S&amp;P)'!K7407, TODAY(), "M")&lt;18),
    1.10,
    1.00)</f>
        <v/>
      </c>
      <c r="O7407">
        <f>IF('Loan Tape (S&amp;P)'!T7407="Yes",
    1.35,
    1.00)</f>
        <v/>
      </c>
      <c r="P7407">
        <f>IF('Loan Tape (S&amp;P)'!S7407="Yes",
    1.15,
    1.00)</f>
        <v/>
      </c>
      <c r="Q7407">
        <f>IF('Loan Tape (S&amp;P)'!V7407="Yes",
    1.20,
    1.00)</f>
        <v/>
      </c>
      <c r="T7407">
        <f>LET(
    payment_method,'Loan Tape (S&amp;P)'!P7407,
    occupancy,'Loan Tape (S&amp;P)'!N7407,
    maturity_date,'Loan Tape (S&amp;P)'!L7407,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08">
      <c r="J7408">
        <f>LET(
    lien,'Loan Tape (S&amp;P)'!Q7408,
    IF(lien="First",1.00,
        IF(lien="Second",1.50,
            1.70)))</f>
        <v/>
      </c>
      <c r="K7408">
        <f>LET(
    purpose,'Loan Tape (S&amp;P)'!R7408,
    IF(purpose="Purchase",1.00,
        IF(purpose="Remortgage",1.00,
            1.20)))</f>
        <v/>
      </c>
      <c r="L7408">
        <f>LET(
    arrears_months,'Loan Tape (S&amp;P)'!AN7408,
    IF(arrears_months=0,1.00,
    IF(arrears_months=1,3.00,
    IF(arrears_months=2,5.00,
    IF(arrears_months=3,8.00,
    IF(arrears_months=4,10.00,
    IF(arrears_months=5,12.00,15.00)))))))</f>
        <v/>
      </c>
      <c r="M7408">
        <f>LET(
    seasoning_years,DATEDIF('Loan Tape (S&amp;P)'!K7408,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08">
        <f>IF(AND('Loan Tape (S&amp;P)'!U7408="Yes",
        'Loan Tape (S&amp;P)'!T7408&lt;&gt;"Yes",
        DATEDIF('Loan Tape (S&amp;P)'!K7408, TODAY(), "M")&lt;18),
    1.10,
    1.00)</f>
        <v/>
      </c>
      <c r="O7408">
        <f>IF('Loan Tape (S&amp;P)'!T7408="Yes",
    1.35,
    1.00)</f>
        <v/>
      </c>
      <c r="P7408">
        <f>IF('Loan Tape (S&amp;P)'!S7408="Yes",
    1.15,
    1.00)</f>
        <v/>
      </c>
      <c r="Q7408">
        <f>IF('Loan Tape (S&amp;P)'!V7408="Yes",
    1.20,
    1.00)</f>
        <v/>
      </c>
      <c r="T7408">
        <f>LET(
    payment_method,'Loan Tape (S&amp;P)'!P7408,
    occupancy,'Loan Tape (S&amp;P)'!N7408,
    maturity_date,'Loan Tape (S&amp;P)'!L7408,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09">
      <c r="J7409">
        <f>LET(
    lien,'Loan Tape (S&amp;P)'!Q7409,
    IF(lien="First",1.00,
        IF(lien="Second",1.50,
            1.70)))</f>
        <v/>
      </c>
      <c r="K7409">
        <f>LET(
    purpose,'Loan Tape (S&amp;P)'!R7409,
    IF(purpose="Purchase",1.00,
        IF(purpose="Remortgage",1.00,
            1.20)))</f>
        <v/>
      </c>
      <c r="L7409">
        <f>LET(
    arrears_months,'Loan Tape (S&amp;P)'!AN7409,
    IF(arrears_months=0,1.00,
    IF(arrears_months=1,3.00,
    IF(arrears_months=2,5.00,
    IF(arrears_months=3,8.00,
    IF(arrears_months=4,10.00,
    IF(arrears_months=5,12.00,15.00)))))))</f>
        <v/>
      </c>
      <c r="M7409">
        <f>LET(
    seasoning_years,DATEDIF('Loan Tape (S&amp;P)'!K7409,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09">
        <f>IF(AND('Loan Tape (S&amp;P)'!U7409="Yes",
        'Loan Tape (S&amp;P)'!T7409&lt;&gt;"Yes",
        DATEDIF('Loan Tape (S&amp;P)'!K7409, TODAY(), "M")&lt;18),
    1.10,
    1.00)</f>
        <v/>
      </c>
      <c r="O7409">
        <f>IF('Loan Tape (S&amp;P)'!T7409="Yes",
    1.35,
    1.00)</f>
        <v/>
      </c>
      <c r="P7409">
        <f>IF('Loan Tape (S&amp;P)'!S7409="Yes",
    1.15,
    1.00)</f>
        <v/>
      </c>
      <c r="Q7409">
        <f>IF('Loan Tape (S&amp;P)'!V7409="Yes",
    1.20,
    1.00)</f>
        <v/>
      </c>
      <c r="T7409">
        <f>LET(
    payment_method,'Loan Tape (S&amp;P)'!P7409,
    occupancy,'Loan Tape (S&amp;P)'!N7409,
    maturity_date,'Loan Tape (S&amp;P)'!L7409,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10">
      <c r="J7410">
        <f>LET(
    lien,'Loan Tape (S&amp;P)'!Q7410,
    IF(lien="First",1.00,
        IF(lien="Second",1.50,
            1.70)))</f>
        <v/>
      </c>
      <c r="K7410">
        <f>LET(
    purpose,'Loan Tape (S&amp;P)'!R7410,
    IF(purpose="Purchase",1.00,
        IF(purpose="Remortgage",1.00,
            1.20)))</f>
        <v/>
      </c>
      <c r="L7410">
        <f>LET(
    arrears_months,'Loan Tape (S&amp;P)'!AN7410,
    IF(arrears_months=0,1.00,
    IF(arrears_months=1,3.00,
    IF(arrears_months=2,5.00,
    IF(arrears_months=3,8.00,
    IF(arrears_months=4,10.00,
    IF(arrears_months=5,12.00,15.00)))))))</f>
        <v/>
      </c>
      <c r="M7410">
        <f>LET(
    seasoning_years,DATEDIF('Loan Tape (S&amp;P)'!K7410,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10">
        <f>IF(AND('Loan Tape (S&amp;P)'!U7410="Yes",
        'Loan Tape (S&amp;P)'!T7410&lt;&gt;"Yes",
        DATEDIF('Loan Tape (S&amp;P)'!K7410, TODAY(), "M")&lt;18),
    1.10,
    1.00)</f>
        <v/>
      </c>
      <c r="O7410">
        <f>IF('Loan Tape (S&amp;P)'!T7410="Yes",
    1.35,
    1.00)</f>
        <v/>
      </c>
      <c r="P7410">
        <f>IF('Loan Tape (S&amp;P)'!S7410="Yes",
    1.15,
    1.00)</f>
        <v/>
      </c>
      <c r="Q7410">
        <f>IF('Loan Tape (S&amp;P)'!V7410="Yes",
    1.20,
    1.00)</f>
        <v/>
      </c>
      <c r="T7410">
        <f>LET(
    payment_method,'Loan Tape (S&amp;P)'!P7410,
    occupancy,'Loan Tape (S&amp;P)'!N7410,
    maturity_date,'Loan Tape (S&amp;P)'!L7410,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11">
      <c r="J7411">
        <f>LET(
    lien,'Loan Tape (S&amp;P)'!Q7411,
    IF(lien="First",1.00,
        IF(lien="Second",1.50,
            1.70)))</f>
        <v/>
      </c>
      <c r="K7411">
        <f>LET(
    purpose,'Loan Tape (S&amp;P)'!R7411,
    IF(purpose="Purchase",1.00,
        IF(purpose="Remortgage",1.00,
            1.20)))</f>
        <v/>
      </c>
      <c r="L7411">
        <f>LET(
    arrears_months,'Loan Tape (S&amp;P)'!AN7411,
    IF(arrears_months=0,1.00,
    IF(arrears_months=1,3.00,
    IF(arrears_months=2,5.00,
    IF(arrears_months=3,8.00,
    IF(arrears_months=4,10.00,
    IF(arrears_months=5,12.00,15.00)))))))</f>
        <v/>
      </c>
      <c r="M7411">
        <f>LET(
    seasoning_years,DATEDIF('Loan Tape (S&amp;P)'!K7411,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11">
        <f>IF(AND('Loan Tape (S&amp;P)'!U7411="Yes",
        'Loan Tape (S&amp;P)'!T7411&lt;&gt;"Yes",
        DATEDIF('Loan Tape (S&amp;P)'!K7411, TODAY(), "M")&lt;18),
    1.10,
    1.00)</f>
        <v/>
      </c>
      <c r="O7411">
        <f>IF('Loan Tape (S&amp;P)'!T7411="Yes",
    1.35,
    1.00)</f>
        <v/>
      </c>
      <c r="P7411">
        <f>IF('Loan Tape (S&amp;P)'!S7411="Yes",
    1.15,
    1.00)</f>
        <v/>
      </c>
      <c r="Q7411">
        <f>IF('Loan Tape (S&amp;P)'!V7411="Yes",
    1.20,
    1.00)</f>
        <v/>
      </c>
      <c r="T7411">
        <f>LET(
    payment_method,'Loan Tape (S&amp;P)'!P7411,
    occupancy,'Loan Tape (S&amp;P)'!N7411,
    maturity_date,'Loan Tape (S&amp;P)'!L7411,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12">
      <c r="J7412">
        <f>LET(
    lien,'Loan Tape (S&amp;P)'!Q7412,
    IF(lien="First",1.00,
        IF(lien="Second",1.50,
            1.70)))</f>
        <v/>
      </c>
      <c r="K7412">
        <f>LET(
    purpose,'Loan Tape (S&amp;P)'!R7412,
    IF(purpose="Purchase",1.00,
        IF(purpose="Remortgage",1.00,
            1.20)))</f>
        <v/>
      </c>
      <c r="L7412">
        <f>LET(
    arrears_months,'Loan Tape (S&amp;P)'!AN7412,
    IF(arrears_months=0,1.00,
    IF(arrears_months=1,3.00,
    IF(arrears_months=2,5.00,
    IF(arrears_months=3,8.00,
    IF(arrears_months=4,10.00,
    IF(arrears_months=5,12.00,15.00)))))))</f>
        <v/>
      </c>
      <c r="M7412">
        <f>LET(
    seasoning_years,DATEDIF('Loan Tape (S&amp;P)'!K7412,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12">
        <f>IF(AND('Loan Tape (S&amp;P)'!U7412="Yes",
        'Loan Tape (S&amp;P)'!T7412&lt;&gt;"Yes",
        DATEDIF('Loan Tape (S&amp;P)'!K7412, TODAY(), "M")&lt;18),
    1.10,
    1.00)</f>
        <v/>
      </c>
      <c r="O7412">
        <f>IF('Loan Tape (S&amp;P)'!T7412="Yes",
    1.35,
    1.00)</f>
        <v/>
      </c>
      <c r="P7412">
        <f>IF('Loan Tape (S&amp;P)'!S7412="Yes",
    1.15,
    1.00)</f>
        <v/>
      </c>
      <c r="Q7412">
        <f>IF('Loan Tape (S&amp;P)'!V7412="Yes",
    1.20,
    1.00)</f>
        <v/>
      </c>
      <c r="T7412">
        <f>LET(
    payment_method,'Loan Tape (S&amp;P)'!P7412,
    occupancy,'Loan Tape (S&amp;P)'!N7412,
    maturity_date,'Loan Tape (S&amp;P)'!L7412,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13">
      <c r="J7413">
        <f>LET(
    lien,'Loan Tape (S&amp;P)'!Q7413,
    IF(lien="First",1.00,
        IF(lien="Second",1.50,
            1.70)))</f>
        <v/>
      </c>
      <c r="K7413">
        <f>LET(
    purpose,'Loan Tape (S&amp;P)'!R7413,
    IF(purpose="Purchase",1.00,
        IF(purpose="Remortgage",1.00,
            1.20)))</f>
        <v/>
      </c>
      <c r="L7413">
        <f>LET(
    arrears_months,'Loan Tape (S&amp;P)'!AN7413,
    IF(arrears_months=0,1.00,
    IF(arrears_months=1,3.00,
    IF(arrears_months=2,5.00,
    IF(arrears_months=3,8.00,
    IF(arrears_months=4,10.00,
    IF(arrears_months=5,12.00,15.00)))))))</f>
        <v/>
      </c>
      <c r="M7413">
        <f>LET(
    seasoning_years,DATEDIF('Loan Tape (S&amp;P)'!K7413,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13">
        <f>IF(AND('Loan Tape (S&amp;P)'!U7413="Yes",
        'Loan Tape (S&amp;P)'!T7413&lt;&gt;"Yes",
        DATEDIF('Loan Tape (S&amp;P)'!K7413, TODAY(), "M")&lt;18),
    1.10,
    1.00)</f>
        <v/>
      </c>
      <c r="O7413">
        <f>IF('Loan Tape (S&amp;P)'!T7413="Yes",
    1.35,
    1.00)</f>
        <v/>
      </c>
      <c r="P7413">
        <f>IF('Loan Tape (S&amp;P)'!S7413="Yes",
    1.15,
    1.00)</f>
        <v/>
      </c>
      <c r="Q7413">
        <f>IF('Loan Tape (S&amp;P)'!V7413="Yes",
    1.20,
    1.00)</f>
        <v/>
      </c>
      <c r="T7413">
        <f>LET(
    payment_method,'Loan Tape (S&amp;P)'!P7413,
    occupancy,'Loan Tape (S&amp;P)'!N7413,
    maturity_date,'Loan Tape (S&amp;P)'!L7413,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14">
      <c r="J7414">
        <f>LET(
    lien,'Loan Tape (S&amp;P)'!Q7414,
    IF(lien="First",1.00,
        IF(lien="Second",1.50,
            1.70)))</f>
        <v/>
      </c>
      <c r="K7414">
        <f>LET(
    purpose,'Loan Tape (S&amp;P)'!R7414,
    IF(purpose="Purchase",1.00,
        IF(purpose="Remortgage",1.00,
            1.20)))</f>
        <v/>
      </c>
      <c r="L7414">
        <f>LET(
    arrears_months,'Loan Tape (S&amp;P)'!AN7414,
    IF(arrears_months=0,1.00,
    IF(arrears_months=1,3.00,
    IF(arrears_months=2,5.00,
    IF(arrears_months=3,8.00,
    IF(arrears_months=4,10.00,
    IF(arrears_months=5,12.00,15.00)))))))</f>
        <v/>
      </c>
      <c r="M7414">
        <f>LET(
    seasoning_years,DATEDIF('Loan Tape (S&amp;P)'!K7414,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14">
        <f>IF(AND('Loan Tape (S&amp;P)'!U7414="Yes",
        'Loan Tape (S&amp;P)'!T7414&lt;&gt;"Yes",
        DATEDIF('Loan Tape (S&amp;P)'!K7414, TODAY(), "M")&lt;18),
    1.10,
    1.00)</f>
        <v/>
      </c>
      <c r="O7414">
        <f>IF('Loan Tape (S&amp;P)'!T7414="Yes",
    1.35,
    1.00)</f>
        <v/>
      </c>
      <c r="P7414">
        <f>IF('Loan Tape (S&amp;P)'!S7414="Yes",
    1.15,
    1.00)</f>
        <v/>
      </c>
      <c r="Q7414">
        <f>IF('Loan Tape (S&amp;P)'!V7414="Yes",
    1.20,
    1.00)</f>
        <v/>
      </c>
      <c r="T7414">
        <f>LET(
    payment_method,'Loan Tape (S&amp;P)'!P7414,
    occupancy,'Loan Tape (S&amp;P)'!N7414,
    maturity_date,'Loan Tape (S&amp;P)'!L7414,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15">
      <c r="J7415">
        <f>LET(
    lien,'Loan Tape (S&amp;P)'!Q7415,
    IF(lien="First",1.00,
        IF(lien="Second",1.50,
            1.70)))</f>
        <v/>
      </c>
      <c r="K7415">
        <f>LET(
    purpose,'Loan Tape (S&amp;P)'!R7415,
    IF(purpose="Purchase",1.00,
        IF(purpose="Remortgage",1.00,
            1.20)))</f>
        <v/>
      </c>
      <c r="L7415">
        <f>LET(
    arrears_months,'Loan Tape (S&amp;P)'!AN7415,
    IF(arrears_months=0,1.00,
    IF(arrears_months=1,3.00,
    IF(arrears_months=2,5.00,
    IF(arrears_months=3,8.00,
    IF(arrears_months=4,10.00,
    IF(arrears_months=5,12.00,15.00)))))))</f>
        <v/>
      </c>
      <c r="M7415">
        <f>LET(
    seasoning_years,DATEDIF('Loan Tape (S&amp;P)'!K7415,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15">
        <f>IF(AND('Loan Tape (S&amp;P)'!U7415="Yes",
        'Loan Tape (S&amp;P)'!T7415&lt;&gt;"Yes",
        DATEDIF('Loan Tape (S&amp;P)'!K7415, TODAY(), "M")&lt;18),
    1.10,
    1.00)</f>
        <v/>
      </c>
      <c r="O7415">
        <f>IF('Loan Tape (S&amp;P)'!T7415="Yes",
    1.35,
    1.00)</f>
        <v/>
      </c>
      <c r="P7415">
        <f>IF('Loan Tape (S&amp;P)'!S7415="Yes",
    1.15,
    1.00)</f>
        <v/>
      </c>
      <c r="Q7415">
        <f>IF('Loan Tape (S&amp;P)'!V7415="Yes",
    1.20,
    1.00)</f>
        <v/>
      </c>
      <c r="T7415">
        <f>LET(
    payment_method,'Loan Tape (S&amp;P)'!P7415,
    occupancy,'Loan Tape (S&amp;P)'!N7415,
    maturity_date,'Loan Tape (S&amp;P)'!L7415,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16">
      <c r="J7416">
        <f>LET(
    lien,'Loan Tape (S&amp;P)'!Q7416,
    IF(lien="First",1.00,
        IF(lien="Second",1.50,
            1.70)))</f>
        <v/>
      </c>
      <c r="K7416">
        <f>LET(
    purpose,'Loan Tape (S&amp;P)'!R7416,
    IF(purpose="Purchase",1.00,
        IF(purpose="Remortgage",1.00,
            1.20)))</f>
        <v/>
      </c>
      <c r="L7416">
        <f>LET(
    arrears_months,'Loan Tape (S&amp;P)'!AN7416,
    IF(arrears_months=0,1.00,
    IF(arrears_months=1,3.00,
    IF(arrears_months=2,5.00,
    IF(arrears_months=3,8.00,
    IF(arrears_months=4,10.00,
    IF(arrears_months=5,12.00,15.00)))))))</f>
        <v/>
      </c>
      <c r="M7416">
        <f>LET(
    seasoning_years,DATEDIF('Loan Tape (S&amp;P)'!K7416,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16">
        <f>IF(AND('Loan Tape (S&amp;P)'!U7416="Yes",
        'Loan Tape (S&amp;P)'!T7416&lt;&gt;"Yes",
        DATEDIF('Loan Tape (S&amp;P)'!K7416, TODAY(), "M")&lt;18),
    1.10,
    1.00)</f>
        <v/>
      </c>
      <c r="O7416">
        <f>IF('Loan Tape (S&amp;P)'!T7416="Yes",
    1.35,
    1.00)</f>
        <v/>
      </c>
      <c r="P7416">
        <f>IF('Loan Tape (S&amp;P)'!S7416="Yes",
    1.15,
    1.00)</f>
        <v/>
      </c>
      <c r="Q7416">
        <f>IF('Loan Tape (S&amp;P)'!V7416="Yes",
    1.20,
    1.00)</f>
        <v/>
      </c>
      <c r="T7416">
        <f>LET(
    payment_method,'Loan Tape (S&amp;P)'!P7416,
    occupancy,'Loan Tape (S&amp;P)'!N7416,
    maturity_date,'Loan Tape (S&amp;P)'!L7416,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17">
      <c r="J7417">
        <f>LET(
    lien,'Loan Tape (S&amp;P)'!Q7417,
    IF(lien="First",1.00,
        IF(lien="Second",1.50,
            1.70)))</f>
        <v/>
      </c>
      <c r="K7417">
        <f>LET(
    purpose,'Loan Tape (S&amp;P)'!R7417,
    IF(purpose="Purchase",1.00,
        IF(purpose="Remortgage",1.00,
            1.20)))</f>
        <v/>
      </c>
      <c r="L7417">
        <f>LET(
    arrears_months,'Loan Tape (S&amp;P)'!AN7417,
    IF(arrears_months=0,1.00,
    IF(arrears_months=1,3.00,
    IF(arrears_months=2,5.00,
    IF(arrears_months=3,8.00,
    IF(arrears_months=4,10.00,
    IF(arrears_months=5,12.00,15.00)))))))</f>
        <v/>
      </c>
      <c r="M7417">
        <f>LET(
    seasoning_years,DATEDIF('Loan Tape (S&amp;P)'!K7417,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17">
        <f>IF(AND('Loan Tape (S&amp;P)'!U7417="Yes",
        'Loan Tape (S&amp;P)'!T7417&lt;&gt;"Yes",
        DATEDIF('Loan Tape (S&amp;P)'!K7417, TODAY(), "M")&lt;18),
    1.10,
    1.00)</f>
        <v/>
      </c>
      <c r="O7417">
        <f>IF('Loan Tape (S&amp;P)'!T7417="Yes",
    1.35,
    1.00)</f>
        <v/>
      </c>
      <c r="P7417">
        <f>IF('Loan Tape (S&amp;P)'!S7417="Yes",
    1.15,
    1.00)</f>
        <v/>
      </c>
      <c r="Q7417">
        <f>IF('Loan Tape (S&amp;P)'!V7417="Yes",
    1.20,
    1.00)</f>
        <v/>
      </c>
      <c r="T7417">
        <f>LET(
    payment_method,'Loan Tape (S&amp;P)'!P7417,
    occupancy,'Loan Tape (S&amp;P)'!N7417,
    maturity_date,'Loan Tape (S&amp;P)'!L7417,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18">
      <c r="J7418">
        <f>LET(
    lien,'Loan Tape (S&amp;P)'!Q7418,
    IF(lien="First",1.00,
        IF(lien="Second",1.50,
            1.70)))</f>
        <v/>
      </c>
      <c r="K7418">
        <f>LET(
    purpose,'Loan Tape (S&amp;P)'!R7418,
    IF(purpose="Purchase",1.00,
        IF(purpose="Remortgage",1.00,
            1.20)))</f>
        <v/>
      </c>
      <c r="L7418">
        <f>LET(
    arrears_months,'Loan Tape (S&amp;P)'!AN7418,
    IF(arrears_months=0,1.00,
    IF(arrears_months=1,3.00,
    IF(arrears_months=2,5.00,
    IF(arrears_months=3,8.00,
    IF(arrears_months=4,10.00,
    IF(arrears_months=5,12.00,15.00)))))))</f>
        <v/>
      </c>
      <c r="M7418">
        <f>LET(
    seasoning_years,DATEDIF('Loan Tape (S&amp;P)'!K7418,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18">
        <f>IF(AND('Loan Tape (S&amp;P)'!U7418="Yes",
        'Loan Tape (S&amp;P)'!T7418&lt;&gt;"Yes",
        DATEDIF('Loan Tape (S&amp;P)'!K7418, TODAY(), "M")&lt;18),
    1.10,
    1.00)</f>
        <v/>
      </c>
      <c r="O7418">
        <f>IF('Loan Tape (S&amp;P)'!T7418="Yes",
    1.35,
    1.00)</f>
        <v/>
      </c>
      <c r="P7418">
        <f>IF('Loan Tape (S&amp;P)'!S7418="Yes",
    1.15,
    1.00)</f>
        <v/>
      </c>
      <c r="Q7418">
        <f>IF('Loan Tape (S&amp;P)'!V7418="Yes",
    1.20,
    1.00)</f>
        <v/>
      </c>
      <c r="T7418">
        <f>LET(
    payment_method,'Loan Tape (S&amp;P)'!P7418,
    occupancy,'Loan Tape (S&amp;P)'!N7418,
    maturity_date,'Loan Tape (S&amp;P)'!L7418,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19">
      <c r="J7419">
        <f>LET(
    lien,'Loan Tape (S&amp;P)'!Q7419,
    IF(lien="First",1.00,
        IF(lien="Second",1.50,
            1.70)))</f>
        <v/>
      </c>
      <c r="K7419">
        <f>LET(
    purpose,'Loan Tape (S&amp;P)'!R7419,
    IF(purpose="Purchase",1.00,
        IF(purpose="Remortgage",1.00,
            1.20)))</f>
        <v/>
      </c>
      <c r="L7419">
        <f>LET(
    arrears_months,'Loan Tape (S&amp;P)'!AN7419,
    IF(arrears_months=0,1.00,
    IF(arrears_months=1,3.00,
    IF(arrears_months=2,5.00,
    IF(arrears_months=3,8.00,
    IF(arrears_months=4,10.00,
    IF(arrears_months=5,12.00,15.00)))))))</f>
        <v/>
      </c>
      <c r="M7419">
        <f>LET(
    seasoning_years,DATEDIF('Loan Tape (S&amp;P)'!K7419,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19">
        <f>IF(AND('Loan Tape (S&amp;P)'!U7419="Yes",
        'Loan Tape (S&amp;P)'!T7419&lt;&gt;"Yes",
        DATEDIF('Loan Tape (S&amp;P)'!K7419, TODAY(), "M")&lt;18),
    1.10,
    1.00)</f>
        <v/>
      </c>
      <c r="O7419">
        <f>IF('Loan Tape (S&amp;P)'!T7419="Yes",
    1.35,
    1.00)</f>
        <v/>
      </c>
      <c r="P7419">
        <f>IF('Loan Tape (S&amp;P)'!S7419="Yes",
    1.15,
    1.00)</f>
        <v/>
      </c>
      <c r="Q7419">
        <f>IF('Loan Tape (S&amp;P)'!V7419="Yes",
    1.20,
    1.00)</f>
        <v/>
      </c>
      <c r="T7419">
        <f>LET(
    payment_method,'Loan Tape (S&amp;P)'!P7419,
    occupancy,'Loan Tape (S&amp;P)'!N7419,
    maturity_date,'Loan Tape (S&amp;P)'!L7419,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20">
      <c r="J7420">
        <f>LET(
    lien,'Loan Tape (S&amp;P)'!Q7420,
    IF(lien="First",1.00,
        IF(lien="Second",1.50,
            1.70)))</f>
        <v/>
      </c>
      <c r="K7420">
        <f>LET(
    purpose,'Loan Tape (S&amp;P)'!R7420,
    IF(purpose="Purchase",1.00,
        IF(purpose="Remortgage",1.00,
            1.20)))</f>
        <v/>
      </c>
      <c r="L7420">
        <f>LET(
    arrears_months,'Loan Tape (S&amp;P)'!AN7420,
    IF(arrears_months=0,1.00,
    IF(arrears_months=1,3.00,
    IF(arrears_months=2,5.00,
    IF(arrears_months=3,8.00,
    IF(arrears_months=4,10.00,
    IF(arrears_months=5,12.00,15.00)))))))</f>
        <v/>
      </c>
      <c r="M7420">
        <f>LET(
    seasoning_years,DATEDIF('Loan Tape (S&amp;P)'!K7420,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20">
        <f>IF(AND('Loan Tape (S&amp;P)'!U7420="Yes",
        'Loan Tape (S&amp;P)'!T7420&lt;&gt;"Yes",
        DATEDIF('Loan Tape (S&amp;P)'!K7420, TODAY(), "M")&lt;18),
    1.10,
    1.00)</f>
        <v/>
      </c>
      <c r="O7420">
        <f>IF('Loan Tape (S&amp;P)'!T7420="Yes",
    1.35,
    1.00)</f>
        <v/>
      </c>
      <c r="P7420">
        <f>IF('Loan Tape (S&amp;P)'!S7420="Yes",
    1.15,
    1.00)</f>
        <v/>
      </c>
      <c r="Q7420">
        <f>IF('Loan Tape (S&amp;P)'!V7420="Yes",
    1.20,
    1.00)</f>
        <v/>
      </c>
      <c r="T7420">
        <f>LET(
    payment_method,'Loan Tape (S&amp;P)'!P7420,
    occupancy,'Loan Tape (S&amp;P)'!N7420,
    maturity_date,'Loan Tape (S&amp;P)'!L7420,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21">
      <c r="J7421">
        <f>LET(
    lien,'Loan Tape (S&amp;P)'!Q7421,
    IF(lien="First",1.00,
        IF(lien="Second",1.50,
            1.70)))</f>
        <v/>
      </c>
      <c r="K7421">
        <f>LET(
    purpose,'Loan Tape (S&amp;P)'!R7421,
    IF(purpose="Purchase",1.00,
        IF(purpose="Remortgage",1.00,
            1.20)))</f>
        <v/>
      </c>
      <c r="L7421">
        <f>LET(
    arrears_months,'Loan Tape (S&amp;P)'!AN7421,
    IF(arrears_months=0,1.00,
    IF(arrears_months=1,3.00,
    IF(arrears_months=2,5.00,
    IF(arrears_months=3,8.00,
    IF(arrears_months=4,10.00,
    IF(arrears_months=5,12.00,15.00)))))))</f>
        <v/>
      </c>
      <c r="M7421">
        <f>LET(
    seasoning_years,DATEDIF('Loan Tape (S&amp;P)'!K7421,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21">
        <f>IF(AND('Loan Tape (S&amp;P)'!U7421="Yes",
        'Loan Tape (S&amp;P)'!T7421&lt;&gt;"Yes",
        DATEDIF('Loan Tape (S&amp;P)'!K7421, TODAY(), "M")&lt;18),
    1.10,
    1.00)</f>
        <v/>
      </c>
      <c r="O7421">
        <f>IF('Loan Tape (S&amp;P)'!T7421="Yes",
    1.35,
    1.00)</f>
        <v/>
      </c>
      <c r="P7421">
        <f>IF('Loan Tape (S&amp;P)'!S7421="Yes",
    1.15,
    1.00)</f>
        <v/>
      </c>
      <c r="Q7421">
        <f>IF('Loan Tape (S&amp;P)'!V7421="Yes",
    1.20,
    1.00)</f>
        <v/>
      </c>
      <c r="T7421">
        <f>LET(
    payment_method,'Loan Tape (S&amp;P)'!P7421,
    occupancy,'Loan Tape (S&amp;P)'!N7421,
    maturity_date,'Loan Tape (S&amp;P)'!L7421,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22">
      <c r="J7422">
        <f>LET(
    lien,'Loan Tape (S&amp;P)'!Q7422,
    IF(lien="First",1.00,
        IF(lien="Second",1.50,
            1.70)))</f>
        <v/>
      </c>
      <c r="K7422">
        <f>LET(
    purpose,'Loan Tape (S&amp;P)'!R7422,
    IF(purpose="Purchase",1.00,
        IF(purpose="Remortgage",1.00,
            1.20)))</f>
        <v/>
      </c>
      <c r="L7422">
        <f>LET(
    arrears_months,'Loan Tape (S&amp;P)'!AN7422,
    IF(arrears_months=0,1.00,
    IF(arrears_months=1,3.00,
    IF(arrears_months=2,5.00,
    IF(arrears_months=3,8.00,
    IF(arrears_months=4,10.00,
    IF(arrears_months=5,12.00,15.00)))))))</f>
        <v/>
      </c>
      <c r="M7422">
        <f>LET(
    seasoning_years,DATEDIF('Loan Tape (S&amp;P)'!K7422,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22">
        <f>IF(AND('Loan Tape (S&amp;P)'!U7422="Yes",
        'Loan Tape (S&amp;P)'!T7422&lt;&gt;"Yes",
        DATEDIF('Loan Tape (S&amp;P)'!K7422, TODAY(), "M")&lt;18),
    1.10,
    1.00)</f>
        <v/>
      </c>
      <c r="O7422">
        <f>IF('Loan Tape (S&amp;P)'!T7422="Yes",
    1.35,
    1.00)</f>
        <v/>
      </c>
      <c r="P7422">
        <f>IF('Loan Tape (S&amp;P)'!S7422="Yes",
    1.15,
    1.00)</f>
        <v/>
      </c>
      <c r="Q7422">
        <f>IF('Loan Tape (S&amp;P)'!V7422="Yes",
    1.20,
    1.00)</f>
        <v/>
      </c>
      <c r="T7422">
        <f>LET(
    payment_method,'Loan Tape (S&amp;P)'!P7422,
    occupancy,'Loan Tape (S&amp;P)'!N7422,
    maturity_date,'Loan Tape (S&amp;P)'!L7422,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23">
      <c r="J7423">
        <f>LET(
    lien,'Loan Tape (S&amp;P)'!Q7423,
    IF(lien="First",1.00,
        IF(lien="Second",1.50,
            1.70)))</f>
        <v/>
      </c>
      <c r="K7423">
        <f>LET(
    purpose,'Loan Tape (S&amp;P)'!R7423,
    IF(purpose="Purchase",1.00,
        IF(purpose="Remortgage",1.00,
            1.20)))</f>
        <v/>
      </c>
      <c r="L7423">
        <f>LET(
    arrears_months,'Loan Tape (S&amp;P)'!AN7423,
    IF(arrears_months=0,1.00,
    IF(arrears_months=1,3.00,
    IF(arrears_months=2,5.00,
    IF(arrears_months=3,8.00,
    IF(arrears_months=4,10.00,
    IF(arrears_months=5,12.00,15.00)))))))</f>
        <v/>
      </c>
      <c r="M7423">
        <f>LET(
    seasoning_years,DATEDIF('Loan Tape (S&amp;P)'!K7423,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23">
        <f>IF(AND('Loan Tape (S&amp;P)'!U7423="Yes",
        'Loan Tape (S&amp;P)'!T7423&lt;&gt;"Yes",
        DATEDIF('Loan Tape (S&amp;P)'!K7423, TODAY(), "M")&lt;18),
    1.10,
    1.00)</f>
        <v/>
      </c>
      <c r="O7423">
        <f>IF('Loan Tape (S&amp;P)'!T7423="Yes",
    1.35,
    1.00)</f>
        <v/>
      </c>
      <c r="P7423">
        <f>IF('Loan Tape (S&amp;P)'!S7423="Yes",
    1.15,
    1.00)</f>
        <v/>
      </c>
      <c r="Q7423">
        <f>IF('Loan Tape (S&amp;P)'!V7423="Yes",
    1.20,
    1.00)</f>
        <v/>
      </c>
      <c r="T7423">
        <f>LET(
    payment_method,'Loan Tape (S&amp;P)'!P7423,
    occupancy,'Loan Tape (S&amp;P)'!N7423,
    maturity_date,'Loan Tape (S&amp;P)'!L7423,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24">
      <c r="J7424">
        <f>LET(
    lien,'Loan Tape (S&amp;P)'!Q7424,
    IF(lien="First",1.00,
        IF(lien="Second",1.50,
            1.70)))</f>
        <v/>
      </c>
      <c r="K7424">
        <f>LET(
    purpose,'Loan Tape (S&amp;P)'!R7424,
    IF(purpose="Purchase",1.00,
        IF(purpose="Remortgage",1.00,
            1.20)))</f>
        <v/>
      </c>
      <c r="L7424">
        <f>LET(
    arrears_months,'Loan Tape (S&amp;P)'!AN7424,
    IF(arrears_months=0,1.00,
    IF(arrears_months=1,3.00,
    IF(arrears_months=2,5.00,
    IF(arrears_months=3,8.00,
    IF(arrears_months=4,10.00,
    IF(arrears_months=5,12.00,15.00)))))))</f>
        <v/>
      </c>
      <c r="M7424">
        <f>LET(
    seasoning_years,DATEDIF('Loan Tape (S&amp;P)'!K7424,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24">
        <f>IF(AND('Loan Tape (S&amp;P)'!U7424="Yes",
        'Loan Tape (S&amp;P)'!T7424&lt;&gt;"Yes",
        DATEDIF('Loan Tape (S&amp;P)'!K7424, TODAY(), "M")&lt;18),
    1.10,
    1.00)</f>
        <v/>
      </c>
      <c r="O7424">
        <f>IF('Loan Tape (S&amp;P)'!T7424="Yes",
    1.35,
    1.00)</f>
        <v/>
      </c>
      <c r="P7424">
        <f>IF('Loan Tape (S&amp;P)'!S7424="Yes",
    1.15,
    1.00)</f>
        <v/>
      </c>
      <c r="Q7424">
        <f>IF('Loan Tape (S&amp;P)'!V7424="Yes",
    1.20,
    1.00)</f>
        <v/>
      </c>
      <c r="T7424">
        <f>LET(
    payment_method,'Loan Tape (S&amp;P)'!P7424,
    occupancy,'Loan Tape (S&amp;P)'!N7424,
    maturity_date,'Loan Tape (S&amp;P)'!L7424,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25">
      <c r="J7425">
        <f>LET(
    lien,'Loan Tape (S&amp;P)'!Q7425,
    IF(lien="First",1.00,
        IF(lien="Second",1.50,
            1.70)))</f>
        <v/>
      </c>
      <c r="K7425">
        <f>LET(
    purpose,'Loan Tape (S&amp;P)'!R7425,
    IF(purpose="Purchase",1.00,
        IF(purpose="Remortgage",1.00,
            1.20)))</f>
        <v/>
      </c>
      <c r="L7425">
        <f>LET(
    arrears_months,'Loan Tape (S&amp;P)'!AN7425,
    IF(arrears_months=0,1.00,
    IF(arrears_months=1,3.00,
    IF(arrears_months=2,5.00,
    IF(arrears_months=3,8.00,
    IF(arrears_months=4,10.00,
    IF(arrears_months=5,12.00,15.00)))))))</f>
        <v/>
      </c>
      <c r="M7425">
        <f>LET(
    seasoning_years,DATEDIF('Loan Tape (S&amp;P)'!K7425,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25">
        <f>IF(AND('Loan Tape (S&amp;P)'!U7425="Yes",
        'Loan Tape (S&amp;P)'!T7425&lt;&gt;"Yes",
        DATEDIF('Loan Tape (S&amp;P)'!K7425, TODAY(), "M")&lt;18),
    1.10,
    1.00)</f>
        <v/>
      </c>
      <c r="O7425">
        <f>IF('Loan Tape (S&amp;P)'!T7425="Yes",
    1.35,
    1.00)</f>
        <v/>
      </c>
      <c r="P7425">
        <f>IF('Loan Tape (S&amp;P)'!S7425="Yes",
    1.15,
    1.00)</f>
        <v/>
      </c>
      <c r="Q7425">
        <f>IF('Loan Tape (S&amp;P)'!V7425="Yes",
    1.20,
    1.00)</f>
        <v/>
      </c>
      <c r="T7425">
        <f>LET(
    payment_method,'Loan Tape (S&amp;P)'!P7425,
    occupancy,'Loan Tape (S&amp;P)'!N7425,
    maturity_date,'Loan Tape (S&amp;P)'!L7425,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26">
      <c r="J7426">
        <f>LET(
    lien,'Loan Tape (S&amp;P)'!Q7426,
    IF(lien="First",1.00,
        IF(lien="Second",1.50,
            1.70)))</f>
        <v/>
      </c>
      <c r="K7426">
        <f>LET(
    purpose,'Loan Tape (S&amp;P)'!R7426,
    IF(purpose="Purchase",1.00,
        IF(purpose="Remortgage",1.00,
            1.20)))</f>
        <v/>
      </c>
      <c r="L7426">
        <f>LET(
    arrears_months,'Loan Tape (S&amp;P)'!AN7426,
    IF(arrears_months=0,1.00,
    IF(arrears_months=1,3.00,
    IF(arrears_months=2,5.00,
    IF(arrears_months=3,8.00,
    IF(arrears_months=4,10.00,
    IF(arrears_months=5,12.00,15.00)))))))</f>
        <v/>
      </c>
      <c r="M7426">
        <f>LET(
    seasoning_years,DATEDIF('Loan Tape (S&amp;P)'!K7426,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26">
        <f>IF(AND('Loan Tape (S&amp;P)'!U7426="Yes",
        'Loan Tape (S&amp;P)'!T7426&lt;&gt;"Yes",
        DATEDIF('Loan Tape (S&amp;P)'!K7426, TODAY(), "M")&lt;18),
    1.10,
    1.00)</f>
        <v/>
      </c>
      <c r="O7426">
        <f>IF('Loan Tape (S&amp;P)'!T7426="Yes",
    1.35,
    1.00)</f>
        <v/>
      </c>
      <c r="P7426">
        <f>IF('Loan Tape (S&amp;P)'!S7426="Yes",
    1.15,
    1.00)</f>
        <v/>
      </c>
      <c r="Q7426">
        <f>IF('Loan Tape (S&amp;P)'!V7426="Yes",
    1.20,
    1.00)</f>
        <v/>
      </c>
      <c r="T7426">
        <f>LET(
    payment_method,'Loan Tape (S&amp;P)'!P7426,
    occupancy,'Loan Tape (S&amp;P)'!N7426,
    maturity_date,'Loan Tape (S&amp;P)'!L7426,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27">
      <c r="J7427">
        <f>LET(
    lien,'Loan Tape (S&amp;P)'!Q7427,
    IF(lien="First",1.00,
        IF(lien="Second",1.50,
            1.70)))</f>
        <v/>
      </c>
      <c r="K7427">
        <f>LET(
    purpose,'Loan Tape (S&amp;P)'!R7427,
    IF(purpose="Purchase",1.00,
        IF(purpose="Remortgage",1.00,
            1.20)))</f>
        <v/>
      </c>
      <c r="L7427">
        <f>LET(
    arrears_months,'Loan Tape (S&amp;P)'!AN7427,
    IF(arrears_months=0,1.00,
    IF(arrears_months=1,3.00,
    IF(arrears_months=2,5.00,
    IF(arrears_months=3,8.00,
    IF(arrears_months=4,10.00,
    IF(arrears_months=5,12.00,15.00)))))))</f>
        <v/>
      </c>
      <c r="M7427">
        <f>LET(
    seasoning_years,DATEDIF('Loan Tape (S&amp;P)'!K7427,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27">
        <f>IF(AND('Loan Tape (S&amp;P)'!U7427="Yes",
        'Loan Tape (S&amp;P)'!T7427&lt;&gt;"Yes",
        DATEDIF('Loan Tape (S&amp;P)'!K7427, TODAY(), "M")&lt;18),
    1.10,
    1.00)</f>
        <v/>
      </c>
      <c r="O7427">
        <f>IF('Loan Tape (S&amp;P)'!T7427="Yes",
    1.35,
    1.00)</f>
        <v/>
      </c>
      <c r="P7427">
        <f>IF('Loan Tape (S&amp;P)'!S7427="Yes",
    1.15,
    1.00)</f>
        <v/>
      </c>
      <c r="Q7427">
        <f>IF('Loan Tape (S&amp;P)'!V7427="Yes",
    1.20,
    1.00)</f>
        <v/>
      </c>
      <c r="T7427">
        <f>LET(
    payment_method,'Loan Tape (S&amp;P)'!P7427,
    occupancy,'Loan Tape (S&amp;P)'!N7427,
    maturity_date,'Loan Tape (S&amp;P)'!L7427,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28">
      <c r="J7428">
        <f>LET(
    lien,'Loan Tape (S&amp;P)'!Q7428,
    IF(lien="First",1.00,
        IF(lien="Second",1.50,
            1.70)))</f>
        <v/>
      </c>
      <c r="K7428">
        <f>LET(
    purpose,'Loan Tape (S&amp;P)'!R7428,
    IF(purpose="Purchase",1.00,
        IF(purpose="Remortgage",1.00,
            1.20)))</f>
        <v/>
      </c>
      <c r="L7428">
        <f>LET(
    arrears_months,'Loan Tape (S&amp;P)'!AN7428,
    IF(arrears_months=0,1.00,
    IF(arrears_months=1,3.00,
    IF(arrears_months=2,5.00,
    IF(arrears_months=3,8.00,
    IF(arrears_months=4,10.00,
    IF(arrears_months=5,12.00,15.00)))))))</f>
        <v/>
      </c>
      <c r="M7428">
        <f>LET(
    seasoning_years,DATEDIF('Loan Tape (S&amp;P)'!K7428,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28">
        <f>IF(AND('Loan Tape (S&amp;P)'!U7428="Yes",
        'Loan Tape (S&amp;P)'!T7428&lt;&gt;"Yes",
        DATEDIF('Loan Tape (S&amp;P)'!K7428, TODAY(), "M")&lt;18),
    1.10,
    1.00)</f>
        <v/>
      </c>
      <c r="O7428">
        <f>IF('Loan Tape (S&amp;P)'!T7428="Yes",
    1.35,
    1.00)</f>
        <v/>
      </c>
      <c r="P7428">
        <f>IF('Loan Tape (S&amp;P)'!S7428="Yes",
    1.15,
    1.00)</f>
        <v/>
      </c>
      <c r="Q7428">
        <f>IF('Loan Tape (S&amp;P)'!V7428="Yes",
    1.20,
    1.00)</f>
        <v/>
      </c>
      <c r="T7428">
        <f>LET(
    payment_method,'Loan Tape (S&amp;P)'!P7428,
    occupancy,'Loan Tape (S&amp;P)'!N7428,
    maturity_date,'Loan Tape (S&amp;P)'!L7428,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29">
      <c r="J7429">
        <f>LET(
    lien,'Loan Tape (S&amp;P)'!Q7429,
    IF(lien="First",1.00,
        IF(lien="Second",1.50,
            1.70)))</f>
        <v/>
      </c>
      <c r="K7429">
        <f>LET(
    purpose,'Loan Tape (S&amp;P)'!R7429,
    IF(purpose="Purchase",1.00,
        IF(purpose="Remortgage",1.00,
            1.20)))</f>
        <v/>
      </c>
      <c r="L7429">
        <f>LET(
    arrears_months,'Loan Tape (S&amp;P)'!AN7429,
    IF(arrears_months=0,1.00,
    IF(arrears_months=1,3.00,
    IF(arrears_months=2,5.00,
    IF(arrears_months=3,8.00,
    IF(arrears_months=4,10.00,
    IF(arrears_months=5,12.00,15.00)))))))</f>
        <v/>
      </c>
      <c r="M7429">
        <f>LET(
    seasoning_years,DATEDIF('Loan Tape (S&amp;P)'!K7429,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29">
        <f>IF(AND('Loan Tape (S&amp;P)'!U7429="Yes",
        'Loan Tape (S&amp;P)'!T7429&lt;&gt;"Yes",
        DATEDIF('Loan Tape (S&amp;P)'!K7429, TODAY(), "M")&lt;18),
    1.10,
    1.00)</f>
        <v/>
      </c>
      <c r="O7429">
        <f>IF('Loan Tape (S&amp;P)'!T7429="Yes",
    1.35,
    1.00)</f>
        <v/>
      </c>
      <c r="P7429">
        <f>IF('Loan Tape (S&amp;P)'!S7429="Yes",
    1.15,
    1.00)</f>
        <v/>
      </c>
      <c r="Q7429">
        <f>IF('Loan Tape (S&amp;P)'!V7429="Yes",
    1.20,
    1.00)</f>
        <v/>
      </c>
      <c r="T7429">
        <f>LET(
    payment_method,'Loan Tape (S&amp;P)'!P7429,
    occupancy,'Loan Tape (S&amp;P)'!N7429,
    maturity_date,'Loan Tape (S&amp;P)'!L7429,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30">
      <c r="J7430">
        <f>LET(
    lien,'Loan Tape (S&amp;P)'!Q7430,
    IF(lien="First",1.00,
        IF(lien="Second",1.50,
            1.70)))</f>
        <v/>
      </c>
      <c r="K7430">
        <f>LET(
    purpose,'Loan Tape (S&amp;P)'!R7430,
    IF(purpose="Purchase",1.00,
        IF(purpose="Remortgage",1.00,
            1.20)))</f>
        <v/>
      </c>
      <c r="L7430">
        <f>LET(
    arrears_months,'Loan Tape (S&amp;P)'!AN7430,
    IF(arrears_months=0,1.00,
    IF(arrears_months=1,3.00,
    IF(arrears_months=2,5.00,
    IF(arrears_months=3,8.00,
    IF(arrears_months=4,10.00,
    IF(arrears_months=5,12.00,15.00)))))))</f>
        <v/>
      </c>
      <c r="M7430">
        <f>LET(
    seasoning_years,DATEDIF('Loan Tape (S&amp;P)'!K7430,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30">
        <f>IF(AND('Loan Tape (S&amp;P)'!U7430="Yes",
        'Loan Tape (S&amp;P)'!T7430&lt;&gt;"Yes",
        DATEDIF('Loan Tape (S&amp;P)'!K7430, TODAY(), "M")&lt;18),
    1.10,
    1.00)</f>
        <v/>
      </c>
      <c r="O7430">
        <f>IF('Loan Tape (S&amp;P)'!T7430="Yes",
    1.35,
    1.00)</f>
        <v/>
      </c>
      <c r="P7430">
        <f>IF('Loan Tape (S&amp;P)'!S7430="Yes",
    1.15,
    1.00)</f>
        <v/>
      </c>
      <c r="Q7430">
        <f>IF('Loan Tape (S&amp;P)'!V7430="Yes",
    1.20,
    1.00)</f>
        <v/>
      </c>
      <c r="T7430">
        <f>LET(
    payment_method,'Loan Tape (S&amp;P)'!P7430,
    occupancy,'Loan Tape (S&amp;P)'!N7430,
    maturity_date,'Loan Tape (S&amp;P)'!L7430,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31">
      <c r="J7431">
        <f>LET(
    lien,'Loan Tape (S&amp;P)'!Q7431,
    IF(lien="First",1.00,
        IF(lien="Second",1.50,
            1.70)))</f>
        <v/>
      </c>
      <c r="K7431">
        <f>LET(
    purpose,'Loan Tape (S&amp;P)'!R7431,
    IF(purpose="Purchase",1.00,
        IF(purpose="Remortgage",1.00,
            1.20)))</f>
        <v/>
      </c>
      <c r="L7431">
        <f>LET(
    arrears_months,'Loan Tape (S&amp;P)'!AN7431,
    IF(arrears_months=0,1.00,
    IF(arrears_months=1,3.00,
    IF(arrears_months=2,5.00,
    IF(arrears_months=3,8.00,
    IF(arrears_months=4,10.00,
    IF(arrears_months=5,12.00,15.00)))))))</f>
        <v/>
      </c>
      <c r="M7431">
        <f>LET(
    seasoning_years,DATEDIF('Loan Tape (S&amp;P)'!K7431,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31">
        <f>IF(AND('Loan Tape (S&amp;P)'!U7431="Yes",
        'Loan Tape (S&amp;P)'!T7431&lt;&gt;"Yes",
        DATEDIF('Loan Tape (S&amp;P)'!K7431, TODAY(), "M")&lt;18),
    1.10,
    1.00)</f>
        <v/>
      </c>
      <c r="O7431">
        <f>IF('Loan Tape (S&amp;P)'!T7431="Yes",
    1.35,
    1.00)</f>
        <v/>
      </c>
      <c r="P7431">
        <f>IF('Loan Tape (S&amp;P)'!S7431="Yes",
    1.15,
    1.00)</f>
        <v/>
      </c>
      <c r="Q7431">
        <f>IF('Loan Tape (S&amp;P)'!V7431="Yes",
    1.20,
    1.00)</f>
        <v/>
      </c>
      <c r="T7431">
        <f>LET(
    payment_method,'Loan Tape (S&amp;P)'!P7431,
    occupancy,'Loan Tape (S&amp;P)'!N7431,
    maturity_date,'Loan Tape (S&amp;P)'!L7431,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32">
      <c r="J7432">
        <f>LET(
    lien,'Loan Tape (S&amp;P)'!Q7432,
    IF(lien="First",1.00,
        IF(lien="Second",1.50,
            1.70)))</f>
        <v/>
      </c>
      <c r="K7432">
        <f>LET(
    purpose,'Loan Tape (S&amp;P)'!R7432,
    IF(purpose="Purchase",1.00,
        IF(purpose="Remortgage",1.00,
            1.20)))</f>
        <v/>
      </c>
      <c r="L7432">
        <f>LET(
    arrears_months,'Loan Tape (S&amp;P)'!AN7432,
    IF(arrears_months=0,1.00,
    IF(arrears_months=1,3.00,
    IF(arrears_months=2,5.00,
    IF(arrears_months=3,8.00,
    IF(arrears_months=4,10.00,
    IF(arrears_months=5,12.00,15.00)))))))</f>
        <v/>
      </c>
      <c r="M7432">
        <f>LET(
    seasoning_years,DATEDIF('Loan Tape (S&amp;P)'!K7432,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32">
        <f>IF(AND('Loan Tape (S&amp;P)'!U7432="Yes",
        'Loan Tape (S&amp;P)'!T7432&lt;&gt;"Yes",
        DATEDIF('Loan Tape (S&amp;P)'!K7432, TODAY(), "M")&lt;18),
    1.10,
    1.00)</f>
        <v/>
      </c>
      <c r="O7432">
        <f>IF('Loan Tape (S&amp;P)'!T7432="Yes",
    1.35,
    1.00)</f>
        <v/>
      </c>
      <c r="P7432">
        <f>IF('Loan Tape (S&amp;P)'!S7432="Yes",
    1.15,
    1.00)</f>
        <v/>
      </c>
      <c r="Q7432">
        <f>IF('Loan Tape (S&amp;P)'!V7432="Yes",
    1.20,
    1.00)</f>
        <v/>
      </c>
      <c r="T7432">
        <f>LET(
    payment_method,'Loan Tape (S&amp;P)'!P7432,
    occupancy,'Loan Tape (S&amp;P)'!N7432,
    maturity_date,'Loan Tape (S&amp;P)'!L7432,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33">
      <c r="J7433">
        <f>LET(
    lien,'Loan Tape (S&amp;P)'!Q7433,
    IF(lien="First",1.00,
        IF(lien="Second",1.50,
            1.70)))</f>
        <v/>
      </c>
      <c r="K7433">
        <f>LET(
    purpose,'Loan Tape (S&amp;P)'!R7433,
    IF(purpose="Purchase",1.00,
        IF(purpose="Remortgage",1.00,
            1.20)))</f>
        <v/>
      </c>
      <c r="L7433">
        <f>LET(
    arrears_months,'Loan Tape (S&amp;P)'!AN7433,
    IF(arrears_months=0,1.00,
    IF(arrears_months=1,3.00,
    IF(arrears_months=2,5.00,
    IF(arrears_months=3,8.00,
    IF(arrears_months=4,10.00,
    IF(arrears_months=5,12.00,15.00)))))))</f>
        <v/>
      </c>
      <c r="M7433">
        <f>LET(
    seasoning_years,DATEDIF('Loan Tape (S&amp;P)'!K7433,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33">
        <f>IF(AND('Loan Tape (S&amp;P)'!U7433="Yes",
        'Loan Tape (S&amp;P)'!T7433&lt;&gt;"Yes",
        DATEDIF('Loan Tape (S&amp;P)'!K7433, TODAY(), "M")&lt;18),
    1.10,
    1.00)</f>
        <v/>
      </c>
      <c r="O7433">
        <f>IF('Loan Tape (S&amp;P)'!T7433="Yes",
    1.35,
    1.00)</f>
        <v/>
      </c>
      <c r="P7433">
        <f>IF('Loan Tape (S&amp;P)'!S7433="Yes",
    1.15,
    1.00)</f>
        <v/>
      </c>
      <c r="Q7433">
        <f>IF('Loan Tape (S&amp;P)'!V7433="Yes",
    1.20,
    1.00)</f>
        <v/>
      </c>
      <c r="T7433">
        <f>LET(
    payment_method,'Loan Tape (S&amp;P)'!P7433,
    occupancy,'Loan Tape (S&amp;P)'!N7433,
    maturity_date,'Loan Tape (S&amp;P)'!L7433,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34">
      <c r="J7434">
        <f>LET(
    lien,'Loan Tape (S&amp;P)'!Q7434,
    IF(lien="First",1.00,
        IF(lien="Second",1.50,
            1.70)))</f>
        <v/>
      </c>
      <c r="K7434">
        <f>LET(
    purpose,'Loan Tape (S&amp;P)'!R7434,
    IF(purpose="Purchase",1.00,
        IF(purpose="Remortgage",1.00,
            1.20)))</f>
        <v/>
      </c>
      <c r="L7434">
        <f>LET(
    arrears_months,'Loan Tape (S&amp;P)'!AN7434,
    IF(arrears_months=0,1.00,
    IF(arrears_months=1,3.00,
    IF(arrears_months=2,5.00,
    IF(arrears_months=3,8.00,
    IF(arrears_months=4,10.00,
    IF(arrears_months=5,12.00,15.00)))))))</f>
        <v/>
      </c>
      <c r="M7434">
        <f>LET(
    seasoning_years,DATEDIF('Loan Tape (S&amp;P)'!K7434,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34">
        <f>IF(AND('Loan Tape (S&amp;P)'!U7434="Yes",
        'Loan Tape (S&amp;P)'!T7434&lt;&gt;"Yes",
        DATEDIF('Loan Tape (S&amp;P)'!K7434, TODAY(), "M")&lt;18),
    1.10,
    1.00)</f>
        <v/>
      </c>
      <c r="O7434">
        <f>IF('Loan Tape (S&amp;P)'!T7434="Yes",
    1.35,
    1.00)</f>
        <v/>
      </c>
      <c r="P7434">
        <f>IF('Loan Tape (S&amp;P)'!S7434="Yes",
    1.15,
    1.00)</f>
        <v/>
      </c>
      <c r="Q7434">
        <f>IF('Loan Tape (S&amp;P)'!V7434="Yes",
    1.20,
    1.00)</f>
        <v/>
      </c>
      <c r="T7434">
        <f>LET(
    payment_method,'Loan Tape (S&amp;P)'!P7434,
    occupancy,'Loan Tape (S&amp;P)'!N7434,
    maturity_date,'Loan Tape (S&amp;P)'!L7434,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35">
      <c r="J7435">
        <f>LET(
    lien,'Loan Tape (S&amp;P)'!Q7435,
    IF(lien="First",1.00,
        IF(lien="Second",1.50,
            1.70)))</f>
        <v/>
      </c>
      <c r="K7435">
        <f>LET(
    purpose,'Loan Tape (S&amp;P)'!R7435,
    IF(purpose="Purchase",1.00,
        IF(purpose="Remortgage",1.00,
            1.20)))</f>
        <v/>
      </c>
      <c r="L7435">
        <f>LET(
    arrears_months,'Loan Tape (S&amp;P)'!AN7435,
    IF(arrears_months=0,1.00,
    IF(arrears_months=1,3.00,
    IF(arrears_months=2,5.00,
    IF(arrears_months=3,8.00,
    IF(arrears_months=4,10.00,
    IF(arrears_months=5,12.00,15.00)))))))</f>
        <v/>
      </c>
      <c r="M7435">
        <f>LET(
    seasoning_years,DATEDIF('Loan Tape (S&amp;P)'!K7435,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35">
        <f>IF(AND('Loan Tape (S&amp;P)'!U7435="Yes",
        'Loan Tape (S&amp;P)'!T7435&lt;&gt;"Yes",
        DATEDIF('Loan Tape (S&amp;P)'!K7435, TODAY(), "M")&lt;18),
    1.10,
    1.00)</f>
        <v/>
      </c>
      <c r="O7435">
        <f>IF('Loan Tape (S&amp;P)'!T7435="Yes",
    1.35,
    1.00)</f>
        <v/>
      </c>
      <c r="P7435">
        <f>IF('Loan Tape (S&amp;P)'!S7435="Yes",
    1.15,
    1.00)</f>
        <v/>
      </c>
      <c r="Q7435">
        <f>IF('Loan Tape (S&amp;P)'!V7435="Yes",
    1.20,
    1.00)</f>
        <v/>
      </c>
      <c r="T7435">
        <f>LET(
    payment_method,'Loan Tape (S&amp;P)'!P7435,
    occupancy,'Loan Tape (S&amp;P)'!N7435,
    maturity_date,'Loan Tape (S&amp;P)'!L7435,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36">
      <c r="J7436">
        <f>LET(
    lien,'Loan Tape (S&amp;P)'!Q7436,
    IF(lien="First",1.00,
        IF(lien="Second",1.50,
            1.70)))</f>
        <v/>
      </c>
      <c r="K7436">
        <f>LET(
    purpose,'Loan Tape (S&amp;P)'!R7436,
    IF(purpose="Purchase",1.00,
        IF(purpose="Remortgage",1.00,
            1.20)))</f>
        <v/>
      </c>
      <c r="L7436">
        <f>LET(
    arrears_months,'Loan Tape (S&amp;P)'!AN7436,
    IF(arrears_months=0,1.00,
    IF(arrears_months=1,3.00,
    IF(arrears_months=2,5.00,
    IF(arrears_months=3,8.00,
    IF(arrears_months=4,10.00,
    IF(arrears_months=5,12.00,15.00)))))))</f>
        <v/>
      </c>
      <c r="M7436">
        <f>LET(
    seasoning_years,DATEDIF('Loan Tape (S&amp;P)'!K7436,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36">
        <f>IF(AND('Loan Tape (S&amp;P)'!U7436="Yes",
        'Loan Tape (S&amp;P)'!T7436&lt;&gt;"Yes",
        DATEDIF('Loan Tape (S&amp;P)'!K7436, TODAY(), "M")&lt;18),
    1.10,
    1.00)</f>
        <v/>
      </c>
      <c r="O7436">
        <f>IF('Loan Tape (S&amp;P)'!T7436="Yes",
    1.35,
    1.00)</f>
        <v/>
      </c>
      <c r="P7436">
        <f>IF('Loan Tape (S&amp;P)'!S7436="Yes",
    1.15,
    1.00)</f>
        <v/>
      </c>
      <c r="Q7436">
        <f>IF('Loan Tape (S&amp;P)'!V7436="Yes",
    1.20,
    1.00)</f>
        <v/>
      </c>
      <c r="T7436">
        <f>LET(
    payment_method,'Loan Tape (S&amp;P)'!P7436,
    occupancy,'Loan Tape (S&amp;P)'!N7436,
    maturity_date,'Loan Tape (S&amp;P)'!L7436,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37">
      <c r="J7437">
        <f>LET(
    lien,'Loan Tape (S&amp;P)'!Q7437,
    IF(lien="First",1.00,
        IF(lien="Second",1.50,
            1.70)))</f>
        <v/>
      </c>
      <c r="K7437">
        <f>LET(
    purpose,'Loan Tape (S&amp;P)'!R7437,
    IF(purpose="Purchase",1.00,
        IF(purpose="Remortgage",1.00,
            1.20)))</f>
        <v/>
      </c>
      <c r="L7437">
        <f>LET(
    arrears_months,'Loan Tape (S&amp;P)'!AN7437,
    IF(arrears_months=0,1.00,
    IF(arrears_months=1,3.00,
    IF(arrears_months=2,5.00,
    IF(arrears_months=3,8.00,
    IF(arrears_months=4,10.00,
    IF(arrears_months=5,12.00,15.00)))))))</f>
        <v/>
      </c>
      <c r="M7437">
        <f>LET(
    seasoning_years,DATEDIF('Loan Tape (S&amp;P)'!K7437,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37">
        <f>IF(AND('Loan Tape (S&amp;P)'!U7437="Yes",
        'Loan Tape (S&amp;P)'!T7437&lt;&gt;"Yes",
        DATEDIF('Loan Tape (S&amp;P)'!K7437, TODAY(), "M")&lt;18),
    1.10,
    1.00)</f>
        <v/>
      </c>
      <c r="O7437">
        <f>IF('Loan Tape (S&amp;P)'!T7437="Yes",
    1.35,
    1.00)</f>
        <v/>
      </c>
      <c r="P7437">
        <f>IF('Loan Tape (S&amp;P)'!S7437="Yes",
    1.15,
    1.00)</f>
        <v/>
      </c>
      <c r="Q7437">
        <f>IF('Loan Tape (S&amp;P)'!V7437="Yes",
    1.20,
    1.00)</f>
        <v/>
      </c>
      <c r="T7437">
        <f>LET(
    payment_method,'Loan Tape (S&amp;P)'!P7437,
    occupancy,'Loan Tape (S&amp;P)'!N7437,
    maturity_date,'Loan Tape (S&amp;P)'!L7437,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38">
      <c r="J7438">
        <f>LET(
    lien,'Loan Tape (S&amp;P)'!Q7438,
    IF(lien="First",1.00,
        IF(lien="Second",1.50,
            1.70)))</f>
        <v/>
      </c>
      <c r="K7438">
        <f>LET(
    purpose,'Loan Tape (S&amp;P)'!R7438,
    IF(purpose="Purchase",1.00,
        IF(purpose="Remortgage",1.00,
            1.20)))</f>
        <v/>
      </c>
      <c r="L7438">
        <f>LET(
    arrears_months,'Loan Tape (S&amp;P)'!AN7438,
    IF(arrears_months=0,1.00,
    IF(arrears_months=1,3.00,
    IF(arrears_months=2,5.00,
    IF(arrears_months=3,8.00,
    IF(arrears_months=4,10.00,
    IF(arrears_months=5,12.00,15.00)))))))</f>
        <v/>
      </c>
      <c r="M7438">
        <f>LET(
    seasoning_years,DATEDIF('Loan Tape (S&amp;P)'!K7438,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38">
        <f>IF(AND('Loan Tape (S&amp;P)'!U7438="Yes",
        'Loan Tape (S&amp;P)'!T7438&lt;&gt;"Yes",
        DATEDIF('Loan Tape (S&amp;P)'!K7438, TODAY(), "M")&lt;18),
    1.10,
    1.00)</f>
        <v/>
      </c>
      <c r="O7438">
        <f>IF('Loan Tape (S&amp;P)'!T7438="Yes",
    1.35,
    1.00)</f>
        <v/>
      </c>
      <c r="P7438">
        <f>IF('Loan Tape (S&amp;P)'!S7438="Yes",
    1.15,
    1.00)</f>
        <v/>
      </c>
      <c r="Q7438">
        <f>IF('Loan Tape (S&amp;P)'!V7438="Yes",
    1.20,
    1.00)</f>
        <v/>
      </c>
      <c r="T7438">
        <f>LET(
    payment_method,'Loan Tape (S&amp;P)'!P7438,
    occupancy,'Loan Tape (S&amp;P)'!N7438,
    maturity_date,'Loan Tape (S&amp;P)'!L7438,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39">
      <c r="J7439">
        <f>LET(
    lien,'Loan Tape (S&amp;P)'!Q7439,
    IF(lien="First",1.00,
        IF(lien="Second",1.50,
            1.70)))</f>
        <v/>
      </c>
      <c r="K7439">
        <f>LET(
    purpose,'Loan Tape (S&amp;P)'!R7439,
    IF(purpose="Purchase",1.00,
        IF(purpose="Remortgage",1.00,
            1.20)))</f>
        <v/>
      </c>
      <c r="L7439">
        <f>LET(
    arrears_months,'Loan Tape (S&amp;P)'!AN7439,
    IF(arrears_months=0,1.00,
    IF(arrears_months=1,3.00,
    IF(arrears_months=2,5.00,
    IF(arrears_months=3,8.00,
    IF(arrears_months=4,10.00,
    IF(arrears_months=5,12.00,15.00)))))))</f>
        <v/>
      </c>
      <c r="M7439">
        <f>LET(
    seasoning_years,DATEDIF('Loan Tape (S&amp;P)'!K7439,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39">
        <f>IF(AND('Loan Tape (S&amp;P)'!U7439="Yes",
        'Loan Tape (S&amp;P)'!T7439&lt;&gt;"Yes",
        DATEDIF('Loan Tape (S&amp;P)'!K7439, TODAY(), "M")&lt;18),
    1.10,
    1.00)</f>
        <v/>
      </c>
      <c r="O7439">
        <f>IF('Loan Tape (S&amp;P)'!T7439="Yes",
    1.35,
    1.00)</f>
        <v/>
      </c>
      <c r="P7439">
        <f>IF('Loan Tape (S&amp;P)'!S7439="Yes",
    1.15,
    1.00)</f>
        <v/>
      </c>
      <c r="Q7439">
        <f>IF('Loan Tape (S&amp;P)'!V7439="Yes",
    1.20,
    1.00)</f>
        <v/>
      </c>
      <c r="T7439">
        <f>LET(
    payment_method,'Loan Tape (S&amp;P)'!P7439,
    occupancy,'Loan Tape (S&amp;P)'!N7439,
    maturity_date,'Loan Tape (S&amp;P)'!L7439,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40">
      <c r="J7440">
        <f>LET(
    lien,'Loan Tape (S&amp;P)'!Q7440,
    IF(lien="First",1.00,
        IF(lien="Second",1.50,
            1.70)))</f>
        <v/>
      </c>
      <c r="K7440">
        <f>LET(
    purpose,'Loan Tape (S&amp;P)'!R7440,
    IF(purpose="Purchase",1.00,
        IF(purpose="Remortgage",1.00,
            1.20)))</f>
        <v/>
      </c>
      <c r="L7440">
        <f>LET(
    arrears_months,'Loan Tape (S&amp;P)'!AN7440,
    IF(arrears_months=0,1.00,
    IF(arrears_months=1,3.00,
    IF(arrears_months=2,5.00,
    IF(arrears_months=3,8.00,
    IF(arrears_months=4,10.00,
    IF(arrears_months=5,12.00,15.00)))))))</f>
        <v/>
      </c>
      <c r="M7440">
        <f>LET(
    seasoning_years,DATEDIF('Loan Tape (S&amp;P)'!K7440,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40">
        <f>IF(AND('Loan Tape (S&amp;P)'!U7440="Yes",
        'Loan Tape (S&amp;P)'!T7440&lt;&gt;"Yes",
        DATEDIF('Loan Tape (S&amp;P)'!K7440, TODAY(), "M")&lt;18),
    1.10,
    1.00)</f>
        <v/>
      </c>
      <c r="O7440">
        <f>IF('Loan Tape (S&amp;P)'!T7440="Yes",
    1.35,
    1.00)</f>
        <v/>
      </c>
      <c r="P7440">
        <f>IF('Loan Tape (S&amp;P)'!S7440="Yes",
    1.15,
    1.00)</f>
        <v/>
      </c>
      <c r="Q7440">
        <f>IF('Loan Tape (S&amp;P)'!V7440="Yes",
    1.20,
    1.00)</f>
        <v/>
      </c>
      <c r="T7440">
        <f>LET(
    payment_method,'Loan Tape (S&amp;P)'!P7440,
    occupancy,'Loan Tape (S&amp;P)'!N7440,
    maturity_date,'Loan Tape (S&amp;P)'!L7440,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41">
      <c r="J7441">
        <f>LET(
    lien,'Loan Tape (S&amp;P)'!Q7441,
    IF(lien="First",1.00,
        IF(lien="Second",1.50,
            1.70)))</f>
        <v/>
      </c>
      <c r="K7441">
        <f>LET(
    purpose,'Loan Tape (S&amp;P)'!R7441,
    IF(purpose="Purchase",1.00,
        IF(purpose="Remortgage",1.00,
            1.20)))</f>
        <v/>
      </c>
      <c r="L7441">
        <f>LET(
    arrears_months,'Loan Tape (S&amp;P)'!AN7441,
    IF(arrears_months=0,1.00,
    IF(arrears_months=1,3.00,
    IF(arrears_months=2,5.00,
    IF(arrears_months=3,8.00,
    IF(arrears_months=4,10.00,
    IF(arrears_months=5,12.00,15.00)))))))</f>
        <v/>
      </c>
      <c r="M7441">
        <f>LET(
    seasoning_years,DATEDIF('Loan Tape (S&amp;P)'!K7441,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41">
        <f>IF(AND('Loan Tape (S&amp;P)'!U7441="Yes",
        'Loan Tape (S&amp;P)'!T7441&lt;&gt;"Yes",
        DATEDIF('Loan Tape (S&amp;P)'!K7441, TODAY(), "M")&lt;18),
    1.10,
    1.00)</f>
        <v/>
      </c>
      <c r="O7441">
        <f>IF('Loan Tape (S&amp;P)'!T7441="Yes",
    1.35,
    1.00)</f>
        <v/>
      </c>
      <c r="P7441">
        <f>IF('Loan Tape (S&amp;P)'!S7441="Yes",
    1.15,
    1.00)</f>
        <v/>
      </c>
      <c r="Q7441">
        <f>IF('Loan Tape (S&amp;P)'!V7441="Yes",
    1.20,
    1.00)</f>
        <v/>
      </c>
      <c r="T7441">
        <f>LET(
    payment_method,'Loan Tape (S&amp;P)'!P7441,
    occupancy,'Loan Tape (S&amp;P)'!N7441,
    maturity_date,'Loan Tape (S&amp;P)'!L7441,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42">
      <c r="J7442">
        <f>LET(
    lien,'Loan Tape (S&amp;P)'!Q7442,
    IF(lien="First",1.00,
        IF(lien="Second",1.50,
            1.70)))</f>
        <v/>
      </c>
      <c r="K7442">
        <f>LET(
    purpose,'Loan Tape (S&amp;P)'!R7442,
    IF(purpose="Purchase",1.00,
        IF(purpose="Remortgage",1.00,
            1.20)))</f>
        <v/>
      </c>
      <c r="L7442">
        <f>LET(
    arrears_months,'Loan Tape (S&amp;P)'!AN7442,
    IF(arrears_months=0,1.00,
    IF(arrears_months=1,3.00,
    IF(arrears_months=2,5.00,
    IF(arrears_months=3,8.00,
    IF(arrears_months=4,10.00,
    IF(arrears_months=5,12.00,15.00)))))))</f>
        <v/>
      </c>
      <c r="M7442">
        <f>LET(
    seasoning_years,DATEDIF('Loan Tape (S&amp;P)'!K7442,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42">
        <f>IF(AND('Loan Tape (S&amp;P)'!U7442="Yes",
        'Loan Tape (S&amp;P)'!T7442&lt;&gt;"Yes",
        DATEDIF('Loan Tape (S&amp;P)'!K7442, TODAY(), "M")&lt;18),
    1.10,
    1.00)</f>
        <v/>
      </c>
      <c r="O7442">
        <f>IF('Loan Tape (S&amp;P)'!T7442="Yes",
    1.35,
    1.00)</f>
        <v/>
      </c>
      <c r="P7442">
        <f>IF('Loan Tape (S&amp;P)'!S7442="Yes",
    1.15,
    1.00)</f>
        <v/>
      </c>
      <c r="Q7442">
        <f>IF('Loan Tape (S&amp;P)'!V7442="Yes",
    1.20,
    1.00)</f>
        <v/>
      </c>
      <c r="T7442">
        <f>LET(
    payment_method,'Loan Tape (S&amp;P)'!P7442,
    occupancy,'Loan Tape (S&amp;P)'!N7442,
    maturity_date,'Loan Tape (S&amp;P)'!L7442,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43">
      <c r="J7443">
        <f>LET(
    lien,'Loan Tape (S&amp;P)'!Q7443,
    IF(lien="First",1.00,
        IF(lien="Second",1.50,
            1.70)))</f>
        <v/>
      </c>
      <c r="K7443">
        <f>LET(
    purpose,'Loan Tape (S&amp;P)'!R7443,
    IF(purpose="Purchase",1.00,
        IF(purpose="Remortgage",1.00,
            1.20)))</f>
        <v/>
      </c>
      <c r="L7443">
        <f>LET(
    arrears_months,'Loan Tape (S&amp;P)'!AN7443,
    IF(arrears_months=0,1.00,
    IF(arrears_months=1,3.00,
    IF(arrears_months=2,5.00,
    IF(arrears_months=3,8.00,
    IF(arrears_months=4,10.00,
    IF(arrears_months=5,12.00,15.00)))))))</f>
        <v/>
      </c>
      <c r="M7443">
        <f>LET(
    seasoning_years,DATEDIF('Loan Tape (S&amp;P)'!K7443,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43">
        <f>IF(AND('Loan Tape (S&amp;P)'!U7443="Yes",
        'Loan Tape (S&amp;P)'!T7443&lt;&gt;"Yes",
        DATEDIF('Loan Tape (S&amp;P)'!K7443, TODAY(), "M")&lt;18),
    1.10,
    1.00)</f>
        <v/>
      </c>
      <c r="O7443">
        <f>IF('Loan Tape (S&amp;P)'!T7443="Yes",
    1.35,
    1.00)</f>
        <v/>
      </c>
      <c r="P7443">
        <f>IF('Loan Tape (S&amp;P)'!S7443="Yes",
    1.15,
    1.00)</f>
        <v/>
      </c>
      <c r="Q7443">
        <f>IF('Loan Tape (S&amp;P)'!V7443="Yes",
    1.20,
    1.00)</f>
        <v/>
      </c>
      <c r="T7443">
        <f>LET(
    payment_method,'Loan Tape (S&amp;P)'!P7443,
    occupancy,'Loan Tape (S&amp;P)'!N7443,
    maturity_date,'Loan Tape (S&amp;P)'!L7443,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44">
      <c r="J7444">
        <f>LET(
    lien,'Loan Tape (S&amp;P)'!Q7444,
    IF(lien="First",1.00,
        IF(lien="Second",1.50,
            1.70)))</f>
        <v/>
      </c>
      <c r="K7444">
        <f>LET(
    purpose,'Loan Tape (S&amp;P)'!R7444,
    IF(purpose="Purchase",1.00,
        IF(purpose="Remortgage",1.00,
            1.20)))</f>
        <v/>
      </c>
      <c r="L7444">
        <f>LET(
    arrears_months,'Loan Tape (S&amp;P)'!AN7444,
    IF(arrears_months=0,1.00,
    IF(arrears_months=1,3.00,
    IF(arrears_months=2,5.00,
    IF(arrears_months=3,8.00,
    IF(arrears_months=4,10.00,
    IF(arrears_months=5,12.00,15.00)))))))</f>
        <v/>
      </c>
      <c r="M7444">
        <f>LET(
    seasoning_years,DATEDIF('Loan Tape (S&amp;P)'!K7444,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44">
        <f>IF(AND('Loan Tape (S&amp;P)'!U7444="Yes",
        'Loan Tape (S&amp;P)'!T7444&lt;&gt;"Yes",
        DATEDIF('Loan Tape (S&amp;P)'!K7444, TODAY(), "M")&lt;18),
    1.10,
    1.00)</f>
        <v/>
      </c>
      <c r="O7444">
        <f>IF('Loan Tape (S&amp;P)'!T7444="Yes",
    1.35,
    1.00)</f>
        <v/>
      </c>
      <c r="P7444">
        <f>IF('Loan Tape (S&amp;P)'!S7444="Yes",
    1.15,
    1.00)</f>
        <v/>
      </c>
      <c r="Q7444">
        <f>IF('Loan Tape (S&amp;P)'!V7444="Yes",
    1.20,
    1.00)</f>
        <v/>
      </c>
      <c r="T7444">
        <f>LET(
    payment_method,'Loan Tape (S&amp;P)'!P7444,
    occupancy,'Loan Tape (S&amp;P)'!N7444,
    maturity_date,'Loan Tape (S&amp;P)'!L7444,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45">
      <c r="J7445">
        <f>LET(
    lien,'Loan Tape (S&amp;P)'!Q7445,
    IF(lien="First",1.00,
        IF(lien="Second",1.50,
            1.70)))</f>
        <v/>
      </c>
      <c r="K7445">
        <f>LET(
    purpose,'Loan Tape (S&amp;P)'!R7445,
    IF(purpose="Purchase",1.00,
        IF(purpose="Remortgage",1.00,
            1.20)))</f>
        <v/>
      </c>
      <c r="L7445">
        <f>LET(
    arrears_months,'Loan Tape (S&amp;P)'!AN7445,
    IF(arrears_months=0,1.00,
    IF(arrears_months=1,3.00,
    IF(arrears_months=2,5.00,
    IF(arrears_months=3,8.00,
    IF(arrears_months=4,10.00,
    IF(arrears_months=5,12.00,15.00)))))))</f>
        <v/>
      </c>
      <c r="M7445">
        <f>LET(
    seasoning_years,DATEDIF('Loan Tape (S&amp;P)'!K7445,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45">
        <f>IF(AND('Loan Tape (S&amp;P)'!U7445="Yes",
        'Loan Tape (S&amp;P)'!T7445&lt;&gt;"Yes",
        DATEDIF('Loan Tape (S&amp;P)'!K7445, TODAY(), "M")&lt;18),
    1.10,
    1.00)</f>
        <v/>
      </c>
      <c r="O7445">
        <f>IF('Loan Tape (S&amp;P)'!T7445="Yes",
    1.35,
    1.00)</f>
        <v/>
      </c>
      <c r="P7445">
        <f>IF('Loan Tape (S&amp;P)'!S7445="Yes",
    1.15,
    1.00)</f>
        <v/>
      </c>
      <c r="Q7445">
        <f>IF('Loan Tape (S&amp;P)'!V7445="Yes",
    1.20,
    1.00)</f>
        <v/>
      </c>
      <c r="T7445">
        <f>LET(
    payment_method,'Loan Tape (S&amp;P)'!P7445,
    occupancy,'Loan Tape (S&amp;P)'!N7445,
    maturity_date,'Loan Tape (S&amp;P)'!L7445,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46">
      <c r="J7446">
        <f>LET(
    lien,'Loan Tape (S&amp;P)'!Q7446,
    IF(lien="First",1.00,
        IF(lien="Second",1.50,
            1.70)))</f>
        <v/>
      </c>
      <c r="K7446">
        <f>LET(
    purpose,'Loan Tape (S&amp;P)'!R7446,
    IF(purpose="Purchase",1.00,
        IF(purpose="Remortgage",1.00,
            1.20)))</f>
        <v/>
      </c>
      <c r="L7446">
        <f>LET(
    arrears_months,'Loan Tape (S&amp;P)'!AN7446,
    IF(arrears_months=0,1.00,
    IF(arrears_months=1,3.00,
    IF(arrears_months=2,5.00,
    IF(arrears_months=3,8.00,
    IF(arrears_months=4,10.00,
    IF(arrears_months=5,12.00,15.00)))))))</f>
        <v/>
      </c>
      <c r="M7446">
        <f>LET(
    seasoning_years,DATEDIF('Loan Tape (S&amp;P)'!K7446,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46">
        <f>IF(AND('Loan Tape (S&amp;P)'!U7446="Yes",
        'Loan Tape (S&amp;P)'!T7446&lt;&gt;"Yes",
        DATEDIF('Loan Tape (S&amp;P)'!K7446, TODAY(), "M")&lt;18),
    1.10,
    1.00)</f>
        <v/>
      </c>
      <c r="O7446">
        <f>IF('Loan Tape (S&amp;P)'!T7446="Yes",
    1.35,
    1.00)</f>
        <v/>
      </c>
      <c r="P7446">
        <f>IF('Loan Tape (S&amp;P)'!S7446="Yes",
    1.15,
    1.00)</f>
        <v/>
      </c>
      <c r="Q7446">
        <f>IF('Loan Tape (S&amp;P)'!V7446="Yes",
    1.20,
    1.00)</f>
        <v/>
      </c>
      <c r="T7446">
        <f>LET(
    payment_method,'Loan Tape (S&amp;P)'!P7446,
    occupancy,'Loan Tape (S&amp;P)'!N7446,
    maturity_date,'Loan Tape (S&amp;P)'!L7446,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47">
      <c r="J7447">
        <f>LET(
    lien,'Loan Tape (S&amp;P)'!Q7447,
    IF(lien="First",1.00,
        IF(lien="Second",1.50,
            1.70)))</f>
        <v/>
      </c>
      <c r="K7447">
        <f>LET(
    purpose,'Loan Tape (S&amp;P)'!R7447,
    IF(purpose="Purchase",1.00,
        IF(purpose="Remortgage",1.00,
            1.20)))</f>
        <v/>
      </c>
      <c r="L7447">
        <f>LET(
    arrears_months,'Loan Tape (S&amp;P)'!AN7447,
    IF(arrears_months=0,1.00,
    IF(arrears_months=1,3.00,
    IF(arrears_months=2,5.00,
    IF(arrears_months=3,8.00,
    IF(arrears_months=4,10.00,
    IF(arrears_months=5,12.00,15.00)))))))</f>
        <v/>
      </c>
      <c r="M7447">
        <f>LET(
    seasoning_years,DATEDIF('Loan Tape (S&amp;P)'!K7447,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47">
        <f>IF(AND('Loan Tape (S&amp;P)'!U7447="Yes",
        'Loan Tape (S&amp;P)'!T7447&lt;&gt;"Yes",
        DATEDIF('Loan Tape (S&amp;P)'!K7447, TODAY(), "M")&lt;18),
    1.10,
    1.00)</f>
        <v/>
      </c>
      <c r="O7447">
        <f>IF('Loan Tape (S&amp;P)'!T7447="Yes",
    1.35,
    1.00)</f>
        <v/>
      </c>
      <c r="P7447">
        <f>IF('Loan Tape (S&amp;P)'!S7447="Yes",
    1.15,
    1.00)</f>
        <v/>
      </c>
      <c r="Q7447">
        <f>IF('Loan Tape (S&amp;P)'!V7447="Yes",
    1.20,
    1.00)</f>
        <v/>
      </c>
      <c r="T7447">
        <f>LET(
    payment_method,'Loan Tape (S&amp;P)'!P7447,
    occupancy,'Loan Tape (S&amp;P)'!N7447,
    maturity_date,'Loan Tape (S&amp;P)'!L7447,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48">
      <c r="J7448">
        <f>LET(
    lien,'Loan Tape (S&amp;P)'!Q7448,
    IF(lien="First",1.00,
        IF(lien="Second",1.50,
            1.70)))</f>
        <v/>
      </c>
      <c r="K7448">
        <f>LET(
    purpose,'Loan Tape (S&amp;P)'!R7448,
    IF(purpose="Purchase",1.00,
        IF(purpose="Remortgage",1.00,
            1.20)))</f>
        <v/>
      </c>
      <c r="L7448">
        <f>LET(
    arrears_months,'Loan Tape (S&amp;P)'!AN7448,
    IF(arrears_months=0,1.00,
    IF(arrears_months=1,3.00,
    IF(arrears_months=2,5.00,
    IF(arrears_months=3,8.00,
    IF(arrears_months=4,10.00,
    IF(arrears_months=5,12.00,15.00)))))))</f>
        <v/>
      </c>
      <c r="M7448">
        <f>LET(
    seasoning_years,DATEDIF('Loan Tape (S&amp;P)'!K7448,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48">
        <f>IF(AND('Loan Tape (S&amp;P)'!U7448="Yes",
        'Loan Tape (S&amp;P)'!T7448&lt;&gt;"Yes",
        DATEDIF('Loan Tape (S&amp;P)'!K7448, TODAY(), "M")&lt;18),
    1.10,
    1.00)</f>
        <v/>
      </c>
      <c r="O7448">
        <f>IF('Loan Tape (S&amp;P)'!T7448="Yes",
    1.35,
    1.00)</f>
        <v/>
      </c>
      <c r="P7448">
        <f>IF('Loan Tape (S&amp;P)'!S7448="Yes",
    1.15,
    1.00)</f>
        <v/>
      </c>
      <c r="Q7448">
        <f>IF('Loan Tape (S&amp;P)'!V7448="Yes",
    1.20,
    1.00)</f>
        <v/>
      </c>
      <c r="T7448">
        <f>LET(
    payment_method,'Loan Tape (S&amp;P)'!P7448,
    occupancy,'Loan Tape (S&amp;P)'!N7448,
    maturity_date,'Loan Tape (S&amp;P)'!L7448,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49">
      <c r="J7449">
        <f>LET(
    lien,'Loan Tape (S&amp;P)'!Q7449,
    IF(lien="First",1.00,
        IF(lien="Second",1.50,
            1.70)))</f>
        <v/>
      </c>
      <c r="K7449">
        <f>LET(
    purpose,'Loan Tape (S&amp;P)'!R7449,
    IF(purpose="Purchase",1.00,
        IF(purpose="Remortgage",1.00,
            1.20)))</f>
        <v/>
      </c>
      <c r="L7449">
        <f>LET(
    arrears_months,'Loan Tape (S&amp;P)'!AN7449,
    IF(arrears_months=0,1.00,
    IF(arrears_months=1,3.00,
    IF(arrears_months=2,5.00,
    IF(arrears_months=3,8.00,
    IF(arrears_months=4,10.00,
    IF(arrears_months=5,12.00,15.00)))))))</f>
        <v/>
      </c>
      <c r="M7449">
        <f>LET(
    seasoning_years,DATEDIF('Loan Tape (S&amp;P)'!K7449,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49">
        <f>IF(AND('Loan Tape (S&amp;P)'!U7449="Yes",
        'Loan Tape (S&amp;P)'!T7449&lt;&gt;"Yes",
        DATEDIF('Loan Tape (S&amp;P)'!K7449, TODAY(), "M")&lt;18),
    1.10,
    1.00)</f>
        <v/>
      </c>
      <c r="O7449">
        <f>IF('Loan Tape (S&amp;P)'!T7449="Yes",
    1.35,
    1.00)</f>
        <v/>
      </c>
      <c r="P7449">
        <f>IF('Loan Tape (S&amp;P)'!S7449="Yes",
    1.15,
    1.00)</f>
        <v/>
      </c>
      <c r="Q7449">
        <f>IF('Loan Tape (S&amp;P)'!V7449="Yes",
    1.20,
    1.00)</f>
        <v/>
      </c>
      <c r="T7449">
        <f>LET(
    payment_method,'Loan Tape (S&amp;P)'!P7449,
    occupancy,'Loan Tape (S&amp;P)'!N7449,
    maturity_date,'Loan Tape (S&amp;P)'!L7449,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50">
      <c r="J7450">
        <f>LET(
    lien,'Loan Tape (S&amp;P)'!Q7450,
    IF(lien="First",1.00,
        IF(lien="Second",1.50,
            1.70)))</f>
        <v/>
      </c>
      <c r="K7450">
        <f>LET(
    purpose,'Loan Tape (S&amp;P)'!R7450,
    IF(purpose="Purchase",1.00,
        IF(purpose="Remortgage",1.00,
            1.20)))</f>
        <v/>
      </c>
      <c r="L7450">
        <f>LET(
    arrears_months,'Loan Tape (S&amp;P)'!AN7450,
    IF(arrears_months=0,1.00,
    IF(arrears_months=1,3.00,
    IF(arrears_months=2,5.00,
    IF(arrears_months=3,8.00,
    IF(arrears_months=4,10.00,
    IF(arrears_months=5,12.00,15.00)))))))</f>
        <v/>
      </c>
      <c r="M7450">
        <f>LET(
    seasoning_years,DATEDIF('Loan Tape (S&amp;P)'!K7450,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50">
        <f>IF(AND('Loan Tape (S&amp;P)'!U7450="Yes",
        'Loan Tape (S&amp;P)'!T7450&lt;&gt;"Yes",
        DATEDIF('Loan Tape (S&amp;P)'!K7450, TODAY(), "M")&lt;18),
    1.10,
    1.00)</f>
        <v/>
      </c>
      <c r="O7450">
        <f>IF('Loan Tape (S&amp;P)'!T7450="Yes",
    1.35,
    1.00)</f>
        <v/>
      </c>
      <c r="P7450">
        <f>IF('Loan Tape (S&amp;P)'!S7450="Yes",
    1.15,
    1.00)</f>
        <v/>
      </c>
      <c r="Q7450">
        <f>IF('Loan Tape (S&amp;P)'!V7450="Yes",
    1.20,
    1.00)</f>
        <v/>
      </c>
      <c r="T7450">
        <f>LET(
    payment_method,'Loan Tape (S&amp;P)'!P7450,
    occupancy,'Loan Tape (S&amp;P)'!N7450,
    maturity_date,'Loan Tape (S&amp;P)'!L7450,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51">
      <c r="J7451">
        <f>LET(
    lien,'Loan Tape (S&amp;P)'!Q7451,
    IF(lien="First",1.00,
        IF(lien="Second",1.50,
            1.70)))</f>
        <v/>
      </c>
      <c r="K7451">
        <f>LET(
    purpose,'Loan Tape (S&amp;P)'!R7451,
    IF(purpose="Purchase",1.00,
        IF(purpose="Remortgage",1.00,
            1.20)))</f>
        <v/>
      </c>
      <c r="L7451">
        <f>LET(
    arrears_months,'Loan Tape (S&amp;P)'!AN7451,
    IF(arrears_months=0,1.00,
    IF(arrears_months=1,3.00,
    IF(arrears_months=2,5.00,
    IF(arrears_months=3,8.00,
    IF(arrears_months=4,10.00,
    IF(arrears_months=5,12.00,15.00)))))))</f>
        <v/>
      </c>
      <c r="M7451">
        <f>LET(
    seasoning_years,DATEDIF('Loan Tape (S&amp;P)'!K7451,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51">
        <f>IF(AND('Loan Tape (S&amp;P)'!U7451="Yes",
        'Loan Tape (S&amp;P)'!T7451&lt;&gt;"Yes",
        DATEDIF('Loan Tape (S&amp;P)'!K7451, TODAY(), "M")&lt;18),
    1.10,
    1.00)</f>
        <v/>
      </c>
      <c r="O7451">
        <f>IF('Loan Tape (S&amp;P)'!T7451="Yes",
    1.35,
    1.00)</f>
        <v/>
      </c>
      <c r="P7451">
        <f>IF('Loan Tape (S&amp;P)'!S7451="Yes",
    1.15,
    1.00)</f>
        <v/>
      </c>
      <c r="Q7451">
        <f>IF('Loan Tape (S&amp;P)'!V7451="Yes",
    1.20,
    1.00)</f>
        <v/>
      </c>
      <c r="T7451">
        <f>LET(
    payment_method,'Loan Tape (S&amp;P)'!P7451,
    occupancy,'Loan Tape (S&amp;P)'!N7451,
    maturity_date,'Loan Tape (S&amp;P)'!L7451,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52">
      <c r="J7452">
        <f>LET(
    lien,'Loan Tape (S&amp;P)'!Q7452,
    IF(lien="First",1.00,
        IF(lien="Second",1.50,
            1.70)))</f>
        <v/>
      </c>
      <c r="K7452">
        <f>LET(
    purpose,'Loan Tape (S&amp;P)'!R7452,
    IF(purpose="Purchase",1.00,
        IF(purpose="Remortgage",1.00,
            1.20)))</f>
        <v/>
      </c>
      <c r="L7452">
        <f>LET(
    arrears_months,'Loan Tape (S&amp;P)'!AN7452,
    IF(arrears_months=0,1.00,
    IF(arrears_months=1,3.00,
    IF(arrears_months=2,5.00,
    IF(arrears_months=3,8.00,
    IF(arrears_months=4,10.00,
    IF(arrears_months=5,12.00,15.00)))))))</f>
        <v/>
      </c>
      <c r="M7452">
        <f>LET(
    seasoning_years,DATEDIF('Loan Tape (S&amp;P)'!K7452,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52">
        <f>IF(AND('Loan Tape (S&amp;P)'!U7452="Yes",
        'Loan Tape (S&amp;P)'!T7452&lt;&gt;"Yes",
        DATEDIF('Loan Tape (S&amp;P)'!K7452, TODAY(), "M")&lt;18),
    1.10,
    1.00)</f>
        <v/>
      </c>
      <c r="O7452">
        <f>IF('Loan Tape (S&amp;P)'!T7452="Yes",
    1.35,
    1.00)</f>
        <v/>
      </c>
      <c r="P7452">
        <f>IF('Loan Tape (S&amp;P)'!S7452="Yes",
    1.15,
    1.00)</f>
        <v/>
      </c>
      <c r="Q7452">
        <f>IF('Loan Tape (S&amp;P)'!V7452="Yes",
    1.20,
    1.00)</f>
        <v/>
      </c>
      <c r="T7452">
        <f>LET(
    payment_method,'Loan Tape (S&amp;P)'!P7452,
    occupancy,'Loan Tape (S&amp;P)'!N7452,
    maturity_date,'Loan Tape (S&amp;P)'!L7452,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53">
      <c r="J7453">
        <f>LET(
    lien,'Loan Tape (S&amp;P)'!Q7453,
    IF(lien="First",1.00,
        IF(lien="Second",1.50,
            1.70)))</f>
        <v/>
      </c>
      <c r="K7453">
        <f>LET(
    purpose,'Loan Tape (S&amp;P)'!R7453,
    IF(purpose="Purchase",1.00,
        IF(purpose="Remortgage",1.00,
            1.20)))</f>
        <v/>
      </c>
      <c r="L7453">
        <f>LET(
    arrears_months,'Loan Tape (S&amp;P)'!AN7453,
    IF(arrears_months=0,1.00,
    IF(arrears_months=1,3.00,
    IF(arrears_months=2,5.00,
    IF(arrears_months=3,8.00,
    IF(arrears_months=4,10.00,
    IF(arrears_months=5,12.00,15.00)))))))</f>
        <v/>
      </c>
      <c r="M7453">
        <f>LET(
    seasoning_years,DATEDIF('Loan Tape (S&amp;P)'!K7453,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53">
        <f>IF(AND('Loan Tape (S&amp;P)'!U7453="Yes",
        'Loan Tape (S&amp;P)'!T7453&lt;&gt;"Yes",
        DATEDIF('Loan Tape (S&amp;P)'!K7453, TODAY(), "M")&lt;18),
    1.10,
    1.00)</f>
        <v/>
      </c>
      <c r="O7453">
        <f>IF('Loan Tape (S&amp;P)'!T7453="Yes",
    1.35,
    1.00)</f>
        <v/>
      </c>
      <c r="P7453">
        <f>IF('Loan Tape (S&amp;P)'!S7453="Yes",
    1.15,
    1.00)</f>
        <v/>
      </c>
      <c r="Q7453">
        <f>IF('Loan Tape (S&amp;P)'!V7453="Yes",
    1.20,
    1.00)</f>
        <v/>
      </c>
      <c r="T7453">
        <f>LET(
    payment_method,'Loan Tape (S&amp;P)'!P7453,
    occupancy,'Loan Tape (S&amp;P)'!N7453,
    maturity_date,'Loan Tape (S&amp;P)'!L7453,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54">
      <c r="J7454">
        <f>LET(
    lien,'Loan Tape (S&amp;P)'!Q7454,
    IF(lien="First",1.00,
        IF(lien="Second",1.50,
            1.70)))</f>
        <v/>
      </c>
      <c r="K7454">
        <f>LET(
    purpose,'Loan Tape (S&amp;P)'!R7454,
    IF(purpose="Purchase",1.00,
        IF(purpose="Remortgage",1.00,
            1.20)))</f>
        <v/>
      </c>
      <c r="L7454">
        <f>LET(
    arrears_months,'Loan Tape (S&amp;P)'!AN7454,
    IF(arrears_months=0,1.00,
    IF(arrears_months=1,3.00,
    IF(arrears_months=2,5.00,
    IF(arrears_months=3,8.00,
    IF(arrears_months=4,10.00,
    IF(arrears_months=5,12.00,15.00)))))))</f>
        <v/>
      </c>
      <c r="M7454">
        <f>LET(
    seasoning_years,DATEDIF('Loan Tape (S&amp;P)'!K7454,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54">
        <f>IF(AND('Loan Tape (S&amp;P)'!U7454="Yes",
        'Loan Tape (S&amp;P)'!T7454&lt;&gt;"Yes",
        DATEDIF('Loan Tape (S&amp;P)'!K7454, TODAY(), "M")&lt;18),
    1.10,
    1.00)</f>
        <v/>
      </c>
      <c r="O7454">
        <f>IF('Loan Tape (S&amp;P)'!T7454="Yes",
    1.35,
    1.00)</f>
        <v/>
      </c>
      <c r="P7454">
        <f>IF('Loan Tape (S&amp;P)'!S7454="Yes",
    1.15,
    1.00)</f>
        <v/>
      </c>
      <c r="Q7454">
        <f>IF('Loan Tape (S&amp;P)'!V7454="Yes",
    1.20,
    1.00)</f>
        <v/>
      </c>
      <c r="T7454">
        <f>LET(
    payment_method,'Loan Tape (S&amp;P)'!P7454,
    occupancy,'Loan Tape (S&amp;P)'!N7454,
    maturity_date,'Loan Tape (S&amp;P)'!L7454,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55">
      <c r="J7455">
        <f>LET(
    lien,'Loan Tape (S&amp;P)'!Q7455,
    IF(lien="First",1.00,
        IF(lien="Second",1.50,
            1.70)))</f>
        <v/>
      </c>
      <c r="K7455">
        <f>LET(
    purpose,'Loan Tape (S&amp;P)'!R7455,
    IF(purpose="Purchase",1.00,
        IF(purpose="Remortgage",1.00,
            1.20)))</f>
        <v/>
      </c>
      <c r="L7455">
        <f>LET(
    arrears_months,'Loan Tape (S&amp;P)'!AN7455,
    IF(arrears_months=0,1.00,
    IF(arrears_months=1,3.00,
    IF(arrears_months=2,5.00,
    IF(arrears_months=3,8.00,
    IF(arrears_months=4,10.00,
    IF(arrears_months=5,12.00,15.00)))))))</f>
        <v/>
      </c>
      <c r="M7455">
        <f>LET(
    seasoning_years,DATEDIF('Loan Tape (S&amp;P)'!K7455,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55">
        <f>IF(AND('Loan Tape (S&amp;P)'!U7455="Yes",
        'Loan Tape (S&amp;P)'!T7455&lt;&gt;"Yes",
        DATEDIF('Loan Tape (S&amp;P)'!K7455, TODAY(), "M")&lt;18),
    1.10,
    1.00)</f>
        <v/>
      </c>
      <c r="O7455">
        <f>IF('Loan Tape (S&amp;P)'!T7455="Yes",
    1.35,
    1.00)</f>
        <v/>
      </c>
      <c r="P7455">
        <f>IF('Loan Tape (S&amp;P)'!S7455="Yes",
    1.15,
    1.00)</f>
        <v/>
      </c>
      <c r="Q7455">
        <f>IF('Loan Tape (S&amp;P)'!V7455="Yes",
    1.20,
    1.00)</f>
        <v/>
      </c>
      <c r="T7455">
        <f>LET(
    payment_method,'Loan Tape (S&amp;P)'!P7455,
    occupancy,'Loan Tape (S&amp;P)'!N7455,
    maturity_date,'Loan Tape (S&amp;P)'!L7455,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56">
      <c r="J7456">
        <f>LET(
    lien,'Loan Tape (S&amp;P)'!Q7456,
    IF(lien="First",1.00,
        IF(lien="Second",1.50,
            1.70)))</f>
        <v/>
      </c>
      <c r="K7456">
        <f>LET(
    purpose,'Loan Tape (S&amp;P)'!R7456,
    IF(purpose="Purchase",1.00,
        IF(purpose="Remortgage",1.00,
            1.20)))</f>
        <v/>
      </c>
      <c r="L7456">
        <f>LET(
    arrears_months,'Loan Tape (S&amp;P)'!AN7456,
    IF(arrears_months=0,1.00,
    IF(arrears_months=1,3.00,
    IF(arrears_months=2,5.00,
    IF(arrears_months=3,8.00,
    IF(arrears_months=4,10.00,
    IF(arrears_months=5,12.00,15.00)))))))</f>
        <v/>
      </c>
      <c r="M7456">
        <f>LET(
    seasoning_years,DATEDIF('Loan Tape (S&amp;P)'!K7456,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56">
        <f>IF(AND('Loan Tape (S&amp;P)'!U7456="Yes",
        'Loan Tape (S&amp;P)'!T7456&lt;&gt;"Yes",
        DATEDIF('Loan Tape (S&amp;P)'!K7456, TODAY(), "M")&lt;18),
    1.10,
    1.00)</f>
        <v/>
      </c>
      <c r="O7456">
        <f>IF('Loan Tape (S&amp;P)'!T7456="Yes",
    1.35,
    1.00)</f>
        <v/>
      </c>
      <c r="P7456">
        <f>IF('Loan Tape (S&amp;P)'!S7456="Yes",
    1.15,
    1.00)</f>
        <v/>
      </c>
      <c r="Q7456">
        <f>IF('Loan Tape (S&amp;P)'!V7456="Yes",
    1.20,
    1.00)</f>
        <v/>
      </c>
      <c r="T7456">
        <f>LET(
    payment_method,'Loan Tape (S&amp;P)'!P7456,
    occupancy,'Loan Tape (S&amp;P)'!N7456,
    maturity_date,'Loan Tape (S&amp;P)'!L7456,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57">
      <c r="J7457">
        <f>LET(
    lien,'Loan Tape (S&amp;P)'!Q7457,
    IF(lien="First",1.00,
        IF(lien="Second",1.50,
            1.70)))</f>
        <v/>
      </c>
      <c r="K7457">
        <f>LET(
    purpose,'Loan Tape (S&amp;P)'!R7457,
    IF(purpose="Purchase",1.00,
        IF(purpose="Remortgage",1.00,
            1.20)))</f>
        <v/>
      </c>
      <c r="L7457">
        <f>LET(
    arrears_months,'Loan Tape (S&amp;P)'!AN7457,
    IF(arrears_months=0,1.00,
    IF(arrears_months=1,3.00,
    IF(arrears_months=2,5.00,
    IF(arrears_months=3,8.00,
    IF(arrears_months=4,10.00,
    IF(arrears_months=5,12.00,15.00)))))))</f>
        <v/>
      </c>
      <c r="M7457">
        <f>LET(
    seasoning_years,DATEDIF('Loan Tape (S&amp;P)'!K7457,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57">
        <f>IF(AND('Loan Tape (S&amp;P)'!U7457="Yes",
        'Loan Tape (S&amp;P)'!T7457&lt;&gt;"Yes",
        DATEDIF('Loan Tape (S&amp;P)'!K7457, TODAY(), "M")&lt;18),
    1.10,
    1.00)</f>
        <v/>
      </c>
      <c r="O7457">
        <f>IF('Loan Tape (S&amp;P)'!T7457="Yes",
    1.35,
    1.00)</f>
        <v/>
      </c>
      <c r="P7457">
        <f>IF('Loan Tape (S&amp;P)'!S7457="Yes",
    1.15,
    1.00)</f>
        <v/>
      </c>
      <c r="Q7457">
        <f>IF('Loan Tape (S&amp;P)'!V7457="Yes",
    1.20,
    1.00)</f>
        <v/>
      </c>
      <c r="T7457">
        <f>LET(
    payment_method,'Loan Tape (S&amp;P)'!P7457,
    occupancy,'Loan Tape (S&amp;P)'!N7457,
    maturity_date,'Loan Tape (S&amp;P)'!L7457,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58">
      <c r="J7458">
        <f>LET(
    lien,'Loan Tape (S&amp;P)'!Q7458,
    IF(lien="First",1.00,
        IF(lien="Second",1.50,
            1.70)))</f>
        <v/>
      </c>
      <c r="K7458">
        <f>LET(
    purpose,'Loan Tape (S&amp;P)'!R7458,
    IF(purpose="Purchase",1.00,
        IF(purpose="Remortgage",1.00,
            1.20)))</f>
        <v/>
      </c>
      <c r="L7458">
        <f>LET(
    arrears_months,'Loan Tape (S&amp;P)'!AN7458,
    IF(arrears_months=0,1.00,
    IF(arrears_months=1,3.00,
    IF(arrears_months=2,5.00,
    IF(arrears_months=3,8.00,
    IF(arrears_months=4,10.00,
    IF(arrears_months=5,12.00,15.00)))))))</f>
        <v/>
      </c>
      <c r="M7458">
        <f>LET(
    seasoning_years,DATEDIF('Loan Tape (S&amp;P)'!K7458,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58">
        <f>IF(AND('Loan Tape (S&amp;P)'!U7458="Yes",
        'Loan Tape (S&amp;P)'!T7458&lt;&gt;"Yes",
        DATEDIF('Loan Tape (S&amp;P)'!K7458, TODAY(), "M")&lt;18),
    1.10,
    1.00)</f>
        <v/>
      </c>
      <c r="O7458">
        <f>IF('Loan Tape (S&amp;P)'!T7458="Yes",
    1.35,
    1.00)</f>
        <v/>
      </c>
      <c r="P7458">
        <f>IF('Loan Tape (S&amp;P)'!S7458="Yes",
    1.15,
    1.00)</f>
        <v/>
      </c>
      <c r="Q7458">
        <f>IF('Loan Tape (S&amp;P)'!V7458="Yes",
    1.20,
    1.00)</f>
        <v/>
      </c>
      <c r="T7458">
        <f>LET(
    payment_method,'Loan Tape (S&amp;P)'!P7458,
    occupancy,'Loan Tape (S&amp;P)'!N7458,
    maturity_date,'Loan Tape (S&amp;P)'!L7458,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59">
      <c r="J7459">
        <f>LET(
    lien,'Loan Tape (S&amp;P)'!Q7459,
    IF(lien="First",1.00,
        IF(lien="Second",1.50,
            1.70)))</f>
        <v/>
      </c>
      <c r="K7459">
        <f>LET(
    purpose,'Loan Tape (S&amp;P)'!R7459,
    IF(purpose="Purchase",1.00,
        IF(purpose="Remortgage",1.00,
            1.20)))</f>
        <v/>
      </c>
      <c r="L7459">
        <f>LET(
    arrears_months,'Loan Tape (S&amp;P)'!AN7459,
    IF(arrears_months=0,1.00,
    IF(arrears_months=1,3.00,
    IF(arrears_months=2,5.00,
    IF(arrears_months=3,8.00,
    IF(arrears_months=4,10.00,
    IF(arrears_months=5,12.00,15.00)))))))</f>
        <v/>
      </c>
      <c r="M7459">
        <f>LET(
    seasoning_years,DATEDIF('Loan Tape (S&amp;P)'!K7459,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59">
        <f>IF(AND('Loan Tape (S&amp;P)'!U7459="Yes",
        'Loan Tape (S&amp;P)'!T7459&lt;&gt;"Yes",
        DATEDIF('Loan Tape (S&amp;P)'!K7459, TODAY(), "M")&lt;18),
    1.10,
    1.00)</f>
        <v/>
      </c>
      <c r="O7459">
        <f>IF('Loan Tape (S&amp;P)'!T7459="Yes",
    1.35,
    1.00)</f>
        <v/>
      </c>
      <c r="P7459">
        <f>IF('Loan Tape (S&amp;P)'!S7459="Yes",
    1.15,
    1.00)</f>
        <v/>
      </c>
      <c r="Q7459">
        <f>IF('Loan Tape (S&amp;P)'!V7459="Yes",
    1.20,
    1.00)</f>
        <v/>
      </c>
      <c r="T7459">
        <f>LET(
    payment_method,'Loan Tape (S&amp;P)'!P7459,
    occupancy,'Loan Tape (S&amp;P)'!N7459,
    maturity_date,'Loan Tape (S&amp;P)'!L7459,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60">
      <c r="J7460">
        <f>LET(
    lien,'Loan Tape (S&amp;P)'!Q7460,
    IF(lien="First",1.00,
        IF(lien="Second",1.50,
            1.70)))</f>
        <v/>
      </c>
      <c r="K7460">
        <f>LET(
    purpose,'Loan Tape (S&amp;P)'!R7460,
    IF(purpose="Purchase",1.00,
        IF(purpose="Remortgage",1.00,
            1.20)))</f>
        <v/>
      </c>
      <c r="L7460">
        <f>LET(
    arrears_months,'Loan Tape (S&amp;P)'!AN7460,
    IF(arrears_months=0,1.00,
    IF(arrears_months=1,3.00,
    IF(arrears_months=2,5.00,
    IF(arrears_months=3,8.00,
    IF(arrears_months=4,10.00,
    IF(arrears_months=5,12.00,15.00)))))))</f>
        <v/>
      </c>
      <c r="M7460">
        <f>LET(
    seasoning_years,DATEDIF('Loan Tape (S&amp;P)'!K7460,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60">
        <f>IF(AND('Loan Tape (S&amp;P)'!U7460="Yes",
        'Loan Tape (S&amp;P)'!T7460&lt;&gt;"Yes",
        DATEDIF('Loan Tape (S&amp;P)'!K7460, TODAY(), "M")&lt;18),
    1.10,
    1.00)</f>
        <v/>
      </c>
      <c r="O7460">
        <f>IF('Loan Tape (S&amp;P)'!T7460="Yes",
    1.35,
    1.00)</f>
        <v/>
      </c>
      <c r="P7460">
        <f>IF('Loan Tape (S&amp;P)'!S7460="Yes",
    1.15,
    1.00)</f>
        <v/>
      </c>
      <c r="Q7460">
        <f>IF('Loan Tape (S&amp;P)'!V7460="Yes",
    1.20,
    1.00)</f>
        <v/>
      </c>
      <c r="T7460">
        <f>LET(
    payment_method,'Loan Tape (S&amp;P)'!P7460,
    occupancy,'Loan Tape (S&amp;P)'!N7460,
    maturity_date,'Loan Tape (S&amp;P)'!L7460,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61">
      <c r="J7461">
        <f>LET(
    lien,'Loan Tape (S&amp;P)'!Q7461,
    IF(lien="First",1.00,
        IF(lien="Second",1.50,
            1.70)))</f>
        <v/>
      </c>
      <c r="K7461">
        <f>LET(
    purpose,'Loan Tape (S&amp;P)'!R7461,
    IF(purpose="Purchase",1.00,
        IF(purpose="Remortgage",1.00,
            1.20)))</f>
        <v/>
      </c>
      <c r="L7461">
        <f>LET(
    arrears_months,'Loan Tape (S&amp;P)'!AN7461,
    IF(arrears_months=0,1.00,
    IF(arrears_months=1,3.00,
    IF(arrears_months=2,5.00,
    IF(arrears_months=3,8.00,
    IF(arrears_months=4,10.00,
    IF(arrears_months=5,12.00,15.00)))))))</f>
        <v/>
      </c>
      <c r="M7461">
        <f>LET(
    seasoning_years,DATEDIF('Loan Tape (S&amp;P)'!K7461,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61">
        <f>IF(AND('Loan Tape (S&amp;P)'!U7461="Yes",
        'Loan Tape (S&amp;P)'!T7461&lt;&gt;"Yes",
        DATEDIF('Loan Tape (S&amp;P)'!K7461, TODAY(), "M")&lt;18),
    1.10,
    1.00)</f>
        <v/>
      </c>
      <c r="O7461">
        <f>IF('Loan Tape (S&amp;P)'!T7461="Yes",
    1.35,
    1.00)</f>
        <v/>
      </c>
      <c r="P7461">
        <f>IF('Loan Tape (S&amp;P)'!S7461="Yes",
    1.15,
    1.00)</f>
        <v/>
      </c>
      <c r="Q7461">
        <f>IF('Loan Tape (S&amp;P)'!V7461="Yes",
    1.20,
    1.00)</f>
        <v/>
      </c>
      <c r="T7461">
        <f>LET(
    payment_method,'Loan Tape (S&amp;P)'!P7461,
    occupancy,'Loan Tape (S&amp;P)'!N7461,
    maturity_date,'Loan Tape (S&amp;P)'!L7461,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62">
      <c r="J7462">
        <f>LET(
    lien,'Loan Tape (S&amp;P)'!Q7462,
    IF(lien="First",1.00,
        IF(lien="Second",1.50,
            1.70)))</f>
        <v/>
      </c>
      <c r="K7462">
        <f>LET(
    purpose,'Loan Tape (S&amp;P)'!R7462,
    IF(purpose="Purchase",1.00,
        IF(purpose="Remortgage",1.00,
            1.20)))</f>
        <v/>
      </c>
      <c r="L7462">
        <f>LET(
    arrears_months,'Loan Tape (S&amp;P)'!AN7462,
    IF(arrears_months=0,1.00,
    IF(arrears_months=1,3.00,
    IF(arrears_months=2,5.00,
    IF(arrears_months=3,8.00,
    IF(arrears_months=4,10.00,
    IF(arrears_months=5,12.00,15.00)))))))</f>
        <v/>
      </c>
      <c r="M7462">
        <f>LET(
    seasoning_years,DATEDIF('Loan Tape (S&amp;P)'!K7462,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62">
        <f>IF(AND('Loan Tape (S&amp;P)'!U7462="Yes",
        'Loan Tape (S&amp;P)'!T7462&lt;&gt;"Yes",
        DATEDIF('Loan Tape (S&amp;P)'!K7462, TODAY(), "M")&lt;18),
    1.10,
    1.00)</f>
        <v/>
      </c>
      <c r="O7462">
        <f>IF('Loan Tape (S&amp;P)'!T7462="Yes",
    1.35,
    1.00)</f>
        <v/>
      </c>
      <c r="P7462">
        <f>IF('Loan Tape (S&amp;P)'!S7462="Yes",
    1.15,
    1.00)</f>
        <v/>
      </c>
      <c r="Q7462">
        <f>IF('Loan Tape (S&amp;P)'!V7462="Yes",
    1.20,
    1.00)</f>
        <v/>
      </c>
      <c r="T7462">
        <f>LET(
    payment_method,'Loan Tape (S&amp;P)'!P7462,
    occupancy,'Loan Tape (S&amp;P)'!N7462,
    maturity_date,'Loan Tape (S&amp;P)'!L7462,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63">
      <c r="J7463">
        <f>LET(
    lien,'Loan Tape (S&amp;P)'!Q7463,
    IF(lien="First",1.00,
        IF(lien="Second",1.50,
            1.70)))</f>
        <v/>
      </c>
      <c r="K7463">
        <f>LET(
    purpose,'Loan Tape (S&amp;P)'!R7463,
    IF(purpose="Purchase",1.00,
        IF(purpose="Remortgage",1.00,
            1.20)))</f>
        <v/>
      </c>
      <c r="L7463">
        <f>LET(
    arrears_months,'Loan Tape (S&amp;P)'!AN7463,
    IF(arrears_months=0,1.00,
    IF(arrears_months=1,3.00,
    IF(arrears_months=2,5.00,
    IF(arrears_months=3,8.00,
    IF(arrears_months=4,10.00,
    IF(arrears_months=5,12.00,15.00)))))))</f>
        <v/>
      </c>
      <c r="M7463">
        <f>LET(
    seasoning_years,DATEDIF('Loan Tape (S&amp;P)'!K7463,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63">
        <f>IF(AND('Loan Tape (S&amp;P)'!U7463="Yes",
        'Loan Tape (S&amp;P)'!T7463&lt;&gt;"Yes",
        DATEDIF('Loan Tape (S&amp;P)'!K7463, TODAY(), "M")&lt;18),
    1.10,
    1.00)</f>
        <v/>
      </c>
      <c r="O7463">
        <f>IF('Loan Tape (S&amp;P)'!T7463="Yes",
    1.35,
    1.00)</f>
        <v/>
      </c>
      <c r="P7463">
        <f>IF('Loan Tape (S&amp;P)'!S7463="Yes",
    1.15,
    1.00)</f>
        <v/>
      </c>
      <c r="Q7463">
        <f>IF('Loan Tape (S&amp;P)'!V7463="Yes",
    1.20,
    1.00)</f>
        <v/>
      </c>
      <c r="T7463">
        <f>LET(
    payment_method,'Loan Tape (S&amp;P)'!P7463,
    occupancy,'Loan Tape (S&amp;P)'!N7463,
    maturity_date,'Loan Tape (S&amp;P)'!L7463,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64">
      <c r="J7464">
        <f>LET(
    lien,'Loan Tape (S&amp;P)'!Q7464,
    IF(lien="First",1.00,
        IF(lien="Second",1.50,
            1.70)))</f>
        <v/>
      </c>
      <c r="K7464">
        <f>LET(
    purpose,'Loan Tape (S&amp;P)'!R7464,
    IF(purpose="Purchase",1.00,
        IF(purpose="Remortgage",1.00,
            1.20)))</f>
        <v/>
      </c>
      <c r="L7464">
        <f>LET(
    arrears_months,'Loan Tape (S&amp;P)'!AN7464,
    IF(arrears_months=0,1.00,
    IF(arrears_months=1,3.00,
    IF(arrears_months=2,5.00,
    IF(arrears_months=3,8.00,
    IF(arrears_months=4,10.00,
    IF(arrears_months=5,12.00,15.00)))))))</f>
        <v/>
      </c>
      <c r="M7464">
        <f>LET(
    seasoning_years,DATEDIF('Loan Tape (S&amp;P)'!K7464,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64">
        <f>IF(AND('Loan Tape (S&amp;P)'!U7464="Yes",
        'Loan Tape (S&amp;P)'!T7464&lt;&gt;"Yes",
        DATEDIF('Loan Tape (S&amp;P)'!K7464, TODAY(), "M")&lt;18),
    1.10,
    1.00)</f>
        <v/>
      </c>
      <c r="O7464">
        <f>IF('Loan Tape (S&amp;P)'!T7464="Yes",
    1.35,
    1.00)</f>
        <v/>
      </c>
      <c r="P7464">
        <f>IF('Loan Tape (S&amp;P)'!S7464="Yes",
    1.15,
    1.00)</f>
        <v/>
      </c>
      <c r="Q7464">
        <f>IF('Loan Tape (S&amp;P)'!V7464="Yes",
    1.20,
    1.00)</f>
        <v/>
      </c>
      <c r="T7464">
        <f>LET(
    payment_method,'Loan Tape (S&amp;P)'!P7464,
    occupancy,'Loan Tape (S&amp;P)'!N7464,
    maturity_date,'Loan Tape (S&amp;P)'!L7464,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65">
      <c r="J7465">
        <f>LET(
    lien,'Loan Tape (S&amp;P)'!Q7465,
    IF(lien="First",1.00,
        IF(lien="Second",1.50,
            1.70)))</f>
        <v/>
      </c>
      <c r="K7465">
        <f>LET(
    purpose,'Loan Tape (S&amp;P)'!R7465,
    IF(purpose="Purchase",1.00,
        IF(purpose="Remortgage",1.00,
            1.20)))</f>
        <v/>
      </c>
      <c r="L7465">
        <f>LET(
    arrears_months,'Loan Tape (S&amp;P)'!AN7465,
    IF(arrears_months=0,1.00,
    IF(arrears_months=1,3.00,
    IF(arrears_months=2,5.00,
    IF(arrears_months=3,8.00,
    IF(arrears_months=4,10.00,
    IF(arrears_months=5,12.00,15.00)))))))</f>
        <v/>
      </c>
      <c r="M7465">
        <f>LET(
    seasoning_years,DATEDIF('Loan Tape (S&amp;P)'!K7465,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65">
        <f>IF(AND('Loan Tape (S&amp;P)'!U7465="Yes",
        'Loan Tape (S&amp;P)'!T7465&lt;&gt;"Yes",
        DATEDIF('Loan Tape (S&amp;P)'!K7465, TODAY(), "M")&lt;18),
    1.10,
    1.00)</f>
        <v/>
      </c>
      <c r="O7465">
        <f>IF('Loan Tape (S&amp;P)'!T7465="Yes",
    1.35,
    1.00)</f>
        <v/>
      </c>
      <c r="P7465">
        <f>IF('Loan Tape (S&amp;P)'!S7465="Yes",
    1.15,
    1.00)</f>
        <v/>
      </c>
      <c r="Q7465">
        <f>IF('Loan Tape (S&amp;P)'!V7465="Yes",
    1.20,
    1.00)</f>
        <v/>
      </c>
      <c r="T7465">
        <f>LET(
    payment_method,'Loan Tape (S&amp;P)'!P7465,
    occupancy,'Loan Tape (S&amp;P)'!N7465,
    maturity_date,'Loan Tape (S&amp;P)'!L7465,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66">
      <c r="J7466">
        <f>LET(
    lien,'Loan Tape (S&amp;P)'!Q7466,
    IF(lien="First",1.00,
        IF(lien="Second",1.50,
            1.70)))</f>
        <v/>
      </c>
      <c r="K7466">
        <f>LET(
    purpose,'Loan Tape (S&amp;P)'!R7466,
    IF(purpose="Purchase",1.00,
        IF(purpose="Remortgage",1.00,
            1.20)))</f>
        <v/>
      </c>
      <c r="L7466">
        <f>LET(
    arrears_months,'Loan Tape (S&amp;P)'!AN7466,
    IF(arrears_months=0,1.00,
    IF(arrears_months=1,3.00,
    IF(arrears_months=2,5.00,
    IF(arrears_months=3,8.00,
    IF(arrears_months=4,10.00,
    IF(arrears_months=5,12.00,15.00)))))))</f>
        <v/>
      </c>
      <c r="M7466">
        <f>LET(
    seasoning_years,DATEDIF('Loan Tape (S&amp;P)'!K7466,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66">
        <f>IF(AND('Loan Tape (S&amp;P)'!U7466="Yes",
        'Loan Tape (S&amp;P)'!T7466&lt;&gt;"Yes",
        DATEDIF('Loan Tape (S&amp;P)'!K7466, TODAY(), "M")&lt;18),
    1.10,
    1.00)</f>
        <v/>
      </c>
      <c r="O7466">
        <f>IF('Loan Tape (S&amp;P)'!T7466="Yes",
    1.35,
    1.00)</f>
        <v/>
      </c>
      <c r="P7466">
        <f>IF('Loan Tape (S&amp;P)'!S7466="Yes",
    1.15,
    1.00)</f>
        <v/>
      </c>
      <c r="Q7466">
        <f>IF('Loan Tape (S&amp;P)'!V7466="Yes",
    1.20,
    1.00)</f>
        <v/>
      </c>
      <c r="T7466">
        <f>LET(
    payment_method,'Loan Tape (S&amp;P)'!P7466,
    occupancy,'Loan Tape (S&amp;P)'!N7466,
    maturity_date,'Loan Tape (S&amp;P)'!L7466,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67">
      <c r="J7467">
        <f>LET(
    lien,'Loan Tape (S&amp;P)'!Q7467,
    IF(lien="First",1.00,
        IF(lien="Second",1.50,
            1.70)))</f>
        <v/>
      </c>
      <c r="K7467">
        <f>LET(
    purpose,'Loan Tape (S&amp;P)'!R7467,
    IF(purpose="Purchase",1.00,
        IF(purpose="Remortgage",1.00,
            1.20)))</f>
        <v/>
      </c>
      <c r="L7467">
        <f>LET(
    arrears_months,'Loan Tape (S&amp;P)'!AN7467,
    IF(arrears_months=0,1.00,
    IF(arrears_months=1,3.00,
    IF(arrears_months=2,5.00,
    IF(arrears_months=3,8.00,
    IF(arrears_months=4,10.00,
    IF(arrears_months=5,12.00,15.00)))))))</f>
        <v/>
      </c>
      <c r="M7467">
        <f>LET(
    seasoning_years,DATEDIF('Loan Tape (S&amp;P)'!K7467,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67">
        <f>IF(AND('Loan Tape (S&amp;P)'!U7467="Yes",
        'Loan Tape (S&amp;P)'!T7467&lt;&gt;"Yes",
        DATEDIF('Loan Tape (S&amp;P)'!K7467, TODAY(), "M")&lt;18),
    1.10,
    1.00)</f>
        <v/>
      </c>
      <c r="O7467">
        <f>IF('Loan Tape (S&amp;P)'!T7467="Yes",
    1.35,
    1.00)</f>
        <v/>
      </c>
      <c r="P7467">
        <f>IF('Loan Tape (S&amp;P)'!S7467="Yes",
    1.15,
    1.00)</f>
        <v/>
      </c>
      <c r="Q7467">
        <f>IF('Loan Tape (S&amp;P)'!V7467="Yes",
    1.20,
    1.00)</f>
        <v/>
      </c>
      <c r="T7467">
        <f>LET(
    payment_method,'Loan Tape (S&amp;P)'!P7467,
    occupancy,'Loan Tape (S&amp;P)'!N7467,
    maturity_date,'Loan Tape (S&amp;P)'!L7467,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68">
      <c r="J7468">
        <f>LET(
    lien,'Loan Tape (S&amp;P)'!Q7468,
    IF(lien="First",1.00,
        IF(lien="Second",1.50,
            1.70)))</f>
        <v/>
      </c>
      <c r="K7468">
        <f>LET(
    purpose,'Loan Tape (S&amp;P)'!R7468,
    IF(purpose="Purchase",1.00,
        IF(purpose="Remortgage",1.00,
            1.20)))</f>
        <v/>
      </c>
      <c r="L7468">
        <f>LET(
    arrears_months,'Loan Tape (S&amp;P)'!AN7468,
    IF(arrears_months=0,1.00,
    IF(arrears_months=1,3.00,
    IF(arrears_months=2,5.00,
    IF(arrears_months=3,8.00,
    IF(arrears_months=4,10.00,
    IF(arrears_months=5,12.00,15.00)))))))</f>
        <v/>
      </c>
      <c r="M7468">
        <f>LET(
    seasoning_years,DATEDIF('Loan Tape (S&amp;P)'!K7468,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68">
        <f>IF(AND('Loan Tape (S&amp;P)'!U7468="Yes",
        'Loan Tape (S&amp;P)'!T7468&lt;&gt;"Yes",
        DATEDIF('Loan Tape (S&amp;P)'!K7468, TODAY(), "M")&lt;18),
    1.10,
    1.00)</f>
        <v/>
      </c>
      <c r="O7468">
        <f>IF('Loan Tape (S&amp;P)'!T7468="Yes",
    1.35,
    1.00)</f>
        <v/>
      </c>
      <c r="P7468">
        <f>IF('Loan Tape (S&amp;P)'!S7468="Yes",
    1.15,
    1.00)</f>
        <v/>
      </c>
      <c r="Q7468">
        <f>IF('Loan Tape (S&amp;P)'!V7468="Yes",
    1.20,
    1.00)</f>
        <v/>
      </c>
      <c r="T7468">
        <f>LET(
    payment_method,'Loan Tape (S&amp;P)'!P7468,
    occupancy,'Loan Tape (S&amp;P)'!N7468,
    maturity_date,'Loan Tape (S&amp;P)'!L7468,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69">
      <c r="J7469">
        <f>LET(
    lien,'Loan Tape (S&amp;P)'!Q7469,
    IF(lien="First",1.00,
        IF(lien="Second",1.50,
            1.70)))</f>
        <v/>
      </c>
      <c r="K7469">
        <f>LET(
    purpose,'Loan Tape (S&amp;P)'!R7469,
    IF(purpose="Purchase",1.00,
        IF(purpose="Remortgage",1.00,
            1.20)))</f>
        <v/>
      </c>
      <c r="L7469">
        <f>LET(
    arrears_months,'Loan Tape (S&amp;P)'!AN7469,
    IF(arrears_months=0,1.00,
    IF(arrears_months=1,3.00,
    IF(arrears_months=2,5.00,
    IF(arrears_months=3,8.00,
    IF(arrears_months=4,10.00,
    IF(arrears_months=5,12.00,15.00)))))))</f>
        <v/>
      </c>
      <c r="M7469">
        <f>LET(
    seasoning_years,DATEDIF('Loan Tape (S&amp;P)'!K7469,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69">
        <f>IF(AND('Loan Tape (S&amp;P)'!U7469="Yes",
        'Loan Tape (S&amp;P)'!T7469&lt;&gt;"Yes",
        DATEDIF('Loan Tape (S&amp;P)'!K7469, TODAY(), "M")&lt;18),
    1.10,
    1.00)</f>
        <v/>
      </c>
      <c r="O7469">
        <f>IF('Loan Tape (S&amp;P)'!T7469="Yes",
    1.35,
    1.00)</f>
        <v/>
      </c>
      <c r="P7469">
        <f>IF('Loan Tape (S&amp;P)'!S7469="Yes",
    1.15,
    1.00)</f>
        <v/>
      </c>
      <c r="Q7469">
        <f>IF('Loan Tape (S&amp;P)'!V7469="Yes",
    1.20,
    1.00)</f>
        <v/>
      </c>
      <c r="T7469">
        <f>LET(
    payment_method,'Loan Tape (S&amp;P)'!P7469,
    occupancy,'Loan Tape (S&amp;P)'!N7469,
    maturity_date,'Loan Tape (S&amp;P)'!L7469,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70">
      <c r="J7470">
        <f>LET(
    lien,'Loan Tape (S&amp;P)'!Q7470,
    IF(lien="First",1.00,
        IF(lien="Second",1.50,
            1.70)))</f>
        <v/>
      </c>
      <c r="K7470">
        <f>LET(
    purpose,'Loan Tape (S&amp;P)'!R7470,
    IF(purpose="Purchase",1.00,
        IF(purpose="Remortgage",1.00,
            1.20)))</f>
        <v/>
      </c>
      <c r="L7470">
        <f>LET(
    arrears_months,'Loan Tape (S&amp;P)'!AN7470,
    IF(arrears_months=0,1.00,
    IF(arrears_months=1,3.00,
    IF(arrears_months=2,5.00,
    IF(arrears_months=3,8.00,
    IF(arrears_months=4,10.00,
    IF(arrears_months=5,12.00,15.00)))))))</f>
        <v/>
      </c>
      <c r="M7470">
        <f>LET(
    seasoning_years,DATEDIF('Loan Tape (S&amp;P)'!K7470,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70">
        <f>IF(AND('Loan Tape (S&amp;P)'!U7470="Yes",
        'Loan Tape (S&amp;P)'!T7470&lt;&gt;"Yes",
        DATEDIF('Loan Tape (S&amp;P)'!K7470, TODAY(), "M")&lt;18),
    1.10,
    1.00)</f>
        <v/>
      </c>
      <c r="O7470">
        <f>IF('Loan Tape (S&amp;P)'!T7470="Yes",
    1.35,
    1.00)</f>
        <v/>
      </c>
      <c r="P7470">
        <f>IF('Loan Tape (S&amp;P)'!S7470="Yes",
    1.15,
    1.00)</f>
        <v/>
      </c>
      <c r="Q7470">
        <f>IF('Loan Tape (S&amp;P)'!V7470="Yes",
    1.20,
    1.00)</f>
        <v/>
      </c>
      <c r="T7470">
        <f>LET(
    payment_method,'Loan Tape (S&amp;P)'!P7470,
    occupancy,'Loan Tape (S&amp;P)'!N7470,
    maturity_date,'Loan Tape (S&amp;P)'!L7470,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71">
      <c r="J7471">
        <f>LET(
    lien,'Loan Tape (S&amp;P)'!Q7471,
    IF(lien="First",1.00,
        IF(lien="Second",1.50,
            1.70)))</f>
        <v/>
      </c>
      <c r="K7471">
        <f>LET(
    purpose,'Loan Tape (S&amp;P)'!R7471,
    IF(purpose="Purchase",1.00,
        IF(purpose="Remortgage",1.00,
            1.20)))</f>
        <v/>
      </c>
      <c r="L7471">
        <f>LET(
    arrears_months,'Loan Tape (S&amp;P)'!AN7471,
    IF(arrears_months=0,1.00,
    IF(arrears_months=1,3.00,
    IF(arrears_months=2,5.00,
    IF(arrears_months=3,8.00,
    IF(arrears_months=4,10.00,
    IF(arrears_months=5,12.00,15.00)))))))</f>
        <v/>
      </c>
      <c r="M7471">
        <f>LET(
    seasoning_years,DATEDIF('Loan Tape (S&amp;P)'!K7471,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71">
        <f>IF(AND('Loan Tape (S&amp;P)'!U7471="Yes",
        'Loan Tape (S&amp;P)'!T7471&lt;&gt;"Yes",
        DATEDIF('Loan Tape (S&amp;P)'!K7471, TODAY(), "M")&lt;18),
    1.10,
    1.00)</f>
        <v/>
      </c>
      <c r="O7471">
        <f>IF('Loan Tape (S&amp;P)'!T7471="Yes",
    1.35,
    1.00)</f>
        <v/>
      </c>
      <c r="P7471">
        <f>IF('Loan Tape (S&amp;P)'!S7471="Yes",
    1.15,
    1.00)</f>
        <v/>
      </c>
      <c r="Q7471">
        <f>IF('Loan Tape (S&amp;P)'!V7471="Yes",
    1.20,
    1.00)</f>
        <v/>
      </c>
      <c r="T7471">
        <f>LET(
    payment_method,'Loan Tape (S&amp;P)'!P7471,
    occupancy,'Loan Tape (S&amp;P)'!N7471,
    maturity_date,'Loan Tape (S&amp;P)'!L7471,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72">
      <c r="J7472">
        <f>LET(
    lien,'Loan Tape (S&amp;P)'!Q7472,
    IF(lien="First",1.00,
        IF(lien="Second",1.50,
            1.70)))</f>
        <v/>
      </c>
      <c r="K7472">
        <f>LET(
    purpose,'Loan Tape (S&amp;P)'!R7472,
    IF(purpose="Purchase",1.00,
        IF(purpose="Remortgage",1.00,
            1.20)))</f>
        <v/>
      </c>
      <c r="L7472">
        <f>LET(
    arrears_months,'Loan Tape (S&amp;P)'!AN7472,
    IF(arrears_months=0,1.00,
    IF(arrears_months=1,3.00,
    IF(arrears_months=2,5.00,
    IF(arrears_months=3,8.00,
    IF(arrears_months=4,10.00,
    IF(arrears_months=5,12.00,15.00)))))))</f>
        <v/>
      </c>
      <c r="M7472">
        <f>LET(
    seasoning_years,DATEDIF('Loan Tape (S&amp;P)'!K7472,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72">
        <f>IF(AND('Loan Tape (S&amp;P)'!U7472="Yes",
        'Loan Tape (S&amp;P)'!T7472&lt;&gt;"Yes",
        DATEDIF('Loan Tape (S&amp;P)'!K7472, TODAY(), "M")&lt;18),
    1.10,
    1.00)</f>
        <v/>
      </c>
      <c r="O7472">
        <f>IF('Loan Tape (S&amp;P)'!T7472="Yes",
    1.35,
    1.00)</f>
        <v/>
      </c>
      <c r="P7472">
        <f>IF('Loan Tape (S&amp;P)'!S7472="Yes",
    1.15,
    1.00)</f>
        <v/>
      </c>
      <c r="Q7472">
        <f>IF('Loan Tape (S&amp;P)'!V7472="Yes",
    1.20,
    1.00)</f>
        <v/>
      </c>
      <c r="T7472">
        <f>LET(
    payment_method,'Loan Tape (S&amp;P)'!P7472,
    occupancy,'Loan Tape (S&amp;P)'!N7472,
    maturity_date,'Loan Tape (S&amp;P)'!L7472,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73">
      <c r="J7473">
        <f>LET(
    lien,'Loan Tape (S&amp;P)'!Q7473,
    IF(lien="First",1.00,
        IF(lien="Second",1.50,
            1.70)))</f>
        <v/>
      </c>
      <c r="K7473">
        <f>LET(
    purpose,'Loan Tape (S&amp;P)'!R7473,
    IF(purpose="Purchase",1.00,
        IF(purpose="Remortgage",1.00,
            1.20)))</f>
        <v/>
      </c>
      <c r="L7473">
        <f>LET(
    arrears_months,'Loan Tape (S&amp;P)'!AN7473,
    IF(arrears_months=0,1.00,
    IF(arrears_months=1,3.00,
    IF(arrears_months=2,5.00,
    IF(arrears_months=3,8.00,
    IF(arrears_months=4,10.00,
    IF(arrears_months=5,12.00,15.00)))))))</f>
        <v/>
      </c>
      <c r="M7473">
        <f>LET(
    seasoning_years,DATEDIF('Loan Tape (S&amp;P)'!K7473,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73">
        <f>IF(AND('Loan Tape (S&amp;P)'!U7473="Yes",
        'Loan Tape (S&amp;P)'!T7473&lt;&gt;"Yes",
        DATEDIF('Loan Tape (S&amp;P)'!K7473, TODAY(), "M")&lt;18),
    1.10,
    1.00)</f>
        <v/>
      </c>
      <c r="O7473">
        <f>IF('Loan Tape (S&amp;P)'!T7473="Yes",
    1.35,
    1.00)</f>
        <v/>
      </c>
      <c r="P7473">
        <f>IF('Loan Tape (S&amp;P)'!S7473="Yes",
    1.15,
    1.00)</f>
        <v/>
      </c>
      <c r="Q7473">
        <f>IF('Loan Tape (S&amp;P)'!V7473="Yes",
    1.20,
    1.00)</f>
        <v/>
      </c>
      <c r="T7473">
        <f>LET(
    payment_method,'Loan Tape (S&amp;P)'!P7473,
    occupancy,'Loan Tape (S&amp;P)'!N7473,
    maturity_date,'Loan Tape (S&amp;P)'!L7473,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74">
      <c r="J7474">
        <f>LET(
    lien,'Loan Tape (S&amp;P)'!Q7474,
    IF(lien="First",1.00,
        IF(lien="Second",1.50,
            1.70)))</f>
        <v/>
      </c>
      <c r="K7474">
        <f>LET(
    purpose,'Loan Tape (S&amp;P)'!R7474,
    IF(purpose="Purchase",1.00,
        IF(purpose="Remortgage",1.00,
            1.20)))</f>
        <v/>
      </c>
      <c r="L7474">
        <f>LET(
    arrears_months,'Loan Tape (S&amp;P)'!AN7474,
    IF(arrears_months=0,1.00,
    IF(arrears_months=1,3.00,
    IF(arrears_months=2,5.00,
    IF(arrears_months=3,8.00,
    IF(arrears_months=4,10.00,
    IF(arrears_months=5,12.00,15.00)))))))</f>
        <v/>
      </c>
      <c r="M7474">
        <f>LET(
    seasoning_years,DATEDIF('Loan Tape (S&amp;P)'!K7474,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74">
        <f>IF(AND('Loan Tape (S&amp;P)'!U7474="Yes",
        'Loan Tape (S&amp;P)'!T7474&lt;&gt;"Yes",
        DATEDIF('Loan Tape (S&amp;P)'!K7474, TODAY(), "M")&lt;18),
    1.10,
    1.00)</f>
        <v/>
      </c>
      <c r="O7474">
        <f>IF('Loan Tape (S&amp;P)'!T7474="Yes",
    1.35,
    1.00)</f>
        <v/>
      </c>
      <c r="P7474">
        <f>IF('Loan Tape (S&amp;P)'!S7474="Yes",
    1.15,
    1.00)</f>
        <v/>
      </c>
      <c r="Q7474">
        <f>IF('Loan Tape (S&amp;P)'!V7474="Yes",
    1.20,
    1.00)</f>
        <v/>
      </c>
      <c r="T7474">
        <f>LET(
    payment_method,'Loan Tape (S&amp;P)'!P7474,
    occupancy,'Loan Tape (S&amp;P)'!N7474,
    maturity_date,'Loan Tape (S&amp;P)'!L7474,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75">
      <c r="J7475">
        <f>LET(
    lien,'Loan Tape (S&amp;P)'!Q7475,
    IF(lien="First",1.00,
        IF(lien="Second",1.50,
            1.70)))</f>
        <v/>
      </c>
      <c r="K7475">
        <f>LET(
    purpose,'Loan Tape (S&amp;P)'!R7475,
    IF(purpose="Purchase",1.00,
        IF(purpose="Remortgage",1.00,
            1.20)))</f>
        <v/>
      </c>
      <c r="L7475">
        <f>LET(
    arrears_months,'Loan Tape (S&amp;P)'!AN7475,
    IF(arrears_months=0,1.00,
    IF(arrears_months=1,3.00,
    IF(arrears_months=2,5.00,
    IF(arrears_months=3,8.00,
    IF(arrears_months=4,10.00,
    IF(arrears_months=5,12.00,15.00)))))))</f>
        <v/>
      </c>
      <c r="M7475">
        <f>LET(
    seasoning_years,DATEDIF('Loan Tape (S&amp;P)'!K7475,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75">
        <f>IF(AND('Loan Tape (S&amp;P)'!U7475="Yes",
        'Loan Tape (S&amp;P)'!T7475&lt;&gt;"Yes",
        DATEDIF('Loan Tape (S&amp;P)'!K7475, TODAY(), "M")&lt;18),
    1.10,
    1.00)</f>
        <v/>
      </c>
      <c r="O7475">
        <f>IF('Loan Tape (S&amp;P)'!T7475="Yes",
    1.35,
    1.00)</f>
        <v/>
      </c>
      <c r="P7475">
        <f>IF('Loan Tape (S&amp;P)'!S7475="Yes",
    1.15,
    1.00)</f>
        <v/>
      </c>
      <c r="Q7475">
        <f>IF('Loan Tape (S&amp;P)'!V7475="Yes",
    1.20,
    1.00)</f>
        <v/>
      </c>
      <c r="T7475">
        <f>LET(
    payment_method,'Loan Tape (S&amp;P)'!P7475,
    occupancy,'Loan Tape (S&amp;P)'!N7475,
    maturity_date,'Loan Tape (S&amp;P)'!L7475,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76">
      <c r="J7476">
        <f>LET(
    lien,'Loan Tape (S&amp;P)'!Q7476,
    IF(lien="First",1.00,
        IF(lien="Second",1.50,
            1.70)))</f>
        <v/>
      </c>
      <c r="K7476">
        <f>LET(
    purpose,'Loan Tape (S&amp;P)'!R7476,
    IF(purpose="Purchase",1.00,
        IF(purpose="Remortgage",1.00,
            1.20)))</f>
        <v/>
      </c>
      <c r="L7476">
        <f>LET(
    arrears_months,'Loan Tape (S&amp;P)'!AN7476,
    IF(arrears_months=0,1.00,
    IF(arrears_months=1,3.00,
    IF(arrears_months=2,5.00,
    IF(arrears_months=3,8.00,
    IF(arrears_months=4,10.00,
    IF(arrears_months=5,12.00,15.00)))))))</f>
        <v/>
      </c>
      <c r="M7476">
        <f>LET(
    seasoning_years,DATEDIF('Loan Tape (S&amp;P)'!K7476,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76">
        <f>IF(AND('Loan Tape (S&amp;P)'!U7476="Yes",
        'Loan Tape (S&amp;P)'!T7476&lt;&gt;"Yes",
        DATEDIF('Loan Tape (S&amp;P)'!K7476, TODAY(), "M")&lt;18),
    1.10,
    1.00)</f>
        <v/>
      </c>
      <c r="O7476">
        <f>IF('Loan Tape (S&amp;P)'!T7476="Yes",
    1.35,
    1.00)</f>
        <v/>
      </c>
      <c r="P7476">
        <f>IF('Loan Tape (S&amp;P)'!S7476="Yes",
    1.15,
    1.00)</f>
        <v/>
      </c>
      <c r="Q7476">
        <f>IF('Loan Tape (S&amp;P)'!V7476="Yes",
    1.20,
    1.00)</f>
        <v/>
      </c>
      <c r="T7476">
        <f>LET(
    payment_method,'Loan Tape (S&amp;P)'!P7476,
    occupancy,'Loan Tape (S&amp;P)'!N7476,
    maturity_date,'Loan Tape (S&amp;P)'!L7476,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77">
      <c r="J7477">
        <f>LET(
    lien,'Loan Tape (S&amp;P)'!Q7477,
    IF(lien="First",1.00,
        IF(lien="Second",1.50,
            1.70)))</f>
        <v/>
      </c>
      <c r="K7477">
        <f>LET(
    purpose,'Loan Tape (S&amp;P)'!R7477,
    IF(purpose="Purchase",1.00,
        IF(purpose="Remortgage",1.00,
            1.20)))</f>
        <v/>
      </c>
      <c r="L7477">
        <f>LET(
    arrears_months,'Loan Tape (S&amp;P)'!AN7477,
    IF(arrears_months=0,1.00,
    IF(arrears_months=1,3.00,
    IF(arrears_months=2,5.00,
    IF(arrears_months=3,8.00,
    IF(arrears_months=4,10.00,
    IF(arrears_months=5,12.00,15.00)))))))</f>
        <v/>
      </c>
      <c r="M7477">
        <f>LET(
    seasoning_years,DATEDIF('Loan Tape (S&amp;P)'!K7477,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77">
        <f>IF(AND('Loan Tape (S&amp;P)'!U7477="Yes",
        'Loan Tape (S&amp;P)'!T7477&lt;&gt;"Yes",
        DATEDIF('Loan Tape (S&amp;P)'!K7477, TODAY(), "M")&lt;18),
    1.10,
    1.00)</f>
        <v/>
      </c>
      <c r="O7477">
        <f>IF('Loan Tape (S&amp;P)'!T7477="Yes",
    1.35,
    1.00)</f>
        <v/>
      </c>
      <c r="P7477">
        <f>IF('Loan Tape (S&amp;P)'!S7477="Yes",
    1.15,
    1.00)</f>
        <v/>
      </c>
      <c r="Q7477">
        <f>IF('Loan Tape (S&amp;P)'!V7477="Yes",
    1.20,
    1.00)</f>
        <v/>
      </c>
      <c r="T7477">
        <f>LET(
    payment_method,'Loan Tape (S&amp;P)'!P7477,
    occupancy,'Loan Tape (S&amp;P)'!N7477,
    maturity_date,'Loan Tape (S&amp;P)'!L7477,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78">
      <c r="J7478">
        <f>LET(
    lien,'Loan Tape (S&amp;P)'!Q7478,
    IF(lien="First",1.00,
        IF(lien="Second",1.50,
            1.70)))</f>
        <v/>
      </c>
      <c r="K7478">
        <f>LET(
    purpose,'Loan Tape (S&amp;P)'!R7478,
    IF(purpose="Purchase",1.00,
        IF(purpose="Remortgage",1.00,
            1.20)))</f>
        <v/>
      </c>
      <c r="L7478">
        <f>LET(
    arrears_months,'Loan Tape (S&amp;P)'!AN7478,
    IF(arrears_months=0,1.00,
    IF(arrears_months=1,3.00,
    IF(arrears_months=2,5.00,
    IF(arrears_months=3,8.00,
    IF(arrears_months=4,10.00,
    IF(arrears_months=5,12.00,15.00)))))))</f>
        <v/>
      </c>
      <c r="M7478">
        <f>LET(
    seasoning_years,DATEDIF('Loan Tape (S&amp;P)'!K7478,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78">
        <f>IF(AND('Loan Tape (S&amp;P)'!U7478="Yes",
        'Loan Tape (S&amp;P)'!T7478&lt;&gt;"Yes",
        DATEDIF('Loan Tape (S&amp;P)'!K7478, TODAY(), "M")&lt;18),
    1.10,
    1.00)</f>
        <v/>
      </c>
      <c r="O7478">
        <f>IF('Loan Tape (S&amp;P)'!T7478="Yes",
    1.35,
    1.00)</f>
        <v/>
      </c>
      <c r="P7478">
        <f>IF('Loan Tape (S&amp;P)'!S7478="Yes",
    1.15,
    1.00)</f>
        <v/>
      </c>
      <c r="Q7478">
        <f>IF('Loan Tape (S&amp;P)'!V7478="Yes",
    1.20,
    1.00)</f>
        <v/>
      </c>
      <c r="T7478">
        <f>LET(
    payment_method,'Loan Tape (S&amp;P)'!P7478,
    occupancy,'Loan Tape (S&amp;P)'!N7478,
    maturity_date,'Loan Tape (S&amp;P)'!L7478,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79">
      <c r="J7479">
        <f>LET(
    lien,'Loan Tape (S&amp;P)'!Q7479,
    IF(lien="First",1.00,
        IF(lien="Second",1.50,
            1.70)))</f>
        <v/>
      </c>
      <c r="K7479">
        <f>LET(
    purpose,'Loan Tape (S&amp;P)'!R7479,
    IF(purpose="Purchase",1.00,
        IF(purpose="Remortgage",1.00,
            1.20)))</f>
        <v/>
      </c>
      <c r="L7479">
        <f>LET(
    arrears_months,'Loan Tape (S&amp;P)'!AN7479,
    IF(arrears_months=0,1.00,
    IF(arrears_months=1,3.00,
    IF(arrears_months=2,5.00,
    IF(arrears_months=3,8.00,
    IF(arrears_months=4,10.00,
    IF(arrears_months=5,12.00,15.00)))))))</f>
        <v/>
      </c>
      <c r="M7479">
        <f>LET(
    seasoning_years,DATEDIF('Loan Tape (S&amp;P)'!K7479,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79">
        <f>IF(AND('Loan Tape (S&amp;P)'!U7479="Yes",
        'Loan Tape (S&amp;P)'!T7479&lt;&gt;"Yes",
        DATEDIF('Loan Tape (S&amp;P)'!K7479, TODAY(), "M")&lt;18),
    1.10,
    1.00)</f>
        <v/>
      </c>
      <c r="O7479">
        <f>IF('Loan Tape (S&amp;P)'!T7479="Yes",
    1.35,
    1.00)</f>
        <v/>
      </c>
      <c r="P7479">
        <f>IF('Loan Tape (S&amp;P)'!S7479="Yes",
    1.15,
    1.00)</f>
        <v/>
      </c>
      <c r="Q7479">
        <f>IF('Loan Tape (S&amp;P)'!V7479="Yes",
    1.20,
    1.00)</f>
        <v/>
      </c>
      <c r="T7479">
        <f>LET(
    payment_method,'Loan Tape (S&amp;P)'!P7479,
    occupancy,'Loan Tape (S&amp;P)'!N7479,
    maturity_date,'Loan Tape (S&amp;P)'!L7479,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80">
      <c r="J7480">
        <f>LET(
    lien,'Loan Tape (S&amp;P)'!Q7480,
    IF(lien="First",1.00,
        IF(lien="Second",1.50,
            1.70)))</f>
        <v/>
      </c>
      <c r="K7480">
        <f>LET(
    purpose,'Loan Tape (S&amp;P)'!R7480,
    IF(purpose="Purchase",1.00,
        IF(purpose="Remortgage",1.00,
            1.20)))</f>
        <v/>
      </c>
      <c r="L7480">
        <f>LET(
    arrears_months,'Loan Tape (S&amp;P)'!AN7480,
    IF(arrears_months=0,1.00,
    IF(arrears_months=1,3.00,
    IF(arrears_months=2,5.00,
    IF(arrears_months=3,8.00,
    IF(arrears_months=4,10.00,
    IF(arrears_months=5,12.00,15.00)))))))</f>
        <v/>
      </c>
      <c r="M7480">
        <f>LET(
    seasoning_years,DATEDIF('Loan Tape (S&amp;P)'!K7480,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80">
        <f>IF(AND('Loan Tape (S&amp;P)'!U7480="Yes",
        'Loan Tape (S&amp;P)'!T7480&lt;&gt;"Yes",
        DATEDIF('Loan Tape (S&amp;P)'!K7480, TODAY(), "M")&lt;18),
    1.10,
    1.00)</f>
        <v/>
      </c>
      <c r="O7480">
        <f>IF('Loan Tape (S&amp;P)'!T7480="Yes",
    1.35,
    1.00)</f>
        <v/>
      </c>
      <c r="P7480">
        <f>IF('Loan Tape (S&amp;P)'!S7480="Yes",
    1.15,
    1.00)</f>
        <v/>
      </c>
      <c r="Q7480">
        <f>IF('Loan Tape (S&amp;P)'!V7480="Yes",
    1.20,
    1.00)</f>
        <v/>
      </c>
      <c r="T7480">
        <f>LET(
    payment_method,'Loan Tape (S&amp;P)'!P7480,
    occupancy,'Loan Tape (S&amp;P)'!N7480,
    maturity_date,'Loan Tape (S&amp;P)'!L7480,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81">
      <c r="J7481">
        <f>LET(
    lien,'Loan Tape (S&amp;P)'!Q7481,
    IF(lien="First",1.00,
        IF(lien="Second",1.50,
            1.70)))</f>
        <v/>
      </c>
      <c r="K7481">
        <f>LET(
    purpose,'Loan Tape (S&amp;P)'!R7481,
    IF(purpose="Purchase",1.00,
        IF(purpose="Remortgage",1.00,
            1.20)))</f>
        <v/>
      </c>
      <c r="L7481">
        <f>LET(
    arrears_months,'Loan Tape (S&amp;P)'!AN7481,
    IF(arrears_months=0,1.00,
    IF(arrears_months=1,3.00,
    IF(arrears_months=2,5.00,
    IF(arrears_months=3,8.00,
    IF(arrears_months=4,10.00,
    IF(arrears_months=5,12.00,15.00)))))))</f>
        <v/>
      </c>
      <c r="M7481">
        <f>LET(
    seasoning_years,DATEDIF('Loan Tape (S&amp;P)'!K7481,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81">
        <f>IF(AND('Loan Tape (S&amp;P)'!U7481="Yes",
        'Loan Tape (S&amp;P)'!T7481&lt;&gt;"Yes",
        DATEDIF('Loan Tape (S&amp;P)'!K7481, TODAY(), "M")&lt;18),
    1.10,
    1.00)</f>
        <v/>
      </c>
      <c r="O7481">
        <f>IF('Loan Tape (S&amp;P)'!T7481="Yes",
    1.35,
    1.00)</f>
        <v/>
      </c>
      <c r="P7481">
        <f>IF('Loan Tape (S&amp;P)'!S7481="Yes",
    1.15,
    1.00)</f>
        <v/>
      </c>
      <c r="Q7481">
        <f>IF('Loan Tape (S&amp;P)'!V7481="Yes",
    1.20,
    1.00)</f>
        <v/>
      </c>
      <c r="T7481">
        <f>LET(
    payment_method,'Loan Tape (S&amp;P)'!P7481,
    occupancy,'Loan Tape (S&amp;P)'!N7481,
    maturity_date,'Loan Tape (S&amp;P)'!L7481,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82">
      <c r="J7482">
        <f>LET(
    lien,'Loan Tape (S&amp;P)'!Q7482,
    IF(lien="First",1.00,
        IF(lien="Second",1.50,
            1.70)))</f>
        <v/>
      </c>
      <c r="K7482">
        <f>LET(
    purpose,'Loan Tape (S&amp;P)'!R7482,
    IF(purpose="Purchase",1.00,
        IF(purpose="Remortgage",1.00,
            1.20)))</f>
        <v/>
      </c>
      <c r="L7482">
        <f>LET(
    arrears_months,'Loan Tape (S&amp;P)'!AN7482,
    IF(arrears_months=0,1.00,
    IF(arrears_months=1,3.00,
    IF(arrears_months=2,5.00,
    IF(arrears_months=3,8.00,
    IF(arrears_months=4,10.00,
    IF(arrears_months=5,12.00,15.00)))))))</f>
        <v/>
      </c>
      <c r="M7482">
        <f>LET(
    seasoning_years,DATEDIF('Loan Tape (S&amp;P)'!K7482,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82">
        <f>IF(AND('Loan Tape (S&amp;P)'!U7482="Yes",
        'Loan Tape (S&amp;P)'!T7482&lt;&gt;"Yes",
        DATEDIF('Loan Tape (S&amp;P)'!K7482, TODAY(), "M")&lt;18),
    1.10,
    1.00)</f>
        <v/>
      </c>
      <c r="O7482">
        <f>IF('Loan Tape (S&amp;P)'!T7482="Yes",
    1.35,
    1.00)</f>
        <v/>
      </c>
      <c r="P7482">
        <f>IF('Loan Tape (S&amp;P)'!S7482="Yes",
    1.15,
    1.00)</f>
        <v/>
      </c>
      <c r="Q7482">
        <f>IF('Loan Tape (S&amp;P)'!V7482="Yes",
    1.20,
    1.00)</f>
        <v/>
      </c>
      <c r="T7482">
        <f>LET(
    payment_method,'Loan Tape (S&amp;P)'!P7482,
    occupancy,'Loan Tape (S&amp;P)'!N7482,
    maturity_date,'Loan Tape (S&amp;P)'!L7482,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83">
      <c r="J7483">
        <f>LET(
    lien,'Loan Tape (S&amp;P)'!Q7483,
    IF(lien="First",1.00,
        IF(lien="Second",1.50,
            1.70)))</f>
        <v/>
      </c>
      <c r="K7483">
        <f>LET(
    purpose,'Loan Tape (S&amp;P)'!R7483,
    IF(purpose="Purchase",1.00,
        IF(purpose="Remortgage",1.00,
            1.20)))</f>
        <v/>
      </c>
      <c r="L7483">
        <f>LET(
    arrears_months,'Loan Tape (S&amp;P)'!AN7483,
    IF(arrears_months=0,1.00,
    IF(arrears_months=1,3.00,
    IF(arrears_months=2,5.00,
    IF(arrears_months=3,8.00,
    IF(arrears_months=4,10.00,
    IF(arrears_months=5,12.00,15.00)))))))</f>
        <v/>
      </c>
      <c r="M7483">
        <f>LET(
    seasoning_years,DATEDIF('Loan Tape (S&amp;P)'!K7483,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83">
        <f>IF(AND('Loan Tape (S&amp;P)'!U7483="Yes",
        'Loan Tape (S&amp;P)'!T7483&lt;&gt;"Yes",
        DATEDIF('Loan Tape (S&amp;P)'!K7483, TODAY(), "M")&lt;18),
    1.10,
    1.00)</f>
        <v/>
      </c>
      <c r="O7483">
        <f>IF('Loan Tape (S&amp;P)'!T7483="Yes",
    1.35,
    1.00)</f>
        <v/>
      </c>
      <c r="P7483">
        <f>IF('Loan Tape (S&amp;P)'!S7483="Yes",
    1.15,
    1.00)</f>
        <v/>
      </c>
      <c r="Q7483">
        <f>IF('Loan Tape (S&amp;P)'!V7483="Yes",
    1.20,
    1.00)</f>
        <v/>
      </c>
      <c r="T7483">
        <f>LET(
    payment_method,'Loan Tape (S&amp;P)'!P7483,
    occupancy,'Loan Tape (S&amp;P)'!N7483,
    maturity_date,'Loan Tape (S&amp;P)'!L7483,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84">
      <c r="J7484">
        <f>LET(
    lien,'Loan Tape (S&amp;P)'!Q7484,
    IF(lien="First",1.00,
        IF(lien="Second",1.50,
            1.70)))</f>
        <v/>
      </c>
      <c r="K7484">
        <f>LET(
    purpose,'Loan Tape (S&amp;P)'!R7484,
    IF(purpose="Purchase",1.00,
        IF(purpose="Remortgage",1.00,
            1.20)))</f>
        <v/>
      </c>
      <c r="L7484">
        <f>LET(
    arrears_months,'Loan Tape (S&amp;P)'!AN7484,
    IF(arrears_months=0,1.00,
    IF(arrears_months=1,3.00,
    IF(arrears_months=2,5.00,
    IF(arrears_months=3,8.00,
    IF(arrears_months=4,10.00,
    IF(arrears_months=5,12.00,15.00)))))))</f>
        <v/>
      </c>
      <c r="M7484">
        <f>LET(
    seasoning_years,DATEDIF('Loan Tape (S&amp;P)'!K7484,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84">
        <f>IF(AND('Loan Tape (S&amp;P)'!U7484="Yes",
        'Loan Tape (S&amp;P)'!T7484&lt;&gt;"Yes",
        DATEDIF('Loan Tape (S&amp;P)'!K7484, TODAY(), "M")&lt;18),
    1.10,
    1.00)</f>
        <v/>
      </c>
      <c r="O7484">
        <f>IF('Loan Tape (S&amp;P)'!T7484="Yes",
    1.35,
    1.00)</f>
        <v/>
      </c>
      <c r="P7484">
        <f>IF('Loan Tape (S&amp;P)'!S7484="Yes",
    1.15,
    1.00)</f>
        <v/>
      </c>
      <c r="Q7484">
        <f>IF('Loan Tape (S&amp;P)'!V7484="Yes",
    1.20,
    1.00)</f>
        <v/>
      </c>
      <c r="T7484">
        <f>LET(
    payment_method,'Loan Tape (S&amp;P)'!P7484,
    occupancy,'Loan Tape (S&amp;P)'!N7484,
    maturity_date,'Loan Tape (S&amp;P)'!L7484,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85">
      <c r="J7485">
        <f>LET(
    lien,'Loan Tape (S&amp;P)'!Q7485,
    IF(lien="First",1.00,
        IF(lien="Second",1.50,
            1.70)))</f>
        <v/>
      </c>
      <c r="K7485">
        <f>LET(
    purpose,'Loan Tape (S&amp;P)'!R7485,
    IF(purpose="Purchase",1.00,
        IF(purpose="Remortgage",1.00,
            1.20)))</f>
        <v/>
      </c>
      <c r="L7485">
        <f>LET(
    arrears_months,'Loan Tape (S&amp;P)'!AN7485,
    IF(arrears_months=0,1.00,
    IF(arrears_months=1,3.00,
    IF(arrears_months=2,5.00,
    IF(arrears_months=3,8.00,
    IF(arrears_months=4,10.00,
    IF(arrears_months=5,12.00,15.00)))))))</f>
        <v/>
      </c>
      <c r="M7485">
        <f>LET(
    seasoning_years,DATEDIF('Loan Tape (S&amp;P)'!K7485,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85">
        <f>IF(AND('Loan Tape (S&amp;P)'!U7485="Yes",
        'Loan Tape (S&amp;P)'!T7485&lt;&gt;"Yes",
        DATEDIF('Loan Tape (S&amp;P)'!K7485, TODAY(), "M")&lt;18),
    1.10,
    1.00)</f>
        <v/>
      </c>
      <c r="O7485">
        <f>IF('Loan Tape (S&amp;P)'!T7485="Yes",
    1.35,
    1.00)</f>
        <v/>
      </c>
      <c r="P7485">
        <f>IF('Loan Tape (S&amp;P)'!S7485="Yes",
    1.15,
    1.00)</f>
        <v/>
      </c>
      <c r="Q7485">
        <f>IF('Loan Tape (S&amp;P)'!V7485="Yes",
    1.20,
    1.00)</f>
        <v/>
      </c>
      <c r="T7485">
        <f>LET(
    payment_method,'Loan Tape (S&amp;P)'!P7485,
    occupancy,'Loan Tape (S&amp;P)'!N7485,
    maturity_date,'Loan Tape (S&amp;P)'!L7485,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86">
      <c r="J7486">
        <f>LET(
    lien,'Loan Tape (S&amp;P)'!Q7486,
    IF(lien="First",1.00,
        IF(lien="Second",1.50,
            1.70)))</f>
        <v/>
      </c>
      <c r="K7486">
        <f>LET(
    purpose,'Loan Tape (S&amp;P)'!R7486,
    IF(purpose="Purchase",1.00,
        IF(purpose="Remortgage",1.00,
            1.20)))</f>
        <v/>
      </c>
      <c r="L7486">
        <f>LET(
    arrears_months,'Loan Tape (S&amp;P)'!AN7486,
    IF(arrears_months=0,1.00,
    IF(arrears_months=1,3.00,
    IF(arrears_months=2,5.00,
    IF(arrears_months=3,8.00,
    IF(arrears_months=4,10.00,
    IF(arrears_months=5,12.00,15.00)))))))</f>
        <v/>
      </c>
      <c r="M7486">
        <f>LET(
    seasoning_years,DATEDIF('Loan Tape (S&amp;P)'!K7486,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86">
        <f>IF(AND('Loan Tape (S&amp;P)'!U7486="Yes",
        'Loan Tape (S&amp;P)'!T7486&lt;&gt;"Yes",
        DATEDIF('Loan Tape (S&amp;P)'!K7486, TODAY(), "M")&lt;18),
    1.10,
    1.00)</f>
        <v/>
      </c>
      <c r="O7486">
        <f>IF('Loan Tape (S&amp;P)'!T7486="Yes",
    1.35,
    1.00)</f>
        <v/>
      </c>
      <c r="P7486">
        <f>IF('Loan Tape (S&amp;P)'!S7486="Yes",
    1.15,
    1.00)</f>
        <v/>
      </c>
      <c r="Q7486">
        <f>IF('Loan Tape (S&amp;P)'!V7486="Yes",
    1.20,
    1.00)</f>
        <v/>
      </c>
      <c r="T7486">
        <f>LET(
    payment_method,'Loan Tape (S&amp;P)'!P7486,
    occupancy,'Loan Tape (S&amp;P)'!N7486,
    maturity_date,'Loan Tape (S&amp;P)'!L7486,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87">
      <c r="J7487">
        <f>LET(
    lien,'Loan Tape (S&amp;P)'!Q7487,
    IF(lien="First",1.00,
        IF(lien="Second",1.50,
            1.70)))</f>
        <v/>
      </c>
      <c r="K7487">
        <f>LET(
    purpose,'Loan Tape (S&amp;P)'!R7487,
    IF(purpose="Purchase",1.00,
        IF(purpose="Remortgage",1.00,
            1.20)))</f>
        <v/>
      </c>
      <c r="L7487">
        <f>LET(
    arrears_months,'Loan Tape (S&amp;P)'!AN7487,
    IF(arrears_months=0,1.00,
    IF(arrears_months=1,3.00,
    IF(arrears_months=2,5.00,
    IF(arrears_months=3,8.00,
    IF(arrears_months=4,10.00,
    IF(arrears_months=5,12.00,15.00)))))))</f>
        <v/>
      </c>
      <c r="M7487">
        <f>LET(
    seasoning_years,DATEDIF('Loan Tape (S&amp;P)'!K7487,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87">
        <f>IF(AND('Loan Tape (S&amp;P)'!U7487="Yes",
        'Loan Tape (S&amp;P)'!T7487&lt;&gt;"Yes",
        DATEDIF('Loan Tape (S&amp;P)'!K7487, TODAY(), "M")&lt;18),
    1.10,
    1.00)</f>
        <v/>
      </c>
      <c r="O7487">
        <f>IF('Loan Tape (S&amp;P)'!T7487="Yes",
    1.35,
    1.00)</f>
        <v/>
      </c>
      <c r="P7487">
        <f>IF('Loan Tape (S&amp;P)'!S7487="Yes",
    1.15,
    1.00)</f>
        <v/>
      </c>
      <c r="Q7487">
        <f>IF('Loan Tape (S&amp;P)'!V7487="Yes",
    1.20,
    1.00)</f>
        <v/>
      </c>
      <c r="T7487">
        <f>LET(
    payment_method,'Loan Tape (S&amp;P)'!P7487,
    occupancy,'Loan Tape (S&amp;P)'!N7487,
    maturity_date,'Loan Tape (S&amp;P)'!L7487,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88">
      <c r="J7488">
        <f>LET(
    lien,'Loan Tape (S&amp;P)'!Q7488,
    IF(lien="First",1.00,
        IF(lien="Second",1.50,
            1.70)))</f>
        <v/>
      </c>
      <c r="K7488">
        <f>LET(
    purpose,'Loan Tape (S&amp;P)'!R7488,
    IF(purpose="Purchase",1.00,
        IF(purpose="Remortgage",1.00,
            1.20)))</f>
        <v/>
      </c>
      <c r="L7488">
        <f>LET(
    arrears_months,'Loan Tape (S&amp;P)'!AN7488,
    IF(arrears_months=0,1.00,
    IF(arrears_months=1,3.00,
    IF(arrears_months=2,5.00,
    IF(arrears_months=3,8.00,
    IF(arrears_months=4,10.00,
    IF(arrears_months=5,12.00,15.00)))))))</f>
        <v/>
      </c>
      <c r="M7488">
        <f>LET(
    seasoning_years,DATEDIF('Loan Tape (S&amp;P)'!K7488,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88">
        <f>IF(AND('Loan Tape (S&amp;P)'!U7488="Yes",
        'Loan Tape (S&amp;P)'!T7488&lt;&gt;"Yes",
        DATEDIF('Loan Tape (S&amp;P)'!K7488, TODAY(), "M")&lt;18),
    1.10,
    1.00)</f>
        <v/>
      </c>
      <c r="O7488">
        <f>IF('Loan Tape (S&amp;P)'!T7488="Yes",
    1.35,
    1.00)</f>
        <v/>
      </c>
      <c r="P7488">
        <f>IF('Loan Tape (S&amp;P)'!S7488="Yes",
    1.15,
    1.00)</f>
        <v/>
      </c>
      <c r="Q7488">
        <f>IF('Loan Tape (S&amp;P)'!V7488="Yes",
    1.20,
    1.00)</f>
        <v/>
      </c>
      <c r="T7488">
        <f>LET(
    payment_method,'Loan Tape (S&amp;P)'!P7488,
    occupancy,'Loan Tape (S&amp;P)'!N7488,
    maturity_date,'Loan Tape (S&amp;P)'!L7488,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89">
      <c r="J7489">
        <f>LET(
    lien,'Loan Tape (S&amp;P)'!Q7489,
    IF(lien="First",1.00,
        IF(lien="Second",1.50,
            1.70)))</f>
        <v/>
      </c>
      <c r="K7489">
        <f>LET(
    purpose,'Loan Tape (S&amp;P)'!R7489,
    IF(purpose="Purchase",1.00,
        IF(purpose="Remortgage",1.00,
            1.20)))</f>
        <v/>
      </c>
      <c r="L7489">
        <f>LET(
    arrears_months,'Loan Tape (S&amp;P)'!AN7489,
    IF(arrears_months=0,1.00,
    IF(arrears_months=1,3.00,
    IF(arrears_months=2,5.00,
    IF(arrears_months=3,8.00,
    IF(arrears_months=4,10.00,
    IF(arrears_months=5,12.00,15.00)))))))</f>
        <v/>
      </c>
      <c r="M7489">
        <f>LET(
    seasoning_years,DATEDIF('Loan Tape (S&amp;P)'!K7489,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89">
        <f>IF(AND('Loan Tape (S&amp;P)'!U7489="Yes",
        'Loan Tape (S&amp;P)'!T7489&lt;&gt;"Yes",
        DATEDIF('Loan Tape (S&amp;P)'!K7489, TODAY(), "M")&lt;18),
    1.10,
    1.00)</f>
        <v/>
      </c>
      <c r="O7489">
        <f>IF('Loan Tape (S&amp;P)'!T7489="Yes",
    1.35,
    1.00)</f>
        <v/>
      </c>
      <c r="P7489">
        <f>IF('Loan Tape (S&amp;P)'!S7489="Yes",
    1.15,
    1.00)</f>
        <v/>
      </c>
      <c r="Q7489">
        <f>IF('Loan Tape (S&amp;P)'!V7489="Yes",
    1.20,
    1.00)</f>
        <v/>
      </c>
      <c r="T7489">
        <f>LET(
    payment_method,'Loan Tape (S&amp;P)'!P7489,
    occupancy,'Loan Tape (S&amp;P)'!N7489,
    maturity_date,'Loan Tape (S&amp;P)'!L7489,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90">
      <c r="J7490">
        <f>LET(
    lien,'Loan Tape (S&amp;P)'!Q7490,
    IF(lien="First",1.00,
        IF(lien="Second",1.50,
            1.70)))</f>
        <v/>
      </c>
      <c r="K7490">
        <f>LET(
    purpose,'Loan Tape (S&amp;P)'!R7490,
    IF(purpose="Purchase",1.00,
        IF(purpose="Remortgage",1.00,
            1.20)))</f>
        <v/>
      </c>
      <c r="L7490">
        <f>LET(
    arrears_months,'Loan Tape (S&amp;P)'!AN7490,
    IF(arrears_months=0,1.00,
    IF(arrears_months=1,3.00,
    IF(arrears_months=2,5.00,
    IF(arrears_months=3,8.00,
    IF(arrears_months=4,10.00,
    IF(arrears_months=5,12.00,15.00)))))))</f>
        <v/>
      </c>
      <c r="M7490">
        <f>LET(
    seasoning_years,DATEDIF('Loan Tape (S&amp;P)'!K7490,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90">
        <f>IF(AND('Loan Tape (S&amp;P)'!U7490="Yes",
        'Loan Tape (S&amp;P)'!T7490&lt;&gt;"Yes",
        DATEDIF('Loan Tape (S&amp;P)'!K7490, TODAY(), "M")&lt;18),
    1.10,
    1.00)</f>
        <v/>
      </c>
      <c r="O7490">
        <f>IF('Loan Tape (S&amp;P)'!T7490="Yes",
    1.35,
    1.00)</f>
        <v/>
      </c>
      <c r="P7490">
        <f>IF('Loan Tape (S&amp;P)'!S7490="Yes",
    1.15,
    1.00)</f>
        <v/>
      </c>
      <c r="Q7490">
        <f>IF('Loan Tape (S&amp;P)'!V7490="Yes",
    1.20,
    1.00)</f>
        <v/>
      </c>
      <c r="T7490">
        <f>LET(
    payment_method,'Loan Tape (S&amp;P)'!P7490,
    occupancy,'Loan Tape (S&amp;P)'!N7490,
    maturity_date,'Loan Tape (S&amp;P)'!L7490,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91">
      <c r="J7491">
        <f>LET(
    lien,'Loan Tape (S&amp;P)'!Q7491,
    IF(lien="First",1.00,
        IF(lien="Second",1.50,
            1.70)))</f>
        <v/>
      </c>
      <c r="K7491">
        <f>LET(
    purpose,'Loan Tape (S&amp;P)'!R7491,
    IF(purpose="Purchase",1.00,
        IF(purpose="Remortgage",1.00,
            1.20)))</f>
        <v/>
      </c>
      <c r="L7491">
        <f>LET(
    arrears_months,'Loan Tape (S&amp;P)'!AN7491,
    IF(arrears_months=0,1.00,
    IF(arrears_months=1,3.00,
    IF(arrears_months=2,5.00,
    IF(arrears_months=3,8.00,
    IF(arrears_months=4,10.00,
    IF(arrears_months=5,12.00,15.00)))))))</f>
        <v/>
      </c>
      <c r="M7491">
        <f>LET(
    seasoning_years,DATEDIF('Loan Tape (S&amp;P)'!K7491,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91">
        <f>IF(AND('Loan Tape (S&amp;P)'!U7491="Yes",
        'Loan Tape (S&amp;P)'!T7491&lt;&gt;"Yes",
        DATEDIF('Loan Tape (S&amp;P)'!K7491, TODAY(), "M")&lt;18),
    1.10,
    1.00)</f>
        <v/>
      </c>
      <c r="O7491">
        <f>IF('Loan Tape (S&amp;P)'!T7491="Yes",
    1.35,
    1.00)</f>
        <v/>
      </c>
      <c r="P7491">
        <f>IF('Loan Tape (S&amp;P)'!S7491="Yes",
    1.15,
    1.00)</f>
        <v/>
      </c>
      <c r="Q7491">
        <f>IF('Loan Tape (S&amp;P)'!V7491="Yes",
    1.20,
    1.00)</f>
        <v/>
      </c>
      <c r="T7491">
        <f>LET(
    payment_method,'Loan Tape (S&amp;P)'!P7491,
    occupancy,'Loan Tape (S&amp;P)'!N7491,
    maturity_date,'Loan Tape (S&amp;P)'!L7491,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92">
      <c r="J7492">
        <f>LET(
    lien,'Loan Tape (S&amp;P)'!Q7492,
    IF(lien="First",1.00,
        IF(lien="Second",1.50,
            1.70)))</f>
        <v/>
      </c>
      <c r="K7492">
        <f>LET(
    purpose,'Loan Tape (S&amp;P)'!R7492,
    IF(purpose="Purchase",1.00,
        IF(purpose="Remortgage",1.00,
            1.20)))</f>
        <v/>
      </c>
      <c r="L7492">
        <f>LET(
    arrears_months,'Loan Tape (S&amp;P)'!AN7492,
    IF(arrears_months=0,1.00,
    IF(arrears_months=1,3.00,
    IF(arrears_months=2,5.00,
    IF(arrears_months=3,8.00,
    IF(arrears_months=4,10.00,
    IF(arrears_months=5,12.00,15.00)))))))</f>
        <v/>
      </c>
      <c r="M7492">
        <f>LET(
    seasoning_years,DATEDIF('Loan Tape (S&amp;P)'!K7492,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92">
        <f>IF(AND('Loan Tape (S&amp;P)'!U7492="Yes",
        'Loan Tape (S&amp;P)'!T7492&lt;&gt;"Yes",
        DATEDIF('Loan Tape (S&amp;P)'!K7492, TODAY(), "M")&lt;18),
    1.10,
    1.00)</f>
        <v/>
      </c>
      <c r="O7492">
        <f>IF('Loan Tape (S&amp;P)'!T7492="Yes",
    1.35,
    1.00)</f>
        <v/>
      </c>
      <c r="P7492">
        <f>IF('Loan Tape (S&amp;P)'!S7492="Yes",
    1.15,
    1.00)</f>
        <v/>
      </c>
      <c r="Q7492">
        <f>IF('Loan Tape (S&amp;P)'!V7492="Yes",
    1.20,
    1.00)</f>
        <v/>
      </c>
      <c r="T7492">
        <f>LET(
    payment_method,'Loan Tape (S&amp;P)'!P7492,
    occupancy,'Loan Tape (S&amp;P)'!N7492,
    maturity_date,'Loan Tape (S&amp;P)'!L7492,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93">
      <c r="J7493">
        <f>LET(
    lien,'Loan Tape (S&amp;P)'!Q7493,
    IF(lien="First",1.00,
        IF(lien="Second",1.50,
            1.70)))</f>
        <v/>
      </c>
      <c r="K7493">
        <f>LET(
    purpose,'Loan Tape (S&amp;P)'!R7493,
    IF(purpose="Purchase",1.00,
        IF(purpose="Remortgage",1.00,
            1.20)))</f>
        <v/>
      </c>
      <c r="L7493">
        <f>LET(
    arrears_months,'Loan Tape (S&amp;P)'!AN7493,
    IF(arrears_months=0,1.00,
    IF(arrears_months=1,3.00,
    IF(arrears_months=2,5.00,
    IF(arrears_months=3,8.00,
    IF(arrears_months=4,10.00,
    IF(arrears_months=5,12.00,15.00)))))))</f>
        <v/>
      </c>
      <c r="M7493">
        <f>LET(
    seasoning_years,DATEDIF('Loan Tape (S&amp;P)'!K7493,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93">
        <f>IF(AND('Loan Tape (S&amp;P)'!U7493="Yes",
        'Loan Tape (S&amp;P)'!T7493&lt;&gt;"Yes",
        DATEDIF('Loan Tape (S&amp;P)'!K7493, TODAY(), "M")&lt;18),
    1.10,
    1.00)</f>
        <v/>
      </c>
      <c r="O7493">
        <f>IF('Loan Tape (S&amp;P)'!T7493="Yes",
    1.35,
    1.00)</f>
        <v/>
      </c>
      <c r="P7493">
        <f>IF('Loan Tape (S&amp;P)'!S7493="Yes",
    1.15,
    1.00)</f>
        <v/>
      </c>
      <c r="Q7493">
        <f>IF('Loan Tape (S&amp;P)'!V7493="Yes",
    1.20,
    1.00)</f>
        <v/>
      </c>
      <c r="T7493">
        <f>LET(
    payment_method,'Loan Tape (S&amp;P)'!P7493,
    occupancy,'Loan Tape (S&amp;P)'!N7493,
    maturity_date,'Loan Tape (S&amp;P)'!L7493,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94">
      <c r="J7494">
        <f>LET(
    lien,'Loan Tape (S&amp;P)'!Q7494,
    IF(lien="First",1.00,
        IF(lien="Second",1.50,
            1.70)))</f>
        <v/>
      </c>
      <c r="K7494">
        <f>LET(
    purpose,'Loan Tape (S&amp;P)'!R7494,
    IF(purpose="Purchase",1.00,
        IF(purpose="Remortgage",1.00,
            1.20)))</f>
        <v/>
      </c>
      <c r="L7494">
        <f>LET(
    arrears_months,'Loan Tape (S&amp;P)'!AN7494,
    IF(arrears_months=0,1.00,
    IF(arrears_months=1,3.00,
    IF(arrears_months=2,5.00,
    IF(arrears_months=3,8.00,
    IF(arrears_months=4,10.00,
    IF(arrears_months=5,12.00,15.00)))))))</f>
        <v/>
      </c>
      <c r="M7494">
        <f>LET(
    seasoning_years,DATEDIF('Loan Tape (S&amp;P)'!K7494,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94">
        <f>IF(AND('Loan Tape (S&amp;P)'!U7494="Yes",
        'Loan Tape (S&amp;P)'!T7494&lt;&gt;"Yes",
        DATEDIF('Loan Tape (S&amp;P)'!K7494, TODAY(), "M")&lt;18),
    1.10,
    1.00)</f>
        <v/>
      </c>
      <c r="O7494">
        <f>IF('Loan Tape (S&amp;P)'!T7494="Yes",
    1.35,
    1.00)</f>
        <v/>
      </c>
      <c r="P7494">
        <f>IF('Loan Tape (S&amp;P)'!S7494="Yes",
    1.15,
    1.00)</f>
        <v/>
      </c>
      <c r="Q7494">
        <f>IF('Loan Tape (S&amp;P)'!V7494="Yes",
    1.20,
    1.00)</f>
        <v/>
      </c>
      <c r="T7494">
        <f>LET(
    payment_method,'Loan Tape (S&amp;P)'!P7494,
    occupancy,'Loan Tape (S&amp;P)'!N7494,
    maturity_date,'Loan Tape (S&amp;P)'!L7494,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95">
      <c r="J7495">
        <f>LET(
    lien,'Loan Tape (S&amp;P)'!Q7495,
    IF(lien="First",1.00,
        IF(lien="Second",1.50,
            1.70)))</f>
        <v/>
      </c>
      <c r="K7495">
        <f>LET(
    purpose,'Loan Tape (S&amp;P)'!R7495,
    IF(purpose="Purchase",1.00,
        IF(purpose="Remortgage",1.00,
            1.20)))</f>
        <v/>
      </c>
      <c r="L7495">
        <f>LET(
    arrears_months,'Loan Tape (S&amp;P)'!AN7495,
    IF(arrears_months=0,1.00,
    IF(arrears_months=1,3.00,
    IF(arrears_months=2,5.00,
    IF(arrears_months=3,8.00,
    IF(arrears_months=4,10.00,
    IF(arrears_months=5,12.00,15.00)))))))</f>
        <v/>
      </c>
      <c r="M7495">
        <f>LET(
    seasoning_years,DATEDIF('Loan Tape (S&amp;P)'!K7495,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95">
        <f>IF(AND('Loan Tape (S&amp;P)'!U7495="Yes",
        'Loan Tape (S&amp;P)'!T7495&lt;&gt;"Yes",
        DATEDIF('Loan Tape (S&amp;P)'!K7495, TODAY(), "M")&lt;18),
    1.10,
    1.00)</f>
        <v/>
      </c>
      <c r="O7495">
        <f>IF('Loan Tape (S&amp;P)'!T7495="Yes",
    1.35,
    1.00)</f>
        <v/>
      </c>
      <c r="P7495">
        <f>IF('Loan Tape (S&amp;P)'!S7495="Yes",
    1.15,
    1.00)</f>
        <v/>
      </c>
      <c r="Q7495">
        <f>IF('Loan Tape (S&amp;P)'!V7495="Yes",
    1.20,
    1.00)</f>
        <v/>
      </c>
      <c r="T7495">
        <f>LET(
    payment_method,'Loan Tape (S&amp;P)'!P7495,
    occupancy,'Loan Tape (S&amp;P)'!N7495,
    maturity_date,'Loan Tape (S&amp;P)'!L7495,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96">
      <c r="J7496">
        <f>LET(
    lien,'Loan Tape (S&amp;P)'!Q7496,
    IF(lien="First",1.00,
        IF(lien="Second",1.50,
            1.70)))</f>
        <v/>
      </c>
      <c r="K7496">
        <f>LET(
    purpose,'Loan Tape (S&amp;P)'!R7496,
    IF(purpose="Purchase",1.00,
        IF(purpose="Remortgage",1.00,
            1.20)))</f>
        <v/>
      </c>
      <c r="L7496">
        <f>LET(
    arrears_months,'Loan Tape (S&amp;P)'!AN7496,
    IF(arrears_months=0,1.00,
    IF(arrears_months=1,3.00,
    IF(arrears_months=2,5.00,
    IF(arrears_months=3,8.00,
    IF(arrears_months=4,10.00,
    IF(arrears_months=5,12.00,15.00)))))))</f>
        <v/>
      </c>
      <c r="M7496">
        <f>LET(
    seasoning_years,DATEDIF('Loan Tape (S&amp;P)'!K7496,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96">
        <f>IF(AND('Loan Tape (S&amp;P)'!U7496="Yes",
        'Loan Tape (S&amp;P)'!T7496&lt;&gt;"Yes",
        DATEDIF('Loan Tape (S&amp;P)'!K7496, TODAY(), "M")&lt;18),
    1.10,
    1.00)</f>
        <v/>
      </c>
      <c r="O7496">
        <f>IF('Loan Tape (S&amp;P)'!T7496="Yes",
    1.35,
    1.00)</f>
        <v/>
      </c>
      <c r="P7496">
        <f>IF('Loan Tape (S&amp;P)'!S7496="Yes",
    1.15,
    1.00)</f>
        <v/>
      </c>
      <c r="Q7496">
        <f>IF('Loan Tape (S&amp;P)'!V7496="Yes",
    1.20,
    1.00)</f>
        <v/>
      </c>
      <c r="T7496">
        <f>LET(
    payment_method,'Loan Tape (S&amp;P)'!P7496,
    occupancy,'Loan Tape (S&amp;P)'!N7496,
    maturity_date,'Loan Tape (S&amp;P)'!L7496,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97">
      <c r="J7497">
        <f>LET(
    lien,'Loan Tape (S&amp;P)'!Q7497,
    IF(lien="First",1.00,
        IF(lien="Second",1.50,
            1.70)))</f>
        <v/>
      </c>
      <c r="K7497">
        <f>LET(
    purpose,'Loan Tape (S&amp;P)'!R7497,
    IF(purpose="Purchase",1.00,
        IF(purpose="Remortgage",1.00,
            1.20)))</f>
        <v/>
      </c>
      <c r="L7497">
        <f>LET(
    arrears_months,'Loan Tape (S&amp;P)'!AN7497,
    IF(arrears_months=0,1.00,
    IF(arrears_months=1,3.00,
    IF(arrears_months=2,5.00,
    IF(arrears_months=3,8.00,
    IF(arrears_months=4,10.00,
    IF(arrears_months=5,12.00,15.00)))))))</f>
        <v/>
      </c>
      <c r="M7497">
        <f>LET(
    seasoning_years,DATEDIF('Loan Tape (S&amp;P)'!K7497,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97">
        <f>IF(AND('Loan Tape (S&amp;P)'!U7497="Yes",
        'Loan Tape (S&amp;P)'!T7497&lt;&gt;"Yes",
        DATEDIF('Loan Tape (S&amp;P)'!K7497, TODAY(), "M")&lt;18),
    1.10,
    1.00)</f>
        <v/>
      </c>
      <c r="O7497">
        <f>IF('Loan Tape (S&amp;P)'!T7497="Yes",
    1.35,
    1.00)</f>
        <v/>
      </c>
      <c r="P7497">
        <f>IF('Loan Tape (S&amp;P)'!S7497="Yes",
    1.15,
    1.00)</f>
        <v/>
      </c>
      <c r="Q7497">
        <f>IF('Loan Tape (S&amp;P)'!V7497="Yes",
    1.20,
    1.00)</f>
        <v/>
      </c>
      <c r="T7497">
        <f>LET(
    payment_method,'Loan Tape (S&amp;P)'!P7497,
    occupancy,'Loan Tape (S&amp;P)'!N7497,
    maturity_date,'Loan Tape (S&amp;P)'!L7497,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98">
      <c r="J7498">
        <f>LET(
    lien,'Loan Tape (S&amp;P)'!Q7498,
    IF(lien="First",1.00,
        IF(lien="Second",1.50,
            1.70)))</f>
        <v/>
      </c>
      <c r="K7498">
        <f>LET(
    purpose,'Loan Tape (S&amp;P)'!R7498,
    IF(purpose="Purchase",1.00,
        IF(purpose="Remortgage",1.00,
            1.20)))</f>
        <v/>
      </c>
      <c r="L7498">
        <f>LET(
    arrears_months,'Loan Tape (S&amp;P)'!AN7498,
    IF(arrears_months=0,1.00,
    IF(arrears_months=1,3.00,
    IF(arrears_months=2,5.00,
    IF(arrears_months=3,8.00,
    IF(arrears_months=4,10.00,
    IF(arrears_months=5,12.00,15.00)))))))</f>
        <v/>
      </c>
      <c r="M7498">
        <f>LET(
    seasoning_years,DATEDIF('Loan Tape (S&amp;P)'!K7498,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98">
        <f>IF(AND('Loan Tape (S&amp;P)'!U7498="Yes",
        'Loan Tape (S&amp;P)'!T7498&lt;&gt;"Yes",
        DATEDIF('Loan Tape (S&amp;P)'!K7498, TODAY(), "M")&lt;18),
    1.10,
    1.00)</f>
        <v/>
      </c>
      <c r="O7498">
        <f>IF('Loan Tape (S&amp;P)'!T7498="Yes",
    1.35,
    1.00)</f>
        <v/>
      </c>
      <c r="P7498">
        <f>IF('Loan Tape (S&amp;P)'!S7498="Yes",
    1.15,
    1.00)</f>
        <v/>
      </c>
      <c r="Q7498">
        <f>IF('Loan Tape (S&amp;P)'!V7498="Yes",
    1.20,
    1.00)</f>
        <v/>
      </c>
      <c r="T7498">
        <f>LET(
    payment_method,'Loan Tape (S&amp;P)'!P7498,
    occupancy,'Loan Tape (S&amp;P)'!N7498,
    maturity_date,'Loan Tape (S&amp;P)'!L7498,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499">
      <c r="J7499">
        <f>LET(
    lien,'Loan Tape (S&amp;P)'!Q7499,
    IF(lien="First",1.00,
        IF(lien="Second",1.50,
            1.70)))</f>
        <v/>
      </c>
      <c r="K7499">
        <f>LET(
    purpose,'Loan Tape (S&amp;P)'!R7499,
    IF(purpose="Purchase",1.00,
        IF(purpose="Remortgage",1.00,
            1.20)))</f>
        <v/>
      </c>
      <c r="L7499">
        <f>LET(
    arrears_months,'Loan Tape (S&amp;P)'!AN7499,
    IF(arrears_months=0,1.00,
    IF(arrears_months=1,3.00,
    IF(arrears_months=2,5.00,
    IF(arrears_months=3,8.00,
    IF(arrears_months=4,10.00,
    IF(arrears_months=5,12.00,15.00)))))))</f>
        <v/>
      </c>
      <c r="M7499">
        <f>LET(
    seasoning_years,DATEDIF('Loan Tape (S&amp;P)'!K7499,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499">
        <f>IF(AND('Loan Tape (S&amp;P)'!U7499="Yes",
        'Loan Tape (S&amp;P)'!T7499&lt;&gt;"Yes",
        DATEDIF('Loan Tape (S&amp;P)'!K7499, TODAY(), "M")&lt;18),
    1.10,
    1.00)</f>
        <v/>
      </c>
      <c r="O7499">
        <f>IF('Loan Tape (S&amp;P)'!T7499="Yes",
    1.35,
    1.00)</f>
        <v/>
      </c>
      <c r="P7499">
        <f>IF('Loan Tape (S&amp;P)'!S7499="Yes",
    1.15,
    1.00)</f>
        <v/>
      </c>
      <c r="Q7499">
        <f>IF('Loan Tape (S&amp;P)'!V7499="Yes",
    1.20,
    1.00)</f>
        <v/>
      </c>
      <c r="T7499">
        <f>LET(
    payment_method,'Loan Tape (S&amp;P)'!P7499,
    occupancy,'Loan Tape (S&amp;P)'!N7499,
    maturity_date,'Loan Tape (S&amp;P)'!L7499,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00">
      <c r="J7500">
        <f>LET(
    lien,'Loan Tape (S&amp;P)'!Q7500,
    IF(lien="First",1.00,
        IF(lien="Second",1.50,
            1.70)))</f>
        <v/>
      </c>
      <c r="K7500">
        <f>LET(
    purpose,'Loan Tape (S&amp;P)'!R7500,
    IF(purpose="Purchase",1.00,
        IF(purpose="Remortgage",1.00,
            1.20)))</f>
        <v/>
      </c>
      <c r="L7500">
        <f>LET(
    arrears_months,'Loan Tape (S&amp;P)'!AN7500,
    IF(arrears_months=0,1.00,
    IF(arrears_months=1,3.00,
    IF(arrears_months=2,5.00,
    IF(arrears_months=3,8.00,
    IF(arrears_months=4,10.00,
    IF(arrears_months=5,12.00,15.00)))))))</f>
        <v/>
      </c>
      <c r="M7500">
        <f>LET(
    seasoning_years,DATEDIF('Loan Tape (S&amp;P)'!K7500,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00">
        <f>IF(AND('Loan Tape (S&amp;P)'!U7500="Yes",
        'Loan Tape (S&amp;P)'!T7500&lt;&gt;"Yes",
        DATEDIF('Loan Tape (S&amp;P)'!K7500, TODAY(), "M")&lt;18),
    1.10,
    1.00)</f>
        <v/>
      </c>
      <c r="O7500">
        <f>IF('Loan Tape (S&amp;P)'!T7500="Yes",
    1.35,
    1.00)</f>
        <v/>
      </c>
      <c r="P7500">
        <f>IF('Loan Tape (S&amp;P)'!S7500="Yes",
    1.15,
    1.00)</f>
        <v/>
      </c>
      <c r="Q7500">
        <f>IF('Loan Tape (S&amp;P)'!V7500="Yes",
    1.20,
    1.00)</f>
        <v/>
      </c>
      <c r="T7500">
        <f>LET(
    payment_method,'Loan Tape (S&amp;P)'!P7500,
    occupancy,'Loan Tape (S&amp;P)'!N7500,
    maturity_date,'Loan Tape (S&amp;P)'!L7500,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01">
      <c r="J7501">
        <f>LET(
    lien,'Loan Tape (S&amp;P)'!Q7501,
    IF(lien="First",1.00,
        IF(lien="Second",1.50,
            1.70)))</f>
        <v/>
      </c>
      <c r="K7501">
        <f>LET(
    purpose,'Loan Tape (S&amp;P)'!R7501,
    IF(purpose="Purchase",1.00,
        IF(purpose="Remortgage",1.00,
            1.20)))</f>
        <v/>
      </c>
      <c r="L7501">
        <f>LET(
    arrears_months,'Loan Tape (S&amp;P)'!AN7501,
    IF(arrears_months=0,1.00,
    IF(arrears_months=1,3.00,
    IF(arrears_months=2,5.00,
    IF(arrears_months=3,8.00,
    IF(arrears_months=4,10.00,
    IF(arrears_months=5,12.00,15.00)))))))</f>
        <v/>
      </c>
      <c r="M7501">
        <f>LET(
    seasoning_years,DATEDIF('Loan Tape (S&amp;P)'!K7501,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01">
        <f>IF(AND('Loan Tape (S&amp;P)'!U7501="Yes",
        'Loan Tape (S&amp;P)'!T7501&lt;&gt;"Yes",
        DATEDIF('Loan Tape (S&amp;P)'!K7501, TODAY(), "M")&lt;18),
    1.10,
    1.00)</f>
        <v/>
      </c>
      <c r="O7501">
        <f>IF('Loan Tape (S&amp;P)'!T7501="Yes",
    1.35,
    1.00)</f>
        <v/>
      </c>
      <c r="P7501">
        <f>IF('Loan Tape (S&amp;P)'!S7501="Yes",
    1.15,
    1.00)</f>
        <v/>
      </c>
      <c r="Q7501">
        <f>IF('Loan Tape (S&amp;P)'!V7501="Yes",
    1.20,
    1.00)</f>
        <v/>
      </c>
      <c r="T7501">
        <f>LET(
    payment_method,'Loan Tape (S&amp;P)'!P7501,
    occupancy,'Loan Tape (S&amp;P)'!N7501,
    maturity_date,'Loan Tape (S&amp;P)'!L7501,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02">
      <c r="J7502">
        <f>LET(
    lien,'Loan Tape (S&amp;P)'!Q7502,
    IF(lien="First",1.00,
        IF(lien="Second",1.50,
            1.70)))</f>
        <v/>
      </c>
      <c r="K7502">
        <f>LET(
    purpose,'Loan Tape (S&amp;P)'!R7502,
    IF(purpose="Purchase",1.00,
        IF(purpose="Remortgage",1.00,
            1.20)))</f>
        <v/>
      </c>
      <c r="L7502">
        <f>LET(
    arrears_months,'Loan Tape (S&amp;P)'!AN7502,
    IF(arrears_months=0,1.00,
    IF(arrears_months=1,3.00,
    IF(arrears_months=2,5.00,
    IF(arrears_months=3,8.00,
    IF(arrears_months=4,10.00,
    IF(arrears_months=5,12.00,15.00)))))))</f>
        <v/>
      </c>
      <c r="M7502">
        <f>LET(
    seasoning_years,DATEDIF('Loan Tape (S&amp;P)'!K7502,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02">
        <f>IF(AND('Loan Tape (S&amp;P)'!U7502="Yes",
        'Loan Tape (S&amp;P)'!T7502&lt;&gt;"Yes",
        DATEDIF('Loan Tape (S&amp;P)'!K7502, TODAY(), "M")&lt;18),
    1.10,
    1.00)</f>
        <v/>
      </c>
      <c r="O7502">
        <f>IF('Loan Tape (S&amp;P)'!T7502="Yes",
    1.35,
    1.00)</f>
        <v/>
      </c>
      <c r="P7502">
        <f>IF('Loan Tape (S&amp;P)'!S7502="Yes",
    1.15,
    1.00)</f>
        <v/>
      </c>
      <c r="Q7502">
        <f>IF('Loan Tape (S&amp;P)'!V7502="Yes",
    1.20,
    1.00)</f>
        <v/>
      </c>
      <c r="T7502">
        <f>LET(
    payment_method,'Loan Tape (S&amp;P)'!P7502,
    occupancy,'Loan Tape (S&amp;P)'!N7502,
    maturity_date,'Loan Tape (S&amp;P)'!L7502,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03">
      <c r="J7503">
        <f>LET(
    lien,'Loan Tape (S&amp;P)'!Q7503,
    IF(lien="First",1.00,
        IF(lien="Second",1.50,
            1.70)))</f>
        <v/>
      </c>
      <c r="K7503">
        <f>LET(
    purpose,'Loan Tape (S&amp;P)'!R7503,
    IF(purpose="Purchase",1.00,
        IF(purpose="Remortgage",1.00,
            1.20)))</f>
        <v/>
      </c>
      <c r="L7503">
        <f>LET(
    arrears_months,'Loan Tape (S&amp;P)'!AN7503,
    IF(arrears_months=0,1.00,
    IF(arrears_months=1,3.00,
    IF(arrears_months=2,5.00,
    IF(arrears_months=3,8.00,
    IF(arrears_months=4,10.00,
    IF(arrears_months=5,12.00,15.00)))))))</f>
        <v/>
      </c>
      <c r="M7503">
        <f>LET(
    seasoning_years,DATEDIF('Loan Tape (S&amp;P)'!K7503,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03">
        <f>IF(AND('Loan Tape (S&amp;P)'!U7503="Yes",
        'Loan Tape (S&amp;P)'!T7503&lt;&gt;"Yes",
        DATEDIF('Loan Tape (S&amp;P)'!K7503, TODAY(), "M")&lt;18),
    1.10,
    1.00)</f>
        <v/>
      </c>
      <c r="O7503">
        <f>IF('Loan Tape (S&amp;P)'!T7503="Yes",
    1.35,
    1.00)</f>
        <v/>
      </c>
      <c r="P7503">
        <f>IF('Loan Tape (S&amp;P)'!S7503="Yes",
    1.15,
    1.00)</f>
        <v/>
      </c>
      <c r="Q7503">
        <f>IF('Loan Tape (S&amp;P)'!V7503="Yes",
    1.20,
    1.00)</f>
        <v/>
      </c>
      <c r="T7503">
        <f>LET(
    payment_method,'Loan Tape (S&amp;P)'!P7503,
    occupancy,'Loan Tape (S&amp;P)'!N7503,
    maturity_date,'Loan Tape (S&amp;P)'!L7503,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04">
      <c r="J7504">
        <f>LET(
    lien,'Loan Tape (S&amp;P)'!Q7504,
    IF(lien="First",1.00,
        IF(lien="Second",1.50,
            1.70)))</f>
        <v/>
      </c>
      <c r="K7504">
        <f>LET(
    purpose,'Loan Tape (S&amp;P)'!R7504,
    IF(purpose="Purchase",1.00,
        IF(purpose="Remortgage",1.00,
            1.20)))</f>
        <v/>
      </c>
      <c r="L7504">
        <f>LET(
    arrears_months,'Loan Tape (S&amp;P)'!AN7504,
    IF(arrears_months=0,1.00,
    IF(arrears_months=1,3.00,
    IF(arrears_months=2,5.00,
    IF(arrears_months=3,8.00,
    IF(arrears_months=4,10.00,
    IF(arrears_months=5,12.00,15.00)))))))</f>
        <v/>
      </c>
      <c r="M7504">
        <f>LET(
    seasoning_years,DATEDIF('Loan Tape (S&amp;P)'!K7504,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04">
        <f>IF(AND('Loan Tape (S&amp;P)'!U7504="Yes",
        'Loan Tape (S&amp;P)'!T7504&lt;&gt;"Yes",
        DATEDIF('Loan Tape (S&amp;P)'!K7504, TODAY(), "M")&lt;18),
    1.10,
    1.00)</f>
        <v/>
      </c>
      <c r="O7504">
        <f>IF('Loan Tape (S&amp;P)'!T7504="Yes",
    1.35,
    1.00)</f>
        <v/>
      </c>
      <c r="P7504">
        <f>IF('Loan Tape (S&amp;P)'!S7504="Yes",
    1.15,
    1.00)</f>
        <v/>
      </c>
      <c r="Q7504">
        <f>IF('Loan Tape (S&amp;P)'!V7504="Yes",
    1.20,
    1.00)</f>
        <v/>
      </c>
      <c r="T7504">
        <f>LET(
    payment_method,'Loan Tape (S&amp;P)'!P7504,
    occupancy,'Loan Tape (S&amp;P)'!N7504,
    maturity_date,'Loan Tape (S&amp;P)'!L7504,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05">
      <c r="J7505">
        <f>LET(
    lien,'Loan Tape (S&amp;P)'!Q7505,
    IF(lien="First",1.00,
        IF(lien="Second",1.50,
            1.70)))</f>
        <v/>
      </c>
      <c r="K7505">
        <f>LET(
    purpose,'Loan Tape (S&amp;P)'!R7505,
    IF(purpose="Purchase",1.00,
        IF(purpose="Remortgage",1.00,
            1.20)))</f>
        <v/>
      </c>
      <c r="L7505">
        <f>LET(
    arrears_months,'Loan Tape (S&amp;P)'!AN7505,
    IF(arrears_months=0,1.00,
    IF(arrears_months=1,3.00,
    IF(arrears_months=2,5.00,
    IF(arrears_months=3,8.00,
    IF(arrears_months=4,10.00,
    IF(arrears_months=5,12.00,15.00)))))))</f>
        <v/>
      </c>
      <c r="M7505">
        <f>LET(
    seasoning_years,DATEDIF('Loan Tape (S&amp;P)'!K7505,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05">
        <f>IF(AND('Loan Tape (S&amp;P)'!U7505="Yes",
        'Loan Tape (S&amp;P)'!T7505&lt;&gt;"Yes",
        DATEDIF('Loan Tape (S&amp;P)'!K7505, TODAY(), "M")&lt;18),
    1.10,
    1.00)</f>
        <v/>
      </c>
      <c r="O7505">
        <f>IF('Loan Tape (S&amp;P)'!T7505="Yes",
    1.35,
    1.00)</f>
        <v/>
      </c>
      <c r="P7505">
        <f>IF('Loan Tape (S&amp;P)'!S7505="Yes",
    1.15,
    1.00)</f>
        <v/>
      </c>
      <c r="Q7505">
        <f>IF('Loan Tape (S&amp;P)'!V7505="Yes",
    1.20,
    1.00)</f>
        <v/>
      </c>
      <c r="T7505">
        <f>LET(
    payment_method,'Loan Tape (S&amp;P)'!P7505,
    occupancy,'Loan Tape (S&amp;P)'!N7505,
    maturity_date,'Loan Tape (S&amp;P)'!L7505,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06">
      <c r="J7506">
        <f>LET(
    lien,'Loan Tape (S&amp;P)'!Q7506,
    IF(lien="First",1.00,
        IF(lien="Second",1.50,
            1.70)))</f>
        <v/>
      </c>
      <c r="K7506">
        <f>LET(
    purpose,'Loan Tape (S&amp;P)'!R7506,
    IF(purpose="Purchase",1.00,
        IF(purpose="Remortgage",1.00,
            1.20)))</f>
        <v/>
      </c>
      <c r="L7506">
        <f>LET(
    arrears_months,'Loan Tape (S&amp;P)'!AN7506,
    IF(arrears_months=0,1.00,
    IF(arrears_months=1,3.00,
    IF(arrears_months=2,5.00,
    IF(arrears_months=3,8.00,
    IF(arrears_months=4,10.00,
    IF(arrears_months=5,12.00,15.00)))))))</f>
        <v/>
      </c>
      <c r="M7506">
        <f>LET(
    seasoning_years,DATEDIF('Loan Tape (S&amp;P)'!K7506,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06">
        <f>IF(AND('Loan Tape (S&amp;P)'!U7506="Yes",
        'Loan Tape (S&amp;P)'!T7506&lt;&gt;"Yes",
        DATEDIF('Loan Tape (S&amp;P)'!K7506, TODAY(), "M")&lt;18),
    1.10,
    1.00)</f>
        <v/>
      </c>
      <c r="O7506">
        <f>IF('Loan Tape (S&amp;P)'!T7506="Yes",
    1.35,
    1.00)</f>
        <v/>
      </c>
      <c r="P7506">
        <f>IF('Loan Tape (S&amp;P)'!S7506="Yes",
    1.15,
    1.00)</f>
        <v/>
      </c>
      <c r="Q7506">
        <f>IF('Loan Tape (S&amp;P)'!V7506="Yes",
    1.20,
    1.00)</f>
        <v/>
      </c>
      <c r="T7506">
        <f>LET(
    payment_method,'Loan Tape (S&amp;P)'!P7506,
    occupancy,'Loan Tape (S&amp;P)'!N7506,
    maturity_date,'Loan Tape (S&amp;P)'!L7506,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07">
      <c r="J7507">
        <f>LET(
    lien,'Loan Tape (S&amp;P)'!Q7507,
    IF(lien="First",1.00,
        IF(lien="Second",1.50,
            1.70)))</f>
        <v/>
      </c>
      <c r="K7507">
        <f>LET(
    purpose,'Loan Tape (S&amp;P)'!R7507,
    IF(purpose="Purchase",1.00,
        IF(purpose="Remortgage",1.00,
            1.20)))</f>
        <v/>
      </c>
      <c r="L7507">
        <f>LET(
    arrears_months,'Loan Tape (S&amp;P)'!AN7507,
    IF(arrears_months=0,1.00,
    IF(arrears_months=1,3.00,
    IF(arrears_months=2,5.00,
    IF(arrears_months=3,8.00,
    IF(arrears_months=4,10.00,
    IF(arrears_months=5,12.00,15.00)))))))</f>
        <v/>
      </c>
      <c r="M7507">
        <f>LET(
    seasoning_years,DATEDIF('Loan Tape (S&amp;P)'!K7507,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07">
        <f>IF(AND('Loan Tape (S&amp;P)'!U7507="Yes",
        'Loan Tape (S&amp;P)'!T7507&lt;&gt;"Yes",
        DATEDIF('Loan Tape (S&amp;P)'!K7507, TODAY(), "M")&lt;18),
    1.10,
    1.00)</f>
        <v/>
      </c>
      <c r="O7507">
        <f>IF('Loan Tape (S&amp;P)'!T7507="Yes",
    1.35,
    1.00)</f>
        <v/>
      </c>
      <c r="P7507">
        <f>IF('Loan Tape (S&amp;P)'!S7507="Yes",
    1.15,
    1.00)</f>
        <v/>
      </c>
      <c r="Q7507">
        <f>IF('Loan Tape (S&amp;P)'!V7507="Yes",
    1.20,
    1.00)</f>
        <v/>
      </c>
      <c r="T7507">
        <f>LET(
    payment_method,'Loan Tape (S&amp;P)'!P7507,
    occupancy,'Loan Tape (S&amp;P)'!N7507,
    maturity_date,'Loan Tape (S&amp;P)'!L7507,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08">
      <c r="J7508">
        <f>LET(
    lien,'Loan Tape (S&amp;P)'!Q7508,
    IF(lien="First",1.00,
        IF(lien="Second",1.50,
            1.70)))</f>
        <v/>
      </c>
      <c r="K7508">
        <f>LET(
    purpose,'Loan Tape (S&amp;P)'!R7508,
    IF(purpose="Purchase",1.00,
        IF(purpose="Remortgage",1.00,
            1.20)))</f>
        <v/>
      </c>
      <c r="L7508">
        <f>LET(
    arrears_months,'Loan Tape (S&amp;P)'!AN7508,
    IF(arrears_months=0,1.00,
    IF(arrears_months=1,3.00,
    IF(arrears_months=2,5.00,
    IF(arrears_months=3,8.00,
    IF(arrears_months=4,10.00,
    IF(arrears_months=5,12.00,15.00)))))))</f>
        <v/>
      </c>
      <c r="M7508">
        <f>LET(
    seasoning_years,DATEDIF('Loan Tape (S&amp;P)'!K7508,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08">
        <f>IF(AND('Loan Tape (S&amp;P)'!U7508="Yes",
        'Loan Tape (S&amp;P)'!T7508&lt;&gt;"Yes",
        DATEDIF('Loan Tape (S&amp;P)'!K7508, TODAY(), "M")&lt;18),
    1.10,
    1.00)</f>
        <v/>
      </c>
      <c r="O7508">
        <f>IF('Loan Tape (S&amp;P)'!T7508="Yes",
    1.35,
    1.00)</f>
        <v/>
      </c>
      <c r="P7508">
        <f>IF('Loan Tape (S&amp;P)'!S7508="Yes",
    1.15,
    1.00)</f>
        <v/>
      </c>
      <c r="Q7508">
        <f>IF('Loan Tape (S&amp;P)'!V7508="Yes",
    1.20,
    1.00)</f>
        <v/>
      </c>
      <c r="T7508">
        <f>LET(
    payment_method,'Loan Tape (S&amp;P)'!P7508,
    occupancy,'Loan Tape (S&amp;P)'!N7508,
    maturity_date,'Loan Tape (S&amp;P)'!L7508,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09">
      <c r="J7509">
        <f>LET(
    lien,'Loan Tape (S&amp;P)'!Q7509,
    IF(lien="First",1.00,
        IF(lien="Second",1.50,
            1.70)))</f>
        <v/>
      </c>
      <c r="K7509">
        <f>LET(
    purpose,'Loan Tape (S&amp;P)'!R7509,
    IF(purpose="Purchase",1.00,
        IF(purpose="Remortgage",1.00,
            1.20)))</f>
        <v/>
      </c>
      <c r="L7509">
        <f>LET(
    arrears_months,'Loan Tape (S&amp;P)'!AN7509,
    IF(arrears_months=0,1.00,
    IF(arrears_months=1,3.00,
    IF(arrears_months=2,5.00,
    IF(arrears_months=3,8.00,
    IF(arrears_months=4,10.00,
    IF(arrears_months=5,12.00,15.00)))))))</f>
        <v/>
      </c>
      <c r="M7509">
        <f>LET(
    seasoning_years,DATEDIF('Loan Tape (S&amp;P)'!K7509,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09">
        <f>IF(AND('Loan Tape (S&amp;P)'!U7509="Yes",
        'Loan Tape (S&amp;P)'!T7509&lt;&gt;"Yes",
        DATEDIF('Loan Tape (S&amp;P)'!K7509, TODAY(), "M")&lt;18),
    1.10,
    1.00)</f>
        <v/>
      </c>
      <c r="O7509">
        <f>IF('Loan Tape (S&amp;P)'!T7509="Yes",
    1.35,
    1.00)</f>
        <v/>
      </c>
      <c r="P7509">
        <f>IF('Loan Tape (S&amp;P)'!S7509="Yes",
    1.15,
    1.00)</f>
        <v/>
      </c>
      <c r="Q7509">
        <f>IF('Loan Tape (S&amp;P)'!V7509="Yes",
    1.20,
    1.00)</f>
        <v/>
      </c>
      <c r="T7509">
        <f>LET(
    payment_method,'Loan Tape (S&amp;P)'!P7509,
    occupancy,'Loan Tape (S&amp;P)'!N7509,
    maturity_date,'Loan Tape (S&amp;P)'!L7509,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10">
      <c r="J7510">
        <f>LET(
    lien,'Loan Tape (S&amp;P)'!Q7510,
    IF(lien="First",1.00,
        IF(lien="Second",1.50,
            1.70)))</f>
        <v/>
      </c>
      <c r="K7510">
        <f>LET(
    purpose,'Loan Tape (S&amp;P)'!R7510,
    IF(purpose="Purchase",1.00,
        IF(purpose="Remortgage",1.00,
            1.20)))</f>
        <v/>
      </c>
      <c r="L7510">
        <f>LET(
    arrears_months,'Loan Tape (S&amp;P)'!AN7510,
    IF(arrears_months=0,1.00,
    IF(arrears_months=1,3.00,
    IF(arrears_months=2,5.00,
    IF(arrears_months=3,8.00,
    IF(arrears_months=4,10.00,
    IF(arrears_months=5,12.00,15.00)))))))</f>
        <v/>
      </c>
      <c r="M7510">
        <f>LET(
    seasoning_years,DATEDIF('Loan Tape (S&amp;P)'!K7510,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10">
        <f>IF(AND('Loan Tape (S&amp;P)'!U7510="Yes",
        'Loan Tape (S&amp;P)'!T7510&lt;&gt;"Yes",
        DATEDIF('Loan Tape (S&amp;P)'!K7510, TODAY(), "M")&lt;18),
    1.10,
    1.00)</f>
        <v/>
      </c>
      <c r="O7510">
        <f>IF('Loan Tape (S&amp;P)'!T7510="Yes",
    1.35,
    1.00)</f>
        <v/>
      </c>
      <c r="P7510">
        <f>IF('Loan Tape (S&amp;P)'!S7510="Yes",
    1.15,
    1.00)</f>
        <v/>
      </c>
      <c r="Q7510">
        <f>IF('Loan Tape (S&amp;P)'!V7510="Yes",
    1.20,
    1.00)</f>
        <v/>
      </c>
      <c r="T7510">
        <f>LET(
    payment_method,'Loan Tape (S&amp;P)'!P7510,
    occupancy,'Loan Tape (S&amp;P)'!N7510,
    maturity_date,'Loan Tape (S&amp;P)'!L7510,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11">
      <c r="J7511">
        <f>LET(
    lien,'Loan Tape (S&amp;P)'!Q7511,
    IF(lien="First",1.00,
        IF(lien="Second",1.50,
            1.70)))</f>
        <v/>
      </c>
      <c r="K7511">
        <f>LET(
    purpose,'Loan Tape (S&amp;P)'!R7511,
    IF(purpose="Purchase",1.00,
        IF(purpose="Remortgage",1.00,
            1.20)))</f>
        <v/>
      </c>
      <c r="L7511">
        <f>LET(
    arrears_months,'Loan Tape (S&amp;P)'!AN7511,
    IF(arrears_months=0,1.00,
    IF(arrears_months=1,3.00,
    IF(arrears_months=2,5.00,
    IF(arrears_months=3,8.00,
    IF(arrears_months=4,10.00,
    IF(arrears_months=5,12.00,15.00)))))))</f>
        <v/>
      </c>
      <c r="M7511">
        <f>LET(
    seasoning_years,DATEDIF('Loan Tape (S&amp;P)'!K7511,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11">
        <f>IF(AND('Loan Tape (S&amp;P)'!U7511="Yes",
        'Loan Tape (S&amp;P)'!T7511&lt;&gt;"Yes",
        DATEDIF('Loan Tape (S&amp;P)'!K7511, TODAY(), "M")&lt;18),
    1.10,
    1.00)</f>
        <v/>
      </c>
      <c r="O7511">
        <f>IF('Loan Tape (S&amp;P)'!T7511="Yes",
    1.35,
    1.00)</f>
        <v/>
      </c>
      <c r="P7511">
        <f>IF('Loan Tape (S&amp;P)'!S7511="Yes",
    1.15,
    1.00)</f>
        <v/>
      </c>
      <c r="Q7511">
        <f>IF('Loan Tape (S&amp;P)'!V7511="Yes",
    1.20,
    1.00)</f>
        <v/>
      </c>
      <c r="T7511">
        <f>LET(
    payment_method,'Loan Tape (S&amp;P)'!P7511,
    occupancy,'Loan Tape (S&amp;P)'!N7511,
    maturity_date,'Loan Tape (S&amp;P)'!L7511,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12">
      <c r="J7512">
        <f>LET(
    lien,'Loan Tape (S&amp;P)'!Q7512,
    IF(lien="First",1.00,
        IF(lien="Second",1.50,
            1.70)))</f>
        <v/>
      </c>
      <c r="K7512">
        <f>LET(
    purpose,'Loan Tape (S&amp;P)'!R7512,
    IF(purpose="Purchase",1.00,
        IF(purpose="Remortgage",1.00,
            1.20)))</f>
        <v/>
      </c>
      <c r="L7512">
        <f>LET(
    arrears_months,'Loan Tape (S&amp;P)'!AN7512,
    IF(arrears_months=0,1.00,
    IF(arrears_months=1,3.00,
    IF(arrears_months=2,5.00,
    IF(arrears_months=3,8.00,
    IF(arrears_months=4,10.00,
    IF(arrears_months=5,12.00,15.00)))))))</f>
        <v/>
      </c>
      <c r="M7512">
        <f>LET(
    seasoning_years,DATEDIF('Loan Tape (S&amp;P)'!K7512,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12">
        <f>IF(AND('Loan Tape (S&amp;P)'!U7512="Yes",
        'Loan Tape (S&amp;P)'!T7512&lt;&gt;"Yes",
        DATEDIF('Loan Tape (S&amp;P)'!K7512, TODAY(), "M")&lt;18),
    1.10,
    1.00)</f>
        <v/>
      </c>
      <c r="O7512">
        <f>IF('Loan Tape (S&amp;P)'!T7512="Yes",
    1.35,
    1.00)</f>
        <v/>
      </c>
      <c r="P7512">
        <f>IF('Loan Tape (S&amp;P)'!S7512="Yes",
    1.15,
    1.00)</f>
        <v/>
      </c>
      <c r="Q7512">
        <f>IF('Loan Tape (S&amp;P)'!V7512="Yes",
    1.20,
    1.00)</f>
        <v/>
      </c>
      <c r="T7512">
        <f>LET(
    payment_method,'Loan Tape (S&amp;P)'!P7512,
    occupancy,'Loan Tape (S&amp;P)'!N7512,
    maturity_date,'Loan Tape (S&amp;P)'!L7512,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13">
      <c r="J7513">
        <f>LET(
    lien,'Loan Tape (S&amp;P)'!Q7513,
    IF(lien="First",1.00,
        IF(lien="Second",1.50,
            1.70)))</f>
        <v/>
      </c>
      <c r="K7513">
        <f>LET(
    purpose,'Loan Tape (S&amp;P)'!R7513,
    IF(purpose="Purchase",1.00,
        IF(purpose="Remortgage",1.00,
            1.20)))</f>
        <v/>
      </c>
      <c r="L7513">
        <f>LET(
    arrears_months,'Loan Tape (S&amp;P)'!AN7513,
    IF(arrears_months=0,1.00,
    IF(arrears_months=1,3.00,
    IF(arrears_months=2,5.00,
    IF(arrears_months=3,8.00,
    IF(arrears_months=4,10.00,
    IF(arrears_months=5,12.00,15.00)))))))</f>
        <v/>
      </c>
      <c r="M7513">
        <f>LET(
    seasoning_years,DATEDIF('Loan Tape (S&amp;P)'!K7513,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13">
        <f>IF(AND('Loan Tape (S&amp;P)'!U7513="Yes",
        'Loan Tape (S&amp;P)'!T7513&lt;&gt;"Yes",
        DATEDIF('Loan Tape (S&amp;P)'!K7513, TODAY(), "M")&lt;18),
    1.10,
    1.00)</f>
        <v/>
      </c>
      <c r="O7513">
        <f>IF('Loan Tape (S&amp;P)'!T7513="Yes",
    1.35,
    1.00)</f>
        <v/>
      </c>
      <c r="P7513">
        <f>IF('Loan Tape (S&amp;P)'!S7513="Yes",
    1.15,
    1.00)</f>
        <v/>
      </c>
      <c r="Q7513">
        <f>IF('Loan Tape (S&amp;P)'!V7513="Yes",
    1.20,
    1.00)</f>
        <v/>
      </c>
      <c r="T7513">
        <f>LET(
    payment_method,'Loan Tape (S&amp;P)'!P7513,
    occupancy,'Loan Tape (S&amp;P)'!N7513,
    maturity_date,'Loan Tape (S&amp;P)'!L7513,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14">
      <c r="J7514">
        <f>LET(
    lien,'Loan Tape (S&amp;P)'!Q7514,
    IF(lien="First",1.00,
        IF(lien="Second",1.50,
            1.70)))</f>
        <v/>
      </c>
      <c r="K7514">
        <f>LET(
    purpose,'Loan Tape (S&amp;P)'!R7514,
    IF(purpose="Purchase",1.00,
        IF(purpose="Remortgage",1.00,
            1.20)))</f>
        <v/>
      </c>
      <c r="L7514">
        <f>LET(
    arrears_months,'Loan Tape (S&amp;P)'!AN7514,
    IF(arrears_months=0,1.00,
    IF(arrears_months=1,3.00,
    IF(arrears_months=2,5.00,
    IF(arrears_months=3,8.00,
    IF(arrears_months=4,10.00,
    IF(arrears_months=5,12.00,15.00)))))))</f>
        <v/>
      </c>
      <c r="M7514">
        <f>LET(
    seasoning_years,DATEDIF('Loan Tape (S&amp;P)'!K7514,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14">
        <f>IF(AND('Loan Tape (S&amp;P)'!U7514="Yes",
        'Loan Tape (S&amp;P)'!T7514&lt;&gt;"Yes",
        DATEDIF('Loan Tape (S&amp;P)'!K7514, TODAY(), "M")&lt;18),
    1.10,
    1.00)</f>
        <v/>
      </c>
      <c r="O7514">
        <f>IF('Loan Tape (S&amp;P)'!T7514="Yes",
    1.35,
    1.00)</f>
        <v/>
      </c>
      <c r="P7514">
        <f>IF('Loan Tape (S&amp;P)'!S7514="Yes",
    1.15,
    1.00)</f>
        <v/>
      </c>
      <c r="Q7514">
        <f>IF('Loan Tape (S&amp;P)'!V7514="Yes",
    1.20,
    1.00)</f>
        <v/>
      </c>
      <c r="T7514">
        <f>LET(
    payment_method,'Loan Tape (S&amp;P)'!P7514,
    occupancy,'Loan Tape (S&amp;P)'!N7514,
    maturity_date,'Loan Tape (S&amp;P)'!L7514,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15">
      <c r="J7515">
        <f>LET(
    lien,'Loan Tape (S&amp;P)'!Q7515,
    IF(lien="First",1.00,
        IF(lien="Second",1.50,
            1.70)))</f>
        <v/>
      </c>
      <c r="K7515">
        <f>LET(
    purpose,'Loan Tape (S&amp;P)'!R7515,
    IF(purpose="Purchase",1.00,
        IF(purpose="Remortgage",1.00,
            1.20)))</f>
        <v/>
      </c>
      <c r="L7515">
        <f>LET(
    arrears_months,'Loan Tape (S&amp;P)'!AN7515,
    IF(arrears_months=0,1.00,
    IF(arrears_months=1,3.00,
    IF(arrears_months=2,5.00,
    IF(arrears_months=3,8.00,
    IF(arrears_months=4,10.00,
    IF(arrears_months=5,12.00,15.00)))))))</f>
        <v/>
      </c>
      <c r="M7515">
        <f>LET(
    seasoning_years,DATEDIF('Loan Tape (S&amp;P)'!K7515,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15">
        <f>IF(AND('Loan Tape (S&amp;P)'!U7515="Yes",
        'Loan Tape (S&amp;P)'!T7515&lt;&gt;"Yes",
        DATEDIF('Loan Tape (S&amp;P)'!K7515, TODAY(), "M")&lt;18),
    1.10,
    1.00)</f>
        <v/>
      </c>
      <c r="O7515">
        <f>IF('Loan Tape (S&amp;P)'!T7515="Yes",
    1.35,
    1.00)</f>
        <v/>
      </c>
      <c r="P7515">
        <f>IF('Loan Tape (S&amp;P)'!S7515="Yes",
    1.15,
    1.00)</f>
        <v/>
      </c>
      <c r="Q7515">
        <f>IF('Loan Tape (S&amp;P)'!V7515="Yes",
    1.20,
    1.00)</f>
        <v/>
      </c>
      <c r="T7515">
        <f>LET(
    payment_method,'Loan Tape (S&amp;P)'!P7515,
    occupancy,'Loan Tape (S&amp;P)'!N7515,
    maturity_date,'Loan Tape (S&amp;P)'!L7515,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16">
      <c r="J7516">
        <f>LET(
    lien,'Loan Tape (S&amp;P)'!Q7516,
    IF(lien="First",1.00,
        IF(lien="Second",1.50,
            1.70)))</f>
        <v/>
      </c>
      <c r="K7516">
        <f>LET(
    purpose,'Loan Tape (S&amp;P)'!R7516,
    IF(purpose="Purchase",1.00,
        IF(purpose="Remortgage",1.00,
            1.20)))</f>
        <v/>
      </c>
      <c r="L7516">
        <f>LET(
    arrears_months,'Loan Tape (S&amp;P)'!AN7516,
    IF(arrears_months=0,1.00,
    IF(arrears_months=1,3.00,
    IF(arrears_months=2,5.00,
    IF(arrears_months=3,8.00,
    IF(arrears_months=4,10.00,
    IF(arrears_months=5,12.00,15.00)))))))</f>
        <v/>
      </c>
      <c r="M7516">
        <f>LET(
    seasoning_years,DATEDIF('Loan Tape (S&amp;P)'!K7516,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16">
        <f>IF(AND('Loan Tape (S&amp;P)'!U7516="Yes",
        'Loan Tape (S&amp;P)'!T7516&lt;&gt;"Yes",
        DATEDIF('Loan Tape (S&amp;P)'!K7516, TODAY(), "M")&lt;18),
    1.10,
    1.00)</f>
        <v/>
      </c>
      <c r="O7516">
        <f>IF('Loan Tape (S&amp;P)'!T7516="Yes",
    1.35,
    1.00)</f>
        <v/>
      </c>
      <c r="P7516">
        <f>IF('Loan Tape (S&amp;P)'!S7516="Yes",
    1.15,
    1.00)</f>
        <v/>
      </c>
      <c r="Q7516">
        <f>IF('Loan Tape (S&amp;P)'!V7516="Yes",
    1.20,
    1.00)</f>
        <v/>
      </c>
      <c r="T7516">
        <f>LET(
    payment_method,'Loan Tape (S&amp;P)'!P7516,
    occupancy,'Loan Tape (S&amp;P)'!N7516,
    maturity_date,'Loan Tape (S&amp;P)'!L7516,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17">
      <c r="J7517">
        <f>LET(
    lien,'Loan Tape (S&amp;P)'!Q7517,
    IF(lien="First",1.00,
        IF(lien="Second",1.50,
            1.70)))</f>
        <v/>
      </c>
      <c r="K7517">
        <f>LET(
    purpose,'Loan Tape (S&amp;P)'!R7517,
    IF(purpose="Purchase",1.00,
        IF(purpose="Remortgage",1.00,
            1.20)))</f>
        <v/>
      </c>
      <c r="L7517">
        <f>LET(
    arrears_months,'Loan Tape (S&amp;P)'!AN7517,
    IF(arrears_months=0,1.00,
    IF(arrears_months=1,3.00,
    IF(arrears_months=2,5.00,
    IF(arrears_months=3,8.00,
    IF(arrears_months=4,10.00,
    IF(arrears_months=5,12.00,15.00)))))))</f>
        <v/>
      </c>
      <c r="M7517">
        <f>LET(
    seasoning_years,DATEDIF('Loan Tape (S&amp;P)'!K7517,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17">
        <f>IF(AND('Loan Tape (S&amp;P)'!U7517="Yes",
        'Loan Tape (S&amp;P)'!T7517&lt;&gt;"Yes",
        DATEDIF('Loan Tape (S&amp;P)'!K7517, TODAY(), "M")&lt;18),
    1.10,
    1.00)</f>
        <v/>
      </c>
      <c r="O7517">
        <f>IF('Loan Tape (S&amp;P)'!T7517="Yes",
    1.35,
    1.00)</f>
        <v/>
      </c>
      <c r="P7517">
        <f>IF('Loan Tape (S&amp;P)'!S7517="Yes",
    1.15,
    1.00)</f>
        <v/>
      </c>
      <c r="Q7517">
        <f>IF('Loan Tape (S&amp;P)'!V7517="Yes",
    1.20,
    1.00)</f>
        <v/>
      </c>
      <c r="T7517">
        <f>LET(
    payment_method,'Loan Tape (S&amp;P)'!P7517,
    occupancy,'Loan Tape (S&amp;P)'!N7517,
    maturity_date,'Loan Tape (S&amp;P)'!L7517,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18">
      <c r="J7518">
        <f>LET(
    lien,'Loan Tape (S&amp;P)'!Q7518,
    IF(lien="First",1.00,
        IF(lien="Second",1.50,
            1.70)))</f>
        <v/>
      </c>
      <c r="K7518">
        <f>LET(
    purpose,'Loan Tape (S&amp;P)'!R7518,
    IF(purpose="Purchase",1.00,
        IF(purpose="Remortgage",1.00,
            1.20)))</f>
        <v/>
      </c>
      <c r="L7518">
        <f>LET(
    arrears_months,'Loan Tape (S&amp;P)'!AN7518,
    IF(arrears_months=0,1.00,
    IF(arrears_months=1,3.00,
    IF(arrears_months=2,5.00,
    IF(arrears_months=3,8.00,
    IF(arrears_months=4,10.00,
    IF(arrears_months=5,12.00,15.00)))))))</f>
        <v/>
      </c>
      <c r="M7518">
        <f>LET(
    seasoning_years,DATEDIF('Loan Tape (S&amp;P)'!K7518,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18">
        <f>IF(AND('Loan Tape (S&amp;P)'!U7518="Yes",
        'Loan Tape (S&amp;P)'!T7518&lt;&gt;"Yes",
        DATEDIF('Loan Tape (S&amp;P)'!K7518, TODAY(), "M")&lt;18),
    1.10,
    1.00)</f>
        <v/>
      </c>
      <c r="O7518">
        <f>IF('Loan Tape (S&amp;P)'!T7518="Yes",
    1.35,
    1.00)</f>
        <v/>
      </c>
      <c r="P7518">
        <f>IF('Loan Tape (S&amp;P)'!S7518="Yes",
    1.15,
    1.00)</f>
        <v/>
      </c>
      <c r="Q7518">
        <f>IF('Loan Tape (S&amp;P)'!V7518="Yes",
    1.20,
    1.00)</f>
        <v/>
      </c>
      <c r="T7518">
        <f>LET(
    payment_method,'Loan Tape (S&amp;P)'!P7518,
    occupancy,'Loan Tape (S&amp;P)'!N7518,
    maturity_date,'Loan Tape (S&amp;P)'!L7518,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19">
      <c r="J7519">
        <f>LET(
    lien,'Loan Tape (S&amp;P)'!Q7519,
    IF(lien="First",1.00,
        IF(lien="Second",1.50,
            1.70)))</f>
        <v/>
      </c>
      <c r="K7519">
        <f>LET(
    purpose,'Loan Tape (S&amp;P)'!R7519,
    IF(purpose="Purchase",1.00,
        IF(purpose="Remortgage",1.00,
            1.20)))</f>
        <v/>
      </c>
      <c r="L7519">
        <f>LET(
    arrears_months,'Loan Tape (S&amp;P)'!AN7519,
    IF(arrears_months=0,1.00,
    IF(arrears_months=1,3.00,
    IF(arrears_months=2,5.00,
    IF(arrears_months=3,8.00,
    IF(arrears_months=4,10.00,
    IF(arrears_months=5,12.00,15.00)))))))</f>
        <v/>
      </c>
      <c r="M7519">
        <f>LET(
    seasoning_years,DATEDIF('Loan Tape (S&amp;P)'!K7519,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19">
        <f>IF(AND('Loan Tape (S&amp;P)'!U7519="Yes",
        'Loan Tape (S&amp;P)'!T7519&lt;&gt;"Yes",
        DATEDIF('Loan Tape (S&amp;P)'!K7519, TODAY(), "M")&lt;18),
    1.10,
    1.00)</f>
        <v/>
      </c>
      <c r="O7519">
        <f>IF('Loan Tape (S&amp;P)'!T7519="Yes",
    1.35,
    1.00)</f>
        <v/>
      </c>
      <c r="P7519">
        <f>IF('Loan Tape (S&amp;P)'!S7519="Yes",
    1.15,
    1.00)</f>
        <v/>
      </c>
      <c r="Q7519">
        <f>IF('Loan Tape (S&amp;P)'!V7519="Yes",
    1.20,
    1.00)</f>
        <v/>
      </c>
      <c r="T7519">
        <f>LET(
    payment_method,'Loan Tape (S&amp;P)'!P7519,
    occupancy,'Loan Tape (S&amp;P)'!N7519,
    maturity_date,'Loan Tape (S&amp;P)'!L7519,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20">
      <c r="J7520">
        <f>LET(
    lien,'Loan Tape (S&amp;P)'!Q7520,
    IF(lien="First",1.00,
        IF(lien="Second",1.50,
            1.70)))</f>
        <v/>
      </c>
      <c r="K7520">
        <f>LET(
    purpose,'Loan Tape (S&amp;P)'!R7520,
    IF(purpose="Purchase",1.00,
        IF(purpose="Remortgage",1.00,
            1.20)))</f>
        <v/>
      </c>
      <c r="L7520">
        <f>LET(
    arrears_months,'Loan Tape (S&amp;P)'!AN7520,
    IF(arrears_months=0,1.00,
    IF(arrears_months=1,3.00,
    IF(arrears_months=2,5.00,
    IF(arrears_months=3,8.00,
    IF(arrears_months=4,10.00,
    IF(arrears_months=5,12.00,15.00)))))))</f>
        <v/>
      </c>
      <c r="M7520">
        <f>LET(
    seasoning_years,DATEDIF('Loan Tape (S&amp;P)'!K7520,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20">
        <f>IF(AND('Loan Tape (S&amp;P)'!U7520="Yes",
        'Loan Tape (S&amp;P)'!T7520&lt;&gt;"Yes",
        DATEDIF('Loan Tape (S&amp;P)'!K7520, TODAY(), "M")&lt;18),
    1.10,
    1.00)</f>
        <v/>
      </c>
      <c r="O7520">
        <f>IF('Loan Tape (S&amp;P)'!T7520="Yes",
    1.35,
    1.00)</f>
        <v/>
      </c>
      <c r="P7520">
        <f>IF('Loan Tape (S&amp;P)'!S7520="Yes",
    1.15,
    1.00)</f>
        <v/>
      </c>
      <c r="Q7520">
        <f>IF('Loan Tape (S&amp;P)'!V7520="Yes",
    1.20,
    1.00)</f>
        <v/>
      </c>
      <c r="T7520">
        <f>LET(
    payment_method,'Loan Tape (S&amp;P)'!P7520,
    occupancy,'Loan Tape (S&amp;P)'!N7520,
    maturity_date,'Loan Tape (S&amp;P)'!L7520,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21">
      <c r="J7521">
        <f>LET(
    lien,'Loan Tape (S&amp;P)'!Q7521,
    IF(lien="First",1.00,
        IF(lien="Second",1.50,
            1.70)))</f>
        <v/>
      </c>
      <c r="K7521">
        <f>LET(
    purpose,'Loan Tape (S&amp;P)'!R7521,
    IF(purpose="Purchase",1.00,
        IF(purpose="Remortgage",1.00,
            1.20)))</f>
        <v/>
      </c>
      <c r="L7521">
        <f>LET(
    arrears_months,'Loan Tape (S&amp;P)'!AN7521,
    IF(arrears_months=0,1.00,
    IF(arrears_months=1,3.00,
    IF(arrears_months=2,5.00,
    IF(arrears_months=3,8.00,
    IF(arrears_months=4,10.00,
    IF(arrears_months=5,12.00,15.00)))))))</f>
        <v/>
      </c>
      <c r="M7521">
        <f>LET(
    seasoning_years,DATEDIF('Loan Tape (S&amp;P)'!K7521,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21">
        <f>IF(AND('Loan Tape (S&amp;P)'!U7521="Yes",
        'Loan Tape (S&amp;P)'!T7521&lt;&gt;"Yes",
        DATEDIF('Loan Tape (S&amp;P)'!K7521, TODAY(), "M")&lt;18),
    1.10,
    1.00)</f>
        <v/>
      </c>
      <c r="O7521">
        <f>IF('Loan Tape (S&amp;P)'!T7521="Yes",
    1.35,
    1.00)</f>
        <v/>
      </c>
      <c r="P7521">
        <f>IF('Loan Tape (S&amp;P)'!S7521="Yes",
    1.15,
    1.00)</f>
        <v/>
      </c>
      <c r="Q7521">
        <f>IF('Loan Tape (S&amp;P)'!V7521="Yes",
    1.20,
    1.00)</f>
        <v/>
      </c>
      <c r="T7521">
        <f>LET(
    payment_method,'Loan Tape (S&amp;P)'!P7521,
    occupancy,'Loan Tape (S&amp;P)'!N7521,
    maturity_date,'Loan Tape (S&amp;P)'!L7521,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22">
      <c r="J7522">
        <f>LET(
    lien,'Loan Tape (S&amp;P)'!Q7522,
    IF(lien="First",1.00,
        IF(lien="Second",1.50,
            1.70)))</f>
        <v/>
      </c>
      <c r="K7522">
        <f>LET(
    purpose,'Loan Tape (S&amp;P)'!R7522,
    IF(purpose="Purchase",1.00,
        IF(purpose="Remortgage",1.00,
            1.20)))</f>
        <v/>
      </c>
      <c r="L7522">
        <f>LET(
    arrears_months,'Loan Tape (S&amp;P)'!AN7522,
    IF(arrears_months=0,1.00,
    IF(arrears_months=1,3.00,
    IF(arrears_months=2,5.00,
    IF(arrears_months=3,8.00,
    IF(arrears_months=4,10.00,
    IF(arrears_months=5,12.00,15.00)))))))</f>
        <v/>
      </c>
      <c r="M7522">
        <f>LET(
    seasoning_years,DATEDIF('Loan Tape (S&amp;P)'!K7522,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22">
        <f>IF(AND('Loan Tape (S&amp;P)'!U7522="Yes",
        'Loan Tape (S&amp;P)'!T7522&lt;&gt;"Yes",
        DATEDIF('Loan Tape (S&amp;P)'!K7522, TODAY(), "M")&lt;18),
    1.10,
    1.00)</f>
        <v/>
      </c>
      <c r="O7522">
        <f>IF('Loan Tape (S&amp;P)'!T7522="Yes",
    1.35,
    1.00)</f>
        <v/>
      </c>
      <c r="P7522">
        <f>IF('Loan Tape (S&amp;P)'!S7522="Yes",
    1.15,
    1.00)</f>
        <v/>
      </c>
      <c r="Q7522">
        <f>IF('Loan Tape (S&amp;P)'!V7522="Yes",
    1.20,
    1.00)</f>
        <v/>
      </c>
      <c r="T7522">
        <f>LET(
    payment_method,'Loan Tape (S&amp;P)'!P7522,
    occupancy,'Loan Tape (S&amp;P)'!N7522,
    maturity_date,'Loan Tape (S&amp;P)'!L7522,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23">
      <c r="J7523">
        <f>LET(
    lien,'Loan Tape (S&amp;P)'!Q7523,
    IF(lien="First",1.00,
        IF(lien="Second",1.50,
            1.70)))</f>
        <v/>
      </c>
      <c r="K7523">
        <f>LET(
    purpose,'Loan Tape (S&amp;P)'!R7523,
    IF(purpose="Purchase",1.00,
        IF(purpose="Remortgage",1.00,
            1.20)))</f>
        <v/>
      </c>
      <c r="L7523">
        <f>LET(
    arrears_months,'Loan Tape (S&amp;P)'!AN7523,
    IF(arrears_months=0,1.00,
    IF(arrears_months=1,3.00,
    IF(arrears_months=2,5.00,
    IF(arrears_months=3,8.00,
    IF(arrears_months=4,10.00,
    IF(arrears_months=5,12.00,15.00)))))))</f>
        <v/>
      </c>
      <c r="M7523">
        <f>LET(
    seasoning_years,DATEDIF('Loan Tape (S&amp;P)'!K7523,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23">
        <f>IF(AND('Loan Tape (S&amp;P)'!U7523="Yes",
        'Loan Tape (S&amp;P)'!T7523&lt;&gt;"Yes",
        DATEDIF('Loan Tape (S&amp;P)'!K7523, TODAY(), "M")&lt;18),
    1.10,
    1.00)</f>
        <v/>
      </c>
      <c r="O7523">
        <f>IF('Loan Tape (S&amp;P)'!T7523="Yes",
    1.35,
    1.00)</f>
        <v/>
      </c>
      <c r="P7523">
        <f>IF('Loan Tape (S&amp;P)'!S7523="Yes",
    1.15,
    1.00)</f>
        <v/>
      </c>
      <c r="Q7523">
        <f>IF('Loan Tape (S&amp;P)'!V7523="Yes",
    1.20,
    1.00)</f>
        <v/>
      </c>
      <c r="T7523">
        <f>LET(
    payment_method,'Loan Tape (S&amp;P)'!P7523,
    occupancy,'Loan Tape (S&amp;P)'!N7523,
    maturity_date,'Loan Tape (S&amp;P)'!L7523,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24">
      <c r="J7524">
        <f>LET(
    lien,'Loan Tape (S&amp;P)'!Q7524,
    IF(lien="First",1.00,
        IF(lien="Second",1.50,
            1.70)))</f>
        <v/>
      </c>
      <c r="K7524">
        <f>LET(
    purpose,'Loan Tape (S&amp;P)'!R7524,
    IF(purpose="Purchase",1.00,
        IF(purpose="Remortgage",1.00,
            1.20)))</f>
        <v/>
      </c>
      <c r="L7524">
        <f>LET(
    arrears_months,'Loan Tape (S&amp;P)'!AN7524,
    IF(arrears_months=0,1.00,
    IF(arrears_months=1,3.00,
    IF(arrears_months=2,5.00,
    IF(arrears_months=3,8.00,
    IF(arrears_months=4,10.00,
    IF(arrears_months=5,12.00,15.00)))))))</f>
        <v/>
      </c>
      <c r="M7524">
        <f>LET(
    seasoning_years,DATEDIF('Loan Tape (S&amp;P)'!K7524,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24">
        <f>IF(AND('Loan Tape (S&amp;P)'!U7524="Yes",
        'Loan Tape (S&amp;P)'!T7524&lt;&gt;"Yes",
        DATEDIF('Loan Tape (S&amp;P)'!K7524, TODAY(), "M")&lt;18),
    1.10,
    1.00)</f>
        <v/>
      </c>
      <c r="O7524">
        <f>IF('Loan Tape (S&amp;P)'!T7524="Yes",
    1.35,
    1.00)</f>
        <v/>
      </c>
      <c r="P7524">
        <f>IF('Loan Tape (S&amp;P)'!S7524="Yes",
    1.15,
    1.00)</f>
        <v/>
      </c>
      <c r="Q7524">
        <f>IF('Loan Tape (S&amp;P)'!V7524="Yes",
    1.20,
    1.00)</f>
        <v/>
      </c>
      <c r="T7524">
        <f>LET(
    payment_method,'Loan Tape (S&amp;P)'!P7524,
    occupancy,'Loan Tape (S&amp;P)'!N7524,
    maturity_date,'Loan Tape (S&amp;P)'!L7524,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25">
      <c r="J7525">
        <f>LET(
    lien,'Loan Tape (S&amp;P)'!Q7525,
    IF(lien="First",1.00,
        IF(lien="Second",1.50,
            1.70)))</f>
        <v/>
      </c>
      <c r="K7525">
        <f>LET(
    purpose,'Loan Tape (S&amp;P)'!R7525,
    IF(purpose="Purchase",1.00,
        IF(purpose="Remortgage",1.00,
            1.20)))</f>
        <v/>
      </c>
      <c r="L7525">
        <f>LET(
    arrears_months,'Loan Tape (S&amp;P)'!AN7525,
    IF(arrears_months=0,1.00,
    IF(arrears_months=1,3.00,
    IF(arrears_months=2,5.00,
    IF(arrears_months=3,8.00,
    IF(arrears_months=4,10.00,
    IF(arrears_months=5,12.00,15.00)))))))</f>
        <v/>
      </c>
      <c r="M7525">
        <f>LET(
    seasoning_years,DATEDIF('Loan Tape (S&amp;P)'!K7525,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25">
        <f>IF(AND('Loan Tape (S&amp;P)'!U7525="Yes",
        'Loan Tape (S&amp;P)'!T7525&lt;&gt;"Yes",
        DATEDIF('Loan Tape (S&amp;P)'!K7525, TODAY(), "M")&lt;18),
    1.10,
    1.00)</f>
        <v/>
      </c>
      <c r="O7525">
        <f>IF('Loan Tape (S&amp;P)'!T7525="Yes",
    1.35,
    1.00)</f>
        <v/>
      </c>
      <c r="P7525">
        <f>IF('Loan Tape (S&amp;P)'!S7525="Yes",
    1.15,
    1.00)</f>
        <v/>
      </c>
      <c r="Q7525">
        <f>IF('Loan Tape (S&amp;P)'!V7525="Yes",
    1.20,
    1.00)</f>
        <v/>
      </c>
      <c r="T7525">
        <f>LET(
    payment_method,'Loan Tape (S&amp;P)'!P7525,
    occupancy,'Loan Tape (S&amp;P)'!N7525,
    maturity_date,'Loan Tape (S&amp;P)'!L7525,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26">
      <c r="J7526">
        <f>LET(
    lien,'Loan Tape (S&amp;P)'!Q7526,
    IF(lien="First",1.00,
        IF(lien="Second",1.50,
            1.70)))</f>
        <v/>
      </c>
      <c r="K7526">
        <f>LET(
    purpose,'Loan Tape (S&amp;P)'!R7526,
    IF(purpose="Purchase",1.00,
        IF(purpose="Remortgage",1.00,
            1.20)))</f>
        <v/>
      </c>
      <c r="L7526">
        <f>LET(
    arrears_months,'Loan Tape (S&amp;P)'!AN7526,
    IF(arrears_months=0,1.00,
    IF(arrears_months=1,3.00,
    IF(arrears_months=2,5.00,
    IF(arrears_months=3,8.00,
    IF(arrears_months=4,10.00,
    IF(arrears_months=5,12.00,15.00)))))))</f>
        <v/>
      </c>
      <c r="M7526">
        <f>LET(
    seasoning_years,DATEDIF('Loan Tape (S&amp;P)'!K7526,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26">
        <f>IF(AND('Loan Tape (S&amp;P)'!U7526="Yes",
        'Loan Tape (S&amp;P)'!T7526&lt;&gt;"Yes",
        DATEDIF('Loan Tape (S&amp;P)'!K7526, TODAY(), "M")&lt;18),
    1.10,
    1.00)</f>
        <v/>
      </c>
      <c r="O7526">
        <f>IF('Loan Tape (S&amp;P)'!T7526="Yes",
    1.35,
    1.00)</f>
        <v/>
      </c>
      <c r="P7526">
        <f>IF('Loan Tape (S&amp;P)'!S7526="Yes",
    1.15,
    1.00)</f>
        <v/>
      </c>
      <c r="Q7526">
        <f>IF('Loan Tape (S&amp;P)'!V7526="Yes",
    1.20,
    1.00)</f>
        <v/>
      </c>
      <c r="T7526">
        <f>LET(
    payment_method,'Loan Tape (S&amp;P)'!P7526,
    occupancy,'Loan Tape (S&amp;P)'!N7526,
    maturity_date,'Loan Tape (S&amp;P)'!L7526,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27">
      <c r="J7527">
        <f>LET(
    lien,'Loan Tape (S&amp;P)'!Q7527,
    IF(lien="First",1.00,
        IF(lien="Second",1.50,
            1.70)))</f>
        <v/>
      </c>
      <c r="K7527">
        <f>LET(
    purpose,'Loan Tape (S&amp;P)'!R7527,
    IF(purpose="Purchase",1.00,
        IF(purpose="Remortgage",1.00,
            1.20)))</f>
        <v/>
      </c>
      <c r="L7527">
        <f>LET(
    arrears_months,'Loan Tape (S&amp;P)'!AN7527,
    IF(arrears_months=0,1.00,
    IF(arrears_months=1,3.00,
    IF(arrears_months=2,5.00,
    IF(arrears_months=3,8.00,
    IF(arrears_months=4,10.00,
    IF(arrears_months=5,12.00,15.00)))))))</f>
        <v/>
      </c>
      <c r="M7527">
        <f>LET(
    seasoning_years,DATEDIF('Loan Tape (S&amp;P)'!K7527,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27">
        <f>IF(AND('Loan Tape (S&amp;P)'!U7527="Yes",
        'Loan Tape (S&amp;P)'!T7527&lt;&gt;"Yes",
        DATEDIF('Loan Tape (S&amp;P)'!K7527, TODAY(), "M")&lt;18),
    1.10,
    1.00)</f>
        <v/>
      </c>
      <c r="O7527">
        <f>IF('Loan Tape (S&amp;P)'!T7527="Yes",
    1.35,
    1.00)</f>
        <v/>
      </c>
      <c r="P7527">
        <f>IF('Loan Tape (S&amp;P)'!S7527="Yes",
    1.15,
    1.00)</f>
        <v/>
      </c>
      <c r="Q7527">
        <f>IF('Loan Tape (S&amp;P)'!V7527="Yes",
    1.20,
    1.00)</f>
        <v/>
      </c>
      <c r="T7527">
        <f>LET(
    payment_method,'Loan Tape (S&amp;P)'!P7527,
    occupancy,'Loan Tape (S&amp;P)'!N7527,
    maturity_date,'Loan Tape (S&amp;P)'!L7527,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28">
      <c r="J7528">
        <f>LET(
    lien,'Loan Tape (S&amp;P)'!Q7528,
    IF(lien="First",1.00,
        IF(lien="Second",1.50,
            1.70)))</f>
        <v/>
      </c>
      <c r="K7528">
        <f>LET(
    purpose,'Loan Tape (S&amp;P)'!R7528,
    IF(purpose="Purchase",1.00,
        IF(purpose="Remortgage",1.00,
            1.20)))</f>
        <v/>
      </c>
      <c r="L7528">
        <f>LET(
    arrears_months,'Loan Tape (S&amp;P)'!AN7528,
    IF(arrears_months=0,1.00,
    IF(arrears_months=1,3.00,
    IF(arrears_months=2,5.00,
    IF(arrears_months=3,8.00,
    IF(arrears_months=4,10.00,
    IF(arrears_months=5,12.00,15.00)))))))</f>
        <v/>
      </c>
      <c r="M7528">
        <f>LET(
    seasoning_years,DATEDIF('Loan Tape (S&amp;P)'!K7528,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28">
        <f>IF(AND('Loan Tape (S&amp;P)'!U7528="Yes",
        'Loan Tape (S&amp;P)'!T7528&lt;&gt;"Yes",
        DATEDIF('Loan Tape (S&amp;P)'!K7528, TODAY(), "M")&lt;18),
    1.10,
    1.00)</f>
        <v/>
      </c>
      <c r="O7528">
        <f>IF('Loan Tape (S&amp;P)'!T7528="Yes",
    1.35,
    1.00)</f>
        <v/>
      </c>
      <c r="P7528">
        <f>IF('Loan Tape (S&amp;P)'!S7528="Yes",
    1.15,
    1.00)</f>
        <v/>
      </c>
      <c r="Q7528">
        <f>IF('Loan Tape (S&amp;P)'!V7528="Yes",
    1.20,
    1.00)</f>
        <v/>
      </c>
      <c r="T7528">
        <f>LET(
    payment_method,'Loan Tape (S&amp;P)'!P7528,
    occupancy,'Loan Tape (S&amp;P)'!N7528,
    maturity_date,'Loan Tape (S&amp;P)'!L7528,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29">
      <c r="J7529">
        <f>LET(
    lien,'Loan Tape (S&amp;P)'!Q7529,
    IF(lien="First",1.00,
        IF(lien="Second",1.50,
            1.70)))</f>
        <v/>
      </c>
      <c r="K7529">
        <f>LET(
    purpose,'Loan Tape (S&amp;P)'!R7529,
    IF(purpose="Purchase",1.00,
        IF(purpose="Remortgage",1.00,
            1.20)))</f>
        <v/>
      </c>
      <c r="L7529">
        <f>LET(
    arrears_months,'Loan Tape (S&amp;P)'!AN7529,
    IF(arrears_months=0,1.00,
    IF(arrears_months=1,3.00,
    IF(arrears_months=2,5.00,
    IF(arrears_months=3,8.00,
    IF(arrears_months=4,10.00,
    IF(arrears_months=5,12.00,15.00)))))))</f>
        <v/>
      </c>
      <c r="M7529">
        <f>LET(
    seasoning_years,DATEDIF('Loan Tape (S&amp;P)'!K7529,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29">
        <f>IF(AND('Loan Tape (S&amp;P)'!U7529="Yes",
        'Loan Tape (S&amp;P)'!T7529&lt;&gt;"Yes",
        DATEDIF('Loan Tape (S&amp;P)'!K7529, TODAY(), "M")&lt;18),
    1.10,
    1.00)</f>
        <v/>
      </c>
      <c r="O7529">
        <f>IF('Loan Tape (S&amp;P)'!T7529="Yes",
    1.35,
    1.00)</f>
        <v/>
      </c>
      <c r="P7529">
        <f>IF('Loan Tape (S&amp;P)'!S7529="Yes",
    1.15,
    1.00)</f>
        <v/>
      </c>
      <c r="Q7529">
        <f>IF('Loan Tape (S&amp;P)'!V7529="Yes",
    1.20,
    1.00)</f>
        <v/>
      </c>
      <c r="T7529">
        <f>LET(
    payment_method,'Loan Tape (S&amp;P)'!P7529,
    occupancy,'Loan Tape (S&amp;P)'!N7529,
    maturity_date,'Loan Tape (S&amp;P)'!L7529,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30">
      <c r="J7530">
        <f>LET(
    lien,'Loan Tape (S&amp;P)'!Q7530,
    IF(lien="First",1.00,
        IF(lien="Second",1.50,
            1.70)))</f>
        <v/>
      </c>
      <c r="K7530">
        <f>LET(
    purpose,'Loan Tape (S&amp;P)'!R7530,
    IF(purpose="Purchase",1.00,
        IF(purpose="Remortgage",1.00,
            1.20)))</f>
        <v/>
      </c>
      <c r="L7530">
        <f>LET(
    arrears_months,'Loan Tape (S&amp;P)'!AN7530,
    IF(arrears_months=0,1.00,
    IF(arrears_months=1,3.00,
    IF(arrears_months=2,5.00,
    IF(arrears_months=3,8.00,
    IF(arrears_months=4,10.00,
    IF(arrears_months=5,12.00,15.00)))))))</f>
        <v/>
      </c>
      <c r="M7530">
        <f>LET(
    seasoning_years,DATEDIF('Loan Tape (S&amp;P)'!K7530,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30">
        <f>IF(AND('Loan Tape (S&amp;P)'!U7530="Yes",
        'Loan Tape (S&amp;P)'!T7530&lt;&gt;"Yes",
        DATEDIF('Loan Tape (S&amp;P)'!K7530, TODAY(), "M")&lt;18),
    1.10,
    1.00)</f>
        <v/>
      </c>
      <c r="O7530">
        <f>IF('Loan Tape (S&amp;P)'!T7530="Yes",
    1.35,
    1.00)</f>
        <v/>
      </c>
      <c r="P7530">
        <f>IF('Loan Tape (S&amp;P)'!S7530="Yes",
    1.15,
    1.00)</f>
        <v/>
      </c>
      <c r="Q7530">
        <f>IF('Loan Tape (S&amp;P)'!V7530="Yes",
    1.20,
    1.00)</f>
        <v/>
      </c>
      <c r="T7530">
        <f>LET(
    payment_method,'Loan Tape (S&amp;P)'!P7530,
    occupancy,'Loan Tape (S&amp;P)'!N7530,
    maturity_date,'Loan Tape (S&amp;P)'!L7530,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31">
      <c r="J7531">
        <f>LET(
    lien,'Loan Tape (S&amp;P)'!Q7531,
    IF(lien="First",1.00,
        IF(lien="Second",1.50,
            1.70)))</f>
        <v/>
      </c>
      <c r="K7531">
        <f>LET(
    purpose,'Loan Tape (S&amp;P)'!R7531,
    IF(purpose="Purchase",1.00,
        IF(purpose="Remortgage",1.00,
            1.20)))</f>
        <v/>
      </c>
      <c r="L7531">
        <f>LET(
    arrears_months,'Loan Tape (S&amp;P)'!AN7531,
    IF(arrears_months=0,1.00,
    IF(arrears_months=1,3.00,
    IF(arrears_months=2,5.00,
    IF(arrears_months=3,8.00,
    IF(arrears_months=4,10.00,
    IF(arrears_months=5,12.00,15.00)))))))</f>
        <v/>
      </c>
      <c r="M7531">
        <f>LET(
    seasoning_years,DATEDIF('Loan Tape (S&amp;P)'!K7531,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31">
        <f>IF(AND('Loan Tape (S&amp;P)'!U7531="Yes",
        'Loan Tape (S&amp;P)'!T7531&lt;&gt;"Yes",
        DATEDIF('Loan Tape (S&amp;P)'!K7531, TODAY(), "M")&lt;18),
    1.10,
    1.00)</f>
        <v/>
      </c>
      <c r="O7531">
        <f>IF('Loan Tape (S&amp;P)'!T7531="Yes",
    1.35,
    1.00)</f>
        <v/>
      </c>
      <c r="P7531">
        <f>IF('Loan Tape (S&amp;P)'!S7531="Yes",
    1.15,
    1.00)</f>
        <v/>
      </c>
      <c r="Q7531">
        <f>IF('Loan Tape (S&amp;P)'!V7531="Yes",
    1.20,
    1.00)</f>
        <v/>
      </c>
      <c r="T7531">
        <f>LET(
    payment_method,'Loan Tape (S&amp;P)'!P7531,
    occupancy,'Loan Tape (S&amp;P)'!N7531,
    maturity_date,'Loan Tape (S&amp;P)'!L7531,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32">
      <c r="J7532">
        <f>LET(
    lien,'Loan Tape (S&amp;P)'!Q7532,
    IF(lien="First",1.00,
        IF(lien="Second",1.50,
            1.70)))</f>
        <v/>
      </c>
      <c r="K7532">
        <f>LET(
    purpose,'Loan Tape (S&amp;P)'!R7532,
    IF(purpose="Purchase",1.00,
        IF(purpose="Remortgage",1.00,
            1.20)))</f>
        <v/>
      </c>
      <c r="L7532">
        <f>LET(
    arrears_months,'Loan Tape (S&amp;P)'!AN7532,
    IF(arrears_months=0,1.00,
    IF(arrears_months=1,3.00,
    IF(arrears_months=2,5.00,
    IF(arrears_months=3,8.00,
    IF(arrears_months=4,10.00,
    IF(arrears_months=5,12.00,15.00)))))))</f>
        <v/>
      </c>
      <c r="M7532">
        <f>LET(
    seasoning_years,DATEDIF('Loan Tape (S&amp;P)'!K7532,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32">
        <f>IF(AND('Loan Tape (S&amp;P)'!U7532="Yes",
        'Loan Tape (S&amp;P)'!T7532&lt;&gt;"Yes",
        DATEDIF('Loan Tape (S&amp;P)'!K7532, TODAY(), "M")&lt;18),
    1.10,
    1.00)</f>
        <v/>
      </c>
      <c r="O7532">
        <f>IF('Loan Tape (S&amp;P)'!T7532="Yes",
    1.35,
    1.00)</f>
        <v/>
      </c>
      <c r="P7532">
        <f>IF('Loan Tape (S&amp;P)'!S7532="Yes",
    1.15,
    1.00)</f>
        <v/>
      </c>
      <c r="Q7532">
        <f>IF('Loan Tape (S&amp;P)'!V7532="Yes",
    1.20,
    1.00)</f>
        <v/>
      </c>
      <c r="T7532">
        <f>LET(
    payment_method,'Loan Tape (S&amp;P)'!P7532,
    occupancy,'Loan Tape (S&amp;P)'!N7532,
    maturity_date,'Loan Tape (S&amp;P)'!L7532,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33">
      <c r="J7533">
        <f>LET(
    lien,'Loan Tape (S&amp;P)'!Q7533,
    IF(lien="First",1.00,
        IF(lien="Second",1.50,
            1.70)))</f>
        <v/>
      </c>
      <c r="K7533">
        <f>LET(
    purpose,'Loan Tape (S&amp;P)'!R7533,
    IF(purpose="Purchase",1.00,
        IF(purpose="Remortgage",1.00,
            1.20)))</f>
        <v/>
      </c>
      <c r="L7533">
        <f>LET(
    arrears_months,'Loan Tape (S&amp;P)'!AN7533,
    IF(arrears_months=0,1.00,
    IF(arrears_months=1,3.00,
    IF(arrears_months=2,5.00,
    IF(arrears_months=3,8.00,
    IF(arrears_months=4,10.00,
    IF(arrears_months=5,12.00,15.00)))))))</f>
        <v/>
      </c>
      <c r="M7533">
        <f>LET(
    seasoning_years,DATEDIF('Loan Tape (S&amp;P)'!K7533,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33">
        <f>IF(AND('Loan Tape (S&amp;P)'!U7533="Yes",
        'Loan Tape (S&amp;P)'!T7533&lt;&gt;"Yes",
        DATEDIF('Loan Tape (S&amp;P)'!K7533, TODAY(), "M")&lt;18),
    1.10,
    1.00)</f>
        <v/>
      </c>
      <c r="O7533">
        <f>IF('Loan Tape (S&amp;P)'!T7533="Yes",
    1.35,
    1.00)</f>
        <v/>
      </c>
      <c r="P7533">
        <f>IF('Loan Tape (S&amp;P)'!S7533="Yes",
    1.15,
    1.00)</f>
        <v/>
      </c>
      <c r="Q7533">
        <f>IF('Loan Tape (S&amp;P)'!V7533="Yes",
    1.20,
    1.00)</f>
        <v/>
      </c>
      <c r="T7533">
        <f>LET(
    payment_method,'Loan Tape (S&amp;P)'!P7533,
    occupancy,'Loan Tape (S&amp;P)'!N7533,
    maturity_date,'Loan Tape (S&amp;P)'!L7533,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34">
      <c r="J7534">
        <f>LET(
    lien,'Loan Tape (S&amp;P)'!Q7534,
    IF(lien="First",1.00,
        IF(lien="Second",1.50,
            1.70)))</f>
        <v/>
      </c>
      <c r="K7534">
        <f>LET(
    purpose,'Loan Tape (S&amp;P)'!R7534,
    IF(purpose="Purchase",1.00,
        IF(purpose="Remortgage",1.00,
            1.20)))</f>
        <v/>
      </c>
      <c r="L7534">
        <f>LET(
    arrears_months,'Loan Tape (S&amp;P)'!AN7534,
    IF(arrears_months=0,1.00,
    IF(arrears_months=1,3.00,
    IF(arrears_months=2,5.00,
    IF(arrears_months=3,8.00,
    IF(arrears_months=4,10.00,
    IF(arrears_months=5,12.00,15.00)))))))</f>
        <v/>
      </c>
      <c r="M7534">
        <f>LET(
    seasoning_years,DATEDIF('Loan Tape (S&amp;P)'!K7534,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34">
        <f>IF(AND('Loan Tape (S&amp;P)'!U7534="Yes",
        'Loan Tape (S&amp;P)'!T7534&lt;&gt;"Yes",
        DATEDIF('Loan Tape (S&amp;P)'!K7534, TODAY(), "M")&lt;18),
    1.10,
    1.00)</f>
        <v/>
      </c>
      <c r="O7534">
        <f>IF('Loan Tape (S&amp;P)'!T7534="Yes",
    1.35,
    1.00)</f>
        <v/>
      </c>
      <c r="P7534">
        <f>IF('Loan Tape (S&amp;P)'!S7534="Yes",
    1.15,
    1.00)</f>
        <v/>
      </c>
      <c r="Q7534">
        <f>IF('Loan Tape (S&amp;P)'!V7534="Yes",
    1.20,
    1.00)</f>
        <v/>
      </c>
      <c r="T7534">
        <f>LET(
    payment_method,'Loan Tape (S&amp;P)'!P7534,
    occupancy,'Loan Tape (S&amp;P)'!N7534,
    maturity_date,'Loan Tape (S&amp;P)'!L7534,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35">
      <c r="J7535">
        <f>LET(
    lien,'Loan Tape (S&amp;P)'!Q7535,
    IF(lien="First",1.00,
        IF(lien="Second",1.50,
            1.70)))</f>
        <v/>
      </c>
      <c r="K7535">
        <f>LET(
    purpose,'Loan Tape (S&amp;P)'!R7535,
    IF(purpose="Purchase",1.00,
        IF(purpose="Remortgage",1.00,
            1.20)))</f>
        <v/>
      </c>
      <c r="L7535">
        <f>LET(
    arrears_months,'Loan Tape (S&amp;P)'!AN7535,
    IF(arrears_months=0,1.00,
    IF(arrears_months=1,3.00,
    IF(arrears_months=2,5.00,
    IF(arrears_months=3,8.00,
    IF(arrears_months=4,10.00,
    IF(arrears_months=5,12.00,15.00)))))))</f>
        <v/>
      </c>
      <c r="M7535">
        <f>LET(
    seasoning_years,DATEDIF('Loan Tape (S&amp;P)'!K7535,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35">
        <f>IF(AND('Loan Tape (S&amp;P)'!U7535="Yes",
        'Loan Tape (S&amp;P)'!T7535&lt;&gt;"Yes",
        DATEDIF('Loan Tape (S&amp;P)'!K7535, TODAY(), "M")&lt;18),
    1.10,
    1.00)</f>
        <v/>
      </c>
      <c r="O7535">
        <f>IF('Loan Tape (S&amp;P)'!T7535="Yes",
    1.35,
    1.00)</f>
        <v/>
      </c>
      <c r="P7535">
        <f>IF('Loan Tape (S&amp;P)'!S7535="Yes",
    1.15,
    1.00)</f>
        <v/>
      </c>
      <c r="Q7535">
        <f>IF('Loan Tape (S&amp;P)'!V7535="Yes",
    1.20,
    1.00)</f>
        <v/>
      </c>
      <c r="T7535">
        <f>LET(
    payment_method,'Loan Tape (S&amp;P)'!P7535,
    occupancy,'Loan Tape (S&amp;P)'!N7535,
    maturity_date,'Loan Tape (S&amp;P)'!L7535,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36">
      <c r="J7536">
        <f>LET(
    lien,'Loan Tape (S&amp;P)'!Q7536,
    IF(lien="First",1.00,
        IF(lien="Second",1.50,
            1.70)))</f>
        <v/>
      </c>
      <c r="K7536">
        <f>LET(
    purpose,'Loan Tape (S&amp;P)'!R7536,
    IF(purpose="Purchase",1.00,
        IF(purpose="Remortgage",1.00,
            1.20)))</f>
        <v/>
      </c>
      <c r="L7536">
        <f>LET(
    arrears_months,'Loan Tape (S&amp;P)'!AN7536,
    IF(arrears_months=0,1.00,
    IF(arrears_months=1,3.00,
    IF(arrears_months=2,5.00,
    IF(arrears_months=3,8.00,
    IF(arrears_months=4,10.00,
    IF(arrears_months=5,12.00,15.00)))))))</f>
        <v/>
      </c>
      <c r="M7536">
        <f>LET(
    seasoning_years,DATEDIF('Loan Tape (S&amp;P)'!K7536,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36">
        <f>IF(AND('Loan Tape (S&amp;P)'!U7536="Yes",
        'Loan Tape (S&amp;P)'!T7536&lt;&gt;"Yes",
        DATEDIF('Loan Tape (S&amp;P)'!K7536, TODAY(), "M")&lt;18),
    1.10,
    1.00)</f>
        <v/>
      </c>
      <c r="O7536">
        <f>IF('Loan Tape (S&amp;P)'!T7536="Yes",
    1.35,
    1.00)</f>
        <v/>
      </c>
      <c r="P7536">
        <f>IF('Loan Tape (S&amp;P)'!S7536="Yes",
    1.15,
    1.00)</f>
        <v/>
      </c>
      <c r="Q7536">
        <f>IF('Loan Tape (S&amp;P)'!V7536="Yes",
    1.20,
    1.00)</f>
        <v/>
      </c>
      <c r="T7536">
        <f>LET(
    payment_method,'Loan Tape (S&amp;P)'!P7536,
    occupancy,'Loan Tape (S&amp;P)'!N7536,
    maturity_date,'Loan Tape (S&amp;P)'!L7536,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37">
      <c r="J7537">
        <f>LET(
    lien,'Loan Tape (S&amp;P)'!Q7537,
    IF(lien="First",1.00,
        IF(lien="Second",1.50,
            1.70)))</f>
        <v/>
      </c>
      <c r="K7537">
        <f>LET(
    purpose,'Loan Tape (S&amp;P)'!R7537,
    IF(purpose="Purchase",1.00,
        IF(purpose="Remortgage",1.00,
            1.20)))</f>
        <v/>
      </c>
      <c r="L7537">
        <f>LET(
    arrears_months,'Loan Tape (S&amp;P)'!AN7537,
    IF(arrears_months=0,1.00,
    IF(arrears_months=1,3.00,
    IF(arrears_months=2,5.00,
    IF(arrears_months=3,8.00,
    IF(arrears_months=4,10.00,
    IF(arrears_months=5,12.00,15.00)))))))</f>
        <v/>
      </c>
      <c r="M7537">
        <f>LET(
    seasoning_years,DATEDIF('Loan Tape (S&amp;P)'!K7537,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37">
        <f>IF(AND('Loan Tape (S&amp;P)'!U7537="Yes",
        'Loan Tape (S&amp;P)'!T7537&lt;&gt;"Yes",
        DATEDIF('Loan Tape (S&amp;P)'!K7537, TODAY(), "M")&lt;18),
    1.10,
    1.00)</f>
        <v/>
      </c>
      <c r="O7537">
        <f>IF('Loan Tape (S&amp;P)'!T7537="Yes",
    1.35,
    1.00)</f>
        <v/>
      </c>
      <c r="P7537">
        <f>IF('Loan Tape (S&amp;P)'!S7537="Yes",
    1.15,
    1.00)</f>
        <v/>
      </c>
      <c r="Q7537">
        <f>IF('Loan Tape (S&amp;P)'!V7537="Yes",
    1.20,
    1.00)</f>
        <v/>
      </c>
      <c r="T7537">
        <f>LET(
    payment_method,'Loan Tape (S&amp;P)'!P7537,
    occupancy,'Loan Tape (S&amp;P)'!N7537,
    maturity_date,'Loan Tape (S&amp;P)'!L7537,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38">
      <c r="J7538">
        <f>LET(
    lien,'Loan Tape (S&amp;P)'!Q7538,
    IF(lien="First",1.00,
        IF(lien="Second",1.50,
            1.70)))</f>
        <v/>
      </c>
      <c r="K7538">
        <f>LET(
    purpose,'Loan Tape (S&amp;P)'!R7538,
    IF(purpose="Purchase",1.00,
        IF(purpose="Remortgage",1.00,
            1.20)))</f>
        <v/>
      </c>
      <c r="L7538">
        <f>LET(
    arrears_months,'Loan Tape (S&amp;P)'!AN7538,
    IF(arrears_months=0,1.00,
    IF(arrears_months=1,3.00,
    IF(arrears_months=2,5.00,
    IF(arrears_months=3,8.00,
    IF(arrears_months=4,10.00,
    IF(arrears_months=5,12.00,15.00)))))))</f>
        <v/>
      </c>
      <c r="M7538">
        <f>LET(
    seasoning_years,DATEDIF('Loan Tape (S&amp;P)'!K7538,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38">
        <f>IF(AND('Loan Tape (S&amp;P)'!U7538="Yes",
        'Loan Tape (S&amp;P)'!T7538&lt;&gt;"Yes",
        DATEDIF('Loan Tape (S&amp;P)'!K7538, TODAY(), "M")&lt;18),
    1.10,
    1.00)</f>
        <v/>
      </c>
      <c r="O7538">
        <f>IF('Loan Tape (S&amp;P)'!T7538="Yes",
    1.35,
    1.00)</f>
        <v/>
      </c>
      <c r="P7538">
        <f>IF('Loan Tape (S&amp;P)'!S7538="Yes",
    1.15,
    1.00)</f>
        <v/>
      </c>
      <c r="Q7538">
        <f>IF('Loan Tape (S&amp;P)'!V7538="Yes",
    1.20,
    1.00)</f>
        <v/>
      </c>
      <c r="T7538">
        <f>LET(
    payment_method,'Loan Tape (S&amp;P)'!P7538,
    occupancy,'Loan Tape (S&amp;P)'!N7538,
    maturity_date,'Loan Tape (S&amp;P)'!L7538,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39">
      <c r="J7539">
        <f>LET(
    lien,'Loan Tape (S&amp;P)'!Q7539,
    IF(lien="First",1.00,
        IF(lien="Second",1.50,
            1.70)))</f>
        <v/>
      </c>
      <c r="K7539">
        <f>LET(
    purpose,'Loan Tape (S&amp;P)'!R7539,
    IF(purpose="Purchase",1.00,
        IF(purpose="Remortgage",1.00,
            1.20)))</f>
        <v/>
      </c>
      <c r="L7539">
        <f>LET(
    arrears_months,'Loan Tape (S&amp;P)'!AN7539,
    IF(arrears_months=0,1.00,
    IF(arrears_months=1,3.00,
    IF(arrears_months=2,5.00,
    IF(arrears_months=3,8.00,
    IF(arrears_months=4,10.00,
    IF(arrears_months=5,12.00,15.00)))))))</f>
        <v/>
      </c>
      <c r="M7539">
        <f>LET(
    seasoning_years,DATEDIF('Loan Tape (S&amp;P)'!K7539,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39">
        <f>IF(AND('Loan Tape (S&amp;P)'!U7539="Yes",
        'Loan Tape (S&amp;P)'!T7539&lt;&gt;"Yes",
        DATEDIF('Loan Tape (S&amp;P)'!K7539, TODAY(), "M")&lt;18),
    1.10,
    1.00)</f>
        <v/>
      </c>
      <c r="O7539">
        <f>IF('Loan Tape (S&amp;P)'!T7539="Yes",
    1.35,
    1.00)</f>
        <v/>
      </c>
      <c r="P7539">
        <f>IF('Loan Tape (S&amp;P)'!S7539="Yes",
    1.15,
    1.00)</f>
        <v/>
      </c>
      <c r="Q7539">
        <f>IF('Loan Tape (S&amp;P)'!V7539="Yes",
    1.20,
    1.00)</f>
        <v/>
      </c>
      <c r="T7539">
        <f>LET(
    payment_method,'Loan Tape (S&amp;P)'!P7539,
    occupancy,'Loan Tape (S&amp;P)'!N7539,
    maturity_date,'Loan Tape (S&amp;P)'!L7539,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40">
      <c r="J7540">
        <f>LET(
    lien,'Loan Tape (S&amp;P)'!Q7540,
    IF(lien="First",1.00,
        IF(lien="Second",1.50,
            1.70)))</f>
        <v/>
      </c>
      <c r="K7540">
        <f>LET(
    purpose,'Loan Tape (S&amp;P)'!R7540,
    IF(purpose="Purchase",1.00,
        IF(purpose="Remortgage",1.00,
            1.20)))</f>
        <v/>
      </c>
      <c r="L7540">
        <f>LET(
    arrears_months,'Loan Tape (S&amp;P)'!AN7540,
    IF(arrears_months=0,1.00,
    IF(arrears_months=1,3.00,
    IF(arrears_months=2,5.00,
    IF(arrears_months=3,8.00,
    IF(arrears_months=4,10.00,
    IF(arrears_months=5,12.00,15.00)))))))</f>
        <v/>
      </c>
      <c r="M7540">
        <f>LET(
    seasoning_years,DATEDIF('Loan Tape (S&amp;P)'!K7540,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40">
        <f>IF(AND('Loan Tape (S&amp;P)'!U7540="Yes",
        'Loan Tape (S&amp;P)'!T7540&lt;&gt;"Yes",
        DATEDIF('Loan Tape (S&amp;P)'!K7540, TODAY(), "M")&lt;18),
    1.10,
    1.00)</f>
        <v/>
      </c>
      <c r="O7540">
        <f>IF('Loan Tape (S&amp;P)'!T7540="Yes",
    1.35,
    1.00)</f>
        <v/>
      </c>
      <c r="P7540">
        <f>IF('Loan Tape (S&amp;P)'!S7540="Yes",
    1.15,
    1.00)</f>
        <v/>
      </c>
      <c r="Q7540">
        <f>IF('Loan Tape (S&amp;P)'!V7540="Yes",
    1.20,
    1.00)</f>
        <v/>
      </c>
      <c r="T7540">
        <f>LET(
    payment_method,'Loan Tape (S&amp;P)'!P7540,
    occupancy,'Loan Tape (S&amp;P)'!N7540,
    maturity_date,'Loan Tape (S&amp;P)'!L7540,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41">
      <c r="J7541">
        <f>LET(
    lien,'Loan Tape (S&amp;P)'!Q7541,
    IF(lien="First",1.00,
        IF(lien="Second",1.50,
            1.70)))</f>
        <v/>
      </c>
      <c r="K7541">
        <f>LET(
    purpose,'Loan Tape (S&amp;P)'!R7541,
    IF(purpose="Purchase",1.00,
        IF(purpose="Remortgage",1.00,
            1.20)))</f>
        <v/>
      </c>
      <c r="L7541">
        <f>LET(
    arrears_months,'Loan Tape (S&amp;P)'!AN7541,
    IF(arrears_months=0,1.00,
    IF(arrears_months=1,3.00,
    IF(arrears_months=2,5.00,
    IF(arrears_months=3,8.00,
    IF(arrears_months=4,10.00,
    IF(arrears_months=5,12.00,15.00)))))))</f>
        <v/>
      </c>
      <c r="M7541">
        <f>LET(
    seasoning_years,DATEDIF('Loan Tape (S&amp;P)'!K7541,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41">
        <f>IF(AND('Loan Tape (S&amp;P)'!U7541="Yes",
        'Loan Tape (S&amp;P)'!T7541&lt;&gt;"Yes",
        DATEDIF('Loan Tape (S&amp;P)'!K7541, TODAY(), "M")&lt;18),
    1.10,
    1.00)</f>
        <v/>
      </c>
      <c r="O7541">
        <f>IF('Loan Tape (S&amp;P)'!T7541="Yes",
    1.35,
    1.00)</f>
        <v/>
      </c>
      <c r="P7541">
        <f>IF('Loan Tape (S&amp;P)'!S7541="Yes",
    1.15,
    1.00)</f>
        <v/>
      </c>
      <c r="Q7541">
        <f>IF('Loan Tape (S&amp;P)'!V7541="Yes",
    1.20,
    1.00)</f>
        <v/>
      </c>
      <c r="T7541">
        <f>LET(
    payment_method,'Loan Tape (S&amp;P)'!P7541,
    occupancy,'Loan Tape (S&amp;P)'!N7541,
    maturity_date,'Loan Tape (S&amp;P)'!L7541,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42">
      <c r="J7542">
        <f>LET(
    lien,'Loan Tape (S&amp;P)'!Q7542,
    IF(lien="First",1.00,
        IF(lien="Second",1.50,
            1.70)))</f>
        <v/>
      </c>
      <c r="K7542">
        <f>LET(
    purpose,'Loan Tape (S&amp;P)'!R7542,
    IF(purpose="Purchase",1.00,
        IF(purpose="Remortgage",1.00,
            1.20)))</f>
        <v/>
      </c>
      <c r="L7542">
        <f>LET(
    arrears_months,'Loan Tape (S&amp;P)'!AN7542,
    IF(arrears_months=0,1.00,
    IF(arrears_months=1,3.00,
    IF(arrears_months=2,5.00,
    IF(arrears_months=3,8.00,
    IF(arrears_months=4,10.00,
    IF(arrears_months=5,12.00,15.00)))))))</f>
        <v/>
      </c>
      <c r="M7542">
        <f>LET(
    seasoning_years,DATEDIF('Loan Tape (S&amp;P)'!K7542,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42">
        <f>IF(AND('Loan Tape (S&amp;P)'!U7542="Yes",
        'Loan Tape (S&amp;P)'!T7542&lt;&gt;"Yes",
        DATEDIF('Loan Tape (S&amp;P)'!K7542, TODAY(), "M")&lt;18),
    1.10,
    1.00)</f>
        <v/>
      </c>
      <c r="O7542">
        <f>IF('Loan Tape (S&amp;P)'!T7542="Yes",
    1.35,
    1.00)</f>
        <v/>
      </c>
      <c r="P7542">
        <f>IF('Loan Tape (S&amp;P)'!S7542="Yes",
    1.15,
    1.00)</f>
        <v/>
      </c>
      <c r="Q7542">
        <f>IF('Loan Tape (S&amp;P)'!V7542="Yes",
    1.20,
    1.00)</f>
        <v/>
      </c>
      <c r="T7542">
        <f>LET(
    payment_method,'Loan Tape (S&amp;P)'!P7542,
    occupancy,'Loan Tape (S&amp;P)'!N7542,
    maturity_date,'Loan Tape (S&amp;P)'!L7542,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43">
      <c r="J7543">
        <f>LET(
    lien,'Loan Tape (S&amp;P)'!Q7543,
    IF(lien="First",1.00,
        IF(lien="Second",1.50,
            1.70)))</f>
        <v/>
      </c>
      <c r="K7543">
        <f>LET(
    purpose,'Loan Tape (S&amp;P)'!R7543,
    IF(purpose="Purchase",1.00,
        IF(purpose="Remortgage",1.00,
            1.20)))</f>
        <v/>
      </c>
      <c r="L7543">
        <f>LET(
    arrears_months,'Loan Tape (S&amp;P)'!AN7543,
    IF(arrears_months=0,1.00,
    IF(arrears_months=1,3.00,
    IF(arrears_months=2,5.00,
    IF(arrears_months=3,8.00,
    IF(arrears_months=4,10.00,
    IF(arrears_months=5,12.00,15.00)))))))</f>
        <v/>
      </c>
      <c r="M7543">
        <f>LET(
    seasoning_years,DATEDIF('Loan Tape (S&amp;P)'!K7543,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43">
        <f>IF(AND('Loan Tape (S&amp;P)'!U7543="Yes",
        'Loan Tape (S&amp;P)'!T7543&lt;&gt;"Yes",
        DATEDIF('Loan Tape (S&amp;P)'!K7543, TODAY(), "M")&lt;18),
    1.10,
    1.00)</f>
        <v/>
      </c>
      <c r="O7543">
        <f>IF('Loan Tape (S&amp;P)'!T7543="Yes",
    1.35,
    1.00)</f>
        <v/>
      </c>
      <c r="P7543">
        <f>IF('Loan Tape (S&amp;P)'!S7543="Yes",
    1.15,
    1.00)</f>
        <v/>
      </c>
      <c r="Q7543">
        <f>IF('Loan Tape (S&amp;P)'!V7543="Yes",
    1.20,
    1.00)</f>
        <v/>
      </c>
      <c r="T7543">
        <f>LET(
    payment_method,'Loan Tape (S&amp;P)'!P7543,
    occupancy,'Loan Tape (S&amp;P)'!N7543,
    maturity_date,'Loan Tape (S&amp;P)'!L7543,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44">
      <c r="J7544">
        <f>LET(
    lien,'Loan Tape (S&amp;P)'!Q7544,
    IF(lien="First",1.00,
        IF(lien="Second",1.50,
            1.70)))</f>
        <v/>
      </c>
      <c r="K7544">
        <f>LET(
    purpose,'Loan Tape (S&amp;P)'!R7544,
    IF(purpose="Purchase",1.00,
        IF(purpose="Remortgage",1.00,
            1.20)))</f>
        <v/>
      </c>
      <c r="L7544">
        <f>LET(
    arrears_months,'Loan Tape (S&amp;P)'!AN7544,
    IF(arrears_months=0,1.00,
    IF(arrears_months=1,3.00,
    IF(arrears_months=2,5.00,
    IF(arrears_months=3,8.00,
    IF(arrears_months=4,10.00,
    IF(arrears_months=5,12.00,15.00)))))))</f>
        <v/>
      </c>
      <c r="M7544">
        <f>LET(
    seasoning_years,DATEDIF('Loan Tape (S&amp;P)'!K7544,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44">
        <f>IF(AND('Loan Tape (S&amp;P)'!U7544="Yes",
        'Loan Tape (S&amp;P)'!T7544&lt;&gt;"Yes",
        DATEDIF('Loan Tape (S&amp;P)'!K7544, TODAY(), "M")&lt;18),
    1.10,
    1.00)</f>
        <v/>
      </c>
      <c r="O7544">
        <f>IF('Loan Tape (S&amp;P)'!T7544="Yes",
    1.35,
    1.00)</f>
        <v/>
      </c>
      <c r="P7544">
        <f>IF('Loan Tape (S&amp;P)'!S7544="Yes",
    1.15,
    1.00)</f>
        <v/>
      </c>
      <c r="Q7544">
        <f>IF('Loan Tape (S&amp;P)'!V7544="Yes",
    1.20,
    1.00)</f>
        <v/>
      </c>
      <c r="T7544">
        <f>LET(
    payment_method,'Loan Tape (S&amp;P)'!P7544,
    occupancy,'Loan Tape (S&amp;P)'!N7544,
    maturity_date,'Loan Tape (S&amp;P)'!L7544,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45">
      <c r="J7545">
        <f>LET(
    lien,'Loan Tape (S&amp;P)'!Q7545,
    IF(lien="First",1.00,
        IF(lien="Second",1.50,
            1.70)))</f>
        <v/>
      </c>
      <c r="K7545">
        <f>LET(
    purpose,'Loan Tape (S&amp;P)'!R7545,
    IF(purpose="Purchase",1.00,
        IF(purpose="Remortgage",1.00,
            1.20)))</f>
        <v/>
      </c>
      <c r="L7545">
        <f>LET(
    arrears_months,'Loan Tape (S&amp;P)'!AN7545,
    IF(arrears_months=0,1.00,
    IF(arrears_months=1,3.00,
    IF(arrears_months=2,5.00,
    IF(arrears_months=3,8.00,
    IF(arrears_months=4,10.00,
    IF(arrears_months=5,12.00,15.00)))))))</f>
        <v/>
      </c>
      <c r="M7545">
        <f>LET(
    seasoning_years,DATEDIF('Loan Tape (S&amp;P)'!K7545,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45">
        <f>IF(AND('Loan Tape (S&amp;P)'!U7545="Yes",
        'Loan Tape (S&amp;P)'!T7545&lt;&gt;"Yes",
        DATEDIF('Loan Tape (S&amp;P)'!K7545, TODAY(), "M")&lt;18),
    1.10,
    1.00)</f>
        <v/>
      </c>
      <c r="O7545">
        <f>IF('Loan Tape (S&amp;P)'!T7545="Yes",
    1.35,
    1.00)</f>
        <v/>
      </c>
      <c r="P7545">
        <f>IF('Loan Tape (S&amp;P)'!S7545="Yes",
    1.15,
    1.00)</f>
        <v/>
      </c>
      <c r="Q7545">
        <f>IF('Loan Tape (S&amp;P)'!V7545="Yes",
    1.20,
    1.00)</f>
        <v/>
      </c>
      <c r="T7545">
        <f>LET(
    payment_method,'Loan Tape (S&amp;P)'!P7545,
    occupancy,'Loan Tape (S&amp;P)'!N7545,
    maturity_date,'Loan Tape (S&amp;P)'!L7545,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46">
      <c r="J7546">
        <f>LET(
    lien,'Loan Tape (S&amp;P)'!Q7546,
    IF(lien="First",1.00,
        IF(lien="Second",1.50,
            1.70)))</f>
        <v/>
      </c>
      <c r="K7546">
        <f>LET(
    purpose,'Loan Tape (S&amp;P)'!R7546,
    IF(purpose="Purchase",1.00,
        IF(purpose="Remortgage",1.00,
            1.20)))</f>
        <v/>
      </c>
      <c r="L7546">
        <f>LET(
    arrears_months,'Loan Tape (S&amp;P)'!AN7546,
    IF(arrears_months=0,1.00,
    IF(arrears_months=1,3.00,
    IF(arrears_months=2,5.00,
    IF(arrears_months=3,8.00,
    IF(arrears_months=4,10.00,
    IF(arrears_months=5,12.00,15.00)))))))</f>
        <v/>
      </c>
      <c r="M7546">
        <f>LET(
    seasoning_years,DATEDIF('Loan Tape (S&amp;P)'!K7546,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46">
        <f>IF(AND('Loan Tape (S&amp;P)'!U7546="Yes",
        'Loan Tape (S&amp;P)'!T7546&lt;&gt;"Yes",
        DATEDIF('Loan Tape (S&amp;P)'!K7546, TODAY(), "M")&lt;18),
    1.10,
    1.00)</f>
        <v/>
      </c>
      <c r="O7546">
        <f>IF('Loan Tape (S&amp;P)'!T7546="Yes",
    1.35,
    1.00)</f>
        <v/>
      </c>
      <c r="P7546">
        <f>IF('Loan Tape (S&amp;P)'!S7546="Yes",
    1.15,
    1.00)</f>
        <v/>
      </c>
      <c r="Q7546">
        <f>IF('Loan Tape (S&amp;P)'!V7546="Yes",
    1.20,
    1.00)</f>
        <v/>
      </c>
      <c r="T7546">
        <f>LET(
    payment_method,'Loan Tape (S&amp;P)'!P7546,
    occupancy,'Loan Tape (S&amp;P)'!N7546,
    maturity_date,'Loan Tape (S&amp;P)'!L7546,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47">
      <c r="J7547">
        <f>LET(
    lien,'Loan Tape (S&amp;P)'!Q7547,
    IF(lien="First",1.00,
        IF(lien="Second",1.50,
            1.70)))</f>
        <v/>
      </c>
      <c r="K7547">
        <f>LET(
    purpose,'Loan Tape (S&amp;P)'!R7547,
    IF(purpose="Purchase",1.00,
        IF(purpose="Remortgage",1.00,
            1.20)))</f>
        <v/>
      </c>
      <c r="L7547">
        <f>LET(
    arrears_months,'Loan Tape (S&amp;P)'!AN7547,
    IF(arrears_months=0,1.00,
    IF(arrears_months=1,3.00,
    IF(arrears_months=2,5.00,
    IF(arrears_months=3,8.00,
    IF(arrears_months=4,10.00,
    IF(arrears_months=5,12.00,15.00)))))))</f>
        <v/>
      </c>
      <c r="M7547">
        <f>LET(
    seasoning_years,DATEDIF('Loan Tape (S&amp;P)'!K7547,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47">
        <f>IF(AND('Loan Tape (S&amp;P)'!U7547="Yes",
        'Loan Tape (S&amp;P)'!T7547&lt;&gt;"Yes",
        DATEDIF('Loan Tape (S&amp;P)'!K7547, TODAY(), "M")&lt;18),
    1.10,
    1.00)</f>
        <v/>
      </c>
      <c r="O7547">
        <f>IF('Loan Tape (S&amp;P)'!T7547="Yes",
    1.35,
    1.00)</f>
        <v/>
      </c>
      <c r="P7547">
        <f>IF('Loan Tape (S&amp;P)'!S7547="Yes",
    1.15,
    1.00)</f>
        <v/>
      </c>
      <c r="Q7547">
        <f>IF('Loan Tape (S&amp;P)'!V7547="Yes",
    1.20,
    1.00)</f>
        <v/>
      </c>
      <c r="T7547">
        <f>LET(
    payment_method,'Loan Tape (S&amp;P)'!P7547,
    occupancy,'Loan Tape (S&amp;P)'!N7547,
    maturity_date,'Loan Tape (S&amp;P)'!L7547,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48">
      <c r="J7548">
        <f>LET(
    lien,'Loan Tape (S&amp;P)'!Q7548,
    IF(lien="First",1.00,
        IF(lien="Second",1.50,
            1.70)))</f>
        <v/>
      </c>
      <c r="K7548">
        <f>LET(
    purpose,'Loan Tape (S&amp;P)'!R7548,
    IF(purpose="Purchase",1.00,
        IF(purpose="Remortgage",1.00,
            1.20)))</f>
        <v/>
      </c>
      <c r="L7548">
        <f>LET(
    arrears_months,'Loan Tape (S&amp;P)'!AN7548,
    IF(arrears_months=0,1.00,
    IF(arrears_months=1,3.00,
    IF(arrears_months=2,5.00,
    IF(arrears_months=3,8.00,
    IF(arrears_months=4,10.00,
    IF(arrears_months=5,12.00,15.00)))))))</f>
        <v/>
      </c>
      <c r="M7548">
        <f>LET(
    seasoning_years,DATEDIF('Loan Tape (S&amp;P)'!K7548,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48">
        <f>IF(AND('Loan Tape (S&amp;P)'!U7548="Yes",
        'Loan Tape (S&amp;P)'!T7548&lt;&gt;"Yes",
        DATEDIF('Loan Tape (S&amp;P)'!K7548, TODAY(), "M")&lt;18),
    1.10,
    1.00)</f>
        <v/>
      </c>
      <c r="O7548">
        <f>IF('Loan Tape (S&amp;P)'!T7548="Yes",
    1.35,
    1.00)</f>
        <v/>
      </c>
      <c r="P7548">
        <f>IF('Loan Tape (S&amp;P)'!S7548="Yes",
    1.15,
    1.00)</f>
        <v/>
      </c>
      <c r="Q7548">
        <f>IF('Loan Tape (S&amp;P)'!V7548="Yes",
    1.20,
    1.00)</f>
        <v/>
      </c>
      <c r="T7548">
        <f>LET(
    payment_method,'Loan Tape (S&amp;P)'!P7548,
    occupancy,'Loan Tape (S&amp;P)'!N7548,
    maturity_date,'Loan Tape (S&amp;P)'!L7548,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49">
      <c r="J7549">
        <f>LET(
    lien,'Loan Tape (S&amp;P)'!Q7549,
    IF(lien="First",1.00,
        IF(lien="Second",1.50,
            1.70)))</f>
        <v/>
      </c>
      <c r="K7549">
        <f>LET(
    purpose,'Loan Tape (S&amp;P)'!R7549,
    IF(purpose="Purchase",1.00,
        IF(purpose="Remortgage",1.00,
            1.20)))</f>
        <v/>
      </c>
      <c r="L7549">
        <f>LET(
    arrears_months,'Loan Tape (S&amp;P)'!AN7549,
    IF(arrears_months=0,1.00,
    IF(arrears_months=1,3.00,
    IF(arrears_months=2,5.00,
    IF(arrears_months=3,8.00,
    IF(arrears_months=4,10.00,
    IF(arrears_months=5,12.00,15.00)))))))</f>
        <v/>
      </c>
      <c r="M7549">
        <f>LET(
    seasoning_years,DATEDIF('Loan Tape (S&amp;P)'!K7549,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49">
        <f>IF(AND('Loan Tape (S&amp;P)'!U7549="Yes",
        'Loan Tape (S&amp;P)'!T7549&lt;&gt;"Yes",
        DATEDIF('Loan Tape (S&amp;P)'!K7549, TODAY(), "M")&lt;18),
    1.10,
    1.00)</f>
        <v/>
      </c>
      <c r="O7549">
        <f>IF('Loan Tape (S&amp;P)'!T7549="Yes",
    1.35,
    1.00)</f>
        <v/>
      </c>
      <c r="P7549">
        <f>IF('Loan Tape (S&amp;P)'!S7549="Yes",
    1.15,
    1.00)</f>
        <v/>
      </c>
      <c r="Q7549">
        <f>IF('Loan Tape (S&amp;P)'!V7549="Yes",
    1.20,
    1.00)</f>
        <v/>
      </c>
      <c r="T7549">
        <f>LET(
    payment_method,'Loan Tape (S&amp;P)'!P7549,
    occupancy,'Loan Tape (S&amp;P)'!N7549,
    maturity_date,'Loan Tape (S&amp;P)'!L7549,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50">
      <c r="J7550">
        <f>LET(
    lien,'Loan Tape (S&amp;P)'!Q7550,
    IF(lien="First",1.00,
        IF(lien="Second",1.50,
            1.70)))</f>
        <v/>
      </c>
      <c r="K7550">
        <f>LET(
    purpose,'Loan Tape (S&amp;P)'!R7550,
    IF(purpose="Purchase",1.00,
        IF(purpose="Remortgage",1.00,
            1.20)))</f>
        <v/>
      </c>
      <c r="L7550">
        <f>LET(
    arrears_months,'Loan Tape (S&amp;P)'!AN7550,
    IF(arrears_months=0,1.00,
    IF(arrears_months=1,3.00,
    IF(arrears_months=2,5.00,
    IF(arrears_months=3,8.00,
    IF(arrears_months=4,10.00,
    IF(arrears_months=5,12.00,15.00)))))))</f>
        <v/>
      </c>
      <c r="M7550">
        <f>LET(
    seasoning_years,DATEDIF('Loan Tape (S&amp;P)'!K7550,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50">
        <f>IF(AND('Loan Tape (S&amp;P)'!U7550="Yes",
        'Loan Tape (S&amp;P)'!T7550&lt;&gt;"Yes",
        DATEDIF('Loan Tape (S&amp;P)'!K7550, TODAY(), "M")&lt;18),
    1.10,
    1.00)</f>
        <v/>
      </c>
      <c r="O7550">
        <f>IF('Loan Tape (S&amp;P)'!T7550="Yes",
    1.35,
    1.00)</f>
        <v/>
      </c>
      <c r="P7550">
        <f>IF('Loan Tape (S&amp;P)'!S7550="Yes",
    1.15,
    1.00)</f>
        <v/>
      </c>
      <c r="Q7550">
        <f>IF('Loan Tape (S&amp;P)'!V7550="Yes",
    1.20,
    1.00)</f>
        <v/>
      </c>
      <c r="T7550">
        <f>LET(
    payment_method,'Loan Tape (S&amp;P)'!P7550,
    occupancy,'Loan Tape (S&amp;P)'!N7550,
    maturity_date,'Loan Tape (S&amp;P)'!L7550,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51">
      <c r="J7551">
        <f>LET(
    lien,'Loan Tape (S&amp;P)'!Q7551,
    IF(lien="First",1.00,
        IF(lien="Second",1.50,
            1.70)))</f>
        <v/>
      </c>
      <c r="K7551">
        <f>LET(
    purpose,'Loan Tape (S&amp;P)'!R7551,
    IF(purpose="Purchase",1.00,
        IF(purpose="Remortgage",1.00,
            1.20)))</f>
        <v/>
      </c>
      <c r="L7551">
        <f>LET(
    arrears_months,'Loan Tape (S&amp;P)'!AN7551,
    IF(arrears_months=0,1.00,
    IF(arrears_months=1,3.00,
    IF(arrears_months=2,5.00,
    IF(arrears_months=3,8.00,
    IF(arrears_months=4,10.00,
    IF(arrears_months=5,12.00,15.00)))))))</f>
        <v/>
      </c>
      <c r="M7551">
        <f>LET(
    seasoning_years,DATEDIF('Loan Tape (S&amp;P)'!K7551,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51">
        <f>IF(AND('Loan Tape (S&amp;P)'!U7551="Yes",
        'Loan Tape (S&amp;P)'!T7551&lt;&gt;"Yes",
        DATEDIF('Loan Tape (S&amp;P)'!K7551, TODAY(), "M")&lt;18),
    1.10,
    1.00)</f>
        <v/>
      </c>
      <c r="O7551">
        <f>IF('Loan Tape (S&amp;P)'!T7551="Yes",
    1.35,
    1.00)</f>
        <v/>
      </c>
      <c r="P7551">
        <f>IF('Loan Tape (S&amp;P)'!S7551="Yes",
    1.15,
    1.00)</f>
        <v/>
      </c>
      <c r="Q7551">
        <f>IF('Loan Tape (S&amp;P)'!V7551="Yes",
    1.20,
    1.00)</f>
        <v/>
      </c>
      <c r="T7551">
        <f>LET(
    payment_method,'Loan Tape (S&amp;P)'!P7551,
    occupancy,'Loan Tape (S&amp;P)'!N7551,
    maturity_date,'Loan Tape (S&amp;P)'!L7551,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52">
      <c r="J7552">
        <f>LET(
    lien,'Loan Tape (S&amp;P)'!Q7552,
    IF(lien="First",1.00,
        IF(lien="Second",1.50,
            1.70)))</f>
        <v/>
      </c>
      <c r="K7552">
        <f>LET(
    purpose,'Loan Tape (S&amp;P)'!R7552,
    IF(purpose="Purchase",1.00,
        IF(purpose="Remortgage",1.00,
            1.20)))</f>
        <v/>
      </c>
      <c r="L7552">
        <f>LET(
    arrears_months,'Loan Tape (S&amp;P)'!AN7552,
    IF(arrears_months=0,1.00,
    IF(arrears_months=1,3.00,
    IF(arrears_months=2,5.00,
    IF(arrears_months=3,8.00,
    IF(arrears_months=4,10.00,
    IF(arrears_months=5,12.00,15.00)))))))</f>
        <v/>
      </c>
      <c r="M7552">
        <f>LET(
    seasoning_years,DATEDIF('Loan Tape (S&amp;P)'!K7552,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52">
        <f>IF(AND('Loan Tape (S&amp;P)'!U7552="Yes",
        'Loan Tape (S&amp;P)'!T7552&lt;&gt;"Yes",
        DATEDIF('Loan Tape (S&amp;P)'!K7552, TODAY(), "M")&lt;18),
    1.10,
    1.00)</f>
        <v/>
      </c>
      <c r="O7552">
        <f>IF('Loan Tape (S&amp;P)'!T7552="Yes",
    1.35,
    1.00)</f>
        <v/>
      </c>
      <c r="P7552">
        <f>IF('Loan Tape (S&amp;P)'!S7552="Yes",
    1.15,
    1.00)</f>
        <v/>
      </c>
      <c r="Q7552">
        <f>IF('Loan Tape (S&amp;P)'!V7552="Yes",
    1.20,
    1.00)</f>
        <v/>
      </c>
      <c r="T7552">
        <f>LET(
    payment_method,'Loan Tape (S&amp;P)'!P7552,
    occupancy,'Loan Tape (S&amp;P)'!N7552,
    maturity_date,'Loan Tape (S&amp;P)'!L7552,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53">
      <c r="J7553">
        <f>LET(
    lien,'Loan Tape (S&amp;P)'!Q7553,
    IF(lien="First",1.00,
        IF(lien="Second",1.50,
            1.70)))</f>
        <v/>
      </c>
      <c r="K7553">
        <f>LET(
    purpose,'Loan Tape (S&amp;P)'!R7553,
    IF(purpose="Purchase",1.00,
        IF(purpose="Remortgage",1.00,
            1.20)))</f>
        <v/>
      </c>
      <c r="L7553">
        <f>LET(
    arrears_months,'Loan Tape (S&amp;P)'!AN7553,
    IF(arrears_months=0,1.00,
    IF(arrears_months=1,3.00,
    IF(arrears_months=2,5.00,
    IF(arrears_months=3,8.00,
    IF(arrears_months=4,10.00,
    IF(arrears_months=5,12.00,15.00)))))))</f>
        <v/>
      </c>
      <c r="M7553">
        <f>LET(
    seasoning_years,DATEDIF('Loan Tape (S&amp;P)'!K7553,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53">
        <f>IF(AND('Loan Tape (S&amp;P)'!U7553="Yes",
        'Loan Tape (S&amp;P)'!T7553&lt;&gt;"Yes",
        DATEDIF('Loan Tape (S&amp;P)'!K7553, TODAY(), "M")&lt;18),
    1.10,
    1.00)</f>
        <v/>
      </c>
      <c r="O7553">
        <f>IF('Loan Tape (S&amp;P)'!T7553="Yes",
    1.35,
    1.00)</f>
        <v/>
      </c>
      <c r="P7553">
        <f>IF('Loan Tape (S&amp;P)'!S7553="Yes",
    1.15,
    1.00)</f>
        <v/>
      </c>
      <c r="Q7553">
        <f>IF('Loan Tape (S&amp;P)'!V7553="Yes",
    1.20,
    1.00)</f>
        <v/>
      </c>
      <c r="T7553">
        <f>LET(
    payment_method,'Loan Tape (S&amp;P)'!P7553,
    occupancy,'Loan Tape (S&amp;P)'!N7553,
    maturity_date,'Loan Tape (S&amp;P)'!L7553,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54">
      <c r="J7554">
        <f>LET(
    lien,'Loan Tape (S&amp;P)'!Q7554,
    IF(lien="First",1.00,
        IF(lien="Second",1.50,
            1.70)))</f>
        <v/>
      </c>
      <c r="K7554">
        <f>LET(
    purpose,'Loan Tape (S&amp;P)'!R7554,
    IF(purpose="Purchase",1.00,
        IF(purpose="Remortgage",1.00,
            1.20)))</f>
        <v/>
      </c>
      <c r="L7554">
        <f>LET(
    arrears_months,'Loan Tape (S&amp;P)'!AN7554,
    IF(arrears_months=0,1.00,
    IF(arrears_months=1,3.00,
    IF(arrears_months=2,5.00,
    IF(arrears_months=3,8.00,
    IF(arrears_months=4,10.00,
    IF(arrears_months=5,12.00,15.00)))))))</f>
        <v/>
      </c>
      <c r="M7554">
        <f>LET(
    seasoning_years,DATEDIF('Loan Tape (S&amp;P)'!K7554,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54">
        <f>IF(AND('Loan Tape (S&amp;P)'!U7554="Yes",
        'Loan Tape (S&amp;P)'!T7554&lt;&gt;"Yes",
        DATEDIF('Loan Tape (S&amp;P)'!K7554, TODAY(), "M")&lt;18),
    1.10,
    1.00)</f>
        <v/>
      </c>
      <c r="O7554">
        <f>IF('Loan Tape (S&amp;P)'!T7554="Yes",
    1.35,
    1.00)</f>
        <v/>
      </c>
      <c r="P7554">
        <f>IF('Loan Tape (S&amp;P)'!S7554="Yes",
    1.15,
    1.00)</f>
        <v/>
      </c>
      <c r="Q7554">
        <f>IF('Loan Tape (S&amp;P)'!V7554="Yes",
    1.20,
    1.00)</f>
        <v/>
      </c>
      <c r="T7554">
        <f>LET(
    payment_method,'Loan Tape (S&amp;P)'!P7554,
    occupancy,'Loan Tape (S&amp;P)'!N7554,
    maturity_date,'Loan Tape (S&amp;P)'!L7554,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55">
      <c r="J7555">
        <f>LET(
    lien,'Loan Tape (S&amp;P)'!Q7555,
    IF(lien="First",1.00,
        IF(lien="Second",1.50,
            1.70)))</f>
        <v/>
      </c>
      <c r="K7555">
        <f>LET(
    purpose,'Loan Tape (S&amp;P)'!R7555,
    IF(purpose="Purchase",1.00,
        IF(purpose="Remortgage",1.00,
            1.20)))</f>
        <v/>
      </c>
      <c r="L7555">
        <f>LET(
    arrears_months,'Loan Tape (S&amp;P)'!AN7555,
    IF(arrears_months=0,1.00,
    IF(arrears_months=1,3.00,
    IF(arrears_months=2,5.00,
    IF(arrears_months=3,8.00,
    IF(arrears_months=4,10.00,
    IF(arrears_months=5,12.00,15.00)))))))</f>
        <v/>
      </c>
      <c r="M7555">
        <f>LET(
    seasoning_years,DATEDIF('Loan Tape (S&amp;P)'!K7555,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55">
        <f>IF(AND('Loan Tape (S&amp;P)'!U7555="Yes",
        'Loan Tape (S&amp;P)'!T7555&lt;&gt;"Yes",
        DATEDIF('Loan Tape (S&amp;P)'!K7555, TODAY(), "M")&lt;18),
    1.10,
    1.00)</f>
        <v/>
      </c>
      <c r="O7555">
        <f>IF('Loan Tape (S&amp;P)'!T7555="Yes",
    1.35,
    1.00)</f>
        <v/>
      </c>
      <c r="P7555">
        <f>IF('Loan Tape (S&amp;P)'!S7555="Yes",
    1.15,
    1.00)</f>
        <v/>
      </c>
      <c r="Q7555">
        <f>IF('Loan Tape (S&amp;P)'!V7555="Yes",
    1.20,
    1.00)</f>
        <v/>
      </c>
      <c r="T7555">
        <f>LET(
    payment_method,'Loan Tape (S&amp;P)'!P7555,
    occupancy,'Loan Tape (S&amp;P)'!N7555,
    maturity_date,'Loan Tape (S&amp;P)'!L7555,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56">
      <c r="J7556">
        <f>LET(
    lien,'Loan Tape (S&amp;P)'!Q7556,
    IF(lien="First",1.00,
        IF(lien="Second",1.50,
            1.70)))</f>
        <v/>
      </c>
      <c r="K7556">
        <f>LET(
    purpose,'Loan Tape (S&amp;P)'!R7556,
    IF(purpose="Purchase",1.00,
        IF(purpose="Remortgage",1.00,
            1.20)))</f>
        <v/>
      </c>
      <c r="L7556">
        <f>LET(
    arrears_months,'Loan Tape (S&amp;P)'!AN7556,
    IF(arrears_months=0,1.00,
    IF(arrears_months=1,3.00,
    IF(arrears_months=2,5.00,
    IF(arrears_months=3,8.00,
    IF(arrears_months=4,10.00,
    IF(arrears_months=5,12.00,15.00)))))))</f>
        <v/>
      </c>
      <c r="M7556">
        <f>LET(
    seasoning_years,DATEDIF('Loan Tape (S&amp;P)'!K7556,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56">
        <f>IF(AND('Loan Tape (S&amp;P)'!U7556="Yes",
        'Loan Tape (S&amp;P)'!T7556&lt;&gt;"Yes",
        DATEDIF('Loan Tape (S&amp;P)'!K7556, TODAY(), "M")&lt;18),
    1.10,
    1.00)</f>
        <v/>
      </c>
      <c r="O7556">
        <f>IF('Loan Tape (S&amp;P)'!T7556="Yes",
    1.35,
    1.00)</f>
        <v/>
      </c>
      <c r="P7556">
        <f>IF('Loan Tape (S&amp;P)'!S7556="Yes",
    1.15,
    1.00)</f>
        <v/>
      </c>
      <c r="Q7556">
        <f>IF('Loan Tape (S&amp;P)'!V7556="Yes",
    1.20,
    1.00)</f>
        <v/>
      </c>
      <c r="T7556">
        <f>LET(
    payment_method,'Loan Tape (S&amp;P)'!P7556,
    occupancy,'Loan Tape (S&amp;P)'!N7556,
    maturity_date,'Loan Tape (S&amp;P)'!L7556,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57">
      <c r="J7557">
        <f>LET(
    lien,'Loan Tape (S&amp;P)'!Q7557,
    IF(lien="First",1.00,
        IF(lien="Second",1.50,
            1.70)))</f>
        <v/>
      </c>
      <c r="K7557">
        <f>LET(
    purpose,'Loan Tape (S&amp;P)'!R7557,
    IF(purpose="Purchase",1.00,
        IF(purpose="Remortgage",1.00,
            1.20)))</f>
        <v/>
      </c>
      <c r="L7557">
        <f>LET(
    arrears_months,'Loan Tape (S&amp;P)'!AN7557,
    IF(arrears_months=0,1.00,
    IF(arrears_months=1,3.00,
    IF(arrears_months=2,5.00,
    IF(arrears_months=3,8.00,
    IF(arrears_months=4,10.00,
    IF(arrears_months=5,12.00,15.00)))))))</f>
        <v/>
      </c>
      <c r="M7557">
        <f>LET(
    seasoning_years,DATEDIF('Loan Tape (S&amp;P)'!K7557,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57">
        <f>IF(AND('Loan Tape (S&amp;P)'!U7557="Yes",
        'Loan Tape (S&amp;P)'!T7557&lt;&gt;"Yes",
        DATEDIF('Loan Tape (S&amp;P)'!K7557, TODAY(), "M")&lt;18),
    1.10,
    1.00)</f>
        <v/>
      </c>
      <c r="O7557">
        <f>IF('Loan Tape (S&amp;P)'!T7557="Yes",
    1.35,
    1.00)</f>
        <v/>
      </c>
      <c r="P7557">
        <f>IF('Loan Tape (S&amp;P)'!S7557="Yes",
    1.15,
    1.00)</f>
        <v/>
      </c>
      <c r="Q7557">
        <f>IF('Loan Tape (S&amp;P)'!V7557="Yes",
    1.20,
    1.00)</f>
        <v/>
      </c>
      <c r="T7557">
        <f>LET(
    payment_method,'Loan Tape (S&amp;P)'!P7557,
    occupancy,'Loan Tape (S&amp;P)'!N7557,
    maturity_date,'Loan Tape (S&amp;P)'!L7557,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58">
      <c r="J7558">
        <f>LET(
    lien,'Loan Tape (S&amp;P)'!Q7558,
    IF(lien="First",1.00,
        IF(lien="Second",1.50,
            1.70)))</f>
        <v/>
      </c>
      <c r="K7558">
        <f>LET(
    purpose,'Loan Tape (S&amp;P)'!R7558,
    IF(purpose="Purchase",1.00,
        IF(purpose="Remortgage",1.00,
            1.20)))</f>
        <v/>
      </c>
      <c r="L7558">
        <f>LET(
    arrears_months,'Loan Tape (S&amp;P)'!AN7558,
    IF(arrears_months=0,1.00,
    IF(arrears_months=1,3.00,
    IF(arrears_months=2,5.00,
    IF(arrears_months=3,8.00,
    IF(arrears_months=4,10.00,
    IF(arrears_months=5,12.00,15.00)))))))</f>
        <v/>
      </c>
      <c r="M7558">
        <f>LET(
    seasoning_years,DATEDIF('Loan Tape (S&amp;P)'!K7558,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58">
        <f>IF(AND('Loan Tape (S&amp;P)'!U7558="Yes",
        'Loan Tape (S&amp;P)'!T7558&lt;&gt;"Yes",
        DATEDIF('Loan Tape (S&amp;P)'!K7558, TODAY(), "M")&lt;18),
    1.10,
    1.00)</f>
        <v/>
      </c>
      <c r="O7558">
        <f>IF('Loan Tape (S&amp;P)'!T7558="Yes",
    1.35,
    1.00)</f>
        <v/>
      </c>
      <c r="P7558">
        <f>IF('Loan Tape (S&amp;P)'!S7558="Yes",
    1.15,
    1.00)</f>
        <v/>
      </c>
      <c r="Q7558">
        <f>IF('Loan Tape (S&amp;P)'!V7558="Yes",
    1.20,
    1.00)</f>
        <v/>
      </c>
      <c r="T7558">
        <f>LET(
    payment_method,'Loan Tape (S&amp;P)'!P7558,
    occupancy,'Loan Tape (S&amp;P)'!N7558,
    maturity_date,'Loan Tape (S&amp;P)'!L7558,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59">
      <c r="J7559">
        <f>LET(
    lien,'Loan Tape (S&amp;P)'!Q7559,
    IF(lien="First",1.00,
        IF(lien="Second",1.50,
            1.70)))</f>
        <v/>
      </c>
      <c r="K7559">
        <f>LET(
    purpose,'Loan Tape (S&amp;P)'!R7559,
    IF(purpose="Purchase",1.00,
        IF(purpose="Remortgage",1.00,
            1.20)))</f>
        <v/>
      </c>
      <c r="L7559">
        <f>LET(
    arrears_months,'Loan Tape (S&amp;P)'!AN7559,
    IF(arrears_months=0,1.00,
    IF(arrears_months=1,3.00,
    IF(arrears_months=2,5.00,
    IF(arrears_months=3,8.00,
    IF(arrears_months=4,10.00,
    IF(arrears_months=5,12.00,15.00)))))))</f>
        <v/>
      </c>
      <c r="M7559">
        <f>LET(
    seasoning_years,DATEDIF('Loan Tape (S&amp;P)'!K7559,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59">
        <f>IF(AND('Loan Tape (S&amp;P)'!U7559="Yes",
        'Loan Tape (S&amp;P)'!T7559&lt;&gt;"Yes",
        DATEDIF('Loan Tape (S&amp;P)'!K7559, TODAY(), "M")&lt;18),
    1.10,
    1.00)</f>
        <v/>
      </c>
      <c r="O7559">
        <f>IF('Loan Tape (S&amp;P)'!T7559="Yes",
    1.35,
    1.00)</f>
        <v/>
      </c>
      <c r="P7559">
        <f>IF('Loan Tape (S&amp;P)'!S7559="Yes",
    1.15,
    1.00)</f>
        <v/>
      </c>
      <c r="Q7559">
        <f>IF('Loan Tape (S&amp;P)'!V7559="Yes",
    1.20,
    1.00)</f>
        <v/>
      </c>
      <c r="T7559">
        <f>LET(
    payment_method,'Loan Tape (S&amp;P)'!P7559,
    occupancy,'Loan Tape (S&amp;P)'!N7559,
    maturity_date,'Loan Tape (S&amp;P)'!L7559,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60">
      <c r="J7560">
        <f>LET(
    lien,'Loan Tape (S&amp;P)'!Q7560,
    IF(lien="First",1.00,
        IF(lien="Second",1.50,
            1.70)))</f>
        <v/>
      </c>
      <c r="K7560">
        <f>LET(
    purpose,'Loan Tape (S&amp;P)'!R7560,
    IF(purpose="Purchase",1.00,
        IF(purpose="Remortgage",1.00,
            1.20)))</f>
        <v/>
      </c>
      <c r="L7560">
        <f>LET(
    arrears_months,'Loan Tape (S&amp;P)'!AN7560,
    IF(arrears_months=0,1.00,
    IF(arrears_months=1,3.00,
    IF(arrears_months=2,5.00,
    IF(arrears_months=3,8.00,
    IF(arrears_months=4,10.00,
    IF(arrears_months=5,12.00,15.00)))))))</f>
        <v/>
      </c>
      <c r="M7560">
        <f>LET(
    seasoning_years,DATEDIF('Loan Tape (S&amp;P)'!K7560,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60">
        <f>IF(AND('Loan Tape (S&amp;P)'!U7560="Yes",
        'Loan Tape (S&amp;P)'!T7560&lt;&gt;"Yes",
        DATEDIF('Loan Tape (S&amp;P)'!K7560, TODAY(), "M")&lt;18),
    1.10,
    1.00)</f>
        <v/>
      </c>
      <c r="O7560">
        <f>IF('Loan Tape (S&amp;P)'!T7560="Yes",
    1.35,
    1.00)</f>
        <v/>
      </c>
      <c r="P7560">
        <f>IF('Loan Tape (S&amp;P)'!S7560="Yes",
    1.15,
    1.00)</f>
        <v/>
      </c>
      <c r="Q7560">
        <f>IF('Loan Tape (S&amp;P)'!V7560="Yes",
    1.20,
    1.00)</f>
        <v/>
      </c>
      <c r="T7560">
        <f>LET(
    payment_method,'Loan Tape (S&amp;P)'!P7560,
    occupancy,'Loan Tape (S&amp;P)'!N7560,
    maturity_date,'Loan Tape (S&amp;P)'!L7560,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61">
      <c r="J7561">
        <f>LET(
    lien,'Loan Tape (S&amp;P)'!Q7561,
    IF(lien="First",1.00,
        IF(lien="Second",1.50,
            1.70)))</f>
        <v/>
      </c>
      <c r="K7561">
        <f>LET(
    purpose,'Loan Tape (S&amp;P)'!R7561,
    IF(purpose="Purchase",1.00,
        IF(purpose="Remortgage",1.00,
            1.20)))</f>
        <v/>
      </c>
      <c r="L7561">
        <f>LET(
    arrears_months,'Loan Tape (S&amp;P)'!AN7561,
    IF(arrears_months=0,1.00,
    IF(arrears_months=1,3.00,
    IF(arrears_months=2,5.00,
    IF(arrears_months=3,8.00,
    IF(arrears_months=4,10.00,
    IF(arrears_months=5,12.00,15.00)))))))</f>
        <v/>
      </c>
      <c r="M7561">
        <f>LET(
    seasoning_years,DATEDIF('Loan Tape (S&amp;P)'!K7561,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61">
        <f>IF(AND('Loan Tape (S&amp;P)'!U7561="Yes",
        'Loan Tape (S&amp;P)'!T7561&lt;&gt;"Yes",
        DATEDIF('Loan Tape (S&amp;P)'!K7561, TODAY(), "M")&lt;18),
    1.10,
    1.00)</f>
        <v/>
      </c>
      <c r="O7561">
        <f>IF('Loan Tape (S&amp;P)'!T7561="Yes",
    1.35,
    1.00)</f>
        <v/>
      </c>
      <c r="P7561">
        <f>IF('Loan Tape (S&amp;P)'!S7561="Yes",
    1.15,
    1.00)</f>
        <v/>
      </c>
      <c r="Q7561">
        <f>IF('Loan Tape (S&amp;P)'!V7561="Yes",
    1.20,
    1.00)</f>
        <v/>
      </c>
      <c r="T7561">
        <f>LET(
    payment_method,'Loan Tape (S&amp;P)'!P7561,
    occupancy,'Loan Tape (S&amp;P)'!N7561,
    maturity_date,'Loan Tape (S&amp;P)'!L7561,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62">
      <c r="J7562">
        <f>LET(
    lien,'Loan Tape (S&amp;P)'!Q7562,
    IF(lien="First",1.00,
        IF(lien="Second",1.50,
            1.70)))</f>
        <v/>
      </c>
      <c r="K7562">
        <f>LET(
    purpose,'Loan Tape (S&amp;P)'!R7562,
    IF(purpose="Purchase",1.00,
        IF(purpose="Remortgage",1.00,
            1.20)))</f>
        <v/>
      </c>
      <c r="L7562">
        <f>LET(
    arrears_months,'Loan Tape (S&amp;P)'!AN7562,
    IF(arrears_months=0,1.00,
    IF(arrears_months=1,3.00,
    IF(arrears_months=2,5.00,
    IF(arrears_months=3,8.00,
    IF(arrears_months=4,10.00,
    IF(arrears_months=5,12.00,15.00)))))))</f>
        <v/>
      </c>
      <c r="M7562">
        <f>LET(
    seasoning_years,DATEDIF('Loan Tape (S&amp;P)'!K7562,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62">
        <f>IF(AND('Loan Tape (S&amp;P)'!U7562="Yes",
        'Loan Tape (S&amp;P)'!T7562&lt;&gt;"Yes",
        DATEDIF('Loan Tape (S&amp;P)'!K7562, TODAY(), "M")&lt;18),
    1.10,
    1.00)</f>
        <v/>
      </c>
      <c r="O7562">
        <f>IF('Loan Tape (S&amp;P)'!T7562="Yes",
    1.35,
    1.00)</f>
        <v/>
      </c>
      <c r="P7562">
        <f>IF('Loan Tape (S&amp;P)'!S7562="Yes",
    1.15,
    1.00)</f>
        <v/>
      </c>
      <c r="Q7562">
        <f>IF('Loan Tape (S&amp;P)'!V7562="Yes",
    1.20,
    1.00)</f>
        <v/>
      </c>
      <c r="T7562">
        <f>LET(
    payment_method,'Loan Tape (S&amp;P)'!P7562,
    occupancy,'Loan Tape (S&amp;P)'!N7562,
    maturity_date,'Loan Tape (S&amp;P)'!L7562,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63">
      <c r="J7563">
        <f>LET(
    lien,'Loan Tape (S&amp;P)'!Q7563,
    IF(lien="First",1.00,
        IF(lien="Second",1.50,
            1.70)))</f>
        <v/>
      </c>
      <c r="K7563">
        <f>LET(
    purpose,'Loan Tape (S&amp;P)'!R7563,
    IF(purpose="Purchase",1.00,
        IF(purpose="Remortgage",1.00,
            1.20)))</f>
        <v/>
      </c>
      <c r="L7563">
        <f>LET(
    arrears_months,'Loan Tape (S&amp;P)'!AN7563,
    IF(arrears_months=0,1.00,
    IF(arrears_months=1,3.00,
    IF(arrears_months=2,5.00,
    IF(arrears_months=3,8.00,
    IF(arrears_months=4,10.00,
    IF(arrears_months=5,12.00,15.00)))))))</f>
        <v/>
      </c>
      <c r="M7563">
        <f>LET(
    seasoning_years,DATEDIF('Loan Tape (S&amp;P)'!K7563,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63">
        <f>IF(AND('Loan Tape (S&amp;P)'!U7563="Yes",
        'Loan Tape (S&amp;P)'!T7563&lt;&gt;"Yes",
        DATEDIF('Loan Tape (S&amp;P)'!K7563, TODAY(), "M")&lt;18),
    1.10,
    1.00)</f>
        <v/>
      </c>
      <c r="O7563">
        <f>IF('Loan Tape (S&amp;P)'!T7563="Yes",
    1.35,
    1.00)</f>
        <v/>
      </c>
      <c r="P7563">
        <f>IF('Loan Tape (S&amp;P)'!S7563="Yes",
    1.15,
    1.00)</f>
        <v/>
      </c>
      <c r="Q7563">
        <f>IF('Loan Tape (S&amp;P)'!V7563="Yes",
    1.20,
    1.00)</f>
        <v/>
      </c>
      <c r="T7563">
        <f>LET(
    payment_method,'Loan Tape (S&amp;P)'!P7563,
    occupancy,'Loan Tape (S&amp;P)'!N7563,
    maturity_date,'Loan Tape (S&amp;P)'!L7563,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64">
      <c r="J7564">
        <f>LET(
    lien,'Loan Tape (S&amp;P)'!Q7564,
    IF(lien="First",1.00,
        IF(lien="Second",1.50,
            1.70)))</f>
        <v/>
      </c>
      <c r="K7564">
        <f>LET(
    purpose,'Loan Tape (S&amp;P)'!R7564,
    IF(purpose="Purchase",1.00,
        IF(purpose="Remortgage",1.00,
            1.20)))</f>
        <v/>
      </c>
      <c r="L7564">
        <f>LET(
    arrears_months,'Loan Tape (S&amp;P)'!AN7564,
    IF(arrears_months=0,1.00,
    IF(arrears_months=1,3.00,
    IF(arrears_months=2,5.00,
    IF(arrears_months=3,8.00,
    IF(arrears_months=4,10.00,
    IF(arrears_months=5,12.00,15.00)))))))</f>
        <v/>
      </c>
      <c r="M7564">
        <f>LET(
    seasoning_years,DATEDIF('Loan Tape (S&amp;P)'!K7564,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64">
        <f>IF(AND('Loan Tape (S&amp;P)'!U7564="Yes",
        'Loan Tape (S&amp;P)'!T7564&lt;&gt;"Yes",
        DATEDIF('Loan Tape (S&amp;P)'!K7564, TODAY(), "M")&lt;18),
    1.10,
    1.00)</f>
        <v/>
      </c>
      <c r="O7564">
        <f>IF('Loan Tape (S&amp;P)'!T7564="Yes",
    1.35,
    1.00)</f>
        <v/>
      </c>
      <c r="P7564">
        <f>IF('Loan Tape (S&amp;P)'!S7564="Yes",
    1.15,
    1.00)</f>
        <v/>
      </c>
      <c r="Q7564">
        <f>IF('Loan Tape (S&amp;P)'!V7564="Yes",
    1.20,
    1.00)</f>
        <v/>
      </c>
      <c r="T7564">
        <f>LET(
    payment_method,'Loan Tape (S&amp;P)'!P7564,
    occupancy,'Loan Tape (S&amp;P)'!N7564,
    maturity_date,'Loan Tape (S&amp;P)'!L7564,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65">
      <c r="J7565">
        <f>LET(
    lien,'Loan Tape (S&amp;P)'!Q7565,
    IF(lien="First",1.00,
        IF(lien="Second",1.50,
            1.70)))</f>
        <v/>
      </c>
      <c r="K7565">
        <f>LET(
    purpose,'Loan Tape (S&amp;P)'!R7565,
    IF(purpose="Purchase",1.00,
        IF(purpose="Remortgage",1.00,
            1.20)))</f>
        <v/>
      </c>
      <c r="L7565">
        <f>LET(
    arrears_months,'Loan Tape (S&amp;P)'!AN7565,
    IF(arrears_months=0,1.00,
    IF(arrears_months=1,3.00,
    IF(arrears_months=2,5.00,
    IF(arrears_months=3,8.00,
    IF(arrears_months=4,10.00,
    IF(arrears_months=5,12.00,15.00)))))))</f>
        <v/>
      </c>
      <c r="M7565">
        <f>LET(
    seasoning_years,DATEDIF('Loan Tape (S&amp;P)'!K7565,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65">
        <f>IF(AND('Loan Tape (S&amp;P)'!U7565="Yes",
        'Loan Tape (S&amp;P)'!T7565&lt;&gt;"Yes",
        DATEDIF('Loan Tape (S&amp;P)'!K7565, TODAY(), "M")&lt;18),
    1.10,
    1.00)</f>
        <v/>
      </c>
      <c r="O7565">
        <f>IF('Loan Tape (S&amp;P)'!T7565="Yes",
    1.35,
    1.00)</f>
        <v/>
      </c>
      <c r="P7565">
        <f>IF('Loan Tape (S&amp;P)'!S7565="Yes",
    1.15,
    1.00)</f>
        <v/>
      </c>
      <c r="Q7565">
        <f>IF('Loan Tape (S&amp;P)'!V7565="Yes",
    1.20,
    1.00)</f>
        <v/>
      </c>
      <c r="T7565">
        <f>LET(
    payment_method,'Loan Tape (S&amp;P)'!P7565,
    occupancy,'Loan Tape (S&amp;P)'!N7565,
    maturity_date,'Loan Tape (S&amp;P)'!L7565,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66">
      <c r="J7566">
        <f>LET(
    lien,'Loan Tape (S&amp;P)'!Q7566,
    IF(lien="First",1.00,
        IF(lien="Second",1.50,
            1.70)))</f>
        <v/>
      </c>
      <c r="K7566">
        <f>LET(
    purpose,'Loan Tape (S&amp;P)'!R7566,
    IF(purpose="Purchase",1.00,
        IF(purpose="Remortgage",1.00,
            1.20)))</f>
        <v/>
      </c>
      <c r="L7566">
        <f>LET(
    arrears_months,'Loan Tape (S&amp;P)'!AN7566,
    IF(arrears_months=0,1.00,
    IF(arrears_months=1,3.00,
    IF(arrears_months=2,5.00,
    IF(arrears_months=3,8.00,
    IF(arrears_months=4,10.00,
    IF(arrears_months=5,12.00,15.00)))))))</f>
        <v/>
      </c>
      <c r="M7566">
        <f>LET(
    seasoning_years,DATEDIF('Loan Tape (S&amp;P)'!K7566,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66">
        <f>IF(AND('Loan Tape (S&amp;P)'!U7566="Yes",
        'Loan Tape (S&amp;P)'!T7566&lt;&gt;"Yes",
        DATEDIF('Loan Tape (S&amp;P)'!K7566, TODAY(), "M")&lt;18),
    1.10,
    1.00)</f>
        <v/>
      </c>
      <c r="O7566">
        <f>IF('Loan Tape (S&amp;P)'!T7566="Yes",
    1.35,
    1.00)</f>
        <v/>
      </c>
      <c r="P7566">
        <f>IF('Loan Tape (S&amp;P)'!S7566="Yes",
    1.15,
    1.00)</f>
        <v/>
      </c>
      <c r="Q7566">
        <f>IF('Loan Tape (S&amp;P)'!V7566="Yes",
    1.20,
    1.00)</f>
        <v/>
      </c>
      <c r="T7566">
        <f>LET(
    payment_method,'Loan Tape (S&amp;P)'!P7566,
    occupancy,'Loan Tape (S&amp;P)'!N7566,
    maturity_date,'Loan Tape (S&amp;P)'!L7566,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67">
      <c r="J7567">
        <f>LET(
    lien,'Loan Tape (S&amp;P)'!Q7567,
    IF(lien="First",1.00,
        IF(lien="Second",1.50,
            1.70)))</f>
        <v/>
      </c>
      <c r="K7567">
        <f>LET(
    purpose,'Loan Tape (S&amp;P)'!R7567,
    IF(purpose="Purchase",1.00,
        IF(purpose="Remortgage",1.00,
            1.20)))</f>
        <v/>
      </c>
      <c r="L7567">
        <f>LET(
    arrears_months,'Loan Tape (S&amp;P)'!AN7567,
    IF(arrears_months=0,1.00,
    IF(arrears_months=1,3.00,
    IF(arrears_months=2,5.00,
    IF(arrears_months=3,8.00,
    IF(arrears_months=4,10.00,
    IF(arrears_months=5,12.00,15.00)))))))</f>
        <v/>
      </c>
      <c r="M7567">
        <f>LET(
    seasoning_years,DATEDIF('Loan Tape (S&amp;P)'!K7567,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67">
        <f>IF(AND('Loan Tape (S&amp;P)'!U7567="Yes",
        'Loan Tape (S&amp;P)'!T7567&lt;&gt;"Yes",
        DATEDIF('Loan Tape (S&amp;P)'!K7567, TODAY(), "M")&lt;18),
    1.10,
    1.00)</f>
        <v/>
      </c>
      <c r="O7567">
        <f>IF('Loan Tape (S&amp;P)'!T7567="Yes",
    1.35,
    1.00)</f>
        <v/>
      </c>
      <c r="P7567">
        <f>IF('Loan Tape (S&amp;P)'!S7567="Yes",
    1.15,
    1.00)</f>
        <v/>
      </c>
      <c r="Q7567">
        <f>IF('Loan Tape (S&amp;P)'!V7567="Yes",
    1.20,
    1.00)</f>
        <v/>
      </c>
      <c r="T7567">
        <f>LET(
    payment_method,'Loan Tape (S&amp;P)'!P7567,
    occupancy,'Loan Tape (S&amp;P)'!N7567,
    maturity_date,'Loan Tape (S&amp;P)'!L7567,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68">
      <c r="J7568">
        <f>LET(
    lien,'Loan Tape (S&amp;P)'!Q7568,
    IF(lien="First",1.00,
        IF(lien="Second",1.50,
            1.70)))</f>
        <v/>
      </c>
      <c r="K7568">
        <f>LET(
    purpose,'Loan Tape (S&amp;P)'!R7568,
    IF(purpose="Purchase",1.00,
        IF(purpose="Remortgage",1.00,
            1.20)))</f>
        <v/>
      </c>
      <c r="L7568">
        <f>LET(
    arrears_months,'Loan Tape (S&amp;P)'!AN7568,
    IF(arrears_months=0,1.00,
    IF(arrears_months=1,3.00,
    IF(arrears_months=2,5.00,
    IF(arrears_months=3,8.00,
    IF(arrears_months=4,10.00,
    IF(arrears_months=5,12.00,15.00)))))))</f>
        <v/>
      </c>
      <c r="M7568">
        <f>LET(
    seasoning_years,DATEDIF('Loan Tape (S&amp;P)'!K7568,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68">
        <f>IF(AND('Loan Tape (S&amp;P)'!U7568="Yes",
        'Loan Tape (S&amp;P)'!T7568&lt;&gt;"Yes",
        DATEDIF('Loan Tape (S&amp;P)'!K7568, TODAY(), "M")&lt;18),
    1.10,
    1.00)</f>
        <v/>
      </c>
      <c r="O7568">
        <f>IF('Loan Tape (S&amp;P)'!T7568="Yes",
    1.35,
    1.00)</f>
        <v/>
      </c>
      <c r="P7568">
        <f>IF('Loan Tape (S&amp;P)'!S7568="Yes",
    1.15,
    1.00)</f>
        <v/>
      </c>
      <c r="Q7568">
        <f>IF('Loan Tape (S&amp;P)'!V7568="Yes",
    1.20,
    1.00)</f>
        <v/>
      </c>
      <c r="T7568">
        <f>LET(
    payment_method,'Loan Tape (S&amp;P)'!P7568,
    occupancy,'Loan Tape (S&amp;P)'!N7568,
    maturity_date,'Loan Tape (S&amp;P)'!L7568,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69">
      <c r="J7569">
        <f>LET(
    lien,'Loan Tape (S&amp;P)'!Q7569,
    IF(lien="First",1.00,
        IF(lien="Second",1.50,
            1.70)))</f>
        <v/>
      </c>
      <c r="K7569">
        <f>LET(
    purpose,'Loan Tape (S&amp;P)'!R7569,
    IF(purpose="Purchase",1.00,
        IF(purpose="Remortgage",1.00,
            1.20)))</f>
        <v/>
      </c>
      <c r="L7569">
        <f>LET(
    arrears_months,'Loan Tape (S&amp;P)'!AN7569,
    IF(arrears_months=0,1.00,
    IF(arrears_months=1,3.00,
    IF(arrears_months=2,5.00,
    IF(arrears_months=3,8.00,
    IF(arrears_months=4,10.00,
    IF(arrears_months=5,12.00,15.00)))))))</f>
        <v/>
      </c>
      <c r="M7569">
        <f>LET(
    seasoning_years,DATEDIF('Loan Tape (S&amp;P)'!K7569,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69">
        <f>IF(AND('Loan Tape (S&amp;P)'!U7569="Yes",
        'Loan Tape (S&amp;P)'!T7569&lt;&gt;"Yes",
        DATEDIF('Loan Tape (S&amp;P)'!K7569, TODAY(), "M")&lt;18),
    1.10,
    1.00)</f>
        <v/>
      </c>
      <c r="O7569">
        <f>IF('Loan Tape (S&amp;P)'!T7569="Yes",
    1.35,
    1.00)</f>
        <v/>
      </c>
      <c r="P7569">
        <f>IF('Loan Tape (S&amp;P)'!S7569="Yes",
    1.15,
    1.00)</f>
        <v/>
      </c>
      <c r="Q7569">
        <f>IF('Loan Tape (S&amp;P)'!V7569="Yes",
    1.20,
    1.00)</f>
        <v/>
      </c>
      <c r="T7569">
        <f>LET(
    payment_method,'Loan Tape (S&amp;P)'!P7569,
    occupancy,'Loan Tape (S&amp;P)'!N7569,
    maturity_date,'Loan Tape (S&amp;P)'!L7569,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70">
      <c r="J7570">
        <f>LET(
    lien,'Loan Tape (S&amp;P)'!Q7570,
    IF(lien="First",1.00,
        IF(lien="Second",1.50,
            1.70)))</f>
        <v/>
      </c>
      <c r="K7570">
        <f>LET(
    purpose,'Loan Tape (S&amp;P)'!R7570,
    IF(purpose="Purchase",1.00,
        IF(purpose="Remortgage",1.00,
            1.20)))</f>
        <v/>
      </c>
      <c r="L7570">
        <f>LET(
    arrears_months,'Loan Tape (S&amp;P)'!AN7570,
    IF(arrears_months=0,1.00,
    IF(arrears_months=1,3.00,
    IF(arrears_months=2,5.00,
    IF(arrears_months=3,8.00,
    IF(arrears_months=4,10.00,
    IF(arrears_months=5,12.00,15.00)))))))</f>
        <v/>
      </c>
      <c r="M7570">
        <f>LET(
    seasoning_years,DATEDIF('Loan Tape (S&amp;P)'!K7570,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70">
        <f>IF(AND('Loan Tape (S&amp;P)'!U7570="Yes",
        'Loan Tape (S&amp;P)'!T7570&lt;&gt;"Yes",
        DATEDIF('Loan Tape (S&amp;P)'!K7570, TODAY(), "M")&lt;18),
    1.10,
    1.00)</f>
        <v/>
      </c>
      <c r="O7570">
        <f>IF('Loan Tape (S&amp;P)'!T7570="Yes",
    1.35,
    1.00)</f>
        <v/>
      </c>
      <c r="P7570">
        <f>IF('Loan Tape (S&amp;P)'!S7570="Yes",
    1.15,
    1.00)</f>
        <v/>
      </c>
      <c r="Q7570">
        <f>IF('Loan Tape (S&amp;P)'!V7570="Yes",
    1.20,
    1.00)</f>
        <v/>
      </c>
      <c r="T7570">
        <f>LET(
    payment_method,'Loan Tape (S&amp;P)'!P7570,
    occupancy,'Loan Tape (S&amp;P)'!N7570,
    maturity_date,'Loan Tape (S&amp;P)'!L7570,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71">
      <c r="J7571">
        <f>LET(
    lien,'Loan Tape (S&amp;P)'!Q7571,
    IF(lien="First",1.00,
        IF(lien="Second",1.50,
            1.70)))</f>
        <v/>
      </c>
      <c r="K7571">
        <f>LET(
    purpose,'Loan Tape (S&amp;P)'!R7571,
    IF(purpose="Purchase",1.00,
        IF(purpose="Remortgage",1.00,
            1.20)))</f>
        <v/>
      </c>
      <c r="L7571">
        <f>LET(
    arrears_months,'Loan Tape (S&amp;P)'!AN7571,
    IF(arrears_months=0,1.00,
    IF(arrears_months=1,3.00,
    IF(arrears_months=2,5.00,
    IF(arrears_months=3,8.00,
    IF(arrears_months=4,10.00,
    IF(arrears_months=5,12.00,15.00)))))))</f>
        <v/>
      </c>
      <c r="M7571">
        <f>LET(
    seasoning_years,DATEDIF('Loan Tape (S&amp;P)'!K7571,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71">
        <f>IF(AND('Loan Tape (S&amp;P)'!U7571="Yes",
        'Loan Tape (S&amp;P)'!T7571&lt;&gt;"Yes",
        DATEDIF('Loan Tape (S&amp;P)'!K7571, TODAY(), "M")&lt;18),
    1.10,
    1.00)</f>
        <v/>
      </c>
      <c r="O7571">
        <f>IF('Loan Tape (S&amp;P)'!T7571="Yes",
    1.35,
    1.00)</f>
        <v/>
      </c>
      <c r="P7571">
        <f>IF('Loan Tape (S&amp;P)'!S7571="Yes",
    1.15,
    1.00)</f>
        <v/>
      </c>
      <c r="Q7571">
        <f>IF('Loan Tape (S&amp;P)'!V7571="Yes",
    1.20,
    1.00)</f>
        <v/>
      </c>
      <c r="T7571">
        <f>LET(
    payment_method,'Loan Tape (S&amp;P)'!P7571,
    occupancy,'Loan Tape (S&amp;P)'!N7571,
    maturity_date,'Loan Tape (S&amp;P)'!L7571,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72">
      <c r="J7572">
        <f>LET(
    lien,'Loan Tape (S&amp;P)'!Q7572,
    IF(lien="First",1.00,
        IF(lien="Second",1.50,
            1.70)))</f>
        <v/>
      </c>
      <c r="K7572">
        <f>LET(
    purpose,'Loan Tape (S&amp;P)'!R7572,
    IF(purpose="Purchase",1.00,
        IF(purpose="Remortgage",1.00,
            1.20)))</f>
        <v/>
      </c>
      <c r="L7572">
        <f>LET(
    arrears_months,'Loan Tape (S&amp;P)'!AN7572,
    IF(arrears_months=0,1.00,
    IF(arrears_months=1,3.00,
    IF(arrears_months=2,5.00,
    IF(arrears_months=3,8.00,
    IF(arrears_months=4,10.00,
    IF(arrears_months=5,12.00,15.00)))))))</f>
        <v/>
      </c>
      <c r="M7572">
        <f>LET(
    seasoning_years,DATEDIF('Loan Tape (S&amp;P)'!K7572,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72">
        <f>IF(AND('Loan Tape (S&amp;P)'!U7572="Yes",
        'Loan Tape (S&amp;P)'!T7572&lt;&gt;"Yes",
        DATEDIF('Loan Tape (S&amp;P)'!K7572, TODAY(), "M")&lt;18),
    1.10,
    1.00)</f>
        <v/>
      </c>
      <c r="O7572">
        <f>IF('Loan Tape (S&amp;P)'!T7572="Yes",
    1.35,
    1.00)</f>
        <v/>
      </c>
      <c r="P7572">
        <f>IF('Loan Tape (S&amp;P)'!S7572="Yes",
    1.15,
    1.00)</f>
        <v/>
      </c>
      <c r="Q7572">
        <f>IF('Loan Tape (S&amp;P)'!V7572="Yes",
    1.20,
    1.00)</f>
        <v/>
      </c>
      <c r="T7572">
        <f>LET(
    payment_method,'Loan Tape (S&amp;P)'!P7572,
    occupancy,'Loan Tape (S&amp;P)'!N7572,
    maturity_date,'Loan Tape (S&amp;P)'!L7572,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73">
      <c r="J7573">
        <f>LET(
    lien,'Loan Tape (S&amp;P)'!Q7573,
    IF(lien="First",1.00,
        IF(lien="Second",1.50,
            1.70)))</f>
        <v/>
      </c>
      <c r="K7573">
        <f>LET(
    purpose,'Loan Tape (S&amp;P)'!R7573,
    IF(purpose="Purchase",1.00,
        IF(purpose="Remortgage",1.00,
            1.20)))</f>
        <v/>
      </c>
      <c r="L7573">
        <f>LET(
    arrears_months,'Loan Tape (S&amp;P)'!AN7573,
    IF(arrears_months=0,1.00,
    IF(arrears_months=1,3.00,
    IF(arrears_months=2,5.00,
    IF(arrears_months=3,8.00,
    IF(arrears_months=4,10.00,
    IF(arrears_months=5,12.00,15.00)))))))</f>
        <v/>
      </c>
      <c r="M7573">
        <f>LET(
    seasoning_years,DATEDIF('Loan Tape (S&amp;P)'!K7573,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73">
        <f>IF(AND('Loan Tape (S&amp;P)'!U7573="Yes",
        'Loan Tape (S&amp;P)'!T7573&lt;&gt;"Yes",
        DATEDIF('Loan Tape (S&amp;P)'!K7573, TODAY(), "M")&lt;18),
    1.10,
    1.00)</f>
        <v/>
      </c>
      <c r="O7573">
        <f>IF('Loan Tape (S&amp;P)'!T7573="Yes",
    1.35,
    1.00)</f>
        <v/>
      </c>
      <c r="P7573">
        <f>IF('Loan Tape (S&amp;P)'!S7573="Yes",
    1.15,
    1.00)</f>
        <v/>
      </c>
      <c r="Q7573">
        <f>IF('Loan Tape (S&amp;P)'!V7573="Yes",
    1.20,
    1.00)</f>
        <v/>
      </c>
      <c r="T7573">
        <f>LET(
    payment_method,'Loan Tape (S&amp;P)'!P7573,
    occupancy,'Loan Tape (S&amp;P)'!N7573,
    maturity_date,'Loan Tape (S&amp;P)'!L7573,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74">
      <c r="J7574">
        <f>LET(
    lien,'Loan Tape (S&amp;P)'!Q7574,
    IF(lien="First",1.00,
        IF(lien="Second",1.50,
            1.70)))</f>
        <v/>
      </c>
      <c r="K7574">
        <f>LET(
    purpose,'Loan Tape (S&amp;P)'!R7574,
    IF(purpose="Purchase",1.00,
        IF(purpose="Remortgage",1.00,
            1.20)))</f>
        <v/>
      </c>
      <c r="L7574">
        <f>LET(
    arrears_months,'Loan Tape (S&amp;P)'!AN7574,
    IF(arrears_months=0,1.00,
    IF(arrears_months=1,3.00,
    IF(arrears_months=2,5.00,
    IF(arrears_months=3,8.00,
    IF(arrears_months=4,10.00,
    IF(arrears_months=5,12.00,15.00)))))))</f>
        <v/>
      </c>
      <c r="M7574">
        <f>LET(
    seasoning_years,DATEDIF('Loan Tape (S&amp;P)'!K7574,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74">
        <f>IF(AND('Loan Tape (S&amp;P)'!U7574="Yes",
        'Loan Tape (S&amp;P)'!T7574&lt;&gt;"Yes",
        DATEDIF('Loan Tape (S&amp;P)'!K7574, TODAY(), "M")&lt;18),
    1.10,
    1.00)</f>
        <v/>
      </c>
      <c r="O7574">
        <f>IF('Loan Tape (S&amp;P)'!T7574="Yes",
    1.35,
    1.00)</f>
        <v/>
      </c>
      <c r="P7574">
        <f>IF('Loan Tape (S&amp;P)'!S7574="Yes",
    1.15,
    1.00)</f>
        <v/>
      </c>
      <c r="Q7574">
        <f>IF('Loan Tape (S&amp;P)'!V7574="Yes",
    1.20,
    1.00)</f>
        <v/>
      </c>
      <c r="T7574">
        <f>LET(
    payment_method,'Loan Tape (S&amp;P)'!P7574,
    occupancy,'Loan Tape (S&amp;P)'!N7574,
    maturity_date,'Loan Tape (S&amp;P)'!L7574,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75">
      <c r="J7575">
        <f>LET(
    lien,'Loan Tape (S&amp;P)'!Q7575,
    IF(lien="First",1.00,
        IF(lien="Second",1.50,
            1.70)))</f>
        <v/>
      </c>
      <c r="K7575">
        <f>LET(
    purpose,'Loan Tape (S&amp;P)'!R7575,
    IF(purpose="Purchase",1.00,
        IF(purpose="Remortgage",1.00,
            1.20)))</f>
        <v/>
      </c>
      <c r="L7575">
        <f>LET(
    arrears_months,'Loan Tape (S&amp;P)'!AN7575,
    IF(arrears_months=0,1.00,
    IF(arrears_months=1,3.00,
    IF(arrears_months=2,5.00,
    IF(arrears_months=3,8.00,
    IF(arrears_months=4,10.00,
    IF(arrears_months=5,12.00,15.00)))))))</f>
        <v/>
      </c>
      <c r="M7575">
        <f>LET(
    seasoning_years,DATEDIF('Loan Tape (S&amp;P)'!K7575,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75">
        <f>IF(AND('Loan Tape (S&amp;P)'!U7575="Yes",
        'Loan Tape (S&amp;P)'!T7575&lt;&gt;"Yes",
        DATEDIF('Loan Tape (S&amp;P)'!K7575, TODAY(), "M")&lt;18),
    1.10,
    1.00)</f>
        <v/>
      </c>
      <c r="O7575">
        <f>IF('Loan Tape (S&amp;P)'!T7575="Yes",
    1.35,
    1.00)</f>
        <v/>
      </c>
      <c r="P7575">
        <f>IF('Loan Tape (S&amp;P)'!S7575="Yes",
    1.15,
    1.00)</f>
        <v/>
      </c>
      <c r="Q7575">
        <f>IF('Loan Tape (S&amp;P)'!V7575="Yes",
    1.20,
    1.00)</f>
        <v/>
      </c>
      <c r="T7575">
        <f>LET(
    payment_method,'Loan Tape (S&amp;P)'!P7575,
    occupancy,'Loan Tape (S&amp;P)'!N7575,
    maturity_date,'Loan Tape (S&amp;P)'!L7575,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76">
      <c r="J7576">
        <f>LET(
    lien,'Loan Tape (S&amp;P)'!Q7576,
    IF(lien="First",1.00,
        IF(lien="Second",1.50,
            1.70)))</f>
        <v/>
      </c>
      <c r="K7576">
        <f>LET(
    purpose,'Loan Tape (S&amp;P)'!R7576,
    IF(purpose="Purchase",1.00,
        IF(purpose="Remortgage",1.00,
            1.20)))</f>
        <v/>
      </c>
      <c r="L7576">
        <f>LET(
    arrears_months,'Loan Tape (S&amp;P)'!AN7576,
    IF(arrears_months=0,1.00,
    IF(arrears_months=1,3.00,
    IF(arrears_months=2,5.00,
    IF(arrears_months=3,8.00,
    IF(arrears_months=4,10.00,
    IF(arrears_months=5,12.00,15.00)))))))</f>
        <v/>
      </c>
      <c r="M7576">
        <f>LET(
    seasoning_years,DATEDIF('Loan Tape (S&amp;P)'!K7576,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76">
        <f>IF(AND('Loan Tape (S&amp;P)'!U7576="Yes",
        'Loan Tape (S&amp;P)'!T7576&lt;&gt;"Yes",
        DATEDIF('Loan Tape (S&amp;P)'!K7576, TODAY(), "M")&lt;18),
    1.10,
    1.00)</f>
        <v/>
      </c>
      <c r="O7576">
        <f>IF('Loan Tape (S&amp;P)'!T7576="Yes",
    1.35,
    1.00)</f>
        <v/>
      </c>
      <c r="P7576">
        <f>IF('Loan Tape (S&amp;P)'!S7576="Yes",
    1.15,
    1.00)</f>
        <v/>
      </c>
      <c r="Q7576">
        <f>IF('Loan Tape (S&amp;P)'!V7576="Yes",
    1.20,
    1.00)</f>
        <v/>
      </c>
      <c r="T7576">
        <f>LET(
    payment_method,'Loan Tape (S&amp;P)'!P7576,
    occupancy,'Loan Tape (S&amp;P)'!N7576,
    maturity_date,'Loan Tape (S&amp;P)'!L7576,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77">
      <c r="J7577">
        <f>LET(
    lien,'Loan Tape (S&amp;P)'!Q7577,
    IF(lien="First",1.00,
        IF(lien="Second",1.50,
            1.70)))</f>
        <v/>
      </c>
      <c r="K7577">
        <f>LET(
    purpose,'Loan Tape (S&amp;P)'!R7577,
    IF(purpose="Purchase",1.00,
        IF(purpose="Remortgage",1.00,
            1.20)))</f>
        <v/>
      </c>
      <c r="L7577">
        <f>LET(
    arrears_months,'Loan Tape (S&amp;P)'!AN7577,
    IF(arrears_months=0,1.00,
    IF(arrears_months=1,3.00,
    IF(arrears_months=2,5.00,
    IF(arrears_months=3,8.00,
    IF(arrears_months=4,10.00,
    IF(arrears_months=5,12.00,15.00)))))))</f>
        <v/>
      </c>
      <c r="M7577">
        <f>LET(
    seasoning_years,DATEDIF('Loan Tape (S&amp;P)'!K7577,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77">
        <f>IF(AND('Loan Tape (S&amp;P)'!U7577="Yes",
        'Loan Tape (S&amp;P)'!T7577&lt;&gt;"Yes",
        DATEDIF('Loan Tape (S&amp;P)'!K7577, TODAY(), "M")&lt;18),
    1.10,
    1.00)</f>
        <v/>
      </c>
      <c r="O7577">
        <f>IF('Loan Tape (S&amp;P)'!T7577="Yes",
    1.35,
    1.00)</f>
        <v/>
      </c>
      <c r="P7577">
        <f>IF('Loan Tape (S&amp;P)'!S7577="Yes",
    1.15,
    1.00)</f>
        <v/>
      </c>
      <c r="Q7577">
        <f>IF('Loan Tape (S&amp;P)'!V7577="Yes",
    1.20,
    1.00)</f>
        <v/>
      </c>
      <c r="T7577">
        <f>LET(
    payment_method,'Loan Tape (S&amp;P)'!P7577,
    occupancy,'Loan Tape (S&amp;P)'!N7577,
    maturity_date,'Loan Tape (S&amp;P)'!L7577,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78">
      <c r="J7578">
        <f>LET(
    lien,'Loan Tape (S&amp;P)'!Q7578,
    IF(lien="First",1.00,
        IF(lien="Second",1.50,
            1.70)))</f>
        <v/>
      </c>
      <c r="K7578">
        <f>LET(
    purpose,'Loan Tape (S&amp;P)'!R7578,
    IF(purpose="Purchase",1.00,
        IF(purpose="Remortgage",1.00,
            1.20)))</f>
        <v/>
      </c>
      <c r="L7578">
        <f>LET(
    arrears_months,'Loan Tape (S&amp;P)'!AN7578,
    IF(arrears_months=0,1.00,
    IF(arrears_months=1,3.00,
    IF(arrears_months=2,5.00,
    IF(arrears_months=3,8.00,
    IF(arrears_months=4,10.00,
    IF(arrears_months=5,12.00,15.00)))))))</f>
        <v/>
      </c>
      <c r="M7578">
        <f>LET(
    seasoning_years,DATEDIF('Loan Tape (S&amp;P)'!K7578,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78">
        <f>IF(AND('Loan Tape (S&amp;P)'!U7578="Yes",
        'Loan Tape (S&amp;P)'!T7578&lt;&gt;"Yes",
        DATEDIF('Loan Tape (S&amp;P)'!K7578, TODAY(), "M")&lt;18),
    1.10,
    1.00)</f>
        <v/>
      </c>
      <c r="O7578">
        <f>IF('Loan Tape (S&amp;P)'!T7578="Yes",
    1.35,
    1.00)</f>
        <v/>
      </c>
      <c r="P7578">
        <f>IF('Loan Tape (S&amp;P)'!S7578="Yes",
    1.15,
    1.00)</f>
        <v/>
      </c>
      <c r="Q7578">
        <f>IF('Loan Tape (S&amp;P)'!V7578="Yes",
    1.20,
    1.00)</f>
        <v/>
      </c>
      <c r="T7578">
        <f>LET(
    payment_method,'Loan Tape (S&amp;P)'!P7578,
    occupancy,'Loan Tape (S&amp;P)'!N7578,
    maturity_date,'Loan Tape (S&amp;P)'!L7578,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79">
      <c r="J7579">
        <f>LET(
    lien,'Loan Tape (S&amp;P)'!Q7579,
    IF(lien="First",1.00,
        IF(lien="Second",1.50,
            1.70)))</f>
        <v/>
      </c>
      <c r="K7579">
        <f>LET(
    purpose,'Loan Tape (S&amp;P)'!R7579,
    IF(purpose="Purchase",1.00,
        IF(purpose="Remortgage",1.00,
            1.20)))</f>
        <v/>
      </c>
      <c r="L7579">
        <f>LET(
    arrears_months,'Loan Tape (S&amp;P)'!AN7579,
    IF(arrears_months=0,1.00,
    IF(arrears_months=1,3.00,
    IF(arrears_months=2,5.00,
    IF(arrears_months=3,8.00,
    IF(arrears_months=4,10.00,
    IF(arrears_months=5,12.00,15.00)))))))</f>
        <v/>
      </c>
      <c r="M7579">
        <f>LET(
    seasoning_years,DATEDIF('Loan Tape (S&amp;P)'!K7579,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79">
        <f>IF(AND('Loan Tape (S&amp;P)'!U7579="Yes",
        'Loan Tape (S&amp;P)'!T7579&lt;&gt;"Yes",
        DATEDIF('Loan Tape (S&amp;P)'!K7579, TODAY(), "M")&lt;18),
    1.10,
    1.00)</f>
        <v/>
      </c>
      <c r="O7579">
        <f>IF('Loan Tape (S&amp;P)'!T7579="Yes",
    1.35,
    1.00)</f>
        <v/>
      </c>
      <c r="P7579">
        <f>IF('Loan Tape (S&amp;P)'!S7579="Yes",
    1.15,
    1.00)</f>
        <v/>
      </c>
      <c r="Q7579">
        <f>IF('Loan Tape (S&amp;P)'!V7579="Yes",
    1.20,
    1.00)</f>
        <v/>
      </c>
      <c r="T7579">
        <f>LET(
    payment_method,'Loan Tape (S&amp;P)'!P7579,
    occupancy,'Loan Tape (S&amp;P)'!N7579,
    maturity_date,'Loan Tape (S&amp;P)'!L7579,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80">
      <c r="J7580">
        <f>LET(
    lien,'Loan Tape (S&amp;P)'!Q7580,
    IF(lien="First",1.00,
        IF(lien="Second",1.50,
            1.70)))</f>
        <v/>
      </c>
      <c r="K7580">
        <f>LET(
    purpose,'Loan Tape (S&amp;P)'!R7580,
    IF(purpose="Purchase",1.00,
        IF(purpose="Remortgage",1.00,
            1.20)))</f>
        <v/>
      </c>
      <c r="L7580">
        <f>LET(
    arrears_months,'Loan Tape (S&amp;P)'!AN7580,
    IF(arrears_months=0,1.00,
    IF(arrears_months=1,3.00,
    IF(arrears_months=2,5.00,
    IF(arrears_months=3,8.00,
    IF(arrears_months=4,10.00,
    IF(arrears_months=5,12.00,15.00)))))))</f>
        <v/>
      </c>
      <c r="M7580">
        <f>LET(
    seasoning_years,DATEDIF('Loan Tape (S&amp;P)'!K7580,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80">
        <f>IF(AND('Loan Tape (S&amp;P)'!U7580="Yes",
        'Loan Tape (S&amp;P)'!T7580&lt;&gt;"Yes",
        DATEDIF('Loan Tape (S&amp;P)'!K7580, TODAY(), "M")&lt;18),
    1.10,
    1.00)</f>
        <v/>
      </c>
      <c r="O7580">
        <f>IF('Loan Tape (S&amp;P)'!T7580="Yes",
    1.35,
    1.00)</f>
        <v/>
      </c>
      <c r="P7580">
        <f>IF('Loan Tape (S&amp;P)'!S7580="Yes",
    1.15,
    1.00)</f>
        <v/>
      </c>
      <c r="Q7580">
        <f>IF('Loan Tape (S&amp;P)'!V7580="Yes",
    1.20,
    1.00)</f>
        <v/>
      </c>
      <c r="T7580">
        <f>LET(
    payment_method,'Loan Tape (S&amp;P)'!P7580,
    occupancy,'Loan Tape (S&amp;P)'!N7580,
    maturity_date,'Loan Tape (S&amp;P)'!L7580,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81">
      <c r="J7581">
        <f>LET(
    lien,'Loan Tape (S&amp;P)'!Q7581,
    IF(lien="First",1.00,
        IF(lien="Second",1.50,
            1.70)))</f>
        <v/>
      </c>
      <c r="K7581">
        <f>LET(
    purpose,'Loan Tape (S&amp;P)'!R7581,
    IF(purpose="Purchase",1.00,
        IF(purpose="Remortgage",1.00,
            1.20)))</f>
        <v/>
      </c>
      <c r="L7581">
        <f>LET(
    arrears_months,'Loan Tape (S&amp;P)'!AN7581,
    IF(arrears_months=0,1.00,
    IF(arrears_months=1,3.00,
    IF(arrears_months=2,5.00,
    IF(arrears_months=3,8.00,
    IF(arrears_months=4,10.00,
    IF(arrears_months=5,12.00,15.00)))))))</f>
        <v/>
      </c>
      <c r="M7581">
        <f>LET(
    seasoning_years,DATEDIF('Loan Tape (S&amp;P)'!K7581,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81">
        <f>IF(AND('Loan Tape (S&amp;P)'!U7581="Yes",
        'Loan Tape (S&amp;P)'!T7581&lt;&gt;"Yes",
        DATEDIF('Loan Tape (S&amp;P)'!K7581, TODAY(), "M")&lt;18),
    1.10,
    1.00)</f>
        <v/>
      </c>
      <c r="O7581">
        <f>IF('Loan Tape (S&amp;P)'!T7581="Yes",
    1.35,
    1.00)</f>
        <v/>
      </c>
      <c r="P7581">
        <f>IF('Loan Tape (S&amp;P)'!S7581="Yes",
    1.15,
    1.00)</f>
        <v/>
      </c>
      <c r="Q7581">
        <f>IF('Loan Tape (S&amp;P)'!V7581="Yes",
    1.20,
    1.00)</f>
        <v/>
      </c>
      <c r="T7581">
        <f>LET(
    payment_method,'Loan Tape (S&amp;P)'!P7581,
    occupancy,'Loan Tape (S&amp;P)'!N7581,
    maturity_date,'Loan Tape (S&amp;P)'!L7581,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82">
      <c r="J7582">
        <f>LET(
    lien,'Loan Tape (S&amp;P)'!Q7582,
    IF(lien="First",1.00,
        IF(lien="Second",1.50,
            1.70)))</f>
        <v/>
      </c>
      <c r="K7582">
        <f>LET(
    purpose,'Loan Tape (S&amp;P)'!R7582,
    IF(purpose="Purchase",1.00,
        IF(purpose="Remortgage",1.00,
            1.20)))</f>
        <v/>
      </c>
      <c r="L7582">
        <f>LET(
    arrears_months,'Loan Tape (S&amp;P)'!AN7582,
    IF(arrears_months=0,1.00,
    IF(arrears_months=1,3.00,
    IF(arrears_months=2,5.00,
    IF(arrears_months=3,8.00,
    IF(arrears_months=4,10.00,
    IF(arrears_months=5,12.00,15.00)))))))</f>
        <v/>
      </c>
      <c r="M7582">
        <f>LET(
    seasoning_years,DATEDIF('Loan Tape (S&amp;P)'!K7582,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82">
        <f>IF(AND('Loan Tape (S&amp;P)'!U7582="Yes",
        'Loan Tape (S&amp;P)'!T7582&lt;&gt;"Yes",
        DATEDIF('Loan Tape (S&amp;P)'!K7582, TODAY(), "M")&lt;18),
    1.10,
    1.00)</f>
        <v/>
      </c>
      <c r="O7582">
        <f>IF('Loan Tape (S&amp;P)'!T7582="Yes",
    1.35,
    1.00)</f>
        <v/>
      </c>
      <c r="P7582">
        <f>IF('Loan Tape (S&amp;P)'!S7582="Yes",
    1.15,
    1.00)</f>
        <v/>
      </c>
      <c r="Q7582">
        <f>IF('Loan Tape (S&amp;P)'!V7582="Yes",
    1.20,
    1.00)</f>
        <v/>
      </c>
      <c r="T7582">
        <f>LET(
    payment_method,'Loan Tape (S&amp;P)'!P7582,
    occupancy,'Loan Tape (S&amp;P)'!N7582,
    maturity_date,'Loan Tape (S&amp;P)'!L7582,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83">
      <c r="J7583">
        <f>LET(
    lien,'Loan Tape (S&amp;P)'!Q7583,
    IF(lien="First",1.00,
        IF(lien="Second",1.50,
            1.70)))</f>
        <v/>
      </c>
      <c r="K7583">
        <f>LET(
    purpose,'Loan Tape (S&amp;P)'!R7583,
    IF(purpose="Purchase",1.00,
        IF(purpose="Remortgage",1.00,
            1.20)))</f>
        <v/>
      </c>
      <c r="L7583">
        <f>LET(
    arrears_months,'Loan Tape (S&amp;P)'!AN7583,
    IF(arrears_months=0,1.00,
    IF(arrears_months=1,3.00,
    IF(arrears_months=2,5.00,
    IF(arrears_months=3,8.00,
    IF(arrears_months=4,10.00,
    IF(arrears_months=5,12.00,15.00)))))))</f>
        <v/>
      </c>
      <c r="M7583">
        <f>LET(
    seasoning_years,DATEDIF('Loan Tape (S&amp;P)'!K7583,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83">
        <f>IF(AND('Loan Tape (S&amp;P)'!U7583="Yes",
        'Loan Tape (S&amp;P)'!T7583&lt;&gt;"Yes",
        DATEDIF('Loan Tape (S&amp;P)'!K7583, TODAY(), "M")&lt;18),
    1.10,
    1.00)</f>
        <v/>
      </c>
      <c r="O7583">
        <f>IF('Loan Tape (S&amp;P)'!T7583="Yes",
    1.35,
    1.00)</f>
        <v/>
      </c>
      <c r="P7583">
        <f>IF('Loan Tape (S&amp;P)'!S7583="Yes",
    1.15,
    1.00)</f>
        <v/>
      </c>
      <c r="Q7583">
        <f>IF('Loan Tape (S&amp;P)'!V7583="Yes",
    1.20,
    1.00)</f>
        <v/>
      </c>
      <c r="T7583">
        <f>LET(
    payment_method,'Loan Tape (S&amp;P)'!P7583,
    occupancy,'Loan Tape (S&amp;P)'!N7583,
    maturity_date,'Loan Tape (S&amp;P)'!L7583,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84">
      <c r="J7584">
        <f>LET(
    lien,'Loan Tape (S&amp;P)'!Q7584,
    IF(lien="First",1.00,
        IF(lien="Second",1.50,
            1.70)))</f>
        <v/>
      </c>
      <c r="K7584">
        <f>LET(
    purpose,'Loan Tape (S&amp;P)'!R7584,
    IF(purpose="Purchase",1.00,
        IF(purpose="Remortgage",1.00,
            1.20)))</f>
        <v/>
      </c>
      <c r="L7584">
        <f>LET(
    arrears_months,'Loan Tape (S&amp;P)'!AN7584,
    IF(arrears_months=0,1.00,
    IF(arrears_months=1,3.00,
    IF(arrears_months=2,5.00,
    IF(arrears_months=3,8.00,
    IF(arrears_months=4,10.00,
    IF(arrears_months=5,12.00,15.00)))))))</f>
        <v/>
      </c>
      <c r="M7584">
        <f>LET(
    seasoning_years,DATEDIF('Loan Tape (S&amp;P)'!K7584,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84">
        <f>IF(AND('Loan Tape (S&amp;P)'!U7584="Yes",
        'Loan Tape (S&amp;P)'!T7584&lt;&gt;"Yes",
        DATEDIF('Loan Tape (S&amp;P)'!K7584, TODAY(), "M")&lt;18),
    1.10,
    1.00)</f>
        <v/>
      </c>
      <c r="O7584">
        <f>IF('Loan Tape (S&amp;P)'!T7584="Yes",
    1.35,
    1.00)</f>
        <v/>
      </c>
      <c r="P7584">
        <f>IF('Loan Tape (S&amp;P)'!S7584="Yes",
    1.15,
    1.00)</f>
        <v/>
      </c>
      <c r="Q7584">
        <f>IF('Loan Tape (S&amp;P)'!V7584="Yes",
    1.20,
    1.00)</f>
        <v/>
      </c>
      <c r="T7584">
        <f>LET(
    payment_method,'Loan Tape (S&amp;P)'!P7584,
    occupancy,'Loan Tape (S&amp;P)'!N7584,
    maturity_date,'Loan Tape (S&amp;P)'!L7584,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85">
      <c r="J7585">
        <f>LET(
    lien,'Loan Tape (S&amp;P)'!Q7585,
    IF(lien="First",1.00,
        IF(lien="Second",1.50,
            1.70)))</f>
        <v/>
      </c>
      <c r="K7585">
        <f>LET(
    purpose,'Loan Tape (S&amp;P)'!R7585,
    IF(purpose="Purchase",1.00,
        IF(purpose="Remortgage",1.00,
            1.20)))</f>
        <v/>
      </c>
      <c r="L7585">
        <f>LET(
    arrears_months,'Loan Tape (S&amp;P)'!AN7585,
    IF(arrears_months=0,1.00,
    IF(arrears_months=1,3.00,
    IF(arrears_months=2,5.00,
    IF(arrears_months=3,8.00,
    IF(arrears_months=4,10.00,
    IF(arrears_months=5,12.00,15.00)))))))</f>
        <v/>
      </c>
      <c r="M7585">
        <f>LET(
    seasoning_years,DATEDIF('Loan Tape (S&amp;P)'!K7585,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85">
        <f>IF(AND('Loan Tape (S&amp;P)'!U7585="Yes",
        'Loan Tape (S&amp;P)'!T7585&lt;&gt;"Yes",
        DATEDIF('Loan Tape (S&amp;P)'!K7585, TODAY(), "M")&lt;18),
    1.10,
    1.00)</f>
        <v/>
      </c>
      <c r="O7585">
        <f>IF('Loan Tape (S&amp;P)'!T7585="Yes",
    1.35,
    1.00)</f>
        <v/>
      </c>
      <c r="P7585">
        <f>IF('Loan Tape (S&amp;P)'!S7585="Yes",
    1.15,
    1.00)</f>
        <v/>
      </c>
      <c r="Q7585">
        <f>IF('Loan Tape (S&amp;P)'!V7585="Yes",
    1.20,
    1.00)</f>
        <v/>
      </c>
      <c r="T7585">
        <f>LET(
    payment_method,'Loan Tape (S&amp;P)'!P7585,
    occupancy,'Loan Tape (S&amp;P)'!N7585,
    maturity_date,'Loan Tape (S&amp;P)'!L7585,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86">
      <c r="J7586">
        <f>LET(
    lien,'Loan Tape (S&amp;P)'!Q7586,
    IF(lien="First",1.00,
        IF(lien="Second",1.50,
            1.70)))</f>
        <v/>
      </c>
      <c r="K7586">
        <f>LET(
    purpose,'Loan Tape (S&amp;P)'!R7586,
    IF(purpose="Purchase",1.00,
        IF(purpose="Remortgage",1.00,
            1.20)))</f>
        <v/>
      </c>
      <c r="L7586">
        <f>LET(
    arrears_months,'Loan Tape (S&amp;P)'!AN7586,
    IF(arrears_months=0,1.00,
    IF(arrears_months=1,3.00,
    IF(arrears_months=2,5.00,
    IF(arrears_months=3,8.00,
    IF(arrears_months=4,10.00,
    IF(arrears_months=5,12.00,15.00)))))))</f>
        <v/>
      </c>
      <c r="M7586">
        <f>LET(
    seasoning_years,DATEDIF('Loan Tape (S&amp;P)'!K7586,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86">
        <f>IF(AND('Loan Tape (S&amp;P)'!U7586="Yes",
        'Loan Tape (S&amp;P)'!T7586&lt;&gt;"Yes",
        DATEDIF('Loan Tape (S&amp;P)'!K7586, TODAY(), "M")&lt;18),
    1.10,
    1.00)</f>
        <v/>
      </c>
      <c r="O7586">
        <f>IF('Loan Tape (S&amp;P)'!T7586="Yes",
    1.35,
    1.00)</f>
        <v/>
      </c>
      <c r="P7586">
        <f>IF('Loan Tape (S&amp;P)'!S7586="Yes",
    1.15,
    1.00)</f>
        <v/>
      </c>
      <c r="Q7586">
        <f>IF('Loan Tape (S&amp;P)'!V7586="Yes",
    1.20,
    1.00)</f>
        <v/>
      </c>
      <c r="T7586">
        <f>LET(
    payment_method,'Loan Tape (S&amp;P)'!P7586,
    occupancy,'Loan Tape (S&amp;P)'!N7586,
    maturity_date,'Loan Tape (S&amp;P)'!L7586,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87">
      <c r="J7587">
        <f>LET(
    lien,'Loan Tape (S&amp;P)'!Q7587,
    IF(lien="First",1.00,
        IF(lien="Second",1.50,
            1.70)))</f>
        <v/>
      </c>
      <c r="K7587">
        <f>LET(
    purpose,'Loan Tape (S&amp;P)'!R7587,
    IF(purpose="Purchase",1.00,
        IF(purpose="Remortgage",1.00,
            1.20)))</f>
        <v/>
      </c>
      <c r="L7587">
        <f>LET(
    arrears_months,'Loan Tape (S&amp;P)'!AN7587,
    IF(arrears_months=0,1.00,
    IF(arrears_months=1,3.00,
    IF(arrears_months=2,5.00,
    IF(arrears_months=3,8.00,
    IF(arrears_months=4,10.00,
    IF(arrears_months=5,12.00,15.00)))))))</f>
        <v/>
      </c>
      <c r="M7587">
        <f>LET(
    seasoning_years,DATEDIF('Loan Tape (S&amp;P)'!K7587,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87">
        <f>IF(AND('Loan Tape (S&amp;P)'!U7587="Yes",
        'Loan Tape (S&amp;P)'!T7587&lt;&gt;"Yes",
        DATEDIF('Loan Tape (S&amp;P)'!K7587, TODAY(), "M")&lt;18),
    1.10,
    1.00)</f>
        <v/>
      </c>
      <c r="O7587">
        <f>IF('Loan Tape (S&amp;P)'!T7587="Yes",
    1.35,
    1.00)</f>
        <v/>
      </c>
      <c r="P7587">
        <f>IF('Loan Tape (S&amp;P)'!S7587="Yes",
    1.15,
    1.00)</f>
        <v/>
      </c>
      <c r="Q7587">
        <f>IF('Loan Tape (S&amp;P)'!V7587="Yes",
    1.20,
    1.00)</f>
        <v/>
      </c>
      <c r="T7587">
        <f>LET(
    payment_method,'Loan Tape (S&amp;P)'!P7587,
    occupancy,'Loan Tape (S&amp;P)'!N7587,
    maturity_date,'Loan Tape (S&amp;P)'!L7587,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88">
      <c r="J7588">
        <f>LET(
    lien,'Loan Tape (S&amp;P)'!Q7588,
    IF(lien="First",1.00,
        IF(lien="Second",1.50,
            1.70)))</f>
        <v/>
      </c>
      <c r="K7588">
        <f>LET(
    purpose,'Loan Tape (S&amp;P)'!R7588,
    IF(purpose="Purchase",1.00,
        IF(purpose="Remortgage",1.00,
            1.20)))</f>
        <v/>
      </c>
      <c r="L7588">
        <f>LET(
    arrears_months,'Loan Tape (S&amp;P)'!AN7588,
    IF(arrears_months=0,1.00,
    IF(arrears_months=1,3.00,
    IF(arrears_months=2,5.00,
    IF(arrears_months=3,8.00,
    IF(arrears_months=4,10.00,
    IF(arrears_months=5,12.00,15.00)))))))</f>
        <v/>
      </c>
      <c r="M7588">
        <f>LET(
    seasoning_years,DATEDIF('Loan Tape (S&amp;P)'!K7588,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88">
        <f>IF(AND('Loan Tape (S&amp;P)'!U7588="Yes",
        'Loan Tape (S&amp;P)'!T7588&lt;&gt;"Yes",
        DATEDIF('Loan Tape (S&amp;P)'!K7588, TODAY(), "M")&lt;18),
    1.10,
    1.00)</f>
        <v/>
      </c>
      <c r="O7588">
        <f>IF('Loan Tape (S&amp;P)'!T7588="Yes",
    1.35,
    1.00)</f>
        <v/>
      </c>
      <c r="P7588">
        <f>IF('Loan Tape (S&amp;P)'!S7588="Yes",
    1.15,
    1.00)</f>
        <v/>
      </c>
      <c r="Q7588">
        <f>IF('Loan Tape (S&amp;P)'!V7588="Yes",
    1.20,
    1.00)</f>
        <v/>
      </c>
      <c r="T7588">
        <f>LET(
    payment_method,'Loan Tape (S&amp;P)'!P7588,
    occupancy,'Loan Tape (S&amp;P)'!N7588,
    maturity_date,'Loan Tape (S&amp;P)'!L7588,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89">
      <c r="J7589">
        <f>LET(
    lien,'Loan Tape (S&amp;P)'!Q7589,
    IF(lien="First",1.00,
        IF(lien="Second",1.50,
            1.70)))</f>
        <v/>
      </c>
      <c r="K7589">
        <f>LET(
    purpose,'Loan Tape (S&amp;P)'!R7589,
    IF(purpose="Purchase",1.00,
        IF(purpose="Remortgage",1.00,
            1.20)))</f>
        <v/>
      </c>
      <c r="L7589">
        <f>LET(
    arrears_months,'Loan Tape (S&amp;P)'!AN7589,
    IF(arrears_months=0,1.00,
    IF(arrears_months=1,3.00,
    IF(arrears_months=2,5.00,
    IF(arrears_months=3,8.00,
    IF(arrears_months=4,10.00,
    IF(arrears_months=5,12.00,15.00)))))))</f>
        <v/>
      </c>
      <c r="M7589">
        <f>LET(
    seasoning_years,DATEDIF('Loan Tape (S&amp;P)'!K7589,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89">
        <f>IF(AND('Loan Tape (S&amp;P)'!U7589="Yes",
        'Loan Tape (S&amp;P)'!T7589&lt;&gt;"Yes",
        DATEDIF('Loan Tape (S&amp;P)'!K7589, TODAY(), "M")&lt;18),
    1.10,
    1.00)</f>
        <v/>
      </c>
      <c r="O7589">
        <f>IF('Loan Tape (S&amp;P)'!T7589="Yes",
    1.35,
    1.00)</f>
        <v/>
      </c>
      <c r="P7589">
        <f>IF('Loan Tape (S&amp;P)'!S7589="Yes",
    1.15,
    1.00)</f>
        <v/>
      </c>
      <c r="Q7589">
        <f>IF('Loan Tape (S&amp;P)'!V7589="Yes",
    1.20,
    1.00)</f>
        <v/>
      </c>
      <c r="T7589">
        <f>LET(
    payment_method,'Loan Tape (S&amp;P)'!P7589,
    occupancy,'Loan Tape (S&amp;P)'!N7589,
    maturity_date,'Loan Tape (S&amp;P)'!L7589,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90">
      <c r="J7590">
        <f>LET(
    lien,'Loan Tape (S&amp;P)'!Q7590,
    IF(lien="First",1.00,
        IF(lien="Second",1.50,
            1.70)))</f>
        <v/>
      </c>
      <c r="K7590">
        <f>LET(
    purpose,'Loan Tape (S&amp;P)'!R7590,
    IF(purpose="Purchase",1.00,
        IF(purpose="Remortgage",1.00,
            1.20)))</f>
        <v/>
      </c>
      <c r="L7590">
        <f>LET(
    arrears_months,'Loan Tape (S&amp;P)'!AN7590,
    IF(arrears_months=0,1.00,
    IF(arrears_months=1,3.00,
    IF(arrears_months=2,5.00,
    IF(arrears_months=3,8.00,
    IF(arrears_months=4,10.00,
    IF(arrears_months=5,12.00,15.00)))))))</f>
        <v/>
      </c>
      <c r="M7590">
        <f>LET(
    seasoning_years,DATEDIF('Loan Tape (S&amp;P)'!K7590,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90">
        <f>IF(AND('Loan Tape (S&amp;P)'!U7590="Yes",
        'Loan Tape (S&amp;P)'!T7590&lt;&gt;"Yes",
        DATEDIF('Loan Tape (S&amp;P)'!K7590, TODAY(), "M")&lt;18),
    1.10,
    1.00)</f>
        <v/>
      </c>
      <c r="O7590">
        <f>IF('Loan Tape (S&amp;P)'!T7590="Yes",
    1.35,
    1.00)</f>
        <v/>
      </c>
      <c r="P7590">
        <f>IF('Loan Tape (S&amp;P)'!S7590="Yes",
    1.15,
    1.00)</f>
        <v/>
      </c>
      <c r="Q7590">
        <f>IF('Loan Tape (S&amp;P)'!V7590="Yes",
    1.20,
    1.00)</f>
        <v/>
      </c>
      <c r="T7590">
        <f>LET(
    payment_method,'Loan Tape (S&amp;P)'!P7590,
    occupancy,'Loan Tape (S&amp;P)'!N7590,
    maturity_date,'Loan Tape (S&amp;P)'!L7590,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91">
      <c r="J7591">
        <f>LET(
    lien,'Loan Tape (S&amp;P)'!Q7591,
    IF(lien="First",1.00,
        IF(lien="Second",1.50,
            1.70)))</f>
        <v/>
      </c>
      <c r="K7591">
        <f>LET(
    purpose,'Loan Tape (S&amp;P)'!R7591,
    IF(purpose="Purchase",1.00,
        IF(purpose="Remortgage",1.00,
            1.20)))</f>
        <v/>
      </c>
      <c r="L7591">
        <f>LET(
    arrears_months,'Loan Tape (S&amp;P)'!AN7591,
    IF(arrears_months=0,1.00,
    IF(arrears_months=1,3.00,
    IF(arrears_months=2,5.00,
    IF(arrears_months=3,8.00,
    IF(arrears_months=4,10.00,
    IF(arrears_months=5,12.00,15.00)))))))</f>
        <v/>
      </c>
      <c r="M7591">
        <f>LET(
    seasoning_years,DATEDIF('Loan Tape (S&amp;P)'!K7591,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91">
        <f>IF(AND('Loan Tape (S&amp;P)'!U7591="Yes",
        'Loan Tape (S&amp;P)'!T7591&lt;&gt;"Yes",
        DATEDIF('Loan Tape (S&amp;P)'!K7591, TODAY(), "M")&lt;18),
    1.10,
    1.00)</f>
        <v/>
      </c>
      <c r="O7591">
        <f>IF('Loan Tape (S&amp;P)'!T7591="Yes",
    1.35,
    1.00)</f>
        <v/>
      </c>
      <c r="P7591">
        <f>IF('Loan Tape (S&amp;P)'!S7591="Yes",
    1.15,
    1.00)</f>
        <v/>
      </c>
      <c r="Q7591">
        <f>IF('Loan Tape (S&amp;P)'!V7591="Yes",
    1.20,
    1.00)</f>
        <v/>
      </c>
      <c r="T7591">
        <f>LET(
    payment_method,'Loan Tape (S&amp;P)'!P7591,
    occupancy,'Loan Tape (S&amp;P)'!N7591,
    maturity_date,'Loan Tape (S&amp;P)'!L7591,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92">
      <c r="J7592">
        <f>LET(
    lien,'Loan Tape (S&amp;P)'!Q7592,
    IF(lien="First",1.00,
        IF(lien="Second",1.50,
            1.70)))</f>
        <v/>
      </c>
      <c r="K7592">
        <f>LET(
    purpose,'Loan Tape (S&amp;P)'!R7592,
    IF(purpose="Purchase",1.00,
        IF(purpose="Remortgage",1.00,
            1.20)))</f>
        <v/>
      </c>
      <c r="L7592">
        <f>LET(
    arrears_months,'Loan Tape (S&amp;P)'!AN7592,
    IF(arrears_months=0,1.00,
    IF(arrears_months=1,3.00,
    IF(arrears_months=2,5.00,
    IF(arrears_months=3,8.00,
    IF(arrears_months=4,10.00,
    IF(arrears_months=5,12.00,15.00)))))))</f>
        <v/>
      </c>
      <c r="M7592">
        <f>LET(
    seasoning_years,DATEDIF('Loan Tape (S&amp;P)'!K7592,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92">
        <f>IF(AND('Loan Tape (S&amp;P)'!U7592="Yes",
        'Loan Tape (S&amp;P)'!T7592&lt;&gt;"Yes",
        DATEDIF('Loan Tape (S&amp;P)'!K7592, TODAY(), "M")&lt;18),
    1.10,
    1.00)</f>
        <v/>
      </c>
      <c r="O7592">
        <f>IF('Loan Tape (S&amp;P)'!T7592="Yes",
    1.35,
    1.00)</f>
        <v/>
      </c>
      <c r="P7592">
        <f>IF('Loan Tape (S&amp;P)'!S7592="Yes",
    1.15,
    1.00)</f>
        <v/>
      </c>
      <c r="Q7592">
        <f>IF('Loan Tape (S&amp;P)'!V7592="Yes",
    1.20,
    1.00)</f>
        <v/>
      </c>
      <c r="T7592">
        <f>LET(
    payment_method,'Loan Tape (S&amp;P)'!P7592,
    occupancy,'Loan Tape (S&amp;P)'!N7592,
    maturity_date,'Loan Tape (S&amp;P)'!L7592,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93">
      <c r="J7593">
        <f>LET(
    lien,'Loan Tape (S&amp;P)'!Q7593,
    IF(lien="First",1.00,
        IF(lien="Second",1.50,
            1.70)))</f>
        <v/>
      </c>
      <c r="K7593">
        <f>LET(
    purpose,'Loan Tape (S&amp;P)'!R7593,
    IF(purpose="Purchase",1.00,
        IF(purpose="Remortgage",1.00,
            1.20)))</f>
        <v/>
      </c>
      <c r="L7593">
        <f>LET(
    arrears_months,'Loan Tape (S&amp;P)'!AN7593,
    IF(arrears_months=0,1.00,
    IF(arrears_months=1,3.00,
    IF(arrears_months=2,5.00,
    IF(arrears_months=3,8.00,
    IF(arrears_months=4,10.00,
    IF(arrears_months=5,12.00,15.00)))))))</f>
        <v/>
      </c>
      <c r="M7593">
        <f>LET(
    seasoning_years,DATEDIF('Loan Tape (S&amp;P)'!K7593,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93">
        <f>IF(AND('Loan Tape (S&amp;P)'!U7593="Yes",
        'Loan Tape (S&amp;P)'!T7593&lt;&gt;"Yes",
        DATEDIF('Loan Tape (S&amp;P)'!K7593, TODAY(), "M")&lt;18),
    1.10,
    1.00)</f>
        <v/>
      </c>
      <c r="O7593">
        <f>IF('Loan Tape (S&amp;P)'!T7593="Yes",
    1.35,
    1.00)</f>
        <v/>
      </c>
      <c r="P7593">
        <f>IF('Loan Tape (S&amp;P)'!S7593="Yes",
    1.15,
    1.00)</f>
        <v/>
      </c>
      <c r="Q7593">
        <f>IF('Loan Tape (S&amp;P)'!V7593="Yes",
    1.20,
    1.00)</f>
        <v/>
      </c>
      <c r="T7593">
        <f>LET(
    payment_method,'Loan Tape (S&amp;P)'!P7593,
    occupancy,'Loan Tape (S&amp;P)'!N7593,
    maturity_date,'Loan Tape (S&amp;P)'!L7593,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94">
      <c r="J7594">
        <f>LET(
    lien,'Loan Tape (S&amp;P)'!Q7594,
    IF(lien="First",1.00,
        IF(lien="Second",1.50,
            1.70)))</f>
        <v/>
      </c>
      <c r="K7594">
        <f>LET(
    purpose,'Loan Tape (S&amp;P)'!R7594,
    IF(purpose="Purchase",1.00,
        IF(purpose="Remortgage",1.00,
            1.20)))</f>
        <v/>
      </c>
      <c r="L7594">
        <f>LET(
    arrears_months,'Loan Tape (S&amp;P)'!AN7594,
    IF(arrears_months=0,1.00,
    IF(arrears_months=1,3.00,
    IF(arrears_months=2,5.00,
    IF(arrears_months=3,8.00,
    IF(arrears_months=4,10.00,
    IF(arrears_months=5,12.00,15.00)))))))</f>
        <v/>
      </c>
      <c r="M7594">
        <f>LET(
    seasoning_years,DATEDIF('Loan Tape (S&amp;P)'!K7594,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94">
        <f>IF(AND('Loan Tape (S&amp;P)'!U7594="Yes",
        'Loan Tape (S&amp;P)'!T7594&lt;&gt;"Yes",
        DATEDIF('Loan Tape (S&amp;P)'!K7594, TODAY(), "M")&lt;18),
    1.10,
    1.00)</f>
        <v/>
      </c>
      <c r="O7594">
        <f>IF('Loan Tape (S&amp;P)'!T7594="Yes",
    1.35,
    1.00)</f>
        <v/>
      </c>
      <c r="P7594">
        <f>IF('Loan Tape (S&amp;P)'!S7594="Yes",
    1.15,
    1.00)</f>
        <v/>
      </c>
      <c r="Q7594">
        <f>IF('Loan Tape (S&amp;P)'!V7594="Yes",
    1.20,
    1.00)</f>
        <v/>
      </c>
      <c r="T7594">
        <f>LET(
    payment_method,'Loan Tape (S&amp;P)'!P7594,
    occupancy,'Loan Tape (S&amp;P)'!N7594,
    maturity_date,'Loan Tape (S&amp;P)'!L7594,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95">
      <c r="J7595">
        <f>LET(
    lien,'Loan Tape (S&amp;P)'!Q7595,
    IF(lien="First",1.00,
        IF(lien="Second",1.50,
            1.70)))</f>
        <v/>
      </c>
      <c r="K7595">
        <f>LET(
    purpose,'Loan Tape (S&amp;P)'!R7595,
    IF(purpose="Purchase",1.00,
        IF(purpose="Remortgage",1.00,
            1.20)))</f>
        <v/>
      </c>
      <c r="L7595">
        <f>LET(
    arrears_months,'Loan Tape (S&amp;P)'!AN7595,
    IF(arrears_months=0,1.00,
    IF(arrears_months=1,3.00,
    IF(arrears_months=2,5.00,
    IF(arrears_months=3,8.00,
    IF(arrears_months=4,10.00,
    IF(arrears_months=5,12.00,15.00)))))))</f>
        <v/>
      </c>
      <c r="M7595">
        <f>LET(
    seasoning_years,DATEDIF('Loan Tape (S&amp;P)'!K7595,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95">
        <f>IF(AND('Loan Tape (S&amp;P)'!U7595="Yes",
        'Loan Tape (S&amp;P)'!T7595&lt;&gt;"Yes",
        DATEDIF('Loan Tape (S&amp;P)'!K7595, TODAY(), "M")&lt;18),
    1.10,
    1.00)</f>
        <v/>
      </c>
      <c r="O7595">
        <f>IF('Loan Tape (S&amp;P)'!T7595="Yes",
    1.35,
    1.00)</f>
        <v/>
      </c>
      <c r="P7595">
        <f>IF('Loan Tape (S&amp;P)'!S7595="Yes",
    1.15,
    1.00)</f>
        <v/>
      </c>
      <c r="Q7595">
        <f>IF('Loan Tape (S&amp;P)'!V7595="Yes",
    1.20,
    1.00)</f>
        <v/>
      </c>
      <c r="T7595">
        <f>LET(
    payment_method,'Loan Tape (S&amp;P)'!P7595,
    occupancy,'Loan Tape (S&amp;P)'!N7595,
    maturity_date,'Loan Tape (S&amp;P)'!L7595,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96">
      <c r="J7596">
        <f>LET(
    lien,'Loan Tape (S&amp;P)'!Q7596,
    IF(lien="First",1.00,
        IF(lien="Second",1.50,
            1.70)))</f>
        <v/>
      </c>
      <c r="K7596">
        <f>LET(
    purpose,'Loan Tape (S&amp;P)'!R7596,
    IF(purpose="Purchase",1.00,
        IF(purpose="Remortgage",1.00,
            1.20)))</f>
        <v/>
      </c>
      <c r="L7596">
        <f>LET(
    arrears_months,'Loan Tape (S&amp;P)'!AN7596,
    IF(arrears_months=0,1.00,
    IF(arrears_months=1,3.00,
    IF(arrears_months=2,5.00,
    IF(arrears_months=3,8.00,
    IF(arrears_months=4,10.00,
    IF(arrears_months=5,12.00,15.00)))))))</f>
        <v/>
      </c>
      <c r="M7596">
        <f>LET(
    seasoning_years,DATEDIF('Loan Tape (S&amp;P)'!K7596,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96">
        <f>IF(AND('Loan Tape (S&amp;P)'!U7596="Yes",
        'Loan Tape (S&amp;P)'!T7596&lt;&gt;"Yes",
        DATEDIF('Loan Tape (S&amp;P)'!K7596, TODAY(), "M")&lt;18),
    1.10,
    1.00)</f>
        <v/>
      </c>
      <c r="O7596">
        <f>IF('Loan Tape (S&amp;P)'!T7596="Yes",
    1.35,
    1.00)</f>
        <v/>
      </c>
      <c r="P7596">
        <f>IF('Loan Tape (S&amp;P)'!S7596="Yes",
    1.15,
    1.00)</f>
        <v/>
      </c>
      <c r="Q7596">
        <f>IF('Loan Tape (S&amp;P)'!V7596="Yes",
    1.20,
    1.00)</f>
        <v/>
      </c>
      <c r="T7596">
        <f>LET(
    payment_method,'Loan Tape (S&amp;P)'!P7596,
    occupancy,'Loan Tape (S&amp;P)'!N7596,
    maturity_date,'Loan Tape (S&amp;P)'!L7596,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97">
      <c r="J7597">
        <f>LET(
    lien,'Loan Tape (S&amp;P)'!Q7597,
    IF(lien="First",1.00,
        IF(lien="Second",1.50,
            1.70)))</f>
        <v/>
      </c>
      <c r="K7597">
        <f>LET(
    purpose,'Loan Tape (S&amp;P)'!R7597,
    IF(purpose="Purchase",1.00,
        IF(purpose="Remortgage",1.00,
            1.20)))</f>
        <v/>
      </c>
      <c r="L7597">
        <f>LET(
    arrears_months,'Loan Tape (S&amp;P)'!AN7597,
    IF(arrears_months=0,1.00,
    IF(arrears_months=1,3.00,
    IF(arrears_months=2,5.00,
    IF(arrears_months=3,8.00,
    IF(arrears_months=4,10.00,
    IF(arrears_months=5,12.00,15.00)))))))</f>
        <v/>
      </c>
      <c r="M7597">
        <f>LET(
    seasoning_years,DATEDIF('Loan Tape (S&amp;P)'!K7597,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97">
        <f>IF(AND('Loan Tape (S&amp;P)'!U7597="Yes",
        'Loan Tape (S&amp;P)'!T7597&lt;&gt;"Yes",
        DATEDIF('Loan Tape (S&amp;P)'!K7597, TODAY(), "M")&lt;18),
    1.10,
    1.00)</f>
        <v/>
      </c>
      <c r="O7597">
        <f>IF('Loan Tape (S&amp;P)'!T7597="Yes",
    1.35,
    1.00)</f>
        <v/>
      </c>
      <c r="P7597">
        <f>IF('Loan Tape (S&amp;P)'!S7597="Yes",
    1.15,
    1.00)</f>
        <v/>
      </c>
      <c r="Q7597">
        <f>IF('Loan Tape (S&amp;P)'!V7597="Yes",
    1.20,
    1.00)</f>
        <v/>
      </c>
      <c r="T7597">
        <f>LET(
    payment_method,'Loan Tape (S&amp;P)'!P7597,
    occupancy,'Loan Tape (S&amp;P)'!N7597,
    maturity_date,'Loan Tape (S&amp;P)'!L7597,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98">
      <c r="J7598">
        <f>LET(
    lien,'Loan Tape (S&amp;P)'!Q7598,
    IF(lien="First",1.00,
        IF(lien="Second",1.50,
            1.70)))</f>
        <v/>
      </c>
      <c r="K7598">
        <f>LET(
    purpose,'Loan Tape (S&amp;P)'!R7598,
    IF(purpose="Purchase",1.00,
        IF(purpose="Remortgage",1.00,
            1.20)))</f>
        <v/>
      </c>
      <c r="L7598">
        <f>LET(
    arrears_months,'Loan Tape (S&amp;P)'!AN7598,
    IF(arrears_months=0,1.00,
    IF(arrears_months=1,3.00,
    IF(arrears_months=2,5.00,
    IF(arrears_months=3,8.00,
    IF(arrears_months=4,10.00,
    IF(arrears_months=5,12.00,15.00)))))))</f>
        <v/>
      </c>
      <c r="M7598">
        <f>LET(
    seasoning_years,DATEDIF('Loan Tape (S&amp;P)'!K7598,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98">
        <f>IF(AND('Loan Tape (S&amp;P)'!U7598="Yes",
        'Loan Tape (S&amp;P)'!T7598&lt;&gt;"Yes",
        DATEDIF('Loan Tape (S&amp;P)'!K7598, TODAY(), "M")&lt;18),
    1.10,
    1.00)</f>
        <v/>
      </c>
      <c r="O7598">
        <f>IF('Loan Tape (S&amp;P)'!T7598="Yes",
    1.35,
    1.00)</f>
        <v/>
      </c>
      <c r="P7598">
        <f>IF('Loan Tape (S&amp;P)'!S7598="Yes",
    1.15,
    1.00)</f>
        <v/>
      </c>
      <c r="Q7598">
        <f>IF('Loan Tape (S&amp;P)'!V7598="Yes",
    1.20,
    1.00)</f>
        <v/>
      </c>
      <c r="T7598">
        <f>LET(
    payment_method,'Loan Tape (S&amp;P)'!P7598,
    occupancy,'Loan Tape (S&amp;P)'!N7598,
    maturity_date,'Loan Tape (S&amp;P)'!L7598,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599">
      <c r="J7599">
        <f>LET(
    lien,'Loan Tape (S&amp;P)'!Q7599,
    IF(lien="First",1.00,
        IF(lien="Second",1.50,
            1.70)))</f>
        <v/>
      </c>
      <c r="K7599">
        <f>LET(
    purpose,'Loan Tape (S&amp;P)'!R7599,
    IF(purpose="Purchase",1.00,
        IF(purpose="Remortgage",1.00,
            1.20)))</f>
        <v/>
      </c>
      <c r="L7599">
        <f>LET(
    arrears_months,'Loan Tape (S&amp;P)'!AN7599,
    IF(arrears_months=0,1.00,
    IF(arrears_months=1,3.00,
    IF(arrears_months=2,5.00,
    IF(arrears_months=3,8.00,
    IF(arrears_months=4,10.00,
    IF(arrears_months=5,12.00,15.00)))))))</f>
        <v/>
      </c>
      <c r="M7599">
        <f>LET(
    seasoning_years,DATEDIF('Loan Tape (S&amp;P)'!K7599,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599">
        <f>IF(AND('Loan Tape (S&amp;P)'!U7599="Yes",
        'Loan Tape (S&amp;P)'!T7599&lt;&gt;"Yes",
        DATEDIF('Loan Tape (S&amp;P)'!K7599, TODAY(), "M")&lt;18),
    1.10,
    1.00)</f>
        <v/>
      </c>
      <c r="O7599">
        <f>IF('Loan Tape (S&amp;P)'!T7599="Yes",
    1.35,
    1.00)</f>
        <v/>
      </c>
      <c r="P7599">
        <f>IF('Loan Tape (S&amp;P)'!S7599="Yes",
    1.15,
    1.00)</f>
        <v/>
      </c>
      <c r="Q7599">
        <f>IF('Loan Tape (S&amp;P)'!V7599="Yes",
    1.20,
    1.00)</f>
        <v/>
      </c>
      <c r="T7599">
        <f>LET(
    payment_method,'Loan Tape (S&amp;P)'!P7599,
    occupancy,'Loan Tape (S&amp;P)'!N7599,
    maturity_date,'Loan Tape (S&amp;P)'!L7599,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00">
      <c r="J7600">
        <f>LET(
    lien,'Loan Tape (S&amp;P)'!Q7600,
    IF(lien="First",1.00,
        IF(lien="Second",1.50,
            1.70)))</f>
        <v/>
      </c>
      <c r="K7600">
        <f>LET(
    purpose,'Loan Tape (S&amp;P)'!R7600,
    IF(purpose="Purchase",1.00,
        IF(purpose="Remortgage",1.00,
            1.20)))</f>
        <v/>
      </c>
      <c r="L7600">
        <f>LET(
    arrears_months,'Loan Tape (S&amp;P)'!AN7600,
    IF(arrears_months=0,1.00,
    IF(arrears_months=1,3.00,
    IF(arrears_months=2,5.00,
    IF(arrears_months=3,8.00,
    IF(arrears_months=4,10.00,
    IF(arrears_months=5,12.00,15.00)))))))</f>
        <v/>
      </c>
      <c r="M7600">
        <f>LET(
    seasoning_years,DATEDIF('Loan Tape (S&amp;P)'!K7600,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00">
        <f>IF(AND('Loan Tape (S&amp;P)'!U7600="Yes",
        'Loan Tape (S&amp;P)'!T7600&lt;&gt;"Yes",
        DATEDIF('Loan Tape (S&amp;P)'!K7600, TODAY(), "M")&lt;18),
    1.10,
    1.00)</f>
        <v/>
      </c>
      <c r="O7600">
        <f>IF('Loan Tape (S&amp;P)'!T7600="Yes",
    1.35,
    1.00)</f>
        <v/>
      </c>
      <c r="P7600">
        <f>IF('Loan Tape (S&amp;P)'!S7600="Yes",
    1.15,
    1.00)</f>
        <v/>
      </c>
      <c r="Q7600">
        <f>IF('Loan Tape (S&amp;P)'!V7600="Yes",
    1.20,
    1.00)</f>
        <v/>
      </c>
      <c r="T7600">
        <f>LET(
    payment_method,'Loan Tape (S&amp;P)'!P7600,
    occupancy,'Loan Tape (S&amp;P)'!N7600,
    maturity_date,'Loan Tape (S&amp;P)'!L7600,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01">
      <c r="J7601">
        <f>LET(
    lien,'Loan Tape (S&amp;P)'!Q7601,
    IF(lien="First",1.00,
        IF(lien="Second",1.50,
            1.70)))</f>
        <v/>
      </c>
      <c r="K7601">
        <f>LET(
    purpose,'Loan Tape (S&amp;P)'!R7601,
    IF(purpose="Purchase",1.00,
        IF(purpose="Remortgage",1.00,
            1.20)))</f>
        <v/>
      </c>
      <c r="L7601">
        <f>LET(
    arrears_months,'Loan Tape (S&amp;P)'!AN7601,
    IF(arrears_months=0,1.00,
    IF(arrears_months=1,3.00,
    IF(arrears_months=2,5.00,
    IF(arrears_months=3,8.00,
    IF(arrears_months=4,10.00,
    IF(arrears_months=5,12.00,15.00)))))))</f>
        <v/>
      </c>
      <c r="M7601">
        <f>LET(
    seasoning_years,DATEDIF('Loan Tape (S&amp;P)'!K7601,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01">
        <f>IF(AND('Loan Tape (S&amp;P)'!U7601="Yes",
        'Loan Tape (S&amp;P)'!T7601&lt;&gt;"Yes",
        DATEDIF('Loan Tape (S&amp;P)'!K7601, TODAY(), "M")&lt;18),
    1.10,
    1.00)</f>
        <v/>
      </c>
      <c r="O7601">
        <f>IF('Loan Tape (S&amp;P)'!T7601="Yes",
    1.35,
    1.00)</f>
        <v/>
      </c>
      <c r="P7601">
        <f>IF('Loan Tape (S&amp;P)'!S7601="Yes",
    1.15,
    1.00)</f>
        <v/>
      </c>
      <c r="Q7601">
        <f>IF('Loan Tape (S&amp;P)'!V7601="Yes",
    1.20,
    1.00)</f>
        <v/>
      </c>
      <c r="T7601">
        <f>LET(
    payment_method,'Loan Tape (S&amp;P)'!P7601,
    occupancy,'Loan Tape (S&amp;P)'!N7601,
    maturity_date,'Loan Tape (S&amp;P)'!L7601,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02">
      <c r="J7602">
        <f>LET(
    lien,'Loan Tape (S&amp;P)'!Q7602,
    IF(lien="First",1.00,
        IF(lien="Second",1.50,
            1.70)))</f>
        <v/>
      </c>
      <c r="K7602">
        <f>LET(
    purpose,'Loan Tape (S&amp;P)'!R7602,
    IF(purpose="Purchase",1.00,
        IF(purpose="Remortgage",1.00,
            1.20)))</f>
        <v/>
      </c>
      <c r="L7602">
        <f>LET(
    arrears_months,'Loan Tape (S&amp;P)'!AN7602,
    IF(arrears_months=0,1.00,
    IF(arrears_months=1,3.00,
    IF(arrears_months=2,5.00,
    IF(arrears_months=3,8.00,
    IF(arrears_months=4,10.00,
    IF(arrears_months=5,12.00,15.00)))))))</f>
        <v/>
      </c>
      <c r="M7602">
        <f>LET(
    seasoning_years,DATEDIF('Loan Tape (S&amp;P)'!K7602,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02">
        <f>IF(AND('Loan Tape (S&amp;P)'!U7602="Yes",
        'Loan Tape (S&amp;P)'!T7602&lt;&gt;"Yes",
        DATEDIF('Loan Tape (S&amp;P)'!K7602, TODAY(), "M")&lt;18),
    1.10,
    1.00)</f>
        <v/>
      </c>
      <c r="O7602">
        <f>IF('Loan Tape (S&amp;P)'!T7602="Yes",
    1.35,
    1.00)</f>
        <v/>
      </c>
      <c r="P7602">
        <f>IF('Loan Tape (S&amp;P)'!S7602="Yes",
    1.15,
    1.00)</f>
        <v/>
      </c>
      <c r="Q7602">
        <f>IF('Loan Tape (S&amp;P)'!V7602="Yes",
    1.20,
    1.00)</f>
        <v/>
      </c>
      <c r="T7602">
        <f>LET(
    payment_method,'Loan Tape (S&amp;P)'!P7602,
    occupancy,'Loan Tape (S&amp;P)'!N7602,
    maturity_date,'Loan Tape (S&amp;P)'!L7602,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03">
      <c r="J7603">
        <f>LET(
    lien,'Loan Tape (S&amp;P)'!Q7603,
    IF(lien="First",1.00,
        IF(lien="Second",1.50,
            1.70)))</f>
        <v/>
      </c>
      <c r="K7603">
        <f>LET(
    purpose,'Loan Tape (S&amp;P)'!R7603,
    IF(purpose="Purchase",1.00,
        IF(purpose="Remortgage",1.00,
            1.20)))</f>
        <v/>
      </c>
      <c r="L7603">
        <f>LET(
    arrears_months,'Loan Tape (S&amp;P)'!AN7603,
    IF(arrears_months=0,1.00,
    IF(arrears_months=1,3.00,
    IF(arrears_months=2,5.00,
    IF(arrears_months=3,8.00,
    IF(arrears_months=4,10.00,
    IF(arrears_months=5,12.00,15.00)))))))</f>
        <v/>
      </c>
      <c r="M7603">
        <f>LET(
    seasoning_years,DATEDIF('Loan Tape (S&amp;P)'!K7603,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03">
        <f>IF(AND('Loan Tape (S&amp;P)'!U7603="Yes",
        'Loan Tape (S&amp;P)'!T7603&lt;&gt;"Yes",
        DATEDIF('Loan Tape (S&amp;P)'!K7603, TODAY(), "M")&lt;18),
    1.10,
    1.00)</f>
        <v/>
      </c>
      <c r="O7603">
        <f>IF('Loan Tape (S&amp;P)'!T7603="Yes",
    1.35,
    1.00)</f>
        <v/>
      </c>
      <c r="P7603">
        <f>IF('Loan Tape (S&amp;P)'!S7603="Yes",
    1.15,
    1.00)</f>
        <v/>
      </c>
      <c r="Q7603">
        <f>IF('Loan Tape (S&amp;P)'!V7603="Yes",
    1.20,
    1.00)</f>
        <v/>
      </c>
      <c r="T7603">
        <f>LET(
    payment_method,'Loan Tape (S&amp;P)'!P7603,
    occupancy,'Loan Tape (S&amp;P)'!N7603,
    maturity_date,'Loan Tape (S&amp;P)'!L7603,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04">
      <c r="J7604">
        <f>LET(
    lien,'Loan Tape (S&amp;P)'!Q7604,
    IF(lien="First",1.00,
        IF(lien="Second",1.50,
            1.70)))</f>
        <v/>
      </c>
      <c r="K7604">
        <f>LET(
    purpose,'Loan Tape (S&amp;P)'!R7604,
    IF(purpose="Purchase",1.00,
        IF(purpose="Remortgage",1.00,
            1.20)))</f>
        <v/>
      </c>
      <c r="L7604">
        <f>LET(
    arrears_months,'Loan Tape (S&amp;P)'!AN7604,
    IF(arrears_months=0,1.00,
    IF(arrears_months=1,3.00,
    IF(arrears_months=2,5.00,
    IF(arrears_months=3,8.00,
    IF(arrears_months=4,10.00,
    IF(arrears_months=5,12.00,15.00)))))))</f>
        <v/>
      </c>
      <c r="M7604">
        <f>LET(
    seasoning_years,DATEDIF('Loan Tape (S&amp;P)'!K7604,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04">
        <f>IF(AND('Loan Tape (S&amp;P)'!U7604="Yes",
        'Loan Tape (S&amp;P)'!T7604&lt;&gt;"Yes",
        DATEDIF('Loan Tape (S&amp;P)'!K7604, TODAY(), "M")&lt;18),
    1.10,
    1.00)</f>
        <v/>
      </c>
      <c r="O7604">
        <f>IF('Loan Tape (S&amp;P)'!T7604="Yes",
    1.35,
    1.00)</f>
        <v/>
      </c>
      <c r="P7604">
        <f>IF('Loan Tape (S&amp;P)'!S7604="Yes",
    1.15,
    1.00)</f>
        <v/>
      </c>
      <c r="Q7604">
        <f>IF('Loan Tape (S&amp;P)'!V7604="Yes",
    1.20,
    1.00)</f>
        <v/>
      </c>
      <c r="T7604">
        <f>LET(
    payment_method,'Loan Tape (S&amp;P)'!P7604,
    occupancy,'Loan Tape (S&amp;P)'!N7604,
    maturity_date,'Loan Tape (S&amp;P)'!L7604,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05">
      <c r="J7605">
        <f>LET(
    lien,'Loan Tape (S&amp;P)'!Q7605,
    IF(lien="First",1.00,
        IF(lien="Second",1.50,
            1.70)))</f>
        <v/>
      </c>
      <c r="K7605">
        <f>LET(
    purpose,'Loan Tape (S&amp;P)'!R7605,
    IF(purpose="Purchase",1.00,
        IF(purpose="Remortgage",1.00,
            1.20)))</f>
        <v/>
      </c>
      <c r="L7605">
        <f>LET(
    arrears_months,'Loan Tape (S&amp;P)'!AN7605,
    IF(arrears_months=0,1.00,
    IF(arrears_months=1,3.00,
    IF(arrears_months=2,5.00,
    IF(arrears_months=3,8.00,
    IF(arrears_months=4,10.00,
    IF(arrears_months=5,12.00,15.00)))))))</f>
        <v/>
      </c>
      <c r="M7605">
        <f>LET(
    seasoning_years,DATEDIF('Loan Tape (S&amp;P)'!K7605,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05">
        <f>IF(AND('Loan Tape (S&amp;P)'!U7605="Yes",
        'Loan Tape (S&amp;P)'!T7605&lt;&gt;"Yes",
        DATEDIF('Loan Tape (S&amp;P)'!K7605, TODAY(), "M")&lt;18),
    1.10,
    1.00)</f>
        <v/>
      </c>
      <c r="O7605">
        <f>IF('Loan Tape (S&amp;P)'!T7605="Yes",
    1.35,
    1.00)</f>
        <v/>
      </c>
      <c r="P7605">
        <f>IF('Loan Tape (S&amp;P)'!S7605="Yes",
    1.15,
    1.00)</f>
        <v/>
      </c>
      <c r="Q7605">
        <f>IF('Loan Tape (S&amp;P)'!V7605="Yes",
    1.20,
    1.00)</f>
        <v/>
      </c>
      <c r="T7605">
        <f>LET(
    payment_method,'Loan Tape (S&amp;P)'!P7605,
    occupancy,'Loan Tape (S&amp;P)'!N7605,
    maturity_date,'Loan Tape (S&amp;P)'!L7605,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06">
      <c r="J7606">
        <f>LET(
    lien,'Loan Tape (S&amp;P)'!Q7606,
    IF(lien="First",1.00,
        IF(lien="Second",1.50,
            1.70)))</f>
        <v/>
      </c>
      <c r="K7606">
        <f>LET(
    purpose,'Loan Tape (S&amp;P)'!R7606,
    IF(purpose="Purchase",1.00,
        IF(purpose="Remortgage",1.00,
            1.20)))</f>
        <v/>
      </c>
      <c r="L7606">
        <f>LET(
    arrears_months,'Loan Tape (S&amp;P)'!AN7606,
    IF(arrears_months=0,1.00,
    IF(arrears_months=1,3.00,
    IF(arrears_months=2,5.00,
    IF(arrears_months=3,8.00,
    IF(arrears_months=4,10.00,
    IF(arrears_months=5,12.00,15.00)))))))</f>
        <v/>
      </c>
      <c r="M7606">
        <f>LET(
    seasoning_years,DATEDIF('Loan Tape (S&amp;P)'!K7606,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06">
        <f>IF(AND('Loan Tape (S&amp;P)'!U7606="Yes",
        'Loan Tape (S&amp;P)'!T7606&lt;&gt;"Yes",
        DATEDIF('Loan Tape (S&amp;P)'!K7606, TODAY(), "M")&lt;18),
    1.10,
    1.00)</f>
        <v/>
      </c>
      <c r="O7606">
        <f>IF('Loan Tape (S&amp;P)'!T7606="Yes",
    1.35,
    1.00)</f>
        <v/>
      </c>
      <c r="P7606">
        <f>IF('Loan Tape (S&amp;P)'!S7606="Yes",
    1.15,
    1.00)</f>
        <v/>
      </c>
      <c r="Q7606">
        <f>IF('Loan Tape (S&amp;P)'!V7606="Yes",
    1.20,
    1.00)</f>
        <v/>
      </c>
      <c r="T7606">
        <f>LET(
    payment_method,'Loan Tape (S&amp;P)'!P7606,
    occupancy,'Loan Tape (S&amp;P)'!N7606,
    maturity_date,'Loan Tape (S&amp;P)'!L7606,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07">
      <c r="J7607">
        <f>LET(
    lien,'Loan Tape (S&amp;P)'!Q7607,
    IF(lien="First",1.00,
        IF(lien="Second",1.50,
            1.70)))</f>
        <v/>
      </c>
      <c r="K7607">
        <f>LET(
    purpose,'Loan Tape (S&amp;P)'!R7607,
    IF(purpose="Purchase",1.00,
        IF(purpose="Remortgage",1.00,
            1.20)))</f>
        <v/>
      </c>
      <c r="L7607">
        <f>LET(
    arrears_months,'Loan Tape (S&amp;P)'!AN7607,
    IF(arrears_months=0,1.00,
    IF(arrears_months=1,3.00,
    IF(arrears_months=2,5.00,
    IF(arrears_months=3,8.00,
    IF(arrears_months=4,10.00,
    IF(arrears_months=5,12.00,15.00)))))))</f>
        <v/>
      </c>
      <c r="M7607">
        <f>LET(
    seasoning_years,DATEDIF('Loan Tape (S&amp;P)'!K7607,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07">
        <f>IF(AND('Loan Tape (S&amp;P)'!U7607="Yes",
        'Loan Tape (S&amp;P)'!T7607&lt;&gt;"Yes",
        DATEDIF('Loan Tape (S&amp;P)'!K7607, TODAY(), "M")&lt;18),
    1.10,
    1.00)</f>
        <v/>
      </c>
      <c r="O7607">
        <f>IF('Loan Tape (S&amp;P)'!T7607="Yes",
    1.35,
    1.00)</f>
        <v/>
      </c>
      <c r="P7607">
        <f>IF('Loan Tape (S&amp;P)'!S7607="Yes",
    1.15,
    1.00)</f>
        <v/>
      </c>
      <c r="Q7607">
        <f>IF('Loan Tape (S&amp;P)'!V7607="Yes",
    1.20,
    1.00)</f>
        <v/>
      </c>
      <c r="T7607">
        <f>LET(
    payment_method,'Loan Tape (S&amp;P)'!P7607,
    occupancy,'Loan Tape (S&amp;P)'!N7607,
    maturity_date,'Loan Tape (S&amp;P)'!L7607,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08">
      <c r="J7608">
        <f>LET(
    lien,'Loan Tape (S&amp;P)'!Q7608,
    IF(lien="First",1.00,
        IF(lien="Second",1.50,
            1.70)))</f>
        <v/>
      </c>
      <c r="K7608">
        <f>LET(
    purpose,'Loan Tape (S&amp;P)'!R7608,
    IF(purpose="Purchase",1.00,
        IF(purpose="Remortgage",1.00,
            1.20)))</f>
        <v/>
      </c>
      <c r="L7608">
        <f>LET(
    arrears_months,'Loan Tape (S&amp;P)'!AN7608,
    IF(arrears_months=0,1.00,
    IF(arrears_months=1,3.00,
    IF(arrears_months=2,5.00,
    IF(arrears_months=3,8.00,
    IF(arrears_months=4,10.00,
    IF(arrears_months=5,12.00,15.00)))))))</f>
        <v/>
      </c>
      <c r="M7608">
        <f>LET(
    seasoning_years,DATEDIF('Loan Tape (S&amp;P)'!K7608,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08">
        <f>IF(AND('Loan Tape (S&amp;P)'!U7608="Yes",
        'Loan Tape (S&amp;P)'!T7608&lt;&gt;"Yes",
        DATEDIF('Loan Tape (S&amp;P)'!K7608, TODAY(), "M")&lt;18),
    1.10,
    1.00)</f>
        <v/>
      </c>
      <c r="O7608">
        <f>IF('Loan Tape (S&amp;P)'!T7608="Yes",
    1.35,
    1.00)</f>
        <v/>
      </c>
      <c r="P7608">
        <f>IF('Loan Tape (S&amp;P)'!S7608="Yes",
    1.15,
    1.00)</f>
        <v/>
      </c>
      <c r="Q7608">
        <f>IF('Loan Tape (S&amp;P)'!V7608="Yes",
    1.20,
    1.00)</f>
        <v/>
      </c>
      <c r="T7608">
        <f>LET(
    payment_method,'Loan Tape (S&amp;P)'!P7608,
    occupancy,'Loan Tape (S&amp;P)'!N7608,
    maturity_date,'Loan Tape (S&amp;P)'!L7608,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09">
      <c r="J7609">
        <f>LET(
    lien,'Loan Tape (S&amp;P)'!Q7609,
    IF(lien="First",1.00,
        IF(lien="Second",1.50,
            1.70)))</f>
        <v/>
      </c>
      <c r="K7609">
        <f>LET(
    purpose,'Loan Tape (S&amp;P)'!R7609,
    IF(purpose="Purchase",1.00,
        IF(purpose="Remortgage",1.00,
            1.20)))</f>
        <v/>
      </c>
      <c r="L7609">
        <f>LET(
    arrears_months,'Loan Tape (S&amp;P)'!AN7609,
    IF(arrears_months=0,1.00,
    IF(arrears_months=1,3.00,
    IF(arrears_months=2,5.00,
    IF(arrears_months=3,8.00,
    IF(arrears_months=4,10.00,
    IF(arrears_months=5,12.00,15.00)))))))</f>
        <v/>
      </c>
      <c r="M7609">
        <f>LET(
    seasoning_years,DATEDIF('Loan Tape (S&amp;P)'!K7609,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09">
        <f>IF(AND('Loan Tape (S&amp;P)'!U7609="Yes",
        'Loan Tape (S&amp;P)'!T7609&lt;&gt;"Yes",
        DATEDIF('Loan Tape (S&amp;P)'!K7609, TODAY(), "M")&lt;18),
    1.10,
    1.00)</f>
        <v/>
      </c>
      <c r="O7609">
        <f>IF('Loan Tape (S&amp;P)'!T7609="Yes",
    1.35,
    1.00)</f>
        <v/>
      </c>
      <c r="P7609">
        <f>IF('Loan Tape (S&amp;P)'!S7609="Yes",
    1.15,
    1.00)</f>
        <v/>
      </c>
      <c r="Q7609">
        <f>IF('Loan Tape (S&amp;P)'!V7609="Yes",
    1.20,
    1.00)</f>
        <v/>
      </c>
      <c r="T7609">
        <f>LET(
    payment_method,'Loan Tape (S&amp;P)'!P7609,
    occupancy,'Loan Tape (S&amp;P)'!N7609,
    maturity_date,'Loan Tape (S&amp;P)'!L7609,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10">
      <c r="J7610">
        <f>LET(
    lien,'Loan Tape (S&amp;P)'!Q7610,
    IF(lien="First",1.00,
        IF(lien="Second",1.50,
            1.70)))</f>
        <v/>
      </c>
      <c r="K7610">
        <f>LET(
    purpose,'Loan Tape (S&amp;P)'!R7610,
    IF(purpose="Purchase",1.00,
        IF(purpose="Remortgage",1.00,
            1.20)))</f>
        <v/>
      </c>
      <c r="L7610">
        <f>LET(
    arrears_months,'Loan Tape (S&amp;P)'!AN7610,
    IF(arrears_months=0,1.00,
    IF(arrears_months=1,3.00,
    IF(arrears_months=2,5.00,
    IF(arrears_months=3,8.00,
    IF(arrears_months=4,10.00,
    IF(arrears_months=5,12.00,15.00)))))))</f>
        <v/>
      </c>
      <c r="M7610">
        <f>LET(
    seasoning_years,DATEDIF('Loan Tape (S&amp;P)'!K7610,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10">
        <f>IF(AND('Loan Tape (S&amp;P)'!U7610="Yes",
        'Loan Tape (S&amp;P)'!T7610&lt;&gt;"Yes",
        DATEDIF('Loan Tape (S&amp;P)'!K7610, TODAY(), "M")&lt;18),
    1.10,
    1.00)</f>
        <v/>
      </c>
      <c r="O7610">
        <f>IF('Loan Tape (S&amp;P)'!T7610="Yes",
    1.35,
    1.00)</f>
        <v/>
      </c>
      <c r="P7610">
        <f>IF('Loan Tape (S&amp;P)'!S7610="Yes",
    1.15,
    1.00)</f>
        <v/>
      </c>
      <c r="Q7610">
        <f>IF('Loan Tape (S&amp;P)'!V7610="Yes",
    1.20,
    1.00)</f>
        <v/>
      </c>
      <c r="T7610">
        <f>LET(
    payment_method,'Loan Tape (S&amp;P)'!P7610,
    occupancy,'Loan Tape (S&amp;P)'!N7610,
    maturity_date,'Loan Tape (S&amp;P)'!L7610,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11">
      <c r="J7611">
        <f>LET(
    lien,'Loan Tape (S&amp;P)'!Q7611,
    IF(lien="First",1.00,
        IF(lien="Second",1.50,
            1.70)))</f>
        <v/>
      </c>
      <c r="K7611">
        <f>LET(
    purpose,'Loan Tape (S&amp;P)'!R7611,
    IF(purpose="Purchase",1.00,
        IF(purpose="Remortgage",1.00,
            1.20)))</f>
        <v/>
      </c>
      <c r="L7611">
        <f>LET(
    arrears_months,'Loan Tape (S&amp;P)'!AN7611,
    IF(arrears_months=0,1.00,
    IF(arrears_months=1,3.00,
    IF(arrears_months=2,5.00,
    IF(arrears_months=3,8.00,
    IF(arrears_months=4,10.00,
    IF(arrears_months=5,12.00,15.00)))))))</f>
        <v/>
      </c>
      <c r="M7611">
        <f>LET(
    seasoning_years,DATEDIF('Loan Tape (S&amp;P)'!K7611,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11">
        <f>IF(AND('Loan Tape (S&amp;P)'!U7611="Yes",
        'Loan Tape (S&amp;P)'!T7611&lt;&gt;"Yes",
        DATEDIF('Loan Tape (S&amp;P)'!K7611, TODAY(), "M")&lt;18),
    1.10,
    1.00)</f>
        <v/>
      </c>
      <c r="O7611">
        <f>IF('Loan Tape (S&amp;P)'!T7611="Yes",
    1.35,
    1.00)</f>
        <v/>
      </c>
      <c r="P7611">
        <f>IF('Loan Tape (S&amp;P)'!S7611="Yes",
    1.15,
    1.00)</f>
        <v/>
      </c>
      <c r="Q7611">
        <f>IF('Loan Tape (S&amp;P)'!V7611="Yes",
    1.20,
    1.00)</f>
        <v/>
      </c>
      <c r="T7611">
        <f>LET(
    payment_method,'Loan Tape (S&amp;P)'!P7611,
    occupancy,'Loan Tape (S&amp;P)'!N7611,
    maturity_date,'Loan Tape (S&amp;P)'!L7611,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12">
      <c r="J7612">
        <f>LET(
    lien,'Loan Tape (S&amp;P)'!Q7612,
    IF(lien="First",1.00,
        IF(lien="Second",1.50,
            1.70)))</f>
        <v/>
      </c>
      <c r="K7612">
        <f>LET(
    purpose,'Loan Tape (S&amp;P)'!R7612,
    IF(purpose="Purchase",1.00,
        IF(purpose="Remortgage",1.00,
            1.20)))</f>
        <v/>
      </c>
      <c r="L7612">
        <f>LET(
    arrears_months,'Loan Tape (S&amp;P)'!AN7612,
    IF(arrears_months=0,1.00,
    IF(arrears_months=1,3.00,
    IF(arrears_months=2,5.00,
    IF(arrears_months=3,8.00,
    IF(arrears_months=4,10.00,
    IF(arrears_months=5,12.00,15.00)))))))</f>
        <v/>
      </c>
      <c r="M7612">
        <f>LET(
    seasoning_years,DATEDIF('Loan Tape (S&amp;P)'!K7612,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12">
        <f>IF(AND('Loan Tape (S&amp;P)'!U7612="Yes",
        'Loan Tape (S&amp;P)'!T7612&lt;&gt;"Yes",
        DATEDIF('Loan Tape (S&amp;P)'!K7612, TODAY(), "M")&lt;18),
    1.10,
    1.00)</f>
        <v/>
      </c>
      <c r="O7612">
        <f>IF('Loan Tape (S&amp;P)'!T7612="Yes",
    1.35,
    1.00)</f>
        <v/>
      </c>
      <c r="P7612">
        <f>IF('Loan Tape (S&amp;P)'!S7612="Yes",
    1.15,
    1.00)</f>
        <v/>
      </c>
      <c r="Q7612">
        <f>IF('Loan Tape (S&amp;P)'!V7612="Yes",
    1.20,
    1.00)</f>
        <v/>
      </c>
      <c r="T7612">
        <f>LET(
    payment_method,'Loan Tape (S&amp;P)'!P7612,
    occupancy,'Loan Tape (S&amp;P)'!N7612,
    maturity_date,'Loan Tape (S&amp;P)'!L7612,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13">
      <c r="J7613">
        <f>LET(
    lien,'Loan Tape (S&amp;P)'!Q7613,
    IF(lien="First",1.00,
        IF(lien="Second",1.50,
            1.70)))</f>
        <v/>
      </c>
      <c r="K7613">
        <f>LET(
    purpose,'Loan Tape (S&amp;P)'!R7613,
    IF(purpose="Purchase",1.00,
        IF(purpose="Remortgage",1.00,
            1.20)))</f>
        <v/>
      </c>
      <c r="L7613">
        <f>LET(
    arrears_months,'Loan Tape (S&amp;P)'!AN7613,
    IF(arrears_months=0,1.00,
    IF(arrears_months=1,3.00,
    IF(arrears_months=2,5.00,
    IF(arrears_months=3,8.00,
    IF(arrears_months=4,10.00,
    IF(arrears_months=5,12.00,15.00)))))))</f>
        <v/>
      </c>
      <c r="M7613">
        <f>LET(
    seasoning_years,DATEDIF('Loan Tape (S&amp;P)'!K7613,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13">
        <f>IF(AND('Loan Tape (S&amp;P)'!U7613="Yes",
        'Loan Tape (S&amp;P)'!T7613&lt;&gt;"Yes",
        DATEDIF('Loan Tape (S&amp;P)'!K7613, TODAY(), "M")&lt;18),
    1.10,
    1.00)</f>
        <v/>
      </c>
      <c r="O7613">
        <f>IF('Loan Tape (S&amp;P)'!T7613="Yes",
    1.35,
    1.00)</f>
        <v/>
      </c>
      <c r="P7613">
        <f>IF('Loan Tape (S&amp;P)'!S7613="Yes",
    1.15,
    1.00)</f>
        <v/>
      </c>
      <c r="Q7613">
        <f>IF('Loan Tape (S&amp;P)'!V7613="Yes",
    1.20,
    1.00)</f>
        <v/>
      </c>
      <c r="T7613">
        <f>LET(
    payment_method,'Loan Tape (S&amp;P)'!P7613,
    occupancy,'Loan Tape (S&amp;P)'!N7613,
    maturity_date,'Loan Tape (S&amp;P)'!L7613,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14">
      <c r="J7614">
        <f>LET(
    lien,'Loan Tape (S&amp;P)'!Q7614,
    IF(lien="First",1.00,
        IF(lien="Second",1.50,
            1.70)))</f>
        <v/>
      </c>
      <c r="K7614">
        <f>LET(
    purpose,'Loan Tape (S&amp;P)'!R7614,
    IF(purpose="Purchase",1.00,
        IF(purpose="Remortgage",1.00,
            1.20)))</f>
        <v/>
      </c>
      <c r="L7614">
        <f>LET(
    arrears_months,'Loan Tape (S&amp;P)'!AN7614,
    IF(arrears_months=0,1.00,
    IF(arrears_months=1,3.00,
    IF(arrears_months=2,5.00,
    IF(arrears_months=3,8.00,
    IF(arrears_months=4,10.00,
    IF(arrears_months=5,12.00,15.00)))))))</f>
        <v/>
      </c>
      <c r="M7614">
        <f>LET(
    seasoning_years,DATEDIF('Loan Tape (S&amp;P)'!K7614,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14">
        <f>IF(AND('Loan Tape (S&amp;P)'!U7614="Yes",
        'Loan Tape (S&amp;P)'!T7614&lt;&gt;"Yes",
        DATEDIF('Loan Tape (S&amp;P)'!K7614, TODAY(), "M")&lt;18),
    1.10,
    1.00)</f>
        <v/>
      </c>
      <c r="O7614">
        <f>IF('Loan Tape (S&amp;P)'!T7614="Yes",
    1.35,
    1.00)</f>
        <v/>
      </c>
      <c r="P7614">
        <f>IF('Loan Tape (S&amp;P)'!S7614="Yes",
    1.15,
    1.00)</f>
        <v/>
      </c>
      <c r="Q7614">
        <f>IF('Loan Tape (S&amp;P)'!V7614="Yes",
    1.20,
    1.00)</f>
        <v/>
      </c>
      <c r="T7614">
        <f>LET(
    payment_method,'Loan Tape (S&amp;P)'!P7614,
    occupancy,'Loan Tape (S&amp;P)'!N7614,
    maturity_date,'Loan Tape (S&amp;P)'!L7614,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15">
      <c r="J7615">
        <f>LET(
    lien,'Loan Tape (S&amp;P)'!Q7615,
    IF(lien="First",1.00,
        IF(lien="Second",1.50,
            1.70)))</f>
        <v/>
      </c>
      <c r="K7615">
        <f>LET(
    purpose,'Loan Tape (S&amp;P)'!R7615,
    IF(purpose="Purchase",1.00,
        IF(purpose="Remortgage",1.00,
            1.20)))</f>
        <v/>
      </c>
      <c r="L7615">
        <f>LET(
    arrears_months,'Loan Tape (S&amp;P)'!AN7615,
    IF(arrears_months=0,1.00,
    IF(arrears_months=1,3.00,
    IF(arrears_months=2,5.00,
    IF(arrears_months=3,8.00,
    IF(arrears_months=4,10.00,
    IF(arrears_months=5,12.00,15.00)))))))</f>
        <v/>
      </c>
      <c r="M7615">
        <f>LET(
    seasoning_years,DATEDIF('Loan Tape (S&amp;P)'!K7615,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15">
        <f>IF(AND('Loan Tape (S&amp;P)'!U7615="Yes",
        'Loan Tape (S&amp;P)'!T7615&lt;&gt;"Yes",
        DATEDIF('Loan Tape (S&amp;P)'!K7615, TODAY(), "M")&lt;18),
    1.10,
    1.00)</f>
        <v/>
      </c>
      <c r="O7615">
        <f>IF('Loan Tape (S&amp;P)'!T7615="Yes",
    1.35,
    1.00)</f>
        <v/>
      </c>
      <c r="P7615">
        <f>IF('Loan Tape (S&amp;P)'!S7615="Yes",
    1.15,
    1.00)</f>
        <v/>
      </c>
      <c r="Q7615">
        <f>IF('Loan Tape (S&amp;P)'!V7615="Yes",
    1.20,
    1.00)</f>
        <v/>
      </c>
      <c r="T7615">
        <f>LET(
    payment_method,'Loan Tape (S&amp;P)'!P7615,
    occupancy,'Loan Tape (S&amp;P)'!N7615,
    maturity_date,'Loan Tape (S&amp;P)'!L7615,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16">
      <c r="J7616">
        <f>LET(
    lien,'Loan Tape (S&amp;P)'!Q7616,
    IF(lien="First",1.00,
        IF(lien="Second",1.50,
            1.70)))</f>
        <v/>
      </c>
      <c r="K7616">
        <f>LET(
    purpose,'Loan Tape (S&amp;P)'!R7616,
    IF(purpose="Purchase",1.00,
        IF(purpose="Remortgage",1.00,
            1.20)))</f>
        <v/>
      </c>
      <c r="L7616">
        <f>LET(
    arrears_months,'Loan Tape (S&amp;P)'!AN7616,
    IF(arrears_months=0,1.00,
    IF(arrears_months=1,3.00,
    IF(arrears_months=2,5.00,
    IF(arrears_months=3,8.00,
    IF(arrears_months=4,10.00,
    IF(arrears_months=5,12.00,15.00)))))))</f>
        <v/>
      </c>
      <c r="M7616">
        <f>LET(
    seasoning_years,DATEDIF('Loan Tape (S&amp;P)'!K7616,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16">
        <f>IF(AND('Loan Tape (S&amp;P)'!U7616="Yes",
        'Loan Tape (S&amp;P)'!T7616&lt;&gt;"Yes",
        DATEDIF('Loan Tape (S&amp;P)'!K7616, TODAY(), "M")&lt;18),
    1.10,
    1.00)</f>
        <v/>
      </c>
      <c r="O7616">
        <f>IF('Loan Tape (S&amp;P)'!T7616="Yes",
    1.35,
    1.00)</f>
        <v/>
      </c>
      <c r="P7616">
        <f>IF('Loan Tape (S&amp;P)'!S7616="Yes",
    1.15,
    1.00)</f>
        <v/>
      </c>
      <c r="Q7616">
        <f>IF('Loan Tape (S&amp;P)'!V7616="Yes",
    1.20,
    1.00)</f>
        <v/>
      </c>
      <c r="T7616">
        <f>LET(
    payment_method,'Loan Tape (S&amp;P)'!P7616,
    occupancy,'Loan Tape (S&amp;P)'!N7616,
    maturity_date,'Loan Tape (S&amp;P)'!L7616,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17">
      <c r="J7617">
        <f>LET(
    lien,'Loan Tape (S&amp;P)'!Q7617,
    IF(lien="First",1.00,
        IF(lien="Second",1.50,
            1.70)))</f>
        <v/>
      </c>
      <c r="K7617">
        <f>LET(
    purpose,'Loan Tape (S&amp;P)'!R7617,
    IF(purpose="Purchase",1.00,
        IF(purpose="Remortgage",1.00,
            1.20)))</f>
        <v/>
      </c>
      <c r="L7617">
        <f>LET(
    arrears_months,'Loan Tape (S&amp;P)'!AN7617,
    IF(arrears_months=0,1.00,
    IF(arrears_months=1,3.00,
    IF(arrears_months=2,5.00,
    IF(arrears_months=3,8.00,
    IF(arrears_months=4,10.00,
    IF(arrears_months=5,12.00,15.00)))))))</f>
        <v/>
      </c>
      <c r="M7617">
        <f>LET(
    seasoning_years,DATEDIF('Loan Tape (S&amp;P)'!K7617,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17">
        <f>IF(AND('Loan Tape (S&amp;P)'!U7617="Yes",
        'Loan Tape (S&amp;P)'!T7617&lt;&gt;"Yes",
        DATEDIF('Loan Tape (S&amp;P)'!K7617, TODAY(), "M")&lt;18),
    1.10,
    1.00)</f>
        <v/>
      </c>
      <c r="O7617">
        <f>IF('Loan Tape (S&amp;P)'!T7617="Yes",
    1.35,
    1.00)</f>
        <v/>
      </c>
      <c r="P7617">
        <f>IF('Loan Tape (S&amp;P)'!S7617="Yes",
    1.15,
    1.00)</f>
        <v/>
      </c>
      <c r="Q7617">
        <f>IF('Loan Tape (S&amp;P)'!V7617="Yes",
    1.20,
    1.00)</f>
        <v/>
      </c>
      <c r="T7617">
        <f>LET(
    payment_method,'Loan Tape (S&amp;P)'!P7617,
    occupancy,'Loan Tape (S&amp;P)'!N7617,
    maturity_date,'Loan Tape (S&amp;P)'!L7617,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18">
      <c r="J7618">
        <f>LET(
    lien,'Loan Tape (S&amp;P)'!Q7618,
    IF(lien="First",1.00,
        IF(lien="Second",1.50,
            1.70)))</f>
        <v/>
      </c>
      <c r="K7618">
        <f>LET(
    purpose,'Loan Tape (S&amp;P)'!R7618,
    IF(purpose="Purchase",1.00,
        IF(purpose="Remortgage",1.00,
            1.20)))</f>
        <v/>
      </c>
      <c r="L7618">
        <f>LET(
    arrears_months,'Loan Tape (S&amp;P)'!AN7618,
    IF(arrears_months=0,1.00,
    IF(arrears_months=1,3.00,
    IF(arrears_months=2,5.00,
    IF(arrears_months=3,8.00,
    IF(arrears_months=4,10.00,
    IF(arrears_months=5,12.00,15.00)))))))</f>
        <v/>
      </c>
      <c r="M7618">
        <f>LET(
    seasoning_years,DATEDIF('Loan Tape (S&amp;P)'!K7618,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18">
        <f>IF(AND('Loan Tape (S&amp;P)'!U7618="Yes",
        'Loan Tape (S&amp;P)'!T7618&lt;&gt;"Yes",
        DATEDIF('Loan Tape (S&amp;P)'!K7618, TODAY(), "M")&lt;18),
    1.10,
    1.00)</f>
        <v/>
      </c>
      <c r="O7618">
        <f>IF('Loan Tape (S&amp;P)'!T7618="Yes",
    1.35,
    1.00)</f>
        <v/>
      </c>
      <c r="P7618">
        <f>IF('Loan Tape (S&amp;P)'!S7618="Yes",
    1.15,
    1.00)</f>
        <v/>
      </c>
      <c r="Q7618">
        <f>IF('Loan Tape (S&amp;P)'!V7618="Yes",
    1.20,
    1.00)</f>
        <v/>
      </c>
      <c r="T7618">
        <f>LET(
    payment_method,'Loan Tape (S&amp;P)'!P7618,
    occupancy,'Loan Tape (S&amp;P)'!N7618,
    maturity_date,'Loan Tape (S&amp;P)'!L7618,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19">
      <c r="J7619">
        <f>LET(
    lien,'Loan Tape (S&amp;P)'!Q7619,
    IF(lien="First",1.00,
        IF(lien="Second",1.50,
            1.70)))</f>
        <v/>
      </c>
      <c r="K7619">
        <f>LET(
    purpose,'Loan Tape (S&amp;P)'!R7619,
    IF(purpose="Purchase",1.00,
        IF(purpose="Remortgage",1.00,
            1.20)))</f>
        <v/>
      </c>
      <c r="L7619">
        <f>LET(
    arrears_months,'Loan Tape (S&amp;P)'!AN7619,
    IF(arrears_months=0,1.00,
    IF(arrears_months=1,3.00,
    IF(arrears_months=2,5.00,
    IF(arrears_months=3,8.00,
    IF(arrears_months=4,10.00,
    IF(arrears_months=5,12.00,15.00)))))))</f>
        <v/>
      </c>
      <c r="M7619">
        <f>LET(
    seasoning_years,DATEDIF('Loan Tape (S&amp;P)'!K7619,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19">
        <f>IF(AND('Loan Tape (S&amp;P)'!U7619="Yes",
        'Loan Tape (S&amp;P)'!T7619&lt;&gt;"Yes",
        DATEDIF('Loan Tape (S&amp;P)'!K7619, TODAY(), "M")&lt;18),
    1.10,
    1.00)</f>
        <v/>
      </c>
      <c r="O7619">
        <f>IF('Loan Tape (S&amp;P)'!T7619="Yes",
    1.35,
    1.00)</f>
        <v/>
      </c>
      <c r="P7619">
        <f>IF('Loan Tape (S&amp;P)'!S7619="Yes",
    1.15,
    1.00)</f>
        <v/>
      </c>
      <c r="Q7619">
        <f>IF('Loan Tape (S&amp;P)'!V7619="Yes",
    1.20,
    1.00)</f>
        <v/>
      </c>
      <c r="T7619">
        <f>LET(
    payment_method,'Loan Tape (S&amp;P)'!P7619,
    occupancy,'Loan Tape (S&amp;P)'!N7619,
    maturity_date,'Loan Tape (S&amp;P)'!L7619,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20">
      <c r="J7620">
        <f>LET(
    lien,'Loan Tape (S&amp;P)'!Q7620,
    IF(lien="First",1.00,
        IF(lien="Second",1.50,
            1.70)))</f>
        <v/>
      </c>
      <c r="K7620">
        <f>LET(
    purpose,'Loan Tape (S&amp;P)'!R7620,
    IF(purpose="Purchase",1.00,
        IF(purpose="Remortgage",1.00,
            1.20)))</f>
        <v/>
      </c>
      <c r="L7620">
        <f>LET(
    arrears_months,'Loan Tape (S&amp;P)'!AN7620,
    IF(arrears_months=0,1.00,
    IF(arrears_months=1,3.00,
    IF(arrears_months=2,5.00,
    IF(arrears_months=3,8.00,
    IF(arrears_months=4,10.00,
    IF(arrears_months=5,12.00,15.00)))))))</f>
        <v/>
      </c>
      <c r="M7620">
        <f>LET(
    seasoning_years,DATEDIF('Loan Tape (S&amp;P)'!K7620,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20">
        <f>IF(AND('Loan Tape (S&amp;P)'!U7620="Yes",
        'Loan Tape (S&amp;P)'!T7620&lt;&gt;"Yes",
        DATEDIF('Loan Tape (S&amp;P)'!K7620, TODAY(), "M")&lt;18),
    1.10,
    1.00)</f>
        <v/>
      </c>
      <c r="O7620">
        <f>IF('Loan Tape (S&amp;P)'!T7620="Yes",
    1.35,
    1.00)</f>
        <v/>
      </c>
      <c r="P7620">
        <f>IF('Loan Tape (S&amp;P)'!S7620="Yes",
    1.15,
    1.00)</f>
        <v/>
      </c>
      <c r="Q7620">
        <f>IF('Loan Tape (S&amp;P)'!V7620="Yes",
    1.20,
    1.00)</f>
        <v/>
      </c>
      <c r="T7620">
        <f>LET(
    payment_method,'Loan Tape (S&amp;P)'!P7620,
    occupancy,'Loan Tape (S&amp;P)'!N7620,
    maturity_date,'Loan Tape (S&amp;P)'!L7620,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21">
      <c r="J7621">
        <f>LET(
    lien,'Loan Tape (S&amp;P)'!Q7621,
    IF(lien="First",1.00,
        IF(lien="Second",1.50,
            1.70)))</f>
        <v/>
      </c>
      <c r="K7621">
        <f>LET(
    purpose,'Loan Tape (S&amp;P)'!R7621,
    IF(purpose="Purchase",1.00,
        IF(purpose="Remortgage",1.00,
            1.20)))</f>
        <v/>
      </c>
      <c r="L7621">
        <f>LET(
    arrears_months,'Loan Tape (S&amp;P)'!AN7621,
    IF(arrears_months=0,1.00,
    IF(arrears_months=1,3.00,
    IF(arrears_months=2,5.00,
    IF(arrears_months=3,8.00,
    IF(arrears_months=4,10.00,
    IF(arrears_months=5,12.00,15.00)))))))</f>
        <v/>
      </c>
      <c r="M7621">
        <f>LET(
    seasoning_years,DATEDIF('Loan Tape (S&amp;P)'!K7621,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21">
        <f>IF(AND('Loan Tape (S&amp;P)'!U7621="Yes",
        'Loan Tape (S&amp;P)'!T7621&lt;&gt;"Yes",
        DATEDIF('Loan Tape (S&amp;P)'!K7621, TODAY(), "M")&lt;18),
    1.10,
    1.00)</f>
        <v/>
      </c>
      <c r="O7621">
        <f>IF('Loan Tape (S&amp;P)'!T7621="Yes",
    1.35,
    1.00)</f>
        <v/>
      </c>
      <c r="P7621">
        <f>IF('Loan Tape (S&amp;P)'!S7621="Yes",
    1.15,
    1.00)</f>
        <v/>
      </c>
      <c r="Q7621">
        <f>IF('Loan Tape (S&amp;P)'!V7621="Yes",
    1.20,
    1.00)</f>
        <v/>
      </c>
      <c r="T7621">
        <f>LET(
    payment_method,'Loan Tape (S&amp;P)'!P7621,
    occupancy,'Loan Tape (S&amp;P)'!N7621,
    maturity_date,'Loan Tape (S&amp;P)'!L7621,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22">
      <c r="J7622">
        <f>LET(
    lien,'Loan Tape (S&amp;P)'!Q7622,
    IF(lien="First",1.00,
        IF(lien="Second",1.50,
            1.70)))</f>
        <v/>
      </c>
      <c r="K7622">
        <f>LET(
    purpose,'Loan Tape (S&amp;P)'!R7622,
    IF(purpose="Purchase",1.00,
        IF(purpose="Remortgage",1.00,
            1.20)))</f>
        <v/>
      </c>
      <c r="L7622">
        <f>LET(
    arrears_months,'Loan Tape (S&amp;P)'!AN7622,
    IF(arrears_months=0,1.00,
    IF(arrears_months=1,3.00,
    IF(arrears_months=2,5.00,
    IF(arrears_months=3,8.00,
    IF(arrears_months=4,10.00,
    IF(arrears_months=5,12.00,15.00)))))))</f>
        <v/>
      </c>
      <c r="M7622">
        <f>LET(
    seasoning_years,DATEDIF('Loan Tape (S&amp;P)'!K7622,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22">
        <f>IF(AND('Loan Tape (S&amp;P)'!U7622="Yes",
        'Loan Tape (S&amp;P)'!T7622&lt;&gt;"Yes",
        DATEDIF('Loan Tape (S&amp;P)'!K7622, TODAY(), "M")&lt;18),
    1.10,
    1.00)</f>
        <v/>
      </c>
      <c r="O7622">
        <f>IF('Loan Tape (S&amp;P)'!T7622="Yes",
    1.35,
    1.00)</f>
        <v/>
      </c>
      <c r="P7622">
        <f>IF('Loan Tape (S&amp;P)'!S7622="Yes",
    1.15,
    1.00)</f>
        <v/>
      </c>
      <c r="Q7622">
        <f>IF('Loan Tape (S&amp;P)'!V7622="Yes",
    1.20,
    1.00)</f>
        <v/>
      </c>
      <c r="T7622">
        <f>LET(
    payment_method,'Loan Tape (S&amp;P)'!P7622,
    occupancy,'Loan Tape (S&amp;P)'!N7622,
    maturity_date,'Loan Tape (S&amp;P)'!L7622,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23">
      <c r="J7623">
        <f>LET(
    lien,'Loan Tape (S&amp;P)'!Q7623,
    IF(lien="First",1.00,
        IF(lien="Second",1.50,
            1.70)))</f>
        <v/>
      </c>
      <c r="K7623">
        <f>LET(
    purpose,'Loan Tape (S&amp;P)'!R7623,
    IF(purpose="Purchase",1.00,
        IF(purpose="Remortgage",1.00,
            1.20)))</f>
        <v/>
      </c>
      <c r="L7623">
        <f>LET(
    arrears_months,'Loan Tape (S&amp;P)'!AN7623,
    IF(arrears_months=0,1.00,
    IF(arrears_months=1,3.00,
    IF(arrears_months=2,5.00,
    IF(arrears_months=3,8.00,
    IF(arrears_months=4,10.00,
    IF(arrears_months=5,12.00,15.00)))))))</f>
        <v/>
      </c>
      <c r="M7623">
        <f>LET(
    seasoning_years,DATEDIF('Loan Tape (S&amp;P)'!K7623,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23">
        <f>IF(AND('Loan Tape (S&amp;P)'!U7623="Yes",
        'Loan Tape (S&amp;P)'!T7623&lt;&gt;"Yes",
        DATEDIF('Loan Tape (S&amp;P)'!K7623, TODAY(), "M")&lt;18),
    1.10,
    1.00)</f>
        <v/>
      </c>
      <c r="O7623">
        <f>IF('Loan Tape (S&amp;P)'!T7623="Yes",
    1.35,
    1.00)</f>
        <v/>
      </c>
      <c r="P7623">
        <f>IF('Loan Tape (S&amp;P)'!S7623="Yes",
    1.15,
    1.00)</f>
        <v/>
      </c>
      <c r="Q7623">
        <f>IF('Loan Tape (S&amp;P)'!V7623="Yes",
    1.20,
    1.00)</f>
        <v/>
      </c>
      <c r="T7623">
        <f>LET(
    payment_method,'Loan Tape (S&amp;P)'!P7623,
    occupancy,'Loan Tape (S&amp;P)'!N7623,
    maturity_date,'Loan Tape (S&amp;P)'!L7623,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24">
      <c r="J7624">
        <f>LET(
    lien,'Loan Tape (S&amp;P)'!Q7624,
    IF(lien="First",1.00,
        IF(lien="Second",1.50,
            1.70)))</f>
        <v/>
      </c>
      <c r="K7624">
        <f>LET(
    purpose,'Loan Tape (S&amp;P)'!R7624,
    IF(purpose="Purchase",1.00,
        IF(purpose="Remortgage",1.00,
            1.20)))</f>
        <v/>
      </c>
      <c r="L7624">
        <f>LET(
    arrears_months,'Loan Tape (S&amp;P)'!AN7624,
    IF(arrears_months=0,1.00,
    IF(arrears_months=1,3.00,
    IF(arrears_months=2,5.00,
    IF(arrears_months=3,8.00,
    IF(arrears_months=4,10.00,
    IF(arrears_months=5,12.00,15.00)))))))</f>
        <v/>
      </c>
      <c r="M7624">
        <f>LET(
    seasoning_years,DATEDIF('Loan Tape (S&amp;P)'!K7624,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24">
        <f>IF(AND('Loan Tape (S&amp;P)'!U7624="Yes",
        'Loan Tape (S&amp;P)'!T7624&lt;&gt;"Yes",
        DATEDIF('Loan Tape (S&amp;P)'!K7624, TODAY(), "M")&lt;18),
    1.10,
    1.00)</f>
        <v/>
      </c>
      <c r="O7624">
        <f>IF('Loan Tape (S&amp;P)'!T7624="Yes",
    1.35,
    1.00)</f>
        <v/>
      </c>
      <c r="P7624">
        <f>IF('Loan Tape (S&amp;P)'!S7624="Yes",
    1.15,
    1.00)</f>
        <v/>
      </c>
      <c r="Q7624">
        <f>IF('Loan Tape (S&amp;P)'!V7624="Yes",
    1.20,
    1.00)</f>
        <v/>
      </c>
      <c r="T7624">
        <f>LET(
    payment_method,'Loan Tape (S&amp;P)'!P7624,
    occupancy,'Loan Tape (S&amp;P)'!N7624,
    maturity_date,'Loan Tape (S&amp;P)'!L7624,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25">
      <c r="J7625">
        <f>LET(
    lien,'Loan Tape (S&amp;P)'!Q7625,
    IF(lien="First",1.00,
        IF(lien="Second",1.50,
            1.70)))</f>
        <v/>
      </c>
      <c r="K7625">
        <f>LET(
    purpose,'Loan Tape (S&amp;P)'!R7625,
    IF(purpose="Purchase",1.00,
        IF(purpose="Remortgage",1.00,
            1.20)))</f>
        <v/>
      </c>
      <c r="L7625">
        <f>LET(
    arrears_months,'Loan Tape (S&amp;P)'!AN7625,
    IF(arrears_months=0,1.00,
    IF(arrears_months=1,3.00,
    IF(arrears_months=2,5.00,
    IF(arrears_months=3,8.00,
    IF(arrears_months=4,10.00,
    IF(arrears_months=5,12.00,15.00)))))))</f>
        <v/>
      </c>
      <c r="M7625">
        <f>LET(
    seasoning_years,DATEDIF('Loan Tape (S&amp;P)'!K7625,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25">
        <f>IF(AND('Loan Tape (S&amp;P)'!U7625="Yes",
        'Loan Tape (S&amp;P)'!T7625&lt;&gt;"Yes",
        DATEDIF('Loan Tape (S&amp;P)'!K7625, TODAY(), "M")&lt;18),
    1.10,
    1.00)</f>
        <v/>
      </c>
      <c r="O7625">
        <f>IF('Loan Tape (S&amp;P)'!T7625="Yes",
    1.35,
    1.00)</f>
        <v/>
      </c>
      <c r="P7625">
        <f>IF('Loan Tape (S&amp;P)'!S7625="Yes",
    1.15,
    1.00)</f>
        <v/>
      </c>
      <c r="Q7625">
        <f>IF('Loan Tape (S&amp;P)'!V7625="Yes",
    1.20,
    1.00)</f>
        <v/>
      </c>
      <c r="T7625">
        <f>LET(
    payment_method,'Loan Tape (S&amp;P)'!P7625,
    occupancy,'Loan Tape (S&amp;P)'!N7625,
    maturity_date,'Loan Tape (S&amp;P)'!L7625,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26">
      <c r="J7626">
        <f>LET(
    lien,'Loan Tape (S&amp;P)'!Q7626,
    IF(lien="First",1.00,
        IF(lien="Second",1.50,
            1.70)))</f>
        <v/>
      </c>
      <c r="K7626">
        <f>LET(
    purpose,'Loan Tape (S&amp;P)'!R7626,
    IF(purpose="Purchase",1.00,
        IF(purpose="Remortgage",1.00,
            1.20)))</f>
        <v/>
      </c>
      <c r="L7626">
        <f>LET(
    arrears_months,'Loan Tape (S&amp;P)'!AN7626,
    IF(arrears_months=0,1.00,
    IF(arrears_months=1,3.00,
    IF(arrears_months=2,5.00,
    IF(arrears_months=3,8.00,
    IF(arrears_months=4,10.00,
    IF(arrears_months=5,12.00,15.00)))))))</f>
        <v/>
      </c>
      <c r="M7626">
        <f>LET(
    seasoning_years,DATEDIF('Loan Tape (S&amp;P)'!K7626,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26">
        <f>IF(AND('Loan Tape (S&amp;P)'!U7626="Yes",
        'Loan Tape (S&amp;P)'!T7626&lt;&gt;"Yes",
        DATEDIF('Loan Tape (S&amp;P)'!K7626, TODAY(), "M")&lt;18),
    1.10,
    1.00)</f>
        <v/>
      </c>
      <c r="O7626">
        <f>IF('Loan Tape (S&amp;P)'!T7626="Yes",
    1.35,
    1.00)</f>
        <v/>
      </c>
      <c r="P7626">
        <f>IF('Loan Tape (S&amp;P)'!S7626="Yes",
    1.15,
    1.00)</f>
        <v/>
      </c>
      <c r="Q7626">
        <f>IF('Loan Tape (S&amp;P)'!V7626="Yes",
    1.20,
    1.00)</f>
        <v/>
      </c>
      <c r="T7626">
        <f>LET(
    payment_method,'Loan Tape (S&amp;P)'!P7626,
    occupancy,'Loan Tape (S&amp;P)'!N7626,
    maturity_date,'Loan Tape (S&amp;P)'!L7626,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27">
      <c r="J7627">
        <f>LET(
    lien,'Loan Tape (S&amp;P)'!Q7627,
    IF(lien="First",1.00,
        IF(lien="Second",1.50,
            1.70)))</f>
        <v/>
      </c>
      <c r="K7627">
        <f>LET(
    purpose,'Loan Tape (S&amp;P)'!R7627,
    IF(purpose="Purchase",1.00,
        IF(purpose="Remortgage",1.00,
            1.20)))</f>
        <v/>
      </c>
      <c r="L7627">
        <f>LET(
    arrears_months,'Loan Tape (S&amp;P)'!AN7627,
    IF(arrears_months=0,1.00,
    IF(arrears_months=1,3.00,
    IF(arrears_months=2,5.00,
    IF(arrears_months=3,8.00,
    IF(arrears_months=4,10.00,
    IF(arrears_months=5,12.00,15.00)))))))</f>
        <v/>
      </c>
      <c r="M7627">
        <f>LET(
    seasoning_years,DATEDIF('Loan Tape (S&amp;P)'!K7627,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27">
        <f>IF(AND('Loan Tape (S&amp;P)'!U7627="Yes",
        'Loan Tape (S&amp;P)'!T7627&lt;&gt;"Yes",
        DATEDIF('Loan Tape (S&amp;P)'!K7627, TODAY(), "M")&lt;18),
    1.10,
    1.00)</f>
        <v/>
      </c>
      <c r="O7627">
        <f>IF('Loan Tape (S&amp;P)'!T7627="Yes",
    1.35,
    1.00)</f>
        <v/>
      </c>
      <c r="P7627">
        <f>IF('Loan Tape (S&amp;P)'!S7627="Yes",
    1.15,
    1.00)</f>
        <v/>
      </c>
      <c r="Q7627">
        <f>IF('Loan Tape (S&amp;P)'!V7627="Yes",
    1.20,
    1.00)</f>
        <v/>
      </c>
      <c r="T7627">
        <f>LET(
    payment_method,'Loan Tape (S&amp;P)'!P7627,
    occupancy,'Loan Tape (S&amp;P)'!N7627,
    maturity_date,'Loan Tape (S&amp;P)'!L7627,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28">
      <c r="J7628">
        <f>LET(
    lien,'Loan Tape (S&amp;P)'!Q7628,
    IF(lien="First",1.00,
        IF(lien="Second",1.50,
            1.70)))</f>
        <v/>
      </c>
      <c r="K7628">
        <f>LET(
    purpose,'Loan Tape (S&amp;P)'!R7628,
    IF(purpose="Purchase",1.00,
        IF(purpose="Remortgage",1.00,
            1.20)))</f>
        <v/>
      </c>
      <c r="L7628">
        <f>LET(
    arrears_months,'Loan Tape (S&amp;P)'!AN7628,
    IF(arrears_months=0,1.00,
    IF(arrears_months=1,3.00,
    IF(arrears_months=2,5.00,
    IF(arrears_months=3,8.00,
    IF(arrears_months=4,10.00,
    IF(arrears_months=5,12.00,15.00)))))))</f>
        <v/>
      </c>
      <c r="M7628">
        <f>LET(
    seasoning_years,DATEDIF('Loan Tape (S&amp;P)'!K7628,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28">
        <f>IF(AND('Loan Tape (S&amp;P)'!U7628="Yes",
        'Loan Tape (S&amp;P)'!T7628&lt;&gt;"Yes",
        DATEDIF('Loan Tape (S&amp;P)'!K7628, TODAY(), "M")&lt;18),
    1.10,
    1.00)</f>
        <v/>
      </c>
      <c r="O7628">
        <f>IF('Loan Tape (S&amp;P)'!T7628="Yes",
    1.35,
    1.00)</f>
        <v/>
      </c>
      <c r="P7628">
        <f>IF('Loan Tape (S&amp;P)'!S7628="Yes",
    1.15,
    1.00)</f>
        <v/>
      </c>
      <c r="Q7628">
        <f>IF('Loan Tape (S&amp;P)'!V7628="Yes",
    1.20,
    1.00)</f>
        <v/>
      </c>
      <c r="T7628">
        <f>LET(
    payment_method,'Loan Tape (S&amp;P)'!P7628,
    occupancy,'Loan Tape (S&amp;P)'!N7628,
    maturity_date,'Loan Tape (S&amp;P)'!L7628,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29">
      <c r="J7629">
        <f>LET(
    lien,'Loan Tape (S&amp;P)'!Q7629,
    IF(lien="First",1.00,
        IF(lien="Second",1.50,
            1.70)))</f>
        <v/>
      </c>
      <c r="K7629">
        <f>LET(
    purpose,'Loan Tape (S&amp;P)'!R7629,
    IF(purpose="Purchase",1.00,
        IF(purpose="Remortgage",1.00,
            1.20)))</f>
        <v/>
      </c>
      <c r="L7629">
        <f>LET(
    arrears_months,'Loan Tape (S&amp;P)'!AN7629,
    IF(arrears_months=0,1.00,
    IF(arrears_months=1,3.00,
    IF(arrears_months=2,5.00,
    IF(arrears_months=3,8.00,
    IF(arrears_months=4,10.00,
    IF(arrears_months=5,12.00,15.00)))))))</f>
        <v/>
      </c>
      <c r="M7629">
        <f>LET(
    seasoning_years,DATEDIF('Loan Tape (S&amp;P)'!K7629,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29">
        <f>IF(AND('Loan Tape (S&amp;P)'!U7629="Yes",
        'Loan Tape (S&amp;P)'!T7629&lt;&gt;"Yes",
        DATEDIF('Loan Tape (S&amp;P)'!K7629, TODAY(), "M")&lt;18),
    1.10,
    1.00)</f>
        <v/>
      </c>
      <c r="O7629">
        <f>IF('Loan Tape (S&amp;P)'!T7629="Yes",
    1.35,
    1.00)</f>
        <v/>
      </c>
      <c r="P7629">
        <f>IF('Loan Tape (S&amp;P)'!S7629="Yes",
    1.15,
    1.00)</f>
        <v/>
      </c>
      <c r="Q7629">
        <f>IF('Loan Tape (S&amp;P)'!V7629="Yes",
    1.20,
    1.00)</f>
        <v/>
      </c>
      <c r="T7629">
        <f>LET(
    payment_method,'Loan Tape (S&amp;P)'!P7629,
    occupancy,'Loan Tape (S&amp;P)'!N7629,
    maturity_date,'Loan Tape (S&amp;P)'!L7629,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30">
      <c r="J7630">
        <f>LET(
    lien,'Loan Tape (S&amp;P)'!Q7630,
    IF(lien="First",1.00,
        IF(lien="Second",1.50,
            1.70)))</f>
        <v/>
      </c>
      <c r="K7630">
        <f>LET(
    purpose,'Loan Tape (S&amp;P)'!R7630,
    IF(purpose="Purchase",1.00,
        IF(purpose="Remortgage",1.00,
            1.20)))</f>
        <v/>
      </c>
      <c r="L7630">
        <f>LET(
    arrears_months,'Loan Tape (S&amp;P)'!AN7630,
    IF(arrears_months=0,1.00,
    IF(arrears_months=1,3.00,
    IF(arrears_months=2,5.00,
    IF(arrears_months=3,8.00,
    IF(arrears_months=4,10.00,
    IF(arrears_months=5,12.00,15.00)))))))</f>
        <v/>
      </c>
      <c r="M7630">
        <f>LET(
    seasoning_years,DATEDIF('Loan Tape (S&amp;P)'!K7630,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30">
        <f>IF(AND('Loan Tape (S&amp;P)'!U7630="Yes",
        'Loan Tape (S&amp;P)'!T7630&lt;&gt;"Yes",
        DATEDIF('Loan Tape (S&amp;P)'!K7630, TODAY(), "M")&lt;18),
    1.10,
    1.00)</f>
        <v/>
      </c>
      <c r="O7630">
        <f>IF('Loan Tape (S&amp;P)'!T7630="Yes",
    1.35,
    1.00)</f>
        <v/>
      </c>
      <c r="P7630">
        <f>IF('Loan Tape (S&amp;P)'!S7630="Yes",
    1.15,
    1.00)</f>
        <v/>
      </c>
      <c r="Q7630">
        <f>IF('Loan Tape (S&amp;P)'!V7630="Yes",
    1.20,
    1.00)</f>
        <v/>
      </c>
      <c r="T7630">
        <f>LET(
    payment_method,'Loan Tape (S&amp;P)'!P7630,
    occupancy,'Loan Tape (S&amp;P)'!N7630,
    maturity_date,'Loan Tape (S&amp;P)'!L7630,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31">
      <c r="J7631">
        <f>LET(
    lien,'Loan Tape (S&amp;P)'!Q7631,
    IF(lien="First",1.00,
        IF(lien="Second",1.50,
            1.70)))</f>
        <v/>
      </c>
      <c r="K7631">
        <f>LET(
    purpose,'Loan Tape (S&amp;P)'!R7631,
    IF(purpose="Purchase",1.00,
        IF(purpose="Remortgage",1.00,
            1.20)))</f>
        <v/>
      </c>
      <c r="L7631">
        <f>LET(
    arrears_months,'Loan Tape (S&amp;P)'!AN7631,
    IF(arrears_months=0,1.00,
    IF(arrears_months=1,3.00,
    IF(arrears_months=2,5.00,
    IF(arrears_months=3,8.00,
    IF(arrears_months=4,10.00,
    IF(arrears_months=5,12.00,15.00)))))))</f>
        <v/>
      </c>
      <c r="M7631">
        <f>LET(
    seasoning_years,DATEDIF('Loan Tape (S&amp;P)'!K7631,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31">
        <f>IF(AND('Loan Tape (S&amp;P)'!U7631="Yes",
        'Loan Tape (S&amp;P)'!T7631&lt;&gt;"Yes",
        DATEDIF('Loan Tape (S&amp;P)'!K7631, TODAY(), "M")&lt;18),
    1.10,
    1.00)</f>
        <v/>
      </c>
      <c r="O7631">
        <f>IF('Loan Tape (S&amp;P)'!T7631="Yes",
    1.35,
    1.00)</f>
        <v/>
      </c>
      <c r="P7631">
        <f>IF('Loan Tape (S&amp;P)'!S7631="Yes",
    1.15,
    1.00)</f>
        <v/>
      </c>
      <c r="Q7631">
        <f>IF('Loan Tape (S&amp;P)'!V7631="Yes",
    1.20,
    1.00)</f>
        <v/>
      </c>
      <c r="T7631">
        <f>LET(
    payment_method,'Loan Tape (S&amp;P)'!P7631,
    occupancy,'Loan Tape (S&amp;P)'!N7631,
    maturity_date,'Loan Tape (S&amp;P)'!L7631,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32">
      <c r="J7632">
        <f>LET(
    lien,'Loan Tape (S&amp;P)'!Q7632,
    IF(lien="First",1.00,
        IF(lien="Second",1.50,
            1.70)))</f>
        <v/>
      </c>
      <c r="K7632">
        <f>LET(
    purpose,'Loan Tape (S&amp;P)'!R7632,
    IF(purpose="Purchase",1.00,
        IF(purpose="Remortgage",1.00,
            1.20)))</f>
        <v/>
      </c>
      <c r="L7632">
        <f>LET(
    arrears_months,'Loan Tape (S&amp;P)'!AN7632,
    IF(arrears_months=0,1.00,
    IF(arrears_months=1,3.00,
    IF(arrears_months=2,5.00,
    IF(arrears_months=3,8.00,
    IF(arrears_months=4,10.00,
    IF(arrears_months=5,12.00,15.00)))))))</f>
        <v/>
      </c>
      <c r="M7632">
        <f>LET(
    seasoning_years,DATEDIF('Loan Tape (S&amp;P)'!K7632,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32">
        <f>IF(AND('Loan Tape (S&amp;P)'!U7632="Yes",
        'Loan Tape (S&amp;P)'!T7632&lt;&gt;"Yes",
        DATEDIF('Loan Tape (S&amp;P)'!K7632, TODAY(), "M")&lt;18),
    1.10,
    1.00)</f>
        <v/>
      </c>
      <c r="O7632">
        <f>IF('Loan Tape (S&amp;P)'!T7632="Yes",
    1.35,
    1.00)</f>
        <v/>
      </c>
      <c r="P7632">
        <f>IF('Loan Tape (S&amp;P)'!S7632="Yes",
    1.15,
    1.00)</f>
        <v/>
      </c>
      <c r="Q7632">
        <f>IF('Loan Tape (S&amp;P)'!V7632="Yes",
    1.20,
    1.00)</f>
        <v/>
      </c>
      <c r="T7632">
        <f>LET(
    payment_method,'Loan Tape (S&amp;P)'!P7632,
    occupancy,'Loan Tape (S&amp;P)'!N7632,
    maturity_date,'Loan Tape (S&amp;P)'!L7632,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33">
      <c r="J7633">
        <f>LET(
    lien,'Loan Tape (S&amp;P)'!Q7633,
    IF(lien="First",1.00,
        IF(lien="Second",1.50,
            1.70)))</f>
        <v/>
      </c>
      <c r="K7633">
        <f>LET(
    purpose,'Loan Tape (S&amp;P)'!R7633,
    IF(purpose="Purchase",1.00,
        IF(purpose="Remortgage",1.00,
            1.20)))</f>
        <v/>
      </c>
      <c r="L7633">
        <f>LET(
    arrears_months,'Loan Tape (S&amp;P)'!AN7633,
    IF(arrears_months=0,1.00,
    IF(arrears_months=1,3.00,
    IF(arrears_months=2,5.00,
    IF(arrears_months=3,8.00,
    IF(arrears_months=4,10.00,
    IF(arrears_months=5,12.00,15.00)))))))</f>
        <v/>
      </c>
      <c r="M7633">
        <f>LET(
    seasoning_years,DATEDIF('Loan Tape (S&amp;P)'!K7633,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33">
        <f>IF(AND('Loan Tape (S&amp;P)'!U7633="Yes",
        'Loan Tape (S&amp;P)'!T7633&lt;&gt;"Yes",
        DATEDIF('Loan Tape (S&amp;P)'!K7633, TODAY(), "M")&lt;18),
    1.10,
    1.00)</f>
        <v/>
      </c>
      <c r="O7633">
        <f>IF('Loan Tape (S&amp;P)'!T7633="Yes",
    1.35,
    1.00)</f>
        <v/>
      </c>
      <c r="P7633">
        <f>IF('Loan Tape (S&amp;P)'!S7633="Yes",
    1.15,
    1.00)</f>
        <v/>
      </c>
      <c r="Q7633">
        <f>IF('Loan Tape (S&amp;P)'!V7633="Yes",
    1.20,
    1.00)</f>
        <v/>
      </c>
      <c r="T7633">
        <f>LET(
    payment_method,'Loan Tape (S&amp;P)'!P7633,
    occupancy,'Loan Tape (S&amp;P)'!N7633,
    maturity_date,'Loan Tape (S&amp;P)'!L7633,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34">
      <c r="J7634">
        <f>LET(
    lien,'Loan Tape (S&amp;P)'!Q7634,
    IF(lien="First",1.00,
        IF(lien="Second",1.50,
            1.70)))</f>
        <v/>
      </c>
      <c r="K7634">
        <f>LET(
    purpose,'Loan Tape (S&amp;P)'!R7634,
    IF(purpose="Purchase",1.00,
        IF(purpose="Remortgage",1.00,
            1.20)))</f>
        <v/>
      </c>
      <c r="L7634">
        <f>LET(
    arrears_months,'Loan Tape (S&amp;P)'!AN7634,
    IF(arrears_months=0,1.00,
    IF(arrears_months=1,3.00,
    IF(arrears_months=2,5.00,
    IF(arrears_months=3,8.00,
    IF(arrears_months=4,10.00,
    IF(arrears_months=5,12.00,15.00)))))))</f>
        <v/>
      </c>
      <c r="M7634">
        <f>LET(
    seasoning_years,DATEDIF('Loan Tape (S&amp;P)'!K7634,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34">
        <f>IF(AND('Loan Tape (S&amp;P)'!U7634="Yes",
        'Loan Tape (S&amp;P)'!T7634&lt;&gt;"Yes",
        DATEDIF('Loan Tape (S&amp;P)'!K7634, TODAY(), "M")&lt;18),
    1.10,
    1.00)</f>
        <v/>
      </c>
      <c r="O7634">
        <f>IF('Loan Tape (S&amp;P)'!T7634="Yes",
    1.35,
    1.00)</f>
        <v/>
      </c>
      <c r="P7634">
        <f>IF('Loan Tape (S&amp;P)'!S7634="Yes",
    1.15,
    1.00)</f>
        <v/>
      </c>
      <c r="Q7634">
        <f>IF('Loan Tape (S&amp;P)'!V7634="Yes",
    1.20,
    1.00)</f>
        <v/>
      </c>
      <c r="T7634">
        <f>LET(
    payment_method,'Loan Tape (S&amp;P)'!P7634,
    occupancy,'Loan Tape (S&amp;P)'!N7634,
    maturity_date,'Loan Tape (S&amp;P)'!L7634,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35">
      <c r="J7635">
        <f>LET(
    lien,'Loan Tape (S&amp;P)'!Q7635,
    IF(lien="First",1.00,
        IF(lien="Second",1.50,
            1.70)))</f>
        <v/>
      </c>
      <c r="K7635">
        <f>LET(
    purpose,'Loan Tape (S&amp;P)'!R7635,
    IF(purpose="Purchase",1.00,
        IF(purpose="Remortgage",1.00,
            1.20)))</f>
        <v/>
      </c>
      <c r="L7635">
        <f>LET(
    arrears_months,'Loan Tape (S&amp;P)'!AN7635,
    IF(arrears_months=0,1.00,
    IF(arrears_months=1,3.00,
    IF(arrears_months=2,5.00,
    IF(arrears_months=3,8.00,
    IF(arrears_months=4,10.00,
    IF(arrears_months=5,12.00,15.00)))))))</f>
        <v/>
      </c>
      <c r="M7635">
        <f>LET(
    seasoning_years,DATEDIF('Loan Tape (S&amp;P)'!K7635,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35">
        <f>IF(AND('Loan Tape (S&amp;P)'!U7635="Yes",
        'Loan Tape (S&amp;P)'!T7635&lt;&gt;"Yes",
        DATEDIF('Loan Tape (S&amp;P)'!K7635, TODAY(), "M")&lt;18),
    1.10,
    1.00)</f>
        <v/>
      </c>
      <c r="O7635">
        <f>IF('Loan Tape (S&amp;P)'!T7635="Yes",
    1.35,
    1.00)</f>
        <v/>
      </c>
      <c r="P7635">
        <f>IF('Loan Tape (S&amp;P)'!S7635="Yes",
    1.15,
    1.00)</f>
        <v/>
      </c>
      <c r="Q7635">
        <f>IF('Loan Tape (S&amp;P)'!V7635="Yes",
    1.20,
    1.00)</f>
        <v/>
      </c>
      <c r="T7635">
        <f>LET(
    payment_method,'Loan Tape (S&amp;P)'!P7635,
    occupancy,'Loan Tape (S&amp;P)'!N7635,
    maturity_date,'Loan Tape (S&amp;P)'!L7635,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36">
      <c r="J7636">
        <f>LET(
    lien,'Loan Tape (S&amp;P)'!Q7636,
    IF(lien="First",1.00,
        IF(lien="Second",1.50,
            1.70)))</f>
        <v/>
      </c>
      <c r="K7636">
        <f>LET(
    purpose,'Loan Tape (S&amp;P)'!R7636,
    IF(purpose="Purchase",1.00,
        IF(purpose="Remortgage",1.00,
            1.20)))</f>
        <v/>
      </c>
      <c r="L7636">
        <f>LET(
    arrears_months,'Loan Tape (S&amp;P)'!AN7636,
    IF(arrears_months=0,1.00,
    IF(arrears_months=1,3.00,
    IF(arrears_months=2,5.00,
    IF(arrears_months=3,8.00,
    IF(arrears_months=4,10.00,
    IF(arrears_months=5,12.00,15.00)))))))</f>
        <v/>
      </c>
      <c r="M7636">
        <f>LET(
    seasoning_years,DATEDIF('Loan Tape (S&amp;P)'!K7636,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36">
        <f>IF(AND('Loan Tape (S&amp;P)'!U7636="Yes",
        'Loan Tape (S&amp;P)'!T7636&lt;&gt;"Yes",
        DATEDIF('Loan Tape (S&amp;P)'!K7636, TODAY(), "M")&lt;18),
    1.10,
    1.00)</f>
        <v/>
      </c>
      <c r="O7636">
        <f>IF('Loan Tape (S&amp;P)'!T7636="Yes",
    1.35,
    1.00)</f>
        <v/>
      </c>
      <c r="P7636">
        <f>IF('Loan Tape (S&amp;P)'!S7636="Yes",
    1.15,
    1.00)</f>
        <v/>
      </c>
      <c r="Q7636">
        <f>IF('Loan Tape (S&amp;P)'!V7636="Yes",
    1.20,
    1.00)</f>
        <v/>
      </c>
      <c r="T7636">
        <f>LET(
    payment_method,'Loan Tape (S&amp;P)'!P7636,
    occupancy,'Loan Tape (S&amp;P)'!N7636,
    maturity_date,'Loan Tape (S&amp;P)'!L7636,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37">
      <c r="J7637">
        <f>LET(
    lien,'Loan Tape (S&amp;P)'!Q7637,
    IF(lien="First",1.00,
        IF(lien="Second",1.50,
            1.70)))</f>
        <v/>
      </c>
      <c r="K7637">
        <f>LET(
    purpose,'Loan Tape (S&amp;P)'!R7637,
    IF(purpose="Purchase",1.00,
        IF(purpose="Remortgage",1.00,
            1.20)))</f>
        <v/>
      </c>
      <c r="L7637">
        <f>LET(
    arrears_months,'Loan Tape (S&amp;P)'!AN7637,
    IF(arrears_months=0,1.00,
    IF(arrears_months=1,3.00,
    IF(arrears_months=2,5.00,
    IF(arrears_months=3,8.00,
    IF(arrears_months=4,10.00,
    IF(arrears_months=5,12.00,15.00)))))))</f>
        <v/>
      </c>
      <c r="M7637">
        <f>LET(
    seasoning_years,DATEDIF('Loan Tape (S&amp;P)'!K7637,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37">
        <f>IF(AND('Loan Tape (S&amp;P)'!U7637="Yes",
        'Loan Tape (S&amp;P)'!T7637&lt;&gt;"Yes",
        DATEDIF('Loan Tape (S&amp;P)'!K7637, TODAY(), "M")&lt;18),
    1.10,
    1.00)</f>
        <v/>
      </c>
      <c r="O7637">
        <f>IF('Loan Tape (S&amp;P)'!T7637="Yes",
    1.35,
    1.00)</f>
        <v/>
      </c>
      <c r="P7637">
        <f>IF('Loan Tape (S&amp;P)'!S7637="Yes",
    1.15,
    1.00)</f>
        <v/>
      </c>
      <c r="Q7637">
        <f>IF('Loan Tape (S&amp;P)'!V7637="Yes",
    1.20,
    1.00)</f>
        <v/>
      </c>
      <c r="T7637">
        <f>LET(
    payment_method,'Loan Tape (S&amp;P)'!P7637,
    occupancy,'Loan Tape (S&amp;P)'!N7637,
    maturity_date,'Loan Tape (S&amp;P)'!L7637,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38">
      <c r="J7638">
        <f>LET(
    lien,'Loan Tape (S&amp;P)'!Q7638,
    IF(lien="First",1.00,
        IF(lien="Second",1.50,
            1.70)))</f>
        <v/>
      </c>
      <c r="K7638">
        <f>LET(
    purpose,'Loan Tape (S&amp;P)'!R7638,
    IF(purpose="Purchase",1.00,
        IF(purpose="Remortgage",1.00,
            1.20)))</f>
        <v/>
      </c>
      <c r="L7638">
        <f>LET(
    arrears_months,'Loan Tape (S&amp;P)'!AN7638,
    IF(arrears_months=0,1.00,
    IF(arrears_months=1,3.00,
    IF(arrears_months=2,5.00,
    IF(arrears_months=3,8.00,
    IF(arrears_months=4,10.00,
    IF(arrears_months=5,12.00,15.00)))))))</f>
        <v/>
      </c>
      <c r="M7638">
        <f>LET(
    seasoning_years,DATEDIF('Loan Tape (S&amp;P)'!K7638,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38">
        <f>IF(AND('Loan Tape (S&amp;P)'!U7638="Yes",
        'Loan Tape (S&amp;P)'!T7638&lt;&gt;"Yes",
        DATEDIF('Loan Tape (S&amp;P)'!K7638, TODAY(), "M")&lt;18),
    1.10,
    1.00)</f>
        <v/>
      </c>
      <c r="O7638">
        <f>IF('Loan Tape (S&amp;P)'!T7638="Yes",
    1.35,
    1.00)</f>
        <v/>
      </c>
      <c r="P7638">
        <f>IF('Loan Tape (S&amp;P)'!S7638="Yes",
    1.15,
    1.00)</f>
        <v/>
      </c>
      <c r="Q7638">
        <f>IF('Loan Tape (S&amp;P)'!V7638="Yes",
    1.20,
    1.00)</f>
        <v/>
      </c>
      <c r="T7638">
        <f>LET(
    payment_method,'Loan Tape (S&amp;P)'!P7638,
    occupancy,'Loan Tape (S&amp;P)'!N7638,
    maturity_date,'Loan Tape (S&amp;P)'!L7638,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39">
      <c r="J7639">
        <f>LET(
    lien,'Loan Tape (S&amp;P)'!Q7639,
    IF(lien="First",1.00,
        IF(lien="Second",1.50,
            1.70)))</f>
        <v/>
      </c>
      <c r="K7639">
        <f>LET(
    purpose,'Loan Tape (S&amp;P)'!R7639,
    IF(purpose="Purchase",1.00,
        IF(purpose="Remortgage",1.00,
            1.20)))</f>
        <v/>
      </c>
      <c r="L7639">
        <f>LET(
    arrears_months,'Loan Tape (S&amp;P)'!AN7639,
    IF(arrears_months=0,1.00,
    IF(arrears_months=1,3.00,
    IF(arrears_months=2,5.00,
    IF(arrears_months=3,8.00,
    IF(arrears_months=4,10.00,
    IF(arrears_months=5,12.00,15.00)))))))</f>
        <v/>
      </c>
      <c r="M7639">
        <f>LET(
    seasoning_years,DATEDIF('Loan Tape (S&amp;P)'!K7639,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39">
        <f>IF(AND('Loan Tape (S&amp;P)'!U7639="Yes",
        'Loan Tape (S&amp;P)'!T7639&lt;&gt;"Yes",
        DATEDIF('Loan Tape (S&amp;P)'!K7639, TODAY(), "M")&lt;18),
    1.10,
    1.00)</f>
        <v/>
      </c>
      <c r="O7639">
        <f>IF('Loan Tape (S&amp;P)'!T7639="Yes",
    1.35,
    1.00)</f>
        <v/>
      </c>
      <c r="P7639">
        <f>IF('Loan Tape (S&amp;P)'!S7639="Yes",
    1.15,
    1.00)</f>
        <v/>
      </c>
      <c r="Q7639">
        <f>IF('Loan Tape (S&amp;P)'!V7639="Yes",
    1.20,
    1.00)</f>
        <v/>
      </c>
      <c r="T7639">
        <f>LET(
    payment_method,'Loan Tape (S&amp;P)'!P7639,
    occupancy,'Loan Tape (S&amp;P)'!N7639,
    maturity_date,'Loan Tape (S&amp;P)'!L7639,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40">
      <c r="J7640">
        <f>LET(
    lien,'Loan Tape (S&amp;P)'!Q7640,
    IF(lien="First",1.00,
        IF(lien="Second",1.50,
            1.70)))</f>
        <v/>
      </c>
      <c r="K7640">
        <f>LET(
    purpose,'Loan Tape (S&amp;P)'!R7640,
    IF(purpose="Purchase",1.00,
        IF(purpose="Remortgage",1.00,
            1.20)))</f>
        <v/>
      </c>
      <c r="L7640">
        <f>LET(
    arrears_months,'Loan Tape (S&amp;P)'!AN7640,
    IF(arrears_months=0,1.00,
    IF(arrears_months=1,3.00,
    IF(arrears_months=2,5.00,
    IF(arrears_months=3,8.00,
    IF(arrears_months=4,10.00,
    IF(arrears_months=5,12.00,15.00)))))))</f>
        <v/>
      </c>
      <c r="M7640">
        <f>LET(
    seasoning_years,DATEDIF('Loan Tape (S&amp;P)'!K7640,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40">
        <f>IF(AND('Loan Tape (S&amp;P)'!U7640="Yes",
        'Loan Tape (S&amp;P)'!T7640&lt;&gt;"Yes",
        DATEDIF('Loan Tape (S&amp;P)'!K7640, TODAY(), "M")&lt;18),
    1.10,
    1.00)</f>
        <v/>
      </c>
      <c r="O7640">
        <f>IF('Loan Tape (S&amp;P)'!T7640="Yes",
    1.35,
    1.00)</f>
        <v/>
      </c>
      <c r="P7640">
        <f>IF('Loan Tape (S&amp;P)'!S7640="Yes",
    1.15,
    1.00)</f>
        <v/>
      </c>
      <c r="Q7640">
        <f>IF('Loan Tape (S&amp;P)'!V7640="Yes",
    1.20,
    1.00)</f>
        <v/>
      </c>
      <c r="T7640">
        <f>LET(
    payment_method,'Loan Tape (S&amp;P)'!P7640,
    occupancy,'Loan Tape (S&amp;P)'!N7640,
    maturity_date,'Loan Tape (S&amp;P)'!L7640,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41">
      <c r="J7641">
        <f>LET(
    lien,'Loan Tape (S&amp;P)'!Q7641,
    IF(lien="First",1.00,
        IF(lien="Second",1.50,
            1.70)))</f>
        <v/>
      </c>
      <c r="K7641">
        <f>LET(
    purpose,'Loan Tape (S&amp;P)'!R7641,
    IF(purpose="Purchase",1.00,
        IF(purpose="Remortgage",1.00,
            1.20)))</f>
        <v/>
      </c>
      <c r="L7641">
        <f>LET(
    arrears_months,'Loan Tape (S&amp;P)'!AN7641,
    IF(arrears_months=0,1.00,
    IF(arrears_months=1,3.00,
    IF(arrears_months=2,5.00,
    IF(arrears_months=3,8.00,
    IF(arrears_months=4,10.00,
    IF(arrears_months=5,12.00,15.00)))))))</f>
        <v/>
      </c>
      <c r="M7641">
        <f>LET(
    seasoning_years,DATEDIF('Loan Tape (S&amp;P)'!K7641,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41">
        <f>IF(AND('Loan Tape (S&amp;P)'!U7641="Yes",
        'Loan Tape (S&amp;P)'!T7641&lt;&gt;"Yes",
        DATEDIF('Loan Tape (S&amp;P)'!K7641, TODAY(), "M")&lt;18),
    1.10,
    1.00)</f>
        <v/>
      </c>
      <c r="O7641">
        <f>IF('Loan Tape (S&amp;P)'!T7641="Yes",
    1.35,
    1.00)</f>
        <v/>
      </c>
      <c r="P7641">
        <f>IF('Loan Tape (S&amp;P)'!S7641="Yes",
    1.15,
    1.00)</f>
        <v/>
      </c>
      <c r="Q7641">
        <f>IF('Loan Tape (S&amp;P)'!V7641="Yes",
    1.20,
    1.00)</f>
        <v/>
      </c>
      <c r="T7641">
        <f>LET(
    payment_method,'Loan Tape (S&amp;P)'!P7641,
    occupancy,'Loan Tape (S&amp;P)'!N7641,
    maturity_date,'Loan Tape (S&amp;P)'!L7641,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42">
      <c r="J7642">
        <f>LET(
    lien,'Loan Tape (S&amp;P)'!Q7642,
    IF(lien="First",1.00,
        IF(lien="Second",1.50,
            1.70)))</f>
        <v/>
      </c>
      <c r="K7642">
        <f>LET(
    purpose,'Loan Tape (S&amp;P)'!R7642,
    IF(purpose="Purchase",1.00,
        IF(purpose="Remortgage",1.00,
            1.20)))</f>
        <v/>
      </c>
      <c r="L7642">
        <f>LET(
    arrears_months,'Loan Tape (S&amp;P)'!AN7642,
    IF(arrears_months=0,1.00,
    IF(arrears_months=1,3.00,
    IF(arrears_months=2,5.00,
    IF(arrears_months=3,8.00,
    IF(arrears_months=4,10.00,
    IF(arrears_months=5,12.00,15.00)))))))</f>
        <v/>
      </c>
      <c r="M7642">
        <f>LET(
    seasoning_years,DATEDIF('Loan Tape (S&amp;P)'!K7642,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42">
        <f>IF(AND('Loan Tape (S&amp;P)'!U7642="Yes",
        'Loan Tape (S&amp;P)'!T7642&lt;&gt;"Yes",
        DATEDIF('Loan Tape (S&amp;P)'!K7642, TODAY(), "M")&lt;18),
    1.10,
    1.00)</f>
        <v/>
      </c>
      <c r="O7642">
        <f>IF('Loan Tape (S&amp;P)'!T7642="Yes",
    1.35,
    1.00)</f>
        <v/>
      </c>
      <c r="P7642">
        <f>IF('Loan Tape (S&amp;P)'!S7642="Yes",
    1.15,
    1.00)</f>
        <v/>
      </c>
      <c r="Q7642">
        <f>IF('Loan Tape (S&amp;P)'!V7642="Yes",
    1.20,
    1.00)</f>
        <v/>
      </c>
      <c r="T7642">
        <f>LET(
    payment_method,'Loan Tape (S&amp;P)'!P7642,
    occupancy,'Loan Tape (S&amp;P)'!N7642,
    maturity_date,'Loan Tape (S&amp;P)'!L7642,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43">
      <c r="J7643">
        <f>LET(
    lien,'Loan Tape (S&amp;P)'!Q7643,
    IF(lien="First",1.00,
        IF(lien="Second",1.50,
            1.70)))</f>
        <v/>
      </c>
      <c r="K7643">
        <f>LET(
    purpose,'Loan Tape (S&amp;P)'!R7643,
    IF(purpose="Purchase",1.00,
        IF(purpose="Remortgage",1.00,
            1.20)))</f>
        <v/>
      </c>
      <c r="L7643">
        <f>LET(
    arrears_months,'Loan Tape (S&amp;P)'!AN7643,
    IF(arrears_months=0,1.00,
    IF(arrears_months=1,3.00,
    IF(arrears_months=2,5.00,
    IF(arrears_months=3,8.00,
    IF(arrears_months=4,10.00,
    IF(arrears_months=5,12.00,15.00)))))))</f>
        <v/>
      </c>
      <c r="M7643">
        <f>LET(
    seasoning_years,DATEDIF('Loan Tape (S&amp;P)'!K7643,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43">
        <f>IF(AND('Loan Tape (S&amp;P)'!U7643="Yes",
        'Loan Tape (S&amp;P)'!T7643&lt;&gt;"Yes",
        DATEDIF('Loan Tape (S&amp;P)'!K7643, TODAY(), "M")&lt;18),
    1.10,
    1.00)</f>
        <v/>
      </c>
      <c r="O7643">
        <f>IF('Loan Tape (S&amp;P)'!T7643="Yes",
    1.35,
    1.00)</f>
        <v/>
      </c>
      <c r="P7643">
        <f>IF('Loan Tape (S&amp;P)'!S7643="Yes",
    1.15,
    1.00)</f>
        <v/>
      </c>
      <c r="Q7643">
        <f>IF('Loan Tape (S&amp;P)'!V7643="Yes",
    1.20,
    1.00)</f>
        <v/>
      </c>
      <c r="T7643">
        <f>LET(
    payment_method,'Loan Tape (S&amp;P)'!P7643,
    occupancy,'Loan Tape (S&amp;P)'!N7643,
    maturity_date,'Loan Tape (S&amp;P)'!L7643,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44">
      <c r="J7644">
        <f>LET(
    lien,'Loan Tape (S&amp;P)'!Q7644,
    IF(lien="First",1.00,
        IF(lien="Second",1.50,
            1.70)))</f>
        <v/>
      </c>
      <c r="K7644">
        <f>LET(
    purpose,'Loan Tape (S&amp;P)'!R7644,
    IF(purpose="Purchase",1.00,
        IF(purpose="Remortgage",1.00,
            1.20)))</f>
        <v/>
      </c>
      <c r="L7644">
        <f>LET(
    arrears_months,'Loan Tape (S&amp;P)'!AN7644,
    IF(arrears_months=0,1.00,
    IF(arrears_months=1,3.00,
    IF(arrears_months=2,5.00,
    IF(arrears_months=3,8.00,
    IF(arrears_months=4,10.00,
    IF(arrears_months=5,12.00,15.00)))))))</f>
        <v/>
      </c>
      <c r="M7644">
        <f>LET(
    seasoning_years,DATEDIF('Loan Tape (S&amp;P)'!K7644,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44">
        <f>IF(AND('Loan Tape (S&amp;P)'!U7644="Yes",
        'Loan Tape (S&amp;P)'!T7644&lt;&gt;"Yes",
        DATEDIF('Loan Tape (S&amp;P)'!K7644, TODAY(), "M")&lt;18),
    1.10,
    1.00)</f>
        <v/>
      </c>
      <c r="O7644">
        <f>IF('Loan Tape (S&amp;P)'!T7644="Yes",
    1.35,
    1.00)</f>
        <v/>
      </c>
      <c r="P7644">
        <f>IF('Loan Tape (S&amp;P)'!S7644="Yes",
    1.15,
    1.00)</f>
        <v/>
      </c>
      <c r="Q7644">
        <f>IF('Loan Tape (S&amp;P)'!V7644="Yes",
    1.20,
    1.00)</f>
        <v/>
      </c>
      <c r="T7644">
        <f>LET(
    payment_method,'Loan Tape (S&amp;P)'!P7644,
    occupancy,'Loan Tape (S&amp;P)'!N7644,
    maturity_date,'Loan Tape (S&amp;P)'!L7644,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45">
      <c r="J7645">
        <f>LET(
    lien,'Loan Tape (S&amp;P)'!Q7645,
    IF(lien="First",1.00,
        IF(lien="Second",1.50,
            1.70)))</f>
        <v/>
      </c>
      <c r="K7645">
        <f>LET(
    purpose,'Loan Tape (S&amp;P)'!R7645,
    IF(purpose="Purchase",1.00,
        IF(purpose="Remortgage",1.00,
            1.20)))</f>
        <v/>
      </c>
      <c r="L7645">
        <f>LET(
    arrears_months,'Loan Tape (S&amp;P)'!AN7645,
    IF(arrears_months=0,1.00,
    IF(arrears_months=1,3.00,
    IF(arrears_months=2,5.00,
    IF(arrears_months=3,8.00,
    IF(arrears_months=4,10.00,
    IF(arrears_months=5,12.00,15.00)))))))</f>
        <v/>
      </c>
      <c r="M7645">
        <f>LET(
    seasoning_years,DATEDIF('Loan Tape (S&amp;P)'!K7645,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45">
        <f>IF(AND('Loan Tape (S&amp;P)'!U7645="Yes",
        'Loan Tape (S&amp;P)'!T7645&lt;&gt;"Yes",
        DATEDIF('Loan Tape (S&amp;P)'!K7645, TODAY(), "M")&lt;18),
    1.10,
    1.00)</f>
        <v/>
      </c>
      <c r="O7645">
        <f>IF('Loan Tape (S&amp;P)'!T7645="Yes",
    1.35,
    1.00)</f>
        <v/>
      </c>
      <c r="P7645">
        <f>IF('Loan Tape (S&amp;P)'!S7645="Yes",
    1.15,
    1.00)</f>
        <v/>
      </c>
      <c r="Q7645">
        <f>IF('Loan Tape (S&amp;P)'!V7645="Yes",
    1.20,
    1.00)</f>
        <v/>
      </c>
      <c r="T7645">
        <f>LET(
    payment_method,'Loan Tape (S&amp;P)'!P7645,
    occupancy,'Loan Tape (S&amp;P)'!N7645,
    maturity_date,'Loan Tape (S&amp;P)'!L7645,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46">
      <c r="J7646">
        <f>LET(
    lien,'Loan Tape (S&amp;P)'!Q7646,
    IF(lien="First",1.00,
        IF(lien="Second",1.50,
            1.70)))</f>
        <v/>
      </c>
      <c r="K7646">
        <f>LET(
    purpose,'Loan Tape (S&amp;P)'!R7646,
    IF(purpose="Purchase",1.00,
        IF(purpose="Remortgage",1.00,
            1.20)))</f>
        <v/>
      </c>
      <c r="L7646">
        <f>LET(
    arrears_months,'Loan Tape (S&amp;P)'!AN7646,
    IF(arrears_months=0,1.00,
    IF(arrears_months=1,3.00,
    IF(arrears_months=2,5.00,
    IF(arrears_months=3,8.00,
    IF(arrears_months=4,10.00,
    IF(arrears_months=5,12.00,15.00)))))))</f>
        <v/>
      </c>
      <c r="M7646">
        <f>LET(
    seasoning_years,DATEDIF('Loan Tape (S&amp;P)'!K7646,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46">
        <f>IF(AND('Loan Tape (S&amp;P)'!U7646="Yes",
        'Loan Tape (S&amp;P)'!T7646&lt;&gt;"Yes",
        DATEDIF('Loan Tape (S&amp;P)'!K7646, TODAY(), "M")&lt;18),
    1.10,
    1.00)</f>
        <v/>
      </c>
      <c r="O7646">
        <f>IF('Loan Tape (S&amp;P)'!T7646="Yes",
    1.35,
    1.00)</f>
        <v/>
      </c>
      <c r="P7646">
        <f>IF('Loan Tape (S&amp;P)'!S7646="Yes",
    1.15,
    1.00)</f>
        <v/>
      </c>
      <c r="Q7646">
        <f>IF('Loan Tape (S&amp;P)'!V7646="Yes",
    1.20,
    1.00)</f>
        <v/>
      </c>
      <c r="T7646">
        <f>LET(
    payment_method,'Loan Tape (S&amp;P)'!P7646,
    occupancy,'Loan Tape (S&amp;P)'!N7646,
    maturity_date,'Loan Tape (S&amp;P)'!L7646,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47">
      <c r="J7647">
        <f>LET(
    lien,'Loan Tape (S&amp;P)'!Q7647,
    IF(lien="First",1.00,
        IF(lien="Second",1.50,
            1.70)))</f>
        <v/>
      </c>
      <c r="K7647">
        <f>LET(
    purpose,'Loan Tape (S&amp;P)'!R7647,
    IF(purpose="Purchase",1.00,
        IF(purpose="Remortgage",1.00,
            1.20)))</f>
        <v/>
      </c>
      <c r="L7647">
        <f>LET(
    arrears_months,'Loan Tape (S&amp;P)'!AN7647,
    IF(arrears_months=0,1.00,
    IF(arrears_months=1,3.00,
    IF(arrears_months=2,5.00,
    IF(arrears_months=3,8.00,
    IF(arrears_months=4,10.00,
    IF(arrears_months=5,12.00,15.00)))))))</f>
        <v/>
      </c>
      <c r="M7647">
        <f>LET(
    seasoning_years,DATEDIF('Loan Tape (S&amp;P)'!K7647,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47">
        <f>IF(AND('Loan Tape (S&amp;P)'!U7647="Yes",
        'Loan Tape (S&amp;P)'!T7647&lt;&gt;"Yes",
        DATEDIF('Loan Tape (S&amp;P)'!K7647, TODAY(), "M")&lt;18),
    1.10,
    1.00)</f>
        <v/>
      </c>
      <c r="O7647">
        <f>IF('Loan Tape (S&amp;P)'!T7647="Yes",
    1.35,
    1.00)</f>
        <v/>
      </c>
      <c r="P7647">
        <f>IF('Loan Tape (S&amp;P)'!S7647="Yes",
    1.15,
    1.00)</f>
        <v/>
      </c>
      <c r="Q7647">
        <f>IF('Loan Tape (S&amp;P)'!V7647="Yes",
    1.20,
    1.00)</f>
        <v/>
      </c>
      <c r="T7647">
        <f>LET(
    payment_method,'Loan Tape (S&amp;P)'!P7647,
    occupancy,'Loan Tape (S&amp;P)'!N7647,
    maturity_date,'Loan Tape (S&amp;P)'!L7647,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48">
      <c r="J7648">
        <f>LET(
    lien,'Loan Tape (S&amp;P)'!Q7648,
    IF(lien="First",1.00,
        IF(lien="Second",1.50,
            1.70)))</f>
        <v/>
      </c>
      <c r="K7648">
        <f>LET(
    purpose,'Loan Tape (S&amp;P)'!R7648,
    IF(purpose="Purchase",1.00,
        IF(purpose="Remortgage",1.00,
            1.20)))</f>
        <v/>
      </c>
      <c r="L7648">
        <f>LET(
    arrears_months,'Loan Tape (S&amp;P)'!AN7648,
    IF(arrears_months=0,1.00,
    IF(arrears_months=1,3.00,
    IF(arrears_months=2,5.00,
    IF(arrears_months=3,8.00,
    IF(arrears_months=4,10.00,
    IF(arrears_months=5,12.00,15.00)))))))</f>
        <v/>
      </c>
      <c r="M7648">
        <f>LET(
    seasoning_years,DATEDIF('Loan Tape (S&amp;P)'!K7648,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48">
        <f>IF(AND('Loan Tape (S&amp;P)'!U7648="Yes",
        'Loan Tape (S&amp;P)'!T7648&lt;&gt;"Yes",
        DATEDIF('Loan Tape (S&amp;P)'!K7648, TODAY(), "M")&lt;18),
    1.10,
    1.00)</f>
        <v/>
      </c>
      <c r="O7648">
        <f>IF('Loan Tape (S&amp;P)'!T7648="Yes",
    1.35,
    1.00)</f>
        <v/>
      </c>
      <c r="P7648">
        <f>IF('Loan Tape (S&amp;P)'!S7648="Yes",
    1.15,
    1.00)</f>
        <v/>
      </c>
      <c r="Q7648">
        <f>IF('Loan Tape (S&amp;P)'!V7648="Yes",
    1.20,
    1.00)</f>
        <v/>
      </c>
      <c r="T7648">
        <f>LET(
    payment_method,'Loan Tape (S&amp;P)'!P7648,
    occupancy,'Loan Tape (S&amp;P)'!N7648,
    maturity_date,'Loan Tape (S&amp;P)'!L7648,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49">
      <c r="J7649">
        <f>LET(
    lien,'Loan Tape (S&amp;P)'!Q7649,
    IF(lien="First",1.00,
        IF(lien="Second",1.50,
            1.70)))</f>
        <v/>
      </c>
      <c r="K7649">
        <f>LET(
    purpose,'Loan Tape (S&amp;P)'!R7649,
    IF(purpose="Purchase",1.00,
        IF(purpose="Remortgage",1.00,
            1.20)))</f>
        <v/>
      </c>
      <c r="L7649">
        <f>LET(
    arrears_months,'Loan Tape (S&amp;P)'!AN7649,
    IF(arrears_months=0,1.00,
    IF(arrears_months=1,3.00,
    IF(arrears_months=2,5.00,
    IF(arrears_months=3,8.00,
    IF(arrears_months=4,10.00,
    IF(arrears_months=5,12.00,15.00)))))))</f>
        <v/>
      </c>
      <c r="M7649">
        <f>LET(
    seasoning_years,DATEDIF('Loan Tape (S&amp;P)'!K7649,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49">
        <f>IF(AND('Loan Tape (S&amp;P)'!U7649="Yes",
        'Loan Tape (S&amp;P)'!T7649&lt;&gt;"Yes",
        DATEDIF('Loan Tape (S&amp;P)'!K7649, TODAY(), "M")&lt;18),
    1.10,
    1.00)</f>
        <v/>
      </c>
      <c r="O7649">
        <f>IF('Loan Tape (S&amp;P)'!T7649="Yes",
    1.35,
    1.00)</f>
        <v/>
      </c>
      <c r="P7649">
        <f>IF('Loan Tape (S&amp;P)'!S7649="Yes",
    1.15,
    1.00)</f>
        <v/>
      </c>
      <c r="Q7649">
        <f>IF('Loan Tape (S&amp;P)'!V7649="Yes",
    1.20,
    1.00)</f>
        <v/>
      </c>
      <c r="T7649">
        <f>LET(
    payment_method,'Loan Tape (S&amp;P)'!P7649,
    occupancy,'Loan Tape (S&amp;P)'!N7649,
    maturity_date,'Loan Tape (S&amp;P)'!L7649,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50">
      <c r="J7650">
        <f>LET(
    lien,'Loan Tape (S&amp;P)'!Q7650,
    IF(lien="First",1.00,
        IF(lien="Second",1.50,
            1.70)))</f>
        <v/>
      </c>
      <c r="K7650">
        <f>LET(
    purpose,'Loan Tape (S&amp;P)'!R7650,
    IF(purpose="Purchase",1.00,
        IF(purpose="Remortgage",1.00,
            1.20)))</f>
        <v/>
      </c>
      <c r="L7650">
        <f>LET(
    arrears_months,'Loan Tape (S&amp;P)'!AN7650,
    IF(arrears_months=0,1.00,
    IF(arrears_months=1,3.00,
    IF(arrears_months=2,5.00,
    IF(arrears_months=3,8.00,
    IF(arrears_months=4,10.00,
    IF(arrears_months=5,12.00,15.00)))))))</f>
        <v/>
      </c>
      <c r="M7650">
        <f>LET(
    seasoning_years,DATEDIF('Loan Tape (S&amp;P)'!K7650,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50">
        <f>IF(AND('Loan Tape (S&amp;P)'!U7650="Yes",
        'Loan Tape (S&amp;P)'!T7650&lt;&gt;"Yes",
        DATEDIF('Loan Tape (S&amp;P)'!K7650, TODAY(), "M")&lt;18),
    1.10,
    1.00)</f>
        <v/>
      </c>
      <c r="O7650">
        <f>IF('Loan Tape (S&amp;P)'!T7650="Yes",
    1.35,
    1.00)</f>
        <v/>
      </c>
      <c r="P7650">
        <f>IF('Loan Tape (S&amp;P)'!S7650="Yes",
    1.15,
    1.00)</f>
        <v/>
      </c>
      <c r="Q7650">
        <f>IF('Loan Tape (S&amp;P)'!V7650="Yes",
    1.20,
    1.00)</f>
        <v/>
      </c>
      <c r="T7650">
        <f>LET(
    payment_method,'Loan Tape (S&amp;P)'!P7650,
    occupancy,'Loan Tape (S&amp;P)'!N7650,
    maturity_date,'Loan Tape (S&amp;P)'!L7650,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51">
      <c r="J7651">
        <f>LET(
    lien,'Loan Tape (S&amp;P)'!Q7651,
    IF(lien="First",1.00,
        IF(lien="Second",1.50,
            1.70)))</f>
        <v/>
      </c>
      <c r="K7651">
        <f>LET(
    purpose,'Loan Tape (S&amp;P)'!R7651,
    IF(purpose="Purchase",1.00,
        IF(purpose="Remortgage",1.00,
            1.20)))</f>
        <v/>
      </c>
      <c r="L7651">
        <f>LET(
    arrears_months,'Loan Tape (S&amp;P)'!AN7651,
    IF(arrears_months=0,1.00,
    IF(arrears_months=1,3.00,
    IF(arrears_months=2,5.00,
    IF(arrears_months=3,8.00,
    IF(arrears_months=4,10.00,
    IF(arrears_months=5,12.00,15.00)))))))</f>
        <v/>
      </c>
      <c r="M7651">
        <f>LET(
    seasoning_years,DATEDIF('Loan Tape (S&amp;P)'!K7651,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51">
        <f>IF(AND('Loan Tape (S&amp;P)'!U7651="Yes",
        'Loan Tape (S&amp;P)'!T7651&lt;&gt;"Yes",
        DATEDIF('Loan Tape (S&amp;P)'!K7651, TODAY(), "M")&lt;18),
    1.10,
    1.00)</f>
        <v/>
      </c>
      <c r="O7651">
        <f>IF('Loan Tape (S&amp;P)'!T7651="Yes",
    1.35,
    1.00)</f>
        <v/>
      </c>
      <c r="P7651">
        <f>IF('Loan Tape (S&amp;P)'!S7651="Yes",
    1.15,
    1.00)</f>
        <v/>
      </c>
      <c r="Q7651">
        <f>IF('Loan Tape (S&amp;P)'!V7651="Yes",
    1.20,
    1.00)</f>
        <v/>
      </c>
      <c r="T7651">
        <f>LET(
    payment_method,'Loan Tape (S&amp;P)'!P7651,
    occupancy,'Loan Tape (S&amp;P)'!N7651,
    maturity_date,'Loan Tape (S&amp;P)'!L7651,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52">
      <c r="J7652">
        <f>LET(
    lien,'Loan Tape (S&amp;P)'!Q7652,
    IF(lien="First",1.00,
        IF(lien="Second",1.50,
            1.70)))</f>
        <v/>
      </c>
      <c r="K7652">
        <f>LET(
    purpose,'Loan Tape (S&amp;P)'!R7652,
    IF(purpose="Purchase",1.00,
        IF(purpose="Remortgage",1.00,
            1.20)))</f>
        <v/>
      </c>
      <c r="L7652">
        <f>LET(
    arrears_months,'Loan Tape (S&amp;P)'!AN7652,
    IF(arrears_months=0,1.00,
    IF(arrears_months=1,3.00,
    IF(arrears_months=2,5.00,
    IF(arrears_months=3,8.00,
    IF(arrears_months=4,10.00,
    IF(arrears_months=5,12.00,15.00)))))))</f>
        <v/>
      </c>
      <c r="M7652">
        <f>LET(
    seasoning_years,DATEDIF('Loan Tape (S&amp;P)'!K7652,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52">
        <f>IF(AND('Loan Tape (S&amp;P)'!U7652="Yes",
        'Loan Tape (S&amp;P)'!T7652&lt;&gt;"Yes",
        DATEDIF('Loan Tape (S&amp;P)'!K7652, TODAY(), "M")&lt;18),
    1.10,
    1.00)</f>
        <v/>
      </c>
      <c r="O7652">
        <f>IF('Loan Tape (S&amp;P)'!T7652="Yes",
    1.35,
    1.00)</f>
        <v/>
      </c>
      <c r="P7652">
        <f>IF('Loan Tape (S&amp;P)'!S7652="Yes",
    1.15,
    1.00)</f>
        <v/>
      </c>
      <c r="Q7652">
        <f>IF('Loan Tape (S&amp;P)'!V7652="Yes",
    1.20,
    1.00)</f>
        <v/>
      </c>
      <c r="T7652">
        <f>LET(
    payment_method,'Loan Tape (S&amp;P)'!P7652,
    occupancy,'Loan Tape (S&amp;P)'!N7652,
    maturity_date,'Loan Tape (S&amp;P)'!L7652,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53">
      <c r="J7653">
        <f>LET(
    lien,'Loan Tape (S&amp;P)'!Q7653,
    IF(lien="First",1.00,
        IF(lien="Second",1.50,
            1.70)))</f>
        <v/>
      </c>
      <c r="K7653">
        <f>LET(
    purpose,'Loan Tape (S&amp;P)'!R7653,
    IF(purpose="Purchase",1.00,
        IF(purpose="Remortgage",1.00,
            1.20)))</f>
        <v/>
      </c>
      <c r="L7653">
        <f>LET(
    arrears_months,'Loan Tape (S&amp;P)'!AN7653,
    IF(arrears_months=0,1.00,
    IF(arrears_months=1,3.00,
    IF(arrears_months=2,5.00,
    IF(arrears_months=3,8.00,
    IF(arrears_months=4,10.00,
    IF(arrears_months=5,12.00,15.00)))))))</f>
        <v/>
      </c>
      <c r="M7653">
        <f>LET(
    seasoning_years,DATEDIF('Loan Tape (S&amp;P)'!K7653,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53">
        <f>IF(AND('Loan Tape (S&amp;P)'!U7653="Yes",
        'Loan Tape (S&amp;P)'!T7653&lt;&gt;"Yes",
        DATEDIF('Loan Tape (S&amp;P)'!K7653, TODAY(), "M")&lt;18),
    1.10,
    1.00)</f>
        <v/>
      </c>
      <c r="O7653">
        <f>IF('Loan Tape (S&amp;P)'!T7653="Yes",
    1.35,
    1.00)</f>
        <v/>
      </c>
      <c r="P7653">
        <f>IF('Loan Tape (S&amp;P)'!S7653="Yes",
    1.15,
    1.00)</f>
        <v/>
      </c>
      <c r="Q7653">
        <f>IF('Loan Tape (S&amp;P)'!V7653="Yes",
    1.20,
    1.00)</f>
        <v/>
      </c>
      <c r="T7653">
        <f>LET(
    payment_method,'Loan Tape (S&amp;P)'!P7653,
    occupancy,'Loan Tape (S&amp;P)'!N7653,
    maturity_date,'Loan Tape (S&amp;P)'!L7653,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54">
      <c r="J7654">
        <f>LET(
    lien,'Loan Tape (S&amp;P)'!Q7654,
    IF(lien="First",1.00,
        IF(lien="Second",1.50,
            1.70)))</f>
        <v/>
      </c>
      <c r="K7654">
        <f>LET(
    purpose,'Loan Tape (S&amp;P)'!R7654,
    IF(purpose="Purchase",1.00,
        IF(purpose="Remortgage",1.00,
            1.20)))</f>
        <v/>
      </c>
      <c r="L7654">
        <f>LET(
    arrears_months,'Loan Tape (S&amp;P)'!AN7654,
    IF(arrears_months=0,1.00,
    IF(arrears_months=1,3.00,
    IF(arrears_months=2,5.00,
    IF(arrears_months=3,8.00,
    IF(arrears_months=4,10.00,
    IF(arrears_months=5,12.00,15.00)))))))</f>
        <v/>
      </c>
      <c r="M7654">
        <f>LET(
    seasoning_years,DATEDIF('Loan Tape (S&amp;P)'!K7654,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54">
        <f>IF(AND('Loan Tape (S&amp;P)'!U7654="Yes",
        'Loan Tape (S&amp;P)'!T7654&lt;&gt;"Yes",
        DATEDIF('Loan Tape (S&amp;P)'!K7654, TODAY(), "M")&lt;18),
    1.10,
    1.00)</f>
        <v/>
      </c>
      <c r="O7654">
        <f>IF('Loan Tape (S&amp;P)'!T7654="Yes",
    1.35,
    1.00)</f>
        <v/>
      </c>
      <c r="P7654">
        <f>IF('Loan Tape (S&amp;P)'!S7654="Yes",
    1.15,
    1.00)</f>
        <v/>
      </c>
      <c r="Q7654">
        <f>IF('Loan Tape (S&amp;P)'!V7654="Yes",
    1.20,
    1.00)</f>
        <v/>
      </c>
      <c r="T7654">
        <f>LET(
    payment_method,'Loan Tape (S&amp;P)'!P7654,
    occupancy,'Loan Tape (S&amp;P)'!N7654,
    maturity_date,'Loan Tape (S&amp;P)'!L7654,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55">
      <c r="J7655">
        <f>LET(
    lien,'Loan Tape (S&amp;P)'!Q7655,
    IF(lien="First",1.00,
        IF(lien="Second",1.50,
            1.70)))</f>
        <v/>
      </c>
      <c r="K7655">
        <f>LET(
    purpose,'Loan Tape (S&amp;P)'!R7655,
    IF(purpose="Purchase",1.00,
        IF(purpose="Remortgage",1.00,
            1.20)))</f>
        <v/>
      </c>
      <c r="L7655">
        <f>LET(
    arrears_months,'Loan Tape (S&amp;P)'!AN7655,
    IF(arrears_months=0,1.00,
    IF(arrears_months=1,3.00,
    IF(arrears_months=2,5.00,
    IF(arrears_months=3,8.00,
    IF(arrears_months=4,10.00,
    IF(arrears_months=5,12.00,15.00)))))))</f>
        <v/>
      </c>
      <c r="M7655">
        <f>LET(
    seasoning_years,DATEDIF('Loan Tape (S&amp;P)'!K7655,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55">
        <f>IF(AND('Loan Tape (S&amp;P)'!U7655="Yes",
        'Loan Tape (S&amp;P)'!T7655&lt;&gt;"Yes",
        DATEDIF('Loan Tape (S&amp;P)'!K7655, TODAY(), "M")&lt;18),
    1.10,
    1.00)</f>
        <v/>
      </c>
      <c r="O7655">
        <f>IF('Loan Tape (S&amp;P)'!T7655="Yes",
    1.35,
    1.00)</f>
        <v/>
      </c>
      <c r="P7655">
        <f>IF('Loan Tape (S&amp;P)'!S7655="Yes",
    1.15,
    1.00)</f>
        <v/>
      </c>
      <c r="Q7655">
        <f>IF('Loan Tape (S&amp;P)'!V7655="Yes",
    1.20,
    1.00)</f>
        <v/>
      </c>
      <c r="T7655">
        <f>LET(
    payment_method,'Loan Tape (S&amp;P)'!P7655,
    occupancy,'Loan Tape (S&amp;P)'!N7655,
    maturity_date,'Loan Tape (S&amp;P)'!L7655,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56">
      <c r="J7656">
        <f>LET(
    lien,'Loan Tape (S&amp;P)'!Q7656,
    IF(lien="First",1.00,
        IF(lien="Second",1.50,
            1.70)))</f>
        <v/>
      </c>
      <c r="K7656">
        <f>LET(
    purpose,'Loan Tape (S&amp;P)'!R7656,
    IF(purpose="Purchase",1.00,
        IF(purpose="Remortgage",1.00,
            1.20)))</f>
        <v/>
      </c>
      <c r="L7656">
        <f>LET(
    arrears_months,'Loan Tape (S&amp;P)'!AN7656,
    IF(arrears_months=0,1.00,
    IF(arrears_months=1,3.00,
    IF(arrears_months=2,5.00,
    IF(arrears_months=3,8.00,
    IF(arrears_months=4,10.00,
    IF(arrears_months=5,12.00,15.00)))))))</f>
        <v/>
      </c>
      <c r="M7656">
        <f>LET(
    seasoning_years,DATEDIF('Loan Tape (S&amp;P)'!K7656,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56">
        <f>IF(AND('Loan Tape (S&amp;P)'!U7656="Yes",
        'Loan Tape (S&amp;P)'!T7656&lt;&gt;"Yes",
        DATEDIF('Loan Tape (S&amp;P)'!K7656, TODAY(), "M")&lt;18),
    1.10,
    1.00)</f>
        <v/>
      </c>
      <c r="O7656">
        <f>IF('Loan Tape (S&amp;P)'!T7656="Yes",
    1.35,
    1.00)</f>
        <v/>
      </c>
      <c r="P7656">
        <f>IF('Loan Tape (S&amp;P)'!S7656="Yes",
    1.15,
    1.00)</f>
        <v/>
      </c>
      <c r="Q7656">
        <f>IF('Loan Tape (S&amp;P)'!V7656="Yes",
    1.20,
    1.00)</f>
        <v/>
      </c>
      <c r="T7656">
        <f>LET(
    payment_method,'Loan Tape (S&amp;P)'!P7656,
    occupancy,'Loan Tape (S&amp;P)'!N7656,
    maturity_date,'Loan Tape (S&amp;P)'!L7656,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57">
      <c r="J7657">
        <f>LET(
    lien,'Loan Tape (S&amp;P)'!Q7657,
    IF(lien="First",1.00,
        IF(lien="Second",1.50,
            1.70)))</f>
        <v/>
      </c>
      <c r="K7657">
        <f>LET(
    purpose,'Loan Tape (S&amp;P)'!R7657,
    IF(purpose="Purchase",1.00,
        IF(purpose="Remortgage",1.00,
            1.20)))</f>
        <v/>
      </c>
      <c r="L7657">
        <f>LET(
    arrears_months,'Loan Tape (S&amp;P)'!AN7657,
    IF(arrears_months=0,1.00,
    IF(arrears_months=1,3.00,
    IF(arrears_months=2,5.00,
    IF(arrears_months=3,8.00,
    IF(arrears_months=4,10.00,
    IF(arrears_months=5,12.00,15.00)))))))</f>
        <v/>
      </c>
      <c r="M7657">
        <f>LET(
    seasoning_years,DATEDIF('Loan Tape (S&amp;P)'!K7657,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57">
        <f>IF(AND('Loan Tape (S&amp;P)'!U7657="Yes",
        'Loan Tape (S&amp;P)'!T7657&lt;&gt;"Yes",
        DATEDIF('Loan Tape (S&amp;P)'!K7657, TODAY(), "M")&lt;18),
    1.10,
    1.00)</f>
        <v/>
      </c>
      <c r="O7657">
        <f>IF('Loan Tape (S&amp;P)'!T7657="Yes",
    1.35,
    1.00)</f>
        <v/>
      </c>
      <c r="P7657">
        <f>IF('Loan Tape (S&amp;P)'!S7657="Yes",
    1.15,
    1.00)</f>
        <v/>
      </c>
      <c r="Q7657">
        <f>IF('Loan Tape (S&amp;P)'!V7657="Yes",
    1.20,
    1.00)</f>
        <v/>
      </c>
      <c r="T7657">
        <f>LET(
    payment_method,'Loan Tape (S&amp;P)'!P7657,
    occupancy,'Loan Tape (S&amp;P)'!N7657,
    maturity_date,'Loan Tape (S&amp;P)'!L7657,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58">
      <c r="J7658">
        <f>LET(
    lien,'Loan Tape (S&amp;P)'!Q7658,
    IF(lien="First",1.00,
        IF(lien="Second",1.50,
            1.70)))</f>
        <v/>
      </c>
      <c r="K7658">
        <f>LET(
    purpose,'Loan Tape (S&amp;P)'!R7658,
    IF(purpose="Purchase",1.00,
        IF(purpose="Remortgage",1.00,
            1.20)))</f>
        <v/>
      </c>
      <c r="L7658">
        <f>LET(
    arrears_months,'Loan Tape (S&amp;P)'!AN7658,
    IF(arrears_months=0,1.00,
    IF(arrears_months=1,3.00,
    IF(arrears_months=2,5.00,
    IF(arrears_months=3,8.00,
    IF(arrears_months=4,10.00,
    IF(arrears_months=5,12.00,15.00)))))))</f>
        <v/>
      </c>
      <c r="M7658">
        <f>LET(
    seasoning_years,DATEDIF('Loan Tape (S&amp;P)'!K7658,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58">
        <f>IF(AND('Loan Tape (S&amp;P)'!U7658="Yes",
        'Loan Tape (S&amp;P)'!T7658&lt;&gt;"Yes",
        DATEDIF('Loan Tape (S&amp;P)'!K7658, TODAY(), "M")&lt;18),
    1.10,
    1.00)</f>
        <v/>
      </c>
      <c r="O7658">
        <f>IF('Loan Tape (S&amp;P)'!T7658="Yes",
    1.35,
    1.00)</f>
        <v/>
      </c>
      <c r="P7658">
        <f>IF('Loan Tape (S&amp;P)'!S7658="Yes",
    1.15,
    1.00)</f>
        <v/>
      </c>
      <c r="Q7658">
        <f>IF('Loan Tape (S&amp;P)'!V7658="Yes",
    1.20,
    1.00)</f>
        <v/>
      </c>
      <c r="T7658">
        <f>LET(
    payment_method,'Loan Tape (S&amp;P)'!P7658,
    occupancy,'Loan Tape (S&amp;P)'!N7658,
    maturity_date,'Loan Tape (S&amp;P)'!L7658,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59">
      <c r="J7659">
        <f>LET(
    lien,'Loan Tape (S&amp;P)'!Q7659,
    IF(lien="First",1.00,
        IF(lien="Second",1.50,
            1.70)))</f>
        <v/>
      </c>
      <c r="K7659">
        <f>LET(
    purpose,'Loan Tape (S&amp;P)'!R7659,
    IF(purpose="Purchase",1.00,
        IF(purpose="Remortgage",1.00,
            1.20)))</f>
        <v/>
      </c>
      <c r="L7659">
        <f>LET(
    arrears_months,'Loan Tape (S&amp;P)'!AN7659,
    IF(arrears_months=0,1.00,
    IF(arrears_months=1,3.00,
    IF(arrears_months=2,5.00,
    IF(arrears_months=3,8.00,
    IF(arrears_months=4,10.00,
    IF(arrears_months=5,12.00,15.00)))))))</f>
        <v/>
      </c>
      <c r="M7659">
        <f>LET(
    seasoning_years,DATEDIF('Loan Tape (S&amp;P)'!K7659,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59">
        <f>IF(AND('Loan Tape (S&amp;P)'!U7659="Yes",
        'Loan Tape (S&amp;P)'!T7659&lt;&gt;"Yes",
        DATEDIF('Loan Tape (S&amp;P)'!K7659, TODAY(), "M")&lt;18),
    1.10,
    1.00)</f>
        <v/>
      </c>
      <c r="O7659">
        <f>IF('Loan Tape (S&amp;P)'!T7659="Yes",
    1.35,
    1.00)</f>
        <v/>
      </c>
      <c r="P7659">
        <f>IF('Loan Tape (S&amp;P)'!S7659="Yes",
    1.15,
    1.00)</f>
        <v/>
      </c>
      <c r="Q7659">
        <f>IF('Loan Tape (S&amp;P)'!V7659="Yes",
    1.20,
    1.00)</f>
        <v/>
      </c>
      <c r="T7659">
        <f>LET(
    payment_method,'Loan Tape (S&amp;P)'!P7659,
    occupancy,'Loan Tape (S&amp;P)'!N7659,
    maturity_date,'Loan Tape (S&amp;P)'!L7659,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60">
      <c r="J7660">
        <f>LET(
    lien,'Loan Tape (S&amp;P)'!Q7660,
    IF(lien="First",1.00,
        IF(lien="Second",1.50,
            1.70)))</f>
        <v/>
      </c>
      <c r="K7660">
        <f>LET(
    purpose,'Loan Tape (S&amp;P)'!R7660,
    IF(purpose="Purchase",1.00,
        IF(purpose="Remortgage",1.00,
            1.20)))</f>
        <v/>
      </c>
      <c r="L7660">
        <f>LET(
    arrears_months,'Loan Tape (S&amp;P)'!AN7660,
    IF(arrears_months=0,1.00,
    IF(arrears_months=1,3.00,
    IF(arrears_months=2,5.00,
    IF(arrears_months=3,8.00,
    IF(arrears_months=4,10.00,
    IF(arrears_months=5,12.00,15.00)))))))</f>
        <v/>
      </c>
      <c r="M7660">
        <f>LET(
    seasoning_years,DATEDIF('Loan Tape (S&amp;P)'!K7660,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60">
        <f>IF(AND('Loan Tape (S&amp;P)'!U7660="Yes",
        'Loan Tape (S&amp;P)'!T7660&lt;&gt;"Yes",
        DATEDIF('Loan Tape (S&amp;P)'!K7660, TODAY(), "M")&lt;18),
    1.10,
    1.00)</f>
        <v/>
      </c>
      <c r="O7660">
        <f>IF('Loan Tape (S&amp;P)'!T7660="Yes",
    1.35,
    1.00)</f>
        <v/>
      </c>
      <c r="P7660">
        <f>IF('Loan Tape (S&amp;P)'!S7660="Yes",
    1.15,
    1.00)</f>
        <v/>
      </c>
      <c r="Q7660">
        <f>IF('Loan Tape (S&amp;P)'!V7660="Yes",
    1.20,
    1.00)</f>
        <v/>
      </c>
      <c r="T7660">
        <f>LET(
    payment_method,'Loan Tape (S&amp;P)'!P7660,
    occupancy,'Loan Tape (S&amp;P)'!N7660,
    maturity_date,'Loan Tape (S&amp;P)'!L7660,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61">
      <c r="J7661">
        <f>LET(
    lien,'Loan Tape (S&amp;P)'!Q7661,
    IF(lien="First",1.00,
        IF(lien="Second",1.50,
            1.70)))</f>
        <v/>
      </c>
      <c r="K7661">
        <f>LET(
    purpose,'Loan Tape (S&amp;P)'!R7661,
    IF(purpose="Purchase",1.00,
        IF(purpose="Remortgage",1.00,
            1.20)))</f>
        <v/>
      </c>
      <c r="L7661">
        <f>LET(
    arrears_months,'Loan Tape (S&amp;P)'!AN7661,
    IF(arrears_months=0,1.00,
    IF(arrears_months=1,3.00,
    IF(arrears_months=2,5.00,
    IF(arrears_months=3,8.00,
    IF(arrears_months=4,10.00,
    IF(arrears_months=5,12.00,15.00)))))))</f>
        <v/>
      </c>
      <c r="M7661">
        <f>LET(
    seasoning_years,DATEDIF('Loan Tape (S&amp;P)'!K7661,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61">
        <f>IF(AND('Loan Tape (S&amp;P)'!U7661="Yes",
        'Loan Tape (S&amp;P)'!T7661&lt;&gt;"Yes",
        DATEDIF('Loan Tape (S&amp;P)'!K7661, TODAY(), "M")&lt;18),
    1.10,
    1.00)</f>
        <v/>
      </c>
      <c r="O7661">
        <f>IF('Loan Tape (S&amp;P)'!T7661="Yes",
    1.35,
    1.00)</f>
        <v/>
      </c>
      <c r="P7661">
        <f>IF('Loan Tape (S&amp;P)'!S7661="Yes",
    1.15,
    1.00)</f>
        <v/>
      </c>
      <c r="Q7661">
        <f>IF('Loan Tape (S&amp;P)'!V7661="Yes",
    1.20,
    1.00)</f>
        <v/>
      </c>
      <c r="T7661">
        <f>LET(
    payment_method,'Loan Tape (S&amp;P)'!P7661,
    occupancy,'Loan Tape (S&amp;P)'!N7661,
    maturity_date,'Loan Tape (S&amp;P)'!L7661,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62">
      <c r="J7662">
        <f>LET(
    lien,'Loan Tape (S&amp;P)'!Q7662,
    IF(lien="First",1.00,
        IF(lien="Second",1.50,
            1.70)))</f>
        <v/>
      </c>
      <c r="K7662">
        <f>LET(
    purpose,'Loan Tape (S&amp;P)'!R7662,
    IF(purpose="Purchase",1.00,
        IF(purpose="Remortgage",1.00,
            1.20)))</f>
        <v/>
      </c>
      <c r="L7662">
        <f>LET(
    arrears_months,'Loan Tape (S&amp;P)'!AN7662,
    IF(arrears_months=0,1.00,
    IF(arrears_months=1,3.00,
    IF(arrears_months=2,5.00,
    IF(arrears_months=3,8.00,
    IF(arrears_months=4,10.00,
    IF(arrears_months=5,12.00,15.00)))))))</f>
        <v/>
      </c>
      <c r="M7662">
        <f>LET(
    seasoning_years,DATEDIF('Loan Tape (S&amp;P)'!K7662,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62">
        <f>IF(AND('Loan Tape (S&amp;P)'!U7662="Yes",
        'Loan Tape (S&amp;P)'!T7662&lt;&gt;"Yes",
        DATEDIF('Loan Tape (S&amp;P)'!K7662, TODAY(), "M")&lt;18),
    1.10,
    1.00)</f>
        <v/>
      </c>
      <c r="O7662">
        <f>IF('Loan Tape (S&amp;P)'!T7662="Yes",
    1.35,
    1.00)</f>
        <v/>
      </c>
      <c r="P7662">
        <f>IF('Loan Tape (S&amp;P)'!S7662="Yes",
    1.15,
    1.00)</f>
        <v/>
      </c>
      <c r="Q7662">
        <f>IF('Loan Tape (S&amp;P)'!V7662="Yes",
    1.20,
    1.00)</f>
        <v/>
      </c>
      <c r="T7662">
        <f>LET(
    payment_method,'Loan Tape (S&amp;P)'!P7662,
    occupancy,'Loan Tape (S&amp;P)'!N7662,
    maturity_date,'Loan Tape (S&amp;P)'!L7662,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63">
      <c r="J7663">
        <f>LET(
    lien,'Loan Tape (S&amp;P)'!Q7663,
    IF(lien="First",1.00,
        IF(lien="Second",1.50,
            1.70)))</f>
        <v/>
      </c>
      <c r="K7663">
        <f>LET(
    purpose,'Loan Tape (S&amp;P)'!R7663,
    IF(purpose="Purchase",1.00,
        IF(purpose="Remortgage",1.00,
            1.20)))</f>
        <v/>
      </c>
      <c r="L7663">
        <f>LET(
    arrears_months,'Loan Tape (S&amp;P)'!AN7663,
    IF(arrears_months=0,1.00,
    IF(arrears_months=1,3.00,
    IF(arrears_months=2,5.00,
    IF(arrears_months=3,8.00,
    IF(arrears_months=4,10.00,
    IF(arrears_months=5,12.00,15.00)))))))</f>
        <v/>
      </c>
      <c r="M7663">
        <f>LET(
    seasoning_years,DATEDIF('Loan Tape (S&amp;P)'!K7663,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63">
        <f>IF(AND('Loan Tape (S&amp;P)'!U7663="Yes",
        'Loan Tape (S&amp;P)'!T7663&lt;&gt;"Yes",
        DATEDIF('Loan Tape (S&amp;P)'!K7663, TODAY(), "M")&lt;18),
    1.10,
    1.00)</f>
        <v/>
      </c>
      <c r="O7663">
        <f>IF('Loan Tape (S&amp;P)'!T7663="Yes",
    1.35,
    1.00)</f>
        <v/>
      </c>
      <c r="P7663">
        <f>IF('Loan Tape (S&amp;P)'!S7663="Yes",
    1.15,
    1.00)</f>
        <v/>
      </c>
      <c r="Q7663">
        <f>IF('Loan Tape (S&amp;P)'!V7663="Yes",
    1.20,
    1.00)</f>
        <v/>
      </c>
      <c r="T7663">
        <f>LET(
    payment_method,'Loan Tape (S&amp;P)'!P7663,
    occupancy,'Loan Tape (S&amp;P)'!N7663,
    maturity_date,'Loan Tape (S&amp;P)'!L7663,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64">
      <c r="J7664">
        <f>LET(
    lien,'Loan Tape (S&amp;P)'!Q7664,
    IF(lien="First",1.00,
        IF(lien="Second",1.50,
            1.70)))</f>
        <v/>
      </c>
      <c r="K7664">
        <f>LET(
    purpose,'Loan Tape (S&amp;P)'!R7664,
    IF(purpose="Purchase",1.00,
        IF(purpose="Remortgage",1.00,
            1.20)))</f>
        <v/>
      </c>
      <c r="L7664">
        <f>LET(
    arrears_months,'Loan Tape (S&amp;P)'!AN7664,
    IF(arrears_months=0,1.00,
    IF(arrears_months=1,3.00,
    IF(arrears_months=2,5.00,
    IF(arrears_months=3,8.00,
    IF(arrears_months=4,10.00,
    IF(arrears_months=5,12.00,15.00)))))))</f>
        <v/>
      </c>
      <c r="M7664">
        <f>LET(
    seasoning_years,DATEDIF('Loan Tape (S&amp;P)'!K7664,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64">
        <f>IF(AND('Loan Tape (S&amp;P)'!U7664="Yes",
        'Loan Tape (S&amp;P)'!T7664&lt;&gt;"Yes",
        DATEDIF('Loan Tape (S&amp;P)'!K7664, TODAY(), "M")&lt;18),
    1.10,
    1.00)</f>
        <v/>
      </c>
      <c r="O7664">
        <f>IF('Loan Tape (S&amp;P)'!T7664="Yes",
    1.35,
    1.00)</f>
        <v/>
      </c>
      <c r="P7664">
        <f>IF('Loan Tape (S&amp;P)'!S7664="Yes",
    1.15,
    1.00)</f>
        <v/>
      </c>
      <c r="Q7664">
        <f>IF('Loan Tape (S&amp;P)'!V7664="Yes",
    1.20,
    1.00)</f>
        <v/>
      </c>
      <c r="T7664">
        <f>LET(
    payment_method,'Loan Tape (S&amp;P)'!P7664,
    occupancy,'Loan Tape (S&amp;P)'!N7664,
    maturity_date,'Loan Tape (S&amp;P)'!L7664,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65">
      <c r="J7665">
        <f>LET(
    lien,'Loan Tape (S&amp;P)'!Q7665,
    IF(lien="First",1.00,
        IF(lien="Second",1.50,
            1.70)))</f>
        <v/>
      </c>
      <c r="K7665">
        <f>LET(
    purpose,'Loan Tape (S&amp;P)'!R7665,
    IF(purpose="Purchase",1.00,
        IF(purpose="Remortgage",1.00,
            1.20)))</f>
        <v/>
      </c>
      <c r="L7665">
        <f>LET(
    arrears_months,'Loan Tape (S&amp;P)'!AN7665,
    IF(arrears_months=0,1.00,
    IF(arrears_months=1,3.00,
    IF(arrears_months=2,5.00,
    IF(arrears_months=3,8.00,
    IF(arrears_months=4,10.00,
    IF(arrears_months=5,12.00,15.00)))))))</f>
        <v/>
      </c>
      <c r="M7665">
        <f>LET(
    seasoning_years,DATEDIF('Loan Tape (S&amp;P)'!K7665,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65">
        <f>IF(AND('Loan Tape (S&amp;P)'!U7665="Yes",
        'Loan Tape (S&amp;P)'!T7665&lt;&gt;"Yes",
        DATEDIF('Loan Tape (S&amp;P)'!K7665, TODAY(), "M")&lt;18),
    1.10,
    1.00)</f>
        <v/>
      </c>
      <c r="O7665">
        <f>IF('Loan Tape (S&amp;P)'!T7665="Yes",
    1.35,
    1.00)</f>
        <v/>
      </c>
      <c r="P7665">
        <f>IF('Loan Tape (S&amp;P)'!S7665="Yes",
    1.15,
    1.00)</f>
        <v/>
      </c>
      <c r="Q7665">
        <f>IF('Loan Tape (S&amp;P)'!V7665="Yes",
    1.20,
    1.00)</f>
        <v/>
      </c>
      <c r="T7665">
        <f>LET(
    payment_method,'Loan Tape (S&amp;P)'!P7665,
    occupancy,'Loan Tape (S&amp;P)'!N7665,
    maturity_date,'Loan Tape (S&amp;P)'!L7665,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66">
      <c r="J7666">
        <f>LET(
    lien,'Loan Tape (S&amp;P)'!Q7666,
    IF(lien="First",1.00,
        IF(lien="Second",1.50,
            1.70)))</f>
        <v/>
      </c>
      <c r="K7666">
        <f>LET(
    purpose,'Loan Tape (S&amp;P)'!R7666,
    IF(purpose="Purchase",1.00,
        IF(purpose="Remortgage",1.00,
            1.20)))</f>
        <v/>
      </c>
      <c r="L7666">
        <f>LET(
    arrears_months,'Loan Tape (S&amp;P)'!AN7666,
    IF(arrears_months=0,1.00,
    IF(arrears_months=1,3.00,
    IF(arrears_months=2,5.00,
    IF(arrears_months=3,8.00,
    IF(arrears_months=4,10.00,
    IF(arrears_months=5,12.00,15.00)))))))</f>
        <v/>
      </c>
      <c r="M7666">
        <f>LET(
    seasoning_years,DATEDIF('Loan Tape (S&amp;P)'!K7666,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66">
        <f>IF(AND('Loan Tape (S&amp;P)'!U7666="Yes",
        'Loan Tape (S&amp;P)'!T7666&lt;&gt;"Yes",
        DATEDIF('Loan Tape (S&amp;P)'!K7666, TODAY(), "M")&lt;18),
    1.10,
    1.00)</f>
        <v/>
      </c>
      <c r="O7666">
        <f>IF('Loan Tape (S&amp;P)'!T7666="Yes",
    1.35,
    1.00)</f>
        <v/>
      </c>
      <c r="P7666">
        <f>IF('Loan Tape (S&amp;P)'!S7666="Yes",
    1.15,
    1.00)</f>
        <v/>
      </c>
      <c r="Q7666">
        <f>IF('Loan Tape (S&amp;P)'!V7666="Yes",
    1.20,
    1.00)</f>
        <v/>
      </c>
      <c r="T7666">
        <f>LET(
    payment_method,'Loan Tape (S&amp;P)'!P7666,
    occupancy,'Loan Tape (S&amp;P)'!N7666,
    maturity_date,'Loan Tape (S&amp;P)'!L7666,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67">
      <c r="J7667">
        <f>LET(
    lien,'Loan Tape (S&amp;P)'!Q7667,
    IF(lien="First",1.00,
        IF(lien="Second",1.50,
            1.70)))</f>
        <v/>
      </c>
      <c r="K7667">
        <f>LET(
    purpose,'Loan Tape (S&amp;P)'!R7667,
    IF(purpose="Purchase",1.00,
        IF(purpose="Remortgage",1.00,
            1.20)))</f>
        <v/>
      </c>
      <c r="L7667">
        <f>LET(
    arrears_months,'Loan Tape (S&amp;P)'!AN7667,
    IF(arrears_months=0,1.00,
    IF(arrears_months=1,3.00,
    IF(arrears_months=2,5.00,
    IF(arrears_months=3,8.00,
    IF(arrears_months=4,10.00,
    IF(arrears_months=5,12.00,15.00)))))))</f>
        <v/>
      </c>
      <c r="M7667">
        <f>LET(
    seasoning_years,DATEDIF('Loan Tape (S&amp;P)'!K7667,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67">
        <f>IF(AND('Loan Tape (S&amp;P)'!U7667="Yes",
        'Loan Tape (S&amp;P)'!T7667&lt;&gt;"Yes",
        DATEDIF('Loan Tape (S&amp;P)'!K7667, TODAY(), "M")&lt;18),
    1.10,
    1.00)</f>
        <v/>
      </c>
      <c r="O7667">
        <f>IF('Loan Tape (S&amp;P)'!T7667="Yes",
    1.35,
    1.00)</f>
        <v/>
      </c>
      <c r="P7667">
        <f>IF('Loan Tape (S&amp;P)'!S7667="Yes",
    1.15,
    1.00)</f>
        <v/>
      </c>
      <c r="Q7667">
        <f>IF('Loan Tape (S&amp;P)'!V7667="Yes",
    1.20,
    1.00)</f>
        <v/>
      </c>
      <c r="T7667">
        <f>LET(
    payment_method,'Loan Tape (S&amp;P)'!P7667,
    occupancy,'Loan Tape (S&amp;P)'!N7667,
    maturity_date,'Loan Tape (S&amp;P)'!L7667,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68">
      <c r="J7668">
        <f>LET(
    lien,'Loan Tape (S&amp;P)'!Q7668,
    IF(lien="First",1.00,
        IF(lien="Second",1.50,
            1.70)))</f>
        <v/>
      </c>
      <c r="K7668">
        <f>LET(
    purpose,'Loan Tape (S&amp;P)'!R7668,
    IF(purpose="Purchase",1.00,
        IF(purpose="Remortgage",1.00,
            1.20)))</f>
        <v/>
      </c>
      <c r="L7668">
        <f>LET(
    arrears_months,'Loan Tape (S&amp;P)'!AN7668,
    IF(arrears_months=0,1.00,
    IF(arrears_months=1,3.00,
    IF(arrears_months=2,5.00,
    IF(arrears_months=3,8.00,
    IF(arrears_months=4,10.00,
    IF(arrears_months=5,12.00,15.00)))))))</f>
        <v/>
      </c>
      <c r="M7668">
        <f>LET(
    seasoning_years,DATEDIF('Loan Tape (S&amp;P)'!K7668,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68">
        <f>IF(AND('Loan Tape (S&amp;P)'!U7668="Yes",
        'Loan Tape (S&amp;P)'!T7668&lt;&gt;"Yes",
        DATEDIF('Loan Tape (S&amp;P)'!K7668, TODAY(), "M")&lt;18),
    1.10,
    1.00)</f>
        <v/>
      </c>
      <c r="O7668">
        <f>IF('Loan Tape (S&amp;P)'!T7668="Yes",
    1.35,
    1.00)</f>
        <v/>
      </c>
      <c r="P7668">
        <f>IF('Loan Tape (S&amp;P)'!S7668="Yes",
    1.15,
    1.00)</f>
        <v/>
      </c>
      <c r="Q7668">
        <f>IF('Loan Tape (S&amp;P)'!V7668="Yes",
    1.20,
    1.00)</f>
        <v/>
      </c>
      <c r="T7668">
        <f>LET(
    payment_method,'Loan Tape (S&amp;P)'!P7668,
    occupancy,'Loan Tape (S&amp;P)'!N7668,
    maturity_date,'Loan Tape (S&amp;P)'!L7668,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69">
      <c r="J7669">
        <f>LET(
    lien,'Loan Tape (S&amp;P)'!Q7669,
    IF(lien="First",1.00,
        IF(lien="Second",1.50,
            1.70)))</f>
        <v/>
      </c>
      <c r="K7669">
        <f>LET(
    purpose,'Loan Tape (S&amp;P)'!R7669,
    IF(purpose="Purchase",1.00,
        IF(purpose="Remortgage",1.00,
            1.20)))</f>
        <v/>
      </c>
      <c r="L7669">
        <f>LET(
    arrears_months,'Loan Tape (S&amp;P)'!AN7669,
    IF(arrears_months=0,1.00,
    IF(arrears_months=1,3.00,
    IF(arrears_months=2,5.00,
    IF(arrears_months=3,8.00,
    IF(arrears_months=4,10.00,
    IF(arrears_months=5,12.00,15.00)))))))</f>
        <v/>
      </c>
      <c r="M7669">
        <f>LET(
    seasoning_years,DATEDIF('Loan Tape (S&amp;P)'!K7669,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69">
        <f>IF(AND('Loan Tape (S&amp;P)'!U7669="Yes",
        'Loan Tape (S&amp;P)'!T7669&lt;&gt;"Yes",
        DATEDIF('Loan Tape (S&amp;P)'!K7669, TODAY(), "M")&lt;18),
    1.10,
    1.00)</f>
        <v/>
      </c>
      <c r="O7669">
        <f>IF('Loan Tape (S&amp;P)'!T7669="Yes",
    1.35,
    1.00)</f>
        <v/>
      </c>
      <c r="P7669">
        <f>IF('Loan Tape (S&amp;P)'!S7669="Yes",
    1.15,
    1.00)</f>
        <v/>
      </c>
      <c r="Q7669">
        <f>IF('Loan Tape (S&amp;P)'!V7669="Yes",
    1.20,
    1.00)</f>
        <v/>
      </c>
      <c r="T7669">
        <f>LET(
    payment_method,'Loan Tape (S&amp;P)'!P7669,
    occupancy,'Loan Tape (S&amp;P)'!N7669,
    maturity_date,'Loan Tape (S&amp;P)'!L7669,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70">
      <c r="J7670">
        <f>LET(
    lien,'Loan Tape (S&amp;P)'!Q7670,
    IF(lien="First",1.00,
        IF(lien="Second",1.50,
            1.70)))</f>
        <v/>
      </c>
      <c r="K7670">
        <f>LET(
    purpose,'Loan Tape (S&amp;P)'!R7670,
    IF(purpose="Purchase",1.00,
        IF(purpose="Remortgage",1.00,
            1.20)))</f>
        <v/>
      </c>
      <c r="L7670">
        <f>LET(
    arrears_months,'Loan Tape (S&amp;P)'!AN7670,
    IF(arrears_months=0,1.00,
    IF(arrears_months=1,3.00,
    IF(arrears_months=2,5.00,
    IF(arrears_months=3,8.00,
    IF(arrears_months=4,10.00,
    IF(arrears_months=5,12.00,15.00)))))))</f>
        <v/>
      </c>
      <c r="M7670">
        <f>LET(
    seasoning_years,DATEDIF('Loan Tape (S&amp;P)'!K7670,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70">
        <f>IF(AND('Loan Tape (S&amp;P)'!U7670="Yes",
        'Loan Tape (S&amp;P)'!T7670&lt;&gt;"Yes",
        DATEDIF('Loan Tape (S&amp;P)'!K7670, TODAY(), "M")&lt;18),
    1.10,
    1.00)</f>
        <v/>
      </c>
      <c r="O7670">
        <f>IF('Loan Tape (S&amp;P)'!T7670="Yes",
    1.35,
    1.00)</f>
        <v/>
      </c>
      <c r="P7670">
        <f>IF('Loan Tape (S&amp;P)'!S7670="Yes",
    1.15,
    1.00)</f>
        <v/>
      </c>
      <c r="Q7670">
        <f>IF('Loan Tape (S&amp;P)'!V7670="Yes",
    1.20,
    1.00)</f>
        <v/>
      </c>
      <c r="T7670">
        <f>LET(
    payment_method,'Loan Tape (S&amp;P)'!P7670,
    occupancy,'Loan Tape (S&amp;P)'!N7670,
    maturity_date,'Loan Tape (S&amp;P)'!L7670,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71">
      <c r="J7671">
        <f>LET(
    lien,'Loan Tape (S&amp;P)'!Q7671,
    IF(lien="First",1.00,
        IF(lien="Second",1.50,
            1.70)))</f>
        <v/>
      </c>
      <c r="K7671">
        <f>LET(
    purpose,'Loan Tape (S&amp;P)'!R7671,
    IF(purpose="Purchase",1.00,
        IF(purpose="Remortgage",1.00,
            1.20)))</f>
        <v/>
      </c>
      <c r="L7671">
        <f>LET(
    arrears_months,'Loan Tape (S&amp;P)'!AN7671,
    IF(arrears_months=0,1.00,
    IF(arrears_months=1,3.00,
    IF(arrears_months=2,5.00,
    IF(arrears_months=3,8.00,
    IF(arrears_months=4,10.00,
    IF(arrears_months=5,12.00,15.00)))))))</f>
        <v/>
      </c>
      <c r="M7671">
        <f>LET(
    seasoning_years,DATEDIF('Loan Tape (S&amp;P)'!K7671,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71">
        <f>IF(AND('Loan Tape (S&amp;P)'!U7671="Yes",
        'Loan Tape (S&amp;P)'!T7671&lt;&gt;"Yes",
        DATEDIF('Loan Tape (S&amp;P)'!K7671, TODAY(), "M")&lt;18),
    1.10,
    1.00)</f>
        <v/>
      </c>
      <c r="O7671">
        <f>IF('Loan Tape (S&amp;P)'!T7671="Yes",
    1.35,
    1.00)</f>
        <v/>
      </c>
      <c r="P7671">
        <f>IF('Loan Tape (S&amp;P)'!S7671="Yes",
    1.15,
    1.00)</f>
        <v/>
      </c>
      <c r="Q7671">
        <f>IF('Loan Tape (S&amp;P)'!V7671="Yes",
    1.20,
    1.00)</f>
        <v/>
      </c>
      <c r="T7671">
        <f>LET(
    payment_method,'Loan Tape (S&amp;P)'!P7671,
    occupancy,'Loan Tape (S&amp;P)'!N7671,
    maturity_date,'Loan Tape (S&amp;P)'!L7671,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72">
      <c r="J7672">
        <f>LET(
    lien,'Loan Tape (S&amp;P)'!Q7672,
    IF(lien="First",1.00,
        IF(lien="Second",1.50,
            1.70)))</f>
        <v/>
      </c>
      <c r="K7672">
        <f>LET(
    purpose,'Loan Tape (S&amp;P)'!R7672,
    IF(purpose="Purchase",1.00,
        IF(purpose="Remortgage",1.00,
            1.20)))</f>
        <v/>
      </c>
      <c r="L7672">
        <f>LET(
    arrears_months,'Loan Tape (S&amp;P)'!AN7672,
    IF(arrears_months=0,1.00,
    IF(arrears_months=1,3.00,
    IF(arrears_months=2,5.00,
    IF(arrears_months=3,8.00,
    IF(arrears_months=4,10.00,
    IF(arrears_months=5,12.00,15.00)))))))</f>
        <v/>
      </c>
      <c r="M7672">
        <f>LET(
    seasoning_years,DATEDIF('Loan Tape (S&amp;P)'!K7672,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72">
        <f>IF(AND('Loan Tape (S&amp;P)'!U7672="Yes",
        'Loan Tape (S&amp;P)'!T7672&lt;&gt;"Yes",
        DATEDIF('Loan Tape (S&amp;P)'!K7672, TODAY(), "M")&lt;18),
    1.10,
    1.00)</f>
        <v/>
      </c>
      <c r="O7672">
        <f>IF('Loan Tape (S&amp;P)'!T7672="Yes",
    1.35,
    1.00)</f>
        <v/>
      </c>
      <c r="P7672">
        <f>IF('Loan Tape (S&amp;P)'!S7672="Yes",
    1.15,
    1.00)</f>
        <v/>
      </c>
      <c r="Q7672">
        <f>IF('Loan Tape (S&amp;P)'!V7672="Yes",
    1.20,
    1.00)</f>
        <v/>
      </c>
      <c r="T7672">
        <f>LET(
    payment_method,'Loan Tape (S&amp;P)'!P7672,
    occupancy,'Loan Tape (S&amp;P)'!N7672,
    maturity_date,'Loan Tape (S&amp;P)'!L7672,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73">
      <c r="J7673">
        <f>LET(
    lien,'Loan Tape (S&amp;P)'!Q7673,
    IF(lien="First",1.00,
        IF(lien="Second",1.50,
            1.70)))</f>
        <v/>
      </c>
      <c r="K7673">
        <f>LET(
    purpose,'Loan Tape (S&amp;P)'!R7673,
    IF(purpose="Purchase",1.00,
        IF(purpose="Remortgage",1.00,
            1.20)))</f>
        <v/>
      </c>
      <c r="L7673">
        <f>LET(
    arrears_months,'Loan Tape (S&amp;P)'!AN7673,
    IF(arrears_months=0,1.00,
    IF(arrears_months=1,3.00,
    IF(arrears_months=2,5.00,
    IF(arrears_months=3,8.00,
    IF(arrears_months=4,10.00,
    IF(arrears_months=5,12.00,15.00)))))))</f>
        <v/>
      </c>
      <c r="M7673">
        <f>LET(
    seasoning_years,DATEDIF('Loan Tape (S&amp;P)'!K7673,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73">
        <f>IF(AND('Loan Tape (S&amp;P)'!U7673="Yes",
        'Loan Tape (S&amp;P)'!T7673&lt;&gt;"Yes",
        DATEDIF('Loan Tape (S&amp;P)'!K7673, TODAY(), "M")&lt;18),
    1.10,
    1.00)</f>
        <v/>
      </c>
      <c r="O7673">
        <f>IF('Loan Tape (S&amp;P)'!T7673="Yes",
    1.35,
    1.00)</f>
        <v/>
      </c>
      <c r="P7673">
        <f>IF('Loan Tape (S&amp;P)'!S7673="Yes",
    1.15,
    1.00)</f>
        <v/>
      </c>
      <c r="Q7673">
        <f>IF('Loan Tape (S&amp;P)'!V7673="Yes",
    1.20,
    1.00)</f>
        <v/>
      </c>
      <c r="T7673">
        <f>LET(
    payment_method,'Loan Tape (S&amp;P)'!P7673,
    occupancy,'Loan Tape (S&amp;P)'!N7673,
    maturity_date,'Loan Tape (S&amp;P)'!L7673,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74">
      <c r="J7674">
        <f>LET(
    lien,'Loan Tape (S&amp;P)'!Q7674,
    IF(lien="First",1.00,
        IF(lien="Second",1.50,
            1.70)))</f>
        <v/>
      </c>
      <c r="K7674">
        <f>LET(
    purpose,'Loan Tape (S&amp;P)'!R7674,
    IF(purpose="Purchase",1.00,
        IF(purpose="Remortgage",1.00,
            1.20)))</f>
        <v/>
      </c>
      <c r="L7674">
        <f>LET(
    arrears_months,'Loan Tape (S&amp;P)'!AN7674,
    IF(arrears_months=0,1.00,
    IF(arrears_months=1,3.00,
    IF(arrears_months=2,5.00,
    IF(arrears_months=3,8.00,
    IF(arrears_months=4,10.00,
    IF(arrears_months=5,12.00,15.00)))))))</f>
        <v/>
      </c>
      <c r="M7674">
        <f>LET(
    seasoning_years,DATEDIF('Loan Tape (S&amp;P)'!K7674,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74">
        <f>IF(AND('Loan Tape (S&amp;P)'!U7674="Yes",
        'Loan Tape (S&amp;P)'!T7674&lt;&gt;"Yes",
        DATEDIF('Loan Tape (S&amp;P)'!K7674, TODAY(), "M")&lt;18),
    1.10,
    1.00)</f>
        <v/>
      </c>
      <c r="O7674">
        <f>IF('Loan Tape (S&amp;P)'!T7674="Yes",
    1.35,
    1.00)</f>
        <v/>
      </c>
      <c r="P7674">
        <f>IF('Loan Tape (S&amp;P)'!S7674="Yes",
    1.15,
    1.00)</f>
        <v/>
      </c>
      <c r="Q7674">
        <f>IF('Loan Tape (S&amp;P)'!V7674="Yes",
    1.20,
    1.00)</f>
        <v/>
      </c>
      <c r="T7674">
        <f>LET(
    payment_method,'Loan Tape (S&amp;P)'!P7674,
    occupancy,'Loan Tape (S&amp;P)'!N7674,
    maturity_date,'Loan Tape (S&amp;P)'!L7674,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75">
      <c r="J7675">
        <f>LET(
    lien,'Loan Tape (S&amp;P)'!Q7675,
    IF(lien="First",1.00,
        IF(lien="Second",1.50,
            1.70)))</f>
        <v/>
      </c>
      <c r="K7675">
        <f>LET(
    purpose,'Loan Tape (S&amp;P)'!R7675,
    IF(purpose="Purchase",1.00,
        IF(purpose="Remortgage",1.00,
            1.20)))</f>
        <v/>
      </c>
      <c r="L7675">
        <f>LET(
    arrears_months,'Loan Tape (S&amp;P)'!AN7675,
    IF(arrears_months=0,1.00,
    IF(arrears_months=1,3.00,
    IF(arrears_months=2,5.00,
    IF(arrears_months=3,8.00,
    IF(arrears_months=4,10.00,
    IF(arrears_months=5,12.00,15.00)))))))</f>
        <v/>
      </c>
      <c r="M7675">
        <f>LET(
    seasoning_years,DATEDIF('Loan Tape (S&amp;P)'!K7675,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75">
        <f>IF(AND('Loan Tape (S&amp;P)'!U7675="Yes",
        'Loan Tape (S&amp;P)'!T7675&lt;&gt;"Yes",
        DATEDIF('Loan Tape (S&amp;P)'!K7675, TODAY(), "M")&lt;18),
    1.10,
    1.00)</f>
        <v/>
      </c>
      <c r="O7675">
        <f>IF('Loan Tape (S&amp;P)'!T7675="Yes",
    1.35,
    1.00)</f>
        <v/>
      </c>
      <c r="P7675">
        <f>IF('Loan Tape (S&amp;P)'!S7675="Yes",
    1.15,
    1.00)</f>
        <v/>
      </c>
      <c r="Q7675">
        <f>IF('Loan Tape (S&amp;P)'!V7675="Yes",
    1.20,
    1.00)</f>
        <v/>
      </c>
      <c r="T7675">
        <f>LET(
    payment_method,'Loan Tape (S&amp;P)'!P7675,
    occupancy,'Loan Tape (S&amp;P)'!N7675,
    maturity_date,'Loan Tape (S&amp;P)'!L7675,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76">
      <c r="J7676">
        <f>LET(
    lien,'Loan Tape (S&amp;P)'!Q7676,
    IF(lien="First",1.00,
        IF(lien="Second",1.50,
            1.70)))</f>
        <v/>
      </c>
      <c r="K7676">
        <f>LET(
    purpose,'Loan Tape (S&amp;P)'!R7676,
    IF(purpose="Purchase",1.00,
        IF(purpose="Remortgage",1.00,
            1.20)))</f>
        <v/>
      </c>
      <c r="L7676">
        <f>LET(
    arrears_months,'Loan Tape (S&amp;P)'!AN7676,
    IF(arrears_months=0,1.00,
    IF(arrears_months=1,3.00,
    IF(arrears_months=2,5.00,
    IF(arrears_months=3,8.00,
    IF(arrears_months=4,10.00,
    IF(arrears_months=5,12.00,15.00)))))))</f>
        <v/>
      </c>
      <c r="M7676">
        <f>LET(
    seasoning_years,DATEDIF('Loan Tape (S&amp;P)'!K7676,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76">
        <f>IF(AND('Loan Tape (S&amp;P)'!U7676="Yes",
        'Loan Tape (S&amp;P)'!T7676&lt;&gt;"Yes",
        DATEDIF('Loan Tape (S&amp;P)'!K7676, TODAY(), "M")&lt;18),
    1.10,
    1.00)</f>
        <v/>
      </c>
      <c r="O7676">
        <f>IF('Loan Tape (S&amp;P)'!T7676="Yes",
    1.35,
    1.00)</f>
        <v/>
      </c>
      <c r="P7676">
        <f>IF('Loan Tape (S&amp;P)'!S7676="Yes",
    1.15,
    1.00)</f>
        <v/>
      </c>
      <c r="Q7676">
        <f>IF('Loan Tape (S&amp;P)'!V7676="Yes",
    1.20,
    1.00)</f>
        <v/>
      </c>
      <c r="T7676">
        <f>LET(
    payment_method,'Loan Tape (S&amp;P)'!P7676,
    occupancy,'Loan Tape (S&amp;P)'!N7676,
    maturity_date,'Loan Tape (S&amp;P)'!L7676,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77">
      <c r="J7677">
        <f>LET(
    lien,'Loan Tape (S&amp;P)'!Q7677,
    IF(lien="First",1.00,
        IF(lien="Second",1.50,
            1.70)))</f>
        <v/>
      </c>
      <c r="K7677">
        <f>LET(
    purpose,'Loan Tape (S&amp;P)'!R7677,
    IF(purpose="Purchase",1.00,
        IF(purpose="Remortgage",1.00,
            1.20)))</f>
        <v/>
      </c>
      <c r="L7677">
        <f>LET(
    arrears_months,'Loan Tape (S&amp;P)'!AN7677,
    IF(arrears_months=0,1.00,
    IF(arrears_months=1,3.00,
    IF(arrears_months=2,5.00,
    IF(arrears_months=3,8.00,
    IF(arrears_months=4,10.00,
    IF(arrears_months=5,12.00,15.00)))))))</f>
        <v/>
      </c>
      <c r="M7677">
        <f>LET(
    seasoning_years,DATEDIF('Loan Tape (S&amp;P)'!K7677,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77">
        <f>IF(AND('Loan Tape (S&amp;P)'!U7677="Yes",
        'Loan Tape (S&amp;P)'!T7677&lt;&gt;"Yes",
        DATEDIF('Loan Tape (S&amp;P)'!K7677, TODAY(), "M")&lt;18),
    1.10,
    1.00)</f>
        <v/>
      </c>
      <c r="O7677">
        <f>IF('Loan Tape (S&amp;P)'!T7677="Yes",
    1.35,
    1.00)</f>
        <v/>
      </c>
      <c r="P7677">
        <f>IF('Loan Tape (S&amp;P)'!S7677="Yes",
    1.15,
    1.00)</f>
        <v/>
      </c>
      <c r="Q7677">
        <f>IF('Loan Tape (S&amp;P)'!V7677="Yes",
    1.20,
    1.00)</f>
        <v/>
      </c>
      <c r="T7677">
        <f>LET(
    payment_method,'Loan Tape (S&amp;P)'!P7677,
    occupancy,'Loan Tape (S&amp;P)'!N7677,
    maturity_date,'Loan Tape (S&amp;P)'!L7677,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78">
      <c r="J7678">
        <f>LET(
    lien,'Loan Tape (S&amp;P)'!Q7678,
    IF(lien="First",1.00,
        IF(lien="Second",1.50,
            1.70)))</f>
        <v/>
      </c>
      <c r="K7678">
        <f>LET(
    purpose,'Loan Tape (S&amp;P)'!R7678,
    IF(purpose="Purchase",1.00,
        IF(purpose="Remortgage",1.00,
            1.20)))</f>
        <v/>
      </c>
      <c r="L7678">
        <f>LET(
    arrears_months,'Loan Tape (S&amp;P)'!AN7678,
    IF(arrears_months=0,1.00,
    IF(arrears_months=1,3.00,
    IF(arrears_months=2,5.00,
    IF(arrears_months=3,8.00,
    IF(arrears_months=4,10.00,
    IF(arrears_months=5,12.00,15.00)))))))</f>
        <v/>
      </c>
      <c r="M7678">
        <f>LET(
    seasoning_years,DATEDIF('Loan Tape (S&amp;P)'!K7678,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78">
        <f>IF(AND('Loan Tape (S&amp;P)'!U7678="Yes",
        'Loan Tape (S&amp;P)'!T7678&lt;&gt;"Yes",
        DATEDIF('Loan Tape (S&amp;P)'!K7678, TODAY(), "M")&lt;18),
    1.10,
    1.00)</f>
        <v/>
      </c>
      <c r="O7678">
        <f>IF('Loan Tape (S&amp;P)'!T7678="Yes",
    1.35,
    1.00)</f>
        <v/>
      </c>
      <c r="P7678">
        <f>IF('Loan Tape (S&amp;P)'!S7678="Yes",
    1.15,
    1.00)</f>
        <v/>
      </c>
      <c r="Q7678">
        <f>IF('Loan Tape (S&amp;P)'!V7678="Yes",
    1.20,
    1.00)</f>
        <v/>
      </c>
      <c r="T7678">
        <f>LET(
    payment_method,'Loan Tape (S&amp;P)'!P7678,
    occupancy,'Loan Tape (S&amp;P)'!N7678,
    maturity_date,'Loan Tape (S&amp;P)'!L7678,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79">
      <c r="J7679">
        <f>LET(
    lien,'Loan Tape (S&amp;P)'!Q7679,
    IF(lien="First",1.00,
        IF(lien="Second",1.50,
            1.70)))</f>
        <v/>
      </c>
      <c r="K7679">
        <f>LET(
    purpose,'Loan Tape (S&amp;P)'!R7679,
    IF(purpose="Purchase",1.00,
        IF(purpose="Remortgage",1.00,
            1.20)))</f>
        <v/>
      </c>
      <c r="L7679">
        <f>LET(
    arrears_months,'Loan Tape (S&amp;P)'!AN7679,
    IF(arrears_months=0,1.00,
    IF(arrears_months=1,3.00,
    IF(arrears_months=2,5.00,
    IF(arrears_months=3,8.00,
    IF(arrears_months=4,10.00,
    IF(arrears_months=5,12.00,15.00)))))))</f>
        <v/>
      </c>
      <c r="M7679">
        <f>LET(
    seasoning_years,DATEDIF('Loan Tape (S&amp;P)'!K7679,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79">
        <f>IF(AND('Loan Tape (S&amp;P)'!U7679="Yes",
        'Loan Tape (S&amp;P)'!T7679&lt;&gt;"Yes",
        DATEDIF('Loan Tape (S&amp;P)'!K7679, TODAY(), "M")&lt;18),
    1.10,
    1.00)</f>
        <v/>
      </c>
      <c r="O7679">
        <f>IF('Loan Tape (S&amp;P)'!T7679="Yes",
    1.35,
    1.00)</f>
        <v/>
      </c>
      <c r="P7679">
        <f>IF('Loan Tape (S&amp;P)'!S7679="Yes",
    1.15,
    1.00)</f>
        <v/>
      </c>
      <c r="Q7679">
        <f>IF('Loan Tape (S&amp;P)'!V7679="Yes",
    1.20,
    1.00)</f>
        <v/>
      </c>
      <c r="T7679">
        <f>LET(
    payment_method,'Loan Tape (S&amp;P)'!P7679,
    occupancy,'Loan Tape (S&amp;P)'!N7679,
    maturity_date,'Loan Tape (S&amp;P)'!L7679,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80">
      <c r="J7680">
        <f>LET(
    lien,'Loan Tape (S&amp;P)'!Q7680,
    IF(lien="First",1.00,
        IF(lien="Second",1.50,
            1.70)))</f>
        <v/>
      </c>
      <c r="K7680">
        <f>LET(
    purpose,'Loan Tape (S&amp;P)'!R7680,
    IF(purpose="Purchase",1.00,
        IF(purpose="Remortgage",1.00,
            1.20)))</f>
        <v/>
      </c>
      <c r="L7680">
        <f>LET(
    arrears_months,'Loan Tape (S&amp;P)'!AN7680,
    IF(arrears_months=0,1.00,
    IF(arrears_months=1,3.00,
    IF(arrears_months=2,5.00,
    IF(arrears_months=3,8.00,
    IF(arrears_months=4,10.00,
    IF(arrears_months=5,12.00,15.00)))))))</f>
        <v/>
      </c>
      <c r="M7680">
        <f>LET(
    seasoning_years,DATEDIF('Loan Tape (S&amp;P)'!K7680,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80">
        <f>IF(AND('Loan Tape (S&amp;P)'!U7680="Yes",
        'Loan Tape (S&amp;P)'!T7680&lt;&gt;"Yes",
        DATEDIF('Loan Tape (S&amp;P)'!K7680, TODAY(), "M")&lt;18),
    1.10,
    1.00)</f>
        <v/>
      </c>
      <c r="O7680">
        <f>IF('Loan Tape (S&amp;P)'!T7680="Yes",
    1.35,
    1.00)</f>
        <v/>
      </c>
      <c r="P7680">
        <f>IF('Loan Tape (S&amp;P)'!S7680="Yes",
    1.15,
    1.00)</f>
        <v/>
      </c>
      <c r="Q7680">
        <f>IF('Loan Tape (S&amp;P)'!V7680="Yes",
    1.20,
    1.00)</f>
        <v/>
      </c>
      <c r="T7680">
        <f>LET(
    payment_method,'Loan Tape (S&amp;P)'!P7680,
    occupancy,'Loan Tape (S&amp;P)'!N7680,
    maturity_date,'Loan Tape (S&amp;P)'!L7680,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81">
      <c r="J7681">
        <f>LET(
    lien,'Loan Tape (S&amp;P)'!Q7681,
    IF(lien="First",1.00,
        IF(lien="Second",1.50,
            1.70)))</f>
        <v/>
      </c>
      <c r="K7681">
        <f>LET(
    purpose,'Loan Tape (S&amp;P)'!R7681,
    IF(purpose="Purchase",1.00,
        IF(purpose="Remortgage",1.00,
            1.20)))</f>
        <v/>
      </c>
      <c r="L7681">
        <f>LET(
    arrears_months,'Loan Tape (S&amp;P)'!AN7681,
    IF(arrears_months=0,1.00,
    IF(arrears_months=1,3.00,
    IF(arrears_months=2,5.00,
    IF(arrears_months=3,8.00,
    IF(arrears_months=4,10.00,
    IF(arrears_months=5,12.00,15.00)))))))</f>
        <v/>
      </c>
      <c r="M7681">
        <f>LET(
    seasoning_years,DATEDIF('Loan Tape (S&amp;P)'!K7681,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81">
        <f>IF(AND('Loan Tape (S&amp;P)'!U7681="Yes",
        'Loan Tape (S&amp;P)'!T7681&lt;&gt;"Yes",
        DATEDIF('Loan Tape (S&amp;P)'!K7681, TODAY(), "M")&lt;18),
    1.10,
    1.00)</f>
        <v/>
      </c>
      <c r="O7681">
        <f>IF('Loan Tape (S&amp;P)'!T7681="Yes",
    1.35,
    1.00)</f>
        <v/>
      </c>
      <c r="P7681">
        <f>IF('Loan Tape (S&amp;P)'!S7681="Yes",
    1.15,
    1.00)</f>
        <v/>
      </c>
      <c r="Q7681">
        <f>IF('Loan Tape (S&amp;P)'!V7681="Yes",
    1.20,
    1.00)</f>
        <v/>
      </c>
      <c r="T7681">
        <f>LET(
    payment_method,'Loan Tape (S&amp;P)'!P7681,
    occupancy,'Loan Tape (S&amp;P)'!N7681,
    maturity_date,'Loan Tape (S&amp;P)'!L7681,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82">
      <c r="J7682">
        <f>LET(
    lien,'Loan Tape (S&amp;P)'!Q7682,
    IF(lien="First",1.00,
        IF(lien="Second",1.50,
            1.70)))</f>
        <v/>
      </c>
      <c r="K7682">
        <f>LET(
    purpose,'Loan Tape (S&amp;P)'!R7682,
    IF(purpose="Purchase",1.00,
        IF(purpose="Remortgage",1.00,
            1.20)))</f>
        <v/>
      </c>
      <c r="L7682">
        <f>LET(
    arrears_months,'Loan Tape (S&amp;P)'!AN7682,
    IF(arrears_months=0,1.00,
    IF(arrears_months=1,3.00,
    IF(arrears_months=2,5.00,
    IF(arrears_months=3,8.00,
    IF(arrears_months=4,10.00,
    IF(arrears_months=5,12.00,15.00)))))))</f>
        <v/>
      </c>
      <c r="M7682">
        <f>LET(
    seasoning_years,DATEDIF('Loan Tape (S&amp;P)'!K7682,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82">
        <f>IF(AND('Loan Tape (S&amp;P)'!U7682="Yes",
        'Loan Tape (S&amp;P)'!T7682&lt;&gt;"Yes",
        DATEDIF('Loan Tape (S&amp;P)'!K7682, TODAY(), "M")&lt;18),
    1.10,
    1.00)</f>
        <v/>
      </c>
      <c r="O7682">
        <f>IF('Loan Tape (S&amp;P)'!T7682="Yes",
    1.35,
    1.00)</f>
        <v/>
      </c>
      <c r="P7682">
        <f>IF('Loan Tape (S&amp;P)'!S7682="Yes",
    1.15,
    1.00)</f>
        <v/>
      </c>
      <c r="Q7682">
        <f>IF('Loan Tape (S&amp;P)'!V7682="Yes",
    1.20,
    1.00)</f>
        <v/>
      </c>
      <c r="T7682">
        <f>LET(
    payment_method,'Loan Tape (S&amp;P)'!P7682,
    occupancy,'Loan Tape (S&amp;P)'!N7682,
    maturity_date,'Loan Tape (S&amp;P)'!L7682,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83">
      <c r="J7683">
        <f>LET(
    lien,'Loan Tape (S&amp;P)'!Q7683,
    IF(lien="First",1.00,
        IF(lien="Second",1.50,
            1.70)))</f>
        <v/>
      </c>
      <c r="K7683">
        <f>LET(
    purpose,'Loan Tape (S&amp;P)'!R7683,
    IF(purpose="Purchase",1.00,
        IF(purpose="Remortgage",1.00,
            1.20)))</f>
        <v/>
      </c>
      <c r="L7683">
        <f>LET(
    arrears_months,'Loan Tape (S&amp;P)'!AN7683,
    IF(arrears_months=0,1.00,
    IF(arrears_months=1,3.00,
    IF(arrears_months=2,5.00,
    IF(arrears_months=3,8.00,
    IF(arrears_months=4,10.00,
    IF(arrears_months=5,12.00,15.00)))))))</f>
        <v/>
      </c>
      <c r="M7683">
        <f>LET(
    seasoning_years,DATEDIF('Loan Tape (S&amp;P)'!K7683,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83">
        <f>IF(AND('Loan Tape (S&amp;P)'!U7683="Yes",
        'Loan Tape (S&amp;P)'!T7683&lt;&gt;"Yes",
        DATEDIF('Loan Tape (S&amp;P)'!K7683, TODAY(), "M")&lt;18),
    1.10,
    1.00)</f>
        <v/>
      </c>
      <c r="O7683">
        <f>IF('Loan Tape (S&amp;P)'!T7683="Yes",
    1.35,
    1.00)</f>
        <v/>
      </c>
      <c r="P7683">
        <f>IF('Loan Tape (S&amp;P)'!S7683="Yes",
    1.15,
    1.00)</f>
        <v/>
      </c>
      <c r="Q7683">
        <f>IF('Loan Tape (S&amp;P)'!V7683="Yes",
    1.20,
    1.00)</f>
        <v/>
      </c>
      <c r="T7683">
        <f>LET(
    payment_method,'Loan Tape (S&amp;P)'!P7683,
    occupancy,'Loan Tape (S&amp;P)'!N7683,
    maturity_date,'Loan Tape (S&amp;P)'!L7683,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84">
      <c r="J7684">
        <f>LET(
    lien,'Loan Tape (S&amp;P)'!Q7684,
    IF(lien="First",1.00,
        IF(lien="Second",1.50,
            1.70)))</f>
        <v/>
      </c>
      <c r="K7684">
        <f>LET(
    purpose,'Loan Tape (S&amp;P)'!R7684,
    IF(purpose="Purchase",1.00,
        IF(purpose="Remortgage",1.00,
            1.20)))</f>
        <v/>
      </c>
      <c r="L7684">
        <f>LET(
    arrears_months,'Loan Tape (S&amp;P)'!AN7684,
    IF(arrears_months=0,1.00,
    IF(arrears_months=1,3.00,
    IF(arrears_months=2,5.00,
    IF(arrears_months=3,8.00,
    IF(arrears_months=4,10.00,
    IF(arrears_months=5,12.00,15.00)))))))</f>
        <v/>
      </c>
      <c r="M7684">
        <f>LET(
    seasoning_years,DATEDIF('Loan Tape (S&amp;P)'!K7684,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84">
        <f>IF(AND('Loan Tape (S&amp;P)'!U7684="Yes",
        'Loan Tape (S&amp;P)'!T7684&lt;&gt;"Yes",
        DATEDIF('Loan Tape (S&amp;P)'!K7684, TODAY(), "M")&lt;18),
    1.10,
    1.00)</f>
        <v/>
      </c>
      <c r="O7684">
        <f>IF('Loan Tape (S&amp;P)'!T7684="Yes",
    1.35,
    1.00)</f>
        <v/>
      </c>
      <c r="P7684">
        <f>IF('Loan Tape (S&amp;P)'!S7684="Yes",
    1.15,
    1.00)</f>
        <v/>
      </c>
      <c r="Q7684">
        <f>IF('Loan Tape (S&amp;P)'!V7684="Yes",
    1.20,
    1.00)</f>
        <v/>
      </c>
      <c r="T7684">
        <f>LET(
    payment_method,'Loan Tape (S&amp;P)'!P7684,
    occupancy,'Loan Tape (S&amp;P)'!N7684,
    maturity_date,'Loan Tape (S&amp;P)'!L7684,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85">
      <c r="J7685">
        <f>LET(
    lien,'Loan Tape (S&amp;P)'!Q7685,
    IF(lien="First",1.00,
        IF(lien="Second",1.50,
            1.70)))</f>
        <v/>
      </c>
      <c r="K7685">
        <f>LET(
    purpose,'Loan Tape (S&amp;P)'!R7685,
    IF(purpose="Purchase",1.00,
        IF(purpose="Remortgage",1.00,
            1.20)))</f>
        <v/>
      </c>
      <c r="L7685">
        <f>LET(
    arrears_months,'Loan Tape (S&amp;P)'!AN7685,
    IF(arrears_months=0,1.00,
    IF(arrears_months=1,3.00,
    IF(arrears_months=2,5.00,
    IF(arrears_months=3,8.00,
    IF(arrears_months=4,10.00,
    IF(arrears_months=5,12.00,15.00)))))))</f>
        <v/>
      </c>
      <c r="M7685">
        <f>LET(
    seasoning_years,DATEDIF('Loan Tape (S&amp;P)'!K7685,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85">
        <f>IF(AND('Loan Tape (S&amp;P)'!U7685="Yes",
        'Loan Tape (S&amp;P)'!T7685&lt;&gt;"Yes",
        DATEDIF('Loan Tape (S&amp;P)'!K7685, TODAY(), "M")&lt;18),
    1.10,
    1.00)</f>
        <v/>
      </c>
      <c r="O7685">
        <f>IF('Loan Tape (S&amp;P)'!T7685="Yes",
    1.35,
    1.00)</f>
        <v/>
      </c>
      <c r="P7685">
        <f>IF('Loan Tape (S&amp;P)'!S7685="Yes",
    1.15,
    1.00)</f>
        <v/>
      </c>
      <c r="Q7685">
        <f>IF('Loan Tape (S&amp;P)'!V7685="Yes",
    1.20,
    1.00)</f>
        <v/>
      </c>
      <c r="T7685">
        <f>LET(
    payment_method,'Loan Tape (S&amp;P)'!P7685,
    occupancy,'Loan Tape (S&amp;P)'!N7685,
    maturity_date,'Loan Tape (S&amp;P)'!L7685,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86">
      <c r="J7686">
        <f>LET(
    lien,'Loan Tape (S&amp;P)'!Q7686,
    IF(lien="First",1.00,
        IF(lien="Second",1.50,
            1.70)))</f>
        <v/>
      </c>
      <c r="K7686">
        <f>LET(
    purpose,'Loan Tape (S&amp;P)'!R7686,
    IF(purpose="Purchase",1.00,
        IF(purpose="Remortgage",1.00,
            1.20)))</f>
        <v/>
      </c>
      <c r="L7686">
        <f>LET(
    arrears_months,'Loan Tape (S&amp;P)'!AN7686,
    IF(arrears_months=0,1.00,
    IF(arrears_months=1,3.00,
    IF(arrears_months=2,5.00,
    IF(arrears_months=3,8.00,
    IF(arrears_months=4,10.00,
    IF(arrears_months=5,12.00,15.00)))))))</f>
        <v/>
      </c>
      <c r="M7686">
        <f>LET(
    seasoning_years,DATEDIF('Loan Tape (S&amp;P)'!K7686,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86">
        <f>IF(AND('Loan Tape (S&amp;P)'!U7686="Yes",
        'Loan Tape (S&amp;P)'!T7686&lt;&gt;"Yes",
        DATEDIF('Loan Tape (S&amp;P)'!K7686, TODAY(), "M")&lt;18),
    1.10,
    1.00)</f>
        <v/>
      </c>
      <c r="O7686">
        <f>IF('Loan Tape (S&amp;P)'!T7686="Yes",
    1.35,
    1.00)</f>
        <v/>
      </c>
      <c r="P7686">
        <f>IF('Loan Tape (S&amp;P)'!S7686="Yes",
    1.15,
    1.00)</f>
        <v/>
      </c>
      <c r="Q7686">
        <f>IF('Loan Tape (S&amp;P)'!V7686="Yes",
    1.20,
    1.00)</f>
        <v/>
      </c>
      <c r="T7686">
        <f>LET(
    payment_method,'Loan Tape (S&amp;P)'!P7686,
    occupancy,'Loan Tape (S&amp;P)'!N7686,
    maturity_date,'Loan Tape (S&amp;P)'!L7686,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87">
      <c r="J7687">
        <f>LET(
    lien,'Loan Tape (S&amp;P)'!Q7687,
    IF(lien="First",1.00,
        IF(lien="Second",1.50,
            1.70)))</f>
        <v/>
      </c>
      <c r="K7687">
        <f>LET(
    purpose,'Loan Tape (S&amp;P)'!R7687,
    IF(purpose="Purchase",1.00,
        IF(purpose="Remortgage",1.00,
            1.20)))</f>
        <v/>
      </c>
      <c r="L7687">
        <f>LET(
    arrears_months,'Loan Tape (S&amp;P)'!AN7687,
    IF(arrears_months=0,1.00,
    IF(arrears_months=1,3.00,
    IF(arrears_months=2,5.00,
    IF(arrears_months=3,8.00,
    IF(arrears_months=4,10.00,
    IF(arrears_months=5,12.00,15.00)))))))</f>
        <v/>
      </c>
      <c r="M7687">
        <f>LET(
    seasoning_years,DATEDIF('Loan Tape (S&amp;P)'!K7687,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87">
        <f>IF(AND('Loan Tape (S&amp;P)'!U7687="Yes",
        'Loan Tape (S&amp;P)'!T7687&lt;&gt;"Yes",
        DATEDIF('Loan Tape (S&amp;P)'!K7687, TODAY(), "M")&lt;18),
    1.10,
    1.00)</f>
        <v/>
      </c>
      <c r="O7687">
        <f>IF('Loan Tape (S&amp;P)'!T7687="Yes",
    1.35,
    1.00)</f>
        <v/>
      </c>
      <c r="P7687">
        <f>IF('Loan Tape (S&amp;P)'!S7687="Yes",
    1.15,
    1.00)</f>
        <v/>
      </c>
      <c r="Q7687">
        <f>IF('Loan Tape (S&amp;P)'!V7687="Yes",
    1.20,
    1.00)</f>
        <v/>
      </c>
      <c r="T7687">
        <f>LET(
    payment_method,'Loan Tape (S&amp;P)'!P7687,
    occupancy,'Loan Tape (S&amp;P)'!N7687,
    maturity_date,'Loan Tape (S&amp;P)'!L7687,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88">
      <c r="J7688">
        <f>LET(
    lien,'Loan Tape (S&amp;P)'!Q7688,
    IF(lien="First",1.00,
        IF(lien="Second",1.50,
            1.70)))</f>
        <v/>
      </c>
      <c r="K7688">
        <f>LET(
    purpose,'Loan Tape (S&amp;P)'!R7688,
    IF(purpose="Purchase",1.00,
        IF(purpose="Remortgage",1.00,
            1.20)))</f>
        <v/>
      </c>
      <c r="L7688">
        <f>LET(
    arrears_months,'Loan Tape (S&amp;P)'!AN7688,
    IF(arrears_months=0,1.00,
    IF(arrears_months=1,3.00,
    IF(arrears_months=2,5.00,
    IF(arrears_months=3,8.00,
    IF(arrears_months=4,10.00,
    IF(arrears_months=5,12.00,15.00)))))))</f>
        <v/>
      </c>
      <c r="M7688">
        <f>LET(
    seasoning_years,DATEDIF('Loan Tape (S&amp;P)'!K7688,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88">
        <f>IF(AND('Loan Tape (S&amp;P)'!U7688="Yes",
        'Loan Tape (S&amp;P)'!T7688&lt;&gt;"Yes",
        DATEDIF('Loan Tape (S&amp;P)'!K7688, TODAY(), "M")&lt;18),
    1.10,
    1.00)</f>
        <v/>
      </c>
      <c r="O7688">
        <f>IF('Loan Tape (S&amp;P)'!T7688="Yes",
    1.35,
    1.00)</f>
        <v/>
      </c>
      <c r="P7688">
        <f>IF('Loan Tape (S&amp;P)'!S7688="Yes",
    1.15,
    1.00)</f>
        <v/>
      </c>
      <c r="Q7688">
        <f>IF('Loan Tape (S&amp;P)'!V7688="Yes",
    1.20,
    1.00)</f>
        <v/>
      </c>
      <c r="T7688">
        <f>LET(
    payment_method,'Loan Tape (S&amp;P)'!P7688,
    occupancy,'Loan Tape (S&amp;P)'!N7688,
    maturity_date,'Loan Tape (S&amp;P)'!L7688,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89">
      <c r="J7689">
        <f>LET(
    lien,'Loan Tape (S&amp;P)'!Q7689,
    IF(lien="First",1.00,
        IF(lien="Second",1.50,
            1.70)))</f>
        <v/>
      </c>
      <c r="K7689">
        <f>LET(
    purpose,'Loan Tape (S&amp;P)'!R7689,
    IF(purpose="Purchase",1.00,
        IF(purpose="Remortgage",1.00,
            1.20)))</f>
        <v/>
      </c>
      <c r="L7689">
        <f>LET(
    arrears_months,'Loan Tape (S&amp;P)'!AN7689,
    IF(arrears_months=0,1.00,
    IF(arrears_months=1,3.00,
    IF(arrears_months=2,5.00,
    IF(arrears_months=3,8.00,
    IF(arrears_months=4,10.00,
    IF(arrears_months=5,12.00,15.00)))))))</f>
        <v/>
      </c>
      <c r="M7689">
        <f>LET(
    seasoning_years,DATEDIF('Loan Tape (S&amp;P)'!K7689,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89">
        <f>IF(AND('Loan Tape (S&amp;P)'!U7689="Yes",
        'Loan Tape (S&amp;P)'!T7689&lt;&gt;"Yes",
        DATEDIF('Loan Tape (S&amp;P)'!K7689, TODAY(), "M")&lt;18),
    1.10,
    1.00)</f>
        <v/>
      </c>
      <c r="O7689">
        <f>IF('Loan Tape (S&amp;P)'!T7689="Yes",
    1.35,
    1.00)</f>
        <v/>
      </c>
      <c r="P7689">
        <f>IF('Loan Tape (S&amp;P)'!S7689="Yes",
    1.15,
    1.00)</f>
        <v/>
      </c>
      <c r="Q7689">
        <f>IF('Loan Tape (S&amp;P)'!V7689="Yes",
    1.20,
    1.00)</f>
        <v/>
      </c>
      <c r="T7689">
        <f>LET(
    payment_method,'Loan Tape (S&amp;P)'!P7689,
    occupancy,'Loan Tape (S&amp;P)'!N7689,
    maturity_date,'Loan Tape (S&amp;P)'!L7689,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90">
      <c r="J7690">
        <f>LET(
    lien,'Loan Tape (S&amp;P)'!Q7690,
    IF(lien="First",1.00,
        IF(lien="Second",1.50,
            1.70)))</f>
        <v/>
      </c>
      <c r="K7690">
        <f>LET(
    purpose,'Loan Tape (S&amp;P)'!R7690,
    IF(purpose="Purchase",1.00,
        IF(purpose="Remortgage",1.00,
            1.20)))</f>
        <v/>
      </c>
      <c r="L7690">
        <f>LET(
    arrears_months,'Loan Tape (S&amp;P)'!AN7690,
    IF(arrears_months=0,1.00,
    IF(arrears_months=1,3.00,
    IF(arrears_months=2,5.00,
    IF(arrears_months=3,8.00,
    IF(arrears_months=4,10.00,
    IF(arrears_months=5,12.00,15.00)))))))</f>
        <v/>
      </c>
      <c r="M7690">
        <f>LET(
    seasoning_years,DATEDIF('Loan Tape (S&amp;P)'!K7690,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90">
        <f>IF(AND('Loan Tape (S&amp;P)'!U7690="Yes",
        'Loan Tape (S&amp;P)'!T7690&lt;&gt;"Yes",
        DATEDIF('Loan Tape (S&amp;P)'!K7690, TODAY(), "M")&lt;18),
    1.10,
    1.00)</f>
        <v/>
      </c>
      <c r="O7690">
        <f>IF('Loan Tape (S&amp;P)'!T7690="Yes",
    1.35,
    1.00)</f>
        <v/>
      </c>
      <c r="P7690">
        <f>IF('Loan Tape (S&amp;P)'!S7690="Yes",
    1.15,
    1.00)</f>
        <v/>
      </c>
      <c r="Q7690">
        <f>IF('Loan Tape (S&amp;P)'!V7690="Yes",
    1.20,
    1.00)</f>
        <v/>
      </c>
      <c r="T7690">
        <f>LET(
    payment_method,'Loan Tape (S&amp;P)'!P7690,
    occupancy,'Loan Tape (S&amp;P)'!N7690,
    maturity_date,'Loan Tape (S&amp;P)'!L7690,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91">
      <c r="J7691">
        <f>LET(
    lien,'Loan Tape (S&amp;P)'!Q7691,
    IF(lien="First",1.00,
        IF(lien="Second",1.50,
            1.70)))</f>
        <v/>
      </c>
      <c r="K7691">
        <f>LET(
    purpose,'Loan Tape (S&amp;P)'!R7691,
    IF(purpose="Purchase",1.00,
        IF(purpose="Remortgage",1.00,
            1.20)))</f>
        <v/>
      </c>
      <c r="L7691">
        <f>LET(
    arrears_months,'Loan Tape (S&amp;P)'!AN7691,
    IF(arrears_months=0,1.00,
    IF(arrears_months=1,3.00,
    IF(arrears_months=2,5.00,
    IF(arrears_months=3,8.00,
    IF(arrears_months=4,10.00,
    IF(arrears_months=5,12.00,15.00)))))))</f>
        <v/>
      </c>
      <c r="M7691">
        <f>LET(
    seasoning_years,DATEDIF('Loan Tape (S&amp;P)'!K7691,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91">
        <f>IF(AND('Loan Tape (S&amp;P)'!U7691="Yes",
        'Loan Tape (S&amp;P)'!T7691&lt;&gt;"Yes",
        DATEDIF('Loan Tape (S&amp;P)'!K7691, TODAY(), "M")&lt;18),
    1.10,
    1.00)</f>
        <v/>
      </c>
      <c r="O7691">
        <f>IF('Loan Tape (S&amp;P)'!T7691="Yes",
    1.35,
    1.00)</f>
        <v/>
      </c>
      <c r="P7691">
        <f>IF('Loan Tape (S&amp;P)'!S7691="Yes",
    1.15,
    1.00)</f>
        <v/>
      </c>
      <c r="Q7691">
        <f>IF('Loan Tape (S&amp;P)'!V7691="Yes",
    1.20,
    1.00)</f>
        <v/>
      </c>
      <c r="T7691">
        <f>LET(
    payment_method,'Loan Tape (S&amp;P)'!P7691,
    occupancy,'Loan Tape (S&amp;P)'!N7691,
    maturity_date,'Loan Tape (S&amp;P)'!L7691,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92">
      <c r="J7692">
        <f>LET(
    lien,'Loan Tape (S&amp;P)'!Q7692,
    IF(lien="First",1.00,
        IF(lien="Second",1.50,
            1.70)))</f>
        <v/>
      </c>
      <c r="K7692">
        <f>LET(
    purpose,'Loan Tape (S&amp;P)'!R7692,
    IF(purpose="Purchase",1.00,
        IF(purpose="Remortgage",1.00,
            1.20)))</f>
        <v/>
      </c>
      <c r="L7692">
        <f>LET(
    arrears_months,'Loan Tape (S&amp;P)'!AN7692,
    IF(arrears_months=0,1.00,
    IF(arrears_months=1,3.00,
    IF(arrears_months=2,5.00,
    IF(arrears_months=3,8.00,
    IF(arrears_months=4,10.00,
    IF(arrears_months=5,12.00,15.00)))))))</f>
        <v/>
      </c>
      <c r="M7692">
        <f>LET(
    seasoning_years,DATEDIF('Loan Tape (S&amp;P)'!K7692,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92">
        <f>IF(AND('Loan Tape (S&amp;P)'!U7692="Yes",
        'Loan Tape (S&amp;P)'!T7692&lt;&gt;"Yes",
        DATEDIF('Loan Tape (S&amp;P)'!K7692, TODAY(), "M")&lt;18),
    1.10,
    1.00)</f>
        <v/>
      </c>
      <c r="O7692">
        <f>IF('Loan Tape (S&amp;P)'!T7692="Yes",
    1.35,
    1.00)</f>
        <v/>
      </c>
      <c r="P7692">
        <f>IF('Loan Tape (S&amp;P)'!S7692="Yes",
    1.15,
    1.00)</f>
        <v/>
      </c>
      <c r="Q7692">
        <f>IF('Loan Tape (S&amp;P)'!V7692="Yes",
    1.20,
    1.00)</f>
        <v/>
      </c>
      <c r="T7692">
        <f>LET(
    payment_method,'Loan Tape (S&amp;P)'!P7692,
    occupancy,'Loan Tape (S&amp;P)'!N7692,
    maturity_date,'Loan Tape (S&amp;P)'!L7692,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93">
      <c r="J7693">
        <f>LET(
    lien,'Loan Tape (S&amp;P)'!Q7693,
    IF(lien="First",1.00,
        IF(lien="Second",1.50,
            1.70)))</f>
        <v/>
      </c>
      <c r="K7693">
        <f>LET(
    purpose,'Loan Tape (S&amp;P)'!R7693,
    IF(purpose="Purchase",1.00,
        IF(purpose="Remortgage",1.00,
            1.20)))</f>
        <v/>
      </c>
      <c r="L7693">
        <f>LET(
    arrears_months,'Loan Tape (S&amp;P)'!AN7693,
    IF(arrears_months=0,1.00,
    IF(arrears_months=1,3.00,
    IF(arrears_months=2,5.00,
    IF(arrears_months=3,8.00,
    IF(arrears_months=4,10.00,
    IF(arrears_months=5,12.00,15.00)))))))</f>
        <v/>
      </c>
      <c r="M7693">
        <f>LET(
    seasoning_years,DATEDIF('Loan Tape (S&amp;P)'!K7693,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93">
        <f>IF(AND('Loan Tape (S&amp;P)'!U7693="Yes",
        'Loan Tape (S&amp;P)'!T7693&lt;&gt;"Yes",
        DATEDIF('Loan Tape (S&amp;P)'!K7693, TODAY(), "M")&lt;18),
    1.10,
    1.00)</f>
        <v/>
      </c>
      <c r="O7693">
        <f>IF('Loan Tape (S&amp;P)'!T7693="Yes",
    1.35,
    1.00)</f>
        <v/>
      </c>
      <c r="P7693">
        <f>IF('Loan Tape (S&amp;P)'!S7693="Yes",
    1.15,
    1.00)</f>
        <v/>
      </c>
      <c r="Q7693">
        <f>IF('Loan Tape (S&amp;P)'!V7693="Yes",
    1.20,
    1.00)</f>
        <v/>
      </c>
      <c r="T7693">
        <f>LET(
    payment_method,'Loan Tape (S&amp;P)'!P7693,
    occupancy,'Loan Tape (S&amp;P)'!N7693,
    maturity_date,'Loan Tape (S&amp;P)'!L7693,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94">
      <c r="J7694">
        <f>LET(
    lien,'Loan Tape (S&amp;P)'!Q7694,
    IF(lien="First",1.00,
        IF(lien="Second",1.50,
            1.70)))</f>
        <v/>
      </c>
      <c r="K7694">
        <f>LET(
    purpose,'Loan Tape (S&amp;P)'!R7694,
    IF(purpose="Purchase",1.00,
        IF(purpose="Remortgage",1.00,
            1.20)))</f>
        <v/>
      </c>
      <c r="L7694">
        <f>LET(
    arrears_months,'Loan Tape (S&amp;P)'!AN7694,
    IF(arrears_months=0,1.00,
    IF(arrears_months=1,3.00,
    IF(arrears_months=2,5.00,
    IF(arrears_months=3,8.00,
    IF(arrears_months=4,10.00,
    IF(arrears_months=5,12.00,15.00)))))))</f>
        <v/>
      </c>
      <c r="M7694">
        <f>LET(
    seasoning_years,DATEDIF('Loan Tape (S&amp;P)'!K7694,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94">
        <f>IF(AND('Loan Tape (S&amp;P)'!U7694="Yes",
        'Loan Tape (S&amp;P)'!T7694&lt;&gt;"Yes",
        DATEDIF('Loan Tape (S&amp;P)'!K7694, TODAY(), "M")&lt;18),
    1.10,
    1.00)</f>
        <v/>
      </c>
      <c r="O7694">
        <f>IF('Loan Tape (S&amp;P)'!T7694="Yes",
    1.35,
    1.00)</f>
        <v/>
      </c>
      <c r="P7694">
        <f>IF('Loan Tape (S&amp;P)'!S7694="Yes",
    1.15,
    1.00)</f>
        <v/>
      </c>
      <c r="Q7694">
        <f>IF('Loan Tape (S&amp;P)'!V7694="Yes",
    1.20,
    1.00)</f>
        <v/>
      </c>
      <c r="T7694">
        <f>LET(
    payment_method,'Loan Tape (S&amp;P)'!P7694,
    occupancy,'Loan Tape (S&amp;P)'!N7694,
    maturity_date,'Loan Tape (S&amp;P)'!L7694,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95">
      <c r="J7695">
        <f>LET(
    lien,'Loan Tape (S&amp;P)'!Q7695,
    IF(lien="First",1.00,
        IF(lien="Second",1.50,
            1.70)))</f>
        <v/>
      </c>
      <c r="K7695">
        <f>LET(
    purpose,'Loan Tape (S&amp;P)'!R7695,
    IF(purpose="Purchase",1.00,
        IF(purpose="Remortgage",1.00,
            1.20)))</f>
        <v/>
      </c>
      <c r="L7695">
        <f>LET(
    arrears_months,'Loan Tape (S&amp;P)'!AN7695,
    IF(arrears_months=0,1.00,
    IF(arrears_months=1,3.00,
    IF(arrears_months=2,5.00,
    IF(arrears_months=3,8.00,
    IF(arrears_months=4,10.00,
    IF(arrears_months=5,12.00,15.00)))))))</f>
        <v/>
      </c>
      <c r="M7695">
        <f>LET(
    seasoning_years,DATEDIF('Loan Tape (S&amp;P)'!K7695,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95">
        <f>IF(AND('Loan Tape (S&amp;P)'!U7695="Yes",
        'Loan Tape (S&amp;P)'!T7695&lt;&gt;"Yes",
        DATEDIF('Loan Tape (S&amp;P)'!K7695, TODAY(), "M")&lt;18),
    1.10,
    1.00)</f>
        <v/>
      </c>
      <c r="O7695">
        <f>IF('Loan Tape (S&amp;P)'!T7695="Yes",
    1.35,
    1.00)</f>
        <v/>
      </c>
      <c r="P7695">
        <f>IF('Loan Tape (S&amp;P)'!S7695="Yes",
    1.15,
    1.00)</f>
        <v/>
      </c>
      <c r="Q7695">
        <f>IF('Loan Tape (S&amp;P)'!V7695="Yes",
    1.20,
    1.00)</f>
        <v/>
      </c>
      <c r="T7695">
        <f>LET(
    payment_method,'Loan Tape (S&amp;P)'!P7695,
    occupancy,'Loan Tape (S&amp;P)'!N7695,
    maturity_date,'Loan Tape (S&amp;P)'!L7695,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96">
      <c r="J7696">
        <f>LET(
    lien,'Loan Tape (S&amp;P)'!Q7696,
    IF(lien="First",1.00,
        IF(lien="Second",1.50,
            1.70)))</f>
        <v/>
      </c>
      <c r="K7696">
        <f>LET(
    purpose,'Loan Tape (S&amp;P)'!R7696,
    IF(purpose="Purchase",1.00,
        IF(purpose="Remortgage",1.00,
            1.20)))</f>
        <v/>
      </c>
      <c r="L7696">
        <f>LET(
    arrears_months,'Loan Tape (S&amp;P)'!AN7696,
    IF(arrears_months=0,1.00,
    IF(arrears_months=1,3.00,
    IF(arrears_months=2,5.00,
    IF(arrears_months=3,8.00,
    IF(arrears_months=4,10.00,
    IF(arrears_months=5,12.00,15.00)))))))</f>
        <v/>
      </c>
      <c r="M7696">
        <f>LET(
    seasoning_years,DATEDIF('Loan Tape (S&amp;P)'!K7696,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96">
        <f>IF(AND('Loan Tape (S&amp;P)'!U7696="Yes",
        'Loan Tape (S&amp;P)'!T7696&lt;&gt;"Yes",
        DATEDIF('Loan Tape (S&amp;P)'!K7696, TODAY(), "M")&lt;18),
    1.10,
    1.00)</f>
        <v/>
      </c>
      <c r="O7696">
        <f>IF('Loan Tape (S&amp;P)'!T7696="Yes",
    1.35,
    1.00)</f>
        <v/>
      </c>
      <c r="P7696">
        <f>IF('Loan Tape (S&amp;P)'!S7696="Yes",
    1.15,
    1.00)</f>
        <v/>
      </c>
      <c r="Q7696">
        <f>IF('Loan Tape (S&amp;P)'!V7696="Yes",
    1.20,
    1.00)</f>
        <v/>
      </c>
      <c r="T7696">
        <f>LET(
    payment_method,'Loan Tape (S&amp;P)'!P7696,
    occupancy,'Loan Tape (S&amp;P)'!N7696,
    maturity_date,'Loan Tape (S&amp;P)'!L7696,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97">
      <c r="J7697">
        <f>LET(
    lien,'Loan Tape (S&amp;P)'!Q7697,
    IF(lien="First",1.00,
        IF(lien="Second",1.50,
            1.70)))</f>
        <v/>
      </c>
      <c r="K7697">
        <f>LET(
    purpose,'Loan Tape (S&amp;P)'!R7697,
    IF(purpose="Purchase",1.00,
        IF(purpose="Remortgage",1.00,
            1.20)))</f>
        <v/>
      </c>
      <c r="L7697">
        <f>LET(
    arrears_months,'Loan Tape (S&amp;P)'!AN7697,
    IF(arrears_months=0,1.00,
    IF(arrears_months=1,3.00,
    IF(arrears_months=2,5.00,
    IF(arrears_months=3,8.00,
    IF(arrears_months=4,10.00,
    IF(arrears_months=5,12.00,15.00)))))))</f>
        <v/>
      </c>
      <c r="M7697">
        <f>LET(
    seasoning_years,DATEDIF('Loan Tape (S&amp;P)'!K7697,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97">
        <f>IF(AND('Loan Tape (S&amp;P)'!U7697="Yes",
        'Loan Tape (S&amp;P)'!T7697&lt;&gt;"Yes",
        DATEDIF('Loan Tape (S&amp;P)'!K7697, TODAY(), "M")&lt;18),
    1.10,
    1.00)</f>
        <v/>
      </c>
      <c r="O7697">
        <f>IF('Loan Tape (S&amp;P)'!T7697="Yes",
    1.35,
    1.00)</f>
        <v/>
      </c>
      <c r="P7697">
        <f>IF('Loan Tape (S&amp;P)'!S7697="Yes",
    1.15,
    1.00)</f>
        <v/>
      </c>
      <c r="Q7697">
        <f>IF('Loan Tape (S&amp;P)'!V7697="Yes",
    1.20,
    1.00)</f>
        <v/>
      </c>
      <c r="T7697">
        <f>LET(
    payment_method,'Loan Tape (S&amp;P)'!P7697,
    occupancy,'Loan Tape (S&amp;P)'!N7697,
    maturity_date,'Loan Tape (S&amp;P)'!L7697,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98">
      <c r="J7698">
        <f>LET(
    lien,'Loan Tape (S&amp;P)'!Q7698,
    IF(lien="First",1.00,
        IF(lien="Second",1.50,
            1.70)))</f>
        <v/>
      </c>
      <c r="K7698">
        <f>LET(
    purpose,'Loan Tape (S&amp;P)'!R7698,
    IF(purpose="Purchase",1.00,
        IF(purpose="Remortgage",1.00,
            1.20)))</f>
        <v/>
      </c>
      <c r="L7698">
        <f>LET(
    arrears_months,'Loan Tape (S&amp;P)'!AN7698,
    IF(arrears_months=0,1.00,
    IF(arrears_months=1,3.00,
    IF(arrears_months=2,5.00,
    IF(arrears_months=3,8.00,
    IF(arrears_months=4,10.00,
    IF(arrears_months=5,12.00,15.00)))))))</f>
        <v/>
      </c>
      <c r="M7698">
        <f>LET(
    seasoning_years,DATEDIF('Loan Tape (S&amp;P)'!K7698,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98">
        <f>IF(AND('Loan Tape (S&amp;P)'!U7698="Yes",
        'Loan Tape (S&amp;P)'!T7698&lt;&gt;"Yes",
        DATEDIF('Loan Tape (S&amp;P)'!K7698, TODAY(), "M")&lt;18),
    1.10,
    1.00)</f>
        <v/>
      </c>
      <c r="O7698">
        <f>IF('Loan Tape (S&amp;P)'!T7698="Yes",
    1.35,
    1.00)</f>
        <v/>
      </c>
      <c r="P7698">
        <f>IF('Loan Tape (S&amp;P)'!S7698="Yes",
    1.15,
    1.00)</f>
        <v/>
      </c>
      <c r="Q7698">
        <f>IF('Loan Tape (S&amp;P)'!V7698="Yes",
    1.20,
    1.00)</f>
        <v/>
      </c>
      <c r="T7698">
        <f>LET(
    payment_method,'Loan Tape (S&amp;P)'!P7698,
    occupancy,'Loan Tape (S&amp;P)'!N7698,
    maturity_date,'Loan Tape (S&amp;P)'!L7698,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699">
      <c r="J7699">
        <f>LET(
    lien,'Loan Tape (S&amp;P)'!Q7699,
    IF(lien="First",1.00,
        IF(lien="Second",1.50,
            1.70)))</f>
        <v/>
      </c>
      <c r="K7699">
        <f>LET(
    purpose,'Loan Tape (S&amp;P)'!R7699,
    IF(purpose="Purchase",1.00,
        IF(purpose="Remortgage",1.00,
            1.20)))</f>
        <v/>
      </c>
      <c r="L7699">
        <f>LET(
    arrears_months,'Loan Tape (S&amp;P)'!AN7699,
    IF(arrears_months=0,1.00,
    IF(arrears_months=1,3.00,
    IF(arrears_months=2,5.00,
    IF(arrears_months=3,8.00,
    IF(arrears_months=4,10.00,
    IF(arrears_months=5,12.00,15.00)))))))</f>
        <v/>
      </c>
      <c r="M7699">
        <f>LET(
    seasoning_years,DATEDIF('Loan Tape (S&amp;P)'!K7699,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699">
        <f>IF(AND('Loan Tape (S&amp;P)'!U7699="Yes",
        'Loan Tape (S&amp;P)'!T7699&lt;&gt;"Yes",
        DATEDIF('Loan Tape (S&amp;P)'!K7699, TODAY(), "M")&lt;18),
    1.10,
    1.00)</f>
        <v/>
      </c>
      <c r="O7699">
        <f>IF('Loan Tape (S&amp;P)'!T7699="Yes",
    1.35,
    1.00)</f>
        <v/>
      </c>
      <c r="P7699">
        <f>IF('Loan Tape (S&amp;P)'!S7699="Yes",
    1.15,
    1.00)</f>
        <v/>
      </c>
      <c r="Q7699">
        <f>IF('Loan Tape (S&amp;P)'!V7699="Yes",
    1.20,
    1.00)</f>
        <v/>
      </c>
      <c r="T7699">
        <f>LET(
    payment_method,'Loan Tape (S&amp;P)'!P7699,
    occupancy,'Loan Tape (S&amp;P)'!N7699,
    maturity_date,'Loan Tape (S&amp;P)'!L7699,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00">
      <c r="J7700">
        <f>LET(
    lien,'Loan Tape (S&amp;P)'!Q7700,
    IF(lien="First",1.00,
        IF(lien="Second",1.50,
            1.70)))</f>
        <v/>
      </c>
      <c r="K7700">
        <f>LET(
    purpose,'Loan Tape (S&amp;P)'!R7700,
    IF(purpose="Purchase",1.00,
        IF(purpose="Remortgage",1.00,
            1.20)))</f>
        <v/>
      </c>
      <c r="L7700">
        <f>LET(
    arrears_months,'Loan Tape (S&amp;P)'!AN7700,
    IF(arrears_months=0,1.00,
    IF(arrears_months=1,3.00,
    IF(arrears_months=2,5.00,
    IF(arrears_months=3,8.00,
    IF(arrears_months=4,10.00,
    IF(arrears_months=5,12.00,15.00)))))))</f>
        <v/>
      </c>
      <c r="M7700">
        <f>LET(
    seasoning_years,DATEDIF('Loan Tape (S&amp;P)'!K7700,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00">
        <f>IF(AND('Loan Tape (S&amp;P)'!U7700="Yes",
        'Loan Tape (S&amp;P)'!T7700&lt;&gt;"Yes",
        DATEDIF('Loan Tape (S&amp;P)'!K7700, TODAY(), "M")&lt;18),
    1.10,
    1.00)</f>
        <v/>
      </c>
      <c r="O7700">
        <f>IF('Loan Tape (S&amp;P)'!T7700="Yes",
    1.35,
    1.00)</f>
        <v/>
      </c>
      <c r="P7700">
        <f>IF('Loan Tape (S&amp;P)'!S7700="Yes",
    1.15,
    1.00)</f>
        <v/>
      </c>
      <c r="Q7700">
        <f>IF('Loan Tape (S&amp;P)'!V7700="Yes",
    1.20,
    1.00)</f>
        <v/>
      </c>
      <c r="T7700">
        <f>LET(
    payment_method,'Loan Tape (S&amp;P)'!P7700,
    occupancy,'Loan Tape (S&amp;P)'!N7700,
    maturity_date,'Loan Tape (S&amp;P)'!L7700,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01">
      <c r="J7701">
        <f>LET(
    lien,'Loan Tape (S&amp;P)'!Q7701,
    IF(lien="First",1.00,
        IF(lien="Second",1.50,
            1.70)))</f>
        <v/>
      </c>
      <c r="K7701">
        <f>LET(
    purpose,'Loan Tape (S&amp;P)'!R7701,
    IF(purpose="Purchase",1.00,
        IF(purpose="Remortgage",1.00,
            1.20)))</f>
        <v/>
      </c>
      <c r="L7701">
        <f>LET(
    arrears_months,'Loan Tape (S&amp;P)'!AN7701,
    IF(arrears_months=0,1.00,
    IF(arrears_months=1,3.00,
    IF(arrears_months=2,5.00,
    IF(arrears_months=3,8.00,
    IF(arrears_months=4,10.00,
    IF(arrears_months=5,12.00,15.00)))))))</f>
        <v/>
      </c>
      <c r="M7701">
        <f>LET(
    seasoning_years,DATEDIF('Loan Tape (S&amp;P)'!K7701,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01">
        <f>IF(AND('Loan Tape (S&amp;P)'!U7701="Yes",
        'Loan Tape (S&amp;P)'!T7701&lt;&gt;"Yes",
        DATEDIF('Loan Tape (S&amp;P)'!K7701, TODAY(), "M")&lt;18),
    1.10,
    1.00)</f>
        <v/>
      </c>
      <c r="O7701">
        <f>IF('Loan Tape (S&amp;P)'!T7701="Yes",
    1.35,
    1.00)</f>
        <v/>
      </c>
      <c r="P7701">
        <f>IF('Loan Tape (S&amp;P)'!S7701="Yes",
    1.15,
    1.00)</f>
        <v/>
      </c>
      <c r="Q7701">
        <f>IF('Loan Tape (S&amp;P)'!V7701="Yes",
    1.20,
    1.00)</f>
        <v/>
      </c>
      <c r="T7701">
        <f>LET(
    payment_method,'Loan Tape (S&amp;P)'!P7701,
    occupancy,'Loan Tape (S&amp;P)'!N7701,
    maturity_date,'Loan Tape (S&amp;P)'!L7701,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02">
      <c r="J7702">
        <f>LET(
    lien,'Loan Tape (S&amp;P)'!Q7702,
    IF(lien="First",1.00,
        IF(lien="Second",1.50,
            1.70)))</f>
        <v/>
      </c>
      <c r="K7702">
        <f>LET(
    purpose,'Loan Tape (S&amp;P)'!R7702,
    IF(purpose="Purchase",1.00,
        IF(purpose="Remortgage",1.00,
            1.20)))</f>
        <v/>
      </c>
      <c r="L7702">
        <f>LET(
    arrears_months,'Loan Tape (S&amp;P)'!AN7702,
    IF(arrears_months=0,1.00,
    IF(arrears_months=1,3.00,
    IF(arrears_months=2,5.00,
    IF(arrears_months=3,8.00,
    IF(arrears_months=4,10.00,
    IF(arrears_months=5,12.00,15.00)))))))</f>
        <v/>
      </c>
      <c r="M7702">
        <f>LET(
    seasoning_years,DATEDIF('Loan Tape (S&amp;P)'!K7702,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02">
        <f>IF(AND('Loan Tape (S&amp;P)'!U7702="Yes",
        'Loan Tape (S&amp;P)'!T7702&lt;&gt;"Yes",
        DATEDIF('Loan Tape (S&amp;P)'!K7702, TODAY(), "M")&lt;18),
    1.10,
    1.00)</f>
        <v/>
      </c>
      <c r="O7702">
        <f>IF('Loan Tape (S&amp;P)'!T7702="Yes",
    1.35,
    1.00)</f>
        <v/>
      </c>
      <c r="P7702">
        <f>IF('Loan Tape (S&amp;P)'!S7702="Yes",
    1.15,
    1.00)</f>
        <v/>
      </c>
      <c r="Q7702">
        <f>IF('Loan Tape (S&amp;P)'!V7702="Yes",
    1.20,
    1.00)</f>
        <v/>
      </c>
      <c r="T7702">
        <f>LET(
    payment_method,'Loan Tape (S&amp;P)'!P7702,
    occupancy,'Loan Tape (S&amp;P)'!N7702,
    maturity_date,'Loan Tape (S&amp;P)'!L7702,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03">
      <c r="J7703">
        <f>LET(
    lien,'Loan Tape (S&amp;P)'!Q7703,
    IF(lien="First",1.00,
        IF(lien="Second",1.50,
            1.70)))</f>
        <v/>
      </c>
      <c r="K7703">
        <f>LET(
    purpose,'Loan Tape (S&amp;P)'!R7703,
    IF(purpose="Purchase",1.00,
        IF(purpose="Remortgage",1.00,
            1.20)))</f>
        <v/>
      </c>
      <c r="L7703">
        <f>LET(
    arrears_months,'Loan Tape (S&amp;P)'!AN7703,
    IF(arrears_months=0,1.00,
    IF(arrears_months=1,3.00,
    IF(arrears_months=2,5.00,
    IF(arrears_months=3,8.00,
    IF(arrears_months=4,10.00,
    IF(arrears_months=5,12.00,15.00)))))))</f>
        <v/>
      </c>
      <c r="M7703">
        <f>LET(
    seasoning_years,DATEDIF('Loan Tape (S&amp;P)'!K7703,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03">
        <f>IF(AND('Loan Tape (S&amp;P)'!U7703="Yes",
        'Loan Tape (S&amp;P)'!T7703&lt;&gt;"Yes",
        DATEDIF('Loan Tape (S&amp;P)'!K7703, TODAY(), "M")&lt;18),
    1.10,
    1.00)</f>
        <v/>
      </c>
      <c r="O7703">
        <f>IF('Loan Tape (S&amp;P)'!T7703="Yes",
    1.35,
    1.00)</f>
        <v/>
      </c>
      <c r="P7703">
        <f>IF('Loan Tape (S&amp;P)'!S7703="Yes",
    1.15,
    1.00)</f>
        <v/>
      </c>
      <c r="Q7703">
        <f>IF('Loan Tape (S&amp;P)'!V7703="Yes",
    1.20,
    1.00)</f>
        <v/>
      </c>
      <c r="T7703">
        <f>LET(
    payment_method,'Loan Tape (S&amp;P)'!P7703,
    occupancy,'Loan Tape (S&amp;P)'!N7703,
    maturity_date,'Loan Tape (S&amp;P)'!L7703,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04">
      <c r="J7704">
        <f>LET(
    lien,'Loan Tape (S&amp;P)'!Q7704,
    IF(lien="First",1.00,
        IF(lien="Second",1.50,
            1.70)))</f>
        <v/>
      </c>
      <c r="K7704">
        <f>LET(
    purpose,'Loan Tape (S&amp;P)'!R7704,
    IF(purpose="Purchase",1.00,
        IF(purpose="Remortgage",1.00,
            1.20)))</f>
        <v/>
      </c>
      <c r="L7704">
        <f>LET(
    arrears_months,'Loan Tape (S&amp;P)'!AN7704,
    IF(arrears_months=0,1.00,
    IF(arrears_months=1,3.00,
    IF(arrears_months=2,5.00,
    IF(arrears_months=3,8.00,
    IF(arrears_months=4,10.00,
    IF(arrears_months=5,12.00,15.00)))))))</f>
        <v/>
      </c>
      <c r="M7704">
        <f>LET(
    seasoning_years,DATEDIF('Loan Tape (S&amp;P)'!K7704,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04">
        <f>IF(AND('Loan Tape (S&amp;P)'!U7704="Yes",
        'Loan Tape (S&amp;P)'!T7704&lt;&gt;"Yes",
        DATEDIF('Loan Tape (S&amp;P)'!K7704, TODAY(), "M")&lt;18),
    1.10,
    1.00)</f>
        <v/>
      </c>
      <c r="O7704">
        <f>IF('Loan Tape (S&amp;P)'!T7704="Yes",
    1.35,
    1.00)</f>
        <v/>
      </c>
      <c r="P7704">
        <f>IF('Loan Tape (S&amp;P)'!S7704="Yes",
    1.15,
    1.00)</f>
        <v/>
      </c>
      <c r="Q7704">
        <f>IF('Loan Tape (S&amp;P)'!V7704="Yes",
    1.20,
    1.00)</f>
        <v/>
      </c>
      <c r="T7704">
        <f>LET(
    payment_method,'Loan Tape (S&amp;P)'!P7704,
    occupancy,'Loan Tape (S&amp;P)'!N7704,
    maturity_date,'Loan Tape (S&amp;P)'!L7704,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05">
      <c r="J7705">
        <f>LET(
    lien,'Loan Tape (S&amp;P)'!Q7705,
    IF(lien="First",1.00,
        IF(lien="Second",1.50,
            1.70)))</f>
        <v/>
      </c>
      <c r="K7705">
        <f>LET(
    purpose,'Loan Tape (S&amp;P)'!R7705,
    IF(purpose="Purchase",1.00,
        IF(purpose="Remortgage",1.00,
            1.20)))</f>
        <v/>
      </c>
      <c r="L7705">
        <f>LET(
    arrears_months,'Loan Tape (S&amp;P)'!AN7705,
    IF(arrears_months=0,1.00,
    IF(arrears_months=1,3.00,
    IF(arrears_months=2,5.00,
    IF(arrears_months=3,8.00,
    IF(arrears_months=4,10.00,
    IF(arrears_months=5,12.00,15.00)))))))</f>
        <v/>
      </c>
      <c r="M7705">
        <f>LET(
    seasoning_years,DATEDIF('Loan Tape (S&amp;P)'!K7705,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05">
        <f>IF(AND('Loan Tape (S&amp;P)'!U7705="Yes",
        'Loan Tape (S&amp;P)'!T7705&lt;&gt;"Yes",
        DATEDIF('Loan Tape (S&amp;P)'!K7705, TODAY(), "M")&lt;18),
    1.10,
    1.00)</f>
        <v/>
      </c>
      <c r="O7705">
        <f>IF('Loan Tape (S&amp;P)'!T7705="Yes",
    1.35,
    1.00)</f>
        <v/>
      </c>
      <c r="P7705">
        <f>IF('Loan Tape (S&amp;P)'!S7705="Yes",
    1.15,
    1.00)</f>
        <v/>
      </c>
      <c r="Q7705">
        <f>IF('Loan Tape (S&amp;P)'!V7705="Yes",
    1.20,
    1.00)</f>
        <v/>
      </c>
      <c r="T7705">
        <f>LET(
    payment_method,'Loan Tape (S&amp;P)'!P7705,
    occupancy,'Loan Tape (S&amp;P)'!N7705,
    maturity_date,'Loan Tape (S&amp;P)'!L7705,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06">
      <c r="J7706">
        <f>LET(
    lien,'Loan Tape (S&amp;P)'!Q7706,
    IF(lien="First",1.00,
        IF(lien="Second",1.50,
            1.70)))</f>
        <v/>
      </c>
      <c r="K7706">
        <f>LET(
    purpose,'Loan Tape (S&amp;P)'!R7706,
    IF(purpose="Purchase",1.00,
        IF(purpose="Remortgage",1.00,
            1.20)))</f>
        <v/>
      </c>
      <c r="L7706">
        <f>LET(
    arrears_months,'Loan Tape (S&amp;P)'!AN7706,
    IF(arrears_months=0,1.00,
    IF(arrears_months=1,3.00,
    IF(arrears_months=2,5.00,
    IF(arrears_months=3,8.00,
    IF(arrears_months=4,10.00,
    IF(arrears_months=5,12.00,15.00)))))))</f>
        <v/>
      </c>
      <c r="M7706">
        <f>LET(
    seasoning_years,DATEDIF('Loan Tape (S&amp;P)'!K7706,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06">
        <f>IF(AND('Loan Tape (S&amp;P)'!U7706="Yes",
        'Loan Tape (S&amp;P)'!T7706&lt;&gt;"Yes",
        DATEDIF('Loan Tape (S&amp;P)'!K7706, TODAY(), "M")&lt;18),
    1.10,
    1.00)</f>
        <v/>
      </c>
      <c r="O7706">
        <f>IF('Loan Tape (S&amp;P)'!T7706="Yes",
    1.35,
    1.00)</f>
        <v/>
      </c>
      <c r="P7706">
        <f>IF('Loan Tape (S&amp;P)'!S7706="Yes",
    1.15,
    1.00)</f>
        <v/>
      </c>
      <c r="Q7706">
        <f>IF('Loan Tape (S&amp;P)'!V7706="Yes",
    1.20,
    1.00)</f>
        <v/>
      </c>
      <c r="T7706">
        <f>LET(
    payment_method,'Loan Tape (S&amp;P)'!P7706,
    occupancy,'Loan Tape (S&amp;P)'!N7706,
    maturity_date,'Loan Tape (S&amp;P)'!L7706,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07">
      <c r="J7707">
        <f>LET(
    lien,'Loan Tape (S&amp;P)'!Q7707,
    IF(lien="First",1.00,
        IF(lien="Second",1.50,
            1.70)))</f>
        <v/>
      </c>
      <c r="K7707">
        <f>LET(
    purpose,'Loan Tape (S&amp;P)'!R7707,
    IF(purpose="Purchase",1.00,
        IF(purpose="Remortgage",1.00,
            1.20)))</f>
        <v/>
      </c>
      <c r="L7707">
        <f>LET(
    arrears_months,'Loan Tape (S&amp;P)'!AN7707,
    IF(arrears_months=0,1.00,
    IF(arrears_months=1,3.00,
    IF(arrears_months=2,5.00,
    IF(arrears_months=3,8.00,
    IF(arrears_months=4,10.00,
    IF(arrears_months=5,12.00,15.00)))))))</f>
        <v/>
      </c>
      <c r="M7707">
        <f>LET(
    seasoning_years,DATEDIF('Loan Tape (S&amp;P)'!K7707,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07">
        <f>IF(AND('Loan Tape (S&amp;P)'!U7707="Yes",
        'Loan Tape (S&amp;P)'!T7707&lt;&gt;"Yes",
        DATEDIF('Loan Tape (S&amp;P)'!K7707, TODAY(), "M")&lt;18),
    1.10,
    1.00)</f>
        <v/>
      </c>
      <c r="O7707">
        <f>IF('Loan Tape (S&amp;P)'!T7707="Yes",
    1.35,
    1.00)</f>
        <v/>
      </c>
      <c r="P7707">
        <f>IF('Loan Tape (S&amp;P)'!S7707="Yes",
    1.15,
    1.00)</f>
        <v/>
      </c>
      <c r="Q7707">
        <f>IF('Loan Tape (S&amp;P)'!V7707="Yes",
    1.20,
    1.00)</f>
        <v/>
      </c>
      <c r="T7707">
        <f>LET(
    payment_method,'Loan Tape (S&amp;P)'!P7707,
    occupancy,'Loan Tape (S&amp;P)'!N7707,
    maturity_date,'Loan Tape (S&amp;P)'!L7707,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08">
      <c r="J7708">
        <f>LET(
    lien,'Loan Tape (S&amp;P)'!Q7708,
    IF(lien="First",1.00,
        IF(lien="Second",1.50,
            1.70)))</f>
        <v/>
      </c>
      <c r="K7708">
        <f>LET(
    purpose,'Loan Tape (S&amp;P)'!R7708,
    IF(purpose="Purchase",1.00,
        IF(purpose="Remortgage",1.00,
            1.20)))</f>
        <v/>
      </c>
      <c r="L7708">
        <f>LET(
    arrears_months,'Loan Tape (S&amp;P)'!AN7708,
    IF(arrears_months=0,1.00,
    IF(arrears_months=1,3.00,
    IF(arrears_months=2,5.00,
    IF(arrears_months=3,8.00,
    IF(arrears_months=4,10.00,
    IF(arrears_months=5,12.00,15.00)))))))</f>
        <v/>
      </c>
      <c r="M7708">
        <f>LET(
    seasoning_years,DATEDIF('Loan Tape (S&amp;P)'!K7708,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08">
        <f>IF(AND('Loan Tape (S&amp;P)'!U7708="Yes",
        'Loan Tape (S&amp;P)'!T7708&lt;&gt;"Yes",
        DATEDIF('Loan Tape (S&amp;P)'!K7708, TODAY(), "M")&lt;18),
    1.10,
    1.00)</f>
        <v/>
      </c>
      <c r="O7708">
        <f>IF('Loan Tape (S&amp;P)'!T7708="Yes",
    1.35,
    1.00)</f>
        <v/>
      </c>
      <c r="P7708">
        <f>IF('Loan Tape (S&amp;P)'!S7708="Yes",
    1.15,
    1.00)</f>
        <v/>
      </c>
      <c r="Q7708">
        <f>IF('Loan Tape (S&amp;P)'!V7708="Yes",
    1.20,
    1.00)</f>
        <v/>
      </c>
      <c r="T7708">
        <f>LET(
    payment_method,'Loan Tape (S&amp;P)'!P7708,
    occupancy,'Loan Tape (S&amp;P)'!N7708,
    maturity_date,'Loan Tape (S&amp;P)'!L7708,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09">
      <c r="J7709">
        <f>LET(
    lien,'Loan Tape (S&amp;P)'!Q7709,
    IF(lien="First",1.00,
        IF(lien="Second",1.50,
            1.70)))</f>
        <v/>
      </c>
      <c r="K7709">
        <f>LET(
    purpose,'Loan Tape (S&amp;P)'!R7709,
    IF(purpose="Purchase",1.00,
        IF(purpose="Remortgage",1.00,
            1.20)))</f>
        <v/>
      </c>
      <c r="L7709">
        <f>LET(
    arrears_months,'Loan Tape (S&amp;P)'!AN7709,
    IF(arrears_months=0,1.00,
    IF(arrears_months=1,3.00,
    IF(arrears_months=2,5.00,
    IF(arrears_months=3,8.00,
    IF(arrears_months=4,10.00,
    IF(arrears_months=5,12.00,15.00)))))))</f>
        <v/>
      </c>
      <c r="M7709">
        <f>LET(
    seasoning_years,DATEDIF('Loan Tape (S&amp;P)'!K7709,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09">
        <f>IF(AND('Loan Tape (S&amp;P)'!U7709="Yes",
        'Loan Tape (S&amp;P)'!T7709&lt;&gt;"Yes",
        DATEDIF('Loan Tape (S&amp;P)'!K7709, TODAY(), "M")&lt;18),
    1.10,
    1.00)</f>
        <v/>
      </c>
      <c r="O7709">
        <f>IF('Loan Tape (S&amp;P)'!T7709="Yes",
    1.35,
    1.00)</f>
        <v/>
      </c>
      <c r="P7709">
        <f>IF('Loan Tape (S&amp;P)'!S7709="Yes",
    1.15,
    1.00)</f>
        <v/>
      </c>
      <c r="Q7709">
        <f>IF('Loan Tape (S&amp;P)'!V7709="Yes",
    1.20,
    1.00)</f>
        <v/>
      </c>
      <c r="T7709">
        <f>LET(
    payment_method,'Loan Tape (S&amp;P)'!P7709,
    occupancy,'Loan Tape (S&amp;P)'!N7709,
    maturity_date,'Loan Tape (S&amp;P)'!L7709,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10">
      <c r="J7710">
        <f>LET(
    lien,'Loan Tape (S&amp;P)'!Q7710,
    IF(lien="First",1.00,
        IF(lien="Second",1.50,
            1.70)))</f>
        <v/>
      </c>
      <c r="K7710">
        <f>LET(
    purpose,'Loan Tape (S&amp;P)'!R7710,
    IF(purpose="Purchase",1.00,
        IF(purpose="Remortgage",1.00,
            1.20)))</f>
        <v/>
      </c>
      <c r="L7710">
        <f>LET(
    arrears_months,'Loan Tape (S&amp;P)'!AN7710,
    IF(arrears_months=0,1.00,
    IF(arrears_months=1,3.00,
    IF(arrears_months=2,5.00,
    IF(arrears_months=3,8.00,
    IF(arrears_months=4,10.00,
    IF(arrears_months=5,12.00,15.00)))))))</f>
        <v/>
      </c>
      <c r="M7710">
        <f>LET(
    seasoning_years,DATEDIF('Loan Tape (S&amp;P)'!K7710,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10">
        <f>IF(AND('Loan Tape (S&amp;P)'!U7710="Yes",
        'Loan Tape (S&amp;P)'!T7710&lt;&gt;"Yes",
        DATEDIF('Loan Tape (S&amp;P)'!K7710, TODAY(), "M")&lt;18),
    1.10,
    1.00)</f>
        <v/>
      </c>
      <c r="O7710">
        <f>IF('Loan Tape (S&amp;P)'!T7710="Yes",
    1.35,
    1.00)</f>
        <v/>
      </c>
      <c r="P7710">
        <f>IF('Loan Tape (S&amp;P)'!S7710="Yes",
    1.15,
    1.00)</f>
        <v/>
      </c>
      <c r="Q7710">
        <f>IF('Loan Tape (S&amp;P)'!V7710="Yes",
    1.20,
    1.00)</f>
        <v/>
      </c>
      <c r="T7710">
        <f>LET(
    payment_method,'Loan Tape (S&amp;P)'!P7710,
    occupancy,'Loan Tape (S&amp;P)'!N7710,
    maturity_date,'Loan Tape (S&amp;P)'!L7710,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11">
      <c r="J7711">
        <f>LET(
    lien,'Loan Tape (S&amp;P)'!Q7711,
    IF(lien="First",1.00,
        IF(lien="Second",1.50,
            1.70)))</f>
        <v/>
      </c>
      <c r="K7711">
        <f>LET(
    purpose,'Loan Tape (S&amp;P)'!R7711,
    IF(purpose="Purchase",1.00,
        IF(purpose="Remortgage",1.00,
            1.20)))</f>
        <v/>
      </c>
      <c r="L7711">
        <f>LET(
    arrears_months,'Loan Tape (S&amp;P)'!AN7711,
    IF(arrears_months=0,1.00,
    IF(arrears_months=1,3.00,
    IF(arrears_months=2,5.00,
    IF(arrears_months=3,8.00,
    IF(arrears_months=4,10.00,
    IF(arrears_months=5,12.00,15.00)))))))</f>
        <v/>
      </c>
      <c r="M7711">
        <f>LET(
    seasoning_years,DATEDIF('Loan Tape (S&amp;P)'!K7711,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11">
        <f>IF(AND('Loan Tape (S&amp;P)'!U7711="Yes",
        'Loan Tape (S&amp;P)'!T7711&lt;&gt;"Yes",
        DATEDIF('Loan Tape (S&amp;P)'!K7711, TODAY(), "M")&lt;18),
    1.10,
    1.00)</f>
        <v/>
      </c>
      <c r="O7711">
        <f>IF('Loan Tape (S&amp;P)'!T7711="Yes",
    1.35,
    1.00)</f>
        <v/>
      </c>
      <c r="P7711">
        <f>IF('Loan Tape (S&amp;P)'!S7711="Yes",
    1.15,
    1.00)</f>
        <v/>
      </c>
      <c r="Q7711">
        <f>IF('Loan Tape (S&amp;P)'!V7711="Yes",
    1.20,
    1.00)</f>
        <v/>
      </c>
      <c r="T7711">
        <f>LET(
    payment_method,'Loan Tape (S&amp;P)'!P7711,
    occupancy,'Loan Tape (S&amp;P)'!N7711,
    maturity_date,'Loan Tape (S&amp;P)'!L7711,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12">
      <c r="J7712">
        <f>LET(
    lien,'Loan Tape (S&amp;P)'!Q7712,
    IF(lien="First",1.00,
        IF(lien="Second",1.50,
            1.70)))</f>
        <v/>
      </c>
      <c r="K7712">
        <f>LET(
    purpose,'Loan Tape (S&amp;P)'!R7712,
    IF(purpose="Purchase",1.00,
        IF(purpose="Remortgage",1.00,
            1.20)))</f>
        <v/>
      </c>
      <c r="L7712">
        <f>LET(
    arrears_months,'Loan Tape (S&amp;P)'!AN7712,
    IF(arrears_months=0,1.00,
    IF(arrears_months=1,3.00,
    IF(arrears_months=2,5.00,
    IF(arrears_months=3,8.00,
    IF(arrears_months=4,10.00,
    IF(arrears_months=5,12.00,15.00)))))))</f>
        <v/>
      </c>
      <c r="M7712">
        <f>LET(
    seasoning_years,DATEDIF('Loan Tape (S&amp;P)'!K7712,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12">
        <f>IF(AND('Loan Tape (S&amp;P)'!U7712="Yes",
        'Loan Tape (S&amp;P)'!T7712&lt;&gt;"Yes",
        DATEDIF('Loan Tape (S&amp;P)'!K7712, TODAY(), "M")&lt;18),
    1.10,
    1.00)</f>
        <v/>
      </c>
      <c r="O7712">
        <f>IF('Loan Tape (S&amp;P)'!T7712="Yes",
    1.35,
    1.00)</f>
        <v/>
      </c>
      <c r="P7712">
        <f>IF('Loan Tape (S&amp;P)'!S7712="Yes",
    1.15,
    1.00)</f>
        <v/>
      </c>
      <c r="Q7712">
        <f>IF('Loan Tape (S&amp;P)'!V7712="Yes",
    1.20,
    1.00)</f>
        <v/>
      </c>
      <c r="T7712">
        <f>LET(
    payment_method,'Loan Tape (S&amp;P)'!P7712,
    occupancy,'Loan Tape (S&amp;P)'!N7712,
    maturity_date,'Loan Tape (S&amp;P)'!L7712,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13">
      <c r="J7713">
        <f>LET(
    lien,'Loan Tape (S&amp;P)'!Q7713,
    IF(lien="First",1.00,
        IF(lien="Second",1.50,
            1.70)))</f>
        <v/>
      </c>
      <c r="K7713">
        <f>LET(
    purpose,'Loan Tape (S&amp;P)'!R7713,
    IF(purpose="Purchase",1.00,
        IF(purpose="Remortgage",1.00,
            1.20)))</f>
        <v/>
      </c>
      <c r="L7713">
        <f>LET(
    arrears_months,'Loan Tape (S&amp;P)'!AN7713,
    IF(arrears_months=0,1.00,
    IF(arrears_months=1,3.00,
    IF(arrears_months=2,5.00,
    IF(arrears_months=3,8.00,
    IF(arrears_months=4,10.00,
    IF(arrears_months=5,12.00,15.00)))))))</f>
        <v/>
      </c>
      <c r="M7713">
        <f>LET(
    seasoning_years,DATEDIF('Loan Tape (S&amp;P)'!K7713,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13">
        <f>IF(AND('Loan Tape (S&amp;P)'!U7713="Yes",
        'Loan Tape (S&amp;P)'!T7713&lt;&gt;"Yes",
        DATEDIF('Loan Tape (S&amp;P)'!K7713, TODAY(), "M")&lt;18),
    1.10,
    1.00)</f>
        <v/>
      </c>
      <c r="O7713">
        <f>IF('Loan Tape (S&amp;P)'!T7713="Yes",
    1.35,
    1.00)</f>
        <v/>
      </c>
      <c r="P7713">
        <f>IF('Loan Tape (S&amp;P)'!S7713="Yes",
    1.15,
    1.00)</f>
        <v/>
      </c>
      <c r="Q7713">
        <f>IF('Loan Tape (S&amp;P)'!V7713="Yes",
    1.20,
    1.00)</f>
        <v/>
      </c>
      <c r="T7713">
        <f>LET(
    payment_method,'Loan Tape (S&amp;P)'!P7713,
    occupancy,'Loan Tape (S&amp;P)'!N7713,
    maturity_date,'Loan Tape (S&amp;P)'!L7713,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14">
      <c r="J7714">
        <f>LET(
    lien,'Loan Tape (S&amp;P)'!Q7714,
    IF(lien="First",1.00,
        IF(lien="Second",1.50,
            1.70)))</f>
        <v/>
      </c>
      <c r="K7714">
        <f>LET(
    purpose,'Loan Tape (S&amp;P)'!R7714,
    IF(purpose="Purchase",1.00,
        IF(purpose="Remortgage",1.00,
            1.20)))</f>
        <v/>
      </c>
      <c r="L7714">
        <f>LET(
    arrears_months,'Loan Tape (S&amp;P)'!AN7714,
    IF(arrears_months=0,1.00,
    IF(arrears_months=1,3.00,
    IF(arrears_months=2,5.00,
    IF(arrears_months=3,8.00,
    IF(arrears_months=4,10.00,
    IF(arrears_months=5,12.00,15.00)))))))</f>
        <v/>
      </c>
      <c r="M7714">
        <f>LET(
    seasoning_years,DATEDIF('Loan Tape (S&amp;P)'!K7714,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14">
        <f>IF(AND('Loan Tape (S&amp;P)'!U7714="Yes",
        'Loan Tape (S&amp;P)'!T7714&lt;&gt;"Yes",
        DATEDIF('Loan Tape (S&amp;P)'!K7714, TODAY(), "M")&lt;18),
    1.10,
    1.00)</f>
        <v/>
      </c>
      <c r="O7714">
        <f>IF('Loan Tape (S&amp;P)'!T7714="Yes",
    1.35,
    1.00)</f>
        <v/>
      </c>
      <c r="P7714">
        <f>IF('Loan Tape (S&amp;P)'!S7714="Yes",
    1.15,
    1.00)</f>
        <v/>
      </c>
      <c r="Q7714">
        <f>IF('Loan Tape (S&amp;P)'!V7714="Yes",
    1.20,
    1.00)</f>
        <v/>
      </c>
      <c r="T7714">
        <f>LET(
    payment_method,'Loan Tape (S&amp;P)'!P7714,
    occupancy,'Loan Tape (S&amp;P)'!N7714,
    maturity_date,'Loan Tape (S&amp;P)'!L7714,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15">
      <c r="J7715">
        <f>LET(
    lien,'Loan Tape (S&amp;P)'!Q7715,
    IF(lien="First",1.00,
        IF(lien="Second",1.50,
            1.70)))</f>
        <v/>
      </c>
      <c r="K7715">
        <f>LET(
    purpose,'Loan Tape (S&amp;P)'!R7715,
    IF(purpose="Purchase",1.00,
        IF(purpose="Remortgage",1.00,
            1.20)))</f>
        <v/>
      </c>
      <c r="L7715">
        <f>LET(
    arrears_months,'Loan Tape (S&amp;P)'!AN7715,
    IF(arrears_months=0,1.00,
    IF(arrears_months=1,3.00,
    IF(arrears_months=2,5.00,
    IF(arrears_months=3,8.00,
    IF(arrears_months=4,10.00,
    IF(arrears_months=5,12.00,15.00)))))))</f>
        <v/>
      </c>
      <c r="M7715">
        <f>LET(
    seasoning_years,DATEDIF('Loan Tape (S&amp;P)'!K7715,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15">
        <f>IF(AND('Loan Tape (S&amp;P)'!U7715="Yes",
        'Loan Tape (S&amp;P)'!T7715&lt;&gt;"Yes",
        DATEDIF('Loan Tape (S&amp;P)'!K7715, TODAY(), "M")&lt;18),
    1.10,
    1.00)</f>
        <v/>
      </c>
      <c r="O7715">
        <f>IF('Loan Tape (S&amp;P)'!T7715="Yes",
    1.35,
    1.00)</f>
        <v/>
      </c>
      <c r="P7715">
        <f>IF('Loan Tape (S&amp;P)'!S7715="Yes",
    1.15,
    1.00)</f>
        <v/>
      </c>
      <c r="Q7715">
        <f>IF('Loan Tape (S&amp;P)'!V7715="Yes",
    1.20,
    1.00)</f>
        <v/>
      </c>
      <c r="T7715">
        <f>LET(
    payment_method,'Loan Tape (S&amp;P)'!P7715,
    occupancy,'Loan Tape (S&amp;P)'!N7715,
    maturity_date,'Loan Tape (S&amp;P)'!L7715,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16">
      <c r="J7716">
        <f>LET(
    lien,'Loan Tape (S&amp;P)'!Q7716,
    IF(lien="First",1.00,
        IF(lien="Second",1.50,
            1.70)))</f>
        <v/>
      </c>
      <c r="K7716">
        <f>LET(
    purpose,'Loan Tape (S&amp;P)'!R7716,
    IF(purpose="Purchase",1.00,
        IF(purpose="Remortgage",1.00,
            1.20)))</f>
        <v/>
      </c>
      <c r="L7716">
        <f>LET(
    arrears_months,'Loan Tape (S&amp;P)'!AN7716,
    IF(arrears_months=0,1.00,
    IF(arrears_months=1,3.00,
    IF(arrears_months=2,5.00,
    IF(arrears_months=3,8.00,
    IF(arrears_months=4,10.00,
    IF(arrears_months=5,12.00,15.00)))))))</f>
        <v/>
      </c>
      <c r="M7716">
        <f>LET(
    seasoning_years,DATEDIF('Loan Tape (S&amp;P)'!K7716,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16">
        <f>IF(AND('Loan Tape (S&amp;P)'!U7716="Yes",
        'Loan Tape (S&amp;P)'!T7716&lt;&gt;"Yes",
        DATEDIF('Loan Tape (S&amp;P)'!K7716, TODAY(), "M")&lt;18),
    1.10,
    1.00)</f>
        <v/>
      </c>
      <c r="O7716">
        <f>IF('Loan Tape (S&amp;P)'!T7716="Yes",
    1.35,
    1.00)</f>
        <v/>
      </c>
      <c r="P7716">
        <f>IF('Loan Tape (S&amp;P)'!S7716="Yes",
    1.15,
    1.00)</f>
        <v/>
      </c>
      <c r="Q7716">
        <f>IF('Loan Tape (S&amp;P)'!V7716="Yes",
    1.20,
    1.00)</f>
        <v/>
      </c>
      <c r="T7716">
        <f>LET(
    payment_method,'Loan Tape (S&amp;P)'!P7716,
    occupancy,'Loan Tape (S&amp;P)'!N7716,
    maturity_date,'Loan Tape (S&amp;P)'!L7716,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17">
      <c r="J7717">
        <f>LET(
    lien,'Loan Tape (S&amp;P)'!Q7717,
    IF(lien="First",1.00,
        IF(lien="Second",1.50,
            1.70)))</f>
        <v/>
      </c>
      <c r="K7717">
        <f>LET(
    purpose,'Loan Tape (S&amp;P)'!R7717,
    IF(purpose="Purchase",1.00,
        IF(purpose="Remortgage",1.00,
            1.20)))</f>
        <v/>
      </c>
      <c r="L7717">
        <f>LET(
    arrears_months,'Loan Tape (S&amp;P)'!AN7717,
    IF(arrears_months=0,1.00,
    IF(arrears_months=1,3.00,
    IF(arrears_months=2,5.00,
    IF(arrears_months=3,8.00,
    IF(arrears_months=4,10.00,
    IF(arrears_months=5,12.00,15.00)))))))</f>
        <v/>
      </c>
      <c r="M7717">
        <f>LET(
    seasoning_years,DATEDIF('Loan Tape (S&amp;P)'!K7717,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17">
        <f>IF(AND('Loan Tape (S&amp;P)'!U7717="Yes",
        'Loan Tape (S&amp;P)'!T7717&lt;&gt;"Yes",
        DATEDIF('Loan Tape (S&amp;P)'!K7717, TODAY(), "M")&lt;18),
    1.10,
    1.00)</f>
        <v/>
      </c>
      <c r="O7717">
        <f>IF('Loan Tape (S&amp;P)'!T7717="Yes",
    1.35,
    1.00)</f>
        <v/>
      </c>
      <c r="P7717">
        <f>IF('Loan Tape (S&amp;P)'!S7717="Yes",
    1.15,
    1.00)</f>
        <v/>
      </c>
      <c r="Q7717">
        <f>IF('Loan Tape (S&amp;P)'!V7717="Yes",
    1.20,
    1.00)</f>
        <v/>
      </c>
      <c r="T7717">
        <f>LET(
    payment_method,'Loan Tape (S&amp;P)'!P7717,
    occupancy,'Loan Tape (S&amp;P)'!N7717,
    maturity_date,'Loan Tape (S&amp;P)'!L7717,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18">
      <c r="J7718">
        <f>LET(
    lien,'Loan Tape (S&amp;P)'!Q7718,
    IF(lien="First",1.00,
        IF(lien="Second",1.50,
            1.70)))</f>
        <v/>
      </c>
      <c r="K7718">
        <f>LET(
    purpose,'Loan Tape (S&amp;P)'!R7718,
    IF(purpose="Purchase",1.00,
        IF(purpose="Remortgage",1.00,
            1.20)))</f>
        <v/>
      </c>
      <c r="L7718">
        <f>LET(
    arrears_months,'Loan Tape (S&amp;P)'!AN7718,
    IF(arrears_months=0,1.00,
    IF(arrears_months=1,3.00,
    IF(arrears_months=2,5.00,
    IF(arrears_months=3,8.00,
    IF(arrears_months=4,10.00,
    IF(arrears_months=5,12.00,15.00)))))))</f>
        <v/>
      </c>
      <c r="M7718">
        <f>LET(
    seasoning_years,DATEDIF('Loan Tape (S&amp;P)'!K7718,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18">
        <f>IF(AND('Loan Tape (S&amp;P)'!U7718="Yes",
        'Loan Tape (S&amp;P)'!T7718&lt;&gt;"Yes",
        DATEDIF('Loan Tape (S&amp;P)'!K7718, TODAY(), "M")&lt;18),
    1.10,
    1.00)</f>
        <v/>
      </c>
      <c r="O7718">
        <f>IF('Loan Tape (S&amp;P)'!T7718="Yes",
    1.35,
    1.00)</f>
        <v/>
      </c>
      <c r="P7718">
        <f>IF('Loan Tape (S&amp;P)'!S7718="Yes",
    1.15,
    1.00)</f>
        <v/>
      </c>
      <c r="Q7718">
        <f>IF('Loan Tape (S&amp;P)'!V7718="Yes",
    1.20,
    1.00)</f>
        <v/>
      </c>
      <c r="T7718">
        <f>LET(
    payment_method,'Loan Tape (S&amp;P)'!P7718,
    occupancy,'Loan Tape (S&amp;P)'!N7718,
    maturity_date,'Loan Tape (S&amp;P)'!L7718,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19">
      <c r="J7719">
        <f>LET(
    lien,'Loan Tape (S&amp;P)'!Q7719,
    IF(lien="First",1.00,
        IF(lien="Second",1.50,
            1.70)))</f>
        <v/>
      </c>
      <c r="K7719">
        <f>LET(
    purpose,'Loan Tape (S&amp;P)'!R7719,
    IF(purpose="Purchase",1.00,
        IF(purpose="Remortgage",1.00,
            1.20)))</f>
        <v/>
      </c>
      <c r="L7719">
        <f>LET(
    arrears_months,'Loan Tape (S&amp;P)'!AN7719,
    IF(arrears_months=0,1.00,
    IF(arrears_months=1,3.00,
    IF(arrears_months=2,5.00,
    IF(arrears_months=3,8.00,
    IF(arrears_months=4,10.00,
    IF(arrears_months=5,12.00,15.00)))))))</f>
        <v/>
      </c>
      <c r="M7719">
        <f>LET(
    seasoning_years,DATEDIF('Loan Tape (S&amp;P)'!K7719,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19">
        <f>IF(AND('Loan Tape (S&amp;P)'!U7719="Yes",
        'Loan Tape (S&amp;P)'!T7719&lt;&gt;"Yes",
        DATEDIF('Loan Tape (S&amp;P)'!K7719, TODAY(), "M")&lt;18),
    1.10,
    1.00)</f>
        <v/>
      </c>
      <c r="O7719">
        <f>IF('Loan Tape (S&amp;P)'!T7719="Yes",
    1.35,
    1.00)</f>
        <v/>
      </c>
      <c r="P7719">
        <f>IF('Loan Tape (S&amp;P)'!S7719="Yes",
    1.15,
    1.00)</f>
        <v/>
      </c>
      <c r="Q7719">
        <f>IF('Loan Tape (S&amp;P)'!V7719="Yes",
    1.20,
    1.00)</f>
        <v/>
      </c>
      <c r="T7719">
        <f>LET(
    payment_method,'Loan Tape (S&amp;P)'!P7719,
    occupancy,'Loan Tape (S&amp;P)'!N7719,
    maturity_date,'Loan Tape (S&amp;P)'!L7719,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20">
      <c r="J7720">
        <f>LET(
    lien,'Loan Tape (S&amp;P)'!Q7720,
    IF(lien="First",1.00,
        IF(lien="Second",1.50,
            1.70)))</f>
        <v/>
      </c>
      <c r="K7720">
        <f>LET(
    purpose,'Loan Tape (S&amp;P)'!R7720,
    IF(purpose="Purchase",1.00,
        IF(purpose="Remortgage",1.00,
            1.20)))</f>
        <v/>
      </c>
      <c r="L7720">
        <f>LET(
    arrears_months,'Loan Tape (S&amp;P)'!AN7720,
    IF(arrears_months=0,1.00,
    IF(arrears_months=1,3.00,
    IF(arrears_months=2,5.00,
    IF(arrears_months=3,8.00,
    IF(arrears_months=4,10.00,
    IF(arrears_months=5,12.00,15.00)))))))</f>
        <v/>
      </c>
      <c r="M7720">
        <f>LET(
    seasoning_years,DATEDIF('Loan Tape (S&amp;P)'!K7720,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20">
        <f>IF(AND('Loan Tape (S&amp;P)'!U7720="Yes",
        'Loan Tape (S&amp;P)'!T7720&lt;&gt;"Yes",
        DATEDIF('Loan Tape (S&amp;P)'!K7720, TODAY(), "M")&lt;18),
    1.10,
    1.00)</f>
        <v/>
      </c>
      <c r="O7720">
        <f>IF('Loan Tape (S&amp;P)'!T7720="Yes",
    1.35,
    1.00)</f>
        <v/>
      </c>
      <c r="P7720">
        <f>IF('Loan Tape (S&amp;P)'!S7720="Yes",
    1.15,
    1.00)</f>
        <v/>
      </c>
      <c r="Q7720">
        <f>IF('Loan Tape (S&amp;P)'!V7720="Yes",
    1.20,
    1.00)</f>
        <v/>
      </c>
      <c r="T7720">
        <f>LET(
    payment_method,'Loan Tape (S&amp;P)'!P7720,
    occupancy,'Loan Tape (S&amp;P)'!N7720,
    maturity_date,'Loan Tape (S&amp;P)'!L7720,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21">
      <c r="J7721">
        <f>LET(
    lien,'Loan Tape (S&amp;P)'!Q7721,
    IF(lien="First",1.00,
        IF(lien="Second",1.50,
            1.70)))</f>
        <v/>
      </c>
      <c r="K7721">
        <f>LET(
    purpose,'Loan Tape (S&amp;P)'!R7721,
    IF(purpose="Purchase",1.00,
        IF(purpose="Remortgage",1.00,
            1.20)))</f>
        <v/>
      </c>
      <c r="L7721">
        <f>LET(
    arrears_months,'Loan Tape (S&amp;P)'!AN7721,
    IF(arrears_months=0,1.00,
    IF(arrears_months=1,3.00,
    IF(arrears_months=2,5.00,
    IF(arrears_months=3,8.00,
    IF(arrears_months=4,10.00,
    IF(arrears_months=5,12.00,15.00)))))))</f>
        <v/>
      </c>
      <c r="M7721">
        <f>LET(
    seasoning_years,DATEDIF('Loan Tape (S&amp;P)'!K7721,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21">
        <f>IF(AND('Loan Tape (S&amp;P)'!U7721="Yes",
        'Loan Tape (S&amp;P)'!T7721&lt;&gt;"Yes",
        DATEDIF('Loan Tape (S&amp;P)'!K7721, TODAY(), "M")&lt;18),
    1.10,
    1.00)</f>
        <v/>
      </c>
      <c r="O7721">
        <f>IF('Loan Tape (S&amp;P)'!T7721="Yes",
    1.35,
    1.00)</f>
        <v/>
      </c>
      <c r="P7721">
        <f>IF('Loan Tape (S&amp;P)'!S7721="Yes",
    1.15,
    1.00)</f>
        <v/>
      </c>
      <c r="Q7721">
        <f>IF('Loan Tape (S&amp;P)'!V7721="Yes",
    1.20,
    1.00)</f>
        <v/>
      </c>
      <c r="T7721">
        <f>LET(
    payment_method,'Loan Tape (S&amp;P)'!P7721,
    occupancy,'Loan Tape (S&amp;P)'!N7721,
    maturity_date,'Loan Tape (S&amp;P)'!L7721,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22">
      <c r="J7722">
        <f>LET(
    lien,'Loan Tape (S&amp;P)'!Q7722,
    IF(lien="First",1.00,
        IF(lien="Second",1.50,
            1.70)))</f>
        <v/>
      </c>
      <c r="K7722">
        <f>LET(
    purpose,'Loan Tape (S&amp;P)'!R7722,
    IF(purpose="Purchase",1.00,
        IF(purpose="Remortgage",1.00,
            1.20)))</f>
        <v/>
      </c>
      <c r="L7722">
        <f>LET(
    arrears_months,'Loan Tape (S&amp;P)'!AN7722,
    IF(arrears_months=0,1.00,
    IF(arrears_months=1,3.00,
    IF(arrears_months=2,5.00,
    IF(arrears_months=3,8.00,
    IF(arrears_months=4,10.00,
    IF(arrears_months=5,12.00,15.00)))))))</f>
        <v/>
      </c>
      <c r="M7722">
        <f>LET(
    seasoning_years,DATEDIF('Loan Tape (S&amp;P)'!K7722,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22">
        <f>IF(AND('Loan Tape (S&amp;P)'!U7722="Yes",
        'Loan Tape (S&amp;P)'!T7722&lt;&gt;"Yes",
        DATEDIF('Loan Tape (S&amp;P)'!K7722, TODAY(), "M")&lt;18),
    1.10,
    1.00)</f>
        <v/>
      </c>
      <c r="O7722">
        <f>IF('Loan Tape (S&amp;P)'!T7722="Yes",
    1.35,
    1.00)</f>
        <v/>
      </c>
      <c r="P7722">
        <f>IF('Loan Tape (S&amp;P)'!S7722="Yes",
    1.15,
    1.00)</f>
        <v/>
      </c>
      <c r="Q7722">
        <f>IF('Loan Tape (S&amp;P)'!V7722="Yes",
    1.20,
    1.00)</f>
        <v/>
      </c>
      <c r="T7722">
        <f>LET(
    payment_method,'Loan Tape (S&amp;P)'!P7722,
    occupancy,'Loan Tape (S&amp;P)'!N7722,
    maturity_date,'Loan Tape (S&amp;P)'!L7722,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23">
      <c r="J7723">
        <f>LET(
    lien,'Loan Tape (S&amp;P)'!Q7723,
    IF(lien="First",1.00,
        IF(lien="Second",1.50,
            1.70)))</f>
        <v/>
      </c>
      <c r="K7723">
        <f>LET(
    purpose,'Loan Tape (S&amp;P)'!R7723,
    IF(purpose="Purchase",1.00,
        IF(purpose="Remortgage",1.00,
            1.20)))</f>
        <v/>
      </c>
      <c r="L7723">
        <f>LET(
    arrears_months,'Loan Tape (S&amp;P)'!AN7723,
    IF(arrears_months=0,1.00,
    IF(arrears_months=1,3.00,
    IF(arrears_months=2,5.00,
    IF(arrears_months=3,8.00,
    IF(arrears_months=4,10.00,
    IF(arrears_months=5,12.00,15.00)))))))</f>
        <v/>
      </c>
      <c r="M7723">
        <f>LET(
    seasoning_years,DATEDIF('Loan Tape (S&amp;P)'!K7723,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23">
        <f>IF(AND('Loan Tape (S&amp;P)'!U7723="Yes",
        'Loan Tape (S&amp;P)'!T7723&lt;&gt;"Yes",
        DATEDIF('Loan Tape (S&amp;P)'!K7723, TODAY(), "M")&lt;18),
    1.10,
    1.00)</f>
        <v/>
      </c>
      <c r="O7723">
        <f>IF('Loan Tape (S&amp;P)'!T7723="Yes",
    1.35,
    1.00)</f>
        <v/>
      </c>
      <c r="P7723">
        <f>IF('Loan Tape (S&amp;P)'!S7723="Yes",
    1.15,
    1.00)</f>
        <v/>
      </c>
      <c r="Q7723">
        <f>IF('Loan Tape (S&amp;P)'!V7723="Yes",
    1.20,
    1.00)</f>
        <v/>
      </c>
      <c r="T7723">
        <f>LET(
    payment_method,'Loan Tape (S&amp;P)'!P7723,
    occupancy,'Loan Tape (S&amp;P)'!N7723,
    maturity_date,'Loan Tape (S&amp;P)'!L7723,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24">
      <c r="J7724">
        <f>LET(
    lien,'Loan Tape (S&amp;P)'!Q7724,
    IF(lien="First",1.00,
        IF(lien="Second",1.50,
            1.70)))</f>
        <v/>
      </c>
      <c r="K7724">
        <f>LET(
    purpose,'Loan Tape (S&amp;P)'!R7724,
    IF(purpose="Purchase",1.00,
        IF(purpose="Remortgage",1.00,
            1.20)))</f>
        <v/>
      </c>
      <c r="L7724">
        <f>LET(
    arrears_months,'Loan Tape (S&amp;P)'!AN7724,
    IF(arrears_months=0,1.00,
    IF(arrears_months=1,3.00,
    IF(arrears_months=2,5.00,
    IF(arrears_months=3,8.00,
    IF(arrears_months=4,10.00,
    IF(arrears_months=5,12.00,15.00)))))))</f>
        <v/>
      </c>
      <c r="M7724">
        <f>LET(
    seasoning_years,DATEDIF('Loan Tape (S&amp;P)'!K7724,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24">
        <f>IF(AND('Loan Tape (S&amp;P)'!U7724="Yes",
        'Loan Tape (S&amp;P)'!T7724&lt;&gt;"Yes",
        DATEDIF('Loan Tape (S&amp;P)'!K7724, TODAY(), "M")&lt;18),
    1.10,
    1.00)</f>
        <v/>
      </c>
      <c r="O7724">
        <f>IF('Loan Tape (S&amp;P)'!T7724="Yes",
    1.35,
    1.00)</f>
        <v/>
      </c>
      <c r="P7724">
        <f>IF('Loan Tape (S&amp;P)'!S7724="Yes",
    1.15,
    1.00)</f>
        <v/>
      </c>
      <c r="Q7724">
        <f>IF('Loan Tape (S&amp;P)'!V7724="Yes",
    1.20,
    1.00)</f>
        <v/>
      </c>
      <c r="T7724">
        <f>LET(
    payment_method,'Loan Tape (S&amp;P)'!P7724,
    occupancy,'Loan Tape (S&amp;P)'!N7724,
    maturity_date,'Loan Tape (S&amp;P)'!L7724,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25">
      <c r="J7725">
        <f>LET(
    lien,'Loan Tape (S&amp;P)'!Q7725,
    IF(lien="First",1.00,
        IF(lien="Second",1.50,
            1.70)))</f>
        <v/>
      </c>
      <c r="K7725">
        <f>LET(
    purpose,'Loan Tape (S&amp;P)'!R7725,
    IF(purpose="Purchase",1.00,
        IF(purpose="Remortgage",1.00,
            1.20)))</f>
        <v/>
      </c>
      <c r="L7725">
        <f>LET(
    arrears_months,'Loan Tape (S&amp;P)'!AN7725,
    IF(arrears_months=0,1.00,
    IF(arrears_months=1,3.00,
    IF(arrears_months=2,5.00,
    IF(arrears_months=3,8.00,
    IF(arrears_months=4,10.00,
    IF(arrears_months=5,12.00,15.00)))))))</f>
        <v/>
      </c>
      <c r="M7725">
        <f>LET(
    seasoning_years,DATEDIF('Loan Tape (S&amp;P)'!K7725,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25">
        <f>IF(AND('Loan Tape (S&amp;P)'!U7725="Yes",
        'Loan Tape (S&amp;P)'!T7725&lt;&gt;"Yes",
        DATEDIF('Loan Tape (S&amp;P)'!K7725, TODAY(), "M")&lt;18),
    1.10,
    1.00)</f>
        <v/>
      </c>
      <c r="O7725">
        <f>IF('Loan Tape (S&amp;P)'!T7725="Yes",
    1.35,
    1.00)</f>
        <v/>
      </c>
      <c r="P7725">
        <f>IF('Loan Tape (S&amp;P)'!S7725="Yes",
    1.15,
    1.00)</f>
        <v/>
      </c>
      <c r="Q7725">
        <f>IF('Loan Tape (S&amp;P)'!V7725="Yes",
    1.20,
    1.00)</f>
        <v/>
      </c>
      <c r="T7725">
        <f>LET(
    payment_method,'Loan Tape (S&amp;P)'!P7725,
    occupancy,'Loan Tape (S&amp;P)'!N7725,
    maturity_date,'Loan Tape (S&amp;P)'!L7725,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26">
      <c r="J7726">
        <f>LET(
    lien,'Loan Tape (S&amp;P)'!Q7726,
    IF(lien="First",1.00,
        IF(lien="Second",1.50,
            1.70)))</f>
        <v/>
      </c>
      <c r="K7726">
        <f>LET(
    purpose,'Loan Tape (S&amp;P)'!R7726,
    IF(purpose="Purchase",1.00,
        IF(purpose="Remortgage",1.00,
            1.20)))</f>
        <v/>
      </c>
      <c r="L7726">
        <f>LET(
    arrears_months,'Loan Tape (S&amp;P)'!AN7726,
    IF(arrears_months=0,1.00,
    IF(arrears_months=1,3.00,
    IF(arrears_months=2,5.00,
    IF(arrears_months=3,8.00,
    IF(arrears_months=4,10.00,
    IF(arrears_months=5,12.00,15.00)))))))</f>
        <v/>
      </c>
      <c r="M7726">
        <f>LET(
    seasoning_years,DATEDIF('Loan Tape (S&amp;P)'!K7726,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26">
        <f>IF(AND('Loan Tape (S&amp;P)'!U7726="Yes",
        'Loan Tape (S&amp;P)'!T7726&lt;&gt;"Yes",
        DATEDIF('Loan Tape (S&amp;P)'!K7726, TODAY(), "M")&lt;18),
    1.10,
    1.00)</f>
        <v/>
      </c>
      <c r="O7726">
        <f>IF('Loan Tape (S&amp;P)'!T7726="Yes",
    1.35,
    1.00)</f>
        <v/>
      </c>
      <c r="P7726">
        <f>IF('Loan Tape (S&amp;P)'!S7726="Yes",
    1.15,
    1.00)</f>
        <v/>
      </c>
      <c r="Q7726">
        <f>IF('Loan Tape (S&amp;P)'!V7726="Yes",
    1.20,
    1.00)</f>
        <v/>
      </c>
      <c r="T7726">
        <f>LET(
    payment_method,'Loan Tape (S&amp;P)'!P7726,
    occupancy,'Loan Tape (S&amp;P)'!N7726,
    maturity_date,'Loan Tape (S&amp;P)'!L7726,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27">
      <c r="J7727">
        <f>LET(
    lien,'Loan Tape (S&amp;P)'!Q7727,
    IF(lien="First",1.00,
        IF(lien="Second",1.50,
            1.70)))</f>
        <v/>
      </c>
      <c r="K7727">
        <f>LET(
    purpose,'Loan Tape (S&amp;P)'!R7727,
    IF(purpose="Purchase",1.00,
        IF(purpose="Remortgage",1.00,
            1.20)))</f>
        <v/>
      </c>
      <c r="L7727">
        <f>LET(
    arrears_months,'Loan Tape (S&amp;P)'!AN7727,
    IF(arrears_months=0,1.00,
    IF(arrears_months=1,3.00,
    IF(arrears_months=2,5.00,
    IF(arrears_months=3,8.00,
    IF(arrears_months=4,10.00,
    IF(arrears_months=5,12.00,15.00)))))))</f>
        <v/>
      </c>
      <c r="M7727">
        <f>LET(
    seasoning_years,DATEDIF('Loan Tape (S&amp;P)'!K7727,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27">
        <f>IF(AND('Loan Tape (S&amp;P)'!U7727="Yes",
        'Loan Tape (S&amp;P)'!T7727&lt;&gt;"Yes",
        DATEDIF('Loan Tape (S&amp;P)'!K7727, TODAY(), "M")&lt;18),
    1.10,
    1.00)</f>
        <v/>
      </c>
      <c r="O7727">
        <f>IF('Loan Tape (S&amp;P)'!T7727="Yes",
    1.35,
    1.00)</f>
        <v/>
      </c>
      <c r="P7727">
        <f>IF('Loan Tape (S&amp;P)'!S7727="Yes",
    1.15,
    1.00)</f>
        <v/>
      </c>
      <c r="Q7727">
        <f>IF('Loan Tape (S&amp;P)'!V7727="Yes",
    1.20,
    1.00)</f>
        <v/>
      </c>
      <c r="T7727">
        <f>LET(
    payment_method,'Loan Tape (S&amp;P)'!P7727,
    occupancy,'Loan Tape (S&amp;P)'!N7727,
    maturity_date,'Loan Tape (S&amp;P)'!L7727,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28">
      <c r="J7728">
        <f>LET(
    lien,'Loan Tape (S&amp;P)'!Q7728,
    IF(lien="First",1.00,
        IF(lien="Second",1.50,
            1.70)))</f>
        <v/>
      </c>
      <c r="K7728">
        <f>LET(
    purpose,'Loan Tape (S&amp;P)'!R7728,
    IF(purpose="Purchase",1.00,
        IF(purpose="Remortgage",1.00,
            1.20)))</f>
        <v/>
      </c>
      <c r="L7728">
        <f>LET(
    arrears_months,'Loan Tape (S&amp;P)'!AN7728,
    IF(arrears_months=0,1.00,
    IF(arrears_months=1,3.00,
    IF(arrears_months=2,5.00,
    IF(arrears_months=3,8.00,
    IF(arrears_months=4,10.00,
    IF(arrears_months=5,12.00,15.00)))))))</f>
        <v/>
      </c>
      <c r="M7728">
        <f>LET(
    seasoning_years,DATEDIF('Loan Tape (S&amp;P)'!K7728,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28">
        <f>IF(AND('Loan Tape (S&amp;P)'!U7728="Yes",
        'Loan Tape (S&amp;P)'!T7728&lt;&gt;"Yes",
        DATEDIF('Loan Tape (S&amp;P)'!K7728, TODAY(), "M")&lt;18),
    1.10,
    1.00)</f>
        <v/>
      </c>
      <c r="O7728">
        <f>IF('Loan Tape (S&amp;P)'!T7728="Yes",
    1.35,
    1.00)</f>
        <v/>
      </c>
      <c r="P7728">
        <f>IF('Loan Tape (S&amp;P)'!S7728="Yes",
    1.15,
    1.00)</f>
        <v/>
      </c>
      <c r="Q7728">
        <f>IF('Loan Tape (S&amp;P)'!V7728="Yes",
    1.20,
    1.00)</f>
        <v/>
      </c>
      <c r="T7728">
        <f>LET(
    payment_method,'Loan Tape (S&amp;P)'!P7728,
    occupancy,'Loan Tape (S&amp;P)'!N7728,
    maturity_date,'Loan Tape (S&amp;P)'!L7728,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29">
      <c r="J7729">
        <f>LET(
    lien,'Loan Tape (S&amp;P)'!Q7729,
    IF(lien="First",1.00,
        IF(lien="Second",1.50,
            1.70)))</f>
        <v/>
      </c>
      <c r="K7729">
        <f>LET(
    purpose,'Loan Tape (S&amp;P)'!R7729,
    IF(purpose="Purchase",1.00,
        IF(purpose="Remortgage",1.00,
            1.20)))</f>
        <v/>
      </c>
      <c r="L7729">
        <f>LET(
    arrears_months,'Loan Tape (S&amp;P)'!AN7729,
    IF(arrears_months=0,1.00,
    IF(arrears_months=1,3.00,
    IF(arrears_months=2,5.00,
    IF(arrears_months=3,8.00,
    IF(arrears_months=4,10.00,
    IF(arrears_months=5,12.00,15.00)))))))</f>
        <v/>
      </c>
      <c r="M7729">
        <f>LET(
    seasoning_years,DATEDIF('Loan Tape (S&amp;P)'!K7729,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29">
        <f>IF(AND('Loan Tape (S&amp;P)'!U7729="Yes",
        'Loan Tape (S&amp;P)'!T7729&lt;&gt;"Yes",
        DATEDIF('Loan Tape (S&amp;P)'!K7729, TODAY(), "M")&lt;18),
    1.10,
    1.00)</f>
        <v/>
      </c>
      <c r="O7729">
        <f>IF('Loan Tape (S&amp;P)'!T7729="Yes",
    1.35,
    1.00)</f>
        <v/>
      </c>
      <c r="P7729">
        <f>IF('Loan Tape (S&amp;P)'!S7729="Yes",
    1.15,
    1.00)</f>
        <v/>
      </c>
      <c r="Q7729">
        <f>IF('Loan Tape (S&amp;P)'!V7729="Yes",
    1.20,
    1.00)</f>
        <v/>
      </c>
      <c r="T7729">
        <f>LET(
    payment_method,'Loan Tape (S&amp;P)'!P7729,
    occupancy,'Loan Tape (S&amp;P)'!N7729,
    maturity_date,'Loan Tape (S&amp;P)'!L7729,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30">
      <c r="J7730">
        <f>LET(
    lien,'Loan Tape (S&amp;P)'!Q7730,
    IF(lien="First",1.00,
        IF(lien="Second",1.50,
            1.70)))</f>
        <v/>
      </c>
      <c r="K7730">
        <f>LET(
    purpose,'Loan Tape (S&amp;P)'!R7730,
    IF(purpose="Purchase",1.00,
        IF(purpose="Remortgage",1.00,
            1.20)))</f>
        <v/>
      </c>
      <c r="L7730">
        <f>LET(
    arrears_months,'Loan Tape (S&amp;P)'!AN7730,
    IF(arrears_months=0,1.00,
    IF(arrears_months=1,3.00,
    IF(arrears_months=2,5.00,
    IF(arrears_months=3,8.00,
    IF(arrears_months=4,10.00,
    IF(arrears_months=5,12.00,15.00)))))))</f>
        <v/>
      </c>
      <c r="M7730">
        <f>LET(
    seasoning_years,DATEDIF('Loan Tape (S&amp;P)'!K7730,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30">
        <f>IF(AND('Loan Tape (S&amp;P)'!U7730="Yes",
        'Loan Tape (S&amp;P)'!T7730&lt;&gt;"Yes",
        DATEDIF('Loan Tape (S&amp;P)'!K7730, TODAY(), "M")&lt;18),
    1.10,
    1.00)</f>
        <v/>
      </c>
      <c r="O7730">
        <f>IF('Loan Tape (S&amp;P)'!T7730="Yes",
    1.35,
    1.00)</f>
        <v/>
      </c>
      <c r="P7730">
        <f>IF('Loan Tape (S&amp;P)'!S7730="Yes",
    1.15,
    1.00)</f>
        <v/>
      </c>
      <c r="Q7730">
        <f>IF('Loan Tape (S&amp;P)'!V7730="Yes",
    1.20,
    1.00)</f>
        <v/>
      </c>
      <c r="T7730">
        <f>LET(
    payment_method,'Loan Tape (S&amp;P)'!P7730,
    occupancy,'Loan Tape (S&amp;P)'!N7730,
    maturity_date,'Loan Tape (S&amp;P)'!L7730,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31">
      <c r="J7731">
        <f>LET(
    lien,'Loan Tape (S&amp;P)'!Q7731,
    IF(lien="First",1.00,
        IF(lien="Second",1.50,
            1.70)))</f>
        <v/>
      </c>
      <c r="K7731">
        <f>LET(
    purpose,'Loan Tape (S&amp;P)'!R7731,
    IF(purpose="Purchase",1.00,
        IF(purpose="Remortgage",1.00,
            1.20)))</f>
        <v/>
      </c>
      <c r="L7731">
        <f>LET(
    arrears_months,'Loan Tape (S&amp;P)'!AN7731,
    IF(arrears_months=0,1.00,
    IF(arrears_months=1,3.00,
    IF(arrears_months=2,5.00,
    IF(arrears_months=3,8.00,
    IF(arrears_months=4,10.00,
    IF(arrears_months=5,12.00,15.00)))))))</f>
        <v/>
      </c>
      <c r="M7731">
        <f>LET(
    seasoning_years,DATEDIF('Loan Tape (S&amp;P)'!K7731,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31">
        <f>IF(AND('Loan Tape (S&amp;P)'!U7731="Yes",
        'Loan Tape (S&amp;P)'!T7731&lt;&gt;"Yes",
        DATEDIF('Loan Tape (S&amp;P)'!K7731, TODAY(), "M")&lt;18),
    1.10,
    1.00)</f>
        <v/>
      </c>
      <c r="O7731">
        <f>IF('Loan Tape (S&amp;P)'!T7731="Yes",
    1.35,
    1.00)</f>
        <v/>
      </c>
      <c r="P7731">
        <f>IF('Loan Tape (S&amp;P)'!S7731="Yes",
    1.15,
    1.00)</f>
        <v/>
      </c>
      <c r="Q7731">
        <f>IF('Loan Tape (S&amp;P)'!V7731="Yes",
    1.20,
    1.00)</f>
        <v/>
      </c>
      <c r="T7731">
        <f>LET(
    payment_method,'Loan Tape (S&amp;P)'!P7731,
    occupancy,'Loan Tape (S&amp;P)'!N7731,
    maturity_date,'Loan Tape (S&amp;P)'!L7731,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32">
      <c r="J7732">
        <f>LET(
    lien,'Loan Tape (S&amp;P)'!Q7732,
    IF(lien="First",1.00,
        IF(lien="Second",1.50,
            1.70)))</f>
        <v/>
      </c>
      <c r="K7732">
        <f>LET(
    purpose,'Loan Tape (S&amp;P)'!R7732,
    IF(purpose="Purchase",1.00,
        IF(purpose="Remortgage",1.00,
            1.20)))</f>
        <v/>
      </c>
      <c r="L7732">
        <f>LET(
    arrears_months,'Loan Tape (S&amp;P)'!AN7732,
    IF(arrears_months=0,1.00,
    IF(arrears_months=1,3.00,
    IF(arrears_months=2,5.00,
    IF(arrears_months=3,8.00,
    IF(arrears_months=4,10.00,
    IF(arrears_months=5,12.00,15.00)))))))</f>
        <v/>
      </c>
      <c r="M7732">
        <f>LET(
    seasoning_years,DATEDIF('Loan Tape (S&amp;P)'!K7732,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32">
        <f>IF(AND('Loan Tape (S&amp;P)'!U7732="Yes",
        'Loan Tape (S&amp;P)'!T7732&lt;&gt;"Yes",
        DATEDIF('Loan Tape (S&amp;P)'!K7732, TODAY(), "M")&lt;18),
    1.10,
    1.00)</f>
        <v/>
      </c>
      <c r="O7732">
        <f>IF('Loan Tape (S&amp;P)'!T7732="Yes",
    1.35,
    1.00)</f>
        <v/>
      </c>
      <c r="P7732">
        <f>IF('Loan Tape (S&amp;P)'!S7732="Yes",
    1.15,
    1.00)</f>
        <v/>
      </c>
      <c r="Q7732">
        <f>IF('Loan Tape (S&amp;P)'!V7732="Yes",
    1.20,
    1.00)</f>
        <v/>
      </c>
      <c r="T7732">
        <f>LET(
    payment_method,'Loan Tape (S&amp;P)'!P7732,
    occupancy,'Loan Tape (S&amp;P)'!N7732,
    maturity_date,'Loan Tape (S&amp;P)'!L7732,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33">
      <c r="J7733">
        <f>LET(
    lien,'Loan Tape (S&amp;P)'!Q7733,
    IF(lien="First",1.00,
        IF(lien="Second",1.50,
            1.70)))</f>
        <v/>
      </c>
      <c r="K7733">
        <f>LET(
    purpose,'Loan Tape (S&amp;P)'!R7733,
    IF(purpose="Purchase",1.00,
        IF(purpose="Remortgage",1.00,
            1.20)))</f>
        <v/>
      </c>
      <c r="L7733">
        <f>LET(
    arrears_months,'Loan Tape (S&amp;P)'!AN7733,
    IF(arrears_months=0,1.00,
    IF(arrears_months=1,3.00,
    IF(arrears_months=2,5.00,
    IF(arrears_months=3,8.00,
    IF(arrears_months=4,10.00,
    IF(arrears_months=5,12.00,15.00)))))))</f>
        <v/>
      </c>
      <c r="M7733">
        <f>LET(
    seasoning_years,DATEDIF('Loan Tape (S&amp;P)'!K7733,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33">
        <f>IF(AND('Loan Tape (S&amp;P)'!U7733="Yes",
        'Loan Tape (S&amp;P)'!T7733&lt;&gt;"Yes",
        DATEDIF('Loan Tape (S&amp;P)'!K7733, TODAY(), "M")&lt;18),
    1.10,
    1.00)</f>
        <v/>
      </c>
      <c r="O7733">
        <f>IF('Loan Tape (S&amp;P)'!T7733="Yes",
    1.35,
    1.00)</f>
        <v/>
      </c>
      <c r="P7733">
        <f>IF('Loan Tape (S&amp;P)'!S7733="Yes",
    1.15,
    1.00)</f>
        <v/>
      </c>
      <c r="Q7733">
        <f>IF('Loan Tape (S&amp;P)'!V7733="Yes",
    1.20,
    1.00)</f>
        <v/>
      </c>
      <c r="T7733">
        <f>LET(
    payment_method,'Loan Tape (S&amp;P)'!P7733,
    occupancy,'Loan Tape (S&amp;P)'!N7733,
    maturity_date,'Loan Tape (S&amp;P)'!L7733,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34">
      <c r="J7734">
        <f>LET(
    lien,'Loan Tape (S&amp;P)'!Q7734,
    IF(lien="First",1.00,
        IF(lien="Second",1.50,
            1.70)))</f>
        <v/>
      </c>
      <c r="K7734">
        <f>LET(
    purpose,'Loan Tape (S&amp;P)'!R7734,
    IF(purpose="Purchase",1.00,
        IF(purpose="Remortgage",1.00,
            1.20)))</f>
        <v/>
      </c>
      <c r="L7734">
        <f>LET(
    arrears_months,'Loan Tape (S&amp;P)'!AN7734,
    IF(arrears_months=0,1.00,
    IF(arrears_months=1,3.00,
    IF(arrears_months=2,5.00,
    IF(arrears_months=3,8.00,
    IF(arrears_months=4,10.00,
    IF(arrears_months=5,12.00,15.00)))))))</f>
        <v/>
      </c>
      <c r="M7734">
        <f>LET(
    seasoning_years,DATEDIF('Loan Tape (S&amp;P)'!K7734,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34">
        <f>IF(AND('Loan Tape (S&amp;P)'!U7734="Yes",
        'Loan Tape (S&amp;P)'!T7734&lt;&gt;"Yes",
        DATEDIF('Loan Tape (S&amp;P)'!K7734, TODAY(), "M")&lt;18),
    1.10,
    1.00)</f>
        <v/>
      </c>
      <c r="O7734">
        <f>IF('Loan Tape (S&amp;P)'!T7734="Yes",
    1.35,
    1.00)</f>
        <v/>
      </c>
      <c r="P7734">
        <f>IF('Loan Tape (S&amp;P)'!S7734="Yes",
    1.15,
    1.00)</f>
        <v/>
      </c>
      <c r="Q7734">
        <f>IF('Loan Tape (S&amp;P)'!V7734="Yes",
    1.20,
    1.00)</f>
        <v/>
      </c>
      <c r="T7734">
        <f>LET(
    payment_method,'Loan Tape (S&amp;P)'!P7734,
    occupancy,'Loan Tape (S&amp;P)'!N7734,
    maturity_date,'Loan Tape (S&amp;P)'!L7734,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35">
      <c r="J7735">
        <f>LET(
    lien,'Loan Tape (S&amp;P)'!Q7735,
    IF(lien="First",1.00,
        IF(lien="Second",1.50,
            1.70)))</f>
        <v/>
      </c>
      <c r="K7735">
        <f>LET(
    purpose,'Loan Tape (S&amp;P)'!R7735,
    IF(purpose="Purchase",1.00,
        IF(purpose="Remortgage",1.00,
            1.20)))</f>
        <v/>
      </c>
      <c r="L7735">
        <f>LET(
    arrears_months,'Loan Tape (S&amp;P)'!AN7735,
    IF(arrears_months=0,1.00,
    IF(arrears_months=1,3.00,
    IF(arrears_months=2,5.00,
    IF(arrears_months=3,8.00,
    IF(arrears_months=4,10.00,
    IF(arrears_months=5,12.00,15.00)))))))</f>
        <v/>
      </c>
      <c r="M7735">
        <f>LET(
    seasoning_years,DATEDIF('Loan Tape (S&amp;P)'!K7735,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35">
        <f>IF(AND('Loan Tape (S&amp;P)'!U7735="Yes",
        'Loan Tape (S&amp;P)'!T7735&lt;&gt;"Yes",
        DATEDIF('Loan Tape (S&amp;P)'!K7735, TODAY(), "M")&lt;18),
    1.10,
    1.00)</f>
        <v/>
      </c>
      <c r="O7735">
        <f>IF('Loan Tape (S&amp;P)'!T7735="Yes",
    1.35,
    1.00)</f>
        <v/>
      </c>
      <c r="P7735">
        <f>IF('Loan Tape (S&amp;P)'!S7735="Yes",
    1.15,
    1.00)</f>
        <v/>
      </c>
      <c r="Q7735">
        <f>IF('Loan Tape (S&amp;P)'!V7735="Yes",
    1.20,
    1.00)</f>
        <v/>
      </c>
      <c r="T7735">
        <f>LET(
    payment_method,'Loan Tape (S&amp;P)'!P7735,
    occupancy,'Loan Tape (S&amp;P)'!N7735,
    maturity_date,'Loan Tape (S&amp;P)'!L7735,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36">
      <c r="J7736">
        <f>LET(
    lien,'Loan Tape (S&amp;P)'!Q7736,
    IF(lien="First",1.00,
        IF(lien="Second",1.50,
            1.70)))</f>
        <v/>
      </c>
      <c r="K7736">
        <f>LET(
    purpose,'Loan Tape (S&amp;P)'!R7736,
    IF(purpose="Purchase",1.00,
        IF(purpose="Remortgage",1.00,
            1.20)))</f>
        <v/>
      </c>
      <c r="L7736">
        <f>LET(
    arrears_months,'Loan Tape (S&amp;P)'!AN7736,
    IF(arrears_months=0,1.00,
    IF(arrears_months=1,3.00,
    IF(arrears_months=2,5.00,
    IF(arrears_months=3,8.00,
    IF(arrears_months=4,10.00,
    IF(arrears_months=5,12.00,15.00)))))))</f>
        <v/>
      </c>
      <c r="M7736">
        <f>LET(
    seasoning_years,DATEDIF('Loan Tape (S&amp;P)'!K7736,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36">
        <f>IF(AND('Loan Tape (S&amp;P)'!U7736="Yes",
        'Loan Tape (S&amp;P)'!T7736&lt;&gt;"Yes",
        DATEDIF('Loan Tape (S&amp;P)'!K7736, TODAY(), "M")&lt;18),
    1.10,
    1.00)</f>
        <v/>
      </c>
      <c r="O7736">
        <f>IF('Loan Tape (S&amp;P)'!T7736="Yes",
    1.35,
    1.00)</f>
        <v/>
      </c>
      <c r="P7736">
        <f>IF('Loan Tape (S&amp;P)'!S7736="Yes",
    1.15,
    1.00)</f>
        <v/>
      </c>
      <c r="Q7736">
        <f>IF('Loan Tape (S&amp;P)'!V7736="Yes",
    1.20,
    1.00)</f>
        <v/>
      </c>
      <c r="T7736">
        <f>LET(
    payment_method,'Loan Tape (S&amp;P)'!P7736,
    occupancy,'Loan Tape (S&amp;P)'!N7736,
    maturity_date,'Loan Tape (S&amp;P)'!L7736,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37">
      <c r="J7737">
        <f>LET(
    lien,'Loan Tape (S&amp;P)'!Q7737,
    IF(lien="First",1.00,
        IF(lien="Second",1.50,
            1.70)))</f>
        <v/>
      </c>
      <c r="K7737">
        <f>LET(
    purpose,'Loan Tape (S&amp;P)'!R7737,
    IF(purpose="Purchase",1.00,
        IF(purpose="Remortgage",1.00,
            1.20)))</f>
        <v/>
      </c>
      <c r="L7737">
        <f>LET(
    arrears_months,'Loan Tape (S&amp;P)'!AN7737,
    IF(arrears_months=0,1.00,
    IF(arrears_months=1,3.00,
    IF(arrears_months=2,5.00,
    IF(arrears_months=3,8.00,
    IF(arrears_months=4,10.00,
    IF(arrears_months=5,12.00,15.00)))))))</f>
        <v/>
      </c>
      <c r="M7737">
        <f>LET(
    seasoning_years,DATEDIF('Loan Tape (S&amp;P)'!K7737,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37">
        <f>IF(AND('Loan Tape (S&amp;P)'!U7737="Yes",
        'Loan Tape (S&amp;P)'!T7737&lt;&gt;"Yes",
        DATEDIF('Loan Tape (S&amp;P)'!K7737, TODAY(), "M")&lt;18),
    1.10,
    1.00)</f>
        <v/>
      </c>
      <c r="O7737">
        <f>IF('Loan Tape (S&amp;P)'!T7737="Yes",
    1.35,
    1.00)</f>
        <v/>
      </c>
      <c r="P7737">
        <f>IF('Loan Tape (S&amp;P)'!S7737="Yes",
    1.15,
    1.00)</f>
        <v/>
      </c>
      <c r="Q7737">
        <f>IF('Loan Tape (S&amp;P)'!V7737="Yes",
    1.20,
    1.00)</f>
        <v/>
      </c>
      <c r="T7737">
        <f>LET(
    payment_method,'Loan Tape (S&amp;P)'!P7737,
    occupancy,'Loan Tape (S&amp;P)'!N7737,
    maturity_date,'Loan Tape (S&amp;P)'!L7737,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38">
      <c r="J7738">
        <f>LET(
    lien,'Loan Tape (S&amp;P)'!Q7738,
    IF(lien="First",1.00,
        IF(lien="Second",1.50,
            1.70)))</f>
        <v/>
      </c>
      <c r="K7738">
        <f>LET(
    purpose,'Loan Tape (S&amp;P)'!R7738,
    IF(purpose="Purchase",1.00,
        IF(purpose="Remortgage",1.00,
            1.20)))</f>
        <v/>
      </c>
      <c r="L7738">
        <f>LET(
    arrears_months,'Loan Tape (S&amp;P)'!AN7738,
    IF(arrears_months=0,1.00,
    IF(arrears_months=1,3.00,
    IF(arrears_months=2,5.00,
    IF(arrears_months=3,8.00,
    IF(arrears_months=4,10.00,
    IF(arrears_months=5,12.00,15.00)))))))</f>
        <v/>
      </c>
      <c r="M7738">
        <f>LET(
    seasoning_years,DATEDIF('Loan Tape (S&amp;P)'!K7738,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38">
        <f>IF(AND('Loan Tape (S&amp;P)'!U7738="Yes",
        'Loan Tape (S&amp;P)'!T7738&lt;&gt;"Yes",
        DATEDIF('Loan Tape (S&amp;P)'!K7738, TODAY(), "M")&lt;18),
    1.10,
    1.00)</f>
        <v/>
      </c>
      <c r="O7738">
        <f>IF('Loan Tape (S&amp;P)'!T7738="Yes",
    1.35,
    1.00)</f>
        <v/>
      </c>
      <c r="P7738">
        <f>IF('Loan Tape (S&amp;P)'!S7738="Yes",
    1.15,
    1.00)</f>
        <v/>
      </c>
      <c r="Q7738">
        <f>IF('Loan Tape (S&amp;P)'!V7738="Yes",
    1.20,
    1.00)</f>
        <v/>
      </c>
      <c r="T7738">
        <f>LET(
    payment_method,'Loan Tape (S&amp;P)'!P7738,
    occupancy,'Loan Tape (S&amp;P)'!N7738,
    maturity_date,'Loan Tape (S&amp;P)'!L7738,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39">
      <c r="J7739">
        <f>LET(
    lien,'Loan Tape (S&amp;P)'!Q7739,
    IF(lien="First",1.00,
        IF(lien="Second",1.50,
            1.70)))</f>
        <v/>
      </c>
      <c r="K7739">
        <f>LET(
    purpose,'Loan Tape (S&amp;P)'!R7739,
    IF(purpose="Purchase",1.00,
        IF(purpose="Remortgage",1.00,
            1.20)))</f>
        <v/>
      </c>
      <c r="L7739">
        <f>LET(
    arrears_months,'Loan Tape (S&amp;P)'!AN7739,
    IF(arrears_months=0,1.00,
    IF(arrears_months=1,3.00,
    IF(arrears_months=2,5.00,
    IF(arrears_months=3,8.00,
    IF(arrears_months=4,10.00,
    IF(arrears_months=5,12.00,15.00)))))))</f>
        <v/>
      </c>
      <c r="M7739">
        <f>LET(
    seasoning_years,DATEDIF('Loan Tape (S&amp;P)'!K7739,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39">
        <f>IF(AND('Loan Tape (S&amp;P)'!U7739="Yes",
        'Loan Tape (S&amp;P)'!T7739&lt;&gt;"Yes",
        DATEDIF('Loan Tape (S&amp;P)'!K7739, TODAY(), "M")&lt;18),
    1.10,
    1.00)</f>
        <v/>
      </c>
      <c r="O7739">
        <f>IF('Loan Tape (S&amp;P)'!T7739="Yes",
    1.35,
    1.00)</f>
        <v/>
      </c>
      <c r="P7739">
        <f>IF('Loan Tape (S&amp;P)'!S7739="Yes",
    1.15,
    1.00)</f>
        <v/>
      </c>
      <c r="Q7739">
        <f>IF('Loan Tape (S&amp;P)'!V7739="Yes",
    1.20,
    1.00)</f>
        <v/>
      </c>
      <c r="T7739">
        <f>LET(
    payment_method,'Loan Tape (S&amp;P)'!P7739,
    occupancy,'Loan Tape (S&amp;P)'!N7739,
    maturity_date,'Loan Tape (S&amp;P)'!L7739,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40">
      <c r="J7740">
        <f>LET(
    lien,'Loan Tape (S&amp;P)'!Q7740,
    IF(lien="First",1.00,
        IF(lien="Second",1.50,
            1.70)))</f>
        <v/>
      </c>
      <c r="K7740">
        <f>LET(
    purpose,'Loan Tape (S&amp;P)'!R7740,
    IF(purpose="Purchase",1.00,
        IF(purpose="Remortgage",1.00,
            1.20)))</f>
        <v/>
      </c>
      <c r="L7740">
        <f>LET(
    arrears_months,'Loan Tape (S&amp;P)'!AN7740,
    IF(arrears_months=0,1.00,
    IF(arrears_months=1,3.00,
    IF(arrears_months=2,5.00,
    IF(arrears_months=3,8.00,
    IF(arrears_months=4,10.00,
    IF(arrears_months=5,12.00,15.00)))))))</f>
        <v/>
      </c>
      <c r="M7740">
        <f>LET(
    seasoning_years,DATEDIF('Loan Tape (S&amp;P)'!K7740,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40">
        <f>IF(AND('Loan Tape (S&amp;P)'!U7740="Yes",
        'Loan Tape (S&amp;P)'!T7740&lt;&gt;"Yes",
        DATEDIF('Loan Tape (S&amp;P)'!K7740, TODAY(), "M")&lt;18),
    1.10,
    1.00)</f>
        <v/>
      </c>
      <c r="O7740">
        <f>IF('Loan Tape (S&amp;P)'!T7740="Yes",
    1.35,
    1.00)</f>
        <v/>
      </c>
      <c r="P7740">
        <f>IF('Loan Tape (S&amp;P)'!S7740="Yes",
    1.15,
    1.00)</f>
        <v/>
      </c>
      <c r="Q7740">
        <f>IF('Loan Tape (S&amp;P)'!V7740="Yes",
    1.20,
    1.00)</f>
        <v/>
      </c>
      <c r="T7740">
        <f>LET(
    payment_method,'Loan Tape (S&amp;P)'!P7740,
    occupancy,'Loan Tape (S&amp;P)'!N7740,
    maturity_date,'Loan Tape (S&amp;P)'!L7740,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41">
      <c r="J7741">
        <f>LET(
    lien,'Loan Tape (S&amp;P)'!Q7741,
    IF(lien="First",1.00,
        IF(lien="Second",1.50,
            1.70)))</f>
        <v/>
      </c>
      <c r="K7741">
        <f>LET(
    purpose,'Loan Tape (S&amp;P)'!R7741,
    IF(purpose="Purchase",1.00,
        IF(purpose="Remortgage",1.00,
            1.20)))</f>
        <v/>
      </c>
      <c r="L7741">
        <f>LET(
    arrears_months,'Loan Tape (S&amp;P)'!AN7741,
    IF(arrears_months=0,1.00,
    IF(arrears_months=1,3.00,
    IF(arrears_months=2,5.00,
    IF(arrears_months=3,8.00,
    IF(arrears_months=4,10.00,
    IF(arrears_months=5,12.00,15.00)))))))</f>
        <v/>
      </c>
      <c r="M7741">
        <f>LET(
    seasoning_years,DATEDIF('Loan Tape (S&amp;P)'!K7741,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41">
        <f>IF(AND('Loan Tape (S&amp;P)'!U7741="Yes",
        'Loan Tape (S&amp;P)'!T7741&lt;&gt;"Yes",
        DATEDIF('Loan Tape (S&amp;P)'!K7741, TODAY(), "M")&lt;18),
    1.10,
    1.00)</f>
        <v/>
      </c>
      <c r="O7741">
        <f>IF('Loan Tape (S&amp;P)'!T7741="Yes",
    1.35,
    1.00)</f>
        <v/>
      </c>
      <c r="P7741">
        <f>IF('Loan Tape (S&amp;P)'!S7741="Yes",
    1.15,
    1.00)</f>
        <v/>
      </c>
      <c r="Q7741">
        <f>IF('Loan Tape (S&amp;P)'!V7741="Yes",
    1.20,
    1.00)</f>
        <v/>
      </c>
      <c r="T7741">
        <f>LET(
    payment_method,'Loan Tape (S&amp;P)'!P7741,
    occupancy,'Loan Tape (S&amp;P)'!N7741,
    maturity_date,'Loan Tape (S&amp;P)'!L7741,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42">
      <c r="J7742">
        <f>LET(
    lien,'Loan Tape (S&amp;P)'!Q7742,
    IF(lien="First",1.00,
        IF(lien="Second",1.50,
            1.70)))</f>
        <v/>
      </c>
      <c r="K7742">
        <f>LET(
    purpose,'Loan Tape (S&amp;P)'!R7742,
    IF(purpose="Purchase",1.00,
        IF(purpose="Remortgage",1.00,
            1.20)))</f>
        <v/>
      </c>
      <c r="L7742">
        <f>LET(
    arrears_months,'Loan Tape (S&amp;P)'!AN7742,
    IF(arrears_months=0,1.00,
    IF(arrears_months=1,3.00,
    IF(arrears_months=2,5.00,
    IF(arrears_months=3,8.00,
    IF(arrears_months=4,10.00,
    IF(arrears_months=5,12.00,15.00)))))))</f>
        <v/>
      </c>
      <c r="M7742">
        <f>LET(
    seasoning_years,DATEDIF('Loan Tape (S&amp;P)'!K7742,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42">
        <f>IF(AND('Loan Tape (S&amp;P)'!U7742="Yes",
        'Loan Tape (S&amp;P)'!T7742&lt;&gt;"Yes",
        DATEDIF('Loan Tape (S&amp;P)'!K7742, TODAY(), "M")&lt;18),
    1.10,
    1.00)</f>
        <v/>
      </c>
      <c r="O7742">
        <f>IF('Loan Tape (S&amp;P)'!T7742="Yes",
    1.35,
    1.00)</f>
        <v/>
      </c>
      <c r="P7742">
        <f>IF('Loan Tape (S&amp;P)'!S7742="Yes",
    1.15,
    1.00)</f>
        <v/>
      </c>
      <c r="Q7742">
        <f>IF('Loan Tape (S&amp;P)'!V7742="Yes",
    1.20,
    1.00)</f>
        <v/>
      </c>
      <c r="T7742">
        <f>LET(
    payment_method,'Loan Tape (S&amp;P)'!P7742,
    occupancy,'Loan Tape (S&amp;P)'!N7742,
    maturity_date,'Loan Tape (S&amp;P)'!L7742,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43">
      <c r="J7743">
        <f>LET(
    lien,'Loan Tape (S&amp;P)'!Q7743,
    IF(lien="First",1.00,
        IF(lien="Second",1.50,
            1.70)))</f>
        <v/>
      </c>
      <c r="K7743">
        <f>LET(
    purpose,'Loan Tape (S&amp;P)'!R7743,
    IF(purpose="Purchase",1.00,
        IF(purpose="Remortgage",1.00,
            1.20)))</f>
        <v/>
      </c>
      <c r="L7743">
        <f>LET(
    arrears_months,'Loan Tape (S&amp;P)'!AN7743,
    IF(arrears_months=0,1.00,
    IF(arrears_months=1,3.00,
    IF(arrears_months=2,5.00,
    IF(arrears_months=3,8.00,
    IF(arrears_months=4,10.00,
    IF(arrears_months=5,12.00,15.00)))))))</f>
        <v/>
      </c>
      <c r="M7743">
        <f>LET(
    seasoning_years,DATEDIF('Loan Tape (S&amp;P)'!K7743,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43">
        <f>IF(AND('Loan Tape (S&amp;P)'!U7743="Yes",
        'Loan Tape (S&amp;P)'!T7743&lt;&gt;"Yes",
        DATEDIF('Loan Tape (S&amp;P)'!K7743, TODAY(), "M")&lt;18),
    1.10,
    1.00)</f>
        <v/>
      </c>
      <c r="O7743">
        <f>IF('Loan Tape (S&amp;P)'!T7743="Yes",
    1.35,
    1.00)</f>
        <v/>
      </c>
      <c r="P7743">
        <f>IF('Loan Tape (S&amp;P)'!S7743="Yes",
    1.15,
    1.00)</f>
        <v/>
      </c>
      <c r="Q7743">
        <f>IF('Loan Tape (S&amp;P)'!V7743="Yes",
    1.20,
    1.00)</f>
        <v/>
      </c>
      <c r="T7743">
        <f>LET(
    payment_method,'Loan Tape (S&amp;P)'!P7743,
    occupancy,'Loan Tape (S&amp;P)'!N7743,
    maturity_date,'Loan Tape (S&amp;P)'!L7743,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44">
      <c r="J7744">
        <f>LET(
    lien,'Loan Tape (S&amp;P)'!Q7744,
    IF(lien="First",1.00,
        IF(lien="Second",1.50,
            1.70)))</f>
        <v/>
      </c>
      <c r="K7744">
        <f>LET(
    purpose,'Loan Tape (S&amp;P)'!R7744,
    IF(purpose="Purchase",1.00,
        IF(purpose="Remortgage",1.00,
            1.20)))</f>
        <v/>
      </c>
      <c r="L7744">
        <f>LET(
    arrears_months,'Loan Tape (S&amp;P)'!AN7744,
    IF(arrears_months=0,1.00,
    IF(arrears_months=1,3.00,
    IF(arrears_months=2,5.00,
    IF(arrears_months=3,8.00,
    IF(arrears_months=4,10.00,
    IF(arrears_months=5,12.00,15.00)))))))</f>
        <v/>
      </c>
      <c r="M7744">
        <f>LET(
    seasoning_years,DATEDIF('Loan Tape (S&amp;P)'!K7744,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44">
        <f>IF(AND('Loan Tape (S&amp;P)'!U7744="Yes",
        'Loan Tape (S&amp;P)'!T7744&lt;&gt;"Yes",
        DATEDIF('Loan Tape (S&amp;P)'!K7744, TODAY(), "M")&lt;18),
    1.10,
    1.00)</f>
        <v/>
      </c>
      <c r="O7744">
        <f>IF('Loan Tape (S&amp;P)'!T7744="Yes",
    1.35,
    1.00)</f>
        <v/>
      </c>
      <c r="P7744">
        <f>IF('Loan Tape (S&amp;P)'!S7744="Yes",
    1.15,
    1.00)</f>
        <v/>
      </c>
      <c r="Q7744">
        <f>IF('Loan Tape (S&amp;P)'!V7744="Yes",
    1.20,
    1.00)</f>
        <v/>
      </c>
      <c r="T7744">
        <f>LET(
    payment_method,'Loan Tape (S&amp;P)'!P7744,
    occupancy,'Loan Tape (S&amp;P)'!N7744,
    maturity_date,'Loan Tape (S&amp;P)'!L7744,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45">
      <c r="J7745">
        <f>LET(
    lien,'Loan Tape (S&amp;P)'!Q7745,
    IF(lien="First",1.00,
        IF(lien="Second",1.50,
            1.70)))</f>
        <v/>
      </c>
      <c r="K7745">
        <f>LET(
    purpose,'Loan Tape (S&amp;P)'!R7745,
    IF(purpose="Purchase",1.00,
        IF(purpose="Remortgage",1.00,
            1.20)))</f>
        <v/>
      </c>
      <c r="L7745">
        <f>LET(
    arrears_months,'Loan Tape (S&amp;P)'!AN7745,
    IF(arrears_months=0,1.00,
    IF(arrears_months=1,3.00,
    IF(arrears_months=2,5.00,
    IF(arrears_months=3,8.00,
    IF(arrears_months=4,10.00,
    IF(arrears_months=5,12.00,15.00)))))))</f>
        <v/>
      </c>
      <c r="M7745">
        <f>LET(
    seasoning_years,DATEDIF('Loan Tape (S&amp;P)'!K7745,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45">
        <f>IF(AND('Loan Tape (S&amp;P)'!U7745="Yes",
        'Loan Tape (S&amp;P)'!T7745&lt;&gt;"Yes",
        DATEDIF('Loan Tape (S&amp;P)'!K7745, TODAY(), "M")&lt;18),
    1.10,
    1.00)</f>
        <v/>
      </c>
      <c r="O7745">
        <f>IF('Loan Tape (S&amp;P)'!T7745="Yes",
    1.35,
    1.00)</f>
        <v/>
      </c>
      <c r="P7745">
        <f>IF('Loan Tape (S&amp;P)'!S7745="Yes",
    1.15,
    1.00)</f>
        <v/>
      </c>
      <c r="Q7745">
        <f>IF('Loan Tape (S&amp;P)'!V7745="Yes",
    1.20,
    1.00)</f>
        <v/>
      </c>
      <c r="T7745">
        <f>LET(
    payment_method,'Loan Tape (S&amp;P)'!P7745,
    occupancy,'Loan Tape (S&amp;P)'!N7745,
    maturity_date,'Loan Tape (S&amp;P)'!L7745,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46">
      <c r="J7746">
        <f>LET(
    lien,'Loan Tape (S&amp;P)'!Q7746,
    IF(lien="First",1.00,
        IF(lien="Second",1.50,
            1.70)))</f>
        <v/>
      </c>
      <c r="K7746">
        <f>LET(
    purpose,'Loan Tape (S&amp;P)'!R7746,
    IF(purpose="Purchase",1.00,
        IF(purpose="Remortgage",1.00,
            1.20)))</f>
        <v/>
      </c>
      <c r="L7746">
        <f>LET(
    arrears_months,'Loan Tape (S&amp;P)'!AN7746,
    IF(arrears_months=0,1.00,
    IF(arrears_months=1,3.00,
    IF(arrears_months=2,5.00,
    IF(arrears_months=3,8.00,
    IF(arrears_months=4,10.00,
    IF(arrears_months=5,12.00,15.00)))))))</f>
        <v/>
      </c>
      <c r="M7746">
        <f>LET(
    seasoning_years,DATEDIF('Loan Tape (S&amp;P)'!K7746,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46">
        <f>IF(AND('Loan Tape (S&amp;P)'!U7746="Yes",
        'Loan Tape (S&amp;P)'!T7746&lt;&gt;"Yes",
        DATEDIF('Loan Tape (S&amp;P)'!K7746, TODAY(), "M")&lt;18),
    1.10,
    1.00)</f>
        <v/>
      </c>
      <c r="O7746">
        <f>IF('Loan Tape (S&amp;P)'!T7746="Yes",
    1.35,
    1.00)</f>
        <v/>
      </c>
      <c r="P7746">
        <f>IF('Loan Tape (S&amp;P)'!S7746="Yes",
    1.15,
    1.00)</f>
        <v/>
      </c>
      <c r="Q7746">
        <f>IF('Loan Tape (S&amp;P)'!V7746="Yes",
    1.20,
    1.00)</f>
        <v/>
      </c>
      <c r="T7746">
        <f>LET(
    payment_method,'Loan Tape (S&amp;P)'!P7746,
    occupancy,'Loan Tape (S&amp;P)'!N7746,
    maturity_date,'Loan Tape (S&amp;P)'!L7746,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47">
      <c r="J7747">
        <f>LET(
    lien,'Loan Tape (S&amp;P)'!Q7747,
    IF(lien="First",1.00,
        IF(lien="Second",1.50,
            1.70)))</f>
        <v/>
      </c>
      <c r="K7747">
        <f>LET(
    purpose,'Loan Tape (S&amp;P)'!R7747,
    IF(purpose="Purchase",1.00,
        IF(purpose="Remortgage",1.00,
            1.20)))</f>
        <v/>
      </c>
      <c r="L7747">
        <f>LET(
    arrears_months,'Loan Tape (S&amp;P)'!AN7747,
    IF(arrears_months=0,1.00,
    IF(arrears_months=1,3.00,
    IF(arrears_months=2,5.00,
    IF(arrears_months=3,8.00,
    IF(arrears_months=4,10.00,
    IF(arrears_months=5,12.00,15.00)))))))</f>
        <v/>
      </c>
      <c r="M7747">
        <f>LET(
    seasoning_years,DATEDIF('Loan Tape (S&amp;P)'!K7747,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47">
        <f>IF(AND('Loan Tape (S&amp;P)'!U7747="Yes",
        'Loan Tape (S&amp;P)'!T7747&lt;&gt;"Yes",
        DATEDIF('Loan Tape (S&amp;P)'!K7747, TODAY(), "M")&lt;18),
    1.10,
    1.00)</f>
        <v/>
      </c>
      <c r="O7747">
        <f>IF('Loan Tape (S&amp;P)'!T7747="Yes",
    1.35,
    1.00)</f>
        <v/>
      </c>
      <c r="P7747">
        <f>IF('Loan Tape (S&amp;P)'!S7747="Yes",
    1.15,
    1.00)</f>
        <v/>
      </c>
      <c r="Q7747">
        <f>IF('Loan Tape (S&amp;P)'!V7747="Yes",
    1.20,
    1.00)</f>
        <v/>
      </c>
      <c r="T7747">
        <f>LET(
    payment_method,'Loan Tape (S&amp;P)'!P7747,
    occupancy,'Loan Tape (S&amp;P)'!N7747,
    maturity_date,'Loan Tape (S&amp;P)'!L7747,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48">
      <c r="J7748">
        <f>LET(
    lien,'Loan Tape (S&amp;P)'!Q7748,
    IF(lien="First",1.00,
        IF(lien="Second",1.50,
            1.70)))</f>
        <v/>
      </c>
      <c r="K7748">
        <f>LET(
    purpose,'Loan Tape (S&amp;P)'!R7748,
    IF(purpose="Purchase",1.00,
        IF(purpose="Remortgage",1.00,
            1.20)))</f>
        <v/>
      </c>
      <c r="L7748">
        <f>LET(
    arrears_months,'Loan Tape (S&amp;P)'!AN7748,
    IF(arrears_months=0,1.00,
    IF(arrears_months=1,3.00,
    IF(arrears_months=2,5.00,
    IF(arrears_months=3,8.00,
    IF(arrears_months=4,10.00,
    IF(arrears_months=5,12.00,15.00)))))))</f>
        <v/>
      </c>
      <c r="M7748">
        <f>LET(
    seasoning_years,DATEDIF('Loan Tape (S&amp;P)'!K7748,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48">
        <f>IF(AND('Loan Tape (S&amp;P)'!U7748="Yes",
        'Loan Tape (S&amp;P)'!T7748&lt;&gt;"Yes",
        DATEDIF('Loan Tape (S&amp;P)'!K7748, TODAY(), "M")&lt;18),
    1.10,
    1.00)</f>
        <v/>
      </c>
      <c r="O7748">
        <f>IF('Loan Tape (S&amp;P)'!T7748="Yes",
    1.35,
    1.00)</f>
        <v/>
      </c>
      <c r="P7748">
        <f>IF('Loan Tape (S&amp;P)'!S7748="Yes",
    1.15,
    1.00)</f>
        <v/>
      </c>
      <c r="Q7748">
        <f>IF('Loan Tape (S&amp;P)'!V7748="Yes",
    1.20,
    1.00)</f>
        <v/>
      </c>
      <c r="T7748">
        <f>LET(
    payment_method,'Loan Tape (S&amp;P)'!P7748,
    occupancy,'Loan Tape (S&amp;P)'!N7748,
    maturity_date,'Loan Tape (S&amp;P)'!L7748,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49">
      <c r="J7749">
        <f>LET(
    lien,'Loan Tape (S&amp;P)'!Q7749,
    IF(lien="First",1.00,
        IF(lien="Second",1.50,
            1.70)))</f>
        <v/>
      </c>
      <c r="K7749">
        <f>LET(
    purpose,'Loan Tape (S&amp;P)'!R7749,
    IF(purpose="Purchase",1.00,
        IF(purpose="Remortgage",1.00,
            1.20)))</f>
        <v/>
      </c>
      <c r="L7749">
        <f>LET(
    arrears_months,'Loan Tape (S&amp;P)'!AN7749,
    IF(arrears_months=0,1.00,
    IF(arrears_months=1,3.00,
    IF(arrears_months=2,5.00,
    IF(arrears_months=3,8.00,
    IF(arrears_months=4,10.00,
    IF(arrears_months=5,12.00,15.00)))))))</f>
        <v/>
      </c>
      <c r="M7749">
        <f>LET(
    seasoning_years,DATEDIF('Loan Tape (S&amp;P)'!K7749,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49">
        <f>IF(AND('Loan Tape (S&amp;P)'!U7749="Yes",
        'Loan Tape (S&amp;P)'!T7749&lt;&gt;"Yes",
        DATEDIF('Loan Tape (S&amp;P)'!K7749, TODAY(), "M")&lt;18),
    1.10,
    1.00)</f>
        <v/>
      </c>
      <c r="O7749">
        <f>IF('Loan Tape (S&amp;P)'!T7749="Yes",
    1.35,
    1.00)</f>
        <v/>
      </c>
      <c r="P7749">
        <f>IF('Loan Tape (S&amp;P)'!S7749="Yes",
    1.15,
    1.00)</f>
        <v/>
      </c>
      <c r="Q7749">
        <f>IF('Loan Tape (S&amp;P)'!V7749="Yes",
    1.20,
    1.00)</f>
        <v/>
      </c>
      <c r="T7749">
        <f>LET(
    payment_method,'Loan Tape (S&amp;P)'!P7749,
    occupancy,'Loan Tape (S&amp;P)'!N7749,
    maturity_date,'Loan Tape (S&amp;P)'!L7749,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50">
      <c r="J7750">
        <f>LET(
    lien,'Loan Tape (S&amp;P)'!Q7750,
    IF(lien="First",1.00,
        IF(lien="Second",1.50,
            1.70)))</f>
        <v/>
      </c>
      <c r="K7750">
        <f>LET(
    purpose,'Loan Tape (S&amp;P)'!R7750,
    IF(purpose="Purchase",1.00,
        IF(purpose="Remortgage",1.00,
            1.20)))</f>
        <v/>
      </c>
      <c r="L7750">
        <f>LET(
    arrears_months,'Loan Tape (S&amp;P)'!AN7750,
    IF(arrears_months=0,1.00,
    IF(arrears_months=1,3.00,
    IF(arrears_months=2,5.00,
    IF(arrears_months=3,8.00,
    IF(arrears_months=4,10.00,
    IF(arrears_months=5,12.00,15.00)))))))</f>
        <v/>
      </c>
      <c r="M7750">
        <f>LET(
    seasoning_years,DATEDIF('Loan Tape (S&amp;P)'!K7750,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50">
        <f>IF(AND('Loan Tape (S&amp;P)'!U7750="Yes",
        'Loan Tape (S&amp;P)'!T7750&lt;&gt;"Yes",
        DATEDIF('Loan Tape (S&amp;P)'!K7750, TODAY(), "M")&lt;18),
    1.10,
    1.00)</f>
        <v/>
      </c>
      <c r="O7750">
        <f>IF('Loan Tape (S&amp;P)'!T7750="Yes",
    1.35,
    1.00)</f>
        <v/>
      </c>
      <c r="P7750">
        <f>IF('Loan Tape (S&amp;P)'!S7750="Yes",
    1.15,
    1.00)</f>
        <v/>
      </c>
      <c r="Q7750">
        <f>IF('Loan Tape (S&amp;P)'!V7750="Yes",
    1.20,
    1.00)</f>
        <v/>
      </c>
      <c r="T7750">
        <f>LET(
    payment_method,'Loan Tape (S&amp;P)'!P7750,
    occupancy,'Loan Tape (S&amp;P)'!N7750,
    maturity_date,'Loan Tape (S&amp;P)'!L7750,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51">
      <c r="J7751">
        <f>LET(
    lien,'Loan Tape (S&amp;P)'!Q7751,
    IF(lien="First",1.00,
        IF(lien="Second",1.50,
            1.70)))</f>
        <v/>
      </c>
      <c r="K7751">
        <f>LET(
    purpose,'Loan Tape (S&amp;P)'!R7751,
    IF(purpose="Purchase",1.00,
        IF(purpose="Remortgage",1.00,
            1.20)))</f>
        <v/>
      </c>
      <c r="L7751">
        <f>LET(
    arrears_months,'Loan Tape (S&amp;P)'!AN7751,
    IF(arrears_months=0,1.00,
    IF(arrears_months=1,3.00,
    IF(arrears_months=2,5.00,
    IF(arrears_months=3,8.00,
    IF(arrears_months=4,10.00,
    IF(arrears_months=5,12.00,15.00)))))))</f>
        <v/>
      </c>
      <c r="M7751">
        <f>LET(
    seasoning_years,DATEDIF('Loan Tape (S&amp;P)'!K7751,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51">
        <f>IF(AND('Loan Tape (S&amp;P)'!U7751="Yes",
        'Loan Tape (S&amp;P)'!T7751&lt;&gt;"Yes",
        DATEDIF('Loan Tape (S&amp;P)'!K7751, TODAY(), "M")&lt;18),
    1.10,
    1.00)</f>
        <v/>
      </c>
      <c r="O7751">
        <f>IF('Loan Tape (S&amp;P)'!T7751="Yes",
    1.35,
    1.00)</f>
        <v/>
      </c>
      <c r="P7751">
        <f>IF('Loan Tape (S&amp;P)'!S7751="Yes",
    1.15,
    1.00)</f>
        <v/>
      </c>
      <c r="Q7751">
        <f>IF('Loan Tape (S&amp;P)'!V7751="Yes",
    1.20,
    1.00)</f>
        <v/>
      </c>
      <c r="T7751">
        <f>LET(
    payment_method,'Loan Tape (S&amp;P)'!P7751,
    occupancy,'Loan Tape (S&amp;P)'!N7751,
    maturity_date,'Loan Tape (S&amp;P)'!L7751,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52">
      <c r="J7752">
        <f>LET(
    lien,'Loan Tape (S&amp;P)'!Q7752,
    IF(lien="First",1.00,
        IF(lien="Second",1.50,
            1.70)))</f>
        <v/>
      </c>
      <c r="K7752">
        <f>LET(
    purpose,'Loan Tape (S&amp;P)'!R7752,
    IF(purpose="Purchase",1.00,
        IF(purpose="Remortgage",1.00,
            1.20)))</f>
        <v/>
      </c>
      <c r="L7752">
        <f>LET(
    arrears_months,'Loan Tape (S&amp;P)'!AN7752,
    IF(arrears_months=0,1.00,
    IF(arrears_months=1,3.00,
    IF(arrears_months=2,5.00,
    IF(arrears_months=3,8.00,
    IF(arrears_months=4,10.00,
    IF(arrears_months=5,12.00,15.00)))))))</f>
        <v/>
      </c>
      <c r="M7752">
        <f>LET(
    seasoning_years,DATEDIF('Loan Tape (S&amp;P)'!K7752,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52">
        <f>IF(AND('Loan Tape (S&amp;P)'!U7752="Yes",
        'Loan Tape (S&amp;P)'!T7752&lt;&gt;"Yes",
        DATEDIF('Loan Tape (S&amp;P)'!K7752, TODAY(), "M")&lt;18),
    1.10,
    1.00)</f>
        <v/>
      </c>
      <c r="O7752">
        <f>IF('Loan Tape (S&amp;P)'!T7752="Yes",
    1.35,
    1.00)</f>
        <v/>
      </c>
      <c r="P7752">
        <f>IF('Loan Tape (S&amp;P)'!S7752="Yes",
    1.15,
    1.00)</f>
        <v/>
      </c>
      <c r="Q7752">
        <f>IF('Loan Tape (S&amp;P)'!V7752="Yes",
    1.20,
    1.00)</f>
        <v/>
      </c>
      <c r="T7752">
        <f>LET(
    payment_method,'Loan Tape (S&amp;P)'!P7752,
    occupancy,'Loan Tape (S&amp;P)'!N7752,
    maturity_date,'Loan Tape (S&amp;P)'!L7752,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53">
      <c r="J7753">
        <f>LET(
    lien,'Loan Tape (S&amp;P)'!Q7753,
    IF(lien="First",1.00,
        IF(lien="Second",1.50,
            1.70)))</f>
        <v/>
      </c>
      <c r="K7753">
        <f>LET(
    purpose,'Loan Tape (S&amp;P)'!R7753,
    IF(purpose="Purchase",1.00,
        IF(purpose="Remortgage",1.00,
            1.20)))</f>
        <v/>
      </c>
      <c r="L7753">
        <f>LET(
    arrears_months,'Loan Tape (S&amp;P)'!AN7753,
    IF(arrears_months=0,1.00,
    IF(arrears_months=1,3.00,
    IF(arrears_months=2,5.00,
    IF(arrears_months=3,8.00,
    IF(arrears_months=4,10.00,
    IF(arrears_months=5,12.00,15.00)))))))</f>
        <v/>
      </c>
      <c r="M7753">
        <f>LET(
    seasoning_years,DATEDIF('Loan Tape (S&amp;P)'!K7753,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53">
        <f>IF(AND('Loan Tape (S&amp;P)'!U7753="Yes",
        'Loan Tape (S&amp;P)'!T7753&lt;&gt;"Yes",
        DATEDIF('Loan Tape (S&amp;P)'!K7753, TODAY(), "M")&lt;18),
    1.10,
    1.00)</f>
        <v/>
      </c>
      <c r="O7753">
        <f>IF('Loan Tape (S&amp;P)'!T7753="Yes",
    1.35,
    1.00)</f>
        <v/>
      </c>
      <c r="P7753">
        <f>IF('Loan Tape (S&amp;P)'!S7753="Yes",
    1.15,
    1.00)</f>
        <v/>
      </c>
      <c r="Q7753">
        <f>IF('Loan Tape (S&amp;P)'!V7753="Yes",
    1.20,
    1.00)</f>
        <v/>
      </c>
      <c r="T7753">
        <f>LET(
    payment_method,'Loan Tape (S&amp;P)'!P7753,
    occupancy,'Loan Tape (S&amp;P)'!N7753,
    maturity_date,'Loan Tape (S&amp;P)'!L7753,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54">
      <c r="J7754">
        <f>LET(
    lien,'Loan Tape (S&amp;P)'!Q7754,
    IF(lien="First",1.00,
        IF(lien="Second",1.50,
            1.70)))</f>
        <v/>
      </c>
      <c r="K7754">
        <f>LET(
    purpose,'Loan Tape (S&amp;P)'!R7754,
    IF(purpose="Purchase",1.00,
        IF(purpose="Remortgage",1.00,
            1.20)))</f>
        <v/>
      </c>
      <c r="L7754">
        <f>LET(
    arrears_months,'Loan Tape (S&amp;P)'!AN7754,
    IF(arrears_months=0,1.00,
    IF(arrears_months=1,3.00,
    IF(arrears_months=2,5.00,
    IF(arrears_months=3,8.00,
    IF(arrears_months=4,10.00,
    IF(arrears_months=5,12.00,15.00)))))))</f>
        <v/>
      </c>
      <c r="M7754">
        <f>LET(
    seasoning_years,DATEDIF('Loan Tape (S&amp;P)'!K7754,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54">
        <f>IF(AND('Loan Tape (S&amp;P)'!U7754="Yes",
        'Loan Tape (S&amp;P)'!T7754&lt;&gt;"Yes",
        DATEDIF('Loan Tape (S&amp;P)'!K7754, TODAY(), "M")&lt;18),
    1.10,
    1.00)</f>
        <v/>
      </c>
      <c r="O7754">
        <f>IF('Loan Tape (S&amp;P)'!T7754="Yes",
    1.35,
    1.00)</f>
        <v/>
      </c>
      <c r="P7754">
        <f>IF('Loan Tape (S&amp;P)'!S7754="Yes",
    1.15,
    1.00)</f>
        <v/>
      </c>
      <c r="Q7754">
        <f>IF('Loan Tape (S&amp;P)'!V7754="Yes",
    1.20,
    1.00)</f>
        <v/>
      </c>
      <c r="T7754">
        <f>LET(
    payment_method,'Loan Tape (S&amp;P)'!P7754,
    occupancy,'Loan Tape (S&amp;P)'!N7754,
    maturity_date,'Loan Tape (S&amp;P)'!L7754,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55">
      <c r="J7755">
        <f>LET(
    lien,'Loan Tape (S&amp;P)'!Q7755,
    IF(lien="First",1.00,
        IF(lien="Second",1.50,
            1.70)))</f>
        <v/>
      </c>
      <c r="K7755">
        <f>LET(
    purpose,'Loan Tape (S&amp;P)'!R7755,
    IF(purpose="Purchase",1.00,
        IF(purpose="Remortgage",1.00,
            1.20)))</f>
        <v/>
      </c>
      <c r="L7755">
        <f>LET(
    arrears_months,'Loan Tape (S&amp;P)'!AN7755,
    IF(arrears_months=0,1.00,
    IF(arrears_months=1,3.00,
    IF(arrears_months=2,5.00,
    IF(arrears_months=3,8.00,
    IF(arrears_months=4,10.00,
    IF(arrears_months=5,12.00,15.00)))))))</f>
        <v/>
      </c>
      <c r="M7755">
        <f>LET(
    seasoning_years,DATEDIF('Loan Tape (S&amp;P)'!K7755,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55">
        <f>IF(AND('Loan Tape (S&amp;P)'!U7755="Yes",
        'Loan Tape (S&amp;P)'!T7755&lt;&gt;"Yes",
        DATEDIF('Loan Tape (S&amp;P)'!K7755, TODAY(), "M")&lt;18),
    1.10,
    1.00)</f>
        <v/>
      </c>
      <c r="O7755">
        <f>IF('Loan Tape (S&amp;P)'!T7755="Yes",
    1.35,
    1.00)</f>
        <v/>
      </c>
      <c r="P7755">
        <f>IF('Loan Tape (S&amp;P)'!S7755="Yes",
    1.15,
    1.00)</f>
        <v/>
      </c>
      <c r="Q7755">
        <f>IF('Loan Tape (S&amp;P)'!V7755="Yes",
    1.20,
    1.00)</f>
        <v/>
      </c>
      <c r="T7755">
        <f>LET(
    payment_method,'Loan Tape (S&amp;P)'!P7755,
    occupancy,'Loan Tape (S&amp;P)'!N7755,
    maturity_date,'Loan Tape (S&amp;P)'!L7755,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56">
      <c r="J7756">
        <f>LET(
    lien,'Loan Tape (S&amp;P)'!Q7756,
    IF(lien="First",1.00,
        IF(lien="Second",1.50,
            1.70)))</f>
        <v/>
      </c>
      <c r="K7756">
        <f>LET(
    purpose,'Loan Tape (S&amp;P)'!R7756,
    IF(purpose="Purchase",1.00,
        IF(purpose="Remortgage",1.00,
            1.20)))</f>
        <v/>
      </c>
      <c r="L7756">
        <f>LET(
    arrears_months,'Loan Tape (S&amp;P)'!AN7756,
    IF(arrears_months=0,1.00,
    IF(arrears_months=1,3.00,
    IF(arrears_months=2,5.00,
    IF(arrears_months=3,8.00,
    IF(arrears_months=4,10.00,
    IF(arrears_months=5,12.00,15.00)))))))</f>
        <v/>
      </c>
      <c r="M7756">
        <f>LET(
    seasoning_years,DATEDIF('Loan Tape (S&amp;P)'!K7756,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56">
        <f>IF(AND('Loan Tape (S&amp;P)'!U7756="Yes",
        'Loan Tape (S&amp;P)'!T7756&lt;&gt;"Yes",
        DATEDIF('Loan Tape (S&amp;P)'!K7756, TODAY(), "M")&lt;18),
    1.10,
    1.00)</f>
        <v/>
      </c>
      <c r="O7756">
        <f>IF('Loan Tape (S&amp;P)'!T7756="Yes",
    1.35,
    1.00)</f>
        <v/>
      </c>
      <c r="P7756">
        <f>IF('Loan Tape (S&amp;P)'!S7756="Yes",
    1.15,
    1.00)</f>
        <v/>
      </c>
      <c r="Q7756">
        <f>IF('Loan Tape (S&amp;P)'!V7756="Yes",
    1.20,
    1.00)</f>
        <v/>
      </c>
      <c r="T7756">
        <f>LET(
    payment_method,'Loan Tape (S&amp;P)'!P7756,
    occupancy,'Loan Tape (S&amp;P)'!N7756,
    maturity_date,'Loan Tape (S&amp;P)'!L7756,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57">
      <c r="J7757">
        <f>LET(
    lien,'Loan Tape (S&amp;P)'!Q7757,
    IF(lien="First",1.00,
        IF(lien="Second",1.50,
            1.70)))</f>
        <v/>
      </c>
      <c r="K7757">
        <f>LET(
    purpose,'Loan Tape (S&amp;P)'!R7757,
    IF(purpose="Purchase",1.00,
        IF(purpose="Remortgage",1.00,
            1.20)))</f>
        <v/>
      </c>
      <c r="L7757">
        <f>LET(
    arrears_months,'Loan Tape (S&amp;P)'!AN7757,
    IF(arrears_months=0,1.00,
    IF(arrears_months=1,3.00,
    IF(arrears_months=2,5.00,
    IF(arrears_months=3,8.00,
    IF(arrears_months=4,10.00,
    IF(arrears_months=5,12.00,15.00)))))))</f>
        <v/>
      </c>
      <c r="M7757">
        <f>LET(
    seasoning_years,DATEDIF('Loan Tape (S&amp;P)'!K7757,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57">
        <f>IF(AND('Loan Tape (S&amp;P)'!U7757="Yes",
        'Loan Tape (S&amp;P)'!T7757&lt;&gt;"Yes",
        DATEDIF('Loan Tape (S&amp;P)'!K7757, TODAY(), "M")&lt;18),
    1.10,
    1.00)</f>
        <v/>
      </c>
      <c r="O7757">
        <f>IF('Loan Tape (S&amp;P)'!T7757="Yes",
    1.35,
    1.00)</f>
        <v/>
      </c>
      <c r="P7757">
        <f>IF('Loan Tape (S&amp;P)'!S7757="Yes",
    1.15,
    1.00)</f>
        <v/>
      </c>
      <c r="Q7757">
        <f>IF('Loan Tape (S&amp;P)'!V7757="Yes",
    1.20,
    1.00)</f>
        <v/>
      </c>
      <c r="T7757">
        <f>LET(
    payment_method,'Loan Tape (S&amp;P)'!P7757,
    occupancy,'Loan Tape (S&amp;P)'!N7757,
    maturity_date,'Loan Tape (S&amp;P)'!L7757,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58">
      <c r="J7758">
        <f>LET(
    lien,'Loan Tape (S&amp;P)'!Q7758,
    IF(lien="First",1.00,
        IF(lien="Second",1.50,
            1.70)))</f>
        <v/>
      </c>
      <c r="K7758">
        <f>LET(
    purpose,'Loan Tape (S&amp;P)'!R7758,
    IF(purpose="Purchase",1.00,
        IF(purpose="Remortgage",1.00,
            1.20)))</f>
        <v/>
      </c>
      <c r="L7758">
        <f>LET(
    arrears_months,'Loan Tape (S&amp;P)'!AN7758,
    IF(arrears_months=0,1.00,
    IF(arrears_months=1,3.00,
    IF(arrears_months=2,5.00,
    IF(arrears_months=3,8.00,
    IF(arrears_months=4,10.00,
    IF(arrears_months=5,12.00,15.00)))))))</f>
        <v/>
      </c>
      <c r="M7758">
        <f>LET(
    seasoning_years,DATEDIF('Loan Tape (S&amp;P)'!K7758,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58">
        <f>IF(AND('Loan Tape (S&amp;P)'!U7758="Yes",
        'Loan Tape (S&amp;P)'!T7758&lt;&gt;"Yes",
        DATEDIF('Loan Tape (S&amp;P)'!K7758, TODAY(), "M")&lt;18),
    1.10,
    1.00)</f>
        <v/>
      </c>
      <c r="O7758">
        <f>IF('Loan Tape (S&amp;P)'!T7758="Yes",
    1.35,
    1.00)</f>
        <v/>
      </c>
      <c r="P7758">
        <f>IF('Loan Tape (S&amp;P)'!S7758="Yes",
    1.15,
    1.00)</f>
        <v/>
      </c>
      <c r="Q7758">
        <f>IF('Loan Tape (S&amp;P)'!V7758="Yes",
    1.20,
    1.00)</f>
        <v/>
      </c>
      <c r="T7758">
        <f>LET(
    payment_method,'Loan Tape (S&amp;P)'!P7758,
    occupancy,'Loan Tape (S&amp;P)'!N7758,
    maturity_date,'Loan Tape (S&amp;P)'!L7758,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59">
      <c r="J7759">
        <f>LET(
    lien,'Loan Tape (S&amp;P)'!Q7759,
    IF(lien="First",1.00,
        IF(lien="Second",1.50,
            1.70)))</f>
        <v/>
      </c>
      <c r="K7759">
        <f>LET(
    purpose,'Loan Tape (S&amp;P)'!R7759,
    IF(purpose="Purchase",1.00,
        IF(purpose="Remortgage",1.00,
            1.20)))</f>
        <v/>
      </c>
      <c r="L7759">
        <f>LET(
    arrears_months,'Loan Tape (S&amp;P)'!AN7759,
    IF(arrears_months=0,1.00,
    IF(arrears_months=1,3.00,
    IF(arrears_months=2,5.00,
    IF(arrears_months=3,8.00,
    IF(arrears_months=4,10.00,
    IF(arrears_months=5,12.00,15.00)))))))</f>
        <v/>
      </c>
      <c r="M7759">
        <f>LET(
    seasoning_years,DATEDIF('Loan Tape (S&amp;P)'!K7759,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59">
        <f>IF(AND('Loan Tape (S&amp;P)'!U7759="Yes",
        'Loan Tape (S&amp;P)'!T7759&lt;&gt;"Yes",
        DATEDIF('Loan Tape (S&amp;P)'!K7759, TODAY(), "M")&lt;18),
    1.10,
    1.00)</f>
        <v/>
      </c>
      <c r="O7759">
        <f>IF('Loan Tape (S&amp;P)'!T7759="Yes",
    1.35,
    1.00)</f>
        <v/>
      </c>
      <c r="P7759">
        <f>IF('Loan Tape (S&amp;P)'!S7759="Yes",
    1.15,
    1.00)</f>
        <v/>
      </c>
      <c r="Q7759">
        <f>IF('Loan Tape (S&amp;P)'!V7759="Yes",
    1.20,
    1.00)</f>
        <v/>
      </c>
      <c r="T7759">
        <f>LET(
    payment_method,'Loan Tape (S&amp;P)'!P7759,
    occupancy,'Loan Tape (S&amp;P)'!N7759,
    maturity_date,'Loan Tape (S&amp;P)'!L7759,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60">
      <c r="J7760">
        <f>LET(
    lien,'Loan Tape (S&amp;P)'!Q7760,
    IF(lien="First",1.00,
        IF(lien="Second",1.50,
            1.70)))</f>
        <v/>
      </c>
      <c r="K7760">
        <f>LET(
    purpose,'Loan Tape (S&amp;P)'!R7760,
    IF(purpose="Purchase",1.00,
        IF(purpose="Remortgage",1.00,
            1.20)))</f>
        <v/>
      </c>
      <c r="L7760">
        <f>LET(
    arrears_months,'Loan Tape (S&amp;P)'!AN7760,
    IF(arrears_months=0,1.00,
    IF(arrears_months=1,3.00,
    IF(arrears_months=2,5.00,
    IF(arrears_months=3,8.00,
    IF(arrears_months=4,10.00,
    IF(arrears_months=5,12.00,15.00)))))))</f>
        <v/>
      </c>
      <c r="M7760">
        <f>LET(
    seasoning_years,DATEDIF('Loan Tape (S&amp;P)'!K7760,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60">
        <f>IF(AND('Loan Tape (S&amp;P)'!U7760="Yes",
        'Loan Tape (S&amp;P)'!T7760&lt;&gt;"Yes",
        DATEDIF('Loan Tape (S&amp;P)'!K7760, TODAY(), "M")&lt;18),
    1.10,
    1.00)</f>
        <v/>
      </c>
      <c r="O7760">
        <f>IF('Loan Tape (S&amp;P)'!T7760="Yes",
    1.35,
    1.00)</f>
        <v/>
      </c>
      <c r="P7760">
        <f>IF('Loan Tape (S&amp;P)'!S7760="Yes",
    1.15,
    1.00)</f>
        <v/>
      </c>
      <c r="Q7760">
        <f>IF('Loan Tape (S&amp;P)'!V7760="Yes",
    1.20,
    1.00)</f>
        <v/>
      </c>
      <c r="T7760">
        <f>LET(
    payment_method,'Loan Tape (S&amp;P)'!P7760,
    occupancy,'Loan Tape (S&amp;P)'!N7760,
    maturity_date,'Loan Tape (S&amp;P)'!L7760,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61">
      <c r="J7761">
        <f>LET(
    lien,'Loan Tape (S&amp;P)'!Q7761,
    IF(lien="First",1.00,
        IF(lien="Second",1.50,
            1.70)))</f>
        <v/>
      </c>
      <c r="K7761">
        <f>LET(
    purpose,'Loan Tape (S&amp;P)'!R7761,
    IF(purpose="Purchase",1.00,
        IF(purpose="Remortgage",1.00,
            1.20)))</f>
        <v/>
      </c>
      <c r="L7761">
        <f>LET(
    arrears_months,'Loan Tape (S&amp;P)'!AN7761,
    IF(arrears_months=0,1.00,
    IF(arrears_months=1,3.00,
    IF(arrears_months=2,5.00,
    IF(arrears_months=3,8.00,
    IF(arrears_months=4,10.00,
    IF(arrears_months=5,12.00,15.00)))))))</f>
        <v/>
      </c>
      <c r="M7761">
        <f>LET(
    seasoning_years,DATEDIF('Loan Tape (S&amp;P)'!K7761,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61">
        <f>IF(AND('Loan Tape (S&amp;P)'!U7761="Yes",
        'Loan Tape (S&amp;P)'!T7761&lt;&gt;"Yes",
        DATEDIF('Loan Tape (S&amp;P)'!K7761, TODAY(), "M")&lt;18),
    1.10,
    1.00)</f>
        <v/>
      </c>
      <c r="O7761">
        <f>IF('Loan Tape (S&amp;P)'!T7761="Yes",
    1.35,
    1.00)</f>
        <v/>
      </c>
      <c r="P7761">
        <f>IF('Loan Tape (S&amp;P)'!S7761="Yes",
    1.15,
    1.00)</f>
        <v/>
      </c>
      <c r="Q7761">
        <f>IF('Loan Tape (S&amp;P)'!V7761="Yes",
    1.20,
    1.00)</f>
        <v/>
      </c>
      <c r="T7761">
        <f>LET(
    payment_method,'Loan Tape (S&amp;P)'!P7761,
    occupancy,'Loan Tape (S&amp;P)'!N7761,
    maturity_date,'Loan Tape (S&amp;P)'!L7761,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62">
      <c r="J7762">
        <f>LET(
    lien,'Loan Tape (S&amp;P)'!Q7762,
    IF(lien="First",1.00,
        IF(lien="Second",1.50,
            1.70)))</f>
        <v/>
      </c>
      <c r="K7762">
        <f>LET(
    purpose,'Loan Tape (S&amp;P)'!R7762,
    IF(purpose="Purchase",1.00,
        IF(purpose="Remortgage",1.00,
            1.20)))</f>
        <v/>
      </c>
      <c r="L7762">
        <f>LET(
    arrears_months,'Loan Tape (S&amp;P)'!AN7762,
    IF(arrears_months=0,1.00,
    IF(arrears_months=1,3.00,
    IF(arrears_months=2,5.00,
    IF(arrears_months=3,8.00,
    IF(arrears_months=4,10.00,
    IF(arrears_months=5,12.00,15.00)))))))</f>
        <v/>
      </c>
      <c r="M7762">
        <f>LET(
    seasoning_years,DATEDIF('Loan Tape (S&amp;P)'!K7762,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62">
        <f>IF(AND('Loan Tape (S&amp;P)'!U7762="Yes",
        'Loan Tape (S&amp;P)'!T7762&lt;&gt;"Yes",
        DATEDIF('Loan Tape (S&amp;P)'!K7762, TODAY(), "M")&lt;18),
    1.10,
    1.00)</f>
        <v/>
      </c>
      <c r="O7762">
        <f>IF('Loan Tape (S&amp;P)'!T7762="Yes",
    1.35,
    1.00)</f>
        <v/>
      </c>
      <c r="P7762">
        <f>IF('Loan Tape (S&amp;P)'!S7762="Yes",
    1.15,
    1.00)</f>
        <v/>
      </c>
      <c r="Q7762">
        <f>IF('Loan Tape (S&amp;P)'!V7762="Yes",
    1.20,
    1.00)</f>
        <v/>
      </c>
      <c r="T7762">
        <f>LET(
    payment_method,'Loan Tape (S&amp;P)'!P7762,
    occupancy,'Loan Tape (S&amp;P)'!N7762,
    maturity_date,'Loan Tape (S&amp;P)'!L7762,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63">
      <c r="J7763">
        <f>LET(
    lien,'Loan Tape (S&amp;P)'!Q7763,
    IF(lien="First",1.00,
        IF(lien="Second",1.50,
            1.70)))</f>
        <v/>
      </c>
      <c r="K7763">
        <f>LET(
    purpose,'Loan Tape (S&amp;P)'!R7763,
    IF(purpose="Purchase",1.00,
        IF(purpose="Remortgage",1.00,
            1.20)))</f>
        <v/>
      </c>
      <c r="L7763">
        <f>LET(
    arrears_months,'Loan Tape (S&amp;P)'!AN7763,
    IF(arrears_months=0,1.00,
    IF(arrears_months=1,3.00,
    IF(arrears_months=2,5.00,
    IF(arrears_months=3,8.00,
    IF(arrears_months=4,10.00,
    IF(arrears_months=5,12.00,15.00)))))))</f>
        <v/>
      </c>
      <c r="M7763">
        <f>LET(
    seasoning_years,DATEDIF('Loan Tape (S&amp;P)'!K7763,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63">
        <f>IF(AND('Loan Tape (S&amp;P)'!U7763="Yes",
        'Loan Tape (S&amp;P)'!T7763&lt;&gt;"Yes",
        DATEDIF('Loan Tape (S&amp;P)'!K7763, TODAY(), "M")&lt;18),
    1.10,
    1.00)</f>
        <v/>
      </c>
      <c r="O7763">
        <f>IF('Loan Tape (S&amp;P)'!T7763="Yes",
    1.35,
    1.00)</f>
        <v/>
      </c>
      <c r="P7763">
        <f>IF('Loan Tape (S&amp;P)'!S7763="Yes",
    1.15,
    1.00)</f>
        <v/>
      </c>
      <c r="Q7763">
        <f>IF('Loan Tape (S&amp;P)'!V7763="Yes",
    1.20,
    1.00)</f>
        <v/>
      </c>
      <c r="T7763">
        <f>LET(
    payment_method,'Loan Tape (S&amp;P)'!P7763,
    occupancy,'Loan Tape (S&amp;P)'!N7763,
    maturity_date,'Loan Tape (S&amp;P)'!L7763,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64">
      <c r="J7764">
        <f>LET(
    lien,'Loan Tape (S&amp;P)'!Q7764,
    IF(lien="First",1.00,
        IF(lien="Second",1.50,
            1.70)))</f>
        <v/>
      </c>
      <c r="K7764">
        <f>LET(
    purpose,'Loan Tape (S&amp;P)'!R7764,
    IF(purpose="Purchase",1.00,
        IF(purpose="Remortgage",1.00,
            1.20)))</f>
        <v/>
      </c>
      <c r="L7764">
        <f>LET(
    arrears_months,'Loan Tape (S&amp;P)'!AN7764,
    IF(arrears_months=0,1.00,
    IF(arrears_months=1,3.00,
    IF(arrears_months=2,5.00,
    IF(arrears_months=3,8.00,
    IF(arrears_months=4,10.00,
    IF(arrears_months=5,12.00,15.00)))))))</f>
        <v/>
      </c>
      <c r="M7764">
        <f>LET(
    seasoning_years,DATEDIF('Loan Tape (S&amp;P)'!K7764,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64">
        <f>IF(AND('Loan Tape (S&amp;P)'!U7764="Yes",
        'Loan Tape (S&amp;P)'!T7764&lt;&gt;"Yes",
        DATEDIF('Loan Tape (S&amp;P)'!K7764, TODAY(), "M")&lt;18),
    1.10,
    1.00)</f>
        <v/>
      </c>
      <c r="O7764">
        <f>IF('Loan Tape (S&amp;P)'!T7764="Yes",
    1.35,
    1.00)</f>
        <v/>
      </c>
      <c r="P7764">
        <f>IF('Loan Tape (S&amp;P)'!S7764="Yes",
    1.15,
    1.00)</f>
        <v/>
      </c>
      <c r="Q7764">
        <f>IF('Loan Tape (S&amp;P)'!V7764="Yes",
    1.20,
    1.00)</f>
        <v/>
      </c>
      <c r="T7764">
        <f>LET(
    payment_method,'Loan Tape (S&amp;P)'!P7764,
    occupancy,'Loan Tape (S&amp;P)'!N7764,
    maturity_date,'Loan Tape (S&amp;P)'!L7764,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65">
      <c r="J7765">
        <f>LET(
    lien,'Loan Tape (S&amp;P)'!Q7765,
    IF(lien="First",1.00,
        IF(lien="Second",1.50,
            1.70)))</f>
        <v/>
      </c>
      <c r="K7765">
        <f>LET(
    purpose,'Loan Tape (S&amp;P)'!R7765,
    IF(purpose="Purchase",1.00,
        IF(purpose="Remortgage",1.00,
            1.20)))</f>
        <v/>
      </c>
      <c r="L7765">
        <f>LET(
    arrears_months,'Loan Tape (S&amp;P)'!AN7765,
    IF(arrears_months=0,1.00,
    IF(arrears_months=1,3.00,
    IF(arrears_months=2,5.00,
    IF(arrears_months=3,8.00,
    IF(arrears_months=4,10.00,
    IF(arrears_months=5,12.00,15.00)))))))</f>
        <v/>
      </c>
      <c r="M7765">
        <f>LET(
    seasoning_years,DATEDIF('Loan Tape (S&amp;P)'!K7765,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65">
        <f>IF(AND('Loan Tape (S&amp;P)'!U7765="Yes",
        'Loan Tape (S&amp;P)'!T7765&lt;&gt;"Yes",
        DATEDIF('Loan Tape (S&amp;P)'!K7765, TODAY(), "M")&lt;18),
    1.10,
    1.00)</f>
        <v/>
      </c>
      <c r="O7765">
        <f>IF('Loan Tape (S&amp;P)'!T7765="Yes",
    1.35,
    1.00)</f>
        <v/>
      </c>
      <c r="P7765">
        <f>IF('Loan Tape (S&amp;P)'!S7765="Yes",
    1.15,
    1.00)</f>
        <v/>
      </c>
      <c r="Q7765">
        <f>IF('Loan Tape (S&amp;P)'!V7765="Yes",
    1.20,
    1.00)</f>
        <v/>
      </c>
      <c r="T7765">
        <f>LET(
    payment_method,'Loan Tape (S&amp;P)'!P7765,
    occupancy,'Loan Tape (S&amp;P)'!N7765,
    maturity_date,'Loan Tape (S&amp;P)'!L7765,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66">
      <c r="J7766">
        <f>LET(
    lien,'Loan Tape (S&amp;P)'!Q7766,
    IF(lien="First",1.00,
        IF(lien="Second",1.50,
            1.70)))</f>
        <v/>
      </c>
      <c r="K7766">
        <f>LET(
    purpose,'Loan Tape (S&amp;P)'!R7766,
    IF(purpose="Purchase",1.00,
        IF(purpose="Remortgage",1.00,
            1.20)))</f>
        <v/>
      </c>
      <c r="L7766">
        <f>LET(
    arrears_months,'Loan Tape (S&amp;P)'!AN7766,
    IF(arrears_months=0,1.00,
    IF(arrears_months=1,3.00,
    IF(arrears_months=2,5.00,
    IF(arrears_months=3,8.00,
    IF(arrears_months=4,10.00,
    IF(arrears_months=5,12.00,15.00)))))))</f>
        <v/>
      </c>
      <c r="M7766">
        <f>LET(
    seasoning_years,DATEDIF('Loan Tape (S&amp;P)'!K7766,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66">
        <f>IF(AND('Loan Tape (S&amp;P)'!U7766="Yes",
        'Loan Tape (S&amp;P)'!T7766&lt;&gt;"Yes",
        DATEDIF('Loan Tape (S&amp;P)'!K7766, TODAY(), "M")&lt;18),
    1.10,
    1.00)</f>
        <v/>
      </c>
      <c r="O7766">
        <f>IF('Loan Tape (S&amp;P)'!T7766="Yes",
    1.35,
    1.00)</f>
        <v/>
      </c>
      <c r="P7766">
        <f>IF('Loan Tape (S&amp;P)'!S7766="Yes",
    1.15,
    1.00)</f>
        <v/>
      </c>
      <c r="Q7766">
        <f>IF('Loan Tape (S&amp;P)'!V7766="Yes",
    1.20,
    1.00)</f>
        <v/>
      </c>
      <c r="T7766">
        <f>LET(
    payment_method,'Loan Tape (S&amp;P)'!P7766,
    occupancy,'Loan Tape (S&amp;P)'!N7766,
    maturity_date,'Loan Tape (S&amp;P)'!L7766,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67">
      <c r="J7767">
        <f>LET(
    lien,'Loan Tape (S&amp;P)'!Q7767,
    IF(lien="First",1.00,
        IF(lien="Second",1.50,
            1.70)))</f>
        <v/>
      </c>
      <c r="K7767">
        <f>LET(
    purpose,'Loan Tape (S&amp;P)'!R7767,
    IF(purpose="Purchase",1.00,
        IF(purpose="Remortgage",1.00,
            1.20)))</f>
        <v/>
      </c>
      <c r="L7767">
        <f>LET(
    arrears_months,'Loan Tape (S&amp;P)'!AN7767,
    IF(arrears_months=0,1.00,
    IF(arrears_months=1,3.00,
    IF(arrears_months=2,5.00,
    IF(arrears_months=3,8.00,
    IF(arrears_months=4,10.00,
    IF(arrears_months=5,12.00,15.00)))))))</f>
        <v/>
      </c>
      <c r="M7767">
        <f>LET(
    seasoning_years,DATEDIF('Loan Tape (S&amp;P)'!K7767,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67">
        <f>IF(AND('Loan Tape (S&amp;P)'!U7767="Yes",
        'Loan Tape (S&amp;P)'!T7767&lt;&gt;"Yes",
        DATEDIF('Loan Tape (S&amp;P)'!K7767, TODAY(), "M")&lt;18),
    1.10,
    1.00)</f>
        <v/>
      </c>
      <c r="O7767">
        <f>IF('Loan Tape (S&amp;P)'!T7767="Yes",
    1.35,
    1.00)</f>
        <v/>
      </c>
      <c r="P7767">
        <f>IF('Loan Tape (S&amp;P)'!S7767="Yes",
    1.15,
    1.00)</f>
        <v/>
      </c>
      <c r="Q7767">
        <f>IF('Loan Tape (S&amp;P)'!V7767="Yes",
    1.20,
    1.00)</f>
        <v/>
      </c>
      <c r="T7767">
        <f>LET(
    payment_method,'Loan Tape (S&amp;P)'!P7767,
    occupancy,'Loan Tape (S&amp;P)'!N7767,
    maturity_date,'Loan Tape (S&amp;P)'!L7767,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68">
      <c r="J7768">
        <f>LET(
    lien,'Loan Tape (S&amp;P)'!Q7768,
    IF(lien="First",1.00,
        IF(lien="Second",1.50,
            1.70)))</f>
        <v/>
      </c>
      <c r="K7768">
        <f>LET(
    purpose,'Loan Tape (S&amp;P)'!R7768,
    IF(purpose="Purchase",1.00,
        IF(purpose="Remortgage",1.00,
            1.20)))</f>
        <v/>
      </c>
      <c r="L7768">
        <f>LET(
    arrears_months,'Loan Tape (S&amp;P)'!AN7768,
    IF(arrears_months=0,1.00,
    IF(arrears_months=1,3.00,
    IF(arrears_months=2,5.00,
    IF(arrears_months=3,8.00,
    IF(arrears_months=4,10.00,
    IF(arrears_months=5,12.00,15.00)))))))</f>
        <v/>
      </c>
      <c r="M7768">
        <f>LET(
    seasoning_years,DATEDIF('Loan Tape (S&amp;P)'!K7768,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68">
        <f>IF(AND('Loan Tape (S&amp;P)'!U7768="Yes",
        'Loan Tape (S&amp;P)'!T7768&lt;&gt;"Yes",
        DATEDIF('Loan Tape (S&amp;P)'!K7768, TODAY(), "M")&lt;18),
    1.10,
    1.00)</f>
        <v/>
      </c>
      <c r="O7768">
        <f>IF('Loan Tape (S&amp;P)'!T7768="Yes",
    1.35,
    1.00)</f>
        <v/>
      </c>
      <c r="P7768">
        <f>IF('Loan Tape (S&amp;P)'!S7768="Yes",
    1.15,
    1.00)</f>
        <v/>
      </c>
      <c r="Q7768">
        <f>IF('Loan Tape (S&amp;P)'!V7768="Yes",
    1.20,
    1.00)</f>
        <v/>
      </c>
      <c r="T7768">
        <f>LET(
    payment_method,'Loan Tape (S&amp;P)'!P7768,
    occupancy,'Loan Tape (S&amp;P)'!N7768,
    maturity_date,'Loan Tape (S&amp;P)'!L7768,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69">
      <c r="J7769">
        <f>LET(
    lien,'Loan Tape (S&amp;P)'!Q7769,
    IF(lien="First",1.00,
        IF(lien="Second",1.50,
            1.70)))</f>
        <v/>
      </c>
      <c r="K7769">
        <f>LET(
    purpose,'Loan Tape (S&amp;P)'!R7769,
    IF(purpose="Purchase",1.00,
        IF(purpose="Remortgage",1.00,
            1.20)))</f>
        <v/>
      </c>
      <c r="L7769">
        <f>LET(
    arrears_months,'Loan Tape (S&amp;P)'!AN7769,
    IF(arrears_months=0,1.00,
    IF(arrears_months=1,3.00,
    IF(arrears_months=2,5.00,
    IF(arrears_months=3,8.00,
    IF(arrears_months=4,10.00,
    IF(arrears_months=5,12.00,15.00)))))))</f>
        <v/>
      </c>
      <c r="M7769">
        <f>LET(
    seasoning_years,DATEDIF('Loan Tape (S&amp;P)'!K7769,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69">
        <f>IF(AND('Loan Tape (S&amp;P)'!U7769="Yes",
        'Loan Tape (S&amp;P)'!T7769&lt;&gt;"Yes",
        DATEDIF('Loan Tape (S&amp;P)'!K7769, TODAY(), "M")&lt;18),
    1.10,
    1.00)</f>
        <v/>
      </c>
      <c r="O7769">
        <f>IF('Loan Tape (S&amp;P)'!T7769="Yes",
    1.35,
    1.00)</f>
        <v/>
      </c>
      <c r="P7769">
        <f>IF('Loan Tape (S&amp;P)'!S7769="Yes",
    1.15,
    1.00)</f>
        <v/>
      </c>
      <c r="Q7769">
        <f>IF('Loan Tape (S&amp;P)'!V7769="Yes",
    1.20,
    1.00)</f>
        <v/>
      </c>
      <c r="T7769">
        <f>LET(
    payment_method,'Loan Tape (S&amp;P)'!P7769,
    occupancy,'Loan Tape (S&amp;P)'!N7769,
    maturity_date,'Loan Tape (S&amp;P)'!L7769,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70">
      <c r="J7770">
        <f>LET(
    lien,'Loan Tape (S&amp;P)'!Q7770,
    IF(lien="First",1.00,
        IF(lien="Second",1.50,
            1.70)))</f>
        <v/>
      </c>
      <c r="K7770">
        <f>LET(
    purpose,'Loan Tape (S&amp;P)'!R7770,
    IF(purpose="Purchase",1.00,
        IF(purpose="Remortgage",1.00,
            1.20)))</f>
        <v/>
      </c>
      <c r="L7770">
        <f>LET(
    arrears_months,'Loan Tape (S&amp;P)'!AN7770,
    IF(arrears_months=0,1.00,
    IF(arrears_months=1,3.00,
    IF(arrears_months=2,5.00,
    IF(arrears_months=3,8.00,
    IF(arrears_months=4,10.00,
    IF(arrears_months=5,12.00,15.00)))))))</f>
        <v/>
      </c>
      <c r="M7770">
        <f>LET(
    seasoning_years,DATEDIF('Loan Tape (S&amp;P)'!K7770,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70">
        <f>IF(AND('Loan Tape (S&amp;P)'!U7770="Yes",
        'Loan Tape (S&amp;P)'!T7770&lt;&gt;"Yes",
        DATEDIF('Loan Tape (S&amp;P)'!K7770, TODAY(), "M")&lt;18),
    1.10,
    1.00)</f>
        <v/>
      </c>
      <c r="O7770">
        <f>IF('Loan Tape (S&amp;P)'!T7770="Yes",
    1.35,
    1.00)</f>
        <v/>
      </c>
      <c r="P7770">
        <f>IF('Loan Tape (S&amp;P)'!S7770="Yes",
    1.15,
    1.00)</f>
        <v/>
      </c>
      <c r="Q7770">
        <f>IF('Loan Tape (S&amp;P)'!V7770="Yes",
    1.20,
    1.00)</f>
        <v/>
      </c>
      <c r="T7770">
        <f>LET(
    payment_method,'Loan Tape (S&amp;P)'!P7770,
    occupancy,'Loan Tape (S&amp;P)'!N7770,
    maturity_date,'Loan Tape (S&amp;P)'!L7770,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71">
      <c r="J7771">
        <f>LET(
    lien,'Loan Tape (S&amp;P)'!Q7771,
    IF(lien="First",1.00,
        IF(lien="Second",1.50,
            1.70)))</f>
        <v/>
      </c>
      <c r="K7771">
        <f>LET(
    purpose,'Loan Tape (S&amp;P)'!R7771,
    IF(purpose="Purchase",1.00,
        IF(purpose="Remortgage",1.00,
            1.20)))</f>
        <v/>
      </c>
      <c r="L7771">
        <f>LET(
    arrears_months,'Loan Tape (S&amp;P)'!AN7771,
    IF(arrears_months=0,1.00,
    IF(arrears_months=1,3.00,
    IF(arrears_months=2,5.00,
    IF(arrears_months=3,8.00,
    IF(arrears_months=4,10.00,
    IF(arrears_months=5,12.00,15.00)))))))</f>
        <v/>
      </c>
      <c r="M7771">
        <f>LET(
    seasoning_years,DATEDIF('Loan Tape (S&amp;P)'!K7771,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71">
        <f>IF(AND('Loan Tape (S&amp;P)'!U7771="Yes",
        'Loan Tape (S&amp;P)'!T7771&lt;&gt;"Yes",
        DATEDIF('Loan Tape (S&amp;P)'!K7771, TODAY(), "M")&lt;18),
    1.10,
    1.00)</f>
        <v/>
      </c>
      <c r="O7771">
        <f>IF('Loan Tape (S&amp;P)'!T7771="Yes",
    1.35,
    1.00)</f>
        <v/>
      </c>
      <c r="P7771">
        <f>IF('Loan Tape (S&amp;P)'!S7771="Yes",
    1.15,
    1.00)</f>
        <v/>
      </c>
      <c r="Q7771">
        <f>IF('Loan Tape (S&amp;P)'!V7771="Yes",
    1.20,
    1.00)</f>
        <v/>
      </c>
      <c r="T7771">
        <f>LET(
    payment_method,'Loan Tape (S&amp;P)'!P7771,
    occupancy,'Loan Tape (S&amp;P)'!N7771,
    maturity_date,'Loan Tape (S&amp;P)'!L7771,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72">
      <c r="J7772">
        <f>LET(
    lien,'Loan Tape (S&amp;P)'!Q7772,
    IF(lien="First",1.00,
        IF(lien="Second",1.50,
            1.70)))</f>
        <v/>
      </c>
      <c r="K7772">
        <f>LET(
    purpose,'Loan Tape (S&amp;P)'!R7772,
    IF(purpose="Purchase",1.00,
        IF(purpose="Remortgage",1.00,
            1.20)))</f>
        <v/>
      </c>
      <c r="L7772">
        <f>LET(
    arrears_months,'Loan Tape (S&amp;P)'!AN7772,
    IF(arrears_months=0,1.00,
    IF(arrears_months=1,3.00,
    IF(arrears_months=2,5.00,
    IF(arrears_months=3,8.00,
    IF(arrears_months=4,10.00,
    IF(arrears_months=5,12.00,15.00)))))))</f>
        <v/>
      </c>
      <c r="M7772">
        <f>LET(
    seasoning_years,DATEDIF('Loan Tape (S&amp;P)'!K7772,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72">
        <f>IF(AND('Loan Tape (S&amp;P)'!U7772="Yes",
        'Loan Tape (S&amp;P)'!T7772&lt;&gt;"Yes",
        DATEDIF('Loan Tape (S&amp;P)'!K7772, TODAY(), "M")&lt;18),
    1.10,
    1.00)</f>
        <v/>
      </c>
      <c r="O7772">
        <f>IF('Loan Tape (S&amp;P)'!T7772="Yes",
    1.35,
    1.00)</f>
        <v/>
      </c>
      <c r="P7772">
        <f>IF('Loan Tape (S&amp;P)'!S7772="Yes",
    1.15,
    1.00)</f>
        <v/>
      </c>
      <c r="Q7772">
        <f>IF('Loan Tape (S&amp;P)'!V7772="Yes",
    1.20,
    1.00)</f>
        <v/>
      </c>
      <c r="T7772">
        <f>LET(
    payment_method,'Loan Tape (S&amp;P)'!P7772,
    occupancy,'Loan Tape (S&amp;P)'!N7772,
    maturity_date,'Loan Tape (S&amp;P)'!L7772,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73">
      <c r="J7773">
        <f>LET(
    lien,'Loan Tape (S&amp;P)'!Q7773,
    IF(lien="First",1.00,
        IF(lien="Second",1.50,
            1.70)))</f>
        <v/>
      </c>
      <c r="K7773">
        <f>LET(
    purpose,'Loan Tape (S&amp;P)'!R7773,
    IF(purpose="Purchase",1.00,
        IF(purpose="Remortgage",1.00,
            1.20)))</f>
        <v/>
      </c>
      <c r="L7773">
        <f>LET(
    arrears_months,'Loan Tape (S&amp;P)'!AN7773,
    IF(arrears_months=0,1.00,
    IF(arrears_months=1,3.00,
    IF(arrears_months=2,5.00,
    IF(arrears_months=3,8.00,
    IF(arrears_months=4,10.00,
    IF(arrears_months=5,12.00,15.00)))))))</f>
        <v/>
      </c>
      <c r="M7773">
        <f>LET(
    seasoning_years,DATEDIF('Loan Tape (S&amp;P)'!K7773,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73">
        <f>IF(AND('Loan Tape (S&amp;P)'!U7773="Yes",
        'Loan Tape (S&amp;P)'!T7773&lt;&gt;"Yes",
        DATEDIF('Loan Tape (S&amp;P)'!K7773, TODAY(), "M")&lt;18),
    1.10,
    1.00)</f>
        <v/>
      </c>
      <c r="O7773">
        <f>IF('Loan Tape (S&amp;P)'!T7773="Yes",
    1.35,
    1.00)</f>
        <v/>
      </c>
      <c r="P7773">
        <f>IF('Loan Tape (S&amp;P)'!S7773="Yes",
    1.15,
    1.00)</f>
        <v/>
      </c>
      <c r="Q7773">
        <f>IF('Loan Tape (S&amp;P)'!V7773="Yes",
    1.20,
    1.00)</f>
        <v/>
      </c>
      <c r="T7773">
        <f>LET(
    payment_method,'Loan Tape (S&amp;P)'!P7773,
    occupancy,'Loan Tape (S&amp;P)'!N7773,
    maturity_date,'Loan Tape (S&amp;P)'!L7773,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74">
      <c r="J7774">
        <f>LET(
    lien,'Loan Tape (S&amp;P)'!Q7774,
    IF(lien="First",1.00,
        IF(lien="Second",1.50,
            1.70)))</f>
        <v/>
      </c>
      <c r="K7774">
        <f>LET(
    purpose,'Loan Tape (S&amp;P)'!R7774,
    IF(purpose="Purchase",1.00,
        IF(purpose="Remortgage",1.00,
            1.20)))</f>
        <v/>
      </c>
      <c r="L7774">
        <f>LET(
    arrears_months,'Loan Tape (S&amp;P)'!AN7774,
    IF(arrears_months=0,1.00,
    IF(arrears_months=1,3.00,
    IF(arrears_months=2,5.00,
    IF(arrears_months=3,8.00,
    IF(arrears_months=4,10.00,
    IF(arrears_months=5,12.00,15.00)))))))</f>
        <v/>
      </c>
      <c r="M7774">
        <f>LET(
    seasoning_years,DATEDIF('Loan Tape (S&amp;P)'!K7774,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74">
        <f>IF(AND('Loan Tape (S&amp;P)'!U7774="Yes",
        'Loan Tape (S&amp;P)'!T7774&lt;&gt;"Yes",
        DATEDIF('Loan Tape (S&amp;P)'!K7774, TODAY(), "M")&lt;18),
    1.10,
    1.00)</f>
        <v/>
      </c>
      <c r="O7774">
        <f>IF('Loan Tape (S&amp;P)'!T7774="Yes",
    1.35,
    1.00)</f>
        <v/>
      </c>
      <c r="P7774">
        <f>IF('Loan Tape (S&amp;P)'!S7774="Yes",
    1.15,
    1.00)</f>
        <v/>
      </c>
      <c r="Q7774">
        <f>IF('Loan Tape (S&amp;P)'!V7774="Yes",
    1.20,
    1.00)</f>
        <v/>
      </c>
      <c r="T7774">
        <f>LET(
    payment_method,'Loan Tape (S&amp;P)'!P7774,
    occupancy,'Loan Tape (S&amp;P)'!N7774,
    maturity_date,'Loan Tape (S&amp;P)'!L7774,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75">
      <c r="J7775">
        <f>LET(
    lien,'Loan Tape (S&amp;P)'!Q7775,
    IF(lien="First",1.00,
        IF(lien="Second",1.50,
            1.70)))</f>
        <v/>
      </c>
      <c r="K7775">
        <f>LET(
    purpose,'Loan Tape (S&amp;P)'!R7775,
    IF(purpose="Purchase",1.00,
        IF(purpose="Remortgage",1.00,
            1.20)))</f>
        <v/>
      </c>
      <c r="L7775">
        <f>LET(
    arrears_months,'Loan Tape (S&amp;P)'!AN7775,
    IF(arrears_months=0,1.00,
    IF(arrears_months=1,3.00,
    IF(arrears_months=2,5.00,
    IF(arrears_months=3,8.00,
    IF(arrears_months=4,10.00,
    IF(arrears_months=5,12.00,15.00)))))))</f>
        <v/>
      </c>
      <c r="M7775">
        <f>LET(
    seasoning_years,DATEDIF('Loan Tape (S&amp;P)'!K7775,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75">
        <f>IF(AND('Loan Tape (S&amp;P)'!U7775="Yes",
        'Loan Tape (S&amp;P)'!T7775&lt;&gt;"Yes",
        DATEDIF('Loan Tape (S&amp;P)'!K7775, TODAY(), "M")&lt;18),
    1.10,
    1.00)</f>
        <v/>
      </c>
      <c r="O7775">
        <f>IF('Loan Tape (S&amp;P)'!T7775="Yes",
    1.35,
    1.00)</f>
        <v/>
      </c>
      <c r="P7775">
        <f>IF('Loan Tape (S&amp;P)'!S7775="Yes",
    1.15,
    1.00)</f>
        <v/>
      </c>
      <c r="Q7775">
        <f>IF('Loan Tape (S&amp;P)'!V7775="Yes",
    1.20,
    1.00)</f>
        <v/>
      </c>
      <c r="T7775">
        <f>LET(
    payment_method,'Loan Tape (S&amp;P)'!P7775,
    occupancy,'Loan Tape (S&amp;P)'!N7775,
    maturity_date,'Loan Tape (S&amp;P)'!L7775,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76">
      <c r="J7776">
        <f>LET(
    lien,'Loan Tape (S&amp;P)'!Q7776,
    IF(lien="First",1.00,
        IF(lien="Second",1.50,
            1.70)))</f>
        <v/>
      </c>
      <c r="K7776">
        <f>LET(
    purpose,'Loan Tape (S&amp;P)'!R7776,
    IF(purpose="Purchase",1.00,
        IF(purpose="Remortgage",1.00,
            1.20)))</f>
        <v/>
      </c>
      <c r="L7776">
        <f>LET(
    arrears_months,'Loan Tape (S&amp;P)'!AN7776,
    IF(arrears_months=0,1.00,
    IF(arrears_months=1,3.00,
    IF(arrears_months=2,5.00,
    IF(arrears_months=3,8.00,
    IF(arrears_months=4,10.00,
    IF(arrears_months=5,12.00,15.00)))))))</f>
        <v/>
      </c>
      <c r="M7776">
        <f>LET(
    seasoning_years,DATEDIF('Loan Tape (S&amp;P)'!K7776,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76">
        <f>IF(AND('Loan Tape (S&amp;P)'!U7776="Yes",
        'Loan Tape (S&amp;P)'!T7776&lt;&gt;"Yes",
        DATEDIF('Loan Tape (S&amp;P)'!K7776, TODAY(), "M")&lt;18),
    1.10,
    1.00)</f>
        <v/>
      </c>
      <c r="O7776">
        <f>IF('Loan Tape (S&amp;P)'!T7776="Yes",
    1.35,
    1.00)</f>
        <v/>
      </c>
      <c r="P7776">
        <f>IF('Loan Tape (S&amp;P)'!S7776="Yes",
    1.15,
    1.00)</f>
        <v/>
      </c>
      <c r="Q7776">
        <f>IF('Loan Tape (S&amp;P)'!V7776="Yes",
    1.20,
    1.00)</f>
        <v/>
      </c>
      <c r="T7776">
        <f>LET(
    payment_method,'Loan Tape (S&amp;P)'!P7776,
    occupancy,'Loan Tape (S&amp;P)'!N7776,
    maturity_date,'Loan Tape (S&amp;P)'!L7776,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77">
      <c r="J7777">
        <f>LET(
    lien,'Loan Tape (S&amp;P)'!Q7777,
    IF(lien="First",1.00,
        IF(lien="Second",1.50,
            1.70)))</f>
        <v/>
      </c>
      <c r="K7777">
        <f>LET(
    purpose,'Loan Tape (S&amp;P)'!R7777,
    IF(purpose="Purchase",1.00,
        IF(purpose="Remortgage",1.00,
            1.20)))</f>
        <v/>
      </c>
      <c r="L7777">
        <f>LET(
    arrears_months,'Loan Tape (S&amp;P)'!AN7777,
    IF(arrears_months=0,1.00,
    IF(arrears_months=1,3.00,
    IF(arrears_months=2,5.00,
    IF(arrears_months=3,8.00,
    IF(arrears_months=4,10.00,
    IF(arrears_months=5,12.00,15.00)))))))</f>
        <v/>
      </c>
      <c r="M7777">
        <f>LET(
    seasoning_years,DATEDIF('Loan Tape (S&amp;P)'!K7777,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77">
        <f>IF(AND('Loan Tape (S&amp;P)'!U7777="Yes",
        'Loan Tape (S&amp;P)'!T7777&lt;&gt;"Yes",
        DATEDIF('Loan Tape (S&amp;P)'!K7777, TODAY(), "M")&lt;18),
    1.10,
    1.00)</f>
        <v/>
      </c>
      <c r="O7777">
        <f>IF('Loan Tape (S&amp;P)'!T7777="Yes",
    1.35,
    1.00)</f>
        <v/>
      </c>
      <c r="P7777">
        <f>IF('Loan Tape (S&amp;P)'!S7777="Yes",
    1.15,
    1.00)</f>
        <v/>
      </c>
      <c r="Q7777">
        <f>IF('Loan Tape (S&amp;P)'!V7777="Yes",
    1.20,
    1.00)</f>
        <v/>
      </c>
      <c r="T7777">
        <f>LET(
    payment_method,'Loan Tape (S&amp;P)'!P7777,
    occupancy,'Loan Tape (S&amp;P)'!N7777,
    maturity_date,'Loan Tape (S&amp;P)'!L7777,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78">
      <c r="J7778">
        <f>LET(
    lien,'Loan Tape (S&amp;P)'!Q7778,
    IF(lien="First",1.00,
        IF(lien="Second",1.50,
            1.70)))</f>
        <v/>
      </c>
      <c r="K7778">
        <f>LET(
    purpose,'Loan Tape (S&amp;P)'!R7778,
    IF(purpose="Purchase",1.00,
        IF(purpose="Remortgage",1.00,
            1.20)))</f>
        <v/>
      </c>
      <c r="L7778">
        <f>LET(
    arrears_months,'Loan Tape (S&amp;P)'!AN7778,
    IF(arrears_months=0,1.00,
    IF(arrears_months=1,3.00,
    IF(arrears_months=2,5.00,
    IF(arrears_months=3,8.00,
    IF(arrears_months=4,10.00,
    IF(arrears_months=5,12.00,15.00)))))))</f>
        <v/>
      </c>
      <c r="M7778">
        <f>LET(
    seasoning_years,DATEDIF('Loan Tape (S&amp;P)'!K7778,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78">
        <f>IF(AND('Loan Tape (S&amp;P)'!U7778="Yes",
        'Loan Tape (S&amp;P)'!T7778&lt;&gt;"Yes",
        DATEDIF('Loan Tape (S&amp;P)'!K7778, TODAY(), "M")&lt;18),
    1.10,
    1.00)</f>
        <v/>
      </c>
      <c r="O7778">
        <f>IF('Loan Tape (S&amp;P)'!T7778="Yes",
    1.35,
    1.00)</f>
        <v/>
      </c>
      <c r="P7778">
        <f>IF('Loan Tape (S&amp;P)'!S7778="Yes",
    1.15,
    1.00)</f>
        <v/>
      </c>
      <c r="Q7778">
        <f>IF('Loan Tape (S&amp;P)'!V7778="Yes",
    1.20,
    1.00)</f>
        <v/>
      </c>
      <c r="T7778">
        <f>LET(
    payment_method,'Loan Tape (S&amp;P)'!P7778,
    occupancy,'Loan Tape (S&amp;P)'!N7778,
    maturity_date,'Loan Tape (S&amp;P)'!L7778,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79">
      <c r="J7779">
        <f>LET(
    lien,'Loan Tape (S&amp;P)'!Q7779,
    IF(lien="First",1.00,
        IF(lien="Second",1.50,
            1.70)))</f>
        <v/>
      </c>
      <c r="K7779">
        <f>LET(
    purpose,'Loan Tape (S&amp;P)'!R7779,
    IF(purpose="Purchase",1.00,
        IF(purpose="Remortgage",1.00,
            1.20)))</f>
        <v/>
      </c>
      <c r="L7779">
        <f>LET(
    arrears_months,'Loan Tape (S&amp;P)'!AN7779,
    IF(arrears_months=0,1.00,
    IF(arrears_months=1,3.00,
    IF(arrears_months=2,5.00,
    IF(arrears_months=3,8.00,
    IF(arrears_months=4,10.00,
    IF(arrears_months=5,12.00,15.00)))))))</f>
        <v/>
      </c>
      <c r="M7779">
        <f>LET(
    seasoning_years,DATEDIF('Loan Tape (S&amp;P)'!K7779,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79">
        <f>IF(AND('Loan Tape (S&amp;P)'!U7779="Yes",
        'Loan Tape (S&amp;P)'!T7779&lt;&gt;"Yes",
        DATEDIF('Loan Tape (S&amp;P)'!K7779, TODAY(), "M")&lt;18),
    1.10,
    1.00)</f>
        <v/>
      </c>
      <c r="O7779">
        <f>IF('Loan Tape (S&amp;P)'!T7779="Yes",
    1.35,
    1.00)</f>
        <v/>
      </c>
      <c r="P7779">
        <f>IF('Loan Tape (S&amp;P)'!S7779="Yes",
    1.15,
    1.00)</f>
        <v/>
      </c>
      <c r="Q7779">
        <f>IF('Loan Tape (S&amp;P)'!V7779="Yes",
    1.20,
    1.00)</f>
        <v/>
      </c>
      <c r="T7779">
        <f>LET(
    payment_method,'Loan Tape (S&amp;P)'!P7779,
    occupancy,'Loan Tape (S&amp;P)'!N7779,
    maturity_date,'Loan Tape (S&amp;P)'!L7779,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80">
      <c r="J7780">
        <f>LET(
    lien,'Loan Tape (S&amp;P)'!Q7780,
    IF(lien="First",1.00,
        IF(lien="Second",1.50,
            1.70)))</f>
        <v/>
      </c>
      <c r="K7780">
        <f>LET(
    purpose,'Loan Tape (S&amp;P)'!R7780,
    IF(purpose="Purchase",1.00,
        IF(purpose="Remortgage",1.00,
            1.20)))</f>
        <v/>
      </c>
      <c r="L7780">
        <f>LET(
    arrears_months,'Loan Tape (S&amp;P)'!AN7780,
    IF(arrears_months=0,1.00,
    IF(arrears_months=1,3.00,
    IF(arrears_months=2,5.00,
    IF(arrears_months=3,8.00,
    IF(arrears_months=4,10.00,
    IF(arrears_months=5,12.00,15.00)))))))</f>
        <v/>
      </c>
      <c r="M7780">
        <f>LET(
    seasoning_years,DATEDIF('Loan Tape (S&amp;P)'!K7780,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80">
        <f>IF(AND('Loan Tape (S&amp;P)'!U7780="Yes",
        'Loan Tape (S&amp;P)'!T7780&lt;&gt;"Yes",
        DATEDIF('Loan Tape (S&amp;P)'!K7780, TODAY(), "M")&lt;18),
    1.10,
    1.00)</f>
        <v/>
      </c>
      <c r="O7780">
        <f>IF('Loan Tape (S&amp;P)'!T7780="Yes",
    1.35,
    1.00)</f>
        <v/>
      </c>
      <c r="P7780">
        <f>IF('Loan Tape (S&amp;P)'!S7780="Yes",
    1.15,
    1.00)</f>
        <v/>
      </c>
      <c r="Q7780">
        <f>IF('Loan Tape (S&amp;P)'!V7780="Yes",
    1.20,
    1.00)</f>
        <v/>
      </c>
      <c r="T7780">
        <f>LET(
    payment_method,'Loan Tape (S&amp;P)'!P7780,
    occupancy,'Loan Tape (S&amp;P)'!N7780,
    maturity_date,'Loan Tape (S&amp;P)'!L7780,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81">
      <c r="J7781">
        <f>LET(
    lien,'Loan Tape (S&amp;P)'!Q7781,
    IF(lien="First",1.00,
        IF(lien="Second",1.50,
            1.70)))</f>
        <v/>
      </c>
      <c r="K7781">
        <f>LET(
    purpose,'Loan Tape (S&amp;P)'!R7781,
    IF(purpose="Purchase",1.00,
        IF(purpose="Remortgage",1.00,
            1.20)))</f>
        <v/>
      </c>
      <c r="L7781">
        <f>LET(
    arrears_months,'Loan Tape (S&amp;P)'!AN7781,
    IF(arrears_months=0,1.00,
    IF(arrears_months=1,3.00,
    IF(arrears_months=2,5.00,
    IF(arrears_months=3,8.00,
    IF(arrears_months=4,10.00,
    IF(arrears_months=5,12.00,15.00)))))))</f>
        <v/>
      </c>
      <c r="M7781">
        <f>LET(
    seasoning_years,DATEDIF('Loan Tape (S&amp;P)'!K7781,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81">
        <f>IF(AND('Loan Tape (S&amp;P)'!U7781="Yes",
        'Loan Tape (S&amp;P)'!T7781&lt;&gt;"Yes",
        DATEDIF('Loan Tape (S&amp;P)'!K7781, TODAY(), "M")&lt;18),
    1.10,
    1.00)</f>
        <v/>
      </c>
      <c r="O7781">
        <f>IF('Loan Tape (S&amp;P)'!T7781="Yes",
    1.35,
    1.00)</f>
        <v/>
      </c>
      <c r="P7781">
        <f>IF('Loan Tape (S&amp;P)'!S7781="Yes",
    1.15,
    1.00)</f>
        <v/>
      </c>
      <c r="Q7781">
        <f>IF('Loan Tape (S&amp;P)'!V7781="Yes",
    1.20,
    1.00)</f>
        <v/>
      </c>
      <c r="T7781">
        <f>LET(
    payment_method,'Loan Tape (S&amp;P)'!P7781,
    occupancy,'Loan Tape (S&amp;P)'!N7781,
    maturity_date,'Loan Tape (S&amp;P)'!L7781,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82">
      <c r="J7782">
        <f>LET(
    lien,'Loan Tape (S&amp;P)'!Q7782,
    IF(lien="First",1.00,
        IF(lien="Second",1.50,
            1.70)))</f>
        <v/>
      </c>
      <c r="K7782">
        <f>LET(
    purpose,'Loan Tape (S&amp;P)'!R7782,
    IF(purpose="Purchase",1.00,
        IF(purpose="Remortgage",1.00,
            1.20)))</f>
        <v/>
      </c>
      <c r="L7782">
        <f>LET(
    arrears_months,'Loan Tape (S&amp;P)'!AN7782,
    IF(arrears_months=0,1.00,
    IF(arrears_months=1,3.00,
    IF(arrears_months=2,5.00,
    IF(arrears_months=3,8.00,
    IF(arrears_months=4,10.00,
    IF(arrears_months=5,12.00,15.00)))))))</f>
        <v/>
      </c>
      <c r="M7782">
        <f>LET(
    seasoning_years,DATEDIF('Loan Tape (S&amp;P)'!K7782,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82">
        <f>IF(AND('Loan Tape (S&amp;P)'!U7782="Yes",
        'Loan Tape (S&amp;P)'!T7782&lt;&gt;"Yes",
        DATEDIF('Loan Tape (S&amp;P)'!K7782, TODAY(), "M")&lt;18),
    1.10,
    1.00)</f>
        <v/>
      </c>
      <c r="O7782">
        <f>IF('Loan Tape (S&amp;P)'!T7782="Yes",
    1.35,
    1.00)</f>
        <v/>
      </c>
      <c r="P7782">
        <f>IF('Loan Tape (S&amp;P)'!S7782="Yes",
    1.15,
    1.00)</f>
        <v/>
      </c>
      <c r="Q7782">
        <f>IF('Loan Tape (S&amp;P)'!V7782="Yes",
    1.20,
    1.00)</f>
        <v/>
      </c>
      <c r="T7782">
        <f>LET(
    payment_method,'Loan Tape (S&amp;P)'!P7782,
    occupancy,'Loan Tape (S&amp;P)'!N7782,
    maturity_date,'Loan Tape (S&amp;P)'!L7782,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83">
      <c r="J7783">
        <f>LET(
    lien,'Loan Tape (S&amp;P)'!Q7783,
    IF(lien="First",1.00,
        IF(lien="Second",1.50,
            1.70)))</f>
        <v/>
      </c>
      <c r="K7783">
        <f>LET(
    purpose,'Loan Tape (S&amp;P)'!R7783,
    IF(purpose="Purchase",1.00,
        IF(purpose="Remortgage",1.00,
            1.20)))</f>
        <v/>
      </c>
      <c r="L7783">
        <f>LET(
    arrears_months,'Loan Tape (S&amp;P)'!AN7783,
    IF(arrears_months=0,1.00,
    IF(arrears_months=1,3.00,
    IF(arrears_months=2,5.00,
    IF(arrears_months=3,8.00,
    IF(arrears_months=4,10.00,
    IF(arrears_months=5,12.00,15.00)))))))</f>
        <v/>
      </c>
      <c r="M7783">
        <f>LET(
    seasoning_years,DATEDIF('Loan Tape (S&amp;P)'!K7783,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83">
        <f>IF(AND('Loan Tape (S&amp;P)'!U7783="Yes",
        'Loan Tape (S&amp;P)'!T7783&lt;&gt;"Yes",
        DATEDIF('Loan Tape (S&amp;P)'!K7783, TODAY(), "M")&lt;18),
    1.10,
    1.00)</f>
        <v/>
      </c>
      <c r="O7783">
        <f>IF('Loan Tape (S&amp;P)'!T7783="Yes",
    1.35,
    1.00)</f>
        <v/>
      </c>
      <c r="P7783">
        <f>IF('Loan Tape (S&amp;P)'!S7783="Yes",
    1.15,
    1.00)</f>
        <v/>
      </c>
      <c r="Q7783">
        <f>IF('Loan Tape (S&amp;P)'!V7783="Yes",
    1.20,
    1.00)</f>
        <v/>
      </c>
      <c r="T7783">
        <f>LET(
    payment_method,'Loan Tape (S&amp;P)'!P7783,
    occupancy,'Loan Tape (S&amp;P)'!N7783,
    maturity_date,'Loan Tape (S&amp;P)'!L7783,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84">
      <c r="J7784">
        <f>LET(
    lien,'Loan Tape (S&amp;P)'!Q7784,
    IF(lien="First",1.00,
        IF(lien="Second",1.50,
            1.70)))</f>
        <v/>
      </c>
      <c r="K7784">
        <f>LET(
    purpose,'Loan Tape (S&amp;P)'!R7784,
    IF(purpose="Purchase",1.00,
        IF(purpose="Remortgage",1.00,
            1.20)))</f>
        <v/>
      </c>
      <c r="L7784">
        <f>LET(
    arrears_months,'Loan Tape (S&amp;P)'!AN7784,
    IF(arrears_months=0,1.00,
    IF(arrears_months=1,3.00,
    IF(arrears_months=2,5.00,
    IF(arrears_months=3,8.00,
    IF(arrears_months=4,10.00,
    IF(arrears_months=5,12.00,15.00)))))))</f>
        <v/>
      </c>
      <c r="M7784">
        <f>LET(
    seasoning_years,DATEDIF('Loan Tape (S&amp;P)'!K7784,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84">
        <f>IF(AND('Loan Tape (S&amp;P)'!U7784="Yes",
        'Loan Tape (S&amp;P)'!T7784&lt;&gt;"Yes",
        DATEDIF('Loan Tape (S&amp;P)'!K7784, TODAY(), "M")&lt;18),
    1.10,
    1.00)</f>
        <v/>
      </c>
      <c r="O7784">
        <f>IF('Loan Tape (S&amp;P)'!T7784="Yes",
    1.35,
    1.00)</f>
        <v/>
      </c>
      <c r="P7784">
        <f>IF('Loan Tape (S&amp;P)'!S7784="Yes",
    1.15,
    1.00)</f>
        <v/>
      </c>
      <c r="Q7784">
        <f>IF('Loan Tape (S&amp;P)'!V7784="Yes",
    1.20,
    1.00)</f>
        <v/>
      </c>
      <c r="T7784">
        <f>LET(
    payment_method,'Loan Tape (S&amp;P)'!P7784,
    occupancy,'Loan Tape (S&amp;P)'!N7784,
    maturity_date,'Loan Tape (S&amp;P)'!L7784,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85">
      <c r="J7785">
        <f>LET(
    lien,'Loan Tape (S&amp;P)'!Q7785,
    IF(lien="First",1.00,
        IF(lien="Second",1.50,
            1.70)))</f>
        <v/>
      </c>
      <c r="K7785">
        <f>LET(
    purpose,'Loan Tape (S&amp;P)'!R7785,
    IF(purpose="Purchase",1.00,
        IF(purpose="Remortgage",1.00,
            1.20)))</f>
        <v/>
      </c>
      <c r="L7785">
        <f>LET(
    arrears_months,'Loan Tape (S&amp;P)'!AN7785,
    IF(arrears_months=0,1.00,
    IF(arrears_months=1,3.00,
    IF(arrears_months=2,5.00,
    IF(arrears_months=3,8.00,
    IF(arrears_months=4,10.00,
    IF(arrears_months=5,12.00,15.00)))))))</f>
        <v/>
      </c>
      <c r="M7785">
        <f>LET(
    seasoning_years,DATEDIF('Loan Tape (S&amp;P)'!K7785,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85">
        <f>IF(AND('Loan Tape (S&amp;P)'!U7785="Yes",
        'Loan Tape (S&amp;P)'!T7785&lt;&gt;"Yes",
        DATEDIF('Loan Tape (S&amp;P)'!K7785, TODAY(), "M")&lt;18),
    1.10,
    1.00)</f>
        <v/>
      </c>
      <c r="O7785">
        <f>IF('Loan Tape (S&amp;P)'!T7785="Yes",
    1.35,
    1.00)</f>
        <v/>
      </c>
      <c r="P7785">
        <f>IF('Loan Tape (S&amp;P)'!S7785="Yes",
    1.15,
    1.00)</f>
        <v/>
      </c>
      <c r="Q7785">
        <f>IF('Loan Tape (S&amp;P)'!V7785="Yes",
    1.20,
    1.00)</f>
        <v/>
      </c>
      <c r="T7785">
        <f>LET(
    payment_method,'Loan Tape (S&amp;P)'!P7785,
    occupancy,'Loan Tape (S&amp;P)'!N7785,
    maturity_date,'Loan Tape (S&amp;P)'!L7785,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86">
      <c r="J7786">
        <f>LET(
    lien,'Loan Tape (S&amp;P)'!Q7786,
    IF(lien="First",1.00,
        IF(lien="Second",1.50,
            1.70)))</f>
        <v/>
      </c>
      <c r="K7786">
        <f>LET(
    purpose,'Loan Tape (S&amp;P)'!R7786,
    IF(purpose="Purchase",1.00,
        IF(purpose="Remortgage",1.00,
            1.20)))</f>
        <v/>
      </c>
      <c r="L7786">
        <f>LET(
    arrears_months,'Loan Tape (S&amp;P)'!AN7786,
    IF(arrears_months=0,1.00,
    IF(arrears_months=1,3.00,
    IF(arrears_months=2,5.00,
    IF(arrears_months=3,8.00,
    IF(arrears_months=4,10.00,
    IF(arrears_months=5,12.00,15.00)))))))</f>
        <v/>
      </c>
      <c r="M7786">
        <f>LET(
    seasoning_years,DATEDIF('Loan Tape (S&amp;P)'!K7786,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86">
        <f>IF(AND('Loan Tape (S&amp;P)'!U7786="Yes",
        'Loan Tape (S&amp;P)'!T7786&lt;&gt;"Yes",
        DATEDIF('Loan Tape (S&amp;P)'!K7786, TODAY(), "M")&lt;18),
    1.10,
    1.00)</f>
        <v/>
      </c>
      <c r="O7786">
        <f>IF('Loan Tape (S&amp;P)'!T7786="Yes",
    1.35,
    1.00)</f>
        <v/>
      </c>
      <c r="P7786">
        <f>IF('Loan Tape (S&amp;P)'!S7786="Yes",
    1.15,
    1.00)</f>
        <v/>
      </c>
      <c r="Q7786">
        <f>IF('Loan Tape (S&amp;P)'!V7786="Yes",
    1.20,
    1.00)</f>
        <v/>
      </c>
      <c r="T7786">
        <f>LET(
    payment_method,'Loan Tape (S&amp;P)'!P7786,
    occupancy,'Loan Tape (S&amp;P)'!N7786,
    maturity_date,'Loan Tape (S&amp;P)'!L7786,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87">
      <c r="J7787">
        <f>LET(
    lien,'Loan Tape (S&amp;P)'!Q7787,
    IF(lien="First",1.00,
        IF(lien="Second",1.50,
            1.70)))</f>
        <v/>
      </c>
      <c r="K7787">
        <f>LET(
    purpose,'Loan Tape (S&amp;P)'!R7787,
    IF(purpose="Purchase",1.00,
        IF(purpose="Remortgage",1.00,
            1.20)))</f>
        <v/>
      </c>
      <c r="L7787">
        <f>LET(
    arrears_months,'Loan Tape (S&amp;P)'!AN7787,
    IF(arrears_months=0,1.00,
    IF(arrears_months=1,3.00,
    IF(arrears_months=2,5.00,
    IF(arrears_months=3,8.00,
    IF(arrears_months=4,10.00,
    IF(arrears_months=5,12.00,15.00)))))))</f>
        <v/>
      </c>
      <c r="M7787">
        <f>LET(
    seasoning_years,DATEDIF('Loan Tape (S&amp;P)'!K7787,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87">
        <f>IF(AND('Loan Tape (S&amp;P)'!U7787="Yes",
        'Loan Tape (S&amp;P)'!T7787&lt;&gt;"Yes",
        DATEDIF('Loan Tape (S&amp;P)'!K7787, TODAY(), "M")&lt;18),
    1.10,
    1.00)</f>
        <v/>
      </c>
      <c r="O7787">
        <f>IF('Loan Tape (S&amp;P)'!T7787="Yes",
    1.35,
    1.00)</f>
        <v/>
      </c>
      <c r="P7787">
        <f>IF('Loan Tape (S&amp;P)'!S7787="Yes",
    1.15,
    1.00)</f>
        <v/>
      </c>
      <c r="Q7787">
        <f>IF('Loan Tape (S&amp;P)'!V7787="Yes",
    1.20,
    1.00)</f>
        <v/>
      </c>
      <c r="T7787">
        <f>LET(
    payment_method,'Loan Tape (S&amp;P)'!P7787,
    occupancy,'Loan Tape (S&amp;P)'!N7787,
    maturity_date,'Loan Tape (S&amp;P)'!L7787,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88">
      <c r="J7788">
        <f>LET(
    lien,'Loan Tape (S&amp;P)'!Q7788,
    IF(lien="First",1.00,
        IF(lien="Second",1.50,
            1.70)))</f>
        <v/>
      </c>
      <c r="K7788">
        <f>LET(
    purpose,'Loan Tape (S&amp;P)'!R7788,
    IF(purpose="Purchase",1.00,
        IF(purpose="Remortgage",1.00,
            1.20)))</f>
        <v/>
      </c>
      <c r="L7788">
        <f>LET(
    arrears_months,'Loan Tape (S&amp;P)'!AN7788,
    IF(arrears_months=0,1.00,
    IF(arrears_months=1,3.00,
    IF(arrears_months=2,5.00,
    IF(arrears_months=3,8.00,
    IF(arrears_months=4,10.00,
    IF(arrears_months=5,12.00,15.00)))))))</f>
        <v/>
      </c>
      <c r="M7788">
        <f>LET(
    seasoning_years,DATEDIF('Loan Tape (S&amp;P)'!K7788,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88">
        <f>IF(AND('Loan Tape (S&amp;P)'!U7788="Yes",
        'Loan Tape (S&amp;P)'!T7788&lt;&gt;"Yes",
        DATEDIF('Loan Tape (S&amp;P)'!K7788, TODAY(), "M")&lt;18),
    1.10,
    1.00)</f>
        <v/>
      </c>
      <c r="O7788">
        <f>IF('Loan Tape (S&amp;P)'!T7788="Yes",
    1.35,
    1.00)</f>
        <v/>
      </c>
      <c r="P7788">
        <f>IF('Loan Tape (S&amp;P)'!S7788="Yes",
    1.15,
    1.00)</f>
        <v/>
      </c>
      <c r="Q7788">
        <f>IF('Loan Tape (S&amp;P)'!V7788="Yes",
    1.20,
    1.00)</f>
        <v/>
      </c>
      <c r="T7788">
        <f>LET(
    payment_method,'Loan Tape (S&amp;P)'!P7788,
    occupancy,'Loan Tape (S&amp;P)'!N7788,
    maturity_date,'Loan Tape (S&amp;P)'!L7788,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89">
      <c r="J7789">
        <f>LET(
    lien,'Loan Tape (S&amp;P)'!Q7789,
    IF(lien="First",1.00,
        IF(lien="Second",1.50,
            1.70)))</f>
        <v/>
      </c>
      <c r="K7789">
        <f>LET(
    purpose,'Loan Tape (S&amp;P)'!R7789,
    IF(purpose="Purchase",1.00,
        IF(purpose="Remortgage",1.00,
            1.20)))</f>
        <v/>
      </c>
      <c r="L7789">
        <f>LET(
    arrears_months,'Loan Tape (S&amp;P)'!AN7789,
    IF(arrears_months=0,1.00,
    IF(arrears_months=1,3.00,
    IF(arrears_months=2,5.00,
    IF(arrears_months=3,8.00,
    IF(arrears_months=4,10.00,
    IF(arrears_months=5,12.00,15.00)))))))</f>
        <v/>
      </c>
      <c r="M7789">
        <f>LET(
    seasoning_years,DATEDIF('Loan Tape (S&amp;P)'!K7789,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89">
        <f>IF(AND('Loan Tape (S&amp;P)'!U7789="Yes",
        'Loan Tape (S&amp;P)'!T7789&lt;&gt;"Yes",
        DATEDIF('Loan Tape (S&amp;P)'!K7789, TODAY(), "M")&lt;18),
    1.10,
    1.00)</f>
        <v/>
      </c>
      <c r="O7789">
        <f>IF('Loan Tape (S&amp;P)'!T7789="Yes",
    1.35,
    1.00)</f>
        <v/>
      </c>
      <c r="P7789">
        <f>IF('Loan Tape (S&amp;P)'!S7789="Yes",
    1.15,
    1.00)</f>
        <v/>
      </c>
      <c r="Q7789">
        <f>IF('Loan Tape (S&amp;P)'!V7789="Yes",
    1.20,
    1.00)</f>
        <v/>
      </c>
      <c r="T7789">
        <f>LET(
    payment_method,'Loan Tape (S&amp;P)'!P7789,
    occupancy,'Loan Tape (S&amp;P)'!N7789,
    maturity_date,'Loan Tape (S&amp;P)'!L7789,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90">
      <c r="J7790">
        <f>LET(
    lien,'Loan Tape (S&amp;P)'!Q7790,
    IF(lien="First",1.00,
        IF(lien="Second",1.50,
            1.70)))</f>
        <v/>
      </c>
      <c r="K7790">
        <f>LET(
    purpose,'Loan Tape (S&amp;P)'!R7790,
    IF(purpose="Purchase",1.00,
        IF(purpose="Remortgage",1.00,
            1.20)))</f>
        <v/>
      </c>
      <c r="L7790">
        <f>LET(
    arrears_months,'Loan Tape (S&amp;P)'!AN7790,
    IF(arrears_months=0,1.00,
    IF(arrears_months=1,3.00,
    IF(arrears_months=2,5.00,
    IF(arrears_months=3,8.00,
    IF(arrears_months=4,10.00,
    IF(arrears_months=5,12.00,15.00)))))))</f>
        <v/>
      </c>
      <c r="M7790">
        <f>LET(
    seasoning_years,DATEDIF('Loan Tape (S&amp;P)'!K7790,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90">
        <f>IF(AND('Loan Tape (S&amp;P)'!U7790="Yes",
        'Loan Tape (S&amp;P)'!T7790&lt;&gt;"Yes",
        DATEDIF('Loan Tape (S&amp;P)'!K7790, TODAY(), "M")&lt;18),
    1.10,
    1.00)</f>
        <v/>
      </c>
      <c r="O7790">
        <f>IF('Loan Tape (S&amp;P)'!T7790="Yes",
    1.35,
    1.00)</f>
        <v/>
      </c>
      <c r="P7790">
        <f>IF('Loan Tape (S&amp;P)'!S7790="Yes",
    1.15,
    1.00)</f>
        <v/>
      </c>
      <c r="Q7790">
        <f>IF('Loan Tape (S&amp;P)'!V7790="Yes",
    1.20,
    1.00)</f>
        <v/>
      </c>
      <c r="T7790">
        <f>LET(
    payment_method,'Loan Tape (S&amp;P)'!P7790,
    occupancy,'Loan Tape (S&amp;P)'!N7790,
    maturity_date,'Loan Tape (S&amp;P)'!L7790,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91">
      <c r="J7791">
        <f>LET(
    lien,'Loan Tape (S&amp;P)'!Q7791,
    IF(lien="First",1.00,
        IF(lien="Second",1.50,
            1.70)))</f>
        <v/>
      </c>
      <c r="K7791">
        <f>LET(
    purpose,'Loan Tape (S&amp;P)'!R7791,
    IF(purpose="Purchase",1.00,
        IF(purpose="Remortgage",1.00,
            1.20)))</f>
        <v/>
      </c>
      <c r="L7791">
        <f>LET(
    arrears_months,'Loan Tape (S&amp;P)'!AN7791,
    IF(arrears_months=0,1.00,
    IF(arrears_months=1,3.00,
    IF(arrears_months=2,5.00,
    IF(arrears_months=3,8.00,
    IF(arrears_months=4,10.00,
    IF(arrears_months=5,12.00,15.00)))))))</f>
        <v/>
      </c>
      <c r="M7791">
        <f>LET(
    seasoning_years,DATEDIF('Loan Tape (S&amp;P)'!K7791,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91">
        <f>IF(AND('Loan Tape (S&amp;P)'!U7791="Yes",
        'Loan Tape (S&amp;P)'!T7791&lt;&gt;"Yes",
        DATEDIF('Loan Tape (S&amp;P)'!K7791, TODAY(), "M")&lt;18),
    1.10,
    1.00)</f>
        <v/>
      </c>
      <c r="O7791">
        <f>IF('Loan Tape (S&amp;P)'!T7791="Yes",
    1.35,
    1.00)</f>
        <v/>
      </c>
      <c r="P7791">
        <f>IF('Loan Tape (S&amp;P)'!S7791="Yes",
    1.15,
    1.00)</f>
        <v/>
      </c>
      <c r="Q7791">
        <f>IF('Loan Tape (S&amp;P)'!V7791="Yes",
    1.20,
    1.00)</f>
        <v/>
      </c>
      <c r="T7791">
        <f>LET(
    payment_method,'Loan Tape (S&amp;P)'!P7791,
    occupancy,'Loan Tape (S&amp;P)'!N7791,
    maturity_date,'Loan Tape (S&amp;P)'!L7791,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92">
      <c r="J7792">
        <f>LET(
    lien,'Loan Tape (S&amp;P)'!Q7792,
    IF(lien="First",1.00,
        IF(lien="Second",1.50,
            1.70)))</f>
        <v/>
      </c>
      <c r="K7792">
        <f>LET(
    purpose,'Loan Tape (S&amp;P)'!R7792,
    IF(purpose="Purchase",1.00,
        IF(purpose="Remortgage",1.00,
            1.20)))</f>
        <v/>
      </c>
      <c r="L7792">
        <f>LET(
    arrears_months,'Loan Tape (S&amp;P)'!AN7792,
    IF(arrears_months=0,1.00,
    IF(arrears_months=1,3.00,
    IF(arrears_months=2,5.00,
    IF(arrears_months=3,8.00,
    IF(arrears_months=4,10.00,
    IF(arrears_months=5,12.00,15.00)))))))</f>
        <v/>
      </c>
      <c r="M7792">
        <f>LET(
    seasoning_years,DATEDIF('Loan Tape (S&amp;P)'!K7792,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92">
        <f>IF(AND('Loan Tape (S&amp;P)'!U7792="Yes",
        'Loan Tape (S&amp;P)'!T7792&lt;&gt;"Yes",
        DATEDIF('Loan Tape (S&amp;P)'!K7792, TODAY(), "M")&lt;18),
    1.10,
    1.00)</f>
        <v/>
      </c>
      <c r="O7792">
        <f>IF('Loan Tape (S&amp;P)'!T7792="Yes",
    1.35,
    1.00)</f>
        <v/>
      </c>
      <c r="P7792">
        <f>IF('Loan Tape (S&amp;P)'!S7792="Yes",
    1.15,
    1.00)</f>
        <v/>
      </c>
      <c r="Q7792">
        <f>IF('Loan Tape (S&amp;P)'!V7792="Yes",
    1.20,
    1.00)</f>
        <v/>
      </c>
      <c r="T7792">
        <f>LET(
    payment_method,'Loan Tape (S&amp;P)'!P7792,
    occupancy,'Loan Tape (S&amp;P)'!N7792,
    maturity_date,'Loan Tape (S&amp;P)'!L7792,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93">
      <c r="J7793">
        <f>LET(
    lien,'Loan Tape (S&amp;P)'!Q7793,
    IF(lien="First",1.00,
        IF(lien="Second",1.50,
            1.70)))</f>
        <v/>
      </c>
      <c r="K7793">
        <f>LET(
    purpose,'Loan Tape (S&amp;P)'!R7793,
    IF(purpose="Purchase",1.00,
        IF(purpose="Remortgage",1.00,
            1.20)))</f>
        <v/>
      </c>
      <c r="L7793">
        <f>LET(
    arrears_months,'Loan Tape (S&amp;P)'!AN7793,
    IF(arrears_months=0,1.00,
    IF(arrears_months=1,3.00,
    IF(arrears_months=2,5.00,
    IF(arrears_months=3,8.00,
    IF(arrears_months=4,10.00,
    IF(arrears_months=5,12.00,15.00)))))))</f>
        <v/>
      </c>
      <c r="M7793">
        <f>LET(
    seasoning_years,DATEDIF('Loan Tape (S&amp;P)'!K7793,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93">
        <f>IF(AND('Loan Tape (S&amp;P)'!U7793="Yes",
        'Loan Tape (S&amp;P)'!T7793&lt;&gt;"Yes",
        DATEDIF('Loan Tape (S&amp;P)'!K7793, TODAY(), "M")&lt;18),
    1.10,
    1.00)</f>
        <v/>
      </c>
      <c r="O7793">
        <f>IF('Loan Tape (S&amp;P)'!T7793="Yes",
    1.35,
    1.00)</f>
        <v/>
      </c>
      <c r="P7793">
        <f>IF('Loan Tape (S&amp;P)'!S7793="Yes",
    1.15,
    1.00)</f>
        <v/>
      </c>
      <c r="Q7793">
        <f>IF('Loan Tape (S&amp;P)'!V7793="Yes",
    1.20,
    1.00)</f>
        <v/>
      </c>
      <c r="T7793">
        <f>LET(
    payment_method,'Loan Tape (S&amp;P)'!P7793,
    occupancy,'Loan Tape (S&amp;P)'!N7793,
    maturity_date,'Loan Tape (S&amp;P)'!L7793,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94">
      <c r="J7794">
        <f>LET(
    lien,'Loan Tape (S&amp;P)'!Q7794,
    IF(lien="First",1.00,
        IF(lien="Second",1.50,
            1.70)))</f>
        <v/>
      </c>
      <c r="K7794">
        <f>LET(
    purpose,'Loan Tape (S&amp;P)'!R7794,
    IF(purpose="Purchase",1.00,
        IF(purpose="Remortgage",1.00,
            1.20)))</f>
        <v/>
      </c>
      <c r="L7794">
        <f>LET(
    arrears_months,'Loan Tape (S&amp;P)'!AN7794,
    IF(arrears_months=0,1.00,
    IF(arrears_months=1,3.00,
    IF(arrears_months=2,5.00,
    IF(arrears_months=3,8.00,
    IF(arrears_months=4,10.00,
    IF(arrears_months=5,12.00,15.00)))))))</f>
        <v/>
      </c>
      <c r="M7794">
        <f>LET(
    seasoning_years,DATEDIF('Loan Tape (S&amp;P)'!K7794,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94">
        <f>IF(AND('Loan Tape (S&amp;P)'!U7794="Yes",
        'Loan Tape (S&amp;P)'!T7794&lt;&gt;"Yes",
        DATEDIF('Loan Tape (S&amp;P)'!K7794, TODAY(), "M")&lt;18),
    1.10,
    1.00)</f>
        <v/>
      </c>
      <c r="O7794">
        <f>IF('Loan Tape (S&amp;P)'!T7794="Yes",
    1.35,
    1.00)</f>
        <v/>
      </c>
      <c r="P7794">
        <f>IF('Loan Tape (S&amp;P)'!S7794="Yes",
    1.15,
    1.00)</f>
        <v/>
      </c>
      <c r="Q7794">
        <f>IF('Loan Tape (S&amp;P)'!V7794="Yes",
    1.20,
    1.00)</f>
        <v/>
      </c>
      <c r="T7794">
        <f>LET(
    payment_method,'Loan Tape (S&amp;P)'!P7794,
    occupancy,'Loan Tape (S&amp;P)'!N7794,
    maturity_date,'Loan Tape (S&amp;P)'!L7794,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95">
      <c r="J7795">
        <f>LET(
    lien,'Loan Tape (S&amp;P)'!Q7795,
    IF(lien="First",1.00,
        IF(lien="Second",1.50,
            1.70)))</f>
        <v/>
      </c>
      <c r="K7795">
        <f>LET(
    purpose,'Loan Tape (S&amp;P)'!R7795,
    IF(purpose="Purchase",1.00,
        IF(purpose="Remortgage",1.00,
            1.20)))</f>
        <v/>
      </c>
      <c r="L7795">
        <f>LET(
    arrears_months,'Loan Tape (S&amp;P)'!AN7795,
    IF(arrears_months=0,1.00,
    IF(arrears_months=1,3.00,
    IF(arrears_months=2,5.00,
    IF(arrears_months=3,8.00,
    IF(arrears_months=4,10.00,
    IF(arrears_months=5,12.00,15.00)))))))</f>
        <v/>
      </c>
      <c r="M7795">
        <f>LET(
    seasoning_years,DATEDIF('Loan Tape (S&amp;P)'!K7795,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95">
        <f>IF(AND('Loan Tape (S&amp;P)'!U7795="Yes",
        'Loan Tape (S&amp;P)'!T7795&lt;&gt;"Yes",
        DATEDIF('Loan Tape (S&amp;P)'!K7795, TODAY(), "M")&lt;18),
    1.10,
    1.00)</f>
        <v/>
      </c>
      <c r="O7795">
        <f>IF('Loan Tape (S&amp;P)'!T7795="Yes",
    1.35,
    1.00)</f>
        <v/>
      </c>
      <c r="P7795">
        <f>IF('Loan Tape (S&amp;P)'!S7795="Yes",
    1.15,
    1.00)</f>
        <v/>
      </c>
      <c r="Q7795">
        <f>IF('Loan Tape (S&amp;P)'!V7795="Yes",
    1.20,
    1.00)</f>
        <v/>
      </c>
      <c r="T7795">
        <f>LET(
    payment_method,'Loan Tape (S&amp;P)'!P7795,
    occupancy,'Loan Tape (S&amp;P)'!N7795,
    maturity_date,'Loan Tape (S&amp;P)'!L7795,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96">
      <c r="J7796">
        <f>LET(
    lien,'Loan Tape (S&amp;P)'!Q7796,
    IF(lien="First",1.00,
        IF(lien="Second",1.50,
            1.70)))</f>
        <v/>
      </c>
      <c r="K7796">
        <f>LET(
    purpose,'Loan Tape (S&amp;P)'!R7796,
    IF(purpose="Purchase",1.00,
        IF(purpose="Remortgage",1.00,
            1.20)))</f>
        <v/>
      </c>
      <c r="L7796">
        <f>LET(
    arrears_months,'Loan Tape (S&amp;P)'!AN7796,
    IF(arrears_months=0,1.00,
    IF(arrears_months=1,3.00,
    IF(arrears_months=2,5.00,
    IF(arrears_months=3,8.00,
    IF(arrears_months=4,10.00,
    IF(arrears_months=5,12.00,15.00)))))))</f>
        <v/>
      </c>
      <c r="M7796">
        <f>LET(
    seasoning_years,DATEDIF('Loan Tape (S&amp;P)'!K7796,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96">
        <f>IF(AND('Loan Tape (S&amp;P)'!U7796="Yes",
        'Loan Tape (S&amp;P)'!T7796&lt;&gt;"Yes",
        DATEDIF('Loan Tape (S&amp;P)'!K7796, TODAY(), "M")&lt;18),
    1.10,
    1.00)</f>
        <v/>
      </c>
      <c r="O7796">
        <f>IF('Loan Tape (S&amp;P)'!T7796="Yes",
    1.35,
    1.00)</f>
        <v/>
      </c>
      <c r="P7796">
        <f>IF('Loan Tape (S&amp;P)'!S7796="Yes",
    1.15,
    1.00)</f>
        <v/>
      </c>
      <c r="Q7796">
        <f>IF('Loan Tape (S&amp;P)'!V7796="Yes",
    1.20,
    1.00)</f>
        <v/>
      </c>
      <c r="T7796">
        <f>LET(
    payment_method,'Loan Tape (S&amp;P)'!P7796,
    occupancy,'Loan Tape (S&amp;P)'!N7796,
    maturity_date,'Loan Tape (S&amp;P)'!L7796,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97">
      <c r="J7797">
        <f>LET(
    lien,'Loan Tape (S&amp;P)'!Q7797,
    IF(lien="First",1.00,
        IF(lien="Second",1.50,
            1.70)))</f>
        <v/>
      </c>
      <c r="K7797">
        <f>LET(
    purpose,'Loan Tape (S&amp;P)'!R7797,
    IF(purpose="Purchase",1.00,
        IF(purpose="Remortgage",1.00,
            1.20)))</f>
        <v/>
      </c>
      <c r="L7797">
        <f>LET(
    arrears_months,'Loan Tape (S&amp;P)'!AN7797,
    IF(arrears_months=0,1.00,
    IF(arrears_months=1,3.00,
    IF(arrears_months=2,5.00,
    IF(arrears_months=3,8.00,
    IF(arrears_months=4,10.00,
    IF(arrears_months=5,12.00,15.00)))))))</f>
        <v/>
      </c>
      <c r="M7797">
        <f>LET(
    seasoning_years,DATEDIF('Loan Tape (S&amp;P)'!K7797,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97">
        <f>IF(AND('Loan Tape (S&amp;P)'!U7797="Yes",
        'Loan Tape (S&amp;P)'!T7797&lt;&gt;"Yes",
        DATEDIF('Loan Tape (S&amp;P)'!K7797, TODAY(), "M")&lt;18),
    1.10,
    1.00)</f>
        <v/>
      </c>
      <c r="O7797">
        <f>IF('Loan Tape (S&amp;P)'!T7797="Yes",
    1.35,
    1.00)</f>
        <v/>
      </c>
      <c r="P7797">
        <f>IF('Loan Tape (S&amp;P)'!S7797="Yes",
    1.15,
    1.00)</f>
        <v/>
      </c>
      <c r="Q7797">
        <f>IF('Loan Tape (S&amp;P)'!V7797="Yes",
    1.20,
    1.00)</f>
        <v/>
      </c>
      <c r="T7797">
        <f>LET(
    payment_method,'Loan Tape (S&amp;P)'!P7797,
    occupancy,'Loan Tape (S&amp;P)'!N7797,
    maturity_date,'Loan Tape (S&amp;P)'!L7797,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98">
      <c r="J7798">
        <f>LET(
    lien,'Loan Tape (S&amp;P)'!Q7798,
    IF(lien="First",1.00,
        IF(lien="Second",1.50,
            1.70)))</f>
        <v/>
      </c>
      <c r="K7798">
        <f>LET(
    purpose,'Loan Tape (S&amp;P)'!R7798,
    IF(purpose="Purchase",1.00,
        IF(purpose="Remortgage",1.00,
            1.20)))</f>
        <v/>
      </c>
      <c r="L7798">
        <f>LET(
    arrears_months,'Loan Tape (S&amp;P)'!AN7798,
    IF(arrears_months=0,1.00,
    IF(arrears_months=1,3.00,
    IF(arrears_months=2,5.00,
    IF(arrears_months=3,8.00,
    IF(arrears_months=4,10.00,
    IF(arrears_months=5,12.00,15.00)))))))</f>
        <v/>
      </c>
      <c r="M7798">
        <f>LET(
    seasoning_years,DATEDIF('Loan Tape (S&amp;P)'!K7798,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98">
        <f>IF(AND('Loan Tape (S&amp;P)'!U7798="Yes",
        'Loan Tape (S&amp;P)'!T7798&lt;&gt;"Yes",
        DATEDIF('Loan Tape (S&amp;P)'!K7798, TODAY(), "M")&lt;18),
    1.10,
    1.00)</f>
        <v/>
      </c>
      <c r="O7798">
        <f>IF('Loan Tape (S&amp;P)'!T7798="Yes",
    1.35,
    1.00)</f>
        <v/>
      </c>
      <c r="P7798">
        <f>IF('Loan Tape (S&amp;P)'!S7798="Yes",
    1.15,
    1.00)</f>
        <v/>
      </c>
      <c r="Q7798">
        <f>IF('Loan Tape (S&amp;P)'!V7798="Yes",
    1.20,
    1.00)</f>
        <v/>
      </c>
      <c r="T7798">
        <f>LET(
    payment_method,'Loan Tape (S&amp;P)'!P7798,
    occupancy,'Loan Tape (S&amp;P)'!N7798,
    maturity_date,'Loan Tape (S&amp;P)'!L7798,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799">
      <c r="J7799">
        <f>LET(
    lien,'Loan Tape (S&amp;P)'!Q7799,
    IF(lien="First",1.00,
        IF(lien="Second",1.50,
            1.70)))</f>
        <v/>
      </c>
      <c r="K7799">
        <f>LET(
    purpose,'Loan Tape (S&amp;P)'!R7799,
    IF(purpose="Purchase",1.00,
        IF(purpose="Remortgage",1.00,
            1.20)))</f>
        <v/>
      </c>
      <c r="L7799">
        <f>LET(
    arrears_months,'Loan Tape (S&amp;P)'!AN7799,
    IF(arrears_months=0,1.00,
    IF(arrears_months=1,3.00,
    IF(arrears_months=2,5.00,
    IF(arrears_months=3,8.00,
    IF(arrears_months=4,10.00,
    IF(arrears_months=5,12.00,15.00)))))))</f>
        <v/>
      </c>
      <c r="M7799">
        <f>LET(
    seasoning_years,DATEDIF('Loan Tape (S&amp;P)'!K7799,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799">
        <f>IF(AND('Loan Tape (S&amp;P)'!U7799="Yes",
        'Loan Tape (S&amp;P)'!T7799&lt;&gt;"Yes",
        DATEDIF('Loan Tape (S&amp;P)'!K7799, TODAY(), "M")&lt;18),
    1.10,
    1.00)</f>
        <v/>
      </c>
      <c r="O7799">
        <f>IF('Loan Tape (S&amp;P)'!T7799="Yes",
    1.35,
    1.00)</f>
        <v/>
      </c>
      <c r="P7799">
        <f>IF('Loan Tape (S&amp;P)'!S7799="Yes",
    1.15,
    1.00)</f>
        <v/>
      </c>
      <c r="Q7799">
        <f>IF('Loan Tape (S&amp;P)'!V7799="Yes",
    1.20,
    1.00)</f>
        <v/>
      </c>
      <c r="T7799">
        <f>LET(
    payment_method,'Loan Tape (S&amp;P)'!P7799,
    occupancy,'Loan Tape (S&amp;P)'!N7799,
    maturity_date,'Loan Tape (S&amp;P)'!L7799,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00">
      <c r="J7800">
        <f>LET(
    lien,'Loan Tape (S&amp;P)'!Q7800,
    IF(lien="First",1.00,
        IF(lien="Second",1.50,
            1.70)))</f>
        <v/>
      </c>
      <c r="K7800">
        <f>LET(
    purpose,'Loan Tape (S&amp;P)'!R7800,
    IF(purpose="Purchase",1.00,
        IF(purpose="Remortgage",1.00,
            1.20)))</f>
        <v/>
      </c>
      <c r="L7800">
        <f>LET(
    arrears_months,'Loan Tape (S&amp;P)'!AN7800,
    IF(arrears_months=0,1.00,
    IF(arrears_months=1,3.00,
    IF(arrears_months=2,5.00,
    IF(arrears_months=3,8.00,
    IF(arrears_months=4,10.00,
    IF(arrears_months=5,12.00,15.00)))))))</f>
        <v/>
      </c>
      <c r="M7800">
        <f>LET(
    seasoning_years,DATEDIF('Loan Tape (S&amp;P)'!K7800,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00">
        <f>IF(AND('Loan Tape (S&amp;P)'!U7800="Yes",
        'Loan Tape (S&amp;P)'!T7800&lt;&gt;"Yes",
        DATEDIF('Loan Tape (S&amp;P)'!K7800, TODAY(), "M")&lt;18),
    1.10,
    1.00)</f>
        <v/>
      </c>
      <c r="O7800">
        <f>IF('Loan Tape (S&amp;P)'!T7800="Yes",
    1.35,
    1.00)</f>
        <v/>
      </c>
      <c r="P7800">
        <f>IF('Loan Tape (S&amp;P)'!S7800="Yes",
    1.15,
    1.00)</f>
        <v/>
      </c>
      <c r="Q7800">
        <f>IF('Loan Tape (S&amp;P)'!V7800="Yes",
    1.20,
    1.00)</f>
        <v/>
      </c>
      <c r="T7800">
        <f>LET(
    payment_method,'Loan Tape (S&amp;P)'!P7800,
    occupancy,'Loan Tape (S&amp;P)'!N7800,
    maturity_date,'Loan Tape (S&amp;P)'!L7800,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01">
      <c r="J7801">
        <f>LET(
    lien,'Loan Tape (S&amp;P)'!Q7801,
    IF(lien="First",1.00,
        IF(lien="Second",1.50,
            1.70)))</f>
        <v/>
      </c>
      <c r="K7801">
        <f>LET(
    purpose,'Loan Tape (S&amp;P)'!R7801,
    IF(purpose="Purchase",1.00,
        IF(purpose="Remortgage",1.00,
            1.20)))</f>
        <v/>
      </c>
      <c r="L7801">
        <f>LET(
    arrears_months,'Loan Tape (S&amp;P)'!AN7801,
    IF(arrears_months=0,1.00,
    IF(arrears_months=1,3.00,
    IF(arrears_months=2,5.00,
    IF(arrears_months=3,8.00,
    IF(arrears_months=4,10.00,
    IF(arrears_months=5,12.00,15.00)))))))</f>
        <v/>
      </c>
      <c r="M7801">
        <f>LET(
    seasoning_years,DATEDIF('Loan Tape (S&amp;P)'!K7801,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01">
        <f>IF(AND('Loan Tape (S&amp;P)'!U7801="Yes",
        'Loan Tape (S&amp;P)'!T7801&lt;&gt;"Yes",
        DATEDIF('Loan Tape (S&amp;P)'!K7801, TODAY(), "M")&lt;18),
    1.10,
    1.00)</f>
        <v/>
      </c>
      <c r="O7801">
        <f>IF('Loan Tape (S&amp;P)'!T7801="Yes",
    1.35,
    1.00)</f>
        <v/>
      </c>
      <c r="P7801">
        <f>IF('Loan Tape (S&amp;P)'!S7801="Yes",
    1.15,
    1.00)</f>
        <v/>
      </c>
      <c r="Q7801">
        <f>IF('Loan Tape (S&amp;P)'!V7801="Yes",
    1.20,
    1.00)</f>
        <v/>
      </c>
      <c r="T7801">
        <f>LET(
    payment_method,'Loan Tape (S&amp;P)'!P7801,
    occupancy,'Loan Tape (S&amp;P)'!N7801,
    maturity_date,'Loan Tape (S&amp;P)'!L7801,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02">
      <c r="J7802">
        <f>LET(
    lien,'Loan Tape (S&amp;P)'!Q7802,
    IF(lien="First",1.00,
        IF(lien="Second",1.50,
            1.70)))</f>
        <v/>
      </c>
      <c r="K7802">
        <f>LET(
    purpose,'Loan Tape (S&amp;P)'!R7802,
    IF(purpose="Purchase",1.00,
        IF(purpose="Remortgage",1.00,
            1.20)))</f>
        <v/>
      </c>
      <c r="L7802">
        <f>LET(
    arrears_months,'Loan Tape (S&amp;P)'!AN7802,
    IF(arrears_months=0,1.00,
    IF(arrears_months=1,3.00,
    IF(arrears_months=2,5.00,
    IF(arrears_months=3,8.00,
    IF(arrears_months=4,10.00,
    IF(arrears_months=5,12.00,15.00)))))))</f>
        <v/>
      </c>
      <c r="M7802">
        <f>LET(
    seasoning_years,DATEDIF('Loan Tape (S&amp;P)'!K7802,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02">
        <f>IF(AND('Loan Tape (S&amp;P)'!U7802="Yes",
        'Loan Tape (S&amp;P)'!T7802&lt;&gt;"Yes",
        DATEDIF('Loan Tape (S&amp;P)'!K7802, TODAY(), "M")&lt;18),
    1.10,
    1.00)</f>
        <v/>
      </c>
      <c r="O7802">
        <f>IF('Loan Tape (S&amp;P)'!T7802="Yes",
    1.35,
    1.00)</f>
        <v/>
      </c>
      <c r="P7802">
        <f>IF('Loan Tape (S&amp;P)'!S7802="Yes",
    1.15,
    1.00)</f>
        <v/>
      </c>
      <c r="Q7802">
        <f>IF('Loan Tape (S&amp;P)'!V7802="Yes",
    1.20,
    1.00)</f>
        <v/>
      </c>
      <c r="T7802">
        <f>LET(
    payment_method,'Loan Tape (S&amp;P)'!P7802,
    occupancy,'Loan Tape (S&amp;P)'!N7802,
    maturity_date,'Loan Tape (S&amp;P)'!L7802,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03">
      <c r="J7803">
        <f>LET(
    lien,'Loan Tape (S&amp;P)'!Q7803,
    IF(lien="First",1.00,
        IF(lien="Second",1.50,
            1.70)))</f>
        <v/>
      </c>
      <c r="K7803">
        <f>LET(
    purpose,'Loan Tape (S&amp;P)'!R7803,
    IF(purpose="Purchase",1.00,
        IF(purpose="Remortgage",1.00,
            1.20)))</f>
        <v/>
      </c>
      <c r="L7803">
        <f>LET(
    arrears_months,'Loan Tape (S&amp;P)'!AN7803,
    IF(arrears_months=0,1.00,
    IF(arrears_months=1,3.00,
    IF(arrears_months=2,5.00,
    IF(arrears_months=3,8.00,
    IF(arrears_months=4,10.00,
    IF(arrears_months=5,12.00,15.00)))))))</f>
        <v/>
      </c>
      <c r="M7803">
        <f>LET(
    seasoning_years,DATEDIF('Loan Tape (S&amp;P)'!K7803,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03">
        <f>IF(AND('Loan Tape (S&amp;P)'!U7803="Yes",
        'Loan Tape (S&amp;P)'!T7803&lt;&gt;"Yes",
        DATEDIF('Loan Tape (S&amp;P)'!K7803, TODAY(), "M")&lt;18),
    1.10,
    1.00)</f>
        <v/>
      </c>
      <c r="O7803">
        <f>IF('Loan Tape (S&amp;P)'!T7803="Yes",
    1.35,
    1.00)</f>
        <v/>
      </c>
      <c r="P7803">
        <f>IF('Loan Tape (S&amp;P)'!S7803="Yes",
    1.15,
    1.00)</f>
        <v/>
      </c>
      <c r="Q7803">
        <f>IF('Loan Tape (S&amp;P)'!V7803="Yes",
    1.20,
    1.00)</f>
        <v/>
      </c>
      <c r="T7803">
        <f>LET(
    payment_method,'Loan Tape (S&amp;P)'!P7803,
    occupancy,'Loan Tape (S&amp;P)'!N7803,
    maturity_date,'Loan Tape (S&amp;P)'!L7803,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04">
      <c r="J7804">
        <f>LET(
    lien,'Loan Tape (S&amp;P)'!Q7804,
    IF(lien="First",1.00,
        IF(lien="Second",1.50,
            1.70)))</f>
        <v/>
      </c>
      <c r="K7804">
        <f>LET(
    purpose,'Loan Tape (S&amp;P)'!R7804,
    IF(purpose="Purchase",1.00,
        IF(purpose="Remortgage",1.00,
            1.20)))</f>
        <v/>
      </c>
      <c r="L7804">
        <f>LET(
    arrears_months,'Loan Tape (S&amp;P)'!AN7804,
    IF(arrears_months=0,1.00,
    IF(arrears_months=1,3.00,
    IF(arrears_months=2,5.00,
    IF(arrears_months=3,8.00,
    IF(arrears_months=4,10.00,
    IF(arrears_months=5,12.00,15.00)))))))</f>
        <v/>
      </c>
      <c r="M7804">
        <f>LET(
    seasoning_years,DATEDIF('Loan Tape (S&amp;P)'!K7804,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04">
        <f>IF(AND('Loan Tape (S&amp;P)'!U7804="Yes",
        'Loan Tape (S&amp;P)'!T7804&lt;&gt;"Yes",
        DATEDIF('Loan Tape (S&amp;P)'!K7804, TODAY(), "M")&lt;18),
    1.10,
    1.00)</f>
        <v/>
      </c>
      <c r="O7804">
        <f>IF('Loan Tape (S&amp;P)'!T7804="Yes",
    1.35,
    1.00)</f>
        <v/>
      </c>
      <c r="P7804">
        <f>IF('Loan Tape (S&amp;P)'!S7804="Yes",
    1.15,
    1.00)</f>
        <v/>
      </c>
      <c r="Q7804">
        <f>IF('Loan Tape (S&amp;P)'!V7804="Yes",
    1.20,
    1.00)</f>
        <v/>
      </c>
      <c r="T7804">
        <f>LET(
    payment_method,'Loan Tape (S&amp;P)'!P7804,
    occupancy,'Loan Tape (S&amp;P)'!N7804,
    maturity_date,'Loan Tape (S&amp;P)'!L7804,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05">
      <c r="J7805">
        <f>LET(
    lien,'Loan Tape (S&amp;P)'!Q7805,
    IF(lien="First",1.00,
        IF(lien="Second",1.50,
            1.70)))</f>
        <v/>
      </c>
      <c r="K7805">
        <f>LET(
    purpose,'Loan Tape (S&amp;P)'!R7805,
    IF(purpose="Purchase",1.00,
        IF(purpose="Remortgage",1.00,
            1.20)))</f>
        <v/>
      </c>
      <c r="L7805">
        <f>LET(
    arrears_months,'Loan Tape (S&amp;P)'!AN7805,
    IF(arrears_months=0,1.00,
    IF(arrears_months=1,3.00,
    IF(arrears_months=2,5.00,
    IF(arrears_months=3,8.00,
    IF(arrears_months=4,10.00,
    IF(arrears_months=5,12.00,15.00)))))))</f>
        <v/>
      </c>
      <c r="M7805">
        <f>LET(
    seasoning_years,DATEDIF('Loan Tape (S&amp;P)'!K7805,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05">
        <f>IF(AND('Loan Tape (S&amp;P)'!U7805="Yes",
        'Loan Tape (S&amp;P)'!T7805&lt;&gt;"Yes",
        DATEDIF('Loan Tape (S&amp;P)'!K7805, TODAY(), "M")&lt;18),
    1.10,
    1.00)</f>
        <v/>
      </c>
      <c r="O7805">
        <f>IF('Loan Tape (S&amp;P)'!T7805="Yes",
    1.35,
    1.00)</f>
        <v/>
      </c>
      <c r="P7805">
        <f>IF('Loan Tape (S&amp;P)'!S7805="Yes",
    1.15,
    1.00)</f>
        <v/>
      </c>
      <c r="Q7805">
        <f>IF('Loan Tape (S&amp;P)'!V7805="Yes",
    1.20,
    1.00)</f>
        <v/>
      </c>
      <c r="T7805">
        <f>LET(
    payment_method,'Loan Tape (S&amp;P)'!P7805,
    occupancy,'Loan Tape (S&amp;P)'!N7805,
    maturity_date,'Loan Tape (S&amp;P)'!L7805,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06">
      <c r="J7806">
        <f>LET(
    lien,'Loan Tape (S&amp;P)'!Q7806,
    IF(lien="First",1.00,
        IF(lien="Second",1.50,
            1.70)))</f>
        <v/>
      </c>
      <c r="K7806">
        <f>LET(
    purpose,'Loan Tape (S&amp;P)'!R7806,
    IF(purpose="Purchase",1.00,
        IF(purpose="Remortgage",1.00,
            1.20)))</f>
        <v/>
      </c>
      <c r="L7806">
        <f>LET(
    arrears_months,'Loan Tape (S&amp;P)'!AN7806,
    IF(arrears_months=0,1.00,
    IF(arrears_months=1,3.00,
    IF(arrears_months=2,5.00,
    IF(arrears_months=3,8.00,
    IF(arrears_months=4,10.00,
    IF(arrears_months=5,12.00,15.00)))))))</f>
        <v/>
      </c>
      <c r="M7806">
        <f>LET(
    seasoning_years,DATEDIF('Loan Tape (S&amp;P)'!K7806,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06">
        <f>IF(AND('Loan Tape (S&amp;P)'!U7806="Yes",
        'Loan Tape (S&amp;P)'!T7806&lt;&gt;"Yes",
        DATEDIF('Loan Tape (S&amp;P)'!K7806, TODAY(), "M")&lt;18),
    1.10,
    1.00)</f>
        <v/>
      </c>
      <c r="O7806">
        <f>IF('Loan Tape (S&amp;P)'!T7806="Yes",
    1.35,
    1.00)</f>
        <v/>
      </c>
      <c r="P7806">
        <f>IF('Loan Tape (S&amp;P)'!S7806="Yes",
    1.15,
    1.00)</f>
        <v/>
      </c>
      <c r="Q7806">
        <f>IF('Loan Tape (S&amp;P)'!V7806="Yes",
    1.20,
    1.00)</f>
        <v/>
      </c>
      <c r="T7806">
        <f>LET(
    payment_method,'Loan Tape (S&amp;P)'!P7806,
    occupancy,'Loan Tape (S&amp;P)'!N7806,
    maturity_date,'Loan Tape (S&amp;P)'!L7806,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07">
      <c r="J7807">
        <f>LET(
    lien,'Loan Tape (S&amp;P)'!Q7807,
    IF(lien="First",1.00,
        IF(lien="Second",1.50,
            1.70)))</f>
        <v/>
      </c>
      <c r="K7807">
        <f>LET(
    purpose,'Loan Tape (S&amp;P)'!R7807,
    IF(purpose="Purchase",1.00,
        IF(purpose="Remortgage",1.00,
            1.20)))</f>
        <v/>
      </c>
      <c r="L7807">
        <f>LET(
    arrears_months,'Loan Tape (S&amp;P)'!AN7807,
    IF(arrears_months=0,1.00,
    IF(arrears_months=1,3.00,
    IF(arrears_months=2,5.00,
    IF(arrears_months=3,8.00,
    IF(arrears_months=4,10.00,
    IF(arrears_months=5,12.00,15.00)))))))</f>
        <v/>
      </c>
      <c r="M7807">
        <f>LET(
    seasoning_years,DATEDIF('Loan Tape (S&amp;P)'!K7807,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07">
        <f>IF(AND('Loan Tape (S&amp;P)'!U7807="Yes",
        'Loan Tape (S&amp;P)'!T7807&lt;&gt;"Yes",
        DATEDIF('Loan Tape (S&amp;P)'!K7807, TODAY(), "M")&lt;18),
    1.10,
    1.00)</f>
        <v/>
      </c>
      <c r="O7807">
        <f>IF('Loan Tape (S&amp;P)'!T7807="Yes",
    1.35,
    1.00)</f>
        <v/>
      </c>
      <c r="P7807">
        <f>IF('Loan Tape (S&amp;P)'!S7807="Yes",
    1.15,
    1.00)</f>
        <v/>
      </c>
      <c r="Q7807">
        <f>IF('Loan Tape (S&amp;P)'!V7807="Yes",
    1.20,
    1.00)</f>
        <v/>
      </c>
      <c r="T7807">
        <f>LET(
    payment_method,'Loan Tape (S&amp;P)'!P7807,
    occupancy,'Loan Tape (S&amp;P)'!N7807,
    maturity_date,'Loan Tape (S&amp;P)'!L7807,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08">
      <c r="J7808">
        <f>LET(
    lien,'Loan Tape (S&amp;P)'!Q7808,
    IF(lien="First",1.00,
        IF(lien="Second",1.50,
            1.70)))</f>
        <v/>
      </c>
      <c r="K7808">
        <f>LET(
    purpose,'Loan Tape (S&amp;P)'!R7808,
    IF(purpose="Purchase",1.00,
        IF(purpose="Remortgage",1.00,
            1.20)))</f>
        <v/>
      </c>
      <c r="L7808">
        <f>LET(
    arrears_months,'Loan Tape (S&amp;P)'!AN7808,
    IF(arrears_months=0,1.00,
    IF(arrears_months=1,3.00,
    IF(arrears_months=2,5.00,
    IF(arrears_months=3,8.00,
    IF(arrears_months=4,10.00,
    IF(arrears_months=5,12.00,15.00)))))))</f>
        <v/>
      </c>
      <c r="M7808">
        <f>LET(
    seasoning_years,DATEDIF('Loan Tape (S&amp;P)'!K7808,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08">
        <f>IF(AND('Loan Tape (S&amp;P)'!U7808="Yes",
        'Loan Tape (S&amp;P)'!T7808&lt;&gt;"Yes",
        DATEDIF('Loan Tape (S&amp;P)'!K7808, TODAY(), "M")&lt;18),
    1.10,
    1.00)</f>
        <v/>
      </c>
      <c r="O7808">
        <f>IF('Loan Tape (S&amp;P)'!T7808="Yes",
    1.35,
    1.00)</f>
        <v/>
      </c>
      <c r="P7808">
        <f>IF('Loan Tape (S&amp;P)'!S7808="Yes",
    1.15,
    1.00)</f>
        <v/>
      </c>
      <c r="Q7808">
        <f>IF('Loan Tape (S&amp;P)'!V7808="Yes",
    1.20,
    1.00)</f>
        <v/>
      </c>
      <c r="T7808">
        <f>LET(
    payment_method,'Loan Tape (S&amp;P)'!P7808,
    occupancy,'Loan Tape (S&amp;P)'!N7808,
    maturity_date,'Loan Tape (S&amp;P)'!L7808,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09">
      <c r="J7809">
        <f>LET(
    lien,'Loan Tape (S&amp;P)'!Q7809,
    IF(lien="First",1.00,
        IF(lien="Second",1.50,
            1.70)))</f>
        <v/>
      </c>
      <c r="K7809">
        <f>LET(
    purpose,'Loan Tape (S&amp;P)'!R7809,
    IF(purpose="Purchase",1.00,
        IF(purpose="Remortgage",1.00,
            1.20)))</f>
        <v/>
      </c>
      <c r="L7809">
        <f>LET(
    arrears_months,'Loan Tape (S&amp;P)'!AN7809,
    IF(arrears_months=0,1.00,
    IF(arrears_months=1,3.00,
    IF(arrears_months=2,5.00,
    IF(arrears_months=3,8.00,
    IF(arrears_months=4,10.00,
    IF(arrears_months=5,12.00,15.00)))))))</f>
        <v/>
      </c>
      <c r="M7809">
        <f>LET(
    seasoning_years,DATEDIF('Loan Tape (S&amp;P)'!K7809,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09">
        <f>IF(AND('Loan Tape (S&amp;P)'!U7809="Yes",
        'Loan Tape (S&amp;P)'!T7809&lt;&gt;"Yes",
        DATEDIF('Loan Tape (S&amp;P)'!K7809, TODAY(), "M")&lt;18),
    1.10,
    1.00)</f>
        <v/>
      </c>
      <c r="O7809">
        <f>IF('Loan Tape (S&amp;P)'!T7809="Yes",
    1.35,
    1.00)</f>
        <v/>
      </c>
      <c r="P7809">
        <f>IF('Loan Tape (S&amp;P)'!S7809="Yes",
    1.15,
    1.00)</f>
        <v/>
      </c>
      <c r="Q7809">
        <f>IF('Loan Tape (S&amp;P)'!V7809="Yes",
    1.20,
    1.00)</f>
        <v/>
      </c>
      <c r="T7809">
        <f>LET(
    payment_method,'Loan Tape (S&amp;P)'!P7809,
    occupancy,'Loan Tape (S&amp;P)'!N7809,
    maturity_date,'Loan Tape (S&amp;P)'!L7809,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10">
      <c r="J7810">
        <f>LET(
    lien,'Loan Tape (S&amp;P)'!Q7810,
    IF(lien="First",1.00,
        IF(lien="Second",1.50,
            1.70)))</f>
        <v/>
      </c>
      <c r="K7810">
        <f>LET(
    purpose,'Loan Tape (S&amp;P)'!R7810,
    IF(purpose="Purchase",1.00,
        IF(purpose="Remortgage",1.00,
            1.20)))</f>
        <v/>
      </c>
      <c r="L7810">
        <f>LET(
    arrears_months,'Loan Tape (S&amp;P)'!AN7810,
    IF(arrears_months=0,1.00,
    IF(arrears_months=1,3.00,
    IF(arrears_months=2,5.00,
    IF(arrears_months=3,8.00,
    IF(arrears_months=4,10.00,
    IF(arrears_months=5,12.00,15.00)))))))</f>
        <v/>
      </c>
      <c r="M7810">
        <f>LET(
    seasoning_years,DATEDIF('Loan Tape (S&amp;P)'!K7810,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10">
        <f>IF(AND('Loan Tape (S&amp;P)'!U7810="Yes",
        'Loan Tape (S&amp;P)'!T7810&lt;&gt;"Yes",
        DATEDIF('Loan Tape (S&amp;P)'!K7810, TODAY(), "M")&lt;18),
    1.10,
    1.00)</f>
        <v/>
      </c>
      <c r="O7810">
        <f>IF('Loan Tape (S&amp;P)'!T7810="Yes",
    1.35,
    1.00)</f>
        <v/>
      </c>
      <c r="P7810">
        <f>IF('Loan Tape (S&amp;P)'!S7810="Yes",
    1.15,
    1.00)</f>
        <v/>
      </c>
      <c r="Q7810">
        <f>IF('Loan Tape (S&amp;P)'!V7810="Yes",
    1.20,
    1.00)</f>
        <v/>
      </c>
      <c r="T7810">
        <f>LET(
    payment_method,'Loan Tape (S&amp;P)'!P7810,
    occupancy,'Loan Tape (S&amp;P)'!N7810,
    maturity_date,'Loan Tape (S&amp;P)'!L7810,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11">
      <c r="J7811">
        <f>LET(
    lien,'Loan Tape (S&amp;P)'!Q7811,
    IF(lien="First",1.00,
        IF(lien="Second",1.50,
            1.70)))</f>
        <v/>
      </c>
      <c r="K7811">
        <f>LET(
    purpose,'Loan Tape (S&amp;P)'!R7811,
    IF(purpose="Purchase",1.00,
        IF(purpose="Remortgage",1.00,
            1.20)))</f>
        <v/>
      </c>
      <c r="L7811">
        <f>LET(
    arrears_months,'Loan Tape (S&amp;P)'!AN7811,
    IF(arrears_months=0,1.00,
    IF(arrears_months=1,3.00,
    IF(arrears_months=2,5.00,
    IF(arrears_months=3,8.00,
    IF(arrears_months=4,10.00,
    IF(arrears_months=5,12.00,15.00)))))))</f>
        <v/>
      </c>
      <c r="M7811">
        <f>LET(
    seasoning_years,DATEDIF('Loan Tape (S&amp;P)'!K7811,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11">
        <f>IF(AND('Loan Tape (S&amp;P)'!U7811="Yes",
        'Loan Tape (S&amp;P)'!T7811&lt;&gt;"Yes",
        DATEDIF('Loan Tape (S&amp;P)'!K7811, TODAY(), "M")&lt;18),
    1.10,
    1.00)</f>
        <v/>
      </c>
      <c r="O7811">
        <f>IF('Loan Tape (S&amp;P)'!T7811="Yes",
    1.35,
    1.00)</f>
        <v/>
      </c>
      <c r="P7811">
        <f>IF('Loan Tape (S&amp;P)'!S7811="Yes",
    1.15,
    1.00)</f>
        <v/>
      </c>
      <c r="Q7811">
        <f>IF('Loan Tape (S&amp;P)'!V7811="Yes",
    1.20,
    1.00)</f>
        <v/>
      </c>
      <c r="T7811">
        <f>LET(
    payment_method,'Loan Tape (S&amp;P)'!P7811,
    occupancy,'Loan Tape (S&amp;P)'!N7811,
    maturity_date,'Loan Tape (S&amp;P)'!L7811,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12">
      <c r="J7812">
        <f>LET(
    lien,'Loan Tape (S&amp;P)'!Q7812,
    IF(lien="First",1.00,
        IF(lien="Second",1.50,
            1.70)))</f>
        <v/>
      </c>
      <c r="K7812">
        <f>LET(
    purpose,'Loan Tape (S&amp;P)'!R7812,
    IF(purpose="Purchase",1.00,
        IF(purpose="Remortgage",1.00,
            1.20)))</f>
        <v/>
      </c>
      <c r="L7812">
        <f>LET(
    arrears_months,'Loan Tape (S&amp;P)'!AN7812,
    IF(arrears_months=0,1.00,
    IF(arrears_months=1,3.00,
    IF(arrears_months=2,5.00,
    IF(arrears_months=3,8.00,
    IF(arrears_months=4,10.00,
    IF(arrears_months=5,12.00,15.00)))))))</f>
        <v/>
      </c>
      <c r="M7812">
        <f>LET(
    seasoning_years,DATEDIF('Loan Tape (S&amp;P)'!K7812,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12">
        <f>IF(AND('Loan Tape (S&amp;P)'!U7812="Yes",
        'Loan Tape (S&amp;P)'!T7812&lt;&gt;"Yes",
        DATEDIF('Loan Tape (S&amp;P)'!K7812, TODAY(), "M")&lt;18),
    1.10,
    1.00)</f>
        <v/>
      </c>
      <c r="O7812">
        <f>IF('Loan Tape (S&amp;P)'!T7812="Yes",
    1.35,
    1.00)</f>
        <v/>
      </c>
      <c r="P7812">
        <f>IF('Loan Tape (S&amp;P)'!S7812="Yes",
    1.15,
    1.00)</f>
        <v/>
      </c>
      <c r="Q7812">
        <f>IF('Loan Tape (S&amp;P)'!V7812="Yes",
    1.20,
    1.00)</f>
        <v/>
      </c>
      <c r="T7812">
        <f>LET(
    payment_method,'Loan Tape (S&amp;P)'!P7812,
    occupancy,'Loan Tape (S&amp;P)'!N7812,
    maturity_date,'Loan Tape (S&amp;P)'!L7812,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13">
      <c r="J7813">
        <f>LET(
    lien,'Loan Tape (S&amp;P)'!Q7813,
    IF(lien="First",1.00,
        IF(lien="Second",1.50,
            1.70)))</f>
        <v/>
      </c>
      <c r="K7813">
        <f>LET(
    purpose,'Loan Tape (S&amp;P)'!R7813,
    IF(purpose="Purchase",1.00,
        IF(purpose="Remortgage",1.00,
            1.20)))</f>
        <v/>
      </c>
      <c r="L7813">
        <f>LET(
    arrears_months,'Loan Tape (S&amp;P)'!AN7813,
    IF(arrears_months=0,1.00,
    IF(arrears_months=1,3.00,
    IF(arrears_months=2,5.00,
    IF(arrears_months=3,8.00,
    IF(arrears_months=4,10.00,
    IF(arrears_months=5,12.00,15.00)))))))</f>
        <v/>
      </c>
      <c r="M7813">
        <f>LET(
    seasoning_years,DATEDIF('Loan Tape (S&amp;P)'!K7813,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13">
        <f>IF(AND('Loan Tape (S&amp;P)'!U7813="Yes",
        'Loan Tape (S&amp;P)'!T7813&lt;&gt;"Yes",
        DATEDIF('Loan Tape (S&amp;P)'!K7813, TODAY(), "M")&lt;18),
    1.10,
    1.00)</f>
        <v/>
      </c>
      <c r="O7813">
        <f>IF('Loan Tape (S&amp;P)'!T7813="Yes",
    1.35,
    1.00)</f>
        <v/>
      </c>
      <c r="P7813">
        <f>IF('Loan Tape (S&amp;P)'!S7813="Yes",
    1.15,
    1.00)</f>
        <v/>
      </c>
      <c r="Q7813">
        <f>IF('Loan Tape (S&amp;P)'!V7813="Yes",
    1.20,
    1.00)</f>
        <v/>
      </c>
      <c r="T7813">
        <f>LET(
    payment_method,'Loan Tape (S&amp;P)'!P7813,
    occupancy,'Loan Tape (S&amp;P)'!N7813,
    maturity_date,'Loan Tape (S&amp;P)'!L7813,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14">
      <c r="J7814">
        <f>LET(
    lien,'Loan Tape (S&amp;P)'!Q7814,
    IF(lien="First",1.00,
        IF(lien="Second",1.50,
            1.70)))</f>
        <v/>
      </c>
      <c r="K7814">
        <f>LET(
    purpose,'Loan Tape (S&amp;P)'!R7814,
    IF(purpose="Purchase",1.00,
        IF(purpose="Remortgage",1.00,
            1.20)))</f>
        <v/>
      </c>
      <c r="L7814">
        <f>LET(
    arrears_months,'Loan Tape (S&amp;P)'!AN7814,
    IF(arrears_months=0,1.00,
    IF(arrears_months=1,3.00,
    IF(arrears_months=2,5.00,
    IF(arrears_months=3,8.00,
    IF(arrears_months=4,10.00,
    IF(arrears_months=5,12.00,15.00)))))))</f>
        <v/>
      </c>
      <c r="M7814">
        <f>LET(
    seasoning_years,DATEDIF('Loan Tape (S&amp;P)'!K7814,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14">
        <f>IF(AND('Loan Tape (S&amp;P)'!U7814="Yes",
        'Loan Tape (S&amp;P)'!T7814&lt;&gt;"Yes",
        DATEDIF('Loan Tape (S&amp;P)'!K7814, TODAY(), "M")&lt;18),
    1.10,
    1.00)</f>
        <v/>
      </c>
      <c r="O7814">
        <f>IF('Loan Tape (S&amp;P)'!T7814="Yes",
    1.35,
    1.00)</f>
        <v/>
      </c>
      <c r="P7814">
        <f>IF('Loan Tape (S&amp;P)'!S7814="Yes",
    1.15,
    1.00)</f>
        <v/>
      </c>
      <c r="Q7814">
        <f>IF('Loan Tape (S&amp;P)'!V7814="Yes",
    1.20,
    1.00)</f>
        <v/>
      </c>
      <c r="T7814">
        <f>LET(
    payment_method,'Loan Tape (S&amp;P)'!P7814,
    occupancy,'Loan Tape (S&amp;P)'!N7814,
    maturity_date,'Loan Tape (S&amp;P)'!L7814,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15">
      <c r="J7815">
        <f>LET(
    lien,'Loan Tape (S&amp;P)'!Q7815,
    IF(lien="First",1.00,
        IF(lien="Second",1.50,
            1.70)))</f>
        <v/>
      </c>
      <c r="K7815">
        <f>LET(
    purpose,'Loan Tape (S&amp;P)'!R7815,
    IF(purpose="Purchase",1.00,
        IF(purpose="Remortgage",1.00,
            1.20)))</f>
        <v/>
      </c>
      <c r="L7815">
        <f>LET(
    arrears_months,'Loan Tape (S&amp;P)'!AN7815,
    IF(arrears_months=0,1.00,
    IF(arrears_months=1,3.00,
    IF(arrears_months=2,5.00,
    IF(arrears_months=3,8.00,
    IF(arrears_months=4,10.00,
    IF(arrears_months=5,12.00,15.00)))))))</f>
        <v/>
      </c>
      <c r="M7815">
        <f>LET(
    seasoning_years,DATEDIF('Loan Tape (S&amp;P)'!K7815,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15">
        <f>IF(AND('Loan Tape (S&amp;P)'!U7815="Yes",
        'Loan Tape (S&amp;P)'!T7815&lt;&gt;"Yes",
        DATEDIF('Loan Tape (S&amp;P)'!K7815, TODAY(), "M")&lt;18),
    1.10,
    1.00)</f>
        <v/>
      </c>
      <c r="O7815">
        <f>IF('Loan Tape (S&amp;P)'!T7815="Yes",
    1.35,
    1.00)</f>
        <v/>
      </c>
      <c r="P7815">
        <f>IF('Loan Tape (S&amp;P)'!S7815="Yes",
    1.15,
    1.00)</f>
        <v/>
      </c>
      <c r="Q7815">
        <f>IF('Loan Tape (S&amp;P)'!V7815="Yes",
    1.20,
    1.00)</f>
        <v/>
      </c>
      <c r="T7815">
        <f>LET(
    payment_method,'Loan Tape (S&amp;P)'!P7815,
    occupancy,'Loan Tape (S&amp;P)'!N7815,
    maturity_date,'Loan Tape (S&amp;P)'!L7815,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16">
      <c r="J7816">
        <f>LET(
    lien,'Loan Tape (S&amp;P)'!Q7816,
    IF(lien="First",1.00,
        IF(lien="Second",1.50,
            1.70)))</f>
        <v/>
      </c>
      <c r="K7816">
        <f>LET(
    purpose,'Loan Tape (S&amp;P)'!R7816,
    IF(purpose="Purchase",1.00,
        IF(purpose="Remortgage",1.00,
            1.20)))</f>
        <v/>
      </c>
      <c r="L7816">
        <f>LET(
    arrears_months,'Loan Tape (S&amp;P)'!AN7816,
    IF(arrears_months=0,1.00,
    IF(arrears_months=1,3.00,
    IF(arrears_months=2,5.00,
    IF(arrears_months=3,8.00,
    IF(arrears_months=4,10.00,
    IF(arrears_months=5,12.00,15.00)))))))</f>
        <v/>
      </c>
      <c r="M7816">
        <f>LET(
    seasoning_years,DATEDIF('Loan Tape (S&amp;P)'!K7816,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16">
        <f>IF(AND('Loan Tape (S&amp;P)'!U7816="Yes",
        'Loan Tape (S&amp;P)'!T7816&lt;&gt;"Yes",
        DATEDIF('Loan Tape (S&amp;P)'!K7816, TODAY(), "M")&lt;18),
    1.10,
    1.00)</f>
        <v/>
      </c>
      <c r="O7816">
        <f>IF('Loan Tape (S&amp;P)'!T7816="Yes",
    1.35,
    1.00)</f>
        <v/>
      </c>
      <c r="P7816">
        <f>IF('Loan Tape (S&amp;P)'!S7816="Yes",
    1.15,
    1.00)</f>
        <v/>
      </c>
      <c r="Q7816">
        <f>IF('Loan Tape (S&amp;P)'!V7816="Yes",
    1.20,
    1.00)</f>
        <v/>
      </c>
      <c r="T7816">
        <f>LET(
    payment_method,'Loan Tape (S&amp;P)'!P7816,
    occupancy,'Loan Tape (S&amp;P)'!N7816,
    maturity_date,'Loan Tape (S&amp;P)'!L7816,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17">
      <c r="J7817">
        <f>LET(
    lien,'Loan Tape (S&amp;P)'!Q7817,
    IF(lien="First",1.00,
        IF(lien="Second",1.50,
            1.70)))</f>
        <v/>
      </c>
      <c r="K7817">
        <f>LET(
    purpose,'Loan Tape (S&amp;P)'!R7817,
    IF(purpose="Purchase",1.00,
        IF(purpose="Remortgage",1.00,
            1.20)))</f>
        <v/>
      </c>
      <c r="L7817">
        <f>LET(
    arrears_months,'Loan Tape (S&amp;P)'!AN7817,
    IF(arrears_months=0,1.00,
    IF(arrears_months=1,3.00,
    IF(arrears_months=2,5.00,
    IF(arrears_months=3,8.00,
    IF(arrears_months=4,10.00,
    IF(arrears_months=5,12.00,15.00)))))))</f>
        <v/>
      </c>
      <c r="M7817">
        <f>LET(
    seasoning_years,DATEDIF('Loan Tape (S&amp;P)'!K7817,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17">
        <f>IF(AND('Loan Tape (S&amp;P)'!U7817="Yes",
        'Loan Tape (S&amp;P)'!T7817&lt;&gt;"Yes",
        DATEDIF('Loan Tape (S&amp;P)'!K7817, TODAY(), "M")&lt;18),
    1.10,
    1.00)</f>
        <v/>
      </c>
      <c r="O7817">
        <f>IF('Loan Tape (S&amp;P)'!T7817="Yes",
    1.35,
    1.00)</f>
        <v/>
      </c>
      <c r="P7817">
        <f>IF('Loan Tape (S&amp;P)'!S7817="Yes",
    1.15,
    1.00)</f>
        <v/>
      </c>
      <c r="Q7817">
        <f>IF('Loan Tape (S&amp;P)'!V7817="Yes",
    1.20,
    1.00)</f>
        <v/>
      </c>
      <c r="T7817">
        <f>LET(
    payment_method,'Loan Tape (S&amp;P)'!P7817,
    occupancy,'Loan Tape (S&amp;P)'!N7817,
    maturity_date,'Loan Tape (S&amp;P)'!L7817,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18">
      <c r="J7818">
        <f>LET(
    lien,'Loan Tape (S&amp;P)'!Q7818,
    IF(lien="First",1.00,
        IF(lien="Second",1.50,
            1.70)))</f>
        <v/>
      </c>
      <c r="K7818">
        <f>LET(
    purpose,'Loan Tape (S&amp;P)'!R7818,
    IF(purpose="Purchase",1.00,
        IF(purpose="Remortgage",1.00,
            1.20)))</f>
        <v/>
      </c>
      <c r="L7818">
        <f>LET(
    arrears_months,'Loan Tape (S&amp;P)'!AN7818,
    IF(arrears_months=0,1.00,
    IF(arrears_months=1,3.00,
    IF(arrears_months=2,5.00,
    IF(arrears_months=3,8.00,
    IF(arrears_months=4,10.00,
    IF(arrears_months=5,12.00,15.00)))))))</f>
        <v/>
      </c>
      <c r="M7818">
        <f>LET(
    seasoning_years,DATEDIF('Loan Tape (S&amp;P)'!K7818,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18">
        <f>IF(AND('Loan Tape (S&amp;P)'!U7818="Yes",
        'Loan Tape (S&amp;P)'!T7818&lt;&gt;"Yes",
        DATEDIF('Loan Tape (S&amp;P)'!K7818, TODAY(), "M")&lt;18),
    1.10,
    1.00)</f>
        <v/>
      </c>
      <c r="O7818">
        <f>IF('Loan Tape (S&amp;P)'!T7818="Yes",
    1.35,
    1.00)</f>
        <v/>
      </c>
      <c r="P7818">
        <f>IF('Loan Tape (S&amp;P)'!S7818="Yes",
    1.15,
    1.00)</f>
        <v/>
      </c>
      <c r="Q7818">
        <f>IF('Loan Tape (S&amp;P)'!V7818="Yes",
    1.20,
    1.00)</f>
        <v/>
      </c>
      <c r="T7818">
        <f>LET(
    payment_method,'Loan Tape (S&amp;P)'!P7818,
    occupancy,'Loan Tape (S&amp;P)'!N7818,
    maturity_date,'Loan Tape (S&amp;P)'!L7818,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19">
      <c r="J7819">
        <f>LET(
    lien,'Loan Tape (S&amp;P)'!Q7819,
    IF(lien="First",1.00,
        IF(lien="Second",1.50,
            1.70)))</f>
        <v/>
      </c>
      <c r="K7819">
        <f>LET(
    purpose,'Loan Tape (S&amp;P)'!R7819,
    IF(purpose="Purchase",1.00,
        IF(purpose="Remortgage",1.00,
            1.20)))</f>
        <v/>
      </c>
      <c r="L7819">
        <f>LET(
    arrears_months,'Loan Tape (S&amp;P)'!AN7819,
    IF(arrears_months=0,1.00,
    IF(arrears_months=1,3.00,
    IF(arrears_months=2,5.00,
    IF(arrears_months=3,8.00,
    IF(arrears_months=4,10.00,
    IF(arrears_months=5,12.00,15.00)))))))</f>
        <v/>
      </c>
      <c r="M7819">
        <f>LET(
    seasoning_years,DATEDIF('Loan Tape (S&amp;P)'!K7819,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19">
        <f>IF(AND('Loan Tape (S&amp;P)'!U7819="Yes",
        'Loan Tape (S&amp;P)'!T7819&lt;&gt;"Yes",
        DATEDIF('Loan Tape (S&amp;P)'!K7819, TODAY(), "M")&lt;18),
    1.10,
    1.00)</f>
        <v/>
      </c>
      <c r="O7819">
        <f>IF('Loan Tape (S&amp;P)'!T7819="Yes",
    1.35,
    1.00)</f>
        <v/>
      </c>
      <c r="P7819">
        <f>IF('Loan Tape (S&amp;P)'!S7819="Yes",
    1.15,
    1.00)</f>
        <v/>
      </c>
      <c r="Q7819">
        <f>IF('Loan Tape (S&amp;P)'!V7819="Yes",
    1.20,
    1.00)</f>
        <v/>
      </c>
      <c r="T7819">
        <f>LET(
    payment_method,'Loan Tape (S&amp;P)'!P7819,
    occupancy,'Loan Tape (S&amp;P)'!N7819,
    maturity_date,'Loan Tape (S&amp;P)'!L7819,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20">
      <c r="J7820">
        <f>LET(
    lien,'Loan Tape (S&amp;P)'!Q7820,
    IF(lien="First",1.00,
        IF(lien="Second",1.50,
            1.70)))</f>
        <v/>
      </c>
      <c r="K7820">
        <f>LET(
    purpose,'Loan Tape (S&amp;P)'!R7820,
    IF(purpose="Purchase",1.00,
        IF(purpose="Remortgage",1.00,
            1.20)))</f>
        <v/>
      </c>
      <c r="L7820">
        <f>LET(
    arrears_months,'Loan Tape (S&amp;P)'!AN7820,
    IF(arrears_months=0,1.00,
    IF(arrears_months=1,3.00,
    IF(arrears_months=2,5.00,
    IF(arrears_months=3,8.00,
    IF(arrears_months=4,10.00,
    IF(arrears_months=5,12.00,15.00)))))))</f>
        <v/>
      </c>
      <c r="M7820">
        <f>LET(
    seasoning_years,DATEDIF('Loan Tape (S&amp;P)'!K7820,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20">
        <f>IF(AND('Loan Tape (S&amp;P)'!U7820="Yes",
        'Loan Tape (S&amp;P)'!T7820&lt;&gt;"Yes",
        DATEDIF('Loan Tape (S&amp;P)'!K7820, TODAY(), "M")&lt;18),
    1.10,
    1.00)</f>
        <v/>
      </c>
      <c r="O7820">
        <f>IF('Loan Tape (S&amp;P)'!T7820="Yes",
    1.35,
    1.00)</f>
        <v/>
      </c>
      <c r="P7820">
        <f>IF('Loan Tape (S&amp;P)'!S7820="Yes",
    1.15,
    1.00)</f>
        <v/>
      </c>
      <c r="Q7820">
        <f>IF('Loan Tape (S&amp;P)'!V7820="Yes",
    1.20,
    1.00)</f>
        <v/>
      </c>
      <c r="T7820">
        <f>LET(
    payment_method,'Loan Tape (S&amp;P)'!P7820,
    occupancy,'Loan Tape (S&amp;P)'!N7820,
    maturity_date,'Loan Tape (S&amp;P)'!L7820,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21">
      <c r="J7821">
        <f>LET(
    lien,'Loan Tape (S&amp;P)'!Q7821,
    IF(lien="First",1.00,
        IF(lien="Second",1.50,
            1.70)))</f>
        <v/>
      </c>
      <c r="K7821">
        <f>LET(
    purpose,'Loan Tape (S&amp;P)'!R7821,
    IF(purpose="Purchase",1.00,
        IF(purpose="Remortgage",1.00,
            1.20)))</f>
        <v/>
      </c>
      <c r="L7821">
        <f>LET(
    arrears_months,'Loan Tape (S&amp;P)'!AN7821,
    IF(arrears_months=0,1.00,
    IF(arrears_months=1,3.00,
    IF(arrears_months=2,5.00,
    IF(arrears_months=3,8.00,
    IF(arrears_months=4,10.00,
    IF(arrears_months=5,12.00,15.00)))))))</f>
        <v/>
      </c>
      <c r="M7821">
        <f>LET(
    seasoning_years,DATEDIF('Loan Tape (S&amp;P)'!K7821,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21">
        <f>IF(AND('Loan Tape (S&amp;P)'!U7821="Yes",
        'Loan Tape (S&amp;P)'!T7821&lt;&gt;"Yes",
        DATEDIF('Loan Tape (S&amp;P)'!K7821, TODAY(), "M")&lt;18),
    1.10,
    1.00)</f>
        <v/>
      </c>
      <c r="O7821">
        <f>IF('Loan Tape (S&amp;P)'!T7821="Yes",
    1.35,
    1.00)</f>
        <v/>
      </c>
      <c r="P7821">
        <f>IF('Loan Tape (S&amp;P)'!S7821="Yes",
    1.15,
    1.00)</f>
        <v/>
      </c>
      <c r="Q7821">
        <f>IF('Loan Tape (S&amp;P)'!V7821="Yes",
    1.20,
    1.00)</f>
        <v/>
      </c>
      <c r="T7821">
        <f>LET(
    payment_method,'Loan Tape (S&amp;P)'!P7821,
    occupancy,'Loan Tape (S&amp;P)'!N7821,
    maturity_date,'Loan Tape (S&amp;P)'!L7821,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22">
      <c r="J7822">
        <f>LET(
    lien,'Loan Tape (S&amp;P)'!Q7822,
    IF(lien="First",1.00,
        IF(lien="Second",1.50,
            1.70)))</f>
        <v/>
      </c>
      <c r="K7822">
        <f>LET(
    purpose,'Loan Tape (S&amp;P)'!R7822,
    IF(purpose="Purchase",1.00,
        IF(purpose="Remortgage",1.00,
            1.20)))</f>
        <v/>
      </c>
      <c r="L7822">
        <f>LET(
    arrears_months,'Loan Tape (S&amp;P)'!AN7822,
    IF(arrears_months=0,1.00,
    IF(arrears_months=1,3.00,
    IF(arrears_months=2,5.00,
    IF(arrears_months=3,8.00,
    IF(arrears_months=4,10.00,
    IF(arrears_months=5,12.00,15.00)))))))</f>
        <v/>
      </c>
      <c r="M7822">
        <f>LET(
    seasoning_years,DATEDIF('Loan Tape (S&amp;P)'!K7822,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22">
        <f>IF(AND('Loan Tape (S&amp;P)'!U7822="Yes",
        'Loan Tape (S&amp;P)'!T7822&lt;&gt;"Yes",
        DATEDIF('Loan Tape (S&amp;P)'!K7822, TODAY(), "M")&lt;18),
    1.10,
    1.00)</f>
        <v/>
      </c>
      <c r="O7822">
        <f>IF('Loan Tape (S&amp;P)'!T7822="Yes",
    1.35,
    1.00)</f>
        <v/>
      </c>
      <c r="P7822">
        <f>IF('Loan Tape (S&amp;P)'!S7822="Yes",
    1.15,
    1.00)</f>
        <v/>
      </c>
      <c r="Q7822">
        <f>IF('Loan Tape (S&amp;P)'!V7822="Yes",
    1.20,
    1.00)</f>
        <v/>
      </c>
      <c r="T7822">
        <f>LET(
    payment_method,'Loan Tape (S&amp;P)'!P7822,
    occupancy,'Loan Tape (S&amp;P)'!N7822,
    maturity_date,'Loan Tape (S&amp;P)'!L7822,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23">
      <c r="J7823">
        <f>LET(
    lien,'Loan Tape (S&amp;P)'!Q7823,
    IF(lien="First",1.00,
        IF(lien="Second",1.50,
            1.70)))</f>
        <v/>
      </c>
      <c r="K7823">
        <f>LET(
    purpose,'Loan Tape (S&amp;P)'!R7823,
    IF(purpose="Purchase",1.00,
        IF(purpose="Remortgage",1.00,
            1.20)))</f>
        <v/>
      </c>
      <c r="L7823">
        <f>LET(
    arrears_months,'Loan Tape (S&amp;P)'!AN7823,
    IF(arrears_months=0,1.00,
    IF(arrears_months=1,3.00,
    IF(arrears_months=2,5.00,
    IF(arrears_months=3,8.00,
    IF(arrears_months=4,10.00,
    IF(arrears_months=5,12.00,15.00)))))))</f>
        <v/>
      </c>
      <c r="M7823">
        <f>LET(
    seasoning_years,DATEDIF('Loan Tape (S&amp;P)'!K7823,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23">
        <f>IF(AND('Loan Tape (S&amp;P)'!U7823="Yes",
        'Loan Tape (S&amp;P)'!T7823&lt;&gt;"Yes",
        DATEDIF('Loan Tape (S&amp;P)'!K7823, TODAY(), "M")&lt;18),
    1.10,
    1.00)</f>
        <v/>
      </c>
      <c r="O7823">
        <f>IF('Loan Tape (S&amp;P)'!T7823="Yes",
    1.35,
    1.00)</f>
        <v/>
      </c>
      <c r="P7823">
        <f>IF('Loan Tape (S&amp;P)'!S7823="Yes",
    1.15,
    1.00)</f>
        <v/>
      </c>
      <c r="Q7823">
        <f>IF('Loan Tape (S&amp;P)'!V7823="Yes",
    1.20,
    1.00)</f>
        <v/>
      </c>
      <c r="T7823">
        <f>LET(
    payment_method,'Loan Tape (S&amp;P)'!P7823,
    occupancy,'Loan Tape (S&amp;P)'!N7823,
    maturity_date,'Loan Tape (S&amp;P)'!L7823,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24">
      <c r="J7824">
        <f>LET(
    lien,'Loan Tape (S&amp;P)'!Q7824,
    IF(lien="First",1.00,
        IF(lien="Second",1.50,
            1.70)))</f>
        <v/>
      </c>
      <c r="K7824">
        <f>LET(
    purpose,'Loan Tape (S&amp;P)'!R7824,
    IF(purpose="Purchase",1.00,
        IF(purpose="Remortgage",1.00,
            1.20)))</f>
        <v/>
      </c>
      <c r="L7824">
        <f>LET(
    arrears_months,'Loan Tape (S&amp;P)'!AN7824,
    IF(arrears_months=0,1.00,
    IF(arrears_months=1,3.00,
    IF(arrears_months=2,5.00,
    IF(arrears_months=3,8.00,
    IF(arrears_months=4,10.00,
    IF(arrears_months=5,12.00,15.00)))))))</f>
        <v/>
      </c>
      <c r="M7824">
        <f>LET(
    seasoning_years,DATEDIF('Loan Tape (S&amp;P)'!K7824,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24">
        <f>IF(AND('Loan Tape (S&amp;P)'!U7824="Yes",
        'Loan Tape (S&amp;P)'!T7824&lt;&gt;"Yes",
        DATEDIF('Loan Tape (S&amp;P)'!K7824, TODAY(), "M")&lt;18),
    1.10,
    1.00)</f>
        <v/>
      </c>
      <c r="O7824">
        <f>IF('Loan Tape (S&amp;P)'!T7824="Yes",
    1.35,
    1.00)</f>
        <v/>
      </c>
      <c r="P7824">
        <f>IF('Loan Tape (S&amp;P)'!S7824="Yes",
    1.15,
    1.00)</f>
        <v/>
      </c>
      <c r="Q7824">
        <f>IF('Loan Tape (S&amp;P)'!V7824="Yes",
    1.20,
    1.00)</f>
        <v/>
      </c>
      <c r="T7824">
        <f>LET(
    payment_method,'Loan Tape (S&amp;P)'!P7824,
    occupancy,'Loan Tape (S&amp;P)'!N7824,
    maturity_date,'Loan Tape (S&amp;P)'!L7824,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25">
      <c r="J7825">
        <f>LET(
    lien,'Loan Tape (S&amp;P)'!Q7825,
    IF(lien="First",1.00,
        IF(lien="Second",1.50,
            1.70)))</f>
        <v/>
      </c>
      <c r="K7825">
        <f>LET(
    purpose,'Loan Tape (S&amp;P)'!R7825,
    IF(purpose="Purchase",1.00,
        IF(purpose="Remortgage",1.00,
            1.20)))</f>
        <v/>
      </c>
      <c r="L7825">
        <f>LET(
    arrears_months,'Loan Tape (S&amp;P)'!AN7825,
    IF(arrears_months=0,1.00,
    IF(arrears_months=1,3.00,
    IF(arrears_months=2,5.00,
    IF(arrears_months=3,8.00,
    IF(arrears_months=4,10.00,
    IF(arrears_months=5,12.00,15.00)))))))</f>
        <v/>
      </c>
      <c r="M7825">
        <f>LET(
    seasoning_years,DATEDIF('Loan Tape (S&amp;P)'!K7825,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25">
        <f>IF(AND('Loan Tape (S&amp;P)'!U7825="Yes",
        'Loan Tape (S&amp;P)'!T7825&lt;&gt;"Yes",
        DATEDIF('Loan Tape (S&amp;P)'!K7825, TODAY(), "M")&lt;18),
    1.10,
    1.00)</f>
        <v/>
      </c>
      <c r="O7825">
        <f>IF('Loan Tape (S&amp;P)'!T7825="Yes",
    1.35,
    1.00)</f>
        <v/>
      </c>
      <c r="P7825">
        <f>IF('Loan Tape (S&amp;P)'!S7825="Yes",
    1.15,
    1.00)</f>
        <v/>
      </c>
      <c r="Q7825">
        <f>IF('Loan Tape (S&amp;P)'!V7825="Yes",
    1.20,
    1.00)</f>
        <v/>
      </c>
      <c r="T7825">
        <f>LET(
    payment_method,'Loan Tape (S&amp;P)'!P7825,
    occupancy,'Loan Tape (S&amp;P)'!N7825,
    maturity_date,'Loan Tape (S&amp;P)'!L7825,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26">
      <c r="J7826">
        <f>LET(
    lien,'Loan Tape (S&amp;P)'!Q7826,
    IF(lien="First",1.00,
        IF(lien="Second",1.50,
            1.70)))</f>
        <v/>
      </c>
      <c r="K7826">
        <f>LET(
    purpose,'Loan Tape (S&amp;P)'!R7826,
    IF(purpose="Purchase",1.00,
        IF(purpose="Remortgage",1.00,
            1.20)))</f>
        <v/>
      </c>
      <c r="L7826">
        <f>LET(
    arrears_months,'Loan Tape (S&amp;P)'!AN7826,
    IF(arrears_months=0,1.00,
    IF(arrears_months=1,3.00,
    IF(arrears_months=2,5.00,
    IF(arrears_months=3,8.00,
    IF(arrears_months=4,10.00,
    IF(arrears_months=5,12.00,15.00)))))))</f>
        <v/>
      </c>
      <c r="M7826">
        <f>LET(
    seasoning_years,DATEDIF('Loan Tape (S&amp;P)'!K7826,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26">
        <f>IF(AND('Loan Tape (S&amp;P)'!U7826="Yes",
        'Loan Tape (S&amp;P)'!T7826&lt;&gt;"Yes",
        DATEDIF('Loan Tape (S&amp;P)'!K7826, TODAY(), "M")&lt;18),
    1.10,
    1.00)</f>
        <v/>
      </c>
      <c r="O7826">
        <f>IF('Loan Tape (S&amp;P)'!T7826="Yes",
    1.35,
    1.00)</f>
        <v/>
      </c>
      <c r="P7826">
        <f>IF('Loan Tape (S&amp;P)'!S7826="Yes",
    1.15,
    1.00)</f>
        <v/>
      </c>
      <c r="Q7826">
        <f>IF('Loan Tape (S&amp;P)'!V7826="Yes",
    1.20,
    1.00)</f>
        <v/>
      </c>
      <c r="T7826">
        <f>LET(
    payment_method,'Loan Tape (S&amp;P)'!P7826,
    occupancy,'Loan Tape (S&amp;P)'!N7826,
    maturity_date,'Loan Tape (S&amp;P)'!L7826,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27">
      <c r="J7827">
        <f>LET(
    lien,'Loan Tape (S&amp;P)'!Q7827,
    IF(lien="First",1.00,
        IF(lien="Second",1.50,
            1.70)))</f>
        <v/>
      </c>
      <c r="K7827">
        <f>LET(
    purpose,'Loan Tape (S&amp;P)'!R7827,
    IF(purpose="Purchase",1.00,
        IF(purpose="Remortgage",1.00,
            1.20)))</f>
        <v/>
      </c>
      <c r="L7827">
        <f>LET(
    arrears_months,'Loan Tape (S&amp;P)'!AN7827,
    IF(arrears_months=0,1.00,
    IF(arrears_months=1,3.00,
    IF(arrears_months=2,5.00,
    IF(arrears_months=3,8.00,
    IF(arrears_months=4,10.00,
    IF(arrears_months=5,12.00,15.00)))))))</f>
        <v/>
      </c>
      <c r="M7827">
        <f>LET(
    seasoning_years,DATEDIF('Loan Tape (S&amp;P)'!K7827,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27">
        <f>IF(AND('Loan Tape (S&amp;P)'!U7827="Yes",
        'Loan Tape (S&amp;P)'!T7827&lt;&gt;"Yes",
        DATEDIF('Loan Tape (S&amp;P)'!K7827, TODAY(), "M")&lt;18),
    1.10,
    1.00)</f>
        <v/>
      </c>
      <c r="O7827">
        <f>IF('Loan Tape (S&amp;P)'!T7827="Yes",
    1.35,
    1.00)</f>
        <v/>
      </c>
      <c r="P7827">
        <f>IF('Loan Tape (S&amp;P)'!S7827="Yes",
    1.15,
    1.00)</f>
        <v/>
      </c>
      <c r="Q7827">
        <f>IF('Loan Tape (S&amp;P)'!V7827="Yes",
    1.20,
    1.00)</f>
        <v/>
      </c>
      <c r="T7827">
        <f>LET(
    payment_method,'Loan Tape (S&amp;P)'!P7827,
    occupancy,'Loan Tape (S&amp;P)'!N7827,
    maturity_date,'Loan Tape (S&amp;P)'!L7827,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28">
      <c r="J7828">
        <f>LET(
    lien,'Loan Tape (S&amp;P)'!Q7828,
    IF(lien="First",1.00,
        IF(lien="Second",1.50,
            1.70)))</f>
        <v/>
      </c>
      <c r="K7828">
        <f>LET(
    purpose,'Loan Tape (S&amp;P)'!R7828,
    IF(purpose="Purchase",1.00,
        IF(purpose="Remortgage",1.00,
            1.20)))</f>
        <v/>
      </c>
      <c r="L7828">
        <f>LET(
    arrears_months,'Loan Tape (S&amp;P)'!AN7828,
    IF(arrears_months=0,1.00,
    IF(arrears_months=1,3.00,
    IF(arrears_months=2,5.00,
    IF(arrears_months=3,8.00,
    IF(arrears_months=4,10.00,
    IF(arrears_months=5,12.00,15.00)))))))</f>
        <v/>
      </c>
      <c r="M7828">
        <f>LET(
    seasoning_years,DATEDIF('Loan Tape (S&amp;P)'!K7828,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28">
        <f>IF(AND('Loan Tape (S&amp;P)'!U7828="Yes",
        'Loan Tape (S&amp;P)'!T7828&lt;&gt;"Yes",
        DATEDIF('Loan Tape (S&amp;P)'!K7828, TODAY(), "M")&lt;18),
    1.10,
    1.00)</f>
        <v/>
      </c>
      <c r="O7828">
        <f>IF('Loan Tape (S&amp;P)'!T7828="Yes",
    1.35,
    1.00)</f>
        <v/>
      </c>
      <c r="P7828">
        <f>IF('Loan Tape (S&amp;P)'!S7828="Yes",
    1.15,
    1.00)</f>
        <v/>
      </c>
      <c r="Q7828">
        <f>IF('Loan Tape (S&amp;P)'!V7828="Yes",
    1.20,
    1.00)</f>
        <v/>
      </c>
      <c r="T7828">
        <f>LET(
    payment_method,'Loan Tape (S&amp;P)'!P7828,
    occupancy,'Loan Tape (S&amp;P)'!N7828,
    maturity_date,'Loan Tape (S&amp;P)'!L7828,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29">
      <c r="J7829">
        <f>LET(
    lien,'Loan Tape (S&amp;P)'!Q7829,
    IF(lien="First",1.00,
        IF(lien="Second",1.50,
            1.70)))</f>
        <v/>
      </c>
      <c r="K7829">
        <f>LET(
    purpose,'Loan Tape (S&amp;P)'!R7829,
    IF(purpose="Purchase",1.00,
        IF(purpose="Remortgage",1.00,
            1.20)))</f>
        <v/>
      </c>
      <c r="L7829">
        <f>LET(
    arrears_months,'Loan Tape (S&amp;P)'!AN7829,
    IF(arrears_months=0,1.00,
    IF(arrears_months=1,3.00,
    IF(arrears_months=2,5.00,
    IF(arrears_months=3,8.00,
    IF(arrears_months=4,10.00,
    IF(arrears_months=5,12.00,15.00)))))))</f>
        <v/>
      </c>
      <c r="M7829">
        <f>LET(
    seasoning_years,DATEDIF('Loan Tape (S&amp;P)'!K7829,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29">
        <f>IF(AND('Loan Tape (S&amp;P)'!U7829="Yes",
        'Loan Tape (S&amp;P)'!T7829&lt;&gt;"Yes",
        DATEDIF('Loan Tape (S&amp;P)'!K7829, TODAY(), "M")&lt;18),
    1.10,
    1.00)</f>
        <v/>
      </c>
      <c r="O7829">
        <f>IF('Loan Tape (S&amp;P)'!T7829="Yes",
    1.35,
    1.00)</f>
        <v/>
      </c>
      <c r="P7829">
        <f>IF('Loan Tape (S&amp;P)'!S7829="Yes",
    1.15,
    1.00)</f>
        <v/>
      </c>
      <c r="Q7829">
        <f>IF('Loan Tape (S&amp;P)'!V7829="Yes",
    1.20,
    1.00)</f>
        <v/>
      </c>
      <c r="T7829">
        <f>LET(
    payment_method,'Loan Tape (S&amp;P)'!P7829,
    occupancy,'Loan Tape (S&amp;P)'!N7829,
    maturity_date,'Loan Tape (S&amp;P)'!L7829,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30">
      <c r="J7830">
        <f>LET(
    lien,'Loan Tape (S&amp;P)'!Q7830,
    IF(lien="First",1.00,
        IF(lien="Second",1.50,
            1.70)))</f>
        <v/>
      </c>
      <c r="K7830">
        <f>LET(
    purpose,'Loan Tape (S&amp;P)'!R7830,
    IF(purpose="Purchase",1.00,
        IF(purpose="Remortgage",1.00,
            1.20)))</f>
        <v/>
      </c>
      <c r="L7830">
        <f>LET(
    arrears_months,'Loan Tape (S&amp;P)'!AN7830,
    IF(arrears_months=0,1.00,
    IF(arrears_months=1,3.00,
    IF(arrears_months=2,5.00,
    IF(arrears_months=3,8.00,
    IF(arrears_months=4,10.00,
    IF(arrears_months=5,12.00,15.00)))))))</f>
        <v/>
      </c>
      <c r="M7830">
        <f>LET(
    seasoning_years,DATEDIF('Loan Tape (S&amp;P)'!K7830,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30">
        <f>IF(AND('Loan Tape (S&amp;P)'!U7830="Yes",
        'Loan Tape (S&amp;P)'!T7830&lt;&gt;"Yes",
        DATEDIF('Loan Tape (S&amp;P)'!K7830, TODAY(), "M")&lt;18),
    1.10,
    1.00)</f>
        <v/>
      </c>
      <c r="O7830">
        <f>IF('Loan Tape (S&amp;P)'!T7830="Yes",
    1.35,
    1.00)</f>
        <v/>
      </c>
      <c r="P7830">
        <f>IF('Loan Tape (S&amp;P)'!S7830="Yes",
    1.15,
    1.00)</f>
        <v/>
      </c>
      <c r="Q7830">
        <f>IF('Loan Tape (S&amp;P)'!V7830="Yes",
    1.20,
    1.00)</f>
        <v/>
      </c>
      <c r="T7830">
        <f>LET(
    payment_method,'Loan Tape (S&amp;P)'!P7830,
    occupancy,'Loan Tape (S&amp;P)'!N7830,
    maturity_date,'Loan Tape (S&amp;P)'!L7830,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31">
      <c r="J7831">
        <f>LET(
    lien,'Loan Tape (S&amp;P)'!Q7831,
    IF(lien="First",1.00,
        IF(lien="Second",1.50,
            1.70)))</f>
        <v/>
      </c>
      <c r="K7831">
        <f>LET(
    purpose,'Loan Tape (S&amp;P)'!R7831,
    IF(purpose="Purchase",1.00,
        IF(purpose="Remortgage",1.00,
            1.20)))</f>
        <v/>
      </c>
      <c r="L7831">
        <f>LET(
    arrears_months,'Loan Tape (S&amp;P)'!AN7831,
    IF(arrears_months=0,1.00,
    IF(arrears_months=1,3.00,
    IF(arrears_months=2,5.00,
    IF(arrears_months=3,8.00,
    IF(arrears_months=4,10.00,
    IF(arrears_months=5,12.00,15.00)))))))</f>
        <v/>
      </c>
      <c r="M7831">
        <f>LET(
    seasoning_years,DATEDIF('Loan Tape (S&amp;P)'!K7831,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31">
        <f>IF(AND('Loan Tape (S&amp;P)'!U7831="Yes",
        'Loan Tape (S&amp;P)'!T7831&lt;&gt;"Yes",
        DATEDIF('Loan Tape (S&amp;P)'!K7831, TODAY(), "M")&lt;18),
    1.10,
    1.00)</f>
        <v/>
      </c>
      <c r="O7831">
        <f>IF('Loan Tape (S&amp;P)'!T7831="Yes",
    1.35,
    1.00)</f>
        <v/>
      </c>
      <c r="P7831">
        <f>IF('Loan Tape (S&amp;P)'!S7831="Yes",
    1.15,
    1.00)</f>
        <v/>
      </c>
      <c r="Q7831">
        <f>IF('Loan Tape (S&amp;P)'!V7831="Yes",
    1.20,
    1.00)</f>
        <v/>
      </c>
      <c r="T7831">
        <f>LET(
    payment_method,'Loan Tape (S&amp;P)'!P7831,
    occupancy,'Loan Tape (S&amp;P)'!N7831,
    maturity_date,'Loan Tape (S&amp;P)'!L7831,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32">
      <c r="J7832">
        <f>LET(
    lien,'Loan Tape (S&amp;P)'!Q7832,
    IF(lien="First",1.00,
        IF(lien="Second",1.50,
            1.70)))</f>
        <v/>
      </c>
      <c r="K7832">
        <f>LET(
    purpose,'Loan Tape (S&amp;P)'!R7832,
    IF(purpose="Purchase",1.00,
        IF(purpose="Remortgage",1.00,
            1.20)))</f>
        <v/>
      </c>
      <c r="L7832">
        <f>LET(
    arrears_months,'Loan Tape (S&amp;P)'!AN7832,
    IF(arrears_months=0,1.00,
    IF(arrears_months=1,3.00,
    IF(arrears_months=2,5.00,
    IF(arrears_months=3,8.00,
    IF(arrears_months=4,10.00,
    IF(arrears_months=5,12.00,15.00)))))))</f>
        <v/>
      </c>
      <c r="M7832">
        <f>LET(
    seasoning_years,DATEDIF('Loan Tape (S&amp;P)'!K7832,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32">
        <f>IF(AND('Loan Tape (S&amp;P)'!U7832="Yes",
        'Loan Tape (S&amp;P)'!T7832&lt;&gt;"Yes",
        DATEDIF('Loan Tape (S&amp;P)'!K7832, TODAY(), "M")&lt;18),
    1.10,
    1.00)</f>
        <v/>
      </c>
      <c r="O7832">
        <f>IF('Loan Tape (S&amp;P)'!T7832="Yes",
    1.35,
    1.00)</f>
        <v/>
      </c>
      <c r="P7832">
        <f>IF('Loan Tape (S&amp;P)'!S7832="Yes",
    1.15,
    1.00)</f>
        <v/>
      </c>
      <c r="Q7832">
        <f>IF('Loan Tape (S&amp;P)'!V7832="Yes",
    1.20,
    1.00)</f>
        <v/>
      </c>
      <c r="T7832">
        <f>LET(
    payment_method,'Loan Tape (S&amp;P)'!P7832,
    occupancy,'Loan Tape (S&amp;P)'!N7832,
    maturity_date,'Loan Tape (S&amp;P)'!L7832,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33">
      <c r="J7833">
        <f>LET(
    lien,'Loan Tape (S&amp;P)'!Q7833,
    IF(lien="First",1.00,
        IF(lien="Second",1.50,
            1.70)))</f>
        <v/>
      </c>
      <c r="K7833">
        <f>LET(
    purpose,'Loan Tape (S&amp;P)'!R7833,
    IF(purpose="Purchase",1.00,
        IF(purpose="Remortgage",1.00,
            1.20)))</f>
        <v/>
      </c>
      <c r="L7833">
        <f>LET(
    arrears_months,'Loan Tape (S&amp;P)'!AN7833,
    IF(arrears_months=0,1.00,
    IF(arrears_months=1,3.00,
    IF(arrears_months=2,5.00,
    IF(arrears_months=3,8.00,
    IF(arrears_months=4,10.00,
    IF(arrears_months=5,12.00,15.00)))))))</f>
        <v/>
      </c>
      <c r="M7833">
        <f>LET(
    seasoning_years,DATEDIF('Loan Tape (S&amp;P)'!K7833,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33">
        <f>IF(AND('Loan Tape (S&amp;P)'!U7833="Yes",
        'Loan Tape (S&amp;P)'!T7833&lt;&gt;"Yes",
        DATEDIF('Loan Tape (S&amp;P)'!K7833, TODAY(), "M")&lt;18),
    1.10,
    1.00)</f>
        <v/>
      </c>
      <c r="O7833">
        <f>IF('Loan Tape (S&amp;P)'!T7833="Yes",
    1.35,
    1.00)</f>
        <v/>
      </c>
      <c r="P7833">
        <f>IF('Loan Tape (S&amp;P)'!S7833="Yes",
    1.15,
    1.00)</f>
        <v/>
      </c>
      <c r="Q7833">
        <f>IF('Loan Tape (S&amp;P)'!V7833="Yes",
    1.20,
    1.00)</f>
        <v/>
      </c>
      <c r="T7833">
        <f>LET(
    payment_method,'Loan Tape (S&amp;P)'!P7833,
    occupancy,'Loan Tape (S&amp;P)'!N7833,
    maturity_date,'Loan Tape (S&amp;P)'!L7833,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34">
      <c r="J7834">
        <f>LET(
    lien,'Loan Tape (S&amp;P)'!Q7834,
    IF(lien="First",1.00,
        IF(lien="Second",1.50,
            1.70)))</f>
        <v/>
      </c>
      <c r="K7834">
        <f>LET(
    purpose,'Loan Tape (S&amp;P)'!R7834,
    IF(purpose="Purchase",1.00,
        IF(purpose="Remortgage",1.00,
            1.20)))</f>
        <v/>
      </c>
      <c r="L7834">
        <f>LET(
    arrears_months,'Loan Tape (S&amp;P)'!AN7834,
    IF(arrears_months=0,1.00,
    IF(arrears_months=1,3.00,
    IF(arrears_months=2,5.00,
    IF(arrears_months=3,8.00,
    IF(arrears_months=4,10.00,
    IF(arrears_months=5,12.00,15.00)))))))</f>
        <v/>
      </c>
      <c r="M7834">
        <f>LET(
    seasoning_years,DATEDIF('Loan Tape (S&amp;P)'!K7834,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34">
        <f>IF(AND('Loan Tape (S&amp;P)'!U7834="Yes",
        'Loan Tape (S&amp;P)'!T7834&lt;&gt;"Yes",
        DATEDIF('Loan Tape (S&amp;P)'!K7834, TODAY(), "M")&lt;18),
    1.10,
    1.00)</f>
        <v/>
      </c>
      <c r="O7834">
        <f>IF('Loan Tape (S&amp;P)'!T7834="Yes",
    1.35,
    1.00)</f>
        <v/>
      </c>
      <c r="P7834">
        <f>IF('Loan Tape (S&amp;P)'!S7834="Yes",
    1.15,
    1.00)</f>
        <v/>
      </c>
      <c r="Q7834">
        <f>IF('Loan Tape (S&amp;P)'!V7834="Yes",
    1.20,
    1.00)</f>
        <v/>
      </c>
      <c r="T7834">
        <f>LET(
    payment_method,'Loan Tape (S&amp;P)'!P7834,
    occupancy,'Loan Tape (S&amp;P)'!N7834,
    maturity_date,'Loan Tape (S&amp;P)'!L7834,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35">
      <c r="J7835">
        <f>LET(
    lien,'Loan Tape (S&amp;P)'!Q7835,
    IF(lien="First",1.00,
        IF(lien="Second",1.50,
            1.70)))</f>
        <v/>
      </c>
      <c r="K7835">
        <f>LET(
    purpose,'Loan Tape (S&amp;P)'!R7835,
    IF(purpose="Purchase",1.00,
        IF(purpose="Remortgage",1.00,
            1.20)))</f>
        <v/>
      </c>
      <c r="L7835">
        <f>LET(
    arrears_months,'Loan Tape (S&amp;P)'!AN7835,
    IF(arrears_months=0,1.00,
    IF(arrears_months=1,3.00,
    IF(arrears_months=2,5.00,
    IF(arrears_months=3,8.00,
    IF(arrears_months=4,10.00,
    IF(arrears_months=5,12.00,15.00)))))))</f>
        <v/>
      </c>
      <c r="M7835">
        <f>LET(
    seasoning_years,DATEDIF('Loan Tape (S&amp;P)'!K7835,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35">
        <f>IF(AND('Loan Tape (S&amp;P)'!U7835="Yes",
        'Loan Tape (S&amp;P)'!T7835&lt;&gt;"Yes",
        DATEDIF('Loan Tape (S&amp;P)'!K7835, TODAY(), "M")&lt;18),
    1.10,
    1.00)</f>
        <v/>
      </c>
      <c r="O7835">
        <f>IF('Loan Tape (S&amp;P)'!T7835="Yes",
    1.35,
    1.00)</f>
        <v/>
      </c>
      <c r="P7835">
        <f>IF('Loan Tape (S&amp;P)'!S7835="Yes",
    1.15,
    1.00)</f>
        <v/>
      </c>
      <c r="Q7835">
        <f>IF('Loan Tape (S&amp;P)'!V7835="Yes",
    1.20,
    1.00)</f>
        <v/>
      </c>
      <c r="T7835">
        <f>LET(
    payment_method,'Loan Tape (S&amp;P)'!P7835,
    occupancy,'Loan Tape (S&amp;P)'!N7835,
    maturity_date,'Loan Tape (S&amp;P)'!L7835,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36">
      <c r="J7836">
        <f>LET(
    lien,'Loan Tape (S&amp;P)'!Q7836,
    IF(lien="First",1.00,
        IF(lien="Second",1.50,
            1.70)))</f>
        <v/>
      </c>
      <c r="K7836">
        <f>LET(
    purpose,'Loan Tape (S&amp;P)'!R7836,
    IF(purpose="Purchase",1.00,
        IF(purpose="Remortgage",1.00,
            1.20)))</f>
        <v/>
      </c>
      <c r="L7836">
        <f>LET(
    arrears_months,'Loan Tape (S&amp;P)'!AN7836,
    IF(arrears_months=0,1.00,
    IF(arrears_months=1,3.00,
    IF(arrears_months=2,5.00,
    IF(arrears_months=3,8.00,
    IF(arrears_months=4,10.00,
    IF(arrears_months=5,12.00,15.00)))))))</f>
        <v/>
      </c>
      <c r="M7836">
        <f>LET(
    seasoning_years,DATEDIF('Loan Tape (S&amp;P)'!K7836,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36">
        <f>IF(AND('Loan Tape (S&amp;P)'!U7836="Yes",
        'Loan Tape (S&amp;P)'!T7836&lt;&gt;"Yes",
        DATEDIF('Loan Tape (S&amp;P)'!K7836, TODAY(), "M")&lt;18),
    1.10,
    1.00)</f>
        <v/>
      </c>
      <c r="O7836">
        <f>IF('Loan Tape (S&amp;P)'!T7836="Yes",
    1.35,
    1.00)</f>
        <v/>
      </c>
      <c r="P7836">
        <f>IF('Loan Tape (S&amp;P)'!S7836="Yes",
    1.15,
    1.00)</f>
        <v/>
      </c>
      <c r="Q7836">
        <f>IF('Loan Tape (S&amp;P)'!V7836="Yes",
    1.20,
    1.00)</f>
        <v/>
      </c>
      <c r="T7836">
        <f>LET(
    payment_method,'Loan Tape (S&amp;P)'!P7836,
    occupancy,'Loan Tape (S&amp;P)'!N7836,
    maturity_date,'Loan Tape (S&amp;P)'!L7836,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37">
      <c r="J7837">
        <f>LET(
    lien,'Loan Tape (S&amp;P)'!Q7837,
    IF(lien="First",1.00,
        IF(lien="Second",1.50,
            1.70)))</f>
        <v/>
      </c>
      <c r="K7837">
        <f>LET(
    purpose,'Loan Tape (S&amp;P)'!R7837,
    IF(purpose="Purchase",1.00,
        IF(purpose="Remortgage",1.00,
            1.20)))</f>
        <v/>
      </c>
      <c r="L7837">
        <f>LET(
    arrears_months,'Loan Tape (S&amp;P)'!AN7837,
    IF(arrears_months=0,1.00,
    IF(arrears_months=1,3.00,
    IF(arrears_months=2,5.00,
    IF(arrears_months=3,8.00,
    IF(arrears_months=4,10.00,
    IF(arrears_months=5,12.00,15.00)))))))</f>
        <v/>
      </c>
      <c r="M7837">
        <f>LET(
    seasoning_years,DATEDIF('Loan Tape (S&amp;P)'!K7837,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37">
        <f>IF(AND('Loan Tape (S&amp;P)'!U7837="Yes",
        'Loan Tape (S&amp;P)'!T7837&lt;&gt;"Yes",
        DATEDIF('Loan Tape (S&amp;P)'!K7837, TODAY(), "M")&lt;18),
    1.10,
    1.00)</f>
        <v/>
      </c>
      <c r="O7837">
        <f>IF('Loan Tape (S&amp;P)'!T7837="Yes",
    1.35,
    1.00)</f>
        <v/>
      </c>
      <c r="P7837">
        <f>IF('Loan Tape (S&amp;P)'!S7837="Yes",
    1.15,
    1.00)</f>
        <v/>
      </c>
      <c r="Q7837">
        <f>IF('Loan Tape (S&amp;P)'!V7837="Yes",
    1.20,
    1.00)</f>
        <v/>
      </c>
      <c r="T7837">
        <f>LET(
    payment_method,'Loan Tape (S&amp;P)'!P7837,
    occupancy,'Loan Tape (S&amp;P)'!N7837,
    maturity_date,'Loan Tape (S&amp;P)'!L7837,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38">
      <c r="J7838">
        <f>LET(
    lien,'Loan Tape (S&amp;P)'!Q7838,
    IF(lien="First",1.00,
        IF(lien="Second",1.50,
            1.70)))</f>
        <v/>
      </c>
      <c r="K7838">
        <f>LET(
    purpose,'Loan Tape (S&amp;P)'!R7838,
    IF(purpose="Purchase",1.00,
        IF(purpose="Remortgage",1.00,
            1.20)))</f>
        <v/>
      </c>
      <c r="L7838">
        <f>LET(
    arrears_months,'Loan Tape (S&amp;P)'!AN7838,
    IF(arrears_months=0,1.00,
    IF(arrears_months=1,3.00,
    IF(arrears_months=2,5.00,
    IF(arrears_months=3,8.00,
    IF(arrears_months=4,10.00,
    IF(arrears_months=5,12.00,15.00)))))))</f>
        <v/>
      </c>
      <c r="M7838">
        <f>LET(
    seasoning_years,DATEDIF('Loan Tape (S&amp;P)'!K7838,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38">
        <f>IF(AND('Loan Tape (S&amp;P)'!U7838="Yes",
        'Loan Tape (S&amp;P)'!T7838&lt;&gt;"Yes",
        DATEDIF('Loan Tape (S&amp;P)'!K7838, TODAY(), "M")&lt;18),
    1.10,
    1.00)</f>
        <v/>
      </c>
      <c r="O7838">
        <f>IF('Loan Tape (S&amp;P)'!T7838="Yes",
    1.35,
    1.00)</f>
        <v/>
      </c>
      <c r="P7838">
        <f>IF('Loan Tape (S&amp;P)'!S7838="Yes",
    1.15,
    1.00)</f>
        <v/>
      </c>
      <c r="Q7838">
        <f>IF('Loan Tape (S&amp;P)'!V7838="Yes",
    1.20,
    1.00)</f>
        <v/>
      </c>
      <c r="T7838">
        <f>LET(
    payment_method,'Loan Tape (S&amp;P)'!P7838,
    occupancy,'Loan Tape (S&amp;P)'!N7838,
    maturity_date,'Loan Tape (S&amp;P)'!L7838,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39">
      <c r="J7839">
        <f>LET(
    lien,'Loan Tape (S&amp;P)'!Q7839,
    IF(lien="First",1.00,
        IF(lien="Second",1.50,
            1.70)))</f>
        <v/>
      </c>
      <c r="K7839">
        <f>LET(
    purpose,'Loan Tape (S&amp;P)'!R7839,
    IF(purpose="Purchase",1.00,
        IF(purpose="Remortgage",1.00,
            1.20)))</f>
        <v/>
      </c>
      <c r="L7839">
        <f>LET(
    arrears_months,'Loan Tape (S&amp;P)'!AN7839,
    IF(arrears_months=0,1.00,
    IF(arrears_months=1,3.00,
    IF(arrears_months=2,5.00,
    IF(arrears_months=3,8.00,
    IF(arrears_months=4,10.00,
    IF(arrears_months=5,12.00,15.00)))))))</f>
        <v/>
      </c>
      <c r="M7839">
        <f>LET(
    seasoning_years,DATEDIF('Loan Tape (S&amp;P)'!K7839,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39">
        <f>IF(AND('Loan Tape (S&amp;P)'!U7839="Yes",
        'Loan Tape (S&amp;P)'!T7839&lt;&gt;"Yes",
        DATEDIF('Loan Tape (S&amp;P)'!K7839, TODAY(), "M")&lt;18),
    1.10,
    1.00)</f>
        <v/>
      </c>
      <c r="O7839">
        <f>IF('Loan Tape (S&amp;P)'!T7839="Yes",
    1.35,
    1.00)</f>
        <v/>
      </c>
      <c r="P7839">
        <f>IF('Loan Tape (S&amp;P)'!S7839="Yes",
    1.15,
    1.00)</f>
        <v/>
      </c>
      <c r="Q7839">
        <f>IF('Loan Tape (S&amp;P)'!V7839="Yes",
    1.20,
    1.00)</f>
        <v/>
      </c>
      <c r="T7839">
        <f>LET(
    payment_method,'Loan Tape (S&amp;P)'!P7839,
    occupancy,'Loan Tape (S&amp;P)'!N7839,
    maturity_date,'Loan Tape (S&amp;P)'!L7839,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40">
      <c r="J7840">
        <f>LET(
    lien,'Loan Tape (S&amp;P)'!Q7840,
    IF(lien="First",1.00,
        IF(lien="Second",1.50,
            1.70)))</f>
        <v/>
      </c>
      <c r="K7840">
        <f>LET(
    purpose,'Loan Tape (S&amp;P)'!R7840,
    IF(purpose="Purchase",1.00,
        IF(purpose="Remortgage",1.00,
            1.20)))</f>
        <v/>
      </c>
      <c r="L7840">
        <f>LET(
    arrears_months,'Loan Tape (S&amp;P)'!AN7840,
    IF(arrears_months=0,1.00,
    IF(arrears_months=1,3.00,
    IF(arrears_months=2,5.00,
    IF(arrears_months=3,8.00,
    IF(arrears_months=4,10.00,
    IF(arrears_months=5,12.00,15.00)))))))</f>
        <v/>
      </c>
      <c r="M7840">
        <f>LET(
    seasoning_years,DATEDIF('Loan Tape (S&amp;P)'!K7840,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40">
        <f>IF(AND('Loan Tape (S&amp;P)'!U7840="Yes",
        'Loan Tape (S&amp;P)'!T7840&lt;&gt;"Yes",
        DATEDIF('Loan Tape (S&amp;P)'!K7840, TODAY(), "M")&lt;18),
    1.10,
    1.00)</f>
        <v/>
      </c>
      <c r="O7840">
        <f>IF('Loan Tape (S&amp;P)'!T7840="Yes",
    1.35,
    1.00)</f>
        <v/>
      </c>
      <c r="P7840">
        <f>IF('Loan Tape (S&amp;P)'!S7840="Yes",
    1.15,
    1.00)</f>
        <v/>
      </c>
      <c r="Q7840">
        <f>IF('Loan Tape (S&amp;P)'!V7840="Yes",
    1.20,
    1.00)</f>
        <v/>
      </c>
      <c r="T7840">
        <f>LET(
    payment_method,'Loan Tape (S&amp;P)'!P7840,
    occupancy,'Loan Tape (S&amp;P)'!N7840,
    maturity_date,'Loan Tape (S&amp;P)'!L7840,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41">
      <c r="J7841">
        <f>LET(
    lien,'Loan Tape (S&amp;P)'!Q7841,
    IF(lien="First",1.00,
        IF(lien="Second",1.50,
            1.70)))</f>
        <v/>
      </c>
      <c r="K7841">
        <f>LET(
    purpose,'Loan Tape (S&amp;P)'!R7841,
    IF(purpose="Purchase",1.00,
        IF(purpose="Remortgage",1.00,
            1.20)))</f>
        <v/>
      </c>
      <c r="L7841">
        <f>LET(
    arrears_months,'Loan Tape (S&amp;P)'!AN7841,
    IF(arrears_months=0,1.00,
    IF(arrears_months=1,3.00,
    IF(arrears_months=2,5.00,
    IF(arrears_months=3,8.00,
    IF(arrears_months=4,10.00,
    IF(arrears_months=5,12.00,15.00)))))))</f>
        <v/>
      </c>
      <c r="M7841">
        <f>LET(
    seasoning_years,DATEDIF('Loan Tape (S&amp;P)'!K7841,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41">
        <f>IF(AND('Loan Tape (S&amp;P)'!U7841="Yes",
        'Loan Tape (S&amp;P)'!T7841&lt;&gt;"Yes",
        DATEDIF('Loan Tape (S&amp;P)'!K7841, TODAY(), "M")&lt;18),
    1.10,
    1.00)</f>
        <v/>
      </c>
      <c r="O7841">
        <f>IF('Loan Tape (S&amp;P)'!T7841="Yes",
    1.35,
    1.00)</f>
        <v/>
      </c>
      <c r="P7841">
        <f>IF('Loan Tape (S&amp;P)'!S7841="Yes",
    1.15,
    1.00)</f>
        <v/>
      </c>
      <c r="Q7841">
        <f>IF('Loan Tape (S&amp;P)'!V7841="Yes",
    1.20,
    1.00)</f>
        <v/>
      </c>
      <c r="T7841">
        <f>LET(
    payment_method,'Loan Tape (S&amp;P)'!P7841,
    occupancy,'Loan Tape (S&amp;P)'!N7841,
    maturity_date,'Loan Tape (S&amp;P)'!L7841,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42">
      <c r="J7842">
        <f>LET(
    lien,'Loan Tape (S&amp;P)'!Q7842,
    IF(lien="First",1.00,
        IF(lien="Second",1.50,
            1.70)))</f>
        <v/>
      </c>
      <c r="K7842">
        <f>LET(
    purpose,'Loan Tape (S&amp;P)'!R7842,
    IF(purpose="Purchase",1.00,
        IF(purpose="Remortgage",1.00,
            1.20)))</f>
        <v/>
      </c>
      <c r="L7842">
        <f>LET(
    arrears_months,'Loan Tape (S&amp;P)'!AN7842,
    IF(arrears_months=0,1.00,
    IF(arrears_months=1,3.00,
    IF(arrears_months=2,5.00,
    IF(arrears_months=3,8.00,
    IF(arrears_months=4,10.00,
    IF(arrears_months=5,12.00,15.00)))))))</f>
        <v/>
      </c>
      <c r="M7842">
        <f>LET(
    seasoning_years,DATEDIF('Loan Tape (S&amp;P)'!K7842,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42">
        <f>IF(AND('Loan Tape (S&amp;P)'!U7842="Yes",
        'Loan Tape (S&amp;P)'!T7842&lt;&gt;"Yes",
        DATEDIF('Loan Tape (S&amp;P)'!K7842, TODAY(), "M")&lt;18),
    1.10,
    1.00)</f>
        <v/>
      </c>
      <c r="O7842">
        <f>IF('Loan Tape (S&amp;P)'!T7842="Yes",
    1.35,
    1.00)</f>
        <v/>
      </c>
      <c r="P7842">
        <f>IF('Loan Tape (S&amp;P)'!S7842="Yes",
    1.15,
    1.00)</f>
        <v/>
      </c>
      <c r="Q7842">
        <f>IF('Loan Tape (S&amp;P)'!V7842="Yes",
    1.20,
    1.00)</f>
        <v/>
      </c>
      <c r="T7842">
        <f>LET(
    payment_method,'Loan Tape (S&amp;P)'!P7842,
    occupancy,'Loan Tape (S&amp;P)'!N7842,
    maturity_date,'Loan Tape (S&amp;P)'!L7842,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43">
      <c r="J7843">
        <f>LET(
    lien,'Loan Tape (S&amp;P)'!Q7843,
    IF(lien="First",1.00,
        IF(lien="Second",1.50,
            1.70)))</f>
        <v/>
      </c>
      <c r="K7843">
        <f>LET(
    purpose,'Loan Tape (S&amp;P)'!R7843,
    IF(purpose="Purchase",1.00,
        IF(purpose="Remortgage",1.00,
            1.20)))</f>
        <v/>
      </c>
      <c r="L7843">
        <f>LET(
    arrears_months,'Loan Tape (S&amp;P)'!AN7843,
    IF(arrears_months=0,1.00,
    IF(arrears_months=1,3.00,
    IF(arrears_months=2,5.00,
    IF(arrears_months=3,8.00,
    IF(arrears_months=4,10.00,
    IF(arrears_months=5,12.00,15.00)))))))</f>
        <v/>
      </c>
      <c r="M7843">
        <f>LET(
    seasoning_years,DATEDIF('Loan Tape (S&amp;P)'!K7843,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43">
        <f>IF(AND('Loan Tape (S&amp;P)'!U7843="Yes",
        'Loan Tape (S&amp;P)'!T7843&lt;&gt;"Yes",
        DATEDIF('Loan Tape (S&amp;P)'!K7843, TODAY(), "M")&lt;18),
    1.10,
    1.00)</f>
        <v/>
      </c>
      <c r="O7843">
        <f>IF('Loan Tape (S&amp;P)'!T7843="Yes",
    1.35,
    1.00)</f>
        <v/>
      </c>
      <c r="P7843">
        <f>IF('Loan Tape (S&amp;P)'!S7843="Yes",
    1.15,
    1.00)</f>
        <v/>
      </c>
      <c r="Q7843">
        <f>IF('Loan Tape (S&amp;P)'!V7843="Yes",
    1.20,
    1.00)</f>
        <v/>
      </c>
      <c r="T7843">
        <f>LET(
    payment_method,'Loan Tape (S&amp;P)'!P7843,
    occupancy,'Loan Tape (S&amp;P)'!N7843,
    maturity_date,'Loan Tape (S&amp;P)'!L7843,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44">
      <c r="J7844">
        <f>LET(
    lien,'Loan Tape (S&amp;P)'!Q7844,
    IF(lien="First",1.00,
        IF(lien="Second",1.50,
            1.70)))</f>
        <v/>
      </c>
      <c r="K7844">
        <f>LET(
    purpose,'Loan Tape (S&amp;P)'!R7844,
    IF(purpose="Purchase",1.00,
        IF(purpose="Remortgage",1.00,
            1.20)))</f>
        <v/>
      </c>
      <c r="L7844">
        <f>LET(
    arrears_months,'Loan Tape (S&amp;P)'!AN7844,
    IF(arrears_months=0,1.00,
    IF(arrears_months=1,3.00,
    IF(arrears_months=2,5.00,
    IF(arrears_months=3,8.00,
    IF(arrears_months=4,10.00,
    IF(arrears_months=5,12.00,15.00)))))))</f>
        <v/>
      </c>
      <c r="M7844">
        <f>LET(
    seasoning_years,DATEDIF('Loan Tape (S&amp;P)'!K7844,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44">
        <f>IF(AND('Loan Tape (S&amp;P)'!U7844="Yes",
        'Loan Tape (S&amp;P)'!T7844&lt;&gt;"Yes",
        DATEDIF('Loan Tape (S&amp;P)'!K7844, TODAY(), "M")&lt;18),
    1.10,
    1.00)</f>
        <v/>
      </c>
      <c r="O7844">
        <f>IF('Loan Tape (S&amp;P)'!T7844="Yes",
    1.35,
    1.00)</f>
        <v/>
      </c>
      <c r="P7844">
        <f>IF('Loan Tape (S&amp;P)'!S7844="Yes",
    1.15,
    1.00)</f>
        <v/>
      </c>
      <c r="Q7844">
        <f>IF('Loan Tape (S&amp;P)'!V7844="Yes",
    1.20,
    1.00)</f>
        <v/>
      </c>
      <c r="T7844">
        <f>LET(
    payment_method,'Loan Tape (S&amp;P)'!P7844,
    occupancy,'Loan Tape (S&amp;P)'!N7844,
    maturity_date,'Loan Tape (S&amp;P)'!L7844,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45">
      <c r="J7845">
        <f>LET(
    lien,'Loan Tape (S&amp;P)'!Q7845,
    IF(lien="First",1.00,
        IF(lien="Second",1.50,
            1.70)))</f>
        <v/>
      </c>
      <c r="K7845">
        <f>LET(
    purpose,'Loan Tape (S&amp;P)'!R7845,
    IF(purpose="Purchase",1.00,
        IF(purpose="Remortgage",1.00,
            1.20)))</f>
        <v/>
      </c>
      <c r="L7845">
        <f>LET(
    arrears_months,'Loan Tape (S&amp;P)'!AN7845,
    IF(arrears_months=0,1.00,
    IF(arrears_months=1,3.00,
    IF(arrears_months=2,5.00,
    IF(arrears_months=3,8.00,
    IF(arrears_months=4,10.00,
    IF(arrears_months=5,12.00,15.00)))))))</f>
        <v/>
      </c>
      <c r="M7845">
        <f>LET(
    seasoning_years,DATEDIF('Loan Tape (S&amp;P)'!K7845,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45">
        <f>IF(AND('Loan Tape (S&amp;P)'!U7845="Yes",
        'Loan Tape (S&amp;P)'!T7845&lt;&gt;"Yes",
        DATEDIF('Loan Tape (S&amp;P)'!K7845, TODAY(), "M")&lt;18),
    1.10,
    1.00)</f>
        <v/>
      </c>
      <c r="O7845">
        <f>IF('Loan Tape (S&amp;P)'!T7845="Yes",
    1.35,
    1.00)</f>
        <v/>
      </c>
      <c r="P7845">
        <f>IF('Loan Tape (S&amp;P)'!S7845="Yes",
    1.15,
    1.00)</f>
        <v/>
      </c>
      <c r="Q7845">
        <f>IF('Loan Tape (S&amp;P)'!V7845="Yes",
    1.20,
    1.00)</f>
        <v/>
      </c>
      <c r="T7845">
        <f>LET(
    payment_method,'Loan Tape (S&amp;P)'!P7845,
    occupancy,'Loan Tape (S&amp;P)'!N7845,
    maturity_date,'Loan Tape (S&amp;P)'!L7845,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46">
      <c r="J7846">
        <f>LET(
    lien,'Loan Tape (S&amp;P)'!Q7846,
    IF(lien="First",1.00,
        IF(lien="Second",1.50,
            1.70)))</f>
        <v/>
      </c>
      <c r="K7846">
        <f>LET(
    purpose,'Loan Tape (S&amp;P)'!R7846,
    IF(purpose="Purchase",1.00,
        IF(purpose="Remortgage",1.00,
            1.20)))</f>
        <v/>
      </c>
      <c r="L7846">
        <f>LET(
    arrears_months,'Loan Tape (S&amp;P)'!AN7846,
    IF(arrears_months=0,1.00,
    IF(arrears_months=1,3.00,
    IF(arrears_months=2,5.00,
    IF(arrears_months=3,8.00,
    IF(arrears_months=4,10.00,
    IF(arrears_months=5,12.00,15.00)))))))</f>
        <v/>
      </c>
      <c r="M7846">
        <f>LET(
    seasoning_years,DATEDIF('Loan Tape (S&amp;P)'!K7846,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46">
        <f>IF(AND('Loan Tape (S&amp;P)'!U7846="Yes",
        'Loan Tape (S&amp;P)'!T7846&lt;&gt;"Yes",
        DATEDIF('Loan Tape (S&amp;P)'!K7846, TODAY(), "M")&lt;18),
    1.10,
    1.00)</f>
        <v/>
      </c>
      <c r="O7846">
        <f>IF('Loan Tape (S&amp;P)'!T7846="Yes",
    1.35,
    1.00)</f>
        <v/>
      </c>
      <c r="P7846">
        <f>IF('Loan Tape (S&amp;P)'!S7846="Yes",
    1.15,
    1.00)</f>
        <v/>
      </c>
      <c r="Q7846">
        <f>IF('Loan Tape (S&amp;P)'!V7846="Yes",
    1.20,
    1.00)</f>
        <v/>
      </c>
      <c r="T7846">
        <f>LET(
    payment_method,'Loan Tape (S&amp;P)'!P7846,
    occupancy,'Loan Tape (S&amp;P)'!N7846,
    maturity_date,'Loan Tape (S&amp;P)'!L7846,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47">
      <c r="J7847">
        <f>LET(
    lien,'Loan Tape (S&amp;P)'!Q7847,
    IF(lien="First",1.00,
        IF(lien="Second",1.50,
            1.70)))</f>
        <v/>
      </c>
      <c r="K7847">
        <f>LET(
    purpose,'Loan Tape (S&amp;P)'!R7847,
    IF(purpose="Purchase",1.00,
        IF(purpose="Remortgage",1.00,
            1.20)))</f>
        <v/>
      </c>
      <c r="L7847">
        <f>LET(
    arrears_months,'Loan Tape (S&amp;P)'!AN7847,
    IF(arrears_months=0,1.00,
    IF(arrears_months=1,3.00,
    IF(arrears_months=2,5.00,
    IF(arrears_months=3,8.00,
    IF(arrears_months=4,10.00,
    IF(arrears_months=5,12.00,15.00)))))))</f>
        <v/>
      </c>
      <c r="M7847">
        <f>LET(
    seasoning_years,DATEDIF('Loan Tape (S&amp;P)'!K7847,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47">
        <f>IF(AND('Loan Tape (S&amp;P)'!U7847="Yes",
        'Loan Tape (S&amp;P)'!T7847&lt;&gt;"Yes",
        DATEDIF('Loan Tape (S&amp;P)'!K7847, TODAY(), "M")&lt;18),
    1.10,
    1.00)</f>
        <v/>
      </c>
      <c r="O7847">
        <f>IF('Loan Tape (S&amp;P)'!T7847="Yes",
    1.35,
    1.00)</f>
        <v/>
      </c>
      <c r="P7847">
        <f>IF('Loan Tape (S&amp;P)'!S7847="Yes",
    1.15,
    1.00)</f>
        <v/>
      </c>
      <c r="Q7847">
        <f>IF('Loan Tape (S&amp;P)'!V7847="Yes",
    1.20,
    1.00)</f>
        <v/>
      </c>
      <c r="T7847">
        <f>LET(
    payment_method,'Loan Tape (S&amp;P)'!P7847,
    occupancy,'Loan Tape (S&amp;P)'!N7847,
    maturity_date,'Loan Tape (S&amp;P)'!L7847,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48">
      <c r="J7848">
        <f>LET(
    lien,'Loan Tape (S&amp;P)'!Q7848,
    IF(lien="First",1.00,
        IF(lien="Second",1.50,
            1.70)))</f>
        <v/>
      </c>
      <c r="K7848">
        <f>LET(
    purpose,'Loan Tape (S&amp;P)'!R7848,
    IF(purpose="Purchase",1.00,
        IF(purpose="Remortgage",1.00,
            1.20)))</f>
        <v/>
      </c>
      <c r="L7848">
        <f>LET(
    arrears_months,'Loan Tape (S&amp;P)'!AN7848,
    IF(arrears_months=0,1.00,
    IF(arrears_months=1,3.00,
    IF(arrears_months=2,5.00,
    IF(arrears_months=3,8.00,
    IF(arrears_months=4,10.00,
    IF(arrears_months=5,12.00,15.00)))))))</f>
        <v/>
      </c>
      <c r="M7848">
        <f>LET(
    seasoning_years,DATEDIF('Loan Tape (S&amp;P)'!K7848,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48">
        <f>IF(AND('Loan Tape (S&amp;P)'!U7848="Yes",
        'Loan Tape (S&amp;P)'!T7848&lt;&gt;"Yes",
        DATEDIF('Loan Tape (S&amp;P)'!K7848, TODAY(), "M")&lt;18),
    1.10,
    1.00)</f>
        <v/>
      </c>
      <c r="O7848">
        <f>IF('Loan Tape (S&amp;P)'!T7848="Yes",
    1.35,
    1.00)</f>
        <v/>
      </c>
      <c r="P7848">
        <f>IF('Loan Tape (S&amp;P)'!S7848="Yes",
    1.15,
    1.00)</f>
        <v/>
      </c>
      <c r="Q7848">
        <f>IF('Loan Tape (S&amp;P)'!V7848="Yes",
    1.20,
    1.00)</f>
        <v/>
      </c>
      <c r="T7848">
        <f>LET(
    payment_method,'Loan Tape (S&amp;P)'!P7848,
    occupancy,'Loan Tape (S&amp;P)'!N7848,
    maturity_date,'Loan Tape (S&amp;P)'!L7848,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49">
      <c r="J7849">
        <f>LET(
    lien,'Loan Tape (S&amp;P)'!Q7849,
    IF(lien="First",1.00,
        IF(lien="Second",1.50,
            1.70)))</f>
        <v/>
      </c>
      <c r="K7849">
        <f>LET(
    purpose,'Loan Tape (S&amp;P)'!R7849,
    IF(purpose="Purchase",1.00,
        IF(purpose="Remortgage",1.00,
            1.20)))</f>
        <v/>
      </c>
      <c r="L7849">
        <f>LET(
    arrears_months,'Loan Tape (S&amp;P)'!AN7849,
    IF(arrears_months=0,1.00,
    IF(arrears_months=1,3.00,
    IF(arrears_months=2,5.00,
    IF(arrears_months=3,8.00,
    IF(arrears_months=4,10.00,
    IF(arrears_months=5,12.00,15.00)))))))</f>
        <v/>
      </c>
      <c r="M7849">
        <f>LET(
    seasoning_years,DATEDIF('Loan Tape (S&amp;P)'!K7849,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49">
        <f>IF(AND('Loan Tape (S&amp;P)'!U7849="Yes",
        'Loan Tape (S&amp;P)'!T7849&lt;&gt;"Yes",
        DATEDIF('Loan Tape (S&amp;P)'!K7849, TODAY(), "M")&lt;18),
    1.10,
    1.00)</f>
        <v/>
      </c>
      <c r="O7849">
        <f>IF('Loan Tape (S&amp;P)'!T7849="Yes",
    1.35,
    1.00)</f>
        <v/>
      </c>
      <c r="P7849">
        <f>IF('Loan Tape (S&amp;P)'!S7849="Yes",
    1.15,
    1.00)</f>
        <v/>
      </c>
      <c r="Q7849">
        <f>IF('Loan Tape (S&amp;P)'!V7849="Yes",
    1.20,
    1.00)</f>
        <v/>
      </c>
      <c r="T7849">
        <f>LET(
    payment_method,'Loan Tape (S&amp;P)'!P7849,
    occupancy,'Loan Tape (S&amp;P)'!N7849,
    maturity_date,'Loan Tape (S&amp;P)'!L7849,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50">
      <c r="J7850">
        <f>LET(
    lien,'Loan Tape (S&amp;P)'!Q7850,
    IF(lien="First",1.00,
        IF(lien="Second",1.50,
            1.70)))</f>
        <v/>
      </c>
      <c r="K7850">
        <f>LET(
    purpose,'Loan Tape (S&amp;P)'!R7850,
    IF(purpose="Purchase",1.00,
        IF(purpose="Remortgage",1.00,
            1.20)))</f>
        <v/>
      </c>
      <c r="L7850">
        <f>LET(
    arrears_months,'Loan Tape (S&amp;P)'!AN7850,
    IF(arrears_months=0,1.00,
    IF(arrears_months=1,3.00,
    IF(arrears_months=2,5.00,
    IF(arrears_months=3,8.00,
    IF(arrears_months=4,10.00,
    IF(arrears_months=5,12.00,15.00)))))))</f>
        <v/>
      </c>
      <c r="M7850">
        <f>LET(
    seasoning_years,DATEDIF('Loan Tape (S&amp;P)'!K7850,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50">
        <f>IF(AND('Loan Tape (S&amp;P)'!U7850="Yes",
        'Loan Tape (S&amp;P)'!T7850&lt;&gt;"Yes",
        DATEDIF('Loan Tape (S&amp;P)'!K7850, TODAY(), "M")&lt;18),
    1.10,
    1.00)</f>
        <v/>
      </c>
      <c r="O7850">
        <f>IF('Loan Tape (S&amp;P)'!T7850="Yes",
    1.35,
    1.00)</f>
        <v/>
      </c>
      <c r="P7850">
        <f>IF('Loan Tape (S&amp;P)'!S7850="Yes",
    1.15,
    1.00)</f>
        <v/>
      </c>
      <c r="Q7850">
        <f>IF('Loan Tape (S&amp;P)'!V7850="Yes",
    1.20,
    1.00)</f>
        <v/>
      </c>
      <c r="T7850">
        <f>LET(
    payment_method,'Loan Tape (S&amp;P)'!P7850,
    occupancy,'Loan Tape (S&amp;P)'!N7850,
    maturity_date,'Loan Tape (S&amp;P)'!L7850,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51">
      <c r="J7851">
        <f>LET(
    lien,'Loan Tape (S&amp;P)'!Q7851,
    IF(lien="First",1.00,
        IF(lien="Second",1.50,
            1.70)))</f>
        <v/>
      </c>
      <c r="K7851">
        <f>LET(
    purpose,'Loan Tape (S&amp;P)'!R7851,
    IF(purpose="Purchase",1.00,
        IF(purpose="Remortgage",1.00,
            1.20)))</f>
        <v/>
      </c>
      <c r="L7851">
        <f>LET(
    arrears_months,'Loan Tape (S&amp;P)'!AN7851,
    IF(arrears_months=0,1.00,
    IF(arrears_months=1,3.00,
    IF(arrears_months=2,5.00,
    IF(arrears_months=3,8.00,
    IF(arrears_months=4,10.00,
    IF(arrears_months=5,12.00,15.00)))))))</f>
        <v/>
      </c>
      <c r="M7851">
        <f>LET(
    seasoning_years,DATEDIF('Loan Tape (S&amp;P)'!K7851,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51">
        <f>IF(AND('Loan Tape (S&amp;P)'!U7851="Yes",
        'Loan Tape (S&amp;P)'!T7851&lt;&gt;"Yes",
        DATEDIF('Loan Tape (S&amp;P)'!K7851, TODAY(), "M")&lt;18),
    1.10,
    1.00)</f>
        <v/>
      </c>
      <c r="O7851">
        <f>IF('Loan Tape (S&amp;P)'!T7851="Yes",
    1.35,
    1.00)</f>
        <v/>
      </c>
      <c r="P7851">
        <f>IF('Loan Tape (S&amp;P)'!S7851="Yes",
    1.15,
    1.00)</f>
        <v/>
      </c>
      <c r="Q7851">
        <f>IF('Loan Tape (S&amp;P)'!V7851="Yes",
    1.20,
    1.00)</f>
        <v/>
      </c>
      <c r="T7851">
        <f>LET(
    payment_method,'Loan Tape (S&amp;P)'!P7851,
    occupancy,'Loan Tape (S&amp;P)'!N7851,
    maturity_date,'Loan Tape (S&amp;P)'!L7851,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52">
      <c r="J7852">
        <f>LET(
    lien,'Loan Tape (S&amp;P)'!Q7852,
    IF(lien="First",1.00,
        IF(lien="Second",1.50,
            1.70)))</f>
        <v/>
      </c>
      <c r="K7852">
        <f>LET(
    purpose,'Loan Tape (S&amp;P)'!R7852,
    IF(purpose="Purchase",1.00,
        IF(purpose="Remortgage",1.00,
            1.20)))</f>
        <v/>
      </c>
      <c r="L7852">
        <f>LET(
    arrears_months,'Loan Tape (S&amp;P)'!AN7852,
    IF(arrears_months=0,1.00,
    IF(arrears_months=1,3.00,
    IF(arrears_months=2,5.00,
    IF(arrears_months=3,8.00,
    IF(arrears_months=4,10.00,
    IF(arrears_months=5,12.00,15.00)))))))</f>
        <v/>
      </c>
      <c r="M7852">
        <f>LET(
    seasoning_years,DATEDIF('Loan Tape (S&amp;P)'!K7852,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52">
        <f>IF(AND('Loan Tape (S&amp;P)'!U7852="Yes",
        'Loan Tape (S&amp;P)'!T7852&lt;&gt;"Yes",
        DATEDIF('Loan Tape (S&amp;P)'!K7852, TODAY(), "M")&lt;18),
    1.10,
    1.00)</f>
        <v/>
      </c>
      <c r="O7852">
        <f>IF('Loan Tape (S&amp;P)'!T7852="Yes",
    1.35,
    1.00)</f>
        <v/>
      </c>
      <c r="P7852">
        <f>IF('Loan Tape (S&amp;P)'!S7852="Yes",
    1.15,
    1.00)</f>
        <v/>
      </c>
      <c r="Q7852">
        <f>IF('Loan Tape (S&amp;P)'!V7852="Yes",
    1.20,
    1.00)</f>
        <v/>
      </c>
      <c r="T7852">
        <f>LET(
    payment_method,'Loan Tape (S&amp;P)'!P7852,
    occupancy,'Loan Tape (S&amp;P)'!N7852,
    maturity_date,'Loan Tape (S&amp;P)'!L7852,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53">
      <c r="J7853">
        <f>LET(
    lien,'Loan Tape (S&amp;P)'!Q7853,
    IF(lien="First",1.00,
        IF(lien="Second",1.50,
            1.70)))</f>
        <v/>
      </c>
      <c r="K7853">
        <f>LET(
    purpose,'Loan Tape (S&amp;P)'!R7853,
    IF(purpose="Purchase",1.00,
        IF(purpose="Remortgage",1.00,
            1.20)))</f>
        <v/>
      </c>
      <c r="L7853">
        <f>LET(
    arrears_months,'Loan Tape (S&amp;P)'!AN7853,
    IF(arrears_months=0,1.00,
    IF(arrears_months=1,3.00,
    IF(arrears_months=2,5.00,
    IF(arrears_months=3,8.00,
    IF(arrears_months=4,10.00,
    IF(arrears_months=5,12.00,15.00)))))))</f>
        <v/>
      </c>
      <c r="M7853">
        <f>LET(
    seasoning_years,DATEDIF('Loan Tape (S&amp;P)'!K7853,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53">
        <f>IF(AND('Loan Tape (S&amp;P)'!U7853="Yes",
        'Loan Tape (S&amp;P)'!T7853&lt;&gt;"Yes",
        DATEDIF('Loan Tape (S&amp;P)'!K7853, TODAY(), "M")&lt;18),
    1.10,
    1.00)</f>
        <v/>
      </c>
      <c r="O7853">
        <f>IF('Loan Tape (S&amp;P)'!T7853="Yes",
    1.35,
    1.00)</f>
        <v/>
      </c>
      <c r="P7853">
        <f>IF('Loan Tape (S&amp;P)'!S7853="Yes",
    1.15,
    1.00)</f>
        <v/>
      </c>
      <c r="Q7853">
        <f>IF('Loan Tape (S&amp;P)'!V7853="Yes",
    1.20,
    1.00)</f>
        <v/>
      </c>
      <c r="T7853">
        <f>LET(
    payment_method,'Loan Tape (S&amp;P)'!P7853,
    occupancy,'Loan Tape (S&amp;P)'!N7853,
    maturity_date,'Loan Tape (S&amp;P)'!L7853,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54">
      <c r="J7854">
        <f>LET(
    lien,'Loan Tape (S&amp;P)'!Q7854,
    IF(lien="First",1.00,
        IF(lien="Second",1.50,
            1.70)))</f>
        <v/>
      </c>
      <c r="K7854">
        <f>LET(
    purpose,'Loan Tape (S&amp;P)'!R7854,
    IF(purpose="Purchase",1.00,
        IF(purpose="Remortgage",1.00,
            1.20)))</f>
        <v/>
      </c>
      <c r="L7854">
        <f>LET(
    arrears_months,'Loan Tape (S&amp;P)'!AN7854,
    IF(arrears_months=0,1.00,
    IF(arrears_months=1,3.00,
    IF(arrears_months=2,5.00,
    IF(arrears_months=3,8.00,
    IF(arrears_months=4,10.00,
    IF(arrears_months=5,12.00,15.00)))))))</f>
        <v/>
      </c>
      <c r="M7854">
        <f>LET(
    seasoning_years,DATEDIF('Loan Tape (S&amp;P)'!K7854,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54">
        <f>IF(AND('Loan Tape (S&amp;P)'!U7854="Yes",
        'Loan Tape (S&amp;P)'!T7854&lt;&gt;"Yes",
        DATEDIF('Loan Tape (S&amp;P)'!K7854, TODAY(), "M")&lt;18),
    1.10,
    1.00)</f>
        <v/>
      </c>
      <c r="O7854">
        <f>IF('Loan Tape (S&amp;P)'!T7854="Yes",
    1.35,
    1.00)</f>
        <v/>
      </c>
      <c r="P7854">
        <f>IF('Loan Tape (S&amp;P)'!S7854="Yes",
    1.15,
    1.00)</f>
        <v/>
      </c>
      <c r="Q7854">
        <f>IF('Loan Tape (S&amp;P)'!V7854="Yes",
    1.20,
    1.00)</f>
        <v/>
      </c>
      <c r="T7854">
        <f>LET(
    payment_method,'Loan Tape (S&amp;P)'!P7854,
    occupancy,'Loan Tape (S&amp;P)'!N7854,
    maturity_date,'Loan Tape (S&amp;P)'!L7854,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55">
      <c r="J7855">
        <f>LET(
    lien,'Loan Tape (S&amp;P)'!Q7855,
    IF(lien="First",1.00,
        IF(lien="Second",1.50,
            1.70)))</f>
        <v/>
      </c>
      <c r="K7855">
        <f>LET(
    purpose,'Loan Tape (S&amp;P)'!R7855,
    IF(purpose="Purchase",1.00,
        IF(purpose="Remortgage",1.00,
            1.20)))</f>
        <v/>
      </c>
      <c r="L7855">
        <f>LET(
    arrears_months,'Loan Tape (S&amp;P)'!AN7855,
    IF(arrears_months=0,1.00,
    IF(arrears_months=1,3.00,
    IF(arrears_months=2,5.00,
    IF(arrears_months=3,8.00,
    IF(arrears_months=4,10.00,
    IF(arrears_months=5,12.00,15.00)))))))</f>
        <v/>
      </c>
      <c r="M7855">
        <f>LET(
    seasoning_years,DATEDIF('Loan Tape (S&amp;P)'!K7855,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55">
        <f>IF(AND('Loan Tape (S&amp;P)'!U7855="Yes",
        'Loan Tape (S&amp;P)'!T7855&lt;&gt;"Yes",
        DATEDIF('Loan Tape (S&amp;P)'!K7855, TODAY(), "M")&lt;18),
    1.10,
    1.00)</f>
        <v/>
      </c>
      <c r="O7855">
        <f>IF('Loan Tape (S&amp;P)'!T7855="Yes",
    1.35,
    1.00)</f>
        <v/>
      </c>
      <c r="P7855">
        <f>IF('Loan Tape (S&amp;P)'!S7855="Yes",
    1.15,
    1.00)</f>
        <v/>
      </c>
      <c r="Q7855">
        <f>IF('Loan Tape (S&amp;P)'!V7855="Yes",
    1.20,
    1.00)</f>
        <v/>
      </c>
      <c r="T7855">
        <f>LET(
    payment_method,'Loan Tape (S&amp;P)'!P7855,
    occupancy,'Loan Tape (S&amp;P)'!N7855,
    maturity_date,'Loan Tape (S&amp;P)'!L7855,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56">
      <c r="J7856">
        <f>LET(
    lien,'Loan Tape (S&amp;P)'!Q7856,
    IF(lien="First",1.00,
        IF(lien="Second",1.50,
            1.70)))</f>
        <v/>
      </c>
      <c r="K7856">
        <f>LET(
    purpose,'Loan Tape (S&amp;P)'!R7856,
    IF(purpose="Purchase",1.00,
        IF(purpose="Remortgage",1.00,
            1.20)))</f>
        <v/>
      </c>
      <c r="L7856">
        <f>LET(
    arrears_months,'Loan Tape (S&amp;P)'!AN7856,
    IF(arrears_months=0,1.00,
    IF(arrears_months=1,3.00,
    IF(arrears_months=2,5.00,
    IF(arrears_months=3,8.00,
    IF(arrears_months=4,10.00,
    IF(arrears_months=5,12.00,15.00)))))))</f>
        <v/>
      </c>
      <c r="M7856">
        <f>LET(
    seasoning_years,DATEDIF('Loan Tape (S&amp;P)'!K7856,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56">
        <f>IF(AND('Loan Tape (S&amp;P)'!U7856="Yes",
        'Loan Tape (S&amp;P)'!T7856&lt;&gt;"Yes",
        DATEDIF('Loan Tape (S&amp;P)'!K7856, TODAY(), "M")&lt;18),
    1.10,
    1.00)</f>
        <v/>
      </c>
      <c r="O7856">
        <f>IF('Loan Tape (S&amp;P)'!T7856="Yes",
    1.35,
    1.00)</f>
        <v/>
      </c>
      <c r="P7856">
        <f>IF('Loan Tape (S&amp;P)'!S7856="Yes",
    1.15,
    1.00)</f>
        <v/>
      </c>
      <c r="Q7856">
        <f>IF('Loan Tape (S&amp;P)'!V7856="Yes",
    1.20,
    1.00)</f>
        <v/>
      </c>
      <c r="T7856">
        <f>LET(
    payment_method,'Loan Tape (S&amp;P)'!P7856,
    occupancy,'Loan Tape (S&amp;P)'!N7856,
    maturity_date,'Loan Tape (S&amp;P)'!L7856,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57">
      <c r="J7857">
        <f>LET(
    lien,'Loan Tape (S&amp;P)'!Q7857,
    IF(lien="First",1.00,
        IF(lien="Second",1.50,
            1.70)))</f>
        <v/>
      </c>
      <c r="K7857">
        <f>LET(
    purpose,'Loan Tape (S&amp;P)'!R7857,
    IF(purpose="Purchase",1.00,
        IF(purpose="Remortgage",1.00,
            1.20)))</f>
        <v/>
      </c>
      <c r="L7857">
        <f>LET(
    arrears_months,'Loan Tape (S&amp;P)'!AN7857,
    IF(arrears_months=0,1.00,
    IF(arrears_months=1,3.00,
    IF(arrears_months=2,5.00,
    IF(arrears_months=3,8.00,
    IF(arrears_months=4,10.00,
    IF(arrears_months=5,12.00,15.00)))))))</f>
        <v/>
      </c>
      <c r="M7857">
        <f>LET(
    seasoning_years,DATEDIF('Loan Tape (S&amp;P)'!K7857,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57">
        <f>IF(AND('Loan Tape (S&amp;P)'!U7857="Yes",
        'Loan Tape (S&amp;P)'!T7857&lt;&gt;"Yes",
        DATEDIF('Loan Tape (S&amp;P)'!K7857, TODAY(), "M")&lt;18),
    1.10,
    1.00)</f>
        <v/>
      </c>
      <c r="O7857">
        <f>IF('Loan Tape (S&amp;P)'!T7857="Yes",
    1.35,
    1.00)</f>
        <v/>
      </c>
      <c r="P7857">
        <f>IF('Loan Tape (S&amp;P)'!S7857="Yes",
    1.15,
    1.00)</f>
        <v/>
      </c>
      <c r="Q7857">
        <f>IF('Loan Tape (S&amp;P)'!V7857="Yes",
    1.20,
    1.00)</f>
        <v/>
      </c>
      <c r="T7857">
        <f>LET(
    payment_method,'Loan Tape (S&amp;P)'!P7857,
    occupancy,'Loan Tape (S&amp;P)'!N7857,
    maturity_date,'Loan Tape (S&amp;P)'!L7857,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58">
      <c r="J7858">
        <f>LET(
    lien,'Loan Tape (S&amp;P)'!Q7858,
    IF(lien="First",1.00,
        IF(lien="Second",1.50,
            1.70)))</f>
        <v/>
      </c>
      <c r="K7858">
        <f>LET(
    purpose,'Loan Tape (S&amp;P)'!R7858,
    IF(purpose="Purchase",1.00,
        IF(purpose="Remortgage",1.00,
            1.20)))</f>
        <v/>
      </c>
      <c r="L7858">
        <f>LET(
    arrears_months,'Loan Tape (S&amp;P)'!AN7858,
    IF(arrears_months=0,1.00,
    IF(arrears_months=1,3.00,
    IF(arrears_months=2,5.00,
    IF(arrears_months=3,8.00,
    IF(arrears_months=4,10.00,
    IF(arrears_months=5,12.00,15.00)))))))</f>
        <v/>
      </c>
      <c r="M7858">
        <f>LET(
    seasoning_years,DATEDIF('Loan Tape (S&amp;P)'!K7858,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58">
        <f>IF(AND('Loan Tape (S&amp;P)'!U7858="Yes",
        'Loan Tape (S&amp;P)'!T7858&lt;&gt;"Yes",
        DATEDIF('Loan Tape (S&amp;P)'!K7858, TODAY(), "M")&lt;18),
    1.10,
    1.00)</f>
        <v/>
      </c>
      <c r="O7858">
        <f>IF('Loan Tape (S&amp;P)'!T7858="Yes",
    1.35,
    1.00)</f>
        <v/>
      </c>
      <c r="P7858">
        <f>IF('Loan Tape (S&amp;P)'!S7858="Yes",
    1.15,
    1.00)</f>
        <v/>
      </c>
      <c r="Q7858">
        <f>IF('Loan Tape (S&amp;P)'!V7858="Yes",
    1.20,
    1.00)</f>
        <v/>
      </c>
      <c r="T7858">
        <f>LET(
    payment_method,'Loan Tape (S&amp;P)'!P7858,
    occupancy,'Loan Tape (S&amp;P)'!N7858,
    maturity_date,'Loan Tape (S&amp;P)'!L7858,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59">
      <c r="J7859">
        <f>LET(
    lien,'Loan Tape (S&amp;P)'!Q7859,
    IF(lien="First",1.00,
        IF(lien="Second",1.50,
            1.70)))</f>
        <v/>
      </c>
      <c r="K7859">
        <f>LET(
    purpose,'Loan Tape (S&amp;P)'!R7859,
    IF(purpose="Purchase",1.00,
        IF(purpose="Remortgage",1.00,
            1.20)))</f>
        <v/>
      </c>
      <c r="L7859">
        <f>LET(
    arrears_months,'Loan Tape (S&amp;P)'!AN7859,
    IF(arrears_months=0,1.00,
    IF(arrears_months=1,3.00,
    IF(arrears_months=2,5.00,
    IF(arrears_months=3,8.00,
    IF(arrears_months=4,10.00,
    IF(arrears_months=5,12.00,15.00)))))))</f>
        <v/>
      </c>
      <c r="M7859">
        <f>LET(
    seasoning_years,DATEDIF('Loan Tape (S&amp;P)'!K7859,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59">
        <f>IF(AND('Loan Tape (S&amp;P)'!U7859="Yes",
        'Loan Tape (S&amp;P)'!T7859&lt;&gt;"Yes",
        DATEDIF('Loan Tape (S&amp;P)'!K7859, TODAY(), "M")&lt;18),
    1.10,
    1.00)</f>
        <v/>
      </c>
      <c r="O7859">
        <f>IF('Loan Tape (S&amp;P)'!T7859="Yes",
    1.35,
    1.00)</f>
        <v/>
      </c>
      <c r="P7859">
        <f>IF('Loan Tape (S&amp;P)'!S7859="Yes",
    1.15,
    1.00)</f>
        <v/>
      </c>
      <c r="Q7859">
        <f>IF('Loan Tape (S&amp;P)'!V7859="Yes",
    1.20,
    1.00)</f>
        <v/>
      </c>
      <c r="T7859">
        <f>LET(
    payment_method,'Loan Tape (S&amp;P)'!P7859,
    occupancy,'Loan Tape (S&amp;P)'!N7859,
    maturity_date,'Loan Tape (S&amp;P)'!L7859,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60">
      <c r="J7860">
        <f>LET(
    lien,'Loan Tape (S&amp;P)'!Q7860,
    IF(lien="First",1.00,
        IF(lien="Second",1.50,
            1.70)))</f>
        <v/>
      </c>
      <c r="K7860">
        <f>LET(
    purpose,'Loan Tape (S&amp;P)'!R7860,
    IF(purpose="Purchase",1.00,
        IF(purpose="Remortgage",1.00,
            1.20)))</f>
        <v/>
      </c>
      <c r="L7860">
        <f>LET(
    arrears_months,'Loan Tape (S&amp;P)'!AN7860,
    IF(arrears_months=0,1.00,
    IF(arrears_months=1,3.00,
    IF(arrears_months=2,5.00,
    IF(arrears_months=3,8.00,
    IF(arrears_months=4,10.00,
    IF(arrears_months=5,12.00,15.00)))))))</f>
        <v/>
      </c>
      <c r="M7860">
        <f>LET(
    seasoning_years,DATEDIF('Loan Tape (S&amp;P)'!K7860,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60">
        <f>IF(AND('Loan Tape (S&amp;P)'!U7860="Yes",
        'Loan Tape (S&amp;P)'!T7860&lt;&gt;"Yes",
        DATEDIF('Loan Tape (S&amp;P)'!K7860, TODAY(), "M")&lt;18),
    1.10,
    1.00)</f>
        <v/>
      </c>
      <c r="O7860">
        <f>IF('Loan Tape (S&amp;P)'!T7860="Yes",
    1.35,
    1.00)</f>
        <v/>
      </c>
      <c r="P7860">
        <f>IF('Loan Tape (S&amp;P)'!S7860="Yes",
    1.15,
    1.00)</f>
        <v/>
      </c>
      <c r="Q7860">
        <f>IF('Loan Tape (S&amp;P)'!V7860="Yes",
    1.20,
    1.00)</f>
        <v/>
      </c>
      <c r="T7860">
        <f>LET(
    payment_method,'Loan Tape (S&amp;P)'!P7860,
    occupancy,'Loan Tape (S&amp;P)'!N7860,
    maturity_date,'Loan Tape (S&amp;P)'!L7860,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61">
      <c r="J7861">
        <f>LET(
    lien,'Loan Tape (S&amp;P)'!Q7861,
    IF(lien="First",1.00,
        IF(lien="Second",1.50,
            1.70)))</f>
        <v/>
      </c>
      <c r="K7861">
        <f>LET(
    purpose,'Loan Tape (S&amp;P)'!R7861,
    IF(purpose="Purchase",1.00,
        IF(purpose="Remortgage",1.00,
            1.20)))</f>
        <v/>
      </c>
      <c r="L7861">
        <f>LET(
    arrears_months,'Loan Tape (S&amp;P)'!AN7861,
    IF(arrears_months=0,1.00,
    IF(arrears_months=1,3.00,
    IF(arrears_months=2,5.00,
    IF(arrears_months=3,8.00,
    IF(arrears_months=4,10.00,
    IF(arrears_months=5,12.00,15.00)))))))</f>
        <v/>
      </c>
      <c r="M7861">
        <f>LET(
    seasoning_years,DATEDIF('Loan Tape (S&amp;P)'!K7861,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61">
        <f>IF(AND('Loan Tape (S&amp;P)'!U7861="Yes",
        'Loan Tape (S&amp;P)'!T7861&lt;&gt;"Yes",
        DATEDIF('Loan Tape (S&amp;P)'!K7861, TODAY(), "M")&lt;18),
    1.10,
    1.00)</f>
        <v/>
      </c>
      <c r="O7861">
        <f>IF('Loan Tape (S&amp;P)'!T7861="Yes",
    1.35,
    1.00)</f>
        <v/>
      </c>
      <c r="P7861">
        <f>IF('Loan Tape (S&amp;P)'!S7861="Yes",
    1.15,
    1.00)</f>
        <v/>
      </c>
      <c r="Q7861">
        <f>IF('Loan Tape (S&amp;P)'!V7861="Yes",
    1.20,
    1.00)</f>
        <v/>
      </c>
      <c r="T7861">
        <f>LET(
    payment_method,'Loan Tape (S&amp;P)'!P7861,
    occupancy,'Loan Tape (S&amp;P)'!N7861,
    maturity_date,'Loan Tape (S&amp;P)'!L7861,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62">
      <c r="J7862">
        <f>LET(
    lien,'Loan Tape (S&amp;P)'!Q7862,
    IF(lien="First",1.00,
        IF(lien="Second",1.50,
            1.70)))</f>
        <v/>
      </c>
      <c r="K7862">
        <f>LET(
    purpose,'Loan Tape (S&amp;P)'!R7862,
    IF(purpose="Purchase",1.00,
        IF(purpose="Remortgage",1.00,
            1.20)))</f>
        <v/>
      </c>
      <c r="L7862">
        <f>LET(
    arrears_months,'Loan Tape (S&amp;P)'!AN7862,
    IF(arrears_months=0,1.00,
    IF(arrears_months=1,3.00,
    IF(arrears_months=2,5.00,
    IF(arrears_months=3,8.00,
    IF(arrears_months=4,10.00,
    IF(arrears_months=5,12.00,15.00)))))))</f>
        <v/>
      </c>
      <c r="M7862">
        <f>LET(
    seasoning_years,DATEDIF('Loan Tape (S&amp;P)'!K7862,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62">
        <f>IF(AND('Loan Tape (S&amp;P)'!U7862="Yes",
        'Loan Tape (S&amp;P)'!T7862&lt;&gt;"Yes",
        DATEDIF('Loan Tape (S&amp;P)'!K7862, TODAY(), "M")&lt;18),
    1.10,
    1.00)</f>
        <v/>
      </c>
      <c r="O7862">
        <f>IF('Loan Tape (S&amp;P)'!T7862="Yes",
    1.35,
    1.00)</f>
        <v/>
      </c>
      <c r="P7862">
        <f>IF('Loan Tape (S&amp;P)'!S7862="Yes",
    1.15,
    1.00)</f>
        <v/>
      </c>
      <c r="Q7862">
        <f>IF('Loan Tape (S&amp;P)'!V7862="Yes",
    1.20,
    1.00)</f>
        <v/>
      </c>
      <c r="T7862">
        <f>LET(
    payment_method,'Loan Tape (S&amp;P)'!P7862,
    occupancy,'Loan Tape (S&amp;P)'!N7862,
    maturity_date,'Loan Tape (S&amp;P)'!L7862,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63">
      <c r="J7863">
        <f>LET(
    lien,'Loan Tape (S&amp;P)'!Q7863,
    IF(lien="First",1.00,
        IF(lien="Second",1.50,
            1.70)))</f>
        <v/>
      </c>
      <c r="K7863">
        <f>LET(
    purpose,'Loan Tape (S&amp;P)'!R7863,
    IF(purpose="Purchase",1.00,
        IF(purpose="Remortgage",1.00,
            1.20)))</f>
        <v/>
      </c>
      <c r="L7863">
        <f>LET(
    arrears_months,'Loan Tape (S&amp;P)'!AN7863,
    IF(arrears_months=0,1.00,
    IF(arrears_months=1,3.00,
    IF(arrears_months=2,5.00,
    IF(arrears_months=3,8.00,
    IF(arrears_months=4,10.00,
    IF(arrears_months=5,12.00,15.00)))))))</f>
        <v/>
      </c>
      <c r="M7863">
        <f>LET(
    seasoning_years,DATEDIF('Loan Tape (S&amp;P)'!K7863,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63">
        <f>IF(AND('Loan Tape (S&amp;P)'!U7863="Yes",
        'Loan Tape (S&amp;P)'!T7863&lt;&gt;"Yes",
        DATEDIF('Loan Tape (S&amp;P)'!K7863, TODAY(), "M")&lt;18),
    1.10,
    1.00)</f>
        <v/>
      </c>
      <c r="O7863">
        <f>IF('Loan Tape (S&amp;P)'!T7863="Yes",
    1.35,
    1.00)</f>
        <v/>
      </c>
      <c r="P7863">
        <f>IF('Loan Tape (S&amp;P)'!S7863="Yes",
    1.15,
    1.00)</f>
        <v/>
      </c>
      <c r="Q7863">
        <f>IF('Loan Tape (S&amp;P)'!V7863="Yes",
    1.20,
    1.00)</f>
        <v/>
      </c>
      <c r="T7863">
        <f>LET(
    payment_method,'Loan Tape (S&amp;P)'!P7863,
    occupancy,'Loan Tape (S&amp;P)'!N7863,
    maturity_date,'Loan Tape (S&amp;P)'!L7863,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64">
      <c r="J7864">
        <f>LET(
    lien,'Loan Tape (S&amp;P)'!Q7864,
    IF(lien="First",1.00,
        IF(lien="Second",1.50,
            1.70)))</f>
        <v/>
      </c>
      <c r="K7864">
        <f>LET(
    purpose,'Loan Tape (S&amp;P)'!R7864,
    IF(purpose="Purchase",1.00,
        IF(purpose="Remortgage",1.00,
            1.20)))</f>
        <v/>
      </c>
      <c r="L7864">
        <f>LET(
    arrears_months,'Loan Tape (S&amp;P)'!AN7864,
    IF(arrears_months=0,1.00,
    IF(arrears_months=1,3.00,
    IF(arrears_months=2,5.00,
    IF(arrears_months=3,8.00,
    IF(arrears_months=4,10.00,
    IF(arrears_months=5,12.00,15.00)))))))</f>
        <v/>
      </c>
      <c r="M7864">
        <f>LET(
    seasoning_years,DATEDIF('Loan Tape (S&amp;P)'!K7864,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64">
        <f>IF(AND('Loan Tape (S&amp;P)'!U7864="Yes",
        'Loan Tape (S&amp;P)'!T7864&lt;&gt;"Yes",
        DATEDIF('Loan Tape (S&amp;P)'!K7864, TODAY(), "M")&lt;18),
    1.10,
    1.00)</f>
        <v/>
      </c>
      <c r="O7864">
        <f>IF('Loan Tape (S&amp;P)'!T7864="Yes",
    1.35,
    1.00)</f>
        <v/>
      </c>
      <c r="P7864">
        <f>IF('Loan Tape (S&amp;P)'!S7864="Yes",
    1.15,
    1.00)</f>
        <v/>
      </c>
      <c r="Q7864">
        <f>IF('Loan Tape (S&amp;P)'!V7864="Yes",
    1.20,
    1.00)</f>
        <v/>
      </c>
      <c r="T7864">
        <f>LET(
    payment_method,'Loan Tape (S&amp;P)'!P7864,
    occupancy,'Loan Tape (S&amp;P)'!N7864,
    maturity_date,'Loan Tape (S&amp;P)'!L7864,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65">
      <c r="J7865">
        <f>LET(
    lien,'Loan Tape (S&amp;P)'!Q7865,
    IF(lien="First",1.00,
        IF(lien="Second",1.50,
            1.70)))</f>
        <v/>
      </c>
      <c r="K7865">
        <f>LET(
    purpose,'Loan Tape (S&amp;P)'!R7865,
    IF(purpose="Purchase",1.00,
        IF(purpose="Remortgage",1.00,
            1.20)))</f>
        <v/>
      </c>
      <c r="L7865">
        <f>LET(
    arrears_months,'Loan Tape (S&amp;P)'!AN7865,
    IF(arrears_months=0,1.00,
    IF(arrears_months=1,3.00,
    IF(arrears_months=2,5.00,
    IF(arrears_months=3,8.00,
    IF(arrears_months=4,10.00,
    IF(arrears_months=5,12.00,15.00)))))))</f>
        <v/>
      </c>
      <c r="M7865">
        <f>LET(
    seasoning_years,DATEDIF('Loan Tape (S&amp;P)'!K7865,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65">
        <f>IF(AND('Loan Tape (S&amp;P)'!U7865="Yes",
        'Loan Tape (S&amp;P)'!T7865&lt;&gt;"Yes",
        DATEDIF('Loan Tape (S&amp;P)'!K7865, TODAY(), "M")&lt;18),
    1.10,
    1.00)</f>
        <v/>
      </c>
      <c r="O7865">
        <f>IF('Loan Tape (S&amp;P)'!T7865="Yes",
    1.35,
    1.00)</f>
        <v/>
      </c>
      <c r="P7865">
        <f>IF('Loan Tape (S&amp;P)'!S7865="Yes",
    1.15,
    1.00)</f>
        <v/>
      </c>
      <c r="Q7865">
        <f>IF('Loan Tape (S&amp;P)'!V7865="Yes",
    1.20,
    1.00)</f>
        <v/>
      </c>
      <c r="T7865">
        <f>LET(
    payment_method,'Loan Tape (S&amp;P)'!P7865,
    occupancy,'Loan Tape (S&amp;P)'!N7865,
    maturity_date,'Loan Tape (S&amp;P)'!L7865,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66">
      <c r="J7866">
        <f>LET(
    lien,'Loan Tape (S&amp;P)'!Q7866,
    IF(lien="First",1.00,
        IF(lien="Second",1.50,
            1.70)))</f>
        <v/>
      </c>
      <c r="K7866">
        <f>LET(
    purpose,'Loan Tape (S&amp;P)'!R7866,
    IF(purpose="Purchase",1.00,
        IF(purpose="Remortgage",1.00,
            1.20)))</f>
        <v/>
      </c>
      <c r="L7866">
        <f>LET(
    arrears_months,'Loan Tape (S&amp;P)'!AN7866,
    IF(arrears_months=0,1.00,
    IF(arrears_months=1,3.00,
    IF(arrears_months=2,5.00,
    IF(arrears_months=3,8.00,
    IF(arrears_months=4,10.00,
    IF(arrears_months=5,12.00,15.00)))))))</f>
        <v/>
      </c>
      <c r="M7866">
        <f>LET(
    seasoning_years,DATEDIF('Loan Tape (S&amp;P)'!K7866,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66">
        <f>IF(AND('Loan Tape (S&amp;P)'!U7866="Yes",
        'Loan Tape (S&amp;P)'!T7866&lt;&gt;"Yes",
        DATEDIF('Loan Tape (S&amp;P)'!K7866, TODAY(), "M")&lt;18),
    1.10,
    1.00)</f>
        <v/>
      </c>
      <c r="O7866">
        <f>IF('Loan Tape (S&amp;P)'!T7866="Yes",
    1.35,
    1.00)</f>
        <v/>
      </c>
      <c r="P7866">
        <f>IF('Loan Tape (S&amp;P)'!S7866="Yes",
    1.15,
    1.00)</f>
        <v/>
      </c>
      <c r="Q7866">
        <f>IF('Loan Tape (S&amp;P)'!V7866="Yes",
    1.20,
    1.00)</f>
        <v/>
      </c>
      <c r="T7866">
        <f>LET(
    payment_method,'Loan Tape (S&amp;P)'!P7866,
    occupancy,'Loan Tape (S&amp;P)'!N7866,
    maturity_date,'Loan Tape (S&amp;P)'!L7866,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67">
      <c r="J7867">
        <f>LET(
    lien,'Loan Tape (S&amp;P)'!Q7867,
    IF(lien="First",1.00,
        IF(lien="Second",1.50,
            1.70)))</f>
        <v/>
      </c>
      <c r="K7867">
        <f>LET(
    purpose,'Loan Tape (S&amp;P)'!R7867,
    IF(purpose="Purchase",1.00,
        IF(purpose="Remortgage",1.00,
            1.20)))</f>
        <v/>
      </c>
      <c r="L7867">
        <f>LET(
    arrears_months,'Loan Tape (S&amp;P)'!AN7867,
    IF(arrears_months=0,1.00,
    IF(arrears_months=1,3.00,
    IF(arrears_months=2,5.00,
    IF(arrears_months=3,8.00,
    IF(arrears_months=4,10.00,
    IF(arrears_months=5,12.00,15.00)))))))</f>
        <v/>
      </c>
      <c r="M7867">
        <f>LET(
    seasoning_years,DATEDIF('Loan Tape (S&amp;P)'!K7867,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67">
        <f>IF(AND('Loan Tape (S&amp;P)'!U7867="Yes",
        'Loan Tape (S&amp;P)'!T7867&lt;&gt;"Yes",
        DATEDIF('Loan Tape (S&amp;P)'!K7867, TODAY(), "M")&lt;18),
    1.10,
    1.00)</f>
        <v/>
      </c>
      <c r="O7867">
        <f>IF('Loan Tape (S&amp;P)'!T7867="Yes",
    1.35,
    1.00)</f>
        <v/>
      </c>
      <c r="P7867">
        <f>IF('Loan Tape (S&amp;P)'!S7867="Yes",
    1.15,
    1.00)</f>
        <v/>
      </c>
      <c r="Q7867">
        <f>IF('Loan Tape (S&amp;P)'!V7867="Yes",
    1.20,
    1.00)</f>
        <v/>
      </c>
      <c r="T7867">
        <f>LET(
    payment_method,'Loan Tape (S&amp;P)'!P7867,
    occupancy,'Loan Tape (S&amp;P)'!N7867,
    maturity_date,'Loan Tape (S&amp;P)'!L7867,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68">
      <c r="J7868">
        <f>LET(
    lien,'Loan Tape (S&amp;P)'!Q7868,
    IF(lien="First",1.00,
        IF(lien="Second",1.50,
            1.70)))</f>
        <v/>
      </c>
      <c r="K7868">
        <f>LET(
    purpose,'Loan Tape (S&amp;P)'!R7868,
    IF(purpose="Purchase",1.00,
        IF(purpose="Remortgage",1.00,
            1.20)))</f>
        <v/>
      </c>
      <c r="L7868">
        <f>LET(
    arrears_months,'Loan Tape (S&amp;P)'!AN7868,
    IF(arrears_months=0,1.00,
    IF(arrears_months=1,3.00,
    IF(arrears_months=2,5.00,
    IF(arrears_months=3,8.00,
    IF(arrears_months=4,10.00,
    IF(arrears_months=5,12.00,15.00)))))))</f>
        <v/>
      </c>
      <c r="M7868">
        <f>LET(
    seasoning_years,DATEDIF('Loan Tape (S&amp;P)'!K7868,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68">
        <f>IF(AND('Loan Tape (S&amp;P)'!U7868="Yes",
        'Loan Tape (S&amp;P)'!T7868&lt;&gt;"Yes",
        DATEDIF('Loan Tape (S&amp;P)'!K7868, TODAY(), "M")&lt;18),
    1.10,
    1.00)</f>
        <v/>
      </c>
      <c r="O7868">
        <f>IF('Loan Tape (S&amp;P)'!T7868="Yes",
    1.35,
    1.00)</f>
        <v/>
      </c>
      <c r="P7868">
        <f>IF('Loan Tape (S&amp;P)'!S7868="Yes",
    1.15,
    1.00)</f>
        <v/>
      </c>
      <c r="Q7868">
        <f>IF('Loan Tape (S&amp;P)'!V7868="Yes",
    1.20,
    1.00)</f>
        <v/>
      </c>
      <c r="T7868">
        <f>LET(
    payment_method,'Loan Tape (S&amp;P)'!P7868,
    occupancy,'Loan Tape (S&amp;P)'!N7868,
    maturity_date,'Loan Tape (S&amp;P)'!L7868,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69">
      <c r="J7869">
        <f>LET(
    lien,'Loan Tape (S&amp;P)'!Q7869,
    IF(lien="First",1.00,
        IF(lien="Second",1.50,
            1.70)))</f>
        <v/>
      </c>
      <c r="K7869">
        <f>LET(
    purpose,'Loan Tape (S&amp;P)'!R7869,
    IF(purpose="Purchase",1.00,
        IF(purpose="Remortgage",1.00,
            1.20)))</f>
        <v/>
      </c>
      <c r="L7869">
        <f>LET(
    arrears_months,'Loan Tape (S&amp;P)'!AN7869,
    IF(arrears_months=0,1.00,
    IF(arrears_months=1,3.00,
    IF(arrears_months=2,5.00,
    IF(arrears_months=3,8.00,
    IF(arrears_months=4,10.00,
    IF(arrears_months=5,12.00,15.00)))))))</f>
        <v/>
      </c>
      <c r="M7869">
        <f>LET(
    seasoning_years,DATEDIF('Loan Tape (S&amp;P)'!K7869,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69">
        <f>IF(AND('Loan Tape (S&amp;P)'!U7869="Yes",
        'Loan Tape (S&amp;P)'!T7869&lt;&gt;"Yes",
        DATEDIF('Loan Tape (S&amp;P)'!K7869, TODAY(), "M")&lt;18),
    1.10,
    1.00)</f>
        <v/>
      </c>
      <c r="O7869">
        <f>IF('Loan Tape (S&amp;P)'!T7869="Yes",
    1.35,
    1.00)</f>
        <v/>
      </c>
      <c r="P7869">
        <f>IF('Loan Tape (S&amp;P)'!S7869="Yes",
    1.15,
    1.00)</f>
        <v/>
      </c>
      <c r="Q7869">
        <f>IF('Loan Tape (S&amp;P)'!V7869="Yes",
    1.20,
    1.00)</f>
        <v/>
      </c>
      <c r="T7869">
        <f>LET(
    payment_method,'Loan Tape (S&amp;P)'!P7869,
    occupancy,'Loan Tape (S&amp;P)'!N7869,
    maturity_date,'Loan Tape (S&amp;P)'!L7869,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70">
      <c r="J7870">
        <f>LET(
    lien,'Loan Tape (S&amp;P)'!Q7870,
    IF(lien="First",1.00,
        IF(lien="Second",1.50,
            1.70)))</f>
        <v/>
      </c>
      <c r="K7870">
        <f>LET(
    purpose,'Loan Tape (S&amp;P)'!R7870,
    IF(purpose="Purchase",1.00,
        IF(purpose="Remortgage",1.00,
            1.20)))</f>
        <v/>
      </c>
      <c r="L7870">
        <f>LET(
    arrears_months,'Loan Tape (S&amp;P)'!AN7870,
    IF(arrears_months=0,1.00,
    IF(arrears_months=1,3.00,
    IF(arrears_months=2,5.00,
    IF(arrears_months=3,8.00,
    IF(arrears_months=4,10.00,
    IF(arrears_months=5,12.00,15.00)))))))</f>
        <v/>
      </c>
      <c r="M7870">
        <f>LET(
    seasoning_years,DATEDIF('Loan Tape (S&amp;P)'!K7870,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70">
        <f>IF(AND('Loan Tape (S&amp;P)'!U7870="Yes",
        'Loan Tape (S&amp;P)'!T7870&lt;&gt;"Yes",
        DATEDIF('Loan Tape (S&amp;P)'!K7870, TODAY(), "M")&lt;18),
    1.10,
    1.00)</f>
        <v/>
      </c>
      <c r="O7870">
        <f>IF('Loan Tape (S&amp;P)'!T7870="Yes",
    1.35,
    1.00)</f>
        <v/>
      </c>
      <c r="P7870">
        <f>IF('Loan Tape (S&amp;P)'!S7870="Yes",
    1.15,
    1.00)</f>
        <v/>
      </c>
      <c r="Q7870">
        <f>IF('Loan Tape (S&amp;P)'!V7870="Yes",
    1.20,
    1.00)</f>
        <v/>
      </c>
      <c r="T7870">
        <f>LET(
    payment_method,'Loan Tape (S&amp;P)'!P7870,
    occupancy,'Loan Tape (S&amp;P)'!N7870,
    maturity_date,'Loan Tape (S&amp;P)'!L7870,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71">
      <c r="J7871">
        <f>LET(
    lien,'Loan Tape (S&amp;P)'!Q7871,
    IF(lien="First",1.00,
        IF(lien="Second",1.50,
            1.70)))</f>
        <v/>
      </c>
      <c r="K7871">
        <f>LET(
    purpose,'Loan Tape (S&amp;P)'!R7871,
    IF(purpose="Purchase",1.00,
        IF(purpose="Remortgage",1.00,
            1.20)))</f>
        <v/>
      </c>
      <c r="L7871">
        <f>LET(
    arrears_months,'Loan Tape (S&amp;P)'!AN7871,
    IF(arrears_months=0,1.00,
    IF(arrears_months=1,3.00,
    IF(arrears_months=2,5.00,
    IF(arrears_months=3,8.00,
    IF(arrears_months=4,10.00,
    IF(arrears_months=5,12.00,15.00)))))))</f>
        <v/>
      </c>
      <c r="M7871">
        <f>LET(
    seasoning_years,DATEDIF('Loan Tape (S&amp;P)'!K7871,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71">
        <f>IF(AND('Loan Tape (S&amp;P)'!U7871="Yes",
        'Loan Tape (S&amp;P)'!T7871&lt;&gt;"Yes",
        DATEDIF('Loan Tape (S&amp;P)'!K7871, TODAY(), "M")&lt;18),
    1.10,
    1.00)</f>
        <v/>
      </c>
      <c r="O7871">
        <f>IF('Loan Tape (S&amp;P)'!T7871="Yes",
    1.35,
    1.00)</f>
        <v/>
      </c>
      <c r="P7871">
        <f>IF('Loan Tape (S&amp;P)'!S7871="Yes",
    1.15,
    1.00)</f>
        <v/>
      </c>
      <c r="Q7871">
        <f>IF('Loan Tape (S&amp;P)'!V7871="Yes",
    1.20,
    1.00)</f>
        <v/>
      </c>
      <c r="T7871">
        <f>LET(
    payment_method,'Loan Tape (S&amp;P)'!P7871,
    occupancy,'Loan Tape (S&amp;P)'!N7871,
    maturity_date,'Loan Tape (S&amp;P)'!L7871,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72">
      <c r="J7872">
        <f>LET(
    lien,'Loan Tape (S&amp;P)'!Q7872,
    IF(lien="First",1.00,
        IF(lien="Second",1.50,
            1.70)))</f>
        <v/>
      </c>
      <c r="K7872">
        <f>LET(
    purpose,'Loan Tape (S&amp;P)'!R7872,
    IF(purpose="Purchase",1.00,
        IF(purpose="Remortgage",1.00,
            1.20)))</f>
        <v/>
      </c>
      <c r="L7872">
        <f>LET(
    arrears_months,'Loan Tape (S&amp;P)'!AN7872,
    IF(arrears_months=0,1.00,
    IF(arrears_months=1,3.00,
    IF(arrears_months=2,5.00,
    IF(arrears_months=3,8.00,
    IF(arrears_months=4,10.00,
    IF(arrears_months=5,12.00,15.00)))))))</f>
        <v/>
      </c>
      <c r="M7872">
        <f>LET(
    seasoning_years,DATEDIF('Loan Tape (S&amp;P)'!K7872,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72">
        <f>IF(AND('Loan Tape (S&amp;P)'!U7872="Yes",
        'Loan Tape (S&amp;P)'!T7872&lt;&gt;"Yes",
        DATEDIF('Loan Tape (S&amp;P)'!K7872, TODAY(), "M")&lt;18),
    1.10,
    1.00)</f>
        <v/>
      </c>
      <c r="O7872">
        <f>IF('Loan Tape (S&amp;P)'!T7872="Yes",
    1.35,
    1.00)</f>
        <v/>
      </c>
      <c r="P7872">
        <f>IF('Loan Tape (S&amp;P)'!S7872="Yes",
    1.15,
    1.00)</f>
        <v/>
      </c>
      <c r="Q7872">
        <f>IF('Loan Tape (S&amp;P)'!V7872="Yes",
    1.20,
    1.00)</f>
        <v/>
      </c>
      <c r="T7872">
        <f>LET(
    payment_method,'Loan Tape (S&amp;P)'!P7872,
    occupancy,'Loan Tape (S&amp;P)'!N7872,
    maturity_date,'Loan Tape (S&amp;P)'!L7872,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73">
      <c r="J7873">
        <f>LET(
    lien,'Loan Tape (S&amp;P)'!Q7873,
    IF(lien="First",1.00,
        IF(lien="Second",1.50,
            1.70)))</f>
        <v/>
      </c>
      <c r="K7873">
        <f>LET(
    purpose,'Loan Tape (S&amp;P)'!R7873,
    IF(purpose="Purchase",1.00,
        IF(purpose="Remortgage",1.00,
            1.20)))</f>
        <v/>
      </c>
      <c r="L7873">
        <f>LET(
    arrears_months,'Loan Tape (S&amp;P)'!AN7873,
    IF(arrears_months=0,1.00,
    IF(arrears_months=1,3.00,
    IF(arrears_months=2,5.00,
    IF(arrears_months=3,8.00,
    IF(arrears_months=4,10.00,
    IF(arrears_months=5,12.00,15.00)))))))</f>
        <v/>
      </c>
      <c r="M7873">
        <f>LET(
    seasoning_years,DATEDIF('Loan Tape (S&amp;P)'!K7873,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73">
        <f>IF(AND('Loan Tape (S&amp;P)'!U7873="Yes",
        'Loan Tape (S&amp;P)'!T7873&lt;&gt;"Yes",
        DATEDIF('Loan Tape (S&amp;P)'!K7873, TODAY(), "M")&lt;18),
    1.10,
    1.00)</f>
        <v/>
      </c>
      <c r="O7873">
        <f>IF('Loan Tape (S&amp;P)'!T7873="Yes",
    1.35,
    1.00)</f>
        <v/>
      </c>
      <c r="P7873">
        <f>IF('Loan Tape (S&amp;P)'!S7873="Yes",
    1.15,
    1.00)</f>
        <v/>
      </c>
      <c r="Q7873">
        <f>IF('Loan Tape (S&amp;P)'!V7873="Yes",
    1.20,
    1.00)</f>
        <v/>
      </c>
      <c r="T7873">
        <f>LET(
    payment_method,'Loan Tape (S&amp;P)'!P7873,
    occupancy,'Loan Tape (S&amp;P)'!N7873,
    maturity_date,'Loan Tape (S&amp;P)'!L7873,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74">
      <c r="J7874">
        <f>LET(
    lien,'Loan Tape (S&amp;P)'!Q7874,
    IF(lien="First",1.00,
        IF(lien="Second",1.50,
            1.70)))</f>
        <v/>
      </c>
      <c r="K7874">
        <f>LET(
    purpose,'Loan Tape (S&amp;P)'!R7874,
    IF(purpose="Purchase",1.00,
        IF(purpose="Remortgage",1.00,
            1.20)))</f>
        <v/>
      </c>
      <c r="L7874">
        <f>LET(
    arrears_months,'Loan Tape (S&amp;P)'!AN7874,
    IF(arrears_months=0,1.00,
    IF(arrears_months=1,3.00,
    IF(arrears_months=2,5.00,
    IF(arrears_months=3,8.00,
    IF(arrears_months=4,10.00,
    IF(arrears_months=5,12.00,15.00)))))))</f>
        <v/>
      </c>
      <c r="M7874">
        <f>LET(
    seasoning_years,DATEDIF('Loan Tape (S&amp;P)'!K7874,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74">
        <f>IF(AND('Loan Tape (S&amp;P)'!U7874="Yes",
        'Loan Tape (S&amp;P)'!T7874&lt;&gt;"Yes",
        DATEDIF('Loan Tape (S&amp;P)'!K7874, TODAY(), "M")&lt;18),
    1.10,
    1.00)</f>
        <v/>
      </c>
      <c r="O7874">
        <f>IF('Loan Tape (S&amp;P)'!T7874="Yes",
    1.35,
    1.00)</f>
        <v/>
      </c>
      <c r="P7874">
        <f>IF('Loan Tape (S&amp;P)'!S7874="Yes",
    1.15,
    1.00)</f>
        <v/>
      </c>
      <c r="Q7874">
        <f>IF('Loan Tape (S&amp;P)'!V7874="Yes",
    1.20,
    1.00)</f>
        <v/>
      </c>
      <c r="T7874">
        <f>LET(
    payment_method,'Loan Tape (S&amp;P)'!P7874,
    occupancy,'Loan Tape (S&amp;P)'!N7874,
    maturity_date,'Loan Tape (S&amp;P)'!L7874,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75">
      <c r="J7875">
        <f>LET(
    lien,'Loan Tape (S&amp;P)'!Q7875,
    IF(lien="First",1.00,
        IF(lien="Second",1.50,
            1.70)))</f>
        <v/>
      </c>
      <c r="K7875">
        <f>LET(
    purpose,'Loan Tape (S&amp;P)'!R7875,
    IF(purpose="Purchase",1.00,
        IF(purpose="Remortgage",1.00,
            1.20)))</f>
        <v/>
      </c>
      <c r="L7875">
        <f>LET(
    arrears_months,'Loan Tape (S&amp;P)'!AN7875,
    IF(arrears_months=0,1.00,
    IF(arrears_months=1,3.00,
    IF(arrears_months=2,5.00,
    IF(arrears_months=3,8.00,
    IF(arrears_months=4,10.00,
    IF(arrears_months=5,12.00,15.00)))))))</f>
        <v/>
      </c>
      <c r="M7875">
        <f>LET(
    seasoning_years,DATEDIF('Loan Tape (S&amp;P)'!K7875,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75">
        <f>IF(AND('Loan Tape (S&amp;P)'!U7875="Yes",
        'Loan Tape (S&amp;P)'!T7875&lt;&gt;"Yes",
        DATEDIF('Loan Tape (S&amp;P)'!K7875, TODAY(), "M")&lt;18),
    1.10,
    1.00)</f>
        <v/>
      </c>
      <c r="O7875">
        <f>IF('Loan Tape (S&amp;P)'!T7875="Yes",
    1.35,
    1.00)</f>
        <v/>
      </c>
      <c r="P7875">
        <f>IF('Loan Tape (S&amp;P)'!S7875="Yes",
    1.15,
    1.00)</f>
        <v/>
      </c>
      <c r="Q7875">
        <f>IF('Loan Tape (S&amp;P)'!V7875="Yes",
    1.20,
    1.00)</f>
        <v/>
      </c>
      <c r="T7875">
        <f>LET(
    payment_method,'Loan Tape (S&amp;P)'!P7875,
    occupancy,'Loan Tape (S&amp;P)'!N7875,
    maturity_date,'Loan Tape (S&amp;P)'!L7875,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76">
      <c r="J7876">
        <f>LET(
    lien,'Loan Tape (S&amp;P)'!Q7876,
    IF(lien="First",1.00,
        IF(lien="Second",1.50,
            1.70)))</f>
        <v/>
      </c>
      <c r="K7876">
        <f>LET(
    purpose,'Loan Tape (S&amp;P)'!R7876,
    IF(purpose="Purchase",1.00,
        IF(purpose="Remortgage",1.00,
            1.20)))</f>
        <v/>
      </c>
      <c r="L7876">
        <f>LET(
    arrears_months,'Loan Tape (S&amp;P)'!AN7876,
    IF(arrears_months=0,1.00,
    IF(arrears_months=1,3.00,
    IF(arrears_months=2,5.00,
    IF(arrears_months=3,8.00,
    IF(arrears_months=4,10.00,
    IF(arrears_months=5,12.00,15.00)))))))</f>
        <v/>
      </c>
      <c r="M7876">
        <f>LET(
    seasoning_years,DATEDIF('Loan Tape (S&amp;P)'!K7876,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76">
        <f>IF(AND('Loan Tape (S&amp;P)'!U7876="Yes",
        'Loan Tape (S&amp;P)'!T7876&lt;&gt;"Yes",
        DATEDIF('Loan Tape (S&amp;P)'!K7876, TODAY(), "M")&lt;18),
    1.10,
    1.00)</f>
        <v/>
      </c>
      <c r="O7876">
        <f>IF('Loan Tape (S&amp;P)'!T7876="Yes",
    1.35,
    1.00)</f>
        <v/>
      </c>
      <c r="P7876">
        <f>IF('Loan Tape (S&amp;P)'!S7876="Yes",
    1.15,
    1.00)</f>
        <v/>
      </c>
      <c r="Q7876">
        <f>IF('Loan Tape (S&amp;P)'!V7876="Yes",
    1.20,
    1.00)</f>
        <v/>
      </c>
      <c r="T7876">
        <f>LET(
    payment_method,'Loan Tape (S&amp;P)'!P7876,
    occupancy,'Loan Tape (S&amp;P)'!N7876,
    maturity_date,'Loan Tape (S&amp;P)'!L7876,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77">
      <c r="J7877">
        <f>LET(
    lien,'Loan Tape (S&amp;P)'!Q7877,
    IF(lien="First",1.00,
        IF(lien="Second",1.50,
            1.70)))</f>
        <v/>
      </c>
      <c r="K7877">
        <f>LET(
    purpose,'Loan Tape (S&amp;P)'!R7877,
    IF(purpose="Purchase",1.00,
        IF(purpose="Remortgage",1.00,
            1.20)))</f>
        <v/>
      </c>
      <c r="L7877">
        <f>LET(
    arrears_months,'Loan Tape (S&amp;P)'!AN7877,
    IF(arrears_months=0,1.00,
    IF(arrears_months=1,3.00,
    IF(arrears_months=2,5.00,
    IF(arrears_months=3,8.00,
    IF(arrears_months=4,10.00,
    IF(arrears_months=5,12.00,15.00)))))))</f>
        <v/>
      </c>
      <c r="M7877">
        <f>LET(
    seasoning_years,DATEDIF('Loan Tape (S&amp;P)'!K7877,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77">
        <f>IF(AND('Loan Tape (S&amp;P)'!U7877="Yes",
        'Loan Tape (S&amp;P)'!T7877&lt;&gt;"Yes",
        DATEDIF('Loan Tape (S&amp;P)'!K7877, TODAY(), "M")&lt;18),
    1.10,
    1.00)</f>
        <v/>
      </c>
      <c r="O7877">
        <f>IF('Loan Tape (S&amp;P)'!T7877="Yes",
    1.35,
    1.00)</f>
        <v/>
      </c>
      <c r="P7877">
        <f>IF('Loan Tape (S&amp;P)'!S7877="Yes",
    1.15,
    1.00)</f>
        <v/>
      </c>
      <c r="Q7877">
        <f>IF('Loan Tape (S&amp;P)'!V7877="Yes",
    1.20,
    1.00)</f>
        <v/>
      </c>
      <c r="T7877">
        <f>LET(
    payment_method,'Loan Tape (S&amp;P)'!P7877,
    occupancy,'Loan Tape (S&amp;P)'!N7877,
    maturity_date,'Loan Tape (S&amp;P)'!L7877,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78">
      <c r="J7878">
        <f>LET(
    lien,'Loan Tape (S&amp;P)'!Q7878,
    IF(lien="First",1.00,
        IF(lien="Second",1.50,
            1.70)))</f>
        <v/>
      </c>
      <c r="K7878">
        <f>LET(
    purpose,'Loan Tape (S&amp;P)'!R7878,
    IF(purpose="Purchase",1.00,
        IF(purpose="Remortgage",1.00,
            1.20)))</f>
        <v/>
      </c>
      <c r="L7878">
        <f>LET(
    arrears_months,'Loan Tape (S&amp;P)'!AN7878,
    IF(arrears_months=0,1.00,
    IF(arrears_months=1,3.00,
    IF(arrears_months=2,5.00,
    IF(arrears_months=3,8.00,
    IF(arrears_months=4,10.00,
    IF(arrears_months=5,12.00,15.00)))))))</f>
        <v/>
      </c>
      <c r="M7878">
        <f>LET(
    seasoning_years,DATEDIF('Loan Tape (S&amp;P)'!K7878,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78">
        <f>IF(AND('Loan Tape (S&amp;P)'!U7878="Yes",
        'Loan Tape (S&amp;P)'!T7878&lt;&gt;"Yes",
        DATEDIF('Loan Tape (S&amp;P)'!K7878, TODAY(), "M")&lt;18),
    1.10,
    1.00)</f>
        <v/>
      </c>
      <c r="O7878">
        <f>IF('Loan Tape (S&amp;P)'!T7878="Yes",
    1.35,
    1.00)</f>
        <v/>
      </c>
      <c r="P7878">
        <f>IF('Loan Tape (S&amp;P)'!S7878="Yes",
    1.15,
    1.00)</f>
        <v/>
      </c>
      <c r="Q7878">
        <f>IF('Loan Tape (S&amp;P)'!V7878="Yes",
    1.20,
    1.00)</f>
        <v/>
      </c>
      <c r="T7878">
        <f>LET(
    payment_method,'Loan Tape (S&amp;P)'!P7878,
    occupancy,'Loan Tape (S&amp;P)'!N7878,
    maturity_date,'Loan Tape (S&amp;P)'!L7878,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79">
      <c r="J7879">
        <f>LET(
    lien,'Loan Tape (S&amp;P)'!Q7879,
    IF(lien="First",1.00,
        IF(lien="Second",1.50,
            1.70)))</f>
        <v/>
      </c>
      <c r="K7879">
        <f>LET(
    purpose,'Loan Tape (S&amp;P)'!R7879,
    IF(purpose="Purchase",1.00,
        IF(purpose="Remortgage",1.00,
            1.20)))</f>
        <v/>
      </c>
      <c r="L7879">
        <f>LET(
    arrears_months,'Loan Tape (S&amp;P)'!AN7879,
    IF(arrears_months=0,1.00,
    IF(arrears_months=1,3.00,
    IF(arrears_months=2,5.00,
    IF(arrears_months=3,8.00,
    IF(arrears_months=4,10.00,
    IF(arrears_months=5,12.00,15.00)))))))</f>
        <v/>
      </c>
      <c r="M7879">
        <f>LET(
    seasoning_years,DATEDIF('Loan Tape (S&amp;P)'!K7879,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79">
        <f>IF(AND('Loan Tape (S&amp;P)'!U7879="Yes",
        'Loan Tape (S&amp;P)'!T7879&lt;&gt;"Yes",
        DATEDIF('Loan Tape (S&amp;P)'!K7879, TODAY(), "M")&lt;18),
    1.10,
    1.00)</f>
        <v/>
      </c>
      <c r="O7879">
        <f>IF('Loan Tape (S&amp;P)'!T7879="Yes",
    1.35,
    1.00)</f>
        <v/>
      </c>
      <c r="P7879">
        <f>IF('Loan Tape (S&amp;P)'!S7879="Yes",
    1.15,
    1.00)</f>
        <v/>
      </c>
      <c r="Q7879">
        <f>IF('Loan Tape (S&amp;P)'!V7879="Yes",
    1.20,
    1.00)</f>
        <v/>
      </c>
      <c r="T7879">
        <f>LET(
    payment_method,'Loan Tape (S&amp;P)'!P7879,
    occupancy,'Loan Tape (S&amp;P)'!N7879,
    maturity_date,'Loan Tape (S&amp;P)'!L7879,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80">
      <c r="J7880">
        <f>LET(
    lien,'Loan Tape (S&amp;P)'!Q7880,
    IF(lien="First",1.00,
        IF(lien="Second",1.50,
            1.70)))</f>
        <v/>
      </c>
      <c r="K7880">
        <f>LET(
    purpose,'Loan Tape (S&amp;P)'!R7880,
    IF(purpose="Purchase",1.00,
        IF(purpose="Remortgage",1.00,
            1.20)))</f>
        <v/>
      </c>
      <c r="L7880">
        <f>LET(
    arrears_months,'Loan Tape (S&amp;P)'!AN7880,
    IF(arrears_months=0,1.00,
    IF(arrears_months=1,3.00,
    IF(arrears_months=2,5.00,
    IF(arrears_months=3,8.00,
    IF(arrears_months=4,10.00,
    IF(arrears_months=5,12.00,15.00)))))))</f>
        <v/>
      </c>
      <c r="M7880">
        <f>LET(
    seasoning_years,DATEDIF('Loan Tape (S&amp;P)'!K7880,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80">
        <f>IF(AND('Loan Tape (S&amp;P)'!U7880="Yes",
        'Loan Tape (S&amp;P)'!T7880&lt;&gt;"Yes",
        DATEDIF('Loan Tape (S&amp;P)'!K7880, TODAY(), "M")&lt;18),
    1.10,
    1.00)</f>
        <v/>
      </c>
      <c r="O7880">
        <f>IF('Loan Tape (S&amp;P)'!T7880="Yes",
    1.35,
    1.00)</f>
        <v/>
      </c>
      <c r="P7880">
        <f>IF('Loan Tape (S&amp;P)'!S7880="Yes",
    1.15,
    1.00)</f>
        <v/>
      </c>
      <c r="Q7880">
        <f>IF('Loan Tape (S&amp;P)'!V7880="Yes",
    1.20,
    1.00)</f>
        <v/>
      </c>
      <c r="T7880">
        <f>LET(
    payment_method,'Loan Tape (S&amp;P)'!P7880,
    occupancy,'Loan Tape (S&amp;P)'!N7880,
    maturity_date,'Loan Tape (S&amp;P)'!L7880,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81">
      <c r="J7881">
        <f>LET(
    lien,'Loan Tape (S&amp;P)'!Q7881,
    IF(lien="First",1.00,
        IF(lien="Second",1.50,
            1.70)))</f>
        <v/>
      </c>
      <c r="K7881">
        <f>LET(
    purpose,'Loan Tape (S&amp;P)'!R7881,
    IF(purpose="Purchase",1.00,
        IF(purpose="Remortgage",1.00,
            1.20)))</f>
        <v/>
      </c>
      <c r="L7881">
        <f>LET(
    arrears_months,'Loan Tape (S&amp;P)'!AN7881,
    IF(arrears_months=0,1.00,
    IF(arrears_months=1,3.00,
    IF(arrears_months=2,5.00,
    IF(arrears_months=3,8.00,
    IF(arrears_months=4,10.00,
    IF(arrears_months=5,12.00,15.00)))))))</f>
        <v/>
      </c>
      <c r="M7881">
        <f>LET(
    seasoning_years,DATEDIF('Loan Tape (S&amp;P)'!K7881,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81">
        <f>IF(AND('Loan Tape (S&amp;P)'!U7881="Yes",
        'Loan Tape (S&amp;P)'!T7881&lt;&gt;"Yes",
        DATEDIF('Loan Tape (S&amp;P)'!K7881, TODAY(), "M")&lt;18),
    1.10,
    1.00)</f>
        <v/>
      </c>
      <c r="O7881">
        <f>IF('Loan Tape (S&amp;P)'!T7881="Yes",
    1.35,
    1.00)</f>
        <v/>
      </c>
      <c r="P7881">
        <f>IF('Loan Tape (S&amp;P)'!S7881="Yes",
    1.15,
    1.00)</f>
        <v/>
      </c>
      <c r="Q7881">
        <f>IF('Loan Tape (S&amp;P)'!V7881="Yes",
    1.20,
    1.00)</f>
        <v/>
      </c>
      <c r="T7881">
        <f>LET(
    payment_method,'Loan Tape (S&amp;P)'!P7881,
    occupancy,'Loan Tape (S&amp;P)'!N7881,
    maturity_date,'Loan Tape (S&amp;P)'!L7881,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82">
      <c r="J7882">
        <f>LET(
    lien,'Loan Tape (S&amp;P)'!Q7882,
    IF(lien="First",1.00,
        IF(lien="Second",1.50,
            1.70)))</f>
        <v/>
      </c>
      <c r="K7882">
        <f>LET(
    purpose,'Loan Tape (S&amp;P)'!R7882,
    IF(purpose="Purchase",1.00,
        IF(purpose="Remortgage",1.00,
            1.20)))</f>
        <v/>
      </c>
      <c r="L7882">
        <f>LET(
    arrears_months,'Loan Tape (S&amp;P)'!AN7882,
    IF(arrears_months=0,1.00,
    IF(arrears_months=1,3.00,
    IF(arrears_months=2,5.00,
    IF(arrears_months=3,8.00,
    IF(arrears_months=4,10.00,
    IF(arrears_months=5,12.00,15.00)))))))</f>
        <v/>
      </c>
      <c r="M7882">
        <f>LET(
    seasoning_years,DATEDIF('Loan Tape (S&amp;P)'!K7882,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82">
        <f>IF(AND('Loan Tape (S&amp;P)'!U7882="Yes",
        'Loan Tape (S&amp;P)'!T7882&lt;&gt;"Yes",
        DATEDIF('Loan Tape (S&amp;P)'!K7882, TODAY(), "M")&lt;18),
    1.10,
    1.00)</f>
        <v/>
      </c>
      <c r="O7882">
        <f>IF('Loan Tape (S&amp;P)'!T7882="Yes",
    1.35,
    1.00)</f>
        <v/>
      </c>
      <c r="P7882">
        <f>IF('Loan Tape (S&amp;P)'!S7882="Yes",
    1.15,
    1.00)</f>
        <v/>
      </c>
      <c r="Q7882">
        <f>IF('Loan Tape (S&amp;P)'!V7882="Yes",
    1.20,
    1.00)</f>
        <v/>
      </c>
      <c r="T7882">
        <f>LET(
    payment_method,'Loan Tape (S&amp;P)'!P7882,
    occupancy,'Loan Tape (S&amp;P)'!N7882,
    maturity_date,'Loan Tape (S&amp;P)'!L7882,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83">
      <c r="J7883">
        <f>LET(
    lien,'Loan Tape (S&amp;P)'!Q7883,
    IF(lien="First",1.00,
        IF(lien="Second",1.50,
            1.70)))</f>
        <v/>
      </c>
      <c r="K7883">
        <f>LET(
    purpose,'Loan Tape (S&amp;P)'!R7883,
    IF(purpose="Purchase",1.00,
        IF(purpose="Remortgage",1.00,
            1.20)))</f>
        <v/>
      </c>
      <c r="L7883">
        <f>LET(
    arrears_months,'Loan Tape (S&amp;P)'!AN7883,
    IF(arrears_months=0,1.00,
    IF(arrears_months=1,3.00,
    IF(arrears_months=2,5.00,
    IF(arrears_months=3,8.00,
    IF(arrears_months=4,10.00,
    IF(arrears_months=5,12.00,15.00)))))))</f>
        <v/>
      </c>
      <c r="M7883">
        <f>LET(
    seasoning_years,DATEDIF('Loan Tape (S&amp;P)'!K7883,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83">
        <f>IF(AND('Loan Tape (S&amp;P)'!U7883="Yes",
        'Loan Tape (S&amp;P)'!T7883&lt;&gt;"Yes",
        DATEDIF('Loan Tape (S&amp;P)'!K7883, TODAY(), "M")&lt;18),
    1.10,
    1.00)</f>
        <v/>
      </c>
      <c r="O7883">
        <f>IF('Loan Tape (S&amp;P)'!T7883="Yes",
    1.35,
    1.00)</f>
        <v/>
      </c>
      <c r="P7883">
        <f>IF('Loan Tape (S&amp;P)'!S7883="Yes",
    1.15,
    1.00)</f>
        <v/>
      </c>
      <c r="Q7883">
        <f>IF('Loan Tape (S&amp;P)'!V7883="Yes",
    1.20,
    1.00)</f>
        <v/>
      </c>
      <c r="T7883">
        <f>LET(
    payment_method,'Loan Tape (S&amp;P)'!P7883,
    occupancy,'Loan Tape (S&amp;P)'!N7883,
    maturity_date,'Loan Tape (S&amp;P)'!L7883,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84">
      <c r="J7884">
        <f>LET(
    lien,'Loan Tape (S&amp;P)'!Q7884,
    IF(lien="First",1.00,
        IF(lien="Second",1.50,
            1.70)))</f>
        <v/>
      </c>
      <c r="K7884">
        <f>LET(
    purpose,'Loan Tape (S&amp;P)'!R7884,
    IF(purpose="Purchase",1.00,
        IF(purpose="Remortgage",1.00,
            1.20)))</f>
        <v/>
      </c>
      <c r="L7884">
        <f>LET(
    arrears_months,'Loan Tape (S&amp;P)'!AN7884,
    IF(arrears_months=0,1.00,
    IF(arrears_months=1,3.00,
    IF(arrears_months=2,5.00,
    IF(arrears_months=3,8.00,
    IF(arrears_months=4,10.00,
    IF(arrears_months=5,12.00,15.00)))))))</f>
        <v/>
      </c>
      <c r="M7884">
        <f>LET(
    seasoning_years,DATEDIF('Loan Tape (S&amp;P)'!K7884,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84">
        <f>IF(AND('Loan Tape (S&amp;P)'!U7884="Yes",
        'Loan Tape (S&amp;P)'!T7884&lt;&gt;"Yes",
        DATEDIF('Loan Tape (S&amp;P)'!K7884, TODAY(), "M")&lt;18),
    1.10,
    1.00)</f>
        <v/>
      </c>
      <c r="O7884">
        <f>IF('Loan Tape (S&amp;P)'!T7884="Yes",
    1.35,
    1.00)</f>
        <v/>
      </c>
      <c r="P7884">
        <f>IF('Loan Tape (S&amp;P)'!S7884="Yes",
    1.15,
    1.00)</f>
        <v/>
      </c>
      <c r="Q7884">
        <f>IF('Loan Tape (S&amp;P)'!V7884="Yes",
    1.20,
    1.00)</f>
        <v/>
      </c>
      <c r="T7884">
        <f>LET(
    payment_method,'Loan Tape (S&amp;P)'!P7884,
    occupancy,'Loan Tape (S&amp;P)'!N7884,
    maturity_date,'Loan Tape (S&amp;P)'!L7884,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85">
      <c r="J7885">
        <f>LET(
    lien,'Loan Tape (S&amp;P)'!Q7885,
    IF(lien="First",1.00,
        IF(lien="Second",1.50,
            1.70)))</f>
        <v/>
      </c>
      <c r="K7885">
        <f>LET(
    purpose,'Loan Tape (S&amp;P)'!R7885,
    IF(purpose="Purchase",1.00,
        IF(purpose="Remortgage",1.00,
            1.20)))</f>
        <v/>
      </c>
      <c r="L7885">
        <f>LET(
    arrears_months,'Loan Tape (S&amp;P)'!AN7885,
    IF(arrears_months=0,1.00,
    IF(arrears_months=1,3.00,
    IF(arrears_months=2,5.00,
    IF(arrears_months=3,8.00,
    IF(arrears_months=4,10.00,
    IF(arrears_months=5,12.00,15.00)))))))</f>
        <v/>
      </c>
      <c r="M7885">
        <f>LET(
    seasoning_years,DATEDIF('Loan Tape (S&amp;P)'!K7885,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85">
        <f>IF(AND('Loan Tape (S&amp;P)'!U7885="Yes",
        'Loan Tape (S&amp;P)'!T7885&lt;&gt;"Yes",
        DATEDIF('Loan Tape (S&amp;P)'!K7885, TODAY(), "M")&lt;18),
    1.10,
    1.00)</f>
        <v/>
      </c>
      <c r="O7885">
        <f>IF('Loan Tape (S&amp;P)'!T7885="Yes",
    1.35,
    1.00)</f>
        <v/>
      </c>
      <c r="P7885">
        <f>IF('Loan Tape (S&amp;P)'!S7885="Yes",
    1.15,
    1.00)</f>
        <v/>
      </c>
      <c r="Q7885">
        <f>IF('Loan Tape (S&amp;P)'!V7885="Yes",
    1.20,
    1.00)</f>
        <v/>
      </c>
      <c r="T7885">
        <f>LET(
    payment_method,'Loan Tape (S&amp;P)'!P7885,
    occupancy,'Loan Tape (S&amp;P)'!N7885,
    maturity_date,'Loan Tape (S&amp;P)'!L7885,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86">
      <c r="J7886">
        <f>LET(
    lien,'Loan Tape (S&amp;P)'!Q7886,
    IF(lien="First",1.00,
        IF(lien="Second",1.50,
            1.70)))</f>
        <v/>
      </c>
      <c r="K7886">
        <f>LET(
    purpose,'Loan Tape (S&amp;P)'!R7886,
    IF(purpose="Purchase",1.00,
        IF(purpose="Remortgage",1.00,
            1.20)))</f>
        <v/>
      </c>
      <c r="L7886">
        <f>LET(
    arrears_months,'Loan Tape (S&amp;P)'!AN7886,
    IF(arrears_months=0,1.00,
    IF(arrears_months=1,3.00,
    IF(arrears_months=2,5.00,
    IF(arrears_months=3,8.00,
    IF(arrears_months=4,10.00,
    IF(arrears_months=5,12.00,15.00)))))))</f>
        <v/>
      </c>
      <c r="M7886">
        <f>LET(
    seasoning_years,DATEDIF('Loan Tape (S&amp;P)'!K7886,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86">
        <f>IF(AND('Loan Tape (S&amp;P)'!U7886="Yes",
        'Loan Tape (S&amp;P)'!T7886&lt;&gt;"Yes",
        DATEDIF('Loan Tape (S&amp;P)'!K7886, TODAY(), "M")&lt;18),
    1.10,
    1.00)</f>
        <v/>
      </c>
      <c r="O7886">
        <f>IF('Loan Tape (S&amp;P)'!T7886="Yes",
    1.35,
    1.00)</f>
        <v/>
      </c>
      <c r="P7886">
        <f>IF('Loan Tape (S&amp;P)'!S7886="Yes",
    1.15,
    1.00)</f>
        <v/>
      </c>
      <c r="Q7886">
        <f>IF('Loan Tape (S&amp;P)'!V7886="Yes",
    1.20,
    1.00)</f>
        <v/>
      </c>
      <c r="T7886">
        <f>LET(
    payment_method,'Loan Tape (S&amp;P)'!P7886,
    occupancy,'Loan Tape (S&amp;P)'!N7886,
    maturity_date,'Loan Tape (S&amp;P)'!L7886,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87">
      <c r="J7887">
        <f>LET(
    lien,'Loan Tape (S&amp;P)'!Q7887,
    IF(lien="First",1.00,
        IF(lien="Second",1.50,
            1.70)))</f>
        <v/>
      </c>
      <c r="K7887">
        <f>LET(
    purpose,'Loan Tape (S&amp;P)'!R7887,
    IF(purpose="Purchase",1.00,
        IF(purpose="Remortgage",1.00,
            1.20)))</f>
        <v/>
      </c>
      <c r="L7887">
        <f>LET(
    arrears_months,'Loan Tape (S&amp;P)'!AN7887,
    IF(arrears_months=0,1.00,
    IF(arrears_months=1,3.00,
    IF(arrears_months=2,5.00,
    IF(arrears_months=3,8.00,
    IF(arrears_months=4,10.00,
    IF(arrears_months=5,12.00,15.00)))))))</f>
        <v/>
      </c>
      <c r="M7887">
        <f>LET(
    seasoning_years,DATEDIF('Loan Tape (S&amp;P)'!K7887,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87">
        <f>IF(AND('Loan Tape (S&amp;P)'!U7887="Yes",
        'Loan Tape (S&amp;P)'!T7887&lt;&gt;"Yes",
        DATEDIF('Loan Tape (S&amp;P)'!K7887, TODAY(), "M")&lt;18),
    1.10,
    1.00)</f>
        <v/>
      </c>
      <c r="O7887">
        <f>IF('Loan Tape (S&amp;P)'!T7887="Yes",
    1.35,
    1.00)</f>
        <v/>
      </c>
      <c r="P7887">
        <f>IF('Loan Tape (S&amp;P)'!S7887="Yes",
    1.15,
    1.00)</f>
        <v/>
      </c>
      <c r="Q7887">
        <f>IF('Loan Tape (S&amp;P)'!V7887="Yes",
    1.20,
    1.00)</f>
        <v/>
      </c>
      <c r="T7887">
        <f>LET(
    payment_method,'Loan Tape (S&amp;P)'!P7887,
    occupancy,'Loan Tape (S&amp;P)'!N7887,
    maturity_date,'Loan Tape (S&amp;P)'!L7887,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88">
      <c r="J7888">
        <f>LET(
    lien,'Loan Tape (S&amp;P)'!Q7888,
    IF(lien="First",1.00,
        IF(lien="Second",1.50,
            1.70)))</f>
        <v/>
      </c>
      <c r="K7888">
        <f>LET(
    purpose,'Loan Tape (S&amp;P)'!R7888,
    IF(purpose="Purchase",1.00,
        IF(purpose="Remortgage",1.00,
            1.20)))</f>
        <v/>
      </c>
      <c r="L7888">
        <f>LET(
    arrears_months,'Loan Tape (S&amp;P)'!AN7888,
    IF(arrears_months=0,1.00,
    IF(arrears_months=1,3.00,
    IF(arrears_months=2,5.00,
    IF(arrears_months=3,8.00,
    IF(arrears_months=4,10.00,
    IF(arrears_months=5,12.00,15.00)))))))</f>
        <v/>
      </c>
      <c r="M7888">
        <f>LET(
    seasoning_years,DATEDIF('Loan Tape (S&amp;P)'!K7888,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88">
        <f>IF(AND('Loan Tape (S&amp;P)'!U7888="Yes",
        'Loan Tape (S&amp;P)'!T7888&lt;&gt;"Yes",
        DATEDIF('Loan Tape (S&amp;P)'!K7888, TODAY(), "M")&lt;18),
    1.10,
    1.00)</f>
        <v/>
      </c>
      <c r="O7888">
        <f>IF('Loan Tape (S&amp;P)'!T7888="Yes",
    1.35,
    1.00)</f>
        <v/>
      </c>
      <c r="P7888">
        <f>IF('Loan Tape (S&amp;P)'!S7888="Yes",
    1.15,
    1.00)</f>
        <v/>
      </c>
      <c r="Q7888">
        <f>IF('Loan Tape (S&amp;P)'!V7888="Yes",
    1.20,
    1.00)</f>
        <v/>
      </c>
      <c r="T7888">
        <f>LET(
    payment_method,'Loan Tape (S&amp;P)'!P7888,
    occupancy,'Loan Tape (S&amp;P)'!N7888,
    maturity_date,'Loan Tape (S&amp;P)'!L7888,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89">
      <c r="J7889">
        <f>LET(
    lien,'Loan Tape (S&amp;P)'!Q7889,
    IF(lien="First",1.00,
        IF(lien="Second",1.50,
            1.70)))</f>
        <v/>
      </c>
      <c r="K7889">
        <f>LET(
    purpose,'Loan Tape (S&amp;P)'!R7889,
    IF(purpose="Purchase",1.00,
        IF(purpose="Remortgage",1.00,
            1.20)))</f>
        <v/>
      </c>
      <c r="L7889">
        <f>LET(
    arrears_months,'Loan Tape (S&amp;P)'!AN7889,
    IF(arrears_months=0,1.00,
    IF(arrears_months=1,3.00,
    IF(arrears_months=2,5.00,
    IF(arrears_months=3,8.00,
    IF(arrears_months=4,10.00,
    IF(arrears_months=5,12.00,15.00)))))))</f>
        <v/>
      </c>
      <c r="M7889">
        <f>LET(
    seasoning_years,DATEDIF('Loan Tape (S&amp;P)'!K7889,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89">
        <f>IF(AND('Loan Tape (S&amp;P)'!U7889="Yes",
        'Loan Tape (S&amp;P)'!T7889&lt;&gt;"Yes",
        DATEDIF('Loan Tape (S&amp;P)'!K7889, TODAY(), "M")&lt;18),
    1.10,
    1.00)</f>
        <v/>
      </c>
      <c r="O7889">
        <f>IF('Loan Tape (S&amp;P)'!T7889="Yes",
    1.35,
    1.00)</f>
        <v/>
      </c>
      <c r="P7889">
        <f>IF('Loan Tape (S&amp;P)'!S7889="Yes",
    1.15,
    1.00)</f>
        <v/>
      </c>
      <c r="Q7889">
        <f>IF('Loan Tape (S&amp;P)'!V7889="Yes",
    1.20,
    1.00)</f>
        <v/>
      </c>
      <c r="T7889">
        <f>LET(
    payment_method,'Loan Tape (S&amp;P)'!P7889,
    occupancy,'Loan Tape (S&amp;P)'!N7889,
    maturity_date,'Loan Tape (S&amp;P)'!L7889,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90">
      <c r="J7890">
        <f>LET(
    lien,'Loan Tape (S&amp;P)'!Q7890,
    IF(lien="First",1.00,
        IF(lien="Second",1.50,
            1.70)))</f>
        <v/>
      </c>
      <c r="K7890">
        <f>LET(
    purpose,'Loan Tape (S&amp;P)'!R7890,
    IF(purpose="Purchase",1.00,
        IF(purpose="Remortgage",1.00,
            1.20)))</f>
        <v/>
      </c>
      <c r="L7890">
        <f>LET(
    arrears_months,'Loan Tape (S&amp;P)'!AN7890,
    IF(arrears_months=0,1.00,
    IF(arrears_months=1,3.00,
    IF(arrears_months=2,5.00,
    IF(arrears_months=3,8.00,
    IF(arrears_months=4,10.00,
    IF(arrears_months=5,12.00,15.00)))))))</f>
        <v/>
      </c>
      <c r="M7890">
        <f>LET(
    seasoning_years,DATEDIF('Loan Tape (S&amp;P)'!K7890,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90">
        <f>IF(AND('Loan Tape (S&amp;P)'!U7890="Yes",
        'Loan Tape (S&amp;P)'!T7890&lt;&gt;"Yes",
        DATEDIF('Loan Tape (S&amp;P)'!K7890, TODAY(), "M")&lt;18),
    1.10,
    1.00)</f>
        <v/>
      </c>
      <c r="O7890">
        <f>IF('Loan Tape (S&amp;P)'!T7890="Yes",
    1.35,
    1.00)</f>
        <v/>
      </c>
      <c r="P7890">
        <f>IF('Loan Tape (S&amp;P)'!S7890="Yes",
    1.15,
    1.00)</f>
        <v/>
      </c>
      <c r="Q7890">
        <f>IF('Loan Tape (S&amp;P)'!V7890="Yes",
    1.20,
    1.00)</f>
        <v/>
      </c>
      <c r="T7890">
        <f>LET(
    payment_method,'Loan Tape (S&amp;P)'!P7890,
    occupancy,'Loan Tape (S&amp;P)'!N7890,
    maturity_date,'Loan Tape (S&amp;P)'!L7890,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91">
      <c r="J7891">
        <f>LET(
    lien,'Loan Tape (S&amp;P)'!Q7891,
    IF(lien="First",1.00,
        IF(lien="Second",1.50,
            1.70)))</f>
        <v/>
      </c>
      <c r="K7891">
        <f>LET(
    purpose,'Loan Tape (S&amp;P)'!R7891,
    IF(purpose="Purchase",1.00,
        IF(purpose="Remortgage",1.00,
            1.20)))</f>
        <v/>
      </c>
      <c r="L7891">
        <f>LET(
    arrears_months,'Loan Tape (S&amp;P)'!AN7891,
    IF(arrears_months=0,1.00,
    IF(arrears_months=1,3.00,
    IF(arrears_months=2,5.00,
    IF(arrears_months=3,8.00,
    IF(arrears_months=4,10.00,
    IF(arrears_months=5,12.00,15.00)))))))</f>
        <v/>
      </c>
      <c r="M7891">
        <f>LET(
    seasoning_years,DATEDIF('Loan Tape (S&amp;P)'!K7891,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91">
        <f>IF(AND('Loan Tape (S&amp;P)'!U7891="Yes",
        'Loan Tape (S&amp;P)'!T7891&lt;&gt;"Yes",
        DATEDIF('Loan Tape (S&amp;P)'!K7891, TODAY(), "M")&lt;18),
    1.10,
    1.00)</f>
        <v/>
      </c>
      <c r="O7891">
        <f>IF('Loan Tape (S&amp;P)'!T7891="Yes",
    1.35,
    1.00)</f>
        <v/>
      </c>
      <c r="P7891">
        <f>IF('Loan Tape (S&amp;P)'!S7891="Yes",
    1.15,
    1.00)</f>
        <v/>
      </c>
      <c r="Q7891">
        <f>IF('Loan Tape (S&amp;P)'!V7891="Yes",
    1.20,
    1.00)</f>
        <v/>
      </c>
      <c r="T7891">
        <f>LET(
    payment_method,'Loan Tape (S&amp;P)'!P7891,
    occupancy,'Loan Tape (S&amp;P)'!N7891,
    maturity_date,'Loan Tape (S&amp;P)'!L7891,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92">
      <c r="J7892">
        <f>LET(
    lien,'Loan Tape (S&amp;P)'!Q7892,
    IF(lien="First",1.00,
        IF(lien="Second",1.50,
            1.70)))</f>
        <v/>
      </c>
      <c r="K7892">
        <f>LET(
    purpose,'Loan Tape (S&amp;P)'!R7892,
    IF(purpose="Purchase",1.00,
        IF(purpose="Remortgage",1.00,
            1.20)))</f>
        <v/>
      </c>
      <c r="L7892">
        <f>LET(
    arrears_months,'Loan Tape (S&amp;P)'!AN7892,
    IF(arrears_months=0,1.00,
    IF(arrears_months=1,3.00,
    IF(arrears_months=2,5.00,
    IF(arrears_months=3,8.00,
    IF(arrears_months=4,10.00,
    IF(arrears_months=5,12.00,15.00)))))))</f>
        <v/>
      </c>
      <c r="M7892">
        <f>LET(
    seasoning_years,DATEDIF('Loan Tape (S&amp;P)'!K7892,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92">
        <f>IF(AND('Loan Tape (S&amp;P)'!U7892="Yes",
        'Loan Tape (S&amp;P)'!T7892&lt;&gt;"Yes",
        DATEDIF('Loan Tape (S&amp;P)'!K7892, TODAY(), "M")&lt;18),
    1.10,
    1.00)</f>
        <v/>
      </c>
      <c r="O7892">
        <f>IF('Loan Tape (S&amp;P)'!T7892="Yes",
    1.35,
    1.00)</f>
        <v/>
      </c>
      <c r="P7892">
        <f>IF('Loan Tape (S&amp;P)'!S7892="Yes",
    1.15,
    1.00)</f>
        <v/>
      </c>
      <c r="Q7892">
        <f>IF('Loan Tape (S&amp;P)'!V7892="Yes",
    1.20,
    1.00)</f>
        <v/>
      </c>
      <c r="T7892">
        <f>LET(
    payment_method,'Loan Tape (S&amp;P)'!P7892,
    occupancy,'Loan Tape (S&amp;P)'!N7892,
    maturity_date,'Loan Tape (S&amp;P)'!L7892,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93">
      <c r="J7893">
        <f>LET(
    lien,'Loan Tape (S&amp;P)'!Q7893,
    IF(lien="First",1.00,
        IF(lien="Second",1.50,
            1.70)))</f>
        <v/>
      </c>
      <c r="K7893">
        <f>LET(
    purpose,'Loan Tape (S&amp;P)'!R7893,
    IF(purpose="Purchase",1.00,
        IF(purpose="Remortgage",1.00,
            1.20)))</f>
        <v/>
      </c>
      <c r="L7893">
        <f>LET(
    arrears_months,'Loan Tape (S&amp;P)'!AN7893,
    IF(arrears_months=0,1.00,
    IF(arrears_months=1,3.00,
    IF(arrears_months=2,5.00,
    IF(arrears_months=3,8.00,
    IF(arrears_months=4,10.00,
    IF(arrears_months=5,12.00,15.00)))))))</f>
        <v/>
      </c>
      <c r="M7893">
        <f>LET(
    seasoning_years,DATEDIF('Loan Tape (S&amp;P)'!K7893,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93">
        <f>IF(AND('Loan Tape (S&amp;P)'!U7893="Yes",
        'Loan Tape (S&amp;P)'!T7893&lt;&gt;"Yes",
        DATEDIF('Loan Tape (S&amp;P)'!K7893, TODAY(), "M")&lt;18),
    1.10,
    1.00)</f>
        <v/>
      </c>
      <c r="O7893">
        <f>IF('Loan Tape (S&amp;P)'!T7893="Yes",
    1.35,
    1.00)</f>
        <v/>
      </c>
      <c r="P7893">
        <f>IF('Loan Tape (S&amp;P)'!S7893="Yes",
    1.15,
    1.00)</f>
        <v/>
      </c>
      <c r="Q7893">
        <f>IF('Loan Tape (S&amp;P)'!V7893="Yes",
    1.20,
    1.00)</f>
        <v/>
      </c>
      <c r="T7893">
        <f>LET(
    payment_method,'Loan Tape (S&amp;P)'!P7893,
    occupancy,'Loan Tape (S&amp;P)'!N7893,
    maturity_date,'Loan Tape (S&amp;P)'!L7893,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94">
      <c r="J7894">
        <f>LET(
    lien,'Loan Tape (S&amp;P)'!Q7894,
    IF(lien="First",1.00,
        IF(lien="Second",1.50,
            1.70)))</f>
        <v/>
      </c>
      <c r="K7894">
        <f>LET(
    purpose,'Loan Tape (S&amp;P)'!R7894,
    IF(purpose="Purchase",1.00,
        IF(purpose="Remortgage",1.00,
            1.20)))</f>
        <v/>
      </c>
      <c r="L7894">
        <f>LET(
    arrears_months,'Loan Tape (S&amp;P)'!AN7894,
    IF(arrears_months=0,1.00,
    IF(arrears_months=1,3.00,
    IF(arrears_months=2,5.00,
    IF(arrears_months=3,8.00,
    IF(arrears_months=4,10.00,
    IF(arrears_months=5,12.00,15.00)))))))</f>
        <v/>
      </c>
      <c r="M7894">
        <f>LET(
    seasoning_years,DATEDIF('Loan Tape (S&amp;P)'!K7894,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94">
        <f>IF(AND('Loan Tape (S&amp;P)'!U7894="Yes",
        'Loan Tape (S&amp;P)'!T7894&lt;&gt;"Yes",
        DATEDIF('Loan Tape (S&amp;P)'!K7894, TODAY(), "M")&lt;18),
    1.10,
    1.00)</f>
        <v/>
      </c>
      <c r="O7894">
        <f>IF('Loan Tape (S&amp;P)'!T7894="Yes",
    1.35,
    1.00)</f>
        <v/>
      </c>
      <c r="P7894">
        <f>IF('Loan Tape (S&amp;P)'!S7894="Yes",
    1.15,
    1.00)</f>
        <v/>
      </c>
      <c r="Q7894">
        <f>IF('Loan Tape (S&amp;P)'!V7894="Yes",
    1.20,
    1.00)</f>
        <v/>
      </c>
      <c r="T7894">
        <f>LET(
    payment_method,'Loan Tape (S&amp;P)'!P7894,
    occupancy,'Loan Tape (S&amp;P)'!N7894,
    maturity_date,'Loan Tape (S&amp;P)'!L7894,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95">
      <c r="J7895">
        <f>LET(
    lien,'Loan Tape (S&amp;P)'!Q7895,
    IF(lien="First",1.00,
        IF(lien="Second",1.50,
            1.70)))</f>
        <v/>
      </c>
      <c r="K7895">
        <f>LET(
    purpose,'Loan Tape (S&amp;P)'!R7895,
    IF(purpose="Purchase",1.00,
        IF(purpose="Remortgage",1.00,
            1.20)))</f>
        <v/>
      </c>
      <c r="L7895">
        <f>LET(
    arrears_months,'Loan Tape (S&amp;P)'!AN7895,
    IF(arrears_months=0,1.00,
    IF(arrears_months=1,3.00,
    IF(arrears_months=2,5.00,
    IF(arrears_months=3,8.00,
    IF(arrears_months=4,10.00,
    IF(arrears_months=5,12.00,15.00)))))))</f>
        <v/>
      </c>
      <c r="M7895">
        <f>LET(
    seasoning_years,DATEDIF('Loan Tape (S&amp;P)'!K7895,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95">
        <f>IF(AND('Loan Tape (S&amp;P)'!U7895="Yes",
        'Loan Tape (S&amp;P)'!T7895&lt;&gt;"Yes",
        DATEDIF('Loan Tape (S&amp;P)'!K7895, TODAY(), "M")&lt;18),
    1.10,
    1.00)</f>
        <v/>
      </c>
      <c r="O7895">
        <f>IF('Loan Tape (S&amp;P)'!T7895="Yes",
    1.35,
    1.00)</f>
        <v/>
      </c>
      <c r="P7895">
        <f>IF('Loan Tape (S&amp;P)'!S7895="Yes",
    1.15,
    1.00)</f>
        <v/>
      </c>
      <c r="Q7895">
        <f>IF('Loan Tape (S&amp;P)'!V7895="Yes",
    1.20,
    1.00)</f>
        <v/>
      </c>
      <c r="T7895">
        <f>LET(
    payment_method,'Loan Tape (S&amp;P)'!P7895,
    occupancy,'Loan Tape (S&amp;P)'!N7895,
    maturity_date,'Loan Tape (S&amp;P)'!L7895,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96">
      <c r="J7896">
        <f>LET(
    lien,'Loan Tape (S&amp;P)'!Q7896,
    IF(lien="First",1.00,
        IF(lien="Second",1.50,
            1.70)))</f>
        <v/>
      </c>
      <c r="K7896">
        <f>LET(
    purpose,'Loan Tape (S&amp;P)'!R7896,
    IF(purpose="Purchase",1.00,
        IF(purpose="Remortgage",1.00,
            1.20)))</f>
        <v/>
      </c>
      <c r="L7896">
        <f>LET(
    arrears_months,'Loan Tape (S&amp;P)'!AN7896,
    IF(arrears_months=0,1.00,
    IF(arrears_months=1,3.00,
    IF(arrears_months=2,5.00,
    IF(arrears_months=3,8.00,
    IF(arrears_months=4,10.00,
    IF(arrears_months=5,12.00,15.00)))))))</f>
        <v/>
      </c>
      <c r="M7896">
        <f>LET(
    seasoning_years,DATEDIF('Loan Tape (S&amp;P)'!K7896,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96">
        <f>IF(AND('Loan Tape (S&amp;P)'!U7896="Yes",
        'Loan Tape (S&amp;P)'!T7896&lt;&gt;"Yes",
        DATEDIF('Loan Tape (S&amp;P)'!K7896, TODAY(), "M")&lt;18),
    1.10,
    1.00)</f>
        <v/>
      </c>
      <c r="O7896">
        <f>IF('Loan Tape (S&amp;P)'!T7896="Yes",
    1.35,
    1.00)</f>
        <v/>
      </c>
      <c r="P7896">
        <f>IF('Loan Tape (S&amp;P)'!S7896="Yes",
    1.15,
    1.00)</f>
        <v/>
      </c>
      <c r="Q7896">
        <f>IF('Loan Tape (S&amp;P)'!V7896="Yes",
    1.20,
    1.00)</f>
        <v/>
      </c>
      <c r="T7896">
        <f>LET(
    payment_method,'Loan Tape (S&amp;P)'!P7896,
    occupancy,'Loan Tape (S&amp;P)'!N7896,
    maturity_date,'Loan Tape (S&amp;P)'!L7896,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97">
      <c r="J7897">
        <f>LET(
    lien,'Loan Tape (S&amp;P)'!Q7897,
    IF(lien="First",1.00,
        IF(lien="Second",1.50,
            1.70)))</f>
        <v/>
      </c>
      <c r="K7897">
        <f>LET(
    purpose,'Loan Tape (S&amp;P)'!R7897,
    IF(purpose="Purchase",1.00,
        IF(purpose="Remortgage",1.00,
            1.20)))</f>
        <v/>
      </c>
      <c r="L7897">
        <f>LET(
    arrears_months,'Loan Tape (S&amp;P)'!AN7897,
    IF(arrears_months=0,1.00,
    IF(arrears_months=1,3.00,
    IF(arrears_months=2,5.00,
    IF(arrears_months=3,8.00,
    IF(arrears_months=4,10.00,
    IF(arrears_months=5,12.00,15.00)))))))</f>
        <v/>
      </c>
      <c r="M7897">
        <f>LET(
    seasoning_years,DATEDIF('Loan Tape (S&amp;P)'!K7897,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97">
        <f>IF(AND('Loan Tape (S&amp;P)'!U7897="Yes",
        'Loan Tape (S&amp;P)'!T7897&lt;&gt;"Yes",
        DATEDIF('Loan Tape (S&amp;P)'!K7897, TODAY(), "M")&lt;18),
    1.10,
    1.00)</f>
        <v/>
      </c>
      <c r="O7897">
        <f>IF('Loan Tape (S&amp;P)'!T7897="Yes",
    1.35,
    1.00)</f>
        <v/>
      </c>
      <c r="P7897">
        <f>IF('Loan Tape (S&amp;P)'!S7897="Yes",
    1.15,
    1.00)</f>
        <v/>
      </c>
      <c r="Q7897">
        <f>IF('Loan Tape (S&amp;P)'!V7897="Yes",
    1.20,
    1.00)</f>
        <v/>
      </c>
      <c r="T7897">
        <f>LET(
    payment_method,'Loan Tape (S&amp;P)'!P7897,
    occupancy,'Loan Tape (S&amp;P)'!N7897,
    maturity_date,'Loan Tape (S&amp;P)'!L7897,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98">
      <c r="J7898">
        <f>LET(
    lien,'Loan Tape (S&amp;P)'!Q7898,
    IF(lien="First",1.00,
        IF(lien="Second",1.50,
            1.70)))</f>
        <v/>
      </c>
      <c r="K7898">
        <f>LET(
    purpose,'Loan Tape (S&amp;P)'!R7898,
    IF(purpose="Purchase",1.00,
        IF(purpose="Remortgage",1.00,
            1.20)))</f>
        <v/>
      </c>
      <c r="L7898">
        <f>LET(
    arrears_months,'Loan Tape (S&amp;P)'!AN7898,
    IF(arrears_months=0,1.00,
    IF(arrears_months=1,3.00,
    IF(arrears_months=2,5.00,
    IF(arrears_months=3,8.00,
    IF(arrears_months=4,10.00,
    IF(arrears_months=5,12.00,15.00)))))))</f>
        <v/>
      </c>
      <c r="M7898">
        <f>LET(
    seasoning_years,DATEDIF('Loan Tape (S&amp;P)'!K7898,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98">
        <f>IF(AND('Loan Tape (S&amp;P)'!U7898="Yes",
        'Loan Tape (S&amp;P)'!T7898&lt;&gt;"Yes",
        DATEDIF('Loan Tape (S&amp;P)'!K7898, TODAY(), "M")&lt;18),
    1.10,
    1.00)</f>
        <v/>
      </c>
      <c r="O7898">
        <f>IF('Loan Tape (S&amp;P)'!T7898="Yes",
    1.35,
    1.00)</f>
        <v/>
      </c>
      <c r="P7898">
        <f>IF('Loan Tape (S&amp;P)'!S7898="Yes",
    1.15,
    1.00)</f>
        <v/>
      </c>
      <c r="Q7898">
        <f>IF('Loan Tape (S&amp;P)'!V7898="Yes",
    1.20,
    1.00)</f>
        <v/>
      </c>
      <c r="T7898">
        <f>LET(
    payment_method,'Loan Tape (S&amp;P)'!P7898,
    occupancy,'Loan Tape (S&amp;P)'!N7898,
    maturity_date,'Loan Tape (S&amp;P)'!L7898,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899">
      <c r="J7899">
        <f>LET(
    lien,'Loan Tape (S&amp;P)'!Q7899,
    IF(lien="First",1.00,
        IF(lien="Second",1.50,
            1.70)))</f>
        <v/>
      </c>
      <c r="K7899">
        <f>LET(
    purpose,'Loan Tape (S&amp;P)'!R7899,
    IF(purpose="Purchase",1.00,
        IF(purpose="Remortgage",1.00,
            1.20)))</f>
        <v/>
      </c>
      <c r="L7899">
        <f>LET(
    arrears_months,'Loan Tape (S&amp;P)'!AN7899,
    IF(arrears_months=0,1.00,
    IF(arrears_months=1,3.00,
    IF(arrears_months=2,5.00,
    IF(arrears_months=3,8.00,
    IF(arrears_months=4,10.00,
    IF(arrears_months=5,12.00,15.00)))))))</f>
        <v/>
      </c>
      <c r="M7899">
        <f>LET(
    seasoning_years,DATEDIF('Loan Tape (S&amp;P)'!K7899,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899">
        <f>IF(AND('Loan Tape (S&amp;P)'!U7899="Yes",
        'Loan Tape (S&amp;P)'!T7899&lt;&gt;"Yes",
        DATEDIF('Loan Tape (S&amp;P)'!K7899, TODAY(), "M")&lt;18),
    1.10,
    1.00)</f>
        <v/>
      </c>
      <c r="O7899">
        <f>IF('Loan Tape (S&amp;P)'!T7899="Yes",
    1.35,
    1.00)</f>
        <v/>
      </c>
      <c r="P7899">
        <f>IF('Loan Tape (S&amp;P)'!S7899="Yes",
    1.15,
    1.00)</f>
        <v/>
      </c>
      <c r="Q7899">
        <f>IF('Loan Tape (S&amp;P)'!V7899="Yes",
    1.20,
    1.00)</f>
        <v/>
      </c>
      <c r="T7899">
        <f>LET(
    payment_method,'Loan Tape (S&amp;P)'!P7899,
    occupancy,'Loan Tape (S&amp;P)'!N7899,
    maturity_date,'Loan Tape (S&amp;P)'!L7899,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00">
      <c r="J7900">
        <f>LET(
    lien,'Loan Tape (S&amp;P)'!Q7900,
    IF(lien="First",1.00,
        IF(lien="Second",1.50,
            1.70)))</f>
        <v/>
      </c>
      <c r="K7900">
        <f>LET(
    purpose,'Loan Tape (S&amp;P)'!R7900,
    IF(purpose="Purchase",1.00,
        IF(purpose="Remortgage",1.00,
            1.20)))</f>
        <v/>
      </c>
      <c r="L7900">
        <f>LET(
    arrears_months,'Loan Tape (S&amp;P)'!AN7900,
    IF(arrears_months=0,1.00,
    IF(arrears_months=1,3.00,
    IF(arrears_months=2,5.00,
    IF(arrears_months=3,8.00,
    IF(arrears_months=4,10.00,
    IF(arrears_months=5,12.00,15.00)))))))</f>
        <v/>
      </c>
      <c r="M7900">
        <f>LET(
    seasoning_years,DATEDIF('Loan Tape (S&amp;P)'!K7900,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00">
        <f>IF(AND('Loan Tape (S&amp;P)'!U7900="Yes",
        'Loan Tape (S&amp;P)'!T7900&lt;&gt;"Yes",
        DATEDIF('Loan Tape (S&amp;P)'!K7900, TODAY(), "M")&lt;18),
    1.10,
    1.00)</f>
        <v/>
      </c>
      <c r="O7900">
        <f>IF('Loan Tape (S&amp;P)'!T7900="Yes",
    1.35,
    1.00)</f>
        <v/>
      </c>
      <c r="P7900">
        <f>IF('Loan Tape (S&amp;P)'!S7900="Yes",
    1.15,
    1.00)</f>
        <v/>
      </c>
      <c r="Q7900">
        <f>IF('Loan Tape (S&amp;P)'!V7900="Yes",
    1.20,
    1.00)</f>
        <v/>
      </c>
      <c r="T7900">
        <f>LET(
    payment_method,'Loan Tape (S&amp;P)'!P7900,
    occupancy,'Loan Tape (S&amp;P)'!N7900,
    maturity_date,'Loan Tape (S&amp;P)'!L7900,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01">
      <c r="J7901">
        <f>LET(
    lien,'Loan Tape (S&amp;P)'!Q7901,
    IF(lien="First",1.00,
        IF(lien="Second",1.50,
            1.70)))</f>
        <v/>
      </c>
      <c r="K7901">
        <f>LET(
    purpose,'Loan Tape (S&amp;P)'!R7901,
    IF(purpose="Purchase",1.00,
        IF(purpose="Remortgage",1.00,
            1.20)))</f>
        <v/>
      </c>
      <c r="L7901">
        <f>LET(
    arrears_months,'Loan Tape (S&amp;P)'!AN7901,
    IF(arrears_months=0,1.00,
    IF(arrears_months=1,3.00,
    IF(arrears_months=2,5.00,
    IF(arrears_months=3,8.00,
    IF(arrears_months=4,10.00,
    IF(arrears_months=5,12.00,15.00)))))))</f>
        <v/>
      </c>
      <c r="M7901">
        <f>LET(
    seasoning_years,DATEDIF('Loan Tape (S&amp;P)'!K7901,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01">
        <f>IF(AND('Loan Tape (S&amp;P)'!U7901="Yes",
        'Loan Tape (S&amp;P)'!T7901&lt;&gt;"Yes",
        DATEDIF('Loan Tape (S&amp;P)'!K7901, TODAY(), "M")&lt;18),
    1.10,
    1.00)</f>
        <v/>
      </c>
      <c r="O7901">
        <f>IF('Loan Tape (S&amp;P)'!T7901="Yes",
    1.35,
    1.00)</f>
        <v/>
      </c>
      <c r="P7901">
        <f>IF('Loan Tape (S&amp;P)'!S7901="Yes",
    1.15,
    1.00)</f>
        <v/>
      </c>
      <c r="Q7901">
        <f>IF('Loan Tape (S&amp;P)'!V7901="Yes",
    1.20,
    1.00)</f>
        <v/>
      </c>
      <c r="T7901">
        <f>LET(
    payment_method,'Loan Tape (S&amp;P)'!P7901,
    occupancy,'Loan Tape (S&amp;P)'!N7901,
    maturity_date,'Loan Tape (S&amp;P)'!L7901,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02">
      <c r="J7902">
        <f>LET(
    lien,'Loan Tape (S&amp;P)'!Q7902,
    IF(lien="First",1.00,
        IF(lien="Second",1.50,
            1.70)))</f>
        <v/>
      </c>
      <c r="K7902">
        <f>LET(
    purpose,'Loan Tape (S&amp;P)'!R7902,
    IF(purpose="Purchase",1.00,
        IF(purpose="Remortgage",1.00,
            1.20)))</f>
        <v/>
      </c>
      <c r="L7902">
        <f>LET(
    arrears_months,'Loan Tape (S&amp;P)'!AN7902,
    IF(arrears_months=0,1.00,
    IF(arrears_months=1,3.00,
    IF(arrears_months=2,5.00,
    IF(arrears_months=3,8.00,
    IF(arrears_months=4,10.00,
    IF(arrears_months=5,12.00,15.00)))))))</f>
        <v/>
      </c>
      <c r="M7902">
        <f>LET(
    seasoning_years,DATEDIF('Loan Tape (S&amp;P)'!K7902,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02">
        <f>IF(AND('Loan Tape (S&amp;P)'!U7902="Yes",
        'Loan Tape (S&amp;P)'!T7902&lt;&gt;"Yes",
        DATEDIF('Loan Tape (S&amp;P)'!K7902, TODAY(), "M")&lt;18),
    1.10,
    1.00)</f>
        <v/>
      </c>
      <c r="O7902">
        <f>IF('Loan Tape (S&amp;P)'!T7902="Yes",
    1.35,
    1.00)</f>
        <v/>
      </c>
      <c r="P7902">
        <f>IF('Loan Tape (S&amp;P)'!S7902="Yes",
    1.15,
    1.00)</f>
        <v/>
      </c>
      <c r="Q7902">
        <f>IF('Loan Tape (S&amp;P)'!V7902="Yes",
    1.20,
    1.00)</f>
        <v/>
      </c>
      <c r="T7902">
        <f>LET(
    payment_method,'Loan Tape (S&amp;P)'!P7902,
    occupancy,'Loan Tape (S&amp;P)'!N7902,
    maturity_date,'Loan Tape (S&amp;P)'!L7902,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03">
      <c r="J7903">
        <f>LET(
    lien,'Loan Tape (S&amp;P)'!Q7903,
    IF(lien="First",1.00,
        IF(lien="Second",1.50,
            1.70)))</f>
        <v/>
      </c>
      <c r="K7903">
        <f>LET(
    purpose,'Loan Tape (S&amp;P)'!R7903,
    IF(purpose="Purchase",1.00,
        IF(purpose="Remortgage",1.00,
            1.20)))</f>
        <v/>
      </c>
      <c r="L7903">
        <f>LET(
    arrears_months,'Loan Tape (S&amp;P)'!AN7903,
    IF(arrears_months=0,1.00,
    IF(arrears_months=1,3.00,
    IF(arrears_months=2,5.00,
    IF(arrears_months=3,8.00,
    IF(arrears_months=4,10.00,
    IF(arrears_months=5,12.00,15.00)))))))</f>
        <v/>
      </c>
      <c r="M7903">
        <f>LET(
    seasoning_years,DATEDIF('Loan Tape (S&amp;P)'!K7903,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03">
        <f>IF(AND('Loan Tape (S&amp;P)'!U7903="Yes",
        'Loan Tape (S&amp;P)'!T7903&lt;&gt;"Yes",
        DATEDIF('Loan Tape (S&amp;P)'!K7903, TODAY(), "M")&lt;18),
    1.10,
    1.00)</f>
        <v/>
      </c>
      <c r="O7903">
        <f>IF('Loan Tape (S&amp;P)'!T7903="Yes",
    1.35,
    1.00)</f>
        <v/>
      </c>
      <c r="P7903">
        <f>IF('Loan Tape (S&amp;P)'!S7903="Yes",
    1.15,
    1.00)</f>
        <v/>
      </c>
      <c r="Q7903">
        <f>IF('Loan Tape (S&amp;P)'!V7903="Yes",
    1.20,
    1.00)</f>
        <v/>
      </c>
      <c r="T7903">
        <f>LET(
    payment_method,'Loan Tape (S&amp;P)'!P7903,
    occupancy,'Loan Tape (S&amp;P)'!N7903,
    maturity_date,'Loan Tape (S&amp;P)'!L7903,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04">
      <c r="J7904">
        <f>LET(
    lien,'Loan Tape (S&amp;P)'!Q7904,
    IF(lien="First",1.00,
        IF(lien="Second",1.50,
            1.70)))</f>
        <v/>
      </c>
      <c r="K7904">
        <f>LET(
    purpose,'Loan Tape (S&amp;P)'!R7904,
    IF(purpose="Purchase",1.00,
        IF(purpose="Remortgage",1.00,
            1.20)))</f>
        <v/>
      </c>
      <c r="L7904">
        <f>LET(
    arrears_months,'Loan Tape (S&amp;P)'!AN7904,
    IF(arrears_months=0,1.00,
    IF(arrears_months=1,3.00,
    IF(arrears_months=2,5.00,
    IF(arrears_months=3,8.00,
    IF(arrears_months=4,10.00,
    IF(arrears_months=5,12.00,15.00)))))))</f>
        <v/>
      </c>
      <c r="M7904">
        <f>LET(
    seasoning_years,DATEDIF('Loan Tape (S&amp;P)'!K7904,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04">
        <f>IF(AND('Loan Tape (S&amp;P)'!U7904="Yes",
        'Loan Tape (S&amp;P)'!T7904&lt;&gt;"Yes",
        DATEDIF('Loan Tape (S&amp;P)'!K7904, TODAY(), "M")&lt;18),
    1.10,
    1.00)</f>
        <v/>
      </c>
      <c r="O7904">
        <f>IF('Loan Tape (S&amp;P)'!T7904="Yes",
    1.35,
    1.00)</f>
        <v/>
      </c>
      <c r="P7904">
        <f>IF('Loan Tape (S&amp;P)'!S7904="Yes",
    1.15,
    1.00)</f>
        <v/>
      </c>
      <c r="Q7904">
        <f>IF('Loan Tape (S&amp;P)'!V7904="Yes",
    1.20,
    1.00)</f>
        <v/>
      </c>
      <c r="T7904">
        <f>LET(
    payment_method,'Loan Tape (S&amp;P)'!P7904,
    occupancy,'Loan Tape (S&amp;P)'!N7904,
    maturity_date,'Loan Tape (S&amp;P)'!L7904,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05">
      <c r="J7905">
        <f>LET(
    lien,'Loan Tape (S&amp;P)'!Q7905,
    IF(lien="First",1.00,
        IF(lien="Second",1.50,
            1.70)))</f>
        <v/>
      </c>
      <c r="K7905">
        <f>LET(
    purpose,'Loan Tape (S&amp;P)'!R7905,
    IF(purpose="Purchase",1.00,
        IF(purpose="Remortgage",1.00,
            1.20)))</f>
        <v/>
      </c>
      <c r="L7905">
        <f>LET(
    arrears_months,'Loan Tape (S&amp;P)'!AN7905,
    IF(arrears_months=0,1.00,
    IF(arrears_months=1,3.00,
    IF(arrears_months=2,5.00,
    IF(arrears_months=3,8.00,
    IF(arrears_months=4,10.00,
    IF(arrears_months=5,12.00,15.00)))))))</f>
        <v/>
      </c>
      <c r="M7905">
        <f>LET(
    seasoning_years,DATEDIF('Loan Tape (S&amp;P)'!K7905,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05">
        <f>IF(AND('Loan Tape (S&amp;P)'!U7905="Yes",
        'Loan Tape (S&amp;P)'!T7905&lt;&gt;"Yes",
        DATEDIF('Loan Tape (S&amp;P)'!K7905, TODAY(), "M")&lt;18),
    1.10,
    1.00)</f>
        <v/>
      </c>
      <c r="O7905">
        <f>IF('Loan Tape (S&amp;P)'!T7905="Yes",
    1.35,
    1.00)</f>
        <v/>
      </c>
      <c r="P7905">
        <f>IF('Loan Tape (S&amp;P)'!S7905="Yes",
    1.15,
    1.00)</f>
        <v/>
      </c>
      <c r="Q7905">
        <f>IF('Loan Tape (S&amp;P)'!V7905="Yes",
    1.20,
    1.00)</f>
        <v/>
      </c>
      <c r="T7905">
        <f>LET(
    payment_method,'Loan Tape (S&amp;P)'!P7905,
    occupancy,'Loan Tape (S&amp;P)'!N7905,
    maturity_date,'Loan Tape (S&amp;P)'!L7905,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06">
      <c r="J7906">
        <f>LET(
    lien,'Loan Tape (S&amp;P)'!Q7906,
    IF(lien="First",1.00,
        IF(lien="Second",1.50,
            1.70)))</f>
        <v/>
      </c>
      <c r="K7906">
        <f>LET(
    purpose,'Loan Tape (S&amp;P)'!R7906,
    IF(purpose="Purchase",1.00,
        IF(purpose="Remortgage",1.00,
            1.20)))</f>
        <v/>
      </c>
      <c r="L7906">
        <f>LET(
    arrears_months,'Loan Tape (S&amp;P)'!AN7906,
    IF(arrears_months=0,1.00,
    IF(arrears_months=1,3.00,
    IF(arrears_months=2,5.00,
    IF(arrears_months=3,8.00,
    IF(arrears_months=4,10.00,
    IF(arrears_months=5,12.00,15.00)))))))</f>
        <v/>
      </c>
      <c r="M7906">
        <f>LET(
    seasoning_years,DATEDIF('Loan Tape (S&amp;P)'!K7906,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06">
        <f>IF(AND('Loan Tape (S&amp;P)'!U7906="Yes",
        'Loan Tape (S&amp;P)'!T7906&lt;&gt;"Yes",
        DATEDIF('Loan Tape (S&amp;P)'!K7906, TODAY(), "M")&lt;18),
    1.10,
    1.00)</f>
        <v/>
      </c>
      <c r="O7906">
        <f>IF('Loan Tape (S&amp;P)'!T7906="Yes",
    1.35,
    1.00)</f>
        <v/>
      </c>
      <c r="P7906">
        <f>IF('Loan Tape (S&amp;P)'!S7906="Yes",
    1.15,
    1.00)</f>
        <v/>
      </c>
      <c r="Q7906">
        <f>IF('Loan Tape (S&amp;P)'!V7906="Yes",
    1.20,
    1.00)</f>
        <v/>
      </c>
      <c r="T7906">
        <f>LET(
    payment_method,'Loan Tape (S&amp;P)'!P7906,
    occupancy,'Loan Tape (S&amp;P)'!N7906,
    maturity_date,'Loan Tape (S&amp;P)'!L7906,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07">
      <c r="J7907">
        <f>LET(
    lien,'Loan Tape (S&amp;P)'!Q7907,
    IF(lien="First",1.00,
        IF(lien="Second",1.50,
            1.70)))</f>
        <v/>
      </c>
      <c r="K7907">
        <f>LET(
    purpose,'Loan Tape (S&amp;P)'!R7907,
    IF(purpose="Purchase",1.00,
        IF(purpose="Remortgage",1.00,
            1.20)))</f>
        <v/>
      </c>
      <c r="L7907">
        <f>LET(
    arrears_months,'Loan Tape (S&amp;P)'!AN7907,
    IF(arrears_months=0,1.00,
    IF(arrears_months=1,3.00,
    IF(arrears_months=2,5.00,
    IF(arrears_months=3,8.00,
    IF(arrears_months=4,10.00,
    IF(arrears_months=5,12.00,15.00)))))))</f>
        <v/>
      </c>
      <c r="M7907">
        <f>LET(
    seasoning_years,DATEDIF('Loan Tape (S&amp;P)'!K7907,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07">
        <f>IF(AND('Loan Tape (S&amp;P)'!U7907="Yes",
        'Loan Tape (S&amp;P)'!T7907&lt;&gt;"Yes",
        DATEDIF('Loan Tape (S&amp;P)'!K7907, TODAY(), "M")&lt;18),
    1.10,
    1.00)</f>
        <v/>
      </c>
      <c r="O7907">
        <f>IF('Loan Tape (S&amp;P)'!T7907="Yes",
    1.35,
    1.00)</f>
        <v/>
      </c>
      <c r="P7907">
        <f>IF('Loan Tape (S&amp;P)'!S7907="Yes",
    1.15,
    1.00)</f>
        <v/>
      </c>
      <c r="Q7907">
        <f>IF('Loan Tape (S&amp;P)'!V7907="Yes",
    1.20,
    1.00)</f>
        <v/>
      </c>
      <c r="T7907">
        <f>LET(
    payment_method,'Loan Tape (S&amp;P)'!P7907,
    occupancy,'Loan Tape (S&amp;P)'!N7907,
    maturity_date,'Loan Tape (S&amp;P)'!L7907,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08">
      <c r="J7908">
        <f>LET(
    lien,'Loan Tape (S&amp;P)'!Q7908,
    IF(lien="First",1.00,
        IF(lien="Second",1.50,
            1.70)))</f>
        <v/>
      </c>
      <c r="K7908">
        <f>LET(
    purpose,'Loan Tape (S&amp;P)'!R7908,
    IF(purpose="Purchase",1.00,
        IF(purpose="Remortgage",1.00,
            1.20)))</f>
        <v/>
      </c>
      <c r="L7908">
        <f>LET(
    arrears_months,'Loan Tape (S&amp;P)'!AN7908,
    IF(arrears_months=0,1.00,
    IF(arrears_months=1,3.00,
    IF(arrears_months=2,5.00,
    IF(arrears_months=3,8.00,
    IF(arrears_months=4,10.00,
    IF(arrears_months=5,12.00,15.00)))))))</f>
        <v/>
      </c>
      <c r="M7908">
        <f>LET(
    seasoning_years,DATEDIF('Loan Tape (S&amp;P)'!K7908,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08">
        <f>IF(AND('Loan Tape (S&amp;P)'!U7908="Yes",
        'Loan Tape (S&amp;P)'!T7908&lt;&gt;"Yes",
        DATEDIF('Loan Tape (S&amp;P)'!K7908, TODAY(), "M")&lt;18),
    1.10,
    1.00)</f>
        <v/>
      </c>
      <c r="O7908">
        <f>IF('Loan Tape (S&amp;P)'!T7908="Yes",
    1.35,
    1.00)</f>
        <v/>
      </c>
      <c r="P7908">
        <f>IF('Loan Tape (S&amp;P)'!S7908="Yes",
    1.15,
    1.00)</f>
        <v/>
      </c>
      <c r="Q7908">
        <f>IF('Loan Tape (S&amp;P)'!V7908="Yes",
    1.20,
    1.00)</f>
        <v/>
      </c>
      <c r="T7908">
        <f>LET(
    payment_method,'Loan Tape (S&amp;P)'!P7908,
    occupancy,'Loan Tape (S&amp;P)'!N7908,
    maturity_date,'Loan Tape (S&amp;P)'!L7908,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09">
      <c r="J7909">
        <f>LET(
    lien,'Loan Tape (S&amp;P)'!Q7909,
    IF(lien="First",1.00,
        IF(lien="Second",1.50,
            1.70)))</f>
        <v/>
      </c>
      <c r="K7909">
        <f>LET(
    purpose,'Loan Tape (S&amp;P)'!R7909,
    IF(purpose="Purchase",1.00,
        IF(purpose="Remortgage",1.00,
            1.20)))</f>
        <v/>
      </c>
      <c r="L7909">
        <f>LET(
    arrears_months,'Loan Tape (S&amp;P)'!AN7909,
    IF(arrears_months=0,1.00,
    IF(arrears_months=1,3.00,
    IF(arrears_months=2,5.00,
    IF(arrears_months=3,8.00,
    IF(arrears_months=4,10.00,
    IF(arrears_months=5,12.00,15.00)))))))</f>
        <v/>
      </c>
      <c r="M7909">
        <f>LET(
    seasoning_years,DATEDIF('Loan Tape (S&amp;P)'!K7909,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09">
        <f>IF(AND('Loan Tape (S&amp;P)'!U7909="Yes",
        'Loan Tape (S&amp;P)'!T7909&lt;&gt;"Yes",
        DATEDIF('Loan Tape (S&amp;P)'!K7909, TODAY(), "M")&lt;18),
    1.10,
    1.00)</f>
        <v/>
      </c>
      <c r="O7909">
        <f>IF('Loan Tape (S&amp;P)'!T7909="Yes",
    1.35,
    1.00)</f>
        <v/>
      </c>
      <c r="P7909">
        <f>IF('Loan Tape (S&amp;P)'!S7909="Yes",
    1.15,
    1.00)</f>
        <v/>
      </c>
      <c r="Q7909">
        <f>IF('Loan Tape (S&amp;P)'!V7909="Yes",
    1.20,
    1.00)</f>
        <v/>
      </c>
      <c r="T7909">
        <f>LET(
    payment_method,'Loan Tape (S&amp;P)'!P7909,
    occupancy,'Loan Tape (S&amp;P)'!N7909,
    maturity_date,'Loan Tape (S&amp;P)'!L7909,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10">
      <c r="J7910">
        <f>LET(
    lien,'Loan Tape (S&amp;P)'!Q7910,
    IF(lien="First",1.00,
        IF(lien="Second",1.50,
            1.70)))</f>
        <v/>
      </c>
      <c r="K7910">
        <f>LET(
    purpose,'Loan Tape (S&amp;P)'!R7910,
    IF(purpose="Purchase",1.00,
        IF(purpose="Remortgage",1.00,
            1.20)))</f>
        <v/>
      </c>
      <c r="L7910">
        <f>LET(
    arrears_months,'Loan Tape (S&amp;P)'!AN7910,
    IF(arrears_months=0,1.00,
    IF(arrears_months=1,3.00,
    IF(arrears_months=2,5.00,
    IF(arrears_months=3,8.00,
    IF(arrears_months=4,10.00,
    IF(arrears_months=5,12.00,15.00)))))))</f>
        <v/>
      </c>
      <c r="M7910">
        <f>LET(
    seasoning_years,DATEDIF('Loan Tape (S&amp;P)'!K7910,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10">
        <f>IF(AND('Loan Tape (S&amp;P)'!U7910="Yes",
        'Loan Tape (S&amp;P)'!T7910&lt;&gt;"Yes",
        DATEDIF('Loan Tape (S&amp;P)'!K7910, TODAY(), "M")&lt;18),
    1.10,
    1.00)</f>
        <v/>
      </c>
      <c r="O7910">
        <f>IF('Loan Tape (S&amp;P)'!T7910="Yes",
    1.35,
    1.00)</f>
        <v/>
      </c>
      <c r="P7910">
        <f>IF('Loan Tape (S&amp;P)'!S7910="Yes",
    1.15,
    1.00)</f>
        <v/>
      </c>
      <c r="Q7910">
        <f>IF('Loan Tape (S&amp;P)'!V7910="Yes",
    1.20,
    1.00)</f>
        <v/>
      </c>
      <c r="T7910">
        <f>LET(
    payment_method,'Loan Tape (S&amp;P)'!P7910,
    occupancy,'Loan Tape (S&amp;P)'!N7910,
    maturity_date,'Loan Tape (S&amp;P)'!L7910,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11">
      <c r="J7911">
        <f>LET(
    lien,'Loan Tape (S&amp;P)'!Q7911,
    IF(lien="First",1.00,
        IF(lien="Second",1.50,
            1.70)))</f>
        <v/>
      </c>
      <c r="K7911">
        <f>LET(
    purpose,'Loan Tape (S&amp;P)'!R7911,
    IF(purpose="Purchase",1.00,
        IF(purpose="Remortgage",1.00,
            1.20)))</f>
        <v/>
      </c>
      <c r="L7911">
        <f>LET(
    arrears_months,'Loan Tape (S&amp;P)'!AN7911,
    IF(arrears_months=0,1.00,
    IF(arrears_months=1,3.00,
    IF(arrears_months=2,5.00,
    IF(arrears_months=3,8.00,
    IF(arrears_months=4,10.00,
    IF(arrears_months=5,12.00,15.00)))))))</f>
        <v/>
      </c>
      <c r="M7911">
        <f>LET(
    seasoning_years,DATEDIF('Loan Tape (S&amp;P)'!K7911,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11">
        <f>IF(AND('Loan Tape (S&amp;P)'!U7911="Yes",
        'Loan Tape (S&amp;P)'!T7911&lt;&gt;"Yes",
        DATEDIF('Loan Tape (S&amp;P)'!K7911, TODAY(), "M")&lt;18),
    1.10,
    1.00)</f>
        <v/>
      </c>
      <c r="O7911">
        <f>IF('Loan Tape (S&amp;P)'!T7911="Yes",
    1.35,
    1.00)</f>
        <v/>
      </c>
      <c r="P7911">
        <f>IF('Loan Tape (S&amp;P)'!S7911="Yes",
    1.15,
    1.00)</f>
        <v/>
      </c>
      <c r="Q7911">
        <f>IF('Loan Tape (S&amp;P)'!V7911="Yes",
    1.20,
    1.00)</f>
        <v/>
      </c>
      <c r="T7911">
        <f>LET(
    payment_method,'Loan Tape (S&amp;P)'!P7911,
    occupancy,'Loan Tape (S&amp;P)'!N7911,
    maturity_date,'Loan Tape (S&amp;P)'!L7911,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12">
      <c r="J7912">
        <f>LET(
    lien,'Loan Tape (S&amp;P)'!Q7912,
    IF(lien="First",1.00,
        IF(lien="Second",1.50,
            1.70)))</f>
        <v/>
      </c>
      <c r="K7912">
        <f>LET(
    purpose,'Loan Tape (S&amp;P)'!R7912,
    IF(purpose="Purchase",1.00,
        IF(purpose="Remortgage",1.00,
            1.20)))</f>
        <v/>
      </c>
      <c r="L7912">
        <f>LET(
    arrears_months,'Loan Tape (S&amp;P)'!AN7912,
    IF(arrears_months=0,1.00,
    IF(arrears_months=1,3.00,
    IF(arrears_months=2,5.00,
    IF(arrears_months=3,8.00,
    IF(arrears_months=4,10.00,
    IF(arrears_months=5,12.00,15.00)))))))</f>
        <v/>
      </c>
      <c r="M7912">
        <f>LET(
    seasoning_years,DATEDIF('Loan Tape (S&amp;P)'!K7912,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12">
        <f>IF(AND('Loan Tape (S&amp;P)'!U7912="Yes",
        'Loan Tape (S&amp;P)'!T7912&lt;&gt;"Yes",
        DATEDIF('Loan Tape (S&amp;P)'!K7912, TODAY(), "M")&lt;18),
    1.10,
    1.00)</f>
        <v/>
      </c>
      <c r="O7912">
        <f>IF('Loan Tape (S&amp;P)'!T7912="Yes",
    1.35,
    1.00)</f>
        <v/>
      </c>
      <c r="P7912">
        <f>IF('Loan Tape (S&amp;P)'!S7912="Yes",
    1.15,
    1.00)</f>
        <v/>
      </c>
      <c r="Q7912">
        <f>IF('Loan Tape (S&amp;P)'!V7912="Yes",
    1.20,
    1.00)</f>
        <v/>
      </c>
      <c r="T7912">
        <f>LET(
    payment_method,'Loan Tape (S&amp;P)'!P7912,
    occupancy,'Loan Tape (S&amp;P)'!N7912,
    maturity_date,'Loan Tape (S&amp;P)'!L7912,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13">
      <c r="J7913">
        <f>LET(
    lien,'Loan Tape (S&amp;P)'!Q7913,
    IF(lien="First",1.00,
        IF(lien="Second",1.50,
            1.70)))</f>
        <v/>
      </c>
      <c r="K7913">
        <f>LET(
    purpose,'Loan Tape (S&amp;P)'!R7913,
    IF(purpose="Purchase",1.00,
        IF(purpose="Remortgage",1.00,
            1.20)))</f>
        <v/>
      </c>
      <c r="L7913">
        <f>LET(
    arrears_months,'Loan Tape (S&amp;P)'!AN7913,
    IF(arrears_months=0,1.00,
    IF(arrears_months=1,3.00,
    IF(arrears_months=2,5.00,
    IF(arrears_months=3,8.00,
    IF(arrears_months=4,10.00,
    IF(arrears_months=5,12.00,15.00)))))))</f>
        <v/>
      </c>
      <c r="M7913">
        <f>LET(
    seasoning_years,DATEDIF('Loan Tape (S&amp;P)'!K7913,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13">
        <f>IF(AND('Loan Tape (S&amp;P)'!U7913="Yes",
        'Loan Tape (S&amp;P)'!T7913&lt;&gt;"Yes",
        DATEDIF('Loan Tape (S&amp;P)'!K7913, TODAY(), "M")&lt;18),
    1.10,
    1.00)</f>
        <v/>
      </c>
      <c r="O7913">
        <f>IF('Loan Tape (S&amp;P)'!T7913="Yes",
    1.35,
    1.00)</f>
        <v/>
      </c>
      <c r="P7913">
        <f>IF('Loan Tape (S&amp;P)'!S7913="Yes",
    1.15,
    1.00)</f>
        <v/>
      </c>
      <c r="Q7913">
        <f>IF('Loan Tape (S&amp;P)'!V7913="Yes",
    1.20,
    1.00)</f>
        <v/>
      </c>
      <c r="T7913">
        <f>LET(
    payment_method,'Loan Tape (S&amp;P)'!P7913,
    occupancy,'Loan Tape (S&amp;P)'!N7913,
    maturity_date,'Loan Tape (S&amp;P)'!L7913,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14">
      <c r="J7914">
        <f>LET(
    lien,'Loan Tape (S&amp;P)'!Q7914,
    IF(lien="First",1.00,
        IF(lien="Second",1.50,
            1.70)))</f>
        <v/>
      </c>
      <c r="K7914">
        <f>LET(
    purpose,'Loan Tape (S&amp;P)'!R7914,
    IF(purpose="Purchase",1.00,
        IF(purpose="Remortgage",1.00,
            1.20)))</f>
        <v/>
      </c>
      <c r="L7914">
        <f>LET(
    arrears_months,'Loan Tape (S&amp;P)'!AN7914,
    IF(arrears_months=0,1.00,
    IF(arrears_months=1,3.00,
    IF(arrears_months=2,5.00,
    IF(arrears_months=3,8.00,
    IF(arrears_months=4,10.00,
    IF(arrears_months=5,12.00,15.00)))))))</f>
        <v/>
      </c>
      <c r="M7914">
        <f>LET(
    seasoning_years,DATEDIF('Loan Tape (S&amp;P)'!K7914,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14">
        <f>IF(AND('Loan Tape (S&amp;P)'!U7914="Yes",
        'Loan Tape (S&amp;P)'!T7914&lt;&gt;"Yes",
        DATEDIF('Loan Tape (S&amp;P)'!K7914, TODAY(), "M")&lt;18),
    1.10,
    1.00)</f>
        <v/>
      </c>
      <c r="O7914">
        <f>IF('Loan Tape (S&amp;P)'!T7914="Yes",
    1.35,
    1.00)</f>
        <v/>
      </c>
      <c r="P7914">
        <f>IF('Loan Tape (S&amp;P)'!S7914="Yes",
    1.15,
    1.00)</f>
        <v/>
      </c>
      <c r="Q7914">
        <f>IF('Loan Tape (S&amp;P)'!V7914="Yes",
    1.20,
    1.00)</f>
        <v/>
      </c>
      <c r="T7914">
        <f>LET(
    payment_method,'Loan Tape (S&amp;P)'!P7914,
    occupancy,'Loan Tape (S&amp;P)'!N7914,
    maturity_date,'Loan Tape (S&amp;P)'!L7914,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15">
      <c r="J7915">
        <f>LET(
    lien,'Loan Tape (S&amp;P)'!Q7915,
    IF(lien="First",1.00,
        IF(lien="Second",1.50,
            1.70)))</f>
        <v/>
      </c>
      <c r="K7915">
        <f>LET(
    purpose,'Loan Tape (S&amp;P)'!R7915,
    IF(purpose="Purchase",1.00,
        IF(purpose="Remortgage",1.00,
            1.20)))</f>
        <v/>
      </c>
      <c r="L7915">
        <f>LET(
    arrears_months,'Loan Tape (S&amp;P)'!AN7915,
    IF(arrears_months=0,1.00,
    IF(arrears_months=1,3.00,
    IF(arrears_months=2,5.00,
    IF(arrears_months=3,8.00,
    IF(arrears_months=4,10.00,
    IF(arrears_months=5,12.00,15.00)))))))</f>
        <v/>
      </c>
      <c r="M7915">
        <f>LET(
    seasoning_years,DATEDIF('Loan Tape (S&amp;P)'!K7915,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15">
        <f>IF(AND('Loan Tape (S&amp;P)'!U7915="Yes",
        'Loan Tape (S&amp;P)'!T7915&lt;&gt;"Yes",
        DATEDIF('Loan Tape (S&amp;P)'!K7915, TODAY(), "M")&lt;18),
    1.10,
    1.00)</f>
        <v/>
      </c>
      <c r="O7915">
        <f>IF('Loan Tape (S&amp;P)'!T7915="Yes",
    1.35,
    1.00)</f>
        <v/>
      </c>
      <c r="P7915">
        <f>IF('Loan Tape (S&amp;P)'!S7915="Yes",
    1.15,
    1.00)</f>
        <v/>
      </c>
      <c r="Q7915">
        <f>IF('Loan Tape (S&amp;P)'!V7915="Yes",
    1.20,
    1.00)</f>
        <v/>
      </c>
      <c r="T7915">
        <f>LET(
    payment_method,'Loan Tape (S&amp;P)'!P7915,
    occupancy,'Loan Tape (S&amp;P)'!N7915,
    maturity_date,'Loan Tape (S&amp;P)'!L7915,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16">
      <c r="J7916">
        <f>LET(
    lien,'Loan Tape (S&amp;P)'!Q7916,
    IF(lien="First",1.00,
        IF(lien="Second",1.50,
            1.70)))</f>
        <v/>
      </c>
      <c r="K7916">
        <f>LET(
    purpose,'Loan Tape (S&amp;P)'!R7916,
    IF(purpose="Purchase",1.00,
        IF(purpose="Remortgage",1.00,
            1.20)))</f>
        <v/>
      </c>
      <c r="L7916">
        <f>LET(
    arrears_months,'Loan Tape (S&amp;P)'!AN7916,
    IF(arrears_months=0,1.00,
    IF(arrears_months=1,3.00,
    IF(arrears_months=2,5.00,
    IF(arrears_months=3,8.00,
    IF(arrears_months=4,10.00,
    IF(arrears_months=5,12.00,15.00)))))))</f>
        <v/>
      </c>
      <c r="M7916">
        <f>LET(
    seasoning_years,DATEDIF('Loan Tape (S&amp;P)'!K7916,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16">
        <f>IF(AND('Loan Tape (S&amp;P)'!U7916="Yes",
        'Loan Tape (S&amp;P)'!T7916&lt;&gt;"Yes",
        DATEDIF('Loan Tape (S&amp;P)'!K7916, TODAY(), "M")&lt;18),
    1.10,
    1.00)</f>
        <v/>
      </c>
      <c r="O7916">
        <f>IF('Loan Tape (S&amp;P)'!T7916="Yes",
    1.35,
    1.00)</f>
        <v/>
      </c>
      <c r="P7916">
        <f>IF('Loan Tape (S&amp;P)'!S7916="Yes",
    1.15,
    1.00)</f>
        <v/>
      </c>
      <c r="Q7916">
        <f>IF('Loan Tape (S&amp;P)'!V7916="Yes",
    1.20,
    1.00)</f>
        <v/>
      </c>
      <c r="T7916">
        <f>LET(
    payment_method,'Loan Tape (S&amp;P)'!P7916,
    occupancy,'Loan Tape (S&amp;P)'!N7916,
    maturity_date,'Loan Tape (S&amp;P)'!L7916,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17">
      <c r="J7917">
        <f>LET(
    lien,'Loan Tape (S&amp;P)'!Q7917,
    IF(lien="First",1.00,
        IF(lien="Second",1.50,
            1.70)))</f>
        <v/>
      </c>
      <c r="K7917">
        <f>LET(
    purpose,'Loan Tape (S&amp;P)'!R7917,
    IF(purpose="Purchase",1.00,
        IF(purpose="Remortgage",1.00,
            1.20)))</f>
        <v/>
      </c>
      <c r="L7917">
        <f>LET(
    arrears_months,'Loan Tape (S&amp;P)'!AN7917,
    IF(arrears_months=0,1.00,
    IF(arrears_months=1,3.00,
    IF(arrears_months=2,5.00,
    IF(arrears_months=3,8.00,
    IF(arrears_months=4,10.00,
    IF(arrears_months=5,12.00,15.00)))))))</f>
        <v/>
      </c>
      <c r="M7917">
        <f>LET(
    seasoning_years,DATEDIF('Loan Tape (S&amp;P)'!K7917,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17">
        <f>IF(AND('Loan Tape (S&amp;P)'!U7917="Yes",
        'Loan Tape (S&amp;P)'!T7917&lt;&gt;"Yes",
        DATEDIF('Loan Tape (S&amp;P)'!K7917, TODAY(), "M")&lt;18),
    1.10,
    1.00)</f>
        <v/>
      </c>
      <c r="O7917">
        <f>IF('Loan Tape (S&amp;P)'!T7917="Yes",
    1.35,
    1.00)</f>
        <v/>
      </c>
      <c r="P7917">
        <f>IF('Loan Tape (S&amp;P)'!S7917="Yes",
    1.15,
    1.00)</f>
        <v/>
      </c>
      <c r="Q7917">
        <f>IF('Loan Tape (S&amp;P)'!V7917="Yes",
    1.20,
    1.00)</f>
        <v/>
      </c>
      <c r="T7917">
        <f>LET(
    payment_method,'Loan Tape (S&amp;P)'!P7917,
    occupancy,'Loan Tape (S&amp;P)'!N7917,
    maturity_date,'Loan Tape (S&amp;P)'!L7917,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18">
      <c r="J7918">
        <f>LET(
    lien,'Loan Tape (S&amp;P)'!Q7918,
    IF(lien="First",1.00,
        IF(lien="Second",1.50,
            1.70)))</f>
        <v/>
      </c>
      <c r="K7918">
        <f>LET(
    purpose,'Loan Tape (S&amp;P)'!R7918,
    IF(purpose="Purchase",1.00,
        IF(purpose="Remortgage",1.00,
            1.20)))</f>
        <v/>
      </c>
      <c r="L7918">
        <f>LET(
    arrears_months,'Loan Tape (S&amp;P)'!AN7918,
    IF(arrears_months=0,1.00,
    IF(arrears_months=1,3.00,
    IF(arrears_months=2,5.00,
    IF(arrears_months=3,8.00,
    IF(arrears_months=4,10.00,
    IF(arrears_months=5,12.00,15.00)))))))</f>
        <v/>
      </c>
      <c r="M7918">
        <f>LET(
    seasoning_years,DATEDIF('Loan Tape (S&amp;P)'!K7918,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18">
        <f>IF(AND('Loan Tape (S&amp;P)'!U7918="Yes",
        'Loan Tape (S&amp;P)'!T7918&lt;&gt;"Yes",
        DATEDIF('Loan Tape (S&amp;P)'!K7918, TODAY(), "M")&lt;18),
    1.10,
    1.00)</f>
        <v/>
      </c>
      <c r="O7918">
        <f>IF('Loan Tape (S&amp;P)'!T7918="Yes",
    1.35,
    1.00)</f>
        <v/>
      </c>
      <c r="P7918">
        <f>IF('Loan Tape (S&amp;P)'!S7918="Yes",
    1.15,
    1.00)</f>
        <v/>
      </c>
      <c r="Q7918">
        <f>IF('Loan Tape (S&amp;P)'!V7918="Yes",
    1.20,
    1.00)</f>
        <v/>
      </c>
      <c r="T7918">
        <f>LET(
    payment_method,'Loan Tape (S&amp;P)'!P7918,
    occupancy,'Loan Tape (S&amp;P)'!N7918,
    maturity_date,'Loan Tape (S&amp;P)'!L7918,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19">
      <c r="J7919">
        <f>LET(
    lien,'Loan Tape (S&amp;P)'!Q7919,
    IF(lien="First",1.00,
        IF(lien="Second",1.50,
            1.70)))</f>
        <v/>
      </c>
      <c r="K7919">
        <f>LET(
    purpose,'Loan Tape (S&amp;P)'!R7919,
    IF(purpose="Purchase",1.00,
        IF(purpose="Remortgage",1.00,
            1.20)))</f>
        <v/>
      </c>
      <c r="L7919">
        <f>LET(
    arrears_months,'Loan Tape (S&amp;P)'!AN7919,
    IF(arrears_months=0,1.00,
    IF(arrears_months=1,3.00,
    IF(arrears_months=2,5.00,
    IF(arrears_months=3,8.00,
    IF(arrears_months=4,10.00,
    IF(arrears_months=5,12.00,15.00)))))))</f>
        <v/>
      </c>
      <c r="M7919">
        <f>LET(
    seasoning_years,DATEDIF('Loan Tape (S&amp;P)'!K7919,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19">
        <f>IF(AND('Loan Tape (S&amp;P)'!U7919="Yes",
        'Loan Tape (S&amp;P)'!T7919&lt;&gt;"Yes",
        DATEDIF('Loan Tape (S&amp;P)'!K7919, TODAY(), "M")&lt;18),
    1.10,
    1.00)</f>
        <v/>
      </c>
      <c r="O7919">
        <f>IF('Loan Tape (S&amp;P)'!T7919="Yes",
    1.35,
    1.00)</f>
        <v/>
      </c>
      <c r="P7919">
        <f>IF('Loan Tape (S&amp;P)'!S7919="Yes",
    1.15,
    1.00)</f>
        <v/>
      </c>
      <c r="Q7919">
        <f>IF('Loan Tape (S&amp;P)'!V7919="Yes",
    1.20,
    1.00)</f>
        <v/>
      </c>
      <c r="T7919">
        <f>LET(
    payment_method,'Loan Tape (S&amp;P)'!P7919,
    occupancy,'Loan Tape (S&amp;P)'!N7919,
    maturity_date,'Loan Tape (S&amp;P)'!L7919,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20">
      <c r="J7920">
        <f>LET(
    lien,'Loan Tape (S&amp;P)'!Q7920,
    IF(lien="First",1.00,
        IF(lien="Second",1.50,
            1.70)))</f>
        <v/>
      </c>
      <c r="K7920">
        <f>LET(
    purpose,'Loan Tape (S&amp;P)'!R7920,
    IF(purpose="Purchase",1.00,
        IF(purpose="Remortgage",1.00,
            1.20)))</f>
        <v/>
      </c>
      <c r="L7920">
        <f>LET(
    arrears_months,'Loan Tape (S&amp;P)'!AN7920,
    IF(arrears_months=0,1.00,
    IF(arrears_months=1,3.00,
    IF(arrears_months=2,5.00,
    IF(arrears_months=3,8.00,
    IF(arrears_months=4,10.00,
    IF(arrears_months=5,12.00,15.00)))))))</f>
        <v/>
      </c>
      <c r="M7920">
        <f>LET(
    seasoning_years,DATEDIF('Loan Tape (S&amp;P)'!K7920,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20">
        <f>IF(AND('Loan Tape (S&amp;P)'!U7920="Yes",
        'Loan Tape (S&amp;P)'!T7920&lt;&gt;"Yes",
        DATEDIF('Loan Tape (S&amp;P)'!K7920, TODAY(), "M")&lt;18),
    1.10,
    1.00)</f>
        <v/>
      </c>
      <c r="O7920">
        <f>IF('Loan Tape (S&amp;P)'!T7920="Yes",
    1.35,
    1.00)</f>
        <v/>
      </c>
      <c r="P7920">
        <f>IF('Loan Tape (S&amp;P)'!S7920="Yes",
    1.15,
    1.00)</f>
        <v/>
      </c>
      <c r="Q7920">
        <f>IF('Loan Tape (S&amp;P)'!V7920="Yes",
    1.20,
    1.00)</f>
        <v/>
      </c>
      <c r="T7920">
        <f>LET(
    payment_method,'Loan Tape (S&amp;P)'!P7920,
    occupancy,'Loan Tape (S&amp;P)'!N7920,
    maturity_date,'Loan Tape (S&amp;P)'!L7920,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21">
      <c r="J7921">
        <f>LET(
    lien,'Loan Tape (S&amp;P)'!Q7921,
    IF(lien="First",1.00,
        IF(lien="Second",1.50,
            1.70)))</f>
        <v/>
      </c>
      <c r="K7921">
        <f>LET(
    purpose,'Loan Tape (S&amp;P)'!R7921,
    IF(purpose="Purchase",1.00,
        IF(purpose="Remortgage",1.00,
            1.20)))</f>
        <v/>
      </c>
      <c r="L7921">
        <f>LET(
    arrears_months,'Loan Tape (S&amp;P)'!AN7921,
    IF(arrears_months=0,1.00,
    IF(arrears_months=1,3.00,
    IF(arrears_months=2,5.00,
    IF(arrears_months=3,8.00,
    IF(arrears_months=4,10.00,
    IF(arrears_months=5,12.00,15.00)))))))</f>
        <v/>
      </c>
      <c r="M7921">
        <f>LET(
    seasoning_years,DATEDIF('Loan Tape (S&amp;P)'!K7921,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21">
        <f>IF(AND('Loan Tape (S&amp;P)'!U7921="Yes",
        'Loan Tape (S&amp;P)'!T7921&lt;&gt;"Yes",
        DATEDIF('Loan Tape (S&amp;P)'!K7921, TODAY(), "M")&lt;18),
    1.10,
    1.00)</f>
        <v/>
      </c>
      <c r="O7921">
        <f>IF('Loan Tape (S&amp;P)'!T7921="Yes",
    1.35,
    1.00)</f>
        <v/>
      </c>
      <c r="P7921">
        <f>IF('Loan Tape (S&amp;P)'!S7921="Yes",
    1.15,
    1.00)</f>
        <v/>
      </c>
      <c r="Q7921">
        <f>IF('Loan Tape (S&amp;P)'!V7921="Yes",
    1.20,
    1.00)</f>
        <v/>
      </c>
      <c r="T7921">
        <f>LET(
    payment_method,'Loan Tape (S&amp;P)'!P7921,
    occupancy,'Loan Tape (S&amp;P)'!N7921,
    maturity_date,'Loan Tape (S&amp;P)'!L7921,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22">
      <c r="J7922">
        <f>LET(
    lien,'Loan Tape (S&amp;P)'!Q7922,
    IF(lien="First",1.00,
        IF(lien="Second",1.50,
            1.70)))</f>
        <v/>
      </c>
      <c r="K7922">
        <f>LET(
    purpose,'Loan Tape (S&amp;P)'!R7922,
    IF(purpose="Purchase",1.00,
        IF(purpose="Remortgage",1.00,
            1.20)))</f>
        <v/>
      </c>
      <c r="L7922">
        <f>LET(
    arrears_months,'Loan Tape (S&amp;P)'!AN7922,
    IF(arrears_months=0,1.00,
    IF(arrears_months=1,3.00,
    IF(arrears_months=2,5.00,
    IF(arrears_months=3,8.00,
    IF(arrears_months=4,10.00,
    IF(arrears_months=5,12.00,15.00)))))))</f>
        <v/>
      </c>
      <c r="M7922">
        <f>LET(
    seasoning_years,DATEDIF('Loan Tape (S&amp;P)'!K7922,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22">
        <f>IF(AND('Loan Tape (S&amp;P)'!U7922="Yes",
        'Loan Tape (S&amp;P)'!T7922&lt;&gt;"Yes",
        DATEDIF('Loan Tape (S&amp;P)'!K7922, TODAY(), "M")&lt;18),
    1.10,
    1.00)</f>
        <v/>
      </c>
      <c r="O7922">
        <f>IF('Loan Tape (S&amp;P)'!T7922="Yes",
    1.35,
    1.00)</f>
        <v/>
      </c>
      <c r="P7922">
        <f>IF('Loan Tape (S&amp;P)'!S7922="Yes",
    1.15,
    1.00)</f>
        <v/>
      </c>
      <c r="Q7922">
        <f>IF('Loan Tape (S&amp;P)'!V7922="Yes",
    1.20,
    1.00)</f>
        <v/>
      </c>
      <c r="T7922">
        <f>LET(
    payment_method,'Loan Tape (S&amp;P)'!P7922,
    occupancy,'Loan Tape (S&amp;P)'!N7922,
    maturity_date,'Loan Tape (S&amp;P)'!L7922,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23">
      <c r="J7923">
        <f>LET(
    lien,'Loan Tape (S&amp;P)'!Q7923,
    IF(lien="First",1.00,
        IF(lien="Second",1.50,
            1.70)))</f>
        <v/>
      </c>
      <c r="K7923">
        <f>LET(
    purpose,'Loan Tape (S&amp;P)'!R7923,
    IF(purpose="Purchase",1.00,
        IF(purpose="Remortgage",1.00,
            1.20)))</f>
        <v/>
      </c>
      <c r="L7923">
        <f>LET(
    arrears_months,'Loan Tape (S&amp;P)'!AN7923,
    IF(arrears_months=0,1.00,
    IF(arrears_months=1,3.00,
    IF(arrears_months=2,5.00,
    IF(arrears_months=3,8.00,
    IF(arrears_months=4,10.00,
    IF(arrears_months=5,12.00,15.00)))))))</f>
        <v/>
      </c>
      <c r="M7923">
        <f>LET(
    seasoning_years,DATEDIF('Loan Tape (S&amp;P)'!K7923,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23">
        <f>IF(AND('Loan Tape (S&amp;P)'!U7923="Yes",
        'Loan Tape (S&amp;P)'!T7923&lt;&gt;"Yes",
        DATEDIF('Loan Tape (S&amp;P)'!K7923, TODAY(), "M")&lt;18),
    1.10,
    1.00)</f>
        <v/>
      </c>
      <c r="O7923">
        <f>IF('Loan Tape (S&amp;P)'!T7923="Yes",
    1.35,
    1.00)</f>
        <v/>
      </c>
      <c r="P7923">
        <f>IF('Loan Tape (S&amp;P)'!S7923="Yes",
    1.15,
    1.00)</f>
        <v/>
      </c>
      <c r="Q7923">
        <f>IF('Loan Tape (S&amp;P)'!V7923="Yes",
    1.20,
    1.00)</f>
        <v/>
      </c>
      <c r="T7923">
        <f>LET(
    payment_method,'Loan Tape (S&amp;P)'!P7923,
    occupancy,'Loan Tape (S&amp;P)'!N7923,
    maturity_date,'Loan Tape (S&amp;P)'!L7923,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24">
      <c r="J7924">
        <f>LET(
    lien,'Loan Tape (S&amp;P)'!Q7924,
    IF(lien="First",1.00,
        IF(lien="Second",1.50,
            1.70)))</f>
        <v/>
      </c>
      <c r="K7924">
        <f>LET(
    purpose,'Loan Tape (S&amp;P)'!R7924,
    IF(purpose="Purchase",1.00,
        IF(purpose="Remortgage",1.00,
            1.20)))</f>
        <v/>
      </c>
      <c r="L7924">
        <f>LET(
    arrears_months,'Loan Tape (S&amp;P)'!AN7924,
    IF(arrears_months=0,1.00,
    IF(arrears_months=1,3.00,
    IF(arrears_months=2,5.00,
    IF(arrears_months=3,8.00,
    IF(arrears_months=4,10.00,
    IF(arrears_months=5,12.00,15.00)))))))</f>
        <v/>
      </c>
      <c r="M7924">
        <f>LET(
    seasoning_years,DATEDIF('Loan Tape (S&amp;P)'!K7924,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24">
        <f>IF(AND('Loan Tape (S&amp;P)'!U7924="Yes",
        'Loan Tape (S&amp;P)'!T7924&lt;&gt;"Yes",
        DATEDIF('Loan Tape (S&amp;P)'!K7924, TODAY(), "M")&lt;18),
    1.10,
    1.00)</f>
        <v/>
      </c>
      <c r="O7924">
        <f>IF('Loan Tape (S&amp;P)'!T7924="Yes",
    1.35,
    1.00)</f>
        <v/>
      </c>
      <c r="P7924">
        <f>IF('Loan Tape (S&amp;P)'!S7924="Yes",
    1.15,
    1.00)</f>
        <v/>
      </c>
      <c r="Q7924">
        <f>IF('Loan Tape (S&amp;P)'!V7924="Yes",
    1.20,
    1.00)</f>
        <v/>
      </c>
      <c r="T7924">
        <f>LET(
    payment_method,'Loan Tape (S&amp;P)'!P7924,
    occupancy,'Loan Tape (S&amp;P)'!N7924,
    maturity_date,'Loan Tape (S&amp;P)'!L7924,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25">
      <c r="J7925">
        <f>LET(
    lien,'Loan Tape (S&amp;P)'!Q7925,
    IF(lien="First",1.00,
        IF(lien="Second",1.50,
            1.70)))</f>
        <v/>
      </c>
      <c r="K7925">
        <f>LET(
    purpose,'Loan Tape (S&amp;P)'!R7925,
    IF(purpose="Purchase",1.00,
        IF(purpose="Remortgage",1.00,
            1.20)))</f>
        <v/>
      </c>
      <c r="L7925">
        <f>LET(
    arrears_months,'Loan Tape (S&amp;P)'!AN7925,
    IF(arrears_months=0,1.00,
    IF(arrears_months=1,3.00,
    IF(arrears_months=2,5.00,
    IF(arrears_months=3,8.00,
    IF(arrears_months=4,10.00,
    IF(arrears_months=5,12.00,15.00)))))))</f>
        <v/>
      </c>
      <c r="M7925">
        <f>LET(
    seasoning_years,DATEDIF('Loan Tape (S&amp;P)'!K7925,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25">
        <f>IF(AND('Loan Tape (S&amp;P)'!U7925="Yes",
        'Loan Tape (S&amp;P)'!T7925&lt;&gt;"Yes",
        DATEDIF('Loan Tape (S&amp;P)'!K7925, TODAY(), "M")&lt;18),
    1.10,
    1.00)</f>
        <v/>
      </c>
      <c r="O7925">
        <f>IF('Loan Tape (S&amp;P)'!T7925="Yes",
    1.35,
    1.00)</f>
        <v/>
      </c>
      <c r="P7925">
        <f>IF('Loan Tape (S&amp;P)'!S7925="Yes",
    1.15,
    1.00)</f>
        <v/>
      </c>
      <c r="Q7925">
        <f>IF('Loan Tape (S&amp;P)'!V7925="Yes",
    1.20,
    1.00)</f>
        <v/>
      </c>
      <c r="T7925">
        <f>LET(
    payment_method,'Loan Tape (S&amp;P)'!P7925,
    occupancy,'Loan Tape (S&amp;P)'!N7925,
    maturity_date,'Loan Tape (S&amp;P)'!L7925,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26">
      <c r="J7926">
        <f>LET(
    lien,'Loan Tape (S&amp;P)'!Q7926,
    IF(lien="First",1.00,
        IF(lien="Second",1.50,
            1.70)))</f>
        <v/>
      </c>
      <c r="K7926">
        <f>LET(
    purpose,'Loan Tape (S&amp;P)'!R7926,
    IF(purpose="Purchase",1.00,
        IF(purpose="Remortgage",1.00,
            1.20)))</f>
        <v/>
      </c>
      <c r="L7926">
        <f>LET(
    arrears_months,'Loan Tape (S&amp;P)'!AN7926,
    IF(arrears_months=0,1.00,
    IF(arrears_months=1,3.00,
    IF(arrears_months=2,5.00,
    IF(arrears_months=3,8.00,
    IF(arrears_months=4,10.00,
    IF(arrears_months=5,12.00,15.00)))))))</f>
        <v/>
      </c>
      <c r="M7926">
        <f>LET(
    seasoning_years,DATEDIF('Loan Tape (S&amp;P)'!K7926,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26">
        <f>IF(AND('Loan Tape (S&amp;P)'!U7926="Yes",
        'Loan Tape (S&amp;P)'!T7926&lt;&gt;"Yes",
        DATEDIF('Loan Tape (S&amp;P)'!K7926, TODAY(), "M")&lt;18),
    1.10,
    1.00)</f>
        <v/>
      </c>
      <c r="O7926">
        <f>IF('Loan Tape (S&amp;P)'!T7926="Yes",
    1.35,
    1.00)</f>
        <v/>
      </c>
      <c r="P7926">
        <f>IF('Loan Tape (S&amp;P)'!S7926="Yes",
    1.15,
    1.00)</f>
        <v/>
      </c>
      <c r="Q7926">
        <f>IF('Loan Tape (S&amp;P)'!V7926="Yes",
    1.20,
    1.00)</f>
        <v/>
      </c>
      <c r="T7926">
        <f>LET(
    payment_method,'Loan Tape (S&amp;P)'!P7926,
    occupancy,'Loan Tape (S&amp;P)'!N7926,
    maturity_date,'Loan Tape (S&amp;P)'!L7926,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27">
      <c r="J7927">
        <f>LET(
    lien,'Loan Tape (S&amp;P)'!Q7927,
    IF(lien="First",1.00,
        IF(lien="Second",1.50,
            1.70)))</f>
        <v/>
      </c>
      <c r="K7927">
        <f>LET(
    purpose,'Loan Tape (S&amp;P)'!R7927,
    IF(purpose="Purchase",1.00,
        IF(purpose="Remortgage",1.00,
            1.20)))</f>
        <v/>
      </c>
      <c r="L7927">
        <f>LET(
    arrears_months,'Loan Tape (S&amp;P)'!AN7927,
    IF(arrears_months=0,1.00,
    IF(arrears_months=1,3.00,
    IF(arrears_months=2,5.00,
    IF(arrears_months=3,8.00,
    IF(arrears_months=4,10.00,
    IF(arrears_months=5,12.00,15.00)))))))</f>
        <v/>
      </c>
      <c r="M7927">
        <f>LET(
    seasoning_years,DATEDIF('Loan Tape (S&amp;P)'!K7927,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27">
        <f>IF(AND('Loan Tape (S&amp;P)'!U7927="Yes",
        'Loan Tape (S&amp;P)'!T7927&lt;&gt;"Yes",
        DATEDIF('Loan Tape (S&amp;P)'!K7927, TODAY(), "M")&lt;18),
    1.10,
    1.00)</f>
        <v/>
      </c>
      <c r="O7927">
        <f>IF('Loan Tape (S&amp;P)'!T7927="Yes",
    1.35,
    1.00)</f>
        <v/>
      </c>
      <c r="P7927">
        <f>IF('Loan Tape (S&amp;P)'!S7927="Yes",
    1.15,
    1.00)</f>
        <v/>
      </c>
      <c r="Q7927">
        <f>IF('Loan Tape (S&amp;P)'!V7927="Yes",
    1.20,
    1.00)</f>
        <v/>
      </c>
      <c r="T7927">
        <f>LET(
    payment_method,'Loan Tape (S&amp;P)'!P7927,
    occupancy,'Loan Tape (S&amp;P)'!N7927,
    maturity_date,'Loan Tape (S&amp;P)'!L7927,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28">
      <c r="J7928">
        <f>LET(
    lien,'Loan Tape (S&amp;P)'!Q7928,
    IF(lien="First",1.00,
        IF(lien="Second",1.50,
            1.70)))</f>
        <v/>
      </c>
      <c r="K7928">
        <f>LET(
    purpose,'Loan Tape (S&amp;P)'!R7928,
    IF(purpose="Purchase",1.00,
        IF(purpose="Remortgage",1.00,
            1.20)))</f>
        <v/>
      </c>
      <c r="L7928">
        <f>LET(
    arrears_months,'Loan Tape (S&amp;P)'!AN7928,
    IF(arrears_months=0,1.00,
    IF(arrears_months=1,3.00,
    IF(arrears_months=2,5.00,
    IF(arrears_months=3,8.00,
    IF(arrears_months=4,10.00,
    IF(arrears_months=5,12.00,15.00)))))))</f>
        <v/>
      </c>
      <c r="M7928">
        <f>LET(
    seasoning_years,DATEDIF('Loan Tape (S&amp;P)'!K7928,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28">
        <f>IF(AND('Loan Tape (S&amp;P)'!U7928="Yes",
        'Loan Tape (S&amp;P)'!T7928&lt;&gt;"Yes",
        DATEDIF('Loan Tape (S&amp;P)'!K7928, TODAY(), "M")&lt;18),
    1.10,
    1.00)</f>
        <v/>
      </c>
      <c r="O7928">
        <f>IF('Loan Tape (S&amp;P)'!T7928="Yes",
    1.35,
    1.00)</f>
        <v/>
      </c>
      <c r="P7928">
        <f>IF('Loan Tape (S&amp;P)'!S7928="Yes",
    1.15,
    1.00)</f>
        <v/>
      </c>
      <c r="Q7928">
        <f>IF('Loan Tape (S&amp;P)'!V7928="Yes",
    1.20,
    1.00)</f>
        <v/>
      </c>
      <c r="T7928">
        <f>LET(
    payment_method,'Loan Tape (S&amp;P)'!P7928,
    occupancy,'Loan Tape (S&amp;P)'!N7928,
    maturity_date,'Loan Tape (S&amp;P)'!L7928,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29">
      <c r="J7929">
        <f>LET(
    lien,'Loan Tape (S&amp;P)'!Q7929,
    IF(lien="First",1.00,
        IF(lien="Second",1.50,
            1.70)))</f>
        <v/>
      </c>
      <c r="K7929">
        <f>LET(
    purpose,'Loan Tape (S&amp;P)'!R7929,
    IF(purpose="Purchase",1.00,
        IF(purpose="Remortgage",1.00,
            1.20)))</f>
        <v/>
      </c>
      <c r="L7929">
        <f>LET(
    arrears_months,'Loan Tape (S&amp;P)'!AN7929,
    IF(arrears_months=0,1.00,
    IF(arrears_months=1,3.00,
    IF(arrears_months=2,5.00,
    IF(arrears_months=3,8.00,
    IF(arrears_months=4,10.00,
    IF(arrears_months=5,12.00,15.00)))))))</f>
        <v/>
      </c>
      <c r="M7929">
        <f>LET(
    seasoning_years,DATEDIF('Loan Tape (S&amp;P)'!K7929,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29">
        <f>IF(AND('Loan Tape (S&amp;P)'!U7929="Yes",
        'Loan Tape (S&amp;P)'!T7929&lt;&gt;"Yes",
        DATEDIF('Loan Tape (S&amp;P)'!K7929, TODAY(), "M")&lt;18),
    1.10,
    1.00)</f>
        <v/>
      </c>
      <c r="O7929">
        <f>IF('Loan Tape (S&amp;P)'!T7929="Yes",
    1.35,
    1.00)</f>
        <v/>
      </c>
      <c r="P7929">
        <f>IF('Loan Tape (S&amp;P)'!S7929="Yes",
    1.15,
    1.00)</f>
        <v/>
      </c>
      <c r="Q7929">
        <f>IF('Loan Tape (S&amp;P)'!V7929="Yes",
    1.20,
    1.00)</f>
        <v/>
      </c>
      <c r="T7929">
        <f>LET(
    payment_method,'Loan Tape (S&amp;P)'!P7929,
    occupancy,'Loan Tape (S&amp;P)'!N7929,
    maturity_date,'Loan Tape (S&amp;P)'!L7929,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30">
      <c r="J7930">
        <f>LET(
    lien,'Loan Tape (S&amp;P)'!Q7930,
    IF(lien="First",1.00,
        IF(lien="Second",1.50,
            1.70)))</f>
        <v/>
      </c>
      <c r="K7930">
        <f>LET(
    purpose,'Loan Tape (S&amp;P)'!R7930,
    IF(purpose="Purchase",1.00,
        IF(purpose="Remortgage",1.00,
            1.20)))</f>
        <v/>
      </c>
      <c r="L7930">
        <f>LET(
    arrears_months,'Loan Tape (S&amp;P)'!AN7930,
    IF(arrears_months=0,1.00,
    IF(arrears_months=1,3.00,
    IF(arrears_months=2,5.00,
    IF(arrears_months=3,8.00,
    IF(arrears_months=4,10.00,
    IF(arrears_months=5,12.00,15.00)))))))</f>
        <v/>
      </c>
      <c r="M7930">
        <f>LET(
    seasoning_years,DATEDIF('Loan Tape (S&amp;P)'!K7930,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30">
        <f>IF(AND('Loan Tape (S&amp;P)'!U7930="Yes",
        'Loan Tape (S&amp;P)'!T7930&lt;&gt;"Yes",
        DATEDIF('Loan Tape (S&amp;P)'!K7930, TODAY(), "M")&lt;18),
    1.10,
    1.00)</f>
        <v/>
      </c>
      <c r="O7930">
        <f>IF('Loan Tape (S&amp;P)'!T7930="Yes",
    1.35,
    1.00)</f>
        <v/>
      </c>
      <c r="P7930">
        <f>IF('Loan Tape (S&amp;P)'!S7930="Yes",
    1.15,
    1.00)</f>
        <v/>
      </c>
      <c r="Q7930">
        <f>IF('Loan Tape (S&amp;P)'!V7930="Yes",
    1.20,
    1.00)</f>
        <v/>
      </c>
      <c r="T7930">
        <f>LET(
    payment_method,'Loan Tape (S&amp;P)'!P7930,
    occupancy,'Loan Tape (S&amp;P)'!N7930,
    maturity_date,'Loan Tape (S&amp;P)'!L7930,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31">
      <c r="J7931">
        <f>LET(
    lien,'Loan Tape (S&amp;P)'!Q7931,
    IF(lien="First",1.00,
        IF(lien="Second",1.50,
            1.70)))</f>
        <v/>
      </c>
      <c r="K7931">
        <f>LET(
    purpose,'Loan Tape (S&amp;P)'!R7931,
    IF(purpose="Purchase",1.00,
        IF(purpose="Remortgage",1.00,
            1.20)))</f>
        <v/>
      </c>
      <c r="L7931">
        <f>LET(
    arrears_months,'Loan Tape (S&amp;P)'!AN7931,
    IF(arrears_months=0,1.00,
    IF(arrears_months=1,3.00,
    IF(arrears_months=2,5.00,
    IF(arrears_months=3,8.00,
    IF(arrears_months=4,10.00,
    IF(arrears_months=5,12.00,15.00)))))))</f>
        <v/>
      </c>
      <c r="M7931">
        <f>LET(
    seasoning_years,DATEDIF('Loan Tape (S&amp;P)'!K7931,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31">
        <f>IF(AND('Loan Tape (S&amp;P)'!U7931="Yes",
        'Loan Tape (S&amp;P)'!T7931&lt;&gt;"Yes",
        DATEDIF('Loan Tape (S&amp;P)'!K7931, TODAY(), "M")&lt;18),
    1.10,
    1.00)</f>
        <v/>
      </c>
      <c r="O7931">
        <f>IF('Loan Tape (S&amp;P)'!T7931="Yes",
    1.35,
    1.00)</f>
        <v/>
      </c>
      <c r="P7931">
        <f>IF('Loan Tape (S&amp;P)'!S7931="Yes",
    1.15,
    1.00)</f>
        <v/>
      </c>
      <c r="Q7931">
        <f>IF('Loan Tape (S&amp;P)'!V7931="Yes",
    1.20,
    1.00)</f>
        <v/>
      </c>
      <c r="T7931">
        <f>LET(
    payment_method,'Loan Tape (S&amp;P)'!P7931,
    occupancy,'Loan Tape (S&amp;P)'!N7931,
    maturity_date,'Loan Tape (S&amp;P)'!L7931,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32">
      <c r="J7932">
        <f>LET(
    lien,'Loan Tape (S&amp;P)'!Q7932,
    IF(lien="First",1.00,
        IF(lien="Second",1.50,
            1.70)))</f>
        <v/>
      </c>
      <c r="K7932">
        <f>LET(
    purpose,'Loan Tape (S&amp;P)'!R7932,
    IF(purpose="Purchase",1.00,
        IF(purpose="Remortgage",1.00,
            1.20)))</f>
        <v/>
      </c>
      <c r="L7932">
        <f>LET(
    arrears_months,'Loan Tape (S&amp;P)'!AN7932,
    IF(arrears_months=0,1.00,
    IF(arrears_months=1,3.00,
    IF(arrears_months=2,5.00,
    IF(arrears_months=3,8.00,
    IF(arrears_months=4,10.00,
    IF(arrears_months=5,12.00,15.00)))))))</f>
        <v/>
      </c>
      <c r="M7932">
        <f>LET(
    seasoning_years,DATEDIF('Loan Tape (S&amp;P)'!K7932,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32">
        <f>IF(AND('Loan Tape (S&amp;P)'!U7932="Yes",
        'Loan Tape (S&amp;P)'!T7932&lt;&gt;"Yes",
        DATEDIF('Loan Tape (S&amp;P)'!K7932, TODAY(), "M")&lt;18),
    1.10,
    1.00)</f>
        <v/>
      </c>
      <c r="O7932">
        <f>IF('Loan Tape (S&amp;P)'!T7932="Yes",
    1.35,
    1.00)</f>
        <v/>
      </c>
      <c r="P7932">
        <f>IF('Loan Tape (S&amp;P)'!S7932="Yes",
    1.15,
    1.00)</f>
        <v/>
      </c>
      <c r="Q7932">
        <f>IF('Loan Tape (S&amp;P)'!V7932="Yes",
    1.20,
    1.00)</f>
        <v/>
      </c>
      <c r="T7932">
        <f>LET(
    payment_method,'Loan Tape (S&amp;P)'!P7932,
    occupancy,'Loan Tape (S&amp;P)'!N7932,
    maturity_date,'Loan Tape (S&amp;P)'!L7932,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33">
      <c r="J7933">
        <f>LET(
    lien,'Loan Tape (S&amp;P)'!Q7933,
    IF(lien="First",1.00,
        IF(lien="Second",1.50,
            1.70)))</f>
        <v/>
      </c>
      <c r="K7933">
        <f>LET(
    purpose,'Loan Tape (S&amp;P)'!R7933,
    IF(purpose="Purchase",1.00,
        IF(purpose="Remortgage",1.00,
            1.20)))</f>
        <v/>
      </c>
      <c r="L7933">
        <f>LET(
    arrears_months,'Loan Tape (S&amp;P)'!AN7933,
    IF(arrears_months=0,1.00,
    IF(arrears_months=1,3.00,
    IF(arrears_months=2,5.00,
    IF(arrears_months=3,8.00,
    IF(arrears_months=4,10.00,
    IF(arrears_months=5,12.00,15.00)))))))</f>
        <v/>
      </c>
      <c r="M7933">
        <f>LET(
    seasoning_years,DATEDIF('Loan Tape (S&amp;P)'!K7933,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33">
        <f>IF(AND('Loan Tape (S&amp;P)'!U7933="Yes",
        'Loan Tape (S&amp;P)'!T7933&lt;&gt;"Yes",
        DATEDIF('Loan Tape (S&amp;P)'!K7933, TODAY(), "M")&lt;18),
    1.10,
    1.00)</f>
        <v/>
      </c>
      <c r="O7933">
        <f>IF('Loan Tape (S&amp;P)'!T7933="Yes",
    1.35,
    1.00)</f>
        <v/>
      </c>
      <c r="P7933">
        <f>IF('Loan Tape (S&amp;P)'!S7933="Yes",
    1.15,
    1.00)</f>
        <v/>
      </c>
      <c r="Q7933">
        <f>IF('Loan Tape (S&amp;P)'!V7933="Yes",
    1.20,
    1.00)</f>
        <v/>
      </c>
      <c r="T7933">
        <f>LET(
    payment_method,'Loan Tape (S&amp;P)'!P7933,
    occupancy,'Loan Tape (S&amp;P)'!N7933,
    maturity_date,'Loan Tape (S&amp;P)'!L7933,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34">
      <c r="J7934">
        <f>LET(
    lien,'Loan Tape (S&amp;P)'!Q7934,
    IF(lien="First",1.00,
        IF(lien="Second",1.50,
            1.70)))</f>
        <v/>
      </c>
      <c r="K7934">
        <f>LET(
    purpose,'Loan Tape (S&amp;P)'!R7934,
    IF(purpose="Purchase",1.00,
        IF(purpose="Remortgage",1.00,
            1.20)))</f>
        <v/>
      </c>
      <c r="L7934">
        <f>LET(
    arrears_months,'Loan Tape (S&amp;P)'!AN7934,
    IF(arrears_months=0,1.00,
    IF(arrears_months=1,3.00,
    IF(arrears_months=2,5.00,
    IF(arrears_months=3,8.00,
    IF(arrears_months=4,10.00,
    IF(arrears_months=5,12.00,15.00)))))))</f>
        <v/>
      </c>
      <c r="M7934">
        <f>LET(
    seasoning_years,DATEDIF('Loan Tape (S&amp;P)'!K7934,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34">
        <f>IF(AND('Loan Tape (S&amp;P)'!U7934="Yes",
        'Loan Tape (S&amp;P)'!T7934&lt;&gt;"Yes",
        DATEDIF('Loan Tape (S&amp;P)'!K7934, TODAY(), "M")&lt;18),
    1.10,
    1.00)</f>
        <v/>
      </c>
      <c r="O7934">
        <f>IF('Loan Tape (S&amp;P)'!T7934="Yes",
    1.35,
    1.00)</f>
        <v/>
      </c>
      <c r="P7934">
        <f>IF('Loan Tape (S&amp;P)'!S7934="Yes",
    1.15,
    1.00)</f>
        <v/>
      </c>
      <c r="Q7934">
        <f>IF('Loan Tape (S&amp;P)'!V7934="Yes",
    1.20,
    1.00)</f>
        <v/>
      </c>
      <c r="T7934">
        <f>LET(
    payment_method,'Loan Tape (S&amp;P)'!P7934,
    occupancy,'Loan Tape (S&amp;P)'!N7934,
    maturity_date,'Loan Tape (S&amp;P)'!L7934,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35">
      <c r="J7935">
        <f>LET(
    lien,'Loan Tape (S&amp;P)'!Q7935,
    IF(lien="First",1.00,
        IF(lien="Second",1.50,
            1.70)))</f>
        <v/>
      </c>
      <c r="K7935">
        <f>LET(
    purpose,'Loan Tape (S&amp;P)'!R7935,
    IF(purpose="Purchase",1.00,
        IF(purpose="Remortgage",1.00,
            1.20)))</f>
        <v/>
      </c>
      <c r="L7935">
        <f>LET(
    arrears_months,'Loan Tape (S&amp;P)'!AN7935,
    IF(arrears_months=0,1.00,
    IF(arrears_months=1,3.00,
    IF(arrears_months=2,5.00,
    IF(arrears_months=3,8.00,
    IF(arrears_months=4,10.00,
    IF(arrears_months=5,12.00,15.00)))))))</f>
        <v/>
      </c>
      <c r="M7935">
        <f>LET(
    seasoning_years,DATEDIF('Loan Tape (S&amp;P)'!K7935,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35">
        <f>IF(AND('Loan Tape (S&amp;P)'!U7935="Yes",
        'Loan Tape (S&amp;P)'!T7935&lt;&gt;"Yes",
        DATEDIF('Loan Tape (S&amp;P)'!K7935, TODAY(), "M")&lt;18),
    1.10,
    1.00)</f>
        <v/>
      </c>
      <c r="O7935">
        <f>IF('Loan Tape (S&amp;P)'!T7935="Yes",
    1.35,
    1.00)</f>
        <v/>
      </c>
      <c r="P7935">
        <f>IF('Loan Tape (S&amp;P)'!S7935="Yes",
    1.15,
    1.00)</f>
        <v/>
      </c>
      <c r="Q7935">
        <f>IF('Loan Tape (S&amp;P)'!V7935="Yes",
    1.20,
    1.00)</f>
        <v/>
      </c>
      <c r="T7935">
        <f>LET(
    payment_method,'Loan Tape (S&amp;P)'!P7935,
    occupancy,'Loan Tape (S&amp;P)'!N7935,
    maturity_date,'Loan Tape (S&amp;P)'!L7935,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36">
      <c r="J7936">
        <f>LET(
    lien,'Loan Tape (S&amp;P)'!Q7936,
    IF(lien="First",1.00,
        IF(lien="Second",1.50,
            1.70)))</f>
        <v/>
      </c>
      <c r="K7936">
        <f>LET(
    purpose,'Loan Tape (S&amp;P)'!R7936,
    IF(purpose="Purchase",1.00,
        IF(purpose="Remortgage",1.00,
            1.20)))</f>
        <v/>
      </c>
      <c r="L7936">
        <f>LET(
    arrears_months,'Loan Tape (S&amp;P)'!AN7936,
    IF(arrears_months=0,1.00,
    IF(arrears_months=1,3.00,
    IF(arrears_months=2,5.00,
    IF(arrears_months=3,8.00,
    IF(arrears_months=4,10.00,
    IF(arrears_months=5,12.00,15.00)))))))</f>
        <v/>
      </c>
      <c r="M7936">
        <f>LET(
    seasoning_years,DATEDIF('Loan Tape (S&amp;P)'!K7936,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36">
        <f>IF(AND('Loan Tape (S&amp;P)'!U7936="Yes",
        'Loan Tape (S&amp;P)'!T7936&lt;&gt;"Yes",
        DATEDIF('Loan Tape (S&amp;P)'!K7936, TODAY(), "M")&lt;18),
    1.10,
    1.00)</f>
        <v/>
      </c>
      <c r="O7936">
        <f>IF('Loan Tape (S&amp;P)'!T7936="Yes",
    1.35,
    1.00)</f>
        <v/>
      </c>
      <c r="P7936">
        <f>IF('Loan Tape (S&amp;P)'!S7936="Yes",
    1.15,
    1.00)</f>
        <v/>
      </c>
      <c r="Q7936">
        <f>IF('Loan Tape (S&amp;P)'!V7936="Yes",
    1.20,
    1.00)</f>
        <v/>
      </c>
      <c r="T7936">
        <f>LET(
    payment_method,'Loan Tape (S&amp;P)'!P7936,
    occupancy,'Loan Tape (S&amp;P)'!N7936,
    maturity_date,'Loan Tape (S&amp;P)'!L7936,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37">
      <c r="J7937">
        <f>LET(
    lien,'Loan Tape (S&amp;P)'!Q7937,
    IF(lien="First",1.00,
        IF(lien="Second",1.50,
            1.70)))</f>
        <v/>
      </c>
      <c r="K7937">
        <f>LET(
    purpose,'Loan Tape (S&amp;P)'!R7937,
    IF(purpose="Purchase",1.00,
        IF(purpose="Remortgage",1.00,
            1.20)))</f>
        <v/>
      </c>
      <c r="L7937">
        <f>LET(
    arrears_months,'Loan Tape (S&amp;P)'!AN7937,
    IF(arrears_months=0,1.00,
    IF(arrears_months=1,3.00,
    IF(arrears_months=2,5.00,
    IF(arrears_months=3,8.00,
    IF(arrears_months=4,10.00,
    IF(arrears_months=5,12.00,15.00)))))))</f>
        <v/>
      </c>
      <c r="M7937">
        <f>LET(
    seasoning_years,DATEDIF('Loan Tape (S&amp;P)'!K7937,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37">
        <f>IF(AND('Loan Tape (S&amp;P)'!U7937="Yes",
        'Loan Tape (S&amp;P)'!T7937&lt;&gt;"Yes",
        DATEDIF('Loan Tape (S&amp;P)'!K7937, TODAY(), "M")&lt;18),
    1.10,
    1.00)</f>
        <v/>
      </c>
      <c r="O7937">
        <f>IF('Loan Tape (S&amp;P)'!T7937="Yes",
    1.35,
    1.00)</f>
        <v/>
      </c>
      <c r="P7937">
        <f>IF('Loan Tape (S&amp;P)'!S7937="Yes",
    1.15,
    1.00)</f>
        <v/>
      </c>
      <c r="Q7937">
        <f>IF('Loan Tape (S&amp;P)'!V7937="Yes",
    1.20,
    1.00)</f>
        <v/>
      </c>
      <c r="T7937">
        <f>LET(
    payment_method,'Loan Tape (S&amp;P)'!P7937,
    occupancy,'Loan Tape (S&amp;P)'!N7937,
    maturity_date,'Loan Tape (S&amp;P)'!L7937,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38">
      <c r="J7938">
        <f>LET(
    lien,'Loan Tape (S&amp;P)'!Q7938,
    IF(lien="First",1.00,
        IF(lien="Second",1.50,
            1.70)))</f>
        <v/>
      </c>
      <c r="K7938">
        <f>LET(
    purpose,'Loan Tape (S&amp;P)'!R7938,
    IF(purpose="Purchase",1.00,
        IF(purpose="Remortgage",1.00,
            1.20)))</f>
        <v/>
      </c>
      <c r="L7938">
        <f>LET(
    arrears_months,'Loan Tape (S&amp;P)'!AN7938,
    IF(arrears_months=0,1.00,
    IF(arrears_months=1,3.00,
    IF(arrears_months=2,5.00,
    IF(arrears_months=3,8.00,
    IF(arrears_months=4,10.00,
    IF(arrears_months=5,12.00,15.00)))))))</f>
        <v/>
      </c>
      <c r="M7938">
        <f>LET(
    seasoning_years,DATEDIF('Loan Tape (S&amp;P)'!K7938,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38">
        <f>IF(AND('Loan Tape (S&amp;P)'!U7938="Yes",
        'Loan Tape (S&amp;P)'!T7938&lt;&gt;"Yes",
        DATEDIF('Loan Tape (S&amp;P)'!K7938, TODAY(), "M")&lt;18),
    1.10,
    1.00)</f>
        <v/>
      </c>
      <c r="O7938">
        <f>IF('Loan Tape (S&amp;P)'!T7938="Yes",
    1.35,
    1.00)</f>
        <v/>
      </c>
      <c r="P7938">
        <f>IF('Loan Tape (S&amp;P)'!S7938="Yes",
    1.15,
    1.00)</f>
        <v/>
      </c>
      <c r="Q7938">
        <f>IF('Loan Tape (S&amp;P)'!V7938="Yes",
    1.20,
    1.00)</f>
        <v/>
      </c>
      <c r="T7938">
        <f>LET(
    payment_method,'Loan Tape (S&amp;P)'!P7938,
    occupancy,'Loan Tape (S&amp;P)'!N7938,
    maturity_date,'Loan Tape (S&amp;P)'!L7938,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39">
      <c r="J7939">
        <f>LET(
    lien,'Loan Tape (S&amp;P)'!Q7939,
    IF(lien="First",1.00,
        IF(lien="Second",1.50,
            1.70)))</f>
        <v/>
      </c>
      <c r="K7939">
        <f>LET(
    purpose,'Loan Tape (S&amp;P)'!R7939,
    IF(purpose="Purchase",1.00,
        IF(purpose="Remortgage",1.00,
            1.20)))</f>
        <v/>
      </c>
      <c r="L7939">
        <f>LET(
    arrears_months,'Loan Tape (S&amp;P)'!AN7939,
    IF(arrears_months=0,1.00,
    IF(arrears_months=1,3.00,
    IF(arrears_months=2,5.00,
    IF(arrears_months=3,8.00,
    IF(arrears_months=4,10.00,
    IF(arrears_months=5,12.00,15.00)))))))</f>
        <v/>
      </c>
      <c r="M7939">
        <f>LET(
    seasoning_years,DATEDIF('Loan Tape (S&amp;P)'!K7939,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39">
        <f>IF(AND('Loan Tape (S&amp;P)'!U7939="Yes",
        'Loan Tape (S&amp;P)'!T7939&lt;&gt;"Yes",
        DATEDIF('Loan Tape (S&amp;P)'!K7939, TODAY(), "M")&lt;18),
    1.10,
    1.00)</f>
        <v/>
      </c>
      <c r="O7939">
        <f>IF('Loan Tape (S&amp;P)'!T7939="Yes",
    1.35,
    1.00)</f>
        <v/>
      </c>
      <c r="P7939">
        <f>IF('Loan Tape (S&amp;P)'!S7939="Yes",
    1.15,
    1.00)</f>
        <v/>
      </c>
      <c r="Q7939">
        <f>IF('Loan Tape (S&amp;P)'!V7939="Yes",
    1.20,
    1.00)</f>
        <v/>
      </c>
      <c r="T7939">
        <f>LET(
    payment_method,'Loan Tape (S&amp;P)'!P7939,
    occupancy,'Loan Tape (S&amp;P)'!N7939,
    maturity_date,'Loan Tape (S&amp;P)'!L7939,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40">
      <c r="J7940">
        <f>LET(
    lien,'Loan Tape (S&amp;P)'!Q7940,
    IF(lien="First",1.00,
        IF(lien="Second",1.50,
            1.70)))</f>
        <v/>
      </c>
      <c r="K7940">
        <f>LET(
    purpose,'Loan Tape (S&amp;P)'!R7940,
    IF(purpose="Purchase",1.00,
        IF(purpose="Remortgage",1.00,
            1.20)))</f>
        <v/>
      </c>
      <c r="L7940">
        <f>LET(
    arrears_months,'Loan Tape (S&amp;P)'!AN7940,
    IF(arrears_months=0,1.00,
    IF(arrears_months=1,3.00,
    IF(arrears_months=2,5.00,
    IF(arrears_months=3,8.00,
    IF(arrears_months=4,10.00,
    IF(arrears_months=5,12.00,15.00)))))))</f>
        <v/>
      </c>
      <c r="M7940">
        <f>LET(
    seasoning_years,DATEDIF('Loan Tape (S&amp;P)'!K7940,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40">
        <f>IF(AND('Loan Tape (S&amp;P)'!U7940="Yes",
        'Loan Tape (S&amp;P)'!T7940&lt;&gt;"Yes",
        DATEDIF('Loan Tape (S&amp;P)'!K7940, TODAY(), "M")&lt;18),
    1.10,
    1.00)</f>
        <v/>
      </c>
      <c r="O7940">
        <f>IF('Loan Tape (S&amp;P)'!T7940="Yes",
    1.35,
    1.00)</f>
        <v/>
      </c>
      <c r="P7940">
        <f>IF('Loan Tape (S&amp;P)'!S7940="Yes",
    1.15,
    1.00)</f>
        <v/>
      </c>
      <c r="Q7940">
        <f>IF('Loan Tape (S&amp;P)'!V7940="Yes",
    1.20,
    1.00)</f>
        <v/>
      </c>
      <c r="T7940">
        <f>LET(
    payment_method,'Loan Tape (S&amp;P)'!P7940,
    occupancy,'Loan Tape (S&amp;P)'!N7940,
    maturity_date,'Loan Tape (S&amp;P)'!L7940,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41">
      <c r="J7941">
        <f>LET(
    lien,'Loan Tape (S&amp;P)'!Q7941,
    IF(lien="First",1.00,
        IF(lien="Second",1.50,
            1.70)))</f>
        <v/>
      </c>
      <c r="K7941">
        <f>LET(
    purpose,'Loan Tape (S&amp;P)'!R7941,
    IF(purpose="Purchase",1.00,
        IF(purpose="Remortgage",1.00,
            1.20)))</f>
        <v/>
      </c>
      <c r="L7941">
        <f>LET(
    arrears_months,'Loan Tape (S&amp;P)'!AN7941,
    IF(arrears_months=0,1.00,
    IF(arrears_months=1,3.00,
    IF(arrears_months=2,5.00,
    IF(arrears_months=3,8.00,
    IF(arrears_months=4,10.00,
    IF(arrears_months=5,12.00,15.00)))))))</f>
        <v/>
      </c>
      <c r="M7941">
        <f>LET(
    seasoning_years,DATEDIF('Loan Tape (S&amp;P)'!K7941,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41">
        <f>IF(AND('Loan Tape (S&amp;P)'!U7941="Yes",
        'Loan Tape (S&amp;P)'!T7941&lt;&gt;"Yes",
        DATEDIF('Loan Tape (S&amp;P)'!K7941, TODAY(), "M")&lt;18),
    1.10,
    1.00)</f>
        <v/>
      </c>
      <c r="O7941">
        <f>IF('Loan Tape (S&amp;P)'!T7941="Yes",
    1.35,
    1.00)</f>
        <v/>
      </c>
      <c r="P7941">
        <f>IF('Loan Tape (S&amp;P)'!S7941="Yes",
    1.15,
    1.00)</f>
        <v/>
      </c>
      <c r="Q7941">
        <f>IF('Loan Tape (S&amp;P)'!V7941="Yes",
    1.20,
    1.00)</f>
        <v/>
      </c>
      <c r="T7941">
        <f>LET(
    payment_method,'Loan Tape (S&amp;P)'!P7941,
    occupancy,'Loan Tape (S&amp;P)'!N7941,
    maturity_date,'Loan Tape (S&amp;P)'!L7941,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42">
      <c r="J7942">
        <f>LET(
    lien,'Loan Tape (S&amp;P)'!Q7942,
    IF(lien="First",1.00,
        IF(lien="Second",1.50,
            1.70)))</f>
        <v/>
      </c>
      <c r="K7942">
        <f>LET(
    purpose,'Loan Tape (S&amp;P)'!R7942,
    IF(purpose="Purchase",1.00,
        IF(purpose="Remortgage",1.00,
            1.20)))</f>
        <v/>
      </c>
      <c r="L7942">
        <f>LET(
    arrears_months,'Loan Tape (S&amp;P)'!AN7942,
    IF(arrears_months=0,1.00,
    IF(arrears_months=1,3.00,
    IF(arrears_months=2,5.00,
    IF(arrears_months=3,8.00,
    IF(arrears_months=4,10.00,
    IF(arrears_months=5,12.00,15.00)))))))</f>
        <v/>
      </c>
      <c r="M7942">
        <f>LET(
    seasoning_years,DATEDIF('Loan Tape (S&amp;P)'!K7942,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42">
        <f>IF(AND('Loan Tape (S&amp;P)'!U7942="Yes",
        'Loan Tape (S&amp;P)'!T7942&lt;&gt;"Yes",
        DATEDIF('Loan Tape (S&amp;P)'!K7942, TODAY(), "M")&lt;18),
    1.10,
    1.00)</f>
        <v/>
      </c>
      <c r="O7942">
        <f>IF('Loan Tape (S&amp;P)'!T7942="Yes",
    1.35,
    1.00)</f>
        <v/>
      </c>
      <c r="P7942">
        <f>IF('Loan Tape (S&amp;P)'!S7942="Yes",
    1.15,
    1.00)</f>
        <v/>
      </c>
      <c r="Q7942">
        <f>IF('Loan Tape (S&amp;P)'!V7942="Yes",
    1.20,
    1.00)</f>
        <v/>
      </c>
      <c r="T7942">
        <f>LET(
    payment_method,'Loan Tape (S&amp;P)'!P7942,
    occupancy,'Loan Tape (S&amp;P)'!N7942,
    maturity_date,'Loan Tape (S&amp;P)'!L7942,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43">
      <c r="J7943">
        <f>LET(
    lien,'Loan Tape (S&amp;P)'!Q7943,
    IF(lien="First",1.00,
        IF(lien="Second",1.50,
            1.70)))</f>
        <v/>
      </c>
      <c r="K7943">
        <f>LET(
    purpose,'Loan Tape (S&amp;P)'!R7943,
    IF(purpose="Purchase",1.00,
        IF(purpose="Remortgage",1.00,
            1.20)))</f>
        <v/>
      </c>
      <c r="L7943">
        <f>LET(
    arrears_months,'Loan Tape (S&amp;P)'!AN7943,
    IF(arrears_months=0,1.00,
    IF(arrears_months=1,3.00,
    IF(arrears_months=2,5.00,
    IF(arrears_months=3,8.00,
    IF(arrears_months=4,10.00,
    IF(arrears_months=5,12.00,15.00)))))))</f>
        <v/>
      </c>
      <c r="M7943">
        <f>LET(
    seasoning_years,DATEDIF('Loan Tape (S&amp;P)'!K7943,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43">
        <f>IF(AND('Loan Tape (S&amp;P)'!U7943="Yes",
        'Loan Tape (S&amp;P)'!T7943&lt;&gt;"Yes",
        DATEDIF('Loan Tape (S&amp;P)'!K7943, TODAY(), "M")&lt;18),
    1.10,
    1.00)</f>
        <v/>
      </c>
      <c r="O7943">
        <f>IF('Loan Tape (S&amp;P)'!T7943="Yes",
    1.35,
    1.00)</f>
        <v/>
      </c>
      <c r="P7943">
        <f>IF('Loan Tape (S&amp;P)'!S7943="Yes",
    1.15,
    1.00)</f>
        <v/>
      </c>
      <c r="Q7943">
        <f>IF('Loan Tape (S&amp;P)'!V7943="Yes",
    1.20,
    1.00)</f>
        <v/>
      </c>
      <c r="T7943">
        <f>LET(
    payment_method,'Loan Tape (S&amp;P)'!P7943,
    occupancy,'Loan Tape (S&amp;P)'!N7943,
    maturity_date,'Loan Tape (S&amp;P)'!L7943,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44">
      <c r="J7944">
        <f>LET(
    lien,'Loan Tape (S&amp;P)'!Q7944,
    IF(lien="First",1.00,
        IF(lien="Second",1.50,
            1.70)))</f>
        <v/>
      </c>
      <c r="K7944">
        <f>LET(
    purpose,'Loan Tape (S&amp;P)'!R7944,
    IF(purpose="Purchase",1.00,
        IF(purpose="Remortgage",1.00,
            1.20)))</f>
        <v/>
      </c>
      <c r="L7944">
        <f>LET(
    arrears_months,'Loan Tape (S&amp;P)'!AN7944,
    IF(arrears_months=0,1.00,
    IF(arrears_months=1,3.00,
    IF(arrears_months=2,5.00,
    IF(arrears_months=3,8.00,
    IF(arrears_months=4,10.00,
    IF(arrears_months=5,12.00,15.00)))))))</f>
        <v/>
      </c>
      <c r="M7944">
        <f>LET(
    seasoning_years,DATEDIF('Loan Tape (S&amp;P)'!K7944,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44">
        <f>IF(AND('Loan Tape (S&amp;P)'!U7944="Yes",
        'Loan Tape (S&amp;P)'!T7944&lt;&gt;"Yes",
        DATEDIF('Loan Tape (S&amp;P)'!K7944, TODAY(), "M")&lt;18),
    1.10,
    1.00)</f>
        <v/>
      </c>
      <c r="O7944">
        <f>IF('Loan Tape (S&amp;P)'!T7944="Yes",
    1.35,
    1.00)</f>
        <v/>
      </c>
      <c r="P7944">
        <f>IF('Loan Tape (S&amp;P)'!S7944="Yes",
    1.15,
    1.00)</f>
        <v/>
      </c>
      <c r="Q7944">
        <f>IF('Loan Tape (S&amp;P)'!V7944="Yes",
    1.20,
    1.00)</f>
        <v/>
      </c>
      <c r="T7944">
        <f>LET(
    payment_method,'Loan Tape (S&amp;P)'!P7944,
    occupancy,'Loan Tape (S&amp;P)'!N7944,
    maturity_date,'Loan Tape (S&amp;P)'!L7944,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45">
      <c r="J7945">
        <f>LET(
    lien,'Loan Tape (S&amp;P)'!Q7945,
    IF(lien="First",1.00,
        IF(lien="Second",1.50,
            1.70)))</f>
        <v/>
      </c>
      <c r="K7945">
        <f>LET(
    purpose,'Loan Tape (S&amp;P)'!R7945,
    IF(purpose="Purchase",1.00,
        IF(purpose="Remortgage",1.00,
            1.20)))</f>
        <v/>
      </c>
      <c r="L7945">
        <f>LET(
    arrears_months,'Loan Tape (S&amp;P)'!AN7945,
    IF(arrears_months=0,1.00,
    IF(arrears_months=1,3.00,
    IF(arrears_months=2,5.00,
    IF(arrears_months=3,8.00,
    IF(arrears_months=4,10.00,
    IF(arrears_months=5,12.00,15.00)))))))</f>
        <v/>
      </c>
      <c r="M7945">
        <f>LET(
    seasoning_years,DATEDIF('Loan Tape (S&amp;P)'!K7945,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45">
        <f>IF(AND('Loan Tape (S&amp;P)'!U7945="Yes",
        'Loan Tape (S&amp;P)'!T7945&lt;&gt;"Yes",
        DATEDIF('Loan Tape (S&amp;P)'!K7945, TODAY(), "M")&lt;18),
    1.10,
    1.00)</f>
        <v/>
      </c>
      <c r="O7945">
        <f>IF('Loan Tape (S&amp;P)'!T7945="Yes",
    1.35,
    1.00)</f>
        <v/>
      </c>
      <c r="P7945">
        <f>IF('Loan Tape (S&amp;P)'!S7945="Yes",
    1.15,
    1.00)</f>
        <v/>
      </c>
      <c r="Q7945">
        <f>IF('Loan Tape (S&amp;P)'!V7945="Yes",
    1.20,
    1.00)</f>
        <v/>
      </c>
      <c r="T7945">
        <f>LET(
    payment_method,'Loan Tape (S&amp;P)'!P7945,
    occupancy,'Loan Tape (S&amp;P)'!N7945,
    maturity_date,'Loan Tape (S&amp;P)'!L7945,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46">
      <c r="J7946">
        <f>LET(
    lien,'Loan Tape (S&amp;P)'!Q7946,
    IF(lien="First",1.00,
        IF(lien="Second",1.50,
            1.70)))</f>
        <v/>
      </c>
      <c r="K7946">
        <f>LET(
    purpose,'Loan Tape (S&amp;P)'!R7946,
    IF(purpose="Purchase",1.00,
        IF(purpose="Remortgage",1.00,
            1.20)))</f>
        <v/>
      </c>
      <c r="L7946">
        <f>LET(
    arrears_months,'Loan Tape (S&amp;P)'!AN7946,
    IF(arrears_months=0,1.00,
    IF(arrears_months=1,3.00,
    IF(arrears_months=2,5.00,
    IF(arrears_months=3,8.00,
    IF(arrears_months=4,10.00,
    IF(arrears_months=5,12.00,15.00)))))))</f>
        <v/>
      </c>
      <c r="M7946">
        <f>LET(
    seasoning_years,DATEDIF('Loan Tape (S&amp;P)'!K7946,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46">
        <f>IF(AND('Loan Tape (S&amp;P)'!U7946="Yes",
        'Loan Tape (S&amp;P)'!T7946&lt;&gt;"Yes",
        DATEDIF('Loan Tape (S&amp;P)'!K7946, TODAY(), "M")&lt;18),
    1.10,
    1.00)</f>
        <v/>
      </c>
      <c r="O7946">
        <f>IF('Loan Tape (S&amp;P)'!T7946="Yes",
    1.35,
    1.00)</f>
        <v/>
      </c>
      <c r="P7946">
        <f>IF('Loan Tape (S&amp;P)'!S7946="Yes",
    1.15,
    1.00)</f>
        <v/>
      </c>
      <c r="Q7946">
        <f>IF('Loan Tape (S&amp;P)'!V7946="Yes",
    1.20,
    1.00)</f>
        <v/>
      </c>
      <c r="T7946">
        <f>LET(
    payment_method,'Loan Tape (S&amp;P)'!P7946,
    occupancy,'Loan Tape (S&amp;P)'!N7946,
    maturity_date,'Loan Tape (S&amp;P)'!L7946,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47">
      <c r="J7947">
        <f>LET(
    lien,'Loan Tape (S&amp;P)'!Q7947,
    IF(lien="First",1.00,
        IF(lien="Second",1.50,
            1.70)))</f>
        <v/>
      </c>
      <c r="K7947">
        <f>LET(
    purpose,'Loan Tape (S&amp;P)'!R7947,
    IF(purpose="Purchase",1.00,
        IF(purpose="Remortgage",1.00,
            1.20)))</f>
        <v/>
      </c>
      <c r="L7947">
        <f>LET(
    arrears_months,'Loan Tape (S&amp;P)'!AN7947,
    IF(arrears_months=0,1.00,
    IF(arrears_months=1,3.00,
    IF(arrears_months=2,5.00,
    IF(arrears_months=3,8.00,
    IF(arrears_months=4,10.00,
    IF(arrears_months=5,12.00,15.00)))))))</f>
        <v/>
      </c>
      <c r="M7947">
        <f>LET(
    seasoning_years,DATEDIF('Loan Tape (S&amp;P)'!K7947,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47">
        <f>IF(AND('Loan Tape (S&amp;P)'!U7947="Yes",
        'Loan Tape (S&amp;P)'!T7947&lt;&gt;"Yes",
        DATEDIF('Loan Tape (S&amp;P)'!K7947, TODAY(), "M")&lt;18),
    1.10,
    1.00)</f>
        <v/>
      </c>
      <c r="O7947">
        <f>IF('Loan Tape (S&amp;P)'!T7947="Yes",
    1.35,
    1.00)</f>
        <v/>
      </c>
      <c r="P7947">
        <f>IF('Loan Tape (S&amp;P)'!S7947="Yes",
    1.15,
    1.00)</f>
        <v/>
      </c>
      <c r="Q7947">
        <f>IF('Loan Tape (S&amp;P)'!V7947="Yes",
    1.20,
    1.00)</f>
        <v/>
      </c>
      <c r="T7947">
        <f>LET(
    payment_method,'Loan Tape (S&amp;P)'!P7947,
    occupancy,'Loan Tape (S&amp;P)'!N7947,
    maturity_date,'Loan Tape (S&amp;P)'!L7947,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48">
      <c r="J7948">
        <f>LET(
    lien,'Loan Tape (S&amp;P)'!Q7948,
    IF(lien="First",1.00,
        IF(lien="Second",1.50,
            1.70)))</f>
        <v/>
      </c>
      <c r="K7948">
        <f>LET(
    purpose,'Loan Tape (S&amp;P)'!R7948,
    IF(purpose="Purchase",1.00,
        IF(purpose="Remortgage",1.00,
            1.20)))</f>
        <v/>
      </c>
      <c r="L7948">
        <f>LET(
    arrears_months,'Loan Tape (S&amp;P)'!AN7948,
    IF(arrears_months=0,1.00,
    IF(arrears_months=1,3.00,
    IF(arrears_months=2,5.00,
    IF(arrears_months=3,8.00,
    IF(arrears_months=4,10.00,
    IF(arrears_months=5,12.00,15.00)))))))</f>
        <v/>
      </c>
      <c r="M7948">
        <f>LET(
    seasoning_years,DATEDIF('Loan Tape (S&amp;P)'!K7948,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48">
        <f>IF(AND('Loan Tape (S&amp;P)'!U7948="Yes",
        'Loan Tape (S&amp;P)'!T7948&lt;&gt;"Yes",
        DATEDIF('Loan Tape (S&amp;P)'!K7948, TODAY(), "M")&lt;18),
    1.10,
    1.00)</f>
        <v/>
      </c>
      <c r="O7948">
        <f>IF('Loan Tape (S&amp;P)'!T7948="Yes",
    1.35,
    1.00)</f>
        <v/>
      </c>
      <c r="P7948">
        <f>IF('Loan Tape (S&amp;P)'!S7948="Yes",
    1.15,
    1.00)</f>
        <v/>
      </c>
      <c r="Q7948">
        <f>IF('Loan Tape (S&amp;P)'!V7948="Yes",
    1.20,
    1.00)</f>
        <v/>
      </c>
      <c r="T7948">
        <f>LET(
    payment_method,'Loan Tape (S&amp;P)'!P7948,
    occupancy,'Loan Tape (S&amp;P)'!N7948,
    maturity_date,'Loan Tape (S&amp;P)'!L7948,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49">
      <c r="J7949">
        <f>LET(
    lien,'Loan Tape (S&amp;P)'!Q7949,
    IF(lien="First",1.00,
        IF(lien="Second",1.50,
            1.70)))</f>
        <v/>
      </c>
      <c r="K7949">
        <f>LET(
    purpose,'Loan Tape (S&amp;P)'!R7949,
    IF(purpose="Purchase",1.00,
        IF(purpose="Remortgage",1.00,
            1.20)))</f>
        <v/>
      </c>
      <c r="L7949">
        <f>LET(
    arrears_months,'Loan Tape (S&amp;P)'!AN7949,
    IF(arrears_months=0,1.00,
    IF(arrears_months=1,3.00,
    IF(arrears_months=2,5.00,
    IF(arrears_months=3,8.00,
    IF(arrears_months=4,10.00,
    IF(arrears_months=5,12.00,15.00)))))))</f>
        <v/>
      </c>
      <c r="M7949">
        <f>LET(
    seasoning_years,DATEDIF('Loan Tape (S&amp;P)'!K7949,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49">
        <f>IF(AND('Loan Tape (S&amp;P)'!U7949="Yes",
        'Loan Tape (S&amp;P)'!T7949&lt;&gt;"Yes",
        DATEDIF('Loan Tape (S&amp;P)'!K7949, TODAY(), "M")&lt;18),
    1.10,
    1.00)</f>
        <v/>
      </c>
      <c r="O7949">
        <f>IF('Loan Tape (S&amp;P)'!T7949="Yes",
    1.35,
    1.00)</f>
        <v/>
      </c>
      <c r="P7949">
        <f>IF('Loan Tape (S&amp;P)'!S7949="Yes",
    1.15,
    1.00)</f>
        <v/>
      </c>
      <c r="Q7949">
        <f>IF('Loan Tape (S&amp;P)'!V7949="Yes",
    1.20,
    1.00)</f>
        <v/>
      </c>
      <c r="T7949">
        <f>LET(
    payment_method,'Loan Tape (S&amp;P)'!P7949,
    occupancy,'Loan Tape (S&amp;P)'!N7949,
    maturity_date,'Loan Tape (S&amp;P)'!L7949,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50">
      <c r="J7950">
        <f>LET(
    lien,'Loan Tape (S&amp;P)'!Q7950,
    IF(lien="First",1.00,
        IF(lien="Second",1.50,
            1.70)))</f>
        <v/>
      </c>
      <c r="K7950">
        <f>LET(
    purpose,'Loan Tape (S&amp;P)'!R7950,
    IF(purpose="Purchase",1.00,
        IF(purpose="Remortgage",1.00,
            1.20)))</f>
        <v/>
      </c>
      <c r="L7950">
        <f>LET(
    arrears_months,'Loan Tape (S&amp;P)'!AN7950,
    IF(arrears_months=0,1.00,
    IF(arrears_months=1,3.00,
    IF(arrears_months=2,5.00,
    IF(arrears_months=3,8.00,
    IF(arrears_months=4,10.00,
    IF(arrears_months=5,12.00,15.00)))))))</f>
        <v/>
      </c>
      <c r="M7950">
        <f>LET(
    seasoning_years,DATEDIF('Loan Tape (S&amp;P)'!K7950,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50">
        <f>IF(AND('Loan Tape (S&amp;P)'!U7950="Yes",
        'Loan Tape (S&amp;P)'!T7950&lt;&gt;"Yes",
        DATEDIF('Loan Tape (S&amp;P)'!K7950, TODAY(), "M")&lt;18),
    1.10,
    1.00)</f>
        <v/>
      </c>
      <c r="O7950">
        <f>IF('Loan Tape (S&amp;P)'!T7950="Yes",
    1.35,
    1.00)</f>
        <v/>
      </c>
      <c r="P7950">
        <f>IF('Loan Tape (S&amp;P)'!S7950="Yes",
    1.15,
    1.00)</f>
        <v/>
      </c>
      <c r="Q7950">
        <f>IF('Loan Tape (S&amp;P)'!V7950="Yes",
    1.20,
    1.00)</f>
        <v/>
      </c>
      <c r="T7950">
        <f>LET(
    payment_method,'Loan Tape (S&amp;P)'!P7950,
    occupancy,'Loan Tape (S&amp;P)'!N7950,
    maturity_date,'Loan Tape (S&amp;P)'!L7950,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51">
      <c r="J7951">
        <f>LET(
    lien,'Loan Tape (S&amp;P)'!Q7951,
    IF(lien="First",1.00,
        IF(lien="Second",1.50,
            1.70)))</f>
        <v/>
      </c>
      <c r="K7951">
        <f>LET(
    purpose,'Loan Tape (S&amp;P)'!R7951,
    IF(purpose="Purchase",1.00,
        IF(purpose="Remortgage",1.00,
            1.20)))</f>
        <v/>
      </c>
      <c r="L7951">
        <f>LET(
    arrears_months,'Loan Tape (S&amp;P)'!AN7951,
    IF(arrears_months=0,1.00,
    IF(arrears_months=1,3.00,
    IF(arrears_months=2,5.00,
    IF(arrears_months=3,8.00,
    IF(arrears_months=4,10.00,
    IF(arrears_months=5,12.00,15.00)))))))</f>
        <v/>
      </c>
      <c r="M7951">
        <f>LET(
    seasoning_years,DATEDIF('Loan Tape (S&amp;P)'!K7951,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51">
        <f>IF(AND('Loan Tape (S&amp;P)'!U7951="Yes",
        'Loan Tape (S&amp;P)'!T7951&lt;&gt;"Yes",
        DATEDIF('Loan Tape (S&amp;P)'!K7951, TODAY(), "M")&lt;18),
    1.10,
    1.00)</f>
        <v/>
      </c>
      <c r="O7951">
        <f>IF('Loan Tape (S&amp;P)'!T7951="Yes",
    1.35,
    1.00)</f>
        <v/>
      </c>
      <c r="P7951">
        <f>IF('Loan Tape (S&amp;P)'!S7951="Yes",
    1.15,
    1.00)</f>
        <v/>
      </c>
      <c r="Q7951">
        <f>IF('Loan Tape (S&amp;P)'!V7951="Yes",
    1.20,
    1.00)</f>
        <v/>
      </c>
      <c r="T7951">
        <f>LET(
    payment_method,'Loan Tape (S&amp;P)'!P7951,
    occupancy,'Loan Tape (S&amp;P)'!N7951,
    maturity_date,'Loan Tape (S&amp;P)'!L7951,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52">
      <c r="J7952">
        <f>LET(
    lien,'Loan Tape (S&amp;P)'!Q7952,
    IF(lien="First",1.00,
        IF(lien="Second",1.50,
            1.70)))</f>
        <v/>
      </c>
      <c r="K7952">
        <f>LET(
    purpose,'Loan Tape (S&amp;P)'!R7952,
    IF(purpose="Purchase",1.00,
        IF(purpose="Remortgage",1.00,
            1.20)))</f>
        <v/>
      </c>
      <c r="L7952">
        <f>LET(
    arrears_months,'Loan Tape (S&amp;P)'!AN7952,
    IF(arrears_months=0,1.00,
    IF(arrears_months=1,3.00,
    IF(arrears_months=2,5.00,
    IF(arrears_months=3,8.00,
    IF(arrears_months=4,10.00,
    IF(arrears_months=5,12.00,15.00)))))))</f>
        <v/>
      </c>
      <c r="M7952">
        <f>LET(
    seasoning_years,DATEDIF('Loan Tape (S&amp;P)'!K7952,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52">
        <f>IF(AND('Loan Tape (S&amp;P)'!U7952="Yes",
        'Loan Tape (S&amp;P)'!T7952&lt;&gt;"Yes",
        DATEDIF('Loan Tape (S&amp;P)'!K7952, TODAY(), "M")&lt;18),
    1.10,
    1.00)</f>
        <v/>
      </c>
      <c r="O7952">
        <f>IF('Loan Tape (S&amp;P)'!T7952="Yes",
    1.35,
    1.00)</f>
        <v/>
      </c>
      <c r="P7952">
        <f>IF('Loan Tape (S&amp;P)'!S7952="Yes",
    1.15,
    1.00)</f>
        <v/>
      </c>
      <c r="Q7952">
        <f>IF('Loan Tape (S&amp;P)'!V7952="Yes",
    1.20,
    1.00)</f>
        <v/>
      </c>
      <c r="T7952">
        <f>LET(
    payment_method,'Loan Tape (S&amp;P)'!P7952,
    occupancy,'Loan Tape (S&amp;P)'!N7952,
    maturity_date,'Loan Tape (S&amp;P)'!L7952,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53">
      <c r="J7953">
        <f>LET(
    lien,'Loan Tape (S&amp;P)'!Q7953,
    IF(lien="First",1.00,
        IF(lien="Second",1.50,
            1.70)))</f>
        <v/>
      </c>
      <c r="K7953">
        <f>LET(
    purpose,'Loan Tape (S&amp;P)'!R7953,
    IF(purpose="Purchase",1.00,
        IF(purpose="Remortgage",1.00,
            1.20)))</f>
        <v/>
      </c>
      <c r="L7953">
        <f>LET(
    arrears_months,'Loan Tape (S&amp;P)'!AN7953,
    IF(arrears_months=0,1.00,
    IF(arrears_months=1,3.00,
    IF(arrears_months=2,5.00,
    IF(arrears_months=3,8.00,
    IF(arrears_months=4,10.00,
    IF(arrears_months=5,12.00,15.00)))))))</f>
        <v/>
      </c>
      <c r="M7953">
        <f>LET(
    seasoning_years,DATEDIF('Loan Tape (S&amp;P)'!K7953,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53">
        <f>IF(AND('Loan Tape (S&amp;P)'!U7953="Yes",
        'Loan Tape (S&amp;P)'!T7953&lt;&gt;"Yes",
        DATEDIF('Loan Tape (S&amp;P)'!K7953, TODAY(), "M")&lt;18),
    1.10,
    1.00)</f>
        <v/>
      </c>
      <c r="O7953">
        <f>IF('Loan Tape (S&amp;P)'!T7953="Yes",
    1.35,
    1.00)</f>
        <v/>
      </c>
      <c r="P7953">
        <f>IF('Loan Tape (S&amp;P)'!S7953="Yes",
    1.15,
    1.00)</f>
        <v/>
      </c>
      <c r="Q7953">
        <f>IF('Loan Tape (S&amp;P)'!V7953="Yes",
    1.20,
    1.00)</f>
        <v/>
      </c>
      <c r="T7953">
        <f>LET(
    payment_method,'Loan Tape (S&amp;P)'!P7953,
    occupancy,'Loan Tape (S&amp;P)'!N7953,
    maturity_date,'Loan Tape (S&amp;P)'!L7953,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54">
      <c r="J7954">
        <f>LET(
    lien,'Loan Tape (S&amp;P)'!Q7954,
    IF(lien="First",1.00,
        IF(lien="Second",1.50,
            1.70)))</f>
        <v/>
      </c>
      <c r="K7954">
        <f>LET(
    purpose,'Loan Tape (S&amp;P)'!R7954,
    IF(purpose="Purchase",1.00,
        IF(purpose="Remortgage",1.00,
            1.20)))</f>
        <v/>
      </c>
      <c r="L7954">
        <f>LET(
    arrears_months,'Loan Tape (S&amp;P)'!AN7954,
    IF(arrears_months=0,1.00,
    IF(arrears_months=1,3.00,
    IF(arrears_months=2,5.00,
    IF(arrears_months=3,8.00,
    IF(arrears_months=4,10.00,
    IF(arrears_months=5,12.00,15.00)))))))</f>
        <v/>
      </c>
      <c r="M7954">
        <f>LET(
    seasoning_years,DATEDIF('Loan Tape (S&amp;P)'!K7954,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54">
        <f>IF(AND('Loan Tape (S&amp;P)'!U7954="Yes",
        'Loan Tape (S&amp;P)'!T7954&lt;&gt;"Yes",
        DATEDIF('Loan Tape (S&amp;P)'!K7954, TODAY(), "M")&lt;18),
    1.10,
    1.00)</f>
        <v/>
      </c>
      <c r="O7954">
        <f>IF('Loan Tape (S&amp;P)'!T7954="Yes",
    1.35,
    1.00)</f>
        <v/>
      </c>
      <c r="P7954">
        <f>IF('Loan Tape (S&amp;P)'!S7954="Yes",
    1.15,
    1.00)</f>
        <v/>
      </c>
      <c r="Q7954">
        <f>IF('Loan Tape (S&amp;P)'!V7954="Yes",
    1.20,
    1.00)</f>
        <v/>
      </c>
      <c r="T7954">
        <f>LET(
    payment_method,'Loan Tape (S&amp;P)'!P7954,
    occupancy,'Loan Tape (S&amp;P)'!N7954,
    maturity_date,'Loan Tape (S&amp;P)'!L7954,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55">
      <c r="J7955">
        <f>LET(
    lien,'Loan Tape (S&amp;P)'!Q7955,
    IF(lien="First",1.00,
        IF(lien="Second",1.50,
            1.70)))</f>
        <v/>
      </c>
      <c r="K7955">
        <f>LET(
    purpose,'Loan Tape (S&amp;P)'!R7955,
    IF(purpose="Purchase",1.00,
        IF(purpose="Remortgage",1.00,
            1.20)))</f>
        <v/>
      </c>
      <c r="L7955">
        <f>LET(
    arrears_months,'Loan Tape (S&amp;P)'!AN7955,
    IF(arrears_months=0,1.00,
    IF(arrears_months=1,3.00,
    IF(arrears_months=2,5.00,
    IF(arrears_months=3,8.00,
    IF(arrears_months=4,10.00,
    IF(arrears_months=5,12.00,15.00)))))))</f>
        <v/>
      </c>
      <c r="M7955">
        <f>LET(
    seasoning_years,DATEDIF('Loan Tape (S&amp;P)'!K7955,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55">
        <f>IF(AND('Loan Tape (S&amp;P)'!U7955="Yes",
        'Loan Tape (S&amp;P)'!T7955&lt;&gt;"Yes",
        DATEDIF('Loan Tape (S&amp;P)'!K7955, TODAY(), "M")&lt;18),
    1.10,
    1.00)</f>
        <v/>
      </c>
      <c r="O7955">
        <f>IF('Loan Tape (S&amp;P)'!T7955="Yes",
    1.35,
    1.00)</f>
        <v/>
      </c>
      <c r="P7955">
        <f>IF('Loan Tape (S&amp;P)'!S7955="Yes",
    1.15,
    1.00)</f>
        <v/>
      </c>
      <c r="Q7955">
        <f>IF('Loan Tape (S&amp;P)'!V7955="Yes",
    1.20,
    1.00)</f>
        <v/>
      </c>
      <c r="T7955">
        <f>LET(
    payment_method,'Loan Tape (S&amp;P)'!P7955,
    occupancy,'Loan Tape (S&amp;P)'!N7955,
    maturity_date,'Loan Tape (S&amp;P)'!L7955,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56">
      <c r="J7956">
        <f>LET(
    lien,'Loan Tape (S&amp;P)'!Q7956,
    IF(lien="First",1.00,
        IF(lien="Second",1.50,
            1.70)))</f>
        <v/>
      </c>
      <c r="K7956">
        <f>LET(
    purpose,'Loan Tape (S&amp;P)'!R7956,
    IF(purpose="Purchase",1.00,
        IF(purpose="Remortgage",1.00,
            1.20)))</f>
        <v/>
      </c>
      <c r="L7956">
        <f>LET(
    arrears_months,'Loan Tape (S&amp;P)'!AN7956,
    IF(arrears_months=0,1.00,
    IF(arrears_months=1,3.00,
    IF(arrears_months=2,5.00,
    IF(arrears_months=3,8.00,
    IF(arrears_months=4,10.00,
    IF(arrears_months=5,12.00,15.00)))))))</f>
        <v/>
      </c>
      <c r="M7956">
        <f>LET(
    seasoning_years,DATEDIF('Loan Tape (S&amp;P)'!K7956,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56">
        <f>IF(AND('Loan Tape (S&amp;P)'!U7956="Yes",
        'Loan Tape (S&amp;P)'!T7956&lt;&gt;"Yes",
        DATEDIF('Loan Tape (S&amp;P)'!K7956, TODAY(), "M")&lt;18),
    1.10,
    1.00)</f>
        <v/>
      </c>
      <c r="O7956">
        <f>IF('Loan Tape (S&amp;P)'!T7956="Yes",
    1.35,
    1.00)</f>
        <v/>
      </c>
      <c r="P7956">
        <f>IF('Loan Tape (S&amp;P)'!S7956="Yes",
    1.15,
    1.00)</f>
        <v/>
      </c>
      <c r="Q7956">
        <f>IF('Loan Tape (S&amp;P)'!V7956="Yes",
    1.20,
    1.00)</f>
        <v/>
      </c>
      <c r="T7956">
        <f>LET(
    payment_method,'Loan Tape (S&amp;P)'!P7956,
    occupancy,'Loan Tape (S&amp;P)'!N7956,
    maturity_date,'Loan Tape (S&amp;P)'!L7956,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57">
      <c r="J7957">
        <f>LET(
    lien,'Loan Tape (S&amp;P)'!Q7957,
    IF(lien="First",1.00,
        IF(lien="Second",1.50,
            1.70)))</f>
        <v/>
      </c>
      <c r="K7957">
        <f>LET(
    purpose,'Loan Tape (S&amp;P)'!R7957,
    IF(purpose="Purchase",1.00,
        IF(purpose="Remortgage",1.00,
            1.20)))</f>
        <v/>
      </c>
      <c r="L7957">
        <f>LET(
    arrears_months,'Loan Tape (S&amp;P)'!AN7957,
    IF(arrears_months=0,1.00,
    IF(arrears_months=1,3.00,
    IF(arrears_months=2,5.00,
    IF(arrears_months=3,8.00,
    IF(arrears_months=4,10.00,
    IF(arrears_months=5,12.00,15.00)))))))</f>
        <v/>
      </c>
      <c r="M7957">
        <f>LET(
    seasoning_years,DATEDIF('Loan Tape (S&amp;P)'!K7957,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57">
        <f>IF(AND('Loan Tape (S&amp;P)'!U7957="Yes",
        'Loan Tape (S&amp;P)'!T7957&lt;&gt;"Yes",
        DATEDIF('Loan Tape (S&amp;P)'!K7957, TODAY(), "M")&lt;18),
    1.10,
    1.00)</f>
        <v/>
      </c>
      <c r="O7957">
        <f>IF('Loan Tape (S&amp;P)'!T7957="Yes",
    1.35,
    1.00)</f>
        <v/>
      </c>
      <c r="P7957">
        <f>IF('Loan Tape (S&amp;P)'!S7957="Yes",
    1.15,
    1.00)</f>
        <v/>
      </c>
      <c r="Q7957">
        <f>IF('Loan Tape (S&amp;P)'!V7957="Yes",
    1.20,
    1.00)</f>
        <v/>
      </c>
      <c r="T7957">
        <f>LET(
    payment_method,'Loan Tape (S&amp;P)'!P7957,
    occupancy,'Loan Tape (S&amp;P)'!N7957,
    maturity_date,'Loan Tape (S&amp;P)'!L7957,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58">
      <c r="J7958">
        <f>LET(
    lien,'Loan Tape (S&amp;P)'!Q7958,
    IF(lien="First",1.00,
        IF(lien="Second",1.50,
            1.70)))</f>
        <v/>
      </c>
      <c r="K7958">
        <f>LET(
    purpose,'Loan Tape (S&amp;P)'!R7958,
    IF(purpose="Purchase",1.00,
        IF(purpose="Remortgage",1.00,
            1.20)))</f>
        <v/>
      </c>
      <c r="L7958">
        <f>LET(
    arrears_months,'Loan Tape (S&amp;P)'!AN7958,
    IF(arrears_months=0,1.00,
    IF(arrears_months=1,3.00,
    IF(arrears_months=2,5.00,
    IF(arrears_months=3,8.00,
    IF(arrears_months=4,10.00,
    IF(arrears_months=5,12.00,15.00)))))))</f>
        <v/>
      </c>
      <c r="M7958">
        <f>LET(
    seasoning_years,DATEDIF('Loan Tape (S&amp;P)'!K7958,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58">
        <f>IF(AND('Loan Tape (S&amp;P)'!U7958="Yes",
        'Loan Tape (S&amp;P)'!T7958&lt;&gt;"Yes",
        DATEDIF('Loan Tape (S&amp;P)'!K7958, TODAY(), "M")&lt;18),
    1.10,
    1.00)</f>
        <v/>
      </c>
      <c r="O7958">
        <f>IF('Loan Tape (S&amp;P)'!T7958="Yes",
    1.35,
    1.00)</f>
        <v/>
      </c>
      <c r="P7958">
        <f>IF('Loan Tape (S&amp;P)'!S7958="Yes",
    1.15,
    1.00)</f>
        <v/>
      </c>
      <c r="Q7958">
        <f>IF('Loan Tape (S&amp;P)'!V7958="Yes",
    1.20,
    1.00)</f>
        <v/>
      </c>
      <c r="T7958">
        <f>LET(
    payment_method,'Loan Tape (S&amp;P)'!P7958,
    occupancy,'Loan Tape (S&amp;P)'!N7958,
    maturity_date,'Loan Tape (S&amp;P)'!L7958,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59">
      <c r="J7959">
        <f>LET(
    lien,'Loan Tape (S&amp;P)'!Q7959,
    IF(lien="First",1.00,
        IF(lien="Second",1.50,
            1.70)))</f>
        <v/>
      </c>
      <c r="K7959">
        <f>LET(
    purpose,'Loan Tape (S&amp;P)'!R7959,
    IF(purpose="Purchase",1.00,
        IF(purpose="Remortgage",1.00,
            1.20)))</f>
        <v/>
      </c>
      <c r="L7959">
        <f>LET(
    arrears_months,'Loan Tape (S&amp;P)'!AN7959,
    IF(arrears_months=0,1.00,
    IF(arrears_months=1,3.00,
    IF(arrears_months=2,5.00,
    IF(arrears_months=3,8.00,
    IF(arrears_months=4,10.00,
    IF(arrears_months=5,12.00,15.00)))))))</f>
        <v/>
      </c>
      <c r="M7959">
        <f>LET(
    seasoning_years,DATEDIF('Loan Tape (S&amp;P)'!K7959,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59">
        <f>IF(AND('Loan Tape (S&amp;P)'!U7959="Yes",
        'Loan Tape (S&amp;P)'!T7959&lt;&gt;"Yes",
        DATEDIF('Loan Tape (S&amp;P)'!K7959, TODAY(), "M")&lt;18),
    1.10,
    1.00)</f>
        <v/>
      </c>
      <c r="O7959">
        <f>IF('Loan Tape (S&amp;P)'!T7959="Yes",
    1.35,
    1.00)</f>
        <v/>
      </c>
      <c r="P7959">
        <f>IF('Loan Tape (S&amp;P)'!S7959="Yes",
    1.15,
    1.00)</f>
        <v/>
      </c>
      <c r="Q7959">
        <f>IF('Loan Tape (S&amp;P)'!V7959="Yes",
    1.20,
    1.00)</f>
        <v/>
      </c>
      <c r="T7959">
        <f>LET(
    payment_method,'Loan Tape (S&amp;P)'!P7959,
    occupancy,'Loan Tape (S&amp;P)'!N7959,
    maturity_date,'Loan Tape (S&amp;P)'!L7959,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60">
      <c r="J7960">
        <f>LET(
    lien,'Loan Tape (S&amp;P)'!Q7960,
    IF(lien="First",1.00,
        IF(lien="Second",1.50,
            1.70)))</f>
        <v/>
      </c>
      <c r="K7960">
        <f>LET(
    purpose,'Loan Tape (S&amp;P)'!R7960,
    IF(purpose="Purchase",1.00,
        IF(purpose="Remortgage",1.00,
            1.20)))</f>
        <v/>
      </c>
      <c r="L7960">
        <f>LET(
    arrears_months,'Loan Tape (S&amp;P)'!AN7960,
    IF(arrears_months=0,1.00,
    IF(arrears_months=1,3.00,
    IF(arrears_months=2,5.00,
    IF(arrears_months=3,8.00,
    IF(arrears_months=4,10.00,
    IF(arrears_months=5,12.00,15.00)))))))</f>
        <v/>
      </c>
      <c r="M7960">
        <f>LET(
    seasoning_years,DATEDIF('Loan Tape (S&amp;P)'!K7960,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60">
        <f>IF(AND('Loan Tape (S&amp;P)'!U7960="Yes",
        'Loan Tape (S&amp;P)'!T7960&lt;&gt;"Yes",
        DATEDIF('Loan Tape (S&amp;P)'!K7960, TODAY(), "M")&lt;18),
    1.10,
    1.00)</f>
        <v/>
      </c>
      <c r="O7960">
        <f>IF('Loan Tape (S&amp;P)'!T7960="Yes",
    1.35,
    1.00)</f>
        <v/>
      </c>
      <c r="P7960">
        <f>IF('Loan Tape (S&amp;P)'!S7960="Yes",
    1.15,
    1.00)</f>
        <v/>
      </c>
      <c r="Q7960">
        <f>IF('Loan Tape (S&amp;P)'!V7960="Yes",
    1.20,
    1.00)</f>
        <v/>
      </c>
      <c r="T7960">
        <f>LET(
    payment_method,'Loan Tape (S&amp;P)'!P7960,
    occupancy,'Loan Tape (S&amp;P)'!N7960,
    maturity_date,'Loan Tape (S&amp;P)'!L7960,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61">
      <c r="J7961">
        <f>LET(
    lien,'Loan Tape (S&amp;P)'!Q7961,
    IF(lien="First",1.00,
        IF(lien="Second",1.50,
            1.70)))</f>
        <v/>
      </c>
      <c r="K7961">
        <f>LET(
    purpose,'Loan Tape (S&amp;P)'!R7961,
    IF(purpose="Purchase",1.00,
        IF(purpose="Remortgage",1.00,
            1.20)))</f>
        <v/>
      </c>
      <c r="L7961">
        <f>LET(
    arrears_months,'Loan Tape (S&amp;P)'!AN7961,
    IF(arrears_months=0,1.00,
    IF(arrears_months=1,3.00,
    IF(arrears_months=2,5.00,
    IF(arrears_months=3,8.00,
    IF(arrears_months=4,10.00,
    IF(arrears_months=5,12.00,15.00)))))))</f>
        <v/>
      </c>
      <c r="M7961">
        <f>LET(
    seasoning_years,DATEDIF('Loan Tape (S&amp;P)'!K7961,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61">
        <f>IF(AND('Loan Tape (S&amp;P)'!U7961="Yes",
        'Loan Tape (S&amp;P)'!T7961&lt;&gt;"Yes",
        DATEDIF('Loan Tape (S&amp;P)'!K7961, TODAY(), "M")&lt;18),
    1.10,
    1.00)</f>
        <v/>
      </c>
      <c r="O7961">
        <f>IF('Loan Tape (S&amp;P)'!T7961="Yes",
    1.35,
    1.00)</f>
        <v/>
      </c>
      <c r="P7961">
        <f>IF('Loan Tape (S&amp;P)'!S7961="Yes",
    1.15,
    1.00)</f>
        <v/>
      </c>
      <c r="Q7961">
        <f>IF('Loan Tape (S&amp;P)'!V7961="Yes",
    1.20,
    1.00)</f>
        <v/>
      </c>
      <c r="T7961">
        <f>LET(
    payment_method,'Loan Tape (S&amp;P)'!P7961,
    occupancy,'Loan Tape (S&amp;P)'!N7961,
    maturity_date,'Loan Tape (S&amp;P)'!L7961,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62">
      <c r="J7962">
        <f>LET(
    lien,'Loan Tape (S&amp;P)'!Q7962,
    IF(lien="First",1.00,
        IF(lien="Second",1.50,
            1.70)))</f>
        <v/>
      </c>
      <c r="K7962">
        <f>LET(
    purpose,'Loan Tape (S&amp;P)'!R7962,
    IF(purpose="Purchase",1.00,
        IF(purpose="Remortgage",1.00,
            1.20)))</f>
        <v/>
      </c>
      <c r="L7962">
        <f>LET(
    arrears_months,'Loan Tape (S&amp;P)'!AN7962,
    IF(arrears_months=0,1.00,
    IF(arrears_months=1,3.00,
    IF(arrears_months=2,5.00,
    IF(arrears_months=3,8.00,
    IF(arrears_months=4,10.00,
    IF(arrears_months=5,12.00,15.00)))))))</f>
        <v/>
      </c>
      <c r="M7962">
        <f>LET(
    seasoning_years,DATEDIF('Loan Tape (S&amp;P)'!K7962,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62">
        <f>IF(AND('Loan Tape (S&amp;P)'!U7962="Yes",
        'Loan Tape (S&amp;P)'!T7962&lt;&gt;"Yes",
        DATEDIF('Loan Tape (S&amp;P)'!K7962, TODAY(), "M")&lt;18),
    1.10,
    1.00)</f>
        <v/>
      </c>
      <c r="O7962">
        <f>IF('Loan Tape (S&amp;P)'!T7962="Yes",
    1.35,
    1.00)</f>
        <v/>
      </c>
      <c r="P7962">
        <f>IF('Loan Tape (S&amp;P)'!S7962="Yes",
    1.15,
    1.00)</f>
        <v/>
      </c>
      <c r="Q7962">
        <f>IF('Loan Tape (S&amp;P)'!V7962="Yes",
    1.20,
    1.00)</f>
        <v/>
      </c>
      <c r="T7962">
        <f>LET(
    payment_method,'Loan Tape (S&amp;P)'!P7962,
    occupancy,'Loan Tape (S&amp;P)'!N7962,
    maturity_date,'Loan Tape (S&amp;P)'!L7962,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63">
      <c r="J7963">
        <f>LET(
    lien,'Loan Tape (S&amp;P)'!Q7963,
    IF(lien="First",1.00,
        IF(lien="Second",1.50,
            1.70)))</f>
        <v/>
      </c>
      <c r="K7963">
        <f>LET(
    purpose,'Loan Tape (S&amp;P)'!R7963,
    IF(purpose="Purchase",1.00,
        IF(purpose="Remortgage",1.00,
            1.20)))</f>
        <v/>
      </c>
      <c r="L7963">
        <f>LET(
    arrears_months,'Loan Tape (S&amp;P)'!AN7963,
    IF(arrears_months=0,1.00,
    IF(arrears_months=1,3.00,
    IF(arrears_months=2,5.00,
    IF(arrears_months=3,8.00,
    IF(arrears_months=4,10.00,
    IF(arrears_months=5,12.00,15.00)))))))</f>
        <v/>
      </c>
      <c r="M7963">
        <f>LET(
    seasoning_years,DATEDIF('Loan Tape (S&amp;P)'!K7963,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63">
        <f>IF(AND('Loan Tape (S&amp;P)'!U7963="Yes",
        'Loan Tape (S&amp;P)'!T7963&lt;&gt;"Yes",
        DATEDIF('Loan Tape (S&amp;P)'!K7963, TODAY(), "M")&lt;18),
    1.10,
    1.00)</f>
        <v/>
      </c>
      <c r="O7963">
        <f>IF('Loan Tape (S&amp;P)'!T7963="Yes",
    1.35,
    1.00)</f>
        <v/>
      </c>
      <c r="P7963">
        <f>IF('Loan Tape (S&amp;P)'!S7963="Yes",
    1.15,
    1.00)</f>
        <v/>
      </c>
      <c r="Q7963">
        <f>IF('Loan Tape (S&amp;P)'!V7963="Yes",
    1.20,
    1.00)</f>
        <v/>
      </c>
      <c r="T7963">
        <f>LET(
    payment_method,'Loan Tape (S&amp;P)'!P7963,
    occupancy,'Loan Tape (S&amp;P)'!N7963,
    maturity_date,'Loan Tape (S&amp;P)'!L7963,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64">
      <c r="J7964">
        <f>LET(
    lien,'Loan Tape (S&amp;P)'!Q7964,
    IF(lien="First",1.00,
        IF(lien="Second",1.50,
            1.70)))</f>
        <v/>
      </c>
      <c r="K7964">
        <f>LET(
    purpose,'Loan Tape (S&amp;P)'!R7964,
    IF(purpose="Purchase",1.00,
        IF(purpose="Remortgage",1.00,
            1.20)))</f>
        <v/>
      </c>
      <c r="L7964">
        <f>LET(
    arrears_months,'Loan Tape (S&amp;P)'!AN7964,
    IF(arrears_months=0,1.00,
    IF(arrears_months=1,3.00,
    IF(arrears_months=2,5.00,
    IF(arrears_months=3,8.00,
    IF(arrears_months=4,10.00,
    IF(arrears_months=5,12.00,15.00)))))))</f>
        <v/>
      </c>
      <c r="M7964">
        <f>LET(
    seasoning_years,DATEDIF('Loan Tape (S&amp;P)'!K7964,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64">
        <f>IF(AND('Loan Tape (S&amp;P)'!U7964="Yes",
        'Loan Tape (S&amp;P)'!T7964&lt;&gt;"Yes",
        DATEDIF('Loan Tape (S&amp;P)'!K7964, TODAY(), "M")&lt;18),
    1.10,
    1.00)</f>
        <v/>
      </c>
      <c r="O7964">
        <f>IF('Loan Tape (S&amp;P)'!T7964="Yes",
    1.35,
    1.00)</f>
        <v/>
      </c>
      <c r="P7964">
        <f>IF('Loan Tape (S&amp;P)'!S7964="Yes",
    1.15,
    1.00)</f>
        <v/>
      </c>
      <c r="Q7964">
        <f>IF('Loan Tape (S&amp;P)'!V7964="Yes",
    1.20,
    1.00)</f>
        <v/>
      </c>
      <c r="T7964">
        <f>LET(
    payment_method,'Loan Tape (S&amp;P)'!P7964,
    occupancy,'Loan Tape (S&amp;P)'!N7964,
    maturity_date,'Loan Tape (S&amp;P)'!L7964,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65">
      <c r="J7965">
        <f>LET(
    lien,'Loan Tape (S&amp;P)'!Q7965,
    IF(lien="First",1.00,
        IF(lien="Second",1.50,
            1.70)))</f>
        <v/>
      </c>
      <c r="K7965">
        <f>LET(
    purpose,'Loan Tape (S&amp;P)'!R7965,
    IF(purpose="Purchase",1.00,
        IF(purpose="Remortgage",1.00,
            1.20)))</f>
        <v/>
      </c>
      <c r="L7965">
        <f>LET(
    arrears_months,'Loan Tape (S&amp;P)'!AN7965,
    IF(arrears_months=0,1.00,
    IF(arrears_months=1,3.00,
    IF(arrears_months=2,5.00,
    IF(arrears_months=3,8.00,
    IF(arrears_months=4,10.00,
    IF(arrears_months=5,12.00,15.00)))))))</f>
        <v/>
      </c>
      <c r="M7965">
        <f>LET(
    seasoning_years,DATEDIF('Loan Tape (S&amp;P)'!K7965,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65">
        <f>IF(AND('Loan Tape (S&amp;P)'!U7965="Yes",
        'Loan Tape (S&amp;P)'!T7965&lt;&gt;"Yes",
        DATEDIF('Loan Tape (S&amp;P)'!K7965, TODAY(), "M")&lt;18),
    1.10,
    1.00)</f>
        <v/>
      </c>
      <c r="O7965">
        <f>IF('Loan Tape (S&amp;P)'!T7965="Yes",
    1.35,
    1.00)</f>
        <v/>
      </c>
      <c r="P7965">
        <f>IF('Loan Tape (S&amp;P)'!S7965="Yes",
    1.15,
    1.00)</f>
        <v/>
      </c>
      <c r="Q7965">
        <f>IF('Loan Tape (S&amp;P)'!V7965="Yes",
    1.20,
    1.00)</f>
        <v/>
      </c>
      <c r="T7965">
        <f>LET(
    payment_method,'Loan Tape (S&amp;P)'!P7965,
    occupancy,'Loan Tape (S&amp;P)'!N7965,
    maturity_date,'Loan Tape (S&amp;P)'!L7965,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66">
      <c r="J7966">
        <f>LET(
    lien,'Loan Tape (S&amp;P)'!Q7966,
    IF(lien="First",1.00,
        IF(lien="Second",1.50,
            1.70)))</f>
        <v/>
      </c>
      <c r="K7966">
        <f>LET(
    purpose,'Loan Tape (S&amp;P)'!R7966,
    IF(purpose="Purchase",1.00,
        IF(purpose="Remortgage",1.00,
            1.20)))</f>
        <v/>
      </c>
      <c r="L7966">
        <f>LET(
    arrears_months,'Loan Tape (S&amp;P)'!AN7966,
    IF(arrears_months=0,1.00,
    IF(arrears_months=1,3.00,
    IF(arrears_months=2,5.00,
    IF(arrears_months=3,8.00,
    IF(arrears_months=4,10.00,
    IF(arrears_months=5,12.00,15.00)))))))</f>
        <v/>
      </c>
      <c r="M7966">
        <f>LET(
    seasoning_years,DATEDIF('Loan Tape (S&amp;P)'!K7966,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66">
        <f>IF(AND('Loan Tape (S&amp;P)'!U7966="Yes",
        'Loan Tape (S&amp;P)'!T7966&lt;&gt;"Yes",
        DATEDIF('Loan Tape (S&amp;P)'!K7966, TODAY(), "M")&lt;18),
    1.10,
    1.00)</f>
        <v/>
      </c>
      <c r="O7966">
        <f>IF('Loan Tape (S&amp;P)'!T7966="Yes",
    1.35,
    1.00)</f>
        <v/>
      </c>
      <c r="P7966">
        <f>IF('Loan Tape (S&amp;P)'!S7966="Yes",
    1.15,
    1.00)</f>
        <v/>
      </c>
      <c r="Q7966">
        <f>IF('Loan Tape (S&amp;P)'!V7966="Yes",
    1.20,
    1.00)</f>
        <v/>
      </c>
      <c r="T7966">
        <f>LET(
    payment_method,'Loan Tape (S&amp;P)'!P7966,
    occupancy,'Loan Tape (S&amp;P)'!N7966,
    maturity_date,'Loan Tape (S&amp;P)'!L7966,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67">
      <c r="J7967">
        <f>LET(
    lien,'Loan Tape (S&amp;P)'!Q7967,
    IF(lien="First",1.00,
        IF(lien="Second",1.50,
            1.70)))</f>
        <v/>
      </c>
      <c r="K7967">
        <f>LET(
    purpose,'Loan Tape (S&amp;P)'!R7967,
    IF(purpose="Purchase",1.00,
        IF(purpose="Remortgage",1.00,
            1.20)))</f>
        <v/>
      </c>
      <c r="L7967">
        <f>LET(
    arrears_months,'Loan Tape (S&amp;P)'!AN7967,
    IF(arrears_months=0,1.00,
    IF(arrears_months=1,3.00,
    IF(arrears_months=2,5.00,
    IF(arrears_months=3,8.00,
    IF(arrears_months=4,10.00,
    IF(arrears_months=5,12.00,15.00)))))))</f>
        <v/>
      </c>
      <c r="M7967">
        <f>LET(
    seasoning_years,DATEDIF('Loan Tape (S&amp;P)'!K7967,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67">
        <f>IF(AND('Loan Tape (S&amp;P)'!U7967="Yes",
        'Loan Tape (S&amp;P)'!T7967&lt;&gt;"Yes",
        DATEDIF('Loan Tape (S&amp;P)'!K7967, TODAY(), "M")&lt;18),
    1.10,
    1.00)</f>
        <v/>
      </c>
      <c r="O7967">
        <f>IF('Loan Tape (S&amp;P)'!T7967="Yes",
    1.35,
    1.00)</f>
        <v/>
      </c>
      <c r="P7967">
        <f>IF('Loan Tape (S&amp;P)'!S7967="Yes",
    1.15,
    1.00)</f>
        <v/>
      </c>
      <c r="Q7967">
        <f>IF('Loan Tape (S&amp;P)'!V7967="Yes",
    1.20,
    1.00)</f>
        <v/>
      </c>
      <c r="T7967">
        <f>LET(
    payment_method,'Loan Tape (S&amp;P)'!P7967,
    occupancy,'Loan Tape (S&amp;P)'!N7967,
    maturity_date,'Loan Tape (S&amp;P)'!L7967,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68">
      <c r="J7968">
        <f>LET(
    lien,'Loan Tape (S&amp;P)'!Q7968,
    IF(lien="First",1.00,
        IF(lien="Second",1.50,
            1.70)))</f>
        <v/>
      </c>
      <c r="K7968">
        <f>LET(
    purpose,'Loan Tape (S&amp;P)'!R7968,
    IF(purpose="Purchase",1.00,
        IF(purpose="Remortgage",1.00,
            1.20)))</f>
        <v/>
      </c>
      <c r="L7968">
        <f>LET(
    arrears_months,'Loan Tape (S&amp;P)'!AN7968,
    IF(arrears_months=0,1.00,
    IF(arrears_months=1,3.00,
    IF(arrears_months=2,5.00,
    IF(arrears_months=3,8.00,
    IF(arrears_months=4,10.00,
    IF(arrears_months=5,12.00,15.00)))))))</f>
        <v/>
      </c>
      <c r="M7968">
        <f>LET(
    seasoning_years,DATEDIF('Loan Tape (S&amp;P)'!K7968,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68">
        <f>IF(AND('Loan Tape (S&amp;P)'!U7968="Yes",
        'Loan Tape (S&amp;P)'!T7968&lt;&gt;"Yes",
        DATEDIF('Loan Tape (S&amp;P)'!K7968, TODAY(), "M")&lt;18),
    1.10,
    1.00)</f>
        <v/>
      </c>
      <c r="O7968">
        <f>IF('Loan Tape (S&amp;P)'!T7968="Yes",
    1.35,
    1.00)</f>
        <v/>
      </c>
      <c r="P7968">
        <f>IF('Loan Tape (S&amp;P)'!S7968="Yes",
    1.15,
    1.00)</f>
        <v/>
      </c>
      <c r="Q7968">
        <f>IF('Loan Tape (S&amp;P)'!V7968="Yes",
    1.20,
    1.00)</f>
        <v/>
      </c>
      <c r="T7968">
        <f>LET(
    payment_method,'Loan Tape (S&amp;P)'!P7968,
    occupancy,'Loan Tape (S&amp;P)'!N7968,
    maturity_date,'Loan Tape (S&amp;P)'!L7968,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69">
      <c r="J7969">
        <f>LET(
    lien,'Loan Tape (S&amp;P)'!Q7969,
    IF(lien="First",1.00,
        IF(lien="Second",1.50,
            1.70)))</f>
        <v/>
      </c>
      <c r="K7969">
        <f>LET(
    purpose,'Loan Tape (S&amp;P)'!R7969,
    IF(purpose="Purchase",1.00,
        IF(purpose="Remortgage",1.00,
            1.20)))</f>
        <v/>
      </c>
      <c r="L7969">
        <f>LET(
    arrears_months,'Loan Tape (S&amp;P)'!AN7969,
    IF(arrears_months=0,1.00,
    IF(arrears_months=1,3.00,
    IF(arrears_months=2,5.00,
    IF(arrears_months=3,8.00,
    IF(arrears_months=4,10.00,
    IF(arrears_months=5,12.00,15.00)))))))</f>
        <v/>
      </c>
      <c r="M7969">
        <f>LET(
    seasoning_years,DATEDIF('Loan Tape (S&amp;P)'!K7969,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69">
        <f>IF(AND('Loan Tape (S&amp;P)'!U7969="Yes",
        'Loan Tape (S&amp;P)'!T7969&lt;&gt;"Yes",
        DATEDIF('Loan Tape (S&amp;P)'!K7969, TODAY(), "M")&lt;18),
    1.10,
    1.00)</f>
        <v/>
      </c>
      <c r="O7969">
        <f>IF('Loan Tape (S&amp;P)'!T7969="Yes",
    1.35,
    1.00)</f>
        <v/>
      </c>
      <c r="P7969">
        <f>IF('Loan Tape (S&amp;P)'!S7969="Yes",
    1.15,
    1.00)</f>
        <v/>
      </c>
      <c r="Q7969">
        <f>IF('Loan Tape (S&amp;P)'!V7969="Yes",
    1.20,
    1.00)</f>
        <v/>
      </c>
      <c r="T7969">
        <f>LET(
    payment_method,'Loan Tape (S&amp;P)'!P7969,
    occupancy,'Loan Tape (S&amp;P)'!N7969,
    maturity_date,'Loan Tape (S&amp;P)'!L7969,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70">
      <c r="J7970">
        <f>LET(
    lien,'Loan Tape (S&amp;P)'!Q7970,
    IF(lien="First",1.00,
        IF(lien="Second",1.50,
            1.70)))</f>
        <v/>
      </c>
      <c r="K7970">
        <f>LET(
    purpose,'Loan Tape (S&amp;P)'!R7970,
    IF(purpose="Purchase",1.00,
        IF(purpose="Remortgage",1.00,
            1.20)))</f>
        <v/>
      </c>
      <c r="L7970">
        <f>LET(
    arrears_months,'Loan Tape (S&amp;P)'!AN7970,
    IF(arrears_months=0,1.00,
    IF(arrears_months=1,3.00,
    IF(arrears_months=2,5.00,
    IF(arrears_months=3,8.00,
    IF(arrears_months=4,10.00,
    IF(arrears_months=5,12.00,15.00)))))))</f>
        <v/>
      </c>
      <c r="M7970">
        <f>LET(
    seasoning_years,DATEDIF('Loan Tape (S&amp;P)'!K7970,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70">
        <f>IF(AND('Loan Tape (S&amp;P)'!U7970="Yes",
        'Loan Tape (S&amp;P)'!T7970&lt;&gt;"Yes",
        DATEDIF('Loan Tape (S&amp;P)'!K7970, TODAY(), "M")&lt;18),
    1.10,
    1.00)</f>
        <v/>
      </c>
      <c r="O7970">
        <f>IF('Loan Tape (S&amp;P)'!T7970="Yes",
    1.35,
    1.00)</f>
        <v/>
      </c>
      <c r="P7970">
        <f>IF('Loan Tape (S&amp;P)'!S7970="Yes",
    1.15,
    1.00)</f>
        <v/>
      </c>
      <c r="Q7970">
        <f>IF('Loan Tape (S&amp;P)'!V7970="Yes",
    1.20,
    1.00)</f>
        <v/>
      </c>
      <c r="T7970">
        <f>LET(
    payment_method,'Loan Tape (S&amp;P)'!P7970,
    occupancy,'Loan Tape (S&amp;P)'!N7970,
    maturity_date,'Loan Tape (S&amp;P)'!L7970,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71">
      <c r="J7971">
        <f>LET(
    lien,'Loan Tape (S&amp;P)'!Q7971,
    IF(lien="First",1.00,
        IF(lien="Second",1.50,
            1.70)))</f>
        <v/>
      </c>
      <c r="K7971">
        <f>LET(
    purpose,'Loan Tape (S&amp;P)'!R7971,
    IF(purpose="Purchase",1.00,
        IF(purpose="Remortgage",1.00,
            1.20)))</f>
        <v/>
      </c>
      <c r="L7971">
        <f>LET(
    arrears_months,'Loan Tape (S&amp;P)'!AN7971,
    IF(arrears_months=0,1.00,
    IF(arrears_months=1,3.00,
    IF(arrears_months=2,5.00,
    IF(arrears_months=3,8.00,
    IF(arrears_months=4,10.00,
    IF(arrears_months=5,12.00,15.00)))))))</f>
        <v/>
      </c>
      <c r="M7971">
        <f>LET(
    seasoning_years,DATEDIF('Loan Tape (S&amp;P)'!K7971,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71">
        <f>IF(AND('Loan Tape (S&amp;P)'!U7971="Yes",
        'Loan Tape (S&amp;P)'!T7971&lt;&gt;"Yes",
        DATEDIF('Loan Tape (S&amp;P)'!K7971, TODAY(), "M")&lt;18),
    1.10,
    1.00)</f>
        <v/>
      </c>
      <c r="O7971">
        <f>IF('Loan Tape (S&amp;P)'!T7971="Yes",
    1.35,
    1.00)</f>
        <v/>
      </c>
      <c r="P7971">
        <f>IF('Loan Tape (S&amp;P)'!S7971="Yes",
    1.15,
    1.00)</f>
        <v/>
      </c>
      <c r="Q7971">
        <f>IF('Loan Tape (S&amp;P)'!V7971="Yes",
    1.20,
    1.00)</f>
        <v/>
      </c>
      <c r="T7971">
        <f>LET(
    payment_method,'Loan Tape (S&amp;P)'!P7971,
    occupancy,'Loan Tape (S&amp;P)'!N7971,
    maturity_date,'Loan Tape (S&amp;P)'!L7971,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72">
      <c r="J7972">
        <f>LET(
    lien,'Loan Tape (S&amp;P)'!Q7972,
    IF(lien="First",1.00,
        IF(lien="Second",1.50,
            1.70)))</f>
        <v/>
      </c>
      <c r="K7972">
        <f>LET(
    purpose,'Loan Tape (S&amp;P)'!R7972,
    IF(purpose="Purchase",1.00,
        IF(purpose="Remortgage",1.00,
            1.20)))</f>
        <v/>
      </c>
      <c r="L7972">
        <f>LET(
    arrears_months,'Loan Tape (S&amp;P)'!AN7972,
    IF(arrears_months=0,1.00,
    IF(arrears_months=1,3.00,
    IF(arrears_months=2,5.00,
    IF(arrears_months=3,8.00,
    IF(arrears_months=4,10.00,
    IF(arrears_months=5,12.00,15.00)))))))</f>
        <v/>
      </c>
      <c r="M7972">
        <f>LET(
    seasoning_years,DATEDIF('Loan Tape (S&amp;P)'!K7972,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72">
        <f>IF(AND('Loan Tape (S&amp;P)'!U7972="Yes",
        'Loan Tape (S&amp;P)'!T7972&lt;&gt;"Yes",
        DATEDIF('Loan Tape (S&amp;P)'!K7972, TODAY(), "M")&lt;18),
    1.10,
    1.00)</f>
        <v/>
      </c>
      <c r="O7972">
        <f>IF('Loan Tape (S&amp;P)'!T7972="Yes",
    1.35,
    1.00)</f>
        <v/>
      </c>
      <c r="P7972">
        <f>IF('Loan Tape (S&amp;P)'!S7972="Yes",
    1.15,
    1.00)</f>
        <v/>
      </c>
      <c r="Q7972">
        <f>IF('Loan Tape (S&amp;P)'!V7972="Yes",
    1.20,
    1.00)</f>
        <v/>
      </c>
      <c r="T7972">
        <f>LET(
    payment_method,'Loan Tape (S&amp;P)'!P7972,
    occupancy,'Loan Tape (S&amp;P)'!N7972,
    maturity_date,'Loan Tape (S&amp;P)'!L7972,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73">
      <c r="J7973">
        <f>LET(
    lien,'Loan Tape (S&amp;P)'!Q7973,
    IF(lien="First",1.00,
        IF(lien="Second",1.50,
            1.70)))</f>
        <v/>
      </c>
      <c r="K7973">
        <f>LET(
    purpose,'Loan Tape (S&amp;P)'!R7973,
    IF(purpose="Purchase",1.00,
        IF(purpose="Remortgage",1.00,
            1.20)))</f>
        <v/>
      </c>
      <c r="L7973">
        <f>LET(
    arrears_months,'Loan Tape (S&amp;P)'!AN7973,
    IF(arrears_months=0,1.00,
    IF(arrears_months=1,3.00,
    IF(arrears_months=2,5.00,
    IF(arrears_months=3,8.00,
    IF(arrears_months=4,10.00,
    IF(arrears_months=5,12.00,15.00)))))))</f>
        <v/>
      </c>
      <c r="M7973">
        <f>LET(
    seasoning_years,DATEDIF('Loan Tape (S&amp;P)'!K7973,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73">
        <f>IF(AND('Loan Tape (S&amp;P)'!U7973="Yes",
        'Loan Tape (S&amp;P)'!T7973&lt;&gt;"Yes",
        DATEDIF('Loan Tape (S&amp;P)'!K7973, TODAY(), "M")&lt;18),
    1.10,
    1.00)</f>
        <v/>
      </c>
      <c r="O7973">
        <f>IF('Loan Tape (S&amp;P)'!T7973="Yes",
    1.35,
    1.00)</f>
        <v/>
      </c>
      <c r="P7973">
        <f>IF('Loan Tape (S&amp;P)'!S7973="Yes",
    1.15,
    1.00)</f>
        <v/>
      </c>
      <c r="Q7973">
        <f>IF('Loan Tape (S&amp;P)'!V7973="Yes",
    1.20,
    1.00)</f>
        <v/>
      </c>
      <c r="T7973">
        <f>LET(
    payment_method,'Loan Tape (S&amp;P)'!P7973,
    occupancy,'Loan Tape (S&amp;P)'!N7973,
    maturity_date,'Loan Tape (S&amp;P)'!L7973,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74">
      <c r="J7974">
        <f>LET(
    lien,'Loan Tape (S&amp;P)'!Q7974,
    IF(lien="First",1.00,
        IF(lien="Second",1.50,
            1.70)))</f>
        <v/>
      </c>
      <c r="K7974">
        <f>LET(
    purpose,'Loan Tape (S&amp;P)'!R7974,
    IF(purpose="Purchase",1.00,
        IF(purpose="Remortgage",1.00,
            1.20)))</f>
        <v/>
      </c>
      <c r="L7974">
        <f>LET(
    arrears_months,'Loan Tape (S&amp;P)'!AN7974,
    IF(arrears_months=0,1.00,
    IF(arrears_months=1,3.00,
    IF(arrears_months=2,5.00,
    IF(arrears_months=3,8.00,
    IF(arrears_months=4,10.00,
    IF(arrears_months=5,12.00,15.00)))))))</f>
        <v/>
      </c>
      <c r="M7974">
        <f>LET(
    seasoning_years,DATEDIF('Loan Tape (S&amp;P)'!K7974,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74">
        <f>IF(AND('Loan Tape (S&amp;P)'!U7974="Yes",
        'Loan Tape (S&amp;P)'!T7974&lt;&gt;"Yes",
        DATEDIF('Loan Tape (S&amp;P)'!K7974, TODAY(), "M")&lt;18),
    1.10,
    1.00)</f>
        <v/>
      </c>
      <c r="O7974">
        <f>IF('Loan Tape (S&amp;P)'!T7974="Yes",
    1.35,
    1.00)</f>
        <v/>
      </c>
      <c r="P7974">
        <f>IF('Loan Tape (S&amp;P)'!S7974="Yes",
    1.15,
    1.00)</f>
        <v/>
      </c>
      <c r="Q7974">
        <f>IF('Loan Tape (S&amp;P)'!V7974="Yes",
    1.20,
    1.00)</f>
        <v/>
      </c>
      <c r="T7974">
        <f>LET(
    payment_method,'Loan Tape (S&amp;P)'!P7974,
    occupancy,'Loan Tape (S&amp;P)'!N7974,
    maturity_date,'Loan Tape (S&amp;P)'!L7974,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75">
      <c r="J7975">
        <f>LET(
    lien,'Loan Tape (S&amp;P)'!Q7975,
    IF(lien="First",1.00,
        IF(lien="Second",1.50,
            1.70)))</f>
        <v/>
      </c>
      <c r="K7975">
        <f>LET(
    purpose,'Loan Tape (S&amp;P)'!R7975,
    IF(purpose="Purchase",1.00,
        IF(purpose="Remortgage",1.00,
            1.20)))</f>
        <v/>
      </c>
      <c r="L7975">
        <f>LET(
    arrears_months,'Loan Tape (S&amp;P)'!AN7975,
    IF(arrears_months=0,1.00,
    IF(arrears_months=1,3.00,
    IF(arrears_months=2,5.00,
    IF(arrears_months=3,8.00,
    IF(arrears_months=4,10.00,
    IF(arrears_months=5,12.00,15.00)))))))</f>
        <v/>
      </c>
      <c r="M7975">
        <f>LET(
    seasoning_years,DATEDIF('Loan Tape (S&amp;P)'!K7975,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75">
        <f>IF(AND('Loan Tape (S&amp;P)'!U7975="Yes",
        'Loan Tape (S&amp;P)'!T7975&lt;&gt;"Yes",
        DATEDIF('Loan Tape (S&amp;P)'!K7975, TODAY(), "M")&lt;18),
    1.10,
    1.00)</f>
        <v/>
      </c>
      <c r="O7975">
        <f>IF('Loan Tape (S&amp;P)'!T7975="Yes",
    1.35,
    1.00)</f>
        <v/>
      </c>
      <c r="P7975">
        <f>IF('Loan Tape (S&amp;P)'!S7975="Yes",
    1.15,
    1.00)</f>
        <v/>
      </c>
      <c r="Q7975">
        <f>IF('Loan Tape (S&amp;P)'!V7975="Yes",
    1.20,
    1.00)</f>
        <v/>
      </c>
      <c r="T7975">
        <f>LET(
    payment_method,'Loan Tape (S&amp;P)'!P7975,
    occupancy,'Loan Tape (S&amp;P)'!N7975,
    maturity_date,'Loan Tape (S&amp;P)'!L7975,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76">
      <c r="J7976">
        <f>LET(
    lien,'Loan Tape (S&amp;P)'!Q7976,
    IF(lien="First",1.00,
        IF(lien="Second",1.50,
            1.70)))</f>
        <v/>
      </c>
      <c r="K7976">
        <f>LET(
    purpose,'Loan Tape (S&amp;P)'!R7976,
    IF(purpose="Purchase",1.00,
        IF(purpose="Remortgage",1.00,
            1.20)))</f>
        <v/>
      </c>
      <c r="L7976">
        <f>LET(
    arrears_months,'Loan Tape (S&amp;P)'!AN7976,
    IF(arrears_months=0,1.00,
    IF(arrears_months=1,3.00,
    IF(arrears_months=2,5.00,
    IF(arrears_months=3,8.00,
    IF(arrears_months=4,10.00,
    IF(arrears_months=5,12.00,15.00)))))))</f>
        <v/>
      </c>
      <c r="M7976">
        <f>LET(
    seasoning_years,DATEDIF('Loan Tape (S&amp;P)'!K7976,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76">
        <f>IF(AND('Loan Tape (S&amp;P)'!U7976="Yes",
        'Loan Tape (S&amp;P)'!T7976&lt;&gt;"Yes",
        DATEDIF('Loan Tape (S&amp;P)'!K7976, TODAY(), "M")&lt;18),
    1.10,
    1.00)</f>
        <v/>
      </c>
      <c r="O7976">
        <f>IF('Loan Tape (S&amp;P)'!T7976="Yes",
    1.35,
    1.00)</f>
        <v/>
      </c>
      <c r="P7976">
        <f>IF('Loan Tape (S&amp;P)'!S7976="Yes",
    1.15,
    1.00)</f>
        <v/>
      </c>
      <c r="Q7976">
        <f>IF('Loan Tape (S&amp;P)'!V7976="Yes",
    1.20,
    1.00)</f>
        <v/>
      </c>
      <c r="T7976">
        <f>LET(
    payment_method,'Loan Tape (S&amp;P)'!P7976,
    occupancy,'Loan Tape (S&amp;P)'!N7976,
    maturity_date,'Loan Tape (S&amp;P)'!L7976,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77">
      <c r="J7977">
        <f>LET(
    lien,'Loan Tape (S&amp;P)'!Q7977,
    IF(lien="First",1.00,
        IF(lien="Second",1.50,
            1.70)))</f>
        <v/>
      </c>
      <c r="K7977">
        <f>LET(
    purpose,'Loan Tape (S&amp;P)'!R7977,
    IF(purpose="Purchase",1.00,
        IF(purpose="Remortgage",1.00,
            1.20)))</f>
        <v/>
      </c>
      <c r="L7977">
        <f>LET(
    arrears_months,'Loan Tape (S&amp;P)'!AN7977,
    IF(arrears_months=0,1.00,
    IF(arrears_months=1,3.00,
    IF(arrears_months=2,5.00,
    IF(arrears_months=3,8.00,
    IF(arrears_months=4,10.00,
    IF(arrears_months=5,12.00,15.00)))))))</f>
        <v/>
      </c>
      <c r="M7977">
        <f>LET(
    seasoning_years,DATEDIF('Loan Tape (S&amp;P)'!K7977,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77">
        <f>IF(AND('Loan Tape (S&amp;P)'!U7977="Yes",
        'Loan Tape (S&amp;P)'!T7977&lt;&gt;"Yes",
        DATEDIF('Loan Tape (S&amp;P)'!K7977, TODAY(), "M")&lt;18),
    1.10,
    1.00)</f>
        <v/>
      </c>
      <c r="O7977">
        <f>IF('Loan Tape (S&amp;P)'!T7977="Yes",
    1.35,
    1.00)</f>
        <v/>
      </c>
      <c r="P7977">
        <f>IF('Loan Tape (S&amp;P)'!S7977="Yes",
    1.15,
    1.00)</f>
        <v/>
      </c>
      <c r="Q7977">
        <f>IF('Loan Tape (S&amp;P)'!V7977="Yes",
    1.20,
    1.00)</f>
        <v/>
      </c>
      <c r="T7977">
        <f>LET(
    payment_method,'Loan Tape (S&amp;P)'!P7977,
    occupancy,'Loan Tape (S&amp;P)'!N7977,
    maturity_date,'Loan Tape (S&amp;P)'!L7977,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78">
      <c r="J7978">
        <f>LET(
    lien,'Loan Tape (S&amp;P)'!Q7978,
    IF(lien="First",1.00,
        IF(lien="Second",1.50,
            1.70)))</f>
        <v/>
      </c>
      <c r="K7978">
        <f>LET(
    purpose,'Loan Tape (S&amp;P)'!R7978,
    IF(purpose="Purchase",1.00,
        IF(purpose="Remortgage",1.00,
            1.20)))</f>
        <v/>
      </c>
      <c r="L7978">
        <f>LET(
    arrears_months,'Loan Tape (S&amp;P)'!AN7978,
    IF(arrears_months=0,1.00,
    IF(arrears_months=1,3.00,
    IF(arrears_months=2,5.00,
    IF(arrears_months=3,8.00,
    IF(arrears_months=4,10.00,
    IF(arrears_months=5,12.00,15.00)))))))</f>
        <v/>
      </c>
      <c r="M7978">
        <f>LET(
    seasoning_years,DATEDIF('Loan Tape (S&amp;P)'!K7978,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78">
        <f>IF(AND('Loan Tape (S&amp;P)'!U7978="Yes",
        'Loan Tape (S&amp;P)'!T7978&lt;&gt;"Yes",
        DATEDIF('Loan Tape (S&amp;P)'!K7978, TODAY(), "M")&lt;18),
    1.10,
    1.00)</f>
        <v/>
      </c>
      <c r="O7978">
        <f>IF('Loan Tape (S&amp;P)'!T7978="Yes",
    1.35,
    1.00)</f>
        <v/>
      </c>
      <c r="P7978">
        <f>IF('Loan Tape (S&amp;P)'!S7978="Yes",
    1.15,
    1.00)</f>
        <v/>
      </c>
      <c r="Q7978">
        <f>IF('Loan Tape (S&amp;P)'!V7978="Yes",
    1.20,
    1.00)</f>
        <v/>
      </c>
      <c r="T7978">
        <f>LET(
    payment_method,'Loan Tape (S&amp;P)'!P7978,
    occupancy,'Loan Tape (S&amp;P)'!N7978,
    maturity_date,'Loan Tape (S&amp;P)'!L7978,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79">
      <c r="J7979">
        <f>LET(
    lien,'Loan Tape (S&amp;P)'!Q7979,
    IF(lien="First",1.00,
        IF(lien="Second",1.50,
            1.70)))</f>
        <v/>
      </c>
      <c r="K7979">
        <f>LET(
    purpose,'Loan Tape (S&amp;P)'!R7979,
    IF(purpose="Purchase",1.00,
        IF(purpose="Remortgage",1.00,
            1.20)))</f>
        <v/>
      </c>
      <c r="L7979">
        <f>LET(
    arrears_months,'Loan Tape (S&amp;P)'!AN7979,
    IF(arrears_months=0,1.00,
    IF(arrears_months=1,3.00,
    IF(arrears_months=2,5.00,
    IF(arrears_months=3,8.00,
    IF(arrears_months=4,10.00,
    IF(arrears_months=5,12.00,15.00)))))))</f>
        <v/>
      </c>
      <c r="M7979">
        <f>LET(
    seasoning_years,DATEDIF('Loan Tape (S&amp;P)'!K7979,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79">
        <f>IF(AND('Loan Tape (S&amp;P)'!U7979="Yes",
        'Loan Tape (S&amp;P)'!T7979&lt;&gt;"Yes",
        DATEDIF('Loan Tape (S&amp;P)'!K7979, TODAY(), "M")&lt;18),
    1.10,
    1.00)</f>
        <v/>
      </c>
      <c r="O7979">
        <f>IF('Loan Tape (S&amp;P)'!T7979="Yes",
    1.35,
    1.00)</f>
        <v/>
      </c>
      <c r="P7979">
        <f>IF('Loan Tape (S&amp;P)'!S7979="Yes",
    1.15,
    1.00)</f>
        <v/>
      </c>
      <c r="Q7979">
        <f>IF('Loan Tape (S&amp;P)'!V7979="Yes",
    1.20,
    1.00)</f>
        <v/>
      </c>
      <c r="T7979">
        <f>LET(
    payment_method,'Loan Tape (S&amp;P)'!P7979,
    occupancy,'Loan Tape (S&amp;P)'!N7979,
    maturity_date,'Loan Tape (S&amp;P)'!L7979,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80">
      <c r="J7980">
        <f>LET(
    lien,'Loan Tape (S&amp;P)'!Q7980,
    IF(lien="First",1.00,
        IF(lien="Second",1.50,
            1.70)))</f>
        <v/>
      </c>
      <c r="K7980">
        <f>LET(
    purpose,'Loan Tape (S&amp;P)'!R7980,
    IF(purpose="Purchase",1.00,
        IF(purpose="Remortgage",1.00,
            1.20)))</f>
        <v/>
      </c>
      <c r="L7980">
        <f>LET(
    arrears_months,'Loan Tape (S&amp;P)'!AN7980,
    IF(arrears_months=0,1.00,
    IF(arrears_months=1,3.00,
    IF(arrears_months=2,5.00,
    IF(arrears_months=3,8.00,
    IF(arrears_months=4,10.00,
    IF(arrears_months=5,12.00,15.00)))))))</f>
        <v/>
      </c>
      <c r="M7980">
        <f>LET(
    seasoning_years,DATEDIF('Loan Tape (S&amp;P)'!K7980,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80">
        <f>IF(AND('Loan Tape (S&amp;P)'!U7980="Yes",
        'Loan Tape (S&amp;P)'!T7980&lt;&gt;"Yes",
        DATEDIF('Loan Tape (S&amp;P)'!K7980, TODAY(), "M")&lt;18),
    1.10,
    1.00)</f>
        <v/>
      </c>
      <c r="O7980">
        <f>IF('Loan Tape (S&amp;P)'!T7980="Yes",
    1.35,
    1.00)</f>
        <v/>
      </c>
      <c r="P7980">
        <f>IF('Loan Tape (S&amp;P)'!S7980="Yes",
    1.15,
    1.00)</f>
        <v/>
      </c>
      <c r="Q7980">
        <f>IF('Loan Tape (S&amp;P)'!V7980="Yes",
    1.20,
    1.00)</f>
        <v/>
      </c>
      <c r="T7980">
        <f>LET(
    payment_method,'Loan Tape (S&amp;P)'!P7980,
    occupancy,'Loan Tape (S&amp;P)'!N7980,
    maturity_date,'Loan Tape (S&amp;P)'!L7980,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81">
      <c r="J7981">
        <f>LET(
    lien,'Loan Tape (S&amp;P)'!Q7981,
    IF(lien="First",1.00,
        IF(lien="Second",1.50,
            1.70)))</f>
        <v/>
      </c>
      <c r="K7981">
        <f>LET(
    purpose,'Loan Tape (S&amp;P)'!R7981,
    IF(purpose="Purchase",1.00,
        IF(purpose="Remortgage",1.00,
            1.20)))</f>
        <v/>
      </c>
      <c r="L7981">
        <f>LET(
    arrears_months,'Loan Tape (S&amp;P)'!AN7981,
    IF(arrears_months=0,1.00,
    IF(arrears_months=1,3.00,
    IF(arrears_months=2,5.00,
    IF(arrears_months=3,8.00,
    IF(arrears_months=4,10.00,
    IF(arrears_months=5,12.00,15.00)))))))</f>
        <v/>
      </c>
      <c r="M7981">
        <f>LET(
    seasoning_years,DATEDIF('Loan Tape (S&amp;P)'!K7981,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81">
        <f>IF(AND('Loan Tape (S&amp;P)'!U7981="Yes",
        'Loan Tape (S&amp;P)'!T7981&lt;&gt;"Yes",
        DATEDIF('Loan Tape (S&amp;P)'!K7981, TODAY(), "M")&lt;18),
    1.10,
    1.00)</f>
        <v/>
      </c>
      <c r="O7981">
        <f>IF('Loan Tape (S&amp;P)'!T7981="Yes",
    1.35,
    1.00)</f>
        <v/>
      </c>
      <c r="P7981">
        <f>IF('Loan Tape (S&amp;P)'!S7981="Yes",
    1.15,
    1.00)</f>
        <v/>
      </c>
      <c r="Q7981">
        <f>IF('Loan Tape (S&amp;P)'!V7981="Yes",
    1.20,
    1.00)</f>
        <v/>
      </c>
      <c r="T7981">
        <f>LET(
    payment_method,'Loan Tape (S&amp;P)'!P7981,
    occupancy,'Loan Tape (S&amp;P)'!N7981,
    maturity_date,'Loan Tape (S&amp;P)'!L7981,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82">
      <c r="J7982">
        <f>LET(
    lien,'Loan Tape (S&amp;P)'!Q7982,
    IF(lien="First",1.00,
        IF(lien="Second",1.50,
            1.70)))</f>
        <v/>
      </c>
      <c r="K7982">
        <f>LET(
    purpose,'Loan Tape (S&amp;P)'!R7982,
    IF(purpose="Purchase",1.00,
        IF(purpose="Remortgage",1.00,
            1.20)))</f>
        <v/>
      </c>
      <c r="L7982">
        <f>LET(
    arrears_months,'Loan Tape (S&amp;P)'!AN7982,
    IF(arrears_months=0,1.00,
    IF(arrears_months=1,3.00,
    IF(arrears_months=2,5.00,
    IF(arrears_months=3,8.00,
    IF(arrears_months=4,10.00,
    IF(arrears_months=5,12.00,15.00)))))))</f>
        <v/>
      </c>
      <c r="M7982">
        <f>LET(
    seasoning_years,DATEDIF('Loan Tape (S&amp;P)'!K7982,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82">
        <f>IF(AND('Loan Tape (S&amp;P)'!U7982="Yes",
        'Loan Tape (S&amp;P)'!T7982&lt;&gt;"Yes",
        DATEDIF('Loan Tape (S&amp;P)'!K7982, TODAY(), "M")&lt;18),
    1.10,
    1.00)</f>
        <v/>
      </c>
      <c r="O7982">
        <f>IF('Loan Tape (S&amp;P)'!T7982="Yes",
    1.35,
    1.00)</f>
        <v/>
      </c>
      <c r="P7982">
        <f>IF('Loan Tape (S&amp;P)'!S7982="Yes",
    1.15,
    1.00)</f>
        <v/>
      </c>
      <c r="Q7982">
        <f>IF('Loan Tape (S&amp;P)'!V7982="Yes",
    1.20,
    1.00)</f>
        <v/>
      </c>
      <c r="T7982">
        <f>LET(
    payment_method,'Loan Tape (S&amp;P)'!P7982,
    occupancy,'Loan Tape (S&amp;P)'!N7982,
    maturity_date,'Loan Tape (S&amp;P)'!L7982,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83">
      <c r="J7983">
        <f>LET(
    lien,'Loan Tape (S&amp;P)'!Q7983,
    IF(lien="First",1.00,
        IF(lien="Second",1.50,
            1.70)))</f>
        <v/>
      </c>
      <c r="K7983">
        <f>LET(
    purpose,'Loan Tape (S&amp;P)'!R7983,
    IF(purpose="Purchase",1.00,
        IF(purpose="Remortgage",1.00,
            1.20)))</f>
        <v/>
      </c>
      <c r="L7983">
        <f>LET(
    arrears_months,'Loan Tape (S&amp;P)'!AN7983,
    IF(arrears_months=0,1.00,
    IF(arrears_months=1,3.00,
    IF(arrears_months=2,5.00,
    IF(arrears_months=3,8.00,
    IF(arrears_months=4,10.00,
    IF(arrears_months=5,12.00,15.00)))))))</f>
        <v/>
      </c>
      <c r="M7983">
        <f>LET(
    seasoning_years,DATEDIF('Loan Tape (S&amp;P)'!K7983,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83">
        <f>IF(AND('Loan Tape (S&amp;P)'!U7983="Yes",
        'Loan Tape (S&amp;P)'!T7983&lt;&gt;"Yes",
        DATEDIF('Loan Tape (S&amp;P)'!K7983, TODAY(), "M")&lt;18),
    1.10,
    1.00)</f>
        <v/>
      </c>
      <c r="O7983">
        <f>IF('Loan Tape (S&amp;P)'!T7983="Yes",
    1.35,
    1.00)</f>
        <v/>
      </c>
      <c r="P7983">
        <f>IF('Loan Tape (S&amp;P)'!S7983="Yes",
    1.15,
    1.00)</f>
        <v/>
      </c>
      <c r="Q7983">
        <f>IF('Loan Tape (S&amp;P)'!V7983="Yes",
    1.20,
    1.00)</f>
        <v/>
      </c>
      <c r="T7983">
        <f>LET(
    payment_method,'Loan Tape (S&amp;P)'!P7983,
    occupancy,'Loan Tape (S&amp;P)'!N7983,
    maturity_date,'Loan Tape (S&amp;P)'!L7983,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84">
      <c r="J7984">
        <f>LET(
    lien,'Loan Tape (S&amp;P)'!Q7984,
    IF(lien="First",1.00,
        IF(lien="Second",1.50,
            1.70)))</f>
        <v/>
      </c>
      <c r="K7984">
        <f>LET(
    purpose,'Loan Tape (S&amp;P)'!R7984,
    IF(purpose="Purchase",1.00,
        IF(purpose="Remortgage",1.00,
            1.20)))</f>
        <v/>
      </c>
      <c r="L7984">
        <f>LET(
    arrears_months,'Loan Tape (S&amp;P)'!AN7984,
    IF(arrears_months=0,1.00,
    IF(arrears_months=1,3.00,
    IF(arrears_months=2,5.00,
    IF(arrears_months=3,8.00,
    IF(arrears_months=4,10.00,
    IF(arrears_months=5,12.00,15.00)))))))</f>
        <v/>
      </c>
      <c r="M7984">
        <f>LET(
    seasoning_years,DATEDIF('Loan Tape (S&amp;P)'!K7984,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84">
        <f>IF(AND('Loan Tape (S&amp;P)'!U7984="Yes",
        'Loan Tape (S&amp;P)'!T7984&lt;&gt;"Yes",
        DATEDIF('Loan Tape (S&amp;P)'!K7984, TODAY(), "M")&lt;18),
    1.10,
    1.00)</f>
        <v/>
      </c>
      <c r="O7984">
        <f>IF('Loan Tape (S&amp;P)'!T7984="Yes",
    1.35,
    1.00)</f>
        <v/>
      </c>
      <c r="P7984">
        <f>IF('Loan Tape (S&amp;P)'!S7984="Yes",
    1.15,
    1.00)</f>
        <v/>
      </c>
      <c r="Q7984">
        <f>IF('Loan Tape (S&amp;P)'!V7984="Yes",
    1.20,
    1.00)</f>
        <v/>
      </c>
      <c r="T7984">
        <f>LET(
    payment_method,'Loan Tape (S&amp;P)'!P7984,
    occupancy,'Loan Tape (S&amp;P)'!N7984,
    maturity_date,'Loan Tape (S&amp;P)'!L7984,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85">
      <c r="J7985">
        <f>LET(
    lien,'Loan Tape (S&amp;P)'!Q7985,
    IF(lien="First",1.00,
        IF(lien="Second",1.50,
            1.70)))</f>
        <v/>
      </c>
      <c r="K7985">
        <f>LET(
    purpose,'Loan Tape (S&amp;P)'!R7985,
    IF(purpose="Purchase",1.00,
        IF(purpose="Remortgage",1.00,
            1.20)))</f>
        <v/>
      </c>
      <c r="L7985">
        <f>LET(
    arrears_months,'Loan Tape (S&amp;P)'!AN7985,
    IF(arrears_months=0,1.00,
    IF(arrears_months=1,3.00,
    IF(arrears_months=2,5.00,
    IF(arrears_months=3,8.00,
    IF(arrears_months=4,10.00,
    IF(arrears_months=5,12.00,15.00)))))))</f>
        <v/>
      </c>
      <c r="M7985">
        <f>LET(
    seasoning_years,DATEDIF('Loan Tape (S&amp;P)'!K7985,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85">
        <f>IF(AND('Loan Tape (S&amp;P)'!U7985="Yes",
        'Loan Tape (S&amp;P)'!T7985&lt;&gt;"Yes",
        DATEDIF('Loan Tape (S&amp;P)'!K7985, TODAY(), "M")&lt;18),
    1.10,
    1.00)</f>
        <v/>
      </c>
      <c r="O7985">
        <f>IF('Loan Tape (S&amp;P)'!T7985="Yes",
    1.35,
    1.00)</f>
        <v/>
      </c>
      <c r="P7985">
        <f>IF('Loan Tape (S&amp;P)'!S7985="Yes",
    1.15,
    1.00)</f>
        <v/>
      </c>
      <c r="Q7985">
        <f>IF('Loan Tape (S&amp;P)'!V7985="Yes",
    1.20,
    1.00)</f>
        <v/>
      </c>
      <c r="T7985">
        <f>LET(
    payment_method,'Loan Tape (S&amp;P)'!P7985,
    occupancy,'Loan Tape (S&amp;P)'!N7985,
    maturity_date,'Loan Tape (S&amp;P)'!L7985,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86">
      <c r="J7986">
        <f>LET(
    lien,'Loan Tape (S&amp;P)'!Q7986,
    IF(lien="First",1.00,
        IF(lien="Second",1.50,
            1.70)))</f>
        <v/>
      </c>
      <c r="K7986">
        <f>LET(
    purpose,'Loan Tape (S&amp;P)'!R7986,
    IF(purpose="Purchase",1.00,
        IF(purpose="Remortgage",1.00,
            1.20)))</f>
        <v/>
      </c>
      <c r="L7986">
        <f>LET(
    arrears_months,'Loan Tape (S&amp;P)'!AN7986,
    IF(arrears_months=0,1.00,
    IF(arrears_months=1,3.00,
    IF(arrears_months=2,5.00,
    IF(arrears_months=3,8.00,
    IF(arrears_months=4,10.00,
    IF(arrears_months=5,12.00,15.00)))))))</f>
        <v/>
      </c>
      <c r="M7986">
        <f>LET(
    seasoning_years,DATEDIF('Loan Tape (S&amp;P)'!K7986,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86">
        <f>IF(AND('Loan Tape (S&amp;P)'!U7986="Yes",
        'Loan Tape (S&amp;P)'!T7986&lt;&gt;"Yes",
        DATEDIF('Loan Tape (S&amp;P)'!K7986, TODAY(), "M")&lt;18),
    1.10,
    1.00)</f>
        <v/>
      </c>
      <c r="O7986">
        <f>IF('Loan Tape (S&amp;P)'!T7986="Yes",
    1.35,
    1.00)</f>
        <v/>
      </c>
      <c r="P7986">
        <f>IF('Loan Tape (S&amp;P)'!S7986="Yes",
    1.15,
    1.00)</f>
        <v/>
      </c>
      <c r="Q7986">
        <f>IF('Loan Tape (S&amp;P)'!V7986="Yes",
    1.20,
    1.00)</f>
        <v/>
      </c>
      <c r="T7986">
        <f>LET(
    payment_method,'Loan Tape (S&amp;P)'!P7986,
    occupancy,'Loan Tape (S&amp;P)'!N7986,
    maturity_date,'Loan Tape (S&amp;P)'!L7986,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87">
      <c r="J7987">
        <f>LET(
    lien,'Loan Tape (S&amp;P)'!Q7987,
    IF(lien="First",1.00,
        IF(lien="Second",1.50,
            1.70)))</f>
        <v/>
      </c>
      <c r="K7987">
        <f>LET(
    purpose,'Loan Tape (S&amp;P)'!R7987,
    IF(purpose="Purchase",1.00,
        IF(purpose="Remortgage",1.00,
            1.20)))</f>
        <v/>
      </c>
      <c r="L7987">
        <f>LET(
    arrears_months,'Loan Tape (S&amp;P)'!AN7987,
    IF(arrears_months=0,1.00,
    IF(arrears_months=1,3.00,
    IF(arrears_months=2,5.00,
    IF(arrears_months=3,8.00,
    IF(arrears_months=4,10.00,
    IF(arrears_months=5,12.00,15.00)))))))</f>
        <v/>
      </c>
      <c r="M7987">
        <f>LET(
    seasoning_years,DATEDIF('Loan Tape (S&amp;P)'!K7987,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87">
        <f>IF(AND('Loan Tape (S&amp;P)'!U7987="Yes",
        'Loan Tape (S&amp;P)'!T7987&lt;&gt;"Yes",
        DATEDIF('Loan Tape (S&amp;P)'!K7987, TODAY(), "M")&lt;18),
    1.10,
    1.00)</f>
        <v/>
      </c>
      <c r="O7987">
        <f>IF('Loan Tape (S&amp;P)'!T7987="Yes",
    1.35,
    1.00)</f>
        <v/>
      </c>
      <c r="P7987">
        <f>IF('Loan Tape (S&amp;P)'!S7987="Yes",
    1.15,
    1.00)</f>
        <v/>
      </c>
      <c r="Q7987">
        <f>IF('Loan Tape (S&amp;P)'!V7987="Yes",
    1.20,
    1.00)</f>
        <v/>
      </c>
      <c r="T7987">
        <f>LET(
    payment_method,'Loan Tape (S&amp;P)'!P7987,
    occupancy,'Loan Tape (S&amp;P)'!N7987,
    maturity_date,'Loan Tape (S&amp;P)'!L7987,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88">
      <c r="J7988">
        <f>LET(
    lien,'Loan Tape (S&amp;P)'!Q7988,
    IF(lien="First",1.00,
        IF(lien="Second",1.50,
            1.70)))</f>
        <v/>
      </c>
      <c r="K7988">
        <f>LET(
    purpose,'Loan Tape (S&amp;P)'!R7988,
    IF(purpose="Purchase",1.00,
        IF(purpose="Remortgage",1.00,
            1.20)))</f>
        <v/>
      </c>
      <c r="L7988">
        <f>LET(
    arrears_months,'Loan Tape (S&amp;P)'!AN7988,
    IF(arrears_months=0,1.00,
    IF(arrears_months=1,3.00,
    IF(arrears_months=2,5.00,
    IF(arrears_months=3,8.00,
    IF(arrears_months=4,10.00,
    IF(arrears_months=5,12.00,15.00)))))))</f>
        <v/>
      </c>
      <c r="M7988">
        <f>LET(
    seasoning_years,DATEDIF('Loan Tape (S&amp;P)'!K7988,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88">
        <f>IF(AND('Loan Tape (S&amp;P)'!U7988="Yes",
        'Loan Tape (S&amp;P)'!T7988&lt;&gt;"Yes",
        DATEDIF('Loan Tape (S&amp;P)'!K7988, TODAY(), "M")&lt;18),
    1.10,
    1.00)</f>
        <v/>
      </c>
      <c r="O7988">
        <f>IF('Loan Tape (S&amp;P)'!T7988="Yes",
    1.35,
    1.00)</f>
        <v/>
      </c>
      <c r="P7988">
        <f>IF('Loan Tape (S&amp;P)'!S7988="Yes",
    1.15,
    1.00)</f>
        <v/>
      </c>
      <c r="Q7988">
        <f>IF('Loan Tape (S&amp;P)'!V7988="Yes",
    1.20,
    1.00)</f>
        <v/>
      </c>
      <c r="T7988">
        <f>LET(
    payment_method,'Loan Tape (S&amp;P)'!P7988,
    occupancy,'Loan Tape (S&amp;P)'!N7988,
    maturity_date,'Loan Tape (S&amp;P)'!L7988,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89">
      <c r="J7989">
        <f>LET(
    lien,'Loan Tape (S&amp;P)'!Q7989,
    IF(lien="First",1.00,
        IF(lien="Second",1.50,
            1.70)))</f>
        <v/>
      </c>
      <c r="K7989">
        <f>LET(
    purpose,'Loan Tape (S&amp;P)'!R7989,
    IF(purpose="Purchase",1.00,
        IF(purpose="Remortgage",1.00,
            1.20)))</f>
        <v/>
      </c>
      <c r="L7989">
        <f>LET(
    arrears_months,'Loan Tape (S&amp;P)'!AN7989,
    IF(arrears_months=0,1.00,
    IF(arrears_months=1,3.00,
    IF(arrears_months=2,5.00,
    IF(arrears_months=3,8.00,
    IF(arrears_months=4,10.00,
    IF(arrears_months=5,12.00,15.00)))))))</f>
        <v/>
      </c>
      <c r="M7989">
        <f>LET(
    seasoning_years,DATEDIF('Loan Tape (S&amp;P)'!K7989,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89">
        <f>IF(AND('Loan Tape (S&amp;P)'!U7989="Yes",
        'Loan Tape (S&amp;P)'!T7989&lt;&gt;"Yes",
        DATEDIF('Loan Tape (S&amp;P)'!K7989, TODAY(), "M")&lt;18),
    1.10,
    1.00)</f>
        <v/>
      </c>
      <c r="O7989">
        <f>IF('Loan Tape (S&amp;P)'!T7989="Yes",
    1.35,
    1.00)</f>
        <v/>
      </c>
      <c r="P7989">
        <f>IF('Loan Tape (S&amp;P)'!S7989="Yes",
    1.15,
    1.00)</f>
        <v/>
      </c>
      <c r="Q7989">
        <f>IF('Loan Tape (S&amp;P)'!V7989="Yes",
    1.20,
    1.00)</f>
        <v/>
      </c>
      <c r="T7989">
        <f>LET(
    payment_method,'Loan Tape (S&amp;P)'!P7989,
    occupancy,'Loan Tape (S&amp;P)'!N7989,
    maturity_date,'Loan Tape (S&amp;P)'!L7989,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90">
      <c r="J7990">
        <f>LET(
    lien,'Loan Tape (S&amp;P)'!Q7990,
    IF(lien="First",1.00,
        IF(lien="Second",1.50,
            1.70)))</f>
        <v/>
      </c>
      <c r="K7990">
        <f>LET(
    purpose,'Loan Tape (S&amp;P)'!R7990,
    IF(purpose="Purchase",1.00,
        IF(purpose="Remortgage",1.00,
            1.20)))</f>
        <v/>
      </c>
      <c r="L7990">
        <f>LET(
    arrears_months,'Loan Tape (S&amp;P)'!AN7990,
    IF(arrears_months=0,1.00,
    IF(arrears_months=1,3.00,
    IF(arrears_months=2,5.00,
    IF(arrears_months=3,8.00,
    IF(arrears_months=4,10.00,
    IF(arrears_months=5,12.00,15.00)))))))</f>
        <v/>
      </c>
      <c r="M7990">
        <f>LET(
    seasoning_years,DATEDIF('Loan Tape (S&amp;P)'!K7990,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90">
        <f>IF(AND('Loan Tape (S&amp;P)'!U7990="Yes",
        'Loan Tape (S&amp;P)'!T7990&lt;&gt;"Yes",
        DATEDIF('Loan Tape (S&amp;P)'!K7990, TODAY(), "M")&lt;18),
    1.10,
    1.00)</f>
        <v/>
      </c>
      <c r="O7990">
        <f>IF('Loan Tape (S&amp;P)'!T7990="Yes",
    1.35,
    1.00)</f>
        <v/>
      </c>
      <c r="P7990">
        <f>IF('Loan Tape (S&amp;P)'!S7990="Yes",
    1.15,
    1.00)</f>
        <v/>
      </c>
      <c r="Q7990">
        <f>IF('Loan Tape (S&amp;P)'!V7990="Yes",
    1.20,
    1.00)</f>
        <v/>
      </c>
      <c r="T7990">
        <f>LET(
    payment_method,'Loan Tape (S&amp;P)'!P7990,
    occupancy,'Loan Tape (S&amp;P)'!N7990,
    maturity_date,'Loan Tape (S&amp;P)'!L7990,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91">
      <c r="J7991">
        <f>LET(
    lien,'Loan Tape (S&amp;P)'!Q7991,
    IF(lien="First",1.00,
        IF(lien="Second",1.50,
            1.70)))</f>
        <v/>
      </c>
      <c r="K7991">
        <f>LET(
    purpose,'Loan Tape (S&amp;P)'!R7991,
    IF(purpose="Purchase",1.00,
        IF(purpose="Remortgage",1.00,
            1.20)))</f>
        <v/>
      </c>
      <c r="L7991">
        <f>LET(
    arrears_months,'Loan Tape (S&amp;P)'!AN7991,
    IF(arrears_months=0,1.00,
    IF(arrears_months=1,3.00,
    IF(arrears_months=2,5.00,
    IF(arrears_months=3,8.00,
    IF(arrears_months=4,10.00,
    IF(arrears_months=5,12.00,15.00)))))))</f>
        <v/>
      </c>
      <c r="M7991">
        <f>LET(
    seasoning_years,DATEDIF('Loan Tape (S&amp;P)'!K7991,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91">
        <f>IF(AND('Loan Tape (S&amp;P)'!U7991="Yes",
        'Loan Tape (S&amp;P)'!T7991&lt;&gt;"Yes",
        DATEDIF('Loan Tape (S&amp;P)'!K7991, TODAY(), "M")&lt;18),
    1.10,
    1.00)</f>
        <v/>
      </c>
      <c r="O7991">
        <f>IF('Loan Tape (S&amp;P)'!T7991="Yes",
    1.35,
    1.00)</f>
        <v/>
      </c>
      <c r="P7991">
        <f>IF('Loan Tape (S&amp;P)'!S7991="Yes",
    1.15,
    1.00)</f>
        <v/>
      </c>
      <c r="Q7991">
        <f>IF('Loan Tape (S&amp;P)'!V7991="Yes",
    1.20,
    1.00)</f>
        <v/>
      </c>
      <c r="T7991">
        <f>LET(
    payment_method,'Loan Tape (S&amp;P)'!P7991,
    occupancy,'Loan Tape (S&amp;P)'!N7991,
    maturity_date,'Loan Tape (S&amp;P)'!L7991,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92">
      <c r="J7992">
        <f>LET(
    lien,'Loan Tape (S&amp;P)'!Q7992,
    IF(lien="First",1.00,
        IF(lien="Second",1.50,
            1.70)))</f>
        <v/>
      </c>
      <c r="K7992">
        <f>LET(
    purpose,'Loan Tape (S&amp;P)'!R7992,
    IF(purpose="Purchase",1.00,
        IF(purpose="Remortgage",1.00,
            1.20)))</f>
        <v/>
      </c>
      <c r="L7992">
        <f>LET(
    arrears_months,'Loan Tape (S&amp;P)'!AN7992,
    IF(arrears_months=0,1.00,
    IF(arrears_months=1,3.00,
    IF(arrears_months=2,5.00,
    IF(arrears_months=3,8.00,
    IF(arrears_months=4,10.00,
    IF(arrears_months=5,12.00,15.00)))))))</f>
        <v/>
      </c>
      <c r="M7992">
        <f>LET(
    seasoning_years,DATEDIF('Loan Tape (S&amp;P)'!K7992,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92">
        <f>IF(AND('Loan Tape (S&amp;P)'!U7992="Yes",
        'Loan Tape (S&amp;P)'!T7992&lt;&gt;"Yes",
        DATEDIF('Loan Tape (S&amp;P)'!K7992, TODAY(), "M")&lt;18),
    1.10,
    1.00)</f>
        <v/>
      </c>
      <c r="O7992">
        <f>IF('Loan Tape (S&amp;P)'!T7992="Yes",
    1.35,
    1.00)</f>
        <v/>
      </c>
      <c r="P7992">
        <f>IF('Loan Tape (S&amp;P)'!S7992="Yes",
    1.15,
    1.00)</f>
        <v/>
      </c>
      <c r="Q7992">
        <f>IF('Loan Tape (S&amp;P)'!V7992="Yes",
    1.20,
    1.00)</f>
        <v/>
      </c>
      <c r="T7992">
        <f>LET(
    payment_method,'Loan Tape (S&amp;P)'!P7992,
    occupancy,'Loan Tape (S&amp;P)'!N7992,
    maturity_date,'Loan Tape (S&amp;P)'!L7992,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93">
      <c r="J7993">
        <f>LET(
    lien,'Loan Tape (S&amp;P)'!Q7993,
    IF(lien="First",1.00,
        IF(lien="Second",1.50,
            1.70)))</f>
        <v/>
      </c>
      <c r="K7993">
        <f>LET(
    purpose,'Loan Tape (S&amp;P)'!R7993,
    IF(purpose="Purchase",1.00,
        IF(purpose="Remortgage",1.00,
            1.20)))</f>
        <v/>
      </c>
      <c r="L7993">
        <f>LET(
    arrears_months,'Loan Tape (S&amp;P)'!AN7993,
    IF(arrears_months=0,1.00,
    IF(arrears_months=1,3.00,
    IF(arrears_months=2,5.00,
    IF(arrears_months=3,8.00,
    IF(arrears_months=4,10.00,
    IF(arrears_months=5,12.00,15.00)))))))</f>
        <v/>
      </c>
      <c r="M7993">
        <f>LET(
    seasoning_years,DATEDIF('Loan Tape (S&amp;P)'!K7993,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93">
        <f>IF(AND('Loan Tape (S&amp;P)'!U7993="Yes",
        'Loan Tape (S&amp;P)'!T7993&lt;&gt;"Yes",
        DATEDIF('Loan Tape (S&amp;P)'!K7993, TODAY(), "M")&lt;18),
    1.10,
    1.00)</f>
        <v/>
      </c>
      <c r="O7993">
        <f>IF('Loan Tape (S&amp;P)'!T7993="Yes",
    1.35,
    1.00)</f>
        <v/>
      </c>
      <c r="P7993">
        <f>IF('Loan Tape (S&amp;P)'!S7993="Yes",
    1.15,
    1.00)</f>
        <v/>
      </c>
      <c r="Q7993">
        <f>IF('Loan Tape (S&amp;P)'!V7993="Yes",
    1.20,
    1.00)</f>
        <v/>
      </c>
      <c r="T7993">
        <f>LET(
    payment_method,'Loan Tape (S&amp;P)'!P7993,
    occupancy,'Loan Tape (S&amp;P)'!N7993,
    maturity_date,'Loan Tape (S&amp;P)'!L7993,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94">
      <c r="J7994">
        <f>LET(
    lien,'Loan Tape (S&amp;P)'!Q7994,
    IF(lien="First",1.00,
        IF(lien="Second",1.50,
            1.70)))</f>
        <v/>
      </c>
      <c r="K7994">
        <f>LET(
    purpose,'Loan Tape (S&amp;P)'!R7994,
    IF(purpose="Purchase",1.00,
        IF(purpose="Remortgage",1.00,
            1.20)))</f>
        <v/>
      </c>
      <c r="L7994">
        <f>LET(
    arrears_months,'Loan Tape (S&amp;P)'!AN7994,
    IF(arrears_months=0,1.00,
    IF(arrears_months=1,3.00,
    IF(arrears_months=2,5.00,
    IF(arrears_months=3,8.00,
    IF(arrears_months=4,10.00,
    IF(arrears_months=5,12.00,15.00)))))))</f>
        <v/>
      </c>
      <c r="M7994">
        <f>LET(
    seasoning_years,DATEDIF('Loan Tape (S&amp;P)'!K7994,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94">
        <f>IF(AND('Loan Tape (S&amp;P)'!U7994="Yes",
        'Loan Tape (S&amp;P)'!T7994&lt;&gt;"Yes",
        DATEDIF('Loan Tape (S&amp;P)'!K7994, TODAY(), "M")&lt;18),
    1.10,
    1.00)</f>
        <v/>
      </c>
      <c r="O7994">
        <f>IF('Loan Tape (S&amp;P)'!T7994="Yes",
    1.35,
    1.00)</f>
        <v/>
      </c>
      <c r="P7994">
        <f>IF('Loan Tape (S&amp;P)'!S7994="Yes",
    1.15,
    1.00)</f>
        <v/>
      </c>
      <c r="Q7994">
        <f>IF('Loan Tape (S&amp;P)'!V7994="Yes",
    1.20,
    1.00)</f>
        <v/>
      </c>
      <c r="T7994">
        <f>LET(
    payment_method,'Loan Tape (S&amp;P)'!P7994,
    occupancy,'Loan Tape (S&amp;P)'!N7994,
    maturity_date,'Loan Tape (S&amp;P)'!L7994,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95">
      <c r="J7995">
        <f>LET(
    lien,'Loan Tape (S&amp;P)'!Q7995,
    IF(lien="First",1.00,
        IF(lien="Second",1.50,
            1.70)))</f>
        <v/>
      </c>
      <c r="K7995">
        <f>LET(
    purpose,'Loan Tape (S&amp;P)'!R7995,
    IF(purpose="Purchase",1.00,
        IF(purpose="Remortgage",1.00,
            1.20)))</f>
        <v/>
      </c>
      <c r="L7995">
        <f>LET(
    arrears_months,'Loan Tape (S&amp;P)'!AN7995,
    IF(arrears_months=0,1.00,
    IF(arrears_months=1,3.00,
    IF(arrears_months=2,5.00,
    IF(arrears_months=3,8.00,
    IF(arrears_months=4,10.00,
    IF(arrears_months=5,12.00,15.00)))))))</f>
        <v/>
      </c>
      <c r="M7995">
        <f>LET(
    seasoning_years,DATEDIF('Loan Tape (S&amp;P)'!K7995,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95">
        <f>IF(AND('Loan Tape (S&amp;P)'!U7995="Yes",
        'Loan Tape (S&amp;P)'!T7995&lt;&gt;"Yes",
        DATEDIF('Loan Tape (S&amp;P)'!K7995, TODAY(), "M")&lt;18),
    1.10,
    1.00)</f>
        <v/>
      </c>
      <c r="O7995">
        <f>IF('Loan Tape (S&amp;P)'!T7995="Yes",
    1.35,
    1.00)</f>
        <v/>
      </c>
      <c r="P7995">
        <f>IF('Loan Tape (S&amp;P)'!S7995="Yes",
    1.15,
    1.00)</f>
        <v/>
      </c>
      <c r="Q7995">
        <f>IF('Loan Tape (S&amp;P)'!V7995="Yes",
    1.20,
    1.00)</f>
        <v/>
      </c>
      <c r="T7995">
        <f>LET(
    payment_method,'Loan Tape (S&amp;P)'!P7995,
    occupancy,'Loan Tape (S&amp;P)'!N7995,
    maturity_date,'Loan Tape (S&amp;P)'!L7995,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96">
      <c r="J7996">
        <f>LET(
    lien,'Loan Tape (S&amp;P)'!Q7996,
    IF(lien="First",1.00,
        IF(lien="Second",1.50,
            1.70)))</f>
        <v/>
      </c>
      <c r="K7996">
        <f>LET(
    purpose,'Loan Tape (S&amp;P)'!R7996,
    IF(purpose="Purchase",1.00,
        IF(purpose="Remortgage",1.00,
            1.20)))</f>
        <v/>
      </c>
      <c r="L7996">
        <f>LET(
    arrears_months,'Loan Tape (S&amp;P)'!AN7996,
    IF(arrears_months=0,1.00,
    IF(arrears_months=1,3.00,
    IF(arrears_months=2,5.00,
    IF(arrears_months=3,8.00,
    IF(arrears_months=4,10.00,
    IF(arrears_months=5,12.00,15.00)))))))</f>
        <v/>
      </c>
      <c r="M7996">
        <f>LET(
    seasoning_years,DATEDIF('Loan Tape (S&amp;P)'!K7996,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96">
        <f>IF(AND('Loan Tape (S&amp;P)'!U7996="Yes",
        'Loan Tape (S&amp;P)'!T7996&lt;&gt;"Yes",
        DATEDIF('Loan Tape (S&amp;P)'!K7996, TODAY(), "M")&lt;18),
    1.10,
    1.00)</f>
        <v/>
      </c>
      <c r="O7996">
        <f>IF('Loan Tape (S&amp;P)'!T7996="Yes",
    1.35,
    1.00)</f>
        <v/>
      </c>
      <c r="P7996">
        <f>IF('Loan Tape (S&amp;P)'!S7996="Yes",
    1.15,
    1.00)</f>
        <v/>
      </c>
      <c r="Q7996">
        <f>IF('Loan Tape (S&amp;P)'!V7996="Yes",
    1.20,
    1.00)</f>
        <v/>
      </c>
      <c r="T7996">
        <f>LET(
    payment_method,'Loan Tape (S&amp;P)'!P7996,
    occupancy,'Loan Tape (S&amp;P)'!N7996,
    maturity_date,'Loan Tape (S&amp;P)'!L7996,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97">
      <c r="J7997">
        <f>LET(
    lien,'Loan Tape (S&amp;P)'!Q7997,
    IF(lien="First",1.00,
        IF(lien="Second",1.50,
            1.70)))</f>
        <v/>
      </c>
      <c r="K7997">
        <f>LET(
    purpose,'Loan Tape (S&amp;P)'!R7997,
    IF(purpose="Purchase",1.00,
        IF(purpose="Remortgage",1.00,
            1.20)))</f>
        <v/>
      </c>
      <c r="L7997">
        <f>LET(
    arrears_months,'Loan Tape (S&amp;P)'!AN7997,
    IF(arrears_months=0,1.00,
    IF(arrears_months=1,3.00,
    IF(arrears_months=2,5.00,
    IF(arrears_months=3,8.00,
    IF(arrears_months=4,10.00,
    IF(arrears_months=5,12.00,15.00)))))))</f>
        <v/>
      </c>
      <c r="M7997">
        <f>LET(
    seasoning_years,DATEDIF('Loan Tape (S&amp;P)'!K7997,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97">
        <f>IF(AND('Loan Tape (S&amp;P)'!U7997="Yes",
        'Loan Tape (S&amp;P)'!T7997&lt;&gt;"Yes",
        DATEDIF('Loan Tape (S&amp;P)'!K7997, TODAY(), "M")&lt;18),
    1.10,
    1.00)</f>
        <v/>
      </c>
      <c r="O7997">
        <f>IF('Loan Tape (S&amp;P)'!T7997="Yes",
    1.35,
    1.00)</f>
        <v/>
      </c>
      <c r="P7997">
        <f>IF('Loan Tape (S&amp;P)'!S7997="Yes",
    1.15,
    1.00)</f>
        <v/>
      </c>
      <c r="Q7997">
        <f>IF('Loan Tape (S&amp;P)'!V7997="Yes",
    1.20,
    1.00)</f>
        <v/>
      </c>
      <c r="T7997">
        <f>LET(
    payment_method,'Loan Tape (S&amp;P)'!P7997,
    occupancy,'Loan Tape (S&amp;P)'!N7997,
    maturity_date,'Loan Tape (S&amp;P)'!L7997,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98">
      <c r="J7998">
        <f>LET(
    lien,'Loan Tape (S&amp;P)'!Q7998,
    IF(lien="First",1.00,
        IF(lien="Second",1.50,
            1.70)))</f>
        <v/>
      </c>
      <c r="K7998">
        <f>LET(
    purpose,'Loan Tape (S&amp;P)'!R7998,
    IF(purpose="Purchase",1.00,
        IF(purpose="Remortgage",1.00,
            1.20)))</f>
        <v/>
      </c>
      <c r="L7998">
        <f>LET(
    arrears_months,'Loan Tape (S&amp;P)'!AN7998,
    IF(arrears_months=0,1.00,
    IF(arrears_months=1,3.00,
    IF(arrears_months=2,5.00,
    IF(arrears_months=3,8.00,
    IF(arrears_months=4,10.00,
    IF(arrears_months=5,12.00,15.00)))))))</f>
        <v/>
      </c>
      <c r="M7998">
        <f>LET(
    seasoning_years,DATEDIF('Loan Tape (S&amp;P)'!K7998,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98">
        <f>IF(AND('Loan Tape (S&amp;P)'!U7998="Yes",
        'Loan Tape (S&amp;P)'!T7998&lt;&gt;"Yes",
        DATEDIF('Loan Tape (S&amp;P)'!K7998, TODAY(), "M")&lt;18),
    1.10,
    1.00)</f>
        <v/>
      </c>
      <c r="O7998">
        <f>IF('Loan Tape (S&amp;P)'!T7998="Yes",
    1.35,
    1.00)</f>
        <v/>
      </c>
      <c r="P7998">
        <f>IF('Loan Tape (S&amp;P)'!S7998="Yes",
    1.15,
    1.00)</f>
        <v/>
      </c>
      <c r="Q7998">
        <f>IF('Loan Tape (S&amp;P)'!V7998="Yes",
    1.20,
    1.00)</f>
        <v/>
      </c>
      <c r="T7998">
        <f>LET(
    payment_method,'Loan Tape (S&amp;P)'!P7998,
    occupancy,'Loan Tape (S&amp;P)'!N7998,
    maturity_date,'Loan Tape (S&amp;P)'!L7998,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7999">
      <c r="J7999">
        <f>LET(
    lien,'Loan Tape (S&amp;P)'!Q7999,
    IF(lien="First",1.00,
        IF(lien="Second",1.50,
            1.70)))</f>
        <v/>
      </c>
      <c r="K7999">
        <f>LET(
    purpose,'Loan Tape (S&amp;P)'!R7999,
    IF(purpose="Purchase",1.00,
        IF(purpose="Remortgage",1.00,
            1.20)))</f>
        <v/>
      </c>
      <c r="L7999">
        <f>LET(
    arrears_months,'Loan Tape (S&amp;P)'!AN7999,
    IF(arrears_months=0,1.00,
    IF(arrears_months=1,3.00,
    IF(arrears_months=2,5.00,
    IF(arrears_months=3,8.00,
    IF(arrears_months=4,10.00,
    IF(arrears_months=5,12.00,15.00)))))))</f>
        <v/>
      </c>
      <c r="M7999">
        <f>LET(
    seasoning_years,DATEDIF('Loan Tape (S&amp;P)'!K7999,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7999">
        <f>IF(AND('Loan Tape (S&amp;P)'!U7999="Yes",
        'Loan Tape (S&amp;P)'!T7999&lt;&gt;"Yes",
        DATEDIF('Loan Tape (S&amp;P)'!K7999, TODAY(), "M")&lt;18),
    1.10,
    1.00)</f>
        <v/>
      </c>
      <c r="O7999">
        <f>IF('Loan Tape (S&amp;P)'!T7999="Yes",
    1.35,
    1.00)</f>
        <v/>
      </c>
      <c r="P7999">
        <f>IF('Loan Tape (S&amp;P)'!S7999="Yes",
    1.15,
    1.00)</f>
        <v/>
      </c>
      <c r="Q7999">
        <f>IF('Loan Tape (S&amp;P)'!V7999="Yes",
    1.20,
    1.00)</f>
        <v/>
      </c>
      <c r="T7999">
        <f>LET(
    payment_method,'Loan Tape (S&amp;P)'!P7999,
    occupancy,'Loan Tape (S&amp;P)'!N7999,
    maturity_date,'Loan Tape (S&amp;P)'!L7999,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00">
      <c r="J8000">
        <f>LET(
    lien,'Loan Tape (S&amp;P)'!Q8000,
    IF(lien="First",1.00,
        IF(lien="Second",1.50,
            1.70)))</f>
        <v/>
      </c>
      <c r="K8000">
        <f>LET(
    purpose,'Loan Tape (S&amp;P)'!R8000,
    IF(purpose="Purchase",1.00,
        IF(purpose="Remortgage",1.00,
            1.20)))</f>
        <v/>
      </c>
      <c r="L8000">
        <f>LET(
    arrears_months,'Loan Tape (S&amp;P)'!AN8000,
    IF(arrears_months=0,1.00,
    IF(arrears_months=1,3.00,
    IF(arrears_months=2,5.00,
    IF(arrears_months=3,8.00,
    IF(arrears_months=4,10.00,
    IF(arrears_months=5,12.00,15.00)))))))</f>
        <v/>
      </c>
      <c r="M8000">
        <f>LET(
    seasoning_years,DATEDIF('Loan Tape (S&amp;P)'!K8000,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00">
        <f>IF(AND('Loan Tape (S&amp;P)'!U8000="Yes",
        'Loan Tape (S&amp;P)'!T8000&lt;&gt;"Yes",
        DATEDIF('Loan Tape (S&amp;P)'!K8000, TODAY(), "M")&lt;18),
    1.10,
    1.00)</f>
        <v/>
      </c>
      <c r="O8000">
        <f>IF('Loan Tape (S&amp;P)'!T8000="Yes",
    1.35,
    1.00)</f>
        <v/>
      </c>
      <c r="P8000">
        <f>IF('Loan Tape (S&amp;P)'!S8000="Yes",
    1.15,
    1.00)</f>
        <v/>
      </c>
      <c r="Q8000">
        <f>IF('Loan Tape (S&amp;P)'!V8000="Yes",
    1.20,
    1.00)</f>
        <v/>
      </c>
      <c r="T8000">
        <f>LET(
    payment_method,'Loan Tape (S&amp;P)'!P8000,
    occupancy,'Loan Tape (S&amp;P)'!N8000,
    maturity_date,'Loan Tape (S&amp;P)'!L8000,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01">
      <c r="J8001">
        <f>LET(
    lien,'Loan Tape (S&amp;P)'!Q8001,
    IF(lien="First",1.00,
        IF(lien="Second",1.50,
            1.70)))</f>
        <v/>
      </c>
      <c r="K8001">
        <f>LET(
    purpose,'Loan Tape (S&amp;P)'!R8001,
    IF(purpose="Purchase",1.00,
        IF(purpose="Remortgage",1.00,
            1.20)))</f>
        <v/>
      </c>
      <c r="L8001">
        <f>LET(
    arrears_months,'Loan Tape (S&amp;P)'!AN8001,
    IF(arrears_months=0,1.00,
    IF(arrears_months=1,3.00,
    IF(arrears_months=2,5.00,
    IF(arrears_months=3,8.00,
    IF(arrears_months=4,10.00,
    IF(arrears_months=5,12.00,15.00)))))))</f>
        <v/>
      </c>
      <c r="M8001">
        <f>LET(
    seasoning_years,DATEDIF('Loan Tape (S&amp;P)'!K8001,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01">
        <f>IF(AND('Loan Tape (S&amp;P)'!U8001="Yes",
        'Loan Tape (S&amp;P)'!T8001&lt;&gt;"Yes",
        DATEDIF('Loan Tape (S&amp;P)'!K8001, TODAY(), "M")&lt;18),
    1.10,
    1.00)</f>
        <v/>
      </c>
      <c r="O8001">
        <f>IF('Loan Tape (S&amp;P)'!T8001="Yes",
    1.35,
    1.00)</f>
        <v/>
      </c>
      <c r="P8001">
        <f>IF('Loan Tape (S&amp;P)'!S8001="Yes",
    1.15,
    1.00)</f>
        <v/>
      </c>
      <c r="Q8001">
        <f>IF('Loan Tape (S&amp;P)'!V8001="Yes",
    1.20,
    1.00)</f>
        <v/>
      </c>
      <c r="T8001">
        <f>LET(
    payment_method,'Loan Tape (S&amp;P)'!P8001,
    occupancy,'Loan Tape (S&amp;P)'!N8001,
    maturity_date,'Loan Tape (S&amp;P)'!L8001,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02">
      <c r="J8002">
        <f>LET(
    lien,'Loan Tape (S&amp;P)'!Q8002,
    IF(lien="First",1.00,
        IF(lien="Second",1.50,
            1.70)))</f>
        <v/>
      </c>
      <c r="K8002">
        <f>LET(
    purpose,'Loan Tape (S&amp;P)'!R8002,
    IF(purpose="Purchase",1.00,
        IF(purpose="Remortgage",1.00,
            1.20)))</f>
        <v/>
      </c>
      <c r="L8002">
        <f>LET(
    arrears_months,'Loan Tape (S&amp;P)'!AN8002,
    IF(arrears_months=0,1.00,
    IF(arrears_months=1,3.00,
    IF(arrears_months=2,5.00,
    IF(arrears_months=3,8.00,
    IF(arrears_months=4,10.00,
    IF(arrears_months=5,12.00,15.00)))))))</f>
        <v/>
      </c>
      <c r="M8002">
        <f>LET(
    seasoning_years,DATEDIF('Loan Tape (S&amp;P)'!K8002,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02">
        <f>IF(AND('Loan Tape (S&amp;P)'!U8002="Yes",
        'Loan Tape (S&amp;P)'!T8002&lt;&gt;"Yes",
        DATEDIF('Loan Tape (S&amp;P)'!K8002, TODAY(), "M")&lt;18),
    1.10,
    1.00)</f>
        <v/>
      </c>
      <c r="O8002">
        <f>IF('Loan Tape (S&amp;P)'!T8002="Yes",
    1.35,
    1.00)</f>
        <v/>
      </c>
      <c r="P8002">
        <f>IF('Loan Tape (S&amp;P)'!S8002="Yes",
    1.15,
    1.00)</f>
        <v/>
      </c>
      <c r="Q8002">
        <f>IF('Loan Tape (S&amp;P)'!V8002="Yes",
    1.20,
    1.00)</f>
        <v/>
      </c>
      <c r="T8002">
        <f>LET(
    payment_method,'Loan Tape (S&amp;P)'!P8002,
    occupancy,'Loan Tape (S&amp;P)'!N8002,
    maturity_date,'Loan Tape (S&amp;P)'!L8002,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03">
      <c r="J8003">
        <f>LET(
    lien,'Loan Tape (S&amp;P)'!Q8003,
    IF(lien="First",1.00,
        IF(lien="Second",1.50,
            1.70)))</f>
        <v/>
      </c>
      <c r="K8003">
        <f>LET(
    purpose,'Loan Tape (S&amp;P)'!R8003,
    IF(purpose="Purchase",1.00,
        IF(purpose="Remortgage",1.00,
            1.20)))</f>
        <v/>
      </c>
      <c r="L8003">
        <f>LET(
    arrears_months,'Loan Tape (S&amp;P)'!AN8003,
    IF(arrears_months=0,1.00,
    IF(arrears_months=1,3.00,
    IF(arrears_months=2,5.00,
    IF(arrears_months=3,8.00,
    IF(arrears_months=4,10.00,
    IF(arrears_months=5,12.00,15.00)))))))</f>
        <v/>
      </c>
      <c r="M8003">
        <f>LET(
    seasoning_years,DATEDIF('Loan Tape (S&amp;P)'!K8003,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03">
        <f>IF(AND('Loan Tape (S&amp;P)'!U8003="Yes",
        'Loan Tape (S&amp;P)'!T8003&lt;&gt;"Yes",
        DATEDIF('Loan Tape (S&amp;P)'!K8003, TODAY(), "M")&lt;18),
    1.10,
    1.00)</f>
        <v/>
      </c>
      <c r="O8003">
        <f>IF('Loan Tape (S&amp;P)'!T8003="Yes",
    1.35,
    1.00)</f>
        <v/>
      </c>
      <c r="P8003">
        <f>IF('Loan Tape (S&amp;P)'!S8003="Yes",
    1.15,
    1.00)</f>
        <v/>
      </c>
      <c r="Q8003">
        <f>IF('Loan Tape (S&amp;P)'!V8003="Yes",
    1.20,
    1.00)</f>
        <v/>
      </c>
      <c r="T8003">
        <f>LET(
    payment_method,'Loan Tape (S&amp;P)'!P8003,
    occupancy,'Loan Tape (S&amp;P)'!N8003,
    maturity_date,'Loan Tape (S&amp;P)'!L8003,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04">
      <c r="J8004">
        <f>LET(
    lien,'Loan Tape (S&amp;P)'!Q8004,
    IF(lien="First",1.00,
        IF(lien="Second",1.50,
            1.70)))</f>
        <v/>
      </c>
      <c r="K8004">
        <f>LET(
    purpose,'Loan Tape (S&amp;P)'!R8004,
    IF(purpose="Purchase",1.00,
        IF(purpose="Remortgage",1.00,
            1.20)))</f>
        <v/>
      </c>
      <c r="L8004">
        <f>LET(
    arrears_months,'Loan Tape (S&amp;P)'!AN8004,
    IF(arrears_months=0,1.00,
    IF(arrears_months=1,3.00,
    IF(arrears_months=2,5.00,
    IF(arrears_months=3,8.00,
    IF(arrears_months=4,10.00,
    IF(arrears_months=5,12.00,15.00)))))))</f>
        <v/>
      </c>
      <c r="M8004">
        <f>LET(
    seasoning_years,DATEDIF('Loan Tape (S&amp;P)'!K8004,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04">
        <f>IF(AND('Loan Tape (S&amp;P)'!U8004="Yes",
        'Loan Tape (S&amp;P)'!T8004&lt;&gt;"Yes",
        DATEDIF('Loan Tape (S&amp;P)'!K8004, TODAY(), "M")&lt;18),
    1.10,
    1.00)</f>
        <v/>
      </c>
      <c r="O8004">
        <f>IF('Loan Tape (S&amp;P)'!T8004="Yes",
    1.35,
    1.00)</f>
        <v/>
      </c>
      <c r="P8004">
        <f>IF('Loan Tape (S&amp;P)'!S8004="Yes",
    1.15,
    1.00)</f>
        <v/>
      </c>
      <c r="Q8004">
        <f>IF('Loan Tape (S&amp;P)'!V8004="Yes",
    1.20,
    1.00)</f>
        <v/>
      </c>
      <c r="T8004">
        <f>LET(
    payment_method,'Loan Tape (S&amp;P)'!P8004,
    occupancy,'Loan Tape (S&amp;P)'!N8004,
    maturity_date,'Loan Tape (S&amp;P)'!L8004,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05">
      <c r="J8005">
        <f>LET(
    lien,'Loan Tape (S&amp;P)'!Q8005,
    IF(lien="First",1.00,
        IF(lien="Second",1.50,
            1.70)))</f>
        <v/>
      </c>
      <c r="K8005">
        <f>LET(
    purpose,'Loan Tape (S&amp;P)'!R8005,
    IF(purpose="Purchase",1.00,
        IF(purpose="Remortgage",1.00,
            1.20)))</f>
        <v/>
      </c>
      <c r="L8005">
        <f>LET(
    arrears_months,'Loan Tape (S&amp;P)'!AN8005,
    IF(arrears_months=0,1.00,
    IF(arrears_months=1,3.00,
    IF(arrears_months=2,5.00,
    IF(arrears_months=3,8.00,
    IF(arrears_months=4,10.00,
    IF(arrears_months=5,12.00,15.00)))))))</f>
        <v/>
      </c>
      <c r="M8005">
        <f>LET(
    seasoning_years,DATEDIF('Loan Tape (S&amp;P)'!K8005,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05">
        <f>IF(AND('Loan Tape (S&amp;P)'!U8005="Yes",
        'Loan Tape (S&amp;P)'!T8005&lt;&gt;"Yes",
        DATEDIF('Loan Tape (S&amp;P)'!K8005, TODAY(), "M")&lt;18),
    1.10,
    1.00)</f>
        <v/>
      </c>
      <c r="O8005">
        <f>IF('Loan Tape (S&amp;P)'!T8005="Yes",
    1.35,
    1.00)</f>
        <v/>
      </c>
      <c r="P8005">
        <f>IF('Loan Tape (S&amp;P)'!S8005="Yes",
    1.15,
    1.00)</f>
        <v/>
      </c>
      <c r="Q8005">
        <f>IF('Loan Tape (S&amp;P)'!V8005="Yes",
    1.20,
    1.00)</f>
        <v/>
      </c>
      <c r="T8005">
        <f>LET(
    payment_method,'Loan Tape (S&amp;P)'!P8005,
    occupancy,'Loan Tape (S&amp;P)'!N8005,
    maturity_date,'Loan Tape (S&amp;P)'!L8005,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06">
      <c r="J8006">
        <f>LET(
    lien,'Loan Tape (S&amp;P)'!Q8006,
    IF(lien="First",1.00,
        IF(lien="Second",1.50,
            1.70)))</f>
        <v/>
      </c>
      <c r="K8006">
        <f>LET(
    purpose,'Loan Tape (S&amp;P)'!R8006,
    IF(purpose="Purchase",1.00,
        IF(purpose="Remortgage",1.00,
            1.20)))</f>
        <v/>
      </c>
      <c r="L8006">
        <f>LET(
    arrears_months,'Loan Tape (S&amp;P)'!AN8006,
    IF(arrears_months=0,1.00,
    IF(arrears_months=1,3.00,
    IF(arrears_months=2,5.00,
    IF(arrears_months=3,8.00,
    IF(arrears_months=4,10.00,
    IF(arrears_months=5,12.00,15.00)))))))</f>
        <v/>
      </c>
      <c r="M8006">
        <f>LET(
    seasoning_years,DATEDIF('Loan Tape (S&amp;P)'!K8006,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06">
        <f>IF(AND('Loan Tape (S&amp;P)'!U8006="Yes",
        'Loan Tape (S&amp;P)'!T8006&lt;&gt;"Yes",
        DATEDIF('Loan Tape (S&amp;P)'!K8006, TODAY(), "M")&lt;18),
    1.10,
    1.00)</f>
        <v/>
      </c>
      <c r="O8006">
        <f>IF('Loan Tape (S&amp;P)'!T8006="Yes",
    1.35,
    1.00)</f>
        <v/>
      </c>
      <c r="P8006">
        <f>IF('Loan Tape (S&amp;P)'!S8006="Yes",
    1.15,
    1.00)</f>
        <v/>
      </c>
      <c r="Q8006">
        <f>IF('Loan Tape (S&amp;P)'!V8006="Yes",
    1.20,
    1.00)</f>
        <v/>
      </c>
      <c r="T8006">
        <f>LET(
    payment_method,'Loan Tape (S&amp;P)'!P8006,
    occupancy,'Loan Tape (S&amp;P)'!N8006,
    maturity_date,'Loan Tape (S&amp;P)'!L8006,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07">
      <c r="J8007">
        <f>LET(
    lien,'Loan Tape (S&amp;P)'!Q8007,
    IF(lien="First",1.00,
        IF(lien="Second",1.50,
            1.70)))</f>
        <v/>
      </c>
      <c r="K8007">
        <f>LET(
    purpose,'Loan Tape (S&amp;P)'!R8007,
    IF(purpose="Purchase",1.00,
        IF(purpose="Remortgage",1.00,
            1.20)))</f>
        <v/>
      </c>
      <c r="L8007">
        <f>LET(
    arrears_months,'Loan Tape (S&amp;P)'!AN8007,
    IF(arrears_months=0,1.00,
    IF(arrears_months=1,3.00,
    IF(arrears_months=2,5.00,
    IF(arrears_months=3,8.00,
    IF(arrears_months=4,10.00,
    IF(arrears_months=5,12.00,15.00)))))))</f>
        <v/>
      </c>
      <c r="M8007">
        <f>LET(
    seasoning_years,DATEDIF('Loan Tape (S&amp;P)'!K8007,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07">
        <f>IF(AND('Loan Tape (S&amp;P)'!U8007="Yes",
        'Loan Tape (S&amp;P)'!T8007&lt;&gt;"Yes",
        DATEDIF('Loan Tape (S&amp;P)'!K8007, TODAY(), "M")&lt;18),
    1.10,
    1.00)</f>
        <v/>
      </c>
      <c r="O8007">
        <f>IF('Loan Tape (S&amp;P)'!T8007="Yes",
    1.35,
    1.00)</f>
        <v/>
      </c>
      <c r="P8007">
        <f>IF('Loan Tape (S&amp;P)'!S8007="Yes",
    1.15,
    1.00)</f>
        <v/>
      </c>
      <c r="Q8007">
        <f>IF('Loan Tape (S&amp;P)'!V8007="Yes",
    1.20,
    1.00)</f>
        <v/>
      </c>
      <c r="T8007">
        <f>LET(
    payment_method,'Loan Tape (S&amp;P)'!P8007,
    occupancy,'Loan Tape (S&amp;P)'!N8007,
    maturity_date,'Loan Tape (S&amp;P)'!L8007,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08">
      <c r="J8008">
        <f>LET(
    lien,'Loan Tape (S&amp;P)'!Q8008,
    IF(lien="First",1.00,
        IF(lien="Second",1.50,
            1.70)))</f>
        <v/>
      </c>
      <c r="K8008">
        <f>LET(
    purpose,'Loan Tape (S&amp;P)'!R8008,
    IF(purpose="Purchase",1.00,
        IF(purpose="Remortgage",1.00,
            1.20)))</f>
        <v/>
      </c>
      <c r="L8008">
        <f>LET(
    arrears_months,'Loan Tape (S&amp;P)'!AN8008,
    IF(arrears_months=0,1.00,
    IF(arrears_months=1,3.00,
    IF(arrears_months=2,5.00,
    IF(arrears_months=3,8.00,
    IF(arrears_months=4,10.00,
    IF(arrears_months=5,12.00,15.00)))))))</f>
        <v/>
      </c>
      <c r="M8008">
        <f>LET(
    seasoning_years,DATEDIF('Loan Tape (S&amp;P)'!K8008,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08">
        <f>IF(AND('Loan Tape (S&amp;P)'!U8008="Yes",
        'Loan Tape (S&amp;P)'!T8008&lt;&gt;"Yes",
        DATEDIF('Loan Tape (S&amp;P)'!K8008, TODAY(), "M")&lt;18),
    1.10,
    1.00)</f>
        <v/>
      </c>
      <c r="O8008">
        <f>IF('Loan Tape (S&amp;P)'!T8008="Yes",
    1.35,
    1.00)</f>
        <v/>
      </c>
      <c r="P8008">
        <f>IF('Loan Tape (S&amp;P)'!S8008="Yes",
    1.15,
    1.00)</f>
        <v/>
      </c>
      <c r="Q8008">
        <f>IF('Loan Tape (S&amp;P)'!V8008="Yes",
    1.20,
    1.00)</f>
        <v/>
      </c>
      <c r="T8008">
        <f>LET(
    payment_method,'Loan Tape (S&amp;P)'!P8008,
    occupancy,'Loan Tape (S&amp;P)'!N8008,
    maturity_date,'Loan Tape (S&amp;P)'!L8008,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09">
      <c r="J8009">
        <f>LET(
    lien,'Loan Tape (S&amp;P)'!Q8009,
    IF(lien="First",1.00,
        IF(lien="Second",1.50,
            1.70)))</f>
        <v/>
      </c>
      <c r="K8009">
        <f>LET(
    purpose,'Loan Tape (S&amp;P)'!R8009,
    IF(purpose="Purchase",1.00,
        IF(purpose="Remortgage",1.00,
            1.20)))</f>
        <v/>
      </c>
      <c r="L8009">
        <f>LET(
    arrears_months,'Loan Tape (S&amp;P)'!AN8009,
    IF(arrears_months=0,1.00,
    IF(arrears_months=1,3.00,
    IF(arrears_months=2,5.00,
    IF(arrears_months=3,8.00,
    IF(arrears_months=4,10.00,
    IF(arrears_months=5,12.00,15.00)))))))</f>
        <v/>
      </c>
      <c r="M8009">
        <f>LET(
    seasoning_years,DATEDIF('Loan Tape (S&amp;P)'!K8009,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09">
        <f>IF(AND('Loan Tape (S&amp;P)'!U8009="Yes",
        'Loan Tape (S&amp;P)'!T8009&lt;&gt;"Yes",
        DATEDIF('Loan Tape (S&amp;P)'!K8009, TODAY(), "M")&lt;18),
    1.10,
    1.00)</f>
        <v/>
      </c>
      <c r="O8009">
        <f>IF('Loan Tape (S&amp;P)'!T8009="Yes",
    1.35,
    1.00)</f>
        <v/>
      </c>
      <c r="P8009">
        <f>IF('Loan Tape (S&amp;P)'!S8009="Yes",
    1.15,
    1.00)</f>
        <v/>
      </c>
      <c r="Q8009">
        <f>IF('Loan Tape (S&amp;P)'!V8009="Yes",
    1.20,
    1.00)</f>
        <v/>
      </c>
      <c r="T8009">
        <f>LET(
    payment_method,'Loan Tape (S&amp;P)'!P8009,
    occupancy,'Loan Tape (S&amp;P)'!N8009,
    maturity_date,'Loan Tape (S&amp;P)'!L8009,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10">
      <c r="J8010">
        <f>LET(
    lien,'Loan Tape (S&amp;P)'!Q8010,
    IF(lien="First",1.00,
        IF(lien="Second",1.50,
            1.70)))</f>
        <v/>
      </c>
      <c r="K8010">
        <f>LET(
    purpose,'Loan Tape (S&amp;P)'!R8010,
    IF(purpose="Purchase",1.00,
        IF(purpose="Remortgage",1.00,
            1.20)))</f>
        <v/>
      </c>
      <c r="L8010">
        <f>LET(
    arrears_months,'Loan Tape (S&amp;P)'!AN8010,
    IF(arrears_months=0,1.00,
    IF(arrears_months=1,3.00,
    IF(arrears_months=2,5.00,
    IF(arrears_months=3,8.00,
    IF(arrears_months=4,10.00,
    IF(arrears_months=5,12.00,15.00)))))))</f>
        <v/>
      </c>
      <c r="M8010">
        <f>LET(
    seasoning_years,DATEDIF('Loan Tape (S&amp;P)'!K8010,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10">
        <f>IF(AND('Loan Tape (S&amp;P)'!U8010="Yes",
        'Loan Tape (S&amp;P)'!T8010&lt;&gt;"Yes",
        DATEDIF('Loan Tape (S&amp;P)'!K8010, TODAY(), "M")&lt;18),
    1.10,
    1.00)</f>
        <v/>
      </c>
      <c r="O8010">
        <f>IF('Loan Tape (S&amp;P)'!T8010="Yes",
    1.35,
    1.00)</f>
        <v/>
      </c>
      <c r="P8010">
        <f>IF('Loan Tape (S&amp;P)'!S8010="Yes",
    1.15,
    1.00)</f>
        <v/>
      </c>
      <c r="Q8010">
        <f>IF('Loan Tape (S&amp;P)'!V8010="Yes",
    1.20,
    1.00)</f>
        <v/>
      </c>
      <c r="T8010">
        <f>LET(
    payment_method,'Loan Tape (S&amp;P)'!P8010,
    occupancy,'Loan Tape (S&amp;P)'!N8010,
    maturity_date,'Loan Tape (S&amp;P)'!L8010,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11">
      <c r="J8011">
        <f>LET(
    lien,'Loan Tape (S&amp;P)'!Q8011,
    IF(lien="First",1.00,
        IF(lien="Second",1.50,
            1.70)))</f>
        <v/>
      </c>
      <c r="K8011">
        <f>LET(
    purpose,'Loan Tape (S&amp;P)'!R8011,
    IF(purpose="Purchase",1.00,
        IF(purpose="Remortgage",1.00,
            1.20)))</f>
        <v/>
      </c>
      <c r="L8011">
        <f>LET(
    arrears_months,'Loan Tape (S&amp;P)'!AN8011,
    IF(arrears_months=0,1.00,
    IF(arrears_months=1,3.00,
    IF(arrears_months=2,5.00,
    IF(arrears_months=3,8.00,
    IF(arrears_months=4,10.00,
    IF(arrears_months=5,12.00,15.00)))))))</f>
        <v/>
      </c>
      <c r="M8011">
        <f>LET(
    seasoning_years,DATEDIF('Loan Tape (S&amp;P)'!K8011,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11">
        <f>IF(AND('Loan Tape (S&amp;P)'!U8011="Yes",
        'Loan Tape (S&amp;P)'!T8011&lt;&gt;"Yes",
        DATEDIF('Loan Tape (S&amp;P)'!K8011, TODAY(), "M")&lt;18),
    1.10,
    1.00)</f>
        <v/>
      </c>
      <c r="O8011">
        <f>IF('Loan Tape (S&amp;P)'!T8011="Yes",
    1.35,
    1.00)</f>
        <v/>
      </c>
      <c r="P8011">
        <f>IF('Loan Tape (S&amp;P)'!S8011="Yes",
    1.15,
    1.00)</f>
        <v/>
      </c>
      <c r="Q8011">
        <f>IF('Loan Tape (S&amp;P)'!V8011="Yes",
    1.20,
    1.00)</f>
        <v/>
      </c>
      <c r="T8011">
        <f>LET(
    payment_method,'Loan Tape (S&amp;P)'!P8011,
    occupancy,'Loan Tape (S&amp;P)'!N8011,
    maturity_date,'Loan Tape (S&amp;P)'!L8011,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12">
      <c r="J8012">
        <f>LET(
    lien,'Loan Tape (S&amp;P)'!Q8012,
    IF(lien="First",1.00,
        IF(lien="Second",1.50,
            1.70)))</f>
        <v/>
      </c>
      <c r="K8012">
        <f>LET(
    purpose,'Loan Tape (S&amp;P)'!R8012,
    IF(purpose="Purchase",1.00,
        IF(purpose="Remortgage",1.00,
            1.20)))</f>
        <v/>
      </c>
      <c r="L8012">
        <f>LET(
    arrears_months,'Loan Tape (S&amp;P)'!AN8012,
    IF(arrears_months=0,1.00,
    IF(arrears_months=1,3.00,
    IF(arrears_months=2,5.00,
    IF(arrears_months=3,8.00,
    IF(arrears_months=4,10.00,
    IF(arrears_months=5,12.00,15.00)))))))</f>
        <v/>
      </c>
      <c r="M8012">
        <f>LET(
    seasoning_years,DATEDIF('Loan Tape (S&amp;P)'!K8012,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12">
        <f>IF(AND('Loan Tape (S&amp;P)'!U8012="Yes",
        'Loan Tape (S&amp;P)'!T8012&lt;&gt;"Yes",
        DATEDIF('Loan Tape (S&amp;P)'!K8012, TODAY(), "M")&lt;18),
    1.10,
    1.00)</f>
        <v/>
      </c>
      <c r="O8012">
        <f>IF('Loan Tape (S&amp;P)'!T8012="Yes",
    1.35,
    1.00)</f>
        <v/>
      </c>
      <c r="P8012">
        <f>IF('Loan Tape (S&amp;P)'!S8012="Yes",
    1.15,
    1.00)</f>
        <v/>
      </c>
      <c r="Q8012">
        <f>IF('Loan Tape (S&amp;P)'!V8012="Yes",
    1.20,
    1.00)</f>
        <v/>
      </c>
      <c r="T8012">
        <f>LET(
    payment_method,'Loan Tape (S&amp;P)'!P8012,
    occupancy,'Loan Tape (S&amp;P)'!N8012,
    maturity_date,'Loan Tape (S&amp;P)'!L8012,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13">
      <c r="J8013">
        <f>LET(
    lien,'Loan Tape (S&amp;P)'!Q8013,
    IF(lien="First",1.00,
        IF(lien="Second",1.50,
            1.70)))</f>
        <v/>
      </c>
      <c r="K8013">
        <f>LET(
    purpose,'Loan Tape (S&amp;P)'!R8013,
    IF(purpose="Purchase",1.00,
        IF(purpose="Remortgage",1.00,
            1.20)))</f>
        <v/>
      </c>
      <c r="L8013">
        <f>LET(
    arrears_months,'Loan Tape (S&amp;P)'!AN8013,
    IF(arrears_months=0,1.00,
    IF(arrears_months=1,3.00,
    IF(arrears_months=2,5.00,
    IF(arrears_months=3,8.00,
    IF(arrears_months=4,10.00,
    IF(arrears_months=5,12.00,15.00)))))))</f>
        <v/>
      </c>
      <c r="M8013">
        <f>LET(
    seasoning_years,DATEDIF('Loan Tape (S&amp;P)'!K8013,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13">
        <f>IF(AND('Loan Tape (S&amp;P)'!U8013="Yes",
        'Loan Tape (S&amp;P)'!T8013&lt;&gt;"Yes",
        DATEDIF('Loan Tape (S&amp;P)'!K8013, TODAY(), "M")&lt;18),
    1.10,
    1.00)</f>
        <v/>
      </c>
      <c r="O8013">
        <f>IF('Loan Tape (S&amp;P)'!T8013="Yes",
    1.35,
    1.00)</f>
        <v/>
      </c>
      <c r="P8013">
        <f>IF('Loan Tape (S&amp;P)'!S8013="Yes",
    1.15,
    1.00)</f>
        <v/>
      </c>
      <c r="Q8013">
        <f>IF('Loan Tape (S&amp;P)'!V8013="Yes",
    1.20,
    1.00)</f>
        <v/>
      </c>
      <c r="T8013">
        <f>LET(
    payment_method,'Loan Tape (S&amp;P)'!P8013,
    occupancy,'Loan Tape (S&amp;P)'!N8013,
    maturity_date,'Loan Tape (S&amp;P)'!L8013,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14">
      <c r="J8014">
        <f>LET(
    lien,'Loan Tape (S&amp;P)'!Q8014,
    IF(lien="First",1.00,
        IF(lien="Second",1.50,
            1.70)))</f>
        <v/>
      </c>
      <c r="K8014">
        <f>LET(
    purpose,'Loan Tape (S&amp;P)'!R8014,
    IF(purpose="Purchase",1.00,
        IF(purpose="Remortgage",1.00,
            1.20)))</f>
        <v/>
      </c>
      <c r="L8014">
        <f>LET(
    arrears_months,'Loan Tape (S&amp;P)'!AN8014,
    IF(arrears_months=0,1.00,
    IF(arrears_months=1,3.00,
    IF(arrears_months=2,5.00,
    IF(arrears_months=3,8.00,
    IF(arrears_months=4,10.00,
    IF(arrears_months=5,12.00,15.00)))))))</f>
        <v/>
      </c>
      <c r="M8014">
        <f>LET(
    seasoning_years,DATEDIF('Loan Tape (S&amp;P)'!K8014,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14">
        <f>IF(AND('Loan Tape (S&amp;P)'!U8014="Yes",
        'Loan Tape (S&amp;P)'!T8014&lt;&gt;"Yes",
        DATEDIF('Loan Tape (S&amp;P)'!K8014, TODAY(), "M")&lt;18),
    1.10,
    1.00)</f>
        <v/>
      </c>
      <c r="O8014">
        <f>IF('Loan Tape (S&amp;P)'!T8014="Yes",
    1.35,
    1.00)</f>
        <v/>
      </c>
      <c r="P8014">
        <f>IF('Loan Tape (S&amp;P)'!S8014="Yes",
    1.15,
    1.00)</f>
        <v/>
      </c>
      <c r="Q8014">
        <f>IF('Loan Tape (S&amp;P)'!V8014="Yes",
    1.20,
    1.00)</f>
        <v/>
      </c>
      <c r="T8014">
        <f>LET(
    payment_method,'Loan Tape (S&amp;P)'!P8014,
    occupancy,'Loan Tape (S&amp;P)'!N8014,
    maturity_date,'Loan Tape (S&amp;P)'!L8014,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15">
      <c r="J8015">
        <f>LET(
    lien,'Loan Tape (S&amp;P)'!Q8015,
    IF(lien="First",1.00,
        IF(lien="Second",1.50,
            1.70)))</f>
        <v/>
      </c>
      <c r="K8015">
        <f>LET(
    purpose,'Loan Tape (S&amp;P)'!R8015,
    IF(purpose="Purchase",1.00,
        IF(purpose="Remortgage",1.00,
            1.20)))</f>
        <v/>
      </c>
      <c r="L8015">
        <f>LET(
    arrears_months,'Loan Tape (S&amp;P)'!AN8015,
    IF(arrears_months=0,1.00,
    IF(arrears_months=1,3.00,
    IF(arrears_months=2,5.00,
    IF(arrears_months=3,8.00,
    IF(arrears_months=4,10.00,
    IF(arrears_months=5,12.00,15.00)))))))</f>
        <v/>
      </c>
      <c r="M8015">
        <f>LET(
    seasoning_years,DATEDIF('Loan Tape (S&amp;P)'!K8015,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15">
        <f>IF(AND('Loan Tape (S&amp;P)'!U8015="Yes",
        'Loan Tape (S&amp;P)'!T8015&lt;&gt;"Yes",
        DATEDIF('Loan Tape (S&amp;P)'!K8015, TODAY(), "M")&lt;18),
    1.10,
    1.00)</f>
        <v/>
      </c>
      <c r="O8015">
        <f>IF('Loan Tape (S&amp;P)'!T8015="Yes",
    1.35,
    1.00)</f>
        <v/>
      </c>
      <c r="P8015">
        <f>IF('Loan Tape (S&amp;P)'!S8015="Yes",
    1.15,
    1.00)</f>
        <v/>
      </c>
      <c r="Q8015">
        <f>IF('Loan Tape (S&amp;P)'!V8015="Yes",
    1.20,
    1.00)</f>
        <v/>
      </c>
      <c r="T8015">
        <f>LET(
    payment_method,'Loan Tape (S&amp;P)'!P8015,
    occupancy,'Loan Tape (S&amp;P)'!N8015,
    maturity_date,'Loan Tape (S&amp;P)'!L8015,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16">
      <c r="J8016">
        <f>LET(
    lien,'Loan Tape (S&amp;P)'!Q8016,
    IF(lien="First",1.00,
        IF(lien="Second",1.50,
            1.70)))</f>
        <v/>
      </c>
      <c r="K8016">
        <f>LET(
    purpose,'Loan Tape (S&amp;P)'!R8016,
    IF(purpose="Purchase",1.00,
        IF(purpose="Remortgage",1.00,
            1.20)))</f>
        <v/>
      </c>
      <c r="L8016">
        <f>LET(
    arrears_months,'Loan Tape (S&amp;P)'!AN8016,
    IF(arrears_months=0,1.00,
    IF(arrears_months=1,3.00,
    IF(arrears_months=2,5.00,
    IF(arrears_months=3,8.00,
    IF(arrears_months=4,10.00,
    IF(arrears_months=5,12.00,15.00)))))))</f>
        <v/>
      </c>
      <c r="M8016">
        <f>LET(
    seasoning_years,DATEDIF('Loan Tape (S&amp;P)'!K8016,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16">
        <f>IF(AND('Loan Tape (S&amp;P)'!U8016="Yes",
        'Loan Tape (S&amp;P)'!T8016&lt;&gt;"Yes",
        DATEDIF('Loan Tape (S&amp;P)'!K8016, TODAY(), "M")&lt;18),
    1.10,
    1.00)</f>
        <v/>
      </c>
      <c r="O8016">
        <f>IF('Loan Tape (S&amp;P)'!T8016="Yes",
    1.35,
    1.00)</f>
        <v/>
      </c>
      <c r="P8016">
        <f>IF('Loan Tape (S&amp;P)'!S8016="Yes",
    1.15,
    1.00)</f>
        <v/>
      </c>
      <c r="Q8016">
        <f>IF('Loan Tape (S&amp;P)'!V8016="Yes",
    1.20,
    1.00)</f>
        <v/>
      </c>
      <c r="T8016">
        <f>LET(
    payment_method,'Loan Tape (S&amp;P)'!P8016,
    occupancy,'Loan Tape (S&amp;P)'!N8016,
    maturity_date,'Loan Tape (S&amp;P)'!L8016,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17">
      <c r="J8017">
        <f>LET(
    lien,'Loan Tape (S&amp;P)'!Q8017,
    IF(lien="First",1.00,
        IF(lien="Second",1.50,
            1.70)))</f>
        <v/>
      </c>
      <c r="K8017">
        <f>LET(
    purpose,'Loan Tape (S&amp;P)'!R8017,
    IF(purpose="Purchase",1.00,
        IF(purpose="Remortgage",1.00,
            1.20)))</f>
        <v/>
      </c>
      <c r="L8017">
        <f>LET(
    arrears_months,'Loan Tape (S&amp;P)'!AN8017,
    IF(arrears_months=0,1.00,
    IF(arrears_months=1,3.00,
    IF(arrears_months=2,5.00,
    IF(arrears_months=3,8.00,
    IF(arrears_months=4,10.00,
    IF(arrears_months=5,12.00,15.00)))))))</f>
        <v/>
      </c>
      <c r="M8017">
        <f>LET(
    seasoning_years,DATEDIF('Loan Tape (S&amp;P)'!K8017,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17">
        <f>IF(AND('Loan Tape (S&amp;P)'!U8017="Yes",
        'Loan Tape (S&amp;P)'!T8017&lt;&gt;"Yes",
        DATEDIF('Loan Tape (S&amp;P)'!K8017, TODAY(), "M")&lt;18),
    1.10,
    1.00)</f>
        <v/>
      </c>
      <c r="O8017">
        <f>IF('Loan Tape (S&amp;P)'!T8017="Yes",
    1.35,
    1.00)</f>
        <v/>
      </c>
      <c r="P8017">
        <f>IF('Loan Tape (S&amp;P)'!S8017="Yes",
    1.15,
    1.00)</f>
        <v/>
      </c>
      <c r="Q8017">
        <f>IF('Loan Tape (S&amp;P)'!V8017="Yes",
    1.20,
    1.00)</f>
        <v/>
      </c>
      <c r="T8017">
        <f>LET(
    payment_method,'Loan Tape (S&amp;P)'!P8017,
    occupancy,'Loan Tape (S&amp;P)'!N8017,
    maturity_date,'Loan Tape (S&amp;P)'!L8017,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18">
      <c r="J8018">
        <f>LET(
    lien,'Loan Tape (S&amp;P)'!Q8018,
    IF(lien="First",1.00,
        IF(lien="Second",1.50,
            1.70)))</f>
        <v/>
      </c>
      <c r="K8018">
        <f>LET(
    purpose,'Loan Tape (S&amp;P)'!R8018,
    IF(purpose="Purchase",1.00,
        IF(purpose="Remortgage",1.00,
            1.20)))</f>
        <v/>
      </c>
      <c r="L8018">
        <f>LET(
    arrears_months,'Loan Tape (S&amp;P)'!AN8018,
    IF(arrears_months=0,1.00,
    IF(arrears_months=1,3.00,
    IF(arrears_months=2,5.00,
    IF(arrears_months=3,8.00,
    IF(arrears_months=4,10.00,
    IF(arrears_months=5,12.00,15.00)))))))</f>
        <v/>
      </c>
      <c r="M8018">
        <f>LET(
    seasoning_years,DATEDIF('Loan Tape (S&amp;P)'!K8018,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18">
        <f>IF(AND('Loan Tape (S&amp;P)'!U8018="Yes",
        'Loan Tape (S&amp;P)'!T8018&lt;&gt;"Yes",
        DATEDIF('Loan Tape (S&amp;P)'!K8018, TODAY(), "M")&lt;18),
    1.10,
    1.00)</f>
        <v/>
      </c>
      <c r="O8018">
        <f>IF('Loan Tape (S&amp;P)'!T8018="Yes",
    1.35,
    1.00)</f>
        <v/>
      </c>
      <c r="P8018">
        <f>IF('Loan Tape (S&amp;P)'!S8018="Yes",
    1.15,
    1.00)</f>
        <v/>
      </c>
      <c r="Q8018">
        <f>IF('Loan Tape (S&amp;P)'!V8018="Yes",
    1.20,
    1.00)</f>
        <v/>
      </c>
      <c r="T8018">
        <f>LET(
    payment_method,'Loan Tape (S&amp;P)'!P8018,
    occupancy,'Loan Tape (S&amp;P)'!N8018,
    maturity_date,'Loan Tape (S&amp;P)'!L8018,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19">
      <c r="J8019">
        <f>LET(
    lien,'Loan Tape (S&amp;P)'!Q8019,
    IF(lien="First",1.00,
        IF(lien="Second",1.50,
            1.70)))</f>
        <v/>
      </c>
      <c r="K8019">
        <f>LET(
    purpose,'Loan Tape (S&amp;P)'!R8019,
    IF(purpose="Purchase",1.00,
        IF(purpose="Remortgage",1.00,
            1.20)))</f>
        <v/>
      </c>
      <c r="L8019">
        <f>LET(
    arrears_months,'Loan Tape (S&amp;P)'!AN8019,
    IF(arrears_months=0,1.00,
    IF(arrears_months=1,3.00,
    IF(arrears_months=2,5.00,
    IF(arrears_months=3,8.00,
    IF(arrears_months=4,10.00,
    IF(arrears_months=5,12.00,15.00)))))))</f>
        <v/>
      </c>
      <c r="M8019">
        <f>LET(
    seasoning_years,DATEDIF('Loan Tape (S&amp;P)'!K8019,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19">
        <f>IF(AND('Loan Tape (S&amp;P)'!U8019="Yes",
        'Loan Tape (S&amp;P)'!T8019&lt;&gt;"Yes",
        DATEDIF('Loan Tape (S&amp;P)'!K8019, TODAY(), "M")&lt;18),
    1.10,
    1.00)</f>
        <v/>
      </c>
      <c r="O8019">
        <f>IF('Loan Tape (S&amp;P)'!T8019="Yes",
    1.35,
    1.00)</f>
        <v/>
      </c>
      <c r="P8019">
        <f>IF('Loan Tape (S&amp;P)'!S8019="Yes",
    1.15,
    1.00)</f>
        <v/>
      </c>
      <c r="Q8019">
        <f>IF('Loan Tape (S&amp;P)'!V8019="Yes",
    1.20,
    1.00)</f>
        <v/>
      </c>
      <c r="T8019">
        <f>LET(
    payment_method,'Loan Tape (S&amp;P)'!P8019,
    occupancy,'Loan Tape (S&amp;P)'!N8019,
    maturity_date,'Loan Tape (S&amp;P)'!L8019,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20">
      <c r="J8020">
        <f>LET(
    lien,'Loan Tape (S&amp;P)'!Q8020,
    IF(lien="First",1.00,
        IF(lien="Second",1.50,
            1.70)))</f>
        <v/>
      </c>
      <c r="K8020">
        <f>LET(
    purpose,'Loan Tape (S&amp;P)'!R8020,
    IF(purpose="Purchase",1.00,
        IF(purpose="Remortgage",1.00,
            1.20)))</f>
        <v/>
      </c>
      <c r="L8020">
        <f>LET(
    arrears_months,'Loan Tape (S&amp;P)'!AN8020,
    IF(arrears_months=0,1.00,
    IF(arrears_months=1,3.00,
    IF(arrears_months=2,5.00,
    IF(arrears_months=3,8.00,
    IF(arrears_months=4,10.00,
    IF(arrears_months=5,12.00,15.00)))))))</f>
        <v/>
      </c>
      <c r="M8020">
        <f>LET(
    seasoning_years,DATEDIF('Loan Tape (S&amp;P)'!K8020,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20">
        <f>IF(AND('Loan Tape (S&amp;P)'!U8020="Yes",
        'Loan Tape (S&amp;P)'!T8020&lt;&gt;"Yes",
        DATEDIF('Loan Tape (S&amp;P)'!K8020, TODAY(), "M")&lt;18),
    1.10,
    1.00)</f>
        <v/>
      </c>
      <c r="O8020">
        <f>IF('Loan Tape (S&amp;P)'!T8020="Yes",
    1.35,
    1.00)</f>
        <v/>
      </c>
      <c r="P8020">
        <f>IF('Loan Tape (S&amp;P)'!S8020="Yes",
    1.15,
    1.00)</f>
        <v/>
      </c>
      <c r="Q8020">
        <f>IF('Loan Tape (S&amp;P)'!V8020="Yes",
    1.20,
    1.00)</f>
        <v/>
      </c>
      <c r="T8020">
        <f>LET(
    payment_method,'Loan Tape (S&amp;P)'!P8020,
    occupancy,'Loan Tape (S&amp;P)'!N8020,
    maturity_date,'Loan Tape (S&amp;P)'!L8020,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21">
      <c r="J8021">
        <f>LET(
    lien,'Loan Tape (S&amp;P)'!Q8021,
    IF(lien="First",1.00,
        IF(lien="Second",1.50,
            1.70)))</f>
        <v/>
      </c>
      <c r="K8021">
        <f>LET(
    purpose,'Loan Tape (S&amp;P)'!R8021,
    IF(purpose="Purchase",1.00,
        IF(purpose="Remortgage",1.00,
            1.20)))</f>
        <v/>
      </c>
      <c r="L8021">
        <f>LET(
    arrears_months,'Loan Tape (S&amp;P)'!AN8021,
    IF(arrears_months=0,1.00,
    IF(arrears_months=1,3.00,
    IF(arrears_months=2,5.00,
    IF(arrears_months=3,8.00,
    IF(arrears_months=4,10.00,
    IF(arrears_months=5,12.00,15.00)))))))</f>
        <v/>
      </c>
      <c r="M8021">
        <f>LET(
    seasoning_years,DATEDIF('Loan Tape (S&amp;P)'!K8021,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21">
        <f>IF(AND('Loan Tape (S&amp;P)'!U8021="Yes",
        'Loan Tape (S&amp;P)'!T8021&lt;&gt;"Yes",
        DATEDIF('Loan Tape (S&amp;P)'!K8021, TODAY(), "M")&lt;18),
    1.10,
    1.00)</f>
        <v/>
      </c>
      <c r="O8021">
        <f>IF('Loan Tape (S&amp;P)'!T8021="Yes",
    1.35,
    1.00)</f>
        <v/>
      </c>
      <c r="P8021">
        <f>IF('Loan Tape (S&amp;P)'!S8021="Yes",
    1.15,
    1.00)</f>
        <v/>
      </c>
      <c r="Q8021">
        <f>IF('Loan Tape (S&amp;P)'!V8021="Yes",
    1.20,
    1.00)</f>
        <v/>
      </c>
      <c r="T8021">
        <f>LET(
    payment_method,'Loan Tape (S&amp;P)'!P8021,
    occupancy,'Loan Tape (S&amp;P)'!N8021,
    maturity_date,'Loan Tape (S&amp;P)'!L8021,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22">
      <c r="J8022">
        <f>LET(
    lien,'Loan Tape (S&amp;P)'!Q8022,
    IF(lien="First",1.00,
        IF(lien="Second",1.50,
            1.70)))</f>
        <v/>
      </c>
      <c r="K8022">
        <f>LET(
    purpose,'Loan Tape (S&amp;P)'!R8022,
    IF(purpose="Purchase",1.00,
        IF(purpose="Remortgage",1.00,
            1.20)))</f>
        <v/>
      </c>
      <c r="L8022">
        <f>LET(
    arrears_months,'Loan Tape (S&amp;P)'!AN8022,
    IF(arrears_months=0,1.00,
    IF(arrears_months=1,3.00,
    IF(arrears_months=2,5.00,
    IF(arrears_months=3,8.00,
    IF(arrears_months=4,10.00,
    IF(arrears_months=5,12.00,15.00)))))))</f>
        <v/>
      </c>
      <c r="M8022">
        <f>LET(
    seasoning_years,DATEDIF('Loan Tape (S&amp;P)'!K8022,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22">
        <f>IF(AND('Loan Tape (S&amp;P)'!U8022="Yes",
        'Loan Tape (S&amp;P)'!T8022&lt;&gt;"Yes",
        DATEDIF('Loan Tape (S&amp;P)'!K8022, TODAY(), "M")&lt;18),
    1.10,
    1.00)</f>
        <v/>
      </c>
      <c r="O8022">
        <f>IF('Loan Tape (S&amp;P)'!T8022="Yes",
    1.35,
    1.00)</f>
        <v/>
      </c>
      <c r="P8022">
        <f>IF('Loan Tape (S&amp;P)'!S8022="Yes",
    1.15,
    1.00)</f>
        <v/>
      </c>
      <c r="Q8022">
        <f>IF('Loan Tape (S&amp;P)'!V8022="Yes",
    1.20,
    1.00)</f>
        <v/>
      </c>
      <c r="T8022">
        <f>LET(
    payment_method,'Loan Tape (S&amp;P)'!P8022,
    occupancy,'Loan Tape (S&amp;P)'!N8022,
    maturity_date,'Loan Tape (S&amp;P)'!L8022,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23">
      <c r="J8023">
        <f>LET(
    lien,'Loan Tape (S&amp;P)'!Q8023,
    IF(lien="First",1.00,
        IF(lien="Second",1.50,
            1.70)))</f>
        <v/>
      </c>
      <c r="K8023">
        <f>LET(
    purpose,'Loan Tape (S&amp;P)'!R8023,
    IF(purpose="Purchase",1.00,
        IF(purpose="Remortgage",1.00,
            1.20)))</f>
        <v/>
      </c>
      <c r="L8023">
        <f>LET(
    arrears_months,'Loan Tape (S&amp;P)'!AN8023,
    IF(arrears_months=0,1.00,
    IF(arrears_months=1,3.00,
    IF(arrears_months=2,5.00,
    IF(arrears_months=3,8.00,
    IF(arrears_months=4,10.00,
    IF(arrears_months=5,12.00,15.00)))))))</f>
        <v/>
      </c>
      <c r="M8023">
        <f>LET(
    seasoning_years,DATEDIF('Loan Tape (S&amp;P)'!K8023,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23">
        <f>IF(AND('Loan Tape (S&amp;P)'!U8023="Yes",
        'Loan Tape (S&amp;P)'!T8023&lt;&gt;"Yes",
        DATEDIF('Loan Tape (S&amp;P)'!K8023, TODAY(), "M")&lt;18),
    1.10,
    1.00)</f>
        <v/>
      </c>
      <c r="O8023">
        <f>IF('Loan Tape (S&amp;P)'!T8023="Yes",
    1.35,
    1.00)</f>
        <v/>
      </c>
      <c r="P8023">
        <f>IF('Loan Tape (S&amp;P)'!S8023="Yes",
    1.15,
    1.00)</f>
        <v/>
      </c>
      <c r="Q8023">
        <f>IF('Loan Tape (S&amp;P)'!V8023="Yes",
    1.20,
    1.00)</f>
        <v/>
      </c>
      <c r="T8023">
        <f>LET(
    payment_method,'Loan Tape (S&amp;P)'!P8023,
    occupancy,'Loan Tape (S&amp;P)'!N8023,
    maturity_date,'Loan Tape (S&amp;P)'!L8023,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24">
      <c r="J8024">
        <f>LET(
    lien,'Loan Tape (S&amp;P)'!Q8024,
    IF(lien="First",1.00,
        IF(lien="Second",1.50,
            1.70)))</f>
        <v/>
      </c>
      <c r="K8024">
        <f>LET(
    purpose,'Loan Tape (S&amp;P)'!R8024,
    IF(purpose="Purchase",1.00,
        IF(purpose="Remortgage",1.00,
            1.20)))</f>
        <v/>
      </c>
      <c r="L8024">
        <f>LET(
    arrears_months,'Loan Tape (S&amp;P)'!AN8024,
    IF(arrears_months=0,1.00,
    IF(arrears_months=1,3.00,
    IF(arrears_months=2,5.00,
    IF(arrears_months=3,8.00,
    IF(arrears_months=4,10.00,
    IF(arrears_months=5,12.00,15.00)))))))</f>
        <v/>
      </c>
      <c r="M8024">
        <f>LET(
    seasoning_years,DATEDIF('Loan Tape (S&amp;P)'!K8024,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24">
        <f>IF(AND('Loan Tape (S&amp;P)'!U8024="Yes",
        'Loan Tape (S&amp;P)'!T8024&lt;&gt;"Yes",
        DATEDIF('Loan Tape (S&amp;P)'!K8024, TODAY(), "M")&lt;18),
    1.10,
    1.00)</f>
        <v/>
      </c>
      <c r="O8024">
        <f>IF('Loan Tape (S&amp;P)'!T8024="Yes",
    1.35,
    1.00)</f>
        <v/>
      </c>
      <c r="P8024">
        <f>IF('Loan Tape (S&amp;P)'!S8024="Yes",
    1.15,
    1.00)</f>
        <v/>
      </c>
      <c r="Q8024">
        <f>IF('Loan Tape (S&amp;P)'!V8024="Yes",
    1.20,
    1.00)</f>
        <v/>
      </c>
      <c r="T8024">
        <f>LET(
    payment_method,'Loan Tape (S&amp;P)'!P8024,
    occupancy,'Loan Tape (S&amp;P)'!N8024,
    maturity_date,'Loan Tape (S&amp;P)'!L8024,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25">
      <c r="J8025">
        <f>LET(
    lien,'Loan Tape (S&amp;P)'!Q8025,
    IF(lien="First",1.00,
        IF(lien="Second",1.50,
            1.70)))</f>
        <v/>
      </c>
      <c r="K8025">
        <f>LET(
    purpose,'Loan Tape (S&amp;P)'!R8025,
    IF(purpose="Purchase",1.00,
        IF(purpose="Remortgage",1.00,
            1.20)))</f>
        <v/>
      </c>
      <c r="L8025">
        <f>LET(
    arrears_months,'Loan Tape (S&amp;P)'!AN8025,
    IF(arrears_months=0,1.00,
    IF(arrears_months=1,3.00,
    IF(arrears_months=2,5.00,
    IF(arrears_months=3,8.00,
    IF(arrears_months=4,10.00,
    IF(arrears_months=5,12.00,15.00)))))))</f>
        <v/>
      </c>
      <c r="M8025">
        <f>LET(
    seasoning_years,DATEDIF('Loan Tape (S&amp;P)'!K8025,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25">
        <f>IF(AND('Loan Tape (S&amp;P)'!U8025="Yes",
        'Loan Tape (S&amp;P)'!T8025&lt;&gt;"Yes",
        DATEDIF('Loan Tape (S&amp;P)'!K8025, TODAY(), "M")&lt;18),
    1.10,
    1.00)</f>
        <v/>
      </c>
      <c r="O8025">
        <f>IF('Loan Tape (S&amp;P)'!T8025="Yes",
    1.35,
    1.00)</f>
        <v/>
      </c>
      <c r="P8025">
        <f>IF('Loan Tape (S&amp;P)'!S8025="Yes",
    1.15,
    1.00)</f>
        <v/>
      </c>
      <c r="Q8025">
        <f>IF('Loan Tape (S&amp;P)'!V8025="Yes",
    1.20,
    1.00)</f>
        <v/>
      </c>
      <c r="T8025">
        <f>LET(
    payment_method,'Loan Tape (S&amp;P)'!P8025,
    occupancy,'Loan Tape (S&amp;P)'!N8025,
    maturity_date,'Loan Tape (S&amp;P)'!L8025,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26">
      <c r="J8026">
        <f>LET(
    lien,'Loan Tape (S&amp;P)'!Q8026,
    IF(lien="First",1.00,
        IF(lien="Second",1.50,
            1.70)))</f>
        <v/>
      </c>
      <c r="K8026">
        <f>LET(
    purpose,'Loan Tape (S&amp;P)'!R8026,
    IF(purpose="Purchase",1.00,
        IF(purpose="Remortgage",1.00,
            1.20)))</f>
        <v/>
      </c>
      <c r="L8026">
        <f>LET(
    arrears_months,'Loan Tape (S&amp;P)'!AN8026,
    IF(arrears_months=0,1.00,
    IF(arrears_months=1,3.00,
    IF(arrears_months=2,5.00,
    IF(arrears_months=3,8.00,
    IF(arrears_months=4,10.00,
    IF(arrears_months=5,12.00,15.00)))))))</f>
        <v/>
      </c>
      <c r="M8026">
        <f>LET(
    seasoning_years,DATEDIF('Loan Tape (S&amp;P)'!K8026,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26">
        <f>IF(AND('Loan Tape (S&amp;P)'!U8026="Yes",
        'Loan Tape (S&amp;P)'!T8026&lt;&gt;"Yes",
        DATEDIF('Loan Tape (S&amp;P)'!K8026, TODAY(), "M")&lt;18),
    1.10,
    1.00)</f>
        <v/>
      </c>
      <c r="O8026">
        <f>IF('Loan Tape (S&amp;P)'!T8026="Yes",
    1.35,
    1.00)</f>
        <v/>
      </c>
      <c r="P8026">
        <f>IF('Loan Tape (S&amp;P)'!S8026="Yes",
    1.15,
    1.00)</f>
        <v/>
      </c>
      <c r="Q8026">
        <f>IF('Loan Tape (S&amp;P)'!V8026="Yes",
    1.20,
    1.00)</f>
        <v/>
      </c>
      <c r="T8026">
        <f>LET(
    payment_method,'Loan Tape (S&amp;P)'!P8026,
    occupancy,'Loan Tape (S&amp;P)'!N8026,
    maturity_date,'Loan Tape (S&amp;P)'!L8026,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27">
      <c r="J8027">
        <f>LET(
    lien,'Loan Tape (S&amp;P)'!Q8027,
    IF(lien="First",1.00,
        IF(lien="Second",1.50,
            1.70)))</f>
        <v/>
      </c>
      <c r="K8027">
        <f>LET(
    purpose,'Loan Tape (S&amp;P)'!R8027,
    IF(purpose="Purchase",1.00,
        IF(purpose="Remortgage",1.00,
            1.20)))</f>
        <v/>
      </c>
      <c r="L8027">
        <f>LET(
    arrears_months,'Loan Tape (S&amp;P)'!AN8027,
    IF(arrears_months=0,1.00,
    IF(arrears_months=1,3.00,
    IF(arrears_months=2,5.00,
    IF(arrears_months=3,8.00,
    IF(arrears_months=4,10.00,
    IF(arrears_months=5,12.00,15.00)))))))</f>
        <v/>
      </c>
      <c r="M8027">
        <f>LET(
    seasoning_years,DATEDIF('Loan Tape (S&amp;P)'!K8027,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27">
        <f>IF(AND('Loan Tape (S&amp;P)'!U8027="Yes",
        'Loan Tape (S&amp;P)'!T8027&lt;&gt;"Yes",
        DATEDIF('Loan Tape (S&amp;P)'!K8027, TODAY(), "M")&lt;18),
    1.10,
    1.00)</f>
        <v/>
      </c>
      <c r="O8027">
        <f>IF('Loan Tape (S&amp;P)'!T8027="Yes",
    1.35,
    1.00)</f>
        <v/>
      </c>
      <c r="P8027">
        <f>IF('Loan Tape (S&amp;P)'!S8027="Yes",
    1.15,
    1.00)</f>
        <v/>
      </c>
      <c r="Q8027">
        <f>IF('Loan Tape (S&amp;P)'!V8027="Yes",
    1.20,
    1.00)</f>
        <v/>
      </c>
      <c r="T8027">
        <f>LET(
    payment_method,'Loan Tape (S&amp;P)'!P8027,
    occupancy,'Loan Tape (S&amp;P)'!N8027,
    maturity_date,'Loan Tape (S&amp;P)'!L8027,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28">
      <c r="J8028">
        <f>LET(
    lien,'Loan Tape (S&amp;P)'!Q8028,
    IF(lien="First",1.00,
        IF(lien="Second",1.50,
            1.70)))</f>
        <v/>
      </c>
      <c r="K8028">
        <f>LET(
    purpose,'Loan Tape (S&amp;P)'!R8028,
    IF(purpose="Purchase",1.00,
        IF(purpose="Remortgage",1.00,
            1.20)))</f>
        <v/>
      </c>
      <c r="L8028">
        <f>LET(
    arrears_months,'Loan Tape (S&amp;P)'!AN8028,
    IF(arrears_months=0,1.00,
    IF(arrears_months=1,3.00,
    IF(arrears_months=2,5.00,
    IF(arrears_months=3,8.00,
    IF(arrears_months=4,10.00,
    IF(arrears_months=5,12.00,15.00)))))))</f>
        <v/>
      </c>
      <c r="M8028">
        <f>LET(
    seasoning_years,DATEDIF('Loan Tape (S&amp;P)'!K8028,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28">
        <f>IF(AND('Loan Tape (S&amp;P)'!U8028="Yes",
        'Loan Tape (S&amp;P)'!T8028&lt;&gt;"Yes",
        DATEDIF('Loan Tape (S&amp;P)'!K8028, TODAY(), "M")&lt;18),
    1.10,
    1.00)</f>
        <v/>
      </c>
      <c r="O8028">
        <f>IF('Loan Tape (S&amp;P)'!T8028="Yes",
    1.35,
    1.00)</f>
        <v/>
      </c>
      <c r="P8028">
        <f>IF('Loan Tape (S&amp;P)'!S8028="Yes",
    1.15,
    1.00)</f>
        <v/>
      </c>
      <c r="Q8028">
        <f>IF('Loan Tape (S&amp;P)'!V8028="Yes",
    1.20,
    1.00)</f>
        <v/>
      </c>
      <c r="T8028">
        <f>LET(
    payment_method,'Loan Tape (S&amp;P)'!P8028,
    occupancy,'Loan Tape (S&amp;P)'!N8028,
    maturity_date,'Loan Tape (S&amp;P)'!L8028,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29">
      <c r="J8029">
        <f>LET(
    lien,'Loan Tape (S&amp;P)'!Q8029,
    IF(lien="First",1.00,
        IF(lien="Second",1.50,
            1.70)))</f>
        <v/>
      </c>
      <c r="K8029">
        <f>LET(
    purpose,'Loan Tape (S&amp;P)'!R8029,
    IF(purpose="Purchase",1.00,
        IF(purpose="Remortgage",1.00,
            1.20)))</f>
        <v/>
      </c>
      <c r="L8029">
        <f>LET(
    arrears_months,'Loan Tape (S&amp;P)'!AN8029,
    IF(arrears_months=0,1.00,
    IF(arrears_months=1,3.00,
    IF(arrears_months=2,5.00,
    IF(arrears_months=3,8.00,
    IF(arrears_months=4,10.00,
    IF(arrears_months=5,12.00,15.00)))))))</f>
        <v/>
      </c>
      <c r="M8029">
        <f>LET(
    seasoning_years,DATEDIF('Loan Tape (S&amp;P)'!K8029,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29">
        <f>IF(AND('Loan Tape (S&amp;P)'!U8029="Yes",
        'Loan Tape (S&amp;P)'!T8029&lt;&gt;"Yes",
        DATEDIF('Loan Tape (S&amp;P)'!K8029, TODAY(), "M")&lt;18),
    1.10,
    1.00)</f>
        <v/>
      </c>
      <c r="O8029">
        <f>IF('Loan Tape (S&amp;P)'!T8029="Yes",
    1.35,
    1.00)</f>
        <v/>
      </c>
      <c r="P8029">
        <f>IF('Loan Tape (S&amp;P)'!S8029="Yes",
    1.15,
    1.00)</f>
        <v/>
      </c>
      <c r="Q8029">
        <f>IF('Loan Tape (S&amp;P)'!V8029="Yes",
    1.20,
    1.00)</f>
        <v/>
      </c>
      <c r="T8029">
        <f>LET(
    payment_method,'Loan Tape (S&amp;P)'!P8029,
    occupancy,'Loan Tape (S&amp;P)'!N8029,
    maturity_date,'Loan Tape (S&amp;P)'!L8029,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30">
      <c r="J8030">
        <f>LET(
    lien,'Loan Tape (S&amp;P)'!Q8030,
    IF(lien="First",1.00,
        IF(lien="Second",1.50,
            1.70)))</f>
        <v/>
      </c>
      <c r="K8030">
        <f>LET(
    purpose,'Loan Tape (S&amp;P)'!R8030,
    IF(purpose="Purchase",1.00,
        IF(purpose="Remortgage",1.00,
            1.20)))</f>
        <v/>
      </c>
      <c r="L8030">
        <f>LET(
    arrears_months,'Loan Tape (S&amp;P)'!AN8030,
    IF(arrears_months=0,1.00,
    IF(arrears_months=1,3.00,
    IF(arrears_months=2,5.00,
    IF(arrears_months=3,8.00,
    IF(arrears_months=4,10.00,
    IF(arrears_months=5,12.00,15.00)))))))</f>
        <v/>
      </c>
      <c r="M8030">
        <f>LET(
    seasoning_years,DATEDIF('Loan Tape (S&amp;P)'!K8030,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30">
        <f>IF(AND('Loan Tape (S&amp;P)'!U8030="Yes",
        'Loan Tape (S&amp;P)'!T8030&lt;&gt;"Yes",
        DATEDIF('Loan Tape (S&amp;P)'!K8030, TODAY(), "M")&lt;18),
    1.10,
    1.00)</f>
        <v/>
      </c>
      <c r="O8030">
        <f>IF('Loan Tape (S&amp;P)'!T8030="Yes",
    1.35,
    1.00)</f>
        <v/>
      </c>
      <c r="P8030">
        <f>IF('Loan Tape (S&amp;P)'!S8030="Yes",
    1.15,
    1.00)</f>
        <v/>
      </c>
      <c r="Q8030">
        <f>IF('Loan Tape (S&amp;P)'!V8030="Yes",
    1.20,
    1.00)</f>
        <v/>
      </c>
      <c r="T8030">
        <f>LET(
    payment_method,'Loan Tape (S&amp;P)'!P8030,
    occupancy,'Loan Tape (S&amp;P)'!N8030,
    maturity_date,'Loan Tape (S&amp;P)'!L8030,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31">
      <c r="J8031">
        <f>LET(
    lien,'Loan Tape (S&amp;P)'!Q8031,
    IF(lien="First",1.00,
        IF(lien="Second",1.50,
            1.70)))</f>
        <v/>
      </c>
      <c r="K8031">
        <f>LET(
    purpose,'Loan Tape (S&amp;P)'!R8031,
    IF(purpose="Purchase",1.00,
        IF(purpose="Remortgage",1.00,
            1.20)))</f>
        <v/>
      </c>
      <c r="L8031">
        <f>LET(
    arrears_months,'Loan Tape (S&amp;P)'!AN8031,
    IF(arrears_months=0,1.00,
    IF(arrears_months=1,3.00,
    IF(arrears_months=2,5.00,
    IF(arrears_months=3,8.00,
    IF(arrears_months=4,10.00,
    IF(arrears_months=5,12.00,15.00)))))))</f>
        <v/>
      </c>
      <c r="M8031">
        <f>LET(
    seasoning_years,DATEDIF('Loan Tape (S&amp;P)'!K8031,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31">
        <f>IF(AND('Loan Tape (S&amp;P)'!U8031="Yes",
        'Loan Tape (S&amp;P)'!T8031&lt;&gt;"Yes",
        DATEDIF('Loan Tape (S&amp;P)'!K8031, TODAY(), "M")&lt;18),
    1.10,
    1.00)</f>
        <v/>
      </c>
      <c r="O8031">
        <f>IF('Loan Tape (S&amp;P)'!T8031="Yes",
    1.35,
    1.00)</f>
        <v/>
      </c>
      <c r="P8031">
        <f>IF('Loan Tape (S&amp;P)'!S8031="Yes",
    1.15,
    1.00)</f>
        <v/>
      </c>
      <c r="Q8031">
        <f>IF('Loan Tape (S&amp;P)'!V8031="Yes",
    1.20,
    1.00)</f>
        <v/>
      </c>
      <c r="T8031">
        <f>LET(
    payment_method,'Loan Tape (S&amp;P)'!P8031,
    occupancy,'Loan Tape (S&amp;P)'!N8031,
    maturity_date,'Loan Tape (S&amp;P)'!L8031,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32">
      <c r="J8032">
        <f>LET(
    lien,'Loan Tape (S&amp;P)'!Q8032,
    IF(lien="First",1.00,
        IF(lien="Second",1.50,
            1.70)))</f>
        <v/>
      </c>
      <c r="K8032">
        <f>LET(
    purpose,'Loan Tape (S&amp;P)'!R8032,
    IF(purpose="Purchase",1.00,
        IF(purpose="Remortgage",1.00,
            1.20)))</f>
        <v/>
      </c>
      <c r="L8032">
        <f>LET(
    arrears_months,'Loan Tape (S&amp;P)'!AN8032,
    IF(arrears_months=0,1.00,
    IF(arrears_months=1,3.00,
    IF(arrears_months=2,5.00,
    IF(arrears_months=3,8.00,
    IF(arrears_months=4,10.00,
    IF(arrears_months=5,12.00,15.00)))))))</f>
        <v/>
      </c>
      <c r="M8032">
        <f>LET(
    seasoning_years,DATEDIF('Loan Tape (S&amp;P)'!K8032,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32">
        <f>IF(AND('Loan Tape (S&amp;P)'!U8032="Yes",
        'Loan Tape (S&amp;P)'!T8032&lt;&gt;"Yes",
        DATEDIF('Loan Tape (S&amp;P)'!K8032, TODAY(), "M")&lt;18),
    1.10,
    1.00)</f>
        <v/>
      </c>
      <c r="O8032">
        <f>IF('Loan Tape (S&amp;P)'!T8032="Yes",
    1.35,
    1.00)</f>
        <v/>
      </c>
      <c r="P8032">
        <f>IF('Loan Tape (S&amp;P)'!S8032="Yes",
    1.15,
    1.00)</f>
        <v/>
      </c>
      <c r="Q8032">
        <f>IF('Loan Tape (S&amp;P)'!V8032="Yes",
    1.20,
    1.00)</f>
        <v/>
      </c>
      <c r="T8032">
        <f>LET(
    payment_method,'Loan Tape (S&amp;P)'!P8032,
    occupancy,'Loan Tape (S&amp;P)'!N8032,
    maturity_date,'Loan Tape (S&amp;P)'!L8032,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33">
      <c r="J8033">
        <f>LET(
    lien,'Loan Tape (S&amp;P)'!Q8033,
    IF(lien="First",1.00,
        IF(lien="Second",1.50,
            1.70)))</f>
        <v/>
      </c>
      <c r="K8033">
        <f>LET(
    purpose,'Loan Tape (S&amp;P)'!R8033,
    IF(purpose="Purchase",1.00,
        IF(purpose="Remortgage",1.00,
            1.20)))</f>
        <v/>
      </c>
      <c r="L8033">
        <f>LET(
    arrears_months,'Loan Tape (S&amp;P)'!AN8033,
    IF(arrears_months=0,1.00,
    IF(arrears_months=1,3.00,
    IF(arrears_months=2,5.00,
    IF(arrears_months=3,8.00,
    IF(arrears_months=4,10.00,
    IF(arrears_months=5,12.00,15.00)))))))</f>
        <v/>
      </c>
      <c r="M8033">
        <f>LET(
    seasoning_years,DATEDIF('Loan Tape (S&amp;P)'!K8033,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33">
        <f>IF(AND('Loan Tape (S&amp;P)'!U8033="Yes",
        'Loan Tape (S&amp;P)'!T8033&lt;&gt;"Yes",
        DATEDIF('Loan Tape (S&amp;P)'!K8033, TODAY(), "M")&lt;18),
    1.10,
    1.00)</f>
        <v/>
      </c>
      <c r="O8033">
        <f>IF('Loan Tape (S&amp;P)'!T8033="Yes",
    1.35,
    1.00)</f>
        <v/>
      </c>
      <c r="P8033">
        <f>IF('Loan Tape (S&amp;P)'!S8033="Yes",
    1.15,
    1.00)</f>
        <v/>
      </c>
      <c r="Q8033">
        <f>IF('Loan Tape (S&amp;P)'!V8033="Yes",
    1.20,
    1.00)</f>
        <v/>
      </c>
      <c r="T8033">
        <f>LET(
    payment_method,'Loan Tape (S&amp;P)'!P8033,
    occupancy,'Loan Tape (S&amp;P)'!N8033,
    maturity_date,'Loan Tape (S&amp;P)'!L8033,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34">
      <c r="J8034">
        <f>LET(
    lien,'Loan Tape (S&amp;P)'!Q8034,
    IF(lien="First",1.00,
        IF(lien="Second",1.50,
            1.70)))</f>
        <v/>
      </c>
      <c r="K8034">
        <f>LET(
    purpose,'Loan Tape (S&amp;P)'!R8034,
    IF(purpose="Purchase",1.00,
        IF(purpose="Remortgage",1.00,
            1.20)))</f>
        <v/>
      </c>
      <c r="L8034">
        <f>LET(
    arrears_months,'Loan Tape (S&amp;P)'!AN8034,
    IF(arrears_months=0,1.00,
    IF(arrears_months=1,3.00,
    IF(arrears_months=2,5.00,
    IF(arrears_months=3,8.00,
    IF(arrears_months=4,10.00,
    IF(arrears_months=5,12.00,15.00)))))))</f>
        <v/>
      </c>
      <c r="M8034">
        <f>LET(
    seasoning_years,DATEDIF('Loan Tape (S&amp;P)'!K8034,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34">
        <f>IF(AND('Loan Tape (S&amp;P)'!U8034="Yes",
        'Loan Tape (S&amp;P)'!T8034&lt;&gt;"Yes",
        DATEDIF('Loan Tape (S&amp;P)'!K8034, TODAY(), "M")&lt;18),
    1.10,
    1.00)</f>
        <v/>
      </c>
      <c r="O8034">
        <f>IF('Loan Tape (S&amp;P)'!T8034="Yes",
    1.35,
    1.00)</f>
        <v/>
      </c>
      <c r="P8034">
        <f>IF('Loan Tape (S&amp;P)'!S8034="Yes",
    1.15,
    1.00)</f>
        <v/>
      </c>
      <c r="Q8034">
        <f>IF('Loan Tape (S&amp;P)'!V8034="Yes",
    1.20,
    1.00)</f>
        <v/>
      </c>
      <c r="T8034">
        <f>LET(
    payment_method,'Loan Tape (S&amp;P)'!P8034,
    occupancy,'Loan Tape (S&amp;P)'!N8034,
    maturity_date,'Loan Tape (S&amp;P)'!L8034,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35">
      <c r="J8035">
        <f>LET(
    lien,'Loan Tape (S&amp;P)'!Q8035,
    IF(lien="First",1.00,
        IF(lien="Second",1.50,
            1.70)))</f>
        <v/>
      </c>
      <c r="K8035">
        <f>LET(
    purpose,'Loan Tape (S&amp;P)'!R8035,
    IF(purpose="Purchase",1.00,
        IF(purpose="Remortgage",1.00,
            1.20)))</f>
        <v/>
      </c>
      <c r="L8035">
        <f>LET(
    arrears_months,'Loan Tape (S&amp;P)'!AN8035,
    IF(arrears_months=0,1.00,
    IF(arrears_months=1,3.00,
    IF(arrears_months=2,5.00,
    IF(arrears_months=3,8.00,
    IF(arrears_months=4,10.00,
    IF(arrears_months=5,12.00,15.00)))))))</f>
        <v/>
      </c>
      <c r="M8035">
        <f>LET(
    seasoning_years,DATEDIF('Loan Tape (S&amp;P)'!K8035,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35">
        <f>IF(AND('Loan Tape (S&amp;P)'!U8035="Yes",
        'Loan Tape (S&amp;P)'!T8035&lt;&gt;"Yes",
        DATEDIF('Loan Tape (S&amp;P)'!K8035, TODAY(), "M")&lt;18),
    1.10,
    1.00)</f>
        <v/>
      </c>
      <c r="O8035">
        <f>IF('Loan Tape (S&amp;P)'!T8035="Yes",
    1.35,
    1.00)</f>
        <v/>
      </c>
      <c r="P8035">
        <f>IF('Loan Tape (S&amp;P)'!S8035="Yes",
    1.15,
    1.00)</f>
        <v/>
      </c>
      <c r="Q8035">
        <f>IF('Loan Tape (S&amp;P)'!V8035="Yes",
    1.20,
    1.00)</f>
        <v/>
      </c>
      <c r="T8035">
        <f>LET(
    payment_method,'Loan Tape (S&amp;P)'!P8035,
    occupancy,'Loan Tape (S&amp;P)'!N8035,
    maturity_date,'Loan Tape (S&amp;P)'!L8035,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36">
      <c r="J8036">
        <f>LET(
    lien,'Loan Tape (S&amp;P)'!Q8036,
    IF(lien="First",1.00,
        IF(lien="Second",1.50,
            1.70)))</f>
        <v/>
      </c>
      <c r="K8036">
        <f>LET(
    purpose,'Loan Tape (S&amp;P)'!R8036,
    IF(purpose="Purchase",1.00,
        IF(purpose="Remortgage",1.00,
            1.20)))</f>
        <v/>
      </c>
      <c r="L8036">
        <f>LET(
    arrears_months,'Loan Tape (S&amp;P)'!AN8036,
    IF(arrears_months=0,1.00,
    IF(arrears_months=1,3.00,
    IF(arrears_months=2,5.00,
    IF(arrears_months=3,8.00,
    IF(arrears_months=4,10.00,
    IF(arrears_months=5,12.00,15.00)))))))</f>
        <v/>
      </c>
      <c r="M8036">
        <f>LET(
    seasoning_years,DATEDIF('Loan Tape (S&amp;P)'!K8036,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36">
        <f>IF(AND('Loan Tape (S&amp;P)'!U8036="Yes",
        'Loan Tape (S&amp;P)'!T8036&lt;&gt;"Yes",
        DATEDIF('Loan Tape (S&amp;P)'!K8036, TODAY(), "M")&lt;18),
    1.10,
    1.00)</f>
        <v/>
      </c>
      <c r="O8036">
        <f>IF('Loan Tape (S&amp;P)'!T8036="Yes",
    1.35,
    1.00)</f>
        <v/>
      </c>
      <c r="P8036">
        <f>IF('Loan Tape (S&amp;P)'!S8036="Yes",
    1.15,
    1.00)</f>
        <v/>
      </c>
      <c r="Q8036">
        <f>IF('Loan Tape (S&amp;P)'!V8036="Yes",
    1.20,
    1.00)</f>
        <v/>
      </c>
      <c r="T8036">
        <f>LET(
    payment_method,'Loan Tape (S&amp;P)'!P8036,
    occupancy,'Loan Tape (S&amp;P)'!N8036,
    maturity_date,'Loan Tape (S&amp;P)'!L8036,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37">
      <c r="J8037">
        <f>LET(
    lien,'Loan Tape (S&amp;P)'!Q8037,
    IF(lien="First",1.00,
        IF(lien="Second",1.50,
            1.70)))</f>
        <v/>
      </c>
      <c r="K8037">
        <f>LET(
    purpose,'Loan Tape (S&amp;P)'!R8037,
    IF(purpose="Purchase",1.00,
        IF(purpose="Remortgage",1.00,
            1.20)))</f>
        <v/>
      </c>
      <c r="L8037">
        <f>LET(
    arrears_months,'Loan Tape (S&amp;P)'!AN8037,
    IF(arrears_months=0,1.00,
    IF(arrears_months=1,3.00,
    IF(arrears_months=2,5.00,
    IF(arrears_months=3,8.00,
    IF(arrears_months=4,10.00,
    IF(arrears_months=5,12.00,15.00)))))))</f>
        <v/>
      </c>
      <c r="M8037">
        <f>LET(
    seasoning_years,DATEDIF('Loan Tape (S&amp;P)'!K8037,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37">
        <f>IF(AND('Loan Tape (S&amp;P)'!U8037="Yes",
        'Loan Tape (S&amp;P)'!T8037&lt;&gt;"Yes",
        DATEDIF('Loan Tape (S&amp;P)'!K8037, TODAY(), "M")&lt;18),
    1.10,
    1.00)</f>
        <v/>
      </c>
      <c r="O8037">
        <f>IF('Loan Tape (S&amp;P)'!T8037="Yes",
    1.35,
    1.00)</f>
        <v/>
      </c>
      <c r="P8037">
        <f>IF('Loan Tape (S&amp;P)'!S8037="Yes",
    1.15,
    1.00)</f>
        <v/>
      </c>
      <c r="Q8037">
        <f>IF('Loan Tape (S&amp;P)'!V8037="Yes",
    1.20,
    1.00)</f>
        <v/>
      </c>
      <c r="T8037">
        <f>LET(
    payment_method,'Loan Tape (S&amp;P)'!P8037,
    occupancy,'Loan Tape (S&amp;P)'!N8037,
    maturity_date,'Loan Tape (S&amp;P)'!L8037,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38">
      <c r="J8038">
        <f>LET(
    lien,'Loan Tape (S&amp;P)'!Q8038,
    IF(lien="First",1.00,
        IF(lien="Second",1.50,
            1.70)))</f>
        <v/>
      </c>
      <c r="K8038">
        <f>LET(
    purpose,'Loan Tape (S&amp;P)'!R8038,
    IF(purpose="Purchase",1.00,
        IF(purpose="Remortgage",1.00,
            1.20)))</f>
        <v/>
      </c>
      <c r="L8038">
        <f>LET(
    arrears_months,'Loan Tape (S&amp;P)'!AN8038,
    IF(arrears_months=0,1.00,
    IF(arrears_months=1,3.00,
    IF(arrears_months=2,5.00,
    IF(arrears_months=3,8.00,
    IF(arrears_months=4,10.00,
    IF(arrears_months=5,12.00,15.00)))))))</f>
        <v/>
      </c>
      <c r="M8038">
        <f>LET(
    seasoning_years,DATEDIF('Loan Tape (S&amp;P)'!K8038,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38">
        <f>IF(AND('Loan Tape (S&amp;P)'!U8038="Yes",
        'Loan Tape (S&amp;P)'!T8038&lt;&gt;"Yes",
        DATEDIF('Loan Tape (S&amp;P)'!K8038, TODAY(), "M")&lt;18),
    1.10,
    1.00)</f>
        <v/>
      </c>
      <c r="O8038">
        <f>IF('Loan Tape (S&amp;P)'!T8038="Yes",
    1.35,
    1.00)</f>
        <v/>
      </c>
      <c r="P8038">
        <f>IF('Loan Tape (S&amp;P)'!S8038="Yes",
    1.15,
    1.00)</f>
        <v/>
      </c>
      <c r="Q8038">
        <f>IF('Loan Tape (S&amp;P)'!V8038="Yes",
    1.20,
    1.00)</f>
        <v/>
      </c>
      <c r="T8038">
        <f>LET(
    payment_method,'Loan Tape (S&amp;P)'!P8038,
    occupancy,'Loan Tape (S&amp;P)'!N8038,
    maturity_date,'Loan Tape (S&amp;P)'!L8038,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39">
      <c r="J8039">
        <f>LET(
    lien,'Loan Tape (S&amp;P)'!Q8039,
    IF(lien="First",1.00,
        IF(lien="Second",1.50,
            1.70)))</f>
        <v/>
      </c>
      <c r="K8039">
        <f>LET(
    purpose,'Loan Tape (S&amp;P)'!R8039,
    IF(purpose="Purchase",1.00,
        IF(purpose="Remortgage",1.00,
            1.20)))</f>
        <v/>
      </c>
      <c r="L8039">
        <f>LET(
    arrears_months,'Loan Tape (S&amp;P)'!AN8039,
    IF(arrears_months=0,1.00,
    IF(arrears_months=1,3.00,
    IF(arrears_months=2,5.00,
    IF(arrears_months=3,8.00,
    IF(arrears_months=4,10.00,
    IF(arrears_months=5,12.00,15.00)))))))</f>
        <v/>
      </c>
      <c r="M8039">
        <f>LET(
    seasoning_years,DATEDIF('Loan Tape (S&amp;P)'!K8039,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39">
        <f>IF(AND('Loan Tape (S&amp;P)'!U8039="Yes",
        'Loan Tape (S&amp;P)'!T8039&lt;&gt;"Yes",
        DATEDIF('Loan Tape (S&amp;P)'!K8039, TODAY(), "M")&lt;18),
    1.10,
    1.00)</f>
        <v/>
      </c>
      <c r="O8039">
        <f>IF('Loan Tape (S&amp;P)'!T8039="Yes",
    1.35,
    1.00)</f>
        <v/>
      </c>
      <c r="P8039">
        <f>IF('Loan Tape (S&amp;P)'!S8039="Yes",
    1.15,
    1.00)</f>
        <v/>
      </c>
      <c r="Q8039">
        <f>IF('Loan Tape (S&amp;P)'!V8039="Yes",
    1.20,
    1.00)</f>
        <v/>
      </c>
      <c r="T8039">
        <f>LET(
    payment_method,'Loan Tape (S&amp;P)'!P8039,
    occupancy,'Loan Tape (S&amp;P)'!N8039,
    maturity_date,'Loan Tape (S&amp;P)'!L8039,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40">
      <c r="J8040">
        <f>LET(
    lien,'Loan Tape (S&amp;P)'!Q8040,
    IF(lien="First",1.00,
        IF(lien="Second",1.50,
            1.70)))</f>
        <v/>
      </c>
      <c r="K8040">
        <f>LET(
    purpose,'Loan Tape (S&amp;P)'!R8040,
    IF(purpose="Purchase",1.00,
        IF(purpose="Remortgage",1.00,
            1.20)))</f>
        <v/>
      </c>
      <c r="L8040">
        <f>LET(
    arrears_months,'Loan Tape (S&amp;P)'!AN8040,
    IF(arrears_months=0,1.00,
    IF(arrears_months=1,3.00,
    IF(arrears_months=2,5.00,
    IF(arrears_months=3,8.00,
    IF(arrears_months=4,10.00,
    IF(arrears_months=5,12.00,15.00)))))))</f>
        <v/>
      </c>
      <c r="M8040">
        <f>LET(
    seasoning_years,DATEDIF('Loan Tape (S&amp;P)'!K8040,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40">
        <f>IF(AND('Loan Tape (S&amp;P)'!U8040="Yes",
        'Loan Tape (S&amp;P)'!T8040&lt;&gt;"Yes",
        DATEDIF('Loan Tape (S&amp;P)'!K8040, TODAY(), "M")&lt;18),
    1.10,
    1.00)</f>
        <v/>
      </c>
      <c r="O8040">
        <f>IF('Loan Tape (S&amp;P)'!T8040="Yes",
    1.35,
    1.00)</f>
        <v/>
      </c>
      <c r="P8040">
        <f>IF('Loan Tape (S&amp;P)'!S8040="Yes",
    1.15,
    1.00)</f>
        <v/>
      </c>
      <c r="Q8040">
        <f>IF('Loan Tape (S&amp;P)'!V8040="Yes",
    1.20,
    1.00)</f>
        <v/>
      </c>
      <c r="T8040">
        <f>LET(
    payment_method,'Loan Tape (S&amp;P)'!P8040,
    occupancy,'Loan Tape (S&amp;P)'!N8040,
    maturity_date,'Loan Tape (S&amp;P)'!L8040,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41">
      <c r="J8041">
        <f>LET(
    lien,'Loan Tape (S&amp;P)'!Q8041,
    IF(lien="First",1.00,
        IF(lien="Second",1.50,
            1.70)))</f>
        <v/>
      </c>
      <c r="K8041">
        <f>LET(
    purpose,'Loan Tape (S&amp;P)'!R8041,
    IF(purpose="Purchase",1.00,
        IF(purpose="Remortgage",1.00,
            1.20)))</f>
        <v/>
      </c>
      <c r="L8041">
        <f>LET(
    arrears_months,'Loan Tape (S&amp;P)'!AN8041,
    IF(arrears_months=0,1.00,
    IF(arrears_months=1,3.00,
    IF(arrears_months=2,5.00,
    IF(arrears_months=3,8.00,
    IF(arrears_months=4,10.00,
    IF(arrears_months=5,12.00,15.00)))))))</f>
        <v/>
      </c>
      <c r="M8041">
        <f>LET(
    seasoning_years,DATEDIF('Loan Tape (S&amp;P)'!K8041,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41">
        <f>IF(AND('Loan Tape (S&amp;P)'!U8041="Yes",
        'Loan Tape (S&amp;P)'!T8041&lt;&gt;"Yes",
        DATEDIF('Loan Tape (S&amp;P)'!K8041, TODAY(), "M")&lt;18),
    1.10,
    1.00)</f>
        <v/>
      </c>
      <c r="O8041">
        <f>IF('Loan Tape (S&amp;P)'!T8041="Yes",
    1.35,
    1.00)</f>
        <v/>
      </c>
      <c r="P8041">
        <f>IF('Loan Tape (S&amp;P)'!S8041="Yes",
    1.15,
    1.00)</f>
        <v/>
      </c>
      <c r="Q8041">
        <f>IF('Loan Tape (S&amp;P)'!V8041="Yes",
    1.20,
    1.00)</f>
        <v/>
      </c>
      <c r="T8041">
        <f>LET(
    payment_method,'Loan Tape (S&amp;P)'!P8041,
    occupancy,'Loan Tape (S&amp;P)'!N8041,
    maturity_date,'Loan Tape (S&amp;P)'!L8041,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42">
      <c r="J8042">
        <f>LET(
    lien,'Loan Tape (S&amp;P)'!Q8042,
    IF(lien="First",1.00,
        IF(lien="Second",1.50,
            1.70)))</f>
        <v/>
      </c>
      <c r="K8042">
        <f>LET(
    purpose,'Loan Tape (S&amp;P)'!R8042,
    IF(purpose="Purchase",1.00,
        IF(purpose="Remortgage",1.00,
            1.20)))</f>
        <v/>
      </c>
      <c r="L8042">
        <f>LET(
    arrears_months,'Loan Tape (S&amp;P)'!AN8042,
    IF(arrears_months=0,1.00,
    IF(arrears_months=1,3.00,
    IF(arrears_months=2,5.00,
    IF(arrears_months=3,8.00,
    IF(arrears_months=4,10.00,
    IF(arrears_months=5,12.00,15.00)))))))</f>
        <v/>
      </c>
      <c r="M8042">
        <f>LET(
    seasoning_years,DATEDIF('Loan Tape (S&amp;P)'!K8042,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42">
        <f>IF(AND('Loan Tape (S&amp;P)'!U8042="Yes",
        'Loan Tape (S&amp;P)'!T8042&lt;&gt;"Yes",
        DATEDIF('Loan Tape (S&amp;P)'!K8042, TODAY(), "M")&lt;18),
    1.10,
    1.00)</f>
        <v/>
      </c>
      <c r="O8042">
        <f>IF('Loan Tape (S&amp;P)'!T8042="Yes",
    1.35,
    1.00)</f>
        <v/>
      </c>
      <c r="P8042">
        <f>IF('Loan Tape (S&amp;P)'!S8042="Yes",
    1.15,
    1.00)</f>
        <v/>
      </c>
      <c r="Q8042">
        <f>IF('Loan Tape (S&amp;P)'!V8042="Yes",
    1.20,
    1.00)</f>
        <v/>
      </c>
      <c r="T8042">
        <f>LET(
    payment_method,'Loan Tape (S&amp;P)'!P8042,
    occupancy,'Loan Tape (S&amp;P)'!N8042,
    maturity_date,'Loan Tape (S&amp;P)'!L8042,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43">
      <c r="J8043">
        <f>LET(
    lien,'Loan Tape (S&amp;P)'!Q8043,
    IF(lien="First",1.00,
        IF(lien="Second",1.50,
            1.70)))</f>
        <v/>
      </c>
      <c r="K8043">
        <f>LET(
    purpose,'Loan Tape (S&amp;P)'!R8043,
    IF(purpose="Purchase",1.00,
        IF(purpose="Remortgage",1.00,
            1.20)))</f>
        <v/>
      </c>
      <c r="L8043">
        <f>LET(
    arrears_months,'Loan Tape (S&amp;P)'!AN8043,
    IF(arrears_months=0,1.00,
    IF(arrears_months=1,3.00,
    IF(arrears_months=2,5.00,
    IF(arrears_months=3,8.00,
    IF(arrears_months=4,10.00,
    IF(arrears_months=5,12.00,15.00)))))))</f>
        <v/>
      </c>
      <c r="M8043">
        <f>LET(
    seasoning_years,DATEDIF('Loan Tape (S&amp;P)'!K8043,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43">
        <f>IF(AND('Loan Tape (S&amp;P)'!U8043="Yes",
        'Loan Tape (S&amp;P)'!T8043&lt;&gt;"Yes",
        DATEDIF('Loan Tape (S&amp;P)'!K8043, TODAY(), "M")&lt;18),
    1.10,
    1.00)</f>
        <v/>
      </c>
      <c r="O8043">
        <f>IF('Loan Tape (S&amp;P)'!T8043="Yes",
    1.35,
    1.00)</f>
        <v/>
      </c>
      <c r="P8043">
        <f>IF('Loan Tape (S&amp;P)'!S8043="Yes",
    1.15,
    1.00)</f>
        <v/>
      </c>
      <c r="Q8043">
        <f>IF('Loan Tape (S&amp;P)'!V8043="Yes",
    1.20,
    1.00)</f>
        <v/>
      </c>
      <c r="T8043">
        <f>LET(
    payment_method,'Loan Tape (S&amp;P)'!P8043,
    occupancy,'Loan Tape (S&amp;P)'!N8043,
    maturity_date,'Loan Tape (S&amp;P)'!L8043,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44">
      <c r="J8044">
        <f>LET(
    lien,'Loan Tape (S&amp;P)'!Q8044,
    IF(lien="First",1.00,
        IF(lien="Second",1.50,
            1.70)))</f>
        <v/>
      </c>
      <c r="K8044">
        <f>LET(
    purpose,'Loan Tape (S&amp;P)'!R8044,
    IF(purpose="Purchase",1.00,
        IF(purpose="Remortgage",1.00,
            1.20)))</f>
        <v/>
      </c>
      <c r="L8044">
        <f>LET(
    arrears_months,'Loan Tape (S&amp;P)'!AN8044,
    IF(arrears_months=0,1.00,
    IF(arrears_months=1,3.00,
    IF(arrears_months=2,5.00,
    IF(arrears_months=3,8.00,
    IF(arrears_months=4,10.00,
    IF(arrears_months=5,12.00,15.00)))))))</f>
        <v/>
      </c>
      <c r="M8044">
        <f>LET(
    seasoning_years,DATEDIF('Loan Tape (S&amp;P)'!K8044,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44">
        <f>IF(AND('Loan Tape (S&amp;P)'!U8044="Yes",
        'Loan Tape (S&amp;P)'!T8044&lt;&gt;"Yes",
        DATEDIF('Loan Tape (S&amp;P)'!K8044, TODAY(), "M")&lt;18),
    1.10,
    1.00)</f>
        <v/>
      </c>
      <c r="O8044">
        <f>IF('Loan Tape (S&amp;P)'!T8044="Yes",
    1.35,
    1.00)</f>
        <v/>
      </c>
      <c r="P8044">
        <f>IF('Loan Tape (S&amp;P)'!S8044="Yes",
    1.15,
    1.00)</f>
        <v/>
      </c>
      <c r="Q8044">
        <f>IF('Loan Tape (S&amp;P)'!V8044="Yes",
    1.20,
    1.00)</f>
        <v/>
      </c>
      <c r="T8044">
        <f>LET(
    payment_method,'Loan Tape (S&amp;P)'!P8044,
    occupancy,'Loan Tape (S&amp;P)'!N8044,
    maturity_date,'Loan Tape (S&amp;P)'!L8044,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45">
      <c r="J8045">
        <f>LET(
    lien,'Loan Tape (S&amp;P)'!Q8045,
    IF(lien="First",1.00,
        IF(lien="Second",1.50,
            1.70)))</f>
        <v/>
      </c>
      <c r="K8045">
        <f>LET(
    purpose,'Loan Tape (S&amp;P)'!R8045,
    IF(purpose="Purchase",1.00,
        IF(purpose="Remortgage",1.00,
            1.20)))</f>
        <v/>
      </c>
      <c r="L8045">
        <f>LET(
    arrears_months,'Loan Tape (S&amp;P)'!AN8045,
    IF(arrears_months=0,1.00,
    IF(arrears_months=1,3.00,
    IF(arrears_months=2,5.00,
    IF(arrears_months=3,8.00,
    IF(arrears_months=4,10.00,
    IF(arrears_months=5,12.00,15.00)))))))</f>
        <v/>
      </c>
      <c r="M8045">
        <f>LET(
    seasoning_years,DATEDIF('Loan Tape (S&amp;P)'!K8045,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45">
        <f>IF(AND('Loan Tape (S&amp;P)'!U8045="Yes",
        'Loan Tape (S&amp;P)'!T8045&lt;&gt;"Yes",
        DATEDIF('Loan Tape (S&amp;P)'!K8045, TODAY(), "M")&lt;18),
    1.10,
    1.00)</f>
        <v/>
      </c>
      <c r="O8045">
        <f>IF('Loan Tape (S&amp;P)'!T8045="Yes",
    1.35,
    1.00)</f>
        <v/>
      </c>
      <c r="P8045">
        <f>IF('Loan Tape (S&amp;P)'!S8045="Yes",
    1.15,
    1.00)</f>
        <v/>
      </c>
      <c r="Q8045">
        <f>IF('Loan Tape (S&amp;P)'!V8045="Yes",
    1.20,
    1.00)</f>
        <v/>
      </c>
      <c r="T8045">
        <f>LET(
    payment_method,'Loan Tape (S&amp;P)'!P8045,
    occupancy,'Loan Tape (S&amp;P)'!N8045,
    maturity_date,'Loan Tape (S&amp;P)'!L8045,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46">
      <c r="J8046">
        <f>LET(
    lien,'Loan Tape (S&amp;P)'!Q8046,
    IF(lien="First",1.00,
        IF(lien="Second",1.50,
            1.70)))</f>
        <v/>
      </c>
      <c r="K8046">
        <f>LET(
    purpose,'Loan Tape (S&amp;P)'!R8046,
    IF(purpose="Purchase",1.00,
        IF(purpose="Remortgage",1.00,
            1.20)))</f>
        <v/>
      </c>
      <c r="L8046">
        <f>LET(
    arrears_months,'Loan Tape (S&amp;P)'!AN8046,
    IF(arrears_months=0,1.00,
    IF(arrears_months=1,3.00,
    IF(arrears_months=2,5.00,
    IF(arrears_months=3,8.00,
    IF(arrears_months=4,10.00,
    IF(arrears_months=5,12.00,15.00)))))))</f>
        <v/>
      </c>
      <c r="M8046">
        <f>LET(
    seasoning_years,DATEDIF('Loan Tape (S&amp;P)'!K8046,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46">
        <f>IF(AND('Loan Tape (S&amp;P)'!U8046="Yes",
        'Loan Tape (S&amp;P)'!T8046&lt;&gt;"Yes",
        DATEDIF('Loan Tape (S&amp;P)'!K8046, TODAY(), "M")&lt;18),
    1.10,
    1.00)</f>
        <v/>
      </c>
      <c r="O8046">
        <f>IF('Loan Tape (S&amp;P)'!T8046="Yes",
    1.35,
    1.00)</f>
        <v/>
      </c>
      <c r="P8046">
        <f>IF('Loan Tape (S&amp;P)'!S8046="Yes",
    1.15,
    1.00)</f>
        <v/>
      </c>
      <c r="Q8046">
        <f>IF('Loan Tape (S&amp;P)'!V8046="Yes",
    1.20,
    1.00)</f>
        <v/>
      </c>
      <c r="T8046">
        <f>LET(
    payment_method,'Loan Tape (S&amp;P)'!P8046,
    occupancy,'Loan Tape (S&amp;P)'!N8046,
    maturity_date,'Loan Tape (S&amp;P)'!L8046,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47">
      <c r="J8047">
        <f>LET(
    lien,'Loan Tape (S&amp;P)'!Q8047,
    IF(lien="First",1.00,
        IF(lien="Second",1.50,
            1.70)))</f>
        <v/>
      </c>
      <c r="K8047">
        <f>LET(
    purpose,'Loan Tape (S&amp;P)'!R8047,
    IF(purpose="Purchase",1.00,
        IF(purpose="Remortgage",1.00,
            1.20)))</f>
        <v/>
      </c>
      <c r="L8047">
        <f>LET(
    arrears_months,'Loan Tape (S&amp;P)'!AN8047,
    IF(arrears_months=0,1.00,
    IF(arrears_months=1,3.00,
    IF(arrears_months=2,5.00,
    IF(arrears_months=3,8.00,
    IF(arrears_months=4,10.00,
    IF(arrears_months=5,12.00,15.00)))))))</f>
        <v/>
      </c>
      <c r="M8047">
        <f>LET(
    seasoning_years,DATEDIF('Loan Tape (S&amp;P)'!K8047,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47">
        <f>IF(AND('Loan Tape (S&amp;P)'!U8047="Yes",
        'Loan Tape (S&amp;P)'!T8047&lt;&gt;"Yes",
        DATEDIF('Loan Tape (S&amp;P)'!K8047, TODAY(), "M")&lt;18),
    1.10,
    1.00)</f>
        <v/>
      </c>
      <c r="O8047">
        <f>IF('Loan Tape (S&amp;P)'!T8047="Yes",
    1.35,
    1.00)</f>
        <v/>
      </c>
      <c r="P8047">
        <f>IF('Loan Tape (S&amp;P)'!S8047="Yes",
    1.15,
    1.00)</f>
        <v/>
      </c>
      <c r="Q8047">
        <f>IF('Loan Tape (S&amp;P)'!V8047="Yes",
    1.20,
    1.00)</f>
        <v/>
      </c>
      <c r="T8047">
        <f>LET(
    payment_method,'Loan Tape (S&amp;P)'!P8047,
    occupancy,'Loan Tape (S&amp;P)'!N8047,
    maturity_date,'Loan Tape (S&amp;P)'!L8047,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48">
      <c r="J8048">
        <f>LET(
    lien,'Loan Tape (S&amp;P)'!Q8048,
    IF(lien="First",1.00,
        IF(lien="Second",1.50,
            1.70)))</f>
        <v/>
      </c>
      <c r="K8048">
        <f>LET(
    purpose,'Loan Tape (S&amp;P)'!R8048,
    IF(purpose="Purchase",1.00,
        IF(purpose="Remortgage",1.00,
            1.20)))</f>
        <v/>
      </c>
      <c r="L8048">
        <f>LET(
    arrears_months,'Loan Tape (S&amp;P)'!AN8048,
    IF(arrears_months=0,1.00,
    IF(arrears_months=1,3.00,
    IF(arrears_months=2,5.00,
    IF(arrears_months=3,8.00,
    IF(arrears_months=4,10.00,
    IF(arrears_months=5,12.00,15.00)))))))</f>
        <v/>
      </c>
      <c r="M8048">
        <f>LET(
    seasoning_years,DATEDIF('Loan Tape (S&amp;P)'!K8048,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48">
        <f>IF(AND('Loan Tape (S&amp;P)'!U8048="Yes",
        'Loan Tape (S&amp;P)'!T8048&lt;&gt;"Yes",
        DATEDIF('Loan Tape (S&amp;P)'!K8048, TODAY(), "M")&lt;18),
    1.10,
    1.00)</f>
        <v/>
      </c>
      <c r="O8048">
        <f>IF('Loan Tape (S&amp;P)'!T8048="Yes",
    1.35,
    1.00)</f>
        <v/>
      </c>
      <c r="P8048">
        <f>IF('Loan Tape (S&amp;P)'!S8048="Yes",
    1.15,
    1.00)</f>
        <v/>
      </c>
      <c r="Q8048">
        <f>IF('Loan Tape (S&amp;P)'!V8048="Yes",
    1.20,
    1.00)</f>
        <v/>
      </c>
      <c r="T8048">
        <f>LET(
    payment_method,'Loan Tape (S&amp;P)'!P8048,
    occupancy,'Loan Tape (S&amp;P)'!N8048,
    maturity_date,'Loan Tape (S&amp;P)'!L8048,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49">
      <c r="J8049">
        <f>LET(
    lien,'Loan Tape (S&amp;P)'!Q8049,
    IF(lien="First",1.00,
        IF(lien="Second",1.50,
            1.70)))</f>
        <v/>
      </c>
      <c r="K8049">
        <f>LET(
    purpose,'Loan Tape (S&amp;P)'!R8049,
    IF(purpose="Purchase",1.00,
        IF(purpose="Remortgage",1.00,
            1.20)))</f>
        <v/>
      </c>
      <c r="L8049">
        <f>LET(
    arrears_months,'Loan Tape (S&amp;P)'!AN8049,
    IF(arrears_months=0,1.00,
    IF(arrears_months=1,3.00,
    IF(arrears_months=2,5.00,
    IF(arrears_months=3,8.00,
    IF(arrears_months=4,10.00,
    IF(arrears_months=5,12.00,15.00)))))))</f>
        <v/>
      </c>
      <c r="M8049">
        <f>LET(
    seasoning_years,DATEDIF('Loan Tape (S&amp;P)'!K8049,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49">
        <f>IF(AND('Loan Tape (S&amp;P)'!U8049="Yes",
        'Loan Tape (S&amp;P)'!T8049&lt;&gt;"Yes",
        DATEDIF('Loan Tape (S&amp;P)'!K8049, TODAY(), "M")&lt;18),
    1.10,
    1.00)</f>
        <v/>
      </c>
      <c r="O8049">
        <f>IF('Loan Tape (S&amp;P)'!T8049="Yes",
    1.35,
    1.00)</f>
        <v/>
      </c>
      <c r="P8049">
        <f>IF('Loan Tape (S&amp;P)'!S8049="Yes",
    1.15,
    1.00)</f>
        <v/>
      </c>
      <c r="Q8049">
        <f>IF('Loan Tape (S&amp;P)'!V8049="Yes",
    1.20,
    1.00)</f>
        <v/>
      </c>
      <c r="T8049">
        <f>LET(
    payment_method,'Loan Tape (S&amp;P)'!P8049,
    occupancy,'Loan Tape (S&amp;P)'!N8049,
    maturity_date,'Loan Tape (S&amp;P)'!L8049,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50">
      <c r="J8050">
        <f>LET(
    lien,'Loan Tape (S&amp;P)'!Q8050,
    IF(lien="First",1.00,
        IF(lien="Second",1.50,
            1.70)))</f>
        <v/>
      </c>
      <c r="K8050">
        <f>LET(
    purpose,'Loan Tape (S&amp;P)'!R8050,
    IF(purpose="Purchase",1.00,
        IF(purpose="Remortgage",1.00,
            1.20)))</f>
        <v/>
      </c>
      <c r="L8050">
        <f>LET(
    arrears_months,'Loan Tape (S&amp;P)'!AN8050,
    IF(arrears_months=0,1.00,
    IF(arrears_months=1,3.00,
    IF(arrears_months=2,5.00,
    IF(arrears_months=3,8.00,
    IF(arrears_months=4,10.00,
    IF(arrears_months=5,12.00,15.00)))))))</f>
        <v/>
      </c>
      <c r="M8050">
        <f>LET(
    seasoning_years,DATEDIF('Loan Tape (S&amp;P)'!K8050,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50">
        <f>IF(AND('Loan Tape (S&amp;P)'!U8050="Yes",
        'Loan Tape (S&amp;P)'!T8050&lt;&gt;"Yes",
        DATEDIF('Loan Tape (S&amp;P)'!K8050, TODAY(), "M")&lt;18),
    1.10,
    1.00)</f>
        <v/>
      </c>
      <c r="O8050">
        <f>IF('Loan Tape (S&amp;P)'!T8050="Yes",
    1.35,
    1.00)</f>
        <v/>
      </c>
      <c r="P8050">
        <f>IF('Loan Tape (S&amp;P)'!S8050="Yes",
    1.15,
    1.00)</f>
        <v/>
      </c>
      <c r="Q8050">
        <f>IF('Loan Tape (S&amp;P)'!V8050="Yes",
    1.20,
    1.00)</f>
        <v/>
      </c>
      <c r="T8050">
        <f>LET(
    payment_method,'Loan Tape (S&amp;P)'!P8050,
    occupancy,'Loan Tape (S&amp;P)'!N8050,
    maturity_date,'Loan Tape (S&amp;P)'!L8050,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51">
      <c r="J8051">
        <f>LET(
    lien,'Loan Tape (S&amp;P)'!Q8051,
    IF(lien="First",1.00,
        IF(lien="Second",1.50,
            1.70)))</f>
        <v/>
      </c>
      <c r="K8051">
        <f>LET(
    purpose,'Loan Tape (S&amp;P)'!R8051,
    IF(purpose="Purchase",1.00,
        IF(purpose="Remortgage",1.00,
            1.20)))</f>
        <v/>
      </c>
      <c r="L8051">
        <f>LET(
    arrears_months,'Loan Tape (S&amp;P)'!AN8051,
    IF(arrears_months=0,1.00,
    IF(arrears_months=1,3.00,
    IF(arrears_months=2,5.00,
    IF(arrears_months=3,8.00,
    IF(arrears_months=4,10.00,
    IF(arrears_months=5,12.00,15.00)))))))</f>
        <v/>
      </c>
      <c r="M8051">
        <f>LET(
    seasoning_years,DATEDIF('Loan Tape (S&amp;P)'!K8051,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51">
        <f>IF(AND('Loan Tape (S&amp;P)'!U8051="Yes",
        'Loan Tape (S&amp;P)'!T8051&lt;&gt;"Yes",
        DATEDIF('Loan Tape (S&amp;P)'!K8051, TODAY(), "M")&lt;18),
    1.10,
    1.00)</f>
        <v/>
      </c>
      <c r="O8051">
        <f>IF('Loan Tape (S&amp;P)'!T8051="Yes",
    1.35,
    1.00)</f>
        <v/>
      </c>
      <c r="P8051">
        <f>IF('Loan Tape (S&amp;P)'!S8051="Yes",
    1.15,
    1.00)</f>
        <v/>
      </c>
      <c r="Q8051">
        <f>IF('Loan Tape (S&amp;P)'!V8051="Yes",
    1.20,
    1.00)</f>
        <v/>
      </c>
      <c r="T8051">
        <f>LET(
    payment_method,'Loan Tape (S&amp;P)'!P8051,
    occupancy,'Loan Tape (S&amp;P)'!N8051,
    maturity_date,'Loan Tape (S&amp;P)'!L8051,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52">
      <c r="J8052">
        <f>LET(
    lien,'Loan Tape (S&amp;P)'!Q8052,
    IF(lien="First",1.00,
        IF(lien="Second",1.50,
            1.70)))</f>
        <v/>
      </c>
      <c r="K8052">
        <f>LET(
    purpose,'Loan Tape (S&amp;P)'!R8052,
    IF(purpose="Purchase",1.00,
        IF(purpose="Remortgage",1.00,
            1.20)))</f>
        <v/>
      </c>
      <c r="L8052">
        <f>LET(
    arrears_months,'Loan Tape (S&amp;P)'!AN8052,
    IF(arrears_months=0,1.00,
    IF(arrears_months=1,3.00,
    IF(arrears_months=2,5.00,
    IF(arrears_months=3,8.00,
    IF(arrears_months=4,10.00,
    IF(arrears_months=5,12.00,15.00)))))))</f>
        <v/>
      </c>
      <c r="M8052">
        <f>LET(
    seasoning_years,DATEDIF('Loan Tape (S&amp;P)'!K8052,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52">
        <f>IF(AND('Loan Tape (S&amp;P)'!U8052="Yes",
        'Loan Tape (S&amp;P)'!T8052&lt;&gt;"Yes",
        DATEDIF('Loan Tape (S&amp;P)'!K8052, TODAY(), "M")&lt;18),
    1.10,
    1.00)</f>
        <v/>
      </c>
      <c r="O8052">
        <f>IF('Loan Tape (S&amp;P)'!T8052="Yes",
    1.35,
    1.00)</f>
        <v/>
      </c>
      <c r="P8052">
        <f>IF('Loan Tape (S&amp;P)'!S8052="Yes",
    1.15,
    1.00)</f>
        <v/>
      </c>
      <c r="Q8052">
        <f>IF('Loan Tape (S&amp;P)'!V8052="Yes",
    1.20,
    1.00)</f>
        <v/>
      </c>
      <c r="T8052">
        <f>LET(
    payment_method,'Loan Tape (S&amp;P)'!P8052,
    occupancy,'Loan Tape (S&amp;P)'!N8052,
    maturity_date,'Loan Tape (S&amp;P)'!L8052,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53">
      <c r="J8053">
        <f>LET(
    lien,'Loan Tape (S&amp;P)'!Q8053,
    IF(lien="First",1.00,
        IF(lien="Second",1.50,
            1.70)))</f>
        <v/>
      </c>
      <c r="K8053">
        <f>LET(
    purpose,'Loan Tape (S&amp;P)'!R8053,
    IF(purpose="Purchase",1.00,
        IF(purpose="Remortgage",1.00,
            1.20)))</f>
        <v/>
      </c>
      <c r="L8053">
        <f>LET(
    arrears_months,'Loan Tape (S&amp;P)'!AN8053,
    IF(arrears_months=0,1.00,
    IF(arrears_months=1,3.00,
    IF(arrears_months=2,5.00,
    IF(arrears_months=3,8.00,
    IF(arrears_months=4,10.00,
    IF(arrears_months=5,12.00,15.00)))))))</f>
        <v/>
      </c>
      <c r="M8053">
        <f>LET(
    seasoning_years,DATEDIF('Loan Tape (S&amp;P)'!K8053,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53">
        <f>IF(AND('Loan Tape (S&amp;P)'!U8053="Yes",
        'Loan Tape (S&amp;P)'!T8053&lt;&gt;"Yes",
        DATEDIF('Loan Tape (S&amp;P)'!K8053, TODAY(), "M")&lt;18),
    1.10,
    1.00)</f>
        <v/>
      </c>
      <c r="O8053">
        <f>IF('Loan Tape (S&amp;P)'!T8053="Yes",
    1.35,
    1.00)</f>
        <v/>
      </c>
      <c r="P8053">
        <f>IF('Loan Tape (S&amp;P)'!S8053="Yes",
    1.15,
    1.00)</f>
        <v/>
      </c>
      <c r="Q8053">
        <f>IF('Loan Tape (S&amp;P)'!V8053="Yes",
    1.20,
    1.00)</f>
        <v/>
      </c>
      <c r="T8053">
        <f>LET(
    payment_method,'Loan Tape (S&amp;P)'!P8053,
    occupancy,'Loan Tape (S&amp;P)'!N8053,
    maturity_date,'Loan Tape (S&amp;P)'!L8053,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54">
      <c r="J8054">
        <f>LET(
    lien,'Loan Tape (S&amp;P)'!Q8054,
    IF(lien="First",1.00,
        IF(lien="Second",1.50,
            1.70)))</f>
        <v/>
      </c>
      <c r="K8054">
        <f>LET(
    purpose,'Loan Tape (S&amp;P)'!R8054,
    IF(purpose="Purchase",1.00,
        IF(purpose="Remortgage",1.00,
            1.20)))</f>
        <v/>
      </c>
      <c r="L8054">
        <f>LET(
    arrears_months,'Loan Tape (S&amp;P)'!AN8054,
    IF(arrears_months=0,1.00,
    IF(arrears_months=1,3.00,
    IF(arrears_months=2,5.00,
    IF(arrears_months=3,8.00,
    IF(arrears_months=4,10.00,
    IF(arrears_months=5,12.00,15.00)))))))</f>
        <v/>
      </c>
      <c r="M8054">
        <f>LET(
    seasoning_years,DATEDIF('Loan Tape (S&amp;P)'!K8054,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54">
        <f>IF(AND('Loan Tape (S&amp;P)'!U8054="Yes",
        'Loan Tape (S&amp;P)'!T8054&lt;&gt;"Yes",
        DATEDIF('Loan Tape (S&amp;P)'!K8054, TODAY(), "M")&lt;18),
    1.10,
    1.00)</f>
        <v/>
      </c>
      <c r="O8054">
        <f>IF('Loan Tape (S&amp;P)'!T8054="Yes",
    1.35,
    1.00)</f>
        <v/>
      </c>
      <c r="P8054">
        <f>IF('Loan Tape (S&amp;P)'!S8054="Yes",
    1.15,
    1.00)</f>
        <v/>
      </c>
      <c r="Q8054">
        <f>IF('Loan Tape (S&amp;P)'!V8054="Yes",
    1.20,
    1.00)</f>
        <v/>
      </c>
      <c r="T8054">
        <f>LET(
    payment_method,'Loan Tape (S&amp;P)'!P8054,
    occupancy,'Loan Tape (S&amp;P)'!N8054,
    maturity_date,'Loan Tape (S&amp;P)'!L8054,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55">
      <c r="J8055">
        <f>LET(
    lien,'Loan Tape (S&amp;P)'!Q8055,
    IF(lien="First",1.00,
        IF(lien="Second",1.50,
            1.70)))</f>
        <v/>
      </c>
      <c r="K8055">
        <f>LET(
    purpose,'Loan Tape (S&amp;P)'!R8055,
    IF(purpose="Purchase",1.00,
        IF(purpose="Remortgage",1.00,
            1.20)))</f>
        <v/>
      </c>
      <c r="L8055">
        <f>LET(
    arrears_months,'Loan Tape (S&amp;P)'!AN8055,
    IF(arrears_months=0,1.00,
    IF(arrears_months=1,3.00,
    IF(arrears_months=2,5.00,
    IF(arrears_months=3,8.00,
    IF(arrears_months=4,10.00,
    IF(arrears_months=5,12.00,15.00)))))))</f>
        <v/>
      </c>
      <c r="M8055">
        <f>LET(
    seasoning_years,DATEDIF('Loan Tape (S&amp;P)'!K8055,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55">
        <f>IF(AND('Loan Tape (S&amp;P)'!U8055="Yes",
        'Loan Tape (S&amp;P)'!T8055&lt;&gt;"Yes",
        DATEDIF('Loan Tape (S&amp;P)'!K8055, TODAY(), "M")&lt;18),
    1.10,
    1.00)</f>
        <v/>
      </c>
      <c r="O8055">
        <f>IF('Loan Tape (S&amp;P)'!T8055="Yes",
    1.35,
    1.00)</f>
        <v/>
      </c>
      <c r="P8055">
        <f>IF('Loan Tape (S&amp;P)'!S8055="Yes",
    1.15,
    1.00)</f>
        <v/>
      </c>
      <c r="Q8055">
        <f>IF('Loan Tape (S&amp;P)'!V8055="Yes",
    1.20,
    1.00)</f>
        <v/>
      </c>
      <c r="T8055">
        <f>LET(
    payment_method,'Loan Tape (S&amp;P)'!P8055,
    occupancy,'Loan Tape (S&amp;P)'!N8055,
    maturity_date,'Loan Tape (S&amp;P)'!L8055,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56">
      <c r="J8056">
        <f>LET(
    lien,'Loan Tape (S&amp;P)'!Q8056,
    IF(lien="First",1.00,
        IF(lien="Second",1.50,
            1.70)))</f>
        <v/>
      </c>
      <c r="K8056">
        <f>LET(
    purpose,'Loan Tape (S&amp;P)'!R8056,
    IF(purpose="Purchase",1.00,
        IF(purpose="Remortgage",1.00,
            1.20)))</f>
        <v/>
      </c>
      <c r="L8056">
        <f>LET(
    arrears_months,'Loan Tape (S&amp;P)'!AN8056,
    IF(arrears_months=0,1.00,
    IF(arrears_months=1,3.00,
    IF(arrears_months=2,5.00,
    IF(arrears_months=3,8.00,
    IF(arrears_months=4,10.00,
    IF(arrears_months=5,12.00,15.00)))))))</f>
        <v/>
      </c>
      <c r="M8056">
        <f>LET(
    seasoning_years,DATEDIF('Loan Tape (S&amp;P)'!K8056,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56">
        <f>IF(AND('Loan Tape (S&amp;P)'!U8056="Yes",
        'Loan Tape (S&amp;P)'!T8056&lt;&gt;"Yes",
        DATEDIF('Loan Tape (S&amp;P)'!K8056, TODAY(), "M")&lt;18),
    1.10,
    1.00)</f>
        <v/>
      </c>
      <c r="O8056">
        <f>IF('Loan Tape (S&amp;P)'!T8056="Yes",
    1.35,
    1.00)</f>
        <v/>
      </c>
      <c r="P8056">
        <f>IF('Loan Tape (S&amp;P)'!S8056="Yes",
    1.15,
    1.00)</f>
        <v/>
      </c>
      <c r="Q8056">
        <f>IF('Loan Tape (S&amp;P)'!V8056="Yes",
    1.20,
    1.00)</f>
        <v/>
      </c>
      <c r="T8056">
        <f>LET(
    payment_method,'Loan Tape (S&amp;P)'!P8056,
    occupancy,'Loan Tape (S&amp;P)'!N8056,
    maturity_date,'Loan Tape (S&amp;P)'!L8056,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57">
      <c r="J8057">
        <f>LET(
    lien,'Loan Tape (S&amp;P)'!Q8057,
    IF(lien="First",1.00,
        IF(lien="Second",1.50,
            1.70)))</f>
        <v/>
      </c>
      <c r="K8057">
        <f>LET(
    purpose,'Loan Tape (S&amp;P)'!R8057,
    IF(purpose="Purchase",1.00,
        IF(purpose="Remortgage",1.00,
            1.20)))</f>
        <v/>
      </c>
      <c r="L8057">
        <f>LET(
    arrears_months,'Loan Tape (S&amp;P)'!AN8057,
    IF(arrears_months=0,1.00,
    IF(arrears_months=1,3.00,
    IF(arrears_months=2,5.00,
    IF(arrears_months=3,8.00,
    IF(arrears_months=4,10.00,
    IF(arrears_months=5,12.00,15.00)))))))</f>
        <v/>
      </c>
      <c r="M8057">
        <f>LET(
    seasoning_years,DATEDIF('Loan Tape (S&amp;P)'!K8057,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57">
        <f>IF(AND('Loan Tape (S&amp;P)'!U8057="Yes",
        'Loan Tape (S&amp;P)'!T8057&lt;&gt;"Yes",
        DATEDIF('Loan Tape (S&amp;P)'!K8057, TODAY(), "M")&lt;18),
    1.10,
    1.00)</f>
        <v/>
      </c>
      <c r="O8057">
        <f>IF('Loan Tape (S&amp;P)'!T8057="Yes",
    1.35,
    1.00)</f>
        <v/>
      </c>
      <c r="P8057">
        <f>IF('Loan Tape (S&amp;P)'!S8057="Yes",
    1.15,
    1.00)</f>
        <v/>
      </c>
      <c r="Q8057">
        <f>IF('Loan Tape (S&amp;P)'!V8057="Yes",
    1.20,
    1.00)</f>
        <v/>
      </c>
      <c r="T8057">
        <f>LET(
    payment_method,'Loan Tape (S&amp;P)'!P8057,
    occupancy,'Loan Tape (S&amp;P)'!N8057,
    maturity_date,'Loan Tape (S&amp;P)'!L8057,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58">
      <c r="J8058">
        <f>LET(
    lien,'Loan Tape (S&amp;P)'!Q8058,
    IF(lien="First",1.00,
        IF(lien="Second",1.50,
            1.70)))</f>
        <v/>
      </c>
      <c r="K8058">
        <f>LET(
    purpose,'Loan Tape (S&amp;P)'!R8058,
    IF(purpose="Purchase",1.00,
        IF(purpose="Remortgage",1.00,
            1.20)))</f>
        <v/>
      </c>
      <c r="L8058">
        <f>LET(
    arrears_months,'Loan Tape (S&amp;P)'!AN8058,
    IF(arrears_months=0,1.00,
    IF(arrears_months=1,3.00,
    IF(arrears_months=2,5.00,
    IF(arrears_months=3,8.00,
    IF(arrears_months=4,10.00,
    IF(arrears_months=5,12.00,15.00)))))))</f>
        <v/>
      </c>
      <c r="M8058">
        <f>LET(
    seasoning_years,DATEDIF('Loan Tape (S&amp;P)'!K8058,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58">
        <f>IF(AND('Loan Tape (S&amp;P)'!U8058="Yes",
        'Loan Tape (S&amp;P)'!T8058&lt;&gt;"Yes",
        DATEDIF('Loan Tape (S&amp;P)'!K8058, TODAY(), "M")&lt;18),
    1.10,
    1.00)</f>
        <v/>
      </c>
      <c r="O8058">
        <f>IF('Loan Tape (S&amp;P)'!T8058="Yes",
    1.35,
    1.00)</f>
        <v/>
      </c>
      <c r="P8058">
        <f>IF('Loan Tape (S&amp;P)'!S8058="Yes",
    1.15,
    1.00)</f>
        <v/>
      </c>
      <c r="Q8058">
        <f>IF('Loan Tape (S&amp;P)'!V8058="Yes",
    1.20,
    1.00)</f>
        <v/>
      </c>
      <c r="T8058">
        <f>LET(
    payment_method,'Loan Tape (S&amp;P)'!P8058,
    occupancy,'Loan Tape (S&amp;P)'!N8058,
    maturity_date,'Loan Tape (S&amp;P)'!L8058,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59">
      <c r="J8059">
        <f>LET(
    lien,'Loan Tape (S&amp;P)'!Q8059,
    IF(lien="First",1.00,
        IF(lien="Second",1.50,
            1.70)))</f>
        <v/>
      </c>
      <c r="K8059">
        <f>LET(
    purpose,'Loan Tape (S&amp;P)'!R8059,
    IF(purpose="Purchase",1.00,
        IF(purpose="Remortgage",1.00,
            1.20)))</f>
        <v/>
      </c>
      <c r="L8059">
        <f>LET(
    arrears_months,'Loan Tape (S&amp;P)'!AN8059,
    IF(arrears_months=0,1.00,
    IF(arrears_months=1,3.00,
    IF(arrears_months=2,5.00,
    IF(arrears_months=3,8.00,
    IF(arrears_months=4,10.00,
    IF(arrears_months=5,12.00,15.00)))))))</f>
        <v/>
      </c>
      <c r="M8059">
        <f>LET(
    seasoning_years,DATEDIF('Loan Tape (S&amp;P)'!K8059,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59">
        <f>IF(AND('Loan Tape (S&amp;P)'!U8059="Yes",
        'Loan Tape (S&amp;P)'!T8059&lt;&gt;"Yes",
        DATEDIF('Loan Tape (S&amp;P)'!K8059, TODAY(), "M")&lt;18),
    1.10,
    1.00)</f>
        <v/>
      </c>
      <c r="O8059">
        <f>IF('Loan Tape (S&amp;P)'!T8059="Yes",
    1.35,
    1.00)</f>
        <v/>
      </c>
      <c r="P8059">
        <f>IF('Loan Tape (S&amp;P)'!S8059="Yes",
    1.15,
    1.00)</f>
        <v/>
      </c>
      <c r="Q8059">
        <f>IF('Loan Tape (S&amp;P)'!V8059="Yes",
    1.20,
    1.00)</f>
        <v/>
      </c>
      <c r="T8059">
        <f>LET(
    payment_method,'Loan Tape (S&amp;P)'!P8059,
    occupancy,'Loan Tape (S&amp;P)'!N8059,
    maturity_date,'Loan Tape (S&amp;P)'!L8059,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60">
      <c r="J8060">
        <f>LET(
    lien,'Loan Tape (S&amp;P)'!Q8060,
    IF(lien="First",1.00,
        IF(lien="Second",1.50,
            1.70)))</f>
        <v/>
      </c>
      <c r="K8060">
        <f>LET(
    purpose,'Loan Tape (S&amp;P)'!R8060,
    IF(purpose="Purchase",1.00,
        IF(purpose="Remortgage",1.00,
            1.20)))</f>
        <v/>
      </c>
      <c r="L8060">
        <f>LET(
    arrears_months,'Loan Tape (S&amp;P)'!AN8060,
    IF(arrears_months=0,1.00,
    IF(arrears_months=1,3.00,
    IF(arrears_months=2,5.00,
    IF(arrears_months=3,8.00,
    IF(arrears_months=4,10.00,
    IF(arrears_months=5,12.00,15.00)))))))</f>
        <v/>
      </c>
      <c r="M8060">
        <f>LET(
    seasoning_years,DATEDIF('Loan Tape (S&amp;P)'!K8060,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60">
        <f>IF(AND('Loan Tape (S&amp;P)'!U8060="Yes",
        'Loan Tape (S&amp;P)'!T8060&lt;&gt;"Yes",
        DATEDIF('Loan Tape (S&amp;P)'!K8060, TODAY(), "M")&lt;18),
    1.10,
    1.00)</f>
        <v/>
      </c>
      <c r="O8060">
        <f>IF('Loan Tape (S&amp;P)'!T8060="Yes",
    1.35,
    1.00)</f>
        <v/>
      </c>
      <c r="P8060">
        <f>IF('Loan Tape (S&amp;P)'!S8060="Yes",
    1.15,
    1.00)</f>
        <v/>
      </c>
      <c r="Q8060">
        <f>IF('Loan Tape (S&amp;P)'!V8060="Yes",
    1.20,
    1.00)</f>
        <v/>
      </c>
      <c r="T8060">
        <f>LET(
    payment_method,'Loan Tape (S&amp;P)'!P8060,
    occupancy,'Loan Tape (S&amp;P)'!N8060,
    maturity_date,'Loan Tape (S&amp;P)'!L8060,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61">
      <c r="J8061">
        <f>LET(
    lien,'Loan Tape (S&amp;P)'!Q8061,
    IF(lien="First",1.00,
        IF(lien="Second",1.50,
            1.70)))</f>
        <v/>
      </c>
      <c r="K8061">
        <f>LET(
    purpose,'Loan Tape (S&amp;P)'!R8061,
    IF(purpose="Purchase",1.00,
        IF(purpose="Remortgage",1.00,
            1.20)))</f>
        <v/>
      </c>
      <c r="L8061">
        <f>LET(
    arrears_months,'Loan Tape (S&amp;P)'!AN8061,
    IF(arrears_months=0,1.00,
    IF(arrears_months=1,3.00,
    IF(arrears_months=2,5.00,
    IF(arrears_months=3,8.00,
    IF(arrears_months=4,10.00,
    IF(arrears_months=5,12.00,15.00)))))))</f>
        <v/>
      </c>
      <c r="M8061">
        <f>LET(
    seasoning_years,DATEDIF('Loan Tape (S&amp;P)'!K8061,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61">
        <f>IF(AND('Loan Tape (S&amp;P)'!U8061="Yes",
        'Loan Tape (S&amp;P)'!T8061&lt;&gt;"Yes",
        DATEDIF('Loan Tape (S&amp;P)'!K8061, TODAY(), "M")&lt;18),
    1.10,
    1.00)</f>
        <v/>
      </c>
      <c r="O8061">
        <f>IF('Loan Tape (S&amp;P)'!T8061="Yes",
    1.35,
    1.00)</f>
        <v/>
      </c>
      <c r="P8061">
        <f>IF('Loan Tape (S&amp;P)'!S8061="Yes",
    1.15,
    1.00)</f>
        <v/>
      </c>
      <c r="Q8061">
        <f>IF('Loan Tape (S&amp;P)'!V8061="Yes",
    1.20,
    1.00)</f>
        <v/>
      </c>
      <c r="T8061">
        <f>LET(
    payment_method,'Loan Tape (S&amp;P)'!P8061,
    occupancy,'Loan Tape (S&amp;P)'!N8061,
    maturity_date,'Loan Tape (S&amp;P)'!L8061,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62">
      <c r="J8062">
        <f>LET(
    lien,'Loan Tape (S&amp;P)'!Q8062,
    IF(lien="First",1.00,
        IF(lien="Second",1.50,
            1.70)))</f>
        <v/>
      </c>
      <c r="K8062">
        <f>LET(
    purpose,'Loan Tape (S&amp;P)'!R8062,
    IF(purpose="Purchase",1.00,
        IF(purpose="Remortgage",1.00,
            1.20)))</f>
        <v/>
      </c>
      <c r="L8062">
        <f>LET(
    arrears_months,'Loan Tape (S&amp;P)'!AN8062,
    IF(arrears_months=0,1.00,
    IF(arrears_months=1,3.00,
    IF(arrears_months=2,5.00,
    IF(arrears_months=3,8.00,
    IF(arrears_months=4,10.00,
    IF(arrears_months=5,12.00,15.00)))))))</f>
        <v/>
      </c>
      <c r="M8062">
        <f>LET(
    seasoning_years,DATEDIF('Loan Tape (S&amp;P)'!K8062,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62">
        <f>IF(AND('Loan Tape (S&amp;P)'!U8062="Yes",
        'Loan Tape (S&amp;P)'!T8062&lt;&gt;"Yes",
        DATEDIF('Loan Tape (S&amp;P)'!K8062, TODAY(), "M")&lt;18),
    1.10,
    1.00)</f>
        <v/>
      </c>
      <c r="O8062">
        <f>IF('Loan Tape (S&amp;P)'!T8062="Yes",
    1.35,
    1.00)</f>
        <v/>
      </c>
      <c r="P8062">
        <f>IF('Loan Tape (S&amp;P)'!S8062="Yes",
    1.15,
    1.00)</f>
        <v/>
      </c>
      <c r="Q8062">
        <f>IF('Loan Tape (S&amp;P)'!V8062="Yes",
    1.20,
    1.00)</f>
        <v/>
      </c>
      <c r="T8062">
        <f>LET(
    payment_method,'Loan Tape (S&amp;P)'!P8062,
    occupancy,'Loan Tape (S&amp;P)'!N8062,
    maturity_date,'Loan Tape (S&amp;P)'!L8062,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63">
      <c r="J8063">
        <f>LET(
    lien,'Loan Tape (S&amp;P)'!Q8063,
    IF(lien="First",1.00,
        IF(lien="Second",1.50,
            1.70)))</f>
        <v/>
      </c>
      <c r="K8063">
        <f>LET(
    purpose,'Loan Tape (S&amp;P)'!R8063,
    IF(purpose="Purchase",1.00,
        IF(purpose="Remortgage",1.00,
            1.20)))</f>
        <v/>
      </c>
      <c r="L8063">
        <f>LET(
    arrears_months,'Loan Tape (S&amp;P)'!AN8063,
    IF(arrears_months=0,1.00,
    IF(arrears_months=1,3.00,
    IF(arrears_months=2,5.00,
    IF(arrears_months=3,8.00,
    IF(arrears_months=4,10.00,
    IF(arrears_months=5,12.00,15.00)))))))</f>
        <v/>
      </c>
      <c r="M8063">
        <f>LET(
    seasoning_years,DATEDIF('Loan Tape (S&amp;P)'!K8063,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63">
        <f>IF(AND('Loan Tape (S&amp;P)'!U8063="Yes",
        'Loan Tape (S&amp;P)'!T8063&lt;&gt;"Yes",
        DATEDIF('Loan Tape (S&amp;P)'!K8063, TODAY(), "M")&lt;18),
    1.10,
    1.00)</f>
        <v/>
      </c>
      <c r="O8063">
        <f>IF('Loan Tape (S&amp;P)'!T8063="Yes",
    1.35,
    1.00)</f>
        <v/>
      </c>
      <c r="P8063">
        <f>IF('Loan Tape (S&amp;P)'!S8063="Yes",
    1.15,
    1.00)</f>
        <v/>
      </c>
      <c r="Q8063">
        <f>IF('Loan Tape (S&amp;P)'!V8063="Yes",
    1.20,
    1.00)</f>
        <v/>
      </c>
      <c r="T8063">
        <f>LET(
    payment_method,'Loan Tape (S&amp;P)'!P8063,
    occupancy,'Loan Tape (S&amp;P)'!N8063,
    maturity_date,'Loan Tape (S&amp;P)'!L8063,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64">
      <c r="J8064">
        <f>LET(
    lien,'Loan Tape (S&amp;P)'!Q8064,
    IF(lien="First",1.00,
        IF(lien="Second",1.50,
            1.70)))</f>
        <v/>
      </c>
      <c r="K8064">
        <f>LET(
    purpose,'Loan Tape (S&amp;P)'!R8064,
    IF(purpose="Purchase",1.00,
        IF(purpose="Remortgage",1.00,
            1.20)))</f>
        <v/>
      </c>
      <c r="L8064">
        <f>LET(
    arrears_months,'Loan Tape (S&amp;P)'!AN8064,
    IF(arrears_months=0,1.00,
    IF(arrears_months=1,3.00,
    IF(arrears_months=2,5.00,
    IF(arrears_months=3,8.00,
    IF(arrears_months=4,10.00,
    IF(arrears_months=5,12.00,15.00)))))))</f>
        <v/>
      </c>
      <c r="M8064">
        <f>LET(
    seasoning_years,DATEDIF('Loan Tape (S&amp;P)'!K8064,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64">
        <f>IF(AND('Loan Tape (S&amp;P)'!U8064="Yes",
        'Loan Tape (S&amp;P)'!T8064&lt;&gt;"Yes",
        DATEDIF('Loan Tape (S&amp;P)'!K8064, TODAY(), "M")&lt;18),
    1.10,
    1.00)</f>
        <v/>
      </c>
      <c r="O8064">
        <f>IF('Loan Tape (S&amp;P)'!T8064="Yes",
    1.35,
    1.00)</f>
        <v/>
      </c>
      <c r="P8064">
        <f>IF('Loan Tape (S&amp;P)'!S8064="Yes",
    1.15,
    1.00)</f>
        <v/>
      </c>
      <c r="Q8064">
        <f>IF('Loan Tape (S&amp;P)'!V8064="Yes",
    1.20,
    1.00)</f>
        <v/>
      </c>
      <c r="T8064">
        <f>LET(
    payment_method,'Loan Tape (S&amp;P)'!P8064,
    occupancy,'Loan Tape (S&amp;P)'!N8064,
    maturity_date,'Loan Tape (S&amp;P)'!L8064,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65">
      <c r="J8065">
        <f>LET(
    lien,'Loan Tape (S&amp;P)'!Q8065,
    IF(lien="First",1.00,
        IF(lien="Second",1.50,
            1.70)))</f>
        <v/>
      </c>
      <c r="K8065">
        <f>LET(
    purpose,'Loan Tape (S&amp;P)'!R8065,
    IF(purpose="Purchase",1.00,
        IF(purpose="Remortgage",1.00,
            1.20)))</f>
        <v/>
      </c>
      <c r="L8065">
        <f>LET(
    arrears_months,'Loan Tape (S&amp;P)'!AN8065,
    IF(arrears_months=0,1.00,
    IF(arrears_months=1,3.00,
    IF(arrears_months=2,5.00,
    IF(arrears_months=3,8.00,
    IF(arrears_months=4,10.00,
    IF(arrears_months=5,12.00,15.00)))))))</f>
        <v/>
      </c>
      <c r="M8065">
        <f>LET(
    seasoning_years,DATEDIF('Loan Tape (S&amp;P)'!K8065,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65">
        <f>IF(AND('Loan Tape (S&amp;P)'!U8065="Yes",
        'Loan Tape (S&amp;P)'!T8065&lt;&gt;"Yes",
        DATEDIF('Loan Tape (S&amp;P)'!K8065, TODAY(), "M")&lt;18),
    1.10,
    1.00)</f>
        <v/>
      </c>
      <c r="O8065">
        <f>IF('Loan Tape (S&amp;P)'!T8065="Yes",
    1.35,
    1.00)</f>
        <v/>
      </c>
      <c r="P8065">
        <f>IF('Loan Tape (S&amp;P)'!S8065="Yes",
    1.15,
    1.00)</f>
        <v/>
      </c>
      <c r="Q8065">
        <f>IF('Loan Tape (S&amp;P)'!V8065="Yes",
    1.20,
    1.00)</f>
        <v/>
      </c>
      <c r="T8065">
        <f>LET(
    payment_method,'Loan Tape (S&amp;P)'!P8065,
    occupancy,'Loan Tape (S&amp;P)'!N8065,
    maturity_date,'Loan Tape (S&amp;P)'!L8065,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66">
      <c r="J8066">
        <f>LET(
    lien,'Loan Tape (S&amp;P)'!Q8066,
    IF(lien="First",1.00,
        IF(lien="Second",1.50,
            1.70)))</f>
        <v/>
      </c>
      <c r="K8066">
        <f>LET(
    purpose,'Loan Tape (S&amp;P)'!R8066,
    IF(purpose="Purchase",1.00,
        IF(purpose="Remortgage",1.00,
            1.20)))</f>
        <v/>
      </c>
      <c r="L8066">
        <f>LET(
    arrears_months,'Loan Tape (S&amp;P)'!AN8066,
    IF(arrears_months=0,1.00,
    IF(arrears_months=1,3.00,
    IF(arrears_months=2,5.00,
    IF(arrears_months=3,8.00,
    IF(arrears_months=4,10.00,
    IF(arrears_months=5,12.00,15.00)))))))</f>
        <v/>
      </c>
      <c r="M8066">
        <f>LET(
    seasoning_years,DATEDIF('Loan Tape (S&amp;P)'!K8066,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66">
        <f>IF(AND('Loan Tape (S&amp;P)'!U8066="Yes",
        'Loan Tape (S&amp;P)'!T8066&lt;&gt;"Yes",
        DATEDIF('Loan Tape (S&amp;P)'!K8066, TODAY(), "M")&lt;18),
    1.10,
    1.00)</f>
        <v/>
      </c>
      <c r="O8066">
        <f>IF('Loan Tape (S&amp;P)'!T8066="Yes",
    1.35,
    1.00)</f>
        <v/>
      </c>
      <c r="P8066">
        <f>IF('Loan Tape (S&amp;P)'!S8066="Yes",
    1.15,
    1.00)</f>
        <v/>
      </c>
      <c r="Q8066">
        <f>IF('Loan Tape (S&amp;P)'!V8066="Yes",
    1.20,
    1.00)</f>
        <v/>
      </c>
      <c r="T8066">
        <f>LET(
    payment_method,'Loan Tape (S&amp;P)'!P8066,
    occupancy,'Loan Tape (S&amp;P)'!N8066,
    maturity_date,'Loan Tape (S&amp;P)'!L8066,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67">
      <c r="J8067">
        <f>LET(
    lien,'Loan Tape (S&amp;P)'!Q8067,
    IF(lien="First",1.00,
        IF(lien="Second",1.50,
            1.70)))</f>
        <v/>
      </c>
      <c r="K8067">
        <f>LET(
    purpose,'Loan Tape (S&amp;P)'!R8067,
    IF(purpose="Purchase",1.00,
        IF(purpose="Remortgage",1.00,
            1.20)))</f>
        <v/>
      </c>
      <c r="L8067">
        <f>LET(
    arrears_months,'Loan Tape (S&amp;P)'!AN8067,
    IF(arrears_months=0,1.00,
    IF(arrears_months=1,3.00,
    IF(arrears_months=2,5.00,
    IF(arrears_months=3,8.00,
    IF(arrears_months=4,10.00,
    IF(arrears_months=5,12.00,15.00)))))))</f>
        <v/>
      </c>
      <c r="M8067">
        <f>LET(
    seasoning_years,DATEDIF('Loan Tape (S&amp;P)'!K8067,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67">
        <f>IF(AND('Loan Tape (S&amp;P)'!U8067="Yes",
        'Loan Tape (S&amp;P)'!T8067&lt;&gt;"Yes",
        DATEDIF('Loan Tape (S&amp;P)'!K8067, TODAY(), "M")&lt;18),
    1.10,
    1.00)</f>
        <v/>
      </c>
      <c r="O8067">
        <f>IF('Loan Tape (S&amp;P)'!T8067="Yes",
    1.35,
    1.00)</f>
        <v/>
      </c>
      <c r="P8067">
        <f>IF('Loan Tape (S&amp;P)'!S8067="Yes",
    1.15,
    1.00)</f>
        <v/>
      </c>
      <c r="Q8067">
        <f>IF('Loan Tape (S&amp;P)'!V8067="Yes",
    1.20,
    1.00)</f>
        <v/>
      </c>
      <c r="T8067">
        <f>LET(
    payment_method,'Loan Tape (S&amp;P)'!P8067,
    occupancy,'Loan Tape (S&amp;P)'!N8067,
    maturity_date,'Loan Tape (S&amp;P)'!L8067,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68">
      <c r="J8068">
        <f>LET(
    lien,'Loan Tape (S&amp;P)'!Q8068,
    IF(lien="First",1.00,
        IF(lien="Second",1.50,
            1.70)))</f>
        <v/>
      </c>
      <c r="K8068">
        <f>LET(
    purpose,'Loan Tape (S&amp;P)'!R8068,
    IF(purpose="Purchase",1.00,
        IF(purpose="Remortgage",1.00,
            1.20)))</f>
        <v/>
      </c>
      <c r="L8068">
        <f>LET(
    arrears_months,'Loan Tape (S&amp;P)'!AN8068,
    IF(arrears_months=0,1.00,
    IF(arrears_months=1,3.00,
    IF(arrears_months=2,5.00,
    IF(arrears_months=3,8.00,
    IF(arrears_months=4,10.00,
    IF(arrears_months=5,12.00,15.00)))))))</f>
        <v/>
      </c>
      <c r="M8068">
        <f>LET(
    seasoning_years,DATEDIF('Loan Tape (S&amp;P)'!K8068,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68">
        <f>IF(AND('Loan Tape (S&amp;P)'!U8068="Yes",
        'Loan Tape (S&amp;P)'!T8068&lt;&gt;"Yes",
        DATEDIF('Loan Tape (S&amp;P)'!K8068, TODAY(), "M")&lt;18),
    1.10,
    1.00)</f>
        <v/>
      </c>
      <c r="O8068">
        <f>IF('Loan Tape (S&amp;P)'!T8068="Yes",
    1.35,
    1.00)</f>
        <v/>
      </c>
      <c r="P8068">
        <f>IF('Loan Tape (S&amp;P)'!S8068="Yes",
    1.15,
    1.00)</f>
        <v/>
      </c>
      <c r="Q8068">
        <f>IF('Loan Tape (S&amp;P)'!V8068="Yes",
    1.20,
    1.00)</f>
        <v/>
      </c>
      <c r="T8068">
        <f>LET(
    payment_method,'Loan Tape (S&amp;P)'!P8068,
    occupancy,'Loan Tape (S&amp;P)'!N8068,
    maturity_date,'Loan Tape (S&amp;P)'!L8068,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69">
      <c r="J8069">
        <f>LET(
    lien,'Loan Tape (S&amp;P)'!Q8069,
    IF(lien="First",1.00,
        IF(lien="Second",1.50,
            1.70)))</f>
        <v/>
      </c>
      <c r="K8069">
        <f>LET(
    purpose,'Loan Tape (S&amp;P)'!R8069,
    IF(purpose="Purchase",1.00,
        IF(purpose="Remortgage",1.00,
            1.20)))</f>
        <v/>
      </c>
      <c r="L8069">
        <f>LET(
    arrears_months,'Loan Tape (S&amp;P)'!AN8069,
    IF(arrears_months=0,1.00,
    IF(arrears_months=1,3.00,
    IF(arrears_months=2,5.00,
    IF(arrears_months=3,8.00,
    IF(arrears_months=4,10.00,
    IF(arrears_months=5,12.00,15.00)))))))</f>
        <v/>
      </c>
      <c r="M8069">
        <f>LET(
    seasoning_years,DATEDIF('Loan Tape (S&amp;P)'!K8069,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69">
        <f>IF(AND('Loan Tape (S&amp;P)'!U8069="Yes",
        'Loan Tape (S&amp;P)'!T8069&lt;&gt;"Yes",
        DATEDIF('Loan Tape (S&amp;P)'!K8069, TODAY(), "M")&lt;18),
    1.10,
    1.00)</f>
        <v/>
      </c>
      <c r="O8069">
        <f>IF('Loan Tape (S&amp;P)'!T8069="Yes",
    1.35,
    1.00)</f>
        <v/>
      </c>
      <c r="P8069">
        <f>IF('Loan Tape (S&amp;P)'!S8069="Yes",
    1.15,
    1.00)</f>
        <v/>
      </c>
      <c r="Q8069">
        <f>IF('Loan Tape (S&amp;P)'!V8069="Yes",
    1.20,
    1.00)</f>
        <v/>
      </c>
      <c r="T8069">
        <f>LET(
    payment_method,'Loan Tape (S&amp;P)'!P8069,
    occupancy,'Loan Tape (S&amp;P)'!N8069,
    maturity_date,'Loan Tape (S&amp;P)'!L8069,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70">
      <c r="J8070">
        <f>LET(
    lien,'Loan Tape (S&amp;P)'!Q8070,
    IF(lien="First",1.00,
        IF(lien="Second",1.50,
            1.70)))</f>
        <v/>
      </c>
      <c r="K8070">
        <f>LET(
    purpose,'Loan Tape (S&amp;P)'!R8070,
    IF(purpose="Purchase",1.00,
        IF(purpose="Remortgage",1.00,
            1.20)))</f>
        <v/>
      </c>
      <c r="L8070">
        <f>LET(
    arrears_months,'Loan Tape (S&amp;P)'!AN8070,
    IF(arrears_months=0,1.00,
    IF(arrears_months=1,3.00,
    IF(arrears_months=2,5.00,
    IF(arrears_months=3,8.00,
    IF(arrears_months=4,10.00,
    IF(arrears_months=5,12.00,15.00)))))))</f>
        <v/>
      </c>
      <c r="M8070">
        <f>LET(
    seasoning_years,DATEDIF('Loan Tape (S&amp;P)'!K8070,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70">
        <f>IF(AND('Loan Tape (S&amp;P)'!U8070="Yes",
        'Loan Tape (S&amp;P)'!T8070&lt;&gt;"Yes",
        DATEDIF('Loan Tape (S&amp;P)'!K8070, TODAY(), "M")&lt;18),
    1.10,
    1.00)</f>
        <v/>
      </c>
      <c r="O8070">
        <f>IF('Loan Tape (S&amp;P)'!T8070="Yes",
    1.35,
    1.00)</f>
        <v/>
      </c>
      <c r="P8070">
        <f>IF('Loan Tape (S&amp;P)'!S8070="Yes",
    1.15,
    1.00)</f>
        <v/>
      </c>
      <c r="Q8070">
        <f>IF('Loan Tape (S&amp;P)'!V8070="Yes",
    1.20,
    1.00)</f>
        <v/>
      </c>
      <c r="T8070">
        <f>LET(
    payment_method,'Loan Tape (S&amp;P)'!P8070,
    occupancy,'Loan Tape (S&amp;P)'!N8070,
    maturity_date,'Loan Tape (S&amp;P)'!L8070,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71">
      <c r="J8071">
        <f>LET(
    lien,'Loan Tape (S&amp;P)'!Q8071,
    IF(lien="First",1.00,
        IF(lien="Second",1.50,
            1.70)))</f>
        <v/>
      </c>
      <c r="K8071">
        <f>LET(
    purpose,'Loan Tape (S&amp;P)'!R8071,
    IF(purpose="Purchase",1.00,
        IF(purpose="Remortgage",1.00,
            1.20)))</f>
        <v/>
      </c>
      <c r="L8071">
        <f>LET(
    arrears_months,'Loan Tape (S&amp;P)'!AN8071,
    IF(arrears_months=0,1.00,
    IF(arrears_months=1,3.00,
    IF(arrears_months=2,5.00,
    IF(arrears_months=3,8.00,
    IF(arrears_months=4,10.00,
    IF(arrears_months=5,12.00,15.00)))))))</f>
        <v/>
      </c>
      <c r="M8071">
        <f>LET(
    seasoning_years,DATEDIF('Loan Tape (S&amp;P)'!K8071,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71">
        <f>IF(AND('Loan Tape (S&amp;P)'!U8071="Yes",
        'Loan Tape (S&amp;P)'!T8071&lt;&gt;"Yes",
        DATEDIF('Loan Tape (S&amp;P)'!K8071, TODAY(), "M")&lt;18),
    1.10,
    1.00)</f>
        <v/>
      </c>
      <c r="O8071">
        <f>IF('Loan Tape (S&amp;P)'!T8071="Yes",
    1.35,
    1.00)</f>
        <v/>
      </c>
      <c r="P8071">
        <f>IF('Loan Tape (S&amp;P)'!S8071="Yes",
    1.15,
    1.00)</f>
        <v/>
      </c>
      <c r="Q8071">
        <f>IF('Loan Tape (S&amp;P)'!V8071="Yes",
    1.20,
    1.00)</f>
        <v/>
      </c>
      <c r="T8071">
        <f>LET(
    payment_method,'Loan Tape (S&amp;P)'!P8071,
    occupancy,'Loan Tape (S&amp;P)'!N8071,
    maturity_date,'Loan Tape (S&amp;P)'!L8071,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72">
      <c r="J8072">
        <f>LET(
    lien,'Loan Tape (S&amp;P)'!Q8072,
    IF(lien="First",1.00,
        IF(lien="Second",1.50,
            1.70)))</f>
        <v/>
      </c>
      <c r="K8072">
        <f>LET(
    purpose,'Loan Tape (S&amp;P)'!R8072,
    IF(purpose="Purchase",1.00,
        IF(purpose="Remortgage",1.00,
            1.20)))</f>
        <v/>
      </c>
      <c r="L8072">
        <f>LET(
    arrears_months,'Loan Tape (S&amp;P)'!AN8072,
    IF(arrears_months=0,1.00,
    IF(arrears_months=1,3.00,
    IF(arrears_months=2,5.00,
    IF(arrears_months=3,8.00,
    IF(arrears_months=4,10.00,
    IF(arrears_months=5,12.00,15.00)))))))</f>
        <v/>
      </c>
      <c r="M8072">
        <f>LET(
    seasoning_years,DATEDIF('Loan Tape (S&amp;P)'!K8072,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72">
        <f>IF(AND('Loan Tape (S&amp;P)'!U8072="Yes",
        'Loan Tape (S&amp;P)'!T8072&lt;&gt;"Yes",
        DATEDIF('Loan Tape (S&amp;P)'!K8072, TODAY(), "M")&lt;18),
    1.10,
    1.00)</f>
        <v/>
      </c>
      <c r="O8072">
        <f>IF('Loan Tape (S&amp;P)'!T8072="Yes",
    1.35,
    1.00)</f>
        <v/>
      </c>
      <c r="P8072">
        <f>IF('Loan Tape (S&amp;P)'!S8072="Yes",
    1.15,
    1.00)</f>
        <v/>
      </c>
      <c r="Q8072">
        <f>IF('Loan Tape (S&amp;P)'!V8072="Yes",
    1.20,
    1.00)</f>
        <v/>
      </c>
      <c r="T8072">
        <f>LET(
    payment_method,'Loan Tape (S&amp;P)'!P8072,
    occupancy,'Loan Tape (S&amp;P)'!N8072,
    maturity_date,'Loan Tape (S&amp;P)'!L8072,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73">
      <c r="J8073">
        <f>LET(
    lien,'Loan Tape (S&amp;P)'!Q8073,
    IF(lien="First",1.00,
        IF(lien="Second",1.50,
            1.70)))</f>
        <v/>
      </c>
      <c r="K8073">
        <f>LET(
    purpose,'Loan Tape (S&amp;P)'!R8073,
    IF(purpose="Purchase",1.00,
        IF(purpose="Remortgage",1.00,
            1.20)))</f>
        <v/>
      </c>
      <c r="L8073">
        <f>LET(
    arrears_months,'Loan Tape (S&amp;P)'!AN8073,
    IF(arrears_months=0,1.00,
    IF(arrears_months=1,3.00,
    IF(arrears_months=2,5.00,
    IF(arrears_months=3,8.00,
    IF(arrears_months=4,10.00,
    IF(arrears_months=5,12.00,15.00)))))))</f>
        <v/>
      </c>
      <c r="M8073">
        <f>LET(
    seasoning_years,DATEDIF('Loan Tape (S&amp;P)'!K8073,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73">
        <f>IF(AND('Loan Tape (S&amp;P)'!U8073="Yes",
        'Loan Tape (S&amp;P)'!T8073&lt;&gt;"Yes",
        DATEDIF('Loan Tape (S&amp;P)'!K8073, TODAY(), "M")&lt;18),
    1.10,
    1.00)</f>
        <v/>
      </c>
      <c r="O8073">
        <f>IF('Loan Tape (S&amp;P)'!T8073="Yes",
    1.35,
    1.00)</f>
        <v/>
      </c>
      <c r="P8073">
        <f>IF('Loan Tape (S&amp;P)'!S8073="Yes",
    1.15,
    1.00)</f>
        <v/>
      </c>
      <c r="Q8073">
        <f>IF('Loan Tape (S&amp;P)'!V8073="Yes",
    1.20,
    1.00)</f>
        <v/>
      </c>
      <c r="T8073">
        <f>LET(
    payment_method,'Loan Tape (S&amp;P)'!P8073,
    occupancy,'Loan Tape (S&amp;P)'!N8073,
    maturity_date,'Loan Tape (S&amp;P)'!L8073,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74">
      <c r="J8074">
        <f>LET(
    lien,'Loan Tape (S&amp;P)'!Q8074,
    IF(lien="First",1.00,
        IF(lien="Second",1.50,
            1.70)))</f>
        <v/>
      </c>
      <c r="K8074">
        <f>LET(
    purpose,'Loan Tape (S&amp;P)'!R8074,
    IF(purpose="Purchase",1.00,
        IF(purpose="Remortgage",1.00,
            1.20)))</f>
        <v/>
      </c>
      <c r="L8074">
        <f>LET(
    arrears_months,'Loan Tape (S&amp;P)'!AN8074,
    IF(arrears_months=0,1.00,
    IF(arrears_months=1,3.00,
    IF(arrears_months=2,5.00,
    IF(arrears_months=3,8.00,
    IF(arrears_months=4,10.00,
    IF(arrears_months=5,12.00,15.00)))))))</f>
        <v/>
      </c>
      <c r="M8074">
        <f>LET(
    seasoning_years,DATEDIF('Loan Tape (S&amp;P)'!K8074,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74">
        <f>IF(AND('Loan Tape (S&amp;P)'!U8074="Yes",
        'Loan Tape (S&amp;P)'!T8074&lt;&gt;"Yes",
        DATEDIF('Loan Tape (S&amp;P)'!K8074, TODAY(), "M")&lt;18),
    1.10,
    1.00)</f>
        <v/>
      </c>
      <c r="O8074">
        <f>IF('Loan Tape (S&amp;P)'!T8074="Yes",
    1.35,
    1.00)</f>
        <v/>
      </c>
      <c r="P8074">
        <f>IF('Loan Tape (S&amp;P)'!S8074="Yes",
    1.15,
    1.00)</f>
        <v/>
      </c>
      <c r="Q8074">
        <f>IF('Loan Tape (S&amp;P)'!V8074="Yes",
    1.20,
    1.00)</f>
        <v/>
      </c>
      <c r="T8074">
        <f>LET(
    payment_method,'Loan Tape (S&amp;P)'!P8074,
    occupancy,'Loan Tape (S&amp;P)'!N8074,
    maturity_date,'Loan Tape (S&amp;P)'!L8074,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75">
      <c r="J8075">
        <f>LET(
    lien,'Loan Tape (S&amp;P)'!Q8075,
    IF(lien="First",1.00,
        IF(lien="Second",1.50,
            1.70)))</f>
        <v/>
      </c>
      <c r="K8075">
        <f>LET(
    purpose,'Loan Tape (S&amp;P)'!R8075,
    IF(purpose="Purchase",1.00,
        IF(purpose="Remortgage",1.00,
            1.20)))</f>
        <v/>
      </c>
      <c r="L8075">
        <f>LET(
    arrears_months,'Loan Tape (S&amp;P)'!AN8075,
    IF(arrears_months=0,1.00,
    IF(arrears_months=1,3.00,
    IF(arrears_months=2,5.00,
    IF(arrears_months=3,8.00,
    IF(arrears_months=4,10.00,
    IF(arrears_months=5,12.00,15.00)))))))</f>
        <v/>
      </c>
      <c r="M8075">
        <f>LET(
    seasoning_years,DATEDIF('Loan Tape (S&amp;P)'!K8075,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75">
        <f>IF(AND('Loan Tape (S&amp;P)'!U8075="Yes",
        'Loan Tape (S&amp;P)'!T8075&lt;&gt;"Yes",
        DATEDIF('Loan Tape (S&amp;P)'!K8075, TODAY(), "M")&lt;18),
    1.10,
    1.00)</f>
        <v/>
      </c>
      <c r="O8075">
        <f>IF('Loan Tape (S&amp;P)'!T8075="Yes",
    1.35,
    1.00)</f>
        <v/>
      </c>
      <c r="P8075">
        <f>IF('Loan Tape (S&amp;P)'!S8075="Yes",
    1.15,
    1.00)</f>
        <v/>
      </c>
      <c r="Q8075">
        <f>IF('Loan Tape (S&amp;P)'!V8075="Yes",
    1.20,
    1.00)</f>
        <v/>
      </c>
      <c r="T8075">
        <f>LET(
    payment_method,'Loan Tape (S&amp;P)'!P8075,
    occupancy,'Loan Tape (S&amp;P)'!N8075,
    maturity_date,'Loan Tape (S&amp;P)'!L8075,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76">
      <c r="J8076">
        <f>LET(
    lien,'Loan Tape (S&amp;P)'!Q8076,
    IF(lien="First",1.00,
        IF(lien="Second",1.50,
            1.70)))</f>
        <v/>
      </c>
      <c r="K8076">
        <f>LET(
    purpose,'Loan Tape (S&amp;P)'!R8076,
    IF(purpose="Purchase",1.00,
        IF(purpose="Remortgage",1.00,
            1.20)))</f>
        <v/>
      </c>
      <c r="L8076">
        <f>LET(
    arrears_months,'Loan Tape (S&amp;P)'!AN8076,
    IF(arrears_months=0,1.00,
    IF(arrears_months=1,3.00,
    IF(arrears_months=2,5.00,
    IF(arrears_months=3,8.00,
    IF(arrears_months=4,10.00,
    IF(arrears_months=5,12.00,15.00)))))))</f>
        <v/>
      </c>
      <c r="M8076">
        <f>LET(
    seasoning_years,DATEDIF('Loan Tape (S&amp;P)'!K8076,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76">
        <f>IF(AND('Loan Tape (S&amp;P)'!U8076="Yes",
        'Loan Tape (S&amp;P)'!T8076&lt;&gt;"Yes",
        DATEDIF('Loan Tape (S&amp;P)'!K8076, TODAY(), "M")&lt;18),
    1.10,
    1.00)</f>
        <v/>
      </c>
      <c r="O8076">
        <f>IF('Loan Tape (S&amp;P)'!T8076="Yes",
    1.35,
    1.00)</f>
        <v/>
      </c>
      <c r="P8076">
        <f>IF('Loan Tape (S&amp;P)'!S8076="Yes",
    1.15,
    1.00)</f>
        <v/>
      </c>
      <c r="Q8076">
        <f>IF('Loan Tape (S&amp;P)'!V8076="Yes",
    1.20,
    1.00)</f>
        <v/>
      </c>
      <c r="T8076">
        <f>LET(
    payment_method,'Loan Tape (S&amp;P)'!P8076,
    occupancy,'Loan Tape (S&amp;P)'!N8076,
    maturity_date,'Loan Tape (S&amp;P)'!L8076,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77">
      <c r="J8077">
        <f>LET(
    lien,'Loan Tape (S&amp;P)'!Q8077,
    IF(lien="First",1.00,
        IF(lien="Second",1.50,
            1.70)))</f>
        <v/>
      </c>
      <c r="K8077">
        <f>LET(
    purpose,'Loan Tape (S&amp;P)'!R8077,
    IF(purpose="Purchase",1.00,
        IF(purpose="Remortgage",1.00,
            1.20)))</f>
        <v/>
      </c>
      <c r="L8077">
        <f>LET(
    arrears_months,'Loan Tape (S&amp;P)'!AN8077,
    IF(arrears_months=0,1.00,
    IF(arrears_months=1,3.00,
    IF(arrears_months=2,5.00,
    IF(arrears_months=3,8.00,
    IF(arrears_months=4,10.00,
    IF(arrears_months=5,12.00,15.00)))))))</f>
        <v/>
      </c>
      <c r="M8077">
        <f>LET(
    seasoning_years,DATEDIF('Loan Tape (S&amp;P)'!K8077,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77">
        <f>IF(AND('Loan Tape (S&amp;P)'!U8077="Yes",
        'Loan Tape (S&amp;P)'!T8077&lt;&gt;"Yes",
        DATEDIF('Loan Tape (S&amp;P)'!K8077, TODAY(), "M")&lt;18),
    1.10,
    1.00)</f>
        <v/>
      </c>
      <c r="O8077">
        <f>IF('Loan Tape (S&amp;P)'!T8077="Yes",
    1.35,
    1.00)</f>
        <v/>
      </c>
      <c r="P8077">
        <f>IF('Loan Tape (S&amp;P)'!S8077="Yes",
    1.15,
    1.00)</f>
        <v/>
      </c>
      <c r="Q8077">
        <f>IF('Loan Tape (S&amp;P)'!V8077="Yes",
    1.20,
    1.00)</f>
        <v/>
      </c>
      <c r="T8077">
        <f>LET(
    payment_method,'Loan Tape (S&amp;P)'!P8077,
    occupancy,'Loan Tape (S&amp;P)'!N8077,
    maturity_date,'Loan Tape (S&amp;P)'!L8077,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78">
      <c r="J8078">
        <f>LET(
    lien,'Loan Tape (S&amp;P)'!Q8078,
    IF(lien="First",1.00,
        IF(lien="Second",1.50,
            1.70)))</f>
        <v/>
      </c>
      <c r="K8078">
        <f>LET(
    purpose,'Loan Tape (S&amp;P)'!R8078,
    IF(purpose="Purchase",1.00,
        IF(purpose="Remortgage",1.00,
            1.20)))</f>
        <v/>
      </c>
      <c r="L8078">
        <f>LET(
    arrears_months,'Loan Tape (S&amp;P)'!AN8078,
    IF(arrears_months=0,1.00,
    IF(arrears_months=1,3.00,
    IF(arrears_months=2,5.00,
    IF(arrears_months=3,8.00,
    IF(arrears_months=4,10.00,
    IF(arrears_months=5,12.00,15.00)))))))</f>
        <v/>
      </c>
      <c r="M8078">
        <f>LET(
    seasoning_years,DATEDIF('Loan Tape (S&amp;P)'!K8078,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78">
        <f>IF(AND('Loan Tape (S&amp;P)'!U8078="Yes",
        'Loan Tape (S&amp;P)'!T8078&lt;&gt;"Yes",
        DATEDIF('Loan Tape (S&amp;P)'!K8078, TODAY(), "M")&lt;18),
    1.10,
    1.00)</f>
        <v/>
      </c>
      <c r="O8078">
        <f>IF('Loan Tape (S&amp;P)'!T8078="Yes",
    1.35,
    1.00)</f>
        <v/>
      </c>
      <c r="P8078">
        <f>IF('Loan Tape (S&amp;P)'!S8078="Yes",
    1.15,
    1.00)</f>
        <v/>
      </c>
      <c r="Q8078">
        <f>IF('Loan Tape (S&amp;P)'!V8078="Yes",
    1.20,
    1.00)</f>
        <v/>
      </c>
      <c r="T8078">
        <f>LET(
    payment_method,'Loan Tape (S&amp;P)'!P8078,
    occupancy,'Loan Tape (S&amp;P)'!N8078,
    maturity_date,'Loan Tape (S&amp;P)'!L8078,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79">
      <c r="J8079">
        <f>LET(
    lien,'Loan Tape (S&amp;P)'!Q8079,
    IF(lien="First",1.00,
        IF(lien="Second",1.50,
            1.70)))</f>
        <v/>
      </c>
      <c r="K8079">
        <f>LET(
    purpose,'Loan Tape (S&amp;P)'!R8079,
    IF(purpose="Purchase",1.00,
        IF(purpose="Remortgage",1.00,
            1.20)))</f>
        <v/>
      </c>
      <c r="L8079">
        <f>LET(
    arrears_months,'Loan Tape (S&amp;P)'!AN8079,
    IF(arrears_months=0,1.00,
    IF(arrears_months=1,3.00,
    IF(arrears_months=2,5.00,
    IF(arrears_months=3,8.00,
    IF(arrears_months=4,10.00,
    IF(arrears_months=5,12.00,15.00)))))))</f>
        <v/>
      </c>
      <c r="M8079">
        <f>LET(
    seasoning_years,DATEDIF('Loan Tape (S&amp;P)'!K8079,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79">
        <f>IF(AND('Loan Tape (S&amp;P)'!U8079="Yes",
        'Loan Tape (S&amp;P)'!T8079&lt;&gt;"Yes",
        DATEDIF('Loan Tape (S&amp;P)'!K8079, TODAY(), "M")&lt;18),
    1.10,
    1.00)</f>
        <v/>
      </c>
      <c r="O8079">
        <f>IF('Loan Tape (S&amp;P)'!T8079="Yes",
    1.35,
    1.00)</f>
        <v/>
      </c>
      <c r="P8079">
        <f>IF('Loan Tape (S&amp;P)'!S8079="Yes",
    1.15,
    1.00)</f>
        <v/>
      </c>
      <c r="Q8079">
        <f>IF('Loan Tape (S&amp;P)'!V8079="Yes",
    1.20,
    1.00)</f>
        <v/>
      </c>
      <c r="T8079">
        <f>LET(
    payment_method,'Loan Tape (S&amp;P)'!P8079,
    occupancy,'Loan Tape (S&amp;P)'!N8079,
    maturity_date,'Loan Tape (S&amp;P)'!L8079,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80">
      <c r="J8080">
        <f>LET(
    lien,'Loan Tape (S&amp;P)'!Q8080,
    IF(lien="First",1.00,
        IF(lien="Second",1.50,
            1.70)))</f>
        <v/>
      </c>
      <c r="K8080">
        <f>LET(
    purpose,'Loan Tape (S&amp;P)'!R8080,
    IF(purpose="Purchase",1.00,
        IF(purpose="Remortgage",1.00,
            1.20)))</f>
        <v/>
      </c>
      <c r="L8080">
        <f>LET(
    arrears_months,'Loan Tape (S&amp;P)'!AN8080,
    IF(arrears_months=0,1.00,
    IF(arrears_months=1,3.00,
    IF(arrears_months=2,5.00,
    IF(arrears_months=3,8.00,
    IF(arrears_months=4,10.00,
    IF(arrears_months=5,12.00,15.00)))))))</f>
        <v/>
      </c>
      <c r="M8080">
        <f>LET(
    seasoning_years,DATEDIF('Loan Tape (S&amp;P)'!K8080,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80">
        <f>IF(AND('Loan Tape (S&amp;P)'!U8080="Yes",
        'Loan Tape (S&amp;P)'!T8080&lt;&gt;"Yes",
        DATEDIF('Loan Tape (S&amp;P)'!K8080, TODAY(), "M")&lt;18),
    1.10,
    1.00)</f>
        <v/>
      </c>
      <c r="O8080">
        <f>IF('Loan Tape (S&amp;P)'!T8080="Yes",
    1.35,
    1.00)</f>
        <v/>
      </c>
      <c r="P8080">
        <f>IF('Loan Tape (S&amp;P)'!S8080="Yes",
    1.15,
    1.00)</f>
        <v/>
      </c>
      <c r="Q8080">
        <f>IF('Loan Tape (S&amp;P)'!V8080="Yes",
    1.20,
    1.00)</f>
        <v/>
      </c>
      <c r="T8080">
        <f>LET(
    payment_method,'Loan Tape (S&amp;P)'!P8080,
    occupancy,'Loan Tape (S&amp;P)'!N8080,
    maturity_date,'Loan Tape (S&amp;P)'!L8080,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81">
      <c r="J8081">
        <f>LET(
    lien,'Loan Tape (S&amp;P)'!Q8081,
    IF(lien="First",1.00,
        IF(lien="Second",1.50,
            1.70)))</f>
        <v/>
      </c>
      <c r="K8081">
        <f>LET(
    purpose,'Loan Tape (S&amp;P)'!R8081,
    IF(purpose="Purchase",1.00,
        IF(purpose="Remortgage",1.00,
            1.20)))</f>
        <v/>
      </c>
      <c r="L8081">
        <f>LET(
    arrears_months,'Loan Tape (S&amp;P)'!AN8081,
    IF(arrears_months=0,1.00,
    IF(arrears_months=1,3.00,
    IF(arrears_months=2,5.00,
    IF(arrears_months=3,8.00,
    IF(arrears_months=4,10.00,
    IF(arrears_months=5,12.00,15.00)))))))</f>
        <v/>
      </c>
      <c r="M8081">
        <f>LET(
    seasoning_years,DATEDIF('Loan Tape (S&amp;P)'!K8081,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81">
        <f>IF(AND('Loan Tape (S&amp;P)'!U8081="Yes",
        'Loan Tape (S&amp;P)'!T8081&lt;&gt;"Yes",
        DATEDIF('Loan Tape (S&amp;P)'!K8081, TODAY(), "M")&lt;18),
    1.10,
    1.00)</f>
        <v/>
      </c>
      <c r="O8081">
        <f>IF('Loan Tape (S&amp;P)'!T8081="Yes",
    1.35,
    1.00)</f>
        <v/>
      </c>
      <c r="P8081">
        <f>IF('Loan Tape (S&amp;P)'!S8081="Yes",
    1.15,
    1.00)</f>
        <v/>
      </c>
      <c r="Q8081">
        <f>IF('Loan Tape (S&amp;P)'!V8081="Yes",
    1.20,
    1.00)</f>
        <v/>
      </c>
      <c r="T8081">
        <f>LET(
    payment_method,'Loan Tape (S&amp;P)'!P8081,
    occupancy,'Loan Tape (S&amp;P)'!N8081,
    maturity_date,'Loan Tape (S&amp;P)'!L8081,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82">
      <c r="J8082">
        <f>LET(
    lien,'Loan Tape (S&amp;P)'!Q8082,
    IF(lien="First",1.00,
        IF(lien="Second",1.50,
            1.70)))</f>
        <v/>
      </c>
      <c r="K8082">
        <f>LET(
    purpose,'Loan Tape (S&amp;P)'!R8082,
    IF(purpose="Purchase",1.00,
        IF(purpose="Remortgage",1.00,
            1.20)))</f>
        <v/>
      </c>
      <c r="L8082">
        <f>LET(
    arrears_months,'Loan Tape (S&amp;P)'!AN8082,
    IF(arrears_months=0,1.00,
    IF(arrears_months=1,3.00,
    IF(arrears_months=2,5.00,
    IF(arrears_months=3,8.00,
    IF(arrears_months=4,10.00,
    IF(arrears_months=5,12.00,15.00)))))))</f>
        <v/>
      </c>
      <c r="M8082">
        <f>LET(
    seasoning_years,DATEDIF('Loan Tape (S&amp;P)'!K8082,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82">
        <f>IF(AND('Loan Tape (S&amp;P)'!U8082="Yes",
        'Loan Tape (S&amp;P)'!T8082&lt;&gt;"Yes",
        DATEDIF('Loan Tape (S&amp;P)'!K8082, TODAY(), "M")&lt;18),
    1.10,
    1.00)</f>
        <v/>
      </c>
      <c r="O8082">
        <f>IF('Loan Tape (S&amp;P)'!T8082="Yes",
    1.35,
    1.00)</f>
        <v/>
      </c>
      <c r="P8082">
        <f>IF('Loan Tape (S&amp;P)'!S8082="Yes",
    1.15,
    1.00)</f>
        <v/>
      </c>
      <c r="Q8082">
        <f>IF('Loan Tape (S&amp;P)'!V8082="Yes",
    1.20,
    1.00)</f>
        <v/>
      </c>
      <c r="T8082">
        <f>LET(
    payment_method,'Loan Tape (S&amp;P)'!P8082,
    occupancy,'Loan Tape (S&amp;P)'!N8082,
    maturity_date,'Loan Tape (S&amp;P)'!L8082,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83">
      <c r="J8083">
        <f>LET(
    lien,'Loan Tape (S&amp;P)'!Q8083,
    IF(lien="First",1.00,
        IF(lien="Second",1.50,
            1.70)))</f>
        <v/>
      </c>
      <c r="K8083">
        <f>LET(
    purpose,'Loan Tape (S&amp;P)'!R8083,
    IF(purpose="Purchase",1.00,
        IF(purpose="Remortgage",1.00,
            1.20)))</f>
        <v/>
      </c>
      <c r="L8083">
        <f>LET(
    arrears_months,'Loan Tape (S&amp;P)'!AN8083,
    IF(arrears_months=0,1.00,
    IF(arrears_months=1,3.00,
    IF(arrears_months=2,5.00,
    IF(arrears_months=3,8.00,
    IF(arrears_months=4,10.00,
    IF(arrears_months=5,12.00,15.00)))))))</f>
        <v/>
      </c>
      <c r="M8083">
        <f>LET(
    seasoning_years,DATEDIF('Loan Tape (S&amp;P)'!K8083,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83">
        <f>IF(AND('Loan Tape (S&amp;P)'!U8083="Yes",
        'Loan Tape (S&amp;P)'!T8083&lt;&gt;"Yes",
        DATEDIF('Loan Tape (S&amp;P)'!K8083, TODAY(), "M")&lt;18),
    1.10,
    1.00)</f>
        <v/>
      </c>
      <c r="O8083">
        <f>IF('Loan Tape (S&amp;P)'!T8083="Yes",
    1.35,
    1.00)</f>
        <v/>
      </c>
      <c r="P8083">
        <f>IF('Loan Tape (S&amp;P)'!S8083="Yes",
    1.15,
    1.00)</f>
        <v/>
      </c>
      <c r="Q8083">
        <f>IF('Loan Tape (S&amp;P)'!V8083="Yes",
    1.20,
    1.00)</f>
        <v/>
      </c>
      <c r="T8083">
        <f>LET(
    payment_method,'Loan Tape (S&amp;P)'!P8083,
    occupancy,'Loan Tape (S&amp;P)'!N8083,
    maturity_date,'Loan Tape (S&amp;P)'!L8083,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84">
      <c r="J8084">
        <f>LET(
    lien,'Loan Tape (S&amp;P)'!Q8084,
    IF(lien="First",1.00,
        IF(lien="Second",1.50,
            1.70)))</f>
        <v/>
      </c>
      <c r="K8084">
        <f>LET(
    purpose,'Loan Tape (S&amp;P)'!R8084,
    IF(purpose="Purchase",1.00,
        IF(purpose="Remortgage",1.00,
            1.20)))</f>
        <v/>
      </c>
      <c r="L8084">
        <f>LET(
    arrears_months,'Loan Tape (S&amp;P)'!AN8084,
    IF(arrears_months=0,1.00,
    IF(arrears_months=1,3.00,
    IF(arrears_months=2,5.00,
    IF(arrears_months=3,8.00,
    IF(arrears_months=4,10.00,
    IF(arrears_months=5,12.00,15.00)))))))</f>
        <v/>
      </c>
      <c r="M8084">
        <f>LET(
    seasoning_years,DATEDIF('Loan Tape (S&amp;P)'!K8084,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84">
        <f>IF(AND('Loan Tape (S&amp;P)'!U8084="Yes",
        'Loan Tape (S&amp;P)'!T8084&lt;&gt;"Yes",
        DATEDIF('Loan Tape (S&amp;P)'!K8084, TODAY(), "M")&lt;18),
    1.10,
    1.00)</f>
        <v/>
      </c>
      <c r="O8084">
        <f>IF('Loan Tape (S&amp;P)'!T8084="Yes",
    1.35,
    1.00)</f>
        <v/>
      </c>
      <c r="P8084">
        <f>IF('Loan Tape (S&amp;P)'!S8084="Yes",
    1.15,
    1.00)</f>
        <v/>
      </c>
      <c r="Q8084">
        <f>IF('Loan Tape (S&amp;P)'!V8084="Yes",
    1.20,
    1.00)</f>
        <v/>
      </c>
      <c r="T8084">
        <f>LET(
    payment_method,'Loan Tape (S&amp;P)'!P8084,
    occupancy,'Loan Tape (S&amp;P)'!N8084,
    maturity_date,'Loan Tape (S&amp;P)'!L8084,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85">
      <c r="J8085">
        <f>LET(
    lien,'Loan Tape (S&amp;P)'!Q8085,
    IF(lien="First",1.00,
        IF(lien="Second",1.50,
            1.70)))</f>
        <v/>
      </c>
      <c r="K8085">
        <f>LET(
    purpose,'Loan Tape (S&amp;P)'!R8085,
    IF(purpose="Purchase",1.00,
        IF(purpose="Remortgage",1.00,
            1.20)))</f>
        <v/>
      </c>
      <c r="L8085">
        <f>LET(
    arrears_months,'Loan Tape (S&amp;P)'!AN8085,
    IF(arrears_months=0,1.00,
    IF(arrears_months=1,3.00,
    IF(arrears_months=2,5.00,
    IF(arrears_months=3,8.00,
    IF(arrears_months=4,10.00,
    IF(arrears_months=5,12.00,15.00)))))))</f>
        <v/>
      </c>
      <c r="M8085">
        <f>LET(
    seasoning_years,DATEDIF('Loan Tape (S&amp;P)'!K8085,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85">
        <f>IF(AND('Loan Tape (S&amp;P)'!U8085="Yes",
        'Loan Tape (S&amp;P)'!T8085&lt;&gt;"Yes",
        DATEDIF('Loan Tape (S&amp;P)'!K8085, TODAY(), "M")&lt;18),
    1.10,
    1.00)</f>
        <v/>
      </c>
      <c r="O8085">
        <f>IF('Loan Tape (S&amp;P)'!T8085="Yes",
    1.35,
    1.00)</f>
        <v/>
      </c>
      <c r="P8085">
        <f>IF('Loan Tape (S&amp;P)'!S8085="Yes",
    1.15,
    1.00)</f>
        <v/>
      </c>
      <c r="Q8085">
        <f>IF('Loan Tape (S&amp;P)'!V8085="Yes",
    1.20,
    1.00)</f>
        <v/>
      </c>
      <c r="T8085">
        <f>LET(
    payment_method,'Loan Tape (S&amp;P)'!P8085,
    occupancy,'Loan Tape (S&amp;P)'!N8085,
    maturity_date,'Loan Tape (S&amp;P)'!L8085,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86">
      <c r="J8086">
        <f>LET(
    lien,'Loan Tape (S&amp;P)'!Q8086,
    IF(lien="First",1.00,
        IF(lien="Second",1.50,
            1.70)))</f>
        <v/>
      </c>
      <c r="K8086">
        <f>LET(
    purpose,'Loan Tape (S&amp;P)'!R8086,
    IF(purpose="Purchase",1.00,
        IF(purpose="Remortgage",1.00,
            1.20)))</f>
        <v/>
      </c>
      <c r="L8086">
        <f>LET(
    arrears_months,'Loan Tape (S&amp;P)'!AN8086,
    IF(arrears_months=0,1.00,
    IF(arrears_months=1,3.00,
    IF(arrears_months=2,5.00,
    IF(arrears_months=3,8.00,
    IF(arrears_months=4,10.00,
    IF(arrears_months=5,12.00,15.00)))))))</f>
        <v/>
      </c>
      <c r="M8086">
        <f>LET(
    seasoning_years,DATEDIF('Loan Tape (S&amp;P)'!K8086,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86">
        <f>IF(AND('Loan Tape (S&amp;P)'!U8086="Yes",
        'Loan Tape (S&amp;P)'!T8086&lt;&gt;"Yes",
        DATEDIF('Loan Tape (S&amp;P)'!K8086, TODAY(), "M")&lt;18),
    1.10,
    1.00)</f>
        <v/>
      </c>
      <c r="O8086">
        <f>IF('Loan Tape (S&amp;P)'!T8086="Yes",
    1.35,
    1.00)</f>
        <v/>
      </c>
      <c r="P8086">
        <f>IF('Loan Tape (S&amp;P)'!S8086="Yes",
    1.15,
    1.00)</f>
        <v/>
      </c>
      <c r="Q8086">
        <f>IF('Loan Tape (S&amp;P)'!V8086="Yes",
    1.20,
    1.00)</f>
        <v/>
      </c>
      <c r="T8086">
        <f>LET(
    payment_method,'Loan Tape (S&amp;P)'!P8086,
    occupancy,'Loan Tape (S&amp;P)'!N8086,
    maturity_date,'Loan Tape (S&amp;P)'!L8086,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87">
      <c r="J8087">
        <f>LET(
    lien,'Loan Tape (S&amp;P)'!Q8087,
    IF(lien="First",1.00,
        IF(lien="Second",1.50,
            1.70)))</f>
        <v/>
      </c>
      <c r="K8087">
        <f>LET(
    purpose,'Loan Tape (S&amp;P)'!R8087,
    IF(purpose="Purchase",1.00,
        IF(purpose="Remortgage",1.00,
            1.20)))</f>
        <v/>
      </c>
      <c r="L8087">
        <f>LET(
    arrears_months,'Loan Tape (S&amp;P)'!AN8087,
    IF(arrears_months=0,1.00,
    IF(arrears_months=1,3.00,
    IF(arrears_months=2,5.00,
    IF(arrears_months=3,8.00,
    IF(arrears_months=4,10.00,
    IF(arrears_months=5,12.00,15.00)))))))</f>
        <v/>
      </c>
      <c r="M8087">
        <f>LET(
    seasoning_years,DATEDIF('Loan Tape (S&amp;P)'!K8087,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87">
        <f>IF(AND('Loan Tape (S&amp;P)'!U8087="Yes",
        'Loan Tape (S&amp;P)'!T8087&lt;&gt;"Yes",
        DATEDIF('Loan Tape (S&amp;P)'!K8087, TODAY(), "M")&lt;18),
    1.10,
    1.00)</f>
        <v/>
      </c>
      <c r="O8087">
        <f>IF('Loan Tape (S&amp;P)'!T8087="Yes",
    1.35,
    1.00)</f>
        <v/>
      </c>
      <c r="P8087">
        <f>IF('Loan Tape (S&amp;P)'!S8087="Yes",
    1.15,
    1.00)</f>
        <v/>
      </c>
      <c r="Q8087">
        <f>IF('Loan Tape (S&amp;P)'!V8087="Yes",
    1.20,
    1.00)</f>
        <v/>
      </c>
      <c r="T8087">
        <f>LET(
    payment_method,'Loan Tape (S&amp;P)'!P8087,
    occupancy,'Loan Tape (S&amp;P)'!N8087,
    maturity_date,'Loan Tape (S&amp;P)'!L8087,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88">
      <c r="J8088">
        <f>LET(
    lien,'Loan Tape (S&amp;P)'!Q8088,
    IF(lien="First",1.00,
        IF(lien="Second",1.50,
            1.70)))</f>
        <v/>
      </c>
      <c r="K8088">
        <f>LET(
    purpose,'Loan Tape (S&amp;P)'!R8088,
    IF(purpose="Purchase",1.00,
        IF(purpose="Remortgage",1.00,
            1.20)))</f>
        <v/>
      </c>
      <c r="L8088">
        <f>LET(
    arrears_months,'Loan Tape (S&amp;P)'!AN8088,
    IF(arrears_months=0,1.00,
    IF(arrears_months=1,3.00,
    IF(arrears_months=2,5.00,
    IF(arrears_months=3,8.00,
    IF(arrears_months=4,10.00,
    IF(arrears_months=5,12.00,15.00)))))))</f>
        <v/>
      </c>
      <c r="M8088">
        <f>LET(
    seasoning_years,DATEDIF('Loan Tape (S&amp;P)'!K8088,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88">
        <f>IF(AND('Loan Tape (S&amp;P)'!U8088="Yes",
        'Loan Tape (S&amp;P)'!T8088&lt;&gt;"Yes",
        DATEDIF('Loan Tape (S&amp;P)'!K8088, TODAY(), "M")&lt;18),
    1.10,
    1.00)</f>
        <v/>
      </c>
      <c r="O8088">
        <f>IF('Loan Tape (S&amp;P)'!T8088="Yes",
    1.35,
    1.00)</f>
        <v/>
      </c>
      <c r="P8088">
        <f>IF('Loan Tape (S&amp;P)'!S8088="Yes",
    1.15,
    1.00)</f>
        <v/>
      </c>
      <c r="Q8088">
        <f>IF('Loan Tape (S&amp;P)'!V8088="Yes",
    1.20,
    1.00)</f>
        <v/>
      </c>
      <c r="T8088">
        <f>LET(
    payment_method,'Loan Tape (S&amp;P)'!P8088,
    occupancy,'Loan Tape (S&amp;P)'!N8088,
    maturity_date,'Loan Tape (S&amp;P)'!L8088,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89">
      <c r="J8089">
        <f>LET(
    lien,'Loan Tape (S&amp;P)'!Q8089,
    IF(lien="First",1.00,
        IF(lien="Second",1.50,
            1.70)))</f>
        <v/>
      </c>
      <c r="K8089">
        <f>LET(
    purpose,'Loan Tape (S&amp;P)'!R8089,
    IF(purpose="Purchase",1.00,
        IF(purpose="Remortgage",1.00,
            1.20)))</f>
        <v/>
      </c>
      <c r="L8089">
        <f>LET(
    arrears_months,'Loan Tape (S&amp;P)'!AN8089,
    IF(arrears_months=0,1.00,
    IF(arrears_months=1,3.00,
    IF(arrears_months=2,5.00,
    IF(arrears_months=3,8.00,
    IF(arrears_months=4,10.00,
    IF(arrears_months=5,12.00,15.00)))))))</f>
        <v/>
      </c>
      <c r="M8089">
        <f>LET(
    seasoning_years,DATEDIF('Loan Tape (S&amp;P)'!K8089,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89">
        <f>IF(AND('Loan Tape (S&amp;P)'!U8089="Yes",
        'Loan Tape (S&amp;P)'!T8089&lt;&gt;"Yes",
        DATEDIF('Loan Tape (S&amp;P)'!K8089, TODAY(), "M")&lt;18),
    1.10,
    1.00)</f>
        <v/>
      </c>
      <c r="O8089">
        <f>IF('Loan Tape (S&amp;P)'!T8089="Yes",
    1.35,
    1.00)</f>
        <v/>
      </c>
      <c r="P8089">
        <f>IF('Loan Tape (S&amp;P)'!S8089="Yes",
    1.15,
    1.00)</f>
        <v/>
      </c>
      <c r="Q8089">
        <f>IF('Loan Tape (S&amp;P)'!V8089="Yes",
    1.20,
    1.00)</f>
        <v/>
      </c>
      <c r="T8089">
        <f>LET(
    payment_method,'Loan Tape (S&amp;P)'!P8089,
    occupancy,'Loan Tape (S&amp;P)'!N8089,
    maturity_date,'Loan Tape (S&amp;P)'!L8089,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90">
      <c r="J8090">
        <f>LET(
    lien,'Loan Tape (S&amp;P)'!Q8090,
    IF(lien="First",1.00,
        IF(lien="Second",1.50,
            1.70)))</f>
        <v/>
      </c>
      <c r="K8090">
        <f>LET(
    purpose,'Loan Tape (S&amp;P)'!R8090,
    IF(purpose="Purchase",1.00,
        IF(purpose="Remortgage",1.00,
            1.20)))</f>
        <v/>
      </c>
      <c r="L8090">
        <f>LET(
    arrears_months,'Loan Tape (S&amp;P)'!AN8090,
    IF(arrears_months=0,1.00,
    IF(arrears_months=1,3.00,
    IF(arrears_months=2,5.00,
    IF(arrears_months=3,8.00,
    IF(arrears_months=4,10.00,
    IF(arrears_months=5,12.00,15.00)))))))</f>
        <v/>
      </c>
      <c r="M8090">
        <f>LET(
    seasoning_years,DATEDIF('Loan Tape (S&amp;P)'!K8090,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90">
        <f>IF(AND('Loan Tape (S&amp;P)'!U8090="Yes",
        'Loan Tape (S&amp;P)'!T8090&lt;&gt;"Yes",
        DATEDIF('Loan Tape (S&amp;P)'!K8090, TODAY(), "M")&lt;18),
    1.10,
    1.00)</f>
        <v/>
      </c>
      <c r="O8090">
        <f>IF('Loan Tape (S&amp;P)'!T8090="Yes",
    1.35,
    1.00)</f>
        <v/>
      </c>
      <c r="P8090">
        <f>IF('Loan Tape (S&amp;P)'!S8090="Yes",
    1.15,
    1.00)</f>
        <v/>
      </c>
      <c r="Q8090">
        <f>IF('Loan Tape (S&amp;P)'!V8090="Yes",
    1.20,
    1.00)</f>
        <v/>
      </c>
      <c r="T8090">
        <f>LET(
    payment_method,'Loan Tape (S&amp;P)'!P8090,
    occupancy,'Loan Tape (S&amp;P)'!N8090,
    maturity_date,'Loan Tape (S&amp;P)'!L8090,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91">
      <c r="J8091">
        <f>LET(
    lien,'Loan Tape (S&amp;P)'!Q8091,
    IF(lien="First",1.00,
        IF(lien="Second",1.50,
            1.70)))</f>
        <v/>
      </c>
      <c r="K8091">
        <f>LET(
    purpose,'Loan Tape (S&amp;P)'!R8091,
    IF(purpose="Purchase",1.00,
        IF(purpose="Remortgage",1.00,
            1.20)))</f>
        <v/>
      </c>
      <c r="L8091">
        <f>LET(
    arrears_months,'Loan Tape (S&amp;P)'!AN8091,
    IF(arrears_months=0,1.00,
    IF(arrears_months=1,3.00,
    IF(arrears_months=2,5.00,
    IF(arrears_months=3,8.00,
    IF(arrears_months=4,10.00,
    IF(arrears_months=5,12.00,15.00)))))))</f>
        <v/>
      </c>
      <c r="M8091">
        <f>LET(
    seasoning_years,DATEDIF('Loan Tape (S&amp;P)'!K8091,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91">
        <f>IF(AND('Loan Tape (S&amp;P)'!U8091="Yes",
        'Loan Tape (S&amp;P)'!T8091&lt;&gt;"Yes",
        DATEDIF('Loan Tape (S&amp;P)'!K8091, TODAY(), "M")&lt;18),
    1.10,
    1.00)</f>
        <v/>
      </c>
      <c r="O8091">
        <f>IF('Loan Tape (S&amp;P)'!T8091="Yes",
    1.35,
    1.00)</f>
        <v/>
      </c>
      <c r="P8091">
        <f>IF('Loan Tape (S&amp;P)'!S8091="Yes",
    1.15,
    1.00)</f>
        <v/>
      </c>
      <c r="Q8091">
        <f>IF('Loan Tape (S&amp;P)'!V8091="Yes",
    1.20,
    1.00)</f>
        <v/>
      </c>
      <c r="T8091">
        <f>LET(
    payment_method,'Loan Tape (S&amp;P)'!P8091,
    occupancy,'Loan Tape (S&amp;P)'!N8091,
    maturity_date,'Loan Tape (S&amp;P)'!L8091,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92">
      <c r="J8092">
        <f>LET(
    lien,'Loan Tape (S&amp;P)'!Q8092,
    IF(lien="First",1.00,
        IF(lien="Second",1.50,
            1.70)))</f>
        <v/>
      </c>
      <c r="K8092">
        <f>LET(
    purpose,'Loan Tape (S&amp;P)'!R8092,
    IF(purpose="Purchase",1.00,
        IF(purpose="Remortgage",1.00,
            1.20)))</f>
        <v/>
      </c>
      <c r="L8092">
        <f>LET(
    arrears_months,'Loan Tape (S&amp;P)'!AN8092,
    IF(arrears_months=0,1.00,
    IF(arrears_months=1,3.00,
    IF(arrears_months=2,5.00,
    IF(arrears_months=3,8.00,
    IF(arrears_months=4,10.00,
    IF(arrears_months=5,12.00,15.00)))))))</f>
        <v/>
      </c>
      <c r="M8092">
        <f>LET(
    seasoning_years,DATEDIF('Loan Tape (S&amp;P)'!K8092,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92">
        <f>IF(AND('Loan Tape (S&amp;P)'!U8092="Yes",
        'Loan Tape (S&amp;P)'!T8092&lt;&gt;"Yes",
        DATEDIF('Loan Tape (S&amp;P)'!K8092, TODAY(), "M")&lt;18),
    1.10,
    1.00)</f>
        <v/>
      </c>
      <c r="O8092">
        <f>IF('Loan Tape (S&amp;P)'!T8092="Yes",
    1.35,
    1.00)</f>
        <v/>
      </c>
      <c r="P8092">
        <f>IF('Loan Tape (S&amp;P)'!S8092="Yes",
    1.15,
    1.00)</f>
        <v/>
      </c>
      <c r="Q8092">
        <f>IF('Loan Tape (S&amp;P)'!V8092="Yes",
    1.20,
    1.00)</f>
        <v/>
      </c>
      <c r="T8092">
        <f>LET(
    payment_method,'Loan Tape (S&amp;P)'!P8092,
    occupancy,'Loan Tape (S&amp;P)'!N8092,
    maturity_date,'Loan Tape (S&amp;P)'!L8092,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93">
      <c r="J8093">
        <f>LET(
    lien,'Loan Tape (S&amp;P)'!Q8093,
    IF(lien="First",1.00,
        IF(lien="Second",1.50,
            1.70)))</f>
        <v/>
      </c>
      <c r="K8093">
        <f>LET(
    purpose,'Loan Tape (S&amp;P)'!R8093,
    IF(purpose="Purchase",1.00,
        IF(purpose="Remortgage",1.00,
            1.20)))</f>
        <v/>
      </c>
      <c r="L8093">
        <f>LET(
    arrears_months,'Loan Tape (S&amp;P)'!AN8093,
    IF(arrears_months=0,1.00,
    IF(arrears_months=1,3.00,
    IF(arrears_months=2,5.00,
    IF(arrears_months=3,8.00,
    IF(arrears_months=4,10.00,
    IF(arrears_months=5,12.00,15.00)))))))</f>
        <v/>
      </c>
      <c r="M8093">
        <f>LET(
    seasoning_years,DATEDIF('Loan Tape (S&amp;P)'!K8093,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93">
        <f>IF(AND('Loan Tape (S&amp;P)'!U8093="Yes",
        'Loan Tape (S&amp;P)'!T8093&lt;&gt;"Yes",
        DATEDIF('Loan Tape (S&amp;P)'!K8093, TODAY(), "M")&lt;18),
    1.10,
    1.00)</f>
        <v/>
      </c>
      <c r="O8093">
        <f>IF('Loan Tape (S&amp;P)'!T8093="Yes",
    1.35,
    1.00)</f>
        <v/>
      </c>
      <c r="P8093">
        <f>IF('Loan Tape (S&amp;P)'!S8093="Yes",
    1.15,
    1.00)</f>
        <v/>
      </c>
      <c r="Q8093">
        <f>IF('Loan Tape (S&amp;P)'!V8093="Yes",
    1.20,
    1.00)</f>
        <v/>
      </c>
      <c r="T8093">
        <f>LET(
    payment_method,'Loan Tape (S&amp;P)'!P8093,
    occupancy,'Loan Tape (S&amp;P)'!N8093,
    maturity_date,'Loan Tape (S&amp;P)'!L8093,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94">
      <c r="J8094">
        <f>LET(
    lien,'Loan Tape (S&amp;P)'!Q8094,
    IF(lien="First",1.00,
        IF(lien="Second",1.50,
            1.70)))</f>
        <v/>
      </c>
      <c r="K8094">
        <f>LET(
    purpose,'Loan Tape (S&amp;P)'!R8094,
    IF(purpose="Purchase",1.00,
        IF(purpose="Remortgage",1.00,
            1.20)))</f>
        <v/>
      </c>
      <c r="L8094">
        <f>LET(
    arrears_months,'Loan Tape (S&amp;P)'!AN8094,
    IF(arrears_months=0,1.00,
    IF(arrears_months=1,3.00,
    IF(arrears_months=2,5.00,
    IF(arrears_months=3,8.00,
    IF(arrears_months=4,10.00,
    IF(arrears_months=5,12.00,15.00)))))))</f>
        <v/>
      </c>
      <c r="M8094">
        <f>LET(
    seasoning_years,DATEDIF('Loan Tape (S&amp;P)'!K8094,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94">
        <f>IF(AND('Loan Tape (S&amp;P)'!U8094="Yes",
        'Loan Tape (S&amp;P)'!T8094&lt;&gt;"Yes",
        DATEDIF('Loan Tape (S&amp;P)'!K8094, TODAY(), "M")&lt;18),
    1.10,
    1.00)</f>
        <v/>
      </c>
      <c r="O8094">
        <f>IF('Loan Tape (S&amp;P)'!T8094="Yes",
    1.35,
    1.00)</f>
        <v/>
      </c>
      <c r="P8094">
        <f>IF('Loan Tape (S&amp;P)'!S8094="Yes",
    1.15,
    1.00)</f>
        <v/>
      </c>
      <c r="Q8094">
        <f>IF('Loan Tape (S&amp;P)'!V8094="Yes",
    1.20,
    1.00)</f>
        <v/>
      </c>
      <c r="T8094">
        <f>LET(
    payment_method,'Loan Tape (S&amp;P)'!P8094,
    occupancy,'Loan Tape (S&amp;P)'!N8094,
    maturity_date,'Loan Tape (S&amp;P)'!L8094,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95">
      <c r="J8095">
        <f>LET(
    lien,'Loan Tape (S&amp;P)'!Q8095,
    IF(lien="First",1.00,
        IF(lien="Second",1.50,
            1.70)))</f>
        <v/>
      </c>
      <c r="K8095">
        <f>LET(
    purpose,'Loan Tape (S&amp;P)'!R8095,
    IF(purpose="Purchase",1.00,
        IF(purpose="Remortgage",1.00,
            1.20)))</f>
        <v/>
      </c>
      <c r="L8095">
        <f>LET(
    arrears_months,'Loan Tape (S&amp;P)'!AN8095,
    IF(arrears_months=0,1.00,
    IF(arrears_months=1,3.00,
    IF(arrears_months=2,5.00,
    IF(arrears_months=3,8.00,
    IF(arrears_months=4,10.00,
    IF(arrears_months=5,12.00,15.00)))))))</f>
        <v/>
      </c>
      <c r="M8095">
        <f>LET(
    seasoning_years,DATEDIF('Loan Tape (S&amp;P)'!K8095,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95">
        <f>IF(AND('Loan Tape (S&amp;P)'!U8095="Yes",
        'Loan Tape (S&amp;P)'!T8095&lt;&gt;"Yes",
        DATEDIF('Loan Tape (S&amp;P)'!K8095, TODAY(), "M")&lt;18),
    1.10,
    1.00)</f>
        <v/>
      </c>
      <c r="O8095">
        <f>IF('Loan Tape (S&amp;P)'!T8095="Yes",
    1.35,
    1.00)</f>
        <v/>
      </c>
      <c r="P8095">
        <f>IF('Loan Tape (S&amp;P)'!S8095="Yes",
    1.15,
    1.00)</f>
        <v/>
      </c>
      <c r="Q8095">
        <f>IF('Loan Tape (S&amp;P)'!V8095="Yes",
    1.20,
    1.00)</f>
        <v/>
      </c>
      <c r="T8095">
        <f>LET(
    payment_method,'Loan Tape (S&amp;P)'!P8095,
    occupancy,'Loan Tape (S&amp;P)'!N8095,
    maturity_date,'Loan Tape (S&amp;P)'!L8095,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96">
      <c r="J8096">
        <f>LET(
    lien,'Loan Tape (S&amp;P)'!Q8096,
    IF(lien="First",1.00,
        IF(lien="Second",1.50,
            1.70)))</f>
        <v/>
      </c>
      <c r="K8096">
        <f>LET(
    purpose,'Loan Tape (S&amp;P)'!R8096,
    IF(purpose="Purchase",1.00,
        IF(purpose="Remortgage",1.00,
            1.20)))</f>
        <v/>
      </c>
      <c r="L8096">
        <f>LET(
    arrears_months,'Loan Tape (S&amp;P)'!AN8096,
    IF(arrears_months=0,1.00,
    IF(arrears_months=1,3.00,
    IF(arrears_months=2,5.00,
    IF(arrears_months=3,8.00,
    IF(arrears_months=4,10.00,
    IF(arrears_months=5,12.00,15.00)))))))</f>
        <v/>
      </c>
      <c r="M8096">
        <f>LET(
    seasoning_years,DATEDIF('Loan Tape (S&amp;P)'!K8096,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96">
        <f>IF(AND('Loan Tape (S&amp;P)'!U8096="Yes",
        'Loan Tape (S&amp;P)'!T8096&lt;&gt;"Yes",
        DATEDIF('Loan Tape (S&amp;P)'!K8096, TODAY(), "M")&lt;18),
    1.10,
    1.00)</f>
        <v/>
      </c>
      <c r="O8096">
        <f>IF('Loan Tape (S&amp;P)'!T8096="Yes",
    1.35,
    1.00)</f>
        <v/>
      </c>
      <c r="P8096">
        <f>IF('Loan Tape (S&amp;P)'!S8096="Yes",
    1.15,
    1.00)</f>
        <v/>
      </c>
      <c r="Q8096">
        <f>IF('Loan Tape (S&amp;P)'!V8096="Yes",
    1.20,
    1.00)</f>
        <v/>
      </c>
      <c r="T8096">
        <f>LET(
    payment_method,'Loan Tape (S&amp;P)'!P8096,
    occupancy,'Loan Tape (S&amp;P)'!N8096,
    maturity_date,'Loan Tape (S&amp;P)'!L8096,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97">
      <c r="J8097">
        <f>LET(
    lien,'Loan Tape (S&amp;P)'!Q8097,
    IF(lien="First",1.00,
        IF(lien="Second",1.50,
            1.70)))</f>
        <v/>
      </c>
      <c r="K8097">
        <f>LET(
    purpose,'Loan Tape (S&amp;P)'!R8097,
    IF(purpose="Purchase",1.00,
        IF(purpose="Remortgage",1.00,
            1.20)))</f>
        <v/>
      </c>
      <c r="L8097">
        <f>LET(
    arrears_months,'Loan Tape (S&amp;P)'!AN8097,
    IF(arrears_months=0,1.00,
    IF(arrears_months=1,3.00,
    IF(arrears_months=2,5.00,
    IF(arrears_months=3,8.00,
    IF(arrears_months=4,10.00,
    IF(arrears_months=5,12.00,15.00)))))))</f>
        <v/>
      </c>
      <c r="M8097">
        <f>LET(
    seasoning_years,DATEDIF('Loan Tape (S&amp;P)'!K8097,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97">
        <f>IF(AND('Loan Tape (S&amp;P)'!U8097="Yes",
        'Loan Tape (S&amp;P)'!T8097&lt;&gt;"Yes",
        DATEDIF('Loan Tape (S&amp;P)'!K8097, TODAY(), "M")&lt;18),
    1.10,
    1.00)</f>
        <v/>
      </c>
      <c r="O8097">
        <f>IF('Loan Tape (S&amp;P)'!T8097="Yes",
    1.35,
    1.00)</f>
        <v/>
      </c>
      <c r="P8097">
        <f>IF('Loan Tape (S&amp;P)'!S8097="Yes",
    1.15,
    1.00)</f>
        <v/>
      </c>
      <c r="Q8097">
        <f>IF('Loan Tape (S&amp;P)'!V8097="Yes",
    1.20,
    1.00)</f>
        <v/>
      </c>
      <c r="T8097">
        <f>LET(
    payment_method,'Loan Tape (S&amp;P)'!P8097,
    occupancy,'Loan Tape (S&amp;P)'!N8097,
    maturity_date,'Loan Tape (S&amp;P)'!L8097,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98">
      <c r="J8098">
        <f>LET(
    lien,'Loan Tape (S&amp;P)'!Q8098,
    IF(lien="First",1.00,
        IF(lien="Second",1.50,
            1.70)))</f>
        <v/>
      </c>
      <c r="K8098">
        <f>LET(
    purpose,'Loan Tape (S&amp;P)'!R8098,
    IF(purpose="Purchase",1.00,
        IF(purpose="Remortgage",1.00,
            1.20)))</f>
        <v/>
      </c>
      <c r="L8098">
        <f>LET(
    arrears_months,'Loan Tape (S&amp;P)'!AN8098,
    IF(arrears_months=0,1.00,
    IF(arrears_months=1,3.00,
    IF(arrears_months=2,5.00,
    IF(arrears_months=3,8.00,
    IF(arrears_months=4,10.00,
    IF(arrears_months=5,12.00,15.00)))))))</f>
        <v/>
      </c>
      <c r="M8098">
        <f>LET(
    seasoning_years,DATEDIF('Loan Tape (S&amp;P)'!K8098,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98">
        <f>IF(AND('Loan Tape (S&amp;P)'!U8098="Yes",
        'Loan Tape (S&amp;P)'!T8098&lt;&gt;"Yes",
        DATEDIF('Loan Tape (S&amp;P)'!K8098, TODAY(), "M")&lt;18),
    1.10,
    1.00)</f>
        <v/>
      </c>
      <c r="O8098">
        <f>IF('Loan Tape (S&amp;P)'!T8098="Yes",
    1.35,
    1.00)</f>
        <v/>
      </c>
      <c r="P8098">
        <f>IF('Loan Tape (S&amp;P)'!S8098="Yes",
    1.15,
    1.00)</f>
        <v/>
      </c>
      <c r="Q8098">
        <f>IF('Loan Tape (S&amp;P)'!V8098="Yes",
    1.20,
    1.00)</f>
        <v/>
      </c>
      <c r="T8098">
        <f>LET(
    payment_method,'Loan Tape (S&amp;P)'!P8098,
    occupancy,'Loan Tape (S&amp;P)'!N8098,
    maturity_date,'Loan Tape (S&amp;P)'!L8098,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099">
      <c r="J8099">
        <f>LET(
    lien,'Loan Tape (S&amp;P)'!Q8099,
    IF(lien="First",1.00,
        IF(lien="Second",1.50,
            1.70)))</f>
        <v/>
      </c>
      <c r="K8099">
        <f>LET(
    purpose,'Loan Tape (S&amp;P)'!R8099,
    IF(purpose="Purchase",1.00,
        IF(purpose="Remortgage",1.00,
            1.20)))</f>
        <v/>
      </c>
      <c r="L8099">
        <f>LET(
    arrears_months,'Loan Tape (S&amp;P)'!AN8099,
    IF(arrears_months=0,1.00,
    IF(arrears_months=1,3.00,
    IF(arrears_months=2,5.00,
    IF(arrears_months=3,8.00,
    IF(arrears_months=4,10.00,
    IF(arrears_months=5,12.00,15.00)))))))</f>
        <v/>
      </c>
      <c r="M8099">
        <f>LET(
    seasoning_years,DATEDIF('Loan Tape (S&amp;P)'!K8099,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099">
        <f>IF(AND('Loan Tape (S&amp;P)'!U8099="Yes",
        'Loan Tape (S&amp;P)'!T8099&lt;&gt;"Yes",
        DATEDIF('Loan Tape (S&amp;P)'!K8099, TODAY(), "M")&lt;18),
    1.10,
    1.00)</f>
        <v/>
      </c>
      <c r="O8099">
        <f>IF('Loan Tape (S&amp;P)'!T8099="Yes",
    1.35,
    1.00)</f>
        <v/>
      </c>
      <c r="P8099">
        <f>IF('Loan Tape (S&amp;P)'!S8099="Yes",
    1.15,
    1.00)</f>
        <v/>
      </c>
      <c r="Q8099">
        <f>IF('Loan Tape (S&amp;P)'!V8099="Yes",
    1.20,
    1.00)</f>
        <v/>
      </c>
      <c r="T8099">
        <f>LET(
    payment_method,'Loan Tape (S&amp;P)'!P8099,
    occupancy,'Loan Tape (S&amp;P)'!N8099,
    maturity_date,'Loan Tape (S&amp;P)'!L8099,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00">
      <c r="J8100">
        <f>LET(
    lien,'Loan Tape (S&amp;P)'!Q8100,
    IF(lien="First",1.00,
        IF(lien="Second",1.50,
            1.70)))</f>
        <v/>
      </c>
      <c r="K8100">
        <f>LET(
    purpose,'Loan Tape (S&amp;P)'!R8100,
    IF(purpose="Purchase",1.00,
        IF(purpose="Remortgage",1.00,
            1.20)))</f>
        <v/>
      </c>
      <c r="L8100">
        <f>LET(
    arrears_months,'Loan Tape (S&amp;P)'!AN8100,
    IF(arrears_months=0,1.00,
    IF(arrears_months=1,3.00,
    IF(arrears_months=2,5.00,
    IF(arrears_months=3,8.00,
    IF(arrears_months=4,10.00,
    IF(arrears_months=5,12.00,15.00)))))))</f>
        <v/>
      </c>
      <c r="M8100">
        <f>LET(
    seasoning_years,DATEDIF('Loan Tape (S&amp;P)'!K8100,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00">
        <f>IF(AND('Loan Tape (S&amp;P)'!U8100="Yes",
        'Loan Tape (S&amp;P)'!T8100&lt;&gt;"Yes",
        DATEDIF('Loan Tape (S&amp;P)'!K8100, TODAY(), "M")&lt;18),
    1.10,
    1.00)</f>
        <v/>
      </c>
      <c r="O8100">
        <f>IF('Loan Tape (S&amp;P)'!T8100="Yes",
    1.35,
    1.00)</f>
        <v/>
      </c>
      <c r="P8100">
        <f>IF('Loan Tape (S&amp;P)'!S8100="Yes",
    1.15,
    1.00)</f>
        <v/>
      </c>
      <c r="Q8100">
        <f>IF('Loan Tape (S&amp;P)'!V8100="Yes",
    1.20,
    1.00)</f>
        <v/>
      </c>
      <c r="T8100">
        <f>LET(
    payment_method,'Loan Tape (S&amp;P)'!P8100,
    occupancy,'Loan Tape (S&amp;P)'!N8100,
    maturity_date,'Loan Tape (S&amp;P)'!L8100,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01">
      <c r="J8101">
        <f>LET(
    lien,'Loan Tape (S&amp;P)'!Q8101,
    IF(lien="First",1.00,
        IF(lien="Second",1.50,
            1.70)))</f>
        <v/>
      </c>
      <c r="K8101">
        <f>LET(
    purpose,'Loan Tape (S&amp;P)'!R8101,
    IF(purpose="Purchase",1.00,
        IF(purpose="Remortgage",1.00,
            1.20)))</f>
        <v/>
      </c>
      <c r="L8101">
        <f>LET(
    arrears_months,'Loan Tape (S&amp;P)'!AN8101,
    IF(arrears_months=0,1.00,
    IF(arrears_months=1,3.00,
    IF(arrears_months=2,5.00,
    IF(arrears_months=3,8.00,
    IF(arrears_months=4,10.00,
    IF(arrears_months=5,12.00,15.00)))))))</f>
        <v/>
      </c>
      <c r="M8101">
        <f>LET(
    seasoning_years,DATEDIF('Loan Tape (S&amp;P)'!K8101,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01">
        <f>IF(AND('Loan Tape (S&amp;P)'!U8101="Yes",
        'Loan Tape (S&amp;P)'!T8101&lt;&gt;"Yes",
        DATEDIF('Loan Tape (S&amp;P)'!K8101, TODAY(), "M")&lt;18),
    1.10,
    1.00)</f>
        <v/>
      </c>
      <c r="O8101">
        <f>IF('Loan Tape (S&amp;P)'!T8101="Yes",
    1.35,
    1.00)</f>
        <v/>
      </c>
      <c r="P8101">
        <f>IF('Loan Tape (S&amp;P)'!S8101="Yes",
    1.15,
    1.00)</f>
        <v/>
      </c>
      <c r="Q8101">
        <f>IF('Loan Tape (S&amp;P)'!V8101="Yes",
    1.20,
    1.00)</f>
        <v/>
      </c>
      <c r="T8101">
        <f>LET(
    payment_method,'Loan Tape (S&amp;P)'!P8101,
    occupancy,'Loan Tape (S&amp;P)'!N8101,
    maturity_date,'Loan Tape (S&amp;P)'!L8101,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02">
      <c r="J8102">
        <f>LET(
    lien,'Loan Tape (S&amp;P)'!Q8102,
    IF(lien="First",1.00,
        IF(lien="Second",1.50,
            1.70)))</f>
        <v/>
      </c>
      <c r="K8102">
        <f>LET(
    purpose,'Loan Tape (S&amp;P)'!R8102,
    IF(purpose="Purchase",1.00,
        IF(purpose="Remortgage",1.00,
            1.20)))</f>
        <v/>
      </c>
      <c r="L8102">
        <f>LET(
    arrears_months,'Loan Tape (S&amp;P)'!AN8102,
    IF(arrears_months=0,1.00,
    IF(arrears_months=1,3.00,
    IF(arrears_months=2,5.00,
    IF(arrears_months=3,8.00,
    IF(arrears_months=4,10.00,
    IF(arrears_months=5,12.00,15.00)))))))</f>
        <v/>
      </c>
      <c r="M8102">
        <f>LET(
    seasoning_years,DATEDIF('Loan Tape (S&amp;P)'!K8102,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02">
        <f>IF(AND('Loan Tape (S&amp;P)'!U8102="Yes",
        'Loan Tape (S&amp;P)'!T8102&lt;&gt;"Yes",
        DATEDIF('Loan Tape (S&amp;P)'!K8102, TODAY(), "M")&lt;18),
    1.10,
    1.00)</f>
        <v/>
      </c>
      <c r="O8102">
        <f>IF('Loan Tape (S&amp;P)'!T8102="Yes",
    1.35,
    1.00)</f>
        <v/>
      </c>
      <c r="P8102">
        <f>IF('Loan Tape (S&amp;P)'!S8102="Yes",
    1.15,
    1.00)</f>
        <v/>
      </c>
      <c r="Q8102">
        <f>IF('Loan Tape (S&amp;P)'!V8102="Yes",
    1.20,
    1.00)</f>
        <v/>
      </c>
      <c r="T8102">
        <f>LET(
    payment_method,'Loan Tape (S&amp;P)'!P8102,
    occupancy,'Loan Tape (S&amp;P)'!N8102,
    maturity_date,'Loan Tape (S&amp;P)'!L8102,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03">
      <c r="J8103">
        <f>LET(
    lien,'Loan Tape (S&amp;P)'!Q8103,
    IF(lien="First",1.00,
        IF(lien="Second",1.50,
            1.70)))</f>
        <v/>
      </c>
      <c r="K8103">
        <f>LET(
    purpose,'Loan Tape (S&amp;P)'!R8103,
    IF(purpose="Purchase",1.00,
        IF(purpose="Remortgage",1.00,
            1.20)))</f>
        <v/>
      </c>
      <c r="L8103">
        <f>LET(
    arrears_months,'Loan Tape (S&amp;P)'!AN8103,
    IF(arrears_months=0,1.00,
    IF(arrears_months=1,3.00,
    IF(arrears_months=2,5.00,
    IF(arrears_months=3,8.00,
    IF(arrears_months=4,10.00,
    IF(arrears_months=5,12.00,15.00)))))))</f>
        <v/>
      </c>
      <c r="M8103">
        <f>LET(
    seasoning_years,DATEDIF('Loan Tape (S&amp;P)'!K8103,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03">
        <f>IF(AND('Loan Tape (S&amp;P)'!U8103="Yes",
        'Loan Tape (S&amp;P)'!T8103&lt;&gt;"Yes",
        DATEDIF('Loan Tape (S&amp;P)'!K8103, TODAY(), "M")&lt;18),
    1.10,
    1.00)</f>
        <v/>
      </c>
      <c r="O8103">
        <f>IF('Loan Tape (S&amp;P)'!T8103="Yes",
    1.35,
    1.00)</f>
        <v/>
      </c>
      <c r="P8103">
        <f>IF('Loan Tape (S&amp;P)'!S8103="Yes",
    1.15,
    1.00)</f>
        <v/>
      </c>
      <c r="Q8103">
        <f>IF('Loan Tape (S&amp;P)'!V8103="Yes",
    1.20,
    1.00)</f>
        <v/>
      </c>
      <c r="T8103">
        <f>LET(
    payment_method,'Loan Tape (S&amp;P)'!P8103,
    occupancy,'Loan Tape (S&amp;P)'!N8103,
    maturity_date,'Loan Tape (S&amp;P)'!L8103,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04">
      <c r="J8104">
        <f>LET(
    lien,'Loan Tape (S&amp;P)'!Q8104,
    IF(lien="First",1.00,
        IF(lien="Second",1.50,
            1.70)))</f>
        <v/>
      </c>
      <c r="K8104">
        <f>LET(
    purpose,'Loan Tape (S&amp;P)'!R8104,
    IF(purpose="Purchase",1.00,
        IF(purpose="Remortgage",1.00,
            1.20)))</f>
        <v/>
      </c>
      <c r="L8104">
        <f>LET(
    arrears_months,'Loan Tape (S&amp;P)'!AN8104,
    IF(arrears_months=0,1.00,
    IF(arrears_months=1,3.00,
    IF(arrears_months=2,5.00,
    IF(arrears_months=3,8.00,
    IF(arrears_months=4,10.00,
    IF(arrears_months=5,12.00,15.00)))))))</f>
        <v/>
      </c>
      <c r="M8104">
        <f>LET(
    seasoning_years,DATEDIF('Loan Tape (S&amp;P)'!K8104,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04">
        <f>IF(AND('Loan Tape (S&amp;P)'!U8104="Yes",
        'Loan Tape (S&amp;P)'!T8104&lt;&gt;"Yes",
        DATEDIF('Loan Tape (S&amp;P)'!K8104, TODAY(), "M")&lt;18),
    1.10,
    1.00)</f>
        <v/>
      </c>
      <c r="O8104">
        <f>IF('Loan Tape (S&amp;P)'!T8104="Yes",
    1.35,
    1.00)</f>
        <v/>
      </c>
      <c r="P8104">
        <f>IF('Loan Tape (S&amp;P)'!S8104="Yes",
    1.15,
    1.00)</f>
        <v/>
      </c>
      <c r="Q8104">
        <f>IF('Loan Tape (S&amp;P)'!V8104="Yes",
    1.20,
    1.00)</f>
        <v/>
      </c>
      <c r="T8104">
        <f>LET(
    payment_method,'Loan Tape (S&amp;P)'!P8104,
    occupancy,'Loan Tape (S&amp;P)'!N8104,
    maturity_date,'Loan Tape (S&amp;P)'!L8104,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05">
      <c r="J8105">
        <f>LET(
    lien,'Loan Tape (S&amp;P)'!Q8105,
    IF(lien="First",1.00,
        IF(lien="Second",1.50,
            1.70)))</f>
        <v/>
      </c>
      <c r="K8105">
        <f>LET(
    purpose,'Loan Tape (S&amp;P)'!R8105,
    IF(purpose="Purchase",1.00,
        IF(purpose="Remortgage",1.00,
            1.20)))</f>
        <v/>
      </c>
      <c r="L8105">
        <f>LET(
    arrears_months,'Loan Tape (S&amp;P)'!AN8105,
    IF(arrears_months=0,1.00,
    IF(arrears_months=1,3.00,
    IF(arrears_months=2,5.00,
    IF(arrears_months=3,8.00,
    IF(arrears_months=4,10.00,
    IF(arrears_months=5,12.00,15.00)))))))</f>
        <v/>
      </c>
      <c r="M8105">
        <f>LET(
    seasoning_years,DATEDIF('Loan Tape (S&amp;P)'!K8105,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05">
        <f>IF(AND('Loan Tape (S&amp;P)'!U8105="Yes",
        'Loan Tape (S&amp;P)'!T8105&lt;&gt;"Yes",
        DATEDIF('Loan Tape (S&amp;P)'!K8105, TODAY(), "M")&lt;18),
    1.10,
    1.00)</f>
        <v/>
      </c>
      <c r="O8105">
        <f>IF('Loan Tape (S&amp;P)'!T8105="Yes",
    1.35,
    1.00)</f>
        <v/>
      </c>
      <c r="P8105">
        <f>IF('Loan Tape (S&amp;P)'!S8105="Yes",
    1.15,
    1.00)</f>
        <v/>
      </c>
      <c r="Q8105">
        <f>IF('Loan Tape (S&amp;P)'!V8105="Yes",
    1.20,
    1.00)</f>
        <v/>
      </c>
      <c r="T8105">
        <f>LET(
    payment_method,'Loan Tape (S&amp;P)'!P8105,
    occupancy,'Loan Tape (S&amp;P)'!N8105,
    maturity_date,'Loan Tape (S&amp;P)'!L8105,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06">
      <c r="J8106">
        <f>LET(
    lien,'Loan Tape (S&amp;P)'!Q8106,
    IF(lien="First",1.00,
        IF(lien="Second",1.50,
            1.70)))</f>
        <v/>
      </c>
      <c r="K8106">
        <f>LET(
    purpose,'Loan Tape (S&amp;P)'!R8106,
    IF(purpose="Purchase",1.00,
        IF(purpose="Remortgage",1.00,
            1.20)))</f>
        <v/>
      </c>
      <c r="L8106">
        <f>LET(
    arrears_months,'Loan Tape (S&amp;P)'!AN8106,
    IF(arrears_months=0,1.00,
    IF(arrears_months=1,3.00,
    IF(arrears_months=2,5.00,
    IF(arrears_months=3,8.00,
    IF(arrears_months=4,10.00,
    IF(arrears_months=5,12.00,15.00)))))))</f>
        <v/>
      </c>
      <c r="M8106">
        <f>LET(
    seasoning_years,DATEDIF('Loan Tape (S&amp;P)'!K8106,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06">
        <f>IF(AND('Loan Tape (S&amp;P)'!U8106="Yes",
        'Loan Tape (S&amp;P)'!T8106&lt;&gt;"Yes",
        DATEDIF('Loan Tape (S&amp;P)'!K8106, TODAY(), "M")&lt;18),
    1.10,
    1.00)</f>
        <v/>
      </c>
      <c r="O8106">
        <f>IF('Loan Tape (S&amp;P)'!T8106="Yes",
    1.35,
    1.00)</f>
        <v/>
      </c>
      <c r="P8106">
        <f>IF('Loan Tape (S&amp;P)'!S8106="Yes",
    1.15,
    1.00)</f>
        <v/>
      </c>
      <c r="Q8106">
        <f>IF('Loan Tape (S&amp;P)'!V8106="Yes",
    1.20,
    1.00)</f>
        <v/>
      </c>
      <c r="T8106">
        <f>LET(
    payment_method,'Loan Tape (S&amp;P)'!P8106,
    occupancy,'Loan Tape (S&amp;P)'!N8106,
    maturity_date,'Loan Tape (S&amp;P)'!L8106,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07">
      <c r="J8107">
        <f>LET(
    lien,'Loan Tape (S&amp;P)'!Q8107,
    IF(lien="First",1.00,
        IF(lien="Second",1.50,
            1.70)))</f>
        <v/>
      </c>
      <c r="K8107">
        <f>LET(
    purpose,'Loan Tape (S&amp;P)'!R8107,
    IF(purpose="Purchase",1.00,
        IF(purpose="Remortgage",1.00,
            1.20)))</f>
        <v/>
      </c>
      <c r="L8107">
        <f>LET(
    arrears_months,'Loan Tape (S&amp;P)'!AN8107,
    IF(arrears_months=0,1.00,
    IF(arrears_months=1,3.00,
    IF(arrears_months=2,5.00,
    IF(arrears_months=3,8.00,
    IF(arrears_months=4,10.00,
    IF(arrears_months=5,12.00,15.00)))))))</f>
        <v/>
      </c>
      <c r="M8107">
        <f>LET(
    seasoning_years,DATEDIF('Loan Tape (S&amp;P)'!K8107,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07">
        <f>IF(AND('Loan Tape (S&amp;P)'!U8107="Yes",
        'Loan Tape (S&amp;P)'!T8107&lt;&gt;"Yes",
        DATEDIF('Loan Tape (S&amp;P)'!K8107, TODAY(), "M")&lt;18),
    1.10,
    1.00)</f>
        <v/>
      </c>
      <c r="O8107">
        <f>IF('Loan Tape (S&amp;P)'!T8107="Yes",
    1.35,
    1.00)</f>
        <v/>
      </c>
      <c r="P8107">
        <f>IF('Loan Tape (S&amp;P)'!S8107="Yes",
    1.15,
    1.00)</f>
        <v/>
      </c>
      <c r="Q8107">
        <f>IF('Loan Tape (S&amp;P)'!V8107="Yes",
    1.20,
    1.00)</f>
        <v/>
      </c>
      <c r="T8107">
        <f>LET(
    payment_method,'Loan Tape (S&amp;P)'!P8107,
    occupancy,'Loan Tape (S&amp;P)'!N8107,
    maturity_date,'Loan Tape (S&amp;P)'!L8107,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08">
      <c r="J8108">
        <f>LET(
    lien,'Loan Tape (S&amp;P)'!Q8108,
    IF(lien="First",1.00,
        IF(lien="Second",1.50,
            1.70)))</f>
        <v/>
      </c>
      <c r="K8108">
        <f>LET(
    purpose,'Loan Tape (S&amp;P)'!R8108,
    IF(purpose="Purchase",1.00,
        IF(purpose="Remortgage",1.00,
            1.20)))</f>
        <v/>
      </c>
      <c r="L8108">
        <f>LET(
    arrears_months,'Loan Tape (S&amp;P)'!AN8108,
    IF(arrears_months=0,1.00,
    IF(arrears_months=1,3.00,
    IF(arrears_months=2,5.00,
    IF(arrears_months=3,8.00,
    IF(arrears_months=4,10.00,
    IF(arrears_months=5,12.00,15.00)))))))</f>
        <v/>
      </c>
      <c r="M8108">
        <f>LET(
    seasoning_years,DATEDIF('Loan Tape (S&amp;P)'!K8108,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08">
        <f>IF(AND('Loan Tape (S&amp;P)'!U8108="Yes",
        'Loan Tape (S&amp;P)'!T8108&lt;&gt;"Yes",
        DATEDIF('Loan Tape (S&amp;P)'!K8108, TODAY(), "M")&lt;18),
    1.10,
    1.00)</f>
        <v/>
      </c>
      <c r="O8108">
        <f>IF('Loan Tape (S&amp;P)'!T8108="Yes",
    1.35,
    1.00)</f>
        <v/>
      </c>
      <c r="P8108">
        <f>IF('Loan Tape (S&amp;P)'!S8108="Yes",
    1.15,
    1.00)</f>
        <v/>
      </c>
      <c r="Q8108">
        <f>IF('Loan Tape (S&amp;P)'!V8108="Yes",
    1.20,
    1.00)</f>
        <v/>
      </c>
      <c r="T8108">
        <f>LET(
    payment_method,'Loan Tape (S&amp;P)'!P8108,
    occupancy,'Loan Tape (S&amp;P)'!N8108,
    maturity_date,'Loan Tape (S&amp;P)'!L8108,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09">
      <c r="J8109">
        <f>LET(
    lien,'Loan Tape (S&amp;P)'!Q8109,
    IF(lien="First",1.00,
        IF(lien="Second",1.50,
            1.70)))</f>
        <v/>
      </c>
      <c r="K8109">
        <f>LET(
    purpose,'Loan Tape (S&amp;P)'!R8109,
    IF(purpose="Purchase",1.00,
        IF(purpose="Remortgage",1.00,
            1.20)))</f>
        <v/>
      </c>
      <c r="L8109">
        <f>LET(
    arrears_months,'Loan Tape (S&amp;P)'!AN8109,
    IF(arrears_months=0,1.00,
    IF(arrears_months=1,3.00,
    IF(arrears_months=2,5.00,
    IF(arrears_months=3,8.00,
    IF(arrears_months=4,10.00,
    IF(arrears_months=5,12.00,15.00)))))))</f>
        <v/>
      </c>
      <c r="M8109">
        <f>LET(
    seasoning_years,DATEDIF('Loan Tape (S&amp;P)'!K8109,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09">
        <f>IF(AND('Loan Tape (S&amp;P)'!U8109="Yes",
        'Loan Tape (S&amp;P)'!T8109&lt;&gt;"Yes",
        DATEDIF('Loan Tape (S&amp;P)'!K8109, TODAY(), "M")&lt;18),
    1.10,
    1.00)</f>
        <v/>
      </c>
      <c r="O8109">
        <f>IF('Loan Tape (S&amp;P)'!T8109="Yes",
    1.35,
    1.00)</f>
        <v/>
      </c>
      <c r="P8109">
        <f>IF('Loan Tape (S&amp;P)'!S8109="Yes",
    1.15,
    1.00)</f>
        <v/>
      </c>
      <c r="Q8109">
        <f>IF('Loan Tape (S&amp;P)'!V8109="Yes",
    1.20,
    1.00)</f>
        <v/>
      </c>
      <c r="T8109">
        <f>LET(
    payment_method,'Loan Tape (S&amp;P)'!P8109,
    occupancy,'Loan Tape (S&amp;P)'!N8109,
    maturity_date,'Loan Tape (S&amp;P)'!L8109,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10">
      <c r="J8110">
        <f>LET(
    lien,'Loan Tape (S&amp;P)'!Q8110,
    IF(lien="First",1.00,
        IF(lien="Second",1.50,
            1.70)))</f>
        <v/>
      </c>
      <c r="K8110">
        <f>LET(
    purpose,'Loan Tape (S&amp;P)'!R8110,
    IF(purpose="Purchase",1.00,
        IF(purpose="Remortgage",1.00,
            1.20)))</f>
        <v/>
      </c>
      <c r="L8110">
        <f>LET(
    arrears_months,'Loan Tape (S&amp;P)'!AN8110,
    IF(arrears_months=0,1.00,
    IF(arrears_months=1,3.00,
    IF(arrears_months=2,5.00,
    IF(arrears_months=3,8.00,
    IF(arrears_months=4,10.00,
    IF(arrears_months=5,12.00,15.00)))))))</f>
        <v/>
      </c>
      <c r="M8110">
        <f>LET(
    seasoning_years,DATEDIF('Loan Tape (S&amp;P)'!K8110,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10">
        <f>IF(AND('Loan Tape (S&amp;P)'!U8110="Yes",
        'Loan Tape (S&amp;P)'!T8110&lt;&gt;"Yes",
        DATEDIF('Loan Tape (S&amp;P)'!K8110, TODAY(), "M")&lt;18),
    1.10,
    1.00)</f>
        <v/>
      </c>
      <c r="O8110">
        <f>IF('Loan Tape (S&amp;P)'!T8110="Yes",
    1.35,
    1.00)</f>
        <v/>
      </c>
      <c r="P8110">
        <f>IF('Loan Tape (S&amp;P)'!S8110="Yes",
    1.15,
    1.00)</f>
        <v/>
      </c>
      <c r="Q8110">
        <f>IF('Loan Tape (S&amp;P)'!V8110="Yes",
    1.20,
    1.00)</f>
        <v/>
      </c>
      <c r="T8110">
        <f>LET(
    payment_method,'Loan Tape (S&amp;P)'!P8110,
    occupancy,'Loan Tape (S&amp;P)'!N8110,
    maturity_date,'Loan Tape (S&amp;P)'!L8110,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11">
      <c r="J8111">
        <f>LET(
    lien,'Loan Tape (S&amp;P)'!Q8111,
    IF(lien="First",1.00,
        IF(lien="Second",1.50,
            1.70)))</f>
        <v/>
      </c>
      <c r="K8111">
        <f>LET(
    purpose,'Loan Tape (S&amp;P)'!R8111,
    IF(purpose="Purchase",1.00,
        IF(purpose="Remortgage",1.00,
            1.20)))</f>
        <v/>
      </c>
      <c r="L8111">
        <f>LET(
    arrears_months,'Loan Tape (S&amp;P)'!AN8111,
    IF(arrears_months=0,1.00,
    IF(arrears_months=1,3.00,
    IF(arrears_months=2,5.00,
    IF(arrears_months=3,8.00,
    IF(arrears_months=4,10.00,
    IF(arrears_months=5,12.00,15.00)))))))</f>
        <v/>
      </c>
      <c r="M8111">
        <f>LET(
    seasoning_years,DATEDIF('Loan Tape (S&amp;P)'!K8111,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11">
        <f>IF(AND('Loan Tape (S&amp;P)'!U8111="Yes",
        'Loan Tape (S&amp;P)'!T8111&lt;&gt;"Yes",
        DATEDIF('Loan Tape (S&amp;P)'!K8111, TODAY(), "M")&lt;18),
    1.10,
    1.00)</f>
        <v/>
      </c>
      <c r="O8111">
        <f>IF('Loan Tape (S&amp;P)'!T8111="Yes",
    1.35,
    1.00)</f>
        <v/>
      </c>
      <c r="P8111">
        <f>IF('Loan Tape (S&amp;P)'!S8111="Yes",
    1.15,
    1.00)</f>
        <v/>
      </c>
      <c r="Q8111">
        <f>IF('Loan Tape (S&amp;P)'!V8111="Yes",
    1.20,
    1.00)</f>
        <v/>
      </c>
      <c r="T8111">
        <f>LET(
    payment_method,'Loan Tape (S&amp;P)'!P8111,
    occupancy,'Loan Tape (S&amp;P)'!N8111,
    maturity_date,'Loan Tape (S&amp;P)'!L8111,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12">
      <c r="J8112">
        <f>LET(
    lien,'Loan Tape (S&amp;P)'!Q8112,
    IF(lien="First",1.00,
        IF(lien="Second",1.50,
            1.70)))</f>
        <v/>
      </c>
      <c r="K8112">
        <f>LET(
    purpose,'Loan Tape (S&amp;P)'!R8112,
    IF(purpose="Purchase",1.00,
        IF(purpose="Remortgage",1.00,
            1.20)))</f>
        <v/>
      </c>
      <c r="L8112">
        <f>LET(
    arrears_months,'Loan Tape (S&amp;P)'!AN8112,
    IF(arrears_months=0,1.00,
    IF(arrears_months=1,3.00,
    IF(arrears_months=2,5.00,
    IF(arrears_months=3,8.00,
    IF(arrears_months=4,10.00,
    IF(arrears_months=5,12.00,15.00)))))))</f>
        <v/>
      </c>
      <c r="M8112">
        <f>LET(
    seasoning_years,DATEDIF('Loan Tape (S&amp;P)'!K8112,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12">
        <f>IF(AND('Loan Tape (S&amp;P)'!U8112="Yes",
        'Loan Tape (S&amp;P)'!T8112&lt;&gt;"Yes",
        DATEDIF('Loan Tape (S&amp;P)'!K8112, TODAY(), "M")&lt;18),
    1.10,
    1.00)</f>
        <v/>
      </c>
      <c r="O8112">
        <f>IF('Loan Tape (S&amp;P)'!T8112="Yes",
    1.35,
    1.00)</f>
        <v/>
      </c>
      <c r="P8112">
        <f>IF('Loan Tape (S&amp;P)'!S8112="Yes",
    1.15,
    1.00)</f>
        <v/>
      </c>
      <c r="Q8112">
        <f>IF('Loan Tape (S&amp;P)'!V8112="Yes",
    1.20,
    1.00)</f>
        <v/>
      </c>
      <c r="T8112">
        <f>LET(
    payment_method,'Loan Tape (S&amp;P)'!P8112,
    occupancy,'Loan Tape (S&amp;P)'!N8112,
    maturity_date,'Loan Tape (S&amp;P)'!L8112,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13">
      <c r="J8113">
        <f>LET(
    lien,'Loan Tape (S&amp;P)'!Q8113,
    IF(lien="First",1.00,
        IF(lien="Second",1.50,
            1.70)))</f>
        <v/>
      </c>
      <c r="K8113">
        <f>LET(
    purpose,'Loan Tape (S&amp;P)'!R8113,
    IF(purpose="Purchase",1.00,
        IF(purpose="Remortgage",1.00,
            1.20)))</f>
        <v/>
      </c>
      <c r="L8113">
        <f>LET(
    arrears_months,'Loan Tape (S&amp;P)'!AN8113,
    IF(arrears_months=0,1.00,
    IF(arrears_months=1,3.00,
    IF(arrears_months=2,5.00,
    IF(arrears_months=3,8.00,
    IF(arrears_months=4,10.00,
    IF(arrears_months=5,12.00,15.00)))))))</f>
        <v/>
      </c>
      <c r="M8113">
        <f>LET(
    seasoning_years,DATEDIF('Loan Tape (S&amp;P)'!K8113,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13">
        <f>IF(AND('Loan Tape (S&amp;P)'!U8113="Yes",
        'Loan Tape (S&amp;P)'!T8113&lt;&gt;"Yes",
        DATEDIF('Loan Tape (S&amp;P)'!K8113, TODAY(), "M")&lt;18),
    1.10,
    1.00)</f>
        <v/>
      </c>
      <c r="O8113">
        <f>IF('Loan Tape (S&amp;P)'!T8113="Yes",
    1.35,
    1.00)</f>
        <v/>
      </c>
      <c r="P8113">
        <f>IF('Loan Tape (S&amp;P)'!S8113="Yes",
    1.15,
    1.00)</f>
        <v/>
      </c>
      <c r="Q8113">
        <f>IF('Loan Tape (S&amp;P)'!V8113="Yes",
    1.20,
    1.00)</f>
        <v/>
      </c>
      <c r="T8113">
        <f>LET(
    payment_method,'Loan Tape (S&amp;P)'!P8113,
    occupancy,'Loan Tape (S&amp;P)'!N8113,
    maturity_date,'Loan Tape (S&amp;P)'!L8113,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14">
      <c r="J8114">
        <f>LET(
    lien,'Loan Tape (S&amp;P)'!Q8114,
    IF(lien="First",1.00,
        IF(lien="Second",1.50,
            1.70)))</f>
        <v/>
      </c>
      <c r="K8114">
        <f>LET(
    purpose,'Loan Tape (S&amp;P)'!R8114,
    IF(purpose="Purchase",1.00,
        IF(purpose="Remortgage",1.00,
            1.20)))</f>
        <v/>
      </c>
      <c r="L8114">
        <f>LET(
    arrears_months,'Loan Tape (S&amp;P)'!AN8114,
    IF(arrears_months=0,1.00,
    IF(arrears_months=1,3.00,
    IF(arrears_months=2,5.00,
    IF(arrears_months=3,8.00,
    IF(arrears_months=4,10.00,
    IF(arrears_months=5,12.00,15.00)))))))</f>
        <v/>
      </c>
      <c r="M8114">
        <f>LET(
    seasoning_years,DATEDIF('Loan Tape (S&amp;P)'!K8114,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14">
        <f>IF(AND('Loan Tape (S&amp;P)'!U8114="Yes",
        'Loan Tape (S&amp;P)'!T8114&lt;&gt;"Yes",
        DATEDIF('Loan Tape (S&amp;P)'!K8114, TODAY(), "M")&lt;18),
    1.10,
    1.00)</f>
        <v/>
      </c>
      <c r="O8114">
        <f>IF('Loan Tape (S&amp;P)'!T8114="Yes",
    1.35,
    1.00)</f>
        <v/>
      </c>
      <c r="P8114">
        <f>IF('Loan Tape (S&amp;P)'!S8114="Yes",
    1.15,
    1.00)</f>
        <v/>
      </c>
      <c r="Q8114">
        <f>IF('Loan Tape (S&amp;P)'!V8114="Yes",
    1.20,
    1.00)</f>
        <v/>
      </c>
      <c r="T8114">
        <f>LET(
    payment_method,'Loan Tape (S&amp;P)'!P8114,
    occupancy,'Loan Tape (S&amp;P)'!N8114,
    maturity_date,'Loan Tape (S&amp;P)'!L8114,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15">
      <c r="J8115">
        <f>LET(
    lien,'Loan Tape (S&amp;P)'!Q8115,
    IF(lien="First",1.00,
        IF(lien="Second",1.50,
            1.70)))</f>
        <v/>
      </c>
      <c r="K8115">
        <f>LET(
    purpose,'Loan Tape (S&amp;P)'!R8115,
    IF(purpose="Purchase",1.00,
        IF(purpose="Remortgage",1.00,
            1.20)))</f>
        <v/>
      </c>
      <c r="L8115">
        <f>LET(
    arrears_months,'Loan Tape (S&amp;P)'!AN8115,
    IF(arrears_months=0,1.00,
    IF(arrears_months=1,3.00,
    IF(arrears_months=2,5.00,
    IF(arrears_months=3,8.00,
    IF(arrears_months=4,10.00,
    IF(arrears_months=5,12.00,15.00)))))))</f>
        <v/>
      </c>
      <c r="M8115">
        <f>LET(
    seasoning_years,DATEDIF('Loan Tape (S&amp;P)'!K8115,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15">
        <f>IF(AND('Loan Tape (S&amp;P)'!U8115="Yes",
        'Loan Tape (S&amp;P)'!T8115&lt;&gt;"Yes",
        DATEDIF('Loan Tape (S&amp;P)'!K8115, TODAY(), "M")&lt;18),
    1.10,
    1.00)</f>
        <v/>
      </c>
      <c r="O8115">
        <f>IF('Loan Tape (S&amp;P)'!T8115="Yes",
    1.35,
    1.00)</f>
        <v/>
      </c>
      <c r="P8115">
        <f>IF('Loan Tape (S&amp;P)'!S8115="Yes",
    1.15,
    1.00)</f>
        <v/>
      </c>
      <c r="Q8115">
        <f>IF('Loan Tape (S&amp;P)'!V8115="Yes",
    1.20,
    1.00)</f>
        <v/>
      </c>
      <c r="T8115">
        <f>LET(
    payment_method,'Loan Tape (S&amp;P)'!P8115,
    occupancy,'Loan Tape (S&amp;P)'!N8115,
    maturity_date,'Loan Tape (S&amp;P)'!L8115,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16">
      <c r="J8116">
        <f>LET(
    lien,'Loan Tape (S&amp;P)'!Q8116,
    IF(lien="First",1.00,
        IF(lien="Second",1.50,
            1.70)))</f>
        <v/>
      </c>
      <c r="K8116">
        <f>LET(
    purpose,'Loan Tape (S&amp;P)'!R8116,
    IF(purpose="Purchase",1.00,
        IF(purpose="Remortgage",1.00,
            1.20)))</f>
        <v/>
      </c>
      <c r="L8116">
        <f>LET(
    arrears_months,'Loan Tape (S&amp;P)'!AN8116,
    IF(arrears_months=0,1.00,
    IF(arrears_months=1,3.00,
    IF(arrears_months=2,5.00,
    IF(arrears_months=3,8.00,
    IF(arrears_months=4,10.00,
    IF(arrears_months=5,12.00,15.00)))))))</f>
        <v/>
      </c>
      <c r="M8116">
        <f>LET(
    seasoning_years,DATEDIF('Loan Tape (S&amp;P)'!K8116,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16">
        <f>IF(AND('Loan Tape (S&amp;P)'!U8116="Yes",
        'Loan Tape (S&amp;P)'!T8116&lt;&gt;"Yes",
        DATEDIF('Loan Tape (S&amp;P)'!K8116, TODAY(), "M")&lt;18),
    1.10,
    1.00)</f>
        <v/>
      </c>
      <c r="O8116">
        <f>IF('Loan Tape (S&amp;P)'!T8116="Yes",
    1.35,
    1.00)</f>
        <v/>
      </c>
      <c r="P8116">
        <f>IF('Loan Tape (S&amp;P)'!S8116="Yes",
    1.15,
    1.00)</f>
        <v/>
      </c>
      <c r="Q8116">
        <f>IF('Loan Tape (S&amp;P)'!V8116="Yes",
    1.20,
    1.00)</f>
        <v/>
      </c>
      <c r="T8116">
        <f>LET(
    payment_method,'Loan Tape (S&amp;P)'!P8116,
    occupancy,'Loan Tape (S&amp;P)'!N8116,
    maturity_date,'Loan Tape (S&amp;P)'!L8116,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17">
      <c r="J8117">
        <f>LET(
    lien,'Loan Tape (S&amp;P)'!Q8117,
    IF(lien="First",1.00,
        IF(lien="Second",1.50,
            1.70)))</f>
        <v/>
      </c>
      <c r="K8117">
        <f>LET(
    purpose,'Loan Tape (S&amp;P)'!R8117,
    IF(purpose="Purchase",1.00,
        IF(purpose="Remortgage",1.00,
            1.20)))</f>
        <v/>
      </c>
      <c r="L8117">
        <f>LET(
    arrears_months,'Loan Tape (S&amp;P)'!AN8117,
    IF(arrears_months=0,1.00,
    IF(arrears_months=1,3.00,
    IF(arrears_months=2,5.00,
    IF(arrears_months=3,8.00,
    IF(arrears_months=4,10.00,
    IF(arrears_months=5,12.00,15.00)))))))</f>
        <v/>
      </c>
      <c r="M8117">
        <f>LET(
    seasoning_years,DATEDIF('Loan Tape (S&amp;P)'!K8117,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17">
        <f>IF(AND('Loan Tape (S&amp;P)'!U8117="Yes",
        'Loan Tape (S&amp;P)'!T8117&lt;&gt;"Yes",
        DATEDIF('Loan Tape (S&amp;P)'!K8117, TODAY(), "M")&lt;18),
    1.10,
    1.00)</f>
        <v/>
      </c>
      <c r="O8117">
        <f>IF('Loan Tape (S&amp;P)'!T8117="Yes",
    1.35,
    1.00)</f>
        <v/>
      </c>
      <c r="P8117">
        <f>IF('Loan Tape (S&amp;P)'!S8117="Yes",
    1.15,
    1.00)</f>
        <v/>
      </c>
      <c r="Q8117">
        <f>IF('Loan Tape (S&amp;P)'!V8117="Yes",
    1.20,
    1.00)</f>
        <v/>
      </c>
      <c r="T8117">
        <f>LET(
    payment_method,'Loan Tape (S&amp;P)'!P8117,
    occupancy,'Loan Tape (S&amp;P)'!N8117,
    maturity_date,'Loan Tape (S&amp;P)'!L8117,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18">
      <c r="J8118">
        <f>LET(
    lien,'Loan Tape (S&amp;P)'!Q8118,
    IF(lien="First",1.00,
        IF(lien="Second",1.50,
            1.70)))</f>
        <v/>
      </c>
      <c r="K8118">
        <f>LET(
    purpose,'Loan Tape (S&amp;P)'!R8118,
    IF(purpose="Purchase",1.00,
        IF(purpose="Remortgage",1.00,
            1.20)))</f>
        <v/>
      </c>
      <c r="L8118">
        <f>LET(
    arrears_months,'Loan Tape (S&amp;P)'!AN8118,
    IF(arrears_months=0,1.00,
    IF(arrears_months=1,3.00,
    IF(arrears_months=2,5.00,
    IF(arrears_months=3,8.00,
    IF(arrears_months=4,10.00,
    IF(arrears_months=5,12.00,15.00)))))))</f>
        <v/>
      </c>
      <c r="M8118">
        <f>LET(
    seasoning_years,DATEDIF('Loan Tape (S&amp;P)'!K8118,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18">
        <f>IF(AND('Loan Tape (S&amp;P)'!U8118="Yes",
        'Loan Tape (S&amp;P)'!T8118&lt;&gt;"Yes",
        DATEDIF('Loan Tape (S&amp;P)'!K8118, TODAY(), "M")&lt;18),
    1.10,
    1.00)</f>
        <v/>
      </c>
      <c r="O8118">
        <f>IF('Loan Tape (S&amp;P)'!T8118="Yes",
    1.35,
    1.00)</f>
        <v/>
      </c>
      <c r="P8118">
        <f>IF('Loan Tape (S&amp;P)'!S8118="Yes",
    1.15,
    1.00)</f>
        <v/>
      </c>
      <c r="Q8118">
        <f>IF('Loan Tape (S&amp;P)'!V8118="Yes",
    1.20,
    1.00)</f>
        <v/>
      </c>
      <c r="T8118">
        <f>LET(
    payment_method,'Loan Tape (S&amp;P)'!P8118,
    occupancy,'Loan Tape (S&amp;P)'!N8118,
    maturity_date,'Loan Tape (S&amp;P)'!L8118,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19">
      <c r="J8119">
        <f>LET(
    lien,'Loan Tape (S&amp;P)'!Q8119,
    IF(lien="First",1.00,
        IF(lien="Second",1.50,
            1.70)))</f>
        <v/>
      </c>
      <c r="K8119">
        <f>LET(
    purpose,'Loan Tape (S&amp;P)'!R8119,
    IF(purpose="Purchase",1.00,
        IF(purpose="Remortgage",1.00,
            1.20)))</f>
        <v/>
      </c>
      <c r="L8119">
        <f>LET(
    arrears_months,'Loan Tape (S&amp;P)'!AN8119,
    IF(arrears_months=0,1.00,
    IF(arrears_months=1,3.00,
    IF(arrears_months=2,5.00,
    IF(arrears_months=3,8.00,
    IF(arrears_months=4,10.00,
    IF(arrears_months=5,12.00,15.00)))))))</f>
        <v/>
      </c>
      <c r="M8119">
        <f>LET(
    seasoning_years,DATEDIF('Loan Tape (S&amp;P)'!K8119,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19">
        <f>IF(AND('Loan Tape (S&amp;P)'!U8119="Yes",
        'Loan Tape (S&amp;P)'!T8119&lt;&gt;"Yes",
        DATEDIF('Loan Tape (S&amp;P)'!K8119, TODAY(), "M")&lt;18),
    1.10,
    1.00)</f>
        <v/>
      </c>
      <c r="O8119">
        <f>IF('Loan Tape (S&amp;P)'!T8119="Yes",
    1.35,
    1.00)</f>
        <v/>
      </c>
      <c r="P8119">
        <f>IF('Loan Tape (S&amp;P)'!S8119="Yes",
    1.15,
    1.00)</f>
        <v/>
      </c>
      <c r="Q8119">
        <f>IF('Loan Tape (S&amp;P)'!V8119="Yes",
    1.20,
    1.00)</f>
        <v/>
      </c>
      <c r="T8119">
        <f>LET(
    payment_method,'Loan Tape (S&amp;P)'!P8119,
    occupancy,'Loan Tape (S&amp;P)'!N8119,
    maturity_date,'Loan Tape (S&amp;P)'!L8119,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20">
      <c r="J8120">
        <f>LET(
    lien,'Loan Tape (S&amp;P)'!Q8120,
    IF(lien="First",1.00,
        IF(lien="Second",1.50,
            1.70)))</f>
        <v/>
      </c>
      <c r="K8120">
        <f>LET(
    purpose,'Loan Tape (S&amp;P)'!R8120,
    IF(purpose="Purchase",1.00,
        IF(purpose="Remortgage",1.00,
            1.20)))</f>
        <v/>
      </c>
      <c r="L8120">
        <f>LET(
    arrears_months,'Loan Tape (S&amp;P)'!AN8120,
    IF(arrears_months=0,1.00,
    IF(arrears_months=1,3.00,
    IF(arrears_months=2,5.00,
    IF(arrears_months=3,8.00,
    IF(arrears_months=4,10.00,
    IF(arrears_months=5,12.00,15.00)))))))</f>
        <v/>
      </c>
      <c r="M8120">
        <f>LET(
    seasoning_years,DATEDIF('Loan Tape (S&amp;P)'!K8120,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20">
        <f>IF(AND('Loan Tape (S&amp;P)'!U8120="Yes",
        'Loan Tape (S&amp;P)'!T8120&lt;&gt;"Yes",
        DATEDIF('Loan Tape (S&amp;P)'!K8120, TODAY(), "M")&lt;18),
    1.10,
    1.00)</f>
        <v/>
      </c>
      <c r="O8120">
        <f>IF('Loan Tape (S&amp;P)'!T8120="Yes",
    1.35,
    1.00)</f>
        <v/>
      </c>
      <c r="P8120">
        <f>IF('Loan Tape (S&amp;P)'!S8120="Yes",
    1.15,
    1.00)</f>
        <v/>
      </c>
      <c r="Q8120">
        <f>IF('Loan Tape (S&amp;P)'!V8120="Yes",
    1.20,
    1.00)</f>
        <v/>
      </c>
      <c r="T8120">
        <f>LET(
    payment_method,'Loan Tape (S&amp;P)'!P8120,
    occupancy,'Loan Tape (S&amp;P)'!N8120,
    maturity_date,'Loan Tape (S&amp;P)'!L8120,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21">
      <c r="J8121">
        <f>LET(
    lien,'Loan Tape (S&amp;P)'!Q8121,
    IF(lien="First",1.00,
        IF(lien="Second",1.50,
            1.70)))</f>
        <v/>
      </c>
      <c r="K8121">
        <f>LET(
    purpose,'Loan Tape (S&amp;P)'!R8121,
    IF(purpose="Purchase",1.00,
        IF(purpose="Remortgage",1.00,
            1.20)))</f>
        <v/>
      </c>
      <c r="L8121">
        <f>LET(
    arrears_months,'Loan Tape (S&amp;P)'!AN8121,
    IF(arrears_months=0,1.00,
    IF(arrears_months=1,3.00,
    IF(arrears_months=2,5.00,
    IF(arrears_months=3,8.00,
    IF(arrears_months=4,10.00,
    IF(arrears_months=5,12.00,15.00)))))))</f>
        <v/>
      </c>
      <c r="M8121">
        <f>LET(
    seasoning_years,DATEDIF('Loan Tape (S&amp;P)'!K8121,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21">
        <f>IF(AND('Loan Tape (S&amp;P)'!U8121="Yes",
        'Loan Tape (S&amp;P)'!T8121&lt;&gt;"Yes",
        DATEDIF('Loan Tape (S&amp;P)'!K8121, TODAY(), "M")&lt;18),
    1.10,
    1.00)</f>
        <v/>
      </c>
      <c r="O8121">
        <f>IF('Loan Tape (S&amp;P)'!T8121="Yes",
    1.35,
    1.00)</f>
        <v/>
      </c>
      <c r="P8121">
        <f>IF('Loan Tape (S&amp;P)'!S8121="Yes",
    1.15,
    1.00)</f>
        <v/>
      </c>
      <c r="Q8121">
        <f>IF('Loan Tape (S&amp;P)'!V8121="Yes",
    1.20,
    1.00)</f>
        <v/>
      </c>
      <c r="T8121">
        <f>LET(
    payment_method,'Loan Tape (S&amp;P)'!P8121,
    occupancy,'Loan Tape (S&amp;P)'!N8121,
    maturity_date,'Loan Tape (S&amp;P)'!L8121,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22">
      <c r="J8122">
        <f>LET(
    lien,'Loan Tape (S&amp;P)'!Q8122,
    IF(lien="First",1.00,
        IF(lien="Second",1.50,
            1.70)))</f>
        <v/>
      </c>
      <c r="K8122">
        <f>LET(
    purpose,'Loan Tape (S&amp;P)'!R8122,
    IF(purpose="Purchase",1.00,
        IF(purpose="Remortgage",1.00,
            1.20)))</f>
        <v/>
      </c>
      <c r="L8122">
        <f>LET(
    arrears_months,'Loan Tape (S&amp;P)'!AN8122,
    IF(arrears_months=0,1.00,
    IF(arrears_months=1,3.00,
    IF(arrears_months=2,5.00,
    IF(arrears_months=3,8.00,
    IF(arrears_months=4,10.00,
    IF(arrears_months=5,12.00,15.00)))))))</f>
        <v/>
      </c>
      <c r="M8122">
        <f>LET(
    seasoning_years,DATEDIF('Loan Tape (S&amp;P)'!K8122,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22">
        <f>IF(AND('Loan Tape (S&amp;P)'!U8122="Yes",
        'Loan Tape (S&amp;P)'!T8122&lt;&gt;"Yes",
        DATEDIF('Loan Tape (S&amp;P)'!K8122, TODAY(), "M")&lt;18),
    1.10,
    1.00)</f>
        <v/>
      </c>
      <c r="O8122">
        <f>IF('Loan Tape (S&amp;P)'!T8122="Yes",
    1.35,
    1.00)</f>
        <v/>
      </c>
      <c r="P8122">
        <f>IF('Loan Tape (S&amp;P)'!S8122="Yes",
    1.15,
    1.00)</f>
        <v/>
      </c>
      <c r="Q8122">
        <f>IF('Loan Tape (S&amp;P)'!V8122="Yes",
    1.20,
    1.00)</f>
        <v/>
      </c>
      <c r="T8122">
        <f>LET(
    payment_method,'Loan Tape (S&amp;P)'!P8122,
    occupancy,'Loan Tape (S&amp;P)'!N8122,
    maturity_date,'Loan Tape (S&amp;P)'!L8122,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23">
      <c r="J8123">
        <f>LET(
    lien,'Loan Tape (S&amp;P)'!Q8123,
    IF(lien="First",1.00,
        IF(lien="Second",1.50,
            1.70)))</f>
        <v/>
      </c>
      <c r="K8123">
        <f>LET(
    purpose,'Loan Tape (S&amp;P)'!R8123,
    IF(purpose="Purchase",1.00,
        IF(purpose="Remortgage",1.00,
            1.20)))</f>
        <v/>
      </c>
      <c r="L8123">
        <f>LET(
    arrears_months,'Loan Tape (S&amp;P)'!AN8123,
    IF(arrears_months=0,1.00,
    IF(arrears_months=1,3.00,
    IF(arrears_months=2,5.00,
    IF(arrears_months=3,8.00,
    IF(arrears_months=4,10.00,
    IF(arrears_months=5,12.00,15.00)))))))</f>
        <v/>
      </c>
      <c r="M8123">
        <f>LET(
    seasoning_years,DATEDIF('Loan Tape (S&amp;P)'!K8123,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23">
        <f>IF(AND('Loan Tape (S&amp;P)'!U8123="Yes",
        'Loan Tape (S&amp;P)'!T8123&lt;&gt;"Yes",
        DATEDIF('Loan Tape (S&amp;P)'!K8123, TODAY(), "M")&lt;18),
    1.10,
    1.00)</f>
        <v/>
      </c>
      <c r="O8123">
        <f>IF('Loan Tape (S&amp;P)'!T8123="Yes",
    1.35,
    1.00)</f>
        <v/>
      </c>
      <c r="P8123">
        <f>IF('Loan Tape (S&amp;P)'!S8123="Yes",
    1.15,
    1.00)</f>
        <v/>
      </c>
      <c r="Q8123">
        <f>IF('Loan Tape (S&amp;P)'!V8123="Yes",
    1.20,
    1.00)</f>
        <v/>
      </c>
      <c r="T8123">
        <f>LET(
    payment_method,'Loan Tape (S&amp;P)'!P8123,
    occupancy,'Loan Tape (S&amp;P)'!N8123,
    maturity_date,'Loan Tape (S&amp;P)'!L8123,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24">
      <c r="J8124">
        <f>LET(
    lien,'Loan Tape (S&amp;P)'!Q8124,
    IF(lien="First",1.00,
        IF(lien="Second",1.50,
            1.70)))</f>
        <v/>
      </c>
      <c r="K8124">
        <f>LET(
    purpose,'Loan Tape (S&amp;P)'!R8124,
    IF(purpose="Purchase",1.00,
        IF(purpose="Remortgage",1.00,
            1.20)))</f>
        <v/>
      </c>
      <c r="L8124">
        <f>LET(
    arrears_months,'Loan Tape (S&amp;P)'!AN8124,
    IF(arrears_months=0,1.00,
    IF(arrears_months=1,3.00,
    IF(arrears_months=2,5.00,
    IF(arrears_months=3,8.00,
    IF(arrears_months=4,10.00,
    IF(arrears_months=5,12.00,15.00)))))))</f>
        <v/>
      </c>
      <c r="M8124">
        <f>LET(
    seasoning_years,DATEDIF('Loan Tape (S&amp;P)'!K8124,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24">
        <f>IF(AND('Loan Tape (S&amp;P)'!U8124="Yes",
        'Loan Tape (S&amp;P)'!T8124&lt;&gt;"Yes",
        DATEDIF('Loan Tape (S&amp;P)'!K8124, TODAY(), "M")&lt;18),
    1.10,
    1.00)</f>
        <v/>
      </c>
      <c r="O8124">
        <f>IF('Loan Tape (S&amp;P)'!T8124="Yes",
    1.35,
    1.00)</f>
        <v/>
      </c>
      <c r="P8124">
        <f>IF('Loan Tape (S&amp;P)'!S8124="Yes",
    1.15,
    1.00)</f>
        <v/>
      </c>
      <c r="Q8124">
        <f>IF('Loan Tape (S&amp;P)'!V8124="Yes",
    1.20,
    1.00)</f>
        <v/>
      </c>
      <c r="T8124">
        <f>LET(
    payment_method,'Loan Tape (S&amp;P)'!P8124,
    occupancy,'Loan Tape (S&amp;P)'!N8124,
    maturity_date,'Loan Tape (S&amp;P)'!L8124,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25">
      <c r="J8125">
        <f>LET(
    lien,'Loan Tape (S&amp;P)'!Q8125,
    IF(lien="First",1.00,
        IF(lien="Second",1.50,
            1.70)))</f>
        <v/>
      </c>
      <c r="K8125">
        <f>LET(
    purpose,'Loan Tape (S&amp;P)'!R8125,
    IF(purpose="Purchase",1.00,
        IF(purpose="Remortgage",1.00,
            1.20)))</f>
        <v/>
      </c>
      <c r="L8125">
        <f>LET(
    arrears_months,'Loan Tape (S&amp;P)'!AN8125,
    IF(arrears_months=0,1.00,
    IF(arrears_months=1,3.00,
    IF(arrears_months=2,5.00,
    IF(arrears_months=3,8.00,
    IF(arrears_months=4,10.00,
    IF(arrears_months=5,12.00,15.00)))))))</f>
        <v/>
      </c>
      <c r="M8125">
        <f>LET(
    seasoning_years,DATEDIF('Loan Tape (S&amp;P)'!K8125,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25">
        <f>IF(AND('Loan Tape (S&amp;P)'!U8125="Yes",
        'Loan Tape (S&amp;P)'!T8125&lt;&gt;"Yes",
        DATEDIF('Loan Tape (S&amp;P)'!K8125, TODAY(), "M")&lt;18),
    1.10,
    1.00)</f>
        <v/>
      </c>
      <c r="O8125">
        <f>IF('Loan Tape (S&amp;P)'!T8125="Yes",
    1.35,
    1.00)</f>
        <v/>
      </c>
      <c r="P8125">
        <f>IF('Loan Tape (S&amp;P)'!S8125="Yes",
    1.15,
    1.00)</f>
        <v/>
      </c>
      <c r="Q8125">
        <f>IF('Loan Tape (S&amp;P)'!V8125="Yes",
    1.20,
    1.00)</f>
        <v/>
      </c>
      <c r="T8125">
        <f>LET(
    payment_method,'Loan Tape (S&amp;P)'!P8125,
    occupancy,'Loan Tape (S&amp;P)'!N8125,
    maturity_date,'Loan Tape (S&amp;P)'!L8125,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26">
      <c r="J8126">
        <f>LET(
    lien,'Loan Tape (S&amp;P)'!Q8126,
    IF(lien="First",1.00,
        IF(lien="Second",1.50,
            1.70)))</f>
        <v/>
      </c>
      <c r="K8126">
        <f>LET(
    purpose,'Loan Tape (S&amp;P)'!R8126,
    IF(purpose="Purchase",1.00,
        IF(purpose="Remortgage",1.00,
            1.20)))</f>
        <v/>
      </c>
      <c r="L8126">
        <f>LET(
    arrears_months,'Loan Tape (S&amp;P)'!AN8126,
    IF(arrears_months=0,1.00,
    IF(arrears_months=1,3.00,
    IF(arrears_months=2,5.00,
    IF(arrears_months=3,8.00,
    IF(arrears_months=4,10.00,
    IF(arrears_months=5,12.00,15.00)))))))</f>
        <v/>
      </c>
      <c r="M8126">
        <f>LET(
    seasoning_years,DATEDIF('Loan Tape (S&amp;P)'!K8126,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26">
        <f>IF(AND('Loan Tape (S&amp;P)'!U8126="Yes",
        'Loan Tape (S&amp;P)'!T8126&lt;&gt;"Yes",
        DATEDIF('Loan Tape (S&amp;P)'!K8126, TODAY(), "M")&lt;18),
    1.10,
    1.00)</f>
        <v/>
      </c>
      <c r="O8126">
        <f>IF('Loan Tape (S&amp;P)'!T8126="Yes",
    1.35,
    1.00)</f>
        <v/>
      </c>
      <c r="P8126">
        <f>IF('Loan Tape (S&amp;P)'!S8126="Yes",
    1.15,
    1.00)</f>
        <v/>
      </c>
      <c r="Q8126">
        <f>IF('Loan Tape (S&amp;P)'!V8126="Yes",
    1.20,
    1.00)</f>
        <v/>
      </c>
      <c r="T8126">
        <f>LET(
    payment_method,'Loan Tape (S&amp;P)'!P8126,
    occupancy,'Loan Tape (S&amp;P)'!N8126,
    maturity_date,'Loan Tape (S&amp;P)'!L8126,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27">
      <c r="J8127">
        <f>LET(
    lien,'Loan Tape (S&amp;P)'!Q8127,
    IF(lien="First",1.00,
        IF(lien="Second",1.50,
            1.70)))</f>
        <v/>
      </c>
      <c r="K8127">
        <f>LET(
    purpose,'Loan Tape (S&amp;P)'!R8127,
    IF(purpose="Purchase",1.00,
        IF(purpose="Remortgage",1.00,
            1.20)))</f>
        <v/>
      </c>
      <c r="L8127">
        <f>LET(
    arrears_months,'Loan Tape (S&amp;P)'!AN8127,
    IF(arrears_months=0,1.00,
    IF(arrears_months=1,3.00,
    IF(arrears_months=2,5.00,
    IF(arrears_months=3,8.00,
    IF(arrears_months=4,10.00,
    IF(arrears_months=5,12.00,15.00)))))))</f>
        <v/>
      </c>
      <c r="M8127">
        <f>LET(
    seasoning_years,DATEDIF('Loan Tape (S&amp;P)'!K8127,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27">
        <f>IF(AND('Loan Tape (S&amp;P)'!U8127="Yes",
        'Loan Tape (S&amp;P)'!T8127&lt;&gt;"Yes",
        DATEDIF('Loan Tape (S&amp;P)'!K8127, TODAY(), "M")&lt;18),
    1.10,
    1.00)</f>
        <v/>
      </c>
      <c r="O8127">
        <f>IF('Loan Tape (S&amp;P)'!T8127="Yes",
    1.35,
    1.00)</f>
        <v/>
      </c>
      <c r="P8127">
        <f>IF('Loan Tape (S&amp;P)'!S8127="Yes",
    1.15,
    1.00)</f>
        <v/>
      </c>
      <c r="Q8127">
        <f>IF('Loan Tape (S&amp;P)'!V8127="Yes",
    1.20,
    1.00)</f>
        <v/>
      </c>
      <c r="T8127">
        <f>LET(
    payment_method,'Loan Tape (S&amp;P)'!P8127,
    occupancy,'Loan Tape (S&amp;P)'!N8127,
    maturity_date,'Loan Tape (S&amp;P)'!L8127,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28">
      <c r="J8128">
        <f>LET(
    lien,'Loan Tape (S&amp;P)'!Q8128,
    IF(lien="First",1.00,
        IF(lien="Second",1.50,
            1.70)))</f>
        <v/>
      </c>
      <c r="K8128">
        <f>LET(
    purpose,'Loan Tape (S&amp;P)'!R8128,
    IF(purpose="Purchase",1.00,
        IF(purpose="Remortgage",1.00,
            1.20)))</f>
        <v/>
      </c>
      <c r="L8128">
        <f>LET(
    arrears_months,'Loan Tape (S&amp;P)'!AN8128,
    IF(arrears_months=0,1.00,
    IF(arrears_months=1,3.00,
    IF(arrears_months=2,5.00,
    IF(arrears_months=3,8.00,
    IF(arrears_months=4,10.00,
    IF(arrears_months=5,12.00,15.00)))))))</f>
        <v/>
      </c>
      <c r="M8128">
        <f>LET(
    seasoning_years,DATEDIF('Loan Tape (S&amp;P)'!K8128,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28">
        <f>IF(AND('Loan Tape (S&amp;P)'!U8128="Yes",
        'Loan Tape (S&amp;P)'!T8128&lt;&gt;"Yes",
        DATEDIF('Loan Tape (S&amp;P)'!K8128, TODAY(), "M")&lt;18),
    1.10,
    1.00)</f>
        <v/>
      </c>
      <c r="O8128">
        <f>IF('Loan Tape (S&amp;P)'!T8128="Yes",
    1.35,
    1.00)</f>
        <v/>
      </c>
      <c r="P8128">
        <f>IF('Loan Tape (S&amp;P)'!S8128="Yes",
    1.15,
    1.00)</f>
        <v/>
      </c>
      <c r="Q8128">
        <f>IF('Loan Tape (S&amp;P)'!V8128="Yes",
    1.20,
    1.00)</f>
        <v/>
      </c>
      <c r="T8128">
        <f>LET(
    payment_method,'Loan Tape (S&amp;P)'!P8128,
    occupancy,'Loan Tape (S&amp;P)'!N8128,
    maturity_date,'Loan Tape (S&amp;P)'!L8128,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29">
      <c r="J8129">
        <f>LET(
    lien,'Loan Tape (S&amp;P)'!Q8129,
    IF(lien="First",1.00,
        IF(lien="Second",1.50,
            1.70)))</f>
        <v/>
      </c>
      <c r="K8129">
        <f>LET(
    purpose,'Loan Tape (S&amp;P)'!R8129,
    IF(purpose="Purchase",1.00,
        IF(purpose="Remortgage",1.00,
            1.20)))</f>
        <v/>
      </c>
      <c r="L8129">
        <f>LET(
    arrears_months,'Loan Tape (S&amp;P)'!AN8129,
    IF(arrears_months=0,1.00,
    IF(arrears_months=1,3.00,
    IF(arrears_months=2,5.00,
    IF(arrears_months=3,8.00,
    IF(arrears_months=4,10.00,
    IF(arrears_months=5,12.00,15.00)))))))</f>
        <v/>
      </c>
      <c r="M8129">
        <f>LET(
    seasoning_years,DATEDIF('Loan Tape (S&amp;P)'!K8129,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29">
        <f>IF(AND('Loan Tape (S&amp;P)'!U8129="Yes",
        'Loan Tape (S&amp;P)'!T8129&lt;&gt;"Yes",
        DATEDIF('Loan Tape (S&amp;P)'!K8129, TODAY(), "M")&lt;18),
    1.10,
    1.00)</f>
        <v/>
      </c>
      <c r="O8129">
        <f>IF('Loan Tape (S&amp;P)'!T8129="Yes",
    1.35,
    1.00)</f>
        <v/>
      </c>
      <c r="P8129">
        <f>IF('Loan Tape (S&amp;P)'!S8129="Yes",
    1.15,
    1.00)</f>
        <v/>
      </c>
      <c r="Q8129">
        <f>IF('Loan Tape (S&amp;P)'!V8129="Yes",
    1.20,
    1.00)</f>
        <v/>
      </c>
      <c r="T8129">
        <f>LET(
    payment_method,'Loan Tape (S&amp;P)'!P8129,
    occupancy,'Loan Tape (S&amp;P)'!N8129,
    maturity_date,'Loan Tape (S&amp;P)'!L8129,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30">
      <c r="J8130">
        <f>LET(
    lien,'Loan Tape (S&amp;P)'!Q8130,
    IF(lien="First",1.00,
        IF(lien="Second",1.50,
            1.70)))</f>
        <v/>
      </c>
      <c r="K8130">
        <f>LET(
    purpose,'Loan Tape (S&amp;P)'!R8130,
    IF(purpose="Purchase",1.00,
        IF(purpose="Remortgage",1.00,
            1.20)))</f>
        <v/>
      </c>
      <c r="L8130">
        <f>LET(
    arrears_months,'Loan Tape (S&amp;P)'!AN8130,
    IF(arrears_months=0,1.00,
    IF(arrears_months=1,3.00,
    IF(arrears_months=2,5.00,
    IF(arrears_months=3,8.00,
    IF(arrears_months=4,10.00,
    IF(arrears_months=5,12.00,15.00)))))))</f>
        <v/>
      </c>
      <c r="M8130">
        <f>LET(
    seasoning_years,DATEDIF('Loan Tape (S&amp;P)'!K8130,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30">
        <f>IF(AND('Loan Tape (S&amp;P)'!U8130="Yes",
        'Loan Tape (S&amp;P)'!T8130&lt;&gt;"Yes",
        DATEDIF('Loan Tape (S&amp;P)'!K8130, TODAY(), "M")&lt;18),
    1.10,
    1.00)</f>
        <v/>
      </c>
      <c r="O8130">
        <f>IF('Loan Tape (S&amp;P)'!T8130="Yes",
    1.35,
    1.00)</f>
        <v/>
      </c>
      <c r="P8130">
        <f>IF('Loan Tape (S&amp;P)'!S8130="Yes",
    1.15,
    1.00)</f>
        <v/>
      </c>
      <c r="Q8130">
        <f>IF('Loan Tape (S&amp;P)'!V8130="Yes",
    1.20,
    1.00)</f>
        <v/>
      </c>
      <c r="T8130">
        <f>LET(
    payment_method,'Loan Tape (S&amp;P)'!P8130,
    occupancy,'Loan Tape (S&amp;P)'!N8130,
    maturity_date,'Loan Tape (S&amp;P)'!L8130,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31">
      <c r="J8131">
        <f>LET(
    lien,'Loan Tape (S&amp;P)'!Q8131,
    IF(lien="First",1.00,
        IF(lien="Second",1.50,
            1.70)))</f>
        <v/>
      </c>
      <c r="K8131">
        <f>LET(
    purpose,'Loan Tape (S&amp;P)'!R8131,
    IF(purpose="Purchase",1.00,
        IF(purpose="Remortgage",1.00,
            1.20)))</f>
        <v/>
      </c>
      <c r="L8131">
        <f>LET(
    arrears_months,'Loan Tape (S&amp;P)'!AN8131,
    IF(arrears_months=0,1.00,
    IF(arrears_months=1,3.00,
    IF(arrears_months=2,5.00,
    IF(arrears_months=3,8.00,
    IF(arrears_months=4,10.00,
    IF(arrears_months=5,12.00,15.00)))))))</f>
        <v/>
      </c>
      <c r="M8131">
        <f>LET(
    seasoning_years,DATEDIF('Loan Tape (S&amp;P)'!K8131,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31">
        <f>IF(AND('Loan Tape (S&amp;P)'!U8131="Yes",
        'Loan Tape (S&amp;P)'!T8131&lt;&gt;"Yes",
        DATEDIF('Loan Tape (S&amp;P)'!K8131, TODAY(), "M")&lt;18),
    1.10,
    1.00)</f>
        <v/>
      </c>
      <c r="O8131">
        <f>IF('Loan Tape (S&amp;P)'!T8131="Yes",
    1.35,
    1.00)</f>
        <v/>
      </c>
      <c r="P8131">
        <f>IF('Loan Tape (S&amp;P)'!S8131="Yes",
    1.15,
    1.00)</f>
        <v/>
      </c>
      <c r="Q8131">
        <f>IF('Loan Tape (S&amp;P)'!V8131="Yes",
    1.20,
    1.00)</f>
        <v/>
      </c>
      <c r="T8131">
        <f>LET(
    payment_method,'Loan Tape (S&amp;P)'!P8131,
    occupancy,'Loan Tape (S&amp;P)'!N8131,
    maturity_date,'Loan Tape (S&amp;P)'!L8131,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32">
      <c r="J8132">
        <f>LET(
    lien,'Loan Tape (S&amp;P)'!Q8132,
    IF(lien="First",1.00,
        IF(lien="Second",1.50,
            1.70)))</f>
        <v/>
      </c>
      <c r="K8132">
        <f>LET(
    purpose,'Loan Tape (S&amp;P)'!R8132,
    IF(purpose="Purchase",1.00,
        IF(purpose="Remortgage",1.00,
            1.20)))</f>
        <v/>
      </c>
      <c r="L8132">
        <f>LET(
    arrears_months,'Loan Tape (S&amp;P)'!AN8132,
    IF(arrears_months=0,1.00,
    IF(arrears_months=1,3.00,
    IF(arrears_months=2,5.00,
    IF(arrears_months=3,8.00,
    IF(arrears_months=4,10.00,
    IF(arrears_months=5,12.00,15.00)))))))</f>
        <v/>
      </c>
      <c r="M8132">
        <f>LET(
    seasoning_years,DATEDIF('Loan Tape (S&amp;P)'!K8132,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32">
        <f>IF(AND('Loan Tape (S&amp;P)'!U8132="Yes",
        'Loan Tape (S&amp;P)'!T8132&lt;&gt;"Yes",
        DATEDIF('Loan Tape (S&amp;P)'!K8132, TODAY(), "M")&lt;18),
    1.10,
    1.00)</f>
        <v/>
      </c>
      <c r="O8132">
        <f>IF('Loan Tape (S&amp;P)'!T8132="Yes",
    1.35,
    1.00)</f>
        <v/>
      </c>
      <c r="P8132">
        <f>IF('Loan Tape (S&amp;P)'!S8132="Yes",
    1.15,
    1.00)</f>
        <v/>
      </c>
      <c r="Q8132">
        <f>IF('Loan Tape (S&amp;P)'!V8132="Yes",
    1.20,
    1.00)</f>
        <v/>
      </c>
      <c r="T8132">
        <f>LET(
    payment_method,'Loan Tape (S&amp;P)'!P8132,
    occupancy,'Loan Tape (S&amp;P)'!N8132,
    maturity_date,'Loan Tape (S&amp;P)'!L8132,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33">
      <c r="J8133">
        <f>LET(
    lien,'Loan Tape (S&amp;P)'!Q8133,
    IF(lien="First",1.00,
        IF(lien="Second",1.50,
            1.70)))</f>
        <v/>
      </c>
      <c r="K8133">
        <f>LET(
    purpose,'Loan Tape (S&amp;P)'!R8133,
    IF(purpose="Purchase",1.00,
        IF(purpose="Remortgage",1.00,
            1.20)))</f>
        <v/>
      </c>
      <c r="L8133">
        <f>LET(
    arrears_months,'Loan Tape (S&amp;P)'!AN8133,
    IF(arrears_months=0,1.00,
    IF(arrears_months=1,3.00,
    IF(arrears_months=2,5.00,
    IF(arrears_months=3,8.00,
    IF(arrears_months=4,10.00,
    IF(arrears_months=5,12.00,15.00)))))))</f>
        <v/>
      </c>
      <c r="M8133">
        <f>LET(
    seasoning_years,DATEDIF('Loan Tape (S&amp;P)'!K8133,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33">
        <f>IF(AND('Loan Tape (S&amp;P)'!U8133="Yes",
        'Loan Tape (S&amp;P)'!T8133&lt;&gt;"Yes",
        DATEDIF('Loan Tape (S&amp;P)'!K8133, TODAY(), "M")&lt;18),
    1.10,
    1.00)</f>
        <v/>
      </c>
      <c r="O8133">
        <f>IF('Loan Tape (S&amp;P)'!T8133="Yes",
    1.35,
    1.00)</f>
        <v/>
      </c>
      <c r="P8133">
        <f>IF('Loan Tape (S&amp;P)'!S8133="Yes",
    1.15,
    1.00)</f>
        <v/>
      </c>
      <c r="Q8133">
        <f>IF('Loan Tape (S&amp;P)'!V8133="Yes",
    1.20,
    1.00)</f>
        <v/>
      </c>
      <c r="T8133">
        <f>LET(
    payment_method,'Loan Tape (S&amp;P)'!P8133,
    occupancy,'Loan Tape (S&amp;P)'!N8133,
    maturity_date,'Loan Tape (S&amp;P)'!L8133,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34">
      <c r="J8134">
        <f>LET(
    lien,'Loan Tape (S&amp;P)'!Q8134,
    IF(lien="First",1.00,
        IF(lien="Second",1.50,
            1.70)))</f>
        <v/>
      </c>
      <c r="K8134">
        <f>LET(
    purpose,'Loan Tape (S&amp;P)'!R8134,
    IF(purpose="Purchase",1.00,
        IF(purpose="Remortgage",1.00,
            1.20)))</f>
        <v/>
      </c>
      <c r="L8134">
        <f>LET(
    arrears_months,'Loan Tape (S&amp;P)'!AN8134,
    IF(arrears_months=0,1.00,
    IF(arrears_months=1,3.00,
    IF(arrears_months=2,5.00,
    IF(arrears_months=3,8.00,
    IF(arrears_months=4,10.00,
    IF(arrears_months=5,12.00,15.00)))))))</f>
        <v/>
      </c>
      <c r="M8134">
        <f>LET(
    seasoning_years,DATEDIF('Loan Tape (S&amp;P)'!K8134,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34">
        <f>IF(AND('Loan Tape (S&amp;P)'!U8134="Yes",
        'Loan Tape (S&amp;P)'!T8134&lt;&gt;"Yes",
        DATEDIF('Loan Tape (S&amp;P)'!K8134, TODAY(), "M")&lt;18),
    1.10,
    1.00)</f>
        <v/>
      </c>
      <c r="O8134">
        <f>IF('Loan Tape (S&amp;P)'!T8134="Yes",
    1.35,
    1.00)</f>
        <v/>
      </c>
      <c r="P8134">
        <f>IF('Loan Tape (S&amp;P)'!S8134="Yes",
    1.15,
    1.00)</f>
        <v/>
      </c>
      <c r="Q8134">
        <f>IF('Loan Tape (S&amp;P)'!V8134="Yes",
    1.20,
    1.00)</f>
        <v/>
      </c>
      <c r="T8134">
        <f>LET(
    payment_method,'Loan Tape (S&amp;P)'!P8134,
    occupancy,'Loan Tape (S&amp;P)'!N8134,
    maturity_date,'Loan Tape (S&amp;P)'!L8134,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35">
      <c r="J8135">
        <f>LET(
    lien,'Loan Tape (S&amp;P)'!Q8135,
    IF(lien="First",1.00,
        IF(lien="Second",1.50,
            1.70)))</f>
        <v/>
      </c>
      <c r="K8135">
        <f>LET(
    purpose,'Loan Tape (S&amp;P)'!R8135,
    IF(purpose="Purchase",1.00,
        IF(purpose="Remortgage",1.00,
            1.20)))</f>
        <v/>
      </c>
      <c r="L8135">
        <f>LET(
    arrears_months,'Loan Tape (S&amp;P)'!AN8135,
    IF(arrears_months=0,1.00,
    IF(arrears_months=1,3.00,
    IF(arrears_months=2,5.00,
    IF(arrears_months=3,8.00,
    IF(arrears_months=4,10.00,
    IF(arrears_months=5,12.00,15.00)))))))</f>
        <v/>
      </c>
      <c r="M8135">
        <f>LET(
    seasoning_years,DATEDIF('Loan Tape (S&amp;P)'!K8135,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35">
        <f>IF(AND('Loan Tape (S&amp;P)'!U8135="Yes",
        'Loan Tape (S&amp;P)'!T8135&lt;&gt;"Yes",
        DATEDIF('Loan Tape (S&amp;P)'!K8135, TODAY(), "M")&lt;18),
    1.10,
    1.00)</f>
        <v/>
      </c>
      <c r="O8135">
        <f>IF('Loan Tape (S&amp;P)'!T8135="Yes",
    1.35,
    1.00)</f>
        <v/>
      </c>
      <c r="P8135">
        <f>IF('Loan Tape (S&amp;P)'!S8135="Yes",
    1.15,
    1.00)</f>
        <v/>
      </c>
      <c r="Q8135">
        <f>IF('Loan Tape (S&amp;P)'!V8135="Yes",
    1.20,
    1.00)</f>
        <v/>
      </c>
      <c r="T8135">
        <f>LET(
    payment_method,'Loan Tape (S&amp;P)'!P8135,
    occupancy,'Loan Tape (S&amp;P)'!N8135,
    maturity_date,'Loan Tape (S&amp;P)'!L8135,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36">
      <c r="J8136">
        <f>LET(
    lien,'Loan Tape (S&amp;P)'!Q8136,
    IF(lien="First",1.00,
        IF(lien="Second",1.50,
            1.70)))</f>
        <v/>
      </c>
      <c r="K8136">
        <f>LET(
    purpose,'Loan Tape (S&amp;P)'!R8136,
    IF(purpose="Purchase",1.00,
        IF(purpose="Remortgage",1.00,
            1.20)))</f>
        <v/>
      </c>
      <c r="L8136">
        <f>LET(
    arrears_months,'Loan Tape (S&amp;P)'!AN8136,
    IF(arrears_months=0,1.00,
    IF(arrears_months=1,3.00,
    IF(arrears_months=2,5.00,
    IF(arrears_months=3,8.00,
    IF(arrears_months=4,10.00,
    IF(arrears_months=5,12.00,15.00)))))))</f>
        <v/>
      </c>
      <c r="M8136">
        <f>LET(
    seasoning_years,DATEDIF('Loan Tape (S&amp;P)'!K8136,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36">
        <f>IF(AND('Loan Tape (S&amp;P)'!U8136="Yes",
        'Loan Tape (S&amp;P)'!T8136&lt;&gt;"Yes",
        DATEDIF('Loan Tape (S&amp;P)'!K8136, TODAY(), "M")&lt;18),
    1.10,
    1.00)</f>
        <v/>
      </c>
      <c r="O8136">
        <f>IF('Loan Tape (S&amp;P)'!T8136="Yes",
    1.35,
    1.00)</f>
        <v/>
      </c>
      <c r="P8136">
        <f>IF('Loan Tape (S&amp;P)'!S8136="Yes",
    1.15,
    1.00)</f>
        <v/>
      </c>
      <c r="Q8136">
        <f>IF('Loan Tape (S&amp;P)'!V8136="Yes",
    1.20,
    1.00)</f>
        <v/>
      </c>
      <c r="T8136">
        <f>LET(
    payment_method,'Loan Tape (S&amp;P)'!P8136,
    occupancy,'Loan Tape (S&amp;P)'!N8136,
    maturity_date,'Loan Tape (S&amp;P)'!L8136,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37">
      <c r="J8137">
        <f>LET(
    lien,'Loan Tape (S&amp;P)'!Q8137,
    IF(lien="First",1.00,
        IF(lien="Second",1.50,
            1.70)))</f>
        <v/>
      </c>
      <c r="K8137">
        <f>LET(
    purpose,'Loan Tape (S&amp;P)'!R8137,
    IF(purpose="Purchase",1.00,
        IF(purpose="Remortgage",1.00,
            1.20)))</f>
        <v/>
      </c>
      <c r="L8137">
        <f>LET(
    arrears_months,'Loan Tape (S&amp;P)'!AN8137,
    IF(arrears_months=0,1.00,
    IF(arrears_months=1,3.00,
    IF(arrears_months=2,5.00,
    IF(arrears_months=3,8.00,
    IF(arrears_months=4,10.00,
    IF(arrears_months=5,12.00,15.00)))))))</f>
        <v/>
      </c>
      <c r="M8137">
        <f>LET(
    seasoning_years,DATEDIF('Loan Tape (S&amp;P)'!K8137,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37">
        <f>IF(AND('Loan Tape (S&amp;P)'!U8137="Yes",
        'Loan Tape (S&amp;P)'!T8137&lt;&gt;"Yes",
        DATEDIF('Loan Tape (S&amp;P)'!K8137, TODAY(), "M")&lt;18),
    1.10,
    1.00)</f>
        <v/>
      </c>
      <c r="O8137">
        <f>IF('Loan Tape (S&amp;P)'!T8137="Yes",
    1.35,
    1.00)</f>
        <v/>
      </c>
      <c r="P8137">
        <f>IF('Loan Tape (S&amp;P)'!S8137="Yes",
    1.15,
    1.00)</f>
        <v/>
      </c>
      <c r="Q8137">
        <f>IF('Loan Tape (S&amp;P)'!V8137="Yes",
    1.20,
    1.00)</f>
        <v/>
      </c>
      <c r="T8137">
        <f>LET(
    payment_method,'Loan Tape (S&amp;P)'!P8137,
    occupancy,'Loan Tape (S&amp;P)'!N8137,
    maturity_date,'Loan Tape (S&amp;P)'!L8137,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38">
      <c r="J8138">
        <f>LET(
    lien,'Loan Tape (S&amp;P)'!Q8138,
    IF(lien="First",1.00,
        IF(lien="Second",1.50,
            1.70)))</f>
        <v/>
      </c>
      <c r="K8138">
        <f>LET(
    purpose,'Loan Tape (S&amp;P)'!R8138,
    IF(purpose="Purchase",1.00,
        IF(purpose="Remortgage",1.00,
            1.20)))</f>
        <v/>
      </c>
      <c r="L8138">
        <f>LET(
    arrears_months,'Loan Tape (S&amp;P)'!AN8138,
    IF(arrears_months=0,1.00,
    IF(arrears_months=1,3.00,
    IF(arrears_months=2,5.00,
    IF(arrears_months=3,8.00,
    IF(arrears_months=4,10.00,
    IF(arrears_months=5,12.00,15.00)))))))</f>
        <v/>
      </c>
      <c r="M8138">
        <f>LET(
    seasoning_years,DATEDIF('Loan Tape (S&amp;P)'!K8138,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38">
        <f>IF(AND('Loan Tape (S&amp;P)'!U8138="Yes",
        'Loan Tape (S&amp;P)'!T8138&lt;&gt;"Yes",
        DATEDIF('Loan Tape (S&amp;P)'!K8138, TODAY(), "M")&lt;18),
    1.10,
    1.00)</f>
        <v/>
      </c>
      <c r="O8138">
        <f>IF('Loan Tape (S&amp;P)'!T8138="Yes",
    1.35,
    1.00)</f>
        <v/>
      </c>
      <c r="P8138">
        <f>IF('Loan Tape (S&amp;P)'!S8138="Yes",
    1.15,
    1.00)</f>
        <v/>
      </c>
      <c r="Q8138">
        <f>IF('Loan Tape (S&amp;P)'!V8138="Yes",
    1.20,
    1.00)</f>
        <v/>
      </c>
      <c r="T8138">
        <f>LET(
    payment_method,'Loan Tape (S&amp;P)'!P8138,
    occupancy,'Loan Tape (S&amp;P)'!N8138,
    maturity_date,'Loan Tape (S&amp;P)'!L8138,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39">
      <c r="J8139">
        <f>LET(
    lien,'Loan Tape (S&amp;P)'!Q8139,
    IF(lien="First",1.00,
        IF(lien="Second",1.50,
            1.70)))</f>
        <v/>
      </c>
      <c r="K8139">
        <f>LET(
    purpose,'Loan Tape (S&amp;P)'!R8139,
    IF(purpose="Purchase",1.00,
        IF(purpose="Remortgage",1.00,
            1.20)))</f>
        <v/>
      </c>
      <c r="L8139">
        <f>LET(
    arrears_months,'Loan Tape (S&amp;P)'!AN8139,
    IF(arrears_months=0,1.00,
    IF(arrears_months=1,3.00,
    IF(arrears_months=2,5.00,
    IF(arrears_months=3,8.00,
    IF(arrears_months=4,10.00,
    IF(arrears_months=5,12.00,15.00)))))))</f>
        <v/>
      </c>
      <c r="M8139">
        <f>LET(
    seasoning_years,DATEDIF('Loan Tape (S&amp;P)'!K8139,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39">
        <f>IF(AND('Loan Tape (S&amp;P)'!U8139="Yes",
        'Loan Tape (S&amp;P)'!T8139&lt;&gt;"Yes",
        DATEDIF('Loan Tape (S&amp;P)'!K8139, TODAY(), "M")&lt;18),
    1.10,
    1.00)</f>
        <v/>
      </c>
      <c r="O8139">
        <f>IF('Loan Tape (S&amp;P)'!T8139="Yes",
    1.35,
    1.00)</f>
        <v/>
      </c>
      <c r="P8139">
        <f>IF('Loan Tape (S&amp;P)'!S8139="Yes",
    1.15,
    1.00)</f>
        <v/>
      </c>
      <c r="Q8139">
        <f>IF('Loan Tape (S&amp;P)'!V8139="Yes",
    1.20,
    1.00)</f>
        <v/>
      </c>
      <c r="T8139">
        <f>LET(
    payment_method,'Loan Tape (S&amp;P)'!P8139,
    occupancy,'Loan Tape (S&amp;P)'!N8139,
    maturity_date,'Loan Tape (S&amp;P)'!L8139,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40">
      <c r="J8140">
        <f>LET(
    lien,'Loan Tape (S&amp;P)'!Q8140,
    IF(lien="First",1.00,
        IF(lien="Second",1.50,
            1.70)))</f>
        <v/>
      </c>
      <c r="K8140">
        <f>LET(
    purpose,'Loan Tape (S&amp;P)'!R8140,
    IF(purpose="Purchase",1.00,
        IF(purpose="Remortgage",1.00,
            1.20)))</f>
        <v/>
      </c>
      <c r="L8140">
        <f>LET(
    arrears_months,'Loan Tape (S&amp;P)'!AN8140,
    IF(arrears_months=0,1.00,
    IF(arrears_months=1,3.00,
    IF(arrears_months=2,5.00,
    IF(arrears_months=3,8.00,
    IF(arrears_months=4,10.00,
    IF(arrears_months=5,12.00,15.00)))))))</f>
        <v/>
      </c>
      <c r="M8140">
        <f>LET(
    seasoning_years,DATEDIF('Loan Tape (S&amp;P)'!K8140,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40">
        <f>IF(AND('Loan Tape (S&amp;P)'!U8140="Yes",
        'Loan Tape (S&amp;P)'!T8140&lt;&gt;"Yes",
        DATEDIF('Loan Tape (S&amp;P)'!K8140, TODAY(), "M")&lt;18),
    1.10,
    1.00)</f>
        <v/>
      </c>
      <c r="O8140">
        <f>IF('Loan Tape (S&amp;P)'!T8140="Yes",
    1.35,
    1.00)</f>
        <v/>
      </c>
      <c r="P8140">
        <f>IF('Loan Tape (S&amp;P)'!S8140="Yes",
    1.15,
    1.00)</f>
        <v/>
      </c>
      <c r="Q8140">
        <f>IF('Loan Tape (S&amp;P)'!V8140="Yes",
    1.20,
    1.00)</f>
        <v/>
      </c>
      <c r="T8140">
        <f>LET(
    payment_method,'Loan Tape (S&amp;P)'!P8140,
    occupancy,'Loan Tape (S&amp;P)'!N8140,
    maturity_date,'Loan Tape (S&amp;P)'!L8140,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41">
      <c r="J8141">
        <f>LET(
    lien,'Loan Tape (S&amp;P)'!Q8141,
    IF(lien="First",1.00,
        IF(lien="Second",1.50,
            1.70)))</f>
        <v/>
      </c>
      <c r="K8141">
        <f>LET(
    purpose,'Loan Tape (S&amp;P)'!R8141,
    IF(purpose="Purchase",1.00,
        IF(purpose="Remortgage",1.00,
            1.20)))</f>
        <v/>
      </c>
      <c r="L8141">
        <f>LET(
    arrears_months,'Loan Tape (S&amp;P)'!AN8141,
    IF(arrears_months=0,1.00,
    IF(arrears_months=1,3.00,
    IF(arrears_months=2,5.00,
    IF(arrears_months=3,8.00,
    IF(arrears_months=4,10.00,
    IF(arrears_months=5,12.00,15.00)))))))</f>
        <v/>
      </c>
      <c r="M8141">
        <f>LET(
    seasoning_years,DATEDIF('Loan Tape (S&amp;P)'!K8141,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41">
        <f>IF(AND('Loan Tape (S&amp;P)'!U8141="Yes",
        'Loan Tape (S&amp;P)'!T8141&lt;&gt;"Yes",
        DATEDIF('Loan Tape (S&amp;P)'!K8141, TODAY(), "M")&lt;18),
    1.10,
    1.00)</f>
        <v/>
      </c>
      <c r="O8141">
        <f>IF('Loan Tape (S&amp;P)'!T8141="Yes",
    1.35,
    1.00)</f>
        <v/>
      </c>
      <c r="P8141">
        <f>IF('Loan Tape (S&amp;P)'!S8141="Yes",
    1.15,
    1.00)</f>
        <v/>
      </c>
      <c r="Q8141">
        <f>IF('Loan Tape (S&amp;P)'!V8141="Yes",
    1.20,
    1.00)</f>
        <v/>
      </c>
      <c r="T8141">
        <f>LET(
    payment_method,'Loan Tape (S&amp;P)'!P8141,
    occupancy,'Loan Tape (S&amp;P)'!N8141,
    maturity_date,'Loan Tape (S&amp;P)'!L8141,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42">
      <c r="J8142">
        <f>LET(
    lien,'Loan Tape (S&amp;P)'!Q8142,
    IF(lien="First",1.00,
        IF(lien="Second",1.50,
            1.70)))</f>
        <v/>
      </c>
      <c r="K8142">
        <f>LET(
    purpose,'Loan Tape (S&amp;P)'!R8142,
    IF(purpose="Purchase",1.00,
        IF(purpose="Remortgage",1.00,
            1.20)))</f>
        <v/>
      </c>
      <c r="L8142">
        <f>LET(
    arrears_months,'Loan Tape (S&amp;P)'!AN8142,
    IF(arrears_months=0,1.00,
    IF(arrears_months=1,3.00,
    IF(arrears_months=2,5.00,
    IF(arrears_months=3,8.00,
    IF(arrears_months=4,10.00,
    IF(arrears_months=5,12.00,15.00)))))))</f>
        <v/>
      </c>
      <c r="M8142">
        <f>LET(
    seasoning_years,DATEDIF('Loan Tape (S&amp;P)'!K8142,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42">
        <f>IF(AND('Loan Tape (S&amp;P)'!U8142="Yes",
        'Loan Tape (S&amp;P)'!T8142&lt;&gt;"Yes",
        DATEDIF('Loan Tape (S&amp;P)'!K8142, TODAY(), "M")&lt;18),
    1.10,
    1.00)</f>
        <v/>
      </c>
      <c r="O8142">
        <f>IF('Loan Tape (S&amp;P)'!T8142="Yes",
    1.35,
    1.00)</f>
        <v/>
      </c>
      <c r="P8142">
        <f>IF('Loan Tape (S&amp;P)'!S8142="Yes",
    1.15,
    1.00)</f>
        <v/>
      </c>
      <c r="Q8142">
        <f>IF('Loan Tape (S&amp;P)'!V8142="Yes",
    1.20,
    1.00)</f>
        <v/>
      </c>
      <c r="T8142">
        <f>LET(
    payment_method,'Loan Tape (S&amp;P)'!P8142,
    occupancy,'Loan Tape (S&amp;P)'!N8142,
    maturity_date,'Loan Tape (S&amp;P)'!L8142,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43">
      <c r="J8143">
        <f>LET(
    lien,'Loan Tape (S&amp;P)'!Q8143,
    IF(lien="First",1.00,
        IF(lien="Second",1.50,
            1.70)))</f>
        <v/>
      </c>
      <c r="K8143">
        <f>LET(
    purpose,'Loan Tape (S&amp;P)'!R8143,
    IF(purpose="Purchase",1.00,
        IF(purpose="Remortgage",1.00,
            1.20)))</f>
        <v/>
      </c>
      <c r="L8143">
        <f>LET(
    arrears_months,'Loan Tape (S&amp;P)'!AN8143,
    IF(arrears_months=0,1.00,
    IF(arrears_months=1,3.00,
    IF(arrears_months=2,5.00,
    IF(arrears_months=3,8.00,
    IF(arrears_months=4,10.00,
    IF(arrears_months=5,12.00,15.00)))))))</f>
        <v/>
      </c>
      <c r="M8143">
        <f>LET(
    seasoning_years,DATEDIF('Loan Tape (S&amp;P)'!K8143,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43">
        <f>IF(AND('Loan Tape (S&amp;P)'!U8143="Yes",
        'Loan Tape (S&amp;P)'!T8143&lt;&gt;"Yes",
        DATEDIF('Loan Tape (S&amp;P)'!K8143, TODAY(), "M")&lt;18),
    1.10,
    1.00)</f>
        <v/>
      </c>
      <c r="O8143">
        <f>IF('Loan Tape (S&amp;P)'!T8143="Yes",
    1.35,
    1.00)</f>
        <v/>
      </c>
      <c r="P8143">
        <f>IF('Loan Tape (S&amp;P)'!S8143="Yes",
    1.15,
    1.00)</f>
        <v/>
      </c>
      <c r="Q8143">
        <f>IF('Loan Tape (S&amp;P)'!V8143="Yes",
    1.20,
    1.00)</f>
        <v/>
      </c>
      <c r="T8143">
        <f>LET(
    payment_method,'Loan Tape (S&amp;P)'!P8143,
    occupancy,'Loan Tape (S&amp;P)'!N8143,
    maturity_date,'Loan Tape (S&amp;P)'!L8143,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44">
      <c r="J8144">
        <f>LET(
    lien,'Loan Tape (S&amp;P)'!Q8144,
    IF(lien="First",1.00,
        IF(lien="Second",1.50,
            1.70)))</f>
        <v/>
      </c>
      <c r="K8144">
        <f>LET(
    purpose,'Loan Tape (S&amp;P)'!R8144,
    IF(purpose="Purchase",1.00,
        IF(purpose="Remortgage",1.00,
            1.20)))</f>
        <v/>
      </c>
      <c r="L8144">
        <f>LET(
    arrears_months,'Loan Tape (S&amp;P)'!AN8144,
    IF(arrears_months=0,1.00,
    IF(arrears_months=1,3.00,
    IF(arrears_months=2,5.00,
    IF(arrears_months=3,8.00,
    IF(arrears_months=4,10.00,
    IF(arrears_months=5,12.00,15.00)))))))</f>
        <v/>
      </c>
      <c r="M8144">
        <f>LET(
    seasoning_years,DATEDIF('Loan Tape (S&amp;P)'!K8144,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44">
        <f>IF(AND('Loan Tape (S&amp;P)'!U8144="Yes",
        'Loan Tape (S&amp;P)'!T8144&lt;&gt;"Yes",
        DATEDIF('Loan Tape (S&amp;P)'!K8144, TODAY(), "M")&lt;18),
    1.10,
    1.00)</f>
        <v/>
      </c>
      <c r="O8144">
        <f>IF('Loan Tape (S&amp;P)'!T8144="Yes",
    1.35,
    1.00)</f>
        <v/>
      </c>
      <c r="P8144">
        <f>IF('Loan Tape (S&amp;P)'!S8144="Yes",
    1.15,
    1.00)</f>
        <v/>
      </c>
      <c r="Q8144">
        <f>IF('Loan Tape (S&amp;P)'!V8144="Yes",
    1.20,
    1.00)</f>
        <v/>
      </c>
      <c r="T8144">
        <f>LET(
    payment_method,'Loan Tape (S&amp;P)'!P8144,
    occupancy,'Loan Tape (S&amp;P)'!N8144,
    maturity_date,'Loan Tape (S&amp;P)'!L8144,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45">
      <c r="J8145">
        <f>LET(
    lien,'Loan Tape (S&amp;P)'!Q8145,
    IF(lien="First",1.00,
        IF(lien="Second",1.50,
            1.70)))</f>
        <v/>
      </c>
      <c r="K8145">
        <f>LET(
    purpose,'Loan Tape (S&amp;P)'!R8145,
    IF(purpose="Purchase",1.00,
        IF(purpose="Remortgage",1.00,
            1.20)))</f>
        <v/>
      </c>
      <c r="L8145">
        <f>LET(
    arrears_months,'Loan Tape (S&amp;P)'!AN8145,
    IF(arrears_months=0,1.00,
    IF(arrears_months=1,3.00,
    IF(arrears_months=2,5.00,
    IF(arrears_months=3,8.00,
    IF(arrears_months=4,10.00,
    IF(arrears_months=5,12.00,15.00)))))))</f>
        <v/>
      </c>
      <c r="M8145">
        <f>LET(
    seasoning_years,DATEDIF('Loan Tape (S&amp;P)'!K8145,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45">
        <f>IF(AND('Loan Tape (S&amp;P)'!U8145="Yes",
        'Loan Tape (S&amp;P)'!T8145&lt;&gt;"Yes",
        DATEDIF('Loan Tape (S&amp;P)'!K8145, TODAY(), "M")&lt;18),
    1.10,
    1.00)</f>
        <v/>
      </c>
      <c r="O8145">
        <f>IF('Loan Tape (S&amp;P)'!T8145="Yes",
    1.35,
    1.00)</f>
        <v/>
      </c>
      <c r="P8145">
        <f>IF('Loan Tape (S&amp;P)'!S8145="Yes",
    1.15,
    1.00)</f>
        <v/>
      </c>
      <c r="Q8145">
        <f>IF('Loan Tape (S&amp;P)'!V8145="Yes",
    1.20,
    1.00)</f>
        <v/>
      </c>
      <c r="T8145">
        <f>LET(
    payment_method,'Loan Tape (S&amp;P)'!P8145,
    occupancy,'Loan Tape (S&amp;P)'!N8145,
    maturity_date,'Loan Tape (S&amp;P)'!L8145,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46">
      <c r="J8146">
        <f>LET(
    lien,'Loan Tape (S&amp;P)'!Q8146,
    IF(lien="First",1.00,
        IF(lien="Second",1.50,
            1.70)))</f>
        <v/>
      </c>
      <c r="K8146">
        <f>LET(
    purpose,'Loan Tape (S&amp;P)'!R8146,
    IF(purpose="Purchase",1.00,
        IF(purpose="Remortgage",1.00,
            1.20)))</f>
        <v/>
      </c>
      <c r="L8146">
        <f>LET(
    arrears_months,'Loan Tape (S&amp;P)'!AN8146,
    IF(arrears_months=0,1.00,
    IF(arrears_months=1,3.00,
    IF(arrears_months=2,5.00,
    IF(arrears_months=3,8.00,
    IF(arrears_months=4,10.00,
    IF(arrears_months=5,12.00,15.00)))))))</f>
        <v/>
      </c>
      <c r="M8146">
        <f>LET(
    seasoning_years,DATEDIF('Loan Tape (S&amp;P)'!K8146,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46">
        <f>IF(AND('Loan Tape (S&amp;P)'!U8146="Yes",
        'Loan Tape (S&amp;P)'!T8146&lt;&gt;"Yes",
        DATEDIF('Loan Tape (S&amp;P)'!K8146, TODAY(), "M")&lt;18),
    1.10,
    1.00)</f>
        <v/>
      </c>
      <c r="O8146">
        <f>IF('Loan Tape (S&amp;P)'!T8146="Yes",
    1.35,
    1.00)</f>
        <v/>
      </c>
      <c r="P8146">
        <f>IF('Loan Tape (S&amp;P)'!S8146="Yes",
    1.15,
    1.00)</f>
        <v/>
      </c>
      <c r="Q8146">
        <f>IF('Loan Tape (S&amp;P)'!V8146="Yes",
    1.20,
    1.00)</f>
        <v/>
      </c>
      <c r="T8146">
        <f>LET(
    payment_method,'Loan Tape (S&amp;P)'!P8146,
    occupancy,'Loan Tape (S&amp;P)'!N8146,
    maturity_date,'Loan Tape (S&amp;P)'!L8146,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47">
      <c r="J8147">
        <f>LET(
    lien,'Loan Tape (S&amp;P)'!Q8147,
    IF(lien="First",1.00,
        IF(lien="Second",1.50,
            1.70)))</f>
        <v/>
      </c>
      <c r="K8147">
        <f>LET(
    purpose,'Loan Tape (S&amp;P)'!R8147,
    IF(purpose="Purchase",1.00,
        IF(purpose="Remortgage",1.00,
            1.20)))</f>
        <v/>
      </c>
      <c r="L8147">
        <f>LET(
    arrears_months,'Loan Tape (S&amp;P)'!AN8147,
    IF(arrears_months=0,1.00,
    IF(arrears_months=1,3.00,
    IF(arrears_months=2,5.00,
    IF(arrears_months=3,8.00,
    IF(arrears_months=4,10.00,
    IF(arrears_months=5,12.00,15.00)))))))</f>
        <v/>
      </c>
      <c r="M8147">
        <f>LET(
    seasoning_years,DATEDIF('Loan Tape (S&amp;P)'!K8147,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47">
        <f>IF(AND('Loan Tape (S&amp;P)'!U8147="Yes",
        'Loan Tape (S&amp;P)'!T8147&lt;&gt;"Yes",
        DATEDIF('Loan Tape (S&amp;P)'!K8147, TODAY(), "M")&lt;18),
    1.10,
    1.00)</f>
        <v/>
      </c>
      <c r="O8147">
        <f>IF('Loan Tape (S&amp;P)'!T8147="Yes",
    1.35,
    1.00)</f>
        <v/>
      </c>
      <c r="P8147">
        <f>IF('Loan Tape (S&amp;P)'!S8147="Yes",
    1.15,
    1.00)</f>
        <v/>
      </c>
      <c r="Q8147">
        <f>IF('Loan Tape (S&amp;P)'!V8147="Yes",
    1.20,
    1.00)</f>
        <v/>
      </c>
      <c r="T8147">
        <f>LET(
    payment_method,'Loan Tape (S&amp;P)'!P8147,
    occupancy,'Loan Tape (S&amp;P)'!N8147,
    maturity_date,'Loan Tape (S&amp;P)'!L8147,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48">
      <c r="J8148">
        <f>LET(
    lien,'Loan Tape (S&amp;P)'!Q8148,
    IF(lien="First",1.00,
        IF(lien="Second",1.50,
            1.70)))</f>
        <v/>
      </c>
      <c r="K8148">
        <f>LET(
    purpose,'Loan Tape (S&amp;P)'!R8148,
    IF(purpose="Purchase",1.00,
        IF(purpose="Remortgage",1.00,
            1.20)))</f>
        <v/>
      </c>
      <c r="L8148">
        <f>LET(
    arrears_months,'Loan Tape (S&amp;P)'!AN8148,
    IF(arrears_months=0,1.00,
    IF(arrears_months=1,3.00,
    IF(arrears_months=2,5.00,
    IF(arrears_months=3,8.00,
    IF(arrears_months=4,10.00,
    IF(arrears_months=5,12.00,15.00)))))))</f>
        <v/>
      </c>
      <c r="M8148">
        <f>LET(
    seasoning_years,DATEDIF('Loan Tape (S&amp;P)'!K8148,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48">
        <f>IF(AND('Loan Tape (S&amp;P)'!U8148="Yes",
        'Loan Tape (S&amp;P)'!T8148&lt;&gt;"Yes",
        DATEDIF('Loan Tape (S&amp;P)'!K8148, TODAY(), "M")&lt;18),
    1.10,
    1.00)</f>
        <v/>
      </c>
      <c r="O8148">
        <f>IF('Loan Tape (S&amp;P)'!T8148="Yes",
    1.35,
    1.00)</f>
        <v/>
      </c>
      <c r="P8148">
        <f>IF('Loan Tape (S&amp;P)'!S8148="Yes",
    1.15,
    1.00)</f>
        <v/>
      </c>
      <c r="Q8148">
        <f>IF('Loan Tape (S&amp;P)'!V8148="Yes",
    1.20,
    1.00)</f>
        <v/>
      </c>
      <c r="T8148">
        <f>LET(
    payment_method,'Loan Tape (S&amp;P)'!P8148,
    occupancy,'Loan Tape (S&amp;P)'!N8148,
    maturity_date,'Loan Tape (S&amp;P)'!L8148,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49">
      <c r="J8149">
        <f>LET(
    lien,'Loan Tape (S&amp;P)'!Q8149,
    IF(lien="First",1.00,
        IF(lien="Second",1.50,
            1.70)))</f>
        <v/>
      </c>
      <c r="K8149">
        <f>LET(
    purpose,'Loan Tape (S&amp;P)'!R8149,
    IF(purpose="Purchase",1.00,
        IF(purpose="Remortgage",1.00,
            1.20)))</f>
        <v/>
      </c>
      <c r="L8149">
        <f>LET(
    arrears_months,'Loan Tape (S&amp;P)'!AN8149,
    IF(arrears_months=0,1.00,
    IF(arrears_months=1,3.00,
    IF(arrears_months=2,5.00,
    IF(arrears_months=3,8.00,
    IF(arrears_months=4,10.00,
    IF(arrears_months=5,12.00,15.00)))))))</f>
        <v/>
      </c>
      <c r="M8149">
        <f>LET(
    seasoning_years,DATEDIF('Loan Tape (S&amp;P)'!K8149,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49">
        <f>IF(AND('Loan Tape (S&amp;P)'!U8149="Yes",
        'Loan Tape (S&amp;P)'!T8149&lt;&gt;"Yes",
        DATEDIF('Loan Tape (S&amp;P)'!K8149, TODAY(), "M")&lt;18),
    1.10,
    1.00)</f>
        <v/>
      </c>
      <c r="O8149">
        <f>IF('Loan Tape (S&amp;P)'!T8149="Yes",
    1.35,
    1.00)</f>
        <v/>
      </c>
      <c r="P8149">
        <f>IF('Loan Tape (S&amp;P)'!S8149="Yes",
    1.15,
    1.00)</f>
        <v/>
      </c>
      <c r="Q8149">
        <f>IF('Loan Tape (S&amp;P)'!V8149="Yes",
    1.20,
    1.00)</f>
        <v/>
      </c>
      <c r="T8149">
        <f>LET(
    payment_method,'Loan Tape (S&amp;P)'!P8149,
    occupancy,'Loan Tape (S&amp;P)'!N8149,
    maturity_date,'Loan Tape (S&amp;P)'!L8149,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50">
      <c r="J8150">
        <f>LET(
    lien,'Loan Tape (S&amp;P)'!Q8150,
    IF(lien="First",1.00,
        IF(lien="Second",1.50,
            1.70)))</f>
        <v/>
      </c>
      <c r="K8150">
        <f>LET(
    purpose,'Loan Tape (S&amp;P)'!R8150,
    IF(purpose="Purchase",1.00,
        IF(purpose="Remortgage",1.00,
            1.20)))</f>
        <v/>
      </c>
      <c r="L8150">
        <f>LET(
    arrears_months,'Loan Tape (S&amp;P)'!AN8150,
    IF(arrears_months=0,1.00,
    IF(arrears_months=1,3.00,
    IF(arrears_months=2,5.00,
    IF(arrears_months=3,8.00,
    IF(arrears_months=4,10.00,
    IF(arrears_months=5,12.00,15.00)))))))</f>
        <v/>
      </c>
      <c r="M8150">
        <f>LET(
    seasoning_years,DATEDIF('Loan Tape (S&amp;P)'!K8150,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50">
        <f>IF(AND('Loan Tape (S&amp;P)'!U8150="Yes",
        'Loan Tape (S&amp;P)'!T8150&lt;&gt;"Yes",
        DATEDIF('Loan Tape (S&amp;P)'!K8150, TODAY(), "M")&lt;18),
    1.10,
    1.00)</f>
        <v/>
      </c>
      <c r="O8150">
        <f>IF('Loan Tape (S&amp;P)'!T8150="Yes",
    1.35,
    1.00)</f>
        <v/>
      </c>
      <c r="P8150">
        <f>IF('Loan Tape (S&amp;P)'!S8150="Yes",
    1.15,
    1.00)</f>
        <v/>
      </c>
      <c r="Q8150">
        <f>IF('Loan Tape (S&amp;P)'!V8150="Yes",
    1.20,
    1.00)</f>
        <v/>
      </c>
      <c r="T8150">
        <f>LET(
    payment_method,'Loan Tape (S&amp;P)'!P8150,
    occupancy,'Loan Tape (S&amp;P)'!N8150,
    maturity_date,'Loan Tape (S&amp;P)'!L8150,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51">
      <c r="J8151">
        <f>LET(
    lien,'Loan Tape (S&amp;P)'!Q8151,
    IF(lien="First",1.00,
        IF(lien="Second",1.50,
            1.70)))</f>
        <v/>
      </c>
      <c r="K8151">
        <f>LET(
    purpose,'Loan Tape (S&amp;P)'!R8151,
    IF(purpose="Purchase",1.00,
        IF(purpose="Remortgage",1.00,
            1.20)))</f>
        <v/>
      </c>
      <c r="L8151">
        <f>LET(
    arrears_months,'Loan Tape (S&amp;P)'!AN8151,
    IF(arrears_months=0,1.00,
    IF(arrears_months=1,3.00,
    IF(arrears_months=2,5.00,
    IF(arrears_months=3,8.00,
    IF(arrears_months=4,10.00,
    IF(arrears_months=5,12.00,15.00)))))))</f>
        <v/>
      </c>
      <c r="M8151">
        <f>LET(
    seasoning_years,DATEDIF('Loan Tape (S&amp;P)'!K8151,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51">
        <f>IF(AND('Loan Tape (S&amp;P)'!U8151="Yes",
        'Loan Tape (S&amp;P)'!T8151&lt;&gt;"Yes",
        DATEDIF('Loan Tape (S&amp;P)'!K8151, TODAY(), "M")&lt;18),
    1.10,
    1.00)</f>
        <v/>
      </c>
      <c r="O8151">
        <f>IF('Loan Tape (S&amp;P)'!T8151="Yes",
    1.35,
    1.00)</f>
        <v/>
      </c>
      <c r="P8151">
        <f>IF('Loan Tape (S&amp;P)'!S8151="Yes",
    1.15,
    1.00)</f>
        <v/>
      </c>
      <c r="Q8151">
        <f>IF('Loan Tape (S&amp;P)'!V8151="Yes",
    1.20,
    1.00)</f>
        <v/>
      </c>
      <c r="T8151">
        <f>LET(
    payment_method,'Loan Tape (S&amp;P)'!P8151,
    occupancy,'Loan Tape (S&amp;P)'!N8151,
    maturity_date,'Loan Tape (S&amp;P)'!L8151,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52">
      <c r="J8152">
        <f>LET(
    lien,'Loan Tape (S&amp;P)'!Q8152,
    IF(lien="First",1.00,
        IF(lien="Second",1.50,
            1.70)))</f>
        <v/>
      </c>
      <c r="K8152">
        <f>LET(
    purpose,'Loan Tape (S&amp;P)'!R8152,
    IF(purpose="Purchase",1.00,
        IF(purpose="Remortgage",1.00,
            1.20)))</f>
        <v/>
      </c>
      <c r="L8152">
        <f>LET(
    arrears_months,'Loan Tape (S&amp;P)'!AN8152,
    IF(arrears_months=0,1.00,
    IF(arrears_months=1,3.00,
    IF(arrears_months=2,5.00,
    IF(arrears_months=3,8.00,
    IF(arrears_months=4,10.00,
    IF(arrears_months=5,12.00,15.00)))))))</f>
        <v/>
      </c>
      <c r="M8152">
        <f>LET(
    seasoning_years,DATEDIF('Loan Tape (S&amp;P)'!K8152,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52">
        <f>IF(AND('Loan Tape (S&amp;P)'!U8152="Yes",
        'Loan Tape (S&amp;P)'!T8152&lt;&gt;"Yes",
        DATEDIF('Loan Tape (S&amp;P)'!K8152, TODAY(), "M")&lt;18),
    1.10,
    1.00)</f>
        <v/>
      </c>
      <c r="O8152">
        <f>IF('Loan Tape (S&amp;P)'!T8152="Yes",
    1.35,
    1.00)</f>
        <v/>
      </c>
      <c r="P8152">
        <f>IF('Loan Tape (S&amp;P)'!S8152="Yes",
    1.15,
    1.00)</f>
        <v/>
      </c>
      <c r="Q8152">
        <f>IF('Loan Tape (S&amp;P)'!V8152="Yes",
    1.20,
    1.00)</f>
        <v/>
      </c>
      <c r="T8152">
        <f>LET(
    payment_method,'Loan Tape (S&amp;P)'!P8152,
    occupancy,'Loan Tape (S&amp;P)'!N8152,
    maturity_date,'Loan Tape (S&amp;P)'!L8152,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53">
      <c r="J8153">
        <f>LET(
    lien,'Loan Tape (S&amp;P)'!Q8153,
    IF(lien="First",1.00,
        IF(lien="Second",1.50,
            1.70)))</f>
        <v/>
      </c>
      <c r="K8153">
        <f>LET(
    purpose,'Loan Tape (S&amp;P)'!R8153,
    IF(purpose="Purchase",1.00,
        IF(purpose="Remortgage",1.00,
            1.20)))</f>
        <v/>
      </c>
      <c r="L8153">
        <f>LET(
    arrears_months,'Loan Tape (S&amp;P)'!AN8153,
    IF(arrears_months=0,1.00,
    IF(arrears_months=1,3.00,
    IF(arrears_months=2,5.00,
    IF(arrears_months=3,8.00,
    IF(arrears_months=4,10.00,
    IF(arrears_months=5,12.00,15.00)))))))</f>
        <v/>
      </c>
      <c r="M8153">
        <f>LET(
    seasoning_years,DATEDIF('Loan Tape (S&amp;P)'!K8153,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53">
        <f>IF(AND('Loan Tape (S&amp;P)'!U8153="Yes",
        'Loan Tape (S&amp;P)'!T8153&lt;&gt;"Yes",
        DATEDIF('Loan Tape (S&amp;P)'!K8153, TODAY(), "M")&lt;18),
    1.10,
    1.00)</f>
        <v/>
      </c>
      <c r="O8153">
        <f>IF('Loan Tape (S&amp;P)'!T8153="Yes",
    1.35,
    1.00)</f>
        <v/>
      </c>
      <c r="P8153">
        <f>IF('Loan Tape (S&amp;P)'!S8153="Yes",
    1.15,
    1.00)</f>
        <v/>
      </c>
      <c r="Q8153">
        <f>IF('Loan Tape (S&amp;P)'!V8153="Yes",
    1.20,
    1.00)</f>
        <v/>
      </c>
      <c r="T8153">
        <f>LET(
    payment_method,'Loan Tape (S&amp;P)'!P8153,
    occupancy,'Loan Tape (S&amp;P)'!N8153,
    maturity_date,'Loan Tape (S&amp;P)'!L8153,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54">
      <c r="J8154">
        <f>LET(
    lien,'Loan Tape (S&amp;P)'!Q8154,
    IF(lien="First",1.00,
        IF(lien="Second",1.50,
            1.70)))</f>
        <v/>
      </c>
      <c r="K8154">
        <f>LET(
    purpose,'Loan Tape (S&amp;P)'!R8154,
    IF(purpose="Purchase",1.00,
        IF(purpose="Remortgage",1.00,
            1.20)))</f>
        <v/>
      </c>
      <c r="L8154">
        <f>LET(
    arrears_months,'Loan Tape (S&amp;P)'!AN8154,
    IF(arrears_months=0,1.00,
    IF(arrears_months=1,3.00,
    IF(arrears_months=2,5.00,
    IF(arrears_months=3,8.00,
    IF(arrears_months=4,10.00,
    IF(arrears_months=5,12.00,15.00)))))))</f>
        <v/>
      </c>
      <c r="M8154">
        <f>LET(
    seasoning_years,DATEDIF('Loan Tape (S&amp;P)'!K8154,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54">
        <f>IF(AND('Loan Tape (S&amp;P)'!U8154="Yes",
        'Loan Tape (S&amp;P)'!T8154&lt;&gt;"Yes",
        DATEDIF('Loan Tape (S&amp;P)'!K8154, TODAY(), "M")&lt;18),
    1.10,
    1.00)</f>
        <v/>
      </c>
      <c r="O8154">
        <f>IF('Loan Tape (S&amp;P)'!T8154="Yes",
    1.35,
    1.00)</f>
        <v/>
      </c>
      <c r="P8154">
        <f>IF('Loan Tape (S&amp;P)'!S8154="Yes",
    1.15,
    1.00)</f>
        <v/>
      </c>
      <c r="Q8154">
        <f>IF('Loan Tape (S&amp;P)'!V8154="Yes",
    1.20,
    1.00)</f>
        <v/>
      </c>
      <c r="T8154">
        <f>LET(
    payment_method,'Loan Tape (S&amp;P)'!P8154,
    occupancy,'Loan Tape (S&amp;P)'!N8154,
    maturity_date,'Loan Tape (S&amp;P)'!L8154,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55">
      <c r="J8155">
        <f>LET(
    lien,'Loan Tape (S&amp;P)'!Q8155,
    IF(lien="First",1.00,
        IF(lien="Second",1.50,
            1.70)))</f>
        <v/>
      </c>
      <c r="K8155">
        <f>LET(
    purpose,'Loan Tape (S&amp;P)'!R8155,
    IF(purpose="Purchase",1.00,
        IF(purpose="Remortgage",1.00,
            1.20)))</f>
        <v/>
      </c>
      <c r="L8155">
        <f>LET(
    arrears_months,'Loan Tape (S&amp;P)'!AN8155,
    IF(arrears_months=0,1.00,
    IF(arrears_months=1,3.00,
    IF(arrears_months=2,5.00,
    IF(arrears_months=3,8.00,
    IF(arrears_months=4,10.00,
    IF(arrears_months=5,12.00,15.00)))))))</f>
        <v/>
      </c>
      <c r="M8155">
        <f>LET(
    seasoning_years,DATEDIF('Loan Tape (S&amp;P)'!K8155,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55">
        <f>IF(AND('Loan Tape (S&amp;P)'!U8155="Yes",
        'Loan Tape (S&amp;P)'!T8155&lt;&gt;"Yes",
        DATEDIF('Loan Tape (S&amp;P)'!K8155, TODAY(), "M")&lt;18),
    1.10,
    1.00)</f>
        <v/>
      </c>
      <c r="O8155">
        <f>IF('Loan Tape (S&amp;P)'!T8155="Yes",
    1.35,
    1.00)</f>
        <v/>
      </c>
      <c r="P8155">
        <f>IF('Loan Tape (S&amp;P)'!S8155="Yes",
    1.15,
    1.00)</f>
        <v/>
      </c>
      <c r="Q8155">
        <f>IF('Loan Tape (S&amp;P)'!V8155="Yes",
    1.20,
    1.00)</f>
        <v/>
      </c>
      <c r="T8155">
        <f>LET(
    payment_method,'Loan Tape (S&amp;P)'!P8155,
    occupancy,'Loan Tape (S&amp;P)'!N8155,
    maturity_date,'Loan Tape (S&amp;P)'!L8155,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56">
      <c r="J8156">
        <f>LET(
    lien,'Loan Tape (S&amp;P)'!Q8156,
    IF(lien="First",1.00,
        IF(lien="Second",1.50,
            1.70)))</f>
        <v/>
      </c>
      <c r="K8156">
        <f>LET(
    purpose,'Loan Tape (S&amp;P)'!R8156,
    IF(purpose="Purchase",1.00,
        IF(purpose="Remortgage",1.00,
            1.20)))</f>
        <v/>
      </c>
      <c r="L8156">
        <f>LET(
    arrears_months,'Loan Tape (S&amp;P)'!AN8156,
    IF(arrears_months=0,1.00,
    IF(arrears_months=1,3.00,
    IF(arrears_months=2,5.00,
    IF(arrears_months=3,8.00,
    IF(arrears_months=4,10.00,
    IF(arrears_months=5,12.00,15.00)))))))</f>
        <v/>
      </c>
      <c r="M8156">
        <f>LET(
    seasoning_years,DATEDIF('Loan Tape (S&amp;P)'!K8156,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56">
        <f>IF(AND('Loan Tape (S&amp;P)'!U8156="Yes",
        'Loan Tape (S&amp;P)'!T8156&lt;&gt;"Yes",
        DATEDIF('Loan Tape (S&amp;P)'!K8156, TODAY(), "M")&lt;18),
    1.10,
    1.00)</f>
        <v/>
      </c>
      <c r="O8156">
        <f>IF('Loan Tape (S&amp;P)'!T8156="Yes",
    1.35,
    1.00)</f>
        <v/>
      </c>
      <c r="P8156">
        <f>IF('Loan Tape (S&amp;P)'!S8156="Yes",
    1.15,
    1.00)</f>
        <v/>
      </c>
      <c r="Q8156">
        <f>IF('Loan Tape (S&amp;P)'!V8156="Yes",
    1.20,
    1.00)</f>
        <v/>
      </c>
      <c r="T8156">
        <f>LET(
    payment_method,'Loan Tape (S&amp;P)'!P8156,
    occupancy,'Loan Tape (S&amp;P)'!N8156,
    maturity_date,'Loan Tape (S&amp;P)'!L8156,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57">
      <c r="J8157">
        <f>LET(
    lien,'Loan Tape (S&amp;P)'!Q8157,
    IF(lien="First",1.00,
        IF(lien="Second",1.50,
            1.70)))</f>
        <v/>
      </c>
      <c r="K8157">
        <f>LET(
    purpose,'Loan Tape (S&amp;P)'!R8157,
    IF(purpose="Purchase",1.00,
        IF(purpose="Remortgage",1.00,
            1.20)))</f>
        <v/>
      </c>
      <c r="L8157">
        <f>LET(
    arrears_months,'Loan Tape (S&amp;P)'!AN8157,
    IF(arrears_months=0,1.00,
    IF(arrears_months=1,3.00,
    IF(arrears_months=2,5.00,
    IF(arrears_months=3,8.00,
    IF(arrears_months=4,10.00,
    IF(arrears_months=5,12.00,15.00)))))))</f>
        <v/>
      </c>
      <c r="M8157">
        <f>LET(
    seasoning_years,DATEDIF('Loan Tape (S&amp;P)'!K8157,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57">
        <f>IF(AND('Loan Tape (S&amp;P)'!U8157="Yes",
        'Loan Tape (S&amp;P)'!T8157&lt;&gt;"Yes",
        DATEDIF('Loan Tape (S&amp;P)'!K8157, TODAY(), "M")&lt;18),
    1.10,
    1.00)</f>
        <v/>
      </c>
      <c r="O8157">
        <f>IF('Loan Tape (S&amp;P)'!T8157="Yes",
    1.35,
    1.00)</f>
        <v/>
      </c>
      <c r="P8157">
        <f>IF('Loan Tape (S&amp;P)'!S8157="Yes",
    1.15,
    1.00)</f>
        <v/>
      </c>
      <c r="Q8157">
        <f>IF('Loan Tape (S&amp;P)'!V8157="Yes",
    1.20,
    1.00)</f>
        <v/>
      </c>
      <c r="T8157">
        <f>LET(
    payment_method,'Loan Tape (S&amp;P)'!P8157,
    occupancy,'Loan Tape (S&amp;P)'!N8157,
    maturity_date,'Loan Tape (S&amp;P)'!L8157,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58">
      <c r="J8158">
        <f>LET(
    lien,'Loan Tape (S&amp;P)'!Q8158,
    IF(lien="First",1.00,
        IF(lien="Second",1.50,
            1.70)))</f>
        <v/>
      </c>
      <c r="K8158">
        <f>LET(
    purpose,'Loan Tape (S&amp;P)'!R8158,
    IF(purpose="Purchase",1.00,
        IF(purpose="Remortgage",1.00,
            1.20)))</f>
        <v/>
      </c>
      <c r="L8158">
        <f>LET(
    arrears_months,'Loan Tape (S&amp;P)'!AN8158,
    IF(arrears_months=0,1.00,
    IF(arrears_months=1,3.00,
    IF(arrears_months=2,5.00,
    IF(arrears_months=3,8.00,
    IF(arrears_months=4,10.00,
    IF(arrears_months=5,12.00,15.00)))))))</f>
        <v/>
      </c>
      <c r="M8158">
        <f>LET(
    seasoning_years,DATEDIF('Loan Tape (S&amp;P)'!K8158,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58">
        <f>IF(AND('Loan Tape (S&amp;P)'!U8158="Yes",
        'Loan Tape (S&amp;P)'!T8158&lt;&gt;"Yes",
        DATEDIF('Loan Tape (S&amp;P)'!K8158, TODAY(), "M")&lt;18),
    1.10,
    1.00)</f>
        <v/>
      </c>
      <c r="O8158">
        <f>IF('Loan Tape (S&amp;P)'!T8158="Yes",
    1.35,
    1.00)</f>
        <v/>
      </c>
      <c r="P8158">
        <f>IF('Loan Tape (S&amp;P)'!S8158="Yes",
    1.15,
    1.00)</f>
        <v/>
      </c>
      <c r="Q8158">
        <f>IF('Loan Tape (S&amp;P)'!V8158="Yes",
    1.20,
    1.00)</f>
        <v/>
      </c>
      <c r="T8158">
        <f>LET(
    payment_method,'Loan Tape (S&amp;P)'!P8158,
    occupancy,'Loan Tape (S&amp;P)'!N8158,
    maturity_date,'Loan Tape (S&amp;P)'!L8158,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59">
      <c r="J8159">
        <f>LET(
    lien,'Loan Tape (S&amp;P)'!Q8159,
    IF(lien="First",1.00,
        IF(lien="Second",1.50,
            1.70)))</f>
        <v/>
      </c>
      <c r="K8159">
        <f>LET(
    purpose,'Loan Tape (S&amp;P)'!R8159,
    IF(purpose="Purchase",1.00,
        IF(purpose="Remortgage",1.00,
            1.20)))</f>
        <v/>
      </c>
      <c r="L8159">
        <f>LET(
    arrears_months,'Loan Tape (S&amp;P)'!AN8159,
    IF(arrears_months=0,1.00,
    IF(arrears_months=1,3.00,
    IF(arrears_months=2,5.00,
    IF(arrears_months=3,8.00,
    IF(arrears_months=4,10.00,
    IF(arrears_months=5,12.00,15.00)))))))</f>
        <v/>
      </c>
      <c r="M8159">
        <f>LET(
    seasoning_years,DATEDIF('Loan Tape (S&amp;P)'!K8159,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59">
        <f>IF(AND('Loan Tape (S&amp;P)'!U8159="Yes",
        'Loan Tape (S&amp;P)'!T8159&lt;&gt;"Yes",
        DATEDIF('Loan Tape (S&amp;P)'!K8159, TODAY(), "M")&lt;18),
    1.10,
    1.00)</f>
        <v/>
      </c>
      <c r="O8159">
        <f>IF('Loan Tape (S&amp;P)'!T8159="Yes",
    1.35,
    1.00)</f>
        <v/>
      </c>
      <c r="P8159">
        <f>IF('Loan Tape (S&amp;P)'!S8159="Yes",
    1.15,
    1.00)</f>
        <v/>
      </c>
      <c r="Q8159">
        <f>IF('Loan Tape (S&amp;P)'!V8159="Yes",
    1.20,
    1.00)</f>
        <v/>
      </c>
      <c r="T8159">
        <f>LET(
    payment_method,'Loan Tape (S&amp;P)'!P8159,
    occupancy,'Loan Tape (S&amp;P)'!N8159,
    maturity_date,'Loan Tape (S&amp;P)'!L8159,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60">
      <c r="J8160">
        <f>LET(
    lien,'Loan Tape (S&amp;P)'!Q8160,
    IF(lien="First",1.00,
        IF(lien="Second",1.50,
            1.70)))</f>
        <v/>
      </c>
      <c r="K8160">
        <f>LET(
    purpose,'Loan Tape (S&amp;P)'!R8160,
    IF(purpose="Purchase",1.00,
        IF(purpose="Remortgage",1.00,
            1.20)))</f>
        <v/>
      </c>
      <c r="L8160">
        <f>LET(
    arrears_months,'Loan Tape (S&amp;P)'!AN8160,
    IF(arrears_months=0,1.00,
    IF(arrears_months=1,3.00,
    IF(arrears_months=2,5.00,
    IF(arrears_months=3,8.00,
    IF(arrears_months=4,10.00,
    IF(arrears_months=5,12.00,15.00)))))))</f>
        <v/>
      </c>
      <c r="M8160">
        <f>LET(
    seasoning_years,DATEDIF('Loan Tape (S&amp;P)'!K8160,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60">
        <f>IF(AND('Loan Tape (S&amp;P)'!U8160="Yes",
        'Loan Tape (S&amp;P)'!T8160&lt;&gt;"Yes",
        DATEDIF('Loan Tape (S&amp;P)'!K8160, TODAY(), "M")&lt;18),
    1.10,
    1.00)</f>
        <v/>
      </c>
      <c r="O8160">
        <f>IF('Loan Tape (S&amp;P)'!T8160="Yes",
    1.35,
    1.00)</f>
        <v/>
      </c>
      <c r="P8160">
        <f>IF('Loan Tape (S&amp;P)'!S8160="Yes",
    1.15,
    1.00)</f>
        <v/>
      </c>
      <c r="Q8160">
        <f>IF('Loan Tape (S&amp;P)'!V8160="Yes",
    1.20,
    1.00)</f>
        <v/>
      </c>
      <c r="T8160">
        <f>LET(
    payment_method,'Loan Tape (S&amp;P)'!P8160,
    occupancy,'Loan Tape (S&amp;P)'!N8160,
    maturity_date,'Loan Tape (S&amp;P)'!L8160,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61">
      <c r="J8161">
        <f>LET(
    lien,'Loan Tape (S&amp;P)'!Q8161,
    IF(lien="First",1.00,
        IF(lien="Second",1.50,
            1.70)))</f>
        <v/>
      </c>
      <c r="K8161">
        <f>LET(
    purpose,'Loan Tape (S&amp;P)'!R8161,
    IF(purpose="Purchase",1.00,
        IF(purpose="Remortgage",1.00,
            1.20)))</f>
        <v/>
      </c>
      <c r="L8161">
        <f>LET(
    arrears_months,'Loan Tape (S&amp;P)'!AN8161,
    IF(arrears_months=0,1.00,
    IF(arrears_months=1,3.00,
    IF(arrears_months=2,5.00,
    IF(arrears_months=3,8.00,
    IF(arrears_months=4,10.00,
    IF(arrears_months=5,12.00,15.00)))))))</f>
        <v/>
      </c>
      <c r="M8161">
        <f>LET(
    seasoning_years,DATEDIF('Loan Tape (S&amp;P)'!K8161,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61">
        <f>IF(AND('Loan Tape (S&amp;P)'!U8161="Yes",
        'Loan Tape (S&amp;P)'!T8161&lt;&gt;"Yes",
        DATEDIF('Loan Tape (S&amp;P)'!K8161, TODAY(), "M")&lt;18),
    1.10,
    1.00)</f>
        <v/>
      </c>
      <c r="O8161">
        <f>IF('Loan Tape (S&amp;P)'!T8161="Yes",
    1.35,
    1.00)</f>
        <v/>
      </c>
      <c r="P8161">
        <f>IF('Loan Tape (S&amp;P)'!S8161="Yes",
    1.15,
    1.00)</f>
        <v/>
      </c>
      <c r="Q8161">
        <f>IF('Loan Tape (S&amp;P)'!V8161="Yes",
    1.20,
    1.00)</f>
        <v/>
      </c>
      <c r="T8161">
        <f>LET(
    payment_method,'Loan Tape (S&amp;P)'!P8161,
    occupancy,'Loan Tape (S&amp;P)'!N8161,
    maturity_date,'Loan Tape (S&amp;P)'!L8161,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62">
      <c r="J8162">
        <f>LET(
    lien,'Loan Tape (S&amp;P)'!Q8162,
    IF(lien="First",1.00,
        IF(lien="Second",1.50,
            1.70)))</f>
        <v/>
      </c>
      <c r="K8162">
        <f>LET(
    purpose,'Loan Tape (S&amp;P)'!R8162,
    IF(purpose="Purchase",1.00,
        IF(purpose="Remortgage",1.00,
            1.20)))</f>
        <v/>
      </c>
      <c r="L8162">
        <f>LET(
    arrears_months,'Loan Tape (S&amp;P)'!AN8162,
    IF(arrears_months=0,1.00,
    IF(arrears_months=1,3.00,
    IF(arrears_months=2,5.00,
    IF(arrears_months=3,8.00,
    IF(arrears_months=4,10.00,
    IF(arrears_months=5,12.00,15.00)))))))</f>
        <v/>
      </c>
      <c r="M8162">
        <f>LET(
    seasoning_years,DATEDIF('Loan Tape (S&amp;P)'!K8162,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62">
        <f>IF(AND('Loan Tape (S&amp;P)'!U8162="Yes",
        'Loan Tape (S&amp;P)'!T8162&lt;&gt;"Yes",
        DATEDIF('Loan Tape (S&amp;P)'!K8162, TODAY(), "M")&lt;18),
    1.10,
    1.00)</f>
        <v/>
      </c>
      <c r="O8162">
        <f>IF('Loan Tape (S&amp;P)'!T8162="Yes",
    1.35,
    1.00)</f>
        <v/>
      </c>
      <c r="P8162">
        <f>IF('Loan Tape (S&amp;P)'!S8162="Yes",
    1.15,
    1.00)</f>
        <v/>
      </c>
      <c r="Q8162">
        <f>IF('Loan Tape (S&amp;P)'!V8162="Yes",
    1.20,
    1.00)</f>
        <v/>
      </c>
      <c r="T8162">
        <f>LET(
    payment_method,'Loan Tape (S&amp;P)'!P8162,
    occupancy,'Loan Tape (S&amp;P)'!N8162,
    maturity_date,'Loan Tape (S&amp;P)'!L8162,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63">
      <c r="J8163">
        <f>LET(
    lien,'Loan Tape (S&amp;P)'!Q8163,
    IF(lien="First",1.00,
        IF(lien="Second",1.50,
            1.70)))</f>
        <v/>
      </c>
      <c r="K8163">
        <f>LET(
    purpose,'Loan Tape (S&amp;P)'!R8163,
    IF(purpose="Purchase",1.00,
        IF(purpose="Remortgage",1.00,
            1.20)))</f>
        <v/>
      </c>
      <c r="L8163">
        <f>LET(
    arrears_months,'Loan Tape (S&amp;P)'!AN8163,
    IF(arrears_months=0,1.00,
    IF(arrears_months=1,3.00,
    IF(arrears_months=2,5.00,
    IF(arrears_months=3,8.00,
    IF(arrears_months=4,10.00,
    IF(arrears_months=5,12.00,15.00)))))))</f>
        <v/>
      </c>
      <c r="M8163">
        <f>LET(
    seasoning_years,DATEDIF('Loan Tape (S&amp;P)'!K8163,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63">
        <f>IF(AND('Loan Tape (S&amp;P)'!U8163="Yes",
        'Loan Tape (S&amp;P)'!T8163&lt;&gt;"Yes",
        DATEDIF('Loan Tape (S&amp;P)'!K8163, TODAY(), "M")&lt;18),
    1.10,
    1.00)</f>
        <v/>
      </c>
      <c r="O8163">
        <f>IF('Loan Tape (S&amp;P)'!T8163="Yes",
    1.35,
    1.00)</f>
        <v/>
      </c>
      <c r="P8163">
        <f>IF('Loan Tape (S&amp;P)'!S8163="Yes",
    1.15,
    1.00)</f>
        <v/>
      </c>
      <c r="Q8163">
        <f>IF('Loan Tape (S&amp;P)'!V8163="Yes",
    1.20,
    1.00)</f>
        <v/>
      </c>
      <c r="T8163">
        <f>LET(
    payment_method,'Loan Tape (S&amp;P)'!P8163,
    occupancy,'Loan Tape (S&amp;P)'!N8163,
    maturity_date,'Loan Tape (S&amp;P)'!L8163,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64">
      <c r="J8164">
        <f>LET(
    lien,'Loan Tape (S&amp;P)'!Q8164,
    IF(lien="First",1.00,
        IF(lien="Second",1.50,
            1.70)))</f>
        <v/>
      </c>
      <c r="K8164">
        <f>LET(
    purpose,'Loan Tape (S&amp;P)'!R8164,
    IF(purpose="Purchase",1.00,
        IF(purpose="Remortgage",1.00,
            1.20)))</f>
        <v/>
      </c>
      <c r="L8164">
        <f>LET(
    arrears_months,'Loan Tape (S&amp;P)'!AN8164,
    IF(arrears_months=0,1.00,
    IF(arrears_months=1,3.00,
    IF(arrears_months=2,5.00,
    IF(arrears_months=3,8.00,
    IF(arrears_months=4,10.00,
    IF(arrears_months=5,12.00,15.00)))))))</f>
        <v/>
      </c>
      <c r="M8164">
        <f>LET(
    seasoning_years,DATEDIF('Loan Tape (S&amp;P)'!K8164,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64">
        <f>IF(AND('Loan Tape (S&amp;P)'!U8164="Yes",
        'Loan Tape (S&amp;P)'!T8164&lt;&gt;"Yes",
        DATEDIF('Loan Tape (S&amp;P)'!K8164, TODAY(), "M")&lt;18),
    1.10,
    1.00)</f>
        <v/>
      </c>
      <c r="O8164">
        <f>IF('Loan Tape (S&amp;P)'!T8164="Yes",
    1.35,
    1.00)</f>
        <v/>
      </c>
      <c r="P8164">
        <f>IF('Loan Tape (S&amp;P)'!S8164="Yes",
    1.15,
    1.00)</f>
        <v/>
      </c>
      <c r="Q8164">
        <f>IF('Loan Tape (S&amp;P)'!V8164="Yes",
    1.20,
    1.00)</f>
        <v/>
      </c>
      <c r="T8164">
        <f>LET(
    payment_method,'Loan Tape (S&amp;P)'!P8164,
    occupancy,'Loan Tape (S&amp;P)'!N8164,
    maturity_date,'Loan Tape (S&amp;P)'!L8164,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65">
      <c r="J8165">
        <f>LET(
    lien,'Loan Tape (S&amp;P)'!Q8165,
    IF(lien="First",1.00,
        IF(lien="Second",1.50,
            1.70)))</f>
        <v/>
      </c>
      <c r="K8165">
        <f>LET(
    purpose,'Loan Tape (S&amp;P)'!R8165,
    IF(purpose="Purchase",1.00,
        IF(purpose="Remortgage",1.00,
            1.20)))</f>
        <v/>
      </c>
      <c r="L8165">
        <f>LET(
    arrears_months,'Loan Tape (S&amp;P)'!AN8165,
    IF(arrears_months=0,1.00,
    IF(arrears_months=1,3.00,
    IF(arrears_months=2,5.00,
    IF(arrears_months=3,8.00,
    IF(arrears_months=4,10.00,
    IF(arrears_months=5,12.00,15.00)))))))</f>
        <v/>
      </c>
      <c r="M8165">
        <f>LET(
    seasoning_years,DATEDIF('Loan Tape (S&amp;P)'!K8165,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65">
        <f>IF(AND('Loan Tape (S&amp;P)'!U8165="Yes",
        'Loan Tape (S&amp;P)'!T8165&lt;&gt;"Yes",
        DATEDIF('Loan Tape (S&amp;P)'!K8165, TODAY(), "M")&lt;18),
    1.10,
    1.00)</f>
        <v/>
      </c>
      <c r="O8165">
        <f>IF('Loan Tape (S&amp;P)'!T8165="Yes",
    1.35,
    1.00)</f>
        <v/>
      </c>
      <c r="P8165">
        <f>IF('Loan Tape (S&amp;P)'!S8165="Yes",
    1.15,
    1.00)</f>
        <v/>
      </c>
      <c r="Q8165">
        <f>IF('Loan Tape (S&amp;P)'!V8165="Yes",
    1.20,
    1.00)</f>
        <v/>
      </c>
      <c r="T8165">
        <f>LET(
    payment_method,'Loan Tape (S&amp;P)'!P8165,
    occupancy,'Loan Tape (S&amp;P)'!N8165,
    maturity_date,'Loan Tape (S&amp;P)'!L8165,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66">
      <c r="J8166">
        <f>LET(
    lien,'Loan Tape (S&amp;P)'!Q8166,
    IF(lien="First",1.00,
        IF(lien="Second",1.50,
            1.70)))</f>
        <v/>
      </c>
      <c r="K8166">
        <f>LET(
    purpose,'Loan Tape (S&amp;P)'!R8166,
    IF(purpose="Purchase",1.00,
        IF(purpose="Remortgage",1.00,
            1.20)))</f>
        <v/>
      </c>
      <c r="L8166">
        <f>LET(
    arrears_months,'Loan Tape (S&amp;P)'!AN8166,
    IF(arrears_months=0,1.00,
    IF(arrears_months=1,3.00,
    IF(arrears_months=2,5.00,
    IF(arrears_months=3,8.00,
    IF(arrears_months=4,10.00,
    IF(arrears_months=5,12.00,15.00)))))))</f>
        <v/>
      </c>
      <c r="M8166">
        <f>LET(
    seasoning_years,DATEDIF('Loan Tape (S&amp;P)'!K8166,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66">
        <f>IF(AND('Loan Tape (S&amp;P)'!U8166="Yes",
        'Loan Tape (S&amp;P)'!T8166&lt;&gt;"Yes",
        DATEDIF('Loan Tape (S&amp;P)'!K8166, TODAY(), "M")&lt;18),
    1.10,
    1.00)</f>
        <v/>
      </c>
      <c r="O8166">
        <f>IF('Loan Tape (S&amp;P)'!T8166="Yes",
    1.35,
    1.00)</f>
        <v/>
      </c>
      <c r="P8166">
        <f>IF('Loan Tape (S&amp;P)'!S8166="Yes",
    1.15,
    1.00)</f>
        <v/>
      </c>
      <c r="Q8166">
        <f>IF('Loan Tape (S&amp;P)'!V8166="Yes",
    1.20,
    1.00)</f>
        <v/>
      </c>
      <c r="T8166">
        <f>LET(
    payment_method,'Loan Tape (S&amp;P)'!P8166,
    occupancy,'Loan Tape (S&amp;P)'!N8166,
    maturity_date,'Loan Tape (S&amp;P)'!L8166,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67">
      <c r="J8167">
        <f>LET(
    lien,'Loan Tape (S&amp;P)'!Q8167,
    IF(lien="First",1.00,
        IF(lien="Second",1.50,
            1.70)))</f>
        <v/>
      </c>
      <c r="K8167">
        <f>LET(
    purpose,'Loan Tape (S&amp;P)'!R8167,
    IF(purpose="Purchase",1.00,
        IF(purpose="Remortgage",1.00,
            1.20)))</f>
        <v/>
      </c>
      <c r="L8167">
        <f>LET(
    arrears_months,'Loan Tape (S&amp;P)'!AN8167,
    IF(arrears_months=0,1.00,
    IF(arrears_months=1,3.00,
    IF(arrears_months=2,5.00,
    IF(arrears_months=3,8.00,
    IF(arrears_months=4,10.00,
    IF(arrears_months=5,12.00,15.00)))))))</f>
        <v/>
      </c>
      <c r="M8167">
        <f>LET(
    seasoning_years,DATEDIF('Loan Tape (S&amp;P)'!K8167,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67">
        <f>IF(AND('Loan Tape (S&amp;P)'!U8167="Yes",
        'Loan Tape (S&amp;P)'!T8167&lt;&gt;"Yes",
        DATEDIF('Loan Tape (S&amp;P)'!K8167, TODAY(), "M")&lt;18),
    1.10,
    1.00)</f>
        <v/>
      </c>
      <c r="O8167">
        <f>IF('Loan Tape (S&amp;P)'!T8167="Yes",
    1.35,
    1.00)</f>
        <v/>
      </c>
      <c r="P8167">
        <f>IF('Loan Tape (S&amp;P)'!S8167="Yes",
    1.15,
    1.00)</f>
        <v/>
      </c>
      <c r="Q8167">
        <f>IF('Loan Tape (S&amp;P)'!V8167="Yes",
    1.20,
    1.00)</f>
        <v/>
      </c>
      <c r="T8167">
        <f>LET(
    payment_method,'Loan Tape (S&amp;P)'!P8167,
    occupancy,'Loan Tape (S&amp;P)'!N8167,
    maturity_date,'Loan Tape (S&amp;P)'!L8167,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68">
      <c r="J8168">
        <f>LET(
    lien,'Loan Tape (S&amp;P)'!Q8168,
    IF(lien="First",1.00,
        IF(lien="Second",1.50,
            1.70)))</f>
        <v/>
      </c>
      <c r="K8168">
        <f>LET(
    purpose,'Loan Tape (S&amp;P)'!R8168,
    IF(purpose="Purchase",1.00,
        IF(purpose="Remortgage",1.00,
            1.20)))</f>
        <v/>
      </c>
      <c r="L8168">
        <f>LET(
    arrears_months,'Loan Tape (S&amp;P)'!AN8168,
    IF(arrears_months=0,1.00,
    IF(arrears_months=1,3.00,
    IF(arrears_months=2,5.00,
    IF(arrears_months=3,8.00,
    IF(arrears_months=4,10.00,
    IF(arrears_months=5,12.00,15.00)))))))</f>
        <v/>
      </c>
      <c r="M8168">
        <f>LET(
    seasoning_years,DATEDIF('Loan Tape (S&amp;P)'!K8168,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68">
        <f>IF(AND('Loan Tape (S&amp;P)'!U8168="Yes",
        'Loan Tape (S&amp;P)'!T8168&lt;&gt;"Yes",
        DATEDIF('Loan Tape (S&amp;P)'!K8168, TODAY(), "M")&lt;18),
    1.10,
    1.00)</f>
        <v/>
      </c>
      <c r="O8168">
        <f>IF('Loan Tape (S&amp;P)'!T8168="Yes",
    1.35,
    1.00)</f>
        <v/>
      </c>
      <c r="P8168">
        <f>IF('Loan Tape (S&amp;P)'!S8168="Yes",
    1.15,
    1.00)</f>
        <v/>
      </c>
      <c r="Q8168">
        <f>IF('Loan Tape (S&amp;P)'!V8168="Yes",
    1.20,
    1.00)</f>
        <v/>
      </c>
      <c r="T8168">
        <f>LET(
    payment_method,'Loan Tape (S&amp;P)'!P8168,
    occupancy,'Loan Tape (S&amp;P)'!N8168,
    maturity_date,'Loan Tape (S&amp;P)'!L8168,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69">
      <c r="J8169">
        <f>LET(
    lien,'Loan Tape (S&amp;P)'!Q8169,
    IF(lien="First",1.00,
        IF(lien="Second",1.50,
            1.70)))</f>
        <v/>
      </c>
      <c r="K8169">
        <f>LET(
    purpose,'Loan Tape (S&amp;P)'!R8169,
    IF(purpose="Purchase",1.00,
        IF(purpose="Remortgage",1.00,
            1.20)))</f>
        <v/>
      </c>
      <c r="L8169">
        <f>LET(
    arrears_months,'Loan Tape (S&amp;P)'!AN8169,
    IF(arrears_months=0,1.00,
    IF(arrears_months=1,3.00,
    IF(arrears_months=2,5.00,
    IF(arrears_months=3,8.00,
    IF(arrears_months=4,10.00,
    IF(arrears_months=5,12.00,15.00)))))))</f>
        <v/>
      </c>
      <c r="M8169">
        <f>LET(
    seasoning_years,DATEDIF('Loan Tape (S&amp;P)'!K8169,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69">
        <f>IF(AND('Loan Tape (S&amp;P)'!U8169="Yes",
        'Loan Tape (S&amp;P)'!T8169&lt;&gt;"Yes",
        DATEDIF('Loan Tape (S&amp;P)'!K8169, TODAY(), "M")&lt;18),
    1.10,
    1.00)</f>
        <v/>
      </c>
      <c r="O8169">
        <f>IF('Loan Tape (S&amp;P)'!T8169="Yes",
    1.35,
    1.00)</f>
        <v/>
      </c>
      <c r="P8169">
        <f>IF('Loan Tape (S&amp;P)'!S8169="Yes",
    1.15,
    1.00)</f>
        <v/>
      </c>
      <c r="Q8169">
        <f>IF('Loan Tape (S&amp;P)'!V8169="Yes",
    1.20,
    1.00)</f>
        <v/>
      </c>
      <c r="T8169">
        <f>LET(
    payment_method,'Loan Tape (S&amp;P)'!P8169,
    occupancy,'Loan Tape (S&amp;P)'!N8169,
    maturity_date,'Loan Tape (S&amp;P)'!L8169,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70">
      <c r="J8170">
        <f>LET(
    lien,'Loan Tape (S&amp;P)'!Q8170,
    IF(lien="First",1.00,
        IF(lien="Second",1.50,
            1.70)))</f>
        <v/>
      </c>
      <c r="K8170">
        <f>LET(
    purpose,'Loan Tape (S&amp;P)'!R8170,
    IF(purpose="Purchase",1.00,
        IF(purpose="Remortgage",1.00,
            1.20)))</f>
        <v/>
      </c>
      <c r="L8170">
        <f>LET(
    arrears_months,'Loan Tape (S&amp;P)'!AN8170,
    IF(arrears_months=0,1.00,
    IF(arrears_months=1,3.00,
    IF(arrears_months=2,5.00,
    IF(arrears_months=3,8.00,
    IF(arrears_months=4,10.00,
    IF(arrears_months=5,12.00,15.00)))))))</f>
        <v/>
      </c>
      <c r="M8170">
        <f>LET(
    seasoning_years,DATEDIF('Loan Tape (S&amp;P)'!K8170,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70">
        <f>IF(AND('Loan Tape (S&amp;P)'!U8170="Yes",
        'Loan Tape (S&amp;P)'!T8170&lt;&gt;"Yes",
        DATEDIF('Loan Tape (S&amp;P)'!K8170, TODAY(), "M")&lt;18),
    1.10,
    1.00)</f>
        <v/>
      </c>
      <c r="O8170">
        <f>IF('Loan Tape (S&amp;P)'!T8170="Yes",
    1.35,
    1.00)</f>
        <v/>
      </c>
      <c r="P8170">
        <f>IF('Loan Tape (S&amp;P)'!S8170="Yes",
    1.15,
    1.00)</f>
        <v/>
      </c>
      <c r="Q8170">
        <f>IF('Loan Tape (S&amp;P)'!V8170="Yes",
    1.20,
    1.00)</f>
        <v/>
      </c>
      <c r="T8170">
        <f>LET(
    payment_method,'Loan Tape (S&amp;P)'!P8170,
    occupancy,'Loan Tape (S&amp;P)'!N8170,
    maturity_date,'Loan Tape (S&amp;P)'!L8170,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71">
      <c r="J8171">
        <f>LET(
    lien,'Loan Tape (S&amp;P)'!Q8171,
    IF(lien="First",1.00,
        IF(lien="Second",1.50,
            1.70)))</f>
        <v/>
      </c>
      <c r="K8171">
        <f>LET(
    purpose,'Loan Tape (S&amp;P)'!R8171,
    IF(purpose="Purchase",1.00,
        IF(purpose="Remortgage",1.00,
            1.20)))</f>
        <v/>
      </c>
      <c r="L8171">
        <f>LET(
    arrears_months,'Loan Tape (S&amp;P)'!AN8171,
    IF(arrears_months=0,1.00,
    IF(arrears_months=1,3.00,
    IF(arrears_months=2,5.00,
    IF(arrears_months=3,8.00,
    IF(arrears_months=4,10.00,
    IF(arrears_months=5,12.00,15.00)))))))</f>
        <v/>
      </c>
      <c r="M8171">
        <f>LET(
    seasoning_years,DATEDIF('Loan Tape (S&amp;P)'!K8171,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71">
        <f>IF(AND('Loan Tape (S&amp;P)'!U8171="Yes",
        'Loan Tape (S&amp;P)'!T8171&lt;&gt;"Yes",
        DATEDIF('Loan Tape (S&amp;P)'!K8171, TODAY(), "M")&lt;18),
    1.10,
    1.00)</f>
        <v/>
      </c>
      <c r="O8171">
        <f>IF('Loan Tape (S&amp;P)'!T8171="Yes",
    1.35,
    1.00)</f>
        <v/>
      </c>
      <c r="P8171">
        <f>IF('Loan Tape (S&amp;P)'!S8171="Yes",
    1.15,
    1.00)</f>
        <v/>
      </c>
      <c r="Q8171">
        <f>IF('Loan Tape (S&amp;P)'!V8171="Yes",
    1.20,
    1.00)</f>
        <v/>
      </c>
      <c r="T8171">
        <f>LET(
    payment_method,'Loan Tape (S&amp;P)'!P8171,
    occupancy,'Loan Tape (S&amp;P)'!N8171,
    maturity_date,'Loan Tape (S&amp;P)'!L8171,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72">
      <c r="J8172">
        <f>LET(
    lien,'Loan Tape (S&amp;P)'!Q8172,
    IF(lien="First",1.00,
        IF(lien="Second",1.50,
            1.70)))</f>
        <v/>
      </c>
      <c r="K8172">
        <f>LET(
    purpose,'Loan Tape (S&amp;P)'!R8172,
    IF(purpose="Purchase",1.00,
        IF(purpose="Remortgage",1.00,
            1.20)))</f>
        <v/>
      </c>
      <c r="L8172">
        <f>LET(
    arrears_months,'Loan Tape (S&amp;P)'!AN8172,
    IF(arrears_months=0,1.00,
    IF(arrears_months=1,3.00,
    IF(arrears_months=2,5.00,
    IF(arrears_months=3,8.00,
    IF(arrears_months=4,10.00,
    IF(arrears_months=5,12.00,15.00)))))))</f>
        <v/>
      </c>
      <c r="M8172">
        <f>LET(
    seasoning_years,DATEDIF('Loan Tape (S&amp;P)'!K8172,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72">
        <f>IF(AND('Loan Tape (S&amp;P)'!U8172="Yes",
        'Loan Tape (S&amp;P)'!T8172&lt;&gt;"Yes",
        DATEDIF('Loan Tape (S&amp;P)'!K8172, TODAY(), "M")&lt;18),
    1.10,
    1.00)</f>
        <v/>
      </c>
      <c r="O8172">
        <f>IF('Loan Tape (S&amp;P)'!T8172="Yes",
    1.35,
    1.00)</f>
        <v/>
      </c>
      <c r="P8172">
        <f>IF('Loan Tape (S&amp;P)'!S8172="Yes",
    1.15,
    1.00)</f>
        <v/>
      </c>
      <c r="Q8172">
        <f>IF('Loan Tape (S&amp;P)'!V8172="Yes",
    1.20,
    1.00)</f>
        <v/>
      </c>
      <c r="T8172">
        <f>LET(
    payment_method,'Loan Tape (S&amp;P)'!P8172,
    occupancy,'Loan Tape (S&amp;P)'!N8172,
    maturity_date,'Loan Tape (S&amp;P)'!L8172,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73">
      <c r="J8173">
        <f>LET(
    lien,'Loan Tape (S&amp;P)'!Q8173,
    IF(lien="First",1.00,
        IF(lien="Second",1.50,
            1.70)))</f>
        <v/>
      </c>
      <c r="K8173">
        <f>LET(
    purpose,'Loan Tape (S&amp;P)'!R8173,
    IF(purpose="Purchase",1.00,
        IF(purpose="Remortgage",1.00,
            1.20)))</f>
        <v/>
      </c>
      <c r="L8173">
        <f>LET(
    arrears_months,'Loan Tape (S&amp;P)'!AN8173,
    IF(arrears_months=0,1.00,
    IF(arrears_months=1,3.00,
    IF(arrears_months=2,5.00,
    IF(arrears_months=3,8.00,
    IF(arrears_months=4,10.00,
    IF(arrears_months=5,12.00,15.00)))))))</f>
        <v/>
      </c>
      <c r="M8173">
        <f>LET(
    seasoning_years,DATEDIF('Loan Tape (S&amp;P)'!K8173,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73">
        <f>IF(AND('Loan Tape (S&amp;P)'!U8173="Yes",
        'Loan Tape (S&amp;P)'!T8173&lt;&gt;"Yes",
        DATEDIF('Loan Tape (S&amp;P)'!K8173, TODAY(), "M")&lt;18),
    1.10,
    1.00)</f>
        <v/>
      </c>
      <c r="O8173">
        <f>IF('Loan Tape (S&amp;P)'!T8173="Yes",
    1.35,
    1.00)</f>
        <v/>
      </c>
      <c r="P8173">
        <f>IF('Loan Tape (S&amp;P)'!S8173="Yes",
    1.15,
    1.00)</f>
        <v/>
      </c>
      <c r="Q8173">
        <f>IF('Loan Tape (S&amp;P)'!V8173="Yes",
    1.20,
    1.00)</f>
        <v/>
      </c>
      <c r="T8173">
        <f>LET(
    payment_method,'Loan Tape (S&amp;P)'!P8173,
    occupancy,'Loan Tape (S&amp;P)'!N8173,
    maturity_date,'Loan Tape (S&amp;P)'!L8173,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74">
      <c r="J8174">
        <f>LET(
    lien,'Loan Tape (S&amp;P)'!Q8174,
    IF(lien="First",1.00,
        IF(lien="Second",1.50,
            1.70)))</f>
        <v/>
      </c>
      <c r="K8174">
        <f>LET(
    purpose,'Loan Tape (S&amp;P)'!R8174,
    IF(purpose="Purchase",1.00,
        IF(purpose="Remortgage",1.00,
            1.20)))</f>
        <v/>
      </c>
      <c r="L8174">
        <f>LET(
    arrears_months,'Loan Tape (S&amp;P)'!AN8174,
    IF(arrears_months=0,1.00,
    IF(arrears_months=1,3.00,
    IF(arrears_months=2,5.00,
    IF(arrears_months=3,8.00,
    IF(arrears_months=4,10.00,
    IF(arrears_months=5,12.00,15.00)))))))</f>
        <v/>
      </c>
      <c r="M8174">
        <f>LET(
    seasoning_years,DATEDIF('Loan Tape (S&amp;P)'!K8174,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74">
        <f>IF(AND('Loan Tape (S&amp;P)'!U8174="Yes",
        'Loan Tape (S&amp;P)'!T8174&lt;&gt;"Yes",
        DATEDIF('Loan Tape (S&amp;P)'!K8174, TODAY(), "M")&lt;18),
    1.10,
    1.00)</f>
        <v/>
      </c>
      <c r="O8174">
        <f>IF('Loan Tape (S&amp;P)'!T8174="Yes",
    1.35,
    1.00)</f>
        <v/>
      </c>
      <c r="P8174">
        <f>IF('Loan Tape (S&amp;P)'!S8174="Yes",
    1.15,
    1.00)</f>
        <v/>
      </c>
      <c r="Q8174">
        <f>IF('Loan Tape (S&amp;P)'!V8174="Yes",
    1.20,
    1.00)</f>
        <v/>
      </c>
      <c r="T8174">
        <f>LET(
    payment_method,'Loan Tape (S&amp;P)'!P8174,
    occupancy,'Loan Tape (S&amp;P)'!N8174,
    maturity_date,'Loan Tape (S&amp;P)'!L8174,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75">
      <c r="J8175">
        <f>LET(
    lien,'Loan Tape (S&amp;P)'!Q8175,
    IF(lien="First",1.00,
        IF(lien="Second",1.50,
            1.70)))</f>
        <v/>
      </c>
      <c r="K8175">
        <f>LET(
    purpose,'Loan Tape (S&amp;P)'!R8175,
    IF(purpose="Purchase",1.00,
        IF(purpose="Remortgage",1.00,
            1.20)))</f>
        <v/>
      </c>
      <c r="L8175">
        <f>LET(
    arrears_months,'Loan Tape (S&amp;P)'!AN8175,
    IF(arrears_months=0,1.00,
    IF(arrears_months=1,3.00,
    IF(arrears_months=2,5.00,
    IF(arrears_months=3,8.00,
    IF(arrears_months=4,10.00,
    IF(arrears_months=5,12.00,15.00)))))))</f>
        <v/>
      </c>
      <c r="M8175">
        <f>LET(
    seasoning_years,DATEDIF('Loan Tape (S&amp;P)'!K8175,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75">
        <f>IF(AND('Loan Tape (S&amp;P)'!U8175="Yes",
        'Loan Tape (S&amp;P)'!T8175&lt;&gt;"Yes",
        DATEDIF('Loan Tape (S&amp;P)'!K8175, TODAY(), "M")&lt;18),
    1.10,
    1.00)</f>
        <v/>
      </c>
      <c r="O8175">
        <f>IF('Loan Tape (S&amp;P)'!T8175="Yes",
    1.35,
    1.00)</f>
        <v/>
      </c>
      <c r="P8175">
        <f>IF('Loan Tape (S&amp;P)'!S8175="Yes",
    1.15,
    1.00)</f>
        <v/>
      </c>
      <c r="Q8175">
        <f>IF('Loan Tape (S&amp;P)'!V8175="Yes",
    1.20,
    1.00)</f>
        <v/>
      </c>
      <c r="T8175">
        <f>LET(
    payment_method,'Loan Tape (S&amp;P)'!P8175,
    occupancy,'Loan Tape (S&amp;P)'!N8175,
    maturity_date,'Loan Tape (S&amp;P)'!L8175,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76">
      <c r="J8176">
        <f>LET(
    lien,'Loan Tape (S&amp;P)'!Q8176,
    IF(lien="First",1.00,
        IF(lien="Second",1.50,
            1.70)))</f>
        <v/>
      </c>
      <c r="K8176">
        <f>LET(
    purpose,'Loan Tape (S&amp;P)'!R8176,
    IF(purpose="Purchase",1.00,
        IF(purpose="Remortgage",1.00,
            1.20)))</f>
        <v/>
      </c>
      <c r="L8176">
        <f>LET(
    arrears_months,'Loan Tape (S&amp;P)'!AN8176,
    IF(arrears_months=0,1.00,
    IF(arrears_months=1,3.00,
    IF(arrears_months=2,5.00,
    IF(arrears_months=3,8.00,
    IF(arrears_months=4,10.00,
    IF(arrears_months=5,12.00,15.00)))))))</f>
        <v/>
      </c>
      <c r="M8176">
        <f>LET(
    seasoning_years,DATEDIF('Loan Tape (S&amp;P)'!K8176,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76">
        <f>IF(AND('Loan Tape (S&amp;P)'!U8176="Yes",
        'Loan Tape (S&amp;P)'!T8176&lt;&gt;"Yes",
        DATEDIF('Loan Tape (S&amp;P)'!K8176, TODAY(), "M")&lt;18),
    1.10,
    1.00)</f>
        <v/>
      </c>
      <c r="O8176">
        <f>IF('Loan Tape (S&amp;P)'!T8176="Yes",
    1.35,
    1.00)</f>
        <v/>
      </c>
      <c r="P8176">
        <f>IF('Loan Tape (S&amp;P)'!S8176="Yes",
    1.15,
    1.00)</f>
        <v/>
      </c>
      <c r="Q8176">
        <f>IF('Loan Tape (S&amp;P)'!V8176="Yes",
    1.20,
    1.00)</f>
        <v/>
      </c>
      <c r="T8176">
        <f>LET(
    payment_method,'Loan Tape (S&amp;P)'!P8176,
    occupancy,'Loan Tape (S&amp;P)'!N8176,
    maturity_date,'Loan Tape (S&amp;P)'!L8176,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77">
      <c r="J8177">
        <f>LET(
    lien,'Loan Tape (S&amp;P)'!Q8177,
    IF(lien="First",1.00,
        IF(lien="Second",1.50,
            1.70)))</f>
        <v/>
      </c>
      <c r="K8177">
        <f>LET(
    purpose,'Loan Tape (S&amp;P)'!R8177,
    IF(purpose="Purchase",1.00,
        IF(purpose="Remortgage",1.00,
            1.20)))</f>
        <v/>
      </c>
      <c r="L8177">
        <f>LET(
    arrears_months,'Loan Tape (S&amp;P)'!AN8177,
    IF(arrears_months=0,1.00,
    IF(arrears_months=1,3.00,
    IF(arrears_months=2,5.00,
    IF(arrears_months=3,8.00,
    IF(arrears_months=4,10.00,
    IF(arrears_months=5,12.00,15.00)))))))</f>
        <v/>
      </c>
      <c r="M8177">
        <f>LET(
    seasoning_years,DATEDIF('Loan Tape (S&amp;P)'!K8177,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77">
        <f>IF(AND('Loan Tape (S&amp;P)'!U8177="Yes",
        'Loan Tape (S&amp;P)'!T8177&lt;&gt;"Yes",
        DATEDIF('Loan Tape (S&amp;P)'!K8177, TODAY(), "M")&lt;18),
    1.10,
    1.00)</f>
        <v/>
      </c>
      <c r="O8177">
        <f>IF('Loan Tape (S&amp;P)'!T8177="Yes",
    1.35,
    1.00)</f>
        <v/>
      </c>
      <c r="P8177">
        <f>IF('Loan Tape (S&amp;P)'!S8177="Yes",
    1.15,
    1.00)</f>
        <v/>
      </c>
      <c r="Q8177">
        <f>IF('Loan Tape (S&amp;P)'!V8177="Yes",
    1.20,
    1.00)</f>
        <v/>
      </c>
      <c r="T8177">
        <f>LET(
    payment_method,'Loan Tape (S&amp;P)'!P8177,
    occupancy,'Loan Tape (S&amp;P)'!N8177,
    maturity_date,'Loan Tape (S&amp;P)'!L8177,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78">
      <c r="J8178">
        <f>LET(
    lien,'Loan Tape (S&amp;P)'!Q8178,
    IF(lien="First",1.00,
        IF(lien="Second",1.50,
            1.70)))</f>
        <v/>
      </c>
      <c r="K8178">
        <f>LET(
    purpose,'Loan Tape (S&amp;P)'!R8178,
    IF(purpose="Purchase",1.00,
        IF(purpose="Remortgage",1.00,
            1.20)))</f>
        <v/>
      </c>
      <c r="L8178">
        <f>LET(
    arrears_months,'Loan Tape (S&amp;P)'!AN8178,
    IF(arrears_months=0,1.00,
    IF(arrears_months=1,3.00,
    IF(arrears_months=2,5.00,
    IF(arrears_months=3,8.00,
    IF(arrears_months=4,10.00,
    IF(arrears_months=5,12.00,15.00)))))))</f>
        <v/>
      </c>
      <c r="M8178">
        <f>LET(
    seasoning_years,DATEDIF('Loan Tape (S&amp;P)'!K8178,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78">
        <f>IF(AND('Loan Tape (S&amp;P)'!U8178="Yes",
        'Loan Tape (S&amp;P)'!T8178&lt;&gt;"Yes",
        DATEDIF('Loan Tape (S&amp;P)'!K8178, TODAY(), "M")&lt;18),
    1.10,
    1.00)</f>
        <v/>
      </c>
      <c r="O8178">
        <f>IF('Loan Tape (S&amp;P)'!T8178="Yes",
    1.35,
    1.00)</f>
        <v/>
      </c>
      <c r="P8178">
        <f>IF('Loan Tape (S&amp;P)'!S8178="Yes",
    1.15,
    1.00)</f>
        <v/>
      </c>
      <c r="Q8178">
        <f>IF('Loan Tape (S&amp;P)'!V8178="Yes",
    1.20,
    1.00)</f>
        <v/>
      </c>
      <c r="T8178">
        <f>LET(
    payment_method,'Loan Tape (S&amp;P)'!P8178,
    occupancy,'Loan Tape (S&amp;P)'!N8178,
    maturity_date,'Loan Tape (S&amp;P)'!L8178,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79">
      <c r="J8179">
        <f>LET(
    lien,'Loan Tape (S&amp;P)'!Q8179,
    IF(lien="First",1.00,
        IF(lien="Second",1.50,
            1.70)))</f>
        <v/>
      </c>
      <c r="K8179">
        <f>LET(
    purpose,'Loan Tape (S&amp;P)'!R8179,
    IF(purpose="Purchase",1.00,
        IF(purpose="Remortgage",1.00,
            1.20)))</f>
        <v/>
      </c>
      <c r="L8179">
        <f>LET(
    arrears_months,'Loan Tape (S&amp;P)'!AN8179,
    IF(arrears_months=0,1.00,
    IF(arrears_months=1,3.00,
    IF(arrears_months=2,5.00,
    IF(arrears_months=3,8.00,
    IF(arrears_months=4,10.00,
    IF(arrears_months=5,12.00,15.00)))))))</f>
        <v/>
      </c>
      <c r="M8179">
        <f>LET(
    seasoning_years,DATEDIF('Loan Tape (S&amp;P)'!K8179,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79">
        <f>IF(AND('Loan Tape (S&amp;P)'!U8179="Yes",
        'Loan Tape (S&amp;P)'!T8179&lt;&gt;"Yes",
        DATEDIF('Loan Tape (S&amp;P)'!K8179, TODAY(), "M")&lt;18),
    1.10,
    1.00)</f>
        <v/>
      </c>
      <c r="O8179">
        <f>IF('Loan Tape (S&amp;P)'!T8179="Yes",
    1.35,
    1.00)</f>
        <v/>
      </c>
      <c r="P8179">
        <f>IF('Loan Tape (S&amp;P)'!S8179="Yes",
    1.15,
    1.00)</f>
        <v/>
      </c>
      <c r="Q8179">
        <f>IF('Loan Tape (S&amp;P)'!V8179="Yes",
    1.20,
    1.00)</f>
        <v/>
      </c>
      <c r="T8179">
        <f>LET(
    payment_method,'Loan Tape (S&amp;P)'!P8179,
    occupancy,'Loan Tape (S&amp;P)'!N8179,
    maturity_date,'Loan Tape (S&amp;P)'!L8179,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80">
      <c r="J8180">
        <f>LET(
    lien,'Loan Tape (S&amp;P)'!Q8180,
    IF(lien="First",1.00,
        IF(lien="Second",1.50,
            1.70)))</f>
        <v/>
      </c>
      <c r="K8180">
        <f>LET(
    purpose,'Loan Tape (S&amp;P)'!R8180,
    IF(purpose="Purchase",1.00,
        IF(purpose="Remortgage",1.00,
            1.20)))</f>
        <v/>
      </c>
      <c r="L8180">
        <f>LET(
    arrears_months,'Loan Tape (S&amp;P)'!AN8180,
    IF(arrears_months=0,1.00,
    IF(arrears_months=1,3.00,
    IF(arrears_months=2,5.00,
    IF(arrears_months=3,8.00,
    IF(arrears_months=4,10.00,
    IF(arrears_months=5,12.00,15.00)))))))</f>
        <v/>
      </c>
      <c r="M8180">
        <f>LET(
    seasoning_years,DATEDIF('Loan Tape (S&amp;P)'!K8180,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80">
        <f>IF(AND('Loan Tape (S&amp;P)'!U8180="Yes",
        'Loan Tape (S&amp;P)'!T8180&lt;&gt;"Yes",
        DATEDIF('Loan Tape (S&amp;P)'!K8180, TODAY(), "M")&lt;18),
    1.10,
    1.00)</f>
        <v/>
      </c>
      <c r="O8180">
        <f>IF('Loan Tape (S&amp;P)'!T8180="Yes",
    1.35,
    1.00)</f>
        <v/>
      </c>
      <c r="P8180">
        <f>IF('Loan Tape (S&amp;P)'!S8180="Yes",
    1.15,
    1.00)</f>
        <v/>
      </c>
      <c r="Q8180">
        <f>IF('Loan Tape (S&amp;P)'!V8180="Yes",
    1.20,
    1.00)</f>
        <v/>
      </c>
      <c r="T8180">
        <f>LET(
    payment_method,'Loan Tape (S&amp;P)'!P8180,
    occupancy,'Loan Tape (S&amp;P)'!N8180,
    maturity_date,'Loan Tape (S&amp;P)'!L8180,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81">
      <c r="J8181">
        <f>LET(
    lien,'Loan Tape (S&amp;P)'!Q8181,
    IF(lien="First",1.00,
        IF(lien="Second",1.50,
            1.70)))</f>
        <v/>
      </c>
      <c r="K8181">
        <f>LET(
    purpose,'Loan Tape (S&amp;P)'!R8181,
    IF(purpose="Purchase",1.00,
        IF(purpose="Remortgage",1.00,
            1.20)))</f>
        <v/>
      </c>
      <c r="L8181">
        <f>LET(
    arrears_months,'Loan Tape (S&amp;P)'!AN8181,
    IF(arrears_months=0,1.00,
    IF(arrears_months=1,3.00,
    IF(arrears_months=2,5.00,
    IF(arrears_months=3,8.00,
    IF(arrears_months=4,10.00,
    IF(arrears_months=5,12.00,15.00)))))))</f>
        <v/>
      </c>
      <c r="M8181">
        <f>LET(
    seasoning_years,DATEDIF('Loan Tape (S&amp;P)'!K8181,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81">
        <f>IF(AND('Loan Tape (S&amp;P)'!U8181="Yes",
        'Loan Tape (S&amp;P)'!T8181&lt;&gt;"Yes",
        DATEDIF('Loan Tape (S&amp;P)'!K8181, TODAY(), "M")&lt;18),
    1.10,
    1.00)</f>
        <v/>
      </c>
      <c r="O8181">
        <f>IF('Loan Tape (S&amp;P)'!T8181="Yes",
    1.35,
    1.00)</f>
        <v/>
      </c>
      <c r="P8181">
        <f>IF('Loan Tape (S&amp;P)'!S8181="Yes",
    1.15,
    1.00)</f>
        <v/>
      </c>
      <c r="Q8181">
        <f>IF('Loan Tape (S&amp;P)'!V8181="Yes",
    1.20,
    1.00)</f>
        <v/>
      </c>
      <c r="T8181">
        <f>LET(
    payment_method,'Loan Tape (S&amp;P)'!P8181,
    occupancy,'Loan Tape (S&amp;P)'!N8181,
    maturity_date,'Loan Tape (S&amp;P)'!L8181,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82">
      <c r="J8182">
        <f>LET(
    lien,'Loan Tape (S&amp;P)'!Q8182,
    IF(lien="First",1.00,
        IF(lien="Second",1.50,
            1.70)))</f>
        <v/>
      </c>
      <c r="K8182">
        <f>LET(
    purpose,'Loan Tape (S&amp;P)'!R8182,
    IF(purpose="Purchase",1.00,
        IF(purpose="Remortgage",1.00,
            1.20)))</f>
        <v/>
      </c>
      <c r="L8182">
        <f>LET(
    arrears_months,'Loan Tape (S&amp;P)'!AN8182,
    IF(arrears_months=0,1.00,
    IF(arrears_months=1,3.00,
    IF(arrears_months=2,5.00,
    IF(arrears_months=3,8.00,
    IF(arrears_months=4,10.00,
    IF(arrears_months=5,12.00,15.00)))))))</f>
        <v/>
      </c>
      <c r="M8182">
        <f>LET(
    seasoning_years,DATEDIF('Loan Tape (S&amp;P)'!K8182,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82">
        <f>IF(AND('Loan Tape (S&amp;P)'!U8182="Yes",
        'Loan Tape (S&amp;P)'!T8182&lt;&gt;"Yes",
        DATEDIF('Loan Tape (S&amp;P)'!K8182, TODAY(), "M")&lt;18),
    1.10,
    1.00)</f>
        <v/>
      </c>
      <c r="O8182">
        <f>IF('Loan Tape (S&amp;P)'!T8182="Yes",
    1.35,
    1.00)</f>
        <v/>
      </c>
      <c r="P8182">
        <f>IF('Loan Tape (S&amp;P)'!S8182="Yes",
    1.15,
    1.00)</f>
        <v/>
      </c>
      <c r="Q8182">
        <f>IF('Loan Tape (S&amp;P)'!V8182="Yes",
    1.20,
    1.00)</f>
        <v/>
      </c>
      <c r="T8182">
        <f>LET(
    payment_method,'Loan Tape (S&amp;P)'!P8182,
    occupancy,'Loan Tape (S&amp;P)'!N8182,
    maturity_date,'Loan Tape (S&amp;P)'!L8182,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83">
      <c r="J8183">
        <f>LET(
    lien,'Loan Tape (S&amp;P)'!Q8183,
    IF(lien="First",1.00,
        IF(lien="Second",1.50,
            1.70)))</f>
        <v/>
      </c>
      <c r="K8183">
        <f>LET(
    purpose,'Loan Tape (S&amp;P)'!R8183,
    IF(purpose="Purchase",1.00,
        IF(purpose="Remortgage",1.00,
            1.20)))</f>
        <v/>
      </c>
      <c r="L8183">
        <f>LET(
    arrears_months,'Loan Tape (S&amp;P)'!AN8183,
    IF(arrears_months=0,1.00,
    IF(arrears_months=1,3.00,
    IF(arrears_months=2,5.00,
    IF(arrears_months=3,8.00,
    IF(arrears_months=4,10.00,
    IF(arrears_months=5,12.00,15.00)))))))</f>
        <v/>
      </c>
      <c r="M8183">
        <f>LET(
    seasoning_years,DATEDIF('Loan Tape (S&amp;P)'!K8183,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83">
        <f>IF(AND('Loan Tape (S&amp;P)'!U8183="Yes",
        'Loan Tape (S&amp;P)'!T8183&lt;&gt;"Yes",
        DATEDIF('Loan Tape (S&amp;P)'!K8183, TODAY(), "M")&lt;18),
    1.10,
    1.00)</f>
        <v/>
      </c>
      <c r="O8183">
        <f>IF('Loan Tape (S&amp;P)'!T8183="Yes",
    1.35,
    1.00)</f>
        <v/>
      </c>
      <c r="P8183">
        <f>IF('Loan Tape (S&amp;P)'!S8183="Yes",
    1.15,
    1.00)</f>
        <v/>
      </c>
      <c r="Q8183">
        <f>IF('Loan Tape (S&amp;P)'!V8183="Yes",
    1.20,
    1.00)</f>
        <v/>
      </c>
      <c r="T8183">
        <f>LET(
    payment_method,'Loan Tape (S&amp;P)'!P8183,
    occupancy,'Loan Tape (S&amp;P)'!N8183,
    maturity_date,'Loan Tape (S&amp;P)'!L8183,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84">
      <c r="J8184">
        <f>LET(
    lien,'Loan Tape (S&amp;P)'!Q8184,
    IF(lien="First",1.00,
        IF(lien="Second",1.50,
            1.70)))</f>
        <v/>
      </c>
      <c r="K8184">
        <f>LET(
    purpose,'Loan Tape (S&amp;P)'!R8184,
    IF(purpose="Purchase",1.00,
        IF(purpose="Remortgage",1.00,
            1.20)))</f>
        <v/>
      </c>
      <c r="L8184">
        <f>LET(
    arrears_months,'Loan Tape (S&amp;P)'!AN8184,
    IF(arrears_months=0,1.00,
    IF(arrears_months=1,3.00,
    IF(arrears_months=2,5.00,
    IF(arrears_months=3,8.00,
    IF(arrears_months=4,10.00,
    IF(arrears_months=5,12.00,15.00)))))))</f>
        <v/>
      </c>
      <c r="M8184">
        <f>LET(
    seasoning_years,DATEDIF('Loan Tape (S&amp;P)'!K8184,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84">
        <f>IF(AND('Loan Tape (S&amp;P)'!U8184="Yes",
        'Loan Tape (S&amp;P)'!T8184&lt;&gt;"Yes",
        DATEDIF('Loan Tape (S&amp;P)'!K8184, TODAY(), "M")&lt;18),
    1.10,
    1.00)</f>
        <v/>
      </c>
      <c r="O8184">
        <f>IF('Loan Tape (S&amp;P)'!T8184="Yes",
    1.35,
    1.00)</f>
        <v/>
      </c>
      <c r="P8184">
        <f>IF('Loan Tape (S&amp;P)'!S8184="Yes",
    1.15,
    1.00)</f>
        <v/>
      </c>
      <c r="Q8184">
        <f>IF('Loan Tape (S&amp;P)'!V8184="Yes",
    1.20,
    1.00)</f>
        <v/>
      </c>
      <c r="T8184">
        <f>LET(
    payment_method,'Loan Tape (S&amp;P)'!P8184,
    occupancy,'Loan Tape (S&amp;P)'!N8184,
    maturity_date,'Loan Tape (S&amp;P)'!L8184,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85">
      <c r="J8185">
        <f>LET(
    lien,'Loan Tape (S&amp;P)'!Q8185,
    IF(lien="First",1.00,
        IF(lien="Second",1.50,
            1.70)))</f>
        <v/>
      </c>
      <c r="K8185">
        <f>LET(
    purpose,'Loan Tape (S&amp;P)'!R8185,
    IF(purpose="Purchase",1.00,
        IF(purpose="Remortgage",1.00,
            1.20)))</f>
        <v/>
      </c>
      <c r="L8185">
        <f>LET(
    arrears_months,'Loan Tape (S&amp;P)'!AN8185,
    IF(arrears_months=0,1.00,
    IF(arrears_months=1,3.00,
    IF(arrears_months=2,5.00,
    IF(arrears_months=3,8.00,
    IF(arrears_months=4,10.00,
    IF(arrears_months=5,12.00,15.00)))))))</f>
        <v/>
      </c>
      <c r="M8185">
        <f>LET(
    seasoning_years,DATEDIF('Loan Tape (S&amp;P)'!K8185,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85">
        <f>IF(AND('Loan Tape (S&amp;P)'!U8185="Yes",
        'Loan Tape (S&amp;P)'!T8185&lt;&gt;"Yes",
        DATEDIF('Loan Tape (S&amp;P)'!K8185, TODAY(), "M")&lt;18),
    1.10,
    1.00)</f>
        <v/>
      </c>
      <c r="O8185">
        <f>IF('Loan Tape (S&amp;P)'!T8185="Yes",
    1.35,
    1.00)</f>
        <v/>
      </c>
      <c r="P8185">
        <f>IF('Loan Tape (S&amp;P)'!S8185="Yes",
    1.15,
    1.00)</f>
        <v/>
      </c>
      <c r="Q8185">
        <f>IF('Loan Tape (S&amp;P)'!V8185="Yes",
    1.20,
    1.00)</f>
        <v/>
      </c>
      <c r="T8185">
        <f>LET(
    payment_method,'Loan Tape (S&amp;P)'!P8185,
    occupancy,'Loan Tape (S&amp;P)'!N8185,
    maturity_date,'Loan Tape (S&amp;P)'!L8185,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86">
      <c r="J8186">
        <f>LET(
    lien,'Loan Tape (S&amp;P)'!Q8186,
    IF(lien="First",1.00,
        IF(lien="Second",1.50,
            1.70)))</f>
        <v/>
      </c>
      <c r="K8186">
        <f>LET(
    purpose,'Loan Tape (S&amp;P)'!R8186,
    IF(purpose="Purchase",1.00,
        IF(purpose="Remortgage",1.00,
            1.20)))</f>
        <v/>
      </c>
      <c r="L8186">
        <f>LET(
    arrears_months,'Loan Tape (S&amp;P)'!AN8186,
    IF(arrears_months=0,1.00,
    IF(arrears_months=1,3.00,
    IF(arrears_months=2,5.00,
    IF(arrears_months=3,8.00,
    IF(arrears_months=4,10.00,
    IF(arrears_months=5,12.00,15.00)))))))</f>
        <v/>
      </c>
      <c r="M8186">
        <f>LET(
    seasoning_years,DATEDIF('Loan Tape (S&amp;P)'!K8186,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86">
        <f>IF(AND('Loan Tape (S&amp;P)'!U8186="Yes",
        'Loan Tape (S&amp;P)'!T8186&lt;&gt;"Yes",
        DATEDIF('Loan Tape (S&amp;P)'!K8186, TODAY(), "M")&lt;18),
    1.10,
    1.00)</f>
        <v/>
      </c>
      <c r="O8186">
        <f>IF('Loan Tape (S&amp;P)'!T8186="Yes",
    1.35,
    1.00)</f>
        <v/>
      </c>
      <c r="P8186">
        <f>IF('Loan Tape (S&amp;P)'!S8186="Yes",
    1.15,
    1.00)</f>
        <v/>
      </c>
      <c r="Q8186">
        <f>IF('Loan Tape (S&amp;P)'!V8186="Yes",
    1.20,
    1.00)</f>
        <v/>
      </c>
      <c r="T8186">
        <f>LET(
    payment_method,'Loan Tape (S&amp;P)'!P8186,
    occupancy,'Loan Tape (S&amp;P)'!N8186,
    maturity_date,'Loan Tape (S&amp;P)'!L8186,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87">
      <c r="J8187">
        <f>LET(
    lien,'Loan Tape (S&amp;P)'!Q8187,
    IF(lien="First",1.00,
        IF(lien="Second",1.50,
            1.70)))</f>
        <v/>
      </c>
      <c r="K8187">
        <f>LET(
    purpose,'Loan Tape (S&amp;P)'!R8187,
    IF(purpose="Purchase",1.00,
        IF(purpose="Remortgage",1.00,
            1.20)))</f>
        <v/>
      </c>
      <c r="L8187">
        <f>LET(
    arrears_months,'Loan Tape (S&amp;P)'!AN8187,
    IF(arrears_months=0,1.00,
    IF(arrears_months=1,3.00,
    IF(arrears_months=2,5.00,
    IF(arrears_months=3,8.00,
    IF(arrears_months=4,10.00,
    IF(arrears_months=5,12.00,15.00)))))))</f>
        <v/>
      </c>
      <c r="M8187">
        <f>LET(
    seasoning_years,DATEDIF('Loan Tape (S&amp;P)'!K8187,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87">
        <f>IF(AND('Loan Tape (S&amp;P)'!U8187="Yes",
        'Loan Tape (S&amp;P)'!T8187&lt;&gt;"Yes",
        DATEDIF('Loan Tape (S&amp;P)'!K8187, TODAY(), "M")&lt;18),
    1.10,
    1.00)</f>
        <v/>
      </c>
      <c r="O8187">
        <f>IF('Loan Tape (S&amp;P)'!T8187="Yes",
    1.35,
    1.00)</f>
        <v/>
      </c>
      <c r="P8187">
        <f>IF('Loan Tape (S&amp;P)'!S8187="Yes",
    1.15,
    1.00)</f>
        <v/>
      </c>
      <c r="Q8187">
        <f>IF('Loan Tape (S&amp;P)'!V8187="Yes",
    1.20,
    1.00)</f>
        <v/>
      </c>
      <c r="T8187">
        <f>LET(
    payment_method,'Loan Tape (S&amp;P)'!P8187,
    occupancy,'Loan Tape (S&amp;P)'!N8187,
    maturity_date,'Loan Tape (S&amp;P)'!L8187,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88">
      <c r="J8188">
        <f>LET(
    lien,'Loan Tape (S&amp;P)'!Q8188,
    IF(lien="First",1.00,
        IF(lien="Second",1.50,
            1.70)))</f>
        <v/>
      </c>
      <c r="K8188">
        <f>LET(
    purpose,'Loan Tape (S&amp;P)'!R8188,
    IF(purpose="Purchase",1.00,
        IF(purpose="Remortgage",1.00,
            1.20)))</f>
        <v/>
      </c>
      <c r="L8188">
        <f>LET(
    arrears_months,'Loan Tape (S&amp;P)'!AN8188,
    IF(arrears_months=0,1.00,
    IF(arrears_months=1,3.00,
    IF(arrears_months=2,5.00,
    IF(arrears_months=3,8.00,
    IF(arrears_months=4,10.00,
    IF(arrears_months=5,12.00,15.00)))))))</f>
        <v/>
      </c>
      <c r="M8188">
        <f>LET(
    seasoning_years,DATEDIF('Loan Tape (S&amp;P)'!K8188,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88">
        <f>IF(AND('Loan Tape (S&amp;P)'!U8188="Yes",
        'Loan Tape (S&amp;P)'!T8188&lt;&gt;"Yes",
        DATEDIF('Loan Tape (S&amp;P)'!K8188, TODAY(), "M")&lt;18),
    1.10,
    1.00)</f>
        <v/>
      </c>
      <c r="O8188">
        <f>IF('Loan Tape (S&amp;P)'!T8188="Yes",
    1.35,
    1.00)</f>
        <v/>
      </c>
      <c r="P8188">
        <f>IF('Loan Tape (S&amp;P)'!S8188="Yes",
    1.15,
    1.00)</f>
        <v/>
      </c>
      <c r="Q8188">
        <f>IF('Loan Tape (S&amp;P)'!V8188="Yes",
    1.20,
    1.00)</f>
        <v/>
      </c>
      <c r="T8188">
        <f>LET(
    payment_method,'Loan Tape (S&amp;P)'!P8188,
    occupancy,'Loan Tape (S&amp;P)'!N8188,
    maturity_date,'Loan Tape (S&amp;P)'!L8188,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89">
      <c r="J8189">
        <f>LET(
    lien,'Loan Tape (S&amp;P)'!Q8189,
    IF(lien="First",1.00,
        IF(lien="Second",1.50,
            1.70)))</f>
        <v/>
      </c>
      <c r="K8189">
        <f>LET(
    purpose,'Loan Tape (S&amp;P)'!R8189,
    IF(purpose="Purchase",1.00,
        IF(purpose="Remortgage",1.00,
            1.20)))</f>
        <v/>
      </c>
      <c r="L8189">
        <f>LET(
    arrears_months,'Loan Tape (S&amp;P)'!AN8189,
    IF(arrears_months=0,1.00,
    IF(arrears_months=1,3.00,
    IF(arrears_months=2,5.00,
    IF(arrears_months=3,8.00,
    IF(arrears_months=4,10.00,
    IF(arrears_months=5,12.00,15.00)))))))</f>
        <v/>
      </c>
      <c r="M8189">
        <f>LET(
    seasoning_years,DATEDIF('Loan Tape (S&amp;P)'!K8189,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89">
        <f>IF(AND('Loan Tape (S&amp;P)'!U8189="Yes",
        'Loan Tape (S&amp;P)'!T8189&lt;&gt;"Yes",
        DATEDIF('Loan Tape (S&amp;P)'!K8189, TODAY(), "M")&lt;18),
    1.10,
    1.00)</f>
        <v/>
      </c>
      <c r="O8189">
        <f>IF('Loan Tape (S&amp;P)'!T8189="Yes",
    1.35,
    1.00)</f>
        <v/>
      </c>
      <c r="P8189">
        <f>IF('Loan Tape (S&amp;P)'!S8189="Yes",
    1.15,
    1.00)</f>
        <v/>
      </c>
      <c r="Q8189">
        <f>IF('Loan Tape (S&amp;P)'!V8189="Yes",
    1.20,
    1.00)</f>
        <v/>
      </c>
      <c r="T8189">
        <f>LET(
    payment_method,'Loan Tape (S&amp;P)'!P8189,
    occupancy,'Loan Tape (S&amp;P)'!N8189,
    maturity_date,'Loan Tape (S&amp;P)'!L8189,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90">
      <c r="J8190">
        <f>LET(
    lien,'Loan Tape (S&amp;P)'!Q8190,
    IF(lien="First",1.00,
        IF(lien="Second",1.50,
            1.70)))</f>
        <v/>
      </c>
      <c r="K8190">
        <f>LET(
    purpose,'Loan Tape (S&amp;P)'!R8190,
    IF(purpose="Purchase",1.00,
        IF(purpose="Remortgage",1.00,
            1.20)))</f>
        <v/>
      </c>
      <c r="L8190">
        <f>LET(
    arrears_months,'Loan Tape (S&amp;P)'!AN8190,
    IF(arrears_months=0,1.00,
    IF(arrears_months=1,3.00,
    IF(arrears_months=2,5.00,
    IF(arrears_months=3,8.00,
    IF(arrears_months=4,10.00,
    IF(arrears_months=5,12.00,15.00)))))))</f>
        <v/>
      </c>
      <c r="M8190">
        <f>LET(
    seasoning_years,DATEDIF('Loan Tape (S&amp;P)'!K8190,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90">
        <f>IF(AND('Loan Tape (S&amp;P)'!U8190="Yes",
        'Loan Tape (S&amp;P)'!T8190&lt;&gt;"Yes",
        DATEDIF('Loan Tape (S&amp;P)'!K8190, TODAY(), "M")&lt;18),
    1.10,
    1.00)</f>
        <v/>
      </c>
      <c r="O8190">
        <f>IF('Loan Tape (S&amp;P)'!T8190="Yes",
    1.35,
    1.00)</f>
        <v/>
      </c>
      <c r="P8190">
        <f>IF('Loan Tape (S&amp;P)'!S8190="Yes",
    1.15,
    1.00)</f>
        <v/>
      </c>
      <c r="Q8190">
        <f>IF('Loan Tape (S&amp;P)'!V8190="Yes",
    1.20,
    1.00)</f>
        <v/>
      </c>
      <c r="T8190">
        <f>LET(
    payment_method,'Loan Tape (S&amp;P)'!P8190,
    occupancy,'Loan Tape (S&amp;P)'!N8190,
    maturity_date,'Loan Tape (S&amp;P)'!L8190,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91">
      <c r="J8191">
        <f>LET(
    lien,'Loan Tape (S&amp;P)'!Q8191,
    IF(lien="First",1.00,
        IF(lien="Second",1.50,
            1.70)))</f>
        <v/>
      </c>
      <c r="K8191">
        <f>LET(
    purpose,'Loan Tape (S&amp;P)'!R8191,
    IF(purpose="Purchase",1.00,
        IF(purpose="Remortgage",1.00,
            1.20)))</f>
        <v/>
      </c>
      <c r="L8191">
        <f>LET(
    arrears_months,'Loan Tape (S&amp;P)'!AN8191,
    IF(arrears_months=0,1.00,
    IF(arrears_months=1,3.00,
    IF(arrears_months=2,5.00,
    IF(arrears_months=3,8.00,
    IF(arrears_months=4,10.00,
    IF(arrears_months=5,12.00,15.00)))))))</f>
        <v/>
      </c>
      <c r="M8191">
        <f>LET(
    seasoning_years,DATEDIF('Loan Tape (S&amp;P)'!K8191,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91">
        <f>IF(AND('Loan Tape (S&amp;P)'!U8191="Yes",
        'Loan Tape (S&amp;P)'!T8191&lt;&gt;"Yes",
        DATEDIF('Loan Tape (S&amp;P)'!K8191, TODAY(), "M")&lt;18),
    1.10,
    1.00)</f>
        <v/>
      </c>
      <c r="O8191">
        <f>IF('Loan Tape (S&amp;P)'!T8191="Yes",
    1.35,
    1.00)</f>
        <v/>
      </c>
      <c r="P8191">
        <f>IF('Loan Tape (S&amp;P)'!S8191="Yes",
    1.15,
    1.00)</f>
        <v/>
      </c>
      <c r="Q8191">
        <f>IF('Loan Tape (S&amp;P)'!V8191="Yes",
    1.20,
    1.00)</f>
        <v/>
      </c>
      <c r="T8191">
        <f>LET(
    payment_method,'Loan Tape (S&amp;P)'!P8191,
    occupancy,'Loan Tape (S&amp;P)'!N8191,
    maturity_date,'Loan Tape (S&amp;P)'!L8191,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92">
      <c r="J8192">
        <f>LET(
    lien,'Loan Tape (S&amp;P)'!Q8192,
    IF(lien="First",1.00,
        IF(lien="Second",1.50,
            1.70)))</f>
        <v/>
      </c>
      <c r="K8192">
        <f>LET(
    purpose,'Loan Tape (S&amp;P)'!R8192,
    IF(purpose="Purchase",1.00,
        IF(purpose="Remortgage",1.00,
            1.20)))</f>
        <v/>
      </c>
      <c r="L8192">
        <f>LET(
    arrears_months,'Loan Tape (S&amp;P)'!AN8192,
    IF(arrears_months=0,1.00,
    IF(arrears_months=1,3.00,
    IF(arrears_months=2,5.00,
    IF(arrears_months=3,8.00,
    IF(arrears_months=4,10.00,
    IF(arrears_months=5,12.00,15.00)))))))</f>
        <v/>
      </c>
      <c r="M8192">
        <f>LET(
    seasoning_years,DATEDIF('Loan Tape (S&amp;P)'!K8192,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92">
        <f>IF(AND('Loan Tape (S&amp;P)'!U8192="Yes",
        'Loan Tape (S&amp;P)'!T8192&lt;&gt;"Yes",
        DATEDIF('Loan Tape (S&amp;P)'!K8192, TODAY(), "M")&lt;18),
    1.10,
    1.00)</f>
        <v/>
      </c>
      <c r="O8192">
        <f>IF('Loan Tape (S&amp;P)'!T8192="Yes",
    1.35,
    1.00)</f>
        <v/>
      </c>
      <c r="P8192">
        <f>IF('Loan Tape (S&amp;P)'!S8192="Yes",
    1.15,
    1.00)</f>
        <v/>
      </c>
      <c r="Q8192">
        <f>IF('Loan Tape (S&amp;P)'!V8192="Yes",
    1.20,
    1.00)</f>
        <v/>
      </c>
      <c r="T8192">
        <f>LET(
    payment_method,'Loan Tape (S&amp;P)'!P8192,
    occupancy,'Loan Tape (S&amp;P)'!N8192,
    maturity_date,'Loan Tape (S&amp;P)'!L8192,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93">
      <c r="J8193">
        <f>LET(
    lien,'Loan Tape (S&amp;P)'!Q8193,
    IF(lien="First",1.00,
        IF(lien="Second",1.50,
            1.70)))</f>
        <v/>
      </c>
      <c r="K8193">
        <f>LET(
    purpose,'Loan Tape (S&amp;P)'!R8193,
    IF(purpose="Purchase",1.00,
        IF(purpose="Remortgage",1.00,
            1.20)))</f>
        <v/>
      </c>
      <c r="L8193">
        <f>LET(
    arrears_months,'Loan Tape (S&amp;P)'!AN8193,
    IF(arrears_months=0,1.00,
    IF(arrears_months=1,3.00,
    IF(arrears_months=2,5.00,
    IF(arrears_months=3,8.00,
    IF(arrears_months=4,10.00,
    IF(arrears_months=5,12.00,15.00)))))))</f>
        <v/>
      </c>
      <c r="M8193">
        <f>LET(
    seasoning_years,DATEDIF('Loan Tape (S&amp;P)'!K8193,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93">
        <f>IF(AND('Loan Tape (S&amp;P)'!U8193="Yes",
        'Loan Tape (S&amp;P)'!T8193&lt;&gt;"Yes",
        DATEDIF('Loan Tape (S&amp;P)'!K8193, TODAY(), "M")&lt;18),
    1.10,
    1.00)</f>
        <v/>
      </c>
      <c r="O8193">
        <f>IF('Loan Tape (S&amp;P)'!T8193="Yes",
    1.35,
    1.00)</f>
        <v/>
      </c>
      <c r="P8193">
        <f>IF('Loan Tape (S&amp;P)'!S8193="Yes",
    1.15,
    1.00)</f>
        <v/>
      </c>
      <c r="Q8193">
        <f>IF('Loan Tape (S&amp;P)'!V8193="Yes",
    1.20,
    1.00)</f>
        <v/>
      </c>
      <c r="T8193">
        <f>LET(
    payment_method,'Loan Tape (S&amp;P)'!P8193,
    occupancy,'Loan Tape (S&amp;P)'!N8193,
    maturity_date,'Loan Tape (S&amp;P)'!L8193,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94">
      <c r="J8194">
        <f>LET(
    lien,'Loan Tape (S&amp;P)'!Q8194,
    IF(lien="First",1.00,
        IF(lien="Second",1.50,
            1.70)))</f>
        <v/>
      </c>
      <c r="K8194">
        <f>LET(
    purpose,'Loan Tape (S&amp;P)'!R8194,
    IF(purpose="Purchase",1.00,
        IF(purpose="Remortgage",1.00,
            1.20)))</f>
        <v/>
      </c>
      <c r="L8194">
        <f>LET(
    arrears_months,'Loan Tape (S&amp;P)'!AN8194,
    IF(arrears_months=0,1.00,
    IF(arrears_months=1,3.00,
    IF(arrears_months=2,5.00,
    IF(arrears_months=3,8.00,
    IF(arrears_months=4,10.00,
    IF(arrears_months=5,12.00,15.00)))))))</f>
        <v/>
      </c>
      <c r="M8194">
        <f>LET(
    seasoning_years,DATEDIF('Loan Tape (S&amp;P)'!K8194,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94">
        <f>IF(AND('Loan Tape (S&amp;P)'!U8194="Yes",
        'Loan Tape (S&amp;P)'!T8194&lt;&gt;"Yes",
        DATEDIF('Loan Tape (S&amp;P)'!K8194, TODAY(), "M")&lt;18),
    1.10,
    1.00)</f>
        <v/>
      </c>
      <c r="O8194">
        <f>IF('Loan Tape (S&amp;P)'!T8194="Yes",
    1.35,
    1.00)</f>
        <v/>
      </c>
      <c r="P8194">
        <f>IF('Loan Tape (S&amp;P)'!S8194="Yes",
    1.15,
    1.00)</f>
        <v/>
      </c>
      <c r="Q8194">
        <f>IF('Loan Tape (S&amp;P)'!V8194="Yes",
    1.20,
    1.00)</f>
        <v/>
      </c>
      <c r="T8194">
        <f>LET(
    payment_method,'Loan Tape (S&amp;P)'!P8194,
    occupancy,'Loan Tape (S&amp;P)'!N8194,
    maturity_date,'Loan Tape (S&amp;P)'!L8194,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95">
      <c r="J8195">
        <f>LET(
    lien,'Loan Tape (S&amp;P)'!Q8195,
    IF(lien="First",1.00,
        IF(lien="Second",1.50,
            1.70)))</f>
        <v/>
      </c>
      <c r="K8195">
        <f>LET(
    purpose,'Loan Tape (S&amp;P)'!R8195,
    IF(purpose="Purchase",1.00,
        IF(purpose="Remortgage",1.00,
            1.20)))</f>
        <v/>
      </c>
      <c r="L8195">
        <f>LET(
    arrears_months,'Loan Tape (S&amp;P)'!AN8195,
    IF(arrears_months=0,1.00,
    IF(arrears_months=1,3.00,
    IF(arrears_months=2,5.00,
    IF(arrears_months=3,8.00,
    IF(arrears_months=4,10.00,
    IF(arrears_months=5,12.00,15.00)))))))</f>
        <v/>
      </c>
      <c r="M8195">
        <f>LET(
    seasoning_years,DATEDIF('Loan Tape (S&amp;P)'!K8195,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95">
        <f>IF(AND('Loan Tape (S&amp;P)'!U8195="Yes",
        'Loan Tape (S&amp;P)'!T8195&lt;&gt;"Yes",
        DATEDIF('Loan Tape (S&amp;P)'!K8195, TODAY(), "M")&lt;18),
    1.10,
    1.00)</f>
        <v/>
      </c>
      <c r="O8195">
        <f>IF('Loan Tape (S&amp;P)'!T8195="Yes",
    1.35,
    1.00)</f>
        <v/>
      </c>
      <c r="P8195">
        <f>IF('Loan Tape (S&amp;P)'!S8195="Yes",
    1.15,
    1.00)</f>
        <v/>
      </c>
      <c r="Q8195">
        <f>IF('Loan Tape (S&amp;P)'!V8195="Yes",
    1.20,
    1.00)</f>
        <v/>
      </c>
      <c r="T8195">
        <f>LET(
    payment_method,'Loan Tape (S&amp;P)'!P8195,
    occupancy,'Loan Tape (S&amp;P)'!N8195,
    maturity_date,'Loan Tape (S&amp;P)'!L8195,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96">
      <c r="J8196">
        <f>LET(
    lien,'Loan Tape (S&amp;P)'!Q8196,
    IF(lien="First",1.00,
        IF(lien="Second",1.50,
            1.70)))</f>
        <v/>
      </c>
      <c r="K8196">
        <f>LET(
    purpose,'Loan Tape (S&amp;P)'!R8196,
    IF(purpose="Purchase",1.00,
        IF(purpose="Remortgage",1.00,
            1.20)))</f>
        <v/>
      </c>
      <c r="L8196">
        <f>LET(
    arrears_months,'Loan Tape (S&amp;P)'!AN8196,
    IF(arrears_months=0,1.00,
    IF(arrears_months=1,3.00,
    IF(arrears_months=2,5.00,
    IF(arrears_months=3,8.00,
    IF(arrears_months=4,10.00,
    IF(arrears_months=5,12.00,15.00)))))))</f>
        <v/>
      </c>
      <c r="M8196">
        <f>LET(
    seasoning_years,DATEDIF('Loan Tape (S&amp;P)'!K8196,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96">
        <f>IF(AND('Loan Tape (S&amp;P)'!U8196="Yes",
        'Loan Tape (S&amp;P)'!T8196&lt;&gt;"Yes",
        DATEDIF('Loan Tape (S&amp;P)'!K8196, TODAY(), "M")&lt;18),
    1.10,
    1.00)</f>
        <v/>
      </c>
      <c r="O8196">
        <f>IF('Loan Tape (S&amp;P)'!T8196="Yes",
    1.35,
    1.00)</f>
        <v/>
      </c>
      <c r="P8196">
        <f>IF('Loan Tape (S&amp;P)'!S8196="Yes",
    1.15,
    1.00)</f>
        <v/>
      </c>
      <c r="Q8196">
        <f>IF('Loan Tape (S&amp;P)'!V8196="Yes",
    1.20,
    1.00)</f>
        <v/>
      </c>
      <c r="T8196">
        <f>LET(
    payment_method,'Loan Tape (S&amp;P)'!P8196,
    occupancy,'Loan Tape (S&amp;P)'!N8196,
    maturity_date,'Loan Tape (S&amp;P)'!L8196,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97">
      <c r="J8197">
        <f>LET(
    lien,'Loan Tape (S&amp;P)'!Q8197,
    IF(lien="First",1.00,
        IF(lien="Second",1.50,
            1.70)))</f>
        <v/>
      </c>
      <c r="K8197">
        <f>LET(
    purpose,'Loan Tape (S&amp;P)'!R8197,
    IF(purpose="Purchase",1.00,
        IF(purpose="Remortgage",1.00,
            1.20)))</f>
        <v/>
      </c>
      <c r="L8197">
        <f>LET(
    arrears_months,'Loan Tape (S&amp;P)'!AN8197,
    IF(arrears_months=0,1.00,
    IF(arrears_months=1,3.00,
    IF(arrears_months=2,5.00,
    IF(arrears_months=3,8.00,
    IF(arrears_months=4,10.00,
    IF(arrears_months=5,12.00,15.00)))))))</f>
        <v/>
      </c>
      <c r="M8197">
        <f>LET(
    seasoning_years,DATEDIF('Loan Tape (S&amp;P)'!K8197,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97">
        <f>IF(AND('Loan Tape (S&amp;P)'!U8197="Yes",
        'Loan Tape (S&amp;P)'!T8197&lt;&gt;"Yes",
        DATEDIF('Loan Tape (S&amp;P)'!K8197, TODAY(), "M")&lt;18),
    1.10,
    1.00)</f>
        <v/>
      </c>
      <c r="O8197">
        <f>IF('Loan Tape (S&amp;P)'!T8197="Yes",
    1.35,
    1.00)</f>
        <v/>
      </c>
      <c r="P8197">
        <f>IF('Loan Tape (S&amp;P)'!S8197="Yes",
    1.15,
    1.00)</f>
        <v/>
      </c>
      <c r="Q8197">
        <f>IF('Loan Tape (S&amp;P)'!V8197="Yes",
    1.20,
    1.00)</f>
        <v/>
      </c>
      <c r="T8197">
        <f>LET(
    payment_method,'Loan Tape (S&amp;P)'!P8197,
    occupancy,'Loan Tape (S&amp;P)'!N8197,
    maturity_date,'Loan Tape (S&amp;P)'!L8197,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98">
      <c r="J8198">
        <f>LET(
    lien,'Loan Tape (S&amp;P)'!Q8198,
    IF(lien="First",1.00,
        IF(lien="Second",1.50,
            1.70)))</f>
        <v/>
      </c>
      <c r="K8198">
        <f>LET(
    purpose,'Loan Tape (S&amp;P)'!R8198,
    IF(purpose="Purchase",1.00,
        IF(purpose="Remortgage",1.00,
            1.20)))</f>
        <v/>
      </c>
      <c r="L8198">
        <f>LET(
    arrears_months,'Loan Tape (S&amp;P)'!AN8198,
    IF(arrears_months=0,1.00,
    IF(arrears_months=1,3.00,
    IF(arrears_months=2,5.00,
    IF(arrears_months=3,8.00,
    IF(arrears_months=4,10.00,
    IF(arrears_months=5,12.00,15.00)))))))</f>
        <v/>
      </c>
      <c r="M8198">
        <f>LET(
    seasoning_years,DATEDIF('Loan Tape (S&amp;P)'!K8198,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98">
        <f>IF(AND('Loan Tape (S&amp;P)'!U8198="Yes",
        'Loan Tape (S&amp;P)'!T8198&lt;&gt;"Yes",
        DATEDIF('Loan Tape (S&amp;P)'!K8198, TODAY(), "M")&lt;18),
    1.10,
    1.00)</f>
        <v/>
      </c>
      <c r="O8198">
        <f>IF('Loan Tape (S&amp;P)'!T8198="Yes",
    1.35,
    1.00)</f>
        <v/>
      </c>
      <c r="P8198">
        <f>IF('Loan Tape (S&amp;P)'!S8198="Yes",
    1.15,
    1.00)</f>
        <v/>
      </c>
      <c r="Q8198">
        <f>IF('Loan Tape (S&amp;P)'!V8198="Yes",
    1.20,
    1.00)</f>
        <v/>
      </c>
      <c r="T8198">
        <f>LET(
    payment_method,'Loan Tape (S&amp;P)'!P8198,
    occupancy,'Loan Tape (S&amp;P)'!N8198,
    maturity_date,'Loan Tape (S&amp;P)'!L8198,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199">
      <c r="J8199">
        <f>LET(
    lien,'Loan Tape (S&amp;P)'!Q8199,
    IF(lien="First",1.00,
        IF(lien="Second",1.50,
            1.70)))</f>
        <v/>
      </c>
      <c r="K8199">
        <f>LET(
    purpose,'Loan Tape (S&amp;P)'!R8199,
    IF(purpose="Purchase",1.00,
        IF(purpose="Remortgage",1.00,
            1.20)))</f>
        <v/>
      </c>
      <c r="L8199">
        <f>LET(
    arrears_months,'Loan Tape (S&amp;P)'!AN8199,
    IF(arrears_months=0,1.00,
    IF(arrears_months=1,3.00,
    IF(arrears_months=2,5.00,
    IF(arrears_months=3,8.00,
    IF(arrears_months=4,10.00,
    IF(arrears_months=5,12.00,15.00)))))))</f>
        <v/>
      </c>
      <c r="M8199">
        <f>LET(
    seasoning_years,DATEDIF('Loan Tape (S&amp;P)'!K8199,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199">
        <f>IF(AND('Loan Tape (S&amp;P)'!U8199="Yes",
        'Loan Tape (S&amp;P)'!T8199&lt;&gt;"Yes",
        DATEDIF('Loan Tape (S&amp;P)'!K8199, TODAY(), "M")&lt;18),
    1.10,
    1.00)</f>
        <v/>
      </c>
      <c r="O8199">
        <f>IF('Loan Tape (S&amp;P)'!T8199="Yes",
    1.35,
    1.00)</f>
        <v/>
      </c>
      <c r="P8199">
        <f>IF('Loan Tape (S&amp;P)'!S8199="Yes",
    1.15,
    1.00)</f>
        <v/>
      </c>
      <c r="Q8199">
        <f>IF('Loan Tape (S&amp;P)'!V8199="Yes",
    1.20,
    1.00)</f>
        <v/>
      </c>
      <c r="T8199">
        <f>LET(
    payment_method,'Loan Tape (S&amp;P)'!P8199,
    occupancy,'Loan Tape (S&amp;P)'!N8199,
    maturity_date,'Loan Tape (S&amp;P)'!L8199,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00">
      <c r="J8200">
        <f>LET(
    lien,'Loan Tape (S&amp;P)'!Q8200,
    IF(lien="First",1.00,
        IF(lien="Second",1.50,
            1.70)))</f>
        <v/>
      </c>
      <c r="K8200">
        <f>LET(
    purpose,'Loan Tape (S&amp;P)'!R8200,
    IF(purpose="Purchase",1.00,
        IF(purpose="Remortgage",1.00,
            1.20)))</f>
        <v/>
      </c>
      <c r="L8200">
        <f>LET(
    arrears_months,'Loan Tape (S&amp;P)'!AN8200,
    IF(arrears_months=0,1.00,
    IF(arrears_months=1,3.00,
    IF(arrears_months=2,5.00,
    IF(arrears_months=3,8.00,
    IF(arrears_months=4,10.00,
    IF(arrears_months=5,12.00,15.00)))))))</f>
        <v/>
      </c>
      <c r="M8200">
        <f>LET(
    seasoning_years,DATEDIF('Loan Tape (S&amp;P)'!K8200,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00">
        <f>IF(AND('Loan Tape (S&amp;P)'!U8200="Yes",
        'Loan Tape (S&amp;P)'!T8200&lt;&gt;"Yes",
        DATEDIF('Loan Tape (S&amp;P)'!K8200, TODAY(), "M")&lt;18),
    1.10,
    1.00)</f>
        <v/>
      </c>
      <c r="O8200">
        <f>IF('Loan Tape (S&amp;P)'!T8200="Yes",
    1.35,
    1.00)</f>
        <v/>
      </c>
      <c r="P8200">
        <f>IF('Loan Tape (S&amp;P)'!S8200="Yes",
    1.15,
    1.00)</f>
        <v/>
      </c>
      <c r="Q8200">
        <f>IF('Loan Tape (S&amp;P)'!V8200="Yes",
    1.20,
    1.00)</f>
        <v/>
      </c>
      <c r="T8200">
        <f>LET(
    payment_method,'Loan Tape (S&amp;P)'!P8200,
    occupancy,'Loan Tape (S&amp;P)'!N8200,
    maturity_date,'Loan Tape (S&amp;P)'!L8200,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01">
      <c r="J8201">
        <f>LET(
    lien,'Loan Tape (S&amp;P)'!Q8201,
    IF(lien="First",1.00,
        IF(lien="Second",1.50,
            1.70)))</f>
        <v/>
      </c>
      <c r="K8201">
        <f>LET(
    purpose,'Loan Tape (S&amp;P)'!R8201,
    IF(purpose="Purchase",1.00,
        IF(purpose="Remortgage",1.00,
            1.20)))</f>
        <v/>
      </c>
      <c r="L8201">
        <f>LET(
    arrears_months,'Loan Tape (S&amp;P)'!AN8201,
    IF(arrears_months=0,1.00,
    IF(arrears_months=1,3.00,
    IF(arrears_months=2,5.00,
    IF(arrears_months=3,8.00,
    IF(arrears_months=4,10.00,
    IF(arrears_months=5,12.00,15.00)))))))</f>
        <v/>
      </c>
      <c r="M8201">
        <f>LET(
    seasoning_years,DATEDIF('Loan Tape (S&amp;P)'!K8201,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01">
        <f>IF(AND('Loan Tape (S&amp;P)'!U8201="Yes",
        'Loan Tape (S&amp;P)'!T8201&lt;&gt;"Yes",
        DATEDIF('Loan Tape (S&amp;P)'!K8201, TODAY(), "M")&lt;18),
    1.10,
    1.00)</f>
        <v/>
      </c>
      <c r="O8201">
        <f>IF('Loan Tape (S&amp;P)'!T8201="Yes",
    1.35,
    1.00)</f>
        <v/>
      </c>
      <c r="P8201">
        <f>IF('Loan Tape (S&amp;P)'!S8201="Yes",
    1.15,
    1.00)</f>
        <v/>
      </c>
      <c r="Q8201">
        <f>IF('Loan Tape (S&amp;P)'!V8201="Yes",
    1.20,
    1.00)</f>
        <v/>
      </c>
      <c r="T8201">
        <f>LET(
    payment_method,'Loan Tape (S&amp;P)'!P8201,
    occupancy,'Loan Tape (S&amp;P)'!N8201,
    maturity_date,'Loan Tape (S&amp;P)'!L8201,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02">
      <c r="J8202">
        <f>LET(
    lien,'Loan Tape (S&amp;P)'!Q8202,
    IF(lien="First",1.00,
        IF(lien="Second",1.50,
            1.70)))</f>
        <v/>
      </c>
      <c r="K8202">
        <f>LET(
    purpose,'Loan Tape (S&amp;P)'!R8202,
    IF(purpose="Purchase",1.00,
        IF(purpose="Remortgage",1.00,
            1.20)))</f>
        <v/>
      </c>
      <c r="L8202">
        <f>LET(
    arrears_months,'Loan Tape (S&amp;P)'!AN8202,
    IF(arrears_months=0,1.00,
    IF(arrears_months=1,3.00,
    IF(arrears_months=2,5.00,
    IF(arrears_months=3,8.00,
    IF(arrears_months=4,10.00,
    IF(arrears_months=5,12.00,15.00)))))))</f>
        <v/>
      </c>
      <c r="M8202">
        <f>LET(
    seasoning_years,DATEDIF('Loan Tape (S&amp;P)'!K8202,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02">
        <f>IF(AND('Loan Tape (S&amp;P)'!U8202="Yes",
        'Loan Tape (S&amp;P)'!T8202&lt;&gt;"Yes",
        DATEDIF('Loan Tape (S&amp;P)'!K8202, TODAY(), "M")&lt;18),
    1.10,
    1.00)</f>
        <v/>
      </c>
      <c r="O8202">
        <f>IF('Loan Tape (S&amp;P)'!T8202="Yes",
    1.35,
    1.00)</f>
        <v/>
      </c>
      <c r="P8202">
        <f>IF('Loan Tape (S&amp;P)'!S8202="Yes",
    1.15,
    1.00)</f>
        <v/>
      </c>
      <c r="Q8202">
        <f>IF('Loan Tape (S&amp;P)'!V8202="Yes",
    1.20,
    1.00)</f>
        <v/>
      </c>
      <c r="T8202">
        <f>LET(
    payment_method,'Loan Tape (S&amp;P)'!P8202,
    occupancy,'Loan Tape (S&amp;P)'!N8202,
    maturity_date,'Loan Tape (S&amp;P)'!L8202,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03">
      <c r="J8203">
        <f>LET(
    lien,'Loan Tape (S&amp;P)'!Q8203,
    IF(lien="First",1.00,
        IF(lien="Second",1.50,
            1.70)))</f>
        <v/>
      </c>
      <c r="K8203">
        <f>LET(
    purpose,'Loan Tape (S&amp;P)'!R8203,
    IF(purpose="Purchase",1.00,
        IF(purpose="Remortgage",1.00,
            1.20)))</f>
        <v/>
      </c>
      <c r="L8203">
        <f>LET(
    arrears_months,'Loan Tape (S&amp;P)'!AN8203,
    IF(arrears_months=0,1.00,
    IF(arrears_months=1,3.00,
    IF(arrears_months=2,5.00,
    IF(arrears_months=3,8.00,
    IF(arrears_months=4,10.00,
    IF(arrears_months=5,12.00,15.00)))))))</f>
        <v/>
      </c>
      <c r="M8203">
        <f>LET(
    seasoning_years,DATEDIF('Loan Tape (S&amp;P)'!K8203,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03">
        <f>IF(AND('Loan Tape (S&amp;P)'!U8203="Yes",
        'Loan Tape (S&amp;P)'!T8203&lt;&gt;"Yes",
        DATEDIF('Loan Tape (S&amp;P)'!K8203, TODAY(), "M")&lt;18),
    1.10,
    1.00)</f>
        <v/>
      </c>
      <c r="O8203">
        <f>IF('Loan Tape (S&amp;P)'!T8203="Yes",
    1.35,
    1.00)</f>
        <v/>
      </c>
      <c r="P8203">
        <f>IF('Loan Tape (S&amp;P)'!S8203="Yes",
    1.15,
    1.00)</f>
        <v/>
      </c>
      <c r="Q8203">
        <f>IF('Loan Tape (S&amp;P)'!V8203="Yes",
    1.20,
    1.00)</f>
        <v/>
      </c>
      <c r="T8203">
        <f>LET(
    payment_method,'Loan Tape (S&amp;P)'!P8203,
    occupancy,'Loan Tape (S&amp;P)'!N8203,
    maturity_date,'Loan Tape (S&amp;P)'!L8203,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04">
      <c r="J8204">
        <f>LET(
    lien,'Loan Tape (S&amp;P)'!Q8204,
    IF(lien="First",1.00,
        IF(lien="Second",1.50,
            1.70)))</f>
        <v/>
      </c>
      <c r="K8204">
        <f>LET(
    purpose,'Loan Tape (S&amp;P)'!R8204,
    IF(purpose="Purchase",1.00,
        IF(purpose="Remortgage",1.00,
            1.20)))</f>
        <v/>
      </c>
      <c r="L8204">
        <f>LET(
    arrears_months,'Loan Tape (S&amp;P)'!AN8204,
    IF(arrears_months=0,1.00,
    IF(arrears_months=1,3.00,
    IF(arrears_months=2,5.00,
    IF(arrears_months=3,8.00,
    IF(arrears_months=4,10.00,
    IF(arrears_months=5,12.00,15.00)))))))</f>
        <v/>
      </c>
      <c r="M8204">
        <f>LET(
    seasoning_years,DATEDIF('Loan Tape (S&amp;P)'!K8204,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04">
        <f>IF(AND('Loan Tape (S&amp;P)'!U8204="Yes",
        'Loan Tape (S&amp;P)'!T8204&lt;&gt;"Yes",
        DATEDIF('Loan Tape (S&amp;P)'!K8204, TODAY(), "M")&lt;18),
    1.10,
    1.00)</f>
        <v/>
      </c>
      <c r="O8204">
        <f>IF('Loan Tape (S&amp;P)'!T8204="Yes",
    1.35,
    1.00)</f>
        <v/>
      </c>
      <c r="P8204">
        <f>IF('Loan Tape (S&amp;P)'!S8204="Yes",
    1.15,
    1.00)</f>
        <v/>
      </c>
      <c r="Q8204">
        <f>IF('Loan Tape (S&amp;P)'!V8204="Yes",
    1.20,
    1.00)</f>
        <v/>
      </c>
      <c r="T8204">
        <f>LET(
    payment_method,'Loan Tape (S&amp;P)'!P8204,
    occupancy,'Loan Tape (S&amp;P)'!N8204,
    maturity_date,'Loan Tape (S&amp;P)'!L8204,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05">
      <c r="J8205">
        <f>LET(
    lien,'Loan Tape (S&amp;P)'!Q8205,
    IF(lien="First",1.00,
        IF(lien="Second",1.50,
            1.70)))</f>
        <v/>
      </c>
      <c r="K8205">
        <f>LET(
    purpose,'Loan Tape (S&amp;P)'!R8205,
    IF(purpose="Purchase",1.00,
        IF(purpose="Remortgage",1.00,
            1.20)))</f>
        <v/>
      </c>
      <c r="L8205">
        <f>LET(
    arrears_months,'Loan Tape (S&amp;P)'!AN8205,
    IF(arrears_months=0,1.00,
    IF(arrears_months=1,3.00,
    IF(arrears_months=2,5.00,
    IF(arrears_months=3,8.00,
    IF(arrears_months=4,10.00,
    IF(arrears_months=5,12.00,15.00)))))))</f>
        <v/>
      </c>
      <c r="M8205">
        <f>LET(
    seasoning_years,DATEDIF('Loan Tape (S&amp;P)'!K8205,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05">
        <f>IF(AND('Loan Tape (S&amp;P)'!U8205="Yes",
        'Loan Tape (S&amp;P)'!T8205&lt;&gt;"Yes",
        DATEDIF('Loan Tape (S&amp;P)'!K8205, TODAY(), "M")&lt;18),
    1.10,
    1.00)</f>
        <v/>
      </c>
      <c r="O8205">
        <f>IF('Loan Tape (S&amp;P)'!T8205="Yes",
    1.35,
    1.00)</f>
        <v/>
      </c>
      <c r="P8205">
        <f>IF('Loan Tape (S&amp;P)'!S8205="Yes",
    1.15,
    1.00)</f>
        <v/>
      </c>
      <c r="Q8205">
        <f>IF('Loan Tape (S&amp;P)'!V8205="Yes",
    1.20,
    1.00)</f>
        <v/>
      </c>
      <c r="T8205">
        <f>LET(
    payment_method,'Loan Tape (S&amp;P)'!P8205,
    occupancy,'Loan Tape (S&amp;P)'!N8205,
    maturity_date,'Loan Tape (S&amp;P)'!L8205,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06">
      <c r="J8206">
        <f>LET(
    lien,'Loan Tape (S&amp;P)'!Q8206,
    IF(lien="First",1.00,
        IF(lien="Second",1.50,
            1.70)))</f>
        <v/>
      </c>
      <c r="K8206">
        <f>LET(
    purpose,'Loan Tape (S&amp;P)'!R8206,
    IF(purpose="Purchase",1.00,
        IF(purpose="Remortgage",1.00,
            1.20)))</f>
        <v/>
      </c>
      <c r="L8206">
        <f>LET(
    arrears_months,'Loan Tape (S&amp;P)'!AN8206,
    IF(arrears_months=0,1.00,
    IF(arrears_months=1,3.00,
    IF(arrears_months=2,5.00,
    IF(arrears_months=3,8.00,
    IF(arrears_months=4,10.00,
    IF(arrears_months=5,12.00,15.00)))))))</f>
        <v/>
      </c>
      <c r="M8206">
        <f>LET(
    seasoning_years,DATEDIF('Loan Tape (S&amp;P)'!K8206,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06">
        <f>IF(AND('Loan Tape (S&amp;P)'!U8206="Yes",
        'Loan Tape (S&amp;P)'!T8206&lt;&gt;"Yes",
        DATEDIF('Loan Tape (S&amp;P)'!K8206, TODAY(), "M")&lt;18),
    1.10,
    1.00)</f>
        <v/>
      </c>
      <c r="O8206">
        <f>IF('Loan Tape (S&amp;P)'!T8206="Yes",
    1.35,
    1.00)</f>
        <v/>
      </c>
      <c r="P8206">
        <f>IF('Loan Tape (S&amp;P)'!S8206="Yes",
    1.15,
    1.00)</f>
        <v/>
      </c>
      <c r="Q8206">
        <f>IF('Loan Tape (S&amp;P)'!V8206="Yes",
    1.20,
    1.00)</f>
        <v/>
      </c>
      <c r="T8206">
        <f>LET(
    payment_method,'Loan Tape (S&amp;P)'!P8206,
    occupancy,'Loan Tape (S&amp;P)'!N8206,
    maturity_date,'Loan Tape (S&amp;P)'!L8206,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07">
      <c r="J8207">
        <f>LET(
    lien,'Loan Tape (S&amp;P)'!Q8207,
    IF(lien="First",1.00,
        IF(lien="Second",1.50,
            1.70)))</f>
        <v/>
      </c>
      <c r="K8207">
        <f>LET(
    purpose,'Loan Tape (S&amp;P)'!R8207,
    IF(purpose="Purchase",1.00,
        IF(purpose="Remortgage",1.00,
            1.20)))</f>
        <v/>
      </c>
      <c r="L8207">
        <f>LET(
    arrears_months,'Loan Tape (S&amp;P)'!AN8207,
    IF(arrears_months=0,1.00,
    IF(arrears_months=1,3.00,
    IF(arrears_months=2,5.00,
    IF(arrears_months=3,8.00,
    IF(arrears_months=4,10.00,
    IF(arrears_months=5,12.00,15.00)))))))</f>
        <v/>
      </c>
      <c r="M8207">
        <f>LET(
    seasoning_years,DATEDIF('Loan Tape (S&amp;P)'!K8207,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07">
        <f>IF(AND('Loan Tape (S&amp;P)'!U8207="Yes",
        'Loan Tape (S&amp;P)'!T8207&lt;&gt;"Yes",
        DATEDIF('Loan Tape (S&amp;P)'!K8207, TODAY(), "M")&lt;18),
    1.10,
    1.00)</f>
        <v/>
      </c>
      <c r="O8207">
        <f>IF('Loan Tape (S&amp;P)'!T8207="Yes",
    1.35,
    1.00)</f>
        <v/>
      </c>
      <c r="P8207">
        <f>IF('Loan Tape (S&amp;P)'!S8207="Yes",
    1.15,
    1.00)</f>
        <v/>
      </c>
      <c r="Q8207">
        <f>IF('Loan Tape (S&amp;P)'!V8207="Yes",
    1.20,
    1.00)</f>
        <v/>
      </c>
      <c r="T8207">
        <f>LET(
    payment_method,'Loan Tape (S&amp;P)'!P8207,
    occupancy,'Loan Tape (S&amp;P)'!N8207,
    maturity_date,'Loan Tape (S&amp;P)'!L8207,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08">
      <c r="J8208">
        <f>LET(
    lien,'Loan Tape (S&amp;P)'!Q8208,
    IF(lien="First",1.00,
        IF(lien="Second",1.50,
            1.70)))</f>
        <v/>
      </c>
      <c r="K8208">
        <f>LET(
    purpose,'Loan Tape (S&amp;P)'!R8208,
    IF(purpose="Purchase",1.00,
        IF(purpose="Remortgage",1.00,
            1.20)))</f>
        <v/>
      </c>
      <c r="L8208">
        <f>LET(
    arrears_months,'Loan Tape (S&amp;P)'!AN8208,
    IF(arrears_months=0,1.00,
    IF(arrears_months=1,3.00,
    IF(arrears_months=2,5.00,
    IF(arrears_months=3,8.00,
    IF(arrears_months=4,10.00,
    IF(arrears_months=5,12.00,15.00)))))))</f>
        <v/>
      </c>
      <c r="M8208">
        <f>LET(
    seasoning_years,DATEDIF('Loan Tape (S&amp;P)'!K8208,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08">
        <f>IF(AND('Loan Tape (S&amp;P)'!U8208="Yes",
        'Loan Tape (S&amp;P)'!T8208&lt;&gt;"Yes",
        DATEDIF('Loan Tape (S&amp;P)'!K8208, TODAY(), "M")&lt;18),
    1.10,
    1.00)</f>
        <v/>
      </c>
      <c r="O8208">
        <f>IF('Loan Tape (S&amp;P)'!T8208="Yes",
    1.35,
    1.00)</f>
        <v/>
      </c>
      <c r="P8208">
        <f>IF('Loan Tape (S&amp;P)'!S8208="Yes",
    1.15,
    1.00)</f>
        <v/>
      </c>
      <c r="Q8208">
        <f>IF('Loan Tape (S&amp;P)'!V8208="Yes",
    1.20,
    1.00)</f>
        <v/>
      </c>
      <c r="T8208">
        <f>LET(
    payment_method,'Loan Tape (S&amp;P)'!P8208,
    occupancy,'Loan Tape (S&amp;P)'!N8208,
    maturity_date,'Loan Tape (S&amp;P)'!L8208,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09">
      <c r="J8209">
        <f>LET(
    lien,'Loan Tape (S&amp;P)'!Q8209,
    IF(lien="First",1.00,
        IF(lien="Second",1.50,
            1.70)))</f>
        <v/>
      </c>
      <c r="K8209">
        <f>LET(
    purpose,'Loan Tape (S&amp;P)'!R8209,
    IF(purpose="Purchase",1.00,
        IF(purpose="Remortgage",1.00,
            1.20)))</f>
        <v/>
      </c>
      <c r="L8209">
        <f>LET(
    arrears_months,'Loan Tape (S&amp;P)'!AN8209,
    IF(arrears_months=0,1.00,
    IF(arrears_months=1,3.00,
    IF(arrears_months=2,5.00,
    IF(arrears_months=3,8.00,
    IF(arrears_months=4,10.00,
    IF(arrears_months=5,12.00,15.00)))))))</f>
        <v/>
      </c>
      <c r="M8209">
        <f>LET(
    seasoning_years,DATEDIF('Loan Tape (S&amp;P)'!K8209,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09">
        <f>IF(AND('Loan Tape (S&amp;P)'!U8209="Yes",
        'Loan Tape (S&amp;P)'!T8209&lt;&gt;"Yes",
        DATEDIF('Loan Tape (S&amp;P)'!K8209, TODAY(), "M")&lt;18),
    1.10,
    1.00)</f>
        <v/>
      </c>
      <c r="O8209">
        <f>IF('Loan Tape (S&amp;P)'!T8209="Yes",
    1.35,
    1.00)</f>
        <v/>
      </c>
      <c r="P8209">
        <f>IF('Loan Tape (S&amp;P)'!S8209="Yes",
    1.15,
    1.00)</f>
        <v/>
      </c>
      <c r="Q8209">
        <f>IF('Loan Tape (S&amp;P)'!V8209="Yes",
    1.20,
    1.00)</f>
        <v/>
      </c>
      <c r="T8209">
        <f>LET(
    payment_method,'Loan Tape (S&amp;P)'!P8209,
    occupancy,'Loan Tape (S&amp;P)'!N8209,
    maturity_date,'Loan Tape (S&amp;P)'!L8209,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10">
      <c r="J8210">
        <f>LET(
    lien,'Loan Tape (S&amp;P)'!Q8210,
    IF(lien="First",1.00,
        IF(lien="Second",1.50,
            1.70)))</f>
        <v/>
      </c>
      <c r="K8210">
        <f>LET(
    purpose,'Loan Tape (S&amp;P)'!R8210,
    IF(purpose="Purchase",1.00,
        IF(purpose="Remortgage",1.00,
            1.20)))</f>
        <v/>
      </c>
      <c r="L8210">
        <f>LET(
    arrears_months,'Loan Tape (S&amp;P)'!AN8210,
    IF(arrears_months=0,1.00,
    IF(arrears_months=1,3.00,
    IF(arrears_months=2,5.00,
    IF(arrears_months=3,8.00,
    IF(arrears_months=4,10.00,
    IF(arrears_months=5,12.00,15.00)))))))</f>
        <v/>
      </c>
      <c r="M8210">
        <f>LET(
    seasoning_years,DATEDIF('Loan Tape (S&amp;P)'!K8210,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10">
        <f>IF(AND('Loan Tape (S&amp;P)'!U8210="Yes",
        'Loan Tape (S&amp;P)'!T8210&lt;&gt;"Yes",
        DATEDIF('Loan Tape (S&amp;P)'!K8210, TODAY(), "M")&lt;18),
    1.10,
    1.00)</f>
        <v/>
      </c>
      <c r="O8210">
        <f>IF('Loan Tape (S&amp;P)'!T8210="Yes",
    1.35,
    1.00)</f>
        <v/>
      </c>
      <c r="P8210">
        <f>IF('Loan Tape (S&amp;P)'!S8210="Yes",
    1.15,
    1.00)</f>
        <v/>
      </c>
      <c r="Q8210">
        <f>IF('Loan Tape (S&amp;P)'!V8210="Yes",
    1.20,
    1.00)</f>
        <v/>
      </c>
      <c r="T8210">
        <f>LET(
    payment_method,'Loan Tape (S&amp;P)'!P8210,
    occupancy,'Loan Tape (S&amp;P)'!N8210,
    maturity_date,'Loan Tape (S&amp;P)'!L8210,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11">
      <c r="J8211">
        <f>LET(
    lien,'Loan Tape (S&amp;P)'!Q8211,
    IF(lien="First",1.00,
        IF(lien="Second",1.50,
            1.70)))</f>
        <v/>
      </c>
      <c r="K8211">
        <f>LET(
    purpose,'Loan Tape (S&amp;P)'!R8211,
    IF(purpose="Purchase",1.00,
        IF(purpose="Remortgage",1.00,
            1.20)))</f>
        <v/>
      </c>
      <c r="L8211">
        <f>LET(
    arrears_months,'Loan Tape (S&amp;P)'!AN8211,
    IF(arrears_months=0,1.00,
    IF(arrears_months=1,3.00,
    IF(arrears_months=2,5.00,
    IF(arrears_months=3,8.00,
    IF(arrears_months=4,10.00,
    IF(arrears_months=5,12.00,15.00)))))))</f>
        <v/>
      </c>
      <c r="M8211">
        <f>LET(
    seasoning_years,DATEDIF('Loan Tape (S&amp;P)'!K8211,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11">
        <f>IF(AND('Loan Tape (S&amp;P)'!U8211="Yes",
        'Loan Tape (S&amp;P)'!T8211&lt;&gt;"Yes",
        DATEDIF('Loan Tape (S&amp;P)'!K8211, TODAY(), "M")&lt;18),
    1.10,
    1.00)</f>
        <v/>
      </c>
      <c r="O8211">
        <f>IF('Loan Tape (S&amp;P)'!T8211="Yes",
    1.35,
    1.00)</f>
        <v/>
      </c>
      <c r="P8211">
        <f>IF('Loan Tape (S&amp;P)'!S8211="Yes",
    1.15,
    1.00)</f>
        <v/>
      </c>
      <c r="Q8211">
        <f>IF('Loan Tape (S&amp;P)'!V8211="Yes",
    1.20,
    1.00)</f>
        <v/>
      </c>
      <c r="T8211">
        <f>LET(
    payment_method,'Loan Tape (S&amp;P)'!P8211,
    occupancy,'Loan Tape (S&amp;P)'!N8211,
    maturity_date,'Loan Tape (S&amp;P)'!L8211,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12">
      <c r="J8212">
        <f>LET(
    lien,'Loan Tape (S&amp;P)'!Q8212,
    IF(lien="First",1.00,
        IF(lien="Second",1.50,
            1.70)))</f>
        <v/>
      </c>
      <c r="K8212">
        <f>LET(
    purpose,'Loan Tape (S&amp;P)'!R8212,
    IF(purpose="Purchase",1.00,
        IF(purpose="Remortgage",1.00,
            1.20)))</f>
        <v/>
      </c>
      <c r="L8212">
        <f>LET(
    arrears_months,'Loan Tape (S&amp;P)'!AN8212,
    IF(arrears_months=0,1.00,
    IF(arrears_months=1,3.00,
    IF(arrears_months=2,5.00,
    IF(arrears_months=3,8.00,
    IF(arrears_months=4,10.00,
    IF(arrears_months=5,12.00,15.00)))))))</f>
        <v/>
      </c>
      <c r="M8212">
        <f>LET(
    seasoning_years,DATEDIF('Loan Tape (S&amp;P)'!K8212,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12">
        <f>IF(AND('Loan Tape (S&amp;P)'!U8212="Yes",
        'Loan Tape (S&amp;P)'!T8212&lt;&gt;"Yes",
        DATEDIF('Loan Tape (S&amp;P)'!K8212, TODAY(), "M")&lt;18),
    1.10,
    1.00)</f>
        <v/>
      </c>
      <c r="O8212">
        <f>IF('Loan Tape (S&amp;P)'!T8212="Yes",
    1.35,
    1.00)</f>
        <v/>
      </c>
      <c r="P8212">
        <f>IF('Loan Tape (S&amp;P)'!S8212="Yes",
    1.15,
    1.00)</f>
        <v/>
      </c>
      <c r="Q8212">
        <f>IF('Loan Tape (S&amp;P)'!V8212="Yes",
    1.20,
    1.00)</f>
        <v/>
      </c>
      <c r="T8212">
        <f>LET(
    payment_method,'Loan Tape (S&amp;P)'!P8212,
    occupancy,'Loan Tape (S&amp;P)'!N8212,
    maturity_date,'Loan Tape (S&amp;P)'!L8212,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13">
      <c r="J8213">
        <f>LET(
    lien,'Loan Tape (S&amp;P)'!Q8213,
    IF(lien="First",1.00,
        IF(lien="Second",1.50,
            1.70)))</f>
        <v/>
      </c>
      <c r="K8213">
        <f>LET(
    purpose,'Loan Tape (S&amp;P)'!R8213,
    IF(purpose="Purchase",1.00,
        IF(purpose="Remortgage",1.00,
            1.20)))</f>
        <v/>
      </c>
      <c r="L8213">
        <f>LET(
    arrears_months,'Loan Tape (S&amp;P)'!AN8213,
    IF(arrears_months=0,1.00,
    IF(arrears_months=1,3.00,
    IF(arrears_months=2,5.00,
    IF(arrears_months=3,8.00,
    IF(arrears_months=4,10.00,
    IF(arrears_months=5,12.00,15.00)))))))</f>
        <v/>
      </c>
      <c r="M8213">
        <f>LET(
    seasoning_years,DATEDIF('Loan Tape (S&amp;P)'!K8213,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13">
        <f>IF(AND('Loan Tape (S&amp;P)'!U8213="Yes",
        'Loan Tape (S&amp;P)'!T8213&lt;&gt;"Yes",
        DATEDIF('Loan Tape (S&amp;P)'!K8213, TODAY(), "M")&lt;18),
    1.10,
    1.00)</f>
        <v/>
      </c>
      <c r="O8213">
        <f>IF('Loan Tape (S&amp;P)'!T8213="Yes",
    1.35,
    1.00)</f>
        <v/>
      </c>
      <c r="P8213">
        <f>IF('Loan Tape (S&amp;P)'!S8213="Yes",
    1.15,
    1.00)</f>
        <v/>
      </c>
      <c r="Q8213">
        <f>IF('Loan Tape (S&amp;P)'!V8213="Yes",
    1.20,
    1.00)</f>
        <v/>
      </c>
      <c r="T8213">
        <f>LET(
    payment_method,'Loan Tape (S&amp;P)'!P8213,
    occupancy,'Loan Tape (S&amp;P)'!N8213,
    maturity_date,'Loan Tape (S&amp;P)'!L8213,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14">
      <c r="J8214">
        <f>LET(
    lien,'Loan Tape (S&amp;P)'!Q8214,
    IF(lien="First",1.00,
        IF(lien="Second",1.50,
            1.70)))</f>
        <v/>
      </c>
      <c r="K8214">
        <f>LET(
    purpose,'Loan Tape (S&amp;P)'!R8214,
    IF(purpose="Purchase",1.00,
        IF(purpose="Remortgage",1.00,
            1.20)))</f>
        <v/>
      </c>
      <c r="L8214">
        <f>LET(
    arrears_months,'Loan Tape (S&amp;P)'!AN8214,
    IF(arrears_months=0,1.00,
    IF(arrears_months=1,3.00,
    IF(arrears_months=2,5.00,
    IF(arrears_months=3,8.00,
    IF(arrears_months=4,10.00,
    IF(arrears_months=5,12.00,15.00)))))))</f>
        <v/>
      </c>
      <c r="M8214">
        <f>LET(
    seasoning_years,DATEDIF('Loan Tape (S&amp;P)'!K8214,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14">
        <f>IF(AND('Loan Tape (S&amp;P)'!U8214="Yes",
        'Loan Tape (S&amp;P)'!T8214&lt;&gt;"Yes",
        DATEDIF('Loan Tape (S&amp;P)'!K8214, TODAY(), "M")&lt;18),
    1.10,
    1.00)</f>
        <v/>
      </c>
      <c r="O8214">
        <f>IF('Loan Tape (S&amp;P)'!T8214="Yes",
    1.35,
    1.00)</f>
        <v/>
      </c>
      <c r="P8214">
        <f>IF('Loan Tape (S&amp;P)'!S8214="Yes",
    1.15,
    1.00)</f>
        <v/>
      </c>
      <c r="Q8214">
        <f>IF('Loan Tape (S&amp;P)'!V8214="Yes",
    1.20,
    1.00)</f>
        <v/>
      </c>
      <c r="T8214">
        <f>LET(
    payment_method,'Loan Tape (S&amp;P)'!P8214,
    occupancy,'Loan Tape (S&amp;P)'!N8214,
    maturity_date,'Loan Tape (S&amp;P)'!L8214,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15">
      <c r="J8215">
        <f>LET(
    lien,'Loan Tape (S&amp;P)'!Q8215,
    IF(lien="First",1.00,
        IF(lien="Second",1.50,
            1.70)))</f>
        <v/>
      </c>
      <c r="K8215">
        <f>LET(
    purpose,'Loan Tape (S&amp;P)'!R8215,
    IF(purpose="Purchase",1.00,
        IF(purpose="Remortgage",1.00,
            1.20)))</f>
        <v/>
      </c>
      <c r="L8215">
        <f>LET(
    arrears_months,'Loan Tape (S&amp;P)'!AN8215,
    IF(arrears_months=0,1.00,
    IF(arrears_months=1,3.00,
    IF(arrears_months=2,5.00,
    IF(arrears_months=3,8.00,
    IF(arrears_months=4,10.00,
    IF(arrears_months=5,12.00,15.00)))))))</f>
        <v/>
      </c>
      <c r="M8215">
        <f>LET(
    seasoning_years,DATEDIF('Loan Tape (S&amp;P)'!K8215,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15">
        <f>IF(AND('Loan Tape (S&amp;P)'!U8215="Yes",
        'Loan Tape (S&amp;P)'!T8215&lt;&gt;"Yes",
        DATEDIF('Loan Tape (S&amp;P)'!K8215, TODAY(), "M")&lt;18),
    1.10,
    1.00)</f>
        <v/>
      </c>
      <c r="O8215">
        <f>IF('Loan Tape (S&amp;P)'!T8215="Yes",
    1.35,
    1.00)</f>
        <v/>
      </c>
      <c r="P8215">
        <f>IF('Loan Tape (S&amp;P)'!S8215="Yes",
    1.15,
    1.00)</f>
        <v/>
      </c>
      <c r="Q8215">
        <f>IF('Loan Tape (S&amp;P)'!V8215="Yes",
    1.20,
    1.00)</f>
        <v/>
      </c>
      <c r="T8215">
        <f>LET(
    payment_method,'Loan Tape (S&amp;P)'!P8215,
    occupancy,'Loan Tape (S&amp;P)'!N8215,
    maturity_date,'Loan Tape (S&amp;P)'!L8215,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16">
      <c r="J8216">
        <f>LET(
    lien,'Loan Tape (S&amp;P)'!Q8216,
    IF(lien="First",1.00,
        IF(lien="Second",1.50,
            1.70)))</f>
        <v/>
      </c>
      <c r="K8216">
        <f>LET(
    purpose,'Loan Tape (S&amp;P)'!R8216,
    IF(purpose="Purchase",1.00,
        IF(purpose="Remortgage",1.00,
            1.20)))</f>
        <v/>
      </c>
      <c r="L8216">
        <f>LET(
    arrears_months,'Loan Tape (S&amp;P)'!AN8216,
    IF(arrears_months=0,1.00,
    IF(arrears_months=1,3.00,
    IF(arrears_months=2,5.00,
    IF(arrears_months=3,8.00,
    IF(arrears_months=4,10.00,
    IF(arrears_months=5,12.00,15.00)))))))</f>
        <v/>
      </c>
      <c r="M8216">
        <f>LET(
    seasoning_years,DATEDIF('Loan Tape (S&amp;P)'!K8216,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16">
        <f>IF(AND('Loan Tape (S&amp;P)'!U8216="Yes",
        'Loan Tape (S&amp;P)'!T8216&lt;&gt;"Yes",
        DATEDIF('Loan Tape (S&amp;P)'!K8216, TODAY(), "M")&lt;18),
    1.10,
    1.00)</f>
        <v/>
      </c>
      <c r="O8216">
        <f>IF('Loan Tape (S&amp;P)'!T8216="Yes",
    1.35,
    1.00)</f>
        <v/>
      </c>
      <c r="P8216">
        <f>IF('Loan Tape (S&amp;P)'!S8216="Yes",
    1.15,
    1.00)</f>
        <v/>
      </c>
      <c r="Q8216">
        <f>IF('Loan Tape (S&amp;P)'!V8216="Yes",
    1.20,
    1.00)</f>
        <v/>
      </c>
      <c r="T8216">
        <f>LET(
    payment_method,'Loan Tape (S&amp;P)'!P8216,
    occupancy,'Loan Tape (S&amp;P)'!N8216,
    maturity_date,'Loan Tape (S&amp;P)'!L8216,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17">
      <c r="J8217">
        <f>LET(
    lien,'Loan Tape (S&amp;P)'!Q8217,
    IF(lien="First",1.00,
        IF(lien="Second",1.50,
            1.70)))</f>
        <v/>
      </c>
      <c r="K8217">
        <f>LET(
    purpose,'Loan Tape (S&amp;P)'!R8217,
    IF(purpose="Purchase",1.00,
        IF(purpose="Remortgage",1.00,
            1.20)))</f>
        <v/>
      </c>
      <c r="L8217">
        <f>LET(
    arrears_months,'Loan Tape (S&amp;P)'!AN8217,
    IF(arrears_months=0,1.00,
    IF(arrears_months=1,3.00,
    IF(arrears_months=2,5.00,
    IF(arrears_months=3,8.00,
    IF(arrears_months=4,10.00,
    IF(arrears_months=5,12.00,15.00)))))))</f>
        <v/>
      </c>
      <c r="M8217">
        <f>LET(
    seasoning_years,DATEDIF('Loan Tape (S&amp;P)'!K8217,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17">
        <f>IF(AND('Loan Tape (S&amp;P)'!U8217="Yes",
        'Loan Tape (S&amp;P)'!T8217&lt;&gt;"Yes",
        DATEDIF('Loan Tape (S&amp;P)'!K8217, TODAY(), "M")&lt;18),
    1.10,
    1.00)</f>
        <v/>
      </c>
      <c r="O8217">
        <f>IF('Loan Tape (S&amp;P)'!T8217="Yes",
    1.35,
    1.00)</f>
        <v/>
      </c>
      <c r="P8217">
        <f>IF('Loan Tape (S&amp;P)'!S8217="Yes",
    1.15,
    1.00)</f>
        <v/>
      </c>
      <c r="Q8217">
        <f>IF('Loan Tape (S&amp;P)'!V8217="Yes",
    1.20,
    1.00)</f>
        <v/>
      </c>
      <c r="T8217">
        <f>LET(
    payment_method,'Loan Tape (S&amp;P)'!P8217,
    occupancy,'Loan Tape (S&amp;P)'!N8217,
    maturity_date,'Loan Tape (S&amp;P)'!L8217,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18">
      <c r="J8218">
        <f>LET(
    lien,'Loan Tape (S&amp;P)'!Q8218,
    IF(lien="First",1.00,
        IF(lien="Second",1.50,
            1.70)))</f>
        <v/>
      </c>
      <c r="K8218">
        <f>LET(
    purpose,'Loan Tape (S&amp;P)'!R8218,
    IF(purpose="Purchase",1.00,
        IF(purpose="Remortgage",1.00,
            1.20)))</f>
        <v/>
      </c>
      <c r="L8218">
        <f>LET(
    arrears_months,'Loan Tape (S&amp;P)'!AN8218,
    IF(arrears_months=0,1.00,
    IF(arrears_months=1,3.00,
    IF(arrears_months=2,5.00,
    IF(arrears_months=3,8.00,
    IF(arrears_months=4,10.00,
    IF(arrears_months=5,12.00,15.00)))))))</f>
        <v/>
      </c>
      <c r="M8218">
        <f>LET(
    seasoning_years,DATEDIF('Loan Tape (S&amp;P)'!K8218,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18">
        <f>IF(AND('Loan Tape (S&amp;P)'!U8218="Yes",
        'Loan Tape (S&amp;P)'!T8218&lt;&gt;"Yes",
        DATEDIF('Loan Tape (S&amp;P)'!K8218, TODAY(), "M")&lt;18),
    1.10,
    1.00)</f>
        <v/>
      </c>
      <c r="O8218">
        <f>IF('Loan Tape (S&amp;P)'!T8218="Yes",
    1.35,
    1.00)</f>
        <v/>
      </c>
      <c r="P8218">
        <f>IF('Loan Tape (S&amp;P)'!S8218="Yes",
    1.15,
    1.00)</f>
        <v/>
      </c>
      <c r="Q8218">
        <f>IF('Loan Tape (S&amp;P)'!V8218="Yes",
    1.20,
    1.00)</f>
        <v/>
      </c>
      <c r="T8218">
        <f>LET(
    payment_method,'Loan Tape (S&amp;P)'!P8218,
    occupancy,'Loan Tape (S&amp;P)'!N8218,
    maturity_date,'Loan Tape (S&amp;P)'!L8218,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19">
      <c r="J8219">
        <f>LET(
    lien,'Loan Tape (S&amp;P)'!Q8219,
    IF(lien="First",1.00,
        IF(lien="Second",1.50,
            1.70)))</f>
        <v/>
      </c>
      <c r="K8219">
        <f>LET(
    purpose,'Loan Tape (S&amp;P)'!R8219,
    IF(purpose="Purchase",1.00,
        IF(purpose="Remortgage",1.00,
            1.20)))</f>
        <v/>
      </c>
      <c r="L8219">
        <f>LET(
    arrears_months,'Loan Tape (S&amp;P)'!AN8219,
    IF(arrears_months=0,1.00,
    IF(arrears_months=1,3.00,
    IF(arrears_months=2,5.00,
    IF(arrears_months=3,8.00,
    IF(arrears_months=4,10.00,
    IF(arrears_months=5,12.00,15.00)))))))</f>
        <v/>
      </c>
      <c r="M8219">
        <f>LET(
    seasoning_years,DATEDIF('Loan Tape (S&amp;P)'!K8219,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19">
        <f>IF(AND('Loan Tape (S&amp;P)'!U8219="Yes",
        'Loan Tape (S&amp;P)'!T8219&lt;&gt;"Yes",
        DATEDIF('Loan Tape (S&amp;P)'!K8219, TODAY(), "M")&lt;18),
    1.10,
    1.00)</f>
        <v/>
      </c>
      <c r="O8219">
        <f>IF('Loan Tape (S&amp;P)'!T8219="Yes",
    1.35,
    1.00)</f>
        <v/>
      </c>
      <c r="P8219">
        <f>IF('Loan Tape (S&amp;P)'!S8219="Yes",
    1.15,
    1.00)</f>
        <v/>
      </c>
      <c r="Q8219">
        <f>IF('Loan Tape (S&amp;P)'!V8219="Yes",
    1.20,
    1.00)</f>
        <v/>
      </c>
      <c r="T8219">
        <f>LET(
    payment_method,'Loan Tape (S&amp;P)'!P8219,
    occupancy,'Loan Tape (S&amp;P)'!N8219,
    maturity_date,'Loan Tape (S&amp;P)'!L8219,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20">
      <c r="J8220">
        <f>LET(
    lien,'Loan Tape (S&amp;P)'!Q8220,
    IF(lien="First",1.00,
        IF(lien="Second",1.50,
            1.70)))</f>
        <v/>
      </c>
      <c r="K8220">
        <f>LET(
    purpose,'Loan Tape (S&amp;P)'!R8220,
    IF(purpose="Purchase",1.00,
        IF(purpose="Remortgage",1.00,
            1.20)))</f>
        <v/>
      </c>
      <c r="L8220">
        <f>LET(
    arrears_months,'Loan Tape (S&amp;P)'!AN8220,
    IF(arrears_months=0,1.00,
    IF(arrears_months=1,3.00,
    IF(arrears_months=2,5.00,
    IF(arrears_months=3,8.00,
    IF(arrears_months=4,10.00,
    IF(arrears_months=5,12.00,15.00)))))))</f>
        <v/>
      </c>
      <c r="M8220">
        <f>LET(
    seasoning_years,DATEDIF('Loan Tape (S&amp;P)'!K8220,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20">
        <f>IF(AND('Loan Tape (S&amp;P)'!U8220="Yes",
        'Loan Tape (S&amp;P)'!T8220&lt;&gt;"Yes",
        DATEDIF('Loan Tape (S&amp;P)'!K8220, TODAY(), "M")&lt;18),
    1.10,
    1.00)</f>
        <v/>
      </c>
      <c r="O8220">
        <f>IF('Loan Tape (S&amp;P)'!T8220="Yes",
    1.35,
    1.00)</f>
        <v/>
      </c>
      <c r="P8220">
        <f>IF('Loan Tape (S&amp;P)'!S8220="Yes",
    1.15,
    1.00)</f>
        <v/>
      </c>
      <c r="Q8220">
        <f>IF('Loan Tape (S&amp;P)'!V8220="Yes",
    1.20,
    1.00)</f>
        <v/>
      </c>
      <c r="T8220">
        <f>LET(
    payment_method,'Loan Tape (S&amp;P)'!P8220,
    occupancy,'Loan Tape (S&amp;P)'!N8220,
    maturity_date,'Loan Tape (S&amp;P)'!L8220,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21">
      <c r="J8221">
        <f>LET(
    lien,'Loan Tape (S&amp;P)'!Q8221,
    IF(lien="First",1.00,
        IF(lien="Second",1.50,
            1.70)))</f>
        <v/>
      </c>
      <c r="K8221">
        <f>LET(
    purpose,'Loan Tape (S&amp;P)'!R8221,
    IF(purpose="Purchase",1.00,
        IF(purpose="Remortgage",1.00,
            1.20)))</f>
        <v/>
      </c>
      <c r="L8221">
        <f>LET(
    arrears_months,'Loan Tape (S&amp;P)'!AN8221,
    IF(arrears_months=0,1.00,
    IF(arrears_months=1,3.00,
    IF(arrears_months=2,5.00,
    IF(arrears_months=3,8.00,
    IF(arrears_months=4,10.00,
    IF(arrears_months=5,12.00,15.00)))))))</f>
        <v/>
      </c>
      <c r="M8221">
        <f>LET(
    seasoning_years,DATEDIF('Loan Tape (S&amp;P)'!K8221,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21">
        <f>IF(AND('Loan Tape (S&amp;P)'!U8221="Yes",
        'Loan Tape (S&amp;P)'!T8221&lt;&gt;"Yes",
        DATEDIF('Loan Tape (S&amp;P)'!K8221, TODAY(), "M")&lt;18),
    1.10,
    1.00)</f>
        <v/>
      </c>
      <c r="O8221">
        <f>IF('Loan Tape (S&amp;P)'!T8221="Yes",
    1.35,
    1.00)</f>
        <v/>
      </c>
      <c r="P8221">
        <f>IF('Loan Tape (S&amp;P)'!S8221="Yes",
    1.15,
    1.00)</f>
        <v/>
      </c>
      <c r="Q8221">
        <f>IF('Loan Tape (S&amp;P)'!V8221="Yes",
    1.20,
    1.00)</f>
        <v/>
      </c>
      <c r="T8221">
        <f>LET(
    payment_method,'Loan Tape (S&amp;P)'!P8221,
    occupancy,'Loan Tape (S&amp;P)'!N8221,
    maturity_date,'Loan Tape (S&amp;P)'!L8221,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22">
      <c r="J8222">
        <f>LET(
    lien,'Loan Tape (S&amp;P)'!Q8222,
    IF(lien="First",1.00,
        IF(lien="Second",1.50,
            1.70)))</f>
        <v/>
      </c>
      <c r="K8222">
        <f>LET(
    purpose,'Loan Tape (S&amp;P)'!R8222,
    IF(purpose="Purchase",1.00,
        IF(purpose="Remortgage",1.00,
            1.20)))</f>
        <v/>
      </c>
      <c r="L8222">
        <f>LET(
    arrears_months,'Loan Tape (S&amp;P)'!AN8222,
    IF(arrears_months=0,1.00,
    IF(arrears_months=1,3.00,
    IF(arrears_months=2,5.00,
    IF(arrears_months=3,8.00,
    IF(arrears_months=4,10.00,
    IF(arrears_months=5,12.00,15.00)))))))</f>
        <v/>
      </c>
      <c r="M8222">
        <f>LET(
    seasoning_years,DATEDIF('Loan Tape (S&amp;P)'!K8222,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22">
        <f>IF(AND('Loan Tape (S&amp;P)'!U8222="Yes",
        'Loan Tape (S&amp;P)'!T8222&lt;&gt;"Yes",
        DATEDIF('Loan Tape (S&amp;P)'!K8222, TODAY(), "M")&lt;18),
    1.10,
    1.00)</f>
        <v/>
      </c>
      <c r="O8222">
        <f>IF('Loan Tape (S&amp;P)'!T8222="Yes",
    1.35,
    1.00)</f>
        <v/>
      </c>
      <c r="P8222">
        <f>IF('Loan Tape (S&amp;P)'!S8222="Yes",
    1.15,
    1.00)</f>
        <v/>
      </c>
      <c r="Q8222">
        <f>IF('Loan Tape (S&amp;P)'!V8222="Yes",
    1.20,
    1.00)</f>
        <v/>
      </c>
      <c r="T8222">
        <f>LET(
    payment_method,'Loan Tape (S&amp;P)'!P8222,
    occupancy,'Loan Tape (S&amp;P)'!N8222,
    maturity_date,'Loan Tape (S&amp;P)'!L8222,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23">
      <c r="J8223">
        <f>LET(
    lien,'Loan Tape (S&amp;P)'!Q8223,
    IF(lien="First",1.00,
        IF(lien="Second",1.50,
            1.70)))</f>
        <v/>
      </c>
      <c r="K8223">
        <f>LET(
    purpose,'Loan Tape (S&amp;P)'!R8223,
    IF(purpose="Purchase",1.00,
        IF(purpose="Remortgage",1.00,
            1.20)))</f>
        <v/>
      </c>
      <c r="L8223">
        <f>LET(
    arrears_months,'Loan Tape (S&amp;P)'!AN8223,
    IF(arrears_months=0,1.00,
    IF(arrears_months=1,3.00,
    IF(arrears_months=2,5.00,
    IF(arrears_months=3,8.00,
    IF(arrears_months=4,10.00,
    IF(arrears_months=5,12.00,15.00)))))))</f>
        <v/>
      </c>
      <c r="M8223">
        <f>LET(
    seasoning_years,DATEDIF('Loan Tape (S&amp;P)'!K8223,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23">
        <f>IF(AND('Loan Tape (S&amp;P)'!U8223="Yes",
        'Loan Tape (S&amp;P)'!T8223&lt;&gt;"Yes",
        DATEDIF('Loan Tape (S&amp;P)'!K8223, TODAY(), "M")&lt;18),
    1.10,
    1.00)</f>
        <v/>
      </c>
      <c r="O8223">
        <f>IF('Loan Tape (S&amp;P)'!T8223="Yes",
    1.35,
    1.00)</f>
        <v/>
      </c>
      <c r="P8223">
        <f>IF('Loan Tape (S&amp;P)'!S8223="Yes",
    1.15,
    1.00)</f>
        <v/>
      </c>
      <c r="Q8223">
        <f>IF('Loan Tape (S&amp;P)'!V8223="Yes",
    1.20,
    1.00)</f>
        <v/>
      </c>
      <c r="T8223">
        <f>LET(
    payment_method,'Loan Tape (S&amp;P)'!P8223,
    occupancy,'Loan Tape (S&amp;P)'!N8223,
    maturity_date,'Loan Tape (S&amp;P)'!L8223,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24">
      <c r="J8224">
        <f>LET(
    lien,'Loan Tape (S&amp;P)'!Q8224,
    IF(lien="First",1.00,
        IF(lien="Second",1.50,
            1.70)))</f>
        <v/>
      </c>
      <c r="K8224">
        <f>LET(
    purpose,'Loan Tape (S&amp;P)'!R8224,
    IF(purpose="Purchase",1.00,
        IF(purpose="Remortgage",1.00,
            1.20)))</f>
        <v/>
      </c>
      <c r="L8224">
        <f>LET(
    arrears_months,'Loan Tape (S&amp;P)'!AN8224,
    IF(arrears_months=0,1.00,
    IF(arrears_months=1,3.00,
    IF(arrears_months=2,5.00,
    IF(arrears_months=3,8.00,
    IF(arrears_months=4,10.00,
    IF(arrears_months=5,12.00,15.00)))))))</f>
        <v/>
      </c>
      <c r="M8224">
        <f>LET(
    seasoning_years,DATEDIF('Loan Tape (S&amp;P)'!K8224,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24">
        <f>IF(AND('Loan Tape (S&amp;P)'!U8224="Yes",
        'Loan Tape (S&amp;P)'!T8224&lt;&gt;"Yes",
        DATEDIF('Loan Tape (S&amp;P)'!K8224, TODAY(), "M")&lt;18),
    1.10,
    1.00)</f>
        <v/>
      </c>
      <c r="O8224">
        <f>IF('Loan Tape (S&amp;P)'!T8224="Yes",
    1.35,
    1.00)</f>
        <v/>
      </c>
      <c r="P8224">
        <f>IF('Loan Tape (S&amp;P)'!S8224="Yes",
    1.15,
    1.00)</f>
        <v/>
      </c>
      <c r="Q8224">
        <f>IF('Loan Tape (S&amp;P)'!V8224="Yes",
    1.20,
    1.00)</f>
        <v/>
      </c>
      <c r="T8224">
        <f>LET(
    payment_method,'Loan Tape (S&amp;P)'!P8224,
    occupancy,'Loan Tape (S&amp;P)'!N8224,
    maturity_date,'Loan Tape (S&amp;P)'!L8224,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25">
      <c r="J8225">
        <f>LET(
    lien,'Loan Tape (S&amp;P)'!Q8225,
    IF(lien="First",1.00,
        IF(lien="Second",1.50,
            1.70)))</f>
        <v/>
      </c>
      <c r="K8225">
        <f>LET(
    purpose,'Loan Tape (S&amp;P)'!R8225,
    IF(purpose="Purchase",1.00,
        IF(purpose="Remortgage",1.00,
            1.20)))</f>
        <v/>
      </c>
      <c r="L8225">
        <f>LET(
    arrears_months,'Loan Tape (S&amp;P)'!AN8225,
    IF(arrears_months=0,1.00,
    IF(arrears_months=1,3.00,
    IF(arrears_months=2,5.00,
    IF(arrears_months=3,8.00,
    IF(arrears_months=4,10.00,
    IF(arrears_months=5,12.00,15.00)))))))</f>
        <v/>
      </c>
      <c r="M8225">
        <f>LET(
    seasoning_years,DATEDIF('Loan Tape (S&amp;P)'!K8225,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25">
        <f>IF(AND('Loan Tape (S&amp;P)'!U8225="Yes",
        'Loan Tape (S&amp;P)'!T8225&lt;&gt;"Yes",
        DATEDIF('Loan Tape (S&amp;P)'!K8225, TODAY(), "M")&lt;18),
    1.10,
    1.00)</f>
        <v/>
      </c>
      <c r="O8225">
        <f>IF('Loan Tape (S&amp;P)'!T8225="Yes",
    1.35,
    1.00)</f>
        <v/>
      </c>
      <c r="P8225">
        <f>IF('Loan Tape (S&amp;P)'!S8225="Yes",
    1.15,
    1.00)</f>
        <v/>
      </c>
      <c r="Q8225">
        <f>IF('Loan Tape (S&amp;P)'!V8225="Yes",
    1.20,
    1.00)</f>
        <v/>
      </c>
      <c r="T8225">
        <f>LET(
    payment_method,'Loan Tape (S&amp;P)'!P8225,
    occupancy,'Loan Tape (S&amp;P)'!N8225,
    maturity_date,'Loan Tape (S&amp;P)'!L8225,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26">
      <c r="J8226">
        <f>LET(
    lien,'Loan Tape (S&amp;P)'!Q8226,
    IF(lien="First",1.00,
        IF(lien="Second",1.50,
            1.70)))</f>
        <v/>
      </c>
      <c r="K8226">
        <f>LET(
    purpose,'Loan Tape (S&amp;P)'!R8226,
    IF(purpose="Purchase",1.00,
        IF(purpose="Remortgage",1.00,
            1.20)))</f>
        <v/>
      </c>
      <c r="L8226">
        <f>LET(
    arrears_months,'Loan Tape (S&amp;P)'!AN8226,
    IF(arrears_months=0,1.00,
    IF(arrears_months=1,3.00,
    IF(arrears_months=2,5.00,
    IF(arrears_months=3,8.00,
    IF(arrears_months=4,10.00,
    IF(arrears_months=5,12.00,15.00)))))))</f>
        <v/>
      </c>
      <c r="M8226">
        <f>LET(
    seasoning_years,DATEDIF('Loan Tape (S&amp;P)'!K8226,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26">
        <f>IF(AND('Loan Tape (S&amp;P)'!U8226="Yes",
        'Loan Tape (S&amp;P)'!T8226&lt;&gt;"Yes",
        DATEDIF('Loan Tape (S&amp;P)'!K8226, TODAY(), "M")&lt;18),
    1.10,
    1.00)</f>
        <v/>
      </c>
      <c r="O8226">
        <f>IF('Loan Tape (S&amp;P)'!T8226="Yes",
    1.35,
    1.00)</f>
        <v/>
      </c>
      <c r="P8226">
        <f>IF('Loan Tape (S&amp;P)'!S8226="Yes",
    1.15,
    1.00)</f>
        <v/>
      </c>
      <c r="Q8226">
        <f>IF('Loan Tape (S&amp;P)'!V8226="Yes",
    1.20,
    1.00)</f>
        <v/>
      </c>
      <c r="T8226">
        <f>LET(
    payment_method,'Loan Tape (S&amp;P)'!P8226,
    occupancy,'Loan Tape (S&amp;P)'!N8226,
    maturity_date,'Loan Tape (S&amp;P)'!L8226,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27">
      <c r="J8227">
        <f>LET(
    lien,'Loan Tape (S&amp;P)'!Q8227,
    IF(lien="First",1.00,
        IF(lien="Second",1.50,
            1.70)))</f>
        <v/>
      </c>
      <c r="K8227">
        <f>LET(
    purpose,'Loan Tape (S&amp;P)'!R8227,
    IF(purpose="Purchase",1.00,
        IF(purpose="Remortgage",1.00,
            1.20)))</f>
        <v/>
      </c>
      <c r="L8227">
        <f>LET(
    arrears_months,'Loan Tape (S&amp;P)'!AN8227,
    IF(arrears_months=0,1.00,
    IF(arrears_months=1,3.00,
    IF(arrears_months=2,5.00,
    IF(arrears_months=3,8.00,
    IF(arrears_months=4,10.00,
    IF(arrears_months=5,12.00,15.00)))))))</f>
        <v/>
      </c>
      <c r="M8227">
        <f>LET(
    seasoning_years,DATEDIF('Loan Tape (S&amp;P)'!K8227,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27">
        <f>IF(AND('Loan Tape (S&amp;P)'!U8227="Yes",
        'Loan Tape (S&amp;P)'!T8227&lt;&gt;"Yes",
        DATEDIF('Loan Tape (S&amp;P)'!K8227, TODAY(), "M")&lt;18),
    1.10,
    1.00)</f>
        <v/>
      </c>
      <c r="O8227">
        <f>IF('Loan Tape (S&amp;P)'!T8227="Yes",
    1.35,
    1.00)</f>
        <v/>
      </c>
      <c r="P8227">
        <f>IF('Loan Tape (S&amp;P)'!S8227="Yes",
    1.15,
    1.00)</f>
        <v/>
      </c>
      <c r="Q8227">
        <f>IF('Loan Tape (S&amp;P)'!V8227="Yes",
    1.20,
    1.00)</f>
        <v/>
      </c>
      <c r="T8227">
        <f>LET(
    payment_method,'Loan Tape (S&amp;P)'!P8227,
    occupancy,'Loan Tape (S&amp;P)'!N8227,
    maturity_date,'Loan Tape (S&amp;P)'!L8227,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28">
      <c r="J8228">
        <f>LET(
    lien,'Loan Tape (S&amp;P)'!Q8228,
    IF(lien="First",1.00,
        IF(lien="Second",1.50,
            1.70)))</f>
        <v/>
      </c>
      <c r="K8228">
        <f>LET(
    purpose,'Loan Tape (S&amp;P)'!R8228,
    IF(purpose="Purchase",1.00,
        IF(purpose="Remortgage",1.00,
            1.20)))</f>
        <v/>
      </c>
      <c r="L8228">
        <f>LET(
    arrears_months,'Loan Tape (S&amp;P)'!AN8228,
    IF(arrears_months=0,1.00,
    IF(arrears_months=1,3.00,
    IF(arrears_months=2,5.00,
    IF(arrears_months=3,8.00,
    IF(arrears_months=4,10.00,
    IF(arrears_months=5,12.00,15.00)))))))</f>
        <v/>
      </c>
      <c r="M8228">
        <f>LET(
    seasoning_years,DATEDIF('Loan Tape (S&amp;P)'!K8228,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28">
        <f>IF(AND('Loan Tape (S&amp;P)'!U8228="Yes",
        'Loan Tape (S&amp;P)'!T8228&lt;&gt;"Yes",
        DATEDIF('Loan Tape (S&amp;P)'!K8228, TODAY(), "M")&lt;18),
    1.10,
    1.00)</f>
        <v/>
      </c>
      <c r="O8228">
        <f>IF('Loan Tape (S&amp;P)'!T8228="Yes",
    1.35,
    1.00)</f>
        <v/>
      </c>
      <c r="P8228">
        <f>IF('Loan Tape (S&amp;P)'!S8228="Yes",
    1.15,
    1.00)</f>
        <v/>
      </c>
      <c r="Q8228">
        <f>IF('Loan Tape (S&amp;P)'!V8228="Yes",
    1.20,
    1.00)</f>
        <v/>
      </c>
      <c r="T8228">
        <f>LET(
    payment_method,'Loan Tape (S&amp;P)'!P8228,
    occupancy,'Loan Tape (S&amp;P)'!N8228,
    maturity_date,'Loan Tape (S&amp;P)'!L8228,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29">
      <c r="J8229">
        <f>LET(
    lien,'Loan Tape (S&amp;P)'!Q8229,
    IF(lien="First",1.00,
        IF(lien="Second",1.50,
            1.70)))</f>
        <v/>
      </c>
      <c r="K8229">
        <f>LET(
    purpose,'Loan Tape (S&amp;P)'!R8229,
    IF(purpose="Purchase",1.00,
        IF(purpose="Remortgage",1.00,
            1.20)))</f>
        <v/>
      </c>
      <c r="L8229">
        <f>LET(
    arrears_months,'Loan Tape (S&amp;P)'!AN8229,
    IF(arrears_months=0,1.00,
    IF(arrears_months=1,3.00,
    IF(arrears_months=2,5.00,
    IF(arrears_months=3,8.00,
    IF(arrears_months=4,10.00,
    IF(arrears_months=5,12.00,15.00)))))))</f>
        <v/>
      </c>
      <c r="M8229">
        <f>LET(
    seasoning_years,DATEDIF('Loan Tape (S&amp;P)'!K8229,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29">
        <f>IF(AND('Loan Tape (S&amp;P)'!U8229="Yes",
        'Loan Tape (S&amp;P)'!T8229&lt;&gt;"Yes",
        DATEDIF('Loan Tape (S&amp;P)'!K8229, TODAY(), "M")&lt;18),
    1.10,
    1.00)</f>
        <v/>
      </c>
      <c r="O8229">
        <f>IF('Loan Tape (S&amp;P)'!T8229="Yes",
    1.35,
    1.00)</f>
        <v/>
      </c>
      <c r="P8229">
        <f>IF('Loan Tape (S&amp;P)'!S8229="Yes",
    1.15,
    1.00)</f>
        <v/>
      </c>
      <c r="Q8229">
        <f>IF('Loan Tape (S&amp;P)'!V8229="Yes",
    1.20,
    1.00)</f>
        <v/>
      </c>
      <c r="T8229">
        <f>LET(
    payment_method,'Loan Tape (S&amp;P)'!P8229,
    occupancy,'Loan Tape (S&amp;P)'!N8229,
    maturity_date,'Loan Tape (S&amp;P)'!L8229,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30">
      <c r="J8230">
        <f>LET(
    lien,'Loan Tape (S&amp;P)'!Q8230,
    IF(lien="First",1.00,
        IF(lien="Second",1.50,
            1.70)))</f>
        <v/>
      </c>
      <c r="K8230">
        <f>LET(
    purpose,'Loan Tape (S&amp;P)'!R8230,
    IF(purpose="Purchase",1.00,
        IF(purpose="Remortgage",1.00,
            1.20)))</f>
        <v/>
      </c>
      <c r="L8230">
        <f>LET(
    arrears_months,'Loan Tape (S&amp;P)'!AN8230,
    IF(arrears_months=0,1.00,
    IF(arrears_months=1,3.00,
    IF(arrears_months=2,5.00,
    IF(arrears_months=3,8.00,
    IF(arrears_months=4,10.00,
    IF(arrears_months=5,12.00,15.00)))))))</f>
        <v/>
      </c>
      <c r="M8230">
        <f>LET(
    seasoning_years,DATEDIF('Loan Tape (S&amp;P)'!K8230,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30">
        <f>IF(AND('Loan Tape (S&amp;P)'!U8230="Yes",
        'Loan Tape (S&amp;P)'!T8230&lt;&gt;"Yes",
        DATEDIF('Loan Tape (S&amp;P)'!K8230, TODAY(), "M")&lt;18),
    1.10,
    1.00)</f>
        <v/>
      </c>
      <c r="O8230">
        <f>IF('Loan Tape (S&amp;P)'!T8230="Yes",
    1.35,
    1.00)</f>
        <v/>
      </c>
      <c r="P8230">
        <f>IF('Loan Tape (S&amp;P)'!S8230="Yes",
    1.15,
    1.00)</f>
        <v/>
      </c>
      <c r="Q8230">
        <f>IF('Loan Tape (S&amp;P)'!V8230="Yes",
    1.20,
    1.00)</f>
        <v/>
      </c>
      <c r="T8230">
        <f>LET(
    payment_method,'Loan Tape (S&amp;P)'!P8230,
    occupancy,'Loan Tape (S&amp;P)'!N8230,
    maturity_date,'Loan Tape (S&amp;P)'!L8230,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31">
      <c r="J8231">
        <f>LET(
    lien,'Loan Tape (S&amp;P)'!Q8231,
    IF(lien="First",1.00,
        IF(lien="Second",1.50,
            1.70)))</f>
        <v/>
      </c>
      <c r="K8231">
        <f>LET(
    purpose,'Loan Tape (S&amp;P)'!R8231,
    IF(purpose="Purchase",1.00,
        IF(purpose="Remortgage",1.00,
            1.20)))</f>
        <v/>
      </c>
      <c r="L8231">
        <f>LET(
    arrears_months,'Loan Tape (S&amp;P)'!AN8231,
    IF(arrears_months=0,1.00,
    IF(arrears_months=1,3.00,
    IF(arrears_months=2,5.00,
    IF(arrears_months=3,8.00,
    IF(arrears_months=4,10.00,
    IF(arrears_months=5,12.00,15.00)))))))</f>
        <v/>
      </c>
      <c r="M8231">
        <f>LET(
    seasoning_years,DATEDIF('Loan Tape (S&amp;P)'!K8231,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31">
        <f>IF(AND('Loan Tape (S&amp;P)'!U8231="Yes",
        'Loan Tape (S&amp;P)'!T8231&lt;&gt;"Yes",
        DATEDIF('Loan Tape (S&amp;P)'!K8231, TODAY(), "M")&lt;18),
    1.10,
    1.00)</f>
        <v/>
      </c>
      <c r="O8231">
        <f>IF('Loan Tape (S&amp;P)'!T8231="Yes",
    1.35,
    1.00)</f>
        <v/>
      </c>
      <c r="P8231">
        <f>IF('Loan Tape (S&amp;P)'!S8231="Yes",
    1.15,
    1.00)</f>
        <v/>
      </c>
      <c r="Q8231">
        <f>IF('Loan Tape (S&amp;P)'!V8231="Yes",
    1.20,
    1.00)</f>
        <v/>
      </c>
      <c r="T8231">
        <f>LET(
    payment_method,'Loan Tape (S&amp;P)'!P8231,
    occupancy,'Loan Tape (S&amp;P)'!N8231,
    maturity_date,'Loan Tape (S&amp;P)'!L8231,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32">
      <c r="J8232">
        <f>LET(
    lien,'Loan Tape (S&amp;P)'!Q8232,
    IF(lien="First",1.00,
        IF(lien="Second",1.50,
            1.70)))</f>
        <v/>
      </c>
      <c r="K8232">
        <f>LET(
    purpose,'Loan Tape (S&amp;P)'!R8232,
    IF(purpose="Purchase",1.00,
        IF(purpose="Remortgage",1.00,
            1.20)))</f>
        <v/>
      </c>
      <c r="L8232">
        <f>LET(
    arrears_months,'Loan Tape (S&amp;P)'!AN8232,
    IF(arrears_months=0,1.00,
    IF(arrears_months=1,3.00,
    IF(arrears_months=2,5.00,
    IF(arrears_months=3,8.00,
    IF(arrears_months=4,10.00,
    IF(arrears_months=5,12.00,15.00)))))))</f>
        <v/>
      </c>
      <c r="M8232">
        <f>LET(
    seasoning_years,DATEDIF('Loan Tape (S&amp;P)'!K8232,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32">
        <f>IF(AND('Loan Tape (S&amp;P)'!U8232="Yes",
        'Loan Tape (S&amp;P)'!T8232&lt;&gt;"Yes",
        DATEDIF('Loan Tape (S&amp;P)'!K8232, TODAY(), "M")&lt;18),
    1.10,
    1.00)</f>
        <v/>
      </c>
      <c r="O8232">
        <f>IF('Loan Tape (S&amp;P)'!T8232="Yes",
    1.35,
    1.00)</f>
        <v/>
      </c>
      <c r="P8232">
        <f>IF('Loan Tape (S&amp;P)'!S8232="Yes",
    1.15,
    1.00)</f>
        <v/>
      </c>
      <c r="Q8232">
        <f>IF('Loan Tape (S&amp;P)'!V8232="Yes",
    1.20,
    1.00)</f>
        <v/>
      </c>
      <c r="T8232">
        <f>LET(
    payment_method,'Loan Tape (S&amp;P)'!P8232,
    occupancy,'Loan Tape (S&amp;P)'!N8232,
    maturity_date,'Loan Tape (S&amp;P)'!L8232,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33">
      <c r="J8233">
        <f>LET(
    lien,'Loan Tape (S&amp;P)'!Q8233,
    IF(lien="First",1.00,
        IF(lien="Second",1.50,
            1.70)))</f>
        <v/>
      </c>
      <c r="K8233">
        <f>LET(
    purpose,'Loan Tape (S&amp;P)'!R8233,
    IF(purpose="Purchase",1.00,
        IF(purpose="Remortgage",1.00,
            1.20)))</f>
        <v/>
      </c>
      <c r="L8233">
        <f>LET(
    arrears_months,'Loan Tape (S&amp;P)'!AN8233,
    IF(arrears_months=0,1.00,
    IF(arrears_months=1,3.00,
    IF(arrears_months=2,5.00,
    IF(arrears_months=3,8.00,
    IF(arrears_months=4,10.00,
    IF(arrears_months=5,12.00,15.00)))))))</f>
        <v/>
      </c>
      <c r="M8233">
        <f>LET(
    seasoning_years,DATEDIF('Loan Tape (S&amp;P)'!K8233,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33">
        <f>IF(AND('Loan Tape (S&amp;P)'!U8233="Yes",
        'Loan Tape (S&amp;P)'!T8233&lt;&gt;"Yes",
        DATEDIF('Loan Tape (S&amp;P)'!K8233, TODAY(), "M")&lt;18),
    1.10,
    1.00)</f>
        <v/>
      </c>
      <c r="O8233">
        <f>IF('Loan Tape (S&amp;P)'!T8233="Yes",
    1.35,
    1.00)</f>
        <v/>
      </c>
      <c r="P8233">
        <f>IF('Loan Tape (S&amp;P)'!S8233="Yes",
    1.15,
    1.00)</f>
        <v/>
      </c>
      <c r="Q8233">
        <f>IF('Loan Tape (S&amp;P)'!V8233="Yes",
    1.20,
    1.00)</f>
        <v/>
      </c>
      <c r="T8233">
        <f>LET(
    payment_method,'Loan Tape (S&amp;P)'!P8233,
    occupancy,'Loan Tape (S&amp;P)'!N8233,
    maturity_date,'Loan Tape (S&amp;P)'!L8233,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34">
      <c r="J8234">
        <f>LET(
    lien,'Loan Tape (S&amp;P)'!Q8234,
    IF(lien="First",1.00,
        IF(lien="Second",1.50,
            1.70)))</f>
        <v/>
      </c>
      <c r="K8234">
        <f>LET(
    purpose,'Loan Tape (S&amp;P)'!R8234,
    IF(purpose="Purchase",1.00,
        IF(purpose="Remortgage",1.00,
            1.20)))</f>
        <v/>
      </c>
      <c r="L8234">
        <f>LET(
    arrears_months,'Loan Tape (S&amp;P)'!AN8234,
    IF(arrears_months=0,1.00,
    IF(arrears_months=1,3.00,
    IF(arrears_months=2,5.00,
    IF(arrears_months=3,8.00,
    IF(arrears_months=4,10.00,
    IF(arrears_months=5,12.00,15.00)))))))</f>
        <v/>
      </c>
      <c r="M8234">
        <f>LET(
    seasoning_years,DATEDIF('Loan Tape (S&amp;P)'!K8234,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34">
        <f>IF(AND('Loan Tape (S&amp;P)'!U8234="Yes",
        'Loan Tape (S&amp;P)'!T8234&lt;&gt;"Yes",
        DATEDIF('Loan Tape (S&amp;P)'!K8234, TODAY(), "M")&lt;18),
    1.10,
    1.00)</f>
        <v/>
      </c>
      <c r="O8234">
        <f>IF('Loan Tape (S&amp;P)'!T8234="Yes",
    1.35,
    1.00)</f>
        <v/>
      </c>
      <c r="P8234">
        <f>IF('Loan Tape (S&amp;P)'!S8234="Yes",
    1.15,
    1.00)</f>
        <v/>
      </c>
      <c r="Q8234">
        <f>IF('Loan Tape (S&amp;P)'!V8234="Yes",
    1.20,
    1.00)</f>
        <v/>
      </c>
      <c r="T8234">
        <f>LET(
    payment_method,'Loan Tape (S&amp;P)'!P8234,
    occupancy,'Loan Tape (S&amp;P)'!N8234,
    maturity_date,'Loan Tape (S&amp;P)'!L8234,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35">
      <c r="J8235">
        <f>LET(
    lien,'Loan Tape (S&amp;P)'!Q8235,
    IF(lien="First",1.00,
        IF(lien="Second",1.50,
            1.70)))</f>
        <v/>
      </c>
      <c r="K8235">
        <f>LET(
    purpose,'Loan Tape (S&amp;P)'!R8235,
    IF(purpose="Purchase",1.00,
        IF(purpose="Remortgage",1.00,
            1.20)))</f>
        <v/>
      </c>
      <c r="L8235">
        <f>LET(
    arrears_months,'Loan Tape (S&amp;P)'!AN8235,
    IF(arrears_months=0,1.00,
    IF(arrears_months=1,3.00,
    IF(arrears_months=2,5.00,
    IF(arrears_months=3,8.00,
    IF(arrears_months=4,10.00,
    IF(arrears_months=5,12.00,15.00)))))))</f>
        <v/>
      </c>
      <c r="M8235">
        <f>LET(
    seasoning_years,DATEDIF('Loan Tape (S&amp;P)'!K8235,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35">
        <f>IF(AND('Loan Tape (S&amp;P)'!U8235="Yes",
        'Loan Tape (S&amp;P)'!T8235&lt;&gt;"Yes",
        DATEDIF('Loan Tape (S&amp;P)'!K8235, TODAY(), "M")&lt;18),
    1.10,
    1.00)</f>
        <v/>
      </c>
      <c r="O8235">
        <f>IF('Loan Tape (S&amp;P)'!T8235="Yes",
    1.35,
    1.00)</f>
        <v/>
      </c>
      <c r="P8235">
        <f>IF('Loan Tape (S&amp;P)'!S8235="Yes",
    1.15,
    1.00)</f>
        <v/>
      </c>
      <c r="Q8235">
        <f>IF('Loan Tape (S&amp;P)'!V8235="Yes",
    1.20,
    1.00)</f>
        <v/>
      </c>
      <c r="T8235">
        <f>LET(
    payment_method,'Loan Tape (S&amp;P)'!P8235,
    occupancy,'Loan Tape (S&amp;P)'!N8235,
    maturity_date,'Loan Tape (S&amp;P)'!L8235,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36">
      <c r="J8236">
        <f>LET(
    lien,'Loan Tape (S&amp;P)'!Q8236,
    IF(lien="First",1.00,
        IF(lien="Second",1.50,
            1.70)))</f>
        <v/>
      </c>
      <c r="K8236">
        <f>LET(
    purpose,'Loan Tape (S&amp;P)'!R8236,
    IF(purpose="Purchase",1.00,
        IF(purpose="Remortgage",1.00,
            1.20)))</f>
        <v/>
      </c>
      <c r="L8236">
        <f>LET(
    arrears_months,'Loan Tape (S&amp;P)'!AN8236,
    IF(arrears_months=0,1.00,
    IF(arrears_months=1,3.00,
    IF(arrears_months=2,5.00,
    IF(arrears_months=3,8.00,
    IF(arrears_months=4,10.00,
    IF(arrears_months=5,12.00,15.00)))))))</f>
        <v/>
      </c>
      <c r="M8236">
        <f>LET(
    seasoning_years,DATEDIF('Loan Tape (S&amp;P)'!K8236,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36">
        <f>IF(AND('Loan Tape (S&amp;P)'!U8236="Yes",
        'Loan Tape (S&amp;P)'!T8236&lt;&gt;"Yes",
        DATEDIF('Loan Tape (S&amp;P)'!K8236, TODAY(), "M")&lt;18),
    1.10,
    1.00)</f>
        <v/>
      </c>
      <c r="O8236">
        <f>IF('Loan Tape (S&amp;P)'!T8236="Yes",
    1.35,
    1.00)</f>
        <v/>
      </c>
      <c r="P8236">
        <f>IF('Loan Tape (S&amp;P)'!S8236="Yes",
    1.15,
    1.00)</f>
        <v/>
      </c>
      <c r="Q8236">
        <f>IF('Loan Tape (S&amp;P)'!V8236="Yes",
    1.20,
    1.00)</f>
        <v/>
      </c>
      <c r="T8236">
        <f>LET(
    payment_method,'Loan Tape (S&amp;P)'!P8236,
    occupancy,'Loan Tape (S&amp;P)'!N8236,
    maturity_date,'Loan Tape (S&amp;P)'!L8236,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37">
      <c r="J8237">
        <f>LET(
    lien,'Loan Tape (S&amp;P)'!Q8237,
    IF(lien="First",1.00,
        IF(lien="Second",1.50,
            1.70)))</f>
        <v/>
      </c>
      <c r="K8237">
        <f>LET(
    purpose,'Loan Tape (S&amp;P)'!R8237,
    IF(purpose="Purchase",1.00,
        IF(purpose="Remortgage",1.00,
            1.20)))</f>
        <v/>
      </c>
      <c r="L8237">
        <f>LET(
    arrears_months,'Loan Tape (S&amp;P)'!AN8237,
    IF(arrears_months=0,1.00,
    IF(arrears_months=1,3.00,
    IF(arrears_months=2,5.00,
    IF(arrears_months=3,8.00,
    IF(arrears_months=4,10.00,
    IF(arrears_months=5,12.00,15.00)))))))</f>
        <v/>
      </c>
      <c r="M8237">
        <f>LET(
    seasoning_years,DATEDIF('Loan Tape (S&amp;P)'!K8237,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37">
        <f>IF(AND('Loan Tape (S&amp;P)'!U8237="Yes",
        'Loan Tape (S&amp;P)'!T8237&lt;&gt;"Yes",
        DATEDIF('Loan Tape (S&amp;P)'!K8237, TODAY(), "M")&lt;18),
    1.10,
    1.00)</f>
        <v/>
      </c>
      <c r="O8237">
        <f>IF('Loan Tape (S&amp;P)'!T8237="Yes",
    1.35,
    1.00)</f>
        <v/>
      </c>
      <c r="P8237">
        <f>IF('Loan Tape (S&amp;P)'!S8237="Yes",
    1.15,
    1.00)</f>
        <v/>
      </c>
      <c r="Q8237">
        <f>IF('Loan Tape (S&amp;P)'!V8237="Yes",
    1.20,
    1.00)</f>
        <v/>
      </c>
      <c r="T8237">
        <f>LET(
    payment_method,'Loan Tape (S&amp;P)'!P8237,
    occupancy,'Loan Tape (S&amp;P)'!N8237,
    maturity_date,'Loan Tape (S&amp;P)'!L8237,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38">
      <c r="J8238">
        <f>LET(
    lien,'Loan Tape (S&amp;P)'!Q8238,
    IF(lien="First",1.00,
        IF(lien="Second",1.50,
            1.70)))</f>
        <v/>
      </c>
      <c r="K8238">
        <f>LET(
    purpose,'Loan Tape (S&amp;P)'!R8238,
    IF(purpose="Purchase",1.00,
        IF(purpose="Remortgage",1.00,
            1.20)))</f>
        <v/>
      </c>
      <c r="L8238">
        <f>LET(
    arrears_months,'Loan Tape (S&amp;P)'!AN8238,
    IF(arrears_months=0,1.00,
    IF(arrears_months=1,3.00,
    IF(arrears_months=2,5.00,
    IF(arrears_months=3,8.00,
    IF(arrears_months=4,10.00,
    IF(arrears_months=5,12.00,15.00)))))))</f>
        <v/>
      </c>
      <c r="M8238">
        <f>LET(
    seasoning_years,DATEDIF('Loan Tape (S&amp;P)'!K8238,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38">
        <f>IF(AND('Loan Tape (S&amp;P)'!U8238="Yes",
        'Loan Tape (S&amp;P)'!T8238&lt;&gt;"Yes",
        DATEDIF('Loan Tape (S&amp;P)'!K8238, TODAY(), "M")&lt;18),
    1.10,
    1.00)</f>
        <v/>
      </c>
      <c r="O8238">
        <f>IF('Loan Tape (S&amp;P)'!T8238="Yes",
    1.35,
    1.00)</f>
        <v/>
      </c>
      <c r="P8238">
        <f>IF('Loan Tape (S&amp;P)'!S8238="Yes",
    1.15,
    1.00)</f>
        <v/>
      </c>
      <c r="Q8238">
        <f>IF('Loan Tape (S&amp;P)'!V8238="Yes",
    1.20,
    1.00)</f>
        <v/>
      </c>
      <c r="T8238">
        <f>LET(
    payment_method,'Loan Tape (S&amp;P)'!P8238,
    occupancy,'Loan Tape (S&amp;P)'!N8238,
    maturity_date,'Loan Tape (S&amp;P)'!L8238,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39">
      <c r="J8239">
        <f>LET(
    lien,'Loan Tape (S&amp;P)'!Q8239,
    IF(lien="First",1.00,
        IF(lien="Second",1.50,
            1.70)))</f>
        <v/>
      </c>
      <c r="K8239">
        <f>LET(
    purpose,'Loan Tape (S&amp;P)'!R8239,
    IF(purpose="Purchase",1.00,
        IF(purpose="Remortgage",1.00,
            1.20)))</f>
        <v/>
      </c>
      <c r="L8239">
        <f>LET(
    arrears_months,'Loan Tape (S&amp;P)'!AN8239,
    IF(arrears_months=0,1.00,
    IF(arrears_months=1,3.00,
    IF(arrears_months=2,5.00,
    IF(arrears_months=3,8.00,
    IF(arrears_months=4,10.00,
    IF(arrears_months=5,12.00,15.00)))))))</f>
        <v/>
      </c>
      <c r="M8239">
        <f>LET(
    seasoning_years,DATEDIF('Loan Tape (S&amp;P)'!K8239,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39">
        <f>IF(AND('Loan Tape (S&amp;P)'!U8239="Yes",
        'Loan Tape (S&amp;P)'!T8239&lt;&gt;"Yes",
        DATEDIF('Loan Tape (S&amp;P)'!K8239, TODAY(), "M")&lt;18),
    1.10,
    1.00)</f>
        <v/>
      </c>
      <c r="O8239">
        <f>IF('Loan Tape (S&amp;P)'!T8239="Yes",
    1.35,
    1.00)</f>
        <v/>
      </c>
      <c r="P8239">
        <f>IF('Loan Tape (S&amp;P)'!S8239="Yes",
    1.15,
    1.00)</f>
        <v/>
      </c>
      <c r="Q8239">
        <f>IF('Loan Tape (S&amp;P)'!V8239="Yes",
    1.20,
    1.00)</f>
        <v/>
      </c>
      <c r="T8239">
        <f>LET(
    payment_method,'Loan Tape (S&amp;P)'!P8239,
    occupancy,'Loan Tape (S&amp;P)'!N8239,
    maturity_date,'Loan Tape (S&amp;P)'!L8239,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40">
      <c r="J8240">
        <f>LET(
    lien,'Loan Tape (S&amp;P)'!Q8240,
    IF(lien="First",1.00,
        IF(lien="Second",1.50,
            1.70)))</f>
        <v/>
      </c>
      <c r="K8240">
        <f>LET(
    purpose,'Loan Tape (S&amp;P)'!R8240,
    IF(purpose="Purchase",1.00,
        IF(purpose="Remortgage",1.00,
            1.20)))</f>
        <v/>
      </c>
      <c r="L8240">
        <f>LET(
    arrears_months,'Loan Tape (S&amp;P)'!AN8240,
    IF(arrears_months=0,1.00,
    IF(arrears_months=1,3.00,
    IF(arrears_months=2,5.00,
    IF(arrears_months=3,8.00,
    IF(arrears_months=4,10.00,
    IF(arrears_months=5,12.00,15.00)))))))</f>
        <v/>
      </c>
      <c r="M8240">
        <f>LET(
    seasoning_years,DATEDIF('Loan Tape (S&amp;P)'!K8240,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40">
        <f>IF(AND('Loan Tape (S&amp;P)'!U8240="Yes",
        'Loan Tape (S&amp;P)'!T8240&lt;&gt;"Yes",
        DATEDIF('Loan Tape (S&amp;P)'!K8240, TODAY(), "M")&lt;18),
    1.10,
    1.00)</f>
        <v/>
      </c>
      <c r="O8240">
        <f>IF('Loan Tape (S&amp;P)'!T8240="Yes",
    1.35,
    1.00)</f>
        <v/>
      </c>
      <c r="P8240">
        <f>IF('Loan Tape (S&amp;P)'!S8240="Yes",
    1.15,
    1.00)</f>
        <v/>
      </c>
      <c r="Q8240">
        <f>IF('Loan Tape (S&amp;P)'!V8240="Yes",
    1.20,
    1.00)</f>
        <v/>
      </c>
      <c r="T8240">
        <f>LET(
    payment_method,'Loan Tape (S&amp;P)'!P8240,
    occupancy,'Loan Tape (S&amp;P)'!N8240,
    maturity_date,'Loan Tape (S&amp;P)'!L8240,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41">
      <c r="J8241">
        <f>LET(
    lien,'Loan Tape (S&amp;P)'!Q8241,
    IF(lien="First",1.00,
        IF(lien="Second",1.50,
            1.70)))</f>
        <v/>
      </c>
      <c r="K8241">
        <f>LET(
    purpose,'Loan Tape (S&amp;P)'!R8241,
    IF(purpose="Purchase",1.00,
        IF(purpose="Remortgage",1.00,
            1.20)))</f>
        <v/>
      </c>
      <c r="L8241">
        <f>LET(
    arrears_months,'Loan Tape (S&amp;P)'!AN8241,
    IF(arrears_months=0,1.00,
    IF(arrears_months=1,3.00,
    IF(arrears_months=2,5.00,
    IF(arrears_months=3,8.00,
    IF(arrears_months=4,10.00,
    IF(arrears_months=5,12.00,15.00)))))))</f>
        <v/>
      </c>
      <c r="M8241">
        <f>LET(
    seasoning_years,DATEDIF('Loan Tape (S&amp;P)'!K8241,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41">
        <f>IF(AND('Loan Tape (S&amp;P)'!U8241="Yes",
        'Loan Tape (S&amp;P)'!T8241&lt;&gt;"Yes",
        DATEDIF('Loan Tape (S&amp;P)'!K8241, TODAY(), "M")&lt;18),
    1.10,
    1.00)</f>
        <v/>
      </c>
      <c r="O8241">
        <f>IF('Loan Tape (S&amp;P)'!T8241="Yes",
    1.35,
    1.00)</f>
        <v/>
      </c>
      <c r="P8241">
        <f>IF('Loan Tape (S&amp;P)'!S8241="Yes",
    1.15,
    1.00)</f>
        <v/>
      </c>
      <c r="Q8241">
        <f>IF('Loan Tape (S&amp;P)'!V8241="Yes",
    1.20,
    1.00)</f>
        <v/>
      </c>
      <c r="T8241">
        <f>LET(
    payment_method,'Loan Tape (S&amp;P)'!P8241,
    occupancy,'Loan Tape (S&amp;P)'!N8241,
    maturity_date,'Loan Tape (S&amp;P)'!L8241,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42">
      <c r="J8242">
        <f>LET(
    lien,'Loan Tape (S&amp;P)'!Q8242,
    IF(lien="First",1.00,
        IF(lien="Second",1.50,
            1.70)))</f>
        <v/>
      </c>
      <c r="K8242">
        <f>LET(
    purpose,'Loan Tape (S&amp;P)'!R8242,
    IF(purpose="Purchase",1.00,
        IF(purpose="Remortgage",1.00,
            1.20)))</f>
        <v/>
      </c>
      <c r="L8242">
        <f>LET(
    arrears_months,'Loan Tape (S&amp;P)'!AN8242,
    IF(arrears_months=0,1.00,
    IF(arrears_months=1,3.00,
    IF(arrears_months=2,5.00,
    IF(arrears_months=3,8.00,
    IF(arrears_months=4,10.00,
    IF(arrears_months=5,12.00,15.00)))))))</f>
        <v/>
      </c>
      <c r="M8242">
        <f>LET(
    seasoning_years,DATEDIF('Loan Tape (S&amp;P)'!K8242,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42">
        <f>IF(AND('Loan Tape (S&amp;P)'!U8242="Yes",
        'Loan Tape (S&amp;P)'!T8242&lt;&gt;"Yes",
        DATEDIF('Loan Tape (S&amp;P)'!K8242, TODAY(), "M")&lt;18),
    1.10,
    1.00)</f>
        <v/>
      </c>
      <c r="O8242">
        <f>IF('Loan Tape (S&amp;P)'!T8242="Yes",
    1.35,
    1.00)</f>
        <v/>
      </c>
      <c r="P8242">
        <f>IF('Loan Tape (S&amp;P)'!S8242="Yes",
    1.15,
    1.00)</f>
        <v/>
      </c>
      <c r="Q8242">
        <f>IF('Loan Tape (S&amp;P)'!V8242="Yes",
    1.20,
    1.00)</f>
        <v/>
      </c>
      <c r="T8242">
        <f>LET(
    payment_method,'Loan Tape (S&amp;P)'!P8242,
    occupancy,'Loan Tape (S&amp;P)'!N8242,
    maturity_date,'Loan Tape (S&amp;P)'!L8242,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43">
      <c r="J8243">
        <f>LET(
    lien,'Loan Tape (S&amp;P)'!Q8243,
    IF(lien="First",1.00,
        IF(lien="Second",1.50,
            1.70)))</f>
        <v/>
      </c>
      <c r="K8243">
        <f>LET(
    purpose,'Loan Tape (S&amp;P)'!R8243,
    IF(purpose="Purchase",1.00,
        IF(purpose="Remortgage",1.00,
            1.20)))</f>
        <v/>
      </c>
      <c r="L8243">
        <f>LET(
    arrears_months,'Loan Tape (S&amp;P)'!AN8243,
    IF(arrears_months=0,1.00,
    IF(arrears_months=1,3.00,
    IF(arrears_months=2,5.00,
    IF(arrears_months=3,8.00,
    IF(arrears_months=4,10.00,
    IF(arrears_months=5,12.00,15.00)))))))</f>
        <v/>
      </c>
      <c r="M8243">
        <f>LET(
    seasoning_years,DATEDIF('Loan Tape (S&amp;P)'!K8243,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43">
        <f>IF(AND('Loan Tape (S&amp;P)'!U8243="Yes",
        'Loan Tape (S&amp;P)'!T8243&lt;&gt;"Yes",
        DATEDIF('Loan Tape (S&amp;P)'!K8243, TODAY(), "M")&lt;18),
    1.10,
    1.00)</f>
        <v/>
      </c>
      <c r="O8243">
        <f>IF('Loan Tape (S&amp;P)'!T8243="Yes",
    1.35,
    1.00)</f>
        <v/>
      </c>
      <c r="P8243">
        <f>IF('Loan Tape (S&amp;P)'!S8243="Yes",
    1.15,
    1.00)</f>
        <v/>
      </c>
      <c r="Q8243">
        <f>IF('Loan Tape (S&amp;P)'!V8243="Yes",
    1.20,
    1.00)</f>
        <v/>
      </c>
      <c r="T8243">
        <f>LET(
    payment_method,'Loan Tape (S&amp;P)'!P8243,
    occupancy,'Loan Tape (S&amp;P)'!N8243,
    maturity_date,'Loan Tape (S&amp;P)'!L8243,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44">
      <c r="J8244">
        <f>LET(
    lien,'Loan Tape (S&amp;P)'!Q8244,
    IF(lien="First",1.00,
        IF(lien="Second",1.50,
            1.70)))</f>
        <v/>
      </c>
      <c r="K8244">
        <f>LET(
    purpose,'Loan Tape (S&amp;P)'!R8244,
    IF(purpose="Purchase",1.00,
        IF(purpose="Remortgage",1.00,
            1.20)))</f>
        <v/>
      </c>
      <c r="L8244">
        <f>LET(
    arrears_months,'Loan Tape (S&amp;P)'!AN8244,
    IF(arrears_months=0,1.00,
    IF(arrears_months=1,3.00,
    IF(arrears_months=2,5.00,
    IF(arrears_months=3,8.00,
    IF(arrears_months=4,10.00,
    IF(arrears_months=5,12.00,15.00)))))))</f>
        <v/>
      </c>
      <c r="M8244">
        <f>LET(
    seasoning_years,DATEDIF('Loan Tape (S&amp;P)'!K8244,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44">
        <f>IF(AND('Loan Tape (S&amp;P)'!U8244="Yes",
        'Loan Tape (S&amp;P)'!T8244&lt;&gt;"Yes",
        DATEDIF('Loan Tape (S&amp;P)'!K8244, TODAY(), "M")&lt;18),
    1.10,
    1.00)</f>
        <v/>
      </c>
      <c r="O8244">
        <f>IF('Loan Tape (S&amp;P)'!T8244="Yes",
    1.35,
    1.00)</f>
        <v/>
      </c>
      <c r="P8244">
        <f>IF('Loan Tape (S&amp;P)'!S8244="Yes",
    1.15,
    1.00)</f>
        <v/>
      </c>
      <c r="Q8244">
        <f>IF('Loan Tape (S&amp;P)'!V8244="Yes",
    1.20,
    1.00)</f>
        <v/>
      </c>
      <c r="T8244">
        <f>LET(
    payment_method,'Loan Tape (S&amp;P)'!P8244,
    occupancy,'Loan Tape (S&amp;P)'!N8244,
    maturity_date,'Loan Tape (S&amp;P)'!L8244,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45">
      <c r="J8245">
        <f>LET(
    lien,'Loan Tape (S&amp;P)'!Q8245,
    IF(lien="First",1.00,
        IF(lien="Second",1.50,
            1.70)))</f>
        <v/>
      </c>
      <c r="K8245">
        <f>LET(
    purpose,'Loan Tape (S&amp;P)'!R8245,
    IF(purpose="Purchase",1.00,
        IF(purpose="Remortgage",1.00,
            1.20)))</f>
        <v/>
      </c>
      <c r="L8245">
        <f>LET(
    arrears_months,'Loan Tape (S&amp;P)'!AN8245,
    IF(arrears_months=0,1.00,
    IF(arrears_months=1,3.00,
    IF(arrears_months=2,5.00,
    IF(arrears_months=3,8.00,
    IF(arrears_months=4,10.00,
    IF(arrears_months=5,12.00,15.00)))))))</f>
        <v/>
      </c>
      <c r="M8245">
        <f>LET(
    seasoning_years,DATEDIF('Loan Tape (S&amp;P)'!K8245,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45">
        <f>IF(AND('Loan Tape (S&amp;P)'!U8245="Yes",
        'Loan Tape (S&amp;P)'!T8245&lt;&gt;"Yes",
        DATEDIF('Loan Tape (S&amp;P)'!K8245, TODAY(), "M")&lt;18),
    1.10,
    1.00)</f>
        <v/>
      </c>
      <c r="O8245">
        <f>IF('Loan Tape (S&amp;P)'!T8245="Yes",
    1.35,
    1.00)</f>
        <v/>
      </c>
      <c r="P8245">
        <f>IF('Loan Tape (S&amp;P)'!S8245="Yes",
    1.15,
    1.00)</f>
        <v/>
      </c>
      <c r="Q8245">
        <f>IF('Loan Tape (S&amp;P)'!V8245="Yes",
    1.20,
    1.00)</f>
        <v/>
      </c>
      <c r="T8245">
        <f>LET(
    payment_method,'Loan Tape (S&amp;P)'!P8245,
    occupancy,'Loan Tape (S&amp;P)'!N8245,
    maturity_date,'Loan Tape (S&amp;P)'!L8245,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46">
      <c r="J8246">
        <f>LET(
    lien,'Loan Tape (S&amp;P)'!Q8246,
    IF(lien="First",1.00,
        IF(lien="Second",1.50,
            1.70)))</f>
        <v/>
      </c>
      <c r="K8246">
        <f>LET(
    purpose,'Loan Tape (S&amp;P)'!R8246,
    IF(purpose="Purchase",1.00,
        IF(purpose="Remortgage",1.00,
            1.20)))</f>
        <v/>
      </c>
      <c r="L8246">
        <f>LET(
    arrears_months,'Loan Tape (S&amp;P)'!AN8246,
    IF(arrears_months=0,1.00,
    IF(arrears_months=1,3.00,
    IF(arrears_months=2,5.00,
    IF(arrears_months=3,8.00,
    IF(arrears_months=4,10.00,
    IF(arrears_months=5,12.00,15.00)))))))</f>
        <v/>
      </c>
      <c r="M8246">
        <f>LET(
    seasoning_years,DATEDIF('Loan Tape (S&amp;P)'!K8246,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46">
        <f>IF(AND('Loan Tape (S&amp;P)'!U8246="Yes",
        'Loan Tape (S&amp;P)'!T8246&lt;&gt;"Yes",
        DATEDIF('Loan Tape (S&amp;P)'!K8246, TODAY(), "M")&lt;18),
    1.10,
    1.00)</f>
        <v/>
      </c>
      <c r="O8246">
        <f>IF('Loan Tape (S&amp;P)'!T8246="Yes",
    1.35,
    1.00)</f>
        <v/>
      </c>
      <c r="P8246">
        <f>IF('Loan Tape (S&amp;P)'!S8246="Yes",
    1.15,
    1.00)</f>
        <v/>
      </c>
      <c r="Q8246">
        <f>IF('Loan Tape (S&amp;P)'!V8246="Yes",
    1.20,
    1.00)</f>
        <v/>
      </c>
      <c r="T8246">
        <f>LET(
    payment_method,'Loan Tape (S&amp;P)'!P8246,
    occupancy,'Loan Tape (S&amp;P)'!N8246,
    maturity_date,'Loan Tape (S&amp;P)'!L8246,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47">
      <c r="J8247">
        <f>LET(
    lien,'Loan Tape (S&amp;P)'!Q8247,
    IF(lien="First",1.00,
        IF(lien="Second",1.50,
            1.70)))</f>
        <v/>
      </c>
      <c r="K8247">
        <f>LET(
    purpose,'Loan Tape (S&amp;P)'!R8247,
    IF(purpose="Purchase",1.00,
        IF(purpose="Remortgage",1.00,
            1.20)))</f>
        <v/>
      </c>
      <c r="L8247">
        <f>LET(
    arrears_months,'Loan Tape (S&amp;P)'!AN8247,
    IF(arrears_months=0,1.00,
    IF(arrears_months=1,3.00,
    IF(arrears_months=2,5.00,
    IF(arrears_months=3,8.00,
    IF(arrears_months=4,10.00,
    IF(arrears_months=5,12.00,15.00)))))))</f>
        <v/>
      </c>
      <c r="M8247">
        <f>LET(
    seasoning_years,DATEDIF('Loan Tape (S&amp;P)'!K8247,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47">
        <f>IF(AND('Loan Tape (S&amp;P)'!U8247="Yes",
        'Loan Tape (S&amp;P)'!T8247&lt;&gt;"Yes",
        DATEDIF('Loan Tape (S&amp;P)'!K8247, TODAY(), "M")&lt;18),
    1.10,
    1.00)</f>
        <v/>
      </c>
      <c r="O8247">
        <f>IF('Loan Tape (S&amp;P)'!T8247="Yes",
    1.35,
    1.00)</f>
        <v/>
      </c>
      <c r="P8247">
        <f>IF('Loan Tape (S&amp;P)'!S8247="Yes",
    1.15,
    1.00)</f>
        <v/>
      </c>
      <c r="Q8247">
        <f>IF('Loan Tape (S&amp;P)'!V8247="Yes",
    1.20,
    1.00)</f>
        <v/>
      </c>
      <c r="T8247">
        <f>LET(
    payment_method,'Loan Tape (S&amp;P)'!P8247,
    occupancy,'Loan Tape (S&amp;P)'!N8247,
    maturity_date,'Loan Tape (S&amp;P)'!L8247,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48">
      <c r="J8248">
        <f>LET(
    lien,'Loan Tape (S&amp;P)'!Q8248,
    IF(lien="First",1.00,
        IF(lien="Second",1.50,
            1.70)))</f>
        <v/>
      </c>
      <c r="K8248">
        <f>LET(
    purpose,'Loan Tape (S&amp;P)'!R8248,
    IF(purpose="Purchase",1.00,
        IF(purpose="Remortgage",1.00,
            1.20)))</f>
        <v/>
      </c>
      <c r="L8248">
        <f>LET(
    arrears_months,'Loan Tape (S&amp;P)'!AN8248,
    IF(arrears_months=0,1.00,
    IF(arrears_months=1,3.00,
    IF(arrears_months=2,5.00,
    IF(arrears_months=3,8.00,
    IF(arrears_months=4,10.00,
    IF(arrears_months=5,12.00,15.00)))))))</f>
        <v/>
      </c>
      <c r="M8248">
        <f>LET(
    seasoning_years,DATEDIF('Loan Tape (S&amp;P)'!K8248,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48">
        <f>IF(AND('Loan Tape (S&amp;P)'!U8248="Yes",
        'Loan Tape (S&amp;P)'!T8248&lt;&gt;"Yes",
        DATEDIF('Loan Tape (S&amp;P)'!K8248, TODAY(), "M")&lt;18),
    1.10,
    1.00)</f>
        <v/>
      </c>
      <c r="O8248">
        <f>IF('Loan Tape (S&amp;P)'!T8248="Yes",
    1.35,
    1.00)</f>
        <v/>
      </c>
      <c r="P8248">
        <f>IF('Loan Tape (S&amp;P)'!S8248="Yes",
    1.15,
    1.00)</f>
        <v/>
      </c>
      <c r="Q8248">
        <f>IF('Loan Tape (S&amp;P)'!V8248="Yes",
    1.20,
    1.00)</f>
        <v/>
      </c>
      <c r="T8248">
        <f>LET(
    payment_method,'Loan Tape (S&amp;P)'!P8248,
    occupancy,'Loan Tape (S&amp;P)'!N8248,
    maturity_date,'Loan Tape (S&amp;P)'!L8248,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49">
      <c r="J8249">
        <f>LET(
    lien,'Loan Tape (S&amp;P)'!Q8249,
    IF(lien="First",1.00,
        IF(lien="Second",1.50,
            1.70)))</f>
        <v/>
      </c>
      <c r="K8249">
        <f>LET(
    purpose,'Loan Tape (S&amp;P)'!R8249,
    IF(purpose="Purchase",1.00,
        IF(purpose="Remortgage",1.00,
            1.20)))</f>
        <v/>
      </c>
      <c r="L8249">
        <f>LET(
    arrears_months,'Loan Tape (S&amp;P)'!AN8249,
    IF(arrears_months=0,1.00,
    IF(arrears_months=1,3.00,
    IF(arrears_months=2,5.00,
    IF(arrears_months=3,8.00,
    IF(arrears_months=4,10.00,
    IF(arrears_months=5,12.00,15.00)))))))</f>
        <v/>
      </c>
      <c r="M8249">
        <f>LET(
    seasoning_years,DATEDIF('Loan Tape (S&amp;P)'!K8249,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49">
        <f>IF(AND('Loan Tape (S&amp;P)'!U8249="Yes",
        'Loan Tape (S&amp;P)'!T8249&lt;&gt;"Yes",
        DATEDIF('Loan Tape (S&amp;P)'!K8249, TODAY(), "M")&lt;18),
    1.10,
    1.00)</f>
        <v/>
      </c>
      <c r="O8249">
        <f>IF('Loan Tape (S&amp;P)'!T8249="Yes",
    1.35,
    1.00)</f>
        <v/>
      </c>
      <c r="P8249">
        <f>IF('Loan Tape (S&amp;P)'!S8249="Yes",
    1.15,
    1.00)</f>
        <v/>
      </c>
      <c r="Q8249">
        <f>IF('Loan Tape (S&amp;P)'!V8249="Yes",
    1.20,
    1.00)</f>
        <v/>
      </c>
      <c r="T8249">
        <f>LET(
    payment_method,'Loan Tape (S&amp;P)'!P8249,
    occupancy,'Loan Tape (S&amp;P)'!N8249,
    maturity_date,'Loan Tape (S&amp;P)'!L8249,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50">
      <c r="J8250">
        <f>LET(
    lien,'Loan Tape (S&amp;P)'!Q8250,
    IF(lien="First",1.00,
        IF(lien="Second",1.50,
            1.70)))</f>
        <v/>
      </c>
      <c r="K8250">
        <f>LET(
    purpose,'Loan Tape (S&amp;P)'!R8250,
    IF(purpose="Purchase",1.00,
        IF(purpose="Remortgage",1.00,
            1.20)))</f>
        <v/>
      </c>
      <c r="L8250">
        <f>LET(
    arrears_months,'Loan Tape (S&amp;P)'!AN8250,
    IF(arrears_months=0,1.00,
    IF(arrears_months=1,3.00,
    IF(arrears_months=2,5.00,
    IF(arrears_months=3,8.00,
    IF(arrears_months=4,10.00,
    IF(arrears_months=5,12.00,15.00)))))))</f>
        <v/>
      </c>
      <c r="M8250">
        <f>LET(
    seasoning_years,DATEDIF('Loan Tape (S&amp;P)'!K8250,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50">
        <f>IF(AND('Loan Tape (S&amp;P)'!U8250="Yes",
        'Loan Tape (S&amp;P)'!T8250&lt;&gt;"Yes",
        DATEDIF('Loan Tape (S&amp;P)'!K8250, TODAY(), "M")&lt;18),
    1.10,
    1.00)</f>
        <v/>
      </c>
      <c r="O8250">
        <f>IF('Loan Tape (S&amp;P)'!T8250="Yes",
    1.35,
    1.00)</f>
        <v/>
      </c>
      <c r="P8250">
        <f>IF('Loan Tape (S&amp;P)'!S8250="Yes",
    1.15,
    1.00)</f>
        <v/>
      </c>
      <c r="Q8250">
        <f>IF('Loan Tape (S&amp;P)'!V8250="Yes",
    1.20,
    1.00)</f>
        <v/>
      </c>
      <c r="T8250">
        <f>LET(
    payment_method,'Loan Tape (S&amp;P)'!P8250,
    occupancy,'Loan Tape (S&amp;P)'!N8250,
    maturity_date,'Loan Tape (S&amp;P)'!L8250,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51">
      <c r="J8251">
        <f>LET(
    lien,'Loan Tape (S&amp;P)'!Q8251,
    IF(lien="First",1.00,
        IF(lien="Second",1.50,
            1.70)))</f>
        <v/>
      </c>
      <c r="K8251">
        <f>LET(
    purpose,'Loan Tape (S&amp;P)'!R8251,
    IF(purpose="Purchase",1.00,
        IF(purpose="Remortgage",1.00,
            1.20)))</f>
        <v/>
      </c>
      <c r="L8251">
        <f>LET(
    arrears_months,'Loan Tape (S&amp;P)'!AN8251,
    IF(arrears_months=0,1.00,
    IF(arrears_months=1,3.00,
    IF(arrears_months=2,5.00,
    IF(arrears_months=3,8.00,
    IF(arrears_months=4,10.00,
    IF(arrears_months=5,12.00,15.00)))))))</f>
        <v/>
      </c>
      <c r="M8251">
        <f>LET(
    seasoning_years,DATEDIF('Loan Tape (S&amp;P)'!K8251,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51">
        <f>IF(AND('Loan Tape (S&amp;P)'!U8251="Yes",
        'Loan Tape (S&amp;P)'!T8251&lt;&gt;"Yes",
        DATEDIF('Loan Tape (S&amp;P)'!K8251, TODAY(), "M")&lt;18),
    1.10,
    1.00)</f>
        <v/>
      </c>
      <c r="O8251">
        <f>IF('Loan Tape (S&amp;P)'!T8251="Yes",
    1.35,
    1.00)</f>
        <v/>
      </c>
      <c r="P8251">
        <f>IF('Loan Tape (S&amp;P)'!S8251="Yes",
    1.15,
    1.00)</f>
        <v/>
      </c>
      <c r="Q8251">
        <f>IF('Loan Tape (S&amp;P)'!V8251="Yes",
    1.20,
    1.00)</f>
        <v/>
      </c>
      <c r="T8251">
        <f>LET(
    payment_method,'Loan Tape (S&amp;P)'!P8251,
    occupancy,'Loan Tape (S&amp;P)'!N8251,
    maturity_date,'Loan Tape (S&amp;P)'!L8251,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52">
      <c r="J8252">
        <f>LET(
    lien,'Loan Tape (S&amp;P)'!Q8252,
    IF(lien="First",1.00,
        IF(lien="Second",1.50,
            1.70)))</f>
        <v/>
      </c>
      <c r="K8252">
        <f>LET(
    purpose,'Loan Tape (S&amp;P)'!R8252,
    IF(purpose="Purchase",1.00,
        IF(purpose="Remortgage",1.00,
            1.20)))</f>
        <v/>
      </c>
      <c r="L8252">
        <f>LET(
    arrears_months,'Loan Tape (S&amp;P)'!AN8252,
    IF(arrears_months=0,1.00,
    IF(arrears_months=1,3.00,
    IF(arrears_months=2,5.00,
    IF(arrears_months=3,8.00,
    IF(arrears_months=4,10.00,
    IF(arrears_months=5,12.00,15.00)))))))</f>
        <v/>
      </c>
      <c r="M8252">
        <f>LET(
    seasoning_years,DATEDIF('Loan Tape (S&amp;P)'!K8252,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52">
        <f>IF(AND('Loan Tape (S&amp;P)'!U8252="Yes",
        'Loan Tape (S&amp;P)'!T8252&lt;&gt;"Yes",
        DATEDIF('Loan Tape (S&amp;P)'!K8252, TODAY(), "M")&lt;18),
    1.10,
    1.00)</f>
        <v/>
      </c>
      <c r="O8252">
        <f>IF('Loan Tape (S&amp;P)'!T8252="Yes",
    1.35,
    1.00)</f>
        <v/>
      </c>
      <c r="P8252">
        <f>IF('Loan Tape (S&amp;P)'!S8252="Yes",
    1.15,
    1.00)</f>
        <v/>
      </c>
      <c r="Q8252">
        <f>IF('Loan Tape (S&amp;P)'!V8252="Yes",
    1.20,
    1.00)</f>
        <v/>
      </c>
      <c r="T8252">
        <f>LET(
    payment_method,'Loan Tape (S&amp;P)'!P8252,
    occupancy,'Loan Tape (S&amp;P)'!N8252,
    maturity_date,'Loan Tape (S&amp;P)'!L8252,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53">
      <c r="J8253">
        <f>LET(
    lien,'Loan Tape (S&amp;P)'!Q8253,
    IF(lien="First",1.00,
        IF(lien="Second",1.50,
            1.70)))</f>
        <v/>
      </c>
      <c r="K8253">
        <f>LET(
    purpose,'Loan Tape (S&amp;P)'!R8253,
    IF(purpose="Purchase",1.00,
        IF(purpose="Remortgage",1.00,
            1.20)))</f>
        <v/>
      </c>
      <c r="L8253">
        <f>LET(
    arrears_months,'Loan Tape (S&amp;P)'!AN8253,
    IF(arrears_months=0,1.00,
    IF(arrears_months=1,3.00,
    IF(arrears_months=2,5.00,
    IF(arrears_months=3,8.00,
    IF(arrears_months=4,10.00,
    IF(arrears_months=5,12.00,15.00)))))))</f>
        <v/>
      </c>
      <c r="M8253">
        <f>LET(
    seasoning_years,DATEDIF('Loan Tape (S&amp;P)'!K8253,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53">
        <f>IF(AND('Loan Tape (S&amp;P)'!U8253="Yes",
        'Loan Tape (S&amp;P)'!T8253&lt;&gt;"Yes",
        DATEDIF('Loan Tape (S&amp;P)'!K8253, TODAY(), "M")&lt;18),
    1.10,
    1.00)</f>
        <v/>
      </c>
      <c r="O8253">
        <f>IF('Loan Tape (S&amp;P)'!T8253="Yes",
    1.35,
    1.00)</f>
        <v/>
      </c>
      <c r="P8253">
        <f>IF('Loan Tape (S&amp;P)'!S8253="Yes",
    1.15,
    1.00)</f>
        <v/>
      </c>
      <c r="Q8253">
        <f>IF('Loan Tape (S&amp;P)'!V8253="Yes",
    1.20,
    1.00)</f>
        <v/>
      </c>
      <c r="T8253">
        <f>LET(
    payment_method,'Loan Tape (S&amp;P)'!P8253,
    occupancy,'Loan Tape (S&amp;P)'!N8253,
    maturity_date,'Loan Tape (S&amp;P)'!L8253,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54">
      <c r="J8254">
        <f>LET(
    lien,'Loan Tape (S&amp;P)'!Q8254,
    IF(lien="First",1.00,
        IF(lien="Second",1.50,
            1.70)))</f>
        <v/>
      </c>
      <c r="K8254">
        <f>LET(
    purpose,'Loan Tape (S&amp;P)'!R8254,
    IF(purpose="Purchase",1.00,
        IF(purpose="Remortgage",1.00,
            1.20)))</f>
        <v/>
      </c>
      <c r="L8254">
        <f>LET(
    arrears_months,'Loan Tape (S&amp;P)'!AN8254,
    IF(arrears_months=0,1.00,
    IF(arrears_months=1,3.00,
    IF(arrears_months=2,5.00,
    IF(arrears_months=3,8.00,
    IF(arrears_months=4,10.00,
    IF(arrears_months=5,12.00,15.00)))))))</f>
        <v/>
      </c>
      <c r="M8254">
        <f>LET(
    seasoning_years,DATEDIF('Loan Tape (S&amp;P)'!K8254,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54">
        <f>IF(AND('Loan Tape (S&amp;P)'!U8254="Yes",
        'Loan Tape (S&amp;P)'!T8254&lt;&gt;"Yes",
        DATEDIF('Loan Tape (S&amp;P)'!K8254, TODAY(), "M")&lt;18),
    1.10,
    1.00)</f>
        <v/>
      </c>
      <c r="O8254">
        <f>IF('Loan Tape (S&amp;P)'!T8254="Yes",
    1.35,
    1.00)</f>
        <v/>
      </c>
      <c r="P8254">
        <f>IF('Loan Tape (S&amp;P)'!S8254="Yes",
    1.15,
    1.00)</f>
        <v/>
      </c>
      <c r="Q8254">
        <f>IF('Loan Tape (S&amp;P)'!V8254="Yes",
    1.20,
    1.00)</f>
        <v/>
      </c>
      <c r="T8254">
        <f>LET(
    payment_method,'Loan Tape (S&amp;P)'!P8254,
    occupancy,'Loan Tape (S&amp;P)'!N8254,
    maturity_date,'Loan Tape (S&amp;P)'!L8254,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55">
      <c r="J8255">
        <f>LET(
    lien,'Loan Tape (S&amp;P)'!Q8255,
    IF(lien="First",1.00,
        IF(lien="Second",1.50,
            1.70)))</f>
        <v/>
      </c>
      <c r="K8255">
        <f>LET(
    purpose,'Loan Tape (S&amp;P)'!R8255,
    IF(purpose="Purchase",1.00,
        IF(purpose="Remortgage",1.00,
            1.20)))</f>
        <v/>
      </c>
      <c r="L8255">
        <f>LET(
    arrears_months,'Loan Tape (S&amp;P)'!AN8255,
    IF(arrears_months=0,1.00,
    IF(arrears_months=1,3.00,
    IF(arrears_months=2,5.00,
    IF(arrears_months=3,8.00,
    IF(arrears_months=4,10.00,
    IF(arrears_months=5,12.00,15.00)))))))</f>
        <v/>
      </c>
      <c r="M8255">
        <f>LET(
    seasoning_years,DATEDIF('Loan Tape (S&amp;P)'!K8255,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55">
        <f>IF(AND('Loan Tape (S&amp;P)'!U8255="Yes",
        'Loan Tape (S&amp;P)'!T8255&lt;&gt;"Yes",
        DATEDIF('Loan Tape (S&amp;P)'!K8255, TODAY(), "M")&lt;18),
    1.10,
    1.00)</f>
        <v/>
      </c>
      <c r="O8255">
        <f>IF('Loan Tape (S&amp;P)'!T8255="Yes",
    1.35,
    1.00)</f>
        <v/>
      </c>
      <c r="P8255">
        <f>IF('Loan Tape (S&amp;P)'!S8255="Yes",
    1.15,
    1.00)</f>
        <v/>
      </c>
      <c r="Q8255">
        <f>IF('Loan Tape (S&amp;P)'!V8255="Yes",
    1.20,
    1.00)</f>
        <v/>
      </c>
      <c r="T8255">
        <f>LET(
    payment_method,'Loan Tape (S&amp;P)'!P8255,
    occupancy,'Loan Tape (S&amp;P)'!N8255,
    maturity_date,'Loan Tape (S&amp;P)'!L8255,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56">
      <c r="J8256">
        <f>LET(
    lien,'Loan Tape (S&amp;P)'!Q8256,
    IF(lien="First",1.00,
        IF(lien="Second",1.50,
            1.70)))</f>
        <v/>
      </c>
      <c r="K8256">
        <f>LET(
    purpose,'Loan Tape (S&amp;P)'!R8256,
    IF(purpose="Purchase",1.00,
        IF(purpose="Remortgage",1.00,
            1.20)))</f>
        <v/>
      </c>
      <c r="L8256">
        <f>LET(
    arrears_months,'Loan Tape (S&amp;P)'!AN8256,
    IF(arrears_months=0,1.00,
    IF(arrears_months=1,3.00,
    IF(arrears_months=2,5.00,
    IF(arrears_months=3,8.00,
    IF(arrears_months=4,10.00,
    IF(arrears_months=5,12.00,15.00)))))))</f>
        <v/>
      </c>
      <c r="M8256">
        <f>LET(
    seasoning_years,DATEDIF('Loan Tape (S&amp;P)'!K8256,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56">
        <f>IF(AND('Loan Tape (S&amp;P)'!U8256="Yes",
        'Loan Tape (S&amp;P)'!T8256&lt;&gt;"Yes",
        DATEDIF('Loan Tape (S&amp;P)'!K8256, TODAY(), "M")&lt;18),
    1.10,
    1.00)</f>
        <v/>
      </c>
      <c r="O8256">
        <f>IF('Loan Tape (S&amp;P)'!T8256="Yes",
    1.35,
    1.00)</f>
        <v/>
      </c>
      <c r="P8256">
        <f>IF('Loan Tape (S&amp;P)'!S8256="Yes",
    1.15,
    1.00)</f>
        <v/>
      </c>
      <c r="Q8256">
        <f>IF('Loan Tape (S&amp;P)'!V8256="Yes",
    1.20,
    1.00)</f>
        <v/>
      </c>
      <c r="T8256">
        <f>LET(
    payment_method,'Loan Tape (S&amp;P)'!P8256,
    occupancy,'Loan Tape (S&amp;P)'!N8256,
    maturity_date,'Loan Tape (S&amp;P)'!L8256,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57">
      <c r="J8257">
        <f>LET(
    lien,'Loan Tape (S&amp;P)'!Q8257,
    IF(lien="First",1.00,
        IF(lien="Second",1.50,
            1.70)))</f>
        <v/>
      </c>
      <c r="K8257">
        <f>LET(
    purpose,'Loan Tape (S&amp;P)'!R8257,
    IF(purpose="Purchase",1.00,
        IF(purpose="Remortgage",1.00,
            1.20)))</f>
        <v/>
      </c>
      <c r="L8257">
        <f>LET(
    arrears_months,'Loan Tape (S&amp;P)'!AN8257,
    IF(arrears_months=0,1.00,
    IF(arrears_months=1,3.00,
    IF(arrears_months=2,5.00,
    IF(arrears_months=3,8.00,
    IF(arrears_months=4,10.00,
    IF(arrears_months=5,12.00,15.00)))))))</f>
        <v/>
      </c>
      <c r="M8257">
        <f>LET(
    seasoning_years,DATEDIF('Loan Tape (S&amp;P)'!K8257,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57">
        <f>IF(AND('Loan Tape (S&amp;P)'!U8257="Yes",
        'Loan Tape (S&amp;P)'!T8257&lt;&gt;"Yes",
        DATEDIF('Loan Tape (S&amp;P)'!K8257, TODAY(), "M")&lt;18),
    1.10,
    1.00)</f>
        <v/>
      </c>
      <c r="O8257">
        <f>IF('Loan Tape (S&amp;P)'!T8257="Yes",
    1.35,
    1.00)</f>
        <v/>
      </c>
      <c r="P8257">
        <f>IF('Loan Tape (S&amp;P)'!S8257="Yes",
    1.15,
    1.00)</f>
        <v/>
      </c>
      <c r="Q8257">
        <f>IF('Loan Tape (S&amp;P)'!V8257="Yes",
    1.20,
    1.00)</f>
        <v/>
      </c>
      <c r="T8257">
        <f>LET(
    payment_method,'Loan Tape (S&amp;P)'!P8257,
    occupancy,'Loan Tape (S&amp;P)'!N8257,
    maturity_date,'Loan Tape (S&amp;P)'!L8257,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58">
      <c r="J8258">
        <f>LET(
    lien,'Loan Tape (S&amp;P)'!Q8258,
    IF(lien="First",1.00,
        IF(lien="Second",1.50,
            1.70)))</f>
        <v/>
      </c>
      <c r="K8258">
        <f>LET(
    purpose,'Loan Tape (S&amp;P)'!R8258,
    IF(purpose="Purchase",1.00,
        IF(purpose="Remortgage",1.00,
            1.20)))</f>
        <v/>
      </c>
      <c r="L8258">
        <f>LET(
    arrears_months,'Loan Tape (S&amp;P)'!AN8258,
    IF(arrears_months=0,1.00,
    IF(arrears_months=1,3.00,
    IF(arrears_months=2,5.00,
    IF(arrears_months=3,8.00,
    IF(arrears_months=4,10.00,
    IF(arrears_months=5,12.00,15.00)))))))</f>
        <v/>
      </c>
      <c r="M8258">
        <f>LET(
    seasoning_years,DATEDIF('Loan Tape (S&amp;P)'!K8258,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58">
        <f>IF(AND('Loan Tape (S&amp;P)'!U8258="Yes",
        'Loan Tape (S&amp;P)'!T8258&lt;&gt;"Yes",
        DATEDIF('Loan Tape (S&amp;P)'!K8258, TODAY(), "M")&lt;18),
    1.10,
    1.00)</f>
        <v/>
      </c>
      <c r="O8258">
        <f>IF('Loan Tape (S&amp;P)'!T8258="Yes",
    1.35,
    1.00)</f>
        <v/>
      </c>
      <c r="P8258">
        <f>IF('Loan Tape (S&amp;P)'!S8258="Yes",
    1.15,
    1.00)</f>
        <v/>
      </c>
      <c r="Q8258">
        <f>IF('Loan Tape (S&amp;P)'!V8258="Yes",
    1.20,
    1.00)</f>
        <v/>
      </c>
      <c r="T8258">
        <f>LET(
    payment_method,'Loan Tape (S&amp;P)'!P8258,
    occupancy,'Loan Tape (S&amp;P)'!N8258,
    maturity_date,'Loan Tape (S&amp;P)'!L8258,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59">
      <c r="J8259">
        <f>LET(
    lien,'Loan Tape (S&amp;P)'!Q8259,
    IF(lien="First",1.00,
        IF(lien="Second",1.50,
            1.70)))</f>
        <v/>
      </c>
      <c r="K8259">
        <f>LET(
    purpose,'Loan Tape (S&amp;P)'!R8259,
    IF(purpose="Purchase",1.00,
        IF(purpose="Remortgage",1.00,
            1.20)))</f>
        <v/>
      </c>
      <c r="L8259">
        <f>LET(
    arrears_months,'Loan Tape (S&amp;P)'!AN8259,
    IF(arrears_months=0,1.00,
    IF(arrears_months=1,3.00,
    IF(arrears_months=2,5.00,
    IF(arrears_months=3,8.00,
    IF(arrears_months=4,10.00,
    IF(arrears_months=5,12.00,15.00)))))))</f>
        <v/>
      </c>
      <c r="M8259">
        <f>LET(
    seasoning_years,DATEDIF('Loan Tape (S&amp;P)'!K8259,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59">
        <f>IF(AND('Loan Tape (S&amp;P)'!U8259="Yes",
        'Loan Tape (S&amp;P)'!T8259&lt;&gt;"Yes",
        DATEDIF('Loan Tape (S&amp;P)'!K8259, TODAY(), "M")&lt;18),
    1.10,
    1.00)</f>
        <v/>
      </c>
      <c r="O8259">
        <f>IF('Loan Tape (S&amp;P)'!T8259="Yes",
    1.35,
    1.00)</f>
        <v/>
      </c>
      <c r="P8259">
        <f>IF('Loan Tape (S&amp;P)'!S8259="Yes",
    1.15,
    1.00)</f>
        <v/>
      </c>
      <c r="Q8259">
        <f>IF('Loan Tape (S&amp;P)'!V8259="Yes",
    1.20,
    1.00)</f>
        <v/>
      </c>
      <c r="T8259">
        <f>LET(
    payment_method,'Loan Tape (S&amp;P)'!P8259,
    occupancy,'Loan Tape (S&amp;P)'!N8259,
    maturity_date,'Loan Tape (S&amp;P)'!L8259,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60">
      <c r="J8260">
        <f>LET(
    lien,'Loan Tape (S&amp;P)'!Q8260,
    IF(lien="First",1.00,
        IF(lien="Second",1.50,
            1.70)))</f>
        <v/>
      </c>
      <c r="K8260">
        <f>LET(
    purpose,'Loan Tape (S&amp;P)'!R8260,
    IF(purpose="Purchase",1.00,
        IF(purpose="Remortgage",1.00,
            1.20)))</f>
        <v/>
      </c>
      <c r="L8260">
        <f>LET(
    arrears_months,'Loan Tape (S&amp;P)'!AN8260,
    IF(arrears_months=0,1.00,
    IF(arrears_months=1,3.00,
    IF(arrears_months=2,5.00,
    IF(arrears_months=3,8.00,
    IF(arrears_months=4,10.00,
    IF(arrears_months=5,12.00,15.00)))))))</f>
        <v/>
      </c>
      <c r="M8260">
        <f>LET(
    seasoning_years,DATEDIF('Loan Tape (S&amp;P)'!K8260,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60">
        <f>IF(AND('Loan Tape (S&amp;P)'!U8260="Yes",
        'Loan Tape (S&amp;P)'!T8260&lt;&gt;"Yes",
        DATEDIF('Loan Tape (S&amp;P)'!K8260, TODAY(), "M")&lt;18),
    1.10,
    1.00)</f>
        <v/>
      </c>
      <c r="O8260">
        <f>IF('Loan Tape (S&amp;P)'!T8260="Yes",
    1.35,
    1.00)</f>
        <v/>
      </c>
      <c r="P8260">
        <f>IF('Loan Tape (S&amp;P)'!S8260="Yes",
    1.15,
    1.00)</f>
        <v/>
      </c>
      <c r="Q8260">
        <f>IF('Loan Tape (S&amp;P)'!V8260="Yes",
    1.20,
    1.00)</f>
        <v/>
      </c>
      <c r="T8260">
        <f>LET(
    payment_method,'Loan Tape (S&amp;P)'!P8260,
    occupancy,'Loan Tape (S&amp;P)'!N8260,
    maturity_date,'Loan Tape (S&amp;P)'!L8260,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61">
      <c r="J8261">
        <f>LET(
    lien,'Loan Tape (S&amp;P)'!Q8261,
    IF(lien="First",1.00,
        IF(lien="Second",1.50,
            1.70)))</f>
        <v/>
      </c>
      <c r="K8261">
        <f>LET(
    purpose,'Loan Tape (S&amp;P)'!R8261,
    IF(purpose="Purchase",1.00,
        IF(purpose="Remortgage",1.00,
            1.20)))</f>
        <v/>
      </c>
      <c r="L8261">
        <f>LET(
    arrears_months,'Loan Tape (S&amp;P)'!AN8261,
    IF(arrears_months=0,1.00,
    IF(arrears_months=1,3.00,
    IF(arrears_months=2,5.00,
    IF(arrears_months=3,8.00,
    IF(arrears_months=4,10.00,
    IF(arrears_months=5,12.00,15.00)))))))</f>
        <v/>
      </c>
      <c r="M8261">
        <f>LET(
    seasoning_years,DATEDIF('Loan Tape (S&amp;P)'!K8261,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61">
        <f>IF(AND('Loan Tape (S&amp;P)'!U8261="Yes",
        'Loan Tape (S&amp;P)'!T8261&lt;&gt;"Yes",
        DATEDIF('Loan Tape (S&amp;P)'!K8261, TODAY(), "M")&lt;18),
    1.10,
    1.00)</f>
        <v/>
      </c>
      <c r="O8261">
        <f>IF('Loan Tape (S&amp;P)'!T8261="Yes",
    1.35,
    1.00)</f>
        <v/>
      </c>
      <c r="P8261">
        <f>IF('Loan Tape (S&amp;P)'!S8261="Yes",
    1.15,
    1.00)</f>
        <v/>
      </c>
      <c r="Q8261">
        <f>IF('Loan Tape (S&amp;P)'!V8261="Yes",
    1.20,
    1.00)</f>
        <v/>
      </c>
      <c r="T8261">
        <f>LET(
    payment_method,'Loan Tape (S&amp;P)'!P8261,
    occupancy,'Loan Tape (S&amp;P)'!N8261,
    maturity_date,'Loan Tape (S&amp;P)'!L8261,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62">
      <c r="J8262">
        <f>LET(
    lien,'Loan Tape (S&amp;P)'!Q8262,
    IF(lien="First",1.00,
        IF(lien="Second",1.50,
            1.70)))</f>
        <v/>
      </c>
      <c r="K8262">
        <f>LET(
    purpose,'Loan Tape (S&amp;P)'!R8262,
    IF(purpose="Purchase",1.00,
        IF(purpose="Remortgage",1.00,
            1.20)))</f>
        <v/>
      </c>
      <c r="L8262">
        <f>LET(
    arrears_months,'Loan Tape (S&amp;P)'!AN8262,
    IF(arrears_months=0,1.00,
    IF(arrears_months=1,3.00,
    IF(arrears_months=2,5.00,
    IF(arrears_months=3,8.00,
    IF(arrears_months=4,10.00,
    IF(arrears_months=5,12.00,15.00)))))))</f>
        <v/>
      </c>
      <c r="M8262">
        <f>LET(
    seasoning_years,DATEDIF('Loan Tape (S&amp;P)'!K8262,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62">
        <f>IF(AND('Loan Tape (S&amp;P)'!U8262="Yes",
        'Loan Tape (S&amp;P)'!T8262&lt;&gt;"Yes",
        DATEDIF('Loan Tape (S&amp;P)'!K8262, TODAY(), "M")&lt;18),
    1.10,
    1.00)</f>
        <v/>
      </c>
      <c r="O8262">
        <f>IF('Loan Tape (S&amp;P)'!T8262="Yes",
    1.35,
    1.00)</f>
        <v/>
      </c>
      <c r="P8262">
        <f>IF('Loan Tape (S&amp;P)'!S8262="Yes",
    1.15,
    1.00)</f>
        <v/>
      </c>
      <c r="Q8262">
        <f>IF('Loan Tape (S&amp;P)'!V8262="Yes",
    1.20,
    1.00)</f>
        <v/>
      </c>
      <c r="T8262">
        <f>LET(
    payment_method,'Loan Tape (S&amp;P)'!P8262,
    occupancy,'Loan Tape (S&amp;P)'!N8262,
    maturity_date,'Loan Tape (S&amp;P)'!L8262,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63">
      <c r="J8263">
        <f>LET(
    lien,'Loan Tape (S&amp;P)'!Q8263,
    IF(lien="First",1.00,
        IF(lien="Second",1.50,
            1.70)))</f>
        <v/>
      </c>
      <c r="K8263">
        <f>LET(
    purpose,'Loan Tape (S&amp;P)'!R8263,
    IF(purpose="Purchase",1.00,
        IF(purpose="Remortgage",1.00,
            1.20)))</f>
        <v/>
      </c>
      <c r="L8263">
        <f>LET(
    arrears_months,'Loan Tape (S&amp;P)'!AN8263,
    IF(arrears_months=0,1.00,
    IF(arrears_months=1,3.00,
    IF(arrears_months=2,5.00,
    IF(arrears_months=3,8.00,
    IF(arrears_months=4,10.00,
    IF(arrears_months=5,12.00,15.00)))))))</f>
        <v/>
      </c>
      <c r="M8263">
        <f>LET(
    seasoning_years,DATEDIF('Loan Tape (S&amp;P)'!K8263,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63">
        <f>IF(AND('Loan Tape (S&amp;P)'!U8263="Yes",
        'Loan Tape (S&amp;P)'!T8263&lt;&gt;"Yes",
        DATEDIF('Loan Tape (S&amp;P)'!K8263, TODAY(), "M")&lt;18),
    1.10,
    1.00)</f>
        <v/>
      </c>
      <c r="O8263">
        <f>IF('Loan Tape (S&amp;P)'!T8263="Yes",
    1.35,
    1.00)</f>
        <v/>
      </c>
      <c r="P8263">
        <f>IF('Loan Tape (S&amp;P)'!S8263="Yes",
    1.15,
    1.00)</f>
        <v/>
      </c>
      <c r="Q8263">
        <f>IF('Loan Tape (S&amp;P)'!V8263="Yes",
    1.20,
    1.00)</f>
        <v/>
      </c>
      <c r="T8263">
        <f>LET(
    payment_method,'Loan Tape (S&amp;P)'!P8263,
    occupancy,'Loan Tape (S&amp;P)'!N8263,
    maturity_date,'Loan Tape (S&amp;P)'!L8263,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64">
      <c r="J8264">
        <f>LET(
    lien,'Loan Tape (S&amp;P)'!Q8264,
    IF(lien="First",1.00,
        IF(lien="Second",1.50,
            1.70)))</f>
        <v/>
      </c>
      <c r="K8264">
        <f>LET(
    purpose,'Loan Tape (S&amp;P)'!R8264,
    IF(purpose="Purchase",1.00,
        IF(purpose="Remortgage",1.00,
            1.20)))</f>
        <v/>
      </c>
      <c r="L8264">
        <f>LET(
    arrears_months,'Loan Tape (S&amp;P)'!AN8264,
    IF(arrears_months=0,1.00,
    IF(arrears_months=1,3.00,
    IF(arrears_months=2,5.00,
    IF(arrears_months=3,8.00,
    IF(arrears_months=4,10.00,
    IF(arrears_months=5,12.00,15.00)))))))</f>
        <v/>
      </c>
      <c r="M8264">
        <f>LET(
    seasoning_years,DATEDIF('Loan Tape (S&amp;P)'!K8264,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64">
        <f>IF(AND('Loan Tape (S&amp;P)'!U8264="Yes",
        'Loan Tape (S&amp;P)'!T8264&lt;&gt;"Yes",
        DATEDIF('Loan Tape (S&amp;P)'!K8264, TODAY(), "M")&lt;18),
    1.10,
    1.00)</f>
        <v/>
      </c>
      <c r="O8264">
        <f>IF('Loan Tape (S&amp;P)'!T8264="Yes",
    1.35,
    1.00)</f>
        <v/>
      </c>
      <c r="P8264">
        <f>IF('Loan Tape (S&amp;P)'!S8264="Yes",
    1.15,
    1.00)</f>
        <v/>
      </c>
      <c r="Q8264">
        <f>IF('Loan Tape (S&amp;P)'!V8264="Yes",
    1.20,
    1.00)</f>
        <v/>
      </c>
      <c r="T8264">
        <f>LET(
    payment_method,'Loan Tape (S&amp;P)'!P8264,
    occupancy,'Loan Tape (S&amp;P)'!N8264,
    maturity_date,'Loan Tape (S&amp;P)'!L8264,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65">
      <c r="J8265">
        <f>LET(
    lien,'Loan Tape (S&amp;P)'!Q8265,
    IF(lien="First",1.00,
        IF(lien="Second",1.50,
            1.70)))</f>
        <v/>
      </c>
      <c r="K8265">
        <f>LET(
    purpose,'Loan Tape (S&amp;P)'!R8265,
    IF(purpose="Purchase",1.00,
        IF(purpose="Remortgage",1.00,
            1.20)))</f>
        <v/>
      </c>
      <c r="L8265">
        <f>LET(
    arrears_months,'Loan Tape (S&amp;P)'!AN8265,
    IF(arrears_months=0,1.00,
    IF(arrears_months=1,3.00,
    IF(arrears_months=2,5.00,
    IF(arrears_months=3,8.00,
    IF(arrears_months=4,10.00,
    IF(arrears_months=5,12.00,15.00)))))))</f>
        <v/>
      </c>
      <c r="M8265">
        <f>LET(
    seasoning_years,DATEDIF('Loan Tape (S&amp;P)'!K8265,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65">
        <f>IF(AND('Loan Tape (S&amp;P)'!U8265="Yes",
        'Loan Tape (S&amp;P)'!T8265&lt;&gt;"Yes",
        DATEDIF('Loan Tape (S&amp;P)'!K8265, TODAY(), "M")&lt;18),
    1.10,
    1.00)</f>
        <v/>
      </c>
      <c r="O8265">
        <f>IF('Loan Tape (S&amp;P)'!T8265="Yes",
    1.35,
    1.00)</f>
        <v/>
      </c>
      <c r="P8265">
        <f>IF('Loan Tape (S&amp;P)'!S8265="Yes",
    1.15,
    1.00)</f>
        <v/>
      </c>
      <c r="Q8265">
        <f>IF('Loan Tape (S&amp;P)'!V8265="Yes",
    1.20,
    1.00)</f>
        <v/>
      </c>
      <c r="T8265">
        <f>LET(
    payment_method,'Loan Tape (S&amp;P)'!P8265,
    occupancy,'Loan Tape (S&amp;P)'!N8265,
    maturity_date,'Loan Tape (S&amp;P)'!L8265,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66">
      <c r="J8266">
        <f>LET(
    lien,'Loan Tape (S&amp;P)'!Q8266,
    IF(lien="First",1.00,
        IF(lien="Second",1.50,
            1.70)))</f>
        <v/>
      </c>
      <c r="K8266">
        <f>LET(
    purpose,'Loan Tape (S&amp;P)'!R8266,
    IF(purpose="Purchase",1.00,
        IF(purpose="Remortgage",1.00,
            1.20)))</f>
        <v/>
      </c>
      <c r="L8266">
        <f>LET(
    arrears_months,'Loan Tape (S&amp;P)'!AN8266,
    IF(arrears_months=0,1.00,
    IF(arrears_months=1,3.00,
    IF(arrears_months=2,5.00,
    IF(arrears_months=3,8.00,
    IF(arrears_months=4,10.00,
    IF(arrears_months=5,12.00,15.00)))))))</f>
        <v/>
      </c>
      <c r="M8266">
        <f>LET(
    seasoning_years,DATEDIF('Loan Tape (S&amp;P)'!K8266,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66">
        <f>IF(AND('Loan Tape (S&amp;P)'!U8266="Yes",
        'Loan Tape (S&amp;P)'!T8266&lt;&gt;"Yes",
        DATEDIF('Loan Tape (S&amp;P)'!K8266, TODAY(), "M")&lt;18),
    1.10,
    1.00)</f>
        <v/>
      </c>
      <c r="O8266">
        <f>IF('Loan Tape (S&amp;P)'!T8266="Yes",
    1.35,
    1.00)</f>
        <v/>
      </c>
      <c r="P8266">
        <f>IF('Loan Tape (S&amp;P)'!S8266="Yes",
    1.15,
    1.00)</f>
        <v/>
      </c>
      <c r="Q8266">
        <f>IF('Loan Tape (S&amp;P)'!V8266="Yes",
    1.20,
    1.00)</f>
        <v/>
      </c>
      <c r="T8266">
        <f>LET(
    payment_method,'Loan Tape (S&amp;P)'!P8266,
    occupancy,'Loan Tape (S&amp;P)'!N8266,
    maturity_date,'Loan Tape (S&amp;P)'!L8266,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67">
      <c r="J8267">
        <f>LET(
    lien,'Loan Tape (S&amp;P)'!Q8267,
    IF(lien="First",1.00,
        IF(lien="Second",1.50,
            1.70)))</f>
        <v/>
      </c>
      <c r="K8267">
        <f>LET(
    purpose,'Loan Tape (S&amp;P)'!R8267,
    IF(purpose="Purchase",1.00,
        IF(purpose="Remortgage",1.00,
            1.20)))</f>
        <v/>
      </c>
      <c r="L8267">
        <f>LET(
    arrears_months,'Loan Tape (S&amp;P)'!AN8267,
    IF(arrears_months=0,1.00,
    IF(arrears_months=1,3.00,
    IF(arrears_months=2,5.00,
    IF(arrears_months=3,8.00,
    IF(arrears_months=4,10.00,
    IF(arrears_months=5,12.00,15.00)))))))</f>
        <v/>
      </c>
      <c r="M8267">
        <f>LET(
    seasoning_years,DATEDIF('Loan Tape (S&amp;P)'!K8267,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67">
        <f>IF(AND('Loan Tape (S&amp;P)'!U8267="Yes",
        'Loan Tape (S&amp;P)'!T8267&lt;&gt;"Yes",
        DATEDIF('Loan Tape (S&amp;P)'!K8267, TODAY(), "M")&lt;18),
    1.10,
    1.00)</f>
        <v/>
      </c>
      <c r="O8267">
        <f>IF('Loan Tape (S&amp;P)'!T8267="Yes",
    1.35,
    1.00)</f>
        <v/>
      </c>
      <c r="P8267">
        <f>IF('Loan Tape (S&amp;P)'!S8267="Yes",
    1.15,
    1.00)</f>
        <v/>
      </c>
      <c r="Q8267">
        <f>IF('Loan Tape (S&amp;P)'!V8267="Yes",
    1.20,
    1.00)</f>
        <v/>
      </c>
      <c r="T8267">
        <f>LET(
    payment_method,'Loan Tape (S&amp;P)'!P8267,
    occupancy,'Loan Tape (S&amp;P)'!N8267,
    maturity_date,'Loan Tape (S&amp;P)'!L8267,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68">
      <c r="J8268">
        <f>LET(
    lien,'Loan Tape (S&amp;P)'!Q8268,
    IF(lien="First",1.00,
        IF(lien="Second",1.50,
            1.70)))</f>
        <v/>
      </c>
      <c r="K8268">
        <f>LET(
    purpose,'Loan Tape (S&amp;P)'!R8268,
    IF(purpose="Purchase",1.00,
        IF(purpose="Remortgage",1.00,
            1.20)))</f>
        <v/>
      </c>
      <c r="L8268">
        <f>LET(
    arrears_months,'Loan Tape (S&amp;P)'!AN8268,
    IF(arrears_months=0,1.00,
    IF(arrears_months=1,3.00,
    IF(arrears_months=2,5.00,
    IF(arrears_months=3,8.00,
    IF(arrears_months=4,10.00,
    IF(arrears_months=5,12.00,15.00)))))))</f>
        <v/>
      </c>
      <c r="M8268">
        <f>LET(
    seasoning_years,DATEDIF('Loan Tape (S&amp;P)'!K8268,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68">
        <f>IF(AND('Loan Tape (S&amp;P)'!U8268="Yes",
        'Loan Tape (S&amp;P)'!T8268&lt;&gt;"Yes",
        DATEDIF('Loan Tape (S&amp;P)'!K8268, TODAY(), "M")&lt;18),
    1.10,
    1.00)</f>
        <v/>
      </c>
      <c r="O8268">
        <f>IF('Loan Tape (S&amp;P)'!T8268="Yes",
    1.35,
    1.00)</f>
        <v/>
      </c>
      <c r="P8268">
        <f>IF('Loan Tape (S&amp;P)'!S8268="Yes",
    1.15,
    1.00)</f>
        <v/>
      </c>
      <c r="Q8268">
        <f>IF('Loan Tape (S&amp;P)'!V8268="Yes",
    1.20,
    1.00)</f>
        <v/>
      </c>
      <c r="T8268">
        <f>LET(
    payment_method,'Loan Tape (S&amp;P)'!P8268,
    occupancy,'Loan Tape (S&amp;P)'!N8268,
    maturity_date,'Loan Tape (S&amp;P)'!L8268,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69">
      <c r="J8269">
        <f>LET(
    lien,'Loan Tape (S&amp;P)'!Q8269,
    IF(lien="First",1.00,
        IF(lien="Second",1.50,
            1.70)))</f>
        <v/>
      </c>
      <c r="K8269">
        <f>LET(
    purpose,'Loan Tape (S&amp;P)'!R8269,
    IF(purpose="Purchase",1.00,
        IF(purpose="Remortgage",1.00,
            1.20)))</f>
        <v/>
      </c>
      <c r="L8269">
        <f>LET(
    arrears_months,'Loan Tape (S&amp;P)'!AN8269,
    IF(arrears_months=0,1.00,
    IF(arrears_months=1,3.00,
    IF(arrears_months=2,5.00,
    IF(arrears_months=3,8.00,
    IF(arrears_months=4,10.00,
    IF(arrears_months=5,12.00,15.00)))))))</f>
        <v/>
      </c>
      <c r="M8269">
        <f>LET(
    seasoning_years,DATEDIF('Loan Tape (S&amp;P)'!K8269,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69">
        <f>IF(AND('Loan Tape (S&amp;P)'!U8269="Yes",
        'Loan Tape (S&amp;P)'!T8269&lt;&gt;"Yes",
        DATEDIF('Loan Tape (S&amp;P)'!K8269, TODAY(), "M")&lt;18),
    1.10,
    1.00)</f>
        <v/>
      </c>
      <c r="O8269">
        <f>IF('Loan Tape (S&amp;P)'!T8269="Yes",
    1.35,
    1.00)</f>
        <v/>
      </c>
      <c r="P8269">
        <f>IF('Loan Tape (S&amp;P)'!S8269="Yes",
    1.15,
    1.00)</f>
        <v/>
      </c>
      <c r="Q8269">
        <f>IF('Loan Tape (S&amp;P)'!V8269="Yes",
    1.20,
    1.00)</f>
        <v/>
      </c>
      <c r="T8269">
        <f>LET(
    payment_method,'Loan Tape (S&amp;P)'!P8269,
    occupancy,'Loan Tape (S&amp;P)'!N8269,
    maturity_date,'Loan Tape (S&amp;P)'!L8269,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70">
      <c r="J8270">
        <f>LET(
    lien,'Loan Tape (S&amp;P)'!Q8270,
    IF(lien="First",1.00,
        IF(lien="Second",1.50,
            1.70)))</f>
        <v/>
      </c>
      <c r="K8270">
        <f>LET(
    purpose,'Loan Tape (S&amp;P)'!R8270,
    IF(purpose="Purchase",1.00,
        IF(purpose="Remortgage",1.00,
            1.20)))</f>
        <v/>
      </c>
      <c r="L8270">
        <f>LET(
    arrears_months,'Loan Tape (S&amp;P)'!AN8270,
    IF(arrears_months=0,1.00,
    IF(arrears_months=1,3.00,
    IF(arrears_months=2,5.00,
    IF(arrears_months=3,8.00,
    IF(arrears_months=4,10.00,
    IF(arrears_months=5,12.00,15.00)))))))</f>
        <v/>
      </c>
      <c r="M8270">
        <f>LET(
    seasoning_years,DATEDIF('Loan Tape (S&amp;P)'!K8270,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70">
        <f>IF(AND('Loan Tape (S&amp;P)'!U8270="Yes",
        'Loan Tape (S&amp;P)'!T8270&lt;&gt;"Yes",
        DATEDIF('Loan Tape (S&amp;P)'!K8270, TODAY(), "M")&lt;18),
    1.10,
    1.00)</f>
        <v/>
      </c>
      <c r="O8270">
        <f>IF('Loan Tape (S&amp;P)'!T8270="Yes",
    1.35,
    1.00)</f>
        <v/>
      </c>
      <c r="P8270">
        <f>IF('Loan Tape (S&amp;P)'!S8270="Yes",
    1.15,
    1.00)</f>
        <v/>
      </c>
      <c r="Q8270">
        <f>IF('Loan Tape (S&amp;P)'!V8270="Yes",
    1.20,
    1.00)</f>
        <v/>
      </c>
      <c r="T8270">
        <f>LET(
    payment_method,'Loan Tape (S&amp;P)'!P8270,
    occupancy,'Loan Tape (S&amp;P)'!N8270,
    maturity_date,'Loan Tape (S&amp;P)'!L8270,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71">
      <c r="J8271">
        <f>LET(
    lien,'Loan Tape (S&amp;P)'!Q8271,
    IF(lien="First",1.00,
        IF(lien="Second",1.50,
            1.70)))</f>
        <v/>
      </c>
      <c r="K8271">
        <f>LET(
    purpose,'Loan Tape (S&amp;P)'!R8271,
    IF(purpose="Purchase",1.00,
        IF(purpose="Remortgage",1.00,
            1.20)))</f>
        <v/>
      </c>
      <c r="L8271">
        <f>LET(
    arrears_months,'Loan Tape (S&amp;P)'!AN8271,
    IF(arrears_months=0,1.00,
    IF(arrears_months=1,3.00,
    IF(arrears_months=2,5.00,
    IF(arrears_months=3,8.00,
    IF(arrears_months=4,10.00,
    IF(arrears_months=5,12.00,15.00)))))))</f>
        <v/>
      </c>
      <c r="M8271">
        <f>LET(
    seasoning_years,DATEDIF('Loan Tape (S&amp;P)'!K8271,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71">
        <f>IF(AND('Loan Tape (S&amp;P)'!U8271="Yes",
        'Loan Tape (S&amp;P)'!T8271&lt;&gt;"Yes",
        DATEDIF('Loan Tape (S&amp;P)'!K8271, TODAY(), "M")&lt;18),
    1.10,
    1.00)</f>
        <v/>
      </c>
      <c r="O8271">
        <f>IF('Loan Tape (S&amp;P)'!T8271="Yes",
    1.35,
    1.00)</f>
        <v/>
      </c>
      <c r="P8271">
        <f>IF('Loan Tape (S&amp;P)'!S8271="Yes",
    1.15,
    1.00)</f>
        <v/>
      </c>
      <c r="Q8271">
        <f>IF('Loan Tape (S&amp;P)'!V8271="Yes",
    1.20,
    1.00)</f>
        <v/>
      </c>
      <c r="T8271">
        <f>LET(
    payment_method,'Loan Tape (S&amp;P)'!P8271,
    occupancy,'Loan Tape (S&amp;P)'!N8271,
    maturity_date,'Loan Tape (S&amp;P)'!L8271,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72">
      <c r="J8272">
        <f>LET(
    lien,'Loan Tape (S&amp;P)'!Q8272,
    IF(lien="First",1.00,
        IF(lien="Second",1.50,
            1.70)))</f>
        <v/>
      </c>
      <c r="K8272">
        <f>LET(
    purpose,'Loan Tape (S&amp;P)'!R8272,
    IF(purpose="Purchase",1.00,
        IF(purpose="Remortgage",1.00,
            1.20)))</f>
        <v/>
      </c>
      <c r="L8272">
        <f>LET(
    arrears_months,'Loan Tape (S&amp;P)'!AN8272,
    IF(arrears_months=0,1.00,
    IF(arrears_months=1,3.00,
    IF(arrears_months=2,5.00,
    IF(arrears_months=3,8.00,
    IF(arrears_months=4,10.00,
    IF(arrears_months=5,12.00,15.00)))))))</f>
        <v/>
      </c>
      <c r="M8272">
        <f>LET(
    seasoning_years,DATEDIF('Loan Tape (S&amp;P)'!K8272,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72">
        <f>IF(AND('Loan Tape (S&amp;P)'!U8272="Yes",
        'Loan Tape (S&amp;P)'!T8272&lt;&gt;"Yes",
        DATEDIF('Loan Tape (S&amp;P)'!K8272, TODAY(), "M")&lt;18),
    1.10,
    1.00)</f>
        <v/>
      </c>
      <c r="O8272">
        <f>IF('Loan Tape (S&amp;P)'!T8272="Yes",
    1.35,
    1.00)</f>
        <v/>
      </c>
      <c r="P8272">
        <f>IF('Loan Tape (S&amp;P)'!S8272="Yes",
    1.15,
    1.00)</f>
        <v/>
      </c>
      <c r="Q8272">
        <f>IF('Loan Tape (S&amp;P)'!V8272="Yes",
    1.20,
    1.00)</f>
        <v/>
      </c>
      <c r="T8272">
        <f>LET(
    payment_method,'Loan Tape (S&amp;P)'!P8272,
    occupancy,'Loan Tape (S&amp;P)'!N8272,
    maturity_date,'Loan Tape (S&amp;P)'!L8272,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73">
      <c r="J8273">
        <f>LET(
    lien,'Loan Tape (S&amp;P)'!Q8273,
    IF(lien="First",1.00,
        IF(lien="Second",1.50,
            1.70)))</f>
        <v/>
      </c>
      <c r="K8273">
        <f>LET(
    purpose,'Loan Tape (S&amp;P)'!R8273,
    IF(purpose="Purchase",1.00,
        IF(purpose="Remortgage",1.00,
            1.20)))</f>
        <v/>
      </c>
      <c r="L8273">
        <f>LET(
    arrears_months,'Loan Tape (S&amp;P)'!AN8273,
    IF(arrears_months=0,1.00,
    IF(arrears_months=1,3.00,
    IF(arrears_months=2,5.00,
    IF(arrears_months=3,8.00,
    IF(arrears_months=4,10.00,
    IF(arrears_months=5,12.00,15.00)))))))</f>
        <v/>
      </c>
      <c r="M8273">
        <f>LET(
    seasoning_years,DATEDIF('Loan Tape (S&amp;P)'!K8273,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73">
        <f>IF(AND('Loan Tape (S&amp;P)'!U8273="Yes",
        'Loan Tape (S&amp;P)'!T8273&lt;&gt;"Yes",
        DATEDIF('Loan Tape (S&amp;P)'!K8273, TODAY(), "M")&lt;18),
    1.10,
    1.00)</f>
        <v/>
      </c>
      <c r="O8273">
        <f>IF('Loan Tape (S&amp;P)'!T8273="Yes",
    1.35,
    1.00)</f>
        <v/>
      </c>
      <c r="P8273">
        <f>IF('Loan Tape (S&amp;P)'!S8273="Yes",
    1.15,
    1.00)</f>
        <v/>
      </c>
      <c r="Q8273">
        <f>IF('Loan Tape (S&amp;P)'!V8273="Yes",
    1.20,
    1.00)</f>
        <v/>
      </c>
      <c r="T8273">
        <f>LET(
    payment_method,'Loan Tape (S&amp;P)'!P8273,
    occupancy,'Loan Tape (S&amp;P)'!N8273,
    maturity_date,'Loan Tape (S&amp;P)'!L8273,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74">
      <c r="J8274">
        <f>LET(
    lien,'Loan Tape (S&amp;P)'!Q8274,
    IF(lien="First",1.00,
        IF(lien="Second",1.50,
            1.70)))</f>
        <v/>
      </c>
      <c r="K8274">
        <f>LET(
    purpose,'Loan Tape (S&amp;P)'!R8274,
    IF(purpose="Purchase",1.00,
        IF(purpose="Remortgage",1.00,
            1.20)))</f>
        <v/>
      </c>
      <c r="L8274">
        <f>LET(
    arrears_months,'Loan Tape (S&amp;P)'!AN8274,
    IF(arrears_months=0,1.00,
    IF(arrears_months=1,3.00,
    IF(arrears_months=2,5.00,
    IF(arrears_months=3,8.00,
    IF(arrears_months=4,10.00,
    IF(arrears_months=5,12.00,15.00)))))))</f>
        <v/>
      </c>
      <c r="M8274">
        <f>LET(
    seasoning_years,DATEDIF('Loan Tape (S&amp;P)'!K8274,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74">
        <f>IF(AND('Loan Tape (S&amp;P)'!U8274="Yes",
        'Loan Tape (S&amp;P)'!T8274&lt;&gt;"Yes",
        DATEDIF('Loan Tape (S&amp;P)'!K8274, TODAY(), "M")&lt;18),
    1.10,
    1.00)</f>
        <v/>
      </c>
      <c r="O8274">
        <f>IF('Loan Tape (S&amp;P)'!T8274="Yes",
    1.35,
    1.00)</f>
        <v/>
      </c>
      <c r="P8274">
        <f>IF('Loan Tape (S&amp;P)'!S8274="Yes",
    1.15,
    1.00)</f>
        <v/>
      </c>
      <c r="Q8274">
        <f>IF('Loan Tape (S&amp;P)'!V8274="Yes",
    1.20,
    1.00)</f>
        <v/>
      </c>
      <c r="T8274">
        <f>LET(
    payment_method,'Loan Tape (S&amp;P)'!P8274,
    occupancy,'Loan Tape (S&amp;P)'!N8274,
    maturity_date,'Loan Tape (S&amp;P)'!L8274,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75">
      <c r="J8275">
        <f>LET(
    lien,'Loan Tape (S&amp;P)'!Q8275,
    IF(lien="First",1.00,
        IF(lien="Second",1.50,
            1.70)))</f>
        <v/>
      </c>
      <c r="K8275">
        <f>LET(
    purpose,'Loan Tape (S&amp;P)'!R8275,
    IF(purpose="Purchase",1.00,
        IF(purpose="Remortgage",1.00,
            1.20)))</f>
        <v/>
      </c>
      <c r="L8275">
        <f>LET(
    arrears_months,'Loan Tape (S&amp;P)'!AN8275,
    IF(arrears_months=0,1.00,
    IF(arrears_months=1,3.00,
    IF(arrears_months=2,5.00,
    IF(arrears_months=3,8.00,
    IF(arrears_months=4,10.00,
    IF(arrears_months=5,12.00,15.00)))))))</f>
        <v/>
      </c>
      <c r="M8275">
        <f>LET(
    seasoning_years,DATEDIF('Loan Tape (S&amp;P)'!K8275,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75">
        <f>IF(AND('Loan Tape (S&amp;P)'!U8275="Yes",
        'Loan Tape (S&amp;P)'!T8275&lt;&gt;"Yes",
        DATEDIF('Loan Tape (S&amp;P)'!K8275, TODAY(), "M")&lt;18),
    1.10,
    1.00)</f>
        <v/>
      </c>
      <c r="O8275">
        <f>IF('Loan Tape (S&amp;P)'!T8275="Yes",
    1.35,
    1.00)</f>
        <v/>
      </c>
      <c r="P8275">
        <f>IF('Loan Tape (S&amp;P)'!S8275="Yes",
    1.15,
    1.00)</f>
        <v/>
      </c>
      <c r="Q8275">
        <f>IF('Loan Tape (S&amp;P)'!V8275="Yes",
    1.20,
    1.00)</f>
        <v/>
      </c>
      <c r="T8275">
        <f>LET(
    payment_method,'Loan Tape (S&amp;P)'!P8275,
    occupancy,'Loan Tape (S&amp;P)'!N8275,
    maturity_date,'Loan Tape (S&amp;P)'!L8275,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76">
      <c r="J8276">
        <f>LET(
    lien,'Loan Tape (S&amp;P)'!Q8276,
    IF(lien="First",1.00,
        IF(lien="Second",1.50,
            1.70)))</f>
        <v/>
      </c>
      <c r="K8276">
        <f>LET(
    purpose,'Loan Tape (S&amp;P)'!R8276,
    IF(purpose="Purchase",1.00,
        IF(purpose="Remortgage",1.00,
            1.20)))</f>
        <v/>
      </c>
      <c r="L8276">
        <f>LET(
    arrears_months,'Loan Tape (S&amp;P)'!AN8276,
    IF(arrears_months=0,1.00,
    IF(arrears_months=1,3.00,
    IF(arrears_months=2,5.00,
    IF(arrears_months=3,8.00,
    IF(arrears_months=4,10.00,
    IF(arrears_months=5,12.00,15.00)))))))</f>
        <v/>
      </c>
      <c r="M8276">
        <f>LET(
    seasoning_years,DATEDIF('Loan Tape (S&amp;P)'!K8276,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76">
        <f>IF(AND('Loan Tape (S&amp;P)'!U8276="Yes",
        'Loan Tape (S&amp;P)'!T8276&lt;&gt;"Yes",
        DATEDIF('Loan Tape (S&amp;P)'!K8276, TODAY(), "M")&lt;18),
    1.10,
    1.00)</f>
        <v/>
      </c>
      <c r="O8276">
        <f>IF('Loan Tape (S&amp;P)'!T8276="Yes",
    1.35,
    1.00)</f>
        <v/>
      </c>
      <c r="P8276">
        <f>IF('Loan Tape (S&amp;P)'!S8276="Yes",
    1.15,
    1.00)</f>
        <v/>
      </c>
      <c r="Q8276">
        <f>IF('Loan Tape (S&amp;P)'!V8276="Yes",
    1.20,
    1.00)</f>
        <v/>
      </c>
      <c r="T8276">
        <f>LET(
    payment_method,'Loan Tape (S&amp;P)'!P8276,
    occupancy,'Loan Tape (S&amp;P)'!N8276,
    maturity_date,'Loan Tape (S&amp;P)'!L8276,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77">
      <c r="J8277">
        <f>LET(
    lien,'Loan Tape (S&amp;P)'!Q8277,
    IF(lien="First",1.00,
        IF(lien="Second",1.50,
            1.70)))</f>
        <v/>
      </c>
      <c r="K8277">
        <f>LET(
    purpose,'Loan Tape (S&amp;P)'!R8277,
    IF(purpose="Purchase",1.00,
        IF(purpose="Remortgage",1.00,
            1.20)))</f>
        <v/>
      </c>
      <c r="L8277">
        <f>LET(
    arrears_months,'Loan Tape (S&amp;P)'!AN8277,
    IF(arrears_months=0,1.00,
    IF(arrears_months=1,3.00,
    IF(arrears_months=2,5.00,
    IF(arrears_months=3,8.00,
    IF(arrears_months=4,10.00,
    IF(arrears_months=5,12.00,15.00)))))))</f>
        <v/>
      </c>
      <c r="M8277">
        <f>LET(
    seasoning_years,DATEDIF('Loan Tape (S&amp;P)'!K8277,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77">
        <f>IF(AND('Loan Tape (S&amp;P)'!U8277="Yes",
        'Loan Tape (S&amp;P)'!T8277&lt;&gt;"Yes",
        DATEDIF('Loan Tape (S&amp;P)'!K8277, TODAY(), "M")&lt;18),
    1.10,
    1.00)</f>
        <v/>
      </c>
      <c r="O8277">
        <f>IF('Loan Tape (S&amp;P)'!T8277="Yes",
    1.35,
    1.00)</f>
        <v/>
      </c>
      <c r="P8277">
        <f>IF('Loan Tape (S&amp;P)'!S8277="Yes",
    1.15,
    1.00)</f>
        <v/>
      </c>
      <c r="Q8277">
        <f>IF('Loan Tape (S&amp;P)'!V8277="Yes",
    1.20,
    1.00)</f>
        <v/>
      </c>
      <c r="T8277">
        <f>LET(
    payment_method,'Loan Tape (S&amp;P)'!P8277,
    occupancy,'Loan Tape (S&amp;P)'!N8277,
    maturity_date,'Loan Tape (S&amp;P)'!L8277,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78">
      <c r="J8278">
        <f>LET(
    lien,'Loan Tape (S&amp;P)'!Q8278,
    IF(lien="First",1.00,
        IF(lien="Second",1.50,
            1.70)))</f>
        <v/>
      </c>
      <c r="K8278">
        <f>LET(
    purpose,'Loan Tape (S&amp;P)'!R8278,
    IF(purpose="Purchase",1.00,
        IF(purpose="Remortgage",1.00,
            1.20)))</f>
        <v/>
      </c>
      <c r="L8278">
        <f>LET(
    arrears_months,'Loan Tape (S&amp;P)'!AN8278,
    IF(arrears_months=0,1.00,
    IF(arrears_months=1,3.00,
    IF(arrears_months=2,5.00,
    IF(arrears_months=3,8.00,
    IF(arrears_months=4,10.00,
    IF(arrears_months=5,12.00,15.00)))))))</f>
        <v/>
      </c>
      <c r="M8278">
        <f>LET(
    seasoning_years,DATEDIF('Loan Tape (S&amp;P)'!K8278,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78">
        <f>IF(AND('Loan Tape (S&amp;P)'!U8278="Yes",
        'Loan Tape (S&amp;P)'!T8278&lt;&gt;"Yes",
        DATEDIF('Loan Tape (S&amp;P)'!K8278, TODAY(), "M")&lt;18),
    1.10,
    1.00)</f>
        <v/>
      </c>
      <c r="O8278">
        <f>IF('Loan Tape (S&amp;P)'!T8278="Yes",
    1.35,
    1.00)</f>
        <v/>
      </c>
      <c r="P8278">
        <f>IF('Loan Tape (S&amp;P)'!S8278="Yes",
    1.15,
    1.00)</f>
        <v/>
      </c>
      <c r="Q8278">
        <f>IF('Loan Tape (S&amp;P)'!V8278="Yes",
    1.20,
    1.00)</f>
        <v/>
      </c>
      <c r="T8278">
        <f>LET(
    payment_method,'Loan Tape (S&amp;P)'!P8278,
    occupancy,'Loan Tape (S&amp;P)'!N8278,
    maturity_date,'Loan Tape (S&amp;P)'!L8278,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79">
      <c r="J8279">
        <f>LET(
    lien,'Loan Tape (S&amp;P)'!Q8279,
    IF(lien="First",1.00,
        IF(lien="Second",1.50,
            1.70)))</f>
        <v/>
      </c>
      <c r="K8279">
        <f>LET(
    purpose,'Loan Tape (S&amp;P)'!R8279,
    IF(purpose="Purchase",1.00,
        IF(purpose="Remortgage",1.00,
            1.20)))</f>
        <v/>
      </c>
      <c r="L8279">
        <f>LET(
    arrears_months,'Loan Tape (S&amp;P)'!AN8279,
    IF(arrears_months=0,1.00,
    IF(arrears_months=1,3.00,
    IF(arrears_months=2,5.00,
    IF(arrears_months=3,8.00,
    IF(arrears_months=4,10.00,
    IF(arrears_months=5,12.00,15.00)))))))</f>
        <v/>
      </c>
      <c r="M8279">
        <f>LET(
    seasoning_years,DATEDIF('Loan Tape (S&amp;P)'!K8279,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79">
        <f>IF(AND('Loan Tape (S&amp;P)'!U8279="Yes",
        'Loan Tape (S&amp;P)'!T8279&lt;&gt;"Yes",
        DATEDIF('Loan Tape (S&amp;P)'!K8279, TODAY(), "M")&lt;18),
    1.10,
    1.00)</f>
        <v/>
      </c>
      <c r="O8279">
        <f>IF('Loan Tape (S&amp;P)'!T8279="Yes",
    1.35,
    1.00)</f>
        <v/>
      </c>
      <c r="P8279">
        <f>IF('Loan Tape (S&amp;P)'!S8279="Yes",
    1.15,
    1.00)</f>
        <v/>
      </c>
      <c r="Q8279">
        <f>IF('Loan Tape (S&amp;P)'!V8279="Yes",
    1.20,
    1.00)</f>
        <v/>
      </c>
      <c r="T8279">
        <f>LET(
    payment_method,'Loan Tape (S&amp;P)'!P8279,
    occupancy,'Loan Tape (S&amp;P)'!N8279,
    maturity_date,'Loan Tape (S&amp;P)'!L8279,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80">
      <c r="J8280">
        <f>LET(
    lien,'Loan Tape (S&amp;P)'!Q8280,
    IF(lien="First",1.00,
        IF(lien="Second",1.50,
            1.70)))</f>
        <v/>
      </c>
      <c r="K8280">
        <f>LET(
    purpose,'Loan Tape (S&amp;P)'!R8280,
    IF(purpose="Purchase",1.00,
        IF(purpose="Remortgage",1.00,
            1.20)))</f>
        <v/>
      </c>
      <c r="L8280">
        <f>LET(
    arrears_months,'Loan Tape (S&amp;P)'!AN8280,
    IF(arrears_months=0,1.00,
    IF(arrears_months=1,3.00,
    IF(arrears_months=2,5.00,
    IF(arrears_months=3,8.00,
    IF(arrears_months=4,10.00,
    IF(arrears_months=5,12.00,15.00)))))))</f>
        <v/>
      </c>
      <c r="M8280">
        <f>LET(
    seasoning_years,DATEDIF('Loan Tape (S&amp;P)'!K8280,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80">
        <f>IF(AND('Loan Tape (S&amp;P)'!U8280="Yes",
        'Loan Tape (S&amp;P)'!T8280&lt;&gt;"Yes",
        DATEDIF('Loan Tape (S&amp;P)'!K8280, TODAY(), "M")&lt;18),
    1.10,
    1.00)</f>
        <v/>
      </c>
      <c r="O8280">
        <f>IF('Loan Tape (S&amp;P)'!T8280="Yes",
    1.35,
    1.00)</f>
        <v/>
      </c>
      <c r="P8280">
        <f>IF('Loan Tape (S&amp;P)'!S8280="Yes",
    1.15,
    1.00)</f>
        <v/>
      </c>
      <c r="Q8280">
        <f>IF('Loan Tape (S&amp;P)'!V8280="Yes",
    1.20,
    1.00)</f>
        <v/>
      </c>
      <c r="T8280">
        <f>LET(
    payment_method,'Loan Tape (S&amp;P)'!P8280,
    occupancy,'Loan Tape (S&amp;P)'!N8280,
    maturity_date,'Loan Tape (S&amp;P)'!L8280,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81">
      <c r="J8281">
        <f>LET(
    lien,'Loan Tape (S&amp;P)'!Q8281,
    IF(lien="First",1.00,
        IF(lien="Second",1.50,
            1.70)))</f>
        <v/>
      </c>
      <c r="K8281">
        <f>LET(
    purpose,'Loan Tape (S&amp;P)'!R8281,
    IF(purpose="Purchase",1.00,
        IF(purpose="Remortgage",1.00,
            1.20)))</f>
        <v/>
      </c>
      <c r="L8281">
        <f>LET(
    arrears_months,'Loan Tape (S&amp;P)'!AN8281,
    IF(arrears_months=0,1.00,
    IF(arrears_months=1,3.00,
    IF(arrears_months=2,5.00,
    IF(arrears_months=3,8.00,
    IF(arrears_months=4,10.00,
    IF(arrears_months=5,12.00,15.00)))))))</f>
        <v/>
      </c>
      <c r="M8281">
        <f>LET(
    seasoning_years,DATEDIF('Loan Tape (S&amp;P)'!K8281,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81">
        <f>IF(AND('Loan Tape (S&amp;P)'!U8281="Yes",
        'Loan Tape (S&amp;P)'!T8281&lt;&gt;"Yes",
        DATEDIF('Loan Tape (S&amp;P)'!K8281, TODAY(), "M")&lt;18),
    1.10,
    1.00)</f>
        <v/>
      </c>
      <c r="O8281">
        <f>IF('Loan Tape (S&amp;P)'!T8281="Yes",
    1.35,
    1.00)</f>
        <v/>
      </c>
      <c r="P8281">
        <f>IF('Loan Tape (S&amp;P)'!S8281="Yes",
    1.15,
    1.00)</f>
        <v/>
      </c>
      <c r="Q8281">
        <f>IF('Loan Tape (S&amp;P)'!V8281="Yes",
    1.20,
    1.00)</f>
        <v/>
      </c>
      <c r="T8281">
        <f>LET(
    payment_method,'Loan Tape (S&amp;P)'!P8281,
    occupancy,'Loan Tape (S&amp;P)'!N8281,
    maturity_date,'Loan Tape (S&amp;P)'!L8281,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82">
      <c r="J8282">
        <f>LET(
    lien,'Loan Tape (S&amp;P)'!Q8282,
    IF(lien="First",1.00,
        IF(lien="Second",1.50,
            1.70)))</f>
        <v/>
      </c>
      <c r="K8282">
        <f>LET(
    purpose,'Loan Tape (S&amp;P)'!R8282,
    IF(purpose="Purchase",1.00,
        IF(purpose="Remortgage",1.00,
            1.20)))</f>
        <v/>
      </c>
      <c r="L8282">
        <f>LET(
    arrears_months,'Loan Tape (S&amp;P)'!AN8282,
    IF(arrears_months=0,1.00,
    IF(arrears_months=1,3.00,
    IF(arrears_months=2,5.00,
    IF(arrears_months=3,8.00,
    IF(arrears_months=4,10.00,
    IF(arrears_months=5,12.00,15.00)))))))</f>
        <v/>
      </c>
      <c r="M8282">
        <f>LET(
    seasoning_years,DATEDIF('Loan Tape (S&amp;P)'!K8282,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82">
        <f>IF(AND('Loan Tape (S&amp;P)'!U8282="Yes",
        'Loan Tape (S&amp;P)'!T8282&lt;&gt;"Yes",
        DATEDIF('Loan Tape (S&amp;P)'!K8282, TODAY(), "M")&lt;18),
    1.10,
    1.00)</f>
        <v/>
      </c>
      <c r="O8282">
        <f>IF('Loan Tape (S&amp;P)'!T8282="Yes",
    1.35,
    1.00)</f>
        <v/>
      </c>
      <c r="P8282">
        <f>IF('Loan Tape (S&amp;P)'!S8282="Yes",
    1.15,
    1.00)</f>
        <v/>
      </c>
      <c r="Q8282">
        <f>IF('Loan Tape (S&amp;P)'!V8282="Yes",
    1.20,
    1.00)</f>
        <v/>
      </c>
      <c r="T8282">
        <f>LET(
    payment_method,'Loan Tape (S&amp;P)'!P8282,
    occupancy,'Loan Tape (S&amp;P)'!N8282,
    maturity_date,'Loan Tape (S&amp;P)'!L8282,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83">
      <c r="J8283">
        <f>LET(
    lien,'Loan Tape (S&amp;P)'!Q8283,
    IF(lien="First",1.00,
        IF(lien="Second",1.50,
            1.70)))</f>
        <v/>
      </c>
      <c r="K8283">
        <f>LET(
    purpose,'Loan Tape (S&amp;P)'!R8283,
    IF(purpose="Purchase",1.00,
        IF(purpose="Remortgage",1.00,
            1.20)))</f>
        <v/>
      </c>
      <c r="L8283">
        <f>LET(
    arrears_months,'Loan Tape (S&amp;P)'!AN8283,
    IF(arrears_months=0,1.00,
    IF(arrears_months=1,3.00,
    IF(arrears_months=2,5.00,
    IF(arrears_months=3,8.00,
    IF(arrears_months=4,10.00,
    IF(arrears_months=5,12.00,15.00)))))))</f>
        <v/>
      </c>
      <c r="M8283">
        <f>LET(
    seasoning_years,DATEDIF('Loan Tape (S&amp;P)'!K8283,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83">
        <f>IF(AND('Loan Tape (S&amp;P)'!U8283="Yes",
        'Loan Tape (S&amp;P)'!T8283&lt;&gt;"Yes",
        DATEDIF('Loan Tape (S&amp;P)'!K8283, TODAY(), "M")&lt;18),
    1.10,
    1.00)</f>
        <v/>
      </c>
      <c r="O8283">
        <f>IF('Loan Tape (S&amp;P)'!T8283="Yes",
    1.35,
    1.00)</f>
        <v/>
      </c>
      <c r="P8283">
        <f>IF('Loan Tape (S&amp;P)'!S8283="Yes",
    1.15,
    1.00)</f>
        <v/>
      </c>
      <c r="Q8283">
        <f>IF('Loan Tape (S&amp;P)'!V8283="Yes",
    1.20,
    1.00)</f>
        <v/>
      </c>
      <c r="T8283">
        <f>LET(
    payment_method,'Loan Tape (S&amp;P)'!P8283,
    occupancy,'Loan Tape (S&amp;P)'!N8283,
    maturity_date,'Loan Tape (S&amp;P)'!L8283,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84">
      <c r="J8284">
        <f>LET(
    lien,'Loan Tape (S&amp;P)'!Q8284,
    IF(lien="First",1.00,
        IF(lien="Second",1.50,
            1.70)))</f>
        <v/>
      </c>
      <c r="K8284">
        <f>LET(
    purpose,'Loan Tape (S&amp;P)'!R8284,
    IF(purpose="Purchase",1.00,
        IF(purpose="Remortgage",1.00,
            1.20)))</f>
        <v/>
      </c>
      <c r="L8284">
        <f>LET(
    arrears_months,'Loan Tape (S&amp;P)'!AN8284,
    IF(arrears_months=0,1.00,
    IF(arrears_months=1,3.00,
    IF(arrears_months=2,5.00,
    IF(arrears_months=3,8.00,
    IF(arrears_months=4,10.00,
    IF(arrears_months=5,12.00,15.00)))))))</f>
        <v/>
      </c>
      <c r="M8284">
        <f>LET(
    seasoning_years,DATEDIF('Loan Tape (S&amp;P)'!K8284,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84">
        <f>IF(AND('Loan Tape (S&amp;P)'!U8284="Yes",
        'Loan Tape (S&amp;P)'!T8284&lt;&gt;"Yes",
        DATEDIF('Loan Tape (S&amp;P)'!K8284, TODAY(), "M")&lt;18),
    1.10,
    1.00)</f>
        <v/>
      </c>
      <c r="O8284">
        <f>IF('Loan Tape (S&amp;P)'!T8284="Yes",
    1.35,
    1.00)</f>
        <v/>
      </c>
      <c r="P8284">
        <f>IF('Loan Tape (S&amp;P)'!S8284="Yes",
    1.15,
    1.00)</f>
        <v/>
      </c>
      <c r="Q8284">
        <f>IF('Loan Tape (S&amp;P)'!V8284="Yes",
    1.20,
    1.00)</f>
        <v/>
      </c>
      <c r="T8284">
        <f>LET(
    payment_method,'Loan Tape (S&amp;P)'!P8284,
    occupancy,'Loan Tape (S&amp;P)'!N8284,
    maturity_date,'Loan Tape (S&amp;P)'!L8284,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85">
      <c r="J8285">
        <f>LET(
    lien,'Loan Tape (S&amp;P)'!Q8285,
    IF(lien="First",1.00,
        IF(lien="Second",1.50,
            1.70)))</f>
        <v/>
      </c>
      <c r="K8285">
        <f>LET(
    purpose,'Loan Tape (S&amp;P)'!R8285,
    IF(purpose="Purchase",1.00,
        IF(purpose="Remortgage",1.00,
            1.20)))</f>
        <v/>
      </c>
      <c r="L8285">
        <f>LET(
    arrears_months,'Loan Tape (S&amp;P)'!AN8285,
    IF(arrears_months=0,1.00,
    IF(arrears_months=1,3.00,
    IF(arrears_months=2,5.00,
    IF(arrears_months=3,8.00,
    IF(arrears_months=4,10.00,
    IF(arrears_months=5,12.00,15.00)))))))</f>
        <v/>
      </c>
      <c r="M8285">
        <f>LET(
    seasoning_years,DATEDIF('Loan Tape (S&amp;P)'!K8285,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85">
        <f>IF(AND('Loan Tape (S&amp;P)'!U8285="Yes",
        'Loan Tape (S&amp;P)'!T8285&lt;&gt;"Yes",
        DATEDIF('Loan Tape (S&amp;P)'!K8285, TODAY(), "M")&lt;18),
    1.10,
    1.00)</f>
        <v/>
      </c>
      <c r="O8285">
        <f>IF('Loan Tape (S&amp;P)'!T8285="Yes",
    1.35,
    1.00)</f>
        <v/>
      </c>
      <c r="P8285">
        <f>IF('Loan Tape (S&amp;P)'!S8285="Yes",
    1.15,
    1.00)</f>
        <v/>
      </c>
      <c r="Q8285">
        <f>IF('Loan Tape (S&amp;P)'!V8285="Yes",
    1.20,
    1.00)</f>
        <v/>
      </c>
      <c r="T8285">
        <f>LET(
    payment_method,'Loan Tape (S&amp;P)'!P8285,
    occupancy,'Loan Tape (S&amp;P)'!N8285,
    maturity_date,'Loan Tape (S&amp;P)'!L8285,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86">
      <c r="J8286">
        <f>LET(
    lien,'Loan Tape (S&amp;P)'!Q8286,
    IF(lien="First",1.00,
        IF(lien="Second",1.50,
            1.70)))</f>
        <v/>
      </c>
      <c r="K8286">
        <f>LET(
    purpose,'Loan Tape (S&amp;P)'!R8286,
    IF(purpose="Purchase",1.00,
        IF(purpose="Remortgage",1.00,
            1.20)))</f>
        <v/>
      </c>
      <c r="L8286">
        <f>LET(
    arrears_months,'Loan Tape (S&amp;P)'!AN8286,
    IF(arrears_months=0,1.00,
    IF(arrears_months=1,3.00,
    IF(arrears_months=2,5.00,
    IF(arrears_months=3,8.00,
    IF(arrears_months=4,10.00,
    IF(arrears_months=5,12.00,15.00)))))))</f>
        <v/>
      </c>
      <c r="M8286">
        <f>LET(
    seasoning_years,DATEDIF('Loan Tape (S&amp;P)'!K8286,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86">
        <f>IF(AND('Loan Tape (S&amp;P)'!U8286="Yes",
        'Loan Tape (S&amp;P)'!T8286&lt;&gt;"Yes",
        DATEDIF('Loan Tape (S&amp;P)'!K8286, TODAY(), "M")&lt;18),
    1.10,
    1.00)</f>
        <v/>
      </c>
      <c r="O8286">
        <f>IF('Loan Tape (S&amp;P)'!T8286="Yes",
    1.35,
    1.00)</f>
        <v/>
      </c>
      <c r="P8286">
        <f>IF('Loan Tape (S&amp;P)'!S8286="Yes",
    1.15,
    1.00)</f>
        <v/>
      </c>
      <c r="Q8286">
        <f>IF('Loan Tape (S&amp;P)'!V8286="Yes",
    1.20,
    1.00)</f>
        <v/>
      </c>
      <c r="T8286">
        <f>LET(
    payment_method,'Loan Tape (S&amp;P)'!P8286,
    occupancy,'Loan Tape (S&amp;P)'!N8286,
    maturity_date,'Loan Tape (S&amp;P)'!L8286,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87">
      <c r="J8287">
        <f>LET(
    lien,'Loan Tape (S&amp;P)'!Q8287,
    IF(lien="First",1.00,
        IF(lien="Second",1.50,
            1.70)))</f>
        <v/>
      </c>
      <c r="K8287">
        <f>LET(
    purpose,'Loan Tape (S&amp;P)'!R8287,
    IF(purpose="Purchase",1.00,
        IF(purpose="Remortgage",1.00,
            1.20)))</f>
        <v/>
      </c>
      <c r="L8287">
        <f>LET(
    arrears_months,'Loan Tape (S&amp;P)'!AN8287,
    IF(arrears_months=0,1.00,
    IF(arrears_months=1,3.00,
    IF(arrears_months=2,5.00,
    IF(arrears_months=3,8.00,
    IF(arrears_months=4,10.00,
    IF(arrears_months=5,12.00,15.00)))))))</f>
        <v/>
      </c>
      <c r="M8287">
        <f>LET(
    seasoning_years,DATEDIF('Loan Tape (S&amp;P)'!K8287,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87">
        <f>IF(AND('Loan Tape (S&amp;P)'!U8287="Yes",
        'Loan Tape (S&amp;P)'!T8287&lt;&gt;"Yes",
        DATEDIF('Loan Tape (S&amp;P)'!K8287, TODAY(), "M")&lt;18),
    1.10,
    1.00)</f>
        <v/>
      </c>
      <c r="O8287">
        <f>IF('Loan Tape (S&amp;P)'!T8287="Yes",
    1.35,
    1.00)</f>
        <v/>
      </c>
      <c r="P8287">
        <f>IF('Loan Tape (S&amp;P)'!S8287="Yes",
    1.15,
    1.00)</f>
        <v/>
      </c>
      <c r="Q8287">
        <f>IF('Loan Tape (S&amp;P)'!V8287="Yes",
    1.20,
    1.00)</f>
        <v/>
      </c>
      <c r="T8287">
        <f>LET(
    payment_method,'Loan Tape (S&amp;P)'!P8287,
    occupancy,'Loan Tape (S&amp;P)'!N8287,
    maturity_date,'Loan Tape (S&amp;P)'!L8287,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88">
      <c r="J8288">
        <f>LET(
    lien,'Loan Tape (S&amp;P)'!Q8288,
    IF(lien="First",1.00,
        IF(lien="Second",1.50,
            1.70)))</f>
        <v/>
      </c>
      <c r="K8288">
        <f>LET(
    purpose,'Loan Tape (S&amp;P)'!R8288,
    IF(purpose="Purchase",1.00,
        IF(purpose="Remortgage",1.00,
            1.20)))</f>
        <v/>
      </c>
      <c r="L8288">
        <f>LET(
    arrears_months,'Loan Tape (S&amp;P)'!AN8288,
    IF(arrears_months=0,1.00,
    IF(arrears_months=1,3.00,
    IF(arrears_months=2,5.00,
    IF(arrears_months=3,8.00,
    IF(arrears_months=4,10.00,
    IF(arrears_months=5,12.00,15.00)))))))</f>
        <v/>
      </c>
      <c r="M8288">
        <f>LET(
    seasoning_years,DATEDIF('Loan Tape (S&amp;P)'!K8288,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88">
        <f>IF(AND('Loan Tape (S&amp;P)'!U8288="Yes",
        'Loan Tape (S&amp;P)'!T8288&lt;&gt;"Yes",
        DATEDIF('Loan Tape (S&amp;P)'!K8288, TODAY(), "M")&lt;18),
    1.10,
    1.00)</f>
        <v/>
      </c>
      <c r="O8288">
        <f>IF('Loan Tape (S&amp;P)'!T8288="Yes",
    1.35,
    1.00)</f>
        <v/>
      </c>
      <c r="P8288">
        <f>IF('Loan Tape (S&amp;P)'!S8288="Yes",
    1.15,
    1.00)</f>
        <v/>
      </c>
      <c r="Q8288">
        <f>IF('Loan Tape (S&amp;P)'!V8288="Yes",
    1.20,
    1.00)</f>
        <v/>
      </c>
      <c r="T8288">
        <f>LET(
    payment_method,'Loan Tape (S&amp;P)'!P8288,
    occupancy,'Loan Tape (S&amp;P)'!N8288,
    maturity_date,'Loan Tape (S&amp;P)'!L8288,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89">
      <c r="J8289">
        <f>LET(
    lien,'Loan Tape (S&amp;P)'!Q8289,
    IF(lien="First",1.00,
        IF(lien="Second",1.50,
            1.70)))</f>
        <v/>
      </c>
      <c r="K8289">
        <f>LET(
    purpose,'Loan Tape (S&amp;P)'!R8289,
    IF(purpose="Purchase",1.00,
        IF(purpose="Remortgage",1.00,
            1.20)))</f>
        <v/>
      </c>
      <c r="L8289">
        <f>LET(
    arrears_months,'Loan Tape (S&amp;P)'!AN8289,
    IF(arrears_months=0,1.00,
    IF(arrears_months=1,3.00,
    IF(arrears_months=2,5.00,
    IF(arrears_months=3,8.00,
    IF(arrears_months=4,10.00,
    IF(arrears_months=5,12.00,15.00)))))))</f>
        <v/>
      </c>
      <c r="M8289">
        <f>LET(
    seasoning_years,DATEDIF('Loan Tape (S&amp;P)'!K8289,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89">
        <f>IF(AND('Loan Tape (S&amp;P)'!U8289="Yes",
        'Loan Tape (S&amp;P)'!T8289&lt;&gt;"Yes",
        DATEDIF('Loan Tape (S&amp;P)'!K8289, TODAY(), "M")&lt;18),
    1.10,
    1.00)</f>
        <v/>
      </c>
      <c r="O8289">
        <f>IF('Loan Tape (S&amp;P)'!T8289="Yes",
    1.35,
    1.00)</f>
        <v/>
      </c>
      <c r="P8289">
        <f>IF('Loan Tape (S&amp;P)'!S8289="Yes",
    1.15,
    1.00)</f>
        <v/>
      </c>
      <c r="Q8289">
        <f>IF('Loan Tape (S&amp;P)'!V8289="Yes",
    1.20,
    1.00)</f>
        <v/>
      </c>
      <c r="T8289">
        <f>LET(
    payment_method,'Loan Tape (S&amp;P)'!P8289,
    occupancy,'Loan Tape (S&amp;P)'!N8289,
    maturity_date,'Loan Tape (S&amp;P)'!L8289,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90">
      <c r="J8290">
        <f>LET(
    lien,'Loan Tape (S&amp;P)'!Q8290,
    IF(lien="First",1.00,
        IF(lien="Second",1.50,
            1.70)))</f>
        <v/>
      </c>
      <c r="K8290">
        <f>LET(
    purpose,'Loan Tape (S&amp;P)'!R8290,
    IF(purpose="Purchase",1.00,
        IF(purpose="Remortgage",1.00,
            1.20)))</f>
        <v/>
      </c>
      <c r="L8290">
        <f>LET(
    arrears_months,'Loan Tape (S&amp;P)'!AN8290,
    IF(arrears_months=0,1.00,
    IF(arrears_months=1,3.00,
    IF(arrears_months=2,5.00,
    IF(arrears_months=3,8.00,
    IF(arrears_months=4,10.00,
    IF(arrears_months=5,12.00,15.00)))))))</f>
        <v/>
      </c>
      <c r="M8290">
        <f>LET(
    seasoning_years,DATEDIF('Loan Tape (S&amp;P)'!K8290,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90">
        <f>IF(AND('Loan Tape (S&amp;P)'!U8290="Yes",
        'Loan Tape (S&amp;P)'!T8290&lt;&gt;"Yes",
        DATEDIF('Loan Tape (S&amp;P)'!K8290, TODAY(), "M")&lt;18),
    1.10,
    1.00)</f>
        <v/>
      </c>
      <c r="O8290">
        <f>IF('Loan Tape (S&amp;P)'!T8290="Yes",
    1.35,
    1.00)</f>
        <v/>
      </c>
      <c r="P8290">
        <f>IF('Loan Tape (S&amp;P)'!S8290="Yes",
    1.15,
    1.00)</f>
        <v/>
      </c>
      <c r="Q8290">
        <f>IF('Loan Tape (S&amp;P)'!V8290="Yes",
    1.20,
    1.00)</f>
        <v/>
      </c>
      <c r="T8290">
        <f>LET(
    payment_method,'Loan Tape (S&amp;P)'!P8290,
    occupancy,'Loan Tape (S&amp;P)'!N8290,
    maturity_date,'Loan Tape (S&amp;P)'!L8290,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91">
      <c r="J8291">
        <f>LET(
    lien,'Loan Tape (S&amp;P)'!Q8291,
    IF(lien="First",1.00,
        IF(lien="Second",1.50,
            1.70)))</f>
        <v/>
      </c>
      <c r="K8291">
        <f>LET(
    purpose,'Loan Tape (S&amp;P)'!R8291,
    IF(purpose="Purchase",1.00,
        IF(purpose="Remortgage",1.00,
            1.20)))</f>
        <v/>
      </c>
      <c r="L8291">
        <f>LET(
    arrears_months,'Loan Tape (S&amp;P)'!AN8291,
    IF(arrears_months=0,1.00,
    IF(arrears_months=1,3.00,
    IF(arrears_months=2,5.00,
    IF(arrears_months=3,8.00,
    IF(arrears_months=4,10.00,
    IF(arrears_months=5,12.00,15.00)))))))</f>
        <v/>
      </c>
      <c r="M8291">
        <f>LET(
    seasoning_years,DATEDIF('Loan Tape (S&amp;P)'!K8291,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91">
        <f>IF(AND('Loan Tape (S&amp;P)'!U8291="Yes",
        'Loan Tape (S&amp;P)'!T8291&lt;&gt;"Yes",
        DATEDIF('Loan Tape (S&amp;P)'!K8291, TODAY(), "M")&lt;18),
    1.10,
    1.00)</f>
        <v/>
      </c>
      <c r="O8291">
        <f>IF('Loan Tape (S&amp;P)'!T8291="Yes",
    1.35,
    1.00)</f>
        <v/>
      </c>
      <c r="P8291">
        <f>IF('Loan Tape (S&amp;P)'!S8291="Yes",
    1.15,
    1.00)</f>
        <v/>
      </c>
      <c r="Q8291">
        <f>IF('Loan Tape (S&amp;P)'!V8291="Yes",
    1.20,
    1.00)</f>
        <v/>
      </c>
      <c r="T8291">
        <f>LET(
    payment_method,'Loan Tape (S&amp;P)'!P8291,
    occupancy,'Loan Tape (S&amp;P)'!N8291,
    maturity_date,'Loan Tape (S&amp;P)'!L8291,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92">
      <c r="J8292">
        <f>LET(
    lien,'Loan Tape (S&amp;P)'!Q8292,
    IF(lien="First",1.00,
        IF(lien="Second",1.50,
            1.70)))</f>
        <v/>
      </c>
      <c r="K8292">
        <f>LET(
    purpose,'Loan Tape (S&amp;P)'!R8292,
    IF(purpose="Purchase",1.00,
        IF(purpose="Remortgage",1.00,
            1.20)))</f>
        <v/>
      </c>
      <c r="L8292">
        <f>LET(
    arrears_months,'Loan Tape (S&amp;P)'!AN8292,
    IF(arrears_months=0,1.00,
    IF(arrears_months=1,3.00,
    IF(arrears_months=2,5.00,
    IF(arrears_months=3,8.00,
    IF(arrears_months=4,10.00,
    IF(arrears_months=5,12.00,15.00)))))))</f>
        <v/>
      </c>
      <c r="M8292">
        <f>LET(
    seasoning_years,DATEDIF('Loan Tape (S&amp;P)'!K8292,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92">
        <f>IF(AND('Loan Tape (S&amp;P)'!U8292="Yes",
        'Loan Tape (S&amp;P)'!T8292&lt;&gt;"Yes",
        DATEDIF('Loan Tape (S&amp;P)'!K8292, TODAY(), "M")&lt;18),
    1.10,
    1.00)</f>
        <v/>
      </c>
      <c r="O8292">
        <f>IF('Loan Tape (S&amp;P)'!T8292="Yes",
    1.35,
    1.00)</f>
        <v/>
      </c>
      <c r="P8292">
        <f>IF('Loan Tape (S&amp;P)'!S8292="Yes",
    1.15,
    1.00)</f>
        <v/>
      </c>
      <c r="Q8292">
        <f>IF('Loan Tape (S&amp;P)'!V8292="Yes",
    1.20,
    1.00)</f>
        <v/>
      </c>
      <c r="T8292">
        <f>LET(
    payment_method,'Loan Tape (S&amp;P)'!P8292,
    occupancy,'Loan Tape (S&amp;P)'!N8292,
    maturity_date,'Loan Tape (S&amp;P)'!L8292,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93">
      <c r="J8293">
        <f>LET(
    lien,'Loan Tape (S&amp;P)'!Q8293,
    IF(lien="First",1.00,
        IF(lien="Second",1.50,
            1.70)))</f>
        <v/>
      </c>
      <c r="K8293">
        <f>LET(
    purpose,'Loan Tape (S&amp;P)'!R8293,
    IF(purpose="Purchase",1.00,
        IF(purpose="Remortgage",1.00,
            1.20)))</f>
        <v/>
      </c>
      <c r="L8293">
        <f>LET(
    arrears_months,'Loan Tape (S&amp;P)'!AN8293,
    IF(arrears_months=0,1.00,
    IF(arrears_months=1,3.00,
    IF(arrears_months=2,5.00,
    IF(arrears_months=3,8.00,
    IF(arrears_months=4,10.00,
    IF(arrears_months=5,12.00,15.00)))))))</f>
        <v/>
      </c>
      <c r="M8293">
        <f>LET(
    seasoning_years,DATEDIF('Loan Tape (S&amp;P)'!K8293,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93">
        <f>IF(AND('Loan Tape (S&amp;P)'!U8293="Yes",
        'Loan Tape (S&amp;P)'!T8293&lt;&gt;"Yes",
        DATEDIF('Loan Tape (S&amp;P)'!K8293, TODAY(), "M")&lt;18),
    1.10,
    1.00)</f>
        <v/>
      </c>
      <c r="O8293">
        <f>IF('Loan Tape (S&amp;P)'!T8293="Yes",
    1.35,
    1.00)</f>
        <v/>
      </c>
      <c r="P8293">
        <f>IF('Loan Tape (S&amp;P)'!S8293="Yes",
    1.15,
    1.00)</f>
        <v/>
      </c>
      <c r="Q8293">
        <f>IF('Loan Tape (S&amp;P)'!V8293="Yes",
    1.20,
    1.00)</f>
        <v/>
      </c>
      <c r="T8293">
        <f>LET(
    payment_method,'Loan Tape (S&amp;P)'!P8293,
    occupancy,'Loan Tape (S&amp;P)'!N8293,
    maturity_date,'Loan Tape (S&amp;P)'!L8293,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94">
      <c r="J8294">
        <f>LET(
    lien,'Loan Tape (S&amp;P)'!Q8294,
    IF(lien="First",1.00,
        IF(lien="Second",1.50,
            1.70)))</f>
        <v/>
      </c>
      <c r="K8294">
        <f>LET(
    purpose,'Loan Tape (S&amp;P)'!R8294,
    IF(purpose="Purchase",1.00,
        IF(purpose="Remortgage",1.00,
            1.20)))</f>
        <v/>
      </c>
      <c r="L8294">
        <f>LET(
    arrears_months,'Loan Tape (S&amp;P)'!AN8294,
    IF(arrears_months=0,1.00,
    IF(arrears_months=1,3.00,
    IF(arrears_months=2,5.00,
    IF(arrears_months=3,8.00,
    IF(arrears_months=4,10.00,
    IF(arrears_months=5,12.00,15.00)))))))</f>
        <v/>
      </c>
      <c r="M8294">
        <f>LET(
    seasoning_years,DATEDIF('Loan Tape (S&amp;P)'!K8294,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94">
        <f>IF(AND('Loan Tape (S&amp;P)'!U8294="Yes",
        'Loan Tape (S&amp;P)'!T8294&lt;&gt;"Yes",
        DATEDIF('Loan Tape (S&amp;P)'!K8294, TODAY(), "M")&lt;18),
    1.10,
    1.00)</f>
        <v/>
      </c>
      <c r="O8294">
        <f>IF('Loan Tape (S&amp;P)'!T8294="Yes",
    1.35,
    1.00)</f>
        <v/>
      </c>
      <c r="P8294">
        <f>IF('Loan Tape (S&amp;P)'!S8294="Yes",
    1.15,
    1.00)</f>
        <v/>
      </c>
      <c r="Q8294">
        <f>IF('Loan Tape (S&amp;P)'!V8294="Yes",
    1.20,
    1.00)</f>
        <v/>
      </c>
      <c r="T8294">
        <f>LET(
    payment_method,'Loan Tape (S&amp;P)'!P8294,
    occupancy,'Loan Tape (S&amp;P)'!N8294,
    maturity_date,'Loan Tape (S&amp;P)'!L8294,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95">
      <c r="J8295">
        <f>LET(
    lien,'Loan Tape (S&amp;P)'!Q8295,
    IF(lien="First",1.00,
        IF(lien="Second",1.50,
            1.70)))</f>
        <v/>
      </c>
      <c r="K8295">
        <f>LET(
    purpose,'Loan Tape (S&amp;P)'!R8295,
    IF(purpose="Purchase",1.00,
        IF(purpose="Remortgage",1.00,
            1.20)))</f>
        <v/>
      </c>
      <c r="L8295">
        <f>LET(
    arrears_months,'Loan Tape (S&amp;P)'!AN8295,
    IF(arrears_months=0,1.00,
    IF(arrears_months=1,3.00,
    IF(arrears_months=2,5.00,
    IF(arrears_months=3,8.00,
    IF(arrears_months=4,10.00,
    IF(arrears_months=5,12.00,15.00)))))))</f>
        <v/>
      </c>
      <c r="M8295">
        <f>LET(
    seasoning_years,DATEDIF('Loan Tape (S&amp;P)'!K8295,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95">
        <f>IF(AND('Loan Tape (S&amp;P)'!U8295="Yes",
        'Loan Tape (S&amp;P)'!T8295&lt;&gt;"Yes",
        DATEDIF('Loan Tape (S&amp;P)'!K8295, TODAY(), "M")&lt;18),
    1.10,
    1.00)</f>
        <v/>
      </c>
      <c r="O8295">
        <f>IF('Loan Tape (S&amp;P)'!T8295="Yes",
    1.35,
    1.00)</f>
        <v/>
      </c>
      <c r="P8295">
        <f>IF('Loan Tape (S&amp;P)'!S8295="Yes",
    1.15,
    1.00)</f>
        <v/>
      </c>
      <c r="Q8295">
        <f>IF('Loan Tape (S&amp;P)'!V8295="Yes",
    1.20,
    1.00)</f>
        <v/>
      </c>
      <c r="T8295">
        <f>LET(
    payment_method,'Loan Tape (S&amp;P)'!P8295,
    occupancy,'Loan Tape (S&amp;P)'!N8295,
    maturity_date,'Loan Tape (S&amp;P)'!L8295,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96">
      <c r="J8296">
        <f>LET(
    lien,'Loan Tape (S&amp;P)'!Q8296,
    IF(lien="First",1.00,
        IF(lien="Second",1.50,
            1.70)))</f>
        <v/>
      </c>
      <c r="K8296">
        <f>LET(
    purpose,'Loan Tape (S&amp;P)'!R8296,
    IF(purpose="Purchase",1.00,
        IF(purpose="Remortgage",1.00,
            1.20)))</f>
        <v/>
      </c>
      <c r="L8296">
        <f>LET(
    arrears_months,'Loan Tape (S&amp;P)'!AN8296,
    IF(arrears_months=0,1.00,
    IF(arrears_months=1,3.00,
    IF(arrears_months=2,5.00,
    IF(arrears_months=3,8.00,
    IF(arrears_months=4,10.00,
    IF(arrears_months=5,12.00,15.00)))))))</f>
        <v/>
      </c>
      <c r="M8296">
        <f>LET(
    seasoning_years,DATEDIF('Loan Tape (S&amp;P)'!K8296,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96">
        <f>IF(AND('Loan Tape (S&amp;P)'!U8296="Yes",
        'Loan Tape (S&amp;P)'!T8296&lt;&gt;"Yes",
        DATEDIF('Loan Tape (S&amp;P)'!K8296, TODAY(), "M")&lt;18),
    1.10,
    1.00)</f>
        <v/>
      </c>
      <c r="O8296">
        <f>IF('Loan Tape (S&amp;P)'!T8296="Yes",
    1.35,
    1.00)</f>
        <v/>
      </c>
      <c r="P8296">
        <f>IF('Loan Tape (S&amp;P)'!S8296="Yes",
    1.15,
    1.00)</f>
        <v/>
      </c>
      <c r="Q8296">
        <f>IF('Loan Tape (S&amp;P)'!V8296="Yes",
    1.20,
    1.00)</f>
        <v/>
      </c>
      <c r="T8296">
        <f>LET(
    payment_method,'Loan Tape (S&amp;P)'!P8296,
    occupancy,'Loan Tape (S&amp;P)'!N8296,
    maturity_date,'Loan Tape (S&amp;P)'!L8296,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97">
      <c r="J8297">
        <f>LET(
    lien,'Loan Tape (S&amp;P)'!Q8297,
    IF(lien="First",1.00,
        IF(lien="Second",1.50,
            1.70)))</f>
        <v/>
      </c>
      <c r="K8297">
        <f>LET(
    purpose,'Loan Tape (S&amp;P)'!R8297,
    IF(purpose="Purchase",1.00,
        IF(purpose="Remortgage",1.00,
            1.20)))</f>
        <v/>
      </c>
      <c r="L8297">
        <f>LET(
    arrears_months,'Loan Tape (S&amp;P)'!AN8297,
    IF(arrears_months=0,1.00,
    IF(arrears_months=1,3.00,
    IF(arrears_months=2,5.00,
    IF(arrears_months=3,8.00,
    IF(arrears_months=4,10.00,
    IF(arrears_months=5,12.00,15.00)))))))</f>
        <v/>
      </c>
      <c r="M8297">
        <f>LET(
    seasoning_years,DATEDIF('Loan Tape (S&amp;P)'!K8297,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97">
        <f>IF(AND('Loan Tape (S&amp;P)'!U8297="Yes",
        'Loan Tape (S&amp;P)'!T8297&lt;&gt;"Yes",
        DATEDIF('Loan Tape (S&amp;P)'!K8297, TODAY(), "M")&lt;18),
    1.10,
    1.00)</f>
        <v/>
      </c>
      <c r="O8297">
        <f>IF('Loan Tape (S&amp;P)'!T8297="Yes",
    1.35,
    1.00)</f>
        <v/>
      </c>
      <c r="P8297">
        <f>IF('Loan Tape (S&amp;P)'!S8297="Yes",
    1.15,
    1.00)</f>
        <v/>
      </c>
      <c r="Q8297">
        <f>IF('Loan Tape (S&amp;P)'!V8297="Yes",
    1.20,
    1.00)</f>
        <v/>
      </c>
      <c r="T8297">
        <f>LET(
    payment_method,'Loan Tape (S&amp;P)'!P8297,
    occupancy,'Loan Tape (S&amp;P)'!N8297,
    maturity_date,'Loan Tape (S&amp;P)'!L8297,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98">
      <c r="J8298">
        <f>LET(
    lien,'Loan Tape (S&amp;P)'!Q8298,
    IF(lien="First",1.00,
        IF(lien="Second",1.50,
            1.70)))</f>
        <v/>
      </c>
      <c r="K8298">
        <f>LET(
    purpose,'Loan Tape (S&amp;P)'!R8298,
    IF(purpose="Purchase",1.00,
        IF(purpose="Remortgage",1.00,
            1.20)))</f>
        <v/>
      </c>
      <c r="L8298">
        <f>LET(
    arrears_months,'Loan Tape (S&amp;P)'!AN8298,
    IF(arrears_months=0,1.00,
    IF(arrears_months=1,3.00,
    IF(arrears_months=2,5.00,
    IF(arrears_months=3,8.00,
    IF(arrears_months=4,10.00,
    IF(arrears_months=5,12.00,15.00)))))))</f>
        <v/>
      </c>
      <c r="M8298">
        <f>LET(
    seasoning_years,DATEDIF('Loan Tape (S&amp;P)'!K8298,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98">
        <f>IF(AND('Loan Tape (S&amp;P)'!U8298="Yes",
        'Loan Tape (S&amp;P)'!T8298&lt;&gt;"Yes",
        DATEDIF('Loan Tape (S&amp;P)'!K8298, TODAY(), "M")&lt;18),
    1.10,
    1.00)</f>
        <v/>
      </c>
      <c r="O8298">
        <f>IF('Loan Tape (S&amp;P)'!T8298="Yes",
    1.35,
    1.00)</f>
        <v/>
      </c>
      <c r="P8298">
        <f>IF('Loan Tape (S&amp;P)'!S8298="Yes",
    1.15,
    1.00)</f>
        <v/>
      </c>
      <c r="Q8298">
        <f>IF('Loan Tape (S&amp;P)'!V8298="Yes",
    1.20,
    1.00)</f>
        <v/>
      </c>
      <c r="T8298">
        <f>LET(
    payment_method,'Loan Tape (S&amp;P)'!P8298,
    occupancy,'Loan Tape (S&amp;P)'!N8298,
    maturity_date,'Loan Tape (S&amp;P)'!L8298,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299">
      <c r="J8299">
        <f>LET(
    lien,'Loan Tape (S&amp;P)'!Q8299,
    IF(lien="First",1.00,
        IF(lien="Second",1.50,
            1.70)))</f>
        <v/>
      </c>
      <c r="K8299">
        <f>LET(
    purpose,'Loan Tape (S&amp;P)'!R8299,
    IF(purpose="Purchase",1.00,
        IF(purpose="Remortgage",1.00,
            1.20)))</f>
        <v/>
      </c>
      <c r="L8299">
        <f>LET(
    arrears_months,'Loan Tape (S&amp;P)'!AN8299,
    IF(arrears_months=0,1.00,
    IF(arrears_months=1,3.00,
    IF(arrears_months=2,5.00,
    IF(arrears_months=3,8.00,
    IF(arrears_months=4,10.00,
    IF(arrears_months=5,12.00,15.00)))))))</f>
        <v/>
      </c>
      <c r="M8299">
        <f>LET(
    seasoning_years,DATEDIF('Loan Tape (S&amp;P)'!K8299,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299">
        <f>IF(AND('Loan Tape (S&amp;P)'!U8299="Yes",
        'Loan Tape (S&amp;P)'!T8299&lt;&gt;"Yes",
        DATEDIF('Loan Tape (S&amp;P)'!K8299, TODAY(), "M")&lt;18),
    1.10,
    1.00)</f>
        <v/>
      </c>
      <c r="O8299">
        <f>IF('Loan Tape (S&amp;P)'!T8299="Yes",
    1.35,
    1.00)</f>
        <v/>
      </c>
      <c r="P8299">
        <f>IF('Loan Tape (S&amp;P)'!S8299="Yes",
    1.15,
    1.00)</f>
        <v/>
      </c>
      <c r="Q8299">
        <f>IF('Loan Tape (S&amp;P)'!V8299="Yes",
    1.20,
    1.00)</f>
        <v/>
      </c>
      <c r="T8299">
        <f>LET(
    payment_method,'Loan Tape (S&amp;P)'!P8299,
    occupancy,'Loan Tape (S&amp;P)'!N8299,
    maturity_date,'Loan Tape (S&amp;P)'!L8299,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00">
      <c r="J8300">
        <f>LET(
    lien,'Loan Tape (S&amp;P)'!Q8300,
    IF(lien="First",1.00,
        IF(lien="Second",1.50,
            1.70)))</f>
        <v/>
      </c>
      <c r="K8300">
        <f>LET(
    purpose,'Loan Tape (S&amp;P)'!R8300,
    IF(purpose="Purchase",1.00,
        IF(purpose="Remortgage",1.00,
            1.20)))</f>
        <v/>
      </c>
      <c r="L8300">
        <f>LET(
    arrears_months,'Loan Tape (S&amp;P)'!AN8300,
    IF(arrears_months=0,1.00,
    IF(arrears_months=1,3.00,
    IF(arrears_months=2,5.00,
    IF(arrears_months=3,8.00,
    IF(arrears_months=4,10.00,
    IF(arrears_months=5,12.00,15.00)))))))</f>
        <v/>
      </c>
      <c r="M8300">
        <f>LET(
    seasoning_years,DATEDIF('Loan Tape (S&amp;P)'!K8300,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00">
        <f>IF(AND('Loan Tape (S&amp;P)'!U8300="Yes",
        'Loan Tape (S&amp;P)'!T8300&lt;&gt;"Yes",
        DATEDIF('Loan Tape (S&amp;P)'!K8300, TODAY(), "M")&lt;18),
    1.10,
    1.00)</f>
        <v/>
      </c>
      <c r="O8300">
        <f>IF('Loan Tape (S&amp;P)'!T8300="Yes",
    1.35,
    1.00)</f>
        <v/>
      </c>
      <c r="P8300">
        <f>IF('Loan Tape (S&amp;P)'!S8300="Yes",
    1.15,
    1.00)</f>
        <v/>
      </c>
      <c r="Q8300">
        <f>IF('Loan Tape (S&amp;P)'!V8300="Yes",
    1.20,
    1.00)</f>
        <v/>
      </c>
      <c r="T8300">
        <f>LET(
    payment_method,'Loan Tape (S&amp;P)'!P8300,
    occupancy,'Loan Tape (S&amp;P)'!N8300,
    maturity_date,'Loan Tape (S&amp;P)'!L8300,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01">
      <c r="J8301">
        <f>LET(
    lien,'Loan Tape (S&amp;P)'!Q8301,
    IF(lien="First",1.00,
        IF(lien="Second",1.50,
            1.70)))</f>
        <v/>
      </c>
      <c r="K8301">
        <f>LET(
    purpose,'Loan Tape (S&amp;P)'!R8301,
    IF(purpose="Purchase",1.00,
        IF(purpose="Remortgage",1.00,
            1.20)))</f>
        <v/>
      </c>
      <c r="L8301">
        <f>LET(
    arrears_months,'Loan Tape (S&amp;P)'!AN8301,
    IF(arrears_months=0,1.00,
    IF(arrears_months=1,3.00,
    IF(arrears_months=2,5.00,
    IF(arrears_months=3,8.00,
    IF(arrears_months=4,10.00,
    IF(arrears_months=5,12.00,15.00)))))))</f>
        <v/>
      </c>
      <c r="M8301">
        <f>LET(
    seasoning_years,DATEDIF('Loan Tape (S&amp;P)'!K8301,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01">
        <f>IF(AND('Loan Tape (S&amp;P)'!U8301="Yes",
        'Loan Tape (S&amp;P)'!T8301&lt;&gt;"Yes",
        DATEDIF('Loan Tape (S&amp;P)'!K8301, TODAY(), "M")&lt;18),
    1.10,
    1.00)</f>
        <v/>
      </c>
      <c r="O8301">
        <f>IF('Loan Tape (S&amp;P)'!T8301="Yes",
    1.35,
    1.00)</f>
        <v/>
      </c>
      <c r="P8301">
        <f>IF('Loan Tape (S&amp;P)'!S8301="Yes",
    1.15,
    1.00)</f>
        <v/>
      </c>
      <c r="Q8301">
        <f>IF('Loan Tape (S&amp;P)'!V8301="Yes",
    1.20,
    1.00)</f>
        <v/>
      </c>
      <c r="T8301">
        <f>LET(
    payment_method,'Loan Tape (S&amp;P)'!P8301,
    occupancy,'Loan Tape (S&amp;P)'!N8301,
    maturity_date,'Loan Tape (S&amp;P)'!L8301,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02">
      <c r="J8302">
        <f>LET(
    lien,'Loan Tape (S&amp;P)'!Q8302,
    IF(lien="First",1.00,
        IF(lien="Second",1.50,
            1.70)))</f>
        <v/>
      </c>
      <c r="K8302">
        <f>LET(
    purpose,'Loan Tape (S&amp;P)'!R8302,
    IF(purpose="Purchase",1.00,
        IF(purpose="Remortgage",1.00,
            1.20)))</f>
        <v/>
      </c>
      <c r="L8302">
        <f>LET(
    arrears_months,'Loan Tape (S&amp;P)'!AN8302,
    IF(arrears_months=0,1.00,
    IF(arrears_months=1,3.00,
    IF(arrears_months=2,5.00,
    IF(arrears_months=3,8.00,
    IF(arrears_months=4,10.00,
    IF(arrears_months=5,12.00,15.00)))))))</f>
        <v/>
      </c>
      <c r="M8302">
        <f>LET(
    seasoning_years,DATEDIF('Loan Tape (S&amp;P)'!K8302,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02">
        <f>IF(AND('Loan Tape (S&amp;P)'!U8302="Yes",
        'Loan Tape (S&amp;P)'!T8302&lt;&gt;"Yes",
        DATEDIF('Loan Tape (S&amp;P)'!K8302, TODAY(), "M")&lt;18),
    1.10,
    1.00)</f>
        <v/>
      </c>
      <c r="O8302">
        <f>IF('Loan Tape (S&amp;P)'!T8302="Yes",
    1.35,
    1.00)</f>
        <v/>
      </c>
      <c r="P8302">
        <f>IF('Loan Tape (S&amp;P)'!S8302="Yes",
    1.15,
    1.00)</f>
        <v/>
      </c>
      <c r="Q8302">
        <f>IF('Loan Tape (S&amp;P)'!V8302="Yes",
    1.20,
    1.00)</f>
        <v/>
      </c>
      <c r="T8302">
        <f>LET(
    payment_method,'Loan Tape (S&amp;P)'!P8302,
    occupancy,'Loan Tape (S&amp;P)'!N8302,
    maturity_date,'Loan Tape (S&amp;P)'!L8302,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03">
      <c r="J8303">
        <f>LET(
    lien,'Loan Tape (S&amp;P)'!Q8303,
    IF(lien="First",1.00,
        IF(lien="Second",1.50,
            1.70)))</f>
        <v/>
      </c>
      <c r="K8303">
        <f>LET(
    purpose,'Loan Tape (S&amp;P)'!R8303,
    IF(purpose="Purchase",1.00,
        IF(purpose="Remortgage",1.00,
            1.20)))</f>
        <v/>
      </c>
      <c r="L8303">
        <f>LET(
    arrears_months,'Loan Tape (S&amp;P)'!AN8303,
    IF(arrears_months=0,1.00,
    IF(arrears_months=1,3.00,
    IF(arrears_months=2,5.00,
    IF(arrears_months=3,8.00,
    IF(arrears_months=4,10.00,
    IF(arrears_months=5,12.00,15.00)))))))</f>
        <v/>
      </c>
      <c r="M8303">
        <f>LET(
    seasoning_years,DATEDIF('Loan Tape (S&amp;P)'!K8303,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03">
        <f>IF(AND('Loan Tape (S&amp;P)'!U8303="Yes",
        'Loan Tape (S&amp;P)'!T8303&lt;&gt;"Yes",
        DATEDIF('Loan Tape (S&amp;P)'!K8303, TODAY(), "M")&lt;18),
    1.10,
    1.00)</f>
        <v/>
      </c>
      <c r="O8303">
        <f>IF('Loan Tape (S&amp;P)'!T8303="Yes",
    1.35,
    1.00)</f>
        <v/>
      </c>
      <c r="P8303">
        <f>IF('Loan Tape (S&amp;P)'!S8303="Yes",
    1.15,
    1.00)</f>
        <v/>
      </c>
      <c r="Q8303">
        <f>IF('Loan Tape (S&amp;P)'!V8303="Yes",
    1.20,
    1.00)</f>
        <v/>
      </c>
      <c r="T8303">
        <f>LET(
    payment_method,'Loan Tape (S&amp;P)'!P8303,
    occupancy,'Loan Tape (S&amp;P)'!N8303,
    maturity_date,'Loan Tape (S&amp;P)'!L8303,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04">
      <c r="J8304">
        <f>LET(
    lien,'Loan Tape (S&amp;P)'!Q8304,
    IF(lien="First",1.00,
        IF(lien="Second",1.50,
            1.70)))</f>
        <v/>
      </c>
      <c r="K8304">
        <f>LET(
    purpose,'Loan Tape (S&amp;P)'!R8304,
    IF(purpose="Purchase",1.00,
        IF(purpose="Remortgage",1.00,
            1.20)))</f>
        <v/>
      </c>
      <c r="L8304">
        <f>LET(
    arrears_months,'Loan Tape (S&amp;P)'!AN8304,
    IF(arrears_months=0,1.00,
    IF(arrears_months=1,3.00,
    IF(arrears_months=2,5.00,
    IF(arrears_months=3,8.00,
    IF(arrears_months=4,10.00,
    IF(arrears_months=5,12.00,15.00)))))))</f>
        <v/>
      </c>
      <c r="M8304">
        <f>LET(
    seasoning_years,DATEDIF('Loan Tape (S&amp;P)'!K8304,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04">
        <f>IF(AND('Loan Tape (S&amp;P)'!U8304="Yes",
        'Loan Tape (S&amp;P)'!T8304&lt;&gt;"Yes",
        DATEDIF('Loan Tape (S&amp;P)'!K8304, TODAY(), "M")&lt;18),
    1.10,
    1.00)</f>
        <v/>
      </c>
      <c r="O8304">
        <f>IF('Loan Tape (S&amp;P)'!T8304="Yes",
    1.35,
    1.00)</f>
        <v/>
      </c>
      <c r="P8304">
        <f>IF('Loan Tape (S&amp;P)'!S8304="Yes",
    1.15,
    1.00)</f>
        <v/>
      </c>
      <c r="Q8304">
        <f>IF('Loan Tape (S&amp;P)'!V8304="Yes",
    1.20,
    1.00)</f>
        <v/>
      </c>
      <c r="T8304">
        <f>LET(
    payment_method,'Loan Tape (S&amp;P)'!P8304,
    occupancy,'Loan Tape (S&amp;P)'!N8304,
    maturity_date,'Loan Tape (S&amp;P)'!L8304,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05">
      <c r="J8305">
        <f>LET(
    lien,'Loan Tape (S&amp;P)'!Q8305,
    IF(lien="First",1.00,
        IF(lien="Second",1.50,
            1.70)))</f>
        <v/>
      </c>
      <c r="K8305">
        <f>LET(
    purpose,'Loan Tape (S&amp;P)'!R8305,
    IF(purpose="Purchase",1.00,
        IF(purpose="Remortgage",1.00,
            1.20)))</f>
        <v/>
      </c>
      <c r="L8305">
        <f>LET(
    arrears_months,'Loan Tape (S&amp;P)'!AN8305,
    IF(arrears_months=0,1.00,
    IF(arrears_months=1,3.00,
    IF(arrears_months=2,5.00,
    IF(arrears_months=3,8.00,
    IF(arrears_months=4,10.00,
    IF(arrears_months=5,12.00,15.00)))))))</f>
        <v/>
      </c>
      <c r="M8305">
        <f>LET(
    seasoning_years,DATEDIF('Loan Tape (S&amp;P)'!K8305,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05">
        <f>IF(AND('Loan Tape (S&amp;P)'!U8305="Yes",
        'Loan Tape (S&amp;P)'!T8305&lt;&gt;"Yes",
        DATEDIF('Loan Tape (S&amp;P)'!K8305, TODAY(), "M")&lt;18),
    1.10,
    1.00)</f>
        <v/>
      </c>
      <c r="O8305">
        <f>IF('Loan Tape (S&amp;P)'!T8305="Yes",
    1.35,
    1.00)</f>
        <v/>
      </c>
      <c r="P8305">
        <f>IF('Loan Tape (S&amp;P)'!S8305="Yes",
    1.15,
    1.00)</f>
        <v/>
      </c>
      <c r="Q8305">
        <f>IF('Loan Tape (S&amp;P)'!V8305="Yes",
    1.20,
    1.00)</f>
        <v/>
      </c>
      <c r="T8305">
        <f>LET(
    payment_method,'Loan Tape (S&amp;P)'!P8305,
    occupancy,'Loan Tape (S&amp;P)'!N8305,
    maturity_date,'Loan Tape (S&amp;P)'!L8305,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06">
      <c r="J8306">
        <f>LET(
    lien,'Loan Tape (S&amp;P)'!Q8306,
    IF(lien="First",1.00,
        IF(lien="Second",1.50,
            1.70)))</f>
        <v/>
      </c>
      <c r="K8306">
        <f>LET(
    purpose,'Loan Tape (S&amp;P)'!R8306,
    IF(purpose="Purchase",1.00,
        IF(purpose="Remortgage",1.00,
            1.20)))</f>
        <v/>
      </c>
      <c r="L8306">
        <f>LET(
    arrears_months,'Loan Tape (S&amp;P)'!AN8306,
    IF(arrears_months=0,1.00,
    IF(arrears_months=1,3.00,
    IF(arrears_months=2,5.00,
    IF(arrears_months=3,8.00,
    IF(arrears_months=4,10.00,
    IF(arrears_months=5,12.00,15.00)))))))</f>
        <v/>
      </c>
      <c r="M8306">
        <f>LET(
    seasoning_years,DATEDIF('Loan Tape (S&amp;P)'!K8306,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06">
        <f>IF(AND('Loan Tape (S&amp;P)'!U8306="Yes",
        'Loan Tape (S&amp;P)'!T8306&lt;&gt;"Yes",
        DATEDIF('Loan Tape (S&amp;P)'!K8306, TODAY(), "M")&lt;18),
    1.10,
    1.00)</f>
        <v/>
      </c>
      <c r="O8306">
        <f>IF('Loan Tape (S&amp;P)'!T8306="Yes",
    1.35,
    1.00)</f>
        <v/>
      </c>
      <c r="P8306">
        <f>IF('Loan Tape (S&amp;P)'!S8306="Yes",
    1.15,
    1.00)</f>
        <v/>
      </c>
      <c r="Q8306">
        <f>IF('Loan Tape (S&amp;P)'!V8306="Yes",
    1.20,
    1.00)</f>
        <v/>
      </c>
      <c r="T8306">
        <f>LET(
    payment_method,'Loan Tape (S&amp;P)'!P8306,
    occupancy,'Loan Tape (S&amp;P)'!N8306,
    maturity_date,'Loan Tape (S&amp;P)'!L8306,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07">
      <c r="J8307">
        <f>LET(
    lien,'Loan Tape (S&amp;P)'!Q8307,
    IF(lien="First",1.00,
        IF(lien="Second",1.50,
            1.70)))</f>
        <v/>
      </c>
      <c r="K8307">
        <f>LET(
    purpose,'Loan Tape (S&amp;P)'!R8307,
    IF(purpose="Purchase",1.00,
        IF(purpose="Remortgage",1.00,
            1.20)))</f>
        <v/>
      </c>
      <c r="L8307">
        <f>LET(
    arrears_months,'Loan Tape (S&amp;P)'!AN8307,
    IF(arrears_months=0,1.00,
    IF(arrears_months=1,3.00,
    IF(arrears_months=2,5.00,
    IF(arrears_months=3,8.00,
    IF(arrears_months=4,10.00,
    IF(arrears_months=5,12.00,15.00)))))))</f>
        <v/>
      </c>
      <c r="M8307">
        <f>LET(
    seasoning_years,DATEDIF('Loan Tape (S&amp;P)'!K8307,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07">
        <f>IF(AND('Loan Tape (S&amp;P)'!U8307="Yes",
        'Loan Tape (S&amp;P)'!T8307&lt;&gt;"Yes",
        DATEDIF('Loan Tape (S&amp;P)'!K8307, TODAY(), "M")&lt;18),
    1.10,
    1.00)</f>
        <v/>
      </c>
      <c r="O8307">
        <f>IF('Loan Tape (S&amp;P)'!T8307="Yes",
    1.35,
    1.00)</f>
        <v/>
      </c>
      <c r="P8307">
        <f>IF('Loan Tape (S&amp;P)'!S8307="Yes",
    1.15,
    1.00)</f>
        <v/>
      </c>
      <c r="Q8307">
        <f>IF('Loan Tape (S&amp;P)'!V8307="Yes",
    1.20,
    1.00)</f>
        <v/>
      </c>
      <c r="T8307">
        <f>LET(
    payment_method,'Loan Tape (S&amp;P)'!P8307,
    occupancy,'Loan Tape (S&amp;P)'!N8307,
    maturity_date,'Loan Tape (S&amp;P)'!L8307,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08">
      <c r="J8308">
        <f>LET(
    lien,'Loan Tape (S&amp;P)'!Q8308,
    IF(lien="First",1.00,
        IF(lien="Second",1.50,
            1.70)))</f>
        <v/>
      </c>
      <c r="K8308">
        <f>LET(
    purpose,'Loan Tape (S&amp;P)'!R8308,
    IF(purpose="Purchase",1.00,
        IF(purpose="Remortgage",1.00,
            1.20)))</f>
        <v/>
      </c>
      <c r="L8308">
        <f>LET(
    arrears_months,'Loan Tape (S&amp;P)'!AN8308,
    IF(arrears_months=0,1.00,
    IF(arrears_months=1,3.00,
    IF(arrears_months=2,5.00,
    IF(arrears_months=3,8.00,
    IF(arrears_months=4,10.00,
    IF(arrears_months=5,12.00,15.00)))))))</f>
        <v/>
      </c>
      <c r="M8308">
        <f>LET(
    seasoning_years,DATEDIF('Loan Tape (S&amp;P)'!K8308,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08">
        <f>IF(AND('Loan Tape (S&amp;P)'!U8308="Yes",
        'Loan Tape (S&amp;P)'!T8308&lt;&gt;"Yes",
        DATEDIF('Loan Tape (S&amp;P)'!K8308, TODAY(), "M")&lt;18),
    1.10,
    1.00)</f>
        <v/>
      </c>
      <c r="O8308">
        <f>IF('Loan Tape (S&amp;P)'!T8308="Yes",
    1.35,
    1.00)</f>
        <v/>
      </c>
      <c r="P8308">
        <f>IF('Loan Tape (S&amp;P)'!S8308="Yes",
    1.15,
    1.00)</f>
        <v/>
      </c>
      <c r="Q8308">
        <f>IF('Loan Tape (S&amp;P)'!V8308="Yes",
    1.20,
    1.00)</f>
        <v/>
      </c>
      <c r="T8308">
        <f>LET(
    payment_method,'Loan Tape (S&amp;P)'!P8308,
    occupancy,'Loan Tape (S&amp;P)'!N8308,
    maturity_date,'Loan Tape (S&amp;P)'!L8308,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09">
      <c r="J8309">
        <f>LET(
    lien,'Loan Tape (S&amp;P)'!Q8309,
    IF(lien="First",1.00,
        IF(lien="Second",1.50,
            1.70)))</f>
        <v/>
      </c>
      <c r="K8309">
        <f>LET(
    purpose,'Loan Tape (S&amp;P)'!R8309,
    IF(purpose="Purchase",1.00,
        IF(purpose="Remortgage",1.00,
            1.20)))</f>
        <v/>
      </c>
      <c r="L8309">
        <f>LET(
    arrears_months,'Loan Tape (S&amp;P)'!AN8309,
    IF(arrears_months=0,1.00,
    IF(arrears_months=1,3.00,
    IF(arrears_months=2,5.00,
    IF(arrears_months=3,8.00,
    IF(arrears_months=4,10.00,
    IF(arrears_months=5,12.00,15.00)))))))</f>
        <v/>
      </c>
      <c r="M8309">
        <f>LET(
    seasoning_years,DATEDIF('Loan Tape (S&amp;P)'!K8309,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09">
        <f>IF(AND('Loan Tape (S&amp;P)'!U8309="Yes",
        'Loan Tape (S&amp;P)'!T8309&lt;&gt;"Yes",
        DATEDIF('Loan Tape (S&amp;P)'!K8309, TODAY(), "M")&lt;18),
    1.10,
    1.00)</f>
        <v/>
      </c>
      <c r="O8309">
        <f>IF('Loan Tape (S&amp;P)'!T8309="Yes",
    1.35,
    1.00)</f>
        <v/>
      </c>
      <c r="P8309">
        <f>IF('Loan Tape (S&amp;P)'!S8309="Yes",
    1.15,
    1.00)</f>
        <v/>
      </c>
      <c r="Q8309">
        <f>IF('Loan Tape (S&amp;P)'!V8309="Yes",
    1.20,
    1.00)</f>
        <v/>
      </c>
      <c r="T8309">
        <f>LET(
    payment_method,'Loan Tape (S&amp;P)'!P8309,
    occupancy,'Loan Tape (S&amp;P)'!N8309,
    maturity_date,'Loan Tape (S&amp;P)'!L8309,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10">
      <c r="J8310">
        <f>LET(
    lien,'Loan Tape (S&amp;P)'!Q8310,
    IF(lien="First",1.00,
        IF(lien="Second",1.50,
            1.70)))</f>
        <v/>
      </c>
      <c r="K8310">
        <f>LET(
    purpose,'Loan Tape (S&amp;P)'!R8310,
    IF(purpose="Purchase",1.00,
        IF(purpose="Remortgage",1.00,
            1.20)))</f>
        <v/>
      </c>
      <c r="L8310">
        <f>LET(
    arrears_months,'Loan Tape (S&amp;P)'!AN8310,
    IF(arrears_months=0,1.00,
    IF(arrears_months=1,3.00,
    IF(arrears_months=2,5.00,
    IF(arrears_months=3,8.00,
    IF(arrears_months=4,10.00,
    IF(arrears_months=5,12.00,15.00)))))))</f>
        <v/>
      </c>
      <c r="M8310">
        <f>LET(
    seasoning_years,DATEDIF('Loan Tape (S&amp;P)'!K8310,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10">
        <f>IF(AND('Loan Tape (S&amp;P)'!U8310="Yes",
        'Loan Tape (S&amp;P)'!T8310&lt;&gt;"Yes",
        DATEDIF('Loan Tape (S&amp;P)'!K8310, TODAY(), "M")&lt;18),
    1.10,
    1.00)</f>
        <v/>
      </c>
      <c r="O8310">
        <f>IF('Loan Tape (S&amp;P)'!T8310="Yes",
    1.35,
    1.00)</f>
        <v/>
      </c>
      <c r="P8310">
        <f>IF('Loan Tape (S&amp;P)'!S8310="Yes",
    1.15,
    1.00)</f>
        <v/>
      </c>
      <c r="Q8310">
        <f>IF('Loan Tape (S&amp;P)'!V8310="Yes",
    1.20,
    1.00)</f>
        <v/>
      </c>
      <c r="T8310">
        <f>LET(
    payment_method,'Loan Tape (S&amp;P)'!P8310,
    occupancy,'Loan Tape (S&amp;P)'!N8310,
    maturity_date,'Loan Tape (S&amp;P)'!L8310,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11">
      <c r="J8311">
        <f>LET(
    lien,'Loan Tape (S&amp;P)'!Q8311,
    IF(lien="First",1.00,
        IF(lien="Second",1.50,
            1.70)))</f>
        <v/>
      </c>
      <c r="K8311">
        <f>LET(
    purpose,'Loan Tape (S&amp;P)'!R8311,
    IF(purpose="Purchase",1.00,
        IF(purpose="Remortgage",1.00,
            1.20)))</f>
        <v/>
      </c>
      <c r="L8311">
        <f>LET(
    arrears_months,'Loan Tape (S&amp;P)'!AN8311,
    IF(arrears_months=0,1.00,
    IF(arrears_months=1,3.00,
    IF(arrears_months=2,5.00,
    IF(arrears_months=3,8.00,
    IF(arrears_months=4,10.00,
    IF(arrears_months=5,12.00,15.00)))))))</f>
        <v/>
      </c>
      <c r="M8311">
        <f>LET(
    seasoning_years,DATEDIF('Loan Tape (S&amp;P)'!K8311,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11">
        <f>IF(AND('Loan Tape (S&amp;P)'!U8311="Yes",
        'Loan Tape (S&amp;P)'!T8311&lt;&gt;"Yes",
        DATEDIF('Loan Tape (S&amp;P)'!K8311, TODAY(), "M")&lt;18),
    1.10,
    1.00)</f>
        <v/>
      </c>
      <c r="O8311">
        <f>IF('Loan Tape (S&amp;P)'!T8311="Yes",
    1.35,
    1.00)</f>
        <v/>
      </c>
      <c r="P8311">
        <f>IF('Loan Tape (S&amp;P)'!S8311="Yes",
    1.15,
    1.00)</f>
        <v/>
      </c>
      <c r="Q8311">
        <f>IF('Loan Tape (S&amp;P)'!V8311="Yes",
    1.20,
    1.00)</f>
        <v/>
      </c>
      <c r="T8311">
        <f>LET(
    payment_method,'Loan Tape (S&amp;P)'!P8311,
    occupancy,'Loan Tape (S&amp;P)'!N8311,
    maturity_date,'Loan Tape (S&amp;P)'!L8311,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12">
      <c r="J8312">
        <f>LET(
    lien,'Loan Tape (S&amp;P)'!Q8312,
    IF(lien="First",1.00,
        IF(lien="Second",1.50,
            1.70)))</f>
        <v/>
      </c>
      <c r="K8312">
        <f>LET(
    purpose,'Loan Tape (S&amp;P)'!R8312,
    IF(purpose="Purchase",1.00,
        IF(purpose="Remortgage",1.00,
            1.20)))</f>
        <v/>
      </c>
      <c r="L8312">
        <f>LET(
    arrears_months,'Loan Tape (S&amp;P)'!AN8312,
    IF(arrears_months=0,1.00,
    IF(arrears_months=1,3.00,
    IF(arrears_months=2,5.00,
    IF(arrears_months=3,8.00,
    IF(arrears_months=4,10.00,
    IF(arrears_months=5,12.00,15.00)))))))</f>
        <v/>
      </c>
      <c r="M8312">
        <f>LET(
    seasoning_years,DATEDIF('Loan Tape (S&amp;P)'!K8312,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12">
        <f>IF(AND('Loan Tape (S&amp;P)'!U8312="Yes",
        'Loan Tape (S&amp;P)'!T8312&lt;&gt;"Yes",
        DATEDIF('Loan Tape (S&amp;P)'!K8312, TODAY(), "M")&lt;18),
    1.10,
    1.00)</f>
        <v/>
      </c>
      <c r="O8312">
        <f>IF('Loan Tape (S&amp;P)'!T8312="Yes",
    1.35,
    1.00)</f>
        <v/>
      </c>
      <c r="P8312">
        <f>IF('Loan Tape (S&amp;P)'!S8312="Yes",
    1.15,
    1.00)</f>
        <v/>
      </c>
      <c r="Q8312">
        <f>IF('Loan Tape (S&amp;P)'!V8312="Yes",
    1.20,
    1.00)</f>
        <v/>
      </c>
      <c r="T8312">
        <f>LET(
    payment_method,'Loan Tape (S&amp;P)'!P8312,
    occupancy,'Loan Tape (S&amp;P)'!N8312,
    maturity_date,'Loan Tape (S&amp;P)'!L8312,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13">
      <c r="J8313">
        <f>LET(
    lien,'Loan Tape (S&amp;P)'!Q8313,
    IF(lien="First",1.00,
        IF(lien="Second",1.50,
            1.70)))</f>
        <v/>
      </c>
      <c r="K8313">
        <f>LET(
    purpose,'Loan Tape (S&amp;P)'!R8313,
    IF(purpose="Purchase",1.00,
        IF(purpose="Remortgage",1.00,
            1.20)))</f>
        <v/>
      </c>
      <c r="L8313">
        <f>LET(
    arrears_months,'Loan Tape (S&amp;P)'!AN8313,
    IF(arrears_months=0,1.00,
    IF(arrears_months=1,3.00,
    IF(arrears_months=2,5.00,
    IF(arrears_months=3,8.00,
    IF(arrears_months=4,10.00,
    IF(arrears_months=5,12.00,15.00)))))))</f>
        <v/>
      </c>
      <c r="M8313">
        <f>LET(
    seasoning_years,DATEDIF('Loan Tape (S&amp;P)'!K8313,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13">
        <f>IF(AND('Loan Tape (S&amp;P)'!U8313="Yes",
        'Loan Tape (S&amp;P)'!T8313&lt;&gt;"Yes",
        DATEDIF('Loan Tape (S&amp;P)'!K8313, TODAY(), "M")&lt;18),
    1.10,
    1.00)</f>
        <v/>
      </c>
      <c r="O8313">
        <f>IF('Loan Tape (S&amp;P)'!T8313="Yes",
    1.35,
    1.00)</f>
        <v/>
      </c>
      <c r="P8313">
        <f>IF('Loan Tape (S&amp;P)'!S8313="Yes",
    1.15,
    1.00)</f>
        <v/>
      </c>
      <c r="Q8313">
        <f>IF('Loan Tape (S&amp;P)'!V8313="Yes",
    1.20,
    1.00)</f>
        <v/>
      </c>
      <c r="T8313">
        <f>LET(
    payment_method,'Loan Tape (S&amp;P)'!P8313,
    occupancy,'Loan Tape (S&amp;P)'!N8313,
    maturity_date,'Loan Tape (S&amp;P)'!L8313,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14">
      <c r="J8314">
        <f>LET(
    lien,'Loan Tape (S&amp;P)'!Q8314,
    IF(lien="First",1.00,
        IF(lien="Second",1.50,
            1.70)))</f>
        <v/>
      </c>
      <c r="K8314">
        <f>LET(
    purpose,'Loan Tape (S&amp;P)'!R8314,
    IF(purpose="Purchase",1.00,
        IF(purpose="Remortgage",1.00,
            1.20)))</f>
        <v/>
      </c>
      <c r="L8314">
        <f>LET(
    arrears_months,'Loan Tape (S&amp;P)'!AN8314,
    IF(arrears_months=0,1.00,
    IF(arrears_months=1,3.00,
    IF(arrears_months=2,5.00,
    IF(arrears_months=3,8.00,
    IF(arrears_months=4,10.00,
    IF(arrears_months=5,12.00,15.00)))))))</f>
        <v/>
      </c>
      <c r="M8314">
        <f>LET(
    seasoning_years,DATEDIF('Loan Tape (S&amp;P)'!K8314,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14">
        <f>IF(AND('Loan Tape (S&amp;P)'!U8314="Yes",
        'Loan Tape (S&amp;P)'!T8314&lt;&gt;"Yes",
        DATEDIF('Loan Tape (S&amp;P)'!K8314, TODAY(), "M")&lt;18),
    1.10,
    1.00)</f>
        <v/>
      </c>
      <c r="O8314">
        <f>IF('Loan Tape (S&amp;P)'!T8314="Yes",
    1.35,
    1.00)</f>
        <v/>
      </c>
      <c r="P8314">
        <f>IF('Loan Tape (S&amp;P)'!S8314="Yes",
    1.15,
    1.00)</f>
        <v/>
      </c>
      <c r="Q8314">
        <f>IF('Loan Tape (S&amp;P)'!V8314="Yes",
    1.20,
    1.00)</f>
        <v/>
      </c>
      <c r="T8314">
        <f>LET(
    payment_method,'Loan Tape (S&amp;P)'!P8314,
    occupancy,'Loan Tape (S&amp;P)'!N8314,
    maturity_date,'Loan Tape (S&amp;P)'!L8314,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15">
      <c r="J8315">
        <f>LET(
    lien,'Loan Tape (S&amp;P)'!Q8315,
    IF(lien="First",1.00,
        IF(lien="Second",1.50,
            1.70)))</f>
        <v/>
      </c>
      <c r="K8315">
        <f>LET(
    purpose,'Loan Tape (S&amp;P)'!R8315,
    IF(purpose="Purchase",1.00,
        IF(purpose="Remortgage",1.00,
            1.20)))</f>
        <v/>
      </c>
      <c r="L8315">
        <f>LET(
    arrears_months,'Loan Tape (S&amp;P)'!AN8315,
    IF(arrears_months=0,1.00,
    IF(arrears_months=1,3.00,
    IF(arrears_months=2,5.00,
    IF(arrears_months=3,8.00,
    IF(arrears_months=4,10.00,
    IF(arrears_months=5,12.00,15.00)))))))</f>
        <v/>
      </c>
      <c r="M8315">
        <f>LET(
    seasoning_years,DATEDIF('Loan Tape (S&amp;P)'!K8315,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15">
        <f>IF(AND('Loan Tape (S&amp;P)'!U8315="Yes",
        'Loan Tape (S&amp;P)'!T8315&lt;&gt;"Yes",
        DATEDIF('Loan Tape (S&amp;P)'!K8315, TODAY(), "M")&lt;18),
    1.10,
    1.00)</f>
        <v/>
      </c>
      <c r="O8315">
        <f>IF('Loan Tape (S&amp;P)'!T8315="Yes",
    1.35,
    1.00)</f>
        <v/>
      </c>
      <c r="P8315">
        <f>IF('Loan Tape (S&amp;P)'!S8315="Yes",
    1.15,
    1.00)</f>
        <v/>
      </c>
      <c r="Q8315">
        <f>IF('Loan Tape (S&amp;P)'!V8315="Yes",
    1.20,
    1.00)</f>
        <v/>
      </c>
      <c r="T8315">
        <f>LET(
    payment_method,'Loan Tape (S&amp;P)'!P8315,
    occupancy,'Loan Tape (S&amp;P)'!N8315,
    maturity_date,'Loan Tape (S&amp;P)'!L8315,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16">
      <c r="J8316">
        <f>LET(
    lien,'Loan Tape (S&amp;P)'!Q8316,
    IF(lien="First",1.00,
        IF(lien="Second",1.50,
            1.70)))</f>
        <v/>
      </c>
      <c r="K8316">
        <f>LET(
    purpose,'Loan Tape (S&amp;P)'!R8316,
    IF(purpose="Purchase",1.00,
        IF(purpose="Remortgage",1.00,
            1.20)))</f>
        <v/>
      </c>
      <c r="L8316">
        <f>LET(
    arrears_months,'Loan Tape (S&amp;P)'!AN8316,
    IF(arrears_months=0,1.00,
    IF(arrears_months=1,3.00,
    IF(arrears_months=2,5.00,
    IF(arrears_months=3,8.00,
    IF(arrears_months=4,10.00,
    IF(arrears_months=5,12.00,15.00)))))))</f>
        <v/>
      </c>
      <c r="M8316">
        <f>LET(
    seasoning_years,DATEDIF('Loan Tape (S&amp;P)'!K8316,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16">
        <f>IF(AND('Loan Tape (S&amp;P)'!U8316="Yes",
        'Loan Tape (S&amp;P)'!T8316&lt;&gt;"Yes",
        DATEDIF('Loan Tape (S&amp;P)'!K8316, TODAY(), "M")&lt;18),
    1.10,
    1.00)</f>
        <v/>
      </c>
      <c r="O8316">
        <f>IF('Loan Tape (S&amp;P)'!T8316="Yes",
    1.35,
    1.00)</f>
        <v/>
      </c>
      <c r="P8316">
        <f>IF('Loan Tape (S&amp;P)'!S8316="Yes",
    1.15,
    1.00)</f>
        <v/>
      </c>
      <c r="Q8316">
        <f>IF('Loan Tape (S&amp;P)'!V8316="Yes",
    1.20,
    1.00)</f>
        <v/>
      </c>
      <c r="T8316">
        <f>LET(
    payment_method,'Loan Tape (S&amp;P)'!P8316,
    occupancy,'Loan Tape (S&amp;P)'!N8316,
    maturity_date,'Loan Tape (S&amp;P)'!L8316,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17">
      <c r="J8317">
        <f>LET(
    lien,'Loan Tape (S&amp;P)'!Q8317,
    IF(lien="First",1.00,
        IF(lien="Second",1.50,
            1.70)))</f>
        <v/>
      </c>
      <c r="K8317">
        <f>LET(
    purpose,'Loan Tape (S&amp;P)'!R8317,
    IF(purpose="Purchase",1.00,
        IF(purpose="Remortgage",1.00,
            1.20)))</f>
        <v/>
      </c>
      <c r="L8317">
        <f>LET(
    arrears_months,'Loan Tape (S&amp;P)'!AN8317,
    IF(arrears_months=0,1.00,
    IF(arrears_months=1,3.00,
    IF(arrears_months=2,5.00,
    IF(arrears_months=3,8.00,
    IF(arrears_months=4,10.00,
    IF(arrears_months=5,12.00,15.00)))))))</f>
        <v/>
      </c>
      <c r="M8317">
        <f>LET(
    seasoning_years,DATEDIF('Loan Tape (S&amp;P)'!K8317,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17">
        <f>IF(AND('Loan Tape (S&amp;P)'!U8317="Yes",
        'Loan Tape (S&amp;P)'!T8317&lt;&gt;"Yes",
        DATEDIF('Loan Tape (S&amp;P)'!K8317, TODAY(), "M")&lt;18),
    1.10,
    1.00)</f>
        <v/>
      </c>
      <c r="O8317">
        <f>IF('Loan Tape (S&amp;P)'!T8317="Yes",
    1.35,
    1.00)</f>
        <v/>
      </c>
      <c r="P8317">
        <f>IF('Loan Tape (S&amp;P)'!S8317="Yes",
    1.15,
    1.00)</f>
        <v/>
      </c>
      <c r="Q8317">
        <f>IF('Loan Tape (S&amp;P)'!V8317="Yes",
    1.20,
    1.00)</f>
        <v/>
      </c>
      <c r="T8317">
        <f>LET(
    payment_method,'Loan Tape (S&amp;P)'!P8317,
    occupancy,'Loan Tape (S&amp;P)'!N8317,
    maturity_date,'Loan Tape (S&amp;P)'!L8317,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18">
      <c r="J8318">
        <f>LET(
    lien,'Loan Tape (S&amp;P)'!Q8318,
    IF(lien="First",1.00,
        IF(lien="Second",1.50,
            1.70)))</f>
        <v/>
      </c>
      <c r="K8318">
        <f>LET(
    purpose,'Loan Tape (S&amp;P)'!R8318,
    IF(purpose="Purchase",1.00,
        IF(purpose="Remortgage",1.00,
            1.20)))</f>
        <v/>
      </c>
      <c r="L8318">
        <f>LET(
    arrears_months,'Loan Tape (S&amp;P)'!AN8318,
    IF(arrears_months=0,1.00,
    IF(arrears_months=1,3.00,
    IF(arrears_months=2,5.00,
    IF(arrears_months=3,8.00,
    IF(arrears_months=4,10.00,
    IF(arrears_months=5,12.00,15.00)))))))</f>
        <v/>
      </c>
      <c r="M8318">
        <f>LET(
    seasoning_years,DATEDIF('Loan Tape (S&amp;P)'!K8318,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18">
        <f>IF(AND('Loan Tape (S&amp;P)'!U8318="Yes",
        'Loan Tape (S&amp;P)'!T8318&lt;&gt;"Yes",
        DATEDIF('Loan Tape (S&amp;P)'!K8318, TODAY(), "M")&lt;18),
    1.10,
    1.00)</f>
        <v/>
      </c>
      <c r="O8318">
        <f>IF('Loan Tape (S&amp;P)'!T8318="Yes",
    1.35,
    1.00)</f>
        <v/>
      </c>
      <c r="P8318">
        <f>IF('Loan Tape (S&amp;P)'!S8318="Yes",
    1.15,
    1.00)</f>
        <v/>
      </c>
      <c r="Q8318">
        <f>IF('Loan Tape (S&amp;P)'!V8318="Yes",
    1.20,
    1.00)</f>
        <v/>
      </c>
      <c r="T8318">
        <f>LET(
    payment_method,'Loan Tape (S&amp;P)'!P8318,
    occupancy,'Loan Tape (S&amp;P)'!N8318,
    maturity_date,'Loan Tape (S&amp;P)'!L8318,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19">
      <c r="J8319">
        <f>LET(
    lien,'Loan Tape (S&amp;P)'!Q8319,
    IF(lien="First",1.00,
        IF(lien="Second",1.50,
            1.70)))</f>
        <v/>
      </c>
      <c r="K8319">
        <f>LET(
    purpose,'Loan Tape (S&amp;P)'!R8319,
    IF(purpose="Purchase",1.00,
        IF(purpose="Remortgage",1.00,
            1.20)))</f>
        <v/>
      </c>
      <c r="L8319">
        <f>LET(
    arrears_months,'Loan Tape (S&amp;P)'!AN8319,
    IF(arrears_months=0,1.00,
    IF(arrears_months=1,3.00,
    IF(arrears_months=2,5.00,
    IF(arrears_months=3,8.00,
    IF(arrears_months=4,10.00,
    IF(arrears_months=5,12.00,15.00)))))))</f>
        <v/>
      </c>
      <c r="M8319">
        <f>LET(
    seasoning_years,DATEDIF('Loan Tape (S&amp;P)'!K8319,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19">
        <f>IF(AND('Loan Tape (S&amp;P)'!U8319="Yes",
        'Loan Tape (S&amp;P)'!T8319&lt;&gt;"Yes",
        DATEDIF('Loan Tape (S&amp;P)'!K8319, TODAY(), "M")&lt;18),
    1.10,
    1.00)</f>
        <v/>
      </c>
      <c r="O8319">
        <f>IF('Loan Tape (S&amp;P)'!T8319="Yes",
    1.35,
    1.00)</f>
        <v/>
      </c>
      <c r="P8319">
        <f>IF('Loan Tape (S&amp;P)'!S8319="Yes",
    1.15,
    1.00)</f>
        <v/>
      </c>
      <c r="Q8319">
        <f>IF('Loan Tape (S&amp;P)'!V8319="Yes",
    1.20,
    1.00)</f>
        <v/>
      </c>
      <c r="T8319">
        <f>LET(
    payment_method,'Loan Tape (S&amp;P)'!P8319,
    occupancy,'Loan Tape (S&amp;P)'!N8319,
    maturity_date,'Loan Tape (S&amp;P)'!L8319,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20">
      <c r="J8320">
        <f>LET(
    lien,'Loan Tape (S&amp;P)'!Q8320,
    IF(lien="First",1.00,
        IF(lien="Second",1.50,
            1.70)))</f>
        <v/>
      </c>
      <c r="K8320">
        <f>LET(
    purpose,'Loan Tape (S&amp;P)'!R8320,
    IF(purpose="Purchase",1.00,
        IF(purpose="Remortgage",1.00,
            1.20)))</f>
        <v/>
      </c>
      <c r="L8320">
        <f>LET(
    arrears_months,'Loan Tape (S&amp;P)'!AN8320,
    IF(arrears_months=0,1.00,
    IF(arrears_months=1,3.00,
    IF(arrears_months=2,5.00,
    IF(arrears_months=3,8.00,
    IF(arrears_months=4,10.00,
    IF(arrears_months=5,12.00,15.00)))))))</f>
        <v/>
      </c>
      <c r="M8320">
        <f>LET(
    seasoning_years,DATEDIF('Loan Tape (S&amp;P)'!K8320,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20">
        <f>IF(AND('Loan Tape (S&amp;P)'!U8320="Yes",
        'Loan Tape (S&amp;P)'!T8320&lt;&gt;"Yes",
        DATEDIF('Loan Tape (S&amp;P)'!K8320, TODAY(), "M")&lt;18),
    1.10,
    1.00)</f>
        <v/>
      </c>
      <c r="O8320">
        <f>IF('Loan Tape (S&amp;P)'!T8320="Yes",
    1.35,
    1.00)</f>
        <v/>
      </c>
      <c r="P8320">
        <f>IF('Loan Tape (S&amp;P)'!S8320="Yes",
    1.15,
    1.00)</f>
        <v/>
      </c>
      <c r="Q8320">
        <f>IF('Loan Tape (S&amp;P)'!V8320="Yes",
    1.20,
    1.00)</f>
        <v/>
      </c>
      <c r="T8320">
        <f>LET(
    payment_method,'Loan Tape (S&amp;P)'!P8320,
    occupancy,'Loan Tape (S&amp;P)'!N8320,
    maturity_date,'Loan Tape (S&amp;P)'!L8320,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21">
      <c r="J8321">
        <f>LET(
    lien,'Loan Tape (S&amp;P)'!Q8321,
    IF(lien="First",1.00,
        IF(lien="Second",1.50,
            1.70)))</f>
        <v/>
      </c>
      <c r="K8321">
        <f>LET(
    purpose,'Loan Tape (S&amp;P)'!R8321,
    IF(purpose="Purchase",1.00,
        IF(purpose="Remortgage",1.00,
            1.20)))</f>
        <v/>
      </c>
      <c r="L8321">
        <f>LET(
    arrears_months,'Loan Tape (S&amp;P)'!AN8321,
    IF(arrears_months=0,1.00,
    IF(arrears_months=1,3.00,
    IF(arrears_months=2,5.00,
    IF(arrears_months=3,8.00,
    IF(arrears_months=4,10.00,
    IF(arrears_months=5,12.00,15.00)))))))</f>
        <v/>
      </c>
      <c r="M8321">
        <f>LET(
    seasoning_years,DATEDIF('Loan Tape (S&amp;P)'!K8321,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21">
        <f>IF(AND('Loan Tape (S&amp;P)'!U8321="Yes",
        'Loan Tape (S&amp;P)'!T8321&lt;&gt;"Yes",
        DATEDIF('Loan Tape (S&amp;P)'!K8321, TODAY(), "M")&lt;18),
    1.10,
    1.00)</f>
        <v/>
      </c>
      <c r="O8321">
        <f>IF('Loan Tape (S&amp;P)'!T8321="Yes",
    1.35,
    1.00)</f>
        <v/>
      </c>
      <c r="P8321">
        <f>IF('Loan Tape (S&amp;P)'!S8321="Yes",
    1.15,
    1.00)</f>
        <v/>
      </c>
      <c r="Q8321">
        <f>IF('Loan Tape (S&amp;P)'!V8321="Yes",
    1.20,
    1.00)</f>
        <v/>
      </c>
      <c r="T8321">
        <f>LET(
    payment_method,'Loan Tape (S&amp;P)'!P8321,
    occupancy,'Loan Tape (S&amp;P)'!N8321,
    maturity_date,'Loan Tape (S&amp;P)'!L8321,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22">
      <c r="J8322">
        <f>LET(
    lien,'Loan Tape (S&amp;P)'!Q8322,
    IF(lien="First",1.00,
        IF(lien="Second",1.50,
            1.70)))</f>
        <v/>
      </c>
      <c r="K8322">
        <f>LET(
    purpose,'Loan Tape (S&amp;P)'!R8322,
    IF(purpose="Purchase",1.00,
        IF(purpose="Remortgage",1.00,
            1.20)))</f>
        <v/>
      </c>
      <c r="L8322">
        <f>LET(
    arrears_months,'Loan Tape (S&amp;P)'!AN8322,
    IF(arrears_months=0,1.00,
    IF(arrears_months=1,3.00,
    IF(arrears_months=2,5.00,
    IF(arrears_months=3,8.00,
    IF(arrears_months=4,10.00,
    IF(arrears_months=5,12.00,15.00)))))))</f>
        <v/>
      </c>
      <c r="M8322">
        <f>LET(
    seasoning_years,DATEDIF('Loan Tape (S&amp;P)'!K8322,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22">
        <f>IF(AND('Loan Tape (S&amp;P)'!U8322="Yes",
        'Loan Tape (S&amp;P)'!T8322&lt;&gt;"Yes",
        DATEDIF('Loan Tape (S&amp;P)'!K8322, TODAY(), "M")&lt;18),
    1.10,
    1.00)</f>
        <v/>
      </c>
      <c r="O8322">
        <f>IF('Loan Tape (S&amp;P)'!T8322="Yes",
    1.35,
    1.00)</f>
        <v/>
      </c>
      <c r="P8322">
        <f>IF('Loan Tape (S&amp;P)'!S8322="Yes",
    1.15,
    1.00)</f>
        <v/>
      </c>
      <c r="Q8322">
        <f>IF('Loan Tape (S&amp;P)'!V8322="Yes",
    1.20,
    1.00)</f>
        <v/>
      </c>
      <c r="T8322">
        <f>LET(
    payment_method,'Loan Tape (S&amp;P)'!P8322,
    occupancy,'Loan Tape (S&amp;P)'!N8322,
    maturity_date,'Loan Tape (S&amp;P)'!L8322,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23">
      <c r="J8323">
        <f>LET(
    lien,'Loan Tape (S&amp;P)'!Q8323,
    IF(lien="First",1.00,
        IF(lien="Second",1.50,
            1.70)))</f>
        <v/>
      </c>
      <c r="K8323">
        <f>LET(
    purpose,'Loan Tape (S&amp;P)'!R8323,
    IF(purpose="Purchase",1.00,
        IF(purpose="Remortgage",1.00,
            1.20)))</f>
        <v/>
      </c>
      <c r="L8323">
        <f>LET(
    arrears_months,'Loan Tape (S&amp;P)'!AN8323,
    IF(arrears_months=0,1.00,
    IF(arrears_months=1,3.00,
    IF(arrears_months=2,5.00,
    IF(arrears_months=3,8.00,
    IF(arrears_months=4,10.00,
    IF(arrears_months=5,12.00,15.00)))))))</f>
        <v/>
      </c>
      <c r="M8323">
        <f>LET(
    seasoning_years,DATEDIF('Loan Tape (S&amp;P)'!K8323,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23">
        <f>IF(AND('Loan Tape (S&amp;P)'!U8323="Yes",
        'Loan Tape (S&amp;P)'!T8323&lt;&gt;"Yes",
        DATEDIF('Loan Tape (S&amp;P)'!K8323, TODAY(), "M")&lt;18),
    1.10,
    1.00)</f>
        <v/>
      </c>
      <c r="O8323">
        <f>IF('Loan Tape (S&amp;P)'!T8323="Yes",
    1.35,
    1.00)</f>
        <v/>
      </c>
      <c r="P8323">
        <f>IF('Loan Tape (S&amp;P)'!S8323="Yes",
    1.15,
    1.00)</f>
        <v/>
      </c>
      <c r="Q8323">
        <f>IF('Loan Tape (S&amp;P)'!V8323="Yes",
    1.20,
    1.00)</f>
        <v/>
      </c>
      <c r="T8323">
        <f>LET(
    payment_method,'Loan Tape (S&amp;P)'!P8323,
    occupancy,'Loan Tape (S&amp;P)'!N8323,
    maturity_date,'Loan Tape (S&amp;P)'!L8323,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24">
      <c r="J8324">
        <f>LET(
    lien,'Loan Tape (S&amp;P)'!Q8324,
    IF(lien="First",1.00,
        IF(lien="Second",1.50,
            1.70)))</f>
        <v/>
      </c>
      <c r="K8324">
        <f>LET(
    purpose,'Loan Tape (S&amp;P)'!R8324,
    IF(purpose="Purchase",1.00,
        IF(purpose="Remortgage",1.00,
            1.20)))</f>
        <v/>
      </c>
      <c r="L8324">
        <f>LET(
    arrears_months,'Loan Tape (S&amp;P)'!AN8324,
    IF(arrears_months=0,1.00,
    IF(arrears_months=1,3.00,
    IF(arrears_months=2,5.00,
    IF(arrears_months=3,8.00,
    IF(arrears_months=4,10.00,
    IF(arrears_months=5,12.00,15.00)))))))</f>
        <v/>
      </c>
      <c r="M8324">
        <f>LET(
    seasoning_years,DATEDIF('Loan Tape (S&amp;P)'!K8324,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24">
        <f>IF(AND('Loan Tape (S&amp;P)'!U8324="Yes",
        'Loan Tape (S&amp;P)'!T8324&lt;&gt;"Yes",
        DATEDIF('Loan Tape (S&amp;P)'!K8324, TODAY(), "M")&lt;18),
    1.10,
    1.00)</f>
        <v/>
      </c>
      <c r="O8324">
        <f>IF('Loan Tape (S&amp;P)'!T8324="Yes",
    1.35,
    1.00)</f>
        <v/>
      </c>
      <c r="P8324">
        <f>IF('Loan Tape (S&amp;P)'!S8324="Yes",
    1.15,
    1.00)</f>
        <v/>
      </c>
      <c r="Q8324">
        <f>IF('Loan Tape (S&amp;P)'!V8324="Yes",
    1.20,
    1.00)</f>
        <v/>
      </c>
      <c r="T8324">
        <f>LET(
    payment_method,'Loan Tape (S&amp;P)'!P8324,
    occupancy,'Loan Tape (S&amp;P)'!N8324,
    maturity_date,'Loan Tape (S&amp;P)'!L8324,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25">
      <c r="J8325">
        <f>LET(
    lien,'Loan Tape (S&amp;P)'!Q8325,
    IF(lien="First",1.00,
        IF(lien="Second",1.50,
            1.70)))</f>
        <v/>
      </c>
      <c r="K8325">
        <f>LET(
    purpose,'Loan Tape (S&amp;P)'!R8325,
    IF(purpose="Purchase",1.00,
        IF(purpose="Remortgage",1.00,
            1.20)))</f>
        <v/>
      </c>
      <c r="L8325">
        <f>LET(
    arrears_months,'Loan Tape (S&amp;P)'!AN8325,
    IF(arrears_months=0,1.00,
    IF(arrears_months=1,3.00,
    IF(arrears_months=2,5.00,
    IF(arrears_months=3,8.00,
    IF(arrears_months=4,10.00,
    IF(arrears_months=5,12.00,15.00)))))))</f>
        <v/>
      </c>
      <c r="M8325">
        <f>LET(
    seasoning_years,DATEDIF('Loan Tape (S&amp;P)'!K8325,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25">
        <f>IF(AND('Loan Tape (S&amp;P)'!U8325="Yes",
        'Loan Tape (S&amp;P)'!T8325&lt;&gt;"Yes",
        DATEDIF('Loan Tape (S&amp;P)'!K8325, TODAY(), "M")&lt;18),
    1.10,
    1.00)</f>
        <v/>
      </c>
      <c r="O8325">
        <f>IF('Loan Tape (S&amp;P)'!T8325="Yes",
    1.35,
    1.00)</f>
        <v/>
      </c>
      <c r="P8325">
        <f>IF('Loan Tape (S&amp;P)'!S8325="Yes",
    1.15,
    1.00)</f>
        <v/>
      </c>
      <c r="Q8325">
        <f>IF('Loan Tape (S&amp;P)'!V8325="Yes",
    1.20,
    1.00)</f>
        <v/>
      </c>
      <c r="T8325">
        <f>LET(
    payment_method,'Loan Tape (S&amp;P)'!P8325,
    occupancy,'Loan Tape (S&amp;P)'!N8325,
    maturity_date,'Loan Tape (S&amp;P)'!L8325,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26">
      <c r="J8326">
        <f>LET(
    lien,'Loan Tape (S&amp;P)'!Q8326,
    IF(lien="First",1.00,
        IF(lien="Second",1.50,
            1.70)))</f>
        <v/>
      </c>
      <c r="K8326">
        <f>LET(
    purpose,'Loan Tape (S&amp;P)'!R8326,
    IF(purpose="Purchase",1.00,
        IF(purpose="Remortgage",1.00,
            1.20)))</f>
        <v/>
      </c>
      <c r="L8326">
        <f>LET(
    arrears_months,'Loan Tape (S&amp;P)'!AN8326,
    IF(arrears_months=0,1.00,
    IF(arrears_months=1,3.00,
    IF(arrears_months=2,5.00,
    IF(arrears_months=3,8.00,
    IF(arrears_months=4,10.00,
    IF(arrears_months=5,12.00,15.00)))))))</f>
        <v/>
      </c>
      <c r="M8326">
        <f>LET(
    seasoning_years,DATEDIF('Loan Tape (S&amp;P)'!K8326,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26">
        <f>IF(AND('Loan Tape (S&amp;P)'!U8326="Yes",
        'Loan Tape (S&amp;P)'!T8326&lt;&gt;"Yes",
        DATEDIF('Loan Tape (S&amp;P)'!K8326, TODAY(), "M")&lt;18),
    1.10,
    1.00)</f>
        <v/>
      </c>
      <c r="O8326">
        <f>IF('Loan Tape (S&amp;P)'!T8326="Yes",
    1.35,
    1.00)</f>
        <v/>
      </c>
      <c r="P8326">
        <f>IF('Loan Tape (S&amp;P)'!S8326="Yes",
    1.15,
    1.00)</f>
        <v/>
      </c>
      <c r="Q8326">
        <f>IF('Loan Tape (S&amp;P)'!V8326="Yes",
    1.20,
    1.00)</f>
        <v/>
      </c>
      <c r="T8326">
        <f>LET(
    payment_method,'Loan Tape (S&amp;P)'!P8326,
    occupancy,'Loan Tape (S&amp;P)'!N8326,
    maturity_date,'Loan Tape (S&amp;P)'!L8326,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27">
      <c r="J8327">
        <f>LET(
    lien,'Loan Tape (S&amp;P)'!Q8327,
    IF(lien="First",1.00,
        IF(lien="Second",1.50,
            1.70)))</f>
        <v/>
      </c>
      <c r="K8327">
        <f>LET(
    purpose,'Loan Tape (S&amp;P)'!R8327,
    IF(purpose="Purchase",1.00,
        IF(purpose="Remortgage",1.00,
            1.20)))</f>
        <v/>
      </c>
      <c r="L8327">
        <f>LET(
    arrears_months,'Loan Tape (S&amp;P)'!AN8327,
    IF(arrears_months=0,1.00,
    IF(arrears_months=1,3.00,
    IF(arrears_months=2,5.00,
    IF(arrears_months=3,8.00,
    IF(arrears_months=4,10.00,
    IF(arrears_months=5,12.00,15.00)))))))</f>
        <v/>
      </c>
      <c r="M8327">
        <f>LET(
    seasoning_years,DATEDIF('Loan Tape (S&amp;P)'!K8327,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27">
        <f>IF(AND('Loan Tape (S&amp;P)'!U8327="Yes",
        'Loan Tape (S&amp;P)'!T8327&lt;&gt;"Yes",
        DATEDIF('Loan Tape (S&amp;P)'!K8327, TODAY(), "M")&lt;18),
    1.10,
    1.00)</f>
        <v/>
      </c>
      <c r="O8327">
        <f>IF('Loan Tape (S&amp;P)'!T8327="Yes",
    1.35,
    1.00)</f>
        <v/>
      </c>
      <c r="P8327">
        <f>IF('Loan Tape (S&amp;P)'!S8327="Yes",
    1.15,
    1.00)</f>
        <v/>
      </c>
      <c r="Q8327">
        <f>IF('Loan Tape (S&amp;P)'!V8327="Yes",
    1.20,
    1.00)</f>
        <v/>
      </c>
      <c r="T8327">
        <f>LET(
    payment_method,'Loan Tape (S&amp;P)'!P8327,
    occupancy,'Loan Tape (S&amp;P)'!N8327,
    maturity_date,'Loan Tape (S&amp;P)'!L8327,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28">
      <c r="J8328">
        <f>LET(
    lien,'Loan Tape (S&amp;P)'!Q8328,
    IF(lien="First",1.00,
        IF(lien="Second",1.50,
            1.70)))</f>
        <v/>
      </c>
      <c r="K8328">
        <f>LET(
    purpose,'Loan Tape (S&amp;P)'!R8328,
    IF(purpose="Purchase",1.00,
        IF(purpose="Remortgage",1.00,
            1.20)))</f>
        <v/>
      </c>
      <c r="L8328">
        <f>LET(
    arrears_months,'Loan Tape (S&amp;P)'!AN8328,
    IF(arrears_months=0,1.00,
    IF(arrears_months=1,3.00,
    IF(arrears_months=2,5.00,
    IF(arrears_months=3,8.00,
    IF(arrears_months=4,10.00,
    IF(arrears_months=5,12.00,15.00)))))))</f>
        <v/>
      </c>
      <c r="M8328">
        <f>LET(
    seasoning_years,DATEDIF('Loan Tape (S&amp;P)'!K8328,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28">
        <f>IF(AND('Loan Tape (S&amp;P)'!U8328="Yes",
        'Loan Tape (S&amp;P)'!T8328&lt;&gt;"Yes",
        DATEDIF('Loan Tape (S&amp;P)'!K8328, TODAY(), "M")&lt;18),
    1.10,
    1.00)</f>
        <v/>
      </c>
      <c r="O8328">
        <f>IF('Loan Tape (S&amp;P)'!T8328="Yes",
    1.35,
    1.00)</f>
        <v/>
      </c>
      <c r="P8328">
        <f>IF('Loan Tape (S&amp;P)'!S8328="Yes",
    1.15,
    1.00)</f>
        <v/>
      </c>
      <c r="Q8328">
        <f>IF('Loan Tape (S&amp;P)'!V8328="Yes",
    1.20,
    1.00)</f>
        <v/>
      </c>
      <c r="T8328">
        <f>LET(
    payment_method,'Loan Tape (S&amp;P)'!P8328,
    occupancy,'Loan Tape (S&amp;P)'!N8328,
    maturity_date,'Loan Tape (S&amp;P)'!L8328,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29">
      <c r="J8329">
        <f>LET(
    lien,'Loan Tape (S&amp;P)'!Q8329,
    IF(lien="First",1.00,
        IF(lien="Second",1.50,
            1.70)))</f>
        <v/>
      </c>
      <c r="K8329">
        <f>LET(
    purpose,'Loan Tape (S&amp;P)'!R8329,
    IF(purpose="Purchase",1.00,
        IF(purpose="Remortgage",1.00,
            1.20)))</f>
        <v/>
      </c>
      <c r="L8329">
        <f>LET(
    arrears_months,'Loan Tape (S&amp;P)'!AN8329,
    IF(arrears_months=0,1.00,
    IF(arrears_months=1,3.00,
    IF(arrears_months=2,5.00,
    IF(arrears_months=3,8.00,
    IF(arrears_months=4,10.00,
    IF(arrears_months=5,12.00,15.00)))))))</f>
        <v/>
      </c>
      <c r="M8329">
        <f>LET(
    seasoning_years,DATEDIF('Loan Tape (S&amp;P)'!K8329,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29">
        <f>IF(AND('Loan Tape (S&amp;P)'!U8329="Yes",
        'Loan Tape (S&amp;P)'!T8329&lt;&gt;"Yes",
        DATEDIF('Loan Tape (S&amp;P)'!K8329, TODAY(), "M")&lt;18),
    1.10,
    1.00)</f>
        <v/>
      </c>
      <c r="O8329">
        <f>IF('Loan Tape (S&amp;P)'!T8329="Yes",
    1.35,
    1.00)</f>
        <v/>
      </c>
      <c r="P8329">
        <f>IF('Loan Tape (S&amp;P)'!S8329="Yes",
    1.15,
    1.00)</f>
        <v/>
      </c>
      <c r="Q8329">
        <f>IF('Loan Tape (S&amp;P)'!V8329="Yes",
    1.20,
    1.00)</f>
        <v/>
      </c>
      <c r="T8329">
        <f>LET(
    payment_method,'Loan Tape (S&amp;P)'!P8329,
    occupancy,'Loan Tape (S&amp;P)'!N8329,
    maturity_date,'Loan Tape (S&amp;P)'!L8329,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30">
      <c r="J8330">
        <f>LET(
    lien,'Loan Tape (S&amp;P)'!Q8330,
    IF(lien="First",1.00,
        IF(lien="Second",1.50,
            1.70)))</f>
        <v/>
      </c>
      <c r="K8330">
        <f>LET(
    purpose,'Loan Tape (S&amp;P)'!R8330,
    IF(purpose="Purchase",1.00,
        IF(purpose="Remortgage",1.00,
            1.20)))</f>
        <v/>
      </c>
      <c r="L8330">
        <f>LET(
    arrears_months,'Loan Tape (S&amp;P)'!AN8330,
    IF(arrears_months=0,1.00,
    IF(arrears_months=1,3.00,
    IF(arrears_months=2,5.00,
    IF(arrears_months=3,8.00,
    IF(arrears_months=4,10.00,
    IF(arrears_months=5,12.00,15.00)))))))</f>
        <v/>
      </c>
      <c r="M8330">
        <f>LET(
    seasoning_years,DATEDIF('Loan Tape (S&amp;P)'!K8330,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30">
        <f>IF(AND('Loan Tape (S&amp;P)'!U8330="Yes",
        'Loan Tape (S&amp;P)'!T8330&lt;&gt;"Yes",
        DATEDIF('Loan Tape (S&amp;P)'!K8330, TODAY(), "M")&lt;18),
    1.10,
    1.00)</f>
        <v/>
      </c>
      <c r="O8330">
        <f>IF('Loan Tape (S&amp;P)'!T8330="Yes",
    1.35,
    1.00)</f>
        <v/>
      </c>
      <c r="P8330">
        <f>IF('Loan Tape (S&amp;P)'!S8330="Yes",
    1.15,
    1.00)</f>
        <v/>
      </c>
      <c r="Q8330">
        <f>IF('Loan Tape (S&amp;P)'!V8330="Yes",
    1.20,
    1.00)</f>
        <v/>
      </c>
      <c r="T8330">
        <f>LET(
    payment_method,'Loan Tape (S&amp;P)'!P8330,
    occupancy,'Loan Tape (S&amp;P)'!N8330,
    maturity_date,'Loan Tape (S&amp;P)'!L8330,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31">
      <c r="J8331">
        <f>LET(
    lien,'Loan Tape (S&amp;P)'!Q8331,
    IF(lien="First",1.00,
        IF(lien="Second",1.50,
            1.70)))</f>
        <v/>
      </c>
      <c r="K8331">
        <f>LET(
    purpose,'Loan Tape (S&amp;P)'!R8331,
    IF(purpose="Purchase",1.00,
        IF(purpose="Remortgage",1.00,
            1.20)))</f>
        <v/>
      </c>
      <c r="L8331">
        <f>LET(
    arrears_months,'Loan Tape (S&amp;P)'!AN8331,
    IF(arrears_months=0,1.00,
    IF(arrears_months=1,3.00,
    IF(arrears_months=2,5.00,
    IF(arrears_months=3,8.00,
    IF(arrears_months=4,10.00,
    IF(arrears_months=5,12.00,15.00)))))))</f>
        <v/>
      </c>
      <c r="M8331">
        <f>LET(
    seasoning_years,DATEDIF('Loan Tape (S&amp;P)'!K8331,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31">
        <f>IF(AND('Loan Tape (S&amp;P)'!U8331="Yes",
        'Loan Tape (S&amp;P)'!T8331&lt;&gt;"Yes",
        DATEDIF('Loan Tape (S&amp;P)'!K8331, TODAY(), "M")&lt;18),
    1.10,
    1.00)</f>
        <v/>
      </c>
      <c r="O8331">
        <f>IF('Loan Tape (S&amp;P)'!T8331="Yes",
    1.35,
    1.00)</f>
        <v/>
      </c>
      <c r="P8331">
        <f>IF('Loan Tape (S&amp;P)'!S8331="Yes",
    1.15,
    1.00)</f>
        <v/>
      </c>
      <c r="Q8331">
        <f>IF('Loan Tape (S&amp;P)'!V8331="Yes",
    1.20,
    1.00)</f>
        <v/>
      </c>
      <c r="T8331">
        <f>LET(
    payment_method,'Loan Tape (S&amp;P)'!P8331,
    occupancy,'Loan Tape (S&amp;P)'!N8331,
    maturity_date,'Loan Tape (S&amp;P)'!L8331,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32">
      <c r="J8332">
        <f>LET(
    lien,'Loan Tape (S&amp;P)'!Q8332,
    IF(lien="First",1.00,
        IF(lien="Second",1.50,
            1.70)))</f>
        <v/>
      </c>
      <c r="K8332">
        <f>LET(
    purpose,'Loan Tape (S&amp;P)'!R8332,
    IF(purpose="Purchase",1.00,
        IF(purpose="Remortgage",1.00,
            1.20)))</f>
        <v/>
      </c>
      <c r="L8332">
        <f>LET(
    arrears_months,'Loan Tape (S&amp;P)'!AN8332,
    IF(arrears_months=0,1.00,
    IF(arrears_months=1,3.00,
    IF(arrears_months=2,5.00,
    IF(arrears_months=3,8.00,
    IF(arrears_months=4,10.00,
    IF(arrears_months=5,12.00,15.00)))))))</f>
        <v/>
      </c>
      <c r="M8332">
        <f>LET(
    seasoning_years,DATEDIF('Loan Tape (S&amp;P)'!K8332,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32">
        <f>IF(AND('Loan Tape (S&amp;P)'!U8332="Yes",
        'Loan Tape (S&amp;P)'!T8332&lt;&gt;"Yes",
        DATEDIF('Loan Tape (S&amp;P)'!K8332, TODAY(), "M")&lt;18),
    1.10,
    1.00)</f>
        <v/>
      </c>
      <c r="O8332">
        <f>IF('Loan Tape (S&amp;P)'!T8332="Yes",
    1.35,
    1.00)</f>
        <v/>
      </c>
      <c r="P8332">
        <f>IF('Loan Tape (S&amp;P)'!S8332="Yes",
    1.15,
    1.00)</f>
        <v/>
      </c>
      <c r="Q8332">
        <f>IF('Loan Tape (S&amp;P)'!V8332="Yes",
    1.20,
    1.00)</f>
        <v/>
      </c>
      <c r="T8332">
        <f>LET(
    payment_method,'Loan Tape (S&amp;P)'!P8332,
    occupancy,'Loan Tape (S&amp;P)'!N8332,
    maturity_date,'Loan Tape (S&amp;P)'!L8332,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33">
      <c r="J8333">
        <f>LET(
    lien,'Loan Tape (S&amp;P)'!Q8333,
    IF(lien="First",1.00,
        IF(lien="Second",1.50,
            1.70)))</f>
        <v/>
      </c>
      <c r="K8333">
        <f>LET(
    purpose,'Loan Tape (S&amp;P)'!R8333,
    IF(purpose="Purchase",1.00,
        IF(purpose="Remortgage",1.00,
            1.20)))</f>
        <v/>
      </c>
      <c r="L8333">
        <f>LET(
    arrears_months,'Loan Tape (S&amp;P)'!AN8333,
    IF(arrears_months=0,1.00,
    IF(arrears_months=1,3.00,
    IF(arrears_months=2,5.00,
    IF(arrears_months=3,8.00,
    IF(arrears_months=4,10.00,
    IF(arrears_months=5,12.00,15.00)))))))</f>
        <v/>
      </c>
      <c r="M8333">
        <f>LET(
    seasoning_years,DATEDIF('Loan Tape (S&amp;P)'!K8333,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33">
        <f>IF(AND('Loan Tape (S&amp;P)'!U8333="Yes",
        'Loan Tape (S&amp;P)'!T8333&lt;&gt;"Yes",
        DATEDIF('Loan Tape (S&amp;P)'!K8333, TODAY(), "M")&lt;18),
    1.10,
    1.00)</f>
        <v/>
      </c>
      <c r="O8333">
        <f>IF('Loan Tape (S&amp;P)'!T8333="Yes",
    1.35,
    1.00)</f>
        <v/>
      </c>
      <c r="P8333">
        <f>IF('Loan Tape (S&amp;P)'!S8333="Yes",
    1.15,
    1.00)</f>
        <v/>
      </c>
      <c r="Q8333">
        <f>IF('Loan Tape (S&amp;P)'!V8333="Yes",
    1.20,
    1.00)</f>
        <v/>
      </c>
      <c r="T8333">
        <f>LET(
    payment_method,'Loan Tape (S&amp;P)'!P8333,
    occupancy,'Loan Tape (S&amp;P)'!N8333,
    maturity_date,'Loan Tape (S&amp;P)'!L8333,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34">
      <c r="J8334">
        <f>LET(
    lien,'Loan Tape (S&amp;P)'!Q8334,
    IF(lien="First",1.00,
        IF(lien="Second",1.50,
            1.70)))</f>
        <v/>
      </c>
      <c r="K8334">
        <f>LET(
    purpose,'Loan Tape (S&amp;P)'!R8334,
    IF(purpose="Purchase",1.00,
        IF(purpose="Remortgage",1.00,
            1.20)))</f>
        <v/>
      </c>
      <c r="L8334">
        <f>LET(
    arrears_months,'Loan Tape (S&amp;P)'!AN8334,
    IF(arrears_months=0,1.00,
    IF(arrears_months=1,3.00,
    IF(arrears_months=2,5.00,
    IF(arrears_months=3,8.00,
    IF(arrears_months=4,10.00,
    IF(arrears_months=5,12.00,15.00)))))))</f>
        <v/>
      </c>
      <c r="M8334">
        <f>LET(
    seasoning_years,DATEDIF('Loan Tape (S&amp;P)'!K8334,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34">
        <f>IF(AND('Loan Tape (S&amp;P)'!U8334="Yes",
        'Loan Tape (S&amp;P)'!T8334&lt;&gt;"Yes",
        DATEDIF('Loan Tape (S&amp;P)'!K8334, TODAY(), "M")&lt;18),
    1.10,
    1.00)</f>
        <v/>
      </c>
      <c r="O8334">
        <f>IF('Loan Tape (S&amp;P)'!T8334="Yes",
    1.35,
    1.00)</f>
        <v/>
      </c>
      <c r="P8334">
        <f>IF('Loan Tape (S&amp;P)'!S8334="Yes",
    1.15,
    1.00)</f>
        <v/>
      </c>
      <c r="Q8334">
        <f>IF('Loan Tape (S&amp;P)'!V8334="Yes",
    1.20,
    1.00)</f>
        <v/>
      </c>
      <c r="T8334">
        <f>LET(
    payment_method,'Loan Tape (S&amp;P)'!P8334,
    occupancy,'Loan Tape (S&amp;P)'!N8334,
    maturity_date,'Loan Tape (S&amp;P)'!L8334,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35">
      <c r="J8335">
        <f>LET(
    lien,'Loan Tape (S&amp;P)'!Q8335,
    IF(lien="First",1.00,
        IF(lien="Second",1.50,
            1.70)))</f>
        <v/>
      </c>
      <c r="K8335">
        <f>LET(
    purpose,'Loan Tape (S&amp;P)'!R8335,
    IF(purpose="Purchase",1.00,
        IF(purpose="Remortgage",1.00,
            1.20)))</f>
        <v/>
      </c>
      <c r="L8335">
        <f>LET(
    arrears_months,'Loan Tape (S&amp;P)'!AN8335,
    IF(arrears_months=0,1.00,
    IF(arrears_months=1,3.00,
    IF(arrears_months=2,5.00,
    IF(arrears_months=3,8.00,
    IF(arrears_months=4,10.00,
    IF(arrears_months=5,12.00,15.00)))))))</f>
        <v/>
      </c>
      <c r="M8335">
        <f>LET(
    seasoning_years,DATEDIF('Loan Tape (S&amp;P)'!K8335,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35">
        <f>IF(AND('Loan Tape (S&amp;P)'!U8335="Yes",
        'Loan Tape (S&amp;P)'!T8335&lt;&gt;"Yes",
        DATEDIF('Loan Tape (S&amp;P)'!K8335, TODAY(), "M")&lt;18),
    1.10,
    1.00)</f>
        <v/>
      </c>
      <c r="O8335">
        <f>IF('Loan Tape (S&amp;P)'!T8335="Yes",
    1.35,
    1.00)</f>
        <v/>
      </c>
      <c r="P8335">
        <f>IF('Loan Tape (S&amp;P)'!S8335="Yes",
    1.15,
    1.00)</f>
        <v/>
      </c>
      <c r="Q8335">
        <f>IF('Loan Tape (S&amp;P)'!V8335="Yes",
    1.20,
    1.00)</f>
        <v/>
      </c>
      <c r="T8335">
        <f>LET(
    payment_method,'Loan Tape (S&amp;P)'!P8335,
    occupancy,'Loan Tape (S&amp;P)'!N8335,
    maturity_date,'Loan Tape (S&amp;P)'!L8335,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36">
      <c r="J8336">
        <f>LET(
    lien,'Loan Tape (S&amp;P)'!Q8336,
    IF(lien="First",1.00,
        IF(lien="Second",1.50,
            1.70)))</f>
        <v/>
      </c>
      <c r="K8336">
        <f>LET(
    purpose,'Loan Tape (S&amp;P)'!R8336,
    IF(purpose="Purchase",1.00,
        IF(purpose="Remortgage",1.00,
            1.20)))</f>
        <v/>
      </c>
      <c r="L8336">
        <f>LET(
    arrears_months,'Loan Tape (S&amp;P)'!AN8336,
    IF(arrears_months=0,1.00,
    IF(arrears_months=1,3.00,
    IF(arrears_months=2,5.00,
    IF(arrears_months=3,8.00,
    IF(arrears_months=4,10.00,
    IF(arrears_months=5,12.00,15.00)))))))</f>
        <v/>
      </c>
      <c r="M8336">
        <f>LET(
    seasoning_years,DATEDIF('Loan Tape (S&amp;P)'!K8336,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36">
        <f>IF(AND('Loan Tape (S&amp;P)'!U8336="Yes",
        'Loan Tape (S&amp;P)'!T8336&lt;&gt;"Yes",
        DATEDIF('Loan Tape (S&amp;P)'!K8336, TODAY(), "M")&lt;18),
    1.10,
    1.00)</f>
        <v/>
      </c>
      <c r="O8336">
        <f>IF('Loan Tape (S&amp;P)'!T8336="Yes",
    1.35,
    1.00)</f>
        <v/>
      </c>
      <c r="P8336">
        <f>IF('Loan Tape (S&amp;P)'!S8336="Yes",
    1.15,
    1.00)</f>
        <v/>
      </c>
      <c r="Q8336">
        <f>IF('Loan Tape (S&amp;P)'!V8336="Yes",
    1.20,
    1.00)</f>
        <v/>
      </c>
      <c r="T8336">
        <f>LET(
    payment_method,'Loan Tape (S&amp;P)'!P8336,
    occupancy,'Loan Tape (S&amp;P)'!N8336,
    maturity_date,'Loan Tape (S&amp;P)'!L8336,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37">
      <c r="J8337">
        <f>LET(
    lien,'Loan Tape (S&amp;P)'!Q8337,
    IF(lien="First",1.00,
        IF(lien="Second",1.50,
            1.70)))</f>
        <v/>
      </c>
      <c r="K8337">
        <f>LET(
    purpose,'Loan Tape (S&amp;P)'!R8337,
    IF(purpose="Purchase",1.00,
        IF(purpose="Remortgage",1.00,
            1.20)))</f>
        <v/>
      </c>
      <c r="L8337">
        <f>LET(
    arrears_months,'Loan Tape (S&amp;P)'!AN8337,
    IF(arrears_months=0,1.00,
    IF(arrears_months=1,3.00,
    IF(arrears_months=2,5.00,
    IF(arrears_months=3,8.00,
    IF(arrears_months=4,10.00,
    IF(arrears_months=5,12.00,15.00)))))))</f>
        <v/>
      </c>
      <c r="M8337">
        <f>LET(
    seasoning_years,DATEDIF('Loan Tape (S&amp;P)'!K8337,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37">
        <f>IF(AND('Loan Tape (S&amp;P)'!U8337="Yes",
        'Loan Tape (S&amp;P)'!T8337&lt;&gt;"Yes",
        DATEDIF('Loan Tape (S&amp;P)'!K8337, TODAY(), "M")&lt;18),
    1.10,
    1.00)</f>
        <v/>
      </c>
      <c r="O8337">
        <f>IF('Loan Tape (S&amp;P)'!T8337="Yes",
    1.35,
    1.00)</f>
        <v/>
      </c>
      <c r="P8337">
        <f>IF('Loan Tape (S&amp;P)'!S8337="Yes",
    1.15,
    1.00)</f>
        <v/>
      </c>
      <c r="Q8337">
        <f>IF('Loan Tape (S&amp;P)'!V8337="Yes",
    1.20,
    1.00)</f>
        <v/>
      </c>
      <c r="T8337">
        <f>LET(
    payment_method,'Loan Tape (S&amp;P)'!P8337,
    occupancy,'Loan Tape (S&amp;P)'!N8337,
    maturity_date,'Loan Tape (S&amp;P)'!L8337,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38">
      <c r="J8338">
        <f>LET(
    lien,'Loan Tape (S&amp;P)'!Q8338,
    IF(lien="First",1.00,
        IF(lien="Second",1.50,
            1.70)))</f>
        <v/>
      </c>
      <c r="K8338">
        <f>LET(
    purpose,'Loan Tape (S&amp;P)'!R8338,
    IF(purpose="Purchase",1.00,
        IF(purpose="Remortgage",1.00,
            1.20)))</f>
        <v/>
      </c>
      <c r="L8338">
        <f>LET(
    arrears_months,'Loan Tape (S&amp;P)'!AN8338,
    IF(arrears_months=0,1.00,
    IF(arrears_months=1,3.00,
    IF(arrears_months=2,5.00,
    IF(arrears_months=3,8.00,
    IF(arrears_months=4,10.00,
    IF(arrears_months=5,12.00,15.00)))))))</f>
        <v/>
      </c>
      <c r="M8338">
        <f>LET(
    seasoning_years,DATEDIF('Loan Tape (S&amp;P)'!K8338,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38">
        <f>IF(AND('Loan Tape (S&amp;P)'!U8338="Yes",
        'Loan Tape (S&amp;P)'!T8338&lt;&gt;"Yes",
        DATEDIF('Loan Tape (S&amp;P)'!K8338, TODAY(), "M")&lt;18),
    1.10,
    1.00)</f>
        <v/>
      </c>
      <c r="O8338">
        <f>IF('Loan Tape (S&amp;P)'!T8338="Yes",
    1.35,
    1.00)</f>
        <v/>
      </c>
      <c r="P8338">
        <f>IF('Loan Tape (S&amp;P)'!S8338="Yes",
    1.15,
    1.00)</f>
        <v/>
      </c>
      <c r="Q8338">
        <f>IF('Loan Tape (S&amp;P)'!V8338="Yes",
    1.20,
    1.00)</f>
        <v/>
      </c>
      <c r="T8338">
        <f>LET(
    payment_method,'Loan Tape (S&amp;P)'!P8338,
    occupancy,'Loan Tape (S&amp;P)'!N8338,
    maturity_date,'Loan Tape (S&amp;P)'!L8338,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39">
      <c r="J8339">
        <f>LET(
    lien,'Loan Tape (S&amp;P)'!Q8339,
    IF(lien="First",1.00,
        IF(lien="Second",1.50,
            1.70)))</f>
        <v/>
      </c>
      <c r="K8339">
        <f>LET(
    purpose,'Loan Tape (S&amp;P)'!R8339,
    IF(purpose="Purchase",1.00,
        IF(purpose="Remortgage",1.00,
            1.20)))</f>
        <v/>
      </c>
      <c r="L8339">
        <f>LET(
    arrears_months,'Loan Tape (S&amp;P)'!AN8339,
    IF(arrears_months=0,1.00,
    IF(arrears_months=1,3.00,
    IF(arrears_months=2,5.00,
    IF(arrears_months=3,8.00,
    IF(arrears_months=4,10.00,
    IF(arrears_months=5,12.00,15.00)))))))</f>
        <v/>
      </c>
      <c r="M8339">
        <f>LET(
    seasoning_years,DATEDIF('Loan Tape (S&amp;P)'!K8339,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39">
        <f>IF(AND('Loan Tape (S&amp;P)'!U8339="Yes",
        'Loan Tape (S&amp;P)'!T8339&lt;&gt;"Yes",
        DATEDIF('Loan Tape (S&amp;P)'!K8339, TODAY(), "M")&lt;18),
    1.10,
    1.00)</f>
        <v/>
      </c>
      <c r="O8339">
        <f>IF('Loan Tape (S&amp;P)'!T8339="Yes",
    1.35,
    1.00)</f>
        <v/>
      </c>
      <c r="P8339">
        <f>IF('Loan Tape (S&amp;P)'!S8339="Yes",
    1.15,
    1.00)</f>
        <v/>
      </c>
      <c r="Q8339">
        <f>IF('Loan Tape (S&amp;P)'!V8339="Yes",
    1.20,
    1.00)</f>
        <v/>
      </c>
      <c r="T8339">
        <f>LET(
    payment_method,'Loan Tape (S&amp;P)'!P8339,
    occupancy,'Loan Tape (S&amp;P)'!N8339,
    maturity_date,'Loan Tape (S&amp;P)'!L8339,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40">
      <c r="J8340">
        <f>LET(
    lien,'Loan Tape (S&amp;P)'!Q8340,
    IF(lien="First",1.00,
        IF(lien="Second",1.50,
            1.70)))</f>
        <v/>
      </c>
      <c r="K8340">
        <f>LET(
    purpose,'Loan Tape (S&amp;P)'!R8340,
    IF(purpose="Purchase",1.00,
        IF(purpose="Remortgage",1.00,
            1.20)))</f>
        <v/>
      </c>
      <c r="L8340">
        <f>LET(
    arrears_months,'Loan Tape (S&amp;P)'!AN8340,
    IF(arrears_months=0,1.00,
    IF(arrears_months=1,3.00,
    IF(arrears_months=2,5.00,
    IF(arrears_months=3,8.00,
    IF(arrears_months=4,10.00,
    IF(arrears_months=5,12.00,15.00)))))))</f>
        <v/>
      </c>
      <c r="M8340">
        <f>LET(
    seasoning_years,DATEDIF('Loan Tape (S&amp;P)'!K8340,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40">
        <f>IF(AND('Loan Tape (S&amp;P)'!U8340="Yes",
        'Loan Tape (S&amp;P)'!T8340&lt;&gt;"Yes",
        DATEDIF('Loan Tape (S&amp;P)'!K8340, TODAY(), "M")&lt;18),
    1.10,
    1.00)</f>
        <v/>
      </c>
      <c r="O8340">
        <f>IF('Loan Tape (S&amp;P)'!T8340="Yes",
    1.35,
    1.00)</f>
        <v/>
      </c>
      <c r="P8340">
        <f>IF('Loan Tape (S&amp;P)'!S8340="Yes",
    1.15,
    1.00)</f>
        <v/>
      </c>
      <c r="Q8340">
        <f>IF('Loan Tape (S&amp;P)'!V8340="Yes",
    1.20,
    1.00)</f>
        <v/>
      </c>
      <c r="T8340">
        <f>LET(
    payment_method,'Loan Tape (S&amp;P)'!P8340,
    occupancy,'Loan Tape (S&amp;P)'!N8340,
    maturity_date,'Loan Tape (S&amp;P)'!L8340,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41">
      <c r="J8341">
        <f>LET(
    lien,'Loan Tape (S&amp;P)'!Q8341,
    IF(lien="First",1.00,
        IF(lien="Second",1.50,
            1.70)))</f>
        <v/>
      </c>
      <c r="K8341">
        <f>LET(
    purpose,'Loan Tape (S&amp;P)'!R8341,
    IF(purpose="Purchase",1.00,
        IF(purpose="Remortgage",1.00,
            1.20)))</f>
        <v/>
      </c>
      <c r="L8341">
        <f>LET(
    arrears_months,'Loan Tape (S&amp;P)'!AN8341,
    IF(arrears_months=0,1.00,
    IF(arrears_months=1,3.00,
    IF(arrears_months=2,5.00,
    IF(arrears_months=3,8.00,
    IF(arrears_months=4,10.00,
    IF(arrears_months=5,12.00,15.00)))))))</f>
        <v/>
      </c>
      <c r="M8341">
        <f>LET(
    seasoning_years,DATEDIF('Loan Tape (S&amp;P)'!K8341,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41">
        <f>IF(AND('Loan Tape (S&amp;P)'!U8341="Yes",
        'Loan Tape (S&amp;P)'!T8341&lt;&gt;"Yes",
        DATEDIF('Loan Tape (S&amp;P)'!K8341, TODAY(), "M")&lt;18),
    1.10,
    1.00)</f>
        <v/>
      </c>
      <c r="O8341">
        <f>IF('Loan Tape (S&amp;P)'!T8341="Yes",
    1.35,
    1.00)</f>
        <v/>
      </c>
      <c r="P8341">
        <f>IF('Loan Tape (S&amp;P)'!S8341="Yes",
    1.15,
    1.00)</f>
        <v/>
      </c>
      <c r="Q8341">
        <f>IF('Loan Tape (S&amp;P)'!V8341="Yes",
    1.20,
    1.00)</f>
        <v/>
      </c>
      <c r="T8341">
        <f>LET(
    payment_method,'Loan Tape (S&amp;P)'!P8341,
    occupancy,'Loan Tape (S&amp;P)'!N8341,
    maturity_date,'Loan Tape (S&amp;P)'!L8341,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42">
      <c r="J8342">
        <f>LET(
    lien,'Loan Tape (S&amp;P)'!Q8342,
    IF(lien="First",1.00,
        IF(lien="Second",1.50,
            1.70)))</f>
        <v/>
      </c>
      <c r="K8342">
        <f>LET(
    purpose,'Loan Tape (S&amp;P)'!R8342,
    IF(purpose="Purchase",1.00,
        IF(purpose="Remortgage",1.00,
            1.20)))</f>
        <v/>
      </c>
      <c r="L8342">
        <f>LET(
    arrears_months,'Loan Tape (S&amp;P)'!AN8342,
    IF(arrears_months=0,1.00,
    IF(arrears_months=1,3.00,
    IF(arrears_months=2,5.00,
    IF(arrears_months=3,8.00,
    IF(arrears_months=4,10.00,
    IF(arrears_months=5,12.00,15.00)))))))</f>
        <v/>
      </c>
      <c r="M8342">
        <f>LET(
    seasoning_years,DATEDIF('Loan Tape (S&amp;P)'!K8342,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42">
        <f>IF(AND('Loan Tape (S&amp;P)'!U8342="Yes",
        'Loan Tape (S&amp;P)'!T8342&lt;&gt;"Yes",
        DATEDIF('Loan Tape (S&amp;P)'!K8342, TODAY(), "M")&lt;18),
    1.10,
    1.00)</f>
        <v/>
      </c>
      <c r="O8342">
        <f>IF('Loan Tape (S&amp;P)'!T8342="Yes",
    1.35,
    1.00)</f>
        <v/>
      </c>
      <c r="P8342">
        <f>IF('Loan Tape (S&amp;P)'!S8342="Yes",
    1.15,
    1.00)</f>
        <v/>
      </c>
      <c r="Q8342">
        <f>IF('Loan Tape (S&amp;P)'!V8342="Yes",
    1.20,
    1.00)</f>
        <v/>
      </c>
      <c r="T8342">
        <f>LET(
    payment_method,'Loan Tape (S&amp;P)'!P8342,
    occupancy,'Loan Tape (S&amp;P)'!N8342,
    maturity_date,'Loan Tape (S&amp;P)'!L8342,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43">
      <c r="J8343">
        <f>LET(
    lien,'Loan Tape (S&amp;P)'!Q8343,
    IF(lien="First",1.00,
        IF(lien="Second",1.50,
            1.70)))</f>
        <v/>
      </c>
      <c r="K8343">
        <f>LET(
    purpose,'Loan Tape (S&amp;P)'!R8343,
    IF(purpose="Purchase",1.00,
        IF(purpose="Remortgage",1.00,
            1.20)))</f>
        <v/>
      </c>
      <c r="L8343">
        <f>LET(
    arrears_months,'Loan Tape (S&amp;P)'!AN8343,
    IF(arrears_months=0,1.00,
    IF(arrears_months=1,3.00,
    IF(arrears_months=2,5.00,
    IF(arrears_months=3,8.00,
    IF(arrears_months=4,10.00,
    IF(arrears_months=5,12.00,15.00)))))))</f>
        <v/>
      </c>
      <c r="M8343">
        <f>LET(
    seasoning_years,DATEDIF('Loan Tape (S&amp;P)'!K8343,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43">
        <f>IF(AND('Loan Tape (S&amp;P)'!U8343="Yes",
        'Loan Tape (S&amp;P)'!T8343&lt;&gt;"Yes",
        DATEDIF('Loan Tape (S&amp;P)'!K8343, TODAY(), "M")&lt;18),
    1.10,
    1.00)</f>
        <v/>
      </c>
      <c r="O8343">
        <f>IF('Loan Tape (S&amp;P)'!T8343="Yes",
    1.35,
    1.00)</f>
        <v/>
      </c>
      <c r="P8343">
        <f>IF('Loan Tape (S&amp;P)'!S8343="Yes",
    1.15,
    1.00)</f>
        <v/>
      </c>
      <c r="Q8343">
        <f>IF('Loan Tape (S&amp;P)'!V8343="Yes",
    1.20,
    1.00)</f>
        <v/>
      </c>
      <c r="T8343">
        <f>LET(
    payment_method,'Loan Tape (S&amp;P)'!P8343,
    occupancy,'Loan Tape (S&amp;P)'!N8343,
    maturity_date,'Loan Tape (S&amp;P)'!L8343,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44">
      <c r="J8344">
        <f>LET(
    lien,'Loan Tape (S&amp;P)'!Q8344,
    IF(lien="First",1.00,
        IF(lien="Second",1.50,
            1.70)))</f>
        <v/>
      </c>
      <c r="K8344">
        <f>LET(
    purpose,'Loan Tape (S&amp;P)'!R8344,
    IF(purpose="Purchase",1.00,
        IF(purpose="Remortgage",1.00,
            1.20)))</f>
        <v/>
      </c>
      <c r="L8344">
        <f>LET(
    arrears_months,'Loan Tape (S&amp;P)'!AN8344,
    IF(arrears_months=0,1.00,
    IF(arrears_months=1,3.00,
    IF(arrears_months=2,5.00,
    IF(arrears_months=3,8.00,
    IF(arrears_months=4,10.00,
    IF(arrears_months=5,12.00,15.00)))))))</f>
        <v/>
      </c>
      <c r="M8344">
        <f>LET(
    seasoning_years,DATEDIF('Loan Tape (S&amp;P)'!K8344,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44">
        <f>IF(AND('Loan Tape (S&amp;P)'!U8344="Yes",
        'Loan Tape (S&amp;P)'!T8344&lt;&gt;"Yes",
        DATEDIF('Loan Tape (S&amp;P)'!K8344, TODAY(), "M")&lt;18),
    1.10,
    1.00)</f>
        <v/>
      </c>
      <c r="O8344">
        <f>IF('Loan Tape (S&amp;P)'!T8344="Yes",
    1.35,
    1.00)</f>
        <v/>
      </c>
      <c r="P8344">
        <f>IF('Loan Tape (S&amp;P)'!S8344="Yes",
    1.15,
    1.00)</f>
        <v/>
      </c>
      <c r="Q8344">
        <f>IF('Loan Tape (S&amp;P)'!V8344="Yes",
    1.20,
    1.00)</f>
        <v/>
      </c>
      <c r="T8344">
        <f>LET(
    payment_method,'Loan Tape (S&amp;P)'!P8344,
    occupancy,'Loan Tape (S&amp;P)'!N8344,
    maturity_date,'Loan Tape (S&amp;P)'!L8344,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45">
      <c r="J8345">
        <f>LET(
    lien,'Loan Tape (S&amp;P)'!Q8345,
    IF(lien="First",1.00,
        IF(lien="Second",1.50,
            1.70)))</f>
        <v/>
      </c>
      <c r="K8345">
        <f>LET(
    purpose,'Loan Tape (S&amp;P)'!R8345,
    IF(purpose="Purchase",1.00,
        IF(purpose="Remortgage",1.00,
            1.20)))</f>
        <v/>
      </c>
      <c r="L8345">
        <f>LET(
    arrears_months,'Loan Tape (S&amp;P)'!AN8345,
    IF(arrears_months=0,1.00,
    IF(arrears_months=1,3.00,
    IF(arrears_months=2,5.00,
    IF(arrears_months=3,8.00,
    IF(arrears_months=4,10.00,
    IF(arrears_months=5,12.00,15.00)))))))</f>
        <v/>
      </c>
      <c r="M8345">
        <f>LET(
    seasoning_years,DATEDIF('Loan Tape (S&amp;P)'!K8345,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45">
        <f>IF(AND('Loan Tape (S&amp;P)'!U8345="Yes",
        'Loan Tape (S&amp;P)'!T8345&lt;&gt;"Yes",
        DATEDIF('Loan Tape (S&amp;P)'!K8345, TODAY(), "M")&lt;18),
    1.10,
    1.00)</f>
        <v/>
      </c>
      <c r="O8345">
        <f>IF('Loan Tape (S&amp;P)'!T8345="Yes",
    1.35,
    1.00)</f>
        <v/>
      </c>
      <c r="P8345">
        <f>IF('Loan Tape (S&amp;P)'!S8345="Yes",
    1.15,
    1.00)</f>
        <v/>
      </c>
      <c r="Q8345">
        <f>IF('Loan Tape (S&amp;P)'!V8345="Yes",
    1.20,
    1.00)</f>
        <v/>
      </c>
      <c r="T8345">
        <f>LET(
    payment_method,'Loan Tape (S&amp;P)'!P8345,
    occupancy,'Loan Tape (S&amp;P)'!N8345,
    maturity_date,'Loan Tape (S&amp;P)'!L8345,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46">
      <c r="J8346">
        <f>LET(
    lien,'Loan Tape (S&amp;P)'!Q8346,
    IF(lien="First",1.00,
        IF(lien="Second",1.50,
            1.70)))</f>
        <v/>
      </c>
      <c r="K8346">
        <f>LET(
    purpose,'Loan Tape (S&amp;P)'!R8346,
    IF(purpose="Purchase",1.00,
        IF(purpose="Remortgage",1.00,
            1.20)))</f>
        <v/>
      </c>
      <c r="L8346">
        <f>LET(
    arrears_months,'Loan Tape (S&amp;P)'!AN8346,
    IF(arrears_months=0,1.00,
    IF(arrears_months=1,3.00,
    IF(arrears_months=2,5.00,
    IF(arrears_months=3,8.00,
    IF(arrears_months=4,10.00,
    IF(arrears_months=5,12.00,15.00)))))))</f>
        <v/>
      </c>
      <c r="M8346">
        <f>LET(
    seasoning_years,DATEDIF('Loan Tape (S&amp;P)'!K8346,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46">
        <f>IF(AND('Loan Tape (S&amp;P)'!U8346="Yes",
        'Loan Tape (S&amp;P)'!T8346&lt;&gt;"Yes",
        DATEDIF('Loan Tape (S&amp;P)'!K8346, TODAY(), "M")&lt;18),
    1.10,
    1.00)</f>
        <v/>
      </c>
      <c r="O8346">
        <f>IF('Loan Tape (S&amp;P)'!T8346="Yes",
    1.35,
    1.00)</f>
        <v/>
      </c>
      <c r="P8346">
        <f>IF('Loan Tape (S&amp;P)'!S8346="Yes",
    1.15,
    1.00)</f>
        <v/>
      </c>
      <c r="Q8346">
        <f>IF('Loan Tape (S&amp;P)'!V8346="Yes",
    1.20,
    1.00)</f>
        <v/>
      </c>
      <c r="T8346">
        <f>LET(
    payment_method,'Loan Tape (S&amp;P)'!P8346,
    occupancy,'Loan Tape (S&amp;P)'!N8346,
    maturity_date,'Loan Tape (S&amp;P)'!L8346,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47">
      <c r="J8347">
        <f>LET(
    lien,'Loan Tape (S&amp;P)'!Q8347,
    IF(lien="First",1.00,
        IF(lien="Second",1.50,
            1.70)))</f>
        <v/>
      </c>
      <c r="K8347">
        <f>LET(
    purpose,'Loan Tape (S&amp;P)'!R8347,
    IF(purpose="Purchase",1.00,
        IF(purpose="Remortgage",1.00,
            1.20)))</f>
        <v/>
      </c>
      <c r="L8347">
        <f>LET(
    arrears_months,'Loan Tape (S&amp;P)'!AN8347,
    IF(arrears_months=0,1.00,
    IF(arrears_months=1,3.00,
    IF(arrears_months=2,5.00,
    IF(arrears_months=3,8.00,
    IF(arrears_months=4,10.00,
    IF(arrears_months=5,12.00,15.00)))))))</f>
        <v/>
      </c>
      <c r="M8347">
        <f>LET(
    seasoning_years,DATEDIF('Loan Tape (S&amp;P)'!K8347,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47">
        <f>IF(AND('Loan Tape (S&amp;P)'!U8347="Yes",
        'Loan Tape (S&amp;P)'!T8347&lt;&gt;"Yes",
        DATEDIF('Loan Tape (S&amp;P)'!K8347, TODAY(), "M")&lt;18),
    1.10,
    1.00)</f>
        <v/>
      </c>
      <c r="O8347">
        <f>IF('Loan Tape (S&amp;P)'!T8347="Yes",
    1.35,
    1.00)</f>
        <v/>
      </c>
      <c r="P8347">
        <f>IF('Loan Tape (S&amp;P)'!S8347="Yes",
    1.15,
    1.00)</f>
        <v/>
      </c>
      <c r="Q8347">
        <f>IF('Loan Tape (S&amp;P)'!V8347="Yes",
    1.20,
    1.00)</f>
        <v/>
      </c>
      <c r="T8347">
        <f>LET(
    payment_method,'Loan Tape (S&amp;P)'!P8347,
    occupancy,'Loan Tape (S&amp;P)'!N8347,
    maturity_date,'Loan Tape (S&amp;P)'!L8347,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48">
      <c r="J8348">
        <f>LET(
    lien,'Loan Tape (S&amp;P)'!Q8348,
    IF(lien="First",1.00,
        IF(lien="Second",1.50,
            1.70)))</f>
        <v/>
      </c>
      <c r="K8348">
        <f>LET(
    purpose,'Loan Tape (S&amp;P)'!R8348,
    IF(purpose="Purchase",1.00,
        IF(purpose="Remortgage",1.00,
            1.20)))</f>
        <v/>
      </c>
      <c r="L8348">
        <f>LET(
    arrears_months,'Loan Tape (S&amp;P)'!AN8348,
    IF(arrears_months=0,1.00,
    IF(arrears_months=1,3.00,
    IF(arrears_months=2,5.00,
    IF(arrears_months=3,8.00,
    IF(arrears_months=4,10.00,
    IF(arrears_months=5,12.00,15.00)))))))</f>
        <v/>
      </c>
      <c r="M8348">
        <f>LET(
    seasoning_years,DATEDIF('Loan Tape (S&amp;P)'!K8348,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48">
        <f>IF(AND('Loan Tape (S&amp;P)'!U8348="Yes",
        'Loan Tape (S&amp;P)'!T8348&lt;&gt;"Yes",
        DATEDIF('Loan Tape (S&amp;P)'!K8348, TODAY(), "M")&lt;18),
    1.10,
    1.00)</f>
        <v/>
      </c>
      <c r="O8348">
        <f>IF('Loan Tape (S&amp;P)'!T8348="Yes",
    1.35,
    1.00)</f>
        <v/>
      </c>
      <c r="P8348">
        <f>IF('Loan Tape (S&amp;P)'!S8348="Yes",
    1.15,
    1.00)</f>
        <v/>
      </c>
      <c r="Q8348">
        <f>IF('Loan Tape (S&amp;P)'!V8348="Yes",
    1.20,
    1.00)</f>
        <v/>
      </c>
      <c r="T8348">
        <f>LET(
    payment_method,'Loan Tape (S&amp;P)'!P8348,
    occupancy,'Loan Tape (S&amp;P)'!N8348,
    maturity_date,'Loan Tape (S&amp;P)'!L8348,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49">
      <c r="J8349">
        <f>LET(
    lien,'Loan Tape (S&amp;P)'!Q8349,
    IF(lien="First",1.00,
        IF(lien="Second",1.50,
            1.70)))</f>
        <v/>
      </c>
      <c r="K8349">
        <f>LET(
    purpose,'Loan Tape (S&amp;P)'!R8349,
    IF(purpose="Purchase",1.00,
        IF(purpose="Remortgage",1.00,
            1.20)))</f>
        <v/>
      </c>
      <c r="L8349">
        <f>LET(
    arrears_months,'Loan Tape (S&amp;P)'!AN8349,
    IF(arrears_months=0,1.00,
    IF(arrears_months=1,3.00,
    IF(arrears_months=2,5.00,
    IF(arrears_months=3,8.00,
    IF(arrears_months=4,10.00,
    IF(arrears_months=5,12.00,15.00)))))))</f>
        <v/>
      </c>
      <c r="M8349">
        <f>LET(
    seasoning_years,DATEDIF('Loan Tape (S&amp;P)'!K8349,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49">
        <f>IF(AND('Loan Tape (S&amp;P)'!U8349="Yes",
        'Loan Tape (S&amp;P)'!T8349&lt;&gt;"Yes",
        DATEDIF('Loan Tape (S&amp;P)'!K8349, TODAY(), "M")&lt;18),
    1.10,
    1.00)</f>
        <v/>
      </c>
      <c r="O8349">
        <f>IF('Loan Tape (S&amp;P)'!T8349="Yes",
    1.35,
    1.00)</f>
        <v/>
      </c>
      <c r="P8349">
        <f>IF('Loan Tape (S&amp;P)'!S8349="Yes",
    1.15,
    1.00)</f>
        <v/>
      </c>
      <c r="Q8349">
        <f>IF('Loan Tape (S&amp;P)'!V8349="Yes",
    1.20,
    1.00)</f>
        <v/>
      </c>
      <c r="T8349">
        <f>LET(
    payment_method,'Loan Tape (S&amp;P)'!P8349,
    occupancy,'Loan Tape (S&amp;P)'!N8349,
    maturity_date,'Loan Tape (S&amp;P)'!L8349,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50">
      <c r="J8350">
        <f>LET(
    lien,'Loan Tape (S&amp;P)'!Q8350,
    IF(lien="First",1.00,
        IF(lien="Second",1.50,
            1.70)))</f>
        <v/>
      </c>
      <c r="K8350">
        <f>LET(
    purpose,'Loan Tape (S&amp;P)'!R8350,
    IF(purpose="Purchase",1.00,
        IF(purpose="Remortgage",1.00,
            1.20)))</f>
        <v/>
      </c>
      <c r="L8350">
        <f>LET(
    arrears_months,'Loan Tape (S&amp;P)'!AN8350,
    IF(arrears_months=0,1.00,
    IF(arrears_months=1,3.00,
    IF(arrears_months=2,5.00,
    IF(arrears_months=3,8.00,
    IF(arrears_months=4,10.00,
    IF(arrears_months=5,12.00,15.00)))))))</f>
        <v/>
      </c>
      <c r="M8350">
        <f>LET(
    seasoning_years,DATEDIF('Loan Tape (S&amp;P)'!K8350,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50">
        <f>IF(AND('Loan Tape (S&amp;P)'!U8350="Yes",
        'Loan Tape (S&amp;P)'!T8350&lt;&gt;"Yes",
        DATEDIF('Loan Tape (S&amp;P)'!K8350, TODAY(), "M")&lt;18),
    1.10,
    1.00)</f>
        <v/>
      </c>
      <c r="O8350">
        <f>IF('Loan Tape (S&amp;P)'!T8350="Yes",
    1.35,
    1.00)</f>
        <v/>
      </c>
      <c r="P8350">
        <f>IF('Loan Tape (S&amp;P)'!S8350="Yes",
    1.15,
    1.00)</f>
        <v/>
      </c>
      <c r="Q8350">
        <f>IF('Loan Tape (S&amp;P)'!V8350="Yes",
    1.20,
    1.00)</f>
        <v/>
      </c>
      <c r="T8350">
        <f>LET(
    payment_method,'Loan Tape (S&amp;P)'!P8350,
    occupancy,'Loan Tape (S&amp;P)'!N8350,
    maturity_date,'Loan Tape (S&amp;P)'!L8350,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51">
      <c r="J8351">
        <f>LET(
    lien,'Loan Tape (S&amp;P)'!Q8351,
    IF(lien="First",1.00,
        IF(lien="Second",1.50,
            1.70)))</f>
        <v/>
      </c>
      <c r="K8351">
        <f>LET(
    purpose,'Loan Tape (S&amp;P)'!R8351,
    IF(purpose="Purchase",1.00,
        IF(purpose="Remortgage",1.00,
            1.20)))</f>
        <v/>
      </c>
      <c r="L8351">
        <f>LET(
    arrears_months,'Loan Tape (S&amp;P)'!AN8351,
    IF(arrears_months=0,1.00,
    IF(arrears_months=1,3.00,
    IF(arrears_months=2,5.00,
    IF(arrears_months=3,8.00,
    IF(arrears_months=4,10.00,
    IF(arrears_months=5,12.00,15.00)))))))</f>
        <v/>
      </c>
      <c r="M8351">
        <f>LET(
    seasoning_years,DATEDIF('Loan Tape (S&amp;P)'!K8351,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51">
        <f>IF(AND('Loan Tape (S&amp;P)'!U8351="Yes",
        'Loan Tape (S&amp;P)'!T8351&lt;&gt;"Yes",
        DATEDIF('Loan Tape (S&amp;P)'!K8351, TODAY(), "M")&lt;18),
    1.10,
    1.00)</f>
        <v/>
      </c>
      <c r="O8351">
        <f>IF('Loan Tape (S&amp;P)'!T8351="Yes",
    1.35,
    1.00)</f>
        <v/>
      </c>
      <c r="P8351">
        <f>IF('Loan Tape (S&amp;P)'!S8351="Yes",
    1.15,
    1.00)</f>
        <v/>
      </c>
      <c r="Q8351">
        <f>IF('Loan Tape (S&amp;P)'!V8351="Yes",
    1.20,
    1.00)</f>
        <v/>
      </c>
      <c r="T8351">
        <f>LET(
    payment_method,'Loan Tape (S&amp;P)'!P8351,
    occupancy,'Loan Tape (S&amp;P)'!N8351,
    maturity_date,'Loan Tape (S&amp;P)'!L8351,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52">
      <c r="J8352">
        <f>LET(
    lien,'Loan Tape (S&amp;P)'!Q8352,
    IF(lien="First",1.00,
        IF(lien="Second",1.50,
            1.70)))</f>
        <v/>
      </c>
      <c r="K8352">
        <f>LET(
    purpose,'Loan Tape (S&amp;P)'!R8352,
    IF(purpose="Purchase",1.00,
        IF(purpose="Remortgage",1.00,
            1.20)))</f>
        <v/>
      </c>
      <c r="L8352">
        <f>LET(
    arrears_months,'Loan Tape (S&amp;P)'!AN8352,
    IF(arrears_months=0,1.00,
    IF(arrears_months=1,3.00,
    IF(arrears_months=2,5.00,
    IF(arrears_months=3,8.00,
    IF(arrears_months=4,10.00,
    IF(arrears_months=5,12.00,15.00)))))))</f>
        <v/>
      </c>
      <c r="M8352">
        <f>LET(
    seasoning_years,DATEDIF('Loan Tape (S&amp;P)'!K8352,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52">
        <f>IF(AND('Loan Tape (S&amp;P)'!U8352="Yes",
        'Loan Tape (S&amp;P)'!T8352&lt;&gt;"Yes",
        DATEDIF('Loan Tape (S&amp;P)'!K8352, TODAY(), "M")&lt;18),
    1.10,
    1.00)</f>
        <v/>
      </c>
      <c r="O8352">
        <f>IF('Loan Tape (S&amp;P)'!T8352="Yes",
    1.35,
    1.00)</f>
        <v/>
      </c>
      <c r="P8352">
        <f>IF('Loan Tape (S&amp;P)'!S8352="Yes",
    1.15,
    1.00)</f>
        <v/>
      </c>
      <c r="Q8352">
        <f>IF('Loan Tape (S&amp;P)'!V8352="Yes",
    1.20,
    1.00)</f>
        <v/>
      </c>
      <c r="T8352">
        <f>LET(
    payment_method,'Loan Tape (S&amp;P)'!P8352,
    occupancy,'Loan Tape (S&amp;P)'!N8352,
    maturity_date,'Loan Tape (S&amp;P)'!L8352,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53">
      <c r="J8353">
        <f>LET(
    lien,'Loan Tape (S&amp;P)'!Q8353,
    IF(lien="First",1.00,
        IF(lien="Second",1.50,
            1.70)))</f>
        <v/>
      </c>
      <c r="K8353">
        <f>LET(
    purpose,'Loan Tape (S&amp;P)'!R8353,
    IF(purpose="Purchase",1.00,
        IF(purpose="Remortgage",1.00,
            1.20)))</f>
        <v/>
      </c>
      <c r="L8353">
        <f>LET(
    arrears_months,'Loan Tape (S&amp;P)'!AN8353,
    IF(arrears_months=0,1.00,
    IF(arrears_months=1,3.00,
    IF(arrears_months=2,5.00,
    IF(arrears_months=3,8.00,
    IF(arrears_months=4,10.00,
    IF(arrears_months=5,12.00,15.00)))))))</f>
        <v/>
      </c>
      <c r="M8353">
        <f>LET(
    seasoning_years,DATEDIF('Loan Tape (S&amp;P)'!K8353,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53">
        <f>IF(AND('Loan Tape (S&amp;P)'!U8353="Yes",
        'Loan Tape (S&amp;P)'!T8353&lt;&gt;"Yes",
        DATEDIF('Loan Tape (S&amp;P)'!K8353, TODAY(), "M")&lt;18),
    1.10,
    1.00)</f>
        <v/>
      </c>
      <c r="O8353">
        <f>IF('Loan Tape (S&amp;P)'!T8353="Yes",
    1.35,
    1.00)</f>
        <v/>
      </c>
      <c r="P8353">
        <f>IF('Loan Tape (S&amp;P)'!S8353="Yes",
    1.15,
    1.00)</f>
        <v/>
      </c>
      <c r="Q8353">
        <f>IF('Loan Tape (S&amp;P)'!V8353="Yes",
    1.20,
    1.00)</f>
        <v/>
      </c>
      <c r="T8353">
        <f>LET(
    payment_method,'Loan Tape (S&amp;P)'!P8353,
    occupancy,'Loan Tape (S&amp;P)'!N8353,
    maturity_date,'Loan Tape (S&amp;P)'!L8353,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54">
      <c r="J8354">
        <f>LET(
    lien,'Loan Tape (S&amp;P)'!Q8354,
    IF(lien="First",1.00,
        IF(lien="Second",1.50,
            1.70)))</f>
        <v/>
      </c>
      <c r="K8354">
        <f>LET(
    purpose,'Loan Tape (S&amp;P)'!R8354,
    IF(purpose="Purchase",1.00,
        IF(purpose="Remortgage",1.00,
            1.20)))</f>
        <v/>
      </c>
      <c r="L8354">
        <f>LET(
    arrears_months,'Loan Tape (S&amp;P)'!AN8354,
    IF(arrears_months=0,1.00,
    IF(arrears_months=1,3.00,
    IF(arrears_months=2,5.00,
    IF(arrears_months=3,8.00,
    IF(arrears_months=4,10.00,
    IF(arrears_months=5,12.00,15.00)))))))</f>
        <v/>
      </c>
      <c r="M8354">
        <f>LET(
    seasoning_years,DATEDIF('Loan Tape (S&amp;P)'!K8354,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54">
        <f>IF(AND('Loan Tape (S&amp;P)'!U8354="Yes",
        'Loan Tape (S&amp;P)'!T8354&lt;&gt;"Yes",
        DATEDIF('Loan Tape (S&amp;P)'!K8354, TODAY(), "M")&lt;18),
    1.10,
    1.00)</f>
        <v/>
      </c>
      <c r="O8354">
        <f>IF('Loan Tape (S&amp;P)'!T8354="Yes",
    1.35,
    1.00)</f>
        <v/>
      </c>
      <c r="P8354">
        <f>IF('Loan Tape (S&amp;P)'!S8354="Yes",
    1.15,
    1.00)</f>
        <v/>
      </c>
      <c r="Q8354">
        <f>IF('Loan Tape (S&amp;P)'!V8354="Yes",
    1.20,
    1.00)</f>
        <v/>
      </c>
      <c r="T8354">
        <f>LET(
    payment_method,'Loan Tape (S&amp;P)'!P8354,
    occupancy,'Loan Tape (S&amp;P)'!N8354,
    maturity_date,'Loan Tape (S&amp;P)'!L8354,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55">
      <c r="J8355">
        <f>LET(
    lien,'Loan Tape (S&amp;P)'!Q8355,
    IF(lien="First",1.00,
        IF(lien="Second",1.50,
            1.70)))</f>
        <v/>
      </c>
      <c r="K8355">
        <f>LET(
    purpose,'Loan Tape (S&amp;P)'!R8355,
    IF(purpose="Purchase",1.00,
        IF(purpose="Remortgage",1.00,
            1.20)))</f>
        <v/>
      </c>
      <c r="L8355">
        <f>LET(
    arrears_months,'Loan Tape (S&amp;P)'!AN8355,
    IF(arrears_months=0,1.00,
    IF(arrears_months=1,3.00,
    IF(arrears_months=2,5.00,
    IF(arrears_months=3,8.00,
    IF(arrears_months=4,10.00,
    IF(arrears_months=5,12.00,15.00)))))))</f>
        <v/>
      </c>
      <c r="M8355">
        <f>LET(
    seasoning_years,DATEDIF('Loan Tape (S&amp;P)'!K8355,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55">
        <f>IF(AND('Loan Tape (S&amp;P)'!U8355="Yes",
        'Loan Tape (S&amp;P)'!T8355&lt;&gt;"Yes",
        DATEDIF('Loan Tape (S&amp;P)'!K8355, TODAY(), "M")&lt;18),
    1.10,
    1.00)</f>
        <v/>
      </c>
      <c r="O8355">
        <f>IF('Loan Tape (S&amp;P)'!T8355="Yes",
    1.35,
    1.00)</f>
        <v/>
      </c>
      <c r="P8355">
        <f>IF('Loan Tape (S&amp;P)'!S8355="Yes",
    1.15,
    1.00)</f>
        <v/>
      </c>
      <c r="Q8355">
        <f>IF('Loan Tape (S&amp;P)'!V8355="Yes",
    1.20,
    1.00)</f>
        <v/>
      </c>
      <c r="T8355">
        <f>LET(
    payment_method,'Loan Tape (S&amp;P)'!P8355,
    occupancy,'Loan Tape (S&amp;P)'!N8355,
    maturity_date,'Loan Tape (S&amp;P)'!L8355,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56">
      <c r="J8356">
        <f>LET(
    lien,'Loan Tape (S&amp;P)'!Q8356,
    IF(lien="First",1.00,
        IF(lien="Second",1.50,
            1.70)))</f>
        <v/>
      </c>
      <c r="K8356">
        <f>LET(
    purpose,'Loan Tape (S&amp;P)'!R8356,
    IF(purpose="Purchase",1.00,
        IF(purpose="Remortgage",1.00,
            1.20)))</f>
        <v/>
      </c>
      <c r="L8356">
        <f>LET(
    arrears_months,'Loan Tape (S&amp;P)'!AN8356,
    IF(arrears_months=0,1.00,
    IF(arrears_months=1,3.00,
    IF(arrears_months=2,5.00,
    IF(arrears_months=3,8.00,
    IF(arrears_months=4,10.00,
    IF(arrears_months=5,12.00,15.00)))))))</f>
        <v/>
      </c>
      <c r="M8356">
        <f>LET(
    seasoning_years,DATEDIF('Loan Tape (S&amp;P)'!K8356,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56">
        <f>IF(AND('Loan Tape (S&amp;P)'!U8356="Yes",
        'Loan Tape (S&amp;P)'!T8356&lt;&gt;"Yes",
        DATEDIF('Loan Tape (S&amp;P)'!K8356, TODAY(), "M")&lt;18),
    1.10,
    1.00)</f>
        <v/>
      </c>
      <c r="O8356">
        <f>IF('Loan Tape (S&amp;P)'!T8356="Yes",
    1.35,
    1.00)</f>
        <v/>
      </c>
      <c r="P8356">
        <f>IF('Loan Tape (S&amp;P)'!S8356="Yes",
    1.15,
    1.00)</f>
        <v/>
      </c>
      <c r="Q8356">
        <f>IF('Loan Tape (S&amp;P)'!V8356="Yes",
    1.20,
    1.00)</f>
        <v/>
      </c>
      <c r="T8356">
        <f>LET(
    payment_method,'Loan Tape (S&amp;P)'!P8356,
    occupancy,'Loan Tape (S&amp;P)'!N8356,
    maturity_date,'Loan Tape (S&amp;P)'!L8356,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57">
      <c r="J8357">
        <f>LET(
    lien,'Loan Tape (S&amp;P)'!Q8357,
    IF(lien="First",1.00,
        IF(lien="Second",1.50,
            1.70)))</f>
        <v/>
      </c>
      <c r="K8357">
        <f>LET(
    purpose,'Loan Tape (S&amp;P)'!R8357,
    IF(purpose="Purchase",1.00,
        IF(purpose="Remortgage",1.00,
            1.20)))</f>
        <v/>
      </c>
      <c r="L8357">
        <f>LET(
    arrears_months,'Loan Tape (S&amp;P)'!AN8357,
    IF(arrears_months=0,1.00,
    IF(arrears_months=1,3.00,
    IF(arrears_months=2,5.00,
    IF(arrears_months=3,8.00,
    IF(arrears_months=4,10.00,
    IF(arrears_months=5,12.00,15.00)))))))</f>
        <v/>
      </c>
      <c r="M8357">
        <f>LET(
    seasoning_years,DATEDIF('Loan Tape (S&amp;P)'!K8357,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57">
        <f>IF(AND('Loan Tape (S&amp;P)'!U8357="Yes",
        'Loan Tape (S&amp;P)'!T8357&lt;&gt;"Yes",
        DATEDIF('Loan Tape (S&amp;P)'!K8357, TODAY(), "M")&lt;18),
    1.10,
    1.00)</f>
        <v/>
      </c>
      <c r="O8357">
        <f>IF('Loan Tape (S&amp;P)'!T8357="Yes",
    1.35,
    1.00)</f>
        <v/>
      </c>
      <c r="P8357">
        <f>IF('Loan Tape (S&amp;P)'!S8357="Yes",
    1.15,
    1.00)</f>
        <v/>
      </c>
      <c r="Q8357">
        <f>IF('Loan Tape (S&amp;P)'!V8357="Yes",
    1.20,
    1.00)</f>
        <v/>
      </c>
      <c r="T8357">
        <f>LET(
    payment_method,'Loan Tape (S&amp;P)'!P8357,
    occupancy,'Loan Tape (S&amp;P)'!N8357,
    maturity_date,'Loan Tape (S&amp;P)'!L8357,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58">
      <c r="J8358">
        <f>LET(
    lien,'Loan Tape (S&amp;P)'!Q8358,
    IF(lien="First",1.00,
        IF(lien="Second",1.50,
            1.70)))</f>
        <v/>
      </c>
      <c r="K8358">
        <f>LET(
    purpose,'Loan Tape (S&amp;P)'!R8358,
    IF(purpose="Purchase",1.00,
        IF(purpose="Remortgage",1.00,
            1.20)))</f>
        <v/>
      </c>
      <c r="L8358">
        <f>LET(
    arrears_months,'Loan Tape (S&amp;P)'!AN8358,
    IF(arrears_months=0,1.00,
    IF(arrears_months=1,3.00,
    IF(arrears_months=2,5.00,
    IF(arrears_months=3,8.00,
    IF(arrears_months=4,10.00,
    IF(arrears_months=5,12.00,15.00)))))))</f>
        <v/>
      </c>
      <c r="M8358">
        <f>LET(
    seasoning_years,DATEDIF('Loan Tape (S&amp;P)'!K8358,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58">
        <f>IF(AND('Loan Tape (S&amp;P)'!U8358="Yes",
        'Loan Tape (S&amp;P)'!T8358&lt;&gt;"Yes",
        DATEDIF('Loan Tape (S&amp;P)'!K8358, TODAY(), "M")&lt;18),
    1.10,
    1.00)</f>
        <v/>
      </c>
      <c r="O8358">
        <f>IF('Loan Tape (S&amp;P)'!T8358="Yes",
    1.35,
    1.00)</f>
        <v/>
      </c>
      <c r="P8358">
        <f>IF('Loan Tape (S&amp;P)'!S8358="Yes",
    1.15,
    1.00)</f>
        <v/>
      </c>
      <c r="Q8358">
        <f>IF('Loan Tape (S&amp;P)'!V8358="Yes",
    1.20,
    1.00)</f>
        <v/>
      </c>
      <c r="T8358">
        <f>LET(
    payment_method,'Loan Tape (S&amp;P)'!P8358,
    occupancy,'Loan Tape (S&amp;P)'!N8358,
    maturity_date,'Loan Tape (S&amp;P)'!L8358,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59">
      <c r="J8359">
        <f>LET(
    lien,'Loan Tape (S&amp;P)'!Q8359,
    IF(lien="First",1.00,
        IF(lien="Second",1.50,
            1.70)))</f>
        <v/>
      </c>
      <c r="K8359">
        <f>LET(
    purpose,'Loan Tape (S&amp;P)'!R8359,
    IF(purpose="Purchase",1.00,
        IF(purpose="Remortgage",1.00,
            1.20)))</f>
        <v/>
      </c>
      <c r="L8359">
        <f>LET(
    arrears_months,'Loan Tape (S&amp;P)'!AN8359,
    IF(arrears_months=0,1.00,
    IF(arrears_months=1,3.00,
    IF(arrears_months=2,5.00,
    IF(arrears_months=3,8.00,
    IF(arrears_months=4,10.00,
    IF(arrears_months=5,12.00,15.00)))))))</f>
        <v/>
      </c>
      <c r="M8359">
        <f>LET(
    seasoning_years,DATEDIF('Loan Tape (S&amp;P)'!K8359,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59">
        <f>IF(AND('Loan Tape (S&amp;P)'!U8359="Yes",
        'Loan Tape (S&amp;P)'!T8359&lt;&gt;"Yes",
        DATEDIF('Loan Tape (S&amp;P)'!K8359, TODAY(), "M")&lt;18),
    1.10,
    1.00)</f>
        <v/>
      </c>
      <c r="O8359">
        <f>IF('Loan Tape (S&amp;P)'!T8359="Yes",
    1.35,
    1.00)</f>
        <v/>
      </c>
      <c r="P8359">
        <f>IF('Loan Tape (S&amp;P)'!S8359="Yes",
    1.15,
    1.00)</f>
        <v/>
      </c>
      <c r="Q8359">
        <f>IF('Loan Tape (S&amp;P)'!V8359="Yes",
    1.20,
    1.00)</f>
        <v/>
      </c>
      <c r="T8359">
        <f>LET(
    payment_method,'Loan Tape (S&amp;P)'!P8359,
    occupancy,'Loan Tape (S&amp;P)'!N8359,
    maturity_date,'Loan Tape (S&amp;P)'!L8359,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60">
      <c r="J8360">
        <f>LET(
    lien,'Loan Tape (S&amp;P)'!Q8360,
    IF(lien="First",1.00,
        IF(lien="Second",1.50,
            1.70)))</f>
        <v/>
      </c>
      <c r="K8360">
        <f>LET(
    purpose,'Loan Tape (S&amp;P)'!R8360,
    IF(purpose="Purchase",1.00,
        IF(purpose="Remortgage",1.00,
            1.20)))</f>
        <v/>
      </c>
      <c r="L8360">
        <f>LET(
    arrears_months,'Loan Tape (S&amp;P)'!AN8360,
    IF(arrears_months=0,1.00,
    IF(arrears_months=1,3.00,
    IF(arrears_months=2,5.00,
    IF(arrears_months=3,8.00,
    IF(arrears_months=4,10.00,
    IF(arrears_months=5,12.00,15.00)))))))</f>
        <v/>
      </c>
      <c r="M8360">
        <f>LET(
    seasoning_years,DATEDIF('Loan Tape (S&amp;P)'!K8360,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60">
        <f>IF(AND('Loan Tape (S&amp;P)'!U8360="Yes",
        'Loan Tape (S&amp;P)'!T8360&lt;&gt;"Yes",
        DATEDIF('Loan Tape (S&amp;P)'!K8360, TODAY(), "M")&lt;18),
    1.10,
    1.00)</f>
        <v/>
      </c>
      <c r="O8360">
        <f>IF('Loan Tape (S&amp;P)'!T8360="Yes",
    1.35,
    1.00)</f>
        <v/>
      </c>
      <c r="P8360">
        <f>IF('Loan Tape (S&amp;P)'!S8360="Yes",
    1.15,
    1.00)</f>
        <v/>
      </c>
      <c r="Q8360">
        <f>IF('Loan Tape (S&amp;P)'!V8360="Yes",
    1.20,
    1.00)</f>
        <v/>
      </c>
      <c r="T8360">
        <f>LET(
    payment_method,'Loan Tape (S&amp;P)'!P8360,
    occupancy,'Loan Tape (S&amp;P)'!N8360,
    maturity_date,'Loan Tape (S&amp;P)'!L8360,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61">
      <c r="J8361">
        <f>LET(
    lien,'Loan Tape (S&amp;P)'!Q8361,
    IF(lien="First",1.00,
        IF(lien="Second",1.50,
            1.70)))</f>
        <v/>
      </c>
      <c r="K8361">
        <f>LET(
    purpose,'Loan Tape (S&amp;P)'!R8361,
    IF(purpose="Purchase",1.00,
        IF(purpose="Remortgage",1.00,
            1.20)))</f>
        <v/>
      </c>
      <c r="L8361">
        <f>LET(
    arrears_months,'Loan Tape (S&amp;P)'!AN8361,
    IF(arrears_months=0,1.00,
    IF(arrears_months=1,3.00,
    IF(arrears_months=2,5.00,
    IF(arrears_months=3,8.00,
    IF(arrears_months=4,10.00,
    IF(arrears_months=5,12.00,15.00)))))))</f>
        <v/>
      </c>
      <c r="M8361">
        <f>LET(
    seasoning_years,DATEDIF('Loan Tape (S&amp;P)'!K8361,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61">
        <f>IF(AND('Loan Tape (S&amp;P)'!U8361="Yes",
        'Loan Tape (S&amp;P)'!T8361&lt;&gt;"Yes",
        DATEDIF('Loan Tape (S&amp;P)'!K8361, TODAY(), "M")&lt;18),
    1.10,
    1.00)</f>
        <v/>
      </c>
      <c r="O8361">
        <f>IF('Loan Tape (S&amp;P)'!T8361="Yes",
    1.35,
    1.00)</f>
        <v/>
      </c>
      <c r="P8361">
        <f>IF('Loan Tape (S&amp;P)'!S8361="Yes",
    1.15,
    1.00)</f>
        <v/>
      </c>
      <c r="Q8361">
        <f>IF('Loan Tape (S&amp;P)'!V8361="Yes",
    1.20,
    1.00)</f>
        <v/>
      </c>
      <c r="T8361">
        <f>LET(
    payment_method,'Loan Tape (S&amp;P)'!P8361,
    occupancy,'Loan Tape (S&amp;P)'!N8361,
    maturity_date,'Loan Tape (S&amp;P)'!L8361,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62">
      <c r="J8362">
        <f>LET(
    lien,'Loan Tape (S&amp;P)'!Q8362,
    IF(lien="First",1.00,
        IF(lien="Second",1.50,
            1.70)))</f>
        <v/>
      </c>
      <c r="K8362">
        <f>LET(
    purpose,'Loan Tape (S&amp;P)'!R8362,
    IF(purpose="Purchase",1.00,
        IF(purpose="Remortgage",1.00,
            1.20)))</f>
        <v/>
      </c>
      <c r="L8362">
        <f>LET(
    arrears_months,'Loan Tape (S&amp;P)'!AN8362,
    IF(arrears_months=0,1.00,
    IF(arrears_months=1,3.00,
    IF(arrears_months=2,5.00,
    IF(arrears_months=3,8.00,
    IF(arrears_months=4,10.00,
    IF(arrears_months=5,12.00,15.00)))))))</f>
        <v/>
      </c>
      <c r="M8362">
        <f>LET(
    seasoning_years,DATEDIF('Loan Tape (S&amp;P)'!K8362,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62">
        <f>IF(AND('Loan Tape (S&amp;P)'!U8362="Yes",
        'Loan Tape (S&amp;P)'!T8362&lt;&gt;"Yes",
        DATEDIF('Loan Tape (S&amp;P)'!K8362, TODAY(), "M")&lt;18),
    1.10,
    1.00)</f>
        <v/>
      </c>
      <c r="O8362">
        <f>IF('Loan Tape (S&amp;P)'!T8362="Yes",
    1.35,
    1.00)</f>
        <v/>
      </c>
      <c r="P8362">
        <f>IF('Loan Tape (S&amp;P)'!S8362="Yes",
    1.15,
    1.00)</f>
        <v/>
      </c>
      <c r="Q8362">
        <f>IF('Loan Tape (S&amp;P)'!V8362="Yes",
    1.20,
    1.00)</f>
        <v/>
      </c>
      <c r="T8362">
        <f>LET(
    payment_method,'Loan Tape (S&amp;P)'!P8362,
    occupancy,'Loan Tape (S&amp;P)'!N8362,
    maturity_date,'Loan Tape (S&amp;P)'!L8362,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63">
      <c r="J8363">
        <f>LET(
    lien,'Loan Tape (S&amp;P)'!Q8363,
    IF(lien="First",1.00,
        IF(lien="Second",1.50,
            1.70)))</f>
        <v/>
      </c>
      <c r="K8363">
        <f>LET(
    purpose,'Loan Tape (S&amp;P)'!R8363,
    IF(purpose="Purchase",1.00,
        IF(purpose="Remortgage",1.00,
            1.20)))</f>
        <v/>
      </c>
      <c r="L8363">
        <f>LET(
    arrears_months,'Loan Tape (S&amp;P)'!AN8363,
    IF(arrears_months=0,1.00,
    IF(arrears_months=1,3.00,
    IF(arrears_months=2,5.00,
    IF(arrears_months=3,8.00,
    IF(arrears_months=4,10.00,
    IF(arrears_months=5,12.00,15.00)))))))</f>
        <v/>
      </c>
      <c r="M8363">
        <f>LET(
    seasoning_years,DATEDIF('Loan Tape (S&amp;P)'!K8363,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63">
        <f>IF(AND('Loan Tape (S&amp;P)'!U8363="Yes",
        'Loan Tape (S&amp;P)'!T8363&lt;&gt;"Yes",
        DATEDIF('Loan Tape (S&amp;P)'!K8363, TODAY(), "M")&lt;18),
    1.10,
    1.00)</f>
        <v/>
      </c>
      <c r="O8363">
        <f>IF('Loan Tape (S&amp;P)'!T8363="Yes",
    1.35,
    1.00)</f>
        <v/>
      </c>
      <c r="P8363">
        <f>IF('Loan Tape (S&amp;P)'!S8363="Yes",
    1.15,
    1.00)</f>
        <v/>
      </c>
      <c r="Q8363">
        <f>IF('Loan Tape (S&amp;P)'!V8363="Yes",
    1.20,
    1.00)</f>
        <v/>
      </c>
      <c r="T8363">
        <f>LET(
    payment_method,'Loan Tape (S&amp;P)'!P8363,
    occupancy,'Loan Tape (S&amp;P)'!N8363,
    maturity_date,'Loan Tape (S&amp;P)'!L8363,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64">
      <c r="J8364">
        <f>LET(
    lien,'Loan Tape (S&amp;P)'!Q8364,
    IF(lien="First",1.00,
        IF(lien="Second",1.50,
            1.70)))</f>
        <v/>
      </c>
      <c r="K8364">
        <f>LET(
    purpose,'Loan Tape (S&amp;P)'!R8364,
    IF(purpose="Purchase",1.00,
        IF(purpose="Remortgage",1.00,
            1.20)))</f>
        <v/>
      </c>
      <c r="L8364">
        <f>LET(
    arrears_months,'Loan Tape (S&amp;P)'!AN8364,
    IF(arrears_months=0,1.00,
    IF(arrears_months=1,3.00,
    IF(arrears_months=2,5.00,
    IF(arrears_months=3,8.00,
    IF(arrears_months=4,10.00,
    IF(arrears_months=5,12.00,15.00)))))))</f>
        <v/>
      </c>
      <c r="M8364">
        <f>LET(
    seasoning_years,DATEDIF('Loan Tape (S&amp;P)'!K8364,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64">
        <f>IF(AND('Loan Tape (S&amp;P)'!U8364="Yes",
        'Loan Tape (S&amp;P)'!T8364&lt;&gt;"Yes",
        DATEDIF('Loan Tape (S&amp;P)'!K8364, TODAY(), "M")&lt;18),
    1.10,
    1.00)</f>
        <v/>
      </c>
      <c r="O8364">
        <f>IF('Loan Tape (S&amp;P)'!T8364="Yes",
    1.35,
    1.00)</f>
        <v/>
      </c>
      <c r="P8364">
        <f>IF('Loan Tape (S&amp;P)'!S8364="Yes",
    1.15,
    1.00)</f>
        <v/>
      </c>
      <c r="Q8364">
        <f>IF('Loan Tape (S&amp;P)'!V8364="Yes",
    1.20,
    1.00)</f>
        <v/>
      </c>
      <c r="T8364">
        <f>LET(
    payment_method,'Loan Tape (S&amp;P)'!P8364,
    occupancy,'Loan Tape (S&amp;P)'!N8364,
    maturity_date,'Loan Tape (S&amp;P)'!L8364,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65">
      <c r="J8365">
        <f>LET(
    lien,'Loan Tape (S&amp;P)'!Q8365,
    IF(lien="First",1.00,
        IF(lien="Second",1.50,
            1.70)))</f>
        <v/>
      </c>
      <c r="K8365">
        <f>LET(
    purpose,'Loan Tape (S&amp;P)'!R8365,
    IF(purpose="Purchase",1.00,
        IF(purpose="Remortgage",1.00,
            1.20)))</f>
        <v/>
      </c>
      <c r="L8365">
        <f>LET(
    arrears_months,'Loan Tape (S&amp;P)'!AN8365,
    IF(arrears_months=0,1.00,
    IF(arrears_months=1,3.00,
    IF(arrears_months=2,5.00,
    IF(arrears_months=3,8.00,
    IF(arrears_months=4,10.00,
    IF(arrears_months=5,12.00,15.00)))))))</f>
        <v/>
      </c>
      <c r="M8365">
        <f>LET(
    seasoning_years,DATEDIF('Loan Tape (S&amp;P)'!K8365,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65">
        <f>IF(AND('Loan Tape (S&amp;P)'!U8365="Yes",
        'Loan Tape (S&amp;P)'!T8365&lt;&gt;"Yes",
        DATEDIF('Loan Tape (S&amp;P)'!K8365, TODAY(), "M")&lt;18),
    1.10,
    1.00)</f>
        <v/>
      </c>
      <c r="O8365">
        <f>IF('Loan Tape (S&amp;P)'!T8365="Yes",
    1.35,
    1.00)</f>
        <v/>
      </c>
      <c r="P8365">
        <f>IF('Loan Tape (S&amp;P)'!S8365="Yes",
    1.15,
    1.00)</f>
        <v/>
      </c>
      <c r="Q8365">
        <f>IF('Loan Tape (S&amp;P)'!V8365="Yes",
    1.20,
    1.00)</f>
        <v/>
      </c>
      <c r="T8365">
        <f>LET(
    payment_method,'Loan Tape (S&amp;P)'!P8365,
    occupancy,'Loan Tape (S&amp;P)'!N8365,
    maturity_date,'Loan Tape (S&amp;P)'!L8365,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66">
      <c r="J8366">
        <f>LET(
    lien,'Loan Tape (S&amp;P)'!Q8366,
    IF(lien="First",1.00,
        IF(lien="Second",1.50,
            1.70)))</f>
        <v/>
      </c>
      <c r="K8366">
        <f>LET(
    purpose,'Loan Tape (S&amp;P)'!R8366,
    IF(purpose="Purchase",1.00,
        IF(purpose="Remortgage",1.00,
            1.20)))</f>
        <v/>
      </c>
      <c r="L8366">
        <f>LET(
    arrears_months,'Loan Tape (S&amp;P)'!AN8366,
    IF(arrears_months=0,1.00,
    IF(arrears_months=1,3.00,
    IF(arrears_months=2,5.00,
    IF(arrears_months=3,8.00,
    IF(arrears_months=4,10.00,
    IF(arrears_months=5,12.00,15.00)))))))</f>
        <v/>
      </c>
      <c r="M8366">
        <f>LET(
    seasoning_years,DATEDIF('Loan Tape (S&amp;P)'!K8366,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66">
        <f>IF(AND('Loan Tape (S&amp;P)'!U8366="Yes",
        'Loan Tape (S&amp;P)'!T8366&lt;&gt;"Yes",
        DATEDIF('Loan Tape (S&amp;P)'!K8366, TODAY(), "M")&lt;18),
    1.10,
    1.00)</f>
        <v/>
      </c>
      <c r="O8366">
        <f>IF('Loan Tape (S&amp;P)'!T8366="Yes",
    1.35,
    1.00)</f>
        <v/>
      </c>
      <c r="P8366">
        <f>IF('Loan Tape (S&amp;P)'!S8366="Yes",
    1.15,
    1.00)</f>
        <v/>
      </c>
      <c r="Q8366">
        <f>IF('Loan Tape (S&amp;P)'!V8366="Yes",
    1.20,
    1.00)</f>
        <v/>
      </c>
      <c r="T8366">
        <f>LET(
    payment_method,'Loan Tape (S&amp;P)'!P8366,
    occupancy,'Loan Tape (S&amp;P)'!N8366,
    maturity_date,'Loan Tape (S&amp;P)'!L8366,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67">
      <c r="J8367">
        <f>LET(
    lien,'Loan Tape (S&amp;P)'!Q8367,
    IF(lien="First",1.00,
        IF(lien="Second",1.50,
            1.70)))</f>
        <v/>
      </c>
      <c r="K8367">
        <f>LET(
    purpose,'Loan Tape (S&amp;P)'!R8367,
    IF(purpose="Purchase",1.00,
        IF(purpose="Remortgage",1.00,
            1.20)))</f>
        <v/>
      </c>
      <c r="L8367">
        <f>LET(
    arrears_months,'Loan Tape (S&amp;P)'!AN8367,
    IF(arrears_months=0,1.00,
    IF(arrears_months=1,3.00,
    IF(arrears_months=2,5.00,
    IF(arrears_months=3,8.00,
    IF(arrears_months=4,10.00,
    IF(arrears_months=5,12.00,15.00)))))))</f>
        <v/>
      </c>
      <c r="M8367">
        <f>LET(
    seasoning_years,DATEDIF('Loan Tape (S&amp;P)'!K8367,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67">
        <f>IF(AND('Loan Tape (S&amp;P)'!U8367="Yes",
        'Loan Tape (S&amp;P)'!T8367&lt;&gt;"Yes",
        DATEDIF('Loan Tape (S&amp;P)'!K8367, TODAY(), "M")&lt;18),
    1.10,
    1.00)</f>
        <v/>
      </c>
      <c r="O8367">
        <f>IF('Loan Tape (S&amp;P)'!T8367="Yes",
    1.35,
    1.00)</f>
        <v/>
      </c>
      <c r="P8367">
        <f>IF('Loan Tape (S&amp;P)'!S8367="Yes",
    1.15,
    1.00)</f>
        <v/>
      </c>
      <c r="Q8367">
        <f>IF('Loan Tape (S&amp;P)'!V8367="Yes",
    1.20,
    1.00)</f>
        <v/>
      </c>
      <c r="T8367">
        <f>LET(
    payment_method,'Loan Tape (S&amp;P)'!P8367,
    occupancy,'Loan Tape (S&amp;P)'!N8367,
    maturity_date,'Loan Tape (S&amp;P)'!L8367,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68">
      <c r="J8368">
        <f>LET(
    lien,'Loan Tape (S&amp;P)'!Q8368,
    IF(lien="First",1.00,
        IF(lien="Second",1.50,
            1.70)))</f>
        <v/>
      </c>
      <c r="K8368">
        <f>LET(
    purpose,'Loan Tape (S&amp;P)'!R8368,
    IF(purpose="Purchase",1.00,
        IF(purpose="Remortgage",1.00,
            1.20)))</f>
        <v/>
      </c>
      <c r="L8368">
        <f>LET(
    arrears_months,'Loan Tape (S&amp;P)'!AN8368,
    IF(arrears_months=0,1.00,
    IF(arrears_months=1,3.00,
    IF(arrears_months=2,5.00,
    IF(arrears_months=3,8.00,
    IF(arrears_months=4,10.00,
    IF(arrears_months=5,12.00,15.00)))))))</f>
        <v/>
      </c>
      <c r="M8368">
        <f>LET(
    seasoning_years,DATEDIF('Loan Tape (S&amp;P)'!K8368,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68">
        <f>IF(AND('Loan Tape (S&amp;P)'!U8368="Yes",
        'Loan Tape (S&amp;P)'!T8368&lt;&gt;"Yes",
        DATEDIF('Loan Tape (S&amp;P)'!K8368, TODAY(), "M")&lt;18),
    1.10,
    1.00)</f>
        <v/>
      </c>
      <c r="O8368">
        <f>IF('Loan Tape (S&amp;P)'!T8368="Yes",
    1.35,
    1.00)</f>
        <v/>
      </c>
      <c r="P8368">
        <f>IF('Loan Tape (S&amp;P)'!S8368="Yes",
    1.15,
    1.00)</f>
        <v/>
      </c>
      <c r="Q8368">
        <f>IF('Loan Tape (S&amp;P)'!V8368="Yes",
    1.20,
    1.00)</f>
        <v/>
      </c>
      <c r="T8368">
        <f>LET(
    payment_method,'Loan Tape (S&amp;P)'!P8368,
    occupancy,'Loan Tape (S&amp;P)'!N8368,
    maturity_date,'Loan Tape (S&amp;P)'!L8368,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69">
      <c r="J8369">
        <f>LET(
    lien,'Loan Tape (S&amp;P)'!Q8369,
    IF(lien="First",1.00,
        IF(lien="Second",1.50,
            1.70)))</f>
        <v/>
      </c>
      <c r="K8369">
        <f>LET(
    purpose,'Loan Tape (S&amp;P)'!R8369,
    IF(purpose="Purchase",1.00,
        IF(purpose="Remortgage",1.00,
            1.20)))</f>
        <v/>
      </c>
      <c r="L8369">
        <f>LET(
    arrears_months,'Loan Tape (S&amp;P)'!AN8369,
    IF(arrears_months=0,1.00,
    IF(arrears_months=1,3.00,
    IF(arrears_months=2,5.00,
    IF(arrears_months=3,8.00,
    IF(arrears_months=4,10.00,
    IF(arrears_months=5,12.00,15.00)))))))</f>
        <v/>
      </c>
      <c r="M8369">
        <f>LET(
    seasoning_years,DATEDIF('Loan Tape (S&amp;P)'!K8369,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69">
        <f>IF(AND('Loan Tape (S&amp;P)'!U8369="Yes",
        'Loan Tape (S&amp;P)'!T8369&lt;&gt;"Yes",
        DATEDIF('Loan Tape (S&amp;P)'!K8369, TODAY(), "M")&lt;18),
    1.10,
    1.00)</f>
        <v/>
      </c>
      <c r="O8369">
        <f>IF('Loan Tape (S&amp;P)'!T8369="Yes",
    1.35,
    1.00)</f>
        <v/>
      </c>
      <c r="P8369">
        <f>IF('Loan Tape (S&amp;P)'!S8369="Yes",
    1.15,
    1.00)</f>
        <v/>
      </c>
      <c r="Q8369">
        <f>IF('Loan Tape (S&amp;P)'!V8369="Yes",
    1.20,
    1.00)</f>
        <v/>
      </c>
      <c r="T8369">
        <f>LET(
    payment_method,'Loan Tape (S&amp;P)'!P8369,
    occupancy,'Loan Tape (S&amp;P)'!N8369,
    maturity_date,'Loan Tape (S&amp;P)'!L8369,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70">
      <c r="J8370">
        <f>LET(
    lien,'Loan Tape (S&amp;P)'!Q8370,
    IF(lien="First",1.00,
        IF(lien="Second",1.50,
            1.70)))</f>
        <v/>
      </c>
      <c r="K8370">
        <f>LET(
    purpose,'Loan Tape (S&amp;P)'!R8370,
    IF(purpose="Purchase",1.00,
        IF(purpose="Remortgage",1.00,
            1.20)))</f>
        <v/>
      </c>
      <c r="L8370">
        <f>LET(
    arrears_months,'Loan Tape (S&amp;P)'!AN8370,
    IF(arrears_months=0,1.00,
    IF(arrears_months=1,3.00,
    IF(arrears_months=2,5.00,
    IF(arrears_months=3,8.00,
    IF(arrears_months=4,10.00,
    IF(arrears_months=5,12.00,15.00)))))))</f>
        <v/>
      </c>
      <c r="M8370">
        <f>LET(
    seasoning_years,DATEDIF('Loan Tape (S&amp;P)'!K8370,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70">
        <f>IF(AND('Loan Tape (S&amp;P)'!U8370="Yes",
        'Loan Tape (S&amp;P)'!T8370&lt;&gt;"Yes",
        DATEDIF('Loan Tape (S&amp;P)'!K8370, TODAY(), "M")&lt;18),
    1.10,
    1.00)</f>
        <v/>
      </c>
      <c r="O8370">
        <f>IF('Loan Tape (S&amp;P)'!T8370="Yes",
    1.35,
    1.00)</f>
        <v/>
      </c>
      <c r="P8370">
        <f>IF('Loan Tape (S&amp;P)'!S8370="Yes",
    1.15,
    1.00)</f>
        <v/>
      </c>
      <c r="Q8370">
        <f>IF('Loan Tape (S&amp;P)'!V8370="Yes",
    1.20,
    1.00)</f>
        <v/>
      </c>
      <c r="T8370">
        <f>LET(
    payment_method,'Loan Tape (S&amp;P)'!P8370,
    occupancy,'Loan Tape (S&amp;P)'!N8370,
    maturity_date,'Loan Tape (S&amp;P)'!L8370,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71">
      <c r="J8371">
        <f>LET(
    lien,'Loan Tape (S&amp;P)'!Q8371,
    IF(lien="First",1.00,
        IF(lien="Second",1.50,
            1.70)))</f>
        <v/>
      </c>
      <c r="K8371">
        <f>LET(
    purpose,'Loan Tape (S&amp;P)'!R8371,
    IF(purpose="Purchase",1.00,
        IF(purpose="Remortgage",1.00,
            1.20)))</f>
        <v/>
      </c>
      <c r="L8371">
        <f>LET(
    arrears_months,'Loan Tape (S&amp;P)'!AN8371,
    IF(arrears_months=0,1.00,
    IF(arrears_months=1,3.00,
    IF(arrears_months=2,5.00,
    IF(arrears_months=3,8.00,
    IF(arrears_months=4,10.00,
    IF(arrears_months=5,12.00,15.00)))))))</f>
        <v/>
      </c>
      <c r="M8371">
        <f>LET(
    seasoning_years,DATEDIF('Loan Tape (S&amp;P)'!K8371,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71">
        <f>IF(AND('Loan Tape (S&amp;P)'!U8371="Yes",
        'Loan Tape (S&amp;P)'!T8371&lt;&gt;"Yes",
        DATEDIF('Loan Tape (S&amp;P)'!K8371, TODAY(), "M")&lt;18),
    1.10,
    1.00)</f>
        <v/>
      </c>
      <c r="O8371">
        <f>IF('Loan Tape (S&amp;P)'!T8371="Yes",
    1.35,
    1.00)</f>
        <v/>
      </c>
      <c r="P8371">
        <f>IF('Loan Tape (S&amp;P)'!S8371="Yes",
    1.15,
    1.00)</f>
        <v/>
      </c>
      <c r="Q8371">
        <f>IF('Loan Tape (S&amp;P)'!V8371="Yes",
    1.20,
    1.00)</f>
        <v/>
      </c>
      <c r="T8371">
        <f>LET(
    payment_method,'Loan Tape (S&amp;P)'!P8371,
    occupancy,'Loan Tape (S&amp;P)'!N8371,
    maturity_date,'Loan Tape (S&amp;P)'!L8371,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72">
      <c r="J8372">
        <f>LET(
    lien,'Loan Tape (S&amp;P)'!Q8372,
    IF(lien="First",1.00,
        IF(lien="Second",1.50,
            1.70)))</f>
        <v/>
      </c>
      <c r="K8372">
        <f>LET(
    purpose,'Loan Tape (S&amp;P)'!R8372,
    IF(purpose="Purchase",1.00,
        IF(purpose="Remortgage",1.00,
            1.20)))</f>
        <v/>
      </c>
      <c r="L8372">
        <f>LET(
    arrears_months,'Loan Tape (S&amp;P)'!AN8372,
    IF(arrears_months=0,1.00,
    IF(arrears_months=1,3.00,
    IF(arrears_months=2,5.00,
    IF(arrears_months=3,8.00,
    IF(arrears_months=4,10.00,
    IF(arrears_months=5,12.00,15.00)))))))</f>
        <v/>
      </c>
      <c r="M8372">
        <f>LET(
    seasoning_years,DATEDIF('Loan Tape (S&amp;P)'!K8372,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72">
        <f>IF(AND('Loan Tape (S&amp;P)'!U8372="Yes",
        'Loan Tape (S&amp;P)'!T8372&lt;&gt;"Yes",
        DATEDIF('Loan Tape (S&amp;P)'!K8372, TODAY(), "M")&lt;18),
    1.10,
    1.00)</f>
        <v/>
      </c>
      <c r="O8372">
        <f>IF('Loan Tape (S&amp;P)'!T8372="Yes",
    1.35,
    1.00)</f>
        <v/>
      </c>
      <c r="P8372">
        <f>IF('Loan Tape (S&amp;P)'!S8372="Yes",
    1.15,
    1.00)</f>
        <v/>
      </c>
      <c r="Q8372">
        <f>IF('Loan Tape (S&amp;P)'!V8372="Yes",
    1.20,
    1.00)</f>
        <v/>
      </c>
      <c r="T8372">
        <f>LET(
    payment_method,'Loan Tape (S&amp;P)'!P8372,
    occupancy,'Loan Tape (S&amp;P)'!N8372,
    maturity_date,'Loan Tape (S&amp;P)'!L8372,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73">
      <c r="J8373">
        <f>LET(
    lien,'Loan Tape (S&amp;P)'!Q8373,
    IF(lien="First",1.00,
        IF(lien="Second",1.50,
            1.70)))</f>
        <v/>
      </c>
      <c r="K8373">
        <f>LET(
    purpose,'Loan Tape (S&amp;P)'!R8373,
    IF(purpose="Purchase",1.00,
        IF(purpose="Remortgage",1.00,
            1.20)))</f>
        <v/>
      </c>
      <c r="L8373">
        <f>LET(
    arrears_months,'Loan Tape (S&amp;P)'!AN8373,
    IF(arrears_months=0,1.00,
    IF(arrears_months=1,3.00,
    IF(arrears_months=2,5.00,
    IF(arrears_months=3,8.00,
    IF(arrears_months=4,10.00,
    IF(arrears_months=5,12.00,15.00)))))))</f>
        <v/>
      </c>
      <c r="M8373">
        <f>LET(
    seasoning_years,DATEDIF('Loan Tape (S&amp;P)'!K8373,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73">
        <f>IF(AND('Loan Tape (S&amp;P)'!U8373="Yes",
        'Loan Tape (S&amp;P)'!T8373&lt;&gt;"Yes",
        DATEDIF('Loan Tape (S&amp;P)'!K8373, TODAY(), "M")&lt;18),
    1.10,
    1.00)</f>
        <v/>
      </c>
      <c r="O8373">
        <f>IF('Loan Tape (S&amp;P)'!T8373="Yes",
    1.35,
    1.00)</f>
        <v/>
      </c>
      <c r="P8373">
        <f>IF('Loan Tape (S&amp;P)'!S8373="Yes",
    1.15,
    1.00)</f>
        <v/>
      </c>
      <c r="Q8373">
        <f>IF('Loan Tape (S&amp;P)'!V8373="Yes",
    1.20,
    1.00)</f>
        <v/>
      </c>
      <c r="T8373">
        <f>LET(
    payment_method,'Loan Tape (S&amp;P)'!P8373,
    occupancy,'Loan Tape (S&amp;P)'!N8373,
    maturity_date,'Loan Tape (S&amp;P)'!L8373,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74">
      <c r="J8374">
        <f>LET(
    lien,'Loan Tape (S&amp;P)'!Q8374,
    IF(lien="First",1.00,
        IF(lien="Second",1.50,
            1.70)))</f>
        <v/>
      </c>
      <c r="K8374">
        <f>LET(
    purpose,'Loan Tape (S&amp;P)'!R8374,
    IF(purpose="Purchase",1.00,
        IF(purpose="Remortgage",1.00,
            1.20)))</f>
        <v/>
      </c>
      <c r="L8374">
        <f>LET(
    arrears_months,'Loan Tape (S&amp;P)'!AN8374,
    IF(arrears_months=0,1.00,
    IF(arrears_months=1,3.00,
    IF(arrears_months=2,5.00,
    IF(arrears_months=3,8.00,
    IF(arrears_months=4,10.00,
    IF(arrears_months=5,12.00,15.00)))))))</f>
        <v/>
      </c>
      <c r="M8374">
        <f>LET(
    seasoning_years,DATEDIF('Loan Tape (S&amp;P)'!K8374,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74">
        <f>IF(AND('Loan Tape (S&amp;P)'!U8374="Yes",
        'Loan Tape (S&amp;P)'!T8374&lt;&gt;"Yes",
        DATEDIF('Loan Tape (S&amp;P)'!K8374, TODAY(), "M")&lt;18),
    1.10,
    1.00)</f>
        <v/>
      </c>
      <c r="O8374">
        <f>IF('Loan Tape (S&amp;P)'!T8374="Yes",
    1.35,
    1.00)</f>
        <v/>
      </c>
      <c r="P8374">
        <f>IF('Loan Tape (S&amp;P)'!S8374="Yes",
    1.15,
    1.00)</f>
        <v/>
      </c>
      <c r="Q8374">
        <f>IF('Loan Tape (S&amp;P)'!V8374="Yes",
    1.20,
    1.00)</f>
        <v/>
      </c>
      <c r="T8374">
        <f>LET(
    payment_method,'Loan Tape (S&amp;P)'!P8374,
    occupancy,'Loan Tape (S&amp;P)'!N8374,
    maturity_date,'Loan Tape (S&amp;P)'!L8374,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75">
      <c r="J8375">
        <f>LET(
    lien,'Loan Tape (S&amp;P)'!Q8375,
    IF(lien="First",1.00,
        IF(lien="Second",1.50,
            1.70)))</f>
        <v/>
      </c>
      <c r="K8375">
        <f>LET(
    purpose,'Loan Tape (S&amp;P)'!R8375,
    IF(purpose="Purchase",1.00,
        IF(purpose="Remortgage",1.00,
            1.20)))</f>
        <v/>
      </c>
      <c r="L8375">
        <f>LET(
    arrears_months,'Loan Tape (S&amp;P)'!AN8375,
    IF(arrears_months=0,1.00,
    IF(arrears_months=1,3.00,
    IF(arrears_months=2,5.00,
    IF(arrears_months=3,8.00,
    IF(arrears_months=4,10.00,
    IF(arrears_months=5,12.00,15.00)))))))</f>
        <v/>
      </c>
      <c r="M8375">
        <f>LET(
    seasoning_years,DATEDIF('Loan Tape (S&amp;P)'!K8375,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75">
        <f>IF(AND('Loan Tape (S&amp;P)'!U8375="Yes",
        'Loan Tape (S&amp;P)'!T8375&lt;&gt;"Yes",
        DATEDIF('Loan Tape (S&amp;P)'!K8375, TODAY(), "M")&lt;18),
    1.10,
    1.00)</f>
        <v/>
      </c>
      <c r="O8375">
        <f>IF('Loan Tape (S&amp;P)'!T8375="Yes",
    1.35,
    1.00)</f>
        <v/>
      </c>
      <c r="P8375">
        <f>IF('Loan Tape (S&amp;P)'!S8375="Yes",
    1.15,
    1.00)</f>
        <v/>
      </c>
      <c r="Q8375">
        <f>IF('Loan Tape (S&amp;P)'!V8375="Yes",
    1.20,
    1.00)</f>
        <v/>
      </c>
      <c r="T8375">
        <f>LET(
    payment_method,'Loan Tape (S&amp;P)'!P8375,
    occupancy,'Loan Tape (S&amp;P)'!N8375,
    maturity_date,'Loan Tape (S&amp;P)'!L8375,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76">
      <c r="J8376">
        <f>LET(
    lien,'Loan Tape (S&amp;P)'!Q8376,
    IF(lien="First",1.00,
        IF(lien="Second",1.50,
            1.70)))</f>
        <v/>
      </c>
      <c r="K8376">
        <f>LET(
    purpose,'Loan Tape (S&amp;P)'!R8376,
    IF(purpose="Purchase",1.00,
        IF(purpose="Remortgage",1.00,
            1.20)))</f>
        <v/>
      </c>
      <c r="L8376">
        <f>LET(
    arrears_months,'Loan Tape (S&amp;P)'!AN8376,
    IF(arrears_months=0,1.00,
    IF(arrears_months=1,3.00,
    IF(arrears_months=2,5.00,
    IF(arrears_months=3,8.00,
    IF(arrears_months=4,10.00,
    IF(arrears_months=5,12.00,15.00)))))))</f>
        <v/>
      </c>
      <c r="M8376">
        <f>LET(
    seasoning_years,DATEDIF('Loan Tape (S&amp;P)'!K8376,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76">
        <f>IF(AND('Loan Tape (S&amp;P)'!U8376="Yes",
        'Loan Tape (S&amp;P)'!T8376&lt;&gt;"Yes",
        DATEDIF('Loan Tape (S&amp;P)'!K8376, TODAY(), "M")&lt;18),
    1.10,
    1.00)</f>
        <v/>
      </c>
      <c r="O8376">
        <f>IF('Loan Tape (S&amp;P)'!T8376="Yes",
    1.35,
    1.00)</f>
        <v/>
      </c>
      <c r="P8376">
        <f>IF('Loan Tape (S&amp;P)'!S8376="Yes",
    1.15,
    1.00)</f>
        <v/>
      </c>
      <c r="Q8376">
        <f>IF('Loan Tape (S&amp;P)'!V8376="Yes",
    1.20,
    1.00)</f>
        <v/>
      </c>
      <c r="T8376">
        <f>LET(
    payment_method,'Loan Tape (S&amp;P)'!P8376,
    occupancy,'Loan Tape (S&amp;P)'!N8376,
    maturity_date,'Loan Tape (S&amp;P)'!L8376,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77">
      <c r="J8377">
        <f>LET(
    lien,'Loan Tape (S&amp;P)'!Q8377,
    IF(lien="First",1.00,
        IF(lien="Second",1.50,
            1.70)))</f>
        <v/>
      </c>
      <c r="K8377">
        <f>LET(
    purpose,'Loan Tape (S&amp;P)'!R8377,
    IF(purpose="Purchase",1.00,
        IF(purpose="Remortgage",1.00,
            1.20)))</f>
        <v/>
      </c>
      <c r="L8377">
        <f>LET(
    arrears_months,'Loan Tape (S&amp;P)'!AN8377,
    IF(arrears_months=0,1.00,
    IF(arrears_months=1,3.00,
    IF(arrears_months=2,5.00,
    IF(arrears_months=3,8.00,
    IF(arrears_months=4,10.00,
    IF(arrears_months=5,12.00,15.00)))))))</f>
        <v/>
      </c>
      <c r="M8377">
        <f>LET(
    seasoning_years,DATEDIF('Loan Tape (S&amp;P)'!K8377,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77">
        <f>IF(AND('Loan Tape (S&amp;P)'!U8377="Yes",
        'Loan Tape (S&amp;P)'!T8377&lt;&gt;"Yes",
        DATEDIF('Loan Tape (S&amp;P)'!K8377, TODAY(), "M")&lt;18),
    1.10,
    1.00)</f>
        <v/>
      </c>
      <c r="O8377">
        <f>IF('Loan Tape (S&amp;P)'!T8377="Yes",
    1.35,
    1.00)</f>
        <v/>
      </c>
      <c r="P8377">
        <f>IF('Loan Tape (S&amp;P)'!S8377="Yes",
    1.15,
    1.00)</f>
        <v/>
      </c>
      <c r="Q8377">
        <f>IF('Loan Tape (S&amp;P)'!V8377="Yes",
    1.20,
    1.00)</f>
        <v/>
      </c>
      <c r="T8377">
        <f>LET(
    payment_method,'Loan Tape (S&amp;P)'!P8377,
    occupancy,'Loan Tape (S&amp;P)'!N8377,
    maturity_date,'Loan Tape (S&amp;P)'!L8377,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78">
      <c r="J8378">
        <f>LET(
    lien,'Loan Tape (S&amp;P)'!Q8378,
    IF(lien="First",1.00,
        IF(lien="Second",1.50,
            1.70)))</f>
        <v/>
      </c>
      <c r="K8378">
        <f>LET(
    purpose,'Loan Tape (S&amp;P)'!R8378,
    IF(purpose="Purchase",1.00,
        IF(purpose="Remortgage",1.00,
            1.20)))</f>
        <v/>
      </c>
      <c r="L8378">
        <f>LET(
    arrears_months,'Loan Tape (S&amp;P)'!AN8378,
    IF(arrears_months=0,1.00,
    IF(arrears_months=1,3.00,
    IF(arrears_months=2,5.00,
    IF(arrears_months=3,8.00,
    IF(arrears_months=4,10.00,
    IF(arrears_months=5,12.00,15.00)))))))</f>
        <v/>
      </c>
      <c r="M8378">
        <f>LET(
    seasoning_years,DATEDIF('Loan Tape (S&amp;P)'!K8378,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78">
        <f>IF(AND('Loan Tape (S&amp;P)'!U8378="Yes",
        'Loan Tape (S&amp;P)'!T8378&lt;&gt;"Yes",
        DATEDIF('Loan Tape (S&amp;P)'!K8378, TODAY(), "M")&lt;18),
    1.10,
    1.00)</f>
        <v/>
      </c>
      <c r="O8378">
        <f>IF('Loan Tape (S&amp;P)'!T8378="Yes",
    1.35,
    1.00)</f>
        <v/>
      </c>
      <c r="P8378">
        <f>IF('Loan Tape (S&amp;P)'!S8378="Yes",
    1.15,
    1.00)</f>
        <v/>
      </c>
      <c r="Q8378">
        <f>IF('Loan Tape (S&amp;P)'!V8378="Yes",
    1.20,
    1.00)</f>
        <v/>
      </c>
      <c r="T8378">
        <f>LET(
    payment_method,'Loan Tape (S&amp;P)'!P8378,
    occupancy,'Loan Tape (S&amp;P)'!N8378,
    maturity_date,'Loan Tape (S&amp;P)'!L8378,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79">
      <c r="J8379">
        <f>LET(
    lien,'Loan Tape (S&amp;P)'!Q8379,
    IF(lien="First",1.00,
        IF(lien="Second",1.50,
            1.70)))</f>
        <v/>
      </c>
      <c r="K8379">
        <f>LET(
    purpose,'Loan Tape (S&amp;P)'!R8379,
    IF(purpose="Purchase",1.00,
        IF(purpose="Remortgage",1.00,
            1.20)))</f>
        <v/>
      </c>
      <c r="L8379">
        <f>LET(
    arrears_months,'Loan Tape (S&amp;P)'!AN8379,
    IF(arrears_months=0,1.00,
    IF(arrears_months=1,3.00,
    IF(arrears_months=2,5.00,
    IF(arrears_months=3,8.00,
    IF(arrears_months=4,10.00,
    IF(arrears_months=5,12.00,15.00)))))))</f>
        <v/>
      </c>
      <c r="M8379">
        <f>LET(
    seasoning_years,DATEDIF('Loan Tape (S&amp;P)'!K8379,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79">
        <f>IF(AND('Loan Tape (S&amp;P)'!U8379="Yes",
        'Loan Tape (S&amp;P)'!T8379&lt;&gt;"Yes",
        DATEDIF('Loan Tape (S&amp;P)'!K8379, TODAY(), "M")&lt;18),
    1.10,
    1.00)</f>
        <v/>
      </c>
      <c r="O8379">
        <f>IF('Loan Tape (S&amp;P)'!T8379="Yes",
    1.35,
    1.00)</f>
        <v/>
      </c>
      <c r="P8379">
        <f>IF('Loan Tape (S&amp;P)'!S8379="Yes",
    1.15,
    1.00)</f>
        <v/>
      </c>
      <c r="Q8379">
        <f>IF('Loan Tape (S&amp;P)'!V8379="Yes",
    1.20,
    1.00)</f>
        <v/>
      </c>
      <c r="T8379">
        <f>LET(
    payment_method,'Loan Tape (S&amp;P)'!P8379,
    occupancy,'Loan Tape (S&amp;P)'!N8379,
    maturity_date,'Loan Tape (S&amp;P)'!L8379,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80">
      <c r="J8380">
        <f>LET(
    lien,'Loan Tape (S&amp;P)'!Q8380,
    IF(lien="First",1.00,
        IF(lien="Second",1.50,
            1.70)))</f>
        <v/>
      </c>
      <c r="K8380">
        <f>LET(
    purpose,'Loan Tape (S&amp;P)'!R8380,
    IF(purpose="Purchase",1.00,
        IF(purpose="Remortgage",1.00,
            1.20)))</f>
        <v/>
      </c>
      <c r="L8380">
        <f>LET(
    arrears_months,'Loan Tape (S&amp;P)'!AN8380,
    IF(arrears_months=0,1.00,
    IF(arrears_months=1,3.00,
    IF(arrears_months=2,5.00,
    IF(arrears_months=3,8.00,
    IF(arrears_months=4,10.00,
    IF(arrears_months=5,12.00,15.00)))))))</f>
        <v/>
      </c>
      <c r="M8380">
        <f>LET(
    seasoning_years,DATEDIF('Loan Tape (S&amp;P)'!K8380,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80">
        <f>IF(AND('Loan Tape (S&amp;P)'!U8380="Yes",
        'Loan Tape (S&amp;P)'!T8380&lt;&gt;"Yes",
        DATEDIF('Loan Tape (S&amp;P)'!K8380, TODAY(), "M")&lt;18),
    1.10,
    1.00)</f>
        <v/>
      </c>
      <c r="O8380">
        <f>IF('Loan Tape (S&amp;P)'!T8380="Yes",
    1.35,
    1.00)</f>
        <v/>
      </c>
      <c r="P8380">
        <f>IF('Loan Tape (S&amp;P)'!S8380="Yes",
    1.15,
    1.00)</f>
        <v/>
      </c>
      <c r="Q8380">
        <f>IF('Loan Tape (S&amp;P)'!V8380="Yes",
    1.20,
    1.00)</f>
        <v/>
      </c>
      <c r="T8380">
        <f>LET(
    payment_method,'Loan Tape (S&amp;P)'!P8380,
    occupancy,'Loan Tape (S&amp;P)'!N8380,
    maturity_date,'Loan Tape (S&amp;P)'!L8380,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81">
      <c r="J8381">
        <f>LET(
    lien,'Loan Tape (S&amp;P)'!Q8381,
    IF(lien="First",1.00,
        IF(lien="Second",1.50,
            1.70)))</f>
        <v/>
      </c>
      <c r="K8381">
        <f>LET(
    purpose,'Loan Tape (S&amp;P)'!R8381,
    IF(purpose="Purchase",1.00,
        IF(purpose="Remortgage",1.00,
            1.20)))</f>
        <v/>
      </c>
      <c r="L8381">
        <f>LET(
    arrears_months,'Loan Tape (S&amp;P)'!AN8381,
    IF(arrears_months=0,1.00,
    IF(arrears_months=1,3.00,
    IF(arrears_months=2,5.00,
    IF(arrears_months=3,8.00,
    IF(arrears_months=4,10.00,
    IF(arrears_months=5,12.00,15.00)))))))</f>
        <v/>
      </c>
      <c r="M8381">
        <f>LET(
    seasoning_years,DATEDIF('Loan Tape (S&amp;P)'!K8381,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81">
        <f>IF(AND('Loan Tape (S&amp;P)'!U8381="Yes",
        'Loan Tape (S&amp;P)'!T8381&lt;&gt;"Yes",
        DATEDIF('Loan Tape (S&amp;P)'!K8381, TODAY(), "M")&lt;18),
    1.10,
    1.00)</f>
        <v/>
      </c>
      <c r="O8381">
        <f>IF('Loan Tape (S&amp;P)'!T8381="Yes",
    1.35,
    1.00)</f>
        <v/>
      </c>
      <c r="P8381">
        <f>IF('Loan Tape (S&amp;P)'!S8381="Yes",
    1.15,
    1.00)</f>
        <v/>
      </c>
      <c r="Q8381">
        <f>IF('Loan Tape (S&amp;P)'!V8381="Yes",
    1.20,
    1.00)</f>
        <v/>
      </c>
      <c r="T8381">
        <f>LET(
    payment_method,'Loan Tape (S&amp;P)'!P8381,
    occupancy,'Loan Tape (S&amp;P)'!N8381,
    maturity_date,'Loan Tape (S&amp;P)'!L8381,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82">
      <c r="J8382">
        <f>LET(
    lien,'Loan Tape (S&amp;P)'!Q8382,
    IF(lien="First",1.00,
        IF(lien="Second",1.50,
            1.70)))</f>
        <v/>
      </c>
      <c r="K8382">
        <f>LET(
    purpose,'Loan Tape (S&amp;P)'!R8382,
    IF(purpose="Purchase",1.00,
        IF(purpose="Remortgage",1.00,
            1.20)))</f>
        <v/>
      </c>
      <c r="L8382">
        <f>LET(
    arrears_months,'Loan Tape (S&amp;P)'!AN8382,
    IF(arrears_months=0,1.00,
    IF(arrears_months=1,3.00,
    IF(arrears_months=2,5.00,
    IF(arrears_months=3,8.00,
    IF(arrears_months=4,10.00,
    IF(arrears_months=5,12.00,15.00)))))))</f>
        <v/>
      </c>
      <c r="M8382">
        <f>LET(
    seasoning_years,DATEDIF('Loan Tape (S&amp;P)'!K8382,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82">
        <f>IF(AND('Loan Tape (S&amp;P)'!U8382="Yes",
        'Loan Tape (S&amp;P)'!T8382&lt;&gt;"Yes",
        DATEDIF('Loan Tape (S&amp;P)'!K8382, TODAY(), "M")&lt;18),
    1.10,
    1.00)</f>
        <v/>
      </c>
      <c r="O8382">
        <f>IF('Loan Tape (S&amp;P)'!T8382="Yes",
    1.35,
    1.00)</f>
        <v/>
      </c>
      <c r="P8382">
        <f>IF('Loan Tape (S&amp;P)'!S8382="Yes",
    1.15,
    1.00)</f>
        <v/>
      </c>
      <c r="Q8382">
        <f>IF('Loan Tape (S&amp;P)'!V8382="Yes",
    1.20,
    1.00)</f>
        <v/>
      </c>
      <c r="T8382">
        <f>LET(
    payment_method,'Loan Tape (S&amp;P)'!P8382,
    occupancy,'Loan Tape (S&amp;P)'!N8382,
    maturity_date,'Loan Tape (S&amp;P)'!L8382,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83">
      <c r="J8383">
        <f>LET(
    lien,'Loan Tape (S&amp;P)'!Q8383,
    IF(lien="First",1.00,
        IF(lien="Second",1.50,
            1.70)))</f>
        <v/>
      </c>
      <c r="K8383">
        <f>LET(
    purpose,'Loan Tape (S&amp;P)'!R8383,
    IF(purpose="Purchase",1.00,
        IF(purpose="Remortgage",1.00,
            1.20)))</f>
        <v/>
      </c>
      <c r="L8383">
        <f>LET(
    arrears_months,'Loan Tape (S&amp;P)'!AN8383,
    IF(arrears_months=0,1.00,
    IF(arrears_months=1,3.00,
    IF(arrears_months=2,5.00,
    IF(arrears_months=3,8.00,
    IF(arrears_months=4,10.00,
    IF(arrears_months=5,12.00,15.00)))))))</f>
        <v/>
      </c>
      <c r="M8383">
        <f>LET(
    seasoning_years,DATEDIF('Loan Tape (S&amp;P)'!K8383,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83">
        <f>IF(AND('Loan Tape (S&amp;P)'!U8383="Yes",
        'Loan Tape (S&amp;P)'!T8383&lt;&gt;"Yes",
        DATEDIF('Loan Tape (S&amp;P)'!K8383, TODAY(), "M")&lt;18),
    1.10,
    1.00)</f>
        <v/>
      </c>
      <c r="O8383">
        <f>IF('Loan Tape (S&amp;P)'!T8383="Yes",
    1.35,
    1.00)</f>
        <v/>
      </c>
      <c r="P8383">
        <f>IF('Loan Tape (S&amp;P)'!S8383="Yes",
    1.15,
    1.00)</f>
        <v/>
      </c>
      <c r="Q8383">
        <f>IF('Loan Tape (S&amp;P)'!V8383="Yes",
    1.20,
    1.00)</f>
        <v/>
      </c>
      <c r="T8383">
        <f>LET(
    payment_method,'Loan Tape (S&amp;P)'!P8383,
    occupancy,'Loan Tape (S&amp;P)'!N8383,
    maturity_date,'Loan Tape (S&amp;P)'!L8383,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84">
      <c r="J8384">
        <f>LET(
    lien,'Loan Tape (S&amp;P)'!Q8384,
    IF(lien="First",1.00,
        IF(lien="Second",1.50,
            1.70)))</f>
        <v/>
      </c>
      <c r="K8384">
        <f>LET(
    purpose,'Loan Tape (S&amp;P)'!R8384,
    IF(purpose="Purchase",1.00,
        IF(purpose="Remortgage",1.00,
            1.20)))</f>
        <v/>
      </c>
      <c r="L8384">
        <f>LET(
    arrears_months,'Loan Tape (S&amp;P)'!AN8384,
    IF(arrears_months=0,1.00,
    IF(arrears_months=1,3.00,
    IF(arrears_months=2,5.00,
    IF(arrears_months=3,8.00,
    IF(arrears_months=4,10.00,
    IF(arrears_months=5,12.00,15.00)))))))</f>
        <v/>
      </c>
      <c r="M8384">
        <f>LET(
    seasoning_years,DATEDIF('Loan Tape (S&amp;P)'!K8384,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84">
        <f>IF(AND('Loan Tape (S&amp;P)'!U8384="Yes",
        'Loan Tape (S&amp;P)'!T8384&lt;&gt;"Yes",
        DATEDIF('Loan Tape (S&amp;P)'!K8384, TODAY(), "M")&lt;18),
    1.10,
    1.00)</f>
        <v/>
      </c>
      <c r="O8384">
        <f>IF('Loan Tape (S&amp;P)'!T8384="Yes",
    1.35,
    1.00)</f>
        <v/>
      </c>
      <c r="P8384">
        <f>IF('Loan Tape (S&amp;P)'!S8384="Yes",
    1.15,
    1.00)</f>
        <v/>
      </c>
      <c r="Q8384">
        <f>IF('Loan Tape (S&amp;P)'!V8384="Yes",
    1.20,
    1.00)</f>
        <v/>
      </c>
      <c r="T8384">
        <f>LET(
    payment_method,'Loan Tape (S&amp;P)'!P8384,
    occupancy,'Loan Tape (S&amp;P)'!N8384,
    maturity_date,'Loan Tape (S&amp;P)'!L8384,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85">
      <c r="J8385">
        <f>LET(
    lien,'Loan Tape (S&amp;P)'!Q8385,
    IF(lien="First",1.00,
        IF(lien="Second",1.50,
            1.70)))</f>
        <v/>
      </c>
      <c r="K8385">
        <f>LET(
    purpose,'Loan Tape (S&amp;P)'!R8385,
    IF(purpose="Purchase",1.00,
        IF(purpose="Remortgage",1.00,
            1.20)))</f>
        <v/>
      </c>
      <c r="L8385">
        <f>LET(
    arrears_months,'Loan Tape (S&amp;P)'!AN8385,
    IF(arrears_months=0,1.00,
    IF(arrears_months=1,3.00,
    IF(arrears_months=2,5.00,
    IF(arrears_months=3,8.00,
    IF(arrears_months=4,10.00,
    IF(arrears_months=5,12.00,15.00)))))))</f>
        <v/>
      </c>
      <c r="M8385">
        <f>LET(
    seasoning_years,DATEDIF('Loan Tape (S&amp;P)'!K8385,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85">
        <f>IF(AND('Loan Tape (S&amp;P)'!U8385="Yes",
        'Loan Tape (S&amp;P)'!T8385&lt;&gt;"Yes",
        DATEDIF('Loan Tape (S&amp;P)'!K8385, TODAY(), "M")&lt;18),
    1.10,
    1.00)</f>
        <v/>
      </c>
      <c r="O8385">
        <f>IF('Loan Tape (S&amp;P)'!T8385="Yes",
    1.35,
    1.00)</f>
        <v/>
      </c>
      <c r="P8385">
        <f>IF('Loan Tape (S&amp;P)'!S8385="Yes",
    1.15,
    1.00)</f>
        <v/>
      </c>
      <c r="Q8385">
        <f>IF('Loan Tape (S&amp;P)'!V8385="Yes",
    1.20,
    1.00)</f>
        <v/>
      </c>
      <c r="T8385">
        <f>LET(
    payment_method,'Loan Tape (S&amp;P)'!P8385,
    occupancy,'Loan Tape (S&amp;P)'!N8385,
    maturity_date,'Loan Tape (S&amp;P)'!L8385,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86">
      <c r="J8386">
        <f>LET(
    lien,'Loan Tape (S&amp;P)'!Q8386,
    IF(lien="First",1.00,
        IF(lien="Second",1.50,
            1.70)))</f>
        <v/>
      </c>
      <c r="K8386">
        <f>LET(
    purpose,'Loan Tape (S&amp;P)'!R8386,
    IF(purpose="Purchase",1.00,
        IF(purpose="Remortgage",1.00,
            1.20)))</f>
        <v/>
      </c>
      <c r="L8386">
        <f>LET(
    arrears_months,'Loan Tape (S&amp;P)'!AN8386,
    IF(arrears_months=0,1.00,
    IF(arrears_months=1,3.00,
    IF(arrears_months=2,5.00,
    IF(arrears_months=3,8.00,
    IF(arrears_months=4,10.00,
    IF(arrears_months=5,12.00,15.00)))))))</f>
        <v/>
      </c>
      <c r="M8386">
        <f>LET(
    seasoning_years,DATEDIF('Loan Tape (S&amp;P)'!K8386,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86">
        <f>IF(AND('Loan Tape (S&amp;P)'!U8386="Yes",
        'Loan Tape (S&amp;P)'!T8386&lt;&gt;"Yes",
        DATEDIF('Loan Tape (S&amp;P)'!K8386, TODAY(), "M")&lt;18),
    1.10,
    1.00)</f>
        <v/>
      </c>
      <c r="O8386">
        <f>IF('Loan Tape (S&amp;P)'!T8386="Yes",
    1.35,
    1.00)</f>
        <v/>
      </c>
      <c r="P8386">
        <f>IF('Loan Tape (S&amp;P)'!S8386="Yes",
    1.15,
    1.00)</f>
        <v/>
      </c>
      <c r="Q8386">
        <f>IF('Loan Tape (S&amp;P)'!V8386="Yes",
    1.20,
    1.00)</f>
        <v/>
      </c>
      <c r="T8386">
        <f>LET(
    payment_method,'Loan Tape (S&amp;P)'!P8386,
    occupancy,'Loan Tape (S&amp;P)'!N8386,
    maturity_date,'Loan Tape (S&amp;P)'!L8386,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87">
      <c r="J8387">
        <f>LET(
    lien,'Loan Tape (S&amp;P)'!Q8387,
    IF(lien="First",1.00,
        IF(lien="Second",1.50,
            1.70)))</f>
        <v/>
      </c>
      <c r="K8387">
        <f>LET(
    purpose,'Loan Tape (S&amp;P)'!R8387,
    IF(purpose="Purchase",1.00,
        IF(purpose="Remortgage",1.00,
            1.20)))</f>
        <v/>
      </c>
      <c r="L8387">
        <f>LET(
    arrears_months,'Loan Tape (S&amp;P)'!AN8387,
    IF(arrears_months=0,1.00,
    IF(arrears_months=1,3.00,
    IF(arrears_months=2,5.00,
    IF(arrears_months=3,8.00,
    IF(arrears_months=4,10.00,
    IF(arrears_months=5,12.00,15.00)))))))</f>
        <v/>
      </c>
      <c r="M8387">
        <f>LET(
    seasoning_years,DATEDIF('Loan Tape (S&amp;P)'!K8387,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87">
        <f>IF(AND('Loan Tape (S&amp;P)'!U8387="Yes",
        'Loan Tape (S&amp;P)'!T8387&lt;&gt;"Yes",
        DATEDIF('Loan Tape (S&amp;P)'!K8387, TODAY(), "M")&lt;18),
    1.10,
    1.00)</f>
        <v/>
      </c>
      <c r="O8387">
        <f>IF('Loan Tape (S&amp;P)'!T8387="Yes",
    1.35,
    1.00)</f>
        <v/>
      </c>
      <c r="P8387">
        <f>IF('Loan Tape (S&amp;P)'!S8387="Yes",
    1.15,
    1.00)</f>
        <v/>
      </c>
      <c r="Q8387">
        <f>IF('Loan Tape (S&amp;P)'!V8387="Yes",
    1.20,
    1.00)</f>
        <v/>
      </c>
      <c r="T8387">
        <f>LET(
    payment_method,'Loan Tape (S&amp;P)'!P8387,
    occupancy,'Loan Tape (S&amp;P)'!N8387,
    maturity_date,'Loan Tape (S&amp;P)'!L8387,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88">
      <c r="J8388">
        <f>LET(
    lien,'Loan Tape (S&amp;P)'!Q8388,
    IF(lien="First",1.00,
        IF(lien="Second",1.50,
            1.70)))</f>
        <v/>
      </c>
      <c r="K8388">
        <f>LET(
    purpose,'Loan Tape (S&amp;P)'!R8388,
    IF(purpose="Purchase",1.00,
        IF(purpose="Remortgage",1.00,
            1.20)))</f>
        <v/>
      </c>
      <c r="L8388">
        <f>LET(
    arrears_months,'Loan Tape (S&amp;P)'!AN8388,
    IF(arrears_months=0,1.00,
    IF(arrears_months=1,3.00,
    IF(arrears_months=2,5.00,
    IF(arrears_months=3,8.00,
    IF(arrears_months=4,10.00,
    IF(arrears_months=5,12.00,15.00)))))))</f>
        <v/>
      </c>
      <c r="M8388">
        <f>LET(
    seasoning_years,DATEDIF('Loan Tape (S&amp;P)'!K8388,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88">
        <f>IF(AND('Loan Tape (S&amp;P)'!U8388="Yes",
        'Loan Tape (S&amp;P)'!T8388&lt;&gt;"Yes",
        DATEDIF('Loan Tape (S&amp;P)'!K8388, TODAY(), "M")&lt;18),
    1.10,
    1.00)</f>
        <v/>
      </c>
      <c r="O8388">
        <f>IF('Loan Tape (S&amp;P)'!T8388="Yes",
    1.35,
    1.00)</f>
        <v/>
      </c>
      <c r="P8388">
        <f>IF('Loan Tape (S&amp;P)'!S8388="Yes",
    1.15,
    1.00)</f>
        <v/>
      </c>
      <c r="Q8388">
        <f>IF('Loan Tape (S&amp;P)'!V8388="Yes",
    1.20,
    1.00)</f>
        <v/>
      </c>
      <c r="T8388">
        <f>LET(
    payment_method,'Loan Tape (S&amp;P)'!P8388,
    occupancy,'Loan Tape (S&amp;P)'!N8388,
    maturity_date,'Loan Tape (S&amp;P)'!L8388,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89">
      <c r="J8389">
        <f>LET(
    lien,'Loan Tape (S&amp;P)'!Q8389,
    IF(lien="First",1.00,
        IF(lien="Second",1.50,
            1.70)))</f>
        <v/>
      </c>
      <c r="K8389">
        <f>LET(
    purpose,'Loan Tape (S&amp;P)'!R8389,
    IF(purpose="Purchase",1.00,
        IF(purpose="Remortgage",1.00,
            1.20)))</f>
        <v/>
      </c>
      <c r="L8389">
        <f>LET(
    arrears_months,'Loan Tape (S&amp;P)'!AN8389,
    IF(arrears_months=0,1.00,
    IF(arrears_months=1,3.00,
    IF(arrears_months=2,5.00,
    IF(arrears_months=3,8.00,
    IF(arrears_months=4,10.00,
    IF(arrears_months=5,12.00,15.00)))))))</f>
        <v/>
      </c>
      <c r="M8389">
        <f>LET(
    seasoning_years,DATEDIF('Loan Tape (S&amp;P)'!K8389,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89">
        <f>IF(AND('Loan Tape (S&amp;P)'!U8389="Yes",
        'Loan Tape (S&amp;P)'!T8389&lt;&gt;"Yes",
        DATEDIF('Loan Tape (S&amp;P)'!K8389, TODAY(), "M")&lt;18),
    1.10,
    1.00)</f>
        <v/>
      </c>
      <c r="O8389">
        <f>IF('Loan Tape (S&amp;P)'!T8389="Yes",
    1.35,
    1.00)</f>
        <v/>
      </c>
      <c r="P8389">
        <f>IF('Loan Tape (S&amp;P)'!S8389="Yes",
    1.15,
    1.00)</f>
        <v/>
      </c>
      <c r="Q8389">
        <f>IF('Loan Tape (S&amp;P)'!V8389="Yes",
    1.20,
    1.00)</f>
        <v/>
      </c>
      <c r="T8389">
        <f>LET(
    payment_method,'Loan Tape (S&amp;P)'!P8389,
    occupancy,'Loan Tape (S&amp;P)'!N8389,
    maturity_date,'Loan Tape (S&amp;P)'!L8389,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90">
      <c r="J8390">
        <f>LET(
    lien,'Loan Tape (S&amp;P)'!Q8390,
    IF(lien="First",1.00,
        IF(lien="Second",1.50,
            1.70)))</f>
        <v/>
      </c>
      <c r="K8390">
        <f>LET(
    purpose,'Loan Tape (S&amp;P)'!R8390,
    IF(purpose="Purchase",1.00,
        IF(purpose="Remortgage",1.00,
            1.20)))</f>
        <v/>
      </c>
      <c r="L8390">
        <f>LET(
    arrears_months,'Loan Tape (S&amp;P)'!AN8390,
    IF(arrears_months=0,1.00,
    IF(arrears_months=1,3.00,
    IF(arrears_months=2,5.00,
    IF(arrears_months=3,8.00,
    IF(arrears_months=4,10.00,
    IF(arrears_months=5,12.00,15.00)))))))</f>
        <v/>
      </c>
      <c r="M8390">
        <f>LET(
    seasoning_years,DATEDIF('Loan Tape (S&amp;P)'!K8390,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90">
        <f>IF(AND('Loan Tape (S&amp;P)'!U8390="Yes",
        'Loan Tape (S&amp;P)'!T8390&lt;&gt;"Yes",
        DATEDIF('Loan Tape (S&amp;P)'!K8390, TODAY(), "M")&lt;18),
    1.10,
    1.00)</f>
        <v/>
      </c>
      <c r="O8390">
        <f>IF('Loan Tape (S&amp;P)'!T8390="Yes",
    1.35,
    1.00)</f>
        <v/>
      </c>
      <c r="P8390">
        <f>IF('Loan Tape (S&amp;P)'!S8390="Yes",
    1.15,
    1.00)</f>
        <v/>
      </c>
      <c r="Q8390">
        <f>IF('Loan Tape (S&amp;P)'!V8390="Yes",
    1.20,
    1.00)</f>
        <v/>
      </c>
      <c r="T8390">
        <f>LET(
    payment_method,'Loan Tape (S&amp;P)'!P8390,
    occupancy,'Loan Tape (S&amp;P)'!N8390,
    maturity_date,'Loan Tape (S&amp;P)'!L8390,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91">
      <c r="J8391">
        <f>LET(
    lien,'Loan Tape (S&amp;P)'!Q8391,
    IF(lien="First",1.00,
        IF(lien="Second",1.50,
            1.70)))</f>
        <v/>
      </c>
      <c r="K8391">
        <f>LET(
    purpose,'Loan Tape (S&amp;P)'!R8391,
    IF(purpose="Purchase",1.00,
        IF(purpose="Remortgage",1.00,
            1.20)))</f>
        <v/>
      </c>
      <c r="L8391">
        <f>LET(
    arrears_months,'Loan Tape (S&amp;P)'!AN8391,
    IF(arrears_months=0,1.00,
    IF(arrears_months=1,3.00,
    IF(arrears_months=2,5.00,
    IF(arrears_months=3,8.00,
    IF(arrears_months=4,10.00,
    IF(arrears_months=5,12.00,15.00)))))))</f>
        <v/>
      </c>
      <c r="M8391">
        <f>LET(
    seasoning_years,DATEDIF('Loan Tape (S&amp;P)'!K8391,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91">
        <f>IF(AND('Loan Tape (S&amp;P)'!U8391="Yes",
        'Loan Tape (S&amp;P)'!T8391&lt;&gt;"Yes",
        DATEDIF('Loan Tape (S&amp;P)'!K8391, TODAY(), "M")&lt;18),
    1.10,
    1.00)</f>
        <v/>
      </c>
      <c r="O8391">
        <f>IF('Loan Tape (S&amp;P)'!T8391="Yes",
    1.35,
    1.00)</f>
        <v/>
      </c>
      <c r="P8391">
        <f>IF('Loan Tape (S&amp;P)'!S8391="Yes",
    1.15,
    1.00)</f>
        <v/>
      </c>
      <c r="Q8391">
        <f>IF('Loan Tape (S&amp;P)'!V8391="Yes",
    1.20,
    1.00)</f>
        <v/>
      </c>
      <c r="T8391">
        <f>LET(
    payment_method,'Loan Tape (S&amp;P)'!P8391,
    occupancy,'Loan Tape (S&amp;P)'!N8391,
    maturity_date,'Loan Tape (S&amp;P)'!L8391,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92">
      <c r="J8392">
        <f>LET(
    lien,'Loan Tape (S&amp;P)'!Q8392,
    IF(lien="First",1.00,
        IF(lien="Second",1.50,
            1.70)))</f>
        <v/>
      </c>
      <c r="K8392">
        <f>LET(
    purpose,'Loan Tape (S&amp;P)'!R8392,
    IF(purpose="Purchase",1.00,
        IF(purpose="Remortgage",1.00,
            1.20)))</f>
        <v/>
      </c>
      <c r="L8392">
        <f>LET(
    arrears_months,'Loan Tape (S&amp;P)'!AN8392,
    IF(arrears_months=0,1.00,
    IF(arrears_months=1,3.00,
    IF(arrears_months=2,5.00,
    IF(arrears_months=3,8.00,
    IF(arrears_months=4,10.00,
    IF(arrears_months=5,12.00,15.00)))))))</f>
        <v/>
      </c>
      <c r="M8392">
        <f>LET(
    seasoning_years,DATEDIF('Loan Tape (S&amp;P)'!K8392,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92">
        <f>IF(AND('Loan Tape (S&amp;P)'!U8392="Yes",
        'Loan Tape (S&amp;P)'!T8392&lt;&gt;"Yes",
        DATEDIF('Loan Tape (S&amp;P)'!K8392, TODAY(), "M")&lt;18),
    1.10,
    1.00)</f>
        <v/>
      </c>
      <c r="O8392">
        <f>IF('Loan Tape (S&amp;P)'!T8392="Yes",
    1.35,
    1.00)</f>
        <v/>
      </c>
      <c r="P8392">
        <f>IF('Loan Tape (S&amp;P)'!S8392="Yes",
    1.15,
    1.00)</f>
        <v/>
      </c>
      <c r="Q8392">
        <f>IF('Loan Tape (S&amp;P)'!V8392="Yes",
    1.20,
    1.00)</f>
        <v/>
      </c>
      <c r="T8392">
        <f>LET(
    payment_method,'Loan Tape (S&amp;P)'!P8392,
    occupancy,'Loan Tape (S&amp;P)'!N8392,
    maturity_date,'Loan Tape (S&amp;P)'!L8392,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93">
      <c r="J8393">
        <f>LET(
    lien,'Loan Tape (S&amp;P)'!Q8393,
    IF(lien="First",1.00,
        IF(lien="Second",1.50,
            1.70)))</f>
        <v/>
      </c>
      <c r="K8393">
        <f>LET(
    purpose,'Loan Tape (S&amp;P)'!R8393,
    IF(purpose="Purchase",1.00,
        IF(purpose="Remortgage",1.00,
            1.20)))</f>
        <v/>
      </c>
      <c r="L8393">
        <f>LET(
    arrears_months,'Loan Tape (S&amp;P)'!AN8393,
    IF(arrears_months=0,1.00,
    IF(arrears_months=1,3.00,
    IF(arrears_months=2,5.00,
    IF(arrears_months=3,8.00,
    IF(arrears_months=4,10.00,
    IF(arrears_months=5,12.00,15.00)))))))</f>
        <v/>
      </c>
      <c r="M8393">
        <f>LET(
    seasoning_years,DATEDIF('Loan Tape (S&amp;P)'!K8393,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93">
        <f>IF(AND('Loan Tape (S&amp;P)'!U8393="Yes",
        'Loan Tape (S&amp;P)'!T8393&lt;&gt;"Yes",
        DATEDIF('Loan Tape (S&amp;P)'!K8393, TODAY(), "M")&lt;18),
    1.10,
    1.00)</f>
        <v/>
      </c>
      <c r="O8393">
        <f>IF('Loan Tape (S&amp;P)'!T8393="Yes",
    1.35,
    1.00)</f>
        <v/>
      </c>
      <c r="P8393">
        <f>IF('Loan Tape (S&amp;P)'!S8393="Yes",
    1.15,
    1.00)</f>
        <v/>
      </c>
      <c r="Q8393">
        <f>IF('Loan Tape (S&amp;P)'!V8393="Yes",
    1.20,
    1.00)</f>
        <v/>
      </c>
      <c r="T8393">
        <f>LET(
    payment_method,'Loan Tape (S&amp;P)'!P8393,
    occupancy,'Loan Tape (S&amp;P)'!N8393,
    maturity_date,'Loan Tape (S&amp;P)'!L8393,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94">
      <c r="J8394">
        <f>LET(
    lien,'Loan Tape (S&amp;P)'!Q8394,
    IF(lien="First",1.00,
        IF(lien="Second",1.50,
            1.70)))</f>
        <v/>
      </c>
      <c r="K8394">
        <f>LET(
    purpose,'Loan Tape (S&amp;P)'!R8394,
    IF(purpose="Purchase",1.00,
        IF(purpose="Remortgage",1.00,
            1.20)))</f>
        <v/>
      </c>
      <c r="L8394">
        <f>LET(
    arrears_months,'Loan Tape (S&amp;P)'!AN8394,
    IF(arrears_months=0,1.00,
    IF(arrears_months=1,3.00,
    IF(arrears_months=2,5.00,
    IF(arrears_months=3,8.00,
    IF(arrears_months=4,10.00,
    IF(arrears_months=5,12.00,15.00)))))))</f>
        <v/>
      </c>
      <c r="M8394">
        <f>LET(
    seasoning_years,DATEDIF('Loan Tape (S&amp;P)'!K8394,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94">
        <f>IF(AND('Loan Tape (S&amp;P)'!U8394="Yes",
        'Loan Tape (S&amp;P)'!T8394&lt;&gt;"Yes",
        DATEDIF('Loan Tape (S&amp;P)'!K8394, TODAY(), "M")&lt;18),
    1.10,
    1.00)</f>
        <v/>
      </c>
      <c r="O8394">
        <f>IF('Loan Tape (S&amp;P)'!T8394="Yes",
    1.35,
    1.00)</f>
        <v/>
      </c>
      <c r="P8394">
        <f>IF('Loan Tape (S&amp;P)'!S8394="Yes",
    1.15,
    1.00)</f>
        <v/>
      </c>
      <c r="Q8394">
        <f>IF('Loan Tape (S&amp;P)'!V8394="Yes",
    1.20,
    1.00)</f>
        <v/>
      </c>
      <c r="T8394">
        <f>LET(
    payment_method,'Loan Tape (S&amp;P)'!P8394,
    occupancy,'Loan Tape (S&amp;P)'!N8394,
    maturity_date,'Loan Tape (S&amp;P)'!L8394,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95">
      <c r="J8395">
        <f>LET(
    lien,'Loan Tape (S&amp;P)'!Q8395,
    IF(lien="First",1.00,
        IF(lien="Second",1.50,
            1.70)))</f>
        <v/>
      </c>
      <c r="K8395">
        <f>LET(
    purpose,'Loan Tape (S&amp;P)'!R8395,
    IF(purpose="Purchase",1.00,
        IF(purpose="Remortgage",1.00,
            1.20)))</f>
        <v/>
      </c>
      <c r="L8395">
        <f>LET(
    arrears_months,'Loan Tape (S&amp;P)'!AN8395,
    IF(arrears_months=0,1.00,
    IF(arrears_months=1,3.00,
    IF(arrears_months=2,5.00,
    IF(arrears_months=3,8.00,
    IF(arrears_months=4,10.00,
    IF(arrears_months=5,12.00,15.00)))))))</f>
        <v/>
      </c>
      <c r="M8395">
        <f>LET(
    seasoning_years,DATEDIF('Loan Tape (S&amp;P)'!K8395,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95">
        <f>IF(AND('Loan Tape (S&amp;P)'!U8395="Yes",
        'Loan Tape (S&amp;P)'!T8395&lt;&gt;"Yes",
        DATEDIF('Loan Tape (S&amp;P)'!K8395, TODAY(), "M")&lt;18),
    1.10,
    1.00)</f>
        <v/>
      </c>
      <c r="O8395">
        <f>IF('Loan Tape (S&amp;P)'!T8395="Yes",
    1.35,
    1.00)</f>
        <v/>
      </c>
      <c r="P8395">
        <f>IF('Loan Tape (S&amp;P)'!S8395="Yes",
    1.15,
    1.00)</f>
        <v/>
      </c>
      <c r="Q8395">
        <f>IF('Loan Tape (S&amp;P)'!V8395="Yes",
    1.20,
    1.00)</f>
        <v/>
      </c>
      <c r="T8395">
        <f>LET(
    payment_method,'Loan Tape (S&amp;P)'!P8395,
    occupancy,'Loan Tape (S&amp;P)'!N8395,
    maturity_date,'Loan Tape (S&amp;P)'!L8395,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96">
      <c r="J8396">
        <f>LET(
    lien,'Loan Tape (S&amp;P)'!Q8396,
    IF(lien="First",1.00,
        IF(lien="Second",1.50,
            1.70)))</f>
        <v/>
      </c>
      <c r="K8396">
        <f>LET(
    purpose,'Loan Tape (S&amp;P)'!R8396,
    IF(purpose="Purchase",1.00,
        IF(purpose="Remortgage",1.00,
            1.20)))</f>
        <v/>
      </c>
      <c r="L8396">
        <f>LET(
    arrears_months,'Loan Tape (S&amp;P)'!AN8396,
    IF(arrears_months=0,1.00,
    IF(arrears_months=1,3.00,
    IF(arrears_months=2,5.00,
    IF(arrears_months=3,8.00,
    IF(arrears_months=4,10.00,
    IF(arrears_months=5,12.00,15.00)))))))</f>
        <v/>
      </c>
      <c r="M8396">
        <f>LET(
    seasoning_years,DATEDIF('Loan Tape (S&amp;P)'!K8396,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96">
        <f>IF(AND('Loan Tape (S&amp;P)'!U8396="Yes",
        'Loan Tape (S&amp;P)'!T8396&lt;&gt;"Yes",
        DATEDIF('Loan Tape (S&amp;P)'!K8396, TODAY(), "M")&lt;18),
    1.10,
    1.00)</f>
        <v/>
      </c>
      <c r="O8396">
        <f>IF('Loan Tape (S&amp;P)'!T8396="Yes",
    1.35,
    1.00)</f>
        <v/>
      </c>
      <c r="P8396">
        <f>IF('Loan Tape (S&amp;P)'!S8396="Yes",
    1.15,
    1.00)</f>
        <v/>
      </c>
      <c r="Q8396">
        <f>IF('Loan Tape (S&amp;P)'!V8396="Yes",
    1.20,
    1.00)</f>
        <v/>
      </c>
      <c r="T8396">
        <f>LET(
    payment_method,'Loan Tape (S&amp;P)'!P8396,
    occupancy,'Loan Tape (S&amp;P)'!N8396,
    maturity_date,'Loan Tape (S&amp;P)'!L8396,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97">
      <c r="J8397">
        <f>LET(
    lien,'Loan Tape (S&amp;P)'!Q8397,
    IF(lien="First",1.00,
        IF(lien="Second",1.50,
            1.70)))</f>
        <v/>
      </c>
      <c r="K8397">
        <f>LET(
    purpose,'Loan Tape (S&amp;P)'!R8397,
    IF(purpose="Purchase",1.00,
        IF(purpose="Remortgage",1.00,
            1.20)))</f>
        <v/>
      </c>
      <c r="L8397">
        <f>LET(
    arrears_months,'Loan Tape (S&amp;P)'!AN8397,
    IF(arrears_months=0,1.00,
    IF(arrears_months=1,3.00,
    IF(arrears_months=2,5.00,
    IF(arrears_months=3,8.00,
    IF(arrears_months=4,10.00,
    IF(arrears_months=5,12.00,15.00)))))))</f>
        <v/>
      </c>
      <c r="M8397">
        <f>LET(
    seasoning_years,DATEDIF('Loan Tape (S&amp;P)'!K8397,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97">
        <f>IF(AND('Loan Tape (S&amp;P)'!U8397="Yes",
        'Loan Tape (S&amp;P)'!T8397&lt;&gt;"Yes",
        DATEDIF('Loan Tape (S&amp;P)'!K8397, TODAY(), "M")&lt;18),
    1.10,
    1.00)</f>
        <v/>
      </c>
      <c r="O8397">
        <f>IF('Loan Tape (S&amp;P)'!T8397="Yes",
    1.35,
    1.00)</f>
        <v/>
      </c>
      <c r="P8397">
        <f>IF('Loan Tape (S&amp;P)'!S8397="Yes",
    1.15,
    1.00)</f>
        <v/>
      </c>
      <c r="Q8397">
        <f>IF('Loan Tape (S&amp;P)'!V8397="Yes",
    1.20,
    1.00)</f>
        <v/>
      </c>
      <c r="T8397">
        <f>LET(
    payment_method,'Loan Tape (S&amp;P)'!P8397,
    occupancy,'Loan Tape (S&amp;P)'!N8397,
    maturity_date,'Loan Tape (S&amp;P)'!L8397,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98">
      <c r="J8398">
        <f>LET(
    lien,'Loan Tape (S&amp;P)'!Q8398,
    IF(lien="First",1.00,
        IF(lien="Second",1.50,
            1.70)))</f>
        <v/>
      </c>
      <c r="K8398">
        <f>LET(
    purpose,'Loan Tape (S&amp;P)'!R8398,
    IF(purpose="Purchase",1.00,
        IF(purpose="Remortgage",1.00,
            1.20)))</f>
        <v/>
      </c>
      <c r="L8398">
        <f>LET(
    arrears_months,'Loan Tape (S&amp;P)'!AN8398,
    IF(arrears_months=0,1.00,
    IF(arrears_months=1,3.00,
    IF(arrears_months=2,5.00,
    IF(arrears_months=3,8.00,
    IF(arrears_months=4,10.00,
    IF(arrears_months=5,12.00,15.00)))))))</f>
        <v/>
      </c>
      <c r="M8398">
        <f>LET(
    seasoning_years,DATEDIF('Loan Tape (S&amp;P)'!K8398,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98">
        <f>IF(AND('Loan Tape (S&amp;P)'!U8398="Yes",
        'Loan Tape (S&amp;P)'!T8398&lt;&gt;"Yes",
        DATEDIF('Loan Tape (S&amp;P)'!K8398, TODAY(), "M")&lt;18),
    1.10,
    1.00)</f>
        <v/>
      </c>
      <c r="O8398">
        <f>IF('Loan Tape (S&amp;P)'!T8398="Yes",
    1.35,
    1.00)</f>
        <v/>
      </c>
      <c r="P8398">
        <f>IF('Loan Tape (S&amp;P)'!S8398="Yes",
    1.15,
    1.00)</f>
        <v/>
      </c>
      <c r="Q8398">
        <f>IF('Loan Tape (S&amp;P)'!V8398="Yes",
    1.20,
    1.00)</f>
        <v/>
      </c>
      <c r="T8398">
        <f>LET(
    payment_method,'Loan Tape (S&amp;P)'!P8398,
    occupancy,'Loan Tape (S&amp;P)'!N8398,
    maturity_date,'Loan Tape (S&amp;P)'!L8398,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399">
      <c r="J8399">
        <f>LET(
    lien,'Loan Tape (S&amp;P)'!Q8399,
    IF(lien="First",1.00,
        IF(lien="Second",1.50,
            1.70)))</f>
        <v/>
      </c>
      <c r="K8399">
        <f>LET(
    purpose,'Loan Tape (S&amp;P)'!R8399,
    IF(purpose="Purchase",1.00,
        IF(purpose="Remortgage",1.00,
            1.20)))</f>
        <v/>
      </c>
      <c r="L8399">
        <f>LET(
    arrears_months,'Loan Tape (S&amp;P)'!AN8399,
    IF(arrears_months=0,1.00,
    IF(arrears_months=1,3.00,
    IF(arrears_months=2,5.00,
    IF(arrears_months=3,8.00,
    IF(arrears_months=4,10.00,
    IF(arrears_months=5,12.00,15.00)))))))</f>
        <v/>
      </c>
      <c r="M8399">
        <f>LET(
    seasoning_years,DATEDIF('Loan Tape (S&amp;P)'!K8399,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399">
        <f>IF(AND('Loan Tape (S&amp;P)'!U8399="Yes",
        'Loan Tape (S&amp;P)'!T8399&lt;&gt;"Yes",
        DATEDIF('Loan Tape (S&amp;P)'!K8399, TODAY(), "M")&lt;18),
    1.10,
    1.00)</f>
        <v/>
      </c>
      <c r="O8399">
        <f>IF('Loan Tape (S&amp;P)'!T8399="Yes",
    1.35,
    1.00)</f>
        <v/>
      </c>
      <c r="P8399">
        <f>IF('Loan Tape (S&amp;P)'!S8399="Yes",
    1.15,
    1.00)</f>
        <v/>
      </c>
      <c r="Q8399">
        <f>IF('Loan Tape (S&amp;P)'!V8399="Yes",
    1.20,
    1.00)</f>
        <v/>
      </c>
      <c r="T8399">
        <f>LET(
    payment_method,'Loan Tape (S&amp;P)'!P8399,
    occupancy,'Loan Tape (S&amp;P)'!N8399,
    maturity_date,'Loan Tape (S&amp;P)'!L8399,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00">
      <c r="J8400">
        <f>LET(
    lien,'Loan Tape (S&amp;P)'!Q8400,
    IF(lien="First",1.00,
        IF(lien="Second",1.50,
            1.70)))</f>
        <v/>
      </c>
      <c r="K8400">
        <f>LET(
    purpose,'Loan Tape (S&amp;P)'!R8400,
    IF(purpose="Purchase",1.00,
        IF(purpose="Remortgage",1.00,
            1.20)))</f>
        <v/>
      </c>
      <c r="L8400">
        <f>LET(
    arrears_months,'Loan Tape (S&amp;P)'!AN8400,
    IF(arrears_months=0,1.00,
    IF(arrears_months=1,3.00,
    IF(arrears_months=2,5.00,
    IF(arrears_months=3,8.00,
    IF(arrears_months=4,10.00,
    IF(arrears_months=5,12.00,15.00)))))))</f>
        <v/>
      </c>
      <c r="M8400">
        <f>LET(
    seasoning_years,DATEDIF('Loan Tape (S&amp;P)'!K8400,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00">
        <f>IF(AND('Loan Tape (S&amp;P)'!U8400="Yes",
        'Loan Tape (S&amp;P)'!T8400&lt;&gt;"Yes",
        DATEDIF('Loan Tape (S&amp;P)'!K8400, TODAY(), "M")&lt;18),
    1.10,
    1.00)</f>
        <v/>
      </c>
      <c r="O8400">
        <f>IF('Loan Tape (S&amp;P)'!T8400="Yes",
    1.35,
    1.00)</f>
        <v/>
      </c>
      <c r="P8400">
        <f>IF('Loan Tape (S&amp;P)'!S8400="Yes",
    1.15,
    1.00)</f>
        <v/>
      </c>
      <c r="Q8400">
        <f>IF('Loan Tape (S&amp;P)'!V8400="Yes",
    1.20,
    1.00)</f>
        <v/>
      </c>
      <c r="T8400">
        <f>LET(
    payment_method,'Loan Tape (S&amp;P)'!P8400,
    occupancy,'Loan Tape (S&amp;P)'!N8400,
    maturity_date,'Loan Tape (S&amp;P)'!L8400,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01">
      <c r="J8401">
        <f>LET(
    lien,'Loan Tape (S&amp;P)'!Q8401,
    IF(lien="First",1.00,
        IF(lien="Second",1.50,
            1.70)))</f>
        <v/>
      </c>
      <c r="K8401">
        <f>LET(
    purpose,'Loan Tape (S&amp;P)'!R8401,
    IF(purpose="Purchase",1.00,
        IF(purpose="Remortgage",1.00,
            1.20)))</f>
        <v/>
      </c>
      <c r="L8401">
        <f>LET(
    arrears_months,'Loan Tape (S&amp;P)'!AN8401,
    IF(arrears_months=0,1.00,
    IF(arrears_months=1,3.00,
    IF(arrears_months=2,5.00,
    IF(arrears_months=3,8.00,
    IF(arrears_months=4,10.00,
    IF(arrears_months=5,12.00,15.00)))))))</f>
        <v/>
      </c>
      <c r="M8401">
        <f>LET(
    seasoning_years,DATEDIF('Loan Tape (S&amp;P)'!K8401,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01">
        <f>IF(AND('Loan Tape (S&amp;P)'!U8401="Yes",
        'Loan Tape (S&amp;P)'!T8401&lt;&gt;"Yes",
        DATEDIF('Loan Tape (S&amp;P)'!K8401, TODAY(), "M")&lt;18),
    1.10,
    1.00)</f>
        <v/>
      </c>
      <c r="O8401">
        <f>IF('Loan Tape (S&amp;P)'!T8401="Yes",
    1.35,
    1.00)</f>
        <v/>
      </c>
      <c r="P8401">
        <f>IF('Loan Tape (S&amp;P)'!S8401="Yes",
    1.15,
    1.00)</f>
        <v/>
      </c>
      <c r="Q8401">
        <f>IF('Loan Tape (S&amp;P)'!V8401="Yes",
    1.20,
    1.00)</f>
        <v/>
      </c>
      <c r="T8401">
        <f>LET(
    payment_method,'Loan Tape (S&amp;P)'!P8401,
    occupancy,'Loan Tape (S&amp;P)'!N8401,
    maturity_date,'Loan Tape (S&amp;P)'!L8401,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02">
      <c r="J8402">
        <f>LET(
    lien,'Loan Tape (S&amp;P)'!Q8402,
    IF(lien="First",1.00,
        IF(lien="Second",1.50,
            1.70)))</f>
        <v/>
      </c>
      <c r="K8402">
        <f>LET(
    purpose,'Loan Tape (S&amp;P)'!R8402,
    IF(purpose="Purchase",1.00,
        IF(purpose="Remortgage",1.00,
            1.20)))</f>
        <v/>
      </c>
      <c r="L8402">
        <f>LET(
    arrears_months,'Loan Tape (S&amp;P)'!AN8402,
    IF(arrears_months=0,1.00,
    IF(arrears_months=1,3.00,
    IF(arrears_months=2,5.00,
    IF(arrears_months=3,8.00,
    IF(arrears_months=4,10.00,
    IF(arrears_months=5,12.00,15.00)))))))</f>
        <v/>
      </c>
      <c r="M8402">
        <f>LET(
    seasoning_years,DATEDIF('Loan Tape (S&amp;P)'!K8402,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02">
        <f>IF(AND('Loan Tape (S&amp;P)'!U8402="Yes",
        'Loan Tape (S&amp;P)'!T8402&lt;&gt;"Yes",
        DATEDIF('Loan Tape (S&amp;P)'!K8402, TODAY(), "M")&lt;18),
    1.10,
    1.00)</f>
        <v/>
      </c>
      <c r="O8402">
        <f>IF('Loan Tape (S&amp;P)'!T8402="Yes",
    1.35,
    1.00)</f>
        <v/>
      </c>
      <c r="P8402">
        <f>IF('Loan Tape (S&amp;P)'!S8402="Yes",
    1.15,
    1.00)</f>
        <v/>
      </c>
      <c r="Q8402">
        <f>IF('Loan Tape (S&amp;P)'!V8402="Yes",
    1.20,
    1.00)</f>
        <v/>
      </c>
      <c r="T8402">
        <f>LET(
    payment_method,'Loan Tape (S&amp;P)'!P8402,
    occupancy,'Loan Tape (S&amp;P)'!N8402,
    maturity_date,'Loan Tape (S&amp;P)'!L8402,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03">
      <c r="J8403">
        <f>LET(
    lien,'Loan Tape (S&amp;P)'!Q8403,
    IF(lien="First",1.00,
        IF(lien="Second",1.50,
            1.70)))</f>
        <v/>
      </c>
      <c r="K8403">
        <f>LET(
    purpose,'Loan Tape (S&amp;P)'!R8403,
    IF(purpose="Purchase",1.00,
        IF(purpose="Remortgage",1.00,
            1.20)))</f>
        <v/>
      </c>
      <c r="L8403">
        <f>LET(
    arrears_months,'Loan Tape (S&amp;P)'!AN8403,
    IF(arrears_months=0,1.00,
    IF(arrears_months=1,3.00,
    IF(arrears_months=2,5.00,
    IF(arrears_months=3,8.00,
    IF(arrears_months=4,10.00,
    IF(arrears_months=5,12.00,15.00)))))))</f>
        <v/>
      </c>
      <c r="M8403">
        <f>LET(
    seasoning_years,DATEDIF('Loan Tape (S&amp;P)'!K8403,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03">
        <f>IF(AND('Loan Tape (S&amp;P)'!U8403="Yes",
        'Loan Tape (S&amp;P)'!T8403&lt;&gt;"Yes",
        DATEDIF('Loan Tape (S&amp;P)'!K8403, TODAY(), "M")&lt;18),
    1.10,
    1.00)</f>
        <v/>
      </c>
      <c r="O8403">
        <f>IF('Loan Tape (S&amp;P)'!T8403="Yes",
    1.35,
    1.00)</f>
        <v/>
      </c>
      <c r="P8403">
        <f>IF('Loan Tape (S&amp;P)'!S8403="Yes",
    1.15,
    1.00)</f>
        <v/>
      </c>
      <c r="Q8403">
        <f>IF('Loan Tape (S&amp;P)'!V8403="Yes",
    1.20,
    1.00)</f>
        <v/>
      </c>
      <c r="T8403">
        <f>LET(
    payment_method,'Loan Tape (S&amp;P)'!P8403,
    occupancy,'Loan Tape (S&amp;P)'!N8403,
    maturity_date,'Loan Tape (S&amp;P)'!L8403,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04">
      <c r="J8404">
        <f>LET(
    lien,'Loan Tape (S&amp;P)'!Q8404,
    IF(lien="First",1.00,
        IF(lien="Second",1.50,
            1.70)))</f>
        <v/>
      </c>
      <c r="K8404">
        <f>LET(
    purpose,'Loan Tape (S&amp;P)'!R8404,
    IF(purpose="Purchase",1.00,
        IF(purpose="Remortgage",1.00,
            1.20)))</f>
        <v/>
      </c>
      <c r="L8404">
        <f>LET(
    arrears_months,'Loan Tape (S&amp;P)'!AN8404,
    IF(arrears_months=0,1.00,
    IF(arrears_months=1,3.00,
    IF(arrears_months=2,5.00,
    IF(arrears_months=3,8.00,
    IF(arrears_months=4,10.00,
    IF(arrears_months=5,12.00,15.00)))))))</f>
        <v/>
      </c>
      <c r="M8404">
        <f>LET(
    seasoning_years,DATEDIF('Loan Tape (S&amp;P)'!K8404,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04">
        <f>IF(AND('Loan Tape (S&amp;P)'!U8404="Yes",
        'Loan Tape (S&amp;P)'!T8404&lt;&gt;"Yes",
        DATEDIF('Loan Tape (S&amp;P)'!K8404, TODAY(), "M")&lt;18),
    1.10,
    1.00)</f>
        <v/>
      </c>
      <c r="O8404">
        <f>IF('Loan Tape (S&amp;P)'!T8404="Yes",
    1.35,
    1.00)</f>
        <v/>
      </c>
      <c r="P8404">
        <f>IF('Loan Tape (S&amp;P)'!S8404="Yes",
    1.15,
    1.00)</f>
        <v/>
      </c>
      <c r="Q8404">
        <f>IF('Loan Tape (S&amp;P)'!V8404="Yes",
    1.20,
    1.00)</f>
        <v/>
      </c>
      <c r="T8404">
        <f>LET(
    payment_method,'Loan Tape (S&amp;P)'!P8404,
    occupancy,'Loan Tape (S&amp;P)'!N8404,
    maturity_date,'Loan Tape (S&amp;P)'!L8404,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05">
      <c r="J8405">
        <f>LET(
    lien,'Loan Tape (S&amp;P)'!Q8405,
    IF(lien="First",1.00,
        IF(lien="Second",1.50,
            1.70)))</f>
        <v/>
      </c>
      <c r="K8405">
        <f>LET(
    purpose,'Loan Tape (S&amp;P)'!R8405,
    IF(purpose="Purchase",1.00,
        IF(purpose="Remortgage",1.00,
            1.20)))</f>
        <v/>
      </c>
      <c r="L8405">
        <f>LET(
    arrears_months,'Loan Tape (S&amp;P)'!AN8405,
    IF(arrears_months=0,1.00,
    IF(arrears_months=1,3.00,
    IF(arrears_months=2,5.00,
    IF(arrears_months=3,8.00,
    IF(arrears_months=4,10.00,
    IF(arrears_months=5,12.00,15.00)))))))</f>
        <v/>
      </c>
      <c r="M8405">
        <f>LET(
    seasoning_years,DATEDIF('Loan Tape (S&amp;P)'!K8405,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05">
        <f>IF(AND('Loan Tape (S&amp;P)'!U8405="Yes",
        'Loan Tape (S&amp;P)'!T8405&lt;&gt;"Yes",
        DATEDIF('Loan Tape (S&amp;P)'!K8405, TODAY(), "M")&lt;18),
    1.10,
    1.00)</f>
        <v/>
      </c>
      <c r="O8405">
        <f>IF('Loan Tape (S&amp;P)'!T8405="Yes",
    1.35,
    1.00)</f>
        <v/>
      </c>
      <c r="P8405">
        <f>IF('Loan Tape (S&amp;P)'!S8405="Yes",
    1.15,
    1.00)</f>
        <v/>
      </c>
      <c r="Q8405">
        <f>IF('Loan Tape (S&amp;P)'!V8405="Yes",
    1.20,
    1.00)</f>
        <v/>
      </c>
      <c r="T8405">
        <f>LET(
    payment_method,'Loan Tape (S&amp;P)'!P8405,
    occupancy,'Loan Tape (S&amp;P)'!N8405,
    maturity_date,'Loan Tape (S&amp;P)'!L8405,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06">
      <c r="J8406">
        <f>LET(
    lien,'Loan Tape (S&amp;P)'!Q8406,
    IF(lien="First",1.00,
        IF(lien="Second",1.50,
            1.70)))</f>
        <v/>
      </c>
      <c r="K8406">
        <f>LET(
    purpose,'Loan Tape (S&amp;P)'!R8406,
    IF(purpose="Purchase",1.00,
        IF(purpose="Remortgage",1.00,
            1.20)))</f>
        <v/>
      </c>
      <c r="L8406">
        <f>LET(
    arrears_months,'Loan Tape (S&amp;P)'!AN8406,
    IF(arrears_months=0,1.00,
    IF(arrears_months=1,3.00,
    IF(arrears_months=2,5.00,
    IF(arrears_months=3,8.00,
    IF(arrears_months=4,10.00,
    IF(arrears_months=5,12.00,15.00)))))))</f>
        <v/>
      </c>
      <c r="M8406">
        <f>LET(
    seasoning_years,DATEDIF('Loan Tape (S&amp;P)'!K8406,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06">
        <f>IF(AND('Loan Tape (S&amp;P)'!U8406="Yes",
        'Loan Tape (S&amp;P)'!T8406&lt;&gt;"Yes",
        DATEDIF('Loan Tape (S&amp;P)'!K8406, TODAY(), "M")&lt;18),
    1.10,
    1.00)</f>
        <v/>
      </c>
      <c r="O8406">
        <f>IF('Loan Tape (S&amp;P)'!T8406="Yes",
    1.35,
    1.00)</f>
        <v/>
      </c>
      <c r="P8406">
        <f>IF('Loan Tape (S&amp;P)'!S8406="Yes",
    1.15,
    1.00)</f>
        <v/>
      </c>
      <c r="Q8406">
        <f>IF('Loan Tape (S&amp;P)'!V8406="Yes",
    1.20,
    1.00)</f>
        <v/>
      </c>
      <c r="T8406">
        <f>LET(
    payment_method,'Loan Tape (S&amp;P)'!P8406,
    occupancy,'Loan Tape (S&amp;P)'!N8406,
    maturity_date,'Loan Tape (S&amp;P)'!L8406,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07">
      <c r="J8407">
        <f>LET(
    lien,'Loan Tape (S&amp;P)'!Q8407,
    IF(lien="First",1.00,
        IF(lien="Second",1.50,
            1.70)))</f>
        <v/>
      </c>
      <c r="K8407">
        <f>LET(
    purpose,'Loan Tape (S&amp;P)'!R8407,
    IF(purpose="Purchase",1.00,
        IF(purpose="Remortgage",1.00,
            1.20)))</f>
        <v/>
      </c>
      <c r="L8407">
        <f>LET(
    arrears_months,'Loan Tape (S&amp;P)'!AN8407,
    IF(arrears_months=0,1.00,
    IF(arrears_months=1,3.00,
    IF(arrears_months=2,5.00,
    IF(arrears_months=3,8.00,
    IF(arrears_months=4,10.00,
    IF(arrears_months=5,12.00,15.00)))))))</f>
        <v/>
      </c>
      <c r="M8407">
        <f>LET(
    seasoning_years,DATEDIF('Loan Tape (S&amp;P)'!K8407,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07">
        <f>IF(AND('Loan Tape (S&amp;P)'!U8407="Yes",
        'Loan Tape (S&amp;P)'!T8407&lt;&gt;"Yes",
        DATEDIF('Loan Tape (S&amp;P)'!K8407, TODAY(), "M")&lt;18),
    1.10,
    1.00)</f>
        <v/>
      </c>
      <c r="O8407">
        <f>IF('Loan Tape (S&amp;P)'!T8407="Yes",
    1.35,
    1.00)</f>
        <v/>
      </c>
      <c r="P8407">
        <f>IF('Loan Tape (S&amp;P)'!S8407="Yes",
    1.15,
    1.00)</f>
        <v/>
      </c>
      <c r="Q8407">
        <f>IF('Loan Tape (S&amp;P)'!V8407="Yes",
    1.20,
    1.00)</f>
        <v/>
      </c>
      <c r="T8407">
        <f>LET(
    payment_method,'Loan Tape (S&amp;P)'!P8407,
    occupancy,'Loan Tape (S&amp;P)'!N8407,
    maturity_date,'Loan Tape (S&amp;P)'!L8407,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08">
      <c r="J8408">
        <f>LET(
    lien,'Loan Tape (S&amp;P)'!Q8408,
    IF(lien="First",1.00,
        IF(lien="Second",1.50,
            1.70)))</f>
        <v/>
      </c>
      <c r="K8408">
        <f>LET(
    purpose,'Loan Tape (S&amp;P)'!R8408,
    IF(purpose="Purchase",1.00,
        IF(purpose="Remortgage",1.00,
            1.20)))</f>
        <v/>
      </c>
      <c r="L8408">
        <f>LET(
    arrears_months,'Loan Tape (S&amp;P)'!AN8408,
    IF(arrears_months=0,1.00,
    IF(arrears_months=1,3.00,
    IF(arrears_months=2,5.00,
    IF(arrears_months=3,8.00,
    IF(arrears_months=4,10.00,
    IF(arrears_months=5,12.00,15.00)))))))</f>
        <v/>
      </c>
      <c r="M8408">
        <f>LET(
    seasoning_years,DATEDIF('Loan Tape (S&amp;P)'!K8408,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08">
        <f>IF(AND('Loan Tape (S&amp;P)'!U8408="Yes",
        'Loan Tape (S&amp;P)'!T8408&lt;&gt;"Yes",
        DATEDIF('Loan Tape (S&amp;P)'!K8408, TODAY(), "M")&lt;18),
    1.10,
    1.00)</f>
        <v/>
      </c>
      <c r="O8408">
        <f>IF('Loan Tape (S&amp;P)'!T8408="Yes",
    1.35,
    1.00)</f>
        <v/>
      </c>
      <c r="P8408">
        <f>IF('Loan Tape (S&amp;P)'!S8408="Yes",
    1.15,
    1.00)</f>
        <v/>
      </c>
      <c r="Q8408">
        <f>IF('Loan Tape (S&amp;P)'!V8408="Yes",
    1.20,
    1.00)</f>
        <v/>
      </c>
      <c r="T8408">
        <f>LET(
    payment_method,'Loan Tape (S&amp;P)'!P8408,
    occupancy,'Loan Tape (S&amp;P)'!N8408,
    maturity_date,'Loan Tape (S&amp;P)'!L8408,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09">
      <c r="J8409">
        <f>LET(
    lien,'Loan Tape (S&amp;P)'!Q8409,
    IF(lien="First",1.00,
        IF(lien="Second",1.50,
            1.70)))</f>
        <v/>
      </c>
      <c r="K8409">
        <f>LET(
    purpose,'Loan Tape (S&amp;P)'!R8409,
    IF(purpose="Purchase",1.00,
        IF(purpose="Remortgage",1.00,
            1.20)))</f>
        <v/>
      </c>
      <c r="L8409">
        <f>LET(
    arrears_months,'Loan Tape (S&amp;P)'!AN8409,
    IF(arrears_months=0,1.00,
    IF(arrears_months=1,3.00,
    IF(arrears_months=2,5.00,
    IF(arrears_months=3,8.00,
    IF(arrears_months=4,10.00,
    IF(arrears_months=5,12.00,15.00)))))))</f>
        <v/>
      </c>
      <c r="M8409">
        <f>LET(
    seasoning_years,DATEDIF('Loan Tape (S&amp;P)'!K8409,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09">
        <f>IF(AND('Loan Tape (S&amp;P)'!U8409="Yes",
        'Loan Tape (S&amp;P)'!T8409&lt;&gt;"Yes",
        DATEDIF('Loan Tape (S&amp;P)'!K8409, TODAY(), "M")&lt;18),
    1.10,
    1.00)</f>
        <v/>
      </c>
      <c r="O8409">
        <f>IF('Loan Tape (S&amp;P)'!T8409="Yes",
    1.35,
    1.00)</f>
        <v/>
      </c>
      <c r="P8409">
        <f>IF('Loan Tape (S&amp;P)'!S8409="Yes",
    1.15,
    1.00)</f>
        <v/>
      </c>
      <c r="Q8409">
        <f>IF('Loan Tape (S&amp;P)'!V8409="Yes",
    1.20,
    1.00)</f>
        <v/>
      </c>
      <c r="T8409">
        <f>LET(
    payment_method,'Loan Tape (S&amp;P)'!P8409,
    occupancy,'Loan Tape (S&amp;P)'!N8409,
    maturity_date,'Loan Tape (S&amp;P)'!L8409,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10">
      <c r="J8410">
        <f>LET(
    lien,'Loan Tape (S&amp;P)'!Q8410,
    IF(lien="First",1.00,
        IF(lien="Second",1.50,
            1.70)))</f>
        <v/>
      </c>
      <c r="K8410">
        <f>LET(
    purpose,'Loan Tape (S&amp;P)'!R8410,
    IF(purpose="Purchase",1.00,
        IF(purpose="Remortgage",1.00,
            1.20)))</f>
        <v/>
      </c>
      <c r="L8410">
        <f>LET(
    arrears_months,'Loan Tape (S&amp;P)'!AN8410,
    IF(arrears_months=0,1.00,
    IF(arrears_months=1,3.00,
    IF(arrears_months=2,5.00,
    IF(arrears_months=3,8.00,
    IF(arrears_months=4,10.00,
    IF(arrears_months=5,12.00,15.00)))))))</f>
        <v/>
      </c>
      <c r="M8410">
        <f>LET(
    seasoning_years,DATEDIF('Loan Tape (S&amp;P)'!K8410,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10">
        <f>IF(AND('Loan Tape (S&amp;P)'!U8410="Yes",
        'Loan Tape (S&amp;P)'!T8410&lt;&gt;"Yes",
        DATEDIF('Loan Tape (S&amp;P)'!K8410, TODAY(), "M")&lt;18),
    1.10,
    1.00)</f>
        <v/>
      </c>
      <c r="O8410">
        <f>IF('Loan Tape (S&amp;P)'!T8410="Yes",
    1.35,
    1.00)</f>
        <v/>
      </c>
      <c r="P8410">
        <f>IF('Loan Tape (S&amp;P)'!S8410="Yes",
    1.15,
    1.00)</f>
        <v/>
      </c>
      <c r="Q8410">
        <f>IF('Loan Tape (S&amp;P)'!V8410="Yes",
    1.20,
    1.00)</f>
        <v/>
      </c>
      <c r="T8410">
        <f>LET(
    payment_method,'Loan Tape (S&amp;P)'!P8410,
    occupancy,'Loan Tape (S&amp;P)'!N8410,
    maturity_date,'Loan Tape (S&amp;P)'!L8410,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11">
      <c r="J8411">
        <f>LET(
    lien,'Loan Tape (S&amp;P)'!Q8411,
    IF(lien="First",1.00,
        IF(lien="Second",1.50,
            1.70)))</f>
        <v/>
      </c>
      <c r="K8411">
        <f>LET(
    purpose,'Loan Tape (S&amp;P)'!R8411,
    IF(purpose="Purchase",1.00,
        IF(purpose="Remortgage",1.00,
            1.20)))</f>
        <v/>
      </c>
      <c r="L8411">
        <f>LET(
    arrears_months,'Loan Tape (S&amp;P)'!AN8411,
    IF(arrears_months=0,1.00,
    IF(arrears_months=1,3.00,
    IF(arrears_months=2,5.00,
    IF(arrears_months=3,8.00,
    IF(arrears_months=4,10.00,
    IF(arrears_months=5,12.00,15.00)))))))</f>
        <v/>
      </c>
      <c r="M8411">
        <f>LET(
    seasoning_years,DATEDIF('Loan Tape (S&amp;P)'!K8411,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11">
        <f>IF(AND('Loan Tape (S&amp;P)'!U8411="Yes",
        'Loan Tape (S&amp;P)'!T8411&lt;&gt;"Yes",
        DATEDIF('Loan Tape (S&amp;P)'!K8411, TODAY(), "M")&lt;18),
    1.10,
    1.00)</f>
        <v/>
      </c>
      <c r="O8411">
        <f>IF('Loan Tape (S&amp;P)'!T8411="Yes",
    1.35,
    1.00)</f>
        <v/>
      </c>
      <c r="P8411">
        <f>IF('Loan Tape (S&amp;P)'!S8411="Yes",
    1.15,
    1.00)</f>
        <v/>
      </c>
      <c r="Q8411">
        <f>IF('Loan Tape (S&amp;P)'!V8411="Yes",
    1.20,
    1.00)</f>
        <v/>
      </c>
      <c r="T8411">
        <f>LET(
    payment_method,'Loan Tape (S&amp;P)'!P8411,
    occupancy,'Loan Tape (S&amp;P)'!N8411,
    maturity_date,'Loan Tape (S&amp;P)'!L8411,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12">
      <c r="J8412">
        <f>LET(
    lien,'Loan Tape (S&amp;P)'!Q8412,
    IF(lien="First",1.00,
        IF(lien="Second",1.50,
            1.70)))</f>
        <v/>
      </c>
      <c r="K8412">
        <f>LET(
    purpose,'Loan Tape (S&amp;P)'!R8412,
    IF(purpose="Purchase",1.00,
        IF(purpose="Remortgage",1.00,
            1.20)))</f>
        <v/>
      </c>
      <c r="L8412">
        <f>LET(
    arrears_months,'Loan Tape (S&amp;P)'!AN8412,
    IF(arrears_months=0,1.00,
    IF(arrears_months=1,3.00,
    IF(arrears_months=2,5.00,
    IF(arrears_months=3,8.00,
    IF(arrears_months=4,10.00,
    IF(arrears_months=5,12.00,15.00)))))))</f>
        <v/>
      </c>
      <c r="M8412">
        <f>LET(
    seasoning_years,DATEDIF('Loan Tape (S&amp;P)'!K8412,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12">
        <f>IF(AND('Loan Tape (S&amp;P)'!U8412="Yes",
        'Loan Tape (S&amp;P)'!T8412&lt;&gt;"Yes",
        DATEDIF('Loan Tape (S&amp;P)'!K8412, TODAY(), "M")&lt;18),
    1.10,
    1.00)</f>
        <v/>
      </c>
      <c r="O8412">
        <f>IF('Loan Tape (S&amp;P)'!T8412="Yes",
    1.35,
    1.00)</f>
        <v/>
      </c>
      <c r="P8412">
        <f>IF('Loan Tape (S&amp;P)'!S8412="Yes",
    1.15,
    1.00)</f>
        <v/>
      </c>
      <c r="Q8412">
        <f>IF('Loan Tape (S&amp;P)'!V8412="Yes",
    1.20,
    1.00)</f>
        <v/>
      </c>
      <c r="T8412">
        <f>LET(
    payment_method,'Loan Tape (S&amp;P)'!P8412,
    occupancy,'Loan Tape (S&amp;P)'!N8412,
    maturity_date,'Loan Tape (S&amp;P)'!L8412,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13">
      <c r="J8413">
        <f>LET(
    lien,'Loan Tape (S&amp;P)'!Q8413,
    IF(lien="First",1.00,
        IF(lien="Second",1.50,
            1.70)))</f>
        <v/>
      </c>
      <c r="K8413">
        <f>LET(
    purpose,'Loan Tape (S&amp;P)'!R8413,
    IF(purpose="Purchase",1.00,
        IF(purpose="Remortgage",1.00,
            1.20)))</f>
        <v/>
      </c>
      <c r="L8413">
        <f>LET(
    arrears_months,'Loan Tape (S&amp;P)'!AN8413,
    IF(arrears_months=0,1.00,
    IF(arrears_months=1,3.00,
    IF(arrears_months=2,5.00,
    IF(arrears_months=3,8.00,
    IF(arrears_months=4,10.00,
    IF(arrears_months=5,12.00,15.00)))))))</f>
        <v/>
      </c>
      <c r="M8413">
        <f>LET(
    seasoning_years,DATEDIF('Loan Tape (S&amp;P)'!K8413,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13">
        <f>IF(AND('Loan Tape (S&amp;P)'!U8413="Yes",
        'Loan Tape (S&amp;P)'!T8413&lt;&gt;"Yes",
        DATEDIF('Loan Tape (S&amp;P)'!K8413, TODAY(), "M")&lt;18),
    1.10,
    1.00)</f>
        <v/>
      </c>
      <c r="O8413">
        <f>IF('Loan Tape (S&amp;P)'!T8413="Yes",
    1.35,
    1.00)</f>
        <v/>
      </c>
      <c r="P8413">
        <f>IF('Loan Tape (S&amp;P)'!S8413="Yes",
    1.15,
    1.00)</f>
        <v/>
      </c>
      <c r="Q8413">
        <f>IF('Loan Tape (S&amp;P)'!V8413="Yes",
    1.20,
    1.00)</f>
        <v/>
      </c>
      <c r="T8413">
        <f>LET(
    payment_method,'Loan Tape (S&amp;P)'!P8413,
    occupancy,'Loan Tape (S&amp;P)'!N8413,
    maturity_date,'Loan Tape (S&amp;P)'!L8413,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14">
      <c r="J8414">
        <f>LET(
    lien,'Loan Tape (S&amp;P)'!Q8414,
    IF(lien="First",1.00,
        IF(lien="Second",1.50,
            1.70)))</f>
        <v/>
      </c>
      <c r="K8414">
        <f>LET(
    purpose,'Loan Tape (S&amp;P)'!R8414,
    IF(purpose="Purchase",1.00,
        IF(purpose="Remortgage",1.00,
            1.20)))</f>
        <v/>
      </c>
      <c r="L8414">
        <f>LET(
    arrears_months,'Loan Tape (S&amp;P)'!AN8414,
    IF(arrears_months=0,1.00,
    IF(arrears_months=1,3.00,
    IF(arrears_months=2,5.00,
    IF(arrears_months=3,8.00,
    IF(arrears_months=4,10.00,
    IF(arrears_months=5,12.00,15.00)))))))</f>
        <v/>
      </c>
      <c r="M8414">
        <f>LET(
    seasoning_years,DATEDIF('Loan Tape (S&amp;P)'!K8414,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14">
        <f>IF(AND('Loan Tape (S&amp;P)'!U8414="Yes",
        'Loan Tape (S&amp;P)'!T8414&lt;&gt;"Yes",
        DATEDIF('Loan Tape (S&amp;P)'!K8414, TODAY(), "M")&lt;18),
    1.10,
    1.00)</f>
        <v/>
      </c>
      <c r="O8414">
        <f>IF('Loan Tape (S&amp;P)'!T8414="Yes",
    1.35,
    1.00)</f>
        <v/>
      </c>
      <c r="P8414">
        <f>IF('Loan Tape (S&amp;P)'!S8414="Yes",
    1.15,
    1.00)</f>
        <v/>
      </c>
      <c r="Q8414">
        <f>IF('Loan Tape (S&amp;P)'!V8414="Yes",
    1.20,
    1.00)</f>
        <v/>
      </c>
      <c r="T8414">
        <f>LET(
    payment_method,'Loan Tape (S&amp;P)'!P8414,
    occupancy,'Loan Tape (S&amp;P)'!N8414,
    maturity_date,'Loan Tape (S&amp;P)'!L8414,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15">
      <c r="J8415">
        <f>LET(
    lien,'Loan Tape (S&amp;P)'!Q8415,
    IF(lien="First",1.00,
        IF(lien="Second",1.50,
            1.70)))</f>
        <v/>
      </c>
      <c r="K8415">
        <f>LET(
    purpose,'Loan Tape (S&amp;P)'!R8415,
    IF(purpose="Purchase",1.00,
        IF(purpose="Remortgage",1.00,
            1.20)))</f>
        <v/>
      </c>
      <c r="L8415">
        <f>LET(
    arrears_months,'Loan Tape (S&amp;P)'!AN8415,
    IF(arrears_months=0,1.00,
    IF(arrears_months=1,3.00,
    IF(arrears_months=2,5.00,
    IF(arrears_months=3,8.00,
    IF(arrears_months=4,10.00,
    IF(arrears_months=5,12.00,15.00)))))))</f>
        <v/>
      </c>
      <c r="M8415">
        <f>LET(
    seasoning_years,DATEDIF('Loan Tape (S&amp;P)'!K8415,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15">
        <f>IF(AND('Loan Tape (S&amp;P)'!U8415="Yes",
        'Loan Tape (S&amp;P)'!T8415&lt;&gt;"Yes",
        DATEDIF('Loan Tape (S&amp;P)'!K8415, TODAY(), "M")&lt;18),
    1.10,
    1.00)</f>
        <v/>
      </c>
      <c r="O8415">
        <f>IF('Loan Tape (S&amp;P)'!T8415="Yes",
    1.35,
    1.00)</f>
        <v/>
      </c>
      <c r="P8415">
        <f>IF('Loan Tape (S&amp;P)'!S8415="Yes",
    1.15,
    1.00)</f>
        <v/>
      </c>
      <c r="Q8415">
        <f>IF('Loan Tape (S&amp;P)'!V8415="Yes",
    1.20,
    1.00)</f>
        <v/>
      </c>
      <c r="T8415">
        <f>LET(
    payment_method,'Loan Tape (S&amp;P)'!P8415,
    occupancy,'Loan Tape (S&amp;P)'!N8415,
    maturity_date,'Loan Tape (S&amp;P)'!L8415,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16">
      <c r="J8416">
        <f>LET(
    lien,'Loan Tape (S&amp;P)'!Q8416,
    IF(lien="First",1.00,
        IF(lien="Second",1.50,
            1.70)))</f>
        <v/>
      </c>
      <c r="K8416">
        <f>LET(
    purpose,'Loan Tape (S&amp;P)'!R8416,
    IF(purpose="Purchase",1.00,
        IF(purpose="Remortgage",1.00,
            1.20)))</f>
        <v/>
      </c>
      <c r="L8416">
        <f>LET(
    arrears_months,'Loan Tape (S&amp;P)'!AN8416,
    IF(arrears_months=0,1.00,
    IF(arrears_months=1,3.00,
    IF(arrears_months=2,5.00,
    IF(arrears_months=3,8.00,
    IF(arrears_months=4,10.00,
    IF(arrears_months=5,12.00,15.00)))))))</f>
        <v/>
      </c>
      <c r="M8416">
        <f>LET(
    seasoning_years,DATEDIF('Loan Tape (S&amp;P)'!K8416,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16">
        <f>IF(AND('Loan Tape (S&amp;P)'!U8416="Yes",
        'Loan Tape (S&amp;P)'!T8416&lt;&gt;"Yes",
        DATEDIF('Loan Tape (S&amp;P)'!K8416, TODAY(), "M")&lt;18),
    1.10,
    1.00)</f>
        <v/>
      </c>
      <c r="O8416">
        <f>IF('Loan Tape (S&amp;P)'!T8416="Yes",
    1.35,
    1.00)</f>
        <v/>
      </c>
      <c r="P8416">
        <f>IF('Loan Tape (S&amp;P)'!S8416="Yes",
    1.15,
    1.00)</f>
        <v/>
      </c>
      <c r="Q8416">
        <f>IF('Loan Tape (S&amp;P)'!V8416="Yes",
    1.20,
    1.00)</f>
        <v/>
      </c>
      <c r="T8416">
        <f>LET(
    payment_method,'Loan Tape (S&amp;P)'!P8416,
    occupancy,'Loan Tape (S&amp;P)'!N8416,
    maturity_date,'Loan Tape (S&amp;P)'!L8416,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17">
      <c r="J8417">
        <f>LET(
    lien,'Loan Tape (S&amp;P)'!Q8417,
    IF(lien="First",1.00,
        IF(lien="Second",1.50,
            1.70)))</f>
        <v/>
      </c>
      <c r="K8417">
        <f>LET(
    purpose,'Loan Tape (S&amp;P)'!R8417,
    IF(purpose="Purchase",1.00,
        IF(purpose="Remortgage",1.00,
            1.20)))</f>
        <v/>
      </c>
      <c r="L8417">
        <f>LET(
    arrears_months,'Loan Tape (S&amp;P)'!AN8417,
    IF(arrears_months=0,1.00,
    IF(arrears_months=1,3.00,
    IF(arrears_months=2,5.00,
    IF(arrears_months=3,8.00,
    IF(arrears_months=4,10.00,
    IF(arrears_months=5,12.00,15.00)))))))</f>
        <v/>
      </c>
      <c r="M8417">
        <f>LET(
    seasoning_years,DATEDIF('Loan Tape (S&amp;P)'!K8417,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17">
        <f>IF(AND('Loan Tape (S&amp;P)'!U8417="Yes",
        'Loan Tape (S&amp;P)'!T8417&lt;&gt;"Yes",
        DATEDIF('Loan Tape (S&amp;P)'!K8417, TODAY(), "M")&lt;18),
    1.10,
    1.00)</f>
        <v/>
      </c>
      <c r="O8417">
        <f>IF('Loan Tape (S&amp;P)'!T8417="Yes",
    1.35,
    1.00)</f>
        <v/>
      </c>
      <c r="P8417">
        <f>IF('Loan Tape (S&amp;P)'!S8417="Yes",
    1.15,
    1.00)</f>
        <v/>
      </c>
      <c r="Q8417">
        <f>IF('Loan Tape (S&amp;P)'!V8417="Yes",
    1.20,
    1.00)</f>
        <v/>
      </c>
      <c r="T8417">
        <f>LET(
    payment_method,'Loan Tape (S&amp;P)'!P8417,
    occupancy,'Loan Tape (S&amp;P)'!N8417,
    maturity_date,'Loan Tape (S&amp;P)'!L8417,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18">
      <c r="J8418">
        <f>LET(
    lien,'Loan Tape (S&amp;P)'!Q8418,
    IF(lien="First",1.00,
        IF(lien="Second",1.50,
            1.70)))</f>
        <v/>
      </c>
      <c r="K8418">
        <f>LET(
    purpose,'Loan Tape (S&amp;P)'!R8418,
    IF(purpose="Purchase",1.00,
        IF(purpose="Remortgage",1.00,
            1.20)))</f>
        <v/>
      </c>
      <c r="L8418">
        <f>LET(
    arrears_months,'Loan Tape (S&amp;P)'!AN8418,
    IF(arrears_months=0,1.00,
    IF(arrears_months=1,3.00,
    IF(arrears_months=2,5.00,
    IF(arrears_months=3,8.00,
    IF(arrears_months=4,10.00,
    IF(arrears_months=5,12.00,15.00)))))))</f>
        <v/>
      </c>
      <c r="M8418">
        <f>LET(
    seasoning_years,DATEDIF('Loan Tape (S&amp;P)'!K8418,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18">
        <f>IF(AND('Loan Tape (S&amp;P)'!U8418="Yes",
        'Loan Tape (S&amp;P)'!T8418&lt;&gt;"Yes",
        DATEDIF('Loan Tape (S&amp;P)'!K8418, TODAY(), "M")&lt;18),
    1.10,
    1.00)</f>
        <v/>
      </c>
      <c r="O8418">
        <f>IF('Loan Tape (S&amp;P)'!T8418="Yes",
    1.35,
    1.00)</f>
        <v/>
      </c>
      <c r="P8418">
        <f>IF('Loan Tape (S&amp;P)'!S8418="Yes",
    1.15,
    1.00)</f>
        <v/>
      </c>
      <c r="Q8418">
        <f>IF('Loan Tape (S&amp;P)'!V8418="Yes",
    1.20,
    1.00)</f>
        <v/>
      </c>
      <c r="T8418">
        <f>LET(
    payment_method,'Loan Tape (S&amp;P)'!P8418,
    occupancy,'Loan Tape (S&amp;P)'!N8418,
    maturity_date,'Loan Tape (S&amp;P)'!L8418,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19">
      <c r="J8419">
        <f>LET(
    lien,'Loan Tape (S&amp;P)'!Q8419,
    IF(lien="First",1.00,
        IF(lien="Second",1.50,
            1.70)))</f>
        <v/>
      </c>
      <c r="K8419">
        <f>LET(
    purpose,'Loan Tape (S&amp;P)'!R8419,
    IF(purpose="Purchase",1.00,
        IF(purpose="Remortgage",1.00,
            1.20)))</f>
        <v/>
      </c>
      <c r="L8419">
        <f>LET(
    arrears_months,'Loan Tape (S&amp;P)'!AN8419,
    IF(arrears_months=0,1.00,
    IF(arrears_months=1,3.00,
    IF(arrears_months=2,5.00,
    IF(arrears_months=3,8.00,
    IF(arrears_months=4,10.00,
    IF(arrears_months=5,12.00,15.00)))))))</f>
        <v/>
      </c>
      <c r="M8419">
        <f>LET(
    seasoning_years,DATEDIF('Loan Tape (S&amp;P)'!K8419,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19">
        <f>IF(AND('Loan Tape (S&amp;P)'!U8419="Yes",
        'Loan Tape (S&amp;P)'!T8419&lt;&gt;"Yes",
        DATEDIF('Loan Tape (S&amp;P)'!K8419, TODAY(), "M")&lt;18),
    1.10,
    1.00)</f>
        <v/>
      </c>
      <c r="O8419">
        <f>IF('Loan Tape (S&amp;P)'!T8419="Yes",
    1.35,
    1.00)</f>
        <v/>
      </c>
      <c r="P8419">
        <f>IF('Loan Tape (S&amp;P)'!S8419="Yes",
    1.15,
    1.00)</f>
        <v/>
      </c>
      <c r="Q8419">
        <f>IF('Loan Tape (S&amp;P)'!V8419="Yes",
    1.20,
    1.00)</f>
        <v/>
      </c>
      <c r="T8419">
        <f>LET(
    payment_method,'Loan Tape (S&amp;P)'!P8419,
    occupancy,'Loan Tape (S&amp;P)'!N8419,
    maturity_date,'Loan Tape (S&amp;P)'!L8419,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20">
      <c r="J8420">
        <f>LET(
    lien,'Loan Tape (S&amp;P)'!Q8420,
    IF(lien="First",1.00,
        IF(lien="Second",1.50,
            1.70)))</f>
        <v/>
      </c>
      <c r="K8420">
        <f>LET(
    purpose,'Loan Tape (S&amp;P)'!R8420,
    IF(purpose="Purchase",1.00,
        IF(purpose="Remortgage",1.00,
            1.20)))</f>
        <v/>
      </c>
      <c r="L8420">
        <f>LET(
    arrears_months,'Loan Tape (S&amp;P)'!AN8420,
    IF(arrears_months=0,1.00,
    IF(arrears_months=1,3.00,
    IF(arrears_months=2,5.00,
    IF(arrears_months=3,8.00,
    IF(arrears_months=4,10.00,
    IF(arrears_months=5,12.00,15.00)))))))</f>
        <v/>
      </c>
      <c r="M8420">
        <f>LET(
    seasoning_years,DATEDIF('Loan Tape (S&amp;P)'!K8420,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20">
        <f>IF(AND('Loan Tape (S&amp;P)'!U8420="Yes",
        'Loan Tape (S&amp;P)'!T8420&lt;&gt;"Yes",
        DATEDIF('Loan Tape (S&amp;P)'!K8420, TODAY(), "M")&lt;18),
    1.10,
    1.00)</f>
        <v/>
      </c>
      <c r="O8420">
        <f>IF('Loan Tape (S&amp;P)'!T8420="Yes",
    1.35,
    1.00)</f>
        <v/>
      </c>
      <c r="P8420">
        <f>IF('Loan Tape (S&amp;P)'!S8420="Yes",
    1.15,
    1.00)</f>
        <v/>
      </c>
      <c r="Q8420">
        <f>IF('Loan Tape (S&amp;P)'!V8420="Yes",
    1.20,
    1.00)</f>
        <v/>
      </c>
      <c r="T8420">
        <f>LET(
    payment_method,'Loan Tape (S&amp;P)'!P8420,
    occupancy,'Loan Tape (S&amp;P)'!N8420,
    maturity_date,'Loan Tape (S&amp;P)'!L8420,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21">
      <c r="J8421">
        <f>LET(
    lien,'Loan Tape (S&amp;P)'!Q8421,
    IF(lien="First",1.00,
        IF(lien="Second",1.50,
            1.70)))</f>
        <v/>
      </c>
      <c r="K8421">
        <f>LET(
    purpose,'Loan Tape (S&amp;P)'!R8421,
    IF(purpose="Purchase",1.00,
        IF(purpose="Remortgage",1.00,
            1.20)))</f>
        <v/>
      </c>
      <c r="L8421">
        <f>LET(
    arrears_months,'Loan Tape (S&amp;P)'!AN8421,
    IF(arrears_months=0,1.00,
    IF(arrears_months=1,3.00,
    IF(arrears_months=2,5.00,
    IF(arrears_months=3,8.00,
    IF(arrears_months=4,10.00,
    IF(arrears_months=5,12.00,15.00)))))))</f>
        <v/>
      </c>
      <c r="M8421">
        <f>LET(
    seasoning_years,DATEDIF('Loan Tape (S&amp;P)'!K8421,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21">
        <f>IF(AND('Loan Tape (S&amp;P)'!U8421="Yes",
        'Loan Tape (S&amp;P)'!T8421&lt;&gt;"Yes",
        DATEDIF('Loan Tape (S&amp;P)'!K8421, TODAY(), "M")&lt;18),
    1.10,
    1.00)</f>
        <v/>
      </c>
      <c r="O8421">
        <f>IF('Loan Tape (S&amp;P)'!T8421="Yes",
    1.35,
    1.00)</f>
        <v/>
      </c>
      <c r="P8421">
        <f>IF('Loan Tape (S&amp;P)'!S8421="Yes",
    1.15,
    1.00)</f>
        <v/>
      </c>
      <c r="Q8421">
        <f>IF('Loan Tape (S&amp;P)'!V8421="Yes",
    1.20,
    1.00)</f>
        <v/>
      </c>
      <c r="T8421">
        <f>LET(
    payment_method,'Loan Tape (S&amp;P)'!P8421,
    occupancy,'Loan Tape (S&amp;P)'!N8421,
    maturity_date,'Loan Tape (S&amp;P)'!L8421,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22">
      <c r="J8422">
        <f>LET(
    lien,'Loan Tape (S&amp;P)'!Q8422,
    IF(lien="First",1.00,
        IF(lien="Second",1.50,
            1.70)))</f>
        <v/>
      </c>
      <c r="K8422">
        <f>LET(
    purpose,'Loan Tape (S&amp;P)'!R8422,
    IF(purpose="Purchase",1.00,
        IF(purpose="Remortgage",1.00,
            1.20)))</f>
        <v/>
      </c>
      <c r="L8422">
        <f>LET(
    arrears_months,'Loan Tape (S&amp;P)'!AN8422,
    IF(arrears_months=0,1.00,
    IF(arrears_months=1,3.00,
    IF(arrears_months=2,5.00,
    IF(arrears_months=3,8.00,
    IF(arrears_months=4,10.00,
    IF(arrears_months=5,12.00,15.00)))))))</f>
        <v/>
      </c>
      <c r="M8422">
        <f>LET(
    seasoning_years,DATEDIF('Loan Tape (S&amp;P)'!K8422,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22">
        <f>IF(AND('Loan Tape (S&amp;P)'!U8422="Yes",
        'Loan Tape (S&amp;P)'!T8422&lt;&gt;"Yes",
        DATEDIF('Loan Tape (S&amp;P)'!K8422, TODAY(), "M")&lt;18),
    1.10,
    1.00)</f>
        <v/>
      </c>
      <c r="O8422">
        <f>IF('Loan Tape (S&amp;P)'!T8422="Yes",
    1.35,
    1.00)</f>
        <v/>
      </c>
      <c r="P8422">
        <f>IF('Loan Tape (S&amp;P)'!S8422="Yes",
    1.15,
    1.00)</f>
        <v/>
      </c>
      <c r="Q8422">
        <f>IF('Loan Tape (S&amp;P)'!V8422="Yes",
    1.20,
    1.00)</f>
        <v/>
      </c>
      <c r="T8422">
        <f>LET(
    payment_method,'Loan Tape (S&amp;P)'!P8422,
    occupancy,'Loan Tape (S&amp;P)'!N8422,
    maturity_date,'Loan Tape (S&amp;P)'!L8422,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23">
      <c r="J8423">
        <f>LET(
    lien,'Loan Tape (S&amp;P)'!Q8423,
    IF(lien="First",1.00,
        IF(lien="Second",1.50,
            1.70)))</f>
        <v/>
      </c>
      <c r="K8423">
        <f>LET(
    purpose,'Loan Tape (S&amp;P)'!R8423,
    IF(purpose="Purchase",1.00,
        IF(purpose="Remortgage",1.00,
            1.20)))</f>
        <v/>
      </c>
      <c r="L8423">
        <f>LET(
    arrears_months,'Loan Tape (S&amp;P)'!AN8423,
    IF(arrears_months=0,1.00,
    IF(arrears_months=1,3.00,
    IF(arrears_months=2,5.00,
    IF(arrears_months=3,8.00,
    IF(arrears_months=4,10.00,
    IF(arrears_months=5,12.00,15.00)))))))</f>
        <v/>
      </c>
      <c r="M8423">
        <f>LET(
    seasoning_years,DATEDIF('Loan Tape (S&amp;P)'!K8423,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23">
        <f>IF(AND('Loan Tape (S&amp;P)'!U8423="Yes",
        'Loan Tape (S&amp;P)'!T8423&lt;&gt;"Yes",
        DATEDIF('Loan Tape (S&amp;P)'!K8423, TODAY(), "M")&lt;18),
    1.10,
    1.00)</f>
        <v/>
      </c>
      <c r="O8423">
        <f>IF('Loan Tape (S&amp;P)'!T8423="Yes",
    1.35,
    1.00)</f>
        <v/>
      </c>
      <c r="P8423">
        <f>IF('Loan Tape (S&amp;P)'!S8423="Yes",
    1.15,
    1.00)</f>
        <v/>
      </c>
      <c r="Q8423">
        <f>IF('Loan Tape (S&amp;P)'!V8423="Yes",
    1.20,
    1.00)</f>
        <v/>
      </c>
      <c r="T8423">
        <f>LET(
    payment_method,'Loan Tape (S&amp;P)'!P8423,
    occupancy,'Loan Tape (S&amp;P)'!N8423,
    maturity_date,'Loan Tape (S&amp;P)'!L8423,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24">
      <c r="J8424">
        <f>LET(
    lien,'Loan Tape (S&amp;P)'!Q8424,
    IF(lien="First",1.00,
        IF(lien="Second",1.50,
            1.70)))</f>
        <v/>
      </c>
      <c r="K8424">
        <f>LET(
    purpose,'Loan Tape (S&amp;P)'!R8424,
    IF(purpose="Purchase",1.00,
        IF(purpose="Remortgage",1.00,
            1.20)))</f>
        <v/>
      </c>
      <c r="L8424">
        <f>LET(
    arrears_months,'Loan Tape (S&amp;P)'!AN8424,
    IF(arrears_months=0,1.00,
    IF(arrears_months=1,3.00,
    IF(arrears_months=2,5.00,
    IF(arrears_months=3,8.00,
    IF(arrears_months=4,10.00,
    IF(arrears_months=5,12.00,15.00)))))))</f>
        <v/>
      </c>
      <c r="M8424">
        <f>LET(
    seasoning_years,DATEDIF('Loan Tape (S&amp;P)'!K8424,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24">
        <f>IF(AND('Loan Tape (S&amp;P)'!U8424="Yes",
        'Loan Tape (S&amp;P)'!T8424&lt;&gt;"Yes",
        DATEDIF('Loan Tape (S&amp;P)'!K8424, TODAY(), "M")&lt;18),
    1.10,
    1.00)</f>
        <v/>
      </c>
      <c r="O8424">
        <f>IF('Loan Tape (S&amp;P)'!T8424="Yes",
    1.35,
    1.00)</f>
        <v/>
      </c>
      <c r="P8424">
        <f>IF('Loan Tape (S&amp;P)'!S8424="Yes",
    1.15,
    1.00)</f>
        <v/>
      </c>
      <c r="Q8424">
        <f>IF('Loan Tape (S&amp;P)'!V8424="Yes",
    1.20,
    1.00)</f>
        <v/>
      </c>
      <c r="T8424">
        <f>LET(
    payment_method,'Loan Tape (S&amp;P)'!P8424,
    occupancy,'Loan Tape (S&amp;P)'!N8424,
    maturity_date,'Loan Tape (S&amp;P)'!L8424,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25">
      <c r="J8425">
        <f>LET(
    lien,'Loan Tape (S&amp;P)'!Q8425,
    IF(lien="First",1.00,
        IF(lien="Second",1.50,
            1.70)))</f>
        <v/>
      </c>
      <c r="K8425">
        <f>LET(
    purpose,'Loan Tape (S&amp;P)'!R8425,
    IF(purpose="Purchase",1.00,
        IF(purpose="Remortgage",1.00,
            1.20)))</f>
        <v/>
      </c>
      <c r="L8425">
        <f>LET(
    arrears_months,'Loan Tape (S&amp;P)'!AN8425,
    IF(arrears_months=0,1.00,
    IF(arrears_months=1,3.00,
    IF(arrears_months=2,5.00,
    IF(arrears_months=3,8.00,
    IF(arrears_months=4,10.00,
    IF(arrears_months=5,12.00,15.00)))))))</f>
        <v/>
      </c>
      <c r="M8425">
        <f>LET(
    seasoning_years,DATEDIF('Loan Tape (S&amp;P)'!K8425,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25">
        <f>IF(AND('Loan Tape (S&amp;P)'!U8425="Yes",
        'Loan Tape (S&amp;P)'!T8425&lt;&gt;"Yes",
        DATEDIF('Loan Tape (S&amp;P)'!K8425, TODAY(), "M")&lt;18),
    1.10,
    1.00)</f>
        <v/>
      </c>
      <c r="O8425">
        <f>IF('Loan Tape (S&amp;P)'!T8425="Yes",
    1.35,
    1.00)</f>
        <v/>
      </c>
      <c r="P8425">
        <f>IF('Loan Tape (S&amp;P)'!S8425="Yes",
    1.15,
    1.00)</f>
        <v/>
      </c>
      <c r="Q8425">
        <f>IF('Loan Tape (S&amp;P)'!V8425="Yes",
    1.20,
    1.00)</f>
        <v/>
      </c>
      <c r="T8425">
        <f>LET(
    payment_method,'Loan Tape (S&amp;P)'!P8425,
    occupancy,'Loan Tape (S&amp;P)'!N8425,
    maturity_date,'Loan Tape (S&amp;P)'!L8425,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26">
      <c r="J8426">
        <f>LET(
    lien,'Loan Tape (S&amp;P)'!Q8426,
    IF(lien="First",1.00,
        IF(lien="Second",1.50,
            1.70)))</f>
        <v/>
      </c>
      <c r="K8426">
        <f>LET(
    purpose,'Loan Tape (S&amp;P)'!R8426,
    IF(purpose="Purchase",1.00,
        IF(purpose="Remortgage",1.00,
            1.20)))</f>
        <v/>
      </c>
      <c r="L8426">
        <f>LET(
    arrears_months,'Loan Tape (S&amp;P)'!AN8426,
    IF(arrears_months=0,1.00,
    IF(arrears_months=1,3.00,
    IF(arrears_months=2,5.00,
    IF(arrears_months=3,8.00,
    IF(arrears_months=4,10.00,
    IF(arrears_months=5,12.00,15.00)))))))</f>
        <v/>
      </c>
      <c r="M8426">
        <f>LET(
    seasoning_years,DATEDIF('Loan Tape (S&amp;P)'!K8426,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26">
        <f>IF(AND('Loan Tape (S&amp;P)'!U8426="Yes",
        'Loan Tape (S&amp;P)'!T8426&lt;&gt;"Yes",
        DATEDIF('Loan Tape (S&amp;P)'!K8426, TODAY(), "M")&lt;18),
    1.10,
    1.00)</f>
        <v/>
      </c>
      <c r="O8426">
        <f>IF('Loan Tape (S&amp;P)'!T8426="Yes",
    1.35,
    1.00)</f>
        <v/>
      </c>
      <c r="P8426">
        <f>IF('Loan Tape (S&amp;P)'!S8426="Yes",
    1.15,
    1.00)</f>
        <v/>
      </c>
      <c r="Q8426">
        <f>IF('Loan Tape (S&amp;P)'!V8426="Yes",
    1.20,
    1.00)</f>
        <v/>
      </c>
      <c r="T8426">
        <f>LET(
    payment_method,'Loan Tape (S&amp;P)'!P8426,
    occupancy,'Loan Tape (S&amp;P)'!N8426,
    maturity_date,'Loan Tape (S&amp;P)'!L8426,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27">
      <c r="J8427">
        <f>LET(
    lien,'Loan Tape (S&amp;P)'!Q8427,
    IF(lien="First",1.00,
        IF(lien="Second",1.50,
            1.70)))</f>
        <v/>
      </c>
      <c r="K8427">
        <f>LET(
    purpose,'Loan Tape (S&amp;P)'!R8427,
    IF(purpose="Purchase",1.00,
        IF(purpose="Remortgage",1.00,
            1.20)))</f>
        <v/>
      </c>
      <c r="L8427">
        <f>LET(
    arrears_months,'Loan Tape (S&amp;P)'!AN8427,
    IF(arrears_months=0,1.00,
    IF(arrears_months=1,3.00,
    IF(arrears_months=2,5.00,
    IF(arrears_months=3,8.00,
    IF(arrears_months=4,10.00,
    IF(arrears_months=5,12.00,15.00)))))))</f>
        <v/>
      </c>
      <c r="M8427">
        <f>LET(
    seasoning_years,DATEDIF('Loan Tape (S&amp;P)'!K8427,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27">
        <f>IF(AND('Loan Tape (S&amp;P)'!U8427="Yes",
        'Loan Tape (S&amp;P)'!T8427&lt;&gt;"Yes",
        DATEDIF('Loan Tape (S&amp;P)'!K8427, TODAY(), "M")&lt;18),
    1.10,
    1.00)</f>
        <v/>
      </c>
      <c r="O8427">
        <f>IF('Loan Tape (S&amp;P)'!T8427="Yes",
    1.35,
    1.00)</f>
        <v/>
      </c>
      <c r="P8427">
        <f>IF('Loan Tape (S&amp;P)'!S8427="Yes",
    1.15,
    1.00)</f>
        <v/>
      </c>
      <c r="Q8427">
        <f>IF('Loan Tape (S&amp;P)'!V8427="Yes",
    1.20,
    1.00)</f>
        <v/>
      </c>
      <c r="T8427">
        <f>LET(
    payment_method,'Loan Tape (S&amp;P)'!P8427,
    occupancy,'Loan Tape (S&amp;P)'!N8427,
    maturity_date,'Loan Tape (S&amp;P)'!L8427,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28">
      <c r="J8428">
        <f>LET(
    lien,'Loan Tape (S&amp;P)'!Q8428,
    IF(lien="First",1.00,
        IF(lien="Second",1.50,
            1.70)))</f>
        <v/>
      </c>
      <c r="K8428">
        <f>LET(
    purpose,'Loan Tape (S&amp;P)'!R8428,
    IF(purpose="Purchase",1.00,
        IF(purpose="Remortgage",1.00,
            1.20)))</f>
        <v/>
      </c>
      <c r="L8428">
        <f>LET(
    arrears_months,'Loan Tape (S&amp;P)'!AN8428,
    IF(arrears_months=0,1.00,
    IF(arrears_months=1,3.00,
    IF(arrears_months=2,5.00,
    IF(arrears_months=3,8.00,
    IF(arrears_months=4,10.00,
    IF(arrears_months=5,12.00,15.00)))))))</f>
        <v/>
      </c>
      <c r="M8428">
        <f>LET(
    seasoning_years,DATEDIF('Loan Tape (S&amp;P)'!K8428,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28">
        <f>IF(AND('Loan Tape (S&amp;P)'!U8428="Yes",
        'Loan Tape (S&amp;P)'!T8428&lt;&gt;"Yes",
        DATEDIF('Loan Tape (S&amp;P)'!K8428, TODAY(), "M")&lt;18),
    1.10,
    1.00)</f>
        <v/>
      </c>
      <c r="O8428">
        <f>IF('Loan Tape (S&amp;P)'!T8428="Yes",
    1.35,
    1.00)</f>
        <v/>
      </c>
      <c r="P8428">
        <f>IF('Loan Tape (S&amp;P)'!S8428="Yes",
    1.15,
    1.00)</f>
        <v/>
      </c>
      <c r="Q8428">
        <f>IF('Loan Tape (S&amp;P)'!V8428="Yes",
    1.20,
    1.00)</f>
        <v/>
      </c>
      <c r="T8428">
        <f>LET(
    payment_method,'Loan Tape (S&amp;P)'!P8428,
    occupancy,'Loan Tape (S&amp;P)'!N8428,
    maturity_date,'Loan Tape (S&amp;P)'!L8428,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29">
      <c r="J8429">
        <f>LET(
    lien,'Loan Tape (S&amp;P)'!Q8429,
    IF(lien="First",1.00,
        IF(lien="Second",1.50,
            1.70)))</f>
        <v/>
      </c>
      <c r="K8429">
        <f>LET(
    purpose,'Loan Tape (S&amp;P)'!R8429,
    IF(purpose="Purchase",1.00,
        IF(purpose="Remortgage",1.00,
            1.20)))</f>
        <v/>
      </c>
      <c r="L8429">
        <f>LET(
    arrears_months,'Loan Tape (S&amp;P)'!AN8429,
    IF(arrears_months=0,1.00,
    IF(arrears_months=1,3.00,
    IF(arrears_months=2,5.00,
    IF(arrears_months=3,8.00,
    IF(arrears_months=4,10.00,
    IF(arrears_months=5,12.00,15.00)))))))</f>
        <v/>
      </c>
      <c r="M8429">
        <f>LET(
    seasoning_years,DATEDIF('Loan Tape (S&amp;P)'!K8429,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29">
        <f>IF(AND('Loan Tape (S&amp;P)'!U8429="Yes",
        'Loan Tape (S&amp;P)'!T8429&lt;&gt;"Yes",
        DATEDIF('Loan Tape (S&amp;P)'!K8429, TODAY(), "M")&lt;18),
    1.10,
    1.00)</f>
        <v/>
      </c>
      <c r="O8429">
        <f>IF('Loan Tape (S&amp;P)'!T8429="Yes",
    1.35,
    1.00)</f>
        <v/>
      </c>
      <c r="P8429">
        <f>IF('Loan Tape (S&amp;P)'!S8429="Yes",
    1.15,
    1.00)</f>
        <v/>
      </c>
      <c r="Q8429">
        <f>IF('Loan Tape (S&amp;P)'!V8429="Yes",
    1.20,
    1.00)</f>
        <v/>
      </c>
      <c r="T8429">
        <f>LET(
    payment_method,'Loan Tape (S&amp;P)'!P8429,
    occupancy,'Loan Tape (S&amp;P)'!N8429,
    maturity_date,'Loan Tape (S&amp;P)'!L8429,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30">
      <c r="J8430">
        <f>LET(
    lien,'Loan Tape (S&amp;P)'!Q8430,
    IF(lien="First",1.00,
        IF(lien="Second",1.50,
            1.70)))</f>
        <v/>
      </c>
      <c r="K8430">
        <f>LET(
    purpose,'Loan Tape (S&amp;P)'!R8430,
    IF(purpose="Purchase",1.00,
        IF(purpose="Remortgage",1.00,
            1.20)))</f>
        <v/>
      </c>
      <c r="L8430">
        <f>LET(
    arrears_months,'Loan Tape (S&amp;P)'!AN8430,
    IF(arrears_months=0,1.00,
    IF(arrears_months=1,3.00,
    IF(arrears_months=2,5.00,
    IF(arrears_months=3,8.00,
    IF(arrears_months=4,10.00,
    IF(arrears_months=5,12.00,15.00)))))))</f>
        <v/>
      </c>
      <c r="M8430">
        <f>LET(
    seasoning_years,DATEDIF('Loan Tape (S&amp;P)'!K8430,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30">
        <f>IF(AND('Loan Tape (S&amp;P)'!U8430="Yes",
        'Loan Tape (S&amp;P)'!T8430&lt;&gt;"Yes",
        DATEDIF('Loan Tape (S&amp;P)'!K8430, TODAY(), "M")&lt;18),
    1.10,
    1.00)</f>
        <v/>
      </c>
      <c r="O8430">
        <f>IF('Loan Tape (S&amp;P)'!T8430="Yes",
    1.35,
    1.00)</f>
        <v/>
      </c>
      <c r="P8430">
        <f>IF('Loan Tape (S&amp;P)'!S8430="Yes",
    1.15,
    1.00)</f>
        <v/>
      </c>
      <c r="Q8430">
        <f>IF('Loan Tape (S&amp;P)'!V8430="Yes",
    1.20,
    1.00)</f>
        <v/>
      </c>
      <c r="T8430">
        <f>LET(
    payment_method,'Loan Tape (S&amp;P)'!P8430,
    occupancy,'Loan Tape (S&amp;P)'!N8430,
    maturity_date,'Loan Tape (S&amp;P)'!L8430,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31">
      <c r="J8431">
        <f>LET(
    lien,'Loan Tape (S&amp;P)'!Q8431,
    IF(lien="First",1.00,
        IF(lien="Second",1.50,
            1.70)))</f>
        <v/>
      </c>
      <c r="K8431">
        <f>LET(
    purpose,'Loan Tape (S&amp;P)'!R8431,
    IF(purpose="Purchase",1.00,
        IF(purpose="Remortgage",1.00,
            1.20)))</f>
        <v/>
      </c>
      <c r="L8431">
        <f>LET(
    arrears_months,'Loan Tape (S&amp;P)'!AN8431,
    IF(arrears_months=0,1.00,
    IF(arrears_months=1,3.00,
    IF(arrears_months=2,5.00,
    IF(arrears_months=3,8.00,
    IF(arrears_months=4,10.00,
    IF(arrears_months=5,12.00,15.00)))))))</f>
        <v/>
      </c>
      <c r="M8431">
        <f>LET(
    seasoning_years,DATEDIF('Loan Tape (S&amp;P)'!K8431,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31">
        <f>IF(AND('Loan Tape (S&amp;P)'!U8431="Yes",
        'Loan Tape (S&amp;P)'!T8431&lt;&gt;"Yes",
        DATEDIF('Loan Tape (S&amp;P)'!K8431, TODAY(), "M")&lt;18),
    1.10,
    1.00)</f>
        <v/>
      </c>
      <c r="O8431">
        <f>IF('Loan Tape (S&amp;P)'!T8431="Yes",
    1.35,
    1.00)</f>
        <v/>
      </c>
      <c r="P8431">
        <f>IF('Loan Tape (S&amp;P)'!S8431="Yes",
    1.15,
    1.00)</f>
        <v/>
      </c>
      <c r="Q8431">
        <f>IF('Loan Tape (S&amp;P)'!V8431="Yes",
    1.20,
    1.00)</f>
        <v/>
      </c>
      <c r="T8431">
        <f>LET(
    payment_method,'Loan Tape (S&amp;P)'!P8431,
    occupancy,'Loan Tape (S&amp;P)'!N8431,
    maturity_date,'Loan Tape (S&amp;P)'!L8431,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32">
      <c r="J8432">
        <f>LET(
    lien,'Loan Tape (S&amp;P)'!Q8432,
    IF(lien="First",1.00,
        IF(lien="Second",1.50,
            1.70)))</f>
        <v/>
      </c>
      <c r="K8432">
        <f>LET(
    purpose,'Loan Tape (S&amp;P)'!R8432,
    IF(purpose="Purchase",1.00,
        IF(purpose="Remortgage",1.00,
            1.20)))</f>
        <v/>
      </c>
      <c r="L8432">
        <f>LET(
    arrears_months,'Loan Tape (S&amp;P)'!AN8432,
    IF(arrears_months=0,1.00,
    IF(arrears_months=1,3.00,
    IF(arrears_months=2,5.00,
    IF(arrears_months=3,8.00,
    IF(arrears_months=4,10.00,
    IF(arrears_months=5,12.00,15.00)))))))</f>
        <v/>
      </c>
      <c r="M8432">
        <f>LET(
    seasoning_years,DATEDIF('Loan Tape (S&amp;P)'!K8432,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32">
        <f>IF(AND('Loan Tape (S&amp;P)'!U8432="Yes",
        'Loan Tape (S&amp;P)'!T8432&lt;&gt;"Yes",
        DATEDIF('Loan Tape (S&amp;P)'!K8432, TODAY(), "M")&lt;18),
    1.10,
    1.00)</f>
        <v/>
      </c>
      <c r="O8432">
        <f>IF('Loan Tape (S&amp;P)'!T8432="Yes",
    1.35,
    1.00)</f>
        <v/>
      </c>
      <c r="P8432">
        <f>IF('Loan Tape (S&amp;P)'!S8432="Yes",
    1.15,
    1.00)</f>
        <v/>
      </c>
      <c r="Q8432">
        <f>IF('Loan Tape (S&amp;P)'!V8432="Yes",
    1.20,
    1.00)</f>
        <v/>
      </c>
      <c r="T8432">
        <f>LET(
    payment_method,'Loan Tape (S&amp;P)'!P8432,
    occupancy,'Loan Tape (S&amp;P)'!N8432,
    maturity_date,'Loan Tape (S&amp;P)'!L8432,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33">
      <c r="J8433">
        <f>LET(
    lien,'Loan Tape (S&amp;P)'!Q8433,
    IF(lien="First",1.00,
        IF(lien="Second",1.50,
            1.70)))</f>
        <v/>
      </c>
      <c r="K8433">
        <f>LET(
    purpose,'Loan Tape (S&amp;P)'!R8433,
    IF(purpose="Purchase",1.00,
        IF(purpose="Remortgage",1.00,
            1.20)))</f>
        <v/>
      </c>
      <c r="L8433">
        <f>LET(
    arrears_months,'Loan Tape (S&amp;P)'!AN8433,
    IF(arrears_months=0,1.00,
    IF(arrears_months=1,3.00,
    IF(arrears_months=2,5.00,
    IF(arrears_months=3,8.00,
    IF(arrears_months=4,10.00,
    IF(arrears_months=5,12.00,15.00)))))))</f>
        <v/>
      </c>
      <c r="M8433">
        <f>LET(
    seasoning_years,DATEDIF('Loan Tape (S&amp;P)'!K8433,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33">
        <f>IF(AND('Loan Tape (S&amp;P)'!U8433="Yes",
        'Loan Tape (S&amp;P)'!T8433&lt;&gt;"Yes",
        DATEDIF('Loan Tape (S&amp;P)'!K8433, TODAY(), "M")&lt;18),
    1.10,
    1.00)</f>
        <v/>
      </c>
      <c r="O8433">
        <f>IF('Loan Tape (S&amp;P)'!T8433="Yes",
    1.35,
    1.00)</f>
        <v/>
      </c>
      <c r="P8433">
        <f>IF('Loan Tape (S&amp;P)'!S8433="Yes",
    1.15,
    1.00)</f>
        <v/>
      </c>
      <c r="Q8433">
        <f>IF('Loan Tape (S&amp;P)'!V8433="Yes",
    1.20,
    1.00)</f>
        <v/>
      </c>
      <c r="T8433">
        <f>LET(
    payment_method,'Loan Tape (S&amp;P)'!P8433,
    occupancy,'Loan Tape (S&amp;P)'!N8433,
    maturity_date,'Loan Tape (S&amp;P)'!L8433,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34">
      <c r="J8434">
        <f>LET(
    lien,'Loan Tape (S&amp;P)'!Q8434,
    IF(lien="First",1.00,
        IF(lien="Second",1.50,
            1.70)))</f>
        <v/>
      </c>
      <c r="K8434">
        <f>LET(
    purpose,'Loan Tape (S&amp;P)'!R8434,
    IF(purpose="Purchase",1.00,
        IF(purpose="Remortgage",1.00,
            1.20)))</f>
        <v/>
      </c>
      <c r="L8434">
        <f>LET(
    arrears_months,'Loan Tape (S&amp;P)'!AN8434,
    IF(arrears_months=0,1.00,
    IF(arrears_months=1,3.00,
    IF(arrears_months=2,5.00,
    IF(arrears_months=3,8.00,
    IF(arrears_months=4,10.00,
    IF(arrears_months=5,12.00,15.00)))))))</f>
        <v/>
      </c>
      <c r="M8434">
        <f>LET(
    seasoning_years,DATEDIF('Loan Tape (S&amp;P)'!K8434,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34">
        <f>IF(AND('Loan Tape (S&amp;P)'!U8434="Yes",
        'Loan Tape (S&amp;P)'!T8434&lt;&gt;"Yes",
        DATEDIF('Loan Tape (S&amp;P)'!K8434, TODAY(), "M")&lt;18),
    1.10,
    1.00)</f>
        <v/>
      </c>
      <c r="O8434">
        <f>IF('Loan Tape (S&amp;P)'!T8434="Yes",
    1.35,
    1.00)</f>
        <v/>
      </c>
      <c r="P8434">
        <f>IF('Loan Tape (S&amp;P)'!S8434="Yes",
    1.15,
    1.00)</f>
        <v/>
      </c>
      <c r="Q8434">
        <f>IF('Loan Tape (S&amp;P)'!V8434="Yes",
    1.20,
    1.00)</f>
        <v/>
      </c>
      <c r="T8434">
        <f>LET(
    payment_method,'Loan Tape (S&amp;P)'!P8434,
    occupancy,'Loan Tape (S&amp;P)'!N8434,
    maturity_date,'Loan Tape (S&amp;P)'!L8434,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35">
      <c r="J8435">
        <f>LET(
    lien,'Loan Tape (S&amp;P)'!Q8435,
    IF(lien="First",1.00,
        IF(lien="Second",1.50,
            1.70)))</f>
        <v/>
      </c>
      <c r="K8435">
        <f>LET(
    purpose,'Loan Tape (S&amp;P)'!R8435,
    IF(purpose="Purchase",1.00,
        IF(purpose="Remortgage",1.00,
            1.20)))</f>
        <v/>
      </c>
      <c r="L8435">
        <f>LET(
    arrears_months,'Loan Tape (S&amp;P)'!AN8435,
    IF(arrears_months=0,1.00,
    IF(arrears_months=1,3.00,
    IF(arrears_months=2,5.00,
    IF(arrears_months=3,8.00,
    IF(arrears_months=4,10.00,
    IF(arrears_months=5,12.00,15.00)))))))</f>
        <v/>
      </c>
      <c r="M8435">
        <f>LET(
    seasoning_years,DATEDIF('Loan Tape (S&amp;P)'!K8435,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35">
        <f>IF(AND('Loan Tape (S&amp;P)'!U8435="Yes",
        'Loan Tape (S&amp;P)'!T8435&lt;&gt;"Yes",
        DATEDIF('Loan Tape (S&amp;P)'!K8435, TODAY(), "M")&lt;18),
    1.10,
    1.00)</f>
        <v/>
      </c>
      <c r="O8435">
        <f>IF('Loan Tape (S&amp;P)'!T8435="Yes",
    1.35,
    1.00)</f>
        <v/>
      </c>
      <c r="P8435">
        <f>IF('Loan Tape (S&amp;P)'!S8435="Yes",
    1.15,
    1.00)</f>
        <v/>
      </c>
      <c r="Q8435">
        <f>IF('Loan Tape (S&amp;P)'!V8435="Yes",
    1.20,
    1.00)</f>
        <v/>
      </c>
      <c r="T8435">
        <f>LET(
    payment_method,'Loan Tape (S&amp;P)'!P8435,
    occupancy,'Loan Tape (S&amp;P)'!N8435,
    maturity_date,'Loan Tape (S&amp;P)'!L8435,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36">
      <c r="J8436">
        <f>LET(
    lien,'Loan Tape (S&amp;P)'!Q8436,
    IF(lien="First",1.00,
        IF(lien="Second",1.50,
            1.70)))</f>
        <v/>
      </c>
      <c r="K8436">
        <f>LET(
    purpose,'Loan Tape (S&amp;P)'!R8436,
    IF(purpose="Purchase",1.00,
        IF(purpose="Remortgage",1.00,
            1.20)))</f>
        <v/>
      </c>
      <c r="L8436">
        <f>LET(
    arrears_months,'Loan Tape (S&amp;P)'!AN8436,
    IF(arrears_months=0,1.00,
    IF(arrears_months=1,3.00,
    IF(arrears_months=2,5.00,
    IF(arrears_months=3,8.00,
    IF(arrears_months=4,10.00,
    IF(arrears_months=5,12.00,15.00)))))))</f>
        <v/>
      </c>
      <c r="M8436">
        <f>LET(
    seasoning_years,DATEDIF('Loan Tape (S&amp;P)'!K8436,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36">
        <f>IF(AND('Loan Tape (S&amp;P)'!U8436="Yes",
        'Loan Tape (S&amp;P)'!T8436&lt;&gt;"Yes",
        DATEDIF('Loan Tape (S&amp;P)'!K8436, TODAY(), "M")&lt;18),
    1.10,
    1.00)</f>
        <v/>
      </c>
      <c r="O8436">
        <f>IF('Loan Tape (S&amp;P)'!T8436="Yes",
    1.35,
    1.00)</f>
        <v/>
      </c>
      <c r="P8436">
        <f>IF('Loan Tape (S&amp;P)'!S8436="Yes",
    1.15,
    1.00)</f>
        <v/>
      </c>
      <c r="Q8436">
        <f>IF('Loan Tape (S&amp;P)'!V8436="Yes",
    1.20,
    1.00)</f>
        <v/>
      </c>
      <c r="T8436">
        <f>LET(
    payment_method,'Loan Tape (S&amp;P)'!P8436,
    occupancy,'Loan Tape (S&amp;P)'!N8436,
    maturity_date,'Loan Tape (S&amp;P)'!L8436,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37">
      <c r="J8437">
        <f>LET(
    lien,'Loan Tape (S&amp;P)'!Q8437,
    IF(lien="First",1.00,
        IF(lien="Second",1.50,
            1.70)))</f>
        <v/>
      </c>
      <c r="K8437">
        <f>LET(
    purpose,'Loan Tape (S&amp;P)'!R8437,
    IF(purpose="Purchase",1.00,
        IF(purpose="Remortgage",1.00,
            1.20)))</f>
        <v/>
      </c>
      <c r="L8437">
        <f>LET(
    arrears_months,'Loan Tape (S&amp;P)'!AN8437,
    IF(arrears_months=0,1.00,
    IF(arrears_months=1,3.00,
    IF(arrears_months=2,5.00,
    IF(arrears_months=3,8.00,
    IF(arrears_months=4,10.00,
    IF(arrears_months=5,12.00,15.00)))))))</f>
        <v/>
      </c>
      <c r="M8437">
        <f>LET(
    seasoning_years,DATEDIF('Loan Tape (S&amp;P)'!K8437,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37">
        <f>IF(AND('Loan Tape (S&amp;P)'!U8437="Yes",
        'Loan Tape (S&amp;P)'!T8437&lt;&gt;"Yes",
        DATEDIF('Loan Tape (S&amp;P)'!K8437, TODAY(), "M")&lt;18),
    1.10,
    1.00)</f>
        <v/>
      </c>
      <c r="O8437">
        <f>IF('Loan Tape (S&amp;P)'!T8437="Yes",
    1.35,
    1.00)</f>
        <v/>
      </c>
      <c r="P8437">
        <f>IF('Loan Tape (S&amp;P)'!S8437="Yes",
    1.15,
    1.00)</f>
        <v/>
      </c>
      <c r="Q8437">
        <f>IF('Loan Tape (S&amp;P)'!V8437="Yes",
    1.20,
    1.00)</f>
        <v/>
      </c>
      <c r="T8437">
        <f>LET(
    payment_method,'Loan Tape (S&amp;P)'!P8437,
    occupancy,'Loan Tape (S&amp;P)'!N8437,
    maturity_date,'Loan Tape (S&amp;P)'!L8437,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38">
      <c r="J8438">
        <f>LET(
    lien,'Loan Tape (S&amp;P)'!Q8438,
    IF(lien="First",1.00,
        IF(lien="Second",1.50,
            1.70)))</f>
        <v/>
      </c>
      <c r="K8438">
        <f>LET(
    purpose,'Loan Tape (S&amp;P)'!R8438,
    IF(purpose="Purchase",1.00,
        IF(purpose="Remortgage",1.00,
            1.20)))</f>
        <v/>
      </c>
      <c r="L8438">
        <f>LET(
    arrears_months,'Loan Tape (S&amp;P)'!AN8438,
    IF(arrears_months=0,1.00,
    IF(arrears_months=1,3.00,
    IF(arrears_months=2,5.00,
    IF(arrears_months=3,8.00,
    IF(arrears_months=4,10.00,
    IF(arrears_months=5,12.00,15.00)))))))</f>
        <v/>
      </c>
      <c r="M8438">
        <f>LET(
    seasoning_years,DATEDIF('Loan Tape (S&amp;P)'!K8438,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38">
        <f>IF(AND('Loan Tape (S&amp;P)'!U8438="Yes",
        'Loan Tape (S&amp;P)'!T8438&lt;&gt;"Yes",
        DATEDIF('Loan Tape (S&amp;P)'!K8438, TODAY(), "M")&lt;18),
    1.10,
    1.00)</f>
        <v/>
      </c>
      <c r="O8438">
        <f>IF('Loan Tape (S&amp;P)'!T8438="Yes",
    1.35,
    1.00)</f>
        <v/>
      </c>
      <c r="P8438">
        <f>IF('Loan Tape (S&amp;P)'!S8438="Yes",
    1.15,
    1.00)</f>
        <v/>
      </c>
      <c r="Q8438">
        <f>IF('Loan Tape (S&amp;P)'!V8438="Yes",
    1.20,
    1.00)</f>
        <v/>
      </c>
      <c r="T8438">
        <f>LET(
    payment_method,'Loan Tape (S&amp;P)'!P8438,
    occupancy,'Loan Tape (S&amp;P)'!N8438,
    maturity_date,'Loan Tape (S&amp;P)'!L8438,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39">
      <c r="J8439">
        <f>LET(
    lien,'Loan Tape (S&amp;P)'!Q8439,
    IF(lien="First",1.00,
        IF(lien="Second",1.50,
            1.70)))</f>
        <v/>
      </c>
      <c r="K8439">
        <f>LET(
    purpose,'Loan Tape (S&amp;P)'!R8439,
    IF(purpose="Purchase",1.00,
        IF(purpose="Remortgage",1.00,
            1.20)))</f>
        <v/>
      </c>
      <c r="L8439">
        <f>LET(
    arrears_months,'Loan Tape (S&amp;P)'!AN8439,
    IF(arrears_months=0,1.00,
    IF(arrears_months=1,3.00,
    IF(arrears_months=2,5.00,
    IF(arrears_months=3,8.00,
    IF(arrears_months=4,10.00,
    IF(arrears_months=5,12.00,15.00)))))))</f>
        <v/>
      </c>
      <c r="M8439">
        <f>LET(
    seasoning_years,DATEDIF('Loan Tape (S&amp;P)'!K8439,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39">
        <f>IF(AND('Loan Tape (S&amp;P)'!U8439="Yes",
        'Loan Tape (S&amp;P)'!T8439&lt;&gt;"Yes",
        DATEDIF('Loan Tape (S&amp;P)'!K8439, TODAY(), "M")&lt;18),
    1.10,
    1.00)</f>
        <v/>
      </c>
      <c r="O8439">
        <f>IF('Loan Tape (S&amp;P)'!T8439="Yes",
    1.35,
    1.00)</f>
        <v/>
      </c>
      <c r="P8439">
        <f>IF('Loan Tape (S&amp;P)'!S8439="Yes",
    1.15,
    1.00)</f>
        <v/>
      </c>
      <c r="Q8439">
        <f>IF('Loan Tape (S&amp;P)'!V8439="Yes",
    1.20,
    1.00)</f>
        <v/>
      </c>
      <c r="T8439">
        <f>LET(
    payment_method,'Loan Tape (S&amp;P)'!P8439,
    occupancy,'Loan Tape (S&amp;P)'!N8439,
    maturity_date,'Loan Tape (S&amp;P)'!L8439,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40">
      <c r="J8440">
        <f>LET(
    lien,'Loan Tape (S&amp;P)'!Q8440,
    IF(lien="First",1.00,
        IF(lien="Second",1.50,
            1.70)))</f>
        <v/>
      </c>
      <c r="K8440">
        <f>LET(
    purpose,'Loan Tape (S&amp;P)'!R8440,
    IF(purpose="Purchase",1.00,
        IF(purpose="Remortgage",1.00,
            1.20)))</f>
        <v/>
      </c>
      <c r="L8440">
        <f>LET(
    arrears_months,'Loan Tape (S&amp;P)'!AN8440,
    IF(arrears_months=0,1.00,
    IF(arrears_months=1,3.00,
    IF(arrears_months=2,5.00,
    IF(arrears_months=3,8.00,
    IF(arrears_months=4,10.00,
    IF(arrears_months=5,12.00,15.00)))))))</f>
        <v/>
      </c>
      <c r="M8440">
        <f>LET(
    seasoning_years,DATEDIF('Loan Tape (S&amp;P)'!K8440,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40">
        <f>IF(AND('Loan Tape (S&amp;P)'!U8440="Yes",
        'Loan Tape (S&amp;P)'!T8440&lt;&gt;"Yes",
        DATEDIF('Loan Tape (S&amp;P)'!K8440, TODAY(), "M")&lt;18),
    1.10,
    1.00)</f>
        <v/>
      </c>
      <c r="O8440">
        <f>IF('Loan Tape (S&amp;P)'!T8440="Yes",
    1.35,
    1.00)</f>
        <v/>
      </c>
      <c r="P8440">
        <f>IF('Loan Tape (S&amp;P)'!S8440="Yes",
    1.15,
    1.00)</f>
        <v/>
      </c>
      <c r="Q8440">
        <f>IF('Loan Tape (S&amp;P)'!V8440="Yes",
    1.20,
    1.00)</f>
        <v/>
      </c>
      <c r="T8440">
        <f>LET(
    payment_method,'Loan Tape (S&amp;P)'!P8440,
    occupancy,'Loan Tape (S&amp;P)'!N8440,
    maturity_date,'Loan Tape (S&amp;P)'!L8440,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41">
      <c r="J8441">
        <f>LET(
    lien,'Loan Tape (S&amp;P)'!Q8441,
    IF(lien="First",1.00,
        IF(lien="Second",1.50,
            1.70)))</f>
        <v/>
      </c>
      <c r="K8441">
        <f>LET(
    purpose,'Loan Tape (S&amp;P)'!R8441,
    IF(purpose="Purchase",1.00,
        IF(purpose="Remortgage",1.00,
            1.20)))</f>
        <v/>
      </c>
      <c r="L8441">
        <f>LET(
    arrears_months,'Loan Tape (S&amp;P)'!AN8441,
    IF(arrears_months=0,1.00,
    IF(arrears_months=1,3.00,
    IF(arrears_months=2,5.00,
    IF(arrears_months=3,8.00,
    IF(arrears_months=4,10.00,
    IF(arrears_months=5,12.00,15.00)))))))</f>
        <v/>
      </c>
      <c r="M8441">
        <f>LET(
    seasoning_years,DATEDIF('Loan Tape (S&amp;P)'!K8441,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41">
        <f>IF(AND('Loan Tape (S&amp;P)'!U8441="Yes",
        'Loan Tape (S&amp;P)'!T8441&lt;&gt;"Yes",
        DATEDIF('Loan Tape (S&amp;P)'!K8441, TODAY(), "M")&lt;18),
    1.10,
    1.00)</f>
        <v/>
      </c>
      <c r="O8441">
        <f>IF('Loan Tape (S&amp;P)'!T8441="Yes",
    1.35,
    1.00)</f>
        <v/>
      </c>
      <c r="P8441">
        <f>IF('Loan Tape (S&amp;P)'!S8441="Yes",
    1.15,
    1.00)</f>
        <v/>
      </c>
      <c r="Q8441">
        <f>IF('Loan Tape (S&amp;P)'!V8441="Yes",
    1.20,
    1.00)</f>
        <v/>
      </c>
      <c r="T8441">
        <f>LET(
    payment_method,'Loan Tape (S&amp;P)'!P8441,
    occupancy,'Loan Tape (S&amp;P)'!N8441,
    maturity_date,'Loan Tape (S&amp;P)'!L8441,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42">
      <c r="J8442">
        <f>LET(
    lien,'Loan Tape (S&amp;P)'!Q8442,
    IF(lien="First",1.00,
        IF(lien="Second",1.50,
            1.70)))</f>
        <v/>
      </c>
      <c r="K8442">
        <f>LET(
    purpose,'Loan Tape (S&amp;P)'!R8442,
    IF(purpose="Purchase",1.00,
        IF(purpose="Remortgage",1.00,
            1.20)))</f>
        <v/>
      </c>
      <c r="L8442">
        <f>LET(
    arrears_months,'Loan Tape (S&amp;P)'!AN8442,
    IF(arrears_months=0,1.00,
    IF(arrears_months=1,3.00,
    IF(arrears_months=2,5.00,
    IF(arrears_months=3,8.00,
    IF(arrears_months=4,10.00,
    IF(arrears_months=5,12.00,15.00)))))))</f>
        <v/>
      </c>
      <c r="M8442">
        <f>LET(
    seasoning_years,DATEDIF('Loan Tape (S&amp;P)'!K8442,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42">
        <f>IF(AND('Loan Tape (S&amp;P)'!U8442="Yes",
        'Loan Tape (S&amp;P)'!T8442&lt;&gt;"Yes",
        DATEDIF('Loan Tape (S&amp;P)'!K8442, TODAY(), "M")&lt;18),
    1.10,
    1.00)</f>
        <v/>
      </c>
      <c r="O8442">
        <f>IF('Loan Tape (S&amp;P)'!T8442="Yes",
    1.35,
    1.00)</f>
        <v/>
      </c>
      <c r="P8442">
        <f>IF('Loan Tape (S&amp;P)'!S8442="Yes",
    1.15,
    1.00)</f>
        <v/>
      </c>
      <c r="Q8442">
        <f>IF('Loan Tape (S&amp;P)'!V8442="Yes",
    1.20,
    1.00)</f>
        <v/>
      </c>
      <c r="T8442">
        <f>LET(
    payment_method,'Loan Tape (S&amp;P)'!P8442,
    occupancy,'Loan Tape (S&amp;P)'!N8442,
    maturity_date,'Loan Tape (S&amp;P)'!L8442,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43">
      <c r="J8443">
        <f>LET(
    lien,'Loan Tape (S&amp;P)'!Q8443,
    IF(lien="First",1.00,
        IF(lien="Second",1.50,
            1.70)))</f>
        <v/>
      </c>
      <c r="K8443">
        <f>LET(
    purpose,'Loan Tape (S&amp;P)'!R8443,
    IF(purpose="Purchase",1.00,
        IF(purpose="Remortgage",1.00,
            1.20)))</f>
        <v/>
      </c>
      <c r="L8443">
        <f>LET(
    arrears_months,'Loan Tape (S&amp;P)'!AN8443,
    IF(arrears_months=0,1.00,
    IF(arrears_months=1,3.00,
    IF(arrears_months=2,5.00,
    IF(arrears_months=3,8.00,
    IF(arrears_months=4,10.00,
    IF(arrears_months=5,12.00,15.00)))))))</f>
        <v/>
      </c>
      <c r="M8443">
        <f>LET(
    seasoning_years,DATEDIF('Loan Tape (S&amp;P)'!K8443,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43">
        <f>IF(AND('Loan Tape (S&amp;P)'!U8443="Yes",
        'Loan Tape (S&amp;P)'!T8443&lt;&gt;"Yes",
        DATEDIF('Loan Tape (S&amp;P)'!K8443, TODAY(), "M")&lt;18),
    1.10,
    1.00)</f>
        <v/>
      </c>
      <c r="O8443">
        <f>IF('Loan Tape (S&amp;P)'!T8443="Yes",
    1.35,
    1.00)</f>
        <v/>
      </c>
      <c r="P8443">
        <f>IF('Loan Tape (S&amp;P)'!S8443="Yes",
    1.15,
    1.00)</f>
        <v/>
      </c>
      <c r="Q8443">
        <f>IF('Loan Tape (S&amp;P)'!V8443="Yes",
    1.20,
    1.00)</f>
        <v/>
      </c>
      <c r="T8443">
        <f>LET(
    payment_method,'Loan Tape (S&amp;P)'!P8443,
    occupancy,'Loan Tape (S&amp;P)'!N8443,
    maturity_date,'Loan Tape (S&amp;P)'!L8443,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44">
      <c r="J8444">
        <f>LET(
    lien,'Loan Tape (S&amp;P)'!Q8444,
    IF(lien="First",1.00,
        IF(lien="Second",1.50,
            1.70)))</f>
        <v/>
      </c>
      <c r="K8444">
        <f>LET(
    purpose,'Loan Tape (S&amp;P)'!R8444,
    IF(purpose="Purchase",1.00,
        IF(purpose="Remortgage",1.00,
            1.20)))</f>
        <v/>
      </c>
      <c r="L8444">
        <f>LET(
    arrears_months,'Loan Tape (S&amp;P)'!AN8444,
    IF(arrears_months=0,1.00,
    IF(arrears_months=1,3.00,
    IF(arrears_months=2,5.00,
    IF(arrears_months=3,8.00,
    IF(arrears_months=4,10.00,
    IF(arrears_months=5,12.00,15.00)))))))</f>
        <v/>
      </c>
      <c r="M8444">
        <f>LET(
    seasoning_years,DATEDIF('Loan Tape (S&amp;P)'!K8444,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44">
        <f>IF(AND('Loan Tape (S&amp;P)'!U8444="Yes",
        'Loan Tape (S&amp;P)'!T8444&lt;&gt;"Yes",
        DATEDIF('Loan Tape (S&amp;P)'!K8444, TODAY(), "M")&lt;18),
    1.10,
    1.00)</f>
        <v/>
      </c>
      <c r="O8444">
        <f>IF('Loan Tape (S&amp;P)'!T8444="Yes",
    1.35,
    1.00)</f>
        <v/>
      </c>
      <c r="P8444">
        <f>IF('Loan Tape (S&amp;P)'!S8444="Yes",
    1.15,
    1.00)</f>
        <v/>
      </c>
      <c r="Q8444">
        <f>IF('Loan Tape (S&amp;P)'!V8444="Yes",
    1.20,
    1.00)</f>
        <v/>
      </c>
      <c r="T8444">
        <f>LET(
    payment_method,'Loan Tape (S&amp;P)'!P8444,
    occupancy,'Loan Tape (S&amp;P)'!N8444,
    maturity_date,'Loan Tape (S&amp;P)'!L8444,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45">
      <c r="J8445">
        <f>LET(
    lien,'Loan Tape (S&amp;P)'!Q8445,
    IF(lien="First",1.00,
        IF(lien="Second",1.50,
            1.70)))</f>
        <v/>
      </c>
      <c r="K8445">
        <f>LET(
    purpose,'Loan Tape (S&amp;P)'!R8445,
    IF(purpose="Purchase",1.00,
        IF(purpose="Remortgage",1.00,
            1.20)))</f>
        <v/>
      </c>
      <c r="L8445">
        <f>LET(
    arrears_months,'Loan Tape (S&amp;P)'!AN8445,
    IF(arrears_months=0,1.00,
    IF(arrears_months=1,3.00,
    IF(arrears_months=2,5.00,
    IF(arrears_months=3,8.00,
    IF(arrears_months=4,10.00,
    IF(arrears_months=5,12.00,15.00)))))))</f>
        <v/>
      </c>
      <c r="M8445">
        <f>LET(
    seasoning_years,DATEDIF('Loan Tape (S&amp;P)'!K8445,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45">
        <f>IF(AND('Loan Tape (S&amp;P)'!U8445="Yes",
        'Loan Tape (S&amp;P)'!T8445&lt;&gt;"Yes",
        DATEDIF('Loan Tape (S&amp;P)'!K8445, TODAY(), "M")&lt;18),
    1.10,
    1.00)</f>
        <v/>
      </c>
      <c r="O8445">
        <f>IF('Loan Tape (S&amp;P)'!T8445="Yes",
    1.35,
    1.00)</f>
        <v/>
      </c>
      <c r="P8445">
        <f>IF('Loan Tape (S&amp;P)'!S8445="Yes",
    1.15,
    1.00)</f>
        <v/>
      </c>
      <c r="Q8445">
        <f>IF('Loan Tape (S&amp;P)'!V8445="Yes",
    1.20,
    1.00)</f>
        <v/>
      </c>
      <c r="T8445">
        <f>LET(
    payment_method,'Loan Tape (S&amp;P)'!P8445,
    occupancy,'Loan Tape (S&amp;P)'!N8445,
    maturity_date,'Loan Tape (S&amp;P)'!L8445,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46">
      <c r="J8446">
        <f>LET(
    lien,'Loan Tape (S&amp;P)'!Q8446,
    IF(lien="First",1.00,
        IF(lien="Second",1.50,
            1.70)))</f>
        <v/>
      </c>
      <c r="K8446">
        <f>LET(
    purpose,'Loan Tape (S&amp;P)'!R8446,
    IF(purpose="Purchase",1.00,
        IF(purpose="Remortgage",1.00,
            1.20)))</f>
        <v/>
      </c>
      <c r="L8446">
        <f>LET(
    arrears_months,'Loan Tape (S&amp;P)'!AN8446,
    IF(arrears_months=0,1.00,
    IF(arrears_months=1,3.00,
    IF(arrears_months=2,5.00,
    IF(arrears_months=3,8.00,
    IF(arrears_months=4,10.00,
    IF(arrears_months=5,12.00,15.00)))))))</f>
        <v/>
      </c>
      <c r="M8446">
        <f>LET(
    seasoning_years,DATEDIF('Loan Tape (S&amp;P)'!K8446,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46">
        <f>IF(AND('Loan Tape (S&amp;P)'!U8446="Yes",
        'Loan Tape (S&amp;P)'!T8446&lt;&gt;"Yes",
        DATEDIF('Loan Tape (S&amp;P)'!K8446, TODAY(), "M")&lt;18),
    1.10,
    1.00)</f>
        <v/>
      </c>
      <c r="O8446">
        <f>IF('Loan Tape (S&amp;P)'!T8446="Yes",
    1.35,
    1.00)</f>
        <v/>
      </c>
      <c r="P8446">
        <f>IF('Loan Tape (S&amp;P)'!S8446="Yes",
    1.15,
    1.00)</f>
        <v/>
      </c>
      <c r="Q8446">
        <f>IF('Loan Tape (S&amp;P)'!V8446="Yes",
    1.20,
    1.00)</f>
        <v/>
      </c>
      <c r="T8446">
        <f>LET(
    payment_method,'Loan Tape (S&amp;P)'!P8446,
    occupancy,'Loan Tape (S&amp;P)'!N8446,
    maturity_date,'Loan Tape (S&amp;P)'!L8446,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47">
      <c r="J8447">
        <f>LET(
    lien,'Loan Tape (S&amp;P)'!Q8447,
    IF(lien="First",1.00,
        IF(lien="Second",1.50,
            1.70)))</f>
        <v/>
      </c>
      <c r="K8447">
        <f>LET(
    purpose,'Loan Tape (S&amp;P)'!R8447,
    IF(purpose="Purchase",1.00,
        IF(purpose="Remortgage",1.00,
            1.20)))</f>
        <v/>
      </c>
      <c r="L8447">
        <f>LET(
    arrears_months,'Loan Tape (S&amp;P)'!AN8447,
    IF(arrears_months=0,1.00,
    IF(arrears_months=1,3.00,
    IF(arrears_months=2,5.00,
    IF(arrears_months=3,8.00,
    IF(arrears_months=4,10.00,
    IF(arrears_months=5,12.00,15.00)))))))</f>
        <v/>
      </c>
      <c r="M8447">
        <f>LET(
    seasoning_years,DATEDIF('Loan Tape (S&amp;P)'!K8447,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47">
        <f>IF(AND('Loan Tape (S&amp;P)'!U8447="Yes",
        'Loan Tape (S&amp;P)'!T8447&lt;&gt;"Yes",
        DATEDIF('Loan Tape (S&amp;P)'!K8447, TODAY(), "M")&lt;18),
    1.10,
    1.00)</f>
        <v/>
      </c>
      <c r="O8447">
        <f>IF('Loan Tape (S&amp;P)'!T8447="Yes",
    1.35,
    1.00)</f>
        <v/>
      </c>
      <c r="P8447">
        <f>IF('Loan Tape (S&amp;P)'!S8447="Yes",
    1.15,
    1.00)</f>
        <v/>
      </c>
      <c r="Q8447">
        <f>IF('Loan Tape (S&amp;P)'!V8447="Yes",
    1.20,
    1.00)</f>
        <v/>
      </c>
      <c r="T8447">
        <f>LET(
    payment_method,'Loan Tape (S&amp;P)'!P8447,
    occupancy,'Loan Tape (S&amp;P)'!N8447,
    maturity_date,'Loan Tape (S&amp;P)'!L8447,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48">
      <c r="J8448">
        <f>LET(
    lien,'Loan Tape (S&amp;P)'!Q8448,
    IF(lien="First",1.00,
        IF(lien="Second",1.50,
            1.70)))</f>
        <v/>
      </c>
      <c r="K8448">
        <f>LET(
    purpose,'Loan Tape (S&amp;P)'!R8448,
    IF(purpose="Purchase",1.00,
        IF(purpose="Remortgage",1.00,
            1.20)))</f>
        <v/>
      </c>
      <c r="L8448">
        <f>LET(
    arrears_months,'Loan Tape (S&amp;P)'!AN8448,
    IF(arrears_months=0,1.00,
    IF(arrears_months=1,3.00,
    IF(arrears_months=2,5.00,
    IF(arrears_months=3,8.00,
    IF(arrears_months=4,10.00,
    IF(arrears_months=5,12.00,15.00)))))))</f>
        <v/>
      </c>
      <c r="M8448">
        <f>LET(
    seasoning_years,DATEDIF('Loan Tape (S&amp;P)'!K8448,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48">
        <f>IF(AND('Loan Tape (S&amp;P)'!U8448="Yes",
        'Loan Tape (S&amp;P)'!T8448&lt;&gt;"Yes",
        DATEDIF('Loan Tape (S&amp;P)'!K8448, TODAY(), "M")&lt;18),
    1.10,
    1.00)</f>
        <v/>
      </c>
      <c r="O8448">
        <f>IF('Loan Tape (S&amp;P)'!T8448="Yes",
    1.35,
    1.00)</f>
        <v/>
      </c>
      <c r="P8448">
        <f>IF('Loan Tape (S&amp;P)'!S8448="Yes",
    1.15,
    1.00)</f>
        <v/>
      </c>
      <c r="Q8448">
        <f>IF('Loan Tape (S&amp;P)'!V8448="Yes",
    1.20,
    1.00)</f>
        <v/>
      </c>
      <c r="T8448">
        <f>LET(
    payment_method,'Loan Tape (S&amp;P)'!P8448,
    occupancy,'Loan Tape (S&amp;P)'!N8448,
    maturity_date,'Loan Tape (S&amp;P)'!L8448,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49">
      <c r="J8449">
        <f>LET(
    lien,'Loan Tape (S&amp;P)'!Q8449,
    IF(lien="First",1.00,
        IF(lien="Second",1.50,
            1.70)))</f>
        <v/>
      </c>
      <c r="K8449">
        <f>LET(
    purpose,'Loan Tape (S&amp;P)'!R8449,
    IF(purpose="Purchase",1.00,
        IF(purpose="Remortgage",1.00,
            1.20)))</f>
        <v/>
      </c>
      <c r="L8449">
        <f>LET(
    arrears_months,'Loan Tape (S&amp;P)'!AN8449,
    IF(arrears_months=0,1.00,
    IF(arrears_months=1,3.00,
    IF(arrears_months=2,5.00,
    IF(arrears_months=3,8.00,
    IF(arrears_months=4,10.00,
    IF(arrears_months=5,12.00,15.00)))))))</f>
        <v/>
      </c>
      <c r="M8449">
        <f>LET(
    seasoning_years,DATEDIF('Loan Tape (S&amp;P)'!K8449,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49">
        <f>IF(AND('Loan Tape (S&amp;P)'!U8449="Yes",
        'Loan Tape (S&amp;P)'!T8449&lt;&gt;"Yes",
        DATEDIF('Loan Tape (S&amp;P)'!K8449, TODAY(), "M")&lt;18),
    1.10,
    1.00)</f>
        <v/>
      </c>
      <c r="O8449">
        <f>IF('Loan Tape (S&amp;P)'!T8449="Yes",
    1.35,
    1.00)</f>
        <v/>
      </c>
      <c r="P8449">
        <f>IF('Loan Tape (S&amp;P)'!S8449="Yes",
    1.15,
    1.00)</f>
        <v/>
      </c>
      <c r="Q8449">
        <f>IF('Loan Tape (S&amp;P)'!V8449="Yes",
    1.20,
    1.00)</f>
        <v/>
      </c>
      <c r="T8449">
        <f>LET(
    payment_method,'Loan Tape (S&amp;P)'!P8449,
    occupancy,'Loan Tape (S&amp;P)'!N8449,
    maturity_date,'Loan Tape (S&amp;P)'!L8449,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50">
      <c r="J8450">
        <f>LET(
    lien,'Loan Tape (S&amp;P)'!Q8450,
    IF(lien="First",1.00,
        IF(lien="Second",1.50,
            1.70)))</f>
        <v/>
      </c>
      <c r="K8450">
        <f>LET(
    purpose,'Loan Tape (S&amp;P)'!R8450,
    IF(purpose="Purchase",1.00,
        IF(purpose="Remortgage",1.00,
            1.20)))</f>
        <v/>
      </c>
      <c r="L8450">
        <f>LET(
    arrears_months,'Loan Tape (S&amp;P)'!AN8450,
    IF(arrears_months=0,1.00,
    IF(arrears_months=1,3.00,
    IF(arrears_months=2,5.00,
    IF(arrears_months=3,8.00,
    IF(arrears_months=4,10.00,
    IF(arrears_months=5,12.00,15.00)))))))</f>
        <v/>
      </c>
      <c r="M8450">
        <f>LET(
    seasoning_years,DATEDIF('Loan Tape (S&amp;P)'!K8450,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50">
        <f>IF(AND('Loan Tape (S&amp;P)'!U8450="Yes",
        'Loan Tape (S&amp;P)'!T8450&lt;&gt;"Yes",
        DATEDIF('Loan Tape (S&amp;P)'!K8450, TODAY(), "M")&lt;18),
    1.10,
    1.00)</f>
        <v/>
      </c>
      <c r="O8450">
        <f>IF('Loan Tape (S&amp;P)'!T8450="Yes",
    1.35,
    1.00)</f>
        <v/>
      </c>
      <c r="P8450">
        <f>IF('Loan Tape (S&amp;P)'!S8450="Yes",
    1.15,
    1.00)</f>
        <v/>
      </c>
      <c r="Q8450">
        <f>IF('Loan Tape (S&amp;P)'!V8450="Yes",
    1.20,
    1.00)</f>
        <v/>
      </c>
      <c r="T8450">
        <f>LET(
    payment_method,'Loan Tape (S&amp;P)'!P8450,
    occupancy,'Loan Tape (S&amp;P)'!N8450,
    maturity_date,'Loan Tape (S&amp;P)'!L8450,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51">
      <c r="J8451">
        <f>LET(
    lien,'Loan Tape (S&amp;P)'!Q8451,
    IF(lien="First",1.00,
        IF(lien="Second",1.50,
            1.70)))</f>
        <v/>
      </c>
      <c r="K8451">
        <f>LET(
    purpose,'Loan Tape (S&amp;P)'!R8451,
    IF(purpose="Purchase",1.00,
        IF(purpose="Remortgage",1.00,
            1.20)))</f>
        <v/>
      </c>
      <c r="L8451">
        <f>LET(
    arrears_months,'Loan Tape (S&amp;P)'!AN8451,
    IF(arrears_months=0,1.00,
    IF(arrears_months=1,3.00,
    IF(arrears_months=2,5.00,
    IF(arrears_months=3,8.00,
    IF(arrears_months=4,10.00,
    IF(arrears_months=5,12.00,15.00)))))))</f>
        <v/>
      </c>
      <c r="M8451">
        <f>LET(
    seasoning_years,DATEDIF('Loan Tape (S&amp;P)'!K8451,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51">
        <f>IF(AND('Loan Tape (S&amp;P)'!U8451="Yes",
        'Loan Tape (S&amp;P)'!T8451&lt;&gt;"Yes",
        DATEDIF('Loan Tape (S&amp;P)'!K8451, TODAY(), "M")&lt;18),
    1.10,
    1.00)</f>
        <v/>
      </c>
      <c r="O8451">
        <f>IF('Loan Tape (S&amp;P)'!T8451="Yes",
    1.35,
    1.00)</f>
        <v/>
      </c>
      <c r="P8451">
        <f>IF('Loan Tape (S&amp;P)'!S8451="Yes",
    1.15,
    1.00)</f>
        <v/>
      </c>
      <c r="Q8451">
        <f>IF('Loan Tape (S&amp;P)'!V8451="Yes",
    1.20,
    1.00)</f>
        <v/>
      </c>
      <c r="T8451">
        <f>LET(
    payment_method,'Loan Tape (S&amp;P)'!P8451,
    occupancy,'Loan Tape (S&amp;P)'!N8451,
    maturity_date,'Loan Tape (S&amp;P)'!L8451,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52">
      <c r="J8452">
        <f>LET(
    lien,'Loan Tape (S&amp;P)'!Q8452,
    IF(lien="First",1.00,
        IF(lien="Second",1.50,
            1.70)))</f>
        <v/>
      </c>
      <c r="K8452">
        <f>LET(
    purpose,'Loan Tape (S&amp;P)'!R8452,
    IF(purpose="Purchase",1.00,
        IF(purpose="Remortgage",1.00,
            1.20)))</f>
        <v/>
      </c>
      <c r="L8452">
        <f>LET(
    arrears_months,'Loan Tape (S&amp;P)'!AN8452,
    IF(arrears_months=0,1.00,
    IF(arrears_months=1,3.00,
    IF(arrears_months=2,5.00,
    IF(arrears_months=3,8.00,
    IF(arrears_months=4,10.00,
    IF(arrears_months=5,12.00,15.00)))))))</f>
        <v/>
      </c>
      <c r="M8452">
        <f>LET(
    seasoning_years,DATEDIF('Loan Tape (S&amp;P)'!K8452,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52">
        <f>IF(AND('Loan Tape (S&amp;P)'!U8452="Yes",
        'Loan Tape (S&amp;P)'!T8452&lt;&gt;"Yes",
        DATEDIF('Loan Tape (S&amp;P)'!K8452, TODAY(), "M")&lt;18),
    1.10,
    1.00)</f>
        <v/>
      </c>
      <c r="O8452">
        <f>IF('Loan Tape (S&amp;P)'!T8452="Yes",
    1.35,
    1.00)</f>
        <v/>
      </c>
      <c r="P8452">
        <f>IF('Loan Tape (S&amp;P)'!S8452="Yes",
    1.15,
    1.00)</f>
        <v/>
      </c>
      <c r="Q8452">
        <f>IF('Loan Tape (S&amp;P)'!V8452="Yes",
    1.20,
    1.00)</f>
        <v/>
      </c>
      <c r="T8452">
        <f>LET(
    payment_method,'Loan Tape (S&amp;P)'!P8452,
    occupancy,'Loan Tape (S&amp;P)'!N8452,
    maturity_date,'Loan Tape (S&amp;P)'!L8452,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53">
      <c r="J8453">
        <f>LET(
    lien,'Loan Tape (S&amp;P)'!Q8453,
    IF(lien="First",1.00,
        IF(lien="Second",1.50,
            1.70)))</f>
        <v/>
      </c>
      <c r="K8453">
        <f>LET(
    purpose,'Loan Tape (S&amp;P)'!R8453,
    IF(purpose="Purchase",1.00,
        IF(purpose="Remortgage",1.00,
            1.20)))</f>
        <v/>
      </c>
      <c r="L8453">
        <f>LET(
    arrears_months,'Loan Tape (S&amp;P)'!AN8453,
    IF(arrears_months=0,1.00,
    IF(arrears_months=1,3.00,
    IF(arrears_months=2,5.00,
    IF(arrears_months=3,8.00,
    IF(arrears_months=4,10.00,
    IF(arrears_months=5,12.00,15.00)))))))</f>
        <v/>
      </c>
      <c r="M8453">
        <f>LET(
    seasoning_years,DATEDIF('Loan Tape (S&amp;P)'!K8453,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53">
        <f>IF(AND('Loan Tape (S&amp;P)'!U8453="Yes",
        'Loan Tape (S&amp;P)'!T8453&lt;&gt;"Yes",
        DATEDIF('Loan Tape (S&amp;P)'!K8453, TODAY(), "M")&lt;18),
    1.10,
    1.00)</f>
        <v/>
      </c>
      <c r="O8453">
        <f>IF('Loan Tape (S&amp;P)'!T8453="Yes",
    1.35,
    1.00)</f>
        <v/>
      </c>
      <c r="P8453">
        <f>IF('Loan Tape (S&amp;P)'!S8453="Yes",
    1.15,
    1.00)</f>
        <v/>
      </c>
      <c r="Q8453">
        <f>IF('Loan Tape (S&amp;P)'!V8453="Yes",
    1.20,
    1.00)</f>
        <v/>
      </c>
      <c r="T8453">
        <f>LET(
    payment_method,'Loan Tape (S&amp;P)'!P8453,
    occupancy,'Loan Tape (S&amp;P)'!N8453,
    maturity_date,'Loan Tape (S&amp;P)'!L8453,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54">
      <c r="J8454">
        <f>LET(
    lien,'Loan Tape (S&amp;P)'!Q8454,
    IF(lien="First",1.00,
        IF(lien="Second",1.50,
            1.70)))</f>
        <v/>
      </c>
      <c r="K8454">
        <f>LET(
    purpose,'Loan Tape (S&amp;P)'!R8454,
    IF(purpose="Purchase",1.00,
        IF(purpose="Remortgage",1.00,
            1.20)))</f>
        <v/>
      </c>
      <c r="L8454">
        <f>LET(
    arrears_months,'Loan Tape (S&amp;P)'!AN8454,
    IF(arrears_months=0,1.00,
    IF(arrears_months=1,3.00,
    IF(arrears_months=2,5.00,
    IF(arrears_months=3,8.00,
    IF(arrears_months=4,10.00,
    IF(arrears_months=5,12.00,15.00)))))))</f>
        <v/>
      </c>
      <c r="M8454">
        <f>LET(
    seasoning_years,DATEDIF('Loan Tape (S&amp;P)'!K8454,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54">
        <f>IF(AND('Loan Tape (S&amp;P)'!U8454="Yes",
        'Loan Tape (S&amp;P)'!T8454&lt;&gt;"Yes",
        DATEDIF('Loan Tape (S&amp;P)'!K8454, TODAY(), "M")&lt;18),
    1.10,
    1.00)</f>
        <v/>
      </c>
      <c r="O8454">
        <f>IF('Loan Tape (S&amp;P)'!T8454="Yes",
    1.35,
    1.00)</f>
        <v/>
      </c>
      <c r="P8454">
        <f>IF('Loan Tape (S&amp;P)'!S8454="Yes",
    1.15,
    1.00)</f>
        <v/>
      </c>
      <c r="Q8454">
        <f>IF('Loan Tape (S&amp;P)'!V8454="Yes",
    1.20,
    1.00)</f>
        <v/>
      </c>
      <c r="T8454">
        <f>LET(
    payment_method,'Loan Tape (S&amp;P)'!P8454,
    occupancy,'Loan Tape (S&amp;P)'!N8454,
    maturity_date,'Loan Tape (S&amp;P)'!L8454,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55">
      <c r="J8455">
        <f>LET(
    lien,'Loan Tape (S&amp;P)'!Q8455,
    IF(lien="First",1.00,
        IF(lien="Second",1.50,
            1.70)))</f>
        <v/>
      </c>
      <c r="K8455">
        <f>LET(
    purpose,'Loan Tape (S&amp;P)'!R8455,
    IF(purpose="Purchase",1.00,
        IF(purpose="Remortgage",1.00,
            1.20)))</f>
        <v/>
      </c>
      <c r="L8455">
        <f>LET(
    arrears_months,'Loan Tape (S&amp;P)'!AN8455,
    IF(arrears_months=0,1.00,
    IF(arrears_months=1,3.00,
    IF(arrears_months=2,5.00,
    IF(arrears_months=3,8.00,
    IF(arrears_months=4,10.00,
    IF(arrears_months=5,12.00,15.00)))))))</f>
        <v/>
      </c>
      <c r="M8455">
        <f>LET(
    seasoning_years,DATEDIF('Loan Tape (S&amp;P)'!K8455,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55">
        <f>IF(AND('Loan Tape (S&amp;P)'!U8455="Yes",
        'Loan Tape (S&amp;P)'!T8455&lt;&gt;"Yes",
        DATEDIF('Loan Tape (S&amp;P)'!K8455, TODAY(), "M")&lt;18),
    1.10,
    1.00)</f>
        <v/>
      </c>
      <c r="O8455">
        <f>IF('Loan Tape (S&amp;P)'!T8455="Yes",
    1.35,
    1.00)</f>
        <v/>
      </c>
      <c r="P8455">
        <f>IF('Loan Tape (S&amp;P)'!S8455="Yes",
    1.15,
    1.00)</f>
        <v/>
      </c>
      <c r="Q8455">
        <f>IF('Loan Tape (S&amp;P)'!V8455="Yes",
    1.20,
    1.00)</f>
        <v/>
      </c>
      <c r="T8455">
        <f>LET(
    payment_method,'Loan Tape (S&amp;P)'!P8455,
    occupancy,'Loan Tape (S&amp;P)'!N8455,
    maturity_date,'Loan Tape (S&amp;P)'!L8455,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56">
      <c r="J8456">
        <f>LET(
    lien,'Loan Tape (S&amp;P)'!Q8456,
    IF(lien="First",1.00,
        IF(lien="Second",1.50,
            1.70)))</f>
        <v/>
      </c>
      <c r="K8456">
        <f>LET(
    purpose,'Loan Tape (S&amp;P)'!R8456,
    IF(purpose="Purchase",1.00,
        IF(purpose="Remortgage",1.00,
            1.20)))</f>
        <v/>
      </c>
      <c r="L8456">
        <f>LET(
    arrears_months,'Loan Tape (S&amp;P)'!AN8456,
    IF(arrears_months=0,1.00,
    IF(arrears_months=1,3.00,
    IF(arrears_months=2,5.00,
    IF(arrears_months=3,8.00,
    IF(arrears_months=4,10.00,
    IF(arrears_months=5,12.00,15.00)))))))</f>
        <v/>
      </c>
      <c r="M8456">
        <f>LET(
    seasoning_years,DATEDIF('Loan Tape (S&amp;P)'!K8456,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56">
        <f>IF(AND('Loan Tape (S&amp;P)'!U8456="Yes",
        'Loan Tape (S&amp;P)'!T8456&lt;&gt;"Yes",
        DATEDIF('Loan Tape (S&amp;P)'!K8456, TODAY(), "M")&lt;18),
    1.10,
    1.00)</f>
        <v/>
      </c>
      <c r="O8456">
        <f>IF('Loan Tape (S&amp;P)'!T8456="Yes",
    1.35,
    1.00)</f>
        <v/>
      </c>
      <c r="P8456">
        <f>IF('Loan Tape (S&amp;P)'!S8456="Yes",
    1.15,
    1.00)</f>
        <v/>
      </c>
      <c r="Q8456">
        <f>IF('Loan Tape (S&amp;P)'!V8456="Yes",
    1.20,
    1.00)</f>
        <v/>
      </c>
      <c r="T8456">
        <f>LET(
    payment_method,'Loan Tape (S&amp;P)'!P8456,
    occupancy,'Loan Tape (S&amp;P)'!N8456,
    maturity_date,'Loan Tape (S&amp;P)'!L8456,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57">
      <c r="J8457">
        <f>LET(
    lien,'Loan Tape (S&amp;P)'!Q8457,
    IF(lien="First",1.00,
        IF(lien="Second",1.50,
            1.70)))</f>
        <v/>
      </c>
      <c r="K8457">
        <f>LET(
    purpose,'Loan Tape (S&amp;P)'!R8457,
    IF(purpose="Purchase",1.00,
        IF(purpose="Remortgage",1.00,
            1.20)))</f>
        <v/>
      </c>
      <c r="L8457">
        <f>LET(
    arrears_months,'Loan Tape (S&amp;P)'!AN8457,
    IF(arrears_months=0,1.00,
    IF(arrears_months=1,3.00,
    IF(arrears_months=2,5.00,
    IF(arrears_months=3,8.00,
    IF(arrears_months=4,10.00,
    IF(arrears_months=5,12.00,15.00)))))))</f>
        <v/>
      </c>
      <c r="M8457">
        <f>LET(
    seasoning_years,DATEDIF('Loan Tape (S&amp;P)'!K8457,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57">
        <f>IF(AND('Loan Tape (S&amp;P)'!U8457="Yes",
        'Loan Tape (S&amp;P)'!T8457&lt;&gt;"Yes",
        DATEDIF('Loan Tape (S&amp;P)'!K8457, TODAY(), "M")&lt;18),
    1.10,
    1.00)</f>
        <v/>
      </c>
      <c r="O8457">
        <f>IF('Loan Tape (S&amp;P)'!T8457="Yes",
    1.35,
    1.00)</f>
        <v/>
      </c>
      <c r="P8457">
        <f>IF('Loan Tape (S&amp;P)'!S8457="Yes",
    1.15,
    1.00)</f>
        <v/>
      </c>
      <c r="Q8457">
        <f>IF('Loan Tape (S&amp;P)'!V8457="Yes",
    1.20,
    1.00)</f>
        <v/>
      </c>
      <c r="T8457">
        <f>LET(
    payment_method,'Loan Tape (S&amp;P)'!P8457,
    occupancy,'Loan Tape (S&amp;P)'!N8457,
    maturity_date,'Loan Tape (S&amp;P)'!L8457,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58">
      <c r="J8458">
        <f>LET(
    lien,'Loan Tape (S&amp;P)'!Q8458,
    IF(lien="First",1.00,
        IF(lien="Second",1.50,
            1.70)))</f>
        <v/>
      </c>
      <c r="K8458">
        <f>LET(
    purpose,'Loan Tape (S&amp;P)'!R8458,
    IF(purpose="Purchase",1.00,
        IF(purpose="Remortgage",1.00,
            1.20)))</f>
        <v/>
      </c>
      <c r="L8458">
        <f>LET(
    arrears_months,'Loan Tape (S&amp;P)'!AN8458,
    IF(arrears_months=0,1.00,
    IF(arrears_months=1,3.00,
    IF(arrears_months=2,5.00,
    IF(arrears_months=3,8.00,
    IF(arrears_months=4,10.00,
    IF(arrears_months=5,12.00,15.00)))))))</f>
        <v/>
      </c>
      <c r="M8458">
        <f>LET(
    seasoning_years,DATEDIF('Loan Tape (S&amp;P)'!K8458,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58">
        <f>IF(AND('Loan Tape (S&amp;P)'!U8458="Yes",
        'Loan Tape (S&amp;P)'!T8458&lt;&gt;"Yes",
        DATEDIF('Loan Tape (S&amp;P)'!K8458, TODAY(), "M")&lt;18),
    1.10,
    1.00)</f>
        <v/>
      </c>
      <c r="O8458">
        <f>IF('Loan Tape (S&amp;P)'!T8458="Yes",
    1.35,
    1.00)</f>
        <v/>
      </c>
      <c r="P8458">
        <f>IF('Loan Tape (S&amp;P)'!S8458="Yes",
    1.15,
    1.00)</f>
        <v/>
      </c>
      <c r="Q8458">
        <f>IF('Loan Tape (S&amp;P)'!V8458="Yes",
    1.20,
    1.00)</f>
        <v/>
      </c>
      <c r="T8458">
        <f>LET(
    payment_method,'Loan Tape (S&amp;P)'!P8458,
    occupancy,'Loan Tape (S&amp;P)'!N8458,
    maturity_date,'Loan Tape (S&amp;P)'!L8458,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59">
      <c r="J8459">
        <f>LET(
    lien,'Loan Tape (S&amp;P)'!Q8459,
    IF(lien="First",1.00,
        IF(lien="Second",1.50,
            1.70)))</f>
        <v/>
      </c>
      <c r="K8459">
        <f>LET(
    purpose,'Loan Tape (S&amp;P)'!R8459,
    IF(purpose="Purchase",1.00,
        IF(purpose="Remortgage",1.00,
            1.20)))</f>
        <v/>
      </c>
      <c r="L8459">
        <f>LET(
    arrears_months,'Loan Tape (S&amp;P)'!AN8459,
    IF(arrears_months=0,1.00,
    IF(arrears_months=1,3.00,
    IF(arrears_months=2,5.00,
    IF(arrears_months=3,8.00,
    IF(arrears_months=4,10.00,
    IF(arrears_months=5,12.00,15.00)))))))</f>
        <v/>
      </c>
      <c r="M8459">
        <f>LET(
    seasoning_years,DATEDIF('Loan Tape (S&amp;P)'!K8459,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59">
        <f>IF(AND('Loan Tape (S&amp;P)'!U8459="Yes",
        'Loan Tape (S&amp;P)'!T8459&lt;&gt;"Yes",
        DATEDIF('Loan Tape (S&amp;P)'!K8459, TODAY(), "M")&lt;18),
    1.10,
    1.00)</f>
        <v/>
      </c>
      <c r="O8459">
        <f>IF('Loan Tape (S&amp;P)'!T8459="Yes",
    1.35,
    1.00)</f>
        <v/>
      </c>
      <c r="P8459">
        <f>IF('Loan Tape (S&amp;P)'!S8459="Yes",
    1.15,
    1.00)</f>
        <v/>
      </c>
      <c r="Q8459">
        <f>IF('Loan Tape (S&amp;P)'!V8459="Yes",
    1.20,
    1.00)</f>
        <v/>
      </c>
      <c r="T8459">
        <f>LET(
    payment_method,'Loan Tape (S&amp;P)'!P8459,
    occupancy,'Loan Tape (S&amp;P)'!N8459,
    maturity_date,'Loan Tape (S&amp;P)'!L8459,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60">
      <c r="J8460">
        <f>LET(
    lien,'Loan Tape (S&amp;P)'!Q8460,
    IF(lien="First",1.00,
        IF(lien="Second",1.50,
            1.70)))</f>
        <v/>
      </c>
      <c r="K8460">
        <f>LET(
    purpose,'Loan Tape (S&amp;P)'!R8460,
    IF(purpose="Purchase",1.00,
        IF(purpose="Remortgage",1.00,
            1.20)))</f>
        <v/>
      </c>
      <c r="L8460">
        <f>LET(
    arrears_months,'Loan Tape (S&amp;P)'!AN8460,
    IF(arrears_months=0,1.00,
    IF(arrears_months=1,3.00,
    IF(arrears_months=2,5.00,
    IF(arrears_months=3,8.00,
    IF(arrears_months=4,10.00,
    IF(arrears_months=5,12.00,15.00)))))))</f>
        <v/>
      </c>
      <c r="M8460">
        <f>LET(
    seasoning_years,DATEDIF('Loan Tape (S&amp;P)'!K8460,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60">
        <f>IF(AND('Loan Tape (S&amp;P)'!U8460="Yes",
        'Loan Tape (S&amp;P)'!T8460&lt;&gt;"Yes",
        DATEDIF('Loan Tape (S&amp;P)'!K8460, TODAY(), "M")&lt;18),
    1.10,
    1.00)</f>
        <v/>
      </c>
      <c r="O8460">
        <f>IF('Loan Tape (S&amp;P)'!T8460="Yes",
    1.35,
    1.00)</f>
        <v/>
      </c>
      <c r="P8460">
        <f>IF('Loan Tape (S&amp;P)'!S8460="Yes",
    1.15,
    1.00)</f>
        <v/>
      </c>
      <c r="Q8460">
        <f>IF('Loan Tape (S&amp;P)'!V8460="Yes",
    1.20,
    1.00)</f>
        <v/>
      </c>
      <c r="T8460">
        <f>LET(
    payment_method,'Loan Tape (S&amp;P)'!P8460,
    occupancy,'Loan Tape (S&amp;P)'!N8460,
    maturity_date,'Loan Tape (S&amp;P)'!L8460,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61">
      <c r="J8461">
        <f>LET(
    lien,'Loan Tape (S&amp;P)'!Q8461,
    IF(lien="First",1.00,
        IF(lien="Second",1.50,
            1.70)))</f>
        <v/>
      </c>
      <c r="K8461">
        <f>LET(
    purpose,'Loan Tape (S&amp;P)'!R8461,
    IF(purpose="Purchase",1.00,
        IF(purpose="Remortgage",1.00,
            1.20)))</f>
        <v/>
      </c>
      <c r="L8461">
        <f>LET(
    arrears_months,'Loan Tape (S&amp;P)'!AN8461,
    IF(arrears_months=0,1.00,
    IF(arrears_months=1,3.00,
    IF(arrears_months=2,5.00,
    IF(arrears_months=3,8.00,
    IF(arrears_months=4,10.00,
    IF(arrears_months=5,12.00,15.00)))))))</f>
        <v/>
      </c>
      <c r="M8461">
        <f>LET(
    seasoning_years,DATEDIF('Loan Tape (S&amp;P)'!K8461,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61">
        <f>IF(AND('Loan Tape (S&amp;P)'!U8461="Yes",
        'Loan Tape (S&amp;P)'!T8461&lt;&gt;"Yes",
        DATEDIF('Loan Tape (S&amp;P)'!K8461, TODAY(), "M")&lt;18),
    1.10,
    1.00)</f>
        <v/>
      </c>
      <c r="O8461">
        <f>IF('Loan Tape (S&amp;P)'!T8461="Yes",
    1.35,
    1.00)</f>
        <v/>
      </c>
      <c r="P8461">
        <f>IF('Loan Tape (S&amp;P)'!S8461="Yes",
    1.15,
    1.00)</f>
        <v/>
      </c>
      <c r="Q8461">
        <f>IF('Loan Tape (S&amp;P)'!V8461="Yes",
    1.20,
    1.00)</f>
        <v/>
      </c>
      <c r="T8461">
        <f>LET(
    payment_method,'Loan Tape (S&amp;P)'!P8461,
    occupancy,'Loan Tape (S&amp;P)'!N8461,
    maturity_date,'Loan Tape (S&amp;P)'!L8461,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62">
      <c r="J8462">
        <f>LET(
    lien,'Loan Tape (S&amp;P)'!Q8462,
    IF(lien="First",1.00,
        IF(lien="Second",1.50,
            1.70)))</f>
        <v/>
      </c>
      <c r="K8462">
        <f>LET(
    purpose,'Loan Tape (S&amp;P)'!R8462,
    IF(purpose="Purchase",1.00,
        IF(purpose="Remortgage",1.00,
            1.20)))</f>
        <v/>
      </c>
      <c r="L8462">
        <f>LET(
    arrears_months,'Loan Tape (S&amp;P)'!AN8462,
    IF(arrears_months=0,1.00,
    IF(arrears_months=1,3.00,
    IF(arrears_months=2,5.00,
    IF(arrears_months=3,8.00,
    IF(arrears_months=4,10.00,
    IF(arrears_months=5,12.00,15.00)))))))</f>
        <v/>
      </c>
      <c r="M8462">
        <f>LET(
    seasoning_years,DATEDIF('Loan Tape (S&amp;P)'!K8462,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62">
        <f>IF(AND('Loan Tape (S&amp;P)'!U8462="Yes",
        'Loan Tape (S&amp;P)'!T8462&lt;&gt;"Yes",
        DATEDIF('Loan Tape (S&amp;P)'!K8462, TODAY(), "M")&lt;18),
    1.10,
    1.00)</f>
        <v/>
      </c>
      <c r="O8462">
        <f>IF('Loan Tape (S&amp;P)'!T8462="Yes",
    1.35,
    1.00)</f>
        <v/>
      </c>
      <c r="P8462">
        <f>IF('Loan Tape (S&amp;P)'!S8462="Yes",
    1.15,
    1.00)</f>
        <v/>
      </c>
      <c r="Q8462">
        <f>IF('Loan Tape (S&amp;P)'!V8462="Yes",
    1.20,
    1.00)</f>
        <v/>
      </c>
      <c r="T8462">
        <f>LET(
    payment_method,'Loan Tape (S&amp;P)'!P8462,
    occupancy,'Loan Tape (S&amp;P)'!N8462,
    maturity_date,'Loan Tape (S&amp;P)'!L8462,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63">
      <c r="J8463">
        <f>LET(
    lien,'Loan Tape (S&amp;P)'!Q8463,
    IF(lien="First",1.00,
        IF(lien="Second",1.50,
            1.70)))</f>
        <v/>
      </c>
      <c r="K8463">
        <f>LET(
    purpose,'Loan Tape (S&amp;P)'!R8463,
    IF(purpose="Purchase",1.00,
        IF(purpose="Remortgage",1.00,
            1.20)))</f>
        <v/>
      </c>
      <c r="L8463">
        <f>LET(
    arrears_months,'Loan Tape (S&amp;P)'!AN8463,
    IF(arrears_months=0,1.00,
    IF(arrears_months=1,3.00,
    IF(arrears_months=2,5.00,
    IF(arrears_months=3,8.00,
    IF(arrears_months=4,10.00,
    IF(arrears_months=5,12.00,15.00)))))))</f>
        <v/>
      </c>
      <c r="M8463">
        <f>LET(
    seasoning_years,DATEDIF('Loan Tape (S&amp;P)'!K8463,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63">
        <f>IF(AND('Loan Tape (S&amp;P)'!U8463="Yes",
        'Loan Tape (S&amp;P)'!T8463&lt;&gt;"Yes",
        DATEDIF('Loan Tape (S&amp;P)'!K8463, TODAY(), "M")&lt;18),
    1.10,
    1.00)</f>
        <v/>
      </c>
      <c r="O8463">
        <f>IF('Loan Tape (S&amp;P)'!T8463="Yes",
    1.35,
    1.00)</f>
        <v/>
      </c>
      <c r="P8463">
        <f>IF('Loan Tape (S&amp;P)'!S8463="Yes",
    1.15,
    1.00)</f>
        <v/>
      </c>
      <c r="Q8463">
        <f>IF('Loan Tape (S&amp;P)'!V8463="Yes",
    1.20,
    1.00)</f>
        <v/>
      </c>
      <c r="T8463">
        <f>LET(
    payment_method,'Loan Tape (S&amp;P)'!P8463,
    occupancy,'Loan Tape (S&amp;P)'!N8463,
    maturity_date,'Loan Tape (S&amp;P)'!L8463,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64">
      <c r="J8464">
        <f>LET(
    lien,'Loan Tape (S&amp;P)'!Q8464,
    IF(lien="First",1.00,
        IF(lien="Second",1.50,
            1.70)))</f>
        <v/>
      </c>
      <c r="K8464">
        <f>LET(
    purpose,'Loan Tape (S&amp;P)'!R8464,
    IF(purpose="Purchase",1.00,
        IF(purpose="Remortgage",1.00,
            1.20)))</f>
        <v/>
      </c>
      <c r="L8464">
        <f>LET(
    arrears_months,'Loan Tape (S&amp;P)'!AN8464,
    IF(arrears_months=0,1.00,
    IF(arrears_months=1,3.00,
    IF(arrears_months=2,5.00,
    IF(arrears_months=3,8.00,
    IF(arrears_months=4,10.00,
    IF(arrears_months=5,12.00,15.00)))))))</f>
        <v/>
      </c>
      <c r="M8464">
        <f>LET(
    seasoning_years,DATEDIF('Loan Tape (S&amp;P)'!K8464,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64">
        <f>IF(AND('Loan Tape (S&amp;P)'!U8464="Yes",
        'Loan Tape (S&amp;P)'!T8464&lt;&gt;"Yes",
        DATEDIF('Loan Tape (S&amp;P)'!K8464, TODAY(), "M")&lt;18),
    1.10,
    1.00)</f>
        <v/>
      </c>
      <c r="O8464">
        <f>IF('Loan Tape (S&amp;P)'!T8464="Yes",
    1.35,
    1.00)</f>
        <v/>
      </c>
      <c r="P8464">
        <f>IF('Loan Tape (S&amp;P)'!S8464="Yes",
    1.15,
    1.00)</f>
        <v/>
      </c>
      <c r="Q8464">
        <f>IF('Loan Tape (S&amp;P)'!V8464="Yes",
    1.20,
    1.00)</f>
        <v/>
      </c>
      <c r="T8464">
        <f>LET(
    payment_method,'Loan Tape (S&amp;P)'!P8464,
    occupancy,'Loan Tape (S&amp;P)'!N8464,
    maturity_date,'Loan Tape (S&amp;P)'!L8464,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65">
      <c r="J8465">
        <f>LET(
    lien,'Loan Tape (S&amp;P)'!Q8465,
    IF(lien="First",1.00,
        IF(lien="Second",1.50,
            1.70)))</f>
        <v/>
      </c>
      <c r="K8465">
        <f>LET(
    purpose,'Loan Tape (S&amp;P)'!R8465,
    IF(purpose="Purchase",1.00,
        IF(purpose="Remortgage",1.00,
            1.20)))</f>
        <v/>
      </c>
      <c r="L8465">
        <f>LET(
    arrears_months,'Loan Tape (S&amp;P)'!AN8465,
    IF(arrears_months=0,1.00,
    IF(arrears_months=1,3.00,
    IF(arrears_months=2,5.00,
    IF(arrears_months=3,8.00,
    IF(arrears_months=4,10.00,
    IF(arrears_months=5,12.00,15.00)))))))</f>
        <v/>
      </c>
      <c r="M8465">
        <f>LET(
    seasoning_years,DATEDIF('Loan Tape (S&amp;P)'!K8465,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65">
        <f>IF(AND('Loan Tape (S&amp;P)'!U8465="Yes",
        'Loan Tape (S&amp;P)'!T8465&lt;&gt;"Yes",
        DATEDIF('Loan Tape (S&amp;P)'!K8465, TODAY(), "M")&lt;18),
    1.10,
    1.00)</f>
        <v/>
      </c>
      <c r="O8465">
        <f>IF('Loan Tape (S&amp;P)'!T8465="Yes",
    1.35,
    1.00)</f>
        <v/>
      </c>
      <c r="P8465">
        <f>IF('Loan Tape (S&amp;P)'!S8465="Yes",
    1.15,
    1.00)</f>
        <v/>
      </c>
      <c r="Q8465">
        <f>IF('Loan Tape (S&amp;P)'!V8465="Yes",
    1.20,
    1.00)</f>
        <v/>
      </c>
      <c r="T8465">
        <f>LET(
    payment_method,'Loan Tape (S&amp;P)'!P8465,
    occupancy,'Loan Tape (S&amp;P)'!N8465,
    maturity_date,'Loan Tape (S&amp;P)'!L8465,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66">
      <c r="J8466">
        <f>LET(
    lien,'Loan Tape (S&amp;P)'!Q8466,
    IF(lien="First",1.00,
        IF(lien="Second",1.50,
            1.70)))</f>
        <v/>
      </c>
      <c r="K8466">
        <f>LET(
    purpose,'Loan Tape (S&amp;P)'!R8466,
    IF(purpose="Purchase",1.00,
        IF(purpose="Remortgage",1.00,
            1.20)))</f>
        <v/>
      </c>
      <c r="L8466">
        <f>LET(
    arrears_months,'Loan Tape (S&amp;P)'!AN8466,
    IF(arrears_months=0,1.00,
    IF(arrears_months=1,3.00,
    IF(arrears_months=2,5.00,
    IF(arrears_months=3,8.00,
    IF(arrears_months=4,10.00,
    IF(arrears_months=5,12.00,15.00)))))))</f>
        <v/>
      </c>
      <c r="M8466">
        <f>LET(
    seasoning_years,DATEDIF('Loan Tape (S&amp;P)'!K8466,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66">
        <f>IF(AND('Loan Tape (S&amp;P)'!U8466="Yes",
        'Loan Tape (S&amp;P)'!T8466&lt;&gt;"Yes",
        DATEDIF('Loan Tape (S&amp;P)'!K8466, TODAY(), "M")&lt;18),
    1.10,
    1.00)</f>
        <v/>
      </c>
      <c r="O8466">
        <f>IF('Loan Tape (S&amp;P)'!T8466="Yes",
    1.35,
    1.00)</f>
        <v/>
      </c>
      <c r="P8466">
        <f>IF('Loan Tape (S&amp;P)'!S8466="Yes",
    1.15,
    1.00)</f>
        <v/>
      </c>
      <c r="Q8466">
        <f>IF('Loan Tape (S&amp;P)'!V8466="Yes",
    1.20,
    1.00)</f>
        <v/>
      </c>
      <c r="T8466">
        <f>LET(
    payment_method,'Loan Tape (S&amp;P)'!P8466,
    occupancy,'Loan Tape (S&amp;P)'!N8466,
    maturity_date,'Loan Tape (S&amp;P)'!L8466,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67">
      <c r="J8467">
        <f>LET(
    lien,'Loan Tape (S&amp;P)'!Q8467,
    IF(lien="First",1.00,
        IF(lien="Second",1.50,
            1.70)))</f>
        <v/>
      </c>
      <c r="K8467">
        <f>LET(
    purpose,'Loan Tape (S&amp;P)'!R8467,
    IF(purpose="Purchase",1.00,
        IF(purpose="Remortgage",1.00,
            1.20)))</f>
        <v/>
      </c>
      <c r="L8467">
        <f>LET(
    arrears_months,'Loan Tape (S&amp;P)'!AN8467,
    IF(arrears_months=0,1.00,
    IF(arrears_months=1,3.00,
    IF(arrears_months=2,5.00,
    IF(arrears_months=3,8.00,
    IF(arrears_months=4,10.00,
    IF(arrears_months=5,12.00,15.00)))))))</f>
        <v/>
      </c>
      <c r="M8467">
        <f>LET(
    seasoning_years,DATEDIF('Loan Tape (S&amp;P)'!K8467,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67">
        <f>IF(AND('Loan Tape (S&amp;P)'!U8467="Yes",
        'Loan Tape (S&amp;P)'!T8467&lt;&gt;"Yes",
        DATEDIF('Loan Tape (S&amp;P)'!K8467, TODAY(), "M")&lt;18),
    1.10,
    1.00)</f>
        <v/>
      </c>
      <c r="O8467">
        <f>IF('Loan Tape (S&amp;P)'!T8467="Yes",
    1.35,
    1.00)</f>
        <v/>
      </c>
      <c r="P8467">
        <f>IF('Loan Tape (S&amp;P)'!S8467="Yes",
    1.15,
    1.00)</f>
        <v/>
      </c>
      <c r="Q8467">
        <f>IF('Loan Tape (S&amp;P)'!V8467="Yes",
    1.20,
    1.00)</f>
        <v/>
      </c>
      <c r="T8467">
        <f>LET(
    payment_method,'Loan Tape (S&amp;P)'!P8467,
    occupancy,'Loan Tape (S&amp;P)'!N8467,
    maturity_date,'Loan Tape (S&amp;P)'!L8467,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68">
      <c r="J8468">
        <f>LET(
    lien,'Loan Tape (S&amp;P)'!Q8468,
    IF(lien="First",1.00,
        IF(lien="Second",1.50,
            1.70)))</f>
        <v/>
      </c>
      <c r="K8468">
        <f>LET(
    purpose,'Loan Tape (S&amp;P)'!R8468,
    IF(purpose="Purchase",1.00,
        IF(purpose="Remortgage",1.00,
            1.20)))</f>
        <v/>
      </c>
      <c r="L8468">
        <f>LET(
    arrears_months,'Loan Tape (S&amp;P)'!AN8468,
    IF(arrears_months=0,1.00,
    IF(arrears_months=1,3.00,
    IF(arrears_months=2,5.00,
    IF(arrears_months=3,8.00,
    IF(arrears_months=4,10.00,
    IF(arrears_months=5,12.00,15.00)))))))</f>
        <v/>
      </c>
      <c r="M8468">
        <f>LET(
    seasoning_years,DATEDIF('Loan Tape (S&amp;P)'!K8468,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68">
        <f>IF(AND('Loan Tape (S&amp;P)'!U8468="Yes",
        'Loan Tape (S&amp;P)'!T8468&lt;&gt;"Yes",
        DATEDIF('Loan Tape (S&amp;P)'!K8468, TODAY(), "M")&lt;18),
    1.10,
    1.00)</f>
        <v/>
      </c>
      <c r="O8468">
        <f>IF('Loan Tape (S&amp;P)'!T8468="Yes",
    1.35,
    1.00)</f>
        <v/>
      </c>
      <c r="P8468">
        <f>IF('Loan Tape (S&amp;P)'!S8468="Yes",
    1.15,
    1.00)</f>
        <v/>
      </c>
      <c r="Q8468">
        <f>IF('Loan Tape (S&amp;P)'!V8468="Yes",
    1.20,
    1.00)</f>
        <v/>
      </c>
      <c r="T8468">
        <f>LET(
    payment_method,'Loan Tape (S&amp;P)'!P8468,
    occupancy,'Loan Tape (S&amp;P)'!N8468,
    maturity_date,'Loan Tape (S&amp;P)'!L8468,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69">
      <c r="J8469">
        <f>LET(
    lien,'Loan Tape (S&amp;P)'!Q8469,
    IF(lien="First",1.00,
        IF(lien="Second",1.50,
            1.70)))</f>
        <v/>
      </c>
      <c r="K8469">
        <f>LET(
    purpose,'Loan Tape (S&amp;P)'!R8469,
    IF(purpose="Purchase",1.00,
        IF(purpose="Remortgage",1.00,
            1.20)))</f>
        <v/>
      </c>
      <c r="L8469">
        <f>LET(
    arrears_months,'Loan Tape (S&amp;P)'!AN8469,
    IF(arrears_months=0,1.00,
    IF(arrears_months=1,3.00,
    IF(arrears_months=2,5.00,
    IF(arrears_months=3,8.00,
    IF(arrears_months=4,10.00,
    IF(arrears_months=5,12.00,15.00)))))))</f>
        <v/>
      </c>
      <c r="M8469">
        <f>LET(
    seasoning_years,DATEDIF('Loan Tape (S&amp;P)'!K8469,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69">
        <f>IF(AND('Loan Tape (S&amp;P)'!U8469="Yes",
        'Loan Tape (S&amp;P)'!T8469&lt;&gt;"Yes",
        DATEDIF('Loan Tape (S&amp;P)'!K8469, TODAY(), "M")&lt;18),
    1.10,
    1.00)</f>
        <v/>
      </c>
      <c r="O8469">
        <f>IF('Loan Tape (S&amp;P)'!T8469="Yes",
    1.35,
    1.00)</f>
        <v/>
      </c>
      <c r="P8469">
        <f>IF('Loan Tape (S&amp;P)'!S8469="Yes",
    1.15,
    1.00)</f>
        <v/>
      </c>
      <c r="Q8469">
        <f>IF('Loan Tape (S&amp;P)'!V8469="Yes",
    1.20,
    1.00)</f>
        <v/>
      </c>
      <c r="T8469">
        <f>LET(
    payment_method,'Loan Tape (S&amp;P)'!P8469,
    occupancy,'Loan Tape (S&amp;P)'!N8469,
    maturity_date,'Loan Tape (S&amp;P)'!L8469,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70">
      <c r="J8470">
        <f>LET(
    lien,'Loan Tape (S&amp;P)'!Q8470,
    IF(lien="First",1.00,
        IF(lien="Second",1.50,
            1.70)))</f>
        <v/>
      </c>
      <c r="K8470">
        <f>LET(
    purpose,'Loan Tape (S&amp;P)'!R8470,
    IF(purpose="Purchase",1.00,
        IF(purpose="Remortgage",1.00,
            1.20)))</f>
        <v/>
      </c>
      <c r="L8470">
        <f>LET(
    arrears_months,'Loan Tape (S&amp;P)'!AN8470,
    IF(arrears_months=0,1.00,
    IF(arrears_months=1,3.00,
    IF(arrears_months=2,5.00,
    IF(arrears_months=3,8.00,
    IF(arrears_months=4,10.00,
    IF(arrears_months=5,12.00,15.00)))))))</f>
        <v/>
      </c>
      <c r="M8470">
        <f>LET(
    seasoning_years,DATEDIF('Loan Tape (S&amp;P)'!K8470,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70">
        <f>IF(AND('Loan Tape (S&amp;P)'!U8470="Yes",
        'Loan Tape (S&amp;P)'!T8470&lt;&gt;"Yes",
        DATEDIF('Loan Tape (S&amp;P)'!K8470, TODAY(), "M")&lt;18),
    1.10,
    1.00)</f>
        <v/>
      </c>
      <c r="O8470">
        <f>IF('Loan Tape (S&amp;P)'!T8470="Yes",
    1.35,
    1.00)</f>
        <v/>
      </c>
      <c r="P8470">
        <f>IF('Loan Tape (S&amp;P)'!S8470="Yes",
    1.15,
    1.00)</f>
        <v/>
      </c>
      <c r="Q8470">
        <f>IF('Loan Tape (S&amp;P)'!V8470="Yes",
    1.20,
    1.00)</f>
        <v/>
      </c>
      <c r="T8470">
        <f>LET(
    payment_method,'Loan Tape (S&amp;P)'!P8470,
    occupancy,'Loan Tape (S&amp;P)'!N8470,
    maturity_date,'Loan Tape (S&amp;P)'!L8470,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71">
      <c r="J8471">
        <f>LET(
    lien,'Loan Tape (S&amp;P)'!Q8471,
    IF(lien="First",1.00,
        IF(lien="Second",1.50,
            1.70)))</f>
        <v/>
      </c>
      <c r="K8471">
        <f>LET(
    purpose,'Loan Tape (S&amp;P)'!R8471,
    IF(purpose="Purchase",1.00,
        IF(purpose="Remortgage",1.00,
            1.20)))</f>
        <v/>
      </c>
      <c r="L8471">
        <f>LET(
    arrears_months,'Loan Tape (S&amp;P)'!AN8471,
    IF(arrears_months=0,1.00,
    IF(arrears_months=1,3.00,
    IF(arrears_months=2,5.00,
    IF(arrears_months=3,8.00,
    IF(arrears_months=4,10.00,
    IF(arrears_months=5,12.00,15.00)))))))</f>
        <v/>
      </c>
      <c r="M8471">
        <f>LET(
    seasoning_years,DATEDIF('Loan Tape (S&amp;P)'!K8471,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71">
        <f>IF(AND('Loan Tape (S&amp;P)'!U8471="Yes",
        'Loan Tape (S&amp;P)'!T8471&lt;&gt;"Yes",
        DATEDIF('Loan Tape (S&amp;P)'!K8471, TODAY(), "M")&lt;18),
    1.10,
    1.00)</f>
        <v/>
      </c>
      <c r="O8471">
        <f>IF('Loan Tape (S&amp;P)'!T8471="Yes",
    1.35,
    1.00)</f>
        <v/>
      </c>
      <c r="P8471">
        <f>IF('Loan Tape (S&amp;P)'!S8471="Yes",
    1.15,
    1.00)</f>
        <v/>
      </c>
      <c r="Q8471">
        <f>IF('Loan Tape (S&amp;P)'!V8471="Yes",
    1.20,
    1.00)</f>
        <v/>
      </c>
      <c r="T8471">
        <f>LET(
    payment_method,'Loan Tape (S&amp;P)'!P8471,
    occupancy,'Loan Tape (S&amp;P)'!N8471,
    maturity_date,'Loan Tape (S&amp;P)'!L8471,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72">
      <c r="J8472">
        <f>LET(
    lien,'Loan Tape (S&amp;P)'!Q8472,
    IF(lien="First",1.00,
        IF(lien="Second",1.50,
            1.70)))</f>
        <v/>
      </c>
      <c r="K8472">
        <f>LET(
    purpose,'Loan Tape (S&amp;P)'!R8472,
    IF(purpose="Purchase",1.00,
        IF(purpose="Remortgage",1.00,
            1.20)))</f>
        <v/>
      </c>
      <c r="L8472">
        <f>LET(
    arrears_months,'Loan Tape (S&amp;P)'!AN8472,
    IF(arrears_months=0,1.00,
    IF(arrears_months=1,3.00,
    IF(arrears_months=2,5.00,
    IF(arrears_months=3,8.00,
    IF(arrears_months=4,10.00,
    IF(arrears_months=5,12.00,15.00)))))))</f>
        <v/>
      </c>
      <c r="M8472">
        <f>LET(
    seasoning_years,DATEDIF('Loan Tape (S&amp;P)'!K8472,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72">
        <f>IF(AND('Loan Tape (S&amp;P)'!U8472="Yes",
        'Loan Tape (S&amp;P)'!T8472&lt;&gt;"Yes",
        DATEDIF('Loan Tape (S&amp;P)'!K8472, TODAY(), "M")&lt;18),
    1.10,
    1.00)</f>
        <v/>
      </c>
      <c r="O8472">
        <f>IF('Loan Tape (S&amp;P)'!T8472="Yes",
    1.35,
    1.00)</f>
        <v/>
      </c>
      <c r="P8472">
        <f>IF('Loan Tape (S&amp;P)'!S8472="Yes",
    1.15,
    1.00)</f>
        <v/>
      </c>
      <c r="Q8472">
        <f>IF('Loan Tape (S&amp;P)'!V8472="Yes",
    1.20,
    1.00)</f>
        <v/>
      </c>
      <c r="T8472">
        <f>LET(
    payment_method,'Loan Tape (S&amp;P)'!P8472,
    occupancy,'Loan Tape (S&amp;P)'!N8472,
    maturity_date,'Loan Tape (S&amp;P)'!L8472,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73">
      <c r="J8473">
        <f>LET(
    lien,'Loan Tape (S&amp;P)'!Q8473,
    IF(lien="First",1.00,
        IF(lien="Second",1.50,
            1.70)))</f>
        <v/>
      </c>
      <c r="K8473">
        <f>LET(
    purpose,'Loan Tape (S&amp;P)'!R8473,
    IF(purpose="Purchase",1.00,
        IF(purpose="Remortgage",1.00,
            1.20)))</f>
        <v/>
      </c>
      <c r="L8473">
        <f>LET(
    arrears_months,'Loan Tape (S&amp;P)'!AN8473,
    IF(arrears_months=0,1.00,
    IF(arrears_months=1,3.00,
    IF(arrears_months=2,5.00,
    IF(arrears_months=3,8.00,
    IF(arrears_months=4,10.00,
    IF(arrears_months=5,12.00,15.00)))))))</f>
        <v/>
      </c>
      <c r="M8473">
        <f>LET(
    seasoning_years,DATEDIF('Loan Tape (S&amp;P)'!K8473,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73">
        <f>IF(AND('Loan Tape (S&amp;P)'!U8473="Yes",
        'Loan Tape (S&amp;P)'!T8473&lt;&gt;"Yes",
        DATEDIF('Loan Tape (S&amp;P)'!K8473, TODAY(), "M")&lt;18),
    1.10,
    1.00)</f>
        <v/>
      </c>
      <c r="O8473">
        <f>IF('Loan Tape (S&amp;P)'!T8473="Yes",
    1.35,
    1.00)</f>
        <v/>
      </c>
      <c r="P8473">
        <f>IF('Loan Tape (S&amp;P)'!S8473="Yes",
    1.15,
    1.00)</f>
        <v/>
      </c>
      <c r="Q8473">
        <f>IF('Loan Tape (S&amp;P)'!V8473="Yes",
    1.20,
    1.00)</f>
        <v/>
      </c>
      <c r="T8473">
        <f>LET(
    payment_method,'Loan Tape (S&amp;P)'!P8473,
    occupancy,'Loan Tape (S&amp;P)'!N8473,
    maturity_date,'Loan Tape (S&amp;P)'!L8473,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74">
      <c r="J8474">
        <f>LET(
    lien,'Loan Tape (S&amp;P)'!Q8474,
    IF(lien="First",1.00,
        IF(lien="Second",1.50,
            1.70)))</f>
        <v/>
      </c>
      <c r="K8474">
        <f>LET(
    purpose,'Loan Tape (S&amp;P)'!R8474,
    IF(purpose="Purchase",1.00,
        IF(purpose="Remortgage",1.00,
            1.20)))</f>
        <v/>
      </c>
      <c r="L8474">
        <f>LET(
    arrears_months,'Loan Tape (S&amp;P)'!AN8474,
    IF(arrears_months=0,1.00,
    IF(arrears_months=1,3.00,
    IF(arrears_months=2,5.00,
    IF(arrears_months=3,8.00,
    IF(arrears_months=4,10.00,
    IF(arrears_months=5,12.00,15.00)))))))</f>
        <v/>
      </c>
      <c r="M8474">
        <f>LET(
    seasoning_years,DATEDIF('Loan Tape (S&amp;P)'!K8474,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74">
        <f>IF(AND('Loan Tape (S&amp;P)'!U8474="Yes",
        'Loan Tape (S&amp;P)'!T8474&lt;&gt;"Yes",
        DATEDIF('Loan Tape (S&amp;P)'!K8474, TODAY(), "M")&lt;18),
    1.10,
    1.00)</f>
        <v/>
      </c>
      <c r="O8474">
        <f>IF('Loan Tape (S&amp;P)'!T8474="Yes",
    1.35,
    1.00)</f>
        <v/>
      </c>
      <c r="P8474">
        <f>IF('Loan Tape (S&amp;P)'!S8474="Yes",
    1.15,
    1.00)</f>
        <v/>
      </c>
      <c r="Q8474">
        <f>IF('Loan Tape (S&amp;P)'!V8474="Yes",
    1.20,
    1.00)</f>
        <v/>
      </c>
      <c r="T8474">
        <f>LET(
    payment_method,'Loan Tape (S&amp;P)'!P8474,
    occupancy,'Loan Tape (S&amp;P)'!N8474,
    maturity_date,'Loan Tape (S&amp;P)'!L8474,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75">
      <c r="J8475">
        <f>LET(
    lien,'Loan Tape (S&amp;P)'!Q8475,
    IF(lien="First",1.00,
        IF(lien="Second",1.50,
            1.70)))</f>
        <v/>
      </c>
      <c r="K8475">
        <f>LET(
    purpose,'Loan Tape (S&amp;P)'!R8475,
    IF(purpose="Purchase",1.00,
        IF(purpose="Remortgage",1.00,
            1.20)))</f>
        <v/>
      </c>
      <c r="L8475">
        <f>LET(
    arrears_months,'Loan Tape (S&amp;P)'!AN8475,
    IF(arrears_months=0,1.00,
    IF(arrears_months=1,3.00,
    IF(arrears_months=2,5.00,
    IF(arrears_months=3,8.00,
    IF(arrears_months=4,10.00,
    IF(arrears_months=5,12.00,15.00)))))))</f>
        <v/>
      </c>
      <c r="M8475">
        <f>LET(
    seasoning_years,DATEDIF('Loan Tape (S&amp;P)'!K8475,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75">
        <f>IF(AND('Loan Tape (S&amp;P)'!U8475="Yes",
        'Loan Tape (S&amp;P)'!T8475&lt;&gt;"Yes",
        DATEDIF('Loan Tape (S&amp;P)'!K8475, TODAY(), "M")&lt;18),
    1.10,
    1.00)</f>
        <v/>
      </c>
      <c r="O8475">
        <f>IF('Loan Tape (S&amp;P)'!T8475="Yes",
    1.35,
    1.00)</f>
        <v/>
      </c>
      <c r="P8475">
        <f>IF('Loan Tape (S&amp;P)'!S8475="Yes",
    1.15,
    1.00)</f>
        <v/>
      </c>
      <c r="Q8475">
        <f>IF('Loan Tape (S&amp;P)'!V8475="Yes",
    1.20,
    1.00)</f>
        <v/>
      </c>
      <c r="T8475">
        <f>LET(
    payment_method,'Loan Tape (S&amp;P)'!P8475,
    occupancy,'Loan Tape (S&amp;P)'!N8475,
    maturity_date,'Loan Tape (S&amp;P)'!L8475,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76">
      <c r="J8476">
        <f>LET(
    lien,'Loan Tape (S&amp;P)'!Q8476,
    IF(lien="First",1.00,
        IF(lien="Second",1.50,
            1.70)))</f>
        <v/>
      </c>
      <c r="K8476">
        <f>LET(
    purpose,'Loan Tape (S&amp;P)'!R8476,
    IF(purpose="Purchase",1.00,
        IF(purpose="Remortgage",1.00,
            1.20)))</f>
        <v/>
      </c>
      <c r="L8476">
        <f>LET(
    arrears_months,'Loan Tape (S&amp;P)'!AN8476,
    IF(arrears_months=0,1.00,
    IF(arrears_months=1,3.00,
    IF(arrears_months=2,5.00,
    IF(arrears_months=3,8.00,
    IF(arrears_months=4,10.00,
    IF(arrears_months=5,12.00,15.00)))))))</f>
        <v/>
      </c>
      <c r="M8476">
        <f>LET(
    seasoning_years,DATEDIF('Loan Tape (S&amp;P)'!K8476,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76">
        <f>IF(AND('Loan Tape (S&amp;P)'!U8476="Yes",
        'Loan Tape (S&amp;P)'!T8476&lt;&gt;"Yes",
        DATEDIF('Loan Tape (S&amp;P)'!K8476, TODAY(), "M")&lt;18),
    1.10,
    1.00)</f>
        <v/>
      </c>
      <c r="O8476">
        <f>IF('Loan Tape (S&amp;P)'!T8476="Yes",
    1.35,
    1.00)</f>
        <v/>
      </c>
      <c r="P8476">
        <f>IF('Loan Tape (S&amp;P)'!S8476="Yes",
    1.15,
    1.00)</f>
        <v/>
      </c>
      <c r="Q8476">
        <f>IF('Loan Tape (S&amp;P)'!V8476="Yes",
    1.20,
    1.00)</f>
        <v/>
      </c>
      <c r="T8476">
        <f>LET(
    payment_method,'Loan Tape (S&amp;P)'!P8476,
    occupancy,'Loan Tape (S&amp;P)'!N8476,
    maturity_date,'Loan Tape (S&amp;P)'!L8476,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77">
      <c r="J8477">
        <f>LET(
    lien,'Loan Tape (S&amp;P)'!Q8477,
    IF(lien="First",1.00,
        IF(lien="Second",1.50,
            1.70)))</f>
        <v/>
      </c>
      <c r="K8477">
        <f>LET(
    purpose,'Loan Tape (S&amp;P)'!R8477,
    IF(purpose="Purchase",1.00,
        IF(purpose="Remortgage",1.00,
            1.20)))</f>
        <v/>
      </c>
      <c r="L8477">
        <f>LET(
    arrears_months,'Loan Tape (S&amp;P)'!AN8477,
    IF(arrears_months=0,1.00,
    IF(arrears_months=1,3.00,
    IF(arrears_months=2,5.00,
    IF(arrears_months=3,8.00,
    IF(arrears_months=4,10.00,
    IF(arrears_months=5,12.00,15.00)))))))</f>
        <v/>
      </c>
      <c r="M8477">
        <f>LET(
    seasoning_years,DATEDIF('Loan Tape (S&amp;P)'!K8477,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77">
        <f>IF(AND('Loan Tape (S&amp;P)'!U8477="Yes",
        'Loan Tape (S&amp;P)'!T8477&lt;&gt;"Yes",
        DATEDIF('Loan Tape (S&amp;P)'!K8477, TODAY(), "M")&lt;18),
    1.10,
    1.00)</f>
        <v/>
      </c>
      <c r="O8477">
        <f>IF('Loan Tape (S&amp;P)'!T8477="Yes",
    1.35,
    1.00)</f>
        <v/>
      </c>
      <c r="P8477">
        <f>IF('Loan Tape (S&amp;P)'!S8477="Yes",
    1.15,
    1.00)</f>
        <v/>
      </c>
      <c r="Q8477">
        <f>IF('Loan Tape (S&amp;P)'!V8477="Yes",
    1.20,
    1.00)</f>
        <v/>
      </c>
      <c r="T8477">
        <f>LET(
    payment_method,'Loan Tape (S&amp;P)'!P8477,
    occupancy,'Loan Tape (S&amp;P)'!N8477,
    maturity_date,'Loan Tape (S&amp;P)'!L8477,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78">
      <c r="J8478">
        <f>LET(
    lien,'Loan Tape (S&amp;P)'!Q8478,
    IF(lien="First",1.00,
        IF(lien="Second",1.50,
            1.70)))</f>
        <v/>
      </c>
      <c r="K8478">
        <f>LET(
    purpose,'Loan Tape (S&amp;P)'!R8478,
    IF(purpose="Purchase",1.00,
        IF(purpose="Remortgage",1.00,
            1.20)))</f>
        <v/>
      </c>
      <c r="L8478">
        <f>LET(
    arrears_months,'Loan Tape (S&amp;P)'!AN8478,
    IF(arrears_months=0,1.00,
    IF(arrears_months=1,3.00,
    IF(arrears_months=2,5.00,
    IF(arrears_months=3,8.00,
    IF(arrears_months=4,10.00,
    IF(arrears_months=5,12.00,15.00)))))))</f>
        <v/>
      </c>
      <c r="M8478">
        <f>LET(
    seasoning_years,DATEDIF('Loan Tape (S&amp;P)'!K8478,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78">
        <f>IF(AND('Loan Tape (S&amp;P)'!U8478="Yes",
        'Loan Tape (S&amp;P)'!T8478&lt;&gt;"Yes",
        DATEDIF('Loan Tape (S&amp;P)'!K8478, TODAY(), "M")&lt;18),
    1.10,
    1.00)</f>
        <v/>
      </c>
      <c r="O8478">
        <f>IF('Loan Tape (S&amp;P)'!T8478="Yes",
    1.35,
    1.00)</f>
        <v/>
      </c>
      <c r="P8478">
        <f>IF('Loan Tape (S&amp;P)'!S8478="Yes",
    1.15,
    1.00)</f>
        <v/>
      </c>
      <c r="Q8478">
        <f>IF('Loan Tape (S&amp;P)'!V8478="Yes",
    1.20,
    1.00)</f>
        <v/>
      </c>
      <c r="T8478">
        <f>LET(
    payment_method,'Loan Tape (S&amp;P)'!P8478,
    occupancy,'Loan Tape (S&amp;P)'!N8478,
    maturity_date,'Loan Tape (S&amp;P)'!L8478,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79">
      <c r="J8479">
        <f>LET(
    lien,'Loan Tape (S&amp;P)'!Q8479,
    IF(lien="First",1.00,
        IF(lien="Second",1.50,
            1.70)))</f>
        <v/>
      </c>
      <c r="K8479">
        <f>LET(
    purpose,'Loan Tape (S&amp;P)'!R8479,
    IF(purpose="Purchase",1.00,
        IF(purpose="Remortgage",1.00,
            1.20)))</f>
        <v/>
      </c>
      <c r="L8479">
        <f>LET(
    arrears_months,'Loan Tape (S&amp;P)'!AN8479,
    IF(arrears_months=0,1.00,
    IF(arrears_months=1,3.00,
    IF(arrears_months=2,5.00,
    IF(arrears_months=3,8.00,
    IF(arrears_months=4,10.00,
    IF(arrears_months=5,12.00,15.00)))))))</f>
        <v/>
      </c>
      <c r="M8479">
        <f>LET(
    seasoning_years,DATEDIF('Loan Tape (S&amp;P)'!K8479,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79">
        <f>IF(AND('Loan Tape (S&amp;P)'!U8479="Yes",
        'Loan Tape (S&amp;P)'!T8479&lt;&gt;"Yes",
        DATEDIF('Loan Tape (S&amp;P)'!K8479, TODAY(), "M")&lt;18),
    1.10,
    1.00)</f>
        <v/>
      </c>
      <c r="O8479">
        <f>IF('Loan Tape (S&amp;P)'!T8479="Yes",
    1.35,
    1.00)</f>
        <v/>
      </c>
      <c r="P8479">
        <f>IF('Loan Tape (S&amp;P)'!S8479="Yes",
    1.15,
    1.00)</f>
        <v/>
      </c>
      <c r="Q8479">
        <f>IF('Loan Tape (S&amp;P)'!V8479="Yes",
    1.20,
    1.00)</f>
        <v/>
      </c>
      <c r="T8479">
        <f>LET(
    payment_method,'Loan Tape (S&amp;P)'!P8479,
    occupancy,'Loan Tape (S&amp;P)'!N8479,
    maturity_date,'Loan Tape (S&amp;P)'!L8479,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80">
      <c r="J8480">
        <f>LET(
    lien,'Loan Tape (S&amp;P)'!Q8480,
    IF(lien="First",1.00,
        IF(lien="Second",1.50,
            1.70)))</f>
        <v/>
      </c>
      <c r="K8480">
        <f>LET(
    purpose,'Loan Tape (S&amp;P)'!R8480,
    IF(purpose="Purchase",1.00,
        IF(purpose="Remortgage",1.00,
            1.20)))</f>
        <v/>
      </c>
      <c r="L8480">
        <f>LET(
    arrears_months,'Loan Tape (S&amp;P)'!AN8480,
    IF(arrears_months=0,1.00,
    IF(arrears_months=1,3.00,
    IF(arrears_months=2,5.00,
    IF(arrears_months=3,8.00,
    IF(arrears_months=4,10.00,
    IF(arrears_months=5,12.00,15.00)))))))</f>
        <v/>
      </c>
      <c r="M8480">
        <f>LET(
    seasoning_years,DATEDIF('Loan Tape (S&amp;P)'!K8480,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80">
        <f>IF(AND('Loan Tape (S&amp;P)'!U8480="Yes",
        'Loan Tape (S&amp;P)'!T8480&lt;&gt;"Yes",
        DATEDIF('Loan Tape (S&amp;P)'!K8480, TODAY(), "M")&lt;18),
    1.10,
    1.00)</f>
        <v/>
      </c>
      <c r="O8480">
        <f>IF('Loan Tape (S&amp;P)'!T8480="Yes",
    1.35,
    1.00)</f>
        <v/>
      </c>
      <c r="P8480">
        <f>IF('Loan Tape (S&amp;P)'!S8480="Yes",
    1.15,
    1.00)</f>
        <v/>
      </c>
      <c r="Q8480">
        <f>IF('Loan Tape (S&amp;P)'!V8480="Yes",
    1.20,
    1.00)</f>
        <v/>
      </c>
      <c r="T8480">
        <f>LET(
    payment_method,'Loan Tape (S&amp;P)'!P8480,
    occupancy,'Loan Tape (S&amp;P)'!N8480,
    maturity_date,'Loan Tape (S&amp;P)'!L8480,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81">
      <c r="J8481">
        <f>LET(
    lien,'Loan Tape (S&amp;P)'!Q8481,
    IF(lien="First",1.00,
        IF(lien="Second",1.50,
            1.70)))</f>
        <v/>
      </c>
      <c r="K8481">
        <f>LET(
    purpose,'Loan Tape (S&amp;P)'!R8481,
    IF(purpose="Purchase",1.00,
        IF(purpose="Remortgage",1.00,
            1.20)))</f>
        <v/>
      </c>
      <c r="L8481">
        <f>LET(
    arrears_months,'Loan Tape (S&amp;P)'!AN8481,
    IF(arrears_months=0,1.00,
    IF(arrears_months=1,3.00,
    IF(arrears_months=2,5.00,
    IF(arrears_months=3,8.00,
    IF(arrears_months=4,10.00,
    IF(arrears_months=5,12.00,15.00)))))))</f>
        <v/>
      </c>
      <c r="M8481">
        <f>LET(
    seasoning_years,DATEDIF('Loan Tape (S&amp;P)'!K8481,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81">
        <f>IF(AND('Loan Tape (S&amp;P)'!U8481="Yes",
        'Loan Tape (S&amp;P)'!T8481&lt;&gt;"Yes",
        DATEDIF('Loan Tape (S&amp;P)'!K8481, TODAY(), "M")&lt;18),
    1.10,
    1.00)</f>
        <v/>
      </c>
      <c r="O8481">
        <f>IF('Loan Tape (S&amp;P)'!T8481="Yes",
    1.35,
    1.00)</f>
        <v/>
      </c>
      <c r="P8481">
        <f>IF('Loan Tape (S&amp;P)'!S8481="Yes",
    1.15,
    1.00)</f>
        <v/>
      </c>
      <c r="Q8481">
        <f>IF('Loan Tape (S&amp;P)'!V8481="Yes",
    1.20,
    1.00)</f>
        <v/>
      </c>
      <c r="T8481">
        <f>LET(
    payment_method,'Loan Tape (S&amp;P)'!P8481,
    occupancy,'Loan Tape (S&amp;P)'!N8481,
    maturity_date,'Loan Tape (S&amp;P)'!L8481,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82">
      <c r="J8482">
        <f>LET(
    lien,'Loan Tape (S&amp;P)'!Q8482,
    IF(lien="First",1.00,
        IF(lien="Second",1.50,
            1.70)))</f>
        <v/>
      </c>
      <c r="K8482">
        <f>LET(
    purpose,'Loan Tape (S&amp;P)'!R8482,
    IF(purpose="Purchase",1.00,
        IF(purpose="Remortgage",1.00,
            1.20)))</f>
        <v/>
      </c>
      <c r="L8482">
        <f>LET(
    arrears_months,'Loan Tape (S&amp;P)'!AN8482,
    IF(arrears_months=0,1.00,
    IF(arrears_months=1,3.00,
    IF(arrears_months=2,5.00,
    IF(arrears_months=3,8.00,
    IF(arrears_months=4,10.00,
    IF(arrears_months=5,12.00,15.00)))))))</f>
        <v/>
      </c>
      <c r="M8482">
        <f>LET(
    seasoning_years,DATEDIF('Loan Tape (S&amp;P)'!K8482,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82">
        <f>IF(AND('Loan Tape (S&amp;P)'!U8482="Yes",
        'Loan Tape (S&amp;P)'!T8482&lt;&gt;"Yes",
        DATEDIF('Loan Tape (S&amp;P)'!K8482, TODAY(), "M")&lt;18),
    1.10,
    1.00)</f>
        <v/>
      </c>
      <c r="O8482">
        <f>IF('Loan Tape (S&amp;P)'!T8482="Yes",
    1.35,
    1.00)</f>
        <v/>
      </c>
      <c r="P8482">
        <f>IF('Loan Tape (S&amp;P)'!S8482="Yes",
    1.15,
    1.00)</f>
        <v/>
      </c>
      <c r="Q8482">
        <f>IF('Loan Tape (S&amp;P)'!V8482="Yes",
    1.20,
    1.00)</f>
        <v/>
      </c>
      <c r="T8482">
        <f>LET(
    payment_method,'Loan Tape (S&amp;P)'!P8482,
    occupancy,'Loan Tape (S&amp;P)'!N8482,
    maturity_date,'Loan Tape (S&amp;P)'!L8482,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83">
      <c r="J8483">
        <f>LET(
    lien,'Loan Tape (S&amp;P)'!Q8483,
    IF(lien="First",1.00,
        IF(lien="Second",1.50,
            1.70)))</f>
        <v/>
      </c>
      <c r="K8483">
        <f>LET(
    purpose,'Loan Tape (S&amp;P)'!R8483,
    IF(purpose="Purchase",1.00,
        IF(purpose="Remortgage",1.00,
            1.20)))</f>
        <v/>
      </c>
      <c r="L8483">
        <f>LET(
    arrears_months,'Loan Tape (S&amp;P)'!AN8483,
    IF(arrears_months=0,1.00,
    IF(arrears_months=1,3.00,
    IF(arrears_months=2,5.00,
    IF(arrears_months=3,8.00,
    IF(arrears_months=4,10.00,
    IF(arrears_months=5,12.00,15.00)))))))</f>
        <v/>
      </c>
      <c r="M8483">
        <f>LET(
    seasoning_years,DATEDIF('Loan Tape (S&amp;P)'!K8483,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83">
        <f>IF(AND('Loan Tape (S&amp;P)'!U8483="Yes",
        'Loan Tape (S&amp;P)'!T8483&lt;&gt;"Yes",
        DATEDIF('Loan Tape (S&amp;P)'!K8483, TODAY(), "M")&lt;18),
    1.10,
    1.00)</f>
        <v/>
      </c>
      <c r="O8483">
        <f>IF('Loan Tape (S&amp;P)'!T8483="Yes",
    1.35,
    1.00)</f>
        <v/>
      </c>
      <c r="P8483">
        <f>IF('Loan Tape (S&amp;P)'!S8483="Yes",
    1.15,
    1.00)</f>
        <v/>
      </c>
      <c r="Q8483">
        <f>IF('Loan Tape (S&amp;P)'!V8483="Yes",
    1.20,
    1.00)</f>
        <v/>
      </c>
      <c r="T8483">
        <f>LET(
    payment_method,'Loan Tape (S&amp;P)'!P8483,
    occupancy,'Loan Tape (S&amp;P)'!N8483,
    maturity_date,'Loan Tape (S&amp;P)'!L8483,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84">
      <c r="J8484">
        <f>LET(
    lien,'Loan Tape (S&amp;P)'!Q8484,
    IF(lien="First",1.00,
        IF(lien="Second",1.50,
            1.70)))</f>
        <v/>
      </c>
      <c r="K8484">
        <f>LET(
    purpose,'Loan Tape (S&amp;P)'!R8484,
    IF(purpose="Purchase",1.00,
        IF(purpose="Remortgage",1.00,
            1.20)))</f>
        <v/>
      </c>
      <c r="L8484">
        <f>LET(
    arrears_months,'Loan Tape (S&amp;P)'!AN8484,
    IF(arrears_months=0,1.00,
    IF(arrears_months=1,3.00,
    IF(arrears_months=2,5.00,
    IF(arrears_months=3,8.00,
    IF(arrears_months=4,10.00,
    IF(arrears_months=5,12.00,15.00)))))))</f>
        <v/>
      </c>
      <c r="M8484">
        <f>LET(
    seasoning_years,DATEDIF('Loan Tape (S&amp;P)'!K8484,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84">
        <f>IF(AND('Loan Tape (S&amp;P)'!U8484="Yes",
        'Loan Tape (S&amp;P)'!T8484&lt;&gt;"Yes",
        DATEDIF('Loan Tape (S&amp;P)'!K8484, TODAY(), "M")&lt;18),
    1.10,
    1.00)</f>
        <v/>
      </c>
      <c r="O8484">
        <f>IF('Loan Tape (S&amp;P)'!T8484="Yes",
    1.35,
    1.00)</f>
        <v/>
      </c>
      <c r="P8484">
        <f>IF('Loan Tape (S&amp;P)'!S8484="Yes",
    1.15,
    1.00)</f>
        <v/>
      </c>
      <c r="Q8484">
        <f>IF('Loan Tape (S&amp;P)'!V8484="Yes",
    1.20,
    1.00)</f>
        <v/>
      </c>
      <c r="T8484">
        <f>LET(
    payment_method,'Loan Tape (S&amp;P)'!P8484,
    occupancy,'Loan Tape (S&amp;P)'!N8484,
    maturity_date,'Loan Tape (S&amp;P)'!L8484,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85">
      <c r="J8485">
        <f>LET(
    lien,'Loan Tape (S&amp;P)'!Q8485,
    IF(lien="First",1.00,
        IF(lien="Second",1.50,
            1.70)))</f>
        <v/>
      </c>
      <c r="K8485">
        <f>LET(
    purpose,'Loan Tape (S&amp;P)'!R8485,
    IF(purpose="Purchase",1.00,
        IF(purpose="Remortgage",1.00,
            1.20)))</f>
        <v/>
      </c>
      <c r="L8485">
        <f>LET(
    arrears_months,'Loan Tape (S&amp;P)'!AN8485,
    IF(arrears_months=0,1.00,
    IF(arrears_months=1,3.00,
    IF(arrears_months=2,5.00,
    IF(arrears_months=3,8.00,
    IF(arrears_months=4,10.00,
    IF(arrears_months=5,12.00,15.00)))))))</f>
        <v/>
      </c>
      <c r="M8485">
        <f>LET(
    seasoning_years,DATEDIF('Loan Tape (S&amp;P)'!K8485,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85">
        <f>IF(AND('Loan Tape (S&amp;P)'!U8485="Yes",
        'Loan Tape (S&amp;P)'!T8485&lt;&gt;"Yes",
        DATEDIF('Loan Tape (S&amp;P)'!K8485, TODAY(), "M")&lt;18),
    1.10,
    1.00)</f>
        <v/>
      </c>
      <c r="O8485">
        <f>IF('Loan Tape (S&amp;P)'!T8485="Yes",
    1.35,
    1.00)</f>
        <v/>
      </c>
      <c r="P8485">
        <f>IF('Loan Tape (S&amp;P)'!S8485="Yes",
    1.15,
    1.00)</f>
        <v/>
      </c>
      <c r="Q8485">
        <f>IF('Loan Tape (S&amp;P)'!V8485="Yes",
    1.20,
    1.00)</f>
        <v/>
      </c>
      <c r="T8485">
        <f>LET(
    payment_method,'Loan Tape (S&amp;P)'!P8485,
    occupancy,'Loan Tape (S&amp;P)'!N8485,
    maturity_date,'Loan Tape (S&amp;P)'!L8485,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86">
      <c r="J8486">
        <f>LET(
    lien,'Loan Tape (S&amp;P)'!Q8486,
    IF(lien="First",1.00,
        IF(lien="Second",1.50,
            1.70)))</f>
        <v/>
      </c>
      <c r="K8486">
        <f>LET(
    purpose,'Loan Tape (S&amp;P)'!R8486,
    IF(purpose="Purchase",1.00,
        IF(purpose="Remortgage",1.00,
            1.20)))</f>
        <v/>
      </c>
      <c r="L8486">
        <f>LET(
    arrears_months,'Loan Tape (S&amp;P)'!AN8486,
    IF(arrears_months=0,1.00,
    IF(arrears_months=1,3.00,
    IF(arrears_months=2,5.00,
    IF(arrears_months=3,8.00,
    IF(arrears_months=4,10.00,
    IF(arrears_months=5,12.00,15.00)))))))</f>
        <v/>
      </c>
      <c r="M8486">
        <f>LET(
    seasoning_years,DATEDIF('Loan Tape (S&amp;P)'!K8486,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86">
        <f>IF(AND('Loan Tape (S&amp;P)'!U8486="Yes",
        'Loan Tape (S&amp;P)'!T8486&lt;&gt;"Yes",
        DATEDIF('Loan Tape (S&amp;P)'!K8486, TODAY(), "M")&lt;18),
    1.10,
    1.00)</f>
        <v/>
      </c>
      <c r="O8486">
        <f>IF('Loan Tape (S&amp;P)'!T8486="Yes",
    1.35,
    1.00)</f>
        <v/>
      </c>
      <c r="P8486">
        <f>IF('Loan Tape (S&amp;P)'!S8486="Yes",
    1.15,
    1.00)</f>
        <v/>
      </c>
      <c r="Q8486">
        <f>IF('Loan Tape (S&amp;P)'!V8486="Yes",
    1.20,
    1.00)</f>
        <v/>
      </c>
      <c r="T8486">
        <f>LET(
    payment_method,'Loan Tape (S&amp;P)'!P8486,
    occupancy,'Loan Tape (S&amp;P)'!N8486,
    maturity_date,'Loan Tape (S&amp;P)'!L8486,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87">
      <c r="J8487">
        <f>LET(
    lien,'Loan Tape (S&amp;P)'!Q8487,
    IF(lien="First",1.00,
        IF(lien="Second",1.50,
            1.70)))</f>
        <v/>
      </c>
      <c r="K8487">
        <f>LET(
    purpose,'Loan Tape (S&amp;P)'!R8487,
    IF(purpose="Purchase",1.00,
        IF(purpose="Remortgage",1.00,
            1.20)))</f>
        <v/>
      </c>
      <c r="L8487">
        <f>LET(
    arrears_months,'Loan Tape (S&amp;P)'!AN8487,
    IF(arrears_months=0,1.00,
    IF(arrears_months=1,3.00,
    IF(arrears_months=2,5.00,
    IF(arrears_months=3,8.00,
    IF(arrears_months=4,10.00,
    IF(arrears_months=5,12.00,15.00)))))))</f>
        <v/>
      </c>
      <c r="M8487">
        <f>LET(
    seasoning_years,DATEDIF('Loan Tape (S&amp;P)'!K8487,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87">
        <f>IF(AND('Loan Tape (S&amp;P)'!U8487="Yes",
        'Loan Tape (S&amp;P)'!T8487&lt;&gt;"Yes",
        DATEDIF('Loan Tape (S&amp;P)'!K8487, TODAY(), "M")&lt;18),
    1.10,
    1.00)</f>
        <v/>
      </c>
      <c r="O8487">
        <f>IF('Loan Tape (S&amp;P)'!T8487="Yes",
    1.35,
    1.00)</f>
        <v/>
      </c>
      <c r="P8487">
        <f>IF('Loan Tape (S&amp;P)'!S8487="Yes",
    1.15,
    1.00)</f>
        <v/>
      </c>
      <c r="Q8487">
        <f>IF('Loan Tape (S&amp;P)'!V8487="Yes",
    1.20,
    1.00)</f>
        <v/>
      </c>
      <c r="T8487">
        <f>LET(
    payment_method,'Loan Tape (S&amp;P)'!P8487,
    occupancy,'Loan Tape (S&amp;P)'!N8487,
    maturity_date,'Loan Tape (S&amp;P)'!L8487,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88">
      <c r="J8488">
        <f>LET(
    lien,'Loan Tape (S&amp;P)'!Q8488,
    IF(lien="First",1.00,
        IF(lien="Second",1.50,
            1.70)))</f>
        <v/>
      </c>
      <c r="K8488">
        <f>LET(
    purpose,'Loan Tape (S&amp;P)'!R8488,
    IF(purpose="Purchase",1.00,
        IF(purpose="Remortgage",1.00,
            1.20)))</f>
        <v/>
      </c>
      <c r="L8488">
        <f>LET(
    arrears_months,'Loan Tape (S&amp;P)'!AN8488,
    IF(arrears_months=0,1.00,
    IF(arrears_months=1,3.00,
    IF(arrears_months=2,5.00,
    IF(arrears_months=3,8.00,
    IF(arrears_months=4,10.00,
    IF(arrears_months=5,12.00,15.00)))))))</f>
        <v/>
      </c>
      <c r="M8488">
        <f>LET(
    seasoning_years,DATEDIF('Loan Tape (S&amp;P)'!K8488,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88">
        <f>IF(AND('Loan Tape (S&amp;P)'!U8488="Yes",
        'Loan Tape (S&amp;P)'!T8488&lt;&gt;"Yes",
        DATEDIF('Loan Tape (S&amp;P)'!K8488, TODAY(), "M")&lt;18),
    1.10,
    1.00)</f>
        <v/>
      </c>
      <c r="O8488">
        <f>IF('Loan Tape (S&amp;P)'!T8488="Yes",
    1.35,
    1.00)</f>
        <v/>
      </c>
      <c r="P8488">
        <f>IF('Loan Tape (S&amp;P)'!S8488="Yes",
    1.15,
    1.00)</f>
        <v/>
      </c>
      <c r="Q8488">
        <f>IF('Loan Tape (S&amp;P)'!V8488="Yes",
    1.20,
    1.00)</f>
        <v/>
      </c>
      <c r="T8488">
        <f>LET(
    payment_method,'Loan Tape (S&amp;P)'!P8488,
    occupancy,'Loan Tape (S&amp;P)'!N8488,
    maturity_date,'Loan Tape (S&amp;P)'!L8488,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89">
      <c r="J8489">
        <f>LET(
    lien,'Loan Tape (S&amp;P)'!Q8489,
    IF(lien="First",1.00,
        IF(lien="Second",1.50,
            1.70)))</f>
        <v/>
      </c>
      <c r="K8489">
        <f>LET(
    purpose,'Loan Tape (S&amp;P)'!R8489,
    IF(purpose="Purchase",1.00,
        IF(purpose="Remortgage",1.00,
            1.20)))</f>
        <v/>
      </c>
      <c r="L8489">
        <f>LET(
    arrears_months,'Loan Tape (S&amp;P)'!AN8489,
    IF(arrears_months=0,1.00,
    IF(arrears_months=1,3.00,
    IF(arrears_months=2,5.00,
    IF(arrears_months=3,8.00,
    IF(arrears_months=4,10.00,
    IF(arrears_months=5,12.00,15.00)))))))</f>
        <v/>
      </c>
      <c r="M8489">
        <f>LET(
    seasoning_years,DATEDIF('Loan Tape (S&amp;P)'!K8489,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89">
        <f>IF(AND('Loan Tape (S&amp;P)'!U8489="Yes",
        'Loan Tape (S&amp;P)'!T8489&lt;&gt;"Yes",
        DATEDIF('Loan Tape (S&amp;P)'!K8489, TODAY(), "M")&lt;18),
    1.10,
    1.00)</f>
        <v/>
      </c>
      <c r="O8489">
        <f>IF('Loan Tape (S&amp;P)'!T8489="Yes",
    1.35,
    1.00)</f>
        <v/>
      </c>
      <c r="P8489">
        <f>IF('Loan Tape (S&amp;P)'!S8489="Yes",
    1.15,
    1.00)</f>
        <v/>
      </c>
      <c r="Q8489">
        <f>IF('Loan Tape (S&amp;P)'!V8489="Yes",
    1.20,
    1.00)</f>
        <v/>
      </c>
      <c r="T8489">
        <f>LET(
    payment_method,'Loan Tape (S&amp;P)'!P8489,
    occupancy,'Loan Tape (S&amp;P)'!N8489,
    maturity_date,'Loan Tape (S&amp;P)'!L8489,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90">
      <c r="J8490">
        <f>LET(
    lien,'Loan Tape (S&amp;P)'!Q8490,
    IF(lien="First",1.00,
        IF(lien="Second",1.50,
            1.70)))</f>
        <v/>
      </c>
      <c r="K8490">
        <f>LET(
    purpose,'Loan Tape (S&amp;P)'!R8490,
    IF(purpose="Purchase",1.00,
        IF(purpose="Remortgage",1.00,
            1.20)))</f>
        <v/>
      </c>
      <c r="L8490">
        <f>LET(
    arrears_months,'Loan Tape (S&amp;P)'!AN8490,
    IF(arrears_months=0,1.00,
    IF(arrears_months=1,3.00,
    IF(arrears_months=2,5.00,
    IF(arrears_months=3,8.00,
    IF(arrears_months=4,10.00,
    IF(arrears_months=5,12.00,15.00)))))))</f>
        <v/>
      </c>
      <c r="M8490">
        <f>LET(
    seasoning_years,DATEDIF('Loan Tape (S&amp;P)'!K8490,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90">
        <f>IF(AND('Loan Tape (S&amp;P)'!U8490="Yes",
        'Loan Tape (S&amp;P)'!T8490&lt;&gt;"Yes",
        DATEDIF('Loan Tape (S&amp;P)'!K8490, TODAY(), "M")&lt;18),
    1.10,
    1.00)</f>
        <v/>
      </c>
      <c r="O8490">
        <f>IF('Loan Tape (S&amp;P)'!T8490="Yes",
    1.35,
    1.00)</f>
        <v/>
      </c>
      <c r="P8490">
        <f>IF('Loan Tape (S&amp;P)'!S8490="Yes",
    1.15,
    1.00)</f>
        <v/>
      </c>
      <c r="Q8490">
        <f>IF('Loan Tape (S&amp;P)'!V8490="Yes",
    1.20,
    1.00)</f>
        <v/>
      </c>
      <c r="T8490">
        <f>LET(
    payment_method,'Loan Tape (S&amp;P)'!P8490,
    occupancy,'Loan Tape (S&amp;P)'!N8490,
    maturity_date,'Loan Tape (S&amp;P)'!L8490,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91">
      <c r="J8491">
        <f>LET(
    lien,'Loan Tape (S&amp;P)'!Q8491,
    IF(lien="First",1.00,
        IF(lien="Second",1.50,
            1.70)))</f>
        <v/>
      </c>
      <c r="K8491">
        <f>LET(
    purpose,'Loan Tape (S&amp;P)'!R8491,
    IF(purpose="Purchase",1.00,
        IF(purpose="Remortgage",1.00,
            1.20)))</f>
        <v/>
      </c>
      <c r="L8491">
        <f>LET(
    arrears_months,'Loan Tape (S&amp;P)'!AN8491,
    IF(arrears_months=0,1.00,
    IF(arrears_months=1,3.00,
    IF(arrears_months=2,5.00,
    IF(arrears_months=3,8.00,
    IF(arrears_months=4,10.00,
    IF(arrears_months=5,12.00,15.00)))))))</f>
        <v/>
      </c>
      <c r="M8491">
        <f>LET(
    seasoning_years,DATEDIF('Loan Tape (S&amp;P)'!K8491,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91">
        <f>IF(AND('Loan Tape (S&amp;P)'!U8491="Yes",
        'Loan Tape (S&amp;P)'!T8491&lt;&gt;"Yes",
        DATEDIF('Loan Tape (S&amp;P)'!K8491, TODAY(), "M")&lt;18),
    1.10,
    1.00)</f>
        <v/>
      </c>
      <c r="O8491">
        <f>IF('Loan Tape (S&amp;P)'!T8491="Yes",
    1.35,
    1.00)</f>
        <v/>
      </c>
      <c r="P8491">
        <f>IF('Loan Tape (S&amp;P)'!S8491="Yes",
    1.15,
    1.00)</f>
        <v/>
      </c>
      <c r="Q8491">
        <f>IF('Loan Tape (S&amp;P)'!V8491="Yes",
    1.20,
    1.00)</f>
        <v/>
      </c>
      <c r="T8491">
        <f>LET(
    payment_method,'Loan Tape (S&amp;P)'!P8491,
    occupancy,'Loan Tape (S&amp;P)'!N8491,
    maturity_date,'Loan Tape (S&amp;P)'!L8491,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92">
      <c r="J8492">
        <f>LET(
    lien,'Loan Tape (S&amp;P)'!Q8492,
    IF(lien="First",1.00,
        IF(lien="Second",1.50,
            1.70)))</f>
        <v/>
      </c>
      <c r="K8492">
        <f>LET(
    purpose,'Loan Tape (S&amp;P)'!R8492,
    IF(purpose="Purchase",1.00,
        IF(purpose="Remortgage",1.00,
            1.20)))</f>
        <v/>
      </c>
      <c r="L8492">
        <f>LET(
    arrears_months,'Loan Tape (S&amp;P)'!AN8492,
    IF(arrears_months=0,1.00,
    IF(arrears_months=1,3.00,
    IF(arrears_months=2,5.00,
    IF(arrears_months=3,8.00,
    IF(arrears_months=4,10.00,
    IF(arrears_months=5,12.00,15.00)))))))</f>
        <v/>
      </c>
      <c r="M8492">
        <f>LET(
    seasoning_years,DATEDIF('Loan Tape (S&amp;P)'!K8492,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92">
        <f>IF(AND('Loan Tape (S&amp;P)'!U8492="Yes",
        'Loan Tape (S&amp;P)'!T8492&lt;&gt;"Yes",
        DATEDIF('Loan Tape (S&amp;P)'!K8492, TODAY(), "M")&lt;18),
    1.10,
    1.00)</f>
        <v/>
      </c>
      <c r="O8492">
        <f>IF('Loan Tape (S&amp;P)'!T8492="Yes",
    1.35,
    1.00)</f>
        <v/>
      </c>
      <c r="P8492">
        <f>IF('Loan Tape (S&amp;P)'!S8492="Yes",
    1.15,
    1.00)</f>
        <v/>
      </c>
      <c r="Q8492">
        <f>IF('Loan Tape (S&amp;P)'!V8492="Yes",
    1.20,
    1.00)</f>
        <v/>
      </c>
      <c r="T8492">
        <f>LET(
    payment_method,'Loan Tape (S&amp;P)'!P8492,
    occupancy,'Loan Tape (S&amp;P)'!N8492,
    maturity_date,'Loan Tape (S&amp;P)'!L8492,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93">
      <c r="J8493">
        <f>LET(
    lien,'Loan Tape (S&amp;P)'!Q8493,
    IF(lien="First",1.00,
        IF(lien="Second",1.50,
            1.70)))</f>
        <v/>
      </c>
      <c r="K8493">
        <f>LET(
    purpose,'Loan Tape (S&amp;P)'!R8493,
    IF(purpose="Purchase",1.00,
        IF(purpose="Remortgage",1.00,
            1.20)))</f>
        <v/>
      </c>
      <c r="L8493">
        <f>LET(
    arrears_months,'Loan Tape (S&amp;P)'!AN8493,
    IF(arrears_months=0,1.00,
    IF(arrears_months=1,3.00,
    IF(arrears_months=2,5.00,
    IF(arrears_months=3,8.00,
    IF(arrears_months=4,10.00,
    IF(arrears_months=5,12.00,15.00)))))))</f>
        <v/>
      </c>
      <c r="M8493">
        <f>LET(
    seasoning_years,DATEDIF('Loan Tape (S&amp;P)'!K8493,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93">
        <f>IF(AND('Loan Tape (S&amp;P)'!U8493="Yes",
        'Loan Tape (S&amp;P)'!T8493&lt;&gt;"Yes",
        DATEDIF('Loan Tape (S&amp;P)'!K8493, TODAY(), "M")&lt;18),
    1.10,
    1.00)</f>
        <v/>
      </c>
      <c r="O8493">
        <f>IF('Loan Tape (S&amp;P)'!T8493="Yes",
    1.35,
    1.00)</f>
        <v/>
      </c>
      <c r="P8493">
        <f>IF('Loan Tape (S&amp;P)'!S8493="Yes",
    1.15,
    1.00)</f>
        <v/>
      </c>
      <c r="Q8493">
        <f>IF('Loan Tape (S&amp;P)'!V8493="Yes",
    1.20,
    1.00)</f>
        <v/>
      </c>
      <c r="T8493">
        <f>LET(
    payment_method,'Loan Tape (S&amp;P)'!P8493,
    occupancy,'Loan Tape (S&amp;P)'!N8493,
    maturity_date,'Loan Tape (S&amp;P)'!L8493,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94">
      <c r="J8494">
        <f>LET(
    lien,'Loan Tape (S&amp;P)'!Q8494,
    IF(lien="First",1.00,
        IF(lien="Second",1.50,
            1.70)))</f>
        <v/>
      </c>
      <c r="K8494">
        <f>LET(
    purpose,'Loan Tape (S&amp;P)'!R8494,
    IF(purpose="Purchase",1.00,
        IF(purpose="Remortgage",1.00,
            1.20)))</f>
        <v/>
      </c>
      <c r="L8494">
        <f>LET(
    arrears_months,'Loan Tape (S&amp;P)'!AN8494,
    IF(arrears_months=0,1.00,
    IF(arrears_months=1,3.00,
    IF(arrears_months=2,5.00,
    IF(arrears_months=3,8.00,
    IF(arrears_months=4,10.00,
    IF(arrears_months=5,12.00,15.00)))))))</f>
        <v/>
      </c>
      <c r="M8494">
        <f>LET(
    seasoning_years,DATEDIF('Loan Tape (S&amp;P)'!K8494,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94">
        <f>IF(AND('Loan Tape (S&amp;P)'!U8494="Yes",
        'Loan Tape (S&amp;P)'!T8494&lt;&gt;"Yes",
        DATEDIF('Loan Tape (S&amp;P)'!K8494, TODAY(), "M")&lt;18),
    1.10,
    1.00)</f>
        <v/>
      </c>
      <c r="O8494">
        <f>IF('Loan Tape (S&amp;P)'!T8494="Yes",
    1.35,
    1.00)</f>
        <v/>
      </c>
      <c r="P8494">
        <f>IF('Loan Tape (S&amp;P)'!S8494="Yes",
    1.15,
    1.00)</f>
        <v/>
      </c>
      <c r="Q8494">
        <f>IF('Loan Tape (S&amp;P)'!V8494="Yes",
    1.20,
    1.00)</f>
        <v/>
      </c>
      <c r="T8494">
        <f>LET(
    payment_method,'Loan Tape (S&amp;P)'!P8494,
    occupancy,'Loan Tape (S&amp;P)'!N8494,
    maturity_date,'Loan Tape (S&amp;P)'!L8494,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95">
      <c r="J8495">
        <f>LET(
    lien,'Loan Tape (S&amp;P)'!Q8495,
    IF(lien="First",1.00,
        IF(lien="Second",1.50,
            1.70)))</f>
        <v/>
      </c>
      <c r="K8495">
        <f>LET(
    purpose,'Loan Tape (S&amp;P)'!R8495,
    IF(purpose="Purchase",1.00,
        IF(purpose="Remortgage",1.00,
            1.20)))</f>
        <v/>
      </c>
      <c r="L8495">
        <f>LET(
    arrears_months,'Loan Tape (S&amp;P)'!AN8495,
    IF(arrears_months=0,1.00,
    IF(arrears_months=1,3.00,
    IF(arrears_months=2,5.00,
    IF(arrears_months=3,8.00,
    IF(arrears_months=4,10.00,
    IF(arrears_months=5,12.00,15.00)))))))</f>
        <v/>
      </c>
      <c r="M8495">
        <f>LET(
    seasoning_years,DATEDIF('Loan Tape (S&amp;P)'!K8495,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95">
        <f>IF(AND('Loan Tape (S&amp;P)'!U8495="Yes",
        'Loan Tape (S&amp;P)'!T8495&lt;&gt;"Yes",
        DATEDIF('Loan Tape (S&amp;P)'!K8495, TODAY(), "M")&lt;18),
    1.10,
    1.00)</f>
        <v/>
      </c>
      <c r="O8495">
        <f>IF('Loan Tape (S&amp;P)'!T8495="Yes",
    1.35,
    1.00)</f>
        <v/>
      </c>
      <c r="P8495">
        <f>IF('Loan Tape (S&amp;P)'!S8495="Yes",
    1.15,
    1.00)</f>
        <v/>
      </c>
      <c r="Q8495">
        <f>IF('Loan Tape (S&amp;P)'!V8495="Yes",
    1.20,
    1.00)</f>
        <v/>
      </c>
      <c r="T8495">
        <f>LET(
    payment_method,'Loan Tape (S&amp;P)'!P8495,
    occupancy,'Loan Tape (S&amp;P)'!N8495,
    maturity_date,'Loan Tape (S&amp;P)'!L8495,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96">
      <c r="J8496">
        <f>LET(
    lien,'Loan Tape (S&amp;P)'!Q8496,
    IF(lien="First",1.00,
        IF(lien="Second",1.50,
            1.70)))</f>
        <v/>
      </c>
      <c r="K8496">
        <f>LET(
    purpose,'Loan Tape (S&amp;P)'!R8496,
    IF(purpose="Purchase",1.00,
        IF(purpose="Remortgage",1.00,
            1.20)))</f>
        <v/>
      </c>
      <c r="L8496">
        <f>LET(
    arrears_months,'Loan Tape (S&amp;P)'!AN8496,
    IF(arrears_months=0,1.00,
    IF(arrears_months=1,3.00,
    IF(arrears_months=2,5.00,
    IF(arrears_months=3,8.00,
    IF(arrears_months=4,10.00,
    IF(arrears_months=5,12.00,15.00)))))))</f>
        <v/>
      </c>
      <c r="M8496">
        <f>LET(
    seasoning_years,DATEDIF('Loan Tape (S&amp;P)'!K8496,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96">
        <f>IF(AND('Loan Tape (S&amp;P)'!U8496="Yes",
        'Loan Tape (S&amp;P)'!T8496&lt;&gt;"Yes",
        DATEDIF('Loan Tape (S&amp;P)'!K8496, TODAY(), "M")&lt;18),
    1.10,
    1.00)</f>
        <v/>
      </c>
      <c r="O8496">
        <f>IF('Loan Tape (S&amp;P)'!T8496="Yes",
    1.35,
    1.00)</f>
        <v/>
      </c>
      <c r="P8496">
        <f>IF('Loan Tape (S&amp;P)'!S8496="Yes",
    1.15,
    1.00)</f>
        <v/>
      </c>
      <c r="Q8496">
        <f>IF('Loan Tape (S&amp;P)'!V8496="Yes",
    1.20,
    1.00)</f>
        <v/>
      </c>
      <c r="T8496">
        <f>LET(
    payment_method,'Loan Tape (S&amp;P)'!P8496,
    occupancy,'Loan Tape (S&amp;P)'!N8496,
    maturity_date,'Loan Tape (S&amp;P)'!L8496,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97">
      <c r="J8497">
        <f>LET(
    lien,'Loan Tape (S&amp;P)'!Q8497,
    IF(lien="First",1.00,
        IF(lien="Second",1.50,
            1.70)))</f>
        <v/>
      </c>
      <c r="K8497">
        <f>LET(
    purpose,'Loan Tape (S&amp;P)'!R8497,
    IF(purpose="Purchase",1.00,
        IF(purpose="Remortgage",1.00,
            1.20)))</f>
        <v/>
      </c>
      <c r="L8497">
        <f>LET(
    arrears_months,'Loan Tape (S&amp;P)'!AN8497,
    IF(arrears_months=0,1.00,
    IF(arrears_months=1,3.00,
    IF(arrears_months=2,5.00,
    IF(arrears_months=3,8.00,
    IF(arrears_months=4,10.00,
    IF(arrears_months=5,12.00,15.00)))))))</f>
        <v/>
      </c>
      <c r="M8497">
        <f>LET(
    seasoning_years,DATEDIF('Loan Tape (S&amp;P)'!K8497,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97">
        <f>IF(AND('Loan Tape (S&amp;P)'!U8497="Yes",
        'Loan Tape (S&amp;P)'!T8497&lt;&gt;"Yes",
        DATEDIF('Loan Tape (S&amp;P)'!K8497, TODAY(), "M")&lt;18),
    1.10,
    1.00)</f>
        <v/>
      </c>
      <c r="O8497">
        <f>IF('Loan Tape (S&amp;P)'!T8497="Yes",
    1.35,
    1.00)</f>
        <v/>
      </c>
      <c r="P8497">
        <f>IF('Loan Tape (S&amp;P)'!S8497="Yes",
    1.15,
    1.00)</f>
        <v/>
      </c>
      <c r="Q8497">
        <f>IF('Loan Tape (S&amp;P)'!V8497="Yes",
    1.20,
    1.00)</f>
        <v/>
      </c>
      <c r="T8497">
        <f>LET(
    payment_method,'Loan Tape (S&amp;P)'!P8497,
    occupancy,'Loan Tape (S&amp;P)'!N8497,
    maturity_date,'Loan Tape (S&amp;P)'!L8497,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98">
      <c r="J8498">
        <f>LET(
    lien,'Loan Tape (S&amp;P)'!Q8498,
    IF(lien="First",1.00,
        IF(lien="Second",1.50,
            1.70)))</f>
        <v/>
      </c>
      <c r="K8498">
        <f>LET(
    purpose,'Loan Tape (S&amp;P)'!R8498,
    IF(purpose="Purchase",1.00,
        IF(purpose="Remortgage",1.00,
            1.20)))</f>
        <v/>
      </c>
      <c r="L8498">
        <f>LET(
    arrears_months,'Loan Tape (S&amp;P)'!AN8498,
    IF(arrears_months=0,1.00,
    IF(arrears_months=1,3.00,
    IF(arrears_months=2,5.00,
    IF(arrears_months=3,8.00,
    IF(arrears_months=4,10.00,
    IF(arrears_months=5,12.00,15.00)))))))</f>
        <v/>
      </c>
      <c r="M8498">
        <f>LET(
    seasoning_years,DATEDIF('Loan Tape (S&amp;P)'!K8498,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98">
        <f>IF(AND('Loan Tape (S&amp;P)'!U8498="Yes",
        'Loan Tape (S&amp;P)'!T8498&lt;&gt;"Yes",
        DATEDIF('Loan Tape (S&amp;P)'!K8498, TODAY(), "M")&lt;18),
    1.10,
    1.00)</f>
        <v/>
      </c>
      <c r="O8498">
        <f>IF('Loan Tape (S&amp;P)'!T8498="Yes",
    1.35,
    1.00)</f>
        <v/>
      </c>
      <c r="P8498">
        <f>IF('Loan Tape (S&amp;P)'!S8498="Yes",
    1.15,
    1.00)</f>
        <v/>
      </c>
      <c r="Q8498">
        <f>IF('Loan Tape (S&amp;P)'!V8498="Yes",
    1.20,
    1.00)</f>
        <v/>
      </c>
      <c r="T8498">
        <f>LET(
    payment_method,'Loan Tape (S&amp;P)'!P8498,
    occupancy,'Loan Tape (S&amp;P)'!N8498,
    maturity_date,'Loan Tape (S&amp;P)'!L8498,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499">
      <c r="J8499">
        <f>LET(
    lien,'Loan Tape (S&amp;P)'!Q8499,
    IF(lien="First",1.00,
        IF(lien="Second",1.50,
            1.70)))</f>
        <v/>
      </c>
      <c r="K8499">
        <f>LET(
    purpose,'Loan Tape (S&amp;P)'!R8499,
    IF(purpose="Purchase",1.00,
        IF(purpose="Remortgage",1.00,
            1.20)))</f>
        <v/>
      </c>
      <c r="L8499">
        <f>LET(
    arrears_months,'Loan Tape (S&amp;P)'!AN8499,
    IF(arrears_months=0,1.00,
    IF(arrears_months=1,3.00,
    IF(arrears_months=2,5.00,
    IF(arrears_months=3,8.00,
    IF(arrears_months=4,10.00,
    IF(arrears_months=5,12.00,15.00)))))))</f>
        <v/>
      </c>
      <c r="M8499">
        <f>LET(
    seasoning_years,DATEDIF('Loan Tape (S&amp;P)'!K8499,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499">
        <f>IF(AND('Loan Tape (S&amp;P)'!U8499="Yes",
        'Loan Tape (S&amp;P)'!T8499&lt;&gt;"Yes",
        DATEDIF('Loan Tape (S&amp;P)'!K8499, TODAY(), "M")&lt;18),
    1.10,
    1.00)</f>
        <v/>
      </c>
      <c r="O8499">
        <f>IF('Loan Tape (S&amp;P)'!T8499="Yes",
    1.35,
    1.00)</f>
        <v/>
      </c>
      <c r="P8499">
        <f>IF('Loan Tape (S&amp;P)'!S8499="Yes",
    1.15,
    1.00)</f>
        <v/>
      </c>
      <c r="Q8499">
        <f>IF('Loan Tape (S&amp;P)'!V8499="Yes",
    1.20,
    1.00)</f>
        <v/>
      </c>
      <c r="T8499">
        <f>LET(
    payment_method,'Loan Tape (S&amp;P)'!P8499,
    occupancy,'Loan Tape (S&amp;P)'!N8499,
    maturity_date,'Loan Tape (S&amp;P)'!L8499,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00">
      <c r="J8500">
        <f>LET(
    lien,'Loan Tape (S&amp;P)'!Q8500,
    IF(lien="First",1.00,
        IF(lien="Second",1.50,
            1.70)))</f>
        <v/>
      </c>
      <c r="K8500">
        <f>LET(
    purpose,'Loan Tape (S&amp;P)'!R8500,
    IF(purpose="Purchase",1.00,
        IF(purpose="Remortgage",1.00,
            1.20)))</f>
        <v/>
      </c>
      <c r="L8500">
        <f>LET(
    arrears_months,'Loan Tape (S&amp;P)'!AN8500,
    IF(arrears_months=0,1.00,
    IF(arrears_months=1,3.00,
    IF(arrears_months=2,5.00,
    IF(arrears_months=3,8.00,
    IF(arrears_months=4,10.00,
    IF(arrears_months=5,12.00,15.00)))))))</f>
        <v/>
      </c>
      <c r="M8500">
        <f>LET(
    seasoning_years,DATEDIF('Loan Tape (S&amp;P)'!K8500,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00">
        <f>IF(AND('Loan Tape (S&amp;P)'!U8500="Yes",
        'Loan Tape (S&amp;P)'!T8500&lt;&gt;"Yes",
        DATEDIF('Loan Tape (S&amp;P)'!K8500, TODAY(), "M")&lt;18),
    1.10,
    1.00)</f>
        <v/>
      </c>
      <c r="O8500">
        <f>IF('Loan Tape (S&amp;P)'!T8500="Yes",
    1.35,
    1.00)</f>
        <v/>
      </c>
      <c r="P8500">
        <f>IF('Loan Tape (S&amp;P)'!S8500="Yes",
    1.15,
    1.00)</f>
        <v/>
      </c>
      <c r="Q8500">
        <f>IF('Loan Tape (S&amp;P)'!V8500="Yes",
    1.20,
    1.00)</f>
        <v/>
      </c>
      <c r="T8500">
        <f>LET(
    payment_method,'Loan Tape (S&amp;P)'!P8500,
    occupancy,'Loan Tape (S&amp;P)'!N8500,
    maturity_date,'Loan Tape (S&amp;P)'!L8500,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01">
      <c r="J8501">
        <f>LET(
    lien,'Loan Tape (S&amp;P)'!Q8501,
    IF(lien="First",1.00,
        IF(lien="Second",1.50,
            1.70)))</f>
        <v/>
      </c>
      <c r="K8501">
        <f>LET(
    purpose,'Loan Tape (S&amp;P)'!R8501,
    IF(purpose="Purchase",1.00,
        IF(purpose="Remortgage",1.00,
            1.20)))</f>
        <v/>
      </c>
      <c r="L8501">
        <f>LET(
    arrears_months,'Loan Tape (S&amp;P)'!AN8501,
    IF(arrears_months=0,1.00,
    IF(arrears_months=1,3.00,
    IF(arrears_months=2,5.00,
    IF(arrears_months=3,8.00,
    IF(arrears_months=4,10.00,
    IF(arrears_months=5,12.00,15.00)))))))</f>
        <v/>
      </c>
      <c r="M8501">
        <f>LET(
    seasoning_years,DATEDIF('Loan Tape (S&amp;P)'!K8501,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01">
        <f>IF(AND('Loan Tape (S&amp;P)'!U8501="Yes",
        'Loan Tape (S&amp;P)'!T8501&lt;&gt;"Yes",
        DATEDIF('Loan Tape (S&amp;P)'!K8501, TODAY(), "M")&lt;18),
    1.10,
    1.00)</f>
        <v/>
      </c>
      <c r="O8501">
        <f>IF('Loan Tape (S&amp;P)'!T8501="Yes",
    1.35,
    1.00)</f>
        <v/>
      </c>
      <c r="P8501">
        <f>IF('Loan Tape (S&amp;P)'!S8501="Yes",
    1.15,
    1.00)</f>
        <v/>
      </c>
      <c r="Q8501">
        <f>IF('Loan Tape (S&amp;P)'!V8501="Yes",
    1.20,
    1.00)</f>
        <v/>
      </c>
      <c r="T8501">
        <f>LET(
    payment_method,'Loan Tape (S&amp;P)'!P8501,
    occupancy,'Loan Tape (S&amp;P)'!N8501,
    maturity_date,'Loan Tape (S&amp;P)'!L8501,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02">
      <c r="J8502">
        <f>LET(
    lien,'Loan Tape (S&amp;P)'!Q8502,
    IF(lien="First",1.00,
        IF(lien="Second",1.50,
            1.70)))</f>
        <v/>
      </c>
      <c r="K8502">
        <f>LET(
    purpose,'Loan Tape (S&amp;P)'!R8502,
    IF(purpose="Purchase",1.00,
        IF(purpose="Remortgage",1.00,
            1.20)))</f>
        <v/>
      </c>
      <c r="L8502">
        <f>LET(
    arrears_months,'Loan Tape (S&amp;P)'!AN8502,
    IF(arrears_months=0,1.00,
    IF(arrears_months=1,3.00,
    IF(arrears_months=2,5.00,
    IF(arrears_months=3,8.00,
    IF(arrears_months=4,10.00,
    IF(arrears_months=5,12.00,15.00)))))))</f>
        <v/>
      </c>
      <c r="M8502">
        <f>LET(
    seasoning_years,DATEDIF('Loan Tape (S&amp;P)'!K8502,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02">
        <f>IF(AND('Loan Tape (S&amp;P)'!U8502="Yes",
        'Loan Tape (S&amp;P)'!T8502&lt;&gt;"Yes",
        DATEDIF('Loan Tape (S&amp;P)'!K8502, TODAY(), "M")&lt;18),
    1.10,
    1.00)</f>
        <v/>
      </c>
      <c r="O8502">
        <f>IF('Loan Tape (S&amp;P)'!T8502="Yes",
    1.35,
    1.00)</f>
        <v/>
      </c>
      <c r="P8502">
        <f>IF('Loan Tape (S&amp;P)'!S8502="Yes",
    1.15,
    1.00)</f>
        <v/>
      </c>
      <c r="Q8502">
        <f>IF('Loan Tape (S&amp;P)'!V8502="Yes",
    1.20,
    1.00)</f>
        <v/>
      </c>
      <c r="T8502">
        <f>LET(
    payment_method,'Loan Tape (S&amp;P)'!P8502,
    occupancy,'Loan Tape (S&amp;P)'!N8502,
    maturity_date,'Loan Tape (S&amp;P)'!L8502,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03">
      <c r="J8503">
        <f>LET(
    lien,'Loan Tape (S&amp;P)'!Q8503,
    IF(lien="First",1.00,
        IF(lien="Second",1.50,
            1.70)))</f>
        <v/>
      </c>
      <c r="K8503">
        <f>LET(
    purpose,'Loan Tape (S&amp;P)'!R8503,
    IF(purpose="Purchase",1.00,
        IF(purpose="Remortgage",1.00,
            1.20)))</f>
        <v/>
      </c>
      <c r="L8503">
        <f>LET(
    arrears_months,'Loan Tape (S&amp;P)'!AN8503,
    IF(arrears_months=0,1.00,
    IF(arrears_months=1,3.00,
    IF(arrears_months=2,5.00,
    IF(arrears_months=3,8.00,
    IF(arrears_months=4,10.00,
    IF(arrears_months=5,12.00,15.00)))))))</f>
        <v/>
      </c>
      <c r="M8503">
        <f>LET(
    seasoning_years,DATEDIF('Loan Tape (S&amp;P)'!K8503,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03">
        <f>IF(AND('Loan Tape (S&amp;P)'!U8503="Yes",
        'Loan Tape (S&amp;P)'!T8503&lt;&gt;"Yes",
        DATEDIF('Loan Tape (S&amp;P)'!K8503, TODAY(), "M")&lt;18),
    1.10,
    1.00)</f>
        <v/>
      </c>
      <c r="O8503">
        <f>IF('Loan Tape (S&amp;P)'!T8503="Yes",
    1.35,
    1.00)</f>
        <v/>
      </c>
      <c r="P8503">
        <f>IF('Loan Tape (S&amp;P)'!S8503="Yes",
    1.15,
    1.00)</f>
        <v/>
      </c>
      <c r="Q8503">
        <f>IF('Loan Tape (S&amp;P)'!V8503="Yes",
    1.20,
    1.00)</f>
        <v/>
      </c>
      <c r="T8503">
        <f>LET(
    payment_method,'Loan Tape (S&amp;P)'!P8503,
    occupancy,'Loan Tape (S&amp;P)'!N8503,
    maturity_date,'Loan Tape (S&amp;P)'!L8503,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04">
      <c r="J8504">
        <f>LET(
    lien,'Loan Tape (S&amp;P)'!Q8504,
    IF(lien="First",1.00,
        IF(lien="Second",1.50,
            1.70)))</f>
        <v/>
      </c>
      <c r="K8504">
        <f>LET(
    purpose,'Loan Tape (S&amp;P)'!R8504,
    IF(purpose="Purchase",1.00,
        IF(purpose="Remortgage",1.00,
            1.20)))</f>
        <v/>
      </c>
      <c r="L8504">
        <f>LET(
    arrears_months,'Loan Tape (S&amp;P)'!AN8504,
    IF(arrears_months=0,1.00,
    IF(arrears_months=1,3.00,
    IF(arrears_months=2,5.00,
    IF(arrears_months=3,8.00,
    IF(arrears_months=4,10.00,
    IF(arrears_months=5,12.00,15.00)))))))</f>
        <v/>
      </c>
      <c r="M8504">
        <f>LET(
    seasoning_years,DATEDIF('Loan Tape (S&amp;P)'!K8504,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04">
        <f>IF(AND('Loan Tape (S&amp;P)'!U8504="Yes",
        'Loan Tape (S&amp;P)'!T8504&lt;&gt;"Yes",
        DATEDIF('Loan Tape (S&amp;P)'!K8504, TODAY(), "M")&lt;18),
    1.10,
    1.00)</f>
        <v/>
      </c>
      <c r="O8504">
        <f>IF('Loan Tape (S&amp;P)'!T8504="Yes",
    1.35,
    1.00)</f>
        <v/>
      </c>
      <c r="P8504">
        <f>IF('Loan Tape (S&amp;P)'!S8504="Yes",
    1.15,
    1.00)</f>
        <v/>
      </c>
      <c r="Q8504">
        <f>IF('Loan Tape (S&amp;P)'!V8504="Yes",
    1.20,
    1.00)</f>
        <v/>
      </c>
      <c r="T8504">
        <f>LET(
    payment_method,'Loan Tape (S&amp;P)'!P8504,
    occupancy,'Loan Tape (S&amp;P)'!N8504,
    maturity_date,'Loan Tape (S&amp;P)'!L8504,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05">
      <c r="J8505">
        <f>LET(
    lien,'Loan Tape (S&amp;P)'!Q8505,
    IF(lien="First",1.00,
        IF(lien="Second",1.50,
            1.70)))</f>
        <v/>
      </c>
      <c r="K8505">
        <f>LET(
    purpose,'Loan Tape (S&amp;P)'!R8505,
    IF(purpose="Purchase",1.00,
        IF(purpose="Remortgage",1.00,
            1.20)))</f>
        <v/>
      </c>
      <c r="L8505">
        <f>LET(
    arrears_months,'Loan Tape (S&amp;P)'!AN8505,
    IF(arrears_months=0,1.00,
    IF(arrears_months=1,3.00,
    IF(arrears_months=2,5.00,
    IF(arrears_months=3,8.00,
    IF(arrears_months=4,10.00,
    IF(arrears_months=5,12.00,15.00)))))))</f>
        <v/>
      </c>
      <c r="M8505">
        <f>LET(
    seasoning_years,DATEDIF('Loan Tape (S&amp;P)'!K8505,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05">
        <f>IF(AND('Loan Tape (S&amp;P)'!U8505="Yes",
        'Loan Tape (S&amp;P)'!T8505&lt;&gt;"Yes",
        DATEDIF('Loan Tape (S&amp;P)'!K8505, TODAY(), "M")&lt;18),
    1.10,
    1.00)</f>
        <v/>
      </c>
      <c r="O8505">
        <f>IF('Loan Tape (S&amp;P)'!T8505="Yes",
    1.35,
    1.00)</f>
        <v/>
      </c>
      <c r="P8505">
        <f>IF('Loan Tape (S&amp;P)'!S8505="Yes",
    1.15,
    1.00)</f>
        <v/>
      </c>
      <c r="Q8505">
        <f>IF('Loan Tape (S&amp;P)'!V8505="Yes",
    1.20,
    1.00)</f>
        <v/>
      </c>
      <c r="T8505">
        <f>LET(
    payment_method,'Loan Tape (S&amp;P)'!P8505,
    occupancy,'Loan Tape (S&amp;P)'!N8505,
    maturity_date,'Loan Tape (S&amp;P)'!L8505,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06">
      <c r="J8506">
        <f>LET(
    lien,'Loan Tape (S&amp;P)'!Q8506,
    IF(lien="First",1.00,
        IF(lien="Second",1.50,
            1.70)))</f>
        <v/>
      </c>
      <c r="K8506">
        <f>LET(
    purpose,'Loan Tape (S&amp;P)'!R8506,
    IF(purpose="Purchase",1.00,
        IF(purpose="Remortgage",1.00,
            1.20)))</f>
        <v/>
      </c>
      <c r="L8506">
        <f>LET(
    arrears_months,'Loan Tape (S&amp;P)'!AN8506,
    IF(arrears_months=0,1.00,
    IF(arrears_months=1,3.00,
    IF(arrears_months=2,5.00,
    IF(arrears_months=3,8.00,
    IF(arrears_months=4,10.00,
    IF(arrears_months=5,12.00,15.00)))))))</f>
        <v/>
      </c>
      <c r="M8506">
        <f>LET(
    seasoning_years,DATEDIF('Loan Tape (S&amp;P)'!K8506,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06">
        <f>IF(AND('Loan Tape (S&amp;P)'!U8506="Yes",
        'Loan Tape (S&amp;P)'!T8506&lt;&gt;"Yes",
        DATEDIF('Loan Tape (S&amp;P)'!K8506, TODAY(), "M")&lt;18),
    1.10,
    1.00)</f>
        <v/>
      </c>
      <c r="O8506">
        <f>IF('Loan Tape (S&amp;P)'!T8506="Yes",
    1.35,
    1.00)</f>
        <v/>
      </c>
      <c r="P8506">
        <f>IF('Loan Tape (S&amp;P)'!S8506="Yes",
    1.15,
    1.00)</f>
        <v/>
      </c>
      <c r="Q8506">
        <f>IF('Loan Tape (S&amp;P)'!V8506="Yes",
    1.20,
    1.00)</f>
        <v/>
      </c>
      <c r="T8506">
        <f>LET(
    payment_method,'Loan Tape (S&amp;P)'!P8506,
    occupancy,'Loan Tape (S&amp;P)'!N8506,
    maturity_date,'Loan Tape (S&amp;P)'!L8506,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07">
      <c r="J8507">
        <f>LET(
    lien,'Loan Tape (S&amp;P)'!Q8507,
    IF(lien="First",1.00,
        IF(lien="Second",1.50,
            1.70)))</f>
        <v/>
      </c>
      <c r="K8507">
        <f>LET(
    purpose,'Loan Tape (S&amp;P)'!R8507,
    IF(purpose="Purchase",1.00,
        IF(purpose="Remortgage",1.00,
            1.20)))</f>
        <v/>
      </c>
      <c r="L8507">
        <f>LET(
    arrears_months,'Loan Tape (S&amp;P)'!AN8507,
    IF(arrears_months=0,1.00,
    IF(arrears_months=1,3.00,
    IF(arrears_months=2,5.00,
    IF(arrears_months=3,8.00,
    IF(arrears_months=4,10.00,
    IF(arrears_months=5,12.00,15.00)))))))</f>
        <v/>
      </c>
      <c r="M8507">
        <f>LET(
    seasoning_years,DATEDIF('Loan Tape (S&amp;P)'!K8507,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07">
        <f>IF(AND('Loan Tape (S&amp;P)'!U8507="Yes",
        'Loan Tape (S&amp;P)'!T8507&lt;&gt;"Yes",
        DATEDIF('Loan Tape (S&amp;P)'!K8507, TODAY(), "M")&lt;18),
    1.10,
    1.00)</f>
        <v/>
      </c>
      <c r="O8507">
        <f>IF('Loan Tape (S&amp;P)'!T8507="Yes",
    1.35,
    1.00)</f>
        <v/>
      </c>
      <c r="P8507">
        <f>IF('Loan Tape (S&amp;P)'!S8507="Yes",
    1.15,
    1.00)</f>
        <v/>
      </c>
      <c r="Q8507">
        <f>IF('Loan Tape (S&amp;P)'!V8507="Yes",
    1.20,
    1.00)</f>
        <v/>
      </c>
      <c r="T8507">
        <f>LET(
    payment_method,'Loan Tape (S&amp;P)'!P8507,
    occupancy,'Loan Tape (S&amp;P)'!N8507,
    maturity_date,'Loan Tape (S&amp;P)'!L8507,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08">
      <c r="J8508">
        <f>LET(
    lien,'Loan Tape (S&amp;P)'!Q8508,
    IF(lien="First",1.00,
        IF(lien="Second",1.50,
            1.70)))</f>
        <v/>
      </c>
      <c r="K8508">
        <f>LET(
    purpose,'Loan Tape (S&amp;P)'!R8508,
    IF(purpose="Purchase",1.00,
        IF(purpose="Remortgage",1.00,
            1.20)))</f>
        <v/>
      </c>
      <c r="L8508">
        <f>LET(
    arrears_months,'Loan Tape (S&amp;P)'!AN8508,
    IF(arrears_months=0,1.00,
    IF(arrears_months=1,3.00,
    IF(arrears_months=2,5.00,
    IF(arrears_months=3,8.00,
    IF(arrears_months=4,10.00,
    IF(arrears_months=5,12.00,15.00)))))))</f>
        <v/>
      </c>
      <c r="M8508">
        <f>LET(
    seasoning_years,DATEDIF('Loan Tape (S&amp;P)'!K8508,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08">
        <f>IF(AND('Loan Tape (S&amp;P)'!U8508="Yes",
        'Loan Tape (S&amp;P)'!T8508&lt;&gt;"Yes",
        DATEDIF('Loan Tape (S&amp;P)'!K8508, TODAY(), "M")&lt;18),
    1.10,
    1.00)</f>
        <v/>
      </c>
      <c r="O8508">
        <f>IF('Loan Tape (S&amp;P)'!T8508="Yes",
    1.35,
    1.00)</f>
        <v/>
      </c>
      <c r="P8508">
        <f>IF('Loan Tape (S&amp;P)'!S8508="Yes",
    1.15,
    1.00)</f>
        <v/>
      </c>
      <c r="Q8508">
        <f>IF('Loan Tape (S&amp;P)'!V8508="Yes",
    1.20,
    1.00)</f>
        <v/>
      </c>
      <c r="T8508">
        <f>LET(
    payment_method,'Loan Tape (S&amp;P)'!P8508,
    occupancy,'Loan Tape (S&amp;P)'!N8508,
    maturity_date,'Loan Tape (S&amp;P)'!L8508,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09">
      <c r="J8509">
        <f>LET(
    lien,'Loan Tape (S&amp;P)'!Q8509,
    IF(lien="First",1.00,
        IF(lien="Second",1.50,
            1.70)))</f>
        <v/>
      </c>
      <c r="K8509">
        <f>LET(
    purpose,'Loan Tape (S&amp;P)'!R8509,
    IF(purpose="Purchase",1.00,
        IF(purpose="Remortgage",1.00,
            1.20)))</f>
        <v/>
      </c>
      <c r="L8509">
        <f>LET(
    arrears_months,'Loan Tape (S&amp;P)'!AN8509,
    IF(arrears_months=0,1.00,
    IF(arrears_months=1,3.00,
    IF(arrears_months=2,5.00,
    IF(arrears_months=3,8.00,
    IF(arrears_months=4,10.00,
    IF(arrears_months=5,12.00,15.00)))))))</f>
        <v/>
      </c>
      <c r="M8509">
        <f>LET(
    seasoning_years,DATEDIF('Loan Tape (S&amp;P)'!K8509,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09">
        <f>IF(AND('Loan Tape (S&amp;P)'!U8509="Yes",
        'Loan Tape (S&amp;P)'!T8509&lt;&gt;"Yes",
        DATEDIF('Loan Tape (S&amp;P)'!K8509, TODAY(), "M")&lt;18),
    1.10,
    1.00)</f>
        <v/>
      </c>
      <c r="O8509">
        <f>IF('Loan Tape (S&amp;P)'!T8509="Yes",
    1.35,
    1.00)</f>
        <v/>
      </c>
      <c r="P8509">
        <f>IF('Loan Tape (S&amp;P)'!S8509="Yes",
    1.15,
    1.00)</f>
        <v/>
      </c>
      <c r="Q8509">
        <f>IF('Loan Tape (S&amp;P)'!V8509="Yes",
    1.20,
    1.00)</f>
        <v/>
      </c>
      <c r="T8509">
        <f>LET(
    payment_method,'Loan Tape (S&amp;P)'!P8509,
    occupancy,'Loan Tape (S&amp;P)'!N8509,
    maturity_date,'Loan Tape (S&amp;P)'!L8509,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10">
      <c r="J8510">
        <f>LET(
    lien,'Loan Tape (S&amp;P)'!Q8510,
    IF(lien="First",1.00,
        IF(lien="Second",1.50,
            1.70)))</f>
        <v/>
      </c>
      <c r="K8510">
        <f>LET(
    purpose,'Loan Tape (S&amp;P)'!R8510,
    IF(purpose="Purchase",1.00,
        IF(purpose="Remortgage",1.00,
            1.20)))</f>
        <v/>
      </c>
      <c r="L8510">
        <f>LET(
    arrears_months,'Loan Tape (S&amp;P)'!AN8510,
    IF(arrears_months=0,1.00,
    IF(arrears_months=1,3.00,
    IF(arrears_months=2,5.00,
    IF(arrears_months=3,8.00,
    IF(arrears_months=4,10.00,
    IF(arrears_months=5,12.00,15.00)))))))</f>
        <v/>
      </c>
      <c r="M8510">
        <f>LET(
    seasoning_years,DATEDIF('Loan Tape (S&amp;P)'!K8510,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10">
        <f>IF(AND('Loan Tape (S&amp;P)'!U8510="Yes",
        'Loan Tape (S&amp;P)'!T8510&lt;&gt;"Yes",
        DATEDIF('Loan Tape (S&amp;P)'!K8510, TODAY(), "M")&lt;18),
    1.10,
    1.00)</f>
        <v/>
      </c>
      <c r="O8510">
        <f>IF('Loan Tape (S&amp;P)'!T8510="Yes",
    1.35,
    1.00)</f>
        <v/>
      </c>
      <c r="P8510">
        <f>IF('Loan Tape (S&amp;P)'!S8510="Yes",
    1.15,
    1.00)</f>
        <v/>
      </c>
      <c r="Q8510">
        <f>IF('Loan Tape (S&amp;P)'!V8510="Yes",
    1.20,
    1.00)</f>
        <v/>
      </c>
      <c r="T8510">
        <f>LET(
    payment_method,'Loan Tape (S&amp;P)'!P8510,
    occupancy,'Loan Tape (S&amp;P)'!N8510,
    maturity_date,'Loan Tape (S&amp;P)'!L8510,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11">
      <c r="J8511">
        <f>LET(
    lien,'Loan Tape (S&amp;P)'!Q8511,
    IF(lien="First",1.00,
        IF(lien="Second",1.50,
            1.70)))</f>
        <v/>
      </c>
      <c r="K8511">
        <f>LET(
    purpose,'Loan Tape (S&amp;P)'!R8511,
    IF(purpose="Purchase",1.00,
        IF(purpose="Remortgage",1.00,
            1.20)))</f>
        <v/>
      </c>
      <c r="L8511">
        <f>LET(
    arrears_months,'Loan Tape (S&amp;P)'!AN8511,
    IF(arrears_months=0,1.00,
    IF(arrears_months=1,3.00,
    IF(arrears_months=2,5.00,
    IF(arrears_months=3,8.00,
    IF(arrears_months=4,10.00,
    IF(arrears_months=5,12.00,15.00)))))))</f>
        <v/>
      </c>
      <c r="M8511">
        <f>LET(
    seasoning_years,DATEDIF('Loan Tape (S&amp;P)'!K8511,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11">
        <f>IF(AND('Loan Tape (S&amp;P)'!U8511="Yes",
        'Loan Tape (S&amp;P)'!T8511&lt;&gt;"Yes",
        DATEDIF('Loan Tape (S&amp;P)'!K8511, TODAY(), "M")&lt;18),
    1.10,
    1.00)</f>
        <v/>
      </c>
      <c r="O8511">
        <f>IF('Loan Tape (S&amp;P)'!T8511="Yes",
    1.35,
    1.00)</f>
        <v/>
      </c>
      <c r="P8511">
        <f>IF('Loan Tape (S&amp;P)'!S8511="Yes",
    1.15,
    1.00)</f>
        <v/>
      </c>
      <c r="Q8511">
        <f>IF('Loan Tape (S&amp;P)'!V8511="Yes",
    1.20,
    1.00)</f>
        <v/>
      </c>
      <c r="T8511">
        <f>LET(
    payment_method,'Loan Tape (S&amp;P)'!P8511,
    occupancy,'Loan Tape (S&amp;P)'!N8511,
    maturity_date,'Loan Tape (S&amp;P)'!L8511,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12">
      <c r="J8512">
        <f>LET(
    lien,'Loan Tape (S&amp;P)'!Q8512,
    IF(lien="First",1.00,
        IF(lien="Second",1.50,
            1.70)))</f>
        <v/>
      </c>
      <c r="K8512">
        <f>LET(
    purpose,'Loan Tape (S&amp;P)'!R8512,
    IF(purpose="Purchase",1.00,
        IF(purpose="Remortgage",1.00,
            1.20)))</f>
        <v/>
      </c>
      <c r="L8512">
        <f>LET(
    arrears_months,'Loan Tape (S&amp;P)'!AN8512,
    IF(arrears_months=0,1.00,
    IF(arrears_months=1,3.00,
    IF(arrears_months=2,5.00,
    IF(arrears_months=3,8.00,
    IF(arrears_months=4,10.00,
    IF(arrears_months=5,12.00,15.00)))))))</f>
        <v/>
      </c>
      <c r="M8512">
        <f>LET(
    seasoning_years,DATEDIF('Loan Tape (S&amp;P)'!K8512,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12">
        <f>IF(AND('Loan Tape (S&amp;P)'!U8512="Yes",
        'Loan Tape (S&amp;P)'!T8512&lt;&gt;"Yes",
        DATEDIF('Loan Tape (S&amp;P)'!K8512, TODAY(), "M")&lt;18),
    1.10,
    1.00)</f>
        <v/>
      </c>
      <c r="O8512">
        <f>IF('Loan Tape (S&amp;P)'!T8512="Yes",
    1.35,
    1.00)</f>
        <v/>
      </c>
      <c r="P8512">
        <f>IF('Loan Tape (S&amp;P)'!S8512="Yes",
    1.15,
    1.00)</f>
        <v/>
      </c>
      <c r="Q8512">
        <f>IF('Loan Tape (S&amp;P)'!V8512="Yes",
    1.20,
    1.00)</f>
        <v/>
      </c>
      <c r="T8512">
        <f>LET(
    payment_method,'Loan Tape (S&amp;P)'!P8512,
    occupancy,'Loan Tape (S&amp;P)'!N8512,
    maturity_date,'Loan Tape (S&amp;P)'!L8512,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13">
      <c r="J8513">
        <f>LET(
    lien,'Loan Tape (S&amp;P)'!Q8513,
    IF(lien="First",1.00,
        IF(lien="Second",1.50,
            1.70)))</f>
        <v/>
      </c>
      <c r="K8513">
        <f>LET(
    purpose,'Loan Tape (S&amp;P)'!R8513,
    IF(purpose="Purchase",1.00,
        IF(purpose="Remortgage",1.00,
            1.20)))</f>
        <v/>
      </c>
      <c r="L8513">
        <f>LET(
    arrears_months,'Loan Tape (S&amp;P)'!AN8513,
    IF(arrears_months=0,1.00,
    IF(arrears_months=1,3.00,
    IF(arrears_months=2,5.00,
    IF(arrears_months=3,8.00,
    IF(arrears_months=4,10.00,
    IF(arrears_months=5,12.00,15.00)))))))</f>
        <v/>
      </c>
      <c r="M8513">
        <f>LET(
    seasoning_years,DATEDIF('Loan Tape (S&amp;P)'!K8513,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13">
        <f>IF(AND('Loan Tape (S&amp;P)'!U8513="Yes",
        'Loan Tape (S&amp;P)'!T8513&lt;&gt;"Yes",
        DATEDIF('Loan Tape (S&amp;P)'!K8513, TODAY(), "M")&lt;18),
    1.10,
    1.00)</f>
        <v/>
      </c>
      <c r="O8513">
        <f>IF('Loan Tape (S&amp;P)'!T8513="Yes",
    1.35,
    1.00)</f>
        <v/>
      </c>
      <c r="P8513">
        <f>IF('Loan Tape (S&amp;P)'!S8513="Yes",
    1.15,
    1.00)</f>
        <v/>
      </c>
      <c r="Q8513">
        <f>IF('Loan Tape (S&amp;P)'!V8513="Yes",
    1.20,
    1.00)</f>
        <v/>
      </c>
      <c r="T8513">
        <f>LET(
    payment_method,'Loan Tape (S&amp;P)'!P8513,
    occupancy,'Loan Tape (S&amp;P)'!N8513,
    maturity_date,'Loan Tape (S&amp;P)'!L8513,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14">
      <c r="J8514">
        <f>LET(
    lien,'Loan Tape (S&amp;P)'!Q8514,
    IF(lien="First",1.00,
        IF(lien="Second",1.50,
            1.70)))</f>
        <v/>
      </c>
      <c r="K8514">
        <f>LET(
    purpose,'Loan Tape (S&amp;P)'!R8514,
    IF(purpose="Purchase",1.00,
        IF(purpose="Remortgage",1.00,
            1.20)))</f>
        <v/>
      </c>
      <c r="L8514">
        <f>LET(
    arrears_months,'Loan Tape (S&amp;P)'!AN8514,
    IF(arrears_months=0,1.00,
    IF(arrears_months=1,3.00,
    IF(arrears_months=2,5.00,
    IF(arrears_months=3,8.00,
    IF(arrears_months=4,10.00,
    IF(arrears_months=5,12.00,15.00)))))))</f>
        <v/>
      </c>
      <c r="M8514">
        <f>LET(
    seasoning_years,DATEDIF('Loan Tape (S&amp;P)'!K8514,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14">
        <f>IF(AND('Loan Tape (S&amp;P)'!U8514="Yes",
        'Loan Tape (S&amp;P)'!T8514&lt;&gt;"Yes",
        DATEDIF('Loan Tape (S&amp;P)'!K8514, TODAY(), "M")&lt;18),
    1.10,
    1.00)</f>
        <v/>
      </c>
      <c r="O8514">
        <f>IF('Loan Tape (S&amp;P)'!T8514="Yes",
    1.35,
    1.00)</f>
        <v/>
      </c>
      <c r="P8514">
        <f>IF('Loan Tape (S&amp;P)'!S8514="Yes",
    1.15,
    1.00)</f>
        <v/>
      </c>
      <c r="Q8514">
        <f>IF('Loan Tape (S&amp;P)'!V8514="Yes",
    1.20,
    1.00)</f>
        <v/>
      </c>
      <c r="T8514">
        <f>LET(
    payment_method,'Loan Tape (S&amp;P)'!P8514,
    occupancy,'Loan Tape (S&amp;P)'!N8514,
    maturity_date,'Loan Tape (S&amp;P)'!L8514,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15">
      <c r="J8515">
        <f>LET(
    lien,'Loan Tape (S&amp;P)'!Q8515,
    IF(lien="First",1.00,
        IF(lien="Second",1.50,
            1.70)))</f>
        <v/>
      </c>
      <c r="K8515">
        <f>LET(
    purpose,'Loan Tape (S&amp;P)'!R8515,
    IF(purpose="Purchase",1.00,
        IF(purpose="Remortgage",1.00,
            1.20)))</f>
        <v/>
      </c>
      <c r="L8515">
        <f>LET(
    arrears_months,'Loan Tape (S&amp;P)'!AN8515,
    IF(arrears_months=0,1.00,
    IF(arrears_months=1,3.00,
    IF(arrears_months=2,5.00,
    IF(arrears_months=3,8.00,
    IF(arrears_months=4,10.00,
    IF(arrears_months=5,12.00,15.00)))))))</f>
        <v/>
      </c>
      <c r="M8515">
        <f>LET(
    seasoning_years,DATEDIF('Loan Tape (S&amp;P)'!K8515,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15">
        <f>IF(AND('Loan Tape (S&amp;P)'!U8515="Yes",
        'Loan Tape (S&amp;P)'!T8515&lt;&gt;"Yes",
        DATEDIF('Loan Tape (S&amp;P)'!K8515, TODAY(), "M")&lt;18),
    1.10,
    1.00)</f>
        <v/>
      </c>
      <c r="O8515">
        <f>IF('Loan Tape (S&amp;P)'!T8515="Yes",
    1.35,
    1.00)</f>
        <v/>
      </c>
      <c r="P8515">
        <f>IF('Loan Tape (S&amp;P)'!S8515="Yes",
    1.15,
    1.00)</f>
        <v/>
      </c>
      <c r="Q8515">
        <f>IF('Loan Tape (S&amp;P)'!V8515="Yes",
    1.20,
    1.00)</f>
        <v/>
      </c>
      <c r="T8515">
        <f>LET(
    payment_method,'Loan Tape (S&amp;P)'!P8515,
    occupancy,'Loan Tape (S&amp;P)'!N8515,
    maturity_date,'Loan Tape (S&amp;P)'!L8515,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16">
      <c r="J8516">
        <f>LET(
    lien,'Loan Tape (S&amp;P)'!Q8516,
    IF(lien="First",1.00,
        IF(lien="Second",1.50,
            1.70)))</f>
        <v/>
      </c>
      <c r="K8516">
        <f>LET(
    purpose,'Loan Tape (S&amp;P)'!R8516,
    IF(purpose="Purchase",1.00,
        IF(purpose="Remortgage",1.00,
            1.20)))</f>
        <v/>
      </c>
      <c r="L8516">
        <f>LET(
    arrears_months,'Loan Tape (S&amp;P)'!AN8516,
    IF(arrears_months=0,1.00,
    IF(arrears_months=1,3.00,
    IF(arrears_months=2,5.00,
    IF(arrears_months=3,8.00,
    IF(arrears_months=4,10.00,
    IF(arrears_months=5,12.00,15.00)))))))</f>
        <v/>
      </c>
      <c r="M8516">
        <f>LET(
    seasoning_years,DATEDIF('Loan Tape (S&amp;P)'!K8516,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16">
        <f>IF(AND('Loan Tape (S&amp;P)'!U8516="Yes",
        'Loan Tape (S&amp;P)'!T8516&lt;&gt;"Yes",
        DATEDIF('Loan Tape (S&amp;P)'!K8516, TODAY(), "M")&lt;18),
    1.10,
    1.00)</f>
        <v/>
      </c>
      <c r="O8516">
        <f>IF('Loan Tape (S&amp;P)'!T8516="Yes",
    1.35,
    1.00)</f>
        <v/>
      </c>
      <c r="P8516">
        <f>IF('Loan Tape (S&amp;P)'!S8516="Yes",
    1.15,
    1.00)</f>
        <v/>
      </c>
      <c r="Q8516">
        <f>IF('Loan Tape (S&amp;P)'!V8516="Yes",
    1.20,
    1.00)</f>
        <v/>
      </c>
      <c r="T8516">
        <f>LET(
    payment_method,'Loan Tape (S&amp;P)'!P8516,
    occupancy,'Loan Tape (S&amp;P)'!N8516,
    maturity_date,'Loan Tape (S&amp;P)'!L8516,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17">
      <c r="J8517">
        <f>LET(
    lien,'Loan Tape (S&amp;P)'!Q8517,
    IF(lien="First",1.00,
        IF(lien="Second",1.50,
            1.70)))</f>
        <v/>
      </c>
      <c r="K8517">
        <f>LET(
    purpose,'Loan Tape (S&amp;P)'!R8517,
    IF(purpose="Purchase",1.00,
        IF(purpose="Remortgage",1.00,
            1.20)))</f>
        <v/>
      </c>
      <c r="L8517">
        <f>LET(
    arrears_months,'Loan Tape (S&amp;P)'!AN8517,
    IF(arrears_months=0,1.00,
    IF(arrears_months=1,3.00,
    IF(arrears_months=2,5.00,
    IF(arrears_months=3,8.00,
    IF(arrears_months=4,10.00,
    IF(arrears_months=5,12.00,15.00)))))))</f>
        <v/>
      </c>
      <c r="M8517">
        <f>LET(
    seasoning_years,DATEDIF('Loan Tape (S&amp;P)'!K8517,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17">
        <f>IF(AND('Loan Tape (S&amp;P)'!U8517="Yes",
        'Loan Tape (S&amp;P)'!T8517&lt;&gt;"Yes",
        DATEDIF('Loan Tape (S&amp;P)'!K8517, TODAY(), "M")&lt;18),
    1.10,
    1.00)</f>
        <v/>
      </c>
      <c r="O8517">
        <f>IF('Loan Tape (S&amp;P)'!T8517="Yes",
    1.35,
    1.00)</f>
        <v/>
      </c>
      <c r="P8517">
        <f>IF('Loan Tape (S&amp;P)'!S8517="Yes",
    1.15,
    1.00)</f>
        <v/>
      </c>
      <c r="Q8517">
        <f>IF('Loan Tape (S&amp;P)'!V8517="Yes",
    1.20,
    1.00)</f>
        <v/>
      </c>
      <c r="T8517">
        <f>LET(
    payment_method,'Loan Tape (S&amp;P)'!P8517,
    occupancy,'Loan Tape (S&amp;P)'!N8517,
    maturity_date,'Loan Tape (S&amp;P)'!L8517,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18">
      <c r="J8518">
        <f>LET(
    lien,'Loan Tape (S&amp;P)'!Q8518,
    IF(lien="First",1.00,
        IF(lien="Second",1.50,
            1.70)))</f>
        <v/>
      </c>
      <c r="K8518">
        <f>LET(
    purpose,'Loan Tape (S&amp;P)'!R8518,
    IF(purpose="Purchase",1.00,
        IF(purpose="Remortgage",1.00,
            1.20)))</f>
        <v/>
      </c>
      <c r="L8518">
        <f>LET(
    arrears_months,'Loan Tape (S&amp;P)'!AN8518,
    IF(arrears_months=0,1.00,
    IF(arrears_months=1,3.00,
    IF(arrears_months=2,5.00,
    IF(arrears_months=3,8.00,
    IF(arrears_months=4,10.00,
    IF(arrears_months=5,12.00,15.00)))))))</f>
        <v/>
      </c>
      <c r="M8518">
        <f>LET(
    seasoning_years,DATEDIF('Loan Tape (S&amp;P)'!K8518,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18">
        <f>IF(AND('Loan Tape (S&amp;P)'!U8518="Yes",
        'Loan Tape (S&amp;P)'!T8518&lt;&gt;"Yes",
        DATEDIF('Loan Tape (S&amp;P)'!K8518, TODAY(), "M")&lt;18),
    1.10,
    1.00)</f>
        <v/>
      </c>
      <c r="O8518">
        <f>IF('Loan Tape (S&amp;P)'!T8518="Yes",
    1.35,
    1.00)</f>
        <v/>
      </c>
      <c r="P8518">
        <f>IF('Loan Tape (S&amp;P)'!S8518="Yes",
    1.15,
    1.00)</f>
        <v/>
      </c>
      <c r="Q8518">
        <f>IF('Loan Tape (S&amp;P)'!V8518="Yes",
    1.20,
    1.00)</f>
        <v/>
      </c>
      <c r="T8518">
        <f>LET(
    payment_method,'Loan Tape (S&amp;P)'!P8518,
    occupancy,'Loan Tape (S&amp;P)'!N8518,
    maturity_date,'Loan Tape (S&amp;P)'!L8518,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19">
      <c r="J8519">
        <f>LET(
    lien,'Loan Tape (S&amp;P)'!Q8519,
    IF(lien="First",1.00,
        IF(lien="Second",1.50,
            1.70)))</f>
        <v/>
      </c>
      <c r="K8519">
        <f>LET(
    purpose,'Loan Tape (S&amp;P)'!R8519,
    IF(purpose="Purchase",1.00,
        IF(purpose="Remortgage",1.00,
            1.20)))</f>
        <v/>
      </c>
      <c r="L8519">
        <f>LET(
    arrears_months,'Loan Tape (S&amp;P)'!AN8519,
    IF(arrears_months=0,1.00,
    IF(arrears_months=1,3.00,
    IF(arrears_months=2,5.00,
    IF(arrears_months=3,8.00,
    IF(arrears_months=4,10.00,
    IF(arrears_months=5,12.00,15.00)))))))</f>
        <v/>
      </c>
      <c r="M8519">
        <f>LET(
    seasoning_years,DATEDIF('Loan Tape (S&amp;P)'!K8519,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19">
        <f>IF(AND('Loan Tape (S&amp;P)'!U8519="Yes",
        'Loan Tape (S&amp;P)'!T8519&lt;&gt;"Yes",
        DATEDIF('Loan Tape (S&amp;P)'!K8519, TODAY(), "M")&lt;18),
    1.10,
    1.00)</f>
        <v/>
      </c>
      <c r="O8519">
        <f>IF('Loan Tape (S&amp;P)'!T8519="Yes",
    1.35,
    1.00)</f>
        <v/>
      </c>
      <c r="P8519">
        <f>IF('Loan Tape (S&amp;P)'!S8519="Yes",
    1.15,
    1.00)</f>
        <v/>
      </c>
      <c r="Q8519">
        <f>IF('Loan Tape (S&amp;P)'!V8519="Yes",
    1.20,
    1.00)</f>
        <v/>
      </c>
      <c r="T8519">
        <f>LET(
    payment_method,'Loan Tape (S&amp;P)'!P8519,
    occupancy,'Loan Tape (S&amp;P)'!N8519,
    maturity_date,'Loan Tape (S&amp;P)'!L8519,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20">
      <c r="J8520">
        <f>LET(
    lien,'Loan Tape (S&amp;P)'!Q8520,
    IF(lien="First",1.00,
        IF(lien="Second",1.50,
            1.70)))</f>
        <v/>
      </c>
      <c r="K8520">
        <f>LET(
    purpose,'Loan Tape (S&amp;P)'!R8520,
    IF(purpose="Purchase",1.00,
        IF(purpose="Remortgage",1.00,
            1.20)))</f>
        <v/>
      </c>
      <c r="L8520">
        <f>LET(
    arrears_months,'Loan Tape (S&amp;P)'!AN8520,
    IF(arrears_months=0,1.00,
    IF(arrears_months=1,3.00,
    IF(arrears_months=2,5.00,
    IF(arrears_months=3,8.00,
    IF(arrears_months=4,10.00,
    IF(arrears_months=5,12.00,15.00)))))))</f>
        <v/>
      </c>
      <c r="M8520">
        <f>LET(
    seasoning_years,DATEDIF('Loan Tape (S&amp;P)'!K8520,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20">
        <f>IF(AND('Loan Tape (S&amp;P)'!U8520="Yes",
        'Loan Tape (S&amp;P)'!T8520&lt;&gt;"Yes",
        DATEDIF('Loan Tape (S&amp;P)'!K8520, TODAY(), "M")&lt;18),
    1.10,
    1.00)</f>
        <v/>
      </c>
      <c r="O8520">
        <f>IF('Loan Tape (S&amp;P)'!T8520="Yes",
    1.35,
    1.00)</f>
        <v/>
      </c>
      <c r="P8520">
        <f>IF('Loan Tape (S&amp;P)'!S8520="Yes",
    1.15,
    1.00)</f>
        <v/>
      </c>
      <c r="Q8520">
        <f>IF('Loan Tape (S&amp;P)'!V8520="Yes",
    1.20,
    1.00)</f>
        <v/>
      </c>
      <c r="T8520">
        <f>LET(
    payment_method,'Loan Tape (S&amp;P)'!P8520,
    occupancy,'Loan Tape (S&amp;P)'!N8520,
    maturity_date,'Loan Tape (S&amp;P)'!L8520,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21">
      <c r="J8521">
        <f>LET(
    lien,'Loan Tape (S&amp;P)'!Q8521,
    IF(lien="First",1.00,
        IF(lien="Second",1.50,
            1.70)))</f>
        <v/>
      </c>
      <c r="K8521">
        <f>LET(
    purpose,'Loan Tape (S&amp;P)'!R8521,
    IF(purpose="Purchase",1.00,
        IF(purpose="Remortgage",1.00,
            1.20)))</f>
        <v/>
      </c>
      <c r="L8521">
        <f>LET(
    arrears_months,'Loan Tape (S&amp;P)'!AN8521,
    IF(arrears_months=0,1.00,
    IF(arrears_months=1,3.00,
    IF(arrears_months=2,5.00,
    IF(arrears_months=3,8.00,
    IF(arrears_months=4,10.00,
    IF(arrears_months=5,12.00,15.00)))))))</f>
        <v/>
      </c>
      <c r="M8521">
        <f>LET(
    seasoning_years,DATEDIF('Loan Tape (S&amp;P)'!K8521,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21">
        <f>IF(AND('Loan Tape (S&amp;P)'!U8521="Yes",
        'Loan Tape (S&amp;P)'!T8521&lt;&gt;"Yes",
        DATEDIF('Loan Tape (S&amp;P)'!K8521, TODAY(), "M")&lt;18),
    1.10,
    1.00)</f>
        <v/>
      </c>
      <c r="O8521">
        <f>IF('Loan Tape (S&amp;P)'!T8521="Yes",
    1.35,
    1.00)</f>
        <v/>
      </c>
      <c r="P8521">
        <f>IF('Loan Tape (S&amp;P)'!S8521="Yes",
    1.15,
    1.00)</f>
        <v/>
      </c>
      <c r="Q8521">
        <f>IF('Loan Tape (S&amp;P)'!V8521="Yes",
    1.20,
    1.00)</f>
        <v/>
      </c>
      <c r="T8521">
        <f>LET(
    payment_method,'Loan Tape (S&amp;P)'!P8521,
    occupancy,'Loan Tape (S&amp;P)'!N8521,
    maturity_date,'Loan Tape (S&amp;P)'!L8521,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22">
      <c r="J8522">
        <f>LET(
    lien,'Loan Tape (S&amp;P)'!Q8522,
    IF(lien="First",1.00,
        IF(lien="Second",1.50,
            1.70)))</f>
        <v/>
      </c>
      <c r="K8522">
        <f>LET(
    purpose,'Loan Tape (S&amp;P)'!R8522,
    IF(purpose="Purchase",1.00,
        IF(purpose="Remortgage",1.00,
            1.20)))</f>
        <v/>
      </c>
      <c r="L8522">
        <f>LET(
    arrears_months,'Loan Tape (S&amp;P)'!AN8522,
    IF(arrears_months=0,1.00,
    IF(arrears_months=1,3.00,
    IF(arrears_months=2,5.00,
    IF(arrears_months=3,8.00,
    IF(arrears_months=4,10.00,
    IF(arrears_months=5,12.00,15.00)))))))</f>
        <v/>
      </c>
      <c r="M8522">
        <f>LET(
    seasoning_years,DATEDIF('Loan Tape (S&amp;P)'!K8522,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22">
        <f>IF(AND('Loan Tape (S&amp;P)'!U8522="Yes",
        'Loan Tape (S&amp;P)'!T8522&lt;&gt;"Yes",
        DATEDIF('Loan Tape (S&amp;P)'!K8522, TODAY(), "M")&lt;18),
    1.10,
    1.00)</f>
        <v/>
      </c>
      <c r="O8522">
        <f>IF('Loan Tape (S&amp;P)'!T8522="Yes",
    1.35,
    1.00)</f>
        <v/>
      </c>
      <c r="P8522">
        <f>IF('Loan Tape (S&amp;P)'!S8522="Yes",
    1.15,
    1.00)</f>
        <v/>
      </c>
      <c r="Q8522">
        <f>IF('Loan Tape (S&amp;P)'!V8522="Yes",
    1.20,
    1.00)</f>
        <v/>
      </c>
      <c r="T8522">
        <f>LET(
    payment_method,'Loan Tape (S&amp;P)'!P8522,
    occupancy,'Loan Tape (S&amp;P)'!N8522,
    maturity_date,'Loan Tape (S&amp;P)'!L8522,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23">
      <c r="J8523">
        <f>LET(
    lien,'Loan Tape (S&amp;P)'!Q8523,
    IF(lien="First",1.00,
        IF(lien="Second",1.50,
            1.70)))</f>
        <v/>
      </c>
      <c r="K8523">
        <f>LET(
    purpose,'Loan Tape (S&amp;P)'!R8523,
    IF(purpose="Purchase",1.00,
        IF(purpose="Remortgage",1.00,
            1.20)))</f>
        <v/>
      </c>
      <c r="L8523">
        <f>LET(
    arrears_months,'Loan Tape (S&amp;P)'!AN8523,
    IF(arrears_months=0,1.00,
    IF(arrears_months=1,3.00,
    IF(arrears_months=2,5.00,
    IF(arrears_months=3,8.00,
    IF(arrears_months=4,10.00,
    IF(arrears_months=5,12.00,15.00)))))))</f>
        <v/>
      </c>
      <c r="M8523">
        <f>LET(
    seasoning_years,DATEDIF('Loan Tape (S&amp;P)'!K8523,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23">
        <f>IF(AND('Loan Tape (S&amp;P)'!U8523="Yes",
        'Loan Tape (S&amp;P)'!T8523&lt;&gt;"Yes",
        DATEDIF('Loan Tape (S&amp;P)'!K8523, TODAY(), "M")&lt;18),
    1.10,
    1.00)</f>
        <v/>
      </c>
      <c r="O8523">
        <f>IF('Loan Tape (S&amp;P)'!T8523="Yes",
    1.35,
    1.00)</f>
        <v/>
      </c>
      <c r="P8523">
        <f>IF('Loan Tape (S&amp;P)'!S8523="Yes",
    1.15,
    1.00)</f>
        <v/>
      </c>
      <c r="Q8523">
        <f>IF('Loan Tape (S&amp;P)'!V8523="Yes",
    1.20,
    1.00)</f>
        <v/>
      </c>
      <c r="T8523">
        <f>LET(
    payment_method,'Loan Tape (S&amp;P)'!P8523,
    occupancy,'Loan Tape (S&amp;P)'!N8523,
    maturity_date,'Loan Tape (S&amp;P)'!L8523,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24">
      <c r="J8524">
        <f>LET(
    lien,'Loan Tape (S&amp;P)'!Q8524,
    IF(lien="First",1.00,
        IF(lien="Second",1.50,
            1.70)))</f>
        <v/>
      </c>
      <c r="K8524">
        <f>LET(
    purpose,'Loan Tape (S&amp;P)'!R8524,
    IF(purpose="Purchase",1.00,
        IF(purpose="Remortgage",1.00,
            1.20)))</f>
        <v/>
      </c>
      <c r="L8524">
        <f>LET(
    arrears_months,'Loan Tape (S&amp;P)'!AN8524,
    IF(arrears_months=0,1.00,
    IF(arrears_months=1,3.00,
    IF(arrears_months=2,5.00,
    IF(arrears_months=3,8.00,
    IF(arrears_months=4,10.00,
    IF(arrears_months=5,12.00,15.00)))))))</f>
        <v/>
      </c>
      <c r="M8524">
        <f>LET(
    seasoning_years,DATEDIF('Loan Tape (S&amp;P)'!K8524,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24">
        <f>IF(AND('Loan Tape (S&amp;P)'!U8524="Yes",
        'Loan Tape (S&amp;P)'!T8524&lt;&gt;"Yes",
        DATEDIF('Loan Tape (S&amp;P)'!K8524, TODAY(), "M")&lt;18),
    1.10,
    1.00)</f>
        <v/>
      </c>
      <c r="O8524">
        <f>IF('Loan Tape (S&amp;P)'!T8524="Yes",
    1.35,
    1.00)</f>
        <v/>
      </c>
      <c r="P8524">
        <f>IF('Loan Tape (S&amp;P)'!S8524="Yes",
    1.15,
    1.00)</f>
        <v/>
      </c>
      <c r="Q8524">
        <f>IF('Loan Tape (S&amp;P)'!V8524="Yes",
    1.20,
    1.00)</f>
        <v/>
      </c>
      <c r="T8524">
        <f>LET(
    payment_method,'Loan Tape (S&amp;P)'!P8524,
    occupancy,'Loan Tape (S&amp;P)'!N8524,
    maturity_date,'Loan Tape (S&amp;P)'!L8524,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25">
      <c r="J8525">
        <f>LET(
    lien,'Loan Tape (S&amp;P)'!Q8525,
    IF(lien="First",1.00,
        IF(lien="Second",1.50,
            1.70)))</f>
        <v/>
      </c>
      <c r="K8525">
        <f>LET(
    purpose,'Loan Tape (S&amp;P)'!R8525,
    IF(purpose="Purchase",1.00,
        IF(purpose="Remortgage",1.00,
            1.20)))</f>
        <v/>
      </c>
      <c r="L8525">
        <f>LET(
    arrears_months,'Loan Tape (S&amp;P)'!AN8525,
    IF(arrears_months=0,1.00,
    IF(arrears_months=1,3.00,
    IF(arrears_months=2,5.00,
    IF(arrears_months=3,8.00,
    IF(arrears_months=4,10.00,
    IF(arrears_months=5,12.00,15.00)))))))</f>
        <v/>
      </c>
      <c r="M8525">
        <f>LET(
    seasoning_years,DATEDIF('Loan Tape (S&amp;P)'!K8525,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25">
        <f>IF(AND('Loan Tape (S&amp;P)'!U8525="Yes",
        'Loan Tape (S&amp;P)'!T8525&lt;&gt;"Yes",
        DATEDIF('Loan Tape (S&amp;P)'!K8525, TODAY(), "M")&lt;18),
    1.10,
    1.00)</f>
        <v/>
      </c>
      <c r="O8525">
        <f>IF('Loan Tape (S&amp;P)'!T8525="Yes",
    1.35,
    1.00)</f>
        <v/>
      </c>
      <c r="P8525">
        <f>IF('Loan Tape (S&amp;P)'!S8525="Yes",
    1.15,
    1.00)</f>
        <v/>
      </c>
      <c r="Q8525">
        <f>IF('Loan Tape (S&amp;P)'!V8525="Yes",
    1.20,
    1.00)</f>
        <v/>
      </c>
      <c r="T8525">
        <f>LET(
    payment_method,'Loan Tape (S&amp;P)'!P8525,
    occupancy,'Loan Tape (S&amp;P)'!N8525,
    maturity_date,'Loan Tape (S&amp;P)'!L8525,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26">
      <c r="J8526">
        <f>LET(
    lien,'Loan Tape (S&amp;P)'!Q8526,
    IF(lien="First",1.00,
        IF(lien="Second",1.50,
            1.70)))</f>
        <v/>
      </c>
      <c r="K8526">
        <f>LET(
    purpose,'Loan Tape (S&amp;P)'!R8526,
    IF(purpose="Purchase",1.00,
        IF(purpose="Remortgage",1.00,
            1.20)))</f>
        <v/>
      </c>
      <c r="L8526">
        <f>LET(
    arrears_months,'Loan Tape (S&amp;P)'!AN8526,
    IF(arrears_months=0,1.00,
    IF(arrears_months=1,3.00,
    IF(arrears_months=2,5.00,
    IF(arrears_months=3,8.00,
    IF(arrears_months=4,10.00,
    IF(arrears_months=5,12.00,15.00)))))))</f>
        <v/>
      </c>
      <c r="M8526">
        <f>LET(
    seasoning_years,DATEDIF('Loan Tape (S&amp;P)'!K8526,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26">
        <f>IF(AND('Loan Tape (S&amp;P)'!U8526="Yes",
        'Loan Tape (S&amp;P)'!T8526&lt;&gt;"Yes",
        DATEDIF('Loan Tape (S&amp;P)'!K8526, TODAY(), "M")&lt;18),
    1.10,
    1.00)</f>
        <v/>
      </c>
      <c r="O8526">
        <f>IF('Loan Tape (S&amp;P)'!T8526="Yes",
    1.35,
    1.00)</f>
        <v/>
      </c>
      <c r="P8526">
        <f>IF('Loan Tape (S&amp;P)'!S8526="Yes",
    1.15,
    1.00)</f>
        <v/>
      </c>
      <c r="Q8526">
        <f>IF('Loan Tape (S&amp;P)'!V8526="Yes",
    1.20,
    1.00)</f>
        <v/>
      </c>
      <c r="T8526">
        <f>LET(
    payment_method,'Loan Tape (S&amp;P)'!P8526,
    occupancy,'Loan Tape (S&amp;P)'!N8526,
    maturity_date,'Loan Tape (S&amp;P)'!L8526,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27">
      <c r="J8527">
        <f>LET(
    lien,'Loan Tape (S&amp;P)'!Q8527,
    IF(lien="First",1.00,
        IF(lien="Second",1.50,
            1.70)))</f>
        <v/>
      </c>
      <c r="K8527">
        <f>LET(
    purpose,'Loan Tape (S&amp;P)'!R8527,
    IF(purpose="Purchase",1.00,
        IF(purpose="Remortgage",1.00,
            1.20)))</f>
        <v/>
      </c>
      <c r="L8527">
        <f>LET(
    arrears_months,'Loan Tape (S&amp;P)'!AN8527,
    IF(arrears_months=0,1.00,
    IF(arrears_months=1,3.00,
    IF(arrears_months=2,5.00,
    IF(arrears_months=3,8.00,
    IF(arrears_months=4,10.00,
    IF(arrears_months=5,12.00,15.00)))))))</f>
        <v/>
      </c>
      <c r="M8527">
        <f>LET(
    seasoning_years,DATEDIF('Loan Tape (S&amp;P)'!K8527,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27">
        <f>IF(AND('Loan Tape (S&amp;P)'!U8527="Yes",
        'Loan Tape (S&amp;P)'!T8527&lt;&gt;"Yes",
        DATEDIF('Loan Tape (S&amp;P)'!K8527, TODAY(), "M")&lt;18),
    1.10,
    1.00)</f>
        <v/>
      </c>
      <c r="O8527">
        <f>IF('Loan Tape (S&amp;P)'!T8527="Yes",
    1.35,
    1.00)</f>
        <v/>
      </c>
      <c r="P8527">
        <f>IF('Loan Tape (S&amp;P)'!S8527="Yes",
    1.15,
    1.00)</f>
        <v/>
      </c>
      <c r="Q8527">
        <f>IF('Loan Tape (S&amp;P)'!V8527="Yes",
    1.20,
    1.00)</f>
        <v/>
      </c>
      <c r="T8527">
        <f>LET(
    payment_method,'Loan Tape (S&amp;P)'!P8527,
    occupancy,'Loan Tape (S&amp;P)'!N8527,
    maturity_date,'Loan Tape (S&amp;P)'!L8527,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28">
      <c r="J8528">
        <f>LET(
    lien,'Loan Tape (S&amp;P)'!Q8528,
    IF(lien="First",1.00,
        IF(lien="Second",1.50,
            1.70)))</f>
        <v/>
      </c>
      <c r="K8528">
        <f>LET(
    purpose,'Loan Tape (S&amp;P)'!R8528,
    IF(purpose="Purchase",1.00,
        IF(purpose="Remortgage",1.00,
            1.20)))</f>
        <v/>
      </c>
      <c r="L8528">
        <f>LET(
    arrears_months,'Loan Tape (S&amp;P)'!AN8528,
    IF(arrears_months=0,1.00,
    IF(arrears_months=1,3.00,
    IF(arrears_months=2,5.00,
    IF(arrears_months=3,8.00,
    IF(arrears_months=4,10.00,
    IF(arrears_months=5,12.00,15.00)))))))</f>
        <v/>
      </c>
      <c r="M8528">
        <f>LET(
    seasoning_years,DATEDIF('Loan Tape (S&amp;P)'!K8528,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28">
        <f>IF(AND('Loan Tape (S&amp;P)'!U8528="Yes",
        'Loan Tape (S&amp;P)'!T8528&lt;&gt;"Yes",
        DATEDIF('Loan Tape (S&amp;P)'!K8528, TODAY(), "M")&lt;18),
    1.10,
    1.00)</f>
        <v/>
      </c>
      <c r="O8528">
        <f>IF('Loan Tape (S&amp;P)'!T8528="Yes",
    1.35,
    1.00)</f>
        <v/>
      </c>
      <c r="P8528">
        <f>IF('Loan Tape (S&amp;P)'!S8528="Yes",
    1.15,
    1.00)</f>
        <v/>
      </c>
      <c r="Q8528">
        <f>IF('Loan Tape (S&amp;P)'!V8528="Yes",
    1.20,
    1.00)</f>
        <v/>
      </c>
      <c r="T8528">
        <f>LET(
    payment_method,'Loan Tape (S&amp;P)'!P8528,
    occupancy,'Loan Tape (S&amp;P)'!N8528,
    maturity_date,'Loan Tape (S&amp;P)'!L8528,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29">
      <c r="J8529">
        <f>LET(
    lien,'Loan Tape (S&amp;P)'!Q8529,
    IF(lien="First",1.00,
        IF(lien="Second",1.50,
            1.70)))</f>
        <v/>
      </c>
      <c r="K8529">
        <f>LET(
    purpose,'Loan Tape (S&amp;P)'!R8529,
    IF(purpose="Purchase",1.00,
        IF(purpose="Remortgage",1.00,
            1.20)))</f>
        <v/>
      </c>
      <c r="L8529">
        <f>LET(
    arrears_months,'Loan Tape (S&amp;P)'!AN8529,
    IF(arrears_months=0,1.00,
    IF(arrears_months=1,3.00,
    IF(arrears_months=2,5.00,
    IF(arrears_months=3,8.00,
    IF(arrears_months=4,10.00,
    IF(arrears_months=5,12.00,15.00)))))))</f>
        <v/>
      </c>
      <c r="M8529">
        <f>LET(
    seasoning_years,DATEDIF('Loan Tape (S&amp;P)'!K8529,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29">
        <f>IF(AND('Loan Tape (S&amp;P)'!U8529="Yes",
        'Loan Tape (S&amp;P)'!T8529&lt;&gt;"Yes",
        DATEDIF('Loan Tape (S&amp;P)'!K8529, TODAY(), "M")&lt;18),
    1.10,
    1.00)</f>
        <v/>
      </c>
      <c r="O8529">
        <f>IF('Loan Tape (S&amp;P)'!T8529="Yes",
    1.35,
    1.00)</f>
        <v/>
      </c>
      <c r="P8529">
        <f>IF('Loan Tape (S&amp;P)'!S8529="Yes",
    1.15,
    1.00)</f>
        <v/>
      </c>
      <c r="Q8529">
        <f>IF('Loan Tape (S&amp;P)'!V8529="Yes",
    1.20,
    1.00)</f>
        <v/>
      </c>
      <c r="T8529">
        <f>LET(
    payment_method,'Loan Tape (S&amp;P)'!P8529,
    occupancy,'Loan Tape (S&amp;P)'!N8529,
    maturity_date,'Loan Tape (S&amp;P)'!L8529,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30">
      <c r="J8530">
        <f>LET(
    lien,'Loan Tape (S&amp;P)'!Q8530,
    IF(lien="First",1.00,
        IF(lien="Second",1.50,
            1.70)))</f>
        <v/>
      </c>
      <c r="K8530">
        <f>LET(
    purpose,'Loan Tape (S&amp;P)'!R8530,
    IF(purpose="Purchase",1.00,
        IF(purpose="Remortgage",1.00,
            1.20)))</f>
        <v/>
      </c>
      <c r="L8530">
        <f>LET(
    arrears_months,'Loan Tape (S&amp;P)'!AN8530,
    IF(arrears_months=0,1.00,
    IF(arrears_months=1,3.00,
    IF(arrears_months=2,5.00,
    IF(arrears_months=3,8.00,
    IF(arrears_months=4,10.00,
    IF(arrears_months=5,12.00,15.00)))))))</f>
        <v/>
      </c>
      <c r="M8530">
        <f>LET(
    seasoning_years,DATEDIF('Loan Tape (S&amp;P)'!K8530,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30">
        <f>IF(AND('Loan Tape (S&amp;P)'!U8530="Yes",
        'Loan Tape (S&amp;P)'!T8530&lt;&gt;"Yes",
        DATEDIF('Loan Tape (S&amp;P)'!K8530, TODAY(), "M")&lt;18),
    1.10,
    1.00)</f>
        <v/>
      </c>
      <c r="O8530">
        <f>IF('Loan Tape (S&amp;P)'!T8530="Yes",
    1.35,
    1.00)</f>
        <v/>
      </c>
      <c r="P8530">
        <f>IF('Loan Tape (S&amp;P)'!S8530="Yes",
    1.15,
    1.00)</f>
        <v/>
      </c>
      <c r="Q8530">
        <f>IF('Loan Tape (S&amp;P)'!V8530="Yes",
    1.20,
    1.00)</f>
        <v/>
      </c>
      <c r="T8530">
        <f>LET(
    payment_method,'Loan Tape (S&amp;P)'!P8530,
    occupancy,'Loan Tape (S&amp;P)'!N8530,
    maturity_date,'Loan Tape (S&amp;P)'!L8530,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31">
      <c r="J8531">
        <f>LET(
    lien,'Loan Tape (S&amp;P)'!Q8531,
    IF(lien="First",1.00,
        IF(lien="Second",1.50,
            1.70)))</f>
        <v/>
      </c>
      <c r="K8531">
        <f>LET(
    purpose,'Loan Tape (S&amp;P)'!R8531,
    IF(purpose="Purchase",1.00,
        IF(purpose="Remortgage",1.00,
            1.20)))</f>
        <v/>
      </c>
      <c r="L8531">
        <f>LET(
    arrears_months,'Loan Tape (S&amp;P)'!AN8531,
    IF(arrears_months=0,1.00,
    IF(arrears_months=1,3.00,
    IF(arrears_months=2,5.00,
    IF(arrears_months=3,8.00,
    IF(arrears_months=4,10.00,
    IF(arrears_months=5,12.00,15.00)))))))</f>
        <v/>
      </c>
      <c r="M8531">
        <f>LET(
    seasoning_years,DATEDIF('Loan Tape (S&amp;P)'!K8531,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31">
        <f>IF(AND('Loan Tape (S&amp;P)'!U8531="Yes",
        'Loan Tape (S&amp;P)'!T8531&lt;&gt;"Yes",
        DATEDIF('Loan Tape (S&amp;P)'!K8531, TODAY(), "M")&lt;18),
    1.10,
    1.00)</f>
        <v/>
      </c>
      <c r="O8531">
        <f>IF('Loan Tape (S&amp;P)'!T8531="Yes",
    1.35,
    1.00)</f>
        <v/>
      </c>
      <c r="P8531">
        <f>IF('Loan Tape (S&amp;P)'!S8531="Yes",
    1.15,
    1.00)</f>
        <v/>
      </c>
      <c r="Q8531">
        <f>IF('Loan Tape (S&amp;P)'!V8531="Yes",
    1.20,
    1.00)</f>
        <v/>
      </c>
      <c r="T8531">
        <f>LET(
    payment_method,'Loan Tape (S&amp;P)'!P8531,
    occupancy,'Loan Tape (S&amp;P)'!N8531,
    maturity_date,'Loan Tape (S&amp;P)'!L8531,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32">
      <c r="J8532">
        <f>LET(
    lien,'Loan Tape (S&amp;P)'!Q8532,
    IF(lien="First",1.00,
        IF(lien="Second",1.50,
            1.70)))</f>
        <v/>
      </c>
      <c r="K8532">
        <f>LET(
    purpose,'Loan Tape (S&amp;P)'!R8532,
    IF(purpose="Purchase",1.00,
        IF(purpose="Remortgage",1.00,
            1.20)))</f>
        <v/>
      </c>
      <c r="L8532">
        <f>LET(
    arrears_months,'Loan Tape (S&amp;P)'!AN8532,
    IF(arrears_months=0,1.00,
    IF(arrears_months=1,3.00,
    IF(arrears_months=2,5.00,
    IF(arrears_months=3,8.00,
    IF(arrears_months=4,10.00,
    IF(arrears_months=5,12.00,15.00)))))))</f>
        <v/>
      </c>
      <c r="M8532">
        <f>LET(
    seasoning_years,DATEDIF('Loan Tape (S&amp;P)'!K8532,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32">
        <f>IF(AND('Loan Tape (S&amp;P)'!U8532="Yes",
        'Loan Tape (S&amp;P)'!T8532&lt;&gt;"Yes",
        DATEDIF('Loan Tape (S&amp;P)'!K8532, TODAY(), "M")&lt;18),
    1.10,
    1.00)</f>
        <v/>
      </c>
      <c r="O8532">
        <f>IF('Loan Tape (S&amp;P)'!T8532="Yes",
    1.35,
    1.00)</f>
        <v/>
      </c>
      <c r="P8532">
        <f>IF('Loan Tape (S&amp;P)'!S8532="Yes",
    1.15,
    1.00)</f>
        <v/>
      </c>
      <c r="Q8532">
        <f>IF('Loan Tape (S&amp;P)'!V8532="Yes",
    1.20,
    1.00)</f>
        <v/>
      </c>
      <c r="T8532">
        <f>LET(
    payment_method,'Loan Tape (S&amp;P)'!P8532,
    occupancy,'Loan Tape (S&amp;P)'!N8532,
    maturity_date,'Loan Tape (S&amp;P)'!L8532,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33">
      <c r="J8533">
        <f>LET(
    lien,'Loan Tape (S&amp;P)'!Q8533,
    IF(lien="First",1.00,
        IF(lien="Second",1.50,
            1.70)))</f>
        <v/>
      </c>
      <c r="K8533">
        <f>LET(
    purpose,'Loan Tape (S&amp;P)'!R8533,
    IF(purpose="Purchase",1.00,
        IF(purpose="Remortgage",1.00,
            1.20)))</f>
        <v/>
      </c>
      <c r="L8533">
        <f>LET(
    arrears_months,'Loan Tape (S&amp;P)'!AN8533,
    IF(arrears_months=0,1.00,
    IF(arrears_months=1,3.00,
    IF(arrears_months=2,5.00,
    IF(arrears_months=3,8.00,
    IF(arrears_months=4,10.00,
    IF(arrears_months=5,12.00,15.00)))))))</f>
        <v/>
      </c>
      <c r="M8533">
        <f>LET(
    seasoning_years,DATEDIF('Loan Tape (S&amp;P)'!K8533,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33">
        <f>IF(AND('Loan Tape (S&amp;P)'!U8533="Yes",
        'Loan Tape (S&amp;P)'!T8533&lt;&gt;"Yes",
        DATEDIF('Loan Tape (S&amp;P)'!K8533, TODAY(), "M")&lt;18),
    1.10,
    1.00)</f>
        <v/>
      </c>
      <c r="O8533">
        <f>IF('Loan Tape (S&amp;P)'!T8533="Yes",
    1.35,
    1.00)</f>
        <v/>
      </c>
      <c r="P8533">
        <f>IF('Loan Tape (S&amp;P)'!S8533="Yes",
    1.15,
    1.00)</f>
        <v/>
      </c>
      <c r="Q8533">
        <f>IF('Loan Tape (S&amp;P)'!V8533="Yes",
    1.20,
    1.00)</f>
        <v/>
      </c>
      <c r="T8533">
        <f>LET(
    payment_method,'Loan Tape (S&amp;P)'!P8533,
    occupancy,'Loan Tape (S&amp;P)'!N8533,
    maturity_date,'Loan Tape (S&amp;P)'!L8533,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34">
      <c r="J8534">
        <f>LET(
    lien,'Loan Tape (S&amp;P)'!Q8534,
    IF(lien="First",1.00,
        IF(lien="Second",1.50,
            1.70)))</f>
        <v/>
      </c>
      <c r="K8534">
        <f>LET(
    purpose,'Loan Tape (S&amp;P)'!R8534,
    IF(purpose="Purchase",1.00,
        IF(purpose="Remortgage",1.00,
            1.20)))</f>
        <v/>
      </c>
      <c r="L8534">
        <f>LET(
    arrears_months,'Loan Tape (S&amp;P)'!AN8534,
    IF(arrears_months=0,1.00,
    IF(arrears_months=1,3.00,
    IF(arrears_months=2,5.00,
    IF(arrears_months=3,8.00,
    IF(arrears_months=4,10.00,
    IF(arrears_months=5,12.00,15.00)))))))</f>
        <v/>
      </c>
      <c r="M8534">
        <f>LET(
    seasoning_years,DATEDIF('Loan Tape (S&amp;P)'!K8534,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34">
        <f>IF(AND('Loan Tape (S&amp;P)'!U8534="Yes",
        'Loan Tape (S&amp;P)'!T8534&lt;&gt;"Yes",
        DATEDIF('Loan Tape (S&amp;P)'!K8534, TODAY(), "M")&lt;18),
    1.10,
    1.00)</f>
        <v/>
      </c>
      <c r="O8534">
        <f>IF('Loan Tape (S&amp;P)'!T8534="Yes",
    1.35,
    1.00)</f>
        <v/>
      </c>
      <c r="P8534">
        <f>IF('Loan Tape (S&amp;P)'!S8534="Yes",
    1.15,
    1.00)</f>
        <v/>
      </c>
      <c r="Q8534">
        <f>IF('Loan Tape (S&amp;P)'!V8534="Yes",
    1.20,
    1.00)</f>
        <v/>
      </c>
      <c r="T8534">
        <f>LET(
    payment_method,'Loan Tape (S&amp;P)'!P8534,
    occupancy,'Loan Tape (S&amp;P)'!N8534,
    maturity_date,'Loan Tape (S&amp;P)'!L8534,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35">
      <c r="J8535">
        <f>LET(
    lien,'Loan Tape (S&amp;P)'!Q8535,
    IF(lien="First",1.00,
        IF(lien="Second",1.50,
            1.70)))</f>
        <v/>
      </c>
      <c r="K8535">
        <f>LET(
    purpose,'Loan Tape (S&amp;P)'!R8535,
    IF(purpose="Purchase",1.00,
        IF(purpose="Remortgage",1.00,
            1.20)))</f>
        <v/>
      </c>
      <c r="L8535">
        <f>LET(
    arrears_months,'Loan Tape (S&amp;P)'!AN8535,
    IF(arrears_months=0,1.00,
    IF(arrears_months=1,3.00,
    IF(arrears_months=2,5.00,
    IF(arrears_months=3,8.00,
    IF(arrears_months=4,10.00,
    IF(arrears_months=5,12.00,15.00)))))))</f>
        <v/>
      </c>
      <c r="M8535">
        <f>LET(
    seasoning_years,DATEDIF('Loan Tape (S&amp;P)'!K8535,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35">
        <f>IF(AND('Loan Tape (S&amp;P)'!U8535="Yes",
        'Loan Tape (S&amp;P)'!T8535&lt;&gt;"Yes",
        DATEDIF('Loan Tape (S&amp;P)'!K8535, TODAY(), "M")&lt;18),
    1.10,
    1.00)</f>
        <v/>
      </c>
      <c r="O8535">
        <f>IF('Loan Tape (S&amp;P)'!T8535="Yes",
    1.35,
    1.00)</f>
        <v/>
      </c>
      <c r="P8535">
        <f>IF('Loan Tape (S&amp;P)'!S8535="Yes",
    1.15,
    1.00)</f>
        <v/>
      </c>
      <c r="Q8535">
        <f>IF('Loan Tape (S&amp;P)'!V8535="Yes",
    1.20,
    1.00)</f>
        <v/>
      </c>
      <c r="T8535">
        <f>LET(
    payment_method,'Loan Tape (S&amp;P)'!P8535,
    occupancy,'Loan Tape (S&amp;P)'!N8535,
    maturity_date,'Loan Tape (S&amp;P)'!L8535,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36">
      <c r="J8536">
        <f>LET(
    lien,'Loan Tape (S&amp;P)'!Q8536,
    IF(lien="First",1.00,
        IF(lien="Second",1.50,
            1.70)))</f>
        <v/>
      </c>
      <c r="K8536">
        <f>LET(
    purpose,'Loan Tape (S&amp;P)'!R8536,
    IF(purpose="Purchase",1.00,
        IF(purpose="Remortgage",1.00,
            1.20)))</f>
        <v/>
      </c>
      <c r="L8536">
        <f>LET(
    arrears_months,'Loan Tape (S&amp;P)'!AN8536,
    IF(arrears_months=0,1.00,
    IF(arrears_months=1,3.00,
    IF(arrears_months=2,5.00,
    IF(arrears_months=3,8.00,
    IF(arrears_months=4,10.00,
    IF(arrears_months=5,12.00,15.00)))))))</f>
        <v/>
      </c>
      <c r="M8536">
        <f>LET(
    seasoning_years,DATEDIF('Loan Tape (S&amp;P)'!K8536,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36">
        <f>IF(AND('Loan Tape (S&amp;P)'!U8536="Yes",
        'Loan Tape (S&amp;P)'!T8536&lt;&gt;"Yes",
        DATEDIF('Loan Tape (S&amp;P)'!K8536, TODAY(), "M")&lt;18),
    1.10,
    1.00)</f>
        <v/>
      </c>
      <c r="O8536">
        <f>IF('Loan Tape (S&amp;P)'!T8536="Yes",
    1.35,
    1.00)</f>
        <v/>
      </c>
      <c r="P8536">
        <f>IF('Loan Tape (S&amp;P)'!S8536="Yes",
    1.15,
    1.00)</f>
        <v/>
      </c>
      <c r="Q8536">
        <f>IF('Loan Tape (S&amp;P)'!V8536="Yes",
    1.20,
    1.00)</f>
        <v/>
      </c>
      <c r="T8536">
        <f>LET(
    payment_method,'Loan Tape (S&amp;P)'!P8536,
    occupancy,'Loan Tape (S&amp;P)'!N8536,
    maturity_date,'Loan Tape (S&amp;P)'!L8536,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37">
      <c r="J8537">
        <f>LET(
    lien,'Loan Tape (S&amp;P)'!Q8537,
    IF(lien="First",1.00,
        IF(lien="Second",1.50,
            1.70)))</f>
        <v/>
      </c>
      <c r="K8537">
        <f>LET(
    purpose,'Loan Tape (S&amp;P)'!R8537,
    IF(purpose="Purchase",1.00,
        IF(purpose="Remortgage",1.00,
            1.20)))</f>
        <v/>
      </c>
      <c r="L8537">
        <f>LET(
    arrears_months,'Loan Tape (S&amp;P)'!AN8537,
    IF(arrears_months=0,1.00,
    IF(arrears_months=1,3.00,
    IF(arrears_months=2,5.00,
    IF(arrears_months=3,8.00,
    IF(arrears_months=4,10.00,
    IF(arrears_months=5,12.00,15.00)))))))</f>
        <v/>
      </c>
      <c r="M8537">
        <f>LET(
    seasoning_years,DATEDIF('Loan Tape (S&amp;P)'!K8537,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37">
        <f>IF(AND('Loan Tape (S&amp;P)'!U8537="Yes",
        'Loan Tape (S&amp;P)'!T8537&lt;&gt;"Yes",
        DATEDIF('Loan Tape (S&amp;P)'!K8537, TODAY(), "M")&lt;18),
    1.10,
    1.00)</f>
        <v/>
      </c>
      <c r="O8537">
        <f>IF('Loan Tape (S&amp;P)'!T8537="Yes",
    1.35,
    1.00)</f>
        <v/>
      </c>
      <c r="P8537">
        <f>IF('Loan Tape (S&amp;P)'!S8537="Yes",
    1.15,
    1.00)</f>
        <v/>
      </c>
      <c r="Q8537">
        <f>IF('Loan Tape (S&amp;P)'!V8537="Yes",
    1.20,
    1.00)</f>
        <v/>
      </c>
      <c r="T8537">
        <f>LET(
    payment_method,'Loan Tape (S&amp;P)'!P8537,
    occupancy,'Loan Tape (S&amp;P)'!N8537,
    maturity_date,'Loan Tape (S&amp;P)'!L8537,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38">
      <c r="J8538">
        <f>LET(
    lien,'Loan Tape (S&amp;P)'!Q8538,
    IF(lien="First",1.00,
        IF(lien="Second",1.50,
            1.70)))</f>
        <v/>
      </c>
      <c r="K8538">
        <f>LET(
    purpose,'Loan Tape (S&amp;P)'!R8538,
    IF(purpose="Purchase",1.00,
        IF(purpose="Remortgage",1.00,
            1.20)))</f>
        <v/>
      </c>
      <c r="L8538">
        <f>LET(
    arrears_months,'Loan Tape (S&amp;P)'!AN8538,
    IF(arrears_months=0,1.00,
    IF(arrears_months=1,3.00,
    IF(arrears_months=2,5.00,
    IF(arrears_months=3,8.00,
    IF(arrears_months=4,10.00,
    IF(arrears_months=5,12.00,15.00)))))))</f>
        <v/>
      </c>
      <c r="M8538">
        <f>LET(
    seasoning_years,DATEDIF('Loan Tape (S&amp;P)'!K8538,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38">
        <f>IF(AND('Loan Tape (S&amp;P)'!U8538="Yes",
        'Loan Tape (S&amp;P)'!T8538&lt;&gt;"Yes",
        DATEDIF('Loan Tape (S&amp;P)'!K8538, TODAY(), "M")&lt;18),
    1.10,
    1.00)</f>
        <v/>
      </c>
      <c r="O8538">
        <f>IF('Loan Tape (S&amp;P)'!T8538="Yes",
    1.35,
    1.00)</f>
        <v/>
      </c>
      <c r="P8538">
        <f>IF('Loan Tape (S&amp;P)'!S8538="Yes",
    1.15,
    1.00)</f>
        <v/>
      </c>
      <c r="Q8538">
        <f>IF('Loan Tape (S&amp;P)'!V8538="Yes",
    1.20,
    1.00)</f>
        <v/>
      </c>
      <c r="T8538">
        <f>LET(
    payment_method,'Loan Tape (S&amp;P)'!P8538,
    occupancy,'Loan Tape (S&amp;P)'!N8538,
    maturity_date,'Loan Tape (S&amp;P)'!L8538,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39">
      <c r="J8539">
        <f>LET(
    lien,'Loan Tape (S&amp;P)'!Q8539,
    IF(lien="First",1.00,
        IF(lien="Second",1.50,
            1.70)))</f>
        <v/>
      </c>
      <c r="K8539">
        <f>LET(
    purpose,'Loan Tape (S&amp;P)'!R8539,
    IF(purpose="Purchase",1.00,
        IF(purpose="Remortgage",1.00,
            1.20)))</f>
        <v/>
      </c>
      <c r="L8539">
        <f>LET(
    arrears_months,'Loan Tape (S&amp;P)'!AN8539,
    IF(arrears_months=0,1.00,
    IF(arrears_months=1,3.00,
    IF(arrears_months=2,5.00,
    IF(arrears_months=3,8.00,
    IF(arrears_months=4,10.00,
    IF(arrears_months=5,12.00,15.00)))))))</f>
        <v/>
      </c>
      <c r="M8539">
        <f>LET(
    seasoning_years,DATEDIF('Loan Tape (S&amp;P)'!K8539,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39">
        <f>IF(AND('Loan Tape (S&amp;P)'!U8539="Yes",
        'Loan Tape (S&amp;P)'!T8539&lt;&gt;"Yes",
        DATEDIF('Loan Tape (S&amp;P)'!K8539, TODAY(), "M")&lt;18),
    1.10,
    1.00)</f>
        <v/>
      </c>
      <c r="O8539">
        <f>IF('Loan Tape (S&amp;P)'!T8539="Yes",
    1.35,
    1.00)</f>
        <v/>
      </c>
      <c r="P8539">
        <f>IF('Loan Tape (S&amp;P)'!S8539="Yes",
    1.15,
    1.00)</f>
        <v/>
      </c>
      <c r="Q8539">
        <f>IF('Loan Tape (S&amp;P)'!V8539="Yes",
    1.20,
    1.00)</f>
        <v/>
      </c>
      <c r="T8539">
        <f>LET(
    payment_method,'Loan Tape (S&amp;P)'!P8539,
    occupancy,'Loan Tape (S&amp;P)'!N8539,
    maturity_date,'Loan Tape (S&amp;P)'!L8539,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40">
      <c r="J8540">
        <f>LET(
    lien,'Loan Tape (S&amp;P)'!Q8540,
    IF(lien="First",1.00,
        IF(lien="Second",1.50,
            1.70)))</f>
        <v/>
      </c>
      <c r="K8540">
        <f>LET(
    purpose,'Loan Tape (S&amp;P)'!R8540,
    IF(purpose="Purchase",1.00,
        IF(purpose="Remortgage",1.00,
            1.20)))</f>
        <v/>
      </c>
      <c r="L8540">
        <f>LET(
    arrears_months,'Loan Tape (S&amp;P)'!AN8540,
    IF(arrears_months=0,1.00,
    IF(arrears_months=1,3.00,
    IF(arrears_months=2,5.00,
    IF(arrears_months=3,8.00,
    IF(arrears_months=4,10.00,
    IF(arrears_months=5,12.00,15.00)))))))</f>
        <v/>
      </c>
      <c r="M8540">
        <f>LET(
    seasoning_years,DATEDIF('Loan Tape (S&amp;P)'!K8540,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40">
        <f>IF(AND('Loan Tape (S&amp;P)'!U8540="Yes",
        'Loan Tape (S&amp;P)'!T8540&lt;&gt;"Yes",
        DATEDIF('Loan Tape (S&amp;P)'!K8540, TODAY(), "M")&lt;18),
    1.10,
    1.00)</f>
        <v/>
      </c>
      <c r="O8540">
        <f>IF('Loan Tape (S&amp;P)'!T8540="Yes",
    1.35,
    1.00)</f>
        <v/>
      </c>
      <c r="P8540">
        <f>IF('Loan Tape (S&amp;P)'!S8540="Yes",
    1.15,
    1.00)</f>
        <v/>
      </c>
      <c r="Q8540">
        <f>IF('Loan Tape (S&amp;P)'!V8540="Yes",
    1.20,
    1.00)</f>
        <v/>
      </c>
      <c r="T8540">
        <f>LET(
    payment_method,'Loan Tape (S&amp;P)'!P8540,
    occupancy,'Loan Tape (S&amp;P)'!N8540,
    maturity_date,'Loan Tape (S&amp;P)'!L8540,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41">
      <c r="J8541">
        <f>LET(
    lien,'Loan Tape (S&amp;P)'!Q8541,
    IF(lien="First",1.00,
        IF(lien="Second",1.50,
            1.70)))</f>
        <v/>
      </c>
      <c r="K8541">
        <f>LET(
    purpose,'Loan Tape (S&amp;P)'!R8541,
    IF(purpose="Purchase",1.00,
        IF(purpose="Remortgage",1.00,
            1.20)))</f>
        <v/>
      </c>
      <c r="L8541">
        <f>LET(
    arrears_months,'Loan Tape (S&amp;P)'!AN8541,
    IF(arrears_months=0,1.00,
    IF(arrears_months=1,3.00,
    IF(arrears_months=2,5.00,
    IF(arrears_months=3,8.00,
    IF(arrears_months=4,10.00,
    IF(arrears_months=5,12.00,15.00)))))))</f>
        <v/>
      </c>
      <c r="M8541">
        <f>LET(
    seasoning_years,DATEDIF('Loan Tape (S&amp;P)'!K8541,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41">
        <f>IF(AND('Loan Tape (S&amp;P)'!U8541="Yes",
        'Loan Tape (S&amp;P)'!T8541&lt;&gt;"Yes",
        DATEDIF('Loan Tape (S&amp;P)'!K8541, TODAY(), "M")&lt;18),
    1.10,
    1.00)</f>
        <v/>
      </c>
      <c r="O8541">
        <f>IF('Loan Tape (S&amp;P)'!T8541="Yes",
    1.35,
    1.00)</f>
        <v/>
      </c>
      <c r="P8541">
        <f>IF('Loan Tape (S&amp;P)'!S8541="Yes",
    1.15,
    1.00)</f>
        <v/>
      </c>
      <c r="Q8541">
        <f>IF('Loan Tape (S&amp;P)'!V8541="Yes",
    1.20,
    1.00)</f>
        <v/>
      </c>
      <c r="T8541">
        <f>LET(
    payment_method,'Loan Tape (S&amp;P)'!P8541,
    occupancy,'Loan Tape (S&amp;P)'!N8541,
    maturity_date,'Loan Tape (S&amp;P)'!L8541,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42">
      <c r="J8542">
        <f>LET(
    lien,'Loan Tape (S&amp;P)'!Q8542,
    IF(lien="First",1.00,
        IF(lien="Second",1.50,
            1.70)))</f>
        <v/>
      </c>
      <c r="K8542">
        <f>LET(
    purpose,'Loan Tape (S&amp;P)'!R8542,
    IF(purpose="Purchase",1.00,
        IF(purpose="Remortgage",1.00,
            1.20)))</f>
        <v/>
      </c>
      <c r="L8542">
        <f>LET(
    arrears_months,'Loan Tape (S&amp;P)'!AN8542,
    IF(arrears_months=0,1.00,
    IF(arrears_months=1,3.00,
    IF(arrears_months=2,5.00,
    IF(arrears_months=3,8.00,
    IF(arrears_months=4,10.00,
    IF(arrears_months=5,12.00,15.00)))))))</f>
        <v/>
      </c>
      <c r="M8542">
        <f>LET(
    seasoning_years,DATEDIF('Loan Tape (S&amp;P)'!K8542,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42">
        <f>IF(AND('Loan Tape (S&amp;P)'!U8542="Yes",
        'Loan Tape (S&amp;P)'!T8542&lt;&gt;"Yes",
        DATEDIF('Loan Tape (S&amp;P)'!K8542, TODAY(), "M")&lt;18),
    1.10,
    1.00)</f>
        <v/>
      </c>
      <c r="O8542">
        <f>IF('Loan Tape (S&amp;P)'!T8542="Yes",
    1.35,
    1.00)</f>
        <v/>
      </c>
      <c r="P8542">
        <f>IF('Loan Tape (S&amp;P)'!S8542="Yes",
    1.15,
    1.00)</f>
        <v/>
      </c>
      <c r="Q8542">
        <f>IF('Loan Tape (S&amp;P)'!V8542="Yes",
    1.20,
    1.00)</f>
        <v/>
      </c>
      <c r="T8542">
        <f>LET(
    payment_method,'Loan Tape (S&amp;P)'!P8542,
    occupancy,'Loan Tape (S&amp;P)'!N8542,
    maturity_date,'Loan Tape (S&amp;P)'!L8542,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43">
      <c r="J8543">
        <f>LET(
    lien,'Loan Tape (S&amp;P)'!Q8543,
    IF(lien="First",1.00,
        IF(lien="Second",1.50,
            1.70)))</f>
        <v/>
      </c>
      <c r="K8543">
        <f>LET(
    purpose,'Loan Tape (S&amp;P)'!R8543,
    IF(purpose="Purchase",1.00,
        IF(purpose="Remortgage",1.00,
            1.20)))</f>
        <v/>
      </c>
      <c r="L8543">
        <f>LET(
    arrears_months,'Loan Tape (S&amp;P)'!AN8543,
    IF(arrears_months=0,1.00,
    IF(arrears_months=1,3.00,
    IF(arrears_months=2,5.00,
    IF(arrears_months=3,8.00,
    IF(arrears_months=4,10.00,
    IF(arrears_months=5,12.00,15.00)))))))</f>
        <v/>
      </c>
      <c r="M8543">
        <f>LET(
    seasoning_years,DATEDIF('Loan Tape (S&amp;P)'!K8543,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43">
        <f>IF(AND('Loan Tape (S&amp;P)'!U8543="Yes",
        'Loan Tape (S&amp;P)'!T8543&lt;&gt;"Yes",
        DATEDIF('Loan Tape (S&amp;P)'!K8543, TODAY(), "M")&lt;18),
    1.10,
    1.00)</f>
        <v/>
      </c>
      <c r="O8543">
        <f>IF('Loan Tape (S&amp;P)'!T8543="Yes",
    1.35,
    1.00)</f>
        <v/>
      </c>
      <c r="P8543">
        <f>IF('Loan Tape (S&amp;P)'!S8543="Yes",
    1.15,
    1.00)</f>
        <v/>
      </c>
      <c r="Q8543">
        <f>IF('Loan Tape (S&amp;P)'!V8543="Yes",
    1.20,
    1.00)</f>
        <v/>
      </c>
      <c r="T8543">
        <f>LET(
    payment_method,'Loan Tape (S&amp;P)'!P8543,
    occupancy,'Loan Tape (S&amp;P)'!N8543,
    maturity_date,'Loan Tape (S&amp;P)'!L8543,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44">
      <c r="J8544">
        <f>LET(
    lien,'Loan Tape (S&amp;P)'!Q8544,
    IF(lien="First",1.00,
        IF(lien="Second",1.50,
            1.70)))</f>
        <v/>
      </c>
      <c r="K8544">
        <f>LET(
    purpose,'Loan Tape (S&amp;P)'!R8544,
    IF(purpose="Purchase",1.00,
        IF(purpose="Remortgage",1.00,
            1.20)))</f>
        <v/>
      </c>
      <c r="L8544">
        <f>LET(
    arrears_months,'Loan Tape (S&amp;P)'!AN8544,
    IF(arrears_months=0,1.00,
    IF(arrears_months=1,3.00,
    IF(arrears_months=2,5.00,
    IF(arrears_months=3,8.00,
    IF(arrears_months=4,10.00,
    IF(arrears_months=5,12.00,15.00)))))))</f>
        <v/>
      </c>
      <c r="M8544">
        <f>LET(
    seasoning_years,DATEDIF('Loan Tape (S&amp;P)'!K8544,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44">
        <f>IF(AND('Loan Tape (S&amp;P)'!U8544="Yes",
        'Loan Tape (S&amp;P)'!T8544&lt;&gt;"Yes",
        DATEDIF('Loan Tape (S&amp;P)'!K8544, TODAY(), "M")&lt;18),
    1.10,
    1.00)</f>
        <v/>
      </c>
      <c r="O8544">
        <f>IF('Loan Tape (S&amp;P)'!T8544="Yes",
    1.35,
    1.00)</f>
        <v/>
      </c>
      <c r="P8544">
        <f>IF('Loan Tape (S&amp;P)'!S8544="Yes",
    1.15,
    1.00)</f>
        <v/>
      </c>
      <c r="Q8544">
        <f>IF('Loan Tape (S&amp;P)'!V8544="Yes",
    1.20,
    1.00)</f>
        <v/>
      </c>
      <c r="T8544">
        <f>LET(
    payment_method,'Loan Tape (S&amp;P)'!P8544,
    occupancy,'Loan Tape (S&amp;P)'!N8544,
    maturity_date,'Loan Tape (S&amp;P)'!L8544,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45">
      <c r="J8545">
        <f>LET(
    lien,'Loan Tape (S&amp;P)'!Q8545,
    IF(lien="First",1.00,
        IF(lien="Second",1.50,
            1.70)))</f>
        <v/>
      </c>
      <c r="K8545">
        <f>LET(
    purpose,'Loan Tape (S&amp;P)'!R8545,
    IF(purpose="Purchase",1.00,
        IF(purpose="Remortgage",1.00,
            1.20)))</f>
        <v/>
      </c>
      <c r="L8545">
        <f>LET(
    arrears_months,'Loan Tape (S&amp;P)'!AN8545,
    IF(arrears_months=0,1.00,
    IF(arrears_months=1,3.00,
    IF(arrears_months=2,5.00,
    IF(arrears_months=3,8.00,
    IF(arrears_months=4,10.00,
    IF(arrears_months=5,12.00,15.00)))))))</f>
        <v/>
      </c>
      <c r="M8545">
        <f>LET(
    seasoning_years,DATEDIF('Loan Tape (S&amp;P)'!K8545,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45">
        <f>IF(AND('Loan Tape (S&amp;P)'!U8545="Yes",
        'Loan Tape (S&amp;P)'!T8545&lt;&gt;"Yes",
        DATEDIF('Loan Tape (S&amp;P)'!K8545, TODAY(), "M")&lt;18),
    1.10,
    1.00)</f>
        <v/>
      </c>
      <c r="O8545">
        <f>IF('Loan Tape (S&amp;P)'!T8545="Yes",
    1.35,
    1.00)</f>
        <v/>
      </c>
      <c r="P8545">
        <f>IF('Loan Tape (S&amp;P)'!S8545="Yes",
    1.15,
    1.00)</f>
        <v/>
      </c>
      <c r="Q8545">
        <f>IF('Loan Tape (S&amp;P)'!V8545="Yes",
    1.20,
    1.00)</f>
        <v/>
      </c>
      <c r="T8545">
        <f>LET(
    payment_method,'Loan Tape (S&amp;P)'!P8545,
    occupancy,'Loan Tape (S&amp;P)'!N8545,
    maturity_date,'Loan Tape (S&amp;P)'!L8545,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46">
      <c r="J8546">
        <f>LET(
    lien,'Loan Tape (S&amp;P)'!Q8546,
    IF(lien="First",1.00,
        IF(lien="Second",1.50,
            1.70)))</f>
        <v/>
      </c>
      <c r="K8546">
        <f>LET(
    purpose,'Loan Tape (S&amp;P)'!R8546,
    IF(purpose="Purchase",1.00,
        IF(purpose="Remortgage",1.00,
            1.20)))</f>
        <v/>
      </c>
      <c r="L8546">
        <f>LET(
    arrears_months,'Loan Tape (S&amp;P)'!AN8546,
    IF(arrears_months=0,1.00,
    IF(arrears_months=1,3.00,
    IF(arrears_months=2,5.00,
    IF(arrears_months=3,8.00,
    IF(arrears_months=4,10.00,
    IF(arrears_months=5,12.00,15.00)))))))</f>
        <v/>
      </c>
      <c r="M8546">
        <f>LET(
    seasoning_years,DATEDIF('Loan Tape (S&amp;P)'!K8546,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46">
        <f>IF(AND('Loan Tape (S&amp;P)'!U8546="Yes",
        'Loan Tape (S&amp;P)'!T8546&lt;&gt;"Yes",
        DATEDIF('Loan Tape (S&amp;P)'!K8546, TODAY(), "M")&lt;18),
    1.10,
    1.00)</f>
        <v/>
      </c>
      <c r="O8546">
        <f>IF('Loan Tape (S&amp;P)'!T8546="Yes",
    1.35,
    1.00)</f>
        <v/>
      </c>
      <c r="P8546">
        <f>IF('Loan Tape (S&amp;P)'!S8546="Yes",
    1.15,
    1.00)</f>
        <v/>
      </c>
      <c r="Q8546">
        <f>IF('Loan Tape (S&amp;P)'!V8546="Yes",
    1.20,
    1.00)</f>
        <v/>
      </c>
      <c r="T8546">
        <f>LET(
    payment_method,'Loan Tape (S&amp;P)'!P8546,
    occupancy,'Loan Tape (S&amp;P)'!N8546,
    maturity_date,'Loan Tape (S&amp;P)'!L8546,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47">
      <c r="J8547">
        <f>LET(
    lien,'Loan Tape (S&amp;P)'!Q8547,
    IF(lien="First",1.00,
        IF(lien="Second",1.50,
            1.70)))</f>
        <v/>
      </c>
      <c r="K8547">
        <f>LET(
    purpose,'Loan Tape (S&amp;P)'!R8547,
    IF(purpose="Purchase",1.00,
        IF(purpose="Remortgage",1.00,
            1.20)))</f>
        <v/>
      </c>
      <c r="L8547">
        <f>LET(
    arrears_months,'Loan Tape (S&amp;P)'!AN8547,
    IF(arrears_months=0,1.00,
    IF(arrears_months=1,3.00,
    IF(arrears_months=2,5.00,
    IF(arrears_months=3,8.00,
    IF(arrears_months=4,10.00,
    IF(arrears_months=5,12.00,15.00)))))))</f>
        <v/>
      </c>
      <c r="M8547">
        <f>LET(
    seasoning_years,DATEDIF('Loan Tape (S&amp;P)'!K8547,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47">
        <f>IF(AND('Loan Tape (S&amp;P)'!U8547="Yes",
        'Loan Tape (S&amp;P)'!T8547&lt;&gt;"Yes",
        DATEDIF('Loan Tape (S&amp;P)'!K8547, TODAY(), "M")&lt;18),
    1.10,
    1.00)</f>
        <v/>
      </c>
      <c r="O8547">
        <f>IF('Loan Tape (S&amp;P)'!T8547="Yes",
    1.35,
    1.00)</f>
        <v/>
      </c>
      <c r="P8547">
        <f>IF('Loan Tape (S&amp;P)'!S8547="Yes",
    1.15,
    1.00)</f>
        <v/>
      </c>
      <c r="Q8547">
        <f>IF('Loan Tape (S&amp;P)'!V8547="Yes",
    1.20,
    1.00)</f>
        <v/>
      </c>
      <c r="T8547">
        <f>LET(
    payment_method,'Loan Tape (S&amp;P)'!P8547,
    occupancy,'Loan Tape (S&amp;P)'!N8547,
    maturity_date,'Loan Tape (S&amp;P)'!L8547,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48">
      <c r="J8548">
        <f>LET(
    lien,'Loan Tape (S&amp;P)'!Q8548,
    IF(lien="First",1.00,
        IF(lien="Second",1.50,
            1.70)))</f>
        <v/>
      </c>
      <c r="K8548">
        <f>LET(
    purpose,'Loan Tape (S&amp;P)'!R8548,
    IF(purpose="Purchase",1.00,
        IF(purpose="Remortgage",1.00,
            1.20)))</f>
        <v/>
      </c>
      <c r="L8548">
        <f>LET(
    arrears_months,'Loan Tape (S&amp;P)'!AN8548,
    IF(arrears_months=0,1.00,
    IF(arrears_months=1,3.00,
    IF(arrears_months=2,5.00,
    IF(arrears_months=3,8.00,
    IF(arrears_months=4,10.00,
    IF(arrears_months=5,12.00,15.00)))))))</f>
        <v/>
      </c>
      <c r="M8548">
        <f>LET(
    seasoning_years,DATEDIF('Loan Tape (S&amp;P)'!K8548,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48">
        <f>IF(AND('Loan Tape (S&amp;P)'!U8548="Yes",
        'Loan Tape (S&amp;P)'!T8548&lt;&gt;"Yes",
        DATEDIF('Loan Tape (S&amp;P)'!K8548, TODAY(), "M")&lt;18),
    1.10,
    1.00)</f>
        <v/>
      </c>
      <c r="O8548">
        <f>IF('Loan Tape (S&amp;P)'!T8548="Yes",
    1.35,
    1.00)</f>
        <v/>
      </c>
      <c r="P8548">
        <f>IF('Loan Tape (S&amp;P)'!S8548="Yes",
    1.15,
    1.00)</f>
        <v/>
      </c>
      <c r="Q8548">
        <f>IF('Loan Tape (S&amp;P)'!V8548="Yes",
    1.20,
    1.00)</f>
        <v/>
      </c>
      <c r="T8548">
        <f>LET(
    payment_method,'Loan Tape (S&amp;P)'!P8548,
    occupancy,'Loan Tape (S&amp;P)'!N8548,
    maturity_date,'Loan Tape (S&amp;P)'!L8548,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49">
      <c r="J8549">
        <f>LET(
    lien,'Loan Tape (S&amp;P)'!Q8549,
    IF(lien="First",1.00,
        IF(lien="Second",1.50,
            1.70)))</f>
        <v/>
      </c>
      <c r="K8549">
        <f>LET(
    purpose,'Loan Tape (S&amp;P)'!R8549,
    IF(purpose="Purchase",1.00,
        IF(purpose="Remortgage",1.00,
            1.20)))</f>
        <v/>
      </c>
      <c r="L8549">
        <f>LET(
    arrears_months,'Loan Tape (S&amp;P)'!AN8549,
    IF(arrears_months=0,1.00,
    IF(arrears_months=1,3.00,
    IF(arrears_months=2,5.00,
    IF(arrears_months=3,8.00,
    IF(arrears_months=4,10.00,
    IF(arrears_months=5,12.00,15.00)))))))</f>
        <v/>
      </c>
      <c r="M8549">
        <f>LET(
    seasoning_years,DATEDIF('Loan Tape (S&amp;P)'!K8549,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49">
        <f>IF(AND('Loan Tape (S&amp;P)'!U8549="Yes",
        'Loan Tape (S&amp;P)'!T8549&lt;&gt;"Yes",
        DATEDIF('Loan Tape (S&amp;P)'!K8549, TODAY(), "M")&lt;18),
    1.10,
    1.00)</f>
        <v/>
      </c>
      <c r="O8549">
        <f>IF('Loan Tape (S&amp;P)'!T8549="Yes",
    1.35,
    1.00)</f>
        <v/>
      </c>
      <c r="P8549">
        <f>IF('Loan Tape (S&amp;P)'!S8549="Yes",
    1.15,
    1.00)</f>
        <v/>
      </c>
      <c r="Q8549">
        <f>IF('Loan Tape (S&amp;P)'!V8549="Yes",
    1.20,
    1.00)</f>
        <v/>
      </c>
      <c r="T8549">
        <f>LET(
    payment_method,'Loan Tape (S&amp;P)'!P8549,
    occupancy,'Loan Tape (S&amp;P)'!N8549,
    maturity_date,'Loan Tape (S&amp;P)'!L8549,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50">
      <c r="J8550">
        <f>LET(
    lien,'Loan Tape (S&amp;P)'!Q8550,
    IF(lien="First",1.00,
        IF(lien="Second",1.50,
            1.70)))</f>
        <v/>
      </c>
      <c r="K8550">
        <f>LET(
    purpose,'Loan Tape (S&amp;P)'!R8550,
    IF(purpose="Purchase",1.00,
        IF(purpose="Remortgage",1.00,
            1.20)))</f>
        <v/>
      </c>
      <c r="L8550">
        <f>LET(
    arrears_months,'Loan Tape (S&amp;P)'!AN8550,
    IF(arrears_months=0,1.00,
    IF(arrears_months=1,3.00,
    IF(arrears_months=2,5.00,
    IF(arrears_months=3,8.00,
    IF(arrears_months=4,10.00,
    IF(arrears_months=5,12.00,15.00)))))))</f>
        <v/>
      </c>
      <c r="M8550">
        <f>LET(
    seasoning_years,DATEDIF('Loan Tape (S&amp;P)'!K8550,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50">
        <f>IF(AND('Loan Tape (S&amp;P)'!U8550="Yes",
        'Loan Tape (S&amp;P)'!T8550&lt;&gt;"Yes",
        DATEDIF('Loan Tape (S&amp;P)'!K8550, TODAY(), "M")&lt;18),
    1.10,
    1.00)</f>
        <v/>
      </c>
      <c r="O8550">
        <f>IF('Loan Tape (S&amp;P)'!T8550="Yes",
    1.35,
    1.00)</f>
        <v/>
      </c>
      <c r="P8550">
        <f>IF('Loan Tape (S&amp;P)'!S8550="Yes",
    1.15,
    1.00)</f>
        <v/>
      </c>
      <c r="Q8550">
        <f>IF('Loan Tape (S&amp;P)'!V8550="Yes",
    1.20,
    1.00)</f>
        <v/>
      </c>
      <c r="T8550">
        <f>LET(
    payment_method,'Loan Tape (S&amp;P)'!P8550,
    occupancy,'Loan Tape (S&amp;P)'!N8550,
    maturity_date,'Loan Tape (S&amp;P)'!L8550,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51">
      <c r="J8551">
        <f>LET(
    lien,'Loan Tape (S&amp;P)'!Q8551,
    IF(lien="First",1.00,
        IF(lien="Second",1.50,
            1.70)))</f>
        <v/>
      </c>
      <c r="K8551">
        <f>LET(
    purpose,'Loan Tape (S&amp;P)'!R8551,
    IF(purpose="Purchase",1.00,
        IF(purpose="Remortgage",1.00,
            1.20)))</f>
        <v/>
      </c>
      <c r="L8551">
        <f>LET(
    arrears_months,'Loan Tape (S&amp;P)'!AN8551,
    IF(arrears_months=0,1.00,
    IF(arrears_months=1,3.00,
    IF(arrears_months=2,5.00,
    IF(arrears_months=3,8.00,
    IF(arrears_months=4,10.00,
    IF(arrears_months=5,12.00,15.00)))))))</f>
        <v/>
      </c>
      <c r="M8551">
        <f>LET(
    seasoning_years,DATEDIF('Loan Tape (S&amp;P)'!K8551,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51">
        <f>IF(AND('Loan Tape (S&amp;P)'!U8551="Yes",
        'Loan Tape (S&amp;P)'!T8551&lt;&gt;"Yes",
        DATEDIF('Loan Tape (S&amp;P)'!K8551, TODAY(), "M")&lt;18),
    1.10,
    1.00)</f>
        <v/>
      </c>
      <c r="O8551">
        <f>IF('Loan Tape (S&amp;P)'!T8551="Yes",
    1.35,
    1.00)</f>
        <v/>
      </c>
      <c r="P8551">
        <f>IF('Loan Tape (S&amp;P)'!S8551="Yes",
    1.15,
    1.00)</f>
        <v/>
      </c>
      <c r="Q8551">
        <f>IF('Loan Tape (S&amp;P)'!V8551="Yes",
    1.20,
    1.00)</f>
        <v/>
      </c>
      <c r="T8551">
        <f>LET(
    payment_method,'Loan Tape (S&amp;P)'!P8551,
    occupancy,'Loan Tape (S&amp;P)'!N8551,
    maturity_date,'Loan Tape (S&amp;P)'!L8551,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52">
      <c r="J8552">
        <f>LET(
    lien,'Loan Tape (S&amp;P)'!Q8552,
    IF(lien="First",1.00,
        IF(lien="Second",1.50,
            1.70)))</f>
        <v/>
      </c>
      <c r="K8552">
        <f>LET(
    purpose,'Loan Tape (S&amp;P)'!R8552,
    IF(purpose="Purchase",1.00,
        IF(purpose="Remortgage",1.00,
            1.20)))</f>
        <v/>
      </c>
      <c r="L8552">
        <f>LET(
    arrears_months,'Loan Tape (S&amp;P)'!AN8552,
    IF(arrears_months=0,1.00,
    IF(arrears_months=1,3.00,
    IF(arrears_months=2,5.00,
    IF(arrears_months=3,8.00,
    IF(arrears_months=4,10.00,
    IF(arrears_months=5,12.00,15.00)))))))</f>
        <v/>
      </c>
      <c r="M8552">
        <f>LET(
    seasoning_years,DATEDIF('Loan Tape (S&amp;P)'!K8552,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52">
        <f>IF(AND('Loan Tape (S&amp;P)'!U8552="Yes",
        'Loan Tape (S&amp;P)'!T8552&lt;&gt;"Yes",
        DATEDIF('Loan Tape (S&amp;P)'!K8552, TODAY(), "M")&lt;18),
    1.10,
    1.00)</f>
        <v/>
      </c>
      <c r="O8552">
        <f>IF('Loan Tape (S&amp;P)'!T8552="Yes",
    1.35,
    1.00)</f>
        <v/>
      </c>
      <c r="P8552">
        <f>IF('Loan Tape (S&amp;P)'!S8552="Yes",
    1.15,
    1.00)</f>
        <v/>
      </c>
      <c r="Q8552">
        <f>IF('Loan Tape (S&amp;P)'!V8552="Yes",
    1.20,
    1.00)</f>
        <v/>
      </c>
      <c r="T8552">
        <f>LET(
    payment_method,'Loan Tape (S&amp;P)'!P8552,
    occupancy,'Loan Tape (S&amp;P)'!N8552,
    maturity_date,'Loan Tape (S&amp;P)'!L8552,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53">
      <c r="J8553">
        <f>LET(
    lien,'Loan Tape (S&amp;P)'!Q8553,
    IF(lien="First",1.00,
        IF(lien="Second",1.50,
            1.70)))</f>
        <v/>
      </c>
      <c r="K8553">
        <f>LET(
    purpose,'Loan Tape (S&amp;P)'!R8553,
    IF(purpose="Purchase",1.00,
        IF(purpose="Remortgage",1.00,
            1.20)))</f>
        <v/>
      </c>
      <c r="L8553">
        <f>LET(
    arrears_months,'Loan Tape (S&amp;P)'!AN8553,
    IF(arrears_months=0,1.00,
    IF(arrears_months=1,3.00,
    IF(arrears_months=2,5.00,
    IF(arrears_months=3,8.00,
    IF(arrears_months=4,10.00,
    IF(arrears_months=5,12.00,15.00)))))))</f>
        <v/>
      </c>
      <c r="M8553">
        <f>LET(
    seasoning_years,DATEDIF('Loan Tape (S&amp;P)'!K8553,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53">
        <f>IF(AND('Loan Tape (S&amp;P)'!U8553="Yes",
        'Loan Tape (S&amp;P)'!T8553&lt;&gt;"Yes",
        DATEDIF('Loan Tape (S&amp;P)'!K8553, TODAY(), "M")&lt;18),
    1.10,
    1.00)</f>
        <v/>
      </c>
      <c r="O8553">
        <f>IF('Loan Tape (S&amp;P)'!T8553="Yes",
    1.35,
    1.00)</f>
        <v/>
      </c>
      <c r="P8553">
        <f>IF('Loan Tape (S&amp;P)'!S8553="Yes",
    1.15,
    1.00)</f>
        <v/>
      </c>
      <c r="Q8553">
        <f>IF('Loan Tape (S&amp;P)'!V8553="Yes",
    1.20,
    1.00)</f>
        <v/>
      </c>
      <c r="T8553">
        <f>LET(
    payment_method,'Loan Tape (S&amp;P)'!P8553,
    occupancy,'Loan Tape (S&amp;P)'!N8553,
    maturity_date,'Loan Tape (S&amp;P)'!L8553,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54">
      <c r="J8554">
        <f>LET(
    lien,'Loan Tape (S&amp;P)'!Q8554,
    IF(lien="First",1.00,
        IF(lien="Second",1.50,
            1.70)))</f>
        <v/>
      </c>
      <c r="K8554">
        <f>LET(
    purpose,'Loan Tape (S&amp;P)'!R8554,
    IF(purpose="Purchase",1.00,
        IF(purpose="Remortgage",1.00,
            1.20)))</f>
        <v/>
      </c>
      <c r="L8554">
        <f>LET(
    arrears_months,'Loan Tape (S&amp;P)'!AN8554,
    IF(arrears_months=0,1.00,
    IF(arrears_months=1,3.00,
    IF(arrears_months=2,5.00,
    IF(arrears_months=3,8.00,
    IF(arrears_months=4,10.00,
    IF(arrears_months=5,12.00,15.00)))))))</f>
        <v/>
      </c>
      <c r="M8554">
        <f>LET(
    seasoning_years,DATEDIF('Loan Tape (S&amp;P)'!K8554,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54">
        <f>IF(AND('Loan Tape (S&amp;P)'!U8554="Yes",
        'Loan Tape (S&amp;P)'!T8554&lt;&gt;"Yes",
        DATEDIF('Loan Tape (S&amp;P)'!K8554, TODAY(), "M")&lt;18),
    1.10,
    1.00)</f>
        <v/>
      </c>
      <c r="O8554">
        <f>IF('Loan Tape (S&amp;P)'!T8554="Yes",
    1.35,
    1.00)</f>
        <v/>
      </c>
      <c r="P8554">
        <f>IF('Loan Tape (S&amp;P)'!S8554="Yes",
    1.15,
    1.00)</f>
        <v/>
      </c>
      <c r="Q8554">
        <f>IF('Loan Tape (S&amp;P)'!V8554="Yes",
    1.20,
    1.00)</f>
        <v/>
      </c>
      <c r="T8554">
        <f>LET(
    payment_method,'Loan Tape (S&amp;P)'!P8554,
    occupancy,'Loan Tape (S&amp;P)'!N8554,
    maturity_date,'Loan Tape (S&amp;P)'!L8554,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55">
      <c r="J8555">
        <f>LET(
    lien,'Loan Tape (S&amp;P)'!Q8555,
    IF(lien="First",1.00,
        IF(lien="Second",1.50,
            1.70)))</f>
        <v/>
      </c>
      <c r="K8555">
        <f>LET(
    purpose,'Loan Tape (S&amp;P)'!R8555,
    IF(purpose="Purchase",1.00,
        IF(purpose="Remortgage",1.00,
            1.20)))</f>
        <v/>
      </c>
      <c r="L8555">
        <f>LET(
    arrears_months,'Loan Tape (S&amp;P)'!AN8555,
    IF(arrears_months=0,1.00,
    IF(arrears_months=1,3.00,
    IF(arrears_months=2,5.00,
    IF(arrears_months=3,8.00,
    IF(arrears_months=4,10.00,
    IF(arrears_months=5,12.00,15.00)))))))</f>
        <v/>
      </c>
      <c r="M8555">
        <f>LET(
    seasoning_years,DATEDIF('Loan Tape (S&amp;P)'!K8555,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55">
        <f>IF(AND('Loan Tape (S&amp;P)'!U8555="Yes",
        'Loan Tape (S&amp;P)'!T8555&lt;&gt;"Yes",
        DATEDIF('Loan Tape (S&amp;P)'!K8555, TODAY(), "M")&lt;18),
    1.10,
    1.00)</f>
        <v/>
      </c>
      <c r="O8555">
        <f>IF('Loan Tape (S&amp;P)'!T8555="Yes",
    1.35,
    1.00)</f>
        <v/>
      </c>
      <c r="P8555">
        <f>IF('Loan Tape (S&amp;P)'!S8555="Yes",
    1.15,
    1.00)</f>
        <v/>
      </c>
      <c r="Q8555">
        <f>IF('Loan Tape (S&amp;P)'!V8555="Yes",
    1.20,
    1.00)</f>
        <v/>
      </c>
      <c r="T8555">
        <f>LET(
    payment_method,'Loan Tape (S&amp;P)'!P8555,
    occupancy,'Loan Tape (S&amp;P)'!N8555,
    maturity_date,'Loan Tape (S&amp;P)'!L8555,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56">
      <c r="J8556">
        <f>LET(
    lien,'Loan Tape (S&amp;P)'!Q8556,
    IF(lien="First",1.00,
        IF(lien="Second",1.50,
            1.70)))</f>
        <v/>
      </c>
      <c r="K8556">
        <f>LET(
    purpose,'Loan Tape (S&amp;P)'!R8556,
    IF(purpose="Purchase",1.00,
        IF(purpose="Remortgage",1.00,
            1.20)))</f>
        <v/>
      </c>
      <c r="L8556">
        <f>LET(
    arrears_months,'Loan Tape (S&amp;P)'!AN8556,
    IF(arrears_months=0,1.00,
    IF(arrears_months=1,3.00,
    IF(arrears_months=2,5.00,
    IF(arrears_months=3,8.00,
    IF(arrears_months=4,10.00,
    IF(arrears_months=5,12.00,15.00)))))))</f>
        <v/>
      </c>
      <c r="M8556">
        <f>LET(
    seasoning_years,DATEDIF('Loan Tape (S&amp;P)'!K8556,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56">
        <f>IF(AND('Loan Tape (S&amp;P)'!U8556="Yes",
        'Loan Tape (S&amp;P)'!T8556&lt;&gt;"Yes",
        DATEDIF('Loan Tape (S&amp;P)'!K8556, TODAY(), "M")&lt;18),
    1.10,
    1.00)</f>
        <v/>
      </c>
      <c r="O8556">
        <f>IF('Loan Tape (S&amp;P)'!T8556="Yes",
    1.35,
    1.00)</f>
        <v/>
      </c>
      <c r="P8556">
        <f>IF('Loan Tape (S&amp;P)'!S8556="Yes",
    1.15,
    1.00)</f>
        <v/>
      </c>
      <c r="Q8556">
        <f>IF('Loan Tape (S&amp;P)'!V8556="Yes",
    1.20,
    1.00)</f>
        <v/>
      </c>
      <c r="T8556">
        <f>LET(
    payment_method,'Loan Tape (S&amp;P)'!P8556,
    occupancy,'Loan Tape (S&amp;P)'!N8556,
    maturity_date,'Loan Tape (S&amp;P)'!L8556,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57">
      <c r="J8557">
        <f>LET(
    lien,'Loan Tape (S&amp;P)'!Q8557,
    IF(lien="First",1.00,
        IF(lien="Second",1.50,
            1.70)))</f>
        <v/>
      </c>
      <c r="K8557">
        <f>LET(
    purpose,'Loan Tape (S&amp;P)'!R8557,
    IF(purpose="Purchase",1.00,
        IF(purpose="Remortgage",1.00,
            1.20)))</f>
        <v/>
      </c>
      <c r="L8557">
        <f>LET(
    arrears_months,'Loan Tape (S&amp;P)'!AN8557,
    IF(arrears_months=0,1.00,
    IF(arrears_months=1,3.00,
    IF(arrears_months=2,5.00,
    IF(arrears_months=3,8.00,
    IF(arrears_months=4,10.00,
    IF(arrears_months=5,12.00,15.00)))))))</f>
        <v/>
      </c>
      <c r="M8557">
        <f>LET(
    seasoning_years,DATEDIF('Loan Tape (S&amp;P)'!K8557,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57">
        <f>IF(AND('Loan Tape (S&amp;P)'!U8557="Yes",
        'Loan Tape (S&amp;P)'!T8557&lt;&gt;"Yes",
        DATEDIF('Loan Tape (S&amp;P)'!K8557, TODAY(), "M")&lt;18),
    1.10,
    1.00)</f>
        <v/>
      </c>
      <c r="O8557">
        <f>IF('Loan Tape (S&amp;P)'!T8557="Yes",
    1.35,
    1.00)</f>
        <v/>
      </c>
      <c r="P8557">
        <f>IF('Loan Tape (S&amp;P)'!S8557="Yes",
    1.15,
    1.00)</f>
        <v/>
      </c>
      <c r="Q8557">
        <f>IF('Loan Tape (S&amp;P)'!V8557="Yes",
    1.20,
    1.00)</f>
        <v/>
      </c>
      <c r="T8557">
        <f>LET(
    payment_method,'Loan Tape (S&amp;P)'!P8557,
    occupancy,'Loan Tape (S&amp;P)'!N8557,
    maturity_date,'Loan Tape (S&amp;P)'!L8557,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58">
      <c r="J8558">
        <f>LET(
    lien,'Loan Tape (S&amp;P)'!Q8558,
    IF(lien="First",1.00,
        IF(lien="Second",1.50,
            1.70)))</f>
        <v/>
      </c>
      <c r="K8558">
        <f>LET(
    purpose,'Loan Tape (S&amp;P)'!R8558,
    IF(purpose="Purchase",1.00,
        IF(purpose="Remortgage",1.00,
            1.20)))</f>
        <v/>
      </c>
      <c r="L8558">
        <f>LET(
    arrears_months,'Loan Tape (S&amp;P)'!AN8558,
    IF(arrears_months=0,1.00,
    IF(arrears_months=1,3.00,
    IF(arrears_months=2,5.00,
    IF(arrears_months=3,8.00,
    IF(arrears_months=4,10.00,
    IF(arrears_months=5,12.00,15.00)))))))</f>
        <v/>
      </c>
      <c r="M8558">
        <f>LET(
    seasoning_years,DATEDIF('Loan Tape (S&amp;P)'!K8558,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58">
        <f>IF(AND('Loan Tape (S&amp;P)'!U8558="Yes",
        'Loan Tape (S&amp;P)'!T8558&lt;&gt;"Yes",
        DATEDIF('Loan Tape (S&amp;P)'!K8558, TODAY(), "M")&lt;18),
    1.10,
    1.00)</f>
        <v/>
      </c>
      <c r="O8558">
        <f>IF('Loan Tape (S&amp;P)'!T8558="Yes",
    1.35,
    1.00)</f>
        <v/>
      </c>
      <c r="P8558">
        <f>IF('Loan Tape (S&amp;P)'!S8558="Yes",
    1.15,
    1.00)</f>
        <v/>
      </c>
      <c r="Q8558">
        <f>IF('Loan Tape (S&amp;P)'!V8558="Yes",
    1.20,
    1.00)</f>
        <v/>
      </c>
      <c r="T8558">
        <f>LET(
    payment_method,'Loan Tape (S&amp;P)'!P8558,
    occupancy,'Loan Tape (S&amp;P)'!N8558,
    maturity_date,'Loan Tape (S&amp;P)'!L8558,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59">
      <c r="J8559">
        <f>LET(
    lien,'Loan Tape (S&amp;P)'!Q8559,
    IF(lien="First",1.00,
        IF(lien="Second",1.50,
            1.70)))</f>
        <v/>
      </c>
      <c r="K8559">
        <f>LET(
    purpose,'Loan Tape (S&amp;P)'!R8559,
    IF(purpose="Purchase",1.00,
        IF(purpose="Remortgage",1.00,
            1.20)))</f>
        <v/>
      </c>
      <c r="L8559">
        <f>LET(
    arrears_months,'Loan Tape (S&amp;P)'!AN8559,
    IF(arrears_months=0,1.00,
    IF(arrears_months=1,3.00,
    IF(arrears_months=2,5.00,
    IF(arrears_months=3,8.00,
    IF(arrears_months=4,10.00,
    IF(arrears_months=5,12.00,15.00)))))))</f>
        <v/>
      </c>
      <c r="M8559">
        <f>LET(
    seasoning_years,DATEDIF('Loan Tape (S&amp;P)'!K8559,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59">
        <f>IF(AND('Loan Tape (S&amp;P)'!U8559="Yes",
        'Loan Tape (S&amp;P)'!T8559&lt;&gt;"Yes",
        DATEDIF('Loan Tape (S&amp;P)'!K8559, TODAY(), "M")&lt;18),
    1.10,
    1.00)</f>
        <v/>
      </c>
      <c r="O8559">
        <f>IF('Loan Tape (S&amp;P)'!T8559="Yes",
    1.35,
    1.00)</f>
        <v/>
      </c>
      <c r="P8559">
        <f>IF('Loan Tape (S&amp;P)'!S8559="Yes",
    1.15,
    1.00)</f>
        <v/>
      </c>
      <c r="Q8559">
        <f>IF('Loan Tape (S&amp;P)'!V8559="Yes",
    1.20,
    1.00)</f>
        <v/>
      </c>
      <c r="T8559">
        <f>LET(
    payment_method,'Loan Tape (S&amp;P)'!P8559,
    occupancy,'Loan Tape (S&amp;P)'!N8559,
    maturity_date,'Loan Tape (S&amp;P)'!L8559,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60">
      <c r="J8560">
        <f>LET(
    lien,'Loan Tape (S&amp;P)'!Q8560,
    IF(lien="First",1.00,
        IF(lien="Second",1.50,
            1.70)))</f>
        <v/>
      </c>
      <c r="K8560">
        <f>LET(
    purpose,'Loan Tape (S&amp;P)'!R8560,
    IF(purpose="Purchase",1.00,
        IF(purpose="Remortgage",1.00,
            1.20)))</f>
        <v/>
      </c>
      <c r="L8560">
        <f>LET(
    arrears_months,'Loan Tape (S&amp;P)'!AN8560,
    IF(arrears_months=0,1.00,
    IF(arrears_months=1,3.00,
    IF(arrears_months=2,5.00,
    IF(arrears_months=3,8.00,
    IF(arrears_months=4,10.00,
    IF(arrears_months=5,12.00,15.00)))))))</f>
        <v/>
      </c>
      <c r="M8560">
        <f>LET(
    seasoning_years,DATEDIF('Loan Tape (S&amp;P)'!K8560,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60">
        <f>IF(AND('Loan Tape (S&amp;P)'!U8560="Yes",
        'Loan Tape (S&amp;P)'!T8560&lt;&gt;"Yes",
        DATEDIF('Loan Tape (S&amp;P)'!K8560, TODAY(), "M")&lt;18),
    1.10,
    1.00)</f>
        <v/>
      </c>
      <c r="O8560">
        <f>IF('Loan Tape (S&amp;P)'!T8560="Yes",
    1.35,
    1.00)</f>
        <v/>
      </c>
      <c r="P8560">
        <f>IF('Loan Tape (S&amp;P)'!S8560="Yes",
    1.15,
    1.00)</f>
        <v/>
      </c>
      <c r="Q8560">
        <f>IF('Loan Tape (S&amp;P)'!V8560="Yes",
    1.20,
    1.00)</f>
        <v/>
      </c>
      <c r="T8560">
        <f>LET(
    payment_method,'Loan Tape (S&amp;P)'!P8560,
    occupancy,'Loan Tape (S&amp;P)'!N8560,
    maturity_date,'Loan Tape (S&amp;P)'!L8560,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61">
      <c r="J8561">
        <f>LET(
    lien,'Loan Tape (S&amp;P)'!Q8561,
    IF(lien="First",1.00,
        IF(lien="Second",1.50,
            1.70)))</f>
        <v/>
      </c>
      <c r="K8561">
        <f>LET(
    purpose,'Loan Tape (S&amp;P)'!R8561,
    IF(purpose="Purchase",1.00,
        IF(purpose="Remortgage",1.00,
            1.20)))</f>
        <v/>
      </c>
      <c r="L8561">
        <f>LET(
    arrears_months,'Loan Tape (S&amp;P)'!AN8561,
    IF(arrears_months=0,1.00,
    IF(arrears_months=1,3.00,
    IF(arrears_months=2,5.00,
    IF(arrears_months=3,8.00,
    IF(arrears_months=4,10.00,
    IF(arrears_months=5,12.00,15.00)))))))</f>
        <v/>
      </c>
      <c r="M8561">
        <f>LET(
    seasoning_years,DATEDIF('Loan Tape (S&amp;P)'!K8561,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61">
        <f>IF(AND('Loan Tape (S&amp;P)'!U8561="Yes",
        'Loan Tape (S&amp;P)'!T8561&lt;&gt;"Yes",
        DATEDIF('Loan Tape (S&amp;P)'!K8561, TODAY(), "M")&lt;18),
    1.10,
    1.00)</f>
        <v/>
      </c>
      <c r="O8561">
        <f>IF('Loan Tape (S&amp;P)'!T8561="Yes",
    1.35,
    1.00)</f>
        <v/>
      </c>
      <c r="P8561">
        <f>IF('Loan Tape (S&amp;P)'!S8561="Yes",
    1.15,
    1.00)</f>
        <v/>
      </c>
      <c r="Q8561">
        <f>IF('Loan Tape (S&amp;P)'!V8561="Yes",
    1.20,
    1.00)</f>
        <v/>
      </c>
      <c r="T8561">
        <f>LET(
    payment_method,'Loan Tape (S&amp;P)'!P8561,
    occupancy,'Loan Tape (S&amp;P)'!N8561,
    maturity_date,'Loan Tape (S&amp;P)'!L8561,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62">
      <c r="J8562">
        <f>LET(
    lien,'Loan Tape (S&amp;P)'!Q8562,
    IF(lien="First",1.00,
        IF(lien="Second",1.50,
            1.70)))</f>
        <v/>
      </c>
      <c r="K8562">
        <f>LET(
    purpose,'Loan Tape (S&amp;P)'!R8562,
    IF(purpose="Purchase",1.00,
        IF(purpose="Remortgage",1.00,
            1.20)))</f>
        <v/>
      </c>
      <c r="L8562">
        <f>LET(
    arrears_months,'Loan Tape (S&amp;P)'!AN8562,
    IF(arrears_months=0,1.00,
    IF(arrears_months=1,3.00,
    IF(arrears_months=2,5.00,
    IF(arrears_months=3,8.00,
    IF(arrears_months=4,10.00,
    IF(arrears_months=5,12.00,15.00)))))))</f>
        <v/>
      </c>
      <c r="M8562">
        <f>LET(
    seasoning_years,DATEDIF('Loan Tape (S&amp;P)'!K8562,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62">
        <f>IF(AND('Loan Tape (S&amp;P)'!U8562="Yes",
        'Loan Tape (S&amp;P)'!T8562&lt;&gt;"Yes",
        DATEDIF('Loan Tape (S&amp;P)'!K8562, TODAY(), "M")&lt;18),
    1.10,
    1.00)</f>
        <v/>
      </c>
      <c r="O8562">
        <f>IF('Loan Tape (S&amp;P)'!T8562="Yes",
    1.35,
    1.00)</f>
        <v/>
      </c>
      <c r="P8562">
        <f>IF('Loan Tape (S&amp;P)'!S8562="Yes",
    1.15,
    1.00)</f>
        <v/>
      </c>
      <c r="Q8562">
        <f>IF('Loan Tape (S&amp;P)'!V8562="Yes",
    1.20,
    1.00)</f>
        <v/>
      </c>
      <c r="T8562">
        <f>LET(
    payment_method,'Loan Tape (S&amp;P)'!P8562,
    occupancy,'Loan Tape (S&amp;P)'!N8562,
    maturity_date,'Loan Tape (S&amp;P)'!L8562,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63">
      <c r="J8563">
        <f>LET(
    lien,'Loan Tape (S&amp;P)'!Q8563,
    IF(lien="First",1.00,
        IF(lien="Second",1.50,
            1.70)))</f>
        <v/>
      </c>
      <c r="K8563">
        <f>LET(
    purpose,'Loan Tape (S&amp;P)'!R8563,
    IF(purpose="Purchase",1.00,
        IF(purpose="Remortgage",1.00,
            1.20)))</f>
        <v/>
      </c>
      <c r="L8563">
        <f>LET(
    arrears_months,'Loan Tape (S&amp;P)'!AN8563,
    IF(arrears_months=0,1.00,
    IF(arrears_months=1,3.00,
    IF(arrears_months=2,5.00,
    IF(arrears_months=3,8.00,
    IF(arrears_months=4,10.00,
    IF(arrears_months=5,12.00,15.00)))))))</f>
        <v/>
      </c>
      <c r="M8563">
        <f>LET(
    seasoning_years,DATEDIF('Loan Tape (S&amp;P)'!K8563,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63">
        <f>IF(AND('Loan Tape (S&amp;P)'!U8563="Yes",
        'Loan Tape (S&amp;P)'!T8563&lt;&gt;"Yes",
        DATEDIF('Loan Tape (S&amp;P)'!K8563, TODAY(), "M")&lt;18),
    1.10,
    1.00)</f>
        <v/>
      </c>
      <c r="O8563">
        <f>IF('Loan Tape (S&amp;P)'!T8563="Yes",
    1.35,
    1.00)</f>
        <v/>
      </c>
      <c r="P8563">
        <f>IF('Loan Tape (S&amp;P)'!S8563="Yes",
    1.15,
    1.00)</f>
        <v/>
      </c>
      <c r="Q8563">
        <f>IF('Loan Tape (S&amp;P)'!V8563="Yes",
    1.20,
    1.00)</f>
        <v/>
      </c>
      <c r="T8563">
        <f>LET(
    payment_method,'Loan Tape (S&amp;P)'!P8563,
    occupancy,'Loan Tape (S&amp;P)'!N8563,
    maturity_date,'Loan Tape (S&amp;P)'!L8563,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64">
      <c r="J8564">
        <f>LET(
    lien,'Loan Tape (S&amp;P)'!Q8564,
    IF(lien="First",1.00,
        IF(lien="Second",1.50,
            1.70)))</f>
        <v/>
      </c>
      <c r="K8564">
        <f>LET(
    purpose,'Loan Tape (S&amp;P)'!R8564,
    IF(purpose="Purchase",1.00,
        IF(purpose="Remortgage",1.00,
            1.20)))</f>
        <v/>
      </c>
      <c r="L8564">
        <f>LET(
    arrears_months,'Loan Tape (S&amp;P)'!AN8564,
    IF(arrears_months=0,1.00,
    IF(arrears_months=1,3.00,
    IF(arrears_months=2,5.00,
    IF(arrears_months=3,8.00,
    IF(arrears_months=4,10.00,
    IF(arrears_months=5,12.00,15.00)))))))</f>
        <v/>
      </c>
      <c r="M8564">
        <f>LET(
    seasoning_years,DATEDIF('Loan Tape (S&amp;P)'!K8564,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64">
        <f>IF(AND('Loan Tape (S&amp;P)'!U8564="Yes",
        'Loan Tape (S&amp;P)'!T8564&lt;&gt;"Yes",
        DATEDIF('Loan Tape (S&amp;P)'!K8564, TODAY(), "M")&lt;18),
    1.10,
    1.00)</f>
        <v/>
      </c>
      <c r="O8564">
        <f>IF('Loan Tape (S&amp;P)'!T8564="Yes",
    1.35,
    1.00)</f>
        <v/>
      </c>
      <c r="P8564">
        <f>IF('Loan Tape (S&amp;P)'!S8564="Yes",
    1.15,
    1.00)</f>
        <v/>
      </c>
      <c r="Q8564">
        <f>IF('Loan Tape (S&amp;P)'!V8564="Yes",
    1.20,
    1.00)</f>
        <v/>
      </c>
      <c r="T8564">
        <f>LET(
    payment_method,'Loan Tape (S&amp;P)'!P8564,
    occupancy,'Loan Tape (S&amp;P)'!N8564,
    maturity_date,'Loan Tape (S&amp;P)'!L8564,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65">
      <c r="J8565">
        <f>LET(
    lien,'Loan Tape (S&amp;P)'!Q8565,
    IF(lien="First",1.00,
        IF(lien="Second",1.50,
            1.70)))</f>
        <v/>
      </c>
      <c r="K8565">
        <f>LET(
    purpose,'Loan Tape (S&amp;P)'!R8565,
    IF(purpose="Purchase",1.00,
        IF(purpose="Remortgage",1.00,
            1.20)))</f>
        <v/>
      </c>
      <c r="L8565">
        <f>LET(
    arrears_months,'Loan Tape (S&amp;P)'!AN8565,
    IF(arrears_months=0,1.00,
    IF(arrears_months=1,3.00,
    IF(arrears_months=2,5.00,
    IF(arrears_months=3,8.00,
    IF(arrears_months=4,10.00,
    IF(arrears_months=5,12.00,15.00)))))))</f>
        <v/>
      </c>
      <c r="M8565">
        <f>LET(
    seasoning_years,DATEDIF('Loan Tape (S&amp;P)'!K8565,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65">
        <f>IF(AND('Loan Tape (S&amp;P)'!U8565="Yes",
        'Loan Tape (S&amp;P)'!T8565&lt;&gt;"Yes",
        DATEDIF('Loan Tape (S&amp;P)'!K8565, TODAY(), "M")&lt;18),
    1.10,
    1.00)</f>
        <v/>
      </c>
      <c r="O8565">
        <f>IF('Loan Tape (S&amp;P)'!T8565="Yes",
    1.35,
    1.00)</f>
        <v/>
      </c>
      <c r="P8565">
        <f>IF('Loan Tape (S&amp;P)'!S8565="Yes",
    1.15,
    1.00)</f>
        <v/>
      </c>
      <c r="Q8565">
        <f>IF('Loan Tape (S&amp;P)'!V8565="Yes",
    1.20,
    1.00)</f>
        <v/>
      </c>
      <c r="T8565">
        <f>LET(
    payment_method,'Loan Tape (S&amp;P)'!P8565,
    occupancy,'Loan Tape (S&amp;P)'!N8565,
    maturity_date,'Loan Tape (S&amp;P)'!L8565,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66">
      <c r="J8566">
        <f>LET(
    lien,'Loan Tape (S&amp;P)'!Q8566,
    IF(lien="First",1.00,
        IF(lien="Second",1.50,
            1.70)))</f>
        <v/>
      </c>
      <c r="K8566">
        <f>LET(
    purpose,'Loan Tape (S&amp;P)'!R8566,
    IF(purpose="Purchase",1.00,
        IF(purpose="Remortgage",1.00,
            1.20)))</f>
        <v/>
      </c>
      <c r="L8566">
        <f>LET(
    arrears_months,'Loan Tape (S&amp;P)'!AN8566,
    IF(arrears_months=0,1.00,
    IF(arrears_months=1,3.00,
    IF(arrears_months=2,5.00,
    IF(arrears_months=3,8.00,
    IF(arrears_months=4,10.00,
    IF(arrears_months=5,12.00,15.00)))))))</f>
        <v/>
      </c>
      <c r="M8566">
        <f>LET(
    seasoning_years,DATEDIF('Loan Tape (S&amp;P)'!K8566,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66">
        <f>IF(AND('Loan Tape (S&amp;P)'!U8566="Yes",
        'Loan Tape (S&amp;P)'!T8566&lt;&gt;"Yes",
        DATEDIF('Loan Tape (S&amp;P)'!K8566, TODAY(), "M")&lt;18),
    1.10,
    1.00)</f>
        <v/>
      </c>
      <c r="O8566">
        <f>IF('Loan Tape (S&amp;P)'!T8566="Yes",
    1.35,
    1.00)</f>
        <v/>
      </c>
      <c r="P8566">
        <f>IF('Loan Tape (S&amp;P)'!S8566="Yes",
    1.15,
    1.00)</f>
        <v/>
      </c>
      <c r="Q8566">
        <f>IF('Loan Tape (S&amp;P)'!V8566="Yes",
    1.20,
    1.00)</f>
        <v/>
      </c>
      <c r="T8566">
        <f>LET(
    payment_method,'Loan Tape (S&amp;P)'!P8566,
    occupancy,'Loan Tape (S&amp;P)'!N8566,
    maturity_date,'Loan Tape (S&amp;P)'!L8566,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67">
      <c r="J8567">
        <f>LET(
    lien,'Loan Tape (S&amp;P)'!Q8567,
    IF(lien="First",1.00,
        IF(lien="Second",1.50,
            1.70)))</f>
        <v/>
      </c>
      <c r="K8567">
        <f>LET(
    purpose,'Loan Tape (S&amp;P)'!R8567,
    IF(purpose="Purchase",1.00,
        IF(purpose="Remortgage",1.00,
            1.20)))</f>
        <v/>
      </c>
      <c r="L8567">
        <f>LET(
    arrears_months,'Loan Tape (S&amp;P)'!AN8567,
    IF(arrears_months=0,1.00,
    IF(arrears_months=1,3.00,
    IF(arrears_months=2,5.00,
    IF(arrears_months=3,8.00,
    IF(arrears_months=4,10.00,
    IF(arrears_months=5,12.00,15.00)))))))</f>
        <v/>
      </c>
      <c r="M8567">
        <f>LET(
    seasoning_years,DATEDIF('Loan Tape (S&amp;P)'!K8567,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67">
        <f>IF(AND('Loan Tape (S&amp;P)'!U8567="Yes",
        'Loan Tape (S&amp;P)'!T8567&lt;&gt;"Yes",
        DATEDIF('Loan Tape (S&amp;P)'!K8567, TODAY(), "M")&lt;18),
    1.10,
    1.00)</f>
        <v/>
      </c>
      <c r="O8567">
        <f>IF('Loan Tape (S&amp;P)'!T8567="Yes",
    1.35,
    1.00)</f>
        <v/>
      </c>
      <c r="P8567">
        <f>IF('Loan Tape (S&amp;P)'!S8567="Yes",
    1.15,
    1.00)</f>
        <v/>
      </c>
      <c r="Q8567">
        <f>IF('Loan Tape (S&amp;P)'!V8567="Yes",
    1.20,
    1.00)</f>
        <v/>
      </c>
      <c r="T8567">
        <f>LET(
    payment_method,'Loan Tape (S&amp;P)'!P8567,
    occupancy,'Loan Tape (S&amp;P)'!N8567,
    maturity_date,'Loan Tape (S&amp;P)'!L8567,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68">
      <c r="J8568">
        <f>LET(
    lien,'Loan Tape (S&amp;P)'!Q8568,
    IF(lien="First",1.00,
        IF(lien="Second",1.50,
            1.70)))</f>
        <v/>
      </c>
      <c r="K8568">
        <f>LET(
    purpose,'Loan Tape (S&amp;P)'!R8568,
    IF(purpose="Purchase",1.00,
        IF(purpose="Remortgage",1.00,
            1.20)))</f>
        <v/>
      </c>
      <c r="L8568">
        <f>LET(
    arrears_months,'Loan Tape (S&amp;P)'!AN8568,
    IF(arrears_months=0,1.00,
    IF(arrears_months=1,3.00,
    IF(arrears_months=2,5.00,
    IF(arrears_months=3,8.00,
    IF(arrears_months=4,10.00,
    IF(arrears_months=5,12.00,15.00)))))))</f>
        <v/>
      </c>
      <c r="M8568">
        <f>LET(
    seasoning_years,DATEDIF('Loan Tape (S&amp;P)'!K8568,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68">
        <f>IF(AND('Loan Tape (S&amp;P)'!U8568="Yes",
        'Loan Tape (S&amp;P)'!T8568&lt;&gt;"Yes",
        DATEDIF('Loan Tape (S&amp;P)'!K8568, TODAY(), "M")&lt;18),
    1.10,
    1.00)</f>
        <v/>
      </c>
      <c r="O8568">
        <f>IF('Loan Tape (S&amp;P)'!T8568="Yes",
    1.35,
    1.00)</f>
        <v/>
      </c>
      <c r="P8568">
        <f>IF('Loan Tape (S&amp;P)'!S8568="Yes",
    1.15,
    1.00)</f>
        <v/>
      </c>
      <c r="Q8568">
        <f>IF('Loan Tape (S&amp;P)'!V8568="Yes",
    1.20,
    1.00)</f>
        <v/>
      </c>
      <c r="T8568">
        <f>LET(
    payment_method,'Loan Tape (S&amp;P)'!P8568,
    occupancy,'Loan Tape (S&amp;P)'!N8568,
    maturity_date,'Loan Tape (S&amp;P)'!L8568,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69">
      <c r="J8569">
        <f>LET(
    lien,'Loan Tape (S&amp;P)'!Q8569,
    IF(lien="First",1.00,
        IF(lien="Second",1.50,
            1.70)))</f>
        <v/>
      </c>
      <c r="K8569">
        <f>LET(
    purpose,'Loan Tape (S&amp;P)'!R8569,
    IF(purpose="Purchase",1.00,
        IF(purpose="Remortgage",1.00,
            1.20)))</f>
        <v/>
      </c>
      <c r="L8569">
        <f>LET(
    arrears_months,'Loan Tape (S&amp;P)'!AN8569,
    IF(arrears_months=0,1.00,
    IF(arrears_months=1,3.00,
    IF(arrears_months=2,5.00,
    IF(arrears_months=3,8.00,
    IF(arrears_months=4,10.00,
    IF(arrears_months=5,12.00,15.00)))))))</f>
        <v/>
      </c>
      <c r="M8569">
        <f>LET(
    seasoning_years,DATEDIF('Loan Tape (S&amp;P)'!K8569,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69">
        <f>IF(AND('Loan Tape (S&amp;P)'!U8569="Yes",
        'Loan Tape (S&amp;P)'!T8569&lt;&gt;"Yes",
        DATEDIF('Loan Tape (S&amp;P)'!K8569, TODAY(), "M")&lt;18),
    1.10,
    1.00)</f>
        <v/>
      </c>
      <c r="O8569">
        <f>IF('Loan Tape (S&amp;P)'!T8569="Yes",
    1.35,
    1.00)</f>
        <v/>
      </c>
      <c r="P8569">
        <f>IF('Loan Tape (S&amp;P)'!S8569="Yes",
    1.15,
    1.00)</f>
        <v/>
      </c>
      <c r="Q8569">
        <f>IF('Loan Tape (S&amp;P)'!V8569="Yes",
    1.20,
    1.00)</f>
        <v/>
      </c>
      <c r="T8569">
        <f>LET(
    payment_method,'Loan Tape (S&amp;P)'!P8569,
    occupancy,'Loan Tape (S&amp;P)'!N8569,
    maturity_date,'Loan Tape (S&amp;P)'!L8569,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70">
      <c r="J8570">
        <f>LET(
    lien,'Loan Tape (S&amp;P)'!Q8570,
    IF(lien="First",1.00,
        IF(lien="Second",1.50,
            1.70)))</f>
        <v/>
      </c>
      <c r="K8570">
        <f>LET(
    purpose,'Loan Tape (S&amp;P)'!R8570,
    IF(purpose="Purchase",1.00,
        IF(purpose="Remortgage",1.00,
            1.20)))</f>
        <v/>
      </c>
      <c r="L8570">
        <f>LET(
    arrears_months,'Loan Tape (S&amp;P)'!AN8570,
    IF(arrears_months=0,1.00,
    IF(arrears_months=1,3.00,
    IF(arrears_months=2,5.00,
    IF(arrears_months=3,8.00,
    IF(arrears_months=4,10.00,
    IF(arrears_months=5,12.00,15.00)))))))</f>
        <v/>
      </c>
      <c r="M8570">
        <f>LET(
    seasoning_years,DATEDIF('Loan Tape (S&amp;P)'!K8570,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70">
        <f>IF(AND('Loan Tape (S&amp;P)'!U8570="Yes",
        'Loan Tape (S&amp;P)'!T8570&lt;&gt;"Yes",
        DATEDIF('Loan Tape (S&amp;P)'!K8570, TODAY(), "M")&lt;18),
    1.10,
    1.00)</f>
        <v/>
      </c>
      <c r="O8570">
        <f>IF('Loan Tape (S&amp;P)'!T8570="Yes",
    1.35,
    1.00)</f>
        <v/>
      </c>
      <c r="P8570">
        <f>IF('Loan Tape (S&amp;P)'!S8570="Yes",
    1.15,
    1.00)</f>
        <v/>
      </c>
      <c r="Q8570">
        <f>IF('Loan Tape (S&amp;P)'!V8570="Yes",
    1.20,
    1.00)</f>
        <v/>
      </c>
      <c r="T8570">
        <f>LET(
    payment_method,'Loan Tape (S&amp;P)'!P8570,
    occupancy,'Loan Tape (S&amp;P)'!N8570,
    maturity_date,'Loan Tape (S&amp;P)'!L8570,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71">
      <c r="J8571">
        <f>LET(
    lien,'Loan Tape (S&amp;P)'!Q8571,
    IF(lien="First",1.00,
        IF(lien="Second",1.50,
            1.70)))</f>
        <v/>
      </c>
      <c r="K8571">
        <f>LET(
    purpose,'Loan Tape (S&amp;P)'!R8571,
    IF(purpose="Purchase",1.00,
        IF(purpose="Remortgage",1.00,
            1.20)))</f>
        <v/>
      </c>
      <c r="L8571">
        <f>LET(
    arrears_months,'Loan Tape (S&amp;P)'!AN8571,
    IF(arrears_months=0,1.00,
    IF(arrears_months=1,3.00,
    IF(arrears_months=2,5.00,
    IF(arrears_months=3,8.00,
    IF(arrears_months=4,10.00,
    IF(arrears_months=5,12.00,15.00)))))))</f>
        <v/>
      </c>
      <c r="M8571">
        <f>LET(
    seasoning_years,DATEDIF('Loan Tape (S&amp;P)'!K8571,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71">
        <f>IF(AND('Loan Tape (S&amp;P)'!U8571="Yes",
        'Loan Tape (S&amp;P)'!T8571&lt;&gt;"Yes",
        DATEDIF('Loan Tape (S&amp;P)'!K8571, TODAY(), "M")&lt;18),
    1.10,
    1.00)</f>
        <v/>
      </c>
      <c r="O8571">
        <f>IF('Loan Tape (S&amp;P)'!T8571="Yes",
    1.35,
    1.00)</f>
        <v/>
      </c>
      <c r="P8571">
        <f>IF('Loan Tape (S&amp;P)'!S8571="Yes",
    1.15,
    1.00)</f>
        <v/>
      </c>
      <c r="Q8571">
        <f>IF('Loan Tape (S&amp;P)'!V8571="Yes",
    1.20,
    1.00)</f>
        <v/>
      </c>
      <c r="T8571">
        <f>LET(
    payment_method,'Loan Tape (S&amp;P)'!P8571,
    occupancy,'Loan Tape (S&amp;P)'!N8571,
    maturity_date,'Loan Tape (S&amp;P)'!L8571,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72">
      <c r="J8572">
        <f>LET(
    lien,'Loan Tape (S&amp;P)'!Q8572,
    IF(lien="First",1.00,
        IF(lien="Second",1.50,
            1.70)))</f>
        <v/>
      </c>
      <c r="K8572">
        <f>LET(
    purpose,'Loan Tape (S&amp;P)'!R8572,
    IF(purpose="Purchase",1.00,
        IF(purpose="Remortgage",1.00,
            1.20)))</f>
        <v/>
      </c>
      <c r="L8572">
        <f>LET(
    arrears_months,'Loan Tape (S&amp;P)'!AN8572,
    IF(arrears_months=0,1.00,
    IF(arrears_months=1,3.00,
    IF(arrears_months=2,5.00,
    IF(arrears_months=3,8.00,
    IF(arrears_months=4,10.00,
    IF(arrears_months=5,12.00,15.00)))))))</f>
        <v/>
      </c>
      <c r="M8572">
        <f>LET(
    seasoning_years,DATEDIF('Loan Tape (S&amp;P)'!K8572,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72">
        <f>IF(AND('Loan Tape (S&amp;P)'!U8572="Yes",
        'Loan Tape (S&amp;P)'!T8572&lt;&gt;"Yes",
        DATEDIF('Loan Tape (S&amp;P)'!K8572, TODAY(), "M")&lt;18),
    1.10,
    1.00)</f>
        <v/>
      </c>
      <c r="O8572">
        <f>IF('Loan Tape (S&amp;P)'!T8572="Yes",
    1.35,
    1.00)</f>
        <v/>
      </c>
      <c r="P8572">
        <f>IF('Loan Tape (S&amp;P)'!S8572="Yes",
    1.15,
    1.00)</f>
        <v/>
      </c>
      <c r="Q8572">
        <f>IF('Loan Tape (S&amp;P)'!V8572="Yes",
    1.20,
    1.00)</f>
        <v/>
      </c>
      <c r="T8572">
        <f>LET(
    payment_method,'Loan Tape (S&amp;P)'!P8572,
    occupancy,'Loan Tape (S&amp;P)'!N8572,
    maturity_date,'Loan Tape (S&amp;P)'!L8572,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73">
      <c r="J8573">
        <f>LET(
    lien,'Loan Tape (S&amp;P)'!Q8573,
    IF(lien="First",1.00,
        IF(lien="Second",1.50,
            1.70)))</f>
        <v/>
      </c>
      <c r="K8573">
        <f>LET(
    purpose,'Loan Tape (S&amp;P)'!R8573,
    IF(purpose="Purchase",1.00,
        IF(purpose="Remortgage",1.00,
            1.20)))</f>
        <v/>
      </c>
      <c r="L8573">
        <f>LET(
    arrears_months,'Loan Tape (S&amp;P)'!AN8573,
    IF(arrears_months=0,1.00,
    IF(arrears_months=1,3.00,
    IF(arrears_months=2,5.00,
    IF(arrears_months=3,8.00,
    IF(arrears_months=4,10.00,
    IF(arrears_months=5,12.00,15.00)))))))</f>
        <v/>
      </c>
      <c r="M8573">
        <f>LET(
    seasoning_years,DATEDIF('Loan Tape (S&amp;P)'!K8573,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73">
        <f>IF(AND('Loan Tape (S&amp;P)'!U8573="Yes",
        'Loan Tape (S&amp;P)'!T8573&lt;&gt;"Yes",
        DATEDIF('Loan Tape (S&amp;P)'!K8573, TODAY(), "M")&lt;18),
    1.10,
    1.00)</f>
        <v/>
      </c>
      <c r="O8573">
        <f>IF('Loan Tape (S&amp;P)'!T8573="Yes",
    1.35,
    1.00)</f>
        <v/>
      </c>
      <c r="P8573">
        <f>IF('Loan Tape (S&amp;P)'!S8573="Yes",
    1.15,
    1.00)</f>
        <v/>
      </c>
      <c r="Q8573">
        <f>IF('Loan Tape (S&amp;P)'!V8573="Yes",
    1.20,
    1.00)</f>
        <v/>
      </c>
      <c r="T8573">
        <f>LET(
    payment_method,'Loan Tape (S&amp;P)'!P8573,
    occupancy,'Loan Tape (S&amp;P)'!N8573,
    maturity_date,'Loan Tape (S&amp;P)'!L8573,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74">
      <c r="J8574">
        <f>LET(
    lien,'Loan Tape (S&amp;P)'!Q8574,
    IF(lien="First",1.00,
        IF(lien="Second",1.50,
            1.70)))</f>
        <v/>
      </c>
      <c r="K8574">
        <f>LET(
    purpose,'Loan Tape (S&amp;P)'!R8574,
    IF(purpose="Purchase",1.00,
        IF(purpose="Remortgage",1.00,
            1.20)))</f>
        <v/>
      </c>
      <c r="L8574">
        <f>LET(
    arrears_months,'Loan Tape (S&amp;P)'!AN8574,
    IF(arrears_months=0,1.00,
    IF(arrears_months=1,3.00,
    IF(arrears_months=2,5.00,
    IF(arrears_months=3,8.00,
    IF(arrears_months=4,10.00,
    IF(arrears_months=5,12.00,15.00)))))))</f>
        <v/>
      </c>
      <c r="M8574">
        <f>LET(
    seasoning_years,DATEDIF('Loan Tape (S&amp;P)'!K8574,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74">
        <f>IF(AND('Loan Tape (S&amp;P)'!U8574="Yes",
        'Loan Tape (S&amp;P)'!T8574&lt;&gt;"Yes",
        DATEDIF('Loan Tape (S&amp;P)'!K8574, TODAY(), "M")&lt;18),
    1.10,
    1.00)</f>
        <v/>
      </c>
      <c r="O8574">
        <f>IF('Loan Tape (S&amp;P)'!T8574="Yes",
    1.35,
    1.00)</f>
        <v/>
      </c>
      <c r="P8574">
        <f>IF('Loan Tape (S&amp;P)'!S8574="Yes",
    1.15,
    1.00)</f>
        <v/>
      </c>
      <c r="Q8574">
        <f>IF('Loan Tape (S&amp;P)'!V8574="Yes",
    1.20,
    1.00)</f>
        <v/>
      </c>
      <c r="T8574">
        <f>LET(
    payment_method,'Loan Tape (S&amp;P)'!P8574,
    occupancy,'Loan Tape (S&amp;P)'!N8574,
    maturity_date,'Loan Tape (S&amp;P)'!L8574,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75">
      <c r="J8575">
        <f>LET(
    lien,'Loan Tape (S&amp;P)'!Q8575,
    IF(lien="First",1.00,
        IF(lien="Second",1.50,
            1.70)))</f>
        <v/>
      </c>
      <c r="K8575">
        <f>LET(
    purpose,'Loan Tape (S&amp;P)'!R8575,
    IF(purpose="Purchase",1.00,
        IF(purpose="Remortgage",1.00,
            1.20)))</f>
        <v/>
      </c>
      <c r="L8575">
        <f>LET(
    arrears_months,'Loan Tape (S&amp;P)'!AN8575,
    IF(arrears_months=0,1.00,
    IF(arrears_months=1,3.00,
    IF(arrears_months=2,5.00,
    IF(arrears_months=3,8.00,
    IF(arrears_months=4,10.00,
    IF(arrears_months=5,12.00,15.00)))))))</f>
        <v/>
      </c>
      <c r="M8575">
        <f>LET(
    seasoning_years,DATEDIF('Loan Tape (S&amp;P)'!K8575,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75">
        <f>IF(AND('Loan Tape (S&amp;P)'!U8575="Yes",
        'Loan Tape (S&amp;P)'!T8575&lt;&gt;"Yes",
        DATEDIF('Loan Tape (S&amp;P)'!K8575, TODAY(), "M")&lt;18),
    1.10,
    1.00)</f>
        <v/>
      </c>
      <c r="O8575">
        <f>IF('Loan Tape (S&amp;P)'!T8575="Yes",
    1.35,
    1.00)</f>
        <v/>
      </c>
      <c r="P8575">
        <f>IF('Loan Tape (S&amp;P)'!S8575="Yes",
    1.15,
    1.00)</f>
        <v/>
      </c>
      <c r="Q8575">
        <f>IF('Loan Tape (S&amp;P)'!V8575="Yes",
    1.20,
    1.00)</f>
        <v/>
      </c>
      <c r="T8575">
        <f>LET(
    payment_method,'Loan Tape (S&amp;P)'!P8575,
    occupancy,'Loan Tape (S&amp;P)'!N8575,
    maturity_date,'Loan Tape (S&amp;P)'!L8575,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76">
      <c r="J8576">
        <f>LET(
    lien,'Loan Tape (S&amp;P)'!Q8576,
    IF(lien="First",1.00,
        IF(lien="Second",1.50,
            1.70)))</f>
        <v/>
      </c>
      <c r="K8576">
        <f>LET(
    purpose,'Loan Tape (S&amp;P)'!R8576,
    IF(purpose="Purchase",1.00,
        IF(purpose="Remortgage",1.00,
            1.20)))</f>
        <v/>
      </c>
      <c r="L8576">
        <f>LET(
    arrears_months,'Loan Tape (S&amp;P)'!AN8576,
    IF(arrears_months=0,1.00,
    IF(arrears_months=1,3.00,
    IF(arrears_months=2,5.00,
    IF(arrears_months=3,8.00,
    IF(arrears_months=4,10.00,
    IF(arrears_months=5,12.00,15.00)))))))</f>
        <v/>
      </c>
      <c r="M8576">
        <f>LET(
    seasoning_years,DATEDIF('Loan Tape (S&amp;P)'!K8576,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76">
        <f>IF(AND('Loan Tape (S&amp;P)'!U8576="Yes",
        'Loan Tape (S&amp;P)'!T8576&lt;&gt;"Yes",
        DATEDIF('Loan Tape (S&amp;P)'!K8576, TODAY(), "M")&lt;18),
    1.10,
    1.00)</f>
        <v/>
      </c>
      <c r="O8576">
        <f>IF('Loan Tape (S&amp;P)'!T8576="Yes",
    1.35,
    1.00)</f>
        <v/>
      </c>
      <c r="P8576">
        <f>IF('Loan Tape (S&amp;P)'!S8576="Yes",
    1.15,
    1.00)</f>
        <v/>
      </c>
      <c r="Q8576">
        <f>IF('Loan Tape (S&amp;P)'!V8576="Yes",
    1.20,
    1.00)</f>
        <v/>
      </c>
      <c r="T8576">
        <f>LET(
    payment_method,'Loan Tape (S&amp;P)'!P8576,
    occupancy,'Loan Tape (S&amp;P)'!N8576,
    maturity_date,'Loan Tape (S&amp;P)'!L8576,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77">
      <c r="J8577">
        <f>LET(
    lien,'Loan Tape (S&amp;P)'!Q8577,
    IF(lien="First",1.00,
        IF(lien="Second",1.50,
            1.70)))</f>
        <v/>
      </c>
      <c r="K8577">
        <f>LET(
    purpose,'Loan Tape (S&amp;P)'!R8577,
    IF(purpose="Purchase",1.00,
        IF(purpose="Remortgage",1.00,
            1.20)))</f>
        <v/>
      </c>
      <c r="L8577">
        <f>LET(
    arrears_months,'Loan Tape (S&amp;P)'!AN8577,
    IF(arrears_months=0,1.00,
    IF(arrears_months=1,3.00,
    IF(arrears_months=2,5.00,
    IF(arrears_months=3,8.00,
    IF(arrears_months=4,10.00,
    IF(arrears_months=5,12.00,15.00)))))))</f>
        <v/>
      </c>
      <c r="M8577">
        <f>LET(
    seasoning_years,DATEDIF('Loan Tape (S&amp;P)'!K8577,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77">
        <f>IF(AND('Loan Tape (S&amp;P)'!U8577="Yes",
        'Loan Tape (S&amp;P)'!T8577&lt;&gt;"Yes",
        DATEDIF('Loan Tape (S&amp;P)'!K8577, TODAY(), "M")&lt;18),
    1.10,
    1.00)</f>
        <v/>
      </c>
      <c r="O8577">
        <f>IF('Loan Tape (S&amp;P)'!T8577="Yes",
    1.35,
    1.00)</f>
        <v/>
      </c>
      <c r="P8577">
        <f>IF('Loan Tape (S&amp;P)'!S8577="Yes",
    1.15,
    1.00)</f>
        <v/>
      </c>
      <c r="Q8577">
        <f>IF('Loan Tape (S&amp;P)'!V8577="Yes",
    1.20,
    1.00)</f>
        <v/>
      </c>
      <c r="T8577">
        <f>LET(
    payment_method,'Loan Tape (S&amp;P)'!P8577,
    occupancy,'Loan Tape (S&amp;P)'!N8577,
    maturity_date,'Loan Tape (S&amp;P)'!L8577,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78">
      <c r="J8578">
        <f>LET(
    lien,'Loan Tape (S&amp;P)'!Q8578,
    IF(lien="First",1.00,
        IF(lien="Second",1.50,
            1.70)))</f>
        <v/>
      </c>
      <c r="K8578">
        <f>LET(
    purpose,'Loan Tape (S&amp;P)'!R8578,
    IF(purpose="Purchase",1.00,
        IF(purpose="Remortgage",1.00,
            1.20)))</f>
        <v/>
      </c>
      <c r="L8578">
        <f>LET(
    arrears_months,'Loan Tape (S&amp;P)'!AN8578,
    IF(arrears_months=0,1.00,
    IF(arrears_months=1,3.00,
    IF(arrears_months=2,5.00,
    IF(arrears_months=3,8.00,
    IF(arrears_months=4,10.00,
    IF(arrears_months=5,12.00,15.00)))))))</f>
        <v/>
      </c>
      <c r="M8578">
        <f>LET(
    seasoning_years,DATEDIF('Loan Tape (S&amp;P)'!K8578,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78">
        <f>IF(AND('Loan Tape (S&amp;P)'!U8578="Yes",
        'Loan Tape (S&amp;P)'!T8578&lt;&gt;"Yes",
        DATEDIF('Loan Tape (S&amp;P)'!K8578, TODAY(), "M")&lt;18),
    1.10,
    1.00)</f>
        <v/>
      </c>
      <c r="O8578">
        <f>IF('Loan Tape (S&amp;P)'!T8578="Yes",
    1.35,
    1.00)</f>
        <v/>
      </c>
      <c r="P8578">
        <f>IF('Loan Tape (S&amp;P)'!S8578="Yes",
    1.15,
    1.00)</f>
        <v/>
      </c>
      <c r="Q8578">
        <f>IF('Loan Tape (S&amp;P)'!V8578="Yes",
    1.20,
    1.00)</f>
        <v/>
      </c>
      <c r="T8578">
        <f>LET(
    payment_method,'Loan Tape (S&amp;P)'!P8578,
    occupancy,'Loan Tape (S&amp;P)'!N8578,
    maturity_date,'Loan Tape (S&amp;P)'!L8578,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79">
      <c r="J8579">
        <f>LET(
    lien,'Loan Tape (S&amp;P)'!Q8579,
    IF(lien="First",1.00,
        IF(lien="Second",1.50,
            1.70)))</f>
        <v/>
      </c>
      <c r="K8579">
        <f>LET(
    purpose,'Loan Tape (S&amp;P)'!R8579,
    IF(purpose="Purchase",1.00,
        IF(purpose="Remortgage",1.00,
            1.20)))</f>
        <v/>
      </c>
      <c r="L8579">
        <f>LET(
    arrears_months,'Loan Tape (S&amp;P)'!AN8579,
    IF(arrears_months=0,1.00,
    IF(arrears_months=1,3.00,
    IF(arrears_months=2,5.00,
    IF(arrears_months=3,8.00,
    IF(arrears_months=4,10.00,
    IF(arrears_months=5,12.00,15.00)))))))</f>
        <v/>
      </c>
      <c r="M8579">
        <f>LET(
    seasoning_years,DATEDIF('Loan Tape (S&amp;P)'!K8579,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79">
        <f>IF(AND('Loan Tape (S&amp;P)'!U8579="Yes",
        'Loan Tape (S&amp;P)'!T8579&lt;&gt;"Yes",
        DATEDIF('Loan Tape (S&amp;P)'!K8579, TODAY(), "M")&lt;18),
    1.10,
    1.00)</f>
        <v/>
      </c>
      <c r="O8579">
        <f>IF('Loan Tape (S&amp;P)'!T8579="Yes",
    1.35,
    1.00)</f>
        <v/>
      </c>
      <c r="P8579">
        <f>IF('Loan Tape (S&amp;P)'!S8579="Yes",
    1.15,
    1.00)</f>
        <v/>
      </c>
      <c r="Q8579">
        <f>IF('Loan Tape (S&amp;P)'!V8579="Yes",
    1.20,
    1.00)</f>
        <v/>
      </c>
      <c r="T8579">
        <f>LET(
    payment_method,'Loan Tape (S&amp;P)'!P8579,
    occupancy,'Loan Tape (S&amp;P)'!N8579,
    maturity_date,'Loan Tape (S&amp;P)'!L8579,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80">
      <c r="J8580">
        <f>LET(
    lien,'Loan Tape (S&amp;P)'!Q8580,
    IF(lien="First",1.00,
        IF(lien="Second",1.50,
            1.70)))</f>
        <v/>
      </c>
      <c r="K8580">
        <f>LET(
    purpose,'Loan Tape (S&amp;P)'!R8580,
    IF(purpose="Purchase",1.00,
        IF(purpose="Remortgage",1.00,
            1.20)))</f>
        <v/>
      </c>
      <c r="L8580">
        <f>LET(
    arrears_months,'Loan Tape (S&amp;P)'!AN8580,
    IF(arrears_months=0,1.00,
    IF(arrears_months=1,3.00,
    IF(arrears_months=2,5.00,
    IF(arrears_months=3,8.00,
    IF(arrears_months=4,10.00,
    IF(arrears_months=5,12.00,15.00)))))))</f>
        <v/>
      </c>
      <c r="M8580">
        <f>LET(
    seasoning_years,DATEDIF('Loan Tape (S&amp;P)'!K8580,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80">
        <f>IF(AND('Loan Tape (S&amp;P)'!U8580="Yes",
        'Loan Tape (S&amp;P)'!T8580&lt;&gt;"Yes",
        DATEDIF('Loan Tape (S&amp;P)'!K8580, TODAY(), "M")&lt;18),
    1.10,
    1.00)</f>
        <v/>
      </c>
      <c r="O8580">
        <f>IF('Loan Tape (S&amp;P)'!T8580="Yes",
    1.35,
    1.00)</f>
        <v/>
      </c>
      <c r="P8580">
        <f>IF('Loan Tape (S&amp;P)'!S8580="Yes",
    1.15,
    1.00)</f>
        <v/>
      </c>
      <c r="Q8580">
        <f>IF('Loan Tape (S&amp;P)'!V8580="Yes",
    1.20,
    1.00)</f>
        <v/>
      </c>
      <c r="T8580">
        <f>LET(
    payment_method,'Loan Tape (S&amp;P)'!P8580,
    occupancy,'Loan Tape (S&amp;P)'!N8580,
    maturity_date,'Loan Tape (S&amp;P)'!L8580,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81">
      <c r="J8581">
        <f>LET(
    lien,'Loan Tape (S&amp;P)'!Q8581,
    IF(lien="First",1.00,
        IF(lien="Second",1.50,
            1.70)))</f>
        <v/>
      </c>
      <c r="K8581">
        <f>LET(
    purpose,'Loan Tape (S&amp;P)'!R8581,
    IF(purpose="Purchase",1.00,
        IF(purpose="Remortgage",1.00,
            1.20)))</f>
        <v/>
      </c>
      <c r="L8581">
        <f>LET(
    arrears_months,'Loan Tape (S&amp;P)'!AN8581,
    IF(arrears_months=0,1.00,
    IF(arrears_months=1,3.00,
    IF(arrears_months=2,5.00,
    IF(arrears_months=3,8.00,
    IF(arrears_months=4,10.00,
    IF(arrears_months=5,12.00,15.00)))))))</f>
        <v/>
      </c>
      <c r="M8581">
        <f>LET(
    seasoning_years,DATEDIF('Loan Tape (S&amp;P)'!K8581,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81">
        <f>IF(AND('Loan Tape (S&amp;P)'!U8581="Yes",
        'Loan Tape (S&amp;P)'!T8581&lt;&gt;"Yes",
        DATEDIF('Loan Tape (S&amp;P)'!K8581, TODAY(), "M")&lt;18),
    1.10,
    1.00)</f>
        <v/>
      </c>
      <c r="O8581">
        <f>IF('Loan Tape (S&amp;P)'!T8581="Yes",
    1.35,
    1.00)</f>
        <v/>
      </c>
      <c r="P8581">
        <f>IF('Loan Tape (S&amp;P)'!S8581="Yes",
    1.15,
    1.00)</f>
        <v/>
      </c>
      <c r="Q8581">
        <f>IF('Loan Tape (S&amp;P)'!V8581="Yes",
    1.20,
    1.00)</f>
        <v/>
      </c>
      <c r="T8581">
        <f>LET(
    payment_method,'Loan Tape (S&amp;P)'!P8581,
    occupancy,'Loan Tape (S&amp;P)'!N8581,
    maturity_date,'Loan Tape (S&amp;P)'!L8581,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82">
      <c r="J8582">
        <f>LET(
    lien,'Loan Tape (S&amp;P)'!Q8582,
    IF(lien="First",1.00,
        IF(lien="Second",1.50,
            1.70)))</f>
        <v/>
      </c>
      <c r="K8582">
        <f>LET(
    purpose,'Loan Tape (S&amp;P)'!R8582,
    IF(purpose="Purchase",1.00,
        IF(purpose="Remortgage",1.00,
            1.20)))</f>
        <v/>
      </c>
      <c r="L8582">
        <f>LET(
    arrears_months,'Loan Tape (S&amp;P)'!AN8582,
    IF(arrears_months=0,1.00,
    IF(arrears_months=1,3.00,
    IF(arrears_months=2,5.00,
    IF(arrears_months=3,8.00,
    IF(arrears_months=4,10.00,
    IF(arrears_months=5,12.00,15.00)))))))</f>
        <v/>
      </c>
      <c r="M8582">
        <f>LET(
    seasoning_years,DATEDIF('Loan Tape (S&amp;P)'!K8582,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82">
        <f>IF(AND('Loan Tape (S&amp;P)'!U8582="Yes",
        'Loan Tape (S&amp;P)'!T8582&lt;&gt;"Yes",
        DATEDIF('Loan Tape (S&amp;P)'!K8582, TODAY(), "M")&lt;18),
    1.10,
    1.00)</f>
        <v/>
      </c>
      <c r="O8582">
        <f>IF('Loan Tape (S&amp;P)'!T8582="Yes",
    1.35,
    1.00)</f>
        <v/>
      </c>
      <c r="P8582">
        <f>IF('Loan Tape (S&amp;P)'!S8582="Yes",
    1.15,
    1.00)</f>
        <v/>
      </c>
      <c r="Q8582">
        <f>IF('Loan Tape (S&amp;P)'!V8582="Yes",
    1.20,
    1.00)</f>
        <v/>
      </c>
      <c r="T8582">
        <f>LET(
    payment_method,'Loan Tape (S&amp;P)'!P8582,
    occupancy,'Loan Tape (S&amp;P)'!N8582,
    maturity_date,'Loan Tape (S&amp;P)'!L8582,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83">
      <c r="J8583">
        <f>LET(
    lien,'Loan Tape (S&amp;P)'!Q8583,
    IF(lien="First",1.00,
        IF(lien="Second",1.50,
            1.70)))</f>
        <v/>
      </c>
      <c r="K8583">
        <f>LET(
    purpose,'Loan Tape (S&amp;P)'!R8583,
    IF(purpose="Purchase",1.00,
        IF(purpose="Remortgage",1.00,
            1.20)))</f>
        <v/>
      </c>
      <c r="L8583">
        <f>LET(
    arrears_months,'Loan Tape (S&amp;P)'!AN8583,
    IF(arrears_months=0,1.00,
    IF(arrears_months=1,3.00,
    IF(arrears_months=2,5.00,
    IF(arrears_months=3,8.00,
    IF(arrears_months=4,10.00,
    IF(arrears_months=5,12.00,15.00)))))))</f>
        <v/>
      </c>
      <c r="M8583">
        <f>LET(
    seasoning_years,DATEDIF('Loan Tape (S&amp;P)'!K8583,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83">
        <f>IF(AND('Loan Tape (S&amp;P)'!U8583="Yes",
        'Loan Tape (S&amp;P)'!T8583&lt;&gt;"Yes",
        DATEDIF('Loan Tape (S&amp;P)'!K8583, TODAY(), "M")&lt;18),
    1.10,
    1.00)</f>
        <v/>
      </c>
      <c r="O8583">
        <f>IF('Loan Tape (S&amp;P)'!T8583="Yes",
    1.35,
    1.00)</f>
        <v/>
      </c>
      <c r="P8583">
        <f>IF('Loan Tape (S&amp;P)'!S8583="Yes",
    1.15,
    1.00)</f>
        <v/>
      </c>
      <c r="Q8583">
        <f>IF('Loan Tape (S&amp;P)'!V8583="Yes",
    1.20,
    1.00)</f>
        <v/>
      </c>
      <c r="T8583">
        <f>LET(
    payment_method,'Loan Tape (S&amp;P)'!P8583,
    occupancy,'Loan Tape (S&amp;P)'!N8583,
    maturity_date,'Loan Tape (S&amp;P)'!L8583,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84">
      <c r="J8584">
        <f>LET(
    lien,'Loan Tape (S&amp;P)'!Q8584,
    IF(lien="First",1.00,
        IF(lien="Second",1.50,
            1.70)))</f>
        <v/>
      </c>
      <c r="K8584">
        <f>LET(
    purpose,'Loan Tape (S&amp;P)'!R8584,
    IF(purpose="Purchase",1.00,
        IF(purpose="Remortgage",1.00,
            1.20)))</f>
        <v/>
      </c>
      <c r="L8584">
        <f>LET(
    arrears_months,'Loan Tape (S&amp;P)'!AN8584,
    IF(arrears_months=0,1.00,
    IF(arrears_months=1,3.00,
    IF(arrears_months=2,5.00,
    IF(arrears_months=3,8.00,
    IF(arrears_months=4,10.00,
    IF(arrears_months=5,12.00,15.00)))))))</f>
        <v/>
      </c>
      <c r="M8584">
        <f>LET(
    seasoning_years,DATEDIF('Loan Tape (S&amp;P)'!K8584,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84">
        <f>IF(AND('Loan Tape (S&amp;P)'!U8584="Yes",
        'Loan Tape (S&amp;P)'!T8584&lt;&gt;"Yes",
        DATEDIF('Loan Tape (S&amp;P)'!K8584, TODAY(), "M")&lt;18),
    1.10,
    1.00)</f>
        <v/>
      </c>
      <c r="O8584">
        <f>IF('Loan Tape (S&amp;P)'!T8584="Yes",
    1.35,
    1.00)</f>
        <v/>
      </c>
      <c r="P8584">
        <f>IF('Loan Tape (S&amp;P)'!S8584="Yes",
    1.15,
    1.00)</f>
        <v/>
      </c>
      <c r="Q8584">
        <f>IF('Loan Tape (S&amp;P)'!V8584="Yes",
    1.20,
    1.00)</f>
        <v/>
      </c>
      <c r="T8584">
        <f>LET(
    payment_method,'Loan Tape (S&amp;P)'!P8584,
    occupancy,'Loan Tape (S&amp;P)'!N8584,
    maturity_date,'Loan Tape (S&amp;P)'!L8584,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85">
      <c r="J8585">
        <f>LET(
    lien,'Loan Tape (S&amp;P)'!Q8585,
    IF(lien="First",1.00,
        IF(lien="Second",1.50,
            1.70)))</f>
        <v/>
      </c>
      <c r="K8585">
        <f>LET(
    purpose,'Loan Tape (S&amp;P)'!R8585,
    IF(purpose="Purchase",1.00,
        IF(purpose="Remortgage",1.00,
            1.20)))</f>
        <v/>
      </c>
      <c r="L8585">
        <f>LET(
    arrears_months,'Loan Tape (S&amp;P)'!AN8585,
    IF(arrears_months=0,1.00,
    IF(arrears_months=1,3.00,
    IF(arrears_months=2,5.00,
    IF(arrears_months=3,8.00,
    IF(arrears_months=4,10.00,
    IF(arrears_months=5,12.00,15.00)))))))</f>
        <v/>
      </c>
      <c r="M8585">
        <f>LET(
    seasoning_years,DATEDIF('Loan Tape (S&amp;P)'!K8585,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85">
        <f>IF(AND('Loan Tape (S&amp;P)'!U8585="Yes",
        'Loan Tape (S&amp;P)'!T8585&lt;&gt;"Yes",
        DATEDIF('Loan Tape (S&amp;P)'!K8585, TODAY(), "M")&lt;18),
    1.10,
    1.00)</f>
        <v/>
      </c>
      <c r="O8585">
        <f>IF('Loan Tape (S&amp;P)'!T8585="Yes",
    1.35,
    1.00)</f>
        <v/>
      </c>
      <c r="P8585">
        <f>IF('Loan Tape (S&amp;P)'!S8585="Yes",
    1.15,
    1.00)</f>
        <v/>
      </c>
      <c r="Q8585">
        <f>IF('Loan Tape (S&amp;P)'!V8585="Yes",
    1.20,
    1.00)</f>
        <v/>
      </c>
      <c r="T8585">
        <f>LET(
    payment_method,'Loan Tape (S&amp;P)'!P8585,
    occupancy,'Loan Tape (S&amp;P)'!N8585,
    maturity_date,'Loan Tape (S&amp;P)'!L8585,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86">
      <c r="J8586">
        <f>LET(
    lien,'Loan Tape (S&amp;P)'!Q8586,
    IF(lien="First",1.00,
        IF(lien="Second",1.50,
            1.70)))</f>
        <v/>
      </c>
      <c r="K8586">
        <f>LET(
    purpose,'Loan Tape (S&amp;P)'!R8586,
    IF(purpose="Purchase",1.00,
        IF(purpose="Remortgage",1.00,
            1.20)))</f>
        <v/>
      </c>
      <c r="L8586">
        <f>LET(
    arrears_months,'Loan Tape (S&amp;P)'!AN8586,
    IF(arrears_months=0,1.00,
    IF(arrears_months=1,3.00,
    IF(arrears_months=2,5.00,
    IF(arrears_months=3,8.00,
    IF(arrears_months=4,10.00,
    IF(arrears_months=5,12.00,15.00)))))))</f>
        <v/>
      </c>
      <c r="M8586">
        <f>LET(
    seasoning_years,DATEDIF('Loan Tape (S&amp;P)'!K8586,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86">
        <f>IF(AND('Loan Tape (S&amp;P)'!U8586="Yes",
        'Loan Tape (S&amp;P)'!T8586&lt;&gt;"Yes",
        DATEDIF('Loan Tape (S&amp;P)'!K8586, TODAY(), "M")&lt;18),
    1.10,
    1.00)</f>
        <v/>
      </c>
      <c r="O8586">
        <f>IF('Loan Tape (S&amp;P)'!T8586="Yes",
    1.35,
    1.00)</f>
        <v/>
      </c>
      <c r="P8586">
        <f>IF('Loan Tape (S&amp;P)'!S8586="Yes",
    1.15,
    1.00)</f>
        <v/>
      </c>
      <c r="Q8586">
        <f>IF('Loan Tape (S&amp;P)'!V8586="Yes",
    1.20,
    1.00)</f>
        <v/>
      </c>
      <c r="T8586">
        <f>LET(
    payment_method,'Loan Tape (S&amp;P)'!P8586,
    occupancy,'Loan Tape (S&amp;P)'!N8586,
    maturity_date,'Loan Tape (S&amp;P)'!L8586,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87">
      <c r="J8587">
        <f>LET(
    lien,'Loan Tape (S&amp;P)'!Q8587,
    IF(lien="First",1.00,
        IF(lien="Second",1.50,
            1.70)))</f>
        <v/>
      </c>
      <c r="K8587">
        <f>LET(
    purpose,'Loan Tape (S&amp;P)'!R8587,
    IF(purpose="Purchase",1.00,
        IF(purpose="Remortgage",1.00,
            1.20)))</f>
        <v/>
      </c>
      <c r="L8587">
        <f>LET(
    arrears_months,'Loan Tape (S&amp;P)'!AN8587,
    IF(arrears_months=0,1.00,
    IF(arrears_months=1,3.00,
    IF(arrears_months=2,5.00,
    IF(arrears_months=3,8.00,
    IF(arrears_months=4,10.00,
    IF(arrears_months=5,12.00,15.00)))))))</f>
        <v/>
      </c>
      <c r="M8587">
        <f>LET(
    seasoning_years,DATEDIF('Loan Tape (S&amp;P)'!K8587,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87">
        <f>IF(AND('Loan Tape (S&amp;P)'!U8587="Yes",
        'Loan Tape (S&amp;P)'!T8587&lt;&gt;"Yes",
        DATEDIF('Loan Tape (S&amp;P)'!K8587, TODAY(), "M")&lt;18),
    1.10,
    1.00)</f>
        <v/>
      </c>
      <c r="O8587">
        <f>IF('Loan Tape (S&amp;P)'!T8587="Yes",
    1.35,
    1.00)</f>
        <v/>
      </c>
      <c r="P8587">
        <f>IF('Loan Tape (S&amp;P)'!S8587="Yes",
    1.15,
    1.00)</f>
        <v/>
      </c>
      <c r="Q8587">
        <f>IF('Loan Tape (S&amp;P)'!V8587="Yes",
    1.20,
    1.00)</f>
        <v/>
      </c>
      <c r="T8587">
        <f>LET(
    payment_method,'Loan Tape (S&amp;P)'!P8587,
    occupancy,'Loan Tape (S&amp;P)'!N8587,
    maturity_date,'Loan Tape (S&amp;P)'!L8587,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88">
      <c r="J8588">
        <f>LET(
    lien,'Loan Tape (S&amp;P)'!Q8588,
    IF(lien="First",1.00,
        IF(lien="Second",1.50,
            1.70)))</f>
        <v/>
      </c>
      <c r="K8588">
        <f>LET(
    purpose,'Loan Tape (S&amp;P)'!R8588,
    IF(purpose="Purchase",1.00,
        IF(purpose="Remortgage",1.00,
            1.20)))</f>
        <v/>
      </c>
      <c r="L8588">
        <f>LET(
    arrears_months,'Loan Tape (S&amp;P)'!AN8588,
    IF(arrears_months=0,1.00,
    IF(arrears_months=1,3.00,
    IF(arrears_months=2,5.00,
    IF(arrears_months=3,8.00,
    IF(arrears_months=4,10.00,
    IF(arrears_months=5,12.00,15.00)))))))</f>
        <v/>
      </c>
      <c r="M8588">
        <f>LET(
    seasoning_years,DATEDIF('Loan Tape (S&amp;P)'!K8588,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88">
        <f>IF(AND('Loan Tape (S&amp;P)'!U8588="Yes",
        'Loan Tape (S&amp;P)'!T8588&lt;&gt;"Yes",
        DATEDIF('Loan Tape (S&amp;P)'!K8588, TODAY(), "M")&lt;18),
    1.10,
    1.00)</f>
        <v/>
      </c>
      <c r="O8588">
        <f>IF('Loan Tape (S&amp;P)'!T8588="Yes",
    1.35,
    1.00)</f>
        <v/>
      </c>
      <c r="P8588">
        <f>IF('Loan Tape (S&amp;P)'!S8588="Yes",
    1.15,
    1.00)</f>
        <v/>
      </c>
      <c r="Q8588">
        <f>IF('Loan Tape (S&amp;P)'!V8588="Yes",
    1.20,
    1.00)</f>
        <v/>
      </c>
      <c r="T8588">
        <f>LET(
    payment_method,'Loan Tape (S&amp;P)'!P8588,
    occupancy,'Loan Tape (S&amp;P)'!N8588,
    maturity_date,'Loan Tape (S&amp;P)'!L8588,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89">
      <c r="J8589">
        <f>LET(
    lien,'Loan Tape (S&amp;P)'!Q8589,
    IF(lien="First",1.00,
        IF(lien="Second",1.50,
            1.70)))</f>
        <v/>
      </c>
      <c r="K8589">
        <f>LET(
    purpose,'Loan Tape (S&amp;P)'!R8589,
    IF(purpose="Purchase",1.00,
        IF(purpose="Remortgage",1.00,
            1.20)))</f>
        <v/>
      </c>
      <c r="L8589">
        <f>LET(
    arrears_months,'Loan Tape (S&amp;P)'!AN8589,
    IF(arrears_months=0,1.00,
    IF(arrears_months=1,3.00,
    IF(arrears_months=2,5.00,
    IF(arrears_months=3,8.00,
    IF(arrears_months=4,10.00,
    IF(arrears_months=5,12.00,15.00)))))))</f>
        <v/>
      </c>
      <c r="M8589">
        <f>LET(
    seasoning_years,DATEDIF('Loan Tape (S&amp;P)'!K8589,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89">
        <f>IF(AND('Loan Tape (S&amp;P)'!U8589="Yes",
        'Loan Tape (S&amp;P)'!T8589&lt;&gt;"Yes",
        DATEDIF('Loan Tape (S&amp;P)'!K8589, TODAY(), "M")&lt;18),
    1.10,
    1.00)</f>
        <v/>
      </c>
      <c r="O8589">
        <f>IF('Loan Tape (S&amp;P)'!T8589="Yes",
    1.35,
    1.00)</f>
        <v/>
      </c>
      <c r="P8589">
        <f>IF('Loan Tape (S&amp;P)'!S8589="Yes",
    1.15,
    1.00)</f>
        <v/>
      </c>
      <c r="Q8589">
        <f>IF('Loan Tape (S&amp;P)'!V8589="Yes",
    1.20,
    1.00)</f>
        <v/>
      </c>
      <c r="T8589">
        <f>LET(
    payment_method,'Loan Tape (S&amp;P)'!P8589,
    occupancy,'Loan Tape (S&amp;P)'!N8589,
    maturity_date,'Loan Tape (S&amp;P)'!L8589,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90">
      <c r="J8590">
        <f>LET(
    lien,'Loan Tape (S&amp;P)'!Q8590,
    IF(lien="First",1.00,
        IF(lien="Second",1.50,
            1.70)))</f>
        <v/>
      </c>
      <c r="K8590">
        <f>LET(
    purpose,'Loan Tape (S&amp;P)'!R8590,
    IF(purpose="Purchase",1.00,
        IF(purpose="Remortgage",1.00,
            1.20)))</f>
        <v/>
      </c>
      <c r="L8590">
        <f>LET(
    arrears_months,'Loan Tape (S&amp;P)'!AN8590,
    IF(arrears_months=0,1.00,
    IF(arrears_months=1,3.00,
    IF(arrears_months=2,5.00,
    IF(arrears_months=3,8.00,
    IF(arrears_months=4,10.00,
    IF(arrears_months=5,12.00,15.00)))))))</f>
        <v/>
      </c>
      <c r="M8590">
        <f>LET(
    seasoning_years,DATEDIF('Loan Tape (S&amp;P)'!K8590,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90">
        <f>IF(AND('Loan Tape (S&amp;P)'!U8590="Yes",
        'Loan Tape (S&amp;P)'!T8590&lt;&gt;"Yes",
        DATEDIF('Loan Tape (S&amp;P)'!K8590, TODAY(), "M")&lt;18),
    1.10,
    1.00)</f>
        <v/>
      </c>
      <c r="O8590">
        <f>IF('Loan Tape (S&amp;P)'!T8590="Yes",
    1.35,
    1.00)</f>
        <v/>
      </c>
      <c r="P8590">
        <f>IF('Loan Tape (S&amp;P)'!S8590="Yes",
    1.15,
    1.00)</f>
        <v/>
      </c>
      <c r="Q8590">
        <f>IF('Loan Tape (S&amp;P)'!V8590="Yes",
    1.20,
    1.00)</f>
        <v/>
      </c>
      <c r="T8590">
        <f>LET(
    payment_method,'Loan Tape (S&amp;P)'!P8590,
    occupancy,'Loan Tape (S&amp;P)'!N8590,
    maturity_date,'Loan Tape (S&amp;P)'!L8590,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91">
      <c r="J8591">
        <f>LET(
    lien,'Loan Tape (S&amp;P)'!Q8591,
    IF(lien="First",1.00,
        IF(lien="Second",1.50,
            1.70)))</f>
        <v/>
      </c>
      <c r="K8591">
        <f>LET(
    purpose,'Loan Tape (S&amp;P)'!R8591,
    IF(purpose="Purchase",1.00,
        IF(purpose="Remortgage",1.00,
            1.20)))</f>
        <v/>
      </c>
      <c r="L8591">
        <f>LET(
    arrears_months,'Loan Tape (S&amp;P)'!AN8591,
    IF(arrears_months=0,1.00,
    IF(arrears_months=1,3.00,
    IF(arrears_months=2,5.00,
    IF(arrears_months=3,8.00,
    IF(arrears_months=4,10.00,
    IF(arrears_months=5,12.00,15.00)))))))</f>
        <v/>
      </c>
      <c r="M8591">
        <f>LET(
    seasoning_years,DATEDIF('Loan Tape (S&amp;P)'!K8591,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91">
        <f>IF(AND('Loan Tape (S&amp;P)'!U8591="Yes",
        'Loan Tape (S&amp;P)'!T8591&lt;&gt;"Yes",
        DATEDIF('Loan Tape (S&amp;P)'!K8591, TODAY(), "M")&lt;18),
    1.10,
    1.00)</f>
        <v/>
      </c>
      <c r="O8591">
        <f>IF('Loan Tape (S&amp;P)'!T8591="Yes",
    1.35,
    1.00)</f>
        <v/>
      </c>
      <c r="P8591">
        <f>IF('Loan Tape (S&amp;P)'!S8591="Yes",
    1.15,
    1.00)</f>
        <v/>
      </c>
      <c r="Q8591">
        <f>IF('Loan Tape (S&amp;P)'!V8591="Yes",
    1.20,
    1.00)</f>
        <v/>
      </c>
      <c r="T8591">
        <f>LET(
    payment_method,'Loan Tape (S&amp;P)'!P8591,
    occupancy,'Loan Tape (S&amp;P)'!N8591,
    maturity_date,'Loan Tape (S&amp;P)'!L8591,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92">
      <c r="J8592">
        <f>LET(
    lien,'Loan Tape (S&amp;P)'!Q8592,
    IF(lien="First",1.00,
        IF(lien="Second",1.50,
            1.70)))</f>
        <v/>
      </c>
      <c r="K8592">
        <f>LET(
    purpose,'Loan Tape (S&amp;P)'!R8592,
    IF(purpose="Purchase",1.00,
        IF(purpose="Remortgage",1.00,
            1.20)))</f>
        <v/>
      </c>
      <c r="L8592">
        <f>LET(
    arrears_months,'Loan Tape (S&amp;P)'!AN8592,
    IF(arrears_months=0,1.00,
    IF(arrears_months=1,3.00,
    IF(arrears_months=2,5.00,
    IF(arrears_months=3,8.00,
    IF(arrears_months=4,10.00,
    IF(arrears_months=5,12.00,15.00)))))))</f>
        <v/>
      </c>
      <c r="M8592">
        <f>LET(
    seasoning_years,DATEDIF('Loan Tape (S&amp;P)'!K8592,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92">
        <f>IF(AND('Loan Tape (S&amp;P)'!U8592="Yes",
        'Loan Tape (S&amp;P)'!T8592&lt;&gt;"Yes",
        DATEDIF('Loan Tape (S&amp;P)'!K8592, TODAY(), "M")&lt;18),
    1.10,
    1.00)</f>
        <v/>
      </c>
      <c r="O8592">
        <f>IF('Loan Tape (S&amp;P)'!T8592="Yes",
    1.35,
    1.00)</f>
        <v/>
      </c>
      <c r="P8592">
        <f>IF('Loan Tape (S&amp;P)'!S8592="Yes",
    1.15,
    1.00)</f>
        <v/>
      </c>
      <c r="Q8592">
        <f>IF('Loan Tape (S&amp;P)'!V8592="Yes",
    1.20,
    1.00)</f>
        <v/>
      </c>
      <c r="T8592">
        <f>LET(
    payment_method,'Loan Tape (S&amp;P)'!P8592,
    occupancy,'Loan Tape (S&amp;P)'!N8592,
    maturity_date,'Loan Tape (S&amp;P)'!L8592,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93">
      <c r="J8593">
        <f>LET(
    lien,'Loan Tape (S&amp;P)'!Q8593,
    IF(lien="First",1.00,
        IF(lien="Second",1.50,
            1.70)))</f>
        <v/>
      </c>
      <c r="K8593">
        <f>LET(
    purpose,'Loan Tape (S&amp;P)'!R8593,
    IF(purpose="Purchase",1.00,
        IF(purpose="Remortgage",1.00,
            1.20)))</f>
        <v/>
      </c>
      <c r="L8593">
        <f>LET(
    arrears_months,'Loan Tape (S&amp;P)'!AN8593,
    IF(arrears_months=0,1.00,
    IF(arrears_months=1,3.00,
    IF(arrears_months=2,5.00,
    IF(arrears_months=3,8.00,
    IF(arrears_months=4,10.00,
    IF(arrears_months=5,12.00,15.00)))))))</f>
        <v/>
      </c>
      <c r="M8593">
        <f>LET(
    seasoning_years,DATEDIF('Loan Tape (S&amp;P)'!K8593,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93">
        <f>IF(AND('Loan Tape (S&amp;P)'!U8593="Yes",
        'Loan Tape (S&amp;P)'!T8593&lt;&gt;"Yes",
        DATEDIF('Loan Tape (S&amp;P)'!K8593, TODAY(), "M")&lt;18),
    1.10,
    1.00)</f>
        <v/>
      </c>
      <c r="O8593">
        <f>IF('Loan Tape (S&amp;P)'!T8593="Yes",
    1.35,
    1.00)</f>
        <v/>
      </c>
      <c r="P8593">
        <f>IF('Loan Tape (S&amp;P)'!S8593="Yes",
    1.15,
    1.00)</f>
        <v/>
      </c>
      <c r="Q8593">
        <f>IF('Loan Tape (S&amp;P)'!V8593="Yes",
    1.20,
    1.00)</f>
        <v/>
      </c>
      <c r="T8593">
        <f>LET(
    payment_method,'Loan Tape (S&amp;P)'!P8593,
    occupancy,'Loan Tape (S&amp;P)'!N8593,
    maturity_date,'Loan Tape (S&amp;P)'!L8593,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94">
      <c r="J8594">
        <f>LET(
    lien,'Loan Tape (S&amp;P)'!Q8594,
    IF(lien="First",1.00,
        IF(lien="Second",1.50,
            1.70)))</f>
        <v/>
      </c>
      <c r="K8594">
        <f>LET(
    purpose,'Loan Tape (S&amp;P)'!R8594,
    IF(purpose="Purchase",1.00,
        IF(purpose="Remortgage",1.00,
            1.20)))</f>
        <v/>
      </c>
      <c r="L8594">
        <f>LET(
    arrears_months,'Loan Tape (S&amp;P)'!AN8594,
    IF(arrears_months=0,1.00,
    IF(arrears_months=1,3.00,
    IF(arrears_months=2,5.00,
    IF(arrears_months=3,8.00,
    IF(arrears_months=4,10.00,
    IF(arrears_months=5,12.00,15.00)))))))</f>
        <v/>
      </c>
      <c r="M8594">
        <f>LET(
    seasoning_years,DATEDIF('Loan Tape (S&amp;P)'!K8594,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94">
        <f>IF(AND('Loan Tape (S&amp;P)'!U8594="Yes",
        'Loan Tape (S&amp;P)'!T8594&lt;&gt;"Yes",
        DATEDIF('Loan Tape (S&amp;P)'!K8594, TODAY(), "M")&lt;18),
    1.10,
    1.00)</f>
        <v/>
      </c>
      <c r="O8594">
        <f>IF('Loan Tape (S&amp;P)'!T8594="Yes",
    1.35,
    1.00)</f>
        <v/>
      </c>
      <c r="P8594">
        <f>IF('Loan Tape (S&amp;P)'!S8594="Yes",
    1.15,
    1.00)</f>
        <v/>
      </c>
      <c r="Q8594">
        <f>IF('Loan Tape (S&amp;P)'!V8594="Yes",
    1.20,
    1.00)</f>
        <v/>
      </c>
      <c r="T8594">
        <f>LET(
    payment_method,'Loan Tape (S&amp;P)'!P8594,
    occupancy,'Loan Tape (S&amp;P)'!N8594,
    maturity_date,'Loan Tape (S&amp;P)'!L8594,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95">
      <c r="J8595">
        <f>LET(
    lien,'Loan Tape (S&amp;P)'!Q8595,
    IF(lien="First",1.00,
        IF(lien="Second",1.50,
            1.70)))</f>
        <v/>
      </c>
      <c r="K8595">
        <f>LET(
    purpose,'Loan Tape (S&amp;P)'!R8595,
    IF(purpose="Purchase",1.00,
        IF(purpose="Remortgage",1.00,
            1.20)))</f>
        <v/>
      </c>
      <c r="L8595">
        <f>LET(
    arrears_months,'Loan Tape (S&amp;P)'!AN8595,
    IF(arrears_months=0,1.00,
    IF(arrears_months=1,3.00,
    IF(arrears_months=2,5.00,
    IF(arrears_months=3,8.00,
    IF(arrears_months=4,10.00,
    IF(arrears_months=5,12.00,15.00)))))))</f>
        <v/>
      </c>
      <c r="M8595">
        <f>LET(
    seasoning_years,DATEDIF('Loan Tape (S&amp;P)'!K8595,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95">
        <f>IF(AND('Loan Tape (S&amp;P)'!U8595="Yes",
        'Loan Tape (S&amp;P)'!T8595&lt;&gt;"Yes",
        DATEDIF('Loan Tape (S&amp;P)'!K8595, TODAY(), "M")&lt;18),
    1.10,
    1.00)</f>
        <v/>
      </c>
      <c r="O8595">
        <f>IF('Loan Tape (S&amp;P)'!T8595="Yes",
    1.35,
    1.00)</f>
        <v/>
      </c>
      <c r="P8595">
        <f>IF('Loan Tape (S&amp;P)'!S8595="Yes",
    1.15,
    1.00)</f>
        <v/>
      </c>
      <c r="Q8595">
        <f>IF('Loan Tape (S&amp;P)'!V8595="Yes",
    1.20,
    1.00)</f>
        <v/>
      </c>
      <c r="T8595">
        <f>LET(
    payment_method,'Loan Tape (S&amp;P)'!P8595,
    occupancy,'Loan Tape (S&amp;P)'!N8595,
    maturity_date,'Loan Tape (S&amp;P)'!L8595,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96">
      <c r="J8596">
        <f>LET(
    lien,'Loan Tape (S&amp;P)'!Q8596,
    IF(lien="First",1.00,
        IF(lien="Second",1.50,
            1.70)))</f>
        <v/>
      </c>
      <c r="K8596">
        <f>LET(
    purpose,'Loan Tape (S&amp;P)'!R8596,
    IF(purpose="Purchase",1.00,
        IF(purpose="Remortgage",1.00,
            1.20)))</f>
        <v/>
      </c>
      <c r="L8596">
        <f>LET(
    arrears_months,'Loan Tape (S&amp;P)'!AN8596,
    IF(arrears_months=0,1.00,
    IF(arrears_months=1,3.00,
    IF(arrears_months=2,5.00,
    IF(arrears_months=3,8.00,
    IF(arrears_months=4,10.00,
    IF(arrears_months=5,12.00,15.00)))))))</f>
        <v/>
      </c>
      <c r="M8596">
        <f>LET(
    seasoning_years,DATEDIF('Loan Tape (S&amp;P)'!K8596,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96">
        <f>IF(AND('Loan Tape (S&amp;P)'!U8596="Yes",
        'Loan Tape (S&amp;P)'!T8596&lt;&gt;"Yes",
        DATEDIF('Loan Tape (S&amp;P)'!K8596, TODAY(), "M")&lt;18),
    1.10,
    1.00)</f>
        <v/>
      </c>
      <c r="O8596">
        <f>IF('Loan Tape (S&amp;P)'!T8596="Yes",
    1.35,
    1.00)</f>
        <v/>
      </c>
      <c r="P8596">
        <f>IF('Loan Tape (S&amp;P)'!S8596="Yes",
    1.15,
    1.00)</f>
        <v/>
      </c>
      <c r="Q8596">
        <f>IF('Loan Tape (S&amp;P)'!V8596="Yes",
    1.20,
    1.00)</f>
        <v/>
      </c>
      <c r="T8596">
        <f>LET(
    payment_method,'Loan Tape (S&amp;P)'!P8596,
    occupancy,'Loan Tape (S&amp;P)'!N8596,
    maturity_date,'Loan Tape (S&amp;P)'!L8596,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97">
      <c r="J8597">
        <f>LET(
    lien,'Loan Tape (S&amp;P)'!Q8597,
    IF(lien="First",1.00,
        IF(lien="Second",1.50,
            1.70)))</f>
        <v/>
      </c>
      <c r="K8597">
        <f>LET(
    purpose,'Loan Tape (S&amp;P)'!R8597,
    IF(purpose="Purchase",1.00,
        IF(purpose="Remortgage",1.00,
            1.20)))</f>
        <v/>
      </c>
      <c r="L8597">
        <f>LET(
    arrears_months,'Loan Tape (S&amp;P)'!AN8597,
    IF(arrears_months=0,1.00,
    IF(arrears_months=1,3.00,
    IF(arrears_months=2,5.00,
    IF(arrears_months=3,8.00,
    IF(arrears_months=4,10.00,
    IF(arrears_months=5,12.00,15.00)))))))</f>
        <v/>
      </c>
      <c r="M8597">
        <f>LET(
    seasoning_years,DATEDIF('Loan Tape (S&amp;P)'!K8597,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97">
        <f>IF(AND('Loan Tape (S&amp;P)'!U8597="Yes",
        'Loan Tape (S&amp;P)'!T8597&lt;&gt;"Yes",
        DATEDIF('Loan Tape (S&amp;P)'!K8597, TODAY(), "M")&lt;18),
    1.10,
    1.00)</f>
        <v/>
      </c>
      <c r="O8597">
        <f>IF('Loan Tape (S&amp;P)'!T8597="Yes",
    1.35,
    1.00)</f>
        <v/>
      </c>
      <c r="P8597">
        <f>IF('Loan Tape (S&amp;P)'!S8597="Yes",
    1.15,
    1.00)</f>
        <v/>
      </c>
      <c r="Q8597">
        <f>IF('Loan Tape (S&amp;P)'!V8597="Yes",
    1.20,
    1.00)</f>
        <v/>
      </c>
      <c r="T8597">
        <f>LET(
    payment_method,'Loan Tape (S&amp;P)'!P8597,
    occupancy,'Loan Tape (S&amp;P)'!N8597,
    maturity_date,'Loan Tape (S&amp;P)'!L8597,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98">
      <c r="J8598">
        <f>LET(
    lien,'Loan Tape (S&amp;P)'!Q8598,
    IF(lien="First",1.00,
        IF(lien="Second",1.50,
            1.70)))</f>
        <v/>
      </c>
      <c r="K8598">
        <f>LET(
    purpose,'Loan Tape (S&amp;P)'!R8598,
    IF(purpose="Purchase",1.00,
        IF(purpose="Remortgage",1.00,
            1.20)))</f>
        <v/>
      </c>
      <c r="L8598">
        <f>LET(
    arrears_months,'Loan Tape (S&amp;P)'!AN8598,
    IF(arrears_months=0,1.00,
    IF(arrears_months=1,3.00,
    IF(arrears_months=2,5.00,
    IF(arrears_months=3,8.00,
    IF(arrears_months=4,10.00,
    IF(arrears_months=5,12.00,15.00)))))))</f>
        <v/>
      </c>
      <c r="M8598">
        <f>LET(
    seasoning_years,DATEDIF('Loan Tape (S&amp;P)'!K8598,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98">
        <f>IF(AND('Loan Tape (S&amp;P)'!U8598="Yes",
        'Loan Tape (S&amp;P)'!T8598&lt;&gt;"Yes",
        DATEDIF('Loan Tape (S&amp;P)'!K8598, TODAY(), "M")&lt;18),
    1.10,
    1.00)</f>
        <v/>
      </c>
      <c r="O8598">
        <f>IF('Loan Tape (S&amp;P)'!T8598="Yes",
    1.35,
    1.00)</f>
        <v/>
      </c>
      <c r="P8598">
        <f>IF('Loan Tape (S&amp;P)'!S8598="Yes",
    1.15,
    1.00)</f>
        <v/>
      </c>
      <c r="Q8598">
        <f>IF('Loan Tape (S&amp;P)'!V8598="Yes",
    1.20,
    1.00)</f>
        <v/>
      </c>
      <c r="T8598">
        <f>LET(
    payment_method,'Loan Tape (S&amp;P)'!P8598,
    occupancy,'Loan Tape (S&amp;P)'!N8598,
    maturity_date,'Loan Tape (S&amp;P)'!L8598,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599">
      <c r="J8599">
        <f>LET(
    lien,'Loan Tape (S&amp;P)'!Q8599,
    IF(lien="First",1.00,
        IF(lien="Second",1.50,
            1.70)))</f>
        <v/>
      </c>
      <c r="K8599">
        <f>LET(
    purpose,'Loan Tape (S&amp;P)'!R8599,
    IF(purpose="Purchase",1.00,
        IF(purpose="Remortgage",1.00,
            1.20)))</f>
        <v/>
      </c>
      <c r="L8599">
        <f>LET(
    arrears_months,'Loan Tape (S&amp;P)'!AN8599,
    IF(arrears_months=0,1.00,
    IF(arrears_months=1,3.00,
    IF(arrears_months=2,5.00,
    IF(arrears_months=3,8.00,
    IF(arrears_months=4,10.00,
    IF(arrears_months=5,12.00,15.00)))))))</f>
        <v/>
      </c>
      <c r="M8599">
        <f>LET(
    seasoning_years,DATEDIF('Loan Tape (S&amp;P)'!K8599,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599">
        <f>IF(AND('Loan Tape (S&amp;P)'!U8599="Yes",
        'Loan Tape (S&amp;P)'!T8599&lt;&gt;"Yes",
        DATEDIF('Loan Tape (S&amp;P)'!K8599, TODAY(), "M")&lt;18),
    1.10,
    1.00)</f>
        <v/>
      </c>
      <c r="O8599">
        <f>IF('Loan Tape (S&amp;P)'!T8599="Yes",
    1.35,
    1.00)</f>
        <v/>
      </c>
      <c r="P8599">
        <f>IF('Loan Tape (S&amp;P)'!S8599="Yes",
    1.15,
    1.00)</f>
        <v/>
      </c>
      <c r="Q8599">
        <f>IF('Loan Tape (S&amp;P)'!V8599="Yes",
    1.20,
    1.00)</f>
        <v/>
      </c>
      <c r="T8599">
        <f>LET(
    payment_method,'Loan Tape (S&amp;P)'!P8599,
    occupancy,'Loan Tape (S&amp;P)'!N8599,
    maturity_date,'Loan Tape (S&amp;P)'!L8599,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00">
      <c r="J8600">
        <f>LET(
    lien,'Loan Tape (S&amp;P)'!Q8600,
    IF(lien="First",1.00,
        IF(lien="Second",1.50,
            1.70)))</f>
        <v/>
      </c>
      <c r="K8600">
        <f>LET(
    purpose,'Loan Tape (S&amp;P)'!R8600,
    IF(purpose="Purchase",1.00,
        IF(purpose="Remortgage",1.00,
            1.20)))</f>
        <v/>
      </c>
      <c r="L8600">
        <f>LET(
    arrears_months,'Loan Tape (S&amp;P)'!AN8600,
    IF(arrears_months=0,1.00,
    IF(arrears_months=1,3.00,
    IF(arrears_months=2,5.00,
    IF(arrears_months=3,8.00,
    IF(arrears_months=4,10.00,
    IF(arrears_months=5,12.00,15.00)))))))</f>
        <v/>
      </c>
      <c r="M8600">
        <f>LET(
    seasoning_years,DATEDIF('Loan Tape (S&amp;P)'!K8600,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00">
        <f>IF(AND('Loan Tape (S&amp;P)'!U8600="Yes",
        'Loan Tape (S&amp;P)'!T8600&lt;&gt;"Yes",
        DATEDIF('Loan Tape (S&amp;P)'!K8600, TODAY(), "M")&lt;18),
    1.10,
    1.00)</f>
        <v/>
      </c>
      <c r="O8600">
        <f>IF('Loan Tape (S&amp;P)'!T8600="Yes",
    1.35,
    1.00)</f>
        <v/>
      </c>
      <c r="P8600">
        <f>IF('Loan Tape (S&amp;P)'!S8600="Yes",
    1.15,
    1.00)</f>
        <v/>
      </c>
      <c r="Q8600">
        <f>IF('Loan Tape (S&amp;P)'!V8600="Yes",
    1.20,
    1.00)</f>
        <v/>
      </c>
      <c r="T8600">
        <f>LET(
    payment_method,'Loan Tape (S&amp;P)'!P8600,
    occupancy,'Loan Tape (S&amp;P)'!N8600,
    maturity_date,'Loan Tape (S&amp;P)'!L8600,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01">
      <c r="J8601">
        <f>LET(
    lien,'Loan Tape (S&amp;P)'!Q8601,
    IF(lien="First",1.00,
        IF(lien="Second",1.50,
            1.70)))</f>
        <v/>
      </c>
      <c r="K8601">
        <f>LET(
    purpose,'Loan Tape (S&amp;P)'!R8601,
    IF(purpose="Purchase",1.00,
        IF(purpose="Remortgage",1.00,
            1.20)))</f>
        <v/>
      </c>
      <c r="L8601">
        <f>LET(
    arrears_months,'Loan Tape (S&amp;P)'!AN8601,
    IF(arrears_months=0,1.00,
    IF(arrears_months=1,3.00,
    IF(arrears_months=2,5.00,
    IF(arrears_months=3,8.00,
    IF(arrears_months=4,10.00,
    IF(arrears_months=5,12.00,15.00)))))))</f>
        <v/>
      </c>
      <c r="M8601">
        <f>LET(
    seasoning_years,DATEDIF('Loan Tape (S&amp;P)'!K8601,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01">
        <f>IF(AND('Loan Tape (S&amp;P)'!U8601="Yes",
        'Loan Tape (S&amp;P)'!T8601&lt;&gt;"Yes",
        DATEDIF('Loan Tape (S&amp;P)'!K8601, TODAY(), "M")&lt;18),
    1.10,
    1.00)</f>
        <v/>
      </c>
      <c r="O8601">
        <f>IF('Loan Tape (S&amp;P)'!T8601="Yes",
    1.35,
    1.00)</f>
        <v/>
      </c>
      <c r="P8601">
        <f>IF('Loan Tape (S&amp;P)'!S8601="Yes",
    1.15,
    1.00)</f>
        <v/>
      </c>
      <c r="Q8601">
        <f>IF('Loan Tape (S&amp;P)'!V8601="Yes",
    1.20,
    1.00)</f>
        <v/>
      </c>
      <c r="T8601">
        <f>LET(
    payment_method,'Loan Tape (S&amp;P)'!P8601,
    occupancy,'Loan Tape (S&amp;P)'!N8601,
    maturity_date,'Loan Tape (S&amp;P)'!L8601,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02">
      <c r="J8602">
        <f>LET(
    lien,'Loan Tape (S&amp;P)'!Q8602,
    IF(lien="First",1.00,
        IF(lien="Second",1.50,
            1.70)))</f>
        <v/>
      </c>
      <c r="K8602">
        <f>LET(
    purpose,'Loan Tape (S&amp;P)'!R8602,
    IF(purpose="Purchase",1.00,
        IF(purpose="Remortgage",1.00,
            1.20)))</f>
        <v/>
      </c>
      <c r="L8602">
        <f>LET(
    arrears_months,'Loan Tape (S&amp;P)'!AN8602,
    IF(arrears_months=0,1.00,
    IF(arrears_months=1,3.00,
    IF(arrears_months=2,5.00,
    IF(arrears_months=3,8.00,
    IF(arrears_months=4,10.00,
    IF(arrears_months=5,12.00,15.00)))))))</f>
        <v/>
      </c>
      <c r="M8602">
        <f>LET(
    seasoning_years,DATEDIF('Loan Tape (S&amp;P)'!K8602,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02">
        <f>IF(AND('Loan Tape (S&amp;P)'!U8602="Yes",
        'Loan Tape (S&amp;P)'!T8602&lt;&gt;"Yes",
        DATEDIF('Loan Tape (S&amp;P)'!K8602, TODAY(), "M")&lt;18),
    1.10,
    1.00)</f>
        <v/>
      </c>
      <c r="O8602">
        <f>IF('Loan Tape (S&amp;P)'!T8602="Yes",
    1.35,
    1.00)</f>
        <v/>
      </c>
      <c r="P8602">
        <f>IF('Loan Tape (S&amp;P)'!S8602="Yes",
    1.15,
    1.00)</f>
        <v/>
      </c>
      <c r="Q8602">
        <f>IF('Loan Tape (S&amp;P)'!V8602="Yes",
    1.20,
    1.00)</f>
        <v/>
      </c>
      <c r="T8602">
        <f>LET(
    payment_method,'Loan Tape (S&amp;P)'!P8602,
    occupancy,'Loan Tape (S&amp;P)'!N8602,
    maturity_date,'Loan Tape (S&amp;P)'!L8602,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03">
      <c r="J8603">
        <f>LET(
    lien,'Loan Tape (S&amp;P)'!Q8603,
    IF(lien="First",1.00,
        IF(lien="Second",1.50,
            1.70)))</f>
        <v/>
      </c>
      <c r="K8603">
        <f>LET(
    purpose,'Loan Tape (S&amp;P)'!R8603,
    IF(purpose="Purchase",1.00,
        IF(purpose="Remortgage",1.00,
            1.20)))</f>
        <v/>
      </c>
      <c r="L8603">
        <f>LET(
    arrears_months,'Loan Tape (S&amp;P)'!AN8603,
    IF(arrears_months=0,1.00,
    IF(arrears_months=1,3.00,
    IF(arrears_months=2,5.00,
    IF(arrears_months=3,8.00,
    IF(arrears_months=4,10.00,
    IF(arrears_months=5,12.00,15.00)))))))</f>
        <v/>
      </c>
      <c r="M8603">
        <f>LET(
    seasoning_years,DATEDIF('Loan Tape (S&amp;P)'!K8603,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03">
        <f>IF(AND('Loan Tape (S&amp;P)'!U8603="Yes",
        'Loan Tape (S&amp;P)'!T8603&lt;&gt;"Yes",
        DATEDIF('Loan Tape (S&amp;P)'!K8603, TODAY(), "M")&lt;18),
    1.10,
    1.00)</f>
        <v/>
      </c>
      <c r="O8603">
        <f>IF('Loan Tape (S&amp;P)'!T8603="Yes",
    1.35,
    1.00)</f>
        <v/>
      </c>
      <c r="P8603">
        <f>IF('Loan Tape (S&amp;P)'!S8603="Yes",
    1.15,
    1.00)</f>
        <v/>
      </c>
      <c r="Q8603">
        <f>IF('Loan Tape (S&amp;P)'!V8603="Yes",
    1.20,
    1.00)</f>
        <v/>
      </c>
      <c r="T8603">
        <f>LET(
    payment_method,'Loan Tape (S&amp;P)'!P8603,
    occupancy,'Loan Tape (S&amp;P)'!N8603,
    maturity_date,'Loan Tape (S&amp;P)'!L8603,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04">
      <c r="J8604">
        <f>LET(
    lien,'Loan Tape (S&amp;P)'!Q8604,
    IF(lien="First",1.00,
        IF(lien="Second",1.50,
            1.70)))</f>
        <v/>
      </c>
      <c r="K8604">
        <f>LET(
    purpose,'Loan Tape (S&amp;P)'!R8604,
    IF(purpose="Purchase",1.00,
        IF(purpose="Remortgage",1.00,
            1.20)))</f>
        <v/>
      </c>
      <c r="L8604">
        <f>LET(
    arrears_months,'Loan Tape (S&amp;P)'!AN8604,
    IF(arrears_months=0,1.00,
    IF(arrears_months=1,3.00,
    IF(arrears_months=2,5.00,
    IF(arrears_months=3,8.00,
    IF(arrears_months=4,10.00,
    IF(arrears_months=5,12.00,15.00)))))))</f>
        <v/>
      </c>
      <c r="M8604">
        <f>LET(
    seasoning_years,DATEDIF('Loan Tape (S&amp;P)'!K8604,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04">
        <f>IF(AND('Loan Tape (S&amp;P)'!U8604="Yes",
        'Loan Tape (S&amp;P)'!T8604&lt;&gt;"Yes",
        DATEDIF('Loan Tape (S&amp;P)'!K8604, TODAY(), "M")&lt;18),
    1.10,
    1.00)</f>
        <v/>
      </c>
      <c r="O8604">
        <f>IF('Loan Tape (S&amp;P)'!T8604="Yes",
    1.35,
    1.00)</f>
        <v/>
      </c>
      <c r="P8604">
        <f>IF('Loan Tape (S&amp;P)'!S8604="Yes",
    1.15,
    1.00)</f>
        <v/>
      </c>
      <c r="Q8604">
        <f>IF('Loan Tape (S&amp;P)'!V8604="Yes",
    1.20,
    1.00)</f>
        <v/>
      </c>
      <c r="T8604">
        <f>LET(
    payment_method,'Loan Tape (S&amp;P)'!P8604,
    occupancy,'Loan Tape (S&amp;P)'!N8604,
    maturity_date,'Loan Tape (S&amp;P)'!L8604,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05">
      <c r="J8605">
        <f>LET(
    lien,'Loan Tape (S&amp;P)'!Q8605,
    IF(lien="First",1.00,
        IF(lien="Second",1.50,
            1.70)))</f>
        <v/>
      </c>
      <c r="K8605">
        <f>LET(
    purpose,'Loan Tape (S&amp;P)'!R8605,
    IF(purpose="Purchase",1.00,
        IF(purpose="Remortgage",1.00,
            1.20)))</f>
        <v/>
      </c>
      <c r="L8605">
        <f>LET(
    arrears_months,'Loan Tape (S&amp;P)'!AN8605,
    IF(arrears_months=0,1.00,
    IF(arrears_months=1,3.00,
    IF(arrears_months=2,5.00,
    IF(arrears_months=3,8.00,
    IF(arrears_months=4,10.00,
    IF(arrears_months=5,12.00,15.00)))))))</f>
        <v/>
      </c>
      <c r="M8605">
        <f>LET(
    seasoning_years,DATEDIF('Loan Tape (S&amp;P)'!K8605,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05">
        <f>IF(AND('Loan Tape (S&amp;P)'!U8605="Yes",
        'Loan Tape (S&amp;P)'!T8605&lt;&gt;"Yes",
        DATEDIF('Loan Tape (S&amp;P)'!K8605, TODAY(), "M")&lt;18),
    1.10,
    1.00)</f>
        <v/>
      </c>
      <c r="O8605">
        <f>IF('Loan Tape (S&amp;P)'!T8605="Yes",
    1.35,
    1.00)</f>
        <v/>
      </c>
      <c r="P8605">
        <f>IF('Loan Tape (S&amp;P)'!S8605="Yes",
    1.15,
    1.00)</f>
        <v/>
      </c>
      <c r="Q8605">
        <f>IF('Loan Tape (S&amp;P)'!V8605="Yes",
    1.20,
    1.00)</f>
        <v/>
      </c>
      <c r="T8605">
        <f>LET(
    payment_method,'Loan Tape (S&amp;P)'!P8605,
    occupancy,'Loan Tape (S&amp;P)'!N8605,
    maturity_date,'Loan Tape (S&amp;P)'!L8605,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06">
      <c r="J8606">
        <f>LET(
    lien,'Loan Tape (S&amp;P)'!Q8606,
    IF(lien="First",1.00,
        IF(lien="Second",1.50,
            1.70)))</f>
        <v/>
      </c>
      <c r="K8606">
        <f>LET(
    purpose,'Loan Tape (S&amp;P)'!R8606,
    IF(purpose="Purchase",1.00,
        IF(purpose="Remortgage",1.00,
            1.20)))</f>
        <v/>
      </c>
      <c r="L8606">
        <f>LET(
    arrears_months,'Loan Tape (S&amp;P)'!AN8606,
    IF(arrears_months=0,1.00,
    IF(arrears_months=1,3.00,
    IF(arrears_months=2,5.00,
    IF(arrears_months=3,8.00,
    IF(arrears_months=4,10.00,
    IF(arrears_months=5,12.00,15.00)))))))</f>
        <v/>
      </c>
      <c r="M8606">
        <f>LET(
    seasoning_years,DATEDIF('Loan Tape (S&amp;P)'!K8606,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06">
        <f>IF(AND('Loan Tape (S&amp;P)'!U8606="Yes",
        'Loan Tape (S&amp;P)'!T8606&lt;&gt;"Yes",
        DATEDIF('Loan Tape (S&amp;P)'!K8606, TODAY(), "M")&lt;18),
    1.10,
    1.00)</f>
        <v/>
      </c>
      <c r="O8606">
        <f>IF('Loan Tape (S&amp;P)'!T8606="Yes",
    1.35,
    1.00)</f>
        <v/>
      </c>
      <c r="P8606">
        <f>IF('Loan Tape (S&amp;P)'!S8606="Yes",
    1.15,
    1.00)</f>
        <v/>
      </c>
      <c r="Q8606">
        <f>IF('Loan Tape (S&amp;P)'!V8606="Yes",
    1.20,
    1.00)</f>
        <v/>
      </c>
      <c r="T8606">
        <f>LET(
    payment_method,'Loan Tape (S&amp;P)'!P8606,
    occupancy,'Loan Tape (S&amp;P)'!N8606,
    maturity_date,'Loan Tape (S&amp;P)'!L8606,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07">
      <c r="J8607">
        <f>LET(
    lien,'Loan Tape (S&amp;P)'!Q8607,
    IF(lien="First",1.00,
        IF(lien="Second",1.50,
            1.70)))</f>
        <v/>
      </c>
      <c r="K8607">
        <f>LET(
    purpose,'Loan Tape (S&amp;P)'!R8607,
    IF(purpose="Purchase",1.00,
        IF(purpose="Remortgage",1.00,
            1.20)))</f>
        <v/>
      </c>
      <c r="L8607">
        <f>LET(
    arrears_months,'Loan Tape (S&amp;P)'!AN8607,
    IF(arrears_months=0,1.00,
    IF(arrears_months=1,3.00,
    IF(arrears_months=2,5.00,
    IF(arrears_months=3,8.00,
    IF(arrears_months=4,10.00,
    IF(arrears_months=5,12.00,15.00)))))))</f>
        <v/>
      </c>
      <c r="M8607">
        <f>LET(
    seasoning_years,DATEDIF('Loan Tape (S&amp;P)'!K8607,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07">
        <f>IF(AND('Loan Tape (S&amp;P)'!U8607="Yes",
        'Loan Tape (S&amp;P)'!T8607&lt;&gt;"Yes",
        DATEDIF('Loan Tape (S&amp;P)'!K8607, TODAY(), "M")&lt;18),
    1.10,
    1.00)</f>
        <v/>
      </c>
      <c r="O8607">
        <f>IF('Loan Tape (S&amp;P)'!T8607="Yes",
    1.35,
    1.00)</f>
        <v/>
      </c>
      <c r="P8607">
        <f>IF('Loan Tape (S&amp;P)'!S8607="Yes",
    1.15,
    1.00)</f>
        <v/>
      </c>
      <c r="Q8607">
        <f>IF('Loan Tape (S&amp;P)'!V8607="Yes",
    1.20,
    1.00)</f>
        <v/>
      </c>
      <c r="T8607">
        <f>LET(
    payment_method,'Loan Tape (S&amp;P)'!P8607,
    occupancy,'Loan Tape (S&amp;P)'!N8607,
    maturity_date,'Loan Tape (S&amp;P)'!L8607,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08">
      <c r="J8608">
        <f>LET(
    lien,'Loan Tape (S&amp;P)'!Q8608,
    IF(lien="First",1.00,
        IF(lien="Second",1.50,
            1.70)))</f>
        <v/>
      </c>
      <c r="K8608">
        <f>LET(
    purpose,'Loan Tape (S&amp;P)'!R8608,
    IF(purpose="Purchase",1.00,
        IF(purpose="Remortgage",1.00,
            1.20)))</f>
        <v/>
      </c>
      <c r="L8608">
        <f>LET(
    arrears_months,'Loan Tape (S&amp;P)'!AN8608,
    IF(arrears_months=0,1.00,
    IF(arrears_months=1,3.00,
    IF(arrears_months=2,5.00,
    IF(arrears_months=3,8.00,
    IF(arrears_months=4,10.00,
    IF(arrears_months=5,12.00,15.00)))))))</f>
        <v/>
      </c>
      <c r="M8608">
        <f>LET(
    seasoning_years,DATEDIF('Loan Tape (S&amp;P)'!K8608,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08">
        <f>IF(AND('Loan Tape (S&amp;P)'!U8608="Yes",
        'Loan Tape (S&amp;P)'!T8608&lt;&gt;"Yes",
        DATEDIF('Loan Tape (S&amp;P)'!K8608, TODAY(), "M")&lt;18),
    1.10,
    1.00)</f>
        <v/>
      </c>
      <c r="O8608">
        <f>IF('Loan Tape (S&amp;P)'!T8608="Yes",
    1.35,
    1.00)</f>
        <v/>
      </c>
      <c r="P8608">
        <f>IF('Loan Tape (S&amp;P)'!S8608="Yes",
    1.15,
    1.00)</f>
        <v/>
      </c>
      <c r="Q8608">
        <f>IF('Loan Tape (S&amp;P)'!V8608="Yes",
    1.20,
    1.00)</f>
        <v/>
      </c>
      <c r="T8608">
        <f>LET(
    payment_method,'Loan Tape (S&amp;P)'!P8608,
    occupancy,'Loan Tape (S&amp;P)'!N8608,
    maturity_date,'Loan Tape (S&amp;P)'!L8608,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09">
      <c r="J8609">
        <f>LET(
    lien,'Loan Tape (S&amp;P)'!Q8609,
    IF(lien="First",1.00,
        IF(lien="Second",1.50,
            1.70)))</f>
        <v/>
      </c>
      <c r="K8609">
        <f>LET(
    purpose,'Loan Tape (S&amp;P)'!R8609,
    IF(purpose="Purchase",1.00,
        IF(purpose="Remortgage",1.00,
            1.20)))</f>
        <v/>
      </c>
      <c r="L8609">
        <f>LET(
    arrears_months,'Loan Tape (S&amp;P)'!AN8609,
    IF(arrears_months=0,1.00,
    IF(arrears_months=1,3.00,
    IF(arrears_months=2,5.00,
    IF(arrears_months=3,8.00,
    IF(arrears_months=4,10.00,
    IF(arrears_months=5,12.00,15.00)))))))</f>
        <v/>
      </c>
      <c r="M8609">
        <f>LET(
    seasoning_years,DATEDIF('Loan Tape (S&amp;P)'!K8609,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09">
        <f>IF(AND('Loan Tape (S&amp;P)'!U8609="Yes",
        'Loan Tape (S&amp;P)'!T8609&lt;&gt;"Yes",
        DATEDIF('Loan Tape (S&amp;P)'!K8609, TODAY(), "M")&lt;18),
    1.10,
    1.00)</f>
        <v/>
      </c>
      <c r="O8609">
        <f>IF('Loan Tape (S&amp;P)'!T8609="Yes",
    1.35,
    1.00)</f>
        <v/>
      </c>
      <c r="P8609">
        <f>IF('Loan Tape (S&amp;P)'!S8609="Yes",
    1.15,
    1.00)</f>
        <v/>
      </c>
      <c r="Q8609">
        <f>IF('Loan Tape (S&amp;P)'!V8609="Yes",
    1.20,
    1.00)</f>
        <v/>
      </c>
      <c r="T8609">
        <f>LET(
    payment_method,'Loan Tape (S&amp;P)'!P8609,
    occupancy,'Loan Tape (S&amp;P)'!N8609,
    maturity_date,'Loan Tape (S&amp;P)'!L8609,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10">
      <c r="J8610">
        <f>LET(
    lien,'Loan Tape (S&amp;P)'!Q8610,
    IF(lien="First",1.00,
        IF(lien="Second",1.50,
            1.70)))</f>
        <v/>
      </c>
      <c r="K8610">
        <f>LET(
    purpose,'Loan Tape (S&amp;P)'!R8610,
    IF(purpose="Purchase",1.00,
        IF(purpose="Remortgage",1.00,
            1.20)))</f>
        <v/>
      </c>
      <c r="L8610">
        <f>LET(
    arrears_months,'Loan Tape (S&amp;P)'!AN8610,
    IF(arrears_months=0,1.00,
    IF(arrears_months=1,3.00,
    IF(arrears_months=2,5.00,
    IF(arrears_months=3,8.00,
    IF(arrears_months=4,10.00,
    IF(arrears_months=5,12.00,15.00)))))))</f>
        <v/>
      </c>
      <c r="M8610">
        <f>LET(
    seasoning_years,DATEDIF('Loan Tape (S&amp;P)'!K8610,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10">
        <f>IF(AND('Loan Tape (S&amp;P)'!U8610="Yes",
        'Loan Tape (S&amp;P)'!T8610&lt;&gt;"Yes",
        DATEDIF('Loan Tape (S&amp;P)'!K8610, TODAY(), "M")&lt;18),
    1.10,
    1.00)</f>
        <v/>
      </c>
      <c r="O8610">
        <f>IF('Loan Tape (S&amp;P)'!T8610="Yes",
    1.35,
    1.00)</f>
        <v/>
      </c>
      <c r="P8610">
        <f>IF('Loan Tape (S&amp;P)'!S8610="Yes",
    1.15,
    1.00)</f>
        <v/>
      </c>
      <c r="Q8610">
        <f>IF('Loan Tape (S&amp;P)'!V8610="Yes",
    1.20,
    1.00)</f>
        <v/>
      </c>
      <c r="T8610">
        <f>LET(
    payment_method,'Loan Tape (S&amp;P)'!P8610,
    occupancy,'Loan Tape (S&amp;P)'!N8610,
    maturity_date,'Loan Tape (S&amp;P)'!L8610,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11">
      <c r="J8611">
        <f>LET(
    lien,'Loan Tape (S&amp;P)'!Q8611,
    IF(lien="First",1.00,
        IF(lien="Second",1.50,
            1.70)))</f>
        <v/>
      </c>
      <c r="K8611">
        <f>LET(
    purpose,'Loan Tape (S&amp;P)'!R8611,
    IF(purpose="Purchase",1.00,
        IF(purpose="Remortgage",1.00,
            1.20)))</f>
        <v/>
      </c>
      <c r="L8611">
        <f>LET(
    arrears_months,'Loan Tape (S&amp;P)'!AN8611,
    IF(arrears_months=0,1.00,
    IF(arrears_months=1,3.00,
    IF(arrears_months=2,5.00,
    IF(arrears_months=3,8.00,
    IF(arrears_months=4,10.00,
    IF(arrears_months=5,12.00,15.00)))))))</f>
        <v/>
      </c>
      <c r="M8611">
        <f>LET(
    seasoning_years,DATEDIF('Loan Tape (S&amp;P)'!K8611,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11">
        <f>IF(AND('Loan Tape (S&amp;P)'!U8611="Yes",
        'Loan Tape (S&amp;P)'!T8611&lt;&gt;"Yes",
        DATEDIF('Loan Tape (S&amp;P)'!K8611, TODAY(), "M")&lt;18),
    1.10,
    1.00)</f>
        <v/>
      </c>
      <c r="O8611">
        <f>IF('Loan Tape (S&amp;P)'!T8611="Yes",
    1.35,
    1.00)</f>
        <v/>
      </c>
      <c r="P8611">
        <f>IF('Loan Tape (S&amp;P)'!S8611="Yes",
    1.15,
    1.00)</f>
        <v/>
      </c>
      <c r="Q8611">
        <f>IF('Loan Tape (S&amp;P)'!V8611="Yes",
    1.20,
    1.00)</f>
        <v/>
      </c>
      <c r="T8611">
        <f>LET(
    payment_method,'Loan Tape (S&amp;P)'!P8611,
    occupancy,'Loan Tape (S&amp;P)'!N8611,
    maturity_date,'Loan Tape (S&amp;P)'!L8611,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12">
      <c r="J8612">
        <f>LET(
    lien,'Loan Tape (S&amp;P)'!Q8612,
    IF(lien="First",1.00,
        IF(lien="Second",1.50,
            1.70)))</f>
        <v/>
      </c>
      <c r="K8612">
        <f>LET(
    purpose,'Loan Tape (S&amp;P)'!R8612,
    IF(purpose="Purchase",1.00,
        IF(purpose="Remortgage",1.00,
            1.20)))</f>
        <v/>
      </c>
      <c r="L8612">
        <f>LET(
    arrears_months,'Loan Tape (S&amp;P)'!AN8612,
    IF(arrears_months=0,1.00,
    IF(arrears_months=1,3.00,
    IF(arrears_months=2,5.00,
    IF(arrears_months=3,8.00,
    IF(arrears_months=4,10.00,
    IF(arrears_months=5,12.00,15.00)))))))</f>
        <v/>
      </c>
      <c r="M8612">
        <f>LET(
    seasoning_years,DATEDIF('Loan Tape (S&amp;P)'!K8612,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12">
        <f>IF(AND('Loan Tape (S&amp;P)'!U8612="Yes",
        'Loan Tape (S&amp;P)'!T8612&lt;&gt;"Yes",
        DATEDIF('Loan Tape (S&amp;P)'!K8612, TODAY(), "M")&lt;18),
    1.10,
    1.00)</f>
        <v/>
      </c>
      <c r="O8612">
        <f>IF('Loan Tape (S&amp;P)'!T8612="Yes",
    1.35,
    1.00)</f>
        <v/>
      </c>
      <c r="P8612">
        <f>IF('Loan Tape (S&amp;P)'!S8612="Yes",
    1.15,
    1.00)</f>
        <v/>
      </c>
      <c r="Q8612">
        <f>IF('Loan Tape (S&amp;P)'!V8612="Yes",
    1.20,
    1.00)</f>
        <v/>
      </c>
      <c r="T8612">
        <f>LET(
    payment_method,'Loan Tape (S&amp;P)'!P8612,
    occupancy,'Loan Tape (S&amp;P)'!N8612,
    maturity_date,'Loan Tape (S&amp;P)'!L8612,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13">
      <c r="J8613">
        <f>LET(
    lien,'Loan Tape (S&amp;P)'!Q8613,
    IF(lien="First",1.00,
        IF(lien="Second",1.50,
            1.70)))</f>
        <v/>
      </c>
      <c r="K8613">
        <f>LET(
    purpose,'Loan Tape (S&amp;P)'!R8613,
    IF(purpose="Purchase",1.00,
        IF(purpose="Remortgage",1.00,
            1.20)))</f>
        <v/>
      </c>
      <c r="L8613">
        <f>LET(
    arrears_months,'Loan Tape (S&amp;P)'!AN8613,
    IF(arrears_months=0,1.00,
    IF(arrears_months=1,3.00,
    IF(arrears_months=2,5.00,
    IF(arrears_months=3,8.00,
    IF(arrears_months=4,10.00,
    IF(arrears_months=5,12.00,15.00)))))))</f>
        <v/>
      </c>
      <c r="M8613">
        <f>LET(
    seasoning_years,DATEDIF('Loan Tape (S&amp;P)'!K8613,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13">
        <f>IF(AND('Loan Tape (S&amp;P)'!U8613="Yes",
        'Loan Tape (S&amp;P)'!T8613&lt;&gt;"Yes",
        DATEDIF('Loan Tape (S&amp;P)'!K8613, TODAY(), "M")&lt;18),
    1.10,
    1.00)</f>
        <v/>
      </c>
      <c r="O8613">
        <f>IF('Loan Tape (S&amp;P)'!T8613="Yes",
    1.35,
    1.00)</f>
        <v/>
      </c>
      <c r="P8613">
        <f>IF('Loan Tape (S&amp;P)'!S8613="Yes",
    1.15,
    1.00)</f>
        <v/>
      </c>
      <c r="Q8613">
        <f>IF('Loan Tape (S&amp;P)'!V8613="Yes",
    1.20,
    1.00)</f>
        <v/>
      </c>
      <c r="T8613">
        <f>LET(
    payment_method,'Loan Tape (S&amp;P)'!P8613,
    occupancy,'Loan Tape (S&amp;P)'!N8613,
    maturity_date,'Loan Tape (S&amp;P)'!L8613,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14">
      <c r="J8614">
        <f>LET(
    lien,'Loan Tape (S&amp;P)'!Q8614,
    IF(lien="First",1.00,
        IF(lien="Second",1.50,
            1.70)))</f>
        <v/>
      </c>
      <c r="K8614">
        <f>LET(
    purpose,'Loan Tape (S&amp;P)'!R8614,
    IF(purpose="Purchase",1.00,
        IF(purpose="Remortgage",1.00,
            1.20)))</f>
        <v/>
      </c>
      <c r="L8614">
        <f>LET(
    arrears_months,'Loan Tape (S&amp;P)'!AN8614,
    IF(arrears_months=0,1.00,
    IF(arrears_months=1,3.00,
    IF(arrears_months=2,5.00,
    IF(arrears_months=3,8.00,
    IF(arrears_months=4,10.00,
    IF(arrears_months=5,12.00,15.00)))))))</f>
        <v/>
      </c>
      <c r="M8614">
        <f>LET(
    seasoning_years,DATEDIF('Loan Tape (S&amp;P)'!K8614,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14">
        <f>IF(AND('Loan Tape (S&amp;P)'!U8614="Yes",
        'Loan Tape (S&amp;P)'!T8614&lt;&gt;"Yes",
        DATEDIF('Loan Tape (S&amp;P)'!K8614, TODAY(), "M")&lt;18),
    1.10,
    1.00)</f>
        <v/>
      </c>
      <c r="O8614">
        <f>IF('Loan Tape (S&amp;P)'!T8614="Yes",
    1.35,
    1.00)</f>
        <v/>
      </c>
      <c r="P8614">
        <f>IF('Loan Tape (S&amp;P)'!S8614="Yes",
    1.15,
    1.00)</f>
        <v/>
      </c>
      <c r="Q8614">
        <f>IF('Loan Tape (S&amp;P)'!V8614="Yes",
    1.20,
    1.00)</f>
        <v/>
      </c>
      <c r="T8614">
        <f>LET(
    payment_method,'Loan Tape (S&amp;P)'!P8614,
    occupancy,'Loan Tape (S&amp;P)'!N8614,
    maturity_date,'Loan Tape (S&amp;P)'!L8614,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15">
      <c r="J8615">
        <f>LET(
    lien,'Loan Tape (S&amp;P)'!Q8615,
    IF(lien="First",1.00,
        IF(lien="Second",1.50,
            1.70)))</f>
        <v/>
      </c>
      <c r="K8615">
        <f>LET(
    purpose,'Loan Tape (S&amp;P)'!R8615,
    IF(purpose="Purchase",1.00,
        IF(purpose="Remortgage",1.00,
            1.20)))</f>
        <v/>
      </c>
      <c r="L8615">
        <f>LET(
    arrears_months,'Loan Tape (S&amp;P)'!AN8615,
    IF(arrears_months=0,1.00,
    IF(arrears_months=1,3.00,
    IF(arrears_months=2,5.00,
    IF(arrears_months=3,8.00,
    IF(arrears_months=4,10.00,
    IF(arrears_months=5,12.00,15.00)))))))</f>
        <v/>
      </c>
      <c r="M8615">
        <f>LET(
    seasoning_years,DATEDIF('Loan Tape (S&amp;P)'!K8615,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15">
        <f>IF(AND('Loan Tape (S&amp;P)'!U8615="Yes",
        'Loan Tape (S&amp;P)'!T8615&lt;&gt;"Yes",
        DATEDIF('Loan Tape (S&amp;P)'!K8615, TODAY(), "M")&lt;18),
    1.10,
    1.00)</f>
        <v/>
      </c>
      <c r="O8615">
        <f>IF('Loan Tape (S&amp;P)'!T8615="Yes",
    1.35,
    1.00)</f>
        <v/>
      </c>
      <c r="P8615">
        <f>IF('Loan Tape (S&amp;P)'!S8615="Yes",
    1.15,
    1.00)</f>
        <v/>
      </c>
      <c r="Q8615">
        <f>IF('Loan Tape (S&amp;P)'!V8615="Yes",
    1.20,
    1.00)</f>
        <v/>
      </c>
      <c r="T8615">
        <f>LET(
    payment_method,'Loan Tape (S&amp;P)'!P8615,
    occupancy,'Loan Tape (S&amp;P)'!N8615,
    maturity_date,'Loan Tape (S&amp;P)'!L8615,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16">
      <c r="J8616">
        <f>LET(
    lien,'Loan Tape (S&amp;P)'!Q8616,
    IF(lien="First",1.00,
        IF(lien="Second",1.50,
            1.70)))</f>
        <v/>
      </c>
      <c r="K8616">
        <f>LET(
    purpose,'Loan Tape (S&amp;P)'!R8616,
    IF(purpose="Purchase",1.00,
        IF(purpose="Remortgage",1.00,
            1.20)))</f>
        <v/>
      </c>
      <c r="L8616">
        <f>LET(
    arrears_months,'Loan Tape (S&amp;P)'!AN8616,
    IF(arrears_months=0,1.00,
    IF(arrears_months=1,3.00,
    IF(arrears_months=2,5.00,
    IF(arrears_months=3,8.00,
    IF(arrears_months=4,10.00,
    IF(arrears_months=5,12.00,15.00)))))))</f>
        <v/>
      </c>
      <c r="M8616">
        <f>LET(
    seasoning_years,DATEDIF('Loan Tape (S&amp;P)'!K8616,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16">
        <f>IF(AND('Loan Tape (S&amp;P)'!U8616="Yes",
        'Loan Tape (S&amp;P)'!T8616&lt;&gt;"Yes",
        DATEDIF('Loan Tape (S&amp;P)'!K8616, TODAY(), "M")&lt;18),
    1.10,
    1.00)</f>
        <v/>
      </c>
      <c r="O8616">
        <f>IF('Loan Tape (S&amp;P)'!T8616="Yes",
    1.35,
    1.00)</f>
        <v/>
      </c>
      <c r="P8616">
        <f>IF('Loan Tape (S&amp;P)'!S8616="Yes",
    1.15,
    1.00)</f>
        <v/>
      </c>
      <c r="Q8616">
        <f>IF('Loan Tape (S&amp;P)'!V8616="Yes",
    1.20,
    1.00)</f>
        <v/>
      </c>
      <c r="T8616">
        <f>LET(
    payment_method,'Loan Tape (S&amp;P)'!P8616,
    occupancy,'Loan Tape (S&amp;P)'!N8616,
    maturity_date,'Loan Tape (S&amp;P)'!L8616,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17">
      <c r="J8617">
        <f>LET(
    lien,'Loan Tape (S&amp;P)'!Q8617,
    IF(lien="First",1.00,
        IF(lien="Second",1.50,
            1.70)))</f>
        <v/>
      </c>
      <c r="K8617">
        <f>LET(
    purpose,'Loan Tape (S&amp;P)'!R8617,
    IF(purpose="Purchase",1.00,
        IF(purpose="Remortgage",1.00,
            1.20)))</f>
        <v/>
      </c>
      <c r="L8617">
        <f>LET(
    arrears_months,'Loan Tape (S&amp;P)'!AN8617,
    IF(arrears_months=0,1.00,
    IF(arrears_months=1,3.00,
    IF(arrears_months=2,5.00,
    IF(arrears_months=3,8.00,
    IF(arrears_months=4,10.00,
    IF(arrears_months=5,12.00,15.00)))))))</f>
        <v/>
      </c>
      <c r="M8617">
        <f>LET(
    seasoning_years,DATEDIF('Loan Tape (S&amp;P)'!K8617,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17">
        <f>IF(AND('Loan Tape (S&amp;P)'!U8617="Yes",
        'Loan Tape (S&amp;P)'!T8617&lt;&gt;"Yes",
        DATEDIF('Loan Tape (S&amp;P)'!K8617, TODAY(), "M")&lt;18),
    1.10,
    1.00)</f>
        <v/>
      </c>
      <c r="O8617">
        <f>IF('Loan Tape (S&amp;P)'!T8617="Yes",
    1.35,
    1.00)</f>
        <v/>
      </c>
      <c r="P8617">
        <f>IF('Loan Tape (S&amp;P)'!S8617="Yes",
    1.15,
    1.00)</f>
        <v/>
      </c>
      <c r="Q8617">
        <f>IF('Loan Tape (S&amp;P)'!V8617="Yes",
    1.20,
    1.00)</f>
        <v/>
      </c>
      <c r="T8617">
        <f>LET(
    payment_method,'Loan Tape (S&amp;P)'!P8617,
    occupancy,'Loan Tape (S&amp;P)'!N8617,
    maturity_date,'Loan Tape (S&amp;P)'!L8617,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18">
      <c r="J8618">
        <f>LET(
    lien,'Loan Tape (S&amp;P)'!Q8618,
    IF(lien="First",1.00,
        IF(lien="Second",1.50,
            1.70)))</f>
        <v/>
      </c>
      <c r="K8618">
        <f>LET(
    purpose,'Loan Tape (S&amp;P)'!R8618,
    IF(purpose="Purchase",1.00,
        IF(purpose="Remortgage",1.00,
            1.20)))</f>
        <v/>
      </c>
      <c r="L8618">
        <f>LET(
    arrears_months,'Loan Tape (S&amp;P)'!AN8618,
    IF(arrears_months=0,1.00,
    IF(arrears_months=1,3.00,
    IF(arrears_months=2,5.00,
    IF(arrears_months=3,8.00,
    IF(arrears_months=4,10.00,
    IF(arrears_months=5,12.00,15.00)))))))</f>
        <v/>
      </c>
      <c r="M8618">
        <f>LET(
    seasoning_years,DATEDIF('Loan Tape (S&amp;P)'!K8618,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18">
        <f>IF(AND('Loan Tape (S&amp;P)'!U8618="Yes",
        'Loan Tape (S&amp;P)'!T8618&lt;&gt;"Yes",
        DATEDIF('Loan Tape (S&amp;P)'!K8618, TODAY(), "M")&lt;18),
    1.10,
    1.00)</f>
        <v/>
      </c>
      <c r="O8618">
        <f>IF('Loan Tape (S&amp;P)'!T8618="Yes",
    1.35,
    1.00)</f>
        <v/>
      </c>
      <c r="P8618">
        <f>IF('Loan Tape (S&amp;P)'!S8618="Yes",
    1.15,
    1.00)</f>
        <v/>
      </c>
      <c r="Q8618">
        <f>IF('Loan Tape (S&amp;P)'!V8618="Yes",
    1.20,
    1.00)</f>
        <v/>
      </c>
      <c r="T8618">
        <f>LET(
    payment_method,'Loan Tape (S&amp;P)'!P8618,
    occupancy,'Loan Tape (S&amp;P)'!N8618,
    maturity_date,'Loan Tape (S&amp;P)'!L8618,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19">
      <c r="J8619">
        <f>LET(
    lien,'Loan Tape (S&amp;P)'!Q8619,
    IF(lien="First",1.00,
        IF(lien="Second",1.50,
            1.70)))</f>
        <v/>
      </c>
      <c r="K8619">
        <f>LET(
    purpose,'Loan Tape (S&amp;P)'!R8619,
    IF(purpose="Purchase",1.00,
        IF(purpose="Remortgage",1.00,
            1.20)))</f>
        <v/>
      </c>
      <c r="L8619">
        <f>LET(
    arrears_months,'Loan Tape (S&amp;P)'!AN8619,
    IF(arrears_months=0,1.00,
    IF(arrears_months=1,3.00,
    IF(arrears_months=2,5.00,
    IF(arrears_months=3,8.00,
    IF(arrears_months=4,10.00,
    IF(arrears_months=5,12.00,15.00)))))))</f>
        <v/>
      </c>
      <c r="M8619">
        <f>LET(
    seasoning_years,DATEDIF('Loan Tape (S&amp;P)'!K8619,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19">
        <f>IF(AND('Loan Tape (S&amp;P)'!U8619="Yes",
        'Loan Tape (S&amp;P)'!T8619&lt;&gt;"Yes",
        DATEDIF('Loan Tape (S&amp;P)'!K8619, TODAY(), "M")&lt;18),
    1.10,
    1.00)</f>
        <v/>
      </c>
      <c r="O8619">
        <f>IF('Loan Tape (S&amp;P)'!T8619="Yes",
    1.35,
    1.00)</f>
        <v/>
      </c>
      <c r="P8619">
        <f>IF('Loan Tape (S&amp;P)'!S8619="Yes",
    1.15,
    1.00)</f>
        <v/>
      </c>
      <c r="Q8619">
        <f>IF('Loan Tape (S&amp;P)'!V8619="Yes",
    1.20,
    1.00)</f>
        <v/>
      </c>
      <c r="T8619">
        <f>LET(
    payment_method,'Loan Tape (S&amp;P)'!P8619,
    occupancy,'Loan Tape (S&amp;P)'!N8619,
    maturity_date,'Loan Tape (S&amp;P)'!L8619,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20">
      <c r="J8620">
        <f>LET(
    lien,'Loan Tape (S&amp;P)'!Q8620,
    IF(lien="First",1.00,
        IF(lien="Second",1.50,
            1.70)))</f>
        <v/>
      </c>
      <c r="K8620">
        <f>LET(
    purpose,'Loan Tape (S&amp;P)'!R8620,
    IF(purpose="Purchase",1.00,
        IF(purpose="Remortgage",1.00,
            1.20)))</f>
        <v/>
      </c>
      <c r="L8620">
        <f>LET(
    arrears_months,'Loan Tape (S&amp;P)'!AN8620,
    IF(arrears_months=0,1.00,
    IF(arrears_months=1,3.00,
    IF(arrears_months=2,5.00,
    IF(arrears_months=3,8.00,
    IF(arrears_months=4,10.00,
    IF(arrears_months=5,12.00,15.00)))))))</f>
        <v/>
      </c>
      <c r="M8620">
        <f>LET(
    seasoning_years,DATEDIF('Loan Tape (S&amp;P)'!K8620,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20">
        <f>IF(AND('Loan Tape (S&amp;P)'!U8620="Yes",
        'Loan Tape (S&amp;P)'!T8620&lt;&gt;"Yes",
        DATEDIF('Loan Tape (S&amp;P)'!K8620, TODAY(), "M")&lt;18),
    1.10,
    1.00)</f>
        <v/>
      </c>
      <c r="O8620">
        <f>IF('Loan Tape (S&amp;P)'!T8620="Yes",
    1.35,
    1.00)</f>
        <v/>
      </c>
      <c r="P8620">
        <f>IF('Loan Tape (S&amp;P)'!S8620="Yes",
    1.15,
    1.00)</f>
        <v/>
      </c>
      <c r="Q8620">
        <f>IF('Loan Tape (S&amp;P)'!V8620="Yes",
    1.20,
    1.00)</f>
        <v/>
      </c>
      <c r="T8620">
        <f>LET(
    payment_method,'Loan Tape (S&amp;P)'!P8620,
    occupancy,'Loan Tape (S&amp;P)'!N8620,
    maturity_date,'Loan Tape (S&amp;P)'!L8620,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21">
      <c r="J8621">
        <f>LET(
    lien,'Loan Tape (S&amp;P)'!Q8621,
    IF(lien="First",1.00,
        IF(lien="Second",1.50,
            1.70)))</f>
        <v/>
      </c>
      <c r="K8621">
        <f>LET(
    purpose,'Loan Tape (S&amp;P)'!R8621,
    IF(purpose="Purchase",1.00,
        IF(purpose="Remortgage",1.00,
            1.20)))</f>
        <v/>
      </c>
      <c r="L8621">
        <f>LET(
    arrears_months,'Loan Tape (S&amp;P)'!AN8621,
    IF(arrears_months=0,1.00,
    IF(arrears_months=1,3.00,
    IF(arrears_months=2,5.00,
    IF(arrears_months=3,8.00,
    IF(arrears_months=4,10.00,
    IF(arrears_months=5,12.00,15.00)))))))</f>
        <v/>
      </c>
      <c r="M8621">
        <f>LET(
    seasoning_years,DATEDIF('Loan Tape (S&amp;P)'!K8621,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21">
        <f>IF(AND('Loan Tape (S&amp;P)'!U8621="Yes",
        'Loan Tape (S&amp;P)'!T8621&lt;&gt;"Yes",
        DATEDIF('Loan Tape (S&amp;P)'!K8621, TODAY(), "M")&lt;18),
    1.10,
    1.00)</f>
        <v/>
      </c>
      <c r="O8621">
        <f>IF('Loan Tape (S&amp;P)'!T8621="Yes",
    1.35,
    1.00)</f>
        <v/>
      </c>
      <c r="P8621">
        <f>IF('Loan Tape (S&amp;P)'!S8621="Yes",
    1.15,
    1.00)</f>
        <v/>
      </c>
      <c r="Q8621">
        <f>IF('Loan Tape (S&amp;P)'!V8621="Yes",
    1.20,
    1.00)</f>
        <v/>
      </c>
      <c r="T8621">
        <f>LET(
    payment_method,'Loan Tape (S&amp;P)'!P8621,
    occupancy,'Loan Tape (S&amp;P)'!N8621,
    maturity_date,'Loan Tape (S&amp;P)'!L8621,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22">
      <c r="J8622">
        <f>LET(
    lien,'Loan Tape (S&amp;P)'!Q8622,
    IF(lien="First",1.00,
        IF(lien="Second",1.50,
            1.70)))</f>
        <v/>
      </c>
      <c r="K8622">
        <f>LET(
    purpose,'Loan Tape (S&amp;P)'!R8622,
    IF(purpose="Purchase",1.00,
        IF(purpose="Remortgage",1.00,
            1.20)))</f>
        <v/>
      </c>
      <c r="L8622">
        <f>LET(
    arrears_months,'Loan Tape (S&amp;P)'!AN8622,
    IF(arrears_months=0,1.00,
    IF(arrears_months=1,3.00,
    IF(arrears_months=2,5.00,
    IF(arrears_months=3,8.00,
    IF(arrears_months=4,10.00,
    IF(arrears_months=5,12.00,15.00)))))))</f>
        <v/>
      </c>
      <c r="M8622">
        <f>LET(
    seasoning_years,DATEDIF('Loan Tape (S&amp;P)'!K8622,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22">
        <f>IF(AND('Loan Tape (S&amp;P)'!U8622="Yes",
        'Loan Tape (S&amp;P)'!T8622&lt;&gt;"Yes",
        DATEDIF('Loan Tape (S&amp;P)'!K8622, TODAY(), "M")&lt;18),
    1.10,
    1.00)</f>
        <v/>
      </c>
      <c r="O8622">
        <f>IF('Loan Tape (S&amp;P)'!T8622="Yes",
    1.35,
    1.00)</f>
        <v/>
      </c>
      <c r="P8622">
        <f>IF('Loan Tape (S&amp;P)'!S8622="Yes",
    1.15,
    1.00)</f>
        <v/>
      </c>
      <c r="Q8622">
        <f>IF('Loan Tape (S&amp;P)'!V8622="Yes",
    1.20,
    1.00)</f>
        <v/>
      </c>
      <c r="T8622">
        <f>LET(
    payment_method,'Loan Tape (S&amp;P)'!P8622,
    occupancy,'Loan Tape (S&amp;P)'!N8622,
    maturity_date,'Loan Tape (S&amp;P)'!L8622,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23">
      <c r="J8623">
        <f>LET(
    lien,'Loan Tape (S&amp;P)'!Q8623,
    IF(lien="First",1.00,
        IF(lien="Second",1.50,
            1.70)))</f>
        <v/>
      </c>
      <c r="K8623">
        <f>LET(
    purpose,'Loan Tape (S&amp;P)'!R8623,
    IF(purpose="Purchase",1.00,
        IF(purpose="Remortgage",1.00,
            1.20)))</f>
        <v/>
      </c>
      <c r="L8623">
        <f>LET(
    arrears_months,'Loan Tape (S&amp;P)'!AN8623,
    IF(arrears_months=0,1.00,
    IF(arrears_months=1,3.00,
    IF(arrears_months=2,5.00,
    IF(arrears_months=3,8.00,
    IF(arrears_months=4,10.00,
    IF(arrears_months=5,12.00,15.00)))))))</f>
        <v/>
      </c>
      <c r="M8623">
        <f>LET(
    seasoning_years,DATEDIF('Loan Tape (S&amp;P)'!K8623,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23">
        <f>IF(AND('Loan Tape (S&amp;P)'!U8623="Yes",
        'Loan Tape (S&amp;P)'!T8623&lt;&gt;"Yes",
        DATEDIF('Loan Tape (S&amp;P)'!K8623, TODAY(), "M")&lt;18),
    1.10,
    1.00)</f>
        <v/>
      </c>
      <c r="O8623">
        <f>IF('Loan Tape (S&amp;P)'!T8623="Yes",
    1.35,
    1.00)</f>
        <v/>
      </c>
      <c r="P8623">
        <f>IF('Loan Tape (S&amp;P)'!S8623="Yes",
    1.15,
    1.00)</f>
        <v/>
      </c>
      <c r="Q8623">
        <f>IF('Loan Tape (S&amp;P)'!V8623="Yes",
    1.20,
    1.00)</f>
        <v/>
      </c>
      <c r="T8623">
        <f>LET(
    payment_method,'Loan Tape (S&amp;P)'!P8623,
    occupancy,'Loan Tape (S&amp;P)'!N8623,
    maturity_date,'Loan Tape (S&amp;P)'!L8623,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24">
      <c r="J8624">
        <f>LET(
    lien,'Loan Tape (S&amp;P)'!Q8624,
    IF(lien="First",1.00,
        IF(lien="Second",1.50,
            1.70)))</f>
        <v/>
      </c>
      <c r="K8624">
        <f>LET(
    purpose,'Loan Tape (S&amp;P)'!R8624,
    IF(purpose="Purchase",1.00,
        IF(purpose="Remortgage",1.00,
            1.20)))</f>
        <v/>
      </c>
      <c r="L8624">
        <f>LET(
    arrears_months,'Loan Tape (S&amp;P)'!AN8624,
    IF(arrears_months=0,1.00,
    IF(arrears_months=1,3.00,
    IF(arrears_months=2,5.00,
    IF(arrears_months=3,8.00,
    IF(arrears_months=4,10.00,
    IF(arrears_months=5,12.00,15.00)))))))</f>
        <v/>
      </c>
      <c r="M8624">
        <f>LET(
    seasoning_years,DATEDIF('Loan Tape (S&amp;P)'!K8624,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24">
        <f>IF(AND('Loan Tape (S&amp;P)'!U8624="Yes",
        'Loan Tape (S&amp;P)'!T8624&lt;&gt;"Yes",
        DATEDIF('Loan Tape (S&amp;P)'!K8624, TODAY(), "M")&lt;18),
    1.10,
    1.00)</f>
        <v/>
      </c>
      <c r="O8624">
        <f>IF('Loan Tape (S&amp;P)'!T8624="Yes",
    1.35,
    1.00)</f>
        <v/>
      </c>
      <c r="P8624">
        <f>IF('Loan Tape (S&amp;P)'!S8624="Yes",
    1.15,
    1.00)</f>
        <v/>
      </c>
      <c r="Q8624">
        <f>IF('Loan Tape (S&amp;P)'!V8624="Yes",
    1.20,
    1.00)</f>
        <v/>
      </c>
      <c r="T8624">
        <f>LET(
    payment_method,'Loan Tape (S&amp;P)'!P8624,
    occupancy,'Loan Tape (S&amp;P)'!N8624,
    maturity_date,'Loan Tape (S&amp;P)'!L8624,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25">
      <c r="J8625">
        <f>LET(
    lien,'Loan Tape (S&amp;P)'!Q8625,
    IF(lien="First",1.00,
        IF(lien="Second",1.50,
            1.70)))</f>
        <v/>
      </c>
      <c r="K8625">
        <f>LET(
    purpose,'Loan Tape (S&amp;P)'!R8625,
    IF(purpose="Purchase",1.00,
        IF(purpose="Remortgage",1.00,
            1.20)))</f>
        <v/>
      </c>
      <c r="L8625">
        <f>LET(
    arrears_months,'Loan Tape (S&amp;P)'!AN8625,
    IF(arrears_months=0,1.00,
    IF(arrears_months=1,3.00,
    IF(arrears_months=2,5.00,
    IF(arrears_months=3,8.00,
    IF(arrears_months=4,10.00,
    IF(arrears_months=5,12.00,15.00)))))))</f>
        <v/>
      </c>
      <c r="M8625">
        <f>LET(
    seasoning_years,DATEDIF('Loan Tape (S&amp;P)'!K8625,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25">
        <f>IF(AND('Loan Tape (S&amp;P)'!U8625="Yes",
        'Loan Tape (S&amp;P)'!T8625&lt;&gt;"Yes",
        DATEDIF('Loan Tape (S&amp;P)'!K8625, TODAY(), "M")&lt;18),
    1.10,
    1.00)</f>
        <v/>
      </c>
      <c r="O8625">
        <f>IF('Loan Tape (S&amp;P)'!T8625="Yes",
    1.35,
    1.00)</f>
        <v/>
      </c>
      <c r="P8625">
        <f>IF('Loan Tape (S&amp;P)'!S8625="Yes",
    1.15,
    1.00)</f>
        <v/>
      </c>
      <c r="Q8625">
        <f>IF('Loan Tape (S&amp;P)'!V8625="Yes",
    1.20,
    1.00)</f>
        <v/>
      </c>
      <c r="T8625">
        <f>LET(
    payment_method,'Loan Tape (S&amp;P)'!P8625,
    occupancy,'Loan Tape (S&amp;P)'!N8625,
    maturity_date,'Loan Tape (S&amp;P)'!L8625,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26">
      <c r="J8626">
        <f>LET(
    lien,'Loan Tape (S&amp;P)'!Q8626,
    IF(lien="First",1.00,
        IF(lien="Second",1.50,
            1.70)))</f>
        <v/>
      </c>
      <c r="K8626">
        <f>LET(
    purpose,'Loan Tape (S&amp;P)'!R8626,
    IF(purpose="Purchase",1.00,
        IF(purpose="Remortgage",1.00,
            1.20)))</f>
        <v/>
      </c>
      <c r="L8626">
        <f>LET(
    arrears_months,'Loan Tape (S&amp;P)'!AN8626,
    IF(arrears_months=0,1.00,
    IF(arrears_months=1,3.00,
    IF(arrears_months=2,5.00,
    IF(arrears_months=3,8.00,
    IF(arrears_months=4,10.00,
    IF(arrears_months=5,12.00,15.00)))))))</f>
        <v/>
      </c>
      <c r="M8626">
        <f>LET(
    seasoning_years,DATEDIF('Loan Tape (S&amp;P)'!K8626,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26">
        <f>IF(AND('Loan Tape (S&amp;P)'!U8626="Yes",
        'Loan Tape (S&amp;P)'!T8626&lt;&gt;"Yes",
        DATEDIF('Loan Tape (S&amp;P)'!K8626, TODAY(), "M")&lt;18),
    1.10,
    1.00)</f>
        <v/>
      </c>
      <c r="O8626">
        <f>IF('Loan Tape (S&amp;P)'!T8626="Yes",
    1.35,
    1.00)</f>
        <v/>
      </c>
      <c r="P8626">
        <f>IF('Loan Tape (S&amp;P)'!S8626="Yes",
    1.15,
    1.00)</f>
        <v/>
      </c>
      <c r="Q8626">
        <f>IF('Loan Tape (S&amp;P)'!V8626="Yes",
    1.20,
    1.00)</f>
        <v/>
      </c>
      <c r="T8626">
        <f>LET(
    payment_method,'Loan Tape (S&amp;P)'!P8626,
    occupancy,'Loan Tape (S&amp;P)'!N8626,
    maturity_date,'Loan Tape (S&amp;P)'!L8626,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27">
      <c r="J8627">
        <f>LET(
    lien,'Loan Tape (S&amp;P)'!Q8627,
    IF(lien="First",1.00,
        IF(lien="Second",1.50,
            1.70)))</f>
        <v/>
      </c>
      <c r="K8627">
        <f>LET(
    purpose,'Loan Tape (S&amp;P)'!R8627,
    IF(purpose="Purchase",1.00,
        IF(purpose="Remortgage",1.00,
            1.20)))</f>
        <v/>
      </c>
      <c r="L8627">
        <f>LET(
    arrears_months,'Loan Tape (S&amp;P)'!AN8627,
    IF(arrears_months=0,1.00,
    IF(arrears_months=1,3.00,
    IF(arrears_months=2,5.00,
    IF(arrears_months=3,8.00,
    IF(arrears_months=4,10.00,
    IF(arrears_months=5,12.00,15.00)))))))</f>
        <v/>
      </c>
      <c r="M8627">
        <f>LET(
    seasoning_years,DATEDIF('Loan Tape (S&amp;P)'!K8627,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27">
        <f>IF(AND('Loan Tape (S&amp;P)'!U8627="Yes",
        'Loan Tape (S&amp;P)'!T8627&lt;&gt;"Yes",
        DATEDIF('Loan Tape (S&amp;P)'!K8627, TODAY(), "M")&lt;18),
    1.10,
    1.00)</f>
        <v/>
      </c>
      <c r="O8627">
        <f>IF('Loan Tape (S&amp;P)'!T8627="Yes",
    1.35,
    1.00)</f>
        <v/>
      </c>
      <c r="P8627">
        <f>IF('Loan Tape (S&amp;P)'!S8627="Yes",
    1.15,
    1.00)</f>
        <v/>
      </c>
      <c r="Q8627">
        <f>IF('Loan Tape (S&amp;P)'!V8627="Yes",
    1.20,
    1.00)</f>
        <v/>
      </c>
      <c r="T8627">
        <f>LET(
    payment_method,'Loan Tape (S&amp;P)'!P8627,
    occupancy,'Loan Tape (S&amp;P)'!N8627,
    maturity_date,'Loan Tape (S&amp;P)'!L8627,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28">
      <c r="J8628">
        <f>LET(
    lien,'Loan Tape (S&amp;P)'!Q8628,
    IF(lien="First",1.00,
        IF(lien="Second",1.50,
            1.70)))</f>
        <v/>
      </c>
      <c r="K8628">
        <f>LET(
    purpose,'Loan Tape (S&amp;P)'!R8628,
    IF(purpose="Purchase",1.00,
        IF(purpose="Remortgage",1.00,
            1.20)))</f>
        <v/>
      </c>
      <c r="L8628">
        <f>LET(
    arrears_months,'Loan Tape (S&amp;P)'!AN8628,
    IF(arrears_months=0,1.00,
    IF(arrears_months=1,3.00,
    IF(arrears_months=2,5.00,
    IF(arrears_months=3,8.00,
    IF(arrears_months=4,10.00,
    IF(arrears_months=5,12.00,15.00)))))))</f>
        <v/>
      </c>
      <c r="M8628">
        <f>LET(
    seasoning_years,DATEDIF('Loan Tape (S&amp;P)'!K8628,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28">
        <f>IF(AND('Loan Tape (S&amp;P)'!U8628="Yes",
        'Loan Tape (S&amp;P)'!T8628&lt;&gt;"Yes",
        DATEDIF('Loan Tape (S&amp;P)'!K8628, TODAY(), "M")&lt;18),
    1.10,
    1.00)</f>
        <v/>
      </c>
      <c r="O8628">
        <f>IF('Loan Tape (S&amp;P)'!T8628="Yes",
    1.35,
    1.00)</f>
        <v/>
      </c>
      <c r="P8628">
        <f>IF('Loan Tape (S&amp;P)'!S8628="Yes",
    1.15,
    1.00)</f>
        <v/>
      </c>
      <c r="Q8628">
        <f>IF('Loan Tape (S&amp;P)'!V8628="Yes",
    1.20,
    1.00)</f>
        <v/>
      </c>
      <c r="T8628">
        <f>LET(
    payment_method,'Loan Tape (S&amp;P)'!P8628,
    occupancy,'Loan Tape (S&amp;P)'!N8628,
    maturity_date,'Loan Tape (S&amp;P)'!L8628,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29">
      <c r="J8629">
        <f>LET(
    lien,'Loan Tape (S&amp;P)'!Q8629,
    IF(lien="First",1.00,
        IF(lien="Second",1.50,
            1.70)))</f>
        <v/>
      </c>
      <c r="K8629">
        <f>LET(
    purpose,'Loan Tape (S&amp;P)'!R8629,
    IF(purpose="Purchase",1.00,
        IF(purpose="Remortgage",1.00,
            1.20)))</f>
        <v/>
      </c>
      <c r="L8629">
        <f>LET(
    arrears_months,'Loan Tape (S&amp;P)'!AN8629,
    IF(arrears_months=0,1.00,
    IF(arrears_months=1,3.00,
    IF(arrears_months=2,5.00,
    IF(arrears_months=3,8.00,
    IF(arrears_months=4,10.00,
    IF(arrears_months=5,12.00,15.00)))))))</f>
        <v/>
      </c>
      <c r="M8629">
        <f>LET(
    seasoning_years,DATEDIF('Loan Tape (S&amp;P)'!K8629,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29">
        <f>IF(AND('Loan Tape (S&amp;P)'!U8629="Yes",
        'Loan Tape (S&amp;P)'!T8629&lt;&gt;"Yes",
        DATEDIF('Loan Tape (S&amp;P)'!K8629, TODAY(), "M")&lt;18),
    1.10,
    1.00)</f>
        <v/>
      </c>
      <c r="O8629">
        <f>IF('Loan Tape (S&amp;P)'!T8629="Yes",
    1.35,
    1.00)</f>
        <v/>
      </c>
      <c r="P8629">
        <f>IF('Loan Tape (S&amp;P)'!S8629="Yes",
    1.15,
    1.00)</f>
        <v/>
      </c>
      <c r="Q8629">
        <f>IF('Loan Tape (S&amp;P)'!V8629="Yes",
    1.20,
    1.00)</f>
        <v/>
      </c>
      <c r="T8629">
        <f>LET(
    payment_method,'Loan Tape (S&amp;P)'!P8629,
    occupancy,'Loan Tape (S&amp;P)'!N8629,
    maturity_date,'Loan Tape (S&amp;P)'!L8629,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30">
      <c r="J8630">
        <f>LET(
    lien,'Loan Tape (S&amp;P)'!Q8630,
    IF(lien="First",1.00,
        IF(lien="Second",1.50,
            1.70)))</f>
        <v/>
      </c>
      <c r="K8630">
        <f>LET(
    purpose,'Loan Tape (S&amp;P)'!R8630,
    IF(purpose="Purchase",1.00,
        IF(purpose="Remortgage",1.00,
            1.20)))</f>
        <v/>
      </c>
      <c r="L8630">
        <f>LET(
    arrears_months,'Loan Tape (S&amp;P)'!AN8630,
    IF(arrears_months=0,1.00,
    IF(arrears_months=1,3.00,
    IF(arrears_months=2,5.00,
    IF(arrears_months=3,8.00,
    IF(arrears_months=4,10.00,
    IF(arrears_months=5,12.00,15.00)))))))</f>
        <v/>
      </c>
      <c r="M8630">
        <f>LET(
    seasoning_years,DATEDIF('Loan Tape (S&amp;P)'!K8630,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30">
        <f>IF(AND('Loan Tape (S&amp;P)'!U8630="Yes",
        'Loan Tape (S&amp;P)'!T8630&lt;&gt;"Yes",
        DATEDIF('Loan Tape (S&amp;P)'!K8630, TODAY(), "M")&lt;18),
    1.10,
    1.00)</f>
        <v/>
      </c>
      <c r="O8630">
        <f>IF('Loan Tape (S&amp;P)'!T8630="Yes",
    1.35,
    1.00)</f>
        <v/>
      </c>
      <c r="P8630">
        <f>IF('Loan Tape (S&amp;P)'!S8630="Yes",
    1.15,
    1.00)</f>
        <v/>
      </c>
      <c r="Q8630">
        <f>IF('Loan Tape (S&amp;P)'!V8630="Yes",
    1.20,
    1.00)</f>
        <v/>
      </c>
      <c r="T8630">
        <f>LET(
    payment_method,'Loan Tape (S&amp;P)'!P8630,
    occupancy,'Loan Tape (S&amp;P)'!N8630,
    maturity_date,'Loan Tape (S&amp;P)'!L8630,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31">
      <c r="J8631">
        <f>LET(
    lien,'Loan Tape (S&amp;P)'!Q8631,
    IF(lien="First",1.00,
        IF(lien="Second",1.50,
            1.70)))</f>
        <v/>
      </c>
      <c r="K8631">
        <f>LET(
    purpose,'Loan Tape (S&amp;P)'!R8631,
    IF(purpose="Purchase",1.00,
        IF(purpose="Remortgage",1.00,
            1.20)))</f>
        <v/>
      </c>
      <c r="L8631">
        <f>LET(
    arrears_months,'Loan Tape (S&amp;P)'!AN8631,
    IF(arrears_months=0,1.00,
    IF(arrears_months=1,3.00,
    IF(arrears_months=2,5.00,
    IF(arrears_months=3,8.00,
    IF(arrears_months=4,10.00,
    IF(arrears_months=5,12.00,15.00)))))))</f>
        <v/>
      </c>
      <c r="M8631">
        <f>LET(
    seasoning_years,DATEDIF('Loan Tape (S&amp;P)'!K8631,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31">
        <f>IF(AND('Loan Tape (S&amp;P)'!U8631="Yes",
        'Loan Tape (S&amp;P)'!T8631&lt;&gt;"Yes",
        DATEDIF('Loan Tape (S&amp;P)'!K8631, TODAY(), "M")&lt;18),
    1.10,
    1.00)</f>
        <v/>
      </c>
      <c r="O8631">
        <f>IF('Loan Tape (S&amp;P)'!T8631="Yes",
    1.35,
    1.00)</f>
        <v/>
      </c>
      <c r="P8631">
        <f>IF('Loan Tape (S&amp;P)'!S8631="Yes",
    1.15,
    1.00)</f>
        <v/>
      </c>
      <c r="Q8631">
        <f>IF('Loan Tape (S&amp;P)'!V8631="Yes",
    1.20,
    1.00)</f>
        <v/>
      </c>
      <c r="T8631">
        <f>LET(
    payment_method,'Loan Tape (S&amp;P)'!P8631,
    occupancy,'Loan Tape (S&amp;P)'!N8631,
    maturity_date,'Loan Tape (S&amp;P)'!L8631,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32">
      <c r="J8632">
        <f>LET(
    lien,'Loan Tape (S&amp;P)'!Q8632,
    IF(lien="First",1.00,
        IF(lien="Second",1.50,
            1.70)))</f>
        <v/>
      </c>
      <c r="K8632">
        <f>LET(
    purpose,'Loan Tape (S&amp;P)'!R8632,
    IF(purpose="Purchase",1.00,
        IF(purpose="Remortgage",1.00,
            1.20)))</f>
        <v/>
      </c>
      <c r="L8632">
        <f>LET(
    arrears_months,'Loan Tape (S&amp;P)'!AN8632,
    IF(arrears_months=0,1.00,
    IF(arrears_months=1,3.00,
    IF(arrears_months=2,5.00,
    IF(arrears_months=3,8.00,
    IF(arrears_months=4,10.00,
    IF(arrears_months=5,12.00,15.00)))))))</f>
        <v/>
      </c>
      <c r="M8632">
        <f>LET(
    seasoning_years,DATEDIF('Loan Tape (S&amp;P)'!K8632,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32">
        <f>IF(AND('Loan Tape (S&amp;P)'!U8632="Yes",
        'Loan Tape (S&amp;P)'!T8632&lt;&gt;"Yes",
        DATEDIF('Loan Tape (S&amp;P)'!K8632, TODAY(), "M")&lt;18),
    1.10,
    1.00)</f>
        <v/>
      </c>
      <c r="O8632">
        <f>IF('Loan Tape (S&amp;P)'!T8632="Yes",
    1.35,
    1.00)</f>
        <v/>
      </c>
      <c r="P8632">
        <f>IF('Loan Tape (S&amp;P)'!S8632="Yes",
    1.15,
    1.00)</f>
        <v/>
      </c>
      <c r="Q8632">
        <f>IF('Loan Tape (S&amp;P)'!V8632="Yes",
    1.20,
    1.00)</f>
        <v/>
      </c>
      <c r="T8632">
        <f>LET(
    payment_method,'Loan Tape (S&amp;P)'!P8632,
    occupancy,'Loan Tape (S&amp;P)'!N8632,
    maturity_date,'Loan Tape (S&amp;P)'!L8632,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33">
      <c r="J8633">
        <f>LET(
    lien,'Loan Tape (S&amp;P)'!Q8633,
    IF(lien="First",1.00,
        IF(lien="Second",1.50,
            1.70)))</f>
        <v/>
      </c>
      <c r="K8633">
        <f>LET(
    purpose,'Loan Tape (S&amp;P)'!R8633,
    IF(purpose="Purchase",1.00,
        IF(purpose="Remortgage",1.00,
            1.20)))</f>
        <v/>
      </c>
      <c r="L8633">
        <f>LET(
    arrears_months,'Loan Tape (S&amp;P)'!AN8633,
    IF(arrears_months=0,1.00,
    IF(arrears_months=1,3.00,
    IF(arrears_months=2,5.00,
    IF(arrears_months=3,8.00,
    IF(arrears_months=4,10.00,
    IF(arrears_months=5,12.00,15.00)))))))</f>
        <v/>
      </c>
      <c r="M8633">
        <f>LET(
    seasoning_years,DATEDIF('Loan Tape (S&amp;P)'!K8633,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33">
        <f>IF(AND('Loan Tape (S&amp;P)'!U8633="Yes",
        'Loan Tape (S&amp;P)'!T8633&lt;&gt;"Yes",
        DATEDIF('Loan Tape (S&amp;P)'!K8633, TODAY(), "M")&lt;18),
    1.10,
    1.00)</f>
        <v/>
      </c>
      <c r="O8633">
        <f>IF('Loan Tape (S&amp;P)'!T8633="Yes",
    1.35,
    1.00)</f>
        <v/>
      </c>
      <c r="P8633">
        <f>IF('Loan Tape (S&amp;P)'!S8633="Yes",
    1.15,
    1.00)</f>
        <v/>
      </c>
      <c r="Q8633">
        <f>IF('Loan Tape (S&amp;P)'!V8633="Yes",
    1.20,
    1.00)</f>
        <v/>
      </c>
      <c r="T8633">
        <f>LET(
    payment_method,'Loan Tape (S&amp;P)'!P8633,
    occupancy,'Loan Tape (S&amp;P)'!N8633,
    maturity_date,'Loan Tape (S&amp;P)'!L8633,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34">
      <c r="J8634">
        <f>LET(
    lien,'Loan Tape (S&amp;P)'!Q8634,
    IF(lien="First",1.00,
        IF(lien="Second",1.50,
            1.70)))</f>
        <v/>
      </c>
      <c r="K8634">
        <f>LET(
    purpose,'Loan Tape (S&amp;P)'!R8634,
    IF(purpose="Purchase",1.00,
        IF(purpose="Remortgage",1.00,
            1.20)))</f>
        <v/>
      </c>
      <c r="L8634">
        <f>LET(
    arrears_months,'Loan Tape (S&amp;P)'!AN8634,
    IF(arrears_months=0,1.00,
    IF(arrears_months=1,3.00,
    IF(arrears_months=2,5.00,
    IF(arrears_months=3,8.00,
    IF(arrears_months=4,10.00,
    IF(arrears_months=5,12.00,15.00)))))))</f>
        <v/>
      </c>
      <c r="M8634">
        <f>LET(
    seasoning_years,DATEDIF('Loan Tape (S&amp;P)'!K8634,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34">
        <f>IF(AND('Loan Tape (S&amp;P)'!U8634="Yes",
        'Loan Tape (S&amp;P)'!T8634&lt;&gt;"Yes",
        DATEDIF('Loan Tape (S&amp;P)'!K8634, TODAY(), "M")&lt;18),
    1.10,
    1.00)</f>
        <v/>
      </c>
      <c r="O8634">
        <f>IF('Loan Tape (S&amp;P)'!T8634="Yes",
    1.35,
    1.00)</f>
        <v/>
      </c>
      <c r="P8634">
        <f>IF('Loan Tape (S&amp;P)'!S8634="Yes",
    1.15,
    1.00)</f>
        <v/>
      </c>
      <c r="Q8634">
        <f>IF('Loan Tape (S&amp;P)'!V8634="Yes",
    1.20,
    1.00)</f>
        <v/>
      </c>
      <c r="T8634">
        <f>LET(
    payment_method,'Loan Tape (S&amp;P)'!P8634,
    occupancy,'Loan Tape (S&amp;P)'!N8634,
    maturity_date,'Loan Tape (S&amp;P)'!L8634,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35">
      <c r="J8635">
        <f>LET(
    lien,'Loan Tape (S&amp;P)'!Q8635,
    IF(lien="First",1.00,
        IF(lien="Second",1.50,
            1.70)))</f>
        <v/>
      </c>
      <c r="K8635">
        <f>LET(
    purpose,'Loan Tape (S&amp;P)'!R8635,
    IF(purpose="Purchase",1.00,
        IF(purpose="Remortgage",1.00,
            1.20)))</f>
        <v/>
      </c>
      <c r="L8635">
        <f>LET(
    arrears_months,'Loan Tape (S&amp;P)'!AN8635,
    IF(arrears_months=0,1.00,
    IF(arrears_months=1,3.00,
    IF(arrears_months=2,5.00,
    IF(arrears_months=3,8.00,
    IF(arrears_months=4,10.00,
    IF(arrears_months=5,12.00,15.00)))))))</f>
        <v/>
      </c>
      <c r="M8635">
        <f>LET(
    seasoning_years,DATEDIF('Loan Tape (S&amp;P)'!K8635,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35">
        <f>IF(AND('Loan Tape (S&amp;P)'!U8635="Yes",
        'Loan Tape (S&amp;P)'!T8635&lt;&gt;"Yes",
        DATEDIF('Loan Tape (S&amp;P)'!K8635, TODAY(), "M")&lt;18),
    1.10,
    1.00)</f>
        <v/>
      </c>
      <c r="O8635">
        <f>IF('Loan Tape (S&amp;P)'!T8635="Yes",
    1.35,
    1.00)</f>
        <v/>
      </c>
      <c r="P8635">
        <f>IF('Loan Tape (S&amp;P)'!S8635="Yes",
    1.15,
    1.00)</f>
        <v/>
      </c>
      <c r="Q8635">
        <f>IF('Loan Tape (S&amp;P)'!V8635="Yes",
    1.20,
    1.00)</f>
        <v/>
      </c>
      <c r="T8635">
        <f>LET(
    payment_method,'Loan Tape (S&amp;P)'!P8635,
    occupancy,'Loan Tape (S&amp;P)'!N8635,
    maturity_date,'Loan Tape (S&amp;P)'!L8635,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36">
      <c r="J8636">
        <f>LET(
    lien,'Loan Tape (S&amp;P)'!Q8636,
    IF(lien="First",1.00,
        IF(lien="Second",1.50,
            1.70)))</f>
        <v/>
      </c>
      <c r="K8636">
        <f>LET(
    purpose,'Loan Tape (S&amp;P)'!R8636,
    IF(purpose="Purchase",1.00,
        IF(purpose="Remortgage",1.00,
            1.20)))</f>
        <v/>
      </c>
      <c r="L8636">
        <f>LET(
    arrears_months,'Loan Tape (S&amp;P)'!AN8636,
    IF(arrears_months=0,1.00,
    IF(arrears_months=1,3.00,
    IF(arrears_months=2,5.00,
    IF(arrears_months=3,8.00,
    IF(arrears_months=4,10.00,
    IF(arrears_months=5,12.00,15.00)))))))</f>
        <v/>
      </c>
      <c r="M8636">
        <f>LET(
    seasoning_years,DATEDIF('Loan Tape (S&amp;P)'!K8636,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36">
        <f>IF(AND('Loan Tape (S&amp;P)'!U8636="Yes",
        'Loan Tape (S&amp;P)'!T8636&lt;&gt;"Yes",
        DATEDIF('Loan Tape (S&amp;P)'!K8636, TODAY(), "M")&lt;18),
    1.10,
    1.00)</f>
        <v/>
      </c>
      <c r="O8636">
        <f>IF('Loan Tape (S&amp;P)'!T8636="Yes",
    1.35,
    1.00)</f>
        <v/>
      </c>
      <c r="P8636">
        <f>IF('Loan Tape (S&amp;P)'!S8636="Yes",
    1.15,
    1.00)</f>
        <v/>
      </c>
      <c r="Q8636">
        <f>IF('Loan Tape (S&amp;P)'!V8636="Yes",
    1.20,
    1.00)</f>
        <v/>
      </c>
      <c r="T8636">
        <f>LET(
    payment_method,'Loan Tape (S&amp;P)'!P8636,
    occupancy,'Loan Tape (S&amp;P)'!N8636,
    maturity_date,'Loan Tape (S&amp;P)'!L8636,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37">
      <c r="J8637">
        <f>LET(
    lien,'Loan Tape (S&amp;P)'!Q8637,
    IF(lien="First",1.00,
        IF(lien="Second",1.50,
            1.70)))</f>
        <v/>
      </c>
      <c r="K8637">
        <f>LET(
    purpose,'Loan Tape (S&amp;P)'!R8637,
    IF(purpose="Purchase",1.00,
        IF(purpose="Remortgage",1.00,
            1.20)))</f>
        <v/>
      </c>
      <c r="L8637">
        <f>LET(
    arrears_months,'Loan Tape (S&amp;P)'!AN8637,
    IF(arrears_months=0,1.00,
    IF(arrears_months=1,3.00,
    IF(arrears_months=2,5.00,
    IF(arrears_months=3,8.00,
    IF(arrears_months=4,10.00,
    IF(arrears_months=5,12.00,15.00)))))))</f>
        <v/>
      </c>
      <c r="M8637">
        <f>LET(
    seasoning_years,DATEDIF('Loan Tape (S&amp;P)'!K8637,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37">
        <f>IF(AND('Loan Tape (S&amp;P)'!U8637="Yes",
        'Loan Tape (S&amp;P)'!T8637&lt;&gt;"Yes",
        DATEDIF('Loan Tape (S&amp;P)'!K8637, TODAY(), "M")&lt;18),
    1.10,
    1.00)</f>
        <v/>
      </c>
      <c r="O8637">
        <f>IF('Loan Tape (S&amp;P)'!T8637="Yes",
    1.35,
    1.00)</f>
        <v/>
      </c>
      <c r="P8637">
        <f>IF('Loan Tape (S&amp;P)'!S8637="Yes",
    1.15,
    1.00)</f>
        <v/>
      </c>
      <c r="Q8637">
        <f>IF('Loan Tape (S&amp;P)'!V8637="Yes",
    1.20,
    1.00)</f>
        <v/>
      </c>
      <c r="T8637">
        <f>LET(
    payment_method,'Loan Tape (S&amp;P)'!P8637,
    occupancy,'Loan Tape (S&amp;P)'!N8637,
    maturity_date,'Loan Tape (S&amp;P)'!L8637,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38">
      <c r="J8638">
        <f>LET(
    lien,'Loan Tape (S&amp;P)'!Q8638,
    IF(lien="First",1.00,
        IF(lien="Second",1.50,
            1.70)))</f>
        <v/>
      </c>
      <c r="K8638">
        <f>LET(
    purpose,'Loan Tape (S&amp;P)'!R8638,
    IF(purpose="Purchase",1.00,
        IF(purpose="Remortgage",1.00,
            1.20)))</f>
        <v/>
      </c>
      <c r="L8638">
        <f>LET(
    arrears_months,'Loan Tape (S&amp;P)'!AN8638,
    IF(arrears_months=0,1.00,
    IF(arrears_months=1,3.00,
    IF(arrears_months=2,5.00,
    IF(arrears_months=3,8.00,
    IF(arrears_months=4,10.00,
    IF(arrears_months=5,12.00,15.00)))))))</f>
        <v/>
      </c>
      <c r="M8638">
        <f>LET(
    seasoning_years,DATEDIF('Loan Tape (S&amp;P)'!K8638,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38">
        <f>IF(AND('Loan Tape (S&amp;P)'!U8638="Yes",
        'Loan Tape (S&amp;P)'!T8638&lt;&gt;"Yes",
        DATEDIF('Loan Tape (S&amp;P)'!K8638, TODAY(), "M")&lt;18),
    1.10,
    1.00)</f>
        <v/>
      </c>
      <c r="O8638">
        <f>IF('Loan Tape (S&amp;P)'!T8638="Yes",
    1.35,
    1.00)</f>
        <v/>
      </c>
      <c r="P8638">
        <f>IF('Loan Tape (S&amp;P)'!S8638="Yes",
    1.15,
    1.00)</f>
        <v/>
      </c>
      <c r="Q8638">
        <f>IF('Loan Tape (S&amp;P)'!V8638="Yes",
    1.20,
    1.00)</f>
        <v/>
      </c>
      <c r="T8638">
        <f>LET(
    payment_method,'Loan Tape (S&amp;P)'!P8638,
    occupancy,'Loan Tape (S&amp;P)'!N8638,
    maturity_date,'Loan Tape (S&amp;P)'!L8638,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39">
      <c r="J8639">
        <f>LET(
    lien,'Loan Tape (S&amp;P)'!Q8639,
    IF(lien="First",1.00,
        IF(lien="Second",1.50,
            1.70)))</f>
        <v/>
      </c>
      <c r="K8639">
        <f>LET(
    purpose,'Loan Tape (S&amp;P)'!R8639,
    IF(purpose="Purchase",1.00,
        IF(purpose="Remortgage",1.00,
            1.20)))</f>
        <v/>
      </c>
      <c r="L8639">
        <f>LET(
    arrears_months,'Loan Tape (S&amp;P)'!AN8639,
    IF(arrears_months=0,1.00,
    IF(arrears_months=1,3.00,
    IF(arrears_months=2,5.00,
    IF(arrears_months=3,8.00,
    IF(arrears_months=4,10.00,
    IF(arrears_months=5,12.00,15.00)))))))</f>
        <v/>
      </c>
      <c r="M8639">
        <f>LET(
    seasoning_years,DATEDIF('Loan Tape (S&amp;P)'!K8639,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39">
        <f>IF(AND('Loan Tape (S&amp;P)'!U8639="Yes",
        'Loan Tape (S&amp;P)'!T8639&lt;&gt;"Yes",
        DATEDIF('Loan Tape (S&amp;P)'!K8639, TODAY(), "M")&lt;18),
    1.10,
    1.00)</f>
        <v/>
      </c>
      <c r="O8639">
        <f>IF('Loan Tape (S&amp;P)'!T8639="Yes",
    1.35,
    1.00)</f>
        <v/>
      </c>
      <c r="P8639">
        <f>IF('Loan Tape (S&amp;P)'!S8639="Yes",
    1.15,
    1.00)</f>
        <v/>
      </c>
      <c r="Q8639">
        <f>IF('Loan Tape (S&amp;P)'!V8639="Yes",
    1.20,
    1.00)</f>
        <v/>
      </c>
      <c r="T8639">
        <f>LET(
    payment_method,'Loan Tape (S&amp;P)'!P8639,
    occupancy,'Loan Tape (S&amp;P)'!N8639,
    maturity_date,'Loan Tape (S&amp;P)'!L8639,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40">
      <c r="J8640">
        <f>LET(
    lien,'Loan Tape (S&amp;P)'!Q8640,
    IF(lien="First",1.00,
        IF(lien="Second",1.50,
            1.70)))</f>
        <v/>
      </c>
      <c r="K8640">
        <f>LET(
    purpose,'Loan Tape (S&amp;P)'!R8640,
    IF(purpose="Purchase",1.00,
        IF(purpose="Remortgage",1.00,
            1.20)))</f>
        <v/>
      </c>
      <c r="L8640">
        <f>LET(
    arrears_months,'Loan Tape (S&amp;P)'!AN8640,
    IF(arrears_months=0,1.00,
    IF(arrears_months=1,3.00,
    IF(arrears_months=2,5.00,
    IF(arrears_months=3,8.00,
    IF(arrears_months=4,10.00,
    IF(arrears_months=5,12.00,15.00)))))))</f>
        <v/>
      </c>
      <c r="M8640">
        <f>LET(
    seasoning_years,DATEDIF('Loan Tape (S&amp;P)'!K8640,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40">
        <f>IF(AND('Loan Tape (S&amp;P)'!U8640="Yes",
        'Loan Tape (S&amp;P)'!T8640&lt;&gt;"Yes",
        DATEDIF('Loan Tape (S&amp;P)'!K8640, TODAY(), "M")&lt;18),
    1.10,
    1.00)</f>
        <v/>
      </c>
      <c r="O8640">
        <f>IF('Loan Tape (S&amp;P)'!T8640="Yes",
    1.35,
    1.00)</f>
        <v/>
      </c>
      <c r="P8640">
        <f>IF('Loan Tape (S&amp;P)'!S8640="Yes",
    1.15,
    1.00)</f>
        <v/>
      </c>
      <c r="Q8640">
        <f>IF('Loan Tape (S&amp;P)'!V8640="Yes",
    1.20,
    1.00)</f>
        <v/>
      </c>
      <c r="T8640">
        <f>LET(
    payment_method,'Loan Tape (S&amp;P)'!P8640,
    occupancy,'Loan Tape (S&amp;P)'!N8640,
    maturity_date,'Loan Tape (S&amp;P)'!L8640,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41">
      <c r="J8641">
        <f>LET(
    lien,'Loan Tape (S&amp;P)'!Q8641,
    IF(lien="First",1.00,
        IF(lien="Second",1.50,
            1.70)))</f>
        <v/>
      </c>
      <c r="K8641">
        <f>LET(
    purpose,'Loan Tape (S&amp;P)'!R8641,
    IF(purpose="Purchase",1.00,
        IF(purpose="Remortgage",1.00,
            1.20)))</f>
        <v/>
      </c>
      <c r="L8641">
        <f>LET(
    arrears_months,'Loan Tape (S&amp;P)'!AN8641,
    IF(arrears_months=0,1.00,
    IF(arrears_months=1,3.00,
    IF(arrears_months=2,5.00,
    IF(arrears_months=3,8.00,
    IF(arrears_months=4,10.00,
    IF(arrears_months=5,12.00,15.00)))))))</f>
        <v/>
      </c>
      <c r="M8641">
        <f>LET(
    seasoning_years,DATEDIF('Loan Tape (S&amp;P)'!K8641,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41">
        <f>IF(AND('Loan Tape (S&amp;P)'!U8641="Yes",
        'Loan Tape (S&amp;P)'!T8641&lt;&gt;"Yes",
        DATEDIF('Loan Tape (S&amp;P)'!K8641, TODAY(), "M")&lt;18),
    1.10,
    1.00)</f>
        <v/>
      </c>
      <c r="O8641">
        <f>IF('Loan Tape (S&amp;P)'!T8641="Yes",
    1.35,
    1.00)</f>
        <v/>
      </c>
      <c r="P8641">
        <f>IF('Loan Tape (S&amp;P)'!S8641="Yes",
    1.15,
    1.00)</f>
        <v/>
      </c>
      <c r="Q8641">
        <f>IF('Loan Tape (S&amp;P)'!V8641="Yes",
    1.20,
    1.00)</f>
        <v/>
      </c>
      <c r="T8641">
        <f>LET(
    payment_method,'Loan Tape (S&amp;P)'!P8641,
    occupancy,'Loan Tape (S&amp;P)'!N8641,
    maturity_date,'Loan Tape (S&amp;P)'!L8641,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42">
      <c r="J8642">
        <f>LET(
    lien,'Loan Tape (S&amp;P)'!Q8642,
    IF(lien="First",1.00,
        IF(lien="Second",1.50,
            1.70)))</f>
        <v/>
      </c>
      <c r="K8642">
        <f>LET(
    purpose,'Loan Tape (S&amp;P)'!R8642,
    IF(purpose="Purchase",1.00,
        IF(purpose="Remortgage",1.00,
            1.20)))</f>
        <v/>
      </c>
      <c r="L8642">
        <f>LET(
    arrears_months,'Loan Tape (S&amp;P)'!AN8642,
    IF(arrears_months=0,1.00,
    IF(arrears_months=1,3.00,
    IF(arrears_months=2,5.00,
    IF(arrears_months=3,8.00,
    IF(arrears_months=4,10.00,
    IF(arrears_months=5,12.00,15.00)))))))</f>
        <v/>
      </c>
      <c r="M8642">
        <f>LET(
    seasoning_years,DATEDIF('Loan Tape (S&amp;P)'!K8642,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42">
        <f>IF(AND('Loan Tape (S&amp;P)'!U8642="Yes",
        'Loan Tape (S&amp;P)'!T8642&lt;&gt;"Yes",
        DATEDIF('Loan Tape (S&amp;P)'!K8642, TODAY(), "M")&lt;18),
    1.10,
    1.00)</f>
        <v/>
      </c>
      <c r="O8642">
        <f>IF('Loan Tape (S&amp;P)'!T8642="Yes",
    1.35,
    1.00)</f>
        <v/>
      </c>
      <c r="P8642">
        <f>IF('Loan Tape (S&amp;P)'!S8642="Yes",
    1.15,
    1.00)</f>
        <v/>
      </c>
      <c r="Q8642">
        <f>IF('Loan Tape (S&amp;P)'!V8642="Yes",
    1.20,
    1.00)</f>
        <v/>
      </c>
      <c r="T8642">
        <f>LET(
    payment_method,'Loan Tape (S&amp;P)'!P8642,
    occupancy,'Loan Tape (S&amp;P)'!N8642,
    maturity_date,'Loan Tape (S&amp;P)'!L8642,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43">
      <c r="J8643">
        <f>LET(
    lien,'Loan Tape (S&amp;P)'!Q8643,
    IF(lien="First",1.00,
        IF(lien="Second",1.50,
            1.70)))</f>
        <v/>
      </c>
      <c r="K8643">
        <f>LET(
    purpose,'Loan Tape (S&amp;P)'!R8643,
    IF(purpose="Purchase",1.00,
        IF(purpose="Remortgage",1.00,
            1.20)))</f>
        <v/>
      </c>
      <c r="L8643">
        <f>LET(
    arrears_months,'Loan Tape (S&amp;P)'!AN8643,
    IF(arrears_months=0,1.00,
    IF(arrears_months=1,3.00,
    IF(arrears_months=2,5.00,
    IF(arrears_months=3,8.00,
    IF(arrears_months=4,10.00,
    IF(arrears_months=5,12.00,15.00)))))))</f>
        <v/>
      </c>
      <c r="M8643">
        <f>LET(
    seasoning_years,DATEDIF('Loan Tape (S&amp;P)'!K8643,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43">
        <f>IF(AND('Loan Tape (S&amp;P)'!U8643="Yes",
        'Loan Tape (S&amp;P)'!T8643&lt;&gt;"Yes",
        DATEDIF('Loan Tape (S&amp;P)'!K8643, TODAY(), "M")&lt;18),
    1.10,
    1.00)</f>
        <v/>
      </c>
      <c r="O8643">
        <f>IF('Loan Tape (S&amp;P)'!T8643="Yes",
    1.35,
    1.00)</f>
        <v/>
      </c>
      <c r="P8643">
        <f>IF('Loan Tape (S&amp;P)'!S8643="Yes",
    1.15,
    1.00)</f>
        <v/>
      </c>
      <c r="Q8643">
        <f>IF('Loan Tape (S&amp;P)'!V8643="Yes",
    1.20,
    1.00)</f>
        <v/>
      </c>
      <c r="T8643">
        <f>LET(
    payment_method,'Loan Tape (S&amp;P)'!P8643,
    occupancy,'Loan Tape (S&amp;P)'!N8643,
    maturity_date,'Loan Tape (S&amp;P)'!L8643,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44">
      <c r="J8644">
        <f>LET(
    lien,'Loan Tape (S&amp;P)'!Q8644,
    IF(lien="First",1.00,
        IF(lien="Second",1.50,
            1.70)))</f>
        <v/>
      </c>
      <c r="K8644">
        <f>LET(
    purpose,'Loan Tape (S&amp;P)'!R8644,
    IF(purpose="Purchase",1.00,
        IF(purpose="Remortgage",1.00,
            1.20)))</f>
        <v/>
      </c>
      <c r="L8644">
        <f>LET(
    arrears_months,'Loan Tape (S&amp;P)'!AN8644,
    IF(arrears_months=0,1.00,
    IF(arrears_months=1,3.00,
    IF(arrears_months=2,5.00,
    IF(arrears_months=3,8.00,
    IF(arrears_months=4,10.00,
    IF(arrears_months=5,12.00,15.00)))))))</f>
        <v/>
      </c>
      <c r="M8644">
        <f>LET(
    seasoning_years,DATEDIF('Loan Tape (S&amp;P)'!K8644,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44">
        <f>IF(AND('Loan Tape (S&amp;P)'!U8644="Yes",
        'Loan Tape (S&amp;P)'!T8644&lt;&gt;"Yes",
        DATEDIF('Loan Tape (S&amp;P)'!K8644, TODAY(), "M")&lt;18),
    1.10,
    1.00)</f>
        <v/>
      </c>
      <c r="O8644">
        <f>IF('Loan Tape (S&amp;P)'!T8644="Yes",
    1.35,
    1.00)</f>
        <v/>
      </c>
      <c r="P8644">
        <f>IF('Loan Tape (S&amp;P)'!S8644="Yes",
    1.15,
    1.00)</f>
        <v/>
      </c>
      <c r="Q8644">
        <f>IF('Loan Tape (S&amp;P)'!V8644="Yes",
    1.20,
    1.00)</f>
        <v/>
      </c>
      <c r="T8644">
        <f>LET(
    payment_method,'Loan Tape (S&amp;P)'!P8644,
    occupancy,'Loan Tape (S&amp;P)'!N8644,
    maturity_date,'Loan Tape (S&amp;P)'!L8644,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45">
      <c r="J8645">
        <f>LET(
    lien,'Loan Tape (S&amp;P)'!Q8645,
    IF(lien="First",1.00,
        IF(lien="Second",1.50,
            1.70)))</f>
        <v/>
      </c>
      <c r="K8645">
        <f>LET(
    purpose,'Loan Tape (S&amp;P)'!R8645,
    IF(purpose="Purchase",1.00,
        IF(purpose="Remortgage",1.00,
            1.20)))</f>
        <v/>
      </c>
      <c r="L8645">
        <f>LET(
    arrears_months,'Loan Tape (S&amp;P)'!AN8645,
    IF(arrears_months=0,1.00,
    IF(arrears_months=1,3.00,
    IF(arrears_months=2,5.00,
    IF(arrears_months=3,8.00,
    IF(arrears_months=4,10.00,
    IF(arrears_months=5,12.00,15.00)))))))</f>
        <v/>
      </c>
      <c r="M8645">
        <f>LET(
    seasoning_years,DATEDIF('Loan Tape (S&amp;P)'!K8645,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45">
        <f>IF(AND('Loan Tape (S&amp;P)'!U8645="Yes",
        'Loan Tape (S&amp;P)'!T8645&lt;&gt;"Yes",
        DATEDIF('Loan Tape (S&amp;P)'!K8645, TODAY(), "M")&lt;18),
    1.10,
    1.00)</f>
        <v/>
      </c>
      <c r="O8645">
        <f>IF('Loan Tape (S&amp;P)'!T8645="Yes",
    1.35,
    1.00)</f>
        <v/>
      </c>
      <c r="P8645">
        <f>IF('Loan Tape (S&amp;P)'!S8645="Yes",
    1.15,
    1.00)</f>
        <v/>
      </c>
      <c r="Q8645">
        <f>IF('Loan Tape (S&amp;P)'!V8645="Yes",
    1.20,
    1.00)</f>
        <v/>
      </c>
      <c r="T8645">
        <f>LET(
    payment_method,'Loan Tape (S&amp;P)'!P8645,
    occupancy,'Loan Tape (S&amp;P)'!N8645,
    maturity_date,'Loan Tape (S&amp;P)'!L8645,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46">
      <c r="J8646">
        <f>LET(
    lien,'Loan Tape (S&amp;P)'!Q8646,
    IF(lien="First",1.00,
        IF(lien="Second",1.50,
            1.70)))</f>
        <v/>
      </c>
      <c r="K8646">
        <f>LET(
    purpose,'Loan Tape (S&amp;P)'!R8646,
    IF(purpose="Purchase",1.00,
        IF(purpose="Remortgage",1.00,
            1.20)))</f>
        <v/>
      </c>
      <c r="L8646">
        <f>LET(
    arrears_months,'Loan Tape (S&amp;P)'!AN8646,
    IF(arrears_months=0,1.00,
    IF(arrears_months=1,3.00,
    IF(arrears_months=2,5.00,
    IF(arrears_months=3,8.00,
    IF(arrears_months=4,10.00,
    IF(arrears_months=5,12.00,15.00)))))))</f>
        <v/>
      </c>
      <c r="M8646">
        <f>LET(
    seasoning_years,DATEDIF('Loan Tape (S&amp;P)'!K8646,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46">
        <f>IF(AND('Loan Tape (S&amp;P)'!U8646="Yes",
        'Loan Tape (S&amp;P)'!T8646&lt;&gt;"Yes",
        DATEDIF('Loan Tape (S&amp;P)'!K8646, TODAY(), "M")&lt;18),
    1.10,
    1.00)</f>
        <v/>
      </c>
      <c r="O8646">
        <f>IF('Loan Tape (S&amp;P)'!T8646="Yes",
    1.35,
    1.00)</f>
        <v/>
      </c>
      <c r="P8646">
        <f>IF('Loan Tape (S&amp;P)'!S8646="Yes",
    1.15,
    1.00)</f>
        <v/>
      </c>
      <c r="Q8646">
        <f>IF('Loan Tape (S&amp;P)'!V8646="Yes",
    1.20,
    1.00)</f>
        <v/>
      </c>
      <c r="T8646">
        <f>LET(
    payment_method,'Loan Tape (S&amp;P)'!P8646,
    occupancy,'Loan Tape (S&amp;P)'!N8646,
    maturity_date,'Loan Tape (S&amp;P)'!L8646,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47">
      <c r="J8647">
        <f>LET(
    lien,'Loan Tape (S&amp;P)'!Q8647,
    IF(lien="First",1.00,
        IF(lien="Second",1.50,
            1.70)))</f>
        <v/>
      </c>
      <c r="K8647">
        <f>LET(
    purpose,'Loan Tape (S&amp;P)'!R8647,
    IF(purpose="Purchase",1.00,
        IF(purpose="Remortgage",1.00,
            1.20)))</f>
        <v/>
      </c>
      <c r="L8647">
        <f>LET(
    arrears_months,'Loan Tape (S&amp;P)'!AN8647,
    IF(arrears_months=0,1.00,
    IF(arrears_months=1,3.00,
    IF(arrears_months=2,5.00,
    IF(arrears_months=3,8.00,
    IF(arrears_months=4,10.00,
    IF(arrears_months=5,12.00,15.00)))))))</f>
        <v/>
      </c>
      <c r="M8647">
        <f>LET(
    seasoning_years,DATEDIF('Loan Tape (S&amp;P)'!K8647,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47">
        <f>IF(AND('Loan Tape (S&amp;P)'!U8647="Yes",
        'Loan Tape (S&amp;P)'!T8647&lt;&gt;"Yes",
        DATEDIF('Loan Tape (S&amp;P)'!K8647, TODAY(), "M")&lt;18),
    1.10,
    1.00)</f>
        <v/>
      </c>
      <c r="O8647">
        <f>IF('Loan Tape (S&amp;P)'!T8647="Yes",
    1.35,
    1.00)</f>
        <v/>
      </c>
      <c r="P8647">
        <f>IF('Loan Tape (S&amp;P)'!S8647="Yes",
    1.15,
    1.00)</f>
        <v/>
      </c>
      <c r="Q8647">
        <f>IF('Loan Tape (S&amp;P)'!V8647="Yes",
    1.20,
    1.00)</f>
        <v/>
      </c>
      <c r="T8647">
        <f>LET(
    payment_method,'Loan Tape (S&amp;P)'!P8647,
    occupancy,'Loan Tape (S&amp;P)'!N8647,
    maturity_date,'Loan Tape (S&amp;P)'!L8647,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48">
      <c r="J8648">
        <f>LET(
    lien,'Loan Tape (S&amp;P)'!Q8648,
    IF(lien="First",1.00,
        IF(lien="Second",1.50,
            1.70)))</f>
        <v/>
      </c>
      <c r="K8648">
        <f>LET(
    purpose,'Loan Tape (S&amp;P)'!R8648,
    IF(purpose="Purchase",1.00,
        IF(purpose="Remortgage",1.00,
            1.20)))</f>
        <v/>
      </c>
      <c r="L8648">
        <f>LET(
    arrears_months,'Loan Tape (S&amp;P)'!AN8648,
    IF(arrears_months=0,1.00,
    IF(arrears_months=1,3.00,
    IF(arrears_months=2,5.00,
    IF(arrears_months=3,8.00,
    IF(arrears_months=4,10.00,
    IF(arrears_months=5,12.00,15.00)))))))</f>
        <v/>
      </c>
      <c r="M8648">
        <f>LET(
    seasoning_years,DATEDIF('Loan Tape (S&amp;P)'!K8648,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48">
        <f>IF(AND('Loan Tape (S&amp;P)'!U8648="Yes",
        'Loan Tape (S&amp;P)'!T8648&lt;&gt;"Yes",
        DATEDIF('Loan Tape (S&amp;P)'!K8648, TODAY(), "M")&lt;18),
    1.10,
    1.00)</f>
        <v/>
      </c>
      <c r="O8648">
        <f>IF('Loan Tape (S&amp;P)'!T8648="Yes",
    1.35,
    1.00)</f>
        <v/>
      </c>
      <c r="P8648">
        <f>IF('Loan Tape (S&amp;P)'!S8648="Yes",
    1.15,
    1.00)</f>
        <v/>
      </c>
      <c r="Q8648">
        <f>IF('Loan Tape (S&amp;P)'!V8648="Yes",
    1.20,
    1.00)</f>
        <v/>
      </c>
      <c r="T8648">
        <f>LET(
    payment_method,'Loan Tape (S&amp;P)'!P8648,
    occupancy,'Loan Tape (S&amp;P)'!N8648,
    maturity_date,'Loan Tape (S&amp;P)'!L8648,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49">
      <c r="J8649">
        <f>LET(
    lien,'Loan Tape (S&amp;P)'!Q8649,
    IF(lien="First",1.00,
        IF(lien="Second",1.50,
            1.70)))</f>
        <v/>
      </c>
      <c r="K8649">
        <f>LET(
    purpose,'Loan Tape (S&amp;P)'!R8649,
    IF(purpose="Purchase",1.00,
        IF(purpose="Remortgage",1.00,
            1.20)))</f>
        <v/>
      </c>
      <c r="L8649">
        <f>LET(
    arrears_months,'Loan Tape (S&amp;P)'!AN8649,
    IF(arrears_months=0,1.00,
    IF(arrears_months=1,3.00,
    IF(arrears_months=2,5.00,
    IF(arrears_months=3,8.00,
    IF(arrears_months=4,10.00,
    IF(arrears_months=5,12.00,15.00)))))))</f>
        <v/>
      </c>
      <c r="M8649">
        <f>LET(
    seasoning_years,DATEDIF('Loan Tape (S&amp;P)'!K8649,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49">
        <f>IF(AND('Loan Tape (S&amp;P)'!U8649="Yes",
        'Loan Tape (S&amp;P)'!T8649&lt;&gt;"Yes",
        DATEDIF('Loan Tape (S&amp;P)'!K8649, TODAY(), "M")&lt;18),
    1.10,
    1.00)</f>
        <v/>
      </c>
      <c r="O8649">
        <f>IF('Loan Tape (S&amp;P)'!T8649="Yes",
    1.35,
    1.00)</f>
        <v/>
      </c>
      <c r="P8649">
        <f>IF('Loan Tape (S&amp;P)'!S8649="Yes",
    1.15,
    1.00)</f>
        <v/>
      </c>
      <c r="Q8649">
        <f>IF('Loan Tape (S&amp;P)'!V8649="Yes",
    1.20,
    1.00)</f>
        <v/>
      </c>
      <c r="T8649">
        <f>LET(
    payment_method,'Loan Tape (S&amp;P)'!P8649,
    occupancy,'Loan Tape (S&amp;P)'!N8649,
    maturity_date,'Loan Tape (S&amp;P)'!L8649,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50">
      <c r="J8650">
        <f>LET(
    lien,'Loan Tape (S&amp;P)'!Q8650,
    IF(lien="First",1.00,
        IF(lien="Second",1.50,
            1.70)))</f>
        <v/>
      </c>
      <c r="K8650">
        <f>LET(
    purpose,'Loan Tape (S&amp;P)'!R8650,
    IF(purpose="Purchase",1.00,
        IF(purpose="Remortgage",1.00,
            1.20)))</f>
        <v/>
      </c>
      <c r="L8650">
        <f>LET(
    arrears_months,'Loan Tape (S&amp;P)'!AN8650,
    IF(arrears_months=0,1.00,
    IF(arrears_months=1,3.00,
    IF(arrears_months=2,5.00,
    IF(arrears_months=3,8.00,
    IF(arrears_months=4,10.00,
    IF(arrears_months=5,12.00,15.00)))))))</f>
        <v/>
      </c>
      <c r="M8650">
        <f>LET(
    seasoning_years,DATEDIF('Loan Tape (S&amp;P)'!K8650,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50">
        <f>IF(AND('Loan Tape (S&amp;P)'!U8650="Yes",
        'Loan Tape (S&amp;P)'!T8650&lt;&gt;"Yes",
        DATEDIF('Loan Tape (S&amp;P)'!K8650, TODAY(), "M")&lt;18),
    1.10,
    1.00)</f>
        <v/>
      </c>
      <c r="O8650">
        <f>IF('Loan Tape (S&amp;P)'!T8650="Yes",
    1.35,
    1.00)</f>
        <v/>
      </c>
      <c r="P8650">
        <f>IF('Loan Tape (S&amp;P)'!S8650="Yes",
    1.15,
    1.00)</f>
        <v/>
      </c>
      <c r="Q8650">
        <f>IF('Loan Tape (S&amp;P)'!V8650="Yes",
    1.20,
    1.00)</f>
        <v/>
      </c>
      <c r="T8650">
        <f>LET(
    payment_method,'Loan Tape (S&amp;P)'!P8650,
    occupancy,'Loan Tape (S&amp;P)'!N8650,
    maturity_date,'Loan Tape (S&amp;P)'!L8650,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51">
      <c r="J8651">
        <f>LET(
    lien,'Loan Tape (S&amp;P)'!Q8651,
    IF(lien="First",1.00,
        IF(lien="Second",1.50,
            1.70)))</f>
        <v/>
      </c>
      <c r="K8651">
        <f>LET(
    purpose,'Loan Tape (S&amp;P)'!R8651,
    IF(purpose="Purchase",1.00,
        IF(purpose="Remortgage",1.00,
            1.20)))</f>
        <v/>
      </c>
      <c r="L8651">
        <f>LET(
    arrears_months,'Loan Tape (S&amp;P)'!AN8651,
    IF(arrears_months=0,1.00,
    IF(arrears_months=1,3.00,
    IF(arrears_months=2,5.00,
    IF(arrears_months=3,8.00,
    IF(arrears_months=4,10.00,
    IF(arrears_months=5,12.00,15.00)))))))</f>
        <v/>
      </c>
      <c r="M8651">
        <f>LET(
    seasoning_years,DATEDIF('Loan Tape (S&amp;P)'!K8651,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51">
        <f>IF(AND('Loan Tape (S&amp;P)'!U8651="Yes",
        'Loan Tape (S&amp;P)'!T8651&lt;&gt;"Yes",
        DATEDIF('Loan Tape (S&amp;P)'!K8651, TODAY(), "M")&lt;18),
    1.10,
    1.00)</f>
        <v/>
      </c>
      <c r="O8651">
        <f>IF('Loan Tape (S&amp;P)'!T8651="Yes",
    1.35,
    1.00)</f>
        <v/>
      </c>
      <c r="P8651">
        <f>IF('Loan Tape (S&amp;P)'!S8651="Yes",
    1.15,
    1.00)</f>
        <v/>
      </c>
      <c r="Q8651">
        <f>IF('Loan Tape (S&amp;P)'!V8651="Yes",
    1.20,
    1.00)</f>
        <v/>
      </c>
      <c r="T8651">
        <f>LET(
    payment_method,'Loan Tape (S&amp;P)'!P8651,
    occupancy,'Loan Tape (S&amp;P)'!N8651,
    maturity_date,'Loan Tape (S&amp;P)'!L8651,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52">
      <c r="J8652">
        <f>LET(
    lien,'Loan Tape (S&amp;P)'!Q8652,
    IF(lien="First",1.00,
        IF(lien="Second",1.50,
            1.70)))</f>
        <v/>
      </c>
      <c r="K8652">
        <f>LET(
    purpose,'Loan Tape (S&amp;P)'!R8652,
    IF(purpose="Purchase",1.00,
        IF(purpose="Remortgage",1.00,
            1.20)))</f>
        <v/>
      </c>
      <c r="L8652">
        <f>LET(
    arrears_months,'Loan Tape (S&amp;P)'!AN8652,
    IF(arrears_months=0,1.00,
    IF(arrears_months=1,3.00,
    IF(arrears_months=2,5.00,
    IF(arrears_months=3,8.00,
    IF(arrears_months=4,10.00,
    IF(arrears_months=5,12.00,15.00)))))))</f>
        <v/>
      </c>
      <c r="M8652">
        <f>LET(
    seasoning_years,DATEDIF('Loan Tape (S&amp;P)'!K8652,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52">
        <f>IF(AND('Loan Tape (S&amp;P)'!U8652="Yes",
        'Loan Tape (S&amp;P)'!T8652&lt;&gt;"Yes",
        DATEDIF('Loan Tape (S&amp;P)'!K8652, TODAY(), "M")&lt;18),
    1.10,
    1.00)</f>
        <v/>
      </c>
      <c r="O8652">
        <f>IF('Loan Tape (S&amp;P)'!T8652="Yes",
    1.35,
    1.00)</f>
        <v/>
      </c>
      <c r="P8652">
        <f>IF('Loan Tape (S&amp;P)'!S8652="Yes",
    1.15,
    1.00)</f>
        <v/>
      </c>
      <c r="Q8652">
        <f>IF('Loan Tape (S&amp;P)'!V8652="Yes",
    1.20,
    1.00)</f>
        <v/>
      </c>
      <c r="T8652">
        <f>LET(
    payment_method,'Loan Tape (S&amp;P)'!P8652,
    occupancy,'Loan Tape (S&amp;P)'!N8652,
    maturity_date,'Loan Tape (S&amp;P)'!L8652,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53">
      <c r="J8653">
        <f>LET(
    lien,'Loan Tape (S&amp;P)'!Q8653,
    IF(lien="First",1.00,
        IF(lien="Second",1.50,
            1.70)))</f>
        <v/>
      </c>
      <c r="K8653">
        <f>LET(
    purpose,'Loan Tape (S&amp;P)'!R8653,
    IF(purpose="Purchase",1.00,
        IF(purpose="Remortgage",1.00,
            1.20)))</f>
        <v/>
      </c>
      <c r="L8653">
        <f>LET(
    arrears_months,'Loan Tape (S&amp;P)'!AN8653,
    IF(arrears_months=0,1.00,
    IF(arrears_months=1,3.00,
    IF(arrears_months=2,5.00,
    IF(arrears_months=3,8.00,
    IF(arrears_months=4,10.00,
    IF(arrears_months=5,12.00,15.00)))))))</f>
        <v/>
      </c>
      <c r="M8653">
        <f>LET(
    seasoning_years,DATEDIF('Loan Tape (S&amp;P)'!K8653,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53">
        <f>IF(AND('Loan Tape (S&amp;P)'!U8653="Yes",
        'Loan Tape (S&amp;P)'!T8653&lt;&gt;"Yes",
        DATEDIF('Loan Tape (S&amp;P)'!K8653, TODAY(), "M")&lt;18),
    1.10,
    1.00)</f>
        <v/>
      </c>
      <c r="O8653">
        <f>IF('Loan Tape (S&amp;P)'!T8653="Yes",
    1.35,
    1.00)</f>
        <v/>
      </c>
      <c r="P8653">
        <f>IF('Loan Tape (S&amp;P)'!S8653="Yes",
    1.15,
    1.00)</f>
        <v/>
      </c>
      <c r="Q8653">
        <f>IF('Loan Tape (S&amp;P)'!V8653="Yes",
    1.20,
    1.00)</f>
        <v/>
      </c>
      <c r="T8653">
        <f>LET(
    payment_method,'Loan Tape (S&amp;P)'!P8653,
    occupancy,'Loan Tape (S&amp;P)'!N8653,
    maturity_date,'Loan Tape (S&amp;P)'!L8653,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54">
      <c r="J8654">
        <f>LET(
    lien,'Loan Tape (S&amp;P)'!Q8654,
    IF(lien="First",1.00,
        IF(lien="Second",1.50,
            1.70)))</f>
        <v/>
      </c>
      <c r="K8654">
        <f>LET(
    purpose,'Loan Tape (S&amp;P)'!R8654,
    IF(purpose="Purchase",1.00,
        IF(purpose="Remortgage",1.00,
            1.20)))</f>
        <v/>
      </c>
      <c r="L8654">
        <f>LET(
    arrears_months,'Loan Tape (S&amp;P)'!AN8654,
    IF(arrears_months=0,1.00,
    IF(arrears_months=1,3.00,
    IF(arrears_months=2,5.00,
    IF(arrears_months=3,8.00,
    IF(arrears_months=4,10.00,
    IF(arrears_months=5,12.00,15.00)))))))</f>
        <v/>
      </c>
      <c r="M8654">
        <f>LET(
    seasoning_years,DATEDIF('Loan Tape (S&amp;P)'!K8654,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54">
        <f>IF(AND('Loan Tape (S&amp;P)'!U8654="Yes",
        'Loan Tape (S&amp;P)'!T8654&lt;&gt;"Yes",
        DATEDIF('Loan Tape (S&amp;P)'!K8654, TODAY(), "M")&lt;18),
    1.10,
    1.00)</f>
        <v/>
      </c>
      <c r="O8654">
        <f>IF('Loan Tape (S&amp;P)'!T8654="Yes",
    1.35,
    1.00)</f>
        <v/>
      </c>
      <c r="P8654">
        <f>IF('Loan Tape (S&amp;P)'!S8654="Yes",
    1.15,
    1.00)</f>
        <v/>
      </c>
      <c r="Q8654">
        <f>IF('Loan Tape (S&amp;P)'!V8654="Yes",
    1.20,
    1.00)</f>
        <v/>
      </c>
      <c r="T8654">
        <f>LET(
    payment_method,'Loan Tape (S&amp;P)'!P8654,
    occupancy,'Loan Tape (S&amp;P)'!N8654,
    maturity_date,'Loan Tape (S&amp;P)'!L8654,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55">
      <c r="J8655">
        <f>LET(
    lien,'Loan Tape (S&amp;P)'!Q8655,
    IF(lien="First",1.00,
        IF(lien="Second",1.50,
            1.70)))</f>
        <v/>
      </c>
      <c r="K8655">
        <f>LET(
    purpose,'Loan Tape (S&amp;P)'!R8655,
    IF(purpose="Purchase",1.00,
        IF(purpose="Remortgage",1.00,
            1.20)))</f>
        <v/>
      </c>
      <c r="L8655">
        <f>LET(
    arrears_months,'Loan Tape (S&amp;P)'!AN8655,
    IF(arrears_months=0,1.00,
    IF(arrears_months=1,3.00,
    IF(arrears_months=2,5.00,
    IF(arrears_months=3,8.00,
    IF(arrears_months=4,10.00,
    IF(arrears_months=5,12.00,15.00)))))))</f>
        <v/>
      </c>
      <c r="M8655">
        <f>LET(
    seasoning_years,DATEDIF('Loan Tape (S&amp;P)'!K8655,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55">
        <f>IF(AND('Loan Tape (S&amp;P)'!U8655="Yes",
        'Loan Tape (S&amp;P)'!T8655&lt;&gt;"Yes",
        DATEDIF('Loan Tape (S&amp;P)'!K8655, TODAY(), "M")&lt;18),
    1.10,
    1.00)</f>
        <v/>
      </c>
      <c r="O8655">
        <f>IF('Loan Tape (S&amp;P)'!T8655="Yes",
    1.35,
    1.00)</f>
        <v/>
      </c>
      <c r="P8655">
        <f>IF('Loan Tape (S&amp;P)'!S8655="Yes",
    1.15,
    1.00)</f>
        <v/>
      </c>
      <c r="Q8655">
        <f>IF('Loan Tape (S&amp;P)'!V8655="Yes",
    1.20,
    1.00)</f>
        <v/>
      </c>
      <c r="T8655">
        <f>LET(
    payment_method,'Loan Tape (S&amp;P)'!P8655,
    occupancy,'Loan Tape (S&amp;P)'!N8655,
    maturity_date,'Loan Tape (S&amp;P)'!L8655,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56">
      <c r="J8656">
        <f>LET(
    lien,'Loan Tape (S&amp;P)'!Q8656,
    IF(lien="First",1.00,
        IF(lien="Second",1.50,
            1.70)))</f>
        <v/>
      </c>
      <c r="K8656">
        <f>LET(
    purpose,'Loan Tape (S&amp;P)'!R8656,
    IF(purpose="Purchase",1.00,
        IF(purpose="Remortgage",1.00,
            1.20)))</f>
        <v/>
      </c>
      <c r="L8656">
        <f>LET(
    arrears_months,'Loan Tape (S&amp;P)'!AN8656,
    IF(arrears_months=0,1.00,
    IF(arrears_months=1,3.00,
    IF(arrears_months=2,5.00,
    IF(arrears_months=3,8.00,
    IF(arrears_months=4,10.00,
    IF(arrears_months=5,12.00,15.00)))))))</f>
        <v/>
      </c>
      <c r="M8656">
        <f>LET(
    seasoning_years,DATEDIF('Loan Tape (S&amp;P)'!K8656,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56">
        <f>IF(AND('Loan Tape (S&amp;P)'!U8656="Yes",
        'Loan Tape (S&amp;P)'!T8656&lt;&gt;"Yes",
        DATEDIF('Loan Tape (S&amp;P)'!K8656, TODAY(), "M")&lt;18),
    1.10,
    1.00)</f>
        <v/>
      </c>
      <c r="O8656">
        <f>IF('Loan Tape (S&amp;P)'!T8656="Yes",
    1.35,
    1.00)</f>
        <v/>
      </c>
      <c r="P8656">
        <f>IF('Loan Tape (S&amp;P)'!S8656="Yes",
    1.15,
    1.00)</f>
        <v/>
      </c>
      <c r="Q8656">
        <f>IF('Loan Tape (S&amp;P)'!V8656="Yes",
    1.20,
    1.00)</f>
        <v/>
      </c>
      <c r="T8656">
        <f>LET(
    payment_method,'Loan Tape (S&amp;P)'!P8656,
    occupancy,'Loan Tape (S&amp;P)'!N8656,
    maturity_date,'Loan Tape (S&amp;P)'!L8656,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57">
      <c r="J8657">
        <f>LET(
    lien,'Loan Tape (S&amp;P)'!Q8657,
    IF(lien="First",1.00,
        IF(lien="Second",1.50,
            1.70)))</f>
        <v/>
      </c>
      <c r="K8657">
        <f>LET(
    purpose,'Loan Tape (S&amp;P)'!R8657,
    IF(purpose="Purchase",1.00,
        IF(purpose="Remortgage",1.00,
            1.20)))</f>
        <v/>
      </c>
      <c r="L8657">
        <f>LET(
    arrears_months,'Loan Tape (S&amp;P)'!AN8657,
    IF(arrears_months=0,1.00,
    IF(arrears_months=1,3.00,
    IF(arrears_months=2,5.00,
    IF(arrears_months=3,8.00,
    IF(arrears_months=4,10.00,
    IF(arrears_months=5,12.00,15.00)))))))</f>
        <v/>
      </c>
      <c r="M8657">
        <f>LET(
    seasoning_years,DATEDIF('Loan Tape (S&amp;P)'!K8657,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57">
        <f>IF(AND('Loan Tape (S&amp;P)'!U8657="Yes",
        'Loan Tape (S&amp;P)'!T8657&lt;&gt;"Yes",
        DATEDIF('Loan Tape (S&amp;P)'!K8657, TODAY(), "M")&lt;18),
    1.10,
    1.00)</f>
        <v/>
      </c>
      <c r="O8657">
        <f>IF('Loan Tape (S&amp;P)'!T8657="Yes",
    1.35,
    1.00)</f>
        <v/>
      </c>
      <c r="P8657">
        <f>IF('Loan Tape (S&amp;P)'!S8657="Yes",
    1.15,
    1.00)</f>
        <v/>
      </c>
      <c r="Q8657">
        <f>IF('Loan Tape (S&amp;P)'!V8657="Yes",
    1.20,
    1.00)</f>
        <v/>
      </c>
      <c r="T8657">
        <f>LET(
    payment_method,'Loan Tape (S&amp;P)'!P8657,
    occupancy,'Loan Tape (S&amp;P)'!N8657,
    maturity_date,'Loan Tape (S&amp;P)'!L8657,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58">
      <c r="J8658">
        <f>LET(
    lien,'Loan Tape (S&amp;P)'!Q8658,
    IF(lien="First",1.00,
        IF(lien="Second",1.50,
            1.70)))</f>
        <v/>
      </c>
      <c r="K8658">
        <f>LET(
    purpose,'Loan Tape (S&amp;P)'!R8658,
    IF(purpose="Purchase",1.00,
        IF(purpose="Remortgage",1.00,
            1.20)))</f>
        <v/>
      </c>
      <c r="L8658">
        <f>LET(
    arrears_months,'Loan Tape (S&amp;P)'!AN8658,
    IF(arrears_months=0,1.00,
    IF(arrears_months=1,3.00,
    IF(arrears_months=2,5.00,
    IF(arrears_months=3,8.00,
    IF(arrears_months=4,10.00,
    IF(arrears_months=5,12.00,15.00)))))))</f>
        <v/>
      </c>
      <c r="M8658">
        <f>LET(
    seasoning_years,DATEDIF('Loan Tape (S&amp;P)'!K8658,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58">
        <f>IF(AND('Loan Tape (S&amp;P)'!U8658="Yes",
        'Loan Tape (S&amp;P)'!T8658&lt;&gt;"Yes",
        DATEDIF('Loan Tape (S&amp;P)'!K8658, TODAY(), "M")&lt;18),
    1.10,
    1.00)</f>
        <v/>
      </c>
      <c r="O8658">
        <f>IF('Loan Tape (S&amp;P)'!T8658="Yes",
    1.35,
    1.00)</f>
        <v/>
      </c>
      <c r="P8658">
        <f>IF('Loan Tape (S&amp;P)'!S8658="Yes",
    1.15,
    1.00)</f>
        <v/>
      </c>
      <c r="Q8658">
        <f>IF('Loan Tape (S&amp;P)'!V8658="Yes",
    1.20,
    1.00)</f>
        <v/>
      </c>
      <c r="T8658">
        <f>LET(
    payment_method,'Loan Tape (S&amp;P)'!P8658,
    occupancy,'Loan Tape (S&amp;P)'!N8658,
    maturity_date,'Loan Tape (S&amp;P)'!L8658,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59">
      <c r="J8659">
        <f>LET(
    lien,'Loan Tape (S&amp;P)'!Q8659,
    IF(lien="First",1.00,
        IF(lien="Second",1.50,
            1.70)))</f>
        <v/>
      </c>
      <c r="K8659">
        <f>LET(
    purpose,'Loan Tape (S&amp;P)'!R8659,
    IF(purpose="Purchase",1.00,
        IF(purpose="Remortgage",1.00,
            1.20)))</f>
        <v/>
      </c>
      <c r="L8659">
        <f>LET(
    arrears_months,'Loan Tape (S&amp;P)'!AN8659,
    IF(arrears_months=0,1.00,
    IF(arrears_months=1,3.00,
    IF(arrears_months=2,5.00,
    IF(arrears_months=3,8.00,
    IF(arrears_months=4,10.00,
    IF(arrears_months=5,12.00,15.00)))))))</f>
        <v/>
      </c>
      <c r="M8659">
        <f>LET(
    seasoning_years,DATEDIF('Loan Tape (S&amp;P)'!K8659,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59">
        <f>IF(AND('Loan Tape (S&amp;P)'!U8659="Yes",
        'Loan Tape (S&amp;P)'!T8659&lt;&gt;"Yes",
        DATEDIF('Loan Tape (S&amp;P)'!K8659, TODAY(), "M")&lt;18),
    1.10,
    1.00)</f>
        <v/>
      </c>
      <c r="O8659">
        <f>IF('Loan Tape (S&amp;P)'!T8659="Yes",
    1.35,
    1.00)</f>
        <v/>
      </c>
      <c r="P8659">
        <f>IF('Loan Tape (S&amp;P)'!S8659="Yes",
    1.15,
    1.00)</f>
        <v/>
      </c>
      <c r="Q8659">
        <f>IF('Loan Tape (S&amp;P)'!V8659="Yes",
    1.20,
    1.00)</f>
        <v/>
      </c>
      <c r="T8659">
        <f>LET(
    payment_method,'Loan Tape (S&amp;P)'!P8659,
    occupancy,'Loan Tape (S&amp;P)'!N8659,
    maturity_date,'Loan Tape (S&amp;P)'!L8659,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60">
      <c r="J8660">
        <f>LET(
    lien,'Loan Tape (S&amp;P)'!Q8660,
    IF(lien="First",1.00,
        IF(lien="Second",1.50,
            1.70)))</f>
        <v/>
      </c>
      <c r="K8660">
        <f>LET(
    purpose,'Loan Tape (S&amp;P)'!R8660,
    IF(purpose="Purchase",1.00,
        IF(purpose="Remortgage",1.00,
            1.20)))</f>
        <v/>
      </c>
      <c r="L8660">
        <f>LET(
    arrears_months,'Loan Tape (S&amp;P)'!AN8660,
    IF(arrears_months=0,1.00,
    IF(arrears_months=1,3.00,
    IF(arrears_months=2,5.00,
    IF(arrears_months=3,8.00,
    IF(arrears_months=4,10.00,
    IF(arrears_months=5,12.00,15.00)))))))</f>
        <v/>
      </c>
      <c r="M8660">
        <f>LET(
    seasoning_years,DATEDIF('Loan Tape (S&amp;P)'!K8660,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60">
        <f>IF(AND('Loan Tape (S&amp;P)'!U8660="Yes",
        'Loan Tape (S&amp;P)'!T8660&lt;&gt;"Yes",
        DATEDIF('Loan Tape (S&amp;P)'!K8660, TODAY(), "M")&lt;18),
    1.10,
    1.00)</f>
        <v/>
      </c>
      <c r="O8660">
        <f>IF('Loan Tape (S&amp;P)'!T8660="Yes",
    1.35,
    1.00)</f>
        <v/>
      </c>
      <c r="P8660">
        <f>IF('Loan Tape (S&amp;P)'!S8660="Yes",
    1.15,
    1.00)</f>
        <v/>
      </c>
      <c r="Q8660">
        <f>IF('Loan Tape (S&amp;P)'!V8660="Yes",
    1.20,
    1.00)</f>
        <v/>
      </c>
      <c r="T8660">
        <f>LET(
    payment_method,'Loan Tape (S&amp;P)'!P8660,
    occupancy,'Loan Tape (S&amp;P)'!N8660,
    maturity_date,'Loan Tape (S&amp;P)'!L8660,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61">
      <c r="J8661">
        <f>LET(
    lien,'Loan Tape (S&amp;P)'!Q8661,
    IF(lien="First",1.00,
        IF(lien="Second",1.50,
            1.70)))</f>
        <v/>
      </c>
      <c r="K8661">
        <f>LET(
    purpose,'Loan Tape (S&amp;P)'!R8661,
    IF(purpose="Purchase",1.00,
        IF(purpose="Remortgage",1.00,
            1.20)))</f>
        <v/>
      </c>
      <c r="L8661">
        <f>LET(
    arrears_months,'Loan Tape (S&amp;P)'!AN8661,
    IF(arrears_months=0,1.00,
    IF(arrears_months=1,3.00,
    IF(arrears_months=2,5.00,
    IF(arrears_months=3,8.00,
    IF(arrears_months=4,10.00,
    IF(arrears_months=5,12.00,15.00)))))))</f>
        <v/>
      </c>
      <c r="M8661">
        <f>LET(
    seasoning_years,DATEDIF('Loan Tape (S&amp;P)'!K8661,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61">
        <f>IF(AND('Loan Tape (S&amp;P)'!U8661="Yes",
        'Loan Tape (S&amp;P)'!T8661&lt;&gt;"Yes",
        DATEDIF('Loan Tape (S&amp;P)'!K8661, TODAY(), "M")&lt;18),
    1.10,
    1.00)</f>
        <v/>
      </c>
      <c r="O8661">
        <f>IF('Loan Tape (S&amp;P)'!T8661="Yes",
    1.35,
    1.00)</f>
        <v/>
      </c>
      <c r="P8661">
        <f>IF('Loan Tape (S&amp;P)'!S8661="Yes",
    1.15,
    1.00)</f>
        <v/>
      </c>
      <c r="Q8661">
        <f>IF('Loan Tape (S&amp;P)'!V8661="Yes",
    1.20,
    1.00)</f>
        <v/>
      </c>
      <c r="T8661">
        <f>LET(
    payment_method,'Loan Tape (S&amp;P)'!P8661,
    occupancy,'Loan Tape (S&amp;P)'!N8661,
    maturity_date,'Loan Tape (S&amp;P)'!L8661,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62">
      <c r="J8662">
        <f>LET(
    lien,'Loan Tape (S&amp;P)'!Q8662,
    IF(lien="First",1.00,
        IF(lien="Second",1.50,
            1.70)))</f>
        <v/>
      </c>
      <c r="K8662">
        <f>LET(
    purpose,'Loan Tape (S&amp;P)'!R8662,
    IF(purpose="Purchase",1.00,
        IF(purpose="Remortgage",1.00,
            1.20)))</f>
        <v/>
      </c>
      <c r="L8662">
        <f>LET(
    arrears_months,'Loan Tape (S&amp;P)'!AN8662,
    IF(arrears_months=0,1.00,
    IF(arrears_months=1,3.00,
    IF(arrears_months=2,5.00,
    IF(arrears_months=3,8.00,
    IF(arrears_months=4,10.00,
    IF(arrears_months=5,12.00,15.00)))))))</f>
        <v/>
      </c>
      <c r="M8662">
        <f>LET(
    seasoning_years,DATEDIF('Loan Tape (S&amp;P)'!K8662,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62">
        <f>IF(AND('Loan Tape (S&amp;P)'!U8662="Yes",
        'Loan Tape (S&amp;P)'!T8662&lt;&gt;"Yes",
        DATEDIF('Loan Tape (S&amp;P)'!K8662, TODAY(), "M")&lt;18),
    1.10,
    1.00)</f>
        <v/>
      </c>
      <c r="O8662">
        <f>IF('Loan Tape (S&amp;P)'!T8662="Yes",
    1.35,
    1.00)</f>
        <v/>
      </c>
      <c r="P8662">
        <f>IF('Loan Tape (S&amp;P)'!S8662="Yes",
    1.15,
    1.00)</f>
        <v/>
      </c>
      <c r="Q8662">
        <f>IF('Loan Tape (S&amp;P)'!V8662="Yes",
    1.20,
    1.00)</f>
        <v/>
      </c>
      <c r="T8662">
        <f>LET(
    payment_method,'Loan Tape (S&amp;P)'!P8662,
    occupancy,'Loan Tape (S&amp;P)'!N8662,
    maturity_date,'Loan Tape (S&amp;P)'!L8662,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63">
      <c r="J8663">
        <f>LET(
    lien,'Loan Tape (S&amp;P)'!Q8663,
    IF(lien="First",1.00,
        IF(lien="Second",1.50,
            1.70)))</f>
        <v/>
      </c>
      <c r="K8663">
        <f>LET(
    purpose,'Loan Tape (S&amp;P)'!R8663,
    IF(purpose="Purchase",1.00,
        IF(purpose="Remortgage",1.00,
            1.20)))</f>
        <v/>
      </c>
      <c r="L8663">
        <f>LET(
    arrears_months,'Loan Tape (S&amp;P)'!AN8663,
    IF(arrears_months=0,1.00,
    IF(arrears_months=1,3.00,
    IF(arrears_months=2,5.00,
    IF(arrears_months=3,8.00,
    IF(arrears_months=4,10.00,
    IF(arrears_months=5,12.00,15.00)))))))</f>
        <v/>
      </c>
      <c r="M8663">
        <f>LET(
    seasoning_years,DATEDIF('Loan Tape (S&amp;P)'!K8663,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63">
        <f>IF(AND('Loan Tape (S&amp;P)'!U8663="Yes",
        'Loan Tape (S&amp;P)'!T8663&lt;&gt;"Yes",
        DATEDIF('Loan Tape (S&amp;P)'!K8663, TODAY(), "M")&lt;18),
    1.10,
    1.00)</f>
        <v/>
      </c>
      <c r="O8663">
        <f>IF('Loan Tape (S&amp;P)'!T8663="Yes",
    1.35,
    1.00)</f>
        <v/>
      </c>
      <c r="P8663">
        <f>IF('Loan Tape (S&amp;P)'!S8663="Yes",
    1.15,
    1.00)</f>
        <v/>
      </c>
      <c r="Q8663">
        <f>IF('Loan Tape (S&amp;P)'!V8663="Yes",
    1.20,
    1.00)</f>
        <v/>
      </c>
      <c r="T8663">
        <f>LET(
    payment_method,'Loan Tape (S&amp;P)'!P8663,
    occupancy,'Loan Tape (S&amp;P)'!N8663,
    maturity_date,'Loan Tape (S&amp;P)'!L8663,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64">
      <c r="J8664">
        <f>LET(
    lien,'Loan Tape (S&amp;P)'!Q8664,
    IF(lien="First",1.00,
        IF(lien="Second",1.50,
            1.70)))</f>
        <v/>
      </c>
      <c r="K8664">
        <f>LET(
    purpose,'Loan Tape (S&amp;P)'!R8664,
    IF(purpose="Purchase",1.00,
        IF(purpose="Remortgage",1.00,
            1.20)))</f>
        <v/>
      </c>
      <c r="L8664">
        <f>LET(
    arrears_months,'Loan Tape (S&amp;P)'!AN8664,
    IF(arrears_months=0,1.00,
    IF(arrears_months=1,3.00,
    IF(arrears_months=2,5.00,
    IF(arrears_months=3,8.00,
    IF(arrears_months=4,10.00,
    IF(arrears_months=5,12.00,15.00)))))))</f>
        <v/>
      </c>
      <c r="M8664">
        <f>LET(
    seasoning_years,DATEDIF('Loan Tape (S&amp;P)'!K8664,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64">
        <f>IF(AND('Loan Tape (S&amp;P)'!U8664="Yes",
        'Loan Tape (S&amp;P)'!T8664&lt;&gt;"Yes",
        DATEDIF('Loan Tape (S&amp;P)'!K8664, TODAY(), "M")&lt;18),
    1.10,
    1.00)</f>
        <v/>
      </c>
      <c r="O8664">
        <f>IF('Loan Tape (S&amp;P)'!T8664="Yes",
    1.35,
    1.00)</f>
        <v/>
      </c>
      <c r="P8664">
        <f>IF('Loan Tape (S&amp;P)'!S8664="Yes",
    1.15,
    1.00)</f>
        <v/>
      </c>
      <c r="Q8664">
        <f>IF('Loan Tape (S&amp;P)'!V8664="Yes",
    1.20,
    1.00)</f>
        <v/>
      </c>
      <c r="T8664">
        <f>LET(
    payment_method,'Loan Tape (S&amp;P)'!P8664,
    occupancy,'Loan Tape (S&amp;P)'!N8664,
    maturity_date,'Loan Tape (S&amp;P)'!L8664,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65">
      <c r="J8665">
        <f>LET(
    lien,'Loan Tape (S&amp;P)'!Q8665,
    IF(lien="First",1.00,
        IF(lien="Second",1.50,
            1.70)))</f>
        <v/>
      </c>
      <c r="K8665">
        <f>LET(
    purpose,'Loan Tape (S&amp;P)'!R8665,
    IF(purpose="Purchase",1.00,
        IF(purpose="Remortgage",1.00,
            1.20)))</f>
        <v/>
      </c>
      <c r="L8665">
        <f>LET(
    arrears_months,'Loan Tape (S&amp;P)'!AN8665,
    IF(arrears_months=0,1.00,
    IF(arrears_months=1,3.00,
    IF(arrears_months=2,5.00,
    IF(arrears_months=3,8.00,
    IF(arrears_months=4,10.00,
    IF(arrears_months=5,12.00,15.00)))))))</f>
        <v/>
      </c>
      <c r="M8665">
        <f>LET(
    seasoning_years,DATEDIF('Loan Tape (S&amp;P)'!K8665,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65">
        <f>IF(AND('Loan Tape (S&amp;P)'!U8665="Yes",
        'Loan Tape (S&amp;P)'!T8665&lt;&gt;"Yes",
        DATEDIF('Loan Tape (S&amp;P)'!K8665, TODAY(), "M")&lt;18),
    1.10,
    1.00)</f>
        <v/>
      </c>
      <c r="O8665">
        <f>IF('Loan Tape (S&amp;P)'!T8665="Yes",
    1.35,
    1.00)</f>
        <v/>
      </c>
      <c r="P8665">
        <f>IF('Loan Tape (S&amp;P)'!S8665="Yes",
    1.15,
    1.00)</f>
        <v/>
      </c>
      <c r="Q8665">
        <f>IF('Loan Tape (S&amp;P)'!V8665="Yes",
    1.20,
    1.00)</f>
        <v/>
      </c>
      <c r="T8665">
        <f>LET(
    payment_method,'Loan Tape (S&amp;P)'!P8665,
    occupancy,'Loan Tape (S&amp;P)'!N8665,
    maturity_date,'Loan Tape (S&amp;P)'!L8665,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66">
      <c r="J8666">
        <f>LET(
    lien,'Loan Tape (S&amp;P)'!Q8666,
    IF(lien="First",1.00,
        IF(lien="Second",1.50,
            1.70)))</f>
        <v/>
      </c>
      <c r="K8666">
        <f>LET(
    purpose,'Loan Tape (S&amp;P)'!R8666,
    IF(purpose="Purchase",1.00,
        IF(purpose="Remortgage",1.00,
            1.20)))</f>
        <v/>
      </c>
      <c r="L8666">
        <f>LET(
    arrears_months,'Loan Tape (S&amp;P)'!AN8666,
    IF(arrears_months=0,1.00,
    IF(arrears_months=1,3.00,
    IF(arrears_months=2,5.00,
    IF(arrears_months=3,8.00,
    IF(arrears_months=4,10.00,
    IF(arrears_months=5,12.00,15.00)))))))</f>
        <v/>
      </c>
      <c r="M8666">
        <f>LET(
    seasoning_years,DATEDIF('Loan Tape (S&amp;P)'!K8666,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66">
        <f>IF(AND('Loan Tape (S&amp;P)'!U8666="Yes",
        'Loan Tape (S&amp;P)'!T8666&lt;&gt;"Yes",
        DATEDIF('Loan Tape (S&amp;P)'!K8666, TODAY(), "M")&lt;18),
    1.10,
    1.00)</f>
        <v/>
      </c>
      <c r="O8666">
        <f>IF('Loan Tape (S&amp;P)'!T8666="Yes",
    1.35,
    1.00)</f>
        <v/>
      </c>
      <c r="P8666">
        <f>IF('Loan Tape (S&amp;P)'!S8666="Yes",
    1.15,
    1.00)</f>
        <v/>
      </c>
      <c r="Q8666">
        <f>IF('Loan Tape (S&amp;P)'!V8666="Yes",
    1.20,
    1.00)</f>
        <v/>
      </c>
      <c r="T8666">
        <f>LET(
    payment_method,'Loan Tape (S&amp;P)'!P8666,
    occupancy,'Loan Tape (S&amp;P)'!N8666,
    maturity_date,'Loan Tape (S&amp;P)'!L8666,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67">
      <c r="J8667">
        <f>LET(
    lien,'Loan Tape (S&amp;P)'!Q8667,
    IF(lien="First",1.00,
        IF(lien="Second",1.50,
            1.70)))</f>
        <v/>
      </c>
      <c r="K8667">
        <f>LET(
    purpose,'Loan Tape (S&amp;P)'!R8667,
    IF(purpose="Purchase",1.00,
        IF(purpose="Remortgage",1.00,
            1.20)))</f>
        <v/>
      </c>
      <c r="L8667">
        <f>LET(
    arrears_months,'Loan Tape (S&amp;P)'!AN8667,
    IF(arrears_months=0,1.00,
    IF(arrears_months=1,3.00,
    IF(arrears_months=2,5.00,
    IF(arrears_months=3,8.00,
    IF(arrears_months=4,10.00,
    IF(arrears_months=5,12.00,15.00)))))))</f>
        <v/>
      </c>
      <c r="M8667">
        <f>LET(
    seasoning_years,DATEDIF('Loan Tape (S&amp;P)'!K8667,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67">
        <f>IF(AND('Loan Tape (S&amp;P)'!U8667="Yes",
        'Loan Tape (S&amp;P)'!T8667&lt;&gt;"Yes",
        DATEDIF('Loan Tape (S&amp;P)'!K8667, TODAY(), "M")&lt;18),
    1.10,
    1.00)</f>
        <v/>
      </c>
      <c r="O8667">
        <f>IF('Loan Tape (S&amp;P)'!T8667="Yes",
    1.35,
    1.00)</f>
        <v/>
      </c>
      <c r="P8667">
        <f>IF('Loan Tape (S&amp;P)'!S8667="Yes",
    1.15,
    1.00)</f>
        <v/>
      </c>
      <c r="Q8667">
        <f>IF('Loan Tape (S&amp;P)'!V8667="Yes",
    1.20,
    1.00)</f>
        <v/>
      </c>
      <c r="T8667">
        <f>LET(
    payment_method,'Loan Tape (S&amp;P)'!P8667,
    occupancy,'Loan Tape (S&amp;P)'!N8667,
    maturity_date,'Loan Tape (S&amp;P)'!L8667,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68">
      <c r="J8668">
        <f>LET(
    lien,'Loan Tape (S&amp;P)'!Q8668,
    IF(lien="First",1.00,
        IF(lien="Second",1.50,
            1.70)))</f>
        <v/>
      </c>
      <c r="K8668">
        <f>LET(
    purpose,'Loan Tape (S&amp;P)'!R8668,
    IF(purpose="Purchase",1.00,
        IF(purpose="Remortgage",1.00,
            1.20)))</f>
        <v/>
      </c>
      <c r="L8668">
        <f>LET(
    arrears_months,'Loan Tape (S&amp;P)'!AN8668,
    IF(arrears_months=0,1.00,
    IF(arrears_months=1,3.00,
    IF(arrears_months=2,5.00,
    IF(arrears_months=3,8.00,
    IF(arrears_months=4,10.00,
    IF(arrears_months=5,12.00,15.00)))))))</f>
        <v/>
      </c>
      <c r="M8668">
        <f>LET(
    seasoning_years,DATEDIF('Loan Tape (S&amp;P)'!K8668,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68">
        <f>IF(AND('Loan Tape (S&amp;P)'!U8668="Yes",
        'Loan Tape (S&amp;P)'!T8668&lt;&gt;"Yes",
        DATEDIF('Loan Tape (S&amp;P)'!K8668, TODAY(), "M")&lt;18),
    1.10,
    1.00)</f>
        <v/>
      </c>
      <c r="O8668">
        <f>IF('Loan Tape (S&amp;P)'!T8668="Yes",
    1.35,
    1.00)</f>
        <v/>
      </c>
      <c r="P8668">
        <f>IF('Loan Tape (S&amp;P)'!S8668="Yes",
    1.15,
    1.00)</f>
        <v/>
      </c>
      <c r="Q8668">
        <f>IF('Loan Tape (S&amp;P)'!V8668="Yes",
    1.20,
    1.00)</f>
        <v/>
      </c>
      <c r="T8668">
        <f>LET(
    payment_method,'Loan Tape (S&amp;P)'!P8668,
    occupancy,'Loan Tape (S&amp;P)'!N8668,
    maturity_date,'Loan Tape (S&amp;P)'!L8668,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69">
      <c r="J8669">
        <f>LET(
    lien,'Loan Tape (S&amp;P)'!Q8669,
    IF(lien="First",1.00,
        IF(lien="Second",1.50,
            1.70)))</f>
        <v/>
      </c>
      <c r="K8669">
        <f>LET(
    purpose,'Loan Tape (S&amp;P)'!R8669,
    IF(purpose="Purchase",1.00,
        IF(purpose="Remortgage",1.00,
            1.20)))</f>
        <v/>
      </c>
      <c r="L8669">
        <f>LET(
    arrears_months,'Loan Tape (S&amp;P)'!AN8669,
    IF(arrears_months=0,1.00,
    IF(arrears_months=1,3.00,
    IF(arrears_months=2,5.00,
    IF(arrears_months=3,8.00,
    IF(arrears_months=4,10.00,
    IF(arrears_months=5,12.00,15.00)))))))</f>
        <v/>
      </c>
      <c r="M8669">
        <f>LET(
    seasoning_years,DATEDIF('Loan Tape (S&amp;P)'!K8669,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69">
        <f>IF(AND('Loan Tape (S&amp;P)'!U8669="Yes",
        'Loan Tape (S&amp;P)'!T8669&lt;&gt;"Yes",
        DATEDIF('Loan Tape (S&amp;P)'!K8669, TODAY(), "M")&lt;18),
    1.10,
    1.00)</f>
        <v/>
      </c>
      <c r="O8669">
        <f>IF('Loan Tape (S&amp;P)'!T8669="Yes",
    1.35,
    1.00)</f>
        <v/>
      </c>
      <c r="P8669">
        <f>IF('Loan Tape (S&amp;P)'!S8669="Yes",
    1.15,
    1.00)</f>
        <v/>
      </c>
      <c r="Q8669">
        <f>IF('Loan Tape (S&amp;P)'!V8669="Yes",
    1.20,
    1.00)</f>
        <v/>
      </c>
      <c r="T8669">
        <f>LET(
    payment_method,'Loan Tape (S&amp;P)'!P8669,
    occupancy,'Loan Tape (S&amp;P)'!N8669,
    maturity_date,'Loan Tape (S&amp;P)'!L8669,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70">
      <c r="J8670">
        <f>LET(
    lien,'Loan Tape (S&amp;P)'!Q8670,
    IF(lien="First",1.00,
        IF(lien="Second",1.50,
            1.70)))</f>
        <v/>
      </c>
      <c r="K8670">
        <f>LET(
    purpose,'Loan Tape (S&amp;P)'!R8670,
    IF(purpose="Purchase",1.00,
        IF(purpose="Remortgage",1.00,
            1.20)))</f>
        <v/>
      </c>
      <c r="L8670">
        <f>LET(
    arrears_months,'Loan Tape (S&amp;P)'!AN8670,
    IF(arrears_months=0,1.00,
    IF(arrears_months=1,3.00,
    IF(arrears_months=2,5.00,
    IF(arrears_months=3,8.00,
    IF(arrears_months=4,10.00,
    IF(arrears_months=5,12.00,15.00)))))))</f>
        <v/>
      </c>
      <c r="M8670">
        <f>LET(
    seasoning_years,DATEDIF('Loan Tape (S&amp;P)'!K8670,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70">
        <f>IF(AND('Loan Tape (S&amp;P)'!U8670="Yes",
        'Loan Tape (S&amp;P)'!T8670&lt;&gt;"Yes",
        DATEDIF('Loan Tape (S&amp;P)'!K8670, TODAY(), "M")&lt;18),
    1.10,
    1.00)</f>
        <v/>
      </c>
      <c r="O8670">
        <f>IF('Loan Tape (S&amp;P)'!T8670="Yes",
    1.35,
    1.00)</f>
        <v/>
      </c>
      <c r="P8670">
        <f>IF('Loan Tape (S&amp;P)'!S8670="Yes",
    1.15,
    1.00)</f>
        <v/>
      </c>
      <c r="Q8670">
        <f>IF('Loan Tape (S&amp;P)'!V8670="Yes",
    1.20,
    1.00)</f>
        <v/>
      </c>
      <c r="T8670">
        <f>LET(
    payment_method,'Loan Tape (S&amp;P)'!P8670,
    occupancy,'Loan Tape (S&amp;P)'!N8670,
    maturity_date,'Loan Tape (S&amp;P)'!L8670,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71">
      <c r="J8671">
        <f>LET(
    lien,'Loan Tape (S&amp;P)'!Q8671,
    IF(lien="First",1.00,
        IF(lien="Second",1.50,
            1.70)))</f>
        <v/>
      </c>
      <c r="K8671">
        <f>LET(
    purpose,'Loan Tape (S&amp;P)'!R8671,
    IF(purpose="Purchase",1.00,
        IF(purpose="Remortgage",1.00,
            1.20)))</f>
        <v/>
      </c>
      <c r="L8671">
        <f>LET(
    arrears_months,'Loan Tape (S&amp;P)'!AN8671,
    IF(arrears_months=0,1.00,
    IF(arrears_months=1,3.00,
    IF(arrears_months=2,5.00,
    IF(arrears_months=3,8.00,
    IF(arrears_months=4,10.00,
    IF(arrears_months=5,12.00,15.00)))))))</f>
        <v/>
      </c>
      <c r="M8671">
        <f>LET(
    seasoning_years,DATEDIF('Loan Tape (S&amp;P)'!K8671,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71">
        <f>IF(AND('Loan Tape (S&amp;P)'!U8671="Yes",
        'Loan Tape (S&amp;P)'!T8671&lt;&gt;"Yes",
        DATEDIF('Loan Tape (S&amp;P)'!K8671, TODAY(), "M")&lt;18),
    1.10,
    1.00)</f>
        <v/>
      </c>
      <c r="O8671">
        <f>IF('Loan Tape (S&amp;P)'!T8671="Yes",
    1.35,
    1.00)</f>
        <v/>
      </c>
      <c r="P8671">
        <f>IF('Loan Tape (S&amp;P)'!S8671="Yes",
    1.15,
    1.00)</f>
        <v/>
      </c>
      <c r="Q8671">
        <f>IF('Loan Tape (S&amp;P)'!V8671="Yes",
    1.20,
    1.00)</f>
        <v/>
      </c>
      <c r="T8671">
        <f>LET(
    payment_method,'Loan Tape (S&amp;P)'!P8671,
    occupancy,'Loan Tape (S&amp;P)'!N8671,
    maturity_date,'Loan Tape (S&amp;P)'!L8671,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72">
      <c r="J8672">
        <f>LET(
    lien,'Loan Tape (S&amp;P)'!Q8672,
    IF(lien="First",1.00,
        IF(lien="Second",1.50,
            1.70)))</f>
        <v/>
      </c>
      <c r="K8672">
        <f>LET(
    purpose,'Loan Tape (S&amp;P)'!R8672,
    IF(purpose="Purchase",1.00,
        IF(purpose="Remortgage",1.00,
            1.20)))</f>
        <v/>
      </c>
      <c r="L8672">
        <f>LET(
    arrears_months,'Loan Tape (S&amp;P)'!AN8672,
    IF(arrears_months=0,1.00,
    IF(arrears_months=1,3.00,
    IF(arrears_months=2,5.00,
    IF(arrears_months=3,8.00,
    IF(arrears_months=4,10.00,
    IF(arrears_months=5,12.00,15.00)))))))</f>
        <v/>
      </c>
      <c r="M8672">
        <f>LET(
    seasoning_years,DATEDIF('Loan Tape (S&amp;P)'!K8672,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72">
        <f>IF(AND('Loan Tape (S&amp;P)'!U8672="Yes",
        'Loan Tape (S&amp;P)'!T8672&lt;&gt;"Yes",
        DATEDIF('Loan Tape (S&amp;P)'!K8672, TODAY(), "M")&lt;18),
    1.10,
    1.00)</f>
        <v/>
      </c>
      <c r="O8672">
        <f>IF('Loan Tape (S&amp;P)'!T8672="Yes",
    1.35,
    1.00)</f>
        <v/>
      </c>
      <c r="P8672">
        <f>IF('Loan Tape (S&amp;P)'!S8672="Yes",
    1.15,
    1.00)</f>
        <v/>
      </c>
      <c r="Q8672">
        <f>IF('Loan Tape (S&amp;P)'!V8672="Yes",
    1.20,
    1.00)</f>
        <v/>
      </c>
      <c r="T8672">
        <f>LET(
    payment_method,'Loan Tape (S&amp;P)'!P8672,
    occupancy,'Loan Tape (S&amp;P)'!N8672,
    maturity_date,'Loan Tape (S&amp;P)'!L8672,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73">
      <c r="J8673">
        <f>LET(
    lien,'Loan Tape (S&amp;P)'!Q8673,
    IF(lien="First",1.00,
        IF(lien="Second",1.50,
            1.70)))</f>
        <v/>
      </c>
      <c r="K8673">
        <f>LET(
    purpose,'Loan Tape (S&amp;P)'!R8673,
    IF(purpose="Purchase",1.00,
        IF(purpose="Remortgage",1.00,
            1.20)))</f>
        <v/>
      </c>
      <c r="L8673">
        <f>LET(
    arrears_months,'Loan Tape (S&amp;P)'!AN8673,
    IF(arrears_months=0,1.00,
    IF(arrears_months=1,3.00,
    IF(arrears_months=2,5.00,
    IF(arrears_months=3,8.00,
    IF(arrears_months=4,10.00,
    IF(arrears_months=5,12.00,15.00)))))))</f>
        <v/>
      </c>
      <c r="M8673">
        <f>LET(
    seasoning_years,DATEDIF('Loan Tape (S&amp;P)'!K8673,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73">
        <f>IF(AND('Loan Tape (S&amp;P)'!U8673="Yes",
        'Loan Tape (S&amp;P)'!T8673&lt;&gt;"Yes",
        DATEDIF('Loan Tape (S&amp;P)'!K8673, TODAY(), "M")&lt;18),
    1.10,
    1.00)</f>
        <v/>
      </c>
      <c r="O8673">
        <f>IF('Loan Tape (S&amp;P)'!T8673="Yes",
    1.35,
    1.00)</f>
        <v/>
      </c>
      <c r="P8673">
        <f>IF('Loan Tape (S&amp;P)'!S8673="Yes",
    1.15,
    1.00)</f>
        <v/>
      </c>
      <c r="Q8673">
        <f>IF('Loan Tape (S&amp;P)'!V8673="Yes",
    1.20,
    1.00)</f>
        <v/>
      </c>
      <c r="T8673">
        <f>LET(
    payment_method,'Loan Tape (S&amp;P)'!P8673,
    occupancy,'Loan Tape (S&amp;P)'!N8673,
    maturity_date,'Loan Tape (S&amp;P)'!L8673,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74">
      <c r="J8674">
        <f>LET(
    lien,'Loan Tape (S&amp;P)'!Q8674,
    IF(lien="First",1.00,
        IF(lien="Second",1.50,
            1.70)))</f>
        <v/>
      </c>
      <c r="K8674">
        <f>LET(
    purpose,'Loan Tape (S&amp;P)'!R8674,
    IF(purpose="Purchase",1.00,
        IF(purpose="Remortgage",1.00,
            1.20)))</f>
        <v/>
      </c>
      <c r="L8674">
        <f>LET(
    arrears_months,'Loan Tape (S&amp;P)'!AN8674,
    IF(arrears_months=0,1.00,
    IF(arrears_months=1,3.00,
    IF(arrears_months=2,5.00,
    IF(arrears_months=3,8.00,
    IF(arrears_months=4,10.00,
    IF(arrears_months=5,12.00,15.00)))))))</f>
        <v/>
      </c>
      <c r="M8674">
        <f>LET(
    seasoning_years,DATEDIF('Loan Tape (S&amp;P)'!K8674,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74">
        <f>IF(AND('Loan Tape (S&amp;P)'!U8674="Yes",
        'Loan Tape (S&amp;P)'!T8674&lt;&gt;"Yes",
        DATEDIF('Loan Tape (S&amp;P)'!K8674, TODAY(), "M")&lt;18),
    1.10,
    1.00)</f>
        <v/>
      </c>
      <c r="O8674">
        <f>IF('Loan Tape (S&amp;P)'!T8674="Yes",
    1.35,
    1.00)</f>
        <v/>
      </c>
      <c r="P8674">
        <f>IF('Loan Tape (S&amp;P)'!S8674="Yes",
    1.15,
    1.00)</f>
        <v/>
      </c>
      <c r="Q8674">
        <f>IF('Loan Tape (S&amp;P)'!V8674="Yes",
    1.20,
    1.00)</f>
        <v/>
      </c>
      <c r="T8674">
        <f>LET(
    payment_method,'Loan Tape (S&amp;P)'!P8674,
    occupancy,'Loan Tape (S&amp;P)'!N8674,
    maturity_date,'Loan Tape (S&amp;P)'!L8674,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75">
      <c r="J8675">
        <f>LET(
    lien,'Loan Tape (S&amp;P)'!Q8675,
    IF(lien="First",1.00,
        IF(lien="Second",1.50,
            1.70)))</f>
        <v/>
      </c>
      <c r="K8675">
        <f>LET(
    purpose,'Loan Tape (S&amp;P)'!R8675,
    IF(purpose="Purchase",1.00,
        IF(purpose="Remortgage",1.00,
            1.20)))</f>
        <v/>
      </c>
      <c r="L8675">
        <f>LET(
    arrears_months,'Loan Tape (S&amp;P)'!AN8675,
    IF(arrears_months=0,1.00,
    IF(arrears_months=1,3.00,
    IF(arrears_months=2,5.00,
    IF(arrears_months=3,8.00,
    IF(arrears_months=4,10.00,
    IF(arrears_months=5,12.00,15.00)))))))</f>
        <v/>
      </c>
      <c r="M8675">
        <f>LET(
    seasoning_years,DATEDIF('Loan Tape (S&amp;P)'!K8675,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75">
        <f>IF(AND('Loan Tape (S&amp;P)'!U8675="Yes",
        'Loan Tape (S&amp;P)'!T8675&lt;&gt;"Yes",
        DATEDIF('Loan Tape (S&amp;P)'!K8675, TODAY(), "M")&lt;18),
    1.10,
    1.00)</f>
        <v/>
      </c>
      <c r="O8675">
        <f>IF('Loan Tape (S&amp;P)'!T8675="Yes",
    1.35,
    1.00)</f>
        <v/>
      </c>
      <c r="P8675">
        <f>IF('Loan Tape (S&amp;P)'!S8675="Yes",
    1.15,
    1.00)</f>
        <v/>
      </c>
      <c r="Q8675">
        <f>IF('Loan Tape (S&amp;P)'!V8675="Yes",
    1.20,
    1.00)</f>
        <v/>
      </c>
      <c r="T8675">
        <f>LET(
    payment_method,'Loan Tape (S&amp;P)'!P8675,
    occupancy,'Loan Tape (S&amp;P)'!N8675,
    maturity_date,'Loan Tape (S&amp;P)'!L8675,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76">
      <c r="J8676">
        <f>LET(
    lien,'Loan Tape (S&amp;P)'!Q8676,
    IF(lien="First",1.00,
        IF(lien="Second",1.50,
            1.70)))</f>
        <v/>
      </c>
      <c r="K8676">
        <f>LET(
    purpose,'Loan Tape (S&amp;P)'!R8676,
    IF(purpose="Purchase",1.00,
        IF(purpose="Remortgage",1.00,
            1.20)))</f>
        <v/>
      </c>
      <c r="L8676">
        <f>LET(
    arrears_months,'Loan Tape (S&amp;P)'!AN8676,
    IF(arrears_months=0,1.00,
    IF(arrears_months=1,3.00,
    IF(arrears_months=2,5.00,
    IF(arrears_months=3,8.00,
    IF(arrears_months=4,10.00,
    IF(arrears_months=5,12.00,15.00)))))))</f>
        <v/>
      </c>
      <c r="M8676">
        <f>LET(
    seasoning_years,DATEDIF('Loan Tape (S&amp;P)'!K8676,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76">
        <f>IF(AND('Loan Tape (S&amp;P)'!U8676="Yes",
        'Loan Tape (S&amp;P)'!T8676&lt;&gt;"Yes",
        DATEDIF('Loan Tape (S&amp;P)'!K8676, TODAY(), "M")&lt;18),
    1.10,
    1.00)</f>
        <v/>
      </c>
      <c r="O8676">
        <f>IF('Loan Tape (S&amp;P)'!T8676="Yes",
    1.35,
    1.00)</f>
        <v/>
      </c>
      <c r="P8676">
        <f>IF('Loan Tape (S&amp;P)'!S8676="Yes",
    1.15,
    1.00)</f>
        <v/>
      </c>
      <c r="Q8676">
        <f>IF('Loan Tape (S&amp;P)'!V8676="Yes",
    1.20,
    1.00)</f>
        <v/>
      </c>
      <c r="T8676">
        <f>LET(
    payment_method,'Loan Tape (S&amp;P)'!P8676,
    occupancy,'Loan Tape (S&amp;P)'!N8676,
    maturity_date,'Loan Tape (S&amp;P)'!L8676,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77">
      <c r="J8677">
        <f>LET(
    lien,'Loan Tape (S&amp;P)'!Q8677,
    IF(lien="First",1.00,
        IF(lien="Second",1.50,
            1.70)))</f>
        <v/>
      </c>
      <c r="K8677">
        <f>LET(
    purpose,'Loan Tape (S&amp;P)'!R8677,
    IF(purpose="Purchase",1.00,
        IF(purpose="Remortgage",1.00,
            1.20)))</f>
        <v/>
      </c>
      <c r="L8677">
        <f>LET(
    arrears_months,'Loan Tape (S&amp;P)'!AN8677,
    IF(arrears_months=0,1.00,
    IF(arrears_months=1,3.00,
    IF(arrears_months=2,5.00,
    IF(arrears_months=3,8.00,
    IF(arrears_months=4,10.00,
    IF(arrears_months=5,12.00,15.00)))))))</f>
        <v/>
      </c>
      <c r="M8677">
        <f>LET(
    seasoning_years,DATEDIF('Loan Tape (S&amp;P)'!K8677,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77">
        <f>IF(AND('Loan Tape (S&amp;P)'!U8677="Yes",
        'Loan Tape (S&amp;P)'!T8677&lt;&gt;"Yes",
        DATEDIF('Loan Tape (S&amp;P)'!K8677, TODAY(), "M")&lt;18),
    1.10,
    1.00)</f>
        <v/>
      </c>
      <c r="O8677">
        <f>IF('Loan Tape (S&amp;P)'!T8677="Yes",
    1.35,
    1.00)</f>
        <v/>
      </c>
      <c r="P8677">
        <f>IF('Loan Tape (S&amp;P)'!S8677="Yes",
    1.15,
    1.00)</f>
        <v/>
      </c>
      <c r="Q8677">
        <f>IF('Loan Tape (S&amp;P)'!V8677="Yes",
    1.20,
    1.00)</f>
        <v/>
      </c>
      <c r="T8677">
        <f>LET(
    payment_method,'Loan Tape (S&amp;P)'!P8677,
    occupancy,'Loan Tape (S&amp;P)'!N8677,
    maturity_date,'Loan Tape (S&amp;P)'!L8677,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78">
      <c r="J8678">
        <f>LET(
    lien,'Loan Tape (S&amp;P)'!Q8678,
    IF(lien="First",1.00,
        IF(lien="Second",1.50,
            1.70)))</f>
        <v/>
      </c>
      <c r="K8678">
        <f>LET(
    purpose,'Loan Tape (S&amp;P)'!R8678,
    IF(purpose="Purchase",1.00,
        IF(purpose="Remortgage",1.00,
            1.20)))</f>
        <v/>
      </c>
      <c r="L8678">
        <f>LET(
    arrears_months,'Loan Tape (S&amp;P)'!AN8678,
    IF(arrears_months=0,1.00,
    IF(arrears_months=1,3.00,
    IF(arrears_months=2,5.00,
    IF(arrears_months=3,8.00,
    IF(arrears_months=4,10.00,
    IF(arrears_months=5,12.00,15.00)))))))</f>
        <v/>
      </c>
      <c r="M8678">
        <f>LET(
    seasoning_years,DATEDIF('Loan Tape (S&amp;P)'!K8678,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78">
        <f>IF(AND('Loan Tape (S&amp;P)'!U8678="Yes",
        'Loan Tape (S&amp;P)'!T8678&lt;&gt;"Yes",
        DATEDIF('Loan Tape (S&amp;P)'!K8678, TODAY(), "M")&lt;18),
    1.10,
    1.00)</f>
        <v/>
      </c>
      <c r="O8678">
        <f>IF('Loan Tape (S&amp;P)'!T8678="Yes",
    1.35,
    1.00)</f>
        <v/>
      </c>
      <c r="P8678">
        <f>IF('Loan Tape (S&amp;P)'!S8678="Yes",
    1.15,
    1.00)</f>
        <v/>
      </c>
      <c r="Q8678">
        <f>IF('Loan Tape (S&amp;P)'!V8678="Yes",
    1.20,
    1.00)</f>
        <v/>
      </c>
      <c r="T8678">
        <f>LET(
    payment_method,'Loan Tape (S&amp;P)'!P8678,
    occupancy,'Loan Tape (S&amp;P)'!N8678,
    maturity_date,'Loan Tape (S&amp;P)'!L8678,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79">
      <c r="J8679">
        <f>LET(
    lien,'Loan Tape (S&amp;P)'!Q8679,
    IF(lien="First",1.00,
        IF(lien="Second",1.50,
            1.70)))</f>
        <v/>
      </c>
      <c r="K8679">
        <f>LET(
    purpose,'Loan Tape (S&amp;P)'!R8679,
    IF(purpose="Purchase",1.00,
        IF(purpose="Remortgage",1.00,
            1.20)))</f>
        <v/>
      </c>
      <c r="L8679">
        <f>LET(
    arrears_months,'Loan Tape (S&amp;P)'!AN8679,
    IF(arrears_months=0,1.00,
    IF(arrears_months=1,3.00,
    IF(arrears_months=2,5.00,
    IF(arrears_months=3,8.00,
    IF(arrears_months=4,10.00,
    IF(arrears_months=5,12.00,15.00)))))))</f>
        <v/>
      </c>
      <c r="M8679">
        <f>LET(
    seasoning_years,DATEDIF('Loan Tape (S&amp;P)'!K8679,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79">
        <f>IF(AND('Loan Tape (S&amp;P)'!U8679="Yes",
        'Loan Tape (S&amp;P)'!T8679&lt;&gt;"Yes",
        DATEDIF('Loan Tape (S&amp;P)'!K8679, TODAY(), "M")&lt;18),
    1.10,
    1.00)</f>
        <v/>
      </c>
      <c r="O8679">
        <f>IF('Loan Tape (S&amp;P)'!T8679="Yes",
    1.35,
    1.00)</f>
        <v/>
      </c>
      <c r="P8679">
        <f>IF('Loan Tape (S&amp;P)'!S8679="Yes",
    1.15,
    1.00)</f>
        <v/>
      </c>
      <c r="Q8679">
        <f>IF('Loan Tape (S&amp;P)'!V8679="Yes",
    1.20,
    1.00)</f>
        <v/>
      </c>
      <c r="T8679">
        <f>LET(
    payment_method,'Loan Tape (S&amp;P)'!P8679,
    occupancy,'Loan Tape (S&amp;P)'!N8679,
    maturity_date,'Loan Tape (S&amp;P)'!L8679,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80">
      <c r="J8680">
        <f>LET(
    lien,'Loan Tape (S&amp;P)'!Q8680,
    IF(lien="First",1.00,
        IF(lien="Second",1.50,
            1.70)))</f>
        <v/>
      </c>
      <c r="K8680">
        <f>LET(
    purpose,'Loan Tape (S&amp;P)'!R8680,
    IF(purpose="Purchase",1.00,
        IF(purpose="Remortgage",1.00,
            1.20)))</f>
        <v/>
      </c>
      <c r="L8680">
        <f>LET(
    arrears_months,'Loan Tape (S&amp;P)'!AN8680,
    IF(arrears_months=0,1.00,
    IF(arrears_months=1,3.00,
    IF(arrears_months=2,5.00,
    IF(arrears_months=3,8.00,
    IF(arrears_months=4,10.00,
    IF(arrears_months=5,12.00,15.00)))))))</f>
        <v/>
      </c>
      <c r="M8680">
        <f>LET(
    seasoning_years,DATEDIF('Loan Tape (S&amp;P)'!K8680,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80">
        <f>IF(AND('Loan Tape (S&amp;P)'!U8680="Yes",
        'Loan Tape (S&amp;P)'!T8680&lt;&gt;"Yes",
        DATEDIF('Loan Tape (S&amp;P)'!K8680, TODAY(), "M")&lt;18),
    1.10,
    1.00)</f>
        <v/>
      </c>
      <c r="O8680">
        <f>IF('Loan Tape (S&amp;P)'!T8680="Yes",
    1.35,
    1.00)</f>
        <v/>
      </c>
      <c r="P8680">
        <f>IF('Loan Tape (S&amp;P)'!S8680="Yes",
    1.15,
    1.00)</f>
        <v/>
      </c>
      <c r="Q8680">
        <f>IF('Loan Tape (S&amp;P)'!V8680="Yes",
    1.20,
    1.00)</f>
        <v/>
      </c>
      <c r="T8680">
        <f>LET(
    payment_method,'Loan Tape (S&amp;P)'!P8680,
    occupancy,'Loan Tape (S&amp;P)'!N8680,
    maturity_date,'Loan Tape (S&amp;P)'!L8680,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81">
      <c r="J8681">
        <f>LET(
    lien,'Loan Tape (S&amp;P)'!Q8681,
    IF(lien="First",1.00,
        IF(lien="Second",1.50,
            1.70)))</f>
        <v/>
      </c>
      <c r="K8681">
        <f>LET(
    purpose,'Loan Tape (S&amp;P)'!R8681,
    IF(purpose="Purchase",1.00,
        IF(purpose="Remortgage",1.00,
            1.20)))</f>
        <v/>
      </c>
      <c r="L8681">
        <f>LET(
    arrears_months,'Loan Tape (S&amp;P)'!AN8681,
    IF(arrears_months=0,1.00,
    IF(arrears_months=1,3.00,
    IF(arrears_months=2,5.00,
    IF(arrears_months=3,8.00,
    IF(arrears_months=4,10.00,
    IF(arrears_months=5,12.00,15.00)))))))</f>
        <v/>
      </c>
      <c r="M8681">
        <f>LET(
    seasoning_years,DATEDIF('Loan Tape (S&amp;P)'!K8681,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81">
        <f>IF(AND('Loan Tape (S&amp;P)'!U8681="Yes",
        'Loan Tape (S&amp;P)'!T8681&lt;&gt;"Yes",
        DATEDIF('Loan Tape (S&amp;P)'!K8681, TODAY(), "M")&lt;18),
    1.10,
    1.00)</f>
        <v/>
      </c>
      <c r="O8681">
        <f>IF('Loan Tape (S&amp;P)'!T8681="Yes",
    1.35,
    1.00)</f>
        <v/>
      </c>
      <c r="P8681">
        <f>IF('Loan Tape (S&amp;P)'!S8681="Yes",
    1.15,
    1.00)</f>
        <v/>
      </c>
      <c r="Q8681">
        <f>IF('Loan Tape (S&amp;P)'!V8681="Yes",
    1.20,
    1.00)</f>
        <v/>
      </c>
      <c r="T8681">
        <f>LET(
    payment_method,'Loan Tape (S&amp;P)'!P8681,
    occupancy,'Loan Tape (S&amp;P)'!N8681,
    maturity_date,'Loan Tape (S&amp;P)'!L8681,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82">
      <c r="J8682">
        <f>LET(
    lien,'Loan Tape (S&amp;P)'!Q8682,
    IF(lien="First",1.00,
        IF(lien="Second",1.50,
            1.70)))</f>
        <v/>
      </c>
      <c r="K8682">
        <f>LET(
    purpose,'Loan Tape (S&amp;P)'!R8682,
    IF(purpose="Purchase",1.00,
        IF(purpose="Remortgage",1.00,
            1.20)))</f>
        <v/>
      </c>
      <c r="L8682">
        <f>LET(
    arrears_months,'Loan Tape (S&amp;P)'!AN8682,
    IF(arrears_months=0,1.00,
    IF(arrears_months=1,3.00,
    IF(arrears_months=2,5.00,
    IF(arrears_months=3,8.00,
    IF(arrears_months=4,10.00,
    IF(arrears_months=5,12.00,15.00)))))))</f>
        <v/>
      </c>
      <c r="M8682">
        <f>LET(
    seasoning_years,DATEDIF('Loan Tape (S&amp;P)'!K8682,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82">
        <f>IF(AND('Loan Tape (S&amp;P)'!U8682="Yes",
        'Loan Tape (S&amp;P)'!T8682&lt;&gt;"Yes",
        DATEDIF('Loan Tape (S&amp;P)'!K8682, TODAY(), "M")&lt;18),
    1.10,
    1.00)</f>
        <v/>
      </c>
      <c r="O8682">
        <f>IF('Loan Tape (S&amp;P)'!T8682="Yes",
    1.35,
    1.00)</f>
        <v/>
      </c>
      <c r="P8682">
        <f>IF('Loan Tape (S&amp;P)'!S8682="Yes",
    1.15,
    1.00)</f>
        <v/>
      </c>
      <c r="Q8682">
        <f>IF('Loan Tape (S&amp;P)'!V8682="Yes",
    1.20,
    1.00)</f>
        <v/>
      </c>
      <c r="T8682">
        <f>LET(
    payment_method,'Loan Tape (S&amp;P)'!P8682,
    occupancy,'Loan Tape (S&amp;P)'!N8682,
    maturity_date,'Loan Tape (S&amp;P)'!L8682,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83">
      <c r="J8683">
        <f>LET(
    lien,'Loan Tape (S&amp;P)'!Q8683,
    IF(lien="First",1.00,
        IF(lien="Second",1.50,
            1.70)))</f>
        <v/>
      </c>
      <c r="K8683">
        <f>LET(
    purpose,'Loan Tape (S&amp;P)'!R8683,
    IF(purpose="Purchase",1.00,
        IF(purpose="Remortgage",1.00,
            1.20)))</f>
        <v/>
      </c>
      <c r="L8683">
        <f>LET(
    arrears_months,'Loan Tape (S&amp;P)'!AN8683,
    IF(arrears_months=0,1.00,
    IF(arrears_months=1,3.00,
    IF(arrears_months=2,5.00,
    IF(arrears_months=3,8.00,
    IF(arrears_months=4,10.00,
    IF(arrears_months=5,12.00,15.00)))))))</f>
        <v/>
      </c>
      <c r="M8683">
        <f>LET(
    seasoning_years,DATEDIF('Loan Tape (S&amp;P)'!K8683,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83">
        <f>IF(AND('Loan Tape (S&amp;P)'!U8683="Yes",
        'Loan Tape (S&amp;P)'!T8683&lt;&gt;"Yes",
        DATEDIF('Loan Tape (S&amp;P)'!K8683, TODAY(), "M")&lt;18),
    1.10,
    1.00)</f>
        <v/>
      </c>
      <c r="O8683">
        <f>IF('Loan Tape (S&amp;P)'!T8683="Yes",
    1.35,
    1.00)</f>
        <v/>
      </c>
      <c r="P8683">
        <f>IF('Loan Tape (S&amp;P)'!S8683="Yes",
    1.15,
    1.00)</f>
        <v/>
      </c>
      <c r="Q8683">
        <f>IF('Loan Tape (S&amp;P)'!V8683="Yes",
    1.20,
    1.00)</f>
        <v/>
      </c>
      <c r="T8683">
        <f>LET(
    payment_method,'Loan Tape (S&amp;P)'!P8683,
    occupancy,'Loan Tape (S&amp;P)'!N8683,
    maturity_date,'Loan Tape (S&amp;P)'!L8683,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84">
      <c r="J8684">
        <f>LET(
    lien,'Loan Tape (S&amp;P)'!Q8684,
    IF(lien="First",1.00,
        IF(lien="Second",1.50,
            1.70)))</f>
        <v/>
      </c>
      <c r="K8684">
        <f>LET(
    purpose,'Loan Tape (S&amp;P)'!R8684,
    IF(purpose="Purchase",1.00,
        IF(purpose="Remortgage",1.00,
            1.20)))</f>
        <v/>
      </c>
      <c r="L8684">
        <f>LET(
    arrears_months,'Loan Tape (S&amp;P)'!AN8684,
    IF(arrears_months=0,1.00,
    IF(arrears_months=1,3.00,
    IF(arrears_months=2,5.00,
    IF(arrears_months=3,8.00,
    IF(arrears_months=4,10.00,
    IF(arrears_months=5,12.00,15.00)))))))</f>
        <v/>
      </c>
      <c r="M8684">
        <f>LET(
    seasoning_years,DATEDIF('Loan Tape (S&amp;P)'!K8684,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84">
        <f>IF(AND('Loan Tape (S&amp;P)'!U8684="Yes",
        'Loan Tape (S&amp;P)'!T8684&lt;&gt;"Yes",
        DATEDIF('Loan Tape (S&amp;P)'!K8684, TODAY(), "M")&lt;18),
    1.10,
    1.00)</f>
        <v/>
      </c>
      <c r="O8684">
        <f>IF('Loan Tape (S&amp;P)'!T8684="Yes",
    1.35,
    1.00)</f>
        <v/>
      </c>
      <c r="P8684">
        <f>IF('Loan Tape (S&amp;P)'!S8684="Yes",
    1.15,
    1.00)</f>
        <v/>
      </c>
      <c r="Q8684">
        <f>IF('Loan Tape (S&amp;P)'!V8684="Yes",
    1.20,
    1.00)</f>
        <v/>
      </c>
      <c r="T8684">
        <f>LET(
    payment_method,'Loan Tape (S&amp;P)'!P8684,
    occupancy,'Loan Tape (S&amp;P)'!N8684,
    maturity_date,'Loan Tape (S&amp;P)'!L8684,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85">
      <c r="J8685">
        <f>LET(
    lien,'Loan Tape (S&amp;P)'!Q8685,
    IF(lien="First",1.00,
        IF(lien="Second",1.50,
            1.70)))</f>
        <v/>
      </c>
      <c r="K8685">
        <f>LET(
    purpose,'Loan Tape (S&amp;P)'!R8685,
    IF(purpose="Purchase",1.00,
        IF(purpose="Remortgage",1.00,
            1.20)))</f>
        <v/>
      </c>
      <c r="L8685">
        <f>LET(
    arrears_months,'Loan Tape (S&amp;P)'!AN8685,
    IF(arrears_months=0,1.00,
    IF(arrears_months=1,3.00,
    IF(arrears_months=2,5.00,
    IF(arrears_months=3,8.00,
    IF(arrears_months=4,10.00,
    IF(arrears_months=5,12.00,15.00)))))))</f>
        <v/>
      </c>
      <c r="M8685">
        <f>LET(
    seasoning_years,DATEDIF('Loan Tape (S&amp;P)'!K8685,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85">
        <f>IF(AND('Loan Tape (S&amp;P)'!U8685="Yes",
        'Loan Tape (S&amp;P)'!T8685&lt;&gt;"Yes",
        DATEDIF('Loan Tape (S&amp;P)'!K8685, TODAY(), "M")&lt;18),
    1.10,
    1.00)</f>
        <v/>
      </c>
      <c r="O8685">
        <f>IF('Loan Tape (S&amp;P)'!T8685="Yes",
    1.35,
    1.00)</f>
        <v/>
      </c>
      <c r="P8685">
        <f>IF('Loan Tape (S&amp;P)'!S8685="Yes",
    1.15,
    1.00)</f>
        <v/>
      </c>
      <c r="Q8685">
        <f>IF('Loan Tape (S&amp;P)'!V8685="Yes",
    1.20,
    1.00)</f>
        <v/>
      </c>
      <c r="T8685">
        <f>LET(
    payment_method,'Loan Tape (S&amp;P)'!P8685,
    occupancy,'Loan Tape (S&amp;P)'!N8685,
    maturity_date,'Loan Tape (S&amp;P)'!L8685,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86">
      <c r="J8686">
        <f>LET(
    lien,'Loan Tape (S&amp;P)'!Q8686,
    IF(lien="First",1.00,
        IF(lien="Second",1.50,
            1.70)))</f>
        <v/>
      </c>
      <c r="K8686">
        <f>LET(
    purpose,'Loan Tape (S&amp;P)'!R8686,
    IF(purpose="Purchase",1.00,
        IF(purpose="Remortgage",1.00,
            1.20)))</f>
        <v/>
      </c>
      <c r="L8686">
        <f>LET(
    arrears_months,'Loan Tape (S&amp;P)'!AN8686,
    IF(arrears_months=0,1.00,
    IF(arrears_months=1,3.00,
    IF(arrears_months=2,5.00,
    IF(arrears_months=3,8.00,
    IF(arrears_months=4,10.00,
    IF(arrears_months=5,12.00,15.00)))))))</f>
        <v/>
      </c>
      <c r="M8686">
        <f>LET(
    seasoning_years,DATEDIF('Loan Tape (S&amp;P)'!K8686,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86">
        <f>IF(AND('Loan Tape (S&amp;P)'!U8686="Yes",
        'Loan Tape (S&amp;P)'!T8686&lt;&gt;"Yes",
        DATEDIF('Loan Tape (S&amp;P)'!K8686, TODAY(), "M")&lt;18),
    1.10,
    1.00)</f>
        <v/>
      </c>
      <c r="O8686">
        <f>IF('Loan Tape (S&amp;P)'!T8686="Yes",
    1.35,
    1.00)</f>
        <v/>
      </c>
      <c r="P8686">
        <f>IF('Loan Tape (S&amp;P)'!S8686="Yes",
    1.15,
    1.00)</f>
        <v/>
      </c>
      <c r="Q8686">
        <f>IF('Loan Tape (S&amp;P)'!V8686="Yes",
    1.20,
    1.00)</f>
        <v/>
      </c>
      <c r="T8686">
        <f>LET(
    payment_method,'Loan Tape (S&amp;P)'!P8686,
    occupancy,'Loan Tape (S&amp;P)'!N8686,
    maturity_date,'Loan Tape (S&amp;P)'!L8686,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87">
      <c r="J8687">
        <f>LET(
    lien,'Loan Tape (S&amp;P)'!Q8687,
    IF(lien="First",1.00,
        IF(lien="Second",1.50,
            1.70)))</f>
        <v/>
      </c>
      <c r="K8687">
        <f>LET(
    purpose,'Loan Tape (S&amp;P)'!R8687,
    IF(purpose="Purchase",1.00,
        IF(purpose="Remortgage",1.00,
            1.20)))</f>
        <v/>
      </c>
      <c r="L8687">
        <f>LET(
    arrears_months,'Loan Tape (S&amp;P)'!AN8687,
    IF(arrears_months=0,1.00,
    IF(arrears_months=1,3.00,
    IF(arrears_months=2,5.00,
    IF(arrears_months=3,8.00,
    IF(arrears_months=4,10.00,
    IF(arrears_months=5,12.00,15.00)))))))</f>
        <v/>
      </c>
      <c r="M8687">
        <f>LET(
    seasoning_years,DATEDIF('Loan Tape (S&amp;P)'!K8687,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87">
        <f>IF(AND('Loan Tape (S&amp;P)'!U8687="Yes",
        'Loan Tape (S&amp;P)'!T8687&lt;&gt;"Yes",
        DATEDIF('Loan Tape (S&amp;P)'!K8687, TODAY(), "M")&lt;18),
    1.10,
    1.00)</f>
        <v/>
      </c>
      <c r="O8687">
        <f>IF('Loan Tape (S&amp;P)'!T8687="Yes",
    1.35,
    1.00)</f>
        <v/>
      </c>
      <c r="P8687">
        <f>IF('Loan Tape (S&amp;P)'!S8687="Yes",
    1.15,
    1.00)</f>
        <v/>
      </c>
      <c r="Q8687">
        <f>IF('Loan Tape (S&amp;P)'!V8687="Yes",
    1.20,
    1.00)</f>
        <v/>
      </c>
      <c r="T8687">
        <f>LET(
    payment_method,'Loan Tape (S&amp;P)'!P8687,
    occupancy,'Loan Tape (S&amp;P)'!N8687,
    maturity_date,'Loan Tape (S&amp;P)'!L8687,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88">
      <c r="J8688">
        <f>LET(
    lien,'Loan Tape (S&amp;P)'!Q8688,
    IF(lien="First",1.00,
        IF(lien="Second",1.50,
            1.70)))</f>
        <v/>
      </c>
      <c r="K8688">
        <f>LET(
    purpose,'Loan Tape (S&amp;P)'!R8688,
    IF(purpose="Purchase",1.00,
        IF(purpose="Remortgage",1.00,
            1.20)))</f>
        <v/>
      </c>
      <c r="L8688">
        <f>LET(
    arrears_months,'Loan Tape (S&amp;P)'!AN8688,
    IF(arrears_months=0,1.00,
    IF(arrears_months=1,3.00,
    IF(arrears_months=2,5.00,
    IF(arrears_months=3,8.00,
    IF(arrears_months=4,10.00,
    IF(arrears_months=5,12.00,15.00)))))))</f>
        <v/>
      </c>
      <c r="M8688">
        <f>LET(
    seasoning_years,DATEDIF('Loan Tape (S&amp;P)'!K8688,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88">
        <f>IF(AND('Loan Tape (S&amp;P)'!U8688="Yes",
        'Loan Tape (S&amp;P)'!T8688&lt;&gt;"Yes",
        DATEDIF('Loan Tape (S&amp;P)'!K8688, TODAY(), "M")&lt;18),
    1.10,
    1.00)</f>
        <v/>
      </c>
      <c r="O8688">
        <f>IF('Loan Tape (S&amp;P)'!T8688="Yes",
    1.35,
    1.00)</f>
        <v/>
      </c>
      <c r="P8688">
        <f>IF('Loan Tape (S&amp;P)'!S8688="Yes",
    1.15,
    1.00)</f>
        <v/>
      </c>
      <c r="Q8688">
        <f>IF('Loan Tape (S&amp;P)'!V8688="Yes",
    1.20,
    1.00)</f>
        <v/>
      </c>
      <c r="T8688">
        <f>LET(
    payment_method,'Loan Tape (S&amp;P)'!P8688,
    occupancy,'Loan Tape (S&amp;P)'!N8688,
    maturity_date,'Loan Tape (S&amp;P)'!L8688,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89">
      <c r="J8689">
        <f>LET(
    lien,'Loan Tape (S&amp;P)'!Q8689,
    IF(lien="First",1.00,
        IF(lien="Second",1.50,
            1.70)))</f>
        <v/>
      </c>
      <c r="K8689">
        <f>LET(
    purpose,'Loan Tape (S&amp;P)'!R8689,
    IF(purpose="Purchase",1.00,
        IF(purpose="Remortgage",1.00,
            1.20)))</f>
        <v/>
      </c>
      <c r="L8689">
        <f>LET(
    arrears_months,'Loan Tape (S&amp;P)'!AN8689,
    IF(arrears_months=0,1.00,
    IF(arrears_months=1,3.00,
    IF(arrears_months=2,5.00,
    IF(arrears_months=3,8.00,
    IF(arrears_months=4,10.00,
    IF(arrears_months=5,12.00,15.00)))))))</f>
        <v/>
      </c>
      <c r="M8689">
        <f>LET(
    seasoning_years,DATEDIF('Loan Tape (S&amp;P)'!K8689,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89">
        <f>IF(AND('Loan Tape (S&amp;P)'!U8689="Yes",
        'Loan Tape (S&amp;P)'!T8689&lt;&gt;"Yes",
        DATEDIF('Loan Tape (S&amp;P)'!K8689, TODAY(), "M")&lt;18),
    1.10,
    1.00)</f>
        <v/>
      </c>
      <c r="O8689">
        <f>IF('Loan Tape (S&amp;P)'!T8689="Yes",
    1.35,
    1.00)</f>
        <v/>
      </c>
      <c r="P8689">
        <f>IF('Loan Tape (S&amp;P)'!S8689="Yes",
    1.15,
    1.00)</f>
        <v/>
      </c>
      <c r="Q8689">
        <f>IF('Loan Tape (S&amp;P)'!V8689="Yes",
    1.20,
    1.00)</f>
        <v/>
      </c>
      <c r="T8689">
        <f>LET(
    payment_method,'Loan Tape (S&amp;P)'!P8689,
    occupancy,'Loan Tape (S&amp;P)'!N8689,
    maturity_date,'Loan Tape (S&amp;P)'!L8689,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90">
      <c r="J8690">
        <f>LET(
    lien,'Loan Tape (S&amp;P)'!Q8690,
    IF(lien="First",1.00,
        IF(lien="Second",1.50,
            1.70)))</f>
        <v/>
      </c>
      <c r="K8690">
        <f>LET(
    purpose,'Loan Tape (S&amp;P)'!R8690,
    IF(purpose="Purchase",1.00,
        IF(purpose="Remortgage",1.00,
            1.20)))</f>
        <v/>
      </c>
      <c r="L8690">
        <f>LET(
    arrears_months,'Loan Tape (S&amp;P)'!AN8690,
    IF(arrears_months=0,1.00,
    IF(arrears_months=1,3.00,
    IF(arrears_months=2,5.00,
    IF(arrears_months=3,8.00,
    IF(arrears_months=4,10.00,
    IF(arrears_months=5,12.00,15.00)))))))</f>
        <v/>
      </c>
      <c r="M8690">
        <f>LET(
    seasoning_years,DATEDIF('Loan Tape (S&amp;P)'!K8690,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90">
        <f>IF(AND('Loan Tape (S&amp;P)'!U8690="Yes",
        'Loan Tape (S&amp;P)'!T8690&lt;&gt;"Yes",
        DATEDIF('Loan Tape (S&amp;P)'!K8690, TODAY(), "M")&lt;18),
    1.10,
    1.00)</f>
        <v/>
      </c>
      <c r="O8690">
        <f>IF('Loan Tape (S&amp;P)'!T8690="Yes",
    1.35,
    1.00)</f>
        <v/>
      </c>
      <c r="P8690">
        <f>IF('Loan Tape (S&amp;P)'!S8690="Yes",
    1.15,
    1.00)</f>
        <v/>
      </c>
      <c r="Q8690">
        <f>IF('Loan Tape (S&amp;P)'!V8690="Yes",
    1.20,
    1.00)</f>
        <v/>
      </c>
      <c r="T8690">
        <f>LET(
    payment_method,'Loan Tape (S&amp;P)'!P8690,
    occupancy,'Loan Tape (S&amp;P)'!N8690,
    maturity_date,'Loan Tape (S&amp;P)'!L8690,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91">
      <c r="J8691">
        <f>LET(
    lien,'Loan Tape (S&amp;P)'!Q8691,
    IF(lien="First",1.00,
        IF(lien="Second",1.50,
            1.70)))</f>
        <v/>
      </c>
      <c r="K8691">
        <f>LET(
    purpose,'Loan Tape (S&amp;P)'!R8691,
    IF(purpose="Purchase",1.00,
        IF(purpose="Remortgage",1.00,
            1.20)))</f>
        <v/>
      </c>
      <c r="L8691">
        <f>LET(
    arrears_months,'Loan Tape (S&amp;P)'!AN8691,
    IF(arrears_months=0,1.00,
    IF(arrears_months=1,3.00,
    IF(arrears_months=2,5.00,
    IF(arrears_months=3,8.00,
    IF(arrears_months=4,10.00,
    IF(arrears_months=5,12.00,15.00)))))))</f>
        <v/>
      </c>
      <c r="M8691">
        <f>LET(
    seasoning_years,DATEDIF('Loan Tape (S&amp;P)'!K8691,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91">
        <f>IF(AND('Loan Tape (S&amp;P)'!U8691="Yes",
        'Loan Tape (S&amp;P)'!T8691&lt;&gt;"Yes",
        DATEDIF('Loan Tape (S&amp;P)'!K8691, TODAY(), "M")&lt;18),
    1.10,
    1.00)</f>
        <v/>
      </c>
      <c r="O8691">
        <f>IF('Loan Tape (S&amp;P)'!T8691="Yes",
    1.35,
    1.00)</f>
        <v/>
      </c>
      <c r="P8691">
        <f>IF('Loan Tape (S&amp;P)'!S8691="Yes",
    1.15,
    1.00)</f>
        <v/>
      </c>
      <c r="Q8691">
        <f>IF('Loan Tape (S&amp;P)'!V8691="Yes",
    1.20,
    1.00)</f>
        <v/>
      </c>
      <c r="T8691">
        <f>LET(
    payment_method,'Loan Tape (S&amp;P)'!P8691,
    occupancy,'Loan Tape (S&amp;P)'!N8691,
    maturity_date,'Loan Tape (S&amp;P)'!L8691,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92">
      <c r="J8692">
        <f>LET(
    lien,'Loan Tape (S&amp;P)'!Q8692,
    IF(lien="First",1.00,
        IF(lien="Second",1.50,
            1.70)))</f>
        <v/>
      </c>
      <c r="K8692">
        <f>LET(
    purpose,'Loan Tape (S&amp;P)'!R8692,
    IF(purpose="Purchase",1.00,
        IF(purpose="Remortgage",1.00,
            1.20)))</f>
        <v/>
      </c>
      <c r="L8692">
        <f>LET(
    arrears_months,'Loan Tape (S&amp;P)'!AN8692,
    IF(arrears_months=0,1.00,
    IF(arrears_months=1,3.00,
    IF(arrears_months=2,5.00,
    IF(arrears_months=3,8.00,
    IF(arrears_months=4,10.00,
    IF(arrears_months=5,12.00,15.00)))))))</f>
        <v/>
      </c>
      <c r="M8692">
        <f>LET(
    seasoning_years,DATEDIF('Loan Tape (S&amp;P)'!K8692,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92">
        <f>IF(AND('Loan Tape (S&amp;P)'!U8692="Yes",
        'Loan Tape (S&amp;P)'!T8692&lt;&gt;"Yes",
        DATEDIF('Loan Tape (S&amp;P)'!K8692, TODAY(), "M")&lt;18),
    1.10,
    1.00)</f>
        <v/>
      </c>
      <c r="O8692">
        <f>IF('Loan Tape (S&amp;P)'!T8692="Yes",
    1.35,
    1.00)</f>
        <v/>
      </c>
      <c r="P8692">
        <f>IF('Loan Tape (S&amp;P)'!S8692="Yes",
    1.15,
    1.00)</f>
        <v/>
      </c>
      <c r="Q8692">
        <f>IF('Loan Tape (S&amp;P)'!V8692="Yes",
    1.20,
    1.00)</f>
        <v/>
      </c>
      <c r="T8692">
        <f>LET(
    payment_method,'Loan Tape (S&amp;P)'!P8692,
    occupancy,'Loan Tape (S&amp;P)'!N8692,
    maturity_date,'Loan Tape (S&amp;P)'!L8692,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93">
      <c r="J8693">
        <f>LET(
    lien,'Loan Tape (S&amp;P)'!Q8693,
    IF(lien="First",1.00,
        IF(lien="Second",1.50,
            1.70)))</f>
        <v/>
      </c>
      <c r="K8693">
        <f>LET(
    purpose,'Loan Tape (S&amp;P)'!R8693,
    IF(purpose="Purchase",1.00,
        IF(purpose="Remortgage",1.00,
            1.20)))</f>
        <v/>
      </c>
      <c r="L8693">
        <f>LET(
    arrears_months,'Loan Tape (S&amp;P)'!AN8693,
    IF(arrears_months=0,1.00,
    IF(arrears_months=1,3.00,
    IF(arrears_months=2,5.00,
    IF(arrears_months=3,8.00,
    IF(arrears_months=4,10.00,
    IF(arrears_months=5,12.00,15.00)))))))</f>
        <v/>
      </c>
      <c r="M8693">
        <f>LET(
    seasoning_years,DATEDIF('Loan Tape (S&amp;P)'!K8693,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93">
        <f>IF(AND('Loan Tape (S&amp;P)'!U8693="Yes",
        'Loan Tape (S&amp;P)'!T8693&lt;&gt;"Yes",
        DATEDIF('Loan Tape (S&amp;P)'!K8693, TODAY(), "M")&lt;18),
    1.10,
    1.00)</f>
        <v/>
      </c>
      <c r="O8693">
        <f>IF('Loan Tape (S&amp;P)'!T8693="Yes",
    1.35,
    1.00)</f>
        <v/>
      </c>
      <c r="P8693">
        <f>IF('Loan Tape (S&amp;P)'!S8693="Yes",
    1.15,
    1.00)</f>
        <v/>
      </c>
      <c r="Q8693">
        <f>IF('Loan Tape (S&amp;P)'!V8693="Yes",
    1.20,
    1.00)</f>
        <v/>
      </c>
      <c r="T8693">
        <f>LET(
    payment_method,'Loan Tape (S&amp;P)'!P8693,
    occupancy,'Loan Tape (S&amp;P)'!N8693,
    maturity_date,'Loan Tape (S&amp;P)'!L8693,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94">
      <c r="J8694">
        <f>LET(
    lien,'Loan Tape (S&amp;P)'!Q8694,
    IF(lien="First",1.00,
        IF(lien="Second",1.50,
            1.70)))</f>
        <v/>
      </c>
      <c r="K8694">
        <f>LET(
    purpose,'Loan Tape (S&amp;P)'!R8694,
    IF(purpose="Purchase",1.00,
        IF(purpose="Remortgage",1.00,
            1.20)))</f>
        <v/>
      </c>
      <c r="L8694">
        <f>LET(
    arrears_months,'Loan Tape (S&amp;P)'!AN8694,
    IF(arrears_months=0,1.00,
    IF(arrears_months=1,3.00,
    IF(arrears_months=2,5.00,
    IF(arrears_months=3,8.00,
    IF(arrears_months=4,10.00,
    IF(arrears_months=5,12.00,15.00)))))))</f>
        <v/>
      </c>
      <c r="M8694">
        <f>LET(
    seasoning_years,DATEDIF('Loan Tape (S&amp;P)'!K8694,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94">
        <f>IF(AND('Loan Tape (S&amp;P)'!U8694="Yes",
        'Loan Tape (S&amp;P)'!T8694&lt;&gt;"Yes",
        DATEDIF('Loan Tape (S&amp;P)'!K8694, TODAY(), "M")&lt;18),
    1.10,
    1.00)</f>
        <v/>
      </c>
      <c r="O8694">
        <f>IF('Loan Tape (S&amp;P)'!T8694="Yes",
    1.35,
    1.00)</f>
        <v/>
      </c>
      <c r="P8694">
        <f>IF('Loan Tape (S&amp;P)'!S8694="Yes",
    1.15,
    1.00)</f>
        <v/>
      </c>
      <c r="Q8694">
        <f>IF('Loan Tape (S&amp;P)'!V8694="Yes",
    1.20,
    1.00)</f>
        <v/>
      </c>
      <c r="T8694">
        <f>LET(
    payment_method,'Loan Tape (S&amp;P)'!P8694,
    occupancy,'Loan Tape (S&amp;P)'!N8694,
    maturity_date,'Loan Tape (S&amp;P)'!L8694,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95">
      <c r="J8695">
        <f>LET(
    lien,'Loan Tape (S&amp;P)'!Q8695,
    IF(lien="First",1.00,
        IF(lien="Second",1.50,
            1.70)))</f>
        <v/>
      </c>
      <c r="K8695">
        <f>LET(
    purpose,'Loan Tape (S&amp;P)'!R8695,
    IF(purpose="Purchase",1.00,
        IF(purpose="Remortgage",1.00,
            1.20)))</f>
        <v/>
      </c>
      <c r="L8695">
        <f>LET(
    arrears_months,'Loan Tape (S&amp;P)'!AN8695,
    IF(arrears_months=0,1.00,
    IF(arrears_months=1,3.00,
    IF(arrears_months=2,5.00,
    IF(arrears_months=3,8.00,
    IF(arrears_months=4,10.00,
    IF(arrears_months=5,12.00,15.00)))))))</f>
        <v/>
      </c>
      <c r="M8695">
        <f>LET(
    seasoning_years,DATEDIF('Loan Tape (S&amp;P)'!K8695,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95">
        <f>IF(AND('Loan Tape (S&amp;P)'!U8695="Yes",
        'Loan Tape (S&amp;P)'!T8695&lt;&gt;"Yes",
        DATEDIF('Loan Tape (S&amp;P)'!K8695, TODAY(), "M")&lt;18),
    1.10,
    1.00)</f>
        <v/>
      </c>
      <c r="O8695">
        <f>IF('Loan Tape (S&amp;P)'!T8695="Yes",
    1.35,
    1.00)</f>
        <v/>
      </c>
      <c r="P8695">
        <f>IF('Loan Tape (S&amp;P)'!S8695="Yes",
    1.15,
    1.00)</f>
        <v/>
      </c>
      <c r="Q8695">
        <f>IF('Loan Tape (S&amp;P)'!V8695="Yes",
    1.20,
    1.00)</f>
        <v/>
      </c>
      <c r="T8695">
        <f>LET(
    payment_method,'Loan Tape (S&amp;P)'!P8695,
    occupancy,'Loan Tape (S&amp;P)'!N8695,
    maturity_date,'Loan Tape (S&amp;P)'!L8695,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96">
      <c r="J8696">
        <f>LET(
    lien,'Loan Tape (S&amp;P)'!Q8696,
    IF(lien="First",1.00,
        IF(lien="Second",1.50,
            1.70)))</f>
        <v/>
      </c>
      <c r="K8696">
        <f>LET(
    purpose,'Loan Tape (S&amp;P)'!R8696,
    IF(purpose="Purchase",1.00,
        IF(purpose="Remortgage",1.00,
            1.20)))</f>
        <v/>
      </c>
      <c r="L8696">
        <f>LET(
    arrears_months,'Loan Tape (S&amp;P)'!AN8696,
    IF(arrears_months=0,1.00,
    IF(arrears_months=1,3.00,
    IF(arrears_months=2,5.00,
    IF(arrears_months=3,8.00,
    IF(arrears_months=4,10.00,
    IF(arrears_months=5,12.00,15.00)))))))</f>
        <v/>
      </c>
      <c r="M8696">
        <f>LET(
    seasoning_years,DATEDIF('Loan Tape (S&amp;P)'!K8696,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96">
        <f>IF(AND('Loan Tape (S&amp;P)'!U8696="Yes",
        'Loan Tape (S&amp;P)'!T8696&lt;&gt;"Yes",
        DATEDIF('Loan Tape (S&amp;P)'!K8696, TODAY(), "M")&lt;18),
    1.10,
    1.00)</f>
        <v/>
      </c>
      <c r="O8696">
        <f>IF('Loan Tape (S&amp;P)'!T8696="Yes",
    1.35,
    1.00)</f>
        <v/>
      </c>
      <c r="P8696">
        <f>IF('Loan Tape (S&amp;P)'!S8696="Yes",
    1.15,
    1.00)</f>
        <v/>
      </c>
      <c r="Q8696">
        <f>IF('Loan Tape (S&amp;P)'!V8696="Yes",
    1.20,
    1.00)</f>
        <v/>
      </c>
      <c r="T8696">
        <f>LET(
    payment_method,'Loan Tape (S&amp;P)'!P8696,
    occupancy,'Loan Tape (S&amp;P)'!N8696,
    maturity_date,'Loan Tape (S&amp;P)'!L8696,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97">
      <c r="J8697">
        <f>LET(
    lien,'Loan Tape (S&amp;P)'!Q8697,
    IF(lien="First",1.00,
        IF(lien="Second",1.50,
            1.70)))</f>
        <v/>
      </c>
      <c r="K8697">
        <f>LET(
    purpose,'Loan Tape (S&amp;P)'!R8697,
    IF(purpose="Purchase",1.00,
        IF(purpose="Remortgage",1.00,
            1.20)))</f>
        <v/>
      </c>
      <c r="L8697">
        <f>LET(
    arrears_months,'Loan Tape (S&amp;P)'!AN8697,
    IF(arrears_months=0,1.00,
    IF(arrears_months=1,3.00,
    IF(arrears_months=2,5.00,
    IF(arrears_months=3,8.00,
    IF(arrears_months=4,10.00,
    IF(arrears_months=5,12.00,15.00)))))))</f>
        <v/>
      </c>
      <c r="M8697">
        <f>LET(
    seasoning_years,DATEDIF('Loan Tape (S&amp;P)'!K8697,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97">
        <f>IF(AND('Loan Tape (S&amp;P)'!U8697="Yes",
        'Loan Tape (S&amp;P)'!T8697&lt;&gt;"Yes",
        DATEDIF('Loan Tape (S&amp;P)'!K8697, TODAY(), "M")&lt;18),
    1.10,
    1.00)</f>
        <v/>
      </c>
      <c r="O8697">
        <f>IF('Loan Tape (S&amp;P)'!T8697="Yes",
    1.35,
    1.00)</f>
        <v/>
      </c>
      <c r="P8697">
        <f>IF('Loan Tape (S&amp;P)'!S8697="Yes",
    1.15,
    1.00)</f>
        <v/>
      </c>
      <c r="Q8697">
        <f>IF('Loan Tape (S&amp;P)'!V8697="Yes",
    1.20,
    1.00)</f>
        <v/>
      </c>
      <c r="T8697">
        <f>LET(
    payment_method,'Loan Tape (S&amp;P)'!P8697,
    occupancy,'Loan Tape (S&amp;P)'!N8697,
    maturity_date,'Loan Tape (S&amp;P)'!L8697,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98">
      <c r="J8698">
        <f>LET(
    lien,'Loan Tape (S&amp;P)'!Q8698,
    IF(lien="First",1.00,
        IF(lien="Second",1.50,
            1.70)))</f>
        <v/>
      </c>
      <c r="K8698">
        <f>LET(
    purpose,'Loan Tape (S&amp;P)'!R8698,
    IF(purpose="Purchase",1.00,
        IF(purpose="Remortgage",1.00,
            1.20)))</f>
        <v/>
      </c>
      <c r="L8698">
        <f>LET(
    arrears_months,'Loan Tape (S&amp;P)'!AN8698,
    IF(arrears_months=0,1.00,
    IF(arrears_months=1,3.00,
    IF(arrears_months=2,5.00,
    IF(arrears_months=3,8.00,
    IF(arrears_months=4,10.00,
    IF(arrears_months=5,12.00,15.00)))))))</f>
        <v/>
      </c>
      <c r="M8698">
        <f>LET(
    seasoning_years,DATEDIF('Loan Tape (S&amp;P)'!K8698,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98">
        <f>IF(AND('Loan Tape (S&amp;P)'!U8698="Yes",
        'Loan Tape (S&amp;P)'!T8698&lt;&gt;"Yes",
        DATEDIF('Loan Tape (S&amp;P)'!K8698, TODAY(), "M")&lt;18),
    1.10,
    1.00)</f>
        <v/>
      </c>
      <c r="O8698">
        <f>IF('Loan Tape (S&amp;P)'!T8698="Yes",
    1.35,
    1.00)</f>
        <v/>
      </c>
      <c r="P8698">
        <f>IF('Loan Tape (S&amp;P)'!S8698="Yes",
    1.15,
    1.00)</f>
        <v/>
      </c>
      <c r="Q8698">
        <f>IF('Loan Tape (S&amp;P)'!V8698="Yes",
    1.20,
    1.00)</f>
        <v/>
      </c>
      <c r="T8698">
        <f>LET(
    payment_method,'Loan Tape (S&amp;P)'!P8698,
    occupancy,'Loan Tape (S&amp;P)'!N8698,
    maturity_date,'Loan Tape (S&amp;P)'!L8698,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699">
      <c r="J8699">
        <f>LET(
    lien,'Loan Tape (S&amp;P)'!Q8699,
    IF(lien="First",1.00,
        IF(lien="Second",1.50,
            1.70)))</f>
        <v/>
      </c>
      <c r="K8699">
        <f>LET(
    purpose,'Loan Tape (S&amp;P)'!R8699,
    IF(purpose="Purchase",1.00,
        IF(purpose="Remortgage",1.00,
            1.20)))</f>
        <v/>
      </c>
      <c r="L8699">
        <f>LET(
    arrears_months,'Loan Tape (S&amp;P)'!AN8699,
    IF(arrears_months=0,1.00,
    IF(arrears_months=1,3.00,
    IF(arrears_months=2,5.00,
    IF(arrears_months=3,8.00,
    IF(arrears_months=4,10.00,
    IF(arrears_months=5,12.00,15.00)))))))</f>
        <v/>
      </c>
      <c r="M8699">
        <f>LET(
    seasoning_years,DATEDIF('Loan Tape (S&amp;P)'!K8699,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699">
        <f>IF(AND('Loan Tape (S&amp;P)'!U8699="Yes",
        'Loan Tape (S&amp;P)'!T8699&lt;&gt;"Yes",
        DATEDIF('Loan Tape (S&amp;P)'!K8699, TODAY(), "M")&lt;18),
    1.10,
    1.00)</f>
        <v/>
      </c>
      <c r="O8699">
        <f>IF('Loan Tape (S&amp;P)'!T8699="Yes",
    1.35,
    1.00)</f>
        <v/>
      </c>
      <c r="P8699">
        <f>IF('Loan Tape (S&amp;P)'!S8699="Yes",
    1.15,
    1.00)</f>
        <v/>
      </c>
      <c r="Q8699">
        <f>IF('Loan Tape (S&amp;P)'!V8699="Yes",
    1.20,
    1.00)</f>
        <v/>
      </c>
      <c r="T8699">
        <f>LET(
    payment_method,'Loan Tape (S&amp;P)'!P8699,
    occupancy,'Loan Tape (S&amp;P)'!N8699,
    maturity_date,'Loan Tape (S&amp;P)'!L8699,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00">
      <c r="J8700">
        <f>LET(
    lien,'Loan Tape (S&amp;P)'!Q8700,
    IF(lien="First",1.00,
        IF(lien="Second",1.50,
            1.70)))</f>
        <v/>
      </c>
      <c r="K8700">
        <f>LET(
    purpose,'Loan Tape (S&amp;P)'!R8700,
    IF(purpose="Purchase",1.00,
        IF(purpose="Remortgage",1.00,
            1.20)))</f>
        <v/>
      </c>
      <c r="L8700">
        <f>LET(
    arrears_months,'Loan Tape (S&amp;P)'!AN8700,
    IF(arrears_months=0,1.00,
    IF(arrears_months=1,3.00,
    IF(arrears_months=2,5.00,
    IF(arrears_months=3,8.00,
    IF(arrears_months=4,10.00,
    IF(arrears_months=5,12.00,15.00)))))))</f>
        <v/>
      </c>
      <c r="M8700">
        <f>LET(
    seasoning_years,DATEDIF('Loan Tape (S&amp;P)'!K8700,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00">
        <f>IF(AND('Loan Tape (S&amp;P)'!U8700="Yes",
        'Loan Tape (S&amp;P)'!T8700&lt;&gt;"Yes",
        DATEDIF('Loan Tape (S&amp;P)'!K8700, TODAY(), "M")&lt;18),
    1.10,
    1.00)</f>
        <v/>
      </c>
      <c r="O8700">
        <f>IF('Loan Tape (S&amp;P)'!T8700="Yes",
    1.35,
    1.00)</f>
        <v/>
      </c>
      <c r="P8700">
        <f>IF('Loan Tape (S&amp;P)'!S8700="Yes",
    1.15,
    1.00)</f>
        <v/>
      </c>
      <c r="Q8700">
        <f>IF('Loan Tape (S&amp;P)'!V8700="Yes",
    1.20,
    1.00)</f>
        <v/>
      </c>
      <c r="T8700">
        <f>LET(
    payment_method,'Loan Tape (S&amp;P)'!P8700,
    occupancy,'Loan Tape (S&amp;P)'!N8700,
    maturity_date,'Loan Tape (S&amp;P)'!L8700,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01">
      <c r="J8701">
        <f>LET(
    lien,'Loan Tape (S&amp;P)'!Q8701,
    IF(lien="First",1.00,
        IF(lien="Second",1.50,
            1.70)))</f>
        <v/>
      </c>
      <c r="K8701">
        <f>LET(
    purpose,'Loan Tape (S&amp;P)'!R8701,
    IF(purpose="Purchase",1.00,
        IF(purpose="Remortgage",1.00,
            1.20)))</f>
        <v/>
      </c>
      <c r="L8701">
        <f>LET(
    arrears_months,'Loan Tape (S&amp;P)'!AN8701,
    IF(arrears_months=0,1.00,
    IF(arrears_months=1,3.00,
    IF(arrears_months=2,5.00,
    IF(arrears_months=3,8.00,
    IF(arrears_months=4,10.00,
    IF(arrears_months=5,12.00,15.00)))))))</f>
        <v/>
      </c>
      <c r="M8701">
        <f>LET(
    seasoning_years,DATEDIF('Loan Tape (S&amp;P)'!K8701,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01">
        <f>IF(AND('Loan Tape (S&amp;P)'!U8701="Yes",
        'Loan Tape (S&amp;P)'!T8701&lt;&gt;"Yes",
        DATEDIF('Loan Tape (S&amp;P)'!K8701, TODAY(), "M")&lt;18),
    1.10,
    1.00)</f>
        <v/>
      </c>
      <c r="O8701">
        <f>IF('Loan Tape (S&amp;P)'!T8701="Yes",
    1.35,
    1.00)</f>
        <v/>
      </c>
      <c r="P8701">
        <f>IF('Loan Tape (S&amp;P)'!S8701="Yes",
    1.15,
    1.00)</f>
        <v/>
      </c>
      <c r="Q8701">
        <f>IF('Loan Tape (S&amp;P)'!V8701="Yes",
    1.20,
    1.00)</f>
        <v/>
      </c>
      <c r="T8701">
        <f>LET(
    payment_method,'Loan Tape (S&amp;P)'!P8701,
    occupancy,'Loan Tape (S&amp;P)'!N8701,
    maturity_date,'Loan Tape (S&amp;P)'!L8701,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02">
      <c r="J8702">
        <f>LET(
    lien,'Loan Tape (S&amp;P)'!Q8702,
    IF(lien="First",1.00,
        IF(lien="Second",1.50,
            1.70)))</f>
        <v/>
      </c>
      <c r="K8702">
        <f>LET(
    purpose,'Loan Tape (S&amp;P)'!R8702,
    IF(purpose="Purchase",1.00,
        IF(purpose="Remortgage",1.00,
            1.20)))</f>
        <v/>
      </c>
      <c r="L8702">
        <f>LET(
    arrears_months,'Loan Tape (S&amp;P)'!AN8702,
    IF(arrears_months=0,1.00,
    IF(arrears_months=1,3.00,
    IF(arrears_months=2,5.00,
    IF(arrears_months=3,8.00,
    IF(arrears_months=4,10.00,
    IF(arrears_months=5,12.00,15.00)))))))</f>
        <v/>
      </c>
      <c r="M8702">
        <f>LET(
    seasoning_years,DATEDIF('Loan Tape (S&amp;P)'!K8702,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02">
        <f>IF(AND('Loan Tape (S&amp;P)'!U8702="Yes",
        'Loan Tape (S&amp;P)'!T8702&lt;&gt;"Yes",
        DATEDIF('Loan Tape (S&amp;P)'!K8702, TODAY(), "M")&lt;18),
    1.10,
    1.00)</f>
        <v/>
      </c>
      <c r="O8702">
        <f>IF('Loan Tape (S&amp;P)'!T8702="Yes",
    1.35,
    1.00)</f>
        <v/>
      </c>
      <c r="P8702">
        <f>IF('Loan Tape (S&amp;P)'!S8702="Yes",
    1.15,
    1.00)</f>
        <v/>
      </c>
      <c r="Q8702">
        <f>IF('Loan Tape (S&amp;P)'!V8702="Yes",
    1.20,
    1.00)</f>
        <v/>
      </c>
      <c r="T8702">
        <f>LET(
    payment_method,'Loan Tape (S&amp;P)'!P8702,
    occupancy,'Loan Tape (S&amp;P)'!N8702,
    maturity_date,'Loan Tape (S&amp;P)'!L8702,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03">
      <c r="J8703">
        <f>LET(
    lien,'Loan Tape (S&amp;P)'!Q8703,
    IF(lien="First",1.00,
        IF(lien="Second",1.50,
            1.70)))</f>
        <v/>
      </c>
      <c r="K8703">
        <f>LET(
    purpose,'Loan Tape (S&amp;P)'!R8703,
    IF(purpose="Purchase",1.00,
        IF(purpose="Remortgage",1.00,
            1.20)))</f>
        <v/>
      </c>
      <c r="L8703">
        <f>LET(
    arrears_months,'Loan Tape (S&amp;P)'!AN8703,
    IF(arrears_months=0,1.00,
    IF(arrears_months=1,3.00,
    IF(arrears_months=2,5.00,
    IF(arrears_months=3,8.00,
    IF(arrears_months=4,10.00,
    IF(arrears_months=5,12.00,15.00)))))))</f>
        <v/>
      </c>
      <c r="M8703">
        <f>LET(
    seasoning_years,DATEDIF('Loan Tape (S&amp;P)'!K8703,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03">
        <f>IF(AND('Loan Tape (S&amp;P)'!U8703="Yes",
        'Loan Tape (S&amp;P)'!T8703&lt;&gt;"Yes",
        DATEDIF('Loan Tape (S&amp;P)'!K8703, TODAY(), "M")&lt;18),
    1.10,
    1.00)</f>
        <v/>
      </c>
      <c r="O8703">
        <f>IF('Loan Tape (S&amp;P)'!T8703="Yes",
    1.35,
    1.00)</f>
        <v/>
      </c>
      <c r="P8703">
        <f>IF('Loan Tape (S&amp;P)'!S8703="Yes",
    1.15,
    1.00)</f>
        <v/>
      </c>
      <c r="Q8703">
        <f>IF('Loan Tape (S&amp;P)'!V8703="Yes",
    1.20,
    1.00)</f>
        <v/>
      </c>
      <c r="T8703">
        <f>LET(
    payment_method,'Loan Tape (S&amp;P)'!P8703,
    occupancy,'Loan Tape (S&amp;P)'!N8703,
    maturity_date,'Loan Tape (S&amp;P)'!L8703,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04">
      <c r="J8704">
        <f>LET(
    lien,'Loan Tape (S&amp;P)'!Q8704,
    IF(lien="First",1.00,
        IF(lien="Second",1.50,
            1.70)))</f>
        <v/>
      </c>
      <c r="K8704">
        <f>LET(
    purpose,'Loan Tape (S&amp;P)'!R8704,
    IF(purpose="Purchase",1.00,
        IF(purpose="Remortgage",1.00,
            1.20)))</f>
        <v/>
      </c>
      <c r="L8704">
        <f>LET(
    arrears_months,'Loan Tape (S&amp;P)'!AN8704,
    IF(arrears_months=0,1.00,
    IF(arrears_months=1,3.00,
    IF(arrears_months=2,5.00,
    IF(arrears_months=3,8.00,
    IF(arrears_months=4,10.00,
    IF(arrears_months=5,12.00,15.00)))))))</f>
        <v/>
      </c>
      <c r="M8704">
        <f>LET(
    seasoning_years,DATEDIF('Loan Tape (S&amp;P)'!K8704,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04">
        <f>IF(AND('Loan Tape (S&amp;P)'!U8704="Yes",
        'Loan Tape (S&amp;P)'!T8704&lt;&gt;"Yes",
        DATEDIF('Loan Tape (S&amp;P)'!K8704, TODAY(), "M")&lt;18),
    1.10,
    1.00)</f>
        <v/>
      </c>
      <c r="O8704">
        <f>IF('Loan Tape (S&amp;P)'!T8704="Yes",
    1.35,
    1.00)</f>
        <v/>
      </c>
      <c r="P8704">
        <f>IF('Loan Tape (S&amp;P)'!S8704="Yes",
    1.15,
    1.00)</f>
        <v/>
      </c>
      <c r="Q8704">
        <f>IF('Loan Tape (S&amp;P)'!V8704="Yes",
    1.20,
    1.00)</f>
        <v/>
      </c>
      <c r="T8704">
        <f>LET(
    payment_method,'Loan Tape (S&amp;P)'!P8704,
    occupancy,'Loan Tape (S&amp;P)'!N8704,
    maturity_date,'Loan Tape (S&amp;P)'!L8704,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05">
      <c r="J8705">
        <f>LET(
    lien,'Loan Tape (S&amp;P)'!Q8705,
    IF(lien="First",1.00,
        IF(lien="Second",1.50,
            1.70)))</f>
        <v/>
      </c>
      <c r="K8705">
        <f>LET(
    purpose,'Loan Tape (S&amp;P)'!R8705,
    IF(purpose="Purchase",1.00,
        IF(purpose="Remortgage",1.00,
            1.20)))</f>
        <v/>
      </c>
      <c r="L8705">
        <f>LET(
    arrears_months,'Loan Tape (S&amp;P)'!AN8705,
    IF(arrears_months=0,1.00,
    IF(arrears_months=1,3.00,
    IF(arrears_months=2,5.00,
    IF(arrears_months=3,8.00,
    IF(arrears_months=4,10.00,
    IF(arrears_months=5,12.00,15.00)))))))</f>
        <v/>
      </c>
      <c r="M8705">
        <f>LET(
    seasoning_years,DATEDIF('Loan Tape (S&amp;P)'!K8705,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05">
        <f>IF(AND('Loan Tape (S&amp;P)'!U8705="Yes",
        'Loan Tape (S&amp;P)'!T8705&lt;&gt;"Yes",
        DATEDIF('Loan Tape (S&amp;P)'!K8705, TODAY(), "M")&lt;18),
    1.10,
    1.00)</f>
        <v/>
      </c>
      <c r="O8705">
        <f>IF('Loan Tape (S&amp;P)'!T8705="Yes",
    1.35,
    1.00)</f>
        <v/>
      </c>
      <c r="P8705">
        <f>IF('Loan Tape (S&amp;P)'!S8705="Yes",
    1.15,
    1.00)</f>
        <v/>
      </c>
      <c r="Q8705">
        <f>IF('Loan Tape (S&amp;P)'!V8705="Yes",
    1.20,
    1.00)</f>
        <v/>
      </c>
      <c r="T8705">
        <f>LET(
    payment_method,'Loan Tape (S&amp;P)'!P8705,
    occupancy,'Loan Tape (S&amp;P)'!N8705,
    maturity_date,'Loan Tape (S&amp;P)'!L8705,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06">
      <c r="J8706">
        <f>LET(
    lien,'Loan Tape (S&amp;P)'!Q8706,
    IF(lien="First",1.00,
        IF(lien="Second",1.50,
            1.70)))</f>
        <v/>
      </c>
      <c r="K8706">
        <f>LET(
    purpose,'Loan Tape (S&amp;P)'!R8706,
    IF(purpose="Purchase",1.00,
        IF(purpose="Remortgage",1.00,
            1.20)))</f>
        <v/>
      </c>
      <c r="L8706">
        <f>LET(
    arrears_months,'Loan Tape (S&amp;P)'!AN8706,
    IF(arrears_months=0,1.00,
    IF(arrears_months=1,3.00,
    IF(arrears_months=2,5.00,
    IF(arrears_months=3,8.00,
    IF(arrears_months=4,10.00,
    IF(arrears_months=5,12.00,15.00)))))))</f>
        <v/>
      </c>
      <c r="M8706">
        <f>LET(
    seasoning_years,DATEDIF('Loan Tape (S&amp;P)'!K8706,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06">
        <f>IF(AND('Loan Tape (S&amp;P)'!U8706="Yes",
        'Loan Tape (S&amp;P)'!T8706&lt;&gt;"Yes",
        DATEDIF('Loan Tape (S&amp;P)'!K8706, TODAY(), "M")&lt;18),
    1.10,
    1.00)</f>
        <v/>
      </c>
      <c r="O8706">
        <f>IF('Loan Tape (S&amp;P)'!T8706="Yes",
    1.35,
    1.00)</f>
        <v/>
      </c>
      <c r="P8706">
        <f>IF('Loan Tape (S&amp;P)'!S8706="Yes",
    1.15,
    1.00)</f>
        <v/>
      </c>
      <c r="Q8706">
        <f>IF('Loan Tape (S&amp;P)'!V8706="Yes",
    1.20,
    1.00)</f>
        <v/>
      </c>
      <c r="T8706">
        <f>LET(
    payment_method,'Loan Tape (S&amp;P)'!P8706,
    occupancy,'Loan Tape (S&amp;P)'!N8706,
    maturity_date,'Loan Tape (S&amp;P)'!L8706,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07">
      <c r="J8707">
        <f>LET(
    lien,'Loan Tape (S&amp;P)'!Q8707,
    IF(lien="First",1.00,
        IF(lien="Second",1.50,
            1.70)))</f>
        <v/>
      </c>
      <c r="K8707">
        <f>LET(
    purpose,'Loan Tape (S&amp;P)'!R8707,
    IF(purpose="Purchase",1.00,
        IF(purpose="Remortgage",1.00,
            1.20)))</f>
        <v/>
      </c>
      <c r="L8707">
        <f>LET(
    arrears_months,'Loan Tape (S&amp;P)'!AN8707,
    IF(arrears_months=0,1.00,
    IF(arrears_months=1,3.00,
    IF(arrears_months=2,5.00,
    IF(arrears_months=3,8.00,
    IF(arrears_months=4,10.00,
    IF(arrears_months=5,12.00,15.00)))))))</f>
        <v/>
      </c>
      <c r="M8707">
        <f>LET(
    seasoning_years,DATEDIF('Loan Tape (S&amp;P)'!K8707,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07">
        <f>IF(AND('Loan Tape (S&amp;P)'!U8707="Yes",
        'Loan Tape (S&amp;P)'!T8707&lt;&gt;"Yes",
        DATEDIF('Loan Tape (S&amp;P)'!K8707, TODAY(), "M")&lt;18),
    1.10,
    1.00)</f>
        <v/>
      </c>
      <c r="O8707">
        <f>IF('Loan Tape (S&amp;P)'!T8707="Yes",
    1.35,
    1.00)</f>
        <v/>
      </c>
      <c r="P8707">
        <f>IF('Loan Tape (S&amp;P)'!S8707="Yes",
    1.15,
    1.00)</f>
        <v/>
      </c>
      <c r="Q8707">
        <f>IF('Loan Tape (S&amp;P)'!V8707="Yes",
    1.20,
    1.00)</f>
        <v/>
      </c>
      <c r="T8707">
        <f>LET(
    payment_method,'Loan Tape (S&amp;P)'!P8707,
    occupancy,'Loan Tape (S&amp;P)'!N8707,
    maturity_date,'Loan Tape (S&amp;P)'!L8707,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08">
      <c r="J8708">
        <f>LET(
    lien,'Loan Tape (S&amp;P)'!Q8708,
    IF(lien="First",1.00,
        IF(lien="Second",1.50,
            1.70)))</f>
        <v/>
      </c>
      <c r="K8708">
        <f>LET(
    purpose,'Loan Tape (S&amp;P)'!R8708,
    IF(purpose="Purchase",1.00,
        IF(purpose="Remortgage",1.00,
            1.20)))</f>
        <v/>
      </c>
      <c r="L8708">
        <f>LET(
    arrears_months,'Loan Tape (S&amp;P)'!AN8708,
    IF(arrears_months=0,1.00,
    IF(arrears_months=1,3.00,
    IF(arrears_months=2,5.00,
    IF(arrears_months=3,8.00,
    IF(arrears_months=4,10.00,
    IF(arrears_months=5,12.00,15.00)))))))</f>
        <v/>
      </c>
      <c r="M8708">
        <f>LET(
    seasoning_years,DATEDIF('Loan Tape (S&amp;P)'!K8708,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08">
        <f>IF(AND('Loan Tape (S&amp;P)'!U8708="Yes",
        'Loan Tape (S&amp;P)'!T8708&lt;&gt;"Yes",
        DATEDIF('Loan Tape (S&amp;P)'!K8708, TODAY(), "M")&lt;18),
    1.10,
    1.00)</f>
        <v/>
      </c>
      <c r="O8708">
        <f>IF('Loan Tape (S&amp;P)'!T8708="Yes",
    1.35,
    1.00)</f>
        <v/>
      </c>
      <c r="P8708">
        <f>IF('Loan Tape (S&amp;P)'!S8708="Yes",
    1.15,
    1.00)</f>
        <v/>
      </c>
      <c r="Q8708">
        <f>IF('Loan Tape (S&amp;P)'!V8708="Yes",
    1.20,
    1.00)</f>
        <v/>
      </c>
      <c r="T8708">
        <f>LET(
    payment_method,'Loan Tape (S&amp;P)'!P8708,
    occupancy,'Loan Tape (S&amp;P)'!N8708,
    maturity_date,'Loan Tape (S&amp;P)'!L8708,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09">
      <c r="J8709">
        <f>LET(
    lien,'Loan Tape (S&amp;P)'!Q8709,
    IF(lien="First",1.00,
        IF(lien="Second",1.50,
            1.70)))</f>
        <v/>
      </c>
      <c r="K8709">
        <f>LET(
    purpose,'Loan Tape (S&amp;P)'!R8709,
    IF(purpose="Purchase",1.00,
        IF(purpose="Remortgage",1.00,
            1.20)))</f>
        <v/>
      </c>
      <c r="L8709">
        <f>LET(
    arrears_months,'Loan Tape (S&amp;P)'!AN8709,
    IF(arrears_months=0,1.00,
    IF(arrears_months=1,3.00,
    IF(arrears_months=2,5.00,
    IF(arrears_months=3,8.00,
    IF(arrears_months=4,10.00,
    IF(arrears_months=5,12.00,15.00)))))))</f>
        <v/>
      </c>
      <c r="M8709">
        <f>LET(
    seasoning_years,DATEDIF('Loan Tape (S&amp;P)'!K8709,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09">
        <f>IF(AND('Loan Tape (S&amp;P)'!U8709="Yes",
        'Loan Tape (S&amp;P)'!T8709&lt;&gt;"Yes",
        DATEDIF('Loan Tape (S&amp;P)'!K8709, TODAY(), "M")&lt;18),
    1.10,
    1.00)</f>
        <v/>
      </c>
      <c r="O8709">
        <f>IF('Loan Tape (S&amp;P)'!T8709="Yes",
    1.35,
    1.00)</f>
        <v/>
      </c>
      <c r="P8709">
        <f>IF('Loan Tape (S&amp;P)'!S8709="Yes",
    1.15,
    1.00)</f>
        <v/>
      </c>
      <c r="Q8709">
        <f>IF('Loan Tape (S&amp;P)'!V8709="Yes",
    1.20,
    1.00)</f>
        <v/>
      </c>
      <c r="T8709">
        <f>LET(
    payment_method,'Loan Tape (S&amp;P)'!P8709,
    occupancy,'Loan Tape (S&amp;P)'!N8709,
    maturity_date,'Loan Tape (S&amp;P)'!L8709,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10">
      <c r="J8710">
        <f>LET(
    lien,'Loan Tape (S&amp;P)'!Q8710,
    IF(lien="First",1.00,
        IF(lien="Second",1.50,
            1.70)))</f>
        <v/>
      </c>
      <c r="K8710">
        <f>LET(
    purpose,'Loan Tape (S&amp;P)'!R8710,
    IF(purpose="Purchase",1.00,
        IF(purpose="Remortgage",1.00,
            1.20)))</f>
        <v/>
      </c>
      <c r="L8710">
        <f>LET(
    arrears_months,'Loan Tape (S&amp;P)'!AN8710,
    IF(arrears_months=0,1.00,
    IF(arrears_months=1,3.00,
    IF(arrears_months=2,5.00,
    IF(arrears_months=3,8.00,
    IF(arrears_months=4,10.00,
    IF(arrears_months=5,12.00,15.00)))))))</f>
        <v/>
      </c>
      <c r="M8710">
        <f>LET(
    seasoning_years,DATEDIF('Loan Tape (S&amp;P)'!K8710,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10">
        <f>IF(AND('Loan Tape (S&amp;P)'!U8710="Yes",
        'Loan Tape (S&amp;P)'!T8710&lt;&gt;"Yes",
        DATEDIF('Loan Tape (S&amp;P)'!K8710, TODAY(), "M")&lt;18),
    1.10,
    1.00)</f>
        <v/>
      </c>
      <c r="O8710">
        <f>IF('Loan Tape (S&amp;P)'!T8710="Yes",
    1.35,
    1.00)</f>
        <v/>
      </c>
      <c r="P8710">
        <f>IF('Loan Tape (S&amp;P)'!S8710="Yes",
    1.15,
    1.00)</f>
        <v/>
      </c>
      <c r="Q8710">
        <f>IF('Loan Tape (S&amp;P)'!V8710="Yes",
    1.20,
    1.00)</f>
        <v/>
      </c>
      <c r="T8710">
        <f>LET(
    payment_method,'Loan Tape (S&amp;P)'!P8710,
    occupancy,'Loan Tape (S&amp;P)'!N8710,
    maturity_date,'Loan Tape (S&amp;P)'!L8710,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11">
      <c r="J8711">
        <f>LET(
    lien,'Loan Tape (S&amp;P)'!Q8711,
    IF(lien="First",1.00,
        IF(lien="Second",1.50,
            1.70)))</f>
        <v/>
      </c>
      <c r="K8711">
        <f>LET(
    purpose,'Loan Tape (S&amp;P)'!R8711,
    IF(purpose="Purchase",1.00,
        IF(purpose="Remortgage",1.00,
            1.20)))</f>
        <v/>
      </c>
      <c r="L8711">
        <f>LET(
    arrears_months,'Loan Tape (S&amp;P)'!AN8711,
    IF(arrears_months=0,1.00,
    IF(arrears_months=1,3.00,
    IF(arrears_months=2,5.00,
    IF(arrears_months=3,8.00,
    IF(arrears_months=4,10.00,
    IF(arrears_months=5,12.00,15.00)))))))</f>
        <v/>
      </c>
      <c r="M8711">
        <f>LET(
    seasoning_years,DATEDIF('Loan Tape (S&amp;P)'!K8711,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11">
        <f>IF(AND('Loan Tape (S&amp;P)'!U8711="Yes",
        'Loan Tape (S&amp;P)'!T8711&lt;&gt;"Yes",
        DATEDIF('Loan Tape (S&amp;P)'!K8711, TODAY(), "M")&lt;18),
    1.10,
    1.00)</f>
        <v/>
      </c>
      <c r="O8711">
        <f>IF('Loan Tape (S&amp;P)'!T8711="Yes",
    1.35,
    1.00)</f>
        <v/>
      </c>
      <c r="P8711">
        <f>IF('Loan Tape (S&amp;P)'!S8711="Yes",
    1.15,
    1.00)</f>
        <v/>
      </c>
      <c r="Q8711">
        <f>IF('Loan Tape (S&amp;P)'!V8711="Yes",
    1.20,
    1.00)</f>
        <v/>
      </c>
      <c r="T8711">
        <f>LET(
    payment_method,'Loan Tape (S&amp;P)'!P8711,
    occupancy,'Loan Tape (S&amp;P)'!N8711,
    maturity_date,'Loan Tape (S&amp;P)'!L8711,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12">
      <c r="J8712">
        <f>LET(
    lien,'Loan Tape (S&amp;P)'!Q8712,
    IF(lien="First",1.00,
        IF(lien="Second",1.50,
            1.70)))</f>
        <v/>
      </c>
      <c r="K8712">
        <f>LET(
    purpose,'Loan Tape (S&amp;P)'!R8712,
    IF(purpose="Purchase",1.00,
        IF(purpose="Remortgage",1.00,
            1.20)))</f>
        <v/>
      </c>
      <c r="L8712">
        <f>LET(
    arrears_months,'Loan Tape (S&amp;P)'!AN8712,
    IF(arrears_months=0,1.00,
    IF(arrears_months=1,3.00,
    IF(arrears_months=2,5.00,
    IF(arrears_months=3,8.00,
    IF(arrears_months=4,10.00,
    IF(arrears_months=5,12.00,15.00)))))))</f>
        <v/>
      </c>
      <c r="M8712">
        <f>LET(
    seasoning_years,DATEDIF('Loan Tape (S&amp;P)'!K8712,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12">
        <f>IF(AND('Loan Tape (S&amp;P)'!U8712="Yes",
        'Loan Tape (S&amp;P)'!T8712&lt;&gt;"Yes",
        DATEDIF('Loan Tape (S&amp;P)'!K8712, TODAY(), "M")&lt;18),
    1.10,
    1.00)</f>
        <v/>
      </c>
      <c r="O8712">
        <f>IF('Loan Tape (S&amp;P)'!T8712="Yes",
    1.35,
    1.00)</f>
        <v/>
      </c>
      <c r="P8712">
        <f>IF('Loan Tape (S&amp;P)'!S8712="Yes",
    1.15,
    1.00)</f>
        <v/>
      </c>
      <c r="Q8712">
        <f>IF('Loan Tape (S&amp;P)'!V8712="Yes",
    1.20,
    1.00)</f>
        <v/>
      </c>
      <c r="T8712">
        <f>LET(
    payment_method,'Loan Tape (S&amp;P)'!P8712,
    occupancy,'Loan Tape (S&amp;P)'!N8712,
    maturity_date,'Loan Tape (S&amp;P)'!L8712,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13">
      <c r="J8713">
        <f>LET(
    lien,'Loan Tape (S&amp;P)'!Q8713,
    IF(lien="First",1.00,
        IF(lien="Second",1.50,
            1.70)))</f>
        <v/>
      </c>
      <c r="K8713">
        <f>LET(
    purpose,'Loan Tape (S&amp;P)'!R8713,
    IF(purpose="Purchase",1.00,
        IF(purpose="Remortgage",1.00,
            1.20)))</f>
        <v/>
      </c>
      <c r="L8713">
        <f>LET(
    arrears_months,'Loan Tape (S&amp;P)'!AN8713,
    IF(arrears_months=0,1.00,
    IF(arrears_months=1,3.00,
    IF(arrears_months=2,5.00,
    IF(arrears_months=3,8.00,
    IF(arrears_months=4,10.00,
    IF(arrears_months=5,12.00,15.00)))))))</f>
        <v/>
      </c>
      <c r="M8713">
        <f>LET(
    seasoning_years,DATEDIF('Loan Tape (S&amp;P)'!K8713,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13">
        <f>IF(AND('Loan Tape (S&amp;P)'!U8713="Yes",
        'Loan Tape (S&amp;P)'!T8713&lt;&gt;"Yes",
        DATEDIF('Loan Tape (S&amp;P)'!K8713, TODAY(), "M")&lt;18),
    1.10,
    1.00)</f>
        <v/>
      </c>
      <c r="O8713">
        <f>IF('Loan Tape (S&amp;P)'!T8713="Yes",
    1.35,
    1.00)</f>
        <v/>
      </c>
      <c r="P8713">
        <f>IF('Loan Tape (S&amp;P)'!S8713="Yes",
    1.15,
    1.00)</f>
        <v/>
      </c>
      <c r="Q8713">
        <f>IF('Loan Tape (S&amp;P)'!V8713="Yes",
    1.20,
    1.00)</f>
        <v/>
      </c>
      <c r="T8713">
        <f>LET(
    payment_method,'Loan Tape (S&amp;P)'!P8713,
    occupancy,'Loan Tape (S&amp;P)'!N8713,
    maturity_date,'Loan Tape (S&amp;P)'!L8713,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14">
      <c r="J8714">
        <f>LET(
    lien,'Loan Tape (S&amp;P)'!Q8714,
    IF(lien="First",1.00,
        IF(lien="Second",1.50,
            1.70)))</f>
        <v/>
      </c>
      <c r="K8714">
        <f>LET(
    purpose,'Loan Tape (S&amp;P)'!R8714,
    IF(purpose="Purchase",1.00,
        IF(purpose="Remortgage",1.00,
            1.20)))</f>
        <v/>
      </c>
      <c r="L8714">
        <f>LET(
    arrears_months,'Loan Tape (S&amp;P)'!AN8714,
    IF(arrears_months=0,1.00,
    IF(arrears_months=1,3.00,
    IF(arrears_months=2,5.00,
    IF(arrears_months=3,8.00,
    IF(arrears_months=4,10.00,
    IF(arrears_months=5,12.00,15.00)))))))</f>
        <v/>
      </c>
      <c r="M8714">
        <f>LET(
    seasoning_years,DATEDIF('Loan Tape (S&amp;P)'!K8714,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14">
        <f>IF(AND('Loan Tape (S&amp;P)'!U8714="Yes",
        'Loan Tape (S&amp;P)'!T8714&lt;&gt;"Yes",
        DATEDIF('Loan Tape (S&amp;P)'!K8714, TODAY(), "M")&lt;18),
    1.10,
    1.00)</f>
        <v/>
      </c>
      <c r="O8714">
        <f>IF('Loan Tape (S&amp;P)'!T8714="Yes",
    1.35,
    1.00)</f>
        <v/>
      </c>
      <c r="P8714">
        <f>IF('Loan Tape (S&amp;P)'!S8714="Yes",
    1.15,
    1.00)</f>
        <v/>
      </c>
      <c r="Q8714">
        <f>IF('Loan Tape (S&amp;P)'!V8714="Yes",
    1.20,
    1.00)</f>
        <v/>
      </c>
      <c r="T8714">
        <f>LET(
    payment_method,'Loan Tape (S&amp;P)'!P8714,
    occupancy,'Loan Tape (S&amp;P)'!N8714,
    maturity_date,'Loan Tape (S&amp;P)'!L8714,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15">
      <c r="J8715">
        <f>LET(
    lien,'Loan Tape (S&amp;P)'!Q8715,
    IF(lien="First",1.00,
        IF(lien="Second",1.50,
            1.70)))</f>
        <v/>
      </c>
      <c r="K8715">
        <f>LET(
    purpose,'Loan Tape (S&amp;P)'!R8715,
    IF(purpose="Purchase",1.00,
        IF(purpose="Remortgage",1.00,
            1.20)))</f>
        <v/>
      </c>
      <c r="L8715">
        <f>LET(
    arrears_months,'Loan Tape (S&amp;P)'!AN8715,
    IF(arrears_months=0,1.00,
    IF(arrears_months=1,3.00,
    IF(arrears_months=2,5.00,
    IF(arrears_months=3,8.00,
    IF(arrears_months=4,10.00,
    IF(arrears_months=5,12.00,15.00)))))))</f>
        <v/>
      </c>
      <c r="M8715">
        <f>LET(
    seasoning_years,DATEDIF('Loan Tape (S&amp;P)'!K8715,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15">
        <f>IF(AND('Loan Tape (S&amp;P)'!U8715="Yes",
        'Loan Tape (S&amp;P)'!T8715&lt;&gt;"Yes",
        DATEDIF('Loan Tape (S&amp;P)'!K8715, TODAY(), "M")&lt;18),
    1.10,
    1.00)</f>
        <v/>
      </c>
      <c r="O8715">
        <f>IF('Loan Tape (S&amp;P)'!T8715="Yes",
    1.35,
    1.00)</f>
        <v/>
      </c>
      <c r="P8715">
        <f>IF('Loan Tape (S&amp;P)'!S8715="Yes",
    1.15,
    1.00)</f>
        <v/>
      </c>
      <c r="Q8715">
        <f>IF('Loan Tape (S&amp;P)'!V8715="Yes",
    1.20,
    1.00)</f>
        <v/>
      </c>
      <c r="T8715">
        <f>LET(
    payment_method,'Loan Tape (S&amp;P)'!P8715,
    occupancy,'Loan Tape (S&amp;P)'!N8715,
    maturity_date,'Loan Tape (S&amp;P)'!L8715,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16">
      <c r="J8716">
        <f>LET(
    lien,'Loan Tape (S&amp;P)'!Q8716,
    IF(lien="First",1.00,
        IF(lien="Second",1.50,
            1.70)))</f>
        <v/>
      </c>
      <c r="K8716">
        <f>LET(
    purpose,'Loan Tape (S&amp;P)'!R8716,
    IF(purpose="Purchase",1.00,
        IF(purpose="Remortgage",1.00,
            1.20)))</f>
        <v/>
      </c>
      <c r="L8716">
        <f>LET(
    arrears_months,'Loan Tape (S&amp;P)'!AN8716,
    IF(arrears_months=0,1.00,
    IF(arrears_months=1,3.00,
    IF(arrears_months=2,5.00,
    IF(arrears_months=3,8.00,
    IF(arrears_months=4,10.00,
    IF(arrears_months=5,12.00,15.00)))))))</f>
        <v/>
      </c>
      <c r="M8716">
        <f>LET(
    seasoning_years,DATEDIF('Loan Tape (S&amp;P)'!K8716,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16">
        <f>IF(AND('Loan Tape (S&amp;P)'!U8716="Yes",
        'Loan Tape (S&amp;P)'!T8716&lt;&gt;"Yes",
        DATEDIF('Loan Tape (S&amp;P)'!K8716, TODAY(), "M")&lt;18),
    1.10,
    1.00)</f>
        <v/>
      </c>
      <c r="O8716">
        <f>IF('Loan Tape (S&amp;P)'!T8716="Yes",
    1.35,
    1.00)</f>
        <v/>
      </c>
      <c r="P8716">
        <f>IF('Loan Tape (S&amp;P)'!S8716="Yes",
    1.15,
    1.00)</f>
        <v/>
      </c>
      <c r="Q8716">
        <f>IF('Loan Tape (S&amp;P)'!V8716="Yes",
    1.20,
    1.00)</f>
        <v/>
      </c>
      <c r="T8716">
        <f>LET(
    payment_method,'Loan Tape (S&amp;P)'!P8716,
    occupancy,'Loan Tape (S&amp;P)'!N8716,
    maturity_date,'Loan Tape (S&amp;P)'!L8716,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17">
      <c r="J8717">
        <f>LET(
    lien,'Loan Tape (S&amp;P)'!Q8717,
    IF(lien="First",1.00,
        IF(lien="Second",1.50,
            1.70)))</f>
        <v/>
      </c>
      <c r="K8717">
        <f>LET(
    purpose,'Loan Tape (S&amp;P)'!R8717,
    IF(purpose="Purchase",1.00,
        IF(purpose="Remortgage",1.00,
            1.20)))</f>
        <v/>
      </c>
      <c r="L8717">
        <f>LET(
    arrears_months,'Loan Tape (S&amp;P)'!AN8717,
    IF(arrears_months=0,1.00,
    IF(arrears_months=1,3.00,
    IF(arrears_months=2,5.00,
    IF(arrears_months=3,8.00,
    IF(arrears_months=4,10.00,
    IF(arrears_months=5,12.00,15.00)))))))</f>
        <v/>
      </c>
      <c r="M8717">
        <f>LET(
    seasoning_years,DATEDIF('Loan Tape (S&amp;P)'!K8717,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17">
        <f>IF(AND('Loan Tape (S&amp;P)'!U8717="Yes",
        'Loan Tape (S&amp;P)'!T8717&lt;&gt;"Yes",
        DATEDIF('Loan Tape (S&amp;P)'!K8717, TODAY(), "M")&lt;18),
    1.10,
    1.00)</f>
        <v/>
      </c>
      <c r="O8717">
        <f>IF('Loan Tape (S&amp;P)'!T8717="Yes",
    1.35,
    1.00)</f>
        <v/>
      </c>
      <c r="P8717">
        <f>IF('Loan Tape (S&amp;P)'!S8717="Yes",
    1.15,
    1.00)</f>
        <v/>
      </c>
      <c r="Q8717">
        <f>IF('Loan Tape (S&amp;P)'!V8717="Yes",
    1.20,
    1.00)</f>
        <v/>
      </c>
      <c r="T8717">
        <f>LET(
    payment_method,'Loan Tape (S&amp;P)'!P8717,
    occupancy,'Loan Tape (S&amp;P)'!N8717,
    maturity_date,'Loan Tape (S&amp;P)'!L8717,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18">
      <c r="J8718">
        <f>LET(
    lien,'Loan Tape (S&amp;P)'!Q8718,
    IF(lien="First",1.00,
        IF(lien="Second",1.50,
            1.70)))</f>
        <v/>
      </c>
      <c r="K8718">
        <f>LET(
    purpose,'Loan Tape (S&amp;P)'!R8718,
    IF(purpose="Purchase",1.00,
        IF(purpose="Remortgage",1.00,
            1.20)))</f>
        <v/>
      </c>
      <c r="L8718">
        <f>LET(
    arrears_months,'Loan Tape (S&amp;P)'!AN8718,
    IF(arrears_months=0,1.00,
    IF(arrears_months=1,3.00,
    IF(arrears_months=2,5.00,
    IF(arrears_months=3,8.00,
    IF(arrears_months=4,10.00,
    IF(arrears_months=5,12.00,15.00)))))))</f>
        <v/>
      </c>
      <c r="M8718">
        <f>LET(
    seasoning_years,DATEDIF('Loan Tape (S&amp;P)'!K8718,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18">
        <f>IF(AND('Loan Tape (S&amp;P)'!U8718="Yes",
        'Loan Tape (S&amp;P)'!T8718&lt;&gt;"Yes",
        DATEDIF('Loan Tape (S&amp;P)'!K8718, TODAY(), "M")&lt;18),
    1.10,
    1.00)</f>
        <v/>
      </c>
      <c r="O8718">
        <f>IF('Loan Tape (S&amp;P)'!T8718="Yes",
    1.35,
    1.00)</f>
        <v/>
      </c>
      <c r="P8718">
        <f>IF('Loan Tape (S&amp;P)'!S8718="Yes",
    1.15,
    1.00)</f>
        <v/>
      </c>
      <c r="Q8718">
        <f>IF('Loan Tape (S&amp;P)'!V8718="Yes",
    1.20,
    1.00)</f>
        <v/>
      </c>
      <c r="T8718">
        <f>LET(
    payment_method,'Loan Tape (S&amp;P)'!P8718,
    occupancy,'Loan Tape (S&amp;P)'!N8718,
    maturity_date,'Loan Tape (S&amp;P)'!L8718,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19">
      <c r="J8719">
        <f>LET(
    lien,'Loan Tape (S&amp;P)'!Q8719,
    IF(lien="First",1.00,
        IF(lien="Second",1.50,
            1.70)))</f>
        <v/>
      </c>
      <c r="K8719">
        <f>LET(
    purpose,'Loan Tape (S&amp;P)'!R8719,
    IF(purpose="Purchase",1.00,
        IF(purpose="Remortgage",1.00,
            1.20)))</f>
        <v/>
      </c>
      <c r="L8719">
        <f>LET(
    arrears_months,'Loan Tape (S&amp;P)'!AN8719,
    IF(arrears_months=0,1.00,
    IF(arrears_months=1,3.00,
    IF(arrears_months=2,5.00,
    IF(arrears_months=3,8.00,
    IF(arrears_months=4,10.00,
    IF(arrears_months=5,12.00,15.00)))))))</f>
        <v/>
      </c>
      <c r="M8719">
        <f>LET(
    seasoning_years,DATEDIF('Loan Tape (S&amp;P)'!K8719,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19">
        <f>IF(AND('Loan Tape (S&amp;P)'!U8719="Yes",
        'Loan Tape (S&amp;P)'!T8719&lt;&gt;"Yes",
        DATEDIF('Loan Tape (S&amp;P)'!K8719, TODAY(), "M")&lt;18),
    1.10,
    1.00)</f>
        <v/>
      </c>
      <c r="O8719">
        <f>IF('Loan Tape (S&amp;P)'!T8719="Yes",
    1.35,
    1.00)</f>
        <v/>
      </c>
      <c r="P8719">
        <f>IF('Loan Tape (S&amp;P)'!S8719="Yes",
    1.15,
    1.00)</f>
        <v/>
      </c>
      <c r="Q8719">
        <f>IF('Loan Tape (S&amp;P)'!V8719="Yes",
    1.20,
    1.00)</f>
        <v/>
      </c>
      <c r="T8719">
        <f>LET(
    payment_method,'Loan Tape (S&amp;P)'!P8719,
    occupancy,'Loan Tape (S&amp;P)'!N8719,
    maturity_date,'Loan Tape (S&amp;P)'!L8719,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20">
      <c r="J8720">
        <f>LET(
    lien,'Loan Tape (S&amp;P)'!Q8720,
    IF(lien="First",1.00,
        IF(lien="Second",1.50,
            1.70)))</f>
        <v/>
      </c>
      <c r="K8720">
        <f>LET(
    purpose,'Loan Tape (S&amp;P)'!R8720,
    IF(purpose="Purchase",1.00,
        IF(purpose="Remortgage",1.00,
            1.20)))</f>
        <v/>
      </c>
      <c r="L8720">
        <f>LET(
    arrears_months,'Loan Tape (S&amp;P)'!AN8720,
    IF(arrears_months=0,1.00,
    IF(arrears_months=1,3.00,
    IF(arrears_months=2,5.00,
    IF(arrears_months=3,8.00,
    IF(arrears_months=4,10.00,
    IF(arrears_months=5,12.00,15.00)))))))</f>
        <v/>
      </c>
      <c r="M8720">
        <f>LET(
    seasoning_years,DATEDIF('Loan Tape (S&amp;P)'!K8720,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20">
        <f>IF(AND('Loan Tape (S&amp;P)'!U8720="Yes",
        'Loan Tape (S&amp;P)'!T8720&lt;&gt;"Yes",
        DATEDIF('Loan Tape (S&amp;P)'!K8720, TODAY(), "M")&lt;18),
    1.10,
    1.00)</f>
        <v/>
      </c>
      <c r="O8720">
        <f>IF('Loan Tape (S&amp;P)'!T8720="Yes",
    1.35,
    1.00)</f>
        <v/>
      </c>
      <c r="P8720">
        <f>IF('Loan Tape (S&amp;P)'!S8720="Yes",
    1.15,
    1.00)</f>
        <v/>
      </c>
      <c r="Q8720">
        <f>IF('Loan Tape (S&amp;P)'!V8720="Yes",
    1.20,
    1.00)</f>
        <v/>
      </c>
      <c r="T8720">
        <f>LET(
    payment_method,'Loan Tape (S&amp;P)'!P8720,
    occupancy,'Loan Tape (S&amp;P)'!N8720,
    maturity_date,'Loan Tape (S&amp;P)'!L8720,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21">
      <c r="J8721">
        <f>LET(
    lien,'Loan Tape (S&amp;P)'!Q8721,
    IF(lien="First",1.00,
        IF(lien="Second",1.50,
            1.70)))</f>
        <v/>
      </c>
      <c r="K8721">
        <f>LET(
    purpose,'Loan Tape (S&amp;P)'!R8721,
    IF(purpose="Purchase",1.00,
        IF(purpose="Remortgage",1.00,
            1.20)))</f>
        <v/>
      </c>
      <c r="L8721">
        <f>LET(
    arrears_months,'Loan Tape (S&amp;P)'!AN8721,
    IF(arrears_months=0,1.00,
    IF(arrears_months=1,3.00,
    IF(arrears_months=2,5.00,
    IF(arrears_months=3,8.00,
    IF(arrears_months=4,10.00,
    IF(arrears_months=5,12.00,15.00)))))))</f>
        <v/>
      </c>
      <c r="M8721">
        <f>LET(
    seasoning_years,DATEDIF('Loan Tape (S&amp;P)'!K8721,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21">
        <f>IF(AND('Loan Tape (S&amp;P)'!U8721="Yes",
        'Loan Tape (S&amp;P)'!T8721&lt;&gt;"Yes",
        DATEDIF('Loan Tape (S&amp;P)'!K8721, TODAY(), "M")&lt;18),
    1.10,
    1.00)</f>
        <v/>
      </c>
      <c r="O8721">
        <f>IF('Loan Tape (S&amp;P)'!T8721="Yes",
    1.35,
    1.00)</f>
        <v/>
      </c>
      <c r="P8721">
        <f>IF('Loan Tape (S&amp;P)'!S8721="Yes",
    1.15,
    1.00)</f>
        <v/>
      </c>
      <c r="Q8721">
        <f>IF('Loan Tape (S&amp;P)'!V8721="Yes",
    1.20,
    1.00)</f>
        <v/>
      </c>
      <c r="T8721">
        <f>LET(
    payment_method,'Loan Tape (S&amp;P)'!P8721,
    occupancy,'Loan Tape (S&amp;P)'!N8721,
    maturity_date,'Loan Tape (S&amp;P)'!L8721,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22">
      <c r="J8722">
        <f>LET(
    lien,'Loan Tape (S&amp;P)'!Q8722,
    IF(lien="First",1.00,
        IF(lien="Second",1.50,
            1.70)))</f>
        <v/>
      </c>
      <c r="K8722">
        <f>LET(
    purpose,'Loan Tape (S&amp;P)'!R8722,
    IF(purpose="Purchase",1.00,
        IF(purpose="Remortgage",1.00,
            1.20)))</f>
        <v/>
      </c>
      <c r="L8722">
        <f>LET(
    arrears_months,'Loan Tape (S&amp;P)'!AN8722,
    IF(arrears_months=0,1.00,
    IF(arrears_months=1,3.00,
    IF(arrears_months=2,5.00,
    IF(arrears_months=3,8.00,
    IF(arrears_months=4,10.00,
    IF(arrears_months=5,12.00,15.00)))))))</f>
        <v/>
      </c>
      <c r="M8722">
        <f>LET(
    seasoning_years,DATEDIF('Loan Tape (S&amp;P)'!K8722,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22">
        <f>IF(AND('Loan Tape (S&amp;P)'!U8722="Yes",
        'Loan Tape (S&amp;P)'!T8722&lt;&gt;"Yes",
        DATEDIF('Loan Tape (S&amp;P)'!K8722, TODAY(), "M")&lt;18),
    1.10,
    1.00)</f>
        <v/>
      </c>
      <c r="O8722">
        <f>IF('Loan Tape (S&amp;P)'!T8722="Yes",
    1.35,
    1.00)</f>
        <v/>
      </c>
      <c r="P8722">
        <f>IF('Loan Tape (S&amp;P)'!S8722="Yes",
    1.15,
    1.00)</f>
        <v/>
      </c>
      <c r="Q8722">
        <f>IF('Loan Tape (S&amp;P)'!V8722="Yes",
    1.20,
    1.00)</f>
        <v/>
      </c>
      <c r="T8722">
        <f>LET(
    payment_method,'Loan Tape (S&amp;P)'!P8722,
    occupancy,'Loan Tape (S&amp;P)'!N8722,
    maturity_date,'Loan Tape (S&amp;P)'!L8722,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23">
      <c r="J8723">
        <f>LET(
    lien,'Loan Tape (S&amp;P)'!Q8723,
    IF(lien="First",1.00,
        IF(lien="Second",1.50,
            1.70)))</f>
        <v/>
      </c>
      <c r="K8723">
        <f>LET(
    purpose,'Loan Tape (S&amp;P)'!R8723,
    IF(purpose="Purchase",1.00,
        IF(purpose="Remortgage",1.00,
            1.20)))</f>
        <v/>
      </c>
      <c r="L8723">
        <f>LET(
    arrears_months,'Loan Tape (S&amp;P)'!AN8723,
    IF(arrears_months=0,1.00,
    IF(arrears_months=1,3.00,
    IF(arrears_months=2,5.00,
    IF(arrears_months=3,8.00,
    IF(arrears_months=4,10.00,
    IF(arrears_months=5,12.00,15.00)))))))</f>
        <v/>
      </c>
      <c r="M8723">
        <f>LET(
    seasoning_years,DATEDIF('Loan Tape (S&amp;P)'!K8723,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23">
        <f>IF(AND('Loan Tape (S&amp;P)'!U8723="Yes",
        'Loan Tape (S&amp;P)'!T8723&lt;&gt;"Yes",
        DATEDIF('Loan Tape (S&amp;P)'!K8723, TODAY(), "M")&lt;18),
    1.10,
    1.00)</f>
        <v/>
      </c>
      <c r="O8723">
        <f>IF('Loan Tape (S&amp;P)'!T8723="Yes",
    1.35,
    1.00)</f>
        <v/>
      </c>
      <c r="P8723">
        <f>IF('Loan Tape (S&amp;P)'!S8723="Yes",
    1.15,
    1.00)</f>
        <v/>
      </c>
      <c r="Q8723">
        <f>IF('Loan Tape (S&amp;P)'!V8723="Yes",
    1.20,
    1.00)</f>
        <v/>
      </c>
      <c r="T8723">
        <f>LET(
    payment_method,'Loan Tape (S&amp;P)'!P8723,
    occupancy,'Loan Tape (S&amp;P)'!N8723,
    maturity_date,'Loan Tape (S&amp;P)'!L8723,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24">
      <c r="J8724">
        <f>LET(
    lien,'Loan Tape (S&amp;P)'!Q8724,
    IF(lien="First",1.00,
        IF(lien="Second",1.50,
            1.70)))</f>
        <v/>
      </c>
      <c r="K8724">
        <f>LET(
    purpose,'Loan Tape (S&amp;P)'!R8724,
    IF(purpose="Purchase",1.00,
        IF(purpose="Remortgage",1.00,
            1.20)))</f>
        <v/>
      </c>
      <c r="L8724">
        <f>LET(
    arrears_months,'Loan Tape (S&amp;P)'!AN8724,
    IF(arrears_months=0,1.00,
    IF(arrears_months=1,3.00,
    IF(arrears_months=2,5.00,
    IF(arrears_months=3,8.00,
    IF(arrears_months=4,10.00,
    IF(arrears_months=5,12.00,15.00)))))))</f>
        <v/>
      </c>
      <c r="M8724">
        <f>LET(
    seasoning_years,DATEDIF('Loan Tape (S&amp;P)'!K8724,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24">
        <f>IF(AND('Loan Tape (S&amp;P)'!U8724="Yes",
        'Loan Tape (S&amp;P)'!T8724&lt;&gt;"Yes",
        DATEDIF('Loan Tape (S&amp;P)'!K8724, TODAY(), "M")&lt;18),
    1.10,
    1.00)</f>
        <v/>
      </c>
      <c r="O8724">
        <f>IF('Loan Tape (S&amp;P)'!T8724="Yes",
    1.35,
    1.00)</f>
        <v/>
      </c>
      <c r="P8724">
        <f>IF('Loan Tape (S&amp;P)'!S8724="Yes",
    1.15,
    1.00)</f>
        <v/>
      </c>
      <c r="Q8724">
        <f>IF('Loan Tape (S&amp;P)'!V8724="Yes",
    1.20,
    1.00)</f>
        <v/>
      </c>
      <c r="T8724">
        <f>LET(
    payment_method,'Loan Tape (S&amp;P)'!P8724,
    occupancy,'Loan Tape (S&amp;P)'!N8724,
    maturity_date,'Loan Tape (S&amp;P)'!L8724,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25">
      <c r="J8725">
        <f>LET(
    lien,'Loan Tape (S&amp;P)'!Q8725,
    IF(lien="First",1.00,
        IF(lien="Second",1.50,
            1.70)))</f>
        <v/>
      </c>
      <c r="K8725">
        <f>LET(
    purpose,'Loan Tape (S&amp;P)'!R8725,
    IF(purpose="Purchase",1.00,
        IF(purpose="Remortgage",1.00,
            1.20)))</f>
        <v/>
      </c>
      <c r="L8725">
        <f>LET(
    arrears_months,'Loan Tape (S&amp;P)'!AN8725,
    IF(arrears_months=0,1.00,
    IF(arrears_months=1,3.00,
    IF(arrears_months=2,5.00,
    IF(arrears_months=3,8.00,
    IF(arrears_months=4,10.00,
    IF(arrears_months=5,12.00,15.00)))))))</f>
        <v/>
      </c>
      <c r="M8725">
        <f>LET(
    seasoning_years,DATEDIF('Loan Tape (S&amp;P)'!K8725,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25">
        <f>IF(AND('Loan Tape (S&amp;P)'!U8725="Yes",
        'Loan Tape (S&amp;P)'!T8725&lt;&gt;"Yes",
        DATEDIF('Loan Tape (S&amp;P)'!K8725, TODAY(), "M")&lt;18),
    1.10,
    1.00)</f>
        <v/>
      </c>
      <c r="O8725">
        <f>IF('Loan Tape (S&amp;P)'!T8725="Yes",
    1.35,
    1.00)</f>
        <v/>
      </c>
      <c r="P8725">
        <f>IF('Loan Tape (S&amp;P)'!S8725="Yes",
    1.15,
    1.00)</f>
        <v/>
      </c>
      <c r="Q8725">
        <f>IF('Loan Tape (S&amp;P)'!V8725="Yes",
    1.20,
    1.00)</f>
        <v/>
      </c>
      <c r="T8725">
        <f>LET(
    payment_method,'Loan Tape (S&amp;P)'!P8725,
    occupancy,'Loan Tape (S&amp;P)'!N8725,
    maturity_date,'Loan Tape (S&amp;P)'!L8725,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26">
      <c r="J8726">
        <f>LET(
    lien,'Loan Tape (S&amp;P)'!Q8726,
    IF(lien="First",1.00,
        IF(lien="Second",1.50,
            1.70)))</f>
        <v/>
      </c>
      <c r="K8726">
        <f>LET(
    purpose,'Loan Tape (S&amp;P)'!R8726,
    IF(purpose="Purchase",1.00,
        IF(purpose="Remortgage",1.00,
            1.20)))</f>
        <v/>
      </c>
      <c r="L8726">
        <f>LET(
    arrears_months,'Loan Tape (S&amp;P)'!AN8726,
    IF(arrears_months=0,1.00,
    IF(arrears_months=1,3.00,
    IF(arrears_months=2,5.00,
    IF(arrears_months=3,8.00,
    IF(arrears_months=4,10.00,
    IF(arrears_months=5,12.00,15.00)))))))</f>
        <v/>
      </c>
      <c r="M8726">
        <f>LET(
    seasoning_years,DATEDIF('Loan Tape (S&amp;P)'!K8726,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26">
        <f>IF(AND('Loan Tape (S&amp;P)'!U8726="Yes",
        'Loan Tape (S&amp;P)'!T8726&lt;&gt;"Yes",
        DATEDIF('Loan Tape (S&amp;P)'!K8726, TODAY(), "M")&lt;18),
    1.10,
    1.00)</f>
        <v/>
      </c>
      <c r="O8726">
        <f>IF('Loan Tape (S&amp;P)'!T8726="Yes",
    1.35,
    1.00)</f>
        <v/>
      </c>
      <c r="P8726">
        <f>IF('Loan Tape (S&amp;P)'!S8726="Yes",
    1.15,
    1.00)</f>
        <v/>
      </c>
      <c r="Q8726">
        <f>IF('Loan Tape (S&amp;P)'!V8726="Yes",
    1.20,
    1.00)</f>
        <v/>
      </c>
      <c r="T8726">
        <f>LET(
    payment_method,'Loan Tape (S&amp;P)'!P8726,
    occupancy,'Loan Tape (S&amp;P)'!N8726,
    maturity_date,'Loan Tape (S&amp;P)'!L8726,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27">
      <c r="J8727">
        <f>LET(
    lien,'Loan Tape (S&amp;P)'!Q8727,
    IF(lien="First",1.00,
        IF(lien="Second",1.50,
            1.70)))</f>
        <v/>
      </c>
      <c r="K8727">
        <f>LET(
    purpose,'Loan Tape (S&amp;P)'!R8727,
    IF(purpose="Purchase",1.00,
        IF(purpose="Remortgage",1.00,
            1.20)))</f>
        <v/>
      </c>
      <c r="L8727">
        <f>LET(
    arrears_months,'Loan Tape (S&amp;P)'!AN8727,
    IF(arrears_months=0,1.00,
    IF(arrears_months=1,3.00,
    IF(arrears_months=2,5.00,
    IF(arrears_months=3,8.00,
    IF(arrears_months=4,10.00,
    IF(arrears_months=5,12.00,15.00)))))))</f>
        <v/>
      </c>
      <c r="M8727">
        <f>LET(
    seasoning_years,DATEDIF('Loan Tape (S&amp;P)'!K8727,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27">
        <f>IF(AND('Loan Tape (S&amp;P)'!U8727="Yes",
        'Loan Tape (S&amp;P)'!T8727&lt;&gt;"Yes",
        DATEDIF('Loan Tape (S&amp;P)'!K8727, TODAY(), "M")&lt;18),
    1.10,
    1.00)</f>
        <v/>
      </c>
      <c r="O8727">
        <f>IF('Loan Tape (S&amp;P)'!T8727="Yes",
    1.35,
    1.00)</f>
        <v/>
      </c>
      <c r="P8727">
        <f>IF('Loan Tape (S&amp;P)'!S8727="Yes",
    1.15,
    1.00)</f>
        <v/>
      </c>
      <c r="Q8727">
        <f>IF('Loan Tape (S&amp;P)'!V8727="Yes",
    1.20,
    1.00)</f>
        <v/>
      </c>
      <c r="T8727">
        <f>LET(
    payment_method,'Loan Tape (S&amp;P)'!P8727,
    occupancy,'Loan Tape (S&amp;P)'!N8727,
    maturity_date,'Loan Tape (S&amp;P)'!L8727,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28">
      <c r="J8728">
        <f>LET(
    lien,'Loan Tape (S&amp;P)'!Q8728,
    IF(lien="First",1.00,
        IF(lien="Second",1.50,
            1.70)))</f>
        <v/>
      </c>
      <c r="K8728">
        <f>LET(
    purpose,'Loan Tape (S&amp;P)'!R8728,
    IF(purpose="Purchase",1.00,
        IF(purpose="Remortgage",1.00,
            1.20)))</f>
        <v/>
      </c>
      <c r="L8728">
        <f>LET(
    arrears_months,'Loan Tape (S&amp;P)'!AN8728,
    IF(arrears_months=0,1.00,
    IF(arrears_months=1,3.00,
    IF(arrears_months=2,5.00,
    IF(arrears_months=3,8.00,
    IF(arrears_months=4,10.00,
    IF(arrears_months=5,12.00,15.00)))))))</f>
        <v/>
      </c>
      <c r="M8728">
        <f>LET(
    seasoning_years,DATEDIF('Loan Tape (S&amp;P)'!K8728,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28">
        <f>IF(AND('Loan Tape (S&amp;P)'!U8728="Yes",
        'Loan Tape (S&amp;P)'!T8728&lt;&gt;"Yes",
        DATEDIF('Loan Tape (S&amp;P)'!K8728, TODAY(), "M")&lt;18),
    1.10,
    1.00)</f>
        <v/>
      </c>
      <c r="O8728">
        <f>IF('Loan Tape (S&amp;P)'!T8728="Yes",
    1.35,
    1.00)</f>
        <v/>
      </c>
      <c r="P8728">
        <f>IF('Loan Tape (S&amp;P)'!S8728="Yes",
    1.15,
    1.00)</f>
        <v/>
      </c>
      <c r="Q8728">
        <f>IF('Loan Tape (S&amp;P)'!V8728="Yes",
    1.20,
    1.00)</f>
        <v/>
      </c>
      <c r="T8728">
        <f>LET(
    payment_method,'Loan Tape (S&amp;P)'!P8728,
    occupancy,'Loan Tape (S&amp;P)'!N8728,
    maturity_date,'Loan Tape (S&amp;P)'!L8728,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29">
      <c r="J8729">
        <f>LET(
    lien,'Loan Tape (S&amp;P)'!Q8729,
    IF(lien="First",1.00,
        IF(lien="Second",1.50,
            1.70)))</f>
        <v/>
      </c>
      <c r="K8729">
        <f>LET(
    purpose,'Loan Tape (S&amp;P)'!R8729,
    IF(purpose="Purchase",1.00,
        IF(purpose="Remortgage",1.00,
            1.20)))</f>
        <v/>
      </c>
      <c r="L8729">
        <f>LET(
    arrears_months,'Loan Tape (S&amp;P)'!AN8729,
    IF(arrears_months=0,1.00,
    IF(arrears_months=1,3.00,
    IF(arrears_months=2,5.00,
    IF(arrears_months=3,8.00,
    IF(arrears_months=4,10.00,
    IF(arrears_months=5,12.00,15.00)))))))</f>
        <v/>
      </c>
      <c r="M8729">
        <f>LET(
    seasoning_years,DATEDIF('Loan Tape (S&amp;P)'!K8729,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29">
        <f>IF(AND('Loan Tape (S&amp;P)'!U8729="Yes",
        'Loan Tape (S&amp;P)'!T8729&lt;&gt;"Yes",
        DATEDIF('Loan Tape (S&amp;P)'!K8729, TODAY(), "M")&lt;18),
    1.10,
    1.00)</f>
        <v/>
      </c>
      <c r="O8729">
        <f>IF('Loan Tape (S&amp;P)'!T8729="Yes",
    1.35,
    1.00)</f>
        <v/>
      </c>
      <c r="P8729">
        <f>IF('Loan Tape (S&amp;P)'!S8729="Yes",
    1.15,
    1.00)</f>
        <v/>
      </c>
      <c r="Q8729">
        <f>IF('Loan Tape (S&amp;P)'!V8729="Yes",
    1.20,
    1.00)</f>
        <v/>
      </c>
      <c r="T8729">
        <f>LET(
    payment_method,'Loan Tape (S&amp;P)'!P8729,
    occupancy,'Loan Tape (S&amp;P)'!N8729,
    maturity_date,'Loan Tape (S&amp;P)'!L8729,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30">
      <c r="J8730">
        <f>LET(
    lien,'Loan Tape (S&amp;P)'!Q8730,
    IF(lien="First",1.00,
        IF(lien="Second",1.50,
            1.70)))</f>
        <v/>
      </c>
      <c r="K8730">
        <f>LET(
    purpose,'Loan Tape (S&amp;P)'!R8730,
    IF(purpose="Purchase",1.00,
        IF(purpose="Remortgage",1.00,
            1.20)))</f>
        <v/>
      </c>
      <c r="L8730">
        <f>LET(
    arrears_months,'Loan Tape (S&amp;P)'!AN8730,
    IF(arrears_months=0,1.00,
    IF(arrears_months=1,3.00,
    IF(arrears_months=2,5.00,
    IF(arrears_months=3,8.00,
    IF(arrears_months=4,10.00,
    IF(arrears_months=5,12.00,15.00)))))))</f>
        <v/>
      </c>
      <c r="M8730">
        <f>LET(
    seasoning_years,DATEDIF('Loan Tape (S&amp;P)'!K8730,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30">
        <f>IF(AND('Loan Tape (S&amp;P)'!U8730="Yes",
        'Loan Tape (S&amp;P)'!T8730&lt;&gt;"Yes",
        DATEDIF('Loan Tape (S&amp;P)'!K8730, TODAY(), "M")&lt;18),
    1.10,
    1.00)</f>
        <v/>
      </c>
      <c r="O8730">
        <f>IF('Loan Tape (S&amp;P)'!T8730="Yes",
    1.35,
    1.00)</f>
        <v/>
      </c>
      <c r="P8730">
        <f>IF('Loan Tape (S&amp;P)'!S8730="Yes",
    1.15,
    1.00)</f>
        <v/>
      </c>
      <c r="Q8730">
        <f>IF('Loan Tape (S&amp;P)'!V8730="Yes",
    1.20,
    1.00)</f>
        <v/>
      </c>
      <c r="T8730">
        <f>LET(
    payment_method,'Loan Tape (S&amp;P)'!P8730,
    occupancy,'Loan Tape (S&amp;P)'!N8730,
    maturity_date,'Loan Tape (S&amp;P)'!L8730,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31">
      <c r="J8731">
        <f>LET(
    lien,'Loan Tape (S&amp;P)'!Q8731,
    IF(lien="First",1.00,
        IF(lien="Second",1.50,
            1.70)))</f>
        <v/>
      </c>
      <c r="K8731">
        <f>LET(
    purpose,'Loan Tape (S&amp;P)'!R8731,
    IF(purpose="Purchase",1.00,
        IF(purpose="Remortgage",1.00,
            1.20)))</f>
        <v/>
      </c>
      <c r="L8731">
        <f>LET(
    arrears_months,'Loan Tape (S&amp;P)'!AN8731,
    IF(arrears_months=0,1.00,
    IF(arrears_months=1,3.00,
    IF(arrears_months=2,5.00,
    IF(arrears_months=3,8.00,
    IF(arrears_months=4,10.00,
    IF(arrears_months=5,12.00,15.00)))))))</f>
        <v/>
      </c>
      <c r="M8731">
        <f>LET(
    seasoning_years,DATEDIF('Loan Tape (S&amp;P)'!K8731,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31">
        <f>IF(AND('Loan Tape (S&amp;P)'!U8731="Yes",
        'Loan Tape (S&amp;P)'!T8731&lt;&gt;"Yes",
        DATEDIF('Loan Tape (S&amp;P)'!K8731, TODAY(), "M")&lt;18),
    1.10,
    1.00)</f>
        <v/>
      </c>
      <c r="O8731">
        <f>IF('Loan Tape (S&amp;P)'!T8731="Yes",
    1.35,
    1.00)</f>
        <v/>
      </c>
      <c r="P8731">
        <f>IF('Loan Tape (S&amp;P)'!S8731="Yes",
    1.15,
    1.00)</f>
        <v/>
      </c>
      <c r="Q8731">
        <f>IF('Loan Tape (S&amp;P)'!V8731="Yes",
    1.20,
    1.00)</f>
        <v/>
      </c>
      <c r="T8731">
        <f>LET(
    payment_method,'Loan Tape (S&amp;P)'!P8731,
    occupancy,'Loan Tape (S&amp;P)'!N8731,
    maturity_date,'Loan Tape (S&amp;P)'!L8731,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32">
      <c r="J8732">
        <f>LET(
    lien,'Loan Tape (S&amp;P)'!Q8732,
    IF(lien="First",1.00,
        IF(lien="Second",1.50,
            1.70)))</f>
        <v/>
      </c>
      <c r="K8732">
        <f>LET(
    purpose,'Loan Tape (S&amp;P)'!R8732,
    IF(purpose="Purchase",1.00,
        IF(purpose="Remortgage",1.00,
            1.20)))</f>
        <v/>
      </c>
      <c r="L8732">
        <f>LET(
    arrears_months,'Loan Tape (S&amp;P)'!AN8732,
    IF(arrears_months=0,1.00,
    IF(arrears_months=1,3.00,
    IF(arrears_months=2,5.00,
    IF(arrears_months=3,8.00,
    IF(arrears_months=4,10.00,
    IF(arrears_months=5,12.00,15.00)))))))</f>
        <v/>
      </c>
      <c r="M8732">
        <f>LET(
    seasoning_years,DATEDIF('Loan Tape (S&amp;P)'!K8732,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32">
        <f>IF(AND('Loan Tape (S&amp;P)'!U8732="Yes",
        'Loan Tape (S&amp;P)'!T8732&lt;&gt;"Yes",
        DATEDIF('Loan Tape (S&amp;P)'!K8732, TODAY(), "M")&lt;18),
    1.10,
    1.00)</f>
        <v/>
      </c>
      <c r="O8732">
        <f>IF('Loan Tape (S&amp;P)'!T8732="Yes",
    1.35,
    1.00)</f>
        <v/>
      </c>
      <c r="P8732">
        <f>IF('Loan Tape (S&amp;P)'!S8732="Yes",
    1.15,
    1.00)</f>
        <v/>
      </c>
      <c r="Q8732">
        <f>IF('Loan Tape (S&amp;P)'!V8732="Yes",
    1.20,
    1.00)</f>
        <v/>
      </c>
      <c r="T8732">
        <f>LET(
    payment_method,'Loan Tape (S&amp;P)'!P8732,
    occupancy,'Loan Tape (S&amp;P)'!N8732,
    maturity_date,'Loan Tape (S&amp;P)'!L8732,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33">
      <c r="J8733">
        <f>LET(
    lien,'Loan Tape (S&amp;P)'!Q8733,
    IF(lien="First",1.00,
        IF(lien="Second",1.50,
            1.70)))</f>
        <v/>
      </c>
      <c r="K8733">
        <f>LET(
    purpose,'Loan Tape (S&amp;P)'!R8733,
    IF(purpose="Purchase",1.00,
        IF(purpose="Remortgage",1.00,
            1.20)))</f>
        <v/>
      </c>
      <c r="L8733">
        <f>LET(
    arrears_months,'Loan Tape (S&amp;P)'!AN8733,
    IF(arrears_months=0,1.00,
    IF(arrears_months=1,3.00,
    IF(arrears_months=2,5.00,
    IF(arrears_months=3,8.00,
    IF(arrears_months=4,10.00,
    IF(arrears_months=5,12.00,15.00)))))))</f>
        <v/>
      </c>
      <c r="M8733">
        <f>LET(
    seasoning_years,DATEDIF('Loan Tape (S&amp;P)'!K8733,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33">
        <f>IF(AND('Loan Tape (S&amp;P)'!U8733="Yes",
        'Loan Tape (S&amp;P)'!T8733&lt;&gt;"Yes",
        DATEDIF('Loan Tape (S&amp;P)'!K8733, TODAY(), "M")&lt;18),
    1.10,
    1.00)</f>
        <v/>
      </c>
      <c r="O8733">
        <f>IF('Loan Tape (S&amp;P)'!T8733="Yes",
    1.35,
    1.00)</f>
        <v/>
      </c>
      <c r="P8733">
        <f>IF('Loan Tape (S&amp;P)'!S8733="Yes",
    1.15,
    1.00)</f>
        <v/>
      </c>
      <c r="Q8733">
        <f>IF('Loan Tape (S&amp;P)'!V8733="Yes",
    1.20,
    1.00)</f>
        <v/>
      </c>
      <c r="T8733">
        <f>LET(
    payment_method,'Loan Tape (S&amp;P)'!P8733,
    occupancy,'Loan Tape (S&amp;P)'!N8733,
    maturity_date,'Loan Tape (S&amp;P)'!L8733,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34">
      <c r="J8734">
        <f>LET(
    lien,'Loan Tape (S&amp;P)'!Q8734,
    IF(lien="First",1.00,
        IF(lien="Second",1.50,
            1.70)))</f>
        <v/>
      </c>
      <c r="K8734">
        <f>LET(
    purpose,'Loan Tape (S&amp;P)'!R8734,
    IF(purpose="Purchase",1.00,
        IF(purpose="Remortgage",1.00,
            1.20)))</f>
        <v/>
      </c>
      <c r="L8734">
        <f>LET(
    arrears_months,'Loan Tape (S&amp;P)'!AN8734,
    IF(arrears_months=0,1.00,
    IF(arrears_months=1,3.00,
    IF(arrears_months=2,5.00,
    IF(arrears_months=3,8.00,
    IF(arrears_months=4,10.00,
    IF(arrears_months=5,12.00,15.00)))))))</f>
        <v/>
      </c>
      <c r="M8734">
        <f>LET(
    seasoning_years,DATEDIF('Loan Tape (S&amp;P)'!K8734,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34">
        <f>IF(AND('Loan Tape (S&amp;P)'!U8734="Yes",
        'Loan Tape (S&amp;P)'!T8734&lt;&gt;"Yes",
        DATEDIF('Loan Tape (S&amp;P)'!K8734, TODAY(), "M")&lt;18),
    1.10,
    1.00)</f>
        <v/>
      </c>
      <c r="O8734">
        <f>IF('Loan Tape (S&amp;P)'!T8734="Yes",
    1.35,
    1.00)</f>
        <v/>
      </c>
      <c r="P8734">
        <f>IF('Loan Tape (S&amp;P)'!S8734="Yes",
    1.15,
    1.00)</f>
        <v/>
      </c>
      <c r="Q8734">
        <f>IF('Loan Tape (S&amp;P)'!V8734="Yes",
    1.20,
    1.00)</f>
        <v/>
      </c>
      <c r="T8734">
        <f>LET(
    payment_method,'Loan Tape (S&amp;P)'!P8734,
    occupancy,'Loan Tape (S&amp;P)'!N8734,
    maturity_date,'Loan Tape (S&amp;P)'!L8734,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35">
      <c r="J8735">
        <f>LET(
    lien,'Loan Tape (S&amp;P)'!Q8735,
    IF(lien="First",1.00,
        IF(lien="Second",1.50,
            1.70)))</f>
        <v/>
      </c>
      <c r="K8735">
        <f>LET(
    purpose,'Loan Tape (S&amp;P)'!R8735,
    IF(purpose="Purchase",1.00,
        IF(purpose="Remortgage",1.00,
            1.20)))</f>
        <v/>
      </c>
      <c r="L8735">
        <f>LET(
    arrears_months,'Loan Tape (S&amp;P)'!AN8735,
    IF(arrears_months=0,1.00,
    IF(arrears_months=1,3.00,
    IF(arrears_months=2,5.00,
    IF(arrears_months=3,8.00,
    IF(arrears_months=4,10.00,
    IF(arrears_months=5,12.00,15.00)))))))</f>
        <v/>
      </c>
      <c r="M8735">
        <f>LET(
    seasoning_years,DATEDIF('Loan Tape (S&amp;P)'!K8735,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35">
        <f>IF(AND('Loan Tape (S&amp;P)'!U8735="Yes",
        'Loan Tape (S&amp;P)'!T8735&lt;&gt;"Yes",
        DATEDIF('Loan Tape (S&amp;P)'!K8735, TODAY(), "M")&lt;18),
    1.10,
    1.00)</f>
        <v/>
      </c>
      <c r="O8735">
        <f>IF('Loan Tape (S&amp;P)'!T8735="Yes",
    1.35,
    1.00)</f>
        <v/>
      </c>
      <c r="P8735">
        <f>IF('Loan Tape (S&amp;P)'!S8735="Yes",
    1.15,
    1.00)</f>
        <v/>
      </c>
      <c r="Q8735">
        <f>IF('Loan Tape (S&amp;P)'!V8735="Yes",
    1.20,
    1.00)</f>
        <v/>
      </c>
      <c r="T8735">
        <f>LET(
    payment_method,'Loan Tape (S&amp;P)'!P8735,
    occupancy,'Loan Tape (S&amp;P)'!N8735,
    maturity_date,'Loan Tape (S&amp;P)'!L8735,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36">
      <c r="J8736">
        <f>LET(
    lien,'Loan Tape (S&amp;P)'!Q8736,
    IF(lien="First",1.00,
        IF(lien="Second",1.50,
            1.70)))</f>
        <v/>
      </c>
      <c r="K8736">
        <f>LET(
    purpose,'Loan Tape (S&amp;P)'!R8736,
    IF(purpose="Purchase",1.00,
        IF(purpose="Remortgage",1.00,
            1.20)))</f>
        <v/>
      </c>
      <c r="L8736">
        <f>LET(
    arrears_months,'Loan Tape (S&amp;P)'!AN8736,
    IF(arrears_months=0,1.00,
    IF(arrears_months=1,3.00,
    IF(arrears_months=2,5.00,
    IF(arrears_months=3,8.00,
    IF(arrears_months=4,10.00,
    IF(arrears_months=5,12.00,15.00)))))))</f>
        <v/>
      </c>
      <c r="M8736">
        <f>LET(
    seasoning_years,DATEDIF('Loan Tape (S&amp;P)'!K8736,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36">
        <f>IF(AND('Loan Tape (S&amp;P)'!U8736="Yes",
        'Loan Tape (S&amp;P)'!T8736&lt;&gt;"Yes",
        DATEDIF('Loan Tape (S&amp;P)'!K8736, TODAY(), "M")&lt;18),
    1.10,
    1.00)</f>
        <v/>
      </c>
      <c r="O8736">
        <f>IF('Loan Tape (S&amp;P)'!T8736="Yes",
    1.35,
    1.00)</f>
        <v/>
      </c>
      <c r="P8736">
        <f>IF('Loan Tape (S&amp;P)'!S8736="Yes",
    1.15,
    1.00)</f>
        <v/>
      </c>
      <c r="Q8736">
        <f>IF('Loan Tape (S&amp;P)'!V8736="Yes",
    1.20,
    1.00)</f>
        <v/>
      </c>
      <c r="T8736">
        <f>LET(
    payment_method,'Loan Tape (S&amp;P)'!P8736,
    occupancy,'Loan Tape (S&amp;P)'!N8736,
    maturity_date,'Loan Tape (S&amp;P)'!L8736,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37">
      <c r="J8737">
        <f>LET(
    lien,'Loan Tape (S&amp;P)'!Q8737,
    IF(lien="First",1.00,
        IF(lien="Second",1.50,
            1.70)))</f>
        <v/>
      </c>
      <c r="K8737">
        <f>LET(
    purpose,'Loan Tape (S&amp;P)'!R8737,
    IF(purpose="Purchase",1.00,
        IF(purpose="Remortgage",1.00,
            1.20)))</f>
        <v/>
      </c>
      <c r="L8737">
        <f>LET(
    arrears_months,'Loan Tape (S&amp;P)'!AN8737,
    IF(arrears_months=0,1.00,
    IF(arrears_months=1,3.00,
    IF(arrears_months=2,5.00,
    IF(arrears_months=3,8.00,
    IF(arrears_months=4,10.00,
    IF(arrears_months=5,12.00,15.00)))))))</f>
        <v/>
      </c>
      <c r="M8737">
        <f>LET(
    seasoning_years,DATEDIF('Loan Tape (S&amp;P)'!K8737,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37">
        <f>IF(AND('Loan Tape (S&amp;P)'!U8737="Yes",
        'Loan Tape (S&amp;P)'!T8737&lt;&gt;"Yes",
        DATEDIF('Loan Tape (S&amp;P)'!K8737, TODAY(), "M")&lt;18),
    1.10,
    1.00)</f>
        <v/>
      </c>
      <c r="O8737">
        <f>IF('Loan Tape (S&amp;P)'!T8737="Yes",
    1.35,
    1.00)</f>
        <v/>
      </c>
      <c r="P8737">
        <f>IF('Loan Tape (S&amp;P)'!S8737="Yes",
    1.15,
    1.00)</f>
        <v/>
      </c>
      <c r="Q8737">
        <f>IF('Loan Tape (S&amp;P)'!V8737="Yes",
    1.20,
    1.00)</f>
        <v/>
      </c>
      <c r="T8737">
        <f>LET(
    payment_method,'Loan Tape (S&amp;P)'!P8737,
    occupancy,'Loan Tape (S&amp;P)'!N8737,
    maturity_date,'Loan Tape (S&amp;P)'!L8737,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38">
      <c r="J8738">
        <f>LET(
    lien,'Loan Tape (S&amp;P)'!Q8738,
    IF(lien="First",1.00,
        IF(lien="Second",1.50,
            1.70)))</f>
        <v/>
      </c>
      <c r="K8738">
        <f>LET(
    purpose,'Loan Tape (S&amp;P)'!R8738,
    IF(purpose="Purchase",1.00,
        IF(purpose="Remortgage",1.00,
            1.20)))</f>
        <v/>
      </c>
      <c r="L8738">
        <f>LET(
    arrears_months,'Loan Tape (S&amp;P)'!AN8738,
    IF(arrears_months=0,1.00,
    IF(arrears_months=1,3.00,
    IF(arrears_months=2,5.00,
    IF(arrears_months=3,8.00,
    IF(arrears_months=4,10.00,
    IF(arrears_months=5,12.00,15.00)))))))</f>
        <v/>
      </c>
      <c r="M8738">
        <f>LET(
    seasoning_years,DATEDIF('Loan Tape (S&amp;P)'!K8738,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38">
        <f>IF(AND('Loan Tape (S&amp;P)'!U8738="Yes",
        'Loan Tape (S&amp;P)'!T8738&lt;&gt;"Yes",
        DATEDIF('Loan Tape (S&amp;P)'!K8738, TODAY(), "M")&lt;18),
    1.10,
    1.00)</f>
        <v/>
      </c>
      <c r="O8738">
        <f>IF('Loan Tape (S&amp;P)'!T8738="Yes",
    1.35,
    1.00)</f>
        <v/>
      </c>
      <c r="P8738">
        <f>IF('Loan Tape (S&amp;P)'!S8738="Yes",
    1.15,
    1.00)</f>
        <v/>
      </c>
      <c r="Q8738">
        <f>IF('Loan Tape (S&amp;P)'!V8738="Yes",
    1.20,
    1.00)</f>
        <v/>
      </c>
      <c r="T8738">
        <f>LET(
    payment_method,'Loan Tape (S&amp;P)'!P8738,
    occupancy,'Loan Tape (S&amp;P)'!N8738,
    maturity_date,'Loan Tape (S&amp;P)'!L8738,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39">
      <c r="J8739">
        <f>LET(
    lien,'Loan Tape (S&amp;P)'!Q8739,
    IF(lien="First",1.00,
        IF(lien="Second",1.50,
            1.70)))</f>
        <v/>
      </c>
      <c r="K8739">
        <f>LET(
    purpose,'Loan Tape (S&amp;P)'!R8739,
    IF(purpose="Purchase",1.00,
        IF(purpose="Remortgage",1.00,
            1.20)))</f>
        <v/>
      </c>
      <c r="L8739">
        <f>LET(
    arrears_months,'Loan Tape (S&amp;P)'!AN8739,
    IF(arrears_months=0,1.00,
    IF(arrears_months=1,3.00,
    IF(arrears_months=2,5.00,
    IF(arrears_months=3,8.00,
    IF(arrears_months=4,10.00,
    IF(arrears_months=5,12.00,15.00)))))))</f>
        <v/>
      </c>
      <c r="M8739">
        <f>LET(
    seasoning_years,DATEDIF('Loan Tape (S&amp;P)'!K8739,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39">
        <f>IF(AND('Loan Tape (S&amp;P)'!U8739="Yes",
        'Loan Tape (S&amp;P)'!T8739&lt;&gt;"Yes",
        DATEDIF('Loan Tape (S&amp;P)'!K8739, TODAY(), "M")&lt;18),
    1.10,
    1.00)</f>
        <v/>
      </c>
      <c r="O8739">
        <f>IF('Loan Tape (S&amp;P)'!T8739="Yes",
    1.35,
    1.00)</f>
        <v/>
      </c>
      <c r="P8739">
        <f>IF('Loan Tape (S&amp;P)'!S8739="Yes",
    1.15,
    1.00)</f>
        <v/>
      </c>
      <c r="Q8739">
        <f>IF('Loan Tape (S&amp;P)'!V8739="Yes",
    1.20,
    1.00)</f>
        <v/>
      </c>
      <c r="T8739">
        <f>LET(
    payment_method,'Loan Tape (S&amp;P)'!P8739,
    occupancy,'Loan Tape (S&amp;P)'!N8739,
    maturity_date,'Loan Tape (S&amp;P)'!L8739,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40">
      <c r="J8740">
        <f>LET(
    lien,'Loan Tape (S&amp;P)'!Q8740,
    IF(lien="First",1.00,
        IF(lien="Second",1.50,
            1.70)))</f>
        <v/>
      </c>
      <c r="K8740">
        <f>LET(
    purpose,'Loan Tape (S&amp;P)'!R8740,
    IF(purpose="Purchase",1.00,
        IF(purpose="Remortgage",1.00,
            1.20)))</f>
        <v/>
      </c>
      <c r="L8740">
        <f>LET(
    arrears_months,'Loan Tape (S&amp;P)'!AN8740,
    IF(arrears_months=0,1.00,
    IF(arrears_months=1,3.00,
    IF(arrears_months=2,5.00,
    IF(arrears_months=3,8.00,
    IF(arrears_months=4,10.00,
    IF(arrears_months=5,12.00,15.00)))))))</f>
        <v/>
      </c>
      <c r="M8740">
        <f>LET(
    seasoning_years,DATEDIF('Loan Tape (S&amp;P)'!K8740,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40">
        <f>IF(AND('Loan Tape (S&amp;P)'!U8740="Yes",
        'Loan Tape (S&amp;P)'!T8740&lt;&gt;"Yes",
        DATEDIF('Loan Tape (S&amp;P)'!K8740, TODAY(), "M")&lt;18),
    1.10,
    1.00)</f>
        <v/>
      </c>
      <c r="O8740">
        <f>IF('Loan Tape (S&amp;P)'!T8740="Yes",
    1.35,
    1.00)</f>
        <v/>
      </c>
      <c r="P8740">
        <f>IF('Loan Tape (S&amp;P)'!S8740="Yes",
    1.15,
    1.00)</f>
        <v/>
      </c>
      <c r="Q8740">
        <f>IF('Loan Tape (S&amp;P)'!V8740="Yes",
    1.20,
    1.00)</f>
        <v/>
      </c>
      <c r="T8740">
        <f>LET(
    payment_method,'Loan Tape (S&amp;P)'!P8740,
    occupancy,'Loan Tape (S&amp;P)'!N8740,
    maturity_date,'Loan Tape (S&amp;P)'!L8740,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41">
      <c r="J8741">
        <f>LET(
    lien,'Loan Tape (S&amp;P)'!Q8741,
    IF(lien="First",1.00,
        IF(lien="Second",1.50,
            1.70)))</f>
        <v/>
      </c>
      <c r="K8741">
        <f>LET(
    purpose,'Loan Tape (S&amp;P)'!R8741,
    IF(purpose="Purchase",1.00,
        IF(purpose="Remortgage",1.00,
            1.20)))</f>
        <v/>
      </c>
      <c r="L8741">
        <f>LET(
    arrears_months,'Loan Tape (S&amp;P)'!AN8741,
    IF(arrears_months=0,1.00,
    IF(arrears_months=1,3.00,
    IF(arrears_months=2,5.00,
    IF(arrears_months=3,8.00,
    IF(arrears_months=4,10.00,
    IF(arrears_months=5,12.00,15.00)))))))</f>
        <v/>
      </c>
      <c r="M8741">
        <f>LET(
    seasoning_years,DATEDIF('Loan Tape (S&amp;P)'!K8741,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41">
        <f>IF(AND('Loan Tape (S&amp;P)'!U8741="Yes",
        'Loan Tape (S&amp;P)'!T8741&lt;&gt;"Yes",
        DATEDIF('Loan Tape (S&amp;P)'!K8741, TODAY(), "M")&lt;18),
    1.10,
    1.00)</f>
        <v/>
      </c>
      <c r="O8741">
        <f>IF('Loan Tape (S&amp;P)'!T8741="Yes",
    1.35,
    1.00)</f>
        <v/>
      </c>
      <c r="P8741">
        <f>IF('Loan Tape (S&amp;P)'!S8741="Yes",
    1.15,
    1.00)</f>
        <v/>
      </c>
      <c r="Q8741">
        <f>IF('Loan Tape (S&amp;P)'!V8741="Yes",
    1.20,
    1.00)</f>
        <v/>
      </c>
      <c r="T8741">
        <f>LET(
    payment_method,'Loan Tape (S&amp;P)'!P8741,
    occupancy,'Loan Tape (S&amp;P)'!N8741,
    maturity_date,'Loan Tape (S&amp;P)'!L8741,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42">
      <c r="J8742">
        <f>LET(
    lien,'Loan Tape (S&amp;P)'!Q8742,
    IF(lien="First",1.00,
        IF(lien="Second",1.50,
            1.70)))</f>
        <v/>
      </c>
      <c r="K8742">
        <f>LET(
    purpose,'Loan Tape (S&amp;P)'!R8742,
    IF(purpose="Purchase",1.00,
        IF(purpose="Remortgage",1.00,
            1.20)))</f>
        <v/>
      </c>
      <c r="L8742">
        <f>LET(
    arrears_months,'Loan Tape (S&amp;P)'!AN8742,
    IF(arrears_months=0,1.00,
    IF(arrears_months=1,3.00,
    IF(arrears_months=2,5.00,
    IF(arrears_months=3,8.00,
    IF(arrears_months=4,10.00,
    IF(arrears_months=5,12.00,15.00)))))))</f>
        <v/>
      </c>
      <c r="M8742">
        <f>LET(
    seasoning_years,DATEDIF('Loan Tape (S&amp;P)'!K8742,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42">
        <f>IF(AND('Loan Tape (S&amp;P)'!U8742="Yes",
        'Loan Tape (S&amp;P)'!T8742&lt;&gt;"Yes",
        DATEDIF('Loan Tape (S&amp;P)'!K8742, TODAY(), "M")&lt;18),
    1.10,
    1.00)</f>
        <v/>
      </c>
      <c r="O8742">
        <f>IF('Loan Tape (S&amp;P)'!T8742="Yes",
    1.35,
    1.00)</f>
        <v/>
      </c>
      <c r="P8742">
        <f>IF('Loan Tape (S&amp;P)'!S8742="Yes",
    1.15,
    1.00)</f>
        <v/>
      </c>
      <c r="Q8742">
        <f>IF('Loan Tape (S&amp;P)'!V8742="Yes",
    1.20,
    1.00)</f>
        <v/>
      </c>
      <c r="T8742">
        <f>LET(
    payment_method,'Loan Tape (S&amp;P)'!P8742,
    occupancy,'Loan Tape (S&amp;P)'!N8742,
    maturity_date,'Loan Tape (S&amp;P)'!L8742,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43">
      <c r="J8743">
        <f>LET(
    lien,'Loan Tape (S&amp;P)'!Q8743,
    IF(lien="First",1.00,
        IF(lien="Second",1.50,
            1.70)))</f>
        <v/>
      </c>
      <c r="K8743">
        <f>LET(
    purpose,'Loan Tape (S&amp;P)'!R8743,
    IF(purpose="Purchase",1.00,
        IF(purpose="Remortgage",1.00,
            1.20)))</f>
        <v/>
      </c>
      <c r="L8743">
        <f>LET(
    arrears_months,'Loan Tape (S&amp;P)'!AN8743,
    IF(arrears_months=0,1.00,
    IF(arrears_months=1,3.00,
    IF(arrears_months=2,5.00,
    IF(arrears_months=3,8.00,
    IF(arrears_months=4,10.00,
    IF(arrears_months=5,12.00,15.00)))))))</f>
        <v/>
      </c>
      <c r="M8743">
        <f>LET(
    seasoning_years,DATEDIF('Loan Tape (S&amp;P)'!K8743,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43">
        <f>IF(AND('Loan Tape (S&amp;P)'!U8743="Yes",
        'Loan Tape (S&amp;P)'!T8743&lt;&gt;"Yes",
        DATEDIF('Loan Tape (S&amp;P)'!K8743, TODAY(), "M")&lt;18),
    1.10,
    1.00)</f>
        <v/>
      </c>
      <c r="O8743">
        <f>IF('Loan Tape (S&amp;P)'!T8743="Yes",
    1.35,
    1.00)</f>
        <v/>
      </c>
      <c r="P8743">
        <f>IF('Loan Tape (S&amp;P)'!S8743="Yes",
    1.15,
    1.00)</f>
        <v/>
      </c>
      <c r="Q8743">
        <f>IF('Loan Tape (S&amp;P)'!V8743="Yes",
    1.20,
    1.00)</f>
        <v/>
      </c>
      <c r="T8743">
        <f>LET(
    payment_method,'Loan Tape (S&amp;P)'!P8743,
    occupancy,'Loan Tape (S&amp;P)'!N8743,
    maturity_date,'Loan Tape (S&amp;P)'!L8743,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44">
      <c r="J8744">
        <f>LET(
    lien,'Loan Tape (S&amp;P)'!Q8744,
    IF(lien="First",1.00,
        IF(lien="Second",1.50,
            1.70)))</f>
        <v/>
      </c>
      <c r="K8744">
        <f>LET(
    purpose,'Loan Tape (S&amp;P)'!R8744,
    IF(purpose="Purchase",1.00,
        IF(purpose="Remortgage",1.00,
            1.20)))</f>
        <v/>
      </c>
      <c r="L8744">
        <f>LET(
    arrears_months,'Loan Tape (S&amp;P)'!AN8744,
    IF(arrears_months=0,1.00,
    IF(arrears_months=1,3.00,
    IF(arrears_months=2,5.00,
    IF(arrears_months=3,8.00,
    IF(arrears_months=4,10.00,
    IF(arrears_months=5,12.00,15.00)))))))</f>
        <v/>
      </c>
      <c r="M8744">
        <f>LET(
    seasoning_years,DATEDIF('Loan Tape (S&amp;P)'!K8744,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44">
        <f>IF(AND('Loan Tape (S&amp;P)'!U8744="Yes",
        'Loan Tape (S&amp;P)'!T8744&lt;&gt;"Yes",
        DATEDIF('Loan Tape (S&amp;P)'!K8744, TODAY(), "M")&lt;18),
    1.10,
    1.00)</f>
        <v/>
      </c>
      <c r="O8744">
        <f>IF('Loan Tape (S&amp;P)'!T8744="Yes",
    1.35,
    1.00)</f>
        <v/>
      </c>
      <c r="P8744">
        <f>IF('Loan Tape (S&amp;P)'!S8744="Yes",
    1.15,
    1.00)</f>
        <v/>
      </c>
      <c r="Q8744">
        <f>IF('Loan Tape (S&amp;P)'!V8744="Yes",
    1.20,
    1.00)</f>
        <v/>
      </c>
      <c r="T8744">
        <f>LET(
    payment_method,'Loan Tape (S&amp;P)'!P8744,
    occupancy,'Loan Tape (S&amp;P)'!N8744,
    maturity_date,'Loan Tape (S&amp;P)'!L8744,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45">
      <c r="J8745">
        <f>LET(
    lien,'Loan Tape (S&amp;P)'!Q8745,
    IF(lien="First",1.00,
        IF(lien="Second",1.50,
            1.70)))</f>
        <v/>
      </c>
      <c r="K8745">
        <f>LET(
    purpose,'Loan Tape (S&amp;P)'!R8745,
    IF(purpose="Purchase",1.00,
        IF(purpose="Remortgage",1.00,
            1.20)))</f>
        <v/>
      </c>
      <c r="L8745">
        <f>LET(
    arrears_months,'Loan Tape (S&amp;P)'!AN8745,
    IF(arrears_months=0,1.00,
    IF(arrears_months=1,3.00,
    IF(arrears_months=2,5.00,
    IF(arrears_months=3,8.00,
    IF(arrears_months=4,10.00,
    IF(arrears_months=5,12.00,15.00)))))))</f>
        <v/>
      </c>
      <c r="M8745">
        <f>LET(
    seasoning_years,DATEDIF('Loan Tape (S&amp;P)'!K8745,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45">
        <f>IF(AND('Loan Tape (S&amp;P)'!U8745="Yes",
        'Loan Tape (S&amp;P)'!T8745&lt;&gt;"Yes",
        DATEDIF('Loan Tape (S&amp;P)'!K8745, TODAY(), "M")&lt;18),
    1.10,
    1.00)</f>
        <v/>
      </c>
      <c r="O8745">
        <f>IF('Loan Tape (S&amp;P)'!T8745="Yes",
    1.35,
    1.00)</f>
        <v/>
      </c>
      <c r="P8745">
        <f>IF('Loan Tape (S&amp;P)'!S8745="Yes",
    1.15,
    1.00)</f>
        <v/>
      </c>
      <c r="Q8745">
        <f>IF('Loan Tape (S&amp;P)'!V8745="Yes",
    1.20,
    1.00)</f>
        <v/>
      </c>
      <c r="T8745">
        <f>LET(
    payment_method,'Loan Tape (S&amp;P)'!P8745,
    occupancy,'Loan Tape (S&amp;P)'!N8745,
    maturity_date,'Loan Tape (S&amp;P)'!L8745,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46">
      <c r="J8746">
        <f>LET(
    lien,'Loan Tape (S&amp;P)'!Q8746,
    IF(lien="First",1.00,
        IF(lien="Second",1.50,
            1.70)))</f>
        <v/>
      </c>
      <c r="K8746">
        <f>LET(
    purpose,'Loan Tape (S&amp;P)'!R8746,
    IF(purpose="Purchase",1.00,
        IF(purpose="Remortgage",1.00,
            1.20)))</f>
        <v/>
      </c>
      <c r="L8746">
        <f>LET(
    arrears_months,'Loan Tape (S&amp;P)'!AN8746,
    IF(arrears_months=0,1.00,
    IF(arrears_months=1,3.00,
    IF(arrears_months=2,5.00,
    IF(arrears_months=3,8.00,
    IF(arrears_months=4,10.00,
    IF(arrears_months=5,12.00,15.00)))))))</f>
        <v/>
      </c>
      <c r="M8746">
        <f>LET(
    seasoning_years,DATEDIF('Loan Tape (S&amp;P)'!K8746,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46">
        <f>IF(AND('Loan Tape (S&amp;P)'!U8746="Yes",
        'Loan Tape (S&amp;P)'!T8746&lt;&gt;"Yes",
        DATEDIF('Loan Tape (S&amp;P)'!K8746, TODAY(), "M")&lt;18),
    1.10,
    1.00)</f>
        <v/>
      </c>
      <c r="O8746">
        <f>IF('Loan Tape (S&amp;P)'!T8746="Yes",
    1.35,
    1.00)</f>
        <v/>
      </c>
      <c r="P8746">
        <f>IF('Loan Tape (S&amp;P)'!S8746="Yes",
    1.15,
    1.00)</f>
        <v/>
      </c>
      <c r="Q8746">
        <f>IF('Loan Tape (S&amp;P)'!V8746="Yes",
    1.20,
    1.00)</f>
        <v/>
      </c>
      <c r="T8746">
        <f>LET(
    payment_method,'Loan Tape (S&amp;P)'!P8746,
    occupancy,'Loan Tape (S&amp;P)'!N8746,
    maturity_date,'Loan Tape (S&amp;P)'!L8746,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47">
      <c r="J8747">
        <f>LET(
    lien,'Loan Tape (S&amp;P)'!Q8747,
    IF(lien="First",1.00,
        IF(lien="Second",1.50,
            1.70)))</f>
        <v/>
      </c>
      <c r="K8747">
        <f>LET(
    purpose,'Loan Tape (S&amp;P)'!R8747,
    IF(purpose="Purchase",1.00,
        IF(purpose="Remortgage",1.00,
            1.20)))</f>
        <v/>
      </c>
      <c r="L8747">
        <f>LET(
    arrears_months,'Loan Tape (S&amp;P)'!AN8747,
    IF(arrears_months=0,1.00,
    IF(arrears_months=1,3.00,
    IF(arrears_months=2,5.00,
    IF(arrears_months=3,8.00,
    IF(arrears_months=4,10.00,
    IF(arrears_months=5,12.00,15.00)))))))</f>
        <v/>
      </c>
      <c r="M8747">
        <f>LET(
    seasoning_years,DATEDIF('Loan Tape (S&amp;P)'!K8747,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47">
        <f>IF(AND('Loan Tape (S&amp;P)'!U8747="Yes",
        'Loan Tape (S&amp;P)'!T8747&lt;&gt;"Yes",
        DATEDIF('Loan Tape (S&amp;P)'!K8747, TODAY(), "M")&lt;18),
    1.10,
    1.00)</f>
        <v/>
      </c>
      <c r="O8747">
        <f>IF('Loan Tape (S&amp;P)'!T8747="Yes",
    1.35,
    1.00)</f>
        <v/>
      </c>
      <c r="P8747">
        <f>IF('Loan Tape (S&amp;P)'!S8747="Yes",
    1.15,
    1.00)</f>
        <v/>
      </c>
      <c r="Q8747">
        <f>IF('Loan Tape (S&amp;P)'!V8747="Yes",
    1.20,
    1.00)</f>
        <v/>
      </c>
      <c r="T8747">
        <f>LET(
    payment_method,'Loan Tape (S&amp;P)'!P8747,
    occupancy,'Loan Tape (S&amp;P)'!N8747,
    maturity_date,'Loan Tape (S&amp;P)'!L8747,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48">
      <c r="J8748">
        <f>LET(
    lien,'Loan Tape (S&amp;P)'!Q8748,
    IF(lien="First",1.00,
        IF(lien="Second",1.50,
            1.70)))</f>
        <v/>
      </c>
      <c r="K8748">
        <f>LET(
    purpose,'Loan Tape (S&amp;P)'!R8748,
    IF(purpose="Purchase",1.00,
        IF(purpose="Remortgage",1.00,
            1.20)))</f>
        <v/>
      </c>
      <c r="L8748">
        <f>LET(
    arrears_months,'Loan Tape (S&amp;P)'!AN8748,
    IF(arrears_months=0,1.00,
    IF(arrears_months=1,3.00,
    IF(arrears_months=2,5.00,
    IF(arrears_months=3,8.00,
    IF(arrears_months=4,10.00,
    IF(arrears_months=5,12.00,15.00)))))))</f>
        <v/>
      </c>
      <c r="M8748">
        <f>LET(
    seasoning_years,DATEDIF('Loan Tape (S&amp;P)'!K8748,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48">
        <f>IF(AND('Loan Tape (S&amp;P)'!U8748="Yes",
        'Loan Tape (S&amp;P)'!T8748&lt;&gt;"Yes",
        DATEDIF('Loan Tape (S&amp;P)'!K8748, TODAY(), "M")&lt;18),
    1.10,
    1.00)</f>
        <v/>
      </c>
      <c r="O8748">
        <f>IF('Loan Tape (S&amp;P)'!T8748="Yes",
    1.35,
    1.00)</f>
        <v/>
      </c>
      <c r="P8748">
        <f>IF('Loan Tape (S&amp;P)'!S8748="Yes",
    1.15,
    1.00)</f>
        <v/>
      </c>
      <c r="Q8748">
        <f>IF('Loan Tape (S&amp;P)'!V8748="Yes",
    1.20,
    1.00)</f>
        <v/>
      </c>
      <c r="T8748">
        <f>LET(
    payment_method,'Loan Tape (S&amp;P)'!P8748,
    occupancy,'Loan Tape (S&amp;P)'!N8748,
    maturity_date,'Loan Tape (S&amp;P)'!L8748,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49">
      <c r="J8749">
        <f>LET(
    lien,'Loan Tape (S&amp;P)'!Q8749,
    IF(lien="First",1.00,
        IF(lien="Second",1.50,
            1.70)))</f>
        <v/>
      </c>
      <c r="K8749">
        <f>LET(
    purpose,'Loan Tape (S&amp;P)'!R8749,
    IF(purpose="Purchase",1.00,
        IF(purpose="Remortgage",1.00,
            1.20)))</f>
        <v/>
      </c>
      <c r="L8749">
        <f>LET(
    arrears_months,'Loan Tape (S&amp;P)'!AN8749,
    IF(arrears_months=0,1.00,
    IF(arrears_months=1,3.00,
    IF(arrears_months=2,5.00,
    IF(arrears_months=3,8.00,
    IF(arrears_months=4,10.00,
    IF(arrears_months=5,12.00,15.00)))))))</f>
        <v/>
      </c>
      <c r="M8749">
        <f>LET(
    seasoning_years,DATEDIF('Loan Tape (S&amp;P)'!K8749,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49">
        <f>IF(AND('Loan Tape (S&amp;P)'!U8749="Yes",
        'Loan Tape (S&amp;P)'!T8749&lt;&gt;"Yes",
        DATEDIF('Loan Tape (S&amp;P)'!K8749, TODAY(), "M")&lt;18),
    1.10,
    1.00)</f>
        <v/>
      </c>
      <c r="O8749">
        <f>IF('Loan Tape (S&amp;P)'!T8749="Yes",
    1.35,
    1.00)</f>
        <v/>
      </c>
      <c r="P8749">
        <f>IF('Loan Tape (S&amp;P)'!S8749="Yes",
    1.15,
    1.00)</f>
        <v/>
      </c>
      <c r="Q8749">
        <f>IF('Loan Tape (S&amp;P)'!V8749="Yes",
    1.20,
    1.00)</f>
        <v/>
      </c>
      <c r="T8749">
        <f>LET(
    payment_method,'Loan Tape (S&amp;P)'!P8749,
    occupancy,'Loan Tape (S&amp;P)'!N8749,
    maturity_date,'Loan Tape (S&amp;P)'!L8749,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50">
      <c r="J8750">
        <f>LET(
    lien,'Loan Tape (S&amp;P)'!Q8750,
    IF(lien="First",1.00,
        IF(lien="Second",1.50,
            1.70)))</f>
        <v/>
      </c>
      <c r="K8750">
        <f>LET(
    purpose,'Loan Tape (S&amp;P)'!R8750,
    IF(purpose="Purchase",1.00,
        IF(purpose="Remortgage",1.00,
            1.20)))</f>
        <v/>
      </c>
      <c r="L8750">
        <f>LET(
    arrears_months,'Loan Tape (S&amp;P)'!AN8750,
    IF(arrears_months=0,1.00,
    IF(arrears_months=1,3.00,
    IF(arrears_months=2,5.00,
    IF(arrears_months=3,8.00,
    IF(arrears_months=4,10.00,
    IF(arrears_months=5,12.00,15.00)))))))</f>
        <v/>
      </c>
      <c r="M8750">
        <f>LET(
    seasoning_years,DATEDIF('Loan Tape (S&amp;P)'!K8750,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50">
        <f>IF(AND('Loan Tape (S&amp;P)'!U8750="Yes",
        'Loan Tape (S&amp;P)'!T8750&lt;&gt;"Yes",
        DATEDIF('Loan Tape (S&amp;P)'!K8750, TODAY(), "M")&lt;18),
    1.10,
    1.00)</f>
        <v/>
      </c>
      <c r="O8750">
        <f>IF('Loan Tape (S&amp;P)'!T8750="Yes",
    1.35,
    1.00)</f>
        <v/>
      </c>
      <c r="P8750">
        <f>IF('Loan Tape (S&amp;P)'!S8750="Yes",
    1.15,
    1.00)</f>
        <v/>
      </c>
      <c r="Q8750">
        <f>IF('Loan Tape (S&amp;P)'!V8750="Yes",
    1.20,
    1.00)</f>
        <v/>
      </c>
      <c r="T8750">
        <f>LET(
    payment_method,'Loan Tape (S&amp;P)'!P8750,
    occupancy,'Loan Tape (S&amp;P)'!N8750,
    maturity_date,'Loan Tape (S&amp;P)'!L8750,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51">
      <c r="J8751">
        <f>LET(
    lien,'Loan Tape (S&amp;P)'!Q8751,
    IF(lien="First",1.00,
        IF(lien="Second",1.50,
            1.70)))</f>
        <v/>
      </c>
      <c r="K8751">
        <f>LET(
    purpose,'Loan Tape (S&amp;P)'!R8751,
    IF(purpose="Purchase",1.00,
        IF(purpose="Remortgage",1.00,
            1.20)))</f>
        <v/>
      </c>
      <c r="L8751">
        <f>LET(
    arrears_months,'Loan Tape (S&amp;P)'!AN8751,
    IF(arrears_months=0,1.00,
    IF(arrears_months=1,3.00,
    IF(arrears_months=2,5.00,
    IF(arrears_months=3,8.00,
    IF(arrears_months=4,10.00,
    IF(arrears_months=5,12.00,15.00)))))))</f>
        <v/>
      </c>
      <c r="M8751">
        <f>LET(
    seasoning_years,DATEDIF('Loan Tape (S&amp;P)'!K8751,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51">
        <f>IF(AND('Loan Tape (S&amp;P)'!U8751="Yes",
        'Loan Tape (S&amp;P)'!T8751&lt;&gt;"Yes",
        DATEDIF('Loan Tape (S&amp;P)'!K8751, TODAY(), "M")&lt;18),
    1.10,
    1.00)</f>
        <v/>
      </c>
      <c r="O8751">
        <f>IF('Loan Tape (S&amp;P)'!T8751="Yes",
    1.35,
    1.00)</f>
        <v/>
      </c>
      <c r="P8751">
        <f>IF('Loan Tape (S&amp;P)'!S8751="Yes",
    1.15,
    1.00)</f>
        <v/>
      </c>
      <c r="Q8751">
        <f>IF('Loan Tape (S&amp;P)'!V8751="Yes",
    1.20,
    1.00)</f>
        <v/>
      </c>
      <c r="T8751">
        <f>LET(
    payment_method,'Loan Tape (S&amp;P)'!P8751,
    occupancy,'Loan Tape (S&amp;P)'!N8751,
    maturity_date,'Loan Tape (S&amp;P)'!L8751,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52">
      <c r="J8752">
        <f>LET(
    lien,'Loan Tape (S&amp;P)'!Q8752,
    IF(lien="First",1.00,
        IF(lien="Second",1.50,
            1.70)))</f>
        <v/>
      </c>
      <c r="K8752">
        <f>LET(
    purpose,'Loan Tape (S&amp;P)'!R8752,
    IF(purpose="Purchase",1.00,
        IF(purpose="Remortgage",1.00,
            1.20)))</f>
        <v/>
      </c>
      <c r="L8752">
        <f>LET(
    arrears_months,'Loan Tape (S&amp;P)'!AN8752,
    IF(arrears_months=0,1.00,
    IF(arrears_months=1,3.00,
    IF(arrears_months=2,5.00,
    IF(arrears_months=3,8.00,
    IF(arrears_months=4,10.00,
    IF(arrears_months=5,12.00,15.00)))))))</f>
        <v/>
      </c>
      <c r="M8752">
        <f>LET(
    seasoning_years,DATEDIF('Loan Tape (S&amp;P)'!K8752,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52">
        <f>IF(AND('Loan Tape (S&amp;P)'!U8752="Yes",
        'Loan Tape (S&amp;P)'!T8752&lt;&gt;"Yes",
        DATEDIF('Loan Tape (S&amp;P)'!K8752, TODAY(), "M")&lt;18),
    1.10,
    1.00)</f>
        <v/>
      </c>
      <c r="O8752">
        <f>IF('Loan Tape (S&amp;P)'!T8752="Yes",
    1.35,
    1.00)</f>
        <v/>
      </c>
      <c r="P8752">
        <f>IF('Loan Tape (S&amp;P)'!S8752="Yes",
    1.15,
    1.00)</f>
        <v/>
      </c>
      <c r="Q8752">
        <f>IF('Loan Tape (S&amp;P)'!V8752="Yes",
    1.20,
    1.00)</f>
        <v/>
      </c>
      <c r="T8752">
        <f>LET(
    payment_method,'Loan Tape (S&amp;P)'!P8752,
    occupancy,'Loan Tape (S&amp;P)'!N8752,
    maturity_date,'Loan Tape (S&amp;P)'!L8752,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53">
      <c r="J8753">
        <f>LET(
    lien,'Loan Tape (S&amp;P)'!Q8753,
    IF(lien="First",1.00,
        IF(lien="Second",1.50,
            1.70)))</f>
        <v/>
      </c>
      <c r="K8753">
        <f>LET(
    purpose,'Loan Tape (S&amp;P)'!R8753,
    IF(purpose="Purchase",1.00,
        IF(purpose="Remortgage",1.00,
            1.20)))</f>
        <v/>
      </c>
      <c r="L8753">
        <f>LET(
    arrears_months,'Loan Tape (S&amp;P)'!AN8753,
    IF(arrears_months=0,1.00,
    IF(arrears_months=1,3.00,
    IF(arrears_months=2,5.00,
    IF(arrears_months=3,8.00,
    IF(arrears_months=4,10.00,
    IF(arrears_months=5,12.00,15.00)))))))</f>
        <v/>
      </c>
      <c r="M8753">
        <f>LET(
    seasoning_years,DATEDIF('Loan Tape (S&amp;P)'!K8753,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53">
        <f>IF(AND('Loan Tape (S&amp;P)'!U8753="Yes",
        'Loan Tape (S&amp;P)'!T8753&lt;&gt;"Yes",
        DATEDIF('Loan Tape (S&amp;P)'!K8753, TODAY(), "M")&lt;18),
    1.10,
    1.00)</f>
        <v/>
      </c>
      <c r="O8753">
        <f>IF('Loan Tape (S&amp;P)'!T8753="Yes",
    1.35,
    1.00)</f>
        <v/>
      </c>
      <c r="P8753">
        <f>IF('Loan Tape (S&amp;P)'!S8753="Yes",
    1.15,
    1.00)</f>
        <v/>
      </c>
      <c r="Q8753">
        <f>IF('Loan Tape (S&amp;P)'!V8753="Yes",
    1.20,
    1.00)</f>
        <v/>
      </c>
      <c r="T8753">
        <f>LET(
    payment_method,'Loan Tape (S&amp;P)'!P8753,
    occupancy,'Loan Tape (S&amp;P)'!N8753,
    maturity_date,'Loan Tape (S&amp;P)'!L8753,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54">
      <c r="J8754">
        <f>LET(
    lien,'Loan Tape (S&amp;P)'!Q8754,
    IF(lien="First",1.00,
        IF(lien="Second",1.50,
            1.70)))</f>
        <v/>
      </c>
      <c r="K8754">
        <f>LET(
    purpose,'Loan Tape (S&amp;P)'!R8754,
    IF(purpose="Purchase",1.00,
        IF(purpose="Remortgage",1.00,
            1.20)))</f>
        <v/>
      </c>
      <c r="L8754">
        <f>LET(
    arrears_months,'Loan Tape (S&amp;P)'!AN8754,
    IF(arrears_months=0,1.00,
    IF(arrears_months=1,3.00,
    IF(arrears_months=2,5.00,
    IF(arrears_months=3,8.00,
    IF(arrears_months=4,10.00,
    IF(arrears_months=5,12.00,15.00)))))))</f>
        <v/>
      </c>
      <c r="M8754">
        <f>LET(
    seasoning_years,DATEDIF('Loan Tape (S&amp;P)'!K8754,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54">
        <f>IF(AND('Loan Tape (S&amp;P)'!U8754="Yes",
        'Loan Tape (S&amp;P)'!T8754&lt;&gt;"Yes",
        DATEDIF('Loan Tape (S&amp;P)'!K8754, TODAY(), "M")&lt;18),
    1.10,
    1.00)</f>
        <v/>
      </c>
      <c r="O8754">
        <f>IF('Loan Tape (S&amp;P)'!T8754="Yes",
    1.35,
    1.00)</f>
        <v/>
      </c>
      <c r="P8754">
        <f>IF('Loan Tape (S&amp;P)'!S8754="Yes",
    1.15,
    1.00)</f>
        <v/>
      </c>
      <c r="Q8754">
        <f>IF('Loan Tape (S&amp;P)'!V8754="Yes",
    1.20,
    1.00)</f>
        <v/>
      </c>
      <c r="T8754">
        <f>LET(
    payment_method,'Loan Tape (S&amp;P)'!P8754,
    occupancy,'Loan Tape (S&amp;P)'!N8754,
    maturity_date,'Loan Tape (S&amp;P)'!L8754,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55">
      <c r="J8755">
        <f>LET(
    lien,'Loan Tape (S&amp;P)'!Q8755,
    IF(lien="First",1.00,
        IF(lien="Second",1.50,
            1.70)))</f>
        <v/>
      </c>
      <c r="K8755">
        <f>LET(
    purpose,'Loan Tape (S&amp;P)'!R8755,
    IF(purpose="Purchase",1.00,
        IF(purpose="Remortgage",1.00,
            1.20)))</f>
        <v/>
      </c>
      <c r="L8755">
        <f>LET(
    arrears_months,'Loan Tape (S&amp;P)'!AN8755,
    IF(arrears_months=0,1.00,
    IF(arrears_months=1,3.00,
    IF(arrears_months=2,5.00,
    IF(arrears_months=3,8.00,
    IF(arrears_months=4,10.00,
    IF(arrears_months=5,12.00,15.00)))))))</f>
        <v/>
      </c>
      <c r="M8755">
        <f>LET(
    seasoning_years,DATEDIF('Loan Tape (S&amp;P)'!K8755,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55">
        <f>IF(AND('Loan Tape (S&amp;P)'!U8755="Yes",
        'Loan Tape (S&amp;P)'!T8755&lt;&gt;"Yes",
        DATEDIF('Loan Tape (S&amp;P)'!K8755, TODAY(), "M")&lt;18),
    1.10,
    1.00)</f>
        <v/>
      </c>
      <c r="O8755">
        <f>IF('Loan Tape (S&amp;P)'!T8755="Yes",
    1.35,
    1.00)</f>
        <v/>
      </c>
      <c r="P8755">
        <f>IF('Loan Tape (S&amp;P)'!S8755="Yes",
    1.15,
    1.00)</f>
        <v/>
      </c>
      <c r="Q8755">
        <f>IF('Loan Tape (S&amp;P)'!V8755="Yes",
    1.20,
    1.00)</f>
        <v/>
      </c>
      <c r="T8755">
        <f>LET(
    payment_method,'Loan Tape (S&amp;P)'!P8755,
    occupancy,'Loan Tape (S&amp;P)'!N8755,
    maturity_date,'Loan Tape (S&amp;P)'!L8755,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56">
      <c r="J8756">
        <f>LET(
    lien,'Loan Tape (S&amp;P)'!Q8756,
    IF(lien="First",1.00,
        IF(lien="Second",1.50,
            1.70)))</f>
        <v/>
      </c>
      <c r="K8756">
        <f>LET(
    purpose,'Loan Tape (S&amp;P)'!R8756,
    IF(purpose="Purchase",1.00,
        IF(purpose="Remortgage",1.00,
            1.20)))</f>
        <v/>
      </c>
      <c r="L8756">
        <f>LET(
    arrears_months,'Loan Tape (S&amp;P)'!AN8756,
    IF(arrears_months=0,1.00,
    IF(arrears_months=1,3.00,
    IF(arrears_months=2,5.00,
    IF(arrears_months=3,8.00,
    IF(arrears_months=4,10.00,
    IF(arrears_months=5,12.00,15.00)))))))</f>
        <v/>
      </c>
      <c r="M8756">
        <f>LET(
    seasoning_years,DATEDIF('Loan Tape (S&amp;P)'!K8756,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56">
        <f>IF(AND('Loan Tape (S&amp;P)'!U8756="Yes",
        'Loan Tape (S&amp;P)'!T8756&lt;&gt;"Yes",
        DATEDIF('Loan Tape (S&amp;P)'!K8756, TODAY(), "M")&lt;18),
    1.10,
    1.00)</f>
        <v/>
      </c>
      <c r="O8756">
        <f>IF('Loan Tape (S&amp;P)'!T8756="Yes",
    1.35,
    1.00)</f>
        <v/>
      </c>
      <c r="P8756">
        <f>IF('Loan Tape (S&amp;P)'!S8756="Yes",
    1.15,
    1.00)</f>
        <v/>
      </c>
      <c r="Q8756">
        <f>IF('Loan Tape (S&amp;P)'!V8756="Yes",
    1.20,
    1.00)</f>
        <v/>
      </c>
      <c r="T8756">
        <f>LET(
    payment_method,'Loan Tape (S&amp;P)'!P8756,
    occupancy,'Loan Tape (S&amp;P)'!N8756,
    maturity_date,'Loan Tape (S&amp;P)'!L8756,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57">
      <c r="J8757">
        <f>LET(
    lien,'Loan Tape (S&amp;P)'!Q8757,
    IF(lien="First",1.00,
        IF(lien="Second",1.50,
            1.70)))</f>
        <v/>
      </c>
      <c r="K8757">
        <f>LET(
    purpose,'Loan Tape (S&amp;P)'!R8757,
    IF(purpose="Purchase",1.00,
        IF(purpose="Remortgage",1.00,
            1.20)))</f>
        <v/>
      </c>
      <c r="L8757">
        <f>LET(
    arrears_months,'Loan Tape (S&amp;P)'!AN8757,
    IF(arrears_months=0,1.00,
    IF(arrears_months=1,3.00,
    IF(arrears_months=2,5.00,
    IF(arrears_months=3,8.00,
    IF(arrears_months=4,10.00,
    IF(arrears_months=5,12.00,15.00)))))))</f>
        <v/>
      </c>
      <c r="M8757">
        <f>LET(
    seasoning_years,DATEDIF('Loan Tape (S&amp;P)'!K8757,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57">
        <f>IF(AND('Loan Tape (S&amp;P)'!U8757="Yes",
        'Loan Tape (S&amp;P)'!T8757&lt;&gt;"Yes",
        DATEDIF('Loan Tape (S&amp;P)'!K8757, TODAY(), "M")&lt;18),
    1.10,
    1.00)</f>
        <v/>
      </c>
      <c r="O8757">
        <f>IF('Loan Tape (S&amp;P)'!T8757="Yes",
    1.35,
    1.00)</f>
        <v/>
      </c>
      <c r="P8757">
        <f>IF('Loan Tape (S&amp;P)'!S8757="Yes",
    1.15,
    1.00)</f>
        <v/>
      </c>
      <c r="Q8757">
        <f>IF('Loan Tape (S&amp;P)'!V8757="Yes",
    1.20,
    1.00)</f>
        <v/>
      </c>
      <c r="T8757">
        <f>LET(
    payment_method,'Loan Tape (S&amp;P)'!P8757,
    occupancy,'Loan Tape (S&amp;P)'!N8757,
    maturity_date,'Loan Tape (S&amp;P)'!L8757,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58">
      <c r="J8758">
        <f>LET(
    lien,'Loan Tape (S&amp;P)'!Q8758,
    IF(lien="First",1.00,
        IF(lien="Second",1.50,
            1.70)))</f>
        <v/>
      </c>
      <c r="K8758">
        <f>LET(
    purpose,'Loan Tape (S&amp;P)'!R8758,
    IF(purpose="Purchase",1.00,
        IF(purpose="Remortgage",1.00,
            1.20)))</f>
        <v/>
      </c>
      <c r="L8758">
        <f>LET(
    arrears_months,'Loan Tape (S&amp;P)'!AN8758,
    IF(arrears_months=0,1.00,
    IF(arrears_months=1,3.00,
    IF(arrears_months=2,5.00,
    IF(arrears_months=3,8.00,
    IF(arrears_months=4,10.00,
    IF(arrears_months=5,12.00,15.00)))))))</f>
        <v/>
      </c>
      <c r="M8758">
        <f>LET(
    seasoning_years,DATEDIF('Loan Tape (S&amp;P)'!K8758,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58">
        <f>IF(AND('Loan Tape (S&amp;P)'!U8758="Yes",
        'Loan Tape (S&amp;P)'!T8758&lt;&gt;"Yes",
        DATEDIF('Loan Tape (S&amp;P)'!K8758, TODAY(), "M")&lt;18),
    1.10,
    1.00)</f>
        <v/>
      </c>
      <c r="O8758">
        <f>IF('Loan Tape (S&amp;P)'!T8758="Yes",
    1.35,
    1.00)</f>
        <v/>
      </c>
      <c r="P8758">
        <f>IF('Loan Tape (S&amp;P)'!S8758="Yes",
    1.15,
    1.00)</f>
        <v/>
      </c>
      <c r="Q8758">
        <f>IF('Loan Tape (S&amp;P)'!V8758="Yes",
    1.20,
    1.00)</f>
        <v/>
      </c>
      <c r="T8758">
        <f>LET(
    payment_method,'Loan Tape (S&amp;P)'!P8758,
    occupancy,'Loan Tape (S&amp;P)'!N8758,
    maturity_date,'Loan Tape (S&amp;P)'!L8758,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59">
      <c r="J8759">
        <f>LET(
    lien,'Loan Tape (S&amp;P)'!Q8759,
    IF(lien="First",1.00,
        IF(lien="Second",1.50,
            1.70)))</f>
        <v/>
      </c>
      <c r="K8759">
        <f>LET(
    purpose,'Loan Tape (S&amp;P)'!R8759,
    IF(purpose="Purchase",1.00,
        IF(purpose="Remortgage",1.00,
            1.20)))</f>
        <v/>
      </c>
      <c r="L8759">
        <f>LET(
    arrears_months,'Loan Tape (S&amp;P)'!AN8759,
    IF(arrears_months=0,1.00,
    IF(arrears_months=1,3.00,
    IF(arrears_months=2,5.00,
    IF(arrears_months=3,8.00,
    IF(arrears_months=4,10.00,
    IF(arrears_months=5,12.00,15.00)))))))</f>
        <v/>
      </c>
      <c r="M8759">
        <f>LET(
    seasoning_years,DATEDIF('Loan Tape (S&amp;P)'!K8759,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59">
        <f>IF(AND('Loan Tape (S&amp;P)'!U8759="Yes",
        'Loan Tape (S&amp;P)'!T8759&lt;&gt;"Yes",
        DATEDIF('Loan Tape (S&amp;P)'!K8759, TODAY(), "M")&lt;18),
    1.10,
    1.00)</f>
        <v/>
      </c>
      <c r="O8759">
        <f>IF('Loan Tape (S&amp;P)'!T8759="Yes",
    1.35,
    1.00)</f>
        <v/>
      </c>
      <c r="P8759">
        <f>IF('Loan Tape (S&amp;P)'!S8759="Yes",
    1.15,
    1.00)</f>
        <v/>
      </c>
      <c r="Q8759">
        <f>IF('Loan Tape (S&amp;P)'!V8759="Yes",
    1.20,
    1.00)</f>
        <v/>
      </c>
      <c r="T8759">
        <f>LET(
    payment_method,'Loan Tape (S&amp;P)'!P8759,
    occupancy,'Loan Tape (S&amp;P)'!N8759,
    maturity_date,'Loan Tape (S&amp;P)'!L8759,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60">
      <c r="J8760">
        <f>LET(
    lien,'Loan Tape (S&amp;P)'!Q8760,
    IF(lien="First",1.00,
        IF(lien="Second",1.50,
            1.70)))</f>
        <v/>
      </c>
      <c r="K8760">
        <f>LET(
    purpose,'Loan Tape (S&amp;P)'!R8760,
    IF(purpose="Purchase",1.00,
        IF(purpose="Remortgage",1.00,
            1.20)))</f>
        <v/>
      </c>
      <c r="L8760">
        <f>LET(
    arrears_months,'Loan Tape (S&amp;P)'!AN8760,
    IF(arrears_months=0,1.00,
    IF(arrears_months=1,3.00,
    IF(arrears_months=2,5.00,
    IF(arrears_months=3,8.00,
    IF(arrears_months=4,10.00,
    IF(arrears_months=5,12.00,15.00)))))))</f>
        <v/>
      </c>
      <c r="M8760">
        <f>LET(
    seasoning_years,DATEDIF('Loan Tape (S&amp;P)'!K8760,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60">
        <f>IF(AND('Loan Tape (S&amp;P)'!U8760="Yes",
        'Loan Tape (S&amp;P)'!T8760&lt;&gt;"Yes",
        DATEDIF('Loan Tape (S&amp;P)'!K8760, TODAY(), "M")&lt;18),
    1.10,
    1.00)</f>
        <v/>
      </c>
      <c r="O8760">
        <f>IF('Loan Tape (S&amp;P)'!T8760="Yes",
    1.35,
    1.00)</f>
        <v/>
      </c>
      <c r="P8760">
        <f>IF('Loan Tape (S&amp;P)'!S8760="Yes",
    1.15,
    1.00)</f>
        <v/>
      </c>
      <c r="Q8760">
        <f>IF('Loan Tape (S&amp;P)'!V8760="Yes",
    1.20,
    1.00)</f>
        <v/>
      </c>
      <c r="T8760">
        <f>LET(
    payment_method,'Loan Tape (S&amp;P)'!P8760,
    occupancy,'Loan Tape (S&amp;P)'!N8760,
    maturity_date,'Loan Tape (S&amp;P)'!L8760,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61">
      <c r="J8761">
        <f>LET(
    lien,'Loan Tape (S&amp;P)'!Q8761,
    IF(lien="First",1.00,
        IF(lien="Second",1.50,
            1.70)))</f>
        <v/>
      </c>
      <c r="K8761">
        <f>LET(
    purpose,'Loan Tape (S&amp;P)'!R8761,
    IF(purpose="Purchase",1.00,
        IF(purpose="Remortgage",1.00,
            1.20)))</f>
        <v/>
      </c>
      <c r="L8761">
        <f>LET(
    arrears_months,'Loan Tape (S&amp;P)'!AN8761,
    IF(arrears_months=0,1.00,
    IF(arrears_months=1,3.00,
    IF(arrears_months=2,5.00,
    IF(arrears_months=3,8.00,
    IF(arrears_months=4,10.00,
    IF(arrears_months=5,12.00,15.00)))))))</f>
        <v/>
      </c>
      <c r="M8761">
        <f>LET(
    seasoning_years,DATEDIF('Loan Tape (S&amp;P)'!K8761,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61">
        <f>IF(AND('Loan Tape (S&amp;P)'!U8761="Yes",
        'Loan Tape (S&amp;P)'!T8761&lt;&gt;"Yes",
        DATEDIF('Loan Tape (S&amp;P)'!K8761, TODAY(), "M")&lt;18),
    1.10,
    1.00)</f>
        <v/>
      </c>
      <c r="O8761">
        <f>IF('Loan Tape (S&amp;P)'!T8761="Yes",
    1.35,
    1.00)</f>
        <v/>
      </c>
      <c r="P8761">
        <f>IF('Loan Tape (S&amp;P)'!S8761="Yes",
    1.15,
    1.00)</f>
        <v/>
      </c>
      <c r="Q8761">
        <f>IF('Loan Tape (S&amp;P)'!V8761="Yes",
    1.20,
    1.00)</f>
        <v/>
      </c>
      <c r="T8761">
        <f>LET(
    payment_method,'Loan Tape (S&amp;P)'!P8761,
    occupancy,'Loan Tape (S&amp;P)'!N8761,
    maturity_date,'Loan Tape (S&amp;P)'!L8761,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62">
      <c r="J8762">
        <f>LET(
    lien,'Loan Tape (S&amp;P)'!Q8762,
    IF(lien="First",1.00,
        IF(lien="Second",1.50,
            1.70)))</f>
        <v/>
      </c>
      <c r="K8762">
        <f>LET(
    purpose,'Loan Tape (S&amp;P)'!R8762,
    IF(purpose="Purchase",1.00,
        IF(purpose="Remortgage",1.00,
            1.20)))</f>
        <v/>
      </c>
      <c r="L8762">
        <f>LET(
    arrears_months,'Loan Tape (S&amp;P)'!AN8762,
    IF(arrears_months=0,1.00,
    IF(arrears_months=1,3.00,
    IF(arrears_months=2,5.00,
    IF(arrears_months=3,8.00,
    IF(arrears_months=4,10.00,
    IF(arrears_months=5,12.00,15.00)))))))</f>
        <v/>
      </c>
      <c r="M8762">
        <f>LET(
    seasoning_years,DATEDIF('Loan Tape (S&amp;P)'!K8762,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62">
        <f>IF(AND('Loan Tape (S&amp;P)'!U8762="Yes",
        'Loan Tape (S&amp;P)'!T8762&lt;&gt;"Yes",
        DATEDIF('Loan Tape (S&amp;P)'!K8762, TODAY(), "M")&lt;18),
    1.10,
    1.00)</f>
        <v/>
      </c>
      <c r="O8762">
        <f>IF('Loan Tape (S&amp;P)'!T8762="Yes",
    1.35,
    1.00)</f>
        <v/>
      </c>
      <c r="P8762">
        <f>IF('Loan Tape (S&amp;P)'!S8762="Yes",
    1.15,
    1.00)</f>
        <v/>
      </c>
      <c r="Q8762">
        <f>IF('Loan Tape (S&amp;P)'!V8762="Yes",
    1.20,
    1.00)</f>
        <v/>
      </c>
      <c r="T8762">
        <f>LET(
    payment_method,'Loan Tape (S&amp;P)'!P8762,
    occupancy,'Loan Tape (S&amp;P)'!N8762,
    maturity_date,'Loan Tape (S&amp;P)'!L8762,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63">
      <c r="J8763">
        <f>LET(
    lien,'Loan Tape (S&amp;P)'!Q8763,
    IF(lien="First",1.00,
        IF(lien="Second",1.50,
            1.70)))</f>
        <v/>
      </c>
      <c r="K8763">
        <f>LET(
    purpose,'Loan Tape (S&amp;P)'!R8763,
    IF(purpose="Purchase",1.00,
        IF(purpose="Remortgage",1.00,
            1.20)))</f>
        <v/>
      </c>
      <c r="L8763">
        <f>LET(
    arrears_months,'Loan Tape (S&amp;P)'!AN8763,
    IF(arrears_months=0,1.00,
    IF(arrears_months=1,3.00,
    IF(arrears_months=2,5.00,
    IF(arrears_months=3,8.00,
    IF(arrears_months=4,10.00,
    IF(arrears_months=5,12.00,15.00)))))))</f>
        <v/>
      </c>
      <c r="M8763">
        <f>LET(
    seasoning_years,DATEDIF('Loan Tape (S&amp;P)'!K8763,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63">
        <f>IF(AND('Loan Tape (S&amp;P)'!U8763="Yes",
        'Loan Tape (S&amp;P)'!T8763&lt;&gt;"Yes",
        DATEDIF('Loan Tape (S&amp;P)'!K8763, TODAY(), "M")&lt;18),
    1.10,
    1.00)</f>
        <v/>
      </c>
      <c r="O8763">
        <f>IF('Loan Tape (S&amp;P)'!T8763="Yes",
    1.35,
    1.00)</f>
        <v/>
      </c>
      <c r="P8763">
        <f>IF('Loan Tape (S&amp;P)'!S8763="Yes",
    1.15,
    1.00)</f>
        <v/>
      </c>
      <c r="Q8763">
        <f>IF('Loan Tape (S&amp;P)'!V8763="Yes",
    1.20,
    1.00)</f>
        <v/>
      </c>
      <c r="T8763">
        <f>LET(
    payment_method,'Loan Tape (S&amp;P)'!P8763,
    occupancy,'Loan Tape (S&amp;P)'!N8763,
    maturity_date,'Loan Tape (S&amp;P)'!L8763,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64">
      <c r="J8764">
        <f>LET(
    lien,'Loan Tape (S&amp;P)'!Q8764,
    IF(lien="First",1.00,
        IF(lien="Second",1.50,
            1.70)))</f>
        <v/>
      </c>
      <c r="K8764">
        <f>LET(
    purpose,'Loan Tape (S&amp;P)'!R8764,
    IF(purpose="Purchase",1.00,
        IF(purpose="Remortgage",1.00,
            1.20)))</f>
        <v/>
      </c>
      <c r="L8764">
        <f>LET(
    arrears_months,'Loan Tape (S&amp;P)'!AN8764,
    IF(arrears_months=0,1.00,
    IF(arrears_months=1,3.00,
    IF(arrears_months=2,5.00,
    IF(arrears_months=3,8.00,
    IF(arrears_months=4,10.00,
    IF(arrears_months=5,12.00,15.00)))))))</f>
        <v/>
      </c>
      <c r="M8764">
        <f>LET(
    seasoning_years,DATEDIF('Loan Tape (S&amp;P)'!K8764,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64">
        <f>IF(AND('Loan Tape (S&amp;P)'!U8764="Yes",
        'Loan Tape (S&amp;P)'!T8764&lt;&gt;"Yes",
        DATEDIF('Loan Tape (S&amp;P)'!K8764, TODAY(), "M")&lt;18),
    1.10,
    1.00)</f>
        <v/>
      </c>
      <c r="O8764">
        <f>IF('Loan Tape (S&amp;P)'!T8764="Yes",
    1.35,
    1.00)</f>
        <v/>
      </c>
      <c r="P8764">
        <f>IF('Loan Tape (S&amp;P)'!S8764="Yes",
    1.15,
    1.00)</f>
        <v/>
      </c>
      <c r="Q8764">
        <f>IF('Loan Tape (S&amp;P)'!V8764="Yes",
    1.20,
    1.00)</f>
        <v/>
      </c>
      <c r="T8764">
        <f>LET(
    payment_method,'Loan Tape (S&amp;P)'!P8764,
    occupancy,'Loan Tape (S&amp;P)'!N8764,
    maturity_date,'Loan Tape (S&amp;P)'!L8764,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65">
      <c r="J8765">
        <f>LET(
    lien,'Loan Tape (S&amp;P)'!Q8765,
    IF(lien="First",1.00,
        IF(lien="Second",1.50,
            1.70)))</f>
        <v/>
      </c>
      <c r="K8765">
        <f>LET(
    purpose,'Loan Tape (S&amp;P)'!R8765,
    IF(purpose="Purchase",1.00,
        IF(purpose="Remortgage",1.00,
            1.20)))</f>
        <v/>
      </c>
      <c r="L8765">
        <f>LET(
    arrears_months,'Loan Tape (S&amp;P)'!AN8765,
    IF(arrears_months=0,1.00,
    IF(arrears_months=1,3.00,
    IF(arrears_months=2,5.00,
    IF(arrears_months=3,8.00,
    IF(arrears_months=4,10.00,
    IF(arrears_months=5,12.00,15.00)))))))</f>
        <v/>
      </c>
      <c r="M8765">
        <f>LET(
    seasoning_years,DATEDIF('Loan Tape (S&amp;P)'!K8765,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65">
        <f>IF(AND('Loan Tape (S&amp;P)'!U8765="Yes",
        'Loan Tape (S&amp;P)'!T8765&lt;&gt;"Yes",
        DATEDIF('Loan Tape (S&amp;P)'!K8765, TODAY(), "M")&lt;18),
    1.10,
    1.00)</f>
        <v/>
      </c>
      <c r="O8765">
        <f>IF('Loan Tape (S&amp;P)'!T8765="Yes",
    1.35,
    1.00)</f>
        <v/>
      </c>
      <c r="P8765">
        <f>IF('Loan Tape (S&amp;P)'!S8765="Yes",
    1.15,
    1.00)</f>
        <v/>
      </c>
      <c r="Q8765">
        <f>IF('Loan Tape (S&amp;P)'!V8765="Yes",
    1.20,
    1.00)</f>
        <v/>
      </c>
      <c r="T8765">
        <f>LET(
    payment_method,'Loan Tape (S&amp;P)'!P8765,
    occupancy,'Loan Tape (S&amp;P)'!N8765,
    maturity_date,'Loan Tape (S&amp;P)'!L8765,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66">
      <c r="J8766">
        <f>LET(
    lien,'Loan Tape (S&amp;P)'!Q8766,
    IF(lien="First",1.00,
        IF(lien="Second",1.50,
            1.70)))</f>
        <v/>
      </c>
      <c r="K8766">
        <f>LET(
    purpose,'Loan Tape (S&amp;P)'!R8766,
    IF(purpose="Purchase",1.00,
        IF(purpose="Remortgage",1.00,
            1.20)))</f>
        <v/>
      </c>
      <c r="L8766">
        <f>LET(
    arrears_months,'Loan Tape (S&amp;P)'!AN8766,
    IF(arrears_months=0,1.00,
    IF(arrears_months=1,3.00,
    IF(arrears_months=2,5.00,
    IF(arrears_months=3,8.00,
    IF(arrears_months=4,10.00,
    IF(arrears_months=5,12.00,15.00)))))))</f>
        <v/>
      </c>
      <c r="M8766">
        <f>LET(
    seasoning_years,DATEDIF('Loan Tape (S&amp;P)'!K8766,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66">
        <f>IF(AND('Loan Tape (S&amp;P)'!U8766="Yes",
        'Loan Tape (S&amp;P)'!T8766&lt;&gt;"Yes",
        DATEDIF('Loan Tape (S&amp;P)'!K8766, TODAY(), "M")&lt;18),
    1.10,
    1.00)</f>
        <v/>
      </c>
      <c r="O8766">
        <f>IF('Loan Tape (S&amp;P)'!T8766="Yes",
    1.35,
    1.00)</f>
        <v/>
      </c>
      <c r="P8766">
        <f>IF('Loan Tape (S&amp;P)'!S8766="Yes",
    1.15,
    1.00)</f>
        <v/>
      </c>
      <c r="Q8766">
        <f>IF('Loan Tape (S&amp;P)'!V8766="Yes",
    1.20,
    1.00)</f>
        <v/>
      </c>
      <c r="T8766">
        <f>LET(
    payment_method,'Loan Tape (S&amp;P)'!P8766,
    occupancy,'Loan Tape (S&amp;P)'!N8766,
    maturity_date,'Loan Tape (S&amp;P)'!L8766,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67">
      <c r="J8767">
        <f>LET(
    lien,'Loan Tape (S&amp;P)'!Q8767,
    IF(lien="First",1.00,
        IF(lien="Second",1.50,
            1.70)))</f>
        <v/>
      </c>
      <c r="K8767">
        <f>LET(
    purpose,'Loan Tape (S&amp;P)'!R8767,
    IF(purpose="Purchase",1.00,
        IF(purpose="Remortgage",1.00,
            1.20)))</f>
        <v/>
      </c>
      <c r="L8767">
        <f>LET(
    arrears_months,'Loan Tape (S&amp;P)'!AN8767,
    IF(arrears_months=0,1.00,
    IF(arrears_months=1,3.00,
    IF(arrears_months=2,5.00,
    IF(arrears_months=3,8.00,
    IF(arrears_months=4,10.00,
    IF(arrears_months=5,12.00,15.00)))))))</f>
        <v/>
      </c>
      <c r="M8767">
        <f>LET(
    seasoning_years,DATEDIF('Loan Tape (S&amp;P)'!K8767,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67">
        <f>IF(AND('Loan Tape (S&amp;P)'!U8767="Yes",
        'Loan Tape (S&amp;P)'!T8767&lt;&gt;"Yes",
        DATEDIF('Loan Tape (S&amp;P)'!K8767, TODAY(), "M")&lt;18),
    1.10,
    1.00)</f>
        <v/>
      </c>
      <c r="O8767">
        <f>IF('Loan Tape (S&amp;P)'!T8767="Yes",
    1.35,
    1.00)</f>
        <v/>
      </c>
      <c r="P8767">
        <f>IF('Loan Tape (S&amp;P)'!S8767="Yes",
    1.15,
    1.00)</f>
        <v/>
      </c>
      <c r="Q8767">
        <f>IF('Loan Tape (S&amp;P)'!V8767="Yes",
    1.20,
    1.00)</f>
        <v/>
      </c>
      <c r="T8767">
        <f>LET(
    payment_method,'Loan Tape (S&amp;P)'!P8767,
    occupancy,'Loan Tape (S&amp;P)'!N8767,
    maturity_date,'Loan Tape (S&amp;P)'!L8767,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68">
      <c r="J8768">
        <f>LET(
    lien,'Loan Tape (S&amp;P)'!Q8768,
    IF(lien="First",1.00,
        IF(lien="Second",1.50,
            1.70)))</f>
        <v/>
      </c>
      <c r="K8768">
        <f>LET(
    purpose,'Loan Tape (S&amp;P)'!R8768,
    IF(purpose="Purchase",1.00,
        IF(purpose="Remortgage",1.00,
            1.20)))</f>
        <v/>
      </c>
      <c r="L8768">
        <f>LET(
    arrears_months,'Loan Tape (S&amp;P)'!AN8768,
    IF(arrears_months=0,1.00,
    IF(arrears_months=1,3.00,
    IF(arrears_months=2,5.00,
    IF(arrears_months=3,8.00,
    IF(arrears_months=4,10.00,
    IF(arrears_months=5,12.00,15.00)))))))</f>
        <v/>
      </c>
      <c r="M8768">
        <f>LET(
    seasoning_years,DATEDIF('Loan Tape (S&amp;P)'!K8768,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68">
        <f>IF(AND('Loan Tape (S&amp;P)'!U8768="Yes",
        'Loan Tape (S&amp;P)'!T8768&lt;&gt;"Yes",
        DATEDIF('Loan Tape (S&amp;P)'!K8768, TODAY(), "M")&lt;18),
    1.10,
    1.00)</f>
        <v/>
      </c>
      <c r="O8768">
        <f>IF('Loan Tape (S&amp;P)'!T8768="Yes",
    1.35,
    1.00)</f>
        <v/>
      </c>
      <c r="P8768">
        <f>IF('Loan Tape (S&amp;P)'!S8768="Yes",
    1.15,
    1.00)</f>
        <v/>
      </c>
      <c r="Q8768">
        <f>IF('Loan Tape (S&amp;P)'!V8768="Yes",
    1.20,
    1.00)</f>
        <v/>
      </c>
      <c r="T8768">
        <f>LET(
    payment_method,'Loan Tape (S&amp;P)'!P8768,
    occupancy,'Loan Tape (S&amp;P)'!N8768,
    maturity_date,'Loan Tape (S&amp;P)'!L8768,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69">
      <c r="J8769">
        <f>LET(
    lien,'Loan Tape (S&amp;P)'!Q8769,
    IF(lien="First",1.00,
        IF(lien="Second",1.50,
            1.70)))</f>
        <v/>
      </c>
      <c r="K8769">
        <f>LET(
    purpose,'Loan Tape (S&amp;P)'!R8769,
    IF(purpose="Purchase",1.00,
        IF(purpose="Remortgage",1.00,
            1.20)))</f>
        <v/>
      </c>
      <c r="L8769">
        <f>LET(
    arrears_months,'Loan Tape (S&amp;P)'!AN8769,
    IF(arrears_months=0,1.00,
    IF(arrears_months=1,3.00,
    IF(arrears_months=2,5.00,
    IF(arrears_months=3,8.00,
    IF(arrears_months=4,10.00,
    IF(arrears_months=5,12.00,15.00)))))))</f>
        <v/>
      </c>
      <c r="M8769">
        <f>LET(
    seasoning_years,DATEDIF('Loan Tape (S&amp;P)'!K8769,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69">
        <f>IF(AND('Loan Tape (S&amp;P)'!U8769="Yes",
        'Loan Tape (S&amp;P)'!T8769&lt;&gt;"Yes",
        DATEDIF('Loan Tape (S&amp;P)'!K8769, TODAY(), "M")&lt;18),
    1.10,
    1.00)</f>
        <v/>
      </c>
      <c r="O8769">
        <f>IF('Loan Tape (S&amp;P)'!T8769="Yes",
    1.35,
    1.00)</f>
        <v/>
      </c>
      <c r="P8769">
        <f>IF('Loan Tape (S&amp;P)'!S8769="Yes",
    1.15,
    1.00)</f>
        <v/>
      </c>
      <c r="Q8769">
        <f>IF('Loan Tape (S&amp;P)'!V8769="Yes",
    1.20,
    1.00)</f>
        <v/>
      </c>
      <c r="T8769">
        <f>LET(
    payment_method,'Loan Tape (S&amp;P)'!P8769,
    occupancy,'Loan Tape (S&amp;P)'!N8769,
    maturity_date,'Loan Tape (S&amp;P)'!L8769,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70">
      <c r="J8770">
        <f>LET(
    lien,'Loan Tape (S&amp;P)'!Q8770,
    IF(lien="First",1.00,
        IF(lien="Second",1.50,
            1.70)))</f>
        <v/>
      </c>
      <c r="K8770">
        <f>LET(
    purpose,'Loan Tape (S&amp;P)'!R8770,
    IF(purpose="Purchase",1.00,
        IF(purpose="Remortgage",1.00,
            1.20)))</f>
        <v/>
      </c>
      <c r="L8770">
        <f>LET(
    arrears_months,'Loan Tape (S&amp;P)'!AN8770,
    IF(arrears_months=0,1.00,
    IF(arrears_months=1,3.00,
    IF(arrears_months=2,5.00,
    IF(arrears_months=3,8.00,
    IF(arrears_months=4,10.00,
    IF(arrears_months=5,12.00,15.00)))))))</f>
        <v/>
      </c>
      <c r="M8770">
        <f>LET(
    seasoning_years,DATEDIF('Loan Tape (S&amp;P)'!K8770,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70">
        <f>IF(AND('Loan Tape (S&amp;P)'!U8770="Yes",
        'Loan Tape (S&amp;P)'!T8770&lt;&gt;"Yes",
        DATEDIF('Loan Tape (S&amp;P)'!K8770, TODAY(), "M")&lt;18),
    1.10,
    1.00)</f>
        <v/>
      </c>
      <c r="O8770">
        <f>IF('Loan Tape (S&amp;P)'!T8770="Yes",
    1.35,
    1.00)</f>
        <v/>
      </c>
      <c r="P8770">
        <f>IF('Loan Tape (S&amp;P)'!S8770="Yes",
    1.15,
    1.00)</f>
        <v/>
      </c>
      <c r="Q8770">
        <f>IF('Loan Tape (S&amp;P)'!V8770="Yes",
    1.20,
    1.00)</f>
        <v/>
      </c>
      <c r="T8770">
        <f>LET(
    payment_method,'Loan Tape (S&amp;P)'!P8770,
    occupancy,'Loan Tape (S&amp;P)'!N8770,
    maturity_date,'Loan Tape (S&amp;P)'!L8770,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71">
      <c r="J8771">
        <f>LET(
    lien,'Loan Tape (S&amp;P)'!Q8771,
    IF(lien="First",1.00,
        IF(lien="Second",1.50,
            1.70)))</f>
        <v/>
      </c>
      <c r="K8771">
        <f>LET(
    purpose,'Loan Tape (S&amp;P)'!R8771,
    IF(purpose="Purchase",1.00,
        IF(purpose="Remortgage",1.00,
            1.20)))</f>
        <v/>
      </c>
      <c r="L8771">
        <f>LET(
    arrears_months,'Loan Tape (S&amp;P)'!AN8771,
    IF(arrears_months=0,1.00,
    IF(arrears_months=1,3.00,
    IF(arrears_months=2,5.00,
    IF(arrears_months=3,8.00,
    IF(arrears_months=4,10.00,
    IF(arrears_months=5,12.00,15.00)))))))</f>
        <v/>
      </c>
      <c r="M8771">
        <f>LET(
    seasoning_years,DATEDIF('Loan Tape (S&amp;P)'!K8771,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71">
        <f>IF(AND('Loan Tape (S&amp;P)'!U8771="Yes",
        'Loan Tape (S&amp;P)'!T8771&lt;&gt;"Yes",
        DATEDIF('Loan Tape (S&amp;P)'!K8771, TODAY(), "M")&lt;18),
    1.10,
    1.00)</f>
        <v/>
      </c>
      <c r="O8771">
        <f>IF('Loan Tape (S&amp;P)'!T8771="Yes",
    1.35,
    1.00)</f>
        <v/>
      </c>
      <c r="P8771">
        <f>IF('Loan Tape (S&amp;P)'!S8771="Yes",
    1.15,
    1.00)</f>
        <v/>
      </c>
      <c r="Q8771">
        <f>IF('Loan Tape (S&amp;P)'!V8771="Yes",
    1.20,
    1.00)</f>
        <v/>
      </c>
      <c r="T8771">
        <f>LET(
    payment_method,'Loan Tape (S&amp;P)'!P8771,
    occupancy,'Loan Tape (S&amp;P)'!N8771,
    maturity_date,'Loan Tape (S&amp;P)'!L8771,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72">
      <c r="J8772">
        <f>LET(
    lien,'Loan Tape (S&amp;P)'!Q8772,
    IF(lien="First",1.00,
        IF(lien="Second",1.50,
            1.70)))</f>
        <v/>
      </c>
      <c r="K8772">
        <f>LET(
    purpose,'Loan Tape (S&amp;P)'!R8772,
    IF(purpose="Purchase",1.00,
        IF(purpose="Remortgage",1.00,
            1.20)))</f>
        <v/>
      </c>
      <c r="L8772">
        <f>LET(
    arrears_months,'Loan Tape (S&amp;P)'!AN8772,
    IF(arrears_months=0,1.00,
    IF(arrears_months=1,3.00,
    IF(arrears_months=2,5.00,
    IF(arrears_months=3,8.00,
    IF(arrears_months=4,10.00,
    IF(arrears_months=5,12.00,15.00)))))))</f>
        <v/>
      </c>
      <c r="M8772">
        <f>LET(
    seasoning_years,DATEDIF('Loan Tape (S&amp;P)'!K8772,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72">
        <f>IF(AND('Loan Tape (S&amp;P)'!U8772="Yes",
        'Loan Tape (S&amp;P)'!T8772&lt;&gt;"Yes",
        DATEDIF('Loan Tape (S&amp;P)'!K8772, TODAY(), "M")&lt;18),
    1.10,
    1.00)</f>
        <v/>
      </c>
      <c r="O8772">
        <f>IF('Loan Tape (S&amp;P)'!T8772="Yes",
    1.35,
    1.00)</f>
        <v/>
      </c>
      <c r="P8772">
        <f>IF('Loan Tape (S&amp;P)'!S8772="Yes",
    1.15,
    1.00)</f>
        <v/>
      </c>
      <c r="Q8772">
        <f>IF('Loan Tape (S&amp;P)'!V8772="Yes",
    1.20,
    1.00)</f>
        <v/>
      </c>
      <c r="T8772">
        <f>LET(
    payment_method,'Loan Tape (S&amp;P)'!P8772,
    occupancy,'Loan Tape (S&amp;P)'!N8772,
    maturity_date,'Loan Tape (S&amp;P)'!L8772,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73">
      <c r="J8773">
        <f>LET(
    lien,'Loan Tape (S&amp;P)'!Q8773,
    IF(lien="First",1.00,
        IF(lien="Second",1.50,
            1.70)))</f>
        <v/>
      </c>
      <c r="K8773">
        <f>LET(
    purpose,'Loan Tape (S&amp;P)'!R8773,
    IF(purpose="Purchase",1.00,
        IF(purpose="Remortgage",1.00,
            1.20)))</f>
        <v/>
      </c>
      <c r="L8773">
        <f>LET(
    arrears_months,'Loan Tape (S&amp;P)'!AN8773,
    IF(arrears_months=0,1.00,
    IF(arrears_months=1,3.00,
    IF(arrears_months=2,5.00,
    IF(arrears_months=3,8.00,
    IF(arrears_months=4,10.00,
    IF(arrears_months=5,12.00,15.00)))))))</f>
        <v/>
      </c>
      <c r="M8773">
        <f>LET(
    seasoning_years,DATEDIF('Loan Tape (S&amp;P)'!K8773,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73">
        <f>IF(AND('Loan Tape (S&amp;P)'!U8773="Yes",
        'Loan Tape (S&amp;P)'!T8773&lt;&gt;"Yes",
        DATEDIF('Loan Tape (S&amp;P)'!K8773, TODAY(), "M")&lt;18),
    1.10,
    1.00)</f>
        <v/>
      </c>
      <c r="O8773">
        <f>IF('Loan Tape (S&amp;P)'!T8773="Yes",
    1.35,
    1.00)</f>
        <v/>
      </c>
      <c r="P8773">
        <f>IF('Loan Tape (S&amp;P)'!S8773="Yes",
    1.15,
    1.00)</f>
        <v/>
      </c>
      <c r="Q8773">
        <f>IF('Loan Tape (S&amp;P)'!V8773="Yes",
    1.20,
    1.00)</f>
        <v/>
      </c>
      <c r="T8773">
        <f>LET(
    payment_method,'Loan Tape (S&amp;P)'!P8773,
    occupancy,'Loan Tape (S&amp;P)'!N8773,
    maturity_date,'Loan Tape (S&amp;P)'!L8773,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74">
      <c r="J8774">
        <f>LET(
    lien,'Loan Tape (S&amp;P)'!Q8774,
    IF(lien="First",1.00,
        IF(lien="Second",1.50,
            1.70)))</f>
        <v/>
      </c>
      <c r="K8774">
        <f>LET(
    purpose,'Loan Tape (S&amp;P)'!R8774,
    IF(purpose="Purchase",1.00,
        IF(purpose="Remortgage",1.00,
            1.20)))</f>
        <v/>
      </c>
      <c r="L8774">
        <f>LET(
    arrears_months,'Loan Tape (S&amp;P)'!AN8774,
    IF(arrears_months=0,1.00,
    IF(arrears_months=1,3.00,
    IF(arrears_months=2,5.00,
    IF(arrears_months=3,8.00,
    IF(arrears_months=4,10.00,
    IF(arrears_months=5,12.00,15.00)))))))</f>
        <v/>
      </c>
      <c r="M8774">
        <f>LET(
    seasoning_years,DATEDIF('Loan Tape (S&amp;P)'!K8774,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74">
        <f>IF(AND('Loan Tape (S&amp;P)'!U8774="Yes",
        'Loan Tape (S&amp;P)'!T8774&lt;&gt;"Yes",
        DATEDIF('Loan Tape (S&amp;P)'!K8774, TODAY(), "M")&lt;18),
    1.10,
    1.00)</f>
        <v/>
      </c>
      <c r="O8774">
        <f>IF('Loan Tape (S&amp;P)'!T8774="Yes",
    1.35,
    1.00)</f>
        <v/>
      </c>
      <c r="P8774">
        <f>IF('Loan Tape (S&amp;P)'!S8774="Yes",
    1.15,
    1.00)</f>
        <v/>
      </c>
      <c r="Q8774">
        <f>IF('Loan Tape (S&amp;P)'!V8774="Yes",
    1.20,
    1.00)</f>
        <v/>
      </c>
      <c r="T8774">
        <f>LET(
    payment_method,'Loan Tape (S&amp;P)'!P8774,
    occupancy,'Loan Tape (S&amp;P)'!N8774,
    maturity_date,'Loan Tape (S&amp;P)'!L8774,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75">
      <c r="J8775">
        <f>LET(
    lien,'Loan Tape (S&amp;P)'!Q8775,
    IF(lien="First",1.00,
        IF(lien="Second",1.50,
            1.70)))</f>
        <v/>
      </c>
      <c r="K8775">
        <f>LET(
    purpose,'Loan Tape (S&amp;P)'!R8775,
    IF(purpose="Purchase",1.00,
        IF(purpose="Remortgage",1.00,
            1.20)))</f>
        <v/>
      </c>
      <c r="L8775">
        <f>LET(
    arrears_months,'Loan Tape (S&amp;P)'!AN8775,
    IF(arrears_months=0,1.00,
    IF(arrears_months=1,3.00,
    IF(arrears_months=2,5.00,
    IF(arrears_months=3,8.00,
    IF(arrears_months=4,10.00,
    IF(arrears_months=5,12.00,15.00)))))))</f>
        <v/>
      </c>
      <c r="M8775">
        <f>LET(
    seasoning_years,DATEDIF('Loan Tape (S&amp;P)'!K8775,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75">
        <f>IF(AND('Loan Tape (S&amp;P)'!U8775="Yes",
        'Loan Tape (S&amp;P)'!T8775&lt;&gt;"Yes",
        DATEDIF('Loan Tape (S&amp;P)'!K8775, TODAY(), "M")&lt;18),
    1.10,
    1.00)</f>
        <v/>
      </c>
      <c r="O8775">
        <f>IF('Loan Tape (S&amp;P)'!T8775="Yes",
    1.35,
    1.00)</f>
        <v/>
      </c>
      <c r="P8775">
        <f>IF('Loan Tape (S&amp;P)'!S8775="Yes",
    1.15,
    1.00)</f>
        <v/>
      </c>
      <c r="Q8775">
        <f>IF('Loan Tape (S&amp;P)'!V8775="Yes",
    1.20,
    1.00)</f>
        <v/>
      </c>
      <c r="T8775">
        <f>LET(
    payment_method,'Loan Tape (S&amp;P)'!P8775,
    occupancy,'Loan Tape (S&amp;P)'!N8775,
    maturity_date,'Loan Tape (S&amp;P)'!L8775,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76">
      <c r="J8776">
        <f>LET(
    lien,'Loan Tape (S&amp;P)'!Q8776,
    IF(lien="First",1.00,
        IF(lien="Second",1.50,
            1.70)))</f>
        <v/>
      </c>
      <c r="K8776">
        <f>LET(
    purpose,'Loan Tape (S&amp;P)'!R8776,
    IF(purpose="Purchase",1.00,
        IF(purpose="Remortgage",1.00,
            1.20)))</f>
        <v/>
      </c>
      <c r="L8776">
        <f>LET(
    arrears_months,'Loan Tape (S&amp;P)'!AN8776,
    IF(arrears_months=0,1.00,
    IF(arrears_months=1,3.00,
    IF(arrears_months=2,5.00,
    IF(arrears_months=3,8.00,
    IF(arrears_months=4,10.00,
    IF(arrears_months=5,12.00,15.00)))))))</f>
        <v/>
      </c>
      <c r="M8776">
        <f>LET(
    seasoning_years,DATEDIF('Loan Tape (S&amp;P)'!K8776,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76">
        <f>IF(AND('Loan Tape (S&amp;P)'!U8776="Yes",
        'Loan Tape (S&amp;P)'!T8776&lt;&gt;"Yes",
        DATEDIF('Loan Tape (S&amp;P)'!K8776, TODAY(), "M")&lt;18),
    1.10,
    1.00)</f>
        <v/>
      </c>
      <c r="O8776">
        <f>IF('Loan Tape (S&amp;P)'!T8776="Yes",
    1.35,
    1.00)</f>
        <v/>
      </c>
      <c r="P8776">
        <f>IF('Loan Tape (S&amp;P)'!S8776="Yes",
    1.15,
    1.00)</f>
        <v/>
      </c>
      <c r="Q8776">
        <f>IF('Loan Tape (S&amp;P)'!V8776="Yes",
    1.20,
    1.00)</f>
        <v/>
      </c>
      <c r="T8776">
        <f>LET(
    payment_method,'Loan Tape (S&amp;P)'!P8776,
    occupancy,'Loan Tape (S&amp;P)'!N8776,
    maturity_date,'Loan Tape (S&amp;P)'!L8776,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77">
      <c r="J8777">
        <f>LET(
    lien,'Loan Tape (S&amp;P)'!Q8777,
    IF(lien="First",1.00,
        IF(lien="Second",1.50,
            1.70)))</f>
        <v/>
      </c>
      <c r="K8777">
        <f>LET(
    purpose,'Loan Tape (S&amp;P)'!R8777,
    IF(purpose="Purchase",1.00,
        IF(purpose="Remortgage",1.00,
            1.20)))</f>
        <v/>
      </c>
      <c r="L8777">
        <f>LET(
    arrears_months,'Loan Tape (S&amp;P)'!AN8777,
    IF(arrears_months=0,1.00,
    IF(arrears_months=1,3.00,
    IF(arrears_months=2,5.00,
    IF(arrears_months=3,8.00,
    IF(arrears_months=4,10.00,
    IF(arrears_months=5,12.00,15.00)))))))</f>
        <v/>
      </c>
      <c r="M8777">
        <f>LET(
    seasoning_years,DATEDIF('Loan Tape (S&amp;P)'!K8777,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77">
        <f>IF(AND('Loan Tape (S&amp;P)'!U8777="Yes",
        'Loan Tape (S&amp;P)'!T8777&lt;&gt;"Yes",
        DATEDIF('Loan Tape (S&amp;P)'!K8777, TODAY(), "M")&lt;18),
    1.10,
    1.00)</f>
        <v/>
      </c>
      <c r="O8777">
        <f>IF('Loan Tape (S&amp;P)'!T8777="Yes",
    1.35,
    1.00)</f>
        <v/>
      </c>
      <c r="P8777">
        <f>IF('Loan Tape (S&amp;P)'!S8777="Yes",
    1.15,
    1.00)</f>
        <v/>
      </c>
      <c r="Q8777">
        <f>IF('Loan Tape (S&amp;P)'!V8777="Yes",
    1.20,
    1.00)</f>
        <v/>
      </c>
      <c r="T8777">
        <f>LET(
    payment_method,'Loan Tape (S&amp;P)'!P8777,
    occupancy,'Loan Tape (S&amp;P)'!N8777,
    maturity_date,'Loan Tape (S&amp;P)'!L8777,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78">
      <c r="J8778">
        <f>LET(
    lien,'Loan Tape (S&amp;P)'!Q8778,
    IF(lien="First",1.00,
        IF(lien="Second",1.50,
            1.70)))</f>
        <v/>
      </c>
      <c r="K8778">
        <f>LET(
    purpose,'Loan Tape (S&amp;P)'!R8778,
    IF(purpose="Purchase",1.00,
        IF(purpose="Remortgage",1.00,
            1.20)))</f>
        <v/>
      </c>
      <c r="L8778">
        <f>LET(
    arrears_months,'Loan Tape (S&amp;P)'!AN8778,
    IF(arrears_months=0,1.00,
    IF(arrears_months=1,3.00,
    IF(arrears_months=2,5.00,
    IF(arrears_months=3,8.00,
    IF(arrears_months=4,10.00,
    IF(arrears_months=5,12.00,15.00)))))))</f>
        <v/>
      </c>
      <c r="M8778">
        <f>LET(
    seasoning_years,DATEDIF('Loan Tape (S&amp;P)'!K8778,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78">
        <f>IF(AND('Loan Tape (S&amp;P)'!U8778="Yes",
        'Loan Tape (S&amp;P)'!T8778&lt;&gt;"Yes",
        DATEDIF('Loan Tape (S&amp;P)'!K8778, TODAY(), "M")&lt;18),
    1.10,
    1.00)</f>
        <v/>
      </c>
      <c r="O8778">
        <f>IF('Loan Tape (S&amp;P)'!T8778="Yes",
    1.35,
    1.00)</f>
        <v/>
      </c>
      <c r="P8778">
        <f>IF('Loan Tape (S&amp;P)'!S8778="Yes",
    1.15,
    1.00)</f>
        <v/>
      </c>
      <c r="Q8778">
        <f>IF('Loan Tape (S&amp;P)'!V8778="Yes",
    1.20,
    1.00)</f>
        <v/>
      </c>
      <c r="T8778">
        <f>LET(
    payment_method,'Loan Tape (S&amp;P)'!P8778,
    occupancy,'Loan Tape (S&amp;P)'!N8778,
    maturity_date,'Loan Tape (S&amp;P)'!L8778,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79">
      <c r="J8779">
        <f>LET(
    lien,'Loan Tape (S&amp;P)'!Q8779,
    IF(lien="First",1.00,
        IF(lien="Second",1.50,
            1.70)))</f>
        <v/>
      </c>
      <c r="K8779">
        <f>LET(
    purpose,'Loan Tape (S&amp;P)'!R8779,
    IF(purpose="Purchase",1.00,
        IF(purpose="Remortgage",1.00,
            1.20)))</f>
        <v/>
      </c>
      <c r="L8779">
        <f>LET(
    arrears_months,'Loan Tape (S&amp;P)'!AN8779,
    IF(arrears_months=0,1.00,
    IF(arrears_months=1,3.00,
    IF(arrears_months=2,5.00,
    IF(arrears_months=3,8.00,
    IF(arrears_months=4,10.00,
    IF(arrears_months=5,12.00,15.00)))))))</f>
        <v/>
      </c>
      <c r="M8779">
        <f>LET(
    seasoning_years,DATEDIF('Loan Tape (S&amp;P)'!K8779,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79">
        <f>IF(AND('Loan Tape (S&amp;P)'!U8779="Yes",
        'Loan Tape (S&amp;P)'!T8779&lt;&gt;"Yes",
        DATEDIF('Loan Tape (S&amp;P)'!K8779, TODAY(), "M")&lt;18),
    1.10,
    1.00)</f>
        <v/>
      </c>
      <c r="O8779">
        <f>IF('Loan Tape (S&amp;P)'!T8779="Yes",
    1.35,
    1.00)</f>
        <v/>
      </c>
      <c r="P8779">
        <f>IF('Loan Tape (S&amp;P)'!S8779="Yes",
    1.15,
    1.00)</f>
        <v/>
      </c>
      <c r="Q8779">
        <f>IF('Loan Tape (S&amp;P)'!V8779="Yes",
    1.20,
    1.00)</f>
        <v/>
      </c>
      <c r="T8779">
        <f>LET(
    payment_method,'Loan Tape (S&amp;P)'!P8779,
    occupancy,'Loan Tape (S&amp;P)'!N8779,
    maturity_date,'Loan Tape (S&amp;P)'!L8779,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80">
      <c r="J8780">
        <f>LET(
    lien,'Loan Tape (S&amp;P)'!Q8780,
    IF(lien="First",1.00,
        IF(lien="Second",1.50,
            1.70)))</f>
        <v/>
      </c>
      <c r="K8780">
        <f>LET(
    purpose,'Loan Tape (S&amp;P)'!R8780,
    IF(purpose="Purchase",1.00,
        IF(purpose="Remortgage",1.00,
            1.20)))</f>
        <v/>
      </c>
      <c r="L8780">
        <f>LET(
    arrears_months,'Loan Tape (S&amp;P)'!AN8780,
    IF(arrears_months=0,1.00,
    IF(arrears_months=1,3.00,
    IF(arrears_months=2,5.00,
    IF(arrears_months=3,8.00,
    IF(arrears_months=4,10.00,
    IF(arrears_months=5,12.00,15.00)))))))</f>
        <v/>
      </c>
      <c r="M8780">
        <f>LET(
    seasoning_years,DATEDIF('Loan Tape (S&amp;P)'!K8780,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80">
        <f>IF(AND('Loan Tape (S&amp;P)'!U8780="Yes",
        'Loan Tape (S&amp;P)'!T8780&lt;&gt;"Yes",
        DATEDIF('Loan Tape (S&amp;P)'!K8780, TODAY(), "M")&lt;18),
    1.10,
    1.00)</f>
        <v/>
      </c>
      <c r="O8780">
        <f>IF('Loan Tape (S&amp;P)'!T8780="Yes",
    1.35,
    1.00)</f>
        <v/>
      </c>
      <c r="P8780">
        <f>IF('Loan Tape (S&amp;P)'!S8780="Yes",
    1.15,
    1.00)</f>
        <v/>
      </c>
      <c r="Q8780">
        <f>IF('Loan Tape (S&amp;P)'!V8780="Yes",
    1.20,
    1.00)</f>
        <v/>
      </c>
      <c r="T8780">
        <f>LET(
    payment_method,'Loan Tape (S&amp;P)'!P8780,
    occupancy,'Loan Tape (S&amp;P)'!N8780,
    maturity_date,'Loan Tape (S&amp;P)'!L8780,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81">
      <c r="J8781">
        <f>LET(
    lien,'Loan Tape (S&amp;P)'!Q8781,
    IF(lien="First",1.00,
        IF(lien="Second",1.50,
            1.70)))</f>
        <v/>
      </c>
      <c r="K8781">
        <f>LET(
    purpose,'Loan Tape (S&amp;P)'!R8781,
    IF(purpose="Purchase",1.00,
        IF(purpose="Remortgage",1.00,
            1.20)))</f>
        <v/>
      </c>
      <c r="L8781">
        <f>LET(
    arrears_months,'Loan Tape (S&amp;P)'!AN8781,
    IF(arrears_months=0,1.00,
    IF(arrears_months=1,3.00,
    IF(arrears_months=2,5.00,
    IF(arrears_months=3,8.00,
    IF(arrears_months=4,10.00,
    IF(arrears_months=5,12.00,15.00)))))))</f>
        <v/>
      </c>
      <c r="M8781">
        <f>LET(
    seasoning_years,DATEDIF('Loan Tape (S&amp;P)'!K8781,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81">
        <f>IF(AND('Loan Tape (S&amp;P)'!U8781="Yes",
        'Loan Tape (S&amp;P)'!T8781&lt;&gt;"Yes",
        DATEDIF('Loan Tape (S&amp;P)'!K8781, TODAY(), "M")&lt;18),
    1.10,
    1.00)</f>
        <v/>
      </c>
      <c r="O8781">
        <f>IF('Loan Tape (S&amp;P)'!T8781="Yes",
    1.35,
    1.00)</f>
        <v/>
      </c>
      <c r="P8781">
        <f>IF('Loan Tape (S&amp;P)'!S8781="Yes",
    1.15,
    1.00)</f>
        <v/>
      </c>
      <c r="Q8781">
        <f>IF('Loan Tape (S&amp;P)'!V8781="Yes",
    1.20,
    1.00)</f>
        <v/>
      </c>
      <c r="T8781">
        <f>LET(
    payment_method,'Loan Tape (S&amp;P)'!P8781,
    occupancy,'Loan Tape (S&amp;P)'!N8781,
    maturity_date,'Loan Tape (S&amp;P)'!L8781,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82">
      <c r="J8782">
        <f>LET(
    lien,'Loan Tape (S&amp;P)'!Q8782,
    IF(lien="First",1.00,
        IF(lien="Second",1.50,
            1.70)))</f>
        <v/>
      </c>
      <c r="K8782">
        <f>LET(
    purpose,'Loan Tape (S&amp;P)'!R8782,
    IF(purpose="Purchase",1.00,
        IF(purpose="Remortgage",1.00,
            1.20)))</f>
        <v/>
      </c>
      <c r="L8782">
        <f>LET(
    arrears_months,'Loan Tape (S&amp;P)'!AN8782,
    IF(arrears_months=0,1.00,
    IF(arrears_months=1,3.00,
    IF(arrears_months=2,5.00,
    IF(arrears_months=3,8.00,
    IF(arrears_months=4,10.00,
    IF(arrears_months=5,12.00,15.00)))))))</f>
        <v/>
      </c>
      <c r="M8782">
        <f>LET(
    seasoning_years,DATEDIF('Loan Tape (S&amp;P)'!K8782,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82">
        <f>IF(AND('Loan Tape (S&amp;P)'!U8782="Yes",
        'Loan Tape (S&amp;P)'!T8782&lt;&gt;"Yes",
        DATEDIF('Loan Tape (S&amp;P)'!K8782, TODAY(), "M")&lt;18),
    1.10,
    1.00)</f>
        <v/>
      </c>
      <c r="O8782">
        <f>IF('Loan Tape (S&amp;P)'!T8782="Yes",
    1.35,
    1.00)</f>
        <v/>
      </c>
      <c r="P8782">
        <f>IF('Loan Tape (S&amp;P)'!S8782="Yes",
    1.15,
    1.00)</f>
        <v/>
      </c>
      <c r="Q8782">
        <f>IF('Loan Tape (S&amp;P)'!V8782="Yes",
    1.20,
    1.00)</f>
        <v/>
      </c>
      <c r="T8782">
        <f>LET(
    payment_method,'Loan Tape (S&amp;P)'!P8782,
    occupancy,'Loan Tape (S&amp;P)'!N8782,
    maturity_date,'Loan Tape (S&amp;P)'!L8782,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83">
      <c r="J8783">
        <f>LET(
    lien,'Loan Tape (S&amp;P)'!Q8783,
    IF(lien="First",1.00,
        IF(lien="Second",1.50,
            1.70)))</f>
        <v/>
      </c>
      <c r="K8783">
        <f>LET(
    purpose,'Loan Tape (S&amp;P)'!R8783,
    IF(purpose="Purchase",1.00,
        IF(purpose="Remortgage",1.00,
            1.20)))</f>
        <v/>
      </c>
      <c r="L8783">
        <f>LET(
    arrears_months,'Loan Tape (S&amp;P)'!AN8783,
    IF(arrears_months=0,1.00,
    IF(arrears_months=1,3.00,
    IF(arrears_months=2,5.00,
    IF(arrears_months=3,8.00,
    IF(arrears_months=4,10.00,
    IF(arrears_months=5,12.00,15.00)))))))</f>
        <v/>
      </c>
      <c r="M8783">
        <f>LET(
    seasoning_years,DATEDIF('Loan Tape (S&amp;P)'!K8783,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83">
        <f>IF(AND('Loan Tape (S&amp;P)'!U8783="Yes",
        'Loan Tape (S&amp;P)'!T8783&lt;&gt;"Yes",
        DATEDIF('Loan Tape (S&amp;P)'!K8783, TODAY(), "M")&lt;18),
    1.10,
    1.00)</f>
        <v/>
      </c>
      <c r="O8783">
        <f>IF('Loan Tape (S&amp;P)'!T8783="Yes",
    1.35,
    1.00)</f>
        <v/>
      </c>
      <c r="P8783">
        <f>IF('Loan Tape (S&amp;P)'!S8783="Yes",
    1.15,
    1.00)</f>
        <v/>
      </c>
      <c r="Q8783">
        <f>IF('Loan Tape (S&amp;P)'!V8783="Yes",
    1.20,
    1.00)</f>
        <v/>
      </c>
      <c r="T8783">
        <f>LET(
    payment_method,'Loan Tape (S&amp;P)'!P8783,
    occupancy,'Loan Tape (S&amp;P)'!N8783,
    maturity_date,'Loan Tape (S&amp;P)'!L8783,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84">
      <c r="J8784">
        <f>LET(
    lien,'Loan Tape (S&amp;P)'!Q8784,
    IF(lien="First",1.00,
        IF(lien="Second",1.50,
            1.70)))</f>
        <v/>
      </c>
      <c r="K8784">
        <f>LET(
    purpose,'Loan Tape (S&amp;P)'!R8784,
    IF(purpose="Purchase",1.00,
        IF(purpose="Remortgage",1.00,
            1.20)))</f>
        <v/>
      </c>
      <c r="L8784">
        <f>LET(
    arrears_months,'Loan Tape (S&amp;P)'!AN8784,
    IF(arrears_months=0,1.00,
    IF(arrears_months=1,3.00,
    IF(arrears_months=2,5.00,
    IF(arrears_months=3,8.00,
    IF(arrears_months=4,10.00,
    IF(arrears_months=5,12.00,15.00)))))))</f>
        <v/>
      </c>
      <c r="M8784">
        <f>LET(
    seasoning_years,DATEDIF('Loan Tape (S&amp;P)'!K8784,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84">
        <f>IF(AND('Loan Tape (S&amp;P)'!U8784="Yes",
        'Loan Tape (S&amp;P)'!T8784&lt;&gt;"Yes",
        DATEDIF('Loan Tape (S&amp;P)'!K8784, TODAY(), "M")&lt;18),
    1.10,
    1.00)</f>
        <v/>
      </c>
      <c r="O8784">
        <f>IF('Loan Tape (S&amp;P)'!T8784="Yes",
    1.35,
    1.00)</f>
        <v/>
      </c>
      <c r="P8784">
        <f>IF('Loan Tape (S&amp;P)'!S8784="Yes",
    1.15,
    1.00)</f>
        <v/>
      </c>
      <c r="Q8784">
        <f>IF('Loan Tape (S&amp;P)'!V8784="Yes",
    1.20,
    1.00)</f>
        <v/>
      </c>
      <c r="T8784">
        <f>LET(
    payment_method,'Loan Tape (S&amp;P)'!P8784,
    occupancy,'Loan Tape (S&amp;P)'!N8784,
    maturity_date,'Loan Tape (S&amp;P)'!L8784,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85">
      <c r="J8785">
        <f>LET(
    lien,'Loan Tape (S&amp;P)'!Q8785,
    IF(lien="First",1.00,
        IF(lien="Second",1.50,
            1.70)))</f>
        <v/>
      </c>
      <c r="K8785">
        <f>LET(
    purpose,'Loan Tape (S&amp;P)'!R8785,
    IF(purpose="Purchase",1.00,
        IF(purpose="Remortgage",1.00,
            1.20)))</f>
        <v/>
      </c>
      <c r="L8785">
        <f>LET(
    arrears_months,'Loan Tape (S&amp;P)'!AN8785,
    IF(arrears_months=0,1.00,
    IF(arrears_months=1,3.00,
    IF(arrears_months=2,5.00,
    IF(arrears_months=3,8.00,
    IF(arrears_months=4,10.00,
    IF(arrears_months=5,12.00,15.00)))))))</f>
        <v/>
      </c>
      <c r="M8785">
        <f>LET(
    seasoning_years,DATEDIF('Loan Tape (S&amp;P)'!K8785,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85">
        <f>IF(AND('Loan Tape (S&amp;P)'!U8785="Yes",
        'Loan Tape (S&amp;P)'!T8785&lt;&gt;"Yes",
        DATEDIF('Loan Tape (S&amp;P)'!K8785, TODAY(), "M")&lt;18),
    1.10,
    1.00)</f>
        <v/>
      </c>
      <c r="O8785">
        <f>IF('Loan Tape (S&amp;P)'!T8785="Yes",
    1.35,
    1.00)</f>
        <v/>
      </c>
      <c r="P8785">
        <f>IF('Loan Tape (S&amp;P)'!S8785="Yes",
    1.15,
    1.00)</f>
        <v/>
      </c>
      <c r="Q8785">
        <f>IF('Loan Tape (S&amp;P)'!V8785="Yes",
    1.20,
    1.00)</f>
        <v/>
      </c>
      <c r="T8785">
        <f>LET(
    payment_method,'Loan Tape (S&amp;P)'!P8785,
    occupancy,'Loan Tape (S&amp;P)'!N8785,
    maturity_date,'Loan Tape (S&amp;P)'!L8785,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86">
      <c r="J8786">
        <f>LET(
    lien,'Loan Tape (S&amp;P)'!Q8786,
    IF(lien="First",1.00,
        IF(lien="Second",1.50,
            1.70)))</f>
        <v/>
      </c>
      <c r="K8786">
        <f>LET(
    purpose,'Loan Tape (S&amp;P)'!R8786,
    IF(purpose="Purchase",1.00,
        IF(purpose="Remortgage",1.00,
            1.20)))</f>
        <v/>
      </c>
      <c r="L8786">
        <f>LET(
    arrears_months,'Loan Tape (S&amp;P)'!AN8786,
    IF(arrears_months=0,1.00,
    IF(arrears_months=1,3.00,
    IF(arrears_months=2,5.00,
    IF(arrears_months=3,8.00,
    IF(arrears_months=4,10.00,
    IF(arrears_months=5,12.00,15.00)))))))</f>
        <v/>
      </c>
      <c r="M8786">
        <f>LET(
    seasoning_years,DATEDIF('Loan Tape (S&amp;P)'!K8786,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86">
        <f>IF(AND('Loan Tape (S&amp;P)'!U8786="Yes",
        'Loan Tape (S&amp;P)'!T8786&lt;&gt;"Yes",
        DATEDIF('Loan Tape (S&amp;P)'!K8786, TODAY(), "M")&lt;18),
    1.10,
    1.00)</f>
        <v/>
      </c>
      <c r="O8786">
        <f>IF('Loan Tape (S&amp;P)'!T8786="Yes",
    1.35,
    1.00)</f>
        <v/>
      </c>
      <c r="P8786">
        <f>IF('Loan Tape (S&amp;P)'!S8786="Yes",
    1.15,
    1.00)</f>
        <v/>
      </c>
      <c r="Q8786">
        <f>IF('Loan Tape (S&amp;P)'!V8786="Yes",
    1.20,
    1.00)</f>
        <v/>
      </c>
      <c r="T8786">
        <f>LET(
    payment_method,'Loan Tape (S&amp;P)'!P8786,
    occupancy,'Loan Tape (S&amp;P)'!N8786,
    maturity_date,'Loan Tape (S&amp;P)'!L8786,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87">
      <c r="J8787">
        <f>LET(
    lien,'Loan Tape (S&amp;P)'!Q8787,
    IF(lien="First",1.00,
        IF(lien="Second",1.50,
            1.70)))</f>
        <v/>
      </c>
      <c r="K8787">
        <f>LET(
    purpose,'Loan Tape (S&amp;P)'!R8787,
    IF(purpose="Purchase",1.00,
        IF(purpose="Remortgage",1.00,
            1.20)))</f>
        <v/>
      </c>
      <c r="L8787">
        <f>LET(
    arrears_months,'Loan Tape (S&amp;P)'!AN8787,
    IF(arrears_months=0,1.00,
    IF(arrears_months=1,3.00,
    IF(arrears_months=2,5.00,
    IF(arrears_months=3,8.00,
    IF(arrears_months=4,10.00,
    IF(arrears_months=5,12.00,15.00)))))))</f>
        <v/>
      </c>
      <c r="M8787">
        <f>LET(
    seasoning_years,DATEDIF('Loan Tape (S&amp;P)'!K8787,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87">
        <f>IF(AND('Loan Tape (S&amp;P)'!U8787="Yes",
        'Loan Tape (S&amp;P)'!T8787&lt;&gt;"Yes",
        DATEDIF('Loan Tape (S&amp;P)'!K8787, TODAY(), "M")&lt;18),
    1.10,
    1.00)</f>
        <v/>
      </c>
      <c r="O8787">
        <f>IF('Loan Tape (S&amp;P)'!T8787="Yes",
    1.35,
    1.00)</f>
        <v/>
      </c>
      <c r="P8787">
        <f>IF('Loan Tape (S&amp;P)'!S8787="Yes",
    1.15,
    1.00)</f>
        <v/>
      </c>
      <c r="Q8787">
        <f>IF('Loan Tape (S&amp;P)'!V8787="Yes",
    1.20,
    1.00)</f>
        <v/>
      </c>
      <c r="T8787">
        <f>LET(
    payment_method,'Loan Tape (S&amp;P)'!P8787,
    occupancy,'Loan Tape (S&amp;P)'!N8787,
    maturity_date,'Loan Tape (S&amp;P)'!L8787,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88">
      <c r="J8788">
        <f>LET(
    lien,'Loan Tape (S&amp;P)'!Q8788,
    IF(lien="First",1.00,
        IF(lien="Second",1.50,
            1.70)))</f>
        <v/>
      </c>
      <c r="K8788">
        <f>LET(
    purpose,'Loan Tape (S&amp;P)'!R8788,
    IF(purpose="Purchase",1.00,
        IF(purpose="Remortgage",1.00,
            1.20)))</f>
        <v/>
      </c>
      <c r="L8788">
        <f>LET(
    arrears_months,'Loan Tape (S&amp;P)'!AN8788,
    IF(arrears_months=0,1.00,
    IF(arrears_months=1,3.00,
    IF(arrears_months=2,5.00,
    IF(arrears_months=3,8.00,
    IF(arrears_months=4,10.00,
    IF(arrears_months=5,12.00,15.00)))))))</f>
        <v/>
      </c>
      <c r="M8788">
        <f>LET(
    seasoning_years,DATEDIF('Loan Tape (S&amp;P)'!K8788,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88">
        <f>IF(AND('Loan Tape (S&amp;P)'!U8788="Yes",
        'Loan Tape (S&amp;P)'!T8788&lt;&gt;"Yes",
        DATEDIF('Loan Tape (S&amp;P)'!K8788, TODAY(), "M")&lt;18),
    1.10,
    1.00)</f>
        <v/>
      </c>
      <c r="O8788">
        <f>IF('Loan Tape (S&amp;P)'!T8788="Yes",
    1.35,
    1.00)</f>
        <v/>
      </c>
      <c r="P8788">
        <f>IF('Loan Tape (S&amp;P)'!S8788="Yes",
    1.15,
    1.00)</f>
        <v/>
      </c>
      <c r="Q8788">
        <f>IF('Loan Tape (S&amp;P)'!V8788="Yes",
    1.20,
    1.00)</f>
        <v/>
      </c>
      <c r="T8788">
        <f>LET(
    payment_method,'Loan Tape (S&amp;P)'!P8788,
    occupancy,'Loan Tape (S&amp;P)'!N8788,
    maturity_date,'Loan Tape (S&amp;P)'!L8788,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89">
      <c r="J8789">
        <f>LET(
    lien,'Loan Tape (S&amp;P)'!Q8789,
    IF(lien="First",1.00,
        IF(lien="Second",1.50,
            1.70)))</f>
        <v/>
      </c>
      <c r="K8789">
        <f>LET(
    purpose,'Loan Tape (S&amp;P)'!R8789,
    IF(purpose="Purchase",1.00,
        IF(purpose="Remortgage",1.00,
            1.20)))</f>
        <v/>
      </c>
      <c r="L8789">
        <f>LET(
    arrears_months,'Loan Tape (S&amp;P)'!AN8789,
    IF(arrears_months=0,1.00,
    IF(arrears_months=1,3.00,
    IF(arrears_months=2,5.00,
    IF(arrears_months=3,8.00,
    IF(arrears_months=4,10.00,
    IF(arrears_months=5,12.00,15.00)))))))</f>
        <v/>
      </c>
      <c r="M8789">
        <f>LET(
    seasoning_years,DATEDIF('Loan Tape (S&amp;P)'!K8789,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89">
        <f>IF(AND('Loan Tape (S&amp;P)'!U8789="Yes",
        'Loan Tape (S&amp;P)'!T8789&lt;&gt;"Yes",
        DATEDIF('Loan Tape (S&amp;P)'!K8789, TODAY(), "M")&lt;18),
    1.10,
    1.00)</f>
        <v/>
      </c>
      <c r="O8789">
        <f>IF('Loan Tape (S&amp;P)'!T8789="Yes",
    1.35,
    1.00)</f>
        <v/>
      </c>
      <c r="P8789">
        <f>IF('Loan Tape (S&amp;P)'!S8789="Yes",
    1.15,
    1.00)</f>
        <v/>
      </c>
      <c r="Q8789">
        <f>IF('Loan Tape (S&amp;P)'!V8789="Yes",
    1.20,
    1.00)</f>
        <v/>
      </c>
      <c r="T8789">
        <f>LET(
    payment_method,'Loan Tape (S&amp;P)'!P8789,
    occupancy,'Loan Tape (S&amp;P)'!N8789,
    maturity_date,'Loan Tape (S&amp;P)'!L8789,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90">
      <c r="J8790">
        <f>LET(
    lien,'Loan Tape (S&amp;P)'!Q8790,
    IF(lien="First",1.00,
        IF(lien="Second",1.50,
            1.70)))</f>
        <v/>
      </c>
      <c r="K8790">
        <f>LET(
    purpose,'Loan Tape (S&amp;P)'!R8790,
    IF(purpose="Purchase",1.00,
        IF(purpose="Remortgage",1.00,
            1.20)))</f>
        <v/>
      </c>
      <c r="L8790">
        <f>LET(
    arrears_months,'Loan Tape (S&amp;P)'!AN8790,
    IF(arrears_months=0,1.00,
    IF(arrears_months=1,3.00,
    IF(arrears_months=2,5.00,
    IF(arrears_months=3,8.00,
    IF(arrears_months=4,10.00,
    IF(arrears_months=5,12.00,15.00)))))))</f>
        <v/>
      </c>
      <c r="M8790">
        <f>LET(
    seasoning_years,DATEDIF('Loan Tape (S&amp;P)'!K8790,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90">
        <f>IF(AND('Loan Tape (S&amp;P)'!U8790="Yes",
        'Loan Tape (S&amp;P)'!T8790&lt;&gt;"Yes",
        DATEDIF('Loan Tape (S&amp;P)'!K8790, TODAY(), "M")&lt;18),
    1.10,
    1.00)</f>
        <v/>
      </c>
      <c r="O8790">
        <f>IF('Loan Tape (S&amp;P)'!T8790="Yes",
    1.35,
    1.00)</f>
        <v/>
      </c>
      <c r="P8790">
        <f>IF('Loan Tape (S&amp;P)'!S8790="Yes",
    1.15,
    1.00)</f>
        <v/>
      </c>
      <c r="Q8790">
        <f>IF('Loan Tape (S&amp;P)'!V8790="Yes",
    1.20,
    1.00)</f>
        <v/>
      </c>
      <c r="T8790">
        <f>LET(
    payment_method,'Loan Tape (S&amp;P)'!P8790,
    occupancy,'Loan Tape (S&amp;P)'!N8790,
    maturity_date,'Loan Tape (S&amp;P)'!L8790,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91">
      <c r="J8791">
        <f>LET(
    lien,'Loan Tape (S&amp;P)'!Q8791,
    IF(lien="First",1.00,
        IF(lien="Second",1.50,
            1.70)))</f>
        <v/>
      </c>
      <c r="K8791">
        <f>LET(
    purpose,'Loan Tape (S&amp;P)'!R8791,
    IF(purpose="Purchase",1.00,
        IF(purpose="Remortgage",1.00,
            1.20)))</f>
        <v/>
      </c>
      <c r="L8791">
        <f>LET(
    arrears_months,'Loan Tape (S&amp;P)'!AN8791,
    IF(arrears_months=0,1.00,
    IF(arrears_months=1,3.00,
    IF(arrears_months=2,5.00,
    IF(arrears_months=3,8.00,
    IF(arrears_months=4,10.00,
    IF(arrears_months=5,12.00,15.00)))))))</f>
        <v/>
      </c>
      <c r="M8791">
        <f>LET(
    seasoning_years,DATEDIF('Loan Tape (S&amp;P)'!K8791,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91">
        <f>IF(AND('Loan Tape (S&amp;P)'!U8791="Yes",
        'Loan Tape (S&amp;P)'!T8791&lt;&gt;"Yes",
        DATEDIF('Loan Tape (S&amp;P)'!K8791, TODAY(), "M")&lt;18),
    1.10,
    1.00)</f>
        <v/>
      </c>
      <c r="O8791">
        <f>IF('Loan Tape (S&amp;P)'!T8791="Yes",
    1.35,
    1.00)</f>
        <v/>
      </c>
      <c r="P8791">
        <f>IF('Loan Tape (S&amp;P)'!S8791="Yes",
    1.15,
    1.00)</f>
        <v/>
      </c>
      <c r="Q8791">
        <f>IF('Loan Tape (S&amp;P)'!V8791="Yes",
    1.20,
    1.00)</f>
        <v/>
      </c>
      <c r="T8791">
        <f>LET(
    payment_method,'Loan Tape (S&amp;P)'!P8791,
    occupancy,'Loan Tape (S&amp;P)'!N8791,
    maturity_date,'Loan Tape (S&amp;P)'!L8791,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92">
      <c r="J8792">
        <f>LET(
    lien,'Loan Tape (S&amp;P)'!Q8792,
    IF(lien="First",1.00,
        IF(lien="Second",1.50,
            1.70)))</f>
        <v/>
      </c>
      <c r="K8792">
        <f>LET(
    purpose,'Loan Tape (S&amp;P)'!R8792,
    IF(purpose="Purchase",1.00,
        IF(purpose="Remortgage",1.00,
            1.20)))</f>
        <v/>
      </c>
      <c r="L8792">
        <f>LET(
    arrears_months,'Loan Tape (S&amp;P)'!AN8792,
    IF(arrears_months=0,1.00,
    IF(arrears_months=1,3.00,
    IF(arrears_months=2,5.00,
    IF(arrears_months=3,8.00,
    IF(arrears_months=4,10.00,
    IF(arrears_months=5,12.00,15.00)))))))</f>
        <v/>
      </c>
      <c r="M8792">
        <f>LET(
    seasoning_years,DATEDIF('Loan Tape (S&amp;P)'!K8792,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92">
        <f>IF(AND('Loan Tape (S&amp;P)'!U8792="Yes",
        'Loan Tape (S&amp;P)'!T8792&lt;&gt;"Yes",
        DATEDIF('Loan Tape (S&amp;P)'!K8792, TODAY(), "M")&lt;18),
    1.10,
    1.00)</f>
        <v/>
      </c>
      <c r="O8792">
        <f>IF('Loan Tape (S&amp;P)'!T8792="Yes",
    1.35,
    1.00)</f>
        <v/>
      </c>
      <c r="P8792">
        <f>IF('Loan Tape (S&amp;P)'!S8792="Yes",
    1.15,
    1.00)</f>
        <v/>
      </c>
      <c r="Q8792">
        <f>IF('Loan Tape (S&amp;P)'!V8792="Yes",
    1.20,
    1.00)</f>
        <v/>
      </c>
      <c r="T8792">
        <f>LET(
    payment_method,'Loan Tape (S&amp;P)'!P8792,
    occupancy,'Loan Tape (S&amp;P)'!N8792,
    maturity_date,'Loan Tape (S&amp;P)'!L8792,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93">
      <c r="J8793">
        <f>LET(
    lien,'Loan Tape (S&amp;P)'!Q8793,
    IF(lien="First",1.00,
        IF(lien="Second",1.50,
            1.70)))</f>
        <v/>
      </c>
      <c r="K8793">
        <f>LET(
    purpose,'Loan Tape (S&amp;P)'!R8793,
    IF(purpose="Purchase",1.00,
        IF(purpose="Remortgage",1.00,
            1.20)))</f>
        <v/>
      </c>
      <c r="L8793">
        <f>LET(
    arrears_months,'Loan Tape (S&amp;P)'!AN8793,
    IF(arrears_months=0,1.00,
    IF(arrears_months=1,3.00,
    IF(arrears_months=2,5.00,
    IF(arrears_months=3,8.00,
    IF(arrears_months=4,10.00,
    IF(arrears_months=5,12.00,15.00)))))))</f>
        <v/>
      </c>
      <c r="M8793">
        <f>LET(
    seasoning_years,DATEDIF('Loan Tape (S&amp;P)'!K8793,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93">
        <f>IF(AND('Loan Tape (S&amp;P)'!U8793="Yes",
        'Loan Tape (S&amp;P)'!T8793&lt;&gt;"Yes",
        DATEDIF('Loan Tape (S&amp;P)'!K8793, TODAY(), "M")&lt;18),
    1.10,
    1.00)</f>
        <v/>
      </c>
      <c r="O8793">
        <f>IF('Loan Tape (S&amp;P)'!T8793="Yes",
    1.35,
    1.00)</f>
        <v/>
      </c>
      <c r="P8793">
        <f>IF('Loan Tape (S&amp;P)'!S8793="Yes",
    1.15,
    1.00)</f>
        <v/>
      </c>
      <c r="Q8793">
        <f>IF('Loan Tape (S&amp;P)'!V8793="Yes",
    1.20,
    1.00)</f>
        <v/>
      </c>
      <c r="T8793">
        <f>LET(
    payment_method,'Loan Tape (S&amp;P)'!P8793,
    occupancy,'Loan Tape (S&amp;P)'!N8793,
    maturity_date,'Loan Tape (S&amp;P)'!L8793,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94">
      <c r="J8794">
        <f>LET(
    lien,'Loan Tape (S&amp;P)'!Q8794,
    IF(lien="First",1.00,
        IF(lien="Second",1.50,
            1.70)))</f>
        <v/>
      </c>
      <c r="K8794">
        <f>LET(
    purpose,'Loan Tape (S&amp;P)'!R8794,
    IF(purpose="Purchase",1.00,
        IF(purpose="Remortgage",1.00,
            1.20)))</f>
        <v/>
      </c>
      <c r="L8794">
        <f>LET(
    arrears_months,'Loan Tape (S&amp;P)'!AN8794,
    IF(arrears_months=0,1.00,
    IF(arrears_months=1,3.00,
    IF(arrears_months=2,5.00,
    IF(arrears_months=3,8.00,
    IF(arrears_months=4,10.00,
    IF(arrears_months=5,12.00,15.00)))))))</f>
        <v/>
      </c>
      <c r="M8794">
        <f>LET(
    seasoning_years,DATEDIF('Loan Tape (S&amp;P)'!K8794,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94">
        <f>IF(AND('Loan Tape (S&amp;P)'!U8794="Yes",
        'Loan Tape (S&amp;P)'!T8794&lt;&gt;"Yes",
        DATEDIF('Loan Tape (S&amp;P)'!K8794, TODAY(), "M")&lt;18),
    1.10,
    1.00)</f>
        <v/>
      </c>
      <c r="O8794">
        <f>IF('Loan Tape (S&amp;P)'!T8794="Yes",
    1.35,
    1.00)</f>
        <v/>
      </c>
      <c r="P8794">
        <f>IF('Loan Tape (S&amp;P)'!S8794="Yes",
    1.15,
    1.00)</f>
        <v/>
      </c>
      <c r="Q8794">
        <f>IF('Loan Tape (S&amp;P)'!V8794="Yes",
    1.20,
    1.00)</f>
        <v/>
      </c>
      <c r="T8794">
        <f>LET(
    payment_method,'Loan Tape (S&amp;P)'!P8794,
    occupancy,'Loan Tape (S&amp;P)'!N8794,
    maturity_date,'Loan Tape (S&amp;P)'!L8794,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95">
      <c r="J8795">
        <f>LET(
    lien,'Loan Tape (S&amp;P)'!Q8795,
    IF(lien="First",1.00,
        IF(lien="Second",1.50,
            1.70)))</f>
        <v/>
      </c>
      <c r="K8795">
        <f>LET(
    purpose,'Loan Tape (S&amp;P)'!R8795,
    IF(purpose="Purchase",1.00,
        IF(purpose="Remortgage",1.00,
            1.20)))</f>
        <v/>
      </c>
      <c r="L8795">
        <f>LET(
    arrears_months,'Loan Tape (S&amp;P)'!AN8795,
    IF(arrears_months=0,1.00,
    IF(arrears_months=1,3.00,
    IF(arrears_months=2,5.00,
    IF(arrears_months=3,8.00,
    IF(arrears_months=4,10.00,
    IF(arrears_months=5,12.00,15.00)))))))</f>
        <v/>
      </c>
      <c r="M8795">
        <f>LET(
    seasoning_years,DATEDIF('Loan Tape (S&amp;P)'!K8795,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95">
        <f>IF(AND('Loan Tape (S&amp;P)'!U8795="Yes",
        'Loan Tape (S&amp;P)'!T8795&lt;&gt;"Yes",
        DATEDIF('Loan Tape (S&amp;P)'!K8795, TODAY(), "M")&lt;18),
    1.10,
    1.00)</f>
        <v/>
      </c>
      <c r="O8795">
        <f>IF('Loan Tape (S&amp;P)'!T8795="Yes",
    1.35,
    1.00)</f>
        <v/>
      </c>
      <c r="P8795">
        <f>IF('Loan Tape (S&amp;P)'!S8795="Yes",
    1.15,
    1.00)</f>
        <v/>
      </c>
      <c r="Q8795">
        <f>IF('Loan Tape (S&amp;P)'!V8795="Yes",
    1.20,
    1.00)</f>
        <v/>
      </c>
      <c r="T8795">
        <f>LET(
    payment_method,'Loan Tape (S&amp;P)'!P8795,
    occupancy,'Loan Tape (S&amp;P)'!N8795,
    maturity_date,'Loan Tape (S&amp;P)'!L8795,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96">
      <c r="J8796">
        <f>LET(
    lien,'Loan Tape (S&amp;P)'!Q8796,
    IF(lien="First",1.00,
        IF(lien="Second",1.50,
            1.70)))</f>
        <v/>
      </c>
      <c r="K8796">
        <f>LET(
    purpose,'Loan Tape (S&amp;P)'!R8796,
    IF(purpose="Purchase",1.00,
        IF(purpose="Remortgage",1.00,
            1.20)))</f>
        <v/>
      </c>
      <c r="L8796">
        <f>LET(
    arrears_months,'Loan Tape (S&amp;P)'!AN8796,
    IF(arrears_months=0,1.00,
    IF(arrears_months=1,3.00,
    IF(arrears_months=2,5.00,
    IF(arrears_months=3,8.00,
    IF(arrears_months=4,10.00,
    IF(arrears_months=5,12.00,15.00)))))))</f>
        <v/>
      </c>
      <c r="M8796">
        <f>LET(
    seasoning_years,DATEDIF('Loan Tape (S&amp;P)'!K8796,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96">
        <f>IF(AND('Loan Tape (S&amp;P)'!U8796="Yes",
        'Loan Tape (S&amp;P)'!T8796&lt;&gt;"Yes",
        DATEDIF('Loan Tape (S&amp;P)'!K8796, TODAY(), "M")&lt;18),
    1.10,
    1.00)</f>
        <v/>
      </c>
      <c r="O8796">
        <f>IF('Loan Tape (S&amp;P)'!T8796="Yes",
    1.35,
    1.00)</f>
        <v/>
      </c>
      <c r="P8796">
        <f>IF('Loan Tape (S&amp;P)'!S8796="Yes",
    1.15,
    1.00)</f>
        <v/>
      </c>
      <c r="Q8796">
        <f>IF('Loan Tape (S&amp;P)'!V8796="Yes",
    1.20,
    1.00)</f>
        <v/>
      </c>
      <c r="T8796">
        <f>LET(
    payment_method,'Loan Tape (S&amp;P)'!P8796,
    occupancy,'Loan Tape (S&amp;P)'!N8796,
    maturity_date,'Loan Tape (S&amp;P)'!L8796,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97">
      <c r="J8797">
        <f>LET(
    lien,'Loan Tape (S&amp;P)'!Q8797,
    IF(lien="First",1.00,
        IF(lien="Second",1.50,
            1.70)))</f>
        <v/>
      </c>
      <c r="K8797">
        <f>LET(
    purpose,'Loan Tape (S&amp;P)'!R8797,
    IF(purpose="Purchase",1.00,
        IF(purpose="Remortgage",1.00,
            1.20)))</f>
        <v/>
      </c>
      <c r="L8797">
        <f>LET(
    arrears_months,'Loan Tape (S&amp;P)'!AN8797,
    IF(arrears_months=0,1.00,
    IF(arrears_months=1,3.00,
    IF(arrears_months=2,5.00,
    IF(arrears_months=3,8.00,
    IF(arrears_months=4,10.00,
    IF(arrears_months=5,12.00,15.00)))))))</f>
        <v/>
      </c>
      <c r="M8797">
        <f>LET(
    seasoning_years,DATEDIF('Loan Tape (S&amp;P)'!K8797,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97">
        <f>IF(AND('Loan Tape (S&amp;P)'!U8797="Yes",
        'Loan Tape (S&amp;P)'!T8797&lt;&gt;"Yes",
        DATEDIF('Loan Tape (S&amp;P)'!K8797, TODAY(), "M")&lt;18),
    1.10,
    1.00)</f>
        <v/>
      </c>
      <c r="O8797">
        <f>IF('Loan Tape (S&amp;P)'!T8797="Yes",
    1.35,
    1.00)</f>
        <v/>
      </c>
      <c r="P8797">
        <f>IF('Loan Tape (S&amp;P)'!S8797="Yes",
    1.15,
    1.00)</f>
        <v/>
      </c>
      <c r="Q8797">
        <f>IF('Loan Tape (S&amp;P)'!V8797="Yes",
    1.20,
    1.00)</f>
        <v/>
      </c>
      <c r="T8797">
        <f>LET(
    payment_method,'Loan Tape (S&amp;P)'!P8797,
    occupancy,'Loan Tape (S&amp;P)'!N8797,
    maturity_date,'Loan Tape (S&amp;P)'!L8797,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98">
      <c r="J8798">
        <f>LET(
    lien,'Loan Tape (S&amp;P)'!Q8798,
    IF(lien="First",1.00,
        IF(lien="Second",1.50,
            1.70)))</f>
        <v/>
      </c>
      <c r="K8798">
        <f>LET(
    purpose,'Loan Tape (S&amp;P)'!R8798,
    IF(purpose="Purchase",1.00,
        IF(purpose="Remortgage",1.00,
            1.20)))</f>
        <v/>
      </c>
      <c r="L8798">
        <f>LET(
    arrears_months,'Loan Tape (S&amp;P)'!AN8798,
    IF(arrears_months=0,1.00,
    IF(arrears_months=1,3.00,
    IF(arrears_months=2,5.00,
    IF(arrears_months=3,8.00,
    IF(arrears_months=4,10.00,
    IF(arrears_months=5,12.00,15.00)))))))</f>
        <v/>
      </c>
      <c r="M8798">
        <f>LET(
    seasoning_years,DATEDIF('Loan Tape (S&amp;P)'!K8798,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98">
        <f>IF(AND('Loan Tape (S&amp;P)'!U8798="Yes",
        'Loan Tape (S&amp;P)'!T8798&lt;&gt;"Yes",
        DATEDIF('Loan Tape (S&amp;P)'!K8798, TODAY(), "M")&lt;18),
    1.10,
    1.00)</f>
        <v/>
      </c>
      <c r="O8798">
        <f>IF('Loan Tape (S&amp;P)'!T8798="Yes",
    1.35,
    1.00)</f>
        <v/>
      </c>
      <c r="P8798">
        <f>IF('Loan Tape (S&amp;P)'!S8798="Yes",
    1.15,
    1.00)</f>
        <v/>
      </c>
      <c r="Q8798">
        <f>IF('Loan Tape (S&amp;P)'!V8798="Yes",
    1.20,
    1.00)</f>
        <v/>
      </c>
      <c r="T8798">
        <f>LET(
    payment_method,'Loan Tape (S&amp;P)'!P8798,
    occupancy,'Loan Tape (S&amp;P)'!N8798,
    maturity_date,'Loan Tape (S&amp;P)'!L8798,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799">
      <c r="J8799">
        <f>LET(
    lien,'Loan Tape (S&amp;P)'!Q8799,
    IF(lien="First",1.00,
        IF(lien="Second",1.50,
            1.70)))</f>
        <v/>
      </c>
      <c r="K8799">
        <f>LET(
    purpose,'Loan Tape (S&amp;P)'!R8799,
    IF(purpose="Purchase",1.00,
        IF(purpose="Remortgage",1.00,
            1.20)))</f>
        <v/>
      </c>
      <c r="L8799">
        <f>LET(
    arrears_months,'Loan Tape (S&amp;P)'!AN8799,
    IF(arrears_months=0,1.00,
    IF(arrears_months=1,3.00,
    IF(arrears_months=2,5.00,
    IF(arrears_months=3,8.00,
    IF(arrears_months=4,10.00,
    IF(arrears_months=5,12.00,15.00)))))))</f>
        <v/>
      </c>
      <c r="M8799">
        <f>LET(
    seasoning_years,DATEDIF('Loan Tape (S&amp;P)'!K8799,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799">
        <f>IF(AND('Loan Tape (S&amp;P)'!U8799="Yes",
        'Loan Tape (S&amp;P)'!T8799&lt;&gt;"Yes",
        DATEDIF('Loan Tape (S&amp;P)'!K8799, TODAY(), "M")&lt;18),
    1.10,
    1.00)</f>
        <v/>
      </c>
      <c r="O8799">
        <f>IF('Loan Tape (S&amp;P)'!T8799="Yes",
    1.35,
    1.00)</f>
        <v/>
      </c>
      <c r="P8799">
        <f>IF('Loan Tape (S&amp;P)'!S8799="Yes",
    1.15,
    1.00)</f>
        <v/>
      </c>
      <c r="Q8799">
        <f>IF('Loan Tape (S&amp;P)'!V8799="Yes",
    1.20,
    1.00)</f>
        <v/>
      </c>
      <c r="T8799">
        <f>LET(
    payment_method,'Loan Tape (S&amp;P)'!P8799,
    occupancy,'Loan Tape (S&amp;P)'!N8799,
    maturity_date,'Loan Tape (S&amp;P)'!L8799,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00">
      <c r="J8800">
        <f>LET(
    lien,'Loan Tape (S&amp;P)'!Q8800,
    IF(lien="First",1.00,
        IF(lien="Second",1.50,
            1.70)))</f>
        <v/>
      </c>
      <c r="K8800">
        <f>LET(
    purpose,'Loan Tape (S&amp;P)'!R8800,
    IF(purpose="Purchase",1.00,
        IF(purpose="Remortgage",1.00,
            1.20)))</f>
        <v/>
      </c>
      <c r="L8800">
        <f>LET(
    arrears_months,'Loan Tape (S&amp;P)'!AN8800,
    IF(arrears_months=0,1.00,
    IF(arrears_months=1,3.00,
    IF(arrears_months=2,5.00,
    IF(arrears_months=3,8.00,
    IF(arrears_months=4,10.00,
    IF(arrears_months=5,12.00,15.00)))))))</f>
        <v/>
      </c>
      <c r="M8800">
        <f>LET(
    seasoning_years,DATEDIF('Loan Tape (S&amp;P)'!K8800,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00">
        <f>IF(AND('Loan Tape (S&amp;P)'!U8800="Yes",
        'Loan Tape (S&amp;P)'!T8800&lt;&gt;"Yes",
        DATEDIF('Loan Tape (S&amp;P)'!K8800, TODAY(), "M")&lt;18),
    1.10,
    1.00)</f>
        <v/>
      </c>
      <c r="O8800">
        <f>IF('Loan Tape (S&amp;P)'!T8800="Yes",
    1.35,
    1.00)</f>
        <v/>
      </c>
      <c r="P8800">
        <f>IF('Loan Tape (S&amp;P)'!S8800="Yes",
    1.15,
    1.00)</f>
        <v/>
      </c>
      <c r="Q8800">
        <f>IF('Loan Tape (S&amp;P)'!V8800="Yes",
    1.20,
    1.00)</f>
        <v/>
      </c>
      <c r="T8800">
        <f>LET(
    payment_method,'Loan Tape (S&amp;P)'!P8800,
    occupancy,'Loan Tape (S&amp;P)'!N8800,
    maturity_date,'Loan Tape (S&amp;P)'!L8800,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01">
      <c r="J8801">
        <f>LET(
    lien,'Loan Tape (S&amp;P)'!Q8801,
    IF(lien="First",1.00,
        IF(lien="Second",1.50,
            1.70)))</f>
        <v/>
      </c>
      <c r="K8801">
        <f>LET(
    purpose,'Loan Tape (S&amp;P)'!R8801,
    IF(purpose="Purchase",1.00,
        IF(purpose="Remortgage",1.00,
            1.20)))</f>
        <v/>
      </c>
      <c r="L8801">
        <f>LET(
    arrears_months,'Loan Tape (S&amp;P)'!AN8801,
    IF(arrears_months=0,1.00,
    IF(arrears_months=1,3.00,
    IF(arrears_months=2,5.00,
    IF(arrears_months=3,8.00,
    IF(arrears_months=4,10.00,
    IF(arrears_months=5,12.00,15.00)))))))</f>
        <v/>
      </c>
      <c r="M8801">
        <f>LET(
    seasoning_years,DATEDIF('Loan Tape (S&amp;P)'!K8801,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01">
        <f>IF(AND('Loan Tape (S&amp;P)'!U8801="Yes",
        'Loan Tape (S&amp;P)'!T8801&lt;&gt;"Yes",
        DATEDIF('Loan Tape (S&amp;P)'!K8801, TODAY(), "M")&lt;18),
    1.10,
    1.00)</f>
        <v/>
      </c>
      <c r="O8801">
        <f>IF('Loan Tape (S&amp;P)'!T8801="Yes",
    1.35,
    1.00)</f>
        <v/>
      </c>
      <c r="P8801">
        <f>IF('Loan Tape (S&amp;P)'!S8801="Yes",
    1.15,
    1.00)</f>
        <v/>
      </c>
      <c r="Q8801">
        <f>IF('Loan Tape (S&amp;P)'!V8801="Yes",
    1.20,
    1.00)</f>
        <v/>
      </c>
      <c r="T8801">
        <f>LET(
    payment_method,'Loan Tape (S&amp;P)'!P8801,
    occupancy,'Loan Tape (S&amp;P)'!N8801,
    maturity_date,'Loan Tape (S&amp;P)'!L8801,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02">
      <c r="J8802">
        <f>LET(
    lien,'Loan Tape (S&amp;P)'!Q8802,
    IF(lien="First",1.00,
        IF(lien="Second",1.50,
            1.70)))</f>
        <v/>
      </c>
      <c r="K8802">
        <f>LET(
    purpose,'Loan Tape (S&amp;P)'!R8802,
    IF(purpose="Purchase",1.00,
        IF(purpose="Remortgage",1.00,
            1.20)))</f>
        <v/>
      </c>
      <c r="L8802">
        <f>LET(
    arrears_months,'Loan Tape (S&amp;P)'!AN8802,
    IF(arrears_months=0,1.00,
    IF(arrears_months=1,3.00,
    IF(arrears_months=2,5.00,
    IF(arrears_months=3,8.00,
    IF(arrears_months=4,10.00,
    IF(arrears_months=5,12.00,15.00)))))))</f>
        <v/>
      </c>
      <c r="M8802">
        <f>LET(
    seasoning_years,DATEDIF('Loan Tape (S&amp;P)'!K8802,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02">
        <f>IF(AND('Loan Tape (S&amp;P)'!U8802="Yes",
        'Loan Tape (S&amp;P)'!T8802&lt;&gt;"Yes",
        DATEDIF('Loan Tape (S&amp;P)'!K8802, TODAY(), "M")&lt;18),
    1.10,
    1.00)</f>
        <v/>
      </c>
      <c r="O8802">
        <f>IF('Loan Tape (S&amp;P)'!T8802="Yes",
    1.35,
    1.00)</f>
        <v/>
      </c>
      <c r="P8802">
        <f>IF('Loan Tape (S&amp;P)'!S8802="Yes",
    1.15,
    1.00)</f>
        <v/>
      </c>
      <c r="Q8802">
        <f>IF('Loan Tape (S&amp;P)'!V8802="Yes",
    1.20,
    1.00)</f>
        <v/>
      </c>
      <c r="T8802">
        <f>LET(
    payment_method,'Loan Tape (S&amp;P)'!P8802,
    occupancy,'Loan Tape (S&amp;P)'!N8802,
    maturity_date,'Loan Tape (S&amp;P)'!L8802,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03">
      <c r="J8803">
        <f>LET(
    lien,'Loan Tape (S&amp;P)'!Q8803,
    IF(lien="First",1.00,
        IF(lien="Second",1.50,
            1.70)))</f>
        <v/>
      </c>
      <c r="K8803">
        <f>LET(
    purpose,'Loan Tape (S&amp;P)'!R8803,
    IF(purpose="Purchase",1.00,
        IF(purpose="Remortgage",1.00,
            1.20)))</f>
        <v/>
      </c>
      <c r="L8803">
        <f>LET(
    arrears_months,'Loan Tape (S&amp;P)'!AN8803,
    IF(arrears_months=0,1.00,
    IF(arrears_months=1,3.00,
    IF(arrears_months=2,5.00,
    IF(arrears_months=3,8.00,
    IF(arrears_months=4,10.00,
    IF(arrears_months=5,12.00,15.00)))))))</f>
        <v/>
      </c>
      <c r="M8803">
        <f>LET(
    seasoning_years,DATEDIF('Loan Tape (S&amp;P)'!K8803,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03">
        <f>IF(AND('Loan Tape (S&amp;P)'!U8803="Yes",
        'Loan Tape (S&amp;P)'!T8803&lt;&gt;"Yes",
        DATEDIF('Loan Tape (S&amp;P)'!K8803, TODAY(), "M")&lt;18),
    1.10,
    1.00)</f>
        <v/>
      </c>
      <c r="O8803">
        <f>IF('Loan Tape (S&amp;P)'!T8803="Yes",
    1.35,
    1.00)</f>
        <v/>
      </c>
      <c r="P8803">
        <f>IF('Loan Tape (S&amp;P)'!S8803="Yes",
    1.15,
    1.00)</f>
        <v/>
      </c>
      <c r="Q8803">
        <f>IF('Loan Tape (S&amp;P)'!V8803="Yes",
    1.20,
    1.00)</f>
        <v/>
      </c>
      <c r="T8803">
        <f>LET(
    payment_method,'Loan Tape (S&amp;P)'!P8803,
    occupancy,'Loan Tape (S&amp;P)'!N8803,
    maturity_date,'Loan Tape (S&amp;P)'!L8803,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04">
      <c r="J8804">
        <f>LET(
    lien,'Loan Tape (S&amp;P)'!Q8804,
    IF(lien="First",1.00,
        IF(lien="Second",1.50,
            1.70)))</f>
        <v/>
      </c>
      <c r="K8804">
        <f>LET(
    purpose,'Loan Tape (S&amp;P)'!R8804,
    IF(purpose="Purchase",1.00,
        IF(purpose="Remortgage",1.00,
            1.20)))</f>
        <v/>
      </c>
      <c r="L8804">
        <f>LET(
    arrears_months,'Loan Tape (S&amp;P)'!AN8804,
    IF(arrears_months=0,1.00,
    IF(arrears_months=1,3.00,
    IF(arrears_months=2,5.00,
    IF(arrears_months=3,8.00,
    IF(arrears_months=4,10.00,
    IF(arrears_months=5,12.00,15.00)))))))</f>
        <v/>
      </c>
      <c r="M8804">
        <f>LET(
    seasoning_years,DATEDIF('Loan Tape (S&amp;P)'!K8804,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04">
        <f>IF(AND('Loan Tape (S&amp;P)'!U8804="Yes",
        'Loan Tape (S&amp;P)'!T8804&lt;&gt;"Yes",
        DATEDIF('Loan Tape (S&amp;P)'!K8804, TODAY(), "M")&lt;18),
    1.10,
    1.00)</f>
        <v/>
      </c>
      <c r="O8804">
        <f>IF('Loan Tape (S&amp;P)'!T8804="Yes",
    1.35,
    1.00)</f>
        <v/>
      </c>
      <c r="P8804">
        <f>IF('Loan Tape (S&amp;P)'!S8804="Yes",
    1.15,
    1.00)</f>
        <v/>
      </c>
      <c r="Q8804">
        <f>IF('Loan Tape (S&amp;P)'!V8804="Yes",
    1.20,
    1.00)</f>
        <v/>
      </c>
      <c r="T8804">
        <f>LET(
    payment_method,'Loan Tape (S&amp;P)'!P8804,
    occupancy,'Loan Tape (S&amp;P)'!N8804,
    maturity_date,'Loan Tape (S&amp;P)'!L8804,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05">
      <c r="J8805">
        <f>LET(
    lien,'Loan Tape (S&amp;P)'!Q8805,
    IF(lien="First",1.00,
        IF(lien="Second",1.50,
            1.70)))</f>
        <v/>
      </c>
      <c r="K8805">
        <f>LET(
    purpose,'Loan Tape (S&amp;P)'!R8805,
    IF(purpose="Purchase",1.00,
        IF(purpose="Remortgage",1.00,
            1.20)))</f>
        <v/>
      </c>
      <c r="L8805">
        <f>LET(
    arrears_months,'Loan Tape (S&amp;P)'!AN8805,
    IF(arrears_months=0,1.00,
    IF(arrears_months=1,3.00,
    IF(arrears_months=2,5.00,
    IF(arrears_months=3,8.00,
    IF(arrears_months=4,10.00,
    IF(arrears_months=5,12.00,15.00)))))))</f>
        <v/>
      </c>
      <c r="M8805">
        <f>LET(
    seasoning_years,DATEDIF('Loan Tape (S&amp;P)'!K8805,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05">
        <f>IF(AND('Loan Tape (S&amp;P)'!U8805="Yes",
        'Loan Tape (S&amp;P)'!T8805&lt;&gt;"Yes",
        DATEDIF('Loan Tape (S&amp;P)'!K8805, TODAY(), "M")&lt;18),
    1.10,
    1.00)</f>
        <v/>
      </c>
      <c r="O8805">
        <f>IF('Loan Tape (S&amp;P)'!T8805="Yes",
    1.35,
    1.00)</f>
        <v/>
      </c>
      <c r="P8805">
        <f>IF('Loan Tape (S&amp;P)'!S8805="Yes",
    1.15,
    1.00)</f>
        <v/>
      </c>
      <c r="Q8805">
        <f>IF('Loan Tape (S&amp;P)'!V8805="Yes",
    1.20,
    1.00)</f>
        <v/>
      </c>
      <c r="T8805">
        <f>LET(
    payment_method,'Loan Tape (S&amp;P)'!P8805,
    occupancy,'Loan Tape (S&amp;P)'!N8805,
    maturity_date,'Loan Tape (S&amp;P)'!L8805,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06">
      <c r="J8806">
        <f>LET(
    lien,'Loan Tape (S&amp;P)'!Q8806,
    IF(lien="First",1.00,
        IF(lien="Second",1.50,
            1.70)))</f>
        <v/>
      </c>
      <c r="K8806">
        <f>LET(
    purpose,'Loan Tape (S&amp;P)'!R8806,
    IF(purpose="Purchase",1.00,
        IF(purpose="Remortgage",1.00,
            1.20)))</f>
        <v/>
      </c>
      <c r="L8806">
        <f>LET(
    arrears_months,'Loan Tape (S&amp;P)'!AN8806,
    IF(arrears_months=0,1.00,
    IF(arrears_months=1,3.00,
    IF(arrears_months=2,5.00,
    IF(arrears_months=3,8.00,
    IF(arrears_months=4,10.00,
    IF(arrears_months=5,12.00,15.00)))))))</f>
        <v/>
      </c>
      <c r="M8806">
        <f>LET(
    seasoning_years,DATEDIF('Loan Tape (S&amp;P)'!K8806,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06">
        <f>IF(AND('Loan Tape (S&amp;P)'!U8806="Yes",
        'Loan Tape (S&amp;P)'!T8806&lt;&gt;"Yes",
        DATEDIF('Loan Tape (S&amp;P)'!K8806, TODAY(), "M")&lt;18),
    1.10,
    1.00)</f>
        <v/>
      </c>
      <c r="O8806">
        <f>IF('Loan Tape (S&amp;P)'!T8806="Yes",
    1.35,
    1.00)</f>
        <v/>
      </c>
      <c r="P8806">
        <f>IF('Loan Tape (S&amp;P)'!S8806="Yes",
    1.15,
    1.00)</f>
        <v/>
      </c>
      <c r="Q8806">
        <f>IF('Loan Tape (S&amp;P)'!V8806="Yes",
    1.20,
    1.00)</f>
        <v/>
      </c>
      <c r="T8806">
        <f>LET(
    payment_method,'Loan Tape (S&amp;P)'!P8806,
    occupancy,'Loan Tape (S&amp;P)'!N8806,
    maturity_date,'Loan Tape (S&amp;P)'!L8806,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07">
      <c r="J8807">
        <f>LET(
    lien,'Loan Tape (S&amp;P)'!Q8807,
    IF(lien="First",1.00,
        IF(lien="Second",1.50,
            1.70)))</f>
        <v/>
      </c>
      <c r="K8807">
        <f>LET(
    purpose,'Loan Tape (S&amp;P)'!R8807,
    IF(purpose="Purchase",1.00,
        IF(purpose="Remortgage",1.00,
            1.20)))</f>
        <v/>
      </c>
      <c r="L8807">
        <f>LET(
    arrears_months,'Loan Tape (S&amp;P)'!AN8807,
    IF(arrears_months=0,1.00,
    IF(arrears_months=1,3.00,
    IF(arrears_months=2,5.00,
    IF(arrears_months=3,8.00,
    IF(arrears_months=4,10.00,
    IF(arrears_months=5,12.00,15.00)))))))</f>
        <v/>
      </c>
      <c r="M8807">
        <f>LET(
    seasoning_years,DATEDIF('Loan Tape (S&amp;P)'!K8807,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07">
        <f>IF(AND('Loan Tape (S&amp;P)'!U8807="Yes",
        'Loan Tape (S&amp;P)'!T8807&lt;&gt;"Yes",
        DATEDIF('Loan Tape (S&amp;P)'!K8807, TODAY(), "M")&lt;18),
    1.10,
    1.00)</f>
        <v/>
      </c>
      <c r="O8807">
        <f>IF('Loan Tape (S&amp;P)'!T8807="Yes",
    1.35,
    1.00)</f>
        <v/>
      </c>
      <c r="P8807">
        <f>IF('Loan Tape (S&amp;P)'!S8807="Yes",
    1.15,
    1.00)</f>
        <v/>
      </c>
      <c r="Q8807">
        <f>IF('Loan Tape (S&amp;P)'!V8807="Yes",
    1.20,
    1.00)</f>
        <v/>
      </c>
      <c r="T8807">
        <f>LET(
    payment_method,'Loan Tape (S&amp;P)'!P8807,
    occupancy,'Loan Tape (S&amp;P)'!N8807,
    maturity_date,'Loan Tape (S&amp;P)'!L8807,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08">
      <c r="J8808">
        <f>LET(
    lien,'Loan Tape (S&amp;P)'!Q8808,
    IF(lien="First",1.00,
        IF(lien="Second",1.50,
            1.70)))</f>
        <v/>
      </c>
      <c r="K8808">
        <f>LET(
    purpose,'Loan Tape (S&amp;P)'!R8808,
    IF(purpose="Purchase",1.00,
        IF(purpose="Remortgage",1.00,
            1.20)))</f>
        <v/>
      </c>
      <c r="L8808">
        <f>LET(
    arrears_months,'Loan Tape (S&amp;P)'!AN8808,
    IF(arrears_months=0,1.00,
    IF(arrears_months=1,3.00,
    IF(arrears_months=2,5.00,
    IF(arrears_months=3,8.00,
    IF(arrears_months=4,10.00,
    IF(arrears_months=5,12.00,15.00)))))))</f>
        <v/>
      </c>
      <c r="M8808">
        <f>LET(
    seasoning_years,DATEDIF('Loan Tape (S&amp;P)'!K8808,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08">
        <f>IF(AND('Loan Tape (S&amp;P)'!U8808="Yes",
        'Loan Tape (S&amp;P)'!T8808&lt;&gt;"Yes",
        DATEDIF('Loan Tape (S&amp;P)'!K8808, TODAY(), "M")&lt;18),
    1.10,
    1.00)</f>
        <v/>
      </c>
      <c r="O8808">
        <f>IF('Loan Tape (S&amp;P)'!T8808="Yes",
    1.35,
    1.00)</f>
        <v/>
      </c>
      <c r="P8808">
        <f>IF('Loan Tape (S&amp;P)'!S8808="Yes",
    1.15,
    1.00)</f>
        <v/>
      </c>
      <c r="Q8808">
        <f>IF('Loan Tape (S&amp;P)'!V8808="Yes",
    1.20,
    1.00)</f>
        <v/>
      </c>
      <c r="T8808">
        <f>LET(
    payment_method,'Loan Tape (S&amp;P)'!P8808,
    occupancy,'Loan Tape (S&amp;P)'!N8808,
    maturity_date,'Loan Tape (S&amp;P)'!L8808,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09">
      <c r="J8809">
        <f>LET(
    lien,'Loan Tape (S&amp;P)'!Q8809,
    IF(lien="First",1.00,
        IF(lien="Second",1.50,
            1.70)))</f>
        <v/>
      </c>
      <c r="K8809">
        <f>LET(
    purpose,'Loan Tape (S&amp;P)'!R8809,
    IF(purpose="Purchase",1.00,
        IF(purpose="Remortgage",1.00,
            1.20)))</f>
        <v/>
      </c>
      <c r="L8809">
        <f>LET(
    arrears_months,'Loan Tape (S&amp;P)'!AN8809,
    IF(arrears_months=0,1.00,
    IF(arrears_months=1,3.00,
    IF(arrears_months=2,5.00,
    IF(arrears_months=3,8.00,
    IF(arrears_months=4,10.00,
    IF(arrears_months=5,12.00,15.00)))))))</f>
        <v/>
      </c>
      <c r="M8809">
        <f>LET(
    seasoning_years,DATEDIF('Loan Tape (S&amp;P)'!K8809,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09">
        <f>IF(AND('Loan Tape (S&amp;P)'!U8809="Yes",
        'Loan Tape (S&amp;P)'!T8809&lt;&gt;"Yes",
        DATEDIF('Loan Tape (S&amp;P)'!K8809, TODAY(), "M")&lt;18),
    1.10,
    1.00)</f>
        <v/>
      </c>
      <c r="O8809">
        <f>IF('Loan Tape (S&amp;P)'!T8809="Yes",
    1.35,
    1.00)</f>
        <v/>
      </c>
      <c r="P8809">
        <f>IF('Loan Tape (S&amp;P)'!S8809="Yes",
    1.15,
    1.00)</f>
        <v/>
      </c>
      <c r="Q8809">
        <f>IF('Loan Tape (S&amp;P)'!V8809="Yes",
    1.20,
    1.00)</f>
        <v/>
      </c>
      <c r="T8809">
        <f>LET(
    payment_method,'Loan Tape (S&amp;P)'!P8809,
    occupancy,'Loan Tape (S&amp;P)'!N8809,
    maturity_date,'Loan Tape (S&amp;P)'!L8809,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10">
      <c r="J8810">
        <f>LET(
    lien,'Loan Tape (S&amp;P)'!Q8810,
    IF(lien="First",1.00,
        IF(lien="Second",1.50,
            1.70)))</f>
        <v/>
      </c>
      <c r="K8810">
        <f>LET(
    purpose,'Loan Tape (S&amp;P)'!R8810,
    IF(purpose="Purchase",1.00,
        IF(purpose="Remortgage",1.00,
            1.20)))</f>
        <v/>
      </c>
      <c r="L8810">
        <f>LET(
    arrears_months,'Loan Tape (S&amp;P)'!AN8810,
    IF(arrears_months=0,1.00,
    IF(arrears_months=1,3.00,
    IF(arrears_months=2,5.00,
    IF(arrears_months=3,8.00,
    IF(arrears_months=4,10.00,
    IF(arrears_months=5,12.00,15.00)))))))</f>
        <v/>
      </c>
      <c r="M8810">
        <f>LET(
    seasoning_years,DATEDIF('Loan Tape (S&amp;P)'!K8810,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10">
        <f>IF(AND('Loan Tape (S&amp;P)'!U8810="Yes",
        'Loan Tape (S&amp;P)'!T8810&lt;&gt;"Yes",
        DATEDIF('Loan Tape (S&amp;P)'!K8810, TODAY(), "M")&lt;18),
    1.10,
    1.00)</f>
        <v/>
      </c>
      <c r="O8810">
        <f>IF('Loan Tape (S&amp;P)'!T8810="Yes",
    1.35,
    1.00)</f>
        <v/>
      </c>
      <c r="P8810">
        <f>IF('Loan Tape (S&amp;P)'!S8810="Yes",
    1.15,
    1.00)</f>
        <v/>
      </c>
      <c r="Q8810">
        <f>IF('Loan Tape (S&amp;P)'!V8810="Yes",
    1.20,
    1.00)</f>
        <v/>
      </c>
      <c r="T8810">
        <f>LET(
    payment_method,'Loan Tape (S&amp;P)'!P8810,
    occupancy,'Loan Tape (S&amp;P)'!N8810,
    maturity_date,'Loan Tape (S&amp;P)'!L8810,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11">
      <c r="J8811">
        <f>LET(
    lien,'Loan Tape (S&amp;P)'!Q8811,
    IF(lien="First",1.00,
        IF(lien="Second",1.50,
            1.70)))</f>
        <v/>
      </c>
      <c r="K8811">
        <f>LET(
    purpose,'Loan Tape (S&amp;P)'!R8811,
    IF(purpose="Purchase",1.00,
        IF(purpose="Remortgage",1.00,
            1.20)))</f>
        <v/>
      </c>
      <c r="L8811">
        <f>LET(
    arrears_months,'Loan Tape (S&amp;P)'!AN8811,
    IF(arrears_months=0,1.00,
    IF(arrears_months=1,3.00,
    IF(arrears_months=2,5.00,
    IF(arrears_months=3,8.00,
    IF(arrears_months=4,10.00,
    IF(arrears_months=5,12.00,15.00)))))))</f>
        <v/>
      </c>
      <c r="M8811">
        <f>LET(
    seasoning_years,DATEDIF('Loan Tape (S&amp;P)'!K8811,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11">
        <f>IF(AND('Loan Tape (S&amp;P)'!U8811="Yes",
        'Loan Tape (S&amp;P)'!T8811&lt;&gt;"Yes",
        DATEDIF('Loan Tape (S&amp;P)'!K8811, TODAY(), "M")&lt;18),
    1.10,
    1.00)</f>
        <v/>
      </c>
      <c r="O8811">
        <f>IF('Loan Tape (S&amp;P)'!T8811="Yes",
    1.35,
    1.00)</f>
        <v/>
      </c>
      <c r="P8811">
        <f>IF('Loan Tape (S&amp;P)'!S8811="Yes",
    1.15,
    1.00)</f>
        <v/>
      </c>
      <c r="Q8811">
        <f>IF('Loan Tape (S&amp;P)'!V8811="Yes",
    1.20,
    1.00)</f>
        <v/>
      </c>
      <c r="T8811">
        <f>LET(
    payment_method,'Loan Tape (S&amp;P)'!P8811,
    occupancy,'Loan Tape (S&amp;P)'!N8811,
    maturity_date,'Loan Tape (S&amp;P)'!L8811,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12">
      <c r="J8812">
        <f>LET(
    lien,'Loan Tape (S&amp;P)'!Q8812,
    IF(lien="First",1.00,
        IF(lien="Second",1.50,
            1.70)))</f>
        <v/>
      </c>
      <c r="K8812">
        <f>LET(
    purpose,'Loan Tape (S&amp;P)'!R8812,
    IF(purpose="Purchase",1.00,
        IF(purpose="Remortgage",1.00,
            1.20)))</f>
        <v/>
      </c>
      <c r="L8812">
        <f>LET(
    arrears_months,'Loan Tape (S&amp;P)'!AN8812,
    IF(arrears_months=0,1.00,
    IF(arrears_months=1,3.00,
    IF(arrears_months=2,5.00,
    IF(arrears_months=3,8.00,
    IF(arrears_months=4,10.00,
    IF(arrears_months=5,12.00,15.00)))))))</f>
        <v/>
      </c>
      <c r="M8812">
        <f>LET(
    seasoning_years,DATEDIF('Loan Tape (S&amp;P)'!K8812,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12">
        <f>IF(AND('Loan Tape (S&amp;P)'!U8812="Yes",
        'Loan Tape (S&amp;P)'!T8812&lt;&gt;"Yes",
        DATEDIF('Loan Tape (S&amp;P)'!K8812, TODAY(), "M")&lt;18),
    1.10,
    1.00)</f>
        <v/>
      </c>
      <c r="O8812">
        <f>IF('Loan Tape (S&amp;P)'!T8812="Yes",
    1.35,
    1.00)</f>
        <v/>
      </c>
      <c r="P8812">
        <f>IF('Loan Tape (S&amp;P)'!S8812="Yes",
    1.15,
    1.00)</f>
        <v/>
      </c>
      <c r="Q8812">
        <f>IF('Loan Tape (S&amp;P)'!V8812="Yes",
    1.20,
    1.00)</f>
        <v/>
      </c>
      <c r="T8812">
        <f>LET(
    payment_method,'Loan Tape (S&amp;P)'!P8812,
    occupancy,'Loan Tape (S&amp;P)'!N8812,
    maturity_date,'Loan Tape (S&amp;P)'!L8812,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13">
      <c r="J8813">
        <f>LET(
    lien,'Loan Tape (S&amp;P)'!Q8813,
    IF(lien="First",1.00,
        IF(lien="Second",1.50,
            1.70)))</f>
        <v/>
      </c>
      <c r="K8813">
        <f>LET(
    purpose,'Loan Tape (S&amp;P)'!R8813,
    IF(purpose="Purchase",1.00,
        IF(purpose="Remortgage",1.00,
            1.20)))</f>
        <v/>
      </c>
      <c r="L8813">
        <f>LET(
    arrears_months,'Loan Tape (S&amp;P)'!AN8813,
    IF(arrears_months=0,1.00,
    IF(arrears_months=1,3.00,
    IF(arrears_months=2,5.00,
    IF(arrears_months=3,8.00,
    IF(arrears_months=4,10.00,
    IF(arrears_months=5,12.00,15.00)))))))</f>
        <v/>
      </c>
      <c r="M8813">
        <f>LET(
    seasoning_years,DATEDIF('Loan Tape (S&amp;P)'!K8813,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13">
        <f>IF(AND('Loan Tape (S&amp;P)'!U8813="Yes",
        'Loan Tape (S&amp;P)'!T8813&lt;&gt;"Yes",
        DATEDIF('Loan Tape (S&amp;P)'!K8813, TODAY(), "M")&lt;18),
    1.10,
    1.00)</f>
        <v/>
      </c>
      <c r="O8813">
        <f>IF('Loan Tape (S&amp;P)'!T8813="Yes",
    1.35,
    1.00)</f>
        <v/>
      </c>
      <c r="P8813">
        <f>IF('Loan Tape (S&amp;P)'!S8813="Yes",
    1.15,
    1.00)</f>
        <v/>
      </c>
      <c r="Q8813">
        <f>IF('Loan Tape (S&amp;P)'!V8813="Yes",
    1.20,
    1.00)</f>
        <v/>
      </c>
      <c r="T8813">
        <f>LET(
    payment_method,'Loan Tape (S&amp;P)'!P8813,
    occupancy,'Loan Tape (S&amp;P)'!N8813,
    maturity_date,'Loan Tape (S&amp;P)'!L8813,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14">
      <c r="J8814">
        <f>LET(
    lien,'Loan Tape (S&amp;P)'!Q8814,
    IF(lien="First",1.00,
        IF(lien="Second",1.50,
            1.70)))</f>
        <v/>
      </c>
      <c r="K8814">
        <f>LET(
    purpose,'Loan Tape (S&amp;P)'!R8814,
    IF(purpose="Purchase",1.00,
        IF(purpose="Remortgage",1.00,
            1.20)))</f>
        <v/>
      </c>
      <c r="L8814">
        <f>LET(
    arrears_months,'Loan Tape (S&amp;P)'!AN8814,
    IF(arrears_months=0,1.00,
    IF(arrears_months=1,3.00,
    IF(arrears_months=2,5.00,
    IF(arrears_months=3,8.00,
    IF(arrears_months=4,10.00,
    IF(arrears_months=5,12.00,15.00)))))))</f>
        <v/>
      </c>
      <c r="M8814">
        <f>LET(
    seasoning_years,DATEDIF('Loan Tape (S&amp;P)'!K8814,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14">
        <f>IF(AND('Loan Tape (S&amp;P)'!U8814="Yes",
        'Loan Tape (S&amp;P)'!T8814&lt;&gt;"Yes",
        DATEDIF('Loan Tape (S&amp;P)'!K8814, TODAY(), "M")&lt;18),
    1.10,
    1.00)</f>
        <v/>
      </c>
      <c r="O8814">
        <f>IF('Loan Tape (S&amp;P)'!T8814="Yes",
    1.35,
    1.00)</f>
        <v/>
      </c>
      <c r="P8814">
        <f>IF('Loan Tape (S&amp;P)'!S8814="Yes",
    1.15,
    1.00)</f>
        <v/>
      </c>
      <c r="Q8814">
        <f>IF('Loan Tape (S&amp;P)'!V8814="Yes",
    1.20,
    1.00)</f>
        <v/>
      </c>
      <c r="T8814">
        <f>LET(
    payment_method,'Loan Tape (S&amp;P)'!P8814,
    occupancy,'Loan Tape (S&amp;P)'!N8814,
    maturity_date,'Loan Tape (S&amp;P)'!L8814,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15">
      <c r="J8815">
        <f>LET(
    lien,'Loan Tape (S&amp;P)'!Q8815,
    IF(lien="First",1.00,
        IF(lien="Second",1.50,
            1.70)))</f>
        <v/>
      </c>
      <c r="K8815">
        <f>LET(
    purpose,'Loan Tape (S&amp;P)'!R8815,
    IF(purpose="Purchase",1.00,
        IF(purpose="Remortgage",1.00,
            1.20)))</f>
        <v/>
      </c>
      <c r="L8815">
        <f>LET(
    arrears_months,'Loan Tape (S&amp;P)'!AN8815,
    IF(arrears_months=0,1.00,
    IF(arrears_months=1,3.00,
    IF(arrears_months=2,5.00,
    IF(arrears_months=3,8.00,
    IF(arrears_months=4,10.00,
    IF(arrears_months=5,12.00,15.00)))))))</f>
        <v/>
      </c>
      <c r="M8815">
        <f>LET(
    seasoning_years,DATEDIF('Loan Tape (S&amp;P)'!K8815,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15">
        <f>IF(AND('Loan Tape (S&amp;P)'!U8815="Yes",
        'Loan Tape (S&amp;P)'!T8815&lt;&gt;"Yes",
        DATEDIF('Loan Tape (S&amp;P)'!K8815, TODAY(), "M")&lt;18),
    1.10,
    1.00)</f>
        <v/>
      </c>
      <c r="O8815">
        <f>IF('Loan Tape (S&amp;P)'!T8815="Yes",
    1.35,
    1.00)</f>
        <v/>
      </c>
      <c r="P8815">
        <f>IF('Loan Tape (S&amp;P)'!S8815="Yes",
    1.15,
    1.00)</f>
        <v/>
      </c>
      <c r="Q8815">
        <f>IF('Loan Tape (S&amp;P)'!V8815="Yes",
    1.20,
    1.00)</f>
        <v/>
      </c>
      <c r="T8815">
        <f>LET(
    payment_method,'Loan Tape (S&amp;P)'!P8815,
    occupancy,'Loan Tape (S&amp;P)'!N8815,
    maturity_date,'Loan Tape (S&amp;P)'!L8815,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16">
      <c r="J8816">
        <f>LET(
    lien,'Loan Tape (S&amp;P)'!Q8816,
    IF(lien="First",1.00,
        IF(lien="Second",1.50,
            1.70)))</f>
        <v/>
      </c>
      <c r="K8816">
        <f>LET(
    purpose,'Loan Tape (S&amp;P)'!R8816,
    IF(purpose="Purchase",1.00,
        IF(purpose="Remortgage",1.00,
            1.20)))</f>
        <v/>
      </c>
      <c r="L8816">
        <f>LET(
    arrears_months,'Loan Tape (S&amp;P)'!AN8816,
    IF(arrears_months=0,1.00,
    IF(arrears_months=1,3.00,
    IF(arrears_months=2,5.00,
    IF(arrears_months=3,8.00,
    IF(arrears_months=4,10.00,
    IF(arrears_months=5,12.00,15.00)))))))</f>
        <v/>
      </c>
      <c r="M8816">
        <f>LET(
    seasoning_years,DATEDIF('Loan Tape (S&amp;P)'!K8816,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16">
        <f>IF(AND('Loan Tape (S&amp;P)'!U8816="Yes",
        'Loan Tape (S&amp;P)'!T8816&lt;&gt;"Yes",
        DATEDIF('Loan Tape (S&amp;P)'!K8816, TODAY(), "M")&lt;18),
    1.10,
    1.00)</f>
        <v/>
      </c>
      <c r="O8816">
        <f>IF('Loan Tape (S&amp;P)'!T8816="Yes",
    1.35,
    1.00)</f>
        <v/>
      </c>
      <c r="P8816">
        <f>IF('Loan Tape (S&amp;P)'!S8816="Yes",
    1.15,
    1.00)</f>
        <v/>
      </c>
      <c r="Q8816">
        <f>IF('Loan Tape (S&amp;P)'!V8816="Yes",
    1.20,
    1.00)</f>
        <v/>
      </c>
      <c r="T8816">
        <f>LET(
    payment_method,'Loan Tape (S&amp;P)'!P8816,
    occupancy,'Loan Tape (S&amp;P)'!N8816,
    maturity_date,'Loan Tape (S&amp;P)'!L8816,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17">
      <c r="J8817">
        <f>LET(
    lien,'Loan Tape (S&amp;P)'!Q8817,
    IF(lien="First",1.00,
        IF(lien="Second",1.50,
            1.70)))</f>
        <v/>
      </c>
      <c r="K8817">
        <f>LET(
    purpose,'Loan Tape (S&amp;P)'!R8817,
    IF(purpose="Purchase",1.00,
        IF(purpose="Remortgage",1.00,
            1.20)))</f>
        <v/>
      </c>
      <c r="L8817">
        <f>LET(
    arrears_months,'Loan Tape (S&amp;P)'!AN8817,
    IF(arrears_months=0,1.00,
    IF(arrears_months=1,3.00,
    IF(arrears_months=2,5.00,
    IF(arrears_months=3,8.00,
    IF(arrears_months=4,10.00,
    IF(arrears_months=5,12.00,15.00)))))))</f>
        <v/>
      </c>
      <c r="M8817">
        <f>LET(
    seasoning_years,DATEDIF('Loan Tape (S&amp;P)'!K8817,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17">
        <f>IF(AND('Loan Tape (S&amp;P)'!U8817="Yes",
        'Loan Tape (S&amp;P)'!T8817&lt;&gt;"Yes",
        DATEDIF('Loan Tape (S&amp;P)'!K8817, TODAY(), "M")&lt;18),
    1.10,
    1.00)</f>
        <v/>
      </c>
      <c r="O8817">
        <f>IF('Loan Tape (S&amp;P)'!T8817="Yes",
    1.35,
    1.00)</f>
        <v/>
      </c>
      <c r="P8817">
        <f>IF('Loan Tape (S&amp;P)'!S8817="Yes",
    1.15,
    1.00)</f>
        <v/>
      </c>
      <c r="Q8817">
        <f>IF('Loan Tape (S&amp;P)'!V8817="Yes",
    1.20,
    1.00)</f>
        <v/>
      </c>
      <c r="T8817">
        <f>LET(
    payment_method,'Loan Tape (S&amp;P)'!P8817,
    occupancy,'Loan Tape (S&amp;P)'!N8817,
    maturity_date,'Loan Tape (S&amp;P)'!L8817,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18">
      <c r="J8818">
        <f>LET(
    lien,'Loan Tape (S&amp;P)'!Q8818,
    IF(lien="First",1.00,
        IF(lien="Second",1.50,
            1.70)))</f>
        <v/>
      </c>
      <c r="K8818">
        <f>LET(
    purpose,'Loan Tape (S&amp;P)'!R8818,
    IF(purpose="Purchase",1.00,
        IF(purpose="Remortgage",1.00,
            1.20)))</f>
        <v/>
      </c>
      <c r="L8818">
        <f>LET(
    arrears_months,'Loan Tape (S&amp;P)'!AN8818,
    IF(arrears_months=0,1.00,
    IF(arrears_months=1,3.00,
    IF(arrears_months=2,5.00,
    IF(arrears_months=3,8.00,
    IF(arrears_months=4,10.00,
    IF(arrears_months=5,12.00,15.00)))))))</f>
        <v/>
      </c>
      <c r="M8818">
        <f>LET(
    seasoning_years,DATEDIF('Loan Tape (S&amp;P)'!K8818,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18">
        <f>IF(AND('Loan Tape (S&amp;P)'!U8818="Yes",
        'Loan Tape (S&amp;P)'!T8818&lt;&gt;"Yes",
        DATEDIF('Loan Tape (S&amp;P)'!K8818, TODAY(), "M")&lt;18),
    1.10,
    1.00)</f>
        <v/>
      </c>
      <c r="O8818">
        <f>IF('Loan Tape (S&amp;P)'!T8818="Yes",
    1.35,
    1.00)</f>
        <v/>
      </c>
      <c r="P8818">
        <f>IF('Loan Tape (S&amp;P)'!S8818="Yes",
    1.15,
    1.00)</f>
        <v/>
      </c>
      <c r="Q8818">
        <f>IF('Loan Tape (S&amp;P)'!V8818="Yes",
    1.20,
    1.00)</f>
        <v/>
      </c>
      <c r="T8818">
        <f>LET(
    payment_method,'Loan Tape (S&amp;P)'!P8818,
    occupancy,'Loan Tape (S&amp;P)'!N8818,
    maturity_date,'Loan Tape (S&amp;P)'!L8818,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19">
      <c r="J8819">
        <f>LET(
    lien,'Loan Tape (S&amp;P)'!Q8819,
    IF(lien="First",1.00,
        IF(lien="Second",1.50,
            1.70)))</f>
        <v/>
      </c>
      <c r="K8819">
        <f>LET(
    purpose,'Loan Tape (S&amp;P)'!R8819,
    IF(purpose="Purchase",1.00,
        IF(purpose="Remortgage",1.00,
            1.20)))</f>
        <v/>
      </c>
      <c r="L8819">
        <f>LET(
    arrears_months,'Loan Tape (S&amp;P)'!AN8819,
    IF(arrears_months=0,1.00,
    IF(arrears_months=1,3.00,
    IF(arrears_months=2,5.00,
    IF(arrears_months=3,8.00,
    IF(arrears_months=4,10.00,
    IF(arrears_months=5,12.00,15.00)))))))</f>
        <v/>
      </c>
      <c r="M8819">
        <f>LET(
    seasoning_years,DATEDIF('Loan Tape (S&amp;P)'!K8819,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19">
        <f>IF(AND('Loan Tape (S&amp;P)'!U8819="Yes",
        'Loan Tape (S&amp;P)'!T8819&lt;&gt;"Yes",
        DATEDIF('Loan Tape (S&amp;P)'!K8819, TODAY(), "M")&lt;18),
    1.10,
    1.00)</f>
        <v/>
      </c>
      <c r="O8819">
        <f>IF('Loan Tape (S&amp;P)'!T8819="Yes",
    1.35,
    1.00)</f>
        <v/>
      </c>
      <c r="P8819">
        <f>IF('Loan Tape (S&amp;P)'!S8819="Yes",
    1.15,
    1.00)</f>
        <v/>
      </c>
      <c r="Q8819">
        <f>IF('Loan Tape (S&amp;P)'!V8819="Yes",
    1.20,
    1.00)</f>
        <v/>
      </c>
      <c r="T8819">
        <f>LET(
    payment_method,'Loan Tape (S&amp;P)'!P8819,
    occupancy,'Loan Tape (S&amp;P)'!N8819,
    maturity_date,'Loan Tape (S&amp;P)'!L8819,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20">
      <c r="J8820">
        <f>LET(
    lien,'Loan Tape (S&amp;P)'!Q8820,
    IF(lien="First",1.00,
        IF(lien="Second",1.50,
            1.70)))</f>
        <v/>
      </c>
      <c r="K8820">
        <f>LET(
    purpose,'Loan Tape (S&amp;P)'!R8820,
    IF(purpose="Purchase",1.00,
        IF(purpose="Remortgage",1.00,
            1.20)))</f>
        <v/>
      </c>
      <c r="L8820">
        <f>LET(
    arrears_months,'Loan Tape (S&amp;P)'!AN8820,
    IF(arrears_months=0,1.00,
    IF(arrears_months=1,3.00,
    IF(arrears_months=2,5.00,
    IF(arrears_months=3,8.00,
    IF(arrears_months=4,10.00,
    IF(arrears_months=5,12.00,15.00)))))))</f>
        <v/>
      </c>
      <c r="M8820">
        <f>LET(
    seasoning_years,DATEDIF('Loan Tape (S&amp;P)'!K8820,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20">
        <f>IF(AND('Loan Tape (S&amp;P)'!U8820="Yes",
        'Loan Tape (S&amp;P)'!T8820&lt;&gt;"Yes",
        DATEDIF('Loan Tape (S&amp;P)'!K8820, TODAY(), "M")&lt;18),
    1.10,
    1.00)</f>
        <v/>
      </c>
      <c r="O8820">
        <f>IF('Loan Tape (S&amp;P)'!T8820="Yes",
    1.35,
    1.00)</f>
        <v/>
      </c>
      <c r="P8820">
        <f>IF('Loan Tape (S&amp;P)'!S8820="Yes",
    1.15,
    1.00)</f>
        <v/>
      </c>
      <c r="Q8820">
        <f>IF('Loan Tape (S&amp;P)'!V8820="Yes",
    1.20,
    1.00)</f>
        <v/>
      </c>
      <c r="T8820">
        <f>LET(
    payment_method,'Loan Tape (S&amp;P)'!P8820,
    occupancy,'Loan Tape (S&amp;P)'!N8820,
    maturity_date,'Loan Tape (S&amp;P)'!L8820,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21">
      <c r="J8821">
        <f>LET(
    lien,'Loan Tape (S&amp;P)'!Q8821,
    IF(lien="First",1.00,
        IF(lien="Second",1.50,
            1.70)))</f>
        <v/>
      </c>
      <c r="K8821">
        <f>LET(
    purpose,'Loan Tape (S&amp;P)'!R8821,
    IF(purpose="Purchase",1.00,
        IF(purpose="Remortgage",1.00,
            1.20)))</f>
        <v/>
      </c>
      <c r="L8821">
        <f>LET(
    arrears_months,'Loan Tape (S&amp;P)'!AN8821,
    IF(arrears_months=0,1.00,
    IF(arrears_months=1,3.00,
    IF(arrears_months=2,5.00,
    IF(arrears_months=3,8.00,
    IF(arrears_months=4,10.00,
    IF(arrears_months=5,12.00,15.00)))))))</f>
        <v/>
      </c>
      <c r="M8821">
        <f>LET(
    seasoning_years,DATEDIF('Loan Tape (S&amp;P)'!K8821,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21">
        <f>IF(AND('Loan Tape (S&amp;P)'!U8821="Yes",
        'Loan Tape (S&amp;P)'!T8821&lt;&gt;"Yes",
        DATEDIF('Loan Tape (S&amp;P)'!K8821, TODAY(), "M")&lt;18),
    1.10,
    1.00)</f>
        <v/>
      </c>
      <c r="O8821">
        <f>IF('Loan Tape (S&amp;P)'!T8821="Yes",
    1.35,
    1.00)</f>
        <v/>
      </c>
      <c r="P8821">
        <f>IF('Loan Tape (S&amp;P)'!S8821="Yes",
    1.15,
    1.00)</f>
        <v/>
      </c>
      <c r="Q8821">
        <f>IF('Loan Tape (S&amp;P)'!V8821="Yes",
    1.20,
    1.00)</f>
        <v/>
      </c>
      <c r="T8821">
        <f>LET(
    payment_method,'Loan Tape (S&amp;P)'!P8821,
    occupancy,'Loan Tape (S&amp;P)'!N8821,
    maturity_date,'Loan Tape (S&amp;P)'!L8821,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22">
      <c r="J8822">
        <f>LET(
    lien,'Loan Tape (S&amp;P)'!Q8822,
    IF(lien="First",1.00,
        IF(lien="Second",1.50,
            1.70)))</f>
        <v/>
      </c>
      <c r="K8822">
        <f>LET(
    purpose,'Loan Tape (S&amp;P)'!R8822,
    IF(purpose="Purchase",1.00,
        IF(purpose="Remortgage",1.00,
            1.20)))</f>
        <v/>
      </c>
      <c r="L8822">
        <f>LET(
    arrears_months,'Loan Tape (S&amp;P)'!AN8822,
    IF(arrears_months=0,1.00,
    IF(arrears_months=1,3.00,
    IF(arrears_months=2,5.00,
    IF(arrears_months=3,8.00,
    IF(arrears_months=4,10.00,
    IF(arrears_months=5,12.00,15.00)))))))</f>
        <v/>
      </c>
      <c r="M8822">
        <f>LET(
    seasoning_years,DATEDIF('Loan Tape (S&amp;P)'!K8822,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22">
        <f>IF(AND('Loan Tape (S&amp;P)'!U8822="Yes",
        'Loan Tape (S&amp;P)'!T8822&lt;&gt;"Yes",
        DATEDIF('Loan Tape (S&amp;P)'!K8822, TODAY(), "M")&lt;18),
    1.10,
    1.00)</f>
        <v/>
      </c>
      <c r="O8822">
        <f>IF('Loan Tape (S&amp;P)'!T8822="Yes",
    1.35,
    1.00)</f>
        <v/>
      </c>
      <c r="P8822">
        <f>IF('Loan Tape (S&amp;P)'!S8822="Yes",
    1.15,
    1.00)</f>
        <v/>
      </c>
      <c r="Q8822">
        <f>IF('Loan Tape (S&amp;P)'!V8822="Yes",
    1.20,
    1.00)</f>
        <v/>
      </c>
      <c r="T8822">
        <f>LET(
    payment_method,'Loan Tape (S&amp;P)'!P8822,
    occupancy,'Loan Tape (S&amp;P)'!N8822,
    maturity_date,'Loan Tape (S&amp;P)'!L8822,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23">
      <c r="J8823">
        <f>LET(
    lien,'Loan Tape (S&amp;P)'!Q8823,
    IF(lien="First",1.00,
        IF(lien="Second",1.50,
            1.70)))</f>
        <v/>
      </c>
      <c r="K8823">
        <f>LET(
    purpose,'Loan Tape (S&amp;P)'!R8823,
    IF(purpose="Purchase",1.00,
        IF(purpose="Remortgage",1.00,
            1.20)))</f>
        <v/>
      </c>
      <c r="L8823">
        <f>LET(
    arrears_months,'Loan Tape (S&amp;P)'!AN8823,
    IF(arrears_months=0,1.00,
    IF(arrears_months=1,3.00,
    IF(arrears_months=2,5.00,
    IF(arrears_months=3,8.00,
    IF(arrears_months=4,10.00,
    IF(arrears_months=5,12.00,15.00)))))))</f>
        <v/>
      </c>
      <c r="M8823">
        <f>LET(
    seasoning_years,DATEDIF('Loan Tape (S&amp;P)'!K8823,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23">
        <f>IF(AND('Loan Tape (S&amp;P)'!U8823="Yes",
        'Loan Tape (S&amp;P)'!T8823&lt;&gt;"Yes",
        DATEDIF('Loan Tape (S&amp;P)'!K8823, TODAY(), "M")&lt;18),
    1.10,
    1.00)</f>
        <v/>
      </c>
      <c r="O8823">
        <f>IF('Loan Tape (S&amp;P)'!T8823="Yes",
    1.35,
    1.00)</f>
        <v/>
      </c>
      <c r="P8823">
        <f>IF('Loan Tape (S&amp;P)'!S8823="Yes",
    1.15,
    1.00)</f>
        <v/>
      </c>
      <c r="Q8823">
        <f>IF('Loan Tape (S&amp;P)'!V8823="Yes",
    1.20,
    1.00)</f>
        <v/>
      </c>
      <c r="T8823">
        <f>LET(
    payment_method,'Loan Tape (S&amp;P)'!P8823,
    occupancy,'Loan Tape (S&amp;P)'!N8823,
    maturity_date,'Loan Tape (S&amp;P)'!L8823,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24">
      <c r="J8824">
        <f>LET(
    lien,'Loan Tape (S&amp;P)'!Q8824,
    IF(lien="First",1.00,
        IF(lien="Second",1.50,
            1.70)))</f>
        <v/>
      </c>
      <c r="K8824">
        <f>LET(
    purpose,'Loan Tape (S&amp;P)'!R8824,
    IF(purpose="Purchase",1.00,
        IF(purpose="Remortgage",1.00,
            1.20)))</f>
        <v/>
      </c>
      <c r="L8824">
        <f>LET(
    arrears_months,'Loan Tape (S&amp;P)'!AN8824,
    IF(arrears_months=0,1.00,
    IF(arrears_months=1,3.00,
    IF(arrears_months=2,5.00,
    IF(arrears_months=3,8.00,
    IF(arrears_months=4,10.00,
    IF(arrears_months=5,12.00,15.00)))))))</f>
        <v/>
      </c>
      <c r="M8824">
        <f>LET(
    seasoning_years,DATEDIF('Loan Tape (S&amp;P)'!K8824,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24">
        <f>IF(AND('Loan Tape (S&amp;P)'!U8824="Yes",
        'Loan Tape (S&amp;P)'!T8824&lt;&gt;"Yes",
        DATEDIF('Loan Tape (S&amp;P)'!K8824, TODAY(), "M")&lt;18),
    1.10,
    1.00)</f>
        <v/>
      </c>
      <c r="O8824">
        <f>IF('Loan Tape (S&amp;P)'!T8824="Yes",
    1.35,
    1.00)</f>
        <v/>
      </c>
      <c r="P8824">
        <f>IF('Loan Tape (S&amp;P)'!S8824="Yes",
    1.15,
    1.00)</f>
        <v/>
      </c>
      <c r="Q8824">
        <f>IF('Loan Tape (S&amp;P)'!V8824="Yes",
    1.20,
    1.00)</f>
        <v/>
      </c>
      <c r="T8824">
        <f>LET(
    payment_method,'Loan Tape (S&amp;P)'!P8824,
    occupancy,'Loan Tape (S&amp;P)'!N8824,
    maturity_date,'Loan Tape (S&amp;P)'!L8824,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25">
      <c r="J8825">
        <f>LET(
    lien,'Loan Tape (S&amp;P)'!Q8825,
    IF(lien="First",1.00,
        IF(lien="Second",1.50,
            1.70)))</f>
        <v/>
      </c>
      <c r="K8825">
        <f>LET(
    purpose,'Loan Tape (S&amp;P)'!R8825,
    IF(purpose="Purchase",1.00,
        IF(purpose="Remortgage",1.00,
            1.20)))</f>
        <v/>
      </c>
      <c r="L8825">
        <f>LET(
    arrears_months,'Loan Tape (S&amp;P)'!AN8825,
    IF(arrears_months=0,1.00,
    IF(arrears_months=1,3.00,
    IF(arrears_months=2,5.00,
    IF(arrears_months=3,8.00,
    IF(arrears_months=4,10.00,
    IF(arrears_months=5,12.00,15.00)))))))</f>
        <v/>
      </c>
      <c r="M8825">
        <f>LET(
    seasoning_years,DATEDIF('Loan Tape (S&amp;P)'!K8825,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25">
        <f>IF(AND('Loan Tape (S&amp;P)'!U8825="Yes",
        'Loan Tape (S&amp;P)'!T8825&lt;&gt;"Yes",
        DATEDIF('Loan Tape (S&amp;P)'!K8825, TODAY(), "M")&lt;18),
    1.10,
    1.00)</f>
        <v/>
      </c>
      <c r="O8825">
        <f>IF('Loan Tape (S&amp;P)'!T8825="Yes",
    1.35,
    1.00)</f>
        <v/>
      </c>
      <c r="P8825">
        <f>IF('Loan Tape (S&amp;P)'!S8825="Yes",
    1.15,
    1.00)</f>
        <v/>
      </c>
      <c r="Q8825">
        <f>IF('Loan Tape (S&amp;P)'!V8825="Yes",
    1.20,
    1.00)</f>
        <v/>
      </c>
      <c r="T8825">
        <f>LET(
    payment_method,'Loan Tape (S&amp;P)'!P8825,
    occupancy,'Loan Tape (S&amp;P)'!N8825,
    maturity_date,'Loan Tape (S&amp;P)'!L8825,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26">
      <c r="J8826">
        <f>LET(
    lien,'Loan Tape (S&amp;P)'!Q8826,
    IF(lien="First",1.00,
        IF(lien="Second",1.50,
            1.70)))</f>
        <v/>
      </c>
      <c r="K8826">
        <f>LET(
    purpose,'Loan Tape (S&amp;P)'!R8826,
    IF(purpose="Purchase",1.00,
        IF(purpose="Remortgage",1.00,
            1.20)))</f>
        <v/>
      </c>
      <c r="L8826">
        <f>LET(
    arrears_months,'Loan Tape (S&amp;P)'!AN8826,
    IF(arrears_months=0,1.00,
    IF(arrears_months=1,3.00,
    IF(arrears_months=2,5.00,
    IF(arrears_months=3,8.00,
    IF(arrears_months=4,10.00,
    IF(arrears_months=5,12.00,15.00)))))))</f>
        <v/>
      </c>
      <c r="M8826">
        <f>LET(
    seasoning_years,DATEDIF('Loan Tape (S&amp;P)'!K8826,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26">
        <f>IF(AND('Loan Tape (S&amp;P)'!U8826="Yes",
        'Loan Tape (S&amp;P)'!T8826&lt;&gt;"Yes",
        DATEDIF('Loan Tape (S&amp;P)'!K8826, TODAY(), "M")&lt;18),
    1.10,
    1.00)</f>
        <v/>
      </c>
      <c r="O8826">
        <f>IF('Loan Tape (S&amp;P)'!T8826="Yes",
    1.35,
    1.00)</f>
        <v/>
      </c>
      <c r="P8826">
        <f>IF('Loan Tape (S&amp;P)'!S8826="Yes",
    1.15,
    1.00)</f>
        <v/>
      </c>
      <c r="Q8826">
        <f>IF('Loan Tape (S&amp;P)'!V8826="Yes",
    1.20,
    1.00)</f>
        <v/>
      </c>
      <c r="T8826">
        <f>LET(
    payment_method,'Loan Tape (S&amp;P)'!P8826,
    occupancy,'Loan Tape (S&amp;P)'!N8826,
    maturity_date,'Loan Tape (S&amp;P)'!L8826,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27">
      <c r="J8827">
        <f>LET(
    lien,'Loan Tape (S&amp;P)'!Q8827,
    IF(lien="First",1.00,
        IF(lien="Second",1.50,
            1.70)))</f>
        <v/>
      </c>
      <c r="K8827">
        <f>LET(
    purpose,'Loan Tape (S&amp;P)'!R8827,
    IF(purpose="Purchase",1.00,
        IF(purpose="Remortgage",1.00,
            1.20)))</f>
        <v/>
      </c>
      <c r="L8827">
        <f>LET(
    arrears_months,'Loan Tape (S&amp;P)'!AN8827,
    IF(arrears_months=0,1.00,
    IF(arrears_months=1,3.00,
    IF(arrears_months=2,5.00,
    IF(arrears_months=3,8.00,
    IF(arrears_months=4,10.00,
    IF(arrears_months=5,12.00,15.00)))))))</f>
        <v/>
      </c>
      <c r="M8827">
        <f>LET(
    seasoning_years,DATEDIF('Loan Tape (S&amp;P)'!K8827,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27">
        <f>IF(AND('Loan Tape (S&amp;P)'!U8827="Yes",
        'Loan Tape (S&amp;P)'!T8827&lt;&gt;"Yes",
        DATEDIF('Loan Tape (S&amp;P)'!K8827, TODAY(), "M")&lt;18),
    1.10,
    1.00)</f>
        <v/>
      </c>
      <c r="O8827">
        <f>IF('Loan Tape (S&amp;P)'!T8827="Yes",
    1.35,
    1.00)</f>
        <v/>
      </c>
      <c r="P8827">
        <f>IF('Loan Tape (S&amp;P)'!S8827="Yes",
    1.15,
    1.00)</f>
        <v/>
      </c>
      <c r="Q8827">
        <f>IF('Loan Tape (S&amp;P)'!V8827="Yes",
    1.20,
    1.00)</f>
        <v/>
      </c>
      <c r="T8827">
        <f>LET(
    payment_method,'Loan Tape (S&amp;P)'!P8827,
    occupancy,'Loan Tape (S&amp;P)'!N8827,
    maturity_date,'Loan Tape (S&amp;P)'!L8827,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28">
      <c r="J8828">
        <f>LET(
    lien,'Loan Tape (S&amp;P)'!Q8828,
    IF(lien="First",1.00,
        IF(lien="Second",1.50,
            1.70)))</f>
        <v/>
      </c>
      <c r="K8828">
        <f>LET(
    purpose,'Loan Tape (S&amp;P)'!R8828,
    IF(purpose="Purchase",1.00,
        IF(purpose="Remortgage",1.00,
            1.20)))</f>
        <v/>
      </c>
      <c r="L8828">
        <f>LET(
    arrears_months,'Loan Tape (S&amp;P)'!AN8828,
    IF(arrears_months=0,1.00,
    IF(arrears_months=1,3.00,
    IF(arrears_months=2,5.00,
    IF(arrears_months=3,8.00,
    IF(arrears_months=4,10.00,
    IF(arrears_months=5,12.00,15.00)))))))</f>
        <v/>
      </c>
      <c r="M8828">
        <f>LET(
    seasoning_years,DATEDIF('Loan Tape (S&amp;P)'!K8828,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28">
        <f>IF(AND('Loan Tape (S&amp;P)'!U8828="Yes",
        'Loan Tape (S&amp;P)'!T8828&lt;&gt;"Yes",
        DATEDIF('Loan Tape (S&amp;P)'!K8828, TODAY(), "M")&lt;18),
    1.10,
    1.00)</f>
        <v/>
      </c>
      <c r="O8828">
        <f>IF('Loan Tape (S&amp;P)'!T8828="Yes",
    1.35,
    1.00)</f>
        <v/>
      </c>
      <c r="P8828">
        <f>IF('Loan Tape (S&amp;P)'!S8828="Yes",
    1.15,
    1.00)</f>
        <v/>
      </c>
      <c r="Q8828">
        <f>IF('Loan Tape (S&amp;P)'!V8828="Yes",
    1.20,
    1.00)</f>
        <v/>
      </c>
      <c r="T8828">
        <f>LET(
    payment_method,'Loan Tape (S&amp;P)'!P8828,
    occupancy,'Loan Tape (S&amp;P)'!N8828,
    maturity_date,'Loan Tape (S&amp;P)'!L8828,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29">
      <c r="J8829">
        <f>LET(
    lien,'Loan Tape (S&amp;P)'!Q8829,
    IF(lien="First",1.00,
        IF(lien="Second",1.50,
            1.70)))</f>
        <v/>
      </c>
      <c r="K8829">
        <f>LET(
    purpose,'Loan Tape (S&amp;P)'!R8829,
    IF(purpose="Purchase",1.00,
        IF(purpose="Remortgage",1.00,
            1.20)))</f>
        <v/>
      </c>
      <c r="L8829">
        <f>LET(
    arrears_months,'Loan Tape (S&amp;P)'!AN8829,
    IF(arrears_months=0,1.00,
    IF(arrears_months=1,3.00,
    IF(arrears_months=2,5.00,
    IF(arrears_months=3,8.00,
    IF(arrears_months=4,10.00,
    IF(arrears_months=5,12.00,15.00)))))))</f>
        <v/>
      </c>
      <c r="M8829">
        <f>LET(
    seasoning_years,DATEDIF('Loan Tape (S&amp;P)'!K8829,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29">
        <f>IF(AND('Loan Tape (S&amp;P)'!U8829="Yes",
        'Loan Tape (S&amp;P)'!T8829&lt;&gt;"Yes",
        DATEDIF('Loan Tape (S&amp;P)'!K8829, TODAY(), "M")&lt;18),
    1.10,
    1.00)</f>
        <v/>
      </c>
      <c r="O8829">
        <f>IF('Loan Tape (S&amp;P)'!T8829="Yes",
    1.35,
    1.00)</f>
        <v/>
      </c>
      <c r="P8829">
        <f>IF('Loan Tape (S&amp;P)'!S8829="Yes",
    1.15,
    1.00)</f>
        <v/>
      </c>
      <c r="Q8829">
        <f>IF('Loan Tape (S&amp;P)'!V8829="Yes",
    1.20,
    1.00)</f>
        <v/>
      </c>
      <c r="T8829">
        <f>LET(
    payment_method,'Loan Tape (S&amp;P)'!P8829,
    occupancy,'Loan Tape (S&amp;P)'!N8829,
    maturity_date,'Loan Tape (S&amp;P)'!L8829,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30">
      <c r="J8830">
        <f>LET(
    lien,'Loan Tape (S&amp;P)'!Q8830,
    IF(lien="First",1.00,
        IF(lien="Second",1.50,
            1.70)))</f>
        <v/>
      </c>
      <c r="K8830">
        <f>LET(
    purpose,'Loan Tape (S&amp;P)'!R8830,
    IF(purpose="Purchase",1.00,
        IF(purpose="Remortgage",1.00,
            1.20)))</f>
        <v/>
      </c>
      <c r="L8830">
        <f>LET(
    arrears_months,'Loan Tape (S&amp;P)'!AN8830,
    IF(arrears_months=0,1.00,
    IF(arrears_months=1,3.00,
    IF(arrears_months=2,5.00,
    IF(arrears_months=3,8.00,
    IF(arrears_months=4,10.00,
    IF(arrears_months=5,12.00,15.00)))))))</f>
        <v/>
      </c>
      <c r="M8830">
        <f>LET(
    seasoning_years,DATEDIF('Loan Tape (S&amp;P)'!K8830,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30">
        <f>IF(AND('Loan Tape (S&amp;P)'!U8830="Yes",
        'Loan Tape (S&amp;P)'!T8830&lt;&gt;"Yes",
        DATEDIF('Loan Tape (S&amp;P)'!K8830, TODAY(), "M")&lt;18),
    1.10,
    1.00)</f>
        <v/>
      </c>
      <c r="O8830">
        <f>IF('Loan Tape (S&amp;P)'!T8830="Yes",
    1.35,
    1.00)</f>
        <v/>
      </c>
      <c r="P8830">
        <f>IF('Loan Tape (S&amp;P)'!S8830="Yes",
    1.15,
    1.00)</f>
        <v/>
      </c>
      <c r="Q8830">
        <f>IF('Loan Tape (S&amp;P)'!V8830="Yes",
    1.20,
    1.00)</f>
        <v/>
      </c>
      <c r="T8830">
        <f>LET(
    payment_method,'Loan Tape (S&amp;P)'!P8830,
    occupancy,'Loan Tape (S&amp;P)'!N8830,
    maturity_date,'Loan Tape (S&amp;P)'!L8830,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31">
      <c r="J8831">
        <f>LET(
    lien,'Loan Tape (S&amp;P)'!Q8831,
    IF(lien="First",1.00,
        IF(lien="Second",1.50,
            1.70)))</f>
        <v/>
      </c>
      <c r="K8831">
        <f>LET(
    purpose,'Loan Tape (S&amp;P)'!R8831,
    IF(purpose="Purchase",1.00,
        IF(purpose="Remortgage",1.00,
            1.20)))</f>
        <v/>
      </c>
      <c r="L8831">
        <f>LET(
    arrears_months,'Loan Tape (S&amp;P)'!AN8831,
    IF(arrears_months=0,1.00,
    IF(arrears_months=1,3.00,
    IF(arrears_months=2,5.00,
    IF(arrears_months=3,8.00,
    IF(arrears_months=4,10.00,
    IF(arrears_months=5,12.00,15.00)))))))</f>
        <v/>
      </c>
      <c r="M8831">
        <f>LET(
    seasoning_years,DATEDIF('Loan Tape (S&amp;P)'!K8831,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31">
        <f>IF(AND('Loan Tape (S&amp;P)'!U8831="Yes",
        'Loan Tape (S&amp;P)'!T8831&lt;&gt;"Yes",
        DATEDIF('Loan Tape (S&amp;P)'!K8831, TODAY(), "M")&lt;18),
    1.10,
    1.00)</f>
        <v/>
      </c>
      <c r="O8831">
        <f>IF('Loan Tape (S&amp;P)'!T8831="Yes",
    1.35,
    1.00)</f>
        <v/>
      </c>
      <c r="P8831">
        <f>IF('Loan Tape (S&amp;P)'!S8831="Yes",
    1.15,
    1.00)</f>
        <v/>
      </c>
      <c r="Q8831">
        <f>IF('Loan Tape (S&amp;P)'!V8831="Yes",
    1.20,
    1.00)</f>
        <v/>
      </c>
      <c r="T8831">
        <f>LET(
    payment_method,'Loan Tape (S&amp;P)'!P8831,
    occupancy,'Loan Tape (S&amp;P)'!N8831,
    maturity_date,'Loan Tape (S&amp;P)'!L8831,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32">
      <c r="J8832">
        <f>LET(
    lien,'Loan Tape (S&amp;P)'!Q8832,
    IF(lien="First",1.00,
        IF(lien="Second",1.50,
            1.70)))</f>
        <v/>
      </c>
      <c r="K8832">
        <f>LET(
    purpose,'Loan Tape (S&amp;P)'!R8832,
    IF(purpose="Purchase",1.00,
        IF(purpose="Remortgage",1.00,
            1.20)))</f>
        <v/>
      </c>
      <c r="L8832">
        <f>LET(
    arrears_months,'Loan Tape (S&amp;P)'!AN8832,
    IF(arrears_months=0,1.00,
    IF(arrears_months=1,3.00,
    IF(arrears_months=2,5.00,
    IF(arrears_months=3,8.00,
    IF(arrears_months=4,10.00,
    IF(arrears_months=5,12.00,15.00)))))))</f>
        <v/>
      </c>
      <c r="M8832">
        <f>LET(
    seasoning_years,DATEDIF('Loan Tape (S&amp;P)'!K8832,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32">
        <f>IF(AND('Loan Tape (S&amp;P)'!U8832="Yes",
        'Loan Tape (S&amp;P)'!T8832&lt;&gt;"Yes",
        DATEDIF('Loan Tape (S&amp;P)'!K8832, TODAY(), "M")&lt;18),
    1.10,
    1.00)</f>
        <v/>
      </c>
      <c r="O8832">
        <f>IF('Loan Tape (S&amp;P)'!T8832="Yes",
    1.35,
    1.00)</f>
        <v/>
      </c>
      <c r="P8832">
        <f>IF('Loan Tape (S&amp;P)'!S8832="Yes",
    1.15,
    1.00)</f>
        <v/>
      </c>
      <c r="Q8832">
        <f>IF('Loan Tape (S&amp;P)'!V8832="Yes",
    1.20,
    1.00)</f>
        <v/>
      </c>
      <c r="T8832">
        <f>LET(
    payment_method,'Loan Tape (S&amp;P)'!P8832,
    occupancy,'Loan Tape (S&amp;P)'!N8832,
    maturity_date,'Loan Tape (S&amp;P)'!L8832,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33">
      <c r="J8833">
        <f>LET(
    lien,'Loan Tape (S&amp;P)'!Q8833,
    IF(lien="First",1.00,
        IF(lien="Second",1.50,
            1.70)))</f>
        <v/>
      </c>
      <c r="K8833">
        <f>LET(
    purpose,'Loan Tape (S&amp;P)'!R8833,
    IF(purpose="Purchase",1.00,
        IF(purpose="Remortgage",1.00,
            1.20)))</f>
        <v/>
      </c>
      <c r="L8833">
        <f>LET(
    arrears_months,'Loan Tape (S&amp;P)'!AN8833,
    IF(arrears_months=0,1.00,
    IF(arrears_months=1,3.00,
    IF(arrears_months=2,5.00,
    IF(arrears_months=3,8.00,
    IF(arrears_months=4,10.00,
    IF(arrears_months=5,12.00,15.00)))))))</f>
        <v/>
      </c>
      <c r="M8833">
        <f>LET(
    seasoning_years,DATEDIF('Loan Tape (S&amp;P)'!K8833,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33">
        <f>IF(AND('Loan Tape (S&amp;P)'!U8833="Yes",
        'Loan Tape (S&amp;P)'!T8833&lt;&gt;"Yes",
        DATEDIF('Loan Tape (S&amp;P)'!K8833, TODAY(), "M")&lt;18),
    1.10,
    1.00)</f>
        <v/>
      </c>
      <c r="O8833">
        <f>IF('Loan Tape (S&amp;P)'!T8833="Yes",
    1.35,
    1.00)</f>
        <v/>
      </c>
      <c r="P8833">
        <f>IF('Loan Tape (S&amp;P)'!S8833="Yes",
    1.15,
    1.00)</f>
        <v/>
      </c>
      <c r="Q8833">
        <f>IF('Loan Tape (S&amp;P)'!V8833="Yes",
    1.20,
    1.00)</f>
        <v/>
      </c>
      <c r="T8833">
        <f>LET(
    payment_method,'Loan Tape (S&amp;P)'!P8833,
    occupancy,'Loan Tape (S&amp;P)'!N8833,
    maturity_date,'Loan Tape (S&amp;P)'!L8833,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34">
      <c r="J8834">
        <f>LET(
    lien,'Loan Tape (S&amp;P)'!Q8834,
    IF(lien="First",1.00,
        IF(lien="Second",1.50,
            1.70)))</f>
        <v/>
      </c>
      <c r="K8834">
        <f>LET(
    purpose,'Loan Tape (S&amp;P)'!R8834,
    IF(purpose="Purchase",1.00,
        IF(purpose="Remortgage",1.00,
            1.20)))</f>
        <v/>
      </c>
      <c r="L8834">
        <f>LET(
    arrears_months,'Loan Tape (S&amp;P)'!AN8834,
    IF(arrears_months=0,1.00,
    IF(arrears_months=1,3.00,
    IF(arrears_months=2,5.00,
    IF(arrears_months=3,8.00,
    IF(arrears_months=4,10.00,
    IF(arrears_months=5,12.00,15.00)))))))</f>
        <v/>
      </c>
      <c r="M8834">
        <f>LET(
    seasoning_years,DATEDIF('Loan Tape (S&amp;P)'!K8834,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34">
        <f>IF(AND('Loan Tape (S&amp;P)'!U8834="Yes",
        'Loan Tape (S&amp;P)'!T8834&lt;&gt;"Yes",
        DATEDIF('Loan Tape (S&amp;P)'!K8834, TODAY(), "M")&lt;18),
    1.10,
    1.00)</f>
        <v/>
      </c>
      <c r="O8834">
        <f>IF('Loan Tape (S&amp;P)'!T8834="Yes",
    1.35,
    1.00)</f>
        <v/>
      </c>
      <c r="P8834">
        <f>IF('Loan Tape (S&amp;P)'!S8834="Yes",
    1.15,
    1.00)</f>
        <v/>
      </c>
      <c r="Q8834">
        <f>IF('Loan Tape (S&amp;P)'!V8834="Yes",
    1.20,
    1.00)</f>
        <v/>
      </c>
      <c r="T8834">
        <f>LET(
    payment_method,'Loan Tape (S&amp;P)'!P8834,
    occupancy,'Loan Tape (S&amp;P)'!N8834,
    maturity_date,'Loan Tape (S&amp;P)'!L8834,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35">
      <c r="J8835">
        <f>LET(
    lien,'Loan Tape (S&amp;P)'!Q8835,
    IF(lien="First",1.00,
        IF(lien="Second",1.50,
            1.70)))</f>
        <v/>
      </c>
      <c r="K8835">
        <f>LET(
    purpose,'Loan Tape (S&amp;P)'!R8835,
    IF(purpose="Purchase",1.00,
        IF(purpose="Remortgage",1.00,
            1.20)))</f>
        <v/>
      </c>
      <c r="L8835">
        <f>LET(
    arrears_months,'Loan Tape (S&amp;P)'!AN8835,
    IF(arrears_months=0,1.00,
    IF(arrears_months=1,3.00,
    IF(arrears_months=2,5.00,
    IF(arrears_months=3,8.00,
    IF(arrears_months=4,10.00,
    IF(arrears_months=5,12.00,15.00)))))))</f>
        <v/>
      </c>
      <c r="M8835">
        <f>LET(
    seasoning_years,DATEDIF('Loan Tape (S&amp;P)'!K8835,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35">
        <f>IF(AND('Loan Tape (S&amp;P)'!U8835="Yes",
        'Loan Tape (S&amp;P)'!T8835&lt;&gt;"Yes",
        DATEDIF('Loan Tape (S&amp;P)'!K8835, TODAY(), "M")&lt;18),
    1.10,
    1.00)</f>
        <v/>
      </c>
      <c r="O8835">
        <f>IF('Loan Tape (S&amp;P)'!T8835="Yes",
    1.35,
    1.00)</f>
        <v/>
      </c>
      <c r="P8835">
        <f>IF('Loan Tape (S&amp;P)'!S8835="Yes",
    1.15,
    1.00)</f>
        <v/>
      </c>
      <c r="Q8835">
        <f>IF('Loan Tape (S&amp;P)'!V8835="Yes",
    1.20,
    1.00)</f>
        <v/>
      </c>
      <c r="T8835">
        <f>LET(
    payment_method,'Loan Tape (S&amp;P)'!P8835,
    occupancy,'Loan Tape (S&amp;P)'!N8835,
    maturity_date,'Loan Tape (S&amp;P)'!L8835,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36">
      <c r="J8836">
        <f>LET(
    lien,'Loan Tape (S&amp;P)'!Q8836,
    IF(lien="First",1.00,
        IF(lien="Second",1.50,
            1.70)))</f>
        <v/>
      </c>
      <c r="K8836">
        <f>LET(
    purpose,'Loan Tape (S&amp;P)'!R8836,
    IF(purpose="Purchase",1.00,
        IF(purpose="Remortgage",1.00,
            1.20)))</f>
        <v/>
      </c>
      <c r="L8836">
        <f>LET(
    arrears_months,'Loan Tape (S&amp;P)'!AN8836,
    IF(arrears_months=0,1.00,
    IF(arrears_months=1,3.00,
    IF(arrears_months=2,5.00,
    IF(arrears_months=3,8.00,
    IF(arrears_months=4,10.00,
    IF(arrears_months=5,12.00,15.00)))))))</f>
        <v/>
      </c>
      <c r="M8836">
        <f>LET(
    seasoning_years,DATEDIF('Loan Tape (S&amp;P)'!K8836,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36">
        <f>IF(AND('Loan Tape (S&amp;P)'!U8836="Yes",
        'Loan Tape (S&amp;P)'!T8836&lt;&gt;"Yes",
        DATEDIF('Loan Tape (S&amp;P)'!K8836, TODAY(), "M")&lt;18),
    1.10,
    1.00)</f>
        <v/>
      </c>
      <c r="O8836">
        <f>IF('Loan Tape (S&amp;P)'!T8836="Yes",
    1.35,
    1.00)</f>
        <v/>
      </c>
      <c r="P8836">
        <f>IF('Loan Tape (S&amp;P)'!S8836="Yes",
    1.15,
    1.00)</f>
        <v/>
      </c>
      <c r="Q8836">
        <f>IF('Loan Tape (S&amp;P)'!V8836="Yes",
    1.20,
    1.00)</f>
        <v/>
      </c>
      <c r="T8836">
        <f>LET(
    payment_method,'Loan Tape (S&amp;P)'!P8836,
    occupancy,'Loan Tape (S&amp;P)'!N8836,
    maturity_date,'Loan Tape (S&amp;P)'!L8836,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37">
      <c r="J8837">
        <f>LET(
    lien,'Loan Tape (S&amp;P)'!Q8837,
    IF(lien="First",1.00,
        IF(lien="Second",1.50,
            1.70)))</f>
        <v/>
      </c>
      <c r="K8837">
        <f>LET(
    purpose,'Loan Tape (S&amp;P)'!R8837,
    IF(purpose="Purchase",1.00,
        IF(purpose="Remortgage",1.00,
            1.20)))</f>
        <v/>
      </c>
      <c r="L8837">
        <f>LET(
    arrears_months,'Loan Tape (S&amp;P)'!AN8837,
    IF(arrears_months=0,1.00,
    IF(arrears_months=1,3.00,
    IF(arrears_months=2,5.00,
    IF(arrears_months=3,8.00,
    IF(arrears_months=4,10.00,
    IF(arrears_months=5,12.00,15.00)))))))</f>
        <v/>
      </c>
      <c r="M8837">
        <f>LET(
    seasoning_years,DATEDIF('Loan Tape (S&amp;P)'!K8837,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37">
        <f>IF(AND('Loan Tape (S&amp;P)'!U8837="Yes",
        'Loan Tape (S&amp;P)'!T8837&lt;&gt;"Yes",
        DATEDIF('Loan Tape (S&amp;P)'!K8837, TODAY(), "M")&lt;18),
    1.10,
    1.00)</f>
        <v/>
      </c>
      <c r="O8837">
        <f>IF('Loan Tape (S&amp;P)'!T8837="Yes",
    1.35,
    1.00)</f>
        <v/>
      </c>
      <c r="P8837">
        <f>IF('Loan Tape (S&amp;P)'!S8837="Yes",
    1.15,
    1.00)</f>
        <v/>
      </c>
      <c r="Q8837">
        <f>IF('Loan Tape (S&amp;P)'!V8837="Yes",
    1.20,
    1.00)</f>
        <v/>
      </c>
      <c r="T8837">
        <f>LET(
    payment_method,'Loan Tape (S&amp;P)'!P8837,
    occupancy,'Loan Tape (S&amp;P)'!N8837,
    maturity_date,'Loan Tape (S&amp;P)'!L8837,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38">
      <c r="J8838">
        <f>LET(
    lien,'Loan Tape (S&amp;P)'!Q8838,
    IF(lien="First",1.00,
        IF(lien="Second",1.50,
            1.70)))</f>
        <v/>
      </c>
      <c r="K8838">
        <f>LET(
    purpose,'Loan Tape (S&amp;P)'!R8838,
    IF(purpose="Purchase",1.00,
        IF(purpose="Remortgage",1.00,
            1.20)))</f>
        <v/>
      </c>
      <c r="L8838">
        <f>LET(
    arrears_months,'Loan Tape (S&amp;P)'!AN8838,
    IF(arrears_months=0,1.00,
    IF(arrears_months=1,3.00,
    IF(arrears_months=2,5.00,
    IF(arrears_months=3,8.00,
    IF(arrears_months=4,10.00,
    IF(arrears_months=5,12.00,15.00)))))))</f>
        <v/>
      </c>
      <c r="M8838">
        <f>LET(
    seasoning_years,DATEDIF('Loan Tape (S&amp;P)'!K8838,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38">
        <f>IF(AND('Loan Tape (S&amp;P)'!U8838="Yes",
        'Loan Tape (S&amp;P)'!T8838&lt;&gt;"Yes",
        DATEDIF('Loan Tape (S&amp;P)'!K8838, TODAY(), "M")&lt;18),
    1.10,
    1.00)</f>
        <v/>
      </c>
      <c r="O8838">
        <f>IF('Loan Tape (S&amp;P)'!T8838="Yes",
    1.35,
    1.00)</f>
        <v/>
      </c>
      <c r="P8838">
        <f>IF('Loan Tape (S&amp;P)'!S8838="Yes",
    1.15,
    1.00)</f>
        <v/>
      </c>
      <c r="Q8838">
        <f>IF('Loan Tape (S&amp;P)'!V8838="Yes",
    1.20,
    1.00)</f>
        <v/>
      </c>
      <c r="T8838">
        <f>LET(
    payment_method,'Loan Tape (S&amp;P)'!P8838,
    occupancy,'Loan Tape (S&amp;P)'!N8838,
    maturity_date,'Loan Tape (S&amp;P)'!L8838,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39">
      <c r="J8839">
        <f>LET(
    lien,'Loan Tape (S&amp;P)'!Q8839,
    IF(lien="First",1.00,
        IF(lien="Second",1.50,
            1.70)))</f>
        <v/>
      </c>
      <c r="K8839">
        <f>LET(
    purpose,'Loan Tape (S&amp;P)'!R8839,
    IF(purpose="Purchase",1.00,
        IF(purpose="Remortgage",1.00,
            1.20)))</f>
        <v/>
      </c>
      <c r="L8839">
        <f>LET(
    arrears_months,'Loan Tape (S&amp;P)'!AN8839,
    IF(arrears_months=0,1.00,
    IF(arrears_months=1,3.00,
    IF(arrears_months=2,5.00,
    IF(arrears_months=3,8.00,
    IF(arrears_months=4,10.00,
    IF(arrears_months=5,12.00,15.00)))))))</f>
        <v/>
      </c>
      <c r="M8839">
        <f>LET(
    seasoning_years,DATEDIF('Loan Tape (S&amp;P)'!K8839,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39">
        <f>IF(AND('Loan Tape (S&amp;P)'!U8839="Yes",
        'Loan Tape (S&amp;P)'!T8839&lt;&gt;"Yes",
        DATEDIF('Loan Tape (S&amp;P)'!K8839, TODAY(), "M")&lt;18),
    1.10,
    1.00)</f>
        <v/>
      </c>
      <c r="O8839">
        <f>IF('Loan Tape (S&amp;P)'!T8839="Yes",
    1.35,
    1.00)</f>
        <v/>
      </c>
      <c r="P8839">
        <f>IF('Loan Tape (S&amp;P)'!S8839="Yes",
    1.15,
    1.00)</f>
        <v/>
      </c>
      <c r="Q8839">
        <f>IF('Loan Tape (S&amp;P)'!V8839="Yes",
    1.20,
    1.00)</f>
        <v/>
      </c>
      <c r="T8839">
        <f>LET(
    payment_method,'Loan Tape (S&amp;P)'!P8839,
    occupancy,'Loan Tape (S&amp;P)'!N8839,
    maturity_date,'Loan Tape (S&amp;P)'!L8839,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40">
      <c r="J8840">
        <f>LET(
    lien,'Loan Tape (S&amp;P)'!Q8840,
    IF(lien="First",1.00,
        IF(lien="Second",1.50,
            1.70)))</f>
        <v/>
      </c>
      <c r="K8840">
        <f>LET(
    purpose,'Loan Tape (S&amp;P)'!R8840,
    IF(purpose="Purchase",1.00,
        IF(purpose="Remortgage",1.00,
            1.20)))</f>
        <v/>
      </c>
      <c r="L8840">
        <f>LET(
    arrears_months,'Loan Tape (S&amp;P)'!AN8840,
    IF(arrears_months=0,1.00,
    IF(arrears_months=1,3.00,
    IF(arrears_months=2,5.00,
    IF(arrears_months=3,8.00,
    IF(arrears_months=4,10.00,
    IF(arrears_months=5,12.00,15.00)))))))</f>
        <v/>
      </c>
      <c r="M8840">
        <f>LET(
    seasoning_years,DATEDIF('Loan Tape (S&amp;P)'!K8840,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40">
        <f>IF(AND('Loan Tape (S&amp;P)'!U8840="Yes",
        'Loan Tape (S&amp;P)'!T8840&lt;&gt;"Yes",
        DATEDIF('Loan Tape (S&amp;P)'!K8840, TODAY(), "M")&lt;18),
    1.10,
    1.00)</f>
        <v/>
      </c>
      <c r="O8840">
        <f>IF('Loan Tape (S&amp;P)'!T8840="Yes",
    1.35,
    1.00)</f>
        <v/>
      </c>
      <c r="P8840">
        <f>IF('Loan Tape (S&amp;P)'!S8840="Yes",
    1.15,
    1.00)</f>
        <v/>
      </c>
      <c r="Q8840">
        <f>IF('Loan Tape (S&amp;P)'!V8840="Yes",
    1.20,
    1.00)</f>
        <v/>
      </c>
      <c r="T8840">
        <f>LET(
    payment_method,'Loan Tape (S&amp;P)'!P8840,
    occupancy,'Loan Tape (S&amp;P)'!N8840,
    maturity_date,'Loan Tape (S&amp;P)'!L8840,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41">
      <c r="J8841">
        <f>LET(
    lien,'Loan Tape (S&amp;P)'!Q8841,
    IF(lien="First",1.00,
        IF(lien="Second",1.50,
            1.70)))</f>
        <v/>
      </c>
      <c r="K8841">
        <f>LET(
    purpose,'Loan Tape (S&amp;P)'!R8841,
    IF(purpose="Purchase",1.00,
        IF(purpose="Remortgage",1.00,
            1.20)))</f>
        <v/>
      </c>
      <c r="L8841">
        <f>LET(
    arrears_months,'Loan Tape (S&amp;P)'!AN8841,
    IF(arrears_months=0,1.00,
    IF(arrears_months=1,3.00,
    IF(arrears_months=2,5.00,
    IF(arrears_months=3,8.00,
    IF(arrears_months=4,10.00,
    IF(arrears_months=5,12.00,15.00)))))))</f>
        <v/>
      </c>
      <c r="M8841">
        <f>LET(
    seasoning_years,DATEDIF('Loan Tape (S&amp;P)'!K8841,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41">
        <f>IF(AND('Loan Tape (S&amp;P)'!U8841="Yes",
        'Loan Tape (S&amp;P)'!T8841&lt;&gt;"Yes",
        DATEDIF('Loan Tape (S&amp;P)'!K8841, TODAY(), "M")&lt;18),
    1.10,
    1.00)</f>
        <v/>
      </c>
      <c r="O8841">
        <f>IF('Loan Tape (S&amp;P)'!T8841="Yes",
    1.35,
    1.00)</f>
        <v/>
      </c>
      <c r="P8841">
        <f>IF('Loan Tape (S&amp;P)'!S8841="Yes",
    1.15,
    1.00)</f>
        <v/>
      </c>
      <c r="Q8841">
        <f>IF('Loan Tape (S&amp;P)'!V8841="Yes",
    1.20,
    1.00)</f>
        <v/>
      </c>
      <c r="T8841">
        <f>LET(
    payment_method,'Loan Tape (S&amp;P)'!P8841,
    occupancy,'Loan Tape (S&amp;P)'!N8841,
    maturity_date,'Loan Tape (S&amp;P)'!L8841,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42">
      <c r="J8842">
        <f>LET(
    lien,'Loan Tape (S&amp;P)'!Q8842,
    IF(lien="First",1.00,
        IF(lien="Second",1.50,
            1.70)))</f>
        <v/>
      </c>
      <c r="K8842">
        <f>LET(
    purpose,'Loan Tape (S&amp;P)'!R8842,
    IF(purpose="Purchase",1.00,
        IF(purpose="Remortgage",1.00,
            1.20)))</f>
        <v/>
      </c>
      <c r="L8842">
        <f>LET(
    arrears_months,'Loan Tape (S&amp;P)'!AN8842,
    IF(arrears_months=0,1.00,
    IF(arrears_months=1,3.00,
    IF(arrears_months=2,5.00,
    IF(arrears_months=3,8.00,
    IF(arrears_months=4,10.00,
    IF(arrears_months=5,12.00,15.00)))))))</f>
        <v/>
      </c>
      <c r="M8842">
        <f>LET(
    seasoning_years,DATEDIF('Loan Tape (S&amp;P)'!K8842,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42">
        <f>IF(AND('Loan Tape (S&amp;P)'!U8842="Yes",
        'Loan Tape (S&amp;P)'!T8842&lt;&gt;"Yes",
        DATEDIF('Loan Tape (S&amp;P)'!K8842, TODAY(), "M")&lt;18),
    1.10,
    1.00)</f>
        <v/>
      </c>
      <c r="O8842">
        <f>IF('Loan Tape (S&amp;P)'!T8842="Yes",
    1.35,
    1.00)</f>
        <v/>
      </c>
      <c r="P8842">
        <f>IF('Loan Tape (S&amp;P)'!S8842="Yes",
    1.15,
    1.00)</f>
        <v/>
      </c>
      <c r="Q8842">
        <f>IF('Loan Tape (S&amp;P)'!V8842="Yes",
    1.20,
    1.00)</f>
        <v/>
      </c>
      <c r="T8842">
        <f>LET(
    payment_method,'Loan Tape (S&amp;P)'!P8842,
    occupancy,'Loan Tape (S&amp;P)'!N8842,
    maturity_date,'Loan Tape (S&amp;P)'!L8842,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43">
      <c r="J8843">
        <f>LET(
    lien,'Loan Tape (S&amp;P)'!Q8843,
    IF(lien="First",1.00,
        IF(lien="Second",1.50,
            1.70)))</f>
        <v/>
      </c>
      <c r="K8843">
        <f>LET(
    purpose,'Loan Tape (S&amp;P)'!R8843,
    IF(purpose="Purchase",1.00,
        IF(purpose="Remortgage",1.00,
            1.20)))</f>
        <v/>
      </c>
      <c r="L8843">
        <f>LET(
    arrears_months,'Loan Tape (S&amp;P)'!AN8843,
    IF(arrears_months=0,1.00,
    IF(arrears_months=1,3.00,
    IF(arrears_months=2,5.00,
    IF(arrears_months=3,8.00,
    IF(arrears_months=4,10.00,
    IF(arrears_months=5,12.00,15.00)))))))</f>
        <v/>
      </c>
      <c r="M8843">
        <f>LET(
    seasoning_years,DATEDIF('Loan Tape (S&amp;P)'!K8843,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43">
        <f>IF(AND('Loan Tape (S&amp;P)'!U8843="Yes",
        'Loan Tape (S&amp;P)'!T8843&lt;&gt;"Yes",
        DATEDIF('Loan Tape (S&amp;P)'!K8843, TODAY(), "M")&lt;18),
    1.10,
    1.00)</f>
        <v/>
      </c>
      <c r="O8843">
        <f>IF('Loan Tape (S&amp;P)'!T8843="Yes",
    1.35,
    1.00)</f>
        <v/>
      </c>
      <c r="P8843">
        <f>IF('Loan Tape (S&amp;P)'!S8843="Yes",
    1.15,
    1.00)</f>
        <v/>
      </c>
      <c r="Q8843">
        <f>IF('Loan Tape (S&amp;P)'!V8843="Yes",
    1.20,
    1.00)</f>
        <v/>
      </c>
      <c r="T8843">
        <f>LET(
    payment_method,'Loan Tape (S&amp;P)'!P8843,
    occupancy,'Loan Tape (S&amp;P)'!N8843,
    maturity_date,'Loan Tape (S&amp;P)'!L8843,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44">
      <c r="J8844">
        <f>LET(
    lien,'Loan Tape (S&amp;P)'!Q8844,
    IF(lien="First",1.00,
        IF(lien="Second",1.50,
            1.70)))</f>
        <v/>
      </c>
      <c r="K8844">
        <f>LET(
    purpose,'Loan Tape (S&amp;P)'!R8844,
    IF(purpose="Purchase",1.00,
        IF(purpose="Remortgage",1.00,
            1.20)))</f>
        <v/>
      </c>
      <c r="L8844">
        <f>LET(
    arrears_months,'Loan Tape (S&amp;P)'!AN8844,
    IF(arrears_months=0,1.00,
    IF(arrears_months=1,3.00,
    IF(arrears_months=2,5.00,
    IF(arrears_months=3,8.00,
    IF(arrears_months=4,10.00,
    IF(arrears_months=5,12.00,15.00)))))))</f>
        <v/>
      </c>
      <c r="M8844">
        <f>LET(
    seasoning_years,DATEDIF('Loan Tape (S&amp;P)'!K8844,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44">
        <f>IF(AND('Loan Tape (S&amp;P)'!U8844="Yes",
        'Loan Tape (S&amp;P)'!T8844&lt;&gt;"Yes",
        DATEDIF('Loan Tape (S&amp;P)'!K8844, TODAY(), "M")&lt;18),
    1.10,
    1.00)</f>
        <v/>
      </c>
      <c r="O8844">
        <f>IF('Loan Tape (S&amp;P)'!T8844="Yes",
    1.35,
    1.00)</f>
        <v/>
      </c>
      <c r="P8844">
        <f>IF('Loan Tape (S&amp;P)'!S8844="Yes",
    1.15,
    1.00)</f>
        <v/>
      </c>
      <c r="Q8844">
        <f>IF('Loan Tape (S&amp;P)'!V8844="Yes",
    1.20,
    1.00)</f>
        <v/>
      </c>
      <c r="T8844">
        <f>LET(
    payment_method,'Loan Tape (S&amp;P)'!P8844,
    occupancy,'Loan Tape (S&amp;P)'!N8844,
    maturity_date,'Loan Tape (S&amp;P)'!L8844,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45">
      <c r="J8845">
        <f>LET(
    lien,'Loan Tape (S&amp;P)'!Q8845,
    IF(lien="First",1.00,
        IF(lien="Second",1.50,
            1.70)))</f>
        <v/>
      </c>
      <c r="K8845">
        <f>LET(
    purpose,'Loan Tape (S&amp;P)'!R8845,
    IF(purpose="Purchase",1.00,
        IF(purpose="Remortgage",1.00,
            1.20)))</f>
        <v/>
      </c>
      <c r="L8845">
        <f>LET(
    arrears_months,'Loan Tape (S&amp;P)'!AN8845,
    IF(arrears_months=0,1.00,
    IF(arrears_months=1,3.00,
    IF(arrears_months=2,5.00,
    IF(arrears_months=3,8.00,
    IF(arrears_months=4,10.00,
    IF(arrears_months=5,12.00,15.00)))))))</f>
        <v/>
      </c>
      <c r="M8845">
        <f>LET(
    seasoning_years,DATEDIF('Loan Tape (S&amp;P)'!K8845,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45">
        <f>IF(AND('Loan Tape (S&amp;P)'!U8845="Yes",
        'Loan Tape (S&amp;P)'!T8845&lt;&gt;"Yes",
        DATEDIF('Loan Tape (S&amp;P)'!K8845, TODAY(), "M")&lt;18),
    1.10,
    1.00)</f>
        <v/>
      </c>
      <c r="O8845">
        <f>IF('Loan Tape (S&amp;P)'!T8845="Yes",
    1.35,
    1.00)</f>
        <v/>
      </c>
      <c r="P8845">
        <f>IF('Loan Tape (S&amp;P)'!S8845="Yes",
    1.15,
    1.00)</f>
        <v/>
      </c>
      <c r="Q8845">
        <f>IF('Loan Tape (S&amp;P)'!V8845="Yes",
    1.20,
    1.00)</f>
        <v/>
      </c>
      <c r="T8845">
        <f>LET(
    payment_method,'Loan Tape (S&amp;P)'!P8845,
    occupancy,'Loan Tape (S&amp;P)'!N8845,
    maturity_date,'Loan Tape (S&amp;P)'!L8845,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46">
      <c r="J8846">
        <f>LET(
    lien,'Loan Tape (S&amp;P)'!Q8846,
    IF(lien="First",1.00,
        IF(lien="Second",1.50,
            1.70)))</f>
        <v/>
      </c>
      <c r="K8846">
        <f>LET(
    purpose,'Loan Tape (S&amp;P)'!R8846,
    IF(purpose="Purchase",1.00,
        IF(purpose="Remortgage",1.00,
            1.20)))</f>
        <v/>
      </c>
      <c r="L8846">
        <f>LET(
    arrears_months,'Loan Tape (S&amp;P)'!AN8846,
    IF(arrears_months=0,1.00,
    IF(arrears_months=1,3.00,
    IF(arrears_months=2,5.00,
    IF(arrears_months=3,8.00,
    IF(arrears_months=4,10.00,
    IF(arrears_months=5,12.00,15.00)))))))</f>
        <v/>
      </c>
      <c r="M8846">
        <f>LET(
    seasoning_years,DATEDIF('Loan Tape (S&amp;P)'!K8846,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46">
        <f>IF(AND('Loan Tape (S&amp;P)'!U8846="Yes",
        'Loan Tape (S&amp;P)'!T8846&lt;&gt;"Yes",
        DATEDIF('Loan Tape (S&amp;P)'!K8846, TODAY(), "M")&lt;18),
    1.10,
    1.00)</f>
        <v/>
      </c>
      <c r="O8846">
        <f>IF('Loan Tape (S&amp;P)'!T8846="Yes",
    1.35,
    1.00)</f>
        <v/>
      </c>
      <c r="P8846">
        <f>IF('Loan Tape (S&amp;P)'!S8846="Yes",
    1.15,
    1.00)</f>
        <v/>
      </c>
      <c r="Q8846">
        <f>IF('Loan Tape (S&amp;P)'!V8846="Yes",
    1.20,
    1.00)</f>
        <v/>
      </c>
      <c r="T8846">
        <f>LET(
    payment_method,'Loan Tape (S&amp;P)'!P8846,
    occupancy,'Loan Tape (S&amp;P)'!N8846,
    maturity_date,'Loan Tape (S&amp;P)'!L8846,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47">
      <c r="J8847">
        <f>LET(
    lien,'Loan Tape (S&amp;P)'!Q8847,
    IF(lien="First",1.00,
        IF(lien="Second",1.50,
            1.70)))</f>
        <v/>
      </c>
      <c r="K8847">
        <f>LET(
    purpose,'Loan Tape (S&amp;P)'!R8847,
    IF(purpose="Purchase",1.00,
        IF(purpose="Remortgage",1.00,
            1.20)))</f>
        <v/>
      </c>
      <c r="L8847">
        <f>LET(
    arrears_months,'Loan Tape (S&amp;P)'!AN8847,
    IF(arrears_months=0,1.00,
    IF(arrears_months=1,3.00,
    IF(arrears_months=2,5.00,
    IF(arrears_months=3,8.00,
    IF(arrears_months=4,10.00,
    IF(arrears_months=5,12.00,15.00)))))))</f>
        <v/>
      </c>
      <c r="M8847">
        <f>LET(
    seasoning_years,DATEDIF('Loan Tape (S&amp;P)'!K8847,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47">
        <f>IF(AND('Loan Tape (S&amp;P)'!U8847="Yes",
        'Loan Tape (S&amp;P)'!T8847&lt;&gt;"Yes",
        DATEDIF('Loan Tape (S&amp;P)'!K8847, TODAY(), "M")&lt;18),
    1.10,
    1.00)</f>
        <v/>
      </c>
      <c r="O8847">
        <f>IF('Loan Tape (S&amp;P)'!T8847="Yes",
    1.35,
    1.00)</f>
        <v/>
      </c>
      <c r="P8847">
        <f>IF('Loan Tape (S&amp;P)'!S8847="Yes",
    1.15,
    1.00)</f>
        <v/>
      </c>
      <c r="Q8847">
        <f>IF('Loan Tape (S&amp;P)'!V8847="Yes",
    1.20,
    1.00)</f>
        <v/>
      </c>
      <c r="T8847">
        <f>LET(
    payment_method,'Loan Tape (S&amp;P)'!P8847,
    occupancy,'Loan Tape (S&amp;P)'!N8847,
    maturity_date,'Loan Tape (S&amp;P)'!L8847,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48">
      <c r="J8848">
        <f>LET(
    lien,'Loan Tape (S&amp;P)'!Q8848,
    IF(lien="First",1.00,
        IF(lien="Second",1.50,
            1.70)))</f>
        <v/>
      </c>
      <c r="K8848">
        <f>LET(
    purpose,'Loan Tape (S&amp;P)'!R8848,
    IF(purpose="Purchase",1.00,
        IF(purpose="Remortgage",1.00,
            1.20)))</f>
        <v/>
      </c>
      <c r="L8848">
        <f>LET(
    arrears_months,'Loan Tape (S&amp;P)'!AN8848,
    IF(arrears_months=0,1.00,
    IF(arrears_months=1,3.00,
    IF(arrears_months=2,5.00,
    IF(arrears_months=3,8.00,
    IF(arrears_months=4,10.00,
    IF(arrears_months=5,12.00,15.00)))))))</f>
        <v/>
      </c>
      <c r="M8848">
        <f>LET(
    seasoning_years,DATEDIF('Loan Tape (S&amp;P)'!K8848,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48">
        <f>IF(AND('Loan Tape (S&amp;P)'!U8848="Yes",
        'Loan Tape (S&amp;P)'!T8848&lt;&gt;"Yes",
        DATEDIF('Loan Tape (S&amp;P)'!K8848, TODAY(), "M")&lt;18),
    1.10,
    1.00)</f>
        <v/>
      </c>
      <c r="O8848">
        <f>IF('Loan Tape (S&amp;P)'!T8848="Yes",
    1.35,
    1.00)</f>
        <v/>
      </c>
      <c r="P8848">
        <f>IF('Loan Tape (S&amp;P)'!S8848="Yes",
    1.15,
    1.00)</f>
        <v/>
      </c>
      <c r="Q8848">
        <f>IF('Loan Tape (S&amp;P)'!V8848="Yes",
    1.20,
    1.00)</f>
        <v/>
      </c>
      <c r="T8848">
        <f>LET(
    payment_method,'Loan Tape (S&amp;P)'!P8848,
    occupancy,'Loan Tape (S&amp;P)'!N8848,
    maturity_date,'Loan Tape (S&amp;P)'!L8848,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49">
      <c r="J8849">
        <f>LET(
    lien,'Loan Tape (S&amp;P)'!Q8849,
    IF(lien="First",1.00,
        IF(lien="Second",1.50,
            1.70)))</f>
        <v/>
      </c>
      <c r="K8849">
        <f>LET(
    purpose,'Loan Tape (S&amp;P)'!R8849,
    IF(purpose="Purchase",1.00,
        IF(purpose="Remortgage",1.00,
            1.20)))</f>
        <v/>
      </c>
      <c r="L8849">
        <f>LET(
    arrears_months,'Loan Tape (S&amp;P)'!AN8849,
    IF(arrears_months=0,1.00,
    IF(arrears_months=1,3.00,
    IF(arrears_months=2,5.00,
    IF(arrears_months=3,8.00,
    IF(arrears_months=4,10.00,
    IF(arrears_months=5,12.00,15.00)))))))</f>
        <v/>
      </c>
      <c r="M8849">
        <f>LET(
    seasoning_years,DATEDIF('Loan Tape (S&amp;P)'!K8849,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49">
        <f>IF(AND('Loan Tape (S&amp;P)'!U8849="Yes",
        'Loan Tape (S&amp;P)'!T8849&lt;&gt;"Yes",
        DATEDIF('Loan Tape (S&amp;P)'!K8849, TODAY(), "M")&lt;18),
    1.10,
    1.00)</f>
        <v/>
      </c>
      <c r="O8849">
        <f>IF('Loan Tape (S&amp;P)'!T8849="Yes",
    1.35,
    1.00)</f>
        <v/>
      </c>
      <c r="P8849">
        <f>IF('Loan Tape (S&amp;P)'!S8849="Yes",
    1.15,
    1.00)</f>
        <v/>
      </c>
      <c r="Q8849">
        <f>IF('Loan Tape (S&amp;P)'!V8849="Yes",
    1.20,
    1.00)</f>
        <v/>
      </c>
      <c r="T8849">
        <f>LET(
    payment_method,'Loan Tape (S&amp;P)'!P8849,
    occupancy,'Loan Tape (S&amp;P)'!N8849,
    maturity_date,'Loan Tape (S&amp;P)'!L8849,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50">
      <c r="J8850">
        <f>LET(
    lien,'Loan Tape (S&amp;P)'!Q8850,
    IF(lien="First",1.00,
        IF(lien="Second",1.50,
            1.70)))</f>
        <v/>
      </c>
      <c r="K8850">
        <f>LET(
    purpose,'Loan Tape (S&amp;P)'!R8850,
    IF(purpose="Purchase",1.00,
        IF(purpose="Remortgage",1.00,
            1.20)))</f>
        <v/>
      </c>
      <c r="L8850">
        <f>LET(
    arrears_months,'Loan Tape (S&amp;P)'!AN8850,
    IF(arrears_months=0,1.00,
    IF(arrears_months=1,3.00,
    IF(arrears_months=2,5.00,
    IF(arrears_months=3,8.00,
    IF(arrears_months=4,10.00,
    IF(arrears_months=5,12.00,15.00)))))))</f>
        <v/>
      </c>
      <c r="M8850">
        <f>LET(
    seasoning_years,DATEDIF('Loan Tape (S&amp;P)'!K8850,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50">
        <f>IF(AND('Loan Tape (S&amp;P)'!U8850="Yes",
        'Loan Tape (S&amp;P)'!T8850&lt;&gt;"Yes",
        DATEDIF('Loan Tape (S&amp;P)'!K8850, TODAY(), "M")&lt;18),
    1.10,
    1.00)</f>
        <v/>
      </c>
      <c r="O8850">
        <f>IF('Loan Tape (S&amp;P)'!T8850="Yes",
    1.35,
    1.00)</f>
        <v/>
      </c>
      <c r="P8850">
        <f>IF('Loan Tape (S&amp;P)'!S8850="Yes",
    1.15,
    1.00)</f>
        <v/>
      </c>
      <c r="Q8850">
        <f>IF('Loan Tape (S&amp;P)'!V8850="Yes",
    1.20,
    1.00)</f>
        <v/>
      </c>
      <c r="T8850">
        <f>LET(
    payment_method,'Loan Tape (S&amp;P)'!P8850,
    occupancy,'Loan Tape (S&amp;P)'!N8850,
    maturity_date,'Loan Tape (S&amp;P)'!L8850,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51">
      <c r="J8851">
        <f>LET(
    lien,'Loan Tape (S&amp;P)'!Q8851,
    IF(lien="First",1.00,
        IF(lien="Second",1.50,
            1.70)))</f>
        <v/>
      </c>
      <c r="K8851">
        <f>LET(
    purpose,'Loan Tape (S&amp;P)'!R8851,
    IF(purpose="Purchase",1.00,
        IF(purpose="Remortgage",1.00,
            1.20)))</f>
        <v/>
      </c>
      <c r="L8851">
        <f>LET(
    arrears_months,'Loan Tape (S&amp;P)'!AN8851,
    IF(arrears_months=0,1.00,
    IF(arrears_months=1,3.00,
    IF(arrears_months=2,5.00,
    IF(arrears_months=3,8.00,
    IF(arrears_months=4,10.00,
    IF(arrears_months=5,12.00,15.00)))))))</f>
        <v/>
      </c>
      <c r="M8851">
        <f>LET(
    seasoning_years,DATEDIF('Loan Tape (S&amp;P)'!K8851,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51">
        <f>IF(AND('Loan Tape (S&amp;P)'!U8851="Yes",
        'Loan Tape (S&amp;P)'!T8851&lt;&gt;"Yes",
        DATEDIF('Loan Tape (S&amp;P)'!K8851, TODAY(), "M")&lt;18),
    1.10,
    1.00)</f>
        <v/>
      </c>
      <c r="O8851">
        <f>IF('Loan Tape (S&amp;P)'!T8851="Yes",
    1.35,
    1.00)</f>
        <v/>
      </c>
      <c r="P8851">
        <f>IF('Loan Tape (S&amp;P)'!S8851="Yes",
    1.15,
    1.00)</f>
        <v/>
      </c>
      <c r="Q8851">
        <f>IF('Loan Tape (S&amp;P)'!V8851="Yes",
    1.20,
    1.00)</f>
        <v/>
      </c>
      <c r="T8851">
        <f>LET(
    payment_method,'Loan Tape (S&amp;P)'!P8851,
    occupancy,'Loan Tape (S&amp;P)'!N8851,
    maturity_date,'Loan Tape (S&amp;P)'!L8851,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52">
      <c r="J8852">
        <f>LET(
    lien,'Loan Tape (S&amp;P)'!Q8852,
    IF(lien="First",1.00,
        IF(lien="Second",1.50,
            1.70)))</f>
        <v/>
      </c>
      <c r="K8852">
        <f>LET(
    purpose,'Loan Tape (S&amp;P)'!R8852,
    IF(purpose="Purchase",1.00,
        IF(purpose="Remortgage",1.00,
            1.20)))</f>
        <v/>
      </c>
      <c r="L8852">
        <f>LET(
    arrears_months,'Loan Tape (S&amp;P)'!AN8852,
    IF(arrears_months=0,1.00,
    IF(arrears_months=1,3.00,
    IF(arrears_months=2,5.00,
    IF(arrears_months=3,8.00,
    IF(arrears_months=4,10.00,
    IF(arrears_months=5,12.00,15.00)))))))</f>
        <v/>
      </c>
      <c r="M8852">
        <f>LET(
    seasoning_years,DATEDIF('Loan Tape (S&amp;P)'!K8852,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52">
        <f>IF(AND('Loan Tape (S&amp;P)'!U8852="Yes",
        'Loan Tape (S&amp;P)'!T8852&lt;&gt;"Yes",
        DATEDIF('Loan Tape (S&amp;P)'!K8852, TODAY(), "M")&lt;18),
    1.10,
    1.00)</f>
        <v/>
      </c>
      <c r="O8852">
        <f>IF('Loan Tape (S&amp;P)'!T8852="Yes",
    1.35,
    1.00)</f>
        <v/>
      </c>
      <c r="P8852">
        <f>IF('Loan Tape (S&amp;P)'!S8852="Yes",
    1.15,
    1.00)</f>
        <v/>
      </c>
      <c r="Q8852">
        <f>IF('Loan Tape (S&amp;P)'!V8852="Yes",
    1.20,
    1.00)</f>
        <v/>
      </c>
      <c r="T8852">
        <f>LET(
    payment_method,'Loan Tape (S&amp;P)'!P8852,
    occupancy,'Loan Tape (S&amp;P)'!N8852,
    maturity_date,'Loan Tape (S&amp;P)'!L8852,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53">
      <c r="J8853">
        <f>LET(
    lien,'Loan Tape (S&amp;P)'!Q8853,
    IF(lien="First",1.00,
        IF(lien="Second",1.50,
            1.70)))</f>
        <v/>
      </c>
      <c r="K8853">
        <f>LET(
    purpose,'Loan Tape (S&amp;P)'!R8853,
    IF(purpose="Purchase",1.00,
        IF(purpose="Remortgage",1.00,
            1.20)))</f>
        <v/>
      </c>
      <c r="L8853">
        <f>LET(
    arrears_months,'Loan Tape (S&amp;P)'!AN8853,
    IF(arrears_months=0,1.00,
    IF(arrears_months=1,3.00,
    IF(arrears_months=2,5.00,
    IF(arrears_months=3,8.00,
    IF(arrears_months=4,10.00,
    IF(arrears_months=5,12.00,15.00)))))))</f>
        <v/>
      </c>
      <c r="M8853">
        <f>LET(
    seasoning_years,DATEDIF('Loan Tape (S&amp;P)'!K8853,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53">
        <f>IF(AND('Loan Tape (S&amp;P)'!U8853="Yes",
        'Loan Tape (S&amp;P)'!T8853&lt;&gt;"Yes",
        DATEDIF('Loan Tape (S&amp;P)'!K8853, TODAY(), "M")&lt;18),
    1.10,
    1.00)</f>
        <v/>
      </c>
      <c r="O8853">
        <f>IF('Loan Tape (S&amp;P)'!T8853="Yes",
    1.35,
    1.00)</f>
        <v/>
      </c>
      <c r="P8853">
        <f>IF('Loan Tape (S&amp;P)'!S8853="Yes",
    1.15,
    1.00)</f>
        <v/>
      </c>
      <c r="Q8853">
        <f>IF('Loan Tape (S&amp;P)'!V8853="Yes",
    1.20,
    1.00)</f>
        <v/>
      </c>
      <c r="T8853">
        <f>LET(
    payment_method,'Loan Tape (S&amp;P)'!P8853,
    occupancy,'Loan Tape (S&amp;P)'!N8853,
    maturity_date,'Loan Tape (S&amp;P)'!L8853,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54">
      <c r="J8854">
        <f>LET(
    lien,'Loan Tape (S&amp;P)'!Q8854,
    IF(lien="First",1.00,
        IF(lien="Second",1.50,
            1.70)))</f>
        <v/>
      </c>
      <c r="K8854">
        <f>LET(
    purpose,'Loan Tape (S&amp;P)'!R8854,
    IF(purpose="Purchase",1.00,
        IF(purpose="Remortgage",1.00,
            1.20)))</f>
        <v/>
      </c>
      <c r="L8854">
        <f>LET(
    arrears_months,'Loan Tape (S&amp;P)'!AN8854,
    IF(arrears_months=0,1.00,
    IF(arrears_months=1,3.00,
    IF(arrears_months=2,5.00,
    IF(arrears_months=3,8.00,
    IF(arrears_months=4,10.00,
    IF(arrears_months=5,12.00,15.00)))))))</f>
        <v/>
      </c>
      <c r="M8854">
        <f>LET(
    seasoning_years,DATEDIF('Loan Tape (S&amp;P)'!K8854,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54">
        <f>IF(AND('Loan Tape (S&amp;P)'!U8854="Yes",
        'Loan Tape (S&amp;P)'!T8854&lt;&gt;"Yes",
        DATEDIF('Loan Tape (S&amp;P)'!K8854, TODAY(), "M")&lt;18),
    1.10,
    1.00)</f>
        <v/>
      </c>
      <c r="O8854">
        <f>IF('Loan Tape (S&amp;P)'!T8854="Yes",
    1.35,
    1.00)</f>
        <v/>
      </c>
      <c r="P8854">
        <f>IF('Loan Tape (S&amp;P)'!S8854="Yes",
    1.15,
    1.00)</f>
        <v/>
      </c>
      <c r="Q8854">
        <f>IF('Loan Tape (S&amp;P)'!V8854="Yes",
    1.20,
    1.00)</f>
        <v/>
      </c>
      <c r="T8854">
        <f>LET(
    payment_method,'Loan Tape (S&amp;P)'!P8854,
    occupancy,'Loan Tape (S&amp;P)'!N8854,
    maturity_date,'Loan Tape (S&amp;P)'!L8854,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55">
      <c r="J8855">
        <f>LET(
    lien,'Loan Tape (S&amp;P)'!Q8855,
    IF(lien="First",1.00,
        IF(lien="Second",1.50,
            1.70)))</f>
        <v/>
      </c>
      <c r="K8855">
        <f>LET(
    purpose,'Loan Tape (S&amp;P)'!R8855,
    IF(purpose="Purchase",1.00,
        IF(purpose="Remortgage",1.00,
            1.20)))</f>
        <v/>
      </c>
      <c r="L8855">
        <f>LET(
    arrears_months,'Loan Tape (S&amp;P)'!AN8855,
    IF(arrears_months=0,1.00,
    IF(arrears_months=1,3.00,
    IF(arrears_months=2,5.00,
    IF(arrears_months=3,8.00,
    IF(arrears_months=4,10.00,
    IF(arrears_months=5,12.00,15.00)))))))</f>
        <v/>
      </c>
      <c r="M8855">
        <f>LET(
    seasoning_years,DATEDIF('Loan Tape (S&amp;P)'!K8855,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55">
        <f>IF(AND('Loan Tape (S&amp;P)'!U8855="Yes",
        'Loan Tape (S&amp;P)'!T8855&lt;&gt;"Yes",
        DATEDIF('Loan Tape (S&amp;P)'!K8855, TODAY(), "M")&lt;18),
    1.10,
    1.00)</f>
        <v/>
      </c>
      <c r="O8855">
        <f>IF('Loan Tape (S&amp;P)'!T8855="Yes",
    1.35,
    1.00)</f>
        <v/>
      </c>
      <c r="P8855">
        <f>IF('Loan Tape (S&amp;P)'!S8855="Yes",
    1.15,
    1.00)</f>
        <v/>
      </c>
      <c r="Q8855">
        <f>IF('Loan Tape (S&amp;P)'!V8855="Yes",
    1.20,
    1.00)</f>
        <v/>
      </c>
      <c r="T8855">
        <f>LET(
    payment_method,'Loan Tape (S&amp;P)'!P8855,
    occupancy,'Loan Tape (S&amp;P)'!N8855,
    maturity_date,'Loan Tape (S&amp;P)'!L8855,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56">
      <c r="J8856">
        <f>LET(
    lien,'Loan Tape (S&amp;P)'!Q8856,
    IF(lien="First",1.00,
        IF(lien="Second",1.50,
            1.70)))</f>
        <v/>
      </c>
      <c r="K8856">
        <f>LET(
    purpose,'Loan Tape (S&amp;P)'!R8856,
    IF(purpose="Purchase",1.00,
        IF(purpose="Remortgage",1.00,
            1.20)))</f>
        <v/>
      </c>
      <c r="L8856">
        <f>LET(
    arrears_months,'Loan Tape (S&amp;P)'!AN8856,
    IF(arrears_months=0,1.00,
    IF(arrears_months=1,3.00,
    IF(arrears_months=2,5.00,
    IF(arrears_months=3,8.00,
    IF(arrears_months=4,10.00,
    IF(arrears_months=5,12.00,15.00)))))))</f>
        <v/>
      </c>
      <c r="M8856">
        <f>LET(
    seasoning_years,DATEDIF('Loan Tape (S&amp;P)'!K8856,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56">
        <f>IF(AND('Loan Tape (S&amp;P)'!U8856="Yes",
        'Loan Tape (S&amp;P)'!T8856&lt;&gt;"Yes",
        DATEDIF('Loan Tape (S&amp;P)'!K8856, TODAY(), "M")&lt;18),
    1.10,
    1.00)</f>
        <v/>
      </c>
      <c r="O8856">
        <f>IF('Loan Tape (S&amp;P)'!T8856="Yes",
    1.35,
    1.00)</f>
        <v/>
      </c>
      <c r="P8856">
        <f>IF('Loan Tape (S&amp;P)'!S8856="Yes",
    1.15,
    1.00)</f>
        <v/>
      </c>
      <c r="Q8856">
        <f>IF('Loan Tape (S&amp;P)'!V8856="Yes",
    1.20,
    1.00)</f>
        <v/>
      </c>
      <c r="T8856">
        <f>LET(
    payment_method,'Loan Tape (S&amp;P)'!P8856,
    occupancy,'Loan Tape (S&amp;P)'!N8856,
    maturity_date,'Loan Tape (S&amp;P)'!L8856,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57">
      <c r="J8857">
        <f>LET(
    lien,'Loan Tape (S&amp;P)'!Q8857,
    IF(lien="First",1.00,
        IF(lien="Second",1.50,
            1.70)))</f>
        <v/>
      </c>
      <c r="K8857">
        <f>LET(
    purpose,'Loan Tape (S&amp;P)'!R8857,
    IF(purpose="Purchase",1.00,
        IF(purpose="Remortgage",1.00,
            1.20)))</f>
        <v/>
      </c>
      <c r="L8857">
        <f>LET(
    arrears_months,'Loan Tape (S&amp;P)'!AN8857,
    IF(arrears_months=0,1.00,
    IF(arrears_months=1,3.00,
    IF(arrears_months=2,5.00,
    IF(arrears_months=3,8.00,
    IF(arrears_months=4,10.00,
    IF(arrears_months=5,12.00,15.00)))))))</f>
        <v/>
      </c>
      <c r="M8857">
        <f>LET(
    seasoning_years,DATEDIF('Loan Tape (S&amp;P)'!K8857,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57">
        <f>IF(AND('Loan Tape (S&amp;P)'!U8857="Yes",
        'Loan Tape (S&amp;P)'!T8857&lt;&gt;"Yes",
        DATEDIF('Loan Tape (S&amp;P)'!K8857, TODAY(), "M")&lt;18),
    1.10,
    1.00)</f>
        <v/>
      </c>
      <c r="O8857">
        <f>IF('Loan Tape (S&amp;P)'!T8857="Yes",
    1.35,
    1.00)</f>
        <v/>
      </c>
      <c r="P8857">
        <f>IF('Loan Tape (S&amp;P)'!S8857="Yes",
    1.15,
    1.00)</f>
        <v/>
      </c>
      <c r="Q8857">
        <f>IF('Loan Tape (S&amp;P)'!V8857="Yes",
    1.20,
    1.00)</f>
        <v/>
      </c>
      <c r="T8857">
        <f>LET(
    payment_method,'Loan Tape (S&amp;P)'!P8857,
    occupancy,'Loan Tape (S&amp;P)'!N8857,
    maturity_date,'Loan Tape (S&amp;P)'!L8857,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58">
      <c r="J8858">
        <f>LET(
    lien,'Loan Tape (S&amp;P)'!Q8858,
    IF(lien="First",1.00,
        IF(lien="Second",1.50,
            1.70)))</f>
        <v/>
      </c>
      <c r="K8858">
        <f>LET(
    purpose,'Loan Tape (S&amp;P)'!R8858,
    IF(purpose="Purchase",1.00,
        IF(purpose="Remortgage",1.00,
            1.20)))</f>
        <v/>
      </c>
      <c r="L8858">
        <f>LET(
    arrears_months,'Loan Tape (S&amp;P)'!AN8858,
    IF(arrears_months=0,1.00,
    IF(arrears_months=1,3.00,
    IF(arrears_months=2,5.00,
    IF(arrears_months=3,8.00,
    IF(arrears_months=4,10.00,
    IF(arrears_months=5,12.00,15.00)))))))</f>
        <v/>
      </c>
      <c r="M8858">
        <f>LET(
    seasoning_years,DATEDIF('Loan Tape (S&amp;P)'!K8858,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58">
        <f>IF(AND('Loan Tape (S&amp;P)'!U8858="Yes",
        'Loan Tape (S&amp;P)'!T8858&lt;&gt;"Yes",
        DATEDIF('Loan Tape (S&amp;P)'!K8858, TODAY(), "M")&lt;18),
    1.10,
    1.00)</f>
        <v/>
      </c>
      <c r="O8858">
        <f>IF('Loan Tape (S&amp;P)'!T8858="Yes",
    1.35,
    1.00)</f>
        <v/>
      </c>
      <c r="P8858">
        <f>IF('Loan Tape (S&amp;P)'!S8858="Yes",
    1.15,
    1.00)</f>
        <v/>
      </c>
      <c r="Q8858">
        <f>IF('Loan Tape (S&amp;P)'!V8858="Yes",
    1.20,
    1.00)</f>
        <v/>
      </c>
      <c r="T8858">
        <f>LET(
    payment_method,'Loan Tape (S&amp;P)'!P8858,
    occupancy,'Loan Tape (S&amp;P)'!N8858,
    maturity_date,'Loan Tape (S&amp;P)'!L8858,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59">
      <c r="J8859">
        <f>LET(
    lien,'Loan Tape (S&amp;P)'!Q8859,
    IF(lien="First",1.00,
        IF(lien="Second",1.50,
            1.70)))</f>
        <v/>
      </c>
      <c r="K8859">
        <f>LET(
    purpose,'Loan Tape (S&amp;P)'!R8859,
    IF(purpose="Purchase",1.00,
        IF(purpose="Remortgage",1.00,
            1.20)))</f>
        <v/>
      </c>
      <c r="L8859">
        <f>LET(
    arrears_months,'Loan Tape (S&amp;P)'!AN8859,
    IF(arrears_months=0,1.00,
    IF(arrears_months=1,3.00,
    IF(arrears_months=2,5.00,
    IF(arrears_months=3,8.00,
    IF(arrears_months=4,10.00,
    IF(arrears_months=5,12.00,15.00)))))))</f>
        <v/>
      </c>
      <c r="M8859">
        <f>LET(
    seasoning_years,DATEDIF('Loan Tape (S&amp;P)'!K8859,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59">
        <f>IF(AND('Loan Tape (S&amp;P)'!U8859="Yes",
        'Loan Tape (S&amp;P)'!T8859&lt;&gt;"Yes",
        DATEDIF('Loan Tape (S&amp;P)'!K8859, TODAY(), "M")&lt;18),
    1.10,
    1.00)</f>
        <v/>
      </c>
      <c r="O8859">
        <f>IF('Loan Tape (S&amp;P)'!T8859="Yes",
    1.35,
    1.00)</f>
        <v/>
      </c>
      <c r="P8859">
        <f>IF('Loan Tape (S&amp;P)'!S8859="Yes",
    1.15,
    1.00)</f>
        <v/>
      </c>
      <c r="Q8859">
        <f>IF('Loan Tape (S&amp;P)'!V8859="Yes",
    1.20,
    1.00)</f>
        <v/>
      </c>
      <c r="T8859">
        <f>LET(
    payment_method,'Loan Tape (S&amp;P)'!P8859,
    occupancy,'Loan Tape (S&amp;P)'!N8859,
    maturity_date,'Loan Tape (S&amp;P)'!L8859,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60">
      <c r="J8860">
        <f>LET(
    lien,'Loan Tape (S&amp;P)'!Q8860,
    IF(lien="First",1.00,
        IF(lien="Second",1.50,
            1.70)))</f>
        <v/>
      </c>
      <c r="K8860">
        <f>LET(
    purpose,'Loan Tape (S&amp;P)'!R8860,
    IF(purpose="Purchase",1.00,
        IF(purpose="Remortgage",1.00,
            1.20)))</f>
        <v/>
      </c>
      <c r="L8860">
        <f>LET(
    arrears_months,'Loan Tape (S&amp;P)'!AN8860,
    IF(arrears_months=0,1.00,
    IF(arrears_months=1,3.00,
    IF(arrears_months=2,5.00,
    IF(arrears_months=3,8.00,
    IF(arrears_months=4,10.00,
    IF(arrears_months=5,12.00,15.00)))))))</f>
        <v/>
      </c>
      <c r="M8860">
        <f>LET(
    seasoning_years,DATEDIF('Loan Tape (S&amp;P)'!K8860,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60">
        <f>IF(AND('Loan Tape (S&amp;P)'!U8860="Yes",
        'Loan Tape (S&amp;P)'!T8860&lt;&gt;"Yes",
        DATEDIF('Loan Tape (S&amp;P)'!K8860, TODAY(), "M")&lt;18),
    1.10,
    1.00)</f>
        <v/>
      </c>
      <c r="O8860">
        <f>IF('Loan Tape (S&amp;P)'!T8860="Yes",
    1.35,
    1.00)</f>
        <v/>
      </c>
      <c r="P8860">
        <f>IF('Loan Tape (S&amp;P)'!S8860="Yes",
    1.15,
    1.00)</f>
        <v/>
      </c>
      <c r="Q8860">
        <f>IF('Loan Tape (S&amp;P)'!V8860="Yes",
    1.20,
    1.00)</f>
        <v/>
      </c>
      <c r="T8860">
        <f>LET(
    payment_method,'Loan Tape (S&amp;P)'!P8860,
    occupancy,'Loan Tape (S&amp;P)'!N8860,
    maturity_date,'Loan Tape (S&amp;P)'!L8860,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61">
      <c r="J8861">
        <f>LET(
    lien,'Loan Tape (S&amp;P)'!Q8861,
    IF(lien="First",1.00,
        IF(lien="Second",1.50,
            1.70)))</f>
        <v/>
      </c>
      <c r="K8861">
        <f>LET(
    purpose,'Loan Tape (S&amp;P)'!R8861,
    IF(purpose="Purchase",1.00,
        IF(purpose="Remortgage",1.00,
            1.20)))</f>
        <v/>
      </c>
      <c r="L8861">
        <f>LET(
    arrears_months,'Loan Tape (S&amp;P)'!AN8861,
    IF(arrears_months=0,1.00,
    IF(arrears_months=1,3.00,
    IF(arrears_months=2,5.00,
    IF(arrears_months=3,8.00,
    IF(arrears_months=4,10.00,
    IF(arrears_months=5,12.00,15.00)))))))</f>
        <v/>
      </c>
      <c r="M8861">
        <f>LET(
    seasoning_years,DATEDIF('Loan Tape (S&amp;P)'!K8861,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61">
        <f>IF(AND('Loan Tape (S&amp;P)'!U8861="Yes",
        'Loan Tape (S&amp;P)'!T8861&lt;&gt;"Yes",
        DATEDIF('Loan Tape (S&amp;P)'!K8861, TODAY(), "M")&lt;18),
    1.10,
    1.00)</f>
        <v/>
      </c>
      <c r="O8861">
        <f>IF('Loan Tape (S&amp;P)'!T8861="Yes",
    1.35,
    1.00)</f>
        <v/>
      </c>
      <c r="P8861">
        <f>IF('Loan Tape (S&amp;P)'!S8861="Yes",
    1.15,
    1.00)</f>
        <v/>
      </c>
      <c r="Q8861">
        <f>IF('Loan Tape (S&amp;P)'!V8861="Yes",
    1.20,
    1.00)</f>
        <v/>
      </c>
      <c r="T8861">
        <f>LET(
    payment_method,'Loan Tape (S&amp;P)'!P8861,
    occupancy,'Loan Tape (S&amp;P)'!N8861,
    maturity_date,'Loan Tape (S&amp;P)'!L8861,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62">
      <c r="J8862">
        <f>LET(
    lien,'Loan Tape (S&amp;P)'!Q8862,
    IF(lien="First",1.00,
        IF(lien="Second",1.50,
            1.70)))</f>
        <v/>
      </c>
      <c r="K8862">
        <f>LET(
    purpose,'Loan Tape (S&amp;P)'!R8862,
    IF(purpose="Purchase",1.00,
        IF(purpose="Remortgage",1.00,
            1.20)))</f>
        <v/>
      </c>
      <c r="L8862">
        <f>LET(
    arrears_months,'Loan Tape (S&amp;P)'!AN8862,
    IF(arrears_months=0,1.00,
    IF(arrears_months=1,3.00,
    IF(arrears_months=2,5.00,
    IF(arrears_months=3,8.00,
    IF(arrears_months=4,10.00,
    IF(arrears_months=5,12.00,15.00)))))))</f>
        <v/>
      </c>
      <c r="M8862">
        <f>LET(
    seasoning_years,DATEDIF('Loan Tape (S&amp;P)'!K8862,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62">
        <f>IF(AND('Loan Tape (S&amp;P)'!U8862="Yes",
        'Loan Tape (S&amp;P)'!T8862&lt;&gt;"Yes",
        DATEDIF('Loan Tape (S&amp;P)'!K8862, TODAY(), "M")&lt;18),
    1.10,
    1.00)</f>
        <v/>
      </c>
      <c r="O8862">
        <f>IF('Loan Tape (S&amp;P)'!T8862="Yes",
    1.35,
    1.00)</f>
        <v/>
      </c>
      <c r="P8862">
        <f>IF('Loan Tape (S&amp;P)'!S8862="Yes",
    1.15,
    1.00)</f>
        <v/>
      </c>
      <c r="Q8862">
        <f>IF('Loan Tape (S&amp;P)'!V8862="Yes",
    1.20,
    1.00)</f>
        <v/>
      </c>
      <c r="T8862">
        <f>LET(
    payment_method,'Loan Tape (S&amp;P)'!P8862,
    occupancy,'Loan Tape (S&amp;P)'!N8862,
    maturity_date,'Loan Tape (S&amp;P)'!L8862,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63">
      <c r="J8863">
        <f>LET(
    lien,'Loan Tape (S&amp;P)'!Q8863,
    IF(lien="First",1.00,
        IF(lien="Second",1.50,
            1.70)))</f>
        <v/>
      </c>
      <c r="K8863">
        <f>LET(
    purpose,'Loan Tape (S&amp;P)'!R8863,
    IF(purpose="Purchase",1.00,
        IF(purpose="Remortgage",1.00,
            1.20)))</f>
        <v/>
      </c>
      <c r="L8863">
        <f>LET(
    arrears_months,'Loan Tape (S&amp;P)'!AN8863,
    IF(arrears_months=0,1.00,
    IF(arrears_months=1,3.00,
    IF(arrears_months=2,5.00,
    IF(arrears_months=3,8.00,
    IF(arrears_months=4,10.00,
    IF(arrears_months=5,12.00,15.00)))))))</f>
        <v/>
      </c>
      <c r="M8863">
        <f>LET(
    seasoning_years,DATEDIF('Loan Tape (S&amp;P)'!K8863,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63">
        <f>IF(AND('Loan Tape (S&amp;P)'!U8863="Yes",
        'Loan Tape (S&amp;P)'!T8863&lt;&gt;"Yes",
        DATEDIF('Loan Tape (S&amp;P)'!K8863, TODAY(), "M")&lt;18),
    1.10,
    1.00)</f>
        <v/>
      </c>
      <c r="O8863">
        <f>IF('Loan Tape (S&amp;P)'!T8863="Yes",
    1.35,
    1.00)</f>
        <v/>
      </c>
      <c r="P8863">
        <f>IF('Loan Tape (S&amp;P)'!S8863="Yes",
    1.15,
    1.00)</f>
        <v/>
      </c>
      <c r="Q8863">
        <f>IF('Loan Tape (S&amp;P)'!V8863="Yes",
    1.20,
    1.00)</f>
        <v/>
      </c>
      <c r="T8863">
        <f>LET(
    payment_method,'Loan Tape (S&amp;P)'!P8863,
    occupancy,'Loan Tape (S&amp;P)'!N8863,
    maturity_date,'Loan Tape (S&amp;P)'!L8863,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64">
      <c r="J8864">
        <f>LET(
    lien,'Loan Tape (S&amp;P)'!Q8864,
    IF(lien="First",1.00,
        IF(lien="Second",1.50,
            1.70)))</f>
        <v/>
      </c>
      <c r="K8864">
        <f>LET(
    purpose,'Loan Tape (S&amp;P)'!R8864,
    IF(purpose="Purchase",1.00,
        IF(purpose="Remortgage",1.00,
            1.20)))</f>
        <v/>
      </c>
      <c r="L8864">
        <f>LET(
    arrears_months,'Loan Tape (S&amp;P)'!AN8864,
    IF(arrears_months=0,1.00,
    IF(arrears_months=1,3.00,
    IF(arrears_months=2,5.00,
    IF(arrears_months=3,8.00,
    IF(arrears_months=4,10.00,
    IF(arrears_months=5,12.00,15.00)))))))</f>
        <v/>
      </c>
      <c r="M8864">
        <f>LET(
    seasoning_years,DATEDIF('Loan Tape (S&amp;P)'!K8864,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64">
        <f>IF(AND('Loan Tape (S&amp;P)'!U8864="Yes",
        'Loan Tape (S&amp;P)'!T8864&lt;&gt;"Yes",
        DATEDIF('Loan Tape (S&amp;P)'!K8864, TODAY(), "M")&lt;18),
    1.10,
    1.00)</f>
        <v/>
      </c>
      <c r="O8864">
        <f>IF('Loan Tape (S&amp;P)'!T8864="Yes",
    1.35,
    1.00)</f>
        <v/>
      </c>
      <c r="P8864">
        <f>IF('Loan Tape (S&amp;P)'!S8864="Yes",
    1.15,
    1.00)</f>
        <v/>
      </c>
      <c r="Q8864">
        <f>IF('Loan Tape (S&amp;P)'!V8864="Yes",
    1.20,
    1.00)</f>
        <v/>
      </c>
      <c r="T8864">
        <f>LET(
    payment_method,'Loan Tape (S&amp;P)'!P8864,
    occupancy,'Loan Tape (S&amp;P)'!N8864,
    maturity_date,'Loan Tape (S&amp;P)'!L8864,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65">
      <c r="J8865">
        <f>LET(
    lien,'Loan Tape (S&amp;P)'!Q8865,
    IF(lien="First",1.00,
        IF(lien="Second",1.50,
            1.70)))</f>
        <v/>
      </c>
      <c r="K8865">
        <f>LET(
    purpose,'Loan Tape (S&amp;P)'!R8865,
    IF(purpose="Purchase",1.00,
        IF(purpose="Remortgage",1.00,
            1.20)))</f>
        <v/>
      </c>
      <c r="L8865">
        <f>LET(
    arrears_months,'Loan Tape (S&amp;P)'!AN8865,
    IF(arrears_months=0,1.00,
    IF(arrears_months=1,3.00,
    IF(arrears_months=2,5.00,
    IF(arrears_months=3,8.00,
    IF(arrears_months=4,10.00,
    IF(arrears_months=5,12.00,15.00)))))))</f>
        <v/>
      </c>
      <c r="M8865">
        <f>LET(
    seasoning_years,DATEDIF('Loan Tape (S&amp;P)'!K8865,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65">
        <f>IF(AND('Loan Tape (S&amp;P)'!U8865="Yes",
        'Loan Tape (S&amp;P)'!T8865&lt;&gt;"Yes",
        DATEDIF('Loan Tape (S&amp;P)'!K8865, TODAY(), "M")&lt;18),
    1.10,
    1.00)</f>
        <v/>
      </c>
      <c r="O8865">
        <f>IF('Loan Tape (S&amp;P)'!T8865="Yes",
    1.35,
    1.00)</f>
        <v/>
      </c>
      <c r="P8865">
        <f>IF('Loan Tape (S&amp;P)'!S8865="Yes",
    1.15,
    1.00)</f>
        <v/>
      </c>
      <c r="Q8865">
        <f>IF('Loan Tape (S&amp;P)'!V8865="Yes",
    1.20,
    1.00)</f>
        <v/>
      </c>
      <c r="T8865">
        <f>LET(
    payment_method,'Loan Tape (S&amp;P)'!P8865,
    occupancy,'Loan Tape (S&amp;P)'!N8865,
    maturity_date,'Loan Tape (S&amp;P)'!L8865,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66">
      <c r="J8866">
        <f>LET(
    lien,'Loan Tape (S&amp;P)'!Q8866,
    IF(lien="First",1.00,
        IF(lien="Second",1.50,
            1.70)))</f>
        <v/>
      </c>
      <c r="K8866">
        <f>LET(
    purpose,'Loan Tape (S&amp;P)'!R8866,
    IF(purpose="Purchase",1.00,
        IF(purpose="Remortgage",1.00,
            1.20)))</f>
        <v/>
      </c>
      <c r="L8866">
        <f>LET(
    arrears_months,'Loan Tape (S&amp;P)'!AN8866,
    IF(arrears_months=0,1.00,
    IF(arrears_months=1,3.00,
    IF(arrears_months=2,5.00,
    IF(arrears_months=3,8.00,
    IF(arrears_months=4,10.00,
    IF(arrears_months=5,12.00,15.00)))))))</f>
        <v/>
      </c>
      <c r="M8866">
        <f>LET(
    seasoning_years,DATEDIF('Loan Tape (S&amp;P)'!K8866,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66">
        <f>IF(AND('Loan Tape (S&amp;P)'!U8866="Yes",
        'Loan Tape (S&amp;P)'!T8866&lt;&gt;"Yes",
        DATEDIF('Loan Tape (S&amp;P)'!K8866, TODAY(), "M")&lt;18),
    1.10,
    1.00)</f>
        <v/>
      </c>
      <c r="O8866">
        <f>IF('Loan Tape (S&amp;P)'!T8866="Yes",
    1.35,
    1.00)</f>
        <v/>
      </c>
      <c r="P8866">
        <f>IF('Loan Tape (S&amp;P)'!S8866="Yes",
    1.15,
    1.00)</f>
        <v/>
      </c>
      <c r="Q8866">
        <f>IF('Loan Tape (S&amp;P)'!V8866="Yes",
    1.20,
    1.00)</f>
        <v/>
      </c>
      <c r="T8866">
        <f>LET(
    payment_method,'Loan Tape (S&amp;P)'!P8866,
    occupancy,'Loan Tape (S&amp;P)'!N8866,
    maturity_date,'Loan Tape (S&amp;P)'!L8866,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67">
      <c r="J8867">
        <f>LET(
    lien,'Loan Tape (S&amp;P)'!Q8867,
    IF(lien="First",1.00,
        IF(lien="Second",1.50,
            1.70)))</f>
        <v/>
      </c>
      <c r="K8867">
        <f>LET(
    purpose,'Loan Tape (S&amp;P)'!R8867,
    IF(purpose="Purchase",1.00,
        IF(purpose="Remortgage",1.00,
            1.20)))</f>
        <v/>
      </c>
      <c r="L8867">
        <f>LET(
    arrears_months,'Loan Tape (S&amp;P)'!AN8867,
    IF(arrears_months=0,1.00,
    IF(arrears_months=1,3.00,
    IF(arrears_months=2,5.00,
    IF(arrears_months=3,8.00,
    IF(arrears_months=4,10.00,
    IF(arrears_months=5,12.00,15.00)))))))</f>
        <v/>
      </c>
      <c r="M8867">
        <f>LET(
    seasoning_years,DATEDIF('Loan Tape (S&amp;P)'!K8867,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67">
        <f>IF(AND('Loan Tape (S&amp;P)'!U8867="Yes",
        'Loan Tape (S&amp;P)'!T8867&lt;&gt;"Yes",
        DATEDIF('Loan Tape (S&amp;P)'!K8867, TODAY(), "M")&lt;18),
    1.10,
    1.00)</f>
        <v/>
      </c>
      <c r="O8867">
        <f>IF('Loan Tape (S&amp;P)'!T8867="Yes",
    1.35,
    1.00)</f>
        <v/>
      </c>
      <c r="P8867">
        <f>IF('Loan Tape (S&amp;P)'!S8867="Yes",
    1.15,
    1.00)</f>
        <v/>
      </c>
      <c r="Q8867">
        <f>IF('Loan Tape (S&amp;P)'!V8867="Yes",
    1.20,
    1.00)</f>
        <v/>
      </c>
      <c r="T8867">
        <f>LET(
    payment_method,'Loan Tape (S&amp;P)'!P8867,
    occupancy,'Loan Tape (S&amp;P)'!N8867,
    maturity_date,'Loan Tape (S&amp;P)'!L8867,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68">
      <c r="J8868">
        <f>LET(
    lien,'Loan Tape (S&amp;P)'!Q8868,
    IF(lien="First",1.00,
        IF(lien="Second",1.50,
            1.70)))</f>
        <v/>
      </c>
      <c r="K8868">
        <f>LET(
    purpose,'Loan Tape (S&amp;P)'!R8868,
    IF(purpose="Purchase",1.00,
        IF(purpose="Remortgage",1.00,
            1.20)))</f>
        <v/>
      </c>
      <c r="L8868">
        <f>LET(
    arrears_months,'Loan Tape (S&amp;P)'!AN8868,
    IF(arrears_months=0,1.00,
    IF(arrears_months=1,3.00,
    IF(arrears_months=2,5.00,
    IF(arrears_months=3,8.00,
    IF(arrears_months=4,10.00,
    IF(arrears_months=5,12.00,15.00)))))))</f>
        <v/>
      </c>
      <c r="M8868">
        <f>LET(
    seasoning_years,DATEDIF('Loan Tape (S&amp;P)'!K8868,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68">
        <f>IF(AND('Loan Tape (S&amp;P)'!U8868="Yes",
        'Loan Tape (S&amp;P)'!T8868&lt;&gt;"Yes",
        DATEDIF('Loan Tape (S&amp;P)'!K8868, TODAY(), "M")&lt;18),
    1.10,
    1.00)</f>
        <v/>
      </c>
      <c r="O8868">
        <f>IF('Loan Tape (S&amp;P)'!T8868="Yes",
    1.35,
    1.00)</f>
        <v/>
      </c>
      <c r="P8868">
        <f>IF('Loan Tape (S&amp;P)'!S8868="Yes",
    1.15,
    1.00)</f>
        <v/>
      </c>
      <c r="Q8868">
        <f>IF('Loan Tape (S&amp;P)'!V8868="Yes",
    1.20,
    1.00)</f>
        <v/>
      </c>
      <c r="T8868">
        <f>LET(
    payment_method,'Loan Tape (S&amp;P)'!P8868,
    occupancy,'Loan Tape (S&amp;P)'!N8868,
    maturity_date,'Loan Tape (S&amp;P)'!L8868,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69">
      <c r="J8869">
        <f>LET(
    lien,'Loan Tape (S&amp;P)'!Q8869,
    IF(lien="First",1.00,
        IF(lien="Second",1.50,
            1.70)))</f>
        <v/>
      </c>
      <c r="K8869">
        <f>LET(
    purpose,'Loan Tape (S&amp;P)'!R8869,
    IF(purpose="Purchase",1.00,
        IF(purpose="Remortgage",1.00,
            1.20)))</f>
        <v/>
      </c>
      <c r="L8869">
        <f>LET(
    arrears_months,'Loan Tape (S&amp;P)'!AN8869,
    IF(arrears_months=0,1.00,
    IF(arrears_months=1,3.00,
    IF(arrears_months=2,5.00,
    IF(arrears_months=3,8.00,
    IF(arrears_months=4,10.00,
    IF(arrears_months=5,12.00,15.00)))))))</f>
        <v/>
      </c>
      <c r="M8869">
        <f>LET(
    seasoning_years,DATEDIF('Loan Tape (S&amp;P)'!K8869,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69">
        <f>IF(AND('Loan Tape (S&amp;P)'!U8869="Yes",
        'Loan Tape (S&amp;P)'!T8869&lt;&gt;"Yes",
        DATEDIF('Loan Tape (S&amp;P)'!K8869, TODAY(), "M")&lt;18),
    1.10,
    1.00)</f>
        <v/>
      </c>
      <c r="O8869">
        <f>IF('Loan Tape (S&amp;P)'!T8869="Yes",
    1.35,
    1.00)</f>
        <v/>
      </c>
      <c r="P8869">
        <f>IF('Loan Tape (S&amp;P)'!S8869="Yes",
    1.15,
    1.00)</f>
        <v/>
      </c>
      <c r="Q8869">
        <f>IF('Loan Tape (S&amp;P)'!V8869="Yes",
    1.20,
    1.00)</f>
        <v/>
      </c>
      <c r="T8869">
        <f>LET(
    payment_method,'Loan Tape (S&amp;P)'!P8869,
    occupancy,'Loan Tape (S&amp;P)'!N8869,
    maturity_date,'Loan Tape (S&amp;P)'!L8869,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70">
      <c r="J8870">
        <f>LET(
    lien,'Loan Tape (S&amp;P)'!Q8870,
    IF(lien="First",1.00,
        IF(lien="Second",1.50,
            1.70)))</f>
        <v/>
      </c>
      <c r="K8870">
        <f>LET(
    purpose,'Loan Tape (S&amp;P)'!R8870,
    IF(purpose="Purchase",1.00,
        IF(purpose="Remortgage",1.00,
            1.20)))</f>
        <v/>
      </c>
      <c r="L8870">
        <f>LET(
    arrears_months,'Loan Tape (S&amp;P)'!AN8870,
    IF(arrears_months=0,1.00,
    IF(arrears_months=1,3.00,
    IF(arrears_months=2,5.00,
    IF(arrears_months=3,8.00,
    IF(arrears_months=4,10.00,
    IF(arrears_months=5,12.00,15.00)))))))</f>
        <v/>
      </c>
      <c r="M8870">
        <f>LET(
    seasoning_years,DATEDIF('Loan Tape (S&amp;P)'!K8870,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70">
        <f>IF(AND('Loan Tape (S&amp;P)'!U8870="Yes",
        'Loan Tape (S&amp;P)'!T8870&lt;&gt;"Yes",
        DATEDIF('Loan Tape (S&amp;P)'!K8870, TODAY(), "M")&lt;18),
    1.10,
    1.00)</f>
        <v/>
      </c>
      <c r="O8870">
        <f>IF('Loan Tape (S&amp;P)'!T8870="Yes",
    1.35,
    1.00)</f>
        <v/>
      </c>
      <c r="P8870">
        <f>IF('Loan Tape (S&amp;P)'!S8870="Yes",
    1.15,
    1.00)</f>
        <v/>
      </c>
      <c r="Q8870">
        <f>IF('Loan Tape (S&amp;P)'!V8870="Yes",
    1.20,
    1.00)</f>
        <v/>
      </c>
      <c r="T8870">
        <f>LET(
    payment_method,'Loan Tape (S&amp;P)'!P8870,
    occupancy,'Loan Tape (S&amp;P)'!N8870,
    maturity_date,'Loan Tape (S&amp;P)'!L8870,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71">
      <c r="J8871">
        <f>LET(
    lien,'Loan Tape (S&amp;P)'!Q8871,
    IF(lien="First",1.00,
        IF(lien="Second",1.50,
            1.70)))</f>
        <v/>
      </c>
      <c r="K8871">
        <f>LET(
    purpose,'Loan Tape (S&amp;P)'!R8871,
    IF(purpose="Purchase",1.00,
        IF(purpose="Remortgage",1.00,
            1.20)))</f>
        <v/>
      </c>
      <c r="L8871">
        <f>LET(
    arrears_months,'Loan Tape (S&amp;P)'!AN8871,
    IF(arrears_months=0,1.00,
    IF(arrears_months=1,3.00,
    IF(arrears_months=2,5.00,
    IF(arrears_months=3,8.00,
    IF(arrears_months=4,10.00,
    IF(arrears_months=5,12.00,15.00)))))))</f>
        <v/>
      </c>
      <c r="M8871">
        <f>LET(
    seasoning_years,DATEDIF('Loan Tape (S&amp;P)'!K8871,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71">
        <f>IF(AND('Loan Tape (S&amp;P)'!U8871="Yes",
        'Loan Tape (S&amp;P)'!T8871&lt;&gt;"Yes",
        DATEDIF('Loan Tape (S&amp;P)'!K8871, TODAY(), "M")&lt;18),
    1.10,
    1.00)</f>
        <v/>
      </c>
      <c r="O8871">
        <f>IF('Loan Tape (S&amp;P)'!T8871="Yes",
    1.35,
    1.00)</f>
        <v/>
      </c>
      <c r="P8871">
        <f>IF('Loan Tape (S&amp;P)'!S8871="Yes",
    1.15,
    1.00)</f>
        <v/>
      </c>
      <c r="Q8871">
        <f>IF('Loan Tape (S&amp;P)'!V8871="Yes",
    1.20,
    1.00)</f>
        <v/>
      </c>
      <c r="T8871">
        <f>LET(
    payment_method,'Loan Tape (S&amp;P)'!P8871,
    occupancy,'Loan Tape (S&amp;P)'!N8871,
    maturity_date,'Loan Tape (S&amp;P)'!L8871,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72">
      <c r="J8872">
        <f>LET(
    lien,'Loan Tape (S&amp;P)'!Q8872,
    IF(lien="First",1.00,
        IF(lien="Second",1.50,
            1.70)))</f>
        <v/>
      </c>
      <c r="K8872">
        <f>LET(
    purpose,'Loan Tape (S&amp;P)'!R8872,
    IF(purpose="Purchase",1.00,
        IF(purpose="Remortgage",1.00,
            1.20)))</f>
        <v/>
      </c>
      <c r="L8872">
        <f>LET(
    arrears_months,'Loan Tape (S&amp;P)'!AN8872,
    IF(arrears_months=0,1.00,
    IF(arrears_months=1,3.00,
    IF(arrears_months=2,5.00,
    IF(arrears_months=3,8.00,
    IF(arrears_months=4,10.00,
    IF(arrears_months=5,12.00,15.00)))))))</f>
        <v/>
      </c>
      <c r="M8872">
        <f>LET(
    seasoning_years,DATEDIF('Loan Tape (S&amp;P)'!K8872,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72">
        <f>IF(AND('Loan Tape (S&amp;P)'!U8872="Yes",
        'Loan Tape (S&amp;P)'!T8872&lt;&gt;"Yes",
        DATEDIF('Loan Tape (S&amp;P)'!K8872, TODAY(), "M")&lt;18),
    1.10,
    1.00)</f>
        <v/>
      </c>
      <c r="O8872">
        <f>IF('Loan Tape (S&amp;P)'!T8872="Yes",
    1.35,
    1.00)</f>
        <v/>
      </c>
      <c r="P8872">
        <f>IF('Loan Tape (S&amp;P)'!S8872="Yes",
    1.15,
    1.00)</f>
        <v/>
      </c>
      <c r="Q8872">
        <f>IF('Loan Tape (S&amp;P)'!V8872="Yes",
    1.20,
    1.00)</f>
        <v/>
      </c>
      <c r="T8872">
        <f>LET(
    payment_method,'Loan Tape (S&amp;P)'!P8872,
    occupancy,'Loan Tape (S&amp;P)'!N8872,
    maturity_date,'Loan Tape (S&amp;P)'!L8872,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73">
      <c r="J8873">
        <f>LET(
    lien,'Loan Tape (S&amp;P)'!Q8873,
    IF(lien="First",1.00,
        IF(lien="Second",1.50,
            1.70)))</f>
        <v/>
      </c>
      <c r="K8873">
        <f>LET(
    purpose,'Loan Tape (S&amp;P)'!R8873,
    IF(purpose="Purchase",1.00,
        IF(purpose="Remortgage",1.00,
            1.20)))</f>
        <v/>
      </c>
      <c r="L8873">
        <f>LET(
    arrears_months,'Loan Tape (S&amp;P)'!AN8873,
    IF(arrears_months=0,1.00,
    IF(arrears_months=1,3.00,
    IF(arrears_months=2,5.00,
    IF(arrears_months=3,8.00,
    IF(arrears_months=4,10.00,
    IF(arrears_months=5,12.00,15.00)))))))</f>
        <v/>
      </c>
      <c r="M8873">
        <f>LET(
    seasoning_years,DATEDIF('Loan Tape (S&amp;P)'!K8873,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73">
        <f>IF(AND('Loan Tape (S&amp;P)'!U8873="Yes",
        'Loan Tape (S&amp;P)'!T8873&lt;&gt;"Yes",
        DATEDIF('Loan Tape (S&amp;P)'!K8873, TODAY(), "M")&lt;18),
    1.10,
    1.00)</f>
        <v/>
      </c>
      <c r="O8873">
        <f>IF('Loan Tape (S&amp;P)'!T8873="Yes",
    1.35,
    1.00)</f>
        <v/>
      </c>
      <c r="P8873">
        <f>IF('Loan Tape (S&amp;P)'!S8873="Yes",
    1.15,
    1.00)</f>
        <v/>
      </c>
      <c r="Q8873">
        <f>IF('Loan Tape (S&amp;P)'!V8873="Yes",
    1.20,
    1.00)</f>
        <v/>
      </c>
      <c r="T8873">
        <f>LET(
    payment_method,'Loan Tape (S&amp;P)'!P8873,
    occupancy,'Loan Tape (S&amp;P)'!N8873,
    maturity_date,'Loan Tape (S&amp;P)'!L8873,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74">
      <c r="J8874">
        <f>LET(
    lien,'Loan Tape (S&amp;P)'!Q8874,
    IF(lien="First",1.00,
        IF(lien="Second",1.50,
            1.70)))</f>
        <v/>
      </c>
      <c r="K8874">
        <f>LET(
    purpose,'Loan Tape (S&amp;P)'!R8874,
    IF(purpose="Purchase",1.00,
        IF(purpose="Remortgage",1.00,
            1.20)))</f>
        <v/>
      </c>
      <c r="L8874">
        <f>LET(
    arrears_months,'Loan Tape (S&amp;P)'!AN8874,
    IF(arrears_months=0,1.00,
    IF(arrears_months=1,3.00,
    IF(arrears_months=2,5.00,
    IF(arrears_months=3,8.00,
    IF(arrears_months=4,10.00,
    IF(arrears_months=5,12.00,15.00)))))))</f>
        <v/>
      </c>
      <c r="M8874">
        <f>LET(
    seasoning_years,DATEDIF('Loan Tape (S&amp;P)'!K8874,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74">
        <f>IF(AND('Loan Tape (S&amp;P)'!U8874="Yes",
        'Loan Tape (S&amp;P)'!T8874&lt;&gt;"Yes",
        DATEDIF('Loan Tape (S&amp;P)'!K8874, TODAY(), "M")&lt;18),
    1.10,
    1.00)</f>
        <v/>
      </c>
      <c r="O8874">
        <f>IF('Loan Tape (S&amp;P)'!T8874="Yes",
    1.35,
    1.00)</f>
        <v/>
      </c>
      <c r="P8874">
        <f>IF('Loan Tape (S&amp;P)'!S8874="Yes",
    1.15,
    1.00)</f>
        <v/>
      </c>
      <c r="Q8874">
        <f>IF('Loan Tape (S&amp;P)'!V8874="Yes",
    1.20,
    1.00)</f>
        <v/>
      </c>
      <c r="T8874">
        <f>LET(
    payment_method,'Loan Tape (S&amp;P)'!P8874,
    occupancy,'Loan Tape (S&amp;P)'!N8874,
    maturity_date,'Loan Tape (S&amp;P)'!L8874,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75">
      <c r="J8875">
        <f>LET(
    lien,'Loan Tape (S&amp;P)'!Q8875,
    IF(lien="First",1.00,
        IF(lien="Second",1.50,
            1.70)))</f>
        <v/>
      </c>
      <c r="K8875">
        <f>LET(
    purpose,'Loan Tape (S&amp;P)'!R8875,
    IF(purpose="Purchase",1.00,
        IF(purpose="Remortgage",1.00,
            1.20)))</f>
        <v/>
      </c>
      <c r="L8875">
        <f>LET(
    arrears_months,'Loan Tape (S&amp;P)'!AN8875,
    IF(arrears_months=0,1.00,
    IF(arrears_months=1,3.00,
    IF(arrears_months=2,5.00,
    IF(arrears_months=3,8.00,
    IF(arrears_months=4,10.00,
    IF(arrears_months=5,12.00,15.00)))))))</f>
        <v/>
      </c>
      <c r="M8875">
        <f>LET(
    seasoning_years,DATEDIF('Loan Tape (S&amp;P)'!K8875,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75">
        <f>IF(AND('Loan Tape (S&amp;P)'!U8875="Yes",
        'Loan Tape (S&amp;P)'!T8875&lt;&gt;"Yes",
        DATEDIF('Loan Tape (S&amp;P)'!K8875, TODAY(), "M")&lt;18),
    1.10,
    1.00)</f>
        <v/>
      </c>
      <c r="O8875">
        <f>IF('Loan Tape (S&amp;P)'!T8875="Yes",
    1.35,
    1.00)</f>
        <v/>
      </c>
      <c r="P8875">
        <f>IF('Loan Tape (S&amp;P)'!S8875="Yes",
    1.15,
    1.00)</f>
        <v/>
      </c>
      <c r="Q8875">
        <f>IF('Loan Tape (S&amp;P)'!V8875="Yes",
    1.20,
    1.00)</f>
        <v/>
      </c>
      <c r="T8875">
        <f>LET(
    payment_method,'Loan Tape (S&amp;P)'!P8875,
    occupancy,'Loan Tape (S&amp;P)'!N8875,
    maturity_date,'Loan Tape (S&amp;P)'!L8875,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76">
      <c r="J8876">
        <f>LET(
    lien,'Loan Tape (S&amp;P)'!Q8876,
    IF(lien="First",1.00,
        IF(lien="Second",1.50,
            1.70)))</f>
        <v/>
      </c>
      <c r="K8876">
        <f>LET(
    purpose,'Loan Tape (S&amp;P)'!R8876,
    IF(purpose="Purchase",1.00,
        IF(purpose="Remortgage",1.00,
            1.20)))</f>
        <v/>
      </c>
      <c r="L8876">
        <f>LET(
    arrears_months,'Loan Tape (S&amp;P)'!AN8876,
    IF(arrears_months=0,1.00,
    IF(arrears_months=1,3.00,
    IF(arrears_months=2,5.00,
    IF(arrears_months=3,8.00,
    IF(arrears_months=4,10.00,
    IF(arrears_months=5,12.00,15.00)))))))</f>
        <v/>
      </c>
      <c r="M8876">
        <f>LET(
    seasoning_years,DATEDIF('Loan Tape (S&amp;P)'!K8876,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76">
        <f>IF(AND('Loan Tape (S&amp;P)'!U8876="Yes",
        'Loan Tape (S&amp;P)'!T8876&lt;&gt;"Yes",
        DATEDIF('Loan Tape (S&amp;P)'!K8876, TODAY(), "M")&lt;18),
    1.10,
    1.00)</f>
        <v/>
      </c>
      <c r="O8876">
        <f>IF('Loan Tape (S&amp;P)'!T8876="Yes",
    1.35,
    1.00)</f>
        <v/>
      </c>
      <c r="P8876">
        <f>IF('Loan Tape (S&amp;P)'!S8876="Yes",
    1.15,
    1.00)</f>
        <v/>
      </c>
      <c r="Q8876">
        <f>IF('Loan Tape (S&amp;P)'!V8876="Yes",
    1.20,
    1.00)</f>
        <v/>
      </c>
      <c r="T8876">
        <f>LET(
    payment_method,'Loan Tape (S&amp;P)'!P8876,
    occupancy,'Loan Tape (S&amp;P)'!N8876,
    maturity_date,'Loan Tape (S&amp;P)'!L8876,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77">
      <c r="J8877">
        <f>LET(
    lien,'Loan Tape (S&amp;P)'!Q8877,
    IF(lien="First",1.00,
        IF(lien="Second",1.50,
            1.70)))</f>
        <v/>
      </c>
      <c r="K8877">
        <f>LET(
    purpose,'Loan Tape (S&amp;P)'!R8877,
    IF(purpose="Purchase",1.00,
        IF(purpose="Remortgage",1.00,
            1.20)))</f>
        <v/>
      </c>
      <c r="L8877">
        <f>LET(
    arrears_months,'Loan Tape (S&amp;P)'!AN8877,
    IF(arrears_months=0,1.00,
    IF(arrears_months=1,3.00,
    IF(arrears_months=2,5.00,
    IF(arrears_months=3,8.00,
    IF(arrears_months=4,10.00,
    IF(arrears_months=5,12.00,15.00)))))))</f>
        <v/>
      </c>
      <c r="M8877">
        <f>LET(
    seasoning_years,DATEDIF('Loan Tape (S&amp;P)'!K8877,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77">
        <f>IF(AND('Loan Tape (S&amp;P)'!U8877="Yes",
        'Loan Tape (S&amp;P)'!T8877&lt;&gt;"Yes",
        DATEDIF('Loan Tape (S&amp;P)'!K8877, TODAY(), "M")&lt;18),
    1.10,
    1.00)</f>
        <v/>
      </c>
      <c r="O8877">
        <f>IF('Loan Tape (S&amp;P)'!T8877="Yes",
    1.35,
    1.00)</f>
        <v/>
      </c>
      <c r="P8877">
        <f>IF('Loan Tape (S&amp;P)'!S8877="Yes",
    1.15,
    1.00)</f>
        <v/>
      </c>
      <c r="Q8877">
        <f>IF('Loan Tape (S&amp;P)'!V8877="Yes",
    1.20,
    1.00)</f>
        <v/>
      </c>
      <c r="T8877">
        <f>LET(
    payment_method,'Loan Tape (S&amp;P)'!P8877,
    occupancy,'Loan Tape (S&amp;P)'!N8877,
    maturity_date,'Loan Tape (S&amp;P)'!L8877,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78">
      <c r="J8878">
        <f>LET(
    lien,'Loan Tape (S&amp;P)'!Q8878,
    IF(lien="First",1.00,
        IF(lien="Second",1.50,
            1.70)))</f>
        <v/>
      </c>
      <c r="K8878">
        <f>LET(
    purpose,'Loan Tape (S&amp;P)'!R8878,
    IF(purpose="Purchase",1.00,
        IF(purpose="Remortgage",1.00,
            1.20)))</f>
        <v/>
      </c>
      <c r="L8878">
        <f>LET(
    arrears_months,'Loan Tape (S&amp;P)'!AN8878,
    IF(arrears_months=0,1.00,
    IF(arrears_months=1,3.00,
    IF(arrears_months=2,5.00,
    IF(arrears_months=3,8.00,
    IF(arrears_months=4,10.00,
    IF(arrears_months=5,12.00,15.00)))))))</f>
        <v/>
      </c>
      <c r="M8878">
        <f>LET(
    seasoning_years,DATEDIF('Loan Tape (S&amp;P)'!K8878,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78">
        <f>IF(AND('Loan Tape (S&amp;P)'!U8878="Yes",
        'Loan Tape (S&amp;P)'!T8878&lt;&gt;"Yes",
        DATEDIF('Loan Tape (S&amp;P)'!K8878, TODAY(), "M")&lt;18),
    1.10,
    1.00)</f>
        <v/>
      </c>
      <c r="O8878">
        <f>IF('Loan Tape (S&amp;P)'!T8878="Yes",
    1.35,
    1.00)</f>
        <v/>
      </c>
      <c r="P8878">
        <f>IF('Loan Tape (S&amp;P)'!S8878="Yes",
    1.15,
    1.00)</f>
        <v/>
      </c>
      <c r="Q8878">
        <f>IF('Loan Tape (S&amp;P)'!V8878="Yes",
    1.20,
    1.00)</f>
        <v/>
      </c>
      <c r="T8878">
        <f>LET(
    payment_method,'Loan Tape (S&amp;P)'!P8878,
    occupancy,'Loan Tape (S&amp;P)'!N8878,
    maturity_date,'Loan Tape (S&amp;P)'!L8878,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79">
      <c r="J8879">
        <f>LET(
    lien,'Loan Tape (S&amp;P)'!Q8879,
    IF(lien="First",1.00,
        IF(lien="Second",1.50,
            1.70)))</f>
        <v/>
      </c>
      <c r="K8879">
        <f>LET(
    purpose,'Loan Tape (S&amp;P)'!R8879,
    IF(purpose="Purchase",1.00,
        IF(purpose="Remortgage",1.00,
            1.20)))</f>
        <v/>
      </c>
      <c r="L8879">
        <f>LET(
    arrears_months,'Loan Tape (S&amp;P)'!AN8879,
    IF(arrears_months=0,1.00,
    IF(arrears_months=1,3.00,
    IF(arrears_months=2,5.00,
    IF(arrears_months=3,8.00,
    IF(arrears_months=4,10.00,
    IF(arrears_months=5,12.00,15.00)))))))</f>
        <v/>
      </c>
      <c r="M8879">
        <f>LET(
    seasoning_years,DATEDIF('Loan Tape (S&amp;P)'!K8879,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79">
        <f>IF(AND('Loan Tape (S&amp;P)'!U8879="Yes",
        'Loan Tape (S&amp;P)'!T8879&lt;&gt;"Yes",
        DATEDIF('Loan Tape (S&amp;P)'!K8879, TODAY(), "M")&lt;18),
    1.10,
    1.00)</f>
        <v/>
      </c>
      <c r="O8879">
        <f>IF('Loan Tape (S&amp;P)'!T8879="Yes",
    1.35,
    1.00)</f>
        <v/>
      </c>
      <c r="P8879">
        <f>IF('Loan Tape (S&amp;P)'!S8879="Yes",
    1.15,
    1.00)</f>
        <v/>
      </c>
      <c r="Q8879">
        <f>IF('Loan Tape (S&amp;P)'!V8879="Yes",
    1.20,
    1.00)</f>
        <v/>
      </c>
      <c r="T8879">
        <f>LET(
    payment_method,'Loan Tape (S&amp;P)'!P8879,
    occupancy,'Loan Tape (S&amp;P)'!N8879,
    maturity_date,'Loan Tape (S&amp;P)'!L8879,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80">
      <c r="J8880">
        <f>LET(
    lien,'Loan Tape (S&amp;P)'!Q8880,
    IF(lien="First",1.00,
        IF(lien="Second",1.50,
            1.70)))</f>
        <v/>
      </c>
      <c r="K8880">
        <f>LET(
    purpose,'Loan Tape (S&amp;P)'!R8880,
    IF(purpose="Purchase",1.00,
        IF(purpose="Remortgage",1.00,
            1.20)))</f>
        <v/>
      </c>
      <c r="L8880">
        <f>LET(
    arrears_months,'Loan Tape (S&amp;P)'!AN8880,
    IF(arrears_months=0,1.00,
    IF(arrears_months=1,3.00,
    IF(arrears_months=2,5.00,
    IF(arrears_months=3,8.00,
    IF(arrears_months=4,10.00,
    IF(arrears_months=5,12.00,15.00)))))))</f>
        <v/>
      </c>
      <c r="M8880">
        <f>LET(
    seasoning_years,DATEDIF('Loan Tape (S&amp;P)'!K8880,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80">
        <f>IF(AND('Loan Tape (S&amp;P)'!U8880="Yes",
        'Loan Tape (S&amp;P)'!T8880&lt;&gt;"Yes",
        DATEDIF('Loan Tape (S&amp;P)'!K8880, TODAY(), "M")&lt;18),
    1.10,
    1.00)</f>
        <v/>
      </c>
      <c r="O8880">
        <f>IF('Loan Tape (S&amp;P)'!T8880="Yes",
    1.35,
    1.00)</f>
        <v/>
      </c>
      <c r="P8880">
        <f>IF('Loan Tape (S&amp;P)'!S8880="Yes",
    1.15,
    1.00)</f>
        <v/>
      </c>
      <c r="Q8880">
        <f>IF('Loan Tape (S&amp;P)'!V8880="Yes",
    1.20,
    1.00)</f>
        <v/>
      </c>
      <c r="T8880">
        <f>LET(
    payment_method,'Loan Tape (S&amp;P)'!P8880,
    occupancy,'Loan Tape (S&amp;P)'!N8880,
    maturity_date,'Loan Tape (S&amp;P)'!L8880,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81">
      <c r="J8881">
        <f>LET(
    lien,'Loan Tape (S&amp;P)'!Q8881,
    IF(lien="First",1.00,
        IF(lien="Second",1.50,
            1.70)))</f>
        <v/>
      </c>
      <c r="K8881">
        <f>LET(
    purpose,'Loan Tape (S&amp;P)'!R8881,
    IF(purpose="Purchase",1.00,
        IF(purpose="Remortgage",1.00,
            1.20)))</f>
        <v/>
      </c>
      <c r="L8881">
        <f>LET(
    arrears_months,'Loan Tape (S&amp;P)'!AN8881,
    IF(arrears_months=0,1.00,
    IF(arrears_months=1,3.00,
    IF(arrears_months=2,5.00,
    IF(arrears_months=3,8.00,
    IF(arrears_months=4,10.00,
    IF(arrears_months=5,12.00,15.00)))))))</f>
        <v/>
      </c>
      <c r="M8881">
        <f>LET(
    seasoning_years,DATEDIF('Loan Tape (S&amp;P)'!K8881,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81">
        <f>IF(AND('Loan Tape (S&amp;P)'!U8881="Yes",
        'Loan Tape (S&amp;P)'!T8881&lt;&gt;"Yes",
        DATEDIF('Loan Tape (S&amp;P)'!K8881, TODAY(), "M")&lt;18),
    1.10,
    1.00)</f>
        <v/>
      </c>
      <c r="O8881">
        <f>IF('Loan Tape (S&amp;P)'!T8881="Yes",
    1.35,
    1.00)</f>
        <v/>
      </c>
      <c r="P8881">
        <f>IF('Loan Tape (S&amp;P)'!S8881="Yes",
    1.15,
    1.00)</f>
        <v/>
      </c>
      <c r="Q8881">
        <f>IF('Loan Tape (S&amp;P)'!V8881="Yes",
    1.20,
    1.00)</f>
        <v/>
      </c>
      <c r="T8881">
        <f>LET(
    payment_method,'Loan Tape (S&amp;P)'!P8881,
    occupancy,'Loan Tape (S&amp;P)'!N8881,
    maturity_date,'Loan Tape (S&amp;P)'!L8881,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82">
      <c r="J8882">
        <f>LET(
    lien,'Loan Tape (S&amp;P)'!Q8882,
    IF(lien="First",1.00,
        IF(lien="Second",1.50,
            1.70)))</f>
        <v/>
      </c>
      <c r="K8882">
        <f>LET(
    purpose,'Loan Tape (S&amp;P)'!R8882,
    IF(purpose="Purchase",1.00,
        IF(purpose="Remortgage",1.00,
            1.20)))</f>
        <v/>
      </c>
      <c r="L8882">
        <f>LET(
    arrears_months,'Loan Tape (S&amp;P)'!AN8882,
    IF(arrears_months=0,1.00,
    IF(arrears_months=1,3.00,
    IF(arrears_months=2,5.00,
    IF(arrears_months=3,8.00,
    IF(arrears_months=4,10.00,
    IF(arrears_months=5,12.00,15.00)))))))</f>
        <v/>
      </c>
      <c r="M8882">
        <f>LET(
    seasoning_years,DATEDIF('Loan Tape (S&amp;P)'!K8882,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82">
        <f>IF(AND('Loan Tape (S&amp;P)'!U8882="Yes",
        'Loan Tape (S&amp;P)'!T8882&lt;&gt;"Yes",
        DATEDIF('Loan Tape (S&amp;P)'!K8882, TODAY(), "M")&lt;18),
    1.10,
    1.00)</f>
        <v/>
      </c>
      <c r="O8882">
        <f>IF('Loan Tape (S&amp;P)'!T8882="Yes",
    1.35,
    1.00)</f>
        <v/>
      </c>
      <c r="P8882">
        <f>IF('Loan Tape (S&amp;P)'!S8882="Yes",
    1.15,
    1.00)</f>
        <v/>
      </c>
      <c r="Q8882">
        <f>IF('Loan Tape (S&amp;P)'!V8882="Yes",
    1.20,
    1.00)</f>
        <v/>
      </c>
      <c r="T8882">
        <f>LET(
    payment_method,'Loan Tape (S&amp;P)'!P8882,
    occupancy,'Loan Tape (S&amp;P)'!N8882,
    maturity_date,'Loan Tape (S&amp;P)'!L8882,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83">
      <c r="J8883">
        <f>LET(
    lien,'Loan Tape (S&amp;P)'!Q8883,
    IF(lien="First",1.00,
        IF(lien="Second",1.50,
            1.70)))</f>
        <v/>
      </c>
      <c r="K8883">
        <f>LET(
    purpose,'Loan Tape (S&amp;P)'!R8883,
    IF(purpose="Purchase",1.00,
        IF(purpose="Remortgage",1.00,
            1.20)))</f>
        <v/>
      </c>
      <c r="L8883">
        <f>LET(
    arrears_months,'Loan Tape (S&amp;P)'!AN8883,
    IF(arrears_months=0,1.00,
    IF(arrears_months=1,3.00,
    IF(arrears_months=2,5.00,
    IF(arrears_months=3,8.00,
    IF(arrears_months=4,10.00,
    IF(arrears_months=5,12.00,15.00)))))))</f>
        <v/>
      </c>
      <c r="M8883">
        <f>LET(
    seasoning_years,DATEDIF('Loan Tape (S&amp;P)'!K8883,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83">
        <f>IF(AND('Loan Tape (S&amp;P)'!U8883="Yes",
        'Loan Tape (S&amp;P)'!T8883&lt;&gt;"Yes",
        DATEDIF('Loan Tape (S&amp;P)'!K8883, TODAY(), "M")&lt;18),
    1.10,
    1.00)</f>
        <v/>
      </c>
      <c r="O8883">
        <f>IF('Loan Tape (S&amp;P)'!T8883="Yes",
    1.35,
    1.00)</f>
        <v/>
      </c>
      <c r="P8883">
        <f>IF('Loan Tape (S&amp;P)'!S8883="Yes",
    1.15,
    1.00)</f>
        <v/>
      </c>
      <c r="Q8883">
        <f>IF('Loan Tape (S&amp;P)'!V8883="Yes",
    1.20,
    1.00)</f>
        <v/>
      </c>
      <c r="T8883">
        <f>LET(
    payment_method,'Loan Tape (S&amp;P)'!P8883,
    occupancy,'Loan Tape (S&amp;P)'!N8883,
    maturity_date,'Loan Tape (S&amp;P)'!L8883,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84">
      <c r="J8884">
        <f>LET(
    lien,'Loan Tape (S&amp;P)'!Q8884,
    IF(lien="First",1.00,
        IF(lien="Second",1.50,
            1.70)))</f>
        <v/>
      </c>
      <c r="K8884">
        <f>LET(
    purpose,'Loan Tape (S&amp;P)'!R8884,
    IF(purpose="Purchase",1.00,
        IF(purpose="Remortgage",1.00,
            1.20)))</f>
        <v/>
      </c>
      <c r="L8884">
        <f>LET(
    arrears_months,'Loan Tape (S&amp;P)'!AN8884,
    IF(arrears_months=0,1.00,
    IF(arrears_months=1,3.00,
    IF(arrears_months=2,5.00,
    IF(arrears_months=3,8.00,
    IF(arrears_months=4,10.00,
    IF(arrears_months=5,12.00,15.00)))))))</f>
        <v/>
      </c>
      <c r="M8884">
        <f>LET(
    seasoning_years,DATEDIF('Loan Tape (S&amp;P)'!K8884,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84">
        <f>IF(AND('Loan Tape (S&amp;P)'!U8884="Yes",
        'Loan Tape (S&amp;P)'!T8884&lt;&gt;"Yes",
        DATEDIF('Loan Tape (S&amp;P)'!K8884, TODAY(), "M")&lt;18),
    1.10,
    1.00)</f>
        <v/>
      </c>
      <c r="O8884">
        <f>IF('Loan Tape (S&amp;P)'!T8884="Yes",
    1.35,
    1.00)</f>
        <v/>
      </c>
      <c r="P8884">
        <f>IF('Loan Tape (S&amp;P)'!S8884="Yes",
    1.15,
    1.00)</f>
        <v/>
      </c>
      <c r="Q8884">
        <f>IF('Loan Tape (S&amp;P)'!V8884="Yes",
    1.20,
    1.00)</f>
        <v/>
      </c>
      <c r="T8884">
        <f>LET(
    payment_method,'Loan Tape (S&amp;P)'!P8884,
    occupancy,'Loan Tape (S&amp;P)'!N8884,
    maturity_date,'Loan Tape (S&amp;P)'!L8884,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85">
      <c r="J8885">
        <f>LET(
    lien,'Loan Tape (S&amp;P)'!Q8885,
    IF(lien="First",1.00,
        IF(lien="Second",1.50,
            1.70)))</f>
        <v/>
      </c>
      <c r="K8885">
        <f>LET(
    purpose,'Loan Tape (S&amp;P)'!R8885,
    IF(purpose="Purchase",1.00,
        IF(purpose="Remortgage",1.00,
            1.20)))</f>
        <v/>
      </c>
      <c r="L8885">
        <f>LET(
    arrears_months,'Loan Tape (S&amp;P)'!AN8885,
    IF(arrears_months=0,1.00,
    IF(arrears_months=1,3.00,
    IF(arrears_months=2,5.00,
    IF(arrears_months=3,8.00,
    IF(arrears_months=4,10.00,
    IF(arrears_months=5,12.00,15.00)))))))</f>
        <v/>
      </c>
      <c r="M8885">
        <f>LET(
    seasoning_years,DATEDIF('Loan Tape (S&amp;P)'!K8885,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85">
        <f>IF(AND('Loan Tape (S&amp;P)'!U8885="Yes",
        'Loan Tape (S&amp;P)'!T8885&lt;&gt;"Yes",
        DATEDIF('Loan Tape (S&amp;P)'!K8885, TODAY(), "M")&lt;18),
    1.10,
    1.00)</f>
        <v/>
      </c>
      <c r="O8885">
        <f>IF('Loan Tape (S&amp;P)'!T8885="Yes",
    1.35,
    1.00)</f>
        <v/>
      </c>
      <c r="P8885">
        <f>IF('Loan Tape (S&amp;P)'!S8885="Yes",
    1.15,
    1.00)</f>
        <v/>
      </c>
      <c r="Q8885">
        <f>IF('Loan Tape (S&amp;P)'!V8885="Yes",
    1.20,
    1.00)</f>
        <v/>
      </c>
      <c r="T8885">
        <f>LET(
    payment_method,'Loan Tape (S&amp;P)'!P8885,
    occupancy,'Loan Tape (S&amp;P)'!N8885,
    maturity_date,'Loan Tape (S&amp;P)'!L8885,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86">
      <c r="J8886">
        <f>LET(
    lien,'Loan Tape (S&amp;P)'!Q8886,
    IF(lien="First",1.00,
        IF(lien="Second",1.50,
            1.70)))</f>
        <v/>
      </c>
      <c r="K8886">
        <f>LET(
    purpose,'Loan Tape (S&amp;P)'!R8886,
    IF(purpose="Purchase",1.00,
        IF(purpose="Remortgage",1.00,
            1.20)))</f>
        <v/>
      </c>
      <c r="L8886">
        <f>LET(
    arrears_months,'Loan Tape (S&amp;P)'!AN8886,
    IF(arrears_months=0,1.00,
    IF(arrears_months=1,3.00,
    IF(arrears_months=2,5.00,
    IF(arrears_months=3,8.00,
    IF(arrears_months=4,10.00,
    IF(arrears_months=5,12.00,15.00)))))))</f>
        <v/>
      </c>
      <c r="M8886">
        <f>LET(
    seasoning_years,DATEDIF('Loan Tape (S&amp;P)'!K8886,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86">
        <f>IF(AND('Loan Tape (S&amp;P)'!U8886="Yes",
        'Loan Tape (S&amp;P)'!T8886&lt;&gt;"Yes",
        DATEDIF('Loan Tape (S&amp;P)'!K8886, TODAY(), "M")&lt;18),
    1.10,
    1.00)</f>
        <v/>
      </c>
      <c r="O8886">
        <f>IF('Loan Tape (S&amp;P)'!T8886="Yes",
    1.35,
    1.00)</f>
        <v/>
      </c>
      <c r="P8886">
        <f>IF('Loan Tape (S&amp;P)'!S8886="Yes",
    1.15,
    1.00)</f>
        <v/>
      </c>
      <c r="Q8886">
        <f>IF('Loan Tape (S&amp;P)'!V8886="Yes",
    1.20,
    1.00)</f>
        <v/>
      </c>
      <c r="T8886">
        <f>LET(
    payment_method,'Loan Tape (S&amp;P)'!P8886,
    occupancy,'Loan Tape (S&amp;P)'!N8886,
    maturity_date,'Loan Tape (S&amp;P)'!L8886,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87">
      <c r="J8887">
        <f>LET(
    lien,'Loan Tape (S&amp;P)'!Q8887,
    IF(lien="First",1.00,
        IF(lien="Second",1.50,
            1.70)))</f>
        <v/>
      </c>
      <c r="K8887">
        <f>LET(
    purpose,'Loan Tape (S&amp;P)'!R8887,
    IF(purpose="Purchase",1.00,
        IF(purpose="Remortgage",1.00,
            1.20)))</f>
        <v/>
      </c>
      <c r="L8887">
        <f>LET(
    arrears_months,'Loan Tape (S&amp;P)'!AN8887,
    IF(arrears_months=0,1.00,
    IF(arrears_months=1,3.00,
    IF(arrears_months=2,5.00,
    IF(arrears_months=3,8.00,
    IF(arrears_months=4,10.00,
    IF(arrears_months=5,12.00,15.00)))))))</f>
        <v/>
      </c>
      <c r="M8887">
        <f>LET(
    seasoning_years,DATEDIF('Loan Tape (S&amp;P)'!K8887,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87">
        <f>IF(AND('Loan Tape (S&amp;P)'!U8887="Yes",
        'Loan Tape (S&amp;P)'!T8887&lt;&gt;"Yes",
        DATEDIF('Loan Tape (S&amp;P)'!K8887, TODAY(), "M")&lt;18),
    1.10,
    1.00)</f>
        <v/>
      </c>
      <c r="O8887">
        <f>IF('Loan Tape (S&amp;P)'!T8887="Yes",
    1.35,
    1.00)</f>
        <v/>
      </c>
      <c r="P8887">
        <f>IF('Loan Tape (S&amp;P)'!S8887="Yes",
    1.15,
    1.00)</f>
        <v/>
      </c>
      <c r="Q8887">
        <f>IF('Loan Tape (S&amp;P)'!V8887="Yes",
    1.20,
    1.00)</f>
        <v/>
      </c>
      <c r="T8887">
        <f>LET(
    payment_method,'Loan Tape (S&amp;P)'!P8887,
    occupancy,'Loan Tape (S&amp;P)'!N8887,
    maturity_date,'Loan Tape (S&amp;P)'!L8887,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88">
      <c r="J8888">
        <f>LET(
    lien,'Loan Tape (S&amp;P)'!Q8888,
    IF(lien="First",1.00,
        IF(lien="Second",1.50,
            1.70)))</f>
        <v/>
      </c>
      <c r="K8888">
        <f>LET(
    purpose,'Loan Tape (S&amp;P)'!R8888,
    IF(purpose="Purchase",1.00,
        IF(purpose="Remortgage",1.00,
            1.20)))</f>
        <v/>
      </c>
      <c r="L8888">
        <f>LET(
    arrears_months,'Loan Tape (S&amp;P)'!AN8888,
    IF(arrears_months=0,1.00,
    IF(arrears_months=1,3.00,
    IF(arrears_months=2,5.00,
    IF(arrears_months=3,8.00,
    IF(arrears_months=4,10.00,
    IF(arrears_months=5,12.00,15.00)))))))</f>
        <v/>
      </c>
      <c r="M8888">
        <f>LET(
    seasoning_years,DATEDIF('Loan Tape (S&amp;P)'!K8888,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88">
        <f>IF(AND('Loan Tape (S&amp;P)'!U8888="Yes",
        'Loan Tape (S&amp;P)'!T8888&lt;&gt;"Yes",
        DATEDIF('Loan Tape (S&amp;P)'!K8888, TODAY(), "M")&lt;18),
    1.10,
    1.00)</f>
        <v/>
      </c>
      <c r="O8888">
        <f>IF('Loan Tape (S&amp;P)'!T8888="Yes",
    1.35,
    1.00)</f>
        <v/>
      </c>
      <c r="P8888">
        <f>IF('Loan Tape (S&amp;P)'!S8888="Yes",
    1.15,
    1.00)</f>
        <v/>
      </c>
      <c r="Q8888">
        <f>IF('Loan Tape (S&amp;P)'!V8888="Yes",
    1.20,
    1.00)</f>
        <v/>
      </c>
      <c r="T8888">
        <f>LET(
    payment_method,'Loan Tape (S&amp;P)'!P8888,
    occupancy,'Loan Tape (S&amp;P)'!N8888,
    maturity_date,'Loan Tape (S&amp;P)'!L8888,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89">
      <c r="J8889">
        <f>LET(
    lien,'Loan Tape (S&amp;P)'!Q8889,
    IF(lien="First",1.00,
        IF(lien="Second",1.50,
            1.70)))</f>
        <v/>
      </c>
      <c r="K8889">
        <f>LET(
    purpose,'Loan Tape (S&amp;P)'!R8889,
    IF(purpose="Purchase",1.00,
        IF(purpose="Remortgage",1.00,
            1.20)))</f>
        <v/>
      </c>
      <c r="L8889">
        <f>LET(
    arrears_months,'Loan Tape (S&amp;P)'!AN8889,
    IF(arrears_months=0,1.00,
    IF(arrears_months=1,3.00,
    IF(arrears_months=2,5.00,
    IF(arrears_months=3,8.00,
    IF(arrears_months=4,10.00,
    IF(arrears_months=5,12.00,15.00)))))))</f>
        <v/>
      </c>
      <c r="M8889">
        <f>LET(
    seasoning_years,DATEDIF('Loan Tape (S&amp;P)'!K8889,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89">
        <f>IF(AND('Loan Tape (S&amp;P)'!U8889="Yes",
        'Loan Tape (S&amp;P)'!T8889&lt;&gt;"Yes",
        DATEDIF('Loan Tape (S&amp;P)'!K8889, TODAY(), "M")&lt;18),
    1.10,
    1.00)</f>
        <v/>
      </c>
      <c r="O8889">
        <f>IF('Loan Tape (S&amp;P)'!T8889="Yes",
    1.35,
    1.00)</f>
        <v/>
      </c>
      <c r="P8889">
        <f>IF('Loan Tape (S&amp;P)'!S8889="Yes",
    1.15,
    1.00)</f>
        <v/>
      </c>
      <c r="Q8889">
        <f>IF('Loan Tape (S&amp;P)'!V8889="Yes",
    1.20,
    1.00)</f>
        <v/>
      </c>
      <c r="T8889">
        <f>LET(
    payment_method,'Loan Tape (S&amp;P)'!P8889,
    occupancy,'Loan Tape (S&amp;P)'!N8889,
    maturity_date,'Loan Tape (S&amp;P)'!L8889,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90">
      <c r="J8890">
        <f>LET(
    lien,'Loan Tape (S&amp;P)'!Q8890,
    IF(lien="First",1.00,
        IF(lien="Second",1.50,
            1.70)))</f>
        <v/>
      </c>
      <c r="K8890">
        <f>LET(
    purpose,'Loan Tape (S&amp;P)'!R8890,
    IF(purpose="Purchase",1.00,
        IF(purpose="Remortgage",1.00,
            1.20)))</f>
        <v/>
      </c>
      <c r="L8890">
        <f>LET(
    arrears_months,'Loan Tape (S&amp;P)'!AN8890,
    IF(arrears_months=0,1.00,
    IF(arrears_months=1,3.00,
    IF(arrears_months=2,5.00,
    IF(arrears_months=3,8.00,
    IF(arrears_months=4,10.00,
    IF(arrears_months=5,12.00,15.00)))))))</f>
        <v/>
      </c>
      <c r="M8890">
        <f>LET(
    seasoning_years,DATEDIF('Loan Tape (S&amp;P)'!K8890,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90">
        <f>IF(AND('Loan Tape (S&amp;P)'!U8890="Yes",
        'Loan Tape (S&amp;P)'!T8890&lt;&gt;"Yes",
        DATEDIF('Loan Tape (S&amp;P)'!K8890, TODAY(), "M")&lt;18),
    1.10,
    1.00)</f>
        <v/>
      </c>
      <c r="O8890">
        <f>IF('Loan Tape (S&amp;P)'!T8890="Yes",
    1.35,
    1.00)</f>
        <v/>
      </c>
      <c r="P8890">
        <f>IF('Loan Tape (S&amp;P)'!S8890="Yes",
    1.15,
    1.00)</f>
        <v/>
      </c>
      <c r="Q8890">
        <f>IF('Loan Tape (S&amp;P)'!V8890="Yes",
    1.20,
    1.00)</f>
        <v/>
      </c>
      <c r="T8890">
        <f>LET(
    payment_method,'Loan Tape (S&amp;P)'!P8890,
    occupancy,'Loan Tape (S&amp;P)'!N8890,
    maturity_date,'Loan Tape (S&amp;P)'!L8890,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91">
      <c r="J8891">
        <f>LET(
    lien,'Loan Tape (S&amp;P)'!Q8891,
    IF(lien="First",1.00,
        IF(lien="Second",1.50,
            1.70)))</f>
        <v/>
      </c>
      <c r="K8891">
        <f>LET(
    purpose,'Loan Tape (S&amp;P)'!R8891,
    IF(purpose="Purchase",1.00,
        IF(purpose="Remortgage",1.00,
            1.20)))</f>
        <v/>
      </c>
      <c r="L8891">
        <f>LET(
    arrears_months,'Loan Tape (S&amp;P)'!AN8891,
    IF(arrears_months=0,1.00,
    IF(arrears_months=1,3.00,
    IF(arrears_months=2,5.00,
    IF(arrears_months=3,8.00,
    IF(arrears_months=4,10.00,
    IF(arrears_months=5,12.00,15.00)))))))</f>
        <v/>
      </c>
      <c r="M8891">
        <f>LET(
    seasoning_years,DATEDIF('Loan Tape (S&amp;P)'!K8891,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91">
        <f>IF(AND('Loan Tape (S&amp;P)'!U8891="Yes",
        'Loan Tape (S&amp;P)'!T8891&lt;&gt;"Yes",
        DATEDIF('Loan Tape (S&amp;P)'!K8891, TODAY(), "M")&lt;18),
    1.10,
    1.00)</f>
        <v/>
      </c>
      <c r="O8891">
        <f>IF('Loan Tape (S&amp;P)'!T8891="Yes",
    1.35,
    1.00)</f>
        <v/>
      </c>
      <c r="P8891">
        <f>IF('Loan Tape (S&amp;P)'!S8891="Yes",
    1.15,
    1.00)</f>
        <v/>
      </c>
      <c r="Q8891">
        <f>IF('Loan Tape (S&amp;P)'!V8891="Yes",
    1.20,
    1.00)</f>
        <v/>
      </c>
      <c r="T8891">
        <f>LET(
    payment_method,'Loan Tape (S&amp;P)'!P8891,
    occupancy,'Loan Tape (S&amp;P)'!N8891,
    maturity_date,'Loan Tape (S&amp;P)'!L8891,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92">
      <c r="J8892">
        <f>LET(
    lien,'Loan Tape (S&amp;P)'!Q8892,
    IF(lien="First",1.00,
        IF(lien="Second",1.50,
            1.70)))</f>
        <v/>
      </c>
      <c r="K8892">
        <f>LET(
    purpose,'Loan Tape (S&amp;P)'!R8892,
    IF(purpose="Purchase",1.00,
        IF(purpose="Remortgage",1.00,
            1.20)))</f>
        <v/>
      </c>
      <c r="L8892">
        <f>LET(
    arrears_months,'Loan Tape (S&amp;P)'!AN8892,
    IF(arrears_months=0,1.00,
    IF(arrears_months=1,3.00,
    IF(arrears_months=2,5.00,
    IF(arrears_months=3,8.00,
    IF(arrears_months=4,10.00,
    IF(arrears_months=5,12.00,15.00)))))))</f>
        <v/>
      </c>
      <c r="M8892">
        <f>LET(
    seasoning_years,DATEDIF('Loan Tape (S&amp;P)'!K8892,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92">
        <f>IF(AND('Loan Tape (S&amp;P)'!U8892="Yes",
        'Loan Tape (S&amp;P)'!T8892&lt;&gt;"Yes",
        DATEDIF('Loan Tape (S&amp;P)'!K8892, TODAY(), "M")&lt;18),
    1.10,
    1.00)</f>
        <v/>
      </c>
      <c r="O8892">
        <f>IF('Loan Tape (S&amp;P)'!T8892="Yes",
    1.35,
    1.00)</f>
        <v/>
      </c>
      <c r="P8892">
        <f>IF('Loan Tape (S&amp;P)'!S8892="Yes",
    1.15,
    1.00)</f>
        <v/>
      </c>
      <c r="Q8892">
        <f>IF('Loan Tape (S&amp;P)'!V8892="Yes",
    1.20,
    1.00)</f>
        <v/>
      </c>
      <c r="T8892">
        <f>LET(
    payment_method,'Loan Tape (S&amp;P)'!P8892,
    occupancy,'Loan Tape (S&amp;P)'!N8892,
    maturity_date,'Loan Tape (S&amp;P)'!L8892,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93">
      <c r="J8893">
        <f>LET(
    lien,'Loan Tape (S&amp;P)'!Q8893,
    IF(lien="First",1.00,
        IF(lien="Second",1.50,
            1.70)))</f>
        <v/>
      </c>
      <c r="K8893">
        <f>LET(
    purpose,'Loan Tape (S&amp;P)'!R8893,
    IF(purpose="Purchase",1.00,
        IF(purpose="Remortgage",1.00,
            1.20)))</f>
        <v/>
      </c>
      <c r="L8893">
        <f>LET(
    arrears_months,'Loan Tape (S&amp;P)'!AN8893,
    IF(arrears_months=0,1.00,
    IF(arrears_months=1,3.00,
    IF(arrears_months=2,5.00,
    IF(arrears_months=3,8.00,
    IF(arrears_months=4,10.00,
    IF(arrears_months=5,12.00,15.00)))))))</f>
        <v/>
      </c>
      <c r="M8893">
        <f>LET(
    seasoning_years,DATEDIF('Loan Tape (S&amp;P)'!K8893,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93">
        <f>IF(AND('Loan Tape (S&amp;P)'!U8893="Yes",
        'Loan Tape (S&amp;P)'!T8893&lt;&gt;"Yes",
        DATEDIF('Loan Tape (S&amp;P)'!K8893, TODAY(), "M")&lt;18),
    1.10,
    1.00)</f>
        <v/>
      </c>
      <c r="O8893">
        <f>IF('Loan Tape (S&amp;P)'!T8893="Yes",
    1.35,
    1.00)</f>
        <v/>
      </c>
      <c r="P8893">
        <f>IF('Loan Tape (S&amp;P)'!S8893="Yes",
    1.15,
    1.00)</f>
        <v/>
      </c>
      <c r="Q8893">
        <f>IF('Loan Tape (S&amp;P)'!V8893="Yes",
    1.20,
    1.00)</f>
        <v/>
      </c>
      <c r="T8893">
        <f>LET(
    payment_method,'Loan Tape (S&amp;P)'!P8893,
    occupancy,'Loan Tape (S&amp;P)'!N8893,
    maturity_date,'Loan Tape (S&amp;P)'!L8893,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94">
      <c r="J8894">
        <f>LET(
    lien,'Loan Tape (S&amp;P)'!Q8894,
    IF(lien="First",1.00,
        IF(lien="Second",1.50,
            1.70)))</f>
        <v/>
      </c>
      <c r="K8894">
        <f>LET(
    purpose,'Loan Tape (S&amp;P)'!R8894,
    IF(purpose="Purchase",1.00,
        IF(purpose="Remortgage",1.00,
            1.20)))</f>
        <v/>
      </c>
      <c r="L8894">
        <f>LET(
    arrears_months,'Loan Tape (S&amp;P)'!AN8894,
    IF(arrears_months=0,1.00,
    IF(arrears_months=1,3.00,
    IF(arrears_months=2,5.00,
    IF(arrears_months=3,8.00,
    IF(arrears_months=4,10.00,
    IF(arrears_months=5,12.00,15.00)))))))</f>
        <v/>
      </c>
      <c r="M8894">
        <f>LET(
    seasoning_years,DATEDIF('Loan Tape (S&amp;P)'!K8894,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94">
        <f>IF(AND('Loan Tape (S&amp;P)'!U8894="Yes",
        'Loan Tape (S&amp;P)'!T8894&lt;&gt;"Yes",
        DATEDIF('Loan Tape (S&amp;P)'!K8894, TODAY(), "M")&lt;18),
    1.10,
    1.00)</f>
        <v/>
      </c>
      <c r="O8894">
        <f>IF('Loan Tape (S&amp;P)'!T8894="Yes",
    1.35,
    1.00)</f>
        <v/>
      </c>
      <c r="P8894">
        <f>IF('Loan Tape (S&amp;P)'!S8894="Yes",
    1.15,
    1.00)</f>
        <v/>
      </c>
      <c r="Q8894">
        <f>IF('Loan Tape (S&amp;P)'!V8894="Yes",
    1.20,
    1.00)</f>
        <v/>
      </c>
      <c r="T8894">
        <f>LET(
    payment_method,'Loan Tape (S&amp;P)'!P8894,
    occupancy,'Loan Tape (S&amp;P)'!N8894,
    maturity_date,'Loan Tape (S&amp;P)'!L8894,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95">
      <c r="J8895">
        <f>LET(
    lien,'Loan Tape (S&amp;P)'!Q8895,
    IF(lien="First",1.00,
        IF(lien="Second",1.50,
            1.70)))</f>
        <v/>
      </c>
      <c r="K8895">
        <f>LET(
    purpose,'Loan Tape (S&amp;P)'!R8895,
    IF(purpose="Purchase",1.00,
        IF(purpose="Remortgage",1.00,
            1.20)))</f>
        <v/>
      </c>
      <c r="L8895">
        <f>LET(
    arrears_months,'Loan Tape (S&amp;P)'!AN8895,
    IF(arrears_months=0,1.00,
    IF(arrears_months=1,3.00,
    IF(arrears_months=2,5.00,
    IF(arrears_months=3,8.00,
    IF(arrears_months=4,10.00,
    IF(arrears_months=5,12.00,15.00)))))))</f>
        <v/>
      </c>
      <c r="M8895">
        <f>LET(
    seasoning_years,DATEDIF('Loan Tape (S&amp;P)'!K8895,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95">
        <f>IF(AND('Loan Tape (S&amp;P)'!U8895="Yes",
        'Loan Tape (S&amp;P)'!T8895&lt;&gt;"Yes",
        DATEDIF('Loan Tape (S&amp;P)'!K8895, TODAY(), "M")&lt;18),
    1.10,
    1.00)</f>
        <v/>
      </c>
      <c r="O8895">
        <f>IF('Loan Tape (S&amp;P)'!T8895="Yes",
    1.35,
    1.00)</f>
        <v/>
      </c>
      <c r="P8895">
        <f>IF('Loan Tape (S&amp;P)'!S8895="Yes",
    1.15,
    1.00)</f>
        <v/>
      </c>
      <c r="Q8895">
        <f>IF('Loan Tape (S&amp;P)'!V8895="Yes",
    1.20,
    1.00)</f>
        <v/>
      </c>
      <c r="T8895">
        <f>LET(
    payment_method,'Loan Tape (S&amp;P)'!P8895,
    occupancy,'Loan Tape (S&amp;P)'!N8895,
    maturity_date,'Loan Tape (S&amp;P)'!L8895,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96">
      <c r="J8896">
        <f>LET(
    lien,'Loan Tape (S&amp;P)'!Q8896,
    IF(lien="First",1.00,
        IF(lien="Second",1.50,
            1.70)))</f>
        <v/>
      </c>
      <c r="K8896">
        <f>LET(
    purpose,'Loan Tape (S&amp;P)'!R8896,
    IF(purpose="Purchase",1.00,
        IF(purpose="Remortgage",1.00,
            1.20)))</f>
        <v/>
      </c>
      <c r="L8896">
        <f>LET(
    arrears_months,'Loan Tape (S&amp;P)'!AN8896,
    IF(arrears_months=0,1.00,
    IF(arrears_months=1,3.00,
    IF(arrears_months=2,5.00,
    IF(arrears_months=3,8.00,
    IF(arrears_months=4,10.00,
    IF(arrears_months=5,12.00,15.00)))))))</f>
        <v/>
      </c>
      <c r="M8896">
        <f>LET(
    seasoning_years,DATEDIF('Loan Tape (S&amp;P)'!K8896,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96">
        <f>IF(AND('Loan Tape (S&amp;P)'!U8896="Yes",
        'Loan Tape (S&amp;P)'!T8896&lt;&gt;"Yes",
        DATEDIF('Loan Tape (S&amp;P)'!K8896, TODAY(), "M")&lt;18),
    1.10,
    1.00)</f>
        <v/>
      </c>
      <c r="O8896">
        <f>IF('Loan Tape (S&amp;P)'!T8896="Yes",
    1.35,
    1.00)</f>
        <v/>
      </c>
      <c r="P8896">
        <f>IF('Loan Tape (S&amp;P)'!S8896="Yes",
    1.15,
    1.00)</f>
        <v/>
      </c>
      <c r="Q8896">
        <f>IF('Loan Tape (S&amp;P)'!V8896="Yes",
    1.20,
    1.00)</f>
        <v/>
      </c>
      <c r="T8896">
        <f>LET(
    payment_method,'Loan Tape (S&amp;P)'!P8896,
    occupancy,'Loan Tape (S&amp;P)'!N8896,
    maturity_date,'Loan Tape (S&amp;P)'!L8896,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97">
      <c r="J8897">
        <f>LET(
    lien,'Loan Tape (S&amp;P)'!Q8897,
    IF(lien="First",1.00,
        IF(lien="Second",1.50,
            1.70)))</f>
        <v/>
      </c>
      <c r="K8897">
        <f>LET(
    purpose,'Loan Tape (S&amp;P)'!R8897,
    IF(purpose="Purchase",1.00,
        IF(purpose="Remortgage",1.00,
            1.20)))</f>
        <v/>
      </c>
      <c r="L8897">
        <f>LET(
    arrears_months,'Loan Tape (S&amp;P)'!AN8897,
    IF(arrears_months=0,1.00,
    IF(arrears_months=1,3.00,
    IF(arrears_months=2,5.00,
    IF(arrears_months=3,8.00,
    IF(arrears_months=4,10.00,
    IF(arrears_months=5,12.00,15.00)))))))</f>
        <v/>
      </c>
      <c r="M8897">
        <f>LET(
    seasoning_years,DATEDIF('Loan Tape (S&amp;P)'!K8897,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97">
        <f>IF(AND('Loan Tape (S&amp;P)'!U8897="Yes",
        'Loan Tape (S&amp;P)'!T8897&lt;&gt;"Yes",
        DATEDIF('Loan Tape (S&amp;P)'!K8897, TODAY(), "M")&lt;18),
    1.10,
    1.00)</f>
        <v/>
      </c>
      <c r="O8897">
        <f>IF('Loan Tape (S&amp;P)'!T8897="Yes",
    1.35,
    1.00)</f>
        <v/>
      </c>
      <c r="P8897">
        <f>IF('Loan Tape (S&amp;P)'!S8897="Yes",
    1.15,
    1.00)</f>
        <v/>
      </c>
      <c r="Q8897">
        <f>IF('Loan Tape (S&amp;P)'!V8897="Yes",
    1.20,
    1.00)</f>
        <v/>
      </c>
      <c r="T8897">
        <f>LET(
    payment_method,'Loan Tape (S&amp;P)'!P8897,
    occupancy,'Loan Tape (S&amp;P)'!N8897,
    maturity_date,'Loan Tape (S&amp;P)'!L8897,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98">
      <c r="J8898">
        <f>LET(
    lien,'Loan Tape (S&amp;P)'!Q8898,
    IF(lien="First",1.00,
        IF(lien="Second",1.50,
            1.70)))</f>
        <v/>
      </c>
      <c r="K8898">
        <f>LET(
    purpose,'Loan Tape (S&amp;P)'!R8898,
    IF(purpose="Purchase",1.00,
        IF(purpose="Remortgage",1.00,
            1.20)))</f>
        <v/>
      </c>
      <c r="L8898">
        <f>LET(
    arrears_months,'Loan Tape (S&amp;P)'!AN8898,
    IF(arrears_months=0,1.00,
    IF(arrears_months=1,3.00,
    IF(arrears_months=2,5.00,
    IF(arrears_months=3,8.00,
    IF(arrears_months=4,10.00,
    IF(arrears_months=5,12.00,15.00)))))))</f>
        <v/>
      </c>
      <c r="M8898">
        <f>LET(
    seasoning_years,DATEDIF('Loan Tape (S&amp;P)'!K8898,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98">
        <f>IF(AND('Loan Tape (S&amp;P)'!U8898="Yes",
        'Loan Tape (S&amp;P)'!T8898&lt;&gt;"Yes",
        DATEDIF('Loan Tape (S&amp;P)'!K8898, TODAY(), "M")&lt;18),
    1.10,
    1.00)</f>
        <v/>
      </c>
      <c r="O8898">
        <f>IF('Loan Tape (S&amp;P)'!T8898="Yes",
    1.35,
    1.00)</f>
        <v/>
      </c>
      <c r="P8898">
        <f>IF('Loan Tape (S&amp;P)'!S8898="Yes",
    1.15,
    1.00)</f>
        <v/>
      </c>
      <c r="Q8898">
        <f>IF('Loan Tape (S&amp;P)'!V8898="Yes",
    1.20,
    1.00)</f>
        <v/>
      </c>
      <c r="T8898">
        <f>LET(
    payment_method,'Loan Tape (S&amp;P)'!P8898,
    occupancy,'Loan Tape (S&amp;P)'!N8898,
    maturity_date,'Loan Tape (S&amp;P)'!L8898,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899">
      <c r="J8899">
        <f>LET(
    lien,'Loan Tape (S&amp;P)'!Q8899,
    IF(lien="First",1.00,
        IF(lien="Second",1.50,
            1.70)))</f>
        <v/>
      </c>
      <c r="K8899">
        <f>LET(
    purpose,'Loan Tape (S&amp;P)'!R8899,
    IF(purpose="Purchase",1.00,
        IF(purpose="Remortgage",1.00,
            1.20)))</f>
        <v/>
      </c>
      <c r="L8899">
        <f>LET(
    arrears_months,'Loan Tape (S&amp;P)'!AN8899,
    IF(arrears_months=0,1.00,
    IF(arrears_months=1,3.00,
    IF(arrears_months=2,5.00,
    IF(arrears_months=3,8.00,
    IF(arrears_months=4,10.00,
    IF(arrears_months=5,12.00,15.00)))))))</f>
        <v/>
      </c>
      <c r="M8899">
        <f>LET(
    seasoning_years,DATEDIF('Loan Tape (S&amp;P)'!K8899,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899">
        <f>IF(AND('Loan Tape (S&amp;P)'!U8899="Yes",
        'Loan Tape (S&amp;P)'!T8899&lt;&gt;"Yes",
        DATEDIF('Loan Tape (S&amp;P)'!K8899, TODAY(), "M")&lt;18),
    1.10,
    1.00)</f>
        <v/>
      </c>
      <c r="O8899">
        <f>IF('Loan Tape (S&amp;P)'!T8899="Yes",
    1.35,
    1.00)</f>
        <v/>
      </c>
      <c r="P8899">
        <f>IF('Loan Tape (S&amp;P)'!S8899="Yes",
    1.15,
    1.00)</f>
        <v/>
      </c>
      <c r="Q8899">
        <f>IF('Loan Tape (S&amp;P)'!V8899="Yes",
    1.20,
    1.00)</f>
        <v/>
      </c>
      <c r="T8899">
        <f>LET(
    payment_method,'Loan Tape (S&amp;P)'!P8899,
    occupancy,'Loan Tape (S&amp;P)'!N8899,
    maturity_date,'Loan Tape (S&amp;P)'!L8899,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00">
      <c r="J8900">
        <f>LET(
    lien,'Loan Tape (S&amp;P)'!Q8900,
    IF(lien="First",1.00,
        IF(lien="Second",1.50,
            1.70)))</f>
        <v/>
      </c>
      <c r="K8900">
        <f>LET(
    purpose,'Loan Tape (S&amp;P)'!R8900,
    IF(purpose="Purchase",1.00,
        IF(purpose="Remortgage",1.00,
            1.20)))</f>
        <v/>
      </c>
      <c r="L8900">
        <f>LET(
    arrears_months,'Loan Tape (S&amp;P)'!AN8900,
    IF(arrears_months=0,1.00,
    IF(arrears_months=1,3.00,
    IF(arrears_months=2,5.00,
    IF(arrears_months=3,8.00,
    IF(arrears_months=4,10.00,
    IF(arrears_months=5,12.00,15.00)))))))</f>
        <v/>
      </c>
      <c r="M8900">
        <f>LET(
    seasoning_years,DATEDIF('Loan Tape (S&amp;P)'!K8900,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00">
        <f>IF(AND('Loan Tape (S&amp;P)'!U8900="Yes",
        'Loan Tape (S&amp;P)'!T8900&lt;&gt;"Yes",
        DATEDIF('Loan Tape (S&amp;P)'!K8900, TODAY(), "M")&lt;18),
    1.10,
    1.00)</f>
        <v/>
      </c>
      <c r="O8900">
        <f>IF('Loan Tape (S&amp;P)'!T8900="Yes",
    1.35,
    1.00)</f>
        <v/>
      </c>
      <c r="P8900">
        <f>IF('Loan Tape (S&amp;P)'!S8900="Yes",
    1.15,
    1.00)</f>
        <v/>
      </c>
      <c r="Q8900">
        <f>IF('Loan Tape (S&amp;P)'!V8900="Yes",
    1.20,
    1.00)</f>
        <v/>
      </c>
      <c r="T8900">
        <f>LET(
    payment_method,'Loan Tape (S&amp;P)'!P8900,
    occupancy,'Loan Tape (S&amp;P)'!N8900,
    maturity_date,'Loan Tape (S&amp;P)'!L8900,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01">
      <c r="J8901">
        <f>LET(
    lien,'Loan Tape (S&amp;P)'!Q8901,
    IF(lien="First",1.00,
        IF(lien="Second",1.50,
            1.70)))</f>
        <v/>
      </c>
      <c r="K8901">
        <f>LET(
    purpose,'Loan Tape (S&amp;P)'!R8901,
    IF(purpose="Purchase",1.00,
        IF(purpose="Remortgage",1.00,
            1.20)))</f>
        <v/>
      </c>
      <c r="L8901">
        <f>LET(
    arrears_months,'Loan Tape (S&amp;P)'!AN8901,
    IF(arrears_months=0,1.00,
    IF(arrears_months=1,3.00,
    IF(arrears_months=2,5.00,
    IF(arrears_months=3,8.00,
    IF(arrears_months=4,10.00,
    IF(arrears_months=5,12.00,15.00)))))))</f>
        <v/>
      </c>
      <c r="M8901">
        <f>LET(
    seasoning_years,DATEDIF('Loan Tape (S&amp;P)'!K8901,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01">
        <f>IF(AND('Loan Tape (S&amp;P)'!U8901="Yes",
        'Loan Tape (S&amp;P)'!T8901&lt;&gt;"Yes",
        DATEDIF('Loan Tape (S&amp;P)'!K8901, TODAY(), "M")&lt;18),
    1.10,
    1.00)</f>
        <v/>
      </c>
      <c r="O8901">
        <f>IF('Loan Tape (S&amp;P)'!T8901="Yes",
    1.35,
    1.00)</f>
        <v/>
      </c>
      <c r="P8901">
        <f>IF('Loan Tape (S&amp;P)'!S8901="Yes",
    1.15,
    1.00)</f>
        <v/>
      </c>
      <c r="Q8901">
        <f>IF('Loan Tape (S&amp;P)'!V8901="Yes",
    1.20,
    1.00)</f>
        <v/>
      </c>
      <c r="T8901">
        <f>LET(
    payment_method,'Loan Tape (S&amp;P)'!P8901,
    occupancy,'Loan Tape (S&amp;P)'!N8901,
    maturity_date,'Loan Tape (S&amp;P)'!L8901,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02">
      <c r="J8902">
        <f>LET(
    lien,'Loan Tape (S&amp;P)'!Q8902,
    IF(lien="First",1.00,
        IF(lien="Second",1.50,
            1.70)))</f>
        <v/>
      </c>
      <c r="K8902">
        <f>LET(
    purpose,'Loan Tape (S&amp;P)'!R8902,
    IF(purpose="Purchase",1.00,
        IF(purpose="Remortgage",1.00,
            1.20)))</f>
        <v/>
      </c>
      <c r="L8902">
        <f>LET(
    arrears_months,'Loan Tape (S&amp;P)'!AN8902,
    IF(arrears_months=0,1.00,
    IF(arrears_months=1,3.00,
    IF(arrears_months=2,5.00,
    IF(arrears_months=3,8.00,
    IF(arrears_months=4,10.00,
    IF(arrears_months=5,12.00,15.00)))))))</f>
        <v/>
      </c>
      <c r="M8902">
        <f>LET(
    seasoning_years,DATEDIF('Loan Tape (S&amp;P)'!K8902,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02">
        <f>IF(AND('Loan Tape (S&amp;P)'!U8902="Yes",
        'Loan Tape (S&amp;P)'!T8902&lt;&gt;"Yes",
        DATEDIF('Loan Tape (S&amp;P)'!K8902, TODAY(), "M")&lt;18),
    1.10,
    1.00)</f>
        <v/>
      </c>
      <c r="O8902">
        <f>IF('Loan Tape (S&amp;P)'!T8902="Yes",
    1.35,
    1.00)</f>
        <v/>
      </c>
      <c r="P8902">
        <f>IF('Loan Tape (S&amp;P)'!S8902="Yes",
    1.15,
    1.00)</f>
        <v/>
      </c>
      <c r="Q8902">
        <f>IF('Loan Tape (S&amp;P)'!V8902="Yes",
    1.20,
    1.00)</f>
        <v/>
      </c>
      <c r="T8902">
        <f>LET(
    payment_method,'Loan Tape (S&amp;P)'!P8902,
    occupancy,'Loan Tape (S&amp;P)'!N8902,
    maturity_date,'Loan Tape (S&amp;P)'!L8902,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03">
      <c r="J8903">
        <f>LET(
    lien,'Loan Tape (S&amp;P)'!Q8903,
    IF(lien="First",1.00,
        IF(lien="Second",1.50,
            1.70)))</f>
        <v/>
      </c>
      <c r="K8903">
        <f>LET(
    purpose,'Loan Tape (S&amp;P)'!R8903,
    IF(purpose="Purchase",1.00,
        IF(purpose="Remortgage",1.00,
            1.20)))</f>
        <v/>
      </c>
      <c r="L8903">
        <f>LET(
    arrears_months,'Loan Tape (S&amp;P)'!AN8903,
    IF(arrears_months=0,1.00,
    IF(arrears_months=1,3.00,
    IF(arrears_months=2,5.00,
    IF(arrears_months=3,8.00,
    IF(arrears_months=4,10.00,
    IF(arrears_months=5,12.00,15.00)))))))</f>
        <v/>
      </c>
      <c r="M8903">
        <f>LET(
    seasoning_years,DATEDIF('Loan Tape (S&amp;P)'!K8903,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03">
        <f>IF(AND('Loan Tape (S&amp;P)'!U8903="Yes",
        'Loan Tape (S&amp;P)'!T8903&lt;&gt;"Yes",
        DATEDIF('Loan Tape (S&amp;P)'!K8903, TODAY(), "M")&lt;18),
    1.10,
    1.00)</f>
        <v/>
      </c>
      <c r="O8903">
        <f>IF('Loan Tape (S&amp;P)'!T8903="Yes",
    1.35,
    1.00)</f>
        <v/>
      </c>
      <c r="P8903">
        <f>IF('Loan Tape (S&amp;P)'!S8903="Yes",
    1.15,
    1.00)</f>
        <v/>
      </c>
      <c r="Q8903">
        <f>IF('Loan Tape (S&amp;P)'!V8903="Yes",
    1.20,
    1.00)</f>
        <v/>
      </c>
      <c r="T8903">
        <f>LET(
    payment_method,'Loan Tape (S&amp;P)'!P8903,
    occupancy,'Loan Tape (S&amp;P)'!N8903,
    maturity_date,'Loan Tape (S&amp;P)'!L8903,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04">
      <c r="J8904">
        <f>LET(
    lien,'Loan Tape (S&amp;P)'!Q8904,
    IF(lien="First",1.00,
        IF(lien="Second",1.50,
            1.70)))</f>
        <v/>
      </c>
      <c r="K8904">
        <f>LET(
    purpose,'Loan Tape (S&amp;P)'!R8904,
    IF(purpose="Purchase",1.00,
        IF(purpose="Remortgage",1.00,
            1.20)))</f>
        <v/>
      </c>
      <c r="L8904">
        <f>LET(
    arrears_months,'Loan Tape (S&amp;P)'!AN8904,
    IF(arrears_months=0,1.00,
    IF(arrears_months=1,3.00,
    IF(arrears_months=2,5.00,
    IF(arrears_months=3,8.00,
    IF(arrears_months=4,10.00,
    IF(arrears_months=5,12.00,15.00)))))))</f>
        <v/>
      </c>
      <c r="M8904">
        <f>LET(
    seasoning_years,DATEDIF('Loan Tape (S&amp;P)'!K8904,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04">
        <f>IF(AND('Loan Tape (S&amp;P)'!U8904="Yes",
        'Loan Tape (S&amp;P)'!T8904&lt;&gt;"Yes",
        DATEDIF('Loan Tape (S&amp;P)'!K8904, TODAY(), "M")&lt;18),
    1.10,
    1.00)</f>
        <v/>
      </c>
      <c r="O8904">
        <f>IF('Loan Tape (S&amp;P)'!T8904="Yes",
    1.35,
    1.00)</f>
        <v/>
      </c>
      <c r="P8904">
        <f>IF('Loan Tape (S&amp;P)'!S8904="Yes",
    1.15,
    1.00)</f>
        <v/>
      </c>
      <c r="Q8904">
        <f>IF('Loan Tape (S&amp;P)'!V8904="Yes",
    1.20,
    1.00)</f>
        <v/>
      </c>
      <c r="T8904">
        <f>LET(
    payment_method,'Loan Tape (S&amp;P)'!P8904,
    occupancy,'Loan Tape (S&amp;P)'!N8904,
    maturity_date,'Loan Tape (S&amp;P)'!L8904,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05">
      <c r="J8905">
        <f>LET(
    lien,'Loan Tape (S&amp;P)'!Q8905,
    IF(lien="First",1.00,
        IF(lien="Second",1.50,
            1.70)))</f>
        <v/>
      </c>
      <c r="K8905">
        <f>LET(
    purpose,'Loan Tape (S&amp;P)'!R8905,
    IF(purpose="Purchase",1.00,
        IF(purpose="Remortgage",1.00,
            1.20)))</f>
        <v/>
      </c>
      <c r="L8905">
        <f>LET(
    arrears_months,'Loan Tape (S&amp;P)'!AN8905,
    IF(arrears_months=0,1.00,
    IF(arrears_months=1,3.00,
    IF(arrears_months=2,5.00,
    IF(arrears_months=3,8.00,
    IF(arrears_months=4,10.00,
    IF(arrears_months=5,12.00,15.00)))))))</f>
        <v/>
      </c>
      <c r="M8905">
        <f>LET(
    seasoning_years,DATEDIF('Loan Tape (S&amp;P)'!K8905,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05">
        <f>IF(AND('Loan Tape (S&amp;P)'!U8905="Yes",
        'Loan Tape (S&amp;P)'!T8905&lt;&gt;"Yes",
        DATEDIF('Loan Tape (S&amp;P)'!K8905, TODAY(), "M")&lt;18),
    1.10,
    1.00)</f>
        <v/>
      </c>
      <c r="O8905">
        <f>IF('Loan Tape (S&amp;P)'!T8905="Yes",
    1.35,
    1.00)</f>
        <v/>
      </c>
      <c r="P8905">
        <f>IF('Loan Tape (S&amp;P)'!S8905="Yes",
    1.15,
    1.00)</f>
        <v/>
      </c>
      <c r="Q8905">
        <f>IF('Loan Tape (S&amp;P)'!V8905="Yes",
    1.20,
    1.00)</f>
        <v/>
      </c>
      <c r="T8905">
        <f>LET(
    payment_method,'Loan Tape (S&amp;P)'!P8905,
    occupancy,'Loan Tape (S&amp;P)'!N8905,
    maturity_date,'Loan Tape (S&amp;P)'!L8905,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06">
      <c r="J8906">
        <f>LET(
    lien,'Loan Tape (S&amp;P)'!Q8906,
    IF(lien="First",1.00,
        IF(lien="Second",1.50,
            1.70)))</f>
        <v/>
      </c>
      <c r="K8906">
        <f>LET(
    purpose,'Loan Tape (S&amp;P)'!R8906,
    IF(purpose="Purchase",1.00,
        IF(purpose="Remortgage",1.00,
            1.20)))</f>
        <v/>
      </c>
      <c r="L8906">
        <f>LET(
    arrears_months,'Loan Tape (S&amp;P)'!AN8906,
    IF(arrears_months=0,1.00,
    IF(arrears_months=1,3.00,
    IF(arrears_months=2,5.00,
    IF(arrears_months=3,8.00,
    IF(arrears_months=4,10.00,
    IF(arrears_months=5,12.00,15.00)))))))</f>
        <v/>
      </c>
      <c r="M8906">
        <f>LET(
    seasoning_years,DATEDIF('Loan Tape (S&amp;P)'!K8906,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06">
        <f>IF(AND('Loan Tape (S&amp;P)'!U8906="Yes",
        'Loan Tape (S&amp;P)'!T8906&lt;&gt;"Yes",
        DATEDIF('Loan Tape (S&amp;P)'!K8906, TODAY(), "M")&lt;18),
    1.10,
    1.00)</f>
        <v/>
      </c>
      <c r="O8906">
        <f>IF('Loan Tape (S&amp;P)'!T8906="Yes",
    1.35,
    1.00)</f>
        <v/>
      </c>
      <c r="P8906">
        <f>IF('Loan Tape (S&amp;P)'!S8906="Yes",
    1.15,
    1.00)</f>
        <v/>
      </c>
      <c r="Q8906">
        <f>IF('Loan Tape (S&amp;P)'!V8906="Yes",
    1.20,
    1.00)</f>
        <v/>
      </c>
      <c r="T8906">
        <f>LET(
    payment_method,'Loan Tape (S&amp;P)'!P8906,
    occupancy,'Loan Tape (S&amp;P)'!N8906,
    maturity_date,'Loan Tape (S&amp;P)'!L8906,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07">
      <c r="J8907">
        <f>LET(
    lien,'Loan Tape (S&amp;P)'!Q8907,
    IF(lien="First",1.00,
        IF(lien="Second",1.50,
            1.70)))</f>
        <v/>
      </c>
      <c r="K8907">
        <f>LET(
    purpose,'Loan Tape (S&amp;P)'!R8907,
    IF(purpose="Purchase",1.00,
        IF(purpose="Remortgage",1.00,
            1.20)))</f>
        <v/>
      </c>
      <c r="L8907">
        <f>LET(
    arrears_months,'Loan Tape (S&amp;P)'!AN8907,
    IF(arrears_months=0,1.00,
    IF(arrears_months=1,3.00,
    IF(arrears_months=2,5.00,
    IF(arrears_months=3,8.00,
    IF(arrears_months=4,10.00,
    IF(arrears_months=5,12.00,15.00)))))))</f>
        <v/>
      </c>
      <c r="M8907">
        <f>LET(
    seasoning_years,DATEDIF('Loan Tape (S&amp;P)'!K8907,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07">
        <f>IF(AND('Loan Tape (S&amp;P)'!U8907="Yes",
        'Loan Tape (S&amp;P)'!T8907&lt;&gt;"Yes",
        DATEDIF('Loan Tape (S&amp;P)'!K8907, TODAY(), "M")&lt;18),
    1.10,
    1.00)</f>
        <v/>
      </c>
      <c r="O8907">
        <f>IF('Loan Tape (S&amp;P)'!T8907="Yes",
    1.35,
    1.00)</f>
        <v/>
      </c>
      <c r="P8907">
        <f>IF('Loan Tape (S&amp;P)'!S8907="Yes",
    1.15,
    1.00)</f>
        <v/>
      </c>
      <c r="Q8907">
        <f>IF('Loan Tape (S&amp;P)'!V8907="Yes",
    1.20,
    1.00)</f>
        <v/>
      </c>
      <c r="T8907">
        <f>LET(
    payment_method,'Loan Tape (S&amp;P)'!P8907,
    occupancy,'Loan Tape (S&amp;P)'!N8907,
    maturity_date,'Loan Tape (S&amp;P)'!L8907,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08">
      <c r="J8908">
        <f>LET(
    lien,'Loan Tape (S&amp;P)'!Q8908,
    IF(lien="First",1.00,
        IF(lien="Second",1.50,
            1.70)))</f>
        <v/>
      </c>
      <c r="K8908">
        <f>LET(
    purpose,'Loan Tape (S&amp;P)'!R8908,
    IF(purpose="Purchase",1.00,
        IF(purpose="Remortgage",1.00,
            1.20)))</f>
        <v/>
      </c>
      <c r="L8908">
        <f>LET(
    arrears_months,'Loan Tape (S&amp;P)'!AN8908,
    IF(arrears_months=0,1.00,
    IF(arrears_months=1,3.00,
    IF(arrears_months=2,5.00,
    IF(arrears_months=3,8.00,
    IF(arrears_months=4,10.00,
    IF(arrears_months=5,12.00,15.00)))))))</f>
        <v/>
      </c>
      <c r="M8908">
        <f>LET(
    seasoning_years,DATEDIF('Loan Tape (S&amp;P)'!K8908,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08">
        <f>IF(AND('Loan Tape (S&amp;P)'!U8908="Yes",
        'Loan Tape (S&amp;P)'!T8908&lt;&gt;"Yes",
        DATEDIF('Loan Tape (S&amp;P)'!K8908, TODAY(), "M")&lt;18),
    1.10,
    1.00)</f>
        <v/>
      </c>
      <c r="O8908">
        <f>IF('Loan Tape (S&amp;P)'!T8908="Yes",
    1.35,
    1.00)</f>
        <v/>
      </c>
      <c r="P8908">
        <f>IF('Loan Tape (S&amp;P)'!S8908="Yes",
    1.15,
    1.00)</f>
        <v/>
      </c>
      <c r="Q8908">
        <f>IF('Loan Tape (S&amp;P)'!V8908="Yes",
    1.20,
    1.00)</f>
        <v/>
      </c>
      <c r="T8908">
        <f>LET(
    payment_method,'Loan Tape (S&amp;P)'!P8908,
    occupancy,'Loan Tape (S&amp;P)'!N8908,
    maturity_date,'Loan Tape (S&amp;P)'!L8908,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09">
      <c r="J8909">
        <f>LET(
    lien,'Loan Tape (S&amp;P)'!Q8909,
    IF(lien="First",1.00,
        IF(lien="Second",1.50,
            1.70)))</f>
        <v/>
      </c>
      <c r="K8909">
        <f>LET(
    purpose,'Loan Tape (S&amp;P)'!R8909,
    IF(purpose="Purchase",1.00,
        IF(purpose="Remortgage",1.00,
            1.20)))</f>
        <v/>
      </c>
      <c r="L8909">
        <f>LET(
    arrears_months,'Loan Tape (S&amp;P)'!AN8909,
    IF(arrears_months=0,1.00,
    IF(arrears_months=1,3.00,
    IF(arrears_months=2,5.00,
    IF(arrears_months=3,8.00,
    IF(arrears_months=4,10.00,
    IF(arrears_months=5,12.00,15.00)))))))</f>
        <v/>
      </c>
      <c r="M8909">
        <f>LET(
    seasoning_years,DATEDIF('Loan Tape (S&amp;P)'!K8909,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09">
        <f>IF(AND('Loan Tape (S&amp;P)'!U8909="Yes",
        'Loan Tape (S&amp;P)'!T8909&lt;&gt;"Yes",
        DATEDIF('Loan Tape (S&amp;P)'!K8909, TODAY(), "M")&lt;18),
    1.10,
    1.00)</f>
        <v/>
      </c>
      <c r="O8909">
        <f>IF('Loan Tape (S&amp;P)'!T8909="Yes",
    1.35,
    1.00)</f>
        <v/>
      </c>
      <c r="P8909">
        <f>IF('Loan Tape (S&amp;P)'!S8909="Yes",
    1.15,
    1.00)</f>
        <v/>
      </c>
      <c r="Q8909">
        <f>IF('Loan Tape (S&amp;P)'!V8909="Yes",
    1.20,
    1.00)</f>
        <v/>
      </c>
      <c r="T8909">
        <f>LET(
    payment_method,'Loan Tape (S&amp;P)'!P8909,
    occupancy,'Loan Tape (S&amp;P)'!N8909,
    maturity_date,'Loan Tape (S&amp;P)'!L8909,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10">
      <c r="J8910">
        <f>LET(
    lien,'Loan Tape (S&amp;P)'!Q8910,
    IF(lien="First",1.00,
        IF(lien="Second",1.50,
            1.70)))</f>
        <v/>
      </c>
      <c r="K8910">
        <f>LET(
    purpose,'Loan Tape (S&amp;P)'!R8910,
    IF(purpose="Purchase",1.00,
        IF(purpose="Remortgage",1.00,
            1.20)))</f>
        <v/>
      </c>
      <c r="L8910">
        <f>LET(
    arrears_months,'Loan Tape (S&amp;P)'!AN8910,
    IF(arrears_months=0,1.00,
    IF(arrears_months=1,3.00,
    IF(arrears_months=2,5.00,
    IF(arrears_months=3,8.00,
    IF(arrears_months=4,10.00,
    IF(arrears_months=5,12.00,15.00)))))))</f>
        <v/>
      </c>
      <c r="M8910">
        <f>LET(
    seasoning_years,DATEDIF('Loan Tape (S&amp;P)'!K8910,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10">
        <f>IF(AND('Loan Tape (S&amp;P)'!U8910="Yes",
        'Loan Tape (S&amp;P)'!T8910&lt;&gt;"Yes",
        DATEDIF('Loan Tape (S&amp;P)'!K8910, TODAY(), "M")&lt;18),
    1.10,
    1.00)</f>
        <v/>
      </c>
      <c r="O8910">
        <f>IF('Loan Tape (S&amp;P)'!T8910="Yes",
    1.35,
    1.00)</f>
        <v/>
      </c>
      <c r="P8910">
        <f>IF('Loan Tape (S&amp;P)'!S8910="Yes",
    1.15,
    1.00)</f>
        <v/>
      </c>
      <c r="Q8910">
        <f>IF('Loan Tape (S&amp;P)'!V8910="Yes",
    1.20,
    1.00)</f>
        <v/>
      </c>
      <c r="T8910">
        <f>LET(
    payment_method,'Loan Tape (S&amp;P)'!P8910,
    occupancy,'Loan Tape (S&amp;P)'!N8910,
    maturity_date,'Loan Tape (S&amp;P)'!L8910,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11">
      <c r="J8911">
        <f>LET(
    lien,'Loan Tape (S&amp;P)'!Q8911,
    IF(lien="First",1.00,
        IF(lien="Second",1.50,
            1.70)))</f>
        <v/>
      </c>
      <c r="K8911">
        <f>LET(
    purpose,'Loan Tape (S&amp;P)'!R8911,
    IF(purpose="Purchase",1.00,
        IF(purpose="Remortgage",1.00,
            1.20)))</f>
        <v/>
      </c>
      <c r="L8911">
        <f>LET(
    arrears_months,'Loan Tape (S&amp;P)'!AN8911,
    IF(arrears_months=0,1.00,
    IF(arrears_months=1,3.00,
    IF(arrears_months=2,5.00,
    IF(arrears_months=3,8.00,
    IF(arrears_months=4,10.00,
    IF(arrears_months=5,12.00,15.00)))))))</f>
        <v/>
      </c>
      <c r="M8911">
        <f>LET(
    seasoning_years,DATEDIF('Loan Tape (S&amp;P)'!K8911,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11">
        <f>IF(AND('Loan Tape (S&amp;P)'!U8911="Yes",
        'Loan Tape (S&amp;P)'!T8911&lt;&gt;"Yes",
        DATEDIF('Loan Tape (S&amp;P)'!K8911, TODAY(), "M")&lt;18),
    1.10,
    1.00)</f>
        <v/>
      </c>
      <c r="O8911">
        <f>IF('Loan Tape (S&amp;P)'!T8911="Yes",
    1.35,
    1.00)</f>
        <v/>
      </c>
      <c r="P8911">
        <f>IF('Loan Tape (S&amp;P)'!S8911="Yes",
    1.15,
    1.00)</f>
        <v/>
      </c>
      <c r="Q8911">
        <f>IF('Loan Tape (S&amp;P)'!V8911="Yes",
    1.20,
    1.00)</f>
        <v/>
      </c>
      <c r="T8911">
        <f>LET(
    payment_method,'Loan Tape (S&amp;P)'!P8911,
    occupancy,'Loan Tape (S&amp;P)'!N8911,
    maturity_date,'Loan Tape (S&amp;P)'!L8911,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12">
      <c r="J8912">
        <f>LET(
    lien,'Loan Tape (S&amp;P)'!Q8912,
    IF(lien="First",1.00,
        IF(lien="Second",1.50,
            1.70)))</f>
        <v/>
      </c>
      <c r="K8912">
        <f>LET(
    purpose,'Loan Tape (S&amp;P)'!R8912,
    IF(purpose="Purchase",1.00,
        IF(purpose="Remortgage",1.00,
            1.20)))</f>
        <v/>
      </c>
      <c r="L8912">
        <f>LET(
    arrears_months,'Loan Tape (S&amp;P)'!AN8912,
    IF(arrears_months=0,1.00,
    IF(arrears_months=1,3.00,
    IF(arrears_months=2,5.00,
    IF(arrears_months=3,8.00,
    IF(arrears_months=4,10.00,
    IF(arrears_months=5,12.00,15.00)))))))</f>
        <v/>
      </c>
      <c r="M8912">
        <f>LET(
    seasoning_years,DATEDIF('Loan Tape (S&amp;P)'!K8912,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12">
        <f>IF(AND('Loan Tape (S&amp;P)'!U8912="Yes",
        'Loan Tape (S&amp;P)'!T8912&lt;&gt;"Yes",
        DATEDIF('Loan Tape (S&amp;P)'!K8912, TODAY(), "M")&lt;18),
    1.10,
    1.00)</f>
        <v/>
      </c>
      <c r="O8912">
        <f>IF('Loan Tape (S&amp;P)'!T8912="Yes",
    1.35,
    1.00)</f>
        <v/>
      </c>
      <c r="P8912">
        <f>IF('Loan Tape (S&amp;P)'!S8912="Yes",
    1.15,
    1.00)</f>
        <v/>
      </c>
      <c r="Q8912">
        <f>IF('Loan Tape (S&amp;P)'!V8912="Yes",
    1.20,
    1.00)</f>
        <v/>
      </c>
      <c r="T8912">
        <f>LET(
    payment_method,'Loan Tape (S&amp;P)'!P8912,
    occupancy,'Loan Tape (S&amp;P)'!N8912,
    maturity_date,'Loan Tape (S&amp;P)'!L8912,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13">
      <c r="J8913">
        <f>LET(
    lien,'Loan Tape (S&amp;P)'!Q8913,
    IF(lien="First",1.00,
        IF(lien="Second",1.50,
            1.70)))</f>
        <v/>
      </c>
      <c r="K8913">
        <f>LET(
    purpose,'Loan Tape (S&amp;P)'!R8913,
    IF(purpose="Purchase",1.00,
        IF(purpose="Remortgage",1.00,
            1.20)))</f>
        <v/>
      </c>
      <c r="L8913">
        <f>LET(
    arrears_months,'Loan Tape (S&amp;P)'!AN8913,
    IF(arrears_months=0,1.00,
    IF(arrears_months=1,3.00,
    IF(arrears_months=2,5.00,
    IF(arrears_months=3,8.00,
    IF(arrears_months=4,10.00,
    IF(arrears_months=5,12.00,15.00)))))))</f>
        <v/>
      </c>
      <c r="M8913">
        <f>LET(
    seasoning_years,DATEDIF('Loan Tape (S&amp;P)'!K8913,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13">
        <f>IF(AND('Loan Tape (S&amp;P)'!U8913="Yes",
        'Loan Tape (S&amp;P)'!T8913&lt;&gt;"Yes",
        DATEDIF('Loan Tape (S&amp;P)'!K8913, TODAY(), "M")&lt;18),
    1.10,
    1.00)</f>
        <v/>
      </c>
      <c r="O8913">
        <f>IF('Loan Tape (S&amp;P)'!T8913="Yes",
    1.35,
    1.00)</f>
        <v/>
      </c>
      <c r="P8913">
        <f>IF('Loan Tape (S&amp;P)'!S8913="Yes",
    1.15,
    1.00)</f>
        <v/>
      </c>
      <c r="Q8913">
        <f>IF('Loan Tape (S&amp;P)'!V8913="Yes",
    1.20,
    1.00)</f>
        <v/>
      </c>
      <c r="T8913">
        <f>LET(
    payment_method,'Loan Tape (S&amp;P)'!P8913,
    occupancy,'Loan Tape (S&amp;P)'!N8913,
    maturity_date,'Loan Tape (S&amp;P)'!L8913,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14">
      <c r="J8914">
        <f>LET(
    lien,'Loan Tape (S&amp;P)'!Q8914,
    IF(lien="First",1.00,
        IF(lien="Second",1.50,
            1.70)))</f>
        <v/>
      </c>
      <c r="K8914">
        <f>LET(
    purpose,'Loan Tape (S&amp;P)'!R8914,
    IF(purpose="Purchase",1.00,
        IF(purpose="Remortgage",1.00,
            1.20)))</f>
        <v/>
      </c>
      <c r="L8914">
        <f>LET(
    arrears_months,'Loan Tape (S&amp;P)'!AN8914,
    IF(arrears_months=0,1.00,
    IF(arrears_months=1,3.00,
    IF(arrears_months=2,5.00,
    IF(arrears_months=3,8.00,
    IF(arrears_months=4,10.00,
    IF(arrears_months=5,12.00,15.00)))))))</f>
        <v/>
      </c>
      <c r="M8914">
        <f>LET(
    seasoning_years,DATEDIF('Loan Tape (S&amp;P)'!K8914,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14">
        <f>IF(AND('Loan Tape (S&amp;P)'!U8914="Yes",
        'Loan Tape (S&amp;P)'!T8914&lt;&gt;"Yes",
        DATEDIF('Loan Tape (S&amp;P)'!K8914, TODAY(), "M")&lt;18),
    1.10,
    1.00)</f>
        <v/>
      </c>
      <c r="O8914">
        <f>IF('Loan Tape (S&amp;P)'!T8914="Yes",
    1.35,
    1.00)</f>
        <v/>
      </c>
      <c r="P8914">
        <f>IF('Loan Tape (S&amp;P)'!S8914="Yes",
    1.15,
    1.00)</f>
        <v/>
      </c>
      <c r="Q8914">
        <f>IF('Loan Tape (S&amp;P)'!V8914="Yes",
    1.20,
    1.00)</f>
        <v/>
      </c>
      <c r="T8914">
        <f>LET(
    payment_method,'Loan Tape (S&amp;P)'!P8914,
    occupancy,'Loan Tape (S&amp;P)'!N8914,
    maturity_date,'Loan Tape (S&amp;P)'!L8914,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15">
      <c r="J8915">
        <f>LET(
    lien,'Loan Tape (S&amp;P)'!Q8915,
    IF(lien="First",1.00,
        IF(lien="Second",1.50,
            1.70)))</f>
        <v/>
      </c>
      <c r="K8915">
        <f>LET(
    purpose,'Loan Tape (S&amp;P)'!R8915,
    IF(purpose="Purchase",1.00,
        IF(purpose="Remortgage",1.00,
            1.20)))</f>
        <v/>
      </c>
      <c r="L8915">
        <f>LET(
    arrears_months,'Loan Tape (S&amp;P)'!AN8915,
    IF(arrears_months=0,1.00,
    IF(arrears_months=1,3.00,
    IF(arrears_months=2,5.00,
    IF(arrears_months=3,8.00,
    IF(arrears_months=4,10.00,
    IF(arrears_months=5,12.00,15.00)))))))</f>
        <v/>
      </c>
      <c r="M8915">
        <f>LET(
    seasoning_years,DATEDIF('Loan Tape (S&amp;P)'!K8915,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15">
        <f>IF(AND('Loan Tape (S&amp;P)'!U8915="Yes",
        'Loan Tape (S&amp;P)'!T8915&lt;&gt;"Yes",
        DATEDIF('Loan Tape (S&amp;P)'!K8915, TODAY(), "M")&lt;18),
    1.10,
    1.00)</f>
        <v/>
      </c>
      <c r="O8915">
        <f>IF('Loan Tape (S&amp;P)'!T8915="Yes",
    1.35,
    1.00)</f>
        <v/>
      </c>
      <c r="P8915">
        <f>IF('Loan Tape (S&amp;P)'!S8915="Yes",
    1.15,
    1.00)</f>
        <v/>
      </c>
      <c r="Q8915">
        <f>IF('Loan Tape (S&amp;P)'!V8915="Yes",
    1.20,
    1.00)</f>
        <v/>
      </c>
      <c r="T8915">
        <f>LET(
    payment_method,'Loan Tape (S&amp;P)'!P8915,
    occupancy,'Loan Tape (S&amp;P)'!N8915,
    maturity_date,'Loan Tape (S&amp;P)'!L8915,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16">
      <c r="J8916">
        <f>LET(
    lien,'Loan Tape (S&amp;P)'!Q8916,
    IF(lien="First",1.00,
        IF(lien="Second",1.50,
            1.70)))</f>
        <v/>
      </c>
      <c r="K8916">
        <f>LET(
    purpose,'Loan Tape (S&amp;P)'!R8916,
    IF(purpose="Purchase",1.00,
        IF(purpose="Remortgage",1.00,
            1.20)))</f>
        <v/>
      </c>
      <c r="L8916">
        <f>LET(
    arrears_months,'Loan Tape (S&amp;P)'!AN8916,
    IF(arrears_months=0,1.00,
    IF(arrears_months=1,3.00,
    IF(arrears_months=2,5.00,
    IF(arrears_months=3,8.00,
    IF(arrears_months=4,10.00,
    IF(arrears_months=5,12.00,15.00)))))))</f>
        <v/>
      </c>
      <c r="M8916">
        <f>LET(
    seasoning_years,DATEDIF('Loan Tape (S&amp;P)'!K8916,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16">
        <f>IF(AND('Loan Tape (S&amp;P)'!U8916="Yes",
        'Loan Tape (S&amp;P)'!T8916&lt;&gt;"Yes",
        DATEDIF('Loan Tape (S&amp;P)'!K8916, TODAY(), "M")&lt;18),
    1.10,
    1.00)</f>
        <v/>
      </c>
      <c r="O8916">
        <f>IF('Loan Tape (S&amp;P)'!T8916="Yes",
    1.35,
    1.00)</f>
        <v/>
      </c>
      <c r="P8916">
        <f>IF('Loan Tape (S&amp;P)'!S8916="Yes",
    1.15,
    1.00)</f>
        <v/>
      </c>
      <c r="Q8916">
        <f>IF('Loan Tape (S&amp;P)'!V8916="Yes",
    1.20,
    1.00)</f>
        <v/>
      </c>
      <c r="T8916">
        <f>LET(
    payment_method,'Loan Tape (S&amp;P)'!P8916,
    occupancy,'Loan Tape (S&amp;P)'!N8916,
    maturity_date,'Loan Tape (S&amp;P)'!L8916,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17">
      <c r="J8917">
        <f>LET(
    lien,'Loan Tape (S&amp;P)'!Q8917,
    IF(lien="First",1.00,
        IF(lien="Second",1.50,
            1.70)))</f>
        <v/>
      </c>
      <c r="K8917">
        <f>LET(
    purpose,'Loan Tape (S&amp;P)'!R8917,
    IF(purpose="Purchase",1.00,
        IF(purpose="Remortgage",1.00,
            1.20)))</f>
        <v/>
      </c>
      <c r="L8917">
        <f>LET(
    arrears_months,'Loan Tape (S&amp;P)'!AN8917,
    IF(arrears_months=0,1.00,
    IF(arrears_months=1,3.00,
    IF(arrears_months=2,5.00,
    IF(arrears_months=3,8.00,
    IF(arrears_months=4,10.00,
    IF(arrears_months=5,12.00,15.00)))))))</f>
        <v/>
      </c>
      <c r="M8917">
        <f>LET(
    seasoning_years,DATEDIF('Loan Tape (S&amp;P)'!K8917,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17">
        <f>IF(AND('Loan Tape (S&amp;P)'!U8917="Yes",
        'Loan Tape (S&amp;P)'!T8917&lt;&gt;"Yes",
        DATEDIF('Loan Tape (S&amp;P)'!K8917, TODAY(), "M")&lt;18),
    1.10,
    1.00)</f>
        <v/>
      </c>
      <c r="O8917">
        <f>IF('Loan Tape (S&amp;P)'!T8917="Yes",
    1.35,
    1.00)</f>
        <v/>
      </c>
      <c r="P8917">
        <f>IF('Loan Tape (S&amp;P)'!S8917="Yes",
    1.15,
    1.00)</f>
        <v/>
      </c>
      <c r="Q8917">
        <f>IF('Loan Tape (S&amp;P)'!V8917="Yes",
    1.20,
    1.00)</f>
        <v/>
      </c>
      <c r="T8917">
        <f>LET(
    payment_method,'Loan Tape (S&amp;P)'!P8917,
    occupancy,'Loan Tape (S&amp;P)'!N8917,
    maturity_date,'Loan Tape (S&amp;P)'!L8917,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18">
      <c r="J8918">
        <f>LET(
    lien,'Loan Tape (S&amp;P)'!Q8918,
    IF(lien="First",1.00,
        IF(lien="Second",1.50,
            1.70)))</f>
        <v/>
      </c>
      <c r="K8918">
        <f>LET(
    purpose,'Loan Tape (S&amp;P)'!R8918,
    IF(purpose="Purchase",1.00,
        IF(purpose="Remortgage",1.00,
            1.20)))</f>
        <v/>
      </c>
      <c r="L8918">
        <f>LET(
    arrears_months,'Loan Tape (S&amp;P)'!AN8918,
    IF(arrears_months=0,1.00,
    IF(arrears_months=1,3.00,
    IF(arrears_months=2,5.00,
    IF(arrears_months=3,8.00,
    IF(arrears_months=4,10.00,
    IF(arrears_months=5,12.00,15.00)))))))</f>
        <v/>
      </c>
      <c r="M8918">
        <f>LET(
    seasoning_years,DATEDIF('Loan Tape (S&amp;P)'!K8918,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18">
        <f>IF(AND('Loan Tape (S&amp;P)'!U8918="Yes",
        'Loan Tape (S&amp;P)'!T8918&lt;&gt;"Yes",
        DATEDIF('Loan Tape (S&amp;P)'!K8918, TODAY(), "M")&lt;18),
    1.10,
    1.00)</f>
        <v/>
      </c>
      <c r="O8918">
        <f>IF('Loan Tape (S&amp;P)'!T8918="Yes",
    1.35,
    1.00)</f>
        <v/>
      </c>
      <c r="P8918">
        <f>IF('Loan Tape (S&amp;P)'!S8918="Yes",
    1.15,
    1.00)</f>
        <v/>
      </c>
      <c r="Q8918">
        <f>IF('Loan Tape (S&amp;P)'!V8918="Yes",
    1.20,
    1.00)</f>
        <v/>
      </c>
      <c r="T8918">
        <f>LET(
    payment_method,'Loan Tape (S&amp;P)'!P8918,
    occupancy,'Loan Tape (S&amp;P)'!N8918,
    maturity_date,'Loan Tape (S&amp;P)'!L8918,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19">
      <c r="J8919">
        <f>LET(
    lien,'Loan Tape (S&amp;P)'!Q8919,
    IF(lien="First",1.00,
        IF(lien="Second",1.50,
            1.70)))</f>
        <v/>
      </c>
      <c r="K8919">
        <f>LET(
    purpose,'Loan Tape (S&amp;P)'!R8919,
    IF(purpose="Purchase",1.00,
        IF(purpose="Remortgage",1.00,
            1.20)))</f>
        <v/>
      </c>
      <c r="L8919">
        <f>LET(
    arrears_months,'Loan Tape (S&amp;P)'!AN8919,
    IF(arrears_months=0,1.00,
    IF(arrears_months=1,3.00,
    IF(arrears_months=2,5.00,
    IF(arrears_months=3,8.00,
    IF(arrears_months=4,10.00,
    IF(arrears_months=5,12.00,15.00)))))))</f>
        <v/>
      </c>
      <c r="M8919">
        <f>LET(
    seasoning_years,DATEDIF('Loan Tape (S&amp;P)'!K8919,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19">
        <f>IF(AND('Loan Tape (S&amp;P)'!U8919="Yes",
        'Loan Tape (S&amp;P)'!T8919&lt;&gt;"Yes",
        DATEDIF('Loan Tape (S&amp;P)'!K8919, TODAY(), "M")&lt;18),
    1.10,
    1.00)</f>
        <v/>
      </c>
      <c r="O8919">
        <f>IF('Loan Tape (S&amp;P)'!T8919="Yes",
    1.35,
    1.00)</f>
        <v/>
      </c>
      <c r="P8919">
        <f>IF('Loan Tape (S&amp;P)'!S8919="Yes",
    1.15,
    1.00)</f>
        <v/>
      </c>
      <c r="Q8919">
        <f>IF('Loan Tape (S&amp;P)'!V8919="Yes",
    1.20,
    1.00)</f>
        <v/>
      </c>
      <c r="T8919">
        <f>LET(
    payment_method,'Loan Tape (S&amp;P)'!P8919,
    occupancy,'Loan Tape (S&amp;P)'!N8919,
    maturity_date,'Loan Tape (S&amp;P)'!L8919,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20">
      <c r="J8920">
        <f>LET(
    lien,'Loan Tape (S&amp;P)'!Q8920,
    IF(lien="First",1.00,
        IF(lien="Second",1.50,
            1.70)))</f>
        <v/>
      </c>
      <c r="K8920">
        <f>LET(
    purpose,'Loan Tape (S&amp;P)'!R8920,
    IF(purpose="Purchase",1.00,
        IF(purpose="Remortgage",1.00,
            1.20)))</f>
        <v/>
      </c>
      <c r="L8920">
        <f>LET(
    arrears_months,'Loan Tape (S&amp;P)'!AN8920,
    IF(arrears_months=0,1.00,
    IF(arrears_months=1,3.00,
    IF(arrears_months=2,5.00,
    IF(arrears_months=3,8.00,
    IF(arrears_months=4,10.00,
    IF(arrears_months=5,12.00,15.00)))))))</f>
        <v/>
      </c>
      <c r="M8920">
        <f>LET(
    seasoning_years,DATEDIF('Loan Tape (S&amp;P)'!K8920,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20">
        <f>IF(AND('Loan Tape (S&amp;P)'!U8920="Yes",
        'Loan Tape (S&amp;P)'!T8920&lt;&gt;"Yes",
        DATEDIF('Loan Tape (S&amp;P)'!K8920, TODAY(), "M")&lt;18),
    1.10,
    1.00)</f>
        <v/>
      </c>
      <c r="O8920">
        <f>IF('Loan Tape (S&amp;P)'!T8920="Yes",
    1.35,
    1.00)</f>
        <v/>
      </c>
      <c r="P8920">
        <f>IF('Loan Tape (S&amp;P)'!S8920="Yes",
    1.15,
    1.00)</f>
        <v/>
      </c>
      <c r="Q8920">
        <f>IF('Loan Tape (S&amp;P)'!V8920="Yes",
    1.20,
    1.00)</f>
        <v/>
      </c>
      <c r="T8920">
        <f>LET(
    payment_method,'Loan Tape (S&amp;P)'!P8920,
    occupancy,'Loan Tape (S&amp;P)'!N8920,
    maturity_date,'Loan Tape (S&amp;P)'!L8920,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21">
      <c r="J8921">
        <f>LET(
    lien,'Loan Tape (S&amp;P)'!Q8921,
    IF(lien="First",1.00,
        IF(lien="Second",1.50,
            1.70)))</f>
        <v/>
      </c>
      <c r="K8921">
        <f>LET(
    purpose,'Loan Tape (S&amp;P)'!R8921,
    IF(purpose="Purchase",1.00,
        IF(purpose="Remortgage",1.00,
            1.20)))</f>
        <v/>
      </c>
      <c r="L8921">
        <f>LET(
    arrears_months,'Loan Tape (S&amp;P)'!AN8921,
    IF(arrears_months=0,1.00,
    IF(arrears_months=1,3.00,
    IF(arrears_months=2,5.00,
    IF(arrears_months=3,8.00,
    IF(arrears_months=4,10.00,
    IF(arrears_months=5,12.00,15.00)))))))</f>
        <v/>
      </c>
      <c r="M8921">
        <f>LET(
    seasoning_years,DATEDIF('Loan Tape (S&amp;P)'!K8921,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21">
        <f>IF(AND('Loan Tape (S&amp;P)'!U8921="Yes",
        'Loan Tape (S&amp;P)'!T8921&lt;&gt;"Yes",
        DATEDIF('Loan Tape (S&amp;P)'!K8921, TODAY(), "M")&lt;18),
    1.10,
    1.00)</f>
        <v/>
      </c>
      <c r="O8921">
        <f>IF('Loan Tape (S&amp;P)'!T8921="Yes",
    1.35,
    1.00)</f>
        <v/>
      </c>
      <c r="P8921">
        <f>IF('Loan Tape (S&amp;P)'!S8921="Yes",
    1.15,
    1.00)</f>
        <v/>
      </c>
      <c r="Q8921">
        <f>IF('Loan Tape (S&amp;P)'!V8921="Yes",
    1.20,
    1.00)</f>
        <v/>
      </c>
      <c r="T8921">
        <f>LET(
    payment_method,'Loan Tape (S&amp;P)'!P8921,
    occupancy,'Loan Tape (S&amp;P)'!N8921,
    maturity_date,'Loan Tape (S&amp;P)'!L8921,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22">
      <c r="J8922">
        <f>LET(
    lien,'Loan Tape (S&amp;P)'!Q8922,
    IF(lien="First",1.00,
        IF(lien="Second",1.50,
            1.70)))</f>
        <v/>
      </c>
      <c r="K8922">
        <f>LET(
    purpose,'Loan Tape (S&amp;P)'!R8922,
    IF(purpose="Purchase",1.00,
        IF(purpose="Remortgage",1.00,
            1.20)))</f>
        <v/>
      </c>
      <c r="L8922">
        <f>LET(
    arrears_months,'Loan Tape (S&amp;P)'!AN8922,
    IF(arrears_months=0,1.00,
    IF(arrears_months=1,3.00,
    IF(arrears_months=2,5.00,
    IF(arrears_months=3,8.00,
    IF(arrears_months=4,10.00,
    IF(arrears_months=5,12.00,15.00)))))))</f>
        <v/>
      </c>
      <c r="M8922">
        <f>LET(
    seasoning_years,DATEDIF('Loan Tape (S&amp;P)'!K8922,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22">
        <f>IF(AND('Loan Tape (S&amp;P)'!U8922="Yes",
        'Loan Tape (S&amp;P)'!T8922&lt;&gt;"Yes",
        DATEDIF('Loan Tape (S&amp;P)'!K8922, TODAY(), "M")&lt;18),
    1.10,
    1.00)</f>
        <v/>
      </c>
      <c r="O8922">
        <f>IF('Loan Tape (S&amp;P)'!T8922="Yes",
    1.35,
    1.00)</f>
        <v/>
      </c>
      <c r="P8922">
        <f>IF('Loan Tape (S&amp;P)'!S8922="Yes",
    1.15,
    1.00)</f>
        <v/>
      </c>
      <c r="Q8922">
        <f>IF('Loan Tape (S&amp;P)'!V8922="Yes",
    1.20,
    1.00)</f>
        <v/>
      </c>
      <c r="T8922">
        <f>LET(
    payment_method,'Loan Tape (S&amp;P)'!P8922,
    occupancy,'Loan Tape (S&amp;P)'!N8922,
    maturity_date,'Loan Tape (S&amp;P)'!L8922,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23">
      <c r="J8923">
        <f>LET(
    lien,'Loan Tape (S&amp;P)'!Q8923,
    IF(lien="First",1.00,
        IF(lien="Second",1.50,
            1.70)))</f>
        <v/>
      </c>
      <c r="K8923">
        <f>LET(
    purpose,'Loan Tape (S&amp;P)'!R8923,
    IF(purpose="Purchase",1.00,
        IF(purpose="Remortgage",1.00,
            1.20)))</f>
        <v/>
      </c>
      <c r="L8923">
        <f>LET(
    arrears_months,'Loan Tape (S&amp;P)'!AN8923,
    IF(arrears_months=0,1.00,
    IF(arrears_months=1,3.00,
    IF(arrears_months=2,5.00,
    IF(arrears_months=3,8.00,
    IF(arrears_months=4,10.00,
    IF(arrears_months=5,12.00,15.00)))))))</f>
        <v/>
      </c>
      <c r="M8923">
        <f>LET(
    seasoning_years,DATEDIF('Loan Tape (S&amp;P)'!K8923,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23">
        <f>IF(AND('Loan Tape (S&amp;P)'!U8923="Yes",
        'Loan Tape (S&amp;P)'!T8923&lt;&gt;"Yes",
        DATEDIF('Loan Tape (S&amp;P)'!K8923, TODAY(), "M")&lt;18),
    1.10,
    1.00)</f>
        <v/>
      </c>
      <c r="O8923">
        <f>IF('Loan Tape (S&amp;P)'!T8923="Yes",
    1.35,
    1.00)</f>
        <v/>
      </c>
      <c r="P8923">
        <f>IF('Loan Tape (S&amp;P)'!S8923="Yes",
    1.15,
    1.00)</f>
        <v/>
      </c>
      <c r="Q8923">
        <f>IF('Loan Tape (S&amp;P)'!V8923="Yes",
    1.20,
    1.00)</f>
        <v/>
      </c>
      <c r="T8923">
        <f>LET(
    payment_method,'Loan Tape (S&amp;P)'!P8923,
    occupancy,'Loan Tape (S&amp;P)'!N8923,
    maturity_date,'Loan Tape (S&amp;P)'!L8923,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24">
      <c r="J8924">
        <f>LET(
    lien,'Loan Tape (S&amp;P)'!Q8924,
    IF(lien="First",1.00,
        IF(lien="Second",1.50,
            1.70)))</f>
        <v/>
      </c>
      <c r="K8924">
        <f>LET(
    purpose,'Loan Tape (S&amp;P)'!R8924,
    IF(purpose="Purchase",1.00,
        IF(purpose="Remortgage",1.00,
            1.20)))</f>
        <v/>
      </c>
      <c r="L8924">
        <f>LET(
    arrears_months,'Loan Tape (S&amp;P)'!AN8924,
    IF(arrears_months=0,1.00,
    IF(arrears_months=1,3.00,
    IF(arrears_months=2,5.00,
    IF(arrears_months=3,8.00,
    IF(arrears_months=4,10.00,
    IF(arrears_months=5,12.00,15.00)))))))</f>
        <v/>
      </c>
      <c r="M8924">
        <f>LET(
    seasoning_years,DATEDIF('Loan Tape (S&amp;P)'!K8924,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24">
        <f>IF(AND('Loan Tape (S&amp;P)'!U8924="Yes",
        'Loan Tape (S&amp;P)'!T8924&lt;&gt;"Yes",
        DATEDIF('Loan Tape (S&amp;P)'!K8924, TODAY(), "M")&lt;18),
    1.10,
    1.00)</f>
        <v/>
      </c>
      <c r="O8924">
        <f>IF('Loan Tape (S&amp;P)'!T8924="Yes",
    1.35,
    1.00)</f>
        <v/>
      </c>
      <c r="P8924">
        <f>IF('Loan Tape (S&amp;P)'!S8924="Yes",
    1.15,
    1.00)</f>
        <v/>
      </c>
      <c r="Q8924">
        <f>IF('Loan Tape (S&amp;P)'!V8924="Yes",
    1.20,
    1.00)</f>
        <v/>
      </c>
      <c r="T8924">
        <f>LET(
    payment_method,'Loan Tape (S&amp;P)'!P8924,
    occupancy,'Loan Tape (S&amp;P)'!N8924,
    maturity_date,'Loan Tape (S&amp;P)'!L8924,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25">
      <c r="J8925">
        <f>LET(
    lien,'Loan Tape (S&amp;P)'!Q8925,
    IF(lien="First",1.00,
        IF(lien="Second",1.50,
            1.70)))</f>
        <v/>
      </c>
      <c r="K8925">
        <f>LET(
    purpose,'Loan Tape (S&amp;P)'!R8925,
    IF(purpose="Purchase",1.00,
        IF(purpose="Remortgage",1.00,
            1.20)))</f>
        <v/>
      </c>
      <c r="L8925">
        <f>LET(
    arrears_months,'Loan Tape (S&amp;P)'!AN8925,
    IF(arrears_months=0,1.00,
    IF(arrears_months=1,3.00,
    IF(arrears_months=2,5.00,
    IF(arrears_months=3,8.00,
    IF(arrears_months=4,10.00,
    IF(arrears_months=5,12.00,15.00)))))))</f>
        <v/>
      </c>
      <c r="M8925">
        <f>LET(
    seasoning_years,DATEDIF('Loan Tape (S&amp;P)'!K8925,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25">
        <f>IF(AND('Loan Tape (S&amp;P)'!U8925="Yes",
        'Loan Tape (S&amp;P)'!T8925&lt;&gt;"Yes",
        DATEDIF('Loan Tape (S&amp;P)'!K8925, TODAY(), "M")&lt;18),
    1.10,
    1.00)</f>
        <v/>
      </c>
      <c r="O8925">
        <f>IF('Loan Tape (S&amp;P)'!T8925="Yes",
    1.35,
    1.00)</f>
        <v/>
      </c>
      <c r="P8925">
        <f>IF('Loan Tape (S&amp;P)'!S8925="Yes",
    1.15,
    1.00)</f>
        <v/>
      </c>
      <c r="Q8925">
        <f>IF('Loan Tape (S&amp;P)'!V8925="Yes",
    1.20,
    1.00)</f>
        <v/>
      </c>
      <c r="T8925">
        <f>LET(
    payment_method,'Loan Tape (S&amp;P)'!P8925,
    occupancy,'Loan Tape (S&amp;P)'!N8925,
    maturity_date,'Loan Tape (S&amp;P)'!L8925,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26">
      <c r="J8926">
        <f>LET(
    lien,'Loan Tape (S&amp;P)'!Q8926,
    IF(lien="First",1.00,
        IF(lien="Second",1.50,
            1.70)))</f>
        <v/>
      </c>
      <c r="K8926">
        <f>LET(
    purpose,'Loan Tape (S&amp;P)'!R8926,
    IF(purpose="Purchase",1.00,
        IF(purpose="Remortgage",1.00,
            1.20)))</f>
        <v/>
      </c>
      <c r="L8926">
        <f>LET(
    arrears_months,'Loan Tape (S&amp;P)'!AN8926,
    IF(arrears_months=0,1.00,
    IF(arrears_months=1,3.00,
    IF(arrears_months=2,5.00,
    IF(arrears_months=3,8.00,
    IF(arrears_months=4,10.00,
    IF(arrears_months=5,12.00,15.00)))))))</f>
        <v/>
      </c>
      <c r="M8926">
        <f>LET(
    seasoning_years,DATEDIF('Loan Tape (S&amp;P)'!K8926,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26">
        <f>IF(AND('Loan Tape (S&amp;P)'!U8926="Yes",
        'Loan Tape (S&amp;P)'!T8926&lt;&gt;"Yes",
        DATEDIF('Loan Tape (S&amp;P)'!K8926, TODAY(), "M")&lt;18),
    1.10,
    1.00)</f>
        <v/>
      </c>
      <c r="O8926">
        <f>IF('Loan Tape (S&amp;P)'!T8926="Yes",
    1.35,
    1.00)</f>
        <v/>
      </c>
      <c r="P8926">
        <f>IF('Loan Tape (S&amp;P)'!S8926="Yes",
    1.15,
    1.00)</f>
        <v/>
      </c>
      <c r="Q8926">
        <f>IF('Loan Tape (S&amp;P)'!V8926="Yes",
    1.20,
    1.00)</f>
        <v/>
      </c>
      <c r="T8926">
        <f>LET(
    payment_method,'Loan Tape (S&amp;P)'!P8926,
    occupancy,'Loan Tape (S&amp;P)'!N8926,
    maturity_date,'Loan Tape (S&amp;P)'!L8926,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27">
      <c r="J8927">
        <f>LET(
    lien,'Loan Tape (S&amp;P)'!Q8927,
    IF(lien="First",1.00,
        IF(lien="Second",1.50,
            1.70)))</f>
        <v/>
      </c>
      <c r="K8927">
        <f>LET(
    purpose,'Loan Tape (S&amp;P)'!R8927,
    IF(purpose="Purchase",1.00,
        IF(purpose="Remortgage",1.00,
            1.20)))</f>
        <v/>
      </c>
      <c r="L8927">
        <f>LET(
    arrears_months,'Loan Tape (S&amp;P)'!AN8927,
    IF(arrears_months=0,1.00,
    IF(arrears_months=1,3.00,
    IF(arrears_months=2,5.00,
    IF(arrears_months=3,8.00,
    IF(arrears_months=4,10.00,
    IF(arrears_months=5,12.00,15.00)))))))</f>
        <v/>
      </c>
      <c r="M8927">
        <f>LET(
    seasoning_years,DATEDIF('Loan Tape (S&amp;P)'!K8927,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27">
        <f>IF(AND('Loan Tape (S&amp;P)'!U8927="Yes",
        'Loan Tape (S&amp;P)'!T8927&lt;&gt;"Yes",
        DATEDIF('Loan Tape (S&amp;P)'!K8927, TODAY(), "M")&lt;18),
    1.10,
    1.00)</f>
        <v/>
      </c>
      <c r="O8927">
        <f>IF('Loan Tape (S&amp;P)'!T8927="Yes",
    1.35,
    1.00)</f>
        <v/>
      </c>
      <c r="P8927">
        <f>IF('Loan Tape (S&amp;P)'!S8927="Yes",
    1.15,
    1.00)</f>
        <v/>
      </c>
      <c r="Q8927">
        <f>IF('Loan Tape (S&amp;P)'!V8927="Yes",
    1.20,
    1.00)</f>
        <v/>
      </c>
      <c r="T8927">
        <f>LET(
    payment_method,'Loan Tape (S&amp;P)'!P8927,
    occupancy,'Loan Tape (S&amp;P)'!N8927,
    maturity_date,'Loan Tape (S&amp;P)'!L8927,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28">
      <c r="J8928">
        <f>LET(
    lien,'Loan Tape (S&amp;P)'!Q8928,
    IF(lien="First",1.00,
        IF(lien="Second",1.50,
            1.70)))</f>
        <v/>
      </c>
      <c r="K8928">
        <f>LET(
    purpose,'Loan Tape (S&amp;P)'!R8928,
    IF(purpose="Purchase",1.00,
        IF(purpose="Remortgage",1.00,
            1.20)))</f>
        <v/>
      </c>
      <c r="L8928">
        <f>LET(
    arrears_months,'Loan Tape (S&amp;P)'!AN8928,
    IF(arrears_months=0,1.00,
    IF(arrears_months=1,3.00,
    IF(arrears_months=2,5.00,
    IF(arrears_months=3,8.00,
    IF(arrears_months=4,10.00,
    IF(arrears_months=5,12.00,15.00)))))))</f>
        <v/>
      </c>
      <c r="M8928">
        <f>LET(
    seasoning_years,DATEDIF('Loan Tape (S&amp;P)'!K8928,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28">
        <f>IF(AND('Loan Tape (S&amp;P)'!U8928="Yes",
        'Loan Tape (S&amp;P)'!T8928&lt;&gt;"Yes",
        DATEDIF('Loan Tape (S&amp;P)'!K8928, TODAY(), "M")&lt;18),
    1.10,
    1.00)</f>
        <v/>
      </c>
      <c r="O8928">
        <f>IF('Loan Tape (S&amp;P)'!T8928="Yes",
    1.35,
    1.00)</f>
        <v/>
      </c>
      <c r="P8928">
        <f>IF('Loan Tape (S&amp;P)'!S8928="Yes",
    1.15,
    1.00)</f>
        <v/>
      </c>
      <c r="Q8928">
        <f>IF('Loan Tape (S&amp;P)'!V8928="Yes",
    1.20,
    1.00)</f>
        <v/>
      </c>
      <c r="T8928">
        <f>LET(
    payment_method,'Loan Tape (S&amp;P)'!P8928,
    occupancy,'Loan Tape (S&amp;P)'!N8928,
    maturity_date,'Loan Tape (S&amp;P)'!L8928,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29">
      <c r="J8929">
        <f>LET(
    lien,'Loan Tape (S&amp;P)'!Q8929,
    IF(lien="First",1.00,
        IF(lien="Second",1.50,
            1.70)))</f>
        <v/>
      </c>
      <c r="K8929">
        <f>LET(
    purpose,'Loan Tape (S&amp;P)'!R8929,
    IF(purpose="Purchase",1.00,
        IF(purpose="Remortgage",1.00,
            1.20)))</f>
        <v/>
      </c>
      <c r="L8929">
        <f>LET(
    arrears_months,'Loan Tape (S&amp;P)'!AN8929,
    IF(arrears_months=0,1.00,
    IF(arrears_months=1,3.00,
    IF(arrears_months=2,5.00,
    IF(arrears_months=3,8.00,
    IF(arrears_months=4,10.00,
    IF(arrears_months=5,12.00,15.00)))))))</f>
        <v/>
      </c>
      <c r="M8929">
        <f>LET(
    seasoning_years,DATEDIF('Loan Tape (S&amp;P)'!K8929,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29">
        <f>IF(AND('Loan Tape (S&amp;P)'!U8929="Yes",
        'Loan Tape (S&amp;P)'!T8929&lt;&gt;"Yes",
        DATEDIF('Loan Tape (S&amp;P)'!K8929, TODAY(), "M")&lt;18),
    1.10,
    1.00)</f>
        <v/>
      </c>
      <c r="O8929">
        <f>IF('Loan Tape (S&amp;P)'!T8929="Yes",
    1.35,
    1.00)</f>
        <v/>
      </c>
      <c r="P8929">
        <f>IF('Loan Tape (S&amp;P)'!S8929="Yes",
    1.15,
    1.00)</f>
        <v/>
      </c>
      <c r="Q8929">
        <f>IF('Loan Tape (S&amp;P)'!V8929="Yes",
    1.20,
    1.00)</f>
        <v/>
      </c>
      <c r="T8929">
        <f>LET(
    payment_method,'Loan Tape (S&amp;P)'!P8929,
    occupancy,'Loan Tape (S&amp;P)'!N8929,
    maturity_date,'Loan Tape (S&amp;P)'!L8929,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30">
      <c r="J8930">
        <f>LET(
    lien,'Loan Tape (S&amp;P)'!Q8930,
    IF(lien="First",1.00,
        IF(lien="Second",1.50,
            1.70)))</f>
        <v/>
      </c>
      <c r="K8930">
        <f>LET(
    purpose,'Loan Tape (S&amp;P)'!R8930,
    IF(purpose="Purchase",1.00,
        IF(purpose="Remortgage",1.00,
            1.20)))</f>
        <v/>
      </c>
      <c r="L8930">
        <f>LET(
    arrears_months,'Loan Tape (S&amp;P)'!AN8930,
    IF(arrears_months=0,1.00,
    IF(arrears_months=1,3.00,
    IF(arrears_months=2,5.00,
    IF(arrears_months=3,8.00,
    IF(arrears_months=4,10.00,
    IF(arrears_months=5,12.00,15.00)))))))</f>
        <v/>
      </c>
      <c r="M8930">
        <f>LET(
    seasoning_years,DATEDIF('Loan Tape (S&amp;P)'!K8930,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30">
        <f>IF(AND('Loan Tape (S&amp;P)'!U8930="Yes",
        'Loan Tape (S&amp;P)'!T8930&lt;&gt;"Yes",
        DATEDIF('Loan Tape (S&amp;P)'!K8930, TODAY(), "M")&lt;18),
    1.10,
    1.00)</f>
        <v/>
      </c>
      <c r="O8930">
        <f>IF('Loan Tape (S&amp;P)'!T8930="Yes",
    1.35,
    1.00)</f>
        <v/>
      </c>
      <c r="P8930">
        <f>IF('Loan Tape (S&amp;P)'!S8930="Yes",
    1.15,
    1.00)</f>
        <v/>
      </c>
      <c r="Q8930">
        <f>IF('Loan Tape (S&amp;P)'!V8930="Yes",
    1.20,
    1.00)</f>
        <v/>
      </c>
      <c r="T8930">
        <f>LET(
    payment_method,'Loan Tape (S&amp;P)'!P8930,
    occupancy,'Loan Tape (S&amp;P)'!N8930,
    maturity_date,'Loan Tape (S&amp;P)'!L8930,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31">
      <c r="J8931">
        <f>LET(
    lien,'Loan Tape (S&amp;P)'!Q8931,
    IF(lien="First",1.00,
        IF(lien="Second",1.50,
            1.70)))</f>
        <v/>
      </c>
      <c r="K8931">
        <f>LET(
    purpose,'Loan Tape (S&amp;P)'!R8931,
    IF(purpose="Purchase",1.00,
        IF(purpose="Remortgage",1.00,
            1.20)))</f>
        <v/>
      </c>
      <c r="L8931">
        <f>LET(
    arrears_months,'Loan Tape (S&amp;P)'!AN8931,
    IF(arrears_months=0,1.00,
    IF(arrears_months=1,3.00,
    IF(arrears_months=2,5.00,
    IF(arrears_months=3,8.00,
    IF(arrears_months=4,10.00,
    IF(arrears_months=5,12.00,15.00)))))))</f>
        <v/>
      </c>
      <c r="M8931">
        <f>LET(
    seasoning_years,DATEDIF('Loan Tape (S&amp;P)'!K8931,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31">
        <f>IF(AND('Loan Tape (S&amp;P)'!U8931="Yes",
        'Loan Tape (S&amp;P)'!T8931&lt;&gt;"Yes",
        DATEDIF('Loan Tape (S&amp;P)'!K8931, TODAY(), "M")&lt;18),
    1.10,
    1.00)</f>
        <v/>
      </c>
      <c r="O8931">
        <f>IF('Loan Tape (S&amp;P)'!T8931="Yes",
    1.35,
    1.00)</f>
        <v/>
      </c>
      <c r="P8931">
        <f>IF('Loan Tape (S&amp;P)'!S8931="Yes",
    1.15,
    1.00)</f>
        <v/>
      </c>
      <c r="Q8931">
        <f>IF('Loan Tape (S&amp;P)'!V8931="Yes",
    1.20,
    1.00)</f>
        <v/>
      </c>
      <c r="T8931">
        <f>LET(
    payment_method,'Loan Tape (S&amp;P)'!P8931,
    occupancy,'Loan Tape (S&amp;P)'!N8931,
    maturity_date,'Loan Tape (S&amp;P)'!L8931,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32">
      <c r="J8932">
        <f>LET(
    lien,'Loan Tape (S&amp;P)'!Q8932,
    IF(lien="First",1.00,
        IF(lien="Second",1.50,
            1.70)))</f>
        <v/>
      </c>
      <c r="K8932">
        <f>LET(
    purpose,'Loan Tape (S&amp;P)'!R8932,
    IF(purpose="Purchase",1.00,
        IF(purpose="Remortgage",1.00,
            1.20)))</f>
        <v/>
      </c>
      <c r="L8932">
        <f>LET(
    arrears_months,'Loan Tape (S&amp;P)'!AN8932,
    IF(arrears_months=0,1.00,
    IF(arrears_months=1,3.00,
    IF(arrears_months=2,5.00,
    IF(arrears_months=3,8.00,
    IF(arrears_months=4,10.00,
    IF(arrears_months=5,12.00,15.00)))))))</f>
        <v/>
      </c>
      <c r="M8932">
        <f>LET(
    seasoning_years,DATEDIF('Loan Tape (S&amp;P)'!K8932,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32">
        <f>IF(AND('Loan Tape (S&amp;P)'!U8932="Yes",
        'Loan Tape (S&amp;P)'!T8932&lt;&gt;"Yes",
        DATEDIF('Loan Tape (S&amp;P)'!K8932, TODAY(), "M")&lt;18),
    1.10,
    1.00)</f>
        <v/>
      </c>
      <c r="O8932">
        <f>IF('Loan Tape (S&amp;P)'!T8932="Yes",
    1.35,
    1.00)</f>
        <v/>
      </c>
      <c r="P8932">
        <f>IF('Loan Tape (S&amp;P)'!S8932="Yes",
    1.15,
    1.00)</f>
        <v/>
      </c>
      <c r="Q8932">
        <f>IF('Loan Tape (S&amp;P)'!V8932="Yes",
    1.20,
    1.00)</f>
        <v/>
      </c>
      <c r="T8932">
        <f>LET(
    payment_method,'Loan Tape (S&amp;P)'!P8932,
    occupancy,'Loan Tape (S&amp;P)'!N8932,
    maturity_date,'Loan Tape (S&amp;P)'!L8932,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33">
      <c r="J8933">
        <f>LET(
    lien,'Loan Tape (S&amp;P)'!Q8933,
    IF(lien="First",1.00,
        IF(lien="Second",1.50,
            1.70)))</f>
        <v/>
      </c>
      <c r="K8933">
        <f>LET(
    purpose,'Loan Tape (S&amp;P)'!R8933,
    IF(purpose="Purchase",1.00,
        IF(purpose="Remortgage",1.00,
            1.20)))</f>
        <v/>
      </c>
      <c r="L8933">
        <f>LET(
    arrears_months,'Loan Tape (S&amp;P)'!AN8933,
    IF(arrears_months=0,1.00,
    IF(arrears_months=1,3.00,
    IF(arrears_months=2,5.00,
    IF(arrears_months=3,8.00,
    IF(arrears_months=4,10.00,
    IF(arrears_months=5,12.00,15.00)))))))</f>
        <v/>
      </c>
      <c r="M8933">
        <f>LET(
    seasoning_years,DATEDIF('Loan Tape (S&amp;P)'!K8933,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33">
        <f>IF(AND('Loan Tape (S&amp;P)'!U8933="Yes",
        'Loan Tape (S&amp;P)'!T8933&lt;&gt;"Yes",
        DATEDIF('Loan Tape (S&amp;P)'!K8933, TODAY(), "M")&lt;18),
    1.10,
    1.00)</f>
        <v/>
      </c>
      <c r="O8933">
        <f>IF('Loan Tape (S&amp;P)'!T8933="Yes",
    1.35,
    1.00)</f>
        <v/>
      </c>
      <c r="P8933">
        <f>IF('Loan Tape (S&amp;P)'!S8933="Yes",
    1.15,
    1.00)</f>
        <v/>
      </c>
      <c r="Q8933">
        <f>IF('Loan Tape (S&amp;P)'!V8933="Yes",
    1.20,
    1.00)</f>
        <v/>
      </c>
      <c r="T8933">
        <f>LET(
    payment_method,'Loan Tape (S&amp;P)'!P8933,
    occupancy,'Loan Tape (S&amp;P)'!N8933,
    maturity_date,'Loan Tape (S&amp;P)'!L8933,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34">
      <c r="J8934">
        <f>LET(
    lien,'Loan Tape (S&amp;P)'!Q8934,
    IF(lien="First",1.00,
        IF(lien="Second",1.50,
            1.70)))</f>
        <v/>
      </c>
      <c r="K8934">
        <f>LET(
    purpose,'Loan Tape (S&amp;P)'!R8934,
    IF(purpose="Purchase",1.00,
        IF(purpose="Remortgage",1.00,
            1.20)))</f>
        <v/>
      </c>
      <c r="L8934">
        <f>LET(
    arrears_months,'Loan Tape (S&amp;P)'!AN8934,
    IF(arrears_months=0,1.00,
    IF(arrears_months=1,3.00,
    IF(arrears_months=2,5.00,
    IF(arrears_months=3,8.00,
    IF(arrears_months=4,10.00,
    IF(arrears_months=5,12.00,15.00)))))))</f>
        <v/>
      </c>
      <c r="M8934">
        <f>LET(
    seasoning_years,DATEDIF('Loan Tape (S&amp;P)'!K8934,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34">
        <f>IF(AND('Loan Tape (S&amp;P)'!U8934="Yes",
        'Loan Tape (S&amp;P)'!T8934&lt;&gt;"Yes",
        DATEDIF('Loan Tape (S&amp;P)'!K8934, TODAY(), "M")&lt;18),
    1.10,
    1.00)</f>
        <v/>
      </c>
      <c r="O8934">
        <f>IF('Loan Tape (S&amp;P)'!T8934="Yes",
    1.35,
    1.00)</f>
        <v/>
      </c>
      <c r="P8934">
        <f>IF('Loan Tape (S&amp;P)'!S8934="Yes",
    1.15,
    1.00)</f>
        <v/>
      </c>
      <c r="Q8934">
        <f>IF('Loan Tape (S&amp;P)'!V8934="Yes",
    1.20,
    1.00)</f>
        <v/>
      </c>
      <c r="T8934">
        <f>LET(
    payment_method,'Loan Tape (S&amp;P)'!P8934,
    occupancy,'Loan Tape (S&amp;P)'!N8934,
    maturity_date,'Loan Tape (S&amp;P)'!L8934,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35">
      <c r="J8935">
        <f>LET(
    lien,'Loan Tape (S&amp;P)'!Q8935,
    IF(lien="First",1.00,
        IF(lien="Second",1.50,
            1.70)))</f>
        <v/>
      </c>
      <c r="K8935">
        <f>LET(
    purpose,'Loan Tape (S&amp;P)'!R8935,
    IF(purpose="Purchase",1.00,
        IF(purpose="Remortgage",1.00,
            1.20)))</f>
        <v/>
      </c>
      <c r="L8935">
        <f>LET(
    arrears_months,'Loan Tape (S&amp;P)'!AN8935,
    IF(arrears_months=0,1.00,
    IF(arrears_months=1,3.00,
    IF(arrears_months=2,5.00,
    IF(arrears_months=3,8.00,
    IF(arrears_months=4,10.00,
    IF(arrears_months=5,12.00,15.00)))))))</f>
        <v/>
      </c>
      <c r="M8935">
        <f>LET(
    seasoning_years,DATEDIF('Loan Tape (S&amp;P)'!K8935,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35">
        <f>IF(AND('Loan Tape (S&amp;P)'!U8935="Yes",
        'Loan Tape (S&amp;P)'!T8935&lt;&gt;"Yes",
        DATEDIF('Loan Tape (S&amp;P)'!K8935, TODAY(), "M")&lt;18),
    1.10,
    1.00)</f>
        <v/>
      </c>
      <c r="O8935">
        <f>IF('Loan Tape (S&amp;P)'!T8935="Yes",
    1.35,
    1.00)</f>
        <v/>
      </c>
      <c r="P8935">
        <f>IF('Loan Tape (S&amp;P)'!S8935="Yes",
    1.15,
    1.00)</f>
        <v/>
      </c>
      <c r="Q8935">
        <f>IF('Loan Tape (S&amp;P)'!V8935="Yes",
    1.20,
    1.00)</f>
        <v/>
      </c>
      <c r="T8935">
        <f>LET(
    payment_method,'Loan Tape (S&amp;P)'!P8935,
    occupancy,'Loan Tape (S&amp;P)'!N8935,
    maturity_date,'Loan Tape (S&amp;P)'!L8935,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36">
      <c r="J8936">
        <f>LET(
    lien,'Loan Tape (S&amp;P)'!Q8936,
    IF(lien="First",1.00,
        IF(lien="Second",1.50,
            1.70)))</f>
        <v/>
      </c>
      <c r="K8936">
        <f>LET(
    purpose,'Loan Tape (S&amp;P)'!R8936,
    IF(purpose="Purchase",1.00,
        IF(purpose="Remortgage",1.00,
            1.20)))</f>
        <v/>
      </c>
      <c r="L8936">
        <f>LET(
    arrears_months,'Loan Tape (S&amp;P)'!AN8936,
    IF(arrears_months=0,1.00,
    IF(arrears_months=1,3.00,
    IF(arrears_months=2,5.00,
    IF(arrears_months=3,8.00,
    IF(arrears_months=4,10.00,
    IF(arrears_months=5,12.00,15.00)))))))</f>
        <v/>
      </c>
      <c r="M8936">
        <f>LET(
    seasoning_years,DATEDIF('Loan Tape (S&amp;P)'!K8936,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36">
        <f>IF(AND('Loan Tape (S&amp;P)'!U8936="Yes",
        'Loan Tape (S&amp;P)'!T8936&lt;&gt;"Yes",
        DATEDIF('Loan Tape (S&amp;P)'!K8936, TODAY(), "M")&lt;18),
    1.10,
    1.00)</f>
        <v/>
      </c>
      <c r="O8936">
        <f>IF('Loan Tape (S&amp;P)'!T8936="Yes",
    1.35,
    1.00)</f>
        <v/>
      </c>
      <c r="P8936">
        <f>IF('Loan Tape (S&amp;P)'!S8936="Yes",
    1.15,
    1.00)</f>
        <v/>
      </c>
      <c r="Q8936">
        <f>IF('Loan Tape (S&amp;P)'!V8936="Yes",
    1.20,
    1.00)</f>
        <v/>
      </c>
      <c r="T8936">
        <f>LET(
    payment_method,'Loan Tape (S&amp;P)'!P8936,
    occupancy,'Loan Tape (S&amp;P)'!N8936,
    maturity_date,'Loan Tape (S&amp;P)'!L8936,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37">
      <c r="J8937">
        <f>LET(
    lien,'Loan Tape (S&amp;P)'!Q8937,
    IF(lien="First",1.00,
        IF(lien="Second",1.50,
            1.70)))</f>
        <v/>
      </c>
      <c r="K8937">
        <f>LET(
    purpose,'Loan Tape (S&amp;P)'!R8937,
    IF(purpose="Purchase",1.00,
        IF(purpose="Remortgage",1.00,
            1.20)))</f>
        <v/>
      </c>
      <c r="L8937">
        <f>LET(
    arrears_months,'Loan Tape (S&amp;P)'!AN8937,
    IF(arrears_months=0,1.00,
    IF(arrears_months=1,3.00,
    IF(arrears_months=2,5.00,
    IF(arrears_months=3,8.00,
    IF(arrears_months=4,10.00,
    IF(arrears_months=5,12.00,15.00)))))))</f>
        <v/>
      </c>
      <c r="M8937">
        <f>LET(
    seasoning_years,DATEDIF('Loan Tape (S&amp;P)'!K8937,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37">
        <f>IF(AND('Loan Tape (S&amp;P)'!U8937="Yes",
        'Loan Tape (S&amp;P)'!T8937&lt;&gt;"Yes",
        DATEDIF('Loan Tape (S&amp;P)'!K8937, TODAY(), "M")&lt;18),
    1.10,
    1.00)</f>
        <v/>
      </c>
      <c r="O8937">
        <f>IF('Loan Tape (S&amp;P)'!T8937="Yes",
    1.35,
    1.00)</f>
        <v/>
      </c>
      <c r="P8937">
        <f>IF('Loan Tape (S&amp;P)'!S8937="Yes",
    1.15,
    1.00)</f>
        <v/>
      </c>
      <c r="Q8937">
        <f>IF('Loan Tape (S&amp;P)'!V8937="Yes",
    1.20,
    1.00)</f>
        <v/>
      </c>
      <c r="T8937">
        <f>LET(
    payment_method,'Loan Tape (S&amp;P)'!P8937,
    occupancy,'Loan Tape (S&amp;P)'!N8937,
    maturity_date,'Loan Tape (S&amp;P)'!L8937,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38">
      <c r="J8938">
        <f>LET(
    lien,'Loan Tape (S&amp;P)'!Q8938,
    IF(lien="First",1.00,
        IF(lien="Second",1.50,
            1.70)))</f>
        <v/>
      </c>
      <c r="K8938">
        <f>LET(
    purpose,'Loan Tape (S&amp;P)'!R8938,
    IF(purpose="Purchase",1.00,
        IF(purpose="Remortgage",1.00,
            1.20)))</f>
        <v/>
      </c>
      <c r="L8938">
        <f>LET(
    arrears_months,'Loan Tape (S&amp;P)'!AN8938,
    IF(arrears_months=0,1.00,
    IF(arrears_months=1,3.00,
    IF(arrears_months=2,5.00,
    IF(arrears_months=3,8.00,
    IF(arrears_months=4,10.00,
    IF(arrears_months=5,12.00,15.00)))))))</f>
        <v/>
      </c>
      <c r="M8938">
        <f>LET(
    seasoning_years,DATEDIF('Loan Tape (S&amp;P)'!K8938,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38">
        <f>IF(AND('Loan Tape (S&amp;P)'!U8938="Yes",
        'Loan Tape (S&amp;P)'!T8938&lt;&gt;"Yes",
        DATEDIF('Loan Tape (S&amp;P)'!K8938, TODAY(), "M")&lt;18),
    1.10,
    1.00)</f>
        <v/>
      </c>
      <c r="O8938">
        <f>IF('Loan Tape (S&amp;P)'!T8938="Yes",
    1.35,
    1.00)</f>
        <v/>
      </c>
      <c r="P8938">
        <f>IF('Loan Tape (S&amp;P)'!S8938="Yes",
    1.15,
    1.00)</f>
        <v/>
      </c>
      <c r="Q8938">
        <f>IF('Loan Tape (S&amp;P)'!V8938="Yes",
    1.20,
    1.00)</f>
        <v/>
      </c>
      <c r="T8938">
        <f>LET(
    payment_method,'Loan Tape (S&amp;P)'!P8938,
    occupancy,'Loan Tape (S&amp;P)'!N8938,
    maturity_date,'Loan Tape (S&amp;P)'!L8938,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39">
      <c r="J8939">
        <f>LET(
    lien,'Loan Tape (S&amp;P)'!Q8939,
    IF(lien="First",1.00,
        IF(lien="Second",1.50,
            1.70)))</f>
        <v/>
      </c>
      <c r="K8939">
        <f>LET(
    purpose,'Loan Tape (S&amp;P)'!R8939,
    IF(purpose="Purchase",1.00,
        IF(purpose="Remortgage",1.00,
            1.20)))</f>
        <v/>
      </c>
      <c r="L8939">
        <f>LET(
    arrears_months,'Loan Tape (S&amp;P)'!AN8939,
    IF(arrears_months=0,1.00,
    IF(arrears_months=1,3.00,
    IF(arrears_months=2,5.00,
    IF(arrears_months=3,8.00,
    IF(arrears_months=4,10.00,
    IF(arrears_months=5,12.00,15.00)))))))</f>
        <v/>
      </c>
      <c r="M8939">
        <f>LET(
    seasoning_years,DATEDIF('Loan Tape (S&amp;P)'!K8939,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39">
        <f>IF(AND('Loan Tape (S&amp;P)'!U8939="Yes",
        'Loan Tape (S&amp;P)'!T8939&lt;&gt;"Yes",
        DATEDIF('Loan Tape (S&amp;P)'!K8939, TODAY(), "M")&lt;18),
    1.10,
    1.00)</f>
        <v/>
      </c>
      <c r="O8939">
        <f>IF('Loan Tape (S&amp;P)'!T8939="Yes",
    1.35,
    1.00)</f>
        <v/>
      </c>
      <c r="P8939">
        <f>IF('Loan Tape (S&amp;P)'!S8939="Yes",
    1.15,
    1.00)</f>
        <v/>
      </c>
      <c r="Q8939">
        <f>IF('Loan Tape (S&amp;P)'!V8939="Yes",
    1.20,
    1.00)</f>
        <v/>
      </c>
      <c r="T8939">
        <f>LET(
    payment_method,'Loan Tape (S&amp;P)'!P8939,
    occupancy,'Loan Tape (S&amp;P)'!N8939,
    maturity_date,'Loan Tape (S&amp;P)'!L8939,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40">
      <c r="J8940">
        <f>LET(
    lien,'Loan Tape (S&amp;P)'!Q8940,
    IF(lien="First",1.00,
        IF(lien="Second",1.50,
            1.70)))</f>
        <v/>
      </c>
      <c r="K8940">
        <f>LET(
    purpose,'Loan Tape (S&amp;P)'!R8940,
    IF(purpose="Purchase",1.00,
        IF(purpose="Remortgage",1.00,
            1.20)))</f>
        <v/>
      </c>
      <c r="L8940">
        <f>LET(
    arrears_months,'Loan Tape (S&amp;P)'!AN8940,
    IF(arrears_months=0,1.00,
    IF(arrears_months=1,3.00,
    IF(arrears_months=2,5.00,
    IF(arrears_months=3,8.00,
    IF(arrears_months=4,10.00,
    IF(arrears_months=5,12.00,15.00)))))))</f>
        <v/>
      </c>
      <c r="M8940">
        <f>LET(
    seasoning_years,DATEDIF('Loan Tape (S&amp;P)'!K8940,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40">
        <f>IF(AND('Loan Tape (S&amp;P)'!U8940="Yes",
        'Loan Tape (S&amp;P)'!T8940&lt;&gt;"Yes",
        DATEDIF('Loan Tape (S&amp;P)'!K8940, TODAY(), "M")&lt;18),
    1.10,
    1.00)</f>
        <v/>
      </c>
      <c r="O8940">
        <f>IF('Loan Tape (S&amp;P)'!T8940="Yes",
    1.35,
    1.00)</f>
        <v/>
      </c>
      <c r="P8940">
        <f>IF('Loan Tape (S&amp;P)'!S8940="Yes",
    1.15,
    1.00)</f>
        <v/>
      </c>
      <c r="Q8940">
        <f>IF('Loan Tape (S&amp;P)'!V8940="Yes",
    1.20,
    1.00)</f>
        <v/>
      </c>
      <c r="T8940">
        <f>LET(
    payment_method,'Loan Tape (S&amp;P)'!P8940,
    occupancy,'Loan Tape (S&amp;P)'!N8940,
    maturity_date,'Loan Tape (S&amp;P)'!L8940,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41">
      <c r="J8941">
        <f>LET(
    lien,'Loan Tape (S&amp;P)'!Q8941,
    IF(lien="First",1.00,
        IF(lien="Second",1.50,
            1.70)))</f>
        <v/>
      </c>
      <c r="K8941">
        <f>LET(
    purpose,'Loan Tape (S&amp;P)'!R8941,
    IF(purpose="Purchase",1.00,
        IF(purpose="Remortgage",1.00,
            1.20)))</f>
        <v/>
      </c>
      <c r="L8941">
        <f>LET(
    arrears_months,'Loan Tape (S&amp;P)'!AN8941,
    IF(arrears_months=0,1.00,
    IF(arrears_months=1,3.00,
    IF(arrears_months=2,5.00,
    IF(arrears_months=3,8.00,
    IF(arrears_months=4,10.00,
    IF(arrears_months=5,12.00,15.00)))))))</f>
        <v/>
      </c>
      <c r="M8941">
        <f>LET(
    seasoning_years,DATEDIF('Loan Tape (S&amp;P)'!K8941,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41">
        <f>IF(AND('Loan Tape (S&amp;P)'!U8941="Yes",
        'Loan Tape (S&amp;P)'!T8941&lt;&gt;"Yes",
        DATEDIF('Loan Tape (S&amp;P)'!K8941, TODAY(), "M")&lt;18),
    1.10,
    1.00)</f>
        <v/>
      </c>
      <c r="O8941">
        <f>IF('Loan Tape (S&amp;P)'!T8941="Yes",
    1.35,
    1.00)</f>
        <v/>
      </c>
      <c r="P8941">
        <f>IF('Loan Tape (S&amp;P)'!S8941="Yes",
    1.15,
    1.00)</f>
        <v/>
      </c>
      <c r="Q8941">
        <f>IF('Loan Tape (S&amp;P)'!V8941="Yes",
    1.20,
    1.00)</f>
        <v/>
      </c>
      <c r="T8941">
        <f>LET(
    payment_method,'Loan Tape (S&amp;P)'!P8941,
    occupancy,'Loan Tape (S&amp;P)'!N8941,
    maturity_date,'Loan Tape (S&amp;P)'!L8941,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42">
      <c r="J8942">
        <f>LET(
    lien,'Loan Tape (S&amp;P)'!Q8942,
    IF(lien="First",1.00,
        IF(lien="Second",1.50,
            1.70)))</f>
        <v/>
      </c>
      <c r="K8942">
        <f>LET(
    purpose,'Loan Tape (S&amp;P)'!R8942,
    IF(purpose="Purchase",1.00,
        IF(purpose="Remortgage",1.00,
            1.20)))</f>
        <v/>
      </c>
      <c r="L8942">
        <f>LET(
    arrears_months,'Loan Tape (S&amp;P)'!AN8942,
    IF(arrears_months=0,1.00,
    IF(arrears_months=1,3.00,
    IF(arrears_months=2,5.00,
    IF(arrears_months=3,8.00,
    IF(arrears_months=4,10.00,
    IF(arrears_months=5,12.00,15.00)))))))</f>
        <v/>
      </c>
      <c r="M8942">
        <f>LET(
    seasoning_years,DATEDIF('Loan Tape (S&amp;P)'!K8942,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42">
        <f>IF(AND('Loan Tape (S&amp;P)'!U8942="Yes",
        'Loan Tape (S&amp;P)'!T8942&lt;&gt;"Yes",
        DATEDIF('Loan Tape (S&amp;P)'!K8942, TODAY(), "M")&lt;18),
    1.10,
    1.00)</f>
        <v/>
      </c>
      <c r="O8942">
        <f>IF('Loan Tape (S&amp;P)'!T8942="Yes",
    1.35,
    1.00)</f>
        <v/>
      </c>
      <c r="P8942">
        <f>IF('Loan Tape (S&amp;P)'!S8942="Yes",
    1.15,
    1.00)</f>
        <v/>
      </c>
      <c r="Q8942">
        <f>IF('Loan Tape (S&amp;P)'!V8942="Yes",
    1.20,
    1.00)</f>
        <v/>
      </c>
      <c r="T8942">
        <f>LET(
    payment_method,'Loan Tape (S&amp;P)'!P8942,
    occupancy,'Loan Tape (S&amp;P)'!N8942,
    maturity_date,'Loan Tape (S&amp;P)'!L8942,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43">
      <c r="J8943">
        <f>LET(
    lien,'Loan Tape (S&amp;P)'!Q8943,
    IF(lien="First",1.00,
        IF(lien="Second",1.50,
            1.70)))</f>
        <v/>
      </c>
      <c r="K8943">
        <f>LET(
    purpose,'Loan Tape (S&amp;P)'!R8943,
    IF(purpose="Purchase",1.00,
        IF(purpose="Remortgage",1.00,
            1.20)))</f>
        <v/>
      </c>
      <c r="L8943">
        <f>LET(
    arrears_months,'Loan Tape (S&amp;P)'!AN8943,
    IF(arrears_months=0,1.00,
    IF(arrears_months=1,3.00,
    IF(arrears_months=2,5.00,
    IF(arrears_months=3,8.00,
    IF(arrears_months=4,10.00,
    IF(arrears_months=5,12.00,15.00)))))))</f>
        <v/>
      </c>
      <c r="M8943">
        <f>LET(
    seasoning_years,DATEDIF('Loan Tape (S&amp;P)'!K8943,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43">
        <f>IF(AND('Loan Tape (S&amp;P)'!U8943="Yes",
        'Loan Tape (S&amp;P)'!T8943&lt;&gt;"Yes",
        DATEDIF('Loan Tape (S&amp;P)'!K8943, TODAY(), "M")&lt;18),
    1.10,
    1.00)</f>
        <v/>
      </c>
      <c r="O8943">
        <f>IF('Loan Tape (S&amp;P)'!T8943="Yes",
    1.35,
    1.00)</f>
        <v/>
      </c>
      <c r="P8943">
        <f>IF('Loan Tape (S&amp;P)'!S8943="Yes",
    1.15,
    1.00)</f>
        <v/>
      </c>
      <c r="Q8943">
        <f>IF('Loan Tape (S&amp;P)'!V8943="Yes",
    1.20,
    1.00)</f>
        <v/>
      </c>
      <c r="T8943">
        <f>LET(
    payment_method,'Loan Tape (S&amp;P)'!P8943,
    occupancy,'Loan Tape (S&amp;P)'!N8943,
    maturity_date,'Loan Tape (S&amp;P)'!L8943,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44">
      <c r="J8944">
        <f>LET(
    lien,'Loan Tape (S&amp;P)'!Q8944,
    IF(lien="First",1.00,
        IF(lien="Second",1.50,
            1.70)))</f>
        <v/>
      </c>
      <c r="K8944">
        <f>LET(
    purpose,'Loan Tape (S&amp;P)'!R8944,
    IF(purpose="Purchase",1.00,
        IF(purpose="Remortgage",1.00,
            1.20)))</f>
        <v/>
      </c>
      <c r="L8944">
        <f>LET(
    arrears_months,'Loan Tape (S&amp;P)'!AN8944,
    IF(arrears_months=0,1.00,
    IF(arrears_months=1,3.00,
    IF(arrears_months=2,5.00,
    IF(arrears_months=3,8.00,
    IF(arrears_months=4,10.00,
    IF(arrears_months=5,12.00,15.00)))))))</f>
        <v/>
      </c>
      <c r="M8944">
        <f>LET(
    seasoning_years,DATEDIF('Loan Tape (S&amp;P)'!K8944,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44">
        <f>IF(AND('Loan Tape (S&amp;P)'!U8944="Yes",
        'Loan Tape (S&amp;P)'!T8944&lt;&gt;"Yes",
        DATEDIF('Loan Tape (S&amp;P)'!K8944, TODAY(), "M")&lt;18),
    1.10,
    1.00)</f>
        <v/>
      </c>
      <c r="O8944">
        <f>IF('Loan Tape (S&amp;P)'!T8944="Yes",
    1.35,
    1.00)</f>
        <v/>
      </c>
      <c r="P8944">
        <f>IF('Loan Tape (S&amp;P)'!S8944="Yes",
    1.15,
    1.00)</f>
        <v/>
      </c>
      <c r="Q8944">
        <f>IF('Loan Tape (S&amp;P)'!V8944="Yes",
    1.20,
    1.00)</f>
        <v/>
      </c>
      <c r="T8944">
        <f>LET(
    payment_method,'Loan Tape (S&amp;P)'!P8944,
    occupancy,'Loan Tape (S&amp;P)'!N8944,
    maturity_date,'Loan Tape (S&amp;P)'!L8944,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45">
      <c r="J8945">
        <f>LET(
    lien,'Loan Tape (S&amp;P)'!Q8945,
    IF(lien="First",1.00,
        IF(lien="Second",1.50,
            1.70)))</f>
        <v/>
      </c>
      <c r="K8945">
        <f>LET(
    purpose,'Loan Tape (S&amp;P)'!R8945,
    IF(purpose="Purchase",1.00,
        IF(purpose="Remortgage",1.00,
            1.20)))</f>
        <v/>
      </c>
      <c r="L8945">
        <f>LET(
    arrears_months,'Loan Tape (S&amp;P)'!AN8945,
    IF(arrears_months=0,1.00,
    IF(arrears_months=1,3.00,
    IF(arrears_months=2,5.00,
    IF(arrears_months=3,8.00,
    IF(arrears_months=4,10.00,
    IF(arrears_months=5,12.00,15.00)))))))</f>
        <v/>
      </c>
      <c r="M8945">
        <f>LET(
    seasoning_years,DATEDIF('Loan Tape (S&amp;P)'!K8945,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45">
        <f>IF(AND('Loan Tape (S&amp;P)'!U8945="Yes",
        'Loan Tape (S&amp;P)'!T8945&lt;&gt;"Yes",
        DATEDIF('Loan Tape (S&amp;P)'!K8945, TODAY(), "M")&lt;18),
    1.10,
    1.00)</f>
        <v/>
      </c>
      <c r="O8945">
        <f>IF('Loan Tape (S&amp;P)'!T8945="Yes",
    1.35,
    1.00)</f>
        <v/>
      </c>
      <c r="P8945">
        <f>IF('Loan Tape (S&amp;P)'!S8945="Yes",
    1.15,
    1.00)</f>
        <v/>
      </c>
      <c r="Q8945">
        <f>IF('Loan Tape (S&amp;P)'!V8945="Yes",
    1.20,
    1.00)</f>
        <v/>
      </c>
      <c r="T8945">
        <f>LET(
    payment_method,'Loan Tape (S&amp;P)'!P8945,
    occupancy,'Loan Tape (S&amp;P)'!N8945,
    maturity_date,'Loan Tape (S&amp;P)'!L8945,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46">
      <c r="J8946">
        <f>LET(
    lien,'Loan Tape (S&amp;P)'!Q8946,
    IF(lien="First",1.00,
        IF(lien="Second",1.50,
            1.70)))</f>
        <v/>
      </c>
      <c r="K8946">
        <f>LET(
    purpose,'Loan Tape (S&amp;P)'!R8946,
    IF(purpose="Purchase",1.00,
        IF(purpose="Remortgage",1.00,
            1.20)))</f>
        <v/>
      </c>
      <c r="L8946">
        <f>LET(
    arrears_months,'Loan Tape (S&amp;P)'!AN8946,
    IF(arrears_months=0,1.00,
    IF(arrears_months=1,3.00,
    IF(arrears_months=2,5.00,
    IF(arrears_months=3,8.00,
    IF(arrears_months=4,10.00,
    IF(arrears_months=5,12.00,15.00)))))))</f>
        <v/>
      </c>
      <c r="M8946">
        <f>LET(
    seasoning_years,DATEDIF('Loan Tape (S&amp;P)'!K8946,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46">
        <f>IF(AND('Loan Tape (S&amp;P)'!U8946="Yes",
        'Loan Tape (S&amp;P)'!T8946&lt;&gt;"Yes",
        DATEDIF('Loan Tape (S&amp;P)'!K8946, TODAY(), "M")&lt;18),
    1.10,
    1.00)</f>
        <v/>
      </c>
      <c r="O8946">
        <f>IF('Loan Tape (S&amp;P)'!T8946="Yes",
    1.35,
    1.00)</f>
        <v/>
      </c>
      <c r="P8946">
        <f>IF('Loan Tape (S&amp;P)'!S8946="Yes",
    1.15,
    1.00)</f>
        <v/>
      </c>
      <c r="Q8946">
        <f>IF('Loan Tape (S&amp;P)'!V8946="Yes",
    1.20,
    1.00)</f>
        <v/>
      </c>
      <c r="T8946">
        <f>LET(
    payment_method,'Loan Tape (S&amp;P)'!P8946,
    occupancy,'Loan Tape (S&amp;P)'!N8946,
    maturity_date,'Loan Tape (S&amp;P)'!L8946,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47">
      <c r="J8947">
        <f>LET(
    lien,'Loan Tape (S&amp;P)'!Q8947,
    IF(lien="First",1.00,
        IF(lien="Second",1.50,
            1.70)))</f>
        <v/>
      </c>
      <c r="K8947">
        <f>LET(
    purpose,'Loan Tape (S&amp;P)'!R8947,
    IF(purpose="Purchase",1.00,
        IF(purpose="Remortgage",1.00,
            1.20)))</f>
        <v/>
      </c>
      <c r="L8947">
        <f>LET(
    arrears_months,'Loan Tape (S&amp;P)'!AN8947,
    IF(arrears_months=0,1.00,
    IF(arrears_months=1,3.00,
    IF(arrears_months=2,5.00,
    IF(arrears_months=3,8.00,
    IF(arrears_months=4,10.00,
    IF(arrears_months=5,12.00,15.00)))))))</f>
        <v/>
      </c>
      <c r="M8947">
        <f>LET(
    seasoning_years,DATEDIF('Loan Tape (S&amp;P)'!K8947,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47">
        <f>IF(AND('Loan Tape (S&amp;P)'!U8947="Yes",
        'Loan Tape (S&amp;P)'!T8947&lt;&gt;"Yes",
        DATEDIF('Loan Tape (S&amp;P)'!K8947, TODAY(), "M")&lt;18),
    1.10,
    1.00)</f>
        <v/>
      </c>
      <c r="O8947">
        <f>IF('Loan Tape (S&amp;P)'!T8947="Yes",
    1.35,
    1.00)</f>
        <v/>
      </c>
      <c r="P8947">
        <f>IF('Loan Tape (S&amp;P)'!S8947="Yes",
    1.15,
    1.00)</f>
        <v/>
      </c>
      <c r="Q8947">
        <f>IF('Loan Tape (S&amp;P)'!V8947="Yes",
    1.20,
    1.00)</f>
        <v/>
      </c>
      <c r="T8947">
        <f>LET(
    payment_method,'Loan Tape (S&amp;P)'!P8947,
    occupancy,'Loan Tape (S&amp;P)'!N8947,
    maturity_date,'Loan Tape (S&amp;P)'!L8947,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48">
      <c r="J8948">
        <f>LET(
    lien,'Loan Tape (S&amp;P)'!Q8948,
    IF(lien="First",1.00,
        IF(lien="Second",1.50,
            1.70)))</f>
        <v/>
      </c>
      <c r="K8948">
        <f>LET(
    purpose,'Loan Tape (S&amp;P)'!R8948,
    IF(purpose="Purchase",1.00,
        IF(purpose="Remortgage",1.00,
            1.20)))</f>
        <v/>
      </c>
      <c r="L8948">
        <f>LET(
    arrears_months,'Loan Tape (S&amp;P)'!AN8948,
    IF(arrears_months=0,1.00,
    IF(arrears_months=1,3.00,
    IF(arrears_months=2,5.00,
    IF(arrears_months=3,8.00,
    IF(arrears_months=4,10.00,
    IF(arrears_months=5,12.00,15.00)))))))</f>
        <v/>
      </c>
      <c r="M8948">
        <f>LET(
    seasoning_years,DATEDIF('Loan Tape (S&amp;P)'!K8948,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48">
        <f>IF(AND('Loan Tape (S&amp;P)'!U8948="Yes",
        'Loan Tape (S&amp;P)'!T8948&lt;&gt;"Yes",
        DATEDIF('Loan Tape (S&amp;P)'!K8948, TODAY(), "M")&lt;18),
    1.10,
    1.00)</f>
        <v/>
      </c>
      <c r="O8948">
        <f>IF('Loan Tape (S&amp;P)'!T8948="Yes",
    1.35,
    1.00)</f>
        <v/>
      </c>
      <c r="P8948">
        <f>IF('Loan Tape (S&amp;P)'!S8948="Yes",
    1.15,
    1.00)</f>
        <v/>
      </c>
      <c r="Q8948">
        <f>IF('Loan Tape (S&amp;P)'!V8948="Yes",
    1.20,
    1.00)</f>
        <v/>
      </c>
      <c r="T8948">
        <f>LET(
    payment_method,'Loan Tape (S&amp;P)'!P8948,
    occupancy,'Loan Tape (S&amp;P)'!N8948,
    maturity_date,'Loan Tape (S&amp;P)'!L8948,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49">
      <c r="J8949">
        <f>LET(
    lien,'Loan Tape (S&amp;P)'!Q8949,
    IF(lien="First",1.00,
        IF(lien="Second",1.50,
            1.70)))</f>
        <v/>
      </c>
      <c r="K8949">
        <f>LET(
    purpose,'Loan Tape (S&amp;P)'!R8949,
    IF(purpose="Purchase",1.00,
        IF(purpose="Remortgage",1.00,
            1.20)))</f>
        <v/>
      </c>
      <c r="L8949">
        <f>LET(
    arrears_months,'Loan Tape (S&amp;P)'!AN8949,
    IF(arrears_months=0,1.00,
    IF(arrears_months=1,3.00,
    IF(arrears_months=2,5.00,
    IF(arrears_months=3,8.00,
    IF(arrears_months=4,10.00,
    IF(arrears_months=5,12.00,15.00)))))))</f>
        <v/>
      </c>
      <c r="M8949">
        <f>LET(
    seasoning_years,DATEDIF('Loan Tape (S&amp;P)'!K8949,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49">
        <f>IF(AND('Loan Tape (S&amp;P)'!U8949="Yes",
        'Loan Tape (S&amp;P)'!T8949&lt;&gt;"Yes",
        DATEDIF('Loan Tape (S&amp;P)'!K8949, TODAY(), "M")&lt;18),
    1.10,
    1.00)</f>
        <v/>
      </c>
      <c r="O8949">
        <f>IF('Loan Tape (S&amp;P)'!T8949="Yes",
    1.35,
    1.00)</f>
        <v/>
      </c>
      <c r="P8949">
        <f>IF('Loan Tape (S&amp;P)'!S8949="Yes",
    1.15,
    1.00)</f>
        <v/>
      </c>
      <c r="Q8949">
        <f>IF('Loan Tape (S&amp;P)'!V8949="Yes",
    1.20,
    1.00)</f>
        <v/>
      </c>
      <c r="T8949">
        <f>LET(
    payment_method,'Loan Tape (S&amp;P)'!P8949,
    occupancy,'Loan Tape (S&amp;P)'!N8949,
    maturity_date,'Loan Tape (S&amp;P)'!L8949,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50">
      <c r="J8950">
        <f>LET(
    lien,'Loan Tape (S&amp;P)'!Q8950,
    IF(lien="First",1.00,
        IF(lien="Second",1.50,
            1.70)))</f>
        <v/>
      </c>
      <c r="K8950">
        <f>LET(
    purpose,'Loan Tape (S&amp;P)'!R8950,
    IF(purpose="Purchase",1.00,
        IF(purpose="Remortgage",1.00,
            1.20)))</f>
        <v/>
      </c>
      <c r="L8950">
        <f>LET(
    arrears_months,'Loan Tape (S&amp;P)'!AN8950,
    IF(arrears_months=0,1.00,
    IF(arrears_months=1,3.00,
    IF(arrears_months=2,5.00,
    IF(arrears_months=3,8.00,
    IF(arrears_months=4,10.00,
    IF(arrears_months=5,12.00,15.00)))))))</f>
        <v/>
      </c>
      <c r="M8950">
        <f>LET(
    seasoning_years,DATEDIF('Loan Tape (S&amp;P)'!K8950,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50">
        <f>IF(AND('Loan Tape (S&amp;P)'!U8950="Yes",
        'Loan Tape (S&amp;P)'!T8950&lt;&gt;"Yes",
        DATEDIF('Loan Tape (S&amp;P)'!K8950, TODAY(), "M")&lt;18),
    1.10,
    1.00)</f>
        <v/>
      </c>
      <c r="O8950">
        <f>IF('Loan Tape (S&amp;P)'!T8950="Yes",
    1.35,
    1.00)</f>
        <v/>
      </c>
      <c r="P8950">
        <f>IF('Loan Tape (S&amp;P)'!S8950="Yes",
    1.15,
    1.00)</f>
        <v/>
      </c>
      <c r="Q8950">
        <f>IF('Loan Tape (S&amp;P)'!V8950="Yes",
    1.20,
    1.00)</f>
        <v/>
      </c>
      <c r="T8950">
        <f>LET(
    payment_method,'Loan Tape (S&amp;P)'!P8950,
    occupancy,'Loan Tape (S&amp;P)'!N8950,
    maturity_date,'Loan Tape (S&amp;P)'!L8950,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51">
      <c r="J8951">
        <f>LET(
    lien,'Loan Tape (S&amp;P)'!Q8951,
    IF(lien="First",1.00,
        IF(lien="Second",1.50,
            1.70)))</f>
        <v/>
      </c>
      <c r="K8951">
        <f>LET(
    purpose,'Loan Tape (S&amp;P)'!R8951,
    IF(purpose="Purchase",1.00,
        IF(purpose="Remortgage",1.00,
            1.20)))</f>
        <v/>
      </c>
      <c r="L8951">
        <f>LET(
    arrears_months,'Loan Tape (S&amp;P)'!AN8951,
    IF(arrears_months=0,1.00,
    IF(arrears_months=1,3.00,
    IF(arrears_months=2,5.00,
    IF(arrears_months=3,8.00,
    IF(arrears_months=4,10.00,
    IF(arrears_months=5,12.00,15.00)))))))</f>
        <v/>
      </c>
      <c r="M8951">
        <f>LET(
    seasoning_years,DATEDIF('Loan Tape (S&amp;P)'!K8951,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51">
        <f>IF(AND('Loan Tape (S&amp;P)'!U8951="Yes",
        'Loan Tape (S&amp;P)'!T8951&lt;&gt;"Yes",
        DATEDIF('Loan Tape (S&amp;P)'!K8951, TODAY(), "M")&lt;18),
    1.10,
    1.00)</f>
        <v/>
      </c>
      <c r="O8951">
        <f>IF('Loan Tape (S&amp;P)'!T8951="Yes",
    1.35,
    1.00)</f>
        <v/>
      </c>
      <c r="P8951">
        <f>IF('Loan Tape (S&amp;P)'!S8951="Yes",
    1.15,
    1.00)</f>
        <v/>
      </c>
      <c r="Q8951">
        <f>IF('Loan Tape (S&amp;P)'!V8951="Yes",
    1.20,
    1.00)</f>
        <v/>
      </c>
      <c r="T8951">
        <f>LET(
    payment_method,'Loan Tape (S&amp;P)'!P8951,
    occupancy,'Loan Tape (S&amp;P)'!N8951,
    maturity_date,'Loan Tape (S&amp;P)'!L8951,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52">
      <c r="J8952">
        <f>LET(
    lien,'Loan Tape (S&amp;P)'!Q8952,
    IF(lien="First",1.00,
        IF(lien="Second",1.50,
            1.70)))</f>
        <v/>
      </c>
      <c r="K8952">
        <f>LET(
    purpose,'Loan Tape (S&amp;P)'!R8952,
    IF(purpose="Purchase",1.00,
        IF(purpose="Remortgage",1.00,
            1.20)))</f>
        <v/>
      </c>
      <c r="L8952">
        <f>LET(
    arrears_months,'Loan Tape (S&amp;P)'!AN8952,
    IF(arrears_months=0,1.00,
    IF(arrears_months=1,3.00,
    IF(arrears_months=2,5.00,
    IF(arrears_months=3,8.00,
    IF(arrears_months=4,10.00,
    IF(arrears_months=5,12.00,15.00)))))))</f>
        <v/>
      </c>
      <c r="M8952">
        <f>LET(
    seasoning_years,DATEDIF('Loan Tape (S&amp;P)'!K8952,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52">
        <f>IF(AND('Loan Tape (S&amp;P)'!U8952="Yes",
        'Loan Tape (S&amp;P)'!T8952&lt;&gt;"Yes",
        DATEDIF('Loan Tape (S&amp;P)'!K8952, TODAY(), "M")&lt;18),
    1.10,
    1.00)</f>
        <v/>
      </c>
      <c r="O8952">
        <f>IF('Loan Tape (S&amp;P)'!T8952="Yes",
    1.35,
    1.00)</f>
        <v/>
      </c>
      <c r="P8952">
        <f>IF('Loan Tape (S&amp;P)'!S8952="Yes",
    1.15,
    1.00)</f>
        <v/>
      </c>
      <c r="Q8952">
        <f>IF('Loan Tape (S&amp;P)'!V8952="Yes",
    1.20,
    1.00)</f>
        <v/>
      </c>
      <c r="T8952">
        <f>LET(
    payment_method,'Loan Tape (S&amp;P)'!P8952,
    occupancy,'Loan Tape (S&amp;P)'!N8952,
    maturity_date,'Loan Tape (S&amp;P)'!L8952,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53">
      <c r="J8953">
        <f>LET(
    lien,'Loan Tape (S&amp;P)'!Q8953,
    IF(lien="First",1.00,
        IF(lien="Second",1.50,
            1.70)))</f>
        <v/>
      </c>
      <c r="K8953">
        <f>LET(
    purpose,'Loan Tape (S&amp;P)'!R8953,
    IF(purpose="Purchase",1.00,
        IF(purpose="Remortgage",1.00,
            1.20)))</f>
        <v/>
      </c>
      <c r="L8953">
        <f>LET(
    arrears_months,'Loan Tape (S&amp;P)'!AN8953,
    IF(arrears_months=0,1.00,
    IF(arrears_months=1,3.00,
    IF(arrears_months=2,5.00,
    IF(arrears_months=3,8.00,
    IF(arrears_months=4,10.00,
    IF(arrears_months=5,12.00,15.00)))))))</f>
        <v/>
      </c>
      <c r="M8953">
        <f>LET(
    seasoning_years,DATEDIF('Loan Tape (S&amp;P)'!K8953,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53">
        <f>IF(AND('Loan Tape (S&amp;P)'!U8953="Yes",
        'Loan Tape (S&amp;P)'!T8953&lt;&gt;"Yes",
        DATEDIF('Loan Tape (S&amp;P)'!K8953, TODAY(), "M")&lt;18),
    1.10,
    1.00)</f>
        <v/>
      </c>
      <c r="O8953">
        <f>IF('Loan Tape (S&amp;P)'!T8953="Yes",
    1.35,
    1.00)</f>
        <v/>
      </c>
      <c r="P8953">
        <f>IF('Loan Tape (S&amp;P)'!S8953="Yes",
    1.15,
    1.00)</f>
        <v/>
      </c>
      <c r="Q8953">
        <f>IF('Loan Tape (S&amp;P)'!V8953="Yes",
    1.20,
    1.00)</f>
        <v/>
      </c>
      <c r="T8953">
        <f>LET(
    payment_method,'Loan Tape (S&amp;P)'!P8953,
    occupancy,'Loan Tape (S&amp;P)'!N8953,
    maturity_date,'Loan Tape (S&amp;P)'!L8953,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54">
      <c r="J8954">
        <f>LET(
    lien,'Loan Tape (S&amp;P)'!Q8954,
    IF(lien="First",1.00,
        IF(lien="Second",1.50,
            1.70)))</f>
        <v/>
      </c>
      <c r="K8954">
        <f>LET(
    purpose,'Loan Tape (S&amp;P)'!R8954,
    IF(purpose="Purchase",1.00,
        IF(purpose="Remortgage",1.00,
            1.20)))</f>
        <v/>
      </c>
      <c r="L8954">
        <f>LET(
    arrears_months,'Loan Tape (S&amp;P)'!AN8954,
    IF(arrears_months=0,1.00,
    IF(arrears_months=1,3.00,
    IF(arrears_months=2,5.00,
    IF(arrears_months=3,8.00,
    IF(arrears_months=4,10.00,
    IF(arrears_months=5,12.00,15.00)))))))</f>
        <v/>
      </c>
      <c r="M8954">
        <f>LET(
    seasoning_years,DATEDIF('Loan Tape (S&amp;P)'!K8954,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54">
        <f>IF(AND('Loan Tape (S&amp;P)'!U8954="Yes",
        'Loan Tape (S&amp;P)'!T8954&lt;&gt;"Yes",
        DATEDIF('Loan Tape (S&amp;P)'!K8954, TODAY(), "M")&lt;18),
    1.10,
    1.00)</f>
        <v/>
      </c>
      <c r="O8954">
        <f>IF('Loan Tape (S&amp;P)'!T8954="Yes",
    1.35,
    1.00)</f>
        <v/>
      </c>
      <c r="P8954">
        <f>IF('Loan Tape (S&amp;P)'!S8954="Yes",
    1.15,
    1.00)</f>
        <v/>
      </c>
      <c r="Q8954">
        <f>IF('Loan Tape (S&amp;P)'!V8954="Yes",
    1.20,
    1.00)</f>
        <v/>
      </c>
      <c r="T8954">
        <f>LET(
    payment_method,'Loan Tape (S&amp;P)'!P8954,
    occupancy,'Loan Tape (S&amp;P)'!N8954,
    maturity_date,'Loan Tape (S&amp;P)'!L8954,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55">
      <c r="J8955">
        <f>LET(
    lien,'Loan Tape (S&amp;P)'!Q8955,
    IF(lien="First",1.00,
        IF(lien="Second",1.50,
            1.70)))</f>
        <v/>
      </c>
      <c r="K8955">
        <f>LET(
    purpose,'Loan Tape (S&amp;P)'!R8955,
    IF(purpose="Purchase",1.00,
        IF(purpose="Remortgage",1.00,
            1.20)))</f>
        <v/>
      </c>
      <c r="L8955">
        <f>LET(
    arrears_months,'Loan Tape (S&amp;P)'!AN8955,
    IF(arrears_months=0,1.00,
    IF(arrears_months=1,3.00,
    IF(arrears_months=2,5.00,
    IF(arrears_months=3,8.00,
    IF(arrears_months=4,10.00,
    IF(arrears_months=5,12.00,15.00)))))))</f>
        <v/>
      </c>
      <c r="M8955">
        <f>LET(
    seasoning_years,DATEDIF('Loan Tape (S&amp;P)'!K8955,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55">
        <f>IF(AND('Loan Tape (S&amp;P)'!U8955="Yes",
        'Loan Tape (S&amp;P)'!T8955&lt;&gt;"Yes",
        DATEDIF('Loan Tape (S&amp;P)'!K8955, TODAY(), "M")&lt;18),
    1.10,
    1.00)</f>
        <v/>
      </c>
      <c r="O8955">
        <f>IF('Loan Tape (S&amp;P)'!T8955="Yes",
    1.35,
    1.00)</f>
        <v/>
      </c>
      <c r="P8955">
        <f>IF('Loan Tape (S&amp;P)'!S8955="Yes",
    1.15,
    1.00)</f>
        <v/>
      </c>
      <c r="Q8955">
        <f>IF('Loan Tape (S&amp;P)'!V8955="Yes",
    1.20,
    1.00)</f>
        <v/>
      </c>
      <c r="T8955">
        <f>LET(
    payment_method,'Loan Tape (S&amp;P)'!P8955,
    occupancy,'Loan Tape (S&amp;P)'!N8955,
    maturity_date,'Loan Tape (S&amp;P)'!L8955,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56">
      <c r="J8956">
        <f>LET(
    lien,'Loan Tape (S&amp;P)'!Q8956,
    IF(lien="First",1.00,
        IF(lien="Second",1.50,
            1.70)))</f>
        <v/>
      </c>
      <c r="K8956">
        <f>LET(
    purpose,'Loan Tape (S&amp;P)'!R8956,
    IF(purpose="Purchase",1.00,
        IF(purpose="Remortgage",1.00,
            1.20)))</f>
        <v/>
      </c>
      <c r="L8956">
        <f>LET(
    arrears_months,'Loan Tape (S&amp;P)'!AN8956,
    IF(arrears_months=0,1.00,
    IF(arrears_months=1,3.00,
    IF(arrears_months=2,5.00,
    IF(arrears_months=3,8.00,
    IF(arrears_months=4,10.00,
    IF(arrears_months=5,12.00,15.00)))))))</f>
        <v/>
      </c>
      <c r="M8956">
        <f>LET(
    seasoning_years,DATEDIF('Loan Tape (S&amp;P)'!K8956,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56">
        <f>IF(AND('Loan Tape (S&amp;P)'!U8956="Yes",
        'Loan Tape (S&amp;P)'!T8956&lt;&gt;"Yes",
        DATEDIF('Loan Tape (S&amp;P)'!K8956, TODAY(), "M")&lt;18),
    1.10,
    1.00)</f>
        <v/>
      </c>
      <c r="O8956">
        <f>IF('Loan Tape (S&amp;P)'!T8956="Yes",
    1.35,
    1.00)</f>
        <v/>
      </c>
      <c r="P8956">
        <f>IF('Loan Tape (S&amp;P)'!S8956="Yes",
    1.15,
    1.00)</f>
        <v/>
      </c>
      <c r="Q8956">
        <f>IF('Loan Tape (S&amp;P)'!V8956="Yes",
    1.20,
    1.00)</f>
        <v/>
      </c>
      <c r="T8956">
        <f>LET(
    payment_method,'Loan Tape (S&amp;P)'!P8956,
    occupancy,'Loan Tape (S&amp;P)'!N8956,
    maturity_date,'Loan Tape (S&amp;P)'!L8956,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57">
      <c r="J8957">
        <f>LET(
    lien,'Loan Tape (S&amp;P)'!Q8957,
    IF(lien="First",1.00,
        IF(lien="Second",1.50,
            1.70)))</f>
        <v/>
      </c>
      <c r="K8957">
        <f>LET(
    purpose,'Loan Tape (S&amp;P)'!R8957,
    IF(purpose="Purchase",1.00,
        IF(purpose="Remortgage",1.00,
            1.20)))</f>
        <v/>
      </c>
      <c r="L8957">
        <f>LET(
    arrears_months,'Loan Tape (S&amp;P)'!AN8957,
    IF(arrears_months=0,1.00,
    IF(arrears_months=1,3.00,
    IF(arrears_months=2,5.00,
    IF(arrears_months=3,8.00,
    IF(arrears_months=4,10.00,
    IF(arrears_months=5,12.00,15.00)))))))</f>
        <v/>
      </c>
      <c r="M8957">
        <f>LET(
    seasoning_years,DATEDIF('Loan Tape (S&amp;P)'!K8957,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57">
        <f>IF(AND('Loan Tape (S&amp;P)'!U8957="Yes",
        'Loan Tape (S&amp;P)'!T8957&lt;&gt;"Yes",
        DATEDIF('Loan Tape (S&amp;P)'!K8957, TODAY(), "M")&lt;18),
    1.10,
    1.00)</f>
        <v/>
      </c>
      <c r="O8957">
        <f>IF('Loan Tape (S&amp;P)'!T8957="Yes",
    1.35,
    1.00)</f>
        <v/>
      </c>
      <c r="P8957">
        <f>IF('Loan Tape (S&amp;P)'!S8957="Yes",
    1.15,
    1.00)</f>
        <v/>
      </c>
      <c r="Q8957">
        <f>IF('Loan Tape (S&amp;P)'!V8957="Yes",
    1.20,
    1.00)</f>
        <v/>
      </c>
      <c r="T8957">
        <f>LET(
    payment_method,'Loan Tape (S&amp;P)'!P8957,
    occupancy,'Loan Tape (S&amp;P)'!N8957,
    maturity_date,'Loan Tape (S&amp;P)'!L8957,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58">
      <c r="J8958">
        <f>LET(
    lien,'Loan Tape (S&amp;P)'!Q8958,
    IF(lien="First",1.00,
        IF(lien="Second",1.50,
            1.70)))</f>
        <v/>
      </c>
      <c r="K8958">
        <f>LET(
    purpose,'Loan Tape (S&amp;P)'!R8958,
    IF(purpose="Purchase",1.00,
        IF(purpose="Remortgage",1.00,
            1.20)))</f>
        <v/>
      </c>
      <c r="L8958">
        <f>LET(
    arrears_months,'Loan Tape (S&amp;P)'!AN8958,
    IF(arrears_months=0,1.00,
    IF(arrears_months=1,3.00,
    IF(arrears_months=2,5.00,
    IF(arrears_months=3,8.00,
    IF(arrears_months=4,10.00,
    IF(arrears_months=5,12.00,15.00)))))))</f>
        <v/>
      </c>
      <c r="M8958">
        <f>LET(
    seasoning_years,DATEDIF('Loan Tape (S&amp;P)'!K8958,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58">
        <f>IF(AND('Loan Tape (S&amp;P)'!U8958="Yes",
        'Loan Tape (S&amp;P)'!T8958&lt;&gt;"Yes",
        DATEDIF('Loan Tape (S&amp;P)'!K8958, TODAY(), "M")&lt;18),
    1.10,
    1.00)</f>
        <v/>
      </c>
      <c r="O8958">
        <f>IF('Loan Tape (S&amp;P)'!T8958="Yes",
    1.35,
    1.00)</f>
        <v/>
      </c>
      <c r="P8958">
        <f>IF('Loan Tape (S&amp;P)'!S8958="Yes",
    1.15,
    1.00)</f>
        <v/>
      </c>
      <c r="Q8958">
        <f>IF('Loan Tape (S&amp;P)'!V8958="Yes",
    1.20,
    1.00)</f>
        <v/>
      </c>
      <c r="T8958">
        <f>LET(
    payment_method,'Loan Tape (S&amp;P)'!P8958,
    occupancy,'Loan Tape (S&amp;P)'!N8958,
    maturity_date,'Loan Tape (S&amp;P)'!L8958,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59">
      <c r="J8959">
        <f>LET(
    lien,'Loan Tape (S&amp;P)'!Q8959,
    IF(lien="First",1.00,
        IF(lien="Second",1.50,
            1.70)))</f>
        <v/>
      </c>
      <c r="K8959">
        <f>LET(
    purpose,'Loan Tape (S&amp;P)'!R8959,
    IF(purpose="Purchase",1.00,
        IF(purpose="Remortgage",1.00,
            1.20)))</f>
        <v/>
      </c>
      <c r="L8959">
        <f>LET(
    arrears_months,'Loan Tape (S&amp;P)'!AN8959,
    IF(arrears_months=0,1.00,
    IF(arrears_months=1,3.00,
    IF(arrears_months=2,5.00,
    IF(arrears_months=3,8.00,
    IF(arrears_months=4,10.00,
    IF(arrears_months=5,12.00,15.00)))))))</f>
        <v/>
      </c>
      <c r="M8959">
        <f>LET(
    seasoning_years,DATEDIF('Loan Tape (S&amp;P)'!K8959,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59">
        <f>IF(AND('Loan Tape (S&amp;P)'!U8959="Yes",
        'Loan Tape (S&amp;P)'!T8959&lt;&gt;"Yes",
        DATEDIF('Loan Tape (S&amp;P)'!K8959, TODAY(), "M")&lt;18),
    1.10,
    1.00)</f>
        <v/>
      </c>
      <c r="O8959">
        <f>IF('Loan Tape (S&amp;P)'!T8959="Yes",
    1.35,
    1.00)</f>
        <v/>
      </c>
      <c r="P8959">
        <f>IF('Loan Tape (S&amp;P)'!S8959="Yes",
    1.15,
    1.00)</f>
        <v/>
      </c>
      <c r="Q8959">
        <f>IF('Loan Tape (S&amp;P)'!V8959="Yes",
    1.20,
    1.00)</f>
        <v/>
      </c>
      <c r="T8959">
        <f>LET(
    payment_method,'Loan Tape (S&amp;P)'!P8959,
    occupancy,'Loan Tape (S&amp;P)'!N8959,
    maturity_date,'Loan Tape (S&amp;P)'!L8959,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60">
      <c r="J8960">
        <f>LET(
    lien,'Loan Tape (S&amp;P)'!Q8960,
    IF(lien="First",1.00,
        IF(lien="Second",1.50,
            1.70)))</f>
        <v/>
      </c>
      <c r="K8960">
        <f>LET(
    purpose,'Loan Tape (S&amp;P)'!R8960,
    IF(purpose="Purchase",1.00,
        IF(purpose="Remortgage",1.00,
            1.20)))</f>
        <v/>
      </c>
      <c r="L8960">
        <f>LET(
    arrears_months,'Loan Tape (S&amp;P)'!AN8960,
    IF(arrears_months=0,1.00,
    IF(arrears_months=1,3.00,
    IF(arrears_months=2,5.00,
    IF(arrears_months=3,8.00,
    IF(arrears_months=4,10.00,
    IF(arrears_months=5,12.00,15.00)))))))</f>
        <v/>
      </c>
      <c r="M8960">
        <f>LET(
    seasoning_years,DATEDIF('Loan Tape (S&amp;P)'!K8960,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60">
        <f>IF(AND('Loan Tape (S&amp;P)'!U8960="Yes",
        'Loan Tape (S&amp;P)'!T8960&lt;&gt;"Yes",
        DATEDIF('Loan Tape (S&amp;P)'!K8960, TODAY(), "M")&lt;18),
    1.10,
    1.00)</f>
        <v/>
      </c>
      <c r="O8960">
        <f>IF('Loan Tape (S&amp;P)'!T8960="Yes",
    1.35,
    1.00)</f>
        <v/>
      </c>
      <c r="P8960">
        <f>IF('Loan Tape (S&amp;P)'!S8960="Yes",
    1.15,
    1.00)</f>
        <v/>
      </c>
      <c r="Q8960">
        <f>IF('Loan Tape (S&amp;P)'!V8960="Yes",
    1.20,
    1.00)</f>
        <v/>
      </c>
      <c r="T8960">
        <f>LET(
    payment_method,'Loan Tape (S&amp;P)'!P8960,
    occupancy,'Loan Tape (S&amp;P)'!N8960,
    maturity_date,'Loan Tape (S&amp;P)'!L8960,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61">
      <c r="J8961">
        <f>LET(
    lien,'Loan Tape (S&amp;P)'!Q8961,
    IF(lien="First",1.00,
        IF(lien="Second",1.50,
            1.70)))</f>
        <v/>
      </c>
      <c r="K8961">
        <f>LET(
    purpose,'Loan Tape (S&amp;P)'!R8961,
    IF(purpose="Purchase",1.00,
        IF(purpose="Remortgage",1.00,
            1.20)))</f>
        <v/>
      </c>
      <c r="L8961">
        <f>LET(
    arrears_months,'Loan Tape (S&amp;P)'!AN8961,
    IF(arrears_months=0,1.00,
    IF(arrears_months=1,3.00,
    IF(arrears_months=2,5.00,
    IF(arrears_months=3,8.00,
    IF(arrears_months=4,10.00,
    IF(arrears_months=5,12.00,15.00)))))))</f>
        <v/>
      </c>
      <c r="M8961">
        <f>LET(
    seasoning_years,DATEDIF('Loan Tape (S&amp;P)'!K8961,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61">
        <f>IF(AND('Loan Tape (S&amp;P)'!U8961="Yes",
        'Loan Tape (S&amp;P)'!T8961&lt;&gt;"Yes",
        DATEDIF('Loan Tape (S&amp;P)'!K8961, TODAY(), "M")&lt;18),
    1.10,
    1.00)</f>
        <v/>
      </c>
      <c r="O8961">
        <f>IF('Loan Tape (S&amp;P)'!T8961="Yes",
    1.35,
    1.00)</f>
        <v/>
      </c>
      <c r="P8961">
        <f>IF('Loan Tape (S&amp;P)'!S8961="Yes",
    1.15,
    1.00)</f>
        <v/>
      </c>
      <c r="Q8961">
        <f>IF('Loan Tape (S&amp;P)'!V8961="Yes",
    1.20,
    1.00)</f>
        <v/>
      </c>
      <c r="T8961">
        <f>LET(
    payment_method,'Loan Tape (S&amp;P)'!P8961,
    occupancy,'Loan Tape (S&amp;P)'!N8961,
    maturity_date,'Loan Tape (S&amp;P)'!L8961,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62">
      <c r="J8962">
        <f>LET(
    lien,'Loan Tape (S&amp;P)'!Q8962,
    IF(lien="First",1.00,
        IF(lien="Second",1.50,
            1.70)))</f>
        <v/>
      </c>
      <c r="K8962">
        <f>LET(
    purpose,'Loan Tape (S&amp;P)'!R8962,
    IF(purpose="Purchase",1.00,
        IF(purpose="Remortgage",1.00,
            1.20)))</f>
        <v/>
      </c>
      <c r="L8962">
        <f>LET(
    arrears_months,'Loan Tape (S&amp;P)'!AN8962,
    IF(arrears_months=0,1.00,
    IF(arrears_months=1,3.00,
    IF(arrears_months=2,5.00,
    IF(arrears_months=3,8.00,
    IF(arrears_months=4,10.00,
    IF(arrears_months=5,12.00,15.00)))))))</f>
        <v/>
      </c>
      <c r="M8962">
        <f>LET(
    seasoning_years,DATEDIF('Loan Tape (S&amp;P)'!K8962,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62">
        <f>IF(AND('Loan Tape (S&amp;P)'!U8962="Yes",
        'Loan Tape (S&amp;P)'!T8962&lt;&gt;"Yes",
        DATEDIF('Loan Tape (S&amp;P)'!K8962, TODAY(), "M")&lt;18),
    1.10,
    1.00)</f>
        <v/>
      </c>
      <c r="O8962">
        <f>IF('Loan Tape (S&amp;P)'!T8962="Yes",
    1.35,
    1.00)</f>
        <v/>
      </c>
      <c r="P8962">
        <f>IF('Loan Tape (S&amp;P)'!S8962="Yes",
    1.15,
    1.00)</f>
        <v/>
      </c>
      <c r="Q8962">
        <f>IF('Loan Tape (S&amp;P)'!V8962="Yes",
    1.20,
    1.00)</f>
        <v/>
      </c>
      <c r="T8962">
        <f>LET(
    payment_method,'Loan Tape (S&amp;P)'!P8962,
    occupancy,'Loan Tape (S&amp;P)'!N8962,
    maturity_date,'Loan Tape (S&amp;P)'!L8962,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63">
      <c r="J8963">
        <f>LET(
    lien,'Loan Tape (S&amp;P)'!Q8963,
    IF(lien="First",1.00,
        IF(lien="Second",1.50,
            1.70)))</f>
        <v/>
      </c>
      <c r="K8963">
        <f>LET(
    purpose,'Loan Tape (S&amp;P)'!R8963,
    IF(purpose="Purchase",1.00,
        IF(purpose="Remortgage",1.00,
            1.20)))</f>
        <v/>
      </c>
      <c r="L8963">
        <f>LET(
    arrears_months,'Loan Tape (S&amp;P)'!AN8963,
    IF(arrears_months=0,1.00,
    IF(arrears_months=1,3.00,
    IF(arrears_months=2,5.00,
    IF(arrears_months=3,8.00,
    IF(arrears_months=4,10.00,
    IF(arrears_months=5,12.00,15.00)))))))</f>
        <v/>
      </c>
      <c r="M8963">
        <f>LET(
    seasoning_years,DATEDIF('Loan Tape (S&amp;P)'!K8963,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63">
        <f>IF(AND('Loan Tape (S&amp;P)'!U8963="Yes",
        'Loan Tape (S&amp;P)'!T8963&lt;&gt;"Yes",
        DATEDIF('Loan Tape (S&amp;P)'!K8963, TODAY(), "M")&lt;18),
    1.10,
    1.00)</f>
        <v/>
      </c>
      <c r="O8963">
        <f>IF('Loan Tape (S&amp;P)'!T8963="Yes",
    1.35,
    1.00)</f>
        <v/>
      </c>
      <c r="P8963">
        <f>IF('Loan Tape (S&amp;P)'!S8963="Yes",
    1.15,
    1.00)</f>
        <v/>
      </c>
      <c r="Q8963">
        <f>IF('Loan Tape (S&amp;P)'!V8963="Yes",
    1.20,
    1.00)</f>
        <v/>
      </c>
      <c r="T8963">
        <f>LET(
    payment_method,'Loan Tape (S&amp;P)'!P8963,
    occupancy,'Loan Tape (S&amp;P)'!N8963,
    maturity_date,'Loan Tape (S&amp;P)'!L8963,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64">
      <c r="J8964">
        <f>LET(
    lien,'Loan Tape (S&amp;P)'!Q8964,
    IF(lien="First",1.00,
        IF(lien="Second",1.50,
            1.70)))</f>
        <v/>
      </c>
      <c r="K8964">
        <f>LET(
    purpose,'Loan Tape (S&amp;P)'!R8964,
    IF(purpose="Purchase",1.00,
        IF(purpose="Remortgage",1.00,
            1.20)))</f>
        <v/>
      </c>
      <c r="L8964">
        <f>LET(
    arrears_months,'Loan Tape (S&amp;P)'!AN8964,
    IF(arrears_months=0,1.00,
    IF(arrears_months=1,3.00,
    IF(arrears_months=2,5.00,
    IF(arrears_months=3,8.00,
    IF(arrears_months=4,10.00,
    IF(arrears_months=5,12.00,15.00)))))))</f>
        <v/>
      </c>
      <c r="M8964">
        <f>LET(
    seasoning_years,DATEDIF('Loan Tape (S&amp;P)'!K8964,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64">
        <f>IF(AND('Loan Tape (S&amp;P)'!U8964="Yes",
        'Loan Tape (S&amp;P)'!T8964&lt;&gt;"Yes",
        DATEDIF('Loan Tape (S&amp;P)'!K8964, TODAY(), "M")&lt;18),
    1.10,
    1.00)</f>
        <v/>
      </c>
      <c r="O8964">
        <f>IF('Loan Tape (S&amp;P)'!T8964="Yes",
    1.35,
    1.00)</f>
        <v/>
      </c>
      <c r="P8964">
        <f>IF('Loan Tape (S&amp;P)'!S8964="Yes",
    1.15,
    1.00)</f>
        <v/>
      </c>
      <c r="Q8964">
        <f>IF('Loan Tape (S&amp;P)'!V8964="Yes",
    1.20,
    1.00)</f>
        <v/>
      </c>
      <c r="T8964">
        <f>LET(
    payment_method,'Loan Tape (S&amp;P)'!P8964,
    occupancy,'Loan Tape (S&amp;P)'!N8964,
    maturity_date,'Loan Tape (S&amp;P)'!L8964,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65">
      <c r="J8965">
        <f>LET(
    lien,'Loan Tape (S&amp;P)'!Q8965,
    IF(lien="First",1.00,
        IF(lien="Second",1.50,
            1.70)))</f>
        <v/>
      </c>
      <c r="K8965">
        <f>LET(
    purpose,'Loan Tape (S&amp;P)'!R8965,
    IF(purpose="Purchase",1.00,
        IF(purpose="Remortgage",1.00,
            1.20)))</f>
        <v/>
      </c>
      <c r="L8965">
        <f>LET(
    arrears_months,'Loan Tape (S&amp;P)'!AN8965,
    IF(arrears_months=0,1.00,
    IF(arrears_months=1,3.00,
    IF(arrears_months=2,5.00,
    IF(arrears_months=3,8.00,
    IF(arrears_months=4,10.00,
    IF(arrears_months=5,12.00,15.00)))))))</f>
        <v/>
      </c>
      <c r="M8965">
        <f>LET(
    seasoning_years,DATEDIF('Loan Tape (S&amp;P)'!K8965,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65">
        <f>IF(AND('Loan Tape (S&amp;P)'!U8965="Yes",
        'Loan Tape (S&amp;P)'!T8965&lt;&gt;"Yes",
        DATEDIF('Loan Tape (S&amp;P)'!K8965, TODAY(), "M")&lt;18),
    1.10,
    1.00)</f>
        <v/>
      </c>
      <c r="O8965">
        <f>IF('Loan Tape (S&amp;P)'!T8965="Yes",
    1.35,
    1.00)</f>
        <v/>
      </c>
      <c r="P8965">
        <f>IF('Loan Tape (S&amp;P)'!S8965="Yes",
    1.15,
    1.00)</f>
        <v/>
      </c>
      <c r="Q8965">
        <f>IF('Loan Tape (S&amp;P)'!V8965="Yes",
    1.20,
    1.00)</f>
        <v/>
      </c>
      <c r="T8965">
        <f>LET(
    payment_method,'Loan Tape (S&amp;P)'!P8965,
    occupancy,'Loan Tape (S&amp;P)'!N8965,
    maturity_date,'Loan Tape (S&amp;P)'!L8965,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66">
      <c r="J8966">
        <f>LET(
    lien,'Loan Tape (S&amp;P)'!Q8966,
    IF(lien="First",1.00,
        IF(lien="Second",1.50,
            1.70)))</f>
        <v/>
      </c>
      <c r="K8966">
        <f>LET(
    purpose,'Loan Tape (S&amp;P)'!R8966,
    IF(purpose="Purchase",1.00,
        IF(purpose="Remortgage",1.00,
            1.20)))</f>
        <v/>
      </c>
      <c r="L8966">
        <f>LET(
    arrears_months,'Loan Tape (S&amp;P)'!AN8966,
    IF(arrears_months=0,1.00,
    IF(arrears_months=1,3.00,
    IF(arrears_months=2,5.00,
    IF(arrears_months=3,8.00,
    IF(arrears_months=4,10.00,
    IF(arrears_months=5,12.00,15.00)))))))</f>
        <v/>
      </c>
      <c r="M8966">
        <f>LET(
    seasoning_years,DATEDIF('Loan Tape (S&amp;P)'!K8966,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66">
        <f>IF(AND('Loan Tape (S&amp;P)'!U8966="Yes",
        'Loan Tape (S&amp;P)'!T8966&lt;&gt;"Yes",
        DATEDIF('Loan Tape (S&amp;P)'!K8966, TODAY(), "M")&lt;18),
    1.10,
    1.00)</f>
        <v/>
      </c>
      <c r="O8966">
        <f>IF('Loan Tape (S&amp;P)'!T8966="Yes",
    1.35,
    1.00)</f>
        <v/>
      </c>
      <c r="P8966">
        <f>IF('Loan Tape (S&amp;P)'!S8966="Yes",
    1.15,
    1.00)</f>
        <v/>
      </c>
      <c r="Q8966">
        <f>IF('Loan Tape (S&amp;P)'!V8966="Yes",
    1.20,
    1.00)</f>
        <v/>
      </c>
      <c r="T8966">
        <f>LET(
    payment_method,'Loan Tape (S&amp;P)'!P8966,
    occupancy,'Loan Tape (S&amp;P)'!N8966,
    maturity_date,'Loan Tape (S&amp;P)'!L8966,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67">
      <c r="J8967">
        <f>LET(
    lien,'Loan Tape (S&amp;P)'!Q8967,
    IF(lien="First",1.00,
        IF(lien="Second",1.50,
            1.70)))</f>
        <v/>
      </c>
      <c r="K8967">
        <f>LET(
    purpose,'Loan Tape (S&amp;P)'!R8967,
    IF(purpose="Purchase",1.00,
        IF(purpose="Remortgage",1.00,
            1.20)))</f>
        <v/>
      </c>
      <c r="L8967">
        <f>LET(
    arrears_months,'Loan Tape (S&amp;P)'!AN8967,
    IF(arrears_months=0,1.00,
    IF(arrears_months=1,3.00,
    IF(arrears_months=2,5.00,
    IF(arrears_months=3,8.00,
    IF(arrears_months=4,10.00,
    IF(arrears_months=5,12.00,15.00)))))))</f>
        <v/>
      </c>
      <c r="M8967">
        <f>LET(
    seasoning_years,DATEDIF('Loan Tape (S&amp;P)'!K8967,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67">
        <f>IF(AND('Loan Tape (S&amp;P)'!U8967="Yes",
        'Loan Tape (S&amp;P)'!T8967&lt;&gt;"Yes",
        DATEDIF('Loan Tape (S&amp;P)'!K8967, TODAY(), "M")&lt;18),
    1.10,
    1.00)</f>
        <v/>
      </c>
      <c r="O8967">
        <f>IF('Loan Tape (S&amp;P)'!T8967="Yes",
    1.35,
    1.00)</f>
        <v/>
      </c>
      <c r="P8967">
        <f>IF('Loan Tape (S&amp;P)'!S8967="Yes",
    1.15,
    1.00)</f>
        <v/>
      </c>
      <c r="Q8967">
        <f>IF('Loan Tape (S&amp;P)'!V8967="Yes",
    1.20,
    1.00)</f>
        <v/>
      </c>
      <c r="T8967">
        <f>LET(
    payment_method,'Loan Tape (S&amp;P)'!P8967,
    occupancy,'Loan Tape (S&amp;P)'!N8967,
    maturity_date,'Loan Tape (S&amp;P)'!L8967,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68">
      <c r="J8968">
        <f>LET(
    lien,'Loan Tape (S&amp;P)'!Q8968,
    IF(lien="First",1.00,
        IF(lien="Second",1.50,
            1.70)))</f>
        <v/>
      </c>
      <c r="K8968">
        <f>LET(
    purpose,'Loan Tape (S&amp;P)'!R8968,
    IF(purpose="Purchase",1.00,
        IF(purpose="Remortgage",1.00,
            1.20)))</f>
        <v/>
      </c>
      <c r="L8968">
        <f>LET(
    arrears_months,'Loan Tape (S&amp;P)'!AN8968,
    IF(arrears_months=0,1.00,
    IF(arrears_months=1,3.00,
    IF(arrears_months=2,5.00,
    IF(arrears_months=3,8.00,
    IF(arrears_months=4,10.00,
    IF(arrears_months=5,12.00,15.00)))))))</f>
        <v/>
      </c>
      <c r="M8968">
        <f>LET(
    seasoning_years,DATEDIF('Loan Tape (S&amp;P)'!K8968,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68">
        <f>IF(AND('Loan Tape (S&amp;P)'!U8968="Yes",
        'Loan Tape (S&amp;P)'!T8968&lt;&gt;"Yes",
        DATEDIF('Loan Tape (S&amp;P)'!K8968, TODAY(), "M")&lt;18),
    1.10,
    1.00)</f>
        <v/>
      </c>
      <c r="O8968">
        <f>IF('Loan Tape (S&amp;P)'!T8968="Yes",
    1.35,
    1.00)</f>
        <v/>
      </c>
      <c r="P8968">
        <f>IF('Loan Tape (S&amp;P)'!S8968="Yes",
    1.15,
    1.00)</f>
        <v/>
      </c>
      <c r="Q8968">
        <f>IF('Loan Tape (S&amp;P)'!V8968="Yes",
    1.20,
    1.00)</f>
        <v/>
      </c>
      <c r="T8968">
        <f>LET(
    payment_method,'Loan Tape (S&amp;P)'!P8968,
    occupancy,'Loan Tape (S&amp;P)'!N8968,
    maturity_date,'Loan Tape (S&amp;P)'!L8968,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69">
      <c r="J8969">
        <f>LET(
    lien,'Loan Tape (S&amp;P)'!Q8969,
    IF(lien="First",1.00,
        IF(lien="Second",1.50,
            1.70)))</f>
        <v/>
      </c>
      <c r="K8969">
        <f>LET(
    purpose,'Loan Tape (S&amp;P)'!R8969,
    IF(purpose="Purchase",1.00,
        IF(purpose="Remortgage",1.00,
            1.20)))</f>
        <v/>
      </c>
      <c r="L8969">
        <f>LET(
    arrears_months,'Loan Tape (S&amp;P)'!AN8969,
    IF(arrears_months=0,1.00,
    IF(arrears_months=1,3.00,
    IF(arrears_months=2,5.00,
    IF(arrears_months=3,8.00,
    IF(arrears_months=4,10.00,
    IF(arrears_months=5,12.00,15.00)))))))</f>
        <v/>
      </c>
      <c r="M8969">
        <f>LET(
    seasoning_years,DATEDIF('Loan Tape (S&amp;P)'!K8969,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69">
        <f>IF(AND('Loan Tape (S&amp;P)'!U8969="Yes",
        'Loan Tape (S&amp;P)'!T8969&lt;&gt;"Yes",
        DATEDIF('Loan Tape (S&amp;P)'!K8969, TODAY(), "M")&lt;18),
    1.10,
    1.00)</f>
        <v/>
      </c>
      <c r="O8969">
        <f>IF('Loan Tape (S&amp;P)'!T8969="Yes",
    1.35,
    1.00)</f>
        <v/>
      </c>
      <c r="P8969">
        <f>IF('Loan Tape (S&amp;P)'!S8969="Yes",
    1.15,
    1.00)</f>
        <v/>
      </c>
      <c r="Q8969">
        <f>IF('Loan Tape (S&amp;P)'!V8969="Yes",
    1.20,
    1.00)</f>
        <v/>
      </c>
      <c r="T8969">
        <f>LET(
    payment_method,'Loan Tape (S&amp;P)'!P8969,
    occupancy,'Loan Tape (S&amp;P)'!N8969,
    maturity_date,'Loan Tape (S&amp;P)'!L8969,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70">
      <c r="J8970">
        <f>LET(
    lien,'Loan Tape (S&amp;P)'!Q8970,
    IF(lien="First",1.00,
        IF(lien="Second",1.50,
            1.70)))</f>
        <v/>
      </c>
      <c r="K8970">
        <f>LET(
    purpose,'Loan Tape (S&amp;P)'!R8970,
    IF(purpose="Purchase",1.00,
        IF(purpose="Remortgage",1.00,
            1.20)))</f>
        <v/>
      </c>
      <c r="L8970">
        <f>LET(
    arrears_months,'Loan Tape (S&amp;P)'!AN8970,
    IF(arrears_months=0,1.00,
    IF(arrears_months=1,3.00,
    IF(arrears_months=2,5.00,
    IF(arrears_months=3,8.00,
    IF(arrears_months=4,10.00,
    IF(arrears_months=5,12.00,15.00)))))))</f>
        <v/>
      </c>
      <c r="M8970">
        <f>LET(
    seasoning_years,DATEDIF('Loan Tape (S&amp;P)'!K8970,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70">
        <f>IF(AND('Loan Tape (S&amp;P)'!U8970="Yes",
        'Loan Tape (S&amp;P)'!T8970&lt;&gt;"Yes",
        DATEDIF('Loan Tape (S&amp;P)'!K8970, TODAY(), "M")&lt;18),
    1.10,
    1.00)</f>
        <v/>
      </c>
      <c r="O8970">
        <f>IF('Loan Tape (S&amp;P)'!T8970="Yes",
    1.35,
    1.00)</f>
        <v/>
      </c>
      <c r="P8970">
        <f>IF('Loan Tape (S&amp;P)'!S8970="Yes",
    1.15,
    1.00)</f>
        <v/>
      </c>
      <c r="Q8970">
        <f>IF('Loan Tape (S&amp;P)'!V8970="Yes",
    1.20,
    1.00)</f>
        <v/>
      </c>
      <c r="T8970">
        <f>LET(
    payment_method,'Loan Tape (S&amp;P)'!P8970,
    occupancy,'Loan Tape (S&amp;P)'!N8970,
    maturity_date,'Loan Tape (S&amp;P)'!L8970,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71">
      <c r="J8971">
        <f>LET(
    lien,'Loan Tape (S&amp;P)'!Q8971,
    IF(lien="First",1.00,
        IF(lien="Second",1.50,
            1.70)))</f>
        <v/>
      </c>
      <c r="K8971">
        <f>LET(
    purpose,'Loan Tape (S&amp;P)'!R8971,
    IF(purpose="Purchase",1.00,
        IF(purpose="Remortgage",1.00,
            1.20)))</f>
        <v/>
      </c>
      <c r="L8971">
        <f>LET(
    arrears_months,'Loan Tape (S&amp;P)'!AN8971,
    IF(arrears_months=0,1.00,
    IF(arrears_months=1,3.00,
    IF(arrears_months=2,5.00,
    IF(arrears_months=3,8.00,
    IF(arrears_months=4,10.00,
    IF(arrears_months=5,12.00,15.00)))))))</f>
        <v/>
      </c>
      <c r="M8971">
        <f>LET(
    seasoning_years,DATEDIF('Loan Tape (S&amp;P)'!K8971,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71">
        <f>IF(AND('Loan Tape (S&amp;P)'!U8971="Yes",
        'Loan Tape (S&amp;P)'!T8971&lt;&gt;"Yes",
        DATEDIF('Loan Tape (S&amp;P)'!K8971, TODAY(), "M")&lt;18),
    1.10,
    1.00)</f>
        <v/>
      </c>
      <c r="O8971">
        <f>IF('Loan Tape (S&amp;P)'!T8971="Yes",
    1.35,
    1.00)</f>
        <v/>
      </c>
      <c r="P8971">
        <f>IF('Loan Tape (S&amp;P)'!S8971="Yes",
    1.15,
    1.00)</f>
        <v/>
      </c>
      <c r="Q8971">
        <f>IF('Loan Tape (S&amp;P)'!V8971="Yes",
    1.20,
    1.00)</f>
        <v/>
      </c>
      <c r="T8971">
        <f>LET(
    payment_method,'Loan Tape (S&amp;P)'!P8971,
    occupancy,'Loan Tape (S&amp;P)'!N8971,
    maturity_date,'Loan Tape (S&amp;P)'!L8971,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72">
      <c r="J8972">
        <f>LET(
    lien,'Loan Tape (S&amp;P)'!Q8972,
    IF(lien="First",1.00,
        IF(lien="Second",1.50,
            1.70)))</f>
        <v/>
      </c>
      <c r="K8972">
        <f>LET(
    purpose,'Loan Tape (S&amp;P)'!R8972,
    IF(purpose="Purchase",1.00,
        IF(purpose="Remortgage",1.00,
            1.20)))</f>
        <v/>
      </c>
      <c r="L8972">
        <f>LET(
    arrears_months,'Loan Tape (S&amp;P)'!AN8972,
    IF(arrears_months=0,1.00,
    IF(arrears_months=1,3.00,
    IF(arrears_months=2,5.00,
    IF(arrears_months=3,8.00,
    IF(arrears_months=4,10.00,
    IF(arrears_months=5,12.00,15.00)))))))</f>
        <v/>
      </c>
      <c r="M8972">
        <f>LET(
    seasoning_years,DATEDIF('Loan Tape (S&amp;P)'!K8972,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72">
        <f>IF(AND('Loan Tape (S&amp;P)'!U8972="Yes",
        'Loan Tape (S&amp;P)'!T8972&lt;&gt;"Yes",
        DATEDIF('Loan Tape (S&amp;P)'!K8972, TODAY(), "M")&lt;18),
    1.10,
    1.00)</f>
        <v/>
      </c>
      <c r="O8972">
        <f>IF('Loan Tape (S&amp;P)'!T8972="Yes",
    1.35,
    1.00)</f>
        <v/>
      </c>
      <c r="P8972">
        <f>IF('Loan Tape (S&amp;P)'!S8972="Yes",
    1.15,
    1.00)</f>
        <v/>
      </c>
      <c r="Q8972">
        <f>IF('Loan Tape (S&amp;P)'!V8972="Yes",
    1.20,
    1.00)</f>
        <v/>
      </c>
      <c r="T8972">
        <f>LET(
    payment_method,'Loan Tape (S&amp;P)'!P8972,
    occupancy,'Loan Tape (S&amp;P)'!N8972,
    maturity_date,'Loan Tape (S&amp;P)'!L8972,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73">
      <c r="J8973">
        <f>LET(
    lien,'Loan Tape (S&amp;P)'!Q8973,
    IF(lien="First",1.00,
        IF(lien="Second",1.50,
            1.70)))</f>
        <v/>
      </c>
      <c r="K8973">
        <f>LET(
    purpose,'Loan Tape (S&amp;P)'!R8973,
    IF(purpose="Purchase",1.00,
        IF(purpose="Remortgage",1.00,
            1.20)))</f>
        <v/>
      </c>
      <c r="L8973">
        <f>LET(
    arrears_months,'Loan Tape (S&amp;P)'!AN8973,
    IF(arrears_months=0,1.00,
    IF(arrears_months=1,3.00,
    IF(arrears_months=2,5.00,
    IF(arrears_months=3,8.00,
    IF(arrears_months=4,10.00,
    IF(arrears_months=5,12.00,15.00)))))))</f>
        <v/>
      </c>
      <c r="M8973">
        <f>LET(
    seasoning_years,DATEDIF('Loan Tape (S&amp;P)'!K8973,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73">
        <f>IF(AND('Loan Tape (S&amp;P)'!U8973="Yes",
        'Loan Tape (S&amp;P)'!T8973&lt;&gt;"Yes",
        DATEDIF('Loan Tape (S&amp;P)'!K8973, TODAY(), "M")&lt;18),
    1.10,
    1.00)</f>
        <v/>
      </c>
      <c r="O8973">
        <f>IF('Loan Tape (S&amp;P)'!T8973="Yes",
    1.35,
    1.00)</f>
        <v/>
      </c>
      <c r="P8973">
        <f>IF('Loan Tape (S&amp;P)'!S8973="Yes",
    1.15,
    1.00)</f>
        <v/>
      </c>
      <c r="Q8973">
        <f>IF('Loan Tape (S&amp;P)'!V8973="Yes",
    1.20,
    1.00)</f>
        <v/>
      </c>
      <c r="T8973">
        <f>LET(
    payment_method,'Loan Tape (S&amp;P)'!P8973,
    occupancy,'Loan Tape (S&amp;P)'!N8973,
    maturity_date,'Loan Tape (S&amp;P)'!L8973,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74">
      <c r="J8974">
        <f>LET(
    lien,'Loan Tape (S&amp;P)'!Q8974,
    IF(lien="First",1.00,
        IF(lien="Second",1.50,
            1.70)))</f>
        <v/>
      </c>
      <c r="K8974">
        <f>LET(
    purpose,'Loan Tape (S&amp;P)'!R8974,
    IF(purpose="Purchase",1.00,
        IF(purpose="Remortgage",1.00,
            1.20)))</f>
        <v/>
      </c>
      <c r="L8974">
        <f>LET(
    arrears_months,'Loan Tape (S&amp;P)'!AN8974,
    IF(arrears_months=0,1.00,
    IF(arrears_months=1,3.00,
    IF(arrears_months=2,5.00,
    IF(arrears_months=3,8.00,
    IF(arrears_months=4,10.00,
    IF(arrears_months=5,12.00,15.00)))))))</f>
        <v/>
      </c>
      <c r="M8974">
        <f>LET(
    seasoning_years,DATEDIF('Loan Tape (S&amp;P)'!K8974,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74">
        <f>IF(AND('Loan Tape (S&amp;P)'!U8974="Yes",
        'Loan Tape (S&amp;P)'!T8974&lt;&gt;"Yes",
        DATEDIF('Loan Tape (S&amp;P)'!K8974, TODAY(), "M")&lt;18),
    1.10,
    1.00)</f>
        <v/>
      </c>
      <c r="O8974">
        <f>IF('Loan Tape (S&amp;P)'!T8974="Yes",
    1.35,
    1.00)</f>
        <v/>
      </c>
      <c r="P8974">
        <f>IF('Loan Tape (S&amp;P)'!S8974="Yes",
    1.15,
    1.00)</f>
        <v/>
      </c>
      <c r="Q8974">
        <f>IF('Loan Tape (S&amp;P)'!V8974="Yes",
    1.20,
    1.00)</f>
        <v/>
      </c>
      <c r="T8974">
        <f>LET(
    payment_method,'Loan Tape (S&amp;P)'!P8974,
    occupancy,'Loan Tape (S&amp;P)'!N8974,
    maturity_date,'Loan Tape (S&amp;P)'!L8974,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75">
      <c r="J8975">
        <f>LET(
    lien,'Loan Tape (S&amp;P)'!Q8975,
    IF(lien="First",1.00,
        IF(lien="Second",1.50,
            1.70)))</f>
        <v/>
      </c>
      <c r="K8975">
        <f>LET(
    purpose,'Loan Tape (S&amp;P)'!R8975,
    IF(purpose="Purchase",1.00,
        IF(purpose="Remortgage",1.00,
            1.20)))</f>
        <v/>
      </c>
      <c r="L8975">
        <f>LET(
    arrears_months,'Loan Tape (S&amp;P)'!AN8975,
    IF(arrears_months=0,1.00,
    IF(arrears_months=1,3.00,
    IF(arrears_months=2,5.00,
    IF(arrears_months=3,8.00,
    IF(arrears_months=4,10.00,
    IF(arrears_months=5,12.00,15.00)))))))</f>
        <v/>
      </c>
      <c r="M8975">
        <f>LET(
    seasoning_years,DATEDIF('Loan Tape (S&amp;P)'!K8975,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75">
        <f>IF(AND('Loan Tape (S&amp;P)'!U8975="Yes",
        'Loan Tape (S&amp;P)'!T8975&lt;&gt;"Yes",
        DATEDIF('Loan Tape (S&amp;P)'!K8975, TODAY(), "M")&lt;18),
    1.10,
    1.00)</f>
        <v/>
      </c>
      <c r="O8975">
        <f>IF('Loan Tape (S&amp;P)'!T8975="Yes",
    1.35,
    1.00)</f>
        <v/>
      </c>
      <c r="P8975">
        <f>IF('Loan Tape (S&amp;P)'!S8975="Yes",
    1.15,
    1.00)</f>
        <v/>
      </c>
      <c r="Q8975">
        <f>IF('Loan Tape (S&amp;P)'!V8975="Yes",
    1.20,
    1.00)</f>
        <v/>
      </c>
      <c r="T8975">
        <f>LET(
    payment_method,'Loan Tape (S&amp;P)'!P8975,
    occupancy,'Loan Tape (S&amp;P)'!N8975,
    maturity_date,'Loan Tape (S&amp;P)'!L8975,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76">
      <c r="J8976">
        <f>LET(
    lien,'Loan Tape (S&amp;P)'!Q8976,
    IF(lien="First",1.00,
        IF(lien="Second",1.50,
            1.70)))</f>
        <v/>
      </c>
      <c r="K8976">
        <f>LET(
    purpose,'Loan Tape (S&amp;P)'!R8976,
    IF(purpose="Purchase",1.00,
        IF(purpose="Remortgage",1.00,
            1.20)))</f>
        <v/>
      </c>
      <c r="L8976">
        <f>LET(
    arrears_months,'Loan Tape (S&amp;P)'!AN8976,
    IF(arrears_months=0,1.00,
    IF(arrears_months=1,3.00,
    IF(arrears_months=2,5.00,
    IF(arrears_months=3,8.00,
    IF(arrears_months=4,10.00,
    IF(arrears_months=5,12.00,15.00)))))))</f>
        <v/>
      </c>
      <c r="M8976">
        <f>LET(
    seasoning_years,DATEDIF('Loan Tape (S&amp;P)'!K8976,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76">
        <f>IF(AND('Loan Tape (S&amp;P)'!U8976="Yes",
        'Loan Tape (S&amp;P)'!T8976&lt;&gt;"Yes",
        DATEDIF('Loan Tape (S&amp;P)'!K8976, TODAY(), "M")&lt;18),
    1.10,
    1.00)</f>
        <v/>
      </c>
      <c r="O8976">
        <f>IF('Loan Tape (S&amp;P)'!T8976="Yes",
    1.35,
    1.00)</f>
        <v/>
      </c>
      <c r="P8976">
        <f>IF('Loan Tape (S&amp;P)'!S8976="Yes",
    1.15,
    1.00)</f>
        <v/>
      </c>
      <c r="Q8976">
        <f>IF('Loan Tape (S&amp;P)'!V8976="Yes",
    1.20,
    1.00)</f>
        <v/>
      </c>
      <c r="T8976">
        <f>LET(
    payment_method,'Loan Tape (S&amp;P)'!P8976,
    occupancy,'Loan Tape (S&amp;P)'!N8976,
    maturity_date,'Loan Tape (S&amp;P)'!L8976,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77">
      <c r="J8977">
        <f>LET(
    lien,'Loan Tape (S&amp;P)'!Q8977,
    IF(lien="First",1.00,
        IF(lien="Second",1.50,
            1.70)))</f>
        <v/>
      </c>
      <c r="K8977">
        <f>LET(
    purpose,'Loan Tape (S&amp;P)'!R8977,
    IF(purpose="Purchase",1.00,
        IF(purpose="Remortgage",1.00,
            1.20)))</f>
        <v/>
      </c>
      <c r="L8977">
        <f>LET(
    arrears_months,'Loan Tape (S&amp;P)'!AN8977,
    IF(arrears_months=0,1.00,
    IF(arrears_months=1,3.00,
    IF(arrears_months=2,5.00,
    IF(arrears_months=3,8.00,
    IF(arrears_months=4,10.00,
    IF(arrears_months=5,12.00,15.00)))))))</f>
        <v/>
      </c>
      <c r="M8977">
        <f>LET(
    seasoning_years,DATEDIF('Loan Tape (S&amp;P)'!K8977,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77">
        <f>IF(AND('Loan Tape (S&amp;P)'!U8977="Yes",
        'Loan Tape (S&amp;P)'!T8977&lt;&gt;"Yes",
        DATEDIF('Loan Tape (S&amp;P)'!K8977, TODAY(), "M")&lt;18),
    1.10,
    1.00)</f>
        <v/>
      </c>
      <c r="O8977">
        <f>IF('Loan Tape (S&amp;P)'!T8977="Yes",
    1.35,
    1.00)</f>
        <v/>
      </c>
      <c r="P8977">
        <f>IF('Loan Tape (S&amp;P)'!S8977="Yes",
    1.15,
    1.00)</f>
        <v/>
      </c>
      <c r="Q8977">
        <f>IF('Loan Tape (S&amp;P)'!V8977="Yes",
    1.20,
    1.00)</f>
        <v/>
      </c>
      <c r="T8977">
        <f>LET(
    payment_method,'Loan Tape (S&amp;P)'!P8977,
    occupancy,'Loan Tape (S&amp;P)'!N8977,
    maturity_date,'Loan Tape (S&amp;P)'!L8977,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78">
      <c r="J8978">
        <f>LET(
    lien,'Loan Tape (S&amp;P)'!Q8978,
    IF(lien="First",1.00,
        IF(lien="Second",1.50,
            1.70)))</f>
        <v/>
      </c>
      <c r="K8978">
        <f>LET(
    purpose,'Loan Tape (S&amp;P)'!R8978,
    IF(purpose="Purchase",1.00,
        IF(purpose="Remortgage",1.00,
            1.20)))</f>
        <v/>
      </c>
      <c r="L8978">
        <f>LET(
    arrears_months,'Loan Tape (S&amp;P)'!AN8978,
    IF(arrears_months=0,1.00,
    IF(arrears_months=1,3.00,
    IF(arrears_months=2,5.00,
    IF(arrears_months=3,8.00,
    IF(arrears_months=4,10.00,
    IF(arrears_months=5,12.00,15.00)))))))</f>
        <v/>
      </c>
      <c r="M8978">
        <f>LET(
    seasoning_years,DATEDIF('Loan Tape (S&amp;P)'!K8978,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78">
        <f>IF(AND('Loan Tape (S&amp;P)'!U8978="Yes",
        'Loan Tape (S&amp;P)'!T8978&lt;&gt;"Yes",
        DATEDIF('Loan Tape (S&amp;P)'!K8978, TODAY(), "M")&lt;18),
    1.10,
    1.00)</f>
        <v/>
      </c>
      <c r="O8978">
        <f>IF('Loan Tape (S&amp;P)'!T8978="Yes",
    1.35,
    1.00)</f>
        <v/>
      </c>
      <c r="P8978">
        <f>IF('Loan Tape (S&amp;P)'!S8978="Yes",
    1.15,
    1.00)</f>
        <v/>
      </c>
      <c r="Q8978">
        <f>IF('Loan Tape (S&amp;P)'!V8978="Yes",
    1.20,
    1.00)</f>
        <v/>
      </c>
      <c r="T8978">
        <f>LET(
    payment_method,'Loan Tape (S&amp;P)'!P8978,
    occupancy,'Loan Tape (S&amp;P)'!N8978,
    maturity_date,'Loan Tape (S&amp;P)'!L8978,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79">
      <c r="J8979">
        <f>LET(
    lien,'Loan Tape (S&amp;P)'!Q8979,
    IF(lien="First",1.00,
        IF(lien="Second",1.50,
            1.70)))</f>
        <v/>
      </c>
      <c r="K8979">
        <f>LET(
    purpose,'Loan Tape (S&amp;P)'!R8979,
    IF(purpose="Purchase",1.00,
        IF(purpose="Remortgage",1.00,
            1.20)))</f>
        <v/>
      </c>
      <c r="L8979">
        <f>LET(
    arrears_months,'Loan Tape (S&amp;P)'!AN8979,
    IF(arrears_months=0,1.00,
    IF(arrears_months=1,3.00,
    IF(arrears_months=2,5.00,
    IF(arrears_months=3,8.00,
    IF(arrears_months=4,10.00,
    IF(arrears_months=5,12.00,15.00)))))))</f>
        <v/>
      </c>
      <c r="M8979">
        <f>LET(
    seasoning_years,DATEDIF('Loan Tape (S&amp;P)'!K8979,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79">
        <f>IF(AND('Loan Tape (S&amp;P)'!U8979="Yes",
        'Loan Tape (S&amp;P)'!T8979&lt;&gt;"Yes",
        DATEDIF('Loan Tape (S&amp;P)'!K8979, TODAY(), "M")&lt;18),
    1.10,
    1.00)</f>
        <v/>
      </c>
      <c r="O8979">
        <f>IF('Loan Tape (S&amp;P)'!T8979="Yes",
    1.35,
    1.00)</f>
        <v/>
      </c>
      <c r="P8979">
        <f>IF('Loan Tape (S&amp;P)'!S8979="Yes",
    1.15,
    1.00)</f>
        <v/>
      </c>
      <c r="Q8979">
        <f>IF('Loan Tape (S&amp;P)'!V8979="Yes",
    1.20,
    1.00)</f>
        <v/>
      </c>
      <c r="T8979">
        <f>LET(
    payment_method,'Loan Tape (S&amp;P)'!P8979,
    occupancy,'Loan Tape (S&amp;P)'!N8979,
    maturity_date,'Loan Tape (S&amp;P)'!L8979,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80">
      <c r="J8980">
        <f>LET(
    lien,'Loan Tape (S&amp;P)'!Q8980,
    IF(lien="First",1.00,
        IF(lien="Second",1.50,
            1.70)))</f>
        <v/>
      </c>
      <c r="K8980">
        <f>LET(
    purpose,'Loan Tape (S&amp;P)'!R8980,
    IF(purpose="Purchase",1.00,
        IF(purpose="Remortgage",1.00,
            1.20)))</f>
        <v/>
      </c>
      <c r="L8980">
        <f>LET(
    arrears_months,'Loan Tape (S&amp;P)'!AN8980,
    IF(arrears_months=0,1.00,
    IF(arrears_months=1,3.00,
    IF(arrears_months=2,5.00,
    IF(arrears_months=3,8.00,
    IF(arrears_months=4,10.00,
    IF(arrears_months=5,12.00,15.00)))))))</f>
        <v/>
      </c>
      <c r="M8980">
        <f>LET(
    seasoning_years,DATEDIF('Loan Tape (S&amp;P)'!K8980,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80">
        <f>IF(AND('Loan Tape (S&amp;P)'!U8980="Yes",
        'Loan Tape (S&amp;P)'!T8980&lt;&gt;"Yes",
        DATEDIF('Loan Tape (S&amp;P)'!K8980, TODAY(), "M")&lt;18),
    1.10,
    1.00)</f>
        <v/>
      </c>
      <c r="O8980">
        <f>IF('Loan Tape (S&amp;P)'!T8980="Yes",
    1.35,
    1.00)</f>
        <v/>
      </c>
      <c r="P8980">
        <f>IF('Loan Tape (S&amp;P)'!S8980="Yes",
    1.15,
    1.00)</f>
        <v/>
      </c>
      <c r="Q8980">
        <f>IF('Loan Tape (S&amp;P)'!V8980="Yes",
    1.20,
    1.00)</f>
        <v/>
      </c>
      <c r="T8980">
        <f>LET(
    payment_method,'Loan Tape (S&amp;P)'!P8980,
    occupancy,'Loan Tape (S&amp;P)'!N8980,
    maturity_date,'Loan Tape (S&amp;P)'!L8980,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81">
      <c r="J8981">
        <f>LET(
    lien,'Loan Tape (S&amp;P)'!Q8981,
    IF(lien="First",1.00,
        IF(lien="Second",1.50,
            1.70)))</f>
        <v/>
      </c>
      <c r="K8981">
        <f>LET(
    purpose,'Loan Tape (S&amp;P)'!R8981,
    IF(purpose="Purchase",1.00,
        IF(purpose="Remortgage",1.00,
            1.20)))</f>
        <v/>
      </c>
      <c r="L8981">
        <f>LET(
    arrears_months,'Loan Tape (S&amp;P)'!AN8981,
    IF(arrears_months=0,1.00,
    IF(arrears_months=1,3.00,
    IF(arrears_months=2,5.00,
    IF(arrears_months=3,8.00,
    IF(arrears_months=4,10.00,
    IF(arrears_months=5,12.00,15.00)))))))</f>
        <v/>
      </c>
      <c r="M8981">
        <f>LET(
    seasoning_years,DATEDIF('Loan Tape (S&amp;P)'!K8981,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81">
        <f>IF(AND('Loan Tape (S&amp;P)'!U8981="Yes",
        'Loan Tape (S&amp;P)'!T8981&lt;&gt;"Yes",
        DATEDIF('Loan Tape (S&amp;P)'!K8981, TODAY(), "M")&lt;18),
    1.10,
    1.00)</f>
        <v/>
      </c>
      <c r="O8981">
        <f>IF('Loan Tape (S&amp;P)'!T8981="Yes",
    1.35,
    1.00)</f>
        <v/>
      </c>
      <c r="P8981">
        <f>IF('Loan Tape (S&amp;P)'!S8981="Yes",
    1.15,
    1.00)</f>
        <v/>
      </c>
      <c r="Q8981">
        <f>IF('Loan Tape (S&amp;P)'!V8981="Yes",
    1.20,
    1.00)</f>
        <v/>
      </c>
      <c r="T8981">
        <f>LET(
    payment_method,'Loan Tape (S&amp;P)'!P8981,
    occupancy,'Loan Tape (S&amp;P)'!N8981,
    maturity_date,'Loan Tape (S&amp;P)'!L8981,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82">
      <c r="J8982">
        <f>LET(
    lien,'Loan Tape (S&amp;P)'!Q8982,
    IF(lien="First",1.00,
        IF(lien="Second",1.50,
            1.70)))</f>
        <v/>
      </c>
      <c r="K8982">
        <f>LET(
    purpose,'Loan Tape (S&amp;P)'!R8982,
    IF(purpose="Purchase",1.00,
        IF(purpose="Remortgage",1.00,
            1.20)))</f>
        <v/>
      </c>
      <c r="L8982">
        <f>LET(
    arrears_months,'Loan Tape (S&amp;P)'!AN8982,
    IF(arrears_months=0,1.00,
    IF(arrears_months=1,3.00,
    IF(arrears_months=2,5.00,
    IF(arrears_months=3,8.00,
    IF(arrears_months=4,10.00,
    IF(arrears_months=5,12.00,15.00)))))))</f>
        <v/>
      </c>
      <c r="M8982">
        <f>LET(
    seasoning_years,DATEDIF('Loan Tape (S&amp;P)'!K8982,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82">
        <f>IF(AND('Loan Tape (S&amp;P)'!U8982="Yes",
        'Loan Tape (S&amp;P)'!T8982&lt;&gt;"Yes",
        DATEDIF('Loan Tape (S&amp;P)'!K8982, TODAY(), "M")&lt;18),
    1.10,
    1.00)</f>
        <v/>
      </c>
      <c r="O8982">
        <f>IF('Loan Tape (S&amp;P)'!T8982="Yes",
    1.35,
    1.00)</f>
        <v/>
      </c>
      <c r="P8982">
        <f>IF('Loan Tape (S&amp;P)'!S8982="Yes",
    1.15,
    1.00)</f>
        <v/>
      </c>
      <c r="Q8982">
        <f>IF('Loan Tape (S&amp;P)'!V8982="Yes",
    1.20,
    1.00)</f>
        <v/>
      </c>
      <c r="T8982">
        <f>LET(
    payment_method,'Loan Tape (S&amp;P)'!P8982,
    occupancy,'Loan Tape (S&amp;P)'!N8982,
    maturity_date,'Loan Tape (S&amp;P)'!L8982,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83">
      <c r="J8983">
        <f>LET(
    lien,'Loan Tape (S&amp;P)'!Q8983,
    IF(lien="First",1.00,
        IF(lien="Second",1.50,
            1.70)))</f>
        <v/>
      </c>
      <c r="K8983">
        <f>LET(
    purpose,'Loan Tape (S&amp;P)'!R8983,
    IF(purpose="Purchase",1.00,
        IF(purpose="Remortgage",1.00,
            1.20)))</f>
        <v/>
      </c>
      <c r="L8983">
        <f>LET(
    arrears_months,'Loan Tape (S&amp;P)'!AN8983,
    IF(arrears_months=0,1.00,
    IF(arrears_months=1,3.00,
    IF(arrears_months=2,5.00,
    IF(arrears_months=3,8.00,
    IF(arrears_months=4,10.00,
    IF(arrears_months=5,12.00,15.00)))))))</f>
        <v/>
      </c>
      <c r="M8983">
        <f>LET(
    seasoning_years,DATEDIF('Loan Tape (S&amp;P)'!K8983,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83">
        <f>IF(AND('Loan Tape (S&amp;P)'!U8983="Yes",
        'Loan Tape (S&amp;P)'!T8983&lt;&gt;"Yes",
        DATEDIF('Loan Tape (S&amp;P)'!K8983, TODAY(), "M")&lt;18),
    1.10,
    1.00)</f>
        <v/>
      </c>
      <c r="O8983">
        <f>IF('Loan Tape (S&amp;P)'!T8983="Yes",
    1.35,
    1.00)</f>
        <v/>
      </c>
      <c r="P8983">
        <f>IF('Loan Tape (S&amp;P)'!S8983="Yes",
    1.15,
    1.00)</f>
        <v/>
      </c>
      <c r="Q8983">
        <f>IF('Loan Tape (S&amp;P)'!V8983="Yes",
    1.20,
    1.00)</f>
        <v/>
      </c>
      <c r="T8983">
        <f>LET(
    payment_method,'Loan Tape (S&amp;P)'!P8983,
    occupancy,'Loan Tape (S&amp;P)'!N8983,
    maturity_date,'Loan Tape (S&amp;P)'!L8983,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84">
      <c r="J8984">
        <f>LET(
    lien,'Loan Tape (S&amp;P)'!Q8984,
    IF(lien="First",1.00,
        IF(lien="Second",1.50,
            1.70)))</f>
        <v/>
      </c>
      <c r="K8984">
        <f>LET(
    purpose,'Loan Tape (S&amp;P)'!R8984,
    IF(purpose="Purchase",1.00,
        IF(purpose="Remortgage",1.00,
            1.20)))</f>
        <v/>
      </c>
      <c r="L8984">
        <f>LET(
    arrears_months,'Loan Tape (S&amp;P)'!AN8984,
    IF(arrears_months=0,1.00,
    IF(arrears_months=1,3.00,
    IF(arrears_months=2,5.00,
    IF(arrears_months=3,8.00,
    IF(arrears_months=4,10.00,
    IF(arrears_months=5,12.00,15.00)))))))</f>
        <v/>
      </c>
      <c r="M8984">
        <f>LET(
    seasoning_years,DATEDIF('Loan Tape (S&amp;P)'!K8984,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84">
        <f>IF(AND('Loan Tape (S&amp;P)'!U8984="Yes",
        'Loan Tape (S&amp;P)'!T8984&lt;&gt;"Yes",
        DATEDIF('Loan Tape (S&amp;P)'!K8984, TODAY(), "M")&lt;18),
    1.10,
    1.00)</f>
        <v/>
      </c>
      <c r="O8984">
        <f>IF('Loan Tape (S&amp;P)'!T8984="Yes",
    1.35,
    1.00)</f>
        <v/>
      </c>
      <c r="P8984">
        <f>IF('Loan Tape (S&amp;P)'!S8984="Yes",
    1.15,
    1.00)</f>
        <v/>
      </c>
      <c r="Q8984">
        <f>IF('Loan Tape (S&amp;P)'!V8984="Yes",
    1.20,
    1.00)</f>
        <v/>
      </c>
      <c r="T8984">
        <f>LET(
    payment_method,'Loan Tape (S&amp;P)'!P8984,
    occupancy,'Loan Tape (S&amp;P)'!N8984,
    maturity_date,'Loan Tape (S&amp;P)'!L8984,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85">
      <c r="J8985">
        <f>LET(
    lien,'Loan Tape (S&amp;P)'!Q8985,
    IF(lien="First",1.00,
        IF(lien="Second",1.50,
            1.70)))</f>
        <v/>
      </c>
      <c r="K8985">
        <f>LET(
    purpose,'Loan Tape (S&amp;P)'!R8985,
    IF(purpose="Purchase",1.00,
        IF(purpose="Remortgage",1.00,
            1.20)))</f>
        <v/>
      </c>
      <c r="L8985">
        <f>LET(
    arrears_months,'Loan Tape (S&amp;P)'!AN8985,
    IF(arrears_months=0,1.00,
    IF(arrears_months=1,3.00,
    IF(arrears_months=2,5.00,
    IF(arrears_months=3,8.00,
    IF(arrears_months=4,10.00,
    IF(arrears_months=5,12.00,15.00)))))))</f>
        <v/>
      </c>
      <c r="M8985">
        <f>LET(
    seasoning_years,DATEDIF('Loan Tape (S&amp;P)'!K8985,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85">
        <f>IF(AND('Loan Tape (S&amp;P)'!U8985="Yes",
        'Loan Tape (S&amp;P)'!T8985&lt;&gt;"Yes",
        DATEDIF('Loan Tape (S&amp;P)'!K8985, TODAY(), "M")&lt;18),
    1.10,
    1.00)</f>
        <v/>
      </c>
      <c r="O8985">
        <f>IF('Loan Tape (S&amp;P)'!T8985="Yes",
    1.35,
    1.00)</f>
        <v/>
      </c>
      <c r="P8985">
        <f>IF('Loan Tape (S&amp;P)'!S8985="Yes",
    1.15,
    1.00)</f>
        <v/>
      </c>
      <c r="Q8985">
        <f>IF('Loan Tape (S&amp;P)'!V8985="Yes",
    1.20,
    1.00)</f>
        <v/>
      </c>
      <c r="T8985">
        <f>LET(
    payment_method,'Loan Tape (S&amp;P)'!P8985,
    occupancy,'Loan Tape (S&amp;P)'!N8985,
    maturity_date,'Loan Tape (S&amp;P)'!L8985,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86">
      <c r="J8986">
        <f>LET(
    lien,'Loan Tape (S&amp;P)'!Q8986,
    IF(lien="First",1.00,
        IF(lien="Second",1.50,
            1.70)))</f>
        <v/>
      </c>
      <c r="K8986">
        <f>LET(
    purpose,'Loan Tape (S&amp;P)'!R8986,
    IF(purpose="Purchase",1.00,
        IF(purpose="Remortgage",1.00,
            1.20)))</f>
        <v/>
      </c>
      <c r="L8986">
        <f>LET(
    arrears_months,'Loan Tape (S&amp;P)'!AN8986,
    IF(arrears_months=0,1.00,
    IF(arrears_months=1,3.00,
    IF(arrears_months=2,5.00,
    IF(arrears_months=3,8.00,
    IF(arrears_months=4,10.00,
    IF(arrears_months=5,12.00,15.00)))))))</f>
        <v/>
      </c>
      <c r="M8986">
        <f>LET(
    seasoning_years,DATEDIF('Loan Tape (S&amp;P)'!K8986,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86">
        <f>IF(AND('Loan Tape (S&amp;P)'!U8986="Yes",
        'Loan Tape (S&amp;P)'!T8986&lt;&gt;"Yes",
        DATEDIF('Loan Tape (S&amp;P)'!K8986, TODAY(), "M")&lt;18),
    1.10,
    1.00)</f>
        <v/>
      </c>
      <c r="O8986">
        <f>IF('Loan Tape (S&amp;P)'!T8986="Yes",
    1.35,
    1.00)</f>
        <v/>
      </c>
      <c r="P8986">
        <f>IF('Loan Tape (S&amp;P)'!S8986="Yes",
    1.15,
    1.00)</f>
        <v/>
      </c>
      <c r="Q8986">
        <f>IF('Loan Tape (S&amp;P)'!V8986="Yes",
    1.20,
    1.00)</f>
        <v/>
      </c>
      <c r="T8986">
        <f>LET(
    payment_method,'Loan Tape (S&amp;P)'!P8986,
    occupancy,'Loan Tape (S&amp;P)'!N8986,
    maturity_date,'Loan Tape (S&amp;P)'!L8986,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87">
      <c r="J8987">
        <f>LET(
    lien,'Loan Tape (S&amp;P)'!Q8987,
    IF(lien="First",1.00,
        IF(lien="Second",1.50,
            1.70)))</f>
        <v/>
      </c>
      <c r="K8987">
        <f>LET(
    purpose,'Loan Tape (S&amp;P)'!R8987,
    IF(purpose="Purchase",1.00,
        IF(purpose="Remortgage",1.00,
            1.20)))</f>
        <v/>
      </c>
      <c r="L8987">
        <f>LET(
    arrears_months,'Loan Tape (S&amp;P)'!AN8987,
    IF(arrears_months=0,1.00,
    IF(arrears_months=1,3.00,
    IF(arrears_months=2,5.00,
    IF(arrears_months=3,8.00,
    IF(arrears_months=4,10.00,
    IF(arrears_months=5,12.00,15.00)))))))</f>
        <v/>
      </c>
      <c r="M8987">
        <f>LET(
    seasoning_years,DATEDIF('Loan Tape (S&amp;P)'!K8987,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87">
        <f>IF(AND('Loan Tape (S&amp;P)'!U8987="Yes",
        'Loan Tape (S&amp;P)'!T8987&lt;&gt;"Yes",
        DATEDIF('Loan Tape (S&amp;P)'!K8987, TODAY(), "M")&lt;18),
    1.10,
    1.00)</f>
        <v/>
      </c>
      <c r="O8987">
        <f>IF('Loan Tape (S&amp;P)'!T8987="Yes",
    1.35,
    1.00)</f>
        <v/>
      </c>
      <c r="P8987">
        <f>IF('Loan Tape (S&amp;P)'!S8987="Yes",
    1.15,
    1.00)</f>
        <v/>
      </c>
      <c r="Q8987">
        <f>IF('Loan Tape (S&amp;P)'!V8987="Yes",
    1.20,
    1.00)</f>
        <v/>
      </c>
      <c r="T8987">
        <f>LET(
    payment_method,'Loan Tape (S&amp;P)'!P8987,
    occupancy,'Loan Tape (S&amp;P)'!N8987,
    maturity_date,'Loan Tape (S&amp;P)'!L8987,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88">
      <c r="J8988">
        <f>LET(
    lien,'Loan Tape (S&amp;P)'!Q8988,
    IF(lien="First",1.00,
        IF(lien="Second",1.50,
            1.70)))</f>
        <v/>
      </c>
      <c r="K8988">
        <f>LET(
    purpose,'Loan Tape (S&amp;P)'!R8988,
    IF(purpose="Purchase",1.00,
        IF(purpose="Remortgage",1.00,
            1.20)))</f>
        <v/>
      </c>
      <c r="L8988">
        <f>LET(
    arrears_months,'Loan Tape (S&amp;P)'!AN8988,
    IF(arrears_months=0,1.00,
    IF(arrears_months=1,3.00,
    IF(arrears_months=2,5.00,
    IF(arrears_months=3,8.00,
    IF(arrears_months=4,10.00,
    IF(arrears_months=5,12.00,15.00)))))))</f>
        <v/>
      </c>
      <c r="M8988">
        <f>LET(
    seasoning_years,DATEDIF('Loan Tape (S&amp;P)'!K8988,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88">
        <f>IF(AND('Loan Tape (S&amp;P)'!U8988="Yes",
        'Loan Tape (S&amp;P)'!T8988&lt;&gt;"Yes",
        DATEDIF('Loan Tape (S&amp;P)'!K8988, TODAY(), "M")&lt;18),
    1.10,
    1.00)</f>
        <v/>
      </c>
      <c r="O8988">
        <f>IF('Loan Tape (S&amp;P)'!T8988="Yes",
    1.35,
    1.00)</f>
        <v/>
      </c>
      <c r="P8988">
        <f>IF('Loan Tape (S&amp;P)'!S8988="Yes",
    1.15,
    1.00)</f>
        <v/>
      </c>
      <c r="Q8988">
        <f>IF('Loan Tape (S&amp;P)'!V8988="Yes",
    1.20,
    1.00)</f>
        <v/>
      </c>
      <c r="T8988">
        <f>LET(
    payment_method,'Loan Tape (S&amp;P)'!P8988,
    occupancy,'Loan Tape (S&amp;P)'!N8988,
    maturity_date,'Loan Tape (S&amp;P)'!L8988,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89">
      <c r="J8989">
        <f>LET(
    lien,'Loan Tape (S&amp;P)'!Q8989,
    IF(lien="First",1.00,
        IF(lien="Second",1.50,
            1.70)))</f>
        <v/>
      </c>
      <c r="K8989">
        <f>LET(
    purpose,'Loan Tape (S&amp;P)'!R8989,
    IF(purpose="Purchase",1.00,
        IF(purpose="Remortgage",1.00,
            1.20)))</f>
        <v/>
      </c>
      <c r="L8989">
        <f>LET(
    arrears_months,'Loan Tape (S&amp;P)'!AN8989,
    IF(arrears_months=0,1.00,
    IF(arrears_months=1,3.00,
    IF(arrears_months=2,5.00,
    IF(arrears_months=3,8.00,
    IF(arrears_months=4,10.00,
    IF(arrears_months=5,12.00,15.00)))))))</f>
        <v/>
      </c>
      <c r="M8989">
        <f>LET(
    seasoning_years,DATEDIF('Loan Tape (S&amp;P)'!K8989,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89">
        <f>IF(AND('Loan Tape (S&amp;P)'!U8989="Yes",
        'Loan Tape (S&amp;P)'!T8989&lt;&gt;"Yes",
        DATEDIF('Loan Tape (S&amp;P)'!K8989, TODAY(), "M")&lt;18),
    1.10,
    1.00)</f>
        <v/>
      </c>
      <c r="O8989">
        <f>IF('Loan Tape (S&amp;P)'!T8989="Yes",
    1.35,
    1.00)</f>
        <v/>
      </c>
      <c r="P8989">
        <f>IF('Loan Tape (S&amp;P)'!S8989="Yes",
    1.15,
    1.00)</f>
        <v/>
      </c>
      <c r="Q8989">
        <f>IF('Loan Tape (S&amp;P)'!V8989="Yes",
    1.20,
    1.00)</f>
        <v/>
      </c>
      <c r="T8989">
        <f>LET(
    payment_method,'Loan Tape (S&amp;P)'!P8989,
    occupancy,'Loan Tape (S&amp;P)'!N8989,
    maturity_date,'Loan Tape (S&amp;P)'!L8989,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90">
      <c r="J8990">
        <f>LET(
    lien,'Loan Tape (S&amp;P)'!Q8990,
    IF(lien="First",1.00,
        IF(lien="Second",1.50,
            1.70)))</f>
        <v/>
      </c>
      <c r="K8990">
        <f>LET(
    purpose,'Loan Tape (S&amp;P)'!R8990,
    IF(purpose="Purchase",1.00,
        IF(purpose="Remortgage",1.00,
            1.20)))</f>
        <v/>
      </c>
      <c r="L8990">
        <f>LET(
    arrears_months,'Loan Tape (S&amp;P)'!AN8990,
    IF(arrears_months=0,1.00,
    IF(arrears_months=1,3.00,
    IF(arrears_months=2,5.00,
    IF(arrears_months=3,8.00,
    IF(arrears_months=4,10.00,
    IF(arrears_months=5,12.00,15.00)))))))</f>
        <v/>
      </c>
      <c r="M8990">
        <f>LET(
    seasoning_years,DATEDIF('Loan Tape (S&amp;P)'!K8990,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90">
        <f>IF(AND('Loan Tape (S&amp;P)'!U8990="Yes",
        'Loan Tape (S&amp;P)'!T8990&lt;&gt;"Yes",
        DATEDIF('Loan Tape (S&amp;P)'!K8990, TODAY(), "M")&lt;18),
    1.10,
    1.00)</f>
        <v/>
      </c>
      <c r="O8990">
        <f>IF('Loan Tape (S&amp;P)'!T8990="Yes",
    1.35,
    1.00)</f>
        <v/>
      </c>
      <c r="P8990">
        <f>IF('Loan Tape (S&amp;P)'!S8990="Yes",
    1.15,
    1.00)</f>
        <v/>
      </c>
      <c r="Q8990">
        <f>IF('Loan Tape (S&amp;P)'!V8990="Yes",
    1.20,
    1.00)</f>
        <v/>
      </c>
      <c r="T8990">
        <f>LET(
    payment_method,'Loan Tape (S&amp;P)'!P8990,
    occupancy,'Loan Tape (S&amp;P)'!N8990,
    maturity_date,'Loan Tape (S&amp;P)'!L8990,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91">
      <c r="J8991">
        <f>LET(
    lien,'Loan Tape (S&amp;P)'!Q8991,
    IF(lien="First",1.00,
        IF(lien="Second",1.50,
            1.70)))</f>
        <v/>
      </c>
      <c r="K8991">
        <f>LET(
    purpose,'Loan Tape (S&amp;P)'!R8991,
    IF(purpose="Purchase",1.00,
        IF(purpose="Remortgage",1.00,
            1.20)))</f>
        <v/>
      </c>
      <c r="L8991">
        <f>LET(
    arrears_months,'Loan Tape (S&amp;P)'!AN8991,
    IF(arrears_months=0,1.00,
    IF(arrears_months=1,3.00,
    IF(arrears_months=2,5.00,
    IF(arrears_months=3,8.00,
    IF(arrears_months=4,10.00,
    IF(arrears_months=5,12.00,15.00)))))))</f>
        <v/>
      </c>
      <c r="M8991">
        <f>LET(
    seasoning_years,DATEDIF('Loan Tape (S&amp;P)'!K8991,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91">
        <f>IF(AND('Loan Tape (S&amp;P)'!U8991="Yes",
        'Loan Tape (S&amp;P)'!T8991&lt;&gt;"Yes",
        DATEDIF('Loan Tape (S&amp;P)'!K8991, TODAY(), "M")&lt;18),
    1.10,
    1.00)</f>
        <v/>
      </c>
      <c r="O8991">
        <f>IF('Loan Tape (S&amp;P)'!T8991="Yes",
    1.35,
    1.00)</f>
        <v/>
      </c>
      <c r="P8991">
        <f>IF('Loan Tape (S&amp;P)'!S8991="Yes",
    1.15,
    1.00)</f>
        <v/>
      </c>
      <c r="Q8991">
        <f>IF('Loan Tape (S&amp;P)'!V8991="Yes",
    1.20,
    1.00)</f>
        <v/>
      </c>
      <c r="T8991">
        <f>LET(
    payment_method,'Loan Tape (S&amp;P)'!P8991,
    occupancy,'Loan Tape (S&amp;P)'!N8991,
    maturity_date,'Loan Tape (S&amp;P)'!L8991,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92">
      <c r="J8992">
        <f>LET(
    lien,'Loan Tape (S&amp;P)'!Q8992,
    IF(lien="First",1.00,
        IF(lien="Second",1.50,
            1.70)))</f>
        <v/>
      </c>
      <c r="K8992">
        <f>LET(
    purpose,'Loan Tape (S&amp;P)'!R8992,
    IF(purpose="Purchase",1.00,
        IF(purpose="Remortgage",1.00,
            1.20)))</f>
        <v/>
      </c>
      <c r="L8992">
        <f>LET(
    arrears_months,'Loan Tape (S&amp;P)'!AN8992,
    IF(arrears_months=0,1.00,
    IF(arrears_months=1,3.00,
    IF(arrears_months=2,5.00,
    IF(arrears_months=3,8.00,
    IF(arrears_months=4,10.00,
    IF(arrears_months=5,12.00,15.00)))))))</f>
        <v/>
      </c>
      <c r="M8992">
        <f>LET(
    seasoning_years,DATEDIF('Loan Tape (S&amp;P)'!K8992,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92">
        <f>IF(AND('Loan Tape (S&amp;P)'!U8992="Yes",
        'Loan Tape (S&amp;P)'!T8992&lt;&gt;"Yes",
        DATEDIF('Loan Tape (S&amp;P)'!K8992, TODAY(), "M")&lt;18),
    1.10,
    1.00)</f>
        <v/>
      </c>
      <c r="O8992">
        <f>IF('Loan Tape (S&amp;P)'!T8992="Yes",
    1.35,
    1.00)</f>
        <v/>
      </c>
      <c r="P8992">
        <f>IF('Loan Tape (S&amp;P)'!S8992="Yes",
    1.15,
    1.00)</f>
        <v/>
      </c>
      <c r="Q8992">
        <f>IF('Loan Tape (S&amp;P)'!V8992="Yes",
    1.20,
    1.00)</f>
        <v/>
      </c>
      <c r="T8992">
        <f>LET(
    payment_method,'Loan Tape (S&amp;P)'!P8992,
    occupancy,'Loan Tape (S&amp;P)'!N8992,
    maturity_date,'Loan Tape (S&amp;P)'!L8992,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93">
      <c r="J8993">
        <f>LET(
    lien,'Loan Tape (S&amp;P)'!Q8993,
    IF(lien="First",1.00,
        IF(lien="Second",1.50,
            1.70)))</f>
        <v/>
      </c>
      <c r="K8993">
        <f>LET(
    purpose,'Loan Tape (S&amp;P)'!R8993,
    IF(purpose="Purchase",1.00,
        IF(purpose="Remortgage",1.00,
            1.20)))</f>
        <v/>
      </c>
      <c r="L8993">
        <f>LET(
    arrears_months,'Loan Tape (S&amp;P)'!AN8993,
    IF(arrears_months=0,1.00,
    IF(arrears_months=1,3.00,
    IF(arrears_months=2,5.00,
    IF(arrears_months=3,8.00,
    IF(arrears_months=4,10.00,
    IF(arrears_months=5,12.00,15.00)))))))</f>
        <v/>
      </c>
      <c r="M8993">
        <f>LET(
    seasoning_years,DATEDIF('Loan Tape (S&amp;P)'!K8993,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93">
        <f>IF(AND('Loan Tape (S&amp;P)'!U8993="Yes",
        'Loan Tape (S&amp;P)'!T8993&lt;&gt;"Yes",
        DATEDIF('Loan Tape (S&amp;P)'!K8993, TODAY(), "M")&lt;18),
    1.10,
    1.00)</f>
        <v/>
      </c>
      <c r="O8993">
        <f>IF('Loan Tape (S&amp;P)'!T8993="Yes",
    1.35,
    1.00)</f>
        <v/>
      </c>
      <c r="P8993">
        <f>IF('Loan Tape (S&amp;P)'!S8993="Yes",
    1.15,
    1.00)</f>
        <v/>
      </c>
      <c r="Q8993">
        <f>IF('Loan Tape (S&amp;P)'!V8993="Yes",
    1.20,
    1.00)</f>
        <v/>
      </c>
      <c r="T8993">
        <f>LET(
    payment_method,'Loan Tape (S&amp;P)'!P8993,
    occupancy,'Loan Tape (S&amp;P)'!N8993,
    maturity_date,'Loan Tape (S&amp;P)'!L8993,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94">
      <c r="J8994">
        <f>LET(
    lien,'Loan Tape (S&amp;P)'!Q8994,
    IF(lien="First",1.00,
        IF(lien="Second",1.50,
            1.70)))</f>
        <v/>
      </c>
      <c r="K8994">
        <f>LET(
    purpose,'Loan Tape (S&amp;P)'!R8994,
    IF(purpose="Purchase",1.00,
        IF(purpose="Remortgage",1.00,
            1.20)))</f>
        <v/>
      </c>
      <c r="L8994">
        <f>LET(
    arrears_months,'Loan Tape (S&amp;P)'!AN8994,
    IF(arrears_months=0,1.00,
    IF(arrears_months=1,3.00,
    IF(arrears_months=2,5.00,
    IF(arrears_months=3,8.00,
    IF(arrears_months=4,10.00,
    IF(arrears_months=5,12.00,15.00)))))))</f>
        <v/>
      </c>
      <c r="M8994">
        <f>LET(
    seasoning_years,DATEDIF('Loan Tape (S&amp;P)'!K8994,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94">
        <f>IF(AND('Loan Tape (S&amp;P)'!U8994="Yes",
        'Loan Tape (S&amp;P)'!T8994&lt;&gt;"Yes",
        DATEDIF('Loan Tape (S&amp;P)'!K8994, TODAY(), "M")&lt;18),
    1.10,
    1.00)</f>
        <v/>
      </c>
      <c r="O8994">
        <f>IF('Loan Tape (S&amp;P)'!T8994="Yes",
    1.35,
    1.00)</f>
        <v/>
      </c>
      <c r="P8994">
        <f>IF('Loan Tape (S&amp;P)'!S8994="Yes",
    1.15,
    1.00)</f>
        <v/>
      </c>
      <c r="Q8994">
        <f>IF('Loan Tape (S&amp;P)'!V8994="Yes",
    1.20,
    1.00)</f>
        <v/>
      </c>
      <c r="T8994">
        <f>LET(
    payment_method,'Loan Tape (S&amp;P)'!P8994,
    occupancy,'Loan Tape (S&amp;P)'!N8994,
    maturity_date,'Loan Tape (S&amp;P)'!L8994,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95">
      <c r="J8995">
        <f>LET(
    lien,'Loan Tape (S&amp;P)'!Q8995,
    IF(lien="First",1.00,
        IF(lien="Second",1.50,
            1.70)))</f>
        <v/>
      </c>
      <c r="K8995">
        <f>LET(
    purpose,'Loan Tape (S&amp;P)'!R8995,
    IF(purpose="Purchase",1.00,
        IF(purpose="Remortgage",1.00,
            1.20)))</f>
        <v/>
      </c>
      <c r="L8995">
        <f>LET(
    arrears_months,'Loan Tape (S&amp;P)'!AN8995,
    IF(arrears_months=0,1.00,
    IF(arrears_months=1,3.00,
    IF(arrears_months=2,5.00,
    IF(arrears_months=3,8.00,
    IF(arrears_months=4,10.00,
    IF(arrears_months=5,12.00,15.00)))))))</f>
        <v/>
      </c>
      <c r="M8995">
        <f>LET(
    seasoning_years,DATEDIF('Loan Tape (S&amp;P)'!K8995,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95">
        <f>IF(AND('Loan Tape (S&amp;P)'!U8995="Yes",
        'Loan Tape (S&amp;P)'!T8995&lt;&gt;"Yes",
        DATEDIF('Loan Tape (S&amp;P)'!K8995, TODAY(), "M")&lt;18),
    1.10,
    1.00)</f>
        <v/>
      </c>
      <c r="O8995">
        <f>IF('Loan Tape (S&amp;P)'!T8995="Yes",
    1.35,
    1.00)</f>
        <v/>
      </c>
      <c r="P8995">
        <f>IF('Loan Tape (S&amp;P)'!S8995="Yes",
    1.15,
    1.00)</f>
        <v/>
      </c>
      <c r="Q8995">
        <f>IF('Loan Tape (S&amp;P)'!V8995="Yes",
    1.20,
    1.00)</f>
        <v/>
      </c>
      <c r="T8995">
        <f>LET(
    payment_method,'Loan Tape (S&amp;P)'!P8995,
    occupancy,'Loan Tape (S&amp;P)'!N8995,
    maturity_date,'Loan Tape (S&amp;P)'!L8995,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96">
      <c r="J8996">
        <f>LET(
    lien,'Loan Tape (S&amp;P)'!Q8996,
    IF(lien="First",1.00,
        IF(lien="Second",1.50,
            1.70)))</f>
        <v/>
      </c>
      <c r="K8996">
        <f>LET(
    purpose,'Loan Tape (S&amp;P)'!R8996,
    IF(purpose="Purchase",1.00,
        IF(purpose="Remortgage",1.00,
            1.20)))</f>
        <v/>
      </c>
      <c r="L8996">
        <f>LET(
    arrears_months,'Loan Tape (S&amp;P)'!AN8996,
    IF(arrears_months=0,1.00,
    IF(arrears_months=1,3.00,
    IF(arrears_months=2,5.00,
    IF(arrears_months=3,8.00,
    IF(arrears_months=4,10.00,
    IF(arrears_months=5,12.00,15.00)))))))</f>
        <v/>
      </c>
      <c r="M8996">
        <f>LET(
    seasoning_years,DATEDIF('Loan Tape (S&amp;P)'!K8996,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96">
        <f>IF(AND('Loan Tape (S&amp;P)'!U8996="Yes",
        'Loan Tape (S&amp;P)'!T8996&lt;&gt;"Yes",
        DATEDIF('Loan Tape (S&amp;P)'!K8996, TODAY(), "M")&lt;18),
    1.10,
    1.00)</f>
        <v/>
      </c>
      <c r="O8996">
        <f>IF('Loan Tape (S&amp;P)'!T8996="Yes",
    1.35,
    1.00)</f>
        <v/>
      </c>
      <c r="P8996">
        <f>IF('Loan Tape (S&amp;P)'!S8996="Yes",
    1.15,
    1.00)</f>
        <v/>
      </c>
      <c r="Q8996">
        <f>IF('Loan Tape (S&amp;P)'!V8996="Yes",
    1.20,
    1.00)</f>
        <v/>
      </c>
      <c r="T8996">
        <f>LET(
    payment_method,'Loan Tape (S&amp;P)'!P8996,
    occupancy,'Loan Tape (S&amp;P)'!N8996,
    maturity_date,'Loan Tape (S&amp;P)'!L8996,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97">
      <c r="J8997">
        <f>LET(
    lien,'Loan Tape (S&amp;P)'!Q8997,
    IF(lien="First",1.00,
        IF(lien="Second",1.50,
            1.70)))</f>
        <v/>
      </c>
      <c r="K8997">
        <f>LET(
    purpose,'Loan Tape (S&amp;P)'!R8997,
    IF(purpose="Purchase",1.00,
        IF(purpose="Remortgage",1.00,
            1.20)))</f>
        <v/>
      </c>
      <c r="L8997">
        <f>LET(
    arrears_months,'Loan Tape (S&amp;P)'!AN8997,
    IF(arrears_months=0,1.00,
    IF(arrears_months=1,3.00,
    IF(arrears_months=2,5.00,
    IF(arrears_months=3,8.00,
    IF(arrears_months=4,10.00,
    IF(arrears_months=5,12.00,15.00)))))))</f>
        <v/>
      </c>
      <c r="M8997">
        <f>LET(
    seasoning_years,DATEDIF('Loan Tape (S&amp;P)'!K8997,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97">
        <f>IF(AND('Loan Tape (S&amp;P)'!U8997="Yes",
        'Loan Tape (S&amp;P)'!T8997&lt;&gt;"Yes",
        DATEDIF('Loan Tape (S&amp;P)'!K8997, TODAY(), "M")&lt;18),
    1.10,
    1.00)</f>
        <v/>
      </c>
      <c r="O8997">
        <f>IF('Loan Tape (S&amp;P)'!T8997="Yes",
    1.35,
    1.00)</f>
        <v/>
      </c>
      <c r="P8997">
        <f>IF('Loan Tape (S&amp;P)'!S8997="Yes",
    1.15,
    1.00)</f>
        <v/>
      </c>
      <c r="Q8997">
        <f>IF('Loan Tape (S&amp;P)'!V8997="Yes",
    1.20,
    1.00)</f>
        <v/>
      </c>
      <c r="T8997">
        <f>LET(
    payment_method,'Loan Tape (S&amp;P)'!P8997,
    occupancy,'Loan Tape (S&amp;P)'!N8997,
    maturity_date,'Loan Tape (S&amp;P)'!L8997,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98">
      <c r="J8998">
        <f>LET(
    lien,'Loan Tape (S&amp;P)'!Q8998,
    IF(lien="First",1.00,
        IF(lien="Second",1.50,
            1.70)))</f>
        <v/>
      </c>
      <c r="K8998">
        <f>LET(
    purpose,'Loan Tape (S&amp;P)'!R8998,
    IF(purpose="Purchase",1.00,
        IF(purpose="Remortgage",1.00,
            1.20)))</f>
        <v/>
      </c>
      <c r="L8998">
        <f>LET(
    arrears_months,'Loan Tape (S&amp;P)'!AN8998,
    IF(arrears_months=0,1.00,
    IF(arrears_months=1,3.00,
    IF(arrears_months=2,5.00,
    IF(arrears_months=3,8.00,
    IF(arrears_months=4,10.00,
    IF(arrears_months=5,12.00,15.00)))))))</f>
        <v/>
      </c>
      <c r="M8998">
        <f>LET(
    seasoning_years,DATEDIF('Loan Tape (S&amp;P)'!K8998,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98">
        <f>IF(AND('Loan Tape (S&amp;P)'!U8998="Yes",
        'Loan Tape (S&amp;P)'!T8998&lt;&gt;"Yes",
        DATEDIF('Loan Tape (S&amp;P)'!K8998, TODAY(), "M")&lt;18),
    1.10,
    1.00)</f>
        <v/>
      </c>
      <c r="O8998">
        <f>IF('Loan Tape (S&amp;P)'!T8998="Yes",
    1.35,
    1.00)</f>
        <v/>
      </c>
      <c r="P8998">
        <f>IF('Loan Tape (S&amp;P)'!S8998="Yes",
    1.15,
    1.00)</f>
        <v/>
      </c>
      <c r="Q8998">
        <f>IF('Loan Tape (S&amp;P)'!V8998="Yes",
    1.20,
    1.00)</f>
        <v/>
      </c>
      <c r="T8998">
        <f>LET(
    payment_method,'Loan Tape (S&amp;P)'!P8998,
    occupancy,'Loan Tape (S&amp;P)'!N8998,
    maturity_date,'Loan Tape (S&amp;P)'!L8998,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8999">
      <c r="J8999">
        <f>LET(
    lien,'Loan Tape (S&amp;P)'!Q8999,
    IF(lien="First",1.00,
        IF(lien="Second",1.50,
            1.70)))</f>
        <v/>
      </c>
      <c r="K8999">
        <f>LET(
    purpose,'Loan Tape (S&amp;P)'!R8999,
    IF(purpose="Purchase",1.00,
        IF(purpose="Remortgage",1.00,
            1.20)))</f>
        <v/>
      </c>
      <c r="L8999">
        <f>LET(
    arrears_months,'Loan Tape (S&amp;P)'!AN8999,
    IF(arrears_months=0,1.00,
    IF(arrears_months=1,3.00,
    IF(arrears_months=2,5.00,
    IF(arrears_months=3,8.00,
    IF(arrears_months=4,10.00,
    IF(arrears_months=5,12.00,15.00)))))))</f>
        <v/>
      </c>
      <c r="M8999">
        <f>LET(
    seasoning_years,DATEDIF('Loan Tape (S&amp;P)'!K8999,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8999">
        <f>IF(AND('Loan Tape (S&amp;P)'!U8999="Yes",
        'Loan Tape (S&amp;P)'!T8999&lt;&gt;"Yes",
        DATEDIF('Loan Tape (S&amp;P)'!K8999, TODAY(), "M")&lt;18),
    1.10,
    1.00)</f>
        <v/>
      </c>
      <c r="O8999">
        <f>IF('Loan Tape (S&amp;P)'!T8999="Yes",
    1.35,
    1.00)</f>
        <v/>
      </c>
      <c r="P8999">
        <f>IF('Loan Tape (S&amp;P)'!S8999="Yes",
    1.15,
    1.00)</f>
        <v/>
      </c>
      <c r="Q8999">
        <f>IF('Loan Tape (S&amp;P)'!V8999="Yes",
    1.20,
    1.00)</f>
        <v/>
      </c>
      <c r="T8999">
        <f>LET(
    payment_method,'Loan Tape (S&amp;P)'!P8999,
    occupancy,'Loan Tape (S&amp;P)'!N8999,
    maturity_date,'Loan Tape (S&amp;P)'!L8999,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00">
      <c r="J9000">
        <f>LET(
    lien,'Loan Tape (S&amp;P)'!Q9000,
    IF(lien="First",1.00,
        IF(lien="Second",1.50,
            1.70)))</f>
        <v/>
      </c>
      <c r="K9000">
        <f>LET(
    purpose,'Loan Tape (S&amp;P)'!R9000,
    IF(purpose="Purchase",1.00,
        IF(purpose="Remortgage",1.00,
            1.20)))</f>
        <v/>
      </c>
      <c r="L9000">
        <f>LET(
    arrears_months,'Loan Tape (S&amp;P)'!AN9000,
    IF(arrears_months=0,1.00,
    IF(arrears_months=1,3.00,
    IF(arrears_months=2,5.00,
    IF(arrears_months=3,8.00,
    IF(arrears_months=4,10.00,
    IF(arrears_months=5,12.00,15.00)))))))</f>
        <v/>
      </c>
      <c r="M9000">
        <f>LET(
    seasoning_years,DATEDIF('Loan Tape (S&amp;P)'!K9000,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00">
        <f>IF(AND('Loan Tape (S&amp;P)'!U9000="Yes",
        'Loan Tape (S&amp;P)'!T9000&lt;&gt;"Yes",
        DATEDIF('Loan Tape (S&amp;P)'!K9000, TODAY(), "M")&lt;18),
    1.10,
    1.00)</f>
        <v/>
      </c>
      <c r="O9000">
        <f>IF('Loan Tape (S&amp;P)'!T9000="Yes",
    1.35,
    1.00)</f>
        <v/>
      </c>
      <c r="P9000">
        <f>IF('Loan Tape (S&amp;P)'!S9000="Yes",
    1.15,
    1.00)</f>
        <v/>
      </c>
      <c r="Q9000">
        <f>IF('Loan Tape (S&amp;P)'!V9000="Yes",
    1.20,
    1.00)</f>
        <v/>
      </c>
      <c r="T9000">
        <f>LET(
    payment_method,'Loan Tape (S&amp;P)'!P9000,
    occupancy,'Loan Tape (S&amp;P)'!N9000,
    maturity_date,'Loan Tape (S&amp;P)'!L9000,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01">
      <c r="J9001">
        <f>LET(
    lien,'Loan Tape (S&amp;P)'!Q9001,
    IF(lien="First",1.00,
        IF(lien="Second",1.50,
            1.70)))</f>
        <v/>
      </c>
      <c r="K9001">
        <f>LET(
    purpose,'Loan Tape (S&amp;P)'!R9001,
    IF(purpose="Purchase",1.00,
        IF(purpose="Remortgage",1.00,
            1.20)))</f>
        <v/>
      </c>
      <c r="L9001">
        <f>LET(
    arrears_months,'Loan Tape (S&amp;P)'!AN9001,
    IF(arrears_months=0,1.00,
    IF(arrears_months=1,3.00,
    IF(arrears_months=2,5.00,
    IF(arrears_months=3,8.00,
    IF(arrears_months=4,10.00,
    IF(arrears_months=5,12.00,15.00)))))))</f>
        <v/>
      </c>
      <c r="M9001">
        <f>LET(
    seasoning_years,DATEDIF('Loan Tape (S&amp;P)'!K9001,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01">
        <f>IF(AND('Loan Tape (S&amp;P)'!U9001="Yes",
        'Loan Tape (S&amp;P)'!T9001&lt;&gt;"Yes",
        DATEDIF('Loan Tape (S&amp;P)'!K9001, TODAY(), "M")&lt;18),
    1.10,
    1.00)</f>
        <v/>
      </c>
      <c r="O9001">
        <f>IF('Loan Tape (S&amp;P)'!T9001="Yes",
    1.35,
    1.00)</f>
        <v/>
      </c>
      <c r="P9001">
        <f>IF('Loan Tape (S&amp;P)'!S9001="Yes",
    1.15,
    1.00)</f>
        <v/>
      </c>
      <c r="Q9001">
        <f>IF('Loan Tape (S&amp;P)'!V9001="Yes",
    1.20,
    1.00)</f>
        <v/>
      </c>
      <c r="T9001">
        <f>LET(
    payment_method,'Loan Tape (S&amp;P)'!P9001,
    occupancy,'Loan Tape (S&amp;P)'!N9001,
    maturity_date,'Loan Tape (S&amp;P)'!L9001,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02">
      <c r="J9002">
        <f>LET(
    lien,'Loan Tape (S&amp;P)'!Q9002,
    IF(lien="First",1.00,
        IF(lien="Second",1.50,
            1.70)))</f>
        <v/>
      </c>
      <c r="K9002">
        <f>LET(
    purpose,'Loan Tape (S&amp;P)'!R9002,
    IF(purpose="Purchase",1.00,
        IF(purpose="Remortgage",1.00,
            1.20)))</f>
        <v/>
      </c>
      <c r="L9002">
        <f>LET(
    arrears_months,'Loan Tape (S&amp;P)'!AN9002,
    IF(arrears_months=0,1.00,
    IF(arrears_months=1,3.00,
    IF(arrears_months=2,5.00,
    IF(arrears_months=3,8.00,
    IF(arrears_months=4,10.00,
    IF(arrears_months=5,12.00,15.00)))))))</f>
        <v/>
      </c>
      <c r="M9002">
        <f>LET(
    seasoning_years,DATEDIF('Loan Tape (S&amp;P)'!K9002,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02">
        <f>IF(AND('Loan Tape (S&amp;P)'!U9002="Yes",
        'Loan Tape (S&amp;P)'!T9002&lt;&gt;"Yes",
        DATEDIF('Loan Tape (S&amp;P)'!K9002, TODAY(), "M")&lt;18),
    1.10,
    1.00)</f>
        <v/>
      </c>
      <c r="O9002">
        <f>IF('Loan Tape (S&amp;P)'!T9002="Yes",
    1.35,
    1.00)</f>
        <v/>
      </c>
      <c r="P9002">
        <f>IF('Loan Tape (S&amp;P)'!S9002="Yes",
    1.15,
    1.00)</f>
        <v/>
      </c>
      <c r="Q9002">
        <f>IF('Loan Tape (S&amp;P)'!V9002="Yes",
    1.20,
    1.00)</f>
        <v/>
      </c>
      <c r="T9002">
        <f>LET(
    payment_method,'Loan Tape (S&amp;P)'!P9002,
    occupancy,'Loan Tape (S&amp;P)'!N9002,
    maturity_date,'Loan Tape (S&amp;P)'!L9002,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03">
      <c r="J9003">
        <f>LET(
    lien,'Loan Tape (S&amp;P)'!Q9003,
    IF(lien="First",1.00,
        IF(lien="Second",1.50,
            1.70)))</f>
        <v/>
      </c>
      <c r="K9003">
        <f>LET(
    purpose,'Loan Tape (S&amp;P)'!R9003,
    IF(purpose="Purchase",1.00,
        IF(purpose="Remortgage",1.00,
            1.20)))</f>
        <v/>
      </c>
      <c r="L9003">
        <f>LET(
    arrears_months,'Loan Tape (S&amp;P)'!AN9003,
    IF(arrears_months=0,1.00,
    IF(arrears_months=1,3.00,
    IF(arrears_months=2,5.00,
    IF(arrears_months=3,8.00,
    IF(arrears_months=4,10.00,
    IF(arrears_months=5,12.00,15.00)))))))</f>
        <v/>
      </c>
      <c r="M9003">
        <f>LET(
    seasoning_years,DATEDIF('Loan Tape (S&amp;P)'!K9003,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03">
        <f>IF(AND('Loan Tape (S&amp;P)'!U9003="Yes",
        'Loan Tape (S&amp;P)'!T9003&lt;&gt;"Yes",
        DATEDIF('Loan Tape (S&amp;P)'!K9003, TODAY(), "M")&lt;18),
    1.10,
    1.00)</f>
        <v/>
      </c>
      <c r="O9003">
        <f>IF('Loan Tape (S&amp;P)'!T9003="Yes",
    1.35,
    1.00)</f>
        <v/>
      </c>
      <c r="P9003">
        <f>IF('Loan Tape (S&amp;P)'!S9003="Yes",
    1.15,
    1.00)</f>
        <v/>
      </c>
      <c r="Q9003">
        <f>IF('Loan Tape (S&amp;P)'!V9003="Yes",
    1.20,
    1.00)</f>
        <v/>
      </c>
      <c r="T9003">
        <f>LET(
    payment_method,'Loan Tape (S&amp;P)'!P9003,
    occupancy,'Loan Tape (S&amp;P)'!N9003,
    maturity_date,'Loan Tape (S&amp;P)'!L9003,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04">
      <c r="J9004">
        <f>LET(
    lien,'Loan Tape (S&amp;P)'!Q9004,
    IF(lien="First",1.00,
        IF(lien="Second",1.50,
            1.70)))</f>
        <v/>
      </c>
      <c r="K9004">
        <f>LET(
    purpose,'Loan Tape (S&amp;P)'!R9004,
    IF(purpose="Purchase",1.00,
        IF(purpose="Remortgage",1.00,
            1.20)))</f>
        <v/>
      </c>
      <c r="L9004">
        <f>LET(
    arrears_months,'Loan Tape (S&amp;P)'!AN9004,
    IF(arrears_months=0,1.00,
    IF(arrears_months=1,3.00,
    IF(arrears_months=2,5.00,
    IF(arrears_months=3,8.00,
    IF(arrears_months=4,10.00,
    IF(arrears_months=5,12.00,15.00)))))))</f>
        <v/>
      </c>
      <c r="M9004">
        <f>LET(
    seasoning_years,DATEDIF('Loan Tape (S&amp;P)'!K9004,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04">
        <f>IF(AND('Loan Tape (S&amp;P)'!U9004="Yes",
        'Loan Tape (S&amp;P)'!T9004&lt;&gt;"Yes",
        DATEDIF('Loan Tape (S&amp;P)'!K9004, TODAY(), "M")&lt;18),
    1.10,
    1.00)</f>
        <v/>
      </c>
      <c r="O9004">
        <f>IF('Loan Tape (S&amp;P)'!T9004="Yes",
    1.35,
    1.00)</f>
        <v/>
      </c>
      <c r="P9004">
        <f>IF('Loan Tape (S&amp;P)'!S9004="Yes",
    1.15,
    1.00)</f>
        <v/>
      </c>
      <c r="Q9004">
        <f>IF('Loan Tape (S&amp;P)'!V9004="Yes",
    1.20,
    1.00)</f>
        <v/>
      </c>
      <c r="T9004">
        <f>LET(
    payment_method,'Loan Tape (S&amp;P)'!P9004,
    occupancy,'Loan Tape (S&amp;P)'!N9004,
    maturity_date,'Loan Tape (S&amp;P)'!L9004,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05">
      <c r="J9005">
        <f>LET(
    lien,'Loan Tape (S&amp;P)'!Q9005,
    IF(lien="First",1.00,
        IF(lien="Second",1.50,
            1.70)))</f>
        <v/>
      </c>
      <c r="K9005">
        <f>LET(
    purpose,'Loan Tape (S&amp;P)'!R9005,
    IF(purpose="Purchase",1.00,
        IF(purpose="Remortgage",1.00,
            1.20)))</f>
        <v/>
      </c>
      <c r="L9005">
        <f>LET(
    arrears_months,'Loan Tape (S&amp;P)'!AN9005,
    IF(arrears_months=0,1.00,
    IF(arrears_months=1,3.00,
    IF(arrears_months=2,5.00,
    IF(arrears_months=3,8.00,
    IF(arrears_months=4,10.00,
    IF(arrears_months=5,12.00,15.00)))))))</f>
        <v/>
      </c>
      <c r="M9005">
        <f>LET(
    seasoning_years,DATEDIF('Loan Tape (S&amp;P)'!K9005,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05">
        <f>IF(AND('Loan Tape (S&amp;P)'!U9005="Yes",
        'Loan Tape (S&amp;P)'!T9005&lt;&gt;"Yes",
        DATEDIF('Loan Tape (S&amp;P)'!K9005, TODAY(), "M")&lt;18),
    1.10,
    1.00)</f>
        <v/>
      </c>
      <c r="O9005">
        <f>IF('Loan Tape (S&amp;P)'!T9005="Yes",
    1.35,
    1.00)</f>
        <v/>
      </c>
      <c r="P9005">
        <f>IF('Loan Tape (S&amp;P)'!S9005="Yes",
    1.15,
    1.00)</f>
        <v/>
      </c>
      <c r="Q9005">
        <f>IF('Loan Tape (S&amp;P)'!V9005="Yes",
    1.20,
    1.00)</f>
        <v/>
      </c>
      <c r="T9005">
        <f>LET(
    payment_method,'Loan Tape (S&amp;P)'!P9005,
    occupancy,'Loan Tape (S&amp;P)'!N9005,
    maturity_date,'Loan Tape (S&amp;P)'!L9005,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06">
      <c r="J9006">
        <f>LET(
    lien,'Loan Tape (S&amp;P)'!Q9006,
    IF(lien="First",1.00,
        IF(lien="Second",1.50,
            1.70)))</f>
        <v/>
      </c>
      <c r="K9006">
        <f>LET(
    purpose,'Loan Tape (S&amp;P)'!R9006,
    IF(purpose="Purchase",1.00,
        IF(purpose="Remortgage",1.00,
            1.20)))</f>
        <v/>
      </c>
      <c r="L9006">
        <f>LET(
    arrears_months,'Loan Tape (S&amp;P)'!AN9006,
    IF(arrears_months=0,1.00,
    IF(arrears_months=1,3.00,
    IF(arrears_months=2,5.00,
    IF(arrears_months=3,8.00,
    IF(arrears_months=4,10.00,
    IF(arrears_months=5,12.00,15.00)))))))</f>
        <v/>
      </c>
      <c r="M9006">
        <f>LET(
    seasoning_years,DATEDIF('Loan Tape (S&amp;P)'!K9006,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06">
        <f>IF(AND('Loan Tape (S&amp;P)'!U9006="Yes",
        'Loan Tape (S&amp;P)'!T9006&lt;&gt;"Yes",
        DATEDIF('Loan Tape (S&amp;P)'!K9006, TODAY(), "M")&lt;18),
    1.10,
    1.00)</f>
        <v/>
      </c>
      <c r="O9006">
        <f>IF('Loan Tape (S&amp;P)'!T9006="Yes",
    1.35,
    1.00)</f>
        <v/>
      </c>
      <c r="P9006">
        <f>IF('Loan Tape (S&amp;P)'!S9006="Yes",
    1.15,
    1.00)</f>
        <v/>
      </c>
      <c r="Q9006">
        <f>IF('Loan Tape (S&amp;P)'!V9006="Yes",
    1.20,
    1.00)</f>
        <v/>
      </c>
      <c r="T9006">
        <f>LET(
    payment_method,'Loan Tape (S&amp;P)'!P9006,
    occupancy,'Loan Tape (S&amp;P)'!N9006,
    maturity_date,'Loan Tape (S&amp;P)'!L9006,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07">
      <c r="J9007">
        <f>LET(
    lien,'Loan Tape (S&amp;P)'!Q9007,
    IF(lien="First",1.00,
        IF(lien="Second",1.50,
            1.70)))</f>
        <v/>
      </c>
      <c r="K9007">
        <f>LET(
    purpose,'Loan Tape (S&amp;P)'!R9007,
    IF(purpose="Purchase",1.00,
        IF(purpose="Remortgage",1.00,
            1.20)))</f>
        <v/>
      </c>
      <c r="L9007">
        <f>LET(
    arrears_months,'Loan Tape (S&amp;P)'!AN9007,
    IF(arrears_months=0,1.00,
    IF(arrears_months=1,3.00,
    IF(arrears_months=2,5.00,
    IF(arrears_months=3,8.00,
    IF(arrears_months=4,10.00,
    IF(arrears_months=5,12.00,15.00)))))))</f>
        <v/>
      </c>
      <c r="M9007">
        <f>LET(
    seasoning_years,DATEDIF('Loan Tape (S&amp;P)'!K9007,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07">
        <f>IF(AND('Loan Tape (S&amp;P)'!U9007="Yes",
        'Loan Tape (S&amp;P)'!T9007&lt;&gt;"Yes",
        DATEDIF('Loan Tape (S&amp;P)'!K9007, TODAY(), "M")&lt;18),
    1.10,
    1.00)</f>
        <v/>
      </c>
      <c r="O9007">
        <f>IF('Loan Tape (S&amp;P)'!T9007="Yes",
    1.35,
    1.00)</f>
        <v/>
      </c>
      <c r="P9007">
        <f>IF('Loan Tape (S&amp;P)'!S9007="Yes",
    1.15,
    1.00)</f>
        <v/>
      </c>
      <c r="Q9007">
        <f>IF('Loan Tape (S&amp;P)'!V9007="Yes",
    1.20,
    1.00)</f>
        <v/>
      </c>
      <c r="T9007">
        <f>LET(
    payment_method,'Loan Tape (S&amp;P)'!P9007,
    occupancy,'Loan Tape (S&amp;P)'!N9007,
    maturity_date,'Loan Tape (S&amp;P)'!L9007,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08">
      <c r="J9008">
        <f>LET(
    lien,'Loan Tape (S&amp;P)'!Q9008,
    IF(lien="First",1.00,
        IF(lien="Second",1.50,
            1.70)))</f>
        <v/>
      </c>
      <c r="K9008">
        <f>LET(
    purpose,'Loan Tape (S&amp;P)'!R9008,
    IF(purpose="Purchase",1.00,
        IF(purpose="Remortgage",1.00,
            1.20)))</f>
        <v/>
      </c>
      <c r="L9008">
        <f>LET(
    arrears_months,'Loan Tape (S&amp;P)'!AN9008,
    IF(arrears_months=0,1.00,
    IF(arrears_months=1,3.00,
    IF(arrears_months=2,5.00,
    IF(arrears_months=3,8.00,
    IF(arrears_months=4,10.00,
    IF(arrears_months=5,12.00,15.00)))))))</f>
        <v/>
      </c>
      <c r="M9008">
        <f>LET(
    seasoning_years,DATEDIF('Loan Tape (S&amp;P)'!K9008,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08">
        <f>IF(AND('Loan Tape (S&amp;P)'!U9008="Yes",
        'Loan Tape (S&amp;P)'!T9008&lt;&gt;"Yes",
        DATEDIF('Loan Tape (S&amp;P)'!K9008, TODAY(), "M")&lt;18),
    1.10,
    1.00)</f>
        <v/>
      </c>
      <c r="O9008">
        <f>IF('Loan Tape (S&amp;P)'!T9008="Yes",
    1.35,
    1.00)</f>
        <v/>
      </c>
      <c r="P9008">
        <f>IF('Loan Tape (S&amp;P)'!S9008="Yes",
    1.15,
    1.00)</f>
        <v/>
      </c>
      <c r="Q9008">
        <f>IF('Loan Tape (S&amp;P)'!V9008="Yes",
    1.20,
    1.00)</f>
        <v/>
      </c>
      <c r="T9008">
        <f>LET(
    payment_method,'Loan Tape (S&amp;P)'!P9008,
    occupancy,'Loan Tape (S&amp;P)'!N9008,
    maturity_date,'Loan Tape (S&amp;P)'!L9008,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09">
      <c r="J9009">
        <f>LET(
    lien,'Loan Tape (S&amp;P)'!Q9009,
    IF(lien="First",1.00,
        IF(lien="Second",1.50,
            1.70)))</f>
        <v/>
      </c>
      <c r="K9009">
        <f>LET(
    purpose,'Loan Tape (S&amp;P)'!R9009,
    IF(purpose="Purchase",1.00,
        IF(purpose="Remortgage",1.00,
            1.20)))</f>
        <v/>
      </c>
      <c r="L9009">
        <f>LET(
    arrears_months,'Loan Tape (S&amp;P)'!AN9009,
    IF(arrears_months=0,1.00,
    IF(arrears_months=1,3.00,
    IF(arrears_months=2,5.00,
    IF(arrears_months=3,8.00,
    IF(arrears_months=4,10.00,
    IF(arrears_months=5,12.00,15.00)))))))</f>
        <v/>
      </c>
      <c r="M9009">
        <f>LET(
    seasoning_years,DATEDIF('Loan Tape (S&amp;P)'!K9009,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09">
        <f>IF(AND('Loan Tape (S&amp;P)'!U9009="Yes",
        'Loan Tape (S&amp;P)'!T9009&lt;&gt;"Yes",
        DATEDIF('Loan Tape (S&amp;P)'!K9009, TODAY(), "M")&lt;18),
    1.10,
    1.00)</f>
        <v/>
      </c>
      <c r="O9009">
        <f>IF('Loan Tape (S&amp;P)'!T9009="Yes",
    1.35,
    1.00)</f>
        <v/>
      </c>
      <c r="P9009">
        <f>IF('Loan Tape (S&amp;P)'!S9009="Yes",
    1.15,
    1.00)</f>
        <v/>
      </c>
      <c r="Q9009">
        <f>IF('Loan Tape (S&amp;P)'!V9009="Yes",
    1.20,
    1.00)</f>
        <v/>
      </c>
      <c r="T9009">
        <f>LET(
    payment_method,'Loan Tape (S&amp;P)'!P9009,
    occupancy,'Loan Tape (S&amp;P)'!N9009,
    maturity_date,'Loan Tape (S&amp;P)'!L9009,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10">
      <c r="J9010">
        <f>LET(
    lien,'Loan Tape (S&amp;P)'!Q9010,
    IF(lien="First",1.00,
        IF(lien="Second",1.50,
            1.70)))</f>
        <v/>
      </c>
      <c r="K9010">
        <f>LET(
    purpose,'Loan Tape (S&amp;P)'!R9010,
    IF(purpose="Purchase",1.00,
        IF(purpose="Remortgage",1.00,
            1.20)))</f>
        <v/>
      </c>
      <c r="L9010">
        <f>LET(
    arrears_months,'Loan Tape (S&amp;P)'!AN9010,
    IF(arrears_months=0,1.00,
    IF(arrears_months=1,3.00,
    IF(arrears_months=2,5.00,
    IF(arrears_months=3,8.00,
    IF(arrears_months=4,10.00,
    IF(arrears_months=5,12.00,15.00)))))))</f>
        <v/>
      </c>
      <c r="M9010">
        <f>LET(
    seasoning_years,DATEDIF('Loan Tape (S&amp;P)'!K9010,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10">
        <f>IF(AND('Loan Tape (S&amp;P)'!U9010="Yes",
        'Loan Tape (S&amp;P)'!T9010&lt;&gt;"Yes",
        DATEDIF('Loan Tape (S&amp;P)'!K9010, TODAY(), "M")&lt;18),
    1.10,
    1.00)</f>
        <v/>
      </c>
      <c r="O9010">
        <f>IF('Loan Tape (S&amp;P)'!T9010="Yes",
    1.35,
    1.00)</f>
        <v/>
      </c>
      <c r="P9010">
        <f>IF('Loan Tape (S&amp;P)'!S9010="Yes",
    1.15,
    1.00)</f>
        <v/>
      </c>
      <c r="Q9010">
        <f>IF('Loan Tape (S&amp;P)'!V9010="Yes",
    1.20,
    1.00)</f>
        <v/>
      </c>
      <c r="T9010">
        <f>LET(
    payment_method,'Loan Tape (S&amp;P)'!P9010,
    occupancy,'Loan Tape (S&amp;P)'!N9010,
    maturity_date,'Loan Tape (S&amp;P)'!L9010,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11">
      <c r="J9011">
        <f>LET(
    lien,'Loan Tape (S&amp;P)'!Q9011,
    IF(lien="First",1.00,
        IF(lien="Second",1.50,
            1.70)))</f>
        <v/>
      </c>
      <c r="K9011">
        <f>LET(
    purpose,'Loan Tape (S&amp;P)'!R9011,
    IF(purpose="Purchase",1.00,
        IF(purpose="Remortgage",1.00,
            1.20)))</f>
        <v/>
      </c>
      <c r="L9011">
        <f>LET(
    arrears_months,'Loan Tape (S&amp;P)'!AN9011,
    IF(arrears_months=0,1.00,
    IF(arrears_months=1,3.00,
    IF(arrears_months=2,5.00,
    IF(arrears_months=3,8.00,
    IF(arrears_months=4,10.00,
    IF(arrears_months=5,12.00,15.00)))))))</f>
        <v/>
      </c>
      <c r="M9011">
        <f>LET(
    seasoning_years,DATEDIF('Loan Tape (S&amp;P)'!K9011,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11">
        <f>IF(AND('Loan Tape (S&amp;P)'!U9011="Yes",
        'Loan Tape (S&amp;P)'!T9011&lt;&gt;"Yes",
        DATEDIF('Loan Tape (S&amp;P)'!K9011, TODAY(), "M")&lt;18),
    1.10,
    1.00)</f>
        <v/>
      </c>
      <c r="O9011">
        <f>IF('Loan Tape (S&amp;P)'!T9011="Yes",
    1.35,
    1.00)</f>
        <v/>
      </c>
      <c r="P9011">
        <f>IF('Loan Tape (S&amp;P)'!S9011="Yes",
    1.15,
    1.00)</f>
        <v/>
      </c>
      <c r="Q9011">
        <f>IF('Loan Tape (S&amp;P)'!V9011="Yes",
    1.20,
    1.00)</f>
        <v/>
      </c>
      <c r="T9011">
        <f>LET(
    payment_method,'Loan Tape (S&amp;P)'!P9011,
    occupancy,'Loan Tape (S&amp;P)'!N9011,
    maturity_date,'Loan Tape (S&amp;P)'!L9011,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12">
      <c r="J9012">
        <f>LET(
    lien,'Loan Tape (S&amp;P)'!Q9012,
    IF(lien="First",1.00,
        IF(lien="Second",1.50,
            1.70)))</f>
        <v/>
      </c>
      <c r="K9012">
        <f>LET(
    purpose,'Loan Tape (S&amp;P)'!R9012,
    IF(purpose="Purchase",1.00,
        IF(purpose="Remortgage",1.00,
            1.20)))</f>
        <v/>
      </c>
      <c r="L9012">
        <f>LET(
    arrears_months,'Loan Tape (S&amp;P)'!AN9012,
    IF(arrears_months=0,1.00,
    IF(arrears_months=1,3.00,
    IF(arrears_months=2,5.00,
    IF(arrears_months=3,8.00,
    IF(arrears_months=4,10.00,
    IF(arrears_months=5,12.00,15.00)))))))</f>
        <v/>
      </c>
      <c r="M9012">
        <f>LET(
    seasoning_years,DATEDIF('Loan Tape (S&amp;P)'!K9012,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12">
        <f>IF(AND('Loan Tape (S&amp;P)'!U9012="Yes",
        'Loan Tape (S&amp;P)'!T9012&lt;&gt;"Yes",
        DATEDIF('Loan Tape (S&amp;P)'!K9012, TODAY(), "M")&lt;18),
    1.10,
    1.00)</f>
        <v/>
      </c>
      <c r="O9012">
        <f>IF('Loan Tape (S&amp;P)'!T9012="Yes",
    1.35,
    1.00)</f>
        <v/>
      </c>
      <c r="P9012">
        <f>IF('Loan Tape (S&amp;P)'!S9012="Yes",
    1.15,
    1.00)</f>
        <v/>
      </c>
      <c r="Q9012">
        <f>IF('Loan Tape (S&amp;P)'!V9012="Yes",
    1.20,
    1.00)</f>
        <v/>
      </c>
      <c r="T9012">
        <f>LET(
    payment_method,'Loan Tape (S&amp;P)'!P9012,
    occupancy,'Loan Tape (S&amp;P)'!N9012,
    maturity_date,'Loan Tape (S&amp;P)'!L9012,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13">
      <c r="J9013">
        <f>LET(
    lien,'Loan Tape (S&amp;P)'!Q9013,
    IF(lien="First",1.00,
        IF(lien="Second",1.50,
            1.70)))</f>
        <v/>
      </c>
      <c r="K9013">
        <f>LET(
    purpose,'Loan Tape (S&amp;P)'!R9013,
    IF(purpose="Purchase",1.00,
        IF(purpose="Remortgage",1.00,
            1.20)))</f>
        <v/>
      </c>
      <c r="L9013">
        <f>LET(
    arrears_months,'Loan Tape (S&amp;P)'!AN9013,
    IF(arrears_months=0,1.00,
    IF(arrears_months=1,3.00,
    IF(arrears_months=2,5.00,
    IF(arrears_months=3,8.00,
    IF(arrears_months=4,10.00,
    IF(arrears_months=5,12.00,15.00)))))))</f>
        <v/>
      </c>
      <c r="M9013">
        <f>LET(
    seasoning_years,DATEDIF('Loan Tape (S&amp;P)'!K9013,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13">
        <f>IF(AND('Loan Tape (S&amp;P)'!U9013="Yes",
        'Loan Tape (S&amp;P)'!T9013&lt;&gt;"Yes",
        DATEDIF('Loan Tape (S&amp;P)'!K9013, TODAY(), "M")&lt;18),
    1.10,
    1.00)</f>
        <v/>
      </c>
      <c r="O9013">
        <f>IF('Loan Tape (S&amp;P)'!T9013="Yes",
    1.35,
    1.00)</f>
        <v/>
      </c>
      <c r="P9013">
        <f>IF('Loan Tape (S&amp;P)'!S9013="Yes",
    1.15,
    1.00)</f>
        <v/>
      </c>
      <c r="Q9013">
        <f>IF('Loan Tape (S&amp;P)'!V9013="Yes",
    1.20,
    1.00)</f>
        <v/>
      </c>
      <c r="T9013">
        <f>LET(
    payment_method,'Loan Tape (S&amp;P)'!P9013,
    occupancy,'Loan Tape (S&amp;P)'!N9013,
    maturity_date,'Loan Tape (S&amp;P)'!L9013,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14">
      <c r="J9014">
        <f>LET(
    lien,'Loan Tape (S&amp;P)'!Q9014,
    IF(lien="First",1.00,
        IF(lien="Second",1.50,
            1.70)))</f>
        <v/>
      </c>
      <c r="K9014">
        <f>LET(
    purpose,'Loan Tape (S&amp;P)'!R9014,
    IF(purpose="Purchase",1.00,
        IF(purpose="Remortgage",1.00,
            1.20)))</f>
        <v/>
      </c>
      <c r="L9014">
        <f>LET(
    arrears_months,'Loan Tape (S&amp;P)'!AN9014,
    IF(arrears_months=0,1.00,
    IF(arrears_months=1,3.00,
    IF(arrears_months=2,5.00,
    IF(arrears_months=3,8.00,
    IF(arrears_months=4,10.00,
    IF(arrears_months=5,12.00,15.00)))))))</f>
        <v/>
      </c>
      <c r="M9014">
        <f>LET(
    seasoning_years,DATEDIF('Loan Tape (S&amp;P)'!K9014,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14">
        <f>IF(AND('Loan Tape (S&amp;P)'!U9014="Yes",
        'Loan Tape (S&amp;P)'!T9014&lt;&gt;"Yes",
        DATEDIF('Loan Tape (S&amp;P)'!K9014, TODAY(), "M")&lt;18),
    1.10,
    1.00)</f>
        <v/>
      </c>
      <c r="O9014">
        <f>IF('Loan Tape (S&amp;P)'!T9014="Yes",
    1.35,
    1.00)</f>
        <v/>
      </c>
      <c r="P9014">
        <f>IF('Loan Tape (S&amp;P)'!S9014="Yes",
    1.15,
    1.00)</f>
        <v/>
      </c>
      <c r="Q9014">
        <f>IF('Loan Tape (S&amp;P)'!V9014="Yes",
    1.20,
    1.00)</f>
        <v/>
      </c>
      <c r="T9014">
        <f>LET(
    payment_method,'Loan Tape (S&amp;P)'!P9014,
    occupancy,'Loan Tape (S&amp;P)'!N9014,
    maturity_date,'Loan Tape (S&amp;P)'!L9014,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15">
      <c r="J9015">
        <f>LET(
    lien,'Loan Tape (S&amp;P)'!Q9015,
    IF(lien="First",1.00,
        IF(lien="Second",1.50,
            1.70)))</f>
        <v/>
      </c>
      <c r="K9015">
        <f>LET(
    purpose,'Loan Tape (S&amp;P)'!R9015,
    IF(purpose="Purchase",1.00,
        IF(purpose="Remortgage",1.00,
            1.20)))</f>
        <v/>
      </c>
      <c r="L9015">
        <f>LET(
    arrears_months,'Loan Tape (S&amp;P)'!AN9015,
    IF(arrears_months=0,1.00,
    IF(arrears_months=1,3.00,
    IF(arrears_months=2,5.00,
    IF(arrears_months=3,8.00,
    IF(arrears_months=4,10.00,
    IF(arrears_months=5,12.00,15.00)))))))</f>
        <v/>
      </c>
      <c r="M9015">
        <f>LET(
    seasoning_years,DATEDIF('Loan Tape (S&amp;P)'!K9015,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15">
        <f>IF(AND('Loan Tape (S&amp;P)'!U9015="Yes",
        'Loan Tape (S&amp;P)'!T9015&lt;&gt;"Yes",
        DATEDIF('Loan Tape (S&amp;P)'!K9015, TODAY(), "M")&lt;18),
    1.10,
    1.00)</f>
        <v/>
      </c>
      <c r="O9015">
        <f>IF('Loan Tape (S&amp;P)'!T9015="Yes",
    1.35,
    1.00)</f>
        <v/>
      </c>
      <c r="P9015">
        <f>IF('Loan Tape (S&amp;P)'!S9015="Yes",
    1.15,
    1.00)</f>
        <v/>
      </c>
      <c r="Q9015">
        <f>IF('Loan Tape (S&amp;P)'!V9015="Yes",
    1.20,
    1.00)</f>
        <v/>
      </c>
      <c r="T9015">
        <f>LET(
    payment_method,'Loan Tape (S&amp;P)'!P9015,
    occupancy,'Loan Tape (S&amp;P)'!N9015,
    maturity_date,'Loan Tape (S&amp;P)'!L9015,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16">
      <c r="J9016">
        <f>LET(
    lien,'Loan Tape (S&amp;P)'!Q9016,
    IF(lien="First",1.00,
        IF(lien="Second",1.50,
            1.70)))</f>
        <v/>
      </c>
      <c r="K9016">
        <f>LET(
    purpose,'Loan Tape (S&amp;P)'!R9016,
    IF(purpose="Purchase",1.00,
        IF(purpose="Remortgage",1.00,
            1.20)))</f>
        <v/>
      </c>
      <c r="L9016">
        <f>LET(
    arrears_months,'Loan Tape (S&amp;P)'!AN9016,
    IF(arrears_months=0,1.00,
    IF(arrears_months=1,3.00,
    IF(arrears_months=2,5.00,
    IF(arrears_months=3,8.00,
    IF(arrears_months=4,10.00,
    IF(arrears_months=5,12.00,15.00)))))))</f>
        <v/>
      </c>
      <c r="M9016">
        <f>LET(
    seasoning_years,DATEDIF('Loan Tape (S&amp;P)'!K9016,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16">
        <f>IF(AND('Loan Tape (S&amp;P)'!U9016="Yes",
        'Loan Tape (S&amp;P)'!T9016&lt;&gt;"Yes",
        DATEDIF('Loan Tape (S&amp;P)'!K9016, TODAY(), "M")&lt;18),
    1.10,
    1.00)</f>
        <v/>
      </c>
      <c r="O9016">
        <f>IF('Loan Tape (S&amp;P)'!T9016="Yes",
    1.35,
    1.00)</f>
        <v/>
      </c>
      <c r="P9016">
        <f>IF('Loan Tape (S&amp;P)'!S9016="Yes",
    1.15,
    1.00)</f>
        <v/>
      </c>
      <c r="Q9016">
        <f>IF('Loan Tape (S&amp;P)'!V9016="Yes",
    1.20,
    1.00)</f>
        <v/>
      </c>
      <c r="T9016">
        <f>LET(
    payment_method,'Loan Tape (S&amp;P)'!P9016,
    occupancy,'Loan Tape (S&amp;P)'!N9016,
    maturity_date,'Loan Tape (S&amp;P)'!L9016,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17">
      <c r="J9017">
        <f>LET(
    lien,'Loan Tape (S&amp;P)'!Q9017,
    IF(lien="First",1.00,
        IF(lien="Second",1.50,
            1.70)))</f>
        <v/>
      </c>
      <c r="K9017">
        <f>LET(
    purpose,'Loan Tape (S&amp;P)'!R9017,
    IF(purpose="Purchase",1.00,
        IF(purpose="Remortgage",1.00,
            1.20)))</f>
        <v/>
      </c>
      <c r="L9017">
        <f>LET(
    arrears_months,'Loan Tape (S&amp;P)'!AN9017,
    IF(arrears_months=0,1.00,
    IF(arrears_months=1,3.00,
    IF(arrears_months=2,5.00,
    IF(arrears_months=3,8.00,
    IF(arrears_months=4,10.00,
    IF(arrears_months=5,12.00,15.00)))))))</f>
        <v/>
      </c>
      <c r="M9017">
        <f>LET(
    seasoning_years,DATEDIF('Loan Tape (S&amp;P)'!K9017,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17">
        <f>IF(AND('Loan Tape (S&amp;P)'!U9017="Yes",
        'Loan Tape (S&amp;P)'!T9017&lt;&gt;"Yes",
        DATEDIF('Loan Tape (S&amp;P)'!K9017, TODAY(), "M")&lt;18),
    1.10,
    1.00)</f>
        <v/>
      </c>
      <c r="O9017">
        <f>IF('Loan Tape (S&amp;P)'!T9017="Yes",
    1.35,
    1.00)</f>
        <v/>
      </c>
      <c r="P9017">
        <f>IF('Loan Tape (S&amp;P)'!S9017="Yes",
    1.15,
    1.00)</f>
        <v/>
      </c>
      <c r="Q9017">
        <f>IF('Loan Tape (S&amp;P)'!V9017="Yes",
    1.20,
    1.00)</f>
        <v/>
      </c>
      <c r="T9017">
        <f>LET(
    payment_method,'Loan Tape (S&amp;P)'!P9017,
    occupancy,'Loan Tape (S&amp;P)'!N9017,
    maturity_date,'Loan Tape (S&amp;P)'!L9017,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18">
      <c r="J9018">
        <f>LET(
    lien,'Loan Tape (S&amp;P)'!Q9018,
    IF(lien="First",1.00,
        IF(lien="Second",1.50,
            1.70)))</f>
        <v/>
      </c>
      <c r="K9018">
        <f>LET(
    purpose,'Loan Tape (S&amp;P)'!R9018,
    IF(purpose="Purchase",1.00,
        IF(purpose="Remortgage",1.00,
            1.20)))</f>
        <v/>
      </c>
      <c r="L9018">
        <f>LET(
    arrears_months,'Loan Tape (S&amp;P)'!AN9018,
    IF(arrears_months=0,1.00,
    IF(arrears_months=1,3.00,
    IF(arrears_months=2,5.00,
    IF(arrears_months=3,8.00,
    IF(arrears_months=4,10.00,
    IF(arrears_months=5,12.00,15.00)))))))</f>
        <v/>
      </c>
      <c r="M9018">
        <f>LET(
    seasoning_years,DATEDIF('Loan Tape (S&amp;P)'!K9018,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18">
        <f>IF(AND('Loan Tape (S&amp;P)'!U9018="Yes",
        'Loan Tape (S&amp;P)'!T9018&lt;&gt;"Yes",
        DATEDIF('Loan Tape (S&amp;P)'!K9018, TODAY(), "M")&lt;18),
    1.10,
    1.00)</f>
        <v/>
      </c>
      <c r="O9018">
        <f>IF('Loan Tape (S&amp;P)'!T9018="Yes",
    1.35,
    1.00)</f>
        <v/>
      </c>
      <c r="P9018">
        <f>IF('Loan Tape (S&amp;P)'!S9018="Yes",
    1.15,
    1.00)</f>
        <v/>
      </c>
      <c r="Q9018">
        <f>IF('Loan Tape (S&amp;P)'!V9018="Yes",
    1.20,
    1.00)</f>
        <v/>
      </c>
      <c r="T9018">
        <f>LET(
    payment_method,'Loan Tape (S&amp;P)'!P9018,
    occupancy,'Loan Tape (S&amp;P)'!N9018,
    maturity_date,'Loan Tape (S&amp;P)'!L9018,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19">
      <c r="J9019">
        <f>LET(
    lien,'Loan Tape (S&amp;P)'!Q9019,
    IF(lien="First",1.00,
        IF(lien="Second",1.50,
            1.70)))</f>
        <v/>
      </c>
      <c r="K9019">
        <f>LET(
    purpose,'Loan Tape (S&amp;P)'!R9019,
    IF(purpose="Purchase",1.00,
        IF(purpose="Remortgage",1.00,
            1.20)))</f>
        <v/>
      </c>
      <c r="L9019">
        <f>LET(
    arrears_months,'Loan Tape (S&amp;P)'!AN9019,
    IF(arrears_months=0,1.00,
    IF(arrears_months=1,3.00,
    IF(arrears_months=2,5.00,
    IF(arrears_months=3,8.00,
    IF(arrears_months=4,10.00,
    IF(arrears_months=5,12.00,15.00)))))))</f>
        <v/>
      </c>
      <c r="M9019">
        <f>LET(
    seasoning_years,DATEDIF('Loan Tape (S&amp;P)'!K9019,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19">
        <f>IF(AND('Loan Tape (S&amp;P)'!U9019="Yes",
        'Loan Tape (S&amp;P)'!T9019&lt;&gt;"Yes",
        DATEDIF('Loan Tape (S&amp;P)'!K9019, TODAY(), "M")&lt;18),
    1.10,
    1.00)</f>
        <v/>
      </c>
      <c r="O9019">
        <f>IF('Loan Tape (S&amp;P)'!T9019="Yes",
    1.35,
    1.00)</f>
        <v/>
      </c>
      <c r="P9019">
        <f>IF('Loan Tape (S&amp;P)'!S9019="Yes",
    1.15,
    1.00)</f>
        <v/>
      </c>
      <c r="Q9019">
        <f>IF('Loan Tape (S&amp;P)'!V9019="Yes",
    1.20,
    1.00)</f>
        <v/>
      </c>
      <c r="T9019">
        <f>LET(
    payment_method,'Loan Tape (S&amp;P)'!P9019,
    occupancy,'Loan Tape (S&amp;P)'!N9019,
    maturity_date,'Loan Tape (S&amp;P)'!L9019,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20">
      <c r="J9020">
        <f>LET(
    lien,'Loan Tape (S&amp;P)'!Q9020,
    IF(lien="First",1.00,
        IF(lien="Second",1.50,
            1.70)))</f>
        <v/>
      </c>
      <c r="K9020">
        <f>LET(
    purpose,'Loan Tape (S&amp;P)'!R9020,
    IF(purpose="Purchase",1.00,
        IF(purpose="Remortgage",1.00,
            1.20)))</f>
        <v/>
      </c>
      <c r="L9020">
        <f>LET(
    arrears_months,'Loan Tape (S&amp;P)'!AN9020,
    IF(arrears_months=0,1.00,
    IF(arrears_months=1,3.00,
    IF(arrears_months=2,5.00,
    IF(arrears_months=3,8.00,
    IF(arrears_months=4,10.00,
    IF(arrears_months=5,12.00,15.00)))))))</f>
        <v/>
      </c>
      <c r="M9020">
        <f>LET(
    seasoning_years,DATEDIF('Loan Tape (S&amp;P)'!K9020,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20">
        <f>IF(AND('Loan Tape (S&amp;P)'!U9020="Yes",
        'Loan Tape (S&amp;P)'!T9020&lt;&gt;"Yes",
        DATEDIF('Loan Tape (S&amp;P)'!K9020, TODAY(), "M")&lt;18),
    1.10,
    1.00)</f>
        <v/>
      </c>
      <c r="O9020">
        <f>IF('Loan Tape (S&amp;P)'!T9020="Yes",
    1.35,
    1.00)</f>
        <v/>
      </c>
      <c r="P9020">
        <f>IF('Loan Tape (S&amp;P)'!S9020="Yes",
    1.15,
    1.00)</f>
        <v/>
      </c>
      <c r="Q9020">
        <f>IF('Loan Tape (S&amp;P)'!V9020="Yes",
    1.20,
    1.00)</f>
        <v/>
      </c>
      <c r="T9020">
        <f>LET(
    payment_method,'Loan Tape (S&amp;P)'!P9020,
    occupancy,'Loan Tape (S&amp;P)'!N9020,
    maturity_date,'Loan Tape (S&amp;P)'!L9020,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21">
      <c r="J9021">
        <f>LET(
    lien,'Loan Tape (S&amp;P)'!Q9021,
    IF(lien="First",1.00,
        IF(lien="Second",1.50,
            1.70)))</f>
        <v/>
      </c>
      <c r="K9021">
        <f>LET(
    purpose,'Loan Tape (S&amp;P)'!R9021,
    IF(purpose="Purchase",1.00,
        IF(purpose="Remortgage",1.00,
            1.20)))</f>
        <v/>
      </c>
      <c r="L9021">
        <f>LET(
    arrears_months,'Loan Tape (S&amp;P)'!AN9021,
    IF(arrears_months=0,1.00,
    IF(arrears_months=1,3.00,
    IF(arrears_months=2,5.00,
    IF(arrears_months=3,8.00,
    IF(arrears_months=4,10.00,
    IF(arrears_months=5,12.00,15.00)))))))</f>
        <v/>
      </c>
      <c r="M9021">
        <f>LET(
    seasoning_years,DATEDIF('Loan Tape (S&amp;P)'!K9021,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21">
        <f>IF(AND('Loan Tape (S&amp;P)'!U9021="Yes",
        'Loan Tape (S&amp;P)'!T9021&lt;&gt;"Yes",
        DATEDIF('Loan Tape (S&amp;P)'!K9021, TODAY(), "M")&lt;18),
    1.10,
    1.00)</f>
        <v/>
      </c>
      <c r="O9021">
        <f>IF('Loan Tape (S&amp;P)'!T9021="Yes",
    1.35,
    1.00)</f>
        <v/>
      </c>
      <c r="P9021">
        <f>IF('Loan Tape (S&amp;P)'!S9021="Yes",
    1.15,
    1.00)</f>
        <v/>
      </c>
      <c r="Q9021">
        <f>IF('Loan Tape (S&amp;P)'!V9021="Yes",
    1.20,
    1.00)</f>
        <v/>
      </c>
      <c r="T9021">
        <f>LET(
    payment_method,'Loan Tape (S&amp;P)'!P9021,
    occupancy,'Loan Tape (S&amp;P)'!N9021,
    maturity_date,'Loan Tape (S&amp;P)'!L9021,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22">
      <c r="J9022">
        <f>LET(
    lien,'Loan Tape (S&amp;P)'!Q9022,
    IF(lien="First",1.00,
        IF(lien="Second",1.50,
            1.70)))</f>
        <v/>
      </c>
      <c r="K9022">
        <f>LET(
    purpose,'Loan Tape (S&amp;P)'!R9022,
    IF(purpose="Purchase",1.00,
        IF(purpose="Remortgage",1.00,
            1.20)))</f>
        <v/>
      </c>
      <c r="L9022">
        <f>LET(
    arrears_months,'Loan Tape (S&amp;P)'!AN9022,
    IF(arrears_months=0,1.00,
    IF(arrears_months=1,3.00,
    IF(arrears_months=2,5.00,
    IF(arrears_months=3,8.00,
    IF(arrears_months=4,10.00,
    IF(arrears_months=5,12.00,15.00)))))))</f>
        <v/>
      </c>
      <c r="M9022">
        <f>LET(
    seasoning_years,DATEDIF('Loan Tape (S&amp;P)'!K9022,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22">
        <f>IF(AND('Loan Tape (S&amp;P)'!U9022="Yes",
        'Loan Tape (S&amp;P)'!T9022&lt;&gt;"Yes",
        DATEDIF('Loan Tape (S&amp;P)'!K9022, TODAY(), "M")&lt;18),
    1.10,
    1.00)</f>
        <v/>
      </c>
      <c r="O9022">
        <f>IF('Loan Tape (S&amp;P)'!T9022="Yes",
    1.35,
    1.00)</f>
        <v/>
      </c>
      <c r="P9022">
        <f>IF('Loan Tape (S&amp;P)'!S9022="Yes",
    1.15,
    1.00)</f>
        <v/>
      </c>
      <c r="Q9022">
        <f>IF('Loan Tape (S&amp;P)'!V9022="Yes",
    1.20,
    1.00)</f>
        <v/>
      </c>
      <c r="T9022">
        <f>LET(
    payment_method,'Loan Tape (S&amp;P)'!P9022,
    occupancy,'Loan Tape (S&amp;P)'!N9022,
    maturity_date,'Loan Tape (S&amp;P)'!L9022,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23">
      <c r="J9023">
        <f>LET(
    lien,'Loan Tape (S&amp;P)'!Q9023,
    IF(lien="First",1.00,
        IF(lien="Second",1.50,
            1.70)))</f>
        <v/>
      </c>
      <c r="K9023">
        <f>LET(
    purpose,'Loan Tape (S&amp;P)'!R9023,
    IF(purpose="Purchase",1.00,
        IF(purpose="Remortgage",1.00,
            1.20)))</f>
        <v/>
      </c>
      <c r="L9023">
        <f>LET(
    arrears_months,'Loan Tape (S&amp;P)'!AN9023,
    IF(arrears_months=0,1.00,
    IF(arrears_months=1,3.00,
    IF(arrears_months=2,5.00,
    IF(arrears_months=3,8.00,
    IF(arrears_months=4,10.00,
    IF(arrears_months=5,12.00,15.00)))))))</f>
        <v/>
      </c>
      <c r="M9023">
        <f>LET(
    seasoning_years,DATEDIF('Loan Tape (S&amp;P)'!K9023,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23">
        <f>IF(AND('Loan Tape (S&amp;P)'!U9023="Yes",
        'Loan Tape (S&amp;P)'!T9023&lt;&gt;"Yes",
        DATEDIF('Loan Tape (S&amp;P)'!K9023, TODAY(), "M")&lt;18),
    1.10,
    1.00)</f>
        <v/>
      </c>
      <c r="O9023">
        <f>IF('Loan Tape (S&amp;P)'!T9023="Yes",
    1.35,
    1.00)</f>
        <v/>
      </c>
      <c r="P9023">
        <f>IF('Loan Tape (S&amp;P)'!S9023="Yes",
    1.15,
    1.00)</f>
        <v/>
      </c>
      <c r="Q9023">
        <f>IF('Loan Tape (S&amp;P)'!V9023="Yes",
    1.20,
    1.00)</f>
        <v/>
      </c>
      <c r="T9023">
        <f>LET(
    payment_method,'Loan Tape (S&amp;P)'!P9023,
    occupancy,'Loan Tape (S&amp;P)'!N9023,
    maturity_date,'Loan Tape (S&amp;P)'!L9023,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24">
      <c r="J9024">
        <f>LET(
    lien,'Loan Tape (S&amp;P)'!Q9024,
    IF(lien="First",1.00,
        IF(lien="Second",1.50,
            1.70)))</f>
        <v/>
      </c>
      <c r="K9024">
        <f>LET(
    purpose,'Loan Tape (S&amp;P)'!R9024,
    IF(purpose="Purchase",1.00,
        IF(purpose="Remortgage",1.00,
            1.20)))</f>
        <v/>
      </c>
      <c r="L9024">
        <f>LET(
    arrears_months,'Loan Tape (S&amp;P)'!AN9024,
    IF(arrears_months=0,1.00,
    IF(arrears_months=1,3.00,
    IF(arrears_months=2,5.00,
    IF(arrears_months=3,8.00,
    IF(arrears_months=4,10.00,
    IF(arrears_months=5,12.00,15.00)))))))</f>
        <v/>
      </c>
      <c r="M9024">
        <f>LET(
    seasoning_years,DATEDIF('Loan Tape (S&amp;P)'!K9024,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24">
        <f>IF(AND('Loan Tape (S&amp;P)'!U9024="Yes",
        'Loan Tape (S&amp;P)'!T9024&lt;&gt;"Yes",
        DATEDIF('Loan Tape (S&amp;P)'!K9024, TODAY(), "M")&lt;18),
    1.10,
    1.00)</f>
        <v/>
      </c>
      <c r="O9024">
        <f>IF('Loan Tape (S&amp;P)'!T9024="Yes",
    1.35,
    1.00)</f>
        <v/>
      </c>
      <c r="P9024">
        <f>IF('Loan Tape (S&amp;P)'!S9024="Yes",
    1.15,
    1.00)</f>
        <v/>
      </c>
      <c r="Q9024">
        <f>IF('Loan Tape (S&amp;P)'!V9024="Yes",
    1.20,
    1.00)</f>
        <v/>
      </c>
      <c r="T9024">
        <f>LET(
    payment_method,'Loan Tape (S&amp;P)'!P9024,
    occupancy,'Loan Tape (S&amp;P)'!N9024,
    maturity_date,'Loan Tape (S&amp;P)'!L9024,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25">
      <c r="J9025">
        <f>LET(
    lien,'Loan Tape (S&amp;P)'!Q9025,
    IF(lien="First",1.00,
        IF(lien="Second",1.50,
            1.70)))</f>
        <v/>
      </c>
      <c r="K9025">
        <f>LET(
    purpose,'Loan Tape (S&amp;P)'!R9025,
    IF(purpose="Purchase",1.00,
        IF(purpose="Remortgage",1.00,
            1.20)))</f>
        <v/>
      </c>
      <c r="L9025">
        <f>LET(
    arrears_months,'Loan Tape (S&amp;P)'!AN9025,
    IF(arrears_months=0,1.00,
    IF(arrears_months=1,3.00,
    IF(arrears_months=2,5.00,
    IF(arrears_months=3,8.00,
    IF(arrears_months=4,10.00,
    IF(arrears_months=5,12.00,15.00)))))))</f>
        <v/>
      </c>
      <c r="M9025">
        <f>LET(
    seasoning_years,DATEDIF('Loan Tape (S&amp;P)'!K9025,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25">
        <f>IF(AND('Loan Tape (S&amp;P)'!U9025="Yes",
        'Loan Tape (S&amp;P)'!T9025&lt;&gt;"Yes",
        DATEDIF('Loan Tape (S&amp;P)'!K9025, TODAY(), "M")&lt;18),
    1.10,
    1.00)</f>
        <v/>
      </c>
      <c r="O9025">
        <f>IF('Loan Tape (S&amp;P)'!T9025="Yes",
    1.35,
    1.00)</f>
        <v/>
      </c>
      <c r="P9025">
        <f>IF('Loan Tape (S&amp;P)'!S9025="Yes",
    1.15,
    1.00)</f>
        <v/>
      </c>
      <c r="Q9025">
        <f>IF('Loan Tape (S&amp;P)'!V9025="Yes",
    1.20,
    1.00)</f>
        <v/>
      </c>
      <c r="T9025">
        <f>LET(
    payment_method,'Loan Tape (S&amp;P)'!P9025,
    occupancy,'Loan Tape (S&amp;P)'!N9025,
    maturity_date,'Loan Tape (S&amp;P)'!L9025,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26">
      <c r="J9026">
        <f>LET(
    lien,'Loan Tape (S&amp;P)'!Q9026,
    IF(lien="First",1.00,
        IF(lien="Second",1.50,
            1.70)))</f>
        <v/>
      </c>
      <c r="K9026">
        <f>LET(
    purpose,'Loan Tape (S&amp;P)'!R9026,
    IF(purpose="Purchase",1.00,
        IF(purpose="Remortgage",1.00,
            1.20)))</f>
        <v/>
      </c>
      <c r="L9026">
        <f>LET(
    arrears_months,'Loan Tape (S&amp;P)'!AN9026,
    IF(arrears_months=0,1.00,
    IF(arrears_months=1,3.00,
    IF(arrears_months=2,5.00,
    IF(arrears_months=3,8.00,
    IF(arrears_months=4,10.00,
    IF(arrears_months=5,12.00,15.00)))))))</f>
        <v/>
      </c>
      <c r="M9026">
        <f>LET(
    seasoning_years,DATEDIF('Loan Tape (S&amp;P)'!K9026,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26">
        <f>IF(AND('Loan Tape (S&amp;P)'!U9026="Yes",
        'Loan Tape (S&amp;P)'!T9026&lt;&gt;"Yes",
        DATEDIF('Loan Tape (S&amp;P)'!K9026, TODAY(), "M")&lt;18),
    1.10,
    1.00)</f>
        <v/>
      </c>
      <c r="O9026">
        <f>IF('Loan Tape (S&amp;P)'!T9026="Yes",
    1.35,
    1.00)</f>
        <v/>
      </c>
      <c r="P9026">
        <f>IF('Loan Tape (S&amp;P)'!S9026="Yes",
    1.15,
    1.00)</f>
        <v/>
      </c>
      <c r="Q9026">
        <f>IF('Loan Tape (S&amp;P)'!V9026="Yes",
    1.20,
    1.00)</f>
        <v/>
      </c>
      <c r="T9026">
        <f>LET(
    payment_method,'Loan Tape (S&amp;P)'!P9026,
    occupancy,'Loan Tape (S&amp;P)'!N9026,
    maturity_date,'Loan Tape (S&amp;P)'!L9026,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27">
      <c r="J9027">
        <f>LET(
    lien,'Loan Tape (S&amp;P)'!Q9027,
    IF(lien="First",1.00,
        IF(lien="Second",1.50,
            1.70)))</f>
        <v/>
      </c>
      <c r="K9027">
        <f>LET(
    purpose,'Loan Tape (S&amp;P)'!R9027,
    IF(purpose="Purchase",1.00,
        IF(purpose="Remortgage",1.00,
            1.20)))</f>
        <v/>
      </c>
      <c r="L9027">
        <f>LET(
    arrears_months,'Loan Tape (S&amp;P)'!AN9027,
    IF(arrears_months=0,1.00,
    IF(arrears_months=1,3.00,
    IF(arrears_months=2,5.00,
    IF(arrears_months=3,8.00,
    IF(arrears_months=4,10.00,
    IF(arrears_months=5,12.00,15.00)))))))</f>
        <v/>
      </c>
      <c r="M9027">
        <f>LET(
    seasoning_years,DATEDIF('Loan Tape (S&amp;P)'!K9027,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27">
        <f>IF(AND('Loan Tape (S&amp;P)'!U9027="Yes",
        'Loan Tape (S&amp;P)'!T9027&lt;&gt;"Yes",
        DATEDIF('Loan Tape (S&amp;P)'!K9027, TODAY(), "M")&lt;18),
    1.10,
    1.00)</f>
        <v/>
      </c>
      <c r="O9027">
        <f>IF('Loan Tape (S&amp;P)'!T9027="Yes",
    1.35,
    1.00)</f>
        <v/>
      </c>
      <c r="P9027">
        <f>IF('Loan Tape (S&amp;P)'!S9027="Yes",
    1.15,
    1.00)</f>
        <v/>
      </c>
      <c r="Q9027">
        <f>IF('Loan Tape (S&amp;P)'!V9027="Yes",
    1.20,
    1.00)</f>
        <v/>
      </c>
      <c r="T9027">
        <f>LET(
    payment_method,'Loan Tape (S&amp;P)'!P9027,
    occupancy,'Loan Tape (S&amp;P)'!N9027,
    maturity_date,'Loan Tape (S&amp;P)'!L9027,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28">
      <c r="J9028">
        <f>LET(
    lien,'Loan Tape (S&amp;P)'!Q9028,
    IF(lien="First",1.00,
        IF(lien="Second",1.50,
            1.70)))</f>
        <v/>
      </c>
      <c r="K9028">
        <f>LET(
    purpose,'Loan Tape (S&amp;P)'!R9028,
    IF(purpose="Purchase",1.00,
        IF(purpose="Remortgage",1.00,
            1.20)))</f>
        <v/>
      </c>
      <c r="L9028">
        <f>LET(
    arrears_months,'Loan Tape (S&amp;P)'!AN9028,
    IF(arrears_months=0,1.00,
    IF(arrears_months=1,3.00,
    IF(arrears_months=2,5.00,
    IF(arrears_months=3,8.00,
    IF(arrears_months=4,10.00,
    IF(arrears_months=5,12.00,15.00)))))))</f>
        <v/>
      </c>
      <c r="M9028">
        <f>LET(
    seasoning_years,DATEDIF('Loan Tape (S&amp;P)'!K9028,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28">
        <f>IF(AND('Loan Tape (S&amp;P)'!U9028="Yes",
        'Loan Tape (S&amp;P)'!T9028&lt;&gt;"Yes",
        DATEDIF('Loan Tape (S&amp;P)'!K9028, TODAY(), "M")&lt;18),
    1.10,
    1.00)</f>
        <v/>
      </c>
      <c r="O9028">
        <f>IF('Loan Tape (S&amp;P)'!T9028="Yes",
    1.35,
    1.00)</f>
        <v/>
      </c>
      <c r="P9028">
        <f>IF('Loan Tape (S&amp;P)'!S9028="Yes",
    1.15,
    1.00)</f>
        <v/>
      </c>
      <c r="Q9028">
        <f>IF('Loan Tape (S&amp;P)'!V9028="Yes",
    1.20,
    1.00)</f>
        <v/>
      </c>
      <c r="T9028">
        <f>LET(
    payment_method,'Loan Tape (S&amp;P)'!P9028,
    occupancy,'Loan Tape (S&amp;P)'!N9028,
    maturity_date,'Loan Tape (S&amp;P)'!L9028,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29">
      <c r="J9029">
        <f>LET(
    lien,'Loan Tape (S&amp;P)'!Q9029,
    IF(lien="First",1.00,
        IF(lien="Second",1.50,
            1.70)))</f>
        <v/>
      </c>
      <c r="K9029">
        <f>LET(
    purpose,'Loan Tape (S&amp;P)'!R9029,
    IF(purpose="Purchase",1.00,
        IF(purpose="Remortgage",1.00,
            1.20)))</f>
        <v/>
      </c>
      <c r="L9029">
        <f>LET(
    arrears_months,'Loan Tape (S&amp;P)'!AN9029,
    IF(arrears_months=0,1.00,
    IF(arrears_months=1,3.00,
    IF(arrears_months=2,5.00,
    IF(arrears_months=3,8.00,
    IF(arrears_months=4,10.00,
    IF(arrears_months=5,12.00,15.00)))))))</f>
        <v/>
      </c>
      <c r="M9029">
        <f>LET(
    seasoning_years,DATEDIF('Loan Tape (S&amp;P)'!K9029,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29">
        <f>IF(AND('Loan Tape (S&amp;P)'!U9029="Yes",
        'Loan Tape (S&amp;P)'!T9029&lt;&gt;"Yes",
        DATEDIF('Loan Tape (S&amp;P)'!K9029, TODAY(), "M")&lt;18),
    1.10,
    1.00)</f>
        <v/>
      </c>
      <c r="O9029">
        <f>IF('Loan Tape (S&amp;P)'!T9029="Yes",
    1.35,
    1.00)</f>
        <v/>
      </c>
      <c r="P9029">
        <f>IF('Loan Tape (S&amp;P)'!S9029="Yes",
    1.15,
    1.00)</f>
        <v/>
      </c>
      <c r="Q9029">
        <f>IF('Loan Tape (S&amp;P)'!V9029="Yes",
    1.20,
    1.00)</f>
        <v/>
      </c>
      <c r="T9029">
        <f>LET(
    payment_method,'Loan Tape (S&amp;P)'!P9029,
    occupancy,'Loan Tape (S&amp;P)'!N9029,
    maturity_date,'Loan Tape (S&amp;P)'!L9029,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30">
      <c r="J9030">
        <f>LET(
    lien,'Loan Tape (S&amp;P)'!Q9030,
    IF(lien="First",1.00,
        IF(lien="Second",1.50,
            1.70)))</f>
        <v/>
      </c>
      <c r="K9030">
        <f>LET(
    purpose,'Loan Tape (S&amp;P)'!R9030,
    IF(purpose="Purchase",1.00,
        IF(purpose="Remortgage",1.00,
            1.20)))</f>
        <v/>
      </c>
      <c r="L9030">
        <f>LET(
    arrears_months,'Loan Tape (S&amp;P)'!AN9030,
    IF(arrears_months=0,1.00,
    IF(arrears_months=1,3.00,
    IF(arrears_months=2,5.00,
    IF(arrears_months=3,8.00,
    IF(arrears_months=4,10.00,
    IF(arrears_months=5,12.00,15.00)))))))</f>
        <v/>
      </c>
      <c r="M9030">
        <f>LET(
    seasoning_years,DATEDIF('Loan Tape (S&amp;P)'!K9030,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30">
        <f>IF(AND('Loan Tape (S&amp;P)'!U9030="Yes",
        'Loan Tape (S&amp;P)'!T9030&lt;&gt;"Yes",
        DATEDIF('Loan Tape (S&amp;P)'!K9030, TODAY(), "M")&lt;18),
    1.10,
    1.00)</f>
        <v/>
      </c>
      <c r="O9030">
        <f>IF('Loan Tape (S&amp;P)'!T9030="Yes",
    1.35,
    1.00)</f>
        <v/>
      </c>
      <c r="P9030">
        <f>IF('Loan Tape (S&amp;P)'!S9030="Yes",
    1.15,
    1.00)</f>
        <v/>
      </c>
      <c r="Q9030">
        <f>IF('Loan Tape (S&amp;P)'!V9030="Yes",
    1.20,
    1.00)</f>
        <v/>
      </c>
      <c r="T9030">
        <f>LET(
    payment_method,'Loan Tape (S&amp;P)'!P9030,
    occupancy,'Loan Tape (S&amp;P)'!N9030,
    maturity_date,'Loan Tape (S&amp;P)'!L9030,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31">
      <c r="J9031">
        <f>LET(
    lien,'Loan Tape (S&amp;P)'!Q9031,
    IF(lien="First",1.00,
        IF(lien="Second",1.50,
            1.70)))</f>
        <v/>
      </c>
      <c r="K9031">
        <f>LET(
    purpose,'Loan Tape (S&amp;P)'!R9031,
    IF(purpose="Purchase",1.00,
        IF(purpose="Remortgage",1.00,
            1.20)))</f>
        <v/>
      </c>
      <c r="L9031">
        <f>LET(
    arrears_months,'Loan Tape (S&amp;P)'!AN9031,
    IF(arrears_months=0,1.00,
    IF(arrears_months=1,3.00,
    IF(arrears_months=2,5.00,
    IF(arrears_months=3,8.00,
    IF(arrears_months=4,10.00,
    IF(arrears_months=5,12.00,15.00)))))))</f>
        <v/>
      </c>
      <c r="M9031">
        <f>LET(
    seasoning_years,DATEDIF('Loan Tape (S&amp;P)'!K9031,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31">
        <f>IF(AND('Loan Tape (S&amp;P)'!U9031="Yes",
        'Loan Tape (S&amp;P)'!T9031&lt;&gt;"Yes",
        DATEDIF('Loan Tape (S&amp;P)'!K9031, TODAY(), "M")&lt;18),
    1.10,
    1.00)</f>
        <v/>
      </c>
      <c r="O9031">
        <f>IF('Loan Tape (S&amp;P)'!T9031="Yes",
    1.35,
    1.00)</f>
        <v/>
      </c>
      <c r="P9031">
        <f>IF('Loan Tape (S&amp;P)'!S9031="Yes",
    1.15,
    1.00)</f>
        <v/>
      </c>
      <c r="Q9031">
        <f>IF('Loan Tape (S&amp;P)'!V9031="Yes",
    1.20,
    1.00)</f>
        <v/>
      </c>
      <c r="T9031">
        <f>LET(
    payment_method,'Loan Tape (S&amp;P)'!P9031,
    occupancy,'Loan Tape (S&amp;P)'!N9031,
    maturity_date,'Loan Tape (S&amp;P)'!L9031,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32">
      <c r="J9032">
        <f>LET(
    lien,'Loan Tape (S&amp;P)'!Q9032,
    IF(lien="First",1.00,
        IF(lien="Second",1.50,
            1.70)))</f>
        <v/>
      </c>
      <c r="K9032">
        <f>LET(
    purpose,'Loan Tape (S&amp;P)'!R9032,
    IF(purpose="Purchase",1.00,
        IF(purpose="Remortgage",1.00,
            1.20)))</f>
        <v/>
      </c>
      <c r="L9032">
        <f>LET(
    arrears_months,'Loan Tape (S&amp;P)'!AN9032,
    IF(arrears_months=0,1.00,
    IF(arrears_months=1,3.00,
    IF(arrears_months=2,5.00,
    IF(arrears_months=3,8.00,
    IF(arrears_months=4,10.00,
    IF(arrears_months=5,12.00,15.00)))))))</f>
        <v/>
      </c>
      <c r="M9032">
        <f>LET(
    seasoning_years,DATEDIF('Loan Tape (S&amp;P)'!K9032,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32">
        <f>IF(AND('Loan Tape (S&amp;P)'!U9032="Yes",
        'Loan Tape (S&amp;P)'!T9032&lt;&gt;"Yes",
        DATEDIF('Loan Tape (S&amp;P)'!K9032, TODAY(), "M")&lt;18),
    1.10,
    1.00)</f>
        <v/>
      </c>
      <c r="O9032">
        <f>IF('Loan Tape (S&amp;P)'!T9032="Yes",
    1.35,
    1.00)</f>
        <v/>
      </c>
      <c r="P9032">
        <f>IF('Loan Tape (S&amp;P)'!S9032="Yes",
    1.15,
    1.00)</f>
        <v/>
      </c>
      <c r="Q9032">
        <f>IF('Loan Tape (S&amp;P)'!V9032="Yes",
    1.20,
    1.00)</f>
        <v/>
      </c>
      <c r="T9032">
        <f>LET(
    payment_method,'Loan Tape (S&amp;P)'!P9032,
    occupancy,'Loan Tape (S&amp;P)'!N9032,
    maturity_date,'Loan Tape (S&amp;P)'!L9032,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33">
      <c r="J9033">
        <f>LET(
    lien,'Loan Tape (S&amp;P)'!Q9033,
    IF(lien="First",1.00,
        IF(lien="Second",1.50,
            1.70)))</f>
        <v/>
      </c>
      <c r="K9033">
        <f>LET(
    purpose,'Loan Tape (S&amp;P)'!R9033,
    IF(purpose="Purchase",1.00,
        IF(purpose="Remortgage",1.00,
            1.20)))</f>
        <v/>
      </c>
      <c r="L9033">
        <f>LET(
    arrears_months,'Loan Tape (S&amp;P)'!AN9033,
    IF(arrears_months=0,1.00,
    IF(arrears_months=1,3.00,
    IF(arrears_months=2,5.00,
    IF(arrears_months=3,8.00,
    IF(arrears_months=4,10.00,
    IF(arrears_months=5,12.00,15.00)))))))</f>
        <v/>
      </c>
      <c r="M9033">
        <f>LET(
    seasoning_years,DATEDIF('Loan Tape (S&amp;P)'!K9033,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33">
        <f>IF(AND('Loan Tape (S&amp;P)'!U9033="Yes",
        'Loan Tape (S&amp;P)'!T9033&lt;&gt;"Yes",
        DATEDIF('Loan Tape (S&amp;P)'!K9033, TODAY(), "M")&lt;18),
    1.10,
    1.00)</f>
        <v/>
      </c>
      <c r="O9033">
        <f>IF('Loan Tape (S&amp;P)'!T9033="Yes",
    1.35,
    1.00)</f>
        <v/>
      </c>
      <c r="P9033">
        <f>IF('Loan Tape (S&amp;P)'!S9033="Yes",
    1.15,
    1.00)</f>
        <v/>
      </c>
      <c r="Q9033">
        <f>IF('Loan Tape (S&amp;P)'!V9033="Yes",
    1.20,
    1.00)</f>
        <v/>
      </c>
      <c r="T9033">
        <f>LET(
    payment_method,'Loan Tape (S&amp;P)'!P9033,
    occupancy,'Loan Tape (S&amp;P)'!N9033,
    maturity_date,'Loan Tape (S&amp;P)'!L9033,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34">
      <c r="J9034">
        <f>LET(
    lien,'Loan Tape (S&amp;P)'!Q9034,
    IF(lien="First",1.00,
        IF(lien="Second",1.50,
            1.70)))</f>
        <v/>
      </c>
      <c r="K9034">
        <f>LET(
    purpose,'Loan Tape (S&amp;P)'!R9034,
    IF(purpose="Purchase",1.00,
        IF(purpose="Remortgage",1.00,
            1.20)))</f>
        <v/>
      </c>
      <c r="L9034">
        <f>LET(
    arrears_months,'Loan Tape (S&amp;P)'!AN9034,
    IF(arrears_months=0,1.00,
    IF(arrears_months=1,3.00,
    IF(arrears_months=2,5.00,
    IF(arrears_months=3,8.00,
    IF(arrears_months=4,10.00,
    IF(arrears_months=5,12.00,15.00)))))))</f>
        <v/>
      </c>
      <c r="M9034">
        <f>LET(
    seasoning_years,DATEDIF('Loan Tape (S&amp;P)'!K9034,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34">
        <f>IF(AND('Loan Tape (S&amp;P)'!U9034="Yes",
        'Loan Tape (S&amp;P)'!T9034&lt;&gt;"Yes",
        DATEDIF('Loan Tape (S&amp;P)'!K9034, TODAY(), "M")&lt;18),
    1.10,
    1.00)</f>
        <v/>
      </c>
      <c r="O9034">
        <f>IF('Loan Tape (S&amp;P)'!T9034="Yes",
    1.35,
    1.00)</f>
        <v/>
      </c>
      <c r="P9034">
        <f>IF('Loan Tape (S&amp;P)'!S9034="Yes",
    1.15,
    1.00)</f>
        <v/>
      </c>
      <c r="Q9034">
        <f>IF('Loan Tape (S&amp;P)'!V9034="Yes",
    1.20,
    1.00)</f>
        <v/>
      </c>
      <c r="T9034">
        <f>LET(
    payment_method,'Loan Tape (S&amp;P)'!P9034,
    occupancy,'Loan Tape (S&amp;P)'!N9034,
    maturity_date,'Loan Tape (S&amp;P)'!L9034,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35">
      <c r="J9035">
        <f>LET(
    lien,'Loan Tape (S&amp;P)'!Q9035,
    IF(lien="First",1.00,
        IF(lien="Second",1.50,
            1.70)))</f>
        <v/>
      </c>
      <c r="K9035">
        <f>LET(
    purpose,'Loan Tape (S&amp;P)'!R9035,
    IF(purpose="Purchase",1.00,
        IF(purpose="Remortgage",1.00,
            1.20)))</f>
        <v/>
      </c>
      <c r="L9035">
        <f>LET(
    arrears_months,'Loan Tape (S&amp;P)'!AN9035,
    IF(arrears_months=0,1.00,
    IF(arrears_months=1,3.00,
    IF(arrears_months=2,5.00,
    IF(arrears_months=3,8.00,
    IF(arrears_months=4,10.00,
    IF(arrears_months=5,12.00,15.00)))))))</f>
        <v/>
      </c>
      <c r="M9035">
        <f>LET(
    seasoning_years,DATEDIF('Loan Tape (S&amp;P)'!K9035,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35">
        <f>IF(AND('Loan Tape (S&amp;P)'!U9035="Yes",
        'Loan Tape (S&amp;P)'!T9035&lt;&gt;"Yes",
        DATEDIF('Loan Tape (S&amp;P)'!K9035, TODAY(), "M")&lt;18),
    1.10,
    1.00)</f>
        <v/>
      </c>
      <c r="O9035">
        <f>IF('Loan Tape (S&amp;P)'!T9035="Yes",
    1.35,
    1.00)</f>
        <v/>
      </c>
      <c r="P9035">
        <f>IF('Loan Tape (S&amp;P)'!S9035="Yes",
    1.15,
    1.00)</f>
        <v/>
      </c>
      <c r="Q9035">
        <f>IF('Loan Tape (S&amp;P)'!V9035="Yes",
    1.20,
    1.00)</f>
        <v/>
      </c>
      <c r="T9035">
        <f>LET(
    payment_method,'Loan Tape (S&amp;P)'!P9035,
    occupancy,'Loan Tape (S&amp;P)'!N9035,
    maturity_date,'Loan Tape (S&amp;P)'!L9035,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36">
      <c r="J9036">
        <f>LET(
    lien,'Loan Tape (S&amp;P)'!Q9036,
    IF(lien="First",1.00,
        IF(lien="Second",1.50,
            1.70)))</f>
        <v/>
      </c>
      <c r="K9036">
        <f>LET(
    purpose,'Loan Tape (S&amp;P)'!R9036,
    IF(purpose="Purchase",1.00,
        IF(purpose="Remortgage",1.00,
            1.20)))</f>
        <v/>
      </c>
      <c r="L9036">
        <f>LET(
    arrears_months,'Loan Tape (S&amp;P)'!AN9036,
    IF(arrears_months=0,1.00,
    IF(arrears_months=1,3.00,
    IF(arrears_months=2,5.00,
    IF(arrears_months=3,8.00,
    IF(arrears_months=4,10.00,
    IF(arrears_months=5,12.00,15.00)))))))</f>
        <v/>
      </c>
      <c r="M9036">
        <f>LET(
    seasoning_years,DATEDIF('Loan Tape (S&amp;P)'!K9036,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36">
        <f>IF(AND('Loan Tape (S&amp;P)'!U9036="Yes",
        'Loan Tape (S&amp;P)'!T9036&lt;&gt;"Yes",
        DATEDIF('Loan Tape (S&amp;P)'!K9036, TODAY(), "M")&lt;18),
    1.10,
    1.00)</f>
        <v/>
      </c>
      <c r="O9036">
        <f>IF('Loan Tape (S&amp;P)'!T9036="Yes",
    1.35,
    1.00)</f>
        <v/>
      </c>
      <c r="P9036">
        <f>IF('Loan Tape (S&amp;P)'!S9036="Yes",
    1.15,
    1.00)</f>
        <v/>
      </c>
      <c r="Q9036">
        <f>IF('Loan Tape (S&amp;P)'!V9036="Yes",
    1.20,
    1.00)</f>
        <v/>
      </c>
      <c r="T9036">
        <f>LET(
    payment_method,'Loan Tape (S&amp;P)'!P9036,
    occupancy,'Loan Tape (S&amp;P)'!N9036,
    maturity_date,'Loan Tape (S&amp;P)'!L9036,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37">
      <c r="J9037">
        <f>LET(
    lien,'Loan Tape (S&amp;P)'!Q9037,
    IF(lien="First",1.00,
        IF(lien="Second",1.50,
            1.70)))</f>
        <v/>
      </c>
      <c r="K9037">
        <f>LET(
    purpose,'Loan Tape (S&amp;P)'!R9037,
    IF(purpose="Purchase",1.00,
        IF(purpose="Remortgage",1.00,
            1.20)))</f>
        <v/>
      </c>
      <c r="L9037">
        <f>LET(
    arrears_months,'Loan Tape (S&amp;P)'!AN9037,
    IF(arrears_months=0,1.00,
    IF(arrears_months=1,3.00,
    IF(arrears_months=2,5.00,
    IF(arrears_months=3,8.00,
    IF(arrears_months=4,10.00,
    IF(arrears_months=5,12.00,15.00)))))))</f>
        <v/>
      </c>
      <c r="M9037">
        <f>LET(
    seasoning_years,DATEDIF('Loan Tape (S&amp;P)'!K9037,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37">
        <f>IF(AND('Loan Tape (S&amp;P)'!U9037="Yes",
        'Loan Tape (S&amp;P)'!T9037&lt;&gt;"Yes",
        DATEDIF('Loan Tape (S&amp;P)'!K9037, TODAY(), "M")&lt;18),
    1.10,
    1.00)</f>
        <v/>
      </c>
      <c r="O9037">
        <f>IF('Loan Tape (S&amp;P)'!T9037="Yes",
    1.35,
    1.00)</f>
        <v/>
      </c>
      <c r="P9037">
        <f>IF('Loan Tape (S&amp;P)'!S9037="Yes",
    1.15,
    1.00)</f>
        <v/>
      </c>
      <c r="Q9037">
        <f>IF('Loan Tape (S&amp;P)'!V9037="Yes",
    1.20,
    1.00)</f>
        <v/>
      </c>
      <c r="T9037">
        <f>LET(
    payment_method,'Loan Tape (S&amp;P)'!P9037,
    occupancy,'Loan Tape (S&amp;P)'!N9037,
    maturity_date,'Loan Tape (S&amp;P)'!L9037,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38">
      <c r="J9038">
        <f>LET(
    lien,'Loan Tape (S&amp;P)'!Q9038,
    IF(lien="First",1.00,
        IF(lien="Second",1.50,
            1.70)))</f>
        <v/>
      </c>
      <c r="K9038">
        <f>LET(
    purpose,'Loan Tape (S&amp;P)'!R9038,
    IF(purpose="Purchase",1.00,
        IF(purpose="Remortgage",1.00,
            1.20)))</f>
        <v/>
      </c>
      <c r="L9038">
        <f>LET(
    arrears_months,'Loan Tape (S&amp;P)'!AN9038,
    IF(arrears_months=0,1.00,
    IF(arrears_months=1,3.00,
    IF(arrears_months=2,5.00,
    IF(arrears_months=3,8.00,
    IF(arrears_months=4,10.00,
    IF(arrears_months=5,12.00,15.00)))))))</f>
        <v/>
      </c>
      <c r="M9038">
        <f>LET(
    seasoning_years,DATEDIF('Loan Tape (S&amp;P)'!K9038,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38">
        <f>IF(AND('Loan Tape (S&amp;P)'!U9038="Yes",
        'Loan Tape (S&amp;P)'!T9038&lt;&gt;"Yes",
        DATEDIF('Loan Tape (S&amp;P)'!K9038, TODAY(), "M")&lt;18),
    1.10,
    1.00)</f>
        <v/>
      </c>
      <c r="O9038">
        <f>IF('Loan Tape (S&amp;P)'!T9038="Yes",
    1.35,
    1.00)</f>
        <v/>
      </c>
      <c r="P9038">
        <f>IF('Loan Tape (S&amp;P)'!S9038="Yes",
    1.15,
    1.00)</f>
        <v/>
      </c>
      <c r="Q9038">
        <f>IF('Loan Tape (S&amp;P)'!V9038="Yes",
    1.20,
    1.00)</f>
        <v/>
      </c>
      <c r="T9038">
        <f>LET(
    payment_method,'Loan Tape (S&amp;P)'!P9038,
    occupancy,'Loan Tape (S&amp;P)'!N9038,
    maturity_date,'Loan Tape (S&amp;P)'!L9038,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39">
      <c r="J9039">
        <f>LET(
    lien,'Loan Tape (S&amp;P)'!Q9039,
    IF(lien="First",1.00,
        IF(lien="Second",1.50,
            1.70)))</f>
        <v/>
      </c>
      <c r="K9039">
        <f>LET(
    purpose,'Loan Tape (S&amp;P)'!R9039,
    IF(purpose="Purchase",1.00,
        IF(purpose="Remortgage",1.00,
            1.20)))</f>
        <v/>
      </c>
      <c r="L9039">
        <f>LET(
    arrears_months,'Loan Tape (S&amp;P)'!AN9039,
    IF(arrears_months=0,1.00,
    IF(arrears_months=1,3.00,
    IF(arrears_months=2,5.00,
    IF(arrears_months=3,8.00,
    IF(arrears_months=4,10.00,
    IF(arrears_months=5,12.00,15.00)))))))</f>
        <v/>
      </c>
      <c r="M9039">
        <f>LET(
    seasoning_years,DATEDIF('Loan Tape (S&amp;P)'!K9039,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39">
        <f>IF(AND('Loan Tape (S&amp;P)'!U9039="Yes",
        'Loan Tape (S&amp;P)'!T9039&lt;&gt;"Yes",
        DATEDIF('Loan Tape (S&amp;P)'!K9039, TODAY(), "M")&lt;18),
    1.10,
    1.00)</f>
        <v/>
      </c>
      <c r="O9039">
        <f>IF('Loan Tape (S&amp;P)'!T9039="Yes",
    1.35,
    1.00)</f>
        <v/>
      </c>
      <c r="P9039">
        <f>IF('Loan Tape (S&amp;P)'!S9039="Yes",
    1.15,
    1.00)</f>
        <v/>
      </c>
      <c r="Q9039">
        <f>IF('Loan Tape (S&amp;P)'!V9039="Yes",
    1.20,
    1.00)</f>
        <v/>
      </c>
      <c r="T9039">
        <f>LET(
    payment_method,'Loan Tape (S&amp;P)'!P9039,
    occupancy,'Loan Tape (S&amp;P)'!N9039,
    maturity_date,'Loan Tape (S&amp;P)'!L9039,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40">
      <c r="J9040">
        <f>LET(
    lien,'Loan Tape (S&amp;P)'!Q9040,
    IF(lien="First",1.00,
        IF(lien="Second",1.50,
            1.70)))</f>
        <v/>
      </c>
      <c r="K9040">
        <f>LET(
    purpose,'Loan Tape (S&amp;P)'!R9040,
    IF(purpose="Purchase",1.00,
        IF(purpose="Remortgage",1.00,
            1.20)))</f>
        <v/>
      </c>
      <c r="L9040">
        <f>LET(
    arrears_months,'Loan Tape (S&amp;P)'!AN9040,
    IF(arrears_months=0,1.00,
    IF(arrears_months=1,3.00,
    IF(arrears_months=2,5.00,
    IF(arrears_months=3,8.00,
    IF(arrears_months=4,10.00,
    IF(arrears_months=5,12.00,15.00)))))))</f>
        <v/>
      </c>
      <c r="M9040">
        <f>LET(
    seasoning_years,DATEDIF('Loan Tape (S&amp;P)'!K9040,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40">
        <f>IF(AND('Loan Tape (S&amp;P)'!U9040="Yes",
        'Loan Tape (S&amp;P)'!T9040&lt;&gt;"Yes",
        DATEDIF('Loan Tape (S&amp;P)'!K9040, TODAY(), "M")&lt;18),
    1.10,
    1.00)</f>
        <v/>
      </c>
      <c r="O9040">
        <f>IF('Loan Tape (S&amp;P)'!T9040="Yes",
    1.35,
    1.00)</f>
        <v/>
      </c>
      <c r="P9040">
        <f>IF('Loan Tape (S&amp;P)'!S9040="Yes",
    1.15,
    1.00)</f>
        <v/>
      </c>
      <c r="Q9040">
        <f>IF('Loan Tape (S&amp;P)'!V9040="Yes",
    1.20,
    1.00)</f>
        <v/>
      </c>
      <c r="T9040">
        <f>LET(
    payment_method,'Loan Tape (S&amp;P)'!P9040,
    occupancy,'Loan Tape (S&amp;P)'!N9040,
    maturity_date,'Loan Tape (S&amp;P)'!L9040,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41">
      <c r="J9041">
        <f>LET(
    lien,'Loan Tape (S&amp;P)'!Q9041,
    IF(lien="First",1.00,
        IF(lien="Second",1.50,
            1.70)))</f>
        <v/>
      </c>
      <c r="K9041">
        <f>LET(
    purpose,'Loan Tape (S&amp;P)'!R9041,
    IF(purpose="Purchase",1.00,
        IF(purpose="Remortgage",1.00,
            1.20)))</f>
        <v/>
      </c>
      <c r="L9041">
        <f>LET(
    arrears_months,'Loan Tape (S&amp;P)'!AN9041,
    IF(arrears_months=0,1.00,
    IF(arrears_months=1,3.00,
    IF(arrears_months=2,5.00,
    IF(arrears_months=3,8.00,
    IF(arrears_months=4,10.00,
    IF(arrears_months=5,12.00,15.00)))))))</f>
        <v/>
      </c>
      <c r="M9041">
        <f>LET(
    seasoning_years,DATEDIF('Loan Tape (S&amp;P)'!K9041,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41">
        <f>IF(AND('Loan Tape (S&amp;P)'!U9041="Yes",
        'Loan Tape (S&amp;P)'!T9041&lt;&gt;"Yes",
        DATEDIF('Loan Tape (S&amp;P)'!K9041, TODAY(), "M")&lt;18),
    1.10,
    1.00)</f>
        <v/>
      </c>
      <c r="O9041">
        <f>IF('Loan Tape (S&amp;P)'!T9041="Yes",
    1.35,
    1.00)</f>
        <v/>
      </c>
      <c r="P9041">
        <f>IF('Loan Tape (S&amp;P)'!S9041="Yes",
    1.15,
    1.00)</f>
        <v/>
      </c>
      <c r="Q9041">
        <f>IF('Loan Tape (S&amp;P)'!V9041="Yes",
    1.20,
    1.00)</f>
        <v/>
      </c>
      <c r="T9041">
        <f>LET(
    payment_method,'Loan Tape (S&amp;P)'!P9041,
    occupancy,'Loan Tape (S&amp;P)'!N9041,
    maturity_date,'Loan Tape (S&amp;P)'!L9041,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42">
      <c r="J9042">
        <f>LET(
    lien,'Loan Tape (S&amp;P)'!Q9042,
    IF(lien="First",1.00,
        IF(lien="Second",1.50,
            1.70)))</f>
        <v/>
      </c>
      <c r="K9042">
        <f>LET(
    purpose,'Loan Tape (S&amp;P)'!R9042,
    IF(purpose="Purchase",1.00,
        IF(purpose="Remortgage",1.00,
            1.20)))</f>
        <v/>
      </c>
      <c r="L9042">
        <f>LET(
    arrears_months,'Loan Tape (S&amp;P)'!AN9042,
    IF(arrears_months=0,1.00,
    IF(arrears_months=1,3.00,
    IF(arrears_months=2,5.00,
    IF(arrears_months=3,8.00,
    IF(arrears_months=4,10.00,
    IF(arrears_months=5,12.00,15.00)))))))</f>
        <v/>
      </c>
      <c r="M9042">
        <f>LET(
    seasoning_years,DATEDIF('Loan Tape (S&amp;P)'!K9042,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42">
        <f>IF(AND('Loan Tape (S&amp;P)'!U9042="Yes",
        'Loan Tape (S&amp;P)'!T9042&lt;&gt;"Yes",
        DATEDIF('Loan Tape (S&amp;P)'!K9042, TODAY(), "M")&lt;18),
    1.10,
    1.00)</f>
        <v/>
      </c>
      <c r="O9042">
        <f>IF('Loan Tape (S&amp;P)'!T9042="Yes",
    1.35,
    1.00)</f>
        <v/>
      </c>
      <c r="P9042">
        <f>IF('Loan Tape (S&amp;P)'!S9042="Yes",
    1.15,
    1.00)</f>
        <v/>
      </c>
      <c r="Q9042">
        <f>IF('Loan Tape (S&amp;P)'!V9042="Yes",
    1.20,
    1.00)</f>
        <v/>
      </c>
      <c r="T9042">
        <f>LET(
    payment_method,'Loan Tape (S&amp;P)'!P9042,
    occupancy,'Loan Tape (S&amp;P)'!N9042,
    maturity_date,'Loan Tape (S&amp;P)'!L9042,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43">
      <c r="J9043">
        <f>LET(
    lien,'Loan Tape (S&amp;P)'!Q9043,
    IF(lien="First",1.00,
        IF(lien="Second",1.50,
            1.70)))</f>
        <v/>
      </c>
      <c r="K9043">
        <f>LET(
    purpose,'Loan Tape (S&amp;P)'!R9043,
    IF(purpose="Purchase",1.00,
        IF(purpose="Remortgage",1.00,
            1.20)))</f>
        <v/>
      </c>
      <c r="L9043">
        <f>LET(
    arrears_months,'Loan Tape (S&amp;P)'!AN9043,
    IF(arrears_months=0,1.00,
    IF(arrears_months=1,3.00,
    IF(arrears_months=2,5.00,
    IF(arrears_months=3,8.00,
    IF(arrears_months=4,10.00,
    IF(arrears_months=5,12.00,15.00)))))))</f>
        <v/>
      </c>
      <c r="M9043">
        <f>LET(
    seasoning_years,DATEDIF('Loan Tape (S&amp;P)'!K9043,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43">
        <f>IF(AND('Loan Tape (S&amp;P)'!U9043="Yes",
        'Loan Tape (S&amp;P)'!T9043&lt;&gt;"Yes",
        DATEDIF('Loan Tape (S&amp;P)'!K9043, TODAY(), "M")&lt;18),
    1.10,
    1.00)</f>
        <v/>
      </c>
      <c r="O9043">
        <f>IF('Loan Tape (S&amp;P)'!T9043="Yes",
    1.35,
    1.00)</f>
        <v/>
      </c>
      <c r="P9043">
        <f>IF('Loan Tape (S&amp;P)'!S9043="Yes",
    1.15,
    1.00)</f>
        <v/>
      </c>
      <c r="Q9043">
        <f>IF('Loan Tape (S&amp;P)'!V9043="Yes",
    1.20,
    1.00)</f>
        <v/>
      </c>
      <c r="T9043">
        <f>LET(
    payment_method,'Loan Tape (S&amp;P)'!P9043,
    occupancy,'Loan Tape (S&amp;P)'!N9043,
    maturity_date,'Loan Tape (S&amp;P)'!L9043,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44">
      <c r="J9044">
        <f>LET(
    lien,'Loan Tape (S&amp;P)'!Q9044,
    IF(lien="First",1.00,
        IF(lien="Second",1.50,
            1.70)))</f>
        <v/>
      </c>
      <c r="K9044">
        <f>LET(
    purpose,'Loan Tape (S&amp;P)'!R9044,
    IF(purpose="Purchase",1.00,
        IF(purpose="Remortgage",1.00,
            1.20)))</f>
        <v/>
      </c>
      <c r="L9044">
        <f>LET(
    arrears_months,'Loan Tape (S&amp;P)'!AN9044,
    IF(arrears_months=0,1.00,
    IF(arrears_months=1,3.00,
    IF(arrears_months=2,5.00,
    IF(arrears_months=3,8.00,
    IF(arrears_months=4,10.00,
    IF(arrears_months=5,12.00,15.00)))))))</f>
        <v/>
      </c>
      <c r="M9044">
        <f>LET(
    seasoning_years,DATEDIF('Loan Tape (S&amp;P)'!K9044,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44">
        <f>IF(AND('Loan Tape (S&amp;P)'!U9044="Yes",
        'Loan Tape (S&amp;P)'!T9044&lt;&gt;"Yes",
        DATEDIF('Loan Tape (S&amp;P)'!K9044, TODAY(), "M")&lt;18),
    1.10,
    1.00)</f>
        <v/>
      </c>
      <c r="O9044">
        <f>IF('Loan Tape (S&amp;P)'!T9044="Yes",
    1.35,
    1.00)</f>
        <v/>
      </c>
      <c r="P9044">
        <f>IF('Loan Tape (S&amp;P)'!S9044="Yes",
    1.15,
    1.00)</f>
        <v/>
      </c>
      <c r="Q9044">
        <f>IF('Loan Tape (S&amp;P)'!V9044="Yes",
    1.20,
    1.00)</f>
        <v/>
      </c>
      <c r="T9044">
        <f>LET(
    payment_method,'Loan Tape (S&amp;P)'!P9044,
    occupancy,'Loan Tape (S&amp;P)'!N9044,
    maturity_date,'Loan Tape (S&amp;P)'!L9044,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45">
      <c r="J9045">
        <f>LET(
    lien,'Loan Tape (S&amp;P)'!Q9045,
    IF(lien="First",1.00,
        IF(lien="Second",1.50,
            1.70)))</f>
        <v/>
      </c>
      <c r="K9045">
        <f>LET(
    purpose,'Loan Tape (S&amp;P)'!R9045,
    IF(purpose="Purchase",1.00,
        IF(purpose="Remortgage",1.00,
            1.20)))</f>
        <v/>
      </c>
      <c r="L9045">
        <f>LET(
    arrears_months,'Loan Tape (S&amp;P)'!AN9045,
    IF(arrears_months=0,1.00,
    IF(arrears_months=1,3.00,
    IF(arrears_months=2,5.00,
    IF(arrears_months=3,8.00,
    IF(arrears_months=4,10.00,
    IF(arrears_months=5,12.00,15.00)))))))</f>
        <v/>
      </c>
      <c r="M9045">
        <f>LET(
    seasoning_years,DATEDIF('Loan Tape (S&amp;P)'!K9045,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45">
        <f>IF(AND('Loan Tape (S&amp;P)'!U9045="Yes",
        'Loan Tape (S&amp;P)'!T9045&lt;&gt;"Yes",
        DATEDIF('Loan Tape (S&amp;P)'!K9045, TODAY(), "M")&lt;18),
    1.10,
    1.00)</f>
        <v/>
      </c>
      <c r="O9045">
        <f>IF('Loan Tape (S&amp;P)'!T9045="Yes",
    1.35,
    1.00)</f>
        <v/>
      </c>
      <c r="P9045">
        <f>IF('Loan Tape (S&amp;P)'!S9045="Yes",
    1.15,
    1.00)</f>
        <v/>
      </c>
      <c r="Q9045">
        <f>IF('Loan Tape (S&amp;P)'!V9045="Yes",
    1.20,
    1.00)</f>
        <v/>
      </c>
      <c r="T9045">
        <f>LET(
    payment_method,'Loan Tape (S&amp;P)'!P9045,
    occupancy,'Loan Tape (S&amp;P)'!N9045,
    maturity_date,'Loan Tape (S&amp;P)'!L9045,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46">
      <c r="J9046">
        <f>LET(
    lien,'Loan Tape (S&amp;P)'!Q9046,
    IF(lien="First",1.00,
        IF(lien="Second",1.50,
            1.70)))</f>
        <v/>
      </c>
      <c r="K9046">
        <f>LET(
    purpose,'Loan Tape (S&amp;P)'!R9046,
    IF(purpose="Purchase",1.00,
        IF(purpose="Remortgage",1.00,
            1.20)))</f>
        <v/>
      </c>
      <c r="L9046">
        <f>LET(
    arrears_months,'Loan Tape (S&amp;P)'!AN9046,
    IF(arrears_months=0,1.00,
    IF(arrears_months=1,3.00,
    IF(arrears_months=2,5.00,
    IF(arrears_months=3,8.00,
    IF(arrears_months=4,10.00,
    IF(arrears_months=5,12.00,15.00)))))))</f>
        <v/>
      </c>
      <c r="M9046">
        <f>LET(
    seasoning_years,DATEDIF('Loan Tape (S&amp;P)'!K9046,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46">
        <f>IF(AND('Loan Tape (S&amp;P)'!U9046="Yes",
        'Loan Tape (S&amp;P)'!T9046&lt;&gt;"Yes",
        DATEDIF('Loan Tape (S&amp;P)'!K9046, TODAY(), "M")&lt;18),
    1.10,
    1.00)</f>
        <v/>
      </c>
      <c r="O9046">
        <f>IF('Loan Tape (S&amp;P)'!T9046="Yes",
    1.35,
    1.00)</f>
        <v/>
      </c>
      <c r="P9046">
        <f>IF('Loan Tape (S&amp;P)'!S9046="Yes",
    1.15,
    1.00)</f>
        <v/>
      </c>
      <c r="Q9046">
        <f>IF('Loan Tape (S&amp;P)'!V9046="Yes",
    1.20,
    1.00)</f>
        <v/>
      </c>
      <c r="T9046">
        <f>LET(
    payment_method,'Loan Tape (S&amp;P)'!P9046,
    occupancy,'Loan Tape (S&amp;P)'!N9046,
    maturity_date,'Loan Tape (S&amp;P)'!L9046,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47">
      <c r="J9047">
        <f>LET(
    lien,'Loan Tape (S&amp;P)'!Q9047,
    IF(lien="First",1.00,
        IF(lien="Second",1.50,
            1.70)))</f>
        <v/>
      </c>
      <c r="K9047">
        <f>LET(
    purpose,'Loan Tape (S&amp;P)'!R9047,
    IF(purpose="Purchase",1.00,
        IF(purpose="Remortgage",1.00,
            1.20)))</f>
        <v/>
      </c>
      <c r="L9047">
        <f>LET(
    arrears_months,'Loan Tape (S&amp;P)'!AN9047,
    IF(arrears_months=0,1.00,
    IF(arrears_months=1,3.00,
    IF(arrears_months=2,5.00,
    IF(arrears_months=3,8.00,
    IF(arrears_months=4,10.00,
    IF(arrears_months=5,12.00,15.00)))))))</f>
        <v/>
      </c>
      <c r="M9047">
        <f>LET(
    seasoning_years,DATEDIF('Loan Tape (S&amp;P)'!K9047,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47">
        <f>IF(AND('Loan Tape (S&amp;P)'!U9047="Yes",
        'Loan Tape (S&amp;P)'!T9047&lt;&gt;"Yes",
        DATEDIF('Loan Tape (S&amp;P)'!K9047, TODAY(), "M")&lt;18),
    1.10,
    1.00)</f>
        <v/>
      </c>
      <c r="O9047">
        <f>IF('Loan Tape (S&amp;P)'!T9047="Yes",
    1.35,
    1.00)</f>
        <v/>
      </c>
      <c r="P9047">
        <f>IF('Loan Tape (S&amp;P)'!S9047="Yes",
    1.15,
    1.00)</f>
        <v/>
      </c>
      <c r="Q9047">
        <f>IF('Loan Tape (S&amp;P)'!V9047="Yes",
    1.20,
    1.00)</f>
        <v/>
      </c>
      <c r="T9047">
        <f>LET(
    payment_method,'Loan Tape (S&amp;P)'!P9047,
    occupancy,'Loan Tape (S&amp;P)'!N9047,
    maturity_date,'Loan Tape (S&amp;P)'!L9047,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48">
      <c r="J9048">
        <f>LET(
    lien,'Loan Tape (S&amp;P)'!Q9048,
    IF(lien="First",1.00,
        IF(lien="Second",1.50,
            1.70)))</f>
        <v/>
      </c>
      <c r="K9048">
        <f>LET(
    purpose,'Loan Tape (S&amp;P)'!R9048,
    IF(purpose="Purchase",1.00,
        IF(purpose="Remortgage",1.00,
            1.20)))</f>
        <v/>
      </c>
      <c r="L9048">
        <f>LET(
    arrears_months,'Loan Tape (S&amp;P)'!AN9048,
    IF(arrears_months=0,1.00,
    IF(arrears_months=1,3.00,
    IF(arrears_months=2,5.00,
    IF(arrears_months=3,8.00,
    IF(arrears_months=4,10.00,
    IF(arrears_months=5,12.00,15.00)))))))</f>
        <v/>
      </c>
      <c r="M9048">
        <f>LET(
    seasoning_years,DATEDIF('Loan Tape (S&amp;P)'!K9048,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48">
        <f>IF(AND('Loan Tape (S&amp;P)'!U9048="Yes",
        'Loan Tape (S&amp;P)'!T9048&lt;&gt;"Yes",
        DATEDIF('Loan Tape (S&amp;P)'!K9048, TODAY(), "M")&lt;18),
    1.10,
    1.00)</f>
        <v/>
      </c>
      <c r="O9048">
        <f>IF('Loan Tape (S&amp;P)'!T9048="Yes",
    1.35,
    1.00)</f>
        <v/>
      </c>
      <c r="P9048">
        <f>IF('Loan Tape (S&amp;P)'!S9048="Yes",
    1.15,
    1.00)</f>
        <v/>
      </c>
      <c r="Q9048">
        <f>IF('Loan Tape (S&amp;P)'!V9048="Yes",
    1.20,
    1.00)</f>
        <v/>
      </c>
      <c r="T9048">
        <f>LET(
    payment_method,'Loan Tape (S&amp;P)'!P9048,
    occupancy,'Loan Tape (S&amp;P)'!N9048,
    maturity_date,'Loan Tape (S&amp;P)'!L9048,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49">
      <c r="J9049">
        <f>LET(
    lien,'Loan Tape (S&amp;P)'!Q9049,
    IF(lien="First",1.00,
        IF(lien="Second",1.50,
            1.70)))</f>
        <v/>
      </c>
      <c r="K9049">
        <f>LET(
    purpose,'Loan Tape (S&amp;P)'!R9049,
    IF(purpose="Purchase",1.00,
        IF(purpose="Remortgage",1.00,
            1.20)))</f>
        <v/>
      </c>
      <c r="L9049">
        <f>LET(
    arrears_months,'Loan Tape (S&amp;P)'!AN9049,
    IF(arrears_months=0,1.00,
    IF(arrears_months=1,3.00,
    IF(arrears_months=2,5.00,
    IF(arrears_months=3,8.00,
    IF(arrears_months=4,10.00,
    IF(arrears_months=5,12.00,15.00)))))))</f>
        <v/>
      </c>
      <c r="M9049">
        <f>LET(
    seasoning_years,DATEDIF('Loan Tape (S&amp;P)'!K9049,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49">
        <f>IF(AND('Loan Tape (S&amp;P)'!U9049="Yes",
        'Loan Tape (S&amp;P)'!T9049&lt;&gt;"Yes",
        DATEDIF('Loan Tape (S&amp;P)'!K9049, TODAY(), "M")&lt;18),
    1.10,
    1.00)</f>
        <v/>
      </c>
      <c r="O9049">
        <f>IF('Loan Tape (S&amp;P)'!T9049="Yes",
    1.35,
    1.00)</f>
        <v/>
      </c>
      <c r="P9049">
        <f>IF('Loan Tape (S&amp;P)'!S9049="Yes",
    1.15,
    1.00)</f>
        <v/>
      </c>
      <c r="Q9049">
        <f>IF('Loan Tape (S&amp;P)'!V9049="Yes",
    1.20,
    1.00)</f>
        <v/>
      </c>
      <c r="T9049">
        <f>LET(
    payment_method,'Loan Tape (S&amp;P)'!P9049,
    occupancy,'Loan Tape (S&amp;P)'!N9049,
    maturity_date,'Loan Tape (S&amp;P)'!L9049,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50">
      <c r="J9050">
        <f>LET(
    lien,'Loan Tape (S&amp;P)'!Q9050,
    IF(lien="First",1.00,
        IF(lien="Second",1.50,
            1.70)))</f>
        <v/>
      </c>
      <c r="K9050">
        <f>LET(
    purpose,'Loan Tape (S&amp;P)'!R9050,
    IF(purpose="Purchase",1.00,
        IF(purpose="Remortgage",1.00,
            1.20)))</f>
        <v/>
      </c>
      <c r="L9050">
        <f>LET(
    arrears_months,'Loan Tape (S&amp;P)'!AN9050,
    IF(arrears_months=0,1.00,
    IF(arrears_months=1,3.00,
    IF(arrears_months=2,5.00,
    IF(arrears_months=3,8.00,
    IF(arrears_months=4,10.00,
    IF(arrears_months=5,12.00,15.00)))))))</f>
        <v/>
      </c>
      <c r="M9050">
        <f>LET(
    seasoning_years,DATEDIF('Loan Tape (S&amp;P)'!K9050,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50">
        <f>IF(AND('Loan Tape (S&amp;P)'!U9050="Yes",
        'Loan Tape (S&amp;P)'!T9050&lt;&gt;"Yes",
        DATEDIF('Loan Tape (S&amp;P)'!K9050, TODAY(), "M")&lt;18),
    1.10,
    1.00)</f>
        <v/>
      </c>
      <c r="O9050">
        <f>IF('Loan Tape (S&amp;P)'!T9050="Yes",
    1.35,
    1.00)</f>
        <v/>
      </c>
      <c r="P9050">
        <f>IF('Loan Tape (S&amp;P)'!S9050="Yes",
    1.15,
    1.00)</f>
        <v/>
      </c>
      <c r="Q9050">
        <f>IF('Loan Tape (S&amp;P)'!V9050="Yes",
    1.20,
    1.00)</f>
        <v/>
      </c>
      <c r="T9050">
        <f>LET(
    payment_method,'Loan Tape (S&amp;P)'!P9050,
    occupancy,'Loan Tape (S&amp;P)'!N9050,
    maturity_date,'Loan Tape (S&amp;P)'!L9050,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51">
      <c r="J9051">
        <f>LET(
    lien,'Loan Tape (S&amp;P)'!Q9051,
    IF(lien="First",1.00,
        IF(lien="Second",1.50,
            1.70)))</f>
        <v/>
      </c>
      <c r="K9051">
        <f>LET(
    purpose,'Loan Tape (S&amp;P)'!R9051,
    IF(purpose="Purchase",1.00,
        IF(purpose="Remortgage",1.00,
            1.20)))</f>
        <v/>
      </c>
      <c r="L9051">
        <f>LET(
    arrears_months,'Loan Tape (S&amp;P)'!AN9051,
    IF(arrears_months=0,1.00,
    IF(arrears_months=1,3.00,
    IF(arrears_months=2,5.00,
    IF(arrears_months=3,8.00,
    IF(arrears_months=4,10.00,
    IF(arrears_months=5,12.00,15.00)))))))</f>
        <v/>
      </c>
      <c r="M9051">
        <f>LET(
    seasoning_years,DATEDIF('Loan Tape (S&amp;P)'!K9051,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51">
        <f>IF(AND('Loan Tape (S&amp;P)'!U9051="Yes",
        'Loan Tape (S&amp;P)'!T9051&lt;&gt;"Yes",
        DATEDIF('Loan Tape (S&amp;P)'!K9051, TODAY(), "M")&lt;18),
    1.10,
    1.00)</f>
        <v/>
      </c>
      <c r="O9051">
        <f>IF('Loan Tape (S&amp;P)'!T9051="Yes",
    1.35,
    1.00)</f>
        <v/>
      </c>
      <c r="P9051">
        <f>IF('Loan Tape (S&amp;P)'!S9051="Yes",
    1.15,
    1.00)</f>
        <v/>
      </c>
      <c r="Q9051">
        <f>IF('Loan Tape (S&amp;P)'!V9051="Yes",
    1.20,
    1.00)</f>
        <v/>
      </c>
      <c r="T9051">
        <f>LET(
    payment_method,'Loan Tape (S&amp;P)'!P9051,
    occupancy,'Loan Tape (S&amp;P)'!N9051,
    maturity_date,'Loan Tape (S&amp;P)'!L9051,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52">
      <c r="J9052">
        <f>LET(
    lien,'Loan Tape (S&amp;P)'!Q9052,
    IF(lien="First",1.00,
        IF(lien="Second",1.50,
            1.70)))</f>
        <v/>
      </c>
      <c r="K9052">
        <f>LET(
    purpose,'Loan Tape (S&amp;P)'!R9052,
    IF(purpose="Purchase",1.00,
        IF(purpose="Remortgage",1.00,
            1.20)))</f>
        <v/>
      </c>
      <c r="L9052">
        <f>LET(
    arrears_months,'Loan Tape (S&amp;P)'!AN9052,
    IF(arrears_months=0,1.00,
    IF(arrears_months=1,3.00,
    IF(arrears_months=2,5.00,
    IF(arrears_months=3,8.00,
    IF(arrears_months=4,10.00,
    IF(arrears_months=5,12.00,15.00)))))))</f>
        <v/>
      </c>
      <c r="M9052">
        <f>LET(
    seasoning_years,DATEDIF('Loan Tape (S&amp;P)'!K9052,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52">
        <f>IF(AND('Loan Tape (S&amp;P)'!U9052="Yes",
        'Loan Tape (S&amp;P)'!T9052&lt;&gt;"Yes",
        DATEDIF('Loan Tape (S&amp;P)'!K9052, TODAY(), "M")&lt;18),
    1.10,
    1.00)</f>
        <v/>
      </c>
      <c r="O9052">
        <f>IF('Loan Tape (S&amp;P)'!T9052="Yes",
    1.35,
    1.00)</f>
        <v/>
      </c>
      <c r="P9052">
        <f>IF('Loan Tape (S&amp;P)'!S9052="Yes",
    1.15,
    1.00)</f>
        <v/>
      </c>
      <c r="Q9052">
        <f>IF('Loan Tape (S&amp;P)'!V9052="Yes",
    1.20,
    1.00)</f>
        <v/>
      </c>
      <c r="T9052">
        <f>LET(
    payment_method,'Loan Tape (S&amp;P)'!P9052,
    occupancy,'Loan Tape (S&amp;P)'!N9052,
    maturity_date,'Loan Tape (S&amp;P)'!L9052,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53">
      <c r="J9053">
        <f>LET(
    lien,'Loan Tape (S&amp;P)'!Q9053,
    IF(lien="First",1.00,
        IF(lien="Second",1.50,
            1.70)))</f>
        <v/>
      </c>
      <c r="K9053">
        <f>LET(
    purpose,'Loan Tape (S&amp;P)'!R9053,
    IF(purpose="Purchase",1.00,
        IF(purpose="Remortgage",1.00,
            1.20)))</f>
        <v/>
      </c>
      <c r="L9053">
        <f>LET(
    arrears_months,'Loan Tape (S&amp;P)'!AN9053,
    IF(arrears_months=0,1.00,
    IF(arrears_months=1,3.00,
    IF(arrears_months=2,5.00,
    IF(arrears_months=3,8.00,
    IF(arrears_months=4,10.00,
    IF(arrears_months=5,12.00,15.00)))))))</f>
        <v/>
      </c>
      <c r="M9053">
        <f>LET(
    seasoning_years,DATEDIF('Loan Tape (S&amp;P)'!K9053,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53">
        <f>IF(AND('Loan Tape (S&amp;P)'!U9053="Yes",
        'Loan Tape (S&amp;P)'!T9053&lt;&gt;"Yes",
        DATEDIF('Loan Tape (S&amp;P)'!K9053, TODAY(), "M")&lt;18),
    1.10,
    1.00)</f>
        <v/>
      </c>
      <c r="O9053">
        <f>IF('Loan Tape (S&amp;P)'!T9053="Yes",
    1.35,
    1.00)</f>
        <v/>
      </c>
      <c r="P9053">
        <f>IF('Loan Tape (S&amp;P)'!S9053="Yes",
    1.15,
    1.00)</f>
        <v/>
      </c>
      <c r="Q9053">
        <f>IF('Loan Tape (S&amp;P)'!V9053="Yes",
    1.20,
    1.00)</f>
        <v/>
      </c>
      <c r="T9053">
        <f>LET(
    payment_method,'Loan Tape (S&amp;P)'!P9053,
    occupancy,'Loan Tape (S&amp;P)'!N9053,
    maturity_date,'Loan Tape (S&amp;P)'!L9053,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54">
      <c r="J9054">
        <f>LET(
    lien,'Loan Tape (S&amp;P)'!Q9054,
    IF(lien="First",1.00,
        IF(lien="Second",1.50,
            1.70)))</f>
        <v/>
      </c>
      <c r="K9054">
        <f>LET(
    purpose,'Loan Tape (S&amp;P)'!R9054,
    IF(purpose="Purchase",1.00,
        IF(purpose="Remortgage",1.00,
            1.20)))</f>
        <v/>
      </c>
      <c r="L9054">
        <f>LET(
    arrears_months,'Loan Tape (S&amp;P)'!AN9054,
    IF(arrears_months=0,1.00,
    IF(arrears_months=1,3.00,
    IF(arrears_months=2,5.00,
    IF(arrears_months=3,8.00,
    IF(arrears_months=4,10.00,
    IF(arrears_months=5,12.00,15.00)))))))</f>
        <v/>
      </c>
      <c r="M9054">
        <f>LET(
    seasoning_years,DATEDIF('Loan Tape (S&amp;P)'!K9054,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54">
        <f>IF(AND('Loan Tape (S&amp;P)'!U9054="Yes",
        'Loan Tape (S&amp;P)'!T9054&lt;&gt;"Yes",
        DATEDIF('Loan Tape (S&amp;P)'!K9054, TODAY(), "M")&lt;18),
    1.10,
    1.00)</f>
        <v/>
      </c>
      <c r="O9054">
        <f>IF('Loan Tape (S&amp;P)'!T9054="Yes",
    1.35,
    1.00)</f>
        <v/>
      </c>
      <c r="P9054">
        <f>IF('Loan Tape (S&amp;P)'!S9054="Yes",
    1.15,
    1.00)</f>
        <v/>
      </c>
      <c r="Q9054">
        <f>IF('Loan Tape (S&amp;P)'!V9054="Yes",
    1.20,
    1.00)</f>
        <v/>
      </c>
      <c r="T9054">
        <f>LET(
    payment_method,'Loan Tape (S&amp;P)'!P9054,
    occupancy,'Loan Tape (S&amp;P)'!N9054,
    maturity_date,'Loan Tape (S&amp;P)'!L9054,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55">
      <c r="J9055">
        <f>LET(
    lien,'Loan Tape (S&amp;P)'!Q9055,
    IF(lien="First",1.00,
        IF(lien="Second",1.50,
            1.70)))</f>
        <v/>
      </c>
      <c r="K9055">
        <f>LET(
    purpose,'Loan Tape (S&amp;P)'!R9055,
    IF(purpose="Purchase",1.00,
        IF(purpose="Remortgage",1.00,
            1.20)))</f>
        <v/>
      </c>
      <c r="L9055">
        <f>LET(
    arrears_months,'Loan Tape (S&amp;P)'!AN9055,
    IF(arrears_months=0,1.00,
    IF(arrears_months=1,3.00,
    IF(arrears_months=2,5.00,
    IF(arrears_months=3,8.00,
    IF(arrears_months=4,10.00,
    IF(arrears_months=5,12.00,15.00)))))))</f>
        <v/>
      </c>
      <c r="M9055">
        <f>LET(
    seasoning_years,DATEDIF('Loan Tape (S&amp;P)'!K9055,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55">
        <f>IF(AND('Loan Tape (S&amp;P)'!U9055="Yes",
        'Loan Tape (S&amp;P)'!T9055&lt;&gt;"Yes",
        DATEDIF('Loan Tape (S&amp;P)'!K9055, TODAY(), "M")&lt;18),
    1.10,
    1.00)</f>
        <v/>
      </c>
      <c r="O9055">
        <f>IF('Loan Tape (S&amp;P)'!T9055="Yes",
    1.35,
    1.00)</f>
        <v/>
      </c>
      <c r="P9055">
        <f>IF('Loan Tape (S&amp;P)'!S9055="Yes",
    1.15,
    1.00)</f>
        <v/>
      </c>
      <c r="Q9055">
        <f>IF('Loan Tape (S&amp;P)'!V9055="Yes",
    1.20,
    1.00)</f>
        <v/>
      </c>
      <c r="T9055">
        <f>LET(
    payment_method,'Loan Tape (S&amp;P)'!P9055,
    occupancy,'Loan Tape (S&amp;P)'!N9055,
    maturity_date,'Loan Tape (S&amp;P)'!L9055,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56">
      <c r="J9056">
        <f>LET(
    lien,'Loan Tape (S&amp;P)'!Q9056,
    IF(lien="First",1.00,
        IF(lien="Second",1.50,
            1.70)))</f>
        <v/>
      </c>
      <c r="K9056">
        <f>LET(
    purpose,'Loan Tape (S&amp;P)'!R9056,
    IF(purpose="Purchase",1.00,
        IF(purpose="Remortgage",1.00,
            1.20)))</f>
        <v/>
      </c>
      <c r="L9056">
        <f>LET(
    arrears_months,'Loan Tape (S&amp;P)'!AN9056,
    IF(arrears_months=0,1.00,
    IF(arrears_months=1,3.00,
    IF(arrears_months=2,5.00,
    IF(arrears_months=3,8.00,
    IF(arrears_months=4,10.00,
    IF(arrears_months=5,12.00,15.00)))))))</f>
        <v/>
      </c>
      <c r="M9056">
        <f>LET(
    seasoning_years,DATEDIF('Loan Tape (S&amp;P)'!K9056,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56">
        <f>IF(AND('Loan Tape (S&amp;P)'!U9056="Yes",
        'Loan Tape (S&amp;P)'!T9056&lt;&gt;"Yes",
        DATEDIF('Loan Tape (S&amp;P)'!K9056, TODAY(), "M")&lt;18),
    1.10,
    1.00)</f>
        <v/>
      </c>
      <c r="O9056">
        <f>IF('Loan Tape (S&amp;P)'!T9056="Yes",
    1.35,
    1.00)</f>
        <v/>
      </c>
      <c r="P9056">
        <f>IF('Loan Tape (S&amp;P)'!S9056="Yes",
    1.15,
    1.00)</f>
        <v/>
      </c>
      <c r="Q9056">
        <f>IF('Loan Tape (S&amp;P)'!V9056="Yes",
    1.20,
    1.00)</f>
        <v/>
      </c>
      <c r="T9056">
        <f>LET(
    payment_method,'Loan Tape (S&amp;P)'!P9056,
    occupancy,'Loan Tape (S&amp;P)'!N9056,
    maturity_date,'Loan Tape (S&amp;P)'!L9056,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57">
      <c r="J9057">
        <f>LET(
    lien,'Loan Tape (S&amp;P)'!Q9057,
    IF(lien="First",1.00,
        IF(lien="Second",1.50,
            1.70)))</f>
        <v/>
      </c>
      <c r="K9057">
        <f>LET(
    purpose,'Loan Tape (S&amp;P)'!R9057,
    IF(purpose="Purchase",1.00,
        IF(purpose="Remortgage",1.00,
            1.20)))</f>
        <v/>
      </c>
      <c r="L9057">
        <f>LET(
    arrears_months,'Loan Tape (S&amp;P)'!AN9057,
    IF(arrears_months=0,1.00,
    IF(arrears_months=1,3.00,
    IF(arrears_months=2,5.00,
    IF(arrears_months=3,8.00,
    IF(arrears_months=4,10.00,
    IF(arrears_months=5,12.00,15.00)))))))</f>
        <v/>
      </c>
      <c r="M9057">
        <f>LET(
    seasoning_years,DATEDIF('Loan Tape (S&amp;P)'!K9057,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57">
        <f>IF(AND('Loan Tape (S&amp;P)'!U9057="Yes",
        'Loan Tape (S&amp;P)'!T9057&lt;&gt;"Yes",
        DATEDIF('Loan Tape (S&amp;P)'!K9057, TODAY(), "M")&lt;18),
    1.10,
    1.00)</f>
        <v/>
      </c>
      <c r="O9057">
        <f>IF('Loan Tape (S&amp;P)'!T9057="Yes",
    1.35,
    1.00)</f>
        <v/>
      </c>
      <c r="P9057">
        <f>IF('Loan Tape (S&amp;P)'!S9057="Yes",
    1.15,
    1.00)</f>
        <v/>
      </c>
      <c r="Q9057">
        <f>IF('Loan Tape (S&amp;P)'!V9057="Yes",
    1.20,
    1.00)</f>
        <v/>
      </c>
      <c r="T9057">
        <f>LET(
    payment_method,'Loan Tape (S&amp;P)'!P9057,
    occupancy,'Loan Tape (S&amp;P)'!N9057,
    maturity_date,'Loan Tape (S&amp;P)'!L9057,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58">
      <c r="J9058">
        <f>LET(
    lien,'Loan Tape (S&amp;P)'!Q9058,
    IF(lien="First",1.00,
        IF(lien="Second",1.50,
            1.70)))</f>
        <v/>
      </c>
      <c r="K9058">
        <f>LET(
    purpose,'Loan Tape (S&amp;P)'!R9058,
    IF(purpose="Purchase",1.00,
        IF(purpose="Remortgage",1.00,
            1.20)))</f>
        <v/>
      </c>
      <c r="L9058">
        <f>LET(
    arrears_months,'Loan Tape (S&amp;P)'!AN9058,
    IF(arrears_months=0,1.00,
    IF(arrears_months=1,3.00,
    IF(arrears_months=2,5.00,
    IF(arrears_months=3,8.00,
    IF(arrears_months=4,10.00,
    IF(arrears_months=5,12.00,15.00)))))))</f>
        <v/>
      </c>
      <c r="M9058">
        <f>LET(
    seasoning_years,DATEDIF('Loan Tape (S&amp;P)'!K9058,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58">
        <f>IF(AND('Loan Tape (S&amp;P)'!U9058="Yes",
        'Loan Tape (S&amp;P)'!T9058&lt;&gt;"Yes",
        DATEDIF('Loan Tape (S&amp;P)'!K9058, TODAY(), "M")&lt;18),
    1.10,
    1.00)</f>
        <v/>
      </c>
      <c r="O9058">
        <f>IF('Loan Tape (S&amp;P)'!T9058="Yes",
    1.35,
    1.00)</f>
        <v/>
      </c>
      <c r="P9058">
        <f>IF('Loan Tape (S&amp;P)'!S9058="Yes",
    1.15,
    1.00)</f>
        <v/>
      </c>
      <c r="Q9058">
        <f>IF('Loan Tape (S&amp;P)'!V9058="Yes",
    1.20,
    1.00)</f>
        <v/>
      </c>
      <c r="T9058">
        <f>LET(
    payment_method,'Loan Tape (S&amp;P)'!P9058,
    occupancy,'Loan Tape (S&amp;P)'!N9058,
    maturity_date,'Loan Tape (S&amp;P)'!L9058,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59">
      <c r="J9059">
        <f>LET(
    lien,'Loan Tape (S&amp;P)'!Q9059,
    IF(lien="First",1.00,
        IF(lien="Second",1.50,
            1.70)))</f>
        <v/>
      </c>
      <c r="K9059">
        <f>LET(
    purpose,'Loan Tape (S&amp;P)'!R9059,
    IF(purpose="Purchase",1.00,
        IF(purpose="Remortgage",1.00,
            1.20)))</f>
        <v/>
      </c>
      <c r="L9059">
        <f>LET(
    arrears_months,'Loan Tape (S&amp;P)'!AN9059,
    IF(arrears_months=0,1.00,
    IF(arrears_months=1,3.00,
    IF(arrears_months=2,5.00,
    IF(arrears_months=3,8.00,
    IF(arrears_months=4,10.00,
    IF(arrears_months=5,12.00,15.00)))))))</f>
        <v/>
      </c>
      <c r="M9059">
        <f>LET(
    seasoning_years,DATEDIF('Loan Tape (S&amp;P)'!K9059,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59">
        <f>IF(AND('Loan Tape (S&amp;P)'!U9059="Yes",
        'Loan Tape (S&amp;P)'!T9059&lt;&gt;"Yes",
        DATEDIF('Loan Tape (S&amp;P)'!K9059, TODAY(), "M")&lt;18),
    1.10,
    1.00)</f>
        <v/>
      </c>
      <c r="O9059">
        <f>IF('Loan Tape (S&amp;P)'!T9059="Yes",
    1.35,
    1.00)</f>
        <v/>
      </c>
      <c r="P9059">
        <f>IF('Loan Tape (S&amp;P)'!S9059="Yes",
    1.15,
    1.00)</f>
        <v/>
      </c>
      <c r="Q9059">
        <f>IF('Loan Tape (S&amp;P)'!V9059="Yes",
    1.20,
    1.00)</f>
        <v/>
      </c>
      <c r="T9059">
        <f>LET(
    payment_method,'Loan Tape (S&amp;P)'!P9059,
    occupancy,'Loan Tape (S&amp;P)'!N9059,
    maturity_date,'Loan Tape (S&amp;P)'!L9059,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60">
      <c r="J9060">
        <f>LET(
    lien,'Loan Tape (S&amp;P)'!Q9060,
    IF(lien="First",1.00,
        IF(lien="Second",1.50,
            1.70)))</f>
        <v/>
      </c>
      <c r="K9060">
        <f>LET(
    purpose,'Loan Tape (S&amp;P)'!R9060,
    IF(purpose="Purchase",1.00,
        IF(purpose="Remortgage",1.00,
            1.20)))</f>
        <v/>
      </c>
      <c r="L9060">
        <f>LET(
    arrears_months,'Loan Tape (S&amp;P)'!AN9060,
    IF(arrears_months=0,1.00,
    IF(arrears_months=1,3.00,
    IF(arrears_months=2,5.00,
    IF(arrears_months=3,8.00,
    IF(arrears_months=4,10.00,
    IF(arrears_months=5,12.00,15.00)))))))</f>
        <v/>
      </c>
      <c r="M9060">
        <f>LET(
    seasoning_years,DATEDIF('Loan Tape (S&amp;P)'!K9060,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60">
        <f>IF(AND('Loan Tape (S&amp;P)'!U9060="Yes",
        'Loan Tape (S&amp;P)'!T9060&lt;&gt;"Yes",
        DATEDIF('Loan Tape (S&amp;P)'!K9060, TODAY(), "M")&lt;18),
    1.10,
    1.00)</f>
        <v/>
      </c>
      <c r="O9060">
        <f>IF('Loan Tape (S&amp;P)'!T9060="Yes",
    1.35,
    1.00)</f>
        <v/>
      </c>
      <c r="P9060">
        <f>IF('Loan Tape (S&amp;P)'!S9060="Yes",
    1.15,
    1.00)</f>
        <v/>
      </c>
      <c r="Q9060">
        <f>IF('Loan Tape (S&amp;P)'!V9060="Yes",
    1.20,
    1.00)</f>
        <v/>
      </c>
      <c r="T9060">
        <f>LET(
    payment_method,'Loan Tape (S&amp;P)'!P9060,
    occupancy,'Loan Tape (S&amp;P)'!N9060,
    maturity_date,'Loan Tape (S&amp;P)'!L9060,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61">
      <c r="J9061">
        <f>LET(
    lien,'Loan Tape (S&amp;P)'!Q9061,
    IF(lien="First",1.00,
        IF(lien="Second",1.50,
            1.70)))</f>
        <v/>
      </c>
      <c r="K9061">
        <f>LET(
    purpose,'Loan Tape (S&amp;P)'!R9061,
    IF(purpose="Purchase",1.00,
        IF(purpose="Remortgage",1.00,
            1.20)))</f>
        <v/>
      </c>
      <c r="L9061">
        <f>LET(
    arrears_months,'Loan Tape (S&amp;P)'!AN9061,
    IF(arrears_months=0,1.00,
    IF(arrears_months=1,3.00,
    IF(arrears_months=2,5.00,
    IF(arrears_months=3,8.00,
    IF(arrears_months=4,10.00,
    IF(arrears_months=5,12.00,15.00)))))))</f>
        <v/>
      </c>
      <c r="M9061">
        <f>LET(
    seasoning_years,DATEDIF('Loan Tape (S&amp;P)'!K9061,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61">
        <f>IF(AND('Loan Tape (S&amp;P)'!U9061="Yes",
        'Loan Tape (S&amp;P)'!T9061&lt;&gt;"Yes",
        DATEDIF('Loan Tape (S&amp;P)'!K9061, TODAY(), "M")&lt;18),
    1.10,
    1.00)</f>
        <v/>
      </c>
      <c r="O9061">
        <f>IF('Loan Tape (S&amp;P)'!T9061="Yes",
    1.35,
    1.00)</f>
        <v/>
      </c>
      <c r="P9061">
        <f>IF('Loan Tape (S&amp;P)'!S9061="Yes",
    1.15,
    1.00)</f>
        <v/>
      </c>
      <c r="Q9061">
        <f>IF('Loan Tape (S&amp;P)'!V9061="Yes",
    1.20,
    1.00)</f>
        <v/>
      </c>
      <c r="T9061">
        <f>LET(
    payment_method,'Loan Tape (S&amp;P)'!P9061,
    occupancy,'Loan Tape (S&amp;P)'!N9061,
    maturity_date,'Loan Tape (S&amp;P)'!L9061,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62">
      <c r="J9062">
        <f>LET(
    lien,'Loan Tape (S&amp;P)'!Q9062,
    IF(lien="First",1.00,
        IF(lien="Second",1.50,
            1.70)))</f>
        <v/>
      </c>
      <c r="K9062">
        <f>LET(
    purpose,'Loan Tape (S&amp;P)'!R9062,
    IF(purpose="Purchase",1.00,
        IF(purpose="Remortgage",1.00,
            1.20)))</f>
        <v/>
      </c>
      <c r="L9062">
        <f>LET(
    arrears_months,'Loan Tape (S&amp;P)'!AN9062,
    IF(arrears_months=0,1.00,
    IF(arrears_months=1,3.00,
    IF(arrears_months=2,5.00,
    IF(arrears_months=3,8.00,
    IF(arrears_months=4,10.00,
    IF(arrears_months=5,12.00,15.00)))))))</f>
        <v/>
      </c>
      <c r="M9062">
        <f>LET(
    seasoning_years,DATEDIF('Loan Tape (S&amp;P)'!K9062,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62">
        <f>IF(AND('Loan Tape (S&amp;P)'!U9062="Yes",
        'Loan Tape (S&amp;P)'!T9062&lt;&gt;"Yes",
        DATEDIF('Loan Tape (S&amp;P)'!K9062, TODAY(), "M")&lt;18),
    1.10,
    1.00)</f>
        <v/>
      </c>
      <c r="O9062">
        <f>IF('Loan Tape (S&amp;P)'!T9062="Yes",
    1.35,
    1.00)</f>
        <v/>
      </c>
      <c r="P9062">
        <f>IF('Loan Tape (S&amp;P)'!S9062="Yes",
    1.15,
    1.00)</f>
        <v/>
      </c>
      <c r="Q9062">
        <f>IF('Loan Tape (S&amp;P)'!V9062="Yes",
    1.20,
    1.00)</f>
        <v/>
      </c>
      <c r="T9062">
        <f>LET(
    payment_method,'Loan Tape (S&amp;P)'!P9062,
    occupancy,'Loan Tape (S&amp;P)'!N9062,
    maturity_date,'Loan Tape (S&amp;P)'!L9062,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63">
      <c r="J9063">
        <f>LET(
    lien,'Loan Tape (S&amp;P)'!Q9063,
    IF(lien="First",1.00,
        IF(lien="Second",1.50,
            1.70)))</f>
        <v/>
      </c>
      <c r="K9063">
        <f>LET(
    purpose,'Loan Tape (S&amp;P)'!R9063,
    IF(purpose="Purchase",1.00,
        IF(purpose="Remortgage",1.00,
            1.20)))</f>
        <v/>
      </c>
      <c r="L9063">
        <f>LET(
    arrears_months,'Loan Tape (S&amp;P)'!AN9063,
    IF(arrears_months=0,1.00,
    IF(arrears_months=1,3.00,
    IF(arrears_months=2,5.00,
    IF(arrears_months=3,8.00,
    IF(arrears_months=4,10.00,
    IF(arrears_months=5,12.00,15.00)))))))</f>
        <v/>
      </c>
      <c r="M9063">
        <f>LET(
    seasoning_years,DATEDIF('Loan Tape (S&amp;P)'!K9063,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63">
        <f>IF(AND('Loan Tape (S&amp;P)'!U9063="Yes",
        'Loan Tape (S&amp;P)'!T9063&lt;&gt;"Yes",
        DATEDIF('Loan Tape (S&amp;P)'!K9063, TODAY(), "M")&lt;18),
    1.10,
    1.00)</f>
        <v/>
      </c>
      <c r="O9063">
        <f>IF('Loan Tape (S&amp;P)'!T9063="Yes",
    1.35,
    1.00)</f>
        <v/>
      </c>
      <c r="P9063">
        <f>IF('Loan Tape (S&amp;P)'!S9063="Yes",
    1.15,
    1.00)</f>
        <v/>
      </c>
      <c r="Q9063">
        <f>IF('Loan Tape (S&amp;P)'!V9063="Yes",
    1.20,
    1.00)</f>
        <v/>
      </c>
      <c r="T9063">
        <f>LET(
    payment_method,'Loan Tape (S&amp;P)'!P9063,
    occupancy,'Loan Tape (S&amp;P)'!N9063,
    maturity_date,'Loan Tape (S&amp;P)'!L9063,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64">
      <c r="J9064">
        <f>LET(
    lien,'Loan Tape (S&amp;P)'!Q9064,
    IF(lien="First",1.00,
        IF(lien="Second",1.50,
            1.70)))</f>
        <v/>
      </c>
      <c r="K9064">
        <f>LET(
    purpose,'Loan Tape (S&amp;P)'!R9064,
    IF(purpose="Purchase",1.00,
        IF(purpose="Remortgage",1.00,
            1.20)))</f>
        <v/>
      </c>
      <c r="L9064">
        <f>LET(
    arrears_months,'Loan Tape (S&amp;P)'!AN9064,
    IF(arrears_months=0,1.00,
    IF(arrears_months=1,3.00,
    IF(arrears_months=2,5.00,
    IF(arrears_months=3,8.00,
    IF(arrears_months=4,10.00,
    IF(arrears_months=5,12.00,15.00)))))))</f>
        <v/>
      </c>
      <c r="M9064">
        <f>LET(
    seasoning_years,DATEDIF('Loan Tape (S&amp;P)'!K9064,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64">
        <f>IF(AND('Loan Tape (S&amp;P)'!U9064="Yes",
        'Loan Tape (S&amp;P)'!T9064&lt;&gt;"Yes",
        DATEDIF('Loan Tape (S&amp;P)'!K9064, TODAY(), "M")&lt;18),
    1.10,
    1.00)</f>
        <v/>
      </c>
      <c r="O9064">
        <f>IF('Loan Tape (S&amp;P)'!T9064="Yes",
    1.35,
    1.00)</f>
        <v/>
      </c>
      <c r="P9064">
        <f>IF('Loan Tape (S&amp;P)'!S9064="Yes",
    1.15,
    1.00)</f>
        <v/>
      </c>
      <c r="Q9064">
        <f>IF('Loan Tape (S&amp;P)'!V9064="Yes",
    1.20,
    1.00)</f>
        <v/>
      </c>
      <c r="T9064">
        <f>LET(
    payment_method,'Loan Tape (S&amp;P)'!P9064,
    occupancy,'Loan Tape (S&amp;P)'!N9064,
    maturity_date,'Loan Tape (S&amp;P)'!L9064,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65">
      <c r="J9065">
        <f>LET(
    lien,'Loan Tape (S&amp;P)'!Q9065,
    IF(lien="First",1.00,
        IF(lien="Second",1.50,
            1.70)))</f>
        <v/>
      </c>
      <c r="K9065">
        <f>LET(
    purpose,'Loan Tape (S&amp;P)'!R9065,
    IF(purpose="Purchase",1.00,
        IF(purpose="Remortgage",1.00,
            1.20)))</f>
        <v/>
      </c>
      <c r="L9065">
        <f>LET(
    arrears_months,'Loan Tape (S&amp;P)'!AN9065,
    IF(arrears_months=0,1.00,
    IF(arrears_months=1,3.00,
    IF(arrears_months=2,5.00,
    IF(arrears_months=3,8.00,
    IF(arrears_months=4,10.00,
    IF(arrears_months=5,12.00,15.00)))))))</f>
        <v/>
      </c>
      <c r="M9065">
        <f>LET(
    seasoning_years,DATEDIF('Loan Tape (S&amp;P)'!K9065,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65">
        <f>IF(AND('Loan Tape (S&amp;P)'!U9065="Yes",
        'Loan Tape (S&amp;P)'!T9065&lt;&gt;"Yes",
        DATEDIF('Loan Tape (S&amp;P)'!K9065, TODAY(), "M")&lt;18),
    1.10,
    1.00)</f>
        <v/>
      </c>
      <c r="O9065">
        <f>IF('Loan Tape (S&amp;P)'!T9065="Yes",
    1.35,
    1.00)</f>
        <v/>
      </c>
      <c r="P9065">
        <f>IF('Loan Tape (S&amp;P)'!S9065="Yes",
    1.15,
    1.00)</f>
        <v/>
      </c>
      <c r="Q9065">
        <f>IF('Loan Tape (S&amp;P)'!V9065="Yes",
    1.20,
    1.00)</f>
        <v/>
      </c>
      <c r="T9065">
        <f>LET(
    payment_method,'Loan Tape (S&amp;P)'!P9065,
    occupancy,'Loan Tape (S&amp;P)'!N9065,
    maturity_date,'Loan Tape (S&amp;P)'!L9065,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66">
      <c r="J9066">
        <f>LET(
    lien,'Loan Tape (S&amp;P)'!Q9066,
    IF(lien="First",1.00,
        IF(lien="Second",1.50,
            1.70)))</f>
        <v/>
      </c>
      <c r="K9066">
        <f>LET(
    purpose,'Loan Tape (S&amp;P)'!R9066,
    IF(purpose="Purchase",1.00,
        IF(purpose="Remortgage",1.00,
            1.20)))</f>
        <v/>
      </c>
      <c r="L9066">
        <f>LET(
    arrears_months,'Loan Tape (S&amp;P)'!AN9066,
    IF(arrears_months=0,1.00,
    IF(arrears_months=1,3.00,
    IF(arrears_months=2,5.00,
    IF(arrears_months=3,8.00,
    IF(arrears_months=4,10.00,
    IF(arrears_months=5,12.00,15.00)))))))</f>
        <v/>
      </c>
      <c r="M9066">
        <f>LET(
    seasoning_years,DATEDIF('Loan Tape (S&amp;P)'!K9066,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66">
        <f>IF(AND('Loan Tape (S&amp;P)'!U9066="Yes",
        'Loan Tape (S&amp;P)'!T9066&lt;&gt;"Yes",
        DATEDIF('Loan Tape (S&amp;P)'!K9066, TODAY(), "M")&lt;18),
    1.10,
    1.00)</f>
        <v/>
      </c>
      <c r="O9066">
        <f>IF('Loan Tape (S&amp;P)'!T9066="Yes",
    1.35,
    1.00)</f>
        <v/>
      </c>
      <c r="P9066">
        <f>IF('Loan Tape (S&amp;P)'!S9066="Yes",
    1.15,
    1.00)</f>
        <v/>
      </c>
      <c r="Q9066">
        <f>IF('Loan Tape (S&amp;P)'!V9066="Yes",
    1.20,
    1.00)</f>
        <v/>
      </c>
      <c r="T9066">
        <f>LET(
    payment_method,'Loan Tape (S&amp;P)'!P9066,
    occupancy,'Loan Tape (S&amp;P)'!N9066,
    maturity_date,'Loan Tape (S&amp;P)'!L9066,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67">
      <c r="J9067">
        <f>LET(
    lien,'Loan Tape (S&amp;P)'!Q9067,
    IF(lien="First",1.00,
        IF(lien="Second",1.50,
            1.70)))</f>
        <v/>
      </c>
      <c r="K9067">
        <f>LET(
    purpose,'Loan Tape (S&amp;P)'!R9067,
    IF(purpose="Purchase",1.00,
        IF(purpose="Remortgage",1.00,
            1.20)))</f>
        <v/>
      </c>
      <c r="L9067">
        <f>LET(
    arrears_months,'Loan Tape (S&amp;P)'!AN9067,
    IF(arrears_months=0,1.00,
    IF(arrears_months=1,3.00,
    IF(arrears_months=2,5.00,
    IF(arrears_months=3,8.00,
    IF(arrears_months=4,10.00,
    IF(arrears_months=5,12.00,15.00)))))))</f>
        <v/>
      </c>
      <c r="M9067">
        <f>LET(
    seasoning_years,DATEDIF('Loan Tape (S&amp;P)'!K9067,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67">
        <f>IF(AND('Loan Tape (S&amp;P)'!U9067="Yes",
        'Loan Tape (S&amp;P)'!T9067&lt;&gt;"Yes",
        DATEDIF('Loan Tape (S&amp;P)'!K9067, TODAY(), "M")&lt;18),
    1.10,
    1.00)</f>
        <v/>
      </c>
      <c r="O9067">
        <f>IF('Loan Tape (S&amp;P)'!T9067="Yes",
    1.35,
    1.00)</f>
        <v/>
      </c>
      <c r="P9067">
        <f>IF('Loan Tape (S&amp;P)'!S9067="Yes",
    1.15,
    1.00)</f>
        <v/>
      </c>
      <c r="Q9067">
        <f>IF('Loan Tape (S&amp;P)'!V9067="Yes",
    1.20,
    1.00)</f>
        <v/>
      </c>
      <c r="T9067">
        <f>LET(
    payment_method,'Loan Tape (S&amp;P)'!P9067,
    occupancy,'Loan Tape (S&amp;P)'!N9067,
    maturity_date,'Loan Tape (S&amp;P)'!L9067,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68">
      <c r="J9068">
        <f>LET(
    lien,'Loan Tape (S&amp;P)'!Q9068,
    IF(lien="First",1.00,
        IF(lien="Second",1.50,
            1.70)))</f>
        <v/>
      </c>
      <c r="K9068">
        <f>LET(
    purpose,'Loan Tape (S&amp;P)'!R9068,
    IF(purpose="Purchase",1.00,
        IF(purpose="Remortgage",1.00,
            1.20)))</f>
        <v/>
      </c>
      <c r="L9068">
        <f>LET(
    arrears_months,'Loan Tape (S&amp;P)'!AN9068,
    IF(arrears_months=0,1.00,
    IF(arrears_months=1,3.00,
    IF(arrears_months=2,5.00,
    IF(arrears_months=3,8.00,
    IF(arrears_months=4,10.00,
    IF(arrears_months=5,12.00,15.00)))))))</f>
        <v/>
      </c>
      <c r="M9068">
        <f>LET(
    seasoning_years,DATEDIF('Loan Tape (S&amp;P)'!K9068,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68">
        <f>IF(AND('Loan Tape (S&amp;P)'!U9068="Yes",
        'Loan Tape (S&amp;P)'!T9068&lt;&gt;"Yes",
        DATEDIF('Loan Tape (S&amp;P)'!K9068, TODAY(), "M")&lt;18),
    1.10,
    1.00)</f>
        <v/>
      </c>
      <c r="O9068">
        <f>IF('Loan Tape (S&amp;P)'!T9068="Yes",
    1.35,
    1.00)</f>
        <v/>
      </c>
      <c r="P9068">
        <f>IF('Loan Tape (S&amp;P)'!S9068="Yes",
    1.15,
    1.00)</f>
        <v/>
      </c>
      <c r="Q9068">
        <f>IF('Loan Tape (S&amp;P)'!V9068="Yes",
    1.20,
    1.00)</f>
        <v/>
      </c>
      <c r="T9068">
        <f>LET(
    payment_method,'Loan Tape (S&amp;P)'!P9068,
    occupancy,'Loan Tape (S&amp;P)'!N9068,
    maturity_date,'Loan Tape (S&amp;P)'!L9068,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69">
      <c r="J9069">
        <f>LET(
    lien,'Loan Tape (S&amp;P)'!Q9069,
    IF(lien="First",1.00,
        IF(lien="Second",1.50,
            1.70)))</f>
        <v/>
      </c>
      <c r="K9069">
        <f>LET(
    purpose,'Loan Tape (S&amp;P)'!R9069,
    IF(purpose="Purchase",1.00,
        IF(purpose="Remortgage",1.00,
            1.20)))</f>
        <v/>
      </c>
      <c r="L9069">
        <f>LET(
    arrears_months,'Loan Tape (S&amp;P)'!AN9069,
    IF(arrears_months=0,1.00,
    IF(arrears_months=1,3.00,
    IF(arrears_months=2,5.00,
    IF(arrears_months=3,8.00,
    IF(arrears_months=4,10.00,
    IF(arrears_months=5,12.00,15.00)))))))</f>
        <v/>
      </c>
      <c r="M9069">
        <f>LET(
    seasoning_years,DATEDIF('Loan Tape (S&amp;P)'!K9069,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69">
        <f>IF(AND('Loan Tape (S&amp;P)'!U9069="Yes",
        'Loan Tape (S&amp;P)'!T9069&lt;&gt;"Yes",
        DATEDIF('Loan Tape (S&amp;P)'!K9069, TODAY(), "M")&lt;18),
    1.10,
    1.00)</f>
        <v/>
      </c>
      <c r="O9069">
        <f>IF('Loan Tape (S&amp;P)'!T9069="Yes",
    1.35,
    1.00)</f>
        <v/>
      </c>
      <c r="P9069">
        <f>IF('Loan Tape (S&amp;P)'!S9069="Yes",
    1.15,
    1.00)</f>
        <v/>
      </c>
      <c r="Q9069">
        <f>IF('Loan Tape (S&amp;P)'!V9069="Yes",
    1.20,
    1.00)</f>
        <v/>
      </c>
      <c r="T9069">
        <f>LET(
    payment_method,'Loan Tape (S&amp;P)'!P9069,
    occupancy,'Loan Tape (S&amp;P)'!N9069,
    maturity_date,'Loan Tape (S&amp;P)'!L9069,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70">
      <c r="J9070">
        <f>LET(
    lien,'Loan Tape (S&amp;P)'!Q9070,
    IF(lien="First",1.00,
        IF(lien="Second",1.50,
            1.70)))</f>
        <v/>
      </c>
      <c r="K9070">
        <f>LET(
    purpose,'Loan Tape (S&amp;P)'!R9070,
    IF(purpose="Purchase",1.00,
        IF(purpose="Remortgage",1.00,
            1.20)))</f>
        <v/>
      </c>
      <c r="L9070">
        <f>LET(
    arrears_months,'Loan Tape (S&amp;P)'!AN9070,
    IF(arrears_months=0,1.00,
    IF(arrears_months=1,3.00,
    IF(arrears_months=2,5.00,
    IF(arrears_months=3,8.00,
    IF(arrears_months=4,10.00,
    IF(arrears_months=5,12.00,15.00)))))))</f>
        <v/>
      </c>
      <c r="M9070">
        <f>LET(
    seasoning_years,DATEDIF('Loan Tape (S&amp;P)'!K9070,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70">
        <f>IF(AND('Loan Tape (S&amp;P)'!U9070="Yes",
        'Loan Tape (S&amp;P)'!T9070&lt;&gt;"Yes",
        DATEDIF('Loan Tape (S&amp;P)'!K9070, TODAY(), "M")&lt;18),
    1.10,
    1.00)</f>
        <v/>
      </c>
      <c r="O9070">
        <f>IF('Loan Tape (S&amp;P)'!T9070="Yes",
    1.35,
    1.00)</f>
        <v/>
      </c>
      <c r="P9070">
        <f>IF('Loan Tape (S&amp;P)'!S9070="Yes",
    1.15,
    1.00)</f>
        <v/>
      </c>
      <c r="Q9070">
        <f>IF('Loan Tape (S&amp;P)'!V9070="Yes",
    1.20,
    1.00)</f>
        <v/>
      </c>
      <c r="T9070">
        <f>LET(
    payment_method,'Loan Tape (S&amp;P)'!P9070,
    occupancy,'Loan Tape (S&amp;P)'!N9070,
    maturity_date,'Loan Tape (S&amp;P)'!L9070,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71">
      <c r="J9071">
        <f>LET(
    lien,'Loan Tape (S&amp;P)'!Q9071,
    IF(lien="First",1.00,
        IF(lien="Second",1.50,
            1.70)))</f>
        <v/>
      </c>
      <c r="K9071">
        <f>LET(
    purpose,'Loan Tape (S&amp;P)'!R9071,
    IF(purpose="Purchase",1.00,
        IF(purpose="Remortgage",1.00,
            1.20)))</f>
        <v/>
      </c>
      <c r="L9071">
        <f>LET(
    arrears_months,'Loan Tape (S&amp;P)'!AN9071,
    IF(arrears_months=0,1.00,
    IF(arrears_months=1,3.00,
    IF(arrears_months=2,5.00,
    IF(arrears_months=3,8.00,
    IF(arrears_months=4,10.00,
    IF(arrears_months=5,12.00,15.00)))))))</f>
        <v/>
      </c>
      <c r="M9071">
        <f>LET(
    seasoning_years,DATEDIF('Loan Tape (S&amp;P)'!K9071,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71">
        <f>IF(AND('Loan Tape (S&amp;P)'!U9071="Yes",
        'Loan Tape (S&amp;P)'!T9071&lt;&gt;"Yes",
        DATEDIF('Loan Tape (S&amp;P)'!K9071, TODAY(), "M")&lt;18),
    1.10,
    1.00)</f>
        <v/>
      </c>
      <c r="O9071">
        <f>IF('Loan Tape (S&amp;P)'!T9071="Yes",
    1.35,
    1.00)</f>
        <v/>
      </c>
      <c r="P9071">
        <f>IF('Loan Tape (S&amp;P)'!S9071="Yes",
    1.15,
    1.00)</f>
        <v/>
      </c>
      <c r="Q9071">
        <f>IF('Loan Tape (S&amp;P)'!V9071="Yes",
    1.20,
    1.00)</f>
        <v/>
      </c>
      <c r="T9071">
        <f>LET(
    payment_method,'Loan Tape (S&amp;P)'!P9071,
    occupancy,'Loan Tape (S&amp;P)'!N9071,
    maturity_date,'Loan Tape (S&amp;P)'!L9071,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72">
      <c r="J9072">
        <f>LET(
    lien,'Loan Tape (S&amp;P)'!Q9072,
    IF(lien="First",1.00,
        IF(lien="Second",1.50,
            1.70)))</f>
        <v/>
      </c>
      <c r="K9072">
        <f>LET(
    purpose,'Loan Tape (S&amp;P)'!R9072,
    IF(purpose="Purchase",1.00,
        IF(purpose="Remortgage",1.00,
            1.20)))</f>
        <v/>
      </c>
      <c r="L9072">
        <f>LET(
    arrears_months,'Loan Tape (S&amp;P)'!AN9072,
    IF(arrears_months=0,1.00,
    IF(arrears_months=1,3.00,
    IF(arrears_months=2,5.00,
    IF(arrears_months=3,8.00,
    IF(arrears_months=4,10.00,
    IF(arrears_months=5,12.00,15.00)))))))</f>
        <v/>
      </c>
      <c r="M9072">
        <f>LET(
    seasoning_years,DATEDIF('Loan Tape (S&amp;P)'!K9072,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72">
        <f>IF(AND('Loan Tape (S&amp;P)'!U9072="Yes",
        'Loan Tape (S&amp;P)'!T9072&lt;&gt;"Yes",
        DATEDIF('Loan Tape (S&amp;P)'!K9072, TODAY(), "M")&lt;18),
    1.10,
    1.00)</f>
        <v/>
      </c>
      <c r="O9072">
        <f>IF('Loan Tape (S&amp;P)'!T9072="Yes",
    1.35,
    1.00)</f>
        <v/>
      </c>
      <c r="P9072">
        <f>IF('Loan Tape (S&amp;P)'!S9072="Yes",
    1.15,
    1.00)</f>
        <v/>
      </c>
      <c r="Q9072">
        <f>IF('Loan Tape (S&amp;P)'!V9072="Yes",
    1.20,
    1.00)</f>
        <v/>
      </c>
      <c r="T9072">
        <f>LET(
    payment_method,'Loan Tape (S&amp;P)'!P9072,
    occupancy,'Loan Tape (S&amp;P)'!N9072,
    maturity_date,'Loan Tape (S&amp;P)'!L9072,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73">
      <c r="J9073">
        <f>LET(
    lien,'Loan Tape (S&amp;P)'!Q9073,
    IF(lien="First",1.00,
        IF(lien="Second",1.50,
            1.70)))</f>
        <v/>
      </c>
      <c r="K9073">
        <f>LET(
    purpose,'Loan Tape (S&amp;P)'!R9073,
    IF(purpose="Purchase",1.00,
        IF(purpose="Remortgage",1.00,
            1.20)))</f>
        <v/>
      </c>
      <c r="L9073">
        <f>LET(
    arrears_months,'Loan Tape (S&amp;P)'!AN9073,
    IF(arrears_months=0,1.00,
    IF(arrears_months=1,3.00,
    IF(arrears_months=2,5.00,
    IF(arrears_months=3,8.00,
    IF(arrears_months=4,10.00,
    IF(arrears_months=5,12.00,15.00)))))))</f>
        <v/>
      </c>
      <c r="M9073">
        <f>LET(
    seasoning_years,DATEDIF('Loan Tape (S&amp;P)'!K9073,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73">
        <f>IF(AND('Loan Tape (S&amp;P)'!U9073="Yes",
        'Loan Tape (S&amp;P)'!T9073&lt;&gt;"Yes",
        DATEDIF('Loan Tape (S&amp;P)'!K9073, TODAY(), "M")&lt;18),
    1.10,
    1.00)</f>
        <v/>
      </c>
      <c r="O9073">
        <f>IF('Loan Tape (S&amp;P)'!T9073="Yes",
    1.35,
    1.00)</f>
        <v/>
      </c>
      <c r="P9073">
        <f>IF('Loan Tape (S&amp;P)'!S9073="Yes",
    1.15,
    1.00)</f>
        <v/>
      </c>
      <c r="Q9073">
        <f>IF('Loan Tape (S&amp;P)'!V9073="Yes",
    1.20,
    1.00)</f>
        <v/>
      </c>
      <c r="T9073">
        <f>LET(
    payment_method,'Loan Tape (S&amp;P)'!P9073,
    occupancy,'Loan Tape (S&amp;P)'!N9073,
    maturity_date,'Loan Tape (S&amp;P)'!L9073,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74">
      <c r="J9074">
        <f>LET(
    lien,'Loan Tape (S&amp;P)'!Q9074,
    IF(lien="First",1.00,
        IF(lien="Second",1.50,
            1.70)))</f>
        <v/>
      </c>
      <c r="K9074">
        <f>LET(
    purpose,'Loan Tape (S&amp;P)'!R9074,
    IF(purpose="Purchase",1.00,
        IF(purpose="Remortgage",1.00,
            1.20)))</f>
        <v/>
      </c>
      <c r="L9074">
        <f>LET(
    arrears_months,'Loan Tape (S&amp;P)'!AN9074,
    IF(arrears_months=0,1.00,
    IF(arrears_months=1,3.00,
    IF(arrears_months=2,5.00,
    IF(arrears_months=3,8.00,
    IF(arrears_months=4,10.00,
    IF(arrears_months=5,12.00,15.00)))))))</f>
        <v/>
      </c>
      <c r="M9074">
        <f>LET(
    seasoning_years,DATEDIF('Loan Tape (S&amp;P)'!K9074,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74">
        <f>IF(AND('Loan Tape (S&amp;P)'!U9074="Yes",
        'Loan Tape (S&amp;P)'!T9074&lt;&gt;"Yes",
        DATEDIF('Loan Tape (S&amp;P)'!K9074, TODAY(), "M")&lt;18),
    1.10,
    1.00)</f>
        <v/>
      </c>
      <c r="O9074">
        <f>IF('Loan Tape (S&amp;P)'!T9074="Yes",
    1.35,
    1.00)</f>
        <v/>
      </c>
      <c r="P9074">
        <f>IF('Loan Tape (S&amp;P)'!S9074="Yes",
    1.15,
    1.00)</f>
        <v/>
      </c>
      <c r="Q9074">
        <f>IF('Loan Tape (S&amp;P)'!V9074="Yes",
    1.20,
    1.00)</f>
        <v/>
      </c>
      <c r="T9074">
        <f>LET(
    payment_method,'Loan Tape (S&amp;P)'!P9074,
    occupancy,'Loan Tape (S&amp;P)'!N9074,
    maturity_date,'Loan Tape (S&amp;P)'!L9074,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75">
      <c r="J9075">
        <f>LET(
    lien,'Loan Tape (S&amp;P)'!Q9075,
    IF(lien="First",1.00,
        IF(lien="Second",1.50,
            1.70)))</f>
        <v/>
      </c>
      <c r="K9075">
        <f>LET(
    purpose,'Loan Tape (S&amp;P)'!R9075,
    IF(purpose="Purchase",1.00,
        IF(purpose="Remortgage",1.00,
            1.20)))</f>
        <v/>
      </c>
      <c r="L9075">
        <f>LET(
    arrears_months,'Loan Tape (S&amp;P)'!AN9075,
    IF(arrears_months=0,1.00,
    IF(arrears_months=1,3.00,
    IF(arrears_months=2,5.00,
    IF(arrears_months=3,8.00,
    IF(arrears_months=4,10.00,
    IF(arrears_months=5,12.00,15.00)))))))</f>
        <v/>
      </c>
      <c r="M9075">
        <f>LET(
    seasoning_years,DATEDIF('Loan Tape (S&amp;P)'!K9075,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75">
        <f>IF(AND('Loan Tape (S&amp;P)'!U9075="Yes",
        'Loan Tape (S&amp;P)'!T9075&lt;&gt;"Yes",
        DATEDIF('Loan Tape (S&amp;P)'!K9075, TODAY(), "M")&lt;18),
    1.10,
    1.00)</f>
        <v/>
      </c>
      <c r="O9075">
        <f>IF('Loan Tape (S&amp;P)'!T9075="Yes",
    1.35,
    1.00)</f>
        <v/>
      </c>
      <c r="P9075">
        <f>IF('Loan Tape (S&amp;P)'!S9075="Yes",
    1.15,
    1.00)</f>
        <v/>
      </c>
      <c r="Q9075">
        <f>IF('Loan Tape (S&amp;P)'!V9075="Yes",
    1.20,
    1.00)</f>
        <v/>
      </c>
      <c r="T9075">
        <f>LET(
    payment_method,'Loan Tape (S&amp;P)'!P9075,
    occupancy,'Loan Tape (S&amp;P)'!N9075,
    maturity_date,'Loan Tape (S&amp;P)'!L9075,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76">
      <c r="J9076">
        <f>LET(
    lien,'Loan Tape (S&amp;P)'!Q9076,
    IF(lien="First",1.00,
        IF(lien="Second",1.50,
            1.70)))</f>
        <v/>
      </c>
      <c r="K9076">
        <f>LET(
    purpose,'Loan Tape (S&amp;P)'!R9076,
    IF(purpose="Purchase",1.00,
        IF(purpose="Remortgage",1.00,
            1.20)))</f>
        <v/>
      </c>
      <c r="L9076">
        <f>LET(
    arrears_months,'Loan Tape (S&amp;P)'!AN9076,
    IF(arrears_months=0,1.00,
    IF(arrears_months=1,3.00,
    IF(arrears_months=2,5.00,
    IF(arrears_months=3,8.00,
    IF(arrears_months=4,10.00,
    IF(arrears_months=5,12.00,15.00)))))))</f>
        <v/>
      </c>
      <c r="M9076">
        <f>LET(
    seasoning_years,DATEDIF('Loan Tape (S&amp;P)'!K9076,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76">
        <f>IF(AND('Loan Tape (S&amp;P)'!U9076="Yes",
        'Loan Tape (S&amp;P)'!T9076&lt;&gt;"Yes",
        DATEDIF('Loan Tape (S&amp;P)'!K9076, TODAY(), "M")&lt;18),
    1.10,
    1.00)</f>
        <v/>
      </c>
      <c r="O9076">
        <f>IF('Loan Tape (S&amp;P)'!T9076="Yes",
    1.35,
    1.00)</f>
        <v/>
      </c>
      <c r="P9076">
        <f>IF('Loan Tape (S&amp;P)'!S9076="Yes",
    1.15,
    1.00)</f>
        <v/>
      </c>
      <c r="Q9076">
        <f>IF('Loan Tape (S&amp;P)'!V9076="Yes",
    1.20,
    1.00)</f>
        <v/>
      </c>
      <c r="T9076">
        <f>LET(
    payment_method,'Loan Tape (S&amp;P)'!P9076,
    occupancy,'Loan Tape (S&amp;P)'!N9076,
    maturity_date,'Loan Tape (S&amp;P)'!L9076,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77">
      <c r="J9077">
        <f>LET(
    lien,'Loan Tape (S&amp;P)'!Q9077,
    IF(lien="First",1.00,
        IF(lien="Second",1.50,
            1.70)))</f>
        <v/>
      </c>
      <c r="K9077">
        <f>LET(
    purpose,'Loan Tape (S&amp;P)'!R9077,
    IF(purpose="Purchase",1.00,
        IF(purpose="Remortgage",1.00,
            1.20)))</f>
        <v/>
      </c>
      <c r="L9077">
        <f>LET(
    arrears_months,'Loan Tape (S&amp;P)'!AN9077,
    IF(arrears_months=0,1.00,
    IF(arrears_months=1,3.00,
    IF(arrears_months=2,5.00,
    IF(arrears_months=3,8.00,
    IF(arrears_months=4,10.00,
    IF(arrears_months=5,12.00,15.00)))))))</f>
        <v/>
      </c>
      <c r="M9077">
        <f>LET(
    seasoning_years,DATEDIF('Loan Tape (S&amp;P)'!K9077,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77">
        <f>IF(AND('Loan Tape (S&amp;P)'!U9077="Yes",
        'Loan Tape (S&amp;P)'!T9077&lt;&gt;"Yes",
        DATEDIF('Loan Tape (S&amp;P)'!K9077, TODAY(), "M")&lt;18),
    1.10,
    1.00)</f>
        <v/>
      </c>
      <c r="O9077">
        <f>IF('Loan Tape (S&amp;P)'!T9077="Yes",
    1.35,
    1.00)</f>
        <v/>
      </c>
      <c r="P9077">
        <f>IF('Loan Tape (S&amp;P)'!S9077="Yes",
    1.15,
    1.00)</f>
        <v/>
      </c>
      <c r="Q9077">
        <f>IF('Loan Tape (S&amp;P)'!V9077="Yes",
    1.20,
    1.00)</f>
        <v/>
      </c>
      <c r="T9077">
        <f>LET(
    payment_method,'Loan Tape (S&amp;P)'!P9077,
    occupancy,'Loan Tape (S&amp;P)'!N9077,
    maturity_date,'Loan Tape (S&amp;P)'!L9077,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78">
      <c r="J9078">
        <f>LET(
    lien,'Loan Tape (S&amp;P)'!Q9078,
    IF(lien="First",1.00,
        IF(lien="Second",1.50,
            1.70)))</f>
        <v/>
      </c>
      <c r="K9078">
        <f>LET(
    purpose,'Loan Tape (S&amp;P)'!R9078,
    IF(purpose="Purchase",1.00,
        IF(purpose="Remortgage",1.00,
            1.20)))</f>
        <v/>
      </c>
      <c r="L9078">
        <f>LET(
    arrears_months,'Loan Tape (S&amp;P)'!AN9078,
    IF(arrears_months=0,1.00,
    IF(arrears_months=1,3.00,
    IF(arrears_months=2,5.00,
    IF(arrears_months=3,8.00,
    IF(arrears_months=4,10.00,
    IF(arrears_months=5,12.00,15.00)))))))</f>
        <v/>
      </c>
      <c r="M9078">
        <f>LET(
    seasoning_years,DATEDIF('Loan Tape (S&amp;P)'!K9078,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78">
        <f>IF(AND('Loan Tape (S&amp;P)'!U9078="Yes",
        'Loan Tape (S&amp;P)'!T9078&lt;&gt;"Yes",
        DATEDIF('Loan Tape (S&amp;P)'!K9078, TODAY(), "M")&lt;18),
    1.10,
    1.00)</f>
        <v/>
      </c>
      <c r="O9078">
        <f>IF('Loan Tape (S&amp;P)'!T9078="Yes",
    1.35,
    1.00)</f>
        <v/>
      </c>
      <c r="P9078">
        <f>IF('Loan Tape (S&amp;P)'!S9078="Yes",
    1.15,
    1.00)</f>
        <v/>
      </c>
      <c r="Q9078">
        <f>IF('Loan Tape (S&amp;P)'!V9078="Yes",
    1.20,
    1.00)</f>
        <v/>
      </c>
      <c r="T9078">
        <f>LET(
    payment_method,'Loan Tape (S&amp;P)'!P9078,
    occupancy,'Loan Tape (S&amp;P)'!N9078,
    maturity_date,'Loan Tape (S&amp;P)'!L9078,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79">
      <c r="J9079">
        <f>LET(
    lien,'Loan Tape (S&amp;P)'!Q9079,
    IF(lien="First",1.00,
        IF(lien="Second",1.50,
            1.70)))</f>
        <v/>
      </c>
      <c r="K9079">
        <f>LET(
    purpose,'Loan Tape (S&amp;P)'!R9079,
    IF(purpose="Purchase",1.00,
        IF(purpose="Remortgage",1.00,
            1.20)))</f>
        <v/>
      </c>
      <c r="L9079">
        <f>LET(
    arrears_months,'Loan Tape (S&amp;P)'!AN9079,
    IF(arrears_months=0,1.00,
    IF(arrears_months=1,3.00,
    IF(arrears_months=2,5.00,
    IF(arrears_months=3,8.00,
    IF(arrears_months=4,10.00,
    IF(arrears_months=5,12.00,15.00)))))))</f>
        <v/>
      </c>
      <c r="M9079">
        <f>LET(
    seasoning_years,DATEDIF('Loan Tape (S&amp;P)'!K9079,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79">
        <f>IF(AND('Loan Tape (S&amp;P)'!U9079="Yes",
        'Loan Tape (S&amp;P)'!T9079&lt;&gt;"Yes",
        DATEDIF('Loan Tape (S&amp;P)'!K9079, TODAY(), "M")&lt;18),
    1.10,
    1.00)</f>
        <v/>
      </c>
      <c r="O9079">
        <f>IF('Loan Tape (S&amp;P)'!T9079="Yes",
    1.35,
    1.00)</f>
        <v/>
      </c>
      <c r="P9079">
        <f>IF('Loan Tape (S&amp;P)'!S9079="Yes",
    1.15,
    1.00)</f>
        <v/>
      </c>
      <c r="Q9079">
        <f>IF('Loan Tape (S&amp;P)'!V9079="Yes",
    1.20,
    1.00)</f>
        <v/>
      </c>
      <c r="T9079">
        <f>LET(
    payment_method,'Loan Tape (S&amp;P)'!P9079,
    occupancy,'Loan Tape (S&amp;P)'!N9079,
    maturity_date,'Loan Tape (S&amp;P)'!L9079,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80">
      <c r="J9080">
        <f>LET(
    lien,'Loan Tape (S&amp;P)'!Q9080,
    IF(lien="First",1.00,
        IF(lien="Second",1.50,
            1.70)))</f>
        <v/>
      </c>
      <c r="K9080">
        <f>LET(
    purpose,'Loan Tape (S&amp;P)'!R9080,
    IF(purpose="Purchase",1.00,
        IF(purpose="Remortgage",1.00,
            1.20)))</f>
        <v/>
      </c>
      <c r="L9080">
        <f>LET(
    arrears_months,'Loan Tape (S&amp;P)'!AN9080,
    IF(arrears_months=0,1.00,
    IF(arrears_months=1,3.00,
    IF(arrears_months=2,5.00,
    IF(arrears_months=3,8.00,
    IF(arrears_months=4,10.00,
    IF(arrears_months=5,12.00,15.00)))))))</f>
        <v/>
      </c>
      <c r="M9080">
        <f>LET(
    seasoning_years,DATEDIF('Loan Tape (S&amp;P)'!K9080,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80">
        <f>IF(AND('Loan Tape (S&amp;P)'!U9080="Yes",
        'Loan Tape (S&amp;P)'!T9080&lt;&gt;"Yes",
        DATEDIF('Loan Tape (S&amp;P)'!K9080, TODAY(), "M")&lt;18),
    1.10,
    1.00)</f>
        <v/>
      </c>
      <c r="O9080">
        <f>IF('Loan Tape (S&amp;P)'!T9080="Yes",
    1.35,
    1.00)</f>
        <v/>
      </c>
      <c r="P9080">
        <f>IF('Loan Tape (S&amp;P)'!S9080="Yes",
    1.15,
    1.00)</f>
        <v/>
      </c>
      <c r="Q9080">
        <f>IF('Loan Tape (S&amp;P)'!V9080="Yes",
    1.20,
    1.00)</f>
        <v/>
      </c>
      <c r="T9080">
        <f>LET(
    payment_method,'Loan Tape (S&amp;P)'!P9080,
    occupancy,'Loan Tape (S&amp;P)'!N9080,
    maturity_date,'Loan Tape (S&amp;P)'!L9080,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81">
      <c r="J9081">
        <f>LET(
    lien,'Loan Tape (S&amp;P)'!Q9081,
    IF(lien="First",1.00,
        IF(lien="Second",1.50,
            1.70)))</f>
        <v/>
      </c>
      <c r="K9081">
        <f>LET(
    purpose,'Loan Tape (S&amp;P)'!R9081,
    IF(purpose="Purchase",1.00,
        IF(purpose="Remortgage",1.00,
            1.20)))</f>
        <v/>
      </c>
      <c r="L9081">
        <f>LET(
    arrears_months,'Loan Tape (S&amp;P)'!AN9081,
    IF(arrears_months=0,1.00,
    IF(arrears_months=1,3.00,
    IF(arrears_months=2,5.00,
    IF(arrears_months=3,8.00,
    IF(arrears_months=4,10.00,
    IF(arrears_months=5,12.00,15.00)))))))</f>
        <v/>
      </c>
      <c r="M9081">
        <f>LET(
    seasoning_years,DATEDIF('Loan Tape (S&amp;P)'!K9081,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81">
        <f>IF(AND('Loan Tape (S&amp;P)'!U9081="Yes",
        'Loan Tape (S&amp;P)'!T9081&lt;&gt;"Yes",
        DATEDIF('Loan Tape (S&amp;P)'!K9081, TODAY(), "M")&lt;18),
    1.10,
    1.00)</f>
        <v/>
      </c>
      <c r="O9081">
        <f>IF('Loan Tape (S&amp;P)'!T9081="Yes",
    1.35,
    1.00)</f>
        <v/>
      </c>
      <c r="P9081">
        <f>IF('Loan Tape (S&amp;P)'!S9081="Yes",
    1.15,
    1.00)</f>
        <v/>
      </c>
      <c r="Q9081">
        <f>IF('Loan Tape (S&amp;P)'!V9081="Yes",
    1.20,
    1.00)</f>
        <v/>
      </c>
      <c r="T9081">
        <f>LET(
    payment_method,'Loan Tape (S&amp;P)'!P9081,
    occupancy,'Loan Tape (S&amp;P)'!N9081,
    maturity_date,'Loan Tape (S&amp;P)'!L9081,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82">
      <c r="J9082">
        <f>LET(
    lien,'Loan Tape (S&amp;P)'!Q9082,
    IF(lien="First",1.00,
        IF(lien="Second",1.50,
            1.70)))</f>
        <v/>
      </c>
      <c r="K9082">
        <f>LET(
    purpose,'Loan Tape (S&amp;P)'!R9082,
    IF(purpose="Purchase",1.00,
        IF(purpose="Remortgage",1.00,
            1.20)))</f>
        <v/>
      </c>
      <c r="L9082">
        <f>LET(
    arrears_months,'Loan Tape (S&amp;P)'!AN9082,
    IF(arrears_months=0,1.00,
    IF(arrears_months=1,3.00,
    IF(arrears_months=2,5.00,
    IF(arrears_months=3,8.00,
    IF(arrears_months=4,10.00,
    IF(arrears_months=5,12.00,15.00)))))))</f>
        <v/>
      </c>
      <c r="M9082">
        <f>LET(
    seasoning_years,DATEDIF('Loan Tape (S&amp;P)'!K9082,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82">
        <f>IF(AND('Loan Tape (S&amp;P)'!U9082="Yes",
        'Loan Tape (S&amp;P)'!T9082&lt;&gt;"Yes",
        DATEDIF('Loan Tape (S&amp;P)'!K9082, TODAY(), "M")&lt;18),
    1.10,
    1.00)</f>
        <v/>
      </c>
      <c r="O9082">
        <f>IF('Loan Tape (S&amp;P)'!T9082="Yes",
    1.35,
    1.00)</f>
        <v/>
      </c>
      <c r="P9082">
        <f>IF('Loan Tape (S&amp;P)'!S9082="Yes",
    1.15,
    1.00)</f>
        <v/>
      </c>
      <c r="Q9082">
        <f>IF('Loan Tape (S&amp;P)'!V9082="Yes",
    1.20,
    1.00)</f>
        <v/>
      </c>
      <c r="T9082">
        <f>LET(
    payment_method,'Loan Tape (S&amp;P)'!P9082,
    occupancy,'Loan Tape (S&amp;P)'!N9082,
    maturity_date,'Loan Tape (S&amp;P)'!L9082,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83">
      <c r="J9083">
        <f>LET(
    lien,'Loan Tape (S&amp;P)'!Q9083,
    IF(lien="First",1.00,
        IF(lien="Second",1.50,
            1.70)))</f>
        <v/>
      </c>
      <c r="K9083">
        <f>LET(
    purpose,'Loan Tape (S&amp;P)'!R9083,
    IF(purpose="Purchase",1.00,
        IF(purpose="Remortgage",1.00,
            1.20)))</f>
        <v/>
      </c>
      <c r="L9083">
        <f>LET(
    arrears_months,'Loan Tape (S&amp;P)'!AN9083,
    IF(arrears_months=0,1.00,
    IF(arrears_months=1,3.00,
    IF(arrears_months=2,5.00,
    IF(arrears_months=3,8.00,
    IF(arrears_months=4,10.00,
    IF(arrears_months=5,12.00,15.00)))))))</f>
        <v/>
      </c>
      <c r="M9083">
        <f>LET(
    seasoning_years,DATEDIF('Loan Tape (S&amp;P)'!K9083,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83">
        <f>IF(AND('Loan Tape (S&amp;P)'!U9083="Yes",
        'Loan Tape (S&amp;P)'!T9083&lt;&gt;"Yes",
        DATEDIF('Loan Tape (S&amp;P)'!K9083, TODAY(), "M")&lt;18),
    1.10,
    1.00)</f>
        <v/>
      </c>
      <c r="O9083">
        <f>IF('Loan Tape (S&amp;P)'!T9083="Yes",
    1.35,
    1.00)</f>
        <v/>
      </c>
      <c r="P9083">
        <f>IF('Loan Tape (S&amp;P)'!S9083="Yes",
    1.15,
    1.00)</f>
        <v/>
      </c>
      <c r="Q9083">
        <f>IF('Loan Tape (S&amp;P)'!V9083="Yes",
    1.20,
    1.00)</f>
        <v/>
      </c>
      <c r="T9083">
        <f>LET(
    payment_method,'Loan Tape (S&amp;P)'!P9083,
    occupancy,'Loan Tape (S&amp;P)'!N9083,
    maturity_date,'Loan Tape (S&amp;P)'!L9083,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84">
      <c r="J9084">
        <f>LET(
    lien,'Loan Tape (S&amp;P)'!Q9084,
    IF(lien="First",1.00,
        IF(lien="Second",1.50,
            1.70)))</f>
        <v/>
      </c>
      <c r="K9084">
        <f>LET(
    purpose,'Loan Tape (S&amp;P)'!R9084,
    IF(purpose="Purchase",1.00,
        IF(purpose="Remortgage",1.00,
            1.20)))</f>
        <v/>
      </c>
      <c r="L9084">
        <f>LET(
    arrears_months,'Loan Tape (S&amp;P)'!AN9084,
    IF(arrears_months=0,1.00,
    IF(arrears_months=1,3.00,
    IF(arrears_months=2,5.00,
    IF(arrears_months=3,8.00,
    IF(arrears_months=4,10.00,
    IF(arrears_months=5,12.00,15.00)))))))</f>
        <v/>
      </c>
      <c r="M9084">
        <f>LET(
    seasoning_years,DATEDIF('Loan Tape (S&amp;P)'!K9084,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84">
        <f>IF(AND('Loan Tape (S&amp;P)'!U9084="Yes",
        'Loan Tape (S&amp;P)'!T9084&lt;&gt;"Yes",
        DATEDIF('Loan Tape (S&amp;P)'!K9084, TODAY(), "M")&lt;18),
    1.10,
    1.00)</f>
        <v/>
      </c>
      <c r="O9084">
        <f>IF('Loan Tape (S&amp;P)'!T9084="Yes",
    1.35,
    1.00)</f>
        <v/>
      </c>
      <c r="P9084">
        <f>IF('Loan Tape (S&amp;P)'!S9084="Yes",
    1.15,
    1.00)</f>
        <v/>
      </c>
      <c r="Q9084">
        <f>IF('Loan Tape (S&amp;P)'!V9084="Yes",
    1.20,
    1.00)</f>
        <v/>
      </c>
      <c r="T9084">
        <f>LET(
    payment_method,'Loan Tape (S&amp;P)'!P9084,
    occupancy,'Loan Tape (S&amp;P)'!N9084,
    maturity_date,'Loan Tape (S&amp;P)'!L9084,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85">
      <c r="J9085">
        <f>LET(
    lien,'Loan Tape (S&amp;P)'!Q9085,
    IF(lien="First",1.00,
        IF(lien="Second",1.50,
            1.70)))</f>
        <v/>
      </c>
      <c r="K9085">
        <f>LET(
    purpose,'Loan Tape (S&amp;P)'!R9085,
    IF(purpose="Purchase",1.00,
        IF(purpose="Remortgage",1.00,
            1.20)))</f>
        <v/>
      </c>
      <c r="L9085">
        <f>LET(
    arrears_months,'Loan Tape (S&amp;P)'!AN9085,
    IF(arrears_months=0,1.00,
    IF(arrears_months=1,3.00,
    IF(arrears_months=2,5.00,
    IF(arrears_months=3,8.00,
    IF(arrears_months=4,10.00,
    IF(arrears_months=5,12.00,15.00)))))))</f>
        <v/>
      </c>
      <c r="M9085">
        <f>LET(
    seasoning_years,DATEDIF('Loan Tape (S&amp;P)'!K9085,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85">
        <f>IF(AND('Loan Tape (S&amp;P)'!U9085="Yes",
        'Loan Tape (S&amp;P)'!T9085&lt;&gt;"Yes",
        DATEDIF('Loan Tape (S&amp;P)'!K9085, TODAY(), "M")&lt;18),
    1.10,
    1.00)</f>
        <v/>
      </c>
      <c r="O9085">
        <f>IF('Loan Tape (S&amp;P)'!T9085="Yes",
    1.35,
    1.00)</f>
        <v/>
      </c>
      <c r="P9085">
        <f>IF('Loan Tape (S&amp;P)'!S9085="Yes",
    1.15,
    1.00)</f>
        <v/>
      </c>
      <c r="Q9085">
        <f>IF('Loan Tape (S&amp;P)'!V9085="Yes",
    1.20,
    1.00)</f>
        <v/>
      </c>
      <c r="T9085">
        <f>LET(
    payment_method,'Loan Tape (S&amp;P)'!P9085,
    occupancy,'Loan Tape (S&amp;P)'!N9085,
    maturity_date,'Loan Tape (S&amp;P)'!L9085,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86">
      <c r="J9086">
        <f>LET(
    lien,'Loan Tape (S&amp;P)'!Q9086,
    IF(lien="First",1.00,
        IF(lien="Second",1.50,
            1.70)))</f>
        <v/>
      </c>
      <c r="K9086">
        <f>LET(
    purpose,'Loan Tape (S&amp;P)'!R9086,
    IF(purpose="Purchase",1.00,
        IF(purpose="Remortgage",1.00,
            1.20)))</f>
        <v/>
      </c>
      <c r="L9086">
        <f>LET(
    arrears_months,'Loan Tape (S&amp;P)'!AN9086,
    IF(arrears_months=0,1.00,
    IF(arrears_months=1,3.00,
    IF(arrears_months=2,5.00,
    IF(arrears_months=3,8.00,
    IF(arrears_months=4,10.00,
    IF(arrears_months=5,12.00,15.00)))))))</f>
        <v/>
      </c>
      <c r="M9086">
        <f>LET(
    seasoning_years,DATEDIF('Loan Tape (S&amp;P)'!K9086,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86">
        <f>IF(AND('Loan Tape (S&amp;P)'!U9086="Yes",
        'Loan Tape (S&amp;P)'!T9086&lt;&gt;"Yes",
        DATEDIF('Loan Tape (S&amp;P)'!K9086, TODAY(), "M")&lt;18),
    1.10,
    1.00)</f>
        <v/>
      </c>
      <c r="O9086">
        <f>IF('Loan Tape (S&amp;P)'!T9086="Yes",
    1.35,
    1.00)</f>
        <v/>
      </c>
      <c r="P9086">
        <f>IF('Loan Tape (S&amp;P)'!S9086="Yes",
    1.15,
    1.00)</f>
        <v/>
      </c>
      <c r="Q9086">
        <f>IF('Loan Tape (S&amp;P)'!V9086="Yes",
    1.20,
    1.00)</f>
        <v/>
      </c>
      <c r="T9086">
        <f>LET(
    payment_method,'Loan Tape (S&amp;P)'!P9086,
    occupancy,'Loan Tape (S&amp;P)'!N9086,
    maturity_date,'Loan Tape (S&amp;P)'!L9086,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87">
      <c r="J9087">
        <f>LET(
    lien,'Loan Tape (S&amp;P)'!Q9087,
    IF(lien="First",1.00,
        IF(lien="Second",1.50,
            1.70)))</f>
        <v/>
      </c>
      <c r="K9087">
        <f>LET(
    purpose,'Loan Tape (S&amp;P)'!R9087,
    IF(purpose="Purchase",1.00,
        IF(purpose="Remortgage",1.00,
            1.20)))</f>
        <v/>
      </c>
      <c r="L9087">
        <f>LET(
    arrears_months,'Loan Tape (S&amp;P)'!AN9087,
    IF(arrears_months=0,1.00,
    IF(arrears_months=1,3.00,
    IF(arrears_months=2,5.00,
    IF(arrears_months=3,8.00,
    IF(arrears_months=4,10.00,
    IF(arrears_months=5,12.00,15.00)))))))</f>
        <v/>
      </c>
      <c r="M9087">
        <f>LET(
    seasoning_years,DATEDIF('Loan Tape (S&amp;P)'!K9087,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87">
        <f>IF(AND('Loan Tape (S&amp;P)'!U9087="Yes",
        'Loan Tape (S&amp;P)'!T9087&lt;&gt;"Yes",
        DATEDIF('Loan Tape (S&amp;P)'!K9087, TODAY(), "M")&lt;18),
    1.10,
    1.00)</f>
        <v/>
      </c>
      <c r="O9087">
        <f>IF('Loan Tape (S&amp;P)'!T9087="Yes",
    1.35,
    1.00)</f>
        <v/>
      </c>
      <c r="P9087">
        <f>IF('Loan Tape (S&amp;P)'!S9087="Yes",
    1.15,
    1.00)</f>
        <v/>
      </c>
      <c r="Q9087">
        <f>IF('Loan Tape (S&amp;P)'!V9087="Yes",
    1.20,
    1.00)</f>
        <v/>
      </c>
      <c r="T9087">
        <f>LET(
    payment_method,'Loan Tape (S&amp;P)'!P9087,
    occupancy,'Loan Tape (S&amp;P)'!N9087,
    maturity_date,'Loan Tape (S&amp;P)'!L9087,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88">
      <c r="J9088">
        <f>LET(
    lien,'Loan Tape (S&amp;P)'!Q9088,
    IF(lien="First",1.00,
        IF(lien="Second",1.50,
            1.70)))</f>
        <v/>
      </c>
      <c r="K9088">
        <f>LET(
    purpose,'Loan Tape (S&amp;P)'!R9088,
    IF(purpose="Purchase",1.00,
        IF(purpose="Remortgage",1.00,
            1.20)))</f>
        <v/>
      </c>
      <c r="L9088">
        <f>LET(
    arrears_months,'Loan Tape (S&amp;P)'!AN9088,
    IF(arrears_months=0,1.00,
    IF(arrears_months=1,3.00,
    IF(arrears_months=2,5.00,
    IF(arrears_months=3,8.00,
    IF(arrears_months=4,10.00,
    IF(arrears_months=5,12.00,15.00)))))))</f>
        <v/>
      </c>
      <c r="M9088">
        <f>LET(
    seasoning_years,DATEDIF('Loan Tape (S&amp;P)'!K9088,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88">
        <f>IF(AND('Loan Tape (S&amp;P)'!U9088="Yes",
        'Loan Tape (S&amp;P)'!T9088&lt;&gt;"Yes",
        DATEDIF('Loan Tape (S&amp;P)'!K9088, TODAY(), "M")&lt;18),
    1.10,
    1.00)</f>
        <v/>
      </c>
      <c r="O9088">
        <f>IF('Loan Tape (S&amp;P)'!T9088="Yes",
    1.35,
    1.00)</f>
        <v/>
      </c>
      <c r="P9088">
        <f>IF('Loan Tape (S&amp;P)'!S9088="Yes",
    1.15,
    1.00)</f>
        <v/>
      </c>
      <c r="Q9088">
        <f>IF('Loan Tape (S&amp;P)'!V9088="Yes",
    1.20,
    1.00)</f>
        <v/>
      </c>
      <c r="T9088">
        <f>LET(
    payment_method,'Loan Tape (S&amp;P)'!P9088,
    occupancy,'Loan Tape (S&amp;P)'!N9088,
    maturity_date,'Loan Tape (S&amp;P)'!L9088,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89">
      <c r="J9089">
        <f>LET(
    lien,'Loan Tape (S&amp;P)'!Q9089,
    IF(lien="First",1.00,
        IF(lien="Second",1.50,
            1.70)))</f>
        <v/>
      </c>
      <c r="K9089">
        <f>LET(
    purpose,'Loan Tape (S&amp;P)'!R9089,
    IF(purpose="Purchase",1.00,
        IF(purpose="Remortgage",1.00,
            1.20)))</f>
        <v/>
      </c>
      <c r="L9089">
        <f>LET(
    arrears_months,'Loan Tape (S&amp;P)'!AN9089,
    IF(arrears_months=0,1.00,
    IF(arrears_months=1,3.00,
    IF(arrears_months=2,5.00,
    IF(arrears_months=3,8.00,
    IF(arrears_months=4,10.00,
    IF(arrears_months=5,12.00,15.00)))))))</f>
        <v/>
      </c>
      <c r="M9089">
        <f>LET(
    seasoning_years,DATEDIF('Loan Tape (S&amp;P)'!K9089,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89">
        <f>IF(AND('Loan Tape (S&amp;P)'!U9089="Yes",
        'Loan Tape (S&amp;P)'!T9089&lt;&gt;"Yes",
        DATEDIF('Loan Tape (S&amp;P)'!K9089, TODAY(), "M")&lt;18),
    1.10,
    1.00)</f>
        <v/>
      </c>
      <c r="O9089">
        <f>IF('Loan Tape (S&amp;P)'!T9089="Yes",
    1.35,
    1.00)</f>
        <v/>
      </c>
      <c r="P9089">
        <f>IF('Loan Tape (S&amp;P)'!S9089="Yes",
    1.15,
    1.00)</f>
        <v/>
      </c>
      <c r="Q9089">
        <f>IF('Loan Tape (S&amp;P)'!V9089="Yes",
    1.20,
    1.00)</f>
        <v/>
      </c>
      <c r="T9089">
        <f>LET(
    payment_method,'Loan Tape (S&amp;P)'!P9089,
    occupancy,'Loan Tape (S&amp;P)'!N9089,
    maturity_date,'Loan Tape (S&amp;P)'!L9089,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90">
      <c r="J9090">
        <f>LET(
    lien,'Loan Tape (S&amp;P)'!Q9090,
    IF(lien="First",1.00,
        IF(lien="Second",1.50,
            1.70)))</f>
        <v/>
      </c>
      <c r="K9090">
        <f>LET(
    purpose,'Loan Tape (S&amp;P)'!R9090,
    IF(purpose="Purchase",1.00,
        IF(purpose="Remortgage",1.00,
            1.20)))</f>
        <v/>
      </c>
      <c r="L9090">
        <f>LET(
    arrears_months,'Loan Tape (S&amp;P)'!AN9090,
    IF(arrears_months=0,1.00,
    IF(arrears_months=1,3.00,
    IF(arrears_months=2,5.00,
    IF(arrears_months=3,8.00,
    IF(arrears_months=4,10.00,
    IF(arrears_months=5,12.00,15.00)))))))</f>
        <v/>
      </c>
      <c r="M9090">
        <f>LET(
    seasoning_years,DATEDIF('Loan Tape (S&amp;P)'!K9090,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90">
        <f>IF(AND('Loan Tape (S&amp;P)'!U9090="Yes",
        'Loan Tape (S&amp;P)'!T9090&lt;&gt;"Yes",
        DATEDIF('Loan Tape (S&amp;P)'!K9090, TODAY(), "M")&lt;18),
    1.10,
    1.00)</f>
        <v/>
      </c>
      <c r="O9090">
        <f>IF('Loan Tape (S&amp;P)'!T9090="Yes",
    1.35,
    1.00)</f>
        <v/>
      </c>
      <c r="P9090">
        <f>IF('Loan Tape (S&amp;P)'!S9090="Yes",
    1.15,
    1.00)</f>
        <v/>
      </c>
      <c r="Q9090">
        <f>IF('Loan Tape (S&amp;P)'!V9090="Yes",
    1.20,
    1.00)</f>
        <v/>
      </c>
      <c r="T9090">
        <f>LET(
    payment_method,'Loan Tape (S&amp;P)'!P9090,
    occupancy,'Loan Tape (S&amp;P)'!N9090,
    maturity_date,'Loan Tape (S&amp;P)'!L9090,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91">
      <c r="J9091">
        <f>LET(
    lien,'Loan Tape (S&amp;P)'!Q9091,
    IF(lien="First",1.00,
        IF(lien="Second",1.50,
            1.70)))</f>
        <v/>
      </c>
      <c r="K9091">
        <f>LET(
    purpose,'Loan Tape (S&amp;P)'!R9091,
    IF(purpose="Purchase",1.00,
        IF(purpose="Remortgage",1.00,
            1.20)))</f>
        <v/>
      </c>
      <c r="L9091">
        <f>LET(
    arrears_months,'Loan Tape (S&amp;P)'!AN9091,
    IF(arrears_months=0,1.00,
    IF(arrears_months=1,3.00,
    IF(arrears_months=2,5.00,
    IF(arrears_months=3,8.00,
    IF(arrears_months=4,10.00,
    IF(arrears_months=5,12.00,15.00)))))))</f>
        <v/>
      </c>
      <c r="M9091">
        <f>LET(
    seasoning_years,DATEDIF('Loan Tape (S&amp;P)'!K9091,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91">
        <f>IF(AND('Loan Tape (S&amp;P)'!U9091="Yes",
        'Loan Tape (S&amp;P)'!T9091&lt;&gt;"Yes",
        DATEDIF('Loan Tape (S&amp;P)'!K9091, TODAY(), "M")&lt;18),
    1.10,
    1.00)</f>
        <v/>
      </c>
      <c r="O9091">
        <f>IF('Loan Tape (S&amp;P)'!T9091="Yes",
    1.35,
    1.00)</f>
        <v/>
      </c>
      <c r="P9091">
        <f>IF('Loan Tape (S&amp;P)'!S9091="Yes",
    1.15,
    1.00)</f>
        <v/>
      </c>
      <c r="Q9091">
        <f>IF('Loan Tape (S&amp;P)'!V9091="Yes",
    1.20,
    1.00)</f>
        <v/>
      </c>
      <c r="T9091">
        <f>LET(
    payment_method,'Loan Tape (S&amp;P)'!P9091,
    occupancy,'Loan Tape (S&amp;P)'!N9091,
    maturity_date,'Loan Tape (S&amp;P)'!L9091,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92">
      <c r="J9092">
        <f>LET(
    lien,'Loan Tape (S&amp;P)'!Q9092,
    IF(lien="First",1.00,
        IF(lien="Second",1.50,
            1.70)))</f>
        <v/>
      </c>
      <c r="K9092">
        <f>LET(
    purpose,'Loan Tape (S&amp;P)'!R9092,
    IF(purpose="Purchase",1.00,
        IF(purpose="Remortgage",1.00,
            1.20)))</f>
        <v/>
      </c>
      <c r="L9092">
        <f>LET(
    arrears_months,'Loan Tape (S&amp;P)'!AN9092,
    IF(arrears_months=0,1.00,
    IF(arrears_months=1,3.00,
    IF(arrears_months=2,5.00,
    IF(arrears_months=3,8.00,
    IF(arrears_months=4,10.00,
    IF(arrears_months=5,12.00,15.00)))))))</f>
        <v/>
      </c>
      <c r="M9092">
        <f>LET(
    seasoning_years,DATEDIF('Loan Tape (S&amp;P)'!K9092,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92">
        <f>IF(AND('Loan Tape (S&amp;P)'!U9092="Yes",
        'Loan Tape (S&amp;P)'!T9092&lt;&gt;"Yes",
        DATEDIF('Loan Tape (S&amp;P)'!K9092, TODAY(), "M")&lt;18),
    1.10,
    1.00)</f>
        <v/>
      </c>
      <c r="O9092">
        <f>IF('Loan Tape (S&amp;P)'!T9092="Yes",
    1.35,
    1.00)</f>
        <v/>
      </c>
      <c r="P9092">
        <f>IF('Loan Tape (S&amp;P)'!S9092="Yes",
    1.15,
    1.00)</f>
        <v/>
      </c>
      <c r="Q9092">
        <f>IF('Loan Tape (S&amp;P)'!V9092="Yes",
    1.20,
    1.00)</f>
        <v/>
      </c>
      <c r="T9092">
        <f>LET(
    payment_method,'Loan Tape (S&amp;P)'!P9092,
    occupancy,'Loan Tape (S&amp;P)'!N9092,
    maturity_date,'Loan Tape (S&amp;P)'!L9092,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93">
      <c r="J9093">
        <f>LET(
    lien,'Loan Tape (S&amp;P)'!Q9093,
    IF(lien="First",1.00,
        IF(lien="Second",1.50,
            1.70)))</f>
        <v/>
      </c>
      <c r="K9093">
        <f>LET(
    purpose,'Loan Tape (S&amp;P)'!R9093,
    IF(purpose="Purchase",1.00,
        IF(purpose="Remortgage",1.00,
            1.20)))</f>
        <v/>
      </c>
      <c r="L9093">
        <f>LET(
    arrears_months,'Loan Tape (S&amp;P)'!AN9093,
    IF(arrears_months=0,1.00,
    IF(arrears_months=1,3.00,
    IF(arrears_months=2,5.00,
    IF(arrears_months=3,8.00,
    IF(arrears_months=4,10.00,
    IF(arrears_months=5,12.00,15.00)))))))</f>
        <v/>
      </c>
      <c r="M9093">
        <f>LET(
    seasoning_years,DATEDIF('Loan Tape (S&amp;P)'!K9093,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93">
        <f>IF(AND('Loan Tape (S&amp;P)'!U9093="Yes",
        'Loan Tape (S&amp;P)'!T9093&lt;&gt;"Yes",
        DATEDIF('Loan Tape (S&amp;P)'!K9093, TODAY(), "M")&lt;18),
    1.10,
    1.00)</f>
        <v/>
      </c>
      <c r="O9093">
        <f>IF('Loan Tape (S&amp;P)'!T9093="Yes",
    1.35,
    1.00)</f>
        <v/>
      </c>
      <c r="P9093">
        <f>IF('Loan Tape (S&amp;P)'!S9093="Yes",
    1.15,
    1.00)</f>
        <v/>
      </c>
      <c r="Q9093">
        <f>IF('Loan Tape (S&amp;P)'!V9093="Yes",
    1.20,
    1.00)</f>
        <v/>
      </c>
      <c r="T9093">
        <f>LET(
    payment_method,'Loan Tape (S&amp;P)'!P9093,
    occupancy,'Loan Tape (S&amp;P)'!N9093,
    maturity_date,'Loan Tape (S&amp;P)'!L9093,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94">
      <c r="J9094">
        <f>LET(
    lien,'Loan Tape (S&amp;P)'!Q9094,
    IF(lien="First",1.00,
        IF(lien="Second",1.50,
            1.70)))</f>
        <v/>
      </c>
      <c r="K9094">
        <f>LET(
    purpose,'Loan Tape (S&amp;P)'!R9094,
    IF(purpose="Purchase",1.00,
        IF(purpose="Remortgage",1.00,
            1.20)))</f>
        <v/>
      </c>
      <c r="L9094">
        <f>LET(
    arrears_months,'Loan Tape (S&amp;P)'!AN9094,
    IF(arrears_months=0,1.00,
    IF(arrears_months=1,3.00,
    IF(arrears_months=2,5.00,
    IF(arrears_months=3,8.00,
    IF(arrears_months=4,10.00,
    IF(arrears_months=5,12.00,15.00)))))))</f>
        <v/>
      </c>
      <c r="M9094">
        <f>LET(
    seasoning_years,DATEDIF('Loan Tape (S&amp;P)'!K9094,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94">
        <f>IF(AND('Loan Tape (S&amp;P)'!U9094="Yes",
        'Loan Tape (S&amp;P)'!T9094&lt;&gt;"Yes",
        DATEDIF('Loan Tape (S&amp;P)'!K9094, TODAY(), "M")&lt;18),
    1.10,
    1.00)</f>
        <v/>
      </c>
      <c r="O9094">
        <f>IF('Loan Tape (S&amp;P)'!T9094="Yes",
    1.35,
    1.00)</f>
        <v/>
      </c>
      <c r="P9094">
        <f>IF('Loan Tape (S&amp;P)'!S9094="Yes",
    1.15,
    1.00)</f>
        <v/>
      </c>
      <c r="Q9094">
        <f>IF('Loan Tape (S&amp;P)'!V9094="Yes",
    1.20,
    1.00)</f>
        <v/>
      </c>
      <c r="T9094">
        <f>LET(
    payment_method,'Loan Tape (S&amp;P)'!P9094,
    occupancy,'Loan Tape (S&amp;P)'!N9094,
    maturity_date,'Loan Tape (S&amp;P)'!L9094,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95">
      <c r="J9095">
        <f>LET(
    lien,'Loan Tape (S&amp;P)'!Q9095,
    IF(lien="First",1.00,
        IF(lien="Second",1.50,
            1.70)))</f>
        <v/>
      </c>
      <c r="K9095">
        <f>LET(
    purpose,'Loan Tape (S&amp;P)'!R9095,
    IF(purpose="Purchase",1.00,
        IF(purpose="Remortgage",1.00,
            1.20)))</f>
        <v/>
      </c>
      <c r="L9095">
        <f>LET(
    arrears_months,'Loan Tape (S&amp;P)'!AN9095,
    IF(arrears_months=0,1.00,
    IF(arrears_months=1,3.00,
    IF(arrears_months=2,5.00,
    IF(arrears_months=3,8.00,
    IF(arrears_months=4,10.00,
    IF(arrears_months=5,12.00,15.00)))))))</f>
        <v/>
      </c>
      <c r="M9095">
        <f>LET(
    seasoning_years,DATEDIF('Loan Tape (S&amp;P)'!K9095,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95">
        <f>IF(AND('Loan Tape (S&amp;P)'!U9095="Yes",
        'Loan Tape (S&amp;P)'!T9095&lt;&gt;"Yes",
        DATEDIF('Loan Tape (S&amp;P)'!K9095, TODAY(), "M")&lt;18),
    1.10,
    1.00)</f>
        <v/>
      </c>
      <c r="O9095">
        <f>IF('Loan Tape (S&amp;P)'!T9095="Yes",
    1.35,
    1.00)</f>
        <v/>
      </c>
      <c r="P9095">
        <f>IF('Loan Tape (S&amp;P)'!S9095="Yes",
    1.15,
    1.00)</f>
        <v/>
      </c>
      <c r="Q9095">
        <f>IF('Loan Tape (S&amp;P)'!V9095="Yes",
    1.20,
    1.00)</f>
        <v/>
      </c>
      <c r="T9095">
        <f>LET(
    payment_method,'Loan Tape (S&amp;P)'!P9095,
    occupancy,'Loan Tape (S&amp;P)'!N9095,
    maturity_date,'Loan Tape (S&amp;P)'!L9095,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96">
      <c r="J9096">
        <f>LET(
    lien,'Loan Tape (S&amp;P)'!Q9096,
    IF(lien="First",1.00,
        IF(lien="Second",1.50,
            1.70)))</f>
        <v/>
      </c>
      <c r="K9096">
        <f>LET(
    purpose,'Loan Tape (S&amp;P)'!R9096,
    IF(purpose="Purchase",1.00,
        IF(purpose="Remortgage",1.00,
            1.20)))</f>
        <v/>
      </c>
      <c r="L9096">
        <f>LET(
    arrears_months,'Loan Tape (S&amp;P)'!AN9096,
    IF(arrears_months=0,1.00,
    IF(arrears_months=1,3.00,
    IF(arrears_months=2,5.00,
    IF(arrears_months=3,8.00,
    IF(arrears_months=4,10.00,
    IF(arrears_months=5,12.00,15.00)))))))</f>
        <v/>
      </c>
      <c r="M9096">
        <f>LET(
    seasoning_years,DATEDIF('Loan Tape (S&amp;P)'!K9096,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96">
        <f>IF(AND('Loan Tape (S&amp;P)'!U9096="Yes",
        'Loan Tape (S&amp;P)'!T9096&lt;&gt;"Yes",
        DATEDIF('Loan Tape (S&amp;P)'!K9096, TODAY(), "M")&lt;18),
    1.10,
    1.00)</f>
        <v/>
      </c>
      <c r="O9096">
        <f>IF('Loan Tape (S&amp;P)'!T9096="Yes",
    1.35,
    1.00)</f>
        <v/>
      </c>
      <c r="P9096">
        <f>IF('Loan Tape (S&amp;P)'!S9096="Yes",
    1.15,
    1.00)</f>
        <v/>
      </c>
      <c r="Q9096">
        <f>IF('Loan Tape (S&amp;P)'!V9096="Yes",
    1.20,
    1.00)</f>
        <v/>
      </c>
      <c r="T9096">
        <f>LET(
    payment_method,'Loan Tape (S&amp;P)'!P9096,
    occupancy,'Loan Tape (S&amp;P)'!N9096,
    maturity_date,'Loan Tape (S&amp;P)'!L9096,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97">
      <c r="J9097">
        <f>LET(
    lien,'Loan Tape (S&amp;P)'!Q9097,
    IF(lien="First",1.00,
        IF(lien="Second",1.50,
            1.70)))</f>
        <v/>
      </c>
      <c r="K9097">
        <f>LET(
    purpose,'Loan Tape (S&amp;P)'!R9097,
    IF(purpose="Purchase",1.00,
        IF(purpose="Remortgage",1.00,
            1.20)))</f>
        <v/>
      </c>
      <c r="L9097">
        <f>LET(
    arrears_months,'Loan Tape (S&amp;P)'!AN9097,
    IF(arrears_months=0,1.00,
    IF(arrears_months=1,3.00,
    IF(arrears_months=2,5.00,
    IF(arrears_months=3,8.00,
    IF(arrears_months=4,10.00,
    IF(arrears_months=5,12.00,15.00)))))))</f>
        <v/>
      </c>
      <c r="M9097">
        <f>LET(
    seasoning_years,DATEDIF('Loan Tape (S&amp;P)'!K9097,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97">
        <f>IF(AND('Loan Tape (S&amp;P)'!U9097="Yes",
        'Loan Tape (S&amp;P)'!T9097&lt;&gt;"Yes",
        DATEDIF('Loan Tape (S&amp;P)'!K9097, TODAY(), "M")&lt;18),
    1.10,
    1.00)</f>
        <v/>
      </c>
      <c r="O9097">
        <f>IF('Loan Tape (S&amp;P)'!T9097="Yes",
    1.35,
    1.00)</f>
        <v/>
      </c>
      <c r="P9097">
        <f>IF('Loan Tape (S&amp;P)'!S9097="Yes",
    1.15,
    1.00)</f>
        <v/>
      </c>
      <c r="Q9097">
        <f>IF('Loan Tape (S&amp;P)'!V9097="Yes",
    1.20,
    1.00)</f>
        <v/>
      </c>
      <c r="T9097">
        <f>LET(
    payment_method,'Loan Tape (S&amp;P)'!P9097,
    occupancy,'Loan Tape (S&amp;P)'!N9097,
    maturity_date,'Loan Tape (S&amp;P)'!L9097,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98">
      <c r="J9098">
        <f>LET(
    lien,'Loan Tape (S&amp;P)'!Q9098,
    IF(lien="First",1.00,
        IF(lien="Second",1.50,
            1.70)))</f>
        <v/>
      </c>
      <c r="K9098">
        <f>LET(
    purpose,'Loan Tape (S&amp;P)'!R9098,
    IF(purpose="Purchase",1.00,
        IF(purpose="Remortgage",1.00,
            1.20)))</f>
        <v/>
      </c>
      <c r="L9098">
        <f>LET(
    arrears_months,'Loan Tape (S&amp;P)'!AN9098,
    IF(arrears_months=0,1.00,
    IF(arrears_months=1,3.00,
    IF(arrears_months=2,5.00,
    IF(arrears_months=3,8.00,
    IF(arrears_months=4,10.00,
    IF(arrears_months=5,12.00,15.00)))))))</f>
        <v/>
      </c>
      <c r="M9098">
        <f>LET(
    seasoning_years,DATEDIF('Loan Tape (S&amp;P)'!K9098,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98">
        <f>IF(AND('Loan Tape (S&amp;P)'!U9098="Yes",
        'Loan Tape (S&amp;P)'!T9098&lt;&gt;"Yes",
        DATEDIF('Loan Tape (S&amp;P)'!K9098, TODAY(), "M")&lt;18),
    1.10,
    1.00)</f>
        <v/>
      </c>
      <c r="O9098">
        <f>IF('Loan Tape (S&amp;P)'!T9098="Yes",
    1.35,
    1.00)</f>
        <v/>
      </c>
      <c r="P9098">
        <f>IF('Loan Tape (S&amp;P)'!S9098="Yes",
    1.15,
    1.00)</f>
        <v/>
      </c>
      <c r="Q9098">
        <f>IF('Loan Tape (S&amp;P)'!V9098="Yes",
    1.20,
    1.00)</f>
        <v/>
      </c>
      <c r="T9098">
        <f>LET(
    payment_method,'Loan Tape (S&amp;P)'!P9098,
    occupancy,'Loan Tape (S&amp;P)'!N9098,
    maturity_date,'Loan Tape (S&amp;P)'!L9098,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099">
      <c r="J9099">
        <f>LET(
    lien,'Loan Tape (S&amp;P)'!Q9099,
    IF(lien="First",1.00,
        IF(lien="Second",1.50,
            1.70)))</f>
        <v/>
      </c>
      <c r="K9099">
        <f>LET(
    purpose,'Loan Tape (S&amp;P)'!R9099,
    IF(purpose="Purchase",1.00,
        IF(purpose="Remortgage",1.00,
            1.20)))</f>
        <v/>
      </c>
      <c r="L9099">
        <f>LET(
    arrears_months,'Loan Tape (S&amp;P)'!AN9099,
    IF(arrears_months=0,1.00,
    IF(arrears_months=1,3.00,
    IF(arrears_months=2,5.00,
    IF(arrears_months=3,8.00,
    IF(arrears_months=4,10.00,
    IF(arrears_months=5,12.00,15.00)))))))</f>
        <v/>
      </c>
      <c r="M9099">
        <f>LET(
    seasoning_years,DATEDIF('Loan Tape (S&amp;P)'!K9099,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099">
        <f>IF(AND('Loan Tape (S&amp;P)'!U9099="Yes",
        'Loan Tape (S&amp;P)'!T9099&lt;&gt;"Yes",
        DATEDIF('Loan Tape (S&amp;P)'!K9099, TODAY(), "M")&lt;18),
    1.10,
    1.00)</f>
        <v/>
      </c>
      <c r="O9099">
        <f>IF('Loan Tape (S&amp;P)'!T9099="Yes",
    1.35,
    1.00)</f>
        <v/>
      </c>
      <c r="P9099">
        <f>IF('Loan Tape (S&amp;P)'!S9099="Yes",
    1.15,
    1.00)</f>
        <v/>
      </c>
      <c r="Q9099">
        <f>IF('Loan Tape (S&amp;P)'!V9099="Yes",
    1.20,
    1.00)</f>
        <v/>
      </c>
      <c r="T9099">
        <f>LET(
    payment_method,'Loan Tape (S&amp;P)'!P9099,
    occupancy,'Loan Tape (S&amp;P)'!N9099,
    maturity_date,'Loan Tape (S&amp;P)'!L9099,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00">
      <c r="J9100">
        <f>LET(
    lien,'Loan Tape (S&amp;P)'!Q9100,
    IF(lien="First",1.00,
        IF(lien="Second",1.50,
            1.70)))</f>
        <v/>
      </c>
      <c r="K9100">
        <f>LET(
    purpose,'Loan Tape (S&amp;P)'!R9100,
    IF(purpose="Purchase",1.00,
        IF(purpose="Remortgage",1.00,
            1.20)))</f>
        <v/>
      </c>
      <c r="L9100">
        <f>LET(
    arrears_months,'Loan Tape (S&amp;P)'!AN9100,
    IF(arrears_months=0,1.00,
    IF(arrears_months=1,3.00,
    IF(arrears_months=2,5.00,
    IF(arrears_months=3,8.00,
    IF(arrears_months=4,10.00,
    IF(arrears_months=5,12.00,15.00)))))))</f>
        <v/>
      </c>
      <c r="M9100">
        <f>LET(
    seasoning_years,DATEDIF('Loan Tape (S&amp;P)'!K9100,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00">
        <f>IF(AND('Loan Tape (S&amp;P)'!U9100="Yes",
        'Loan Tape (S&amp;P)'!T9100&lt;&gt;"Yes",
        DATEDIF('Loan Tape (S&amp;P)'!K9100, TODAY(), "M")&lt;18),
    1.10,
    1.00)</f>
        <v/>
      </c>
      <c r="O9100">
        <f>IF('Loan Tape (S&amp;P)'!T9100="Yes",
    1.35,
    1.00)</f>
        <v/>
      </c>
      <c r="P9100">
        <f>IF('Loan Tape (S&amp;P)'!S9100="Yes",
    1.15,
    1.00)</f>
        <v/>
      </c>
      <c r="Q9100">
        <f>IF('Loan Tape (S&amp;P)'!V9100="Yes",
    1.20,
    1.00)</f>
        <v/>
      </c>
      <c r="T9100">
        <f>LET(
    payment_method,'Loan Tape (S&amp;P)'!P9100,
    occupancy,'Loan Tape (S&amp;P)'!N9100,
    maturity_date,'Loan Tape (S&amp;P)'!L9100,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01">
      <c r="J9101">
        <f>LET(
    lien,'Loan Tape (S&amp;P)'!Q9101,
    IF(lien="First",1.00,
        IF(lien="Second",1.50,
            1.70)))</f>
        <v/>
      </c>
      <c r="K9101">
        <f>LET(
    purpose,'Loan Tape (S&amp;P)'!R9101,
    IF(purpose="Purchase",1.00,
        IF(purpose="Remortgage",1.00,
            1.20)))</f>
        <v/>
      </c>
      <c r="L9101">
        <f>LET(
    arrears_months,'Loan Tape (S&amp;P)'!AN9101,
    IF(arrears_months=0,1.00,
    IF(arrears_months=1,3.00,
    IF(arrears_months=2,5.00,
    IF(arrears_months=3,8.00,
    IF(arrears_months=4,10.00,
    IF(arrears_months=5,12.00,15.00)))))))</f>
        <v/>
      </c>
      <c r="M9101">
        <f>LET(
    seasoning_years,DATEDIF('Loan Tape (S&amp;P)'!K9101,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01">
        <f>IF(AND('Loan Tape (S&amp;P)'!U9101="Yes",
        'Loan Tape (S&amp;P)'!T9101&lt;&gt;"Yes",
        DATEDIF('Loan Tape (S&amp;P)'!K9101, TODAY(), "M")&lt;18),
    1.10,
    1.00)</f>
        <v/>
      </c>
      <c r="O9101">
        <f>IF('Loan Tape (S&amp;P)'!T9101="Yes",
    1.35,
    1.00)</f>
        <v/>
      </c>
      <c r="P9101">
        <f>IF('Loan Tape (S&amp;P)'!S9101="Yes",
    1.15,
    1.00)</f>
        <v/>
      </c>
      <c r="Q9101">
        <f>IF('Loan Tape (S&amp;P)'!V9101="Yes",
    1.20,
    1.00)</f>
        <v/>
      </c>
      <c r="T9101">
        <f>LET(
    payment_method,'Loan Tape (S&amp;P)'!P9101,
    occupancy,'Loan Tape (S&amp;P)'!N9101,
    maturity_date,'Loan Tape (S&amp;P)'!L9101,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02">
      <c r="J9102">
        <f>LET(
    lien,'Loan Tape (S&amp;P)'!Q9102,
    IF(lien="First",1.00,
        IF(lien="Second",1.50,
            1.70)))</f>
        <v/>
      </c>
      <c r="K9102">
        <f>LET(
    purpose,'Loan Tape (S&amp;P)'!R9102,
    IF(purpose="Purchase",1.00,
        IF(purpose="Remortgage",1.00,
            1.20)))</f>
        <v/>
      </c>
      <c r="L9102">
        <f>LET(
    arrears_months,'Loan Tape (S&amp;P)'!AN9102,
    IF(arrears_months=0,1.00,
    IF(arrears_months=1,3.00,
    IF(arrears_months=2,5.00,
    IF(arrears_months=3,8.00,
    IF(arrears_months=4,10.00,
    IF(arrears_months=5,12.00,15.00)))))))</f>
        <v/>
      </c>
      <c r="M9102">
        <f>LET(
    seasoning_years,DATEDIF('Loan Tape (S&amp;P)'!K9102,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02">
        <f>IF(AND('Loan Tape (S&amp;P)'!U9102="Yes",
        'Loan Tape (S&amp;P)'!T9102&lt;&gt;"Yes",
        DATEDIF('Loan Tape (S&amp;P)'!K9102, TODAY(), "M")&lt;18),
    1.10,
    1.00)</f>
        <v/>
      </c>
      <c r="O9102">
        <f>IF('Loan Tape (S&amp;P)'!T9102="Yes",
    1.35,
    1.00)</f>
        <v/>
      </c>
      <c r="P9102">
        <f>IF('Loan Tape (S&amp;P)'!S9102="Yes",
    1.15,
    1.00)</f>
        <v/>
      </c>
      <c r="Q9102">
        <f>IF('Loan Tape (S&amp;P)'!V9102="Yes",
    1.20,
    1.00)</f>
        <v/>
      </c>
      <c r="T9102">
        <f>LET(
    payment_method,'Loan Tape (S&amp;P)'!P9102,
    occupancy,'Loan Tape (S&amp;P)'!N9102,
    maturity_date,'Loan Tape (S&amp;P)'!L9102,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03">
      <c r="J9103">
        <f>LET(
    lien,'Loan Tape (S&amp;P)'!Q9103,
    IF(lien="First",1.00,
        IF(lien="Second",1.50,
            1.70)))</f>
        <v/>
      </c>
      <c r="K9103">
        <f>LET(
    purpose,'Loan Tape (S&amp;P)'!R9103,
    IF(purpose="Purchase",1.00,
        IF(purpose="Remortgage",1.00,
            1.20)))</f>
        <v/>
      </c>
      <c r="L9103">
        <f>LET(
    arrears_months,'Loan Tape (S&amp;P)'!AN9103,
    IF(arrears_months=0,1.00,
    IF(arrears_months=1,3.00,
    IF(arrears_months=2,5.00,
    IF(arrears_months=3,8.00,
    IF(arrears_months=4,10.00,
    IF(arrears_months=5,12.00,15.00)))))))</f>
        <v/>
      </c>
      <c r="M9103">
        <f>LET(
    seasoning_years,DATEDIF('Loan Tape (S&amp;P)'!K9103,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03">
        <f>IF(AND('Loan Tape (S&amp;P)'!U9103="Yes",
        'Loan Tape (S&amp;P)'!T9103&lt;&gt;"Yes",
        DATEDIF('Loan Tape (S&amp;P)'!K9103, TODAY(), "M")&lt;18),
    1.10,
    1.00)</f>
        <v/>
      </c>
      <c r="O9103">
        <f>IF('Loan Tape (S&amp;P)'!T9103="Yes",
    1.35,
    1.00)</f>
        <v/>
      </c>
      <c r="P9103">
        <f>IF('Loan Tape (S&amp;P)'!S9103="Yes",
    1.15,
    1.00)</f>
        <v/>
      </c>
      <c r="Q9103">
        <f>IF('Loan Tape (S&amp;P)'!V9103="Yes",
    1.20,
    1.00)</f>
        <v/>
      </c>
      <c r="T9103">
        <f>LET(
    payment_method,'Loan Tape (S&amp;P)'!P9103,
    occupancy,'Loan Tape (S&amp;P)'!N9103,
    maturity_date,'Loan Tape (S&amp;P)'!L9103,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04">
      <c r="J9104">
        <f>LET(
    lien,'Loan Tape (S&amp;P)'!Q9104,
    IF(lien="First",1.00,
        IF(lien="Second",1.50,
            1.70)))</f>
        <v/>
      </c>
      <c r="K9104">
        <f>LET(
    purpose,'Loan Tape (S&amp;P)'!R9104,
    IF(purpose="Purchase",1.00,
        IF(purpose="Remortgage",1.00,
            1.20)))</f>
        <v/>
      </c>
      <c r="L9104">
        <f>LET(
    arrears_months,'Loan Tape (S&amp;P)'!AN9104,
    IF(arrears_months=0,1.00,
    IF(arrears_months=1,3.00,
    IF(arrears_months=2,5.00,
    IF(arrears_months=3,8.00,
    IF(arrears_months=4,10.00,
    IF(arrears_months=5,12.00,15.00)))))))</f>
        <v/>
      </c>
      <c r="M9104">
        <f>LET(
    seasoning_years,DATEDIF('Loan Tape (S&amp;P)'!K9104,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04">
        <f>IF(AND('Loan Tape (S&amp;P)'!U9104="Yes",
        'Loan Tape (S&amp;P)'!T9104&lt;&gt;"Yes",
        DATEDIF('Loan Tape (S&amp;P)'!K9104, TODAY(), "M")&lt;18),
    1.10,
    1.00)</f>
        <v/>
      </c>
      <c r="O9104">
        <f>IF('Loan Tape (S&amp;P)'!T9104="Yes",
    1.35,
    1.00)</f>
        <v/>
      </c>
      <c r="P9104">
        <f>IF('Loan Tape (S&amp;P)'!S9104="Yes",
    1.15,
    1.00)</f>
        <v/>
      </c>
      <c r="Q9104">
        <f>IF('Loan Tape (S&amp;P)'!V9104="Yes",
    1.20,
    1.00)</f>
        <v/>
      </c>
      <c r="T9104">
        <f>LET(
    payment_method,'Loan Tape (S&amp;P)'!P9104,
    occupancy,'Loan Tape (S&amp;P)'!N9104,
    maturity_date,'Loan Tape (S&amp;P)'!L9104,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05">
      <c r="J9105">
        <f>LET(
    lien,'Loan Tape (S&amp;P)'!Q9105,
    IF(lien="First",1.00,
        IF(lien="Second",1.50,
            1.70)))</f>
        <v/>
      </c>
      <c r="K9105">
        <f>LET(
    purpose,'Loan Tape (S&amp;P)'!R9105,
    IF(purpose="Purchase",1.00,
        IF(purpose="Remortgage",1.00,
            1.20)))</f>
        <v/>
      </c>
      <c r="L9105">
        <f>LET(
    arrears_months,'Loan Tape (S&amp;P)'!AN9105,
    IF(arrears_months=0,1.00,
    IF(arrears_months=1,3.00,
    IF(arrears_months=2,5.00,
    IF(arrears_months=3,8.00,
    IF(arrears_months=4,10.00,
    IF(arrears_months=5,12.00,15.00)))))))</f>
        <v/>
      </c>
      <c r="M9105">
        <f>LET(
    seasoning_years,DATEDIF('Loan Tape (S&amp;P)'!K9105,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05">
        <f>IF(AND('Loan Tape (S&amp;P)'!U9105="Yes",
        'Loan Tape (S&amp;P)'!T9105&lt;&gt;"Yes",
        DATEDIF('Loan Tape (S&amp;P)'!K9105, TODAY(), "M")&lt;18),
    1.10,
    1.00)</f>
        <v/>
      </c>
      <c r="O9105">
        <f>IF('Loan Tape (S&amp;P)'!T9105="Yes",
    1.35,
    1.00)</f>
        <v/>
      </c>
      <c r="P9105">
        <f>IF('Loan Tape (S&amp;P)'!S9105="Yes",
    1.15,
    1.00)</f>
        <v/>
      </c>
      <c r="Q9105">
        <f>IF('Loan Tape (S&amp;P)'!V9105="Yes",
    1.20,
    1.00)</f>
        <v/>
      </c>
      <c r="T9105">
        <f>LET(
    payment_method,'Loan Tape (S&amp;P)'!P9105,
    occupancy,'Loan Tape (S&amp;P)'!N9105,
    maturity_date,'Loan Tape (S&amp;P)'!L9105,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06">
      <c r="J9106">
        <f>LET(
    lien,'Loan Tape (S&amp;P)'!Q9106,
    IF(lien="First",1.00,
        IF(lien="Second",1.50,
            1.70)))</f>
        <v/>
      </c>
      <c r="K9106">
        <f>LET(
    purpose,'Loan Tape (S&amp;P)'!R9106,
    IF(purpose="Purchase",1.00,
        IF(purpose="Remortgage",1.00,
            1.20)))</f>
        <v/>
      </c>
      <c r="L9106">
        <f>LET(
    arrears_months,'Loan Tape (S&amp;P)'!AN9106,
    IF(arrears_months=0,1.00,
    IF(arrears_months=1,3.00,
    IF(arrears_months=2,5.00,
    IF(arrears_months=3,8.00,
    IF(arrears_months=4,10.00,
    IF(arrears_months=5,12.00,15.00)))))))</f>
        <v/>
      </c>
      <c r="M9106">
        <f>LET(
    seasoning_years,DATEDIF('Loan Tape (S&amp;P)'!K9106,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06">
        <f>IF(AND('Loan Tape (S&amp;P)'!U9106="Yes",
        'Loan Tape (S&amp;P)'!T9106&lt;&gt;"Yes",
        DATEDIF('Loan Tape (S&amp;P)'!K9106, TODAY(), "M")&lt;18),
    1.10,
    1.00)</f>
        <v/>
      </c>
      <c r="O9106">
        <f>IF('Loan Tape (S&amp;P)'!T9106="Yes",
    1.35,
    1.00)</f>
        <v/>
      </c>
      <c r="P9106">
        <f>IF('Loan Tape (S&amp;P)'!S9106="Yes",
    1.15,
    1.00)</f>
        <v/>
      </c>
      <c r="Q9106">
        <f>IF('Loan Tape (S&amp;P)'!V9106="Yes",
    1.20,
    1.00)</f>
        <v/>
      </c>
      <c r="T9106">
        <f>LET(
    payment_method,'Loan Tape (S&amp;P)'!P9106,
    occupancy,'Loan Tape (S&amp;P)'!N9106,
    maturity_date,'Loan Tape (S&amp;P)'!L9106,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07">
      <c r="J9107">
        <f>LET(
    lien,'Loan Tape (S&amp;P)'!Q9107,
    IF(lien="First",1.00,
        IF(lien="Second",1.50,
            1.70)))</f>
        <v/>
      </c>
      <c r="K9107">
        <f>LET(
    purpose,'Loan Tape (S&amp;P)'!R9107,
    IF(purpose="Purchase",1.00,
        IF(purpose="Remortgage",1.00,
            1.20)))</f>
        <v/>
      </c>
      <c r="L9107">
        <f>LET(
    arrears_months,'Loan Tape (S&amp;P)'!AN9107,
    IF(arrears_months=0,1.00,
    IF(arrears_months=1,3.00,
    IF(arrears_months=2,5.00,
    IF(arrears_months=3,8.00,
    IF(arrears_months=4,10.00,
    IF(arrears_months=5,12.00,15.00)))))))</f>
        <v/>
      </c>
      <c r="M9107">
        <f>LET(
    seasoning_years,DATEDIF('Loan Tape (S&amp;P)'!K9107,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07">
        <f>IF(AND('Loan Tape (S&amp;P)'!U9107="Yes",
        'Loan Tape (S&amp;P)'!T9107&lt;&gt;"Yes",
        DATEDIF('Loan Tape (S&amp;P)'!K9107, TODAY(), "M")&lt;18),
    1.10,
    1.00)</f>
        <v/>
      </c>
      <c r="O9107">
        <f>IF('Loan Tape (S&amp;P)'!T9107="Yes",
    1.35,
    1.00)</f>
        <v/>
      </c>
      <c r="P9107">
        <f>IF('Loan Tape (S&amp;P)'!S9107="Yes",
    1.15,
    1.00)</f>
        <v/>
      </c>
      <c r="Q9107">
        <f>IF('Loan Tape (S&amp;P)'!V9107="Yes",
    1.20,
    1.00)</f>
        <v/>
      </c>
      <c r="T9107">
        <f>LET(
    payment_method,'Loan Tape (S&amp;P)'!P9107,
    occupancy,'Loan Tape (S&amp;P)'!N9107,
    maturity_date,'Loan Tape (S&amp;P)'!L9107,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08">
      <c r="J9108">
        <f>LET(
    lien,'Loan Tape (S&amp;P)'!Q9108,
    IF(lien="First",1.00,
        IF(lien="Second",1.50,
            1.70)))</f>
        <v/>
      </c>
      <c r="K9108">
        <f>LET(
    purpose,'Loan Tape (S&amp;P)'!R9108,
    IF(purpose="Purchase",1.00,
        IF(purpose="Remortgage",1.00,
            1.20)))</f>
        <v/>
      </c>
      <c r="L9108">
        <f>LET(
    arrears_months,'Loan Tape (S&amp;P)'!AN9108,
    IF(arrears_months=0,1.00,
    IF(arrears_months=1,3.00,
    IF(arrears_months=2,5.00,
    IF(arrears_months=3,8.00,
    IF(arrears_months=4,10.00,
    IF(arrears_months=5,12.00,15.00)))))))</f>
        <v/>
      </c>
      <c r="M9108">
        <f>LET(
    seasoning_years,DATEDIF('Loan Tape (S&amp;P)'!K9108,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08">
        <f>IF(AND('Loan Tape (S&amp;P)'!U9108="Yes",
        'Loan Tape (S&amp;P)'!T9108&lt;&gt;"Yes",
        DATEDIF('Loan Tape (S&amp;P)'!K9108, TODAY(), "M")&lt;18),
    1.10,
    1.00)</f>
        <v/>
      </c>
      <c r="O9108">
        <f>IF('Loan Tape (S&amp;P)'!T9108="Yes",
    1.35,
    1.00)</f>
        <v/>
      </c>
      <c r="P9108">
        <f>IF('Loan Tape (S&amp;P)'!S9108="Yes",
    1.15,
    1.00)</f>
        <v/>
      </c>
      <c r="Q9108">
        <f>IF('Loan Tape (S&amp;P)'!V9108="Yes",
    1.20,
    1.00)</f>
        <v/>
      </c>
      <c r="T9108">
        <f>LET(
    payment_method,'Loan Tape (S&amp;P)'!P9108,
    occupancy,'Loan Tape (S&amp;P)'!N9108,
    maturity_date,'Loan Tape (S&amp;P)'!L9108,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09">
      <c r="J9109">
        <f>LET(
    lien,'Loan Tape (S&amp;P)'!Q9109,
    IF(lien="First",1.00,
        IF(lien="Second",1.50,
            1.70)))</f>
        <v/>
      </c>
      <c r="K9109">
        <f>LET(
    purpose,'Loan Tape (S&amp;P)'!R9109,
    IF(purpose="Purchase",1.00,
        IF(purpose="Remortgage",1.00,
            1.20)))</f>
        <v/>
      </c>
      <c r="L9109">
        <f>LET(
    arrears_months,'Loan Tape (S&amp;P)'!AN9109,
    IF(arrears_months=0,1.00,
    IF(arrears_months=1,3.00,
    IF(arrears_months=2,5.00,
    IF(arrears_months=3,8.00,
    IF(arrears_months=4,10.00,
    IF(arrears_months=5,12.00,15.00)))))))</f>
        <v/>
      </c>
      <c r="M9109">
        <f>LET(
    seasoning_years,DATEDIF('Loan Tape (S&amp;P)'!K9109,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09">
        <f>IF(AND('Loan Tape (S&amp;P)'!U9109="Yes",
        'Loan Tape (S&amp;P)'!T9109&lt;&gt;"Yes",
        DATEDIF('Loan Tape (S&amp;P)'!K9109, TODAY(), "M")&lt;18),
    1.10,
    1.00)</f>
        <v/>
      </c>
      <c r="O9109">
        <f>IF('Loan Tape (S&amp;P)'!T9109="Yes",
    1.35,
    1.00)</f>
        <v/>
      </c>
      <c r="P9109">
        <f>IF('Loan Tape (S&amp;P)'!S9109="Yes",
    1.15,
    1.00)</f>
        <v/>
      </c>
      <c r="Q9109">
        <f>IF('Loan Tape (S&amp;P)'!V9109="Yes",
    1.20,
    1.00)</f>
        <v/>
      </c>
      <c r="T9109">
        <f>LET(
    payment_method,'Loan Tape (S&amp;P)'!P9109,
    occupancy,'Loan Tape (S&amp;P)'!N9109,
    maturity_date,'Loan Tape (S&amp;P)'!L9109,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10">
      <c r="J9110">
        <f>LET(
    lien,'Loan Tape (S&amp;P)'!Q9110,
    IF(lien="First",1.00,
        IF(lien="Second",1.50,
            1.70)))</f>
        <v/>
      </c>
      <c r="K9110">
        <f>LET(
    purpose,'Loan Tape (S&amp;P)'!R9110,
    IF(purpose="Purchase",1.00,
        IF(purpose="Remortgage",1.00,
            1.20)))</f>
        <v/>
      </c>
      <c r="L9110">
        <f>LET(
    arrears_months,'Loan Tape (S&amp;P)'!AN9110,
    IF(arrears_months=0,1.00,
    IF(arrears_months=1,3.00,
    IF(arrears_months=2,5.00,
    IF(arrears_months=3,8.00,
    IF(arrears_months=4,10.00,
    IF(arrears_months=5,12.00,15.00)))))))</f>
        <v/>
      </c>
      <c r="M9110">
        <f>LET(
    seasoning_years,DATEDIF('Loan Tape (S&amp;P)'!K9110,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10">
        <f>IF(AND('Loan Tape (S&amp;P)'!U9110="Yes",
        'Loan Tape (S&amp;P)'!T9110&lt;&gt;"Yes",
        DATEDIF('Loan Tape (S&amp;P)'!K9110, TODAY(), "M")&lt;18),
    1.10,
    1.00)</f>
        <v/>
      </c>
      <c r="O9110">
        <f>IF('Loan Tape (S&amp;P)'!T9110="Yes",
    1.35,
    1.00)</f>
        <v/>
      </c>
      <c r="P9110">
        <f>IF('Loan Tape (S&amp;P)'!S9110="Yes",
    1.15,
    1.00)</f>
        <v/>
      </c>
      <c r="Q9110">
        <f>IF('Loan Tape (S&amp;P)'!V9110="Yes",
    1.20,
    1.00)</f>
        <v/>
      </c>
      <c r="T9110">
        <f>LET(
    payment_method,'Loan Tape (S&amp;P)'!P9110,
    occupancy,'Loan Tape (S&amp;P)'!N9110,
    maturity_date,'Loan Tape (S&amp;P)'!L9110,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11">
      <c r="J9111">
        <f>LET(
    lien,'Loan Tape (S&amp;P)'!Q9111,
    IF(lien="First",1.00,
        IF(lien="Second",1.50,
            1.70)))</f>
        <v/>
      </c>
      <c r="K9111">
        <f>LET(
    purpose,'Loan Tape (S&amp;P)'!R9111,
    IF(purpose="Purchase",1.00,
        IF(purpose="Remortgage",1.00,
            1.20)))</f>
        <v/>
      </c>
      <c r="L9111">
        <f>LET(
    arrears_months,'Loan Tape (S&amp;P)'!AN9111,
    IF(arrears_months=0,1.00,
    IF(arrears_months=1,3.00,
    IF(arrears_months=2,5.00,
    IF(arrears_months=3,8.00,
    IF(arrears_months=4,10.00,
    IF(arrears_months=5,12.00,15.00)))))))</f>
        <v/>
      </c>
      <c r="M9111">
        <f>LET(
    seasoning_years,DATEDIF('Loan Tape (S&amp;P)'!K9111,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11">
        <f>IF(AND('Loan Tape (S&amp;P)'!U9111="Yes",
        'Loan Tape (S&amp;P)'!T9111&lt;&gt;"Yes",
        DATEDIF('Loan Tape (S&amp;P)'!K9111, TODAY(), "M")&lt;18),
    1.10,
    1.00)</f>
        <v/>
      </c>
      <c r="O9111">
        <f>IF('Loan Tape (S&amp;P)'!T9111="Yes",
    1.35,
    1.00)</f>
        <v/>
      </c>
      <c r="P9111">
        <f>IF('Loan Tape (S&amp;P)'!S9111="Yes",
    1.15,
    1.00)</f>
        <v/>
      </c>
      <c r="Q9111">
        <f>IF('Loan Tape (S&amp;P)'!V9111="Yes",
    1.20,
    1.00)</f>
        <v/>
      </c>
      <c r="T9111">
        <f>LET(
    payment_method,'Loan Tape (S&amp;P)'!P9111,
    occupancy,'Loan Tape (S&amp;P)'!N9111,
    maturity_date,'Loan Tape (S&amp;P)'!L9111,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12">
      <c r="J9112">
        <f>LET(
    lien,'Loan Tape (S&amp;P)'!Q9112,
    IF(lien="First",1.00,
        IF(lien="Second",1.50,
            1.70)))</f>
        <v/>
      </c>
      <c r="K9112">
        <f>LET(
    purpose,'Loan Tape (S&amp;P)'!R9112,
    IF(purpose="Purchase",1.00,
        IF(purpose="Remortgage",1.00,
            1.20)))</f>
        <v/>
      </c>
      <c r="L9112">
        <f>LET(
    arrears_months,'Loan Tape (S&amp;P)'!AN9112,
    IF(arrears_months=0,1.00,
    IF(arrears_months=1,3.00,
    IF(arrears_months=2,5.00,
    IF(arrears_months=3,8.00,
    IF(arrears_months=4,10.00,
    IF(arrears_months=5,12.00,15.00)))))))</f>
        <v/>
      </c>
      <c r="M9112">
        <f>LET(
    seasoning_years,DATEDIF('Loan Tape (S&amp;P)'!K9112,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12">
        <f>IF(AND('Loan Tape (S&amp;P)'!U9112="Yes",
        'Loan Tape (S&amp;P)'!T9112&lt;&gt;"Yes",
        DATEDIF('Loan Tape (S&amp;P)'!K9112, TODAY(), "M")&lt;18),
    1.10,
    1.00)</f>
        <v/>
      </c>
      <c r="O9112">
        <f>IF('Loan Tape (S&amp;P)'!T9112="Yes",
    1.35,
    1.00)</f>
        <v/>
      </c>
      <c r="P9112">
        <f>IF('Loan Tape (S&amp;P)'!S9112="Yes",
    1.15,
    1.00)</f>
        <v/>
      </c>
      <c r="Q9112">
        <f>IF('Loan Tape (S&amp;P)'!V9112="Yes",
    1.20,
    1.00)</f>
        <v/>
      </c>
      <c r="T9112">
        <f>LET(
    payment_method,'Loan Tape (S&amp;P)'!P9112,
    occupancy,'Loan Tape (S&amp;P)'!N9112,
    maturity_date,'Loan Tape (S&amp;P)'!L9112,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13">
      <c r="J9113">
        <f>LET(
    lien,'Loan Tape (S&amp;P)'!Q9113,
    IF(lien="First",1.00,
        IF(lien="Second",1.50,
            1.70)))</f>
        <v/>
      </c>
      <c r="K9113">
        <f>LET(
    purpose,'Loan Tape (S&amp;P)'!R9113,
    IF(purpose="Purchase",1.00,
        IF(purpose="Remortgage",1.00,
            1.20)))</f>
        <v/>
      </c>
      <c r="L9113">
        <f>LET(
    arrears_months,'Loan Tape (S&amp;P)'!AN9113,
    IF(arrears_months=0,1.00,
    IF(arrears_months=1,3.00,
    IF(arrears_months=2,5.00,
    IF(arrears_months=3,8.00,
    IF(arrears_months=4,10.00,
    IF(arrears_months=5,12.00,15.00)))))))</f>
        <v/>
      </c>
      <c r="M9113">
        <f>LET(
    seasoning_years,DATEDIF('Loan Tape (S&amp;P)'!K9113,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13">
        <f>IF(AND('Loan Tape (S&amp;P)'!U9113="Yes",
        'Loan Tape (S&amp;P)'!T9113&lt;&gt;"Yes",
        DATEDIF('Loan Tape (S&amp;P)'!K9113, TODAY(), "M")&lt;18),
    1.10,
    1.00)</f>
        <v/>
      </c>
      <c r="O9113">
        <f>IF('Loan Tape (S&amp;P)'!T9113="Yes",
    1.35,
    1.00)</f>
        <v/>
      </c>
      <c r="P9113">
        <f>IF('Loan Tape (S&amp;P)'!S9113="Yes",
    1.15,
    1.00)</f>
        <v/>
      </c>
      <c r="Q9113">
        <f>IF('Loan Tape (S&amp;P)'!V9113="Yes",
    1.20,
    1.00)</f>
        <v/>
      </c>
      <c r="T9113">
        <f>LET(
    payment_method,'Loan Tape (S&amp;P)'!P9113,
    occupancy,'Loan Tape (S&amp;P)'!N9113,
    maturity_date,'Loan Tape (S&amp;P)'!L9113,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14">
      <c r="J9114">
        <f>LET(
    lien,'Loan Tape (S&amp;P)'!Q9114,
    IF(lien="First",1.00,
        IF(lien="Second",1.50,
            1.70)))</f>
        <v/>
      </c>
      <c r="K9114">
        <f>LET(
    purpose,'Loan Tape (S&amp;P)'!R9114,
    IF(purpose="Purchase",1.00,
        IF(purpose="Remortgage",1.00,
            1.20)))</f>
        <v/>
      </c>
      <c r="L9114">
        <f>LET(
    arrears_months,'Loan Tape (S&amp;P)'!AN9114,
    IF(arrears_months=0,1.00,
    IF(arrears_months=1,3.00,
    IF(arrears_months=2,5.00,
    IF(arrears_months=3,8.00,
    IF(arrears_months=4,10.00,
    IF(arrears_months=5,12.00,15.00)))))))</f>
        <v/>
      </c>
      <c r="M9114">
        <f>LET(
    seasoning_years,DATEDIF('Loan Tape (S&amp;P)'!K9114,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14">
        <f>IF(AND('Loan Tape (S&amp;P)'!U9114="Yes",
        'Loan Tape (S&amp;P)'!T9114&lt;&gt;"Yes",
        DATEDIF('Loan Tape (S&amp;P)'!K9114, TODAY(), "M")&lt;18),
    1.10,
    1.00)</f>
        <v/>
      </c>
      <c r="O9114">
        <f>IF('Loan Tape (S&amp;P)'!T9114="Yes",
    1.35,
    1.00)</f>
        <v/>
      </c>
      <c r="P9114">
        <f>IF('Loan Tape (S&amp;P)'!S9114="Yes",
    1.15,
    1.00)</f>
        <v/>
      </c>
      <c r="Q9114">
        <f>IF('Loan Tape (S&amp;P)'!V9114="Yes",
    1.20,
    1.00)</f>
        <v/>
      </c>
      <c r="T9114">
        <f>LET(
    payment_method,'Loan Tape (S&amp;P)'!P9114,
    occupancy,'Loan Tape (S&amp;P)'!N9114,
    maturity_date,'Loan Tape (S&amp;P)'!L9114,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15">
      <c r="J9115">
        <f>LET(
    lien,'Loan Tape (S&amp;P)'!Q9115,
    IF(lien="First",1.00,
        IF(lien="Second",1.50,
            1.70)))</f>
        <v/>
      </c>
      <c r="K9115">
        <f>LET(
    purpose,'Loan Tape (S&amp;P)'!R9115,
    IF(purpose="Purchase",1.00,
        IF(purpose="Remortgage",1.00,
            1.20)))</f>
        <v/>
      </c>
      <c r="L9115">
        <f>LET(
    arrears_months,'Loan Tape (S&amp;P)'!AN9115,
    IF(arrears_months=0,1.00,
    IF(arrears_months=1,3.00,
    IF(arrears_months=2,5.00,
    IF(arrears_months=3,8.00,
    IF(arrears_months=4,10.00,
    IF(arrears_months=5,12.00,15.00)))))))</f>
        <v/>
      </c>
      <c r="M9115">
        <f>LET(
    seasoning_years,DATEDIF('Loan Tape (S&amp;P)'!K9115,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15">
        <f>IF(AND('Loan Tape (S&amp;P)'!U9115="Yes",
        'Loan Tape (S&amp;P)'!T9115&lt;&gt;"Yes",
        DATEDIF('Loan Tape (S&amp;P)'!K9115, TODAY(), "M")&lt;18),
    1.10,
    1.00)</f>
        <v/>
      </c>
      <c r="O9115">
        <f>IF('Loan Tape (S&amp;P)'!T9115="Yes",
    1.35,
    1.00)</f>
        <v/>
      </c>
      <c r="P9115">
        <f>IF('Loan Tape (S&amp;P)'!S9115="Yes",
    1.15,
    1.00)</f>
        <v/>
      </c>
      <c r="Q9115">
        <f>IF('Loan Tape (S&amp;P)'!V9115="Yes",
    1.20,
    1.00)</f>
        <v/>
      </c>
      <c r="T9115">
        <f>LET(
    payment_method,'Loan Tape (S&amp;P)'!P9115,
    occupancy,'Loan Tape (S&amp;P)'!N9115,
    maturity_date,'Loan Tape (S&amp;P)'!L9115,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16">
      <c r="J9116">
        <f>LET(
    lien,'Loan Tape (S&amp;P)'!Q9116,
    IF(lien="First",1.00,
        IF(lien="Second",1.50,
            1.70)))</f>
        <v/>
      </c>
      <c r="K9116">
        <f>LET(
    purpose,'Loan Tape (S&amp;P)'!R9116,
    IF(purpose="Purchase",1.00,
        IF(purpose="Remortgage",1.00,
            1.20)))</f>
        <v/>
      </c>
      <c r="L9116">
        <f>LET(
    arrears_months,'Loan Tape (S&amp;P)'!AN9116,
    IF(arrears_months=0,1.00,
    IF(arrears_months=1,3.00,
    IF(arrears_months=2,5.00,
    IF(arrears_months=3,8.00,
    IF(arrears_months=4,10.00,
    IF(arrears_months=5,12.00,15.00)))))))</f>
        <v/>
      </c>
      <c r="M9116">
        <f>LET(
    seasoning_years,DATEDIF('Loan Tape (S&amp;P)'!K9116,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16">
        <f>IF(AND('Loan Tape (S&amp;P)'!U9116="Yes",
        'Loan Tape (S&amp;P)'!T9116&lt;&gt;"Yes",
        DATEDIF('Loan Tape (S&amp;P)'!K9116, TODAY(), "M")&lt;18),
    1.10,
    1.00)</f>
        <v/>
      </c>
      <c r="O9116">
        <f>IF('Loan Tape (S&amp;P)'!T9116="Yes",
    1.35,
    1.00)</f>
        <v/>
      </c>
      <c r="P9116">
        <f>IF('Loan Tape (S&amp;P)'!S9116="Yes",
    1.15,
    1.00)</f>
        <v/>
      </c>
      <c r="Q9116">
        <f>IF('Loan Tape (S&amp;P)'!V9116="Yes",
    1.20,
    1.00)</f>
        <v/>
      </c>
      <c r="T9116">
        <f>LET(
    payment_method,'Loan Tape (S&amp;P)'!P9116,
    occupancy,'Loan Tape (S&amp;P)'!N9116,
    maturity_date,'Loan Tape (S&amp;P)'!L9116,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17">
      <c r="J9117">
        <f>LET(
    lien,'Loan Tape (S&amp;P)'!Q9117,
    IF(lien="First",1.00,
        IF(lien="Second",1.50,
            1.70)))</f>
        <v/>
      </c>
      <c r="K9117">
        <f>LET(
    purpose,'Loan Tape (S&amp;P)'!R9117,
    IF(purpose="Purchase",1.00,
        IF(purpose="Remortgage",1.00,
            1.20)))</f>
        <v/>
      </c>
      <c r="L9117">
        <f>LET(
    arrears_months,'Loan Tape (S&amp;P)'!AN9117,
    IF(arrears_months=0,1.00,
    IF(arrears_months=1,3.00,
    IF(arrears_months=2,5.00,
    IF(arrears_months=3,8.00,
    IF(arrears_months=4,10.00,
    IF(arrears_months=5,12.00,15.00)))))))</f>
        <v/>
      </c>
      <c r="M9117">
        <f>LET(
    seasoning_years,DATEDIF('Loan Tape (S&amp;P)'!K9117,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17">
        <f>IF(AND('Loan Tape (S&amp;P)'!U9117="Yes",
        'Loan Tape (S&amp;P)'!T9117&lt;&gt;"Yes",
        DATEDIF('Loan Tape (S&amp;P)'!K9117, TODAY(), "M")&lt;18),
    1.10,
    1.00)</f>
        <v/>
      </c>
      <c r="O9117">
        <f>IF('Loan Tape (S&amp;P)'!T9117="Yes",
    1.35,
    1.00)</f>
        <v/>
      </c>
      <c r="P9117">
        <f>IF('Loan Tape (S&amp;P)'!S9117="Yes",
    1.15,
    1.00)</f>
        <v/>
      </c>
      <c r="Q9117">
        <f>IF('Loan Tape (S&amp;P)'!V9117="Yes",
    1.20,
    1.00)</f>
        <v/>
      </c>
      <c r="T9117">
        <f>LET(
    payment_method,'Loan Tape (S&amp;P)'!P9117,
    occupancy,'Loan Tape (S&amp;P)'!N9117,
    maturity_date,'Loan Tape (S&amp;P)'!L9117,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18">
      <c r="J9118">
        <f>LET(
    lien,'Loan Tape (S&amp;P)'!Q9118,
    IF(lien="First",1.00,
        IF(lien="Second",1.50,
            1.70)))</f>
        <v/>
      </c>
      <c r="K9118">
        <f>LET(
    purpose,'Loan Tape (S&amp;P)'!R9118,
    IF(purpose="Purchase",1.00,
        IF(purpose="Remortgage",1.00,
            1.20)))</f>
        <v/>
      </c>
      <c r="L9118">
        <f>LET(
    arrears_months,'Loan Tape (S&amp;P)'!AN9118,
    IF(arrears_months=0,1.00,
    IF(arrears_months=1,3.00,
    IF(arrears_months=2,5.00,
    IF(arrears_months=3,8.00,
    IF(arrears_months=4,10.00,
    IF(arrears_months=5,12.00,15.00)))))))</f>
        <v/>
      </c>
      <c r="M9118">
        <f>LET(
    seasoning_years,DATEDIF('Loan Tape (S&amp;P)'!K9118,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18">
        <f>IF(AND('Loan Tape (S&amp;P)'!U9118="Yes",
        'Loan Tape (S&amp;P)'!T9118&lt;&gt;"Yes",
        DATEDIF('Loan Tape (S&amp;P)'!K9118, TODAY(), "M")&lt;18),
    1.10,
    1.00)</f>
        <v/>
      </c>
      <c r="O9118">
        <f>IF('Loan Tape (S&amp;P)'!T9118="Yes",
    1.35,
    1.00)</f>
        <v/>
      </c>
      <c r="P9118">
        <f>IF('Loan Tape (S&amp;P)'!S9118="Yes",
    1.15,
    1.00)</f>
        <v/>
      </c>
      <c r="Q9118">
        <f>IF('Loan Tape (S&amp;P)'!V9118="Yes",
    1.20,
    1.00)</f>
        <v/>
      </c>
      <c r="T9118">
        <f>LET(
    payment_method,'Loan Tape (S&amp;P)'!P9118,
    occupancy,'Loan Tape (S&amp;P)'!N9118,
    maturity_date,'Loan Tape (S&amp;P)'!L9118,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19">
      <c r="J9119">
        <f>LET(
    lien,'Loan Tape (S&amp;P)'!Q9119,
    IF(lien="First",1.00,
        IF(lien="Second",1.50,
            1.70)))</f>
        <v/>
      </c>
      <c r="K9119">
        <f>LET(
    purpose,'Loan Tape (S&amp;P)'!R9119,
    IF(purpose="Purchase",1.00,
        IF(purpose="Remortgage",1.00,
            1.20)))</f>
        <v/>
      </c>
      <c r="L9119">
        <f>LET(
    arrears_months,'Loan Tape (S&amp;P)'!AN9119,
    IF(arrears_months=0,1.00,
    IF(arrears_months=1,3.00,
    IF(arrears_months=2,5.00,
    IF(arrears_months=3,8.00,
    IF(arrears_months=4,10.00,
    IF(arrears_months=5,12.00,15.00)))))))</f>
        <v/>
      </c>
      <c r="M9119">
        <f>LET(
    seasoning_years,DATEDIF('Loan Tape (S&amp;P)'!K9119,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19">
        <f>IF(AND('Loan Tape (S&amp;P)'!U9119="Yes",
        'Loan Tape (S&amp;P)'!T9119&lt;&gt;"Yes",
        DATEDIF('Loan Tape (S&amp;P)'!K9119, TODAY(), "M")&lt;18),
    1.10,
    1.00)</f>
        <v/>
      </c>
      <c r="O9119">
        <f>IF('Loan Tape (S&amp;P)'!T9119="Yes",
    1.35,
    1.00)</f>
        <v/>
      </c>
      <c r="P9119">
        <f>IF('Loan Tape (S&amp;P)'!S9119="Yes",
    1.15,
    1.00)</f>
        <v/>
      </c>
      <c r="Q9119">
        <f>IF('Loan Tape (S&amp;P)'!V9119="Yes",
    1.20,
    1.00)</f>
        <v/>
      </c>
      <c r="T9119">
        <f>LET(
    payment_method,'Loan Tape (S&amp;P)'!P9119,
    occupancy,'Loan Tape (S&amp;P)'!N9119,
    maturity_date,'Loan Tape (S&amp;P)'!L9119,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20">
      <c r="J9120">
        <f>LET(
    lien,'Loan Tape (S&amp;P)'!Q9120,
    IF(lien="First",1.00,
        IF(lien="Second",1.50,
            1.70)))</f>
        <v/>
      </c>
      <c r="K9120">
        <f>LET(
    purpose,'Loan Tape (S&amp;P)'!R9120,
    IF(purpose="Purchase",1.00,
        IF(purpose="Remortgage",1.00,
            1.20)))</f>
        <v/>
      </c>
      <c r="L9120">
        <f>LET(
    arrears_months,'Loan Tape (S&amp;P)'!AN9120,
    IF(arrears_months=0,1.00,
    IF(arrears_months=1,3.00,
    IF(arrears_months=2,5.00,
    IF(arrears_months=3,8.00,
    IF(arrears_months=4,10.00,
    IF(arrears_months=5,12.00,15.00)))))))</f>
        <v/>
      </c>
      <c r="M9120">
        <f>LET(
    seasoning_years,DATEDIF('Loan Tape (S&amp;P)'!K9120,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20">
        <f>IF(AND('Loan Tape (S&amp;P)'!U9120="Yes",
        'Loan Tape (S&amp;P)'!T9120&lt;&gt;"Yes",
        DATEDIF('Loan Tape (S&amp;P)'!K9120, TODAY(), "M")&lt;18),
    1.10,
    1.00)</f>
        <v/>
      </c>
      <c r="O9120">
        <f>IF('Loan Tape (S&amp;P)'!T9120="Yes",
    1.35,
    1.00)</f>
        <v/>
      </c>
      <c r="P9120">
        <f>IF('Loan Tape (S&amp;P)'!S9120="Yes",
    1.15,
    1.00)</f>
        <v/>
      </c>
      <c r="Q9120">
        <f>IF('Loan Tape (S&amp;P)'!V9120="Yes",
    1.20,
    1.00)</f>
        <v/>
      </c>
      <c r="T9120">
        <f>LET(
    payment_method,'Loan Tape (S&amp;P)'!P9120,
    occupancy,'Loan Tape (S&amp;P)'!N9120,
    maturity_date,'Loan Tape (S&amp;P)'!L9120,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21">
      <c r="J9121">
        <f>LET(
    lien,'Loan Tape (S&amp;P)'!Q9121,
    IF(lien="First",1.00,
        IF(lien="Second",1.50,
            1.70)))</f>
        <v/>
      </c>
      <c r="K9121">
        <f>LET(
    purpose,'Loan Tape (S&amp;P)'!R9121,
    IF(purpose="Purchase",1.00,
        IF(purpose="Remortgage",1.00,
            1.20)))</f>
        <v/>
      </c>
      <c r="L9121">
        <f>LET(
    arrears_months,'Loan Tape (S&amp;P)'!AN9121,
    IF(arrears_months=0,1.00,
    IF(arrears_months=1,3.00,
    IF(arrears_months=2,5.00,
    IF(arrears_months=3,8.00,
    IF(arrears_months=4,10.00,
    IF(arrears_months=5,12.00,15.00)))))))</f>
        <v/>
      </c>
      <c r="M9121">
        <f>LET(
    seasoning_years,DATEDIF('Loan Tape (S&amp;P)'!K9121,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21">
        <f>IF(AND('Loan Tape (S&amp;P)'!U9121="Yes",
        'Loan Tape (S&amp;P)'!T9121&lt;&gt;"Yes",
        DATEDIF('Loan Tape (S&amp;P)'!K9121, TODAY(), "M")&lt;18),
    1.10,
    1.00)</f>
        <v/>
      </c>
      <c r="O9121">
        <f>IF('Loan Tape (S&amp;P)'!T9121="Yes",
    1.35,
    1.00)</f>
        <v/>
      </c>
      <c r="P9121">
        <f>IF('Loan Tape (S&amp;P)'!S9121="Yes",
    1.15,
    1.00)</f>
        <v/>
      </c>
      <c r="Q9121">
        <f>IF('Loan Tape (S&amp;P)'!V9121="Yes",
    1.20,
    1.00)</f>
        <v/>
      </c>
      <c r="T9121">
        <f>LET(
    payment_method,'Loan Tape (S&amp;P)'!P9121,
    occupancy,'Loan Tape (S&amp;P)'!N9121,
    maturity_date,'Loan Tape (S&amp;P)'!L9121,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22">
      <c r="J9122">
        <f>LET(
    lien,'Loan Tape (S&amp;P)'!Q9122,
    IF(lien="First",1.00,
        IF(lien="Second",1.50,
            1.70)))</f>
        <v/>
      </c>
      <c r="K9122">
        <f>LET(
    purpose,'Loan Tape (S&amp;P)'!R9122,
    IF(purpose="Purchase",1.00,
        IF(purpose="Remortgage",1.00,
            1.20)))</f>
        <v/>
      </c>
      <c r="L9122">
        <f>LET(
    arrears_months,'Loan Tape (S&amp;P)'!AN9122,
    IF(arrears_months=0,1.00,
    IF(arrears_months=1,3.00,
    IF(arrears_months=2,5.00,
    IF(arrears_months=3,8.00,
    IF(arrears_months=4,10.00,
    IF(arrears_months=5,12.00,15.00)))))))</f>
        <v/>
      </c>
      <c r="M9122">
        <f>LET(
    seasoning_years,DATEDIF('Loan Tape (S&amp;P)'!K9122,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22">
        <f>IF(AND('Loan Tape (S&amp;P)'!U9122="Yes",
        'Loan Tape (S&amp;P)'!T9122&lt;&gt;"Yes",
        DATEDIF('Loan Tape (S&amp;P)'!K9122, TODAY(), "M")&lt;18),
    1.10,
    1.00)</f>
        <v/>
      </c>
      <c r="O9122">
        <f>IF('Loan Tape (S&amp;P)'!T9122="Yes",
    1.35,
    1.00)</f>
        <v/>
      </c>
      <c r="P9122">
        <f>IF('Loan Tape (S&amp;P)'!S9122="Yes",
    1.15,
    1.00)</f>
        <v/>
      </c>
      <c r="Q9122">
        <f>IF('Loan Tape (S&amp;P)'!V9122="Yes",
    1.20,
    1.00)</f>
        <v/>
      </c>
      <c r="T9122">
        <f>LET(
    payment_method,'Loan Tape (S&amp;P)'!P9122,
    occupancy,'Loan Tape (S&amp;P)'!N9122,
    maturity_date,'Loan Tape (S&amp;P)'!L9122,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23">
      <c r="J9123">
        <f>LET(
    lien,'Loan Tape (S&amp;P)'!Q9123,
    IF(lien="First",1.00,
        IF(lien="Second",1.50,
            1.70)))</f>
        <v/>
      </c>
      <c r="K9123">
        <f>LET(
    purpose,'Loan Tape (S&amp;P)'!R9123,
    IF(purpose="Purchase",1.00,
        IF(purpose="Remortgage",1.00,
            1.20)))</f>
        <v/>
      </c>
      <c r="L9123">
        <f>LET(
    arrears_months,'Loan Tape (S&amp;P)'!AN9123,
    IF(arrears_months=0,1.00,
    IF(arrears_months=1,3.00,
    IF(arrears_months=2,5.00,
    IF(arrears_months=3,8.00,
    IF(arrears_months=4,10.00,
    IF(arrears_months=5,12.00,15.00)))))))</f>
        <v/>
      </c>
      <c r="M9123">
        <f>LET(
    seasoning_years,DATEDIF('Loan Tape (S&amp;P)'!K9123,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23">
        <f>IF(AND('Loan Tape (S&amp;P)'!U9123="Yes",
        'Loan Tape (S&amp;P)'!T9123&lt;&gt;"Yes",
        DATEDIF('Loan Tape (S&amp;P)'!K9123, TODAY(), "M")&lt;18),
    1.10,
    1.00)</f>
        <v/>
      </c>
      <c r="O9123">
        <f>IF('Loan Tape (S&amp;P)'!T9123="Yes",
    1.35,
    1.00)</f>
        <v/>
      </c>
      <c r="P9123">
        <f>IF('Loan Tape (S&amp;P)'!S9123="Yes",
    1.15,
    1.00)</f>
        <v/>
      </c>
      <c r="Q9123">
        <f>IF('Loan Tape (S&amp;P)'!V9123="Yes",
    1.20,
    1.00)</f>
        <v/>
      </c>
      <c r="T9123">
        <f>LET(
    payment_method,'Loan Tape (S&amp;P)'!P9123,
    occupancy,'Loan Tape (S&amp;P)'!N9123,
    maturity_date,'Loan Tape (S&amp;P)'!L9123,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24">
      <c r="J9124">
        <f>LET(
    lien,'Loan Tape (S&amp;P)'!Q9124,
    IF(lien="First",1.00,
        IF(lien="Second",1.50,
            1.70)))</f>
        <v/>
      </c>
      <c r="K9124">
        <f>LET(
    purpose,'Loan Tape (S&amp;P)'!R9124,
    IF(purpose="Purchase",1.00,
        IF(purpose="Remortgage",1.00,
            1.20)))</f>
        <v/>
      </c>
      <c r="L9124">
        <f>LET(
    arrears_months,'Loan Tape (S&amp;P)'!AN9124,
    IF(arrears_months=0,1.00,
    IF(arrears_months=1,3.00,
    IF(arrears_months=2,5.00,
    IF(arrears_months=3,8.00,
    IF(arrears_months=4,10.00,
    IF(arrears_months=5,12.00,15.00)))))))</f>
        <v/>
      </c>
      <c r="M9124">
        <f>LET(
    seasoning_years,DATEDIF('Loan Tape (S&amp;P)'!K9124,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24">
        <f>IF(AND('Loan Tape (S&amp;P)'!U9124="Yes",
        'Loan Tape (S&amp;P)'!T9124&lt;&gt;"Yes",
        DATEDIF('Loan Tape (S&amp;P)'!K9124, TODAY(), "M")&lt;18),
    1.10,
    1.00)</f>
        <v/>
      </c>
      <c r="O9124">
        <f>IF('Loan Tape (S&amp;P)'!T9124="Yes",
    1.35,
    1.00)</f>
        <v/>
      </c>
      <c r="P9124">
        <f>IF('Loan Tape (S&amp;P)'!S9124="Yes",
    1.15,
    1.00)</f>
        <v/>
      </c>
      <c r="Q9124">
        <f>IF('Loan Tape (S&amp;P)'!V9124="Yes",
    1.20,
    1.00)</f>
        <v/>
      </c>
      <c r="T9124">
        <f>LET(
    payment_method,'Loan Tape (S&amp;P)'!P9124,
    occupancy,'Loan Tape (S&amp;P)'!N9124,
    maturity_date,'Loan Tape (S&amp;P)'!L9124,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25">
      <c r="J9125">
        <f>LET(
    lien,'Loan Tape (S&amp;P)'!Q9125,
    IF(lien="First",1.00,
        IF(lien="Second",1.50,
            1.70)))</f>
        <v/>
      </c>
      <c r="K9125">
        <f>LET(
    purpose,'Loan Tape (S&amp;P)'!R9125,
    IF(purpose="Purchase",1.00,
        IF(purpose="Remortgage",1.00,
            1.20)))</f>
        <v/>
      </c>
      <c r="L9125">
        <f>LET(
    arrears_months,'Loan Tape (S&amp;P)'!AN9125,
    IF(arrears_months=0,1.00,
    IF(arrears_months=1,3.00,
    IF(arrears_months=2,5.00,
    IF(arrears_months=3,8.00,
    IF(arrears_months=4,10.00,
    IF(arrears_months=5,12.00,15.00)))))))</f>
        <v/>
      </c>
      <c r="M9125">
        <f>LET(
    seasoning_years,DATEDIF('Loan Tape (S&amp;P)'!K9125,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25">
        <f>IF(AND('Loan Tape (S&amp;P)'!U9125="Yes",
        'Loan Tape (S&amp;P)'!T9125&lt;&gt;"Yes",
        DATEDIF('Loan Tape (S&amp;P)'!K9125, TODAY(), "M")&lt;18),
    1.10,
    1.00)</f>
        <v/>
      </c>
      <c r="O9125">
        <f>IF('Loan Tape (S&amp;P)'!T9125="Yes",
    1.35,
    1.00)</f>
        <v/>
      </c>
      <c r="P9125">
        <f>IF('Loan Tape (S&amp;P)'!S9125="Yes",
    1.15,
    1.00)</f>
        <v/>
      </c>
      <c r="Q9125">
        <f>IF('Loan Tape (S&amp;P)'!V9125="Yes",
    1.20,
    1.00)</f>
        <v/>
      </c>
      <c r="T9125">
        <f>LET(
    payment_method,'Loan Tape (S&amp;P)'!P9125,
    occupancy,'Loan Tape (S&amp;P)'!N9125,
    maturity_date,'Loan Tape (S&amp;P)'!L9125,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26">
      <c r="J9126">
        <f>LET(
    lien,'Loan Tape (S&amp;P)'!Q9126,
    IF(lien="First",1.00,
        IF(lien="Second",1.50,
            1.70)))</f>
        <v/>
      </c>
      <c r="K9126">
        <f>LET(
    purpose,'Loan Tape (S&amp;P)'!R9126,
    IF(purpose="Purchase",1.00,
        IF(purpose="Remortgage",1.00,
            1.20)))</f>
        <v/>
      </c>
      <c r="L9126">
        <f>LET(
    arrears_months,'Loan Tape (S&amp;P)'!AN9126,
    IF(arrears_months=0,1.00,
    IF(arrears_months=1,3.00,
    IF(arrears_months=2,5.00,
    IF(arrears_months=3,8.00,
    IF(arrears_months=4,10.00,
    IF(arrears_months=5,12.00,15.00)))))))</f>
        <v/>
      </c>
      <c r="M9126">
        <f>LET(
    seasoning_years,DATEDIF('Loan Tape (S&amp;P)'!K9126,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26">
        <f>IF(AND('Loan Tape (S&amp;P)'!U9126="Yes",
        'Loan Tape (S&amp;P)'!T9126&lt;&gt;"Yes",
        DATEDIF('Loan Tape (S&amp;P)'!K9126, TODAY(), "M")&lt;18),
    1.10,
    1.00)</f>
        <v/>
      </c>
      <c r="O9126">
        <f>IF('Loan Tape (S&amp;P)'!T9126="Yes",
    1.35,
    1.00)</f>
        <v/>
      </c>
      <c r="P9126">
        <f>IF('Loan Tape (S&amp;P)'!S9126="Yes",
    1.15,
    1.00)</f>
        <v/>
      </c>
      <c r="Q9126">
        <f>IF('Loan Tape (S&amp;P)'!V9126="Yes",
    1.20,
    1.00)</f>
        <v/>
      </c>
      <c r="T9126">
        <f>LET(
    payment_method,'Loan Tape (S&amp;P)'!P9126,
    occupancy,'Loan Tape (S&amp;P)'!N9126,
    maturity_date,'Loan Tape (S&amp;P)'!L9126,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27">
      <c r="J9127">
        <f>LET(
    lien,'Loan Tape (S&amp;P)'!Q9127,
    IF(lien="First",1.00,
        IF(lien="Second",1.50,
            1.70)))</f>
        <v/>
      </c>
      <c r="K9127">
        <f>LET(
    purpose,'Loan Tape (S&amp;P)'!R9127,
    IF(purpose="Purchase",1.00,
        IF(purpose="Remortgage",1.00,
            1.20)))</f>
        <v/>
      </c>
      <c r="L9127">
        <f>LET(
    arrears_months,'Loan Tape (S&amp;P)'!AN9127,
    IF(arrears_months=0,1.00,
    IF(arrears_months=1,3.00,
    IF(arrears_months=2,5.00,
    IF(arrears_months=3,8.00,
    IF(arrears_months=4,10.00,
    IF(arrears_months=5,12.00,15.00)))))))</f>
        <v/>
      </c>
      <c r="M9127">
        <f>LET(
    seasoning_years,DATEDIF('Loan Tape (S&amp;P)'!K9127,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27">
        <f>IF(AND('Loan Tape (S&amp;P)'!U9127="Yes",
        'Loan Tape (S&amp;P)'!T9127&lt;&gt;"Yes",
        DATEDIF('Loan Tape (S&amp;P)'!K9127, TODAY(), "M")&lt;18),
    1.10,
    1.00)</f>
        <v/>
      </c>
      <c r="O9127">
        <f>IF('Loan Tape (S&amp;P)'!T9127="Yes",
    1.35,
    1.00)</f>
        <v/>
      </c>
      <c r="P9127">
        <f>IF('Loan Tape (S&amp;P)'!S9127="Yes",
    1.15,
    1.00)</f>
        <v/>
      </c>
      <c r="Q9127">
        <f>IF('Loan Tape (S&amp;P)'!V9127="Yes",
    1.20,
    1.00)</f>
        <v/>
      </c>
      <c r="T9127">
        <f>LET(
    payment_method,'Loan Tape (S&amp;P)'!P9127,
    occupancy,'Loan Tape (S&amp;P)'!N9127,
    maturity_date,'Loan Tape (S&amp;P)'!L9127,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28">
      <c r="J9128">
        <f>LET(
    lien,'Loan Tape (S&amp;P)'!Q9128,
    IF(lien="First",1.00,
        IF(lien="Second",1.50,
            1.70)))</f>
        <v/>
      </c>
      <c r="K9128">
        <f>LET(
    purpose,'Loan Tape (S&amp;P)'!R9128,
    IF(purpose="Purchase",1.00,
        IF(purpose="Remortgage",1.00,
            1.20)))</f>
        <v/>
      </c>
      <c r="L9128">
        <f>LET(
    arrears_months,'Loan Tape (S&amp;P)'!AN9128,
    IF(arrears_months=0,1.00,
    IF(arrears_months=1,3.00,
    IF(arrears_months=2,5.00,
    IF(arrears_months=3,8.00,
    IF(arrears_months=4,10.00,
    IF(arrears_months=5,12.00,15.00)))))))</f>
        <v/>
      </c>
      <c r="M9128">
        <f>LET(
    seasoning_years,DATEDIF('Loan Tape (S&amp;P)'!K9128,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28">
        <f>IF(AND('Loan Tape (S&amp;P)'!U9128="Yes",
        'Loan Tape (S&amp;P)'!T9128&lt;&gt;"Yes",
        DATEDIF('Loan Tape (S&amp;P)'!K9128, TODAY(), "M")&lt;18),
    1.10,
    1.00)</f>
        <v/>
      </c>
      <c r="O9128">
        <f>IF('Loan Tape (S&amp;P)'!T9128="Yes",
    1.35,
    1.00)</f>
        <v/>
      </c>
      <c r="P9128">
        <f>IF('Loan Tape (S&amp;P)'!S9128="Yes",
    1.15,
    1.00)</f>
        <v/>
      </c>
      <c r="Q9128">
        <f>IF('Loan Tape (S&amp;P)'!V9128="Yes",
    1.20,
    1.00)</f>
        <v/>
      </c>
      <c r="T9128">
        <f>LET(
    payment_method,'Loan Tape (S&amp;P)'!P9128,
    occupancy,'Loan Tape (S&amp;P)'!N9128,
    maturity_date,'Loan Tape (S&amp;P)'!L9128,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29">
      <c r="J9129">
        <f>LET(
    lien,'Loan Tape (S&amp;P)'!Q9129,
    IF(lien="First",1.00,
        IF(lien="Second",1.50,
            1.70)))</f>
        <v/>
      </c>
      <c r="K9129">
        <f>LET(
    purpose,'Loan Tape (S&amp;P)'!R9129,
    IF(purpose="Purchase",1.00,
        IF(purpose="Remortgage",1.00,
            1.20)))</f>
        <v/>
      </c>
      <c r="L9129">
        <f>LET(
    arrears_months,'Loan Tape (S&amp;P)'!AN9129,
    IF(arrears_months=0,1.00,
    IF(arrears_months=1,3.00,
    IF(arrears_months=2,5.00,
    IF(arrears_months=3,8.00,
    IF(arrears_months=4,10.00,
    IF(arrears_months=5,12.00,15.00)))))))</f>
        <v/>
      </c>
      <c r="M9129">
        <f>LET(
    seasoning_years,DATEDIF('Loan Tape (S&amp;P)'!K9129,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29">
        <f>IF(AND('Loan Tape (S&amp;P)'!U9129="Yes",
        'Loan Tape (S&amp;P)'!T9129&lt;&gt;"Yes",
        DATEDIF('Loan Tape (S&amp;P)'!K9129, TODAY(), "M")&lt;18),
    1.10,
    1.00)</f>
        <v/>
      </c>
      <c r="O9129">
        <f>IF('Loan Tape (S&amp;P)'!T9129="Yes",
    1.35,
    1.00)</f>
        <v/>
      </c>
      <c r="P9129">
        <f>IF('Loan Tape (S&amp;P)'!S9129="Yes",
    1.15,
    1.00)</f>
        <v/>
      </c>
      <c r="Q9129">
        <f>IF('Loan Tape (S&amp;P)'!V9129="Yes",
    1.20,
    1.00)</f>
        <v/>
      </c>
      <c r="T9129">
        <f>LET(
    payment_method,'Loan Tape (S&amp;P)'!P9129,
    occupancy,'Loan Tape (S&amp;P)'!N9129,
    maturity_date,'Loan Tape (S&amp;P)'!L9129,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30">
      <c r="J9130">
        <f>LET(
    lien,'Loan Tape (S&amp;P)'!Q9130,
    IF(lien="First",1.00,
        IF(lien="Second",1.50,
            1.70)))</f>
        <v/>
      </c>
      <c r="K9130">
        <f>LET(
    purpose,'Loan Tape (S&amp;P)'!R9130,
    IF(purpose="Purchase",1.00,
        IF(purpose="Remortgage",1.00,
            1.20)))</f>
        <v/>
      </c>
      <c r="L9130">
        <f>LET(
    arrears_months,'Loan Tape (S&amp;P)'!AN9130,
    IF(arrears_months=0,1.00,
    IF(arrears_months=1,3.00,
    IF(arrears_months=2,5.00,
    IF(arrears_months=3,8.00,
    IF(arrears_months=4,10.00,
    IF(arrears_months=5,12.00,15.00)))))))</f>
        <v/>
      </c>
      <c r="M9130">
        <f>LET(
    seasoning_years,DATEDIF('Loan Tape (S&amp;P)'!K9130,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30">
        <f>IF(AND('Loan Tape (S&amp;P)'!U9130="Yes",
        'Loan Tape (S&amp;P)'!T9130&lt;&gt;"Yes",
        DATEDIF('Loan Tape (S&amp;P)'!K9130, TODAY(), "M")&lt;18),
    1.10,
    1.00)</f>
        <v/>
      </c>
      <c r="O9130">
        <f>IF('Loan Tape (S&amp;P)'!T9130="Yes",
    1.35,
    1.00)</f>
        <v/>
      </c>
      <c r="P9130">
        <f>IF('Loan Tape (S&amp;P)'!S9130="Yes",
    1.15,
    1.00)</f>
        <v/>
      </c>
      <c r="Q9130">
        <f>IF('Loan Tape (S&amp;P)'!V9130="Yes",
    1.20,
    1.00)</f>
        <v/>
      </c>
      <c r="T9130">
        <f>LET(
    payment_method,'Loan Tape (S&amp;P)'!P9130,
    occupancy,'Loan Tape (S&amp;P)'!N9130,
    maturity_date,'Loan Tape (S&amp;P)'!L9130,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31">
      <c r="J9131">
        <f>LET(
    lien,'Loan Tape (S&amp;P)'!Q9131,
    IF(lien="First",1.00,
        IF(lien="Second",1.50,
            1.70)))</f>
        <v/>
      </c>
      <c r="K9131">
        <f>LET(
    purpose,'Loan Tape (S&amp;P)'!R9131,
    IF(purpose="Purchase",1.00,
        IF(purpose="Remortgage",1.00,
            1.20)))</f>
        <v/>
      </c>
      <c r="L9131">
        <f>LET(
    arrears_months,'Loan Tape (S&amp;P)'!AN9131,
    IF(arrears_months=0,1.00,
    IF(arrears_months=1,3.00,
    IF(arrears_months=2,5.00,
    IF(arrears_months=3,8.00,
    IF(arrears_months=4,10.00,
    IF(arrears_months=5,12.00,15.00)))))))</f>
        <v/>
      </c>
      <c r="M9131">
        <f>LET(
    seasoning_years,DATEDIF('Loan Tape (S&amp;P)'!K9131,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31">
        <f>IF(AND('Loan Tape (S&amp;P)'!U9131="Yes",
        'Loan Tape (S&amp;P)'!T9131&lt;&gt;"Yes",
        DATEDIF('Loan Tape (S&amp;P)'!K9131, TODAY(), "M")&lt;18),
    1.10,
    1.00)</f>
        <v/>
      </c>
      <c r="O9131">
        <f>IF('Loan Tape (S&amp;P)'!T9131="Yes",
    1.35,
    1.00)</f>
        <v/>
      </c>
      <c r="P9131">
        <f>IF('Loan Tape (S&amp;P)'!S9131="Yes",
    1.15,
    1.00)</f>
        <v/>
      </c>
      <c r="Q9131">
        <f>IF('Loan Tape (S&amp;P)'!V9131="Yes",
    1.20,
    1.00)</f>
        <v/>
      </c>
      <c r="T9131">
        <f>LET(
    payment_method,'Loan Tape (S&amp;P)'!P9131,
    occupancy,'Loan Tape (S&amp;P)'!N9131,
    maturity_date,'Loan Tape (S&amp;P)'!L9131,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32">
      <c r="J9132">
        <f>LET(
    lien,'Loan Tape (S&amp;P)'!Q9132,
    IF(lien="First",1.00,
        IF(lien="Second",1.50,
            1.70)))</f>
        <v/>
      </c>
      <c r="K9132">
        <f>LET(
    purpose,'Loan Tape (S&amp;P)'!R9132,
    IF(purpose="Purchase",1.00,
        IF(purpose="Remortgage",1.00,
            1.20)))</f>
        <v/>
      </c>
      <c r="L9132">
        <f>LET(
    arrears_months,'Loan Tape (S&amp;P)'!AN9132,
    IF(arrears_months=0,1.00,
    IF(arrears_months=1,3.00,
    IF(arrears_months=2,5.00,
    IF(arrears_months=3,8.00,
    IF(arrears_months=4,10.00,
    IF(arrears_months=5,12.00,15.00)))))))</f>
        <v/>
      </c>
      <c r="M9132">
        <f>LET(
    seasoning_years,DATEDIF('Loan Tape (S&amp;P)'!K9132,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32">
        <f>IF(AND('Loan Tape (S&amp;P)'!U9132="Yes",
        'Loan Tape (S&amp;P)'!T9132&lt;&gt;"Yes",
        DATEDIF('Loan Tape (S&amp;P)'!K9132, TODAY(), "M")&lt;18),
    1.10,
    1.00)</f>
        <v/>
      </c>
      <c r="O9132">
        <f>IF('Loan Tape (S&amp;P)'!T9132="Yes",
    1.35,
    1.00)</f>
        <v/>
      </c>
      <c r="P9132">
        <f>IF('Loan Tape (S&amp;P)'!S9132="Yes",
    1.15,
    1.00)</f>
        <v/>
      </c>
      <c r="Q9132">
        <f>IF('Loan Tape (S&amp;P)'!V9132="Yes",
    1.20,
    1.00)</f>
        <v/>
      </c>
      <c r="T9132">
        <f>LET(
    payment_method,'Loan Tape (S&amp;P)'!P9132,
    occupancy,'Loan Tape (S&amp;P)'!N9132,
    maturity_date,'Loan Tape (S&amp;P)'!L9132,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33">
      <c r="J9133">
        <f>LET(
    lien,'Loan Tape (S&amp;P)'!Q9133,
    IF(lien="First",1.00,
        IF(lien="Second",1.50,
            1.70)))</f>
        <v/>
      </c>
      <c r="K9133">
        <f>LET(
    purpose,'Loan Tape (S&amp;P)'!R9133,
    IF(purpose="Purchase",1.00,
        IF(purpose="Remortgage",1.00,
            1.20)))</f>
        <v/>
      </c>
      <c r="L9133">
        <f>LET(
    arrears_months,'Loan Tape (S&amp;P)'!AN9133,
    IF(arrears_months=0,1.00,
    IF(arrears_months=1,3.00,
    IF(arrears_months=2,5.00,
    IF(arrears_months=3,8.00,
    IF(arrears_months=4,10.00,
    IF(arrears_months=5,12.00,15.00)))))))</f>
        <v/>
      </c>
      <c r="M9133">
        <f>LET(
    seasoning_years,DATEDIF('Loan Tape (S&amp;P)'!K9133,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33">
        <f>IF(AND('Loan Tape (S&amp;P)'!U9133="Yes",
        'Loan Tape (S&amp;P)'!T9133&lt;&gt;"Yes",
        DATEDIF('Loan Tape (S&amp;P)'!K9133, TODAY(), "M")&lt;18),
    1.10,
    1.00)</f>
        <v/>
      </c>
      <c r="O9133">
        <f>IF('Loan Tape (S&amp;P)'!T9133="Yes",
    1.35,
    1.00)</f>
        <v/>
      </c>
      <c r="P9133">
        <f>IF('Loan Tape (S&amp;P)'!S9133="Yes",
    1.15,
    1.00)</f>
        <v/>
      </c>
      <c r="Q9133">
        <f>IF('Loan Tape (S&amp;P)'!V9133="Yes",
    1.20,
    1.00)</f>
        <v/>
      </c>
      <c r="T9133">
        <f>LET(
    payment_method,'Loan Tape (S&amp;P)'!P9133,
    occupancy,'Loan Tape (S&amp;P)'!N9133,
    maturity_date,'Loan Tape (S&amp;P)'!L9133,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34">
      <c r="J9134">
        <f>LET(
    lien,'Loan Tape (S&amp;P)'!Q9134,
    IF(lien="First",1.00,
        IF(lien="Second",1.50,
            1.70)))</f>
        <v/>
      </c>
      <c r="K9134">
        <f>LET(
    purpose,'Loan Tape (S&amp;P)'!R9134,
    IF(purpose="Purchase",1.00,
        IF(purpose="Remortgage",1.00,
            1.20)))</f>
        <v/>
      </c>
      <c r="L9134">
        <f>LET(
    arrears_months,'Loan Tape (S&amp;P)'!AN9134,
    IF(arrears_months=0,1.00,
    IF(arrears_months=1,3.00,
    IF(arrears_months=2,5.00,
    IF(arrears_months=3,8.00,
    IF(arrears_months=4,10.00,
    IF(arrears_months=5,12.00,15.00)))))))</f>
        <v/>
      </c>
      <c r="M9134">
        <f>LET(
    seasoning_years,DATEDIF('Loan Tape (S&amp;P)'!K9134,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34">
        <f>IF(AND('Loan Tape (S&amp;P)'!U9134="Yes",
        'Loan Tape (S&amp;P)'!T9134&lt;&gt;"Yes",
        DATEDIF('Loan Tape (S&amp;P)'!K9134, TODAY(), "M")&lt;18),
    1.10,
    1.00)</f>
        <v/>
      </c>
      <c r="O9134">
        <f>IF('Loan Tape (S&amp;P)'!T9134="Yes",
    1.35,
    1.00)</f>
        <v/>
      </c>
      <c r="P9134">
        <f>IF('Loan Tape (S&amp;P)'!S9134="Yes",
    1.15,
    1.00)</f>
        <v/>
      </c>
      <c r="Q9134">
        <f>IF('Loan Tape (S&amp;P)'!V9134="Yes",
    1.20,
    1.00)</f>
        <v/>
      </c>
      <c r="T9134">
        <f>LET(
    payment_method,'Loan Tape (S&amp;P)'!P9134,
    occupancy,'Loan Tape (S&amp;P)'!N9134,
    maturity_date,'Loan Tape (S&amp;P)'!L9134,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35">
      <c r="J9135">
        <f>LET(
    lien,'Loan Tape (S&amp;P)'!Q9135,
    IF(lien="First",1.00,
        IF(lien="Second",1.50,
            1.70)))</f>
        <v/>
      </c>
      <c r="K9135">
        <f>LET(
    purpose,'Loan Tape (S&amp;P)'!R9135,
    IF(purpose="Purchase",1.00,
        IF(purpose="Remortgage",1.00,
            1.20)))</f>
        <v/>
      </c>
      <c r="L9135">
        <f>LET(
    arrears_months,'Loan Tape (S&amp;P)'!AN9135,
    IF(arrears_months=0,1.00,
    IF(arrears_months=1,3.00,
    IF(arrears_months=2,5.00,
    IF(arrears_months=3,8.00,
    IF(arrears_months=4,10.00,
    IF(arrears_months=5,12.00,15.00)))))))</f>
        <v/>
      </c>
      <c r="M9135">
        <f>LET(
    seasoning_years,DATEDIF('Loan Tape (S&amp;P)'!K9135,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35">
        <f>IF(AND('Loan Tape (S&amp;P)'!U9135="Yes",
        'Loan Tape (S&amp;P)'!T9135&lt;&gt;"Yes",
        DATEDIF('Loan Tape (S&amp;P)'!K9135, TODAY(), "M")&lt;18),
    1.10,
    1.00)</f>
        <v/>
      </c>
      <c r="O9135">
        <f>IF('Loan Tape (S&amp;P)'!T9135="Yes",
    1.35,
    1.00)</f>
        <v/>
      </c>
      <c r="P9135">
        <f>IF('Loan Tape (S&amp;P)'!S9135="Yes",
    1.15,
    1.00)</f>
        <v/>
      </c>
      <c r="Q9135">
        <f>IF('Loan Tape (S&amp;P)'!V9135="Yes",
    1.20,
    1.00)</f>
        <v/>
      </c>
      <c r="T9135">
        <f>LET(
    payment_method,'Loan Tape (S&amp;P)'!P9135,
    occupancy,'Loan Tape (S&amp;P)'!N9135,
    maturity_date,'Loan Tape (S&amp;P)'!L9135,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36">
      <c r="J9136">
        <f>LET(
    lien,'Loan Tape (S&amp;P)'!Q9136,
    IF(lien="First",1.00,
        IF(lien="Second",1.50,
            1.70)))</f>
        <v/>
      </c>
      <c r="K9136">
        <f>LET(
    purpose,'Loan Tape (S&amp;P)'!R9136,
    IF(purpose="Purchase",1.00,
        IF(purpose="Remortgage",1.00,
            1.20)))</f>
        <v/>
      </c>
      <c r="L9136">
        <f>LET(
    arrears_months,'Loan Tape (S&amp;P)'!AN9136,
    IF(arrears_months=0,1.00,
    IF(arrears_months=1,3.00,
    IF(arrears_months=2,5.00,
    IF(arrears_months=3,8.00,
    IF(arrears_months=4,10.00,
    IF(arrears_months=5,12.00,15.00)))))))</f>
        <v/>
      </c>
      <c r="M9136">
        <f>LET(
    seasoning_years,DATEDIF('Loan Tape (S&amp;P)'!K9136,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36">
        <f>IF(AND('Loan Tape (S&amp;P)'!U9136="Yes",
        'Loan Tape (S&amp;P)'!T9136&lt;&gt;"Yes",
        DATEDIF('Loan Tape (S&amp;P)'!K9136, TODAY(), "M")&lt;18),
    1.10,
    1.00)</f>
        <v/>
      </c>
      <c r="O9136">
        <f>IF('Loan Tape (S&amp;P)'!T9136="Yes",
    1.35,
    1.00)</f>
        <v/>
      </c>
      <c r="P9136">
        <f>IF('Loan Tape (S&amp;P)'!S9136="Yes",
    1.15,
    1.00)</f>
        <v/>
      </c>
      <c r="Q9136">
        <f>IF('Loan Tape (S&amp;P)'!V9136="Yes",
    1.20,
    1.00)</f>
        <v/>
      </c>
      <c r="T9136">
        <f>LET(
    payment_method,'Loan Tape (S&amp;P)'!P9136,
    occupancy,'Loan Tape (S&amp;P)'!N9136,
    maturity_date,'Loan Tape (S&amp;P)'!L9136,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37">
      <c r="J9137">
        <f>LET(
    lien,'Loan Tape (S&amp;P)'!Q9137,
    IF(lien="First",1.00,
        IF(lien="Second",1.50,
            1.70)))</f>
        <v/>
      </c>
      <c r="K9137">
        <f>LET(
    purpose,'Loan Tape (S&amp;P)'!R9137,
    IF(purpose="Purchase",1.00,
        IF(purpose="Remortgage",1.00,
            1.20)))</f>
        <v/>
      </c>
      <c r="L9137">
        <f>LET(
    arrears_months,'Loan Tape (S&amp;P)'!AN9137,
    IF(arrears_months=0,1.00,
    IF(arrears_months=1,3.00,
    IF(arrears_months=2,5.00,
    IF(arrears_months=3,8.00,
    IF(arrears_months=4,10.00,
    IF(arrears_months=5,12.00,15.00)))))))</f>
        <v/>
      </c>
      <c r="M9137">
        <f>LET(
    seasoning_years,DATEDIF('Loan Tape (S&amp;P)'!K9137,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37">
        <f>IF(AND('Loan Tape (S&amp;P)'!U9137="Yes",
        'Loan Tape (S&amp;P)'!T9137&lt;&gt;"Yes",
        DATEDIF('Loan Tape (S&amp;P)'!K9137, TODAY(), "M")&lt;18),
    1.10,
    1.00)</f>
        <v/>
      </c>
      <c r="O9137">
        <f>IF('Loan Tape (S&amp;P)'!T9137="Yes",
    1.35,
    1.00)</f>
        <v/>
      </c>
      <c r="P9137">
        <f>IF('Loan Tape (S&amp;P)'!S9137="Yes",
    1.15,
    1.00)</f>
        <v/>
      </c>
      <c r="Q9137">
        <f>IF('Loan Tape (S&amp;P)'!V9137="Yes",
    1.20,
    1.00)</f>
        <v/>
      </c>
      <c r="T9137">
        <f>LET(
    payment_method,'Loan Tape (S&amp;P)'!P9137,
    occupancy,'Loan Tape (S&amp;P)'!N9137,
    maturity_date,'Loan Tape (S&amp;P)'!L9137,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38">
      <c r="J9138">
        <f>LET(
    lien,'Loan Tape (S&amp;P)'!Q9138,
    IF(lien="First",1.00,
        IF(lien="Second",1.50,
            1.70)))</f>
        <v/>
      </c>
      <c r="K9138">
        <f>LET(
    purpose,'Loan Tape (S&amp;P)'!R9138,
    IF(purpose="Purchase",1.00,
        IF(purpose="Remortgage",1.00,
            1.20)))</f>
        <v/>
      </c>
      <c r="L9138">
        <f>LET(
    arrears_months,'Loan Tape (S&amp;P)'!AN9138,
    IF(arrears_months=0,1.00,
    IF(arrears_months=1,3.00,
    IF(arrears_months=2,5.00,
    IF(arrears_months=3,8.00,
    IF(arrears_months=4,10.00,
    IF(arrears_months=5,12.00,15.00)))))))</f>
        <v/>
      </c>
      <c r="M9138">
        <f>LET(
    seasoning_years,DATEDIF('Loan Tape (S&amp;P)'!K9138,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38">
        <f>IF(AND('Loan Tape (S&amp;P)'!U9138="Yes",
        'Loan Tape (S&amp;P)'!T9138&lt;&gt;"Yes",
        DATEDIF('Loan Tape (S&amp;P)'!K9138, TODAY(), "M")&lt;18),
    1.10,
    1.00)</f>
        <v/>
      </c>
      <c r="O9138">
        <f>IF('Loan Tape (S&amp;P)'!T9138="Yes",
    1.35,
    1.00)</f>
        <v/>
      </c>
      <c r="P9138">
        <f>IF('Loan Tape (S&amp;P)'!S9138="Yes",
    1.15,
    1.00)</f>
        <v/>
      </c>
      <c r="Q9138">
        <f>IF('Loan Tape (S&amp;P)'!V9138="Yes",
    1.20,
    1.00)</f>
        <v/>
      </c>
      <c r="T9138">
        <f>LET(
    payment_method,'Loan Tape (S&amp;P)'!P9138,
    occupancy,'Loan Tape (S&amp;P)'!N9138,
    maturity_date,'Loan Tape (S&amp;P)'!L9138,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39">
      <c r="J9139">
        <f>LET(
    lien,'Loan Tape (S&amp;P)'!Q9139,
    IF(lien="First",1.00,
        IF(lien="Second",1.50,
            1.70)))</f>
        <v/>
      </c>
      <c r="K9139">
        <f>LET(
    purpose,'Loan Tape (S&amp;P)'!R9139,
    IF(purpose="Purchase",1.00,
        IF(purpose="Remortgage",1.00,
            1.20)))</f>
        <v/>
      </c>
      <c r="L9139">
        <f>LET(
    arrears_months,'Loan Tape (S&amp;P)'!AN9139,
    IF(arrears_months=0,1.00,
    IF(arrears_months=1,3.00,
    IF(arrears_months=2,5.00,
    IF(arrears_months=3,8.00,
    IF(arrears_months=4,10.00,
    IF(arrears_months=5,12.00,15.00)))))))</f>
        <v/>
      </c>
      <c r="M9139">
        <f>LET(
    seasoning_years,DATEDIF('Loan Tape (S&amp;P)'!K9139,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39">
        <f>IF(AND('Loan Tape (S&amp;P)'!U9139="Yes",
        'Loan Tape (S&amp;P)'!T9139&lt;&gt;"Yes",
        DATEDIF('Loan Tape (S&amp;P)'!K9139, TODAY(), "M")&lt;18),
    1.10,
    1.00)</f>
        <v/>
      </c>
      <c r="O9139">
        <f>IF('Loan Tape (S&amp;P)'!T9139="Yes",
    1.35,
    1.00)</f>
        <v/>
      </c>
      <c r="P9139">
        <f>IF('Loan Tape (S&amp;P)'!S9139="Yes",
    1.15,
    1.00)</f>
        <v/>
      </c>
      <c r="Q9139">
        <f>IF('Loan Tape (S&amp;P)'!V9139="Yes",
    1.20,
    1.00)</f>
        <v/>
      </c>
      <c r="T9139">
        <f>LET(
    payment_method,'Loan Tape (S&amp;P)'!P9139,
    occupancy,'Loan Tape (S&amp;P)'!N9139,
    maturity_date,'Loan Tape (S&amp;P)'!L9139,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40">
      <c r="J9140">
        <f>LET(
    lien,'Loan Tape (S&amp;P)'!Q9140,
    IF(lien="First",1.00,
        IF(lien="Second",1.50,
            1.70)))</f>
        <v/>
      </c>
      <c r="K9140">
        <f>LET(
    purpose,'Loan Tape (S&amp;P)'!R9140,
    IF(purpose="Purchase",1.00,
        IF(purpose="Remortgage",1.00,
            1.20)))</f>
        <v/>
      </c>
      <c r="L9140">
        <f>LET(
    arrears_months,'Loan Tape (S&amp;P)'!AN9140,
    IF(arrears_months=0,1.00,
    IF(arrears_months=1,3.00,
    IF(arrears_months=2,5.00,
    IF(arrears_months=3,8.00,
    IF(arrears_months=4,10.00,
    IF(arrears_months=5,12.00,15.00)))))))</f>
        <v/>
      </c>
      <c r="M9140">
        <f>LET(
    seasoning_years,DATEDIF('Loan Tape (S&amp;P)'!K9140,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40">
        <f>IF(AND('Loan Tape (S&amp;P)'!U9140="Yes",
        'Loan Tape (S&amp;P)'!T9140&lt;&gt;"Yes",
        DATEDIF('Loan Tape (S&amp;P)'!K9140, TODAY(), "M")&lt;18),
    1.10,
    1.00)</f>
        <v/>
      </c>
      <c r="O9140">
        <f>IF('Loan Tape (S&amp;P)'!T9140="Yes",
    1.35,
    1.00)</f>
        <v/>
      </c>
      <c r="P9140">
        <f>IF('Loan Tape (S&amp;P)'!S9140="Yes",
    1.15,
    1.00)</f>
        <v/>
      </c>
      <c r="Q9140">
        <f>IF('Loan Tape (S&amp;P)'!V9140="Yes",
    1.20,
    1.00)</f>
        <v/>
      </c>
      <c r="T9140">
        <f>LET(
    payment_method,'Loan Tape (S&amp;P)'!P9140,
    occupancy,'Loan Tape (S&amp;P)'!N9140,
    maturity_date,'Loan Tape (S&amp;P)'!L9140,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41">
      <c r="J9141">
        <f>LET(
    lien,'Loan Tape (S&amp;P)'!Q9141,
    IF(lien="First",1.00,
        IF(lien="Second",1.50,
            1.70)))</f>
        <v/>
      </c>
      <c r="K9141">
        <f>LET(
    purpose,'Loan Tape (S&amp;P)'!R9141,
    IF(purpose="Purchase",1.00,
        IF(purpose="Remortgage",1.00,
            1.20)))</f>
        <v/>
      </c>
      <c r="L9141">
        <f>LET(
    arrears_months,'Loan Tape (S&amp;P)'!AN9141,
    IF(arrears_months=0,1.00,
    IF(arrears_months=1,3.00,
    IF(arrears_months=2,5.00,
    IF(arrears_months=3,8.00,
    IF(arrears_months=4,10.00,
    IF(arrears_months=5,12.00,15.00)))))))</f>
        <v/>
      </c>
      <c r="M9141">
        <f>LET(
    seasoning_years,DATEDIF('Loan Tape (S&amp;P)'!K9141,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41">
        <f>IF(AND('Loan Tape (S&amp;P)'!U9141="Yes",
        'Loan Tape (S&amp;P)'!T9141&lt;&gt;"Yes",
        DATEDIF('Loan Tape (S&amp;P)'!K9141, TODAY(), "M")&lt;18),
    1.10,
    1.00)</f>
        <v/>
      </c>
      <c r="O9141">
        <f>IF('Loan Tape (S&amp;P)'!T9141="Yes",
    1.35,
    1.00)</f>
        <v/>
      </c>
      <c r="P9141">
        <f>IF('Loan Tape (S&amp;P)'!S9141="Yes",
    1.15,
    1.00)</f>
        <v/>
      </c>
      <c r="Q9141">
        <f>IF('Loan Tape (S&amp;P)'!V9141="Yes",
    1.20,
    1.00)</f>
        <v/>
      </c>
      <c r="T9141">
        <f>LET(
    payment_method,'Loan Tape (S&amp;P)'!P9141,
    occupancy,'Loan Tape (S&amp;P)'!N9141,
    maturity_date,'Loan Tape (S&amp;P)'!L9141,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42">
      <c r="J9142">
        <f>LET(
    lien,'Loan Tape (S&amp;P)'!Q9142,
    IF(lien="First",1.00,
        IF(lien="Second",1.50,
            1.70)))</f>
        <v/>
      </c>
      <c r="K9142">
        <f>LET(
    purpose,'Loan Tape (S&amp;P)'!R9142,
    IF(purpose="Purchase",1.00,
        IF(purpose="Remortgage",1.00,
            1.20)))</f>
        <v/>
      </c>
      <c r="L9142">
        <f>LET(
    arrears_months,'Loan Tape (S&amp;P)'!AN9142,
    IF(arrears_months=0,1.00,
    IF(arrears_months=1,3.00,
    IF(arrears_months=2,5.00,
    IF(arrears_months=3,8.00,
    IF(arrears_months=4,10.00,
    IF(arrears_months=5,12.00,15.00)))))))</f>
        <v/>
      </c>
      <c r="M9142">
        <f>LET(
    seasoning_years,DATEDIF('Loan Tape (S&amp;P)'!K9142,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42">
        <f>IF(AND('Loan Tape (S&amp;P)'!U9142="Yes",
        'Loan Tape (S&amp;P)'!T9142&lt;&gt;"Yes",
        DATEDIF('Loan Tape (S&amp;P)'!K9142, TODAY(), "M")&lt;18),
    1.10,
    1.00)</f>
        <v/>
      </c>
      <c r="O9142">
        <f>IF('Loan Tape (S&amp;P)'!T9142="Yes",
    1.35,
    1.00)</f>
        <v/>
      </c>
      <c r="P9142">
        <f>IF('Loan Tape (S&amp;P)'!S9142="Yes",
    1.15,
    1.00)</f>
        <v/>
      </c>
      <c r="Q9142">
        <f>IF('Loan Tape (S&amp;P)'!V9142="Yes",
    1.20,
    1.00)</f>
        <v/>
      </c>
      <c r="T9142">
        <f>LET(
    payment_method,'Loan Tape (S&amp;P)'!P9142,
    occupancy,'Loan Tape (S&amp;P)'!N9142,
    maturity_date,'Loan Tape (S&amp;P)'!L9142,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43">
      <c r="J9143">
        <f>LET(
    lien,'Loan Tape (S&amp;P)'!Q9143,
    IF(lien="First",1.00,
        IF(lien="Second",1.50,
            1.70)))</f>
        <v/>
      </c>
      <c r="K9143">
        <f>LET(
    purpose,'Loan Tape (S&amp;P)'!R9143,
    IF(purpose="Purchase",1.00,
        IF(purpose="Remortgage",1.00,
            1.20)))</f>
        <v/>
      </c>
      <c r="L9143">
        <f>LET(
    arrears_months,'Loan Tape (S&amp;P)'!AN9143,
    IF(arrears_months=0,1.00,
    IF(arrears_months=1,3.00,
    IF(arrears_months=2,5.00,
    IF(arrears_months=3,8.00,
    IF(arrears_months=4,10.00,
    IF(arrears_months=5,12.00,15.00)))))))</f>
        <v/>
      </c>
      <c r="M9143">
        <f>LET(
    seasoning_years,DATEDIF('Loan Tape (S&amp;P)'!K9143,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43">
        <f>IF(AND('Loan Tape (S&amp;P)'!U9143="Yes",
        'Loan Tape (S&amp;P)'!T9143&lt;&gt;"Yes",
        DATEDIF('Loan Tape (S&amp;P)'!K9143, TODAY(), "M")&lt;18),
    1.10,
    1.00)</f>
        <v/>
      </c>
      <c r="O9143">
        <f>IF('Loan Tape (S&amp;P)'!T9143="Yes",
    1.35,
    1.00)</f>
        <v/>
      </c>
      <c r="P9143">
        <f>IF('Loan Tape (S&amp;P)'!S9143="Yes",
    1.15,
    1.00)</f>
        <v/>
      </c>
      <c r="Q9143">
        <f>IF('Loan Tape (S&amp;P)'!V9143="Yes",
    1.20,
    1.00)</f>
        <v/>
      </c>
      <c r="T9143">
        <f>LET(
    payment_method,'Loan Tape (S&amp;P)'!P9143,
    occupancy,'Loan Tape (S&amp;P)'!N9143,
    maturity_date,'Loan Tape (S&amp;P)'!L9143,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44">
      <c r="J9144">
        <f>LET(
    lien,'Loan Tape (S&amp;P)'!Q9144,
    IF(lien="First",1.00,
        IF(lien="Second",1.50,
            1.70)))</f>
        <v/>
      </c>
      <c r="K9144">
        <f>LET(
    purpose,'Loan Tape (S&amp;P)'!R9144,
    IF(purpose="Purchase",1.00,
        IF(purpose="Remortgage",1.00,
            1.20)))</f>
        <v/>
      </c>
      <c r="L9144">
        <f>LET(
    arrears_months,'Loan Tape (S&amp;P)'!AN9144,
    IF(arrears_months=0,1.00,
    IF(arrears_months=1,3.00,
    IF(arrears_months=2,5.00,
    IF(arrears_months=3,8.00,
    IF(arrears_months=4,10.00,
    IF(arrears_months=5,12.00,15.00)))))))</f>
        <v/>
      </c>
      <c r="M9144">
        <f>LET(
    seasoning_years,DATEDIF('Loan Tape (S&amp;P)'!K9144,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44">
        <f>IF(AND('Loan Tape (S&amp;P)'!U9144="Yes",
        'Loan Tape (S&amp;P)'!T9144&lt;&gt;"Yes",
        DATEDIF('Loan Tape (S&amp;P)'!K9144, TODAY(), "M")&lt;18),
    1.10,
    1.00)</f>
        <v/>
      </c>
      <c r="O9144">
        <f>IF('Loan Tape (S&amp;P)'!T9144="Yes",
    1.35,
    1.00)</f>
        <v/>
      </c>
      <c r="P9144">
        <f>IF('Loan Tape (S&amp;P)'!S9144="Yes",
    1.15,
    1.00)</f>
        <v/>
      </c>
      <c r="Q9144">
        <f>IF('Loan Tape (S&amp;P)'!V9144="Yes",
    1.20,
    1.00)</f>
        <v/>
      </c>
      <c r="T9144">
        <f>LET(
    payment_method,'Loan Tape (S&amp;P)'!P9144,
    occupancy,'Loan Tape (S&amp;P)'!N9144,
    maturity_date,'Loan Tape (S&amp;P)'!L9144,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45">
      <c r="J9145">
        <f>LET(
    lien,'Loan Tape (S&amp;P)'!Q9145,
    IF(lien="First",1.00,
        IF(lien="Second",1.50,
            1.70)))</f>
        <v/>
      </c>
      <c r="K9145">
        <f>LET(
    purpose,'Loan Tape (S&amp;P)'!R9145,
    IF(purpose="Purchase",1.00,
        IF(purpose="Remortgage",1.00,
            1.20)))</f>
        <v/>
      </c>
      <c r="L9145">
        <f>LET(
    arrears_months,'Loan Tape (S&amp;P)'!AN9145,
    IF(arrears_months=0,1.00,
    IF(arrears_months=1,3.00,
    IF(arrears_months=2,5.00,
    IF(arrears_months=3,8.00,
    IF(arrears_months=4,10.00,
    IF(arrears_months=5,12.00,15.00)))))))</f>
        <v/>
      </c>
      <c r="M9145">
        <f>LET(
    seasoning_years,DATEDIF('Loan Tape (S&amp;P)'!K9145,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45">
        <f>IF(AND('Loan Tape (S&amp;P)'!U9145="Yes",
        'Loan Tape (S&amp;P)'!T9145&lt;&gt;"Yes",
        DATEDIF('Loan Tape (S&amp;P)'!K9145, TODAY(), "M")&lt;18),
    1.10,
    1.00)</f>
        <v/>
      </c>
      <c r="O9145">
        <f>IF('Loan Tape (S&amp;P)'!T9145="Yes",
    1.35,
    1.00)</f>
        <v/>
      </c>
      <c r="P9145">
        <f>IF('Loan Tape (S&amp;P)'!S9145="Yes",
    1.15,
    1.00)</f>
        <v/>
      </c>
      <c r="Q9145">
        <f>IF('Loan Tape (S&amp;P)'!V9145="Yes",
    1.20,
    1.00)</f>
        <v/>
      </c>
      <c r="T9145">
        <f>LET(
    payment_method,'Loan Tape (S&amp;P)'!P9145,
    occupancy,'Loan Tape (S&amp;P)'!N9145,
    maturity_date,'Loan Tape (S&amp;P)'!L9145,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46">
      <c r="J9146">
        <f>LET(
    lien,'Loan Tape (S&amp;P)'!Q9146,
    IF(lien="First",1.00,
        IF(lien="Second",1.50,
            1.70)))</f>
        <v/>
      </c>
      <c r="K9146">
        <f>LET(
    purpose,'Loan Tape (S&amp;P)'!R9146,
    IF(purpose="Purchase",1.00,
        IF(purpose="Remortgage",1.00,
            1.20)))</f>
        <v/>
      </c>
      <c r="L9146">
        <f>LET(
    arrears_months,'Loan Tape (S&amp;P)'!AN9146,
    IF(arrears_months=0,1.00,
    IF(arrears_months=1,3.00,
    IF(arrears_months=2,5.00,
    IF(arrears_months=3,8.00,
    IF(arrears_months=4,10.00,
    IF(arrears_months=5,12.00,15.00)))))))</f>
        <v/>
      </c>
      <c r="M9146">
        <f>LET(
    seasoning_years,DATEDIF('Loan Tape (S&amp;P)'!K9146,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46">
        <f>IF(AND('Loan Tape (S&amp;P)'!U9146="Yes",
        'Loan Tape (S&amp;P)'!T9146&lt;&gt;"Yes",
        DATEDIF('Loan Tape (S&amp;P)'!K9146, TODAY(), "M")&lt;18),
    1.10,
    1.00)</f>
        <v/>
      </c>
      <c r="O9146">
        <f>IF('Loan Tape (S&amp;P)'!T9146="Yes",
    1.35,
    1.00)</f>
        <v/>
      </c>
      <c r="P9146">
        <f>IF('Loan Tape (S&amp;P)'!S9146="Yes",
    1.15,
    1.00)</f>
        <v/>
      </c>
      <c r="Q9146">
        <f>IF('Loan Tape (S&amp;P)'!V9146="Yes",
    1.20,
    1.00)</f>
        <v/>
      </c>
      <c r="T9146">
        <f>LET(
    payment_method,'Loan Tape (S&amp;P)'!P9146,
    occupancy,'Loan Tape (S&amp;P)'!N9146,
    maturity_date,'Loan Tape (S&amp;P)'!L9146,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47">
      <c r="J9147">
        <f>LET(
    lien,'Loan Tape (S&amp;P)'!Q9147,
    IF(lien="First",1.00,
        IF(lien="Second",1.50,
            1.70)))</f>
        <v/>
      </c>
      <c r="K9147">
        <f>LET(
    purpose,'Loan Tape (S&amp;P)'!R9147,
    IF(purpose="Purchase",1.00,
        IF(purpose="Remortgage",1.00,
            1.20)))</f>
        <v/>
      </c>
      <c r="L9147">
        <f>LET(
    arrears_months,'Loan Tape (S&amp;P)'!AN9147,
    IF(arrears_months=0,1.00,
    IF(arrears_months=1,3.00,
    IF(arrears_months=2,5.00,
    IF(arrears_months=3,8.00,
    IF(arrears_months=4,10.00,
    IF(arrears_months=5,12.00,15.00)))))))</f>
        <v/>
      </c>
      <c r="M9147">
        <f>LET(
    seasoning_years,DATEDIF('Loan Tape (S&amp;P)'!K9147,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47">
        <f>IF(AND('Loan Tape (S&amp;P)'!U9147="Yes",
        'Loan Tape (S&amp;P)'!T9147&lt;&gt;"Yes",
        DATEDIF('Loan Tape (S&amp;P)'!K9147, TODAY(), "M")&lt;18),
    1.10,
    1.00)</f>
        <v/>
      </c>
      <c r="O9147">
        <f>IF('Loan Tape (S&amp;P)'!T9147="Yes",
    1.35,
    1.00)</f>
        <v/>
      </c>
      <c r="P9147">
        <f>IF('Loan Tape (S&amp;P)'!S9147="Yes",
    1.15,
    1.00)</f>
        <v/>
      </c>
      <c r="Q9147">
        <f>IF('Loan Tape (S&amp;P)'!V9147="Yes",
    1.20,
    1.00)</f>
        <v/>
      </c>
      <c r="T9147">
        <f>LET(
    payment_method,'Loan Tape (S&amp;P)'!P9147,
    occupancy,'Loan Tape (S&amp;P)'!N9147,
    maturity_date,'Loan Tape (S&amp;P)'!L9147,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48">
      <c r="J9148">
        <f>LET(
    lien,'Loan Tape (S&amp;P)'!Q9148,
    IF(lien="First",1.00,
        IF(lien="Second",1.50,
            1.70)))</f>
        <v/>
      </c>
      <c r="K9148">
        <f>LET(
    purpose,'Loan Tape (S&amp;P)'!R9148,
    IF(purpose="Purchase",1.00,
        IF(purpose="Remortgage",1.00,
            1.20)))</f>
        <v/>
      </c>
      <c r="L9148">
        <f>LET(
    arrears_months,'Loan Tape (S&amp;P)'!AN9148,
    IF(arrears_months=0,1.00,
    IF(arrears_months=1,3.00,
    IF(arrears_months=2,5.00,
    IF(arrears_months=3,8.00,
    IF(arrears_months=4,10.00,
    IF(arrears_months=5,12.00,15.00)))))))</f>
        <v/>
      </c>
      <c r="M9148">
        <f>LET(
    seasoning_years,DATEDIF('Loan Tape (S&amp;P)'!K9148,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48">
        <f>IF(AND('Loan Tape (S&amp;P)'!U9148="Yes",
        'Loan Tape (S&amp;P)'!T9148&lt;&gt;"Yes",
        DATEDIF('Loan Tape (S&amp;P)'!K9148, TODAY(), "M")&lt;18),
    1.10,
    1.00)</f>
        <v/>
      </c>
      <c r="O9148">
        <f>IF('Loan Tape (S&amp;P)'!T9148="Yes",
    1.35,
    1.00)</f>
        <v/>
      </c>
      <c r="P9148">
        <f>IF('Loan Tape (S&amp;P)'!S9148="Yes",
    1.15,
    1.00)</f>
        <v/>
      </c>
      <c r="Q9148">
        <f>IF('Loan Tape (S&amp;P)'!V9148="Yes",
    1.20,
    1.00)</f>
        <v/>
      </c>
      <c r="T9148">
        <f>LET(
    payment_method,'Loan Tape (S&amp;P)'!P9148,
    occupancy,'Loan Tape (S&amp;P)'!N9148,
    maturity_date,'Loan Tape (S&amp;P)'!L9148,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49">
      <c r="J9149">
        <f>LET(
    lien,'Loan Tape (S&amp;P)'!Q9149,
    IF(lien="First",1.00,
        IF(lien="Second",1.50,
            1.70)))</f>
        <v/>
      </c>
      <c r="K9149">
        <f>LET(
    purpose,'Loan Tape (S&amp;P)'!R9149,
    IF(purpose="Purchase",1.00,
        IF(purpose="Remortgage",1.00,
            1.20)))</f>
        <v/>
      </c>
      <c r="L9149">
        <f>LET(
    arrears_months,'Loan Tape (S&amp;P)'!AN9149,
    IF(arrears_months=0,1.00,
    IF(arrears_months=1,3.00,
    IF(arrears_months=2,5.00,
    IF(arrears_months=3,8.00,
    IF(arrears_months=4,10.00,
    IF(arrears_months=5,12.00,15.00)))))))</f>
        <v/>
      </c>
      <c r="M9149">
        <f>LET(
    seasoning_years,DATEDIF('Loan Tape (S&amp;P)'!K9149,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49">
        <f>IF(AND('Loan Tape (S&amp;P)'!U9149="Yes",
        'Loan Tape (S&amp;P)'!T9149&lt;&gt;"Yes",
        DATEDIF('Loan Tape (S&amp;P)'!K9149, TODAY(), "M")&lt;18),
    1.10,
    1.00)</f>
        <v/>
      </c>
      <c r="O9149">
        <f>IF('Loan Tape (S&amp;P)'!T9149="Yes",
    1.35,
    1.00)</f>
        <v/>
      </c>
      <c r="P9149">
        <f>IF('Loan Tape (S&amp;P)'!S9149="Yes",
    1.15,
    1.00)</f>
        <v/>
      </c>
      <c r="Q9149">
        <f>IF('Loan Tape (S&amp;P)'!V9149="Yes",
    1.20,
    1.00)</f>
        <v/>
      </c>
      <c r="T9149">
        <f>LET(
    payment_method,'Loan Tape (S&amp;P)'!P9149,
    occupancy,'Loan Tape (S&amp;P)'!N9149,
    maturity_date,'Loan Tape (S&amp;P)'!L9149,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50">
      <c r="J9150">
        <f>LET(
    lien,'Loan Tape (S&amp;P)'!Q9150,
    IF(lien="First",1.00,
        IF(lien="Second",1.50,
            1.70)))</f>
        <v/>
      </c>
      <c r="K9150">
        <f>LET(
    purpose,'Loan Tape (S&amp;P)'!R9150,
    IF(purpose="Purchase",1.00,
        IF(purpose="Remortgage",1.00,
            1.20)))</f>
        <v/>
      </c>
      <c r="L9150">
        <f>LET(
    arrears_months,'Loan Tape (S&amp;P)'!AN9150,
    IF(arrears_months=0,1.00,
    IF(arrears_months=1,3.00,
    IF(arrears_months=2,5.00,
    IF(arrears_months=3,8.00,
    IF(arrears_months=4,10.00,
    IF(arrears_months=5,12.00,15.00)))))))</f>
        <v/>
      </c>
      <c r="M9150">
        <f>LET(
    seasoning_years,DATEDIF('Loan Tape (S&amp;P)'!K9150,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50">
        <f>IF(AND('Loan Tape (S&amp;P)'!U9150="Yes",
        'Loan Tape (S&amp;P)'!T9150&lt;&gt;"Yes",
        DATEDIF('Loan Tape (S&amp;P)'!K9150, TODAY(), "M")&lt;18),
    1.10,
    1.00)</f>
        <v/>
      </c>
      <c r="O9150">
        <f>IF('Loan Tape (S&amp;P)'!T9150="Yes",
    1.35,
    1.00)</f>
        <v/>
      </c>
      <c r="P9150">
        <f>IF('Loan Tape (S&amp;P)'!S9150="Yes",
    1.15,
    1.00)</f>
        <v/>
      </c>
      <c r="Q9150">
        <f>IF('Loan Tape (S&amp;P)'!V9150="Yes",
    1.20,
    1.00)</f>
        <v/>
      </c>
      <c r="T9150">
        <f>LET(
    payment_method,'Loan Tape (S&amp;P)'!P9150,
    occupancy,'Loan Tape (S&amp;P)'!N9150,
    maturity_date,'Loan Tape (S&amp;P)'!L9150,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51">
      <c r="J9151">
        <f>LET(
    lien,'Loan Tape (S&amp;P)'!Q9151,
    IF(lien="First",1.00,
        IF(lien="Second",1.50,
            1.70)))</f>
        <v/>
      </c>
      <c r="K9151">
        <f>LET(
    purpose,'Loan Tape (S&amp;P)'!R9151,
    IF(purpose="Purchase",1.00,
        IF(purpose="Remortgage",1.00,
            1.20)))</f>
        <v/>
      </c>
      <c r="L9151">
        <f>LET(
    arrears_months,'Loan Tape (S&amp;P)'!AN9151,
    IF(arrears_months=0,1.00,
    IF(arrears_months=1,3.00,
    IF(arrears_months=2,5.00,
    IF(arrears_months=3,8.00,
    IF(arrears_months=4,10.00,
    IF(arrears_months=5,12.00,15.00)))))))</f>
        <v/>
      </c>
      <c r="M9151">
        <f>LET(
    seasoning_years,DATEDIF('Loan Tape (S&amp;P)'!K9151,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51">
        <f>IF(AND('Loan Tape (S&amp;P)'!U9151="Yes",
        'Loan Tape (S&amp;P)'!T9151&lt;&gt;"Yes",
        DATEDIF('Loan Tape (S&amp;P)'!K9151, TODAY(), "M")&lt;18),
    1.10,
    1.00)</f>
        <v/>
      </c>
      <c r="O9151">
        <f>IF('Loan Tape (S&amp;P)'!T9151="Yes",
    1.35,
    1.00)</f>
        <v/>
      </c>
      <c r="P9151">
        <f>IF('Loan Tape (S&amp;P)'!S9151="Yes",
    1.15,
    1.00)</f>
        <v/>
      </c>
      <c r="Q9151">
        <f>IF('Loan Tape (S&amp;P)'!V9151="Yes",
    1.20,
    1.00)</f>
        <v/>
      </c>
      <c r="T9151">
        <f>LET(
    payment_method,'Loan Tape (S&amp;P)'!P9151,
    occupancy,'Loan Tape (S&amp;P)'!N9151,
    maturity_date,'Loan Tape (S&amp;P)'!L9151,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52">
      <c r="J9152">
        <f>LET(
    lien,'Loan Tape (S&amp;P)'!Q9152,
    IF(lien="First",1.00,
        IF(lien="Second",1.50,
            1.70)))</f>
        <v/>
      </c>
      <c r="K9152">
        <f>LET(
    purpose,'Loan Tape (S&amp;P)'!R9152,
    IF(purpose="Purchase",1.00,
        IF(purpose="Remortgage",1.00,
            1.20)))</f>
        <v/>
      </c>
      <c r="L9152">
        <f>LET(
    arrears_months,'Loan Tape (S&amp;P)'!AN9152,
    IF(arrears_months=0,1.00,
    IF(arrears_months=1,3.00,
    IF(arrears_months=2,5.00,
    IF(arrears_months=3,8.00,
    IF(arrears_months=4,10.00,
    IF(arrears_months=5,12.00,15.00)))))))</f>
        <v/>
      </c>
      <c r="M9152">
        <f>LET(
    seasoning_years,DATEDIF('Loan Tape (S&amp;P)'!K9152,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52">
        <f>IF(AND('Loan Tape (S&amp;P)'!U9152="Yes",
        'Loan Tape (S&amp;P)'!T9152&lt;&gt;"Yes",
        DATEDIF('Loan Tape (S&amp;P)'!K9152, TODAY(), "M")&lt;18),
    1.10,
    1.00)</f>
        <v/>
      </c>
      <c r="O9152">
        <f>IF('Loan Tape (S&amp;P)'!T9152="Yes",
    1.35,
    1.00)</f>
        <v/>
      </c>
      <c r="P9152">
        <f>IF('Loan Tape (S&amp;P)'!S9152="Yes",
    1.15,
    1.00)</f>
        <v/>
      </c>
      <c r="Q9152">
        <f>IF('Loan Tape (S&amp;P)'!V9152="Yes",
    1.20,
    1.00)</f>
        <v/>
      </c>
      <c r="T9152">
        <f>LET(
    payment_method,'Loan Tape (S&amp;P)'!P9152,
    occupancy,'Loan Tape (S&amp;P)'!N9152,
    maturity_date,'Loan Tape (S&amp;P)'!L9152,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53">
      <c r="J9153">
        <f>LET(
    lien,'Loan Tape (S&amp;P)'!Q9153,
    IF(lien="First",1.00,
        IF(lien="Second",1.50,
            1.70)))</f>
        <v/>
      </c>
      <c r="K9153">
        <f>LET(
    purpose,'Loan Tape (S&amp;P)'!R9153,
    IF(purpose="Purchase",1.00,
        IF(purpose="Remortgage",1.00,
            1.20)))</f>
        <v/>
      </c>
      <c r="L9153">
        <f>LET(
    arrears_months,'Loan Tape (S&amp;P)'!AN9153,
    IF(arrears_months=0,1.00,
    IF(arrears_months=1,3.00,
    IF(arrears_months=2,5.00,
    IF(arrears_months=3,8.00,
    IF(arrears_months=4,10.00,
    IF(arrears_months=5,12.00,15.00)))))))</f>
        <v/>
      </c>
      <c r="M9153">
        <f>LET(
    seasoning_years,DATEDIF('Loan Tape (S&amp;P)'!K9153,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53">
        <f>IF(AND('Loan Tape (S&amp;P)'!U9153="Yes",
        'Loan Tape (S&amp;P)'!T9153&lt;&gt;"Yes",
        DATEDIF('Loan Tape (S&amp;P)'!K9153, TODAY(), "M")&lt;18),
    1.10,
    1.00)</f>
        <v/>
      </c>
      <c r="O9153">
        <f>IF('Loan Tape (S&amp;P)'!T9153="Yes",
    1.35,
    1.00)</f>
        <v/>
      </c>
      <c r="P9153">
        <f>IF('Loan Tape (S&amp;P)'!S9153="Yes",
    1.15,
    1.00)</f>
        <v/>
      </c>
      <c r="Q9153">
        <f>IF('Loan Tape (S&amp;P)'!V9153="Yes",
    1.20,
    1.00)</f>
        <v/>
      </c>
      <c r="T9153">
        <f>LET(
    payment_method,'Loan Tape (S&amp;P)'!P9153,
    occupancy,'Loan Tape (S&amp;P)'!N9153,
    maturity_date,'Loan Tape (S&amp;P)'!L9153,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54">
      <c r="J9154">
        <f>LET(
    lien,'Loan Tape (S&amp;P)'!Q9154,
    IF(lien="First",1.00,
        IF(lien="Second",1.50,
            1.70)))</f>
        <v/>
      </c>
      <c r="K9154">
        <f>LET(
    purpose,'Loan Tape (S&amp;P)'!R9154,
    IF(purpose="Purchase",1.00,
        IF(purpose="Remortgage",1.00,
            1.20)))</f>
        <v/>
      </c>
      <c r="L9154">
        <f>LET(
    arrears_months,'Loan Tape (S&amp;P)'!AN9154,
    IF(arrears_months=0,1.00,
    IF(arrears_months=1,3.00,
    IF(arrears_months=2,5.00,
    IF(arrears_months=3,8.00,
    IF(arrears_months=4,10.00,
    IF(arrears_months=5,12.00,15.00)))))))</f>
        <v/>
      </c>
      <c r="M9154">
        <f>LET(
    seasoning_years,DATEDIF('Loan Tape (S&amp;P)'!K9154,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54">
        <f>IF(AND('Loan Tape (S&amp;P)'!U9154="Yes",
        'Loan Tape (S&amp;P)'!T9154&lt;&gt;"Yes",
        DATEDIF('Loan Tape (S&amp;P)'!K9154, TODAY(), "M")&lt;18),
    1.10,
    1.00)</f>
        <v/>
      </c>
      <c r="O9154">
        <f>IF('Loan Tape (S&amp;P)'!T9154="Yes",
    1.35,
    1.00)</f>
        <v/>
      </c>
      <c r="P9154">
        <f>IF('Loan Tape (S&amp;P)'!S9154="Yes",
    1.15,
    1.00)</f>
        <v/>
      </c>
      <c r="Q9154">
        <f>IF('Loan Tape (S&amp;P)'!V9154="Yes",
    1.20,
    1.00)</f>
        <v/>
      </c>
      <c r="T9154">
        <f>LET(
    payment_method,'Loan Tape (S&amp;P)'!P9154,
    occupancy,'Loan Tape (S&amp;P)'!N9154,
    maturity_date,'Loan Tape (S&amp;P)'!L9154,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55">
      <c r="J9155">
        <f>LET(
    lien,'Loan Tape (S&amp;P)'!Q9155,
    IF(lien="First",1.00,
        IF(lien="Second",1.50,
            1.70)))</f>
        <v/>
      </c>
      <c r="K9155">
        <f>LET(
    purpose,'Loan Tape (S&amp;P)'!R9155,
    IF(purpose="Purchase",1.00,
        IF(purpose="Remortgage",1.00,
            1.20)))</f>
        <v/>
      </c>
      <c r="L9155">
        <f>LET(
    arrears_months,'Loan Tape (S&amp;P)'!AN9155,
    IF(arrears_months=0,1.00,
    IF(arrears_months=1,3.00,
    IF(arrears_months=2,5.00,
    IF(arrears_months=3,8.00,
    IF(arrears_months=4,10.00,
    IF(arrears_months=5,12.00,15.00)))))))</f>
        <v/>
      </c>
      <c r="M9155">
        <f>LET(
    seasoning_years,DATEDIF('Loan Tape (S&amp;P)'!K9155,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55">
        <f>IF(AND('Loan Tape (S&amp;P)'!U9155="Yes",
        'Loan Tape (S&amp;P)'!T9155&lt;&gt;"Yes",
        DATEDIF('Loan Tape (S&amp;P)'!K9155, TODAY(), "M")&lt;18),
    1.10,
    1.00)</f>
        <v/>
      </c>
      <c r="O9155">
        <f>IF('Loan Tape (S&amp;P)'!T9155="Yes",
    1.35,
    1.00)</f>
        <v/>
      </c>
      <c r="P9155">
        <f>IF('Loan Tape (S&amp;P)'!S9155="Yes",
    1.15,
    1.00)</f>
        <v/>
      </c>
      <c r="Q9155">
        <f>IF('Loan Tape (S&amp;P)'!V9155="Yes",
    1.20,
    1.00)</f>
        <v/>
      </c>
      <c r="T9155">
        <f>LET(
    payment_method,'Loan Tape (S&amp;P)'!P9155,
    occupancy,'Loan Tape (S&amp;P)'!N9155,
    maturity_date,'Loan Tape (S&amp;P)'!L9155,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56">
      <c r="J9156">
        <f>LET(
    lien,'Loan Tape (S&amp;P)'!Q9156,
    IF(lien="First",1.00,
        IF(lien="Second",1.50,
            1.70)))</f>
        <v/>
      </c>
      <c r="K9156">
        <f>LET(
    purpose,'Loan Tape (S&amp;P)'!R9156,
    IF(purpose="Purchase",1.00,
        IF(purpose="Remortgage",1.00,
            1.20)))</f>
        <v/>
      </c>
      <c r="L9156">
        <f>LET(
    arrears_months,'Loan Tape (S&amp;P)'!AN9156,
    IF(arrears_months=0,1.00,
    IF(arrears_months=1,3.00,
    IF(arrears_months=2,5.00,
    IF(arrears_months=3,8.00,
    IF(arrears_months=4,10.00,
    IF(arrears_months=5,12.00,15.00)))))))</f>
        <v/>
      </c>
      <c r="M9156">
        <f>LET(
    seasoning_years,DATEDIF('Loan Tape (S&amp;P)'!K9156,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56">
        <f>IF(AND('Loan Tape (S&amp;P)'!U9156="Yes",
        'Loan Tape (S&amp;P)'!T9156&lt;&gt;"Yes",
        DATEDIF('Loan Tape (S&amp;P)'!K9156, TODAY(), "M")&lt;18),
    1.10,
    1.00)</f>
        <v/>
      </c>
      <c r="O9156">
        <f>IF('Loan Tape (S&amp;P)'!T9156="Yes",
    1.35,
    1.00)</f>
        <v/>
      </c>
      <c r="P9156">
        <f>IF('Loan Tape (S&amp;P)'!S9156="Yes",
    1.15,
    1.00)</f>
        <v/>
      </c>
      <c r="Q9156">
        <f>IF('Loan Tape (S&amp;P)'!V9156="Yes",
    1.20,
    1.00)</f>
        <v/>
      </c>
      <c r="T9156">
        <f>LET(
    payment_method,'Loan Tape (S&amp;P)'!P9156,
    occupancy,'Loan Tape (S&amp;P)'!N9156,
    maturity_date,'Loan Tape (S&amp;P)'!L9156,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57">
      <c r="J9157">
        <f>LET(
    lien,'Loan Tape (S&amp;P)'!Q9157,
    IF(lien="First",1.00,
        IF(lien="Second",1.50,
            1.70)))</f>
        <v/>
      </c>
      <c r="K9157">
        <f>LET(
    purpose,'Loan Tape (S&amp;P)'!R9157,
    IF(purpose="Purchase",1.00,
        IF(purpose="Remortgage",1.00,
            1.20)))</f>
        <v/>
      </c>
      <c r="L9157">
        <f>LET(
    arrears_months,'Loan Tape (S&amp;P)'!AN9157,
    IF(arrears_months=0,1.00,
    IF(arrears_months=1,3.00,
    IF(arrears_months=2,5.00,
    IF(arrears_months=3,8.00,
    IF(arrears_months=4,10.00,
    IF(arrears_months=5,12.00,15.00)))))))</f>
        <v/>
      </c>
      <c r="M9157">
        <f>LET(
    seasoning_years,DATEDIF('Loan Tape (S&amp;P)'!K9157,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57">
        <f>IF(AND('Loan Tape (S&amp;P)'!U9157="Yes",
        'Loan Tape (S&amp;P)'!T9157&lt;&gt;"Yes",
        DATEDIF('Loan Tape (S&amp;P)'!K9157, TODAY(), "M")&lt;18),
    1.10,
    1.00)</f>
        <v/>
      </c>
      <c r="O9157">
        <f>IF('Loan Tape (S&amp;P)'!T9157="Yes",
    1.35,
    1.00)</f>
        <v/>
      </c>
      <c r="P9157">
        <f>IF('Loan Tape (S&amp;P)'!S9157="Yes",
    1.15,
    1.00)</f>
        <v/>
      </c>
      <c r="Q9157">
        <f>IF('Loan Tape (S&amp;P)'!V9157="Yes",
    1.20,
    1.00)</f>
        <v/>
      </c>
      <c r="T9157">
        <f>LET(
    payment_method,'Loan Tape (S&amp;P)'!P9157,
    occupancy,'Loan Tape (S&amp;P)'!N9157,
    maturity_date,'Loan Tape (S&amp;P)'!L9157,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58">
      <c r="J9158">
        <f>LET(
    lien,'Loan Tape (S&amp;P)'!Q9158,
    IF(lien="First",1.00,
        IF(lien="Second",1.50,
            1.70)))</f>
        <v/>
      </c>
      <c r="K9158">
        <f>LET(
    purpose,'Loan Tape (S&amp;P)'!R9158,
    IF(purpose="Purchase",1.00,
        IF(purpose="Remortgage",1.00,
            1.20)))</f>
        <v/>
      </c>
      <c r="L9158">
        <f>LET(
    arrears_months,'Loan Tape (S&amp;P)'!AN9158,
    IF(arrears_months=0,1.00,
    IF(arrears_months=1,3.00,
    IF(arrears_months=2,5.00,
    IF(arrears_months=3,8.00,
    IF(arrears_months=4,10.00,
    IF(arrears_months=5,12.00,15.00)))))))</f>
        <v/>
      </c>
      <c r="M9158">
        <f>LET(
    seasoning_years,DATEDIF('Loan Tape (S&amp;P)'!K9158,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58">
        <f>IF(AND('Loan Tape (S&amp;P)'!U9158="Yes",
        'Loan Tape (S&amp;P)'!T9158&lt;&gt;"Yes",
        DATEDIF('Loan Tape (S&amp;P)'!K9158, TODAY(), "M")&lt;18),
    1.10,
    1.00)</f>
        <v/>
      </c>
      <c r="O9158">
        <f>IF('Loan Tape (S&amp;P)'!T9158="Yes",
    1.35,
    1.00)</f>
        <v/>
      </c>
      <c r="P9158">
        <f>IF('Loan Tape (S&amp;P)'!S9158="Yes",
    1.15,
    1.00)</f>
        <v/>
      </c>
      <c r="Q9158">
        <f>IF('Loan Tape (S&amp;P)'!V9158="Yes",
    1.20,
    1.00)</f>
        <v/>
      </c>
      <c r="T9158">
        <f>LET(
    payment_method,'Loan Tape (S&amp;P)'!P9158,
    occupancy,'Loan Tape (S&amp;P)'!N9158,
    maturity_date,'Loan Tape (S&amp;P)'!L9158,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59">
      <c r="J9159">
        <f>LET(
    lien,'Loan Tape (S&amp;P)'!Q9159,
    IF(lien="First",1.00,
        IF(lien="Second",1.50,
            1.70)))</f>
        <v/>
      </c>
      <c r="K9159">
        <f>LET(
    purpose,'Loan Tape (S&amp;P)'!R9159,
    IF(purpose="Purchase",1.00,
        IF(purpose="Remortgage",1.00,
            1.20)))</f>
        <v/>
      </c>
      <c r="L9159">
        <f>LET(
    arrears_months,'Loan Tape (S&amp;P)'!AN9159,
    IF(arrears_months=0,1.00,
    IF(arrears_months=1,3.00,
    IF(arrears_months=2,5.00,
    IF(arrears_months=3,8.00,
    IF(arrears_months=4,10.00,
    IF(arrears_months=5,12.00,15.00)))))))</f>
        <v/>
      </c>
      <c r="M9159">
        <f>LET(
    seasoning_years,DATEDIF('Loan Tape (S&amp;P)'!K9159,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59">
        <f>IF(AND('Loan Tape (S&amp;P)'!U9159="Yes",
        'Loan Tape (S&amp;P)'!T9159&lt;&gt;"Yes",
        DATEDIF('Loan Tape (S&amp;P)'!K9159, TODAY(), "M")&lt;18),
    1.10,
    1.00)</f>
        <v/>
      </c>
      <c r="O9159">
        <f>IF('Loan Tape (S&amp;P)'!T9159="Yes",
    1.35,
    1.00)</f>
        <v/>
      </c>
      <c r="P9159">
        <f>IF('Loan Tape (S&amp;P)'!S9159="Yes",
    1.15,
    1.00)</f>
        <v/>
      </c>
      <c r="Q9159">
        <f>IF('Loan Tape (S&amp;P)'!V9159="Yes",
    1.20,
    1.00)</f>
        <v/>
      </c>
      <c r="T9159">
        <f>LET(
    payment_method,'Loan Tape (S&amp;P)'!P9159,
    occupancy,'Loan Tape (S&amp;P)'!N9159,
    maturity_date,'Loan Tape (S&amp;P)'!L9159,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60">
      <c r="J9160">
        <f>LET(
    lien,'Loan Tape (S&amp;P)'!Q9160,
    IF(lien="First",1.00,
        IF(lien="Second",1.50,
            1.70)))</f>
        <v/>
      </c>
      <c r="K9160">
        <f>LET(
    purpose,'Loan Tape (S&amp;P)'!R9160,
    IF(purpose="Purchase",1.00,
        IF(purpose="Remortgage",1.00,
            1.20)))</f>
        <v/>
      </c>
      <c r="L9160">
        <f>LET(
    arrears_months,'Loan Tape (S&amp;P)'!AN9160,
    IF(arrears_months=0,1.00,
    IF(arrears_months=1,3.00,
    IF(arrears_months=2,5.00,
    IF(arrears_months=3,8.00,
    IF(arrears_months=4,10.00,
    IF(arrears_months=5,12.00,15.00)))))))</f>
        <v/>
      </c>
      <c r="M9160">
        <f>LET(
    seasoning_years,DATEDIF('Loan Tape (S&amp;P)'!K9160,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60">
        <f>IF(AND('Loan Tape (S&amp;P)'!U9160="Yes",
        'Loan Tape (S&amp;P)'!T9160&lt;&gt;"Yes",
        DATEDIF('Loan Tape (S&amp;P)'!K9160, TODAY(), "M")&lt;18),
    1.10,
    1.00)</f>
        <v/>
      </c>
      <c r="O9160">
        <f>IF('Loan Tape (S&amp;P)'!T9160="Yes",
    1.35,
    1.00)</f>
        <v/>
      </c>
      <c r="P9160">
        <f>IF('Loan Tape (S&amp;P)'!S9160="Yes",
    1.15,
    1.00)</f>
        <v/>
      </c>
      <c r="Q9160">
        <f>IF('Loan Tape (S&amp;P)'!V9160="Yes",
    1.20,
    1.00)</f>
        <v/>
      </c>
      <c r="T9160">
        <f>LET(
    payment_method,'Loan Tape (S&amp;P)'!P9160,
    occupancy,'Loan Tape (S&amp;P)'!N9160,
    maturity_date,'Loan Tape (S&amp;P)'!L9160,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61">
      <c r="J9161">
        <f>LET(
    lien,'Loan Tape (S&amp;P)'!Q9161,
    IF(lien="First",1.00,
        IF(lien="Second",1.50,
            1.70)))</f>
        <v/>
      </c>
      <c r="K9161">
        <f>LET(
    purpose,'Loan Tape (S&amp;P)'!R9161,
    IF(purpose="Purchase",1.00,
        IF(purpose="Remortgage",1.00,
            1.20)))</f>
        <v/>
      </c>
      <c r="L9161">
        <f>LET(
    arrears_months,'Loan Tape (S&amp;P)'!AN9161,
    IF(arrears_months=0,1.00,
    IF(arrears_months=1,3.00,
    IF(arrears_months=2,5.00,
    IF(arrears_months=3,8.00,
    IF(arrears_months=4,10.00,
    IF(arrears_months=5,12.00,15.00)))))))</f>
        <v/>
      </c>
      <c r="M9161">
        <f>LET(
    seasoning_years,DATEDIF('Loan Tape (S&amp;P)'!K9161,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61">
        <f>IF(AND('Loan Tape (S&amp;P)'!U9161="Yes",
        'Loan Tape (S&amp;P)'!T9161&lt;&gt;"Yes",
        DATEDIF('Loan Tape (S&amp;P)'!K9161, TODAY(), "M")&lt;18),
    1.10,
    1.00)</f>
        <v/>
      </c>
      <c r="O9161">
        <f>IF('Loan Tape (S&amp;P)'!T9161="Yes",
    1.35,
    1.00)</f>
        <v/>
      </c>
      <c r="P9161">
        <f>IF('Loan Tape (S&amp;P)'!S9161="Yes",
    1.15,
    1.00)</f>
        <v/>
      </c>
      <c r="Q9161">
        <f>IF('Loan Tape (S&amp;P)'!V9161="Yes",
    1.20,
    1.00)</f>
        <v/>
      </c>
      <c r="T9161">
        <f>LET(
    payment_method,'Loan Tape (S&amp;P)'!P9161,
    occupancy,'Loan Tape (S&amp;P)'!N9161,
    maturity_date,'Loan Tape (S&amp;P)'!L9161,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62">
      <c r="J9162">
        <f>LET(
    lien,'Loan Tape (S&amp;P)'!Q9162,
    IF(lien="First",1.00,
        IF(lien="Second",1.50,
            1.70)))</f>
        <v/>
      </c>
      <c r="K9162">
        <f>LET(
    purpose,'Loan Tape (S&amp;P)'!R9162,
    IF(purpose="Purchase",1.00,
        IF(purpose="Remortgage",1.00,
            1.20)))</f>
        <v/>
      </c>
      <c r="L9162">
        <f>LET(
    arrears_months,'Loan Tape (S&amp;P)'!AN9162,
    IF(arrears_months=0,1.00,
    IF(arrears_months=1,3.00,
    IF(arrears_months=2,5.00,
    IF(arrears_months=3,8.00,
    IF(arrears_months=4,10.00,
    IF(arrears_months=5,12.00,15.00)))))))</f>
        <v/>
      </c>
      <c r="M9162">
        <f>LET(
    seasoning_years,DATEDIF('Loan Tape (S&amp;P)'!K9162,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62">
        <f>IF(AND('Loan Tape (S&amp;P)'!U9162="Yes",
        'Loan Tape (S&amp;P)'!T9162&lt;&gt;"Yes",
        DATEDIF('Loan Tape (S&amp;P)'!K9162, TODAY(), "M")&lt;18),
    1.10,
    1.00)</f>
        <v/>
      </c>
      <c r="O9162">
        <f>IF('Loan Tape (S&amp;P)'!T9162="Yes",
    1.35,
    1.00)</f>
        <v/>
      </c>
      <c r="P9162">
        <f>IF('Loan Tape (S&amp;P)'!S9162="Yes",
    1.15,
    1.00)</f>
        <v/>
      </c>
      <c r="Q9162">
        <f>IF('Loan Tape (S&amp;P)'!V9162="Yes",
    1.20,
    1.00)</f>
        <v/>
      </c>
      <c r="T9162">
        <f>LET(
    payment_method,'Loan Tape (S&amp;P)'!P9162,
    occupancy,'Loan Tape (S&amp;P)'!N9162,
    maturity_date,'Loan Tape (S&amp;P)'!L9162,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63">
      <c r="J9163">
        <f>LET(
    lien,'Loan Tape (S&amp;P)'!Q9163,
    IF(lien="First",1.00,
        IF(lien="Second",1.50,
            1.70)))</f>
        <v/>
      </c>
      <c r="K9163">
        <f>LET(
    purpose,'Loan Tape (S&amp;P)'!R9163,
    IF(purpose="Purchase",1.00,
        IF(purpose="Remortgage",1.00,
            1.20)))</f>
        <v/>
      </c>
      <c r="L9163">
        <f>LET(
    arrears_months,'Loan Tape (S&amp;P)'!AN9163,
    IF(arrears_months=0,1.00,
    IF(arrears_months=1,3.00,
    IF(arrears_months=2,5.00,
    IF(arrears_months=3,8.00,
    IF(arrears_months=4,10.00,
    IF(arrears_months=5,12.00,15.00)))))))</f>
        <v/>
      </c>
      <c r="M9163">
        <f>LET(
    seasoning_years,DATEDIF('Loan Tape (S&amp;P)'!K9163,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63">
        <f>IF(AND('Loan Tape (S&amp;P)'!U9163="Yes",
        'Loan Tape (S&amp;P)'!T9163&lt;&gt;"Yes",
        DATEDIF('Loan Tape (S&amp;P)'!K9163, TODAY(), "M")&lt;18),
    1.10,
    1.00)</f>
        <v/>
      </c>
      <c r="O9163">
        <f>IF('Loan Tape (S&amp;P)'!T9163="Yes",
    1.35,
    1.00)</f>
        <v/>
      </c>
      <c r="P9163">
        <f>IF('Loan Tape (S&amp;P)'!S9163="Yes",
    1.15,
    1.00)</f>
        <v/>
      </c>
      <c r="Q9163">
        <f>IF('Loan Tape (S&amp;P)'!V9163="Yes",
    1.20,
    1.00)</f>
        <v/>
      </c>
      <c r="T9163">
        <f>LET(
    payment_method,'Loan Tape (S&amp;P)'!P9163,
    occupancy,'Loan Tape (S&amp;P)'!N9163,
    maturity_date,'Loan Tape (S&amp;P)'!L9163,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64">
      <c r="J9164">
        <f>LET(
    lien,'Loan Tape (S&amp;P)'!Q9164,
    IF(lien="First",1.00,
        IF(lien="Second",1.50,
            1.70)))</f>
        <v/>
      </c>
      <c r="K9164">
        <f>LET(
    purpose,'Loan Tape (S&amp;P)'!R9164,
    IF(purpose="Purchase",1.00,
        IF(purpose="Remortgage",1.00,
            1.20)))</f>
        <v/>
      </c>
      <c r="L9164">
        <f>LET(
    arrears_months,'Loan Tape (S&amp;P)'!AN9164,
    IF(arrears_months=0,1.00,
    IF(arrears_months=1,3.00,
    IF(arrears_months=2,5.00,
    IF(arrears_months=3,8.00,
    IF(arrears_months=4,10.00,
    IF(arrears_months=5,12.00,15.00)))))))</f>
        <v/>
      </c>
      <c r="M9164">
        <f>LET(
    seasoning_years,DATEDIF('Loan Tape (S&amp;P)'!K9164,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64">
        <f>IF(AND('Loan Tape (S&amp;P)'!U9164="Yes",
        'Loan Tape (S&amp;P)'!T9164&lt;&gt;"Yes",
        DATEDIF('Loan Tape (S&amp;P)'!K9164, TODAY(), "M")&lt;18),
    1.10,
    1.00)</f>
        <v/>
      </c>
      <c r="O9164">
        <f>IF('Loan Tape (S&amp;P)'!T9164="Yes",
    1.35,
    1.00)</f>
        <v/>
      </c>
      <c r="P9164">
        <f>IF('Loan Tape (S&amp;P)'!S9164="Yes",
    1.15,
    1.00)</f>
        <v/>
      </c>
      <c r="Q9164">
        <f>IF('Loan Tape (S&amp;P)'!V9164="Yes",
    1.20,
    1.00)</f>
        <v/>
      </c>
      <c r="T9164">
        <f>LET(
    payment_method,'Loan Tape (S&amp;P)'!P9164,
    occupancy,'Loan Tape (S&amp;P)'!N9164,
    maturity_date,'Loan Tape (S&amp;P)'!L9164,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65">
      <c r="J9165">
        <f>LET(
    lien,'Loan Tape (S&amp;P)'!Q9165,
    IF(lien="First",1.00,
        IF(lien="Second",1.50,
            1.70)))</f>
        <v/>
      </c>
      <c r="K9165">
        <f>LET(
    purpose,'Loan Tape (S&amp;P)'!R9165,
    IF(purpose="Purchase",1.00,
        IF(purpose="Remortgage",1.00,
            1.20)))</f>
        <v/>
      </c>
      <c r="L9165">
        <f>LET(
    arrears_months,'Loan Tape (S&amp;P)'!AN9165,
    IF(arrears_months=0,1.00,
    IF(arrears_months=1,3.00,
    IF(arrears_months=2,5.00,
    IF(arrears_months=3,8.00,
    IF(arrears_months=4,10.00,
    IF(arrears_months=5,12.00,15.00)))))))</f>
        <v/>
      </c>
      <c r="M9165">
        <f>LET(
    seasoning_years,DATEDIF('Loan Tape (S&amp;P)'!K9165,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65">
        <f>IF(AND('Loan Tape (S&amp;P)'!U9165="Yes",
        'Loan Tape (S&amp;P)'!T9165&lt;&gt;"Yes",
        DATEDIF('Loan Tape (S&amp;P)'!K9165, TODAY(), "M")&lt;18),
    1.10,
    1.00)</f>
        <v/>
      </c>
      <c r="O9165">
        <f>IF('Loan Tape (S&amp;P)'!T9165="Yes",
    1.35,
    1.00)</f>
        <v/>
      </c>
      <c r="P9165">
        <f>IF('Loan Tape (S&amp;P)'!S9165="Yes",
    1.15,
    1.00)</f>
        <v/>
      </c>
      <c r="Q9165">
        <f>IF('Loan Tape (S&amp;P)'!V9165="Yes",
    1.20,
    1.00)</f>
        <v/>
      </c>
      <c r="T9165">
        <f>LET(
    payment_method,'Loan Tape (S&amp;P)'!P9165,
    occupancy,'Loan Tape (S&amp;P)'!N9165,
    maturity_date,'Loan Tape (S&amp;P)'!L9165,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66">
      <c r="J9166">
        <f>LET(
    lien,'Loan Tape (S&amp;P)'!Q9166,
    IF(lien="First",1.00,
        IF(lien="Second",1.50,
            1.70)))</f>
        <v/>
      </c>
      <c r="K9166">
        <f>LET(
    purpose,'Loan Tape (S&amp;P)'!R9166,
    IF(purpose="Purchase",1.00,
        IF(purpose="Remortgage",1.00,
            1.20)))</f>
        <v/>
      </c>
      <c r="L9166">
        <f>LET(
    arrears_months,'Loan Tape (S&amp;P)'!AN9166,
    IF(arrears_months=0,1.00,
    IF(arrears_months=1,3.00,
    IF(arrears_months=2,5.00,
    IF(arrears_months=3,8.00,
    IF(arrears_months=4,10.00,
    IF(arrears_months=5,12.00,15.00)))))))</f>
        <v/>
      </c>
      <c r="M9166">
        <f>LET(
    seasoning_years,DATEDIF('Loan Tape (S&amp;P)'!K9166,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66">
        <f>IF(AND('Loan Tape (S&amp;P)'!U9166="Yes",
        'Loan Tape (S&amp;P)'!T9166&lt;&gt;"Yes",
        DATEDIF('Loan Tape (S&amp;P)'!K9166, TODAY(), "M")&lt;18),
    1.10,
    1.00)</f>
        <v/>
      </c>
      <c r="O9166">
        <f>IF('Loan Tape (S&amp;P)'!T9166="Yes",
    1.35,
    1.00)</f>
        <v/>
      </c>
      <c r="P9166">
        <f>IF('Loan Tape (S&amp;P)'!S9166="Yes",
    1.15,
    1.00)</f>
        <v/>
      </c>
      <c r="Q9166">
        <f>IF('Loan Tape (S&amp;P)'!V9166="Yes",
    1.20,
    1.00)</f>
        <v/>
      </c>
      <c r="T9166">
        <f>LET(
    payment_method,'Loan Tape (S&amp;P)'!P9166,
    occupancy,'Loan Tape (S&amp;P)'!N9166,
    maturity_date,'Loan Tape (S&amp;P)'!L9166,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67">
      <c r="J9167">
        <f>LET(
    lien,'Loan Tape (S&amp;P)'!Q9167,
    IF(lien="First",1.00,
        IF(lien="Second",1.50,
            1.70)))</f>
        <v/>
      </c>
      <c r="K9167">
        <f>LET(
    purpose,'Loan Tape (S&amp;P)'!R9167,
    IF(purpose="Purchase",1.00,
        IF(purpose="Remortgage",1.00,
            1.20)))</f>
        <v/>
      </c>
      <c r="L9167">
        <f>LET(
    arrears_months,'Loan Tape (S&amp;P)'!AN9167,
    IF(arrears_months=0,1.00,
    IF(arrears_months=1,3.00,
    IF(arrears_months=2,5.00,
    IF(arrears_months=3,8.00,
    IF(arrears_months=4,10.00,
    IF(arrears_months=5,12.00,15.00)))))))</f>
        <v/>
      </c>
      <c r="M9167">
        <f>LET(
    seasoning_years,DATEDIF('Loan Tape (S&amp;P)'!K9167,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67">
        <f>IF(AND('Loan Tape (S&amp;P)'!U9167="Yes",
        'Loan Tape (S&amp;P)'!T9167&lt;&gt;"Yes",
        DATEDIF('Loan Tape (S&amp;P)'!K9167, TODAY(), "M")&lt;18),
    1.10,
    1.00)</f>
        <v/>
      </c>
      <c r="O9167">
        <f>IF('Loan Tape (S&amp;P)'!T9167="Yes",
    1.35,
    1.00)</f>
        <v/>
      </c>
      <c r="P9167">
        <f>IF('Loan Tape (S&amp;P)'!S9167="Yes",
    1.15,
    1.00)</f>
        <v/>
      </c>
      <c r="Q9167">
        <f>IF('Loan Tape (S&amp;P)'!V9167="Yes",
    1.20,
    1.00)</f>
        <v/>
      </c>
      <c r="T9167">
        <f>LET(
    payment_method,'Loan Tape (S&amp;P)'!P9167,
    occupancy,'Loan Tape (S&amp;P)'!N9167,
    maturity_date,'Loan Tape (S&amp;P)'!L9167,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68">
      <c r="J9168">
        <f>LET(
    lien,'Loan Tape (S&amp;P)'!Q9168,
    IF(lien="First",1.00,
        IF(lien="Second",1.50,
            1.70)))</f>
        <v/>
      </c>
      <c r="K9168">
        <f>LET(
    purpose,'Loan Tape (S&amp;P)'!R9168,
    IF(purpose="Purchase",1.00,
        IF(purpose="Remortgage",1.00,
            1.20)))</f>
        <v/>
      </c>
      <c r="L9168">
        <f>LET(
    arrears_months,'Loan Tape (S&amp;P)'!AN9168,
    IF(arrears_months=0,1.00,
    IF(arrears_months=1,3.00,
    IF(arrears_months=2,5.00,
    IF(arrears_months=3,8.00,
    IF(arrears_months=4,10.00,
    IF(arrears_months=5,12.00,15.00)))))))</f>
        <v/>
      </c>
      <c r="M9168">
        <f>LET(
    seasoning_years,DATEDIF('Loan Tape (S&amp;P)'!K9168,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68">
        <f>IF(AND('Loan Tape (S&amp;P)'!U9168="Yes",
        'Loan Tape (S&amp;P)'!T9168&lt;&gt;"Yes",
        DATEDIF('Loan Tape (S&amp;P)'!K9168, TODAY(), "M")&lt;18),
    1.10,
    1.00)</f>
        <v/>
      </c>
      <c r="O9168">
        <f>IF('Loan Tape (S&amp;P)'!T9168="Yes",
    1.35,
    1.00)</f>
        <v/>
      </c>
      <c r="P9168">
        <f>IF('Loan Tape (S&amp;P)'!S9168="Yes",
    1.15,
    1.00)</f>
        <v/>
      </c>
      <c r="Q9168">
        <f>IF('Loan Tape (S&amp;P)'!V9168="Yes",
    1.20,
    1.00)</f>
        <v/>
      </c>
      <c r="T9168">
        <f>LET(
    payment_method,'Loan Tape (S&amp;P)'!P9168,
    occupancy,'Loan Tape (S&amp;P)'!N9168,
    maturity_date,'Loan Tape (S&amp;P)'!L9168,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69">
      <c r="J9169">
        <f>LET(
    lien,'Loan Tape (S&amp;P)'!Q9169,
    IF(lien="First",1.00,
        IF(lien="Second",1.50,
            1.70)))</f>
        <v/>
      </c>
      <c r="K9169">
        <f>LET(
    purpose,'Loan Tape (S&amp;P)'!R9169,
    IF(purpose="Purchase",1.00,
        IF(purpose="Remortgage",1.00,
            1.20)))</f>
        <v/>
      </c>
      <c r="L9169">
        <f>LET(
    arrears_months,'Loan Tape (S&amp;P)'!AN9169,
    IF(arrears_months=0,1.00,
    IF(arrears_months=1,3.00,
    IF(arrears_months=2,5.00,
    IF(arrears_months=3,8.00,
    IF(arrears_months=4,10.00,
    IF(arrears_months=5,12.00,15.00)))))))</f>
        <v/>
      </c>
      <c r="M9169">
        <f>LET(
    seasoning_years,DATEDIF('Loan Tape (S&amp;P)'!K9169,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69">
        <f>IF(AND('Loan Tape (S&amp;P)'!U9169="Yes",
        'Loan Tape (S&amp;P)'!T9169&lt;&gt;"Yes",
        DATEDIF('Loan Tape (S&amp;P)'!K9169, TODAY(), "M")&lt;18),
    1.10,
    1.00)</f>
        <v/>
      </c>
      <c r="O9169">
        <f>IF('Loan Tape (S&amp;P)'!T9169="Yes",
    1.35,
    1.00)</f>
        <v/>
      </c>
      <c r="P9169">
        <f>IF('Loan Tape (S&amp;P)'!S9169="Yes",
    1.15,
    1.00)</f>
        <v/>
      </c>
      <c r="Q9169">
        <f>IF('Loan Tape (S&amp;P)'!V9169="Yes",
    1.20,
    1.00)</f>
        <v/>
      </c>
      <c r="T9169">
        <f>LET(
    payment_method,'Loan Tape (S&amp;P)'!P9169,
    occupancy,'Loan Tape (S&amp;P)'!N9169,
    maturity_date,'Loan Tape (S&amp;P)'!L9169,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70">
      <c r="J9170">
        <f>LET(
    lien,'Loan Tape (S&amp;P)'!Q9170,
    IF(lien="First",1.00,
        IF(lien="Second",1.50,
            1.70)))</f>
        <v/>
      </c>
      <c r="K9170">
        <f>LET(
    purpose,'Loan Tape (S&amp;P)'!R9170,
    IF(purpose="Purchase",1.00,
        IF(purpose="Remortgage",1.00,
            1.20)))</f>
        <v/>
      </c>
      <c r="L9170">
        <f>LET(
    arrears_months,'Loan Tape (S&amp;P)'!AN9170,
    IF(arrears_months=0,1.00,
    IF(arrears_months=1,3.00,
    IF(arrears_months=2,5.00,
    IF(arrears_months=3,8.00,
    IF(arrears_months=4,10.00,
    IF(arrears_months=5,12.00,15.00)))))))</f>
        <v/>
      </c>
      <c r="M9170">
        <f>LET(
    seasoning_years,DATEDIF('Loan Tape (S&amp;P)'!K9170,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70">
        <f>IF(AND('Loan Tape (S&amp;P)'!U9170="Yes",
        'Loan Tape (S&amp;P)'!T9170&lt;&gt;"Yes",
        DATEDIF('Loan Tape (S&amp;P)'!K9170, TODAY(), "M")&lt;18),
    1.10,
    1.00)</f>
        <v/>
      </c>
      <c r="O9170">
        <f>IF('Loan Tape (S&amp;P)'!T9170="Yes",
    1.35,
    1.00)</f>
        <v/>
      </c>
      <c r="P9170">
        <f>IF('Loan Tape (S&amp;P)'!S9170="Yes",
    1.15,
    1.00)</f>
        <v/>
      </c>
      <c r="Q9170">
        <f>IF('Loan Tape (S&amp;P)'!V9170="Yes",
    1.20,
    1.00)</f>
        <v/>
      </c>
      <c r="T9170">
        <f>LET(
    payment_method,'Loan Tape (S&amp;P)'!P9170,
    occupancy,'Loan Tape (S&amp;P)'!N9170,
    maturity_date,'Loan Tape (S&amp;P)'!L9170,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71">
      <c r="J9171">
        <f>LET(
    lien,'Loan Tape (S&amp;P)'!Q9171,
    IF(lien="First",1.00,
        IF(lien="Second",1.50,
            1.70)))</f>
        <v/>
      </c>
      <c r="K9171">
        <f>LET(
    purpose,'Loan Tape (S&amp;P)'!R9171,
    IF(purpose="Purchase",1.00,
        IF(purpose="Remortgage",1.00,
            1.20)))</f>
        <v/>
      </c>
      <c r="L9171">
        <f>LET(
    arrears_months,'Loan Tape (S&amp;P)'!AN9171,
    IF(arrears_months=0,1.00,
    IF(arrears_months=1,3.00,
    IF(arrears_months=2,5.00,
    IF(arrears_months=3,8.00,
    IF(arrears_months=4,10.00,
    IF(arrears_months=5,12.00,15.00)))))))</f>
        <v/>
      </c>
      <c r="M9171">
        <f>LET(
    seasoning_years,DATEDIF('Loan Tape (S&amp;P)'!K9171,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71">
        <f>IF(AND('Loan Tape (S&amp;P)'!U9171="Yes",
        'Loan Tape (S&amp;P)'!T9171&lt;&gt;"Yes",
        DATEDIF('Loan Tape (S&amp;P)'!K9171, TODAY(), "M")&lt;18),
    1.10,
    1.00)</f>
        <v/>
      </c>
      <c r="O9171">
        <f>IF('Loan Tape (S&amp;P)'!T9171="Yes",
    1.35,
    1.00)</f>
        <v/>
      </c>
      <c r="P9171">
        <f>IF('Loan Tape (S&amp;P)'!S9171="Yes",
    1.15,
    1.00)</f>
        <v/>
      </c>
      <c r="Q9171">
        <f>IF('Loan Tape (S&amp;P)'!V9171="Yes",
    1.20,
    1.00)</f>
        <v/>
      </c>
      <c r="T9171">
        <f>LET(
    payment_method,'Loan Tape (S&amp;P)'!P9171,
    occupancy,'Loan Tape (S&amp;P)'!N9171,
    maturity_date,'Loan Tape (S&amp;P)'!L9171,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72">
      <c r="J9172">
        <f>LET(
    lien,'Loan Tape (S&amp;P)'!Q9172,
    IF(lien="First",1.00,
        IF(lien="Second",1.50,
            1.70)))</f>
        <v/>
      </c>
      <c r="K9172">
        <f>LET(
    purpose,'Loan Tape (S&amp;P)'!R9172,
    IF(purpose="Purchase",1.00,
        IF(purpose="Remortgage",1.00,
            1.20)))</f>
        <v/>
      </c>
      <c r="L9172">
        <f>LET(
    arrears_months,'Loan Tape (S&amp;P)'!AN9172,
    IF(arrears_months=0,1.00,
    IF(arrears_months=1,3.00,
    IF(arrears_months=2,5.00,
    IF(arrears_months=3,8.00,
    IF(arrears_months=4,10.00,
    IF(arrears_months=5,12.00,15.00)))))))</f>
        <v/>
      </c>
      <c r="M9172">
        <f>LET(
    seasoning_years,DATEDIF('Loan Tape (S&amp;P)'!K9172,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72">
        <f>IF(AND('Loan Tape (S&amp;P)'!U9172="Yes",
        'Loan Tape (S&amp;P)'!T9172&lt;&gt;"Yes",
        DATEDIF('Loan Tape (S&amp;P)'!K9172, TODAY(), "M")&lt;18),
    1.10,
    1.00)</f>
        <v/>
      </c>
      <c r="O9172">
        <f>IF('Loan Tape (S&amp;P)'!T9172="Yes",
    1.35,
    1.00)</f>
        <v/>
      </c>
      <c r="P9172">
        <f>IF('Loan Tape (S&amp;P)'!S9172="Yes",
    1.15,
    1.00)</f>
        <v/>
      </c>
      <c r="Q9172">
        <f>IF('Loan Tape (S&amp;P)'!V9172="Yes",
    1.20,
    1.00)</f>
        <v/>
      </c>
      <c r="T9172">
        <f>LET(
    payment_method,'Loan Tape (S&amp;P)'!P9172,
    occupancy,'Loan Tape (S&amp;P)'!N9172,
    maturity_date,'Loan Tape (S&amp;P)'!L9172,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73">
      <c r="J9173">
        <f>LET(
    lien,'Loan Tape (S&amp;P)'!Q9173,
    IF(lien="First",1.00,
        IF(lien="Second",1.50,
            1.70)))</f>
        <v/>
      </c>
      <c r="K9173">
        <f>LET(
    purpose,'Loan Tape (S&amp;P)'!R9173,
    IF(purpose="Purchase",1.00,
        IF(purpose="Remortgage",1.00,
            1.20)))</f>
        <v/>
      </c>
      <c r="L9173">
        <f>LET(
    arrears_months,'Loan Tape (S&amp;P)'!AN9173,
    IF(arrears_months=0,1.00,
    IF(arrears_months=1,3.00,
    IF(arrears_months=2,5.00,
    IF(arrears_months=3,8.00,
    IF(arrears_months=4,10.00,
    IF(arrears_months=5,12.00,15.00)))))))</f>
        <v/>
      </c>
      <c r="M9173">
        <f>LET(
    seasoning_years,DATEDIF('Loan Tape (S&amp;P)'!K9173,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73">
        <f>IF(AND('Loan Tape (S&amp;P)'!U9173="Yes",
        'Loan Tape (S&amp;P)'!T9173&lt;&gt;"Yes",
        DATEDIF('Loan Tape (S&amp;P)'!K9173, TODAY(), "M")&lt;18),
    1.10,
    1.00)</f>
        <v/>
      </c>
      <c r="O9173">
        <f>IF('Loan Tape (S&amp;P)'!T9173="Yes",
    1.35,
    1.00)</f>
        <v/>
      </c>
      <c r="P9173">
        <f>IF('Loan Tape (S&amp;P)'!S9173="Yes",
    1.15,
    1.00)</f>
        <v/>
      </c>
      <c r="Q9173">
        <f>IF('Loan Tape (S&amp;P)'!V9173="Yes",
    1.20,
    1.00)</f>
        <v/>
      </c>
      <c r="T9173">
        <f>LET(
    payment_method,'Loan Tape (S&amp;P)'!P9173,
    occupancy,'Loan Tape (S&amp;P)'!N9173,
    maturity_date,'Loan Tape (S&amp;P)'!L9173,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74">
      <c r="J9174">
        <f>LET(
    lien,'Loan Tape (S&amp;P)'!Q9174,
    IF(lien="First",1.00,
        IF(lien="Second",1.50,
            1.70)))</f>
        <v/>
      </c>
      <c r="K9174">
        <f>LET(
    purpose,'Loan Tape (S&amp;P)'!R9174,
    IF(purpose="Purchase",1.00,
        IF(purpose="Remortgage",1.00,
            1.20)))</f>
        <v/>
      </c>
      <c r="L9174">
        <f>LET(
    arrears_months,'Loan Tape (S&amp;P)'!AN9174,
    IF(arrears_months=0,1.00,
    IF(arrears_months=1,3.00,
    IF(arrears_months=2,5.00,
    IF(arrears_months=3,8.00,
    IF(arrears_months=4,10.00,
    IF(arrears_months=5,12.00,15.00)))))))</f>
        <v/>
      </c>
      <c r="M9174">
        <f>LET(
    seasoning_years,DATEDIF('Loan Tape (S&amp;P)'!K9174,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74">
        <f>IF(AND('Loan Tape (S&amp;P)'!U9174="Yes",
        'Loan Tape (S&amp;P)'!T9174&lt;&gt;"Yes",
        DATEDIF('Loan Tape (S&amp;P)'!K9174, TODAY(), "M")&lt;18),
    1.10,
    1.00)</f>
        <v/>
      </c>
      <c r="O9174">
        <f>IF('Loan Tape (S&amp;P)'!T9174="Yes",
    1.35,
    1.00)</f>
        <v/>
      </c>
      <c r="P9174">
        <f>IF('Loan Tape (S&amp;P)'!S9174="Yes",
    1.15,
    1.00)</f>
        <v/>
      </c>
      <c r="Q9174">
        <f>IF('Loan Tape (S&amp;P)'!V9174="Yes",
    1.20,
    1.00)</f>
        <v/>
      </c>
      <c r="T9174">
        <f>LET(
    payment_method,'Loan Tape (S&amp;P)'!P9174,
    occupancy,'Loan Tape (S&amp;P)'!N9174,
    maturity_date,'Loan Tape (S&amp;P)'!L9174,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75">
      <c r="J9175">
        <f>LET(
    lien,'Loan Tape (S&amp;P)'!Q9175,
    IF(lien="First",1.00,
        IF(lien="Second",1.50,
            1.70)))</f>
        <v/>
      </c>
      <c r="K9175">
        <f>LET(
    purpose,'Loan Tape (S&amp;P)'!R9175,
    IF(purpose="Purchase",1.00,
        IF(purpose="Remortgage",1.00,
            1.20)))</f>
        <v/>
      </c>
      <c r="L9175">
        <f>LET(
    arrears_months,'Loan Tape (S&amp;P)'!AN9175,
    IF(arrears_months=0,1.00,
    IF(arrears_months=1,3.00,
    IF(arrears_months=2,5.00,
    IF(arrears_months=3,8.00,
    IF(arrears_months=4,10.00,
    IF(arrears_months=5,12.00,15.00)))))))</f>
        <v/>
      </c>
      <c r="M9175">
        <f>LET(
    seasoning_years,DATEDIF('Loan Tape (S&amp;P)'!K9175,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75">
        <f>IF(AND('Loan Tape (S&amp;P)'!U9175="Yes",
        'Loan Tape (S&amp;P)'!T9175&lt;&gt;"Yes",
        DATEDIF('Loan Tape (S&amp;P)'!K9175, TODAY(), "M")&lt;18),
    1.10,
    1.00)</f>
        <v/>
      </c>
      <c r="O9175">
        <f>IF('Loan Tape (S&amp;P)'!T9175="Yes",
    1.35,
    1.00)</f>
        <v/>
      </c>
      <c r="P9175">
        <f>IF('Loan Tape (S&amp;P)'!S9175="Yes",
    1.15,
    1.00)</f>
        <v/>
      </c>
      <c r="Q9175">
        <f>IF('Loan Tape (S&amp;P)'!V9175="Yes",
    1.20,
    1.00)</f>
        <v/>
      </c>
      <c r="T9175">
        <f>LET(
    payment_method,'Loan Tape (S&amp;P)'!P9175,
    occupancy,'Loan Tape (S&amp;P)'!N9175,
    maturity_date,'Loan Tape (S&amp;P)'!L9175,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76">
      <c r="J9176">
        <f>LET(
    lien,'Loan Tape (S&amp;P)'!Q9176,
    IF(lien="First",1.00,
        IF(lien="Second",1.50,
            1.70)))</f>
        <v/>
      </c>
      <c r="K9176">
        <f>LET(
    purpose,'Loan Tape (S&amp;P)'!R9176,
    IF(purpose="Purchase",1.00,
        IF(purpose="Remortgage",1.00,
            1.20)))</f>
        <v/>
      </c>
      <c r="L9176">
        <f>LET(
    arrears_months,'Loan Tape (S&amp;P)'!AN9176,
    IF(arrears_months=0,1.00,
    IF(arrears_months=1,3.00,
    IF(arrears_months=2,5.00,
    IF(arrears_months=3,8.00,
    IF(arrears_months=4,10.00,
    IF(arrears_months=5,12.00,15.00)))))))</f>
        <v/>
      </c>
      <c r="M9176">
        <f>LET(
    seasoning_years,DATEDIF('Loan Tape (S&amp;P)'!K9176,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76">
        <f>IF(AND('Loan Tape (S&amp;P)'!U9176="Yes",
        'Loan Tape (S&amp;P)'!T9176&lt;&gt;"Yes",
        DATEDIF('Loan Tape (S&amp;P)'!K9176, TODAY(), "M")&lt;18),
    1.10,
    1.00)</f>
        <v/>
      </c>
      <c r="O9176">
        <f>IF('Loan Tape (S&amp;P)'!T9176="Yes",
    1.35,
    1.00)</f>
        <v/>
      </c>
      <c r="P9176">
        <f>IF('Loan Tape (S&amp;P)'!S9176="Yes",
    1.15,
    1.00)</f>
        <v/>
      </c>
      <c r="Q9176">
        <f>IF('Loan Tape (S&amp;P)'!V9176="Yes",
    1.20,
    1.00)</f>
        <v/>
      </c>
      <c r="T9176">
        <f>LET(
    payment_method,'Loan Tape (S&amp;P)'!P9176,
    occupancy,'Loan Tape (S&amp;P)'!N9176,
    maturity_date,'Loan Tape (S&amp;P)'!L9176,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77">
      <c r="J9177">
        <f>LET(
    lien,'Loan Tape (S&amp;P)'!Q9177,
    IF(lien="First",1.00,
        IF(lien="Second",1.50,
            1.70)))</f>
        <v/>
      </c>
      <c r="K9177">
        <f>LET(
    purpose,'Loan Tape (S&amp;P)'!R9177,
    IF(purpose="Purchase",1.00,
        IF(purpose="Remortgage",1.00,
            1.20)))</f>
        <v/>
      </c>
      <c r="L9177">
        <f>LET(
    arrears_months,'Loan Tape (S&amp;P)'!AN9177,
    IF(arrears_months=0,1.00,
    IF(arrears_months=1,3.00,
    IF(arrears_months=2,5.00,
    IF(arrears_months=3,8.00,
    IF(arrears_months=4,10.00,
    IF(arrears_months=5,12.00,15.00)))))))</f>
        <v/>
      </c>
      <c r="M9177">
        <f>LET(
    seasoning_years,DATEDIF('Loan Tape (S&amp;P)'!K9177,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77">
        <f>IF(AND('Loan Tape (S&amp;P)'!U9177="Yes",
        'Loan Tape (S&amp;P)'!T9177&lt;&gt;"Yes",
        DATEDIF('Loan Tape (S&amp;P)'!K9177, TODAY(), "M")&lt;18),
    1.10,
    1.00)</f>
        <v/>
      </c>
      <c r="O9177">
        <f>IF('Loan Tape (S&amp;P)'!T9177="Yes",
    1.35,
    1.00)</f>
        <v/>
      </c>
      <c r="P9177">
        <f>IF('Loan Tape (S&amp;P)'!S9177="Yes",
    1.15,
    1.00)</f>
        <v/>
      </c>
      <c r="Q9177">
        <f>IF('Loan Tape (S&amp;P)'!V9177="Yes",
    1.20,
    1.00)</f>
        <v/>
      </c>
      <c r="T9177">
        <f>LET(
    payment_method,'Loan Tape (S&amp;P)'!P9177,
    occupancy,'Loan Tape (S&amp;P)'!N9177,
    maturity_date,'Loan Tape (S&amp;P)'!L9177,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78">
      <c r="J9178">
        <f>LET(
    lien,'Loan Tape (S&amp;P)'!Q9178,
    IF(lien="First",1.00,
        IF(lien="Second",1.50,
            1.70)))</f>
        <v/>
      </c>
      <c r="K9178">
        <f>LET(
    purpose,'Loan Tape (S&amp;P)'!R9178,
    IF(purpose="Purchase",1.00,
        IF(purpose="Remortgage",1.00,
            1.20)))</f>
        <v/>
      </c>
      <c r="L9178">
        <f>LET(
    arrears_months,'Loan Tape (S&amp;P)'!AN9178,
    IF(arrears_months=0,1.00,
    IF(arrears_months=1,3.00,
    IF(arrears_months=2,5.00,
    IF(arrears_months=3,8.00,
    IF(arrears_months=4,10.00,
    IF(arrears_months=5,12.00,15.00)))))))</f>
        <v/>
      </c>
      <c r="M9178">
        <f>LET(
    seasoning_years,DATEDIF('Loan Tape (S&amp;P)'!K9178,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78">
        <f>IF(AND('Loan Tape (S&amp;P)'!U9178="Yes",
        'Loan Tape (S&amp;P)'!T9178&lt;&gt;"Yes",
        DATEDIF('Loan Tape (S&amp;P)'!K9178, TODAY(), "M")&lt;18),
    1.10,
    1.00)</f>
        <v/>
      </c>
      <c r="O9178">
        <f>IF('Loan Tape (S&amp;P)'!T9178="Yes",
    1.35,
    1.00)</f>
        <v/>
      </c>
      <c r="P9178">
        <f>IF('Loan Tape (S&amp;P)'!S9178="Yes",
    1.15,
    1.00)</f>
        <v/>
      </c>
      <c r="Q9178">
        <f>IF('Loan Tape (S&amp;P)'!V9178="Yes",
    1.20,
    1.00)</f>
        <v/>
      </c>
      <c r="T9178">
        <f>LET(
    payment_method,'Loan Tape (S&amp;P)'!P9178,
    occupancy,'Loan Tape (S&amp;P)'!N9178,
    maturity_date,'Loan Tape (S&amp;P)'!L9178,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79">
      <c r="J9179">
        <f>LET(
    lien,'Loan Tape (S&amp;P)'!Q9179,
    IF(lien="First",1.00,
        IF(lien="Second",1.50,
            1.70)))</f>
        <v/>
      </c>
      <c r="K9179">
        <f>LET(
    purpose,'Loan Tape (S&amp;P)'!R9179,
    IF(purpose="Purchase",1.00,
        IF(purpose="Remortgage",1.00,
            1.20)))</f>
        <v/>
      </c>
      <c r="L9179">
        <f>LET(
    arrears_months,'Loan Tape (S&amp;P)'!AN9179,
    IF(arrears_months=0,1.00,
    IF(arrears_months=1,3.00,
    IF(arrears_months=2,5.00,
    IF(arrears_months=3,8.00,
    IF(arrears_months=4,10.00,
    IF(arrears_months=5,12.00,15.00)))))))</f>
        <v/>
      </c>
      <c r="M9179">
        <f>LET(
    seasoning_years,DATEDIF('Loan Tape (S&amp;P)'!K9179,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79">
        <f>IF(AND('Loan Tape (S&amp;P)'!U9179="Yes",
        'Loan Tape (S&amp;P)'!T9179&lt;&gt;"Yes",
        DATEDIF('Loan Tape (S&amp;P)'!K9179, TODAY(), "M")&lt;18),
    1.10,
    1.00)</f>
        <v/>
      </c>
      <c r="O9179">
        <f>IF('Loan Tape (S&amp;P)'!T9179="Yes",
    1.35,
    1.00)</f>
        <v/>
      </c>
      <c r="P9179">
        <f>IF('Loan Tape (S&amp;P)'!S9179="Yes",
    1.15,
    1.00)</f>
        <v/>
      </c>
      <c r="Q9179">
        <f>IF('Loan Tape (S&amp;P)'!V9179="Yes",
    1.20,
    1.00)</f>
        <v/>
      </c>
      <c r="T9179">
        <f>LET(
    payment_method,'Loan Tape (S&amp;P)'!P9179,
    occupancy,'Loan Tape (S&amp;P)'!N9179,
    maturity_date,'Loan Tape (S&amp;P)'!L9179,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80">
      <c r="J9180">
        <f>LET(
    lien,'Loan Tape (S&amp;P)'!Q9180,
    IF(lien="First",1.00,
        IF(lien="Second",1.50,
            1.70)))</f>
        <v/>
      </c>
      <c r="K9180">
        <f>LET(
    purpose,'Loan Tape (S&amp;P)'!R9180,
    IF(purpose="Purchase",1.00,
        IF(purpose="Remortgage",1.00,
            1.20)))</f>
        <v/>
      </c>
      <c r="L9180">
        <f>LET(
    arrears_months,'Loan Tape (S&amp;P)'!AN9180,
    IF(arrears_months=0,1.00,
    IF(arrears_months=1,3.00,
    IF(arrears_months=2,5.00,
    IF(arrears_months=3,8.00,
    IF(arrears_months=4,10.00,
    IF(arrears_months=5,12.00,15.00)))))))</f>
        <v/>
      </c>
      <c r="M9180">
        <f>LET(
    seasoning_years,DATEDIF('Loan Tape (S&amp;P)'!K9180,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80">
        <f>IF(AND('Loan Tape (S&amp;P)'!U9180="Yes",
        'Loan Tape (S&amp;P)'!T9180&lt;&gt;"Yes",
        DATEDIF('Loan Tape (S&amp;P)'!K9180, TODAY(), "M")&lt;18),
    1.10,
    1.00)</f>
        <v/>
      </c>
      <c r="O9180">
        <f>IF('Loan Tape (S&amp;P)'!T9180="Yes",
    1.35,
    1.00)</f>
        <v/>
      </c>
      <c r="P9180">
        <f>IF('Loan Tape (S&amp;P)'!S9180="Yes",
    1.15,
    1.00)</f>
        <v/>
      </c>
      <c r="Q9180">
        <f>IF('Loan Tape (S&amp;P)'!V9180="Yes",
    1.20,
    1.00)</f>
        <v/>
      </c>
      <c r="T9180">
        <f>LET(
    payment_method,'Loan Tape (S&amp;P)'!P9180,
    occupancy,'Loan Tape (S&amp;P)'!N9180,
    maturity_date,'Loan Tape (S&amp;P)'!L9180,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81">
      <c r="J9181">
        <f>LET(
    lien,'Loan Tape (S&amp;P)'!Q9181,
    IF(lien="First",1.00,
        IF(lien="Second",1.50,
            1.70)))</f>
        <v/>
      </c>
      <c r="K9181">
        <f>LET(
    purpose,'Loan Tape (S&amp;P)'!R9181,
    IF(purpose="Purchase",1.00,
        IF(purpose="Remortgage",1.00,
            1.20)))</f>
        <v/>
      </c>
      <c r="L9181">
        <f>LET(
    arrears_months,'Loan Tape (S&amp;P)'!AN9181,
    IF(arrears_months=0,1.00,
    IF(arrears_months=1,3.00,
    IF(arrears_months=2,5.00,
    IF(arrears_months=3,8.00,
    IF(arrears_months=4,10.00,
    IF(arrears_months=5,12.00,15.00)))))))</f>
        <v/>
      </c>
      <c r="M9181">
        <f>LET(
    seasoning_years,DATEDIF('Loan Tape (S&amp;P)'!K9181,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81">
        <f>IF(AND('Loan Tape (S&amp;P)'!U9181="Yes",
        'Loan Tape (S&amp;P)'!T9181&lt;&gt;"Yes",
        DATEDIF('Loan Tape (S&amp;P)'!K9181, TODAY(), "M")&lt;18),
    1.10,
    1.00)</f>
        <v/>
      </c>
      <c r="O9181">
        <f>IF('Loan Tape (S&amp;P)'!T9181="Yes",
    1.35,
    1.00)</f>
        <v/>
      </c>
      <c r="P9181">
        <f>IF('Loan Tape (S&amp;P)'!S9181="Yes",
    1.15,
    1.00)</f>
        <v/>
      </c>
      <c r="Q9181">
        <f>IF('Loan Tape (S&amp;P)'!V9181="Yes",
    1.20,
    1.00)</f>
        <v/>
      </c>
      <c r="T9181">
        <f>LET(
    payment_method,'Loan Tape (S&amp;P)'!P9181,
    occupancy,'Loan Tape (S&amp;P)'!N9181,
    maturity_date,'Loan Tape (S&amp;P)'!L9181,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82">
      <c r="J9182">
        <f>LET(
    lien,'Loan Tape (S&amp;P)'!Q9182,
    IF(lien="First",1.00,
        IF(lien="Second",1.50,
            1.70)))</f>
        <v/>
      </c>
      <c r="K9182">
        <f>LET(
    purpose,'Loan Tape (S&amp;P)'!R9182,
    IF(purpose="Purchase",1.00,
        IF(purpose="Remortgage",1.00,
            1.20)))</f>
        <v/>
      </c>
      <c r="L9182">
        <f>LET(
    arrears_months,'Loan Tape (S&amp;P)'!AN9182,
    IF(arrears_months=0,1.00,
    IF(arrears_months=1,3.00,
    IF(arrears_months=2,5.00,
    IF(arrears_months=3,8.00,
    IF(arrears_months=4,10.00,
    IF(arrears_months=5,12.00,15.00)))))))</f>
        <v/>
      </c>
      <c r="M9182">
        <f>LET(
    seasoning_years,DATEDIF('Loan Tape (S&amp;P)'!K9182,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82">
        <f>IF(AND('Loan Tape (S&amp;P)'!U9182="Yes",
        'Loan Tape (S&amp;P)'!T9182&lt;&gt;"Yes",
        DATEDIF('Loan Tape (S&amp;P)'!K9182, TODAY(), "M")&lt;18),
    1.10,
    1.00)</f>
        <v/>
      </c>
      <c r="O9182">
        <f>IF('Loan Tape (S&amp;P)'!T9182="Yes",
    1.35,
    1.00)</f>
        <v/>
      </c>
      <c r="P9182">
        <f>IF('Loan Tape (S&amp;P)'!S9182="Yes",
    1.15,
    1.00)</f>
        <v/>
      </c>
      <c r="Q9182">
        <f>IF('Loan Tape (S&amp;P)'!V9182="Yes",
    1.20,
    1.00)</f>
        <v/>
      </c>
      <c r="T9182">
        <f>LET(
    payment_method,'Loan Tape (S&amp;P)'!P9182,
    occupancy,'Loan Tape (S&amp;P)'!N9182,
    maturity_date,'Loan Tape (S&amp;P)'!L9182,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83">
      <c r="J9183">
        <f>LET(
    lien,'Loan Tape (S&amp;P)'!Q9183,
    IF(lien="First",1.00,
        IF(lien="Second",1.50,
            1.70)))</f>
        <v/>
      </c>
      <c r="K9183">
        <f>LET(
    purpose,'Loan Tape (S&amp;P)'!R9183,
    IF(purpose="Purchase",1.00,
        IF(purpose="Remortgage",1.00,
            1.20)))</f>
        <v/>
      </c>
      <c r="L9183">
        <f>LET(
    arrears_months,'Loan Tape (S&amp;P)'!AN9183,
    IF(arrears_months=0,1.00,
    IF(arrears_months=1,3.00,
    IF(arrears_months=2,5.00,
    IF(arrears_months=3,8.00,
    IF(arrears_months=4,10.00,
    IF(arrears_months=5,12.00,15.00)))))))</f>
        <v/>
      </c>
      <c r="M9183">
        <f>LET(
    seasoning_years,DATEDIF('Loan Tape (S&amp;P)'!K9183,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83">
        <f>IF(AND('Loan Tape (S&amp;P)'!U9183="Yes",
        'Loan Tape (S&amp;P)'!T9183&lt;&gt;"Yes",
        DATEDIF('Loan Tape (S&amp;P)'!K9183, TODAY(), "M")&lt;18),
    1.10,
    1.00)</f>
        <v/>
      </c>
      <c r="O9183">
        <f>IF('Loan Tape (S&amp;P)'!T9183="Yes",
    1.35,
    1.00)</f>
        <v/>
      </c>
      <c r="P9183">
        <f>IF('Loan Tape (S&amp;P)'!S9183="Yes",
    1.15,
    1.00)</f>
        <v/>
      </c>
      <c r="Q9183">
        <f>IF('Loan Tape (S&amp;P)'!V9183="Yes",
    1.20,
    1.00)</f>
        <v/>
      </c>
      <c r="T9183">
        <f>LET(
    payment_method,'Loan Tape (S&amp;P)'!P9183,
    occupancy,'Loan Tape (S&amp;P)'!N9183,
    maturity_date,'Loan Tape (S&amp;P)'!L9183,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84">
      <c r="J9184">
        <f>LET(
    lien,'Loan Tape (S&amp;P)'!Q9184,
    IF(lien="First",1.00,
        IF(lien="Second",1.50,
            1.70)))</f>
        <v/>
      </c>
      <c r="K9184">
        <f>LET(
    purpose,'Loan Tape (S&amp;P)'!R9184,
    IF(purpose="Purchase",1.00,
        IF(purpose="Remortgage",1.00,
            1.20)))</f>
        <v/>
      </c>
      <c r="L9184">
        <f>LET(
    arrears_months,'Loan Tape (S&amp;P)'!AN9184,
    IF(arrears_months=0,1.00,
    IF(arrears_months=1,3.00,
    IF(arrears_months=2,5.00,
    IF(arrears_months=3,8.00,
    IF(arrears_months=4,10.00,
    IF(arrears_months=5,12.00,15.00)))))))</f>
        <v/>
      </c>
      <c r="M9184">
        <f>LET(
    seasoning_years,DATEDIF('Loan Tape (S&amp;P)'!K9184,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84">
        <f>IF(AND('Loan Tape (S&amp;P)'!U9184="Yes",
        'Loan Tape (S&amp;P)'!T9184&lt;&gt;"Yes",
        DATEDIF('Loan Tape (S&amp;P)'!K9184, TODAY(), "M")&lt;18),
    1.10,
    1.00)</f>
        <v/>
      </c>
      <c r="O9184">
        <f>IF('Loan Tape (S&amp;P)'!T9184="Yes",
    1.35,
    1.00)</f>
        <v/>
      </c>
      <c r="P9184">
        <f>IF('Loan Tape (S&amp;P)'!S9184="Yes",
    1.15,
    1.00)</f>
        <v/>
      </c>
      <c r="Q9184">
        <f>IF('Loan Tape (S&amp;P)'!V9184="Yes",
    1.20,
    1.00)</f>
        <v/>
      </c>
      <c r="T9184">
        <f>LET(
    payment_method,'Loan Tape (S&amp;P)'!P9184,
    occupancy,'Loan Tape (S&amp;P)'!N9184,
    maturity_date,'Loan Tape (S&amp;P)'!L9184,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85">
      <c r="J9185">
        <f>LET(
    lien,'Loan Tape (S&amp;P)'!Q9185,
    IF(lien="First",1.00,
        IF(lien="Second",1.50,
            1.70)))</f>
        <v/>
      </c>
      <c r="K9185">
        <f>LET(
    purpose,'Loan Tape (S&amp;P)'!R9185,
    IF(purpose="Purchase",1.00,
        IF(purpose="Remortgage",1.00,
            1.20)))</f>
        <v/>
      </c>
      <c r="L9185">
        <f>LET(
    arrears_months,'Loan Tape (S&amp;P)'!AN9185,
    IF(arrears_months=0,1.00,
    IF(arrears_months=1,3.00,
    IF(arrears_months=2,5.00,
    IF(arrears_months=3,8.00,
    IF(arrears_months=4,10.00,
    IF(arrears_months=5,12.00,15.00)))))))</f>
        <v/>
      </c>
      <c r="M9185">
        <f>LET(
    seasoning_years,DATEDIF('Loan Tape (S&amp;P)'!K9185,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85">
        <f>IF(AND('Loan Tape (S&amp;P)'!U9185="Yes",
        'Loan Tape (S&amp;P)'!T9185&lt;&gt;"Yes",
        DATEDIF('Loan Tape (S&amp;P)'!K9185, TODAY(), "M")&lt;18),
    1.10,
    1.00)</f>
        <v/>
      </c>
      <c r="O9185">
        <f>IF('Loan Tape (S&amp;P)'!T9185="Yes",
    1.35,
    1.00)</f>
        <v/>
      </c>
      <c r="P9185">
        <f>IF('Loan Tape (S&amp;P)'!S9185="Yes",
    1.15,
    1.00)</f>
        <v/>
      </c>
      <c r="Q9185">
        <f>IF('Loan Tape (S&amp;P)'!V9185="Yes",
    1.20,
    1.00)</f>
        <v/>
      </c>
      <c r="T9185">
        <f>LET(
    payment_method,'Loan Tape (S&amp;P)'!P9185,
    occupancy,'Loan Tape (S&amp;P)'!N9185,
    maturity_date,'Loan Tape (S&amp;P)'!L9185,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86">
      <c r="J9186">
        <f>LET(
    lien,'Loan Tape (S&amp;P)'!Q9186,
    IF(lien="First",1.00,
        IF(lien="Second",1.50,
            1.70)))</f>
        <v/>
      </c>
      <c r="K9186">
        <f>LET(
    purpose,'Loan Tape (S&amp;P)'!R9186,
    IF(purpose="Purchase",1.00,
        IF(purpose="Remortgage",1.00,
            1.20)))</f>
        <v/>
      </c>
      <c r="L9186">
        <f>LET(
    arrears_months,'Loan Tape (S&amp;P)'!AN9186,
    IF(arrears_months=0,1.00,
    IF(arrears_months=1,3.00,
    IF(arrears_months=2,5.00,
    IF(arrears_months=3,8.00,
    IF(arrears_months=4,10.00,
    IF(arrears_months=5,12.00,15.00)))))))</f>
        <v/>
      </c>
      <c r="M9186">
        <f>LET(
    seasoning_years,DATEDIF('Loan Tape (S&amp;P)'!K9186,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86">
        <f>IF(AND('Loan Tape (S&amp;P)'!U9186="Yes",
        'Loan Tape (S&amp;P)'!T9186&lt;&gt;"Yes",
        DATEDIF('Loan Tape (S&amp;P)'!K9186, TODAY(), "M")&lt;18),
    1.10,
    1.00)</f>
        <v/>
      </c>
      <c r="O9186">
        <f>IF('Loan Tape (S&amp;P)'!T9186="Yes",
    1.35,
    1.00)</f>
        <v/>
      </c>
      <c r="P9186">
        <f>IF('Loan Tape (S&amp;P)'!S9186="Yes",
    1.15,
    1.00)</f>
        <v/>
      </c>
      <c r="Q9186">
        <f>IF('Loan Tape (S&amp;P)'!V9186="Yes",
    1.20,
    1.00)</f>
        <v/>
      </c>
      <c r="T9186">
        <f>LET(
    payment_method,'Loan Tape (S&amp;P)'!P9186,
    occupancy,'Loan Tape (S&amp;P)'!N9186,
    maturity_date,'Loan Tape (S&amp;P)'!L9186,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87">
      <c r="J9187">
        <f>LET(
    lien,'Loan Tape (S&amp;P)'!Q9187,
    IF(lien="First",1.00,
        IF(lien="Second",1.50,
            1.70)))</f>
        <v/>
      </c>
      <c r="K9187">
        <f>LET(
    purpose,'Loan Tape (S&amp;P)'!R9187,
    IF(purpose="Purchase",1.00,
        IF(purpose="Remortgage",1.00,
            1.20)))</f>
        <v/>
      </c>
      <c r="L9187">
        <f>LET(
    arrears_months,'Loan Tape (S&amp;P)'!AN9187,
    IF(arrears_months=0,1.00,
    IF(arrears_months=1,3.00,
    IF(arrears_months=2,5.00,
    IF(arrears_months=3,8.00,
    IF(arrears_months=4,10.00,
    IF(arrears_months=5,12.00,15.00)))))))</f>
        <v/>
      </c>
      <c r="M9187">
        <f>LET(
    seasoning_years,DATEDIF('Loan Tape (S&amp;P)'!K9187,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87">
        <f>IF(AND('Loan Tape (S&amp;P)'!U9187="Yes",
        'Loan Tape (S&amp;P)'!T9187&lt;&gt;"Yes",
        DATEDIF('Loan Tape (S&amp;P)'!K9187, TODAY(), "M")&lt;18),
    1.10,
    1.00)</f>
        <v/>
      </c>
      <c r="O9187">
        <f>IF('Loan Tape (S&amp;P)'!T9187="Yes",
    1.35,
    1.00)</f>
        <v/>
      </c>
      <c r="P9187">
        <f>IF('Loan Tape (S&amp;P)'!S9187="Yes",
    1.15,
    1.00)</f>
        <v/>
      </c>
      <c r="Q9187">
        <f>IF('Loan Tape (S&amp;P)'!V9187="Yes",
    1.20,
    1.00)</f>
        <v/>
      </c>
      <c r="T9187">
        <f>LET(
    payment_method,'Loan Tape (S&amp;P)'!P9187,
    occupancy,'Loan Tape (S&amp;P)'!N9187,
    maturity_date,'Loan Tape (S&amp;P)'!L9187,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88">
      <c r="J9188">
        <f>LET(
    lien,'Loan Tape (S&amp;P)'!Q9188,
    IF(lien="First",1.00,
        IF(lien="Second",1.50,
            1.70)))</f>
        <v/>
      </c>
      <c r="K9188">
        <f>LET(
    purpose,'Loan Tape (S&amp;P)'!R9188,
    IF(purpose="Purchase",1.00,
        IF(purpose="Remortgage",1.00,
            1.20)))</f>
        <v/>
      </c>
      <c r="L9188">
        <f>LET(
    arrears_months,'Loan Tape (S&amp;P)'!AN9188,
    IF(arrears_months=0,1.00,
    IF(arrears_months=1,3.00,
    IF(arrears_months=2,5.00,
    IF(arrears_months=3,8.00,
    IF(arrears_months=4,10.00,
    IF(arrears_months=5,12.00,15.00)))))))</f>
        <v/>
      </c>
      <c r="M9188">
        <f>LET(
    seasoning_years,DATEDIF('Loan Tape (S&amp;P)'!K9188,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88">
        <f>IF(AND('Loan Tape (S&amp;P)'!U9188="Yes",
        'Loan Tape (S&amp;P)'!T9188&lt;&gt;"Yes",
        DATEDIF('Loan Tape (S&amp;P)'!K9188, TODAY(), "M")&lt;18),
    1.10,
    1.00)</f>
        <v/>
      </c>
      <c r="O9188">
        <f>IF('Loan Tape (S&amp;P)'!T9188="Yes",
    1.35,
    1.00)</f>
        <v/>
      </c>
      <c r="P9188">
        <f>IF('Loan Tape (S&amp;P)'!S9188="Yes",
    1.15,
    1.00)</f>
        <v/>
      </c>
      <c r="Q9188">
        <f>IF('Loan Tape (S&amp;P)'!V9188="Yes",
    1.20,
    1.00)</f>
        <v/>
      </c>
      <c r="T9188">
        <f>LET(
    payment_method,'Loan Tape (S&amp;P)'!P9188,
    occupancy,'Loan Tape (S&amp;P)'!N9188,
    maturity_date,'Loan Tape (S&amp;P)'!L9188,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89">
      <c r="J9189">
        <f>LET(
    lien,'Loan Tape (S&amp;P)'!Q9189,
    IF(lien="First",1.00,
        IF(lien="Second",1.50,
            1.70)))</f>
        <v/>
      </c>
      <c r="K9189">
        <f>LET(
    purpose,'Loan Tape (S&amp;P)'!R9189,
    IF(purpose="Purchase",1.00,
        IF(purpose="Remortgage",1.00,
            1.20)))</f>
        <v/>
      </c>
      <c r="L9189">
        <f>LET(
    arrears_months,'Loan Tape (S&amp;P)'!AN9189,
    IF(arrears_months=0,1.00,
    IF(arrears_months=1,3.00,
    IF(arrears_months=2,5.00,
    IF(arrears_months=3,8.00,
    IF(arrears_months=4,10.00,
    IF(arrears_months=5,12.00,15.00)))))))</f>
        <v/>
      </c>
      <c r="M9189">
        <f>LET(
    seasoning_years,DATEDIF('Loan Tape (S&amp;P)'!K9189,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89">
        <f>IF(AND('Loan Tape (S&amp;P)'!U9189="Yes",
        'Loan Tape (S&amp;P)'!T9189&lt;&gt;"Yes",
        DATEDIF('Loan Tape (S&amp;P)'!K9189, TODAY(), "M")&lt;18),
    1.10,
    1.00)</f>
        <v/>
      </c>
      <c r="O9189">
        <f>IF('Loan Tape (S&amp;P)'!T9189="Yes",
    1.35,
    1.00)</f>
        <v/>
      </c>
      <c r="P9189">
        <f>IF('Loan Tape (S&amp;P)'!S9189="Yes",
    1.15,
    1.00)</f>
        <v/>
      </c>
      <c r="Q9189">
        <f>IF('Loan Tape (S&amp;P)'!V9189="Yes",
    1.20,
    1.00)</f>
        <v/>
      </c>
      <c r="T9189">
        <f>LET(
    payment_method,'Loan Tape (S&amp;P)'!P9189,
    occupancy,'Loan Tape (S&amp;P)'!N9189,
    maturity_date,'Loan Tape (S&amp;P)'!L9189,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90">
      <c r="J9190">
        <f>LET(
    lien,'Loan Tape (S&amp;P)'!Q9190,
    IF(lien="First",1.00,
        IF(lien="Second",1.50,
            1.70)))</f>
        <v/>
      </c>
      <c r="K9190">
        <f>LET(
    purpose,'Loan Tape (S&amp;P)'!R9190,
    IF(purpose="Purchase",1.00,
        IF(purpose="Remortgage",1.00,
            1.20)))</f>
        <v/>
      </c>
      <c r="L9190">
        <f>LET(
    arrears_months,'Loan Tape (S&amp;P)'!AN9190,
    IF(arrears_months=0,1.00,
    IF(arrears_months=1,3.00,
    IF(arrears_months=2,5.00,
    IF(arrears_months=3,8.00,
    IF(arrears_months=4,10.00,
    IF(arrears_months=5,12.00,15.00)))))))</f>
        <v/>
      </c>
      <c r="M9190">
        <f>LET(
    seasoning_years,DATEDIF('Loan Tape (S&amp;P)'!K9190,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90">
        <f>IF(AND('Loan Tape (S&amp;P)'!U9190="Yes",
        'Loan Tape (S&amp;P)'!T9190&lt;&gt;"Yes",
        DATEDIF('Loan Tape (S&amp;P)'!K9190, TODAY(), "M")&lt;18),
    1.10,
    1.00)</f>
        <v/>
      </c>
      <c r="O9190">
        <f>IF('Loan Tape (S&amp;P)'!T9190="Yes",
    1.35,
    1.00)</f>
        <v/>
      </c>
      <c r="P9190">
        <f>IF('Loan Tape (S&amp;P)'!S9190="Yes",
    1.15,
    1.00)</f>
        <v/>
      </c>
      <c r="Q9190">
        <f>IF('Loan Tape (S&amp;P)'!V9190="Yes",
    1.20,
    1.00)</f>
        <v/>
      </c>
      <c r="T9190">
        <f>LET(
    payment_method,'Loan Tape (S&amp;P)'!P9190,
    occupancy,'Loan Tape (S&amp;P)'!N9190,
    maturity_date,'Loan Tape (S&amp;P)'!L9190,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91">
      <c r="J9191">
        <f>LET(
    lien,'Loan Tape (S&amp;P)'!Q9191,
    IF(lien="First",1.00,
        IF(lien="Second",1.50,
            1.70)))</f>
        <v/>
      </c>
      <c r="K9191">
        <f>LET(
    purpose,'Loan Tape (S&amp;P)'!R9191,
    IF(purpose="Purchase",1.00,
        IF(purpose="Remortgage",1.00,
            1.20)))</f>
        <v/>
      </c>
      <c r="L9191">
        <f>LET(
    arrears_months,'Loan Tape (S&amp;P)'!AN9191,
    IF(arrears_months=0,1.00,
    IF(arrears_months=1,3.00,
    IF(arrears_months=2,5.00,
    IF(arrears_months=3,8.00,
    IF(arrears_months=4,10.00,
    IF(arrears_months=5,12.00,15.00)))))))</f>
        <v/>
      </c>
      <c r="M9191">
        <f>LET(
    seasoning_years,DATEDIF('Loan Tape (S&amp;P)'!K9191,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91">
        <f>IF(AND('Loan Tape (S&amp;P)'!U9191="Yes",
        'Loan Tape (S&amp;P)'!T9191&lt;&gt;"Yes",
        DATEDIF('Loan Tape (S&amp;P)'!K9191, TODAY(), "M")&lt;18),
    1.10,
    1.00)</f>
        <v/>
      </c>
      <c r="O9191">
        <f>IF('Loan Tape (S&amp;P)'!T9191="Yes",
    1.35,
    1.00)</f>
        <v/>
      </c>
      <c r="P9191">
        <f>IF('Loan Tape (S&amp;P)'!S9191="Yes",
    1.15,
    1.00)</f>
        <v/>
      </c>
      <c r="Q9191">
        <f>IF('Loan Tape (S&amp;P)'!V9191="Yes",
    1.20,
    1.00)</f>
        <v/>
      </c>
      <c r="T9191">
        <f>LET(
    payment_method,'Loan Tape (S&amp;P)'!P9191,
    occupancy,'Loan Tape (S&amp;P)'!N9191,
    maturity_date,'Loan Tape (S&amp;P)'!L9191,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92">
      <c r="J9192">
        <f>LET(
    lien,'Loan Tape (S&amp;P)'!Q9192,
    IF(lien="First",1.00,
        IF(lien="Second",1.50,
            1.70)))</f>
        <v/>
      </c>
      <c r="K9192">
        <f>LET(
    purpose,'Loan Tape (S&amp;P)'!R9192,
    IF(purpose="Purchase",1.00,
        IF(purpose="Remortgage",1.00,
            1.20)))</f>
        <v/>
      </c>
      <c r="L9192">
        <f>LET(
    arrears_months,'Loan Tape (S&amp;P)'!AN9192,
    IF(arrears_months=0,1.00,
    IF(arrears_months=1,3.00,
    IF(arrears_months=2,5.00,
    IF(arrears_months=3,8.00,
    IF(arrears_months=4,10.00,
    IF(arrears_months=5,12.00,15.00)))))))</f>
        <v/>
      </c>
      <c r="M9192">
        <f>LET(
    seasoning_years,DATEDIF('Loan Tape (S&amp;P)'!K9192,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92">
        <f>IF(AND('Loan Tape (S&amp;P)'!U9192="Yes",
        'Loan Tape (S&amp;P)'!T9192&lt;&gt;"Yes",
        DATEDIF('Loan Tape (S&amp;P)'!K9192, TODAY(), "M")&lt;18),
    1.10,
    1.00)</f>
        <v/>
      </c>
      <c r="O9192">
        <f>IF('Loan Tape (S&amp;P)'!T9192="Yes",
    1.35,
    1.00)</f>
        <v/>
      </c>
      <c r="P9192">
        <f>IF('Loan Tape (S&amp;P)'!S9192="Yes",
    1.15,
    1.00)</f>
        <v/>
      </c>
      <c r="Q9192">
        <f>IF('Loan Tape (S&amp;P)'!V9192="Yes",
    1.20,
    1.00)</f>
        <v/>
      </c>
      <c r="T9192">
        <f>LET(
    payment_method,'Loan Tape (S&amp;P)'!P9192,
    occupancy,'Loan Tape (S&amp;P)'!N9192,
    maturity_date,'Loan Tape (S&amp;P)'!L9192,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93">
      <c r="J9193">
        <f>LET(
    lien,'Loan Tape (S&amp;P)'!Q9193,
    IF(lien="First",1.00,
        IF(lien="Second",1.50,
            1.70)))</f>
        <v/>
      </c>
      <c r="K9193">
        <f>LET(
    purpose,'Loan Tape (S&amp;P)'!R9193,
    IF(purpose="Purchase",1.00,
        IF(purpose="Remortgage",1.00,
            1.20)))</f>
        <v/>
      </c>
      <c r="L9193">
        <f>LET(
    arrears_months,'Loan Tape (S&amp;P)'!AN9193,
    IF(arrears_months=0,1.00,
    IF(arrears_months=1,3.00,
    IF(arrears_months=2,5.00,
    IF(arrears_months=3,8.00,
    IF(arrears_months=4,10.00,
    IF(arrears_months=5,12.00,15.00)))))))</f>
        <v/>
      </c>
      <c r="M9193">
        <f>LET(
    seasoning_years,DATEDIF('Loan Tape (S&amp;P)'!K9193,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93">
        <f>IF(AND('Loan Tape (S&amp;P)'!U9193="Yes",
        'Loan Tape (S&amp;P)'!T9193&lt;&gt;"Yes",
        DATEDIF('Loan Tape (S&amp;P)'!K9193, TODAY(), "M")&lt;18),
    1.10,
    1.00)</f>
        <v/>
      </c>
      <c r="O9193">
        <f>IF('Loan Tape (S&amp;P)'!T9193="Yes",
    1.35,
    1.00)</f>
        <v/>
      </c>
      <c r="P9193">
        <f>IF('Loan Tape (S&amp;P)'!S9193="Yes",
    1.15,
    1.00)</f>
        <v/>
      </c>
      <c r="Q9193">
        <f>IF('Loan Tape (S&amp;P)'!V9193="Yes",
    1.20,
    1.00)</f>
        <v/>
      </c>
      <c r="T9193">
        <f>LET(
    payment_method,'Loan Tape (S&amp;P)'!P9193,
    occupancy,'Loan Tape (S&amp;P)'!N9193,
    maturity_date,'Loan Tape (S&amp;P)'!L9193,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94">
      <c r="J9194">
        <f>LET(
    lien,'Loan Tape (S&amp;P)'!Q9194,
    IF(lien="First",1.00,
        IF(lien="Second",1.50,
            1.70)))</f>
        <v/>
      </c>
      <c r="K9194">
        <f>LET(
    purpose,'Loan Tape (S&amp;P)'!R9194,
    IF(purpose="Purchase",1.00,
        IF(purpose="Remortgage",1.00,
            1.20)))</f>
        <v/>
      </c>
      <c r="L9194">
        <f>LET(
    arrears_months,'Loan Tape (S&amp;P)'!AN9194,
    IF(arrears_months=0,1.00,
    IF(arrears_months=1,3.00,
    IF(arrears_months=2,5.00,
    IF(arrears_months=3,8.00,
    IF(arrears_months=4,10.00,
    IF(arrears_months=5,12.00,15.00)))))))</f>
        <v/>
      </c>
      <c r="M9194">
        <f>LET(
    seasoning_years,DATEDIF('Loan Tape (S&amp;P)'!K9194,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94">
        <f>IF(AND('Loan Tape (S&amp;P)'!U9194="Yes",
        'Loan Tape (S&amp;P)'!T9194&lt;&gt;"Yes",
        DATEDIF('Loan Tape (S&amp;P)'!K9194, TODAY(), "M")&lt;18),
    1.10,
    1.00)</f>
        <v/>
      </c>
      <c r="O9194">
        <f>IF('Loan Tape (S&amp;P)'!T9194="Yes",
    1.35,
    1.00)</f>
        <v/>
      </c>
      <c r="P9194">
        <f>IF('Loan Tape (S&amp;P)'!S9194="Yes",
    1.15,
    1.00)</f>
        <v/>
      </c>
      <c r="Q9194">
        <f>IF('Loan Tape (S&amp;P)'!V9194="Yes",
    1.20,
    1.00)</f>
        <v/>
      </c>
      <c r="T9194">
        <f>LET(
    payment_method,'Loan Tape (S&amp;P)'!P9194,
    occupancy,'Loan Tape (S&amp;P)'!N9194,
    maturity_date,'Loan Tape (S&amp;P)'!L9194,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95">
      <c r="J9195">
        <f>LET(
    lien,'Loan Tape (S&amp;P)'!Q9195,
    IF(lien="First",1.00,
        IF(lien="Second",1.50,
            1.70)))</f>
        <v/>
      </c>
      <c r="K9195">
        <f>LET(
    purpose,'Loan Tape (S&amp;P)'!R9195,
    IF(purpose="Purchase",1.00,
        IF(purpose="Remortgage",1.00,
            1.20)))</f>
        <v/>
      </c>
      <c r="L9195">
        <f>LET(
    arrears_months,'Loan Tape (S&amp;P)'!AN9195,
    IF(arrears_months=0,1.00,
    IF(arrears_months=1,3.00,
    IF(arrears_months=2,5.00,
    IF(arrears_months=3,8.00,
    IF(arrears_months=4,10.00,
    IF(arrears_months=5,12.00,15.00)))))))</f>
        <v/>
      </c>
      <c r="M9195">
        <f>LET(
    seasoning_years,DATEDIF('Loan Tape (S&amp;P)'!K9195,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95">
        <f>IF(AND('Loan Tape (S&amp;P)'!U9195="Yes",
        'Loan Tape (S&amp;P)'!T9195&lt;&gt;"Yes",
        DATEDIF('Loan Tape (S&amp;P)'!K9195, TODAY(), "M")&lt;18),
    1.10,
    1.00)</f>
        <v/>
      </c>
      <c r="O9195">
        <f>IF('Loan Tape (S&amp;P)'!T9195="Yes",
    1.35,
    1.00)</f>
        <v/>
      </c>
      <c r="P9195">
        <f>IF('Loan Tape (S&amp;P)'!S9195="Yes",
    1.15,
    1.00)</f>
        <v/>
      </c>
      <c r="Q9195">
        <f>IF('Loan Tape (S&amp;P)'!V9195="Yes",
    1.20,
    1.00)</f>
        <v/>
      </c>
      <c r="T9195">
        <f>LET(
    payment_method,'Loan Tape (S&amp;P)'!P9195,
    occupancy,'Loan Tape (S&amp;P)'!N9195,
    maturity_date,'Loan Tape (S&amp;P)'!L9195,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96">
      <c r="J9196">
        <f>LET(
    lien,'Loan Tape (S&amp;P)'!Q9196,
    IF(lien="First",1.00,
        IF(lien="Second",1.50,
            1.70)))</f>
        <v/>
      </c>
      <c r="K9196">
        <f>LET(
    purpose,'Loan Tape (S&amp;P)'!R9196,
    IF(purpose="Purchase",1.00,
        IF(purpose="Remortgage",1.00,
            1.20)))</f>
        <v/>
      </c>
      <c r="L9196">
        <f>LET(
    arrears_months,'Loan Tape (S&amp;P)'!AN9196,
    IF(arrears_months=0,1.00,
    IF(arrears_months=1,3.00,
    IF(arrears_months=2,5.00,
    IF(arrears_months=3,8.00,
    IF(arrears_months=4,10.00,
    IF(arrears_months=5,12.00,15.00)))))))</f>
        <v/>
      </c>
      <c r="M9196">
        <f>LET(
    seasoning_years,DATEDIF('Loan Tape (S&amp;P)'!K9196,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96">
        <f>IF(AND('Loan Tape (S&amp;P)'!U9196="Yes",
        'Loan Tape (S&amp;P)'!T9196&lt;&gt;"Yes",
        DATEDIF('Loan Tape (S&amp;P)'!K9196, TODAY(), "M")&lt;18),
    1.10,
    1.00)</f>
        <v/>
      </c>
      <c r="O9196">
        <f>IF('Loan Tape (S&amp;P)'!T9196="Yes",
    1.35,
    1.00)</f>
        <v/>
      </c>
      <c r="P9196">
        <f>IF('Loan Tape (S&amp;P)'!S9196="Yes",
    1.15,
    1.00)</f>
        <v/>
      </c>
      <c r="Q9196">
        <f>IF('Loan Tape (S&amp;P)'!V9196="Yes",
    1.20,
    1.00)</f>
        <v/>
      </c>
      <c r="T9196">
        <f>LET(
    payment_method,'Loan Tape (S&amp;P)'!P9196,
    occupancy,'Loan Tape (S&amp;P)'!N9196,
    maturity_date,'Loan Tape (S&amp;P)'!L9196,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97">
      <c r="J9197">
        <f>LET(
    lien,'Loan Tape (S&amp;P)'!Q9197,
    IF(lien="First",1.00,
        IF(lien="Second",1.50,
            1.70)))</f>
        <v/>
      </c>
      <c r="K9197">
        <f>LET(
    purpose,'Loan Tape (S&amp;P)'!R9197,
    IF(purpose="Purchase",1.00,
        IF(purpose="Remortgage",1.00,
            1.20)))</f>
        <v/>
      </c>
      <c r="L9197">
        <f>LET(
    arrears_months,'Loan Tape (S&amp;P)'!AN9197,
    IF(arrears_months=0,1.00,
    IF(arrears_months=1,3.00,
    IF(arrears_months=2,5.00,
    IF(arrears_months=3,8.00,
    IF(arrears_months=4,10.00,
    IF(arrears_months=5,12.00,15.00)))))))</f>
        <v/>
      </c>
      <c r="M9197">
        <f>LET(
    seasoning_years,DATEDIF('Loan Tape (S&amp;P)'!K9197,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97">
        <f>IF(AND('Loan Tape (S&amp;P)'!U9197="Yes",
        'Loan Tape (S&amp;P)'!T9197&lt;&gt;"Yes",
        DATEDIF('Loan Tape (S&amp;P)'!K9197, TODAY(), "M")&lt;18),
    1.10,
    1.00)</f>
        <v/>
      </c>
      <c r="O9197">
        <f>IF('Loan Tape (S&amp;P)'!T9197="Yes",
    1.35,
    1.00)</f>
        <v/>
      </c>
      <c r="P9197">
        <f>IF('Loan Tape (S&amp;P)'!S9197="Yes",
    1.15,
    1.00)</f>
        <v/>
      </c>
      <c r="Q9197">
        <f>IF('Loan Tape (S&amp;P)'!V9197="Yes",
    1.20,
    1.00)</f>
        <v/>
      </c>
      <c r="T9197">
        <f>LET(
    payment_method,'Loan Tape (S&amp;P)'!P9197,
    occupancy,'Loan Tape (S&amp;P)'!N9197,
    maturity_date,'Loan Tape (S&amp;P)'!L9197,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98">
      <c r="J9198">
        <f>LET(
    lien,'Loan Tape (S&amp;P)'!Q9198,
    IF(lien="First",1.00,
        IF(lien="Second",1.50,
            1.70)))</f>
        <v/>
      </c>
      <c r="K9198">
        <f>LET(
    purpose,'Loan Tape (S&amp;P)'!R9198,
    IF(purpose="Purchase",1.00,
        IF(purpose="Remortgage",1.00,
            1.20)))</f>
        <v/>
      </c>
      <c r="L9198">
        <f>LET(
    arrears_months,'Loan Tape (S&amp;P)'!AN9198,
    IF(arrears_months=0,1.00,
    IF(arrears_months=1,3.00,
    IF(arrears_months=2,5.00,
    IF(arrears_months=3,8.00,
    IF(arrears_months=4,10.00,
    IF(arrears_months=5,12.00,15.00)))))))</f>
        <v/>
      </c>
      <c r="M9198">
        <f>LET(
    seasoning_years,DATEDIF('Loan Tape (S&amp;P)'!K9198,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98">
        <f>IF(AND('Loan Tape (S&amp;P)'!U9198="Yes",
        'Loan Tape (S&amp;P)'!T9198&lt;&gt;"Yes",
        DATEDIF('Loan Tape (S&amp;P)'!K9198, TODAY(), "M")&lt;18),
    1.10,
    1.00)</f>
        <v/>
      </c>
      <c r="O9198">
        <f>IF('Loan Tape (S&amp;P)'!T9198="Yes",
    1.35,
    1.00)</f>
        <v/>
      </c>
      <c r="P9198">
        <f>IF('Loan Tape (S&amp;P)'!S9198="Yes",
    1.15,
    1.00)</f>
        <v/>
      </c>
      <c r="Q9198">
        <f>IF('Loan Tape (S&amp;P)'!V9198="Yes",
    1.20,
    1.00)</f>
        <v/>
      </c>
      <c r="T9198">
        <f>LET(
    payment_method,'Loan Tape (S&amp;P)'!P9198,
    occupancy,'Loan Tape (S&amp;P)'!N9198,
    maturity_date,'Loan Tape (S&amp;P)'!L9198,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199">
      <c r="J9199">
        <f>LET(
    lien,'Loan Tape (S&amp;P)'!Q9199,
    IF(lien="First",1.00,
        IF(lien="Second",1.50,
            1.70)))</f>
        <v/>
      </c>
      <c r="K9199">
        <f>LET(
    purpose,'Loan Tape (S&amp;P)'!R9199,
    IF(purpose="Purchase",1.00,
        IF(purpose="Remortgage",1.00,
            1.20)))</f>
        <v/>
      </c>
      <c r="L9199">
        <f>LET(
    arrears_months,'Loan Tape (S&amp;P)'!AN9199,
    IF(arrears_months=0,1.00,
    IF(arrears_months=1,3.00,
    IF(arrears_months=2,5.00,
    IF(arrears_months=3,8.00,
    IF(arrears_months=4,10.00,
    IF(arrears_months=5,12.00,15.00)))))))</f>
        <v/>
      </c>
      <c r="M9199">
        <f>LET(
    seasoning_years,DATEDIF('Loan Tape (S&amp;P)'!K9199,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199">
        <f>IF(AND('Loan Tape (S&amp;P)'!U9199="Yes",
        'Loan Tape (S&amp;P)'!T9199&lt;&gt;"Yes",
        DATEDIF('Loan Tape (S&amp;P)'!K9199, TODAY(), "M")&lt;18),
    1.10,
    1.00)</f>
        <v/>
      </c>
      <c r="O9199">
        <f>IF('Loan Tape (S&amp;P)'!T9199="Yes",
    1.35,
    1.00)</f>
        <v/>
      </c>
      <c r="P9199">
        <f>IF('Loan Tape (S&amp;P)'!S9199="Yes",
    1.15,
    1.00)</f>
        <v/>
      </c>
      <c r="Q9199">
        <f>IF('Loan Tape (S&amp;P)'!V9199="Yes",
    1.20,
    1.00)</f>
        <v/>
      </c>
      <c r="T9199">
        <f>LET(
    payment_method,'Loan Tape (S&amp;P)'!P9199,
    occupancy,'Loan Tape (S&amp;P)'!N9199,
    maturity_date,'Loan Tape (S&amp;P)'!L9199,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00">
      <c r="J9200">
        <f>LET(
    lien,'Loan Tape (S&amp;P)'!Q9200,
    IF(lien="First",1.00,
        IF(lien="Second",1.50,
            1.70)))</f>
        <v/>
      </c>
      <c r="K9200">
        <f>LET(
    purpose,'Loan Tape (S&amp;P)'!R9200,
    IF(purpose="Purchase",1.00,
        IF(purpose="Remortgage",1.00,
            1.20)))</f>
        <v/>
      </c>
      <c r="L9200">
        <f>LET(
    arrears_months,'Loan Tape (S&amp;P)'!AN9200,
    IF(arrears_months=0,1.00,
    IF(arrears_months=1,3.00,
    IF(arrears_months=2,5.00,
    IF(arrears_months=3,8.00,
    IF(arrears_months=4,10.00,
    IF(arrears_months=5,12.00,15.00)))))))</f>
        <v/>
      </c>
      <c r="M9200">
        <f>LET(
    seasoning_years,DATEDIF('Loan Tape (S&amp;P)'!K9200,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00">
        <f>IF(AND('Loan Tape (S&amp;P)'!U9200="Yes",
        'Loan Tape (S&amp;P)'!T9200&lt;&gt;"Yes",
        DATEDIF('Loan Tape (S&amp;P)'!K9200, TODAY(), "M")&lt;18),
    1.10,
    1.00)</f>
        <v/>
      </c>
      <c r="O9200">
        <f>IF('Loan Tape (S&amp;P)'!T9200="Yes",
    1.35,
    1.00)</f>
        <v/>
      </c>
      <c r="P9200">
        <f>IF('Loan Tape (S&amp;P)'!S9200="Yes",
    1.15,
    1.00)</f>
        <v/>
      </c>
      <c r="Q9200">
        <f>IF('Loan Tape (S&amp;P)'!V9200="Yes",
    1.20,
    1.00)</f>
        <v/>
      </c>
      <c r="T9200">
        <f>LET(
    payment_method,'Loan Tape (S&amp;P)'!P9200,
    occupancy,'Loan Tape (S&amp;P)'!N9200,
    maturity_date,'Loan Tape (S&amp;P)'!L9200,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01">
      <c r="J9201">
        <f>LET(
    lien,'Loan Tape (S&amp;P)'!Q9201,
    IF(lien="First",1.00,
        IF(lien="Second",1.50,
            1.70)))</f>
        <v/>
      </c>
      <c r="K9201">
        <f>LET(
    purpose,'Loan Tape (S&amp;P)'!R9201,
    IF(purpose="Purchase",1.00,
        IF(purpose="Remortgage",1.00,
            1.20)))</f>
        <v/>
      </c>
      <c r="L9201">
        <f>LET(
    arrears_months,'Loan Tape (S&amp;P)'!AN9201,
    IF(arrears_months=0,1.00,
    IF(arrears_months=1,3.00,
    IF(arrears_months=2,5.00,
    IF(arrears_months=3,8.00,
    IF(arrears_months=4,10.00,
    IF(arrears_months=5,12.00,15.00)))))))</f>
        <v/>
      </c>
      <c r="M9201">
        <f>LET(
    seasoning_years,DATEDIF('Loan Tape (S&amp;P)'!K9201,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01">
        <f>IF(AND('Loan Tape (S&amp;P)'!U9201="Yes",
        'Loan Tape (S&amp;P)'!T9201&lt;&gt;"Yes",
        DATEDIF('Loan Tape (S&amp;P)'!K9201, TODAY(), "M")&lt;18),
    1.10,
    1.00)</f>
        <v/>
      </c>
      <c r="O9201">
        <f>IF('Loan Tape (S&amp;P)'!T9201="Yes",
    1.35,
    1.00)</f>
        <v/>
      </c>
      <c r="P9201">
        <f>IF('Loan Tape (S&amp;P)'!S9201="Yes",
    1.15,
    1.00)</f>
        <v/>
      </c>
      <c r="Q9201">
        <f>IF('Loan Tape (S&amp;P)'!V9201="Yes",
    1.20,
    1.00)</f>
        <v/>
      </c>
      <c r="T9201">
        <f>LET(
    payment_method,'Loan Tape (S&amp;P)'!P9201,
    occupancy,'Loan Tape (S&amp;P)'!N9201,
    maturity_date,'Loan Tape (S&amp;P)'!L9201,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02">
      <c r="J9202">
        <f>LET(
    lien,'Loan Tape (S&amp;P)'!Q9202,
    IF(lien="First",1.00,
        IF(lien="Second",1.50,
            1.70)))</f>
        <v/>
      </c>
      <c r="K9202">
        <f>LET(
    purpose,'Loan Tape (S&amp;P)'!R9202,
    IF(purpose="Purchase",1.00,
        IF(purpose="Remortgage",1.00,
            1.20)))</f>
        <v/>
      </c>
      <c r="L9202">
        <f>LET(
    arrears_months,'Loan Tape (S&amp;P)'!AN9202,
    IF(arrears_months=0,1.00,
    IF(arrears_months=1,3.00,
    IF(arrears_months=2,5.00,
    IF(arrears_months=3,8.00,
    IF(arrears_months=4,10.00,
    IF(arrears_months=5,12.00,15.00)))))))</f>
        <v/>
      </c>
      <c r="M9202">
        <f>LET(
    seasoning_years,DATEDIF('Loan Tape (S&amp;P)'!K9202,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02">
        <f>IF(AND('Loan Tape (S&amp;P)'!U9202="Yes",
        'Loan Tape (S&amp;P)'!T9202&lt;&gt;"Yes",
        DATEDIF('Loan Tape (S&amp;P)'!K9202, TODAY(), "M")&lt;18),
    1.10,
    1.00)</f>
        <v/>
      </c>
      <c r="O9202">
        <f>IF('Loan Tape (S&amp;P)'!T9202="Yes",
    1.35,
    1.00)</f>
        <v/>
      </c>
      <c r="P9202">
        <f>IF('Loan Tape (S&amp;P)'!S9202="Yes",
    1.15,
    1.00)</f>
        <v/>
      </c>
      <c r="Q9202">
        <f>IF('Loan Tape (S&amp;P)'!V9202="Yes",
    1.20,
    1.00)</f>
        <v/>
      </c>
      <c r="T9202">
        <f>LET(
    payment_method,'Loan Tape (S&amp;P)'!P9202,
    occupancy,'Loan Tape (S&amp;P)'!N9202,
    maturity_date,'Loan Tape (S&amp;P)'!L9202,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03">
      <c r="J9203">
        <f>LET(
    lien,'Loan Tape (S&amp;P)'!Q9203,
    IF(lien="First",1.00,
        IF(lien="Second",1.50,
            1.70)))</f>
        <v/>
      </c>
      <c r="K9203">
        <f>LET(
    purpose,'Loan Tape (S&amp;P)'!R9203,
    IF(purpose="Purchase",1.00,
        IF(purpose="Remortgage",1.00,
            1.20)))</f>
        <v/>
      </c>
      <c r="L9203">
        <f>LET(
    arrears_months,'Loan Tape (S&amp;P)'!AN9203,
    IF(arrears_months=0,1.00,
    IF(arrears_months=1,3.00,
    IF(arrears_months=2,5.00,
    IF(arrears_months=3,8.00,
    IF(arrears_months=4,10.00,
    IF(arrears_months=5,12.00,15.00)))))))</f>
        <v/>
      </c>
      <c r="M9203">
        <f>LET(
    seasoning_years,DATEDIF('Loan Tape (S&amp;P)'!K9203,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03">
        <f>IF(AND('Loan Tape (S&amp;P)'!U9203="Yes",
        'Loan Tape (S&amp;P)'!T9203&lt;&gt;"Yes",
        DATEDIF('Loan Tape (S&amp;P)'!K9203, TODAY(), "M")&lt;18),
    1.10,
    1.00)</f>
        <v/>
      </c>
      <c r="O9203">
        <f>IF('Loan Tape (S&amp;P)'!T9203="Yes",
    1.35,
    1.00)</f>
        <v/>
      </c>
      <c r="P9203">
        <f>IF('Loan Tape (S&amp;P)'!S9203="Yes",
    1.15,
    1.00)</f>
        <v/>
      </c>
      <c r="Q9203">
        <f>IF('Loan Tape (S&amp;P)'!V9203="Yes",
    1.20,
    1.00)</f>
        <v/>
      </c>
      <c r="T9203">
        <f>LET(
    payment_method,'Loan Tape (S&amp;P)'!P9203,
    occupancy,'Loan Tape (S&amp;P)'!N9203,
    maturity_date,'Loan Tape (S&amp;P)'!L9203,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04">
      <c r="J9204">
        <f>LET(
    lien,'Loan Tape (S&amp;P)'!Q9204,
    IF(lien="First",1.00,
        IF(lien="Second",1.50,
            1.70)))</f>
        <v/>
      </c>
      <c r="K9204">
        <f>LET(
    purpose,'Loan Tape (S&amp;P)'!R9204,
    IF(purpose="Purchase",1.00,
        IF(purpose="Remortgage",1.00,
            1.20)))</f>
        <v/>
      </c>
      <c r="L9204">
        <f>LET(
    arrears_months,'Loan Tape (S&amp;P)'!AN9204,
    IF(arrears_months=0,1.00,
    IF(arrears_months=1,3.00,
    IF(arrears_months=2,5.00,
    IF(arrears_months=3,8.00,
    IF(arrears_months=4,10.00,
    IF(arrears_months=5,12.00,15.00)))))))</f>
        <v/>
      </c>
      <c r="M9204">
        <f>LET(
    seasoning_years,DATEDIF('Loan Tape (S&amp;P)'!K9204,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04">
        <f>IF(AND('Loan Tape (S&amp;P)'!U9204="Yes",
        'Loan Tape (S&amp;P)'!T9204&lt;&gt;"Yes",
        DATEDIF('Loan Tape (S&amp;P)'!K9204, TODAY(), "M")&lt;18),
    1.10,
    1.00)</f>
        <v/>
      </c>
      <c r="O9204">
        <f>IF('Loan Tape (S&amp;P)'!T9204="Yes",
    1.35,
    1.00)</f>
        <v/>
      </c>
      <c r="P9204">
        <f>IF('Loan Tape (S&amp;P)'!S9204="Yes",
    1.15,
    1.00)</f>
        <v/>
      </c>
      <c r="Q9204">
        <f>IF('Loan Tape (S&amp;P)'!V9204="Yes",
    1.20,
    1.00)</f>
        <v/>
      </c>
      <c r="T9204">
        <f>LET(
    payment_method,'Loan Tape (S&amp;P)'!P9204,
    occupancy,'Loan Tape (S&amp;P)'!N9204,
    maturity_date,'Loan Tape (S&amp;P)'!L9204,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05">
      <c r="J9205">
        <f>LET(
    lien,'Loan Tape (S&amp;P)'!Q9205,
    IF(lien="First",1.00,
        IF(lien="Second",1.50,
            1.70)))</f>
        <v/>
      </c>
      <c r="K9205">
        <f>LET(
    purpose,'Loan Tape (S&amp;P)'!R9205,
    IF(purpose="Purchase",1.00,
        IF(purpose="Remortgage",1.00,
            1.20)))</f>
        <v/>
      </c>
      <c r="L9205">
        <f>LET(
    arrears_months,'Loan Tape (S&amp;P)'!AN9205,
    IF(arrears_months=0,1.00,
    IF(arrears_months=1,3.00,
    IF(arrears_months=2,5.00,
    IF(arrears_months=3,8.00,
    IF(arrears_months=4,10.00,
    IF(arrears_months=5,12.00,15.00)))))))</f>
        <v/>
      </c>
      <c r="M9205">
        <f>LET(
    seasoning_years,DATEDIF('Loan Tape (S&amp;P)'!K9205,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05">
        <f>IF(AND('Loan Tape (S&amp;P)'!U9205="Yes",
        'Loan Tape (S&amp;P)'!T9205&lt;&gt;"Yes",
        DATEDIF('Loan Tape (S&amp;P)'!K9205, TODAY(), "M")&lt;18),
    1.10,
    1.00)</f>
        <v/>
      </c>
      <c r="O9205">
        <f>IF('Loan Tape (S&amp;P)'!T9205="Yes",
    1.35,
    1.00)</f>
        <v/>
      </c>
      <c r="P9205">
        <f>IF('Loan Tape (S&amp;P)'!S9205="Yes",
    1.15,
    1.00)</f>
        <v/>
      </c>
      <c r="Q9205">
        <f>IF('Loan Tape (S&amp;P)'!V9205="Yes",
    1.20,
    1.00)</f>
        <v/>
      </c>
      <c r="T9205">
        <f>LET(
    payment_method,'Loan Tape (S&amp;P)'!P9205,
    occupancy,'Loan Tape (S&amp;P)'!N9205,
    maturity_date,'Loan Tape (S&amp;P)'!L9205,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06">
      <c r="J9206">
        <f>LET(
    lien,'Loan Tape (S&amp;P)'!Q9206,
    IF(lien="First",1.00,
        IF(lien="Second",1.50,
            1.70)))</f>
        <v/>
      </c>
      <c r="K9206">
        <f>LET(
    purpose,'Loan Tape (S&amp;P)'!R9206,
    IF(purpose="Purchase",1.00,
        IF(purpose="Remortgage",1.00,
            1.20)))</f>
        <v/>
      </c>
      <c r="L9206">
        <f>LET(
    arrears_months,'Loan Tape (S&amp;P)'!AN9206,
    IF(arrears_months=0,1.00,
    IF(arrears_months=1,3.00,
    IF(arrears_months=2,5.00,
    IF(arrears_months=3,8.00,
    IF(arrears_months=4,10.00,
    IF(arrears_months=5,12.00,15.00)))))))</f>
        <v/>
      </c>
      <c r="M9206">
        <f>LET(
    seasoning_years,DATEDIF('Loan Tape (S&amp;P)'!K9206,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06">
        <f>IF(AND('Loan Tape (S&amp;P)'!U9206="Yes",
        'Loan Tape (S&amp;P)'!T9206&lt;&gt;"Yes",
        DATEDIF('Loan Tape (S&amp;P)'!K9206, TODAY(), "M")&lt;18),
    1.10,
    1.00)</f>
        <v/>
      </c>
      <c r="O9206">
        <f>IF('Loan Tape (S&amp;P)'!T9206="Yes",
    1.35,
    1.00)</f>
        <v/>
      </c>
      <c r="P9206">
        <f>IF('Loan Tape (S&amp;P)'!S9206="Yes",
    1.15,
    1.00)</f>
        <v/>
      </c>
      <c r="Q9206">
        <f>IF('Loan Tape (S&amp;P)'!V9206="Yes",
    1.20,
    1.00)</f>
        <v/>
      </c>
      <c r="T9206">
        <f>LET(
    payment_method,'Loan Tape (S&amp;P)'!P9206,
    occupancy,'Loan Tape (S&amp;P)'!N9206,
    maturity_date,'Loan Tape (S&amp;P)'!L9206,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07">
      <c r="J9207">
        <f>LET(
    lien,'Loan Tape (S&amp;P)'!Q9207,
    IF(lien="First",1.00,
        IF(lien="Second",1.50,
            1.70)))</f>
        <v/>
      </c>
      <c r="K9207">
        <f>LET(
    purpose,'Loan Tape (S&amp;P)'!R9207,
    IF(purpose="Purchase",1.00,
        IF(purpose="Remortgage",1.00,
            1.20)))</f>
        <v/>
      </c>
      <c r="L9207">
        <f>LET(
    arrears_months,'Loan Tape (S&amp;P)'!AN9207,
    IF(arrears_months=0,1.00,
    IF(arrears_months=1,3.00,
    IF(arrears_months=2,5.00,
    IF(arrears_months=3,8.00,
    IF(arrears_months=4,10.00,
    IF(arrears_months=5,12.00,15.00)))))))</f>
        <v/>
      </c>
      <c r="M9207">
        <f>LET(
    seasoning_years,DATEDIF('Loan Tape (S&amp;P)'!K9207,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07">
        <f>IF(AND('Loan Tape (S&amp;P)'!U9207="Yes",
        'Loan Tape (S&amp;P)'!T9207&lt;&gt;"Yes",
        DATEDIF('Loan Tape (S&amp;P)'!K9207, TODAY(), "M")&lt;18),
    1.10,
    1.00)</f>
        <v/>
      </c>
      <c r="O9207">
        <f>IF('Loan Tape (S&amp;P)'!T9207="Yes",
    1.35,
    1.00)</f>
        <v/>
      </c>
      <c r="P9207">
        <f>IF('Loan Tape (S&amp;P)'!S9207="Yes",
    1.15,
    1.00)</f>
        <v/>
      </c>
      <c r="Q9207">
        <f>IF('Loan Tape (S&amp;P)'!V9207="Yes",
    1.20,
    1.00)</f>
        <v/>
      </c>
      <c r="T9207">
        <f>LET(
    payment_method,'Loan Tape (S&amp;P)'!P9207,
    occupancy,'Loan Tape (S&amp;P)'!N9207,
    maturity_date,'Loan Tape (S&amp;P)'!L9207,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08">
      <c r="J9208">
        <f>LET(
    lien,'Loan Tape (S&amp;P)'!Q9208,
    IF(lien="First",1.00,
        IF(lien="Second",1.50,
            1.70)))</f>
        <v/>
      </c>
      <c r="K9208">
        <f>LET(
    purpose,'Loan Tape (S&amp;P)'!R9208,
    IF(purpose="Purchase",1.00,
        IF(purpose="Remortgage",1.00,
            1.20)))</f>
        <v/>
      </c>
      <c r="L9208">
        <f>LET(
    arrears_months,'Loan Tape (S&amp;P)'!AN9208,
    IF(arrears_months=0,1.00,
    IF(arrears_months=1,3.00,
    IF(arrears_months=2,5.00,
    IF(arrears_months=3,8.00,
    IF(arrears_months=4,10.00,
    IF(arrears_months=5,12.00,15.00)))))))</f>
        <v/>
      </c>
      <c r="M9208">
        <f>LET(
    seasoning_years,DATEDIF('Loan Tape (S&amp;P)'!K9208,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08">
        <f>IF(AND('Loan Tape (S&amp;P)'!U9208="Yes",
        'Loan Tape (S&amp;P)'!T9208&lt;&gt;"Yes",
        DATEDIF('Loan Tape (S&amp;P)'!K9208, TODAY(), "M")&lt;18),
    1.10,
    1.00)</f>
        <v/>
      </c>
      <c r="O9208">
        <f>IF('Loan Tape (S&amp;P)'!T9208="Yes",
    1.35,
    1.00)</f>
        <v/>
      </c>
      <c r="P9208">
        <f>IF('Loan Tape (S&amp;P)'!S9208="Yes",
    1.15,
    1.00)</f>
        <v/>
      </c>
      <c r="Q9208">
        <f>IF('Loan Tape (S&amp;P)'!V9208="Yes",
    1.20,
    1.00)</f>
        <v/>
      </c>
      <c r="T9208">
        <f>LET(
    payment_method,'Loan Tape (S&amp;P)'!P9208,
    occupancy,'Loan Tape (S&amp;P)'!N9208,
    maturity_date,'Loan Tape (S&amp;P)'!L9208,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09">
      <c r="J9209">
        <f>LET(
    lien,'Loan Tape (S&amp;P)'!Q9209,
    IF(lien="First",1.00,
        IF(lien="Second",1.50,
            1.70)))</f>
        <v/>
      </c>
      <c r="K9209">
        <f>LET(
    purpose,'Loan Tape (S&amp;P)'!R9209,
    IF(purpose="Purchase",1.00,
        IF(purpose="Remortgage",1.00,
            1.20)))</f>
        <v/>
      </c>
      <c r="L9209">
        <f>LET(
    arrears_months,'Loan Tape (S&amp;P)'!AN9209,
    IF(arrears_months=0,1.00,
    IF(arrears_months=1,3.00,
    IF(arrears_months=2,5.00,
    IF(arrears_months=3,8.00,
    IF(arrears_months=4,10.00,
    IF(arrears_months=5,12.00,15.00)))))))</f>
        <v/>
      </c>
      <c r="M9209">
        <f>LET(
    seasoning_years,DATEDIF('Loan Tape (S&amp;P)'!K9209,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09">
        <f>IF(AND('Loan Tape (S&amp;P)'!U9209="Yes",
        'Loan Tape (S&amp;P)'!T9209&lt;&gt;"Yes",
        DATEDIF('Loan Tape (S&amp;P)'!K9209, TODAY(), "M")&lt;18),
    1.10,
    1.00)</f>
        <v/>
      </c>
      <c r="O9209">
        <f>IF('Loan Tape (S&amp;P)'!T9209="Yes",
    1.35,
    1.00)</f>
        <v/>
      </c>
      <c r="P9209">
        <f>IF('Loan Tape (S&amp;P)'!S9209="Yes",
    1.15,
    1.00)</f>
        <v/>
      </c>
      <c r="Q9209">
        <f>IF('Loan Tape (S&amp;P)'!V9209="Yes",
    1.20,
    1.00)</f>
        <v/>
      </c>
      <c r="T9209">
        <f>LET(
    payment_method,'Loan Tape (S&amp;P)'!P9209,
    occupancy,'Loan Tape (S&amp;P)'!N9209,
    maturity_date,'Loan Tape (S&amp;P)'!L9209,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10">
      <c r="J9210">
        <f>LET(
    lien,'Loan Tape (S&amp;P)'!Q9210,
    IF(lien="First",1.00,
        IF(lien="Second",1.50,
            1.70)))</f>
        <v/>
      </c>
      <c r="K9210">
        <f>LET(
    purpose,'Loan Tape (S&amp;P)'!R9210,
    IF(purpose="Purchase",1.00,
        IF(purpose="Remortgage",1.00,
            1.20)))</f>
        <v/>
      </c>
      <c r="L9210">
        <f>LET(
    arrears_months,'Loan Tape (S&amp;P)'!AN9210,
    IF(arrears_months=0,1.00,
    IF(arrears_months=1,3.00,
    IF(arrears_months=2,5.00,
    IF(arrears_months=3,8.00,
    IF(arrears_months=4,10.00,
    IF(arrears_months=5,12.00,15.00)))))))</f>
        <v/>
      </c>
      <c r="M9210">
        <f>LET(
    seasoning_years,DATEDIF('Loan Tape (S&amp;P)'!K9210,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10">
        <f>IF(AND('Loan Tape (S&amp;P)'!U9210="Yes",
        'Loan Tape (S&amp;P)'!T9210&lt;&gt;"Yes",
        DATEDIF('Loan Tape (S&amp;P)'!K9210, TODAY(), "M")&lt;18),
    1.10,
    1.00)</f>
        <v/>
      </c>
      <c r="O9210">
        <f>IF('Loan Tape (S&amp;P)'!T9210="Yes",
    1.35,
    1.00)</f>
        <v/>
      </c>
      <c r="P9210">
        <f>IF('Loan Tape (S&amp;P)'!S9210="Yes",
    1.15,
    1.00)</f>
        <v/>
      </c>
      <c r="Q9210">
        <f>IF('Loan Tape (S&amp;P)'!V9210="Yes",
    1.20,
    1.00)</f>
        <v/>
      </c>
      <c r="T9210">
        <f>LET(
    payment_method,'Loan Tape (S&amp;P)'!P9210,
    occupancy,'Loan Tape (S&amp;P)'!N9210,
    maturity_date,'Loan Tape (S&amp;P)'!L9210,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11">
      <c r="J9211">
        <f>LET(
    lien,'Loan Tape (S&amp;P)'!Q9211,
    IF(lien="First",1.00,
        IF(lien="Second",1.50,
            1.70)))</f>
        <v/>
      </c>
      <c r="K9211">
        <f>LET(
    purpose,'Loan Tape (S&amp;P)'!R9211,
    IF(purpose="Purchase",1.00,
        IF(purpose="Remortgage",1.00,
            1.20)))</f>
        <v/>
      </c>
      <c r="L9211">
        <f>LET(
    arrears_months,'Loan Tape (S&amp;P)'!AN9211,
    IF(arrears_months=0,1.00,
    IF(arrears_months=1,3.00,
    IF(arrears_months=2,5.00,
    IF(arrears_months=3,8.00,
    IF(arrears_months=4,10.00,
    IF(arrears_months=5,12.00,15.00)))))))</f>
        <v/>
      </c>
      <c r="M9211">
        <f>LET(
    seasoning_years,DATEDIF('Loan Tape (S&amp;P)'!K9211,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11">
        <f>IF(AND('Loan Tape (S&amp;P)'!U9211="Yes",
        'Loan Tape (S&amp;P)'!T9211&lt;&gt;"Yes",
        DATEDIF('Loan Tape (S&amp;P)'!K9211, TODAY(), "M")&lt;18),
    1.10,
    1.00)</f>
        <v/>
      </c>
      <c r="O9211">
        <f>IF('Loan Tape (S&amp;P)'!T9211="Yes",
    1.35,
    1.00)</f>
        <v/>
      </c>
      <c r="P9211">
        <f>IF('Loan Tape (S&amp;P)'!S9211="Yes",
    1.15,
    1.00)</f>
        <v/>
      </c>
      <c r="Q9211">
        <f>IF('Loan Tape (S&amp;P)'!V9211="Yes",
    1.20,
    1.00)</f>
        <v/>
      </c>
      <c r="T9211">
        <f>LET(
    payment_method,'Loan Tape (S&amp;P)'!P9211,
    occupancy,'Loan Tape (S&amp;P)'!N9211,
    maturity_date,'Loan Tape (S&amp;P)'!L9211,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12">
      <c r="J9212">
        <f>LET(
    lien,'Loan Tape (S&amp;P)'!Q9212,
    IF(lien="First",1.00,
        IF(lien="Second",1.50,
            1.70)))</f>
        <v/>
      </c>
      <c r="K9212">
        <f>LET(
    purpose,'Loan Tape (S&amp;P)'!R9212,
    IF(purpose="Purchase",1.00,
        IF(purpose="Remortgage",1.00,
            1.20)))</f>
        <v/>
      </c>
      <c r="L9212">
        <f>LET(
    arrears_months,'Loan Tape (S&amp;P)'!AN9212,
    IF(arrears_months=0,1.00,
    IF(arrears_months=1,3.00,
    IF(arrears_months=2,5.00,
    IF(arrears_months=3,8.00,
    IF(arrears_months=4,10.00,
    IF(arrears_months=5,12.00,15.00)))))))</f>
        <v/>
      </c>
      <c r="M9212">
        <f>LET(
    seasoning_years,DATEDIF('Loan Tape (S&amp;P)'!K9212,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12">
        <f>IF(AND('Loan Tape (S&amp;P)'!U9212="Yes",
        'Loan Tape (S&amp;P)'!T9212&lt;&gt;"Yes",
        DATEDIF('Loan Tape (S&amp;P)'!K9212, TODAY(), "M")&lt;18),
    1.10,
    1.00)</f>
        <v/>
      </c>
      <c r="O9212">
        <f>IF('Loan Tape (S&amp;P)'!T9212="Yes",
    1.35,
    1.00)</f>
        <v/>
      </c>
      <c r="P9212">
        <f>IF('Loan Tape (S&amp;P)'!S9212="Yes",
    1.15,
    1.00)</f>
        <v/>
      </c>
      <c r="Q9212">
        <f>IF('Loan Tape (S&amp;P)'!V9212="Yes",
    1.20,
    1.00)</f>
        <v/>
      </c>
      <c r="T9212">
        <f>LET(
    payment_method,'Loan Tape (S&amp;P)'!P9212,
    occupancy,'Loan Tape (S&amp;P)'!N9212,
    maturity_date,'Loan Tape (S&amp;P)'!L9212,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13">
      <c r="J9213">
        <f>LET(
    lien,'Loan Tape (S&amp;P)'!Q9213,
    IF(lien="First",1.00,
        IF(lien="Second",1.50,
            1.70)))</f>
        <v/>
      </c>
      <c r="K9213">
        <f>LET(
    purpose,'Loan Tape (S&amp;P)'!R9213,
    IF(purpose="Purchase",1.00,
        IF(purpose="Remortgage",1.00,
            1.20)))</f>
        <v/>
      </c>
      <c r="L9213">
        <f>LET(
    arrears_months,'Loan Tape (S&amp;P)'!AN9213,
    IF(arrears_months=0,1.00,
    IF(arrears_months=1,3.00,
    IF(arrears_months=2,5.00,
    IF(arrears_months=3,8.00,
    IF(arrears_months=4,10.00,
    IF(arrears_months=5,12.00,15.00)))))))</f>
        <v/>
      </c>
      <c r="M9213">
        <f>LET(
    seasoning_years,DATEDIF('Loan Tape (S&amp;P)'!K9213,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13">
        <f>IF(AND('Loan Tape (S&amp;P)'!U9213="Yes",
        'Loan Tape (S&amp;P)'!T9213&lt;&gt;"Yes",
        DATEDIF('Loan Tape (S&amp;P)'!K9213, TODAY(), "M")&lt;18),
    1.10,
    1.00)</f>
        <v/>
      </c>
      <c r="O9213">
        <f>IF('Loan Tape (S&amp;P)'!T9213="Yes",
    1.35,
    1.00)</f>
        <v/>
      </c>
      <c r="P9213">
        <f>IF('Loan Tape (S&amp;P)'!S9213="Yes",
    1.15,
    1.00)</f>
        <v/>
      </c>
      <c r="Q9213">
        <f>IF('Loan Tape (S&amp;P)'!V9213="Yes",
    1.20,
    1.00)</f>
        <v/>
      </c>
      <c r="T9213">
        <f>LET(
    payment_method,'Loan Tape (S&amp;P)'!P9213,
    occupancy,'Loan Tape (S&amp;P)'!N9213,
    maturity_date,'Loan Tape (S&amp;P)'!L9213,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14">
      <c r="J9214">
        <f>LET(
    lien,'Loan Tape (S&amp;P)'!Q9214,
    IF(lien="First",1.00,
        IF(lien="Second",1.50,
            1.70)))</f>
        <v/>
      </c>
      <c r="K9214">
        <f>LET(
    purpose,'Loan Tape (S&amp;P)'!R9214,
    IF(purpose="Purchase",1.00,
        IF(purpose="Remortgage",1.00,
            1.20)))</f>
        <v/>
      </c>
      <c r="L9214">
        <f>LET(
    arrears_months,'Loan Tape (S&amp;P)'!AN9214,
    IF(arrears_months=0,1.00,
    IF(arrears_months=1,3.00,
    IF(arrears_months=2,5.00,
    IF(arrears_months=3,8.00,
    IF(arrears_months=4,10.00,
    IF(arrears_months=5,12.00,15.00)))))))</f>
        <v/>
      </c>
      <c r="M9214">
        <f>LET(
    seasoning_years,DATEDIF('Loan Tape (S&amp;P)'!K9214,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14">
        <f>IF(AND('Loan Tape (S&amp;P)'!U9214="Yes",
        'Loan Tape (S&amp;P)'!T9214&lt;&gt;"Yes",
        DATEDIF('Loan Tape (S&amp;P)'!K9214, TODAY(), "M")&lt;18),
    1.10,
    1.00)</f>
        <v/>
      </c>
      <c r="O9214">
        <f>IF('Loan Tape (S&amp;P)'!T9214="Yes",
    1.35,
    1.00)</f>
        <v/>
      </c>
      <c r="P9214">
        <f>IF('Loan Tape (S&amp;P)'!S9214="Yes",
    1.15,
    1.00)</f>
        <v/>
      </c>
      <c r="Q9214">
        <f>IF('Loan Tape (S&amp;P)'!V9214="Yes",
    1.20,
    1.00)</f>
        <v/>
      </c>
      <c r="T9214">
        <f>LET(
    payment_method,'Loan Tape (S&amp;P)'!P9214,
    occupancy,'Loan Tape (S&amp;P)'!N9214,
    maturity_date,'Loan Tape (S&amp;P)'!L9214,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15">
      <c r="J9215">
        <f>LET(
    lien,'Loan Tape (S&amp;P)'!Q9215,
    IF(lien="First",1.00,
        IF(lien="Second",1.50,
            1.70)))</f>
        <v/>
      </c>
      <c r="K9215">
        <f>LET(
    purpose,'Loan Tape (S&amp;P)'!R9215,
    IF(purpose="Purchase",1.00,
        IF(purpose="Remortgage",1.00,
            1.20)))</f>
        <v/>
      </c>
      <c r="L9215">
        <f>LET(
    arrears_months,'Loan Tape (S&amp;P)'!AN9215,
    IF(arrears_months=0,1.00,
    IF(arrears_months=1,3.00,
    IF(arrears_months=2,5.00,
    IF(arrears_months=3,8.00,
    IF(arrears_months=4,10.00,
    IF(arrears_months=5,12.00,15.00)))))))</f>
        <v/>
      </c>
      <c r="M9215">
        <f>LET(
    seasoning_years,DATEDIF('Loan Tape (S&amp;P)'!K9215,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15">
        <f>IF(AND('Loan Tape (S&amp;P)'!U9215="Yes",
        'Loan Tape (S&amp;P)'!T9215&lt;&gt;"Yes",
        DATEDIF('Loan Tape (S&amp;P)'!K9215, TODAY(), "M")&lt;18),
    1.10,
    1.00)</f>
        <v/>
      </c>
      <c r="O9215">
        <f>IF('Loan Tape (S&amp;P)'!T9215="Yes",
    1.35,
    1.00)</f>
        <v/>
      </c>
      <c r="P9215">
        <f>IF('Loan Tape (S&amp;P)'!S9215="Yes",
    1.15,
    1.00)</f>
        <v/>
      </c>
      <c r="Q9215">
        <f>IF('Loan Tape (S&amp;P)'!V9215="Yes",
    1.20,
    1.00)</f>
        <v/>
      </c>
      <c r="T9215">
        <f>LET(
    payment_method,'Loan Tape (S&amp;P)'!P9215,
    occupancy,'Loan Tape (S&amp;P)'!N9215,
    maturity_date,'Loan Tape (S&amp;P)'!L9215,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16">
      <c r="J9216">
        <f>LET(
    lien,'Loan Tape (S&amp;P)'!Q9216,
    IF(lien="First",1.00,
        IF(lien="Second",1.50,
            1.70)))</f>
        <v/>
      </c>
      <c r="K9216">
        <f>LET(
    purpose,'Loan Tape (S&amp;P)'!R9216,
    IF(purpose="Purchase",1.00,
        IF(purpose="Remortgage",1.00,
            1.20)))</f>
        <v/>
      </c>
      <c r="L9216">
        <f>LET(
    arrears_months,'Loan Tape (S&amp;P)'!AN9216,
    IF(arrears_months=0,1.00,
    IF(arrears_months=1,3.00,
    IF(arrears_months=2,5.00,
    IF(arrears_months=3,8.00,
    IF(arrears_months=4,10.00,
    IF(arrears_months=5,12.00,15.00)))))))</f>
        <v/>
      </c>
      <c r="M9216">
        <f>LET(
    seasoning_years,DATEDIF('Loan Tape (S&amp;P)'!K9216,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16">
        <f>IF(AND('Loan Tape (S&amp;P)'!U9216="Yes",
        'Loan Tape (S&amp;P)'!T9216&lt;&gt;"Yes",
        DATEDIF('Loan Tape (S&amp;P)'!K9216, TODAY(), "M")&lt;18),
    1.10,
    1.00)</f>
        <v/>
      </c>
      <c r="O9216">
        <f>IF('Loan Tape (S&amp;P)'!T9216="Yes",
    1.35,
    1.00)</f>
        <v/>
      </c>
      <c r="P9216">
        <f>IF('Loan Tape (S&amp;P)'!S9216="Yes",
    1.15,
    1.00)</f>
        <v/>
      </c>
      <c r="Q9216">
        <f>IF('Loan Tape (S&amp;P)'!V9216="Yes",
    1.20,
    1.00)</f>
        <v/>
      </c>
      <c r="T9216">
        <f>LET(
    payment_method,'Loan Tape (S&amp;P)'!P9216,
    occupancy,'Loan Tape (S&amp;P)'!N9216,
    maturity_date,'Loan Tape (S&amp;P)'!L9216,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17">
      <c r="J9217">
        <f>LET(
    lien,'Loan Tape (S&amp;P)'!Q9217,
    IF(lien="First",1.00,
        IF(lien="Second",1.50,
            1.70)))</f>
        <v/>
      </c>
      <c r="K9217">
        <f>LET(
    purpose,'Loan Tape (S&amp;P)'!R9217,
    IF(purpose="Purchase",1.00,
        IF(purpose="Remortgage",1.00,
            1.20)))</f>
        <v/>
      </c>
      <c r="L9217">
        <f>LET(
    arrears_months,'Loan Tape (S&amp;P)'!AN9217,
    IF(arrears_months=0,1.00,
    IF(arrears_months=1,3.00,
    IF(arrears_months=2,5.00,
    IF(arrears_months=3,8.00,
    IF(arrears_months=4,10.00,
    IF(arrears_months=5,12.00,15.00)))))))</f>
        <v/>
      </c>
      <c r="M9217">
        <f>LET(
    seasoning_years,DATEDIF('Loan Tape (S&amp;P)'!K9217,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17">
        <f>IF(AND('Loan Tape (S&amp;P)'!U9217="Yes",
        'Loan Tape (S&amp;P)'!T9217&lt;&gt;"Yes",
        DATEDIF('Loan Tape (S&amp;P)'!K9217, TODAY(), "M")&lt;18),
    1.10,
    1.00)</f>
        <v/>
      </c>
      <c r="O9217">
        <f>IF('Loan Tape (S&amp;P)'!T9217="Yes",
    1.35,
    1.00)</f>
        <v/>
      </c>
      <c r="P9217">
        <f>IF('Loan Tape (S&amp;P)'!S9217="Yes",
    1.15,
    1.00)</f>
        <v/>
      </c>
      <c r="Q9217">
        <f>IF('Loan Tape (S&amp;P)'!V9217="Yes",
    1.20,
    1.00)</f>
        <v/>
      </c>
      <c r="T9217">
        <f>LET(
    payment_method,'Loan Tape (S&amp;P)'!P9217,
    occupancy,'Loan Tape (S&amp;P)'!N9217,
    maturity_date,'Loan Tape (S&amp;P)'!L9217,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18">
      <c r="J9218">
        <f>LET(
    lien,'Loan Tape (S&amp;P)'!Q9218,
    IF(lien="First",1.00,
        IF(lien="Second",1.50,
            1.70)))</f>
        <v/>
      </c>
      <c r="K9218">
        <f>LET(
    purpose,'Loan Tape (S&amp;P)'!R9218,
    IF(purpose="Purchase",1.00,
        IF(purpose="Remortgage",1.00,
            1.20)))</f>
        <v/>
      </c>
      <c r="L9218">
        <f>LET(
    arrears_months,'Loan Tape (S&amp;P)'!AN9218,
    IF(arrears_months=0,1.00,
    IF(arrears_months=1,3.00,
    IF(arrears_months=2,5.00,
    IF(arrears_months=3,8.00,
    IF(arrears_months=4,10.00,
    IF(arrears_months=5,12.00,15.00)))))))</f>
        <v/>
      </c>
      <c r="M9218">
        <f>LET(
    seasoning_years,DATEDIF('Loan Tape (S&amp;P)'!K9218,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18">
        <f>IF(AND('Loan Tape (S&amp;P)'!U9218="Yes",
        'Loan Tape (S&amp;P)'!T9218&lt;&gt;"Yes",
        DATEDIF('Loan Tape (S&amp;P)'!K9218, TODAY(), "M")&lt;18),
    1.10,
    1.00)</f>
        <v/>
      </c>
      <c r="O9218">
        <f>IF('Loan Tape (S&amp;P)'!T9218="Yes",
    1.35,
    1.00)</f>
        <v/>
      </c>
      <c r="P9218">
        <f>IF('Loan Tape (S&amp;P)'!S9218="Yes",
    1.15,
    1.00)</f>
        <v/>
      </c>
      <c r="Q9218">
        <f>IF('Loan Tape (S&amp;P)'!V9218="Yes",
    1.20,
    1.00)</f>
        <v/>
      </c>
      <c r="T9218">
        <f>LET(
    payment_method,'Loan Tape (S&amp;P)'!P9218,
    occupancy,'Loan Tape (S&amp;P)'!N9218,
    maturity_date,'Loan Tape (S&amp;P)'!L9218,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19">
      <c r="J9219">
        <f>LET(
    lien,'Loan Tape (S&amp;P)'!Q9219,
    IF(lien="First",1.00,
        IF(lien="Second",1.50,
            1.70)))</f>
        <v/>
      </c>
      <c r="K9219">
        <f>LET(
    purpose,'Loan Tape (S&amp;P)'!R9219,
    IF(purpose="Purchase",1.00,
        IF(purpose="Remortgage",1.00,
            1.20)))</f>
        <v/>
      </c>
      <c r="L9219">
        <f>LET(
    arrears_months,'Loan Tape (S&amp;P)'!AN9219,
    IF(arrears_months=0,1.00,
    IF(arrears_months=1,3.00,
    IF(arrears_months=2,5.00,
    IF(arrears_months=3,8.00,
    IF(arrears_months=4,10.00,
    IF(arrears_months=5,12.00,15.00)))))))</f>
        <v/>
      </c>
      <c r="M9219">
        <f>LET(
    seasoning_years,DATEDIF('Loan Tape (S&amp;P)'!K9219,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19">
        <f>IF(AND('Loan Tape (S&amp;P)'!U9219="Yes",
        'Loan Tape (S&amp;P)'!T9219&lt;&gt;"Yes",
        DATEDIF('Loan Tape (S&amp;P)'!K9219, TODAY(), "M")&lt;18),
    1.10,
    1.00)</f>
        <v/>
      </c>
      <c r="O9219">
        <f>IF('Loan Tape (S&amp;P)'!T9219="Yes",
    1.35,
    1.00)</f>
        <v/>
      </c>
      <c r="P9219">
        <f>IF('Loan Tape (S&amp;P)'!S9219="Yes",
    1.15,
    1.00)</f>
        <v/>
      </c>
      <c r="Q9219">
        <f>IF('Loan Tape (S&amp;P)'!V9219="Yes",
    1.20,
    1.00)</f>
        <v/>
      </c>
      <c r="T9219">
        <f>LET(
    payment_method,'Loan Tape (S&amp;P)'!P9219,
    occupancy,'Loan Tape (S&amp;P)'!N9219,
    maturity_date,'Loan Tape (S&amp;P)'!L9219,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20">
      <c r="J9220">
        <f>LET(
    lien,'Loan Tape (S&amp;P)'!Q9220,
    IF(lien="First",1.00,
        IF(lien="Second",1.50,
            1.70)))</f>
        <v/>
      </c>
      <c r="K9220">
        <f>LET(
    purpose,'Loan Tape (S&amp;P)'!R9220,
    IF(purpose="Purchase",1.00,
        IF(purpose="Remortgage",1.00,
            1.20)))</f>
        <v/>
      </c>
      <c r="L9220">
        <f>LET(
    arrears_months,'Loan Tape (S&amp;P)'!AN9220,
    IF(arrears_months=0,1.00,
    IF(arrears_months=1,3.00,
    IF(arrears_months=2,5.00,
    IF(arrears_months=3,8.00,
    IF(arrears_months=4,10.00,
    IF(arrears_months=5,12.00,15.00)))))))</f>
        <v/>
      </c>
      <c r="M9220">
        <f>LET(
    seasoning_years,DATEDIF('Loan Tape (S&amp;P)'!K9220,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20">
        <f>IF(AND('Loan Tape (S&amp;P)'!U9220="Yes",
        'Loan Tape (S&amp;P)'!T9220&lt;&gt;"Yes",
        DATEDIF('Loan Tape (S&amp;P)'!K9220, TODAY(), "M")&lt;18),
    1.10,
    1.00)</f>
        <v/>
      </c>
      <c r="O9220">
        <f>IF('Loan Tape (S&amp;P)'!T9220="Yes",
    1.35,
    1.00)</f>
        <v/>
      </c>
      <c r="P9220">
        <f>IF('Loan Tape (S&amp;P)'!S9220="Yes",
    1.15,
    1.00)</f>
        <v/>
      </c>
      <c r="Q9220">
        <f>IF('Loan Tape (S&amp;P)'!V9220="Yes",
    1.20,
    1.00)</f>
        <v/>
      </c>
      <c r="T9220">
        <f>LET(
    payment_method,'Loan Tape (S&amp;P)'!P9220,
    occupancy,'Loan Tape (S&amp;P)'!N9220,
    maturity_date,'Loan Tape (S&amp;P)'!L9220,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21">
      <c r="J9221">
        <f>LET(
    lien,'Loan Tape (S&amp;P)'!Q9221,
    IF(lien="First",1.00,
        IF(lien="Second",1.50,
            1.70)))</f>
        <v/>
      </c>
      <c r="K9221">
        <f>LET(
    purpose,'Loan Tape (S&amp;P)'!R9221,
    IF(purpose="Purchase",1.00,
        IF(purpose="Remortgage",1.00,
            1.20)))</f>
        <v/>
      </c>
      <c r="L9221">
        <f>LET(
    arrears_months,'Loan Tape (S&amp;P)'!AN9221,
    IF(arrears_months=0,1.00,
    IF(arrears_months=1,3.00,
    IF(arrears_months=2,5.00,
    IF(arrears_months=3,8.00,
    IF(arrears_months=4,10.00,
    IF(arrears_months=5,12.00,15.00)))))))</f>
        <v/>
      </c>
      <c r="M9221">
        <f>LET(
    seasoning_years,DATEDIF('Loan Tape (S&amp;P)'!K9221,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21">
        <f>IF(AND('Loan Tape (S&amp;P)'!U9221="Yes",
        'Loan Tape (S&amp;P)'!T9221&lt;&gt;"Yes",
        DATEDIF('Loan Tape (S&amp;P)'!K9221, TODAY(), "M")&lt;18),
    1.10,
    1.00)</f>
        <v/>
      </c>
      <c r="O9221">
        <f>IF('Loan Tape (S&amp;P)'!T9221="Yes",
    1.35,
    1.00)</f>
        <v/>
      </c>
      <c r="P9221">
        <f>IF('Loan Tape (S&amp;P)'!S9221="Yes",
    1.15,
    1.00)</f>
        <v/>
      </c>
      <c r="Q9221">
        <f>IF('Loan Tape (S&amp;P)'!V9221="Yes",
    1.20,
    1.00)</f>
        <v/>
      </c>
      <c r="T9221">
        <f>LET(
    payment_method,'Loan Tape (S&amp;P)'!P9221,
    occupancy,'Loan Tape (S&amp;P)'!N9221,
    maturity_date,'Loan Tape (S&amp;P)'!L9221,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22">
      <c r="J9222">
        <f>LET(
    lien,'Loan Tape (S&amp;P)'!Q9222,
    IF(lien="First",1.00,
        IF(lien="Second",1.50,
            1.70)))</f>
        <v/>
      </c>
      <c r="K9222">
        <f>LET(
    purpose,'Loan Tape (S&amp;P)'!R9222,
    IF(purpose="Purchase",1.00,
        IF(purpose="Remortgage",1.00,
            1.20)))</f>
        <v/>
      </c>
      <c r="L9222">
        <f>LET(
    arrears_months,'Loan Tape (S&amp;P)'!AN9222,
    IF(arrears_months=0,1.00,
    IF(arrears_months=1,3.00,
    IF(arrears_months=2,5.00,
    IF(arrears_months=3,8.00,
    IF(arrears_months=4,10.00,
    IF(arrears_months=5,12.00,15.00)))))))</f>
        <v/>
      </c>
      <c r="M9222">
        <f>LET(
    seasoning_years,DATEDIF('Loan Tape (S&amp;P)'!K9222,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22">
        <f>IF(AND('Loan Tape (S&amp;P)'!U9222="Yes",
        'Loan Tape (S&amp;P)'!T9222&lt;&gt;"Yes",
        DATEDIF('Loan Tape (S&amp;P)'!K9222, TODAY(), "M")&lt;18),
    1.10,
    1.00)</f>
        <v/>
      </c>
      <c r="O9222">
        <f>IF('Loan Tape (S&amp;P)'!T9222="Yes",
    1.35,
    1.00)</f>
        <v/>
      </c>
      <c r="P9222">
        <f>IF('Loan Tape (S&amp;P)'!S9222="Yes",
    1.15,
    1.00)</f>
        <v/>
      </c>
      <c r="Q9222">
        <f>IF('Loan Tape (S&amp;P)'!V9222="Yes",
    1.20,
    1.00)</f>
        <v/>
      </c>
      <c r="T9222">
        <f>LET(
    payment_method,'Loan Tape (S&amp;P)'!P9222,
    occupancy,'Loan Tape (S&amp;P)'!N9222,
    maturity_date,'Loan Tape (S&amp;P)'!L9222,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23">
      <c r="J9223">
        <f>LET(
    lien,'Loan Tape (S&amp;P)'!Q9223,
    IF(lien="First",1.00,
        IF(lien="Second",1.50,
            1.70)))</f>
        <v/>
      </c>
      <c r="K9223">
        <f>LET(
    purpose,'Loan Tape (S&amp;P)'!R9223,
    IF(purpose="Purchase",1.00,
        IF(purpose="Remortgage",1.00,
            1.20)))</f>
        <v/>
      </c>
      <c r="L9223">
        <f>LET(
    arrears_months,'Loan Tape (S&amp;P)'!AN9223,
    IF(arrears_months=0,1.00,
    IF(arrears_months=1,3.00,
    IF(arrears_months=2,5.00,
    IF(arrears_months=3,8.00,
    IF(arrears_months=4,10.00,
    IF(arrears_months=5,12.00,15.00)))))))</f>
        <v/>
      </c>
      <c r="M9223">
        <f>LET(
    seasoning_years,DATEDIF('Loan Tape (S&amp;P)'!K9223,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23">
        <f>IF(AND('Loan Tape (S&amp;P)'!U9223="Yes",
        'Loan Tape (S&amp;P)'!T9223&lt;&gt;"Yes",
        DATEDIF('Loan Tape (S&amp;P)'!K9223, TODAY(), "M")&lt;18),
    1.10,
    1.00)</f>
        <v/>
      </c>
      <c r="O9223">
        <f>IF('Loan Tape (S&amp;P)'!T9223="Yes",
    1.35,
    1.00)</f>
        <v/>
      </c>
      <c r="P9223">
        <f>IF('Loan Tape (S&amp;P)'!S9223="Yes",
    1.15,
    1.00)</f>
        <v/>
      </c>
      <c r="Q9223">
        <f>IF('Loan Tape (S&amp;P)'!V9223="Yes",
    1.20,
    1.00)</f>
        <v/>
      </c>
      <c r="T9223">
        <f>LET(
    payment_method,'Loan Tape (S&amp;P)'!P9223,
    occupancy,'Loan Tape (S&amp;P)'!N9223,
    maturity_date,'Loan Tape (S&amp;P)'!L9223,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24">
      <c r="J9224">
        <f>LET(
    lien,'Loan Tape (S&amp;P)'!Q9224,
    IF(lien="First",1.00,
        IF(lien="Second",1.50,
            1.70)))</f>
        <v/>
      </c>
      <c r="K9224">
        <f>LET(
    purpose,'Loan Tape (S&amp;P)'!R9224,
    IF(purpose="Purchase",1.00,
        IF(purpose="Remortgage",1.00,
            1.20)))</f>
        <v/>
      </c>
      <c r="L9224">
        <f>LET(
    arrears_months,'Loan Tape (S&amp;P)'!AN9224,
    IF(arrears_months=0,1.00,
    IF(arrears_months=1,3.00,
    IF(arrears_months=2,5.00,
    IF(arrears_months=3,8.00,
    IF(arrears_months=4,10.00,
    IF(arrears_months=5,12.00,15.00)))))))</f>
        <v/>
      </c>
      <c r="M9224">
        <f>LET(
    seasoning_years,DATEDIF('Loan Tape (S&amp;P)'!K9224,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24">
        <f>IF(AND('Loan Tape (S&amp;P)'!U9224="Yes",
        'Loan Tape (S&amp;P)'!T9224&lt;&gt;"Yes",
        DATEDIF('Loan Tape (S&amp;P)'!K9224, TODAY(), "M")&lt;18),
    1.10,
    1.00)</f>
        <v/>
      </c>
      <c r="O9224">
        <f>IF('Loan Tape (S&amp;P)'!T9224="Yes",
    1.35,
    1.00)</f>
        <v/>
      </c>
      <c r="P9224">
        <f>IF('Loan Tape (S&amp;P)'!S9224="Yes",
    1.15,
    1.00)</f>
        <v/>
      </c>
      <c r="Q9224">
        <f>IF('Loan Tape (S&amp;P)'!V9224="Yes",
    1.20,
    1.00)</f>
        <v/>
      </c>
      <c r="T9224">
        <f>LET(
    payment_method,'Loan Tape (S&amp;P)'!P9224,
    occupancy,'Loan Tape (S&amp;P)'!N9224,
    maturity_date,'Loan Tape (S&amp;P)'!L9224,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25">
      <c r="J9225">
        <f>LET(
    lien,'Loan Tape (S&amp;P)'!Q9225,
    IF(lien="First",1.00,
        IF(lien="Second",1.50,
            1.70)))</f>
        <v/>
      </c>
      <c r="K9225">
        <f>LET(
    purpose,'Loan Tape (S&amp;P)'!R9225,
    IF(purpose="Purchase",1.00,
        IF(purpose="Remortgage",1.00,
            1.20)))</f>
        <v/>
      </c>
      <c r="L9225">
        <f>LET(
    arrears_months,'Loan Tape (S&amp;P)'!AN9225,
    IF(arrears_months=0,1.00,
    IF(arrears_months=1,3.00,
    IF(arrears_months=2,5.00,
    IF(arrears_months=3,8.00,
    IF(arrears_months=4,10.00,
    IF(arrears_months=5,12.00,15.00)))))))</f>
        <v/>
      </c>
      <c r="M9225">
        <f>LET(
    seasoning_years,DATEDIF('Loan Tape (S&amp;P)'!K9225,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25">
        <f>IF(AND('Loan Tape (S&amp;P)'!U9225="Yes",
        'Loan Tape (S&amp;P)'!T9225&lt;&gt;"Yes",
        DATEDIF('Loan Tape (S&amp;P)'!K9225, TODAY(), "M")&lt;18),
    1.10,
    1.00)</f>
        <v/>
      </c>
      <c r="O9225">
        <f>IF('Loan Tape (S&amp;P)'!T9225="Yes",
    1.35,
    1.00)</f>
        <v/>
      </c>
      <c r="P9225">
        <f>IF('Loan Tape (S&amp;P)'!S9225="Yes",
    1.15,
    1.00)</f>
        <v/>
      </c>
      <c r="Q9225">
        <f>IF('Loan Tape (S&amp;P)'!V9225="Yes",
    1.20,
    1.00)</f>
        <v/>
      </c>
      <c r="T9225">
        <f>LET(
    payment_method,'Loan Tape (S&amp;P)'!P9225,
    occupancy,'Loan Tape (S&amp;P)'!N9225,
    maturity_date,'Loan Tape (S&amp;P)'!L9225,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26">
      <c r="J9226">
        <f>LET(
    lien,'Loan Tape (S&amp;P)'!Q9226,
    IF(lien="First",1.00,
        IF(lien="Second",1.50,
            1.70)))</f>
        <v/>
      </c>
      <c r="K9226">
        <f>LET(
    purpose,'Loan Tape (S&amp;P)'!R9226,
    IF(purpose="Purchase",1.00,
        IF(purpose="Remortgage",1.00,
            1.20)))</f>
        <v/>
      </c>
      <c r="L9226">
        <f>LET(
    arrears_months,'Loan Tape (S&amp;P)'!AN9226,
    IF(arrears_months=0,1.00,
    IF(arrears_months=1,3.00,
    IF(arrears_months=2,5.00,
    IF(arrears_months=3,8.00,
    IF(arrears_months=4,10.00,
    IF(arrears_months=5,12.00,15.00)))))))</f>
        <v/>
      </c>
      <c r="M9226">
        <f>LET(
    seasoning_years,DATEDIF('Loan Tape (S&amp;P)'!K9226,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26">
        <f>IF(AND('Loan Tape (S&amp;P)'!U9226="Yes",
        'Loan Tape (S&amp;P)'!T9226&lt;&gt;"Yes",
        DATEDIF('Loan Tape (S&amp;P)'!K9226, TODAY(), "M")&lt;18),
    1.10,
    1.00)</f>
        <v/>
      </c>
      <c r="O9226">
        <f>IF('Loan Tape (S&amp;P)'!T9226="Yes",
    1.35,
    1.00)</f>
        <v/>
      </c>
      <c r="P9226">
        <f>IF('Loan Tape (S&amp;P)'!S9226="Yes",
    1.15,
    1.00)</f>
        <v/>
      </c>
      <c r="Q9226">
        <f>IF('Loan Tape (S&amp;P)'!V9226="Yes",
    1.20,
    1.00)</f>
        <v/>
      </c>
      <c r="T9226">
        <f>LET(
    payment_method,'Loan Tape (S&amp;P)'!P9226,
    occupancy,'Loan Tape (S&amp;P)'!N9226,
    maturity_date,'Loan Tape (S&amp;P)'!L9226,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27">
      <c r="J9227">
        <f>LET(
    lien,'Loan Tape (S&amp;P)'!Q9227,
    IF(lien="First",1.00,
        IF(lien="Second",1.50,
            1.70)))</f>
        <v/>
      </c>
      <c r="K9227">
        <f>LET(
    purpose,'Loan Tape (S&amp;P)'!R9227,
    IF(purpose="Purchase",1.00,
        IF(purpose="Remortgage",1.00,
            1.20)))</f>
        <v/>
      </c>
      <c r="L9227">
        <f>LET(
    arrears_months,'Loan Tape (S&amp;P)'!AN9227,
    IF(arrears_months=0,1.00,
    IF(arrears_months=1,3.00,
    IF(arrears_months=2,5.00,
    IF(arrears_months=3,8.00,
    IF(arrears_months=4,10.00,
    IF(arrears_months=5,12.00,15.00)))))))</f>
        <v/>
      </c>
      <c r="M9227">
        <f>LET(
    seasoning_years,DATEDIF('Loan Tape (S&amp;P)'!K9227,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27">
        <f>IF(AND('Loan Tape (S&amp;P)'!U9227="Yes",
        'Loan Tape (S&amp;P)'!T9227&lt;&gt;"Yes",
        DATEDIF('Loan Tape (S&amp;P)'!K9227, TODAY(), "M")&lt;18),
    1.10,
    1.00)</f>
        <v/>
      </c>
      <c r="O9227">
        <f>IF('Loan Tape (S&amp;P)'!T9227="Yes",
    1.35,
    1.00)</f>
        <v/>
      </c>
      <c r="P9227">
        <f>IF('Loan Tape (S&amp;P)'!S9227="Yes",
    1.15,
    1.00)</f>
        <v/>
      </c>
      <c r="Q9227">
        <f>IF('Loan Tape (S&amp;P)'!V9227="Yes",
    1.20,
    1.00)</f>
        <v/>
      </c>
      <c r="T9227">
        <f>LET(
    payment_method,'Loan Tape (S&amp;P)'!P9227,
    occupancy,'Loan Tape (S&amp;P)'!N9227,
    maturity_date,'Loan Tape (S&amp;P)'!L9227,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28">
      <c r="J9228">
        <f>LET(
    lien,'Loan Tape (S&amp;P)'!Q9228,
    IF(lien="First",1.00,
        IF(lien="Second",1.50,
            1.70)))</f>
        <v/>
      </c>
      <c r="K9228">
        <f>LET(
    purpose,'Loan Tape (S&amp;P)'!R9228,
    IF(purpose="Purchase",1.00,
        IF(purpose="Remortgage",1.00,
            1.20)))</f>
        <v/>
      </c>
      <c r="L9228">
        <f>LET(
    arrears_months,'Loan Tape (S&amp;P)'!AN9228,
    IF(arrears_months=0,1.00,
    IF(arrears_months=1,3.00,
    IF(arrears_months=2,5.00,
    IF(arrears_months=3,8.00,
    IF(arrears_months=4,10.00,
    IF(arrears_months=5,12.00,15.00)))))))</f>
        <v/>
      </c>
      <c r="M9228">
        <f>LET(
    seasoning_years,DATEDIF('Loan Tape (S&amp;P)'!K9228,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28">
        <f>IF(AND('Loan Tape (S&amp;P)'!U9228="Yes",
        'Loan Tape (S&amp;P)'!T9228&lt;&gt;"Yes",
        DATEDIF('Loan Tape (S&amp;P)'!K9228, TODAY(), "M")&lt;18),
    1.10,
    1.00)</f>
        <v/>
      </c>
      <c r="O9228">
        <f>IF('Loan Tape (S&amp;P)'!T9228="Yes",
    1.35,
    1.00)</f>
        <v/>
      </c>
      <c r="P9228">
        <f>IF('Loan Tape (S&amp;P)'!S9228="Yes",
    1.15,
    1.00)</f>
        <v/>
      </c>
      <c r="Q9228">
        <f>IF('Loan Tape (S&amp;P)'!V9228="Yes",
    1.20,
    1.00)</f>
        <v/>
      </c>
      <c r="T9228">
        <f>LET(
    payment_method,'Loan Tape (S&amp;P)'!P9228,
    occupancy,'Loan Tape (S&amp;P)'!N9228,
    maturity_date,'Loan Tape (S&amp;P)'!L9228,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29">
      <c r="J9229">
        <f>LET(
    lien,'Loan Tape (S&amp;P)'!Q9229,
    IF(lien="First",1.00,
        IF(lien="Second",1.50,
            1.70)))</f>
        <v/>
      </c>
      <c r="K9229">
        <f>LET(
    purpose,'Loan Tape (S&amp;P)'!R9229,
    IF(purpose="Purchase",1.00,
        IF(purpose="Remortgage",1.00,
            1.20)))</f>
        <v/>
      </c>
      <c r="L9229">
        <f>LET(
    arrears_months,'Loan Tape (S&amp;P)'!AN9229,
    IF(arrears_months=0,1.00,
    IF(arrears_months=1,3.00,
    IF(arrears_months=2,5.00,
    IF(arrears_months=3,8.00,
    IF(arrears_months=4,10.00,
    IF(arrears_months=5,12.00,15.00)))))))</f>
        <v/>
      </c>
      <c r="M9229">
        <f>LET(
    seasoning_years,DATEDIF('Loan Tape (S&amp;P)'!K9229,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29">
        <f>IF(AND('Loan Tape (S&amp;P)'!U9229="Yes",
        'Loan Tape (S&amp;P)'!T9229&lt;&gt;"Yes",
        DATEDIF('Loan Tape (S&amp;P)'!K9229, TODAY(), "M")&lt;18),
    1.10,
    1.00)</f>
        <v/>
      </c>
      <c r="O9229">
        <f>IF('Loan Tape (S&amp;P)'!T9229="Yes",
    1.35,
    1.00)</f>
        <v/>
      </c>
      <c r="P9229">
        <f>IF('Loan Tape (S&amp;P)'!S9229="Yes",
    1.15,
    1.00)</f>
        <v/>
      </c>
      <c r="Q9229">
        <f>IF('Loan Tape (S&amp;P)'!V9229="Yes",
    1.20,
    1.00)</f>
        <v/>
      </c>
      <c r="T9229">
        <f>LET(
    payment_method,'Loan Tape (S&amp;P)'!P9229,
    occupancy,'Loan Tape (S&amp;P)'!N9229,
    maturity_date,'Loan Tape (S&amp;P)'!L9229,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30">
      <c r="J9230">
        <f>LET(
    lien,'Loan Tape (S&amp;P)'!Q9230,
    IF(lien="First",1.00,
        IF(lien="Second",1.50,
            1.70)))</f>
        <v/>
      </c>
      <c r="K9230">
        <f>LET(
    purpose,'Loan Tape (S&amp;P)'!R9230,
    IF(purpose="Purchase",1.00,
        IF(purpose="Remortgage",1.00,
            1.20)))</f>
        <v/>
      </c>
      <c r="L9230">
        <f>LET(
    arrears_months,'Loan Tape (S&amp;P)'!AN9230,
    IF(arrears_months=0,1.00,
    IF(arrears_months=1,3.00,
    IF(arrears_months=2,5.00,
    IF(arrears_months=3,8.00,
    IF(arrears_months=4,10.00,
    IF(arrears_months=5,12.00,15.00)))))))</f>
        <v/>
      </c>
      <c r="M9230">
        <f>LET(
    seasoning_years,DATEDIF('Loan Tape (S&amp;P)'!K9230,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30">
        <f>IF(AND('Loan Tape (S&amp;P)'!U9230="Yes",
        'Loan Tape (S&amp;P)'!T9230&lt;&gt;"Yes",
        DATEDIF('Loan Tape (S&amp;P)'!K9230, TODAY(), "M")&lt;18),
    1.10,
    1.00)</f>
        <v/>
      </c>
      <c r="O9230">
        <f>IF('Loan Tape (S&amp;P)'!T9230="Yes",
    1.35,
    1.00)</f>
        <v/>
      </c>
      <c r="P9230">
        <f>IF('Loan Tape (S&amp;P)'!S9230="Yes",
    1.15,
    1.00)</f>
        <v/>
      </c>
      <c r="Q9230">
        <f>IF('Loan Tape (S&amp;P)'!V9230="Yes",
    1.20,
    1.00)</f>
        <v/>
      </c>
      <c r="T9230">
        <f>LET(
    payment_method,'Loan Tape (S&amp;P)'!P9230,
    occupancy,'Loan Tape (S&amp;P)'!N9230,
    maturity_date,'Loan Tape (S&amp;P)'!L9230,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31">
      <c r="J9231">
        <f>LET(
    lien,'Loan Tape (S&amp;P)'!Q9231,
    IF(lien="First",1.00,
        IF(lien="Second",1.50,
            1.70)))</f>
        <v/>
      </c>
      <c r="K9231">
        <f>LET(
    purpose,'Loan Tape (S&amp;P)'!R9231,
    IF(purpose="Purchase",1.00,
        IF(purpose="Remortgage",1.00,
            1.20)))</f>
        <v/>
      </c>
      <c r="L9231">
        <f>LET(
    arrears_months,'Loan Tape (S&amp;P)'!AN9231,
    IF(arrears_months=0,1.00,
    IF(arrears_months=1,3.00,
    IF(arrears_months=2,5.00,
    IF(arrears_months=3,8.00,
    IF(arrears_months=4,10.00,
    IF(arrears_months=5,12.00,15.00)))))))</f>
        <v/>
      </c>
      <c r="M9231">
        <f>LET(
    seasoning_years,DATEDIF('Loan Tape (S&amp;P)'!K9231,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31">
        <f>IF(AND('Loan Tape (S&amp;P)'!U9231="Yes",
        'Loan Tape (S&amp;P)'!T9231&lt;&gt;"Yes",
        DATEDIF('Loan Tape (S&amp;P)'!K9231, TODAY(), "M")&lt;18),
    1.10,
    1.00)</f>
        <v/>
      </c>
      <c r="O9231">
        <f>IF('Loan Tape (S&amp;P)'!T9231="Yes",
    1.35,
    1.00)</f>
        <v/>
      </c>
      <c r="P9231">
        <f>IF('Loan Tape (S&amp;P)'!S9231="Yes",
    1.15,
    1.00)</f>
        <v/>
      </c>
      <c r="Q9231">
        <f>IF('Loan Tape (S&amp;P)'!V9231="Yes",
    1.20,
    1.00)</f>
        <v/>
      </c>
      <c r="T9231">
        <f>LET(
    payment_method,'Loan Tape (S&amp;P)'!P9231,
    occupancy,'Loan Tape (S&amp;P)'!N9231,
    maturity_date,'Loan Tape (S&amp;P)'!L9231,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32">
      <c r="J9232">
        <f>LET(
    lien,'Loan Tape (S&amp;P)'!Q9232,
    IF(lien="First",1.00,
        IF(lien="Second",1.50,
            1.70)))</f>
        <v/>
      </c>
      <c r="K9232">
        <f>LET(
    purpose,'Loan Tape (S&amp;P)'!R9232,
    IF(purpose="Purchase",1.00,
        IF(purpose="Remortgage",1.00,
            1.20)))</f>
        <v/>
      </c>
      <c r="L9232">
        <f>LET(
    arrears_months,'Loan Tape (S&amp;P)'!AN9232,
    IF(arrears_months=0,1.00,
    IF(arrears_months=1,3.00,
    IF(arrears_months=2,5.00,
    IF(arrears_months=3,8.00,
    IF(arrears_months=4,10.00,
    IF(arrears_months=5,12.00,15.00)))))))</f>
        <v/>
      </c>
      <c r="M9232">
        <f>LET(
    seasoning_years,DATEDIF('Loan Tape (S&amp;P)'!K9232,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32">
        <f>IF(AND('Loan Tape (S&amp;P)'!U9232="Yes",
        'Loan Tape (S&amp;P)'!T9232&lt;&gt;"Yes",
        DATEDIF('Loan Tape (S&amp;P)'!K9232, TODAY(), "M")&lt;18),
    1.10,
    1.00)</f>
        <v/>
      </c>
      <c r="O9232">
        <f>IF('Loan Tape (S&amp;P)'!T9232="Yes",
    1.35,
    1.00)</f>
        <v/>
      </c>
      <c r="P9232">
        <f>IF('Loan Tape (S&amp;P)'!S9232="Yes",
    1.15,
    1.00)</f>
        <v/>
      </c>
      <c r="Q9232">
        <f>IF('Loan Tape (S&amp;P)'!V9232="Yes",
    1.20,
    1.00)</f>
        <v/>
      </c>
      <c r="T9232">
        <f>LET(
    payment_method,'Loan Tape (S&amp;P)'!P9232,
    occupancy,'Loan Tape (S&amp;P)'!N9232,
    maturity_date,'Loan Tape (S&amp;P)'!L9232,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33">
      <c r="J9233">
        <f>LET(
    lien,'Loan Tape (S&amp;P)'!Q9233,
    IF(lien="First",1.00,
        IF(lien="Second",1.50,
            1.70)))</f>
        <v/>
      </c>
      <c r="K9233">
        <f>LET(
    purpose,'Loan Tape (S&amp;P)'!R9233,
    IF(purpose="Purchase",1.00,
        IF(purpose="Remortgage",1.00,
            1.20)))</f>
        <v/>
      </c>
      <c r="L9233">
        <f>LET(
    arrears_months,'Loan Tape (S&amp;P)'!AN9233,
    IF(arrears_months=0,1.00,
    IF(arrears_months=1,3.00,
    IF(arrears_months=2,5.00,
    IF(arrears_months=3,8.00,
    IF(arrears_months=4,10.00,
    IF(arrears_months=5,12.00,15.00)))))))</f>
        <v/>
      </c>
      <c r="M9233">
        <f>LET(
    seasoning_years,DATEDIF('Loan Tape (S&amp;P)'!K9233,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33">
        <f>IF(AND('Loan Tape (S&amp;P)'!U9233="Yes",
        'Loan Tape (S&amp;P)'!T9233&lt;&gt;"Yes",
        DATEDIF('Loan Tape (S&amp;P)'!K9233, TODAY(), "M")&lt;18),
    1.10,
    1.00)</f>
        <v/>
      </c>
      <c r="O9233">
        <f>IF('Loan Tape (S&amp;P)'!T9233="Yes",
    1.35,
    1.00)</f>
        <v/>
      </c>
      <c r="P9233">
        <f>IF('Loan Tape (S&amp;P)'!S9233="Yes",
    1.15,
    1.00)</f>
        <v/>
      </c>
      <c r="Q9233">
        <f>IF('Loan Tape (S&amp;P)'!V9233="Yes",
    1.20,
    1.00)</f>
        <v/>
      </c>
      <c r="T9233">
        <f>LET(
    payment_method,'Loan Tape (S&amp;P)'!P9233,
    occupancy,'Loan Tape (S&amp;P)'!N9233,
    maturity_date,'Loan Tape (S&amp;P)'!L9233,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34">
      <c r="J9234">
        <f>LET(
    lien,'Loan Tape (S&amp;P)'!Q9234,
    IF(lien="First",1.00,
        IF(lien="Second",1.50,
            1.70)))</f>
        <v/>
      </c>
      <c r="K9234">
        <f>LET(
    purpose,'Loan Tape (S&amp;P)'!R9234,
    IF(purpose="Purchase",1.00,
        IF(purpose="Remortgage",1.00,
            1.20)))</f>
        <v/>
      </c>
      <c r="L9234">
        <f>LET(
    arrears_months,'Loan Tape (S&amp;P)'!AN9234,
    IF(arrears_months=0,1.00,
    IF(arrears_months=1,3.00,
    IF(arrears_months=2,5.00,
    IF(arrears_months=3,8.00,
    IF(arrears_months=4,10.00,
    IF(arrears_months=5,12.00,15.00)))))))</f>
        <v/>
      </c>
      <c r="M9234">
        <f>LET(
    seasoning_years,DATEDIF('Loan Tape (S&amp;P)'!K9234,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34">
        <f>IF(AND('Loan Tape (S&amp;P)'!U9234="Yes",
        'Loan Tape (S&amp;P)'!T9234&lt;&gt;"Yes",
        DATEDIF('Loan Tape (S&amp;P)'!K9234, TODAY(), "M")&lt;18),
    1.10,
    1.00)</f>
        <v/>
      </c>
      <c r="O9234">
        <f>IF('Loan Tape (S&amp;P)'!T9234="Yes",
    1.35,
    1.00)</f>
        <v/>
      </c>
      <c r="P9234">
        <f>IF('Loan Tape (S&amp;P)'!S9234="Yes",
    1.15,
    1.00)</f>
        <v/>
      </c>
      <c r="Q9234">
        <f>IF('Loan Tape (S&amp;P)'!V9234="Yes",
    1.20,
    1.00)</f>
        <v/>
      </c>
      <c r="T9234">
        <f>LET(
    payment_method,'Loan Tape (S&amp;P)'!P9234,
    occupancy,'Loan Tape (S&amp;P)'!N9234,
    maturity_date,'Loan Tape (S&amp;P)'!L9234,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35">
      <c r="J9235">
        <f>LET(
    lien,'Loan Tape (S&amp;P)'!Q9235,
    IF(lien="First",1.00,
        IF(lien="Second",1.50,
            1.70)))</f>
        <v/>
      </c>
      <c r="K9235">
        <f>LET(
    purpose,'Loan Tape (S&amp;P)'!R9235,
    IF(purpose="Purchase",1.00,
        IF(purpose="Remortgage",1.00,
            1.20)))</f>
        <v/>
      </c>
      <c r="L9235">
        <f>LET(
    arrears_months,'Loan Tape (S&amp;P)'!AN9235,
    IF(arrears_months=0,1.00,
    IF(arrears_months=1,3.00,
    IF(arrears_months=2,5.00,
    IF(arrears_months=3,8.00,
    IF(arrears_months=4,10.00,
    IF(arrears_months=5,12.00,15.00)))))))</f>
        <v/>
      </c>
      <c r="M9235">
        <f>LET(
    seasoning_years,DATEDIF('Loan Tape (S&amp;P)'!K9235,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35">
        <f>IF(AND('Loan Tape (S&amp;P)'!U9235="Yes",
        'Loan Tape (S&amp;P)'!T9235&lt;&gt;"Yes",
        DATEDIF('Loan Tape (S&amp;P)'!K9235, TODAY(), "M")&lt;18),
    1.10,
    1.00)</f>
        <v/>
      </c>
      <c r="O9235">
        <f>IF('Loan Tape (S&amp;P)'!T9235="Yes",
    1.35,
    1.00)</f>
        <v/>
      </c>
      <c r="P9235">
        <f>IF('Loan Tape (S&amp;P)'!S9235="Yes",
    1.15,
    1.00)</f>
        <v/>
      </c>
      <c r="Q9235">
        <f>IF('Loan Tape (S&amp;P)'!V9235="Yes",
    1.20,
    1.00)</f>
        <v/>
      </c>
      <c r="T9235">
        <f>LET(
    payment_method,'Loan Tape (S&amp;P)'!P9235,
    occupancy,'Loan Tape (S&amp;P)'!N9235,
    maturity_date,'Loan Tape (S&amp;P)'!L9235,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36">
      <c r="J9236">
        <f>LET(
    lien,'Loan Tape (S&amp;P)'!Q9236,
    IF(lien="First",1.00,
        IF(lien="Second",1.50,
            1.70)))</f>
        <v/>
      </c>
      <c r="K9236">
        <f>LET(
    purpose,'Loan Tape (S&amp;P)'!R9236,
    IF(purpose="Purchase",1.00,
        IF(purpose="Remortgage",1.00,
            1.20)))</f>
        <v/>
      </c>
      <c r="L9236">
        <f>LET(
    arrears_months,'Loan Tape (S&amp;P)'!AN9236,
    IF(arrears_months=0,1.00,
    IF(arrears_months=1,3.00,
    IF(arrears_months=2,5.00,
    IF(arrears_months=3,8.00,
    IF(arrears_months=4,10.00,
    IF(arrears_months=5,12.00,15.00)))))))</f>
        <v/>
      </c>
      <c r="M9236">
        <f>LET(
    seasoning_years,DATEDIF('Loan Tape (S&amp;P)'!K9236,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36">
        <f>IF(AND('Loan Tape (S&amp;P)'!U9236="Yes",
        'Loan Tape (S&amp;P)'!T9236&lt;&gt;"Yes",
        DATEDIF('Loan Tape (S&amp;P)'!K9236, TODAY(), "M")&lt;18),
    1.10,
    1.00)</f>
        <v/>
      </c>
      <c r="O9236">
        <f>IF('Loan Tape (S&amp;P)'!T9236="Yes",
    1.35,
    1.00)</f>
        <v/>
      </c>
      <c r="P9236">
        <f>IF('Loan Tape (S&amp;P)'!S9236="Yes",
    1.15,
    1.00)</f>
        <v/>
      </c>
      <c r="Q9236">
        <f>IF('Loan Tape (S&amp;P)'!V9236="Yes",
    1.20,
    1.00)</f>
        <v/>
      </c>
      <c r="T9236">
        <f>LET(
    payment_method,'Loan Tape (S&amp;P)'!P9236,
    occupancy,'Loan Tape (S&amp;P)'!N9236,
    maturity_date,'Loan Tape (S&amp;P)'!L9236,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37">
      <c r="J9237">
        <f>LET(
    lien,'Loan Tape (S&amp;P)'!Q9237,
    IF(lien="First",1.00,
        IF(lien="Second",1.50,
            1.70)))</f>
        <v/>
      </c>
      <c r="K9237">
        <f>LET(
    purpose,'Loan Tape (S&amp;P)'!R9237,
    IF(purpose="Purchase",1.00,
        IF(purpose="Remortgage",1.00,
            1.20)))</f>
        <v/>
      </c>
      <c r="L9237">
        <f>LET(
    arrears_months,'Loan Tape (S&amp;P)'!AN9237,
    IF(arrears_months=0,1.00,
    IF(arrears_months=1,3.00,
    IF(arrears_months=2,5.00,
    IF(arrears_months=3,8.00,
    IF(arrears_months=4,10.00,
    IF(arrears_months=5,12.00,15.00)))))))</f>
        <v/>
      </c>
      <c r="M9237">
        <f>LET(
    seasoning_years,DATEDIF('Loan Tape (S&amp;P)'!K9237,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37">
        <f>IF(AND('Loan Tape (S&amp;P)'!U9237="Yes",
        'Loan Tape (S&amp;P)'!T9237&lt;&gt;"Yes",
        DATEDIF('Loan Tape (S&amp;P)'!K9237, TODAY(), "M")&lt;18),
    1.10,
    1.00)</f>
        <v/>
      </c>
      <c r="O9237">
        <f>IF('Loan Tape (S&amp;P)'!T9237="Yes",
    1.35,
    1.00)</f>
        <v/>
      </c>
      <c r="P9237">
        <f>IF('Loan Tape (S&amp;P)'!S9237="Yes",
    1.15,
    1.00)</f>
        <v/>
      </c>
      <c r="Q9237">
        <f>IF('Loan Tape (S&amp;P)'!V9237="Yes",
    1.20,
    1.00)</f>
        <v/>
      </c>
      <c r="T9237">
        <f>LET(
    payment_method,'Loan Tape (S&amp;P)'!P9237,
    occupancy,'Loan Tape (S&amp;P)'!N9237,
    maturity_date,'Loan Tape (S&amp;P)'!L9237,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38">
      <c r="J9238">
        <f>LET(
    lien,'Loan Tape (S&amp;P)'!Q9238,
    IF(lien="First",1.00,
        IF(lien="Second",1.50,
            1.70)))</f>
        <v/>
      </c>
      <c r="K9238">
        <f>LET(
    purpose,'Loan Tape (S&amp;P)'!R9238,
    IF(purpose="Purchase",1.00,
        IF(purpose="Remortgage",1.00,
            1.20)))</f>
        <v/>
      </c>
      <c r="L9238">
        <f>LET(
    arrears_months,'Loan Tape (S&amp;P)'!AN9238,
    IF(arrears_months=0,1.00,
    IF(arrears_months=1,3.00,
    IF(arrears_months=2,5.00,
    IF(arrears_months=3,8.00,
    IF(arrears_months=4,10.00,
    IF(arrears_months=5,12.00,15.00)))))))</f>
        <v/>
      </c>
      <c r="M9238">
        <f>LET(
    seasoning_years,DATEDIF('Loan Tape (S&amp;P)'!K9238,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38">
        <f>IF(AND('Loan Tape (S&amp;P)'!U9238="Yes",
        'Loan Tape (S&amp;P)'!T9238&lt;&gt;"Yes",
        DATEDIF('Loan Tape (S&amp;P)'!K9238, TODAY(), "M")&lt;18),
    1.10,
    1.00)</f>
        <v/>
      </c>
      <c r="O9238">
        <f>IF('Loan Tape (S&amp;P)'!T9238="Yes",
    1.35,
    1.00)</f>
        <v/>
      </c>
      <c r="P9238">
        <f>IF('Loan Tape (S&amp;P)'!S9238="Yes",
    1.15,
    1.00)</f>
        <v/>
      </c>
      <c r="Q9238">
        <f>IF('Loan Tape (S&amp;P)'!V9238="Yes",
    1.20,
    1.00)</f>
        <v/>
      </c>
      <c r="T9238">
        <f>LET(
    payment_method,'Loan Tape (S&amp;P)'!P9238,
    occupancy,'Loan Tape (S&amp;P)'!N9238,
    maturity_date,'Loan Tape (S&amp;P)'!L9238,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39">
      <c r="J9239">
        <f>LET(
    lien,'Loan Tape (S&amp;P)'!Q9239,
    IF(lien="First",1.00,
        IF(lien="Second",1.50,
            1.70)))</f>
        <v/>
      </c>
      <c r="K9239">
        <f>LET(
    purpose,'Loan Tape (S&amp;P)'!R9239,
    IF(purpose="Purchase",1.00,
        IF(purpose="Remortgage",1.00,
            1.20)))</f>
        <v/>
      </c>
      <c r="L9239">
        <f>LET(
    arrears_months,'Loan Tape (S&amp;P)'!AN9239,
    IF(arrears_months=0,1.00,
    IF(arrears_months=1,3.00,
    IF(arrears_months=2,5.00,
    IF(arrears_months=3,8.00,
    IF(arrears_months=4,10.00,
    IF(arrears_months=5,12.00,15.00)))))))</f>
        <v/>
      </c>
      <c r="M9239">
        <f>LET(
    seasoning_years,DATEDIF('Loan Tape (S&amp;P)'!K9239,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39">
        <f>IF(AND('Loan Tape (S&amp;P)'!U9239="Yes",
        'Loan Tape (S&amp;P)'!T9239&lt;&gt;"Yes",
        DATEDIF('Loan Tape (S&amp;P)'!K9239, TODAY(), "M")&lt;18),
    1.10,
    1.00)</f>
        <v/>
      </c>
      <c r="O9239">
        <f>IF('Loan Tape (S&amp;P)'!T9239="Yes",
    1.35,
    1.00)</f>
        <v/>
      </c>
      <c r="P9239">
        <f>IF('Loan Tape (S&amp;P)'!S9239="Yes",
    1.15,
    1.00)</f>
        <v/>
      </c>
      <c r="Q9239">
        <f>IF('Loan Tape (S&amp;P)'!V9239="Yes",
    1.20,
    1.00)</f>
        <v/>
      </c>
      <c r="T9239">
        <f>LET(
    payment_method,'Loan Tape (S&amp;P)'!P9239,
    occupancy,'Loan Tape (S&amp;P)'!N9239,
    maturity_date,'Loan Tape (S&amp;P)'!L9239,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40">
      <c r="J9240">
        <f>LET(
    lien,'Loan Tape (S&amp;P)'!Q9240,
    IF(lien="First",1.00,
        IF(lien="Second",1.50,
            1.70)))</f>
        <v/>
      </c>
      <c r="K9240">
        <f>LET(
    purpose,'Loan Tape (S&amp;P)'!R9240,
    IF(purpose="Purchase",1.00,
        IF(purpose="Remortgage",1.00,
            1.20)))</f>
        <v/>
      </c>
      <c r="L9240">
        <f>LET(
    arrears_months,'Loan Tape (S&amp;P)'!AN9240,
    IF(arrears_months=0,1.00,
    IF(arrears_months=1,3.00,
    IF(arrears_months=2,5.00,
    IF(arrears_months=3,8.00,
    IF(arrears_months=4,10.00,
    IF(arrears_months=5,12.00,15.00)))))))</f>
        <v/>
      </c>
      <c r="M9240">
        <f>LET(
    seasoning_years,DATEDIF('Loan Tape (S&amp;P)'!K9240,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40">
        <f>IF(AND('Loan Tape (S&amp;P)'!U9240="Yes",
        'Loan Tape (S&amp;P)'!T9240&lt;&gt;"Yes",
        DATEDIF('Loan Tape (S&amp;P)'!K9240, TODAY(), "M")&lt;18),
    1.10,
    1.00)</f>
        <v/>
      </c>
      <c r="O9240">
        <f>IF('Loan Tape (S&amp;P)'!T9240="Yes",
    1.35,
    1.00)</f>
        <v/>
      </c>
      <c r="P9240">
        <f>IF('Loan Tape (S&amp;P)'!S9240="Yes",
    1.15,
    1.00)</f>
        <v/>
      </c>
      <c r="Q9240">
        <f>IF('Loan Tape (S&amp;P)'!V9240="Yes",
    1.20,
    1.00)</f>
        <v/>
      </c>
      <c r="T9240">
        <f>LET(
    payment_method,'Loan Tape (S&amp;P)'!P9240,
    occupancy,'Loan Tape (S&amp;P)'!N9240,
    maturity_date,'Loan Tape (S&amp;P)'!L9240,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41">
      <c r="J9241">
        <f>LET(
    lien,'Loan Tape (S&amp;P)'!Q9241,
    IF(lien="First",1.00,
        IF(lien="Second",1.50,
            1.70)))</f>
        <v/>
      </c>
      <c r="K9241">
        <f>LET(
    purpose,'Loan Tape (S&amp;P)'!R9241,
    IF(purpose="Purchase",1.00,
        IF(purpose="Remortgage",1.00,
            1.20)))</f>
        <v/>
      </c>
      <c r="L9241">
        <f>LET(
    arrears_months,'Loan Tape (S&amp;P)'!AN9241,
    IF(arrears_months=0,1.00,
    IF(arrears_months=1,3.00,
    IF(arrears_months=2,5.00,
    IF(arrears_months=3,8.00,
    IF(arrears_months=4,10.00,
    IF(arrears_months=5,12.00,15.00)))))))</f>
        <v/>
      </c>
      <c r="M9241">
        <f>LET(
    seasoning_years,DATEDIF('Loan Tape (S&amp;P)'!K9241,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41">
        <f>IF(AND('Loan Tape (S&amp;P)'!U9241="Yes",
        'Loan Tape (S&amp;P)'!T9241&lt;&gt;"Yes",
        DATEDIF('Loan Tape (S&amp;P)'!K9241, TODAY(), "M")&lt;18),
    1.10,
    1.00)</f>
        <v/>
      </c>
      <c r="O9241">
        <f>IF('Loan Tape (S&amp;P)'!T9241="Yes",
    1.35,
    1.00)</f>
        <v/>
      </c>
      <c r="P9241">
        <f>IF('Loan Tape (S&amp;P)'!S9241="Yes",
    1.15,
    1.00)</f>
        <v/>
      </c>
      <c r="Q9241">
        <f>IF('Loan Tape (S&amp;P)'!V9241="Yes",
    1.20,
    1.00)</f>
        <v/>
      </c>
      <c r="T9241">
        <f>LET(
    payment_method,'Loan Tape (S&amp;P)'!P9241,
    occupancy,'Loan Tape (S&amp;P)'!N9241,
    maturity_date,'Loan Tape (S&amp;P)'!L9241,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42">
      <c r="J9242">
        <f>LET(
    lien,'Loan Tape (S&amp;P)'!Q9242,
    IF(lien="First",1.00,
        IF(lien="Second",1.50,
            1.70)))</f>
        <v/>
      </c>
      <c r="K9242">
        <f>LET(
    purpose,'Loan Tape (S&amp;P)'!R9242,
    IF(purpose="Purchase",1.00,
        IF(purpose="Remortgage",1.00,
            1.20)))</f>
        <v/>
      </c>
      <c r="L9242">
        <f>LET(
    arrears_months,'Loan Tape (S&amp;P)'!AN9242,
    IF(arrears_months=0,1.00,
    IF(arrears_months=1,3.00,
    IF(arrears_months=2,5.00,
    IF(arrears_months=3,8.00,
    IF(arrears_months=4,10.00,
    IF(arrears_months=5,12.00,15.00)))))))</f>
        <v/>
      </c>
      <c r="M9242">
        <f>LET(
    seasoning_years,DATEDIF('Loan Tape (S&amp;P)'!K9242,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42">
        <f>IF(AND('Loan Tape (S&amp;P)'!U9242="Yes",
        'Loan Tape (S&amp;P)'!T9242&lt;&gt;"Yes",
        DATEDIF('Loan Tape (S&amp;P)'!K9242, TODAY(), "M")&lt;18),
    1.10,
    1.00)</f>
        <v/>
      </c>
      <c r="O9242">
        <f>IF('Loan Tape (S&amp;P)'!T9242="Yes",
    1.35,
    1.00)</f>
        <v/>
      </c>
      <c r="P9242">
        <f>IF('Loan Tape (S&amp;P)'!S9242="Yes",
    1.15,
    1.00)</f>
        <v/>
      </c>
      <c r="Q9242">
        <f>IF('Loan Tape (S&amp;P)'!V9242="Yes",
    1.20,
    1.00)</f>
        <v/>
      </c>
      <c r="T9242">
        <f>LET(
    payment_method,'Loan Tape (S&amp;P)'!P9242,
    occupancy,'Loan Tape (S&amp;P)'!N9242,
    maturity_date,'Loan Tape (S&amp;P)'!L9242,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43">
      <c r="J9243">
        <f>LET(
    lien,'Loan Tape (S&amp;P)'!Q9243,
    IF(lien="First",1.00,
        IF(lien="Second",1.50,
            1.70)))</f>
        <v/>
      </c>
      <c r="K9243">
        <f>LET(
    purpose,'Loan Tape (S&amp;P)'!R9243,
    IF(purpose="Purchase",1.00,
        IF(purpose="Remortgage",1.00,
            1.20)))</f>
        <v/>
      </c>
      <c r="L9243">
        <f>LET(
    arrears_months,'Loan Tape (S&amp;P)'!AN9243,
    IF(arrears_months=0,1.00,
    IF(arrears_months=1,3.00,
    IF(arrears_months=2,5.00,
    IF(arrears_months=3,8.00,
    IF(arrears_months=4,10.00,
    IF(arrears_months=5,12.00,15.00)))))))</f>
        <v/>
      </c>
      <c r="M9243">
        <f>LET(
    seasoning_years,DATEDIF('Loan Tape (S&amp;P)'!K9243,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43">
        <f>IF(AND('Loan Tape (S&amp;P)'!U9243="Yes",
        'Loan Tape (S&amp;P)'!T9243&lt;&gt;"Yes",
        DATEDIF('Loan Tape (S&amp;P)'!K9243, TODAY(), "M")&lt;18),
    1.10,
    1.00)</f>
        <v/>
      </c>
      <c r="O9243">
        <f>IF('Loan Tape (S&amp;P)'!T9243="Yes",
    1.35,
    1.00)</f>
        <v/>
      </c>
      <c r="P9243">
        <f>IF('Loan Tape (S&amp;P)'!S9243="Yes",
    1.15,
    1.00)</f>
        <v/>
      </c>
      <c r="Q9243">
        <f>IF('Loan Tape (S&amp;P)'!V9243="Yes",
    1.20,
    1.00)</f>
        <v/>
      </c>
      <c r="T9243">
        <f>LET(
    payment_method,'Loan Tape (S&amp;P)'!P9243,
    occupancy,'Loan Tape (S&amp;P)'!N9243,
    maturity_date,'Loan Tape (S&amp;P)'!L9243,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44">
      <c r="J9244">
        <f>LET(
    lien,'Loan Tape (S&amp;P)'!Q9244,
    IF(lien="First",1.00,
        IF(lien="Second",1.50,
            1.70)))</f>
        <v/>
      </c>
      <c r="K9244">
        <f>LET(
    purpose,'Loan Tape (S&amp;P)'!R9244,
    IF(purpose="Purchase",1.00,
        IF(purpose="Remortgage",1.00,
            1.20)))</f>
        <v/>
      </c>
      <c r="L9244">
        <f>LET(
    arrears_months,'Loan Tape (S&amp;P)'!AN9244,
    IF(arrears_months=0,1.00,
    IF(arrears_months=1,3.00,
    IF(arrears_months=2,5.00,
    IF(arrears_months=3,8.00,
    IF(arrears_months=4,10.00,
    IF(arrears_months=5,12.00,15.00)))))))</f>
        <v/>
      </c>
      <c r="M9244">
        <f>LET(
    seasoning_years,DATEDIF('Loan Tape (S&amp;P)'!K9244,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44">
        <f>IF(AND('Loan Tape (S&amp;P)'!U9244="Yes",
        'Loan Tape (S&amp;P)'!T9244&lt;&gt;"Yes",
        DATEDIF('Loan Tape (S&amp;P)'!K9244, TODAY(), "M")&lt;18),
    1.10,
    1.00)</f>
        <v/>
      </c>
      <c r="O9244">
        <f>IF('Loan Tape (S&amp;P)'!T9244="Yes",
    1.35,
    1.00)</f>
        <v/>
      </c>
      <c r="P9244">
        <f>IF('Loan Tape (S&amp;P)'!S9244="Yes",
    1.15,
    1.00)</f>
        <v/>
      </c>
      <c r="Q9244">
        <f>IF('Loan Tape (S&amp;P)'!V9244="Yes",
    1.20,
    1.00)</f>
        <v/>
      </c>
      <c r="T9244">
        <f>LET(
    payment_method,'Loan Tape (S&amp;P)'!P9244,
    occupancy,'Loan Tape (S&amp;P)'!N9244,
    maturity_date,'Loan Tape (S&amp;P)'!L9244,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45">
      <c r="J9245">
        <f>LET(
    lien,'Loan Tape (S&amp;P)'!Q9245,
    IF(lien="First",1.00,
        IF(lien="Second",1.50,
            1.70)))</f>
        <v/>
      </c>
      <c r="K9245">
        <f>LET(
    purpose,'Loan Tape (S&amp;P)'!R9245,
    IF(purpose="Purchase",1.00,
        IF(purpose="Remortgage",1.00,
            1.20)))</f>
        <v/>
      </c>
      <c r="L9245">
        <f>LET(
    arrears_months,'Loan Tape (S&amp;P)'!AN9245,
    IF(arrears_months=0,1.00,
    IF(arrears_months=1,3.00,
    IF(arrears_months=2,5.00,
    IF(arrears_months=3,8.00,
    IF(arrears_months=4,10.00,
    IF(arrears_months=5,12.00,15.00)))))))</f>
        <v/>
      </c>
      <c r="M9245">
        <f>LET(
    seasoning_years,DATEDIF('Loan Tape (S&amp;P)'!K9245,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45">
        <f>IF(AND('Loan Tape (S&amp;P)'!U9245="Yes",
        'Loan Tape (S&amp;P)'!T9245&lt;&gt;"Yes",
        DATEDIF('Loan Tape (S&amp;P)'!K9245, TODAY(), "M")&lt;18),
    1.10,
    1.00)</f>
        <v/>
      </c>
      <c r="O9245">
        <f>IF('Loan Tape (S&amp;P)'!T9245="Yes",
    1.35,
    1.00)</f>
        <v/>
      </c>
      <c r="P9245">
        <f>IF('Loan Tape (S&amp;P)'!S9245="Yes",
    1.15,
    1.00)</f>
        <v/>
      </c>
      <c r="Q9245">
        <f>IF('Loan Tape (S&amp;P)'!V9245="Yes",
    1.20,
    1.00)</f>
        <v/>
      </c>
      <c r="T9245">
        <f>LET(
    payment_method,'Loan Tape (S&amp;P)'!P9245,
    occupancy,'Loan Tape (S&amp;P)'!N9245,
    maturity_date,'Loan Tape (S&amp;P)'!L9245,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46">
      <c r="J9246">
        <f>LET(
    lien,'Loan Tape (S&amp;P)'!Q9246,
    IF(lien="First",1.00,
        IF(lien="Second",1.50,
            1.70)))</f>
        <v/>
      </c>
      <c r="K9246">
        <f>LET(
    purpose,'Loan Tape (S&amp;P)'!R9246,
    IF(purpose="Purchase",1.00,
        IF(purpose="Remortgage",1.00,
            1.20)))</f>
        <v/>
      </c>
      <c r="L9246">
        <f>LET(
    arrears_months,'Loan Tape (S&amp;P)'!AN9246,
    IF(arrears_months=0,1.00,
    IF(arrears_months=1,3.00,
    IF(arrears_months=2,5.00,
    IF(arrears_months=3,8.00,
    IF(arrears_months=4,10.00,
    IF(arrears_months=5,12.00,15.00)))))))</f>
        <v/>
      </c>
      <c r="M9246">
        <f>LET(
    seasoning_years,DATEDIF('Loan Tape (S&amp;P)'!K9246,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46">
        <f>IF(AND('Loan Tape (S&amp;P)'!U9246="Yes",
        'Loan Tape (S&amp;P)'!T9246&lt;&gt;"Yes",
        DATEDIF('Loan Tape (S&amp;P)'!K9246, TODAY(), "M")&lt;18),
    1.10,
    1.00)</f>
        <v/>
      </c>
      <c r="O9246">
        <f>IF('Loan Tape (S&amp;P)'!T9246="Yes",
    1.35,
    1.00)</f>
        <v/>
      </c>
      <c r="P9246">
        <f>IF('Loan Tape (S&amp;P)'!S9246="Yes",
    1.15,
    1.00)</f>
        <v/>
      </c>
      <c r="Q9246">
        <f>IF('Loan Tape (S&amp;P)'!V9246="Yes",
    1.20,
    1.00)</f>
        <v/>
      </c>
      <c r="T9246">
        <f>LET(
    payment_method,'Loan Tape (S&amp;P)'!P9246,
    occupancy,'Loan Tape (S&amp;P)'!N9246,
    maturity_date,'Loan Tape (S&amp;P)'!L9246,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47">
      <c r="J9247">
        <f>LET(
    lien,'Loan Tape (S&amp;P)'!Q9247,
    IF(lien="First",1.00,
        IF(lien="Second",1.50,
            1.70)))</f>
        <v/>
      </c>
      <c r="K9247">
        <f>LET(
    purpose,'Loan Tape (S&amp;P)'!R9247,
    IF(purpose="Purchase",1.00,
        IF(purpose="Remortgage",1.00,
            1.20)))</f>
        <v/>
      </c>
      <c r="L9247">
        <f>LET(
    arrears_months,'Loan Tape (S&amp;P)'!AN9247,
    IF(arrears_months=0,1.00,
    IF(arrears_months=1,3.00,
    IF(arrears_months=2,5.00,
    IF(arrears_months=3,8.00,
    IF(arrears_months=4,10.00,
    IF(arrears_months=5,12.00,15.00)))))))</f>
        <v/>
      </c>
      <c r="M9247">
        <f>LET(
    seasoning_years,DATEDIF('Loan Tape (S&amp;P)'!K9247,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47">
        <f>IF(AND('Loan Tape (S&amp;P)'!U9247="Yes",
        'Loan Tape (S&amp;P)'!T9247&lt;&gt;"Yes",
        DATEDIF('Loan Tape (S&amp;P)'!K9247, TODAY(), "M")&lt;18),
    1.10,
    1.00)</f>
        <v/>
      </c>
      <c r="O9247">
        <f>IF('Loan Tape (S&amp;P)'!T9247="Yes",
    1.35,
    1.00)</f>
        <v/>
      </c>
      <c r="P9247">
        <f>IF('Loan Tape (S&amp;P)'!S9247="Yes",
    1.15,
    1.00)</f>
        <v/>
      </c>
      <c r="Q9247">
        <f>IF('Loan Tape (S&amp;P)'!V9247="Yes",
    1.20,
    1.00)</f>
        <v/>
      </c>
      <c r="T9247">
        <f>LET(
    payment_method,'Loan Tape (S&amp;P)'!P9247,
    occupancy,'Loan Tape (S&amp;P)'!N9247,
    maturity_date,'Loan Tape (S&amp;P)'!L9247,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48">
      <c r="J9248">
        <f>LET(
    lien,'Loan Tape (S&amp;P)'!Q9248,
    IF(lien="First",1.00,
        IF(lien="Second",1.50,
            1.70)))</f>
        <v/>
      </c>
      <c r="K9248">
        <f>LET(
    purpose,'Loan Tape (S&amp;P)'!R9248,
    IF(purpose="Purchase",1.00,
        IF(purpose="Remortgage",1.00,
            1.20)))</f>
        <v/>
      </c>
      <c r="L9248">
        <f>LET(
    arrears_months,'Loan Tape (S&amp;P)'!AN9248,
    IF(arrears_months=0,1.00,
    IF(arrears_months=1,3.00,
    IF(arrears_months=2,5.00,
    IF(arrears_months=3,8.00,
    IF(arrears_months=4,10.00,
    IF(arrears_months=5,12.00,15.00)))))))</f>
        <v/>
      </c>
      <c r="M9248">
        <f>LET(
    seasoning_years,DATEDIF('Loan Tape (S&amp;P)'!K9248,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48">
        <f>IF(AND('Loan Tape (S&amp;P)'!U9248="Yes",
        'Loan Tape (S&amp;P)'!T9248&lt;&gt;"Yes",
        DATEDIF('Loan Tape (S&amp;P)'!K9248, TODAY(), "M")&lt;18),
    1.10,
    1.00)</f>
        <v/>
      </c>
      <c r="O9248">
        <f>IF('Loan Tape (S&amp;P)'!T9248="Yes",
    1.35,
    1.00)</f>
        <v/>
      </c>
      <c r="P9248">
        <f>IF('Loan Tape (S&amp;P)'!S9248="Yes",
    1.15,
    1.00)</f>
        <v/>
      </c>
      <c r="Q9248">
        <f>IF('Loan Tape (S&amp;P)'!V9248="Yes",
    1.20,
    1.00)</f>
        <v/>
      </c>
      <c r="T9248">
        <f>LET(
    payment_method,'Loan Tape (S&amp;P)'!P9248,
    occupancy,'Loan Tape (S&amp;P)'!N9248,
    maturity_date,'Loan Tape (S&amp;P)'!L9248,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49">
      <c r="J9249">
        <f>LET(
    lien,'Loan Tape (S&amp;P)'!Q9249,
    IF(lien="First",1.00,
        IF(lien="Second",1.50,
            1.70)))</f>
        <v/>
      </c>
      <c r="K9249">
        <f>LET(
    purpose,'Loan Tape (S&amp;P)'!R9249,
    IF(purpose="Purchase",1.00,
        IF(purpose="Remortgage",1.00,
            1.20)))</f>
        <v/>
      </c>
      <c r="L9249">
        <f>LET(
    arrears_months,'Loan Tape (S&amp;P)'!AN9249,
    IF(arrears_months=0,1.00,
    IF(arrears_months=1,3.00,
    IF(arrears_months=2,5.00,
    IF(arrears_months=3,8.00,
    IF(arrears_months=4,10.00,
    IF(arrears_months=5,12.00,15.00)))))))</f>
        <v/>
      </c>
      <c r="M9249">
        <f>LET(
    seasoning_years,DATEDIF('Loan Tape (S&amp;P)'!K9249,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49">
        <f>IF(AND('Loan Tape (S&amp;P)'!U9249="Yes",
        'Loan Tape (S&amp;P)'!T9249&lt;&gt;"Yes",
        DATEDIF('Loan Tape (S&amp;P)'!K9249, TODAY(), "M")&lt;18),
    1.10,
    1.00)</f>
        <v/>
      </c>
      <c r="O9249">
        <f>IF('Loan Tape (S&amp;P)'!T9249="Yes",
    1.35,
    1.00)</f>
        <v/>
      </c>
      <c r="P9249">
        <f>IF('Loan Tape (S&amp;P)'!S9249="Yes",
    1.15,
    1.00)</f>
        <v/>
      </c>
      <c r="Q9249">
        <f>IF('Loan Tape (S&amp;P)'!V9249="Yes",
    1.20,
    1.00)</f>
        <v/>
      </c>
      <c r="T9249">
        <f>LET(
    payment_method,'Loan Tape (S&amp;P)'!P9249,
    occupancy,'Loan Tape (S&amp;P)'!N9249,
    maturity_date,'Loan Tape (S&amp;P)'!L9249,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50">
      <c r="J9250">
        <f>LET(
    lien,'Loan Tape (S&amp;P)'!Q9250,
    IF(lien="First",1.00,
        IF(lien="Second",1.50,
            1.70)))</f>
        <v/>
      </c>
      <c r="K9250">
        <f>LET(
    purpose,'Loan Tape (S&amp;P)'!R9250,
    IF(purpose="Purchase",1.00,
        IF(purpose="Remortgage",1.00,
            1.20)))</f>
        <v/>
      </c>
      <c r="L9250">
        <f>LET(
    arrears_months,'Loan Tape (S&amp;P)'!AN9250,
    IF(arrears_months=0,1.00,
    IF(arrears_months=1,3.00,
    IF(arrears_months=2,5.00,
    IF(arrears_months=3,8.00,
    IF(arrears_months=4,10.00,
    IF(arrears_months=5,12.00,15.00)))))))</f>
        <v/>
      </c>
      <c r="M9250">
        <f>LET(
    seasoning_years,DATEDIF('Loan Tape (S&amp;P)'!K9250,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50">
        <f>IF(AND('Loan Tape (S&amp;P)'!U9250="Yes",
        'Loan Tape (S&amp;P)'!T9250&lt;&gt;"Yes",
        DATEDIF('Loan Tape (S&amp;P)'!K9250, TODAY(), "M")&lt;18),
    1.10,
    1.00)</f>
        <v/>
      </c>
      <c r="O9250">
        <f>IF('Loan Tape (S&amp;P)'!T9250="Yes",
    1.35,
    1.00)</f>
        <v/>
      </c>
      <c r="P9250">
        <f>IF('Loan Tape (S&amp;P)'!S9250="Yes",
    1.15,
    1.00)</f>
        <v/>
      </c>
      <c r="Q9250">
        <f>IF('Loan Tape (S&amp;P)'!V9250="Yes",
    1.20,
    1.00)</f>
        <v/>
      </c>
      <c r="T9250">
        <f>LET(
    payment_method,'Loan Tape (S&amp;P)'!P9250,
    occupancy,'Loan Tape (S&amp;P)'!N9250,
    maturity_date,'Loan Tape (S&amp;P)'!L9250,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51">
      <c r="J9251">
        <f>LET(
    lien,'Loan Tape (S&amp;P)'!Q9251,
    IF(lien="First",1.00,
        IF(lien="Second",1.50,
            1.70)))</f>
        <v/>
      </c>
      <c r="K9251">
        <f>LET(
    purpose,'Loan Tape (S&amp;P)'!R9251,
    IF(purpose="Purchase",1.00,
        IF(purpose="Remortgage",1.00,
            1.20)))</f>
        <v/>
      </c>
      <c r="L9251">
        <f>LET(
    arrears_months,'Loan Tape (S&amp;P)'!AN9251,
    IF(arrears_months=0,1.00,
    IF(arrears_months=1,3.00,
    IF(arrears_months=2,5.00,
    IF(arrears_months=3,8.00,
    IF(arrears_months=4,10.00,
    IF(arrears_months=5,12.00,15.00)))))))</f>
        <v/>
      </c>
      <c r="M9251">
        <f>LET(
    seasoning_years,DATEDIF('Loan Tape (S&amp;P)'!K9251,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51">
        <f>IF(AND('Loan Tape (S&amp;P)'!U9251="Yes",
        'Loan Tape (S&amp;P)'!T9251&lt;&gt;"Yes",
        DATEDIF('Loan Tape (S&amp;P)'!K9251, TODAY(), "M")&lt;18),
    1.10,
    1.00)</f>
        <v/>
      </c>
      <c r="O9251">
        <f>IF('Loan Tape (S&amp;P)'!T9251="Yes",
    1.35,
    1.00)</f>
        <v/>
      </c>
      <c r="P9251">
        <f>IF('Loan Tape (S&amp;P)'!S9251="Yes",
    1.15,
    1.00)</f>
        <v/>
      </c>
      <c r="Q9251">
        <f>IF('Loan Tape (S&amp;P)'!V9251="Yes",
    1.20,
    1.00)</f>
        <v/>
      </c>
      <c r="T9251">
        <f>LET(
    payment_method,'Loan Tape (S&amp;P)'!P9251,
    occupancy,'Loan Tape (S&amp;P)'!N9251,
    maturity_date,'Loan Tape (S&amp;P)'!L9251,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52">
      <c r="J9252">
        <f>LET(
    lien,'Loan Tape (S&amp;P)'!Q9252,
    IF(lien="First",1.00,
        IF(lien="Second",1.50,
            1.70)))</f>
        <v/>
      </c>
      <c r="K9252">
        <f>LET(
    purpose,'Loan Tape (S&amp;P)'!R9252,
    IF(purpose="Purchase",1.00,
        IF(purpose="Remortgage",1.00,
            1.20)))</f>
        <v/>
      </c>
      <c r="L9252">
        <f>LET(
    arrears_months,'Loan Tape (S&amp;P)'!AN9252,
    IF(arrears_months=0,1.00,
    IF(arrears_months=1,3.00,
    IF(arrears_months=2,5.00,
    IF(arrears_months=3,8.00,
    IF(arrears_months=4,10.00,
    IF(arrears_months=5,12.00,15.00)))))))</f>
        <v/>
      </c>
      <c r="M9252">
        <f>LET(
    seasoning_years,DATEDIF('Loan Tape (S&amp;P)'!K9252,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52">
        <f>IF(AND('Loan Tape (S&amp;P)'!U9252="Yes",
        'Loan Tape (S&amp;P)'!T9252&lt;&gt;"Yes",
        DATEDIF('Loan Tape (S&amp;P)'!K9252, TODAY(), "M")&lt;18),
    1.10,
    1.00)</f>
        <v/>
      </c>
      <c r="O9252">
        <f>IF('Loan Tape (S&amp;P)'!T9252="Yes",
    1.35,
    1.00)</f>
        <v/>
      </c>
      <c r="P9252">
        <f>IF('Loan Tape (S&amp;P)'!S9252="Yes",
    1.15,
    1.00)</f>
        <v/>
      </c>
      <c r="Q9252">
        <f>IF('Loan Tape (S&amp;P)'!V9252="Yes",
    1.20,
    1.00)</f>
        <v/>
      </c>
      <c r="T9252">
        <f>LET(
    payment_method,'Loan Tape (S&amp;P)'!P9252,
    occupancy,'Loan Tape (S&amp;P)'!N9252,
    maturity_date,'Loan Tape (S&amp;P)'!L9252,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53">
      <c r="J9253">
        <f>LET(
    lien,'Loan Tape (S&amp;P)'!Q9253,
    IF(lien="First",1.00,
        IF(lien="Second",1.50,
            1.70)))</f>
        <v/>
      </c>
      <c r="K9253">
        <f>LET(
    purpose,'Loan Tape (S&amp;P)'!R9253,
    IF(purpose="Purchase",1.00,
        IF(purpose="Remortgage",1.00,
            1.20)))</f>
        <v/>
      </c>
      <c r="L9253">
        <f>LET(
    arrears_months,'Loan Tape (S&amp;P)'!AN9253,
    IF(arrears_months=0,1.00,
    IF(arrears_months=1,3.00,
    IF(arrears_months=2,5.00,
    IF(arrears_months=3,8.00,
    IF(arrears_months=4,10.00,
    IF(arrears_months=5,12.00,15.00)))))))</f>
        <v/>
      </c>
      <c r="M9253">
        <f>LET(
    seasoning_years,DATEDIF('Loan Tape (S&amp;P)'!K9253,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53">
        <f>IF(AND('Loan Tape (S&amp;P)'!U9253="Yes",
        'Loan Tape (S&amp;P)'!T9253&lt;&gt;"Yes",
        DATEDIF('Loan Tape (S&amp;P)'!K9253, TODAY(), "M")&lt;18),
    1.10,
    1.00)</f>
        <v/>
      </c>
      <c r="O9253">
        <f>IF('Loan Tape (S&amp;P)'!T9253="Yes",
    1.35,
    1.00)</f>
        <v/>
      </c>
      <c r="P9253">
        <f>IF('Loan Tape (S&amp;P)'!S9253="Yes",
    1.15,
    1.00)</f>
        <v/>
      </c>
      <c r="Q9253">
        <f>IF('Loan Tape (S&amp;P)'!V9253="Yes",
    1.20,
    1.00)</f>
        <v/>
      </c>
      <c r="T9253">
        <f>LET(
    payment_method,'Loan Tape (S&amp;P)'!P9253,
    occupancy,'Loan Tape (S&amp;P)'!N9253,
    maturity_date,'Loan Tape (S&amp;P)'!L9253,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54">
      <c r="J9254">
        <f>LET(
    lien,'Loan Tape (S&amp;P)'!Q9254,
    IF(lien="First",1.00,
        IF(lien="Second",1.50,
            1.70)))</f>
        <v/>
      </c>
      <c r="K9254">
        <f>LET(
    purpose,'Loan Tape (S&amp;P)'!R9254,
    IF(purpose="Purchase",1.00,
        IF(purpose="Remortgage",1.00,
            1.20)))</f>
        <v/>
      </c>
      <c r="L9254">
        <f>LET(
    arrears_months,'Loan Tape (S&amp;P)'!AN9254,
    IF(arrears_months=0,1.00,
    IF(arrears_months=1,3.00,
    IF(arrears_months=2,5.00,
    IF(arrears_months=3,8.00,
    IF(arrears_months=4,10.00,
    IF(arrears_months=5,12.00,15.00)))))))</f>
        <v/>
      </c>
      <c r="M9254">
        <f>LET(
    seasoning_years,DATEDIF('Loan Tape (S&amp;P)'!K9254,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54">
        <f>IF(AND('Loan Tape (S&amp;P)'!U9254="Yes",
        'Loan Tape (S&amp;P)'!T9254&lt;&gt;"Yes",
        DATEDIF('Loan Tape (S&amp;P)'!K9254, TODAY(), "M")&lt;18),
    1.10,
    1.00)</f>
        <v/>
      </c>
      <c r="O9254">
        <f>IF('Loan Tape (S&amp;P)'!T9254="Yes",
    1.35,
    1.00)</f>
        <v/>
      </c>
      <c r="P9254">
        <f>IF('Loan Tape (S&amp;P)'!S9254="Yes",
    1.15,
    1.00)</f>
        <v/>
      </c>
      <c r="Q9254">
        <f>IF('Loan Tape (S&amp;P)'!V9254="Yes",
    1.20,
    1.00)</f>
        <v/>
      </c>
      <c r="T9254">
        <f>LET(
    payment_method,'Loan Tape (S&amp;P)'!P9254,
    occupancy,'Loan Tape (S&amp;P)'!N9254,
    maturity_date,'Loan Tape (S&amp;P)'!L9254,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55">
      <c r="J9255">
        <f>LET(
    lien,'Loan Tape (S&amp;P)'!Q9255,
    IF(lien="First",1.00,
        IF(lien="Second",1.50,
            1.70)))</f>
        <v/>
      </c>
      <c r="K9255">
        <f>LET(
    purpose,'Loan Tape (S&amp;P)'!R9255,
    IF(purpose="Purchase",1.00,
        IF(purpose="Remortgage",1.00,
            1.20)))</f>
        <v/>
      </c>
      <c r="L9255">
        <f>LET(
    arrears_months,'Loan Tape (S&amp;P)'!AN9255,
    IF(arrears_months=0,1.00,
    IF(arrears_months=1,3.00,
    IF(arrears_months=2,5.00,
    IF(arrears_months=3,8.00,
    IF(arrears_months=4,10.00,
    IF(arrears_months=5,12.00,15.00)))))))</f>
        <v/>
      </c>
      <c r="M9255">
        <f>LET(
    seasoning_years,DATEDIF('Loan Tape (S&amp;P)'!K9255,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55">
        <f>IF(AND('Loan Tape (S&amp;P)'!U9255="Yes",
        'Loan Tape (S&amp;P)'!T9255&lt;&gt;"Yes",
        DATEDIF('Loan Tape (S&amp;P)'!K9255, TODAY(), "M")&lt;18),
    1.10,
    1.00)</f>
        <v/>
      </c>
      <c r="O9255">
        <f>IF('Loan Tape (S&amp;P)'!T9255="Yes",
    1.35,
    1.00)</f>
        <v/>
      </c>
      <c r="P9255">
        <f>IF('Loan Tape (S&amp;P)'!S9255="Yes",
    1.15,
    1.00)</f>
        <v/>
      </c>
      <c r="Q9255">
        <f>IF('Loan Tape (S&amp;P)'!V9255="Yes",
    1.20,
    1.00)</f>
        <v/>
      </c>
      <c r="T9255">
        <f>LET(
    payment_method,'Loan Tape (S&amp;P)'!P9255,
    occupancy,'Loan Tape (S&amp;P)'!N9255,
    maturity_date,'Loan Tape (S&amp;P)'!L9255,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56">
      <c r="J9256">
        <f>LET(
    lien,'Loan Tape (S&amp;P)'!Q9256,
    IF(lien="First",1.00,
        IF(lien="Second",1.50,
            1.70)))</f>
        <v/>
      </c>
      <c r="K9256">
        <f>LET(
    purpose,'Loan Tape (S&amp;P)'!R9256,
    IF(purpose="Purchase",1.00,
        IF(purpose="Remortgage",1.00,
            1.20)))</f>
        <v/>
      </c>
      <c r="L9256">
        <f>LET(
    arrears_months,'Loan Tape (S&amp;P)'!AN9256,
    IF(arrears_months=0,1.00,
    IF(arrears_months=1,3.00,
    IF(arrears_months=2,5.00,
    IF(arrears_months=3,8.00,
    IF(arrears_months=4,10.00,
    IF(arrears_months=5,12.00,15.00)))))))</f>
        <v/>
      </c>
      <c r="M9256">
        <f>LET(
    seasoning_years,DATEDIF('Loan Tape (S&amp;P)'!K9256,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56">
        <f>IF(AND('Loan Tape (S&amp;P)'!U9256="Yes",
        'Loan Tape (S&amp;P)'!T9256&lt;&gt;"Yes",
        DATEDIF('Loan Tape (S&amp;P)'!K9256, TODAY(), "M")&lt;18),
    1.10,
    1.00)</f>
        <v/>
      </c>
      <c r="O9256">
        <f>IF('Loan Tape (S&amp;P)'!T9256="Yes",
    1.35,
    1.00)</f>
        <v/>
      </c>
      <c r="P9256">
        <f>IF('Loan Tape (S&amp;P)'!S9256="Yes",
    1.15,
    1.00)</f>
        <v/>
      </c>
      <c r="Q9256">
        <f>IF('Loan Tape (S&amp;P)'!V9256="Yes",
    1.20,
    1.00)</f>
        <v/>
      </c>
      <c r="T9256">
        <f>LET(
    payment_method,'Loan Tape (S&amp;P)'!P9256,
    occupancy,'Loan Tape (S&amp;P)'!N9256,
    maturity_date,'Loan Tape (S&amp;P)'!L9256,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57">
      <c r="J9257">
        <f>LET(
    lien,'Loan Tape (S&amp;P)'!Q9257,
    IF(lien="First",1.00,
        IF(lien="Second",1.50,
            1.70)))</f>
        <v/>
      </c>
      <c r="K9257">
        <f>LET(
    purpose,'Loan Tape (S&amp;P)'!R9257,
    IF(purpose="Purchase",1.00,
        IF(purpose="Remortgage",1.00,
            1.20)))</f>
        <v/>
      </c>
      <c r="L9257">
        <f>LET(
    arrears_months,'Loan Tape (S&amp;P)'!AN9257,
    IF(arrears_months=0,1.00,
    IF(arrears_months=1,3.00,
    IF(arrears_months=2,5.00,
    IF(arrears_months=3,8.00,
    IF(arrears_months=4,10.00,
    IF(arrears_months=5,12.00,15.00)))))))</f>
        <v/>
      </c>
      <c r="M9257">
        <f>LET(
    seasoning_years,DATEDIF('Loan Tape (S&amp;P)'!K9257,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57">
        <f>IF(AND('Loan Tape (S&amp;P)'!U9257="Yes",
        'Loan Tape (S&amp;P)'!T9257&lt;&gt;"Yes",
        DATEDIF('Loan Tape (S&amp;P)'!K9257, TODAY(), "M")&lt;18),
    1.10,
    1.00)</f>
        <v/>
      </c>
      <c r="O9257">
        <f>IF('Loan Tape (S&amp;P)'!T9257="Yes",
    1.35,
    1.00)</f>
        <v/>
      </c>
      <c r="P9257">
        <f>IF('Loan Tape (S&amp;P)'!S9257="Yes",
    1.15,
    1.00)</f>
        <v/>
      </c>
      <c r="Q9257">
        <f>IF('Loan Tape (S&amp;P)'!V9257="Yes",
    1.20,
    1.00)</f>
        <v/>
      </c>
      <c r="T9257">
        <f>LET(
    payment_method,'Loan Tape (S&amp;P)'!P9257,
    occupancy,'Loan Tape (S&amp;P)'!N9257,
    maturity_date,'Loan Tape (S&amp;P)'!L9257,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58">
      <c r="J9258">
        <f>LET(
    lien,'Loan Tape (S&amp;P)'!Q9258,
    IF(lien="First",1.00,
        IF(lien="Second",1.50,
            1.70)))</f>
        <v/>
      </c>
      <c r="K9258">
        <f>LET(
    purpose,'Loan Tape (S&amp;P)'!R9258,
    IF(purpose="Purchase",1.00,
        IF(purpose="Remortgage",1.00,
            1.20)))</f>
        <v/>
      </c>
      <c r="L9258">
        <f>LET(
    arrears_months,'Loan Tape (S&amp;P)'!AN9258,
    IF(arrears_months=0,1.00,
    IF(arrears_months=1,3.00,
    IF(arrears_months=2,5.00,
    IF(arrears_months=3,8.00,
    IF(arrears_months=4,10.00,
    IF(arrears_months=5,12.00,15.00)))))))</f>
        <v/>
      </c>
      <c r="M9258">
        <f>LET(
    seasoning_years,DATEDIF('Loan Tape (S&amp;P)'!K9258,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58">
        <f>IF(AND('Loan Tape (S&amp;P)'!U9258="Yes",
        'Loan Tape (S&amp;P)'!T9258&lt;&gt;"Yes",
        DATEDIF('Loan Tape (S&amp;P)'!K9258, TODAY(), "M")&lt;18),
    1.10,
    1.00)</f>
        <v/>
      </c>
      <c r="O9258">
        <f>IF('Loan Tape (S&amp;P)'!T9258="Yes",
    1.35,
    1.00)</f>
        <v/>
      </c>
      <c r="P9258">
        <f>IF('Loan Tape (S&amp;P)'!S9258="Yes",
    1.15,
    1.00)</f>
        <v/>
      </c>
      <c r="Q9258">
        <f>IF('Loan Tape (S&amp;P)'!V9258="Yes",
    1.20,
    1.00)</f>
        <v/>
      </c>
      <c r="T9258">
        <f>LET(
    payment_method,'Loan Tape (S&amp;P)'!P9258,
    occupancy,'Loan Tape (S&amp;P)'!N9258,
    maturity_date,'Loan Tape (S&amp;P)'!L9258,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59">
      <c r="J9259">
        <f>LET(
    lien,'Loan Tape (S&amp;P)'!Q9259,
    IF(lien="First",1.00,
        IF(lien="Second",1.50,
            1.70)))</f>
        <v/>
      </c>
      <c r="K9259">
        <f>LET(
    purpose,'Loan Tape (S&amp;P)'!R9259,
    IF(purpose="Purchase",1.00,
        IF(purpose="Remortgage",1.00,
            1.20)))</f>
        <v/>
      </c>
      <c r="L9259">
        <f>LET(
    arrears_months,'Loan Tape (S&amp;P)'!AN9259,
    IF(arrears_months=0,1.00,
    IF(arrears_months=1,3.00,
    IF(arrears_months=2,5.00,
    IF(arrears_months=3,8.00,
    IF(arrears_months=4,10.00,
    IF(arrears_months=5,12.00,15.00)))))))</f>
        <v/>
      </c>
      <c r="M9259">
        <f>LET(
    seasoning_years,DATEDIF('Loan Tape (S&amp;P)'!K9259,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59">
        <f>IF(AND('Loan Tape (S&amp;P)'!U9259="Yes",
        'Loan Tape (S&amp;P)'!T9259&lt;&gt;"Yes",
        DATEDIF('Loan Tape (S&amp;P)'!K9259, TODAY(), "M")&lt;18),
    1.10,
    1.00)</f>
        <v/>
      </c>
      <c r="O9259">
        <f>IF('Loan Tape (S&amp;P)'!T9259="Yes",
    1.35,
    1.00)</f>
        <v/>
      </c>
      <c r="P9259">
        <f>IF('Loan Tape (S&amp;P)'!S9259="Yes",
    1.15,
    1.00)</f>
        <v/>
      </c>
      <c r="Q9259">
        <f>IF('Loan Tape (S&amp;P)'!V9259="Yes",
    1.20,
    1.00)</f>
        <v/>
      </c>
      <c r="T9259">
        <f>LET(
    payment_method,'Loan Tape (S&amp;P)'!P9259,
    occupancy,'Loan Tape (S&amp;P)'!N9259,
    maturity_date,'Loan Tape (S&amp;P)'!L9259,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60">
      <c r="J9260">
        <f>LET(
    lien,'Loan Tape (S&amp;P)'!Q9260,
    IF(lien="First",1.00,
        IF(lien="Second",1.50,
            1.70)))</f>
        <v/>
      </c>
      <c r="K9260">
        <f>LET(
    purpose,'Loan Tape (S&amp;P)'!R9260,
    IF(purpose="Purchase",1.00,
        IF(purpose="Remortgage",1.00,
            1.20)))</f>
        <v/>
      </c>
      <c r="L9260">
        <f>LET(
    arrears_months,'Loan Tape (S&amp;P)'!AN9260,
    IF(arrears_months=0,1.00,
    IF(arrears_months=1,3.00,
    IF(arrears_months=2,5.00,
    IF(arrears_months=3,8.00,
    IF(arrears_months=4,10.00,
    IF(arrears_months=5,12.00,15.00)))))))</f>
        <v/>
      </c>
      <c r="M9260">
        <f>LET(
    seasoning_years,DATEDIF('Loan Tape (S&amp;P)'!K9260,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60">
        <f>IF(AND('Loan Tape (S&amp;P)'!U9260="Yes",
        'Loan Tape (S&amp;P)'!T9260&lt;&gt;"Yes",
        DATEDIF('Loan Tape (S&amp;P)'!K9260, TODAY(), "M")&lt;18),
    1.10,
    1.00)</f>
        <v/>
      </c>
      <c r="O9260">
        <f>IF('Loan Tape (S&amp;P)'!T9260="Yes",
    1.35,
    1.00)</f>
        <v/>
      </c>
      <c r="P9260">
        <f>IF('Loan Tape (S&amp;P)'!S9260="Yes",
    1.15,
    1.00)</f>
        <v/>
      </c>
      <c r="Q9260">
        <f>IF('Loan Tape (S&amp;P)'!V9260="Yes",
    1.20,
    1.00)</f>
        <v/>
      </c>
      <c r="T9260">
        <f>LET(
    payment_method,'Loan Tape (S&amp;P)'!P9260,
    occupancy,'Loan Tape (S&amp;P)'!N9260,
    maturity_date,'Loan Tape (S&amp;P)'!L9260,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61">
      <c r="J9261">
        <f>LET(
    lien,'Loan Tape (S&amp;P)'!Q9261,
    IF(lien="First",1.00,
        IF(lien="Second",1.50,
            1.70)))</f>
        <v/>
      </c>
      <c r="K9261">
        <f>LET(
    purpose,'Loan Tape (S&amp;P)'!R9261,
    IF(purpose="Purchase",1.00,
        IF(purpose="Remortgage",1.00,
            1.20)))</f>
        <v/>
      </c>
      <c r="L9261">
        <f>LET(
    arrears_months,'Loan Tape (S&amp;P)'!AN9261,
    IF(arrears_months=0,1.00,
    IF(arrears_months=1,3.00,
    IF(arrears_months=2,5.00,
    IF(arrears_months=3,8.00,
    IF(arrears_months=4,10.00,
    IF(arrears_months=5,12.00,15.00)))))))</f>
        <v/>
      </c>
      <c r="M9261">
        <f>LET(
    seasoning_years,DATEDIF('Loan Tape (S&amp;P)'!K9261,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61">
        <f>IF(AND('Loan Tape (S&amp;P)'!U9261="Yes",
        'Loan Tape (S&amp;P)'!T9261&lt;&gt;"Yes",
        DATEDIF('Loan Tape (S&amp;P)'!K9261, TODAY(), "M")&lt;18),
    1.10,
    1.00)</f>
        <v/>
      </c>
      <c r="O9261">
        <f>IF('Loan Tape (S&amp;P)'!T9261="Yes",
    1.35,
    1.00)</f>
        <v/>
      </c>
      <c r="P9261">
        <f>IF('Loan Tape (S&amp;P)'!S9261="Yes",
    1.15,
    1.00)</f>
        <v/>
      </c>
      <c r="Q9261">
        <f>IF('Loan Tape (S&amp;P)'!V9261="Yes",
    1.20,
    1.00)</f>
        <v/>
      </c>
      <c r="T9261">
        <f>LET(
    payment_method,'Loan Tape (S&amp;P)'!P9261,
    occupancy,'Loan Tape (S&amp;P)'!N9261,
    maturity_date,'Loan Tape (S&amp;P)'!L9261,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62">
      <c r="J9262">
        <f>LET(
    lien,'Loan Tape (S&amp;P)'!Q9262,
    IF(lien="First",1.00,
        IF(lien="Second",1.50,
            1.70)))</f>
        <v/>
      </c>
      <c r="K9262">
        <f>LET(
    purpose,'Loan Tape (S&amp;P)'!R9262,
    IF(purpose="Purchase",1.00,
        IF(purpose="Remortgage",1.00,
            1.20)))</f>
        <v/>
      </c>
      <c r="L9262">
        <f>LET(
    arrears_months,'Loan Tape (S&amp;P)'!AN9262,
    IF(arrears_months=0,1.00,
    IF(arrears_months=1,3.00,
    IF(arrears_months=2,5.00,
    IF(arrears_months=3,8.00,
    IF(arrears_months=4,10.00,
    IF(arrears_months=5,12.00,15.00)))))))</f>
        <v/>
      </c>
      <c r="M9262">
        <f>LET(
    seasoning_years,DATEDIF('Loan Tape (S&amp;P)'!K9262,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62">
        <f>IF(AND('Loan Tape (S&amp;P)'!U9262="Yes",
        'Loan Tape (S&amp;P)'!T9262&lt;&gt;"Yes",
        DATEDIF('Loan Tape (S&amp;P)'!K9262, TODAY(), "M")&lt;18),
    1.10,
    1.00)</f>
        <v/>
      </c>
      <c r="O9262">
        <f>IF('Loan Tape (S&amp;P)'!T9262="Yes",
    1.35,
    1.00)</f>
        <v/>
      </c>
      <c r="P9262">
        <f>IF('Loan Tape (S&amp;P)'!S9262="Yes",
    1.15,
    1.00)</f>
        <v/>
      </c>
      <c r="Q9262">
        <f>IF('Loan Tape (S&amp;P)'!V9262="Yes",
    1.20,
    1.00)</f>
        <v/>
      </c>
      <c r="T9262">
        <f>LET(
    payment_method,'Loan Tape (S&amp;P)'!P9262,
    occupancy,'Loan Tape (S&amp;P)'!N9262,
    maturity_date,'Loan Tape (S&amp;P)'!L9262,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63">
      <c r="J9263">
        <f>LET(
    lien,'Loan Tape (S&amp;P)'!Q9263,
    IF(lien="First",1.00,
        IF(lien="Second",1.50,
            1.70)))</f>
        <v/>
      </c>
      <c r="K9263">
        <f>LET(
    purpose,'Loan Tape (S&amp;P)'!R9263,
    IF(purpose="Purchase",1.00,
        IF(purpose="Remortgage",1.00,
            1.20)))</f>
        <v/>
      </c>
      <c r="L9263">
        <f>LET(
    arrears_months,'Loan Tape (S&amp;P)'!AN9263,
    IF(arrears_months=0,1.00,
    IF(arrears_months=1,3.00,
    IF(arrears_months=2,5.00,
    IF(arrears_months=3,8.00,
    IF(arrears_months=4,10.00,
    IF(arrears_months=5,12.00,15.00)))))))</f>
        <v/>
      </c>
      <c r="M9263">
        <f>LET(
    seasoning_years,DATEDIF('Loan Tape (S&amp;P)'!K9263,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63">
        <f>IF(AND('Loan Tape (S&amp;P)'!U9263="Yes",
        'Loan Tape (S&amp;P)'!T9263&lt;&gt;"Yes",
        DATEDIF('Loan Tape (S&amp;P)'!K9263, TODAY(), "M")&lt;18),
    1.10,
    1.00)</f>
        <v/>
      </c>
      <c r="O9263">
        <f>IF('Loan Tape (S&amp;P)'!T9263="Yes",
    1.35,
    1.00)</f>
        <v/>
      </c>
      <c r="P9263">
        <f>IF('Loan Tape (S&amp;P)'!S9263="Yes",
    1.15,
    1.00)</f>
        <v/>
      </c>
      <c r="Q9263">
        <f>IF('Loan Tape (S&amp;P)'!V9263="Yes",
    1.20,
    1.00)</f>
        <v/>
      </c>
      <c r="T9263">
        <f>LET(
    payment_method,'Loan Tape (S&amp;P)'!P9263,
    occupancy,'Loan Tape (S&amp;P)'!N9263,
    maturity_date,'Loan Tape (S&amp;P)'!L9263,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64">
      <c r="J9264">
        <f>LET(
    lien,'Loan Tape (S&amp;P)'!Q9264,
    IF(lien="First",1.00,
        IF(lien="Second",1.50,
            1.70)))</f>
        <v/>
      </c>
      <c r="K9264">
        <f>LET(
    purpose,'Loan Tape (S&amp;P)'!R9264,
    IF(purpose="Purchase",1.00,
        IF(purpose="Remortgage",1.00,
            1.20)))</f>
        <v/>
      </c>
      <c r="L9264">
        <f>LET(
    arrears_months,'Loan Tape (S&amp;P)'!AN9264,
    IF(arrears_months=0,1.00,
    IF(arrears_months=1,3.00,
    IF(arrears_months=2,5.00,
    IF(arrears_months=3,8.00,
    IF(arrears_months=4,10.00,
    IF(arrears_months=5,12.00,15.00)))))))</f>
        <v/>
      </c>
      <c r="M9264">
        <f>LET(
    seasoning_years,DATEDIF('Loan Tape (S&amp;P)'!K9264,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64">
        <f>IF(AND('Loan Tape (S&amp;P)'!U9264="Yes",
        'Loan Tape (S&amp;P)'!T9264&lt;&gt;"Yes",
        DATEDIF('Loan Tape (S&amp;P)'!K9264, TODAY(), "M")&lt;18),
    1.10,
    1.00)</f>
        <v/>
      </c>
      <c r="O9264">
        <f>IF('Loan Tape (S&amp;P)'!T9264="Yes",
    1.35,
    1.00)</f>
        <v/>
      </c>
      <c r="P9264">
        <f>IF('Loan Tape (S&amp;P)'!S9264="Yes",
    1.15,
    1.00)</f>
        <v/>
      </c>
      <c r="Q9264">
        <f>IF('Loan Tape (S&amp;P)'!V9264="Yes",
    1.20,
    1.00)</f>
        <v/>
      </c>
      <c r="T9264">
        <f>LET(
    payment_method,'Loan Tape (S&amp;P)'!P9264,
    occupancy,'Loan Tape (S&amp;P)'!N9264,
    maturity_date,'Loan Tape (S&amp;P)'!L9264,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65">
      <c r="J9265">
        <f>LET(
    lien,'Loan Tape (S&amp;P)'!Q9265,
    IF(lien="First",1.00,
        IF(lien="Second",1.50,
            1.70)))</f>
        <v/>
      </c>
      <c r="K9265">
        <f>LET(
    purpose,'Loan Tape (S&amp;P)'!R9265,
    IF(purpose="Purchase",1.00,
        IF(purpose="Remortgage",1.00,
            1.20)))</f>
        <v/>
      </c>
      <c r="L9265">
        <f>LET(
    arrears_months,'Loan Tape (S&amp;P)'!AN9265,
    IF(arrears_months=0,1.00,
    IF(arrears_months=1,3.00,
    IF(arrears_months=2,5.00,
    IF(arrears_months=3,8.00,
    IF(arrears_months=4,10.00,
    IF(arrears_months=5,12.00,15.00)))))))</f>
        <v/>
      </c>
      <c r="M9265">
        <f>LET(
    seasoning_years,DATEDIF('Loan Tape (S&amp;P)'!K9265,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65">
        <f>IF(AND('Loan Tape (S&amp;P)'!U9265="Yes",
        'Loan Tape (S&amp;P)'!T9265&lt;&gt;"Yes",
        DATEDIF('Loan Tape (S&amp;P)'!K9265, TODAY(), "M")&lt;18),
    1.10,
    1.00)</f>
        <v/>
      </c>
      <c r="O9265">
        <f>IF('Loan Tape (S&amp;P)'!T9265="Yes",
    1.35,
    1.00)</f>
        <v/>
      </c>
      <c r="P9265">
        <f>IF('Loan Tape (S&amp;P)'!S9265="Yes",
    1.15,
    1.00)</f>
        <v/>
      </c>
      <c r="Q9265">
        <f>IF('Loan Tape (S&amp;P)'!V9265="Yes",
    1.20,
    1.00)</f>
        <v/>
      </c>
      <c r="T9265">
        <f>LET(
    payment_method,'Loan Tape (S&amp;P)'!P9265,
    occupancy,'Loan Tape (S&amp;P)'!N9265,
    maturity_date,'Loan Tape (S&amp;P)'!L9265,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66">
      <c r="J9266">
        <f>LET(
    lien,'Loan Tape (S&amp;P)'!Q9266,
    IF(lien="First",1.00,
        IF(lien="Second",1.50,
            1.70)))</f>
        <v/>
      </c>
      <c r="K9266">
        <f>LET(
    purpose,'Loan Tape (S&amp;P)'!R9266,
    IF(purpose="Purchase",1.00,
        IF(purpose="Remortgage",1.00,
            1.20)))</f>
        <v/>
      </c>
      <c r="L9266">
        <f>LET(
    arrears_months,'Loan Tape (S&amp;P)'!AN9266,
    IF(arrears_months=0,1.00,
    IF(arrears_months=1,3.00,
    IF(arrears_months=2,5.00,
    IF(arrears_months=3,8.00,
    IF(arrears_months=4,10.00,
    IF(arrears_months=5,12.00,15.00)))))))</f>
        <v/>
      </c>
      <c r="M9266">
        <f>LET(
    seasoning_years,DATEDIF('Loan Tape (S&amp;P)'!K9266,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66">
        <f>IF(AND('Loan Tape (S&amp;P)'!U9266="Yes",
        'Loan Tape (S&amp;P)'!T9266&lt;&gt;"Yes",
        DATEDIF('Loan Tape (S&amp;P)'!K9266, TODAY(), "M")&lt;18),
    1.10,
    1.00)</f>
        <v/>
      </c>
      <c r="O9266">
        <f>IF('Loan Tape (S&amp;P)'!T9266="Yes",
    1.35,
    1.00)</f>
        <v/>
      </c>
      <c r="P9266">
        <f>IF('Loan Tape (S&amp;P)'!S9266="Yes",
    1.15,
    1.00)</f>
        <v/>
      </c>
      <c r="Q9266">
        <f>IF('Loan Tape (S&amp;P)'!V9266="Yes",
    1.20,
    1.00)</f>
        <v/>
      </c>
      <c r="T9266">
        <f>LET(
    payment_method,'Loan Tape (S&amp;P)'!P9266,
    occupancy,'Loan Tape (S&amp;P)'!N9266,
    maturity_date,'Loan Tape (S&amp;P)'!L9266,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67">
      <c r="J9267">
        <f>LET(
    lien,'Loan Tape (S&amp;P)'!Q9267,
    IF(lien="First",1.00,
        IF(lien="Second",1.50,
            1.70)))</f>
        <v/>
      </c>
      <c r="K9267">
        <f>LET(
    purpose,'Loan Tape (S&amp;P)'!R9267,
    IF(purpose="Purchase",1.00,
        IF(purpose="Remortgage",1.00,
            1.20)))</f>
        <v/>
      </c>
      <c r="L9267">
        <f>LET(
    arrears_months,'Loan Tape (S&amp;P)'!AN9267,
    IF(arrears_months=0,1.00,
    IF(arrears_months=1,3.00,
    IF(arrears_months=2,5.00,
    IF(arrears_months=3,8.00,
    IF(arrears_months=4,10.00,
    IF(arrears_months=5,12.00,15.00)))))))</f>
        <v/>
      </c>
      <c r="M9267">
        <f>LET(
    seasoning_years,DATEDIF('Loan Tape (S&amp;P)'!K9267,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67">
        <f>IF(AND('Loan Tape (S&amp;P)'!U9267="Yes",
        'Loan Tape (S&amp;P)'!T9267&lt;&gt;"Yes",
        DATEDIF('Loan Tape (S&amp;P)'!K9267, TODAY(), "M")&lt;18),
    1.10,
    1.00)</f>
        <v/>
      </c>
      <c r="O9267">
        <f>IF('Loan Tape (S&amp;P)'!T9267="Yes",
    1.35,
    1.00)</f>
        <v/>
      </c>
      <c r="P9267">
        <f>IF('Loan Tape (S&amp;P)'!S9267="Yes",
    1.15,
    1.00)</f>
        <v/>
      </c>
      <c r="Q9267">
        <f>IF('Loan Tape (S&amp;P)'!V9267="Yes",
    1.20,
    1.00)</f>
        <v/>
      </c>
      <c r="T9267">
        <f>LET(
    payment_method,'Loan Tape (S&amp;P)'!P9267,
    occupancy,'Loan Tape (S&amp;P)'!N9267,
    maturity_date,'Loan Tape (S&amp;P)'!L9267,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68">
      <c r="J9268">
        <f>LET(
    lien,'Loan Tape (S&amp;P)'!Q9268,
    IF(lien="First",1.00,
        IF(lien="Second",1.50,
            1.70)))</f>
        <v/>
      </c>
      <c r="K9268">
        <f>LET(
    purpose,'Loan Tape (S&amp;P)'!R9268,
    IF(purpose="Purchase",1.00,
        IF(purpose="Remortgage",1.00,
            1.20)))</f>
        <v/>
      </c>
      <c r="L9268">
        <f>LET(
    arrears_months,'Loan Tape (S&amp;P)'!AN9268,
    IF(arrears_months=0,1.00,
    IF(arrears_months=1,3.00,
    IF(arrears_months=2,5.00,
    IF(arrears_months=3,8.00,
    IF(arrears_months=4,10.00,
    IF(arrears_months=5,12.00,15.00)))))))</f>
        <v/>
      </c>
      <c r="M9268">
        <f>LET(
    seasoning_years,DATEDIF('Loan Tape (S&amp;P)'!K9268,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68">
        <f>IF(AND('Loan Tape (S&amp;P)'!U9268="Yes",
        'Loan Tape (S&amp;P)'!T9268&lt;&gt;"Yes",
        DATEDIF('Loan Tape (S&amp;P)'!K9268, TODAY(), "M")&lt;18),
    1.10,
    1.00)</f>
        <v/>
      </c>
      <c r="O9268">
        <f>IF('Loan Tape (S&amp;P)'!T9268="Yes",
    1.35,
    1.00)</f>
        <v/>
      </c>
      <c r="P9268">
        <f>IF('Loan Tape (S&amp;P)'!S9268="Yes",
    1.15,
    1.00)</f>
        <v/>
      </c>
      <c r="Q9268">
        <f>IF('Loan Tape (S&amp;P)'!V9268="Yes",
    1.20,
    1.00)</f>
        <v/>
      </c>
      <c r="T9268">
        <f>LET(
    payment_method,'Loan Tape (S&amp;P)'!P9268,
    occupancy,'Loan Tape (S&amp;P)'!N9268,
    maturity_date,'Loan Tape (S&amp;P)'!L9268,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69">
      <c r="J9269">
        <f>LET(
    lien,'Loan Tape (S&amp;P)'!Q9269,
    IF(lien="First",1.00,
        IF(lien="Second",1.50,
            1.70)))</f>
        <v/>
      </c>
      <c r="K9269">
        <f>LET(
    purpose,'Loan Tape (S&amp;P)'!R9269,
    IF(purpose="Purchase",1.00,
        IF(purpose="Remortgage",1.00,
            1.20)))</f>
        <v/>
      </c>
      <c r="L9269">
        <f>LET(
    arrears_months,'Loan Tape (S&amp;P)'!AN9269,
    IF(arrears_months=0,1.00,
    IF(arrears_months=1,3.00,
    IF(arrears_months=2,5.00,
    IF(arrears_months=3,8.00,
    IF(arrears_months=4,10.00,
    IF(arrears_months=5,12.00,15.00)))))))</f>
        <v/>
      </c>
      <c r="M9269">
        <f>LET(
    seasoning_years,DATEDIF('Loan Tape (S&amp;P)'!K9269,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69">
        <f>IF(AND('Loan Tape (S&amp;P)'!U9269="Yes",
        'Loan Tape (S&amp;P)'!T9269&lt;&gt;"Yes",
        DATEDIF('Loan Tape (S&amp;P)'!K9269, TODAY(), "M")&lt;18),
    1.10,
    1.00)</f>
        <v/>
      </c>
      <c r="O9269">
        <f>IF('Loan Tape (S&amp;P)'!T9269="Yes",
    1.35,
    1.00)</f>
        <v/>
      </c>
      <c r="P9269">
        <f>IF('Loan Tape (S&amp;P)'!S9269="Yes",
    1.15,
    1.00)</f>
        <v/>
      </c>
      <c r="Q9269">
        <f>IF('Loan Tape (S&amp;P)'!V9269="Yes",
    1.20,
    1.00)</f>
        <v/>
      </c>
      <c r="T9269">
        <f>LET(
    payment_method,'Loan Tape (S&amp;P)'!P9269,
    occupancy,'Loan Tape (S&amp;P)'!N9269,
    maturity_date,'Loan Tape (S&amp;P)'!L9269,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70">
      <c r="J9270">
        <f>LET(
    lien,'Loan Tape (S&amp;P)'!Q9270,
    IF(lien="First",1.00,
        IF(lien="Second",1.50,
            1.70)))</f>
        <v/>
      </c>
      <c r="K9270">
        <f>LET(
    purpose,'Loan Tape (S&amp;P)'!R9270,
    IF(purpose="Purchase",1.00,
        IF(purpose="Remortgage",1.00,
            1.20)))</f>
        <v/>
      </c>
      <c r="L9270">
        <f>LET(
    arrears_months,'Loan Tape (S&amp;P)'!AN9270,
    IF(arrears_months=0,1.00,
    IF(arrears_months=1,3.00,
    IF(arrears_months=2,5.00,
    IF(arrears_months=3,8.00,
    IF(arrears_months=4,10.00,
    IF(arrears_months=5,12.00,15.00)))))))</f>
        <v/>
      </c>
      <c r="M9270">
        <f>LET(
    seasoning_years,DATEDIF('Loan Tape (S&amp;P)'!K9270,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70">
        <f>IF(AND('Loan Tape (S&amp;P)'!U9270="Yes",
        'Loan Tape (S&amp;P)'!T9270&lt;&gt;"Yes",
        DATEDIF('Loan Tape (S&amp;P)'!K9270, TODAY(), "M")&lt;18),
    1.10,
    1.00)</f>
        <v/>
      </c>
      <c r="O9270">
        <f>IF('Loan Tape (S&amp;P)'!T9270="Yes",
    1.35,
    1.00)</f>
        <v/>
      </c>
      <c r="P9270">
        <f>IF('Loan Tape (S&amp;P)'!S9270="Yes",
    1.15,
    1.00)</f>
        <v/>
      </c>
      <c r="Q9270">
        <f>IF('Loan Tape (S&amp;P)'!V9270="Yes",
    1.20,
    1.00)</f>
        <v/>
      </c>
      <c r="T9270">
        <f>LET(
    payment_method,'Loan Tape (S&amp;P)'!P9270,
    occupancy,'Loan Tape (S&amp;P)'!N9270,
    maturity_date,'Loan Tape (S&amp;P)'!L9270,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71">
      <c r="J9271">
        <f>LET(
    lien,'Loan Tape (S&amp;P)'!Q9271,
    IF(lien="First",1.00,
        IF(lien="Second",1.50,
            1.70)))</f>
        <v/>
      </c>
      <c r="K9271">
        <f>LET(
    purpose,'Loan Tape (S&amp;P)'!R9271,
    IF(purpose="Purchase",1.00,
        IF(purpose="Remortgage",1.00,
            1.20)))</f>
        <v/>
      </c>
      <c r="L9271">
        <f>LET(
    arrears_months,'Loan Tape (S&amp;P)'!AN9271,
    IF(arrears_months=0,1.00,
    IF(arrears_months=1,3.00,
    IF(arrears_months=2,5.00,
    IF(arrears_months=3,8.00,
    IF(arrears_months=4,10.00,
    IF(arrears_months=5,12.00,15.00)))))))</f>
        <v/>
      </c>
      <c r="M9271">
        <f>LET(
    seasoning_years,DATEDIF('Loan Tape (S&amp;P)'!K9271,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71">
        <f>IF(AND('Loan Tape (S&amp;P)'!U9271="Yes",
        'Loan Tape (S&amp;P)'!T9271&lt;&gt;"Yes",
        DATEDIF('Loan Tape (S&amp;P)'!K9271, TODAY(), "M")&lt;18),
    1.10,
    1.00)</f>
        <v/>
      </c>
      <c r="O9271">
        <f>IF('Loan Tape (S&amp;P)'!T9271="Yes",
    1.35,
    1.00)</f>
        <v/>
      </c>
      <c r="P9271">
        <f>IF('Loan Tape (S&amp;P)'!S9271="Yes",
    1.15,
    1.00)</f>
        <v/>
      </c>
      <c r="Q9271">
        <f>IF('Loan Tape (S&amp;P)'!V9271="Yes",
    1.20,
    1.00)</f>
        <v/>
      </c>
      <c r="T9271">
        <f>LET(
    payment_method,'Loan Tape (S&amp;P)'!P9271,
    occupancy,'Loan Tape (S&amp;P)'!N9271,
    maturity_date,'Loan Tape (S&amp;P)'!L9271,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72">
      <c r="J9272">
        <f>LET(
    lien,'Loan Tape (S&amp;P)'!Q9272,
    IF(lien="First",1.00,
        IF(lien="Second",1.50,
            1.70)))</f>
        <v/>
      </c>
      <c r="K9272">
        <f>LET(
    purpose,'Loan Tape (S&amp;P)'!R9272,
    IF(purpose="Purchase",1.00,
        IF(purpose="Remortgage",1.00,
            1.20)))</f>
        <v/>
      </c>
      <c r="L9272">
        <f>LET(
    arrears_months,'Loan Tape (S&amp;P)'!AN9272,
    IF(arrears_months=0,1.00,
    IF(arrears_months=1,3.00,
    IF(arrears_months=2,5.00,
    IF(arrears_months=3,8.00,
    IF(arrears_months=4,10.00,
    IF(arrears_months=5,12.00,15.00)))))))</f>
        <v/>
      </c>
      <c r="M9272">
        <f>LET(
    seasoning_years,DATEDIF('Loan Tape (S&amp;P)'!K9272,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72">
        <f>IF(AND('Loan Tape (S&amp;P)'!U9272="Yes",
        'Loan Tape (S&amp;P)'!T9272&lt;&gt;"Yes",
        DATEDIF('Loan Tape (S&amp;P)'!K9272, TODAY(), "M")&lt;18),
    1.10,
    1.00)</f>
        <v/>
      </c>
      <c r="O9272">
        <f>IF('Loan Tape (S&amp;P)'!T9272="Yes",
    1.35,
    1.00)</f>
        <v/>
      </c>
      <c r="P9272">
        <f>IF('Loan Tape (S&amp;P)'!S9272="Yes",
    1.15,
    1.00)</f>
        <v/>
      </c>
      <c r="Q9272">
        <f>IF('Loan Tape (S&amp;P)'!V9272="Yes",
    1.20,
    1.00)</f>
        <v/>
      </c>
      <c r="T9272">
        <f>LET(
    payment_method,'Loan Tape (S&amp;P)'!P9272,
    occupancy,'Loan Tape (S&amp;P)'!N9272,
    maturity_date,'Loan Tape (S&amp;P)'!L9272,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73">
      <c r="J9273">
        <f>LET(
    lien,'Loan Tape (S&amp;P)'!Q9273,
    IF(lien="First",1.00,
        IF(lien="Second",1.50,
            1.70)))</f>
        <v/>
      </c>
      <c r="K9273">
        <f>LET(
    purpose,'Loan Tape (S&amp;P)'!R9273,
    IF(purpose="Purchase",1.00,
        IF(purpose="Remortgage",1.00,
            1.20)))</f>
        <v/>
      </c>
      <c r="L9273">
        <f>LET(
    arrears_months,'Loan Tape (S&amp;P)'!AN9273,
    IF(arrears_months=0,1.00,
    IF(arrears_months=1,3.00,
    IF(arrears_months=2,5.00,
    IF(arrears_months=3,8.00,
    IF(arrears_months=4,10.00,
    IF(arrears_months=5,12.00,15.00)))))))</f>
        <v/>
      </c>
      <c r="M9273">
        <f>LET(
    seasoning_years,DATEDIF('Loan Tape (S&amp;P)'!K9273,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73">
        <f>IF(AND('Loan Tape (S&amp;P)'!U9273="Yes",
        'Loan Tape (S&amp;P)'!T9273&lt;&gt;"Yes",
        DATEDIF('Loan Tape (S&amp;P)'!K9273, TODAY(), "M")&lt;18),
    1.10,
    1.00)</f>
        <v/>
      </c>
      <c r="O9273">
        <f>IF('Loan Tape (S&amp;P)'!T9273="Yes",
    1.35,
    1.00)</f>
        <v/>
      </c>
      <c r="P9273">
        <f>IF('Loan Tape (S&amp;P)'!S9273="Yes",
    1.15,
    1.00)</f>
        <v/>
      </c>
      <c r="Q9273">
        <f>IF('Loan Tape (S&amp;P)'!V9273="Yes",
    1.20,
    1.00)</f>
        <v/>
      </c>
      <c r="T9273">
        <f>LET(
    payment_method,'Loan Tape (S&amp;P)'!P9273,
    occupancy,'Loan Tape (S&amp;P)'!N9273,
    maturity_date,'Loan Tape (S&amp;P)'!L9273,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74">
      <c r="J9274">
        <f>LET(
    lien,'Loan Tape (S&amp;P)'!Q9274,
    IF(lien="First",1.00,
        IF(lien="Second",1.50,
            1.70)))</f>
        <v/>
      </c>
      <c r="K9274">
        <f>LET(
    purpose,'Loan Tape (S&amp;P)'!R9274,
    IF(purpose="Purchase",1.00,
        IF(purpose="Remortgage",1.00,
            1.20)))</f>
        <v/>
      </c>
      <c r="L9274">
        <f>LET(
    arrears_months,'Loan Tape (S&amp;P)'!AN9274,
    IF(arrears_months=0,1.00,
    IF(arrears_months=1,3.00,
    IF(arrears_months=2,5.00,
    IF(arrears_months=3,8.00,
    IF(arrears_months=4,10.00,
    IF(arrears_months=5,12.00,15.00)))))))</f>
        <v/>
      </c>
      <c r="M9274">
        <f>LET(
    seasoning_years,DATEDIF('Loan Tape (S&amp;P)'!K9274,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74">
        <f>IF(AND('Loan Tape (S&amp;P)'!U9274="Yes",
        'Loan Tape (S&amp;P)'!T9274&lt;&gt;"Yes",
        DATEDIF('Loan Tape (S&amp;P)'!K9274, TODAY(), "M")&lt;18),
    1.10,
    1.00)</f>
        <v/>
      </c>
      <c r="O9274">
        <f>IF('Loan Tape (S&amp;P)'!T9274="Yes",
    1.35,
    1.00)</f>
        <v/>
      </c>
      <c r="P9274">
        <f>IF('Loan Tape (S&amp;P)'!S9274="Yes",
    1.15,
    1.00)</f>
        <v/>
      </c>
      <c r="Q9274">
        <f>IF('Loan Tape (S&amp;P)'!V9274="Yes",
    1.20,
    1.00)</f>
        <v/>
      </c>
      <c r="T9274">
        <f>LET(
    payment_method,'Loan Tape (S&amp;P)'!P9274,
    occupancy,'Loan Tape (S&amp;P)'!N9274,
    maturity_date,'Loan Tape (S&amp;P)'!L9274,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75">
      <c r="J9275">
        <f>LET(
    lien,'Loan Tape (S&amp;P)'!Q9275,
    IF(lien="First",1.00,
        IF(lien="Second",1.50,
            1.70)))</f>
        <v/>
      </c>
      <c r="K9275">
        <f>LET(
    purpose,'Loan Tape (S&amp;P)'!R9275,
    IF(purpose="Purchase",1.00,
        IF(purpose="Remortgage",1.00,
            1.20)))</f>
        <v/>
      </c>
      <c r="L9275">
        <f>LET(
    arrears_months,'Loan Tape (S&amp;P)'!AN9275,
    IF(arrears_months=0,1.00,
    IF(arrears_months=1,3.00,
    IF(arrears_months=2,5.00,
    IF(arrears_months=3,8.00,
    IF(arrears_months=4,10.00,
    IF(arrears_months=5,12.00,15.00)))))))</f>
        <v/>
      </c>
      <c r="M9275">
        <f>LET(
    seasoning_years,DATEDIF('Loan Tape (S&amp;P)'!K9275,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75">
        <f>IF(AND('Loan Tape (S&amp;P)'!U9275="Yes",
        'Loan Tape (S&amp;P)'!T9275&lt;&gt;"Yes",
        DATEDIF('Loan Tape (S&amp;P)'!K9275, TODAY(), "M")&lt;18),
    1.10,
    1.00)</f>
        <v/>
      </c>
      <c r="O9275">
        <f>IF('Loan Tape (S&amp;P)'!T9275="Yes",
    1.35,
    1.00)</f>
        <v/>
      </c>
      <c r="P9275">
        <f>IF('Loan Tape (S&amp;P)'!S9275="Yes",
    1.15,
    1.00)</f>
        <v/>
      </c>
      <c r="Q9275">
        <f>IF('Loan Tape (S&amp;P)'!V9275="Yes",
    1.20,
    1.00)</f>
        <v/>
      </c>
      <c r="T9275">
        <f>LET(
    payment_method,'Loan Tape (S&amp;P)'!P9275,
    occupancy,'Loan Tape (S&amp;P)'!N9275,
    maturity_date,'Loan Tape (S&amp;P)'!L9275,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76">
      <c r="J9276">
        <f>LET(
    lien,'Loan Tape (S&amp;P)'!Q9276,
    IF(lien="First",1.00,
        IF(lien="Second",1.50,
            1.70)))</f>
        <v/>
      </c>
      <c r="K9276">
        <f>LET(
    purpose,'Loan Tape (S&amp;P)'!R9276,
    IF(purpose="Purchase",1.00,
        IF(purpose="Remortgage",1.00,
            1.20)))</f>
        <v/>
      </c>
      <c r="L9276">
        <f>LET(
    arrears_months,'Loan Tape (S&amp;P)'!AN9276,
    IF(arrears_months=0,1.00,
    IF(arrears_months=1,3.00,
    IF(arrears_months=2,5.00,
    IF(arrears_months=3,8.00,
    IF(arrears_months=4,10.00,
    IF(arrears_months=5,12.00,15.00)))))))</f>
        <v/>
      </c>
      <c r="M9276">
        <f>LET(
    seasoning_years,DATEDIF('Loan Tape (S&amp;P)'!K9276,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76">
        <f>IF(AND('Loan Tape (S&amp;P)'!U9276="Yes",
        'Loan Tape (S&amp;P)'!T9276&lt;&gt;"Yes",
        DATEDIF('Loan Tape (S&amp;P)'!K9276, TODAY(), "M")&lt;18),
    1.10,
    1.00)</f>
        <v/>
      </c>
      <c r="O9276">
        <f>IF('Loan Tape (S&amp;P)'!T9276="Yes",
    1.35,
    1.00)</f>
        <v/>
      </c>
      <c r="P9276">
        <f>IF('Loan Tape (S&amp;P)'!S9276="Yes",
    1.15,
    1.00)</f>
        <v/>
      </c>
      <c r="Q9276">
        <f>IF('Loan Tape (S&amp;P)'!V9276="Yes",
    1.20,
    1.00)</f>
        <v/>
      </c>
      <c r="T9276">
        <f>LET(
    payment_method,'Loan Tape (S&amp;P)'!P9276,
    occupancy,'Loan Tape (S&amp;P)'!N9276,
    maturity_date,'Loan Tape (S&amp;P)'!L9276,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77">
      <c r="J9277">
        <f>LET(
    lien,'Loan Tape (S&amp;P)'!Q9277,
    IF(lien="First",1.00,
        IF(lien="Second",1.50,
            1.70)))</f>
        <v/>
      </c>
      <c r="K9277">
        <f>LET(
    purpose,'Loan Tape (S&amp;P)'!R9277,
    IF(purpose="Purchase",1.00,
        IF(purpose="Remortgage",1.00,
            1.20)))</f>
        <v/>
      </c>
      <c r="L9277">
        <f>LET(
    arrears_months,'Loan Tape (S&amp;P)'!AN9277,
    IF(arrears_months=0,1.00,
    IF(arrears_months=1,3.00,
    IF(arrears_months=2,5.00,
    IF(arrears_months=3,8.00,
    IF(arrears_months=4,10.00,
    IF(arrears_months=5,12.00,15.00)))))))</f>
        <v/>
      </c>
      <c r="M9277">
        <f>LET(
    seasoning_years,DATEDIF('Loan Tape (S&amp;P)'!K9277,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77">
        <f>IF(AND('Loan Tape (S&amp;P)'!U9277="Yes",
        'Loan Tape (S&amp;P)'!T9277&lt;&gt;"Yes",
        DATEDIF('Loan Tape (S&amp;P)'!K9277, TODAY(), "M")&lt;18),
    1.10,
    1.00)</f>
        <v/>
      </c>
      <c r="O9277">
        <f>IF('Loan Tape (S&amp;P)'!T9277="Yes",
    1.35,
    1.00)</f>
        <v/>
      </c>
      <c r="P9277">
        <f>IF('Loan Tape (S&amp;P)'!S9277="Yes",
    1.15,
    1.00)</f>
        <v/>
      </c>
      <c r="Q9277">
        <f>IF('Loan Tape (S&amp;P)'!V9277="Yes",
    1.20,
    1.00)</f>
        <v/>
      </c>
      <c r="T9277">
        <f>LET(
    payment_method,'Loan Tape (S&amp;P)'!P9277,
    occupancy,'Loan Tape (S&amp;P)'!N9277,
    maturity_date,'Loan Tape (S&amp;P)'!L9277,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78">
      <c r="J9278">
        <f>LET(
    lien,'Loan Tape (S&amp;P)'!Q9278,
    IF(lien="First",1.00,
        IF(lien="Second",1.50,
            1.70)))</f>
        <v/>
      </c>
      <c r="K9278">
        <f>LET(
    purpose,'Loan Tape (S&amp;P)'!R9278,
    IF(purpose="Purchase",1.00,
        IF(purpose="Remortgage",1.00,
            1.20)))</f>
        <v/>
      </c>
      <c r="L9278">
        <f>LET(
    arrears_months,'Loan Tape (S&amp;P)'!AN9278,
    IF(arrears_months=0,1.00,
    IF(arrears_months=1,3.00,
    IF(arrears_months=2,5.00,
    IF(arrears_months=3,8.00,
    IF(arrears_months=4,10.00,
    IF(arrears_months=5,12.00,15.00)))))))</f>
        <v/>
      </c>
      <c r="M9278">
        <f>LET(
    seasoning_years,DATEDIF('Loan Tape (S&amp;P)'!K9278,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78">
        <f>IF(AND('Loan Tape (S&amp;P)'!U9278="Yes",
        'Loan Tape (S&amp;P)'!T9278&lt;&gt;"Yes",
        DATEDIF('Loan Tape (S&amp;P)'!K9278, TODAY(), "M")&lt;18),
    1.10,
    1.00)</f>
        <v/>
      </c>
      <c r="O9278">
        <f>IF('Loan Tape (S&amp;P)'!T9278="Yes",
    1.35,
    1.00)</f>
        <v/>
      </c>
      <c r="P9278">
        <f>IF('Loan Tape (S&amp;P)'!S9278="Yes",
    1.15,
    1.00)</f>
        <v/>
      </c>
      <c r="Q9278">
        <f>IF('Loan Tape (S&amp;P)'!V9278="Yes",
    1.20,
    1.00)</f>
        <v/>
      </c>
      <c r="T9278">
        <f>LET(
    payment_method,'Loan Tape (S&amp;P)'!P9278,
    occupancy,'Loan Tape (S&amp;P)'!N9278,
    maturity_date,'Loan Tape (S&amp;P)'!L9278,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79">
      <c r="J9279">
        <f>LET(
    lien,'Loan Tape (S&amp;P)'!Q9279,
    IF(lien="First",1.00,
        IF(lien="Second",1.50,
            1.70)))</f>
        <v/>
      </c>
      <c r="K9279">
        <f>LET(
    purpose,'Loan Tape (S&amp;P)'!R9279,
    IF(purpose="Purchase",1.00,
        IF(purpose="Remortgage",1.00,
            1.20)))</f>
        <v/>
      </c>
      <c r="L9279">
        <f>LET(
    arrears_months,'Loan Tape (S&amp;P)'!AN9279,
    IF(arrears_months=0,1.00,
    IF(arrears_months=1,3.00,
    IF(arrears_months=2,5.00,
    IF(arrears_months=3,8.00,
    IF(arrears_months=4,10.00,
    IF(arrears_months=5,12.00,15.00)))))))</f>
        <v/>
      </c>
      <c r="M9279">
        <f>LET(
    seasoning_years,DATEDIF('Loan Tape (S&amp;P)'!K9279,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79">
        <f>IF(AND('Loan Tape (S&amp;P)'!U9279="Yes",
        'Loan Tape (S&amp;P)'!T9279&lt;&gt;"Yes",
        DATEDIF('Loan Tape (S&amp;P)'!K9279, TODAY(), "M")&lt;18),
    1.10,
    1.00)</f>
        <v/>
      </c>
      <c r="O9279">
        <f>IF('Loan Tape (S&amp;P)'!T9279="Yes",
    1.35,
    1.00)</f>
        <v/>
      </c>
      <c r="P9279">
        <f>IF('Loan Tape (S&amp;P)'!S9279="Yes",
    1.15,
    1.00)</f>
        <v/>
      </c>
      <c r="Q9279">
        <f>IF('Loan Tape (S&amp;P)'!V9279="Yes",
    1.20,
    1.00)</f>
        <v/>
      </c>
      <c r="T9279">
        <f>LET(
    payment_method,'Loan Tape (S&amp;P)'!P9279,
    occupancy,'Loan Tape (S&amp;P)'!N9279,
    maturity_date,'Loan Tape (S&amp;P)'!L9279,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80">
      <c r="J9280">
        <f>LET(
    lien,'Loan Tape (S&amp;P)'!Q9280,
    IF(lien="First",1.00,
        IF(lien="Second",1.50,
            1.70)))</f>
        <v/>
      </c>
      <c r="K9280">
        <f>LET(
    purpose,'Loan Tape (S&amp;P)'!R9280,
    IF(purpose="Purchase",1.00,
        IF(purpose="Remortgage",1.00,
            1.20)))</f>
        <v/>
      </c>
      <c r="L9280">
        <f>LET(
    arrears_months,'Loan Tape (S&amp;P)'!AN9280,
    IF(arrears_months=0,1.00,
    IF(arrears_months=1,3.00,
    IF(arrears_months=2,5.00,
    IF(arrears_months=3,8.00,
    IF(arrears_months=4,10.00,
    IF(arrears_months=5,12.00,15.00)))))))</f>
        <v/>
      </c>
      <c r="M9280">
        <f>LET(
    seasoning_years,DATEDIF('Loan Tape (S&amp;P)'!K9280,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80">
        <f>IF(AND('Loan Tape (S&amp;P)'!U9280="Yes",
        'Loan Tape (S&amp;P)'!T9280&lt;&gt;"Yes",
        DATEDIF('Loan Tape (S&amp;P)'!K9280, TODAY(), "M")&lt;18),
    1.10,
    1.00)</f>
        <v/>
      </c>
      <c r="O9280">
        <f>IF('Loan Tape (S&amp;P)'!T9280="Yes",
    1.35,
    1.00)</f>
        <v/>
      </c>
      <c r="P9280">
        <f>IF('Loan Tape (S&amp;P)'!S9280="Yes",
    1.15,
    1.00)</f>
        <v/>
      </c>
      <c r="Q9280">
        <f>IF('Loan Tape (S&amp;P)'!V9280="Yes",
    1.20,
    1.00)</f>
        <v/>
      </c>
      <c r="T9280">
        <f>LET(
    payment_method,'Loan Tape (S&amp;P)'!P9280,
    occupancy,'Loan Tape (S&amp;P)'!N9280,
    maturity_date,'Loan Tape (S&amp;P)'!L9280,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81">
      <c r="J9281">
        <f>LET(
    lien,'Loan Tape (S&amp;P)'!Q9281,
    IF(lien="First",1.00,
        IF(lien="Second",1.50,
            1.70)))</f>
        <v/>
      </c>
      <c r="K9281">
        <f>LET(
    purpose,'Loan Tape (S&amp;P)'!R9281,
    IF(purpose="Purchase",1.00,
        IF(purpose="Remortgage",1.00,
            1.20)))</f>
        <v/>
      </c>
      <c r="L9281">
        <f>LET(
    arrears_months,'Loan Tape (S&amp;P)'!AN9281,
    IF(arrears_months=0,1.00,
    IF(arrears_months=1,3.00,
    IF(arrears_months=2,5.00,
    IF(arrears_months=3,8.00,
    IF(arrears_months=4,10.00,
    IF(arrears_months=5,12.00,15.00)))))))</f>
        <v/>
      </c>
      <c r="M9281">
        <f>LET(
    seasoning_years,DATEDIF('Loan Tape (S&amp;P)'!K9281,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81">
        <f>IF(AND('Loan Tape (S&amp;P)'!U9281="Yes",
        'Loan Tape (S&amp;P)'!T9281&lt;&gt;"Yes",
        DATEDIF('Loan Tape (S&amp;P)'!K9281, TODAY(), "M")&lt;18),
    1.10,
    1.00)</f>
        <v/>
      </c>
      <c r="O9281">
        <f>IF('Loan Tape (S&amp;P)'!T9281="Yes",
    1.35,
    1.00)</f>
        <v/>
      </c>
      <c r="P9281">
        <f>IF('Loan Tape (S&amp;P)'!S9281="Yes",
    1.15,
    1.00)</f>
        <v/>
      </c>
      <c r="Q9281">
        <f>IF('Loan Tape (S&amp;P)'!V9281="Yes",
    1.20,
    1.00)</f>
        <v/>
      </c>
      <c r="T9281">
        <f>LET(
    payment_method,'Loan Tape (S&amp;P)'!P9281,
    occupancy,'Loan Tape (S&amp;P)'!N9281,
    maturity_date,'Loan Tape (S&amp;P)'!L9281,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82">
      <c r="J9282">
        <f>LET(
    lien,'Loan Tape (S&amp;P)'!Q9282,
    IF(lien="First",1.00,
        IF(lien="Second",1.50,
            1.70)))</f>
        <v/>
      </c>
      <c r="K9282">
        <f>LET(
    purpose,'Loan Tape (S&amp;P)'!R9282,
    IF(purpose="Purchase",1.00,
        IF(purpose="Remortgage",1.00,
            1.20)))</f>
        <v/>
      </c>
      <c r="L9282">
        <f>LET(
    arrears_months,'Loan Tape (S&amp;P)'!AN9282,
    IF(arrears_months=0,1.00,
    IF(arrears_months=1,3.00,
    IF(arrears_months=2,5.00,
    IF(arrears_months=3,8.00,
    IF(arrears_months=4,10.00,
    IF(arrears_months=5,12.00,15.00)))))))</f>
        <v/>
      </c>
      <c r="M9282">
        <f>LET(
    seasoning_years,DATEDIF('Loan Tape (S&amp;P)'!K9282,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82">
        <f>IF(AND('Loan Tape (S&amp;P)'!U9282="Yes",
        'Loan Tape (S&amp;P)'!T9282&lt;&gt;"Yes",
        DATEDIF('Loan Tape (S&amp;P)'!K9282, TODAY(), "M")&lt;18),
    1.10,
    1.00)</f>
        <v/>
      </c>
      <c r="O9282">
        <f>IF('Loan Tape (S&amp;P)'!T9282="Yes",
    1.35,
    1.00)</f>
        <v/>
      </c>
      <c r="P9282">
        <f>IF('Loan Tape (S&amp;P)'!S9282="Yes",
    1.15,
    1.00)</f>
        <v/>
      </c>
      <c r="Q9282">
        <f>IF('Loan Tape (S&amp;P)'!V9282="Yes",
    1.20,
    1.00)</f>
        <v/>
      </c>
      <c r="T9282">
        <f>LET(
    payment_method,'Loan Tape (S&amp;P)'!P9282,
    occupancy,'Loan Tape (S&amp;P)'!N9282,
    maturity_date,'Loan Tape (S&amp;P)'!L9282,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83">
      <c r="J9283">
        <f>LET(
    lien,'Loan Tape (S&amp;P)'!Q9283,
    IF(lien="First",1.00,
        IF(lien="Second",1.50,
            1.70)))</f>
        <v/>
      </c>
      <c r="K9283">
        <f>LET(
    purpose,'Loan Tape (S&amp;P)'!R9283,
    IF(purpose="Purchase",1.00,
        IF(purpose="Remortgage",1.00,
            1.20)))</f>
        <v/>
      </c>
      <c r="L9283">
        <f>LET(
    arrears_months,'Loan Tape (S&amp;P)'!AN9283,
    IF(arrears_months=0,1.00,
    IF(arrears_months=1,3.00,
    IF(arrears_months=2,5.00,
    IF(arrears_months=3,8.00,
    IF(arrears_months=4,10.00,
    IF(arrears_months=5,12.00,15.00)))))))</f>
        <v/>
      </c>
      <c r="M9283">
        <f>LET(
    seasoning_years,DATEDIF('Loan Tape (S&amp;P)'!K9283,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83">
        <f>IF(AND('Loan Tape (S&amp;P)'!U9283="Yes",
        'Loan Tape (S&amp;P)'!T9283&lt;&gt;"Yes",
        DATEDIF('Loan Tape (S&amp;P)'!K9283, TODAY(), "M")&lt;18),
    1.10,
    1.00)</f>
        <v/>
      </c>
      <c r="O9283">
        <f>IF('Loan Tape (S&amp;P)'!T9283="Yes",
    1.35,
    1.00)</f>
        <v/>
      </c>
      <c r="P9283">
        <f>IF('Loan Tape (S&amp;P)'!S9283="Yes",
    1.15,
    1.00)</f>
        <v/>
      </c>
      <c r="Q9283">
        <f>IF('Loan Tape (S&amp;P)'!V9283="Yes",
    1.20,
    1.00)</f>
        <v/>
      </c>
      <c r="T9283">
        <f>LET(
    payment_method,'Loan Tape (S&amp;P)'!P9283,
    occupancy,'Loan Tape (S&amp;P)'!N9283,
    maturity_date,'Loan Tape (S&amp;P)'!L9283,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84">
      <c r="J9284">
        <f>LET(
    lien,'Loan Tape (S&amp;P)'!Q9284,
    IF(lien="First",1.00,
        IF(lien="Second",1.50,
            1.70)))</f>
        <v/>
      </c>
      <c r="K9284">
        <f>LET(
    purpose,'Loan Tape (S&amp;P)'!R9284,
    IF(purpose="Purchase",1.00,
        IF(purpose="Remortgage",1.00,
            1.20)))</f>
        <v/>
      </c>
      <c r="L9284">
        <f>LET(
    arrears_months,'Loan Tape (S&amp;P)'!AN9284,
    IF(arrears_months=0,1.00,
    IF(arrears_months=1,3.00,
    IF(arrears_months=2,5.00,
    IF(arrears_months=3,8.00,
    IF(arrears_months=4,10.00,
    IF(arrears_months=5,12.00,15.00)))))))</f>
        <v/>
      </c>
      <c r="M9284">
        <f>LET(
    seasoning_years,DATEDIF('Loan Tape (S&amp;P)'!K9284,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84">
        <f>IF(AND('Loan Tape (S&amp;P)'!U9284="Yes",
        'Loan Tape (S&amp;P)'!T9284&lt;&gt;"Yes",
        DATEDIF('Loan Tape (S&amp;P)'!K9284, TODAY(), "M")&lt;18),
    1.10,
    1.00)</f>
        <v/>
      </c>
      <c r="O9284">
        <f>IF('Loan Tape (S&amp;P)'!T9284="Yes",
    1.35,
    1.00)</f>
        <v/>
      </c>
      <c r="P9284">
        <f>IF('Loan Tape (S&amp;P)'!S9284="Yes",
    1.15,
    1.00)</f>
        <v/>
      </c>
      <c r="Q9284">
        <f>IF('Loan Tape (S&amp;P)'!V9284="Yes",
    1.20,
    1.00)</f>
        <v/>
      </c>
      <c r="T9284">
        <f>LET(
    payment_method,'Loan Tape (S&amp;P)'!P9284,
    occupancy,'Loan Tape (S&amp;P)'!N9284,
    maturity_date,'Loan Tape (S&amp;P)'!L9284,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85">
      <c r="J9285">
        <f>LET(
    lien,'Loan Tape (S&amp;P)'!Q9285,
    IF(lien="First",1.00,
        IF(lien="Second",1.50,
            1.70)))</f>
        <v/>
      </c>
      <c r="K9285">
        <f>LET(
    purpose,'Loan Tape (S&amp;P)'!R9285,
    IF(purpose="Purchase",1.00,
        IF(purpose="Remortgage",1.00,
            1.20)))</f>
        <v/>
      </c>
      <c r="L9285">
        <f>LET(
    arrears_months,'Loan Tape (S&amp;P)'!AN9285,
    IF(arrears_months=0,1.00,
    IF(arrears_months=1,3.00,
    IF(arrears_months=2,5.00,
    IF(arrears_months=3,8.00,
    IF(arrears_months=4,10.00,
    IF(arrears_months=5,12.00,15.00)))))))</f>
        <v/>
      </c>
      <c r="M9285">
        <f>LET(
    seasoning_years,DATEDIF('Loan Tape (S&amp;P)'!K9285,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85">
        <f>IF(AND('Loan Tape (S&amp;P)'!U9285="Yes",
        'Loan Tape (S&amp;P)'!T9285&lt;&gt;"Yes",
        DATEDIF('Loan Tape (S&amp;P)'!K9285, TODAY(), "M")&lt;18),
    1.10,
    1.00)</f>
        <v/>
      </c>
      <c r="O9285">
        <f>IF('Loan Tape (S&amp;P)'!T9285="Yes",
    1.35,
    1.00)</f>
        <v/>
      </c>
      <c r="P9285">
        <f>IF('Loan Tape (S&amp;P)'!S9285="Yes",
    1.15,
    1.00)</f>
        <v/>
      </c>
      <c r="Q9285">
        <f>IF('Loan Tape (S&amp;P)'!V9285="Yes",
    1.20,
    1.00)</f>
        <v/>
      </c>
      <c r="T9285">
        <f>LET(
    payment_method,'Loan Tape (S&amp;P)'!P9285,
    occupancy,'Loan Tape (S&amp;P)'!N9285,
    maturity_date,'Loan Tape (S&amp;P)'!L9285,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86">
      <c r="J9286">
        <f>LET(
    lien,'Loan Tape (S&amp;P)'!Q9286,
    IF(lien="First",1.00,
        IF(lien="Second",1.50,
            1.70)))</f>
        <v/>
      </c>
      <c r="K9286">
        <f>LET(
    purpose,'Loan Tape (S&amp;P)'!R9286,
    IF(purpose="Purchase",1.00,
        IF(purpose="Remortgage",1.00,
            1.20)))</f>
        <v/>
      </c>
      <c r="L9286">
        <f>LET(
    arrears_months,'Loan Tape (S&amp;P)'!AN9286,
    IF(arrears_months=0,1.00,
    IF(arrears_months=1,3.00,
    IF(arrears_months=2,5.00,
    IF(arrears_months=3,8.00,
    IF(arrears_months=4,10.00,
    IF(arrears_months=5,12.00,15.00)))))))</f>
        <v/>
      </c>
      <c r="M9286">
        <f>LET(
    seasoning_years,DATEDIF('Loan Tape (S&amp;P)'!K9286,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86">
        <f>IF(AND('Loan Tape (S&amp;P)'!U9286="Yes",
        'Loan Tape (S&amp;P)'!T9286&lt;&gt;"Yes",
        DATEDIF('Loan Tape (S&amp;P)'!K9286, TODAY(), "M")&lt;18),
    1.10,
    1.00)</f>
        <v/>
      </c>
      <c r="O9286">
        <f>IF('Loan Tape (S&amp;P)'!T9286="Yes",
    1.35,
    1.00)</f>
        <v/>
      </c>
      <c r="P9286">
        <f>IF('Loan Tape (S&amp;P)'!S9286="Yes",
    1.15,
    1.00)</f>
        <v/>
      </c>
      <c r="Q9286">
        <f>IF('Loan Tape (S&amp;P)'!V9286="Yes",
    1.20,
    1.00)</f>
        <v/>
      </c>
      <c r="T9286">
        <f>LET(
    payment_method,'Loan Tape (S&amp;P)'!P9286,
    occupancy,'Loan Tape (S&amp;P)'!N9286,
    maturity_date,'Loan Tape (S&amp;P)'!L9286,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87">
      <c r="J9287">
        <f>LET(
    lien,'Loan Tape (S&amp;P)'!Q9287,
    IF(lien="First",1.00,
        IF(lien="Second",1.50,
            1.70)))</f>
        <v/>
      </c>
      <c r="K9287">
        <f>LET(
    purpose,'Loan Tape (S&amp;P)'!R9287,
    IF(purpose="Purchase",1.00,
        IF(purpose="Remortgage",1.00,
            1.20)))</f>
        <v/>
      </c>
      <c r="L9287">
        <f>LET(
    arrears_months,'Loan Tape (S&amp;P)'!AN9287,
    IF(arrears_months=0,1.00,
    IF(arrears_months=1,3.00,
    IF(arrears_months=2,5.00,
    IF(arrears_months=3,8.00,
    IF(arrears_months=4,10.00,
    IF(arrears_months=5,12.00,15.00)))))))</f>
        <v/>
      </c>
      <c r="M9287">
        <f>LET(
    seasoning_years,DATEDIF('Loan Tape (S&amp;P)'!K9287,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87">
        <f>IF(AND('Loan Tape (S&amp;P)'!U9287="Yes",
        'Loan Tape (S&amp;P)'!T9287&lt;&gt;"Yes",
        DATEDIF('Loan Tape (S&amp;P)'!K9287, TODAY(), "M")&lt;18),
    1.10,
    1.00)</f>
        <v/>
      </c>
      <c r="O9287">
        <f>IF('Loan Tape (S&amp;P)'!T9287="Yes",
    1.35,
    1.00)</f>
        <v/>
      </c>
      <c r="P9287">
        <f>IF('Loan Tape (S&amp;P)'!S9287="Yes",
    1.15,
    1.00)</f>
        <v/>
      </c>
      <c r="Q9287">
        <f>IF('Loan Tape (S&amp;P)'!V9287="Yes",
    1.20,
    1.00)</f>
        <v/>
      </c>
      <c r="T9287">
        <f>LET(
    payment_method,'Loan Tape (S&amp;P)'!P9287,
    occupancy,'Loan Tape (S&amp;P)'!N9287,
    maturity_date,'Loan Tape (S&amp;P)'!L9287,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88">
      <c r="J9288">
        <f>LET(
    lien,'Loan Tape (S&amp;P)'!Q9288,
    IF(lien="First",1.00,
        IF(lien="Second",1.50,
            1.70)))</f>
        <v/>
      </c>
      <c r="K9288">
        <f>LET(
    purpose,'Loan Tape (S&amp;P)'!R9288,
    IF(purpose="Purchase",1.00,
        IF(purpose="Remortgage",1.00,
            1.20)))</f>
        <v/>
      </c>
      <c r="L9288">
        <f>LET(
    arrears_months,'Loan Tape (S&amp;P)'!AN9288,
    IF(arrears_months=0,1.00,
    IF(arrears_months=1,3.00,
    IF(arrears_months=2,5.00,
    IF(arrears_months=3,8.00,
    IF(arrears_months=4,10.00,
    IF(arrears_months=5,12.00,15.00)))))))</f>
        <v/>
      </c>
      <c r="M9288">
        <f>LET(
    seasoning_years,DATEDIF('Loan Tape (S&amp;P)'!K9288,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88">
        <f>IF(AND('Loan Tape (S&amp;P)'!U9288="Yes",
        'Loan Tape (S&amp;P)'!T9288&lt;&gt;"Yes",
        DATEDIF('Loan Tape (S&amp;P)'!K9288, TODAY(), "M")&lt;18),
    1.10,
    1.00)</f>
        <v/>
      </c>
      <c r="O9288">
        <f>IF('Loan Tape (S&amp;P)'!T9288="Yes",
    1.35,
    1.00)</f>
        <v/>
      </c>
      <c r="P9288">
        <f>IF('Loan Tape (S&amp;P)'!S9288="Yes",
    1.15,
    1.00)</f>
        <v/>
      </c>
      <c r="Q9288">
        <f>IF('Loan Tape (S&amp;P)'!V9288="Yes",
    1.20,
    1.00)</f>
        <v/>
      </c>
      <c r="T9288">
        <f>LET(
    payment_method,'Loan Tape (S&amp;P)'!P9288,
    occupancy,'Loan Tape (S&amp;P)'!N9288,
    maturity_date,'Loan Tape (S&amp;P)'!L9288,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89">
      <c r="J9289">
        <f>LET(
    lien,'Loan Tape (S&amp;P)'!Q9289,
    IF(lien="First",1.00,
        IF(lien="Second",1.50,
            1.70)))</f>
        <v/>
      </c>
      <c r="K9289">
        <f>LET(
    purpose,'Loan Tape (S&amp;P)'!R9289,
    IF(purpose="Purchase",1.00,
        IF(purpose="Remortgage",1.00,
            1.20)))</f>
        <v/>
      </c>
      <c r="L9289">
        <f>LET(
    arrears_months,'Loan Tape (S&amp;P)'!AN9289,
    IF(arrears_months=0,1.00,
    IF(arrears_months=1,3.00,
    IF(arrears_months=2,5.00,
    IF(arrears_months=3,8.00,
    IF(arrears_months=4,10.00,
    IF(arrears_months=5,12.00,15.00)))))))</f>
        <v/>
      </c>
      <c r="M9289">
        <f>LET(
    seasoning_years,DATEDIF('Loan Tape (S&amp;P)'!K9289,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89">
        <f>IF(AND('Loan Tape (S&amp;P)'!U9289="Yes",
        'Loan Tape (S&amp;P)'!T9289&lt;&gt;"Yes",
        DATEDIF('Loan Tape (S&amp;P)'!K9289, TODAY(), "M")&lt;18),
    1.10,
    1.00)</f>
        <v/>
      </c>
      <c r="O9289">
        <f>IF('Loan Tape (S&amp;P)'!T9289="Yes",
    1.35,
    1.00)</f>
        <v/>
      </c>
      <c r="P9289">
        <f>IF('Loan Tape (S&amp;P)'!S9289="Yes",
    1.15,
    1.00)</f>
        <v/>
      </c>
      <c r="Q9289">
        <f>IF('Loan Tape (S&amp;P)'!V9289="Yes",
    1.20,
    1.00)</f>
        <v/>
      </c>
      <c r="T9289">
        <f>LET(
    payment_method,'Loan Tape (S&amp;P)'!P9289,
    occupancy,'Loan Tape (S&amp;P)'!N9289,
    maturity_date,'Loan Tape (S&amp;P)'!L9289,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90">
      <c r="J9290">
        <f>LET(
    lien,'Loan Tape (S&amp;P)'!Q9290,
    IF(lien="First",1.00,
        IF(lien="Second",1.50,
            1.70)))</f>
        <v/>
      </c>
      <c r="K9290">
        <f>LET(
    purpose,'Loan Tape (S&amp;P)'!R9290,
    IF(purpose="Purchase",1.00,
        IF(purpose="Remortgage",1.00,
            1.20)))</f>
        <v/>
      </c>
      <c r="L9290">
        <f>LET(
    arrears_months,'Loan Tape (S&amp;P)'!AN9290,
    IF(arrears_months=0,1.00,
    IF(arrears_months=1,3.00,
    IF(arrears_months=2,5.00,
    IF(arrears_months=3,8.00,
    IF(arrears_months=4,10.00,
    IF(arrears_months=5,12.00,15.00)))))))</f>
        <v/>
      </c>
      <c r="M9290">
        <f>LET(
    seasoning_years,DATEDIF('Loan Tape (S&amp;P)'!K9290,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90">
        <f>IF(AND('Loan Tape (S&amp;P)'!U9290="Yes",
        'Loan Tape (S&amp;P)'!T9290&lt;&gt;"Yes",
        DATEDIF('Loan Tape (S&amp;P)'!K9290, TODAY(), "M")&lt;18),
    1.10,
    1.00)</f>
        <v/>
      </c>
      <c r="O9290">
        <f>IF('Loan Tape (S&amp;P)'!T9290="Yes",
    1.35,
    1.00)</f>
        <v/>
      </c>
      <c r="P9290">
        <f>IF('Loan Tape (S&amp;P)'!S9290="Yes",
    1.15,
    1.00)</f>
        <v/>
      </c>
      <c r="Q9290">
        <f>IF('Loan Tape (S&amp;P)'!V9290="Yes",
    1.20,
    1.00)</f>
        <v/>
      </c>
      <c r="T9290">
        <f>LET(
    payment_method,'Loan Tape (S&amp;P)'!P9290,
    occupancy,'Loan Tape (S&amp;P)'!N9290,
    maturity_date,'Loan Tape (S&amp;P)'!L9290,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91">
      <c r="J9291">
        <f>LET(
    lien,'Loan Tape (S&amp;P)'!Q9291,
    IF(lien="First",1.00,
        IF(lien="Second",1.50,
            1.70)))</f>
        <v/>
      </c>
      <c r="K9291">
        <f>LET(
    purpose,'Loan Tape (S&amp;P)'!R9291,
    IF(purpose="Purchase",1.00,
        IF(purpose="Remortgage",1.00,
            1.20)))</f>
        <v/>
      </c>
      <c r="L9291">
        <f>LET(
    arrears_months,'Loan Tape (S&amp;P)'!AN9291,
    IF(arrears_months=0,1.00,
    IF(arrears_months=1,3.00,
    IF(arrears_months=2,5.00,
    IF(arrears_months=3,8.00,
    IF(arrears_months=4,10.00,
    IF(arrears_months=5,12.00,15.00)))))))</f>
        <v/>
      </c>
      <c r="M9291">
        <f>LET(
    seasoning_years,DATEDIF('Loan Tape (S&amp;P)'!K9291,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91">
        <f>IF(AND('Loan Tape (S&amp;P)'!U9291="Yes",
        'Loan Tape (S&amp;P)'!T9291&lt;&gt;"Yes",
        DATEDIF('Loan Tape (S&amp;P)'!K9291, TODAY(), "M")&lt;18),
    1.10,
    1.00)</f>
        <v/>
      </c>
      <c r="O9291">
        <f>IF('Loan Tape (S&amp;P)'!T9291="Yes",
    1.35,
    1.00)</f>
        <v/>
      </c>
      <c r="P9291">
        <f>IF('Loan Tape (S&amp;P)'!S9291="Yes",
    1.15,
    1.00)</f>
        <v/>
      </c>
      <c r="Q9291">
        <f>IF('Loan Tape (S&amp;P)'!V9291="Yes",
    1.20,
    1.00)</f>
        <v/>
      </c>
      <c r="T9291">
        <f>LET(
    payment_method,'Loan Tape (S&amp;P)'!P9291,
    occupancy,'Loan Tape (S&amp;P)'!N9291,
    maturity_date,'Loan Tape (S&amp;P)'!L9291,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92">
      <c r="J9292">
        <f>LET(
    lien,'Loan Tape (S&amp;P)'!Q9292,
    IF(lien="First",1.00,
        IF(lien="Second",1.50,
            1.70)))</f>
        <v/>
      </c>
      <c r="K9292">
        <f>LET(
    purpose,'Loan Tape (S&amp;P)'!R9292,
    IF(purpose="Purchase",1.00,
        IF(purpose="Remortgage",1.00,
            1.20)))</f>
        <v/>
      </c>
      <c r="L9292">
        <f>LET(
    arrears_months,'Loan Tape (S&amp;P)'!AN9292,
    IF(arrears_months=0,1.00,
    IF(arrears_months=1,3.00,
    IF(arrears_months=2,5.00,
    IF(arrears_months=3,8.00,
    IF(arrears_months=4,10.00,
    IF(arrears_months=5,12.00,15.00)))))))</f>
        <v/>
      </c>
      <c r="M9292">
        <f>LET(
    seasoning_years,DATEDIF('Loan Tape (S&amp;P)'!K9292,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92">
        <f>IF(AND('Loan Tape (S&amp;P)'!U9292="Yes",
        'Loan Tape (S&amp;P)'!T9292&lt;&gt;"Yes",
        DATEDIF('Loan Tape (S&amp;P)'!K9292, TODAY(), "M")&lt;18),
    1.10,
    1.00)</f>
        <v/>
      </c>
      <c r="O9292">
        <f>IF('Loan Tape (S&amp;P)'!T9292="Yes",
    1.35,
    1.00)</f>
        <v/>
      </c>
      <c r="P9292">
        <f>IF('Loan Tape (S&amp;P)'!S9292="Yes",
    1.15,
    1.00)</f>
        <v/>
      </c>
      <c r="Q9292">
        <f>IF('Loan Tape (S&amp;P)'!V9292="Yes",
    1.20,
    1.00)</f>
        <v/>
      </c>
      <c r="T9292">
        <f>LET(
    payment_method,'Loan Tape (S&amp;P)'!P9292,
    occupancy,'Loan Tape (S&amp;P)'!N9292,
    maturity_date,'Loan Tape (S&amp;P)'!L9292,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93">
      <c r="J9293">
        <f>LET(
    lien,'Loan Tape (S&amp;P)'!Q9293,
    IF(lien="First",1.00,
        IF(lien="Second",1.50,
            1.70)))</f>
        <v/>
      </c>
      <c r="K9293">
        <f>LET(
    purpose,'Loan Tape (S&amp;P)'!R9293,
    IF(purpose="Purchase",1.00,
        IF(purpose="Remortgage",1.00,
            1.20)))</f>
        <v/>
      </c>
      <c r="L9293">
        <f>LET(
    arrears_months,'Loan Tape (S&amp;P)'!AN9293,
    IF(arrears_months=0,1.00,
    IF(arrears_months=1,3.00,
    IF(arrears_months=2,5.00,
    IF(arrears_months=3,8.00,
    IF(arrears_months=4,10.00,
    IF(arrears_months=5,12.00,15.00)))))))</f>
        <v/>
      </c>
      <c r="M9293">
        <f>LET(
    seasoning_years,DATEDIF('Loan Tape (S&amp;P)'!K9293,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93">
        <f>IF(AND('Loan Tape (S&amp;P)'!U9293="Yes",
        'Loan Tape (S&amp;P)'!T9293&lt;&gt;"Yes",
        DATEDIF('Loan Tape (S&amp;P)'!K9293, TODAY(), "M")&lt;18),
    1.10,
    1.00)</f>
        <v/>
      </c>
      <c r="O9293">
        <f>IF('Loan Tape (S&amp;P)'!T9293="Yes",
    1.35,
    1.00)</f>
        <v/>
      </c>
      <c r="P9293">
        <f>IF('Loan Tape (S&amp;P)'!S9293="Yes",
    1.15,
    1.00)</f>
        <v/>
      </c>
      <c r="Q9293">
        <f>IF('Loan Tape (S&amp;P)'!V9293="Yes",
    1.20,
    1.00)</f>
        <v/>
      </c>
      <c r="T9293">
        <f>LET(
    payment_method,'Loan Tape (S&amp;P)'!P9293,
    occupancy,'Loan Tape (S&amp;P)'!N9293,
    maturity_date,'Loan Tape (S&amp;P)'!L9293,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94">
      <c r="J9294">
        <f>LET(
    lien,'Loan Tape (S&amp;P)'!Q9294,
    IF(lien="First",1.00,
        IF(lien="Second",1.50,
            1.70)))</f>
        <v/>
      </c>
      <c r="K9294">
        <f>LET(
    purpose,'Loan Tape (S&amp;P)'!R9294,
    IF(purpose="Purchase",1.00,
        IF(purpose="Remortgage",1.00,
            1.20)))</f>
        <v/>
      </c>
      <c r="L9294">
        <f>LET(
    arrears_months,'Loan Tape (S&amp;P)'!AN9294,
    IF(arrears_months=0,1.00,
    IF(arrears_months=1,3.00,
    IF(arrears_months=2,5.00,
    IF(arrears_months=3,8.00,
    IF(arrears_months=4,10.00,
    IF(arrears_months=5,12.00,15.00)))))))</f>
        <v/>
      </c>
      <c r="M9294">
        <f>LET(
    seasoning_years,DATEDIF('Loan Tape (S&amp;P)'!K9294,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94">
        <f>IF(AND('Loan Tape (S&amp;P)'!U9294="Yes",
        'Loan Tape (S&amp;P)'!T9294&lt;&gt;"Yes",
        DATEDIF('Loan Tape (S&amp;P)'!K9294, TODAY(), "M")&lt;18),
    1.10,
    1.00)</f>
        <v/>
      </c>
      <c r="O9294">
        <f>IF('Loan Tape (S&amp;P)'!T9294="Yes",
    1.35,
    1.00)</f>
        <v/>
      </c>
      <c r="P9294">
        <f>IF('Loan Tape (S&amp;P)'!S9294="Yes",
    1.15,
    1.00)</f>
        <v/>
      </c>
      <c r="Q9294">
        <f>IF('Loan Tape (S&amp;P)'!V9294="Yes",
    1.20,
    1.00)</f>
        <v/>
      </c>
      <c r="T9294">
        <f>LET(
    payment_method,'Loan Tape (S&amp;P)'!P9294,
    occupancy,'Loan Tape (S&amp;P)'!N9294,
    maturity_date,'Loan Tape (S&amp;P)'!L9294,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95">
      <c r="J9295">
        <f>LET(
    lien,'Loan Tape (S&amp;P)'!Q9295,
    IF(lien="First",1.00,
        IF(lien="Second",1.50,
            1.70)))</f>
        <v/>
      </c>
      <c r="K9295">
        <f>LET(
    purpose,'Loan Tape (S&amp;P)'!R9295,
    IF(purpose="Purchase",1.00,
        IF(purpose="Remortgage",1.00,
            1.20)))</f>
        <v/>
      </c>
      <c r="L9295">
        <f>LET(
    arrears_months,'Loan Tape (S&amp;P)'!AN9295,
    IF(arrears_months=0,1.00,
    IF(arrears_months=1,3.00,
    IF(arrears_months=2,5.00,
    IF(arrears_months=3,8.00,
    IF(arrears_months=4,10.00,
    IF(arrears_months=5,12.00,15.00)))))))</f>
        <v/>
      </c>
      <c r="M9295">
        <f>LET(
    seasoning_years,DATEDIF('Loan Tape (S&amp;P)'!K9295,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95">
        <f>IF(AND('Loan Tape (S&amp;P)'!U9295="Yes",
        'Loan Tape (S&amp;P)'!T9295&lt;&gt;"Yes",
        DATEDIF('Loan Tape (S&amp;P)'!K9295, TODAY(), "M")&lt;18),
    1.10,
    1.00)</f>
        <v/>
      </c>
      <c r="O9295">
        <f>IF('Loan Tape (S&amp;P)'!T9295="Yes",
    1.35,
    1.00)</f>
        <v/>
      </c>
      <c r="P9295">
        <f>IF('Loan Tape (S&amp;P)'!S9295="Yes",
    1.15,
    1.00)</f>
        <v/>
      </c>
      <c r="Q9295">
        <f>IF('Loan Tape (S&amp;P)'!V9295="Yes",
    1.20,
    1.00)</f>
        <v/>
      </c>
      <c r="T9295">
        <f>LET(
    payment_method,'Loan Tape (S&amp;P)'!P9295,
    occupancy,'Loan Tape (S&amp;P)'!N9295,
    maturity_date,'Loan Tape (S&amp;P)'!L9295,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96">
      <c r="J9296">
        <f>LET(
    lien,'Loan Tape (S&amp;P)'!Q9296,
    IF(lien="First",1.00,
        IF(lien="Second",1.50,
            1.70)))</f>
        <v/>
      </c>
      <c r="K9296">
        <f>LET(
    purpose,'Loan Tape (S&amp;P)'!R9296,
    IF(purpose="Purchase",1.00,
        IF(purpose="Remortgage",1.00,
            1.20)))</f>
        <v/>
      </c>
      <c r="L9296">
        <f>LET(
    arrears_months,'Loan Tape (S&amp;P)'!AN9296,
    IF(arrears_months=0,1.00,
    IF(arrears_months=1,3.00,
    IF(arrears_months=2,5.00,
    IF(arrears_months=3,8.00,
    IF(arrears_months=4,10.00,
    IF(arrears_months=5,12.00,15.00)))))))</f>
        <v/>
      </c>
      <c r="M9296">
        <f>LET(
    seasoning_years,DATEDIF('Loan Tape (S&amp;P)'!K9296,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96">
        <f>IF(AND('Loan Tape (S&amp;P)'!U9296="Yes",
        'Loan Tape (S&amp;P)'!T9296&lt;&gt;"Yes",
        DATEDIF('Loan Tape (S&amp;P)'!K9296, TODAY(), "M")&lt;18),
    1.10,
    1.00)</f>
        <v/>
      </c>
      <c r="O9296">
        <f>IF('Loan Tape (S&amp;P)'!T9296="Yes",
    1.35,
    1.00)</f>
        <v/>
      </c>
      <c r="P9296">
        <f>IF('Loan Tape (S&amp;P)'!S9296="Yes",
    1.15,
    1.00)</f>
        <v/>
      </c>
      <c r="Q9296">
        <f>IF('Loan Tape (S&amp;P)'!V9296="Yes",
    1.20,
    1.00)</f>
        <v/>
      </c>
      <c r="T9296">
        <f>LET(
    payment_method,'Loan Tape (S&amp;P)'!P9296,
    occupancy,'Loan Tape (S&amp;P)'!N9296,
    maturity_date,'Loan Tape (S&amp;P)'!L9296,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97">
      <c r="J9297">
        <f>LET(
    lien,'Loan Tape (S&amp;P)'!Q9297,
    IF(lien="First",1.00,
        IF(lien="Second",1.50,
            1.70)))</f>
        <v/>
      </c>
      <c r="K9297">
        <f>LET(
    purpose,'Loan Tape (S&amp;P)'!R9297,
    IF(purpose="Purchase",1.00,
        IF(purpose="Remortgage",1.00,
            1.20)))</f>
        <v/>
      </c>
      <c r="L9297">
        <f>LET(
    arrears_months,'Loan Tape (S&amp;P)'!AN9297,
    IF(arrears_months=0,1.00,
    IF(arrears_months=1,3.00,
    IF(arrears_months=2,5.00,
    IF(arrears_months=3,8.00,
    IF(arrears_months=4,10.00,
    IF(arrears_months=5,12.00,15.00)))))))</f>
        <v/>
      </c>
      <c r="M9297">
        <f>LET(
    seasoning_years,DATEDIF('Loan Tape (S&amp;P)'!K9297,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97">
        <f>IF(AND('Loan Tape (S&amp;P)'!U9297="Yes",
        'Loan Tape (S&amp;P)'!T9297&lt;&gt;"Yes",
        DATEDIF('Loan Tape (S&amp;P)'!K9297, TODAY(), "M")&lt;18),
    1.10,
    1.00)</f>
        <v/>
      </c>
      <c r="O9297">
        <f>IF('Loan Tape (S&amp;P)'!T9297="Yes",
    1.35,
    1.00)</f>
        <v/>
      </c>
      <c r="P9297">
        <f>IF('Loan Tape (S&amp;P)'!S9297="Yes",
    1.15,
    1.00)</f>
        <v/>
      </c>
      <c r="Q9297">
        <f>IF('Loan Tape (S&amp;P)'!V9297="Yes",
    1.20,
    1.00)</f>
        <v/>
      </c>
      <c r="T9297">
        <f>LET(
    payment_method,'Loan Tape (S&amp;P)'!P9297,
    occupancy,'Loan Tape (S&amp;P)'!N9297,
    maturity_date,'Loan Tape (S&amp;P)'!L9297,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98">
      <c r="J9298">
        <f>LET(
    lien,'Loan Tape (S&amp;P)'!Q9298,
    IF(lien="First",1.00,
        IF(lien="Second",1.50,
            1.70)))</f>
        <v/>
      </c>
      <c r="K9298">
        <f>LET(
    purpose,'Loan Tape (S&amp;P)'!R9298,
    IF(purpose="Purchase",1.00,
        IF(purpose="Remortgage",1.00,
            1.20)))</f>
        <v/>
      </c>
      <c r="L9298">
        <f>LET(
    arrears_months,'Loan Tape (S&amp;P)'!AN9298,
    IF(arrears_months=0,1.00,
    IF(arrears_months=1,3.00,
    IF(arrears_months=2,5.00,
    IF(arrears_months=3,8.00,
    IF(arrears_months=4,10.00,
    IF(arrears_months=5,12.00,15.00)))))))</f>
        <v/>
      </c>
      <c r="M9298">
        <f>LET(
    seasoning_years,DATEDIF('Loan Tape (S&amp;P)'!K9298,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98">
        <f>IF(AND('Loan Tape (S&amp;P)'!U9298="Yes",
        'Loan Tape (S&amp;P)'!T9298&lt;&gt;"Yes",
        DATEDIF('Loan Tape (S&amp;P)'!K9298, TODAY(), "M")&lt;18),
    1.10,
    1.00)</f>
        <v/>
      </c>
      <c r="O9298">
        <f>IF('Loan Tape (S&amp;P)'!T9298="Yes",
    1.35,
    1.00)</f>
        <v/>
      </c>
      <c r="P9298">
        <f>IF('Loan Tape (S&amp;P)'!S9298="Yes",
    1.15,
    1.00)</f>
        <v/>
      </c>
      <c r="Q9298">
        <f>IF('Loan Tape (S&amp;P)'!V9298="Yes",
    1.20,
    1.00)</f>
        <v/>
      </c>
      <c r="T9298">
        <f>LET(
    payment_method,'Loan Tape (S&amp;P)'!P9298,
    occupancy,'Loan Tape (S&amp;P)'!N9298,
    maturity_date,'Loan Tape (S&amp;P)'!L9298,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299">
      <c r="J9299">
        <f>LET(
    lien,'Loan Tape (S&amp;P)'!Q9299,
    IF(lien="First",1.00,
        IF(lien="Second",1.50,
            1.70)))</f>
        <v/>
      </c>
      <c r="K9299">
        <f>LET(
    purpose,'Loan Tape (S&amp;P)'!R9299,
    IF(purpose="Purchase",1.00,
        IF(purpose="Remortgage",1.00,
            1.20)))</f>
        <v/>
      </c>
      <c r="L9299">
        <f>LET(
    arrears_months,'Loan Tape (S&amp;P)'!AN9299,
    IF(arrears_months=0,1.00,
    IF(arrears_months=1,3.00,
    IF(arrears_months=2,5.00,
    IF(arrears_months=3,8.00,
    IF(arrears_months=4,10.00,
    IF(arrears_months=5,12.00,15.00)))))))</f>
        <v/>
      </c>
      <c r="M9299">
        <f>LET(
    seasoning_years,DATEDIF('Loan Tape (S&amp;P)'!K9299,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299">
        <f>IF(AND('Loan Tape (S&amp;P)'!U9299="Yes",
        'Loan Tape (S&amp;P)'!T9299&lt;&gt;"Yes",
        DATEDIF('Loan Tape (S&amp;P)'!K9299, TODAY(), "M")&lt;18),
    1.10,
    1.00)</f>
        <v/>
      </c>
      <c r="O9299">
        <f>IF('Loan Tape (S&amp;P)'!T9299="Yes",
    1.35,
    1.00)</f>
        <v/>
      </c>
      <c r="P9299">
        <f>IF('Loan Tape (S&amp;P)'!S9299="Yes",
    1.15,
    1.00)</f>
        <v/>
      </c>
      <c r="Q9299">
        <f>IF('Loan Tape (S&amp;P)'!V9299="Yes",
    1.20,
    1.00)</f>
        <v/>
      </c>
      <c r="T9299">
        <f>LET(
    payment_method,'Loan Tape (S&amp;P)'!P9299,
    occupancy,'Loan Tape (S&amp;P)'!N9299,
    maturity_date,'Loan Tape (S&amp;P)'!L9299,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00">
      <c r="J9300">
        <f>LET(
    lien,'Loan Tape (S&amp;P)'!Q9300,
    IF(lien="First",1.00,
        IF(lien="Second",1.50,
            1.70)))</f>
        <v/>
      </c>
      <c r="K9300">
        <f>LET(
    purpose,'Loan Tape (S&amp;P)'!R9300,
    IF(purpose="Purchase",1.00,
        IF(purpose="Remortgage",1.00,
            1.20)))</f>
        <v/>
      </c>
      <c r="L9300">
        <f>LET(
    arrears_months,'Loan Tape (S&amp;P)'!AN9300,
    IF(arrears_months=0,1.00,
    IF(arrears_months=1,3.00,
    IF(arrears_months=2,5.00,
    IF(arrears_months=3,8.00,
    IF(arrears_months=4,10.00,
    IF(arrears_months=5,12.00,15.00)))))))</f>
        <v/>
      </c>
      <c r="M9300">
        <f>LET(
    seasoning_years,DATEDIF('Loan Tape (S&amp;P)'!K9300,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00">
        <f>IF(AND('Loan Tape (S&amp;P)'!U9300="Yes",
        'Loan Tape (S&amp;P)'!T9300&lt;&gt;"Yes",
        DATEDIF('Loan Tape (S&amp;P)'!K9300, TODAY(), "M")&lt;18),
    1.10,
    1.00)</f>
        <v/>
      </c>
      <c r="O9300">
        <f>IF('Loan Tape (S&amp;P)'!T9300="Yes",
    1.35,
    1.00)</f>
        <v/>
      </c>
      <c r="P9300">
        <f>IF('Loan Tape (S&amp;P)'!S9300="Yes",
    1.15,
    1.00)</f>
        <v/>
      </c>
      <c r="Q9300">
        <f>IF('Loan Tape (S&amp;P)'!V9300="Yes",
    1.20,
    1.00)</f>
        <v/>
      </c>
      <c r="T9300">
        <f>LET(
    payment_method,'Loan Tape (S&amp;P)'!P9300,
    occupancy,'Loan Tape (S&amp;P)'!N9300,
    maturity_date,'Loan Tape (S&amp;P)'!L9300,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01">
      <c r="J9301">
        <f>LET(
    lien,'Loan Tape (S&amp;P)'!Q9301,
    IF(lien="First",1.00,
        IF(lien="Second",1.50,
            1.70)))</f>
        <v/>
      </c>
      <c r="K9301">
        <f>LET(
    purpose,'Loan Tape (S&amp;P)'!R9301,
    IF(purpose="Purchase",1.00,
        IF(purpose="Remortgage",1.00,
            1.20)))</f>
        <v/>
      </c>
      <c r="L9301">
        <f>LET(
    arrears_months,'Loan Tape (S&amp;P)'!AN9301,
    IF(arrears_months=0,1.00,
    IF(arrears_months=1,3.00,
    IF(arrears_months=2,5.00,
    IF(arrears_months=3,8.00,
    IF(arrears_months=4,10.00,
    IF(arrears_months=5,12.00,15.00)))))))</f>
        <v/>
      </c>
      <c r="M9301">
        <f>LET(
    seasoning_years,DATEDIF('Loan Tape (S&amp;P)'!K9301,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01">
        <f>IF(AND('Loan Tape (S&amp;P)'!U9301="Yes",
        'Loan Tape (S&amp;P)'!T9301&lt;&gt;"Yes",
        DATEDIF('Loan Tape (S&amp;P)'!K9301, TODAY(), "M")&lt;18),
    1.10,
    1.00)</f>
        <v/>
      </c>
      <c r="O9301">
        <f>IF('Loan Tape (S&amp;P)'!T9301="Yes",
    1.35,
    1.00)</f>
        <v/>
      </c>
      <c r="P9301">
        <f>IF('Loan Tape (S&amp;P)'!S9301="Yes",
    1.15,
    1.00)</f>
        <v/>
      </c>
      <c r="Q9301">
        <f>IF('Loan Tape (S&amp;P)'!V9301="Yes",
    1.20,
    1.00)</f>
        <v/>
      </c>
      <c r="T9301">
        <f>LET(
    payment_method,'Loan Tape (S&amp;P)'!P9301,
    occupancy,'Loan Tape (S&amp;P)'!N9301,
    maturity_date,'Loan Tape (S&amp;P)'!L9301,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02">
      <c r="J9302">
        <f>LET(
    lien,'Loan Tape (S&amp;P)'!Q9302,
    IF(lien="First",1.00,
        IF(lien="Second",1.50,
            1.70)))</f>
        <v/>
      </c>
      <c r="K9302">
        <f>LET(
    purpose,'Loan Tape (S&amp;P)'!R9302,
    IF(purpose="Purchase",1.00,
        IF(purpose="Remortgage",1.00,
            1.20)))</f>
        <v/>
      </c>
      <c r="L9302">
        <f>LET(
    arrears_months,'Loan Tape (S&amp;P)'!AN9302,
    IF(arrears_months=0,1.00,
    IF(arrears_months=1,3.00,
    IF(arrears_months=2,5.00,
    IF(arrears_months=3,8.00,
    IF(arrears_months=4,10.00,
    IF(arrears_months=5,12.00,15.00)))))))</f>
        <v/>
      </c>
      <c r="M9302">
        <f>LET(
    seasoning_years,DATEDIF('Loan Tape (S&amp;P)'!K9302,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02">
        <f>IF(AND('Loan Tape (S&amp;P)'!U9302="Yes",
        'Loan Tape (S&amp;P)'!T9302&lt;&gt;"Yes",
        DATEDIF('Loan Tape (S&amp;P)'!K9302, TODAY(), "M")&lt;18),
    1.10,
    1.00)</f>
        <v/>
      </c>
      <c r="O9302">
        <f>IF('Loan Tape (S&amp;P)'!T9302="Yes",
    1.35,
    1.00)</f>
        <v/>
      </c>
      <c r="P9302">
        <f>IF('Loan Tape (S&amp;P)'!S9302="Yes",
    1.15,
    1.00)</f>
        <v/>
      </c>
      <c r="Q9302">
        <f>IF('Loan Tape (S&amp;P)'!V9302="Yes",
    1.20,
    1.00)</f>
        <v/>
      </c>
      <c r="T9302">
        <f>LET(
    payment_method,'Loan Tape (S&amp;P)'!P9302,
    occupancy,'Loan Tape (S&amp;P)'!N9302,
    maturity_date,'Loan Tape (S&amp;P)'!L9302,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03">
      <c r="J9303">
        <f>LET(
    lien,'Loan Tape (S&amp;P)'!Q9303,
    IF(lien="First",1.00,
        IF(lien="Second",1.50,
            1.70)))</f>
        <v/>
      </c>
      <c r="K9303">
        <f>LET(
    purpose,'Loan Tape (S&amp;P)'!R9303,
    IF(purpose="Purchase",1.00,
        IF(purpose="Remortgage",1.00,
            1.20)))</f>
        <v/>
      </c>
      <c r="L9303">
        <f>LET(
    arrears_months,'Loan Tape (S&amp;P)'!AN9303,
    IF(arrears_months=0,1.00,
    IF(arrears_months=1,3.00,
    IF(arrears_months=2,5.00,
    IF(arrears_months=3,8.00,
    IF(arrears_months=4,10.00,
    IF(arrears_months=5,12.00,15.00)))))))</f>
        <v/>
      </c>
      <c r="M9303">
        <f>LET(
    seasoning_years,DATEDIF('Loan Tape (S&amp;P)'!K9303,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03">
        <f>IF(AND('Loan Tape (S&amp;P)'!U9303="Yes",
        'Loan Tape (S&amp;P)'!T9303&lt;&gt;"Yes",
        DATEDIF('Loan Tape (S&amp;P)'!K9303, TODAY(), "M")&lt;18),
    1.10,
    1.00)</f>
        <v/>
      </c>
      <c r="O9303">
        <f>IF('Loan Tape (S&amp;P)'!T9303="Yes",
    1.35,
    1.00)</f>
        <v/>
      </c>
      <c r="P9303">
        <f>IF('Loan Tape (S&amp;P)'!S9303="Yes",
    1.15,
    1.00)</f>
        <v/>
      </c>
      <c r="Q9303">
        <f>IF('Loan Tape (S&amp;P)'!V9303="Yes",
    1.20,
    1.00)</f>
        <v/>
      </c>
      <c r="T9303">
        <f>LET(
    payment_method,'Loan Tape (S&amp;P)'!P9303,
    occupancy,'Loan Tape (S&amp;P)'!N9303,
    maturity_date,'Loan Tape (S&amp;P)'!L9303,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04">
      <c r="J9304">
        <f>LET(
    lien,'Loan Tape (S&amp;P)'!Q9304,
    IF(lien="First",1.00,
        IF(lien="Second",1.50,
            1.70)))</f>
        <v/>
      </c>
      <c r="K9304">
        <f>LET(
    purpose,'Loan Tape (S&amp;P)'!R9304,
    IF(purpose="Purchase",1.00,
        IF(purpose="Remortgage",1.00,
            1.20)))</f>
        <v/>
      </c>
      <c r="L9304">
        <f>LET(
    arrears_months,'Loan Tape (S&amp;P)'!AN9304,
    IF(arrears_months=0,1.00,
    IF(arrears_months=1,3.00,
    IF(arrears_months=2,5.00,
    IF(arrears_months=3,8.00,
    IF(arrears_months=4,10.00,
    IF(arrears_months=5,12.00,15.00)))))))</f>
        <v/>
      </c>
      <c r="M9304">
        <f>LET(
    seasoning_years,DATEDIF('Loan Tape (S&amp;P)'!K9304,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04">
        <f>IF(AND('Loan Tape (S&amp;P)'!U9304="Yes",
        'Loan Tape (S&amp;P)'!T9304&lt;&gt;"Yes",
        DATEDIF('Loan Tape (S&amp;P)'!K9304, TODAY(), "M")&lt;18),
    1.10,
    1.00)</f>
        <v/>
      </c>
      <c r="O9304">
        <f>IF('Loan Tape (S&amp;P)'!T9304="Yes",
    1.35,
    1.00)</f>
        <v/>
      </c>
      <c r="P9304">
        <f>IF('Loan Tape (S&amp;P)'!S9304="Yes",
    1.15,
    1.00)</f>
        <v/>
      </c>
      <c r="Q9304">
        <f>IF('Loan Tape (S&amp;P)'!V9304="Yes",
    1.20,
    1.00)</f>
        <v/>
      </c>
      <c r="T9304">
        <f>LET(
    payment_method,'Loan Tape (S&amp;P)'!P9304,
    occupancy,'Loan Tape (S&amp;P)'!N9304,
    maturity_date,'Loan Tape (S&amp;P)'!L9304,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05">
      <c r="J9305">
        <f>LET(
    lien,'Loan Tape (S&amp;P)'!Q9305,
    IF(lien="First",1.00,
        IF(lien="Second",1.50,
            1.70)))</f>
        <v/>
      </c>
      <c r="K9305">
        <f>LET(
    purpose,'Loan Tape (S&amp;P)'!R9305,
    IF(purpose="Purchase",1.00,
        IF(purpose="Remortgage",1.00,
            1.20)))</f>
        <v/>
      </c>
      <c r="L9305">
        <f>LET(
    arrears_months,'Loan Tape (S&amp;P)'!AN9305,
    IF(arrears_months=0,1.00,
    IF(arrears_months=1,3.00,
    IF(arrears_months=2,5.00,
    IF(arrears_months=3,8.00,
    IF(arrears_months=4,10.00,
    IF(arrears_months=5,12.00,15.00)))))))</f>
        <v/>
      </c>
      <c r="M9305">
        <f>LET(
    seasoning_years,DATEDIF('Loan Tape (S&amp;P)'!K9305,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05">
        <f>IF(AND('Loan Tape (S&amp;P)'!U9305="Yes",
        'Loan Tape (S&amp;P)'!T9305&lt;&gt;"Yes",
        DATEDIF('Loan Tape (S&amp;P)'!K9305, TODAY(), "M")&lt;18),
    1.10,
    1.00)</f>
        <v/>
      </c>
      <c r="O9305">
        <f>IF('Loan Tape (S&amp;P)'!T9305="Yes",
    1.35,
    1.00)</f>
        <v/>
      </c>
      <c r="P9305">
        <f>IF('Loan Tape (S&amp;P)'!S9305="Yes",
    1.15,
    1.00)</f>
        <v/>
      </c>
      <c r="Q9305">
        <f>IF('Loan Tape (S&amp;P)'!V9305="Yes",
    1.20,
    1.00)</f>
        <v/>
      </c>
      <c r="T9305">
        <f>LET(
    payment_method,'Loan Tape (S&amp;P)'!P9305,
    occupancy,'Loan Tape (S&amp;P)'!N9305,
    maturity_date,'Loan Tape (S&amp;P)'!L9305,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06">
      <c r="J9306">
        <f>LET(
    lien,'Loan Tape (S&amp;P)'!Q9306,
    IF(lien="First",1.00,
        IF(lien="Second",1.50,
            1.70)))</f>
        <v/>
      </c>
      <c r="K9306">
        <f>LET(
    purpose,'Loan Tape (S&amp;P)'!R9306,
    IF(purpose="Purchase",1.00,
        IF(purpose="Remortgage",1.00,
            1.20)))</f>
        <v/>
      </c>
      <c r="L9306">
        <f>LET(
    arrears_months,'Loan Tape (S&amp;P)'!AN9306,
    IF(arrears_months=0,1.00,
    IF(arrears_months=1,3.00,
    IF(arrears_months=2,5.00,
    IF(arrears_months=3,8.00,
    IF(arrears_months=4,10.00,
    IF(arrears_months=5,12.00,15.00)))))))</f>
        <v/>
      </c>
      <c r="M9306">
        <f>LET(
    seasoning_years,DATEDIF('Loan Tape (S&amp;P)'!K9306,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06">
        <f>IF(AND('Loan Tape (S&amp;P)'!U9306="Yes",
        'Loan Tape (S&amp;P)'!T9306&lt;&gt;"Yes",
        DATEDIF('Loan Tape (S&amp;P)'!K9306, TODAY(), "M")&lt;18),
    1.10,
    1.00)</f>
        <v/>
      </c>
      <c r="O9306">
        <f>IF('Loan Tape (S&amp;P)'!T9306="Yes",
    1.35,
    1.00)</f>
        <v/>
      </c>
      <c r="P9306">
        <f>IF('Loan Tape (S&amp;P)'!S9306="Yes",
    1.15,
    1.00)</f>
        <v/>
      </c>
      <c r="Q9306">
        <f>IF('Loan Tape (S&amp;P)'!V9306="Yes",
    1.20,
    1.00)</f>
        <v/>
      </c>
      <c r="T9306">
        <f>LET(
    payment_method,'Loan Tape (S&amp;P)'!P9306,
    occupancy,'Loan Tape (S&amp;P)'!N9306,
    maturity_date,'Loan Tape (S&amp;P)'!L9306,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07">
      <c r="J9307">
        <f>LET(
    lien,'Loan Tape (S&amp;P)'!Q9307,
    IF(lien="First",1.00,
        IF(lien="Second",1.50,
            1.70)))</f>
        <v/>
      </c>
      <c r="K9307">
        <f>LET(
    purpose,'Loan Tape (S&amp;P)'!R9307,
    IF(purpose="Purchase",1.00,
        IF(purpose="Remortgage",1.00,
            1.20)))</f>
        <v/>
      </c>
      <c r="L9307">
        <f>LET(
    arrears_months,'Loan Tape (S&amp;P)'!AN9307,
    IF(arrears_months=0,1.00,
    IF(arrears_months=1,3.00,
    IF(arrears_months=2,5.00,
    IF(arrears_months=3,8.00,
    IF(arrears_months=4,10.00,
    IF(arrears_months=5,12.00,15.00)))))))</f>
        <v/>
      </c>
      <c r="M9307">
        <f>LET(
    seasoning_years,DATEDIF('Loan Tape (S&amp;P)'!K9307,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07">
        <f>IF(AND('Loan Tape (S&amp;P)'!U9307="Yes",
        'Loan Tape (S&amp;P)'!T9307&lt;&gt;"Yes",
        DATEDIF('Loan Tape (S&amp;P)'!K9307, TODAY(), "M")&lt;18),
    1.10,
    1.00)</f>
        <v/>
      </c>
      <c r="O9307">
        <f>IF('Loan Tape (S&amp;P)'!T9307="Yes",
    1.35,
    1.00)</f>
        <v/>
      </c>
      <c r="P9307">
        <f>IF('Loan Tape (S&amp;P)'!S9307="Yes",
    1.15,
    1.00)</f>
        <v/>
      </c>
      <c r="Q9307">
        <f>IF('Loan Tape (S&amp;P)'!V9307="Yes",
    1.20,
    1.00)</f>
        <v/>
      </c>
      <c r="T9307">
        <f>LET(
    payment_method,'Loan Tape (S&amp;P)'!P9307,
    occupancy,'Loan Tape (S&amp;P)'!N9307,
    maturity_date,'Loan Tape (S&amp;P)'!L9307,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08">
      <c r="J9308">
        <f>LET(
    lien,'Loan Tape (S&amp;P)'!Q9308,
    IF(lien="First",1.00,
        IF(lien="Second",1.50,
            1.70)))</f>
        <v/>
      </c>
      <c r="K9308">
        <f>LET(
    purpose,'Loan Tape (S&amp;P)'!R9308,
    IF(purpose="Purchase",1.00,
        IF(purpose="Remortgage",1.00,
            1.20)))</f>
        <v/>
      </c>
      <c r="L9308">
        <f>LET(
    arrears_months,'Loan Tape (S&amp;P)'!AN9308,
    IF(arrears_months=0,1.00,
    IF(arrears_months=1,3.00,
    IF(arrears_months=2,5.00,
    IF(arrears_months=3,8.00,
    IF(arrears_months=4,10.00,
    IF(arrears_months=5,12.00,15.00)))))))</f>
        <v/>
      </c>
      <c r="M9308">
        <f>LET(
    seasoning_years,DATEDIF('Loan Tape (S&amp;P)'!K9308,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08">
        <f>IF(AND('Loan Tape (S&amp;P)'!U9308="Yes",
        'Loan Tape (S&amp;P)'!T9308&lt;&gt;"Yes",
        DATEDIF('Loan Tape (S&amp;P)'!K9308, TODAY(), "M")&lt;18),
    1.10,
    1.00)</f>
        <v/>
      </c>
      <c r="O9308">
        <f>IF('Loan Tape (S&amp;P)'!T9308="Yes",
    1.35,
    1.00)</f>
        <v/>
      </c>
      <c r="P9308">
        <f>IF('Loan Tape (S&amp;P)'!S9308="Yes",
    1.15,
    1.00)</f>
        <v/>
      </c>
      <c r="Q9308">
        <f>IF('Loan Tape (S&amp;P)'!V9308="Yes",
    1.20,
    1.00)</f>
        <v/>
      </c>
      <c r="T9308">
        <f>LET(
    payment_method,'Loan Tape (S&amp;P)'!P9308,
    occupancy,'Loan Tape (S&amp;P)'!N9308,
    maturity_date,'Loan Tape (S&amp;P)'!L9308,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09">
      <c r="J9309">
        <f>LET(
    lien,'Loan Tape (S&amp;P)'!Q9309,
    IF(lien="First",1.00,
        IF(lien="Second",1.50,
            1.70)))</f>
        <v/>
      </c>
      <c r="K9309">
        <f>LET(
    purpose,'Loan Tape (S&amp;P)'!R9309,
    IF(purpose="Purchase",1.00,
        IF(purpose="Remortgage",1.00,
            1.20)))</f>
        <v/>
      </c>
      <c r="L9309">
        <f>LET(
    arrears_months,'Loan Tape (S&amp;P)'!AN9309,
    IF(arrears_months=0,1.00,
    IF(arrears_months=1,3.00,
    IF(arrears_months=2,5.00,
    IF(arrears_months=3,8.00,
    IF(arrears_months=4,10.00,
    IF(arrears_months=5,12.00,15.00)))))))</f>
        <v/>
      </c>
      <c r="M9309">
        <f>LET(
    seasoning_years,DATEDIF('Loan Tape (S&amp;P)'!K9309,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09">
        <f>IF(AND('Loan Tape (S&amp;P)'!U9309="Yes",
        'Loan Tape (S&amp;P)'!T9309&lt;&gt;"Yes",
        DATEDIF('Loan Tape (S&amp;P)'!K9309, TODAY(), "M")&lt;18),
    1.10,
    1.00)</f>
        <v/>
      </c>
      <c r="O9309">
        <f>IF('Loan Tape (S&amp;P)'!T9309="Yes",
    1.35,
    1.00)</f>
        <v/>
      </c>
      <c r="P9309">
        <f>IF('Loan Tape (S&amp;P)'!S9309="Yes",
    1.15,
    1.00)</f>
        <v/>
      </c>
      <c r="Q9309">
        <f>IF('Loan Tape (S&amp;P)'!V9309="Yes",
    1.20,
    1.00)</f>
        <v/>
      </c>
      <c r="T9309">
        <f>LET(
    payment_method,'Loan Tape (S&amp;P)'!P9309,
    occupancy,'Loan Tape (S&amp;P)'!N9309,
    maturity_date,'Loan Tape (S&amp;P)'!L9309,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10">
      <c r="J9310">
        <f>LET(
    lien,'Loan Tape (S&amp;P)'!Q9310,
    IF(lien="First",1.00,
        IF(lien="Second",1.50,
            1.70)))</f>
        <v/>
      </c>
      <c r="K9310">
        <f>LET(
    purpose,'Loan Tape (S&amp;P)'!R9310,
    IF(purpose="Purchase",1.00,
        IF(purpose="Remortgage",1.00,
            1.20)))</f>
        <v/>
      </c>
      <c r="L9310">
        <f>LET(
    arrears_months,'Loan Tape (S&amp;P)'!AN9310,
    IF(arrears_months=0,1.00,
    IF(arrears_months=1,3.00,
    IF(arrears_months=2,5.00,
    IF(arrears_months=3,8.00,
    IF(arrears_months=4,10.00,
    IF(arrears_months=5,12.00,15.00)))))))</f>
        <v/>
      </c>
      <c r="M9310">
        <f>LET(
    seasoning_years,DATEDIF('Loan Tape (S&amp;P)'!K9310,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10">
        <f>IF(AND('Loan Tape (S&amp;P)'!U9310="Yes",
        'Loan Tape (S&amp;P)'!T9310&lt;&gt;"Yes",
        DATEDIF('Loan Tape (S&amp;P)'!K9310, TODAY(), "M")&lt;18),
    1.10,
    1.00)</f>
        <v/>
      </c>
      <c r="O9310">
        <f>IF('Loan Tape (S&amp;P)'!T9310="Yes",
    1.35,
    1.00)</f>
        <v/>
      </c>
      <c r="P9310">
        <f>IF('Loan Tape (S&amp;P)'!S9310="Yes",
    1.15,
    1.00)</f>
        <v/>
      </c>
      <c r="Q9310">
        <f>IF('Loan Tape (S&amp;P)'!V9310="Yes",
    1.20,
    1.00)</f>
        <v/>
      </c>
      <c r="T9310">
        <f>LET(
    payment_method,'Loan Tape (S&amp;P)'!P9310,
    occupancy,'Loan Tape (S&amp;P)'!N9310,
    maturity_date,'Loan Tape (S&amp;P)'!L9310,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11">
      <c r="J9311">
        <f>LET(
    lien,'Loan Tape (S&amp;P)'!Q9311,
    IF(lien="First",1.00,
        IF(lien="Second",1.50,
            1.70)))</f>
        <v/>
      </c>
      <c r="K9311">
        <f>LET(
    purpose,'Loan Tape (S&amp;P)'!R9311,
    IF(purpose="Purchase",1.00,
        IF(purpose="Remortgage",1.00,
            1.20)))</f>
        <v/>
      </c>
      <c r="L9311">
        <f>LET(
    arrears_months,'Loan Tape (S&amp;P)'!AN9311,
    IF(arrears_months=0,1.00,
    IF(arrears_months=1,3.00,
    IF(arrears_months=2,5.00,
    IF(arrears_months=3,8.00,
    IF(arrears_months=4,10.00,
    IF(arrears_months=5,12.00,15.00)))))))</f>
        <v/>
      </c>
      <c r="M9311">
        <f>LET(
    seasoning_years,DATEDIF('Loan Tape (S&amp;P)'!K9311,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11">
        <f>IF(AND('Loan Tape (S&amp;P)'!U9311="Yes",
        'Loan Tape (S&amp;P)'!T9311&lt;&gt;"Yes",
        DATEDIF('Loan Tape (S&amp;P)'!K9311, TODAY(), "M")&lt;18),
    1.10,
    1.00)</f>
        <v/>
      </c>
      <c r="O9311">
        <f>IF('Loan Tape (S&amp;P)'!T9311="Yes",
    1.35,
    1.00)</f>
        <v/>
      </c>
      <c r="P9311">
        <f>IF('Loan Tape (S&amp;P)'!S9311="Yes",
    1.15,
    1.00)</f>
        <v/>
      </c>
      <c r="Q9311">
        <f>IF('Loan Tape (S&amp;P)'!V9311="Yes",
    1.20,
    1.00)</f>
        <v/>
      </c>
      <c r="T9311">
        <f>LET(
    payment_method,'Loan Tape (S&amp;P)'!P9311,
    occupancy,'Loan Tape (S&amp;P)'!N9311,
    maturity_date,'Loan Tape (S&amp;P)'!L9311,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12">
      <c r="J9312">
        <f>LET(
    lien,'Loan Tape (S&amp;P)'!Q9312,
    IF(lien="First",1.00,
        IF(lien="Second",1.50,
            1.70)))</f>
        <v/>
      </c>
      <c r="K9312">
        <f>LET(
    purpose,'Loan Tape (S&amp;P)'!R9312,
    IF(purpose="Purchase",1.00,
        IF(purpose="Remortgage",1.00,
            1.20)))</f>
        <v/>
      </c>
      <c r="L9312">
        <f>LET(
    arrears_months,'Loan Tape (S&amp;P)'!AN9312,
    IF(arrears_months=0,1.00,
    IF(arrears_months=1,3.00,
    IF(arrears_months=2,5.00,
    IF(arrears_months=3,8.00,
    IF(arrears_months=4,10.00,
    IF(arrears_months=5,12.00,15.00)))))))</f>
        <v/>
      </c>
      <c r="M9312">
        <f>LET(
    seasoning_years,DATEDIF('Loan Tape (S&amp;P)'!K9312,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12">
        <f>IF(AND('Loan Tape (S&amp;P)'!U9312="Yes",
        'Loan Tape (S&amp;P)'!T9312&lt;&gt;"Yes",
        DATEDIF('Loan Tape (S&amp;P)'!K9312, TODAY(), "M")&lt;18),
    1.10,
    1.00)</f>
        <v/>
      </c>
      <c r="O9312">
        <f>IF('Loan Tape (S&amp;P)'!T9312="Yes",
    1.35,
    1.00)</f>
        <v/>
      </c>
      <c r="P9312">
        <f>IF('Loan Tape (S&amp;P)'!S9312="Yes",
    1.15,
    1.00)</f>
        <v/>
      </c>
      <c r="Q9312">
        <f>IF('Loan Tape (S&amp;P)'!V9312="Yes",
    1.20,
    1.00)</f>
        <v/>
      </c>
      <c r="T9312">
        <f>LET(
    payment_method,'Loan Tape (S&amp;P)'!P9312,
    occupancy,'Loan Tape (S&amp;P)'!N9312,
    maturity_date,'Loan Tape (S&amp;P)'!L9312,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13">
      <c r="J9313">
        <f>LET(
    lien,'Loan Tape (S&amp;P)'!Q9313,
    IF(lien="First",1.00,
        IF(lien="Second",1.50,
            1.70)))</f>
        <v/>
      </c>
      <c r="K9313">
        <f>LET(
    purpose,'Loan Tape (S&amp;P)'!R9313,
    IF(purpose="Purchase",1.00,
        IF(purpose="Remortgage",1.00,
            1.20)))</f>
        <v/>
      </c>
      <c r="L9313">
        <f>LET(
    arrears_months,'Loan Tape (S&amp;P)'!AN9313,
    IF(arrears_months=0,1.00,
    IF(arrears_months=1,3.00,
    IF(arrears_months=2,5.00,
    IF(arrears_months=3,8.00,
    IF(arrears_months=4,10.00,
    IF(arrears_months=5,12.00,15.00)))))))</f>
        <v/>
      </c>
      <c r="M9313">
        <f>LET(
    seasoning_years,DATEDIF('Loan Tape (S&amp;P)'!K9313,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13">
        <f>IF(AND('Loan Tape (S&amp;P)'!U9313="Yes",
        'Loan Tape (S&amp;P)'!T9313&lt;&gt;"Yes",
        DATEDIF('Loan Tape (S&amp;P)'!K9313, TODAY(), "M")&lt;18),
    1.10,
    1.00)</f>
        <v/>
      </c>
      <c r="O9313">
        <f>IF('Loan Tape (S&amp;P)'!T9313="Yes",
    1.35,
    1.00)</f>
        <v/>
      </c>
      <c r="P9313">
        <f>IF('Loan Tape (S&amp;P)'!S9313="Yes",
    1.15,
    1.00)</f>
        <v/>
      </c>
      <c r="Q9313">
        <f>IF('Loan Tape (S&amp;P)'!V9313="Yes",
    1.20,
    1.00)</f>
        <v/>
      </c>
      <c r="T9313">
        <f>LET(
    payment_method,'Loan Tape (S&amp;P)'!P9313,
    occupancy,'Loan Tape (S&amp;P)'!N9313,
    maturity_date,'Loan Tape (S&amp;P)'!L9313,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14">
      <c r="J9314">
        <f>LET(
    lien,'Loan Tape (S&amp;P)'!Q9314,
    IF(lien="First",1.00,
        IF(lien="Second",1.50,
            1.70)))</f>
        <v/>
      </c>
      <c r="K9314">
        <f>LET(
    purpose,'Loan Tape (S&amp;P)'!R9314,
    IF(purpose="Purchase",1.00,
        IF(purpose="Remortgage",1.00,
            1.20)))</f>
        <v/>
      </c>
      <c r="L9314">
        <f>LET(
    arrears_months,'Loan Tape (S&amp;P)'!AN9314,
    IF(arrears_months=0,1.00,
    IF(arrears_months=1,3.00,
    IF(arrears_months=2,5.00,
    IF(arrears_months=3,8.00,
    IF(arrears_months=4,10.00,
    IF(arrears_months=5,12.00,15.00)))))))</f>
        <v/>
      </c>
      <c r="M9314">
        <f>LET(
    seasoning_years,DATEDIF('Loan Tape (S&amp;P)'!K9314,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14">
        <f>IF(AND('Loan Tape (S&amp;P)'!U9314="Yes",
        'Loan Tape (S&amp;P)'!T9314&lt;&gt;"Yes",
        DATEDIF('Loan Tape (S&amp;P)'!K9314, TODAY(), "M")&lt;18),
    1.10,
    1.00)</f>
        <v/>
      </c>
      <c r="O9314">
        <f>IF('Loan Tape (S&amp;P)'!T9314="Yes",
    1.35,
    1.00)</f>
        <v/>
      </c>
      <c r="P9314">
        <f>IF('Loan Tape (S&amp;P)'!S9314="Yes",
    1.15,
    1.00)</f>
        <v/>
      </c>
      <c r="Q9314">
        <f>IF('Loan Tape (S&amp;P)'!V9314="Yes",
    1.20,
    1.00)</f>
        <v/>
      </c>
      <c r="T9314">
        <f>LET(
    payment_method,'Loan Tape (S&amp;P)'!P9314,
    occupancy,'Loan Tape (S&amp;P)'!N9314,
    maturity_date,'Loan Tape (S&amp;P)'!L9314,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15">
      <c r="J9315">
        <f>LET(
    lien,'Loan Tape (S&amp;P)'!Q9315,
    IF(lien="First",1.00,
        IF(lien="Second",1.50,
            1.70)))</f>
        <v/>
      </c>
      <c r="K9315">
        <f>LET(
    purpose,'Loan Tape (S&amp;P)'!R9315,
    IF(purpose="Purchase",1.00,
        IF(purpose="Remortgage",1.00,
            1.20)))</f>
        <v/>
      </c>
      <c r="L9315">
        <f>LET(
    arrears_months,'Loan Tape (S&amp;P)'!AN9315,
    IF(arrears_months=0,1.00,
    IF(arrears_months=1,3.00,
    IF(arrears_months=2,5.00,
    IF(arrears_months=3,8.00,
    IF(arrears_months=4,10.00,
    IF(arrears_months=5,12.00,15.00)))))))</f>
        <v/>
      </c>
      <c r="M9315">
        <f>LET(
    seasoning_years,DATEDIF('Loan Tape (S&amp;P)'!K9315,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15">
        <f>IF(AND('Loan Tape (S&amp;P)'!U9315="Yes",
        'Loan Tape (S&amp;P)'!T9315&lt;&gt;"Yes",
        DATEDIF('Loan Tape (S&amp;P)'!K9315, TODAY(), "M")&lt;18),
    1.10,
    1.00)</f>
        <v/>
      </c>
      <c r="O9315">
        <f>IF('Loan Tape (S&amp;P)'!T9315="Yes",
    1.35,
    1.00)</f>
        <v/>
      </c>
      <c r="P9315">
        <f>IF('Loan Tape (S&amp;P)'!S9315="Yes",
    1.15,
    1.00)</f>
        <v/>
      </c>
      <c r="Q9315">
        <f>IF('Loan Tape (S&amp;P)'!V9315="Yes",
    1.20,
    1.00)</f>
        <v/>
      </c>
      <c r="T9315">
        <f>LET(
    payment_method,'Loan Tape (S&amp;P)'!P9315,
    occupancy,'Loan Tape (S&amp;P)'!N9315,
    maturity_date,'Loan Tape (S&amp;P)'!L9315,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16">
      <c r="J9316">
        <f>LET(
    lien,'Loan Tape (S&amp;P)'!Q9316,
    IF(lien="First",1.00,
        IF(lien="Second",1.50,
            1.70)))</f>
        <v/>
      </c>
      <c r="K9316">
        <f>LET(
    purpose,'Loan Tape (S&amp;P)'!R9316,
    IF(purpose="Purchase",1.00,
        IF(purpose="Remortgage",1.00,
            1.20)))</f>
        <v/>
      </c>
      <c r="L9316">
        <f>LET(
    arrears_months,'Loan Tape (S&amp;P)'!AN9316,
    IF(arrears_months=0,1.00,
    IF(arrears_months=1,3.00,
    IF(arrears_months=2,5.00,
    IF(arrears_months=3,8.00,
    IF(arrears_months=4,10.00,
    IF(arrears_months=5,12.00,15.00)))))))</f>
        <v/>
      </c>
      <c r="M9316">
        <f>LET(
    seasoning_years,DATEDIF('Loan Tape (S&amp;P)'!K9316,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16">
        <f>IF(AND('Loan Tape (S&amp;P)'!U9316="Yes",
        'Loan Tape (S&amp;P)'!T9316&lt;&gt;"Yes",
        DATEDIF('Loan Tape (S&amp;P)'!K9316, TODAY(), "M")&lt;18),
    1.10,
    1.00)</f>
        <v/>
      </c>
      <c r="O9316">
        <f>IF('Loan Tape (S&amp;P)'!T9316="Yes",
    1.35,
    1.00)</f>
        <v/>
      </c>
      <c r="P9316">
        <f>IF('Loan Tape (S&amp;P)'!S9316="Yes",
    1.15,
    1.00)</f>
        <v/>
      </c>
      <c r="Q9316">
        <f>IF('Loan Tape (S&amp;P)'!V9316="Yes",
    1.20,
    1.00)</f>
        <v/>
      </c>
      <c r="T9316">
        <f>LET(
    payment_method,'Loan Tape (S&amp;P)'!P9316,
    occupancy,'Loan Tape (S&amp;P)'!N9316,
    maturity_date,'Loan Tape (S&amp;P)'!L9316,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17">
      <c r="J9317">
        <f>LET(
    lien,'Loan Tape (S&amp;P)'!Q9317,
    IF(lien="First",1.00,
        IF(lien="Second",1.50,
            1.70)))</f>
        <v/>
      </c>
      <c r="K9317">
        <f>LET(
    purpose,'Loan Tape (S&amp;P)'!R9317,
    IF(purpose="Purchase",1.00,
        IF(purpose="Remortgage",1.00,
            1.20)))</f>
        <v/>
      </c>
      <c r="L9317">
        <f>LET(
    arrears_months,'Loan Tape (S&amp;P)'!AN9317,
    IF(arrears_months=0,1.00,
    IF(arrears_months=1,3.00,
    IF(arrears_months=2,5.00,
    IF(arrears_months=3,8.00,
    IF(arrears_months=4,10.00,
    IF(arrears_months=5,12.00,15.00)))))))</f>
        <v/>
      </c>
      <c r="M9317">
        <f>LET(
    seasoning_years,DATEDIF('Loan Tape (S&amp;P)'!K9317,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17">
        <f>IF(AND('Loan Tape (S&amp;P)'!U9317="Yes",
        'Loan Tape (S&amp;P)'!T9317&lt;&gt;"Yes",
        DATEDIF('Loan Tape (S&amp;P)'!K9317, TODAY(), "M")&lt;18),
    1.10,
    1.00)</f>
        <v/>
      </c>
      <c r="O9317">
        <f>IF('Loan Tape (S&amp;P)'!T9317="Yes",
    1.35,
    1.00)</f>
        <v/>
      </c>
      <c r="P9317">
        <f>IF('Loan Tape (S&amp;P)'!S9317="Yes",
    1.15,
    1.00)</f>
        <v/>
      </c>
      <c r="Q9317">
        <f>IF('Loan Tape (S&amp;P)'!V9317="Yes",
    1.20,
    1.00)</f>
        <v/>
      </c>
      <c r="T9317">
        <f>LET(
    payment_method,'Loan Tape (S&amp;P)'!P9317,
    occupancy,'Loan Tape (S&amp;P)'!N9317,
    maturity_date,'Loan Tape (S&amp;P)'!L9317,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18">
      <c r="J9318">
        <f>LET(
    lien,'Loan Tape (S&amp;P)'!Q9318,
    IF(lien="First",1.00,
        IF(lien="Second",1.50,
            1.70)))</f>
        <v/>
      </c>
      <c r="K9318">
        <f>LET(
    purpose,'Loan Tape (S&amp;P)'!R9318,
    IF(purpose="Purchase",1.00,
        IF(purpose="Remortgage",1.00,
            1.20)))</f>
        <v/>
      </c>
      <c r="L9318">
        <f>LET(
    arrears_months,'Loan Tape (S&amp;P)'!AN9318,
    IF(arrears_months=0,1.00,
    IF(arrears_months=1,3.00,
    IF(arrears_months=2,5.00,
    IF(arrears_months=3,8.00,
    IF(arrears_months=4,10.00,
    IF(arrears_months=5,12.00,15.00)))))))</f>
        <v/>
      </c>
      <c r="M9318">
        <f>LET(
    seasoning_years,DATEDIF('Loan Tape (S&amp;P)'!K9318,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18">
        <f>IF(AND('Loan Tape (S&amp;P)'!U9318="Yes",
        'Loan Tape (S&amp;P)'!T9318&lt;&gt;"Yes",
        DATEDIF('Loan Tape (S&amp;P)'!K9318, TODAY(), "M")&lt;18),
    1.10,
    1.00)</f>
        <v/>
      </c>
      <c r="O9318">
        <f>IF('Loan Tape (S&amp;P)'!T9318="Yes",
    1.35,
    1.00)</f>
        <v/>
      </c>
      <c r="P9318">
        <f>IF('Loan Tape (S&amp;P)'!S9318="Yes",
    1.15,
    1.00)</f>
        <v/>
      </c>
      <c r="Q9318">
        <f>IF('Loan Tape (S&amp;P)'!V9318="Yes",
    1.20,
    1.00)</f>
        <v/>
      </c>
      <c r="T9318">
        <f>LET(
    payment_method,'Loan Tape (S&amp;P)'!P9318,
    occupancy,'Loan Tape (S&amp;P)'!N9318,
    maturity_date,'Loan Tape (S&amp;P)'!L9318,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19">
      <c r="J9319">
        <f>LET(
    lien,'Loan Tape (S&amp;P)'!Q9319,
    IF(lien="First",1.00,
        IF(lien="Second",1.50,
            1.70)))</f>
        <v/>
      </c>
      <c r="K9319">
        <f>LET(
    purpose,'Loan Tape (S&amp;P)'!R9319,
    IF(purpose="Purchase",1.00,
        IF(purpose="Remortgage",1.00,
            1.20)))</f>
        <v/>
      </c>
      <c r="L9319">
        <f>LET(
    arrears_months,'Loan Tape (S&amp;P)'!AN9319,
    IF(arrears_months=0,1.00,
    IF(arrears_months=1,3.00,
    IF(arrears_months=2,5.00,
    IF(arrears_months=3,8.00,
    IF(arrears_months=4,10.00,
    IF(arrears_months=5,12.00,15.00)))))))</f>
        <v/>
      </c>
      <c r="M9319">
        <f>LET(
    seasoning_years,DATEDIF('Loan Tape (S&amp;P)'!K9319,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19">
        <f>IF(AND('Loan Tape (S&amp;P)'!U9319="Yes",
        'Loan Tape (S&amp;P)'!T9319&lt;&gt;"Yes",
        DATEDIF('Loan Tape (S&amp;P)'!K9319, TODAY(), "M")&lt;18),
    1.10,
    1.00)</f>
        <v/>
      </c>
      <c r="O9319">
        <f>IF('Loan Tape (S&amp;P)'!T9319="Yes",
    1.35,
    1.00)</f>
        <v/>
      </c>
      <c r="P9319">
        <f>IF('Loan Tape (S&amp;P)'!S9319="Yes",
    1.15,
    1.00)</f>
        <v/>
      </c>
      <c r="Q9319">
        <f>IF('Loan Tape (S&amp;P)'!V9319="Yes",
    1.20,
    1.00)</f>
        <v/>
      </c>
      <c r="T9319">
        <f>LET(
    payment_method,'Loan Tape (S&amp;P)'!P9319,
    occupancy,'Loan Tape (S&amp;P)'!N9319,
    maturity_date,'Loan Tape (S&amp;P)'!L9319,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20">
      <c r="J9320">
        <f>LET(
    lien,'Loan Tape (S&amp;P)'!Q9320,
    IF(lien="First",1.00,
        IF(lien="Second",1.50,
            1.70)))</f>
        <v/>
      </c>
      <c r="K9320">
        <f>LET(
    purpose,'Loan Tape (S&amp;P)'!R9320,
    IF(purpose="Purchase",1.00,
        IF(purpose="Remortgage",1.00,
            1.20)))</f>
        <v/>
      </c>
      <c r="L9320">
        <f>LET(
    arrears_months,'Loan Tape (S&amp;P)'!AN9320,
    IF(arrears_months=0,1.00,
    IF(arrears_months=1,3.00,
    IF(arrears_months=2,5.00,
    IF(arrears_months=3,8.00,
    IF(arrears_months=4,10.00,
    IF(arrears_months=5,12.00,15.00)))))))</f>
        <v/>
      </c>
      <c r="M9320">
        <f>LET(
    seasoning_years,DATEDIF('Loan Tape (S&amp;P)'!K9320,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20">
        <f>IF(AND('Loan Tape (S&amp;P)'!U9320="Yes",
        'Loan Tape (S&amp;P)'!T9320&lt;&gt;"Yes",
        DATEDIF('Loan Tape (S&amp;P)'!K9320, TODAY(), "M")&lt;18),
    1.10,
    1.00)</f>
        <v/>
      </c>
      <c r="O9320">
        <f>IF('Loan Tape (S&amp;P)'!T9320="Yes",
    1.35,
    1.00)</f>
        <v/>
      </c>
      <c r="P9320">
        <f>IF('Loan Tape (S&amp;P)'!S9320="Yes",
    1.15,
    1.00)</f>
        <v/>
      </c>
      <c r="Q9320">
        <f>IF('Loan Tape (S&amp;P)'!V9320="Yes",
    1.20,
    1.00)</f>
        <v/>
      </c>
      <c r="T9320">
        <f>LET(
    payment_method,'Loan Tape (S&amp;P)'!P9320,
    occupancy,'Loan Tape (S&amp;P)'!N9320,
    maturity_date,'Loan Tape (S&amp;P)'!L9320,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21">
      <c r="J9321">
        <f>LET(
    lien,'Loan Tape (S&amp;P)'!Q9321,
    IF(lien="First",1.00,
        IF(lien="Second",1.50,
            1.70)))</f>
        <v/>
      </c>
      <c r="K9321">
        <f>LET(
    purpose,'Loan Tape (S&amp;P)'!R9321,
    IF(purpose="Purchase",1.00,
        IF(purpose="Remortgage",1.00,
            1.20)))</f>
        <v/>
      </c>
      <c r="L9321">
        <f>LET(
    arrears_months,'Loan Tape (S&amp;P)'!AN9321,
    IF(arrears_months=0,1.00,
    IF(arrears_months=1,3.00,
    IF(arrears_months=2,5.00,
    IF(arrears_months=3,8.00,
    IF(arrears_months=4,10.00,
    IF(arrears_months=5,12.00,15.00)))))))</f>
        <v/>
      </c>
      <c r="M9321">
        <f>LET(
    seasoning_years,DATEDIF('Loan Tape (S&amp;P)'!K9321,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21">
        <f>IF(AND('Loan Tape (S&amp;P)'!U9321="Yes",
        'Loan Tape (S&amp;P)'!T9321&lt;&gt;"Yes",
        DATEDIF('Loan Tape (S&amp;P)'!K9321, TODAY(), "M")&lt;18),
    1.10,
    1.00)</f>
        <v/>
      </c>
      <c r="O9321">
        <f>IF('Loan Tape (S&amp;P)'!T9321="Yes",
    1.35,
    1.00)</f>
        <v/>
      </c>
      <c r="P9321">
        <f>IF('Loan Tape (S&amp;P)'!S9321="Yes",
    1.15,
    1.00)</f>
        <v/>
      </c>
      <c r="Q9321">
        <f>IF('Loan Tape (S&amp;P)'!V9321="Yes",
    1.20,
    1.00)</f>
        <v/>
      </c>
      <c r="T9321">
        <f>LET(
    payment_method,'Loan Tape (S&amp;P)'!P9321,
    occupancy,'Loan Tape (S&amp;P)'!N9321,
    maturity_date,'Loan Tape (S&amp;P)'!L9321,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22">
      <c r="J9322">
        <f>LET(
    lien,'Loan Tape (S&amp;P)'!Q9322,
    IF(lien="First",1.00,
        IF(lien="Second",1.50,
            1.70)))</f>
        <v/>
      </c>
      <c r="K9322">
        <f>LET(
    purpose,'Loan Tape (S&amp;P)'!R9322,
    IF(purpose="Purchase",1.00,
        IF(purpose="Remortgage",1.00,
            1.20)))</f>
        <v/>
      </c>
      <c r="L9322">
        <f>LET(
    arrears_months,'Loan Tape (S&amp;P)'!AN9322,
    IF(arrears_months=0,1.00,
    IF(arrears_months=1,3.00,
    IF(arrears_months=2,5.00,
    IF(arrears_months=3,8.00,
    IF(arrears_months=4,10.00,
    IF(arrears_months=5,12.00,15.00)))))))</f>
        <v/>
      </c>
      <c r="M9322">
        <f>LET(
    seasoning_years,DATEDIF('Loan Tape (S&amp;P)'!K9322,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22">
        <f>IF(AND('Loan Tape (S&amp;P)'!U9322="Yes",
        'Loan Tape (S&amp;P)'!T9322&lt;&gt;"Yes",
        DATEDIF('Loan Tape (S&amp;P)'!K9322, TODAY(), "M")&lt;18),
    1.10,
    1.00)</f>
        <v/>
      </c>
      <c r="O9322">
        <f>IF('Loan Tape (S&amp;P)'!T9322="Yes",
    1.35,
    1.00)</f>
        <v/>
      </c>
      <c r="P9322">
        <f>IF('Loan Tape (S&amp;P)'!S9322="Yes",
    1.15,
    1.00)</f>
        <v/>
      </c>
      <c r="Q9322">
        <f>IF('Loan Tape (S&amp;P)'!V9322="Yes",
    1.20,
    1.00)</f>
        <v/>
      </c>
      <c r="T9322">
        <f>LET(
    payment_method,'Loan Tape (S&amp;P)'!P9322,
    occupancy,'Loan Tape (S&amp;P)'!N9322,
    maturity_date,'Loan Tape (S&amp;P)'!L9322,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23">
      <c r="J9323">
        <f>LET(
    lien,'Loan Tape (S&amp;P)'!Q9323,
    IF(lien="First",1.00,
        IF(lien="Second",1.50,
            1.70)))</f>
        <v/>
      </c>
      <c r="K9323">
        <f>LET(
    purpose,'Loan Tape (S&amp;P)'!R9323,
    IF(purpose="Purchase",1.00,
        IF(purpose="Remortgage",1.00,
            1.20)))</f>
        <v/>
      </c>
      <c r="L9323">
        <f>LET(
    arrears_months,'Loan Tape (S&amp;P)'!AN9323,
    IF(arrears_months=0,1.00,
    IF(arrears_months=1,3.00,
    IF(arrears_months=2,5.00,
    IF(arrears_months=3,8.00,
    IF(arrears_months=4,10.00,
    IF(arrears_months=5,12.00,15.00)))))))</f>
        <v/>
      </c>
      <c r="M9323">
        <f>LET(
    seasoning_years,DATEDIF('Loan Tape (S&amp;P)'!K9323,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23">
        <f>IF(AND('Loan Tape (S&amp;P)'!U9323="Yes",
        'Loan Tape (S&amp;P)'!T9323&lt;&gt;"Yes",
        DATEDIF('Loan Tape (S&amp;P)'!K9323, TODAY(), "M")&lt;18),
    1.10,
    1.00)</f>
        <v/>
      </c>
      <c r="O9323">
        <f>IF('Loan Tape (S&amp;P)'!T9323="Yes",
    1.35,
    1.00)</f>
        <v/>
      </c>
      <c r="P9323">
        <f>IF('Loan Tape (S&amp;P)'!S9323="Yes",
    1.15,
    1.00)</f>
        <v/>
      </c>
      <c r="Q9323">
        <f>IF('Loan Tape (S&amp;P)'!V9323="Yes",
    1.20,
    1.00)</f>
        <v/>
      </c>
      <c r="T9323">
        <f>LET(
    payment_method,'Loan Tape (S&amp;P)'!P9323,
    occupancy,'Loan Tape (S&amp;P)'!N9323,
    maturity_date,'Loan Tape (S&amp;P)'!L9323,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24">
      <c r="J9324">
        <f>LET(
    lien,'Loan Tape (S&amp;P)'!Q9324,
    IF(lien="First",1.00,
        IF(lien="Second",1.50,
            1.70)))</f>
        <v/>
      </c>
      <c r="K9324">
        <f>LET(
    purpose,'Loan Tape (S&amp;P)'!R9324,
    IF(purpose="Purchase",1.00,
        IF(purpose="Remortgage",1.00,
            1.20)))</f>
        <v/>
      </c>
      <c r="L9324">
        <f>LET(
    arrears_months,'Loan Tape (S&amp;P)'!AN9324,
    IF(arrears_months=0,1.00,
    IF(arrears_months=1,3.00,
    IF(arrears_months=2,5.00,
    IF(arrears_months=3,8.00,
    IF(arrears_months=4,10.00,
    IF(arrears_months=5,12.00,15.00)))))))</f>
        <v/>
      </c>
      <c r="M9324">
        <f>LET(
    seasoning_years,DATEDIF('Loan Tape (S&amp;P)'!K9324,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24">
        <f>IF(AND('Loan Tape (S&amp;P)'!U9324="Yes",
        'Loan Tape (S&amp;P)'!T9324&lt;&gt;"Yes",
        DATEDIF('Loan Tape (S&amp;P)'!K9324, TODAY(), "M")&lt;18),
    1.10,
    1.00)</f>
        <v/>
      </c>
      <c r="O9324">
        <f>IF('Loan Tape (S&amp;P)'!T9324="Yes",
    1.35,
    1.00)</f>
        <v/>
      </c>
      <c r="P9324">
        <f>IF('Loan Tape (S&amp;P)'!S9324="Yes",
    1.15,
    1.00)</f>
        <v/>
      </c>
      <c r="Q9324">
        <f>IF('Loan Tape (S&amp;P)'!V9324="Yes",
    1.20,
    1.00)</f>
        <v/>
      </c>
      <c r="T9324">
        <f>LET(
    payment_method,'Loan Tape (S&amp;P)'!P9324,
    occupancy,'Loan Tape (S&amp;P)'!N9324,
    maturity_date,'Loan Tape (S&amp;P)'!L9324,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25">
      <c r="J9325">
        <f>LET(
    lien,'Loan Tape (S&amp;P)'!Q9325,
    IF(lien="First",1.00,
        IF(lien="Second",1.50,
            1.70)))</f>
        <v/>
      </c>
      <c r="K9325">
        <f>LET(
    purpose,'Loan Tape (S&amp;P)'!R9325,
    IF(purpose="Purchase",1.00,
        IF(purpose="Remortgage",1.00,
            1.20)))</f>
        <v/>
      </c>
      <c r="L9325">
        <f>LET(
    arrears_months,'Loan Tape (S&amp;P)'!AN9325,
    IF(arrears_months=0,1.00,
    IF(arrears_months=1,3.00,
    IF(arrears_months=2,5.00,
    IF(arrears_months=3,8.00,
    IF(arrears_months=4,10.00,
    IF(arrears_months=5,12.00,15.00)))))))</f>
        <v/>
      </c>
      <c r="M9325">
        <f>LET(
    seasoning_years,DATEDIF('Loan Tape (S&amp;P)'!K9325,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25">
        <f>IF(AND('Loan Tape (S&amp;P)'!U9325="Yes",
        'Loan Tape (S&amp;P)'!T9325&lt;&gt;"Yes",
        DATEDIF('Loan Tape (S&amp;P)'!K9325, TODAY(), "M")&lt;18),
    1.10,
    1.00)</f>
        <v/>
      </c>
      <c r="O9325">
        <f>IF('Loan Tape (S&amp;P)'!T9325="Yes",
    1.35,
    1.00)</f>
        <v/>
      </c>
      <c r="P9325">
        <f>IF('Loan Tape (S&amp;P)'!S9325="Yes",
    1.15,
    1.00)</f>
        <v/>
      </c>
      <c r="Q9325">
        <f>IF('Loan Tape (S&amp;P)'!V9325="Yes",
    1.20,
    1.00)</f>
        <v/>
      </c>
      <c r="T9325">
        <f>LET(
    payment_method,'Loan Tape (S&amp;P)'!P9325,
    occupancy,'Loan Tape (S&amp;P)'!N9325,
    maturity_date,'Loan Tape (S&amp;P)'!L9325,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26">
      <c r="J9326">
        <f>LET(
    lien,'Loan Tape (S&amp;P)'!Q9326,
    IF(lien="First",1.00,
        IF(lien="Second",1.50,
            1.70)))</f>
        <v/>
      </c>
      <c r="K9326">
        <f>LET(
    purpose,'Loan Tape (S&amp;P)'!R9326,
    IF(purpose="Purchase",1.00,
        IF(purpose="Remortgage",1.00,
            1.20)))</f>
        <v/>
      </c>
      <c r="L9326">
        <f>LET(
    arrears_months,'Loan Tape (S&amp;P)'!AN9326,
    IF(arrears_months=0,1.00,
    IF(arrears_months=1,3.00,
    IF(arrears_months=2,5.00,
    IF(arrears_months=3,8.00,
    IF(arrears_months=4,10.00,
    IF(arrears_months=5,12.00,15.00)))))))</f>
        <v/>
      </c>
      <c r="M9326">
        <f>LET(
    seasoning_years,DATEDIF('Loan Tape (S&amp;P)'!K9326,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26">
        <f>IF(AND('Loan Tape (S&amp;P)'!U9326="Yes",
        'Loan Tape (S&amp;P)'!T9326&lt;&gt;"Yes",
        DATEDIF('Loan Tape (S&amp;P)'!K9326, TODAY(), "M")&lt;18),
    1.10,
    1.00)</f>
        <v/>
      </c>
      <c r="O9326">
        <f>IF('Loan Tape (S&amp;P)'!T9326="Yes",
    1.35,
    1.00)</f>
        <v/>
      </c>
      <c r="P9326">
        <f>IF('Loan Tape (S&amp;P)'!S9326="Yes",
    1.15,
    1.00)</f>
        <v/>
      </c>
      <c r="Q9326">
        <f>IF('Loan Tape (S&amp;P)'!V9326="Yes",
    1.20,
    1.00)</f>
        <v/>
      </c>
      <c r="T9326">
        <f>LET(
    payment_method,'Loan Tape (S&amp;P)'!P9326,
    occupancy,'Loan Tape (S&amp;P)'!N9326,
    maturity_date,'Loan Tape (S&amp;P)'!L9326,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27">
      <c r="J9327">
        <f>LET(
    lien,'Loan Tape (S&amp;P)'!Q9327,
    IF(lien="First",1.00,
        IF(lien="Second",1.50,
            1.70)))</f>
        <v/>
      </c>
      <c r="K9327">
        <f>LET(
    purpose,'Loan Tape (S&amp;P)'!R9327,
    IF(purpose="Purchase",1.00,
        IF(purpose="Remortgage",1.00,
            1.20)))</f>
        <v/>
      </c>
      <c r="L9327">
        <f>LET(
    arrears_months,'Loan Tape (S&amp;P)'!AN9327,
    IF(arrears_months=0,1.00,
    IF(arrears_months=1,3.00,
    IF(arrears_months=2,5.00,
    IF(arrears_months=3,8.00,
    IF(arrears_months=4,10.00,
    IF(arrears_months=5,12.00,15.00)))))))</f>
        <v/>
      </c>
      <c r="M9327">
        <f>LET(
    seasoning_years,DATEDIF('Loan Tape (S&amp;P)'!K9327,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27">
        <f>IF(AND('Loan Tape (S&amp;P)'!U9327="Yes",
        'Loan Tape (S&amp;P)'!T9327&lt;&gt;"Yes",
        DATEDIF('Loan Tape (S&amp;P)'!K9327, TODAY(), "M")&lt;18),
    1.10,
    1.00)</f>
        <v/>
      </c>
      <c r="O9327">
        <f>IF('Loan Tape (S&amp;P)'!T9327="Yes",
    1.35,
    1.00)</f>
        <v/>
      </c>
      <c r="P9327">
        <f>IF('Loan Tape (S&amp;P)'!S9327="Yes",
    1.15,
    1.00)</f>
        <v/>
      </c>
      <c r="Q9327">
        <f>IF('Loan Tape (S&amp;P)'!V9327="Yes",
    1.20,
    1.00)</f>
        <v/>
      </c>
      <c r="T9327">
        <f>LET(
    payment_method,'Loan Tape (S&amp;P)'!P9327,
    occupancy,'Loan Tape (S&amp;P)'!N9327,
    maturity_date,'Loan Tape (S&amp;P)'!L9327,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28">
      <c r="J9328">
        <f>LET(
    lien,'Loan Tape (S&amp;P)'!Q9328,
    IF(lien="First",1.00,
        IF(lien="Second",1.50,
            1.70)))</f>
        <v/>
      </c>
      <c r="K9328">
        <f>LET(
    purpose,'Loan Tape (S&amp;P)'!R9328,
    IF(purpose="Purchase",1.00,
        IF(purpose="Remortgage",1.00,
            1.20)))</f>
        <v/>
      </c>
      <c r="L9328">
        <f>LET(
    arrears_months,'Loan Tape (S&amp;P)'!AN9328,
    IF(arrears_months=0,1.00,
    IF(arrears_months=1,3.00,
    IF(arrears_months=2,5.00,
    IF(arrears_months=3,8.00,
    IF(arrears_months=4,10.00,
    IF(arrears_months=5,12.00,15.00)))))))</f>
        <v/>
      </c>
      <c r="M9328">
        <f>LET(
    seasoning_years,DATEDIF('Loan Tape (S&amp;P)'!K9328,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28">
        <f>IF(AND('Loan Tape (S&amp;P)'!U9328="Yes",
        'Loan Tape (S&amp;P)'!T9328&lt;&gt;"Yes",
        DATEDIF('Loan Tape (S&amp;P)'!K9328, TODAY(), "M")&lt;18),
    1.10,
    1.00)</f>
        <v/>
      </c>
      <c r="O9328">
        <f>IF('Loan Tape (S&amp;P)'!T9328="Yes",
    1.35,
    1.00)</f>
        <v/>
      </c>
      <c r="P9328">
        <f>IF('Loan Tape (S&amp;P)'!S9328="Yes",
    1.15,
    1.00)</f>
        <v/>
      </c>
      <c r="Q9328">
        <f>IF('Loan Tape (S&amp;P)'!V9328="Yes",
    1.20,
    1.00)</f>
        <v/>
      </c>
      <c r="T9328">
        <f>LET(
    payment_method,'Loan Tape (S&amp;P)'!P9328,
    occupancy,'Loan Tape (S&amp;P)'!N9328,
    maturity_date,'Loan Tape (S&amp;P)'!L9328,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29">
      <c r="J9329">
        <f>LET(
    lien,'Loan Tape (S&amp;P)'!Q9329,
    IF(lien="First",1.00,
        IF(lien="Second",1.50,
            1.70)))</f>
        <v/>
      </c>
      <c r="K9329">
        <f>LET(
    purpose,'Loan Tape (S&amp;P)'!R9329,
    IF(purpose="Purchase",1.00,
        IF(purpose="Remortgage",1.00,
            1.20)))</f>
        <v/>
      </c>
      <c r="L9329">
        <f>LET(
    arrears_months,'Loan Tape (S&amp;P)'!AN9329,
    IF(arrears_months=0,1.00,
    IF(arrears_months=1,3.00,
    IF(arrears_months=2,5.00,
    IF(arrears_months=3,8.00,
    IF(arrears_months=4,10.00,
    IF(arrears_months=5,12.00,15.00)))))))</f>
        <v/>
      </c>
      <c r="M9329">
        <f>LET(
    seasoning_years,DATEDIF('Loan Tape (S&amp;P)'!K9329,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29">
        <f>IF(AND('Loan Tape (S&amp;P)'!U9329="Yes",
        'Loan Tape (S&amp;P)'!T9329&lt;&gt;"Yes",
        DATEDIF('Loan Tape (S&amp;P)'!K9329, TODAY(), "M")&lt;18),
    1.10,
    1.00)</f>
        <v/>
      </c>
      <c r="O9329">
        <f>IF('Loan Tape (S&amp;P)'!T9329="Yes",
    1.35,
    1.00)</f>
        <v/>
      </c>
      <c r="P9329">
        <f>IF('Loan Tape (S&amp;P)'!S9329="Yes",
    1.15,
    1.00)</f>
        <v/>
      </c>
      <c r="Q9329">
        <f>IF('Loan Tape (S&amp;P)'!V9329="Yes",
    1.20,
    1.00)</f>
        <v/>
      </c>
      <c r="T9329">
        <f>LET(
    payment_method,'Loan Tape (S&amp;P)'!P9329,
    occupancy,'Loan Tape (S&amp;P)'!N9329,
    maturity_date,'Loan Tape (S&amp;P)'!L9329,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30">
      <c r="J9330">
        <f>LET(
    lien,'Loan Tape (S&amp;P)'!Q9330,
    IF(lien="First",1.00,
        IF(lien="Second",1.50,
            1.70)))</f>
        <v/>
      </c>
      <c r="K9330">
        <f>LET(
    purpose,'Loan Tape (S&amp;P)'!R9330,
    IF(purpose="Purchase",1.00,
        IF(purpose="Remortgage",1.00,
            1.20)))</f>
        <v/>
      </c>
      <c r="L9330">
        <f>LET(
    arrears_months,'Loan Tape (S&amp;P)'!AN9330,
    IF(arrears_months=0,1.00,
    IF(arrears_months=1,3.00,
    IF(arrears_months=2,5.00,
    IF(arrears_months=3,8.00,
    IF(arrears_months=4,10.00,
    IF(arrears_months=5,12.00,15.00)))))))</f>
        <v/>
      </c>
      <c r="M9330">
        <f>LET(
    seasoning_years,DATEDIF('Loan Tape (S&amp;P)'!K9330,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30">
        <f>IF(AND('Loan Tape (S&amp;P)'!U9330="Yes",
        'Loan Tape (S&amp;P)'!T9330&lt;&gt;"Yes",
        DATEDIF('Loan Tape (S&amp;P)'!K9330, TODAY(), "M")&lt;18),
    1.10,
    1.00)</f>
        <v/>
      </c>
      <c r="O9330">
        <f>IF('Loan Tape (S&amp;P)'!T9330="Yes",
    1.35,
    1.00)</f>
        <v/>
      </c>
      <c r="P9330">
        <f>IF('Loan Tape (S&amp;P)'!S9330="Yes",
    1.15,
    1.00)</f>
        <v/>
      </c>
      <c r="Q9330">
        <f>IF('Loan Tape (S&amp;P)'!V9330="Yes",
    1.20,
    1.00)</f>
        <v/>
      </c>
      <c r="T9330">
        <f>LET(
    payment_method,'Loan Tape (S&amp;P)'!P9330,
    occupancy,'Loan Tape (S&amp;P)'!N9330,
    maturity_date,'Loan Tape (S&amp;P)'!L9330,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31">
      <c r="J9331">
        <f>LET(
    lien,'Loan Tape (S&amp;P)'!Q9331,
    IF(lien="First",1.00,
        IF(lien="Second",1.50,
            1.70)))</f>
        <v/>
      </c>
      <c r="K9331">
        <f>LET(
    purpose,'Loan Tape (S&amp;P)'!R9331,
    IF(purpose="Purchase",1.00,
        IF(purpose="Remortgage",1.00,
            1.20)))</f>
        <v/>
      </c>
      <c r="L9331">
        <f>LET(
    arrears_months,'Loan Tape (S&amp;P)'!AN9331,
    IF(arrears_months=0,1.00,
    IF(arrears_months=1,3.00,
    IF(arrears_months=2,5.00,
    IF(arrears_months=3,8.00,
    IF(arrears_months=4,10.00,
    IF(arrears_months=5,12.00,15.00)))))))</f>
        <v/>
      </c>
      <c r="M9331">
        <f>LET(
    seasoning_years,DATEDIF('Loan Tape (S&amp;P)'!K9331,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31">
        <f>IF(AND('Loan Tape (S&amp;P)'!U9331="Yes",
        'Loan Tape (S&amp;P)'!T9331&lt;&gt;"Yes",
        DATEDIF('Loan Tape (S&amp;P)'!K9331, TODAY(), "M")&lt;18),
    1.10,
    1.00)</f>
        <v/>
      </c>
      <c r="O9331">
        <f>IF('Loan Tape (S&amp;P)'!T9331="Yes",
    1.35,
    1.00)</f>
        <v/>
      </c>
      <c r="P9331">
        <f>IF('Loan Tape (S&amp;P)'!S9331="Yes",
    1.15,
    1.00)</f>
        <v/>
      </c>
      <c r="Q9331">
        <f>IF('Loan Tape (S&amp;P)'!V9331="Yes",
    1.20,
    1.00)</f>
        <v/>
      </c>
      <c r="T9331">
        <f>LET(
    payment_method,'Loan Tape (S&amp;P)'!P9331,
    occupancy,'Loan Tape (S&amp;P)'!N9331,
    maturity_date,'Loan Tape (S&amp;P)'!L9331,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32">
      <c r="J9332">
        <f>LET(
    lien,'Loan Tape (S&amp;P)'!Q9332,
    IF(lien="First",1.00,
        IF(lien="Second",1.50,
            1.70)))</f>
        <v/>
      </c>
      <c r="K9332">
        <f>LET(
    purpose,'Loan Tape (S&amp;P)'!R9332,
    IF(purpose="Purchase",1.00,
        IF(purpose="Remortgage",1.00,
            1.20)))</f>
        <v/>
      </c>
      <c r="L9332">
        <f>LET(
    arrears_months,'Loan Tape (S&amp;P)'!AN9332,
    IF(arrears_months=0,1.00,
    IF(arrears_months=1,3.00,
    IF(arrears_months=2,5.00,
    IF(arrears_months=3,8.00,
    IF(arrears_months=4,10.00,
    IF(arrears_months=5,12.00,15.00)))))))</f>
        <v/>
      </c>
      <c r="M9332">
        <f>LET(
    seasoning_years,DATEDIF('Loan Tape (S&amp;P)'!K9332,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32">
        <f>IF(AND('Loan Tape (S&amp;P)'!U9332="Yes",
        'Loan Tape (S&amp;P)'!T9332&lt;&gt;"Yes",
        DATEDIF('Loan Tape (S&amp;P)'!K9332, TODAY(), "M")&lt;18),
    1.10,
    1.00)</f>
        <v/>
      </c>
      <c r="O9332">
        <f>IF('Loan Tape (S&amp;P)'!T9332="Yes",
    1.35,
    1.00)</f>
        <v/>
      </c>
      <c r="P9332">
        <f>IF('Loan Tape (S&amp;P)'!S9332="Yes",
    1.15,
    1.00)</f>
        <v/>
      </c>
      <c r="Q9332">
        <f>IF('Loan Tape (S&amp;P)'!V9332="Yes",
    1.20,
    1.00)</f>
        <v/>
      </c>
      <c r="T9332">
        <f>LET(
    payment_method,'Loan Tape (S&amp;P)'!P9332,
    occupancy,'Loan Tape (S&amp;P)'!N9332,
    maturity_date,'Loan Tape (S&amp;P)'!L9332,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33">
      <c r="J9333">
        <f>LET(
    lien,'Loan Tape (S&amp;P)'!Q9333,
    IF(lien="First",1.00,
        IF(lien="Second",1.50,
            1.70)))</f>
        <v/>
      </c>
      <c r="K9333">
        <f>LET(
    purpose,'Loan Tape (S&amp;P)'!R9333,
    IF(purpose="Purchase",1.00,
        IF(purpose="Remortgage",1.00,
            1.20)))</f>
        <v/>
      </c>
      <c r="L9333">
        <f>LET(
    arrears_months,'Loan Tape (S&amp;P)'!AN9333,
    IF(arrears_months=0,1.00,
    IF(arrears_months=1,3.00,
    IF(arrears_months=2,5.00,
    IF(arrears_months=3,8.00,
    IF(arrears_months=4,10.00,
    IF(arrears_months=5,12.00,15.00)))))))</f>
        <v/>
      </c>
      <c r="M9333">
        <f>LET(
    seasoning_years,DATEDIF('Loan Tape (S&amp;P)'!K9333,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33">
        <f>IF(AND('Loan Tape (S&amp;P)'!U9333="Yes",
        'Loan Tape (S&amp;P)'!T9333&lt;&gt;"Yes",
        DATEDIF('Loan Tape (S&amp;P)'!K9333, TODAY(), "M")&lt;18),
    1.10,
    1.00)</f>
        <v/>
      </c>
      <c r="O9333">
        <f>IF('Loan Tape (S&amp;P)'!T9333="Yes",
    1.35,
    1.00)</f>
        <v/>
      </c>
      <c r="P9333">
        <f>IF('Loan Tape (S&amp;P)'!S9333="Yes",
    1.15,
    1.00)</f>
        <v/>
      </c>
      <c r="Q9333">
        <f>IF('Loan Tape (S&amp;P)'!V9333="Yes",
    1.20,
    1.00)</f>
        <v/>
      </c>
      <c r="T9333">
        <f>LET(
    payment_method,'Loan Tape (S&amp;P)'!P9333,
    occupancy,'Loan Tape (S&amp;P)'!N9333,
    maturity_date,'Loan Tape (S&amp;P)'!L9333,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34">
      <c r="J9334">
        <f>LET(
    lien,'Loan Tape (S&amp;P)'!Q9334,
    IF(lien="First",1.00,
        IF(lien="Second",1.50,
            1.70)))</f>
        <v/>
      </c>
      <c r="K9334">
        <f>LET(
    purpose,'Loan Tape (S&amp;P)'!R9334,
    IF(purpose="Purchase",1.00,
        IF(purpose="Remortgage",1.00,
            1.20)))</f>
        <v/>
      </c>
      <c r="L9334">
        <f>LET(
    arrears_months,'Loan Tape (S&amp;P)'!AN9334,
    IF(arrears_months=0,1.00,
    IF(arrears_months=1,3.00,
    IF(arrears_months=2,5.00,
    IF(arrears_months=3,8.00,
    IF(arrears_months=4,10.00,
    IF(arrears_months=5,12.00,15.00)))))))</f>
        <v/>
      </c>
      <c r="M9334">
        <f>LET(
    seasoning_years,DATEDIF('Loan Tape (S&amp;P)'!K9334,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34">
        <f>IF(AND('Loan Tape (S&amp;P)'!U9334="Yes",
        'Loan Tape (S&amp;P)'!T9334&lt;&gt;"Yes",
        DATEDIF('Loan Tape (S&amp;P)'!K9334, TODAY(), "M")&lt;18),
    1.10,
    1.00)</f>
        <v/>
      </c>
      <c r="O9334">
        <f>IF('Loan Tape (S&amp;P)'!T9334="Yes",
    1.35,
    1.00)</f>
        <v/>
      </c>
      <c r="P9334">
        <f>IF('Loan Tape (S&amp;P)'!S9334="Yes",
    1.15,
    1.00)</f>
        <v/>
      </c>
      <c r="Q9334">
        <f>IF('Loan Tape (S&amp;P)'!V9334="Yes",
    1.20,
    1.00)</f>
        <v/>
      </c>
      <c r="T9334">
        <f>LET(
    payment_method,'Loan Tape (S&amp;P)'!P9334,
    occupancy,'Loan Tape (S&amp;P)'!N9334,
    maturity_date,'Loan Tape (S&amp;P)'!L9334,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35">
      <c r="J9335">
        <f>LET(
    lien,'Loan Tape (S&amp;P)'!Q9335,
    IF(lien="First",1.00,
        IF(lien="Second",1.50,
            1.70)))</f>
        <v/>
      </c>
      <c r="K9335">
        <f>LET(
    purpose,'Loan Tape (S&amp;P)'!R9335,
    IF(purpose="Purchase",1.00,
        IF(purpose="Remortgage",1.00,
            1.20)))</f>
        <v/>
      </c>
      <c r="L9335">
        <f>LET(
    arrears_months,'Loan Tape (S&amp;P)'!AN9335,
    IF(arrears_months=0,1.00,
    IF(arrears_months=1,3.00,
    IF(arrears_months=2,5.00,
    IF(arrears_months=3,8.00,
    IF(arrears_months=4,10.00,
    IF(arrears_months=5,12.00,15.00)))))))</f>
        <v/>
      </c>
      <c r="M9335">
        <f>LET(
    seasoning_years,DATEDIF('Loan Tape (S&amp;P)'!K9335,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35">
        <f>IF(AND('Loan Tape (S&amp;P)'!U9335="Yes",
        'Loan Tape (S&amp;P)'!T9335&lt;&gt;"Yes",
        DATEDIF('Loan Tape (S&amp;P)'!K9335, TODAY(), "M")&lt;18),
    1.10,
    1.00)</f>
        <v/>
      </c>
      <c r="O9335">
        <f>IF('Loan Tape (S&amp;P)'!T9335="Yes",
    1.35,
    1.00)</f>
        <v/>
      </c>
      <c r="P9335">
        <f>IF('Loan Tape (S&amp;P)'!S9335="Yes",
    1.15,
    1.00)</f>
        <v/>
      </c>
      <c r="Q9335">
        <f>IF('Loan Tape (S&amp;P)'!V9335="Yes",
    1.20,
    1.00)</f>
        <v/>
      </c>
      <c r="T9335">
        <f>LET(
    payment_method,'Loan Tape (S&amp;P)'!P9335,
    occupancy,'Loan Tape (S&amp;P)'!N9335,
    maturity_date,'Loan Tape (S&amp;P)'!L9335,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36">
      <c r="J9336">
        <f>LET(
    lien,'Loan Tape (S&amp;P)'!Q9336,
    IF(lien="First",1.00,
        IF(lien="Second",1.50,
            1.70)))</f>
        <v/>
      </c>
      <c r="K9336">
        <f>LET(
    purpose,'Loan Tape (S&amp;P)'!R9336,
    IF(purpose="Purchase",1.00,
        IF(purpose="Remortgage",1.00,
            1.20)))</f>
        <v/>
      </c>
      <c r="L9336">
        <f>LET(
    arrears_months,'Loan Tape (S&amp;P)'!AN9336,
    IF(arrears_months=0,1.00,
    IF(arrears_months=1,3.00,
    IF(arrears_months=2,5.00,
    IF(arrears_months=3,8.00,
    IF(arrears_months=4,10.00,
    IF(arrears_months=5,12.00,15.00)))))))</f>
        <v/>
      </c>
      <c r="M9336">
        <f>LET(
    seasoning_years,DATEDIF('Loan Tape (S&amp;P)'!K9336,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36">
        <f>IF(AND('Loan Tape (S&amp;P)'!U9336="Yes",
        'Loan Tape (S&amp;P)'!T9336&lt;&gt;"Yes",
        DATEDIF('Loan Tape (S&amp;P)'!K9336, TODAY(), "M")&lt;18),
    1.10,
    1.00)</f>
        <v/>
      </c>
      <c r="O9336">
        <f>IF('Loan Tape (S&amp;P)'!T9336="Yes",
    1.35,
    1.00)</f>
        <v/>
      </c>
      <c r="P9336">
        <f>IF('Loan Tape (S&amp;P)'!S9336="Yes",
    1.15,
    1.00)</f>
        <v/>
      </c>
      <c r="Q9336">
        <f>IF('Loan Tape (S&amp;P)'!V9336="Yes",
    1.20,
    1.00)</f>
        <v/>
      </c>
      <c r="T9336">
        <f>LET(
    payment_method,'Loan Tape (S&amp;P)'!P9336,
    occupancy,'Loan Tape (S&amp;P)'!N9336,
    maturity_date,'Loan Tape (S&amp;P)'!L9336,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37">
      <c r="J9337">
        <f>LET(
    lien,'Loan Tape (S&amp;P)'!Q9337,
    IF(lien="First",1.00,
        IF(lien="Second",1.50,
            1.70)))</f>
        <v/>
      </c>
      <c r="K9337">
        <f>LET(
    purpose,'Loan Tape (S&amp;P)'!R9337,
    IF(purpose="Purchase",1.00,
        IF(purpose="Remortgage",1.00,
            1.20)))</f>
        <v/>
      </c>
      <c r="L9337">
        <f>LET(
    arrears_months,'Loan Tape (S&amp;P)'!AN9337,
    IF(arrears_months=0,1.00,
    IF(arrears_months=1,3.00,
    IF(arrears_months=2,5.00,
    IF(arrears_months=3,8.00,
    IF(arrears_months=4,10.00,
    IF(arrears_months=5,12.00,15.00)))))))</f>
        <v/>
      </c>
      <c r="M9337">
        <f>LET(
    seasoning_years,DATEDIF('Loan Tape (S&amp;P)'!K9337,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37">
        <f>IF(AND('Loan Tape (S&amp;P)'!U9337="Yes",
        'Loan Tape (S&amp;P)'!T9337&lt;&gt;"Yes",
        DATEDIF('Loan Tape (S&amp;P)'!K9337, TODAY(), "M")&lt;18),
    1.10,
    1.00)</f>
        <v/>
      </c>
      <c r="O9337">
        <f>IF('Loan Tape (S&amp;P)'!T9337="Yes",
    1.35,
    1.00)</f>
        <v/>
      </c>
      <c r="P9337">
        <f>IF('Loan Tape (S&amp;P)'!S9337="Yes",
    1.15,
    1.00)</f>
        <v/>
      </c>
      <c r="Q9337">
        <f>IF('Loan Tape (S&amp;P)'!V9337="Yes",
    1.20,
    1.00)</f>
        <v/>
      </c>
      <c r="T9337">
        <f>LET(
    payment_method,'Loan Tape (S&amp;P)'!P9337,
    occupancy,'Loan Tape (S&amp;P)'!N9337,
    maturity_date,'Loan Tape (S&amp;P)'!L9337,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38">
      <c r="J9338">
        <f>LET(
    lien,'Loan Tape (S&amp;P)'!Q9338,
    IF(lien="First",1.00,
        IF(lien="Second",1.50,
            1.70)))</f>
        <v/>
      </c>
      <c r="K9338">
        <f>LET(
    purpose,'Loan Tape (S&amp;P)'!R9338,
    IF(purpose="Purchase",1.00,
        IF(purpose="Remortgage",1.00,
            1.20)))</f>
        <v/>
      </c>
      <c r="L9338">
        <f>LET(
    arrears_months,'Loan Tape (S&amp;P)'!AN9338,
    IF(arrears_months=0,1.00,
    IF(arrears_months=1,3.00,
    IF(arrears_months=2,5.00,
    IF(arrears_months=3,8.00,
    IF(arrears_months=4,10.00,
    IF(arrears_months=5,12.00,15.00)))))))</f>
        <v/>
      </c>
      <c r="M9338">
        <f>LET(
    seasoning_years,DATEDIF('Loan Tape (S&amp;P)'!K9338,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38">
        <f>IF(AND('Loan Tape (S&amp;P)'!U9338="Yes",
        'Loan Tape (S&amp;P)'!T9338&lt;&gt;"Yes",
        DATEDIF('Loan Tape (S&amp;P)'!K9338, TODAY(), "M")&lt;18),
    1.10,
    1.00)</f>
        <v/>
      </c>
      <c r="O9338">
        <f>IF('Loan Tape (S&amp;P)'!T9338="Yes",
    1.35,
    1.00)</f>
        <v/>
      </c>
      <c r="P9338">
        <f>IF('Loan Tape (S&amp;P)'!S9338="Yes",
    1.15,
    1.00)</f>
        <v/>
      </c>
      <c r="Q9338">
        <f>IF('Loan Tape (S&amp;P)'!V9338="Yes",
    1.20,
    1.00)</f>
        <v/>
      </c>
      <c r="T9338">
        <f>LET(
    payment_method,'Loan Tape (S&amp;P)'!P9338,
    occupancy,'Loan Tape (S&amp;P)'!N9338,
    maturity_date,'Loan Tape (S&amp;P)'!L9338,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39">
      <c r="J9339">
        <f>LET(
    lien,'Loan Tape (S&amp;P)'!Q9339,
    IF(lien="First",1.00,
        IF(lien="Second",1.50,
            1.70)))</f>
        <v/>
      </c>
      <c r="K9339">
        <f>LET(
    purpose,'Loan Tape (S&amp;P)'!R9339,
    IF(purpose="Purchase",1.00,
        IF(purpose="Remortgage",1.00,
            1.20)))</f>
        <v/>
      </c>
      <c r="L9339">
        <f>LET(
    arrears_months,'Loan Tape (S&amp;P)'!AN9339,
    IF(arrears_months=0,1.00,
    IF(arrears_months=1,3.00,
    IF(arrears_months=2,5.00,
    IF(arrears_months=3,8.00,
    IF(arrears_months=4,10.00,
    IF(arrears_months=5,12.00,15.00)))))))</f>
        <v/>
      </c>
      <c r="M9339">
        <f>LET(
    seasoning_years,DATEDIF('Loan Tape (S&amp;P)'!K9339,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39">
        <f>IF(AND('Loan Tape (S&amp;P)'!U9339="Yes",
        'Loan Tape (S&amp;P)'!T9339&lt;&gt;"Yes",
        DATEDIF('Loan Tape (S&amp;P)'!K9339, TODAY(), "M")&lt;18),
    1.10,
    1.00)</f>
        <v/>
      </c>
      <c r="O9339">
        <f>IF('Loan Tape (S&amp;P)'!T9339="Yes",
    1.35,
    1.00)</f>
        <v/>
      </c>
      <c r="P9339">
        <f>IF('Loan Tape (S&amp;P)'!S9339="Yes",
    1.15,
    1.00)</f>
        <v/>
      </c>
      <c r="Q9339">
        <f>IF('Loan Tape (S&amp;P)'!V9339="Yes",
    1.20,
    1.00)</f>
        <v/>
      </c>
      <c r="T9339">
        <f>LET(
    payment_method,'Loan Tape (S&amp;P)'!P9339,
    occupancy,'Loan Tape (S&amp;P)'!N9339,
    maturity_date,'Loan Tape (S&amp;P)'!L9339,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40">
      <c r="J9340">
        <f>LET(
    lien,'Loan Tape (S&amp;P)'!Q9340,
    IF(lien="First",1.00,
        IF(lien="Second",1.50,
            1.70)))</f>
        <v/>
      </c>
      <c r="K9340">
        <f>LET(
    purpose,'Loan Tape (S&amp;P)'!R9340,
    IF(purpose="Purchase",1.00,
        IF(purpose="Remortgage",1.00,
            1.20)))</f>
        <v/>
      </c>
      <c r="L9340">
        <f>LET(
    arrears_months,'Loan Tape (S&amp;P)'!AN9340,
    IF(arrears_months=0,1.00,
    IF(arrears_months=1,3.00,
    IF(arrears_months=2,5.00,
    IF(arrears_months=3,8.00,
    IF(arrears_months=4,10.00,
    IF(arrears_months=5,12.00,15.00)))))))</f>
        <v/>
      </c>
      <c r="M9340">
        <f>LET(
    seasoning_years,DATEDIF('Loan Tape (S&amp;P)'!K9340,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40">
        <f>IF(AND('Loan Tape (S&amp;P)'!U9340="Yes",
        'Loan Tape (S&amp;P)'!T9340&lt;&gt;"Yes",
        DATEDIF('Loan Tape (S&amp;P)'!K9340, TODAY(), "M")&lt;18),
    1.10,
    1.00)</f>
        <v/>
      </c>
      <c r="O9340">
        <f>IF('Loan Tape (S&amp;P)'!T9340="Yes",
    1.35,
    1.00)</f>
        <v/>
      </c>
      <c r="P9340">
        <f>IF('Loan Tape (S&amp;P)'!S9340="Yes",
    1.15,
    1.00)</f>
        <v/>
      </c>
      <c r="Q9340">
        <f>IF('Loan Tape (S&amp;P)'!V9340="Yes",
    1.20,
    1.00)</f>
        <v/>
      </c>
      <c r="T9340">
        <f>LET(
    payment_method,'Loan Tape (S&amp;P)'!P9340,
    occupancy,'Loan Tape (S&amp;P)'!N9340,
    maturity_date,'Loan Tape (S&amp;P)'!L9340,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41">
      <c r="J9341">
        <f>LET(
    lien,'Loan Tape (S&amp;P)'!Q9341,
    IF(lien="First",1.00,
        IF(lien="Second",1.50,
            1.70)))</f>
        <v/>
      </c>
      <c r="K9341">
        <f>LET(
    purpose,'Loan Tape (S&amp;P)'!R9341,
    IF(purpose="Purchase",1.00,
        IF(purpose="Remortgage",1.00,
            1.20)))</f>
        <v/>
      </c>
      <c r="L9341">
        <f>LET(
    arrears_months,'Loan Tape (S&amp;P)'!AN9341,
    IF(arrears_months=0,1.00,
    IF(arrears_months=1,3.00,
    IF(arrears_months=2,5.00,
    IF(arrears_months=3,8.00,
    IF(arrears_months=4,10.00,
    IF(arrears_months=5,12.00,15.00)))))))</f>
        <v/>
      </c>
      <c r="M9341">
        <f>LET(
    seasoning_years,DATEDIF('Loan Tape (S&amp;P)'!K9341,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41">
        <f>IF(AND('Loan Tape (S&amp;P)'!U9341="Yes",
        'Loan Tape (S&amp;P)'!T9341&lt;&gt;"Yes",
        DATEDIF('Loan Tape (S&amp;P)'!K9341, TODAY(), "M")&lt;18),
    1.10,
    1.00)</f>
        <v/>
      </c>
      <c r="O9341">
        <f>IF('Loan Tape (S&amp;P)'!T9341="Yes",
    1.35,
    1.00)</f>
        <v/>
      </c>
      <c r="P9341">
        <f>IF('Loan Tape (S&amp;P)'!S9341="Yes",
    1.15,
    1.00)</f>
        <v/>
      </c>
      <c r="Q9341">
        <f>IF('Loan Tape (S&amp;P)'!V9341="Yes",
    1.20,
    1.00)</f>
        <v/>
      </c>
      <c r="T9341">
        <f>LET(
    payment_method,'Loan Tape (S&amp;P)'!P9341,
    occupancy,'Loan Tape (S&amp;P)'!N9341,
    maturity_date,'Loan Tape (S&amp;P)'!L9341,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42">
      <c r="J9342">
        <f>LET(
    lien,'Loan Tape (S&amp;P)'!Q9342,
    IF(lien="First",1.00,
        IF(lien="Second",1.50,
            1.70)))</f>
        <v/>
      </c>
      <c r="K9342">
        <f>LET(
    purpose,'Loan Tape (S&amp;P)'!R9342,
    IF(purpose="Purchase",1.00,
        IF(purpose="Remortgage",1.00,
            1.20)))</f>
        <v/>
      </c>
      <c r="L9342">
        <f>LET(
    arrears_months,'Loan Tape (S&amp;P)'!AN9342,
    IF(arrears_months=0,1.00,
    IF(arrears_months=1,3.00,
    IF(arrears_months=2,5.00,
    IF(arrears_months=3,8.00,
    IF(arrears_months=4,10.00,
    IF(arrears_months=5,12.00,15.00)))))))</f>
        <v/>
      </c>
      <c r="M9342">
        <f>LET(
    seasoning_years,DATEDIF('Loan Tape (S&amp;P)'!K9342,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42">
        <f>IF(AND('Loan Tape (S&amp;P)'!U9342="Yes",
        'Loan Tape (S&amp;P)'!T9342&lt;&gt;"Yes",
        DATEDIF('Loan Tape (S&amp;P)'!K9342, TODAY(), "M")&lt;18),
    1.10,
    1.00)</f>
        <v/>
      </c>
      <c r="O9342">
        <f>IF('Loan Tape (S&amp;P)'!T9342="Yes",
    1.35,
    1.00)</f>
        <v/>
      </c>
      <c r="P9342">
        <f>IF('Loan Tape (S&amp;P)'!S9342="Yes",
    1.15,
    1.00)</f>
        <v/>
      </c>
      <c r="Q9342">
        <f>IF('Loan Tape (S&amp;P)'!V9342="Yes",
    1.20,
    1.00)</f>
        <v/>
      </c>
      <c r="T9342">
        <f>LET(
    payment_method,'Loan Tape (S&amp;P)'!P9342,
    occupancy,'Loan Tape (S&amp;P)'!N9342,
    maturity_date,'Loan Tape (S&amp;P)'!L9342,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43">
      <c r="J9343">
        <f>LET(
    lien,'Loan Tape (S&amp;P)'!Q9343,
    IF(lien="First",1.00,
        IF(lien="Second",1.50,
            1.70)))</f>
        <v/>
      </c>
      <c r="K9343">
        <f>LET(
    purpose,'Loan Tape (S&amp;P)'!R9343,
    IF(purpose="Purchase",1.00,
        IF(purpose="Remortgage",1.00,
            1.20)))</f>
        <v/>
      </c>
      <c r="L9343">
        <f>LET(
    arrears_months,'Loan Tape (S&amp;P)'!AN9343,
    IF(arrears_months=0,1.00,
    IF(arrears_months=1,3.00,
    IF(arrears_months=2,5.00,
    IF(arrears_months=3,8.00,
    IF(arrears_months=4,10.00,
    IF(arrears_months=5,12.00,15.00)))))))</f>
        <v/>
      </c>
      <c r="M9343">
        <f>LET(
    seasoning_years,DATEDIF('Loan Tape (S&amp;P)'!K9343,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43">
        <f>IF(AND('Loan Tape (S&amp;P)'!U9343="Yes",
        'Loan Tape (S&amp;P)'!T9343&lt;&gt;"Yes",
        DATEDIF('Loan Tape (S&amp;P)'!K9343, TODAY(), "M")&lt;18),
    1.10,
    1.00)</f>
        <v/>
      </c>
      <c r="O9343">
        <f>IF('Loan Tape (S&amp;P)'!T9343="Yes",
    1.35,
    1.00)</f>
        <v/>
      </c>
      <c r="P9343">
        <f>IF('Loan Tape (S&amp;P)'!S9343="Yes",
    1.15,
    1.00)</f>
        <v/>
      </c>
      <c r="Q9343">
        <f>IF('Loan Tape (S&amp;P)'!V9343="Yes",
    1.20,
    1.00)</f>
        <v/>
      </c>
      <c r="T9343">
        <f>LET(
    payment_method,'Loan Tape (S&amp;P)'!P9343,
    occupancy,'Loan Tape (S&amp;P)'!N9343,
    maturity_date,'Loan Tape (S&amp;P)'!L9343,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44">
      <c r="J9344">
        <f>LET(
    lien,'Loan Tape (S&amp;P)'!Q9344,
    IF(lien="First",1.00,
        IF(lien="Second",1.50,
            1.70)))</f>
        <v/>
      </c>
      <c r="K9344">
        <f>LET(
    purpose,'Loan Tape (S&amp;P)'!R9344,
    IF(purpose="Purchase",1.00,
        IF(purpose="Remortgage",1.00,
            1.20)))</f>
        <v/>
      </c>
      <c r="L9344">
        <f>LET(
    arrears_months,'Loan Tape (S&amp;P)'!AN9344,
    IF(arrears_months=0,1.00,
    IF(arrears_months=1,3.00,
    IF(arrears_months=2,5.00,
    IF(arrears_months=3,8.00,
    IF(arrears_months=4,10.00,
    IF(arrears_months=5,12.00,15.00)))))))</f>
        <v/>
      </c>
      <c r="M9344">
        <f>LET(
    seasoning_years,DATEDIF('Loan Tape (S&amp;P)'!K9344,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44">
        <f>IF(AND('Loan Tape (S&amp;P)'!U9344="Yes",
        'Loan Tape (S&amp;P)'!T9344&lt;&gt;"Yes",
        DATEDIF('Loan Tape (S&amp;P)'!K9344, TODAY(), "M")&lt;18),
    1.10,
    1.00)</f>
        <v/>
      </c>
      <c r="O9344">
        <f>IF('Loan Tape (S&amp;P)'!T9344="Yes",
    1.35,
    1.00)</f>
        <v/>
      </c>
      <c r="P9344">
        <f>IF('Loan Tape (S&amp;P)'!S9344="Yes",
    1.15,
    1.00)</f>
        <v/>
      </c>
      <c r="Q9344">
        <f>IF('Loan Tape (S&amp;P)'!V9344="Yes",
    1.20,
    1.00)</f>
        <v/>
      </c>
      <c r="T9344">
        <f>LET(
    payment_method,'Loan Tape (S&amp;P)'!P9344,
    occupancy,'Loan Tape (S&amp;P)'!N9344,
    maturity_date,'Loan Tape (S&amp;P)'!L9344,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45">
      <c r="J9345">
        <f>LET(
    lien,'Loan Tape (S&amp;P)'!Q9345,
    IF(lien="First",1.00,
        IF(lien="Second",1.50,
            1.70)))</f>
        <v/>
      </c>
      <c r="K9345">
        <f>LET(
    purpose,'Loan Tape (S&amp;P)'!R9345,
    IF(purpose="Purchase",1.00,
        IF(purpose="Remortgage",1.00,
            1.20)))</f>
        <v/>
      </c>
      <c r="L9345">
        <f>LET(
    arrears_months,'Loan Tape (S&amp;P)'!AN9345,
    IF(arrears_months=0,1.00,
    IF(arrears_months=1,3.00,
    IF(arrears_months=2,5.00,
    IF(arrears_months=3,8.00,
    IF(arrears_months=4,10.00,
    IF(arrears_months=5,12.00,15.00)))))))</f>
        <v/>
      </c>
      <c r="M9345">
        <f>LET(
    seasoning_years,DATEDIF('Loan Tape (S&amp;P)'!K9345,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45">
        <f>IF(AND('Loan Tape (S&amp;P)'!U9345="Yes",
        'Loan Tape (S&amp;P)'!T9345&lt;&gt;"Yes",
        DATEDIF('Loan Tape (S&amp;P)'!K9345, TODAY(), "M")&lt;18),
    1.10,
    1.00)</f>
        <v/>
      </c>
      <c r="O9345">
        <f>IF('Loan Tape (S&amp;P)'!T9345="Yes",
    1.35,
    1.00)</f>
        <v/>
      </c>
      <c r="P9345">
        <f>IF('Loan Tape (S&amp;P)'!S9345="Yes",
    1.15,
    1.00)</f>
        <v/>
      </c>
      <c r="Q9345">
        <f>IF('Loan Tape (S&amp;P)'!V9345="Yes",
    1.20,
    1.00)</f>
        <v/>
      </c>
      <c r="T9345">
        <f>LET(
    payment_method,'Loan Tape (S&amp;P)'!P9345,
    occupancy,'Loan Tape (S&amp;P)'!N9345,
    maturity_date,'Loan Tape (S&amp;P)'!L9345,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46">
      <c r="J9346">
        <f>LET(
    lien,'Loan Tape (S&amp;P)'!Q9346,
    IF(lien="First",1.00,
        IF(lien="Second",1.50,
            1.70)))</f>
        <v/>
      </c>
      <c r="K9346">
        <f>LET(
    purpose,'Loan Tape (S&amp;P)'!R9346,
    IF(purpose="Purchase",1.00,
        IF(purpose="Remortgage",1.00,
            1.20)))</f>
        <v/>
      </c>
      <c r="L9346">
        <f>LET(
    arrears_months,'Loan Tape (S&amp;P)'!AN9346,
    IF(arrears_months=0,1.00,
    IF(arrears_months=1,3.00,
    IF(arrears_months=2,5.00,
    IF(arrears_months=3,8.00,
    IF(arrears_months=4,10.00,
    IF(arrears_months=5,12.00,15.00)))))))</f>
        <v/>
      </c>
      <c r="M9346">
        <f>LET(
    seasoning_years,DATEDIF('Loan Tape (S&amp;P)'!K9346,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46">
        <f>IF(AND('Loan Tape (S&amp;P)'!U9346="Yes",
        'Loan Tape (S&amp;P)'!T9346&lt;&gt;"Yes",
        DATEDIF('Loan Tape (S&amp;P)'!K9346, TODAY(), "M")&lt;18),
    1.10,
    1.00)</f>
        <v/>
      </c>
      <c r="O9346">
        <f>IF('Loan Tape (S&amp;P)'!T9346="Yes",
    1.35,
    1.00)</f>
        <v/>
      </c>
      <c r="P9346">
        <f>IF('Loan Tape (S&amp;P)'!S9346="Yes",
    1.15,
    1.00)</f>
        <v/>
      </c>
      <c r="Q9346">
        <f>IF('Loan Tape (S&amp;P)'!V9346="Yes",
    1.20,
    1.00)</f>
        <v/>
      </c>
      <c r="T9346">
        <f>LET(
    payment_method,'Loan Tape (S&amp;P)'!P9346,
    occupancy,'Loan Tape (S&amp;P)'!N9346,
    maturity_date,'Loan Tape (S&amp;P)'!L9346,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47">
      <c r="J9347">
        <f>LET(
    lien,'Loan Tape (S&amp;P)'!Q9347,
    IF(lien="First",1.00,
        IF(lien="Second",1.50,
            1.70)))</f>
        <v/>
      </c>
      <c r="K9347">
        <f>LET(
    purpose,'Loan Tape (S&amp;P)'!R9347,
    IF(purpose="Purchase",1.00,
        IF(purpose="Remortgage",1.00,
            1.20)))</f>
        <v/>
      </c>
      <c r="L9347">
        <f>LET(
    arrears_months,'Loan Tape (S&amp;P)'!AN9347,
    IF(arrears_months=0,1.00,
    IF(arrears_months=1,3.00,
    IF(arrears_months=2,5.00,
    IF(arrears_months=3,8.00,
    IF(arrears_months=4,10.00,
    IF(arrears_months=5,12.00,15.00)))))))</f>
        <v/>
      </c>
      <c r="M9347">
        <f>LET(
    seasoning_years,DATEDIF('Loan Tape (S&amp;P)'!K9347,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47">
        <f>IF(AND('Loan Tape (S&amp;P)'!U9347="Yes",
        'Loan Tape (S&amp;P)'!T9347&lt;&gt;"Yes",
        DATEDIF('Loan Tape (S&amp;P)'!K9347, TODAY(), "M")&lt;18),
    1.10,
    1.00)</f>
        <v/>
      </c>
      <c r="O9347">
        <f>IF('Loan Tape (S&amp;P)'!T9347="Yes",
    1.35,
    1.00)</f>
        <v/>
      </c>
      <c r="P9347">
        <f>IF('Loan Tape (S&amp;P)'!S9347="Yes",
    1.15,
    1.00)</f>
        <v/>
      </c>
      <c r="Q9347">
        <f>IF('Loan Tape (S&amp;P)'!V9347="Yes",
    1.20,
    1.00)</f>
        <v/>
      </c>
      <c r="T9347">
        <f>LET(
    payment_method,'Loan Tape (S&amp;P)'!P9347,
    occupancy,'Loan Tape (S&amp;P)'!N9347,
    maturity_date,'Loan Tape (S&amp;P)'!L9347,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48">
      <c r="J9348">
        <f>LET(
    lien,'Loan Tape (S&amp;P)'!Q9348,
    IF(lien="First",1.00,
        IF(lien="Second",1.50,
            1.70)))</f>
        <v/>
      </c>
      <c r="K9348">
        <f>LET(
    purpose,'Loan Tape (S&amp;P)'!R9348,
    IF(purpose="Purchase",1.00,
        IF(purpose="Remortgage",1.00,
            1.20)))</f>
        <v/>
      </c>
      <c r="L9348">
        <f>LET(
    arrears_months,'Loan Tape (S&amp;P)'!AN9348,
    IF(arrears_months=0,1.00,
    IF(arrears_months=1,3.00,
    IF(arrears_months=2,5.00,
    IF(arrears_months=3,8.00,
    IF(arrears_months=4,10.00,
    IF(arrears_months=5,12.00,15.00)))))))</f>
        <v/>
      </c>
      <c r="M9348">
        <f>LET(
    seasoning_years,DATEDIF('Loan Tape (S&amp;P)'!K9348,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48">
        <f>IF(AND('Loan Tape (S&amp;P)'!U9348="Yes",
        'Loan Tape (S&amp;P)'!T9348&lt;&gt;"Yes",
        DATEDIF('Loan Tape (S&amp;P)'!K9348, TODAY(), "M")&lt;18),
    1.10,
    1.00)</f>
        <v/>
      </c>
      <c r="O9348">
        <f>IF('Loan Tape (S&amp;P)'!T9348="Yes",
    1.35,
    1.00)</f>
        <v/>
      </c>
      <c r="P9348">
        <f>IF('Loan Tape (S&amp;P)'!S9348="Yes",
    1.15,
    1.00)</f>
        <v/>
      </c>
      <c r="Q9348">
        <f>IF('Loan Tape (S&amp;P)'!V9348="Yes",
    1.20,
    1.00)</f>
        <v/>
      </c>
      <c r="T9348">
        <f>LET(
    payment_method,'Loan Tape (S&amp;P)'!P9348,
    occupancy,'Loan Tape (S&amp;P)'!N9348,
    maturity_date,'Loan Tape (S&amp;P)'!L9348,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49">
      <c r="J9349">
        <f>LET(
    lien,'Loan Tape (S&amp;P)'!Q9349,
    IF(lien="First",1.00,
        IF(lien="Second",1.50,
            1.70)))</f>
        <v/>
      </c>
      <c r="K9349">
        <f>LET(
    purpose,'Loan Tape (S&amp;P)'!R9349,
    IF(purpose="Purchase",1.00,
        IF(purpose="Remortgage",1.00,
            1.20)))</f>
        <v/>
      </c>
      <c r="L9349">
        <f>LET(
    arrears_months,'Loan Tape (S&amp;P)'!AN9349,
    IF(arrears_months=0,1.00,
    IF(arrears_months=1,3.00,
    IF(arrears_months=2,5.00,
    IF(arrears_months=3,8.00,
    IF(arrears_months=4,10.00,
    IF(arrears_months=5,12.00,15.00)))))))</f>
        <v/>
      </c>
      <c r="M9349">
        <f>LET(
    seasoning_years,DATEDIF('Loan Tape (S&amp;P)'!K9349,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49">
        <f>IF(AND('Loan Tape (S&amp;P)'!U9349="Yes",
        'Loan Tape (S&amp;P)'!T9349&lt;&gt;"Yes",
        DATEDIF('Loan Tape (S&amp;P)'!K9349, TODAY(), "M")&lt;18),
    1.10,
    1.00)</f>
        <v/>
      </c>
      <c r="O9349">
        <f>IF('Loan Tape (S&amp;P)'!T9349="Yes",
    1.35,
    1.00)</f>
        <v/>
      </c>
      <c r="P9349">
        <f>IF('Loan Tape (S&amp;P)'!S9349="Yes",
    1.15,
    1.00)</f>
        <v/>
      </c>
      <c r="Q9349">
        <f>IF('Loan Tape (S&amp;P)'!V9349="Yes",
    1.20,
    1.00)</f>
        <v/>
      </c>
      <c r="T9349">
        <f>LET(
    payment_method,'Loan Tape (S&amp;P)'!P9349,
    occupancy,'Loan Tape (S&amp;P)'!N9349,
    maturity_date,'Loan Tape (S&amp;P)'!L9349,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50">
      <c r="J9350">
        <f>LET(
    lien,'Loan Tape (S&amp;P)'!Q9350,
    IF(lien="First",1.00,
        IF(lien="Second",1.50,
            1.70)))</f>
        <v/>
      </c>
      <c r="K9350">
        <f>LET(
    purpose,'Loan Tape (S&amp;P)'!R9350,
    IF(purpose="Purchase",1.00,
        IF(purpose="Remortgage",1.00,
            1.20)))</f>
        <v/>
      </c>
      <c r="L9350">
        <f>LET(
    arrears_months,'Loan Tape (S&amp;P)'!AN9350,
    IF(arrears_months=0,1.00,
    IF(arrears_months=1,3.00,
    IF(arrears_months=2,5.00,
    IF(arrears_months=3,8.00,
    IF(arrears_months=4,10.00,
    IF(arrears_months=5,12.00,15.00)))))))</f>
        <v/>
      </c>
      <c r="M9350">
        <f>LET(
    seasoning_years,DATEDIF('Loan Tape (S&amp;P)'!K9350,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50">
        <f>IF(AND('Loan Tape (S&amp;P)'!U9350="Yes",
        'Loan Tape (S&amp;P)'!T9350&lt;&gt;"Yes",
        DATEDIF('Loan Tape (S&amp;P)'!K9350, TODAY(), "M")&lt;18),
    1.10,
    1.00)</f>
        <v/>
      </c>
      <c r="O9350">
        <f>IF('Loan Tape (S&amp;P)'!T9350="Yes",
    1.35,
    1.00)</f>
        <v/>
      </c>
      <c r="P9350">
        <f>IF('Loan Tape (S&amp;P)'!S9350="Yes",
    1.15,
    1.00)</f>
        <v/>
      </c>
      <c r="Q9350">
        <f>IF('Loan Tape (S&amp;P)'!V9350="Yes",
    1.20,
    1.00)</f>
        <v/>
      </c>
      <c r="T9350">
        <f>LET(
    payment_method,'Loan Tape (S&amp;P)'!P9350,
    occupancy,'Loan Tape (S&amp;P)'!N9350,
    maturity_date,'Loan Tape (S&amp;P)'!L9350,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51">
      <c r="J9351">
        <f>LET(
    lien,'Loan Tape (S&amp;P)'!Q9351,
    IF(lien="First",1.00,
        IF(lien="Second",1.50,
            1.70)))</f>
        <v/>
      </c>
      <c r="K9351">
        <f>LET(
    purpose,'Loan Tape (S&amp;P)'!R9351,
    IF(purpose="Purchase",1.00,
        IF(purpose="Remortgage",1.00,
            1.20)))</f>
        <v/>
      </c>
      <c r="L9351">
        <f>LET(
    arrears_months,'Loan Tape (S&amp;P)'!AN9351,
    IF(arrears_months=0,1.00,
    IF(arrears_months=1,3.00,
    IF(arrears_months=2,5.00,
    IF(arrears_months=3,8.00,
    IF(arrears_months=4,10.00,
    IF(arrears_months=5,12.00,15.00)))))))</f>
        <v/>
      </c>
      <c r="M9351">
        <f>LET(
    seasoning_years,DATEDIF('Loan Tape (S&amp;P)'!K9351,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51">
        <f>IF(AND('Loan Tape (S&amp;P)'!U9351="Yes",
        'Loan Tape (S&amp;P)'!T9351&lt;&gt;"Yes",
        DATEDIF('Loan Tape (S&amp;P)'!K9351, TODAY(), "M")&lt;18),
    1.10,
    1.00)</f>
        <v/>
      </c>
      <c r="O9351">
        <f>IF('Loan Tape (S&amp;P)'!T9351="Yes",
    1.35,
    1.00)</f>
        <v/>
      </c>
      <c r="P9351">
        <f>IF('Loan Tape (S&amp;P)'!S9351="Yes",
    1.15,
    1.00)</f>
        <v/>
      </c>
      <c r="Q9351">
        <f>IF('Loan Tape (S&amp;P)'!V9351="Yes",
    1.20,
    1.00)</f>
        <v/>
      </c>
      <c r="T9351">
        <f>LET(
    payment_method,'Loan Tape (S&amp;P)'!P9351,
    occupancy,'Loan Tape (S&amp;P)'!N9351,
    maturity_date,'Loan Tape (S&amp;P)'!L9351,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52">
      <c r="J9352">
        <f>LET(
    lien,'Loan Tape (S&amp;P)'!Q9352,
    IF(lien="First",1.00,
        IF(lien="Second",1.50,
            1.70)))</f>
        <v/>
      </c>
      <c r="K9352">
        <f>LET(
    purpose,'Loan Tape (S&amp;P)'!R9352,
    IF(purpose="Purchase",1.00,
        IF(purpose="Remortgage",1.00,
            1.20)))</f>
        <v/>
      </c>
      <c r="L9352">
        <f>LET(
    arrears_months,'Loan Tape (S&amp;P)'!AN9352,
    IF(arrears_months=0,1.00,
    IF(arrears_months=1,3.00,
    IF(arrears_months=2,5.00,
    IF(arrears_months=3,8.00,
    IF(arrears_months=4,10.00,
    IF(arrears_months=5,12.00,15.00)))))))</f>
        <v/>
      </c>
      <c r="M9352">
        <f>LET(
    seasoning_years,DATEDIF('Loan Tape (S&amp;P)'!K9352,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52">
        <f>IF(AND('Loan Tape (S&amp;P)'!U9352="Yes",
        'Loan Tape (S&amp;P)'!T9352&lt;&gt;"Yes",
        DATEDIF('Loan Tape (S&amp;P)'!K9352, TODAY(), "M")&lt;18),
    1.10,
    1.00)</f>
        <v/>
      </c>
      <c r="O9352">
        <f>IF('Loan Tape (S&amp;P)'!T9352="Yes",
    1.35,
    1.00)</f>
        <v/>
      </c>
      <c r="P9352">
        <f>IF('Loan Tape (S&amp;P)'!S9352="Yes",
    1.15,
    1.00)</f>
        <v/>
      </c>
      <c r="Q9352">
        <f>IF('Loan Tape (S&amp;P)'!V9352="Yes",
    1.20,
    1.00)</f>
        <v/>
      </c>
      <c r="T9352">
        <f>LET(
    payment_method,'Loan Tape (S&amp;P)'!P9352,
    occupancy,'Loan Tape (S&amp;P)'!N9352,
    maturity_date,'Loan Tape (S&amp;P)'!L9352,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53">
      <c r="J9353">
        <f>LET(
    lien,'Loan Tape (S&amp;P)'!Q9353,
    IF(lien="First",1.00,
        IF(lien="Second",1.50,
            1.70)))</f>
        <v/>
      </c>
      <c r="K9353">
        <f>LET(
    purpose,'Loan Tape (S&amp;P)'!R9353,
    IF(purpose="Purchase",1.00,
        IF(purpose="Remortgage",1.00,
            1.20)))</f>
        <v/>
      </c>
      <c r="L9353">
        <f>LET(
    arrears_months,'Loan Tape (S&amp;P)'!AN9353,
    IF(arrears_months=0,1.00,
    IF(arrears_months=1,3.00,
    IF(arrears_months=2,5.00,
    IF(arrears_months=3,8.00,
    IF(arrears_months=4,10.00,
    IF(arrears_months=5,12.00,15.00)))))))</f>
        <v/>
      </c>
      <c r="M9353">
        <f>LET(
    seasoning_years,DATEDIF('Loan Tape (S&amp;P)'!K9353,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53">
        <f>IF(AND('Loan Tape (S&amp;P)'!U9353="Yes",
        'Loan Tape (S&amp;P)'!T9353&lt;&gt;"Yes",
        DATEDIF('Loan Tape (S&amp;P)'!K9353, TODAY(), "M")&lt;18),
    1.10,
    1.00)</f>
        <v/>
      </c>
      <c r="O9353">
        <f>IF('Loan Tape (S&amp;P)'!T9353="Yes",
    1.35,
    1.00)</f>
        <v/>
      </c>
      <c r="P9353">
        <f>IF('Loan Tape (S&amp;P)'!S9353="Yes",
    1.15,
    1.00)</f>
        <v/>
      </c>
      <c r="Q9353">
        <f>IF('Loan Tape (S&amp;P)'!V9353="Yes",
    1.20,
    1.00)</f>
        <v/>
      </c>
      <c r="T9353">
        <f>LET(
    payment_method,'Loan Tape (S&amp;P)'!P9353,
    occupancy,'Loan Tape (S&amp;P)'!N9353,
    maturity_date,'Loan Tape (S&amp;P)'!L9353,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54">
      <c r="J9354">
        <f>LET(
    lien,'Loan Tape (S&amp;P)'!Q9354,
    IF(lien="First",1.00,
        IF(lien="Second",1.50,
            1.70)))</f>
        <v/>
      </c>
      <c r="K9354">
        <f>LET(
    purpose,'Loan Tape (S&amp;P)'!R9354,
    IF(purpose="Purchase",1.00,
        IF(purpose="Remortgage",1.00,
            1.20)))</f>
        <v/>
      </c>
      <c r="L9354">
        <f>LET(
    arrears_months,'Loan Tape (S&amp;P)'!AN9354,
    IF(arrears_months=0,1.00,
    IF(arrears_months=1,3.00,
    IF(arrears_months=2,5.00,
    IF(arrears_months=3,8.00,
    IF(arrears_months=4,10.00,
    IF(arrears_months=5,12.00,15.00)))))))</f>
        <v/>
      </c>
      <c r="M9354">
        <f>LET(
    seasoning_years,DATEDIF('Loan Tape (S&amp;P)'!K9354,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54">
        <f>IF(AND('Loan Tape (S&amp;P)'!U9354="Yes",
        'Loan Tape (S&amp;P)'!T9354&lt;&gt;"Yes",
        DATEDIF('Loan Tape (S&amp;P)'!K9354, TODAY(), "M")&lt;18),
    1.10,
    1.00)</f>
        <v/>
      </c>
      <c r="O9354">
        <f>IF('Loan Tape (S&amp;P)'!T9354="Yes",
    1.35,
    1.00)</f>
        <v/>
      </c>
      <c r="P9354">
        <f>IF('Loan Tape (S&amp;P)'!S9354="Yes",
    1.15,
    1.00)</f>
        <v/>
      </c>
      <c r="Q9354">
        <f>IF('Loan Tape (S&amp;P)'!V9354="Yes",
    1.20,
    1.00)</f>
        <v/>
      </c>
      <c r="T9354">
        <f>LET(
    payment_method,'Loan Tape (S&amp;P)'!P9354,
    occupancy,'Loan Tape (S&amp;P)'!N9354,
    maturity_date,'Loan Tape (S&amp;P)'!L9354,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55">
      <c r="J9355">
        <f>LET(
    lien,'Loan Tape (S&amp;P)'!Q9355,
    IF(lien="First",1.00,
        IF(lien="Second",1.50,
            1.70)))</f>
        <v/>
      </c>
      <c r="K9355">
        <f>LET(
    purpose,'Loan Tape (S&amp;P)'!R9355,
    IF(purpose="Purchase",1.00,
        IF(purpose="Remortgage",1.00,
            1.20)))</f>
        <v/>
      </c>
      <c r="L9355">
        <f>LET(
    arrears_months,'Loan Tape (S&amp;P)'!AN9355,
    IF(arrears_months=0,1.00,
    IF(arrears_months=1,3.00,
    IF(arrears_months=2,5.00,
    IF(arrears_months=3,8.00,
    IF(arrears_months=4,10.00,
    IF(arrears_months=5,12.00,15.00)))))))</f>
        <v/>
      </c>
      <c r="M9355">
        <f>LET(
    seasoning_years,DATEDIF('Loan Tape (S&amp;P)'!K9355,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55">
        <f>IF(AND('Loan Tape (S&amp;P)'!U9355="Yes",
        'Loan Tape (S&amp;P)'!T9355&lt;&gt;"Yes",
        DATEDIF('Loan Tape (S&amp;P)'!K9355, TODAY(), "M")&lt;18),
    1.10,
    1.00)</f>
        <v/>
      </c>
      <c r="O9355">
        <f>IF('Loan Tape (S&amp;P)'!T9355="Yes",
    1.35,
    1.00)</f>
        <v/>
      </c>
      <c r="P9355">
        <f>IF('Loan Tape (S&amp;P)'!S9355="Yes",
    1.15,
    1.00)</f>
        <v/>
      </c>
      <c r="Q9355">
        <f>IF('Loan Tape (S&amp;P)'!V9355="Yes",
    1.20,
    1.00)</f>
        <v/>
      </c>
      <c r="T9355">
        <f>LET(
    payment_method,'Loan Tape (S&amp;P)'!P9355,
    occupancy,'Loan Tape (S&amp;P)'!N9355,
    maturity_date,'Loan Tape (S&amp;P)'!L9355,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56">
      <c r="J9356">
        <f>LET(
    lien,'Loan Tape (S&amp;P)'!Q9356,
    IF(lien="First",1.00,
        IF(lien="Second",1.50,
            1.70)))</f>
        <v/>
      </c>
      <c r="K9356">
        <f>LET(
    purpose,'Loan Tape (S&amp;P)'!R9356,
    IF(purpose="Purchase",1.00,
        IF(purpose="Remortgage",1.00,
            1.20)))</f>
        <v/>
      </c>
      <c r="L9356">
        <f>LET(
    arrears_months,'Loan Tape (S&amp;P)'!AN9356,
    IF(arrears_months=0,1.00,
    IF(arrears_months=1,3.00,
    IF(arrears_months=2,5.00,
    IF(arrears_months=3,8.00,
    IF(arrears_months=4,10.00,
    IF(arrears_months=5,12.00,15.00)))))))</f>
        <v/>
      </c>
      <c r="M9356">
        <f>LET(
    seasoning_years,DATEDIF('Loan Tape (S&amp;P)'!K9356,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56">
        <f>IF(AND('Loan Tape (S&amp;P)'!U9356="Yes",
        'Loan Tape (S&amp;P)'!T9356&lt;&gt;"Yes",
        DATEDIF('Loan Tape (S&amp;P)'!K9356, TODAY(), "M")&lt;18),
    1.10,
    1.00)</f>
        <v/>
      </c>
      <c r="O9356">
        <f>IF('Loan Tape (S&amp;P)'!T9356="Yes",
    1.35,
    1.00)</f>
        <v/>
      </c>
      <c r="P9356">
        <f>IF('Loan Tape (S&amp;P)'!S9356="Yes",
    1.15,
    1.00)</f>
        <v/>
      </c>
      <c r="Q9356">
        <f>IF('Loan Tape (S&amp;P)'!V9356="Yes",
    1.20,
    1.00)</f>
        <v/>
      </c>
      <c r="T9356">
        <f>LET(
    payment_method,'Loan Tape (S&amp;P)'!P9356,
    occupancy,'Loan Tape (S&amp;P)'!N9356,
    maturity_date,'Loan Tape (S&amp;P)'!L9356,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57">
      <c r="J9357">
        <f>LET(
    lien,'Loan Tape (S&amp;P)'!Q9357,
    IF(lien="First",1.00,
        IF(lien="Second",1.50,
            1.70)))</f>
        <v/>
      </c>
      <c r="K9357">
        <f>LET(
    purpose,'Loan Tape (S&amp;P)'!R9357,
    IF(purpose="Purchase",1.00,
        IF(purpose="Remortgage",1.00,
            1.20)))</f>
        <v/>
      </c>
      <c r="L9357">
        <f>LET(
    arrears_months,'Loan Tape (S&amp;P)'!AN9357,
    IF(arrears_months=0,1.00,
    IF(arrears_months=1,3.00,
    IF(arrears_months=2,5.00,
    IF(arrears_months=3,8.00,
    IF(arrears_months=4,10.00,
    IF(arrears_months=5,12.00,15.00)))))))</f>
        <v/>
      </c>
      <c r="M9357">
        <f>LET(
    seasoning_years,DATEDIF('Loan Tape (S&amp;P)'!K9357,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57">
        <f>IF(AND('Loan Tape (S&amp;P)'!U9357="Yes",
        'Loan Tape (S&amp;P)'!T9357&lt;&gt;"Yes",
        DATEDIF('Loan Tape (S&amp;P)'!K9357, TODAY(), "M")&lt;18),
    1.10,
    1.00)</f>
        <v/>
      </c>
      <c r="O9357">
        <f>IF('Loan Tape (S&amp;P)'!T9357="Yes",
    1.35,
    1.00)</f>
        <v/>
      </c>
      <c r="P9357">
        <f>IF('Loan Tape (S&amp;P)'!S9357="Yes",
    1.15,
    1.00)</f>
        <v/>
      </c>
      <c r="Q9357">
        <f>IF('Loan Tape (S&amp;P)'!V9357="Yes",
    1.20,
    1.00)</f>
        <v/>
      </c>
      <c r="T9357">
        <f>LET(
    payment_method,'Loan Tape (S&amp;P)'!P9357,
    occupancy,'Loan Tape (S&amp;P)'!N9357,
    maturity_date,'Loan Tape (S&amp;P)'!L9357,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58">
      <c r="J9358">
        <f>LET(
    lien,'Loan Tape (S&amp;P)'!Q9358,
    IF(lien="First",1.00,
        IF(lien="Second",1.50,
            1.70)))</f>
        <v/>
      </c>
      <c r="K9358">
        <f>LET(
    purpose,'Loan Tape (S&amp;P)'!R9358,
    IF(purpose="Purchase",1.00,
        IF(purpose="Remortgage",1.00,
            1.20)))</f>
        <v/>
      </c>
      <c r="L9358">
        <f>LET(
    arrears_months,'Loan Tape (S&amp;P)'!AN9358,
    IF(arrears_months=0,1.00,
    IF(arrears_months=1,3.00,
    IF(arrears_months=2,5.00,
    IF(arrears_months=3,8.00,
    IF(arrears_months=4,10.00,
    IF(arrears_months=5,12.00,15.00)))))))</f>
        <v/>
      </c>
      <c r="M9358">
        <f>LET(
    seasoning_years,DATEDIF('Loan Tape (S&amp;P)'!K9358,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58">
        <f>IF(AND('Loan Tape (S&amp;P)'!U9358="Yes",
        'Loan Tape (S&amp;P)'!T9358&lt;&gt;"Yes",
        DATEDIF('Loan Tape (S&amp;P)'!K9358, TODAY(), "M")&lt;18),
    1.10,
    1.00)</f>
        <v/>
      </c>
      <c r="O9358">
        <f>IF('Loan Tape (S&amp;P)'!T9358="Yes",
    1.35,
    1.00)</f>
        <v/>
      </c>
      <c r="P9358">
        <f>IF('Loan Tape (S&amp;P)'!S9358="Yes",
    1.15,
    1.00)</f>
        <v/>
      </c>
      <c r="Q9358">
        <f>IF('Loan Tape (S&amp;P)'!V9358="Yes",
    1.20,
    1.00)</f>
        <v/>
      </c>
      <c r="T9358">
        <f>LET(
    payment_method,'Loan Tape (S&amp;P)'!P9358,
    occupancy,'Loan Tape (S&amp;P)'!N9358,
    maturity_date,'Loan Tape (S&amp;P)'!L9358,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59">
      <c r="J9359">
        <f>LET(
    lien,'Loan Tape (S&amp;P)'!Q9359,
    IF(lien="First",1.00,
        IF(lien="Second",1.50,
            1.70)))</f>
        <v/>
      </c>
      <c r="K9359">
        <f>LET(
    purpose,'Loan Tape (S&amp;P)'!R9359,
    IF(purpose="Purchase",1.00,
        IF(purpose="Remortgage",1.00,
            1.20)))</f>
        <v/>
      </c>
      <c r="L9359">
        <f>LET(
    arrears_months,'Loan Tape (S&amp;P)'!AN9359,
    IF(arrears_months=0,1.00,
    IF(arrears_months=1,3.00,
    IF(arrears_months=2,5.00,
    IF(arrears_months=3,8.00,
    IF(arrears_months=4,10.00,
    IF(arrears_months=5,12.00,15.00)))))))</f>
        <v/>
      </c>
      <c r="M9359">
        <f>LET(
    seasoning_years,DATEDIF('Loan Tape (S&amp;P)'!K9359,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59">
        <f>IF(AND('Loan Tape (S&amp;P)'!U9359="Yes",
        'Loan Tape (S&amp;P)'!T9359&lt;&gt;"Yes",
        DATEDIF('Loan Tape (S&amp;P)'!K9359, TODAY(), "M")&lt;18),
    1.10,
    1.00)</f>
        <v/>
      </c>
      <c r="O9359">
        <f>IF('Loan Tape (S&amp;P)'!T9359="Yes",
    1.35,
    1.00)</f>
        <v/>
      </c>
      <c r="P9359">
        <f>IF('Loan Tape (S&amp;P)'!S9359="Yes",
    1.15,
    1.00)</f>
        <v/>
      </c>
      <c r="Q9359">
        <f>IF('Loan Tape (S&amp;P)'!V9359="Yes",
    1.20,
    1.00)</f>
        <v/>
      </c>
      <c r="T9359">
        <f>LET(
    payment_method,'Loan Tape (S&amp;P)'!P9359,
    occupancy,'Loan Tape (S&amp;P)'!N9359,
    maturity_date,'Loan Tape (S&amp;P)'!L9359,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60">
      <c r="J9360">
        <f>LET(
    lien,'Loan Tape (S&amp;P)'!Q9360,
    IF(lien="First",1.00,
        IF(lien="Second",1.50,
            1.70)))</f>
        <v/>
      </c>
      <c r="K9360">
        <f>LET(
    purpose,'Loan Tape (S&amp;P)'!R9360,
    IF(purpose="Purchase",1.00,
        IF(purpose="Remortgage",1.00,
            1.20)))</f>
        <v/>
      </c>
      <c r="L9360">
        <f>LET(
    arrears_months,'Loan Tape (S&amp;P)'!AN9360,
    IF(arrears_months=0,1.00,
    IF(arrears_months=1,3.00,
    IF(arrears_months=2,5.00,
    IF(arrears_months=3,8.00,
    IF(arrears_months=4,10.00,
    IF(arrears_months=5,12.00,15.00)))))))</f>
        <v/>
      </c>
      <c r="M9360">
        <f>LET(
    seasoning_years,DATEDIF('Loan Tape (S&amp;P)'!K9360,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60">
        <f>IF(AND('Loan Tape (S&amp;P)'!U9360="Yes",
        'Loan Tape (S&amp;P)'!T9360&lt;&gt;"Yes",
        DATEDIF('Loan Tape (S&amp;P)'!K9360, TODAY(), "M")&lt;18),
    1.10,
    1.00)</f>
        <v/>
      </c>
      <c r="O9360">
        <f>IF('Loan Tape (S&amp;P)'!T9360="Yes",
    1.35,
    1.00)</f>
        <v/>
      </c>
      <c r="P9360">
        <f>IF('Loan Tape (S&amp;P)'!S9360="Yes",
    1.15,
    1.00)</f>
        <v/>
      </c>
      <c r="Q9360">
        <f>IF('Loan Tape (S&amp;P)'!V9360="Yes",
    1.20,
    1.00)</f>
        <v/>
      </c>
      <c r="T9360">
        <f>LET(
    payment_method,'Loan Tape (S&amp;P)'!P9360,
    occupancy,'Loan Tape (S&amp;P)'!N9360,
    maturity_date,'Loan Tape (S&amp;P)'!L9360,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61">
      <c r="J9361">
        <f>LET(
    lien,'Loan Tape (S&amp;P)'!Q9361,
    IF(lien="First",1.00,
        IF(lien="Second",1.50,
            1.70)))</f>
        <v/>
      </c>
      <c r="K9361">
        <f>LET(
    purpose,'Loan Tape (S&amp;P)'!R9361,
    IF(purpose="Purchase",1.00,
        IF(purpose="Remortgage",1.00,
            1.20)))</f>
        <v/>
      </c>
      <c r="L9361">
        <f>LET(
    arrears_months,'Loan Tape (S&amp;P)'!AN9361,
    IF(arrears_months=0,1.00,
    IF(arrears_months=1,3.00,
    IF(arrears_months=2,5.00,
    IF(arrears_months=3,8.00,
    IF(arrears_months=4,10.00,
    IF(arrears_months=5,12.00,15.00)))))))</f>
        <v/>
      </c>
      <c r="M9361">
        <f>LET(
    seasoning_years,DATEDIF('Loan Tape (S&amp;P)'!K9361,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61">
        <f>IF(AND('Loan Tape (S&amp;P)'!U9361="Yes",
        'Loan Tape (S&amp;P)'!T9361&lt;&gt;"Yes",
        DATEDIF('Loan Tape (S&amp;P)'!K9361, TODAY(), "M")&lt;18),
    1.10,
    1.00)</f>
        <v/>
      </c>
      <c r="O9361">
        <f>IF('Loan Tape (S&amp;P)'!T9361="Yes",
    1.35,
    1.00)</f>
        <v/>
      </c>
      <c r="P9361">
        <f>IF('Loan Tape (S&amp;P)'!S9361="Yes",
    1.15,
    1.00)</f>
        <v/>
      </c>
      <c r="Q9361">
        <f>IF('Loan Tape (S&amp;P)'!V9361="Yes",
    1.20,
    1.00)</f>
        <v/>
      </c>
      <c r="T9361">
        <f>LET(
    payment_method,'Loan Tape (S&amp;P)'!P9361,
    occupancy,'Loan Tape (S&amp;P)'!N9361,
    maturity_date,'Loan Tape (S&amp;P)'!L9361,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62">
      <c r="J9362">
        <f>LET(
    lien,'Loan Tape (S&amp;P)'!Q9362,
    IF(lien="First",1.00,
        IF(lien="Second",1.50,
            1.70)))</f>
        <v/>
      </c>
      <c r="K9362">
        <f>LET(
    purpose,'Loan Tape (S&amp;P)'!R9362,
    IF(purpose="Purchase",1.00,
        IF(purpose="Remortgage",1.00,
            1.20)))</f>
        <v/>
      </c>
      <c r="L9362">
        <f>LET(
    arrears_months,'Loan Tape (S&amp;P)'!AN9362,
    IF(arrears_months=0,1.00,
    IF(arrears_months=1,3.00,
    IF(arrears_months=2,5.00,
    IF(arrears_months=3,8.00,
    IF(arrears_months=4,10.00,
    IF(arrears_months=5,12.00,15.00)))))))</f>
        <v/>
      </c>
      <c r="M9362">
        <f>LET(
    seasoning_years,DATEDIF('Loan Tape (S&amp;P)'!K9362,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62">
        <f>IF(AND('Loan Tape (S&amp;P)'!U9362="Yes",
        'Loan Tape (S&amp;P)'!T9362&lt;&gt;"Yes",
        DATEDIF('Loan Tape (S&amp;P)'!K9362, TODAY(), "M")&lt;18),
    1.10,
    1.00)</f>
        <v/>
      </c>
      <c r="O9362">
        <f>IF('Loan Tape (S&amp;P)'!T9362="Yes",
    1.35,
    1.00)</f>
        <v/>
      </c>
      <c r="P9362">
        <f>IF('Loan Tape (S&amp;P)'!S9362="Yes",
    1.15,
    1.00)</f>
        <v/>
      </c>
      <c r="Q9362">
        <f>IF('Loan Tape (S&amp;P)'!V9362="Yes",
    1.20,
    1.00)</f>
        <v/>
      </c>
      <c r="T9362">
        <f>LET(
    payment_method,'Loan Tape (S&amp;P)'!P9362,
    occupancy,'Loan Tape (S&amp;P)'!N9362,
    maturity_date,'Loan Tape (S&amp;P)'!L9362,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63">
      <c r="J9363">
        <f>LET(
    lien,'Loan Tape (S&amp;P)'!Q9363,
    IF(lien="First",1.00,
        IF(lien="Second",1.50,
            1.70)))</f>
        <v/>
      </c>
      <c r="K9363">
        <f>LET(
    purpose,'Loan Tape (S&amp;P)'!R9363,
    IF(purpose="Purchase",1.00,
        IF(purpose="Remortgage",1.00,
            1.20)))</f>
        <v/>
      </c>
      <c r="L9363">
        <f>LET(
    arrears_months,'Loan Tape (S&amp;P)'!AN9363,
    IF(arrears_months=0,1.00,
    IF(arrears_months=1,3.00,
    IF(arrears_months=2,5.00,
    IF(arrears_months=3,8.00,
    IF(arrears_months=4,10.00,
    IF(arrears_months=5,12.00,15.00)))))))</f>
        <v/>
      </c>
      <c r="M9363">
        <f>LET(
    seasoning_years,DATEDIF('Loan Tape (S&amp;P)'!K9363,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63">
        <f>IF(AND('Loan Tape (S&amp;P)'!U9363="Yes",
        'Loan Tape (S&amp;P)'!T9363&lt;&gt;"Yes",
        DATEDIF('Loan Tape (S&amp;P)'!K9363, TODAY(), "M")&lt;18),
    1.10,
    1.00)</f>
        <v/>
      </c>
      <c r="O9363">
        <f>IF('Loan Tape (S&amp;P)'!T9363="Yes",
    1.35,
    1.00)</f>
        <v/>
      </c>
      <c r="P9363">
        <f>IF('Loan Tape (S&amp;P)'!S9363="Yes",
    1.15,
    1.00)</f>
        <v/>
      </c>
      <c r="Q9363">
        <f>IF('Loan Tape (S&amp;P)'!V9363="Yes",
    1.20,
    1.00)</f>
        <v/>
      </c>
      <c r="T9363">
        <f>LET(
    payment_method,'Loan Tape (S&amp;P)'!P9363,
    occupancy,'Loan Tape (S&amp;P)'!N9363,
    maturity_date,'Loan Tape (S&amp;P)'!L9363,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64">
      <c r="J9364">
        <f>LET(
    lien,'Loan Tape (S&amp;P)'!Q9364,
    IF(lien="First",1.00,
        IF(lien="Second",1.50,
            1.70)))</f>
        <v/>
      </c>
      <c r="K9364">
        <f>LET(
    purpose,'Loan Tape (S&amp;P)'!R9364,
    IF(purpose="Purchase",1.00,
        IF(purpose="Remortgage",1.00,
            1.20)))</f>
        <v/>
      </c>
      <c r="L9364">
        <f>LET(
    arrears_months,'Loan Tape (S&amp;P)'!AN9364,
    IF(arrears_months=0,1.00,
    IF(arrears_months=1,3.00,
    IF(arrears_months=2,5.00,
    IF(arrears_months=3,8.00,
    IF(arrears_months=4,10.00,
    IF(arrears_months=5,12.00,15.00)))))))</f>
        <v/>
      </c>
      <c r="M9364">
        <f>LET(
    seasoning_years,DATEDIF('Loan Tape (S&amp;P)'!K9364,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64">
        <f>IF(AND('Loan Tape (S&amp;P)'!U9364="Yes",
        'Loan Tape (S&amp;P)'!T9364&lt;&gt;"Yes",
        DATEDIF('Loan Tape (S&amp;P)'!K9364, TODAY(), "M")&lt;18),
    1.10,
    1.00)</f>
        <v/>
      </c>
      <c r="O9364">
        <f>IF('Loan Tape (S&amp;P)'!T9364="Yes",
    1.35,
    1.00)</f>
        <v/>
      </c>
      <c r="P9364">
        <f>IF('Loan Tape (S&amp;P)'!S9364="Yes",
    1.15,
    1.00)</f>
        <v/>
      </c>
      <c r="Q9364">
        <f>IF('Loan Tape (S&amp;P)'!V9364="Yes",
    1.20,
    1.00)</f>
        <v/>
      </c>
      <c r="T9364">
        <f>LET(
    payment_method,'Loan Tape (S&amp;P)'!P9364,
    occupancy,'Loan Tape (S&amp;P)'!N9364,
    maturity_date,'Loan Tape (S&amp;P)'!L9364,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65">
      <c r="J9365">
        <f>LET(
    lien,'Loan Tape (S&amp;P)'!Q9365,
    IF(lien="First",1.00,
        IF(lien="Second",1.50,
            1.70)))</f>
        <v/>
      </c>
      <c r="K9365">
        <f>LET(
    purpose,'Loan Tape (S&amp;P)'!R9365,
    IF(purpose="Purchase",1.00,
        IF(purpose="Remortgage",1.00,
            1.20)))</f>
        <v/>
      </c>
      <c r="L9365">
        <f>LET(
    arrears_months,'Loan Tape (S&amp;P)'!AN9365,
    IF(arrears_months=0,1.00,
    IF(arrears_months=1,3.00,
    IF(arrears_months=2,5.00,
    IF(arrears_months=3,8.00,
    IF(arrears_months=4,10.00,
    IF(arrears_months=5,12.00,15.00)))))))</f>
        <v/>
      </c>
      <c r="M9365">
        <f>LET(
    seasoning_years,DATEDIF('Loan Tape (S&amp;P)'!K9365,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65">
        <f>IF(AND('Loan Tape (S&amp;P)'!U9365="Yes",
        'Loan Tape (S&amp;P)'!T9365&lt;&gt;"Yes",
        DATEDIF('Loan Tape (S&amp;P)'!K9365, TODAY(), "M")&lt;18),
    1.10,
    1.00)</f>
        <v/>
      </c>
      <c r="O9365">
        <f>IF('Loan Tape (S&amp;P)'!T9365="Yes",
    1.35,
    1.00)</f>
        <v/>
      </c>
      <c r="P9365">
        <f>IF('Loan Tape (S&amp;P)'!S9365="Yes",
    1.15,
    1.00)</f>
        <v/>
      </c>
      <c r="Q9365">
        <f>IF('Loan Tape (S&amp;P)'!V9365="Yes",
    1.20,
    1.00)</f>
        <v/>
      </c>
      <c r="T9365">
        <f>LET(
    payment_method,'Loan Tape (S&amp;P)'!P9365,
    occupancy,'Loan Tape (S&amp;P)'!N9365,
    maturity_date,'Loan Tape (S&amp;P)'!L9365,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66">
      <c r="J9366">
        <f>LET(
    lien,'Loan Tape (S&amp;P)'!Q9366,
    IF(lien="First",1.00,
        IF(lien="Second",1.50,
            1.70)))</f>
        <v/>
      </c>
      <c r="K9366">
        <f>LET(
    purpose,'Loan Tape (S&amp;P)'!R9366,
    IF(purpose="Purchase",1.00,
        IF(purpose="Remortgage",1.00,
            1.20)))</f>
        <v/>
      </c>
      <c r="L9366">
        <f>LET(
    arrears_months,'Loan Tape (S&amp;P)'!AN9366,
    IF(arrears_months=0,1.00,
    IF(arrears_months=1,3.00,
    IF(arrears_months=2,5.00,
    IF(arrears_months=3,8.00,
    IF(arrears_months=4,10.00,
    IF(arrears_months=5,12.00,15.00)))))))</f>
        <v/>
      </c>
      <c r="M9366">
        <f>LET(
    seasoning_years,DATEDIF('Loan Tape (S&amp;P)'!K9366,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66">
        <f>IF(AND('Loan Tape (S&amp;P)'!U9366="Yes",
        'Loan Tape (S&amp;P)'!T9366&lt;&gt;"Yes",
        DATEDIF('Loan Tape (S&amp;P)'!K9366, TODAY(), "M")&lt;18),
    1.10,
    1.00)</f>
        <v/>
      </c>
      <c r="O9366">
        <f>IF('Loan Tape (S&amp;P)'!T9366="Yes",
    1.35,
    1.00)</f>
        <v/>
      </c>
      <c r="P9366">
        <f>IF('Loan Tape (S&amp;P)'!S9366="Yes",
    1.15,
    1.00)</f>
        <v/>
      </c>
      <c r="Q9366">
        <f>IF('Loan Tape (S&amp;P)'!V9366="Yes",
    1.20,
    1.00)</f>
        <v/>
      </c>
      <c r="T9366">
        <f>LET(
    payment_method,'Loan Tape (S&amp;P)'!P9366,
    occupancy,'Loan Tape (S&amp;P)'!N9366,
    maturity_date,'Loan Tape (S&amp;P)'!L9366,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67">
      <c r="J9367">
        <f>LET(
    lien,'Loan Tape (S&amp;P)'!Q9367,
    IF(lien="First",1.00,
        IF(lien="Second",1.50,
            1.70)))</f>
        <v/>
      </c>
      <c r="K9367">
        <f>LET(
    purpose,'Loan Tape (S&amp;P)'!R9367,
    IF(purpose="Purchase",1.00,
        IF(purpose="Remortgage",1.00,
            1.20)))</f>
        <v/>
      </c>
      <c r="L9367">
        <f>LET(
    arrears_months,'Loan Tape (S&amp;P)'!AN9367,
    IF(arrears_months=0,1.00,
    IF(arrears_months=1,3.00,
    IF(arrears_months=2,5.00,
    IF(arrears_months=3,8.00,
    IF(arrears_months=4,10.00,
    IF(arrears_months=5,12.00,15.00)))))))</f>
        <v/>
      </c>
      <c r="M9367">
        <f>LET(
    seasoning_years,DATEDIF('Loan Tape (S&amp;P)'!K9367,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67">
        <f>IF(AND('Loan Tape (S&amp;P)'!U9367="Yes",
        'Loan Tape (S&amp;P)'!T9367&lt;&gt;"Yes",
        DATEDIF('Loan Tape (S&amp;P)'!K9367, TODAY(), "M")&lt;18),
    1.10,
    1.00)</f>
        <v/>
      </c>
      <c r="O9367">
        <f>IF('Loan Tape (S&amp;P)'!T9367="Yes",
    1.35,
    1.00)</f>
        <v/>
      </c>
      <c r="P9367">
        <f>IF('Loan Tape (S&amp;P)'!S9367="Yes",
    1.15,
    1.00)</f>
        <v/>
      </c>
      <c r="Q9367">
        <f>IF('Loan Tape (S&amp;P)'!V9367="Yes",
    1.20,
    1.00)</f>
        <v/>
      </c>
      <c r="T9367">
        <f>LET(
    payment_method,'Loan Tape (S&amp;P)'!P9367,
    occupancy,'Loan Tape (S&amp;P)'!N9367,
    maturity_date,'Loan Tape (S&amp;P)'!L9367,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68">
      <c r="J9368">
        <f>LET(
    lien,'Loan Tape (S&amp;P)'!Q9368,
    IF(lien="First",1.00,
        IF(lien="Second",1.50,
            1.70)))</f>
        <v/>
      </c>
      <c r="K9368">
        <f>LET(
    purpose,'Loan Tape (S&amp;P)'!R9368,
    IF(purpose="Purchase",1.00,
        IF(purpose="Remortgage",1.00,
            1.20)))</f>
        <v/>
      </c>
      <c r="L9368">
        <f>LET(
    arrears_months,'Loan Tape (S&amp;P)'!AN9368,
    IF(arrears_months=0,1.00,
    IF(arrears_months=1,3.00,
    IF(arrears_months=2,5.00,
    IF(arrears_months=3,8.00,
    IF(arrears_months=4,10.00,
    IF(arrears_months=5,12.00,15.00)))))))</f>
        <v/>
      </c>
      <c r="M9368">
        <f>LET(
    seasoning_years,DATEDIF('Loan Tape (S&amp;P)'!K9368,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68">
        <f>IF(AND('Loan Tape (S&amp;P)'!U9368="Yes",
        'Loan Tape (S&amp;P)'!T9368&lt;&gt;"Yes",
        DATEDIF('Loan Tape (S&amp;P)'!K9368, TODAY(), "M")&lt;18),
    1.10,
    1.00)</f>
        <v/>
      </c>
      <c r="O9368">
        <f>IF('Loan Tape (S&amp;P)'!T9368="Yes",
    1.35,
    1.00)</f>
        <v/>
      </c>
      <c r="P9368">
        <f>IF('Loan Tape (S&amp;P)'!S9368="Yes",
    1.15,
    1.00)</f>
        <v/>
      </c>
      <c r="Q9368">
        <f>IF('Loan Tape (S&amp;P)'!V9368="Yes",
    1.20,
    1.00)</f>
        <v/>
      </c>
      <c r="T9368">
        <f>LET(
    payment_method,'Loan Tape (S&amp;P)'!P9368,
    occupancy,'Loan Tape (S&amp;P)'!N9368,
    maturity_date,'Loan Tape (S&amp;P)'!L9368,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69">
      <c r="J9369">
        <f>LET(
    lien,'Loan Tape (S&amp;P)'!Q9369,
    IF(lien="First",1.00,
        IF(lien="Second",1.50,
            1.70)))</f>
        <v/>
      </c>
      <c r="K9369">
        <f>LET(
    purpose,'Loan Tape (S&amp;P)'!R9369,
    IF(purpose="Purchase",1.00,
        IF(purpose="Remortgage",1.00,
            1.20)))</f>
        <v/>
      </c>
      <c r="L9369">
        <f>LET(
    arrears_months,'Loan Tape (S&amp;P)'!AN9369,
    IF(arrears_months=0,1.00,
    IF(arrears_months=1,3.00,
    IF(arrears_months=2,5.00,
    IF(arrears_months=3,8.00,
    IF(arrears_months=4,10.00,
    IF(arrears_months=5,12.00,15.00)))))))</f>
        <v/>
      </c>
      <c r="M9369">
        <f>LET(
    seasoning_years,DATEDIF('Loan Tape (S&amp;P)'!K9369,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69">
        <f>IF(AND('Loan Tape (S&amp;P)'!U9369="Yes",
        'Loan Tape (S&amp;P)'!T9369&lt;&gt;"Yes",
        DATEDIF('Loan Tape (S&amp;P)'!K9369, TODAY(), "M")&lt;18),
    1.10,
    1.00)</f>
        <v/>
      </c>
      <c r="O9369">
        <f>IF('Loan Tape (S&amp;P)'!T9369="Yes",
    1.35,
    1.00)</f>
        <v/>
      </c>
      <c r="P9369">
        <f>IF('Loan Tape (S&amp;P)'!S9369="Yes",
    1.15,
    1.00)</f>
        <v/>
      </c>
      <c r="Q9369">
        <f>IF('Loan Tape (S&amp;P)'!V9369="Yes",
    1.20,
    1.00)</f>
        <v/>
      </c>
      <c r="T9369">
        <f>LET(
    payment_method,'Loan Tape (S&amp;P)'!P9369,
    occupancy,'Loan Tape (S&amp;P)'!N9369,
    maturity_date,'Loan Tape (S&amp;P)'!L9369,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70">
      <c r="J9370">
        <f>LET(
    lien,'Loan Tape (S&amp;P)'!Q9370,
    IF(lien="First",1.00,
        IF(lien="Second",1.50,
            1.70)))</f>
        <v/>
      </c>
      <c r="K9370">
        <f>LET(
    purpose,'Loan Tape (S&amp;P)'!R9370,
    IF(purpose="Purchase",1.00,
        IF(purpose="Remortgage",1.00,
            1.20)))</f>
        <v/>
      </c>
      <c r="L9370">
        <f>LET(
    arrears_months,'Loan Tape (S&amp;P)'!AN9370,
    IF(arrears_months=0,1.00,
    IF(arrears_months=1,3.00,
    IF(arrears_months=2,5.00,
    IF(arrears_months=3,8.00,
    IF(arrears_months=4,10.00,
    IF(arrears_months=5,12.00,15.00)))))))</f>
        <v/>
      </c>
      <c r="M9370">
        <f>LET(
    seasoning_years,DATEDIF('Loan Tape (S&amp;P)'!K9370,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70">
        <f>IF(AND('Loan Tape (S&amp;P)'!U9370="Yes",
        'Loan Tape (S&amp;P)'!T9370&lt;&gt;"Yes",
        DATEDIF('Loan Tape (S&amp;P)'!K9370, TODAY(), "M")&lt;18),
    1.10,
    1.00)</f>
        <v/>
      </c>
      <c r="O9370">
        <f>IF('Loan Tape (S&amp;P)'!T9370="Yes",
    1.35,
    1.00)</f>
        <v/>
      </c>
      <c r="P9370">
        <f>IF('Loan Tape (S&amp;P)'!S9370="Yes",
    1.15,
    1.00)</f>
        <v/>
      </c>
      <c r="Q9370">
        <f>IF('Loan Tape (S&amp;P)'!V9370="Yes",
    1.20,
    1.00)</f>
        <v/>
      </c>
      <c r="T9370">
        <f>LET(
    payment_method,'Loan Tape (S&amp;P)'!P9370,
    occupancy,'Loan Tape (S&amp;P)'!N9370,
    maturity_date,'Loan Tape (S&amp;P)'!L9370,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71">
      <c r="J9371">
        <f>LET(
    lien,'Loan Tape (S&amp;P)'!Q9371,
    IF(lien="First",1.00,
        IF(lien="Second",1.50,
            1.70)))</f>
        <v/>
      </c>
      <c r="K9371">
        <f>LET(
    purpose,'Loan Tape (S&amp;P)'!R9371,
    IF(purpose="Purchase",1.00,
        IF(purpose="Remortgage",1.00,
            1.20)))</f>
        <v/>
      </c>
      <c r="L9371">
        <f>LET(
    arrears_months,'Loan Tape (S&amp;P)'!AN9371,
    IF(arrears_months=0,1.00,
    IF(arrears_months=1,3.00,
    IF(arrears_months=2,5.00,
    IF(arrears_months=3,8.00,
    IF(arrears_months=4,10.00,
    IF(arrears_months=5,12.00,15.00)))))))</f>
        <v/>
      </c>
      <c r="M9371">
        <f>LET(
    seasoning_years,DATEDIF('Loan Tape (S&amp;P)'!K9371,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71">
        <f>IF(AND('Loan Tape (S&amp;P)'!U9371="Yes",
        'Loan Tape (S&amp;P)'!T9371&lt;&gt;"Yes",
        DATEDIF('Loan Tape (S&amp;P)'!K9371, TODAY(), "M")&lt;18),
    1.10,
    1.00)</f>
        <v/>
      </c>
      <c r="O9371">
        <f>IF('Loan Tape (S&amp;P)'!T9371="Yes",
    1.35,
    1.00)</f>
        <v/>
      </c>
      <c r="P9371">
        <f>IF('Loan Tape (S&amp;P)'!S9371="Yes",
    1.15,
    1.00)</f>
        <v/>
      </c>
      <c r="Q9371">
        <f>IF('Loan Tape (S&amp;P)'!V9371="Yes",
    1.20,
    1.00)</f>
        <v/>
      </c>
      <c r="T9371">
        <f>LET(
    payment_method,'Loan Tape (S&amp;P)'!P9371,
    occupancy,'Loan Tape (S&amp;P)'!N9371,
    maturity_date,'Loan Tape (S&amp;P)'!L9371,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72">
      <c r="J9372">
        <f>LET(
    lien,'Loan Tape (S&amp;P)'!Q9372,
    IF(lien="First",1.00,
        IF(lien="Second",1.50,
            1.70)))</f>
        <v/>
      </c>
      <c r="K9372">
        <f>LET(
    purpose,'Loan Tape (S&amp;P)'!R9372,
    IF(purpose="Purchase",1.00,
        IF(purpose="Remortgage",1.00,
            1.20)))</f>
        <v/>
      </c>
      <c r="L9372">
        <f>LET(
    arrears_months,'Loan Tape (S&amp;P)'!AN9372,
    IF(arrears_months=0,1.00,
    IF(arrears_months=1,3.00,
    IF(arrears_months=2,5.00,
    IF(arrears_months=3,8.00,
    IF(arrears_months=4,10.00,
    IF(arrears_months=5,12.00,15.00)))))))</f>
        <v/>
      </c>
      <c r="M9372">
        <f>LET(
    seasoning_years,DATEDIF('Loan Tape (S&amp;P)'!K9372,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72">
        <f>IF(AND('Loan Tape (S&amp;P)'!U9372="Yes",
        'Loan Tape (S&amp;P)'!T9372&lt;&gt;"Yes",
        DATEDIF('Loan Tape (S&amp;P)'!K9372, TODAY(), "M")&lt;18),
    1.10,
    1.00)</f>
        <v/>
      </c>
      <c r="O9372">
        <f>IF('Loan Tape (S&amp;P)'!T9372="Yes",
    1.35,
    1.00)</f>
        <v/>
      </c>
      <c r="P9372">
        <f>IF('Loan Tape (S&amp;P)'!S9372="Yes",
    1.15,
    1.00)</f>
        <v/>
      </c>
      <c r="Q9372">
        <f>IF('Loan Tape (S&amp;P)'!V9372="Yes",
    1.20,
    1.00)</f>
        <v/>
      </c>
      <c r="T9372">
        <f>LET(
    payment_method,'Loan Tape (S&amp;P)'!P9372,
    occupancy,'Loan Tape (S&amp;P)'!N9372,
    maturity_date,'Loan Tape (S&amp;P)'!L9372,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73">
      <c r="J9373">
        <f>LET(
    lien,'Loan Tape (S&amp;P)'!Q9373,
    IF(lien="First",1.00,
        IF(lien="Second",1.50,
            1.70)))</f>
        <v/>
      </c>
      <c r="K9373">
        <f>LET(
    purpose,'Loan Tape (S&amp;P)'!R9373,
    IF(purpose="Purchase",1.00,
        IF(purpose="Remortgage",1.00,
            1.20)))</f>
        <v/>
      </c>
      <c r="L9373">
        <f>LET(
    arrears_months,'Loan Tape (S&amp;P)'!AN9373,
    IF(arrears_months=0,1.00,
    IF(arrears_months=1,3.00,
    IF(arrears_months=2,5.00,
    IF(arrears_months=3,8.00,
    IF(arrears_months=4,10.00,
    IF(arrears_months=5,12.00,15.00)))))))</f>
        <v/>
      </c>
      <c r="M9373">
        <f>LET(
    seasoning_years,DATEDIF('Loan Tape (S&amp;P)'!K9373,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73">
        <f>IF(AND('Loan Tape (S&amp;P)'!U9373="Yes",
        'Loan Tape (S&amp;P)'!T9373&lt;&gt;"Yes",
        DATEDIF('Loan Tape (S&amp;P)'!K9373, TODAY(), "M")&lt;18),
    1.10,
    1.00)</f>
        <v/>
      </c>
      <c r="O9373">
        <f>IF('Loan Tape (S&amp;P)'!T9373="Yes",
    1.35,
    1.00)</f>
        <v/>
      </c>
      <c r="P9373">
        <f>IF('Loan Tape (S&amp;P)'!S9373="Yes",
    1.15,
    1.00)</f>
        <v/>
      </c>
      <c r="Q9373">
        <f>IF('Loan Tape (S&amp;P)'!V9373="Yes",
    1.20,
    1.00)</f>
        <v/>
      </c>
      <c r="T9373">
        <f>LET(
    payment_method,'Loan Tape (S&amp;P)'!P9373,
    occupancy,'Loan Tape (S&amp;P)'!N9373,
    maturity_date,'Loan Tape (S&amp;P)'!L9373,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74">
      <c r="J9374">
        <f>LET(
    lien,'Loan Tape (S&amp;P)'!Q9374,
    IF(lien="First",1.00,
        IF(lien="Second",1.50,
            1.70)))</f>
        <v/>
      </c>
      <c r="K9374">
        <f>LET(
    purpose,'Loan Tape (S&amp;P)'!R9374,
    IF(purpose="Purchase",1.00,
        IF(purpose="Remortgage",1.00,
            1.20)))</f>
        <v/>
      </c>
      <c r="L9374">
        <f>LET(
    arrears_months,'Loan Tape (S&amp;P)'!AN9374,
    IF(arrears_months=0,1.00,
    IF(arrears_months=1,3.00,
    IF(arrears_months=2,5.00,
    IF(arrears_months=3,8.00,
    IF(arrears_months=4,10.00,
    IF(arrears_months=5,12.00,15.00)))))))</f>
        <v/>
      </c>
      <c r="M9374">
        <f>LET(
    seasoning_years,DATEDIF('Loan Tape (S&amp;P)'!K9374,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74">
        <f>IF(AND('Loan Tape (S&amp;P)'!U9374="Yes",
        'Loan Tape (S&amp;P)'!T9374&lt;&gt;"Yes",
        DATEDIF('Loan Tape (S&amp;P)'!K9374, TODAY(), "M")&lt;18),
    1.10,
    1.00)</f>
        <v/>
      </c>
      <c r="O9374">
        <f>IF('Loan Tape (S&amp;P)'!T9374="Yes",
    1.35,
    1.00)</f>
        <v/>
      </c>
      <c r="P9374">
        <f>IF('Loan Tape (S&amp;P)'!S9374="Yes",
    1.15,
    1.00)</f>
        <v/>
      </c>
      <c r="Q9374">
        <f>IF('Loan Tape (S&amp;P)'!V9374="Yes",
    1.20,
    1.00)</f>
        <v/>
      </c>
      <c r="T9374">
        <f>LET(
    payment_method,'Loan Tape (S&amp;P)'!P9374,
    occupancy,'Loan Tape (S&amp;P)'!N9374,
    maturity_date,'Loan Tape (S&amp;P)'!L9374,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75">
      <c r="J9375">
        <f>LET(
    lien,'Loan Tape (S&amp;P)'!Q9375,
    IF(lien="First",1.00,
        IF(lien="Second",1.50,
            1.70)))</f>
        <v/>
      </c>
      <c r="K9375">
        <f>LET(
    purpose,'Loan Tape (S&amp;P)'!R9375,
    IF(purpose="Purchase",1.00,
        IF(purpose="Remortgage",1.00,
            1.20)))</f>
        <v/>
      </c>
      <c r="L9375">
        <f>LET(
    arrears_months,'Loan Tape (S&amp;P)'!AN9375,
    IF(arrears_months=0,1.00,
    IF(arrears_months=1,3.00,
    IF(arrears_months=2,5.00,
    IF(arrears_months=3,8.00,
    IF(arrears_months=4,10.00,
    IF(arrears_months=5,12.00,15.00)))))))</f>
        <v/>
      </c>
      <c r="M9375">
        <f>LET(
    seasoning_years,DATEDIF('Loan Tape (S&amp;P)'!K9375,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75">
        <f>IF(AND('Loan Tape (S&amp;P)'!U9375="Yes",
        'Loan Tape (S&amp;P)'!T9375&lt;&gt;"Yes",
        DATEDIF('Loan Tape (S&amp;P)'!K9375, TODAY(), "M")&lt;18),
    1.10,
    1.00)</f>
        <v/>
      </c>
      <c r="O9375">
        <f>IF('Loan Tape (S&amp;P)'!T9375="Yes",
    1.35,
    1.00)</f>
        <v/>
      </c>
      <c r="P9375">
        <f>IF('Loan Tape (S&amp;P)'!S9375="Yes",
    1.15,
    1.00)</f>
        <v/>
      </c>
      <c r="Q9375">
        <f>IF('Loan Tape (S&amp;P)'!V9375="Yes",
    1.20,
    1.00)</f>
        <v/>
      </c>
      <c r="T9375">
        <f>LET(
    payment_method,'Loan Tape (S&amp;P)'!P9375,
    occupancy,'Loan Tape (S&amp;P)'!N9375,
    maturity_date,'Loan Tape (S&amp;P)'!L9375,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76">
      <c r="J9376">
        <f>LET(
    lien,'Loan Tape (S&amp;P)'!Q9376,
    IF(lien="First",1.00,
        IF(lien="Second",1.50,
            1.70)))</f>
        <v/>
      </c>
      <c r="K9376">
        <f>LET(
    purpose,'Loan Tape (S&amp;P)'!R9376,
    IF(purpose="Purchase",1.00,
        IF(purpose="Remortgage",1.00,
            1.20)))</f>
        <v/>
      </c>
      <c r="L9376">
        <f>LET(
    arrears_months,'Loan Tape (S&amp;P)'!AN9376,
    IF(arrears_months=0,1.00,
    IF(arrears_months=1,3.00,
    IF(arrears_months=2,5.00,
    IF(arrears_months=3,8.00,
    IF(arrears_months=4,10.00,
    IF(arrears_months=5,12.00,15.00)))))))</f>
        <v/>
      </c>
      <c r="M9376">
        <f>LET(
    seasoning_years,DATEDIF('Loan Tape (S&amp;P)'!K9376,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76">
        <f>IF(AND('Loan Tape (S&amp;P)'!U9376="Yes",
        'Loan Tape (S&amp;P)'!T9376&lt;&gt;"Yes",
        DATEDIF('Loan Tape (S&amp;P)'!K9376, TODAY(), "M")&lt;18),
    1.10,
    1.00)</f>
        <v/>
      </c>
      <c r="O9376">
        <f>IF('Loan Tape (S&amp;P)'!T9376="Yes",
    1.35,
    1.00)</f>
        <v/>
      </c>
      <c r="P9376">
        <f>IF('Loan Tape (S&amp;P)'!S9376="Yes",
    1.15,
    1.00)</f>
        <v/>
      </c>
      <c r="Q9376">
        <f>IF('Loan Tape (S&amp;P)'!V9376="Yes",
    1.20,
    1.00)</f>
        <v/>
      </c>
      <c r="T9376">
        <f>LET(
    payment_method,'Loan Tape (S&amp;P)'!P9376,
    occupancy,'Loan Tape (S&amp;P)'!N9376,
    maturity_date,'Loan Tape (S&amp;P)'!L9376,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77">
      <c r="J9377">
        <f>LET(
    lien,'Loan Tape (S&amp;P)'!Q9377,
    IF(lien="First",1.00,
        IF(lien="Second",1.50,
            1.70)))</f>
        <v/>
      </c>
      <c r="K9377">
        <f>LET(
    purpose,'Loan Tape (S&amp;P)'!R9377,
    IF(purpose="Purchase",1.00,
        IF(purpose="Remortgage",1.00,
            1.20)))</f>
        <v/>
      </c>
      <c r="L9377">
        <f>LET(
    arrears_months,'Loan Tape (S&amp;P)'!AN9377,
    IF(arrears_months=0,1.00,
    IF(arrears_months=1,3.00,
    IF(arrears_months=2,5.00,
    IF(arrears_months=3,8.00,
    IF(arrears_months=4,10.00,
    IF(arrears_months=5,12.00,15.00)))))))</f>
        <v/>
      </c>
      <c r="M9377">
        <f>LET(
    seasoning_years,DATEDIF('Loan Tape (S&amp;P)'!K9377,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77">
        <f>IF(AND('Loan Tape (S&amp;P)'!U9377="Yes",
        'Loan Tape (S&amp;P)'!T9377&lt;&gt;"Yes",
        DATEDIF('Loan Tape (S&amp;P)'!K9377, TODAY(), "M")&lt;18),
    1.10,
    1.00)</f>
        <v/>
      </c>
      <c r="O9377">
        <f>IF('Loan Tape (S&amp;P)'!T9377="Yes",
    1.35,
    1.00)</f>
        <v/>
      </c>
      <c r="P9377">
        <f>IF('Loan Tape (S&amp;P)'!S9377="Yes",
    1.15,
    1.00)</f>
        <v/>
      </c>
      <c r="Q9377">
        <f>IF('Loan Tape (S&amp;P)'!V9377="Yes",
    1.20,
    1.00)</f>
        <v/>
      </c>
      <c r="T9377">
        <f>LET(
    payment_method,'Loan Tape (S&amp;P)'!P9377,
    occupancy,'Loan Tape (S&amp;P)'!N9377,
    maturity_date,'Loan Tape (S&amp;P)'!L9377,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78">
      <c r="J9378">
        <f>LET(
    lien,'Loan Tape (S&amp;P)'!Q9378,
    IF(lien="First",1.00,
        IF(lien="Second",1.50,
            1.70)))</f>
        <v/>
      </c>
      <c r="K9378">
        <f>LET(
    purpose,'Loan Tape (S&amp;P)'!R9378,
    IF(purpose="Purchase",1.00,
        IF(purpose="Remortgage",1.00,
            1.20)))</f>
        <v/>
      </c>
      <c r="L9378">
        <f>LET(
    arrears_months,'Loan Tape (S&amp;P)'!AN9378,
    IF(arrears_months=0,1.00,
    IF(arrears_months=1,3.00,
    IF(arrears_months=2,5.00,
    IF(arrears_months=3,8.00,
    IF(arrears_months=4,10.00,
    IF(arrears_months=5,12.00,15.00)))))))</f>
        <v/>
      </c>
      <c r="M9378">
        <f>LET(
    seasoning_years,DATEDIF('Loan Tape (S&amp;P)'!K9378,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78">
        <f>IF(AND('Loan Tape (S&amp;P)'!U9378="Yes",
        'Loan Tape (S&amp;P)'!T9378&lt;&gt;"Yes",
        DATEDIF('Loan Tape (S&amp;P)'!K9378, TODAY(), "M")&lt;18),
    1.10,
    1.00)</f>
        <v/>
      </c>
      <c r="O9378">
        <f>IF('Loan Tape (S&amp;P)'!T9378="Yes",
    1.35,
    1.00)</f>
        <v/>
      </c>
      <c r="P9378">
        <f>IF('Loan Tape (S&amp;P)'!S9378="Yes",
    1.15,
    1.00)</f>
        <v/>
      </c>
      <c r="Q9378">
        <f>IF('Loan Tape (S&amp;P)'!V9378="Yes",
    1.20,
    1.00)</f>
        <v/>
      </c>
      <c r="T9378">
        <f>LET(
    payment_method,'Loan Tape (S&amp;P)'!P9378,
    occupancy,'Loan Tape (S&amp;P)'!N9378,
    maturity_date,'Loan Tape (S&amp;P)'!L9378,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79">
      <c r="J9379">
        <f>LET(
    lien,'Loan Tape (S&amp;P)'!Q9379,
    IF(lien="First",1.00,
        IF(lien="Second",1.50,
            1.70)))</f>
        <v/>
      </c>
      <c r="K9379">
        <f>LET(
    purpose,'Loan Tape (S&amp;P)'!R9379,
    IF(purpose="Purchase",1.00,
        IF(purpose="Remortgage",1.00,
            1.20)))</f>
        <v/>
      </c>
      <c r="L9379">
        <f>LET(
    arrears_months,'Loan Tape (S&amp;P)'!AN9379,
    IF(arrears_months=0,1.00,
    IF(arrears_months=1,3.00,
    IF(arrears_months=2,5.00,
    IF(arrears_months=3,8.00,
    IF(arrears_months=4,10.00,
    IF(arrears_months=5,12.00,15.00)))))))</f>
        <v/>
      </c>
      <c r="M9379">
        <f>LET(
    seasoning_years,DATEDIF('Loan Tape (S&amp;P)'!K9379,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79">
        <f>IF(AND('Loan Tape (S&amp;P)'!U9379="Yes",
        'Loan Tape (S&amp;P)'!T9379&lt;&gt;"Yes",
        DATEDIF('Loan Tape (S&amp;P)'!K9379, TODAY(), "M")&lt;18),
    1.10,
    1.00)</f>
        <v/>
      </c>
      <c r="O9379">
        <f>IF('Loan Tape (S&amp;P)'!T9379="Yes",
    1.35,
    1.00)</f>
        <v/>
      </c>
      <c r="P9379">
        <f>IF('Loan Tape (S&amp;P)'!S9379="Yes",
    1.15,
    1.00)</f>
        <v/>
      </c>
      <c r="Q9379">
        <f>IF('Loan Tape (S&amp;P)'!V9379="Yes",
    1.20,
    1.00)</f>
        <v/>
      </c>
      <c r="T9379">
        <f>LET(
    payment_method,'Loan Tape (S&amp;P)'!P9379,
    occupancy,'Loan Tape (S&amp;P)'!N9379,
    maturity_date,'Loan Tape (S&amp;P)'!L9379,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80">
      <c r="J9380">
        <f>LET(
    lien,'Loan Tape (S&amp;P)'!Q9380,
    IF(lien="First",1.00,
        IF(lien="Second",1.50,
            1.70)))</f>
        <v/>
      </c>
      <c r="K9380">
        <f>LET(
    purpose,'Loan Tape (S&amp;P)'!R9380,
    IF(purpose="Purchase",1.00,
        IF(purpose="Remortgage",1.00,
            1.20)))</f>
        <v/>
      </c>
      <c r="L9380">
        <f>LET(
    arrears_months,'Loan Tape (S&amp;P)'!AN9380,
    IF(arrears_months=0,1.00,
    IF(arrears_months=1,3.00,
    IF(arrears_months=2,5.00,
    IF(arrears_months=3,8.00,
    IF(arrears_months=4,10.00,
    IF(arrears_months=5,12.00,15.00)))))))</f>
        <v/>
      </c>
      <c r="M9380">
        <f>LET(
    seasoning_years,DATEDIF('Loan Tape (S&amp;P)'!K9380,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80">
        <f>IF(AND('Loan Tape (S&amp;P)'!U9380="Yes",
        'Loan Tape (S&amp;P)'!T9380&lt;&gt;"Yes",
        DATEDIF('Loan Tape (S&amp;P)'!K9380, TODAY(), "M")&lt;18),
    1.10,
    1.00)</f>
        <v/>
      </c>
      <c r="O9380">
        <f>IF('Loan Tape (S&amp;P)'!T9380="Yes",
    1.35,
    1.00)</f>
        <v/>
      </c>
      <c r="P9380">
        <f>IF('Loan Tape (S&amp;P)'!S9380="Yes",
    1.15,
    1.00)</f>
        <v/>
      </c>
      <c r="Q9380">
        <f>IF('Loan Tape (S&amp;P)'!V9380="Yes",
    1.20,
    1.00)</f>
        <v/>
      </c>
      <c r="T9380">
        <f>LET(
    payment_method,'Loan Tape (S&amp;P)'!P9380,
    occupancy,'Loan Tape (S&amp;P)'!N9380,
    maturity_date,'Loan Tape (S&amp;P)'!L9380,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81">
      <c r="J9381">
        <f>LET(
    lien,'Loan Tape (S&amp;P)'!Q9381,
    IF(lien="First",1.00,
        IF(lien="Second",1.50,
            1.70)))</f>
        <v/>
      </c>
      <c r="K9381">
        <f>LET(
    purpose,'Loan Tape (S&amp;P)'!R9381,
    IF(purpose="Purchase",1.00,
        IF(purpose="Remortgage",1.00,
            1.20)))</f>
        <v/>
      </c>
      <c r="L9381">
        <f>LET(
    arrears_months,'Loan Tape (S&amp;P)'!AN9381,
    IF(arrears_months=0,1.00,
    IF(arrears_months=1,3.00,
    IF(arrears_months=2,5.00,
    IF(arrears_months=3,8.00,
    IF(arrears_months=4,10.00,
    IF(arrears_months=5,12.00,15.00)))))))</f>
        <v/>
      </c>
      <c r="M9381">
        <f>LET(
    seasoning_years,DATEDIF('Loan Tape (S&amp;P)'!K9381,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81">
        <f>IF(AND('Loan Tape (S&amp;P)'!U9381="Yes",
        'Loan Tape (S&amp;P)'!T9381&lt;&gt;"Yes",
        DATEDIF('Loan Tape (S&amp;P)'!K9381, TODAY(), "M")&lt;18),
    1.10,
    1.00)</f>
        <v/>
      </c>
      <c r="O9381">
        <f>IF('Loan Tape (S&amp;P)'!T9381="Yes",
    1.35,
    1.00)</f>
        <v/>
      </c>
      <c r="P9381">
        <f>IF('Loan Tape (S&amp;P)'!S9381="Yes",
    1.15,
    1.00)</f>
        <v/>
      </c>
      <c r="Q9381">
        <f>IF('Loan Tape (S&amp;P)'!V9381="Yes",
    1.20,
    1.00)</f>
        <v/>
      </c>
      <c r="T9381">
        <f>LET(
    payment_method,'Loan Tape (S&amp;P)'!P9381,
    occupancy,'Loan Tape (S&amp;P)'!N9381,
    maturity_date,'Loan Tape (S&amp;P)'!L9381,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82">
      <c r="J9382">
        <f>LET(
    lien,'Loan Tape (S&amp;P)'!Q9382,
    IF(lien="First",1.00,
        IF(lien="Second",1.50,
            1.70)))</f>
        <v/>
      </c>
      <c r="K9382">
        <f>LET(
    purpose,'Loan Tape (S&amp;P)'!R9382,
    IF(purpose="Purchase",1.00,
        IF(purpose="Remortgage",1.00,
            1.20)))</f>
        <v/>
      </c>
      <c r="L9382">
        <f>LET(
    arrears_months,'Loan Tape (S&amp;P)'!AN9382,
    IF(arrears_months=0,1.00,
    IF(arrears_months=1,3.00,
    IF(arrears_months=2,5.00,
    IF(arrears_months=3,8.00,
    IF(arrears_months=4,10.00,
    IF(arrears_months=5,12.00,15.00)))))))</f>
        <v/>
      </c>
      <c r="M9382">
        <f>LET(
    seasoning_years,DATEDIF('Loan Tape (S&amp;P)'!K9382,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82">
        <f>IF(AND('Loan Tape (S&amp;P)'!U9382="Yes",
        'Loan Tape (S&amp;P)'!T9382&lt;&gt;"Yes",
        DATEDIF('Loan Tape (S&amp;P)'!K9382, TODAY(), "M")&lt;18),
    1.10,
    1.00)</f>
        <v/>
      </c>
      <c r="O9382">
        <f>IF('Loan Tape (S&amp;P)'!T9382="Yes",
    1.35,
    1.00)</f>
        <v/>
      </c>
      <c r="P9382">
        <f>IF('Loan Tape (S&amp;P)'!S9382="Yes",
    1.15,
    1.00)</f>
        <v/>
      </c>
      <c r="Q9382">
        <f>IF('Loan Tape (S&amp;P)'!V9382="Yes",
    1.20,
    1.00)</f>
        <v/>
      </c>
      <c r="T9382">
        <f>LET(
    payment_method,'Loan Tape (S&amp;P)'!P9382,
    occupancy,'Loan Tape (S&amp;P)'!N9382,
    maturity_date,'Loan Tape (S&amp;P)'!L9382,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83">
      <c r="J9383">
        <f>LET(
    lien,'Loan Tape (S&amp;P)'!Q9383,
    IF(lien="First",1.00,
        IF(lien="Second",1.50,
            1.70)))</f>
        <v/>
      </c>
      <c r="K9383">
        <f>LET(
    purpose,'Loan Tape (S&amp;P)'!R9383,
    IF(purpose="Purchase",1.00,
        IF(purpose="Remortgage",1.00,
            1.20)))</f>
        <v/>
      </c>
      <c r="L9383">
        <f>LET(
    arrears_months,'Loan Tape (S&amp;P)'!AN9383,
    IF(arrears_months=0,1.00,
    IF(arrears_months=1,3.00,
    IF(arrears_months=2,5.00,
    IF(arrears_months=3,8.00,
    IF(arrears_months=4,10.00,
    IF(arrears_months=5,12.00,15.00)))))))</f>
        <v/>
      </c>
      <c r="M9383">
        <f>LET(
    seasoning_years,DATEDIF('Loan Tape (S&amp;P)'!K9383,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83">
        <f>IF(AND('Loan Tape (S&amp;P)'!U9383="Yes",
        'Loan Tape (S&amp;P)'!T9383&lt;&gt;"Yes",
        DATEDIF('Loan Tape (S&amp;P)'!K9383, TODAY(), "M")&lt;18),
    1.10,
    1.00)</f>
        <v/>
      </c>
      <c r="O9383">
        <f>IF('Loan Tape (S&amp;P)'!T9383="Yes",
    1.35,
    1.00)</f>
        <v/>
      </c>
      <c r="P9383">
        <f>IF('Loan Tape (S&amp;P)'!S9383="Yes",
    1.15,
    1.00)</f>
        <v/>
      </c>
      <c r="Q9383">
        <f>IF('Loan Tape (S&amp;P)'!V9383="Yes",
    1.20,
    1.00)</f>
        <v/>
      </c>
      <c r="T9383">
        <f>LET(
    payment_method,'Loan Tape (S&amp;P)'!P9383,
    occupancy,'Loan Tape (S&amp;P)'!N9383,
    maturity_date,'Loan Tape (S&amp;P)'!L9383,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84">
      <c r="J9384">
        <f>LET(
    lien,'Loan Tape (S&amp;P)'!Q9384,
    IF(lien="First",1.00,
        IF(lien="Second",1.50,
            1.70)))</f>
        <v/>
      </c>
      <c r="K9384">
        <f>LET(
    purpose,'Loan Tape (S&amp;P)'!R9384,
    IF(purpose="Purchase",1.00,
        IF(purpose="Remortgage",1.00,
            1.20)))</f>
        <v/>
      </c>
      <c r="L9384">
        <f>LET(
    arrears_months,'Loan Tape (S&amp;P)'!AN9384,
    IF(arrears_months=0,1.00,
    IF(arrears_months=1,3.00,
    IF(arrears_months=2,5.00,
    IF(arrears_months=3,8.00,
    IF(arrears_months=4,10.00,
    IF(arrears_months=5,12.00,15.00)))))))</f>
        <v/>
      </c>
      <c r="M9384">
        <f>LET(
    seasoning_years,DATEDIF('Loan Tape (S&amp;P)'!K9384,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84">
        <f>IF(AND('Loan Tape (S&amp;P)'!U9384="Yes",
        'Loan Tape (S&amp;P)'!T9384&lt;&gt;"Yes",
        DATEDIF('Loan Tape (S&amp;P)'!K9384, TODAY(), "M")&lt;18),
    1.10,
    1.00)</f>
        <v/>
      </c>
      <c r="O9384">
        <f>IF('Loan Tape (S&amp;P)'!T9384="Yes",
    1.35,
    1.00)</f>
        <v/>
      </c>
      <c r="P9384">
        <f>IF('Loan Tape (S&amp;P)'!S9384="Yes",
    1.15,
    1.00)</f>
        <v/>
      </c>
      <c r="Q9384">
        <f>IF('Loan Tape (S&amp;P)'!V9384="Yes",
    1.20,
    1.00)</f>
        <v/>
      </c>
      <c r="T9384">
        <f>LET(
    payment_method,'Loan Tape (S&amp;P)'!P9384,
    occupancy,'Loan Tape (S&amp;P)'!N9384,
    maturity_date,'Loan Tape (S&amp;P)'!L9384,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85">
      <c r="J9385">
        <f>LET(
    lien,'Loan Tape (S&amp;P)'!Q9385,
    IF(lien="First",1.00,
        IF(lien="Second",1.50,
            1.70)))</f>
        <v/>
      </c>
      <c r="K9385">
        <f>LET(
    purpose,'Loan Tape (S&amp;P)'!R9385,
    IF(purpose="Purchase",1.00,
        IF(purpose="Remortgage",1.00,
            1.20)))</f>
        <v/>
      </c>
      <c r="L9385">
        <f>LET(
    arrears_months,'Loan Tape (S&amp;P)'!AN9385,
    IF(arrears_months=0,1.00,
    IF(arrears_months=1,3.00,
    IF(arrears_months=2,5.00,
    IF(arrears_months=3,8.00,
    IF(arrears_months=4,10.00,
    IF(arrears_months=5,12.00,15.00)))))))</f>
        <v/>
      </c>
      <c r="M9385">
        <f>LET(
    seasoning_years,DATEDIF('Loan Tape (S&amp;P)'!K9385,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85">
        <f>IF(AND('Loan Tape (S&amp;P)'!U9385="Yes",
        'Loan Tape (S&amp;P)'!T9385&lt;&gt;"Yes",
        DATEDIF('Loan Tape (S&amp;P)'!K9385, TODAY(), "M")&lt;18),
    1.10,
    1.00)</f>
        <v/>
      </c>
      <c r="O9385">
        <f>IF('Loan Tape (S&amp;P)'!T9385="Yes",
    1.35,
    1.00)</f>
        <v/>
      </c>
      <c r="P9385">
        <f>IF('Loan Tape (S&amp;P)'!S9385="Yes",
    1.15,
    1.00)</f>
        <v/>
      </c>
      <c r="Q9385">
        <f>IF('Loan Tape (S&amp;P)'!V9385="Yes",
    1.20,
    1.00)</f>
        <v/>
      </c>
      <c r="T9385">
        <f>LET(
    payment_method,'Loan Tape (S&amp;P)'!P9385,
    occupancy,'Loan Tape (S&amp;P)'!N9385,
    maturity_date,'Loan Tape (S&amp;P)'!L9385,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86">
      <c r="J9386">
        <f>LET(
    lien,'Loan Tape (S&amp;P)'!Q9386,
    IF(lien="First",1.00,
        IF(lien="Second",1.50,
            1.70)))</f>
        <v/>
      </c>
      <c r="K9386">
        <f>LET(
    purpose,'Loan Tape (S&amp;P)'!R9386,
    IF(purpose="Purchase",1.00,
        IF(purpose="Remortgage",1.00,
            1.20)))</f>
        <v/>
      </c>
      <c r="L9386">
        <f>LET(
    arrears_months,'Loan Tape (S&amp;P)'!AN9386,
    IF(arrears_months=0,1.00,
    IF(arrears_months=1,3.00,
    IF(arrears_months=2,5.00,
    IF(arrears_months=3,8.00,
    IF(arrears_months=4,10.00,
    IF(arrears_months=5,12.00,15.00)))))))</f>
        <v/>
      </c>
      <c r="M9386">
        <f>LET(
    seasoning_years,DATEDIF('Loan Tape (S&amp;P)'!K9386,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86">
        <f>IF(AND('Loan Tape (S&amp;P)'!U9386="Yes",
        'Loan Tape (S&amp;P)'!T9386&lt;&gt;"Yes",
        DATEDIF('Loan Tape (S&amp;P)'!K9386, TODAY(), "M")&lt;18),
    1.10,
    1.00)</f>
        <v/>
      </c>
      <c r="O9386">
        <f>IF('Loan Tape (S&amp;P)'!T9386="Yes",
    1.35,
    1.00)</f>
        <v/>
      </c>
      <c r="P9386">
        <f>IF('Loan Tape (S&amp;P)'!S9386="Yes",
    1.15,
    1.00)</f>
        <v/>
      </c>
      <c r="Q9386">
        <f>IF('Loan Tape (S&amp;P)'!V9386="Yes",
    1.20,
    1.00)</f>
        <v/>
      </c>
      <c r="T9386">
        <f>LET(
    payment_method,'Loan Tape (S&amp;P)'!P9386,
    occupancy,'Loan Tape (S&amp;P)'!N9386,
    maturity_date,'Loan Tape (S&amp;P)'!L9386,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87">
      <c r="J9387">
        <f>LET(
    lien,'Loan Tape (S&amp;P)'!Q9387,
    IF(lien="First",1.00,
        IF(lien="Second",1.50,
            1.70)))</f>
        <v/>
      </c>
      <c r="K9387">
        <f>LET(
    purpose,'Loan Tape (S&amp;P)'!R9387,
    IF(purpose="Purchase",1.00,
        IF(purpose="Remortgage",1.00,
            1.20)))</f>
        <v/>
      </c>
      <c r="L9387">
        <f>LET(
    arrears_months,'Loan Tape (S&amp;P)'!AN9387,
    IF(arrears_months=0,1.00,
    IF(arrears_months=1,3.00,
    IF(arrears_months=2,5.00,
    IF(arrears_months=3,8.00,
    IF(arrears_months=4,10.00,
    IF(arrears_months=5,12.00,15.00)))))))</f>
        <v/>
      </c>
      <c r="M9387">
        <f>LET(
    seasoning_years,DATEDIF('Loan Tape (S&amp;P)'!K9387,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87">
        <f>IF(AND('Loan Tape (S&amp;P)'!U9387="Yes",
        'Loan Tape (S&amp;P)'!T9387&lt;&gt;"Yes",
        DATEDIF('Loan Tape (S&amp;P)'!K9387, TODAY(), "M")&lt;18),
    1.10,
    1.00)</f>
        <v/>
      </c>
      <c r="O9387">
        <f>IF('Loan Tape (S&amp;P)'!T9387="Yes",
    1.35,
    1.00)</f>
        <v/>
      </c>
      <c r="P9387">
        <f>IF('Loan Tape (S&amp;P)'!S9387="Yes",
    1.15,
    1.00)</f>
        <v/>
      </c>
      <c r="Q9387">
        <f>IF('Loan Tape (S&amp;P)'!V9387="Yes",
    1.20,
    1.00)</f>
        <v/>
      </c>
      <c r="T9387">
        <f>LET(
    payment_method,'Loan Tape (S&amp;P)'!P9387,
    occupancy,'Loan Tape (S&amp;P)'!N9387,
    maturity_date,'Loan Tape (S&amp;P)'!L9387,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88">
      <c r="J9388">
        <f>LET(
    lien,'Loan Tape (S&amp;P)'!Q9388,
    IF(lien="First",1.00,
        IF(lien="Second",1.50,
            1.70)))</f>
        <v/>
      </c>
      <c r="K9388">
        <f>LET(
    purpose,'Loan Tape (S&amp;P)'!R9388,
    IF(purpose="Purchase",1.00,
        IF(purpose="Remortgage",1.00,
            1.20)))</f>
        <v/>
      </c>
      <c r="L9388">
        <f>LET(
    arrears_months,'Loan Tape (S&amp;P)'!AN9388,
    IF(arrears_months=0,1.00,
    IF(arrears_months=1,3.00,
    IF(arrears_months=2,5.00,
    IF(arrears_months=3,8.00,
    IF(arrears_months=4,10.00,
    IF(arrears_months=5,12.00,15.00)))))))</f>
        <v/>
      </c>
      <c r="M9388">
        <f>LET(
    seasoning_years,DATEDIF('Loan Tape (S&amp;P)'!K9388,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88">
        <f>IF(AND('Loan Tape (S&amp;P)'!U9388="Yes",
        'Loan Tape (S&amp;P)'!T9388&lt;&gt;"Yes",
        DATEDIF('Loan Tape (S&amp;P)'!K9388, TODAY(), "M")&lt;18),
    1.10,
    1.00)</f>
        <v/>
      </c>
      <c r="O9388">
        <f>IF('Loan Tape (S&amp;P)'!T9388="Yes",
    1.35,
    1.00)</f>
        <v/>
      </c>
      <c r="P9388">
        <f>IF('Loan Tape (S&amp;P)'!S9388="Yes",
    1.15,
    1.00)</f>
        <v/>
      </c>
      <c r="Q9388">
        <f>IF('Loan Tape (S&amp;P)'!V9388="Yes",
    1.20,
    1.00)</f>
        <v/>
      </c>
      <c r="T9388">
        <f>LET(
    payment_method,'Loan Tape (S&amp;P)'!P9388,
    occupancy,'Loan Tape (S&amp;P)'!N9388,
    maturity_date,'Loan Tape (S&amp;P)'!L9388,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89">
      <c r="J9389">
        <f>LET(
    lien,'Loan Tape (S&amp;P)'!Q9389,
    IF(lien="First",1.00,
        IF(lien="Second",1.50,
            1.70)))</f>
        <v/>
      </c>
      <c r="K9389">
        <f>LET(
    purpose,'Loan Tape (S&amp;P)'!R9389,
    IF(purpose="Purchase",1.00,
        IF(purpose="Remortgage",1.00,
            1.20)))</f>
        <v/>
      </c>
      <c r="L9389">
        <f>LET(
    arrears_months,'Loan Tape (S&amp;P)'!AN9389,
    IF(arrears_months=0,1.00,
    IF(arrears_months=1,3.00,
    IF(arrears_months=2,5.00,
    IF(arrears_months=3,8.00,
    IF(arrears_months=4,10.00,
    IF(arrears_months=5,12.00,15.00)))))))</f>
        <v/>
      </c>
      <c r="M9389">
        <f>LET(
    seasoning_years,DATEDIF('Loan Tape (S&amp;P)'!K9389,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89">
        <f>IF(AND('Loan Tape (S&amp;P)'!U9389="Yes",
        'Loan Tape (S&amp;P)'!T9389&lt;&gt;"Yes",
        DATEDIF('Loan Tape (S&amp;P)'!K9389, TODAY(), "M")&lt;18),
    1.10,
    1.00)</f>
        <v/>
      </c>
      <c r="O9389">
        <f>IF('Loan Tape (S&amp;P)'!T9389="Yes",
    1.35,
    1.00)</f>
        <v/>
      </c>
      <c r="P9389">
        <f>IF('Loan Tape (S&amp;P)'!S9389="Yes",
    1.15,
    1.00)</f>
        <v/>
      </c>
      <c r="Q9389">
        <f>IF('Loan Tape (S&amp;P)'!V9389="Yes",
    1.20,
    1.00)</f>
        <v/>
      </c>
      <c r="T9389">
        <f>LET(
    payment_method,'Loan Tape (S&amp;P)'!P9389,
    occupancy,'Loan Tape (S&amp;P)'!N9389,
    maturity_date,'Loan Tape (S&amp;P)'!L9389,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90">
      <c r="J9390">
        <f>LET(
    lien,'Loan Tape (S&amp;P)'!Q9390,
    IF(lien="First",1.00,
        IF(lien="Second",1.50,
            1.70)))</f>
        <v/>
      </c>
      <c r="K9390">
        <f>LET(
    purpose,'Loan Tape (S&amp;P)'!R9390,
    IF(purpose="Purchase",1.00,
        IF(purpose="Remortgage",1.00,
            1.20)))</f>
        <v/>
      </c>
      <c r="L9390">
        <f>LET(
    arrears_months,'Loan Tape (S&amp;P)'!AN9390,
    IF(arrears_months=0,1.00,
    IF(arrears_months=1,3.00,
    IF(arrears_months=2,5.00,
    IF(arrears_months=3,8.00,
    IF(arrears_months=4,10.00,
    IF(arrears_months=5,12.00,15.00)))))))</f>
        <v/>
      </c>
      <c r="M9390">
        <f>LET(
    seasoning_years,DATEDIF('Loan Tape (S&amp;P)'!K9390,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90">
        <f>IF(AND('Loan Tape (S&amp;P)'!U9390="Yes",
        'Loan Tape (S&amp;P)'!T9390&lt;&gt;"Yes",
        DATEDIF('Loan Tape (S&amp;P)'!K9390, TODAY(), "M")&lt;18),
    1.10,
    1.00)</f>
        <v/>
      </c>
      <c r="O9390">
        <f>IF('Loan Tape (S&amp;P)'!T9390="Yes",
    1.35,
    1.00)</f>
        <v/>
      </c>
      <c r="P9390">
        <f>IF('Loan Tape (S&amp;P)'!S9390="Yes",
    1.15,
    1.00)</f>
        <v/>
      </c>
      <c r="Q9390">
        <f>IF('Loan Tape (S&amp;P)'!V9390="Yes",
    1.20,
    1.00)</f>
        <v/>
      </c>
      <c r="T9390">
        <f>LET(
    payment_method,'Loan Tape (S&amp;P)'!P9390,
    occupancy,'Loan Tape (S&amp;P)'!N9390,
    maturity_date,'Loan Tape (S&amp;P)'!L9390,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91">
      <c r="J9391">
        <f>LET(
    lien,'Loan Tape (S&amp;P)'!Q9391,
    IF(lien="First",1.00,
        IF(lien="Second",1.50,
            1.70)))</f>
        <v/>
      </c>
      <c r="K9391">
        <f>LET(
    purpose,'Loan Tape (S&amp;P)'!R9391,
    IF(purpose="Purchase",1.00,
        IF(purpose="Remortgage",1.00,
            1.20)))</f>
        <v/>
      </c>
      <c r="L9391">
        <f>LET(
    arrears_months,'Loan Tape (S&amp;P)'!AN9391,
    IF(arrears_months=0,1.00,
    IF(arrears_months=1,3.00,
    IF(arrears_months=2,5.00,
    IF(arrears_months=3,8.00,
    IF(arrears_months=4,10.00,
    IF(arrears_months=5,12.00,15.00)))))))</f>
        <v/>
      </c>
      <c r="M9391">
        <f>LET(
    seasoning_years,DATEDIF('Loan Tape (S&amp;P)'!K9391,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91">
        <f>IF(AND('Loan Tape (S&amp;P)'!U9391="Yes",
        'Loan Tape (S&amp;P)'!T9391&lt;&gt;"Yes",
        DATEDIF('Loan Tape (S&amp;P)'!K9391, TODAY(), "M")&lt;18),
    1.10,
    1.00)</f>
        <v/>
      </c>
      <c r="O9391">
        <f>IF('Loan Tape (S&amp;P)'!T9391="Yes",
    1.35,
    1.00)</f>
        <v/>
      </c>
      <c r="P9391">
        <f>IF('Loan Tape (S&amp;P)'!S9391="Yes",
    1.15,
    1.00)</f>
        <v/>
      </c>
      <c r="Q9391">
        <f>IF('Loan Tape (S&amp;P)'!V9391="Yes",
    1.20,
    1.00)</f>
        <v/>
      </c>
      <c r="T9391">
        <f>LET(
    payment_method,'Loan Tape (S&amp;P)'!P9391,
    occupancy,'Loan Tape (S&amp;P)'!N9391,
    maturity_date,'Loan Tape (S&amp;P)'!L9391,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92">
      <c r="J9392">
        <f>LET(
    lien,'Loan Tape (S&amp;P)'!Q9392,
    IF(lien="First",1.00,
        IF(lien="Second",1.50,
            1.70)))</f>
        <v/>
      </c>
      <c r="K9392">
        <f>LET(
    purpose,'Loan Tape (S&amp;P)'!R9392,
    IF(purpose="Purchase",1.00,
        IF(purpose="Remortgage",1.00,
            1.20)))</f>
        <v/>
      </c>
      <c r="L9392">
        <f>LET(
    arrears_months,'Loan Tape (S&amp;P)'!AN9392,
    IF(arrears_months=0,1.00,
    IF(arrears_months=1,3.00,
    IF(arrears_months=2,5.00,
    IF(arrears_months=3,8.00,
    IF(arrears_months=4,10.00,
    IF(arrears_months=5,12.00,15.00)))))))</f>
        <v/>
      </c>
      <c r="M9392">
        <f>LET(
    seasoning_years,DATEDIF('Loan Tape (S&amp;P)'!K9392,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92">
        <f>IF(AND('Loan Tape (S&amp;P)'!U9392="Yes",
        'Loan Tape (S&amp;P)'!T9392&lt;&gt;"Yes",
        DATEDIF('Loan Tape (S&amp;P)'!K9392, TODAY(), "M")&lt;18),
    1.10,
    1.00)</f>
        <v/>
      </c>
      <c r="O9392">
        <f>IF('Loan Tape (S&amp;P)'!T9392="Yes",
    1.35,
    1.00)</f>
        <v/>
      </c>
      <c r="P9392">
        <f>IF('Loan Tape (S&amp;P)'!S9392="Yes",
    1.15,
    1.00)</f>
        <v/>
      </c>
      <c r="Q9392">
        <f>IF('Loan Tape (S&amp;P)'!V9392="Yes",
    1.20,
    1.00)</f>
        <v/>
      </c>
      <c r="T9392">
        <f>LET(
    payment_method,'Loan Tape (S&amp;P)'!P9392,
    occupancy,'Loan Tape (S&amp;P)'!N9392,
    maturity_date,'Loan Tape (S&amp;P)'!L9392,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93">
      <c r="J9393">
        <f>LET(
    lien,'Loan Tape (S&amp;P)'!Q9393,
    IF(lien="First",1.00,
        IF(lien="Second",1.50,
            1.70)))</f>
        <v/>
      </c>
      <c r="K9393">
        <f>LET(
    purpose,'Loan Tape (S&amp;P)'!R9393,
    IF(purpose="Purchase",1.00,
        IF(purpose="Remortgage",1.00,
            1.20)))</f>
        <v/>
      </c>
      <c r="L9393">
        <f>LET(
    arrears_months,'Loan Tape (S&amp;P)'!AN9393,
    IF(arrears_months=0,1.00,
    IF(arrears_months=1,3.00,
    IF(arrears_months=2,5.00,
    IF(arrears_months=3,8.00,
    IF(arrears_months=4,10.00,
    IF(arrears_months=5,12.00,15.00)))))))</f>
        <v/>
      </c>
      <c r="M9393">
        <f>LET(
    seasoning_years,DATEDIF('Loan Tape (S&amp;P)'!K9393,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93">
        <f>IF(AND('Loan Tape (S&amp;P)'!U9393="Yes",
        'Loan Tape (S&amp;P)'!T9393&lt;&gt;"Yes",
        DATEDIF('Loan Tape (S&amp;P)'!K9393, TODAY(), "M")&lt;18),
    1.10,
    1.00)</f>
        <v/>
      </c>
      <c r="O9393">
        <f>IF('Loan Tape (S&amp;P)'!T9393="Yes",
    1.35,
    1.00)</f>
        <v/>
      </c>
      <c r="P9393">
        <f>IF('Loan Tape (S&amp;P)'!S9393="Yes",
    1.15,
    1.00)</f>
        <v/>
      </c>
      <c r="Q9393">
        <f>IF('Loan Tape (S&amp;P)'!V9393="Yes",
    1.20,
    1.00)</f>
        <v/>
      </c>
      <c r="T9393">
        <f>LET(
    payment_method,'Loan Tape (S&amp;P)'!P9393,
    occupancy,'Loan Tape (S&amp;P)'!N9393,
    maturity_date,'Loan Tape (S&amp;P)'!L9393,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94">
      <c r="J9394">
        <f>LET(
    lien,'Loan Tape (S&amp;P)'!Q9394,
    IF(lien="First",1.00,
        IF(lien="Second",1.50,
            1.70)))</f>
        <v/>
      </c>
      <c r="K9394">
        <f>LET(
    purpose,'Loan Tape (S&amp;P)'!R9394,
    IF(purpose="Purchase",1.00,
        IF(purpose="Remortgage",1.00,
            1.20)))</f>
        <v/>
      </c>
      <c r="L9394">
        <f>LET(
    arrears_months,'Loan Tape (S&amp;P)'!AN9394,
    IF(arrears_months=0,1.00,
    IF(arrears_months=1,3.00,
    IF(arrears_months=2,5.00,
    IF(arrears_months=3,8.00,
    IF(arrears_months=4,10.00,
    IF(arrears_months=5,12.00,15.00)))))))</f>
        <v/>
      </c>
      <c r="M9394">
        <f>LET(
    seasoning_years,DATEDIF('Loan Tape (S&amp;P)'!K9394,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94">
        <f>IF(AND('Loan Tape (S&amp;P)'!U9394="Yes",
        'Loan Tape (S&amp;P)'!T9394&lt;&gt;"Yes",
        DATEDIF('Loan Tape (S&amp;P)'!K9394, TODAY(), "M")&lt;18),
    1.10,
    1.00)</f>
        <v/>
      </c>
      <c r="O9394">
        <f>IF('Loan Tape (S&amp;P)'!T9394="Yes",
    1.35,
    1.00)</f>
        <v/>
      </c>
      <c r="P9394">
        <f>IF('Loan Tape (S&amp;P)'!S9394="Yes",
    1.15,
    1.00)</f>
        <v/>
      </c>
      <c r="Q9394">
        <f>IF('Loan Tape (S&amp;P)'!V9394="Yes",
    1.20,
    1.00)</f>
        <v/>
      </c>
      <c r="T9394">
        <f>LET(
    payment_method,'Loan Tape (S&amp;P)'!P9394,
    occupancy,'Loan Tape (S&amp;P)'!N9394,
    maturity_date,'Loan Tape (S&amp;P)'!L9394,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95">
      <c r="J9395">
        <f>LET(
    lien,'Loan Tape (S&amp;P)'!Q9395,
    IF(lien="First",1.00,
        IF(lien="Second",1.50,
            1.70)))</f>
        <v/>
      </c>
      <c r="K9395">
        <f>LET(
    purpose,'Loan Tape (S&amp;P)'!R9395,
    IF(purpose="Purchase",1.00,
        IF(purpose="Remortgage",1.00,
            1.20)))</f>
        <v/>
      </c>
      <c r="L9395">
        <f>LET(
    arrears_months,'Loan Tape (S&amp;P)'!AN9395,
    IF(arrears_months=0,1.00,
    IF(arrears_months=1,3.00,
    IF(arrears_months=2,5.00,
    IF(arrears_months=3,8.00,
    IF(arrears_months=4,10.00,
    IF(arrears_months=5,12.00,15.00)))))))</f>
        <v/>
      </c>
      <c r="M9395">
        <f>LET(
    seasoning_years,DATEDIF('Loan Tape (S&amp;P)'!K9395,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95">
        <f>IF(AND('Loan Tape (S&amp;P)'!U9395="Yes",
        'Loan Tape (S&amp;P)'!T9395&lt;&gt;"Yes",
        DATEDIF('Loan Tape (S&amp;P)'!K9395, TODAY(), "M")&lt;18),
    1.10,
    1.00)</f>
        <v/>
      </c>
      <c r="O9395">
        <f>IF('Loan Tape (S&amp;P)'!T9395="Yes",
    1.35,
    1.00)</f>
        <v/>
      </c>
      <c r="P9395">
        <f>IF('Loan Tape (S&amp;P)'!S9395="Yes",
    1.15,
    1.00)</f>
        <v/>
      </c>
      <c r="Q9395">
        <f>IF('Loan Tape (S&amp;P)'!V9395="Yes",
    1.20,
    1.00)</f>
        <v/>
      </c>
      <c r="T9395">
        <f>LET(
    payment_method,'Loan Tape (S&amp;P)'!P9395,
    occupancy,'Loan Tape (S&amp;P)'!N9395,
    maturity_date,'Loan Tape (S&amp;P)'!L9395,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96">
      <c r="J9396">
        <f>LET(
    lien,'Loan Tape (S&amp;P)'!Q9396,
    IF(lien="First",1.00,
        IF(lien="Second",1.50,
            1.70)))</f>
        <v/>
      </c>
      <c r="K9396">
        <f>LET(
    purpose,'Loan Tape (S&amp;P)'!R9396,
    IF(purpose="Purchase",1.00,
        IF(purpose="Remortgage",1.00,
            1.20)))</f>
        <v/>
      </c>
      <c r="L9396">
        <f>LET(
    arrears_months,'Loan Tape (S&amp;P)'!AN9396,
    IF(arrears_months=0,1.00,
    IF(arrears_months=1,3.00,
    IF(arrears_months=2,5.00,
    IF(arrears_months=3,8.00,
    IF(arrears_months=4,10.00,
    IF(arrears_months=5,12.00,15.00)))))))</f>
        <v/>
      </c>
      <c r="M9396">
        <f>LET(
    seasoning_years,DATEDIF('Loan Tape (S&amp;P)'!K9396,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96">
        <f>IF(AND('Loan Tape (S&amp;P)'!U9396="Yes",
        'Loan Tape (S&amp;P)'!T9396&lt;&gt;"Yes",
        DATEDIF('Loan Tape (S&amp;P)'!K9396, TODAY(), "M")&lt;18),
    1.10,
    1.00)</f>
        <v/>
      </c>
      <c r="O9396">
        <f>IF('Loan Tape (S&amp;P)'!T9396="Yes",
    1.35,
    1.00)</f>
        <v/>
      </c>
      <c r="P9396">
        <f>IF('Loan Tape (S&amp;P)'!S9396="Yes",
    1.15,
    1.00)</f>
        <v/>
      </c>
      <c r="Q9396">
        <f>IF('Loan Tape (S&amp;P)'!V9396="Yes",
    1.20,
    1.00)</f>
        <v/>
      </c>
      <c r="T9396">
        <f>LET(
    payment_method,'Loan Tape (S&amp;P)'!P9396,
    occupancy,'Loan Tape (S&amp;P)'!N9396,
    maturity_date,'Loan Tape (S&amp;P)'!L9396,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97">
      <c r="J9397">
        <f>LET(
    lien,'Loan Tape (S&amp;P)'!Q9397,
    IF(lien="First",1.00,
        IF(lien="Second",1.50,
            1.70)))</f>
        <v/>
      </c>
      <c r="K9397">
        <f>LET(
    purpose,'Loan Tape (S&amp;P)'!R9397,
    IF(purpose="Purchase",1.00,
        IF(purpose="Remortgage",1.00,
            1.20)))</f>
        <v/>
      </c>
      <c r="L9397">
        <f>LET(
    arrears_months,'Loan Tape (S&amp;P)'!AN9397,
    IF(arrears_months=0,1.00,
    IF(arrears_months=1,3.00,
    IF(arrears_months=2,5.00,
    IF(arrears_months=3,8.00,
    IF(arrears_months=4,10.00,
    IF(arrears_months=5,12.00,15.00)))))))</f>
        <v/>
      </c>
      <c r="M9397">
        <f>LET(
    seasoning_years,DATEDIF('Loan Tape (S&amp;P)'!K9397,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97">
        <f>IF(AND('Loan Tape (S&amp;P)'!U9397="Yes",
        'Loan Tape (S&amp;P)'!T9397&lt;&gt;"Yes",
        DATEDIF('Loan Tape (S&amp;P)'!K9397, TODAY(), "M")&lt;18),
    1.10,
    1.00)</f>
        <v/>
      </c>
      <c r="O9397">
        <f>IF('Loan Tape (S&amp;P)'!T9397="Yes",
    1.35,
    1.00)</f>
        <v/>
      </c>
      <c r="P9397">
        <f>IF('Loan Tape (S&amp;P)'!S9397="Yes",
    1.15,
    1.00)</f>
        <v/>
      </c>
      <c r="Q9397">
        <f>IF('Loan Tape (S&amp;P)'!V9397="Yes",
    1.20,
    1.00)</f>
        <v/>
      </c>
      <c r="T9397">
        <f>LET(
    payment_method,'Loan Tape (S&amp;P)'!P9397,
    occupancy,'Loan Tape (S&amp;P)'!N9397,
    maturity_date,'Loan Tape (S&amp;P)'!L9397,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98">
      <c r="J9398">
        <f>LET(
    lien,'Loan Tape (S&amp;P)'!Q9398,
    IF(lien="First",1.00,
        IF(lien="Second",1.50,
            1.70)))</f>
        <v/>
      </c>
      <c r="K9398">
        <f>LET(
    purpose,'Loan Tape (S&amp;P)'!R9398,
    IF(purpose="Purchase",1.00,
        IF(purpose="Remortgage",1.00,
            1.20)))</f>
        <v/>
      </c>
      <c r="L9398">
        <f>LET(
    arrears_months,'Loan Tape (S&amp;P)'!AN9398,
    IF(arrears_months=0,1.00,
    IF(arrears_months=1,3.00,
    IF(arrears_months=2,5.00,
    IF(arrears_months=3,8.00,
    IF(arrears_months=4,10.00,
    IF(arrears_months=5,12.00,15.00)))))))</f>
        <v/>
      </c>
      <c r="M9398">
        <f>LET(
    seasoning_years,DATEDIF('Loan Tape (S&amp;P)'!K9398,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98">
        <f>IF(AND('Loan Tape (S&amp;P)'!U9398="Yes",
        'Loan Tape (S&amp;P)'!T9398&lt;&gt;"Yes",
        DATEDIF('Loan Tape (S&amp;P)'!K9398, TODAY(), "M")&lt;18),
    1.10,
    1.00)</f>
        <v/>
      </c>
      <c r="O9398">
        <f>IF('Loan Tape (S&amp;P)'!T9398="Yes",
    1.35,
    1.00)</f>
        <v/>
      </c>
      <c r="P9398">
        <f>IF('Loan Tape (S&amp;P)'!S9398="Yes",
    1.15,
    1.00)</f>
        <v/>
      </c>
      <c r="Q9398">
        <f>IF('Loan Tape (S&amp;P)'!V9398="Yes",
    1.20,
    1.00)</f>
        <v/>
      </c>
      <c r="T9398">
        <f>LET(
    payment_method,'Loan Tape (S&amp;P)'!P9398,
    occupancy,'Loan Tape (S&amp;P)'!N9398,
    maturity_date,'Loan Tape (S&amp;P)'!L9398,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399">
      <c r="J9399">
        <f>LET(
    lien,'Loan Tape (S&amp;P)'!Q9399,
    IF(lien="First",1.00,
        IF(lien="Second",1.50,
            1.70)))</f>
        <v/>
      </c>
      <c r="K9399">
        <f>LET(
    purpose,'Loan Tape (S&amp;P)'!R9399,
    IF(purpose="Purchase",1.00,
        IF(purpose="Remortgage",1.00,
            1.20)))</f>
        <v/>
      </c>
      <c r="L9399">
        <f>LET(
    arrears_months,'Loan Tape (S&amp;P)'!AN9399,
    IF(arrears_months=0,1.00,
    IF(arrears_months=1,3.00,
    IF(arrears_months=2,5.00,
    IF(arrears_months=3,8.00,
    IF(arrears_months=4,10.00,
    IF(arrears_months=5,12.00,15.00)))))))</f>
        <v/>
      </c>
      <c r="M9399">
        <f>LET(
    seasoning_years,DATEDIF('Loan Tape (S&amp;P)'!K9399,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399">
        <f>IF(AND('Loan Tape (S&amp;P)'!U9399="Yes",
        'Loan Tape (S&amp;P)'!T9399&lt;&gt;"Yes",
        DATEDIF('Loan Tape (S&amp;P)'!K9399, TODAY(), "M")&lt;18),
    1.10,
    1.00)</f>
        <v/>
      </c>
      <c r="O9399">
        <f>IF('Loan Tape (S&amp;P)'!T9399="Yes",
    1.35,
    1.00)</f>
        <v/>
      </c>
      <c r="P9399">
        <f>IF('Loan Tape (S&amp;P)'!S9399="Yes",
    1.15,
    1.00)</f>
        <v/>
      </c>
      <c r="Q9399">
        <f>IF('Loan Tape (S&amp;P)'!V9399="Yes",
    1.20,
    1.00)</f>
        <v/>
      </c>
      <c r="T9399">
        <f>LET(
    payment_method,'Loan Tape (S&amp;P)'!P9399,
    occupancy,'Loan Tape (S&amp;P)'!N9399,
    maturity_date,'Loan Tape (S&amp;P)'!L9399,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00">
      <c r="J9400">
        <f>LET(
    lien,'Loan Tape (S&amp;P)'!Q9400,
    IF(lien="First",1.00,
        IF(lien="Second",1.50,
            1.70)))</f>
        <v/>
      </c>
      <c r="K9400">
        <f>LET(
    purpose,'Loan Tape (S&amp;P)'!R9400,
    IF(purpose="Purchase",1.00,
        IF(purpose="Remortgage",1.00,
            1.20)))</f>
        <v/>
      </c>
      <c r="L9400">
        <f>LET(
    arrears_months,'Loan Tape (S&amp;P)'!AN9400,
    IF(arrears_months=0,1.00,
    IF(arrears_months=1,3.00,
    IF(arrears_months=2,5.00,
    IF(arrears_months=3,8.00,
    IF(arrears_months=4,10.00,
    IF(arrears_months=5,12.00,15.00)))))))</f>
        <v/>
      </c>
      <c r="M9400">
        <f>LET(
    seasoning_years,DATEDIF('Loan Tape (S&amp;P)'!K9400,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00">
        <f>IF(AND('Loan Tape (S&amp;P)'!U9400="Yes",
        'Loan Tape (S&amp;P)'!T9400&lt;&gt;"Yes",
        DATEDIF('Loan Tape (S&amp;P)'!K9400, TODAY(), "M")&lt;18),
    1.10,
    1.00)</f>
        <v/>
      </c>
      <c r="O9400">
        <f>IF('Loan Tape (S&amp;P)'!T9400="Yes",
    1.35,
    1.00)</f>
        <v/>
      </c>
      <c r="P9400">
        <f>IF('Loan Tape (S&amp;P)'!S9400="Yes",
    1.15,
    1.00)</f>
        <v/>
      </c>
      <c r="Q9400">
        <f>IF('Loan Tape (S&amp;P)'!V9400="Yes",
    1.20,
    1.00)</f>
        <v/>
      </c>
      <c r="T9400">
        <f>LET(
    payment_method,'Loan Tape (S&amp;P)'!P9400,
    occupancy,'Loan Tape (S&amp;P)'!N9400,
    maturity_date,'Loan Tape (S&amp;P)'!L9400,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01">
      <c r="J9401">
        <f>LET(
    lien,'Loan Tape (S&amp;P)'!Q9401,
    IF(lien="First",1.00,
        IF(lien="Second",1.50,
            1.70)))</f>
        <v/>
      </c>
      <c r="K9401">
        <f>LET(
    purpose,'Loan Tape (S&amp;P)'!R9401,
    IF(purpose="Purchase",1.00,
        IF(purpose="Remortgage",1.00,
            1.20)))</f>
        <v/>
      </c>
      <c r="L9401">
        <f>LET(
    arrears_months,'Loan Tape (S&amp;P)'!AN9401,
    IF(arrears_months=0,1.00,
    IF(arrears_months=1,3.00,
    IF(arrears_months=2,5.00,
    IF(arrears_months=3,8.00,
    IF(arrears_months=4,10.00,
    IF(arrears_months=5,12.00,15.00)))))))</f>
        <v/>
      </c>
      <c r="M9401">
        <f>LET(
    seasoning_years,DATEDIF('Loan Tape (S&amp;P)'!K9401,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01">
        <f>IF(AND('Loan Tape (S&amp;P)'!U9401="Yes",
        'Loan Tape (S&amp;P)'!T9401&lt;&gt;"Yes",
        DATEDIF('Loan Tape (S&amp;P)'!K9401, TODAY(), "M")&lt;18),
    1.10,
    1.00)</f>
        <v/>
      </c>
      <c r="O9401">
        <f>IF('Loan Tape (S&amp;P)'!T9401="Yes",
    1.35,
    1.00)</f>
        <v/>
      </c>
      <c r="P9401">
        <f>IF('Loan Tape (S&amp;P)'!S9401="Yes",
    1.15,
    1.00)</f>
        <v/>
      </c>
      <c r="Q9401">
        <f>IF('Loan Tape (S&amp;P)'!V9401="Yes",
    1.20,
    1.00)</f>
        <v/>
      </c>
      <c r="T9401">
        <f>LET(
    payment_method,'Loan Tape (S&amp;P)'!P9401,
    occupancy,'Loan Tape (S&amp;P)'!N9401,
    maturity_date,'Loan Tape (S&amp;P)'!L9401,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02">
      <c r="J9402">
        <f>LET(
    lien,'Loan Tape (S&amp;P)'!Q9402,
    IF(lien="First",1.00,
        IF(lien="Second",1.50,
            1.70)))</f>
        <v/>
      </c>
      <c r="K9402">
        <f>LET(
    purpose,'Loan Tape (S&amp;P)'!R9402,
    IF(purpose="Purchase",1.00,
        IF(purpose="Remortgage",1.00,
            1.20)))</f>
        <v/>
      </c>
      <c r="L9402">
        <f>LET(
    arrears_months,'Loan Tape (S&amp;P)'!AN9402,
    IF(arrears_months=0,1.00,
    IF(arrears_months=1,3.00,
    IF(arrears_months=2,5.00,
    IF(arrears_months=3,8.00,
    IF(arrears_months=4,10.00,
    IF(arrears_months=5,12.00,15.00)))))))</f>
        <v/>
      </c>
      <c r="M9402">
        <f>LET(
    seasoning_years,DATEDIF('Loan Tape (S&amp;P)'!K9402,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02">
        <f>IF(AND('Loan Tape (S&amp;P)'!U9402="Yes",
        'Loan Tape (S&amp;P)'!T9402&lt;&gt;"Yes",
        DATEDIF('Loan Tape (S&amp;P)'!K9402, TODAY(), "M")&lt;18),
    1.10,
    1.00)</f>
        <v/>
      </c>
      <c r="O9402">
        <f>IF('Loan Tape (S&amp;P)'!T9402="Yes",
    1.35,
    1.00)</f>
        <v/>
      </c>
      <c r="P9402">
        <f>IF('Loan Tape (S&amp;P)'!S9402="Yes",
    1.15,
    1.00)</f>
        <v/>
      </c>
      <c r="Q9402">
        <f>IF('Loan Tape (S&amp;P)'!V9402="Yes",
    1.20,
    1.00)</f>
        <v/>
      </c>
      <c r="T9402">
        <f>LET(
    payment_method,'Loan Tape (S&amp;P)'!P9402,
    occupancy,'Loan Tape (S&amp;P)'!N9402,
    maturity_date,'Loan Tape (S&amp;P)'!L9402,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03">
      <c r="J9403">
        <f>LET(
    lien,'Loan Tape (S&amp;P)'!Q9403,
    IF(lien="First",1.00,
        IF(lien="Second",1.50,
            1.70)))</f>
        <v/>
      </c>
      <c r="K9403">
        <f>LET(
    purpose,'Loan Tape (S&amp;P)'!R9403,
    IF(purpose="Purchase",1.00,
        IF(purpose="Remortgage",1.00,
            1.20)))</f>
        <v/>
      </c>
      <c r="L9403">
        <f>LET(
    arrears_months,'Loan Tape (S&amp;P)'!AN9403,
    IF(arrears_months=0,1.00,
    IF(arrears_months=1,3.00,
    IF(arrears_months=2,5.00,
    IF(arrears_months=3,8.00,
    IF(arrears_months=4,10.00,
    IF(arrears_months=5,12.00,15.00)))))))</f>
        <v/>
      </c>
      <c r="M9403">
        <f>LET(
    seasoning_years,DATEDIF('Loan Tape (S&amp;P)'!K9403,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03">
        <f>IF(AND('Loan Tape (S&amp;P)'!U9403="Yes",
        'Loan Tape (S&amp;P)'!T9403&lt;&gt;"Yes",
        DATEDIF('Loan Tape (S&amp;P)'!K9403, TODAY(), "M")&lt;18),
    1.10,
    1.00)</f>
        <v/>
      </c>
      <c r="O9403">
        <f>IF('Loan Tape (S&amp;P)'!T9403="Yes",
    1.35,
    1.00)</f>
        <v/>
      </c>
      <c r="P9403">
        <f>IF('Loan Tape (S&amp;P)'!S9403="Yes",
    1.15,
    1.00)</f>
        <v/>
      </c>
      <c r="Q9403">
        <f>IF('Loan Tape (S&amp;P)'!V9403="Yes",
    1.20,
    1.00)</f>
        <v/>
      </c>
      <c r="T9403">
        <f>LET(
    payment_method,'Loan Tape (S&amp;P)'!P9403,
    occupancy,'Loan Tape (S&amp;P)'!N9403,
    maturity_date,'Loan Tape (S&amp;P)'!L9403,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04">
      <c r="J9404">
        <f>LET(
    lien,'Loan Tape (S&amp;P)'!Q9404,
    IF(lien="First",1.00,
        IF(lien="Second",1.50,
            1.70)))</f>
        <v/>
      </c>
      <c r="K9404">
        <f>LET(
    purpose,'Loan Tape (S&amp;P)'!R9404,
    IF(purpose="Purchase",1.00,
        IF(purpose="Remortgage",1.00,
            1.20)))</f>
        <v/>
      </c>
      <c r="L9404">
        <f>LET(
    arrears_months,'Loan Tape (S&amp;P)'!AN9404,
    IF(arrears_months=0,1.00,
    IF(arrears_months=1,3.00,
    IF(arrears_months=2,5.00,
    IF(arrears_months=3,8.00,
    IF(arrears_months=4,10.00,
    IF(arrears_months=5,12.00,15.00)))))))</f>
        <v/>
      </c>
      <c r="M9404">
        <f>LET(
    seasoning_years,DATEDIF('Loan Tape (S&amp;P)'!K9404,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04">
        <f>IF(AND('Loan Tape (S&amp;P)'!U9404="Yes",
        'Loan Tape (S&amp;P)'!T9404&lt;&gt;"Yes",
        DATEDIF('Loan Tape (S&amp;P)'!K9404, TODAY(), "M")&lt;18),
    1.10,
    1.00)</f>
        <v/>
      </c>
      <c r="O9404">
        <f>IF('Loan Tape (S&amp;P)'!T9404="Yes",
    1.35,
    1.00)</f>
        <v/>
      </c>
      <c r="P9404">
        <f>IF('Loan Tape (S&amp;P)'!S9404="Yes",
    1.15,
    1.00)</f>
        <v/>
      </c>
      <c r="Q9404">
        <f>IF('Loan Tape (S&amp;P)'!V9404="Yes",
    1.20,
    1.00)</f>
        <v/>
      </c>
      <c r="T9404">
        <f>LET(
    payment_method,'Loan Tape (S&amp;P)'!P9404,
    occupancy,'Loan Tape (S&amp;P)'!N9404,
    maturity_date,'Loan Tape (S&amp;P)'!L9404,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05">
      <c r="J9405">
        <f>LET(
    lien,'Loan Tape (S&amp;P)'!Q9405,
    IF(lien="First",1.00,
        IF(lien="Second",1.50,
            1.70)))</f>
        <v/>
      </c>
      <c r="K9405">
        <f>LET(
    purpose,'Loan Tape (S&amp;P)'!R9405,
    IF(purpose="Purchase",1.00,
        IF(purpose="Remortgage",1.00,
            1.20)))</f>
        <v/>
      </c>
      <c r="L9405">
        <f>LET(
    arrears_months,'Loan Tape (S&amp;P)'!AN9405,
    IF(arrears_months=0,1.00,
    IF(arrears_months=1,3.00,
    IF(arrears_months=2,5.00,
    IF(arrears_months=3,8.00,
    IF(arrears_months=4,10.00,
    IF(arrears_months=5,12.00,15.00)))))))</f>
        <v/>
      </c>
      <c r="M9405">
        <f>LET(
    seasoning_years,DATEDIF('Loan Tape (S&amp;P)'!K9405,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05">
        <f>IF(AND('Loan Tape (S&amp;P)'!U9405="Yes",
        'Loan Tape (S&amp;P)'!T9405&lt;&gt;"Yes",
        DATEDIF('Loan Tape (S&amp;P)'!K9405, TODAY(), "M")&lt;18),
    1.10,
    1.00)</f>
        <v/>
      </c>
      <c r="O9405">
        <f>IF('Loan Tape (S&amp;P)'!T9405="Yes",
    1.35,
    1.00)</f>
        <v/>
      </c>
      <c r="P9405">
        <f>IF('Loan Tape (S&amp;P)'!S9405="Yes",
    1.15,
    1.00)</f>
        <v/>
      </c>
      <c r="Q9405">
        <f>IF('Loan Tape (S&amp;P)'!V9405="Yes",
    1.20,
    1.00)</f>
        <v/>
      </c>
      <c r="T9405">
        <f>LET(
    payment_method,'Loan Tape (S&amp;P)'!P9405,
    occupancy,'Loan Tape (S&amp;P)'!N9405,
    maturity_date,'Loan Tape (S&amp;P)'!L9405,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06">
      <c r="J9406">
        <f>LET(
    lien,'Loan Tape (S&amp;P)'!Q9406,
    IF(lien="First",1.00,
        IF(lien="Second",1.50,
            1.70)))</f>
        <v/>
      </c>
      <c r="K9406">
        <f>LET(
    purpose,'Loan Tape (S&amp;P)'!R9406,
    IF(purpose="Purchase",1.00,
        IF(purpose="Remortgage",1.00,
            1.20)))</f>
        <v/>
      </c>
      <c r="L9406">
        <f>LET(
    arrears_months,'Loan Tape (S&amp;P)'!AN9406,
    IF(arrears_months=0,1.00,
    IF(arrears_months=1,3.00,
    IF(arrears_months=2,5.00,
    IF(arrears_months=3,8.00,
    IF(arrears_months=4,10.00,
    IF(arrears_months=5,12.00,15.00)))))))</f>
        <v/>
      </c>
      <c r="M9406">
        <f>LET(
    seasoning_years,DATEDIF('Loan Tape (S&amp;P)'!K9406,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06">
        <f>IF(AND('Loan Tape (S&amp;P)'!U9406="Yes",
        'Loan Tape (S&amp;P)'!T9406&lt;&gt;"Yes",
        DATEDIF('Loan Tape (S&amp;P)'!K9406, TODAY(), "M")&lt;18),
    1.10,
    1.00)</f>
        <v/>
      </c>
      <c r="O9406">
        <f>IF('Loan Tape (S&amp;P)'!T9406="Yes",
    1.35,
    1.00)</f>
        <v/>
      </c>
      <c r="P9406">
        <f>IF('Loan Tape (S&amp;P)'!S9406="Yes",
    1.15,
    1.00)</f>
        <v/>
      </c>
      <c r="Q9406">
        <f>IF('Loan Tape (S&amp;P)'!V9406="Yes",
    1.20,
    1.00)</f>
        <v/>
      </c>
      <c r="T9406">
        <f>LET(
    payment_method,'Loan Tape (S&amp;P)'!P9406,
    occupancy,'Loan Tape (S&amp;P)'!N9406,
    maturity_date,'Loan Tape (S&amp;P)'!L9406,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07">
      <c r="J9407">
        <f>LET(
    lien,'Loan Tape (S&amp;P)'!Q9407,
    IF(lien="First",1.00,
        IF(lien="Second",1.50,
            1.70)))</f>
        <v/>
      </c>
      <c r="K9407">
        <f>LET(
    purpose,'Loan Tape (S&amp;P)'!R9407,
    IF(purpose="Purchase",1.00,
        IF(purpose="Remortgage",1.00,
            1.20)))</f>
        <v/>
      </c>
      <c r="L9407">
        <f>LET(
    arrears_months,'Loan Tape (S&amp;P)'!AN9407,
    IF(arrears_months=0,1.00,
    IF(arrears_months=1,3.00,
    IF(arrears_months=2,5.00,
    IF(arrears_months=3,8.00,
    IF(arrears_months=4,10.00,
    IF(arrears_months=5,12.00,15.00)))))))</f>
        <v/>
      </c>
      <c r="M9407">
        <f>LET(
    seasoning_years,DATEDIF('Loan Tape (S&amp;P)'!K9407,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07">
        <f>IF(AND('Loan Tape (S&amp;P)'!U9407="Yes",
        'Loan Tape (S&amp;P)'!T9407&lt;&gt;"Yes",
        DATEDIF('Loan Tape (S&amp;P)'!K9407, TODAY(), "M")&lt;18),
    1.10,
    1.00)</f>
        <v/>
      </c>
      <c r="O9407">
        <f>IF('Loan Tape (S&amp;P)'!T9407="Yes",
    1.35,
    1.00)</f>
        <v/>
      </c>
      <c r="P9407">
        <f>IF('Loan Tape (S&amp;P)'!S9407="Yes",
    1.15,
    1.00)</f>
        <v/>
      </c>
      <c r="Q9407">
        <f>IF('Loan Tape (S&amp;P)'!V9407="Yes",
    1.20,
    1.00)</f>
        <v/>
      </c>
      <c r="T9407">
        <f>LET(
    payment_method,'Loan Tape (S&amp;P)'!P9407,
    occupancy,'Loan Tape (S&amp;P)'!N9407,
    maturity_date,'Loan Tape (S&amp;P)'!L9407,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08">
      <c r="J9408">
        <f>LET(
    lien,'Loan Tape (S&amp;P)'!Q9408,
    IF(lien="First",1.00,
        IF(lien="Second",1.50,
            1.70)))</f>
        <v/>
      </c>
      <c r="K9408">
        <f>LET(
    purpose,'Loan Tape (S&amp;P)'!R9408,
    IF(purpose="Purchase",1.00,
        IF(purpose="Remortgage",1.00,
            1.20)))</f>
        <v/>
      </c>
      <c r="L9408">
        <f>LET(
    arrears_months,'Loan Tape (S&amp;P)'!AN9408,
    IF(arrears_months=0,1.00,
    IF(arrears_months=1,3.00,
    IF(arrears_months=2,5.00,
    IF(arrears_months=3,8.00,
    IF(arrears_months=4,10.00,
    IF(arrears_months=5,12.00,15.00)))))))</f>
        <v/>
      </c>
      <c r="M9408">
        <f>LET(
    seasoning_years,DATEDIF('Loan Tape (S&amp;P)'!K9408,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08">
        <f>IF(AND('Loan Tape (S&amp;P)'!U9408="Yes",
        'Loan Tape (S&amp;P)'!T9408&lt;&gt;"Yes",
        DATEDIF('Loan Tape (S&amp;P)'!K9408, TODAY(), "M")&lt;18),
    1.10,
    1.00)</f>
        <v/>
      </c>
      <c r="O9408">
        <f>IF('Loan Tape (S&amp;P)'!T9408="Yes",
    1.35,
    1.00)</f>
        <v/>
      </c>
      <c r="P9408">
        <f>IF('Loan Tape (S&amp;P)'!S9408="Yes",
    1.15,
    1.00)</f>
        <v/>
      </c>
      <c r="Q9408">
        <f>IF('Loan Tape (S&amp;P)'!V9408="Yes",
    1.20,
    1.00)</f>
        <v/>
      </c>
      <c r="T9408">
        <f>LET(
    payment_method,'Loan Tape (S&amp;P)'!P9408,
    occupancy,'Loan Tape (S&amp;P)'!N9408,
    maturity_date,'Loan Tape (S&amp;P)'!L9408,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09">
      <c r="J9409">
        <f>LET(
    lien,'Loan Tape (S&amp;P)'!Q9409,
    IF(lien="First",1.00,
        IF(lien="Second",1.50,
            1.70)))</f>
        <v/>
      </c>
      <c r="K9409">
        <f>LET(
    purpose,'Loan Tape (S&amp;P)'!R9409,
    IF(purpose="Purchase",1.00,
        IF(purpose="Remortgage",1.00,
            1.20)))</f>
        <v/>
      </c>
      <c r="L9409">
        <f>LET(
    arrears_months,'Loan Tape (S&amp;P)'!AN9409,
    IF(arrears_months=0,1.00,
    IF(arrears_months=1,3.00,
    IF(arrears_months=2,5.00,
    IF(arrears_months=3,8.00,
    IF(arrears_months=4,10.00,
    IF(arrears_months=5,12.00,15.00)))))))</f>
        <v/>
      </c>
      <c r="M9409">
        <f>LET(
    seasoning_years,DATEDIF('Loan Tape (S&amp;P)'!K9409,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09">
        <f>IF(AND('Loan Tape (S&amp;P)'!U9409="Yes",
        'Loan Tape (S&amp;P)'!T9409&lt;&gt;"Yes",
        DATEDIF('Loan Tape (S&amp;P)'!K9409, TODAY(), "M")&lt;18),
    1.10,
    1.00)</f>
        <v/>
      </c>
      <c r="O9409">
        <f>IF('Loan Tape (S&amp;P)'!T9409="Yes",
    1.35,
    1.00)</f>
        <v/>
      </c>
      <c r="P9409">
        <f>IF('Loan Tape (S&amp;P)'!S9409="Yes",
    1.15,
    1.00)</f>
        <v/>
      </c>
      <c r="Q9409">
        <f>IF('Loan Tape (S&amp;P)'!V9409="Yes",
    1.20,
    1.00)</f>
        <v/>
      </c>
      <c r="T9409">
        <f>LET(
    payment_method,'Loan Tape (S&amp;P)'!P9409,
    occupancy,'Loan Tape (S&amp;P)'!N9409,
    maturity_date,'Loan Tape (S&amp;P)'!L9409,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10">
      <c r="J9410">
        <f>LET(
    lien,'Loan Tape (S&amp;P)'!Q9410,
    IF(lien="First",1.00,
        IF(lien="Second",1.50,
            1.70)))</f>
        <v/>
      </c>
      <c r="K9410">
        <f>LET(
    purpose,'Loan Tape (S&amp;P)'!R9410,
    IF(purpose="Purchase",1.00,
        IF(purpose="Remortgage",1.00,
            1.20)))</f>
        <v/>
      </c>
      <c r="L9410">
        <f>LET(
    arrears_months,'Loan Tape (S&amp;P)'!AN9410,
    IF(arrears_months=0,1.00,
    IF(arrears_months=1,3.00,
    IF(arrears_months=2,5.00,
    IF(arrears_months=3,8.00,
    IF(arrears_months=4,10.00,
    IF(arrears_months=5,12.00,15.00)))))))</f>
        <v/>
      </c>
      <c r="M9410">
        <f>LET(
    seasoning_years,DATEDIF('Loan Tape (S&amp;P)'!K9410,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10">
        <f>IF(AND('Loan Tape (S&amp;P)'!U9410="Yes",
        'Loan Tape (S&amp;P)'!T9410&lt;&gt;"Yes",
        DATEDIF('Loan Tape (S&amp;P)'!K9410, TODAY(), "M")&lt;18),
    1.10,
    1.00)</f>
        <v/>
      </c>
      <c r="O9410">
        <f>IF('Loan Tape (S&amp;P)'!T9410="Yes",
    1.35,
    1.00)</f>
        <v/>
      </c>
      <c r="P9410">
        <f>IF('Loan Tape (S&amp;P)'!S9410="Yes",
    1.15,
    1.00)</f>
        <v/>
      </c>
      <c r="Q9410">
        <f>IF('Loan Tape (S&amp;P)'!V9410="Yes",
    1.20,
    1.00)</f>
        <v/>
      </c>
      <c r="T9410">
        <f>LET(
    payment_method,'Loan Tape (S&amp;P)'!P9410,
    occupancy,'Loan Tape (S&amp;P)'!N9410,
    maturity_date,'Loan Tape (S&amp;P)'!L9410,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11">
      <c r="J9411">
        <f>LET(
    lien,'Loan Tape (S&amp;P)'!Q9411,
    IF(lien="First",1.00,
        IF(lien="Second",1.50,
            1.70)))</f>
        <v/>
      </c>
      <c r="K9411">
        <f>LET(
    purpose,'Loan Tape (S&amp;P)'!R9411,
    IF(purpose="Purchase",1.00,
        IF(purpose="Remortgage",1.00,
            1.20)))</f>
        <v/>
      </c>
      <c r="L9411">
        <f>LET(
    arrears_months,'Loan Tape (S&amp;P)'!AN9411,
    IF(arrears_months=0,1.00,
    IF(arrears_months=1,3.00,
    IF(arrears_months=2,5.00,
    IF(arrears_months=3,8.00,
    IF(arrears_months=4,10.00,
    IF(arrears_months=5,12.00,15.00)))))))</f>
        <v/>
      </c>
      <c r="M9411">
        <f>LET(
    seasoning_years,DATEDIF('Loan Tape (S&amp;P)'!K9411,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11">
        <f>IF(AND('Loan Tape (S&amp;P)'!U9411="Yes",
        'Loan Tape (S&amp;P)'!T9411&lt;&gt;"Yes",
        DATEDIF('Loan Tape (S&amp;P)'!K9411, TODAY(), "M")&lt;18),
    1.10,
    1.00)</f>
        <v/>
      </c>
      <c r="O9411">
        <f>IF('Loan Tape (S&amp;P)'!T9411="Yes",
    1.35,
    1.00)</f>
        <v/>
      </c>
      <c r="P9411">
        <f>IF('Loan Tape (S&amp;P)'!S9411="Yes",
    1.15,
    1.00)</f>
        <v/>
      </c>
      <c r="Q9411">
        <f>IF('Loan Tape (S&amp;P)'!V9411="Yes",
    1.20,
    1.00)</f>
        <v/>
      </c>
      <c r="T9411">
        <f>LET(
    payment_method,'Loan Tape (S&amp;P)'!P9411,
    occupancy,'Loan Tape (S&amp;P)'!N9411,
    maturity_date,'Loan Tape (S&amp;P)'!L9411,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12">
      <c r="J9412">
        <f>LET(
    lien,'Loan Tape (S&amp;P)'!Q9412,
    IF(lien="First",1.00,
        IF(lien="Second",1.50,
            1.70)))</f>
        <v/>
      </c>
      <c r="K9412">
        <f>LET(
    purpose,'Loan Tape (S&amp;P)'!R9412,
    IF(purpose="Purchase",1.00,
        IF(purpose="Remortgage",1.00,
            1.20)))</f>
        <v/>
      </c>
      <c r="L9412">
        <f>LET(
    arrears_months,'Loan Tape (S&amp;P)'!AN9412,
    IF(arrears_months=0,1.00,
    IF(arrears_months=1,3.00,
    IF(arrears_months=2,5.00,
    IF(arrears_months=3,8.00,
    IF(arrears_months=4,10.00,
    IF(arrears_months=5,12.00,15.00)))))))</f>
        <v/>
      </c>
      <c r="M9412">
        <f>LET(
    seasoning_years,DATEDIF('Loan Tape (S&amp;P)'!K9412,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12">
        <f>IF(AND('Loan Tape (S&amp;P)'!U9412="Yes",
        'Loan Tape (S&amp;P)'!T9412&lt;&gt;"Yes",
        DATEDIF('Loan Tape (S&amp;P)'!K9412, TODAY(), "M")&lt;18),
    1.10,
    1.00)</f>
        <v/>
      </c>
      <c r="O9412">
        <f>IF('Loan Tape (S&amp;P)'!T9412="Yes",
    1.35,
    1.00)</f>
        <v/>
      </c>
      <c r="P9412">
        <f>IF('Loan Tape (S&amp;P)'!S9412="Yes",
    1.15,
    1.00)</f>
        <v/>
      </c>
      <c r="Q9412">
        <f>IF('Loan Tape (S&amp;P)'!V9412="Yes",
    1.20,
    1.00)</f>
        <v/>
      </c>
      <c r="T9412">
        <f>LET(
    payment_method,'Loan Tape (S&amp;P)'!P9412,
    occupancy,'Loan Tape (S&amp;P)'!N9412,
    maturity_date,'Loan Tape (S&amp;P)'!L9412,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13">
      <c r="J9413">
        <f>LET(
    lien,'Loan Tape (S&amp;P)'!Q9413,
    IF(lien="First",1.00,
        IF(lien="Second",1.50,
            1.70)))</f>
        <v/>
      </c>
      <c r="K9413">
        <f>LET(
    purpose,'Loan Tape (S&amp;P)'!R9413,
    IF(purpose="Purchase",1.00,
        IF(purpose="Remortgage",1.00,
            1.20)))</f>
        <v/>
      </c>
      <c r="L9413">
        <f>LET(
    arrears_months,'Loan Tape (S&amp;P)'!AN9413,
    IF(arrears_months=0,1.00,
    IF(arrears_months=1,3.00,
    IF(arrears_months=2,5.00,
    IF(arrears_months=3,8.00,
    IF(arrears_months=4,10.00,
    IF(arrears_months=5,12.00,15.00)))))))</f>
        <v/>
      </c>
      <c r="M9413">
        <f>LET(
    seasoning_years,DATEDIF('Loan Tape (S&amp;P)'!K9413,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13">
        <f>IF(AND('Loan Tape (S&amp;P)'!U9413="Yes",
        'Loan Tape (S&amp;P)'!T9413&lt;&gt;"Yes",
        DATEDIF('Loan Tape (S&amp;P)'!K9413, TODAY(), "M")&lt;18),
    1.10,
    1.00)</f>
        <v/>
      </c>
      <c r="O9413">
        <f>IF('Loan Tape (S&amp;P)'!T9413="Yes",
    1.35,
    1.00)</f>
        <v/>
      </c>
      <c r="P9413">
        <f>IF('Loan Tape (S&amp;P)'!S9413="Yes",
    1.15,
    1.00)</f>
        <v/>
      </c>
      <c r="Q9413">
        <f>IF('Loan Tape (S&amp;P)'!V9413="Yes",
    1.20,
    1.00)</f>
        <v/>
      </c>
      <c r="T9413">
        <f>LET(
    payment_method,'Loan Tape (S&amp;P)'!P9413,
    occupancy,'Loan Tape (S&amp;P)'!N9413,
    maturity_date,'Loan Tape (S&amp;P)'!L9413,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14">
      <c r="J9414">
        <f>LET(
    lien,'Loan Tape (S&amp;P)'!Q9414,
    IF(lien="First",1.00,
        IF(lien="Second",1.50,
            1.70)))</f>
        <v/>
      </c>
      <c r="K9414">
        <f>LET(
    purpose,'Loan Tape (S&amp;P)'!R9414,
    IF(purpose="Purchase",1.00,
        IF(purpose="Remortgage",1.00,
            1.20)))</f>
        <v/>
      </c>
      <c r="L9414">
        <f>LET(
    arrears_months,'Loan Tape (S&amp;P)'!AN9414,
    IF(arrears_months=0,1.00,
    IF(arrears_months=1,3.00,
    IF(arrears_months=2,5.00,
    IF(arrears_months=3,8.00,
    IF(arrears_months=4,10.00,
    IF(arrears_months=5,12.00,15.00)))))))</f>
        <v/>
      </c>
      <c r="M9414">
        <f>LET(
    seasoning_years,DATEDIF('Loan Tape (S&amp;P)'!K9414,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14">
        <f>IF(AND('Loan Tape (S&amp;P)'!U9414="Yes",
        'Loan Tape (S&amp;P)'!T9414&lt;&gt;"Yes",
        DATEDIF('Loan Tape (S&amp;P)'!K9414, TODAY(), "M")&lt;18),
    1.10,
    1.00)</f>
        <v/>
      </c>
      <c r="O9414">
        <f>IF('Loan Tape (S&amp;P)'!T9414="Yes",
    1.35,
    1.00)</f>
        <v/>
      </c>
      <c r="P9414">
        <f>IF('Loan Tape (S&amp;P)'!S9414="Yes",
    1.15,
    1.00)</f>
        <v/>
      </c>
      <c r="Q9414">
        <f>IF('Loan Tape (S&amp;P)'!V9414="Yes",
    1.20,
    1.00)</f>
        <v/>
      </c>
      <c r="T9414">
        <f>LET(
    payment_method,'Loan Tape (S&amp;P)'!P9414,
    occupancy,'Loan Tape (S&amp;P)'!N9414,
    maturity_date,'Loan Tape (S&amp;P)'!L9414,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15">
      <c r="J9415">
        <f>LET(
    lien,'Loan Tape (S&amp;P)'!Q9415,
    IF(lien="First",1.00,
        IF(lien="Second",1.50,
            1.70)))</f>
        <v/>
      </c>
      <c r="K9415">
        <f>LET(
    purpose,'Loan Tape (S&amp;P)'!R9415,
    IF(purpose="Purchase",1.00,
        IF(purpose="Remortgage",1.00,
            1.20)))</f>
        <v/>
      </c>
      <c r="L9415">
        <f>LET(
    arrears_months,'Loan Tape (S&amp;P)'!AN9415,
    IF(arrears_months=0,1.00,
    IF(arrears_months=1,3.00,
    IF(arrears_months=2,5.00,
    IF(arrears_months=3,8.00,
    IF(arrears_months=4,10.00,
    IF(arrears_months=5,12.00,15.00)))))))</f>
        <v/>
      </c>
      <c r="M9415">
        <f>LET(
    seasoning_years,DATEDIF('Loan Tape (S&amp;P)'!K9415,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15">
        <f>IF(AND('Loan Tape (S&amp;P)'!U9415="Yes",
        'Loan Tape (S&amp;P)'!T9415&lt;&gt;"Yes",
        DATEDIF('Loan Tape (S&amp;P)'!K9415, TODAY(), "M")&lt;18),
    1.10,
    1.00)</f>
        <v/>
      </c>
      <c r="O9415">
        <f>IF('Loan Tape (S&amp;P)'!T9415="Yes",
    1.35,
    1.00)</f>
        <v/>
      </c>
      <c r="P9415">
        <f>IF('Loan Tape (S&amp;P)'!S9415="Yes",
    1.15,
    1.00)</f>
        <v/>
      </c>
      <c r="Q9415">
        <f>IF('Loan Tape (S&amp;P)'!V9415="Yes",
    1.20,
    1.00)</f>
        <v/>
      </c>
      <c r="T9415">
        <f>LET(
    payment_method,'Loan Tape (S&amp;P)'!P9415,
    occupancy,'Loan Tape (S&amp;P)'!N9415,
    maturity_date,'Loan Tape (S&amp;P)'!L9415,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16">
      <c r="J9416">
        <f>LET(
    lien,'Loan Tape (S&amp;P)'!Q9416,
    IF(lien="First",1.00,
        IF(lien="Second",1.50,
            1.70)))</f>
        <v/>
      </c>
      <c r="K9416">
        <f>LET(
    purpose,'Loan Tape (S&amp;P)'!R9416,
    IF(purpose="Purchase",1.00,
        IF(purpose="Remortgage",1.00,
            1.20)))</f>
        <v/>
      </c>
      <c r="L9416">
        <f>LET(
    arrears_months,'Loan Tape (S&amp;P)'!AN9416,
    IF(arrears_months=0,1.00,
    IF(arrears_months=1,3.00,
    IF(arrears_months=2,5.00,
    IF(arrears_months=3,8.00,
    IF(arrears_months=4,10.00,
    IF(arrears_months=5,12.00,15.00)))))))</f>
        <v/>
      </c>
      <c r="M9416">
        <f>LET(
    seasoning_years,DATEDIF('Loan Tape (S&amp;P)'!K9416,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16">
        <f>IF(AND('Loan Tape (S&amp;P)'!U9416="Yes",
        'Loan Tape (S&amp;P)'!T9416&lt;&gt;"Yes",
        DATEDIF('Loan Tape (S&amp;P)'!K9416, TODAY(), "M")&lt;18),
    1.10,
    1.00)</f>
        <v/>
      </c>
      <c r="O9416">
        <f>IF('Loan Tape (S&amp;P)'!T9416="Yes",
    1.35,
    1.00)</f>
        <v/>
      </c>
      <c r="P9416">
        <f>IF('Loan Tape (S&amp;P)'!S9416="Yes",
    1.15,
    1.00)</f>
        <v/>
      </c>
      <c r="Q9416">
        <f>IF('Loan Tape (S&amp;P)'!V9416="Yes",
    1.20,
    1.00)</f>
        <v/>
      </c>
      <c r="T9416">
        <f>LET(
    payment_method,'Loan Tape (S&amp;P)'!P9416,
    occupancy,'Loan Tape (S&amp;P)'!N9416,
    maturity_date,'Loan Tape (S&amp;P)'!L9416,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17">
      <c r="J9417">
        <f>LET(
    lien,'Loan Tape (S&amp;P)'!Q9417,
    IF(lien="First",1.00,
        IF(lien="Second",1.50,
            1.70)))</f>
        <v/>
      </c>
      <c r="K9417">
        <f>LET(
    purpose,'Loan Tape (S&amp;P)'!R9417,
    IF(purpose="Purchase",1.00,
        IF(purpose="Remortgage",1.00,
            1.20)))</f>
        <v/>
      </c>
      <c r="L9417">
        <f>LET(
    arrears_months,'Loan Tape (S&amp;P)'!AN9417,
    IF(arrears_months=0,1.00,
    IF(arrears_months=1,3.00,
    IF(arrears_months=2,5.00,
    IF(arrears_months=3,8.00,
    IF(arrears_months=4,10.00,
    IF(arrears_months=5,12.00,15.00)))))))</f>
        <v/>
      </c>
      <c r="M9417">
        <f>LET(
    seasoning_years,DATEDIF('Loan Tape (S&amp;P)'!K9417,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17">
        <f>IF(AND('Loan Tape (S&amp;P)'!U9417="Yes",
        'Loan Tape (S&amp;P)'!T9417&lt;&gt;"Yes",
        DATEDIF('Loan Tape (S&amp;P)'!K9417, TODAY(), "M")&lt;18),
    1.10,
    1.00)</f>
        <v/>
      </c>
      <c r="O9417">
        <f>IF('Loan Tape (S&amp;P)'!T9417="Yes",
    1.35,
    1.00)</f>
        <v/>
      </c>
      <c r="P9417">
        <f>IF('Loan Tape (S&amp;P)'!S9417="Yes",
    1.15,
    1.00)</f>
        <v/>
      </c>
      <c r="Q9417">
        <f>IF('Loan Tape (S&amp;P)'!V9417="Yes",
    1.20,
    1.00)</f>
        <v/>
      </c>
      <c r="T9417">
        <f>LET(
    payment_method,'Loan Tape (S&amp;P)'!P9417,
    occupancy,'Loan Tape (S&amp;P)'!N9417,
    maturity_date,'Loan Tape (S&amp;P)'!L9417,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18">
      <c r="J9418">
        <f>LET(
    lien,'Loan Tape (S&amp;P)'!Q9418,
    IF(lien="First",1.00,
        IF(lien="Second",1.50,
            1.70)))</f>
        <v/>
      </c>
      <c r="K9418">
        <f>LET(
    purpose,'Loan Tape (S&amp;P)'!R9418,
    IF(purpose="Purchase",1.00,
        IF(purpose="Remortgage",1.00,
            1.20)))</f>
        <v/>
      </c>
      <c r="L9418">
        <f>LET(
    arrears_months,'Loan Tape (S&amp;P)'!AN9418,
    IF(arrears_months=0,1.00,
    IF(arrears_months=1,3.00,
    IF(arrears_months=2,5.00,
    IF(arrears_months=3,8.00,
    IF(arrears_months=4,10.00,
    IF(arrears_months=5,12.00,15.00)))))))</f>
        <v/>
      </c>
      <c r="M9418">
        <f>LET(
    seasoning_years,DATEDIF('Loan Tape (S&amp;P)'!K9418,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18">
        <f>IF(AND('Loan Tape (S&amp;P)'!U9418="Yes",
        'Loan Tape (S&amp;P)'!T9418&lt;&gt;"Yes",
        DATEDIF('Loan Tape (S&amp;P)'!K9418, TODAY(), "M")&lt;18),
    1.10,
    1.00)</f>
        <v/>
      </c>
      <c r="O9418">
        <f>IF('Loan Tape (S&amp;P)'!T9418="Yes",
    1.35,
    1.00)</f>
        <v/>
      </c>
      <c r="P9418">
        <f>IF('Loan Tape (S&amp;P)'!S9418="Yes",
    1.15,
    1.00)</f>
        <v/>
      </c>
      <c r="Q9418">
        <f>IF('Loan Tape (S&amp;P)'!V9418="Yes",
    1.20,
    1.00)</f>
        <v/>
      </c>
      <c r="T9418">
        <f>LET(
    payment_method,'Loan Tape (S&amp;P)'!P9418,
    occupancy,'Loan Tape (S&amp;P)'!N9418,
    maturity_date,'Loan Tape (S&amp;P)'!L9418,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19">
      <c r="J9419">
        <f>LET(
    lien,'Loan Tape (S&amp;P)'!Q9419,
    IF(lien="First",1.00,
        IF(lien="Second",1.50,
            1.70)))</f>
        <v/>
      </c>
      <c r="K9419">
        <f>LET(
    purpose,'Loan Tape (S&amp;P)'!R9419,
    IF(purpose="Purchase",1.00,
        IF(purpose="Remortgage",1.00,
            1.20)))</f>
        <v/>
      </c>
      <c r="L9419">
        <f>LET(
    arrears_months,'Loan Tape (S&amp;P)'!AN9419,
    IF(arrears_months=0,1.00,
    IF(arrears_months=1,3.00,
    IF(arrears_months=2,5.00,
    IF(arrears_months=3,8.00,
    IF(arrears_months=4,10.00,
    IF(arrears_months=5,12.00,15.00)))))))</f>
        <v/>
      </c>
      <c r="M9419">
        <f>LET(
    seasoning_years,DATEDIF('Loan Tape (S&amp;P)'!K9419,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19">
        <f>IF(AND('Loan Tape (S&amp;P)'!U9419="Yes",
        'Loan Tape (S&amp;P)'!T9419&lt;&gt;"Yes",
        DATEDIF('Loan Tape (S&amp;P)'!K9419, TODAY(), "M")&lt;18),
    1.10,
    1.00)</f>
        <v/>
      </c>
      <c r="O9419">
        <f>IF('Loan Tape (S&amp;P)'!T9419="Yes",
    1.35,
    1.00)</f>
        <v/>
      </c>
      <c r="P9419">
        <f>IF('Loan Tape (S&amp;P)'!S9419="Yes",
    1.15,
    1.00)</f>
        <v/>
      </c>
      <c r="Q9419">
        <f>IF('Loan Tape (S&amp;P)'!V9419="Yes",
    1.20,
    1.00)</f>
        <v/>
      </c>
      <c r="T9419">
        <f>LET(
    payment_method,'Loan Tape (S&amp;P)'!P9419,
    occupancy,'Loan Tape (S&amp;P)'!N9419,
    maturity_date,'Loan Tape (S&amp;P)'!L9419,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20">
      <c r="J9420">
        <f>LET(
    lien,'Loan Tape (S&amp;P)'!Q9420,
    IF(lien="First",1.00,
        IF(lien="Second",1.50,
            1.70)))</f>
        <v/>
      </c>
      <c r="K9420">
        <f>LET(
    purpose,'Loan Tape (S&amp;P)'!R9420,
    IF(purpose="Purchase",1.00,
        IF(purpose="Remortgage",1.00,
            1.20)))</f>
        <v/>
      </c>
      <c r="L9420">
        <f>LET(
    arrears_months,'Loan Tape (S&amp;P)'!AN9420,
    IF(arrears_months=0,1.00,
    IF(arrears_months=1,3.00,
    IF(arrears_months=2,5.00,
    IF(arrears_months=3,8.00,
    IF(arrears_months=4,10.00,
    IF(arrears_months=5,12.00,15.00)))))))</f>
        <v/>
      </c>
      <c r="M9420">
        <f>LET(
    seasoning_years,DATEDIF('Loan Tape (S&amp;P)'!K9420,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20">
        <f>IF(AND('Loan Tape (S&amp;P)'!U9420="Yes",
        'Loan Tape (S&amp;P)'!T9420&lt;&gt;"Yes",
        DATEDIF('Loan Tape (S&amp;P)'!K9420, TODAY(), "M")&lt;18),
    1.10,
    1.00)</f>
        <v/>
      </c>
      <c r="O9420">
        <f>IF('Loan Tape (S&amp;P)'!T9420="Yes",
    1.35,
    1.00)</f>
        <v/>
      </c>
      <c r="P9420">
        <f>IF('Loan Tape (S&amp;P)'!S9420="Yes",
    1.15,
    1.00)</f>
        <v/>
      </c>
      <c r="Q9420">
        <f>IF('Loan Tape (S&amp;P)'!V9420="Yes",
    1.20,
    1.00)</f>
        <v/>
      </c>
      <c r="T9420">
        <f>LET(
    payment_method,'Loan Tape (S&amp;P)'!P9420,
    occupancy,'Loan Tape (S&amp;P)'!N9420,
    maturity_date,'Loan Tape (S&amp;P)'!L9420,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21">
      <c r="J9421">
        <f>LET(
    lien,'Loan Tape (S&amp;P)'!Q9421,
    IF(lien="First",1.00,
        IF(lien="Second",1.50,
            1.70)))</f>
        <v/>
      </c>
      <c r="K9421">
        <f>LET(
    purpose,'Loan Tape (S&amp;P)'!R9421,
    IF(purpose="Purchase",1.00,
        IF(purpose="Remortgage",1.00,
            1.20)))</f>
        <v/>
      </c>
      <c r="L9421">
        <f>LET(
    arrears_months,'Loan Tape (S&amp;P)'!AN9421,
    IF(arrears_months=0,1.00,
    IF(arrears_months=1,3.00,
    IF(arrears_months=2,5.00,
    IF(arrears_months=3,8.00,
    IF(arrears_months=4,10.00,
    IF(arrears_months=5,12.00,15.00)))))))</f>
        <v/>
      </c>
      <c r="M9421">
        <f>LET(
    seasoning_years,DATEDIF('Loan Tape (S&amp;P)'!K9421,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21">
        <f>IF(AND('Loan Tape (S&amp;P)'!U9421="Yes",
        'Loan Tape (S&amp;P)'!T9421&lt;&gt;"Yes",
        DATEDIF('Loan Tape (S&amp;P)'!K9421, TODAY(), "M")&lt;18),
    1.10,
    1.00)</f>
        <v/>
      </c>
      <c r="O9421">
        <f>IF('Loan Tape (S&amp;P)'!T9421="Yes",
    1.35,
    1.00)</f>
        <v/>
      </c>
      <c r="P9421">
        <f>IF('Loan Tape (S&amp;P)'!S9421="Yes",
    1.15,
    1.00)</f>
        <v/>
      </c>
      <c r="Q9421">
        <f>IF('Loan Tape (S&amp;P)'!V9421="Yes",
    1.20,
    1.00)</f>
        <v/>
      </c>
      <c r="T9421">
        <f>LET(
    payment_method,'Loan Tape (S&amp;P)'!P9421,
    occupancy,'Loan Tape (S&amp;P)'!N9421,
    maturity_date,'Loan Tape (S&amp;P)'!L9421,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22">
      <c r="J9422">
        <f>LET(
    lien,'Loan Tape (S&amp;P)'!Q9422,
    IF(lien="First",1.00,
        IF(lien="Second",1.50,
            1.70)))</f>
        <v/>
      </c>
      <c r="K9422">
        <f>LET(
    purpose,'Loan Tape (S&amp;P)'!R9422,
    IF(purpose="Purchase",1.00,
        IF(purpose="Remortgage",1.00,
            1.20)))</f>
        <v/>
      </c>
      <c r="L9422">
        <f>LET(
    arrears_months,'Loan Tape (S&amp;P)'!AN9422,
    IF(arrears_months=0,1.00,
    IF(arrears_months=1,3.00,
    IF(arrears_months=2,5.00,
    IF(arrears_months=3,8.00,
    IF(arrears_months=4,10.00,
    IF(arrears_months=5,12.00,15.00)))))))</f>
        <v/>
      </c>
      <c r="M9422">
        <f>LET(
    seasoning_years,DATEDIF('Loan Tape (S&amp;P)'!K9422,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22">
        <f>IF(AND('Loan Tape (S&amp;P)'!U9422="Yes",
        'Loan Tape (S&amp;P)'!T9422&lt;&gt;"Yes",
        DATEDIF('Loan Tape (S&amp;P)'!K9422, TODAY(), "M")&lt;18),
    1.10,
    1.00)</f>
        <v/>
      </c>
      <c r="O9422">
        <f>IF('Loan Tape (S&amp;P)'!T9422="Yes",
    1.35,
    1.00)</f>
        <v/>
      </c>
      <c r="P9422">
        <f>IF('Loan Tape (S&amp;P)'!S9422="Yes",
    1.15,
    1.00)</f>
        <v/>
      </c>
      <c r="Q9422">
        <f>IF('Loan Tape (S&amp;P)'!V9422="Yes",
    1.20,
    1.00)</f>
        <v/>
      </c>
      <c r="T9422">
        <f>LET(
    payment_method,'Loan Tape (S&amp;P)'!P9422,
    occupancy,'Loan Tape (S&amp;P)'!N9422,
    maturity_date,'Loan Tape (S&amp;P)'!L9422,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23">
      <c r="J9423">
        <f>LET(
    lien,'Loan Tape (S&amp;P)'!Q9423,
    IF(lien="First",1.00,
        IF(lien="Second",1.50,
            1.70)))</f>
        <v/>
      </c>
      <c r="K9423">
        <f>LET(
    purpose,'Loan Tape (S&amp;P)'!R9423,
    IF(purpose="Purchase",1.00,
        IF(purpose="Remortgage",1.00,
            1.20)))</f>
        <v/>
      </c>
      <c r="L9423">
        <f>LET(
    arrears_months,'Loan Tape (S&amp;P)'!AN9423,
    IF(arrears_months=0,1.00,
    IF(arrears_months=1,3.00,
    IF(arrears_months=2,5.00,
    IF(arrears_months=3,8.00,
    IF(arrears_months=4,10.00,
    IF(arrears_months=5,12.00,15.00)))))))</f>
        <v/>
      </c>
      <c r="M9423">
        <f>LET(
    seasoning_years,DATEDIF('Loan Tape (S&amp;P)'!K9423,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23">
        <f>IF(AND('Loan Tape (S&amp;P)'!U9423="Yes",
        'Loan Tape (S&amp;P)'!T9423&lt;&gt;"Yes",
        DATEDIF('Loan Tape (S&amp;P)'!K9423, TODAY(), "M")&lt;18),
    1.10,
    1.00)</f>
        <v/>
      </c>
      <c r="O9423">
        <f>IF('Loan Tape (S&amp;P)'!T9423="Yes",
    1.35,
    1.00)</f>
        <v/>
      </c>
      <c r="P9423">
        <f>IF('Loan Tape (S&amp;P)'!S9423="Yes",
    1.15,
    1.00)</f>
        <v/>
      </c>
      <c r="Q9423">
        <f>IF('Loan Tape (S&amp;P)'!V9423="Yes",
    1.20,
    1.00)</f>
        <v/>
      </c>
      <c r="T9423">
        <f>LET(
    payment_method,'Loan Tape (S&amp;P)'!P9423,
    occupancy,'Loan Tape (S&amp;P)'!N9423,
    maturity_date,'Loan Tape (S&amp;P)'!L9423,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24">
      <c r="J9424">
        <f>LET(
    lien,'Loan Tape (S&amp;P)'!Q9424,
    IF(lien="First",1.00,
        IF(lien="Second",1.50,
            1.70)))</f>
        <v/>
      </c>
      <c r="K9424">
        <f>LET(
    purpose,'Loan Tape (S&amp;P)'!R9424,
    IF(purpose="Purchase",1.00,
        IF(purpose="Remortgage",1.00,
            1.20)))</f>
        <v/>
      </c>
      <c r="L9424">
        <f>LET(
    arrears_months,'Loan Tape (S&amp;P)'!AN9424,
    IF(arrears_months=0,1.00,
    IF(arrears_months=1,3.00,
    IF(arrears_months=2,5.00,
    IF(arrears_months=3,8.00,
    IF(arrears_months=4,10.00,
    IF(arrears_months=5,12.00,15.00)))))))</f>
        <v/>
      </c>
      <c r="M9424">
        <f>LET(
    seasoning_years,DATEDIF('Loan Tape (S&amp;P)'!K9424,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24">
        <f>IF(AND('Loan Tape (S&amp;P)'!U9424="Yes",
        'Loan Tape (S&amp;P)'!T9424&lt;&gt;"Yes",
        DATEDIF('Loan Tape (S&amp;P)'!K9424, TODAY(), "M")&lt;18),
    1.10,
    1.00)</f>
        <v/>
      </c>
      <c r="O9424">
        <f>IF('Loan Tape (S&amp;P)'!T9424="Yes",
    1.35,
    1.00)</f>
        <v/>
      </c>
      <c r="P9424">
        <f>IF('Loan Tape (S&amp;P)'!S9424="Yes",
    1.15,
    1.00)</f>
        <v/>
      </c>
      <c r="Q9424">
        <f>IF('Loan Tape (S&amp;P)'!V9424="Yes",
    1.20,
    1.00)</f>
        <v/>
      </c>
      <c r="T9424">
        <f>LET(
    payment_method,'Loan Tape (S&amp;P)'!P9424,
    occupancy,'Loan Tape (S&amp;P)'!N9424,
    maturity_date,'Loan Tape (S&amp;P)'!L9424,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25">
      <c r="J9425">
        <f>LET(
    lien,'Loan Tape (S&amp;P)'!Q9425,
    IF(lien="First",1.00,
        IF(lien="Second",1.50,
            1.70)))</f>
        <v/>
      </c>
      <c r="K9425">
        <f>LET(
    purpose,'Loan Tape (S&amp;P)'!R9425,
    IF(purpose="Purchase",1.00,
        IF(purpose="Remortgage",1.00,
            1.20)))</f>
        <v/>
      </c>
      <c r="L9425">
        <f>LET(
    arrears_months,'Loan Tape (S&amp;P)'!AN9425,
    IF(arrears_months=0,1.00,
    IF(arrears_months=1,3.00,
    IF(arrears_months=2,5.00,
    IF(arrears_months=3,8.00,
    IF(arrears_months=4,10.00,
    IF(arrears_months=5,12.00,15.00)))))))</f>
        <v/>
      </c>
      <c r="M9425">
        <f>LET(
    seasoning_years,DATEDIF('Loan Tape (S&amp;P)'!K9425,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25">
        <f>IF(AND('Loan Tape (S&amp;P)'!U9425="Yes",
        'Loan Tape (S&amp;P)'!T9425&lt;&gt;"Yes",
        DATEDIF('Loan Tape (S&amp;P)'!K9425, TODAY(), "M")&lt;18),
    1.10,
    1.00)</f>
        <v/>
      </c>
      <c r="O9425">
        <f>IF('Loan Tape (S&amp;P)'!T9425="Yes",
    1.35,
    1.00)</f>
        <v/>
      </c>
      <c r="P9425">
        <f>IF('Loan Tape (S&amp;P)'!S9425="Yes",
    1.15,
    1.00)</f>
        <v/>
      </c>
      <c r="Q9425">
        <f>IF('Loan Tape (S&amp;P)'!V9425="Yes",
    1.20,
    1.00)</f>
        <v/>
      </c>
      <c r="T9425">
        <f>LET(
    payment_method,'Loan Tape (S&amp;P)'!P9425,
    occupancy,'Loan Tape (S&amp;P)'!N9425,
    maturity_date,'Loan Tape (S&amp;P)'!L9425,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26">
      <c r="J9426">
        <f>LET(
    lien,'Loan Tape (S&amp;P)'!Q9426,
    IF(lien="First",1.00,
        IF(lien="Second",1.50,
            1.70)))</f>
        <v/>
      </c>
      <c r="K9426">
        <f>LET(
    purpose,'Loan Tape (S&amp;P)'!R9426,
    IF(purpose="Purchase",1.00,
        IF(purpose="Remortgage",1.00,
            1.20)))</f>
        <v/>
      </c>
      <c r="L9426">
        <f>LET(
    arrears_months,'Loan Tape (S&amp;P)'!AN9426,
    IF(arrears_months=0,1.00,
    IF(arrears_months=1,3.00,
    IF(arrears_months=2,5.00,
    IF(arrears_months=3,8.00,
    IF(arrears_months=4,10.00,
    IF(arrears_months=5,12.00,15.00)))))))</f>
        <v/>
      </c>
      <c r="M9426">
        <f>LET(
    seasoning_years,DATEDIF('Loan Tape (S&amp;P)'!K9426,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26">
        <f>IF(AND('Loan Tape (S&amp;P)'!U9426="Yes",
        'Loan Tape (S&amp;P)'!T9426&lt;&gt;"Yes",
        DATEDIF('Loan Tape (S&amp;P)'!K9426, TODAY(), "M")&lt;18),
    1.10,
    1.00)</f>
        <v/>
      </c>
      <c r="O9426">
        <f>IF('Loan Tape (S&amp;P)'!T9426="Yes",
    1.35,
    1.00)</f>
        <v/>
      </c>
      <c r="P9426">
        <f>IF('Loan Tape (S&amp;P)'!S9426="Yes",
    1.15,
    1.00)</f>
        <v/>
      </c>
      <c r="Q9426">
        <f>IF('Loan Tape (S&amp;P)'!V9426="Yes",
    1.20,
    1.00)</f>
        <v/>
      </c>
      <c r="T9426">
        <f>LET(
    payment_method,'Loan Tape (S&amp;P)'!P9426,
    occupancy,'Loan Tape (S&amp;P)'!N9426,
    maturity_date,'Loan Tape (S&amp;P)'!L9426,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27">
      <c r="J9427">
        <f>LET(
    lien,'Loan Tape (S&amp;P)'!Q9427,
    IF(lien="First",1.00,
        IF(lien="Second",1.50,
            1.70)))</f>
        <v/>
      </c>
      <c r="K9427">
        <f>LET(
    purpose,'Loan Tape (S&amp;P)'!R9427,
    IF(purpose="Purchase",1.00,
        IF(purpose="Remortgage",1.00,
            1.20)))</f>
        <v/>
      </c>
      <c r="L9427">
        <f>LET(
    arrears_months,'Loan Tape (S&amp;P)'!AN9427,
    IF(arrears_months=0,1.00,
    IF(arrears_months=1,3.00,
    IF(arrears_months=2,5.00,
    IF(arrears_months=3,8.00,
    IF(arrears_months=4,10.00,
    IF(arrears_months=5,12.00,15.00)))))))</f>
        <v/>
      </c>
      <c r="M9427">
        <f>LET(
    seasoning_years,DATEDIF('Loan Tape (S&amp;P)'!K9427,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27">
        <f>IF(AND('Loan Tape (S&amp;P)'!U9427="Yes",
        'Loan Tape (S&amp;P)'!T9427&lt;&gt;"Yes",
        DATEDIF('Loan Tape (S&amp;P)'!K9427, TODAY(), "M")&lt;18),
    1.10,
    1.00)</f>
        <v/>
      </c>
      <c r="O9427">
        <f>IF('Loan Tape (S&amp;P)'!T9427="Yes",
    1.35,
    1.00)</f>
        <v/>
      </c>
      <c r="P9427">
        <f>IF('Loan Tape (S&amp;P)'!S9427="Yes",
    1.15,
    1.00)</f>
        <v/>
      </c>
      <c r="Q9427">
        <f>IF('Loan Tape (S&amp;P)'!V9427="Yes",
    1.20,
    1.00)</f>
        <v/>
      </c>
      <c r="T9427">
        <f>LET(
    payment_method,'Loan Tape (S&amp;P)'!P9427,
    occupancy,'Loan Tape (S&amp;P)'!N9427,
    maturity_date,'Loan Tape (S&amp;P)'!L9427,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28">
      <c r="J9428">
        <f>LET(
    lien,'Loan Tape (S&amp;P)'!Q9428,
    IF(lien="First",1.00,
        IF(lien="Second",1.50,
            1.70)))</f>
        <v/>
      </c>
      <c r="K9428">
        <f>LET(
    purpose,'Loan Tape (S&amp;P)'!R9428,
    IF(purpose="Purchase",1.00,
        IF(purpose="Remortgage",1.00,
            1.20)))</f>
        <v/>
      </c>
      <c r="L9428">
        <f>LET(
    arrears_months,'Loan Tape (S&amp;P)'!AN9428,
    IF(arrears_months=0,1.00,
    IF(arrears_months=1,3.00,
    IF(arrears_months=2,5.00,
    IF(arrears_months=3,8.00,
    IF(arrears_months=4,10.00,
    IF(arrears_months=5,12.00,15.00)))))))</f>
        <v/>
      </c>
      <c r="M9428">
        <f>LET(
    seasoning_years,DATEDIF('Loan Tape (S&amp;P)'!K9428,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28">
        <f>IF(AND('Loan Tape (S&amp;P)'!U9428="Yes",
        'Loan Tape (S&amp;P)'!T9428&lt;&gt;"Yes",
        DATEDIF('Loan Tape (S&amp;P)'!K9428, TODAY(), "M")&lt;18),
    1.10,
    1.00)</f>
        <v/>
      </c>
      <c r="O9428">
        <f>IF('Loan Tape (S&amp;P)'!T9428="Yes",
    1.35,
    1.00)</f>
        <v/>
      </c>
      <c r="P9428">
        <f>IF('Loan Tape (S&amp;P)'!S9428="Yes",
    1.15,
    1.00)</f>
        <v/>
      </c>
      <c r="Q9428">
        <f>IF('Loan Tape (S&amp;P)'!V9428="Yes",
    1.20,
    1.00)</f>
        <v/>
      </c>
      <c r="T9428">
        <f>LET(
    payment_method,'Loan Tape (S&amp;P)'!P9428,
    occupancy,'Loan Tape (S&amp;P)'!N9428,
    maturity_date,'Loan Tape (S&amp;P)'!L9428,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29">
      <c r="J9429">
        <f>LET(
    lien,'Loan Tape (S&amp;P)'!Q9429,
    IF(lien="First",1.00,
        IF(lien="Second",1.50,
            1.70)))</f>
        <v/>
      </c>
      <c r="K9429">
        <f>LET(
    purpose,'Loan Tape (S&amp;P)'!R9429,
    IF(purpose="Purchase",1.00,
        IF(purpose="Remortgage",1.00,
            1.20)))</f>
        <v/>
      </c>
      <c r="L9429">
        <f>LET(
    arrears_months,'Loan Tape (S&amp;P)'!AN9429,
    IF(arrears_months=0,1.00,
    IF(arrears_months=1,3.00,
    IF(arrears_months=2,5.00,
    IF(arrears_months=3,8.00,
    IF(arrears_months=4,10.00,
    IF(arrears_months=5,12.00,15.00)))))))</f>
        <v/>
      </c>
      <c r="M9429">
        <f>LET(
    seasoning_years,DATEDIF('Loan Tape (S&amp;P)'!K9429,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29">
        <f>IF(AND('Loan Tape (S&amp;P)'!U9429="Yes",
        'Loan Tape (S&amp;P)'!T9429&lt;&gt;"Yes",
        DATEDIF('Loan Tape (S&amp;P)'!K9429, TODAY(), "M")&lt;18),
    1.10,
    1.00)</f>
        <v/>
      </c>
      <c r="O9429">
        <f>IF('Loan Tape (S&amp;P)'!T9429="Yes",
    1.35,
    1.00)</f>
        <v/>
      </c>
      <c r="P9429">
        <f>IF('Loan Tape (S&amp;P)'!S9429="Yes",
    1.15,
    1.00)</f>
        <v/>
      </c>
      <c r="Q9429">
        <f>IF('Loan Tape (S&amp;P)'!V9429="Yes",
    1.20,
    1.00)</f>
        <v/>
      </c>
      <c r="T9429">
        <f>LET(
    payment_method,'Loan Tape (S&amp;P)'!P9429,
    occupancy,'Loan Tape (S&amp;P)'!N9429,
    maturity_date,'Loan Tape (S&amp;P)'!L9429,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30">
      <c r="J9430">
        <f>LET(
    lien,'Loan Tape (S&amp;P)'!Q9430,
    IF(lien="First",1.00,
        IF(lien="Second",1.50,
            1.70)))</f>
        <v/>
      </c>
      <c r="K9430">
        <f>LET(
    purpose,'Loan Tape (S&amp;P)'!R9430,
    IF(purpose="Purchase",1.00,
        IF(purpose="Remortgage",1.00,
            1.20)))</f>
        <v/>
      </c>
      <c r="L9430">
        <f>LET(
    arrears_months,'Loan Tape (S&amp;P)'!AN9430,
    IF(arrears_months=0,1.00,
    IF(arrears_months=1,3.00,
    IF(arrears_months=2,5.00,
    IF(arrears_months=3,8.00,
    IF(arrears_months=4,10.00,
    IF(arrears_months=5,12.00,15.00)))))))</f>
        <v/>
      </c>
      <c r="M9430">
        <f>LET(
    seasoning_years,DATEDIF('Loan Tape (S&amp;P)'!K9430,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30">
        <f>IF(AND('Loan Tape (S&amp;P)'!U9430="Yes",
        'Loan Tape (S&amp;P)'!T9430&lt;&gt;"Yes",
        DATEDIF('Loan Tape (S&amp;P)'!K9430, TODAY(), "M")&lt;18),
    1.10,
    1.00)</f>
        <v/>
      </c>
      <c r="O9430">
        <f>IF('Loan Tape (S&amp;P)'!T9430="Yes",
    1.35,
    1.00)</f>
        <v/>
      </c>
      <c r="P9430">
        <f>IF('Loan Tape (S&amp;P)'!S9430="Yes",
    1.15,
    1.00)</f>
        <v/>
      </c>
      <c r="Q9430">
        <f>IF('Loan Tape (S&amp;P)'!V9430="Yes",
    1.20,
    1.00)</f>
        <v/>
      </c>
      <c r="T9430">
        <f>LET(
    payment_method,'Loan Tape (S&amp;P)'!P9430,
    occupancy,'Loan Tape (S&amp;P)'!N9430,
    maturity_date,'Loan Tape (S&amp;P)'!L9430,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31">
      <c r="J9431">
        <f>LET(
    lien,'Loan Tape (S&amp;P)'!Q9431,
    IF(lien="First",1.00,
        IF(lien="Second",1.50,
            1.70)))</f>
        <v/>
      </c>
      <c r="K9431">
        <f>LET(
    purpose,'Loan Tape (S&amp;P)'!R9431,
    IF(purpose="Purchase",1.00,
        IF(purpose="Remortgage",1.00,
            1.20)))</f>
        <v/>
      </c>
      <c r="L9431">
        <f>LET(
    arrears_months,'Loan Tape (S&amp;P)'!AN9431,
    IF(arrears_months=0,1.00,
    IF(arrears_months=1,3.00,
    IF(arrears_months=2,5.00,
    IF(arrears_months=3,8.00,
    IF(arrears_months=4,10.00,
    IF(arrears_months=5,12.00,15.00)))))))</f>
        <v/>
      </c>
      <c r="M9431">
        <f>LET(
    seasoning_years,DATEDIF('Loan Tape (S&amp;P)'!K9431,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31">
        <f>IF(AND('Loan Tape (S&amp;P)'!U9431="Yes",
        'Loan Tape (S&amp;P)'!T9431&lt;&gt;"Yes",
        DATEDIF('Loan Tape (S&amp;P)'!K9431, TODAY(), "M")&lt;18),
    1.10,
    1.00)</f>
        <v/>
      </c>
      <c r="O9431">
        <f>IF('Loan Tape (S&amp;P)'!T9431="Yes",
    1.35,
    1.00)</f>
        <v/>
      </c>
      <c r="P9431">
        <f>IF('Loan Tape (S&amp;P)'!S9431="Yes",
    1.15,
    1.00)</f>
        <v/>
      </c>
      <c r="Q9431">
        <f>IF('Loan Tape (S&amp;P)'!V9431="Yes",
    1.20,
    1.00)</f>
        <v/>
      </c>
      <c r="T9431">
        <f>LET(
    payment_method,'Loan Tape (S&amp;P)'!P9431,
    occupancy,'Loan Tape (S&amp;P)'!N9431,
    maturity_date,'Loan Tape (S&amp;P)'!L9431,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32">
      <c r="J9432">
        <f>LET(
    lien,'Loan Tape (S&amp;P)'!Q9432,
    IF(lien="First",1.00,
        IF(lien="Second",1.50,
            1.70)))</f>
        <v/>
      </c>
      <c r="K9432">
        <f>LET(
    purpose,'Loan Tape (S&amp;P)'!R9432,
    IF(purpose="Purchase",1.00,
        IF(purpose="Remortgage",1.00,
            1.20)))</f>
        <v/>
      </c>
      <c r="L9432">
        <f>LET(
    arrears_months,'Loan Tape (S&amp;P)'!AN9432,
    IF(arrears_months=0,1.00,
    IF(arrears_months=1,3.00,
    IF(arrears_months=2,5.00,
    IF(arrears_months=3,8.00,
    IF(arrears_months=4,10.00,
    IF(arrears_months=5,12.00,15.00)))))))</f>
        <v/>
      </c>
      <c r="M9432">
        <f>LET(
    seasoning_years,DATEDIF('Loan Tape (S&amp;P)'!K9432,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32">
        <f>IF(AND('Loan Tape (S&amp;P)'!U9432="Yes",
        'Loan Tape (S&amp;P)'!T9432&lt;&gt;"Yes",
        DATEDIF('Loan Tape (S&amp;P)'!K9432, TODAY(), "M")&lt;18),
    1.10,
    1.00)</f>
        <v/>
      </c>
      <c r="O9432">
        <f>IF('Loan Tape (S&amp;P)'!T9432="Yes",
    1.35,
    1.00)</f>
        <v/>
      </c>
      <c r="P9432">
        <f>IF('Loan Tape (S&amp;P)'!S9432="Yes",
    1.15,
    1.00)</f>
        <v/>
      </c>
      <c r="Q9432">
        <f>IF('Loan Tape (S&amp;P)'!V9432="Yes",
    1.20,
    1.00)</f>
        <v/>
      </c>
      <c r="T9432">
        <f>LET(
    payment_method,'Loan Tape (S&amp;P)'!P9432,
    occupancy,'Loan Tape (S&amp;P)'!N9432,
    maturity_date,'Loan Tape (S&amp;P)'!L9432,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33">
      <c r="J9433">
        <f>LET(
    lien,'Loan Tape (S&amp;P)'!Q9433,
    IF(lien="First",1.00,
        IF(lien="Second",1.50,
            1.70)))</f>
        <v/>
      </c>
      <c r="K9433">
        <f>LET(
    purpose,'Loan Tape (S&amp;P)'!R9433,
    IF(purpose="Purchase",1.00,
        IF(purpose="Remortgage",1.00,
            1.20)))</f>
        <v/>
      </c>
      <c r="L9433">
        <f>LET(
    arrears_months,'Loan Tape (S&amp;P)'!AN9433,
    IF(arrears_months=0,1.00,
    IF(arrears_months=1,3.00,
    IF(arrears_months=2,5.00,
    IF(arrears_months=3,8.00,
    IF(arrears_months=4,10.00,
    IF(arrears_months=5,12.00,15.00)))))))</f>
        <v/>
      </c>
      <c r="M9433">
        <f>LET(
    seasoning_years,DATEDIF('Loan Tape (S&amp;P)'!K9433,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33">
        <f>IF(AND('Loan Tape (S&amp;P)'!U9433="Yes",
        'Loan Tape (S&amp;P)'!T9433&lt;&gt;"Yes",
        DATEDIF('Loan Tape (S&amp;P)'!K9433, TODAY(), "M")&lt;18),
    1.10,
    1.00)</f>
        <v/>
      </c>
      <c r="O9433">
        <f>IF('Loan Tape (S&amp;P)'!T9433="Yes",
    1.35,
    1.00)</f>
        <v/>
      </c>
      <c r="P9433">
        <f>IF('Loan Tape (S&amp;P)'!S9433="Yes",
    1.15,
    1.00)</f>
        <v/>
      </c>
      <c r="Q9433">
        <f>IF('Loan Tape (S&amp;P)'!V9433="Yes",
    1.20,
    1.00)</f>
        <v/>
      </c>
      <c r="T9433">
        <f>LET(
    payment_method,'Loan Tape (S&amp;P)'!P9433,
    occupancy,'Loan Tape (S&amp;P)'!N9433,
    maturity_date,'Loan Tape (S&amp;P)'!L9433,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34">
      <c r="J9434">
        <f>LET(
    lien,'Loan Tape (S&amp;P)'!Q9434,
    IF(lien="First",1.00,
        IF(lien="Second",1.50,
            1.70)))</f>
        <v/>
      </c>
      <c r="K9434">
        <f>LET(
    purpose,'Loan Tape (S&amp;P)'!R9434,
    IF(purpose="Purchase",1.00,
        IF(purpose="Remortgage",1.00,
            1.20)))</f>
        <v/>
      </c>
      <c r="L9434">
        <f>LET(
    arrears_months,'Loan Tape (S&amp;P)'!AN9434,
    IF(arrears_months=0,1.00,
    IF(arrears_months=1,3.00,
    IF(arrears_months=2,5.00,
    IF(arrears_months=3,8.00,
    IF(arrears_months=4,10.00,
    IF(arrears_months=5,12.00,15.00)))))))</f>
        <v/>
      </c>
      <c r="M9434">
        <f>LET(
    seasoning_years,DATEDIF('Loan Tape (S&amp;P)'!K9434,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34">
        <f>IF(AND('Loan Tape (S&amp;P)'!U9434="Yes",
        'Loan Tape (S&amp;P)'!T9434&lt;&gt;"Yes",
        DATEDIF('Loan Tape (S&amp;P)'!K9434, TODAY(), "M")&lt;18),
    1.10,
    1.00)</f>
        <v/>
      </c>
      <c r="O9434">
        <f>IF('Loan Tape (S&amp;P)'!T9434="Yes",
    1.35,
    1.00)</f>
        <v/>
      </c>
      <c r="P9434">
        <f>IF('Loan Tape (S&amp;P)'!S9434="Yes",
    1.15,
    1.00)</f>
        <v/>
      </c>
      <c r="Q9434">
        <f>IF('Loan Tape (S&amp;P)'!V9434="Yes",
    1.20,
    1.00)</f>
        <v/>
      </c>
      <c r="T9434">
        <f>LET(
    payment_method,'Loan Tape (S&amp;P)'!P9434,
    occupancy,'Loan Tape (S&amp;P)'!N9434,
    maturity_date,'Loan Tape (S&amp;P)'!L9434,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35">
      <c r="J9435">
        <f>LET(
    lien,'Loan Tape (S&amp;P)'!Q9435,
    IF(lien="First",1.00,
        IF(lien="Second",1.50,
            1.70)))</f>
        <v/>
      </c>
      <c r="K9435">
        <f>LET(
    purpose,'Loan Tape (S&amp;P)'!R9435,
    IF(purpose="Purchase",1.00,
        IF(purpose="Remortgage",1.00,
            1.20)))</f>
        <v/>
      </c>
      <c r="L9435">
        <f>LET(
    arrears_months,'Loan Tape (S&amp;P)'!AN9435,
    IF(arrears_months=0,1.00,
    IF(arrears_months=1,3.00,
    IF(arrears_months=2,5.00,
    IF(arrears_months=3,8.00,
    IF(arrears_months=4,10.00,
    IF(arrears_months=5,12.00,15.00)))))))</f>
        <v/>
      </c>
      <c r="M9435">
        <f>LET(
    seasoning_years,DATEDIF('Loan Tape (S&amp;P)'!K9435,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35">
        <f>IF(AND('Loan Tape (S&amp;P)'!U9435="Yes",
        'Loan Tape (S&amp;P)'!T9435&lt;&gt;"Yes",
        DATEDIF('Loan Tape (S&amp;P)'!K9435, TODAY(), "M")&lt;18),
    1.10,
    1.00)</f>
        <v/>
      </c>
      <c r="O9435">
        <f>IF('Loan Tape (S&amp;P)'!T9435="Yes",
    1.35,
    1.00)</f>
        <v/>
      </c>
      <c r="P9435">
        <f>IF('Loan Tape (S&amp;P)'!S9435="Yes",
    1.15,
    1.00)</f>
        <v/>
      </c>
      <c r="Q9435">
        <f>IF('Loan Tape (S&amp;P)'!V9435="Yes",
    1.20,
    1.00)</f>
        <v/>
      </c>
      <c r="T9435">
        <f>LET(
    payment_method,'Loan Tape (S&amp;P)'!P9435,
    occupancy,'Loan Tape (S&amp;P)'!N9435,
    maturity_date,'Loan Tape (S&amp;P)'!L9435,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36">
      <c r="J9436">
        <f>LET(
    lien,'Loan Tape (S&amp;P)'!Q9436,
    IF(lien="First",1.00,
        IF(lien="Second",1.50,
            1.70)))</f>
        <v/>
      </c>
      <c r="K9436">
        <f>LET(
    purpose,'Loan Tape (S&amp;P)'!R9436,
    IF(purpose="Purchase",1.00,
        IF(purpose="Remortgage",1.00,
            1.20)))</f>
        <v/>
      </c>
      <c r="L9436">
        <f>LET(
    arrears_months,'Loan Tape (S&amp;P)'!AN9436,
    IF(arrears_months=0,1.00,
    IF(arrears_months=1,3.00,
    IF(arrears_months=2,5.00,
    IF(arrears_months=3,8.00,
    IF(arrears_months=4,10.00,
    IF(arrears_months=5,12.00,15.00)))))))</f>
        <v/>
      </c>
      <c r="M9436">
        <f>LET(
    seasoning_years,DATEDIF('Loan Tape (S&amp;P)'!K9436,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36">
        <f>IF(AND('Loan Tape (S&amp;P)'!U9436="Yes",
        'Loan Tape (S&amp;P)'!T9436&lt;&gt;"Yes",
        DATEDIF('Loan Tape (S&amp;P)'!K9436, TODAY(), "M")&lt;18),
    1.10,
    1.00)</f>
        <v/>
      </c>
      <c r="O9436">
        <f>IF('Loan Tape (S&amp;P)'!T9436="Yes",
    1.35,
    1.00)</f>
        <v/>
      </c>
      <c r="P9436">
        <f>IF('Loan Tape (S&amp;P)'!S9436="Yes",
    1.15,
    1.00)</f>
        <v/>
      </c>
      <c r="Q9436">
        <f>IF('Loan Tape (S&amp;P)'!V9436="Yes",
    1.20,
    1.00)</f>
        <v/>
      </c>
      <c r="T9436">
        <f>LET(
    payment_method,'Loan Tape (S&amp;P)'!P9436,
    occupancy,'Loan Tape (S&amp;P)'!N9436,
    maturity_date,'Loan Tape (S&amp;P)'!L9436,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37">
      <c r="J9437">
        <f>LET(
    lien,'Loan Tape (S&amp;P)'!Q9437,
    IF(lien="First",1.00,
        IF(lien="Second",1.50,
            1.70)))</f>
        <v/>
      </c>
      <c r="K9437">
        <f>LET(
    purpose,'Loan Tape (S&amp;P)'!R9437,
    IF(purpose="Purchase",1.00,
        IF(purpose="Remortgage",1.00,
            1.20)))</f>
        <v/>
      </c>
      <c r="L9437">
        <f>LET(
    arrears_months,'Loan Tape (S&amp;P)'!AN9437,
    IF(arrears_months=0,1.00,
    IF(arrears_months=1,3.00,
    IF(arrears_months=2,5.00,
    IF(arrears_months=3,8.00,
    IF(arrears_months=4,10.00,
    IF(arrears_months=5,12.00,15.00)))))))</f>
        <v/>
      </c>
      <c r="M9437">
        <f>LET(
    seasoning_years,DATEDIF('Loan Tape (S&amp;P)'!K9437,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37">
        <f>IF(AND('Loan Tape (S&amp;P)'!U9437="Yes",
        'Loan Tape (S&amp;P)'!T9437&lt;&gt;"Yes",
        DATEDIF('Loan Tape (S&amp;P)'!K9437, TODAY(), "M")&lt;18),
    1.10,
    1.00)</f>
        <v/>
      </c>
      <c r="O9437">
        <f>IF('Loan Tape (S&amp;P)'!T9437="Yes",
    1.35,
    1.00)</f>
        <v/>
      </c>
      <c r="P9437">
        <f>IF('Loan Tape (S&amp;P)'!S9437="Yes",
    1.15,
    1.00)</f>
        <v/>
      </c>
      <c r="Q9437">
        <f>IF('Loan Tape (S&amp;P)'!V9437="Yes",
    1.20,
    1.00)</f>
        <v/>
      </c>
      <c r="T9437">
        <f>LET(
    payment_method,'Loan Tape (S&amp;P)'!P9437,
    occupancy,'Loan Tape (S&amp;P)'!N9437,
    maturity_date,'Loan Tape (S&amp;P)'!L9437,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38">
      <c r="J9438">
        <f>LET(
    lien,'Loan Tape (S&amp;P)'!Q9438,
    IF(lien="First",1.00,
        IF(lien="Second",1.50,
            1.70)))</f>
        <v/>
      </c>
      <c r="K9438">
        <f>LET(
    purpose,'Loan Tape (S&amp;P)'!R9438,
    IF(purpose="Purchase",1.00,
        IF(purpose="Remortgage",1.00,
            1.20)))</f>
        <v/>
      </c>
      <c r="L9438">
        <f>LET(
    arrears_months,'Loan Tape (S&amp;P)'!AN9438,
    IF(arrears_months=0,1.00,
    IF(arrears_months=1,3.00,
    IF(arrears_months=2,5.00,
    IF(arrears_months=3,8.00,
    IF(arrears_months=4,10.00,
    IF(arrears_months=5,12.00,15.00)))))))</f>
        <v/>
      </c>
      <c r="M9438">
        <f>LET(
    seasoning_years,DATEDIF('Loan Tape (S&amp;P)'!K9438,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38">
        <f>IF(AND('Loan Tape (S&amp;P)'!U9438="Yes",
        'Loan Tape (S&amp;P)'!T9438&lt;&gt;"Yes",
        DATEDIF('Loan Tape (S&amp;P)'!K9438, TODAY(), "M")&lt;18),
    1.10,
    1.00)</f>
        <v/>
      </c>
      <c r="O9438">
        <f>IF('Loan Tape (S&amp;P)'!T9438="Yes",
    1.35,
    1.00)</f>
        <v/>
      </c>
      <c r="P9438">
        <f>IF('Loan Tape (S&amp;P)'!S9438="Yes",
    1.15,
    1.00)</f>
        <v/>
      </c>
      <c r="Q9438">
        <f>IF('Loan Tape (S&amp;P)'!V9438="Yes",
    1.20,
    1.00)</f>
        <v/>
      </c>
      <c r="T9438">
        <f>LET(
    payment_method,'Loan Tape (S&amp;P)'!P9438,
    occupancy,'Loan Tape (S&amp;P)'!N9438,
    maturity_date,'Loan Tape (S&amp;P)'!L9438,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39">
      <c r="J9439">
        <f>LET(
    lien,'Loan Tape (S&amp;P)'!Q9439,
    IF(lien="First",1.00,
        IF(lien="Second",1.50,
            1.70)))</f>
        <v/>
      </c>
      <c r="K9439">
        <f>LET(
    purpose,'Loan Tape (S&amp;P)'!R9439,
    IF(purpose="Purchase",1.00,
        IF(purpose="Remortgage",1.00,
            1.20)))</f>
        <v/>
      </c>
      <c r="L9439">
        <f>LET(
    arrears_months,'Loan Tape (S&amp;P)'!AN9439,
    IF(arrears_months=0,1.00,
    IF(arrears_months=1,3.00,
    IF(arrears_months=2,5.00,
    IF(arrears_months=3,8.00,
    IF(arrears_months=4,10.00,
    IF(arrears_months=5,12.00,15.00)))))))</f>
        <v/>
      </c>
      <c r="M9439">
        <f>LET(
    seasoning_years,DATEDIF('Loan Tape (S&amp;P)'!K9439,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39">
        <f>IF(AND('Loan Tape (S&amp;P)'!U9439="Yes",
        'Loan Tape (S&amp;P)'!T9439&lt;&gt;"Yes",
        DATEDIF('Loan Tape (S&amp;P)'!K9439, TODAY(), "M")&lt;18),
    1.10,
    1.00)</f>
        <v/>
      </c>
      <c r="O9439">
        <f>IF('Loan Tape (S&amp;P)'!T9439="Yes",
    1.35,
    1.00)</f>
        <v/>
      </c>
      <c r="P9439">
        <f>IF('Loan Tape (S&amp;P)'!S9439="Yes",
    1.15,
    1.00)</f>
        <v/>
      </c>
      <c r="Q9439">
        <f>IF('Loan Tape (S&amp;P)'!V9439="Yes",
    1.20,
    1.00)</f>
        <v/>
      </c>
      <c r="T9439">
        <f>LET(
    payment_method,'Loan Tape (S&amp;P)'!P9439,
    occupancy,'Loan Tape (S&amp;P)'!N9439,
    maturity_date,'Loan Tape (S&amp;P)'!L9439,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40">
      <c r="J9440">
        <f>LET(
    lien,'Loan Tape (S&amp;P)'!Q9440,
    IF(lien="First",1.00,
        IF(lien="Second",1.50,
            1.70)))</f>
        <v/>
      </c>
      <c r="K9440">
        <f>LET(
    purpose,'Loan Tape (S&amp;P)'!R9440,
    IF(purpose="Purchase",1.00,
        IF(purpose="Remortgage",1.00,
            1.20)))</f>
        <v/>
      </c>
      <c r="L9440">
        <f>LET(
    arrears_months,'Loan Tape (S&amp;P)'!AN9440,
    IF(arrears_months=0,1.00,
    IF(arrears_months=1,3.00,
    IF(arrears_months=2,5.00,
    IF(arrears_months=3,8.00,
    IF(arrears_months=4,10.00,
    IF(arrears_months=5,12.00,15.00)))))))</f>
        <v/>
      </c>
      <c r="M9440">
        <f>LET(
    seasoning_years,DATEDIF('Loan Tape (S&amp;P)'!K9440,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40">
        <f>IF(AND('Loan Tape (S&amp;P)'!U9440="Yes",
        'Loan Tape (S&amp;P)'!T9440&lt;&gt;"Yes",
        DATEDIF('Loan Tape (S&amp;P)'!K9440, TODAY(), "M")&lt;18),
    1.10,
    1.00)</f>
        <v/>
      </c>
      <c r="O9440">
        <f>IF('Loan Tape (S&amp;P)'!T9440="Yes",
    1.35,
    1.00)</f>
        <v/>
      </c>
      <c r="P9440">
        <f>IF('Loan Tape (S&amp;P)'!S9440="Yes",
    1.15,
    1.00)</f>
        <v/>
      </c>
      <c r="Q9440">
        <f>IF('Loan Tape (S&amp;P)'!V9440="Yes",
    1.20,
    1.00)</f>
        <v/>
      </c>
      <c r="T9440">
        <f>LET(
    payment_method,'Loan Tape (S&amp;P)'!P9440,
    occupancy,'Loan Tape (S&amp;P)'!N9440,
    maturity_date,'Loan Tape (S&amp;P)'!L9440,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41">
      <c r="J9441">
        <f>LET(
    lien,'Loan Tape (S&amp;P)'!Q9441,
    IF(lien="First",1.00,
        IF(lien="Second",1.50,
            1.70)))</f>
        <v/>
      </c>
      <c r="K9441">
        <f>LET(
    purpose,'Loan Tape (S&amp;P)'!R9441,
    IF(purpose="Purchase",1.00,
        IF(purpose="Remortgage",1.00,
            1.20)))</f>
        <v/>
      </c>
      <c r="L9441">
        <f>LET(
    arrears_months,'Loan Tape (S&amp;P)'!AN9441,
    IF(arrears_months=0,1.00,
    IF(arrears_months=1,3.00,
    IF(arrears_months=2,5.00,
    IF(arrears_months=3,8.00,
    IF(arrears_months=4,10.00,
    IF(arrears_months=5,12.00,15.00)))))))</f>
        <v/>
      </c>
      <c r="M9441">
        <f>LET(
    seasoning_years,DATEDIF('Loan Tape (S&amp;P)'!K9441,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41">
        <f>IF(AND('Loan Tape (S&amp;P)'!U9441="Yes",
        'Loan Tape (S&amp;P)'!T9441&lt;&gt;"Yes",
        DATEDIF('Loan Tape (S&amp;P)'!K9441, TODAY(), "M")&lt;18),
    1.10,
    1.00)</f>
        <v/>
      </c>
      <c r="O9441">
        <f>IF('Loan Tape (S&amp;P)'!T9441="Yes",
    1.35,
    1.00)</f>
        <v/>
      </c>
      <c r="P9441">
        <f>IF('Loan Tape (S&amp;P)'!S9441="Yes",
    1.15,
    1.00)</f>
        <v/>
      </c>
      <c r="Q9441">
        <f>IF('Loan Tape (S&amp;P)'!V9441="Yes",
    1.20,
    1.00)</f>
        <v/>
      </c>
      <c r="T9441">
        <f>LET(
    payment_method,'Loan Tape (S&amp;P)'!P9441,
    occupancy,'Loan Tape (S&amp;P)'!N9441,
    maturity_date,'Loan Tape (S&amp;P)'!L9441,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42">
      <c r="J9442">
        <f>LET(
    lien,'Loan Tape (S&amp;P)'!Q9442,
    IF(lien="First",1.00,
        IF(lien="Second",1.50,
            1.70)))</f>
        <v/>
      </c>
      <c r="K9442">
        <f>LET(
    purpose,'Loan Tape (S&amp;P)'!R9442,
    IF(purpose="Purchase",1.00,
        IF(purpose="Remortgage",1.00,
            1.20)))</f>
        <v/>
      </c>
      <c r="L9442">
        <f>LET(
    arrears_months,'Loan Tape (S&amp;P)'!AN9442,
    IF(arrears_months=0,1.00,
    IF(arrears_months=1,3.00,
    IF(arrears_months=2,5.00,
    IF(arrears_months=3,8.00,
    IF(arrears_months=4,10.00,
    IF(arrears_months=5,12.00,15.00)))))))</f>
        <v/>
      </c>
      <c r="M9442">
        <f>LET(
    seasoning_years,DATEDIF('Loan Tape (S&amp;P)'!K9442,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42">
        <f>IF(AND('Loan Tape (S&amp;P)'!U9442="Yes",
        'Loan Tape (S&amp;P)'!T9442&lt;&gt;"Yes",
        DATEDIF('Loan Tape (S&amp;P)'!K9442, TODAY(), "M")&lt;18),
    1.10,
    1.00)</f>
        <v/>
      </c>
      <c r="O9442">
        <f>IF('Loan Tape (S&amp;P)'!T9442="Yes",
    1.35,
    1.00)</f>
        <v/>
      </c>
      <c r="P9442">
        <f>IF('Loan Tape (S&amp;P)'!S9442="Yes",
    1.15,
    1.00)</f>
        <v/>
      </c>
      <c r="Q9442">
        <f>IF('Loan Tape (S&amp;P)'!V9442="Yes",
    1.20,
    1.00)</f>
        <v/>
      </c>
      <c r="T9442">
        <f>LET(
    payment_method,'Loan Tape (S&amp;P)'!P9442,
    occupancy,'Loan Tape (S&amp;P)'!N9442,
    maturity_date,'Loan Tape (S&amp;P)'!L9442,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43">
      <c r="J9443">
        <f>LET(
    lien,'Loan Tape (S&amp;P)'!Q9443,
    IF(lien="First",1.00,
        IF(lien="Second",1.50,
            1.70)))</f>
        <v/>
      </c>
      <c r="K9443">
        <f>LET(
    purpose,'Loan Tape (S&amp;P)'!R9443,
    IF(purpose="Purchase",1.00,
        IF(purpose="Remortgage",1.00,
            1.20)))</f>
        <v/>
      </c>
      <c r="L9443">
        <f>LET(
    arrears_months,'Loan Tape (S&amp;P)'!AN9443,
    IF(arrears_months=0,1.00,
    IF(arrears_months=1,3.00,
    IF(arrears_months=2,5.00,
    IF(arrears_months=3,8.00,
    IF(arrears_months=4,10.00,
    IF(arrears_months=5,12.00,15.00)))))))</f>
        <v/>
      </c>
      <c r="M9443">
        <f>LET(
    seasoning_years,DATEDIF('Loan Tape (S&amp;P)'!K9443,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43">
        <f>IF(AND('Loan Tape (S&amp;P)'!U9443="Yes",
        'Loan Tape (S&amp;P)'!T9443&lt;&gt;"Yes",
        DATEDIF('Loan Tape (S&amp;P)'!K9443, TODAY(), "M")&lt;18),
    1.10,
    1.00)</f>
        <v/>
      </c>
      <c r="O9443">
        <f>IF('Loan Tape (S&amp;P)'!T9443="Yes",
    1.35,
    1.00)</f>
        <v/>
      </c>
      <c r="P9443">
        <f>IF('Loan Tape (S&amp;P)'!S9443="Yes",
    1.15,
    1.00)</f>
        <v/>
      </c>
      <c r="Q9443">
        <f>IF('Loan Tape (S&amp;P)'!V9443="Yes",
    1.20,
    1.00)</f>
        <v/>
      </c>
      <c r="T9443">
        <f>LET(
    payment_method,'Loan Tape (S&amp;P)'!P9443,
    occupancy,'Loan Tape (S&amp;P)'!N9443,
    maturity_date,'Loan Tape (S&amp;P)'!L9443,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44">
      <c r="J9444">
        <f>LET(
    lien,'Loan Tape (S&amp;P)'!Q9444,
    IF(lien="First",1.00,
        IF(lien="Second",1.50,
            1.70)))</f>
        <v/>
      </c>
      <c r="K9444">
        <f>LET(
    purpose,'Loan Tape (S&amp;P)'!R9444,
    IF(purpose="Purchase",1.00,
        IF(purpose="Remortgage",1.00,
            1.20)))</f>
        <v/>
      </c>
      <c r="L9444">
        <f>LET(
    arrears_months,'Loan Tape (S&amp;P)'!AN9444,
    IF(arrears_months=0,1.00,
    IF(arrears_months=1,3.00,
    IF(arrears_months=2,5.00,
    IF(arrears_months=3,8.00,
    IF(arrears_months=4,10.00,
    IF(arrears_months=5,12.00,15.00)))))))</f>
        <v/>
      </c>
      <c r="M9444">
        <f>LET(
    seasoning_years,DATEDIF('Loan Tape (S&amp;P)'!K9444,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44">
        <f>IF(AND('Loan Tape (S&amp;P)'!U9444="Yes",
        'Loan Tape (S&amp;P)'!T9444&lt;&gt;"Yes",
        DATEDIF('Loan Tape (S&amp;P)'!K9444, TODAY(), "M")&lt;18),
    1.10,
    1.00)</f>
        <v/>
      </c>
      <c r="O9444">
        <f>IF('Loan Tape (S&amp;P)'!T9444="Yes",
    1.35,
    1.00)</f>
        <v/>
      </c>
      <c r="P9444">
        <f>IF('Loan Tape (S&amp;P)'!S9444="Yes",
    1.15,
    1.00)</f>
        <v/>
      </c>
      <c r="Q9444">
        <f>IF('Loan Tape (S&amp;P)'!V9444="Yes",
    1.20,
    1.00)</f>
        <v/>
      </c>
      <c r="T9444">
        <f>LET(
    payment_method,'Loan Tape (S&amp;P)'!P9444,
    occupancy,'Loan Tape (S&amp;P)'!N9444,
    maturity_date,'Loan Tape (S&amp;P)'!L9444,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45">
      <c r="J9445">
        <f>LET(
    lien,'Loan Tape (S&amp;P)'!Q9445,
    IF(lien="First",1.00,
        IF(lien="Second",1.50,
            1.70)))</f>
        <v/>
      </c>
      <c r="K9445">
        <f>LET(
    purpose,'Loan Tape (S&amp;P)'!R9445,
    IF(purpose="Purchase",1.00,
        IF(purpose="Remortgage",1.00,
            1.20)))</f>
        <v/>
      </c>
      <c r="L9445">
        <f>LET(
    arrears_months,'Loan Tape (S&amp;P)'!AN9445,
    IF(arrears_months=0,1.00,
    IF(arrears_months=1,3.00,
    IF(arrears_months=2,5.00,
    IF(arrears_months=3,8.00,
    IF(arrears_months=4,10.00,
    IF(arrears_months=5,12.00,15.00)))))))</f>
        <v/>
      </c>
      <c r="M9445">
        <f>LET(
    seasoning_years,DATEDIF('Loan Tape (S&amp;P)'!K9445,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45">
        <f>IF(AND('Loan Tape (S&amp;P)'!U9445="Yes",
        'Loan Tape (S&amp;P)'!T9445&lt;&gt;"Yes",
        DATEDIF('Loan Tape (S&amp;P)'!K9445, TODAY(), "M")&lt;18),
    1.10,
    1.00)</f>
        <v/>
      </c>
      <c r="O9445">
        <f>IF('Loan Tape (S&amp;P)'!T9445="Yes",
    1.35,
    1.00)</f>
        <v/>
      </c>
      <c r="P9445">
        <f>IF('Loan Tape (S&amp;P)'!S9445="Yes",
    1.15,
    1.00)</f>
        <v/>
      </c>
      <c r="Q9445">
        <f>IF('Loan Tape (S&amp;P)'!V9445="Yes",
    1.20,
    1.00)</f>
        <v/>
      </c>
      <c r="T9445">
        <f>LET(
    payment_method,'Loan Tape (S&amp;P)'!P9445,
    occupancy,'Loan Tape (S&amp;P)'!N9445,
    maturity_date,'Loan Tape (S&amp;P)'!L9445,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46">
      <c r="J9446">
        <f>LET(
    lien,'Loan Tape (S&amp;P)'!Q9446,
    IF(lien="First",1.00,
        IF(lien="Second",1.50,
            1.70)))</f>
        <v/>
      </c>
      <c r="K9446">
        <f>LET(
    purpose,'Loan Tape (S&amp;P)'!R9446,
    IF(purpose="Purchase",1.00,
        IF(purpose="Remortgage",1.00,
            1.20)))</f>
        <v/>
      </c>
      <c r="L9446">
        <f>LET(
    arrears_months,'Loan Tape (S&amp;P)'!AN9446,
    IF(arrears_months=0,1.00,
    IF(arrears_months=1,3.00,
    IF(arrears_months=2,5.00,
    IF(arrears_months=3,8.00,
    IF(arrears_months=4,10.00,
    IF(arrears_months=5,12.00,15.00)))))))</f>
        <v/>
      </c>
      <c r="M9446">
        <f>LET(
    seasoning_years,DATEDIF('Loan Tape (S&amp;P)'!K9446,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46">
        <f>IF(AND('Loan Tape (S&amp;P)'!U9446="Yes",
        'Loan Tape (S&amp;P)'!T9446&lt;&gt;"Yes",
        DATEDIF('Loan Tape (S&amp;P)'!K9446, TODAY(), "M")&lt;18),
    1.10,
    1.00)</f>
        <v/>
      </c>
      <c r="O9446">
        <f>IF('Loan Tape (S&amp;P)'!T9446="Yes",
    1.35,
    1.00)</f>
        <v/>
      </c>
      <c r="P9446">
        <f>IF('Loan Tape (S&amp;P)'!S9446="Yes",
    1.15,
    1.00)</f>
        <v/>
      </c>
      <c r="Q9446">
        <f>IF('Loan Tape (S&amp;P)'!V9446="Yes",
    1.20,
    1.00)</f>
        <v/>
      </c>
      <c r="T9446">
        <f>LET(
    payment_method,'Loan Tape (S&amp;P)'!P9446,
    occupancy,'Loan Tape (S&amp;P)'!N9446,
    maturity_date,'Loan Tape (S&amp;P)'!L9446,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47">
      <c r="J9447">
        <f>LET(
    lien,'Loan Tape (S&amp;P)'!Q9447,
    IF(lien="First",1.00,
        IF(lien="Second",1.50,
            1.70)))</f>
        <v/>
      </c>
      <c r="K9447">
        <f>LET(
    purpose,'Loan Tape (S&amp;P)'!R9447,
    IF(purpose="Purchase",1.00,
        IF(purpose="Remortgage",1.00,
            1.20)))</f>
        <v/>
      </c>
      <c r="L9447">
        <f>LET(
    arrears_months,'Loan Tape (S&amp;P)'!AN9447,
    IF(arrears_months=0,1.00,
    IF(arrears_months=1,3.00,
    IF(arrears_months=2,5.00,
    IF(arrears_months=3,8.00,
    IF(arrears_months=4,10.00,
    IF(arrears_months=5,12.00,15.00)))))))</f>
        <v/>
      </c>
      <c r="M9447">
        <f>LET(
    seasoning_years,DATEDIF('Loan Tape (S&amp;P)'!K9447,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47">
        <f>IF(AND('Loan Tape (S&amp;P)'!U9447="Yes",
        'Loan Tape (S&amp;P)'!T9447&lt;&gt;"Yes",
        DATEDIF('Loan Tape (S&amp;P)'!K9447, TODAY(), "M")&lt;18),
    1.10,
    1.00)</f>
        <v/>
      </c>
      <c r="O9447">
        <f>IF('Loan Tape (S&amp;P)'!T9447="Yes",
    1.35,
    1.00)</f>
        <v/>
      </c>
      <c r="P9447">
        <f>IF('Loan Tape (S&amp;P)'!S9447="Yes",
    1.15,
    1.00)</f>
        <v/>
      </c>
      <c r="Q9447">
        <f>IF('Loan Tape (S&amp;P)'!V9447="Yes",
    1.20,
    1.00)</f>
        <v/>
      </c>
      <c r="T9447">
        <f>LET(
    payment_method,'Loan Tape (S&amp;P)'!P9447,
    occupancy,'Loan Tape (S&amp;P)'!N9447,
    maturity_date,'Loan Tape (S&amp;P)'!L9447,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48">
      <c r="J9448">
        <f>LET(
    lien,'Loan Tape (S&amp;P)'!Q9448,
    IF(lien="First",1.00,
        IF(lien="Second",1.50,
            1.70)))</f>
        <v/>
      </c>
      <c r="K9448">
        <f>LET(
    purpose,'Loan Tape (S&amp;P)'!R9448,
    IF(purpose="Purchase",1.00,
        IF(purpose="Remortgage",1.00,
            1.20)))</f>
        <v/>
      </c>
      <c r="L9448">
        <f>LET(
    arrears_months,'Loan Tape (S&amp;P)'!AN9448,
    IF(arrears_months=0,1.00,
    IF(arrears_months=1,3.00,
    IF(arrears_months=2,5.00,
    IF(arrears_months=3,8.00,
    IF(arrears_months=4,10.00,
    IF(arrears_months=5,12.00,15.00)))))))</f>
        <v/>
      </c>
      <c r="M9448">
        <f>LET(
    seasoning_years,DATEDIF('Loan Tape (S&amp;P)'!K9448,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48">
        <f>IF(AND('Loan Tape (S&amp;P)'!U9448="Yes",
        'Loan Tape (S&amp;P)'!T9448&lt;&gt;"Yes",
        DATEDIF('Loan Tape (S&amp;P)'!K9448, TODAY(), "M")&lt;18),
    1.10,
    1.00)</f>
        <v/>
      </c>
      <c r="O9448">
        <f>IF('Loan Tape (S&amp;P)'!T9448="Yes",
    1.35,
    1.00)</f>
        <v/>
      </c>
      <c r="P9448">
        <f>IF('Loan Tape (S&amp;P)'!S9448="Yes",
    1.15,
    1.00)</f>
        <v/>
      </c>
      <c r="Q9448">
        <f>IF('Loan Tape (S&amp;P)'!V9448="Yes",
    1.20,
    1.00)</f>
        <v/>
      </c>
      <c r="T9448">
        <f>LET(
    payment_method,'Loan Tape (S&amp;P)'!P9448,
    occupancy,'Loan Tape (S&amp;P)'!N9448,
    maturity_date,'Loan Tape (S&amp;P)'!L9448,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49">
      <c r="J9449">
        <f>LET(
    lien,'Loan Tape (S&amp;P)'!Q9449,
    IF(lien="First",1.00,
        IF(lien="Second",1.50,
            1.70)))</f>
        <v/>
      </c>
      <c r="K9449">
        <f>LET(
    purpose,'Loan Tape (S&amp;P)'!R9449,
    IF(purpose="Purchase",1.00,
        IF(purpose="Remortgage",1.00,
            1.20)))</f>
        <v/>
      </c>
      <c r="L9449">
        <f>LET(
    arrears_months,'Loan Tape (S&amp;P)'!AN9449,
    IF(arrears_months=0,1.00,
    IF(arrears_months=1,3.00,
    IF(arrears_months=2,5.00,
    IF(arrears_months=3,8.00,
    IF(arrears_months=4,10.00,
    IF(arrears_months=5,12.00,15.00)))))))</f>
        <v/>
      </c>
      <c r="M9449">
        <f>LET(
    seasoning_years,DATEDIF('Loan Tape (S&amp;P)'!K9449,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49">
        <f>IF(AND('Loan Tape (S&amp;P)'!U9449="Yes",
        'Loan Tape (S&amp;P)'!T9449&lt;&gt;"Yes",
        DATEDIF('Loan Tape (S&amp;P)'!K9449, TODAY(), "M")&lt;18),
    1.10,
    1.00)</f>
        <v/>
      </c>
      <c r="O9449">
        <f>IF('Loan Tape (S&amp;P)'!T9449="Yes",
    1.35,
    1.00)</f>
        <v/>
      </c>
      <c r="P9449">
        <f>IF('Loan Tape (S&amp;P)'!S9449="Yes",
    1.15,
    1.00)</f>
        <v/>
      </c>
      <c r="Q9449">
        <f>IF('Loan Tape (S&amp;P)'!V9449="Yes",
    1.20,
    1.00)</f>
        <v/>
      </c>
      <c r="T9449">
        <f>LET(
    payment_method,'Loan Tape (S&amp;P)'!P9449,
    occupancy,'Loan Tape (S&amp;P)'!N9449,
    maturity_date,'Loan Tape (S&amp;P)'!L9449,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50">
      <c r="J9450">
        <f>LET(
    lien,'Loan Tape (S&amp;P)'!Q9450,
    IF(lien="First",1.00,
        IF(lien="Second",1.50,
            1.70)))</f>
        <v/>
      </c>
      <c r="K9450">
        <f>LET(
    purpose,'Loan Tape (S&amp;P)'!R9450,
    IF(purpose="Purchase",1.00,
        IF(purpose="Remortgage",1.00,
            1.20)))</f>
        <v/>
      </c>
      <c r="L9450">
        <f>LET(
    arrears_months,'Loan Tape (S&amp;P)'!AN9450,
    IF(arrears_months=0,1.00,
    IF(arrears_months=1,3.00,
    IF(arrears_months=2,5.00,
    IF(arrears_months=3,8.00,
    IF(arrears_months=4,10.00,
    IF(arrears_months=5,12.00,15.00)))))))</f>
        <v/>
      </c>
      <c r="M9450">
        <f>LET(
    seasoning_years,DATEDIF('Loan Tape (S&amp;P)'!K9450,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50">
        <f>IF(AND('Loan Tape (S&amp;P)'!U9450="Yes",
        'Loan Tape (S&amp;P)'!T9450&lt;&gt;"Yes",
        DATEDIF('Loan Tape (S&amp;P)'!K9450, TODAY(), "M")&lt;18),
    1.10,
    1.00)</f>
        <v/>
      </c>
      <c r="O9450">
        <f>IF('Loan Tape (S&amp;P)'!T9450="Yes",
    1.35,
    1.00)</f>
        <v/>
      </c>
      <c r="P9450">
        <f>IF('Loan Tape (S&amp;P)'!S9450="Yes",
    1.15,
    1.00)</f>
        <v/>
      </c>
      <c r="Q9450">
        <f>IF('Loan Tape (S&amp;P)'!V9450="Yes",
    1.20,
    1.00)</f>
        <v/>
      </c>
      <c r="T9450">
        <f>LET(
    payment_method,'Loan Tape (S&amp;P)'!P9450,
    occupancy,'Loan Tape (S&amp;P)'!N9450,
    maturity_date,'Loan Tape (S&amp;P)'!L9450,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51">
      <c r="J9451">
        <f>LET(
    lien,'Loan Tape (S&amp;P)'!Q9451,
    IF(lien="First",1.00,
        IF(lien="Second",1.50,
            1.70)))</f>
        <v/>
      </c>
      <c r="K9451">
        <f>LET(
    purpose,'Loan Tape (S&amp;P)'!R9451,
    IF(purpose="Purchase",1.00,
        IF(purpose="Remortgage",1.00,
            1.20)))</f>
        <v/>
      </c>
      <c r="L9451">
        <f>LET(
    arrears_months,'Loan Tape (S&amp;P)'!AN9451,
    IF(arrears_months=0,1.00,
    IF(arrears_months=1,3.00,
    IF(arrears_months=2,5.00,
    IF(arrears_months=3,8.00,
    IF(arrears_months=4,10.00,
    IF(arrears_months=5,12.00,15.00)))))))</f>
        <v/>
      </c>
      <c r="M9451">
        <f>LET(
    seasoning_years,DATEDIF('Loan Tape (S&amp;P)'!K9451,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51">
        <f>IF(AND('Loan Tape (S&amp;P)'!U9451="Yes",
        'Loan Tape (S&amp;P)'!T9451&lt;&gt;"Yes",
        DATEDIF('Loan Tape (S&amp;P)'!K9451, TODAY(), "M")&lt;18),
    1.10,
    1.00)</f>
        <v/>
      </c>
      <c r="O9451">
        <f>IF('Loan Tape (S&amp;P)'!T9451="Yes",
    1.35,
    1.00)</f>
        <v/>
      </c>
      <c r="P9451">
        <f>IF('Loan Tape (S&amp;P)'!S9451="Yes",
    1.15,
    1.00)</f>
        <v/>
      </c>
      <c r="Q9451">
        <f>IF('Loan Tape (S&amp;P)'!V9451="Yes",
    1.20,
    1.00)</f>
        <v/>
      </c>
      <c r="T9451">
        <f>LET(
    payment_method,'Loan Tape (S&amp;P)'!P9451,
    occupancy,'Loan Tape (S&amp;P)'!N9451,
    maturity_date,'Loan Tape (S&amp;P)'!L9451,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52">
      <c r="J9452">
        <f>LET(
    lien,'Loan Tape (S&amp;P)'!Q9452,
    IF(lien="First",1.00,
        IF(lien="Second",1.50,
            1.70)))</f>
        <v/>
      </c>
      <c r="K9452">
        <f>LET(
    purpose,'Loan Tape (S&amp;P)'!R9452,
    IF(purpose="Purchase",1.00,
        IF(purpose="Remortgage",1.00,
            1.20)))</f>
        <v/>
      </c>
      <c r="L9452">
        <f>LET(
    arrears_months,'Loan Tape (S&amp;P)'!AN9452,
    IF(arrears_months=0,1.00,
    IF(arrears_months=1,3.00,
    IF(arrears_months=2,5.00,
    IF(arrears_months=3,8.00,
    IF(arrears_months=4,10.00,
    IF(arrears_months=5,12.00,15.00)))))))</f>
        <v/>
      </c>
      <c r="M9452">
        <f>LET(
    seasoning_years,DATEDIF('Loan Tape (S&amp;P)'!K9452,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52">
        <f>IF(AND('Loan Tape (S&amp;P)'!U9452="Yes",
        'Loan Tape (S&amp;P)'!T9452&lt;&gt;"Yes",
        DATEDIF('Loan Tape (S&amp;P)'!K9452, TODAY(), "M")&lt;18),
    1.10,
    1.00)</f>
        <v/>
      </c>
      <c r="O9452">
        <f>IF('Loan Tape (S&amp;P)'!T9452="Yes",
    1.35,
    1.00)</f>
        <v/>
      </c>
      <c r="P9452">
        <f>IF('Loan Tape (S&amp;P)'!S9452="Yes",
    1.15,
    1.00)</f>
        <v/>
      </c>
      <c r="Q9452">
        <f>IF('Loan Tape (S&amp;P)'!V9452="Yes",
    1.20,
    1.00)</f>
        <v/>
      </c>
      <c r="T9452">
        <f>LET(
    payment_method,'Loan Tape (S&amp;P)'!P9452,
    occupancy,'Loan Tape (S&amp;P)'!N9452,
    maturity_date,'Loan Tape (S&amp;P)'!L9452,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53">
      <c r="J9453">
        <f>LET(
    lien,'Loan Tape (S&amp;P)'!Q9453,
    IF(lien="First",1.00,
        IF(lien="Second",1.50,
            1.70)))</f>
        <v/>
      </c>
      <c r="K9453">
        <f>LET(
    purpose,'Loan Tape (S&amp;P)'!R9453,
    IF(purpose="Purchase",1.00,
        IF(purpose="Remortgage",1.00,
            1.20)))</f>
        <v/>
      </c>
      <c r="L9453">
        <f>LET(
    arrears_months,'Loan Tape (S&amp;P)'!AN9453,
    IF(arrears_months=0,1.00,
    IF(arrears_months=1,3.00,
    IF(arrears_months=2,5.00,
    IF(arrears_months=3,8.00,
    IF(arrears_months=4,10.00,
    IF(arrears_months=5,12.00,15.00)))))))</f>
        <v/>
      </c>
      <c r="M9453">
        <f>LET(
    seasoning_years,DATEDIF('Loan Tape (S&amp;P)'!K9453,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53">
        <f>IF(AND('Loan Tape (S&amp;P)'!U9453="Yes",
        'Loan Tape (S&amp;P)'!T9453&lt;&gt;"Yes",
        DATEDIF('Loan Tape (S&amp;P)'!K9453, TODAY(), "M")&lt;18),
    1.10,
    1.00)</f>
        <v/>
      </c>
      <c r="O9453">
        <f>IF('Loan Tape (S&amp;P)'!T9453="Yes",
    1.35,
    1.00)</f>
        <v/>
      </c>
      <c r="P9453">
        <f>IF('Loan Tape (S&amp;P)'!S9453="Yes",
    1.15,
    1.00)</f>
        <v/>
      </c>
      <c r="Q9453">
        <f>IF('Loan Tape (S&amp;P)'!V9453="Yes",
    1.20,
    1.00)</f>
        <v/>
      </c>
      <c r="T9453">
        <f>LET(
    payment_method,'Loan Tape (S&amp;P)'!P9453,
    occupancy,'Loan Tape (S&amp;P)'!N9453,
    maturity_date,'Loan Tape (S&amp;P)'!L9453,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54">
      <c r="J9454">
        <f>LET(
    lien,'Loan Tape (S&amp;P)'!Q9454,
    IF(lien="First",1.00,
        IF(lien="Second",1.50,
            1.70)))</f>
        <v/>
      </c>
      <c r="K9454">
        <f>LET(
    purpose,'Loan Tape (S&amp;P)'!R9454,
    IF(purpose="Purchase",1.00,
        IF(purpose="Remortgage",1.00,
            1.20)))</f>
        <v/>
      </c>
      <c r="L9454">
        <f>LET(
    arrears_months,'Loan Tape (S&amp;P)'!AN9454,
    IF(arrears_months=0,1.00,
    IF(arrears_months=1,3.00,
    IF(arrears_months=2,5.00,
    IF(arrears_months=3,8.00,
    IF(arrears_months=4,10.00,
    IF(arrears_months=5,12.00,15.00)))))))</f>
        <v/>
      </c>
      <c r="M9454">
        <f>LET(
    seasoning_years,DATEDIF('Loan Tape (S&amp;P)'!K9454,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54">
        <f>IF(AND('Loan Tape (S&amp;P)'!U9454="Yes",
        'Loan Tape (S&amp;P)'!T9454&lt;&gt;"Yes",
        DATEDIF('Loan Tape (S&amp;P)'!K9454, TODAY(), "M")&lt;18),
    1.10,
    1.00)</f>
        <v/>
      </c>
      <c r="O9454">
        <f>IF('Loan Tape (S&amp;P)'!T9454="Yes",
    1.35,
    1.00)</f>
        <v/>
      </c>
      <c r="P9454">
        <f>IF('Loan Tape (S&amp;P)'!S9454="Yes",
    1.15,
    1.00)</f>
        <v/>
      </c>
      <c r="Q9454">
        <f>IF('Loan Tape (S&amp;P)'!V9454="Yes",
    1.20,
    1.00)</f>
        <v/>
      </c>
      <c r="T9454">
        <f>LET(
    payment_method,'Loan Tape (S&amp;P)'!P9454,
    occupancy,'Loan Tape (S&amp;P)'!N9454,
    maturity_date,'Loan Tape (S&amp;P)'!L9454,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55">
      <c r="J9455">
        <f>LET(
    lien,'Loan Tape (S&amp;P)'!Q9455,
    IF(lien="First",1.00,
        IF(lien="Second",1.50,
            1.70)))</f>
        <v/>
      </c>
      <c r="K9455">
        <f>LET(
    purpose,'Loan Tape (S&amp;P)'!R9455,
    IF(purpose="Purchase",1.00,
        IF(purpose="Remortgage",1.00,
            1.20)))</f>
        <v/>
      </c>
      <c r="L9455">
        <f>LET(
    arrears_months,'Loan Tape (S&amp;P)'!AN9455,
    IF(arrears_months=0,1.00,
    IF(arrears_months=1,3.00,
    IF(arrears_months=2,5.00,
    IF(arrears_months=3,8.00,
    IF(arrears_months=4,10.00,
    IF(arrears_months=5,12.00,15.00)))))))</f>
        <v/>
      </c>
      <c r="M9455">
        <f>LET(
    seasoning_years,DATEDIF('Loan Tape (S&amp;P)'!K9455,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55">
        <f>IF(AND('Loan Tape (S&amp;P)'!U9455="Yes",
        'Loan Tape (S&amp;P)'!T9455&lt;&gt;"Yes",
        DATEDIF('Loan Tape (S&amp;P)'!K9455, TODAY(), "M")&lt;18),
    1.10,
    1.00)</f>
        <v/>
      </c>
      <c r="O9455">
        <f>IF('Loan Tape (S&amp;P)'!T9455="Yes",
    1.35,
    1.00)</f>
        <v/>
      </c>
      <c r="P9455">
        <f>IF('Loan Tape (S&amp;P)'!S9455="Yes",
    1.15,
    1.00)</f>
        <v/>
      </c>
      <c r="Q9455">
        <f>IF('Loan Tape (S&amp;P)'!V9455="Yes",
    1.20,
    1.00)</f>
        <v/>
      </c>
      <c r="T9455">
        <f>LET(
    payment_method,'Loan Tape (S&amp;P)'!P9455,
    occupancy,'Loan Tape (S&amp;P)'!N9455,
    maturity_date,'Loan Tape (S&amp;P)'!L9455,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56">
      <c r="J9456">
        <f>LET(
    lien,'Loan Tape (S&amp;P)'!Q9456,
    IF(lien="First",1.00,
        IF(lien="Second",1.50,
            1.70)))</f>
        <v/>
      </c>
      <c r="K9456">
        <f>LET(
    purpose,'Loan Tape (S&amp;P)'!R9456,
    IF(purpose="Purchase",1.00,
        IF(purpose="Remortgage",1.00,
            1.20)))</f>
        <v/>
      </c>
      <c r="L9456">
        <f>LET(
    arrears_months,'Loan Tape (S&amp;P)'!AN9456,
    IF(arrears_months=0,1.00,
    IF(arrears_months=1,3.00,
    IF(arrears_months=2,5.00,
    IF(arrears_months=3,8.00,
    IF(arrears_months=4,10.00,
    IF(arrears_months=5,12.00,15.00)))))))</f>
        <v/>
      </c>
      <c r="M9456">
        <f>LET(
    seasoning_years,DATEDIF('Loan Tape (S&amp;P)'!K9456,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56">
        <f>IF(AND('Loan Tape (S&amp;P)'!U9456="Yes",
        'Loan Tape (S&amp;P)'!T9456&lt;&gt;"Yes",
        DATEDIF('Loan Tape (S&amp;P)'!K9456, TODAY(), "M")&lt;18),
    1.10,
    1.00)</f>
        <v/>
      </c>
      <c r="O9456">
        <f>IF('Loan Tape (S&amp;P)'!T9456="Yes",
    1.35,
    1.00)</f>
        <v/>
      </c>
      <c r="P9456">
        <f>IF('Loan Tape (S&amp;P)'!S9456="Yes",
    1.15,
    1.00)</f>
        <v/>
      </c>
      <c r="Q9456">
        <f>IF('Loan Tape (S&amp;P)'!V9456="Yes",
    1.20,
    1.00)</f>
        <v/>
      </c>
      <c r="T9456">
        <f>LET(
    payment_method,'Loan Tape (S&amp;P)'!P9456,
    occupancy,'Loan Tape (S&amp;P)'!N9456,
    maturity_date,'Loan Tape (S&amp;P)'!L9456,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57">
      <c r="J9457">
        <f>LET(
    lien,'Loan Tape (S&amp;P)'!Q9457,
    IF(lien="First",1.00,
        IF(lien="Second",1.50,
            1.70)))</f>
        <v/>
      </c>
      <c r="K9457">
        <f>LET(
    purpose,'Loan Tape (S&amp;P)'!R9457,
    IF(purpose="Purchase",1.00,
        IF(purpose="Remortgage",1.00,
            1.20)))</f>
        <v/>
      </c>
      <c r="L9457">
        <f>LET(
    arrears_months,'Loan Tape (S&amp;P)'!AN9457,
    IF(arrears_months=0,1.00,
    IF(arrears_months=1,3.00,
    IF(arrears_months=2,5.00,
    IF(arrears_months=3,8.00,
    IF(arrears_months=4,10.00,
    IF(arrears_months=5,12.00,15.00)))))))</f>
        <v/>
      </c>
      <c r="M9457">
        <f>LET(
    seasoning_years,DATEDIF('Loan Tape (S&amp;P)'!K9457,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57">
        <f>IF(AND('Loan Tape (S&amp;P)'!U9457="Yes",
        'Loan Tape (S&amp;P)'!T9457&lt;&gt;"Yes",
        DATEDIF('Loan Tape (S&amp;P)'!K9457, TODAY(), "M")&lt;18),
    1.10,
    1.00)</f>
        <v/>
      </c>
      <c r="O9457">
        <f>IF('Loan Tape (S&amp;P)'!T9457="Yes",
    1.35,
    1.00)</f>
        <v/>
      </c>
      <c r="P9457">
        <f>IF('Loan Tape (S&amp;P)'!S9457="Yes",
    1.15,
    1.00)</f>
        <v/>
      </c>
      <c r="Q9457">
        <f>IF('Loan Tape (S&amp;P)'!V9457="Yes",
    1.20,
    1.00)</f>
        <v/>
      </c>
      <c r="T9457">
        <f>LET(
    payment_method,'Loan Tape (S&amp;P)'!P9457,
    occupancy,'Loan Tape (S&amp;P)'!N9457,
    maturity_date,'Loan Tape (S&amp;P)'!L9457,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58">
      <c r="J9458">
        <f>LET(
    lien,'Loan Tape (S&amp;P)'!Q9458,
    IF(lien="First",1.00,
        IF(lien="Second",1.50,
            1.70)))</f>
        <v/>
      </c>
      <c r="K9458">
        <f>LET(
    purpose,'Loan Tape (S&amp;P)'!R9458,
    IF(purpose="Purchase",1.00,
        IF(purpose="Remortgage",1.00,
            1.20)))</f>
        <v/>
      </c>
      <c r="L9458">
        <f>LET(
    arrears_months,'Loan Tape (S&amp;P)'!AN9458,
    IF(arrears_months=0,1.00,
    IF(arrears_months=1,3.00,
    IF(arrears_months=2,5.00,
    IF(arrears_months=3,8.00,
    IF(arrears_months=4,10.00,
    IF(arrears_months=5,12.00,15.00)))))))</f>
        <v/>
      </c>
      <c r="M9458">
        <f>LET(
    seasoning_years,DATEDIF('Loan Tape (S&amp;P)'!K9458,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58">
        <f>IF(AND('Loan Tape (S&amp;P)'!U9458="Yes",
        'Loan Tape (S&amp;P)'!T9458&lt;&gt;"Yes",
        DATEDIF('Loan Tape (S&amp;P)'!K9458, TODAY(), "M")&lt;18),
    1.10,
    1.00)</f>
        <v/>
      </c>
      <c r="O9458">
        <f>IF('Loan Tape (S&amp;P)'!T9458="Yes",
    1.35,
    1.00)</f>
        <v/>
      </c>
      <c r="P9458">
        <f>IF('Loan Tape (S&amp;P)'!S9458="Yes",
    1.15,
    1.00)</f>
        <v/>
      </c>
      <c r="Q9458">
        <f>IF('Loan Tape (S&amp;P)'!V9458="Yes",
    1.20,
    1.00)</f>
        <v/>
      </c>
      <c r="T9458">
        <f>LET(
    payment_method,'Loan Tape (S&amp;P)'!P9458,
    occupancy,'Loan Tape (S&amp;P)'!N9458,
    maturity_date,'Loan Tape (S&amp;P)'!L9458,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59">
      <c r="J9459">
        <f>LET(
    lien,'Loan Tape (S&amp;P)'!Q9459,
    IF(lien="First",1.00,
        IF(lien="Second",1.50,
            1.70)))</f>
        <v/>
      </c>
      <c r="K9459">
        <f>LET(
    purpose,'Loan Tape (S&amp;P)'!R9459,
    IF(purpose="Purchase",1.00,
        IF(purpose="Remortgage",1.00,
            1.20)))</f>
        <v/>
      </c>
      <c r="L9459">
        <f>LET(
    arrears_months,'Loan Tape (S&amp;P)'!AN9459,
    IF(arrears_months=0,1.00,
    IF(arrears_months=1,3.00,
    IF(arrears_months=2,5.00,
    IF(arrears_months=3,8.00,
    IF(arrears_months=4,10.00,
    IF(arrears_months=5,12.00,15.00)))))))</f>
        <v/>
      </c>
      <c r="M9459">
        <f>LET(
    seasoning_years,DATEDIF('Loan Tape (S&amp;P)'!K9459,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59">
        <f>IF(AND('Loan Tape (S&amp;P)'!U9459="Yes",
        'Loan Tape (S&amp;P)'!T9459&lt;&gt;"Yes",
        DATEDIF('Loan Tape (S&amp;P)'!K9459, TODAY(), "M")&lt;18),
    1.10,
    1.00)</f>
        <v/>
      </c>
      <c r="O9459">
        <f>IF('Loan Tape (S&amp;P)'!T9459="Yes",
    1.35,
    1.00)</f>
        <v/>
      </c>
      <c r="P9459">
        <f>IF('Loan Tape (S&amp;P)'!S9459="Yes",
    1.15,
    1.00)</f>
        <v/>
      </c>
      <c r="Q9459">
        <f>IF('Loan Tape (S&amp;P)'!V9459="Yes",
    1.20,
    1.00)</f>
        <v/>
      </c>
      <c r="T9459">
        <f>LET(
    payment_method,'Loan Tape (S&amp;P)'!P9459,
    occupancy,'Loan Tape (S&amp;P)'!N9459,
    maturity_date,'Loan Tape (S&amp;P)'!L9459,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60">
      <c r="J9460">
        <f>LET(
    lien,'Loan Tape (S&amp;P)'!Q9460,
    IF(lien="First",1.00,
        IF(lien="Second",1.50,
            1.70)))</f>
        <v/>
      </c>
      <c r="K9460">
        <f>LET(
    purpose,'Loan Tape (S&amp;P)'!R9460,
    IF(purpose="Purchase",1.00,
        IF(purpose="Remortgage",1.00,
            1.20)))</f>
        <v/>
      </c>
      <c r="L9460">
        <f>LET(
    arrears_months,'Loan Tape (S&amp;P)'!AN9460,
    IF(arrears_months=0,1.00,
    IF(arrears_months=1,3.00,
    IF(arrears_months=2,5.00,
    IF(arrears_months=3,8.00,
    IF(arrears_months=4,10.00,
    IF(arrears_months=5,12.00,15.00)))))))</f>
        <v/>
      </c>
      <c r="M9460">
        <f>LET(
    seasoning_years,DATEDIF('Loan Tape (S&amp;P)'!K9460,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60">
        <f>IF(AND('Loan Tape (S&amp;P)'!U9460="Yes",
        'Loan Tape (S&amp;P)'!T9460&lt;&gt;"Yes",
        DATEDIF('Loan Tape (S&amp;P)'!K9460, TODAY(), "M")&lt;18),
    1.10,
    1.00)</f>
        <v/>
      </c>
      <c r="O9460">
        <f>IF('Loan Tape (S&amp;P)'!T9460="Yes",
    1.35,
    1.00)</f>
        <v/>
      </c>
      <c r="P9460">
        <f>IF('Loan Tape (S&amp;P)'!S9460="Yes",
    1.15,
    1.00)</f>
        <v/>
      </c>
      <c r="Q9460">
        <f>IF('Loan Tape (S&amp;P)'!V9460="Yes",
    1.20,
    1.00)</f>
        <v/>
      </c>
      <c r="T9460">
        <f>LET(
    payment_method,'Loan Tape (S&amp;P)'!P9460,
    occupancy,'Loan Tape (S&amp;P)'!N9460,
    maturity_date,'Loan Tape (S&amp;P)'!L9460,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61">
      <c r="J9461">
        <f>LET(
    lien,'Loan Tape (S&amp;P)'!Q9461,
    IF(lien="First",1.00,
        IF(lien="Second",1.50,
            1.70)))</f>
        <v/>
      </c>
      <c r="K9461">
        <f>LET(
    purpose,'Loan Tape (S&amp;P)'!R9461,
    IF(purpose="Purchase",1.00,
        IF(purpose="Remortgage",1.00,
            1.20)))</f>
        <v/>
      </c>
      <c r="L9461">
        <f>LET(
    arrears_months,'Loan Tape (S&amp;P)'!AN9461,
    IF(arrears_months=0,1.00,
    IF(arrears_months=1,3.00,
    IF(arrears_months=2,5.00,
    IF(arrears_months=3,8.00,
    IF(arrears_months=4,10.00,
    IF(arrears_months=5,12.00,15.00)))))))</f>
        <v/>
      </c>
      <c r="M9461">
        <f>LET(
    seasoning_years,DATEDIF('Loan Tape (S&amp;P)'!K9461,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61">
        <f>IF(AND('Loan Tape (S&amp;P)'!U9461="Yes",
        'Loan Tape (S&amp;P)'!T9461&lt;&gt;"Yes",
        DATEDIF('Loan Tape (S&amp;P)'!K9461, TODAY(), "M")&lt;18),
    1.10,
    1.00)</f>
        <v/>
      </c>
      <c r="O9461">
        <f>IF('Loan Tape (S&amp;P)'!T9461="Yes",
    1.35,
    1.00)</f>
        <v/>
      </c>
      <c r="P9461">
        <f>IF('Loan Tape (S&amp;P)'!S9461="Yes",
    1.15,
    1.00)</f>
        <v/>
      </c>
      <c r="Q9461">
        <f>IF('Loan Tape (S&amp;P)'!V9461="Yes",
    1.20,
    1.00)</f>
        <v/>
      </c>
      <c r="T9461">
        <f>LET(
    payment_method,'Loan Tape (S&amp;P)'!P9461,
    occupancy,'Loan Tape (S&amp;P)'!N9461,
    maturity_date,'Loan Tape (S&amp;P)'!L9461,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62">
      <c r="J9462">
        <f>LET(
    lien,'Loan Tape (S&amp;P)'!Q9462,
    IF(lien="First",1.00,
        IF(lien="Second",1.50,
            1.70)))</f>
        <v/>
      </c>
      <c r="K9462">
        <f>LET(
    purpose,'Loan Tape (S&amp;P)'!R9462,
    IF(purpose="Purchase",1.00,
        IF(purpose="Remortgage",1.00,
            1.20)))</f>
        <v/>
      </c>
      <c r="L9462">
        <f>LET(
    arrears_months,'Loan Tape (S&amp;P)'!AN9462,
    IF(arrears_months=0,1.00,
    IF(arrears_months=1,3.00,
    IF(arrears_months=2,5.00,
    IF(arrears_months=3,8.00,
    IF(arrears_months=4,10.00,
    IF(arrears_months=5,12.00,15.00)))))))</f>
        <v/>
      </c>
      <c r="M9462">
        <f>LET(
    seasoning_years,DATEDIF('Loan Tape (S&amp;P)'!K9462,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62">
        <f>IF(AND('Loan Tape (S&amp;P)'!U9462="Yes",
        'Loan Tape (S&amp;P)'!T9462&lt;&gt;"Yes",
        DATEDIF('Loan Tape (S&amp;P)'!K9462, TODAY(), "M")&lt;18),
    1.10,
    1.00)</f>
        <v/>
      </c>
      <c r="O9462">
        <f>IF('Loan Tape (S&amp;P)'!T9462="Yes",
    1.35,
    1.00)</f>
        <v/>
      </c>
      <c r="P9462">
        <f>IF('Loan Tape (S&amp;P)'!S9462="Yes",
    1.15,
    1.00)</f>
        <v/>
      </c>
      <c r="Q9462">
        <f>IF('Loan Tape (S&amp;P)'!V9462="Yes",
    1.20,
    1.00)</f>
        <v/>
      </c>
      <c r="T9462">
        <f>LET(
    payment_method,'Loan Tape (S&amp;P)'!P9462,
    occupancy,'Loan Tape (S&amp;P)'!N9462,
    maturity_date,'Loan Tape (S&amp;P)'!L9462,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63">
      <c r="J9463">
        <f>LET(
    lien,'Loan Tape (S&amp;P)'!Q9463,
    IF(lien="First",1.00,
        IF(lien="Second",1.50,
            1.70)))</f>
        <v/>
      </c>
      <c r="K9463">
        <f>LET(
    purpose,'Loan Tape (S&amp;P)'!R9463,
    IF(purpose="Purchase",1.00,
        IF(purpose="Remortgage",1.00,
            1.20)))</f>
        <v/>
      </c>
      <c r="L9463">
        <f>LET(
    arrears_months,'Loan Tape (S&amp;P)'!AN9463,
    IF(arrears_months=0,1.00,
    IF(arrears_months=1,3.00,
    IF(arrears_months=2,5.00,
    IF(arrears_months=3,8.00,
    IF(arrears_months=4,10.00,
    IF(arrears_months=5,12.00,15.00)))))))</f>
        <v/>
      </c>
      <c r="M9463">
        <f>LET(
    seasoning_years,DATEDIF('Loan Tape (S&amp;P)'!K9463,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63">
        <f>IF(AND('Loan Tape (S&amp;P)'!U9463="Yes",
        'Loan Tape (S&amp;P)'!T9463&lt;&gt;"Yes",
        DATEDIF('Loan Tape (S&amp;P)'!K9463, TODAY(), "M")&lt;18),
    1.10,
    1.00)</f>
        <v/>
      </c>
      <c r="O9463">
        <f>IF('Loan Tape (S&amp;P)'!T9463="Yes",
    1.35,
    1.00)</f>
        <v/>
      </c>
      <c r="P9463">
        <f>IF('Loan Tape (S&amp;P)'!S9463="Yes",
    1.15,
    1.00)</f>
        <v/>
      </c>
      <c r="Q9463">
        <f>IF('Loan Tape (S&amp;P)'!V9463="Yes",
    1.20,
    1.00)</f>
        <v/>
      </c>
      <c r="T9463">
        <f>LET(
    payment_method,'Loan Tape (S&amp;P)'!P9463,
    occupancy,'Loan Tape (S&amp;P)'!N9463,
    maturity_date,'Loan Tape (S&amp;P)'!L9463,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64">
      <c r="J9464">
        <f>LET(
    lien,'Loan Tape (S&amp;P)'!Q9464,
    IF(lien="First",1.00,
        IF(lien="Second",1.50,
            1.70)))</f>
        <v/>
      </c>
      <c r="K9464">
        <f>LET(
    purpose,'Loan Tape (S&amp;P)'!R9464,
    IF(purpose="Purchase",1.00,
        IF(purpose="Remortgage",1.00,
            1.20)))</f>
        <v/>
      </c>
      <c r="L9464">
        <f>LET(
    arrears_months,'Loan Tape (S&amp;P)'!AN9464,
    IF(arrears_months=0,1.00,
    IF(arrears_months=1,3.00,
    IF(arrears_months=2,5.00,
    IF(arrears_months=3,8.00,
    IF(arrears_months=4,10.00,
    IF(arrears_months=5,12.00,15.00)))))))</f>
        <v/>
      </c>
      <c r="M9464">
        <f>LET(
    seasoning_years,DATEDIF('Loan Tape (S&amp;P)'!K9464,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64">
        <f>IF(AND('Loan Tape (S&amp;P)'!U9464="Yes",
        'Loan Tape (S&amp;P)'!T9464&lt;&gt;"Yes",
        DATEDIF('Loan Tape (S&amp;P)'!K9464, TODAY(), "M")&lt;18),
    1.10,
    1.00)</f>
        <v/>
      </c>
      <c r="O9464">
        <f>IF('Loan Tape (S&amp;P)'!T9464="Yes",
    1.35,
    1.00)</f>
        <v/>
      </c>
      <c r="P9464">
        <f>IF('Loan Tape (S&amp;P)'!S9464="Yes",
    1.15,
    1.00)</f>
        <v/>
      </c>
      <c r="Q9464">
        <f>IF('Loan Tape (S&amp;P)'!V9464="Yes",
    1.20,
    1.00)</f>
        <v/>
      </c>
      <c r="T9464">
        <f>LET(
    payment_method,'Loan Tape (S&amp;P)'!P9464,
    occupancy,'Loan Tape (S&amp;P)'!N9464,
    maturity_date,'Loan Tape (S&amp;P)'!L9464,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65">
      <c r="J9465">
        <f>LET(
    lien,'Loan Tape (S&amp;P)'!Q9465,
    IF(lien="First",1.00,
        IF(lien="Second",1.50,
            1.70)))</f>
        <v/>
      </c>
      <c r="K9465">
        <f>LET(
    purpose,'Loan Tape (S&amp;P)'!R9465,
    IF(purpose="Purchase",1.00,
        IF(purpose="Remortgage",1.00,
            1.20)))</f>
        <v/>
      </c>
      <c r="L9465">
        <f>LET(
    arrears_months,'Loan Tape (S&amp;P)'!AN9465,
    IF(arrears_months=0,1.00,
    IF(arrears_months=1,3.00,
    IF(arrears_months=2,5.00,
    IF(arrears_months=3,8.00,
    IF(arrears_months=4,10.00,
    IF(arrears_months=5,12.00,15.00)))))))</f>
        <v/>
      </c>
      <c r="M9465">
        <f>LET(
    seasoning_years,DATEDIF('Loan Tape (S&amp;P)'!K9465,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65">
        <f>IF(AND('Loan Tape (S&amp;P)'!U9465="Yes",
        'Loan Tape (S&amp;P)'!T9465&lt;&gt;"Yes",
        DATEDIF('Loan Tape (S&amp;P)'!K9465, TODAY(), "M")&lt;18),
    1.10,
    1.00)</f>
        <v/>
      </c>
      <c r="O9465">
        <f>IF('Loan Tape (S&amp;P)'!T9465="Yes",
    1.35,
    1.00)</f>
        <v/>
      </c>
      <c r="P9465">
        <f>IF('Loan Tape (S&amp;P)'!S9465="Yes",
    1.15,
    1.00)</f>
        <v/>
      </c>
      <c r="Q9465">
        <f>IF('Loan Tape (S&amp;P)'!V9465="Yes",
    1.20,
    1.00)</f>
        <v/>
      </c>
      <c r="T9465">
        <f>LET(
    payment_method,'Loan Tape (S&amp;P)'!P9465,
    occupancy,'Loan Tape (S&amp;P)'!N9465,
    maturity_date,'Loan Tape (S&amp;P)'!L9465,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66">
      <c r="J9466">
        <f>LET(
    lien,'Loan Tape (S&amp;P)'!Q9466,
    IF(lien="First",1.00,
        IF(lien="Second",1.50,
            1.70)))</f>
        <v/>
      </c>
      <c r="K9466">
        <f>LET(
    purpose,'Loan Tape (S&amp;P)'!R9466,
    IF(purpose="Purchase",1.00,
        IF(purpose="Remortgage",1.00,
            1.20)))</f>
        <v/>
      </c>
      <c r="L9466">
        <f>LET(
    arrears_months,'Loan Tape (S&amp;P)'!AN9466,
    IF(arrears_months=0,1.00,
    IF(arrears_months=1,3.00,
    IF(arrears_months=2,5.00,
    IF(arrears_months=3,8.00,
    IF(arrears_months=4,10.00,
    IF(arrears_months=5,12.00,15.00)))))))</f>
        <v/>
      </c>
      <c r="M9466">
        <f>LET(
    seasoning_years,DATEDIF('Loan Tape (S&amp;P)'!K9466,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66">
        <f>IF(AND('Loan Tape (S&amp;P)'!U9466="Yes",
        'Loan Tape (S&amp;P)'!T9466&lt;&gt;"Yes",
        DATEDIF('Loan Tape (S&amp;P)'!K9466, TODAY(), "M")&lt;18),
    1.10,
    1.00)</f>
        <v/>
      </c>
      <c r="O9466">
        <f>IF('Loan Tape (S&amp;P)'!T9466="Yes",
    1.35,
    1.00)</f>
        <v/>
      </c>
      <c r="P9466">
        <f>IF('Loan Tape (S&amp;P)'!S9466="Yes",
    1.15,
    1.00)</f>
        <v/>
      </c>
      <c r="Q9466">
        <f>IF('Loan Tape (S&amp;P)'!V9466="Yes",
    1.20,
    1.00)</f>
        <v/>
      </c>
      <c r="T9466">
        <f>LET(
    payment_method,'Loan Tape (S&amp;P)'!P9466,
    occupancy,'Loan Tape (S&amp;P)'!N9466,
    maturity_date,'Loan Tape (S&amp;P)'!L9466,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67">
      <c r="J9467">
        <f>LET(
    lien,'Loan Tape (S&amp;P)'!Q9467,
    IF(lien="First",1.00,
        IF(lien="Second",1.50,
            1.70)))</f>
        <v/>
      </c>
      <c r="K9467">
        <f>LET(
    purpose,'Loan Tape (S&amp;P)'!R9467,
    IF(purpose="Purchase",1.00,
        IF(purpose="Remortgage",1.00,
            1.20)))</f>
        <v/>
      </c>
      <c r="L9467">
        <f>LET(
    arrears_months,'Loan Tape (S&amp;P)'!AN9467,
    IF(arrears_months=0,1.00,
    IF(arrears_months=1,3.00,
    IF(arrears_months=2,5.00,
    IF(arrears_months=3,8.00,
    IF(arrears_months=4,10.00,
    IF(arrears_months=5,12.00,15.00)))))))</f>
        <v/>
      </c>
      <c r="M9467">
        <f>LET(
    seasoning_years,DATEDIF('Loan Tape (S&amp;P)'!K9467,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67">
        <f>IF(AND('Loan Tape (S&amp;P)'!U9467="Yes",
        'Loan Tape (S&amp;P)'!T9467&lt;&gt;"Yes",
        DATEDIF('Loan Tape (S&amp;P)'!K9467, TODAY(), "M")&lt;18),
    1.10,
    1.00)</f>
        <v/>
      </c>
      <c r="O9467">
        <f>IF('Loan Tape (S&amp;P)'!T9467="Yes",
    1.35,
    1.00)</f>
        <v/>
      </c>
      <c r="P9467">
        <f>IF('Loan Tape (S&amp;P)'!S9467="Yes",
    1.15,
    1.00)</f>
        <v/>
      </c>
      <c r="Q9467">
        <f>IF('Loan Tape (S&amp;P)'!V9467="Yes",
    1.20,
    1.00)</f>
        <v/>
      </c>
      <c r="T9467">
        <f>LET(
    payment_method,'Loan Tape (S&amp;P)'!P9467,
    occupancy,'Loan Tape (S&amp;P)'!N9467,
    maturity_date,'Loan Tape (S&amp;P)'!L9467,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68">
      <c r="J9468">
        <f>LET(
    lien,'Loan Tape (S&amp;P)'!Q9468,
    IF(lien="First",1.00,
        IF(lien="Second",1.50,
            1.70)))</f>
        <v/>
      </c>
      <c r="K9468">
        <f>LET(
    purpose,'Loan Tape (S&amp;P)'!R9468,
    IF(purpose="Purchase",1.00,
        IF(purpose="Remortgage",1.00,
            1.20)))</f>
        <v/>
      </c>
      <c r="L9468">
        <f>LET(
    arrears_months,'Loan Tape (S&amp;P)'!AN9468,
    IF(arrears_months=0,1.00,
    IF(arrears_months=1,3.00,
    IF(arrears_months=2,5.00,
    IF(arrears_months=3,8.00,
    IF(arrears_months=4,10.00,
    IF(arrears_months=5,12.00,15.00)))))))</f>
        <v/>
      </c>
      <c r="M9468">
        <f>LET(
    seasoning_years,DATEDIF('Loan Tape (S&amp;P)'!K9468,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68">
        <f>IF(AND('Loan Tape (S&amp;P)'!U9468="Yes",
        'Loan Tape (S&amp;P)'!T9468&lt;&gt;"Yes",
        DATEDIF('Loan Tape (S&amp;P)'!K9468, TODAY(), "M")&lt;18),
    1.10,
    1.00)</f>
        <v/>
      </c>
      <c r="O9468">
        <f>IF('Loan Tape (S&amp;P)'!T9468="Yes",
    1.35,
    1.00)</f>
        <v/>
      </c>
      <c r="P9468">
        <f>IF('Loan Tape (S&amp;P)'!S9468="Yes",
    1.15,
    1.00)</f>
        <v/>
      </c>
      <c r="Q9468">
        <f>IF('Loan Tape (S&amp;P)'!V9468="Yes",
    1.20,
    1.00)</f>
        <v/>
      </c>
      <c r="T9468">
        <f>LET(
    payment_method,'Loan Tape (S&amp;P)'!P9468,
    occupancy,'Loan Tape (S&amp;P)'!N9468,
    maturity_date,'Loan Tape (S&amp;P)'!L9468,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69">
      <c r="J9469">
        <f>LET(
    lien,'Loan Tape (S&amp;P)'!Q9469,
    IF(lien="First",1.00,
        IF(lien="Second",1.50,
            1.70)))</f>
        <v/>
      </c>
      <c r="K9469">
        <f>LET(
    purpose,'Loan Tape (S&amp;P)'!R9469,
    IF(purpose="Purchase",1.00,
        IF(purpose="Remortgage",1.00,
            1.20)))</f>
        <v/>
      </c>
      <c r="L9469">
        <f>LET(
    arrears_months,'Loan Tape (S&amp;P)'!AN9469,
    IF(arrears_months=0,1.00,
    IF(arrears_months=1,3.00,
    IF(arrears_months=2,5.00,
    IF(arrears_months=3,8.00,
    IF(arrears_months=4,10.00,
    IF(arrears_months=5,12.00,15.00)))))))</f>
        <v/>
      </c>
      <c r="M9469">
        <f>LET(
    seasoning_years,DATEDIF('Loan Tape (S&amp;P)'!K9469,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69">
        <f>IF(AND('Loan Tape (S&amp;P)'!U9469="Yes",
        'Loan Tape (S&amp;P)'!T9469&lt;&gt;"Yes",
        DATEDIF('Loan Tape (S&amp;P)'!K9469, TODAY(), "M")&lt;18),
    1.10,
    1.00)</f>
        <v/>
      </c>
      <c r="O9469">
        <f>IF('Loan Tape (S&amp;P)'!T9469="Yes",
    1.35,
    1.00)</f>
        <v/>
      </c>
      <c r="P9469">
        <f>IF('Loan Tape (S&amp;P)'!S9469="Yes",
    1.15,
    1.00)</f>
        <v/>
      </c>
      <c r="Q9469">
        <f>IF('Loan Tape (S&amp;P)'!V9469="Yes",
    1.20,
    1.00)</f>
        <v/>
      </c>
      <c r="T9469">
        <f>LET(
    payment_method,'Loan Tape (S&amp;P)'!P9469,
    occupancy,'Loan Tape (S&amp;P)'!N9469,
    maturity_date,'Loan Tape (S&amp;P)'!L9469,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70">
      <c r="J9470">
        <f>LET(
    lien,'Loan Tape (S&amp;P)'!Q9470,
    IF(lien="First",1.00,
        IF(lien="Second",1.50,
            1.70)))</f>
        <v/>
      </c>
      <c r="K9470">
        <f>LET(
    purpose,'Loan Tape (S&amp;P)'!R9470,
    IF(purpose="Purchase",1.00,
        IF(purpose="Remortgage",1.00,
            1.20)))</f>
        <v/>
      </c>
      <c r="L9470">
        <f>LET(
    arrears_months,'Loan Tape (S&amp;P)'!AN9470,
    IF(arrears_months=0,1.00,
    IF(arrears_months=1,3.00,
    IF(arrears_months=2,5.00,
    IF(arrears_months=3,8.00,
    IF(arrears_months=4,10.00,
    IF(arrears_months=5,12.00,15.00)))))))</f>
        <v/>
      </c>
      <c r="M9470">
        <f>LET(
    seasoning_years,DATEDIF('Loan Tape (S&amp;P)'!K9470,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70">
        <f>IF(AND('Loan Tape (S&amp;P)'!U9470="Yes",
        'Loan Tape (S&amp;P)'!T9470&lt;&gt;"Yes",
        DATEDIF('Loan Tape (S&amp;P)'!K9470, TODAY(), "M")&lt;18),
    1.10,
    1.00)</f>
        <v/>
      </c>
      <c r="O9470">
        <f>IF('Loan Tape (S&amp;P)'!T9470="Yes",
    1.35,
    1.00)</f>
        <v/>
      </c>
      <c r="P9470">
        <f>IF('Loan Tape (S&amp;P)'!S9470="Yes",
    1.15,
    1.00)</f>
        <v/>
      </c>
      <c r="Q9470">
        <f>IF('Loan Tape (S&amp;P)'!V9470="Yes",
    1.20,
    1.00)</f>
        <v/>
      </c>
      <c r="T9470">
        <f>LET(
    payment_method,'Loan Tape (S&amp;P)'!P9470,
    occupancy,'Loan Tape (S&amp;P)'!N9470,
    maturity_date,'Loan Tape (S&amp;P)'!L9470,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71">
      <c r="J9471">
        <f>LET(
    lien,'Loan Tape (S&amp;P)'!Q9471,
    IF(lien="First",1.00,
        IF(lien="Second",1.50,
            1.70)))</f>
        <v/>
      </c>
      <c r="K9471">
        <f>LET(
    purpose,'Loan Tape (S&amp;P)'!R9471,
    IF(purpose="Purchase",1.00,
        IF(purpose="Remortgage",1.00,
            1.20)))</f>
        <v/>
      </c>
      <c r="L9471">
        <f>LET(
    arrears_months,'Loan Tape (S&amp;P)'!AN9471,
    IF(arrears_months=0,1.00,
    IF(arrears_months=1,3.00,
    IF(arrears_months=2,5.00,
    IF(arrears_months=3,8.00,
    IF(arrears_months=4,10.00,
    IF(arrears_months=5,12.00,15.00)))))))</f>
        <v/>
      </c>
      <c r="M9471">
        <f>LET(
    seasoning_years,DATEDIF('Loan Tape (S&amp;P)'!K9471,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71">
        <f>IF(AND('Loan Tape (S&amp;P)'!U9471="Yes",
        'Loan Tape (S&amp;P)'!T9471&lt;&gt;"Yes",
        DATEDIF('Loan Tape (S&amp;P)'!K9471, TODAY(), "M")&lt;18),
    1.10,
    1.00)</f>
        <v/>
      </c>
      <c r="O9471">
        <f>IF('Loan Tape (S&amp;P)'!T9471="Yes",
    1.35,
    1.00)</f>
        <v/>
      </c>
      <c r="P9471">
        <f>IF('Loan Tape (S&amp;P)'!S9471="Yes",
    1.15,
    1.00)</f>
        <v/>
      </c>
      <c r="Q9471">
        <f>IF('Loan Tape (S&amp;P)'!V9471="Yes",
    1.20,
    1.00)</f>
        <v/>
      </c>
      <c r="T9471">
        <f>LET(
    payment_method,'Loan Tape (S&amp;P)'!P9471,
    occupancy,'Loan Tape (S&amp;P)'!N9471,
    maturity_date,'Loan Tape (S&amp;P)'!L9471,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72">
      <c r="J9472">
        <f>LET(
    lien,'Loan Tape (S&amp;P)'!Q9472,
    IF(lien="First",1.00,
        IF(lien="Second",1.50,
            1.70)))</f>
        <v/>
      </c>
      <c r="K9472">
        <f>LET(
    purpose,'Loan Tape (S&amp;P)'!R9472,
    IF(purpose="Purchase",1.00,
        IF(purpose="Remortgage",1.00,
            1.20)))</f>
        <v/>
      </c>
      <c r="L9472">
        <f>LET(
    arrears_months,'Loan Tape (S&amp;P)'!AN9472,
    IF(arrears_months=0,1.00,
    IF(arrears_months=1,3.00,
    IF(arrears_months=2,5.00,
    IF(arrears_months=3,8.00,
    IF(arrears_months=4,10.00,
    IF(arrears_months=5,12.00,15.00)))))))</f>
        <v/>
      </c>
      <c r="M9472">
        <f>LET(
    seasoning_years,DATEDIF('Loan Tape (S&amp;P)'!K9472,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72">
        <f>IF(AND('Loan Tape (S&amp;P)'!U9472="Yes",
        'Loan Tape (S&amp;P)'!T9472&lt;&gt;"Yes",
        DATEDIF('Loan Tape (S&amp;P)'!K9472, TODAY(), "M")&lt;18),
    1.10,
    1.00)</f>
        <v/>
      </c>
      <c r="O9472">
        <f>IF('Loan Tape (S&amp;P)'!T9472="Yes",
    1.35,
    1.00)</f>
        <v/>
      </c>
      <c r="P9472">
        <f>IF('Loan Tape (S&amp;P)'!S9472="Yes",
    1.15,
    1.00)</f>
        <v/>
      </c>
      <c r="Q9472">
        <f>IF('Loan Tape (S&amp;P)'!V9472="Yes",
    1.20,
    1.00)</f>
        <v/>
      </c>
      <c r="T9472">
        <f>LET(
    payment_method,'Loan Tape (S&amp;P)'!P9472,
    occupancy,'Loan Tape (S&amp;P)'!N9472,
    maturity_date,'Loan Tape (S&amp;P)'!L9472,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73">
      <c r="J9473">
        <f>LET(
    lien,'Loan Tape (S&amp;P)'!Q9473,
    IF(lien="First",1.00,
        IF(lien="Second",1.50,
            1.70)))</f>
        <v/>
      </c>
      <c r="K9473">
        <f>LET(
    purpose,'Loan Tape (S&amp;P)'!R9473,
    IF(purpose="Purchase",1.00,
        IF(purpose="Remortgage",1.00,
            1.20)))</f>
        <v/>
      </c>
      <c r="L9473">
        <f>LET(
    arrears_months,'Loan Tape (S&amp;P)'!AN9473,
    IF(arrears_months=0,1.00,
    IF(arrears_months=1,3.00,
    IF(arrears_months=2,5.00,
    IF(arrears_months=3,8.00,
    IF(arrears_months=4,10.00,
    IF(arrears_months=5,12.00,15.00)))))))</f>
        <v/>
      </c>
      <c r="M9473">
        <f>LET(
    seasoning_years,DATEDIF('Loan Tape (S&amp;P)'!K9473,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73">
        <f>IF(AND('Loan Tape (S&amp;P)'!U9473="Yes",
        'Loan Tape (S&amp;P)'!T9473&lt;&gt;"Yes",
        DATEDIF('Loan Tape (S&amp;P)'!K9473, TODAY(), "M")&lt;18),
    1.10,
    1.00)</f>
        <v/>
      </c>
      <c r="O9473">
        <f>IF('Loan Tape (S&amp;P)'!T9473="Yes",
    1.35,
    1.00)</f>
        <v/>
      </c>
      <c r="P9473">
        <f>IF('Loan Tape (S&amp;P)'!S9473="Yes",
    1.15,
    1.00)</f>
        <v/>
      </c>
      <c r="Q9473">
        <f>IF('Loan Tape (S&amp;P)'!V9473="Yes",
    1.20,
    1.00)</f>
        <v/>
      </c>
      <c r="T9473">
        <f>LET(
    payment_method,'Loan Tape (S&amp;P)'!P9473,
    occupancy,'Loan Tape (S&amp;P)'!N9473,
    maturity_date,'Loan Tape (S&amp;P)'!L9473,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74">
      <c r="J9474">
        <f>LET(
    lien,'Loan Tape (S&amp;P)'!Q9474,
    IF(lien="First",1.00,
        IF(lien="Second",1.50,
            1.70)))</f>
        <v/>
      </c>
      <c r="K9474">
        <f>LET(
    purpose,'Loan Tape (S&amp;P)'!R9474,
    IF(purpose="Purchase",1.00,
        IF(purpose="Remortgage",1.00,
            1.20)))</f>
        <v/>
      </c>
      <c r="L9474">
        <f>LET(
    arrears_months,'Loan Tape (S&amp;P)'!AN9474,
    IF(arrears_months=0,1.00,
    IF(arrears_months=1,3.00,
    IF(arrears_months=2,5.00,
    IF(arrears_months=3,8.00,
    IF(arrears_months=4,10.00,
    IF(arrears_months=5,12.00,15.00)))))))</f>
        <v/>
      </c>
      <c r="M9474">
        <f>LET(
    seasoning_years,DATEDIF('Loan Tape (S&amp;P)'!K9474,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74">
        <f>IF(AND('Loan Tape (S&amp;P)'!U9474="Yes",
        'Loan Tape (S&amp;P)'!T9474&lt;&gt;"Yes",
        DATEDIF('Loan Tape (S&amp;P)'!K9474, TODAY(), "M")&lt;18),
    1.10,
    1.00)</f>
        <v/>
      </c>
      <c r="O9474">
        <f>IF('Loan Tape (S&amp;P)'!T9474="Yes",
    1.35,
    1.00)</f>
        <v/>
      </c>
      <c r="P9474">
        <f>IF('Loan Tape (S&amp;P)'!S9474="Yes",
    1.15,
    1.00)</f>
        <v/>
      </c>
      <c r="Q9474">
        <f>IF('Loan Tape (S&amp;P)'!V9474="Yes",
    1.20,
    1.00)</f>
        <v/>
      </c>
      <c r="T9474">
        <f>LET(
    payment_method,'Loan Tape (S&amp;P)'!P9474,
    occupancy,'Loan Tape (S&amp;P)'!N9474,
    maturity_date,'Loan Tape (S&amp;P)'!L9474,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75">
      <c r="J9475">
        <f>LET(
    lien,'Loan Tape (S&amp;P)'!Q9475,
    IF(lien="First",1.00,
        IF(lien="Second",1.50,
            1.70)))</f>
        <v/>
      </c>
      <c r="K9475">
        <f>LET(
    purpose,'Loan Tape (S&amp;P)'!R9475,
    IF(purpose="Purchase",1.00,
        IF(purpose="Remortgage",1.00,
            1.20)))</f>
        <v/>
      </c>
      <c r="L9475">
        <f>LET(
    arrears_months,'Loan Tape (S&amp;P)'!AN9475,
    IF(arrears_months=0,1.00,
    IF(arrears_months=1,3.00,
    IF(arrears_months=2,5.00,
    IF(arrears_months=3,8.00,
    IF(arrears_months=4,10.00,
    IF(arrears_months=5,12.00,15.00)))))))</f>
        <v/>
      </c>
      <c r="M9475">
        <f>LET(
    seasoning_years,DATEDIF('Loan Tape (S&amp;P)'!K9475,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75">
        <f>IF(AND('Loan Tape (S&amp;P)'!U9475="Yes",
        'Loan Tape (S&amp;P)'!T9475&lt;&gt;"Yes",
        DATEDIF('Loan Tape (S&amp;P)'!K9475, TODAY(), "M")&lt;18),
    1.10,
    1.00)</f>
        <v/>
      </c>
      <c r="O9475">
        <f>IF('Loan Tape (S&amp;P)'!T9475="Yes",
    1.35,
    1.00)</f>
        <v/>
      </c>
      <c r="P9475">
        <f>IF('Loan Tape (S&amp;P)'!S9475="Yes",
    1.15,
    1.00)</f>
        <v/>
      </c>
      <c r="Q9475">
        <f>IF('Loan Tape (S&amp;P)'!V9475="Yes",
    1.20,
    1.00)</f>
        <v/>
      </c>
      <c r="T9475">
        <f>LET(
    payment_method,'Loan Tape (S&amp;P)'!P9475,
    occupancy,'Loan Tape (S&amp;P)'!N9475,
    maturity_date,'Loan Tape (S&amp;P)'!L9475,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76">
      <c r="J9476">
        <f>LET(
    lien,'Loan Tape (S&amp;P)'!Q9476,
    IF(lien="First",1.00,
        IF(lien="Second",1.50,
            1.70)))</f>
        <v/>
      </c>
      <c r="K9476">
        <f>LET(
    purpose,'Loan Tape (S&amp;P)'!R9476,
    IF(purpose="Purchase",1.00,
        IF(purpose="Remortgage",1.00,
            1.20)))</f>
        <v/>
      </c>
      <c r="L9476">
        <f>LET(
    arrears_months,'Loan Tape (S&amp;P)'!AN9476,
    IF(arrears_months=0,1.00,
    IF(arrears_months=1,3.00,
    IF(arrears_months=2,5.00,
    IF(arrears_months=3,8.00,
    IF(arrears_months=4,10.00,
    IF(arrears_months=5,12.00,15.00)))))))</f>
        <v/>
      </c>
      <c r="M9476">
        <f>LET(
    seasoning_years,DATEDIF('Loan Tape (S&amp;P)'!K9476,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76">
        <f>IF(AND('Loan Tape (S&amp;P)'!U9476="Yes",
        'Loan Tape (S&amp;P)'!T9476&lt;&gt;"Yes",
        DATEDIF('Loan Tape (S&amp;P)'!K9476, TODAY(), "M")&lt;18),
    1.10,
    1.00)</f>
        <v/>
      </c>
      <c r="O9476">
        <f>IF('Loan Tape (S&amp;P)'!T9476="Yes",
    1.35,
    1.00)</f>
        <v/>
      </c>
      <c r="P9476">
        <f>IF('Loan Tape (S&amp;P)'!S9476="Yes",
    1.15,
    1.00)</f>
        <v/>
      </c>
      <c r="Q9476">
        <f>IF('Loan Tape (S&amp;P)'!V9476="Yes",
    1.20,
    1.00)</f>
        <v/>
      </c>
      <c r="T9476">
        <f>LET(
    payment_method,'Loan Tape (S&amp;P)'!P9476,
    occupancy,'Loan Tape (S&amp;P)'!N9476,
    maturity_date,'Loan Tape (S&amp;P)'!L9476,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77">
      <c r="J9477">
        <f>LET(
    lien,'Loan Tape (S&amp;P)'!Q9477,
    IF(lien="First",1.00,
        IF(lien="Second",1.50,
            1.70)))</f>
        <v/>
      </c>
      <c r="K9477">
        <f>LET(
    purpose,'Loan Tape (S&amp;P)'!R9477,
    IF(purpose="Purchase",1.00,
        IF(purpose="Remortgage",1.00,
            1.20)))</f>
        <v/>
      </c>
      <c r="L9477">
        <f>LET(
    arrears_months,'Loan Tape (S&amp;P)'!AN9477,
    IF(arrears_months=0,1.00,
    IF(arrears_months=1,3.00,
    IF(arrears_months=2,5.00,
    IF(arrears_months=3,8.00,
    IF(arrears_months=4,10.00,
    IF(arrears_months=5,12.00,15.00)))))))</f>
        <v/>
      </c>
      <c r="M9477">
        <f>LET(
    seasoning_years,DATEDIF('Loan Tape (S&amp;P)'!K9477,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77">
        <f>IF(AND('Loan Tape (S&amp;P)'!U9477="Yes",
        'Loan Tape (S&amp;P)'!T9477&lt;&gt;"Yes",
        DATEDIF('Loan Tape (S&amp;P)'!K9477, TODAY(), "M")&lt;18),
    1.10,
    1.00)</f>
        <v/>
      </c>
      <c r="O9477">
        <f>IF('Loan Tape (S&amp;P)'!T9477="Yes",
    1.35,
    1.00)</f>
        <v/>
      </c>
      <c r="P9477">
        <f>IF('Loan Tape (S&amp;P)'!S9477="Yes",
    1.15,
    1.00)</f>
        <v/>
      </c>
      <c r="Q9477">
        <f>IF('Loan Tape (S&amp;P)'!V9477="Yes",
    1.20,
    1.00)</f>
        <v/>
      </c>
      <c r="T9477">
        <f>LET(
    payment_method,'Loan Tape (S&amp;P)'!P9477,
    occupancy,'Loan Tape (S&amp;P)'!N9477,
    maturity_date,'Loan Tape (S&amp;P)'!L9477,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78">
      <c r="J9478">
        <f>LET(
    lien,'Loan Tape (S&amp;P)'!Q9478,
    IF(lien="First",1.00,
        IF(lien="Second",1.50,
            1.70)))</f>
        <v/>
      </c>
      <c r="K9478">
        <f>LET(
    purpose,'Loan Tape (S&amp;P)'!R9478,
    IF(purpose="Purchase",1.00,
        IF(purpose="Remortgage",1.00,
            1.20)))</f>
        <v/>
      </c>
      <c r="L9478">
        <f>LET(
    arrears_months,'Loan Tape (S&amp;P)'!AN9478,
    IF(arrears_months=0,1.00,
    IF(arrears_months=1,3.00,
    IF(arrears_months=2,5.00,
    IF(arrears_months=3,8.00,
    IF(arrears_months=4,10.00,
    IF(arrears_months=5,12.00,15.00)))))))</f>
        <v/>
      </c>
      <c r="M9478">
        <f>LET(
    seasoning_years,DATEDIF('Loan Tape (S&amp;P)'!K9478,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78">
        <f>IF(AND('Loan Tape (S&amp;P)'!U9478="Yes",
        'Loan Tape (S&amp;P)'!T9478&lt;&gt;"Yes",
        DATEDIF('Loan Tape (S&amp;P)'!K9478, TODAY(), "M")&lt;18),
    1.10,
    1.00)</f>
        <v/>
      </c>
      <c r="O9478">
        <f>IF('Loan Tape (S&amp;P)'!T9478="Yes",
    1.35,
    1.00)</f>
        <v/>
      </c>
      <c r="P9478">
        <f>IF('Loan Tape (S&amp;P)'!S9478="Yes",
    1.15,
    1.00)</f>
        <v/>
      </c>
      <c r="Q9478">
        <f>IF('Loan Tape (S&amp;P)'!V9478="Yes",
    1.20,
    1.00)</f>
        <v/>
      </c>
      <c r="T9478">
        <f>LET(
    payment_method,'Loan Tape (S&amp;P)'!P9478,
    occupancy,'Loan Tape (S&amp;P)'!N9478,
    maturity_date,'Loan Tape (S&amp;P)'!L9478,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79">
      <c r="J9479">
        <f>LET(
    lien,'Loan Tape (S&amp;P)'!Q9479,
    IF(lien="First",1.00,
        IF(lien="Second",1.50,
            1.70)))</f>
        <v/>
      </c>
      <c r="K9479">
        <f>LET(
    purpose,'Loan Tape (S&amp;P)'!R9479,
    IF(purpose="Purchase",1.00,
        IF(purpose="Remortgage",1.00,
            1.20)))</f>
        <v/>
      </c>
      <c r="L9479">
        <f>LET(
    arrears_months,'Loan Tape (S&amp;P)'!AN9479,
    IF(arrears_months=0,1.00,
    IF(arrears_months=1,3.00,
    IF(arrears_months=2,5.00,
    IF(arrears_months=3,8.00,
    IF(arrears_months=4,10.00,
    IF(arrears_months=5,12.00,15.00)))))))</f>
        <v/>
      </c>
      <c r="M9479">
        <f>LET(
    seasoning_years,DATEDIF('Loan Tape (S&amp;P)'!K9479,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79">
        <f>IF(AND('Loan Tape (S&amp;P)'!U9479="Yes",
        'Loan Tape (S&amp;P)'!T9479&lt;&gt;"Yes",
        DATEDIF('Loan Tape (S&amp;P)'!K9479, TODAY(), "M")&lt;18),
    1.10,
    1.00)</f>
        <v/>
      </c>
      <c r="O9479">
        <f>IF('Loan Tape (S&amp;P)'!T9479="Yes",
    1.35,
    1.00)</f>
        <v/>
      </c>
      <c r="P9479">
        <f>IF('Loan Tape (S&amp;P)'!S9479="Yes",
    1.15,
    1.00)</f>
        <v/>
      </c>
      <c r="Q9479">
        <f>IF('Loan Tape (S&amp;P)'!V9479="Yes",
    1.20,
    1.00)</f>
        <v/>
      </c>
      <c r="T9479">
        <f>LET(
    payment_method,'Loan Tape (S&amp;P)'!P9479,
    occupancy,'Loan Tape (S&amp;P)'!N9479,
    maturity_date,'Loan Tape (S&amp;P)'!L9479,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80">
      <c r="J9480">
        <f>LET(
    lien,'Loan Tape (S&amp;P)'!Q9480,
    IF(lien="First",1.00,
        IF(lien="Second",1.50,
            1.70)))</f>
        <v/>
      </c>
      <c r="K9480">
        <f>LET(
    purpose,'Loan Tape (S&amp;P)'!R9480,
    IF(purpose="Purchase",1.00,
        IF(purpose="Remortgage",1.00,
            1.20)))</f>
        <v/>
      </c>
      <c r="L9480">
        <f>LET(
    arrears_months,'Loan Tape (S&amp;P)'!AN9480,
    IF(arrears_months=0,1.00,
    IF(arrears_months=1,3.00,
    IF(arrears_months=2,5.00,
    IF(arrears_months=3,8.00,
    IF(arrears_months=4,10.00,
    IF(arrears_months=5,12.00,15.00)))))))</f>
        <v/>
      </c>
      <c r="M9480">
        <f>LET(
    seasoning_years,DATEDIF('Loan Tape (S&amp;P)'!K9480,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80">
        <f>IF(AND('Loan Tape (S&amp;P)'!U9480="Yes",
        'Loan Tape (S&amp;P)'!T9480&lt;&gt;"Yes",
        DATEDIF('Loan Tape (S&amp;P)'!K9480, TODAY(), "M")&lt;18),
    1.10,
    1.00)</f>
        <v/>
      </c>
      <c r="O9480">
        <f>IF('Loan Tape (S&amp;P)'!T9480="Yes",
    1.35,
    1.00)</f>
        <v/>
      </c>
      <c r="P9480">
        <f>IF('Loan Tape (S&amp;P)'!S9480="Yes",
    1.15,
    1.00)</f>
        <v/>
      </c>
      <c r="Q9480">
        <f>IF('Loan Tape (S&amp;P)'!V9480="Yes",
    1.20,
    1.00)</f>
        <v/>
      </c>
      <c r="T9480">
        <f>LET(
    payment_method,'Loan Tape (S&amp;P)'!P9480,
    occupancy,'Loan Tape (S&amp;P)'!N9480,
    maturity_date,'Loan Tape (S&amp;P)'!L9480,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81">
      <c r="J9481">
        <f>LET(
    lien,'Loan Tape (S&amp;P)'!Q9481,
    IF(lien="First",1.00,
        IF(lien="Second",1.50,
            1.70)))</f>
        <v/>
      </c>
      <c r="K9481">
        <f>LET(
    purpose,'Loan Tape (S&amp;P)'!R9481,
    IF(purpose="Purchase",1.00,
        IF(purpose="Remortgage",1.00,
            1.20)))</f>
        <v/>
      </c>
      <c r="L9481">
        <f>LET(
    arrears_months,'Loan Tape (S&amp;P)'!AN9481,
    IF(arrears_months=0,1.00,
    IF(arrears_months=1,3.00,
    IF(arrears_months=2,5.00,
    IF(arrears_months=3,8.00,
    IF(arrears_months=4,10.00,
    IF(arrears_months=5,12.00,15.00)))))))</f>
        <v/>
      </c>
      <c r="M9481">
        <f>LET(
    seasoning_years,DATEDIF('Loan Tape (S&amp;P)'!K9481,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81">
        <f>IF(AND('Loan Tape (S&amp;P)'!U9481="Yes",
        'Loan Tape (S&amp;P)'!T9481&lt;&gt;"Yes",
        DATEDIF('Loan Tape (S&amp;P)'!K9481, TODAY(), "M")&lt;18),
    1.10,
    1.00)</f>
        <v/>
      </c>
      <c r="O9481">
        <f>IF('Loan Tape (S&amp;P)'!T9481="Yes",
    1.35,
    1.00)</f>
        <v/>
      </c>
      <c r="P9481">
        <f>IF('Loan Tape (S&amp;P)'!S9481="Yes",
    1.15,
    1.00)</f>
        <v/>
      </c>
      <c r="Q9481">
        <f>IF('Loan Tape (S&amp;P)'!V9481="Yes",
    1.20,
    1.00)</f>
        <v/>
      </c>
      <c r="T9481">
        <f>LET(
    payment_method,'Loan Tape (S&amp;P)'!P9481,
    occupancy,'Loan Tape (S&amp;P)'!N9481,
    maturity_date,'Loan Tape (S&amp;P)'!L9481,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82">
      <c r="J9482">
        <f>LET(
    lien,'Loan Tape (S&amp;P)'!Q9482,
    IF(lien="First",1.00,
        IF(lien="Second",1.50,
            1.70)))</f>
        <v/>
      </c>
      <c r="K9482">
        <f>LET(
    purpose,'Loan Tape (S&amp;P)'!R9482,
    IF(purpose="Purchase",1.00,
        IF(purpose="Remortgage",1.00,
            1.20)))</f>
        <v/>
      </c>
      <c r="L9482">
        <f>LET(
    arrears_months,'Loan Tape (S&amp;P)'!AN9482,
    IF(arrears_months=0,1.00,
    IF(arrears_months=1,3.00,
    IF(arrears_months=2,5.00,
    IF(arrears_months=3,8.00,
    IF(arrears_months=4,10.00,
    IF(arrears_months=5,12.00,15.00)))))))</f>
        <v/>
      </c>
      <c r="M9482">
        <f>LET(
    seasoning_years,DATEDIF('Loan Tape (S&amp;P)'!K9482,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82">
        <f>IF(AND('Loan Tape (S&amp;P)'!U9482="Yes",
        'Loan Tape (S&amp;P)'!T9482&lt;&gt;"Yes",
        DATEDIF('Loan Tape (S&amp;P)'!K9482, TODAY(), "M")&lt;18),
    1.10,
    1.00)</f>
        <v/>
      </c>
      <c r="O9482">
        <f>IF('Loan Tape (S&amp;P)'!T9482="Yes",
    1.35,
    1.00)</f>
        <v/>
      </c>
      <c r="P9482">
        <f>IF('Loan Tape (S&amp;P)'!S9482="Yes",
    1.15,
    1.00)</f>
        <v/>
      </c>
      <c r="Q9482">
        <f>IF('Loan Tape (S&amp;P)'!V9482="Yes",
    1.20,
    1.00)</f>
        <v/>
      </c>
      <c r="T9482">
        <f>LET(
    payment_method,'Loan Tape (S&amp;P)'!P9482,
    occupancy,'Loan Tape (S&amp;P)'!N9482,
    maturity_date,'Loan Tape (S&amp;P)'!L9482,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83">
      <c r="J9483">
        <f>LET(
    lien,'Loan Tape (S&amp;P)'!Q9483,
    IF(lien="First",1.00,
        IF(lien="Second",1.50,
            1.70)))</f>
        <v/>
      </c>
      <c r="K9483">
        <f>LET(
    purpose,'Loan Tape (S&amp;P)'!R9483,
    IF(purpose="Purchase",1.00,
        IF(purpose="Remortgage",1.00,
            1.20)))</f>
        <v/>
      </c>
      <c r="L9483">
        <f>LET(
    arrears_months,'Loan Tape (S&amp;P)'!AN9483,
    IF(arrears_months=0,1.00,
    IF(arrears_months=1,3.00,
    IF(arrears_months=2,5.00,
    IF(arrears_months=3,8.00,
    IF(arrears_months=4,10.00,
    IF(arrears_months=5,12.00,15.00)))))))</f>
        <v/>
      </c>
      <c r="M9483">
        <f>LET(
    seasoning_years,DATEDIF('Loan Tape (S&amp;P)'!K9483,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83">
        <f>IF(AND('Loan Tape (S&amp;P)'!U9483="Yes",
        'Loan Tape (S&amp;P)'!T9483&lt;&gt;"Yes",
        DATEDIF('Loan Tape (S&amp;P)'!K9483, TODAY(), "M")&lt;18),
    1.10,
    1.00)</f>
        <v/>
      </c>
      <c r="O9483">
        <f>IF('Loan Tape (S&amp;P)'!T9483="Yes",
    1.35,
    1.00)</f>
        <v/>
      </c>
      <c r="P9483">
        <f>IF('Loan Tape (S&amp;P)'!S9483="Yes",
    1.15,
    1.00)</f>
        <v/>
      </c>
      <c r="Q9483">
        <f>IF('Loan Tape (S&amp;P)'!V9483="Yes",
    1.20,
    1.00)</f>
        <v/>
      </c>
      <c r="T9483">
        <f>LET(
    payment_method,'Loan Tape (S&amp;P)'!P9483,
    occupancy,'Loan Tape (S&amp;P)'!N9483,
    maturity_date,'Loan Tape (S&amp;P)'!L9483,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84">
      <c r="J9484">
        <f>LET(
    lien,'Loan Tape (S&amp;P)'!Q9484,
    IF(lien="First",1.00,
        IF(lien="Second",1.50,
            1.70)))</f>
        <v/>
      </c>
      <c r="K9484">
        <f>LET(
    purpose,'Loan Tape (S&amp;P)'!R9484,
    IF(purpose="Purchase",1.00,
        IF(purpose="Remortgage",1.00,
            1.20)))</f>
        <v/>
      </c>
      <c r="L9484">
        <f>LET(
    arrears_months,'Loan Tape (S&amp;P)'!AN9484,
    IF(arrears_months=0,1.00,
    IF(arrears_months=1,3.00,
    IF(arrears_months=2,5.00,
    IF(arrears_months=3,8.00,
    IF(arrears_months=4,10.00,
    IF(arrears_months=5,12.00,15.00)))))))</f>
        <v/>
      </c>
      <c r="M9484">
        <f>LET(
    seasoning_years,DATEDIF('Loan Tape (S&amp;P)'!K9484,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84">
        <f>IF(AND('Loan Tape (S&amp;P)'!U9484="Yes",
        'Loan Tape (S&amp;P)'!T9484&lt;&gt;"Yes",
        DATEDIF('Loan Tape (S&amp;P)'!K9484, TODAY(), "M")&lt;18),
    1.10,
    1.00)</f>
        <v/>
      </c>
      <c r="O9484">
        <f>IF('Loan Tape (S&amp;P)'!T9484="Yes",
    1.35,
    1.00)</f>
        <v/>
      </c>
      <c r="P9484">
        <f>IF('Loan Tape (S&amp;P)'!S9484="Yes",
    1.15,
    1.00)</f>
        <v/>
      </c>
      <c r="Q9484">
        <f>IF('Loan Tape (S&amp;P)'!V9484="Yes",
    1.20,
    1.00)</f>
        <v/>
      </c>
      <c r="T9484">
        <f>LET(
    payment_method,'Loan Tape (S&amp;P)'!P9484,
    occupancy,'Loan Tape (S&amp;P)'!N9484,
    maturity_date,'Loan Tape (S&amp;P)'!L9484,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85">
      <c r="J9485">
        <f>LET(
    lien,'Loan Tape (S&amp;P)'!Q9485,
    IF(lien="First",1.00,
        IF(lien="Second",1.50,
            1.70)))</f>
        <v/>
      </c>
      <c r="K9485">
        <f>LET(
    purpose,'Loan Tape (S&amp;P)'!R9485,
    IF(purpose="Purchase",1.00,
        IF(purpose="Remortgage",1.00,
            1.20)))</f>
        <v/>
      </c>
      <c r="L9485">
        <f>LET(
    arrears_months,'Loan Tape (S&amp;P)'!AN9485,
    IF(arrears_months=0,1.00,
    IF(arrears_months=1,3.00,
    IF(arrears_months=2,5.00,
    IF(arrears_months=3,8.00,
    IF(arrears_months=4,10.00,
    IF(arrears_months=5,12.00,15.00)))))))</f>
        <v/>
      </c>
      <c r="M9485">
        <f>LET(
    seasoning_years,DATEDIF('Loan Tape (S&amp;P)'!K9485,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85">
        <f>IF(AND('Loan Tape (S&amp;P)'!U9485="Yes",
        'Loan Tape (S&amp;P)'!T9485&lt;&gt;"Yes",
        DATEDIF('Loan Tape (S&amp;P)'!K9485, TODAY(), "M")&lt;18),
    1.10,
    1.00)</f>
        <v/>
      </c>
      <c r="O9485">
        <f>IF('Loan Tape (S&amp;P)'!T9485="Yes",
    1.35,
    1.00)</f>
        <v/>
      </c>
      <c r="P9485">
        <f>IF('Loan Tape (S&amp;P)'!S9485="Yes",
    1.15,
    1.00)</f>
        <v/>
      </c>
      <c r="Q9485">
        <f>IF('Loan Tape (S&amp;P)'!V9485="Yes",
    1.20,
    1.00)</f>
        <v/>
      </c>
      <c r="T9485">
        <f>LET(
    payment_method,'Loan Tape (S&amp;P)'!P9485,
    occupancy,'Loan Tape (S&amp;P)'!N9485,
    maturity_date,'Loan Tape (S&amp;P)'!L9485,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86">
      <c r="J9486">
        <f>LET(
    lien,'Loan Tape (S&amp;P)'!Q9486,
    IF(lien="First",1.00,
        IF(lien="Second",1.50,
            1.70)))</f>
        <v/>
      </c>
      <c r="K9486">
        <f>LET(
    purpose,'Loan Tape (S&amp;P)'!R9486,
    IF(purpose="Purchase",1.00,
        IF(purpose="Remortgage",1.00,
            1.20)))</f>
        <v/>
      </c>
      <c r="L9486">
        <f>LET(
    arrears_months,'Loan Tape (S&amp;P)'!AN9486,
    IF(arrears_months=0,1.00,
    IF(arrears_months=1,3.00,
    IF(arrears_months=2,5.00,
    IF(arrears_months=3,8.00,
    IF(arrears_months=4,10.00,
    IF(arrears_months=5,12.00,15.00)))))))</f>
        <v/>
      </c>
      <c r="M9486">
        <f>LET(
    seasoning_years,DATEDIF('Loan Tape (S&amp;P)'!K9486,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86">
        <f>IF(AND('Loan Tape (S&amp;P)'!U9486="Yes",
        'Loan Tape (S&amp;P)'!T9486&lt;&gt;"Yes",
        DATEDIF('Loan Tape (S&amp;P)'!K9486, TODAY(), "M")&lt;18),
    1.10,
    1.00)</f>
        <v/>
      </c>
      <c r="O9486">
        <f>IF('Loan Tape (S&amp;P)'!T9486="Yes",
    1.35,
    1.00)</f>
        <v/>
      </c>
      <c r="P9486">
        <f>IF('Loan Tape (S&amp;P)'!S9486="Yes",
    1.15,
    1.00)</f>
        <v/>
      </c>
      <c r="Q9486">
        <f>IF('Loan Tape (S&amp;P)'!V9486="Yes",
    1.20,
    1.00)</f>
        <v/>
      </c>
      <c r="T9486">
        <f>LET(
    payment_method,'Loan Tape (S&amp;P)'!P9486,
    occupancy,'Loan Tape (S&amp;P)'!N9486,
    maturity_date,'Loan Tape (S&amp;P)'!L9486,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87">
      <c r="J9487">
        <f>LET(
    lien,'Loan Tape (S&amp;P)'!Q9487,
    IF(lien="First",1.00,
        IF(lien="Second",1.50,
            1.70)))</f>
        <v/>
      </c>
      <c r="K9487">
        <f>LET(
    purpose,'Loan Tape (S&amp;P)'!R9487,
    IF(purpose="Purchase",1.00,
        IF(purpose="Remortgage",1.00,
            1.20)))</f>
        <v/>
      </c>
      <c r="L9487">
        <f>LET(
    arrears_months,'Loan Tape (S&amp;P)'!AN9487,
    IF(arrears_months=0,1.00,
    IF(arrears_months=1,3.00,
    IF(arrears_months=2,5.00,
    IF(arrears_months=3,8.00,
    IF(arrears_months=4,10.00,
    IF(arrears_months=5,12.00,15.00)))))))</f>
        <v/>
      </c>
      <c r="M9487">
        <f>LET(
    seasoning_years,DATEDIF('Loan Tape (S&amp;P)'!K9487,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87">
        <f>IF(AND('Loan Tape (S&amp;P)'!U9487="Yes",
        'Loan Tape (S&amp;P)'!T9487&lt;&gt;"Yes",
        DATEDIF('Loan Tape (S&amp;P)'!K9487, TODAY(), "M")&lt;18),
    1.10,
    1.00)</f>
        <v/>
      </c>
      <c r="O9487">
        <f>IF('Loan Tape (S&amp;P)'!T9487="Yes",
    1.35,
    1.00)</f>
        <v/>
      </c>
      <c r="P9487">
        <f>IF('Loan Tape (S&amp;P)'!S9487="Yes",
    1.15,
    1.00)</f>
        <v/>
      </c>
      <c r="Q9487">
        <f>IF('Loan Tape (S&amp;P)'!V9487="Yes",
    1.20,
    1.00)</f>
        <v/>
      </c>
      <c r="T9487">
        <f>LET(
    payment_method,'Loan Tape (S&amp;P)'!P9487,
    occupancy,'Loan Tape (S&amp;P)'!N9487,
    maturity_date,'Loan Tape (S&amp;P)'!L9487,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88">
      <c r="J9488">
        <f>LET(
    lien,'Loan Tape (S&amp;P)'!Q9488,
    IF(lien="First",1.00,
        IF(lien="Second",1.50,
            1.70)))</f>
        <v/>
      </c>
      <c r="K9488">
        <f>LET(
    purpose,'Loan Tape (S&amp;P)'!R9488,
    IF(purpose="Purchase",1.00,
        IF(purpose="Remortgage",1.00,
            1.20)))</f>
        <v/>
      </c>
      <c r="L9488">
        <f>LET(
    arrears_months,'Loan Tape (S&amp;P)'!AN9488,
    IF(arrears_months=0,1.00,
    IF(arrears_months=1,3.00,
    IF(arrears_months=2,5.00,
    IF(arrears_months=3,8.00,
    IF(arrears_months=4,10.00,
    IF(arrears_months=5,12.00,15.00)))))))</f>
        <v/>
      </c>
      <c r="M9488">
        <f>LET(
    seasoning_years,DATEDIF('Loan Tape (S&amp;P)'!K9488,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88">
        <f>IF(AND('Loan Tape (S&amp;P)'!U9488="Yes",
        'Loan Tape (S&amp;P)'!T9488&lt;&gt;"Yes",
        DATEDIF('Loan Tape (S&amp;P)'!K9488, TODAY(), "M")&lt;18),
    1.10,
    1.00)</f>
        <v/>
      </c>
      <c r="O9488">
        <f>IF('Loan Tape (S&amp;P)'!T9488="Yes",
    1.35,
    1.00)</f>
        <v/>
      </c>
      <c r="P9488">
        <f>IF('Loan Tape (S&amp;P)'!S9488="Yes",
    1.15,
    1.00)</f>
        <v/>
      </c>
      <c r="Q9488">
        <f>IF('Loan Tape (S&amp;P)'!V9488="Yes",
    1.20,
    1.00)</f>
        <v/>
      </c>
      <c r="T9488">
        <f>LET(
    payment_method,'Loan Tape (S&amp;P)'!P9488,
    occupancy,'Loan Tape (S&amp;P)'!N9488,
    maturity_date,'Loan Tape (S&amp;P)'!L9488,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89">
      <c r="J9489">
        <f>LET(
    lien,'Loan Tape (S&amp;P)'!Q9489,
    IF(lien="First",1.00,
        IF(lien="Second",1.50,
            1.70)))</f>
        <v/>
      </c>
      <c r="K9489">
        <f>LET(
    purpose,'Loan Tape (S&amp;P)'!R9489,
    IF(purpose="Purchase",1.00,
        IF(purpose="Remortgage",1.00,
            1.20)))</f>
        <v/>
      </c>
      <c r="L9489">
        <f>LET(
    arrears_months,'Loan Tape (S&amp;P)'!AN9489,
    IF(arrears_months=0,1.00,
    IF(arrears_months=1,3.00,
    IF(arrears_months=2,5.00,
    IF(arrears_months=3,8.00,
    IF(arrears_months=4,10.00,
    IF(arrears_months=5,12.00,15.00)))))))</f>
        <v/>
      </c>
      <c r="M9489">
        <f>LET(
    seasoning_years,DATEDIF('Loan Tape (S&amp;P)'!K9489,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89">
        <f>IF(AND('Loan Tape (S&amp;P)'!U9489="Yes",
        'Loan Tape (S&amp;P)'!T9489&lt;&gt;"Yes",
        DATEDIF('Loan Tape (S&amp;P)'!K9489, TODAY(), "M")&lt;18),
    1.10,
    1.00)</f>
        <v/>
      </c>
      <c r="O9489">
        <f>IF('Loan Tape (S&amp;P)'!T9489="Yes",
    1.35,
    1.00)</f>
        <v/>
      </c>
      <c r="P9489">
        <f>IF('Loan Tape (S&amp;P)'!S9489="Yes",
    1.15,
    1.00)</f>
        <v/>
      </c>
      <c r="Q9489">
        <f>IF('Loan Tape (S&amp;P)'!V9489="Yes",
    1.20,
    1.00)</f>
        <v/>
      </c>
      <c r="T9489">
        <f>LET(
    payment_method,'Loan Tape (S&amp;P)'!P9489,
    occupancy,'Loan Tape (S&amp;P)'!N9489,
    maturity_date,'Loan Tape (S&amp;P)'!L9489,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90">
      <c r="J9490">
        <f>LET(
    lien,'Loan Tape (S&amp;P)'!Q9490,
    IF(lien="First",1.00,
        IF(lien="Second",1.50,
            1.70)))</f>
        <v/>
      </c>
      <c r="K9490">
        <f>LET(
    purpose,'Loan Tape (S&amp;P)'!R9490,
    IF(purpose="Purchase",1.00,
        IF(purpose="Remortgage",1.00,
            1.20)))</f>
        <v/>
      </c>
      <c r="L9490">
        <f>LET(
    arrears_months,'Loan Tape (S&amp;P)'!AN9490,
    IF(arrears_months=0,1.00,
    IF(arrears_months=1,3.00,
    IF(arrears_months=2,5.00,
    IF(arrears_months=3,8.00,
    IF(arrears_months=4,10.00,
    IF(arrears_months=5,12.00,15.00)))))))</f>
        <v/>
      </c>
      <c r="M9490">
        <f>LET(
    seasoning_years,DATEDIF('Loan Tape (S&amp;P)'!K9490,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90">
        <f>IF(AND('Loan Tape (S&amp;P)'!U9490="Yes",
        'Loan Tape (S&amp;P)'!T9490&lt;&gt;"Yes",
        DATEDIF('Loan Tape (S&amp;P)'!K9490, TODAY(), "M")&lt;18),
    1.10,
    1.00)</f>
        <v/>
      </c>
      <c r="O9490">
        <f>IF('Loan Tape (S&amp;P)'!T9490="Yes",
    1.35,
    1.00)</f>
        <v/>
      </c>
      <c r="P9490">
        <f>IF('Loan Tape (S&amp;P)'!S9490="Yes",
    1.15,
    1.00)</f>
        <v/>
      </c>
      <c r="Q9490">
        <f>IF('Loan Tape (S&amp;P)'!V9490="Yes",
    1.20,
    1.00)</f>
        <v/>
      </c>
      <c r="T9490">
        <f>LET(
    payment_method,'Loan Tape (S&amp;P)'!P9490,
    occupancy,'Loan Tape (S&amp;P)'!N9490,
    maturity_date,'Loan Tape (S&amp;P)'!L9490,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91">
      <c r="J9491">
        <f>LET(
    lien,'Loan Tape (S&amp;P)'!Q9491,
    IF(lien="First",1.00,
        IF(lien="Second",1.50,
            1.70)))</f>
        <v/>
      </c>
      <c r="K9491">
        <f>LET(
    purpose,'Loan Tape (S&amp;P)'!R9491,
    IF(purpose="Purchase",1.00,
        IF(purpose="Remortgage",1.00,
            1.20)))</f>
        <v/>
      </c>
      <c r="L9491">
        <f>LET(
    arrears_months,'Loan Tape (S&amp;P)'!AN9491,
    IF(arrears_months=0,1.00,
    IF(arrears_months=1,3.00,
    IF(arrears_months=2,5.00,
    IF(arrears_months=3,8.00,
    IF(arrears_months=4,10.00,
    IF(arrears_months=5,12.00,15.00)))))))</f>
        <v/>
      </c>
      <c r="M9491">
        <f>LET(
    seasoning_years,DATEDIF('Loan Tape (S&amp;P)'!K9491,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91">
        <f>IF(AND('Loan Tape (S&amp;P)'!U9491="Yes",
        'Loan Tape (S&amp;P)'!T9491&lt;&gt;"Yes",
        DATEDIF('Loan Tape (S&amp;P)'!K9491, TODAY(), "M")&lt;18),
    1.10,
    1.00)</f>
        <v/>
      </c>
      <c r="O9491">
        <f>IF('Loan Tape (S&amp;P)'!T9491="Yes",
    1.35,
    1.00)</f>
        <v/>
      </c>
      <c r="P9491">
        <f>IF('Loan Tape (S&amp;P)'!S9491="Yes",
    1.15,
    1.00)</f>
        <v/>
      </c>
      <c r="Q9491">
        <f>IF('Loan Tape (S&amp;P)'!V9491="Yes",
    1.20,
    1.00)</f>
        <v/>
      </c>
      <c r="T9491">
        <f>LET(
    payment_method,'Loan Tape (S&amp;P)'!P9491,
    occupancy,'Loan Tape (S&amp;P)'!N9491,
    maturity_date,'Loan Tape (S&amp;P)'!L9491,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92">
      <c r="J9492">
        <f>LET(
    lien,'Loan Tape (S&amp;P)'!Q9492,
    IF(lien="First",1.00,
        IF(lien="Second",1.50,
            1.70)))</f>
        <v/>
      </c>
      <c r="K9492">
        <f>LET(
    purpose,'Loan Tape (S&amp;P)'!R9492,
    IF(purpose="Purchase",1.00,
        IF(purpose="Remortgage",1.00,
            1.20)))</f>
        <v/>
      </c>
      <c r="L9492">
        <f>LET(
    arrears_months,'Loan Tape (S&amp;P)'!AN9492,
    IF(arrears_months=0,1.00,
    IF(arrears_months=1,3.00,
    IF(arrears_months=2,5.00,
    IF(arrears_months=3,8.00,
    IF(arrears_months=4,10.00,
    IF(arrears_months=5,12.00,15.00)))))))</f>
        <v/>
      </c>
      <c r="M9492">
        <f>LET(
    seasoning_years,DATEDIF('Loan Tape (S&amp;P)'!K9492,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92">
        <f>IF(AND('Loan Tape (S&amp;P)'!U9492="Yes",
        'Loan Tape (S&amp;P)'!T9492&lt;&gt;"Yes",
        DATEDIF('Loan Tape (S&amp;P)'!K9492, TODAY(), "M")&lt;18),
    1.10,
    1.00)</f>
        <v/>
      </c>
      <c r="O9492">
        <f>IF('Loan Tape (S&amp;P)'!T9492="Yes",
    1.35,
    1.00)</f>
        <v/>
      </c>
      <c r="P9492">
        <f>IF('Loan Tape (S&amp;P)'!S9492="Yes",
    1.15,
    1.00)</f>
        <v/>
      </c>
      <c r="Q9492">
        <f>IF('Loan Tape (S&amp;P)'!V9492="Yes",
    1.20,
    1.00)</f>
        <v/>
      </c>
      <c r="T9492">
        <f>LET(
    payment_method,'Loan Tape (S&amp;P)'!P9492,
    occupancy,'Loan Tape (S&amp;P)'!N9492,
    maturity_date,'Loan Tape (S&amp;P)'!L9492,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93">
      <c r="J9493">
        <f>LET(
    lien,'Loan Tape (S&amp;P)'!Q9493,
    IF(lien="First",1.00,
        IF(lien="Second",1.50,
            1.70)))</f>
        <v/>
      </c>
      <c r="K9493">
        <f>LET(
    purpose,'Loan Tape (S&amp;P)'!R9493,
    IF(purpose="Purchase",1.00,
        IF(purpose="Remortgage",1.00,
            1.20)))</f>
        <v/>
      </c>
      <c r="L9493">
        <f>LET(
    arrears_months,'Loan Tape (S&amp;P)'!AN9493,
    IF(arrears_months=0,1.00,
    IF(arrears_months=1,3.00,
    IF(arrears_months=2,5.00,
    IF(arrears_months=3,8.00,
    IF(arrears_months=4,10.00,
    IF(arrears_months=5,12.00,15.00)))))))</f>
        <v/>
      </c>
      <c r="M9493">
        <f>LET(
    seasoning_years,DATEDIF('Loan Tape (S&amp;P)'!K9493,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93">
        <f>IF(AND('Loan Tape (S&amp;P)'!U9493="Yes",
        'Loan Tape (S&amp;P)'!T9493&lt;&gt;"Yes",
        DATEDIF('Loan Tape (S&amp;P)'!K9493, TODAY(), "M")&lt;18),
    1.10,
    1.00)</f>
        <v/>
      </c>
      <c r="O9493">
        <f>IF('Loan Tape (S&amp;P)'!T9493="Yes",
    1.35,
    1.00)</f>
        <v/>
      </c>
      <c r="P9493">
        <f>IF('Loan Tape (S&amp;P)'!S9493="Yes",
    1.15,
    1.00)</f>
        <v/>
      </c>
      <c r="Q9493">
        <f>IF('Loan Tape (S&amp;P)'!V9493="Yes",
    1.20,
    1.00)</f>
        <v/>
      </c>
      <c r="T9493">
        <f>LET(
    payment_method,'Loan Tape (S&amp;P)'!P9493,
    occupancy,'Loan Tape (S&amp;P)'!N9493,
    maturity_date,'Loan Tape (S&amp;P)'!L9493,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94">
      <c r="J9494">
        <f>LET(
    lien,'Loan Tape (S&amp;P)'!Q9494,
    IF(lien="First",1.00,
        IF(lien="Second",1.50,
            1.70)))</f>
        <v/>
      </c>
      <c r="K9494">
        <f>LET(
    purpose,'Loan Tape (S&amp;P)'!R9494,
    IF(purpose="Purchase",1.00,
        IF(purpose="Remortgage",1.00,
            1.20)))</f>
        <v/>
      </c>
      <c r="L9494">
        <f>LET(
    arrears_months,'Loan Tape (S&amp;P)'!AN9494,
    IF(arrears_months=0,1.00,
    IF(arrears_months=1,3.00,
    IF(arrears_months=2,5.00,
    IF(arrears_months=3,8.00,
    IF(arrears_months=4,10.00,
    IF(arrears_months=5,12.00,15.00)))))))</f>
        <v/>
      </c>
      <c r="M9494">
        <f>LET(
    seasoning_years,DATEDIF('Loan Tape (S&amp;P)'!K9494,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94">
        <f>IF(AND('Loan Tape (S&amp;P)'!U9494="Yes",
        'Loan Tape (S&amp;P)'!T9494&lt;&gt;"Yes",
        DATEDIF('Loan Tape (S&amp;P)'!K9494, TODAY(), "M")&lt;18),
    1.10,
    1.00)</f>
        <v/>
      </c>
      <c r="O9494">
        <f>IF('Loan Tape (S&amp;P)'!T9494="Yes",
    1.35,
    1.00)</f>
        <v/>
      </c>
      <c r="P9494">
        <f>IF('Loan Tape (S&amp;P)'!S9494="Yes",
    1.15,
    1.00)</f>
        <v/>
      </c>
      <c r="Q9494">
        <f>IF('Loan Tape (S&amp;P)'!V9494="Yes",
    1.20,
    1.00)</f>
        <v/>
      </c>
      <c r="T9494">
        <f>LET(
    payment_method,'Loan Tape (S&amp;P)'!P9494,
    occupancy,'Loan Tape (S&amp;P)'!N9494,
    maturity_date,'Loan Tape (S&amp;P)'!L9494,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95">
      <c r="J9495">
        <f>LET(
    lien,'Loan Tape (S&amp;P)'!Q9495,
    IF(lien="First",1.00,
        IF(lien="Second",1.50,
            1.70)))</f>
        <v/>
      </c>
      <c r="K9495">
        <f>LET(
    purpose,'Loan Tape (S&amp;P)'!R9495,
    IF(purpose="Purchase",1.00,
        IF(purpose="Remortgage",1.00,
            1.20)))</f>
        <v/>
      </c>
      <c r="L9495">
        <f>LET(
    arrears_months,'Loan Tape (S&amp;P)'!AN9495,
    IF(arrears_months=0,1.00,
    IF(arrears_months=1,3.00,
    IF(arrears_months=2,5.00,
    IF(arrears_months=3,8.00,
    IF(arrears_months=4,10.00,
    IF(arrears_months=5,12.00,15.00)))))))</f>
        <v/>
      </c>
      <c r="M9495">
        <f>LET(
    seasoning_years,DATEDIF('Loan Tape (S&amp;P)'!K9495,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95">
        <f>IF(AND('Loan Tape (S&amp;P)'!U9495="Yes",
        'Loan Tape (S&amp;P)'!T9495&lt;&gt;"Yes",
        DATEDIF('Loan Tape (S&amp;P)'!K9495, TODAY(), "M")&lt;18),
    1.10,
    1.00)</f>
        <v/>
      </c>
      <c r="O9495">
        <f>IF('Loan Tape (S&amp;P)'!T9495="Yes",
    1.35,
    1.00)</f>
        <v/>
      </c>
      <c r="P9495">
        <f>IF('Loan Tape (S&amp;P)'!S9495="Yes",
    1.15,
    1.00)</f>
        <v/>
      </c>
      <c r="Q9495">
        <f>IF('Loan Tape (S&amp;P)'!V9495="Yes",
    1.20,
    1.00)</f>
        <v/>
      </c>
      <c r="T9495">
        <f>LET(
    payment_method,'Loan Tape (S&amp;P)'!P9495,
    occupancy,'Loan Tape (S&amp;P)'!N9495,
    maturity_date,'Loan Tape (S&amp;P)'!L9495,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96">
      <c r="J9496">
        <f>LET(
    lien,'Loan Tape (S&amp;P)'!Q9496,
    IF(lien="First",1.00,
        IF(lien="Second",1.50,
            1.70)))</f>
        <v/>
      </c>
      <c r="K9496">
        <f>LET(
    purpose,'Loan Tape (S&amp;P)'!R9496,
    IF(purpose="Purchase",1.00,
        IF(purpose="Remortgage",1.00,
            1.20)))</f>
        <v/>
      </c>
      <c r="L9496">
        <f>LET(
    arrears_months,'Loan Tape (S&amp;P)'!AN9496,
    IF(arrears_months=0,1.00,
    IF(arrears_months=1,3.00,
    IF(arrears_months=2,5.00,
    IF(arrears_months=3,8.00,
    IF(arrears_months=4,10.00,
    IF(arrears_months=5,12.00,15.00)))))))</f>
        <v/>
      </c>
      <c r="M9496">
        <f>LET(
    seasoning_years,DATEDIF('Loan Tape (S&amp;P)'!K9496,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96">
        <f>IF(AND('Loan Tape (S&amp;P)'!U9496="Yes",
        'Loan Tape (S&amp;P)'!T9496&lt;&gt;"Yes",
        DATEDIF('Loan Tape (S&amp;P)'!K9496, TODAY(), "M")&lt;18),
    1.10,
    1.00)</f>
        <v/>
      </c>
      <c r="O9496">
        <f>IF('Loan Tape (S&amp;P)'!T9496="Yes",
    1.35,
    1.00)</f>
        <v/>
      </c>
      <c r="P9496">
        <f>IF('Loan Tape (S&amp;P)'!S9496="Yes",
    1.15,
    1.00)</f>
        <v/>
      </c>
      <c r="Q9496">
        <f>IF('Loan Tape (S&amp;P)'!V9496="Yes",
    1.20,
    1.00)</f>
        <v/>
      </c>
      <c r="T9496">
        <f>LET(
    payment_method,'Loan Tape (S&amp;P)'!P9496,
    occupancy,'Loan Tape (S&amp;P)'!N9496,
    maturity_date,'Loan Tape (S&amp;P)'!L9496,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97">
      <c r="J9497">
        <f>LET(
    lien,'Loan Tape (S&amp;P)'!Q9497,
    IF(lien="First",1.00,
        IF(lien="Second",1.50,
            1.70)))</f>
        <v/>
      </c>
      <c r="K9497">
        <f>LET(
    purpose,'Loan Tape (S&amp;P)'!R9497,
    IF(purpose="Purchase",1.00,
        IF(purpose="Remortgage",1.00,
            1.20)))</f>
        <v/>
      </c>
      <c r="L9497">
        <f>LET(
    arrears_months,'Loan Tape (S&amp;P)'!AN9497,
    IF(arrears_months=0,1.00,
    IF(arrears_months=1,3.00,
    IF(arrears_months=2,5.00,
    IF(arrears_months=3,8.00,
    IF(arrears_months=4,10.00,
    IF(arrears_months=5,12.00,15.00)))))))</f>
        <v/>
      </c>
      <c r="M9497">
        <f>LET(
    seasoning_years,DATEDIF('Loan Tape (S&amp;P)'!K9497,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97">
        <f>IF(AND('Loan Tape (S&amp;P)'!U9497="Yes",
        'Loan Tape (S&amp;P)'!T9497&lt;&gt;"Yes",
        DATEDIF('Loan Tape (S&amp;P)'!K9497, TODAY(), "M")&lt;18),
    1.10,
    1.00)</f>
        <v/>
      </c>
      <c r="O9497">
        <f>IF('Loan Tape (S&amp;P)'!T9497="Yes",
    1.35,
    1.00)</f>
        <v/>
      </c>
      <c r="P9497">
        <f>IF('Loan Tape (S&amp;P)'!S9497="Yes",
    1.15,
    1.00)</f>
        <v/>
      </c>
      <c r="Q9497">
        <f>IF('Loan Tape (S&amp;P)'!V9497="Yes",
    1.20,
    1.00)</f>
        <v/>
      </c>
      <c r="T9497">
        <f>LET(
    payment_method,'Loan Tape (S&amp;P)'!P9497,
    occupancy,'Loan Tape (S&amp;P)'!N9497,
    maturity_date,'Loan Tape (S&amp;P)'!L9497,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98">
      <c r="J9498">
        <f>LET(
    lien,'Loan Tape (S&amp;P)'!Q9498,
    IF(lien="First",1.00,
        IF(lien="Second",1.50,
            1.70)))</f>
        <v/>
      </c>
      <c r="K9498">
        <f>LET(
    purpose,'Loan Tape (S&amp;P)'!R9498,
    IF(purpose="Purchase",1.00,
        IF(purpose="Remortgage",1.00,
            1.20)))</f>
        <v/>
      </c>
      <c r="L9498">
        <f>LET(
    arrears_months,'Loan Tape (S&amp;P)'!AN9498,
    IF(arrears_months=0,1.00,
    IF(arrears_months=1,3.00,
    IF(arrears_months=2,5.00,
    IF(arrears_months=3,8.00,
    IF(arrears_months=4,10.00,
    IF(arrears_months=5,12.00,15.00)))))))</f>
        <v/>
      </c>
      <c r="M9498">
        <f>LET(
    seasoning_years,DATEDIF('Loan Tape (S&amp;P)'!K9498,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98">
        <f>IF(AND('Loan Tape (S&amp;P)'!U9498="Yes",
        'Loan Tape (S&amp;P)'!T9498&lt;&gt;"Yes",
        DATEDIF('Loan Tape (S&amp;P)'!K9498, TODAY(), "M")&lt;18),
    1.10,
    1.00)</f>
        <v/>
      </c>
      <c r="O9498">
        <f>IF('Loan Tape (S&amp;P)'!T9498="Yes",
    1.35,
    1.00)</f>
        <v/>
      </c>
      <c r="P9498">
        <f>IF('Loan Tape (S&amp;P)'!S9498="Yes",
    1.15,
    1.00)</f>
        <v/>
      </c>
      <c r="Q9498">
        <f>IF('Loan Tape (S&amp;P)'!V9498="Yes",
    1.20,
    1.00)</f>
        <v/>
      </c>
      <c r="T9498">
        <f>LET(
    payment_method,'Loan Tape (S&amp;P)'!P9498,
    occupancy,'Loan Tape (S&amp;P)'!N9498,
    maturity_date,'Loan Tape (S&amp;P)'!L9498,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499">
      <c r="J9499">
        <f>LET(
    lien,'Loan Tape (S&amp;P)'!Q9499,
    IF(lien="First",1.00,
        IF(lien="Second",1.50,
            1.70)))</f>
        <v/>
      </c>
      <c r="K9499">
        <f>LET(
    purpose,'Loan Tape (S&amp;P)'!R9499,
    IF(purpose="Purchase",1.00,
        IF(purpose="Remortgage",1.00,
            1.20)))</f>
        <v/>
      </c>
      <c r="L9499">
        <f>LET(
    arrears_months,'Loan Tape (S&amp;P)'!AN9499,
    IF(arrears_months=0,1.00,
    IF(arrears_months=1,3.00,
    IF(arrears_months=2,5.00,
    IF(arrears_months=3,8.00,
    IF(arrears_months=4,10.00,
    IF(arrears_months=5,12.00,15.00)))))))</f>
        <v/>
      </c>
      <c r="M9499">
        <f>LET(
    seasoning_years,DATEDIF('Loan Tape (S&amp;P)'!K9499,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499">
        <f>IF(AND('Loan Tape (S&amp;P)'!U9499="Yes",
        'Loan Tape (S&amp;P)'!T9499&lt;&gt;"Yes",
        DATEDIF('Loan Tape (S&amp;P)'!K9499, TODAY(), "M")&lt;18),
    1.10,
    1.00)</f>
        <v/>
      </c>
      <c r="O9499">
        <f>IF('Loan Tape (S&amp;P)'!T9499="Yes",
    1.35,
    1.00)</f>
        <v/>
      </c>
      <c r="P9499">
        <f>IF('Loan Tape (S&amp;P)'!S9499="Yes",
    1.15,
    1.00)</f>
        <v/>
      </c>
      <c r="Q9499">
        <f>IF('Loan Tape (S&amp;P)'!V9499="Yes",
    1.20,
    1.00)</f>
        <v/>
      </c>
      <c r="T9499">
        <f>LET(
    payment_method,'Loan Tape (S&amp;P)'!P9499,
    occupancy,'Loan Tape (S&amp;P)'!N9499,
    maturity_date,'Loan Tape (S&amp;P)'!L9499,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00">
      <c r="J9500">
        <f>LET(
    lien,'Loan Tape (S&amp;P)'!Q9500,
    IF(lien="First",1.00,
        IF(lien="Second",1.50,
            1.70)))</f>
        <v/>
      </c>
      <c r="K9500">
        <f>LET(
    purpose,'Loan Tape (S&amp;P)'!R9500,
    IF(purpose="Purchase",1.00,
        IF(purpose="Remortgage",1.00,
            1.20)))</f>
        <v/>
      </c>
      <c r="L9500">
        <f>LET(
    arrears_months,'Loan Tape (S&amp;P)'!AN9500,
    IF(arrears_months=0,1.00,
    IF(arrears_months=1,3.00,
    IF(arrears_months=2,5.00,
    IF(arrears_months=3,8.00,
    IF(arrears_months=4,10.00,
    IF(arrears_months=5,12.00,15.00)))))))</f>
        <v/>
      </c>
      <c r="M9500">
        <f>LET(
    seasoning_years,DATEDIF('Loan Tape (S&amp;P)'!K9500,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00">
        <f>IF(AND('Loan Tape (S&amp;P)'!U9500="Yes",
        'Loan Tape (S&amp;P)'!T9500&lt;&gt;"Yes",
        DATEDIF('Loan Tape (S&amp;P)'!K9500, TODAY(), "M")&lt;18),
    1.10,
    1.00)</f>
        <v/>
      </c>
      <c r="O9500">
        <f>IF('Loan Tape (S&amp;P)'!T9500="Yes",
    1.35,
    1.00)</f>
        <v/>
      </c>
      <c r="P9500">
        <f>IF('Loan Tape (S&amp;P)'!S9500="Yes",
    1.15,
    1.00)</f>
        <v/>
      </c>
      <c r="Q9500">
        <f>IF('Loan Tape (S&amp;P)'!V9500="Yes",
    1.20,
    1.00)</f>
        <v/>
      </c>
      <c r="T9500">
        <f>LET(
    payment_method,'Loan Tape (S&amp;P)'!P9500,
    occupancy,'Loan Tape (S&amp;P)'!N9500,
    maturity_date,'Loan Tape (S&amp;P)'!L9500,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01">
      <c r="J9501">
        <f>LET(
    lien,'Loan Tape (S&amp;P)'!Q9501,
    IF(lien="First",1.00,
        IF(lien="Second",1.50,
            1.70)))</f>
        <v/>
      </c>
      <c r="K9501">
        <f>LET(
    purpose,'Loan Tape (S&amp;P)'!R9501,
    IF(purpose="Purchase",1.00,
        IF(purpose="Remortgage",1.00,
            1.20)))</f>
        <v/>
      </c>
      <c r="L9501">
        <f>LET(
    arrears_months,'Loan Tape (S&amp;P)'!AN9501,
    IF(arrears_months=0,1.00,
    IF(arrears_months=1,3.00,
    IF(arrears_months=2,5.00,
    IF(arrears_months=3,8.00,
    IF(arrears_months=4,10.00,
    IF(arrears_months=5,12.00,15.00)))))))</f>
        <v/>
      </c>
      <c r="M9501">
        <f>LET(
    seasoning_years,DATEDIF('Loan Tape (S&amp;P)'!K9501,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01">
        <f>IF(AND('Loan Tape (S&amp;P)'!U9501="Yes",
        'Loan Tape (S&amp;P)'!T9501&lt;&gt;"Yes",
        DATEDIF('Loan Tape (S&amp;P)'!K9501, TODAY(), "M")&lt;18),
    1.10,
    1.00)</f>
        <v/>
      </c>
      <c r="O9501">
        <f>IF('Loan Tape (S&amp;P)'!T9501="Yes",
    1.35,
    1.00)</f>
        <v/>
      </c>
      <c r="P9501">
        <f>IF('Loan Tape (S&amp;P)'!S9501="Yes",
    1.15,
    1.00)</f>
        <v/>
      </c>
      <c r="Q9501">
        <f>IF('Loan Tape (S&amp;P)'!V9501="Yes",
    1.20,
    1.00)</f>
        <v/>
      </c>
      <c r="T9501">
        <f>LET(
    payment_method,'Loan Tape (S&amp;P)'!P9501,
    occupancy,'Loan Tape (S&amp;P)'!N9501,
    maturity_date,'Loan Tape (S&amp;P)'!L9501,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02">
      <c r="J9502">
        <f>LET(
    lien,'Loan Tape (S&amp;P)'!Q9502,
    IF(lien="First",1.00,
        IF(lien="Second",1.50,
            1.70)))</f>
        <v/>
      </c>
      <c r="K9502">
        <f>LET(
    purpose,'Loan Tape (S&amp;P)'!R9502,
    IF(purpose="Purchase",1.00,
        IF(purpose="Remortgage",1.00,
            1.20)))</f>
        <v/>
      </c>
      <c r="L9502">
        <f>LET(
    arrears_months,'Loan Tape (S&amp;P)'!AN9502,
    IF(arrears_months=0,1.00,
    IF(arrears_months=1,3.00,
    IF(arrears_months=2,5.00,
    IF(arrears_months=3,8.00,
    IF(arrears_months=4,10.00,
    IF(arrears_months=5,12.00,15.00)))))))</f>
        <v/>
      </c>
      <c r="M9502">
        <f>LET(
    seasoning_years,DATEDIF('Loan Tape (S&amp;P)'!K9502,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02">
        <f>IF(AND('Loan Tape (S&amp;P)'!U9502="Yes",
        'Loan Tape (S&amp;P)'!T9502&lt;&gt;"Yes",
        DATEDIF('Loan Tape (S&amp;P)'!K9502, TODAY(), "M")&lt;18),
    1.10,
    1.00)</f>
        <v/>
      </c>
      <c r="O9502">
        <f>IF('Loan Tape (S&amp;P)'!T9502="Yes",
    1.35,
    1.00)</f>
        <v/>
      </c>
      <c r="P9502">
        <f>IF('Loan Tape (S&amp;P)'!S9502="Yes",
    1.15,
    1.00)</f>
        <v/>
      </c>
      <c r="Q9502">
        <f>IF('Loan Tape (S&amp;P)'!V9502="Yes",
    1.20,
    1.00)</f>
        <v/>
      </c>
      <c r="T9502">
        <f>LET(
    payment_method,'Loan Tape (S&amp;P)'!P9502,
    occupancy,'Loan Tape (S&amp;P)'!N9502,
    maturity_date,'Loan Tape (S&amp;P)'!L9502,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03">
      <c r="J9503">
        <f>LET(
    lien,'Loan Tape (S&amp;P)'!Q9503,
    IF(lien="First",1.00,
        IF(lien="Second",1.50,
            1.70)))</f>
        <v/>
      </c>
      <c r="K9503">
        <f>LET(
    purpose,'Loan Tape (S&amp;P)'!R9503,
    IF(purpose="Purchase",1.00,
        IF(purpose="Remortgage",1.00,
            1.20)))</f>
        <v/>
      </c>
      <c r="L9503">
        <f>LET(
    arrears_months,'Loan Tape (S&amp;P)'!AN9503,
    IF(arrears_months=0,1.00,
    IF(arrears_months=1,3.00,
    IF(arrears_months=2,5.00,
    IF(arrears_months=3,8.00,
    IF(arrears_months=4,10.00,
    IF(arrears_months=5,12.00,15.00)))))))</f>
        <v/>
      </c>
      <c r="M9503">
        <f>LET(
    seasoning_years,DATEDIF('Loan Tape (S&amp;P)'!K9503,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03">
        <f>IF(AND('Loan Tape (S&amp;P)'!U9503="Yes",
        'Loan Tape (S&amp;P)'!T9503&lt;&gt;"Yes",
        DATEDIF('Loan Tape (S&amp;P)'!K9503, TODAY(), "M")&lt;18),
    1.10,
    1.00)</f>
        <v/>
      </c>
      <c r="O9503">
        <f>IF('Loan Tape (S&amp;P)'!T9503="Yes",
    1.35,
    1.00)</f>
        <v/>
      </c>
      <c r="P9503">
        <f>IF('Loan Tape (S&amp;P)'!S9503="Yes",
    1.15,
    1.00)</f>
        <v/>
      </c>
      <c r="Q9503">
        <f>IF('Loan Tape (S&amp;P)'!V9503="Yes",
    1.20,
    1.00)</f>
        <v/>
      </c>
      <c r="T9503">
        <f>LET(
    payment_method,'Loan Tape (S&amp;P)'!P9503,
    occupancy,'Loan Tape (S&amp;P)'!N9503,
    maturity_date,'Loan Tape (S&amp;P)'!L9503,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04">
      <c r="J9504">
        <f>LET(
    lien,'Loan Tape (S&amp;P)'!Q9504,
    IF(lien="First",1.00,
        IF(lien="Second",1.50,
            1.70)))</f>
        <v/>
      </c>
      <c r="K9504">
        <f>LET(
    purpose,'Loan Tape (S&amp;P)'!R9504,
    IF(purpose="Purchase",1.00,
        IF(purpose="Remortgage",1.00,
            1.20)))</f>
        <v/>
      </c>
      <c r="L9504">
        <f>LET(
    arrears_months,'Loan Tape (S&amp;P)'!AN9504,
    IF(arrears_months=0,1.00,
    IF(arrears_months=1,3.00,
    IF(arrears_months=2,5.00,
    IF(arrears_months=3,8.00,
    IF(arrears_months=4,10.00,
    IF(arrears_months=5,12.00,15.00)))))))</f>
        <v/>
      </c>
      <c r="M9504">
        <f>LET(
    seasoning_years,DATEDIF('Loan Tape (S&amp;P)'!K9504,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04">
        <f>IF(AND('Loan Tape (S&amp;P)'!U9504="Yes",
        'Loan Tape (S&amp;P)'!T9504&lt;&gt;"Yes",
        DATEDIF('Loan Tape (S&amp;P)'!K9504, TODAY(), "M")&lt;18),
    1.10,
    1.00)</f>
        <v/>
      </c>
      <c r="O9504">
        <f>IF('Loan Tape (S&amp;P)'!T9504="Yes",
    1.35,
    1.00)</f>
        <v/>
      </c>
      <c r="P9504">
        <f>IF('Loan Tape (S&amp;P)'!S9504="Yes",
    1.15,
    1.00)</f>
        <v/>
      </c>
      <c r="Q9504">
        <f>IF('Loan Tape (S&amp;P)'!V9504="Yes",
    1.20,
    1.00)</f>
        <v/>
      </c>
      <c r="T9504">
        <f>LET(
    payment_method,'Loan Tape (S&amp;P)'!P9504,
    occupancy,'Loan Tape (S&amp;P)'!N9504,
    maturity_date,'Loan Tape (S&amp;P)'!L9504,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05">
      <c r="J9505">
        <f>LET(
    lien,'Loan Tape (S&amp;P)'!Q9505,
    IF(lien="First",1.00,
        IF(lien="Second",1.50,
            1.70)))</f>
        <v/>
      </c>
      <c r="K9505">
        <f>LET(
    purpose,'Loan Tape (S&amp;P)'!R9505,
    IF(purpose="Purchase",1.00,
        IF(purpose="Remortgage",1.00,
            1.20)))</f>
        <v/>
      </c>
      <c r="L9505">
        <f>LET(
    arrears_months,'Loan Tape (S&amp;P)'!AN9505,
    IF(arrears_months=0,1.00,
    IF(arrears_months=1,3.00,
    IF(arrears_months=2,5.00,
    IF(arrears_months=3,8.00,
    IF(arrears_months=4,10.00,
    IF(arrears_months=5,12.00,15.00)))))))</f>
        <v/>
      </c>
      <c r="M9505">
        <f>LET(
    seasoning_years,DATEDIF('Loan Tape (S&amp;P)'!K9505,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05">
        <f>IF(AND('Loan Tape (S&amp;P)'!U9505="Yes",
        'Loan Tape (S&amp;P)'!T9505&lt;&gt;"Yes",
        DATEDIF('Loan Tape (S&amp;P)'!K9505, TODAY(), "M")&lt;18),
    1.10,
    1.00)</f>
        <v/>
      </c>
      <c r="O9505">
        <f>IF('Loan Tape (S&amp;P)'!T9505="Yes",
    1.35,
    1.00)</f>
        <v/>
      </c>
      <c r="P9505">
        <f>IF('Loan Tape (S&amp;P)'!S9505="Yes",
    1.15,
    1.00)</f>
        <v/>
      </c>
      <c r="Q9505">
        <f>IF('Loan Tape (S&amp;P)'!V9505="Yes",
    1.20,
    1.00)</f>
        <v/>
      </c>
      <c r="T9505">
        <f>LET(
    payment_method,'Loan Tape (S&amp;P)'!P9505,
    occupancy,'Loan Tape (S&amp;P)'!N9505,
    maturity_date,'Loan Tape (S&amp;P)'!L9505,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06">
      <c r="J9506">
        <f>LET(
    lien,'Loan Tape (S&amp;P)'!Q9506,
    IF(lien="First",1.00,
        IF(lien="Second",1.50,
            1.70)))</f>
        <v/>
      </c>
      <c r="K9506">
        <f>LET(
    purpose,'Loan Tape (S&amp;P)'!R9506,
    IF(purpose="Purchase",1.00,
        IF(purpose="Remortgage",1.00,
            1.20)))</f>
        <v/>
      </c>
      <c r="L9506">
        <f>LET(
    arrears_months,'Loan Tape (S&amp;P)'!AN9506,
    IF(arrears_months=0,1.00,
    IF(arrears_months=1,3.00,
    IF(arrears_months=2,5.00,
    IF(arrears_months=3,8.00,
    IF(arrears_months=4,10.00,
    IF(arrears_months=5,12.00,15.00)))))))</f>
        <v/>
      </c>
      <c r="M9506">
        <f>LET(
    seasoning_years,DATEDIF('Loan Tape (S&amp;P)'!K9506,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06">
        <f>IF(AND('Loan Tape (S&amp;P)'!U9506="Yes",
        'Loan Tape (S&amp;P)'!T9506&lt;&gt;"Yes",
        DATEDIF('Loan Tape (S&amp;P)'!K9506, TODAY(), "M")&lt;18),
    1.10,
    1.00)</f>
        <v/>
      </c>
      <c r="O9506">
        <f>IF('Loan Tape (S&amp;P)'!T9506="Yes",
    1.35,
    1.00)</f>
        <v/>
      </c>
      <c r="P9506">
        <f>IF('Loan Tape (S&amp;P)'!S9506="Yes",
    1.15,
    1.00)</f>
        <v/>
      </c>
      <c r="Q9506">
        <f>IF('Loan Tape (S&amp;P)'!V9506="Yes",
    1.20,
    1.00)</f>
        <v/>
      </c>
      <c r="T9506">
        <f>LET(
    payment_method,'Loan Tape (S&amp;P)'!P9506,
    occupancy,'Loan Tape (S&amp;P)'!N9506,
    maturity_date,'Loan Tape (S&amp;P)'!L9506,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07">
      <c r="J9507">
        <f>LET(
    lien,'Loan Tape (S&amp;P)'!Q9507,
    IF(lien="First",1.00,
        IF(lien="Second",1.50,
            1.70)))</f>
        <v/>
      </c>
      <c r="K9507">
        <f>LET(
    purpose,'Loan Tape (S&amp;P)'!R9507,
    IF(purpose="Purchase",1.00,
        IF(purpose="Remortgage",1.00,
            1.20)))</f>
        <v/>
      </c>
      <c r="L9507">
        <f>LET(
    arrears_months,'Loan Tape (S&amp;P)'!AN9507,
    IF(arrears_months=0,1.00,
    IF(arrears_months=1,3.00,
    IF(arrears_months=2,5.00,
    IF(arrears_months=3,8.00,
    IF(arrears_months=4,10.00,
    IF(arrears_months=5,12.00,15.00)))))))</f>
        <v/>
      </c>
      <c r="M9507">
        <f>LET(
    seasoning_years,DATEDIF('Loan Tape (S&amp;P)'!K9507,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07">
        <f>IF(AND('Loan Tape (S&amp;P)'!U9507="Yes",
        'Loan Tape (S&amp;P)'!T9507&lt;&gt;"Yes",
        DATEDIF('Loan Tape (S&amp;P)'!K9507, TODAY(), "M")&lt;18),
    1.10,
    1.00)</f>
        <v/>
      </c>
      <c r="O9507">
        <f>IF('Loan Tape (S&amp;P)'!T9507="Yes",
    1.35,
    1.00)</f>
        <v/>
      </c>
      <c r="P9507">
        <f>IF('Loan Tape (S&amp;P)'!S9507="Yes",
    1.15,
    1.00)</f>
        <v/>
      </c>
      <c r="Q9507">
        <f>IF('Loan Tape (S&amp;P)'!V9507="Yes",
    1.20,
    1.00)</f>
        <v/>
      </c>
      <c r="T9507">
        <f>LET(
    payment_method,'Loan Tape (S&amp;P)'!P9507,
    occupancy,'Loan Tape (S&amp;P)'!N9507,
    maturity_date,'Loan Tape (S&amp;P)'!L9507,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08">
      <c r="J9508">
        <f>LET(
    lien,'Loan Tape (S&amp;P)'!Q9508,
    IF(lien="First",1.00,
        IF(lien="Second",1.50,
            1.70)))</f>
        <v/>
      </c>
      <c r="K9508">
        <f>LET(
    purpose,'Loan Tape (S&amp;P)'!R9508,
    IF(purpose="Purchase",1.00,
        IF(purpose="Remortgage",1.00,
            1.20)))</f>
        <v/>
      </c>
      <c r="L9508">
        <f>LET(
    arrears_months,'Loan Tape (S&amp;P)'!AN9508,
    IF(arrears_months=0,1.00,
    IF(arrears_months=1,3.00,
    IF(arrears_months=2,5.00,
    IF(arrears_months=3,8.00,
    IF(arrears_months=4,10.00,
    IF(arrears_months=5,12.00,15.00)))))))</f>
        <v/>
      </c>
      <c r="M9508">
        <f>LET(
    seasoning_years,DATEDIF('Loan Tape (S&amp;P)'!K9508,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08">
        <f>IF(AND('Loan Tape (S&amp;P)'!U9508="Yes",
        'Loan Tape (S&amp;P)'!T9508&lt;&gt;"Yes",
        DATEDIF('Loan Tape (S&amp;P)'!K9508, TODAY(), "M")&lt;18),
    1.10,
    1.00)</f>
        <v/>
      </c>
      <c r="O9508">
        <f>IF('Loan Tape (S&amp;P)'!T9508="Yes",
    1.35,
    1.00)</f>
        <v/>
      </c>
      <c r="P9508">
        <f>IF('Loan Tape (S&amp;P)'!S9508="Yes",
    1.15,
    1.00)</f>
        <v/>
      </c>
      <c r="Q9508">
        <f>IF('Loan Tape (S&amp;P)'!V9508="Yes",
    1.20,
    1.00)</f>
        <v/>
      </c>
      <c r="T9508">
        <f>LET(
    payment_method,'Loan Tape (S&amp;P)'!P9508,
    occupancy,'Loan Tape (S&amp;P)'!N9508,
    maturity_date,'Loan Tape (S&amp;P)'!L9508,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09">
      <c r="J9509">
        <f>LET(
    lien,'Loan Tape (S&amp;P)'!Q9509,
    IF(lien="First",1.00,
        IF(lien="Second",1.50,
            1.70)))</f>
        <v/>
      </c>
      <c r="K9509">
        <f>LET(
    purpose,'Loan Tape (S&amp;P)'!R9509,
    IF(purpose="Purchase",1.00,
        IF(purpose="Remortgage",1.00,
            1.20)))</f>
        <v/>
      </c>
      <c r="L9509">
        <f>LET(
    arrears_months,'Loan Tape (S&amp;P)'!AN9509,
    IF(arrears_months=0,1.00,
    IF(arrears_months=1,3.00,
    IF(arrears_months=2,5.00,
    IF(arrears_months=3,8.00,
    IF(arrears_months=4,10.00,
    IF(arrears_months=5,12.00,15.00)))))))</f>
        <v/>
      </c>
      <c r="M9509">
        <f>LET(
    seasoning_years,DATEDIF('Loan Tape (S&amp;P)'!K9509,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09">
        <f>IF(AND('Loan Tape (S&amp;P)'!U9509="Yes",
        'Loan Tape (S&amp;P)'!T9509&lt;&gt;"Yes",
        DATEDIF('Loan Tape (S&amp;P)'!K9509, TODAY(), "M")&lt;18),
    1.10,
    1.00)</f>
        <v/>
      </c>
      <c r="O9509">
        <f>IF('Loan Tape (S&amp;P)'!T9509="Yes",
    1.35,
    1.00)</f>
        <v/>
      </c>
      <c r="P9509">
        <f>IF('Loan Tape (S&amp;P)'!S9509="Yes",
    1.15,
    1.00)</f>
        <v/>
      </c>
      <c r="Q9509">
        <f>IF('Loan Tape (S&amp;P)'!V9509="Yes",
    1.20,
    1.00)</f>
        <v/>
      </c>
      <c r="T9509">
        <f>LET(
    payment_method,'Loan Tape (S&amp;P)'!P9509,
    occupancy,'Loan Tape (S&amp;P)'!N9509,
    maturity_date,'Loan Tape (S&amp;P)'!L9509,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10">
      <c r="J9510">
        <f>LET(
    lien,'Loan Tape (S&amp;P)'!Q9510,
    IF(lien="First",1.00,
        IF(lien="Second",1.50,
            1.70)))</f>
        <v/>
      </c>
      <c r="K9510">
        <f>LET(
    purpose,'Loan Tape (S&amp;P)'!R9510,
    IF(purpose="Purchase",1.00,
        IF(purpose="Remortgage",1.00,
            1.20)))</f>
        <v/>
      </c>
      <c r="L9510">
        <f>LET(
    arrears_months,'Loan Tape (S&amp;P)'!AN9510,
    IF(arrears_months=0,1.00,
    IF(arrears_months=1,3.00,
    IF(arrears_months=2,5.00,
    IF(arrears_months=3,8.00,
    IF(arrears_months=4,10.00,
    IF(arrears_months=5,12.00,15.00)))))))</f>
        <v/>
      </c>
      <c r="M9510">
        <f>LET(
    seasoning_years,DATEDIF('Loan Tape (S&amp;P)'!K9510,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10">
        <f>IF(AND('Loan Tape (S&amp;P)'!U9510="Yes",
        'Loan Tape (S&amp;P)'!T9510&lt;&gt;"Yes",
        DATEDIF('Loan Tape (S&amp;P)'!K9510, TODAY(), "M")&lt;18),
    1.10,
    1.00)</f>
        <v/>
      </c>
      <c r="O9510">
        <f>IF('Loan Tape (S&amp;P)'!T9510="Yes",
    1.35,
    1.00)</f>
        <v/>
      </c>
      <c r="P9510">
        <f>IF('Loan Tape (S&amp;P)'!S9510="Yes",
    1.15,
    1.00)</f>
        <v/>
      </c>
      <c r="Q9510">
        <f>IF('Loan Tape (S&amp;P)'!V9510="Yes",
    1.20,
    1.00)</f>
        <v/>
      </c>
      <c r="T9510">
        <f>LET(
    payment_method,'Loan Tape (S&amp;P)'!P9510,
    occupancy,'Loan Tape (S&amp;P)'!N9510,
    maturity_date,'Loan Tape (S&amp;P)'!L9510,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11">
      <c r="J9511">
        <f>LET(
    lien,'Loan Tape (S&amp;P)'!Q9511,
    IF(lien="First",1.00,
        IF(lien="Second",1.50,
            1.70)))</f>
        <v/>
      </c>
      <c r="K9511">
        <f>LET(
    purpose,'Loan Tape (S&amp;P)'!R9511,
    IF(purpose="Purchase",1.00,
        IF(purpose="Remortgage",1.00,
            1.20)))</f>
        <v/>
      </c>
      <c r="L9511">
        <f>LET(
    arrears_months,'Loan Tape (S&amp;P)'!AN9511,
    IF(arrears_months=0,1.00,
    IF(arrears_months=1,3.00,
    IF(arrears_months=2,5.00,
    IF(arrears_months=3,8.00,
    IF(arrears_months=4,10.00,
    IF(arrears_months=5,12.00,15.00)))))))</f>
        <v/>
      </c>
      <c r="M9511">
        <f>LET(
    seasoning_years,DATEDIF('Loan Tape (S&amp;P)'!K9511,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11">
        <f>IF(AND('Loan Tape (S&amp;P)'!U9511="Yes",
        'Loan Tape (S&amp;P)'!T9511&lt;&gt;"Yes",
        DATEDIF('Loan Tape (S&amp;P)'!K9511, TODAY(), "M")&lt;18),
    1.10,
    1.00)</f>
        <v/>
      </c>
      <c r="O9511">
        <f>IF('Loan Tape (S&amp;P)'!T9511="Yes",
    1.35,
    1.00)</f>
        <v/>
      </c>
      <c r="P9511">
        <f>IF('Loan Tape (S&amp;P)'!S9511="Yes",
    1.15,
    1.00)</f>
        <v/>
      </c>
      <c r="Q9511">
        <f>IF('Loan Tape (S&amp;P)'!V9511="Yes",
    1.20,
    1.00)</f>
        <v/>
      </c>
      <c r="T9511">
        <f>LET(
    payment_method,'Loan Tape (S&amp;P)'!P9511,
    occupancy,'Loan Tape (S&amp;P)'!N9511,
    maturity_date,'Loan Tape (S&amp;P)'!L9511,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12">
      <c r="J9512">
        <f>LET(
    lien,'Loan Tape (S&amp;P)'!Q9512,
    IF(lien="First",1.00,
        IF(lien="Second",1.50,
            1.70)))</f>
        <v/>
      </c>
      <c r="K9512">
        <f>LET(
    purpose,'Loan Tape (S&amp;P)'!R9512,
    IF(purpose="Purchase",1.00,
        IF(purpose="Remortgage",1.00,
            1.20)))</f>
        <v/>
      </c>
      <c r="L9512">
        <f>LET(
    arrears_months,'Loan Tape (S&amp;P)'!AN9512,
    IF(arrears_months=0,1.00,
    IF(arrears_months=1,3.00,
    IF(arrears_months=2,5.00,
    IF(arrears_months=3,8.00,
    IF(arrears_months=4,10.00,
    IF(arrears_months=5,12.00,15.00)))))))</f>
        <v/>
      </c>
      <c r="M9512">
        <f>LET(
    seasoning_years,DATEDIF('Loan Tape (S&amp;P)'!K9512,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12">
        <f>IF(AND('Loan Tape (S&amp;P)'!U9512="Yes",
        'Loan Tape (S&amp;P)'!T9512&lt;&gt;"Yes",
        DATEDIF('Loan Tape (S&amp;P)'!K9512, TODAY(), "M")&lt;18),
    1.10,
    1.00)</f>
        <v/>
      </c>
      <c r="O9512">
        <f>IF('Loan Tape (S&amp;P)'!T9512="Yes",
    1.35,
    1.00)</f>
        <v/>
      </c>
      <c r="P9512">
        <f>IF('Loan Tape (S&amp;P)'!S9512="Yes",
    1.15,
    1.00)</f>
        <v/>
      </c>
      <c r="Q9512">
        <f>IF('Loan Tape (S&amp;P)'!V9512="Yes",
    1.20,
    1.00)</f>
        <v/>
      </c>
      <c r="T9512">
        <f>LET(
    payment_method,'Loan Tape (S&amp;P)'!P9512,
    occupancy,'Loan Tape (S&amp;P)'!N9512,
    maturity_date,'Loan Tape (S&amp;P)'!L9512,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13">
      <c r="J9513">
        <f>LET(
    lien,'Loan Tape (S&amp;P)'!Q9513,
    IF(lien="First",1.00,
        IF(lien="Second",1.50,
            1.70)))</f>
        <v/>
      </c>
      <c r="K9513">
        <f>LET(
    purpose,'Loan Tape (S&amp;P)'!R9513,
    IF(purpose="Purchase",1.00,
        IF(purpose="Remortgage",1.00,
            1.20)))</f>
        <v/>
      </c>
      <c r="L9513">
        <f>LET(
    arrears_months,'Loan Tape (S&amp;P)'!AN9513,
    IF(arrears_months=0,1.00,
    IF(arrears_months=1,3.00,
    IF(arrears_months=2,5.00,
    IF(arrears_months=3,8.00,
    IF(arrears_months=4,10.00,
    IF(arrears_months=5,12.00,15.00)))))))</f>
        <v/>
      </c>
      <c r="M9513">
        <f>LET(
    seasoning_years,DATEDIF('Loan Tape (S&amp;P)'!K9513,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13">
        <f>IF(AND('Loan Tape (S&amp;P)'!U9513="Yes",
        'Loan Tape (S&amp;P)'!T9513&lt;&gt;"Yes",
        DATEDIF('Loan Tape (S&amp;P)'!K9513, TODAY(), "M")&lt;18),
    1.10,
    1.00)</f>
        <v/>
      </c>
      <c r="O9513">
        <f>IF('Loan Tape (S&amp;P)'!T9513="Yes",
    1.35,
    1.00)</f>
        <v/>
      </c>
      <c r="P9513">
        <f>IF('Loan Tape (S&amp;P)'!S9513="Yes",
    1.15,
    1.00)</f>
        <v/>
      </c>
      <c r="Q9513">
        <f>IF('Loan Tape (S&amp;P)'!V9513="Yes",
    1.20,
    1.00)</f>
        <v/>
      </c>
      <c r="T9513">
        <f>LET(
    payment_method,'Loan Tape (S&amp;P)'!P9513,
    occupancy,'Loan Tape (S&amp;P)'!N9513,
    maturity_date,'Loan Tape (S&amp;P)'!L9513,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14">
      <c r="J9514">
        <f>LET(
    lien,'Loan Tape (S&amp;P)'!Q9514,
    IF(lien="First",1.00,
        IF(lien="Second",1.50,
            1.70)))</f>
        <v/>
      </c>
      <c r="K9514">
        <f>LET(
    purpose,'Loan Tape (S&amp;P)'!R9514,
    IF(purpose="Purchase",1.00,
        IF(purpose="Remortgage",1.00,
            1.20)))</f>
        <v/>
      </c>
      <c r="L9514">
        <f>LET(
    arrears_months,'Loan Tape (S&amp;P)'!AN9514,
    IF(arrears_months=0,1.00,
    IF(arrears_months=1,3.00,
    IF(arrears_months=2,5.00,
    IF(arrears_months=3,8.00,
    IF(arrears_months=4,10.00,
    IF(arrears_months=5,12.00,15.00)))))))</f>
        <v/>
      </c>
      <c r="M9514">
        <f>LET(
    seasoning_years,DATEDIF('Loan Tape (S&amp;P)'!K9514,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14">
        <f>IF(AND('Loan Tape (S&amp;P)'!U9514="Yes",
        'Loan Tape (S&amp;P)'!T9514&lt;&gt;"Yes",
        DATEDIF('Loan Tape (S&amp;P)'!K9514, TODAY(), "M")&lt;18),
    1.10,
    1.00)</f>
        <v/>
      </c>
      <c r="O9514">
        <f>IF('Loan Tape (S&amp;P)'!T9514="Yes",
    1.35,
    1.00)</f>
        <v/>
      </c>
      <c r="P9514">
        <f>IF('Loan Tape (S&amp;P)'!S9514="Yes",
    1.15,
    1.00)</f>
        <v/>
      </c>
      <c r="Q9514">
        <f>IF('Loan Tape (S&amp;P)'!V9514="Yes",
    1.20,
    1.00)</f>
        <v/>
      </c>
      <c r="T9514">
        <f>LET(
    payment_method,'Loan Tape (S&amp;P)'!P9514,
    occupancy,'Loan Tape (S&amp;P)'!N9514,
    maturity_date,'Loan Tape (S&amp;P)'!L9514,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15">
      <c r="J9515">
        <f>LET(
    lien,'Loan Tape (S&amp;P)'!Q9515,
    IF(lien="First",1.00,
        IF(lien="Second",1.50,
            1.70)))</f>
        <v/>
      </c>
      <c r="K9515">
        <f>LET(
    purpose,'Loan Tape (S&amp;P)'!R9515,
    IF(purpose="Purchase",1.00,
        IF(purpose="Remortgage",1.00,
            1.20)))</f>
        <v/>
      </c>
      <c r="L9515">
        <f>LET(
    arrears_months,'Loan Tape (S&amp;P)'!AN9515,
    IF(arrears_months=0,1.00,
    IF(arrears_months=1,3.00,
    IF(arrears_months=2,5.00,
    IF(arrears_months=3,8.00,
    IF(arrears_months=4,10.00,
    IF(arrears_months=5,12.00,15.00)))))))</f>
        <v/>
      </c>
      <c r="M9515">
        <f>LET(
    seasoning_years,DATEDIF('Loan Tape (S&amp;P)'!K9515,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15">
        <f>IF(AND('Loan Tape (S&amp;P)'!U9515="Yes",
        'Loan Tape (S&amp;P)'!T9515&lt;&gt;"Yes",
        DATEDIF('Loan Tape (S&amp;P)'!K9515, TODAY(), "M")&lt;18),
    1.10,
    1.00)</f>
        <v/>
      </c>
      <c r="O9515">
        <f>IF('Loan Tape (S&amp;P)'!T9515="Yes",
    1.35,
    1.00)</f>
        <v/>
      </c>
      <c r="P9515">
        <f>IF('Loan Tape (S&amp;P)'!S9515="Yes",
    1.15,
    1.00)</f>
        <v/>
      </c>
      <c r="Q9515">
        <f>IF('Loan Tape (S&amp;P)'!V9515="Yes",
    1.20,
    1.00)</f>
        <v/>
      </c>
      <c r="T9515">
        <f>LET(
    payment_method,'Loan Tape (S&amp;P)'!P9515,
    occupancy,'Loan Tape (S&amp;P)'!N9515,
    maturity_date,'Loan Tape (S&amp;P)'!L9515,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16">
      <c r="J9516">
        <f>LET(
    lien,'Loan Tape (S&amp;P)'!Q9516,
    IF(lien="First",1.00,
        IF(lien="Second",1.50,
            1.70)))</f>
        <v/>
      </c>
      <c r="K9516">
        <f>LET(
    purpose,'Loan Tape (S&amp;P)'!R9516,
    IF(purpose="Purchase",1.00,
        IF(purpose="Remortgage",1.00,
            1.20)))</f>
        <v/>
      </c>
      <c r="L9516">
        <f>LET(
    arrears_months,'Loan Tape (S&amp;P)'!AN9516,
    IF(arrears_months=0,1.00,
    IF(arrears_months=1,3.00,
    IF(arrears_months=2,5.00,
    IF(arrears_months=3,8.00,
    IF(arrears_months=4,10.00,
    IF(arrears_months=5,12.00,15.00)))))))</f>
        <v/>
      </c>
      <c r="M9516">
        <f>LET(
    seasoning_years,DATEDIF('Loan Tape (S&amp;P)'!K9516,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16">
        <f>IF(AND('Loan Tape (S&amp;P)'!U9516="Yes",
        'Loan Tape (S&amp;P)'!T9516&lt;&gt;"Yes",
        DATEDIF('Loan Tape (S&amp;P)'!K9516, TODAY(), "M")&lt;18),
    1.10,
    1.00)</f>
        <v/>
      </c>
      <c r="O9516">
        <f>IF('Loan Tape (S&amp;P)'!T9516="Yes",
    1.35,
    1.00)</f>
        <v/>
      </c>
      <c r="P9516">
        <f>IF('Loan Tape (S&amp;P)'!S9516="Yes",
    1.15,
    1.00)</f>
        <v/>
      </c>
      <c r="Q9516">
        <f>IF('Loan Tape (S&amp;P)'!V9516="Yes",
    1.20,
    1.00)</f>
        <v/>
      </c>
      <c r="T9516">
        <f>LET(
    payment_method,'Loan Tape (S&amp;P)'!P9516,
    occupancy,'Loan Tape (S&amp;P)'!N9516,
    maturity_date,'Loan Tape (S&amp;P)'!L9516,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17">
      <c r="J9517">
        <f>LET(
    lien,'Loan Tape (S&amp;P)'!Q9517,
    IF(lien="First",1.00,
        IF(lien="Second",1.50,
            1.70)))</f>
        <v/>
      </c>
      <c r="K9517">
        <f>LET(
    purpose,'Loan Tape (S&amp;P)'!R9517,
    IF(purpose="Purchase",1.00,
        IF(purpose="Remortgage",1.00,
            1.20)))</f>
        <v/>
      </c>
      <c r="L9517">
        <f>LET(
    arrears_months,'Loan Tape (S&amp;P)'!AN9517,
    IF(arrears_months=0,1.00,
    IF(arrears_months=1,3.00,
    IF(arrears_months=2,5.00,
    IF(arrears_months=3,8.00,
    IF(arrears_months=4,10.00,
    IF(arrears_months=5,12.00,15.00)))))))</f>
        <v/>
      </c>
      <c r="M9517">
        <f>LET(
    seasoning_years,DATEDIF('Loan Tape (S&amp;P)'!K9517,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17">
        <f>IF(AND('Loan Tape (S&amp;P)'!U9517="Yes",
        'Loan Tape (S&amp;P)'!T9517&lt;&gt;"Yes",
        DATEDIF('Loan Tape (S&amp;P)'!K9517, TODAY(), "M")&lt;18),
    1.10,
    1.00)</f>
        <v/>
      </c>
      <c r="O9517">
        <f>IF('Loan Tape (S&amp;P)'!T9517="Yes",
    1.35,
    1.00)</f>
        <v/>
      </c>
      <c r="P9517">
        <f>IF('Loan Tape (S&amp;P)'!S9517="Yes",
    1.15,
    1.00)</f>
        <v/>
      </c>
      <c r="Q9517">
        <f>IF('Loan Tape (S&amp;P)'!V9517="Yes",
    1.20,
    1.00)</f>
        <v/>
      </c>
      <c r="T9517">
        <f>LET(
    payment_method,'Loan Tape (S&amp;P)'!P9517,
    occupancy,'Loan Tape (S&amp;P)'!N9517,
    maturity_date,'Loan Tape (S&amp;P)'!L9517,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18">
      <c r="J9518">
        <f>LET(
    lien,'Loan Tape (S&amp;P)'!Q9518,
    IF(lien="First",1.00,
        IF(lien="Second",1.50,
            1.70)))</f>
        <v/>
      </c>
      <c r="K9518">
        <f>LET(
    purpose,'Loan Tape (S&amp;P)'!R9518,
    IF(purpose="Purchase",1.00,
        IF(purpose="Remortgage",1.00,
            1.20)))</f>
        <v/>
      </c>
      <c r="L9518">
        <f>LET(
    arrears_months,'Loan Tape (S&amp;P)'!AN9518,
    IF(arrears_months=0,1.00,
    IF(arrears_months=1,3.00,
    IF(arrears_months=2,5.00,
    IF(arrears_months=3,8.00,
    IF(arrears_months=4,10.00,
    IF(arrears_months=5,12.00,15.00)))))))</f>
        <v/>
      </c>
      <c r="M9518">
        <f>LET(
    seasoning_years,DATEDIF('Loan Tape (S&amp;P)'!K9518,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18">
        <f>IF(AND('Loan Tape (S&amp;P)'!U9518="Yes",
        'Loan Tape (S&amp;P)'!T9518&lt;&gt;"Yes",
        DATEDIF('Loan Tape (S&amp;P)'!K9518, TODAY(), "M")&lt;18),
    1.10,
    1.00)</f>
        <v/>
      </c>
      <c r="O9518">
        <f>IF('Loan Tape (S&amp;P)'!T9518="Yes",
    1.35,
    1.00)</f>
        <v/>
      </c>
      <c r="P9518">
        <f>IF('Loan Tape (S&amp;P)'!S9518="Yes",
    1.15,
    1.00)</f>
        <v/>
      </c>
      <c r="Q9518">
        <f>IF('Loan Tape (S&amp;P)'!V9518="Yes",
    1.20,
    1.00)</f>
        <v/>
      </c>
      <c r="T9518">
        <f>LET(
    payment_method,'Loan Tape (S&amp;P)'!P9518,
    occupancy,'Loan Tape (S&amp;P)'!N9518,
    maturity_date,'Loan Tape (S&amp;P)'!L9518,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19">
      <c r="J9519">
        <f>LET(
    lien,'Loan Tape (S&amp;P)'!Q9519,
    IF(lien="First",1.00,
        IF(lien="Second",1.50,
            1.70)))</f>
        <v/>
      </c>
      <c r="K9519">
        <f>LET(
    purpose,'Loan Tape (S&amp;P)'!R9519,
    IF(purpose="Purchase",1.00,
        IF(purpose="Remortgage",1.00,
            1.20)))</f>
        <v/>
      </c>
      <c r="L9519">
        <f>LET(
    arrears_months,'Loan Tape (S&amp;P)'!AN9519,
    IF(arrears_months=0,1.00,
    IF(arrears_months=1,3.00,
    IF(arrears_months=2,5.00,
    IF(arrears_months=3,8.00,
    IF(arrears_months=4,10.00,
    IF(arrears_months=5,12.00,15.00)))))))</f>
        <v/>
      </c>
      <c r="M9519">
        <f>LET(
    seasoning_years,DATEDIF('Loan Tape (S&amp;P)'!K9519,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19">
        <f>IF(AND('Loan Tape (S&amp;P)'!U9519="Yes",
        'Loan Tape (S&amp;P)'!T9519&lt;&gt;"Yes",
        DATEDIF('Loan Tape (S&amp;P)'!K9519, TODAY(), "M")&lt;18),
    1.10,
    1.00)</f>
        <v/>
      </c>
      <c r="O9519">
        <f>IF('Loan Tape (S&amp;P)'!T9519="Yes",
    1.35,
    1.00)</f>
        <v/>
      </c>
      <c r="P9519">
        <f>IF('Loan Tape (S&amp;P)'!S9519="Yes",
    1.15,
    1.00)</f>
        <v/>
      </c>
      <c r="Q9519">
        <f>IF('Loan Tape (S&amp;P)'!V9519="Yes",
    1.20,
    1.00)</f>
        <v/>
      </c>
      <c r="T9519">
        <f>LET(
    payment_method,'Loan Tape (S&amp;P)'!P9519,
    occupancy,'Loan Tape (S&amp;P)'!N9519,
    maturity_date,'Loan Tape (S&amp;P)'!L9519,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20">
      <c r="J9520">
        <f>LET(
    lien,'Loan Tape (S&amp;P)'!Q9520,
    IF(lien="First",1.00,
        IF(lien="Second",1.50,
            1.70)))</f>
        <v/>
      </c>
      <c r="K9520">
        <f>LET(
    purpose,'Loan Tape (S&amp;P)'!R9520,
    IF(purpose="Purchase",1.00,
        IF(purpose="Remortgage",1.00,
            1.20)))</f>
        <v/>
      </c>
      <c r="L9520">
        <f>LET(
    arrears_months,'Loan Tape (S&amp;P)'!AN9520,
    IF(arrears_months=0,1.00,
    IF(arrears_months=1,3.00,
    IF(arrears_months=2,5.00,
    IF(arrears_months=3,8.00,
    IF(arrears_months=4,10.00,
    IF(arrears_months=5,12.00,15.00)))))))</f>
        <v/>
      </c>
      <c r="M9520">
        <f>LET(
    seasoning_years,DATEDIF('Loan Tape (S&amp;P)'!K9520,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20">
        <f>IF(AND('Loan Tape (S&amp;P)'!U9520="Yes",
        'Loan Tape (S&amp;P)'!T9520&lt;&gt;"Yes",
        DATEDIF('Loan Tape (S&amp;P)'!K9520, TODAY(), "M")&lt;18),
    1.10,
    1.00)</f>
        <v/>
      </c>
      <c r="O9520">
        <f>IF('Loan Tape (S&amp;P)'!T9520="Yes",
    1.35,
    1.00)</f>
        <v/>
      </c>
      <c r="P9520">
        <f>IF('Loan Tape (S&amp;P)'!S9520="Yes",
    1.15,
    1.00)</f>
        <v/>
      </c>
      <c r="Q9520">
        <f>IF('Loan Tape (S&amp;P)'!V9520="Yes",
    1.20,
    1.00)</f>
        <v/>
      </c>
      <c r="T9520">
        <f>LET(
    payment_method,'Loan Tape (S&amp;P)'!P9520,
    occupancy,'Loan Tape (S&amp;P)'!N9520,
    maturity_date,'Loan Tape (S&amp;P)'!L9520,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21">
      <c r="J9521">
        <f>LET(
    lien,'Loan Tape (S&amp;P)'!Q9521,
    IF(lien="First",1.00,
        IF(lien="Second",1.50,
            1.70)))</f>
        <v/>
      </c>
      <c r="K9521">
        <f>LET(
    purpose,'Loan Tape (S&amp;P)'!R9521,
    IF(purpose="Purchase",1.00,
        IF(purpose="Remortgage",1.00,
            1.20)))</f>
        <v/>
      </c>
      <c r="L9521">
        <f>LET(
    arrears_months,'Loan Tape (S&amp;P)'!AN9521,
    IF(arrears_months=0,1.00,
    IF(arrears_months=1,3.00,
    IF(arrears_months=2,5.00,
    IF(arrears_months=3,8.00,
    IF(arrears_months=4,10.00,
    IF(arrears_months=5,12.00,15.00)))))))</f>
        <v/>
      </c>
      <c r="M9521">
        <f>LET(
    seasoning_years,DATEDIF('Loan Tape (S&amp;P)'!K9521,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21">
        <f>IF(AND('Loan Tape (S&amp;P)'!U9521="Yes",
        'Loan Tape (S&amp;P)'!T9521&lt;&gt;"Yes",
        DATEDIF('Loan Tape (S&amp;P)'!K9521, TODAY(), "M")&lt;18),
    1.10,
    1.00)</f>
        <v/>
      </c>
      <c r="O9521">
        <f>IF('Loan Tape (S&amp;P)'!T9521="Yes",
    1.35,
    1.00)</f>
        <v/>
      </c>
      <c r="P9521">
        <f>IF('Loan Tape (S&amp;P)'!S9521="Yes",
    1.15,
    1.00)</f>
        <v/>
      </c>
      <c r="Q9521">
        <f>IF('Loan Tape (S&amp;P)'!V9521="Yes",
    1.20,
    1.00)</f>
        <v/>
      </c>
      <c r="T9521">
        <f>LET(
    payment_method,'Loan Tape (S&amp;P)'!P9521,
    occupancy,'Loan Tape (S&amp;P)'!N9521,
    maturity_date,'Loan Tape (S&amp;P)'!L9521,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22">
      <c r="J9522">
        <f>LET(
    lien,'Loan Tape (S&amp;P)'!Q9522,
    IF(lien="First",1.00,
        IF(lien="Second",1.50,
            1.70)))</f>
        <v/>
      </c>
      <c r="K9522">
        <f>LET(
    purpose,'Loan Tape (S&amp;P)'!R9522,
    IF(purpose="Purchase",1.00,
        IF(purpose="Remortgage",1.00,
            1.20)))</f>
        <v/>
      </c>
      <c r="L9522">
        <f>LET(
    arrears_months,'Loan Tape (S&amp;P)'!AN9522,
    IF(arrears_months=0,1.00,
    IF(arrears_months=1,3.00,
    IF(arrears_months=2,5.00,
    IF(arrears_months=3,8.00,
    IF(arrears_months=4,10.00,
    IF(arrears_months=5,12.00,15.00)))))))</f>
        <v/>
      </c>
      <c r="M9522">
        <f>LET(
    seasoning_years,DATEDIF('Loan Tape (S&amp;P)'!K9522,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22">
        <f>IF(AND('Loan Tape (S&amp;P)'!U9522="Yes",
        'Loan Tape (S&amp;P)'!T9522&lt;&gt;"Yes",
        DATEDIF('Loan Tape (S&amp;P)'!K9522, TODAY(), "M")&lt;18),
    1.10,
    1.00)</f>
        <v/>
      </c>
      <c r="O9522">
        <f>IF('Loan Tape (S&amp;P)'!T9522="Yes",
    1.35,
    1.00)</f>
        <v/>
      </c>
      <c r="P9522">
        <f>IF('Loan Tape (S&amp;P)'!S9522="Yes",
    1.15,
    1.00)</f>
        <v/>
      </c>
      <c r="Q9522">
        <f>IF('Loan Tape (S&amp;P)'!V9522="Yes",
    1.20,
    1.00)</f>
        <v/>
      </c>
      <c r="T9522">
        <f>LET(
    payment_method,'Loan Tape (S&amp;P)'!P9522,
    occupancy,'Loan Tape (S&amp;P)'!N9522,
    maturity_date,'Loan Tape (S&amp;P)'!L9522,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23">
      <c r="J9523">
        <f>LET(
    lien,'Loan Tape (S&amp;P)'!Q9523,
    IF(lien="First",1.00,
        IF(lien="Second",1.50,
            1.70)))</f>
        <v/>
      </c>
      <c r="K9523">
        <f>LET(
    purpose,'Loan Tape (S&amp;P)'!R9523,
    IF(purpose="Purchase",1.00,
        IF(purpose="Remortgage",1.00,
            1.20)))</f>
        <v/>
      </c>
      <c r="L9523">
        <f>LET(
    arrears_months,'Loan Tape (S&amp;P)'!AN9523,
    IF(arrears_months=0,1.00,
    IF(arrears_months=1,3.00,
    IF(arrears_months=2,5.00,
    IF(arrears_months=3,8.00,
    IF(arrears_months=4,10.00,
    IF(arrears_months=5,12.00,15.00)))))))</f>
        <v/>
      </c>
      <c r="M9523">
        <f>LET(
    seasoning_years,DATEDIF('Loan Tape (S&amp;P)'!K9523,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23">
        <f>IF(AND('Loan Tape (S&amp;P)'!U9523="Yes",
        'Loan Tape (S&amp;P)'!T9523&lt;&gt;"Yes",
        DATEDIF('Loan Tape (S&amp;P)'!K9523, TODAY(), "M")&lt;18),
    1.10,
    1.00)</f>
        <v/>
      </c>
      <c r="O9523">
        <f>IF('Loan Tape (S&amp;P)'!T9523="Yes",
    1.35,
    1.00)</f>
        <v/>
      </c>
      <c r="P9523">
        <f>IF('Loan Tape (S&amp;P)'!S9523="Yes",
    1.15,
    1.00)</f>
        <v/>
      </c>
      <c r="Q9523">
        <f>IF('Loan Tape (S&amp;P)'!V9523="Yes",
    1.20,
    1.00)</f>
        <v/>
      </c>
      <c r="T9523">
        <f>LET(
    payment_method,'Loan Tape (S&amp;P)'!P9523,
    occupancy,'Loan Tape (S&amp;P)'!N9523,
    maturity_date,'Loan Tape (S&amp;P)'!L9523,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24">
      <c r="J9524">
        <f>LET(
    lien,'Loan Tape (S&amp;P)'!Q9524,
    IF(lien="First",1.00,
        IF(lien="Second",1.50,
            1.70)))</f>
        <v/>
      </c>
      <c r="K9524">
        <f>LET(
    purpose,'Loan Tape (S&amp;P)'!R9524,
    IF(purpose="Purchase",1.00,
        IF(purpose="Remortgage",1.00,
            1.20)))</f>
        <v/>
      </c>
      <c r="L9524">
        <f>LET(
    arrears_months,'Loan Tape (S&amp;P)'!AN9524,
    IF(arrears_months=0,1.00,
    IF(arrears_months=1,3.00,
    IF(arrears_months=2,5.00,
    IF(arrears_months=3,8.00,
    IF(arrears_months=4,10.00,
    IF(arrears_months=5,12.00,15.00)))))))</f>
        <v/>
      </c>
      <c r="M9524">
        <f>LET(
    seasoning_years,DATEDIF('Loan Tape (S&amp;P)'!K9524,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24">
        <f>IF(AND('Loan Tape (S&amp;P)'!U9524="Yes",
        'Loan Tape (S&amp;P)'!T9524&lt;&gt;"Yes",
        DATEDIF('Loan Tape (S&amp;P)'!K9524, TODAY(), "M")&lt;18),
    1.10,
    1.00)</f>
        <v/>
      </c>
      <c r="O9524">
        <f>IF('Loan Tape (S&amp;P)'!T9524="Yes",
    1.35,
    1.00)</f>
        <v/>
      </c>
      <c r="P9524">
        <f>IF('Loan Tape (S&amp;P)'!S9524="Yes",
    1.15,
    1.00)</f>
        <v/>
      </c>
      <c r="Q9524">
        <f>IF('Loan Tape (S&amp;P)'!V9524="Yes",
    1.20,
    1.00)</f>
        <v/>
      </c>
      <c r="T9524">
        <f>LET(
    payment_method,'Loan Tape (S&amp;P)'!P9524,
    occupancy,'Loan Tape (S&amp;P)'!N9524,
    maturity_date,'Loan Tape (S&amp;P)'!L9524,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25">
      <c r="J9525">
        <f>LET(
    lien,'Loan Tape (S&amp;P)'!Q9525,
    IF(lien="First",1.00,
        IF(lien="Second",1.50,
            1.70)))</f>
        <v/>
      </c>
      <c r="K9525">
        <f>LET(
    purpose,'Loan Tape (S&amp;P)'!R9525,
    IF(purpose="Purchase",1.00,
        IF(purpose="Remortgage",1.00,
            1.20)))</f>
        <v/>
      </c>
      <c r="L9525">
        <f>LET(
    arrears_months,'Loan Tape (S&amp;P)'!AN9525,
    IF(arrears_months=0,1.00,
    IF(arrears_months=1,3.00,
    IF(arrears_months=2,5.00,
    IF(arrears_months=3,8.00,
    IF(arrears_months=4,10.00,
    IF(arrears_months=5,12.00,15.00)))))))</f>
        <v/>
      </c>
      <c r="M9525">
        <f>LET(
    seasoning_years,DATEDIF('Loan Tape (S&amp;P)'!K9525,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25">
        <f>IF(AND('Loan Tape (S&amp;P)'!U9525="Yes",
        'Loan Tape (S&amp;P)'!T9525&lt;&gt;"Yes",
        DATEDIF('Loan Tape (S&amp;P)'!K9525, TODAY(), "M")&lt;18),
    1.10,
    1.00)</f>
        <v/>
      </c>
      <c r="O9525">
        <f>IF('Loan Tape (S&amp;P)'!T9525="Yes",
    1.35,
    1.00)</f>
        <v/>
      </c>
      <c r="P9525">
        <f>IF('Loan Tape (S&amp;P)'!S9525="Yes",
    1.15,
    1.00)</f>
        <v/>
      </c>
      <c r="Q9525">
        <f>IF('Loan Tape (S&amp;P)'!V9525="Yes",
    1.20,
    1.00)</f>
        <v/>
      </c>
      <c r="T9525">
        <f>LET(
    payment_method,'Loan Tape (S&amp;P)'!P9525,
    occupancy,'Loan Tape (S&amp;P)'!N9525,
    maturity_date,'Loan Tape (S&amp;P)'!L9525,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26">
      <c r="J9526">
        <f>LET(
    lien,'Loan Tape (S&amp;P)'!Q9526,
    IF(lien="First",1.00,
        IF(lien="Second",1.50,
            1.70)))</f>
        <v/>
      </c>
      <c r="K9526">
        <f>LET(
    purpose,'Loan Tape (S&amp;P)'!R9526,
    IF(purpose="Purchase",1.00,
        IF(purpose="Remortgage",1.00,
            1.20)))</f>
        <v/>
      </c>
      <c r="L9526">
        <f>LET(
    arrears_months,'Loan Tape (S&amp;P)'!AN9526,
    IF(arrears_months=0,1.00,
    IF(arrears_months=1,3.00,
    IF(arrears_months=2,5.00,
    IF(arrears_months=3,8.00,
    IF(arrears_months=4,10.00,
    IF(arrears_months=5,12.00,15.00)))))))</f>
        <v/>
      </c>
      <c r="M9526">
        <f>LET(
    seasoning_years,DATEDIF('Loan Tape (S&amp;P)'!K9526,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26">
        <f>IF(AND('Loan Tape (S&amp;P)'!U9526="Yes",
        'Loan Tape (S&amp;P)'!T9526&lt;&gt;"Yes",
        DATEDIF('Loan Tape (S&amp;P)'!K9526, TODAY(), "M")&lt;18),
    1.10,
    1.00)</f>
        <v/>
      </c>
      <c r="O9526">
        <f>IF('Loan Tape (S&amp;P)'!T9526="Yes",
    1.35,
    1.00)</f>
        <v/>
      </c>
      <c r="P9526">
        <f>IF('Loan Tape (S&amp;P)'!S9526="Yes",
    1.15,
    1.00)</f>
        <v/>
      </c>
      <c r="Q9526">
        <f>IF('Loan Tape (S&amp;P)'!V9526="Yes",
    1.20,
    1.00)</f>
        <v/>
      </c>
      <c r="T9526">
        <f>LET(
    payment_method,'Loan Tape (S&amp;P)'!P9526,
    occupancy,'Loan Tape (S&amp;P)'!N9526,
    maturity_date,'Loan Tape (S&amp;P)'!L9526,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27">
      <c r="J9527">
        <f>LET(
    lien,'Loan Tape (S&amp;P)'!Q9527,
    IF(lien="First",1.00,
        IF(lien="Second",1.50,
            1.70)))</f>
        <v/>
      </c>
      <c r="K9527">
        <f>LET(
    purpose,'Loan Tape (S&amp;P)'!R9527,
    IF(purpose="Purchase",1.00,
        IF(purpose="Remortgage",1.00,
            1.20)))</f>
        <v/>
      </c>
      <c r="L9527">
        <f>LET(
    arrears_months,'Loan Tape (S&amp;P)'!AN9527,
    IF(arrears_months=0,1.00,
    IF(arrears_months=1,3.00,
    IF(arrears_months=2,5.00,
    IF(arrears_months=3,8.00,
    IF(arrears_months=4,10.00,
    IF(arrears_months=5,12.00,15.00)))))))</f>
        <v/>
      </c>
      <c r="M9527">
        <f>LET(
    seasoning_years,DATEDIF('Loan Tape (S&amp;P)'!K9527,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27">
        <f>IF(AND('Loan Tape (S&amp;P)'!U9527="Yes",
        'Loan Tape (S&amp;P)'!T9527&lt;&gt;"Yes",
        DATEDIF('Loan Tape (S&amp;P)'!K9527, TODAY(), "M")&lt;18),
    1.10,
    1.00)</f>
        <v/>
      </c>
      <c r="O9527">
        <f>IF('Loan Tape (S&amp;P)'!T9527="Yes",
    1.35,
    1.00)</f>
        <v/>
      </c>
      <c r="P9527">
        <f>IF('Loan Tape (S&amp;P)'!S9527="Yes",
    1.15,
    1.00)</f>
        <v/>
      </c>
      <c r="Q9527">
        <f>IF('Loan Tape (S&amp;P)'!V9527="Yes",
    1.20,
    1.00)</f>
        <v/>
      </c>
      <c r="T9527">
        <f>LET(
    payment_method,'Loan Tape (S&amp;P)'!P9527,
    occupancy,'Loan Tape (S&amp;P)'!N9527,
    maturity_date,'Loan Tape (S&amp;P)'!L9527,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28">
      <c r="J9528">
        <f>LET(
    lien,'Loan Tape (S&amp;P)'!Q9528,
    IF(lien="First",1.00,
        IF(lien="Second",1.50,
            1.70)))</f>
        <v/>
      </c>
      <c r="K9528">
        <f>LET(
    purpose,'Loan Tape (S&amp;P)'!R9528,
    IF(purpose="Purchase",1.00,
        IF(purpose="Remortgage",1.00,
            1.20)))</f>
        <v/>
      </c>
      <c r="L9528">
        <f>LET(
    arrears_months,'Loan Tape (S&amp;P)'!AN9528,
    IF(arrears_months=0,1.00,
    IF(arrears_months=1,3.00,
    IF(arrears_months=2,5.00,
    IF(arrears_months=3,8.00,
    IF(arrears_months=4,10.00,
    IF(arrears_months=5,12.00,15.00)))))))</f>
        <v/>
      </c>
      <c r="M9528">
        <f>LET(
    seasoning_years,DATEDIF('Loan Tape (S&amp;P)'!K9528,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28">
        <f>IF(AND('Loan Tape (S&amp;P)'!U9528="Yes",
        'Loan Tape (S&amp;P)'!T9528&lt;&gt;"Yes",
        DATEDIF('Loan Tape (S&amp;P)'!K9528, TODAY(), "M")&lt;18),
    1.10,
    1.00)</f>
        <v/>
      </c>
      <c r="O9528">
        <f>IF('Loan Tape (S&amp;P)'!T9528="Yes",
    1.35,
    1.00)</f>
        <v/>
      </c>
      <c r="P9528">
        <f>IF('Loan Tape (S&amp;P)'!S9528="Yes",
    1.15,
    1.00)</f>
        <v/>
      </c>
      <c r="Q9528">
        <f>IF('Loan Tape (S&amp;P)'!V9528="Yes",
    1.20,
    1.00)</f>
        <v/>
      </c>
      <c r="T9528">
        <f>LET(
    payment_method,'Loan Tape (S&amp;P)'!P9528,
    occupancy,'Loan Tape (S&amp;P)'!N9528,
    maturity_date,'Loan Tape (S&amp;P)'!L9528,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29">
      <c r="J9529">
        <f>LET(
    lien,'Loan Tape (S&amp;P)'!Q9529,
    IF(lien="First",1.00,
        IF(lien="Second",1.50,
            1.70)))</f>
        <v/>
      </c>
      <c r="K9529">
        <f>LET(
    purpose,'Loan Tape (S&amp;P)'!R9529,
    IF(purpose="Purchase",1.00,
        IF(purpose="Remortgage",1.00,
            1.20)))</f>
        <v/>
      </c>
      <c r="L9529">
        <f>LET(
    arrears_months,'Loan Tape (S&amp;P)'!AN9529,
    IF(arrears_months=0,1.00,
    IF(arrears_months=1,3.00,
    IF(arrears_months=2,5.00,
    IF(arrears_months=3,8.00,
    IF(arrears_months=4,10.00,
    IF(arrears_months=5,12.00,15.00)))))))</f>
        <v/>
      </c>
      <c r="M9529">
        <f>LET(
    seasoning_years,DATEDIF('Loan Tape (S&amp;P)'!K9529,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29">
        <f>IF(AND('Loan Tape (S&amp;P)'!U9529="Yes",
        'Loan Tape (S&amp;P)'!T9529&lt;&gt;"Yes",
        DATEDIF('Loan Tape (S&amp;P)'!K9529, TODAY(), "M")&lt;18),
    1.10,
    1.00)</f>
        <v/>
      </c>
      <c r="O9529">
        <f>IF('Loan Tape (S&amp;P)'!T9529="Yes",
    1.35,
    1.00)</f>
        <v/>
      </c>
      <c r="P9529">
        <f>IF('Loan Tape (S&amp;P)'!S9529="Yes",
    1.15,
    1.00)</f>
        <v/>
      </c>
      <c r="Q9529">
        <f>IF('Loan Tape (S&amp;P)'!V9529="Yes",
    1.20,
    1.00)</f>
        <v/>
      </c>
      <c r="T9529">
        <f>LET(
    payment_method,'Loan Tape (S&amp;P)'!P9529,
    occupancy,'Loan Tape (S&amp;P)'!N9529,
    maturity_date,'Loan Tape (S&amp;P)'!L9529,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30">
      <c r="J9530">
        <f>LET(
    lien,'Loan Tape (S&amp;P)'!Q9530,
    IF(lien="First",1.00,
        IF(lien="Second",1.50,
            1.70)))</f>
        <v/>
      </c>
      <c r="K9530">
        <f>LET(
    purpose,'Loan Tape (S&amp;P)'!R9530,
    IF(purpose="Purchase",1.00,
        IF(purpose="Remortgage",1.00,
            1.20)))</f>
        <v/>
      </c>
      <c r="L9530">
        <f>LET(
    arrears_months,'Loan Tape (S&amp;P)'!AN9530,
    IF(arrears_months=0,1.00,
    IF(arrears_months=1,3.00,
    IF(arrears_months=2,5.00,
    IF(arrears_months=3,8.00,
    IF(arrears_months=4,10.00,
    IF(arrears_months=5,12.00,15.00)))))))</f>
        <v/>
      </c>
      <c r="M9530">
        <f>LET(
    seasoning_years,DATEDIF('Loan Tape (S&amp;P)'!K9530,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30">
        <f>IF(AND('Loan Tape (S&amp;P)'!U9530="Yes",
        'Loan Tape (S&amp;P)'!T9530&lt;&gt;"Yes",
        DATEDIF('Loan Tape (S&amp;P)'!K9530, TODAY(), "M")&lt;18),
    1.10,
    1.00)</f>
        <v/>
      </c>
      <c r="O9530">
        <f>IF('Loan Tape (S&amp;P)'!T9530="Yes",
    1.35,
    1.00)</f>
        <v/>
      </c>
      <c r="P9530">
        <f>IF('Loan Tape (S&amp;P)'!S9530="Yes",
    1.15,
    1.00)</f>
        <v/>
      </c>
      <c r="Q9530">
        <f>IF('Loan Tape (S&amp;P)'!V9530="Yes",
    1.20,
    1.00)</f>
        <v/>
      </c>
      <c r="T9530">
        <f>LET(
    payment_method,'Loan Tape (S&amp;P)'!P9530,
    occupancy,'Loan Tape (S&amp;P)'!N9530,
    maturity_date,'Loan Tape (S&amp;P)'!L9530,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31">
      <c r="J9531">
        <f>LET(
    lien,'Loan Tape (S&amp;P)'!Q9531,
    IF(lien="First",1.00,
        IF(lien="Second",1.50,
            1.70)))</f>
        <v/>
      </c>
      <c r="K9531">
        <f>LET(
    purpose,'Loan Tape (S&amp;P)'!R9531,
    IF(purpose="Purchase",1.00,
        IF(purpose="Remortgage",1.00,
            1.20)))</f>
        <v/>
      </c>
      <c r="L9531">
        <f>LET(
    arrears_months,'Loan Tape (S&amp;P)'!AN9531,
    IF(arrears_months=0,1.00,
    IF(arrears_months=1,3.00,
    IF(arrears_months=2,5.00,
    IF(arrears_months=3,8.00,
    IF(arrears_months=4,10.00,
    IF(arrears_months=5,12.00,15.00)))))))</f>
        <v/>
      </c>
      <c r="M9531">
        <f>LET(
    seasoning_years,DATEDIF('Loan Tape (S&amp;P)'!K9531,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31">
        <f>IF(AND('Loan Tape (S&amp;P)'!U9531="Yes",
        'Loan Tape (S&amp;P)'!T9531&lt;&gt;"Yes",
        DATEDIF('Loan Tape (S&amp;P)'!K9531, TODAY(), "M")&lt;18),
    1.10,
    1.00)</f>
        <v/>
      </c>
      <c r="O9531">
        <f>IF('Loan Tape (S&amp;P)'!T9531="Yes",
    1.35,
    1.00)</f>
        <v/>
      </c>
      <c r="P9531">
        <f>IF('Loan Tape (S&amp;P)'!S9531="Yes",
    1.15,
    1.00)</f>
        <v/>
      </c>
      <c r="Q9531">
        <f>IF('Loan Tape (S&amp;P)'!V9531="Yes",
    1.20,
    1.00)</f>
        <v/>
      </c>
      <c r="T9531">
        <f>LET(
    payment_method,'Loan Tape (S&amp;P)'!P9531,
    occupancy,'Loan Tape (S&amp;P)'!N9531,
    maturity_date,'Loan Tape (S&amp;P)'!L9531,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32">
      <c r="J9532">
        <f>LET(
    lien,'Loan Tape (S&amp;P)'!Q9532,
    IF(lien="First",1.00,
        IF(lien="Second",1.50,
            1.70)))</f>
        <v/>
      </c>
      <c r="K9532">
        <f>LET(
    purpose,'Loan Tape (S&amp;P)'!R9532,
    IF(purpose="Purchase",1.00,
        IF(purpose="Remortgage",1.00,
            1.20)))</f>
        <v/>
      </c>
      <c r="L9532">
        <f>LET(
    arrears_months,'Loan Tape (S&amp;P)'!AN9532,
    IF(arrears_months=0,1.00,
    IF(arrears_months=1,3.00,
    IF(arrears_months=2,5.00,
    IF(arrears_months=3,8.00,
    IF(arrears_months=4,10.00,
    IF(arrears_months=5,12.00,15.00)))))))</f>
        <v/>
      </c>
      <c r="M9532">
        <f>LET(
    seasoning_years,DATEDIF('Loan Tape (S&amp;P)'!K9532,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32">
        <f>IF(AND('Loan Tape (S&amp;P)'!U9532="Yes",
        'Loan Tape (S&amp;P)'!T9532&lt;&gt;"Yes",
        DATEDIF('Loan Tape (S&amp;P)'!K9532, TODAY(), "M")&lt;18),
    1.10,
    1.00)</f>
        <v/>
      </c>
      <c r="O9532">
        <f>IF('Loan Tape (S&amp;P)'!T9532="Yes",
    1.35,
    1.00)</f>
        <v/>
      </c>
      <c r="P9532">
        <f>IF('Loan Tape (S&amp;P)'!S9532="Yes",
    1.15,
    1.00)</f>
        <v/>
      </c>
      <c r="Q9532">
        <f>IF('Loan Tape (S&amp;P)'!V9532="Yes",
    1.20,
    1.00)</f>
        <v/>
      </c>
      <c r="T9532">
        <f>LET(
    payment_method,'Loan Tape (S&amp;P)'!P9532,
    occupancy,'Loan Tape (S&amp;P)'!N9532,
    maturity_date,'Loan Tape (S&amp;P)'!L9532,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33">
      <c r="J9533">
        <f>LET(
    lien,'Loan Tape (S&amp;P)'!Q9533,
    IF(lien="First",1.00,
        IF(lien="Second",1.50,
            1.70)))</f>
        <v/>
      </c>
      <c r="K9533">
        <f>LET(
    purpose,'Loan Tape (S&amp;P)'!R9533,
    IF(purpose="Purchase",1.00,
        IF(purpose="Remortgage",1.00,
            1.20)))</f>
        <v/>
      </c>
      <c r="L9533">
        <f>LET(
    arrears_months,'Loan Tape (S&amp;P)'!AN9533,
    IF(arrears_months=0,1.00,
    IF(arrears_months=1,3.00,
    IF(arrears_months=2,5.00,
    IF(arrears_months=3,8.00,
    IF(arrears_months=4,10.00,
    IF(arrears_months=5,12.00,15.00)))))))</f>
        <v/>
      </c>
      <c r="M9533">
        <f>LET(
    seasoning_years,DATEDIF('Loan Tape (S&amp;P)'!K9533,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33">
        <f>IF(AND('Loan Tape (S&amp;P)'!U9533="Yes",
        'Loan Tape (S&amp;P)'!T9533&lt;&gt;"Yes",
        DATEDIF('Loan Tape (S&amp;P)'!K9533, TODAY(), "M")&lt;18),
    1.10,
    1.00)</f>
        <v/>
      </c>
      <c r="O9533">
        <f>IF('Loan Tape (S&amp;P)'!T9533="Yes",
    1.35,
    1.00)</f>
        <v/>
      </c>
      <c r="P9533">
        <f>IF('Loan Tape (S&amp;P)'!S9533="Yes",
    1.15,
    1.00)</f>
        <v/>
      </c>
      <c r="Q9533">
        <f>IF('Loan Tape (S&amp;P)'!V9533="Yes",
    1.20,
    1.00)</f>
        <v/>
      </c>
      <c r="T9533">
        <f>LET(
    payment_method,'Loan Tape (S&amp;P)'!P9533,
    occupancy,'Loan Tape (S&amp;P)'!N9533,
    maturity_date,'Loan Tape (S&amp;P)'!L9533,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34">
      <c r="J9534">
        <f>LET(
    lien,'Loan Tape (S&amp;P)'!Q9534,
    IF(lien="First",1.00,
        IF(lien="Second",1.50,
            1.70)))</f>
        <v/>
      </c>
      <c r="K9534">
        <f>LET(
    purpose,'Loan Tape (S&amp;P)'!R9534,
    IF(purpose="Purchase",1.00,
        IF(purpose="Remortgage",1.00,
            1.20)))</f>
        <v/>
      </c>
      <c r="L9534">
        <f>LET(
    arrears_months,'Loan Tape (S&amp;P)'!AN9534,
    IF(arrears_months=0,1.00,
    IF(arrears_months=1,3.00,
    IF(arrears_months=2,5.00,
    IF(arrears_months=3,8.00,
    IF(arrears_months=4,10.00,
    IF(arrears_months=5,12.00,15.00)))))))</f>
        <v/>
      </c>
      <c r="M9534">
        <f>LET(
    seasoning_years,DATEDIF('Loan Tape (S&amp;P)'!K9534,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34">
        <f>IF(AND('Loan Tape (S&amp;P)'!U9534="Yes",
        'Loan Tape (S&amp;P)'!T9534&lt;&gt;"Yes",
        DATEDIF('Loan Tape (S&amp;P)'!K9534, TODAY(), "M")&lt;18),
    1.10,
    1.00)</f>
        <v/>
      </c>
      <c r="O9534">
        <f>IF('Loan Tape (S&amp;P)'!T9534="Yes",
    1.35,
    1.00)</f>
        <v/>
      </c>
      <c r="P9534">
        <f>IF('Loan Tape (S&amp;P)'!S9534="Yes",
    1.15,
    1.00)</f>
        <v/>
      </c>
      <c r="Q9534">
        <f>IF('Loan Tape (S&amp;P)'!V9534="Yes",
    1.20,
    1.00)</f>
        <v/>
      </c>
      <c r="T9534">
        <f>LET(
    payment_method,'Loan Tape (S&amp;P)'!P9534,
    occupancy,'Loan Tape (S&amp;P)'!N9534,
    maturity_date,'Loan Tape (S&amp;P)'!L9534,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35">
      <c r="J9535">
        <f>LET(
    lien,'Loan Tape (S&amp;P)'!Q9535,
    IF(lien="First",1.00,
        IF(lien="Second",1.50,
            1.70)))</f>
        <v/>
      </c>
      <c r="K9535">
        <f>LET(
    purpose,'Loan Tape (S&amp;P)'!R9535,
    IF(purpose="Purchase",1.00,
        IF(purpose="Remortgage",1.00,
            1.20)))</f>
        <v/>
      </c>
      <c r="L9535">
        <f>LET(
    arrears_months,'Loan Tape (S&amp;P)'!AN9535,
    IF(arrears_months=0,1.00,
    IF(arrears_months=1,3.00,
    IF(arrears_months=2,5.00,
    IF(arrears_months=3,8.00,
    IF(arrears_months=4,10.00,
    IF(arrears_months=5,12.00,15.00)))))))</f>
        <v/>
      </c>
      <c r="M9535">
        <f>LET(
    seasoning_years,DATEDIF('Loan Tape (S&amp;P)'!K9535,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35">
        <f>IF(AND('Loan Tape (S&amp;P)'!U9535="Yes",
        'Loan Tape (S&amp;P)'!T9535&lt;&gt;"Yes",
        DATEDIF('Loan Tape (S&amp;P)'!K9535, TODAY(), "M")&lt;18),
    1.10,
    1.00)</f>
        <v/>
      </c>
      <c r="O9535">
        <f>IF('Loan Tape (S&amp;P)'!T9535="Yes",
    1.35,
    1.00)</f>
        <v/>
      </c>
      <c r="P9535">
        <f>IF('Loan Tape (S&amp;P)'!S9535="Yes",
    1.15,
    1.00)</f>
        <v/>
      </c>
      <c r="Q9535">
        <f>IF('Loan Tape (S&amp;P)'!V9535="Yes",
    1.20,
    1.00)</f>
        <v/>
      </c>
      <c r="T9535">
        <f>LET(
    payment_method,'Loan Tape (S&amp;P)'!P9535,
    occupancy,'Loan Tape (S&amp;P)'!N9535,
    maturity_date,'Loan Tape (S&amp;P)'!L9535,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36">
      <c r="J9536">
        <f>LET(
    lien,'Loan Tape (S&amp;P)'!Q9536,
    IF(lien="First",1.00,
        IF(lien="Second",1.50,
            1.70)))</f>
        <v/>
      </c>
      <c r="K9536">
        <f>LET(
    purpose,'Loan Tape (S&amp;P)'!R9536,
    IF(purpose="Purchase",1.00,
        IF(purpose="Remortgage",1.00,
            1.20)))</f>
        <v/>
      </c>
      <c r="L9536">
        <f>LET(
    arrears_months,'Loan Tape (S&amp;P)'!AN9536,
    IF(arrears_months=0,1.00,
    IF(arrears_months=1,3.00,
    IF(arrears_months=2,5.00,
    IF(arrears_months=3,8.00,
    IF(arrears_months=4,10.00,
    IF(arrears_months=5,12.00,15.00)))))))</f>
        <v/>
      </c>
      <c r="M9536">
        <f>LET(
    seasoning_years,DATEDIF('Loan Tape (S&amp;P)'!K9536,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36">
        <f>IF(AND('Loan Tape (S&amp;P)'!U9536="Yes",
        'Loan Tape (S&amp;P)'!T9536&lt;&gt;"Yes",
        DATEDIF('Loan Tape (S&amp;P)'!K9536, TODAY(), "M")&lt;18),
    1.10,
    1.00)</f>
        <v/>
      </c>
      <c r="O9536">
        <f>IF('Loan Tape (S&amp;P)'!T9536="Yes",
    1.35,
    1.00)</f>
        <v/>
      </c>
      <c r="P9536">
        <f>IF('Loan Tape (S&amp;P)'!S9536="Yes",
    1.15,
    1.00)</f>
        <v/>
      </c>
      <c r="Q9536">
        <f>IF('Loan Tape (S&amp;P)'!V9536="Yes",
    1.20,
    1.00)</f>
        <v/>
      </c>
      <c r="T9536">
        <f>LET(
    payment_method,'Loan Tape (S&amp;P)'!P9536,
    occupancy,'Loan Tape (S&amp;P)'!N9536,
    maturity_date,'Loan Tape (S&amp;P)'!L9536,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37">
      <c r="J9537">
        <f>LET(
    lien,'Loan Tape (S&amp;P)'!Q9537,
    IF(lien="First",1.00,
        IF(lien="Second",1.50,
            1.70)))</f>
        <v/>
      </c>
      <c r="K9537">
        <f>LET(
    purpose,'Loan Tape (S&amp;P)'!R9537,
    IF(purpose="Purchase",1.00,
        IF(purpose="Remortgage",1.00,
            1.20)))</f>
        <v/>
      </c>
      <c r="L9537">
        <f>LET(
    arrears_months,'Loan Tape (S&amp;P)'!AN9537,
    IF(arrears_months=0,1.00,
    IF(arrears_months=1,3.00,
    IF(arrears_months=2,5.00,
    IF(arrears_months=3,8.00,
    IF(arrears_months=4,10.00,
    IF(arrears_months=5,12.00,15.00)))))))</f>
        <v/>
      </c>
      <c r="M9537">
        <f>LET(
    seasoning_years,DATEDIF('Loan Tape (S&amp;P)'!K9537,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37">
        <f>IF(AND('Loan Tape (S&amp;P)'!U9537="Yes",
        'Loan Tape (S&amp;P)'!T9537&lt;&gt;"Yes",
        DATEDIF('Loan Tape (S&amp;P)'!K9537, TODAY(), "M")&lt;18),
    1.10,
    1.00)</f>
        <v/>
      </c>
      <c r="O9537">
        <f>IF('Loan Tape (S&amp;P)'!T9537="Yes",
    1.35,
    1.00)</f>
        <v/>
      </c>
      <c r="P9537">
        <f>IF('Loan Tape (S&amp;P)'!S9537="Yes",
    1.15,
    1.00)</f>
        <v/>
      </c>
      <c r="Q9537">
        <f>IF('Loan Tape (S&amp;P)'!V9537="Yes",
    1.20,
    1.00)</f>
        <v/>
      </c>
      <c r="T9537">
        <f>LET(
    payment_method,'Loan Tape (S&amp;P)'!P9537,
    occupancy,'Loan Tape (S&amp;P)'!N9537,
    maturity_date,'Loan Tape (S&amp;P)'!L9537,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38">
      <c r="J9538">
        <f>LET(
    lien,'Loan Tape (S&amp;P)'!Q9538,
    IF(lien="First",1.00,
        IF(lien="Second",1.50,
            1.70)))</f>
        <v/>
      </c>
      <c r="K9538">
        <f>LET(
    purpose,'Loan Tape (S&amp;P)'!R9538,
    IF(purpose="Purchase",1.00,
        IF(purpose="Remortgage",1.00,
            1.20)))</f>
        <v/>
      </c>
      <c r="L9538">
        <f>LET(
    arrears_months,'Loan Tape (S&amp;P)'!AN9538,
    IF(arrears_months=0,1.00,
    IF(arrears_months=1,3.00,
    IF(arrears_months=2,5.00,
    IF(arrears_months=3,8.00,
    IF(arrears_months=4,10.00,
    IF(arrears_months=5,12.00,15.00)))))))</f>
        <v/>
      </c>
      <c r="M9538">
        <f>LET(
    seasoning_years,DATEDIF('Loan Tape (S&amp;P)'!K9538,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38">
        <f>IF(AND('Loan Tape (S&amp;P)'!U9538="Yes",
        'Loan Tape (S&amp;P)'!T9538&lt;&gt;"Yes",
        DATEDIF('Loan Tape (S&amp;P)'!K9538, TODAY(), "M")&lt;18),
    1.10,
    1.00)</f>
        <v/>
      </c>
      <c r="O9538">
        <f>IF('Loan Tape (S&amp;P)'!T9538="Yes",
    1.35,
    1.00)</f>
        <v/>
      </c>
      <c r="P9538">
        <f>IF('Loan Tape (S&amp;P)'!S9538="Yes",
    1.15,
    1.00)</f>
        <v/>
      </c>
      <c r="Q9538">
        <f>IF('Loan Tape (S&amp;P)'!V9538="Yes",
    1.20,
    1.00)</f>
        <v/>
      </c>
      <c r="T9538">
        <f>LET(
    payment_method,'Loan Tape (S&amp;P)'!P9538,
    occupancy,'Loan Tape (S&amp;P)'!N9538,
    maturity_date,'Loan Tape (S&amp;P)'!L9538,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39">
      <c r="J9539">
        <f>LET(
    lien,'Loan Tape (S&amp;P)'!Q9539,
    IF(lien="First",1.00,
        IF(lien="Second",1.50,
            1.70)))</f>
        <v/>
      </c>
      <c r="K9539">
        <f>LET(
    purpose,'Loan Tape (S&amp;P)'!R9539,
    IF(purpose="Purchase",1.00,
        IF(purpose="Remortgage",1.00,
            1.20)))</f>
        <v/>
      </c>
      <c r="L9539">
        <f>LET(
    arrears_months,'Loan Tape (S&amp;P)'!AN9539,
    IF(arrears_months=0,1.00,
    IF(arrears_months=1,3.00,
    IF(arrears_months=2,5.00,
    IF(arrears_months=3,8.00,
    IF(arrears_months=4,10.00,
    IF(arrears_months=5,12.00,15.00)))))))</f>
        <v/>
      </c>
      <c r="M9539">
        <f>LET(
    seasoning_years,DATEDIF('Loan Tape (S&amp;P)'!K9539,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39">
        <f>IF(AND('Loan Tape (S&amp;P)'!U9539="Yes",
        'Loan Tape (S&amp;P)'!T9539&lt;&gt;"Yes",
        DATEDIF('Loan Tape (S&amp;P)'!K9539, TODAY(), "M")&lt;18),
    1.10,
    1.00)</f>
        <v/>
      </c>
      <c r="O9539">
        <f>IF('Loan Tape (S&amp;P)'!T9539="Yes",
    1.35,
    1.00)</f>
        <v/>
      </c>
      <c r="P9539">
        <f>IF('Loan Tape (S&amp;P)'!S9539="Yes",
    1.15,
    1.00)</f>
        <v/>
      </c>
      <c r="Q9539">
        <f>IF('Loan Tape (S&amp;P)'!V9539="Yes",
    1.20,
    1.00)</f>
        <v/>
      </c>
      <c r="T9539">
        <f>LET(
    payment_method,'Loan Tape (S&amp;P)'!P9539,
    occupancy,'Loan Tape (S&amp;P)'!N9539,
    maturity_date,'Loan Tape (S&amp;P)'!L9539,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40">
      <c r="J9540">
        <f>LET(
    lien,'Loan Tape (S&amp;P)'!Q9540,
    IF(lien="First",1.00,
        IF(lien="Second",1.50,
            1.70)))</f>
        <v/>
      </c>
      <c r="K9540">
        <f>LET(
    purpose,'Loan Tape (S&amp;P)'!R9540,
    IF(purpose="Purchase",1.00,
        IF(purpose="Remortgage",1.00,
            1.20)))</f>
        <v/>
      </c>
      <c r="L9540">
        <f>LET(
    arrears_months,'Loan Tape (S&amp;P)'!AN9540,
    IF(arrears_months=0,1.00,
    IF(arrears_months=1,3.00,
    IF(arrears_months=2,5.00,
    IF(arrears_months=3,8.00,
    IF(arrears_months=4,10.00,
    IF(arrears_months=5,12.00,15.00)))))))</f>
        <v/>
      </c>
      <c r="M9540">
        <f>LET(
    seasoning_years,DATEDIF('Loan Tape (S&amp;P)'!K9540,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40">
        <f>IF(AND('Loan Tape (S&amp;P)'!U9540="Yes",
        'Loan Tape (S&amp;P)'!T9540&lt;&gt;"Yes",
        DATEDIF('Loan Tape (S&amp;P)'!K9540, TODAY(), "M")&lt;18),
    1.10,
    1.00)</f>
        <v/>
      </c>
      <c r="O9540">
        <f>IF('Loan Tape (S&amp;P)'!T9540="Yes",
    1.35,
    1.00)</f>
        <v/>
      </c>
      <c r="P9540">
        <f>IF('Loan Tape (S&amp;P)'!S9540="Yes",
    1.15,
    1.00)</f>
        <v/>
      </c>
      <c r="Q9540">
        <f>IF('Loan Tape (S&amp;P)'!V9540="Yes",
    1.20,
    1.00)</f>
        <v/>
      </c>
      <c r="T9540">
        <f>LET(
    payment_method,'Loan Tape (S&amp;P)'!P9540,
    occupancy,'Loan Tape (S&amp;P)'!N9540,
    maturity_date,'Loan Tape (S&amp;P)'!L9540,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41">
      <c r="J9541">
        <f>LET(
    lien,'Loan Tape (S&amp;P)'!Q9541,
    IF(lien="First",1.00,
        IF(lien="Second",1.50,
            1.70)))</f>
        <v/>
      </c>
      <c r="K9541">
        <f>LET(
    purpose,'Loan Tape (S&amp;P)'!R9541,
    IF(purpose="Purchase",1.00,
        IF(purpose="Remortgage",1.00,
            1.20)))</f>
        <v/>
      </c>
      <c r="L9541">
        <f>LET(
    arrears_months,'Loan Tape (S&amp;P)'!AN9541,
    IF(arrears_months=0,1.00,
    IF(arrears_months=1,3.00,
    IF(arrears_months=2,5.00,
    IF(arrears_months=3,8.00,
    IF(arrears_months=4,10.00,
    IF(arrears_months=5,12.00,15.00)))))))</f>
        <v/>
      </c>
      <c r="M9541">
        <f>LET(
    seasoning_years,DATEDIF('Loan Tape (S&amp;P)'!K9541,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41">
        <f>IF(AND('Loan Tape (S&amp;P)'!U9541="Yes",
        'Loan Tape (S&amp;P)'!T9541&lt;&gt;"Yes",
        DATEDIF('Loan Tape (S&amp;P)'!K9541, TODAY(), "M")&lt;18),
    1.10,
    1.00)</f>
        <v/>
      </c>
      <c r="O9541">
        <f>IF('Loan Tape (S&amp;P)'!T9541="Yes",
    1.35,
    1.00)</f>
        <v/>
      </c>
      <c r="P9541">
        <f>IF('Loan Tape (S&amp;P)'!S9541="Yes",
    1.15,
    1.00)</f>
        <v/>
      </c>
      <c r="Q9541">
        <f>IF('Loan Tape (S&amp;P)'!V9541="Yes",
    1.20,
    1.00)</f>
        <v/>
      </c>
      <c r="T9541">
        <f>LET(
    payment_method,'Loan Tape (S&amp;P)'!P9541,
    occupancy,'Loan Tape (S&amp;P)'!N9541,
    maturity_date,'Loan Tape (S&amp;P)'!L9541,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42">
      <c r="J9542">
        <f>LET(
    lien,'Loan Tape (S&amp;P)'!Q9542,
    IF(lien="First",1.00,
        IF(lien="Second",1.50,
            1.70)))</f>
        <v/>
      </c>
      <c r="K9542">
        <f>LET(
    purpose,'Loan Tape (S&amp;P)'!R9542,
    IF(purpose="Purchase",1.00,
        IF(purpose="Remortgage",1.00,
            1.20)))</f>
        <v/>
      </c>
      <c r="L9542">
        <f>LET(
    arrears_months,'Loan Tape (S&amp;P)'!AN9542,
    IF(arrears_months=0,1.00,
    IF(arrears_months=1,3.00,
    IF(arrears_months=2,5.00,
    IF(arrears_months=3,8.00,
    IF(arrears_months=4,10.00,
    IF(arrears_months=5,12.00,15.00)))))))</f>
        <v/>
      </c>
      <c r="M9542">
        <f>LET(
    seasoning_years,DATEDIF('Loan Tape (S&amp;P)'!K9542,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42">
        <f>IF(AND('Loan Tape (S&amp;P)'!U9542="Yes",
        'Loan Tape (S&amp;P)'!T9542&lt;&gt;"Yes",
        DATEDIF('Loan Tape (S&amp;P)'!K9542, TODAY(), "M")&lt;18),
    1.10,
    1.00)</f>
        <v/>
      </c>
      <c r="O9542">
        <f>IF('Loan Tape (S&amp;P)'!T9542="Yes",
    1.35,
    1.00)</f>
        <v/>
      </c>
      <c r="P9542">
        <f>IF('Loan Tape (S&amp;P)'!S9542="Yes",
    1.15,
    1.00)</f>
        <v/>
      </c>
      <c r="Q9542">
        <f>IF('Loan Tape (S&amp;P)'!V9542="Yes",
    1.20,
    1.00)</f>
        <v/>
      </c>
      <c r="T9542">
        <f>LET(
    payment_method,'Loan Tape (S&amp;P)'!P9542,
    occupancy,'Loan Tape (S&amp;P)'!N9542,
    maturity_date,'Loan Tape (S&amp;P)'!L9542,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43">
      <c r="J9543">
        <f>LET(
    lien,'Loan Tape (S&amp;P)'!Q9543,
    IF(lien="First",1.00,
        IF(lien="Second",1.50,
            1.70)))</f>
        <v/>
      </c>
      <c r="K9543">
        <f>LET(
    purpose,'Loan Tape (S&amp;P)'!R9543,
    IF(purpose="Purchase",1.00,
        IF(purpose="Remortgage",1.00,
            1.20)))</f>
        <v/>
      </c>
      <c r="L9543">
        <f>LET(
    arrears_months,'Loan Tape (S&amp;P)'!AN9543,
    IF(arrears_months=0,1.00,
    IF(arrears_months=1,3.00,
    IF(arrears_months=2,5.00,
    IF(arrears_months=3,8.00,
    IF(arrears_months=4,10.00,
    IF(arrears_months=5,12.00,15.00)))))))</f>
        <v/>
      </c>
      <c r="M9543">
        <f>LET(
    seasoning_years,DATEDIF('Loan Tape (S&amp;P)'!K9543,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43">
        <f>IF(AND('Loan Tape (S&amp;P)'!U9543="Yes",
        'Loan Tape (S&amp;P)'!T9543&lt;&gt;"Yes",
        DATEDIF('Loan Tape (S&amp;P)'!K9543, TODAY(), "M")&lt;18),
    1.10,
    1.00)</f>
        <v/>
      </c>
      <c r="O9543">
        <f>IF('Loan Tape (S&amp;P)'!T9543="Yes",
    1.35,
    1.00)</f>
        <v/>
      </c>
      <c r="P9543">
        <f>IF('Loan Tape (S&amp;P)'!S9543="Yes",
    1.15,
    1.00)</f>
        <v/>
      </c>
      <c r="Q9543">
        <f>IF('Loan Tape (S&amp;P)'!V9543="Yes",
    1.20,
    1.00)</f>
        <v/>
      </c>
      <c r="T9543">
        <f>LET(
    payment_method,'Loan Tape (S&amp;P)'!P9543,
    occupancy,'Loan Tape (S&amp;P)'!N9543,
    maturity_date,'Loan Tape (S&amp;P)'!L9543,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44">
      <c r="J9544">
        <f>LET(
    lien,'Loan Tape (S&amp;P)'!Q9544,
    IF(lien="First",1.00,
        IF(lien="Second",1.50,
            1.70)))</f>
        <v/>
      </c>
      <c r="K9544">
        <f>LET(
    purpose,'Loan Tape (S&amp;P)'!R9544,
    IF(purpose="Purchase",1.00,
        IF(purpose="Remortgage",1.00,
            1.20)))</f>
        <v/>
      </c>
      <c r="L9544">
        <f>LET(
    arrears_months,'Loan Tape (S&amp;P)'!AN9544,
    IF(arrears_months=0,1.00,
    IF(arrears_months=1,3.00,
    IF(arrears_months=2,5.00,
    IF(arrears_months=3,8.00,
    IF(arrears_months=4,10.00,
    IF(arrears_months=5,12.00,15.00)))))))</f>
        <v/>
      </c>
      <c r="M9544">
        <f>LET(
    seasoning_years,DATEDIF('Loan Tape (S&amp;P)'!K9544,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44">
        <f>IF(AND('Loan Tape (S&amp;P)'!U9544="Yes",
        'Loan Tape (S&amp;P)'!T9544&lt;&gt;"Yes",
        DATEDIF('Loan Tape (S&amp;P)'!K9544, TODAY(), "M")&lt;18),
    1.10,
    1.00)</f>
        <v/>
      </c>
      <c r="O9544">
        <f>IF('Loan Tape (S&amp;P)'!T9544="Yes",
    1.35,
    1.00)</f>
        <v/>
      </c>
      <c r="P9544">
        <f>IF('Loan Tape (S&amp;P)'!S9544="Yes",
    1.15,
    1.00)</f>
        <v/>
      </c>
      <c r="Q9544">
        <f>IF('Loan Tape (S&amp;P)'!V9544="Yes",
    1.20,
    1.00)</f>
        <v/>
      </c>
      <c r="T9544">
        <f>LET(
    payment_method,'Loan Tape (S&amp;P)'!P9544,
    occupancy,'Loan Tape (S&amp;P)'!N9544,
    maturity_date,'Loan Tape (S&amp;P)'!L9544,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45">
      <c r="J9545">
        <f>LET(
    lien,'Loan Tape (S&amp;P)'!Q9545,
    IF(lien="First",1.00,
        IF(lien="Second",1.50,
            1.70)))</f>
        <v/>
      </c>
      <c r="K9545">
        <f>LET(
    purpose,'Loan Tape (S&amp;P)'!R9545,
    IF(purpose="Purchase",1.00,
        IF(purpose="Remortgage",1.00,
            1.20)))</f>
        <v/>
      </c>
      <c r="L9545">
        <f>LET(
    arrears_months,'Loan Tape (S&amp;P)'!AN9545,
    IF(arrears_months=0,1.00,
    IF(arrears_months=1,3.00,
    IF(arrears_months=2,5.00,
    IF(arrears_months=3,8.00,
    IF(arrears_months=4,10.00,
    IF(arrears_months=5,12.00,15.00)))))))</f>
        <v/>
      </c>
      <c r="M9545">
        <f>LET(
    seasoning_years,DATEDIF('Loan Tape (S&amp;P)'!K9545,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45">
        <f>IF(AND('Loan Tape (S&amp;P)'!U9545="Yes",
        'Loan Tape (S&amp;P)'!T9545&lt;&gt;"Yes",
        DATEDIF('Loan Tape (S&amp;P)'!K9545, TODAY(), "M")&lt;18),
    1.10,
    1.00)</f>
        <v/>
      </c>
      <c r="O9545">
        <f>IF('Loan Tape (S&amp;P)'!T9545="Yes",
    1.35,
    1.00)</f>
        <v/>
      </c>
      <c r="P9545">
        <f>IF('Loan Tape (S&amp;P)'!S9545="Yes",
    1.15,
    1.00)</f>
        <v/>
      </c>
      <c r="Q9545">
        <f>IF('Loan Tape (S&amp;P)'!V9545="Yes",
    1.20,
    1.00)</f>
        <v/>
      </c>
      <c r="T9545">
        <f>LET(
    payment_method,'Loan Tape (S&amp;P)'!P9545,
    occupancy,'Loan Tape (S&amp;P)'!N9545,
    maturity_date,'Loan Tape (S&amp;P)'!L9545,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46">
      <c r="J9546">
        <f>LET(
    lien,'Loan Tape (S&amp;P)'!Q9546,
    IF(lien="First",1.00,
        IF(lien="Second",1.50,
            1.70)))</f>
        <v/>
      </c>
      <c r="K9546">
        <f>LET(
    purpose,'Loan Tape (S&amp;P)'!R9546,
    IF(purpose="Purchase",1.00,
        IF(purpose="Remortgage",1.00,
            1.20)))</f>
        <v/>
      </c>
      <c r="L9546">
        <f>LET(
    arrears_months,'Loan Tape (S&amp;P)'!AN9546,
    IF(arrears_months=0,1.00,
    IF(arrears_months=1,3.00,
    IF(arrears_months=2,5.00,
    IF(arrears_months=3,8.00,
    IF(arrears_months=4,10.00,
    IF(arrears_months=5,12.00,15.00)))))))</f>
        <v/>
      </c>
      <c r="M9546">
        <f>LET(
    seasoning_years,DATEDIF('Loan Tape (S&amp;P)'!K9546,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46">
        <f>IF(AND('Loan Tape (S&amp;P)'!U9546="Yes",
        'Loan Tape (S&amp;P)'!T9546&lt;&gt;"Yes",
        DATEDIF('Loan Tape (S&amp;P)'!K9546, TODAY(), "M")&lt;18),
    1.10,
    1.00)</f>
        <v/>
      </c>
      <c r="O9546">
        <f>IF('Loan Tape (S&amp;P)'!T9546="Yes",
    1.35,
    1.00)</f>
        <v/>
      </c>
      <c r="P9546">
        <f>IF('Loan Tape (S&amp;P)'!S9546="Yes",
    1.15,
    1.00)</f>
        <v/>
      </c>
      <c r="Q9546">
        <f>IF('Loan Tape (S&amp;P)'!V9546="Yes",
    1.20,
    1.00)</f>
        <v/>
      </c>
      <c r="T9546">
        <f>LET(
    payment_method,'Loan Tape (S&amp;P)'!P9546,
    occupancy,'Loan Tape (S&amp;P)'!N9546,
    maturity_date,'Loan Tape (S&amp;P)'!L9546,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47">
      <c r="J9547">
        <f>LET(
    lien,'Loan Tape (S&amp;P)'!Q9547,
    IF(lien="First",1.00,
        IF(lien="Second",1.50,
            1.70)))</f>
        <v/>
      </c>
      <c r="K9547">
        <f>LET(
    purpose,'Loan Tape (S&amp;P)'!R9547,
    IF(purpose="Purchase",1.00,
        IF(purpose="Remortgage",1.00,
            1.20)))</f>
        <v/>
      </c>
      <c r="L9547">
        <f>LET(
    arrears_months,'Loan Tape (S&amp;P)'!AN9547,
    IF(arrears_months=0,1.00,
    IF(arrears_months=1,3.00,
    IF(arrears_months=2,5.00,
    IF(arrears_months=3,8.00,
    IF(arrears_months=4,10.00,
    IF(arrears_months=5,12.00,15.00)))))))</f>
        <v/>
      </c>
      <c r="M9547">
        <f>LET(
    seasoning_years,DATEDIF('Loan Tape (S&amp;P)'!K9547,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47">
        <f>IF(AND('Loan Tape (S&amp;P)'!U9547="Yes",
        'Loan Tape (S&amp;P)'!T9547&lt;&gt;"Yes",
        DATEDIF('Loan Tape (S&amp;P)'!K9547, TODAY(), "M")&lt;18),
    1.10,
    1.00)</f>
        <v/>
      </c>
      <c r="O9547">
        <f>IF('Loan Tape (S&amp;P)'!T9547="Yes",
    1.35,
    1.00)</f>
        <v/>
      </c>
      <c r="P9547">
        <f>IF('Loan Tape (S&amp;P)'!S9547="Yes",
    1.15,
    1.00)</f>
        <v/>
      </c>
      <c r="Q9547">
        <f>IF('Loan Tape (S&amp;P)'!V9547="Yes",
    1.20,
    1.00)</f>
        <v/>
      </c>
      <c r="T9547">
        <f>LET(
    payment_method,'Loan Tape (S&amp;P)'!P9547,
    occupancy,'Loan Tape (S&amp;P)'!N9547,
    maturity_date,'Loan Tape (S&amp;P)'!L9547,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48">
      <c r="J9548">
        <f>LET(
    lien,'Loan Tape (S&amp;P)'!Q9548,
    IF(lien="First",1.00,
        IF(lien="Second",1.50,
            1.70)))</f>
        <v/>
      </c>
      <c r="K9548">
        <f>LET(
    purpose,'Loan Tape (S&amp;P)'!R9548,
    IF(purpose="Purchase",1.00,
        IF(purpose="Remortgage",1.00,
            1.20)))</f>
        <v/>
      </c>
      <c r="L9548">
        <f>LET(
    arrears_months,'Loan Tape (S&amp;P)'!AN9548,
    IF(arrears_months=0,1.00,
    IF(arrears_months=1,3.00,
    IF(arrears_months=2,5.00,
    IF(arrears_months=3,8.00,
    IF(arrears_months=4,10.00,
    IF(arrears_months=5,12.00,15.00)))))))</f>
        <v/>
      </c>
      <c r="M9548">
        <f>LET(
    seasoning_years,DATEDIF('Loan Tape (S&amp;P)'!K9548,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48">
        <f>IF(AND('Loan Tape (S&amp;P)'!U9548="Yes",
        'Loan Tape (S&amp;P)'!T9548&lt;&gt;"Yes",
        DATEDIF('Loan Tape (S&amp;P)'!K9548, TODAY(), "M")&lt;18),
    1.10,
    1.00)</f>
        <v/>
      </c>
      <c r="O9548">
        <f>IF('Loan Tape (S&amp;P)'!T9548="Yes",
    1.35,
    1.00)</f>
        <v/>
      </c>
      <c r="P9548">
        <f>IF('Loan Tape (S&amp;P)'!S9548="Yes",
    1.15,
    1.00)</f>
        <v/>
      </c>
      <c r="Q9548">
        <f>IF('Loan Tape (S&amp;P)'!V9548="Yes",
    1.20,
    1.00)</f>
        <v/>
      </c>
      <c r="T9548">
        <f>LET(
    payment_method,'Loan Tape (S&amp;P)'!P9548,
    occupancy,'Loan Tape (S&amp;P)'!N9548,
    maturity_date,'Loan Tape (S&amp;P)'!L9548,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49">
      <c r="J9549">
        <f>LET(
    lien,'Loan Tape (S&amp;P)'!Q9549,
    IF(lien="First",1.00,
        IF(lien="Second",1.50,
            1.70)))</f>
        <v/>
      </c>
      <c r="K9549">
        <f>LET(
    purpose,'Loan Tape (S&amp;P)'!R9549,
    IF(purpose="Purchase",1.00,
        IF(purpose="Remortgage",1.00,
            1.20)))</f>
        <v/>
      </c>
      <c r="L9549">
        <f>LET(
    arrears_months,'Loan Tape (S&amp;P)'!AN9549,
    IF(arrears_months=0,1.00,
    IF(arrears_months=1,3.00,
    IF(arrears_months=2,5.00,
    IF(arrears_months=3,8.00,
    IF(arrears_months=4,10.00,
    IF(arrears_months=5,12.00,15.00)))))))</f>
        <v/>
      </c>
      <c r="M9549">
        <f>LET(
    seasoning_years,DATEDIF('Loan Tape (S&amp;P)'!K9549,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49">
        <f>IF(AND('Loan Tape (S&amp;P)'!U9549="Yes",
        'Loan Tape (S&amp;P)'!T9549&lt;&gt;"Yes",
        DATEDIF('Loan Tape (S&amp;P)'!K9549, TODAY(), "M")&lt;18),
    1.10,
    1.00)</f>
        <v/>
      </c>
      <c r="O9549">
        <f>IF('Loan Tape (S&amp;P)'!T9549="Yes",
    1.35,
    1.00)</f>
        <v/>
      </c>
      <c r="P9549">
        <f>IF('Loan Tape (S&amp;P)'!S9549="Yes",
    1.15,
    1.00)</f>
        <v/>
      </c>
      <c r="Q9549">
        <f>IF('Loan Tape (S&amp;P)'!V9549="Yes",
    1.20,
    1.00)</f>
        <v/>
      </c>
      <c r="T9549">
        <f>LET(
    payment_method,'Loan Tape (S&amp;P)'!P9549,
    occupancy,'Loan Tape (S&amp;P)'!N9549,
    maturity_date,'Loan Tape (S&amp;P)'!L9549,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50">
      <c r="J9550">
        <f>LET(
    lien,'Loan Tape (S&amp;P)'!Q9550,
    IF(lien="First",1.00,
        IF(lien="Second",1.50,
            1.70)))</f>
        <v/>
      </c>
      <c r="K9550">
        <f>LET(
    purpose,'Loan Tape (S&amp;P)'!R9550,
    IF(purpose="Purchase",1.00,
        IF(purpose="Remortgage",1.00,
            1.20)))</f>
        <v/>
      </c>
      <c r="L9550">
        <f>LET(
    arrears_months,'Loan Tape (S&amp;P)'!AN9550,
    IF(arrears_months=0,1.00,
    IF(arrears_months=1,3.00,
    IF(arrears_months=2,5.00,
    IF(arrears_months=3,8.00,
    IF(arrears_months=4,10.00,
    IF(arrears_months=5,12.00,15.00)))))))</f>
        <v/>
      </c>
      <c r="M9550">
        <f>LET(
    seasoning_years,DATEDIF('Loan Tape (S&amp;P)'!K9550,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50">
        <f>IF(AND('Loan Tape (S&amp;P)'!U9550="Yes",
        'Loan Tape (S&amp;P)'!T9550&lt;&gt;"Yes",
        DATEDIF('Loan Tape (S&amp;P)'!K9550, TODAY(), "M")&lt;18),
    1.10,
    1.00)</f>
        <v/>
      </c>
      <c r="O9550">
        <f>IF('Loan Tape (S&amp;P)'!T9550="Yes",
    1.35,
    1.00)</f>
        <v/>
      </c>
      <c r="P9550">
        <f>IF('Loan Tape (S&amp;P)'!S9550="Yes",
    1.15,
    1.00)</f>
        <v/>
      </c>
      <c r="Q9550">
        <f>IF('Loan Tape (S&amp;P)'!V9550="Yes",
    1.20,
    1.00)</f>
        <v/>
      </c>
      <c r="T9550">
        <f>LET(
    payment_method,'Loan Tape (S&amp;P)'!P9550,
    occupancy,'Loan Tape (S&amp;P)'!N9550,
    maturity_date,'Loan Tape (S&amp;P)'!L9550,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51">
      <c r="J9551">
        <f>LET(
    lien,'Loan Tape (S&amp;P)'!Q9551,
    IF(lien="First",1.00,
        IF(lien="Second",1.50,
            1.70)))</f>
        <v/>
      </c>
      <c r="K9551">
        <f>LET(
    purpose,'Loan Tape (S&amp;P)'!R9551,
    IF(purpose="Purchase",1.00,
        IF(purpose="Remortgage",1.00,
            1.20)))</f>
        <v/>
      </c>
      <c r="L9551">
        <f>LET(
    arrears_months,'Loan Tape (S&amp;P)'!AN9551,
    IF(arrears_months=0,1.00,
    IF(arrears_months=1,3.00,
    IF(arrears_months=2,5.00,
    IF(arrears_months=3,8.00,
    IF(arrears_months=4,10.00,
    IF(arrears_months=5,12.00,15.00)))))))</f>
        <v/>
      </c>
      <c r="M9551">
        <f>LET(
    seasoning_years,DATEDIF('Loan Tape (S&amp;P)'!K9551,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51">
        <f>IF(AND('Loan Tape (S&amp;P)'!U9551="Yes",
        'Loan Tape (S&amp;P)'!T9551&lt;&gt;"Yes",
        DATEDIF('Loan Tape (S&amp;P)'!K9551, TODAY(), "M")&lt;18),
    1.10,
    1.00)</f>
        <v/>
      </c>
      <c r="O9551">
        <f>IF('Loan Tape (S&amp;P)'!T9551="Yes",
    1.35,
    1.00)</f>
        <v/>
      </c>
      <c r="P9551">
        <f>IF('Loan Tape (S&amp;P)'!S9551="Yes",
    1.15,
    1.00)</f>
        <v/>
      </c>
      <c r="Q9551">
        <f>IF('Loan Tape (S&amp;P)'!V9551="Yes",
    1.20,
    1.00)</f>
        <v/>
      </c>
      <c r="T9551">
        <f>LET(
    payment_method,'Loan Tape (S&amp;P)'!P9551,
    occupancy,'Loan Tape (S&amp;P)'!N9551,
    maturity_date,'Loan Tape (S&amp;P)'!L9551,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52">
      <c r="J9552">
        <f>LET(
    lien,'Loan Tape (S&amp;P)'!Q9552,
    IF(lien="First",1.00,
        IF(lien="Second",1.50,
            1.70)))</f>
        <v/>
      </c>
      <c r="K9552">
        <f>LET(
    purpose,'Loan Tape (S&amp;P)'!R9552,
    IF(purpose="Purchase",1.00,
        IF(purpose="Remortgage",1.00,
            1.20)))</f>
        <v/>
      </c>
      <c r="L9552">
        <f>LET(
    arrears_months,'Loan Tape (S&amp;P)'!AN9552,
    IF(arrears_months=0,1.00,
    IF(arrears_months=1,3.00,
    IF(arrears_months=2,5.00,
    IF(arrears_months=3,8.00,
    IF(arrears_months=4,10.00,
    IF(arrears_months=5,12.00,15.00)))))))</f>
        <v/>
      </c>
      <c r="M9552">
        <f>LET(
    seasoning_years,DATEDIF('Loan Tape (S&amp;P)'!K9552,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52">
        <f>IF(AND('Loan Tape (S&amp;P)'!U9552="Yes",
        'Loan Tape (S&amp;P)'!T9552&lt;&gt;"Yes",
        DATEDIF('Loan Tape (S&amp;P)'!K9552, TODAY(), "M")&lt;18),
    1.10,
    1.00)</f>
        <v/>
      </c>
      <c r="O9552">
        <f>IF('Loan Tape (S&amp;P)'!T9552="Yes",
    1.35,
    1.00)</f>
        <v/>
      </c>
      <c r="P9552">
        <f>IF('Loan Tape (S&amp;P)'!S9552="Yes",
    1.15,
    1.00)</f>
        <v/>
      </c>
      <c r="Q9552">
        <f>IF('Loan Tape (S&amp;P)'!V9552="Yes",
    1.20,
    1.00)</f>
        <v/>
      </c>
      <c r="T9552">
        <f>LET(
    payment_method,'Loan Tape (S&amp;P)'!P9552,
    occupancy,'Loan Tape (S&amp;P)'!N9552,
    maturity_date,'Loan Tape (S&amp;P)'!L9552,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53">
      <c r="J9553">
        <f>LET(
    lien,'Loan Tape (S&amp;P)'!Q9553,
    IF(lien="First",1.00,
        IF(lien="Second",1.50,
            1.70)))</f>
        <v/>
      </c>
      <c r="K9553">
        <f>LET(
    purpose,'Loan Tape (S&amp;P)'!R9553,
    IF(purpose="Purchase",1.00,
        IF(purpose="Remortgage",1.00,
            1.20)))</f>
        <v/>
      </c>
      <c r="L9553">
        <f>LET(
    arrears_months,'Loan Tape (S&amp;P)'!AN9553,
    IF(arrears_months=0,1.00,
    IF(arrears_months=1,3.00,
    IF(arrears_months=2,5.00,
    IF(arrears_months=3,8.00,
    IF(arrears_months=4,10.00,
    IF(arrears_months=5,12.00,15.00)))))))</f>
        <v/>
      </c>
      <c r="M9553">
        <f>LET(
    seasoning_years,DATEDIF('Loan Tape (S&amp;P)'!K9553,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53">
        <f>IF(AND('Loan Tape (S&amp;P)'!U9553="Yes",
        'Loan Tape (S&amp;P)'!T9553&lt;&gt;"Yes",
        DATEDIF('Loan Tape (S&amp;P)'!K9553, TODAY(), "M")&lt;18),
    1.10,
    1.00)</f>
        <v/>
      </c>
      <c r="O9553">
        <f>IF('Loan Tape (S&amp;P)'!T9553="Yes",
    1.35,
    1.00)</f>
        <v/>
      </c>
      <c r="P9553">
        <f>IF('Loan Tape (S&amp;P)'!S9553="Yes",
    1.15,
    1.00)</f>
        <v/>
      </c>
      <c r="Q9553">
        <f>IF('Loan Tape (S&amp;P)'!V9553="Yes",
    1.20,
    1.00)</f>
        <v/>
      </c>
      <c r="T9553">
        <f>LET(
    payment_method,'Loan Tape (S&amp;P)'!P9553,
    occupancy,'Loan Tape (S&amp;P)'!N9553,
    maturity_date,'Loan Tape (S&amp;P)'!L9553,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54">
      <c r="J9554">
        <f>LET(
    lien,'Loan Tape (S&amp;P)'!Q9554,
    IF(lien="First",1.00,
        IF(lien="Second",1.50,
            1.70)))</f>
        <v/>
      </c>
      <c r="K9554">
        <f>LET(
    purpose,'Loan Tape (S&amp;P)'!R9554,
    IF(purpose="Purchase",1.00,
        IF(purpose="Remortgage",1.00,
            1.20)))</f>
        <v/>
      </c>
      <c r="L9554">
        <f>LET(
    arrears_months,'Loan Tape (S&amp;P)'!AN9554,
    IF(arrears_months=0,1.00,
    IF(arrears_months=1,3.00,
    IF(arrears_months=2,5.00,
    IF(arrears_months=3,8.00,
    IF(arrears_months=4,10.00,
    IF(arrears_months=5,12.00,15.00)))))))</f>
        <v/>
      </c>
      <c r="M9554">
        <f>LET(
    seasoning_years,DATEDIF('Loan Tape (S&amp;P)'!K9554,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54">
        <f>IF(AND('Loan Tape (S&amp;P)'!U9554="Yes",
        'Loan Tape (S&amp;P)'!T9554&lt;&gt;"Yes",
        DATEDIF('Loan Tape (S&amp;P)'!K9554, TODAY(), "M")&lt;18),
    1.10,
    1.00)</f>
        <v/>
      </c>
      <c r="O9554">
        <f>IF('Loan Tape (S&amp;P)'!T9554="Yes",
    1.35,
    1.00)</f>
        <v/>
      </c>
      <c r="P9554">
        <f>IF('Loan Tape (S&amp;P)'!S9554="Yes",
    1.15,
    1.00)</f>
        <v/>
      </c>
      <c r="Q9554">
        <f>IF('Loan Tape (S&amp;P)'!V9554="Yes",
    1.20,
    1.00)</f>
        <v/>
      </c>
      <c r="T9554">
        <f>LET(
    payment_method,'Loan Tape (S&amp;P)'!P9554,
    occupancy,'Loan Tape (S&amp;P)'!N9554,
    maturity_date,'Loan Tape (S&amp;P)'!L9554,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55">
      <c r="J9555">
        <f>LET(
    lien,'Loan Tape (S&amp;P)'!Q9555,
    IF(lien="First",1.00,
        IF(lien="Second",1.50,
            1.70)))</f>
        <v/>
      </c>
      <c r="K9555">
        <f>LET(
    purpose,'Loan Tape (S&amp;P)'!R9555,
    IF(purpose="Purchase",1.00,
        IF(purpose="Remortgage",1.00,
            1.20)))</f>
        <v/>
      </c>
      <c r="L9555">
        <f>LET(
    arrears_months,'Loan Tape (S&amp;P)'!AN9555,
    IF(arrears_months=0,1.00,
    IF(arrears_months=1,3.00,
    IF(arrears_months=2,5.00,
    IF(arrears_months=3,8.00,
    IF(arrears_months=4,10.00,
    IF(arrears_months=5,12.00,15.00)))))))</f>
        <v/>
      </c>
      <c r="M9555">
        <f>LET(
    seasoning_years,DATEDIF('Loan Tape (S&amp;P)'!K9555,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55">
        <f>IF(AND('Loan Tape (S&amp;P)'!U9555="Yes",
        'Loan Tape (S&amp;P)'!T9555&lt;&gt;"Yes",
        DATEDIF('Loan Tape (S&amp;P)'!K9555, TODAY(), "M")&lt;18),
    1.10,
    1.00)</f>
        <v/>
      </c>
      <c r="O9555">
        <f>IF('Loan Tape (S&amp;P)'!T9555="Yes",
    1.35,
    1.00)</f>
        <v/>
      </c>
      <c r="P9555">
        <f>IF('Loan Tape (S&amp;P)'!S9555="Yes",
    1.15,
    1.00)</f>
        <v/>
      </c>
      <c r="Q9555">
        <f>IF('Loan Tape (S&amp;P)'!V9555="Yes",
    1.20,
    1.00)</f>
        <v/>
      </c>
      <c r="T9555">
        <f>LET(
    payment_method,'Loan Tape (S&amp;P)'!P9555,
    occupancy,'Loan Tape (S&amp;P)'!N9555,
    maturity_date,'Loan Tape (S&amp;P)'!L9555,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56">
      <c r="J9556">
        <f>LET(
    lien,'Loan Tape (S&amp;P)'!Q9556,
    IF(lien="First",1.00,
        IF(lien="Second",1.50,
            1.70)))</f>
        <v/>
      </c>
      <c r="K9556">
        <f>LET(
    purpose,'Loan Tape (S&amp;P)'!R9556,
    IF(purpose="Purchase",1.00,
        IF(purpose="Remortgage",1.00,
            1.20)))</f>
        <v/>
      </c>
      <c r="L9556">
        <f>LET(
    arrears_months,'Loan Tape (S&amp;P)'!AN9556,
    IF(arrears_months=0,1.00,
    IF(arrears_months=1,3.00,
    IF(arrears_months=2,5.00,
    IF(arrears_months=3,8.00,
    IF(arrears_months=4,10.00,
    IF(arrears_months=5,12.00,15.00)))))))</f>
        <v/>
      </c>
      <c r="M9556">
        <f>LET(
    seasoning_years,DATEDIF('Loan Tape (S&amp;P)'!K9556,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56">
        <f>IF(AND('Loan Tape (S&amp;P)'!U9556="Yes",
        'Loan Tape (S&amp;P)'!T9556&lt;&gt;"Yes",
        DATEDIF('Loan Tape (S&amp;P)'!K9556, TODAY(), "M")&lt;18),
    1.10,
    1.00)</f>
        <v/>
      </c>
      <c r="O9556">
        <f>IF('Loan Tape (S&amp;P)'!T9556="Yes",
    1.35,
    1.00)</f>
        <v/>
      </c>
      <c r="P9556">
        <f>IF('Loan Tape (S&amp;P)'!S9556="Yes",
    1.15,
    1.00)</f>
        <v/>
      </c>
      <c r="Q9556">
        <f>IF('Loan Tape (S&amp;P)'!V9556="Yes",
    1.20,
    1.00)</f>
        <v/>
      </c>
      <c r="T9556">
        <f>LET(
    payment_method,'Loan Tape (S&amp;P)'!P9556,
    occupancy,'Loan Tape (S&amp;P)'!N9556,
    maturity_date,'Loan Tape (S&amp;P)'!L9556,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57">
      <c r="J9557">
        <f>LET(
    lien,'Loan Tape (S&amp;P)'!Q9557,
    IF(lien="First",1.00,
        IF(lien="Second",1.50,
            1.70)))</f>
        <v/>
      </c>
      <c r="K9557">
        <f>LET(
    purpose,'Loan Tape (S&amp;P)'!R9557,
    IF(purpose="Purchase",1.00,
        IF(purpose="Remortgage",1.00,
            1.20)))</f>
        <v/>
      </c>
      <c r="L9557">
        <f>LET(
    arrears_months,'Loan Tape (S&amp;P)'!AN9557,
    IF(arrears_months=0,1.00,
    IF(arrears_months=1,3.00,
    IF(arrears_months=2,5.00,
    IF(arrears_months=3,8.00,
    IF(arrears_months=4,10.00,
    IF(arrears_months=5,12.00,15.00)))))))</f>
        <v/>
      </c>
      <c r="M9557">
        <f>LET(
    seasoning_years,DATEDIF('Loan Tape (S&amp;P)'!K9557,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57">
        <f>IF(AND('Loan Tape (S&amp;P)'!U9557="Yes",
        'Loan Tape (S&amp;P)'!T9557&lt;&gt;"Yes",
        DATEDIF('Loan Tape (S&amp;P)'!K9557, TODAY(), "M")&lt;18),
    1.10,
    1.00)</f>
        <v/>
      </c>
      <c r="O9557">
        <f>IF('Loan Tape (S&amp;P)'!T9557="Yes",
    1.35,
    1.00)</f>
        <v/>
      </c>
      <c r="P9557">
        <f>IF('Loan Tape (S&amp;P)'!S9557="Yes",
    1.15,
    1.00)</f>
        <v/>
      </c>
      <c r="Q9557">
        <f>IF('Loan Tape (S&amp;P)'!V9557="Yes",
    1.20,
    1.00)</f>
        <v/>
      </c>
      <c r="T9557">
        <f>LET(
    payment_method,'Loan Tape (S&amp;P)'!P9557,
    occupancy,'Loan Tape (S&amp;P)'!N9557,
    maturity_date,'Loan Tape (S&amp;P)'!L9557,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58">
      <c r="J9558">
        <f>LET(
    lien,'Loan Tape (S&amp;P)'!Q9558,
    IF(lien="First",1.00,
        IF(lien="Second",1.50,
            1.70)))</f>
        <v/>
      </c>
      <c r="K9558">
        <f>LET(
    purpose,'Loan Tape (S&amp;P)'!R9558,
    IF(purpose="Purchase",1.00,
        IF(purpose="Remortgage",1.00,
            1.20)))</f>
        <v/>
      </c>
      <c r="L9558">
        <f>LET(
    arrears_months,'Loan Tape (S&amp;P)'!AN9558,
    IF(arrears_months=0,1.00,
    IF(arrears_months=1,3.00,
    IF(arrears_months=2,5.00,
    IF(arrears_months=3,8.00,
    IF(arrears_months=4,10.00,
    IF(arrears_months=5,12.00,15.00)))))))</f>
        <v/>
      </c>
      <c r="M9558">
        <f>LET(
    seasoning_years,DATEDIF('Loan Tape (S&amp;P)'!K9558,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58">
        <f>IF(AND('Loan Tape (S&amp;P)'!U9558="Yes",
        'Loan Tape (S&amp;P)'!T9558&lt;&gt;"Yes",
        DATEDIF('Loan Tape (S&amp;P)'!K9558, TODAY(), "M")&lt;18),
    1.10,
    1.00)</f>
        <v/>
      </c>
      <c r="O9558">
        <f>IF('Loan Tape (S&amp;P)'!T9558="Yes",
    1.35,
    1.00)</f>
        <v/>
      </c>
      <c r="P9558">
        <f>IF('Loan Tape (S&amp;P)'!S9558="Yes",
    1.15,
    1.00)</f>
        <v/>
      </c>
      <c r="Q9558">
        <f>IF('Loan Tape (S&amp;P)'!V9558="Yes",
    1.20,
    1.00)</f>
        <v/>
      </c>
      <c r="T9558">
        <f>LET(
    payment_method,'Loan Tape (S&amp;P)'!P9558,
    occupancy,'Loan Tape (S&amp;P)'!N9558,
    maturity_date,'Loan Tape (S&amp;P)'!L9558,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59">
      <c r="J9559">
        <f>LET(
    lien,'Loan Tape (S&amp;P)'!Q9559,
    IF(lien="First",1.00,
        IF(lien="Second",1.50,
            1.70)))</f>
        <v/>
      </c>
      <c r="K9559">
        <f>LET(
    purpose,'Loan Tape (S&amp;P)'!R9559,
    IF(purpose="Purchase",1.00,
        IF(purpose="Remortgage",1.00,
            1.20)))</f>
        <v/>
      </c>
      <c r="L9559">
        <f>LET(
    arrears_months,'Loan Tape (S&amp;P)'!AN9559,
    IF(arrears_months=0,1.00,
    IF(arrears_months=1,3.00,
    IF(arrears_months=2,5.00,
    IF(arrears_months=3,8.00,
    IF(arrears_months=4,10.00,
    IF(arrears_months=5,12.00,15.00)))))))</f>
        <v/>
      </c>
      <c r="M9559">
        <f>LET(
    seasoning_years,DATEDIF('Loan Tape (S&amp;P)'!K9559,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59">
        <f>IF(AND('Loan Tape (S&amp;P)'!U9559="Yes",
        'Loan Tape (S&amp;P)'!T9559&lt;&gt;"Yes",
        DATEDIF('Loan Tape (S&amp;P)'!K9559, TODAY(), "M")&lt;18),
    1.10,
    1.00)</f>
        <v/>
      </c>
      <c r="O9559">
        <f>IF('Loan Tape (S&amp;P)'!T9559="Yes",
    1.35,
    1.00)</f>
        <v/>
      </c>
      <c r="P9559">
        <f>IF('Loan Tape (S&amp;P)'!S9559="Yes",
    1.15,
    1.00)</f>
        <v/>
      </c>
      <c r="Q9559">
        <f>IF('Loan Tape (S&amp;P)'!V9559="Yes",
    1.20,
    1.00)</f>
        <v/>
      </c>
      <c r="T9559">
        <f>LET(
    payment_method,'Loan Tape (S&amp;P)'!P9559,
    occupancy,'Loan Tape (S&amp;P)'!N9559,
    maturity_date,'Loan Tape (S&amp;P)'!L9559,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60">
      <c r="J9560">
        <f>LET(
    lien,'Loan Tape (S&amp;P)'!Q9560,
    IF(lien="First",1.00,
        IF(lien="Second",1.50,
            1.70)))</f>
        <v/>
      </c>
      <c r="K9560">
        <f>LET(
    purpose,'Loan Tape (S&amp;P)'!R9560,
    IF(purpose="Purchase",1.00,
        IF(purpose="Remortgage",1.00,
            1.20)))</f>
        <v/>
      </c>
      <c r="L9560">
        <f>LET(
    arrears_months,'Loan Tape (S&amp;P)'!AN9560,
    IF(arrears_months=0,1.00,
    IF(arrears_months=1,3.00,
    IF(arrears_months=2,5.00,
    IF(arrears_months=3,8.00,
    IF(arrears_months=4,10.00,
    IF(arrears_months=5,12.00,15.00)))))))</f>
        <v/>
      </c>
      <c r="M9560">
        <f>LET(
    seasoning_years,DATEDIF('Loan Tape (S&amp;P)'!K9560,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60">
        <f>IF(AND('Loan Tape (S&amp;P)'!U9560="Yes",
        'Loan Tape (S&amp;P)'!T9560&lt;&gt;"Yes",
        DATEDIF('Loan Tape (S&amp;P)'!K9560, TODAY(), "M")&lt;18),
    1.10,
    1.00)</f>
        <v/>
      </c>
      <c r="O9560">
        <f>IF('Loan Tape (S&amp;P)'!T9560="Yes",
    1.35,
    1.00)</f>
        <v/>
      </c>
      <c r="P9560">
        <f>IF('Loan Tape (S&amp;P)'!S9560="Yes",
    1.15,
    1.00)</f>
        <v/>
      </c>
      <c r="Q9560">
        <f>IF('Loan Tape (S&amp;P)'!V9560="Yes",
    1.20,
    1.00)</f>
        <v/>
      </c>
      <c r="T9560">
        <f>LET(
    payment_method,'Loan Tape (S&amp;P)'!P9560,
    occupancy,'Loan Tape (S&amp;P)'!N9560,
    maturity_date,'Loan Tape (S&amp;P)'!L9560,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61">
      <c r="J9561">
        <f>LET(
    lien,'Loan Tape (S&amp;P)'!Q9561,
    IF(lien="First",1.00,
        IF(lien="Second",1.50,
            1.70)))</f>
        <v/>
      </c>
      <c r="K9561">
        <f>LET(
    purpose,'Loan Tape (S&amp;P)'!R9561,
    IF(purpose="Purchase",1.00,
        IF(purpose="Remortgage",1.00,
            1.20)))</f>
        <v/>
      </c>
      <c r="L9561">
        <f>LET(
    arrears_months,'Loan Tape (S&amp;P)'!AN9561,
    IF(arrears_months=0,1.00,
    IF(arrears_months=1,3.00,
    IF(arrears_months=2,5.00,
    IF(arrears_months=3,8.00,
    IF(arrears_months=4,10.00,
    IF(arrears_months=5,12.00,15.00)))))))</f>
        <v/>
      </c>
      <c r="M9561">
        <f>LET(
    seasoning_years,DATEDIF('Loan Tape (S&amp;P)'!K9561,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61">
        <f>IF(AND('Loan Tape (S&amp;P)'!U9561="Yes",
        'Loan Tape (S&amp;P)'!T9561&lt;&gt;"Yes",
        DATEDIF('Loan Tape (S&amp;P)'!K9561, TODAY(), "M")&lt;18),
    1.10,
    1.00)</f>
        <v/>
      </c>
      <c r="O9561">
        <f>IF('Loan Tape (S&amp;P)'!T9561="Yes",
    1.35,
    1.00)</f>
        <v/>
      </c>
      <c r="P9561">
        <f>IF('Loan Tape (S&amp;P)'!S9561="Yes",
    1.15,
    1.00)</f>
        <v/>
      </c>
      <c r="Q9561">
        <f>IF('Loan Tape (S&amp;P)'!V9561="Yes",
    1.20,
    1.00)</f>
        <v/>
      </c>
      <c r="T9561">
        <f>LET(
    payment_method,'Loan Tape (S&amp;P)'!P9561,
    occupancy,'Loan Tape (S&amp;P)'!N9561,
    maturity_date,'Loan Tape (S&amp;P)'!L9561,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62">
      <c r="J9562">
        <f>LET(
    lien,'Loan Tape (S&amp;P)'!Q9562,
    IF(lien="First",1.00,
        IF(lien="Second",1.50,
            1.70)))</f>
        <v/>
      </c>
      <c r="K9562">
        <f>LET(
    purpose,'Loan Tape (S&amp;P)'!R9562,
    IF(purpose="Purchase",1.00,
        IF(purpose="Remortgage",1.00,
            1.20)))</f>
        <v/>
      </c>
      <c r="L9562">
        <f>LET(
    arrears_months,'Loan Tape (S&amp;P)'!AN9562,
    IF(arrears_months=0,1.00,
    IF(arrears_months=1,3.00,
    IF(arrears_months=2,5.00,
    IF(arrears_months=3,8.00,
    IF(arrears_months=4,10.00,
    IF(arrears_months=5,12.00,15.00)))))))</f>
        <v/>
      </c>
      <c r="M9562">
        <f>LET(
    seasoning_years,DATEDIF('Loan Tape (S&amp;P)'!K9562,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62">
        <f>IF(AND('Loan Tape (S&amp;P)'!U9562="Yes",
        'Loan Tape (S&amp;P)'!T9562&lt;&gt;"Yes",
        DATEDIF('Loan Tape (S&amp;P)'!K9562, TODAY(), "M")&lt;18),
    1.10,
    1.00)</f>
        <v/>
      </c>
      <c r="O9562">
        <f>IF('Loan Tape (S&amp;P)'!T9562="Yes",
    1.35,
    1.00)</f>
        <v/>
      </c>
      <c r="P9562">
        <f>IF('Loan Tape (S&amp;P)'!S9562="Yes",
    1.15,
    1.00)</f>
        <v/>
      </c>
      <c r="Q9562">
        <f>IF('Loan Tape (S&amp;P)'!V9562="Yes",
    1.20,
    1.00)</f>
        <v/>
      </c>
      <c r="T9562">
        <f>LET(
    payment_method,'Loan Tape (S&amp;P)'!P9562,
    occupancy,'Loan Tape (S&amp;P)'!N9562,
    maturity_date,'Loan Tape (S&amp;P)'!L9562,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63">
      <c r="J9563">
        <f>LET(
    lien,'Loan Tape (S&amp;P)'!Q9563,
    IF(lien="First",1.00,
        IF(lien="Second",1.50,
            1.70)))</f>
        <v/>
      </c>
      <c r="K9563">
        <f>LET(
    purpose,'Loan Tape (S&amp;P)'!R9563,
    IF(purpose="Purchase",1.00,
        IF(purpose="Remortgage",1.00,
            1.20)))</f>
        <v/>
      </c>
      <c r="L9563">
        <f>LET(
    arrears_months,'Loan Tape (S&amp;P)'!AN9563,
    IF(arrears_months=0,1.00,
    IF(arrears_months=1,3.00,
    IF(arrears_months=2,5.00,
    IF(arrears_months=3,8.00,
    IF(arrears_months=4,10.00,
    IF(arrears_months=5,12.00,15.00)))))))</f>
        <v/>
      </c>
      <c r="M9563">
        <f>LET(
    seasoning_years,DATEDIF('Loan Tape (S&amp;P)'!K9563,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63">
        <f>IF(AND('Loan Tape (S&amp;P)'!U9563="Yes",
        'Loan Tape (S&amp;P)'!T9563&lt;&gt;"Yes",
        DATEDIF('Loan Tape (S&amp;P)'!K9563, TODAY(), "M")&lt;18),
    1.10,
    1.00)</f>
        <v/>
      </c>
      <c r="O9563">
        <f>IF('Loan Tape (S&amp;P)'!T9563="Yes",
    1.35,
    1.00)</f>
        <v/>
      </c>
      <c r="P9563">
        <f>IF('Loan Tape (S&amp;P)'!S9563="Yes",
    1.15,
    1.00)</f>
        <v/>
      </c>
      <c r="Q9563">
        <f>IF('Loan Tape (S&amp;P)'!V9563="Yes",
    1.20,
    1.00)</f>
        <v/>
      </c>
      <c r="T9563">
        <f>LET(
    payment_method,'Loan Tape (S&amp;P)'!P9563,
    occupancy,'Loan Tape (S&amp;P)'!N9563,
    maturity_date,'Loan Tape (S&amp;P)'!L9563,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64">
      <c r="J9564">
        <f>LET(
    lien,'Loan Tape (S&amp;P)'!Q9564,
    IF(lien="First",1.00,
        IF(lien="Second",1.50,
            1.70)))</f>
        <v/>
      </c>
      <c r="K9564">
        <f>LET(
    purpose,'Loan Tape (S&amp;P)'!R9564,
    IF(purpose="Purchase",1.00,
        IF(purpose="Remortgage",1.00,
            1.20)))</f>
        <v/>
      </c>
      <c r="L9564">
        <f>LET(
    arrears_months,'Loan Tape (S&amp;P)'!AN9564,
    IF(arrears_months=0,1.00,
    IF(arrears_months=1,3.00,
    IF(arrears_months=2,5.00,
    IF(arrears_months=3,8.00,
    IF(arrears_months=4,10.00,
    IF(arrears_months=5,12.00,15.00)))))))</f>
        <v/>
      </c>
      <c r="M9564">
        <f>LET(
    seasoning_years,DATEDIF('Loan Tape (S&amp;P)'!K9564,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64">
        <f>IF(AND('Loan Tape (S&amp;P)'!U9564="Yes",
        'Loan Tape (S&amp;P)'!T9564&lt;&gt;"Yes",
        DATEDIF('Loan Tape (S&amp;P)'!K9564, TODAY(), "M")&lt;18),
    1.10,
    1.00)</f>
        <v/>
      </c>
      <c r="O9564">
        <f>IF('Loan Tape (S&amp;P)'!T9564="Yes",
    1.35,
    1.00)</f>
        <v/>
      </c>
      <c r="P9564">
        <f>IF('Loan Tape (S&amp;P)'!S9564="Yes",
    1.15,
    1.00)</f>
        <v/>
      </c>
      <c r="Q9564">
        <f>IF('Loan Tape (S&amp;P)'!V9564="Yes",
    1.20,
    1.00)</f>
        <v/>
      </c>
      <c r="T9564">
        <f>LET(
    payment_method,'Loan Tape (S&amp;P)'!P9564,
    occupancy,'Loan Tape (S&amp;P)'!N9564,
    maturity_date,'Loan Tape (S&amp;P)'!L9564,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65">
      <c r="J9565">
        <f>LET(
    lien,'Loan Tape (S&amp;P)'!Q9565,
    IF(lien="First",1.00,
        IF(lien="Second",1.50,
            1.70)))</f>
        <v/>
      </c>
      <c r="K9565">
        <f>LET(
    purpose,'Loan Tape (S&amp;P)'!R9565,
    IF(purpose="Purchase",1.00,
        IF(purpose="Remortgage",1.00,
            1.20)))</f>
        <v/>
      </c>
      <c r="L9565">
        <f>LET(
    arrears_months,'Loan Tape (S&amp;P)'!AN9565,
    IF(arrears_months=0,1.00,
    IF(arrears_months=1,3.00,
    IF(arrears_months=2,5.00,
    IF(arrears_months=3,8.00,
    IF(arrears_months=4,10.00,
    IF(arrears_months=5,12.00,15.00)))))))</f>
        <v/>
      </c>
      <c r="M9565">
        <f>LET(
    seasoning_years,DATEDIF('Loan Tape (S&amp;P)'!K9565,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65">
        <f>IF(AND('Loan Tape (S&amp;P)'!U9565="Yes",
        'Loan Tape (S&amp;P)'!T9565&lt;&gt;"Yes",
        DATEDIF('Loan Tape (S&amp;P)'!K9565, TODAY(), "M")&lt;18),
    1.10,
    1.00)</f>
        <v/>
      </c>
      <c r="O9565">
        <f>IF('Loan Tape (S&amp;P)'!T9565="Yes",
    1.35,
    1.00)</f>
        <v/>
      </c>
      <c r="P9565">
        <f>IF('Loan Tape (S&amp;P)'!S9565="Yes",
    1.15,
    1.00)</f>
        <v/>
      </c>
      <c r="Q9565">
        <f>IF('Loan Tape (S&amp;P)'!V9565="Yes",
    1.20,
    1.00)</f>
        <v/>
      </c>
      <c r="T9565">
        <f>LET(
    payment_method,'Loan Tape (S&amp;P)'!P9565,
    occupancy,'Loan Tape (S&amp;P)'!N9565,
    maturity_date,'Loan Tape (S&amp;P)'!L9565,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66">
      <c r="J9566">
        <f>LET(
    lien,'Loan Tape (S&amp;P)'!Q9566,
    IF(lien="First",1.00,
        IF(lien="Second",1.50,
            1.70)))</f>
        <v/>
      </c>
      <c r="K9566">
        <f>LET(
    purpose,'Loan Tape (S&amp;P)'!R9566,
    IF(purpose="Purchase",1.00,
        IF(purpose="Remortgage",1.00,
            1.20)))</f>
        <v/>
      </c>
      <c r="L9566">
        <f>LET(
    arrears_months,'Loan Tape (S&amp;P)'!AN9566,
    IF(arrears_months=0,1.00,
    IF(arrears_months=1,3.00,
    IF(arrears_months=2,5.00,
    IF(arrears_months=3,8.00,
    IF(arrears_months=4,10.00,
    IF(arrears_months=5,12.00,15.00)))))))</f>
        <v/>
      </c>
      <c r="M9566">
        <f>LET(
    seasoning_years,DATEDIF('Loan Tape (S&amp;P)'!K9566,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66">
        <f>IF(AND('Loan Tape (S&amp;P)'!U9566="Yes",
        'Loan Tape (S&amp;P)'!T9566&lt;&gt;"Yes",
        DATEDIF('Loan Tape (S&amp;P)'!K9566, TODAY(), "M")&lt;18),
    1.10,
    1.00)</f>
        <v/>
      </c>
      <c r="O9566">
        <f>IF('Loan Tape (S&amp;P)'!T9566="Yes",
    1.35,
    1.00)</f>
        <v/>
      </c>
      <c r="P9566">
        <f>IF('Loan Tape (S&amp;P)'!S9566="Yes",
    1.15,
    1.00)</f>
        <v/>
      </c>
      <c r="Q9566">
        <f>IF('Loan Tape (S&amp;P)'!V9566="Yes",
    1.20,
    1.00)</f>
        <v/>
      </c>
      <c r="T9566">
        <f>LET(
    payment_method,'Loan Tape (S&amp;P)'!P9566,
    occupancy,'Loan Tape (S&amp;P)'!N9566,
    maturity_date,'Loan Tape (S&amp;P)'!L9566,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67">
      <c r="J9567">
        <f>LET(
    lien,'Loan Tape (S&amp;P)'!Q9567,
    IF(lien="First",1.00,
        IF(lien="Second",1.50,
            1.70)))</f>
        <v/>
      </c>
      <c r="K9567">
        <f>LET(
    purpose,'Loan Tape (S&amp;P)'!R9567,
    IF(purpose="Purchase",1.00,
        IF(purpose="Remortgage",1.00,
            1.20)))</f>
        <v/>
      </c>
      <c r="L9567">
        <f>LET(
    arrears_months,'Loan Tape (S&amp;P)'!AN9567,
    IF(arrears_months=0,1.00,
    IF(arrears_months=1,3.00,
    IF(arrears_months=2,5.00,
    IF(arrears_months=3,8.00,
    IF(arrears_months=4,10.00,
    IF(arrears_months=5,12.00,15.00)))))))</f>
        <v/>
      </c>
      <c r="M9567">
        <f>LET(
    seasoning_years,DATEDIF('Loan Tape (S&amp;P)'!K9567,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67">
        <f>IF(AND('Loan Tape (S&amp;P)'!U9567="Yes",
        'Loan Tape (S&amp;P)'!T9567&lt;&gt;"Yes",
        DATEDIF('Loan Tape (S&amp;P)'!K9567, TODAY(), "M")&lt;18),
    1.10,
    1.00)</f>
        <v/>
      </c>
      <c r="O9567">
        <f>IF('Loan Tape (S&amp;P)'!T9567="Yes",
    1.35,
    1.00)</f>
        <v/>
      </c>
      <c r="P9567">
        <f>IF('Loan Tape (S&amp;P)'!S9567="Yes",
    1.15,
    1.00)</f>
        <v/>
      </c>
      <c r="Q9567">
        <f>IF('Loan Tape (S&amp;P)'!V9567="Yes",
    1.20,
    1.00)</f>
        <v/>
      </c>
      <c r="T9567">
        <f>LET(
    payment_method,'Loan Tape (S&amp;P)'!P9567,
    occupancy,'Loan Tape (S&amp;P)'!N9567,
    maturity_date,'Loan Tape (S&amp;P)'!L9567,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68">
      <c r="J9568">
        <f>LET(
    lien,'Loan Tape (S&amp;P)'!Q9568,
    IF(lien="First",1.00,
        IF(lien="Second",1.50,
            1.70)))</f>
        <v/>
      </c>
      <c r="K9568">
        <f>LET(
    purpose,'Loan Tape (S&amp;P)'!R9568,
    IF(purpose="Purchase",1.00,
        IF(purpose="Remortgage",1.00,
            1.20)))</f>
        <v/>
      </c>
      <c r="L9568">
        <f>LET(
    arrears_months,'Loan Tape (S&amp;P)'!AN9568,
    IF(arrears_months=0,1.00,
    IF(arrears_months=1,3.00,
    IF(arrears_months=2,5.00,
    IF(arrears_months=3,8.00,
    IF(arrears_months=4,10.00,
    IF(arrears_months=5,12.00,15.00)))))))</f>
        <v/>
      </c>
      <c r="M9568">
        <f>LET(
    seasoning_years,DATEDIF('Loan Tape (S&amp;P)'!K9568,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68">
        <f>IF(AND('Loan Tape (S&amp;P)'!U9568="Yes",
        'Loan Tape (S&amp;P)'!T9568&lt;&gt;"Yes",
        DATEDIF('Loan Tape (S&amp;P)'!K9568, TODAY(), "M")&lt;18),
    1.10,
    1.00)</f>
        <v/>
      </c>
      <c r="O9568">
        <f>IF('Loan Tape (S&amp;P)'!T9568="Yes",
    1.35,
    1.00)</f>
        <v/>
      </c>
      <c r="P9568">
        <f>IF('Loan Tape (S&amp;P)'!S9568="Yes",
    1.15,
    1.00)</f>
        <v/>
      </c>
      <c r="Q9568">
        <f>IF('Loan Tape (S&amp;P)'!V9568="Yes",
    1.20,
    1.00)</f>
        <v/>
      </c>
      <c r="T9568">
        <f>LET(
    payment_method,'Loan Tape (S&amp;P)'!P9568,
    occupancy,'Loan Tape (S&amp;P)'!N9568,
    maturity_date,'Loan Tape (S&amp;P)'!L9568,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69">
      <c r="J9569">
        <f>LET(
    lien,'Loan Tape (S&amp;P)'!Q9569,
    IF(lien="First",1.00,
        IF(lien="Second",1.50,
            1.70)))</f>
        <v/>
      </c>
      <c r="K9569">
        <f>LET(
    purpose,'Loan Tape (S&amp;P)'!R9569,
    IF(purpose="Purchase",1.00,
        IF(purpose="Remortgage",1.00,
            1.20)))</f>
        <v/>
      </c>
      <c r="L9569">
        <f>LET(
    arrears_months,'Loan Tape (S&amp;P)'!AN9569,
    IF(arrears_months=0,1.00,
    IF(arrears_months=1,3.00,
    IF(arrears_months=2,5.00,
    IF(arrears_months=3,8.00,
    IF(arrears_months=4,10.00,
    IF(arrears_months=5,12.00,15.00)))))))</f>
        <v/>
      </c>
      <c r="M9569">
        <f>LET(
    seasoning_years,DATEDIF('Loan Tape (S&amp;P)'!K9569,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69">
        <f>IF(AND('Loan Tape (S&amp;P)'!U9569="Yes",
        'Loan Tape (S&amp;P)'!T9569&lt;&gt;"Yes",
        DATEDIF('Loan Tape (S&amp;P)'!K9569, TODAY(), "M")&lt;18),
    1.10,
    1.00)</f>
        <v/>
      </c>
      <c r="O9569">
        <f>IF('Loan Tape (S&amp;P)'!T9569="Yes",
    1.35,
    1.00)</f>
        <v/>
      </c>
      <c r="P9569">
        <f>IF('Loan Tape (S&amp;P)'!S9569="Yes",
    1.15,
    1.00)</f>
        <v/>
      </c>
      <c r="Q9569">
        <f>IF('Loan Tape (S&amp;P)'!V9569="Yes",
    1.20,
    1.00)</f>
        <v/>
      </c>
      <c r="T9569">
        <f>LET(
    payment_method,'Loan Tape (S&amp;P)'!P9569,
    occupancy,'Loan Tape (S&amp;P)'!N9569,
    maturity_date,'Loan Tape (S&amp;P)'!L9569,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70">
      <c r="J9570">
        <f>LET(
    lien,'Loan Tape (S&amp;P)'!Q9570,
    IF(lien="First",1.00,
        IF(lien="Second",1.50,
            1.70)))</f>
        <v/>
      </c>
      <c r="K9570">
        <f>LET(
    purpose,'Loan Tape (S&amp;P)'!R9570,
    IF(purpose="Purchase",1.00,
        IF(purpose="Remortgage",1.00,
            1.20)))</f>
        <v/>
      </c>
      <c r="L9570">
        <f>LET(
    arrears_months,'Loan Tape (S&amp;P)'!AN9570,
    IF(arrears_months=0,1.00,
    IF(arrears_months=1,3.00,
    IF(arrears_months=2,5.00,
    IF(arrears_months=3,8.00,
    IF(arrears_months=4,10.00,
    IF(arrears_months=5,12.00,15.00)))))))</f>
        <v/>
      </c>
      <c r="M9570">
        <f>LET(
    seasoning_years,DATEDIF('Loan Tape (S&amp;P)'!K9570,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70">
        <f>IF(AND('Loan Tape (S&amp;P)'!U9570="Yes",
        'Loan Tape (S&amp;P)'!T9570&lt;&gt;"Yes",
        DATEDIF('Loan Tape (S&amp;P)'!K9570, TODAY(), "M")&lt;18),
    1.10,
    1.00)</f>
        <v/>
      </c>
      <c r="O9570">
        <f>IF('Loan Tape (S&amp;P)'!T9570="Yes",
    1.35,
    1.00)</f>
        <v/>
      </c>
      <c r="P9570">
        <f>IF('Loan Tape (S&amp;P)'!S9570="Yes",
    1.15,
    1.00)</f>
        <v/>
      </c>
      <c r="Q9570">
        <f>IF('Loan Tape (S&amp;P)'!V9570="Yes",
    1.20,
    1.00)</f>
        <v/>
      </c>
      <c r="T9570">
        <f>LET(
    payment_method,'Loan Tape (S&amp;P)'!P9570,
    occupancy,'Loan Tape (S&amp;P)'!N9570,
    maturity_date,'Loan Tape (S&amp;P)'!L9570,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71">
      <c r="J9571">
        <f>LET(
    lien,'Loan Tape (S&amp;P)'!Q9571,
    IF(lien="First",1.00,
        IF(lien="Second",1.50,
            1.70)))</f>
        <v/>
      </c>
      <c r="K9571">
        <f>LET(
    purpose,'Loan Tape (S&amp;P)'!R9571,
    IF(purpose="Purchase",1.00,
        IF(purpose="Remortgage",1.00,
            1.20)))</f>
        <v/>
      </c>
      <c r="L9571">
        <f>LET(
    arrears_months,'Loan Tape (S&amp;P)'!AN9571,
    IF(arrears_months=0,1.00,
    IF(arrears_months=1,3.00,
    IF(arrears_months=2,5.00,
    IF(arrears_months=3,8.00,
    IF(arrears_months=4,10.00,
    IF(arrears_months=5,12.00,15.00)))))))</f>
        <v/>
      </c>
      <c r="M9571">
        <f>LET(
    seasoning_years,DATEDIF('Loan Tape (S&amp;P)'!K9571,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71">
        <f>IF(AND('Loan Tape (S&amp;P)'!U9571="Yes",
        'Loan Tape (S&amp;P)'!T9571&lt;&gt;"Yes",
        DATEDIF('Loan Tape (S&amp;P)'!K9571, TODAY(), "M")&lt;18),
    1.10,
    1.00)</f>
        <v/>
      </c>
      <c r="O9571">
        <f>IF('Loan Tape (S&amp;P)'!T9571="Yes",
    1.35,
    1.00)</f>
        <v/>
      </c>
      <c r="P9571">
        <f>IF('Loan Tape (S&amp;P)'!S9571="Yes",
    1.15,
    1.00)</f>
        <v/>
      </c>
      <c r="Q9571">
        <f>IF('Loan Tape (S&amp;P)'!V9571="Yes",
    1.20,
    1.00)</f>
        <v/>
      </c>
      <c r="T9571">
        <f>LET(
    payment_method,'Loan Tape (S&amp;P)'!P9571,
    occupancy,'Loan Tape (S&amp;P)'!N9571,
    maturity_date,'Loan Tape (S&amp;P)'!L9571,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72">
      <c r="J9572">
        <f>LET(
    lien,'Loan Tape (S&amp;P)'!Q9572,
    IF(lien="First",1.00,
        IF(lien="Second",1.50,
            1.70)))</f>
        <v/>
      </c>
      <c r="K9572">
        <f>LET(
    purpose,'Loan Tape (S&amp;P)'!R9572,
    IF(purpose="Purchase",1.00,
        IF(purpose="Remortgage",1.00,
            1.20)))</f>
        <v/>
      </c>
      <c r="L9572">
        <f>LET(
    arrears_months,'Loan Tape (S&amp;P)'!AN9572,
    IF(arrears_months=0,1.00,
    IF(arrears_months=1,3.00,
    IF(arrears_months=2,5.00,
    IF(arrears_months=3,8.00,
    IF(arrears_months=4,10.00,
    IF(arrears_months=5,12.00,15.00)))))))</f>
        <v/>
      </c>
      <c r="M9572">
        <f>LET(
    seasoning_years,DATEDIF('Loan Tape (S&amp;P)'!K9572,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72">
        <f>IF(AND('Loan Tape (S&amp;P)'!U9572="Yes",
        'Loan Tape (S&amp;P)'!T9572&lt;&gt;"Yes",
        DATEDIF('Loan Tape (S&amp;P)'!K9572, TODAY(), "M")&lt;18),
    1.10,
    1.00)</f>
        <v/>
      </c>
      <c r="O9572">
        <f>IF('Loan Tape (S&amp;P)'!T9572="Yes",
    1.35,
    1.00)</f>
        <v/>
      </c>
      <c r="P9572">
        <f>IF('Loan Tape (S&amp;P)'!S9572="Yes",
    1.15,
    1.00)</f>
        <v/>
      </c>
      <c r="Q9572">
        <f>IF('Loan Tape (S&amp;P)'!V9572="Yes",
    1.20,
    1.00)</f>
        <v/>
      </c>
      <c r="T9572">
        <f>LET(
    payment_method,'Loan Tape (S&amp;P)'!P9572,
    occupancy,'Loan Tape (S&amp;P)'!N9572,
    maturity_date,'Loan Tape (S&amp;P)'!L9572,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73">
      <c r="J9573">
        <f>LET(
    lien,'Loan Tape (S&amp;P)'!Q9573,
    IF(lien="First",1.00,
        IF(lien="Second",1.50,
            1.70)))</f>
        <v/>
      </c>
      <c r="K9573">
        <f>LET(
    purpose,'Loan Tape (S&amp;P)'!R9573,
    IF(purpose="Purchase",1.00,
        IF(purpose="Remortgage",1.00,
            1.20)))</f>
        <v/>
      </c>
      <c r="L9573">
        <f>LET(
    arrears_months,'Loan Tape (S&amp;P)'!AN9573,
    IF(arrears_months=0,1.00,
    IF(arrears_months=1,3.00,
    IF(arrears_months=2,5.00,
    IF(arrears_months=3,8.00,
    IF(arrears_months=4,10.00,
    IF(arrears_months=5,12.00,15.00)))))))</f>
        <v/>
      </c>
      <c r="M9573">
        <f>LET(
    seasoning_years,DATEDIF('Loan Tape (S&amp;P)'!K9573,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73">
        <f>IF(AND('Loan Tape (S&amp;P)'!U9573="Yes",
        'Loan Tape (S&amp;P)'!T9573&lt;&gt;"Yes",
        DATEDIF('Loan Tape (S&amp;P)'!K9573, TODAY(), "M")&lt;18),
    1.10,
    1.00)</f>
        <v/>
      </c>
      <c r="O9573">
        <f>IF('Loan Tape (S&amp;P)'!T9573="Yes",
    1.35,
    1.00)</f>
        <v/>
      </c>
      <c r="P9573">
        <f>IF('Loan Tape (S&amp;P)'!S9573="Yes",
    1.15,
    1.00)</f>
        <v/>
      </c>
      <c r="Q9573">
        <f>IF('Loan Tape (S&amp;P)'!V9573="Yes",
    1.20,
    1.00)</f>
        <v/>
      </c>
      <c r="T9573">
        <f>LET(
    payment_method,'Loan Tape (S&amp;P)'!P9573,
    occupancy,'Loan Tape (S&amp;P)'!N9573,
    maturity_date,'Loan Tape (S&amp;P)'!L9573,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74">
      <c r="J9574">
        <f>LET(
    lien,'Loan Tape (S&amp;P)'!Q9574,
    IF(lien="First",1.00,
        IF(lien="Second",1.50,
            1.70)))</f>
        <v/>
      </c>
      <c r="K9574">
        <f>LET(
    purpose,'Loan Tape (S&amp;P)'!R9574,
    IF(purpose="Purchase",1.00,
        IF(purpose="Remortgage",1.00,
            1.20)))</f>
        <v/>
      </c>
      <c r="L9574">
        <f>LET(
    arrears_months,'Loan Tape (S&amp;P)'!AN9574,
    IF(arrears_months=0,1.00,
    IF(arrears_months=1,3.00,
    IF(arrears_months=2,5.00,
    IF(arrears_months=3,8.00,
    IF(arrears_months=4,10.00,
    IF(arrears_months=5,12.00,15.00)))))))</f>
        <v/>
      </c>
      <c r="M9574">
        <f>LET(
    seasoning_years,DATEDIF('Loan Tape (S&amp;P)'!K9574,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74">
        <f>IF(AND('Loan Tape (S&amp;P)'!U9574="Yes",
        'Loan Tape (S&amp;P)'!T9574&lt;&gt;"Yes",
        DATEDIF('Loan Tape (S&amp;P)'!K9574, TODAY(), "M")&lt;18),
    1.10,
    1.00)</f>
        <v/>
      </c>
      <c r="O9574">
        <f>IF('Loan Tape (S&amp;P)'!T9574="Yes",
    1.35,
    1.00)</f>
        <v/>
      </c>
      <c r="P9574">
        <f>IF('Loan Tape (S&amp;P)'!S9574="Yes",
    1.15,
    1.00)</f>
        <v/>
      </c>
      <c r="Q9574">
        <f>IF('Loan Tape (S&amp;P)'!V9574="Yes",
    1.20,
    1.00)</f>
        <v/>
      </c>
      <c r="T9574">
        <f>LET(
    payment_method,'Loan Tape (S&amp;P)'!P9574,
    occupancy,'Loan Tape (S&amp;P)'!N9574,
    maturity_date,'Loan Tape (S&amp;P)'!L9574,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75">
      <c r="J9575">
        <f>LET(
    lien,'Loan Tape (S&amp;P)'!Q9575,
    IF(lien="First",1.00,
        IF(lien="Second",1.50,
            1.70)))</f>
        <v/>
      </c>
      <c r="K9575">
        <f>LET(
    purpose,'Loan Tape (S&amp;P)'!R9575,
    IF(purpose="Purchase",1.00,
        IF(purpose="Remortgage",1.00,
            1.20)))</f>
        <v/>
      </c>
      <c r="L9575">
        <f>LET(
    arrears_months,'Loan Tape (S&amp;P)'!AN9575,
    IF(arrears_months=0,1.00,
    IF(arrears_months=1,3.00,
    IF(arrears_months=2,5.00,
    IF(arrears_months=3,8.00,
    IF(arrears_months=4,10.00,
    IF(arrears_months=5,12.00,15.00)))))))</f>
        <v/>
      </c>
      <c r="M9575">
        <f>LET(
    seasoning_years,DATEDIF('Loan Tape (S&amp;P)'!K9575,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75">
        <f>IF(AND('Loan Tape (S&amp;P)'!U9575="Yes",
        'Loan Tape (S&amp;P)'!T9575&lt;&gt;"Yes",
        DATEDIF('Loan Tape (S&amp;P)'!K9575, TODAY(), "M")&lt;18),
    1.10,
    1.00)</f>
        <v/>
      </c>
      <c r="O9575">
        <f>IF('Loan Tape (S&amp;P)'!T9575="Yes",
    1.35,
    1.00)</f>
        <v/>
      </c>
      <c r="P9575">
        <f>IF('Loan Tape (S&amp;P)'!S9575="Yes",
    1.15,
    1.00)</f>
        <v/>
      </c>
      <c r="Q9575">
        <f>IF('Loan Tape (S&amp;P)'!V9575="Yes",
    1.20,
    1.00)</f>
        <v/>
      </c>
      <c r="T9575">
        <f>LET(
    payment_method,'Loan Tape (S&amp;P)'!P9575,
    occupancy,'Loan Tape (S&amp;P)'!N9575,
    maturity_date,'Loan Tape (S&amp;P)'!L9575,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76">
      <c r="J9576">
        <f>LET(
    lien,'Loan Tape (S&amp;P)'!Q9576,
    IF(lien="First",1.00,
        IF(lien="Second",1.50,
            1.70)))</f>
        <v/>
      </c>
      <c r="K9576">
        <f>LET(
    purpose,'Loan Tape (S&amp;P)'!R9576,
    IF(purpose="Purchase",1.00,
        IF(purpose="Remortgage",1.00,
            1.20)))</f>
        <v/>
      </c>
      <c r="L9576">
        <f>LET(
    arrears_months,'Loan Tape (S&amp;P)'!AN9576,
    IF(arrears_months=0,1.00,
    IF(arrears_months=1,3.00,
    IF(arrears_months=2,5.00,
    IF(arrears_months=3,8.00,
    IF(arrears_months=4,10.00,
    IF(arrears_months=5,12.00,15.00)))))))</f>
        <v/>
      </c>
      <c r="M9576">
        <f>LET(
    seasoning_years,DATEDIF('Loan Tape (S&amp;P)'!K9576,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76">
        <f>IF(AND('Loan Tape (S&amp;P)'!U9576="Yes",
        'Loan Tape (S&amp;P)'!T9576&lt;&gt;"Yes",
        DATEDIF('Loan Tape (S&amp;P)'!K9576, TODAY(), "M")&lt;18),
    1.10,
    1.00)</f>
        <v/>
      </c>
      <c r="O9576">
        <f>IF('Loan Tape (S&amp;P)'!T9576="Yes",
    1.35,
    1.00)</f>
        <v/>
      </c>
      <c r="P9576">
        <f>IF('Loan Tape (S&amp;P)'!S9576="Yes",
    1.15,
    1.00)</f>
        <v/>
      </c>
      <c r="Q9576">
        <f>IF('Loan Tape (S&amp;P)'!V9576="Yes",
    1.20,
    1.00)</f>
        <v/>
      </c>
      <c r="T9576">
        <f>LET(
    payment_method,'Loan Tape (S&amp;P)'!P9576,
    occupancy,'Loan Tape (S&amp;P)'!N9576,
    maturity_date,'Loan Tape (S&amp;P)'!L9576,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77">
      <c r="J9577">
        <f>LET(
    lien,'Loan Tape (S&amp;P)'!Q9577,
    IF(lien="First",1.00,
        IF(lien="Second",1.50,
            1.70)))</f>
        <v/>
      </c>
      <c r="K9577">
        <f>LET(
    purpose,'Loan Tape (S&amp;P)'!R9577,
    IF(purpose="Purchase",1.00,
        IF(purpose="Remortgage",1.00,
            1.20)))</f>
        <v/>
      </c>
      <c r="L9577">
        <f>LET(
    arrears_months,'Loan Tape (S&amp;P)'!AN9577,
    IF(arrears_months=0,1.00,
    IF(arrears_months=1,3.00,
    IF(arrears_months=2,5.00,
    IF(arrears_months=3,8.00,
    IF(arrears_months=4,10.00,
    IF(arrears_months=5,12.00,15.00)))))))</f>
        <v/>
      </c>
      <c r="M9577">
        <f>LET(
    seasoning_years,DATEDIF('Loan Tape (S&amp;P)'!K9577,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77">
        <f>IF(AND('Loan Tape (S&amp;P)'!U9577="Yes",
        'Loan Tape (S&amp;P)'!T9577&lt;&gt;"Yes",
        DATEDIF('Loan Tape (S&amp;P)'!K9577, TODAY(), "M")&lt;18),
    1.10,
    1.00)</f>
        <v/>
      </c>
      <c r="O9577">
        <f>IF('Loan Tape (S&amp;P)'!T9577="Yes",
    1.35,
    1.00)</f>
        <v/>
      </c>
      <c r="P9577">
        <f>IF('Loan Tape (S&amp;P)'!S9577="Yes",
    1.15,
    1.00)</f>
        <v/>
      </c>
      <c r="Q9577">
        <f>IF('Loan Tape (S&amp;P)'!V9577="Yes",
    1.20,
    1.00)</f>
        <v/>
      </c>
      <c r="T9577">
        <f>LET(
    payment_method,'Loan Tape (S&amp;P)'!P9577,
    occupancy,'Loan Tape (S&amp;P)'!N9577,
    maturity_date,'Loan Tape (S&amp;P)'!L9577,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78">
      <c r="J9578">
        <f>LET(
    lien,'Loan Tape (S&amp;P)'!Q9578,
    IF(lien="First",1.00,
        IF(lien="Second",1.50,
            1.70)))</f>
        <v/>
      </c>
      <c r="K9578">
        <f>LET(
    purpose,'Loan Tape (S&amp;P)'!R9578,
    IF(purpose="Purchase",1.00,
        IF(purpose="Remortgage",1.00,
            1.20)))</f>
        <v/>
      </c>
      <c r="L9578">
        <f>LET(
    arrears_months,'Loan Tape (S&amp;P)'!AN9578,
    IF(arrears_months=0,1.00,
    IF(arrears_months=1,3.00,
    IF(arrears_months=2,5.00,
    IF(arrears_months=3,8.00,
    IF(arrears_months=4,10.00,
    IF(arrears_months=5,12.00,15.00)))))))</f>
        <v/>
      </c>
      <c r="M9578">
        <f>LET(
    seasoning_years,DATEDIF('Loan Tape (S&amp;P)'!K9578,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78">
        <f>IF(AND('Loan Tape (S&amp;P)'!U9578="Yes",
        'Loan Tape (S&amp;P)'!T9578&lt;&gt;"Yes",
        DATEDIF('Loan Tape (S&amp;P)'!K9578, TODAY(), "M")&lt;18),
    1.10,
    1.00)</f>
        <v/>
      </c>
      <c r="O9578">
        <f>IF('Loan Tape (S&amp;P)'!T9578="Yes",
    1.35,
    1.00)</f>
        <v/>
      </c>
      <c r="P9578">
        <f>IF('Loan Tape (S&amp;P)'!S9578="Yes",
    1.15,
    1.00)</f>
        <v/>
      </c>
      <c r="Q9578">
        <f>IF('Loan Tape (S&amp;P)'!V9578="Yes",
    1.20,
    1.00)</f>
        <v/>
      </c>
      <c r="T9578">
        <f>LET(
    payment_method,'Loan Tape (S&amp;P)'!P9578,
    occupancy,'Loan Tape (S&amp;P)'!N9578,
    maturity_date,'Loan Tape (S&amp;P)'!L9578,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79">
      <c r="J9579">
        <f>LET(
    lien,'Loan Tape (S&amp;P)'!Q9579,
    IF(lien="First",1.00,
        IF(lien="Second",1.50,
            1.70)))</f>
        <v/>
      </c>
      <c r="K9579">
        <f>LET(
    purpose,'Loan Tape (S&amp;P)'!R9579,
    IF(purpose="Purchase",1.00,
        IF(purpose="Remortgage",1.00,
            1.20)))</f>
        <v/>
      </c>
      <c r="L9579">
        <f>LET(
    arrears_months,'Loan Tape (S&amp;P)'!AN9579,
    IF(arrears_months=0,1.00,
    IF(arrears_months=1,3.00,
    IF(arrears_months=2,5.00,
    IF(arrears_months=3,8.00,
    IF(arrears_months=4,10.00,
    IF(arrears_months=5,12.00,15.00)))))))</f>
        <v/>
      </c>
      <c r="M9579">
        <f>LET(
    seasoning_years,DATEDIF('Loan Tape (S&amp;P)'!K9579,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79">
        <f>IF(AND('Loan Tape (S&amp;P)'!U9579="Yes",
        'Loan Tape (S&amp;P)'!T9579&lt;&gt;"Yes",
        DATEDIF('Loan Tape (S&amp;P)'!K9579, TODAY(), "M")&lt;18),
    1.10,
    1.00)</f>
        <v/>
      </c>
      <c r="O9579">
        <f>IF('Loan Tape (S&amp;P)'!T9579="Yes",
    1.35,
    1.00)</f>
        <v/>
      </c>
      <c r="P9579">
        <f>IF('Loan Tape (S&amp;P)'!S9579="Yes",
    1.15,
    1.00)</f>
        <v/>
      </c>
      <c r="Q9579">
        <f>IF('Loan Tape (S&amp;P)'!V9579="Yes",
    1.20,
    1.00)</f>
        <v/>
      </c>
      <c r="T9579">
        <f>LET(
    payment_method,'Loan Tape (S&amp;P)'!P9579,
    occupancy,'Loan Tape (S&amp;P)'!N9579,
    maturity_date,'Loan Tape (S&amp;P)'!L9579,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80">
      <c r="J9580">
        <f>LET(
    lien,'Loan Tape (S&amp;P)'!Q9580,
    IF(lien="First",1.00,
        IF(lien="Second",1.50,
            1.70)))</f>
        <v/>
      </c>
      <c r="K9580">
        <f>LET(
    purpose,'Loan Tape (S&amp;P)'!R9580,
    IF(purpose="Purchase",1.00,
        IF(purpose="Remortgage",1.00,
            1.20)))</f>
        <v/>
      </c>
      <c r="L9580">
        <f>LET(
    arrears_months,'Loan Tape (S&amp;P)'!AN9580,
    IF(arrears_months=0,1.00,
    IF(arrears_months=1,3.00,
    IF(arrears_months=2,5.00,
    IF(arrears_months=3,8.00,
    IF(arrears_months=4,10.00,
    IF(arrears_months=5,12.00,15.00)))))))</f>
        <v/>
      </c>
      <c r="M9580">
        <f>LET(
    seasoning_years,DATEDIF('Loan Tape (S&amp;P)'!K9580,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80">
        <f>IF(AND('Loan Tape (S&amp;P)'!U9580="Yes",
        'Loan Tape (S&amp;P)'!T9580&lt;&gt;"Yes",
        DATEDIF('Loan Tape (S&amp;P)'!K9580, TODAY(), "M")&lt;18),
    1.10,
    1.00)</f>
        <v/>
      </c>
      <c r="O9580">
        <f>IF('Loan Tape (S&amp;P)'!T9580="Yes",
    1.35,
    1.00)</f>
        <v/>
      </c>
      <c r="P9580">
        <f>IF('Loan Tape (S&amp;P)'!S9580="Yes",
    1.15,
    1.00)</f>
        <v/>
      </c>
      <c r="Q9580">
        <f>IF('Loan Tape (S&amp;P)'!V9580="Yes",
    1.20,
    1.00)</f>
        <v/>
      </c>
      <c r="T9580">
        <f>LET(
    payment_method,'Loan Tape (S&amp;P)'!P9580,
    occupancy,'Loan Tape (S&amp;P)'!N9580,
    maturity_date,'Loan Tape (S&amp;P)'!L9580,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81">
      <c r="J9581">
        <f>LET(
    lien,'Loan Tape (S&amp;P)'!Q9581,
    IF(lien="First",1.00,
        IF(lien="Second",1.50,
            1.70)))</f>
        <v/>
      </c>
      <c r="K9581">
        <f>LET(
    purpose,'Loan Tape (S&amp;P)'!R9581,
    IF(purpose="Purchase",1.00,
        IF(purpose="Remortgage",1.00,
            1.20)))</f>
        <v/>
      </c>
      <c r="L9581">
        <f>LET(
    arrears_months,'Loan Tape (S&amp;P)'!AN9581,
    IF(arrears_months=0,1.00,
    IF(arrears_months=1,3.00,
    IF(arrears_months=2,5.00,
    IF(arrears_months=3,8.00,
    IF(arrears_months=4,10.00,
    IF(arrears_months=5,12.00,15.00)))))))</f>
        <v/>
      </c>
      <c r="M9581">
        <f>LET(
    seasoning_years,DATEDIF('Loan Tape (S&amp;P)'!K9581,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81">
        <f>IF(AND('Loan Tape (S&amp;P)'!U9581="Yes",
        'Loan Tape (S&amp;P)'!T9581&lt;&gt;"Yes",
        DATEDIF('Loan Tape (S&amp;P)'!K9581, TODAY(), "M")&lt;18),
    1.10,
    1.00)</f>
        <v/>
      </c>
      <c r="O9581">
        <f>IF('Loan Tape (S&amp;P)'!T9581="Yes",
    1.35,
    1.00)</f>
        <v/>
      </c>
      <c r="P9581">
        <f>IF('Loan Tape (S&amp;P)'!S9581="Yes",
    1.15,
    1.00)</f>
        <v/>
      </c>
      <c r="Q9581">
        <f>IF('Loan Tape (S&amp;P)'!V9581="Yes",
    1.20,
    1.00)</f>
        <v/>
      </c>
      <c r="T9581">
        <f>LET(
    payment_method,'Loan Tape (S&amp;P)'!P9581,
    occupancy,'Loan Tape (S&amp;P)'!N9581,
    maturity_date,'Loan Tape (S&amp;P)'!L9581,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82">
      <c r="J9582">
        <f>LET(
    lien,'Loan Tape (S&amp;P)'!Q9582,
    IF(lien="First",1.00,
        IF(lien="Second",1.50,
            1.70)))</f>
        <v/>
      </c>
      <c r="K9582">
        <f>LET(
    purpose,'Loan Tape (S&amp;P)'!R9582,
    IF(purpose="Purchase",1.00,
        IF(purpose="Remortgage",1.00,
            1.20)))</f>
        <v/>
      </c>
      <c r="L9582">
        <f>LET(
    arrears_months,'Loan Tape (S&amp;P)'!AN9582,
    IF(arrears_months=0,1.00,
    IF(arrears_months=1,3.00,
    IF(arrears_months=2,5.00,
    IF(arrears_months=3,8.00,
    IF(arrears_months=4,10.00,
    IF(arrears_months=5,12.00,15.00)))))))</f>
        <v/>
      </c>
      <c r="M9582">
        <f>LET(
    seasoning_years,DATEDIF('Loan Tape (S&amp;P)'!K9582,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82">
        <f>IF(AND('Loan Tape (S&amp;P)'!U9582="Yes",
        'Loan Tape (S&amp;P)'!T9582&lt;&gt;"Yes",
        DATEDIF('Loan Tape (S&amp;P)'!K9582, TODAY(), "M")&lt;18),
    1.10,
    1.00)</f>
        <v/>
      </c>
      <c r="O9582">
        <f>IF('Loan Tape (S&amp;P)'!T9582="Yes",
    1.35,
    1.00)</f>
        <v/>
      </c>
      <c r="P9582">
        <f>IF('Loan Tape (S&amp;P)'!S9582="Yes",
    1.15,
    1.00)</f>
        <v/>
      </c>
      <c r="Q9582">
        <f>IF('Loan Tape (S&amp;P)'!V9582="Yes",
    1.20,
    1.00)</f>
        <v/>
      </c>
      <c r="T9582">
        <f>LET(
    payment_method,'Loan Tape (S&amp;P)'!P9582,
    occupancy,'Loan Tape (S&amp;P)'!N9582,
    maturity_date,'Loan Tape (S&amp;P)'!L9582,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83">
      <c r="J9583">
        <f>LET(
    lien,'Loan Tape (S&amp;P)'!Q9583,
    IF(lien="First",1.00,
        IF(lien="Second",1.50,
            1.70)))</f>
        <v/>
      </c>
      <c r="K9583">
        <f>LET(
    purpose,'Loan Tape (S&amp;P)'!R9583,
    IF(purpose="Purchase",1.00,
        IF(purpose="Remortgage",1.00,
            1.20)))</f>
        <v/>
      </c>
      <c r="L9583">
        <f>LET(
    arrears_months,'Loan Tape (S&amp;P)'!AN9583,
    IF(arrears_months=0,1.00,
    IF(arrears_months=1,3.00,
    IF(arrears_months=2,5.00,
    IF(arrears_months=3,8.00,
    IF(arrears_months=4,10.00,
    IF(arrears_months=5,12.00,15.00)))))))</f>
        <v/>
      </c>
      <c r="M9583">
        <f>LET(
    seasoning_years,DATEDIF('Loan Tape (S&amp;P)'!K9583,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83">
        <f>IF(AND('Loan Tape (S&amp;P)'!U9583="Yes",
        'Loan Tape (S&amp;P)'!T9583&lt;&gt;"Yes",
        DATEDIF('Loan Tape (S&amp;P)'!K9583, TODAY(), "M")&lt;18),
    1.10,
    1.00)</f>
        <v/>
      </c>
      <c r="O9583">
        <f>IF('Loan Tape (S&amp;P)'!T9583="Yes",
    1.35,
    1.00)</f>
        <v/>
      </c>
      <c r="P9583">
        <f>IF('Loan Tape (S&amp;P)'!S9583="Yes",
    1.15,
    1.00)</f>
        <v/>
      </c>
      <c r="Q9583">
        <f>IF('Loan Tape (S&amp;P)'!V9583="Yes",
    1.20,
    1.00)</f>
        <v/>
      </c>
      <c r="T9583">
        <f>LET(
    payment_method,'Loan Tape (S&amp;P)'!P9583,
    occupancy,'Loan Tape (S&amp;P)'!N9583,
    maturity_date,'Loan Tape (S&amp;P)'!L9583,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84">
      <c r="J9584">
        <f>LET(
    lien,'Loan Tape (S&amp;P)'!Q9584,
    IF(lien="First",1.00,
        IF(lien="Second",1.50,
            1.70)))</f>
        <v/>
      </c>
      <c r="K9584">
        <f>LET(
    purpose,'Loan Tape (S&amp;P)'!R9584,
    IF(purpose="Purchase",1.00,
        IF(purpose="Remortgage",1.00,
            1.20)))</f>
        <v/>
      </c>
      <c r="L9584">
        <f>LET(
    arrears_months,'Loan Tape (S&amp;P)'!AN9584,
    IF(arrears_months=0,1.00,
    IF(arrears_months=1,3.00,
    IF(arrears_months=2,5.00,
    IF(arrears_months=3,8.00,
    IF(arrears_months=4,10.00,
    IF(arrears_months=5,12.00,15.00)))))))</f>
        <v/>
      </c>
      <c r="M9584">
        <f>LET(
    seasoning_years,DATEDIF('Loan Tape (S&amp;P)'!K9584,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84">
        <f>IF(AND('Loan Tape (S&amp;P)'!U9584="Yes",
        'Loan Tape (S&amp;P)'!T9584&lt;&gt;"Yes",
        DATEDIF('Loan Tape (S&amp;P)'!K9584, TODAY(), "M")&lt;18),
    1.10,
    1.00)</f>
        <v/>
      </c>
      <c r="O9584">
        <f>IF('Loan Tape (S&amp;P)'!T9584="Yes",
    1.35,
    1.00)</f>
        <v/>
      </c>
      <c r="P9584">
        <f>IF('Loan Tape (S&amp;P)'!S9584="Yes",
    1.15,
    1.00)</f>
        <v/>
      </c>
      <c r="Q9584">
        <f>IF('Loan Tape (S&amp;P)'!V9584="Yes",
    1.20,
    1.00)</f>
        <v/>
      </c>
      <c r="T9584">
        <f>LET(
    payment_method,'Loan Tape (S&amp;P)'!P9584,
    occupancy,'Loan Tape (S&amp;P)'!N9584,
    maturity_date,'Loan Tape (S&amp;P)'!L9584,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85">
      <c r="J9585">
        <f>LET(
    lien,'Loan Tape (S&amp;P)'!Q9585,
    IF(lien="First",1.00,
        IF(lien="Second",1.50,
            1.70)))</f>
        <v/>
      </c>
      <c r="K9585">
        <f>LET(
    purpose,'Loan Tape (S&amp;P)'!R9585,
    IF(purpose="Purchase",1.00,
        IF(purpose="Remortgage",1.00,
            1.20)))</f>
        <v/>
      </c>
      <c r="L9585">
        <f>LET(
    arrears_months,'Loan Tape (S&amp;P)'!AN9585,
    IF(arrears_months=0,1.00,
    IF(arrears_months=1,3.00,
    IF(arrears_months=2,5.00,
    IF(arrears_months=3,8.00,
    IF(arrears_months=4,10.00,
    IF(arrears_months=5,12.00,15.00)))))))</f>
        <v/>
      </c>
      <c r="M9585">
        <f>LET(
    seasoning_years,DATEDIF('Loan Tape (S&amp;P)'!K9585,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85">
        <f>IF(AND('Loan Tape (S&amp;P)'!U9585="Yes",
        'Loan Tape (S&amp;P)'!T9585&lt;&gt;"Yes",
        DATEDIF('Loan Tape (S&amp;P)'!K9585, TODAY(), "M")&lt;18),
    1.10,
    1.00)</f>
        <v/>
      </c>
      <c r="O9585">
        <f>IF('Loan Tape (S&amp;P)'!T9585="Yes",
    1.35,
    1.00)</f>
        <v/>
      </c>
      <c r="P9585">
        <f>IF('Loan Tape (S&amp;P)'!S9585="Yes",
    1.15,
    1.00)</f>
        <v/>
      </c>
      <c r="Q9585">
        <f>IF('Loan Tape (S&amp;P)'!V9585="Yes",
    1.20,
    1.00)</f>
        <v/>
      </c>
      <c r="T9585">
        <f>LET(
    payment_method,'Loan Tape (S&amp;P)'!P9585,
    occupancy,'Loan Tape (S&amp;P)'!N9585,
    maturity_date,'Loan Tape (S&amp;P)'!L9585,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86">
      <c r="J9586">
        <f>LET(
    lien,'Loan Tape (S&amp;P)'!Q9586,
    IF(lien="First",1.00,
        IF(lien="Second",1.50,
            1.70)))</f>
        <v/>
      </c>
      <c r="K9586">
        <f>LET(
    purpose,'Loan Tape (S&amp;P)'!R9586,
    IF(purpose="Purchase",1.00,
        IF(purpose="Remortgage",1.00,
            1.20)))</f>
        <v/>
      </c>
      <c r="L9586">
        <f>LET(
    arrears_months,'Loan Tape (S&amp;P)'!AN9586,
    IF(arrears_months=0,1.00,
    IF(arrears_months=1,3.00,
    IF(arrears_months=2,5.00,
    IF(arrears_months=3,8.00,
    IF(arrears_months=4,10.00,
    IF(arrears_months=5,12.00,15.00)))))))</f>
        <v/>
      </c>
      <c r="M9586">
        <f>LET(
    seasoning_years,DATEDIF('Loan Tape (S&amp;P)'!K9586,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86">
        <f>IF(AND('Loan Tape (S&amp;P)'!U9586="Yes",
        'Loan Tape (S&amp;P)'!T9586&lt;&gt;"Yes",
        DATEDIF('Loan Tape (S&amp;P)'!K9586, TODAY(), "M")&lt;18),
    1.10,
    1.00)</f>
        <v/>
      </c>
      <c r="O9586">
        <f>IF('Loan Tape (S&amp;P)'!T9586="Yes",
    1.35,
    1.00)</f>
        <v/>
      </c>
      <c r="P9586">
        <f>IF('Loan Tape (S&amp;P)'!S9586="Yes",
    1.15,
    1.00)</f>
        <v/>
      </c>
      <c r="Q9586">
        <f>IF('Loan Tape (S&amp;P)'!V9586="Yes",
    1.20,
    1.00)</f>
        <v/>
      </c>
      <c r="T9586">
        <f>LET(
    payment_method,'Loan Tape (S&amp;P)'!P9586,
    occupancy,'Loan Tape (S&amp;P)'!N9586,
    maturity_date,'Loan Tape (S&amp;P)'!L9586,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87">
      <c r="J9587">
        <f>LET(
    lien,'Loan Tape (S&amp;P)'!Q9587,
    IF(lien="First",1.00,
        IF(lien="Second",1.50,
            1.70)))</f>
        <v/>
      </c>
      <c r="K9587">
        <f>LET(
    purpose,'Loan Tape (S&amp;P)'!R9587,
    IF(purpose="Purchase",1.00,
        IF(purpose="Remortgage",1.00,
            1.20)))</f>
        <v/>
      </c>
      <c r="L9587">
        <f>LET(
    arrears_months,'Loan Tape (S&amp;P)'!AN9587,
    IF(arrears_months=0,1.00,
    IF(arrears_months=1,3.00,
    IF(arrears_months=2,5.00,
    IF(arrears_months=3,8.00,
    IF(arrears_months=4,10.00,
    IF(arrears_months=5,12.00,15.00)))))))</f>
        <v/>
      </c>
      <c r="M9587">
        <f>LET(
    seasoning_years,DATEDIF('Loan Tape (S&amp;P)'!K9587,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87">
        <f>IF(AND('Loan Tape (S&amp;P)'!U9587="Yes",
        'Loan Tape (S&amp;P)'!T9587&lt;&gt;"Yes",
        DATEDIF('Loan Tape (S&amp;P)'!K9587, TODAY(), "M")&lt;18),
    1.10,
    1.00)</f>
        <v/>
      </c>
      <c r="O9587">
        <f>IF('Loan Tape (S&amp;P)'!T9587="Yes",
    1.35,
    1.00)</f>
        <v/>
      </c>
      <c r="P9587">
        <f>IF('Loan Tape (S&amp;P)'!S9587="Yes",
    1.15,
    1.00)</f>
        <v/>
      </c>
      <c r="Q9587">
        <f>IF('Loan Tape (S&amp;P)'!V9587="Yes",
    1.20,
    1.00)</f>
        <v/>
      </c>
      <c r="T9587">
        <f>LET(
    payment_method,'Loan Tape (S&amp;P)'!P9587,
    occupancy,'Loan Tape (S&amp;P)'!N9587,
    maturity_date,'Loan Tape (S&amp;P)'!L9587,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88">
      <c r="J9588">
        <f>LET(
    lien,'Loan Tape (S&amp;P)'!Q9588,
    IF(lien="First",1.00,
        IF(lien="Second",1.50,
            1.70)))</f>
        <v/>
      </c>
      <c r="K9588">
        <f>LET(
    purpose,'Loan Tape (S&amp;P)'!R9588,
    IF(purpose="Purchase",1.00,
        IF(purpose="Remortgage",1.00,
            1.20)))</f>
        <v/>
      </c>
      <c r="L9588">
        <f>LET(
    arrears_months,'Loan Tape (S&amp;P)'!AN9588,
    IF(arrears_months=0,1.00,
    IF(arrears_months=1,3.00,
    IF(arrears_months=2,5.00,
    IF(arrears_months=3,8.00,
    IF(arrears_months=4,10.00,
    IF(arrears_months=5,12.00,15.00)))))))</f>
        <v/>
      </c>
      <c r="M9588">
        <f>LET(
    seasoning_years,DATEDIF('Loan Tape (S&amp;P)'!K9588,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88">
        <f>IF(AND('Loan Tape (S&amp;P)'!U9588="Yes",
        'Loan Tape (S&amp;P)'!T9588&lt;&gt;"Yes",
        DATEDIF('Loan Tape (S&amp;P)'!K9588, TODAY(), "M")&lt;18),
    1.10,
    1.00)</f>
        <v/>
      </c>
      <c r="O9588">
        <f>IF('Loan Tape (S&amp;P)'!T9588="Yes",
    1.35,
    1.00)</f>
        <v/>
      </c>
      <c r="P9588">
        <f>IF('Loan Tape (S&amp;P)'!S9588="Yes",
    1.15,
    1.00)</f>
        <v/>
      </c>
      <c r="Q9588">
        <f>IF('Loan Tape (S&amp;P)'!V9588="Yes",
    1.20,
    1.00)</f>
        <v/>
      </c>
      <c r="T9588">
        <f>LET(
    payment_method,'Loan Tape (S&amp;P)'!P9588,
    occupancy,'Loan Tape (S&amp;P)'!N9588,
    maturity_date,'Loan Tape (S&amp;P)'!L9588,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89">
      <c r="J9589">
        <f>LET(
    lien,'Loan Tape (S&amp;P)'!Q9589,
    IF(lien="First",1.00,
        IF(lien="Second",1.50,
            1.70)))</f>
        <v/>
      </c>
      <c r="K9589">
        <f>LET(
    purpose,'Loan Tape (S&amp;P)'!R9589,
    IF(purpose="Purchase",1.00,
        IF(purpose="Remortgage",1.00,
            1.20)))</f>
        <v/>
      </c>
      <c r="L9589">
        <f>LET(
    arrears_months,'Loan Tape (S&amp;P)'!AN9589,
    IF(arrears_months=0,1.00,
    IF(arrears_months=1,3.00,
    IF(arrears_months=2,5.00,
    IF(arrears_months=3,8.00,
    IF(arrears_months=4,10.00,
    IF(arrears_months=5,12.00,15.00)))))))</f>
        <v/>
      </c>
      <c r="M9589">
        <f>LET(
    seasoning_years,DATEDIF('Loan Tape (S&amp;P)'!K9589,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89">
        <f>IF(AND('Loan Tape (S&amp;P)'!U9589="Yes",
        'Loan Tape (S&amp;P)'!T9589&lt;&gt;"Yes",
        DATEDIF('Loan Tape (S&amp;P)'!K9589, TODAY(), "M")&lt;18),
    1.10,
    1.00)</f>
        <v/>
      </c>
      <c r="O9589">
        <f>IF('Loan Tape (S&amp;P)'!T9589="Yes",
    1.35,
    1.00)</f>
        <v/>
      </c>
      <c r="P9589">
        <f>IF('Loan Tape (S&amp;P)'!S9589="Yes",
    1.15,
    1.00)</f>
        <v/>
      </c>
      <c r="Q9589">
        <f>IF('Loan Tape (S&amp;P)'!V9589="Yes",
    1.20,
    1.00)</f>
        <v/>
      </c>
      <c r="T9589">
        <f>LET(
    payment_method,'Loan Tape (S&amp;P)'!P9589,
    occupancy,'Loan Tape (S&amp;P)'!N9589,
    maturity_date,'Loan Tape (S&amp;P)'!L9589,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90">
      <c r="J9590">
        <f>LET(
    lien,'Loan Tape (S&amp;P)'!Q9590,
    IF(lien="First",1.00,
        IF(lien="Second",1.50,
            1.70)))</f>
        <v/>
      </c>
      <c r="K9590">
        <f>LET(
    purpose,'Loan Tape (S&amp;P)'!R9590,
    IF(purpose="Purchase",1.00,
        IF(purpose="Remortgage",1.00,
            1.20)))</f>
        <v/>
      </c>
      <c r="L9590">
        <f>LET(
    arrears_months,'Loan Tape (S&amp;P)'!AN9590,
    IF(arrears_months=0,1.00,
    IF(arrears_months=1,3.00,
    IF(arrears_months=2,5.00,
    IF(arrears_months=3,8.00,
    IF(arrears_months=4,10.00,
    IF(arrears_months=5,12.00,15.00)))))))</f>
        <v/>
      </c>
      <c r="M9590">
        <f>LET(
    seasoning_years,DATEDIF('Loan Tape (S&amp;P)'!K9590,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90">
        <f>IF(AND('Loan Tape (S&amp;P)'!U9590="Yes",
        'Loan Tape (S&amp;P)'!T9590&lt;&gt;"Yes",
        DATEDIF('Loan Tape (S&amp;P)'!K9590, TODAY(), "M")&lt;18),
    1.10,
    1.00)</f>
        <v/>
      </c>
      <c r="O9590">
        <f>IF('Loan Tape (S&amp;P)'!T9590="Yes",
    1.35,
    1.00)</f>
        <v/>
      </c>
      <c r="P9590">
        <f>IF('Loan Tape (S&amp;P)'!S9590="Yes",
    1.15,
    1.00)</f>
        <v/>
      </c>
      <c r="Q9590">
        <f>IF('Loan Tape (S&amp;P)'!V9590="Yes",
    1.20,
    1.00)</f>
        <v/>
      </c>
      <c r="T9590">
        <f>LET(
    payment_method,'Loan Tape (S&amp;P)'!P9590,
    occupancy,'Loan Tape (S&amp;P)'!N9590,
    maturity_date,'Loan Tape (S&amp;P)'!L9590,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91">
      <c r="J9591">
        <f>LET(
    lien,'Loan Tape (S&amp;P)'!Q9591,
    IF(lien="First",1.00,
        IF(lien="Second",1.50,
            1.70)))</f>
        <v/>
      </c>
      <c r="K9591">
        <f>LET(
    purpose,'Loan Tape (S&amp;P)'!R9591,
    IF(purpose="Purchase",1.00,
        IF(purpose="Remortgage",1.00,
            1.20)))</f>
        <v/>
      </c>
      <c r="L9591">
        <f>LET(
    arrears_months,'Loan Tape (S&amp;P)'!AN9591,
    IF(arrears_months=0,1.00,
    IF(arrears_months=1,3.00,
    IF(arrears_months=2,5.00,
    IF(arrears_months=3,8.00,
    IF(arrears_months=4,10.00,
    IF(arrears_months=5,12.00,15.00)))))))</f>
        <v/>
      </c>
      <c r="M9591">
        <f>LET(
    seasoning_years,DATEDIF('Loan Tape (S&amp;P)'!K9591,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91">
        <f>IF(AND('Loan Tape (S&amp;P)'!U9591="Yes",
        'Loan Tape (S&amp;P)'!T9591&lt;&gt;"Yes",
        DATEDIF('Loan Tape (S&amp;P)'!K9591, TODAY(), "M")&lt;18),
    1.10,
    1.00)</f>
        <v/>
      </c>
      <c r="O9591">
        <f>IF('Loan Tape (S&amp;P)'!T9591="Yes",
    1.35,
    1.00)</f>
        <v/>
      </c>
      <c r="P9591">
        <f>IF('Loan Tape (S&amp;P)'!S9591="Yes",
    1.15,
    1.00)</f>
        <v/>
      </c>
      <c r="Q9591">
        <f>IF('Loan Tape (S&amp;P)'!V9591="Yes",
    1.20,
    1.00)</f>
        <v/>
      </c>
      <c r="T9591">
        <f>LET(
    payment_method,'Loan Tape (S&amp;P)'!P9591,
    occupancy,'Loan Tape (S&amp;P)'!N9591,
    maturity_date,'Loan Tape (S&amp;P)'!L9591,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92">
      <c r="J9592">
        <f>LET(
    lien,'Loan Tape (S&amp;P)'!Q9592,
    IF(lien="First",1.00,
        IF(lien="Second",1.50,
            1.70)))</f>
        <v/>
      </c>
      <c r="K9592">
        <f>LET(
    purpose,'Loan Tape (S&amp;P)'!R9592,
    IF(purpose="Purchase",1.00,
        IF(purpose="Remortgage",1.00,
            1.20)))</f>
        <v/>
      </c>
      <c r="L9592">
        <f>LET(
    arrears_months,'Loan Tape (S&amp;P)'!AN9592,
    IF(arrears_months=0,1.00,
    IF(arrears_months=1,3.00,
    IF(arrears_months=2,5.00,
    IF(arrears_months=3,8.00,
    IF(arrears_months=4,10.00,
    IF(arrears_months=5,12.00,15.00)))))))</f>
        <v/>
      </c>
      <c r="M9592">
        <f>LET(
    seasoning_years,DATEDIF('Loan Tape (S&amp;P)'!K9592,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92">
        <f>IF(AND('Loan Tape (S&amp;P)'!U9592="Yes",
        'Loan Tape (S&amp;P)'!T9592&lt;&gt;"Yes",
        DATEDIF('Loan Tape (S&amp;P)'!K9592, TODAY(), "M")&lt;18),
    1.10,
    1.00)</f>
        <v/>
      </c>
      <c r="O9592">
        <f>IF('Loan Tape (S&amp;P)'!T9592="Yes",
    1.35,
    1.00)</f>
        <v/>
      </c>
      <c r="P9592">
        <f>IF('Loan Tape (S&amp;P)'!S9592="Yes",
    1.15,
    1.00)</f>
        <v/>
      </c>
      <c r="Q9592">
        <f>IF('Loan Tape (S&amp;P)'!V9592="Yes",
    1.20,
    1.00)</f>
        <v/>
      </c>
      <c r="T9592">
        <f>LET(
    payment_method,'Loan Tape (S&amp;P)'!P9592,
    occupancy,'Loan Tape (S&amp;P)'!N9592,
    maturity_date,'Loan Tape (S&amp;P)'!L9592,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93">
      <c r="J9593">
        <f>LET(
    lien,'Loan Tape (S&amp;P)'!Q9593,
    IF(lien="First",1.00,
        IF(lien="Second",1.50,
            1.70)))</f>
        <v/>
      </c>
      <c r="K9593">
        <f>LET(
    purpose,'Loan Tape (S&amp;P)'!R9593,
    IF(purpose="Purchase",1.00,
        IF(purpose="Remortgage",1.00,
            1.20)))</f>
        <v/>
      </c>
      <c r="L9593">
        <f>LET(
    arrears_months,'Loan Tape (S&amp;P)'!AN9593,
    IF(arrears_months=0,1.00,
    IF(arrears_months=1,3.00,
    IF(arrears_months=2,5.00,
    IF(arrears_months=3,8.00,
    IF(arrears_months=4,10.00,
    IF(arrears_months=5,12.00,15.00)))))))</f>
        <v/>
      </c>
      <c r="M9593">
        <f>LET(
    seasoning_years,DATEDIF('Loan Tape (S&amp;P)'!K9593,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93">
        <f>IF(AND('Loan Tape (S&amp;P)'!U9593="Yes",
        'Loan Tape (S&amp;P)'!T9593&lt;&gt;"Yes",
        DATEDIF('Loan Tape (S&amp;P)'!K9593, TODAY(), "M")&lt;18),
    1.10,
    1.00)</f>
        <v/>
      </c>
      <c r="O9593">
        <f>IF('Loan Tape (S&amp;P)'!T9593="Yes",
    1.35,
    1.00)</f>
        <v/>
      </c>
      <c r="P9593">
        <f>IF('Loan Tape (S&amp;P)'!S9593="Yes",
    1.15,
    1.00)</f>
        <v/>
      </c>
      <c r="Q9593">
        <f>IF('Loan Tape (S&amp;P)'!V9593="Yes",
    1.20,
    1.00)</f>
        <v/>
      </c>
      <c r="T9593">
        <f>LET(
    payment_method,'Loan Tape (S&amp;P)'!P9593,
    occupancy,'Loan Tape (S&amp;P)'!N9593,
    maturity_date,'Loan Tape (S&amp;P)'!L9593,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94">
      <c r="J9594">
        <f>LET(
    lien,'Loan Tape (S&amp;P)'!Q9594,
    IF(lien="First",1.00,
        IF(lien="Second",1.50,
            1.70)))</f>
        <v/>
      </c>
      <c r="K9594">
        <f>LET(
    purpose,'Loan Tape (S&amp;P)'!R9594,
    IF(purpose="Purchase",1.00,
        IF(purpose="Remortgage",1.00,
            1.20)))</f>
        <v/>
      </c>
      <c r="L9594">
        <f>LET(
    arrears_months,'Loan Tape (S&amp;P)'!AN9594,
    IF(arrears_months=0,1.00,
    IF(arrears_months=1,3.00,
    IF(arrears_months=2,5.00,
    IF(arrears_months=3,8.00,
    IF(arrears_months=4,10.00,
    IF(arrears_months=5,12.00,15.00)))))))</f>
        <v/>
      </c>
      <c r="M9594">
        <f>LET(
    seasoning_years,DATEDIF('Loan Tape (S&amp;P)'!K9594,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94">
        <f>IF(AND('Loan Tape (S&amp;P)'!U9594="Yes",
        'Loan Tape (S&amp;P)'!T9594&lt;&gt;"Yes",
        DATEDIF('Loan Tape (S&amp;P)'!K9594, TODAY(), "M")&lt;18),
    1.10,
    1.00)</f>
        <v/>
      </c>
      <c r="O9594">
        <f>IF('Loan Tape (S&amp;P)'!T9594="Yes",
    1.35,
    1.00)</f>
        <v/>
      </c>
      <c r="P9594">
        <f>IF('Loan Tape (S&amp;P)'!S9594="Yes",
    1.15,
    1.00)</f>
        <v/>
      </c>
      <c r="Q9594">
        <f>IF('Loan Tape (S&amp;P)'!V9594="Yes",
    1.20,
    1.00)</f>
        <v/>
      </c>
      <c r="T9594">
        <f>LET(
    payment_method,'Loan Tape (S&amp;P)'!P9594,
    occupancy,'Loan Tape (S&amp;P)'!N9594,
    maturity_date,'Loan Tape (S&amp;P)'!L9594,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95">
      <c r="J9595">
        <f>LET(
    lien,'Loan Tape (S&amp;P)'!Q9595,
    IF(lien="First",1.00,
        IF(lien="Second",1.50,
            1.70)))</f>
        <v/>
      </c>
      <c r="K9595">
        <f>LET(
    purpose,'Loan Tape (S&amp;P)'!R9595,
    IF(purpose="Purchase",1.00,
        IF(purpose="Remortgage",1.00,
            1.20)))</f>
        <v/>
      </c>
      <c r="L9595">
        <f>LET(
    arrears_months,'Loan Tape (S&amp;P)'!AN9595,
    IF(arrears_months=0,1.00,
    IF(arrears_months=1,3.00,
    IF(arrears_months=2,5.00,
    IF(arrears_months=3,8.00,
    IF(arrears_months=4,10.00,
    IF(arrears_months=5,12.00,15.00)))))))</f>
        <v/>
      </c>
      <c r="M9595">
        <f>LET(
    seasoning_years,DATEDIF('Loan Tape (S&amp;P)'!K9595,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95">
        <f>IF(AND('Loan Tape (S&amp;P)'!U9595="Yes",
        'Loan Tape (S&amp;P)'!T9595&lt;&gt;"Yes",
        DATEDIF('Loan Tape (S&amp;P)'!K9595, TODAY(), "M")&lt;18),
    1.10,
    1.00)</f>
        <v/>
      </c>
      <c r="O9595">
        <f>IF('Loan Tape (S&amp;P)'!T9595="Yes",
    1.35,
    1.00)</f>
        <v/>
      </c>
      <c r="P9595">
        <f>IF('Loan Tape (S&amp;P)'!S9595="Yes",
    1.15,
    1.00)</f>
        <v/>
      </c>
      <c r="Q9595">
        <f>IF('Loan Tape (S&amp;P)'!V9595="Yes",
    1.20,
    1.00)</f>
        <v/>
      </c>
      <c r="T9595">
        <f>LET(
    payment_method,'Loan Tape (S&amp;P)'!P9595,
    occupancy,'Loan Tape (S&amp;P)'!N9595,
    maturity_date,'Loan Tape (S&amp;P)'!L9595,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96">
      <c r="J9596">
        <f>LET(
    lien,'Loan Tape (S&amp;P)'!Q9596,
    IF(lien="First",1.00,
        IF(lien="Second",1.50,
            1.70)))</f>
        <v/>
      </c>
      <c r="K9596">
        <f>LET(
    purpose,'Loan Tape (S&amp;P)'!R9596,
    IF(purpose="Purchase",1.00,
        IF(purpose="Remortgage",1.00,
            1.20)))</f>
        <v/>
      </c>
      <c r="L9596">
        <f>LET(
    arrears_months,'Loan Tape (S&amp;P)'!AN9596,
    IF(arrears_months=0,1.00,
    IF(arrears_months=1,3.00,
    IF(arrears_months=2,5.00,
    IF(arrears_months=3,8.00,
    IF(arrears_months=4,10.00,
    IF(arrears_months=5,12.00,15.00)))))))</f>
        <v/>
      </c>
      <c r="M9596">
        <f>LET(
    seasoning_years,DATEDIF('Loan Tape (S&amp;P)'!K9596,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96">
        <f>IF(AND('Loan Tape (S&amp;P)'!U9596="Yes",
        'Loan Tape (S&amp;P)'!T9596&lt;&gt;"Yes",
        DATEDIF('Loan Tape (S&amp;P)'!K9596, TODAY(), "M")&lt;18),
    1.10,
    1.00)</f>
        <v/>
      </c>
      <c r="O9596">
        <f>IF('Loan Tape (S&amp;P)'!T9596="Yes",
    1.35,
    1.00)</f>
        <v/>
      </c>
      <c r="P9596">
        <f>IF('Loan Tape (S&amp;P)'!S9596="Yes",
    1.15,
    1.00)</f>
        <v/>
      </c>
      <c r="Q9596">
        <f>IF('Loan Tape (S&amp;P)'!V9596="Yes",
    1.20,
    1.00)</f>
        <v/>
      </c>
      <c r="T9596">
        <f>LET(
    payment_method,'Loan Tape (S&amp;P)'!P9596,
    occupancy,'Loan Tape (S&amp;P)'!N9596,
    maturity_date,'Loan Tape (S&amp;P)'!L9596,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97">
      <c r="J9597">
        <f>LET(
    lien,'Loan Tape (S&amp;P)'!Q9597,
    IF(lien="First",1.00,
        IF(lien="Second",1.50,
            1.70)))</f>
        <v/>
      </c>
      <c r="K9597">
        <f>LET(
    purpose,'Loan Tape (S&amp;P)'!R9597,
    IF(purpose="Purchase",1.00,
        IF(purpose="Remortgage",1.00,
            1.20)))</f>
        <v/>
      </c>
      <c r="L9597">
        <f>LET(
    arrears_months,'Loan Tape (S&amp;P)'!AN9597,
    IF(arrears_months=0,1.00,
    IF(arrears_months=1,3.00,
    IF(arrears_months=2,5.00,
    IF(arrears_months=3,8.00,
    IF(arrears_months=4,10.00,
    IF(arrears_months=5,12.00,15.00)))))))</f>
        <v/>
      </c>
      <c r="M9597">
        <f>LET(
    seasoning_years,DATEDIF('Loan Tape (S&amp;P)'!K9597,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97">
        <f>IF(AND('Loan Tape (S&amp;P)'!U9597="Yes",
        'Loan Tape (S&amp;P)'!T9597&lt;&gt;"Yes",
        DATEDIF('Loan Tape (S&amp;P)'!K9597, TODAY(), "M")&lt;18),
    1.10,
    1.00)</f>
        <v/>
      </c>
      <c r="O9597">
        <f>IF('Loan Tape (S&amp;P)'!T9597="Yes",
    1.35,
    1.00)</f>
        <v/>
      </c>
      <c r="P9597">
        <f>IF('Loan Tape (S&amp;P)'!S9597="Yes",
    1.15,
    1.00)</f>
        <v/>
      </c>
      <c r="Q9597">
        <f>IF('Loan Tape (S&amp;P)'!V9597="Yes",
    1.20,
    1.00)</f>
        <v/>
      </c>
      <c r="T9597">
        <f>LET(
    payment_method,'Loan Tape (S&amp;P)'!P9597,
    occupancy,'Loan Tape (S&amp;P)'!N9597,
    maturity_date,'Loan Tape (S&amp;P)'!L9597,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98">
      <c r="J9598">
        <f>LET(
    lien,'Loan Tape (S&amp;P)'!Q9598,
    IF(lien="First",1.00,
        IF(lien="Second",1.50,
            1.70)))</f>
        <v/>
      </c>
      <c r="K9598">
        <f>LET(
    purpose,'Loan Tape (S&amp;P)'!R9598,
    IF(purpose="Purchase",1.00,
        IF(purpose="Remortgage",1.00,
            1.20)))</f>
        <v/>
      </c>
      <c r="L9598">
        <f>LET(
    arrears_months,'Loan Tape (S&amp;P)'!AN9598,
    IF(arrears_months=0,1.00,
    IF(arrears_months=1,3.00,
    IF(arrears_months=2,5.00,
    IF(arrears_months=3,8.00,
    IF(arrears_months=4,10.00,
    IF(arrears_months=5,12.00,15.00)))))))</f>
        <v/>
      </c>
      <c r="M9598">
        <f>LET(
    seasoning_years,DATEDIF('Loan Tape (S&amp;P)'!K9598,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98">
        <f>IF(AND('Loan Tape (S&amp;P)'!U9598="Yes",
        'Loan Tape (S&amp;P)'!T9598&lt;&gt;"Yes",
        DATEDIF('Loan Tape (S&amp;P)'!K9598, TODAY(), "M")&lt;18),
    1.10,
    1.00)</f>
        <v/>
      </c>
      <c r="O9598">
        <f>IF('Loan Tape (S&amp;P)'!T9598="Yes",
    1.35,
    1.00)</f>
        <v/>
      </c>
      <c r="P9598">
        <f>IF('Loan Tape (S&amp;P)'!S9598="Yes",
    1.15,
    1.00)</f>
        <v/>
      </c>
      <c r="Q9598">
        <f>IF('Loan Tape (S&amp;P)'!V9598="Yes",
    1.20,
    1.00)</f>
        <v/>
      </c>
      <c r="T9598">
        <f>LET(
    payment_method,'Loan Tape (S&amp;P)'!P9598,
    occupancy,'Loan Tape (S&amp;P)'!N9598,
    maturity_date,'Loan Tape (S&amp;P)'!L9598,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599">
      <c r="J9599">
        <f>LET(
    lien,'Loan Tape (S&amp;P)'!Q9599,
    IF(lien="First",1.00,
        IF(lien="Second",1.50,
            1.70)))</f>
        <v/>
      </c>
      <c r="K9599">
        <f>LET(
    purpose,'Loan Tape (S&amp;P)'!R9599,
    IF(purpose="Purchase",1.00,
        IF(purpose="Remortgage",1.00,
            1.20)))</f>
        <v/>
      </c>
      <c r="L9599">
        <f>LET(
    arrears_months,'Loan Tape (S&amp;P)'!AN9599,
    IF(arrears_months=0,1.00,
    IF(arrears_months=1,3.00,
    IF(arrears_months=2,5.00,
    IF(arrears_months=3,8.00,
    IF(arrears_months=4,10.00,
    IF(arrears_months=5,12.00,15.00)))))))</f>
        <v/>
      </c>
      <c r="M9599">
        <f>LET(
    seasoning_years,DATEDIF('Loan Tape (S&amp;P)'!K9599,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599">
        <f>IF(AND('Loan Tape (S&amp;P)'!U9599="Yes",
        'Loan Tape (S&amp;P)'!T9599&lt;&gt;"Yes",
        DATEDIF('Loan Tape (S&amp;P)'!K9599, TODAY(), "M")&lt;18),
    1.10,
    1.00)</f>
        <v/>
      </c>
      <c r="O9599">
        <f>IF('Loan Tape (S&amp;P)'!T9599="Yes",
    1.35,
    1.00)</f>
        <v/>
      </c>
      <c r="P9599">
        <f>IF('Loan Tape (S&amp;P)'!S9599="Yes",
    1.15,
    1.00)</f>
        <v/>
      </c>
      <c r="Q9599">
        <f>IF('Loan Tape (S&amp;P)'!V9599="Yes",
    1.20,
    1.00)</f>
        <v/>
      </c>
      <c r="T9599">
        <f>LET(
    payment_method,'Loan Tape (S&amp;P)'!P9599,
    occupancy,'Loan Tape (S&amp;P)'!N9599,
    maturity_date,'Loan Tape (S&amp;P)'!L9599,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00">
      <c r="J9600">
        <f>LET(
    lien,'Loan Tape (S&amp;P)'!Q9600,
    IF(lien="First",1.00,
        IF(lien="Second",1.50,
            1.70)))</f>
        <v/>
      </c>
      <c r="K9600">
        <f>LET(
    purpose,'Loan Tape (S&amp;P)'!R9600,
    IF(purpose="Purchase",1.00,
        IF(purpose="Remortgage",1.00,
            1.20)))</f>
        <v/>
      </c>
      <c r="L9600">
        <f>LET(
    arrears_months,'Loan Tape (S&amp;P)'!AN9600,
    IF(arrears_months=0,1.00,
    IF(arrears_months=1,3.00,
    IF(arrears_months=2,5.00,
    IF(arrears_months=3,8.00,
    IF(arrears_months=4,10.00,
    IF(arrears_months=5,12.00,15.00)))))))</f>
        <v/>
      </c>
      <c r="M9600">
        <f>LET(
    seasoning_years,DATEDIF('Loan Tape (S&amp;P)'!K9600,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00">
        <f>IF(AND('Loan Tape (S&amp;P)'!U9600="Yes",
        'Loan Tape (S&amp;P)'!T9600&lt;&gt;"Yes",
        DATEDIF('Loan Tape (S&amp;P)'!K9600, TODAY(), "M")&lt;18),
    1.10,
    1.00)</f>
        <v/>
      </c>
      <c r="O9600">
        <f>IF('Loan Tape (S&amp;P)'!T9600="Yes",
    1.35,
    1.00)</f>
        <v/>
      </c>
      <c r="P9600">
        <f>IF('Loan Tape (S&amp;P)'!S9600="Yes",
    1.15,
    1.00)</f>
        <v/>
      </c>
      <c r="Q9600">
        <f>IF('Loan Tape (S&amp;P)'!V9600="Yes",
    1.20,
    1.00)</f>
        <v/>
      </c>
      <c r="T9600">
        <f>LET(
    payment_method,'Loan Tape (S&amp;P)'!P9600,
    occupancy,'Loan Tape (S&amp;P)'!N9600,
    maturity_date,'Loan Tape (S&amp;P)'!L9600,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01">
      <c r="J9601">
        <f>LET(
    lien,'Loan Tape (S&amp;P)'!Q9601,
    IF(lien="First",1.00,
        IF(lien="Second",1.50,
            1.70)))</f>
        <v/>
      </c>
      <c r="K9601">
        <f>LET(
    purpose,'Loan Tape (S&amp;P)'!R9601,
    IF(purpose="Purchase",1.00,
        IF(purpose="Remortgage",1.00,
            1.20)))</f>
        <v/>
      </c>
      <c r="L9601">
        <f>LET(
    arrears_months,'Loan Tape (S&amp;P)'!AN9601,
    IF(arrears_months=0,1.00,
    IF(arrears_months=1,3.00,
    IF(arrears_months=2,5.00,
    IF(arrears_months=3,8.00,
    IF(arrears_months=4,10.00,
    IF(arrears_months=5,12.00,15.00)))))))</f>
        <v/>
      </c>
      <c r="M9601">
        <f>LET(
    seasoning_years,DATEDIF('Loan Tape (S&amp;P)'!K9601,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01">
        <f>IF(AND('Loan Tape (S&amp;P)'!U9601="Yes",
        'Loan Tape (S&amp;P)'!T9601&lt;&gt;"Yes",
        DATEDIF('Loan Tape (S&amp;P)'!K9601, TODAY(), "M")&lt;18),
    1.10,
    1.00)</f>
        <v/>
      </c>
      <c r="O9601">
        <f>IF('Loan Tape (S&amp;P)'!T9601="Yes",
    1.35,
    1.00)</f>
        <v/>
      </c>
      <c r="P9601">
        <f>IF('Loan Tape (S&amp;P)'!S9601="Yes",
    1.15,
    1.00)</f>
        <v/>
      </c>
      <c r="Q9601">
        <f>IF('Loan Tape (S&amp;P)'!V9601="Yes",
    1.20,
    1.00)</f>
        <v/>
      </c>
      <c r="T9601">
        <f>LET(
    payment_method,'Loan Tape (S&amp;P)'!P9601,
    occupancy,'Loan Tape (S&amp;P)'!N9601,
    maturity_date,'Loan Tape (S&amp;P)'!L9601,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02">
      <c r="J9602">
        <f>LET(
    lien,'Loan Tape (S&amp;P)'!Q9602,
    IF(lien="First",1.00,
        IF(lien="Second",1.50,
            1.70)))</f>
        <v/>
      </c>
      <c r="K9602">
        <f>LET(
    purpose,'Loan Tape (S&amp;P)'!R9602,
    IF(purpose="Purchase",1.00,
        IF(purpose="Remortgage",1.00,
            1.20)))</f>
        <v/>
      </c>
      <c r="L9602">
        <f>LET(
    arrears_months,'Loan Tape (S&amp;P)'!AN9602,
    IF(arrears_months=0,1.00,
    IF(arrears_months=1,3.00,
    IF(arrears_months=2,5.00,
    IF(arrears_months=3,8.00,
    IF(arrears_months=4,10.00,
    IF(arrears_months=5,12.00,15.00)))))))</f>
        <v/>
      </c>
      <c r="M9602">
        <f>LET(
    seasoning_years,DATEDIF('Loan Tape (S&amp;P)'!K9602,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02">
        <f>IF(AND('Loan Tape (S&amp;P)'!U9602="Yes",
        'Loan Tape (S&amp;P)'!T9602&lt;&gt;"Yes",
        DATEDIF('Loan Tape (S&amp;P)'!K9602, TODAY(), "M")&lt;18),
    1.10,
    1.00)</f>
        <v/>
      </c>
      <c r="O9602">
        <f>IF('Loan Tape (S&amp;P)'!T9602="Yes",
    1.35,
    1.00)</f>
        <v/>
      </c>
      <c r="P9602">
        <f>IF('Loan Tape (S&amp;P)'!S9602="Yes",
    1.15,
    1.00)</f>
        <v/>
      </c>
      <c r="Q9602">
        <f>IF('Loan Tape (S&amp;P)'!V9602="Yes",
    1.20,
    1.00)</f>
        <v/>
      </c>
      <c r="T9602">
        <f>LET(
    payment_method,'Loan Tape (S&amp;P)'!P9602,
    occupancy,'Loan Tape (S&amp;P)'!N9602,
    maturity_date,'Loan Tape (S&amp;P)'!L9602,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03">
      <c r="J9603">
        <f>LET(
    lien,'Loan Tape (S&amp;P)'!Q9603,
    IF(lien="First",1.00,
        IF(lien="Second",1.50,
            1.70)))</f>
        <v/>
      </c>
      <c r="K9603">
        <f>LET(
    purpose,'Loan Tape (S&amp;P)'!R9603,
    IF(purpose="Purchase",1.00,
        IF(purpose="Remortgage",1.00,
            1.20)))</f>
        <v/>
      </c>
      <c r="L9603">
        <f>LET(
    arrears_months,'Loan Tape (S&amp;P)'!AN9603,
    IF(arrears_months=0,1.00,
    IF(arrears_months=1,3.00,
    IF(arrears_months=2,5.00,
    IF(arrears_months=3,8.00,
    IF(arrears_months=4,10.00,
    IF(arrears_months=5,12.00,15.00)))))))</f>
        <v/>
      </c>
      <c r="M9603">
        <f>LET(
    seasoning_years,DATEDIF('Loan Tape (S&amp;P)'!K9603,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03">
        <f>IF(AND('Loan Tape (S&amp;P)'!U9603="Yes",
        'Loan Tape (S&amp;P)'!T9603&lt;&gt;"Yes",
        DATEDIF('Loan Tape (S&amp;P)'!K9603, TODAY(), "M")&lt;18),
    1.10,
    1.00)</f>
        <v/>
      </c>
      <c r="O9603">
        <f>IF('Loan Tape (S&amp;P)'!T9603="Yes",
    1.35,
    1.00)</f>
        <v/>
      </c>
      <c r="P9603">
        <f>IF('Loan Tape (S&amp;P)'!S9603="Yes",
    1.15,
    1.00)</f>
        <v/>
      </c>
      <c r="Q9603">
        <f>IF('Loan Tape (S&amp;P)'!V9603="Yes",
    1.20,
    1.00)</f>
        <v/>
      </c>
      <c r="T9603">
        <f>LET(
    payment_method,'Loan Tape (S&amp;P)'!P9603,
    occupancy,'Loan Tape (S&amp;P)'!N9603,
    maturity_date,'Loan Tape (S&amp;P)'!L9603,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04">
      <c r="J9604">
        <f>LET(
    lien,'Loan Tape (S&amp;P)'!Q9604,
    IF(lien="First",1.00,
        IF(lien="Second",1.50,
            1.70)))</f>
        <v/>
      </c>
      <c r="K9604">
        <f>LET(
    purpose,'Loan Tape (S&amp;P)'!R9604,
    IF(purpose="Purchase",1.00,
        IF(purpose="Remortgage",1.00,
            1.20)))</f>
        <v/>
      </c>
      <c r="L9604">
        <f>LET(
    arrears_months,'Loan Tape (S&amp;P)'!AN9604,
    IF(arrears_months=0,1.00,
    IF(arrears_months=1,3.00,
    IF(arrears_months=2,5.00,
    IF(arrears_months=3,8.00,
    IF(arrears_months=4,10.00,
    IF(arrears_months=5,12.00,15.00)))))))</f>
        <v/>
      </c>
      <c r="M9604">
        <f>LET(
    seasoning_years,DATEDIF('Loan Tape (S&amp;P)'!K9604,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04">
        <f>IF(AND('Loan Tape (S&amp;P)'!U9604="Yes",
        'Loan Tape (S&amp;P)'!T9604&lt;&gt;"Yes",
        DATEDIF('Loan Tape (S&amp;P)'!K9604, TODAY(), "M")&lt;18),
    1.10,
    1.00)</f>
        <v/>
      </c>
      <c r="O9604">
        <f>IF('Loan Tape (S&amp;P)'!T9604="Yes",
    1.35,
    1.00)</f>
        <v/>
      </c>
      <c r="P9604">
        <f>IF('Loan Tape (S&amp;P)'!S9604="Yes",
    1.15,
    1.00)</f>
        <v/>
      </c>
      <c r="Q9604">
        <f>IF('Loan Tape (S&amp;P)'!V9604="Yes",
    1.20,
    1.00)</f>
        <v/>
      </c>
      <c r="T9604">
        <f>LET(
    payment_method,'Loan Tape (S&amp;P)'!P9604,
    occupancy,'Loan Tape (S&amp;P)'!N9604,
    maturity_date,'Loan Tape (S&amp;P)'!L9604,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05">
      <c r="J9605">
        <f>LET(
    lien,'Loan Tape (S&amp;P)'!Q9605,
    IF(lien="First",1.00,
        IF(lien="Second",1.50,
            1.70)))</f>
        <v/>
      </c>
      <c r="K9605">
        <f>LET(
    purpose,'Loan Tape (S&amp;P)'!R9605,
    IF(purpose="Purchase",1.00,
        IF(purpose="Remortgage",1.00,
            1.20)))</f>
        <v/>
      </c>
      <c r="L9605">
        <f>LET(
    arrears_months,'Loan Tape (S&amp;P)'!AN9605,
    IF(arrears_months=0,1.00,
    IF(arrears_months=1,3.00,
    IF(arrears_months=2,5.00,
    IF(arrears_months=3,8.00,
    IF(arrears_months=4,10.00,
    IF(arrears_months=5,12.00,15.00)))))))</f>
        <v/>
      </c>
      <c r="M9605">
        <f>LET(
    seasoning_years,DATEDIF('Loan Tape (S&amp;P)'!K9605,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05">
        <f>IF(AND('Loan Tape (S&amp;P)'!U9605="Yes",
        'Loan Tape (S&amp;P)'!T9605&lt;&gt;"Yes",
        DATEDIF('Loan Tape (S&amp;P)'!K9605, TODAY(), "M")&lt;18),
    1.10,
    1.00)</f>
        <v/>
      </c>
      <c r="O9605">
        <f>IF('Loan Tape (S&amp;P)'!T9605="Yes",
    1.35,
    1.00)</f>
        <v/>
      </c>
      <c r="P9605">
        <f>IF('Loan Tape (S&amp;P)'!S9605="Yes",
    1.15,
    1.00)</f>
        <v/>
      </c>
      <c r="Q9605">
        <f>IF('Loan Tape (S&amp;P)'!V9605="Yes",
    1.20,
    1.00)</f>
        <v/>
      </c>
      <c r="T9605">
        <f>LET(
    payment_method,'Loan Tape (S&amp;P)'!P9605,
    occupancy,'Loan Tape (S&amp;P)'!N9605,
    maturity_date,'Loan Tape (S&amp;P)'!L9605,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06">
      <c r="J9606">
        <f>LET(
    lien,'Loan Tape (S&amp;P)'!Q9606,
    IF(lien="First",1.00,
        IF(lien="Second",1.50,
            1.70)))</f>
        <v/>
      </c>
      <c r="K9606">
        <f>LET(
    purpose,'Loan Tape (S&amp;P)'!R9606,
    IF(purpose="Purchase",1.00,
        IF(purpose="Remortgage",1.00,
            1.20)))</f>
        <v/>
      </c>
      <c r="L9606">
        <f>LET(
    arrears_months,'Loan Tape (S&amp;P)'!AN9606,
    IF(arrears_months=0,1.00,
    IF(arrears_months=1,3.00,
    IF(arrears_months=2,5.00,
    IF(arrears_months=3,8.00,
    IF(arrears_months=4,10.00,
    IF(arrears_months=5,12.00,15.00)))))))</f>
        <v/>
      </c>
      <c r="M9606">
        <f>LET(
    seasoning_years,DATEDIF('Loan Tape (S&amp;P)'!K9606,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06">
        <f>IF(AND('Loan Tape (S&amp;P)'!U9606="Yes",
        'Loan Tape (S&amp;P)'!T9606&lt;&gt;"Yes",
        DATEDIF('Loan Tape (S&amp;P)'!K9606, TODAY(), "M")&lt;18),
    1.10,
    1.00)</f>
        <v/>
      </c>
      <c r="O9606">
        <f>IF('Loan Tape (S&amp;P)'!T9606="Yes",
    1.35,
    1.00)</f>
        <v/>
      </c>
      <c r="P9606">
        <f>IF('Loan Tape (S&amp;P)'!S9606="Yes",
    1.15,
    1.00)</f>
        <v/>
      </c>
      <c r="Q9606">
        <f>IF('Loan Tape (S&amp;P)'!V9606="Yes",
    1.20,
    1.00)</f>
        <v/>
      </c>
      <c r="T9606">
        <f>LET(
    payment_method,'Loan Tape (S&amp;P)'!P9606,
    occupancy,'Loan Tape (S&amp;P)'!N9606,
    maturity_date,'Loan Tape (S&amp;P)'!L9606,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07">
      <c r="J9607">
        <f>LET(
    lien,'Loan Tape (S&amp;P)'!Q9607,
    IF(lien="First",1.00,
        IF(lien="Second",1.50,
            1.70)))</f>
        <v/>
      </c>
      <c r="K9607">
        <f>LET(
    purpose,'Loan Tape (S&amp;P)'!R9607,
    IF(purpose="Purchase",1.00,
        IF(purpose="Remortgage",1.00,
            1.20)))</f>
        <v/>
      </c>
      <c r="L9607">
        <f>LET(
    arrears_months,'Loan Tape (S&amp;P)'!AN9607,
    IF(arrears_months=0,1.00,
    IF(arrears_months=1,3.00,
    IF(arrears_months=2,5.00,
    IF(arrears_months=3,8.00,
    IF(arrears_months=4,10.00,
    IF(arrears_months=5,12.00,15.00)))))))</f>
        <v/>
      </c>
      <c r="M9607">
        <f>LET(
    seasoning_years,DATEDIF('Loan Tape (S&amp;P)'!K9607,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07">
        <f>IF(AND('Loan Tape (S&amp;P)'!U9607="Yes",
        'Loan Tape (S&amp;P)'!T9607&lt;&gt;"Yes",
        DATEDIF('Loan Tape (S&amp;P)'!K9607, TODAY(), "M")&lt;18),
    1.10,
    1.00)</f>
        <v/>
      </c>
      <c r="O9607">
        <f>IF('Loan Tape (S&amp;P)'!T9607="Yes",
    1.35,
    1.00)</f>
        <v/>
      </c>
      <c r="P9607">
        <f>IF('Loan Tape (S&amp;P)'!S9607="Yes",
    1.15,
    1.00)</f>
        <v/>
      </c>
      <c r="Q9607">
        <f>IF('Loan Tape (S&amp;P)'!V9607="Yes",
    1.20,
    1.00)</f>
        <v/>
      </c>
      <c r="T9607">
        <f>LET(
    payment_method,'Loan Tape (S&amp;P)'!P9607,
    occupancy,'Loan Tape (S&amp;P)'!N9607,
    maturity_date,'Loan Tape (S&amp;P)'!L9607,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08">
      <c r="J9608">
        <f>LET(
    lien,'Loan Tape (S&amp;P)'!Q9608,
    IF(lien="First",1.00,
        IF(lien="Second",1.50,
            1.70)))</f>
        <v/>
      </c>
      <c r="K9608">
        <f>LET(
    purpose,'Loan Tape (S&amp;P)'!R9608,
    IF(purpose="Purchase",1.00,
        IF(purpose="Remortgage",1.00,
            1.20)))</f>
        <v/>
      </c>
      <c r="L9608">
        <f>LET(
    arrears_months,'Loan Tape (S&amp;P)'!AN9608,
    IF(arrears_months=0,1.00,
    IF(arrears_months=1,3.00,
    IF(arrears_months=2,5.00,
    IF(arrears_months=3,8.00,
    IF(arrears_months=4,10.00,
    IF(arrears_months=5,12.00,15.00)))))))</f>
        <v/>
      </c>
      <c r="M9608">
        <f>LET(
    seasoning_years,DATEDIF('Loan Tape (S&amp;P)'!K9608,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08">
        <f>IF(AND('Loan Tape (S&amp;P)'!U9608="Yes",
        'Loan Tape (S&amp;P)'!T9608&lt;&gt;"Yes",
        DATEDIF('Loan Tape (S&amp;P)'!K9608, TODAY(), "M")&lt;18),
    1.10,
    1.00)</f>
        <v/>
      </c>
      <c r="O9608">
        <f>IF('Loan Tape (S&amp;P)'!T9608="Yes",
    1.35,
    1.00)</f>
        <v/>
      </c>
      <c r="P9608">
        <f>IF('Loan Tape (S&amp;P)'!S9608="Yes",
    1.15,
    1.00)</f>
        <v/>
      </c>
      <c r="Q9608">
        <f>IF('Loan Tape (S&amp;P)'!V9608="Yes",
    1.20,
    1.00)</f>
        <v/>
      </c>
      <c r="T9608">
        <f>LET(
    payment_method,'Loan Tape (S&amp;P)'!P9608,
    occupancy,'Loan Tape (S&amp;P)'!N9608,
    maturity_date,'Loan Tape (S&amp;P)'!L9608,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09">
      <c r="J9609">
        <f>LET(
    lien,'Loan Tape (S&amp;P)'!Q9609,
    IF(lien="First",1.00,
        IF(lien="Second",1.50,
            1.70)))</f>
        <v/>
      </c>
      <c r="K9609">
        <f>LET(
    purpose,'Loan Tape (S&amp;P)'!R9609,
    IF(purpose="Purchase",1.00,
        IF(purpose="Remortgage",1.00,
            1.20)))</f>
        <v/>
      </c>
      <c r="L9609">
        <f>LET(
    arrears_months,'Loan Tape (S&amp;P)'!AN9609,
    IF(arrears_months=0,1.00,
    IF(arrears_months=1,3.00,
    IF(arrears_months=2,5.00,
    IF(arrears_months=3,8.00,
    IF(arrears_months=4,10.00,
    IF(arrears_months=5,12.00,15.00)))))))</f>
        <v/>
      </c>
      <c r="M9609">
        <f>LET(
    seasoning_years,DATEDIF('Loan Tape (S&amp;P)'!K9609,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09">
        <f>IF(AND('Loan Tape (S&amp;P)'!U9609="Yes",
        'Loan Tape (S&amp;P)'!T9609&lt;&gt;"Yes",
        DATEDIF('Loan Tape (S&amp;P)'!K9609, TODAY(), "M")&lt;18),
    1.10,
    1.00)</f>
        <v/>
      </c>
      <c r="O9609">
        <f>IF('Loan Tape (S&amp;P)'!T9609="Yes",
    1.35,
    1.00)</f>
        <v/>
      </c>
      <c r="P9609">
        <f>IF('Loan Tape (S&amp;P)'!S9609="Yes",
    1.15,
    1.00)</f>
        <v/>
      </c>
      <c r="Q9609">
        <f>IF('Loan Tape (S&amp;P)'!V9609="Yes",
    1.20,
    1.00)</f>
        <v/>
      </c>
      <c r="T9609">
        <f>LET(
    payment_method,'Loan Tape (S&amp;P)'!P9609,
    occupancy,'Loan Tape (S&amp;P)'!N9609,
    maturity_date,'Loan Tape (S&amp;P)'!L9609,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10">
      <c r="J9610">
        <f>LET(
    lien,'Loan Tape (S&amp;P)'!Q9610,
    IF(lien="First",1.00,
        IF(lien="Second",1.50,
            1.70)))</f>
        <v/>
      </c>
      <c r="K9610">
        <f>LET(
    purpose,'Loan Tape (S&amp;P)'!R9610,
    IF(purpose="Purchase",1.00,
        IF(purpose="Remortgage",1.00,
            1.20)))</f>
        <v/>
      </c>
      <c r="L9610">
        <f>LET(
    arrears_months,'Loan Tape (S&amp;P)'!AN9610,
    IF(arrears_months=0,1.00,
    IF(arrears_months=1,3.00,
    IF(arrears_months=2,5.00,
    IF(arrears_months=3,8.00,
    IF(arrears_months=4,10.00,
    IF(arrears_months=5,12.00,15.00)))))))</f>
        <v/>
      </c>
      <c r="M9610">
        <f>LET(
    seasoning_years,DATEDIF('Loan Tape (S&amp;P)'!K9610,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10">
        <f>IF(AND('Loan Tape (S&amp;P)'!U9610="Yes",
        'Loan Tape (S&amp;P)'!T9610&lt;&gt;"Yes",
        DATEDIF('Loan Tape (S&amp;P)'!K9610, TODAY(), "M")&lt;18),
    1.10,
    1.00)</f>
        <v/>
      </c>
      <c r="O9610">
        <f>IF('Loan Tape (S&amp;P)'!T9610="Yes",
    1.35,
    1.00)</f>
        <v/>
      </c>
      <c r="P9610">
        <f>IF('Loan Tape (S&amp;P)'!S9610="Yes",
    1.15,
    1.00)</f>
        <v/>
      </c>
      <c r="Q9610">
        <f>IF('Loan Tape (S&amp;P)'!V9610="Yes",
    1.20,
    1.00)</f>
        <v/>
      </c>
      <c r="T9610">
        <f>LET(
    payment_method,'Loan Tape (S&amp;P)'!P9610,
    occupancy,'Loan Tape (S&amp;P)'!N9610,
    maturity_date,'Loan Tape (S&amp;P)'!L9610,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11">
      <c r="J9611">
        <f>LET(
    lien,'Loan Tape (S&amp;P)'!Q9611,
    IF(lien="First",1.00,
        IF(lien="Second",1.50,
            1.70)))</f>
        <v/>
      </c>
      <c r="K9611">
        <f>LET(
    purpose,'Loan Tape (S&amp;P)'!R9611,
    IF(purpose="Purchase",1.00,
        IF(purpose="Remortgage",1.00,
            1.20)))</f>
        <v/>
      </c>
      <c r="L9611">
        <f>LET(
    arrears_months,'Loan Tape (S&amp;P)'!AN9611,
    IF(arrears_months=0,1.00,
    IF(arrears_months=1,3.00,
    IF(arrears_months=2,5.00,
    IF(arrears_months=3,8.00,
    IF(arrears_months=4,10.00,
    IF(arrears_months=5,12.00,15.00)))))))</f>
        <v/>
      </c>
      <c r="M9611">
        <f>LET(
    seasoning_years,DATEDIF('Loan Tape (S&amp;P)'!K9611,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11">
        <f>IF(AND('Loan Tape (S&amp;P)'!U9611="Yes",
        'Loan Tape (S&amp;P)'!T9611&lt;&gt;"Yes",
        DATEDIF('Loan Tape (S&amp;P)'!K9611, TODAY(), "M")&lt;18),
    1.10,
    1.00)</f>
        <v/>
      </c>
      <c r="O9611">
        <f>IF('Loan Tape (S&amp;P)'!T9611="Yes",
    1.35,
    1.00)</f>
        <v/>
      </c>
      <c r="P9611">
        <f>IF('Loan Tape (S&amp;P)'!S9611="Yes",
    1.15,
    1.00)</f>
        <v/>
      </c>
      <c r="Q9611">
        <f>IF('Loan Tape (S&amp;P)'!V9611="Yes",
    1.20,
    1.00)</f>
        <v/>
      </c>
      <c r="T9611">
        <f>LET(
    payment_method,'Loan Tape (S&amp;P)'!P9611,
    occupancy,'Loan Tape (S&amp;P)'!N9611,
    maturity_date,'Loan Tape (S&amp;P)'!L9611,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12">
      <c r="J9612">
        <f>LET(
    lien,'Loan Tape (S&amp;P)'!Q9612,
    IF(lien="First",1.00,
        IF(lien="Second",1.50,
            1.70)))</f>
        <v/>
      </c>
      <c r="K9612">
        <f>LET(
    purpose,'Loan Tape (S&amp;P)'!R9612,
    IF(purpose="Purchase",1.00,
        IF(purpose="Remortgage",1.00,
            1.20)))</f>
        <v/>
      </c>
      <c r="L9612">
        <f>LET(
    arrears_months,'Loan Tape (S&amp;P)'!AN9612,
    IF(arrears_months=0,1.00,
    IF(arrears_months=1,3.00,
    IF(arrears_months=2,5.00,
    IF(arrears_months=3,8.00,
    IF(arrears_months=4,10.00,
    IF(arrears_months=5,12.00,15.00)))))))</f>
        <v/>
      </c>
      <c r="M9612">
        <f>LET(
    seasoning_years,DATEDIF('Loan Tape (S&amp;P)'!K9612,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12">
        <f>IF(AND('Loan Tape (S&amp;P)'!U9612="Yes",
        'Loan Tape (S&amp;P)'!T9612&lt;&gt;"Yes",
        DATEDIF('Loan Tape (S&amp;P)'!K9612, TODAY(), "M")&lt;18),
    1.10,
    1.00)</f>
        <v/>
      </c>
      <c r="O9612">
        <f>IF('Loan Tape (S&amp;P)'!T9612="Yes",
    1.35,
    1.00)</f>
        <v/>
      </c>
      <c r="P9612">
        <f>IF('Loan Tape (S&amp;P)'!S9612="Yes",
    1.15,
    1.00)</f>
        <v/>
      </c>
      <c r="Q9612">
        <f>IF('Loan Tape (S&amp;P)'!V9612="Yes",
    1.20,
    1.00)</f>
        <v/>
      </c>
      <c r="T9612">
        <f>LET(
    payment_method,'Loan Tape (S&amp;P)'!P9612,
    occupancy,'Loan Tape (S&amp;P)'!N9612,
    maturity_date,'Loan Tape (S&amp;P)'!L9612,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13">
      <c r="J9613">
        <f>LET(
    lien,'Loan Tape (S&amp;P)'!Q9613,
    IF(lien="First",1.00,
        IF(lien="Second",1.50,
            1.70)))</f>
        <v/>
      </c>
      <c r="K9613">
        <f>LET(
    purpose,'Loan Tape (S&amp;P)'!R9613,
    IF(purpose="Purchase",1.00,
        IF(purpose="Remortgage",1.00,
            1.20)))</f>
        <v/>
      </c>
      <c r="L9613">
        <f>LET(
    arrears_months,'Loan Tape (S&amp;P)'!AN9613,
    IF(arrears_months=0,1.00,
    IF(arrears_months=1,3.00,
    IF(arrears_months=2,5.00,
    IF(arrears_months=3,8.00,
    IF(arrears_months=4,10.00,
    IF(arrears_months=5,12.00,15.00)))))))</f>
        <v/>
      </c>
      <c r="M9613">
        <f>LET(
    seasoning_years,DATEDIF('Loan Tape (S&amp;P)'!K9613,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13">
        <f>IF(AND('Loan Tape (S&amp;P)'!U9613="Yes",
        'Loan Tape (S&amp;P)'!T9613&lt;&gt;"Yes",
        DATEDIF('Loan Tape (S&amp;P)'!K9613, TODAY(), "M")&lt;18),
    1.10,
    1.00)</f>
        <v/>
      </c>
      <c r="O9613">
        <f>IF('Loan Tape (S&amp;P)'!T9613="Yes",
    1.35,
    1.00)</f>
        <v/>
      </c>
      <c r="P9613">
        <f>IF('Loan Tape (S&amp;P)'!S9613="Yes",
    1.15,
    1.00)</f>
        <v/>
      </c>
      <c r="Q9613">
        <f>IF('Loan Tape (S&amp;P)'!V9613="Yes",
    1.20,
    1.00)</f>
        <v/>
      </c>
      <c r="T9613">
        <f>LET(
    payment_method,'Loan Tape (S&amp;P)'!P9613,
    occupancy,'Loan Tape (S&amp;P)'!N9613,
    maturity_date,'Loan Tape (S&amp;P)'!L9613,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14">
      <c r="J9614">
        <f>LET(
    lien,'Loan Tape (S&amp;P)'!Q9614,
    IF(lien="First",1.00,
        IF(lien="Second",1.50,
            1.70)))</f>
        <v/>
      </c>
      <c r="K9614">
        <f>LET(
    purpose,'Loan Tape (S&amp;P)'!R9614,
    IF(purpose="Purchase",1.00,
        IF(purpose="Remortgage",1.00,
            1.20)))</f>
        <v/>
      </c>
      <c r="L9614">
        <f>LET(
    arrears_months,'Loan Tape (S&amp;P)'!AN9614,
    IF(arrears_months=0,1.00,
    IF(arrears_months=1,3.00,
    IF(arrears_months=2,5.00,
    IF(arrears_months=3,8.00,
    IF(arrears_months=4,10.00,
    IF(arrears_months=5,12.00,15.00)))))))</f>
        <v/>
      </c>
      <c r="M9614">
        <f>LET(
    seasoning_years,DATEDIF('Loan Tape (S&amp;P)'!K9614,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14">
        <f>IF(AND('Loan Tape (S&amp;P)'!U9614="Yes",
        'Loan Tape (S&amp;P)'!T9614&lt;&gt;"Yes",
        DATEDIF('Loan Tape (S&amp;P)'!K9614, TODAY(), "M")&lt;18),
    1.10,
    1.00)</f>
        <v/>
      </c>
      <c r="O9614">
        <f>IF('Loan Tape (S&amp;P)'!T9614="Yes",
    1.35,
    1.00)</f>
        <v/>
      </c>
      <c r="P9614">
        <f>IF('Loan Tape (S&amp;P)'!S9614="Yes",
    1.15,
    1.00)</f>
        <v/>
      </c>
      <c r="Q9614">
        <f>IF('Loan Tape (S&amp;P)'!V9614="Yes",
    1.20,
    1.00)</f>
        <v/>
      </c>
      <c r="T9614">
        <f>LET(
    payment_method,'Loan Tape (S&amp;P)'!P9614,
    occupancy,'Loan Tape (S&amp;P)'!N9614,
    maturity_date,'Loan Tape (S&amp;P)'!L9614,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15">
      <c r="J9615">
        <f>LET(
    lien,'Loan Tape (S&amp;P)'!Q9615,
    IF(lien="First",1.00,
        IF(lien="Second",1.50,
            1.70)))</f>
        <v/>
      </c>
      <c r="K9615">
        <f>LET(
    purpose,'Loan Tape (S&amp;P)'!R9615,
    IF(purpose="Purchase",1.00,
        IF(purpose="Remortgage",1.00,
            1.20)))</f>
        <v/>
      </c>
      <c r="L9615">
        <f>LET(
    arrears_months,'Loan Tape (S&amp;P)'!AN9615,
    IF(arrears_months=0,1.00,
    IF(arrears_months=1,3.00,
    IF(arrears_months=2,5.00,
    IF(arrears_months=3,8.00,
    IF(arrears_months=4,10.00,
    IF(arrears_months=5,12.00,15.00)))))))</f>
        <v/>
      </c>
      <c r="M9615">
        <f>LET(
    seasoning_years,DATEDIF('Loan Tape (S&amp;P)'!K9615,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15">
        <f>IF(AND('Loan Tape (S&amp;P)'!U9615="Yes",
        'Loan Tape (S&amp;P)'!T9615&lt;&gt;"Yes",
        DATEDIF('Loan Tape (S&amp;P)'!K9615, TODAY(), "M")&lt;18),
    1.10,
    1.00)</f>
        <v/>
      </c>
      <c r="O9615">
        <f>IF('Loan Tape (S&amp;P)'!T9615="Yes",
    1.35,
    1.00)</f>
        <v/>
      </c>
      <c r="P9615">
        <f>IF('Loan Tape (S&amp;P)'!S9615="Yes",
    1.15,
    1.00)</f>
        <v/>
      </c>
      <c r="Q9615">
        <f>IF('Loan Tape (S&amp;P)'!V9615="Yes",
    1.20,
    1.00)</f>
        <v/>
      </c>
      <c r="T9615">
        <f>LET(
    payment_method,'Loan Tape (S&amp;P)'!P9615,
    occupancy,'Loan Tape (S&amp;P)'!N9615,
    maturity_date,'Loan Tape (S&amp;P)'!L9615,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16">
      <c r="J9616">
        <f>LET(
    lien,'Loan Tape (S&amp;P)'!Q9616,
    IF(lien="First",1.00,
        IF(lien="Second",1.50,
            1.70)))</f>
        <v/>
      </c>
      <c r="K9616">
        <f>LET(
    purpose,'Loan Tape (S&amp;P)'!R9616,
    IF(purpose="Purchase",1.00,
        IF(purpose="Remortgage",1.00,
            1.20)))</f>
        <v/>
      </c>
      <c r="L9616">
        <f>LET(
    arrears_months,'Loan Tape (S&amp;P)'!AN9616,
    IF(arrears_months=0,1.00,
    IF(arrears_months=1,3.00,
    IF(arrears_months=2,5.00,
    IF(arrears_months=3,8.00,
    IF(arrears_months=4,10.00,
    IF(arrears_months=5,12.00,15.00)))))))</f>
        <v/>
      </c>
      <c r="M9616">
        <f>LET(
    seasoning_years,DATEDIF('Loan Tape (S&amp;P)'!K9616,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16">
        <f>IF(AND('Loan Tape (S&amp;P)'!U9616="Yes",
        'Loan Tape (S&amp;P)'!T9616&lt;&gt;"Yes",
        DATEDIF('Loan Tape (S&amp;P)'!K9616, TODAY(), "M")&lt;18),
    1.10,
    1.00)</f>
        <v/>
      </c>
      <c r="O9616">
        <f>IF('Loan Tape (S&amp;P)'!T9616="Yes",
    1.35,
    1.00)</f>
        <v/>
      </c>
      <c r="P9616">
        <f>IF('Loan Tape (S&amp;P)'!S9616="Yes",
    1.15,
    1.00)</f>
        <v/>
      </c>
      <c r="Q9616">
        <f>IF('Loan Tape (S&amp;P)'!V9616="Yes",
    1.20,
    1.00)</f>
        <v/>
      </c>
      <c r="T9616">
        <f>LET(
    payment_method,'Loan Tape (S&amp;P)'!P9616,
    occupancy,'Loan Tape (S&amp;P)'!N9616,
    maturity_date,'Loan Tape (S&amp;P)'!L9616,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17">
      <c r="J9617">
        <f>LET(
    lien,'Loan Tape (S&amp;P)'!Q9617,
    IF(lien="First",1.00,
        IF(lien="Second",1.50,
            1.70)))</f>
        <v/>
      </c>
      <c r="K9617">
        <f>LET(
    purpose,'Loan Tape (S&amp;P)'!R9617,
    IF(purpose="Purchase",1.00,
        IF(purpose="Remortgage",1.00,
            1.20)))</f>
        <v/>
      </c>
      <c r="L9617">
        <f>LET(
    arrears_months,'Loan Tape (S&amp;P)'!AN9617,
    IF(arrears_months=0,1.00,
    IF(arrears_months=1,3.00,
    IF(arrears_months=2,5.00,
    IF(arrears_months=3,8.00,
    IF(arrears_months=4,10.00,
    IF(arrears_months=5,12.00,15.00)))))))</f>
        <v/>
      </c>
      <c r="M9617">
        <f>LET(
    seasoning_years,DATEDIF('Loan Tape (S&amp;P)'!K9617,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17">
        <f>IF(AND('Loan Tape (S&amp;P)'!U9617="Yes",
        'Loan Tape (S&amp;P)'!T9617&lt;&gt;"Yes",
        DATEDIF('Loan Tape (S&amp;P)'!K9617, TODAY(), "M")&lt;18),
    1.10,
    1.00)</f>
        <v/>
      </c>
      <c r="O9617">
        <f>IF('Loan Tape (S&amp;P)'!T9617="Yes",
    1.35,
    1.00)</f>
        <v/>
      </c>
      <c r="P9617">
        <f>IF('Loan Tape (S&amp;P)'!S9617="Yes",
    1.15,
    1.00)</f>
        <v/>
      </c>
      <c r="Q9617">
        <f>IF('Loan Tape (S&amp;P)'!V9617="Yes",
    1.20,
    1.00)</f>
        <v/>
      </c>
      <c r="T9617">
        <f>LET(
    payment_method,'Loan Tape (S&amp;P)'!P9617,
    occupancy,'Loan Tape (S&amp;P)'!N9617,
    maturity_date,'Loan Tape (S&amp;P)'!L9617,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18">
      <c r="J9618">
        <f>LET(
    lien,'Loan Tape (S&amp;P)'!Q9618,
    IF(lien="First",1.00,
        IF(lien="Second",1.50,
            1.70)))</f>
        <v/>
      </c>
      <c r="K9618">
        <f>LET(
    purpose,'Loan Tape (S&amp;P)'!R9618,
    IF(purpose="Purchase",1.00,
        IF(purpose="Remortgage",1.00,
            1.20)))</f>
        <v/>
      </c>
      <c r="L9618">
        <f>LET(
    arrears_months,'Loan Tape (S&amp;P)'!AN9618,
    IF(arrears_months=0,1.00,
    IF(arrears_months=1,3.00,
    IF(arrears_months=2,5.00,
    IF(arrears_months=3,8.00,
    IF(arrears_months=4,10.00,
    IF(arrears_months=5,12.00,15.00)))))))</f>
        <v/>
      </c>
      <c r="M9618">
        <f>LET(
    seasoning_years,DATEDIF('Loan Tape (S&amp;P)'!K9618,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18">
        <f>IF(AND('Loan Tape (S&amp;P)'!U9618="Yes",
        'Loan Tape (S&amp;P)'!T9618&lt;&gt;"Yes",
        DATEDIF('Loan Tape (S&amp;P)'!K9618, TODAY(), "M")&lt;18),
    1.10,
    1.00)</f>
        <v/>
      </c>
      <c r="O9618">
        <f>IF('Loan Tape (S&amp;P)'!T9618="Yes",
    1.35,
    1.00)</f>
        <v/>
      </c>
      <c r="P9618">
        <f>IF('Loan Tape (S&amp;P)'!S9618="Yes",
    1.15,
    1.00)</f>
        <v/>
      </c>
      <c r="Q9618">
        <f>IF('Loan Tape (S&amp;P)'!V9618="Yes",
    1.20,
    1.00)</f>
        <v/>
      </c>
      <c r="T9618">
        <f>LET(
    payment_method,'Loan Tape (S&amp;P)'!P9618,
    occupancy,'Loan Tape (S&amp;P)'!N9618,
    maturity_date,'Loan Tape (S&amp;P)'!L9618,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19">
      <c r="J9619">
        <f>LET(
    lien,'Loan Tape (S&amp;P)'!Q9619,
    IF(lien="First",1.00,
        IF(lien="Second",1.50,
            1.70)))</f>
        <v/>
      </c>
      <c r="K9619">
        <f>LET(
    purpose,'Loan Tape (S&amp;P)'!R9619,
    IF(purpose="Purchase",1.00,
        IF(purpose="Remortgage",1.00,
            1.20)))</f>
        <v/>
      </c>
      <c r="L9619">
        <f>LET(
    arrears_months,'Loan Tape (S&amp;P)'!AN9619,
    IF(arrears_months=0,1.00,
    IF(arrears_months=1,3.00,
    IF(arrears_months=2,5.00,
    IF(arrears_months=3,8.00,
    IF(arrears_months=4,10.00,
    IF(arrears_months=5,12.00,15.00)))))))</f>
        <v/>
      </c>
      <c r="M9619">
        <f>LET(
    seasoning_years,DATEDIF('Loan Tape (S&amp;P)'!K9619,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19">
        <f>IF(AND('Loan Tape (S&amp;P)'!U9619="Yes",
        'Loan Tape (S&amp;P)'!T9619&lt;&gt;"Yes",
        DATEDIF('Loan Tape (S&amp;P)'!K9619, TODAY(), "M")&lt;18),
    1.10,
    1.00)</f>
        <v/>
      </c>
      <c r="O9619">
        <f>IF('Loan Tape (S&amp;P)'!T9619="Yes",
    1.35,
    1.00)</f>
        <v/>
      </c>
      <c r="P9619">
        <f>IF('Loan Tape (S&amp;P)'!S9619="Yes",
    1.15,
    1.00)</f>
        <v/>
      </c>
      <c r="Q9619">
        <f>IF('Loan Tape (S&amp;P)'!V9619="Yes",
    1.20,
    1.00)</f>
        <v/>
      </c>
      <c r="T9619">
        <f>LET(
    payment_method,'Loan Tape (S&amp;P)'!P9619,
    occupancy,'Loan Tape (S&amp;P)'!N9619,
    maturity_date,'Loan Tape (S&amp;P)'!L9619,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20">
      <c r="J9620">
        <f>LET(
    lien,'Loan Tape (S&amp;P)'!Q9620,
    IF(lien="First",1.00,
        IF(lien="Second",1.50,
            1.70)))</f>
        <v/>
      </c>
      <c r="K9620">
        <f>LET(
    purpose,'Loan Tape (S&amp;P)'!R9620,
    IF(purpose="Purchase",1.00,
        IF(purpose="Remortgage",1.00,
            1.20)))</f>
        <v/>
      </c>
      <c r="L9620">
        <f>LET(
    arrears_months,'Loan Tape (S&amp;P)'!AN9620,
    IF(arrears_months=0,1.00,
    IF(arrears_months=1,3.00,
    IF(arrears_months=2,5.00,
    IF(arrears_months=3,8.00,
    IF(arrears_months=4,10.00,
    IF(arrears_months=5,12.00,15.00)))))))</f>
        <v/>
      </c>
      <c r="M9620">
        <f>LET(
    seasoning_years,DATEDIF('Loan Tape (S&amp;P)'!K9620,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20">
        <f>IF(AND('Loan Tape (S&amp;P)'!U9620="Yes",
        'Loan Tape (S&amp;P)'!T9620&lt;&gt;"Yes",
        DATEDIF('Loan Tape (S&amp;P)'!K9620, TODAY(), "M")&lt;18),
    1.10,
    1.00)</f>
        <v/>
      </c>
      <c r="O9620">
        <f>IF('Loan Tape (S&amp;P)'!T9620="Yes",
    1.35,
    1.00)</f>
        <v/>
      </c>
      <c r="P9620">
        <f>IF('Loan Tape (S&amp;P)'!S9620="Yes",
    1.15,
    1.00)</f>
        <v/>
      </c>
      <c r="Q9620">
        <f>IF('Loan Tape (S&amp;P)'!V9620="Yes",
    1.20,
    1.00)</f>
        <v/>
      </c>
      <c r="T9620">
        <f>LET(
    payment_method,'Loan Tape (S&amp;P)'!P9620,
    occupancy,'Loan Tape (S&amp;P)'!N9620,
    maturity_date,'Loan Tape (S&amp;P)'!L9620,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21">
      <c r="J9621">
        <f>LET(
    lien,'Loan Tape (S&amp;P)'!Q9621,
    IF(lien="First",1.00,
        IF(lien="Second",1.50,
            1.70)))</f>
        <v/>
      </c>
      <c r="K9621">
        <f>LET(
    purpose,'Loan Tape (S&amp;P)'!R9621,
    IF(purpose="Purchase",1.00,
        IF(purpose="Remortgage",1.00,
            1.20)))</f>
        <v/>
      </c>
      <c r="L9621">
        <f>LET(
    arrears_months,'Loan Tape (S&amp;P)'!AN9621,
    IF(arrears_months=0,1.00,
    IF(arrears_months=1,3.00,
    IF(arrears_months=2,5.00,
    IF(arrears_months=3,8.00,
    IF(arrears_months=4,10.00,
    IF(arrears_months=5,12.00,15.00)))))))</f>
        <v/>
      </c>
      <c r="M9621">
        <f>LET(
    seasoning_years,DATEDIF('Loan Tape (S&amp;P)'!K9621,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21">
        <f>IF(AND('Loan Tape (S&amp;P)'!U9621="Yes",
        'Loan Tape (S&amp;P)'!T9621&lt;&gt;"Yes",
        DATEDIF('Loan Tape (S&amp;P)'!K9621, TODAY(), "M")&lt;18),
    1.10,
    1.00)</f>
        <v/>
      </c>
      <c r="O9621">
        <f>IF('Loan Tape (S&amp;P)'!T9621="Yes",
    1.35,
    1.00)</f>
        <v/>
      </c>
      <c r="P9621">
        <f>IF('Loan Tape (S&amp;P)'!S9621="Yes",
    1.15,
    1.00)</f>
        <v/>
      </c>
      <c r="Q9621">
        <f>IF('Loan Tape (S&amp;P)'!V9621="Yes",
    1.20,
    1.00)</f>
        <v/>
      </c>
      <c r="T9621">
        <f>LET(
    payment_method,'Loan Tape (S&amp;P)'!P9621,
    occupancy,'Loan Tape (S&amp;P)'!N9621,
    maturity_date,'Loan Tape (S&amp;P)'!L9621,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22">
      <c r="J9622">
        <f>LET(
    lien,'Loan Tape (S&amp;P)'!Q9622,
    IF(lien="First",1.00,
        IF(lien="Second",1.50,
            1.70)))</f>
        <v/>
      </c>
      <c r="K9622">
        <f>LET(
    purpose,'Loan Tape (S&amp;P)'!R9622,
    IF(purpose="Purchase",1.00,
        IF(purpose="Remortgage",1.00,
            1.20)))</f>
        <v/>
      </c>
      <c r="L9622">
        <f>LET(
    arrears_months,'Loan Tape (S&amp;P)'!AN9622,
    IF(arrears_months=0,1.00,
    IF(arrears_months=1,3.00,
    IF(arrears_months=2,5.00,
    IF(arrears_months=3,8.00,
    IF(arrears_months=4,10.00,
    IF(arrears_months=5,12.00,15.00)))))))</f>
        <v/>
      </c>
      <c r="M9622">
        <f>LET(
    seasoning_years,DATEDIF('Loan Tape (S&amp;P)'!K9622,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22">
        <f>IF(AND('Loan Tape (S&amp;P)'!U9622="Yes",
        'Loan Tape (S&amp;P)'!T9622&lt;&gt;"Yes",
        DATEDIF('Loan Tape (S&amp;P)'!K9622, TODAY(), "M")&lt;18),
    1.10,
    1.00)</f>
        <v/>
      </c>
      <c r="O9622">
        <f>IF('Loan Tape (S&amp;P)'!T9622="Yes",
    1.35,
    1.00)</f>
        <v/>
      </c>
      <c r="P9622">
        <f>IF('Loan Tape (S&amp;P)'!S9622="Yes",
    1.15,
    1.00)</f>
        <v/>
      </c>
      <c r="Q9622">
        <f>IF('Loan Tape (S&amp;P)'!V9622="Yes",
    1.20,
    1.00)</f>
        <v/>
      </c>
      <c r="T9622">
        <f>LET(
    payment_method,'Loan Tape (S&amp;P)'!P9622,
    occupancy,'Loan Tape (S&amp;P)'!N9622,
    maturity_date,'Loan Tape (S&amp;P)'!L9622,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23">
      <c r="J9623">
        <f>LET(
    lien,'Loan Tape (S&amp;P)'!Q9623,
    IF(lien="First",1.00,
        IF(lien="Second",1.50,
            1.70)))</f>
        <v/>
      </c>
      <c r="K9623">
        <f>LET(
    purpose,'Loan Tape (S&amp;P)'!R9623,
    IF(purpose="Purchase",1.00,
        IF(purpose="Remortgage",1.00,
            1.20)))</f>
        <v/>
      </c>
      <c r="L9623">
        <f>LET(
    arrears_months,'Loan Tape (S&amp;P)'!AN9623,
    IF(arrears_months=0,1.00,
    IF(arrears_months=1,3.00,
    IF(arrears_months=2,5.00,
    IF(arrears_months=3,8.00,
    IF(arrears_months=4,10.00,
    IF(arrears_months=5,12.00,15.00)))))))</f>
        <v/>
      </c>
      <c r="M9623">
        <f>LET(
    seasoning_years,DATEDIF('Loan Tape (S&amp;P)'!K9623,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23">
        <f>IF(AND('Loan Tape (S&amp;P)'!U9623="Yes",
        'Loan Tape (S&amp;P)'!T9623&lt;&gt;"Yes",
        DATEDIF('Loan Tape (S&amp;P)'!K9623, TODAY(), "M")&lt;18),
    1.10,
    1.00)</f>
        <v/>
      </c>
      <c r="O9623">
        <f>IF('Loan Tape (S&amp;P)'!T9623="Yes",
    1.35,
    1.00)</f>
        <v/>
      </c>
      <c r="P9623">
        <f>IF('Loan Tape (S&amp;P)'!S9623="Yes",
    1.15,
    1.00)</f>
        <v/>
      </c>
      <c r="Q9623">
        <f>IF('Loan Tape (S&amp;P)'!V9623="Yes",
    1.20,
    1.00)</f>
        <v/>
      </c>
      <c r="T9623">
        <f>LET(
    payment_method,'Loan Tape (S&amp;P)'!P9623,
    occupancy,'Loan Tape (S&amp;P)'!N9623,
    maturity_date,'Loan Tape (S&amp;P)'!L9623,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24">
      <c r="J9624">
        <f>LET(
    lien,'Loan Tape (S&amp;P)'!Q9624,
    IF(lien="First",1.00,
        IF(lien="Second",1.50,
            1.70)))</f>
        <v/>
      </c>
      <c r="K9624">
        <f>LET(
    purpose,'Loan Tape (S&amp;P)'!R9624,
    IF(purpose="Purchase",1.00,
        IF(purpose="Remortgage",1.00,
            1.20)))</f>
        <v/>
      </c>
      <c r="L9624">
        <f>LET(
    arrears_months,'Loan Tape (S&amp;P)'!AN9624,
    IF(arrears_months=0,1.00,
    IF(arrears_months=1,3.00,
    IF(arrears_months=2,5.00,
    IF(arrears_months=3,8.00,
    IF(arrears_months=4,10.00,
    IF(arrears_months=5,12.00,15.00)))))))</f>
        <v/>
      </c>
      <c r="M9624">
        <f>LET(
    seasoning_years,DATEDIF('Loan Tape (S&amp;P)'!K9624,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24">
        <f>IF(AND('Loan Tape (S&amp;P)'!U9624="Yes",
        'Loan Tape (S&amp;P)'!T9624&lt;&gt;"Yes",
        DATEDIF('Loan Tape (S&amp;P)'!K9624, TODAY(), "M")&lt;18),
    1.10,
    1.00)</f>
        <v/>
      </c>
      <c r="O9624">
        <f>IF('Loan Tape (S&amp;P)'!T9624="Yes",
    1.35,
    1.00)</f>
        <v/>
      </c>
      <c r="P9624">
        <f>IF('Loan Tape (S&amp;P)'!S9624="Yes",
    1.15,
    1.00)</f>
        <v/>
      </c>
      <c r="Q9624">
        <f>IF('Loan Tape (S&amp;P)'!V9624="Yes",
    1.20,
    1.00)</f>
        <v/>
      </c>
      <c r="T9624">
        <f>LET(
    payment_method,'Loan Tape (S&amp;P)'!P9624,
    occupancy,'Loan Tape (S&amp;P)'!N9624,
    maturity_date,'Loan Tape (S&amp;P)'!L9624,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25">
      <c r="J9625">
        <f>LET(
    lien,'Loan Tape (S&amp;P)'!Q9625,
    IF(lien="First",1.00,
        IF(lien="Second",1.50,
            1.70)))</f>
        <v/>
      </c>
      <c r="K9625">
        <f>LET(
    purpose,'Loan Tape (S&amp;P)'!R9625,
    IF(purpose="Purchase",1.00,
        IF(purpose="Remortgage",1.00,
            1.20)))</f>
        <v/>
      </c>
      <c r="L9625">
        <f>LET(
    arrears_months,'Loan Tape (S&amp;P)'!AN9625,
    IF(arrears_months=0,1.00,
    IF(arrears_months=1,3.00,
    IF(arrears_months=2,5.00,
    IF(arrears_months=3,8.00,
    IF(arrears_months=4,10.00,
    IF(arrears_months=5,12.00,15.00)))))))</f>
        <v/>
      </c>
      <c r="M9625">
        <f>LET(
    seasoning_years,DATEDIF('Loan Tape (S&amp;P)'!K9625,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25">
        <f>IF(AND('Loan Tape (S&amp;P)'!U9625="Yes",
        'Loan Tape (S&amp;P)'!T9625&lt;&gt;"Yes",
        DATEDIF('Loan Tape (S&amp;P)'!K9625, TODAY(), "M")&lt;18),
    1.10,
    1.00)</f>
        <v/>
      </c>
      <c r="O9625">
        <f>IF('Loan Tape (S&amp;P)'!T9625="Yes",
    1.35,
    1.00)</f>
        <v/>
      </c>
      <c r="P9625">
        <f>IF('Loan Tape (S&amp;P)'!S9625="Yes",
    1.15,
    1.00)</f>
        <v/>
      </c>
      <c r="Q9625">
        <f>IF('Loan Tape (S&amp;P)'!V9625="Yes",
    1.20,
    1.00)</f>
        <v/>
      </c>
      <c r="T9625">
        <f>LET(
    payment_method,'Loan Tape (S&amp;P)'!P9625,
    occupancy,'Loan Tape (S&amp;P)'!N9625,
    maturity_date,'Loan Tape (S&amp;P)'!L9625,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26">
      <c r="J9626">
        <f>LET(
    lien,'Loan Tape (S&amp;P)'!Q9626,
    IF(lien="First",1.00,
        IF(lien="Second",1.50,
            1.70)))</f>
        <v/>
      </c>
      <c r="K9626">
        <f>LET(
    purpose,'Loan Tape (S&amp;P)'!R9626,
    IF(purpose="Purchase",1.00,
        IF(purpose="Remortgage",1.00,
            1.20)))</f>
        <v/>
      </c>
      <c r="L9626">
        <f>LET(
    arrears_months,'Loan Tape (S&amp;P)'!AN9626,
    IF(arrears_months=0,1.00,
    IF(arrears_months=1,3.00,
    IF(arrears_months=2,5.00,
    IF(arrears_months=3,8.00,
    IF(arrears_months=4,10.00,
    IF(arrears_months=5,12.00,15.00)))))))</f>
        <v/>
      </c>
      <c r="M9626">
        <f>LET(
    seasoning_years,DATEDIF('Loan Tape (S&amp;P)'!K9626,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26">
        <f>IF(AND('Loan Tape (S&amp;P)'!U9626="Yes",
        'Loan Tape (S&amp;P)'!T9626&lt;&gt;"Yes",
        DATEDIF('Loan Tape (S&amp;P)'!K9626, TODAY(), "M")&lt;18),
    1.10,
    1.00)</f>
        <v/>
      </c>
      <c r="O9626">
        <f>IF('Loan Tape (S&amp;P)'!T9626="Yes",
    1.35,
    1.00)</f>
        <v/>
      </c>
      <c r="P9626">
        <f>IF('Loan Tape (S&amp;P)'!S9626="Yes",
    1.15,
    1.00)</f>
        <v/>
      </c>
      <c r="Q9626">
        <f>IF('Loan Tape (S&amp;P)'!V9626="Yes",
    1.20,
    1.00)</f>
        <v/>
      </c>
      <c r="T9626">
        <f>LET(
    payment_method,'Loan Tape (S&amp;P)'!P9626,
    occupancy,'Loan Tape (S&amp;P)'!N9626,
    maturity_date,'Loan Tape (S&amp;P)'!L9626,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27">
      <c r="J9627">
        <f>LET(
    lien,'Loan Tape (S&amp;P)'!Q9627,
    IF(lien="First",1.00,
        IF(lien="Second",1.50,
            1.70)))</f>
        <v/>
      </c>
      <c r="K9627">
        <f>LET(
    purpose,'Loan Tape (S&amp;P)'!R9627,
    IF(purpose="Purchase",1.00,
        IF(purpose="Remortgage",1.00,
            1.20)))</f>
        <v/>
      </c>
      <c r="L9627">
        <f>LET(
    arrears_months,'Loan Tape (S&amp;P)'!AN9627,
    IF(arrears_months=0,1.00,
    IF(arrears_months=1,3.00,
    IF(arrears_months=2,5.00,
    IF(arrears_months=3,8.00,
    IF(arrears_months=4,10.00,
    IF(arrears_months=5,12.00,15.00)))))))</f>
        <v/>
      </c>
      <c r="M9627">
        <f>LET(
    seasoning_years,DATEDIF('Loan Tape (S&amp;P)'!K9627,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27">
        <f>IF(AND('Loan Tape (S&amp;P)'!U9627="Yes",
        'Loan Tape (S&amp;P)'!T9627&lt;&gt;"Yes",
        DATEDIF('Loan Tape (S&amp;P)'!K9627, TODAY(), "M")&lt;18),
    1.10,
    1.00)</f>
        <v/>
      </c>
      <c r="O9627">
        <f>IF('Loan Tape (S&amp;P)'!T9627="Yes",
    1.35,
    1.00)</f>
        <v/>
      </c>
      <c r="P9627">
        <f>IF('Loan Tape (S&amp;P)'!S9627="Yes",
    1.15,
    1.00)</f>
        <v/>
      </c>
      <c r="Q9627">
        <f>IF('Loan Tape (S&amp;P)'!V9627="Yes",
    1.20,
    1.00)</f>
        <v/>
      </c>
      <c r="T9627">
        <f>LET(
    payment_method,'Loan Tape (S&amp;P)'!P9627,
    occupancy,'Loan Tape (S&amp;P)'!N9627,
    maturity_date,'Loan Tape (S&amp;P)'!L9627,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28">
      <c r="J9628">
        <f>LET(
    lien,'Loan Tape (S&amp;P)'!Q9628,
    IF(lien="First",1.00,
        IF(lien="Second",1.50,
            1.70)))</f>
        <v/>
      </c>
      <c r="K9628">
        <f>LET(
    purpose,'Loan Tape (S&amp;P)'!R9628,
    IF(purpose="Purchase",1.00,
        IF(purpose="Remortgage",1.00,
            1.20)))</f>
        <v/>
      </c>
      <c r="L9628">
        <f>LET(
    arrears_months,'Loan Tape (S&amp;P)'!AN9628,
    IF(arrears_months=0,1.00,
    IF(arrears_months=1,3.00,
    IF(arrears_months=2,5.00,
    IF(arrears_months=3,8.00,
    IF(arrears_months=4,10.00,
    IF(arrears_months=5,12.00,15.00)))))))</f>
        <v/>
      </c>
      <c r="M9628">
        <f>LET(
    seasoning_years,DATEDIF('Loan Tape (S&amp;P)'!K9628,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28">
        <f>IF(AND('Loan Tape (S&amp;P)'!U9628="Yes",
        'Loan Tape (S&amp;P)'!T9628&lt;&gt;"Yes",
        DATEDIF('Loan Tape (S&amp;P)'!K9628, TODAY(), "M")&lt;18),
    1.10,
    1.00)</f>
        <v/>
      </c>
      <c r="O9628">
        <f>IF('Loan Tape (S&amp;P)'!T9628="Yes",
    1.35,
    1.00)</f>
        <v/>
      </c>
      <c r="P9628">
        <f>IF('Loan Tape (S&amp;P)'!S9628="Yes",
    1.15,
    1.00)</f>
        <v/>
      </c>
      <c r="Q9628">
        <f>IF('Loan Tape (S&amp;P)'!V9628="Yes",
    1.20,
    1.00)</f>
        <v/>
      </c>
      <c r="T9628">
        <f>LET(
    payment_method,'Loan Tape (S&amp;P)'!P9628,
    occupancy,'Loan Tape (S&amp;P)'!N9628,
    maturity_date,'Loan Tape (S&amp;P)'!L9628,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29">
      <c r="J9629">
        <f>LET(
    lien,'Loan Tape (S&amp;P)'!Q9629,
    IF(lien="First",1.00,
        IF(lien="Second",1.50,
            1.70)))</f>
        <v/>
      </c>
      <c r="K9629">
        <f>LET(
    purpose,'Loan Tape (S&amp;P)'!R9629,
    IF(purpose="Purchase",1.00,
        IF(purpose="Remortgage",1.00,
            1.20)))</f>
        <v/>
      </c>
      <c r="L9629">
        <f>LET(
    arrears_months,'Loan Tape (S&amp;P)'!AN9629,
    IF(arrears_months=0,1.00,
    IF(arrears_months=1,3.00,
    IF(arrears_months=2,5.00,
    IF(arrears_months=3,8.00,
    IF(arrears_months=4,10.00,
    IF(arrears_months=5,12.00,15.00)))))))</f>
        <v/>
      </c>
      <c r="M9629">
        <f>LET(
    seasoning_years,DATEDIF('Loan Tape (S&amp;P)'!K9629,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29">
        <f>IF(AND('Loan Tape (S&amp;P)'!U9629="Yes",
        'Loan Tape (S&amp;P)'!T9629&lt;&gt;"Yes",
        DATEDIF('Loan Tape (S&amp;P)'!K9629, TODAY(), "M")&lt;18),
    1.10,
    1.00)</f>
        <v/>
      </c>
      <c r="O9629">
        <f>IF('Loan Tape (S&amp;P)'!T9629="Yes",
    1.35,
    1.00)</f>
        <v/>
      </c>
      <c r="P9629">
        <f>IF('Loan Tape (S&amp;P)'!S9629="Yes",
    1.15,
    1.00)</f>
        <v/>
      </c>
      <c r="Q9629">
        <f>IF('Loan Tape (S&amp;P)'!V9629="Yes",
    1.20,
    1.00)</f>
        <v/>
      </c>
      <c r="T9629">
        <f>LET(
    payment_method,'Loan Tape (S&amp;P)'!P9629,
    occupancy,'Loan Tape (S&amp;P)'!N9629,
    maturity_date,'Loan Tape (S&amp;P)'!L9629,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30">
      <c r="J9630">
        <f>LET(
    lien,'Loan Tape (S&amp;P)'!Q9630,
    IF(lien="First",1.00,
        IF(lien="Second",1.50,
            1.70)))</f>
        <v/>
      </c>
      <c r="K9630">
        <f>LET(
    purpose,'Loan Tape (S&amp;P)'!R9630,
    IF(purpose="Purchase",1.00,
        IF(purpose="Remortgage",1.00,
            1.20)))</f>
        <v/>
      </c>
      <c r="L9630">
        <f>LET(
    arrears_months,'Loan Tape (S&amp;P)'!AN9630,
    IF(arrears_months=0,1.00,
    IF(arrears_months=1,3.00,
    IF(arrears_months=2,5.00,
    IF(arrears_months=3,8.00,
    IF(arrears_months=4,10.00,
    IF(arrears_months=5,12.00,15.00)))))))</f>
        <v/>
      </c>
      <c r="M9630">
        <f>LET(
    seasoning_years,DATEDIF('Loan Tape (S&amp;P)'!K9630,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30">
        <f>IF(AND('Loan Tape (S&amp;P)'!U9630="Yes",
        'Loan Tape (S&amp;P)'!T9630&lt;&gt;"Yes",
        DATEDIF('Loan Tape (S&amp;P)'!K9630, TODAY(), "M")&lt;18),
    1.10,
    1.00)</f>
        <v/>
      </c>
      <c r="O9630">
        <f>IF('Loan Tape (S&amp;P)'!T9630="Yes",
    1.35,
    1.00)</f>
        <v/>
      </c>
      <c r="P9630">
        <f>IF('Loan Tape (S&amp;P)'!S9630="Yes",
    1.15,
    1.00)</f>
        <v/>
      </c>
      <c r="Q9630">
        <f>IF('Loan Tape (S&amp;P)'!V9630="Yes",
    1.20,
    1.00)</f>
        <v/>
      </c>
      <c r="T9630">
        <f>LET(
    payment_method,'Loan Tape (S&amp;P)'!P9630,
    occupancy,'Loan Tape (S&amp;P)'!N9630,
    maturity_date,'Loan Tape (S&amp;P)'!L9630,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31">
      <c r="J9631">
        <f>LET(
    lien,'Loan Tape (S&amp;P)'!Q9631,
    IF(lien="First",1.00,
        IF(lien="Second",1.50,
            1.70)))</f>
        <v/>
      </c>
      <c r="K9631">
        <f>LET(
    purpose,'Loan Tape (S&amp;P)'!R9631,
    IF(purpose="Purchase",1.00,
        IF(purpose="Remortgage",1.00,
            1.20)))</f>
        <v/>
      </c>
      <c r="L9631">
        <f>LET(
    arrears_months,'Loan Tape (S&amp;P)'!AN9631,
    IF(arrears_months=0,1.00,
    IF(arrears_months=1,3.00,
    IF(arrears_months=2,5.00,
    IF(arrears_months=3,8.00,
    IF(arrears_months=4,10.00,
    IF(arrears_months=5,12.00,15.00)))))))</f>
        <v/>
      </c>
      <c r="M9631">
        <f>LET(
    seasoning_years,DATEDIF('Loan Tape (S&amp;P)'!K9631,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31">
        <f>IF(AND('Loan Tape (S&amp;P)'!U9631="Yes",
        'Loan Tape (S&amp;P)'!T9631&lt;&gt;"Yes",
        DATEDIF('Loan Tape (S&amp;P)'!K9631, TODAY(), "M")&lt;18),
    1.10,
    1.00)</f>
        <v/>
      </c>
      <c r="O9631">
        <f>IF('Loan Tape (S&amp;P)'!T9631="Yes",
    1.35,
    1.00)</f>
        <v/>
      </c>
      <c r="P9631">
        <f>IF('Loan Tape (S&amp;P)'!S9631="Yes",
    1.15,
    1.00)</f>
        <v/>
      </c>
      <c r="Q9631">
        <f>IF('Loan Tape (S&amp;P)'!V9631="Yes",
    1.20,
    1.00)</f>
        <v/>
      </c>
      <c r="T9631">
        <f>LET(
    payment_method,'Loan Tape (S&amp;P)'!P9631,
    occupancy,'Loan Tape (S&amp;P)'!N9631,
    maturity_date,'Loan Tape (S&amp;P)'!L9631,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32">
      <c r="J9632">
        <f>LET(
    lien,'Loan Tape (S&amp;P)'!Q9632,
    IF(lien="First",1.00,
        IF(lien="Second",1.50,
            1.70)))</f>
        <v/>
      </c>
      <c r="K9632">
        <f>LET(
    purpose,'Loan Tape (S&amp;P)'!R9632,
    IF(purpose="Purchase",1.00,
        IF(purpose="Remortgage",1.00,
            1.20)))</f>
        <v/>
      </c>
      <c r="L9632">
        <f>LET(
    arrears_months,'Loan Tape (S&amp;P)'!AN9632,
    IF(arrears_months=0,1.00,
    IF(arrears_months=1,3.00,
    IF(arrears_months=2,5.00,
    IF(arrears_months=3,8.00,
    IF(arrears_months=4,10.00,
    IF(arrears_months=5,12.00,15.00)))))))</f>
        <v/>
      </c>
      <c r="M9632">
        <f>LET(
    seasoning_years,DATEDIF('Loan Tape (S&amp;P)'!K9632,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32">
        <f>IF(AND('Loan Tape (S&amp;P)'!U9632="Yes",
        'Loan Tape (S&amp;P)'!T9632&lt;&gt;"Yes",
        DATEDIF('Loan Tape (S&amp;P)'!K9632, TODAY(), "M")&lt;18),
    1.10,
    1.00)</f>
        <v/>
      </c>
      <c r="O9632">
        <f>IF('Loan Tape (S&amp;P)'!T9632="Yes",
    1.35,
    1.00)</f>
        <v/>
      </c>
      <c r="P9632">
        <f>IF('Loan Tape (S&amp;P)'!S9632="Yes",
    1.15,
    1.00)</f>
        <v/>
      </c>
      <c r="Q9632">
        <f>IF('Loan Tape (S&amp;P)'!V9632="Yes",
    1.20,
    1.00)</f>
        <v/>
      </c>
      <c r="T9632">
        <f>LET(
    payment_method,'Loan Tape (S&amp;P)'!P9632,
    occupancy,'Loan Tape (S&amp;P)'!N9632,
    maturity_date,'Loan Tape (S&amp;P)'!L9632,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33">
      <c r="J9633">
        <f>LET(
    lien,'Loan Tape (S&amp;P)'!Q9633,
    IF(lien="First",1.00,
        IF(lien="Second",1.50,
            1.70)))</f>
        <v/>
      </c>
      <c r="K9633">
        <f>LET(
    purpose,'Loan Tape (S&amp;P)'!R9633,
    IF(purpose="Purchase",1.00,
        IF(purpose="Remortgage",1.00,
            1.20)))</f>
        <v/>
      </c>
      <c r="L9633">
        <f>LET(
    arrears_months,'Loan Tape (S&amp;P)'!AN9633,
    IF(arrears_months=0,1.00,
    IF(arrears_months=1,3.00,
    IF(arrears_months=2,5.00,
    IF(arrears_months=3,8.00,
    IF(arrears_months=4,10.00,
    IF(arrears_months=5,12.00,15.00)))))))</f>
        <v/>
      </c>
      <c r="M9633">
        <f>LET(
    seasoning_years,DATEDIF('Loan Tape (S&amp;P)'!K9633,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33">
        <f>IF(AND('Loan Tape (S&amp;P)'!U9633="Yes",
        'Loan Tape (S&amp;P)'!T9633&lt;&gt;"Yes",
        DATEDIF('Loan Tape (S&amp;P)'!K9633, TODAY(), "M")&lt;18),
    1.10,
    1.00)</f>
        <v/>
      </c>
      <c r="O9633">
        <f>IF('Loan Tape (S&amp;P)'!T9633="Yes",
    1.35,
    1.00)</f>
        <v/>
      </c>
      <c r="P9633">
        <f>IF('Loan Tape (S&amp;P)'!S9633="Yes",
    1.15,
    1.00)</f>
        <v/>
      </c>
      <c r="Q9633">
        <f>IF('Loan Tape (S&amp;P)'!V9633="Yes",
    1.20,
    1.00)</f>
        <v/>
      </c>
      <c r="T9633">
        <f>LET(
    payment_method,'Loan Tape (S&amp;P)'!P9633,
    occupancy,'Loan Tape (S&amp;P)'!N9633,
    maturity_date,'Loan Tape (S&amp;P)'!L9633,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34">
      <c r="J9634">
        <f>LET(
    lien,'Loan Tape (S&amp;P)'!Q9634,
    IF(lien="First",1.00,
        IF(lien="Second",1.50,
            1.70)))</f>
        <v/>
      </c>
      <c r="K9634">
        <f>LET(
    purpose,'Loan Tape (S&amp;P)'!R9634,
    IF(purpose="Purchase",1.00,
        IF(purpose="Remortgage",1.00,
            1.20)))</f>
        <v/>
      </c>
      <c r="L9634">
        <f>LET(
    arrears_months,'Loan Tape (S&amp;P)'!AN9634,
    IF(arrears_months=0,1.00,
    IF(arrears_months=1,3.00,
    IF(arrears_months=2,5.00,
    IF(arrears_months=3,8.00,
    IF(arrears_months=4,10.00,
    IF(arrears_months=5,12.00,15.00)))))))</f>
        <v/>
      </c>
      <c r="M9634">
        <f>LET(
    seasoning_years,DATEDIF('Loan Tape (S&amp;P)'!K9634,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34">
        <f>IF(AND('Loan Tape (S&amp;P)'!U9634="Yes",
        'Loan Tape (S&amp;P)'!T9634&lt;&gt;"Yes",
        DATEDIF('Loan Tape (S&amp;P)'!K9634, TODAY(), "M")&lt;18),
    1.10,
    1.00)</f>
        <v/>
      </c>
      <c r="O9634">
        <f>IF('Loan Tape (S&amp;P)'!T9634="Yes",
    1.35,
    1.00)</f>
        <v/>
      </c>
      <c r="P9634">
        <f>IF('Loan Tape (S&amp;P)'!S9634="Yes",
    1.15,
    1.00)</f>
        <v/>
      </c>
      <c r="Q9634">
        <f>IF('Loan Tape (S&amp;P)'!V9634="Yes",
    1.20,
    1.00)</f>
        <v/>
      </c>
      <c r="T9634">
        <f>LET(
    payment_method,'Loan Tape (S&amp;P)'!P9634,
    occupancy,'Loan Tape (S&amp;P)'!N9634,
    maturity_date,'Loan Tape (S&amp;P)'!L9634,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35">
      <c r="J9635">
        <f>LET(
    lien,'Loan Tape (S&amp;P)'!Q9635,
    IF(lien="First",1.00,
        IF(lien="Second",1.50,
            1.70)))</f>
        <v/>
      </c>
      <c r="K9635">
        <f>LET(
    purpose,'Loan Tape (S&amp;P)'!R9635,
    IF(purpose="Purchase",1.00,
        IF(purpose="Remortgage",1.00,
            1.20)))</f>
        <v/>
      </c>
      <c r="L9635">
        <f>LET(
    arrears_months,'Loan Tape (S&amp;P)'!AN9635,
    IF(arrears_months=0,1.00,
    IF(arrears_months=1,3.00,
    IF(arrears_months=2,5.00,
    IF(arrears_months=3,8.00,
    IF(arrears_months=4,10.00,
    IF(arrears_months=5,12.00,15.00)))))))</f>
        <v/>
      </c>
      <c r="M9635">
        <f>LET(
    seasoning_years,DATEDIF('Loan Tape (S&amp;P)'!K9635,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35">
        <f>IF(AND('Loan Tape (S&amp;P)'!U9635="Yes",
        'Loan Tape (S&amp;P)'!T9635&lt;&gt;"Yes",
        DATEDIF('Loan Tape (S&amp;P)'!K9635, TODAY(), "M")&lt;18),
    1.10,
    1.00)</f>
        <v/>
      </c>
      <c r="O9635">
        <f>IF('Loan Tape (S&amp;P)'!T9635="Yes",
    1.35,
    1.00)</f>
        <v/>
      </c>
      <c r="P9635">
        <f>IF('Loan Tape (S&amp;P)'!S9635="Yes",
    1.15,
    1.00)</f>
        <v/>
      </c>
      <c r="Q9635">
        <f>IF('Loan Tape (S&amp;P)'!V9635="Yes",
    1.20,
    1.00)</f>
        <v/>
      </c>
      <c r="T9635">
        <f>LET(
    payment_method,'Loan Tape (S&amp;P)'!P9635,
    occupancy,'Loan Tape (S&amp;P)'!N9635,
    maturity_date,'Loan Tape (S&amp;P)'!L9635,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36">
      <c r="J9636">
        <f>LET(
    lien,'Loan Tape (S&amp;P)'!Q9636,
    IF(lien="First",1.00,
        IF(lien="Second",1.50,
            1.70)))</f>
        <v/>
      </c>
      <c r="K9636">
        <f>LET(
    purpose,'Loan Tape (S&amp;P)'!R9636,
    IF(purpose="Purchase",1.00,
        IF(purpose="Remortgage",1.00,
            1.20)))</f>
        <v/>
      </c>
      <c r="L9636">
        <f>LET(
    arrears_months,'Loan Tape (S&amp;P)'!AN9636,
    IF(arrears_months=0,1.00,
    IF(arrears_months=1,3.00,
    IF(arrears_months=2,5.00,
    IF(arrears_months=3,8.00,
    IF(arrears_months=4,10.00,
    IF(arrears_months=5,12.00,15.00)))))))</f>
        <v/>
      </c>
      <c r="M9636">
        <f>LET(
    seasoning_years,DATEDIF('Loan Tape (S&amp;P)'!K9636,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36">
        <f>IF(AND('Loan Tape (S&amp;P)'!U9636="Yes",
        'Loan Tape (S&amp;P)'!T9636&lt;&gt;"Yes",
        DATEDIF('Loan Tape (S&amp;P)'!K9636, TODAY(), "M")&lt;18),
    1.10,
    1.00)</f>
        <v/>
      </c>
      <c r="O9636">
        <f>IF('Loan Tape (S&amp;P)'!T9636="Yes",
    1.35,
    1.00)</f>
        <v/>
      </c>
      <c r="P9636">
        <f>IF('Loan Tape (S&amp;P)'!S9636="Yes",
    1.15,
    1.00)</f>
        <v/>
      </c>
      <c r="Q9636">
        <f>IF('Loan Tape (S&amp;P)'!V9636="Yes",
    1.20,
    1.00)</f>
        <v/>
      </c>
      <c r="T9636">
        <f>LET(
    payment_method,'Loan Tape (S&amp;P)'!P9636,
    occupancy,'Loan Tape (S&amp;P)'!N9636,
    maturity_date,'Loan Tape (S&amp;P)'!L9636,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37">
      <c r="J9637">
        <f>LET(
    lien,'Loan Tape (S&amp;P)'!Q9637,
    IF(lien="First",1.00,
        IF(lien="Second",1.50,
            1.70)))</f>
        <v/>
      </c>
      <c r="K9637">
        <f>LET(
    purpose,'Loan Tape (S&amp;P)'!R9637,
    IF(purpose="Purchase",1.00,
        IF(purpose="Remortgage",1.00,
            1.20)))</f>
        <v/>
      </c>
      <c r="L9637">
        <f>LET(
    arrears_months,'Loan Tape (S&amp;P)'!AN9637,
    IF(arrears_months=0,1.00,
    IF(arrears_months=1,3.00,
    IF(arrears_months=2,5.00,
    IF(arrears_months=3,8.00,
    IF(arrears_months=4,10.00,
    IF(arrears_months=5,12.00,15.00)))))))</f>
        <v/>
      </c>
      <c r="M9637">
        <f>LET(
    seasoning_years,DATEDIF('Loan Tape (S&amp;P)'!K9637,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37">
        <f>IF(AND('Loan Tape (S&amp;P)'!U9637="Yes",
        'Loan Tape (S&amp;P)'!T9637&lt;&gt;"Yes",
        DATEDIF('Loan Tape (S&amp;P)'!K9637, TODAY(), "M")&lt;18),
    1.10,
    1.00)</f>
        <v/>
      </c>
      <c r="O9637">
        <f>IF('Loan Tape (S&amp;P)'!T9637="Yes",
    1.35,
    1.00)</f>
        <v/>
      </c>
      <c r="P9637">
        <f>IF('Loan Tape (S&amp;P)'!S9637="Yes",
    1.15,
    1.00)</f>
        <v/>
      </c>
      <c r="Q9637">
        <f>IF('Loan Tape (S&amp;P)'!V9637="Yes",
    1.20,
    1.00)</f>
        <v/>
      </c>
      <c r="T9637">
        <f>LET(
    payment_method,'Loan Tape (S&amp;P)'!P9637,
    occupancy,'Loan Tape (S&amp;P)'!N9637,
    maturity_date,'Loan Tape (S&amp;P)'!L9637,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38">
      <c r="J9638">
        <f>LET(
    lien,'Loan Tape (S&amp;P)'!Q9638,
    IF(lien="First",1.00,
        IF(lien="Second",1.50,
            1.70)))</f>
        <v/>
      </c>
      <c r="K9638">
        <f>LET(
    purpose,'Loan Tape (S&amp;P)'!R9638,
    IF(purpose="Purchase",1.00,
        IF(purpose="Remortgage",1.00,
            1.20)))</f>
        <v/>
      </c>
      <c r="L9638">
        <f>LET(
    arrears_months,'Loan Tape (S&amp;P)'!AN9638,
    IF(arrears_months=0,1.00,
    IF(arrears_months=1,3.00,
    IF(arrears_months=2,5.00,
    IF(arrears_months=3,8.00,
    IF(arrears_months=4,10.00,
    IF(arrears_months=5,12.00,15.00)))))))</f>
        <v/>
      </c>
      <c r="M9638">
        <f>LET(
    seasoning_years,DATEDIF('Loan Tape (S&amp;P)'!K9638,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38">
        <f>IF(AND('Loan Tape (S&amp;P)'!U9638="Yes",
        'Loan Tape (S&amp;P)'!T9638&lt;&gt;"Yes",
        DATEDIF('Loan Tape (S&amp;P)'!K9638, TODAY(), "M")&lt;18),
    1.10,
    1.00)</f>
        <v/>
      </c>
      <c r="O9638">
        <f>IF('Loan Tape (S&amp;P)'!T9638="Yes",
    1.35,
    1.00)</f>
        <v/>
      </c>
      <c r="P9638">
        <f>IF('Loan Tape (S&amp;P)'!S9638="Yes",
    1.15,
    1.00)</f>
        <v/>
      </c>
      <c r="Q9638">
        <f>IF('Loan Tape (S&amp;P)'!V9638="Yes",
    1.20,
    1.00)</f>
        <v/>
      </c>
      <c r="T9638">
        <f>LET(
    payment_method,'Loan Tape (S&amp;P)'!P9638,
    occupancy,'Loan Tape (S&amp;P)'!N9638,
    maturity_date,'Loan Tape (S&amp;P)'!L9638,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39">
      <c r="J9639">
        <f>LET(
    lien,'Loan Tape (S&amp;P)'!Q9639,
    IF(lien="First",1.00,
        IF(lien="Second",1.50,
            1.70)))</f>
        <v/>
      </c>
      <c r="K9639">
        <f>LET(
    purpose,'Loan Tape (S&amp;P)'!R9639,
    IF(purpose="Purchase",1.00,
        IF(purpose="Remortgage",1.00,
            1.20)))</f>
        <v/>
      </c>
      <c r="L9639">
        <f>LET(
    arrears_months,'Loan Tape (S&amp;P)'!AN9639,
    IF(arrears_months=0,1.00,
    IF(arrears_months=1,3.00,
    IF(arrears_months=2,5.00,
    IF(arrears_months=3,8.00,
    IF(arrears_months=4,10.00,
    IF(arrears_months=5,12.00,15.00)))))))</f>
        <v/>
      </c>
      <c r="M9639">
        <f>LET(
    seasoning_years,DATEDIF('Loan Tape (S&amp;P)'!K9639,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39">
        <f>IF(AND('Loan Tape (S&amp;P)'!U9639="Yes",
        'Loan Tape (S&amp;P)'!T9639&lt;&gt;"Yes",
        DATEDIF('Loan Tape (S&amp;P)'!K9639, TODAY(), "M")&lt;18),
    1.10,
    1.00)</f>
        <v/>
      </c>
      <c r="O9639">
        <f>IF('Loan Tape (S&amp;P)'!T9639="Yes",
    1.35,
    1.00)</f>
        <v/>
      </c>
      <c r="P9639">
        <f>IF('Loan Tape (S&amp;P)'!S9639="Yes",
    1.15,
    1.00)</f>
        <v/>
      </c>
      <c r="Q9639">
        <f>IF('Loan Tape (S&amp;P)'!V9639="Yes",
    1.20,
    1.00)</f>
        <v/>
      </c>
      <c r="T9639">
        <f>LET(
    payment_method,'Loan Tape (S&amp;P)'!P9639,
    occupancy,'Loan Tape (S&amp;P)'!N9639,
    maturity_date,'Loan Tape (S&amp;P)'!L9639,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40">
      <c r="J9640">
        <f>LET(
    lien,'Loan Tape (S&amp;P)'!Q9640,
    IF(lien="First",1.00,
        IF(lien="Second",1.50,
            1.70)))</f>
        <v/>
      </c>
      <c r="K9640">
        <f>LET(
    purpose,'Loan Tape (S&amp;P)'!R9640,
    IF(purpose="Purchase",1.00,
        IF(purpose="Remortgage",1.00,
            1.20)))</f>
        <v/>
      </c>
      <c r="L9640">
        <f>LET(
    arrears_months,'Loan Tape (S&amp;P)'!AN9640,
    IF(arrears_months=0,1.00,
    IF(arrears_months=1,3.00,
    IF(arrears_months=2,5.00,
    IF(arrears_months=3,8.00,
    IF(arrears_months=4,10.00,
    IF(arrears_months=5,12.00,15.00)))))))</f>
        <v/>
      </c>
      <c r="M9640">
        <f>LET(
    seasoning_years,DATEDIF('Loan Tape (S&amp;P)'!K9640,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40">
        <f>IF(AND('Loan Tape (S&amp;P)'!U9640="Yes",
        'Loan Tape (S&amp;P)'!T9640&lt;&gt;"Yes",
        DATEDIF('Loan Tape (S&amp;P)'!K9640, TODAY(), "M")&lt;18),
    1.10,
    1.00)</f>
        <v/>
      </c>
      <c r="O9640">
        <f>IF('Loan Tape (S&amp;P)'!T9640="Yes",
    1.35,
    1.00)</f>
        <v/>
      </c>
      <c r="P9640">
        <f>IF('Loan Tape (S&amp;P)'!S9640="Yes",
    1.15,
    1.00)</f>
        <v/>
      </c>
      <c r="Q9640">
        <f>IF('Loan Tape (S&amp;P)'!V9640="Yes",
    1.20,
    1.00)</f>
        <v/>
      </c>
      <c r="T9640">
        <f>LET(
    payment_method,'Loan Tape (S&amp;P)'!P9640,
    occupancy,'Loan Tape (S&amp;P)'!N9640,
    maturity_date,'Loan Tape (S&amp;P)'!L9640,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41">
      <c r="J9641">
        <f>LET(
    lien,'Loan Tape (S&amp;P)'!Q9641,
    IF(lien="First",1.00,
        IF(lien="Second",1.50,
            1.70)))</f>
        <v/>
      </c>
      <c r="K9641">
        <f>LET(
    purpose,'Loan Tape (S&amp;P)'!R9641,
    IF(purpose="Purchase",1.00,
        IF(purpose="Remortgage",1.00,
            1.20)))</f>
        <v/>
      </c>
      <c r="L9641">
        <f>LET(
    arrears_months,'Loan Tape (S&amp;P)'!AN9641,
    IF(arrears_months=0,1.00,
    IF(arrears_months=1,3.00,
    IF(arrears_months=2,5.00,
    IF(arrears_months=3,8.00,
    IF(arrears_months=4,10.00,
    IF(arrears_months=5,12.00,15.00)))))))</f>
        <v/>
      </c>
      <c r="M9641">
        <f>LET(
    seasoning_years,DATEDIF('Loan Tape (S&amp;P)'!K9641,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41">
        <f>IF(AND('Loan Tape (S&amp;P)'!U9641="Yes",
        'Loan Tape (S&amp;P)'!T9641&lt;&gt;"Yes",
        DATEDIF('Loan Tape (S&amp;P)'!K9641, TODAY(), "M")&lt;18),
    1.10,
    1.00)</f>
        <v/>
      </c>
      <c r="O9641">
        <f>IF('Loan Tape (S&amp;P)'!T9641="Yes",
    1.35,
    1.00)</f>
        <v/>
      </c>
      <c r="P9641">
        <f>IF('Loan Tape (S&amp;P)'!S9641="Yes",
    1.15,
    1.00)</f>
        <v/>
      </c>
      <c r="Q9641">
        <f>IF('Loan Tape (S&amp;P)'!V9641="Yes",
    1.20,
    1.00)</f>
        <v/>
      </c>
      <c r="T9641">
        <f>LET(
    payment_method,'Loan Tape (S&amp;P)'!P9641,
    occupancy,'Loan Tape (S&amp;P)'!N9641,
    maturity_date,'Loan Tape (S&amp;P)'!L9641,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42">
      <c r="J9642">
        <f>LET(
    lien,'Loan Tape (S&amp;P)'!Q9642,
    IF(lien="First",1.00,
        IF(lien="Second",1.50,
            1.70)))</f>
        <v/>
      </c>
      <c r="K9642">
        <f>LET(
    purpose,'Loan Tape (S&amp;P)'!R9642,
    IF(purpose="Purchase",1.00,
        IF(purpose="Remortgage",1.00,
            1.20)))</f>
        <v/>
      </c>
      <c r="L9642">
        <f>LET(
    arrears_months,'Loan Tape (S&amp;P)'!AN9642,
    IF(arrears_months=0,1.00,
    IF(arrears_months=1,3.00,
    IF(arrears_months=2,5.00,
    IF(arrears_months=3,8.00,
    IF(arrears_months=4,10.00,
    IF(arrears_months=5,12.00,15.00)))))))</f>
        <v/>
      </c>
      <c r="M9642">
        <f>LET(
    seasoning_years,DATEDIF('Loan Tape (S&amp;P)'!K9642,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42">
        <f>IF(AND('Loan Tape (S&amp;P)'!U9642="Yes",
        'Loan Tape (S&amp;P)'!T9642&lt;&gt;"Yes",
        DATEDIF('Loan Tape (S&amp;P)'!K9642, TODAY(), "M")&lt;18),
    1.10,
    1.00)</f>
        <v/>
      </c>
      <c r="O9642">
        <f>IF('Loan Tape (S&amp;P)'!T9642="Yes",
    1.35,
    1.00)</f>
        <v/>
      </c>
      <c r="P9642">
        <f>IF('Loan Tape (S&amp;P)'!S9642="Yes",
    1.15,
    1.00)</f>
        <v/>
      </c>
      <c r="Q9642">
        <f>IF('Loan Tape (S&amp;P)'!V9642="Yes",
    1.20,
    1.00)</f>
        <v/>
      </c>
      <c r="T9642">
        <f>LET(
    payment_method,'Loan Tape (S&amp;P)'!P9642,
    occupancy,'Loan Tape (S&amp;P)'!N9642,
    maturity_date,'Loan Tape (S&amp;P)'!L9642,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43">
      <c r="J9643">
        <f>LET(
    lien,'Loan Tape (S&amp;P)'!Q9643,
    IF(lien="First",1.00,
        IF(lien="Second",1.50,
            1.70)))</f>
        <v/>
      </c>
      <c r="K9643">
        <f>LET(
    purpose,'Loan Tape (S&amp;P)'!R9643,
    IF(purpose="Purchase",1.00,
        IF(purpose="Remortgage",1.00,
            1.20)))</f>
        <v/>
      </c>
      <c r="L9643">
        <f>LET(
    arrears_months,'Loan Tape (S&amp;P)'!AN9643,
    IF(arrears_months=0,1.00,
    IF(arrears_months=1,3.00,
    IF(arrears_months=2,5.00,
    IF(arrears_months=3,8.00,
    IF(arrears_months=4,10.00,
    IF(arrears_months=5,12.00,15.00)))))))</f>
        <v/>
      </c>
      <c r="M9643">
        <f>LET(
    seasoning_years,DATEDIF('Loan Tape (S&amp;P)'!K9643,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43">
        <f>IF(AND('Loan Tape (S&amp;P)'!U9643="Yes",
        'Loan Tape (S&amp;P)'!T9643&lt;&gt;"Yes",
        DATEDIF('Loan Tape (S&amp;P)'!K9643, TODAY(), "M")&lt;18),
    1.10,
    1.00)</f>
        <v/>
      </c>
      <c r="O9643">
        <f>IF('Loan Tape (S&amp;P)'!T9643="Yes",
    1.35,
    1.00)</f>
        <v/>
      </c>
      <c r="P9643">
        <f>IF('Loan Tape (S&amp;P)'!S9643="Yes",
    1.15,
    1.00)</f>
        <v/>
      </c>
      <c r="Q9643">
        <f>IF('Loan Tape (S&amp;P)'!V9643="Yes",
    1.20,
    1.00)</f>
        <v/>
      </c>
      <c r="T9643">
        <f>LET(
    payment_method,'Loan Tape (S&amp;P)'!P9643,
    occupancy,'Loan Tape (S&amp;P)'!N9643,
    maturity_date,'Loan Tape (S&amp;P)'!L9643,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44">
      <c r="J9644">
        <f>LET(
    lien,'Loan Tape (S&amp;P)'!Q9644,
    IF(lien="First",1.00,
        IF(lien="Second",1.50,
            1.70)))</f>
        <v/>
      </c>
      <c r="K9644">
        <f>LET(
    purpose,'Loan Tape (S&amp;P)'!R9644,
    IF(purpose="Purchase",1.00,
        IF(purpose="Remortgage",1.00,
            1.20)))</f>
        <v/>
      </c>
      <c r="L9644">
        <f>LET(
    arrears_months,'Loan Tape (S&amp;P)'!AN9644,
    IF(arrears_months=0,1.00,
    IF(arrears_months=1,3.00,
    IF(arrears_months=2,5.00,
    IF(arrears_months=3,8.00,
    IF(arrears_months=4,10.00,
    IF(arrears_months=5,12.00,15.00)))))))</f>
        <v/>
      </c>
      <c r="M9644">
        <f>LET(
    seasoning_years,DATEDIF('Loan Tape (S&amp;P)'!K9644,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44">
        <f>IF(AND('Loan Tape (S&amp;P)'!U9644="Yes",
        'Loan Tape (S&amp;P)'!T9644&lt;&gt;"Yes",
        DATEDIF('Loan Tape (S&amp;P)'!K9644, TODAY(), "M")&lt;18),
    1.10,
    1.00)</f>
        <v/>
      </c>
      <c r="O9644">
        <f>IF('Loan Tape (S&amp;P)'!T9644="Yes",
    1.35,
    1.00)</f>
        <v/>
      </c>
      <c r="P9644">
        <f>IF('Loan Tape (S&amp;P)'!S9644="Yes",
    1.15,
    1.00)</f>
        <v/>
      </c>
      <c r="Q9644">
        <f>IF('Loan Tape (S&amp;P)'!V9644="Yes",
    1.20,
    1.00)</f>
        <v/>
      </c>
      <c r="T9644">
        <f>LET(
    payment_method,'Loan Tape (S&amp;P)'!P9644,
    occupancy,'Loan Tape (S&amp;P)'!N9644,
    maturity_date,'Loan Tape (S&amp;P)'!L9644,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45">
      <c r="J9645">
        <f>LET(
    lien,'Loan Tape (S&amp;P)'!Q9645,
    IF(lien="First",1.00,
        IF(lien="Second",1.50,
            1.70)))</f>
        <v/>
      </c>
      <c r="K9645">
        <f>LET(
    purpose,'Loan Tape (S&amp;P)'!R9645,
    IF(purpose="Purchase",1.00,
        IF(purpose="Remortgage",1.00,
            1.20)))</f>
        <v/>
      </c>
      <c r="L9645">
        <f>LET(
    arrears_months,'Loan Tape (S&amp;P)'!AN9645,
    IF(arrears_months=0,1.00,
    IF(arrears_months=1,3.00,
    IF(arrears_months=2,5.00,
    IF(arrears_months=3,8.00,
    IF(arrears_months=4,10.00,
    IF(arrears_months=5,12.00,15.00)))))))</f>
        <v/>
      </c>
      <c r="M9645">
        <f>LET(
    seasoning_years,DATEDIF('Loan Tape (S&amp;P)'!K9645,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45">
        <f>IF(AND('Loan Tape (S&amp;P)'!U9645="Yes",
        'Loan Tape (S&amp;P)'!T9645&lt;&gt;"Yes",
        DATEDIF('Loan Tape (S&amp;P)'!K9645, TODAY(), "M")&lt;18),
    1.10,
    1.00)</f>
        <v/>
      </c>
      <c r="O9645">
        <f>IF('Loan Tape (S&amp;P)'!T9645="Yes",
    1.35,
    1.00)</f>
        <v/>
      </c>
      <c r="P9645">
        <f>IF('Loan Tape (S&amp;P)'!S9645="Yes",
    1.15,
    1.00)</f>
        <v/>
      </c>
      <c r="Q9645">
        <f>IF('Loan Tape (S&amp;P)'!V9645="Yes",
    1.20,
    1.00)</f>
        <v/>
      </c>
      <c r="T9645">
        <f>LET(
    payment_method,'Loan Tape (S&amp;P)'!P9645,
    occupancy,'Loan Tape (S&amp;P)'!N9645,
    maturity_date,'Loan Tape (S&amp;P)'!L9645,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46">
      <c r="J9646">
        <f>LET(
    lien,'Loan Tape (S&amp;P)'!Q9646,
    IF(lien="First",1.00,
        IF(lien="Second",1.50,
            1.70)))</f>
        <v/>
      </c>
      <c r="K9646">
        <f>LET(
    purpose,'Loan Tape (S&amp;P)'!R9646,
    IF(purpose="Purchase",1.00,
        IF(purpose="Remortgage",1.00,
            1.20)))</f>
        <v/>
      </c>
      <c r="L9646">
        <f>LET(
    arrears_months,'Loan Tape (S&amp;P)'!AN9646,
    IF(arrears_months=0,1.00,
    IF(arrears_months=1,3.00,
    IF(arrears_months=2,5.00,
    IF(arrears_months=3,8.00,
    IF(arrears_months=4,10.00,
    IF(arrears_months=5,12.00,15.00)))))))</f>
        <v/>
      </c>
      <c r="M9646">
        <f>LET(
    seasoning_years,DATEDIF('Loan Tape (S&amp;P)'!K9646,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46">
        <f>IF(AND('Loan Tape (S&amp;P)'!U9646="Yes",
        'Loan Tape (S&amp;P)'!T9646&lt;&gt;"Yes",
        DATEDIF('Loan Tape (S&amp;P)'!K9646, TODAY(), "M")&lt;18),
    1.10,
    1.00)</f>
        <v/>
      </c>
      <c r="O9646">
        <f>IF('Loan Tape (S&amp;P)'!T9646="Yes",
    1.35,
    1.00)</f>
        <v/>
      </c>
      <c r="P9646">
        <f>IF('Loan Tape (S&amp;P)'!S9646="Yes",
    1.15,
    1.00)</f>
        <v/>
      </c>
      <c r="Q9646">
        <f>IF('Loan Tape (S&amp;P)'!V9646="Yes",
    1.20,
    1.00)</f>
        <v/>
      </c>
      <c r="T9646">
        <f>LET(
    payment_method,'Loan Tape (S&amp;P)'!P9646,
    occupancy,'Loan Tape (S&amp;P)'!N9646,
    maturity_date,'Loan Tape (S&amp;P)'!L9646,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47">
      <c r="J9647">
        <f>LET(
    lien,'Loan Tape (S&amp;P)'!Q9647,
    IF(lien="First",1.00,
        IF(lien="Second",1.50,
            1.70)))</f>
        <v/>
      </c>
      <c r="K9647">
        <f>LET(
    purpose,'Loan Tape (S&amp;P)'!R9647,
    IF(purpose="Purchase",1.00,
        IF(purpose="Remortgage",1.00,
            1.20)))</f>
        <v/>
      </c>
      <c r="L9647">
        <f>LET(
    arrears_months,'Loan Tape (S&amp;P)'!AN9647,
    IF(arrears_months=0,1.00,
    IF(arrears_months=1,3.00,
    IF(arrears_months=2,5.00,
    IF(arrears_months=3,8.00,
    IF(arrears_months=4,10.00,
    IF(arrears_months=5,12.00,15.00)))))))</f>
        <v/>
      </c>
      <c r="M9647">
        <f>LET(
    seasoning_years,DATEDIF('Loan Tape (S&amp;P)'!K9647,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47">
        <f>IF(AND('Loan Tape (S&amp;P)'!U9647="Yes",
        'Loan Tape (S&amp;P)'!T9647&lt;&gt;"Yes",
        DATEDIF('Loan Tape (S&amp;P)'!K9647, TODAY(), "M")&lt;18),
    1.10,
    1.00)</f>
        <v/>
      </c>
      <c r="O9647">
        <f>IF('Loan Tape (S&amp;P)'!T9647="Yes",
    1.35,
    1.00)</f>
        <v/>
      </c>
      <c r="P9647">
        <f>IF('Loan Tape (S&amp;P)'!S9647="Yes",
    1.15,
    1.00)</f>
        <v/>
      </c>
      <c r="Q9647">
        <f>IF('Loan Tape (S&amp;P)'!V9647="Yes",
    1.20,
    1.00)</f>
        <v/>
      </c>
      <c r="T9647">
        <f>LET(
    payment_method,'Loan Tape (S&amp;P)'!P9647,
    occupancy,'Loan Tape (S&amp;P)'!N9647,
    maturity_date,'Loan Tape (S&amp;P)'!L9647,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48">
      <c r="J9648">
        <f>LET(
    lien,'Loan Tape (S&amp;P)'!Q9648,
    IF(lien="First",1.00,
        IF(lien="Second",1.50,
            1.70)))</f>
        <v/>
      </c>
      <c r="K9648">
        <f>LET(
    purpose,'Loan Tape (S&amp;P)'!R9648,
    IF(purpose="Purchase",1.00,
        IF(purpose="Remortgage",1.00,
            1.20)))</f>
        <v/>
      </c>
      <c r="L9648">
        <f>LET(
    arrears_months,'Loan Tape (S&amp;P)'!AN9648,
    IF(arrears_months=0,1.00,
    IF(arrears_months=1,3.00,
    IF(arrears_months=2,5.00,
    IF(arrears_months=3,8.00,
    IF(arrears_months=4,10.00,
    IF(arrears_months=5,12.00,15.00)))))))</f>
        <v/>
      </c>
      <c r="M9648">
        <f>LET(
    seasoning_years,DATEDIF('Loan Tape (S&amp;P)'!K9648,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48">
        <f>IF(AND('Loan Tape (S&amp;P)'!U9648="Yes",
        'Loan Tape (S&amp;P)'!T9648&lt;&gt;"Yes",
        DATEDIF('Loan Tape (S&amp;P)'!K9648, TODAY(), "M")&lt;18),
    1.10,
    1.00)</f>
        <v/>
      </c>
      <c r="O9648">
        <f>IF('Loan Tape (S&amp;P)'!T9648="Yes",
    1.35,
    1.00)</f>
        <v/>
      </c>
      <c r="P9648">
        <f>IF('Loan Tape (S&amp;P)'!S9648="Yes",
    1.15,
    1.00)</f>
        <v/>
      </c>
      <c r="Q9648">
        <f>IF('Loan Tape (S&amp;P)'!V9648="Yes",
    1.20,
    1.00)</f>
        <v/>
      </c>
      <c r="T9648">
        <f>LET(
    payment_method,'Loan Tape (S&amp;P)'!P9648,
    occupancy,'Loan Tape (S&amp;P)'!N9648,
    maturity_date,'Loan Tape (S&amp;P)'!L9648,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49">
      <c r="J9649">
        <f>LET(
    lien,'Loan Tape (S&amp;P)'!Q9649,
    IF(lien="First",1.00,
        IF(lien="Second",1.50,
            1.70)))</f>
        <v/>
      </c>
      <c r="K9649">
        <f>LET(
    purpose,'Loan Tape (S&amp;P)'!R9649,
    IF(purpose="Purchase",1.00,
        IF(purpose="Remortgage",1.00,
            1.20)))</f>
        <v/>
      </c>
      <c r="L9649">
        <f>LET(
    arrears_months,'Loan Tape (S&amp;P)'!AN9649,
    IF(arrears_months=0,1.00,
    IF(arrears_months=1,3.00,
    IF(arrears_months=2,5.00,
    IF(arrears_months=3,8.00,
    IF(arrears_months=4,10.00,
    IF(arrears_months=5,12.00,15.00)))))))</f>
        <v/>
      </c>
      <c r="M9649">
        <f>LET(
    seasoning_years,DATEDIF('Loan Tape (S&amp;P)'!K9649,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49">
        <f>IF(AND('Loan Tape (S&amp;P)'!U9649="Yes",
        'Loan Tape (S&amp;P)'!T9649&lt;&gt;"Yes",
        DATEDIF('Loan Tape (S&amp;P)'!K9649, TODAY(), "M")&lt;18),
    1.10,
    1.00)</f>
        <v/>
      </c>
      <c r="O9649">
        <f>IF('Loan Tape (S&amp;P)'!T9649="Yes",
    1.35,
    1.00)</f>
        <v/>
      </c>
      <c r="P9649">
        <f>IF('Loan Tape (S&amp;P)'!S9649="Yes",
    1.15,
    1.00)</f>
        <v/>
      </c>
      <c r="Q9649">
        <f>IF('Loan Tape (S&amp;P)'!V9649="Yes",
    1.20,
    1.00)</f>
        <v/>
      </c>
      <c r="T9649">
        <f>LET(
    payment_method,'Loan Tape (S&amp;P)'!P9649,
    occupancy,'Loan Tape (S&amp;P)'!N9649,
    maturity_date,'Loan Tape (S&amp;P)'!L9649,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50">
      <c r="J9650">
        <f>LET(
    lien,'Loan Tape (S&amp;P)'!Q9650,
    IF(lien="First",1.00,
        IF(lien="Second",1.50,
            1.70)))</f>
        <v/>
      </c>
      <c r="K9650">
        <f>LET(
    purpose,'Loan Tape (S&amp;P)'!R9650,
    IF(purpose="Purchase",1.00,
        IF(purpose="Remortgage",1.00,
            1.20)))</f>
        <v/>
      </c>
      <c r="L9650">
        <f>LET(
    arrears_months,'Loan Tape (S&amp;P)'!AN9650,
    IF(arrears_months=0,1.00,
    IF(arrears_months=1,3.00,
    IF(arrears_months=2,5.00,
    IF(arrears_months=3,8.00,
    IF(arrears_months=4,10.00,
    IF(arrears_months=5,12.00,15.00)))))))</f>
        <v/>
      </c>
      <c r="M9650">
        <f>LET(
    seasoning_years,DATEDIF('Loan Tape (S&amp;P)'!K9650,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50">
        <f>IF(AND('Loan Tape (S&amp;P)'!U9650="Yes",
        'Loan Tape (S&amp;P)'!T9650&lt;&gt;"Yes",
        DATEDIF('Loan Tape (S&amp;P)'!K9650, TODAY(), "M")&lt;18),
    1.10,
    1.00)</f>
        <v/>
      </c>
      <c r="O9650">
        <f>IF('Loan Tape (S&amp;P)'!T9650="Yes",
    1.35,
    1.00)</f>
        <v/>
      </c>
      <c r="P9650">
        <f>IF('Loan Tape (S&amp;P)'!S9650="Yes",
    1.15,
    1.00)</f>
        <v/>
      </c>
      <c r="Q9650">
        <f>IF('Loan Tape (S&amp;P)'!V9650="Yes",
    1.20,
    1.00)</f>
        <v/>
      </c>
      <c r="T9650">
        <f>LET(
    payment_method,'Loan Tape (S&amp;P)'!P9650,
    occupancy,'Loan Tape (S&amp;P)'!N9650,
    maturity_date,'Loan Tape (S&amp;P)'!L9650,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51">
      <c r="J9651">
        <f>LET(
    lien,'Loan Tape (S&amp;P)'!Q9651,
    IF(lien="First",1.00,
        IF(lien="Second",1.50,
            1.70)))</f>
        <v/>
      </c>
      <c r="K9651">
        <f>LET(
    purpose,'Loan Tape (S&amp;P)'!R9651,
    IF(purpose="Purchase",1.00,
        IF(purpose="Remortgage",1.00,
            1.20)))</f>
        <v/>
      </c>
      <c r="L9651">
        <f>LET(
    arrears_months,'Loan Tape (S&amp;P)'!AN9651,
    IF(arrears_months=0,1.00,
    IF(arrears_months=1,3.00,
    IF(arrears_months=2,5.00,
    IF(arrears_months=3,8.00,
    IF(arrears_months=4,10.00,
    IF(arrears_months=5,12.00,15.00)))))))</f>
        <v/>
      </c>
      <c r="M9651">
        <f>LET(
    seasoning_years,DATEDIF('Loan Tape (S&amp;P)'!K9651,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51">
        <f>IF(AND('Loan Tape (S&amp;P)'!U9651="Yes",
        'Loan Tape (S&amp;P)'!T9651&lt;&gt;"Yes",
        DATEDIF('Loan Tape (S&amp;P)'!K9651, TODAY(), "M")&lt;18),
    1.10,
    1.00)</f>
        <v/>
      </c>
      <c r="O9651">
        <f>IF('Loan Tape (S&amp;P)'!T9651="Yes",
    1.35,
    1.00)</f>
        <v/>
      </c>
      <c r="P9651">
        <f>IF('Loan Tape (S&amp;P)'!S9651="Yes",
    1.15,
    1.00)</f>
        <v/>
      </c>
      <c r="Q9651">
        <f>IF('Loan Tape (S&amp;P)'!V9651="Yes",
    1.20,
    1.00)</f>
        <v/>
      </c>
      <c r="T9651">
        <f>LET(
    payment_method,'Loan Tape (S&amp;P)'!P9651,
    occupancy,'Loan Tape (S&amp;P)'!N9651,
    maturity_date,'Loan Tape (S&amp;P)'!L9651,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52">
      <c r="J9652">
        <f>LET(
    lien,'Loan Tape (S&amp;P)'!Q9652,
    IF(lien="First",1.00,
        IF(lien="Second",1.50,
            1.70)))</f>
        <v/>
      </c>
      <c r="K9652">
        <f>LET(
    purpose,'Loan Tape (S&amp;P)'!R9652,
    IF(purpose="Purchase",1.00,
        IF(purpose="Remortgage",1.00,
            1.20)))</f>
        <v/>
      </c>
      <c r="L9652">
        <f>LET(
    arrears_months,'Loan Tape (S&amp;P)'!AN9652,
    IF(arrears_months=0,1.00,
    IF(arrears_months=1,3.00,
    IF(arrears_months=2,5.00,
    IF(arrears_months=3,8.00,
    IF(arrears_months=4,10.00,
    IF(arrears_months=5,12.00,15.00)))))))</f>
        <v/>
      </c>
      <c r="M9652">
        <f>LET(
    seasoning_years,DATEDIF('Loan Tape (S&amp;P)'!K9652,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52">
        <f>IF(AND('Loan Tape (S&amp;P)'!U9652="Yes",
        'Loan Tape (S&amp;P)'!T9652&lt;&gt;"Yes",
        DATEDIF('Loan Tape (S&amp;P)'!K9652, TODAY(), "M")&lt;18),
    1.10,
    1.00)</f>
        <v/>
      </c>
      <c r="O9652">
        <f>IF('Loan Tape (S&amp;P)'!T9652="Yes",
    1.35,
    1.00)</f>
        <v/>
      </c>
      <c r="P9652">
        <f>IF('Loan Tape (S&amp;P)'!S9652="Yes",
    1.15,
    1.00)</f>
        <v/>
      </c>
      <c r="Q9652">
        <f>IF('Loan Tape (S&amp;P)'!V9652="Yes",
    1.20,
    1.00)</f>
        <v/>
      </c>
      <c r="T9652">
        <f>LET(
    payment_method,'Loan Tape (S&amp;P)'!P9652,
    occupancy,'Loan Tape (S&amp;P)'!N9652,
    maturity_date,'Loan Tape (S&amp;P)'!L9652,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53">
      <c r="J9653">
        <f>LET(
    lien,'Loan Tape (S&amp;P)'!Q9653,
    IF(lien="First",1.00,
        IF(lien="Second",1.50,
            1.70)))</f>
        <v/>
      </c>
      <c r="K9653">
        <f>LET(
    purpose,'Loan Tape (S&amp;P)'!R9653,
    IF(purpose="Purchase",1.00,
        IF(purpose="Remortgage",1.00,
            1.20)))</f>
        <v/>
      </c>
      <c r="L9653">
        <f>LET(
    arrears_months,'Loan Tape (S&amp;P)'!AN9653,
    IF(arrears_months=0,1.00,
    IF(arrears_months=1,3.00,
    IF(arrears_months=2,5.00,
    IF(arrears_months=3,8.00,
    IF(arrears_months=4,10.00,
    IF(arrears_months=5,12.00,15.00)))))))</f>
        <v/>
      </c>
      <c r="M9653">
        <f>LET(
    seasoning_years,DATEDIF('Loan Tape (S&amp;P)'!K9653,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53">
        <f>IF(AND('Loan Tape (S&amp;P)'!U9653="Yes",
        'Loan Tape (S&amp;P)'!T9653&lt;&gt;"Yes",
        DATEDIF('Loan Tape (S&amp;P)'!K9653, TODAY(), "M")&lt;18),
    1.10,
    1.00)</f>
        <v/>
      </c>
      <c r="O9653">
        <f>IF('Loan Tape (S&amp;P)'!T9653="Yes",
    1.35,
    1.00)</f>
        <v/>
      </c>
      <c r="P9653">
        <f>IF('Loan Tape (S&amp;P)'!S9653="Yes",
    1.15,
    1.00)</f>
        <v/>
      </c>
      <c r="Q9653">
        <f>IF('Loan Tape (S&amp;P)'!V9653="Yes",
    1.20,
    1.00)</f>
        <v/>
      </c>
      <c r="T9653">
        <f>LET(
    payment_method,'Loan Tape (S&amp;P)'!P9653,
    occupancy,'Loan Tape (S&amp;P)'!N9653,
    maturity_date,'Loan Tape (S&amp;P)'!L9653,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54">
      <c r="J9654">
        <f>LET(
    lien,'Loan Tape (S&amp;P)'!Q9654,
    IF(lien="First",1.00,
        IF(lien="Second",1.50,
            1.70)))</f>
        <v/>
      </c>
      <c r="K9654">
        <f>LET(
    purpose,'Loan Tape (S&amp;P)'!R9654,
    IF(purpose="Purchase",1.00,
        IF(purpose="Remortgage",1.00,
            1.20)))</f>
        <v/>
      </c>
      <c r="L9654">
        <f>LET(
    arrears_months,'Loan Tape (S&amp;P)'!AN9654,
    IF(arrears_months=0,1.00,
    IF(arrears_months=1,3.00,
    IF(arrears_months=2,5.00,
    IF(arrears_months=3,8.00,
    IF(arrears_months=4,10.00,
    IF(arrears_months=5,12.00,15.00)))))))</f>
        <v/>
      </c>
      <c r="M9654">
        <f>LET(
    seasoning_years,DATEDIF('Loan Tape (S&amp;P)'!K9654,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54">
        <f>IF(AND('Loan Tape (S&amp;P)'!U9654="Yes",
        'Loan Tape (S&amp;P)'!T9654&lt;&gt;"Yes",
        DATEDIF('Loan Tape (S&amp;P)'!K9654, TODAY(), "M")&lt;18),
    1.10,
    1.00)</f>
        <v/>
      </c>
      <c r="O9654">
        <f>IF('Loan Tape (S&amp;P)'!T9654="Yes",
    1.35,
    1.00)</f>
        <v/>
      </c>
      <c r="P9654">
        <f>IF('Loan Tape (S&amp;P)'!S9654="Yes",
    1.15,
    1.00)</f>
        <v/>
      </c>
      <c r="Q9654">
        <f>IF('Loan Tape (S&amp;P)'!V9654="Yes",
    1.20,
    1.00)</f>
        <v/>
      </c>
      <c r="T9654">
        <f>LET(
    payment_method,'Loan Tape (S&amp;P)'!P9654,
    occupancy,'Loan Tape (S&amp;P)'!N9654,
    maturity_date,'Loan Tape (S&amp;P)'!L9654,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55">
      <c r="J9655">
        <f>LET(
    lien,'Loan Tape (S&amp;P)'!Q9655,
    IF(lien="First",1.00,
        IF(lien="Second",1.50,
            1.70)))</f>
        <v/>
      </c>
      <c r="K9655">
        <f>LET(
    purpose,'Loan Tape (S&amp;P)'!R9655,
    IF(purpose="Purchase",1.00,
        IF(purpose="Remortgage",1.00,
            1.20)))</f>
        <v/>
      </c>
      <c r="L9655">
        <f>LET(
    arrears_months,'Loan Tape (S&amp;P)'!AN9655,
    IF(arrears_months=0,1.00,
    IF(arrears_months=1,3.00,
    IF(arrears_months=2,5.00,
    IF(arrears_months=3,8.00,
    IF(arrears_months=4,10.00,
    IF(arrears_months=5,12.00,15.00)))))))</f>
        <v/>
      </c>
      <c r="M9655">
        <f>LET(
    seasoning_years,DATEDIF('Loan Tape (S&amp;P)'!K9655,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55">
        <f>IF(AND('Loan Tape (S&amp;P)'!U9655="Yes",
        'Loan Tape (S&amp;P)'!T9655&lt;&gt;"Yes",
        DATEDIF('Loan Tape (S&amp;P)'!K9655, TODAY(), "M")&lt;18),
    1.10,
    1.00)</f>
        <v/>
      </c>
      <c r="O9655">
        <f>IF('Loan Tape (S&amp;P)'!T9655="Yes",
    1.35,
    1.00)</f>
        <v/>
      </c>
      <c r="P9655">
        <f>IF('Loan Tape (S&amp;P)'!S9655="Yes",
    1.15,
    1.00)</f>
        <v/>
      </c>
      <c r="Q9655">
        <f>IF('Loan Tape (S&amp;P)'!V9655="Yes",
    1.20,
    1.00)</f>
        <v/>
      </c>
      <c r="T9655">
        <f>LET(
    payment_method,'Loan Tape (S&amp;P)'!P9655,
    occupancy,'Loan Tape (S&amp;P)'!N9655,
    maturity_date,'Loan Tape (S&amp;P)'!L9655,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56">
      <c r="J9656">
        <f>LET(
    lien,'Loan Tape (S&amp;P)'!Q9656,
    IF(lien="First",1.00,
        IF(lien="Second",1.50,
            1.70)))</f>
        <v/>
      </c>
      <c r="K9656">
        <f>LET(
    purpose,'Loan Tape (S&amp;P)'!R9656,
    IF(purpose="Purchase",1.00,
        IF(purpose="Remortgage",1.00,
            1.20)))</f>
        <v/>
      </c>
      <c r="L9656">
        <f>LET(
    arrears_months,'Loan Tape (S&amp;P)'!AN9656,
    IF(arrears_months=0,1.00,
    IF(arrears_months=1,3.00,
    IF(arrears_months=2,5.00,
    IF(arrears_months=3,8.00,
    IF(arrears_months=4,10.00,
    IF(arrears_months=5,12.00,15.00)))))))</f>
        <v/>
      </c>
      <c r="M9656">
        <f>LET(
    seasoning_years,DATEDIF('Loan Tape (S&amp;P)'!K9656,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56">
        <f>IF(AND('Loan Tape (S&amp;P)'!U9656="Yes",
        'Loan Tape (S&amp;P)'!T9656&lt;&gt;"Yes",
        DATEDIF('Loan Tape (S&amp;P)'!K9656, TODAY(), "M")&lt;18),
    1.10,
    1.00)</f>
        <v/>
      </c>
      <c r="O9656">
        <f>IF('Loan Tape (S&amp;P)'!T9656="Yes",
    1.35,
    1.00)</f>
        <v/>
      </c>
      <c r="P9656">
        <f>IF('Loan Tape (S&amp;P)'!S9656="Yes",
    1.15,
    1.00)</f>
        <v/>
      </c>
      <c r="Q9656">
        <f>IF('Loan Tape (S&amp;P)'!V9656="Yes",
    1.20,
    1.00)</f>
        <v/>
      </c>
      <c r="T9656">
        <f>LET(
    payment_method,'Loan Tape (S&amp;P)'!P9656,
    occupancy,'Loan Tape (S&amp;P)'!N9656,
    maturity_date,'Loan Tape (S&amp;P)'!L9656,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57">
      <c r="J9657">
        <f>LET(
    lien,'Loan Tape (S&amp;P)'!Q9657,
    IF(lien="First",1.00,
        IF(lien="Second",1.50,
            1.70)))</f>
        <v/>
      </c>
      <c r="K9657">
        <f>LET(
    purpose,'Loan Tape (S&amp;P)'!R9657,
    IF(purpose="Purchase",1.00,
        IF(purpose="Remortgage",1.00,
            1.20)))</f>
        <v/>
      </c>
      <c r="L9657">
        <f>LET(
    arrears_months,'Loan Tape (S&amp;P)'!AN9657,
    IF(arrears_months=0,1.00,
    IF(arrears_months=1,3.00,
    IF(arrears_months=2,5.00,
    IF(arrears_months=3,8.00,
    IF(arrears_months=4,10.00,
    IF(arrears_months=5,12.00,15.00)))))))</f>
        <v/>
      </c>
      <c r="M9657">
        <f>LET(
    seasoning_years,DATEDIF('Loan Tape (S&amp;P)'!K9657,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57">
        <f>IF(AND('Loan Tape (S&amp;P)'!U9657="Yes",
        'Loan Tape (S&amp;P)'!T9657&lt;&gt;"Yes",
        DATEDIF('Loan Tape (S&amp;P)'!K9657, TODAY(), "M")&lt;18),
    1.10,
    1.00)</f>
        <v/>
      </c>
      <c r="O9657">
        <f>IF('Loan Tape (S&amp;P)'!T9657="Yes",
    1.35,
    1.00)</f>
        <v/>
      </c>
      <c r="P9657">
        <f>IF('Loan Tape (S&amp;P)'!S9657="Yes",
    1.15,
    1.00)</f>
        <v/>
      </c>
      <c r="Q9657">
        <f>IF('Loan Tape (S&amp;P)'!V9657="Yes",
    1.20,
    1.00)</f>
        <v/>
      </c>
      <c r="T9657">
        <f>LET(
    payment_method,'Loan Tape (S&amp;P)'!P9657,
    occupancy,'Loan Tape (S&amp;P)'!N9657,
    maturity_date,'Loan Tape (S&amp;P)'!L9657,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58">
      <c r="J9658">
        <f>LET(
    lien,'Loan Tape (S&amp;P)'!Q9658,
    IF(lien="First",1.00,
        IF(lien="Second",1.50,
            1.70)))</f>
        <v/>
      </c>
      <c r="K9658">
        <f>LET(
    purpose,'Loan Tape (S&amp;P)'!R9658,
    IF(purpose="Purchase",1.00,
        IF(purpose="Remortgage",1.00,
            1.20)))</f>
        <v/>
      </c>
      <c r="L9658">
        <f>LET(
    arrears_months,'Loan Tape (S&amp;P)'!AN9658,
    IF(arrears_months=0,1.00,
    IF(arrears_months=1,3.00,
    IF(arrears_months=2,5.00,
    IF(arrears_months=3,8.00,
    IF(arrears_months=4,10.00,
    IF(arrears_months=5,12.00,15.00)))))))</f>
        <v/>
      </c>
      <c r="M9658">
        <f>LET(
    seasoning_years,DATEDIF('Loan Tape (S&amp;P)'!K9658,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58">
        <f>IF(AND('Loan Tape (S&amp;P)'!U9658="Yes",
        'Loan Tape (S&amp;P)'!T9658&lt;&gt;"Yes",
        DATEDIF('Loan Tape (S&amp;P)'!K9658, TODAY(), "M")&lt;18),
    1.10,
    1.00)</f>
        <v/>
      </c>
      <c r="O9658">
        <f>IF('Loan Tape (S&amp;P)'!T9658="Yes",
    1.35,
    1.00)</f>
        <v/>
      </c>
      <c r="P9658">
        <f>IF('Loan Tape (S&amp;P)'!S9658="Yes",
    1.15,
    1.00)</f>
        <v/>
      </c>
      <c r="Q9658">
        <f>IF('Loan Tape (S&amp;P)'!V9658="Yes",
    1.20,
    1.00)</f>
        <v/>
      </c>
      <c r="T9658">
        <f>LET(
    payment_method,'Loan Tape (S&amp;P)'!P9658,
    occupancy,'Loan Tape (S&amp;P)'!N9658,
    maturity_date,'Loan Tape (S&amp;P)'!L9658,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59">
      <c r="J9659">
        <f>LET(
    lien,'Loan Tape (S&amp;P)'!Q9659,
    IF(lien="First",1.00,
        IF(lien="Second",1.50,
            1.70)))</f>
        <v/>
      </c>
      <c r="K9659">
        <f>LET(
    purpose,'Loan Tape (S&amp;P)'!R9659,
    IF(purpose="Purchase",1.00,
        IF(purpose="Remortgage",1.00,
            1.20)))</f>
        <v/>
      </c>
      <c r="L9659">
        <f>LET(
    arrears_months,'Loan Tape (S&amp;P)'!AN9659,
    IF(arrears_months=0,1.00,
    IF(arrears_months=1,3.00,
    IF(arrears_months=2,5.00,
    IF(arrears_months=3,8.00,
    IF(arrears_months=4,10.00,
    IF(arrears_months=5,12.00,15.00)))))))</f>
        <v/>
      </c>
      <c r="M9659">
        <f>LET(
    seasoning_years,DATEDIF('Loan Tape (S&amp;P)'!K9659,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59">
        <f>IF(AND('Loan Tape (S&amp;P)'!U9659="Yes",
        'Loan Tape (S&amp;P)'!T9659&lt;&gt;"Yes",
        DATEDIF('Loan Tape (S&amp;P)'!K9659, TODAY(), "M")&lt;18),
    1.10,
    1.00)</f>
        <v/>
      </c>
      <c r="O9659">
        <f>IF('Loan Tape (S&amp;P)'!T9659="Yes",
    1.35,
    1.00)</f>
        <v/>
      </c>
      <c r="P9659">
        <f>IF('Loan Tape (S&amp;P)'!S9659="Yes",
    1.15,
    1.00)</f>
        <v/>
      </c>
      <c r="Q9659">
        <f>IF('Loan Tape (S&amp;P)'!V9659="Yes",
    1.20,
    1.00)</f>
        <v/>
      </c>
      <c r="T9659">
        <f>LET(
    payment_method,'Loan Tape (S&amp;P)'!P9659,
    occupancy,'Loan Tape (S&amp;P)'!N9659,
    maturity_date,'Loan Tape (S&amp;P)'!L9659,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60">
      <c r="J9660">
        <f>LET(
    lien,'Loan Tape (S&amp;P)'!Q9660,
    IF(lien="First",1.00,
        IF(lien="Second",1.50,
            1.70)))</f>
        <v/>
      </c>
      <c r="K9660">
        <f>LET(
    purpose,'Loan Tape (S&amp;P)'!R9660,
    IF(purpose="Purchase",1.00,
        IF(purpose="Remortgage",1.00,
            1.20)))</f>
        <v/>
      </c>
      <c r="L9660">
        <f>LET(
    arrears_months,'Loan Tape (S&amp;P)'!AN9660,
    IF(arrears_months=0,1.00,
    IF(arrears_months=1,3.00,
    IF(arrears_months=2,5.00,
    IF(arrears_months=3,8.00,
    IF(arrears_months=4,10.00,
    IF(arrears_months=5,12.00,15.00)))))))</f>
        <v/>
      </c>
      <c r="M9660">
        <f>LET(
    seasoning_years,DATEDIF('Loan Tape (S&amp;P)'!K9660,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60">
        <f>IF(AND('Loan Tape (S&amp;P)'!U9660="Yes",
        'Loan Tape (S&amp;P)'!T9660&lt;&gt;"Yes",
        DATEDIF('Loan Tape (S&amp;P)'!K9660, TODAY(), "M")&lt;18),
    1.10,
    1.00)</f>
        <v/>
      </c>
      <c r="O9660">
        <f>IF('Loan Tape (S&amp;P)'!T9660="Yes",
    1.35,
    1.00)</f>
        <v/>
      </c>
      <c r="P9660">
        <f>IF('Loan Tape (S&amp;P)'!S9660="Yes",
    1.15,
    1.00)</f>
        <v/>
      </c>
      <c r="Q9660">
        <f>IF('Loan Tape (S&amp;P)'!V9660="Yes",
    1.20,
    1.00)</f>
        <v/>
      </c>
      <c r="T9660">
        <f>LET(
    payment_method,'Loan Tape (S&amp;P)'!P9660,
    occupancy,'Loan Tape (S&amp;P)'!N9660,
    maturity_date,'Loan Tape (S&amp;P)'!L9660,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61">
      <c r="J9661">
        <f>LET(
    lien,'Loan Tape (S&amp;P)'!Q9661,
    IF(lien="First",1.00,
        IF(lien="Second",1.50,
            1.70)))</f>
        <v/>
      </c>
      <c r="K9661">
        <f>LET(
    purpose,'Loan Tape (S&amp;P)'!R9661,
    IF(purpose="Purchase",1.00,
        IF(purpose="Remortgage",1.00,
            1.20)))</f>
        <v/>
      </c>
      <c r="L9661">
        <f>LET(
    arrears_months,'Loan Tape (S&amp;P)'!AN9661,
    IF(arrears_months=0,1.00,
    IF(arrears_months=1,3.00,
    IF(arrears_months=2,5.00,
    IF(arrears_months=3,8.00,
    IF(arrears_months=4,10.00,
    IF(arrears_months=5,12.00,15.00)))))))</f>
        <v/>
      </c>
      <c r="M9661">
        <f>LET(
    seasoning_years,DATEDIF('Loan Tape (S&amp;P)'!K9661,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61">
        <f>IF(AND('Loan Tape (S&amp;P)'!U9661="Yes",
        'Loan Tape (S&amp;P)'!T9661&lt;&gt;"Yes",
        DATEDIF('Loan Tape (S&amp;P)'!K9661, TODAY(), "M")&lt;18),
    1.10,
    1.00)</f>
        <v/>
      </c>
      <c r="O9661">
        <f>IF('Loan Tape (S&amp;P)'!T9661="Yes",
    1.35,
    1.00)</f>
        <v/>
      </c>
      <c r="P9661">
        <f>IF('Loan Tape (S&amp;P)'!S9661="Yes",
    1.15,
    1.00)</f>
        <v/>
      </c>
      <c r="Q9661">
        <f>IF('Loan Tape (S&amp;P)'!V9661="Yes",
    1.20,
    1.00)</f>
        <v/>
      </c>
      <c r="T9661">
        <f>LET(
    payment_method,'Loan Tape (S&amp;P)'!P9661,
    occupancy,'Loan Tape (S&amp;P)'!N9661,
    maturity_date,'Loan Tape (S&amp;P)'!L9661,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62">
      <c r="J9662">
        <f>LET(
    lien,'Loan Tape (S&amp;P)'!Q9662,
    IF(lien="First",1.00,
        IF(lien="Second",1.50,
            1.70)))</f>
        <v/>
      </c>
      <c r="K9662">
        <f>LET(
    purpose,'Loan Tape (S&amp;P)'!R9662,
    IF(purpose="Purchase",1.00,
        IF(purpose="Remortgage",1.00,
            1.20)))</f>
        <v/>
      </c>
      <c r="L9662">
        <f>LET(
    arrears_months,'Loan Tape (S&amp;P)'!AN9662,
    IF(arrears_months=0,1.00,
    IF(arrears_months=1,3.00,
    IF(arrears_months=2,5.00,
    IF(arrears_months=3,8.00,
    IF(arrears_months=4,10.00,
    IF(arrears_months=5,12.00,15.00)))))))</f>
        <v/>
      </c>
      <c r="M9662">
        <f>LET(
    seasoning_years,DATEDIF('Loan Tape (S&amp;P)'!K9662,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62">
        <f>IF(AND('Loan Tape (S&amp;P)'!U9662="Yes",
        'Loan Tape (S&amp;P)'!T9662&lt;&gt;"Yes",
        DATEDIF('Loan Tape (S&amp;P)'!K9662, TODAY(), "M")&lt;18),
    1.10,
    1.00)</f>
        <v/>
      </c>
      <c r="O9662">
        <f>IF('Loan Tape (S&amp;P)'!T9662="Yes",
    1.35,
    1.00)</f>
        <v/>
      </c>
      <c r="P9662">
        <f>IF('Loan Tape (S&amp;P)'!S9662="Yes",
    1.15,
    1.00)</f>
        <v/>
      </c>
      <c r="Q9662">
        <f>IF('Loan Tape (S&amp;P)'!V9662="Yes",
    1.20,
    1.00)</f>
        <v/>
      </c>
      <c r="T9662">
        <f>LET(
    payment_method,'Loan Tape (S&amp;P)'!P9662,
    occupancy,'Loan Tape (S&amp;P)'!N9662,
    maturity_date,'Loan Tape (S&amp;P)'!L9662,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63">
      <c r="J9663">
        <f>LET(
    lien,'Loan Tape (S&amp;P)'!Q9663,
    IF(lien="First",1.00,
        IF(lien="Second",1.50,
            1.70)))</f>
        <v/>
      </c>
      <c r="K9663">
        <f>LET(
    purpose,'Loan Tape (S&amp;P)'!R9663,
    IF(purpose="Purchase",1.00,
        IF(purpose="Remortgage",1.00,
            1.20)))</f>
        <v/>
      </c>
      <c r="L9663">
        <f>LET(
    arrears_months,'Loan Tape (S&amp;P)'!AN9663,
    IF(arrears_months=0,1.00,
    IF(arrears_months=1,3.00,
    IF(arrears_months=2,5.00,
    IF(arrears_months=3,8.00,
    IF(arrears_months=4,10.00,
    IF(arrears_months=5,12.00,15.00)))))))</f>
        <v/>
      </c>
      <c r="M9663">
        <f>LET(
    seasoning_years,DATEDIF('Loan Tape (S&amp;P)'!K9663,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63">
        <f>IF(AND('Loan Tape (S&amp;P)'!U9663="Yes",
        'Loan Tape (S&amp;P)'!T9663&lt;&gt;"Yes",
        DATEDIF('Loan Tape (S&amp;P)'!K9663, TODAY(), "M")&lt;18),
    1.10,
    1.00)</f>
        <v/>
      </c>
      <c r="O9663">
        <f>IF('Loan Tape (S&amp;P)'!T9663="Yes",
    1.35,
    1.00)</f>
        <v/>
      </c>
      <c r="P9663">
        <f>IF('Loan Tape (S&amp;P)'!S9663="Yes",
    1.15,
    1.00)</f>
        <v/>
      </c>
      <c r="Q9663">
        <f>IF('Loan Tape (S&amp;P)'!V9663="Yes",
    1.20,
    1.00)</f>
        <v/>
      </c>
      <c r="T9663">
        <f>LET(
    payment_method,'Loan Tape (S&amp;P)'!P9663,
    occupancy,'Loan Tape (S&amp;P)'!N9663,
    maturity_date,'Loan Tape (S&amp;P)'!L9663,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64">
      <c r="J9664">
        <f>LET(
    lien,'Loan Tape (S&amp;P)'!Q9664,
    IF(lien="First",1.00,
        IF(lien="Second",1.50,
            1.70)))</f>
        <v/>
      </c>
      <c r="K9664">
        <f>LET(
    purpose,'Loan Tape (S&amp;P)'!R9664,
    IF(purpose="Purchase",1.00,
        IF(purpose="Remortgage",1.00,
            1.20)))</f>
        <v/>
      </c>
      <c r="L9664">
        <f>LET(
    arrears_months,'Loan Tape (S&amp;P)'!AN9664,
    IF(arrears_months=0,1.00,
    IF(arrears_months=1,3.00,
    IF(arrears_months=2,5.00,
    IF(arrears_months=3,8.00,
    IF(arrears_months=4,10.00,
    IF(arrears_months=5,12.00,15.00)))))))</f>
        <v/>
      </c>
      <c r="M9664">
        <f>LET(
    seasoning_years,DATEDIF('Loan Tape (S&amp;P)'!K9664,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64">
        <f>IF(AND('Loan Tape (S&amp;P)'!U9664="Yes",
        'Loan Tape (S&amp;P)'!T9664&lt;&gt;"Yes",
        DATEDIF('Loan Tape (S&amp;P)'!K9664, TODAY(), "M")&lt;18),
    1.10,
    1.00)</f>
        <v/>
      </c>
      <c r="O9664">
        <f>IF('Loan Tape (S&amp;P)'!T9664="Yes",
    1.35,
    1.00)</f>
        <v/>
      </c>
      <c r="P9664">
        <f>IF('Loan Tape (S&amp;P)'!S9664="Yes",
    1.15,
    1.00)</f>
        <v/>
      </c>
      <c r="Q9664">
        <f>IF('Loan Tape (S&amp;P)'!V9664="Yes",
    1.20,
    1.00)</f>
        <v/>
      </c>
      <c r="T9664">
        <f>LET(
    payment_method,'Loan Tape (S&amp;P)'!P9664,
    occupancy,'Loan Tape (S&amp;P)'!N9664,
    maturity_date,'Loan Tape (S&amp;P)'!L9664,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65">
      <c r="J9665">
        <f>LET(
    lien,'Loan Tape (S&amp;P)'!Q9665,
    IF(lien="First",1.00,
        IF(lien="Second",1.50,
            1.70)))</f>
        <v/>
      </c>
      <c r="K9665">
        <f>LET(
    purpose,'Loan Tape (S&amp;P)'!R9665,
    IF(purpose="Purchase",1.00,
        IF(purpose="Remortgage",1.00,
            1.20)))</f>
        <v/>
      </c>
      <c r="L9665">
        <f>LET(
    arrears_months,'Loan Tape (S&amp;P)'!AN9665,
    IF(arrears_months=0,1.00,
    IF(arrears_months=1,3.00,
    IF(arrears_months=2,5.00,
    IF(arrears_months=3,8.00,
    IF(arrears_months=4,10.00,
    IF(arrears_months=5,12.00,15.00)))))))</f>
        <v/>
      </c>
      <c r="M9665">
        <f>LET(
    seasoning_years,DATEDIF('Loan Tape (S&amp;P)'!K9665,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65">
        <f>IF(AND('Loan Tape (S&amp;P)'!U9665="Yes",
        'Loan Tape (S&amp;P)'!T9665&lt;&gt;"Yes",
        DATEDIF('Loan Tape (S&amp;P)'!K9665, TODAY(), "M")&lt;18),
    1.10,
    1.00)</f>
        <v/>
      </c>
      <c r="O9665">
        <f>IF('Loan Tape (S&amp;P)'!T9665="Yes",
    1.35,
    1.00)</f>
        <v/>
      </c>
      <c r="P9665">
        <f>IF('Loan Tape (S&amp;P)'!S9665="Yes",
    1.15,
    1.00)</f>
        <v/>
      </c>
      <c r="Q9665">
        <f>IF('Loan Tape (S&amp;P)'!V9665="Yes",
    1.20,
    1.00)</f>
        <v/>
      </c>
      <c r="T9665">
        <f>LET(
    payment_method,'Loan Tape (S&amp;P)'!P9665,
    occupancy,'Loan Tape (S&amp;P)'!N9665,
    maturity_date,'Loan Tape (S&amp;P)'!L9665,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66">
      <c r="J9666">
        <f>LET(
    lien,'Loan Tape (S&amp;P)'!Q9666,
    IF(lien="First",1.00,
        IF(lien="Second",1.50,
            1.70)))</f>
        <v/>
      </c>
      <c r="K9666">
        <f>LET(
    purpose,'Loan Tape (S&amp;P)'!R9666,
    IF(purpose="Purchase",1.00,
        IF(purpose="Remortgage",1.00,
            1.20)))</f>
        <v/>
      </c>
      <c r="L9666">
        <f>LET(
    arrears_months,'Loan Tape (S&amp;P)'!AN9666,
    IF(arrears_months=0,1.00,
    IF(arrears_months=1,3.00,
    IF(arrears_months=2,5.00,
    IF(arrears_months=3,8.00,
    IF(arrears_months=4,10.00,
    IF(arrears_months=5,12.00,15.00)))))))</f>
        <v/>
      </c>
      <c r="M9666">
        <f>LET(
    seasoning_years,DATEDIF('Loan Tape (S&amp;P)'!K9666,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66">
        <f>IF(AND('Loan Tape (S&amp;P)'!U9666="Yes",
        'Loan Tape (S&amp;P)'!T9666&lt;&gt;"Yes",
        DATEDIF('Loan Tape (S&amp;P)'!K9666, TODAY(), "M")&lt;18),
    1.10,
    1.00)</f>
        <v/>
      </c>
      <c r="O9666">
        <f>IF('Loan Tape (S&amp;P)'!T9666="Yes",
    1.35,
    1.00)</f>
        <v/>
      </c>
      <c r="P9666">
        <f>IF('Loan Tape (S&amp;P)'!S9666="Yes",
    1.15,
    1.00)</f>
        <v/>
      </c>
      <c r="Q9666">
        <f>IF('Loan Tape (S&amp;P)'!V9666="Yes",
    1.20,
    1.00)</f>
        <v/>
      </c>
      <c r="T9666">
        <f>LET(
    payment_method,'Loan Tape (S&amp;P)'!P9666,
    occupancy,'Loan Tape (S&amp;P)'!N9666,
    maturity_date,'Loan Tape (S&amp;P)'!L9666,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67">
      <c r="J9667">
        <f>LET(
    lien,'Loan Tape (S&amp;P)'!Q9667,
    IF(lien="First",1.00,
        IF(lien="Second",1.50,
            1.70)))</f>
        <v/>
      </c>
      <c r="K9667">
        <f>LET(
    purpose,'Loan Tape (S&amp;P)'!R9667,
    IF(purpose="Purchase",1.00,
        IF(purpose="Remortgage",1.00,
            1.20)))</f>
        <v/>
      </c>
      <c r="L9667">
        <f>LET(
    arrears_months,'Loan Tape (S&amp;P)'!AN9667,
    IF(arrears_months=0,1.00,
    IF(arrears_months=1,3.00,
    IF(arrears_months=2,5.00,
    IF(arrears_months=3,8.00,
    IF(arrears_months=4,10.00,
    IF(arrears_months=5,12.00,15.00)))))))</f>
        <v/>
      </c>
      <c r="M9667">
        <f>LET(
    seasoning_years,DATEDIF('Loan Tape (S&amp;P)'!K9667,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67">
        <f>IF(AND('Loan Tape (S&amp;P)'!U9667="Yes",
        'Loan Tape (S&amp;P)'!T9667&lt;&gt;"Yes",
        DATEDIF('Loan Tape (S&amp;P)'!K9667, TODAY(), "M")&lt;18),
    1.10,
    1.00)</f>
        <v/>
      </c>
      <c r="O9667">
        <f>IF('Loan Tape (S&amp;P)'!T9667="Yes",
    1.35,
    1.00)</f>
        <v/>
      </c>
      <c r="P9667">
        <f>IF('Loan Tape (S&amp;P)'!S9667="Yes",
    1.15,
    1.00)</f>
        <v/>
      </c>
      <c r="Q9667">
        <f>IF('Loan Tape (S&amp;P)'!V9667="Yes",
    1.20,
    1.00)</f>
        <v/>
      </c>
      <c r="T9667">
        <f>LET(
    payment_method,'Loan Tape (S&amp;P)'!P9667,
    occupancy,'Loan Tape (S&amp;P)'!N9667,
    maturity_date,'Loan Tape (S&amp;P)'!L9667,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68">
      <c r="J9668">
        <f>LET(
    lien,'Loan Tape (S&amp;P)'!Q9668,
    IF(lien="First",1.00,
        IF(lien="Second",1.50,
            1.70)))</f>
        <v/>
      </c>
      <c r="K9668">
        <f>LET(
    purpose,'Loan Tape (S&amp;P)'!R9668,
    IF(purpose="Purchase",1.00,
        IF(purpose="Remortgage",1.00,
            1.20)))</f>
        <v/>
      </c>
      <c r="L9668">
        <f>LET(
    arrears_months,'Loan Tape (S&amp;P)'!AN9668,
    IF(arrears_months=0,1.00,
    IF(arrears_months=1,3.00,
    IF(arrears_months=2,5.00,
    IF(arrears_months=3,8.00,
    IF(arrears_months=4,10.00,
    IF(arrears_months=5,12.00,15.00)))))))</f>
        <v/>
      </c>
      <c r="M9668">
        <f>LET(
    seasoning_years,DATEDIF('Loan Tape (S&amp;P)'!K9668,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68">
        <f>IF(AND('Loan Tape (S&amp;P)'!U9668="Yes",
        'Loan Tape (S&amp;P)'!T9668&lt;&gt;"Yes",
        DATEDIF('Loan Tape (S&amp;P)'!K9668, TODAY(), "M")&lt;18),
    1.10,
    1.00)</f>
        <v/>
      </c>
      <c r="O9668">
        <f>IF('Loan Tape (S&amp;P)'!T9668="Yes",
    1.35,
    1.00)</f>
        <v/>
      </c>
      <c r="P9668">
        <f>IF('Loan Tape (S&amp;P)'!S9668="Yes",
    1.15,
    1.00)</f>
        <v/>
      </c>
      <c r="Q9668">
        <f>IF('Loan Tape (S&amp;P)'!V9668="Yes",
    1.20,
    1.00)</f>
        <v/>
      </c>
      <c r="T9668">
        <f>LET(
    payment_method,'Loan Tape (S&amp;P)'!P9668,
    occupancy,'Loan Tape (S&amp;P)'!N9668,
    maturity_date,'Loan Tape (S&amp;P)'!L9668,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69">
      <c r="J9669">
        <f>LET(
    lien,'Loan Tape (S&amp;P)'!Q9669,
    IF(lien="First",1.00,
        IF(lien="Second",1.50,
            1.70)))</f>
        <v/>
      </c>
      <c r="K9669">
        <f>LET(
    purpose,'Loan Tape (S&amp;P)'!R9669,
    IF(purpose="Purchase",1.00,
        IF(purpose="Remortgage",1.00,
            1.20)))</f>
        <v/>
      </c>
      <c r="L9669">
        <f>LET(
    arrears_months,'Loan Tape (S&amp;P)'!AN9669,
    IF(arrears_months=0,1.00,
    IF(arrears_months=1,3.00,
    IF(arrears_months=2,5.00,
    IF(arrears_months=3,8.00,
    IF(arrears_months=4,10.00,
    IF(arrears_months=5,12.00,15.00)))))))</f>
        <v/>
      </c>
      <c r="M9669">
        <f>LET(
    seasoning_years,DATEDIF('Loan Tape (S&amp;P)'!K9669,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69">
        <f>IF(AND('Loan Tape (S&amp;P)'!U9669="Yes",
        'Loan Tape (S&amp;P)'!T9669&lt;&gt;"Yes",
        DATEDIF('Loan Tape (S&amp;P)'!K9669, TODAY(), "M")&lt;18),
    1.10,
    1.00)</f>
        <v/>
      </c>
      <c r="O9669">
        <f>IF('Loan Tape (S&amp;P)'!T9669="Yes",
    1.35,
    1.00)</f>
        <v/>
      </c>
      <c r="P9669">
        <f>IF('Loan Tape (S&amp;P)'!S9669="Yes",
    1.15,
    1.00)</f>
        <v/>
      </c>
      <c r="Q9669">
        <f>IF('Loan Tape (S&amp;P)'!V9669="Yes",
    1.20,
    1.00)</f>
        <v/>
      </c>
      <c r="T9669">
        <f>LET(
    payment_method,'Loan Tape (S&amp;P)'!P9669,
    occupancy,'Loan Tape (S&amp;P)'!N9669,
    maturity_date,'Loan Tape (S&amp;P)'!L9669,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70">
      <c r="J9670">
        <f>LET(
    lien,'Loan Tape (S&amp;P)'!Q9670,
    IF(lien="First",1.00,
        IF(lien="Second",1.50,
            1.70)))</f>
        <v/>
      </c>
      <c r="K9670">
        <f>LET(
    purpose,'Loan Tape (S&amp;P)'!R9670,
    IF(purpose="Purchase",1.00,
        IF(purpose="Remortgage",1.00,
            1.20)))</f>
        <v/>
      </c>
      <c r="L9670">
        <f>LET(
    arrears_months,'Loan Tape (S&amp;P)'!AN9670,
    IF(arrears_months=0,1.00,
    IF(arrears_months=1,3.00,
    IF(arrears_months=2,5.00,
    IF(arrears_months=3,8.00,
    IF(arrears_months=4,10.00,
    IF(arrears_months=5,12.00,15.00)))))))</f>
        <v/>
      </c>
      <c r="M9670">
        <f>LET(
    seasoning_years,DATEDIF('Loan Tape (S&amp;P)'!K9670,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70">
        <f>IF(AND('Loan Tape (S&amp;P)'!U9670="Yes",
        'Loan Tape (S&amp;P)'!T9670&lt;&gt;"Yes",
        DATEDIF('Loan Tape (S&amp;P)'!K9670, TODAY(), "M")&lt;18),
    1.10,
    1.00)</f>
        <v/>
      </c>
      <c r="O9670">
        <f>IF('Loan Tape (S&amp;P)'!T9670="Yes",
    1.35,
    1.00)</f>
        <v/>
      </c>
      <c r="P9670">
        <f>IF('Loan Tape (S&amp;P)'!S9670="Yes",
    1.15,
    1.00)</f>
        <v/>
      </c>
      <c r="Q9670">
        <f>IF('Loan Tape (S&amp;P)'!V9670="Yes",
    1.20,
    1.00)</f>
        <v/>
      </c>
      <c r="T9670">
        <f>LET(
    payment_method,'Loan Tape (S&amp;P)'!P9670,
    occupancy,'Loan Tape (S&amp;P)'!N9670,
    maturity_date,'Loan Tape (S&amp;P)'!L9670,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71">
      <c r="J9671">
        <f>LET(
    lien,'Loan Tape (S&amp;P)'!Q9671,
    IF(lien="First",1.00,
        IF(lien="Second",1.50,
            1.70)))</f>
        <v/>
      </c>
      <c r="K9671">
        <f>LET(
    purpose,'Loan Tape (S&amp;P)'!R9671,
    IF(purpose="Purchase",1.00,
        IF(purpose="Remortgage",1.00,
            1.20)))</f>
        <v/>
      </c>
      <c r="L9671">
        <f>LET(
    arrears_months,'Loan Tape (S&amp;P)'!AN9671,
    IF(arrears_months=0,1.00,
    IF(arrears_months=1,3.00,
    IF(arrears_months=2,5.00,
    IF(arrears_months=3,8.00,
    IF(arrears_months=4,10.00,
    IF(arrears_months=5,12.00,15.00)))))))</f>
        <v/>
      </c>
      <c r="M9671">
        <f>LET(
    seasoning_years,DATEDIF('Loan Tape (S&amp;P)'!K9671,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71">
        <f>IF(AND('Loan Tape (S&amp;P)'!U9671="Yes",
        'Loan Tape (S&amp;P)'!T9671&lt;&gt;"Yes",
        DATEDIF('Loan Tape (S&amp;P)'!K9671, TODAY(), "M")&lt;18),
    1.10,
    1.00)</f>
        <v/>
      </c>
      <c r="O9671">
        <f>IF('Loan Tape (S&amp;P)'!T9671="Yes",
    1.35,
    1.00)</f>
        <v/>
      </c>
      <c r="P9671">
        <f>IF('Loan Tape (S&amp;P)'!S9671="Yes",
    1.15,
    1.00)</f>
        <v/>
      </c>
      <c r="Q9671">
        <f>IF('Loan Tape (S&amp;P)'!V9671="Yes",
    1.20,
    1.00)</f>
        <v/>
      </c>
      <c r="T9671">
        <f>LET(
    payment_method,'Loan Tape (S&amp;P)'!P9671,
    occupancy,'Loan Tape (S&amp;P)'!N9671,
    maturity_date,'Loan Tape (S&amp;P)'!L9671,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72">
      <c r="J9672">
        <f>LET(
    lien,'Loan Tape (S&amp;P)'!Q9672,
    IF(lien="First",1.00,
        IF(lien="Second",1.50,
            1.70)))</f>
        <v/>
      </c>
      <c r="K9672">
        <f>LET(
    purpose,'Loan Tape (S&amp;P)'!R9672,
    IF(purpose="Purchase",1.00,
        IF(purpose="Remortgage",1.00,
            1.20)))</f>
        <v/>
      </c>
      <c r="L9672">
        <f>LET(
    arrears_months,'Loan Tape (S&amp;P)'!AN9672,
    IF(arrears_months=0,1.00,
    IF(arrears_months=1,3.00,
    IF(arrears_months=2,5.00,
    IF(arrears_months=3,8.00,
    IF(arrears_months=4,10.00,
    IF(arrears_months=5,12.00,15.00)))))))</f>
        <v/>
      </c>
      <c r="M9672">
        <f>LET(
    seasoning_years,DATEDIF('Loan Tape (S&amp;P)'!K9672,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72">
        <f>IF(AND('Loan Tape (S&amp;P)'!U9672="Yes",
        'Loan Tape (S&amp;P)'!T9672&lt;&gt;"Yes",
        DATEDIF('Loan Tape (S&amp;P)'!K9672, TODAY(), "M")&lt;18),
    1.10,
    1.00)</f>
        <v/>
      </c>
      <c r="O9672">
        <f>IF('Loan Tape (S&amp;P)'!T9672="Yes",
    1.35,
    1.00)</f>
        <v/>
      </c>
      <c r="P9672">
        <f>IF('Loan Tape (S&amp;P)'!S9672="Yes",
    1.15,
    1.00)</f>
        <v/>
      </c>
      <c r="Q9672">
        <f>IF('Loan Tape (S&amp;P)'!V9672="Yes",
    1.20,
    1.00)</f>
        <v/>
      </c>
      <c r="T9672">
        <f>LET(
    payment_method,'Loan Tape (S&amp;P)'!P9672,
    occupancy,'Loan Tape (S&amp;P)'!N9672,
    maturity_date,'Loan Tape (S&amp;P)'!L9672,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73">
      <c r="J9673">
        <f>LET(
    lien,'Loan Tape (S&amp;P)'!Q9673,
    IF(lien="First",1.00,
        IF(lien="Second",1.50,
            1.70)))</f>
        <v/>
      </c>
      <c r="K9673">
        <f>LET(
    purpose,'Loan Tape (S&amp;P)'!R9673,
    IF(purpose="Purchase",1.00,
        IF(purpose="Remortgage",1.00,
            1.20)))</f>
        <v/>
      </c>
      <c r="L9673">
        <f>LET(
    arrears_months,'Loan Tape (S&amp;P)'!AN9673,
    IF(arrears_months=0,1.00,
    IF(arrears_months=1,3.00,
    IF(arrears_months=2,5.00,
    IF(arrears_months=3,8.00,
    IF(arrears_months=4,10.00,
    IF(arrears_months=5,12.00,15.00)))))))</f>
        <v/>
      </c>
      <c r="M9673">
        <f>LET(
    seasoning_years,DATEDIF('Loan Tape (S&amp;P)'!K9673,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73">
        <f>IF(AND('Loan Tape (S&amp;P)'!U9673="Yes",
        'Loan Tape (S&amp;P)'!T9673&lt;&gt;"Yes",
        DATEDIF('Loan Tape (S&amp;P)'!K9673, TODAY(), "M")&lt;18),
    1.10,
    1.00)</f>
        <v/>
      </c>
      <c r="O9673">
        <f>IF('Loan Tape (S&amp;P)'!T9673="Yes",
    1.35,
    1.00)</f>
        <v/>
      </c>
      <c r="P9673">
        <f>IF('Loan Tape (S&amp;P)'!S9673="Yes",
    1.15,
    1.00)</f>
        <v/>
      </c>
      <c r="Q9673">
        <f>IF('Loan Tape (S&amp;P)'!V9673="Yes",
    1.20,
    1.00)</f>
        <v/>
      </c>
      <c r="T9673">
        <f>LET(
    payment_method,'Loan Tape (S&amp;P)'!P9673,
    occupancy,'Loan Tape (S&amp;P)'!N9673,
    maturity_date,'Loan Tape (S&amp;P)'!L9673,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74">
      <c r="J9674">
        <f>LET(
    lien,'Loan Tape (S&amp;P)'!Q9674,
    IF(lien="First",1.00,
        IF(lien="Second",1.50,
            1.70)))</f>
        <v/>
      </c>
      <c r="K9674">
        <f>LET(
    purpose,'Loan Tape (S&amp;P)'!R9674,
    IF(purpose="Purchase",1.00,
        IF(purpose="Remortgage",1.00,
            1.20)))</f>
        <v/>
      </c>
      <c r="L9674">
        <f>LET(
    arrears_months,'Loan Tape (S&amp;P)'!AN9674,
    IF(arrears_months=0,1.00,
    IF(arrears_months=1,3.00,
    IF(arrears_months=2,5.00,
    IF(arrears_months=3,8.00,
    IF(arrears_months=4,10.00,
    IF(arrears_months=5,12.00,15.00)))))))</f>
        <v/>
      </c>
      <c r="M9674">
        <f>LET(
    seasoning_years,DATEDIF('Loan Tape (S&amp;P)'!K9674,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74">
        <f>IF(AND('Loan Tape (S&amp;P)'!U9674="Yes",
        'Loan Tape (S&amp;P)'!T9674&lt;&gt;"Yes",
        DATEDIF('Loan Tape (S&amp;P)'!K9674, TODAY(), "M")&lt;18),
    1.10,
    1.00)</f>
        <v/>
      </c>
      <c r="O9674">
        <f>IF('Loan Tape (S&amp;P)'!T9674="Yes",
    1.35,
    1.00)</f>
        <v/>
      </c>
      <c r="P9674">
        <f>IF('Loan Tape (S&amp;P)'!S9674="Yes",
    1.15,
    1.00)</f>
        <v/>
      </c>
      <c r="Q9674">
        <f>IF('Loan Tape (S&amp;P)'!V9674="Yes",
    1.20,
    1.00)</f>
        <v/>
      </c>
      <c r="T9674">
        <f>LET(
    payment_method,'Loan Tape (S&amp;P)'!P9674,
    occupancy,'Loan Tape (S&amp;P)'!N9674,
    maturity_date,'Loan Tape (S&amp;P)'!L9674,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75">
      <c r="J9675">
        <f>LET(
    lien,'Loan Tape (S&amp;P)'!Q9675,
    IF(lien="First",1.00,
        IF(lien="Second",1.50,
            1.70)))</f>
        <v/>
      </c>
      <c r="K9675">
        <f>LET(
    purpose,'Loan Tape (S&amp;P)'!R9675,
    IF(purpose="Purchase",1.00,
        IF(purpose="Remortgage",1.00,
            1.20)))</f>
        <v/>
      </c>
      <c r="L9675">
        <f>LET(
    arrears_months,'Loan Tape (S&amp;P)'!AN9675,
    IF(arrears_months=0,1.00,
    IF(arrears_months=1,3.00,
    IF(arrears_months=2,5.00,
    IF(arrears_months=3,8.00,
    IF(arrears_months=4,10.00,
    IF(arrears_months=5,12.00,15.00)))))))</f>
        <v/>
      </c>
      <c r="M9675">
        <f>LET(
    seasoning_years,DATEDIF('Loan Tape (S&amp;P)'!K9675,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75">
        <f>IF(AND('Loan Tape (S&amp;P)'!U9675="Yes",
        'Loan Tape (S&amp;P)'!T9675&lt;&gt;"Yes",
        DATEDIF('Loan Tape (S&amp;P)'!K9675, TODAY(), "M")&lt;18),
    1.10,
    1.00)</f>
        <v/>
      </c>
      <c r="O9675">
        <f>IF('Loan Tape (S&amp;P)'!T9675="Yes",
    1.35,
    1.00)</f>
        <v/>
      </c>
      <c r="P9675">
        <f>IF('Loan Tape (S&amp;P)'!S9675="Yes",
    1.15,
    1.00)</f>
        <v/>
      </c>
      <c r="Q9675">
        <f>IF('Loan Tape (S&amp;P)'!V9675="Yes",
    1.20,
    1.00)</f>
        <v/>
      </c>
      <c r="T9675">
        <f>LET(
    payment_method,'Loan Tape (S&amp;P)'!P9675,
    occupancy,'Loan Tape (S&amp;P)'!N9675,
    maturity_date,'Loan Tape (S&amp;P)'!L9675,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76">
      <c r="J9676">
        <f>LET(
    lien,'Loan Tape (S&amp;P)'!Q9676,
    IF(lien="First",1.00,
        IF(lien="Second",1.50,
            1.70)))</f>
        <v/>
      </c>
      <c r="K9676">
        <f>LET(
    purpose,'Loan Tape (S&amp;P)'!R9676,
    IF(purpose="Purchase",1.00,
        IF(purpose="Remortgage",1.00,
            1.20)))</f>
        <v/>
      </c>
      <c r="L9676">
        <f>LET(
    arrears_months,'Loan Tape (S&amp;P)'!AN9676,
    IF(arrears_months=0,1.00,
    IF(arrears_months=1,3.00,
    IF(arrears_months=2,5.00,
    IF(arrears_months=3,8.00,
    IF(arrears_months=4,10.00,
    IF(arrears_months=5,12.00,15.00)))))))</f>
        <v/>
      </c>
      <c r="M9676">
        <f>LET(
    seasoning_years,DATEDIF('Loan Tape (S&amp;P)'!K9676,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76">
        <f>IF(AND('Loan Tape (S&amp;P)'!U9676="Yes",
        'Loan Tape (S&amp;P)'!T9676&lt;&gt;"Yes",
        DATEDIF('Loan Tape (S&amp;P)'!K9676, TODAY(), "M")&lt;18),
    1.10,
    1.00)</f>
        <v/>
      </c>
      <c r="O9676">
        <f>IF('Loan Tape (S&amp;P)'!T9676="Yes",
    1.35,
    1.00)</f>
        <v/>
      </c>
      <c r="P9676">
        <f>IF('Loan Tape (S&amp;P)'!S9676="Yes",
    1.15,
    1.00)</f>
        <v/>
      </c>
      <c r="Q9676">
        <f>IF('Loan Tape (S&amp;P)'!V9676="Yes",
    1.20,
    1.00)</f>
        <v/>
      </c>
      <c r="T9676">
        <f>LET(
    payment_method,'Loan Tape (S&amp;P)'!P9676,
    occupancy,'Loan Tape (S&amp;P)'!N9676,
    maturity_date,'Loan Tape (S&amp;P)'!L9676,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77">
      <c r="J9677">
        <f>LET(
    lien,'Loan Tape (S&amp;P)'!Q9677,
    IF(lien="First",1.00,
        IF(lien="Second",1.50,
            1.70)))</f>
        <v/>
      </c>
      <c r="K9677">
        <f>LET(
    purpose,'Loan Tape (S&amp;P)'!R9677,
    IF(purpose="Purchase",1.00,
        IF(purpose="Remortgage",1.00,
            1.20)))</f>
        <v/>
      </c>
      <c r="L9677">
        <f>LET(
    arrears_months,'Loan Tape (S&amp;P)'!AN9677,
    IF(arrears_months=0,1.00,
    IF(arrears_months=1,3.00,
    IF(arrears_months=2,5.00,
    IF(arrears_months=3,8.00,
    IF(arrears_months=4,10.00,
    IF(arrears_months=5,12.00,15.00)))))))</f>
        <v/>
      </c>
      <c r="M9677">
        <f>LET(
    seasoning_years,DATEDIF('Loan Tape (S&amp;P)'!K9677,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77">
        <f>IF(AND('Loan Tape (S&amp;P)'!U9677="Yes",
        'Loan Tape (S&amp;P)'!T9677&lt;&gt;"Yes",
        DATEDIF('Loan Tape (S&amp;P)'!K9677, TODAY(), "M")&lt;18),
    1.10,
    1.00)</f>
        <v/>
      </c>
      <c r="O9677">
        <f>IF('Loan Tape (S&amp;P)'!T9677="Yes",
    1.35,
    1.00)</f>
        <v/>
      </c>
      <c r="P9677">
        <f>IF('Loan Tape (S&amp;P)'!S9677="Yes",
    1.15,
    1.00)</f>
        <v/>
      </c>
      <c r="Q9677">
        <f>IF('Loan Tape (S&amp;P)'!V9677="Yes",
    1.20,
    1.00)</f>
        <v/>
      </c>
      <c r="T9677">
        <f>LET(
    payment_method,'Loan Tape (S&amp;P)'!P9677,
    occupancy,'Loan Tape (S&amp;P)'!N9677,
    maturity_date,'Loan Tape (S&amp;P)'!L9677,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78">
      <c r="J9678">
        <f>LET(
    lien,'Loan Tape (S&amp;P)'!Q9678,
    IF(lien="First",1.00,
        IF(lien="Second",1.50,
            1.70)))</f>
        <v/>
      </c>
      <c r="K9678">
        <f>LET(
    purpose,'Loan Tape (S&amp;P)'!R9678,
    IF(purpose="Purchase",1.00,
        IF(purpose="Remortgage",1.00,
            1.20)))</f>
        <v/>
      </c>
      <c r="L9678">
        <f>LET(
    arrears_months,'Loan Tape (S&amp;P)'!AN9678,
    IF(arrears_months=0,1.00,
    IF(arrears_months=1,3.00,
    IF(arrears_months=2,5.00,
    IF(arrears_months=3,8.00,
    IF(arrears_months=4,10.00,
    IF(arrears_months=5,12.00,15.00)))))))</f>
        <v/>
      </c>
      <c r="M9678">
        <f>LET(
    seasoning_years,DATEDIF('Loan Tape (S&amp;P)'!K9678,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78">
        <f>IF(AND('Loan Tape (S&amp;P)'!U9678="Yes",
        'Loan Tape (S&amp;P)'!T9678&lt;&gt;"Yes",
        DATEDIF('Loan Tape (S&amp;P)'!K9678, TODAY(), "M")&lt;18),
    1.10,
    1.00)</f>
        <v/>
      </c>
      <c r="O9678">
        <f>IF('Loan Tape (S&amp;P)'!T9678="Yes",
    1.35,
    1.00)</f>
        <v/>
      </c>
      <c r="P9678">
        <f>IF('Loan Tape (S&amp;P)'!S9678="Yes",
    1.15,
    1.00)</f>
        <v/>
      </c>
      <c r="Q9678">
        <f>IF('Loan Tape (S&amp;P)'!V9678="Yes",
    1.20,
    1.00)</f>
        <v/>
      </c>
      <c r="T9678">
        <f>LET(
    payment_method,'Loan Tape (S&amp;P)'!P9678,
    occupancy,'Loan Tape (S&amp;P)'!N9678,
    maturity_date,'Loan Tape (S&amp;P)'!L9678,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79">
      <c r="J9679">
        <f>LET(
    lien,'Loan Tape (S&amp;P)'!Q9679,
    IF(lien="First",1.00,
        IF(lien="Second",1.50,
            1.70)))</f>
        <v/>
      </c>
      <c r="K9679">
        <f>LET(
    purpose,'Loan Tape (S&amp;P)'!R9679,
    IF(purpose="Purchase",1.00,
        IF(purpose="Remortgage",1.00,
            1.20)))</f>
        <v/>
      </c>
      <c r="L9679">
        <f>LET(
    arrears_months,'Loan Tape (S&amp;P)'!AN9679,
    IF(arrears_months=0,1.00,
    IF(arrears_months=1,3.00,
    IF(arrears_months=2,5.00,
    IF(arrears_months=3,8.00,
    IF(arrears_months=4,10.00,
    IF(arrears_months=5,12.00,15.00)))))))</f>
        <v/>
      </c>
      <c r="M9679">
        <f>LET(
    seasoning_years,DATEDIF('Loan Tape (S&amp;P)'!K9679,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79">
        <f>IF(AND('Loan Tape (S&amp;P)'!U9679="Yes",
        'Loan Tape (S&amp;P)'!T9679&lt;&gt;"Yes",
        DATEDIF('Loan Tape (S&amp;P)'!K9679, TODAY(), "M")&lt;18),
    1.10,
    1.00)</f>
        <v/>
      </c>
      <c r="O9679">
        <f>IF('Loan Tape (S&amp;P)'!T9679="Yes",
    1.35,
    1.00)</f>
        <v/>
      </c>
      <c r="P9679">
        <f>IF('Loan Tape (S&amp;P)'!S9679="Yes",
    1.15,
    1.00)</f>
        <v/>
      </c>
      <c r="Q9679">
        <f>IF('Loan Tape (S&amp;P)'!V9679="Yes",
    1.20,
    1.00)</f>
        <v/>
      </c>
      <c r="T9679">
        <f>LET(
    payment_method,'Loan Tape (S&amp;P)'!P9679,
    occupancy,'Loan Tape (S&amp;P)'!N9679,
    maturity_date,'Loan Tape (S&amp;P)'!L9679,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80">
      <c r="J9680">
        <f>LET(
    lien,'Loan Tape (S&amp;P)'!Q9680,
    IF(lien="First",1.00,
        IF(lien="Second",1.50,
            1.70)))</f>
        <v/>
      </c>
      <c r="K9680">
        <f>LET(
    purpose,'Loan Tape (S&amp;P)'!R9680,
    IF(purpose="Purchase",1.00,
        IF(purpose="Remortgage",1.00,
            1.20)))</f>
        <v/>
      </c>
      <c r="L9680">
        <f>LET(
    arrears_months,'Loan Tape (S&amp;P)'!AN9680,
    IF(arrears_months=0,1.00,
    IF(arrears_months=1,3.00,
    IF(arrears_months=2,5.00,
    IF(arrears_months=3,8.00,
    IF(arrears_months=4,10.00,
    IF(arrears_months=5,12.00,15.00)))))))</f>
        <v/>
      </c>
      <c r="M9680">
        <f>LET(
    seasoning_years,DATEDIF('Loan Tape (S&amp;P)'!K9680,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80">
        <f>IF(AND('Loan Tape (S&amp;P)'!U9680="Yes",
        'Loan Tape (S&amp;P)'!T9680&lt;&gt;"Yes",
        DATEDIF('Loan Tape (S&amp;P)'!K9680, TODAY(), "M")&lt;18),
    1.10,
    1.00)</f>
        <v/>
      </c>
      <c r="O9680">
        <f>IF('Loan Tape (S&amp;P)'!T9680="Yes",
    1.35,
    1.00)</f>
        <v/>
      </c>
      <c r="P9680">
        <f>IF('Loan Tape (S&amp;P)'!S9680="Yes",
    1.15,
    1.00)</f>
        <v/>
      </c>
      <c r="Q9680">
        <f>IF('Loan Tape (S&amp;P)'!V9680="Yes",
    1.20,
    1.00)</f>
        <v/>
      </c>
      <c r="T9680">
        <f>LET(
    payment_method,'Loan Tape (S&amp;P)'!P9680,
    occupancy,'Loan Tape (S&amp;P)'!N9680,
    maturity_date,'Loan Tape (S&amp;P)'!L9680,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81">
      <c r="J9681">
        <f>LET(
    lien,'Loan Tape (S&amp;P)'!Q9681,
    IF(lien="First",1.00,
        IF(lien="Second",1.50,
            1.70)))</f>
        <v/>
      </c>
      <c r="K9681">
        <f>LET(
    purpose,'Loan Tape (S&amp;P)'!R9681,
    IF(purpose="Purchase",1.00,
        IF(purpose="Remortgage",1.00,
            1.20)))</f>
        <v/>
      </c>
      <c r="L9681">
        <f>LET(
    arrears_months,'Loan Tape (S&amp;P)'!AN9681,
    IF(arrears_months=0,1.00,
    IF(arrears_months=1,3.00,
    IF(arrears_months=2,5.00,
    IF(arrears_months=3,8.00,
    IF(arrears_months=4,10.00,
    IF(arrears_months=5,12.00,15.00)))))))</f>
        <v/>
      </c>
      <c r="M9681">
        <f>LET(
    seasoning_years,DATEDIF('Loan Tape (S&amp;P)'!K9681,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81">
        <f>IF(AND('Loan Tape (S&amp;P)'!U9681="Yes",
        'Loan Tape (S&amp;P)'!T9681&lt;&gt;"Yes",
        DATEDIF('Loan Tape (S&amp;P)'!K9681, TODAY(), "M")&lt;18),
    1.10,
    1.00)</f>
        <v/>
      </c>
      <c r="O9681">
        <f>IF('Loan Tape (S&amp;P)'!T9681="Yes",
    1.35,
    1.00)</f>
        <v/>
      </c>
      <c r="P9681">
        <f>IF('Loan Tape (S&amp;P)'!S9681="Yes",
    1.15,
    1.00)</f>
        <v/>
      </c>
      <c r="Q9681">
        <f>IF('Loan Tape (S&amp;P)'!V9681="Yes",
    1.20,
    1.00)</f>
        <v/>
      </c>
      <c r="T9681">
        <f>LET(
    payment_method,'Loan Tape (S&amp;P)'!P9681,
    occupancy,'Loan Tape (S&amp;P)'!N9681,
    maturity_date,'Loan Tape (S&amp;P)'!L9681,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82">
      <c r="J9682">
        <f>LET(
    lien,'Loan Tape (S&amp;P)'!Q9682,
    IF(lien="First",1.00,
        IF(lien="Second",1.50,
            1.70)))</f>
        <v/>
      </c>
      <c r="K9682">
        <f>LET(
    purpose,'Loan Tape (S&amp;P)'!R9682,
    IF(purpose="Purchase",1.00,
        IF(purpose="Remortgage",1.00,
            1.20)))</f>
        <v/>
      </c>
      <c r="L9682">
        <f>LET(
    arrears_months,'Loan Tape (S&amp;P)'!AN9682,
    IF(arrears_months=0,1.00,
    IF(arrears_months=1,3.00,
    IF(arrears_months=2,5.00,
    IF(arrears_months=3,8.00,
    IF(arrears_months=4,10.00,
    IF(arrears_months=5,12.00,15.00)))))))</f>
        <v/>
      </c>
      <c r="M9682">
        <f>LET(
    seasoning_years,DATEDIF('Loan Tape (S&amp;P)'!K9682,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82">
        <f>IF(AND('Loan Tape (S&amp;P)'!U9682="Yes",
        'Loan Tape (S&amp;P)'!T9682&lt;&gt;"Yes",
        DATEDIF('Loan Tape (S&amp;P)'!K9682, TODAY(), "M")&lt;18),
    1.10,
    1.00)</f>
        <v/>
      </c>
      <c r="O9682">
        <f>IF('Loan Tape (S&amp;P)'!T9682="Yes",
    1.35,
    1.00)</f>
        <v/>
      </c>
      <c r="P9682">
        <f>IF('Loan Tape (S&amp;P)'!S9682="Yes",
    1.15,
    1.00)</f>
        <v/>
      </c>
      <c r="Q9682">
        <f>IF('Loan Tape (S&amp;P)'!V9682="Yes",
    1.20,
    1.00)</f>
        <v/>
      </c>
      <c r="T9682">
        <f>LET(
    payment_method,'Loan Tape (S&amp;P)'!P9682,
    occupancy,'Loan Tape (S&amp;P)'!N9682,
    maturity_date,'Loan Tape (S&amp;P)'!L9682,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83">
      <c r="J9683">
        <f>LET(
    lien,'Loan Tape (S&amp;P)'!Q9683,
    IF(lien="First",1.00,
        IF(lien="Second",1.50,
            1.70)))</f>
        <v/>
      </c>
      <c r="K9683">
        <f>LET(
    purpose,'Loan Tape (S&amp;P)'!R9683,
    IF(purpose="Purchase",1.00,
        IF(purpose="Remortgage",1.00,
            1.20)))</f>
        <v/>
      </c>
      <c r="L9683">
        <f>LET(
    arrears_months,'Loan Tape (S&amp;P)'!AN9683,
    IF(arrears_months=0,1.00,
    IF(arrears_months=1,3.00,
    IF(arrears_months=2,5.00,
    IF(arrears_months=3,8.00,
    IF(arrears_months=4,10.00,
    IF(arrears_months=5,12.00,15.00)))))))</f>
        <v/>
      </c>
      <c r="M9683">
        <f>LET(
    seasoning_years,DATEDIF('Loan Tape (S&amp;P)'!K9683,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83">
        <f>IF(AND('Loan Tape (S&amp;P)'!U9683="Yes",
        'Loan Tape (S&amp;P)'!T9683&lt;&gt;"Yes",
        DATEDIF('Loan Tape (S&amp;P)'!K9683, TODAY(), "M")&lt;18),
    1.10,
    1.00)</f>
        <v/>
      </c>
      <c r="O9683">
        <f>IF('Loan Tape (S&amp;P)'!T9683="Yes",
    1.35,
    1.00)</f>
        <v/>
      </c>
      <c r="P9683">
        <f>IF('Loan Tape (S&amp;P)'!S9683="Yes",
    1.15,
    1.00)</f>
        <v/>
      </c>
      <c r="Q9683">
        <f>IF('Loan Tape (S&amp;P)'!V9683="Yes",
    1.20,
    1.00)</f>
        <v/>
      </c>
      <c r="T9683">
        <f>LET(
    payment_method,'Loan Tape (S&amp;P)'!P9683,
    occupancy,'Loan Tape (S&amp;P)'!N9683,
    maturity_date,'Loan Tape (S&amp;P)'!L9683,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84">
      <c r="J9684">
        <f>LET(
    lien,'Loan Tape (S&amp;P)'!Q9684,
    IF(lien="First",1.00,
        IF(lien="Second",1.50,
            1.70)))</f>
        <v/>
      </c>
      <c r="K9684">
        <f>LET(
    purpose,'Loan Tape (S&amp;P)'!R9684,
    IF(purpose="Purchase",1.00,
        IF(purpose="Remortgage",1.00,
            1.20)))</f>
        <v/>
      </c>
      <c r="L9684">
        <f>LET(
    arrears_months,'Loan Tape (S&amp;P)'!AN9684,
    IF(arrears_months=0,1.00,
    IF(arrears_months=1,3.00,
    IF(arrears_months=2,5.00,
    IF(arrears_months=3,8.00,
    IF(arrears_months=4,10.00,
    IF(arrears_months=5,12.00,15.00)))))))</f>
        <v/>
      </c>
      <c r="M9684">
        <f>LET(
    seasoning_years,DATEDIF('Loan Tape (S&amp;P)'!K9684,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84">
        <f>IF(AND('Loan Tape (S&amp;P)'!U9684="Yes",
        'Loan Tape (S&amp;P)'!T9684&lt;&gt;"Yes",
        DATEDIF('Loan Tape (S&amp;P)'!K9684, TODAY(), "M")&lt;18),
    1.10,
    1.00)</f>
        <v/>
      </c>
      <c r="O9684">
        <f>IF('Loan Tape (S&amp;P)'!T9684="Yes",
    1.35,
    1.00)</f>
        <v/>
      </c>
      <c r="P9684">
        <f>IF('Loan Tape (S&amp;P)'!S9684="Yes",
    1.15,
    1.00)</f>
        <v/>
      </c>
      <c r="Q9684">
        <f>IF('Loan Tape (S&amp;P)'!V9684="Yes",
    1.20,
    1.00)</f>
        <v/>
      </c>
      <c r="T9684">
        <f>LET(
    payment_method,'Loan Tape (S&amp;P)'!P9684,
    occupancy,'Loan Tape (S&amp;P)'!N9684,
    maturity_date,'Loan Tape (S&amp;P)'!L9684,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85">
      <c r="J9685">
        <f>LET(
    lien,'Loan Tape (S&amp;P)'!Q9685,
    IF(lien="First",1.00,
        IF(lien="Second",1.50,
            1.70)))</f>
        <v/>
      </c>
      <c r="K9685">
        <f>LET(
    purpose,'Loan Tape (S&amp;P)'!R9685,
    IF(purpose="Purchase",1.00,
        IF(purpose="Remortgage",1.00,
            1.20)))</f>
        <v/>
      </c>
      <c r="L9685">
        <f>LET(
    arrears_months,'Loan Tape (S&amp;P)'!AN9685,
    IF(arrears_months=0,1.00,
    IF(arrears_months=1,3.00,
    IF(arrears_months=2,5.00,
    IF(arrears_months=3,8.00,
    IF(arrears_months=4,10.00,
    IF(arrears_months=5,12.00,15.00)))))))</f>
        <v/>
      </c>
      <c r="M9685">
        <f>LET(
    seasoning_years,DATEDIF('Loan Tape (S&amp;P)'!K9685,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85">
        <f>IF(AND('Loan Tape (S&amp;P)'!U9685="Yes",
        'Loan Tape (S&amp;P)'!T9685&lt;&gt;"Yes",
        DATEDIF('Loan Tape (S&amp;P)'!K9685, TODAY(), "M")&lt;18),
    1.10,
    1.00)</f>
        <v/>
      </c>
      <c r="O9685">
        <f>IF('Loan Tape (S&amp;P)'!T9685="Yes",
    1.35,
    1.00)</f>
        <v/>
      </c>
      <c r="P9685">
        <f>IF('Loan Tape (S&amp;P)'!S9685="Yes",
    1.15,
    1.00)</f>
        <v/>
      </c>
      <c r="Q9685">
        <f>IF('Loan Tape (S&amp;P)'!V9685="Yes",
    1.20,
    1.00)</f>
        <v/>
      </c>
      <c r="T9685">
        <f>LET(
    payment_method,'Loan Tape (S&amp;P)'!P9685,
    occupancy,'Loan Tape (S&amp;P)'!N9685,
    maturity_date,'Loan Tape (S&amp;P)'!L9685,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86">
      <c r="J9686">
        <f>LET(
    lien,'Loan Tape (S&amp;P)'!Q9686,
    IF(lien="First",1.00,
        IF(lien="Second",1.50,
            1.70)))</f>
        <v/>
      </c>
      <c r="K9686">
        <f>LET(
    purpose,'Loan Tape (S&amp;P)'!R9686,
    IF(purpose="Purchase",1.00,
        IF(purpose="Remortgage",1.00,
            1.20)))</f>
        <v/>
      </c>
      <c r="L9686">
        <f>LET(
    arrears_months,'Loan Tape (S&amp;P)'!AN9686,
    IF(arrears_months=0,1.00,
    IF(arrears_months=1,3.00,
    IF(arrears_months=2,5.00,
    IF(arrears_months=3,8.00,
    IF(arrears_months=4,10.00,
    IF(arrears_months=5,12.00,15.00)))))))</f>
        <v/>
      </c>
      <c r="M9686">
        <f>LET(
    seasoning_years,DATEDIF('Loan Tape (S&amp;P)'!K9686,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86">
        <f>IF(AND('Loan Tape (S&amp;P)'!U9686="Yes",
        'Loan Tape (S&amp;P)'!T9686&lt;&gt;"Yes",
        DATEDIF('Loan Tape (S&amp;P)'!K9686, TODAY(), "M")&lt;18),
    1.10,
    1.00)</f>
        <v/>
      </c>
      <c r="O9686">
        <f>IF('Loan Tape (S&amp;P)'!T9686="Yes",
    1.35,
    1.00)</f>
        <v/>
      </c>
      <c r="P9686">
        <f>IF('Loan Tape (S&amp;P)'!S9686="Yes",
    1.15,
    1.00)</f>
        <v/>
      </c>
      <c r="Q9686">
        <f>IF('Loan Tape (S&amp;P)'!V9686="Yes",
    1.20,
    1.00)</f>
        <v/>
      </c>
      <c r="T9686">
        <f>LET(
    payment_method,'Loan Tape (S&amp;P)'!P9686,
    occupancy,'Loan Tape (S&amp;P)'!N9686,
    maturity_date,'Loan Tape (S&amp;P)'!L9686,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87">
      <c r="J9687">
        <f>LET(
    lien,'Loan Tape (S&amp;P)'!Q9687,
    IF(lien="First",1.00,
        IF(lien="Second",1.50,
            1.70)))</f>
        <v/>
      </c>
      <c r="K9687">
        <f>LET(
    purpose,'Loan Tape (S&amp;P)'!R9687,
    IF(purpose="Purchase",1.00,
        IF(purpose="Remortgage",1.00,
            1.20)))</f>
        <v/>
      </c>
      <c r="L9687">
        <f>LET(
    arrears_months,'Loan Tape (S&amp;P)'!AN9687,
    IF(arrears_months=0,1.00,
    IF(arrears_months=1,3.00,
    IF(arrears_months=2,5.00,
    IF(arrears_months=3,8.00,
    IF(arrears_months=4,10.00,
    IF(arrears_months=5,12.00,15.00)))))))</f>
        <v/>
      </c>
      <c r="M9687">
        <f>LET(
    seasoning_years,DATEDIF('Loan Tape (S&amp;P)'!K9687,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87">
        <f>IF(AND('Loan Tape (S&amp;P)'!U9687="Yes",
        'Loan Tape (S&amp;P)'!T9687&lt;&gt;"Yes",
        DATEDIF('Loan Tape (S&amp;P)'!K9687, TODAY(), "M")&lt;18),
    1.10,
    1.00)</f>
        <v/>
      </c>
      <c r="O9687">
        <f>IF('Loan Tape (S&amp;P)'!T9687="Yes",
    1.35,
    1.00)</f>
        <v/>
      </c>
      <c r="P9687">
        <f>IF('Loan Tape (S&amp;P)'!S9687="Yes",
    1.15,
    1.00)</f>
        <v/>
      </c>
      <c r="Q9687">
        <f>IF('Loan Tape (S&amp;P)'!V9687="Yes",
    1.20,
    1.00)</f>
        <v/>
      </c>
      <c r="T9687">
        <f>LET(
    payment_method,'Loan Tape (S&amp;P)'!P9687,
    occupancy,'Loan Tape (S&amp;P)'!N9687,
    maturity_date,'Loan Tape (S&amp;P)'!L9687,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88">
      <c r="J9688">
        <f>LET(
    lien,'Loan Tape (S&amp;P)'!Q9688,
    IF(lien="First",1.00,
        IF(lien="Second",1.50,
            1.70)))</f>
        <v/>
      </c>
      <c r="K9688">
        <f>LET(
    purpose,'Loan Tape (S&amp;P)'!R9688,
    IF(purpose="Purchase",1.00,
        IF(purpose="Remortgage",1.00,
            1.20)))</f>
        <v/>
      </c>
      <c r="L9688">
        <f>LET(
    arrears_months,'Loan Tape (S&amp;P)'!AN9688,
    IF(arrears_months=0,1.00,
    IF(arrears_months=1,3.00,
    IF(arrears_months=2,5.00,
    IF(arrears_months=3,8.00,
    IF(arrears_months=4,10.00,
    IF(arrears_months=5,12.00,15.00)))))))</f>
        <v/>
      </c>
      <c r="M9688">
        <f>LET(
    seasoning_years,DATEDIF('Loan Tape (S&amp;P)'!K9688,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88">
        <f>IF(AND('Loan Tape (S&amp;P)'!U9688="Yes",
        'Loan Tape (S&amp;P)'!T9688&lt;&gt;"Yes",
        DATEDIF('Loan Tape (S&amp;P)'!K9688, TODAY(), "M")&lt;18),
    1.10,
    1.00)</f>
        <v/>
      </c>
      <c r="O9688">
        <f>IF('Loan Tape (S&amp;P)'!T9688="Yes",
    1.35,
    1.00)</f>
        <v/>
      </c>
      <c r="P9688">
        <f>IF('Loan Tape (S&amp;P)'!S9688="Yes",
    1.15,
    1.00)</f>
        <v/>
      </c>
      <c r="Q9688">
        <f>IF('Loan Tape (S&amp;P)'!V9688="Yes",
    1.20,
    1.00)</f>
        <v/>
      </c>
      <c r="T9688">
        <f>LET(
    payment_method,'Loan Tape (S&amp;P)'!P9688,
    occupancy,'Loan Tape (S&amp;P)'!N9688,
    maturity_date,'Loan Tape (S&amp;P)'!L9688,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89">
      <c r="J9689">
        <f>LET(
    lien,'Loan Tape (S&amp;P)'!Q9689,
    IF(lien="First",1.00,
        IF(lien="Second",1.50,
            1.70)))</f>
        <v/>
      </c>
      <c r="K9689">
        <f>LET(
    purpose,'Loan Tape (S&amp;P)'!R9689,
    IF(purpose="Purchase",1.00,
        IF(purpose="Remortgage",1.00,
            1.20)))</f>
        <v/>
      </c>
      <c r="L9689">
        <f>LET(
    arrears_months,'Loan Tape (S&amp;P)'!AN9689,
    IF(arrears_months=0,1.00,
    IF(arrears_months=1,3.00,
    IF(arrears_months=2,5.00,
    IF(arrears_months=3,8.00,
    IF(arrears_months=4,10.00,
    IF(arrears_months=5,12.00,15.00)))))))</f>
        <v/>
      </c>
      <c r="M9689">
        <f>LET(
    seasoning_years,DATEDIF('Loan Tape (S&amp;P)'!K9689,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89">
        <f>IF(AND('Loan Tape (S&amp;P)'!U9689="Yes",
        'Loan Tape (S&amp;P)'!T9689&lt;&gt;"Yes",
        DATEDIF('Loan Tape (S&amp;P)'!K9689, TODAY(), "M")&lt;18),
    1.10,
    1.00)</f>
        <v/>
      </c>
      <c r="O9689">
        <f>IF('Loan Tape (S&amp;P)'!T9689="Yes",
    1.35,
    1.00)</f>
        <v/>
      </c>
      <c r="P9689">
        <f>IF('Loan Tape (S&amp;P)'!S9689="Yes",
    1.15,
    1.00)</f>
        <v/>
      </c>
      <c r="Q9689">
        <f>IF('Loan Tape (S&amp;P)'!V9689="Yes",
    1.20,
    1.00)</f>
        <v/>
      </c>
      <c r="T9689">
        <f>LET(
    payment_method,'Loan Tape (S&amp;P)'!P9689,
    occupancy,'Loan Tape (S&amp;P)'!N9689,
    maturity_date,'Loan Tape (S&amp;P)'!L9689,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90">
      <c r="J9690">
        <f>LET(
    lien,'Loan Tape (S&amp;P)'!Q9690,
    IF(lien="First",1.00,
        IF(lien="Second",1.50,
            1.70)))</f>
        <v/>
      </c>
      <c r="K9690">
        <f>LET(
    purpose,'Loan Tape (S&amp;P)'!R9690,
    IF(purpose="Purchase",1.00,
        IF(purpose="Remortgage",1.00,
            1.20)))</f>
        <v/>
      </c>
      <c r="L9690">
        <f>LET(
    arrears_months,'Loan Tape (S&amp;P)'!AN9690,
    IF(arrears_months=0,1.00,
    IF(arrears_months=1,3.00,
    IF(arrears_months=2,5.00,
    IF(arrears_months=3,8.00,
    IF(arrears_months=4,10.00,
    IF(arrears_months=5,12.00,15.00)))))))</f>
        <v/>
      </c>
      <c r="M9690">
        <f>LET(
    seasoning_years,DATEDIF('Loan Tape (S&amp;P)'!K9690,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90">
        <f>IF(AND('Loan Tape (S&amp;P)'!U9690="Yes",
        'Loan Tape (S&amp;P)'!T9690&lt;&gt;"Yes",
        DATEDIF('Loan Tape (S&amp;P)'!K9690, TODAY(), "M")&lt;18),
    1.10,
    1.00)</f>
        <v/>
      </c>
      <c r="O9690">
        <f>IF('Loan Tape (S&amp;P)'!T9690="Yes",
    1.35,
    1.00)</f>
        <v/>
      </c>
      <c r="P9690">
        <f>IF('Loan Tape (S&amp;P)'!S9690="Yes",
    1.15,
    1.00)</f>
        <v/>
      </c>
      <c r="Q9690">
        <f>IF('Loan Tape (S&amp;P)'!V9690="Yes",
    1.20,
    1.00)</f>
        <v/>
      </c>
      <c r="T9690">
        <f>LET(
    payment_method,'Loan Tape (S&amp;P)'!P9690,
    occupancy,'Loan Tape (S&amp;P)'!N9690,
    maturity_date,'Loan Tape (S&amp;P)'!L9690,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91">
      <c r="J9691">
        <f>LET(
    lien,'Loan Tape (S&amp;P)'!Q9691,
    IF(lien="First",1.00,
        IF(lien="Second",1.50,
            1.70)))</f>
        <v/>
      </c>
      <c r="K9691">
        <f>LET(
    purpose,'Loan Tape (S&amp;P)'!R9691,
    IF(purpose="Purchase",1.00,
        IF(purpose="Remortgage",1.00,
            1.20)))</f>
        <v/>
      </c>
      <c r="L9691">
        <f>LET(
    arrears_months,'Loan Tape (S&amp;P)'!AN9691,
    IF(arrears_months=0,1.00,
    IF(arrears_months=1,3.00,
    IF(arrears_months=2,5.00,
    IF(arrears_months=3,8.00,
    IF(arrears_months=4,10.00,
    IF(arrears_months=5,12.00,15.00)))))))</f>
        <v/>
      </c>
      <c r="M9691">
        <f>LET(
    seasoning_years,DATEDIF('Loan Tape (S&amp;P)'!K9691,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91">
        <f>IF(AND('Loan Tape (S&amp;P)'!U9691="Yes",
        'Loan Tape (S&amp;P)'!T9691&lt;&gt;"Yes",
        DATEDIF('Loan Tape (S&amp;P)'!K9691, TODAY(), "M")&lt;18),
    1.10,
    1.00)</f>
        <v/>
      </c>
      <c r="O9691">
        <f>IF('Loan Tape (S&amp;P)'!T9691="Yes",
    1.35,
    1.00)</f>
        <v/>
      </c>
      <c r="P9691">
        <f>IF('Loan Tape (S&amp;P)'!S9691="Yes",
    1.15,
    1.00)</f>
        <v/>
      </c>
      <c r="Q9691">
        <f>IF('Loan Tape (S&amp;P)'!V9691="Yes",
    1.20,
    1.00)</f>
        <v/>
      </c>
      <c r="T9691">
        <f>LET(
    payment_method,'Loan Tape (S&amp;P)'!P9691,
    occupancy,'Loan Tape (S&amp;P)'!N9691,
    maturity_date,'Loan Tape (S&amp;P)'!L9691,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92">
      <c r="J9692">
        <f>LET(
    lien,'Loan Tape (S&amp;P)'!Q9692,
    IF(lien="First",1.00,
        IF(lien="Second",1.50,
            1.70)))</f>
        <v/>
      </c>
      <c r="K9692">
        <f>LET(
    purpose,'Loan Tape (S&amp;P)'!R9692,
    IF(purpose="Purchase",1.00,
        IF(purpose="Remortgage",1.00,
            1.20)))</f>
        <v/>
      </c>
      <c r="L9692">
        <f>LET(
    arrears_months,'Loan Tape (S&amp;P)'!AN9692,
    IF(arrears_months=0,1.00,
    IF(arrears_months=1,3.00,
    IF(arrears_months=2,5.00,
    IF(arrears_months=3,8.00,
    IF(arrears_months=4,10.00,
    IF(arrears_months=5,12.00,15.00)))))))</f>
        <v/>
      </c>
      <c r="M9692">
        <f>LET(
    seasoning_years,DATEDIF('Loan Tape (S&amp;P)'!K9692,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92">
        <f>IF(AND('Loan Tape (S&amp;P)'!U9692="Yes",
        'Loan Tape (S&amp;P)'!T9692&lt;&gt;"Yes",
        DATEDIF('Loan Tape (S&amp;P)'!K9692, TODAY(), "M")&lt;18),
    1.10,
    1.00)</f>
        <v/>
      </c>
      <c r="O9692">
        <f>IF('Loan Tape (S&amp;P)'!T9692="Yes",
    1.35,
    1.00)</f>
        <v/>
      </c>
      <c r="P9692">
        <f>IF('Loan Tape (S&amp;P)'!S9692="Yes",
    1.15,
    1.00)</f>
        <v/>
      </c>
      <c r="Q9692">
        <f>IF('Loan Tape (S&amp;P)'!V9692="Yes",
    1.20,
    1.00)</f>
        <v/>
      </c>
      <c r="T9692">
        <f>LET(
    payment_method,'Loan Tape (S&amp;P)'!P9692,
    occupancy,'Loan Tape (S&amp;P)'!N9692,
    maturity_date,'Loan Tape (S&amp;P)'!L9692,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93">
      <c r="J9693">
        <f>LET(
    lien,'Loan Tape (S&amp;P)'!Q9693,
    IF(lien="First",1.00,
        IF(lien="Second",1.50,
            1.70)))</f>
        <v/>
      </c>
      <c r="K9693">
        <f>LET(
    purpose,'Loan Tape (S&amp;P)'!R9693,
    IF(purpose="Purchase",1.00,
        IF(purpose="Remortgage",1.00,
            1.20)))</f>
        <v/>
      </c>
      <c r="L9693">
        <f>LET(
    arrears_months,'Loan Tape (S&amp;P)'!AN9693,
    IF(arrears_months=0,1.00,
    IF(arrears_months=1,3.00,
    IF(arrears_months=2,5.00,
    IF(arrears_months=3,8.00,
    IF(arrears_months=4,10.00,
    IF(arrears_months=5,12.00,15.00)))))))</f>
        <v/>
      </c>
      <c r="M9693">
        <f>LET(
    seasoning_years,DATEDIF('Loan Tape (S&amp;P)'!K9693,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93">
        <f>IF(AND('Loan Tape (S&amp;P)'!U9693="Yes",
        'Loan Tape (S&amp;P)'!T9693&lt;&gt;"Yes",
        DATEDIF('Loan Tape (S&amp;P)'!K9693, TODAY(), "M")&lt;18),
    1.10,
    1.00)</f>
        <v/>
      </c>
      <c r="O9693">
        <f>IF('Loan Tape (S&amp;P)'!T9693="Yes",
    1.35,
    1.00)</f>
        <v/>
      </c>
      <c r="P9693">
        <f>IF('Loan Tape (S&amp;P)'!S9693="Yes",
    1.15,
    1.00)</f>
        <v/>
      </c>
      <c r="Q9693">
        <f>IF('Loan Tape (S&amp;P)'!V9693="Yes",
    1.20,
    1.00)</f>
        <v/>
      </c>
      <c r="T9693">
        <f>LET(
    payment_method,'Loan Tape (S&amp;P)'!P9693,
    occupancy,'Loan Tape (S&amp;P)'!N9693,
    maturity_date,'Loan Tape (S&amp;P)'!L9693,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94">
      <c r="J9694">
        <f>LET(
    lien,'Loan Tape (S&amp;P)'!Q9694,
    IF(lien="First",1.00,
        IF(lien="Second",1.50,
            1.70)))</f>
        <v/>
      </c>
      <c r="K9694">
        <f>LET(
    purpose,'Loan Tape (S&amp;P)'!R9694,
    IF(purpose="Purchase",1.00,
        IF(purpose="Remortgage",1.00,
            1.20)))</f>
        <v/>
      </c>
      <c r="L9694">
        <f>LET(
    arrears_months,'Loan Tape (S&amp;P)'!AN9694,
    IF(arrears_months=0,1.00,
    IF(arrears_months=1,3.00,
    IF(arrears_months=2,5.00,
    IF(arrears_months=3,8.00,
    IF(arrears_months=4,10.00,
    IF(arrears_months=5,12.00,15.00)))))))</f>
        <v/>
      </c>
      <c r="M9694">
        <f>LET(
    seasoning_years,DATEDIF('Loan Tape (S&amp;P)'!K9694,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94">
        <f>IF(AND('Loan Tape (S&amp;P)'!U9694="Yes",
        'Loan Tape (S&amp;P)'!T9694&lt;&gt;"Yes",
        DATEDIF('Loan Tape (S&amp;P)'!K9694, TODAY(), "M")&lt;18),
    1.10,
    1.00)</f>
        <v/>
      </c>
      <c r="O9694">
        <f>IF('Loan Tape (S&amp;P)'!T9694="Yes",
    1.35,
    1.00)</f>
        <v/>
      </c>
      <c r="P9694">
        <f>IF('Loan Tape (S&amp;P)'!S9694="Yes",
    1.15,
    1.00)</f>
        <v/>
      </c>
      <c r="Q9694">
        <f>IF('Loan Tape (S&amp;P)'!V9694="Yes",
    1.20,
    1.00)</f>
        <v/>
      </c>
      <c r="T9694">
        <f>LET(
    payment_method,'Loan Tape (S&amp;P)'!P9694,
    occupancy,'Loan Tape (S&amp;P)'!N9694,
    maturity_date,'Loan Tape (S&amp;P)'!L9694,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95">
      <c r="J9695">
        <f>LET(
    lien,'Loan Tape (S&amp;P)'!Q9695,
    IF(lien="First",1.00,
        IF(lien="Second",1.50,
            1.70)))</f>
        <v/>
      </c>
      <c r="K9695">
        <f>LET(
    purpose,'Loan Tape (S&amp;P)'!R9695,
    IF(purpose="Purchase",1.00,
        IF(purpose="Remortgage",1.00,
            1.20)))</f>
        <v/>
      </c>
      <c r="L9695">
        <f>LET(
    arrears_months,'Loan Tape (S&amp;P)'!AN9695,
    IF(arrears_months=0,1.00,
    IF(arrears_months=1,3.00,
    IF(arrears_months=2,5.00,
    IF(arrears_months=3,8.00,
    IF(arrears_months=4,10.00,
    IF(arrears_months=5,12.00,15.00)))))))</f>
        <v/>
      </c>
      <c r="M9695">
        <f>LET(
    seasoning_years,DATEDIF('Loan Tape (S&amp;P)'!K9695,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95">
        <f>IF(AND('Loan Tape (S&amp;P)'!U9695="Yes",
        'Loan Tape (S&amp;P)'!T9695&lt;&gt;"Yes",
        DATEDIF('Loan Tape (S&amp;P)'!K9695, TODAY(), "M")&lt;18),
    1.10,
    1.00)</f>
        <v/>
      </c>
      <c r="O9695">
        <f>IF('Loan Tape (S&amp;P)'!T9695="Yes",
    1.35,
    1.00)</f>
        <v/>
      </c>
      <c r="P9695">
        <f>IF('Loan Tape (S&amp;P)'!S9695="Yes",
    1.15,
    1.00)</f>
        <v/>
      </c>
      <c r="Q9695">
        <f>IF('Loan Tape (S&amp;P)'!V9695="Yes",
    1.20,
    1.00)</f>
        <v/>
      </c>
      <c r="T9695">
        <f>LET(
    payment_method,'Loan Tape (S&amp;P)'!P9695,
    occupancy,'Loan Tape (S&amp;P)'!N9695,
    maturity_date,'Loan Tape (S&amp;P)'!L9695,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96">
      <c r="J9696">
        <f>LET(
    lien,'Loan Tape (S&amp;P)'!Q9696,
    IF(lien="First",1.00,
        IF(lien="Second",1.50,
            1.70)))</f>
        <v/>
      </c>
      <c r="K9696">
        <f>LET(
    purpose,'Loan Tape (S&amp;P)'!R9696,
    IF(purpose="Purchase",1.00,
        IF(purpose="Remortgage",1.00,
            1.20)))</f>
        <v/>
      </c>
      <c r="L9696">
        <f>LET(
    arrears_months,'Loan Tape (S&amp;P)'!AN9696,
    IF(arrears_months=0,1.00,
    IF(arrears_months=1,3.00,
    IF(arrears_months=2,5.00,
    IF(arrears_months=3,8.00,
    IF(arrears_months=4,10.00,
    IF(arrears_months=5,12.00,15.00)))))))</f>
        <v/>
      </c>
      <c r="M9696">
        <f>LET(
    seasoning_years,DATEDIF('Loan Tape (S&amp;P)'!K9696,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96">
        <f>IF(AND('Loan Tape (S&amp;P)'!U9696="Yes",
        'Loan Tape (S&amp;P)'!T9696&lt;&gt;"Yes",
        DATEDIF('Loan Tape (S&amp;P)'!K9696, TODAY(), "M")&lt;18),
    1.10,
    1.00)</f>
        <v/>
      </c>
      <c r="O9696">
        <f>IF('Loan Tape (S&amp;P)'!T9696="Yes",
    1.35,
    1.00)</f>
        <v/>
      </c>
      <c r="P9696">
        <f>IF('Loan Tape (S&amp;P)'!S9696="Yes",
    1.15,
    1.00)</f>
        <v/>
      </c>
      <c r="Q9696">
        <f>IF('Loan Tape (S&amp;P)'!V9696="Yes",
    1.20,
    1.00)</f>
        <v/>
      </c>
      <c r="T9696">
        <f>LET(
    payment_method,'Loan Tape (S&amp;P)'!P9696,
    occupancy,'Loan Tape (S&amp;P)'!N9696,
    maturity_date,'Loan Tape (S&amp;P)'!L9696,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97">
      <c r="J9697">
        <f>LET(
    lien,'Loan Tape (S&amp;P)'!Q9697,
    IF(lien="First",1.00,
        IF(lien="Second",1.50,
            1.70)))</f>
        <v/>
      </c>
      <c r="K9697">
        <f>LET(
    purpose,'Loan Tape (S&amp;P)'!R9697,
    IF(purpose="Purchase",1.00,
        IF(purpose="Remortgage",1.00,
            1.20)))</f>
        <v/>
      </c>
      <c r="L9697">
        <f>LET(
    arrears_months,'Loan Tape (S&amp;P)'!AN9697,
    IF(arrears_months=0,1.00,
    IF(arrears_months=1,3.00,
    IF(arrears_months=2,5.00,
    IF(arrears_months=3,8.00,
    IF(arrears_months=4,10.00,
    IF(arrears_months=5,12.00,15.00)))))))</f>
        <v/>
      </c>
      <c r="M9697">
        <f>LET(
    seasoning_years,DATEDIF('Loan Tape (S&amp;P)'!K9697,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97">
        <f>IF(AND('Loan Tape (S&amp;P)'!U9697="Yes",
        'Loan Tape (S&amp;P)'!T9697&lt;&gt;"Yes",
        DATEDIF('Loan Tape (S&amp;P)'!K9697, TODAY(), "M")&lt;18),
    1.10,
    1.00)</f>
        <v/>
      </c>
      <c r="O9697">
        <f>IF('Loan Tape (S&amp;P)'!T9697="Yes",
    1.35,
    1.00)</f>
        <v/>
      </c>
      <c r="P9697">
        <f>IF('Loan Tape (S&amp;P)'!S9697="Yes",
    1.15,
    1.00)</f>
        <v/>
      </c>
      <c r="Q9697">
        <f>IF('Loan Tape (S&amp;P)'!V9697="Yes",
    1.20,
    1.00)</f>
        <v/>
      </c>
      <c r="T9697">
        <f>LET(
    payment_method,'Loan Tape (S&amp;P)'!P9697,
    occupancy,'Loan Tape (S&amp;P)'!N9697,
    maturity_date,'Loan Tape (S&amp;P)'!L9697,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98">
      <c r="J9698">
        <f>LET(
    lien,'Loan Tape (S&amp;P)'!Q9698,
    IF(lien="First",1.00,
        IF(lien="Second",1.50,
            1.70)))</f>
        <v/>
      </c>
      <c r="K9698">
        <f>LET(
    purpose,'Loan Tape (S&amp;P)'!R9698,
    IF(purpose="Purchase",1.00,
        IF(purpose="Remortgage",1.00,
            1.20)))</f>
        <v/>
      </c>
      <c r="L9698">
        <f>LET(
    arrears_months,'Loan Tape (S&amp;P)'!AN9698,
    IF(arrears_months=0,1.00,
    IF(arrears_months=1,3.00,
    IF(arrears_months=2,5.00,
    IF(arrears_months=3,8.00,
    IF(arrears_months=4,10.00,
    IF(arrears_months=5,12.00,15.00)))))))</f>
        <v/>
      </c>
      <c r="M9698">
        <f>LET(
    seasoning_years,DATEDIF('Loan Tape (S&amp;P)'!K9698,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98">
        <f>IF(AND('Loan Tape (S&amp;P)'!U9698="Yes",
        'Loan Tape (S&amp;P)'!T9698&lt;&gt;"Yes",
        DATEDIF('Loan Tape (S&amp;P)'!K9698, TODAY(), "M")&lt;18),
    1.10,
    1.00)</f>
        <v/>
      </c>
      <c r="O9698">
        <f>IF('Loan Tape (S&amp;P)'!T9698="Yes",
    1.35,
    1.00)</f>
        <v/>
      </c>
      <c r="P9698">
        <f>IF('Loan Tape (S&amp;P)'!S9698="Yes",
    1.15,
    1.00)</f>
        <v/>
      </c>
      <c r="Q9698">
        <f>IF('Loan Tape (S&amp;P)'!V9698="Yes",
    1.20,
    1.00)</f>
        <v/>
      </c>
      <c r="T9698">
        <f>LET(
    payment_method,'Loan Tape (S&amp;P)'!P9698,
    occupancy,'Loan Tape (S&amp;P)'!N9698,
    maturity_date,'Loan Tape (S&amp;P)'!L9698,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699">
      <c r="J9699">
        <f>LET(
    lien,'Loan Tape (S&amp;P)'!Q9699,
    IF(lien="First",1.00,
        IF(lien="Second",1.50,
            1.70)))</f>
        <v/>
      </c>
      <c r="K9699">
        <f>LET(
    purpose,'Loan Tape (S&amp;P)'!R9699,
    IF(purpose="Purchase",1.00,
        IF(purpose="Remortgage",1.00,
            1.20)))</f>
        <v/>
      </c>
      <c r="L9699">
        <f>LET(
    arrears_months,'Loan Tape (S&amp;P)'!AN9699,
    IF(arrears_months=0,1.00,
    IF(arrears_months=1,3.00,
    IF(arrears_months=2,5.00,
    IF(arrears_months=3,8.00,
    IF(arrears_months=4,10.00,
    IF(arrears_months=5,12.00,15.00)))))))</f>
        <v/>
      </c>
      <c r="M9699">
        <f>LET(
    seasoning_years,DATEDIF('Loan Tape (S&amp;P)'!K9699,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699">
        <f>IF(AND('Loan Tape (S&amp;P)'!U9699="Yes",
        'Loan Tape (S&amp;P)'!T9699&lt;&gt;"Yes",
        DATEDIF('Loan Tape (S&amp;P)'!K9699, TODAY(), "M")&lt;18),
    1.10,
    1.00)</f>
        <v/>
      </c>
      <c r="O9699">
        <f>IF('Loan Tape (S&amp;P)'!T9699="Yes",
    1.35,
    1.00)</f>
        <v/>
      </c>
      <c r="P9699">
        <f>IF('Loan Tape (S&amp;P)'!S9699="Yes",
    1.15,
    1.00)</f>
        <v/>
      </c>
      <c r="Q9699">
        <f>IF('Loan Tape (S&amp;P)'!V9699="Yes",
    1.20,
    1.00)</f>
        <v/>
      </c>
      <c r="T9699">
        <f>LET(
    payment_method,'Loan Tape (S&amp;P)'!P9699,
    occupancy,'Loan Tape (S&amp;P)'!N9699,
    maturity_date,'Loan Tape (S&amp;P)'!L9699,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00">
      <c r="J9700">
        <f>LET(
    lien,'Loan Tape (S&amp;P)'!Q9700,
    IF(lien="First",1.00,
        IF(lien="Second",1.50,
            1.70)))</f>
        <v/>
      </c>
      <c r="K9700">
        <f>LET(
    purpose,'Loan Tape (S&amp;P)'!R9700,
    IF(purpose="Purchase",1.00,
        IF(purpose="Remortgage",1.00,
            1.20)))</f>
        <v/>
      </c>
      <c r="L9700">
        <f>LET(
    arrears_months,'Loan Tape (S&amp;P)'!AN9700,
    IF(arrears_months=0,1.00,
    IF(arrears_months=1,3.00,
    IF(arrears_months=2,5.00,
    IF(arrears_months=3,8.00,
    IF(arrears_months=4,10.00,
    IF(arrears_months=5,12.00,15.00)))))))</f>
        <v/>
      </c>
      <c r="M9700">
        <f>LET(
    seasoning_years,DATEDIF('Loan Tape (S&amp;P)'!K9700,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00">
        <f>IF(AND('Loan Tape (S&amp;P)'!U9700="Yes",
        'Loan Tape (S&amp;P)'!T9700&lt;&gt;"Yes",
        DATEDIF('Loan Tape (S&amp;P)'!K9700, TODAY(), "M")&lt;18),
    1.10,
    1.00)</f>
        <v/>
      </c>
      <c r="O9700">
        <f>IF('Loan Tape (S&amp;P)'!T9700="Yes",
    1.35,
    1.00)</f>
        <v/>
      </c>
      <c r="P9700">
        <f>IF('Loan Tape (S&amp;P)'!S9700="Yes",
    1.15,
    1.00)</f>
        <v/>
      </c>
      <c r="Q9700">
        <f>IF('Loan Tape (S&amp;P)'!V9700="Yes",
    1.20,
    1.00)</f>
        <v/>
      </c>
      <c r="T9700">
        <f>LET(
    payment_method,'Loan Tape (S&amp;P)'!P9700,
    occupancy,'Loan Tape (S&amp;P)'!N9700,
    maturity_date,'Loan Tape (S&amp;P)'!L9700,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01">
      <c r="J9701">
        <f>LET(
    lien,'Loan Tape (S&amp;P)'!Q9701,
    IF(lien="First",1.00,
        IF(lien="Second",1.50,
            1.70)))</f>
        <v/>
      </c>
      <c r="K9701">
        <f>LET(
    purpose,'Loan Tape (S&amp;P)'!R9701,
    IF(purpose="Purchase",1.00,
        IF(purpose="Remortgage",1.00,
            1.20)))</f>
        <v/>
      </c>
      <c r="L9701">
        <f>LET(
    arrears_months,'Loan Tape (S&amp;P)'!AN9701,
    IF(arrears_months=0,1.00,
    IF(arrears_months=1,3.00,
    IF(arrears_months=2,5.00,
    IF(arrears_months=3,8.00,
    IF(arrears_months=4,10.00,
    IF(arrears_months=5,12.00,15.00)))))))</f>
        <v/>
      </c>
      <c r="M9701">
        <f>LET(
    seasoning_years,DATEDIF('Loan Tape (S&amp;P)'!K9701,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01">
        <f>IF(AND('Loan Tape (S&amp;P)'!U9701="Yes",
        'Loan Tape (S&amp;P)'!T9701&lt;&gt;"Yes",
        DATEDIF('Loan Tape (S&amp;P)'!K9701, TODAY(), "M")&lt;18),
    1.10,
    1.00)</f>
        <v/>
      </c>
      <c r="O9701">
        <f>IF('Loan Tape (S&amp;P)'!T9701="Yes",
    1.35,
    1.00)</f>
        <v/>
      </c>
      <c r="P9701">
        <f>IF('Loan Tape (S&amp;P)'!S9701="Yes",
    1.15,
    1.00)</f>
        <v/>
      </c>
      <c r="Q9701">
        <f>IF('Loan Tape (S&amp;P)'!V9701="Yes",
    1.20,
    1.00)</f>
        <v/>
      </c>
      <c r="T9701">
        <f>LET(
    payment_method,'Loan Tape (S&amp;P)'!P9701,
    occupancy,'Loan Tape (S&amp;P)'!N9701,
    maturity_date,'Loan Tape (S&amp;P)'!L9701,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02">
      <c r="J9702">
        <f>LET(
    lien,'Loan Tape (S&amp;P)'!Q9702,
    IF(lien="First",1.00,
        IF(lien="Second",1.50,
            1.70)))</f>
        <v/>
      </c>
      <c r="K9702">
        <f>LET(
    purpose,'Loan Tape (S&amp;P)'!R9702,
    IF(purpose="Purchase",1.00,
        IF(purpose="Remortgage",1.00,
            1.20)))</f>
        <v/>
      </c>
      <c r="L9702">
        <f>LET(
    arrears_months,'Loan Tape (S&amp;P)'!AN9702,
    IF(arrears_months=0,1.00,
    IF(arrears_months=1,3.00,
    IF(arrears_months=2,5.00,
    IF(arrears_months=3,8.00,
    IF(arrears_months=4,10.00,
    IF(arrears_months=5,12.00,15.00)))))))</f>
        <v/>
      </c>
      <c r="M9702">
        <f>LET(
    seasoning_years,DATEDIF('Loan Tape (S&amp;P)'!K9702,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02">
        <f>IF(AND('Loan Tape (S&amp;P)'!U9702="Yes",
        'Loan Tape (S&amp;P)'!T9702&lt;&gt;"Yes",
        DATEDIF('Loan Tape (S&amp;P)'!K9702, TODAY(), "M")&lt;18),
    1.10,
    1.00)</f>
        <v/>
      </c>
      <c r="O9702">
        <f>IF('Loan Tape (S&amp;P)'!T9702="Yes",
    1.35,
    1.00)</f>
        <v/>
      </c>
      <c r="P9702">
        <f>IF('Loan Tape (S&amp;P)'!S9702="Yes",
    1.15,
    1.00)</f>
        <v/>
      </c>
      <c r="Q9702">
        <f>IF('Loan Tape (S&amp;P)'!V9702="Yes",
    1.20,
    1.00)</f>
        <v/>
      </c>
      <c r="T9702">
        <f>LET(
    payment_method,'Loan Tape (S&amp;P)'!P9702,
    occupancy,'Loan Tape (S&amp;P)'!N9702,
    maturity_date,'Loan Tape (S&amp;P)'!L9702,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03">
      <c r="J9703">
        <f>LET(
    lien,'Loan Tape (S&amp;P)'!Q9703,
    IF(lien="First",1.00,
        IF(lien="Second",1.50,
            1.70)))</f>
        <v/>
      </c>
      <c r="K9703">
        <f>LET(
    purpose,'Loan Tape (S&amp;P)'!R9703,
    IF(purpose="Purchase",1.00,
        IF(purpose="Remortgage",1.00,
            1.20)))</f>
        <v/>
      </c>
      <c r="L9703">
        <f>LET(
    arrears_months,'Loan Tape (S&amp;P)'!AN9703,
    IF(arrears_months=0,1.00,
    IF(arrears_months=1,3.00,
    IF(arrears_months=2,5.00,
    IF(arrears_months=3,8.00,
    IF(arrears_months=4,10.00,
    IF(arrears_months=5,12.00,15.00)))))))</f>
        <v/>
      </c>
      <c r="M9703">
        <f>LET(
    seasoning_years,DATEDIF('Loan Tape (S&amp;P)'!K9703,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03">
        <f>IF(AND('Loan Tape (S&amp;P)'!U9703="Yes",
        'Loan Tape (S&amp;P)'!T9703&lt;&gt;"Yes",
        DATEDIF('Loan Tape (S&amp;P)'!K9703, TODAY(), "M")&lt;18),
    1.10,
    1.00)</f>
        <v/>
      </c>
      <c r="O9703">
        <f>IF('Loan Tape (S&amp;P)'!T9703="Yes",
    1.35,
    1.00)</f>
        <v/>
      </c>
      <c r="P9703">
        <f>IF('Loan Tape (S&amp;P)'!S9703="Yes",
    1.15,
    1.00)</f>
        <v/>
      </c>
      <c r="Q9703">
        <f>IF('Loan Tape (S&amp;P)'!V9703="Yes",
    1.20,
    1.00)</f>
        <v/>
      </c>
      <c r="T9703">
        <f>LET(
    payment_method,'Loan Tape (S&amp;P)'!P9703,
    occupancy,'Loan Tape (S&amp;P)'!N9703,
    maturity_date,'Loan Tape (S&amp;P)'!L9703,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04">
      <c r="J9704">
        <f>LET(
    lien,'Loan Tape (S&amp;P)'!Q9704,
    IF(lien="First",1.00,
        IF(lien="Second",1.50,
            1.70)))</f>
        <v/>
      </c>
      <c r="K9704">
        <f>LET(
    purpose,'Loan Tape (S&amp;P)'!R9704,
    IF(purpose="Purchase",1.00,
        IF(purpose="Remortgage",1.00,
            1.20)))</f>
        <v/>
      </c>
      <c r="L9704">
        <f>LET(
    arrears_months,'Loan Tape (S&amp;P)'!AN9704,
    IF(arrears_months=0,1.00,
    IF(arrears_months=1,3.00,
    IF(arrears_months=2,5.00,
    IF(arrears_months=3,8.00,
    IF(arrears_months=4,10.00,
    IF(arrears_months=5,12.00,15.00)))))))</f>
        <v/>
      </c>
      <c r="M9704">
        <f>LET(
    seasoning_years,DATEDIF('Loan Tape (S&amp;P)'!K9704,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04">
        <f>IF(AND('Loan Tape (S&amp;P)'!U9704="Yes",
        'Loan Tape (S&amp;P)'!T9704&lt;&gt;"Yes",
        DATEDIF('Loan Tape (S&amp;P)'!K9704, TODAY(), "M")&lt;18),
    1.10,
    1.00)</f>
        <v/>
      </c>
      <c r="O9704">
        <f>IF('Loan Tape (S&amp;P)'!T9704="Yes",
    1.35,
    1.00)</f>
        <v/>
      </c>
      <c r="P9704">
        <f>IF('Loan Tape (S&amp;P)'!S9704="Yes",
    1.15,
    1.00)</f>
        <v/>
      </c>
      <c r="Q9704">
        <f>IF('Loan Tape (S&amp;P)'!V9704="Yes",
    1.20,
    1.00)</f>
        <v/>
      </c>
      <c r="T9704">
        <f>LET(
    payment_method,'Loan Tape (S&amp;P)'!P9704,
    occupancy,'Loan Tape (S&amp;P)'!N9704,
    maturity_date,'Loan Tape (S&amp;P)'!L9704,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05">
      <c r="J9705">
        <f>LET(
    lien,'Loan Tape (S&amp;P)'!Q9705,
    IF(lien="First",1.00,
        IF(lien="Second",1.50,
            1.70)))</f>
        <v/>
      </c>
      <c r="K9705">
        <f>LET(
    purpose,'Loan Tape (S&amp;P)'!R9705,
    IF(purpose="Purchase",1.00,
        IF(purpose="Remortgage",1.00,
            1.20)))</f>
        <v/>
      </c>
      <c r="L9705">
        <f>LET(
    arrears_months,'Loan Tape (S&amp;P)'!AN9705,
    IF(arrears_months=0,1.00,
    IF(arrears_months=1,3.00,
    IF(arrears_months=2,5.00,
    IF(arrears_months=3,8.00,
    IF(arrears_months=4,10.00,
    IF(arrears_months=5,12.00,15.00)))))))</f>
        <v/>
      </c>
      <c r="M9705">
        <f>LET(
    seasoning_years,DATEDIF('Loan Tape (S&amp;P)'!K9705,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05">
        <f>IF(AND('Loan Tape (S&amp;P)'!U9705="Yes",
        'Loan Tape (S&amp;P)'!T9705&lt;&gt;"Yes",
        DATEDIF('Loan Tape (S&amp;P)'!K9705, TODAY(), "M")&lt;18),
    1.10,
    1.00)</f>
        <v/>
      </c>
      <c r="O9705">
        <f>IF('Loan Tape (S&amp;P)'!T9705="Yes",
    1.35,
    1.00)</f>
        <v/>
      </c>
      <c r="P9705">
        <f>IF('Loan Tape (S&amp;P)'!S9705="Yes",
    1.15,
    1.00)</f>
        <v/>
      </c>
      <c r="Q9705">
        <f>IF('Loan Tape (S&amp;P)'!V9705="Yes",
    1.20,
    1.00)</f>
        <v/>
      </c>
      <c r="T9705">
        <f>LET(
    payment_method,'Loan Tape (S&amp;P)'!P9705,
    occupancy,'Loan Tape (S&amp;P)'!N9705,
    maturity_date,'Loan Tape (S&amp;P)'!L9705,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06">
      <c r="J9706">
        <f>LET(
    lien,'Loan Tape (S&amp;P)'!Q9706,
    IF(lien="First",1.00,
        IF(lien="Second",1.50,
            1.70)))</f>
        <v/>
      </c>
      <c r="K9706">
        <f>LET(
    purpose,'Loan Tape (S&amp;P)'!R9706,
    IF(purpose="Purchase",1.00,
        IF(purpose="Remortgage",1.00,
            1.20)))</f>
        <v/>
      </c>
      <c r="L9706">
        <f>LET(
    arrears_months,'Loan Tape (S&amp;P)'!AN9706,
    IF(arrears_months=0,1.00,
    IF(arrears_months=1,3.00,
    IF(arrears_months=2,5.00,
    IF(arrears_months=3,8.00,
    IF(arrears_months=4,10.00,
    IF(arrears_months=5,12.00,15.00)))))))</f>
        <v/>
      </c>
      <c r="M9706">
        <f>LET(
    seasoning_years,DATEDIF('Loan Tape (S&amp;P)'!K9706,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06">
        <f>IF(AND('Loan Tape (S&amp;P)'!U9706="Yes",
        'Loan Tape (S&amp;P)'!T9706&lt;&gt;"Yes",
        DATEDIF('Loan Tape (S&amp;P)'!K9706, TODAY(), "M")&lt;18),
    1.10,
    1.00)</f>
        <v/>
      </c>
      <c r="O9706">
        <f>IF('Loan Tape (S&amp;P)'!T9706="Yes",
    1.35,
    1.00)</f>
        <v/>
      </c>
      <c r="P9706">
        <f>IF('Loan Tape (S&amp;P)'!S9706="Yes",
    1.15,
    1.00)</f>
        <v/>
      </c>
      <c r="Q9706">
        <f>IF('Loan Tape (S&amp;P)'!V9706="Yes",
    1.20,
    1.00)</f>
        <v/>
      </c>
      <c r="T9706">
        <f>LET(
    payment_method,'Loan Tape (S&amp;P)'!P9706,
    occupancy,'Loan Tape (S&amp;P)'!N9706,
    maturity_date,'Loan Tape (S&amp;P)'!L9706,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07">
      <c r="J9707">
        <f>LET(
    lien,'Loan Tape (S&amp;P)'!Q9707,
    IF(lien="First",1.00,
        IF(lien="Second",1.50,
            1.70)))</f>
        <v/>
      </c>
      <c r="K9707">
        <f>LET(
    purpose,'Loan Tape (S&amp;P)'!R9707,
    IF(purpose="Purchase",1.00,
        IF(purpose="Remortgage",1.00,
            1.20)))</f>
        <v/>
      </c>
      <c r="L9707">
        <f>LET(
    arrears_months,'Loan Tape (S&amp;P)'!AN9707,
    IF(arrears_months=0,1.00,
    IF(arrears_months=1,3.00,
    IF(arrears_months=2,5.00,
    IF(arrears_months=3,8.00,
    IF(arrears_months=4,10.00,
    IF(arrears_months=5,12.00,15.00)))))))</f>
        <v/>
      </c>
      <c r="M9707">
        <f>LET(
    seasoning_years,DATEDIF('Loan Tape (S&amp;P)'!K9707,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07">
        <f>IF(AND('Loan Tape (S&amp;P)'!U9707="Yes",
        'Loan Tape (S&amp;P)'!T9707&lt;&gt;"Yes",
        DATEDIF('Loan Tape (S&amp;P)'!K9707, TODAY(), "M")&lt;18),
    1.10,
    1.00)</f>
        <v/>
      </c>
      <c r="O9707">
        <f>IF('Loan Tape (S&amp;P)'!T9707="Yes",
    1.35,
    1.00)</f>
        <v/>
      </c>
      <c r="P9707">
        <f>IF('Loan Tape (S&amp;P)'!S9707="Yes",
    1.15,
    1.00)</f>
        <v/>
      </c>
      <c r="Q9707">
        <f>IF('Loan Tape (S&amp;P)'!V9707="Yes",
    1.20,
    1.00)</f>
        <v/>
      </c>
      <c r="T9707">
        <f>LET(
    payment_method,'Loan Tape (S&amp;P)'!P9707,
    occupancy,'Loan Tape (S&amp;P)'!N9707,
    maturity_date,'Loan Tape (S&amp;P)'!L9707,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08">
      <c r="J9708">
        <f>LET(
    lien,'Loan Tape (S&amp;P)'!Q9708,
    IF(lien="First",1.00,
        IF(lien="Second",1.50,
            1.70)))</f>
        <v/>
      </c>
      <c r="K9708">
        <f>LET(
    purpose,'Loan Tape (S&amp;P)'!R9708,
    IF(purpose="Purchase",1.00,
        IF(purpose="Remortgage",1.00,
            1.20)))</f>
        <v/>
      </c>
      <c r="L9708">
        <f>LET(
    arrears_months,'Loan Tape (S&amp;P)'!AN9708,
    IF(arrears_months=0,1.00,
    IF(arrears_months=1,3.00,
    IF(arrears_months=2,5.00,
    IF(arrears_months=3,8.00,
    IF(arrears_months=4,10.00,
    IF(arrears_months=5,12.00,15.00)))))))</f>
        <v/>
      </c>
      <c r="M9708">
        <f>LET(
    seasoning_years,DATEDIF('Loan Tape (S&amp;P)'!K9708,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08">
        <f>IF(AND('Loan Tape (S&amp;P)'!U9708="Yes",
        'Loan Tape (S&amp;P)'!T9708&lt;&gt;"Yes",
        DATEDIF('Loan Tape (S&amp;P)'!K9708, TODAY(), "M")&lt;18),
    1.10,
    1.00)</f>
        <v/>
      </c>
      <c r="O9708">
        <f>IF('Loan Tape (S&amp;P)'!T9708="Yes",
    1.35,
    1.00)</f>
        <v/>
      </c>
      <c r="P9708">
        <f>IF('Loan Tape (S&amp;P)'!S9708="Yes",
    1.15,
    1.00)</f>
        <v/>
      </c>
      <c r="Q9708">
        <f>IF('Loan Tape (S&amp;P)'!V9708="Yes",
    1.20,
    1.00)</f>
        <v/>
      </c>
      <c r="T9708">
        <f>LET(
    payment_method,'Loan Tape (S&amp;P)'!P9708,
    occupancy,'Loan Tape (S&amp;P)'!N9708,
    maturity_date,'Loan Tape (S&amp;P)'!L9708,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09">
      <c r="J9709">
        <f>LET(
    lien,'Loan Tape (S&amp;P)'!Q9709,
    IF(lien="First",1.00,
        IF(lien="Second",1.50,
            1.70)))</f>
        <v/>
      </c>
      <c r="K9709">
        <f>LET(
    purpose,'Loan Tape (S&amp;P)'!R9709,
    IF(purpose="Purchase",1.00,
        IF(purpose="Remortgage",1.00,
            1.20)))</f>
        <v/>
      </c>
      <c r="L9709">
        <f>LET(
    arrears_months,'Loan Tape (S&amp;P)'!AN9709,
    IF(arrears_months=0,1.00,
    IF(arrears_months=1,3.00,
    IF(arrears_months=2,5.00,
    IF(arrears_months=3,8.00,
    IF(arrears_months=4,10.00,
    IF(arrears_months=5,12.00,15.00)))))))</f>
        <v/>
      </c>
      <c r="M9709">
        <f>LET(
    seasoning_years,DATEDIF('Loan Tape (S&amp;P)'!K9709,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09">
        <f>IF(AND('Loan Tape (S&amp;P)'!U9709="Yes",
        'Loan Tape (S&amp;P)'!T9709&lt;&gt;"Yes",
        DATEDIF('Loan Tape (S&amp;P)'!K9709, TODAY(), "M")&lt;18),
    1.10,
    1.00)</f>
        <v/>
      </c>
      <c r="O9709">
        <f>IF('Loan Tape (S&amp;P)'!T9709="Yes",
    1.35,
    1.00)</f>
        <v/>
      </c>
      <c r="P9709">
        <f>IF('Loan Tape (S&amp;P)'!S9709="Yes",
    1.15,
    1.00)</f>
        <v/>
      </c>
      <c r="Q9709">
        <f>IF('Loan Tape (S&amp;P)'!V9709="Yes",
    1.20,
    1.00)</f>
        <v/>
      </c>
      <c r="T9709">
        <f>LET(
    payment_method,'Loan Tape (S&amp;P)'!P9709,
    occupancy,'Loan Tape (S&amp;P)'!N9709,
    maturity_date,'Loan Tape (S&amp;P)'!L9709,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10">
      <c r="J9710">
        <f>LET(
    lien,'Loan Tape (S&amp;P)'!Q9710,
    IF(lien="First",1.00,
        IF(lien="Second",1.50,
            1.70)))</f>
        <v/>
      </c>
      <c r="K9710">
        <f>LET(
    purpose,'Loan Tape (S&amp;P)'!R9710,
    IF(purpose="Purchase",1.00,
        IF(purpose="Remortgage",1.00,
            1.20)))</f>
        <v/>
      </c>
      <c r="L9710">
        <f>LET(
    arrears_months,'Loan Tape (S&amp;P)'!AN9710,
    IF(arrears_months=0,1.00,
    IF(arrears_months=1,3.00,
    IF(arrears_months=2,5.00,
    IF(arrears_months=3,8.00,
    IF(arrears_months=4,10.00,
    IF(arrears_months=5,12.00,15.00)))))))</f>
        <v/>
      </c>
      <c r="M9710">
        <f>LET(
    seasoning_years,DATEDIF('Loan Tape (S&amp;P)'!K9710,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10">
        <f>IF(AND('Loan Tape (S&amp;P)'!U9710="Yes",
        'Loan Tape (S&amp;P)'!T9710&lt;&gt;"Yes",
        DATEDIF('Loan Tape (S&amp;P)'!K9710, TODAY(), "M")&lt;18),
    1.10,
    1.00)</f>
        <v/>
      </c>
      <c r="O9710">
        <f>IF('Loan Tape (S&amp;P)'!T9710="Yes",
    1.35,
    1.00)</f>
        <v/>
      </c>
      <c r="P9710">
        <f>IF('Loan Tape (S&amp;P)'!S9710="Yes",
    1.15,
    1.00)</f>
        <v/>
      </c>
      <c r="Q9710">
        <f>IF('Loan Tape (S&amp;P)'!V9710="Yes",
    1.20,
    1.00)</f>
        <v/>
      </c>
      <c r="T9710">
        <f>LET(
    payment_method,'Loan Tape (S&amp;P)'!P9710,
    occupancy,'Loan Tape (S&amp;P)'!N9710,
    maturity_date,'Loan Tape (S&amp;P)'!L9710,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11">
      <c r="J9711">
        <f>LET(
    lien,'Loan Tape (S&amp;P)'!Q9711,
    IF(lien="First",1.00,
        IF(lien="Second",1.50,
            1.70)))</f>
        <v/>
      </c>
      <c r="K9711">
        <f>LET(
    purpose,'Loan Tape (S&amp;P)'!R9711,
    IF(purpose="Purchase",1.00,
        IF(purpose="Remortgage",1.00,
            1.20)))</f>
        <v/>
      </c>
      <c r="L9711">
        <f>LET(
    arrears_months,'Loan Tape (S&amp;P)'!AN9711,
    IF(arrears_months=0,1.00,
    IF(arrears_months=1,3.00,
    IF(arrears_months=2,5.00,
    IF(arrears_months=3,8.00,
    IF(arrears_months=4,10.00,
    IF(arrears_months=5,12.00,15.00)))))))</f>
        <v/>
      </c>
      <c r="M9711">
        <f>LET(
    seasoning_years,DATEDIF('Loan Tape (S&amp;P)'!K9711,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11">
        <f>IF(AND('Loan Tape (S&amp;P)'!U9711="Yes",
        'Loan Tape (S&amp;P)'!T9711&lt;&gt;"Yes",
        DATEDIF('Loan Tape (S&amp;P)'!K9711, TODAY(), "M")&lt;18),
    1.10,
    1.00)</f>
        <v/>
      </c>
      <c r="O9711">
        <f>IF('Loan Tape (S&amp;P)'!T9711="Yes",
    1.35,
    1.00)</f>
        <v/>
      </c>
      <c r="P9711">
        <f>IF('Loan Tape (S&amp;P)'!S9711="Yes",
    1.15,
    1.00)</f>
        <v/>
      </c>
      <c r="Q9711">
        <f>IF('Loan Tape (S&amp;P)'!V9711="Yes",
    1.20,
    1.00)</f>
        <v/>
      </c>
      <c r="T9711">
        <f>LET(
    payment_method,'Loan Tape (S&amp;P)'!P9711,
    occupancy,'Loan Tape (S&amp;P)'!N9711,
    maturity_date,'Loan Tape (S&amp;P)'!L9711,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12">
      <c r="J9712">
        <f>LET(
    lien,'Loan Tape (S&amp;P)'!Q9712,
    IF(lien="First",1.00,
        IF(lien="Second",1.50,
            1.70)))</f>
        <v/>
      </c>
      <c r="K9712">
        <f>LET(
    purpose,'Loan Tape (S&amp;P)'!R9712,
    IF(purpose="Purchase",1.00,
        IF(purpose="Remortgage",1.00,
            1.20)))</f>
        <v/>
      </c>
      <c r="L9712">
        <f>LET(
    arrears_months,'Loan Tape (S&amp;P)'!AN9712,
    IF(arrears_months=0,1.00,
    IF(arrears_months=1,3.00,
    IF(arrears_months=2,5.00,
    IF(arrears_months=3,8.00,
    IF(arrears_months=4,10.00,
    IF(arrears_months=5,12.00,15.00)))))))</f>
        <v/>
      </c>
      <c r="M9712">
        <f>LET(
    seasoning_years,DATEDIF('Loan Tape (S&amp;P)'!K9712,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12">
        <f>IF(AND('Loan Tape (S&amp;P)'!U9712="Yes",
        'Loan Tape (S&amp;P)'!T9712&lt;&gt;"Yes",
        DATEDIF('Loan Tape (S&amp;P)'!K9712, TODAY(), "M")&lt;18),
    1.10,
    1.00)</f>
        <v/>
      </c>
      <c r="O9712">
        <f>IF('Loan Tape (S&amp;P)'!T9712="Yes",
    1.35,
    1.00)</f>
        <v/>
      </c>
      <c r="P9712">
        <f>IF('Loan Tape (S&amp;P)'!S9712="Yes",
    1.15,
    1.00)</f>
        <v/>
      </c>
      <c r="Q9712">
        <f>IF('Loan Tape (S&amp;P)'!V9712="Yes",
    1.20,
    1.00)</f>
        <v/>
      </c>
      <c r="T9712">
        <f>LET(
    payment_method,'Loan Tape (S&amp;P)'!P9712,
    occupancy,'Loan Tape (S&amp;P)'!N9712,
    maturity_date,'Loan Tape (S&amp;P)'!L9712,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13">
      <c r="J9713">
        <f>LET(
    lien,'Loan Tape (S&amp;P)'!Q9713,
    IF(lien="First",1.00,
        IF(lien="Second",1.50,
            1.70)))</f>
        <v/>
      </c>
      <c r="K9713">
        <f>LET(
    purpose,'Loan Tape (S&amp;P)'!R9713,
    IF(purpose="Purchase",1.00,
        IF(purpose="Remortgage",1.00,
            1.20)))</f>
        <v/>
      </c>
      <c r="L9713">
        <f>LET(
    arrears_months,'Loan Tape (S&amp;P)'!AN9713,
    IF(arrears_months=0,1.00,
    IF(arrears_months=1,3.00,
    IF(arrears_months=2,5.00,
    IF(arrears_months=3,8.00,
    IF(arrears_months=4,10.00,
    IF(arrears_months=5,12.00,15.00)))))))</f>
        <v/>
      </c>
      <c r="M9713">
        <f>LET(
    seasoning_years,DATEDIF('Loan Tape (S&amp;P)'!K9713,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13">
        <f>IF(AND('Loan Tape (S&amp;P)'!U9713="Yes",
        'Loan Tape (S&amp;P)'!T9713&lt;&gt;"Yes",
        DATEDIF('Loan Tape (S&amp;P)'!K9713, TODAY(), "M")&lt;18),
    1.10,
    1.00)</f>
        <v/>
      </c>
      <c r="O9713">
        <f>IF('Loan Tape (S&amp;P)'!T9713="Yes",
    1.35,
    1.00)</f>
        <v/>
      </c>
      <c r="P9713">
        <f>IF('Loan Tape (S&amp;P)'!S9713="Yes",
    1.15,
    1.00)</f>
        <v/>
      </c>
      <c r="Q9713">
        <f>IF('Loan Tape (S&amp;P)'!V9713="Yes",
    1.20,
    1.00)</f>
        <v/>
      </c>
      <c r="T9713">
        <f>LET(
    payment_method,'Loan Tape (S&amp;P)'!P9713,
    occupancy,'Loan Tape (S&amp;P)'!N9713,
    maturity_date,'Loan Tape (S&amp;P)'!L9713,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14">
      <c r="J9714">
        <f>LET(
    lien,'Loan Tape (S&amp;P)'!Q9714,
    IF(lien="First",1.00,
        IF(lien="Second",1.50,
            1.70)))</f>
        <v/>
      </c>
      <c r="K9714">
        <f>LET(
    purpose,'Loan Tape (S&amp;P)'!R9714,
    IF(purpose="Purchase",1.00,
        IF(purpose="Remortgage",1.00,
            1.20)))</f>
        <v/>
      </c>
      <c r="L9714">
        <f>LET(
    arrears_months,'Loan Tape (S&amp;P)'!AN9714,
    IF(arrears_months=0,1.00,
    IF(arrears_months=1,3.00,
    IF(arrears_months=2,5.00,
    IF(arrears_months=3,8.00,
    IF(arrears_months=4,10.00,
    IF(arrears_months=5,12.00,15.00)))))))</f>
        <v/>
      </c>
      <c r="M9714">
        <f>LET(
    seasoning_years,DATEDIF('Loan Tape (S&amp;P)'!K9714,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14">
        <f>IF(AND('Loan Tape (S&amp;P)'!U9714="Yes",
        'Loan Tape (S&amp;P)'!T9714&lt;&gt;"Yes",
        DATEDIF('Loan Tape (S&amp;P)'!K9714, TODAY(), "M")&lt;18),
    1.10,
    1.00)</f>
        <v/>
      </c>
      <c r="O9714">
        <f>IF('Loan Tape (S&amp;P)'!T9714="Yes",
    1.35,
    1.00)</f>
        <v/>
      </c>
      <c r="P9714">
        <f>IF('Loan Tape (S&amp;P)'!S9714="Yes",
    1.15,
    1.00)</f>
        <v/>
      </c>
      <c r="Q9714">
        <f>IF('Loan Tape (S&amp;P)'!V9714="Yes",
    1.20,
    1.00)</f>
        <v/>
      </c>
      <c r="T9714">
        <f>LET(
    payment_method,'Loan Tape (S&amp;P)'!P9714,
    occupancy,'Loan Tape (S&amp;P)'!N9714,
    maturity_date,'Loan Tape (S&amp;P)'!L9714,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15">
      <c r="J9715">
        <f>LET(
    lien,'Loan Tape (S&amp;P)'!Q9715,
    IF(lien="First",1.00,
        IF(lien="Second",1.50,
            1.70)))</f>
        <v/>
      </c>
      <c r="K9715">
        <f>LET(
    purpose,'Loan Tape (S&amp;P)'!R9715,
    IF(purpose="Purchase",1.00,
        IF(purpose="Remortgage",1.00,
            1.20)))</f>
        <v/>
      </c>
      <c r="L9715">
        <f>LET(
    arrears_months,'Loan Tape (S&amp;P)'!AN9715,
    IF(arrears_months=0,1.00,
    IF(arrears_months=1,3.00,
    IF(arrears_months=2,5.00,
    IF(arrears_months=3,8.00,
    IF(arrears_months=4,10.00,
    IF(arrears_months=5,12.00,15.00)))))))</f>
        <v/>
      </c>
      <c r="M9715">
        <f>LET(
    seasoning_years,DATEDIF('Loan Tape (S&amp;P)'!K9715,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15">
        <f>IF(AND('Loan Tape (S&amp;P)'!U9715="Yes",
        'Loan Tape (S&amp;P)'!T9715&lt;&gt;"Yes",
        DATEDIF('Loan Tape (S&amp;P)'!K9715, TODAY(), "M")&lt;18),
    1.10,
    1.00)</f>
        <v/>
      </c>
      <c r="O9715">
        <f>IF('Loan Tape (S&amp;P)'!T9715="Yes",
    1.35,
    1.00)</f>
        <v/>
      </c>
      <c r="P9715">
        <f>IF('Loan Tape (S&amp;P)'!S9715="Yes",
    1.15,
    1.00)</f>
        <v/>
      </c>
      <c r="Q9715">
        <f>IF('Loan Tape (S&amp;P)'!V9715="Yes",
    1.20,
    1.00)</f>
        <v/>
      </c>
      <c r="T9715">
        <f>LET(
    payment_method,'Loan Tape (S&amp;P)'!P9715,
    occupancy,'Loan Tape (S&amp;P)'!N9715,
    maturity_date,'Loan Tape (S&amp;P)'!L9715,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16">
      <c r="J9716">
        <f>LET(
    lien,'Loan Tape (S&amp;P)'!Q9716,
    IF(lien="First",1.00,
        IF(lien="Second",1.50,
            1.70)))</f>
        <v/>
      </c>
      <c r="K9716">
        <f>LET(
    purpose,'Loan Tape (S&amp;P)'!R9716,
    IF(purpose="Purchase",1.00,
        IF(purpose="Remortgage",1.00,
            1.20)))</f>
        <v/>
      </c>
      <c r="L9716">
        <f>LET(
    arrears_months,'Loan Tape (S&amp;P)'!AN9716,
    IF(arrears_months=0,1.00,
    IF(arrears_months=1,3.00,
    IF(arrears_months=2,5.00,
    IF(arrears_months=3,8.00,
    IF(arrears_months=4,10.00,
    IF(arrears_months=5,12.00,15.00)))))))</f>
        <v/>
      </c>
      <c r="M9716">
        <f>LET(
    seasoning_years,DATEDIF('Loan Tape (S&amp;P)'!K9716,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16">
        <f>IF(AND('Loan Tape (S&amp;P)'!U9716="Yes",
        'Loan Tape (S&amp;P)'!T9716&lt;&gt;"Yes",
        DATEDIF('Loan Tape (S&amp;P)'!K9716, TODAY(), "M")&lt;18),
    1.10,
    1.00)</f>
        <v/>
      </c>
      <c r="O9716">
        <f>IF('Loan Tape (S&amp;P)'!T9716="Yes",
    1.35,
    1.00)</f>
        <v/>
      </c>
      <c r="P9716">
        <f>IF('Loan Tape (S&amp;P)'!S9716="Yes",
    1.15,
    1.00)</f>
        <v/>
      </c>
      <c r="Q9716">
        <f>IF('Loan Tape (S&amp;P)'!V9716="Yes",
    1.20,
    1.00)</f>
        <v/>
      </c>
      <c r="T9716">
        <f>LET(
    payment_method,'Loan Tape (S&amp;P)'!P9716,
    occupancy,'Loan Tape (S&amp;P)'!N9716,
    maturity_date,'Loan Tape (S&amp;P)'!L9716,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17">
      <c r="J9717">
        <f>LET(
    lien,'Loan Tape (S&amp;P)'!Q9717,
    IF(lien="First",1.00,
        IF(lien="Second",1.50,
            1.70)))</f>
        <v/>
      </c>
      <c r="K9717">
        <f>LET(
    purpose,'Loan Tape (S&amp;P)'!R9717,
    IF(purpose="Purchase",1.00,
        IF(purpose="Remortgage",1.00,
            1.20)))</f>
        <v/>
      </c>
      <c r="L9717">
        <f>LET(
    arrears_months,'Loan Tape (S&amp;P)'!AN9717,
    IF(arrears_months=0,1.00,
    IF(arrears_months=1,3.00,
    IF(arrears_months=2,5.00,
    IF(arrears_months=3,8.00,
    IF(arrears_months=4,10.00,
    IF(arrears_months=5,12.00,15.00)))))))</f>
        <v/>
      </c>
      <c r="M9717">
        <f>LET(
    seasoning_years,DATEDIF('Loan Tape (S&amp;P)'!K9717,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17">
        <f>IF(AND('Loan Tape (S&amp;P)'!U9717="Yes",
        'Loan Tape (S&amp;P)'!T9717&lt;&gt;"Yes",
        DATEDIF('Loan Tape (S&amp;P)'!K9717, TODAY(), "M")&lt;18),
    1.10,
    1.00)</f>
        <v/>
      </c>
      <c r="O9717">
        <f>IF('Loan Tape (S&amp;P)'!T9717="Yes",
    1.35,
    1.00)</f>
        <v/>
      </c>
      <c r="P9717">
        <f>IF('Loan Tape (S&amp;P)'!S9717="Yes",
    1.15,
    1.00)</f>
        <v/>
      </c>
      <c r="Q9717">
        <f>IF('Loan Tape (S&amp;P)'!V9717="Yes",
    1.20,
    1.00)</f>
        <v/>
      </c>
      <c r="T9717">
        <f>LET(
    payment_method,'Loan Tape (S&amp;P)'!P9717,
    occupancy,'Loan Tape (S&amp;P)'!N9717,
    maturity_date,'Loan Tape (S&amp;P)'!L9717,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18">
      <c r="J9718">
        <f>LET(
    lien,'Loan Tape (S&amp;P)'!Q9718,
    IF(lien="First",1.00,
        IF(lien="Second",1.50,
            1.70)))</f>
        <v/>
      </c>
      <c r="K9718">
        <f>LET(
    purpose,'Loan Tape (S&amp;P)'!R9718,
    IF(purpose="Purchase",1.00,
        IF(purpose="Remortgage",1.00,
            1.20)))</f>
        <v/>
      </c>
      <c r="L9718">
        <f>LET(
    arrears_months,'Loan Tape (S&amp;P)'!AN9718,
    IF(arrears_months=0,1.00,
    IF(arrears_months=1,3.00,
    IF(arrears_months=2,5.00,
    IF(arrears_months=3,8.00,
    IF(arrears_months=4,10.00,
    IF(arrears_months=5,12.00,15.00)))))))</f>
        <v/>
      </c>
      <c r="M9718">
        <f>LET(
    seasoning_years,DATEDIF('Loan Tape (S&amp;P)'!K9718,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18">
        <f>IF(AND('Loan Tape (S&amp;P)'!U9718="Yes",
        'Loan Tape (S&amp;P)'!T9718&lt;&gt;"Yes",
        DATEDIF('Loan Tape (S&amp;P)'!K9718, TODAY(), "M")&lt;18),
    1.10,
    1.00)</f>
        <v/>
      </c>
      <c r="O9718">
        <f>IF('Loan Tape (S&amp;P)'!T9718="Yes",
    1.35,
    1.00)</f>
        <v/>
      </c>
      <c r="P9718">
        <f>IF('Loan Tape (S&amp;P)'!S9718="Yes",
    1.15,
    1.00)</f>
        <v/>
      </c>
      <c r="Q9718">
        <f>IF('Loan Tape (S&amp;P)'!V9718="Yes",
    1.20,
    1.00)</f>
        <v/>
      </c>
      <c r="T9718">
        <f>LET(
    payment_method,'Loan Tape (S&amp;P)'!P9718,
    occupancy,'Loan Tape (S&amp;P)'!N9718,
    maturity_date,'Loan Tape (S&amp;P)'!L9718,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19">
      <c r="J9719">
        <f>LET(
    lien,'Loan Tape (S&amp;P)'!Q9719,
    IF(lien="First",1.00,
        IF(lien="Second",1.50,
            1.70)))</f>
        <v/>
      </c>
      <c r="K9719">
        <f>LET(
    purpose,'Loan Tape (S&amp;P)'!R9719,
    IF(purpose="Purchase",1.00,
        IF(purpose="Remortgage",1.00,
            1.20)))</f>
        <v/>
      </c>
      <c r="L9719">
        <f>LET(
    arrears_months,'Loan Tape (S&amp;P)'!AN9719,
    IF(arrears_months=0,1.00,
    IF(arrears_months=1,3.00,
    IF(arrears_months=2,5.00,
    IF(arrears_months=3,8.00,
    IF(arrears_months=4,10.00,
    IF(arrears_months=5,12.00,15.00)))))))</f>
        <v/>
      </c>
      <c r="M9719">
        <f>LET(
    seasoning_years,DATEDIF('Loan Tape (S&amp;P)'!K9719,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19">
        <f>IF(AND('Loan Tape (S&amp;P)'!U9719="Yes",
        'Loan Tape (S&amp;P)'!T9719&lt;&gt;"Yes",
        DATEDIF('Loan Tape (S&amp;P)'!K9719, TODAY(), "M")&lt;18),
    1.10,
    1.00)</f>
        <v/>
      </c>
      <c r="O9719">
        <f>IF('Loan Tape (S&amp;P)'!T9719="Yes",
    1.35,
    1.00)</f>
        <v/>
      </c>
      <c r="P9719">
        <f>IF('Loan Tape (S&amp;P)'!S9719="Yes",
    1.15,
    1.00)</f>
        <v/>
      </c>
      <c r="Q9719">
        <f>IF('Loan Tape (S&amp;P)'!V9719="Yes",
    1.20,
    1.00)</f>
        <v/>
      </c>
      <c r="T9719">
        <f>LET(
    payment_method,'Loan Tape (S&amp;P)'!P9719,
    occupancy,'Loan Tape (S&amp;P)'!N9719,
    maturity_date,'Loan Tape (S&amp;P)'!L9719,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20">
      <c r="J9720">
        <f>LET(
    lien,'Loan Tape (S&amp;P)'!Q9720,
    IF(lien="First",1.00,
        IF(lien="Second",1.50,
            1.70)))</f>
        <v/>
      </c>
      <c r="K9720">
        <f>LET(
    purpose,'Loan Tape (S&amp;P)'!R9720,
    IF(purpose="Purchase",1.00,
        IF(purpose="Remortgage",1.00,
            1.20)))</f>
        <v/>
      </c>
      <c r="L9720">
        <f>LET(
    arrears_months,'Loan Tape (S&amp;P)'!AN9720,
    IF(arrears_months=0,1.00,
    IF(arrears_months=1,3.00,
    IF(arrears_months=2,5.00,
    IF(arrears_months=3,8.00,
    IF(arrears_months=4,10.00,
    IF(arrears_months=5,12.00,15.00)))))))</f>
        <v/>
      </c>
      <c r="M9720">
        <f>LET(
    seasoning_years,DATEDIF('Loan Tape (S&amp;P)'!K9720,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20">
        <f>IF(AND('Loan Tape (S&amp;P)'!U9720="Yes",
        'Loan Tape (S&amp;P)'!T9720&lt;&gt;"Yes",
        DATEDIF('Loan Tape (S&amp;P)'!K9720, TODAY(), "M")&lt;18),
    1.10,
    1.00)</f>
        <v/>
      </c>
      <c r="O9720">
        <f>IF('Loan Tape (S&amp;P)'!T9720="Yes",
    1.35,
    1.00)</f>
        <v/>
      </c>
      <c r="P9720">
        <f>IF('Loan Tape (S&amp;P)'!S9720="Yes",
    1.15,
    1.00)</f>
        <v/>
      </c>
      <c r="Q9720">
        <f>IF('Loan Tape (S&amp;P)'!V9720="Yes",
    1.20,
    1.00)</f>
        <v/>
      </c>
      <c r="T9720">
        <f>LET(
    payment_method,'Loan Tape (S&amp;P)'!P9720,
    occupancy,'Loan Tape (S&amp;P)'!N9720,
    maturity_date,'Loan Tape (S&amp;P)'!L9720,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21">
      <c r="J9721">
        <f>LET(
    lien,'Loan Tape (S&amp;P)'!Q9721,
    IF(lien="First",1.00,
        IF(lien="Second",1.50,
            1.70)))</f>
        <v/>
      </c>
      <c r="K9721">
        <f>LET(
    purpose,'Loan Tape (S&amp;P)'!R9721,
    IF(purpose="Purchase",1.00,
        IF(purpose="Remortgage",1.00,
            1.20)))</f>
        <v/>
      </c>
      <c r="L9721">
        <f>LET(
    arrears_months,'Loan Tape (S&amp;P)'!AN9721,
    IF(arrears_months=0,1.00,
    IF(arrears_months=1,3.00,
    IF(arrears_months=2,5.00,
    IF(arrears_months=3,8.00,
    IF(arrears_months=4,10.00,
    IF(arrears_months=5,12.00,15.00)))))))</f>
        <v/>
      </c>
      <c r="M9721">
        <f>LET(
    seasoning_years,DATEDIF('Loan Tape (S&amp;P)'!K9721,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21">
        <f>IF(AND('Loan Tape (S&amp;P)'!U9721="Yes",
        'Loan Tape (S&amp;P)'!T9721&lt;&gt;"Yes",
        DATEDIF('Loan Tape (S&amp;P)'!K9721, TODAY(), "M")&lt;18),
    1.10,
    1.00)</f>
        <v/>
      </c>
      <c r="O9721">
        <f>IF('Loan Tape (S&amp;P)'!T9721="Yes",
    1.35,
    1.00)</f>
        <v/>
      </c>
      <c r="P9721">
        <f>IF('Loan Tape (S&amp;P)'!S9721="Yes",
    1.15,
    1.00)</f>
        <v/>
      </c>
      <c r="Q9721">
        <f>IF('Loan Tape (S&amp;P)'!V9721="Yes",
    1.20,
    1.00)</f>
        <v/>
      </c>
      <c r="T9721">
        <f>LET(
    payment_method,'Loan Tape (S&amp;P)'!P9721,
    occupancy,'Loan Tape (S&amp;P)'!N9721,
    maturity_date,'Loan Tape (S&amp;P)'!L9721,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22">
      <c r="J9722">
        <f>LET(
    lien,'Loan Tape (S&amp;P)'!Q9722,
    IF(lien="First",1.00,
        IF(lien="Second",1.50,
            1.70)))</f>
        <v/>
      </c>
      <c r="K9722">
        <f>LET(
    purpose,'Loan Tape (S&amp;P)'!R9722,
    IF(purpose="Purchase",1.00,
        IF(purpose="Remortgage",1.00,
            1.20)))</f>
        <v/>
      </c>
      <c r="L9722">
        <f>LET(
    arrears_months,'Loan Tape (S&amp;P)'!AN9722,
    IF(arrears_months=0,1.00,
    IF(arrears_months=1,3.00,
    IF(arrears_months=2,5.00,
    IF(arrears_months=3,8.00,
    IF(arrears_months=4,10.00,
    IF(arrears_months=5,12.00,15.00)))))))</f>
        <v/>
      </c>
      <c r="M9722">
        <f>LET(
    seasoning_years,DATEDIF('Loan Tape (S&amp;P)'!K9722,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22">
        <f>IF(AND('Loan Tape (S&amp;P)'!U9722="Yes",
        'Loan Tape (S&amp;P)'!T9722&lt;&gt;"Yes",
        DATEDIF('Loan Tape (S&amp;P)'!K9722, TODAY(), "M")&lt;18),
    1.10,
    1.00)</f>
        <v/>
      </c>
      <c r="O9722">
        <f>IF('Loan Tape (S&amp;P)'!T9722="Yes",
    1.35,
    1.00)</f>
        <v/>
      </c>
      <c r="P9722">
        <f>IF('Loan Tape (S&amp;P)'!S9722="Yes",
    1.15,
    1.00)</f>
        <v/>
      </c>
      <c r="Q9722">
        <f>IF('Loan Tape (S&amp;P)'!V9722="Yes",
    1.20,
    1.00)</f>
        <v/>
      </c>
      <c r="T9722">
        <f>LET(
    payment_method,'Loan Tape (S&amp;P)'!P9722,
    occupancy,'Loan Tape (S&amp;P)'!N9722,
    maturity_date,'Loan Tape (S&amp;P)'!L9722,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23">
      <c r="J9723">
        <f>LET(
    lien,'Loan Tape (S&amp;P)'!Q9723,
    IF(lien="First",1.00,
        IF(lien="Second",1.50,
            1.70)))</f>
        <v/>
      </c>
      <c r="K9723">
        <f>LET(
    purpose,'Loan Tape (S&amp;P)'!R9723,
    IF(purpose="Purchase",1.00,
        IF(purpose="Remortgage",1.00,
            1.20)))</f>
        <v/>
      </c>
      <c r="L9723">
        <f>LET(
    arrears_months,'Loan Tape (S&amp;P)'!AN9723,
    IF(arrears_months=0,1.00,
    IF(arrears_months=1,3.00,
    IF(arrears_months=2,5.00,
    IF(arrears_months=3,8.00,
    IF(arrears_months=4,10.00,
    IF(arrears_months=5,12.00,15.00)))))))</f>
        <v/>
      </c>
      <c r="M9723">
        <f>LET(
    seasoning_years,DATEDIF('Loan Tape (S&amp;P)'!K9723,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23">
        <f>IF(AND('Loan Tape (S&amp;P)'!U9723="Yes",
        'Loan Tape (S&amp;P)'!T9723&lt;&gt;"Yes",
        DATEDIF('Loan Tape (S&amp;P)'!K9723, TODAY(), "M")&lt;18),
    1.10,
    1.00)</f>
        <v/>
      </c>
      <c r="O9723">
        <f>IF('Loan Tape (S&amp;P)'!T9723="Yes",
    1.35,
    1.00)</f>
        <v/>
      </c>
      <c r="P9723">
        <f>IF('Loan Tape (S&amp;P)'!S9723="Yes",
    1.15,
    1.00)</f>
        <v/>
      </c>
      <c r="Q9723">
        <f>IF('Loan Tape (S&amp;P)'!V9723="Yes",
    1.20,
    1.00)</f>
        <v/>
      </c>
      <c r="T9723">
        <f>LET(
    payment_method,'Loan Tape (S&amp;P)'!P9723,
    occupancy,'Loan Tape (S&amp;P)'!N9723,
    maturity_date,'Loan Tape (S&amp;P)'!L9723,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24">
      <c r="J9724">
        <f>LET(
    lien,'Loan Tape (S&amp;P)'!Q9724,
    IF(lien="First",1.00,
        IF(lien="Second",1.50,
            1.70)))</f>
        <v/>
      </c>
      <c r="K9724">
        <f>LET(
    purpose,'Loan Tape (S&amp;P)'!R9724,
    IF(purpose="Purchase",1.00,
        IF(purpose="Remortgage",1.00,
            1.20)))</f>
        <v/>
      </c>
      <c r="L9724">
        <f>LET(
    arrears_months,'Loan Tape (S&amp;P)'!AN9724,
    IF(arrears_months=0,1.00,
    IF(arrears_months=1,3.00,
    IF(arrears_months=2,5.00,
    IF(arrears_months=3,8.00,
    IF(arrears_months=4,10.00,
    IF(arrears_months=5,12.00,15.00)))))))</f>
        <v/>
      </c>
      <c r="M9724">
        <f>LET(
    seasoning_years,DATEDIF('Loan Tape (S&amp;P)'!K9724,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24">
        <f>IF(AND('Loan Tape (S&amp;P)'!U9724="Yes",
        'Loan Tape (S&amp;P)'!T9724&lt;&gt;"Yes",
        DATEDIF('Loan Tape (S&amp;P)'!K9724, TODAY(), "M")&lt;18),
    1.10,
    1.00)</f>
        <v/>
      </c>
      <c r="O9724">
        <f>IF('Loan Tape (S&amp;P)'!T9724="Yes",
    1.35,
    1.00)</f>
        <v/>
      </c>
      <c r="P9724">
        <f>IF('Loan Tape (S&amp;P)'!S9724="Yes",
    1.15,
    1.00)</f>
        <v/>
      </c>
      <c r="Q9724">
        <f>IF('Loan Tape (S&amp;P)'!V9724="Yes",
    1.20,
    1.00)</f>
        <v/>
      </c>
      <c r="T9724">
        <f>LET(
    payment_method,'Loan Tape (S&amp;P)'!P9724,
    occupancy,'Loan Tape (S&amp;P)'!N9724,
    maturity_date,'Loan Tape (S&amp;P)'!L9724,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25">
      <c r="J9725">
        <f>LET(
    lien,'Loan Tape (S&amp;P)'!Q9725,
    IF(lien="First",1.00,
        IF(lien="Second",1.50,
            1.70)))</f>
        <v/>
      </c>
      <c r="K9725">
        <f>LET(
    purpose,'Loan Tape (S&amp;P)'!R9725,
    IF(purpose="Purchase",1.00,
        IF(purpose="Remortgage",1.00,
            1.20)))</f>
        <v/>
      </c>
      <c r="L9725">
        <f>LET(
    arrears_months,'Loan Tape (S&amp;P)'!AN9725,
    IF(arrears_months=0,1.00,
    IF(arrears_months=1,3.00,
    IF(arrears_months=2,5.00,
    IF(arrears_months=3,8.00,
    IF(arrears_months=4,10.00,
    IF(arrears_months=5,12.00,15.00)))))))</f>
        <v/>
      </c>
      <c r="M9725">
        <f>LET(
    seasoning_years,DATEDIF('Loan Tape (S&amp;P)'!K9725,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25">
        <f>IF(AND('Loan Tape (S&amp;P)'!U9725="Yes",
        'Loan Tape (S&amp;P)'!T9725&lt;&gt;"Yes",
        DATEDIF('Loan Tape (S&amp;P)'!K9725, TODAY(), "M")&lt;18),
    1.10,
    1.00)</f>
        <v/>
      </c>
      <c r="O9725">
        <f>IF('Loan Tape (S&amp;P)'!T9725="Yes",
    1.35,
    1.00)</f>
        <v/>
      </c>
      <c r="P9725">
        <f>IF('Loan Tape (S&amp;P)'!S9725="Yes",
    1.15,
    1.00)</f>
        <v/>
      </c>
      <c r="Q9725">
        <f>IF('Loan Tape (S&amp;P)'!V9725="Yes",
    1.20,
    1.00)</f>
        <v/>
      </c>
      <c r="T9725">
        <f>LET(
    payment_method,'Loan Tape (S&amp;P)'!P9725,
    occupancy,'Loan Tape (S&amp;P)'!N9725,
    maturity_date,'Loan Tape (S&amp;P)'!L9725,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26">
      <c r="J9726">
        <f>LET(
    lien,'Loan Tape (S&amp;P)'!Q9726,
    IF(lien="First",1.00,
        IF(lien="Second",1.50,
            1.70)))</f>
        <v/>
      </c>
      <c r="K9726">
        <f>LET(
    purpose,'Loan Tape (S&amp;P)'!R9726,
    IF(purpose="Purchase",1.00,
        IF(purpose="Remortgage",1.00,
            1.20)))</f>
        <v/>
      </c>
      <c r="L9726">
        <f>LET(
    arrears_months,'Loan Tape (S&amp;P)'!AN9726,
    IF(arrears_months=0,1.00,
    IF(arrears_months=1,3.00,
    IF(arrears_months=2,5.00,
    IF(arrears_months=3,8.00,
    IF(arrears_months=4,10.00,
    IF(arrears_months=5,12.00,15.00)))))))</f>
        <v/>
      </c>
      <c r="M9726">
        <f>LET(
    seasoning_years,DATEDIF('Loan Tape (S&amp;P)'!K9726,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26">
        <f>IF(AND('Loan Tape (S&amp;P)'!U9726="Yes",
        'Loan Tape (S&amp;P)'!T9726&lt;&gt;"Yes",
        DATEDIF('Loan Tape (S&amp;P)'!K9726, TODAY(), "M")&lt;18),
    1.10,
    1.00)</f>
        <v/>
      </c>
      <c r="O9726">
        <f>IF('Loan Tape (S&amp;P)'!T9726="Yes",
    1.35,
    1.00)</f>
        <v/>
      </c>
      <c r="P9726">
        <f>IF('Loan Tape (S&amp;P)'!S9726="Yes",
    1.15,
    1.00)</f>
        <v/>
      </c>
      <c r="Q9726">
        <f>IF('Loan Tape (S&amp;P)'!V9726="Yes",
    1.20,
    1.00)</f>
        <v/>
      </c>
      <c r="T9726">
        <f>LET(
    payment_method,'Loan Tape (S&amp;P)'!P9726,
    occupancy,'Loan Tape (S&amp;P)'!N9726,
    maturity_date,'Loan Tape (S&amp;P)'!L9726,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27">
      <c r="J9727">
        <f>LET(
    lien,'Loan Tape (S&amp;P)'!Q9727,
    IF(lien="First",1.00,
        IF(lien="Second",1.50,
            1.70)))</f>
        <v/>
      </c>
      <c r="K9727">
        <f>LET(
    purpose,'Loan Tape (S&amp;P)'!R9727,
    IF(purpose="Purchase",1.00,
        IF(purpose="Remortgage",1.00,
            1.20)))</f>
        <v/>
      </c>
      <c r="L9727">
        <f>LET(
    arrears_months,'Loan Tape (S&amp;P)'!AN9727,
    IF(arrears_months=0,1.00,
    IF(arrears_months=1,3.00,
    IF(arrears_months=2,5.00,
    IF(arrears_months=3,8.00,
    IF(arrears_months=4,10.00,
    IF(arrears_months=5,12.00,15.00)))))))</f>
        <v/>
      </c>
      <c r="M9727">
        <f>LET(
    seasoning_years,DATEDIF('Loan Tape (S&amp;P)'!K9727,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27">
        <f>IF(AND('Loan Tape (S&amp;P)'!U9727="Yes",
        'Loan Tape (S&amp;P)'!T9727&lt;&gt;"Yes",
        DATEDIF('Loan Tape (S&amp;P)'!K9727, TODAY(), "M")&lt;18),
    1.10,
    1.00)</f>
        <v/>
      </c>
      <c r="O9727">
        <f>IF('Loan Tape (S&amp;P)'!T9727="Yes",
    1.35,
    1.00)</f>
        <v/>
      </c>
      <c r="P9727">
        <f>IF('Loan Tape (S&amp;P)'!S9727="Yes",
    1.15,
    1.00)</f>
        <v/>
      </c>
      <c r="Q9727">
        <f>IF('Loan Tape (S&amp;P)'!V9727="Yes",
    1.20,
    1.00)</f>
        <v/>
      </c>
      <c r="T9727">
        <f>LET(
    payment_method,'Loan Tape (S&amp;P)'!P9727,
    occupancy,'Loan Tape (S&amp;P)'!N9727,
    maturity_date,'Loan Tape (S&amp;P)'!L9727,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28">
      <c r="J9728">
        <f>LET(
    lien,'Loan Tape (S&amp;P)'!Q9728,
    IF(lien="First",1.00,
        IF(lien="Second",1.50,
            1.70)))</f>
        <v/>
      </c>
      <c r="K9728">
        <f>LET(
    purpose,'Loan Tape (S&amp;P)'!R9728,
    IF(purpose="Purchase",1.00,
        IF(purpose="Remortgage",1.00,
            1.20)))</f>
        <v/>
      </c>
      <c r="L9728">
        <f>LET(
    arrears_months,'Loan Tape (S&amp;P)'!AN9728,
    IF(arrears_months=0,1.00,
    IF(arrears_months=1,3.00,
    IF(arrears_months=2,5.00,
    IF(arrears_months=3,8.00,
    IF(arrears_months=4,10.00,
    IF(arrears_months=5,12.00,15.00)))))))</f>
        <v/>
      </c>
      <c r="M9728">
        <f>LET(
    seasoning_years,DATEDIF('Loan Tape (S&amp;P)'!K9728,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28">
        <f>IF(AND('Loan Tape (S&amp;P)'!U9728="Yes",
        'Loan Tape (S&amp;P)'!T9728&lt;&gt;"Yes",
        DATEDIF('Loan Tape (S&amp;P)'!K9728, TODAY(), "M")&lt;18),
    1.10,
    1.00)</f>
        <v/>
      </c>
      <c r="O9728">
        <f>IF('Loan Tape (S&amp;P)'!T9728="Yes",
    1.35,
    1.00)</f>
        <v/>
      </c>
      <c r="P9728">
        <f>IF('Loan Tape (S&amp;P)'!S9728="Yes",
    1.15,
    1.00)</f>
        <v/>
      </c>
      <c r="Q9728">
        <f>IF('Loan Tape (S&amp;P)'!V9728="Yes",
    1.20,
    1.00)</f>
        <v/>
      </c>
      <c r="T9728">
        <f>LET(
    payment_method,'Loan Tape (S&amp;P)'!P9728,
    occupancy,'Loan Tape (S&amp;P)'!N9728,
    maturity_date,'Loan Tape (S&amp;P)'!L9728,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29">
      <c r="J9729">
        <f>LET(
    lien,'Loan Tape (S&amp;P)'!Q9729,
    IF(lien="First",1.00,
        IF(lien="Second",1.50,
            1.70)))</f>
        <v/>
      </c>
      <c r="K9729">
        <f>LET(
    purpose,'Loan Tape (S&amp;P)'!R9729,
    IF(purpose="Purchase",1.00,
        IF(purpose="Remortgage",1.00,
            1.20)))</f>
        <v/>
      </c>
      <c r="L9729">
        <f>LET(
    arrears_months,'Loan Tape (S&amp;P)'!AN9729,
    IF(arrears_months=0,1.00,
    IF(arrears_months=1,3.00,
    IF(arrears_months=2,5.00,
    IF(arrears_months=3,8.00,
    IF(arrears_months=4,10.00,
    IF(arrears_months=5,12.00,15.00)))))))</f>
        <v/>
      </c>
      <c r="M9729">
        <f>LET(
    seasoning_years,DATEDIF('Loan Tape (S&amp;P)'!K9729,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29">
        <f>IF(AND('Loan Tape (S&amp;P)'!U9729="Yes",
        'Loan Tape (S&amp;P)'!T9729&lt;&gt;"Yes",
        DATEDIF('Loan Tape (S&amp;P)'!K9729, TODAY(), "M")&lt;18),
    1.10,
    1.00)</f>
        <v/>
      </c>
      <c r="O9729">
        <f>IF('Loan Tape (S&amp;P)'!T9729="Yes",
    1.35,
    1.00)</f>
        <v/>
      </c>
      <c r="P9729">
        <f>IF('Loan Tape (S&amp;P)'!S9729="Yes",
    1.15,
    1.00)</f>
        <v/>
      </c>
      <c r="Q9729">
        <f>IF('Loan Tape (S&amp;P)'!V9729="Yes",
    1.20,
    1.00)</f>
        <v/>
      </c>
      <c r="T9729">
        <f>LET(
    payment_method,'Loan Tape (S&amp;P)'!P9729,
    occupancy,'Loan Tape (S&amp;P)'!N9729,
    maturity_date,'Loan Tape (S&amp;P)'!L9729,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30">
      <c r="J9730">
        <f>LET(
    lien,'Loan Tape (S&amp;P)'!Q9730,
    IF(lien="First",1.00,
        IF(lien="Second",1.50,
            1.70)))</f>
        <v/>
      </c>
      <c r="K9730">
        <f>LET(
    purpose,'Loan Tape (S&amp;P)'!R9730,
    IF(purpose="Purchase",1.00,
        IF(purpose="Remortgage",1.00,
            1.20)))</f>
        <v/>
      </c>
      <c r="L9730">
        <f>LET(
    arrears_months,'Loan Tape (S&amp;P)'!AN9730,
    IF(arrears_months=0,1.00,
    IF(arrears_months=1,3.00,
    IF(arrears_months=2,5.00,
    IF(arrears_months=3,8.00,
    IF(arrears_months=4,10.00,
    IF(arrears_months=5,12.00,15.00)))))))</f>
        <v/>
      </c>
      <c r="M9730">
        <f>LET(
    seasoning_years,DATEDIF('Loan Tape (S&amp;P)'!K9730,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30">
        <f>IF(AND('Loan Tape (S&amp;P)'!U9730="Yes",
        'Loan Tape (S&amp;P)'!T9730&lt;&gt;"Yes",
        DATEDIF('Loan Tape (S&amp;P)'!K9730, TODAY(), "M")&lt;18),
    1.10,
    1.00)</f>
        <v/>
      </c>
      <c r="O9730">
        <f>IF('Loan Tape (S&amp;P)'!T9730="Yes",
    1.35,
    1.00)</f>
        <v/>
      </c>
      <c r="P9730">
        <f>IF('Loan Tape (S&amp;P)'!S9730="Yes",
    1.15,
    1.00)</f>
        <v/>
      </c>
      <c r="Q9730">
        <f>IF('Loan Tape (S&amp;P)'!V9730="Yes",
    1.20,
    1.00)</f>
        <v/>
      </c>
      <c r="T9730">
        <f>LET(
    payment_method,'Loan Tape (S&amp;P)'!P9730,
    occupancy,'Loan Tape (S&amp;P)'!N9730,
    maturity_date,'Loan Tape (S&amp;P)'!L9730,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31">
      <c r="J9731">
        <f>LET(
    lien,'Loan Tape (S&amp;P)'!Q9731,
    IF(lien="First",1.00,
        IF(lien="Second",1.50,
            1.70)))</f>
        <v/>
      </c>
      <c r="K9731">
        <f>LET(
    purpose,'Loan Tape (S&amp;P)'!R9731,
    IF(purpose="Purchase",1.00,
        IF(purpose="Remortgage",1.00,
            1.20)))</f>
        <v/>
      </c>
      <c r="L9731">
        <f>LET(
    arrears_months,'Loan Tape (S&amp;P)'!AN9731,
    IF(arrears_months=0,1.00,
    IF(arrears_months=1,3.00,
    IF(arrears_months=2,5.00,
    IF(arrears_months=3,8.00,
    IF(arrears_months=4,10.00,
    IF(arrears_months=5,12.00,15.00)))))))</f>
        <v/>
      </c>
      <c r="M9731">
        <f>LET(
    seasoning_years,DATEDIF('Loan Tape (S&amp;P)'!K9731,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31">
        <f>IF(AND('Loan Tape (S&amp;P)'!U9731="Yes",
        'Loan Tape (S&amp;P)'!T9731&lt;&gt;"Yes",
        DATEDIF('Loan Tape (S&amp;P)'!K9731, TODAY(), "M")&lt;18),
    1.10,
    1.00)</f>
        <v/>
      </c>
      <c r="O9731">
        <f>IF('Loan Tape (S&amp;P)'!T9731="Yes",
    1.35,
    1.00)</f>
        <v/>
      </c>
      <c r="P9731">
        <f>IF('Loan Tape (S&amp;P)'!S9731="Yes",
    1.15,
    1.00)</f>
        <v/>
      </c>
      <c r="Q9731">
        <f>IF('Loan Tape (S&amp;P)'!V9731="Yes",
    1.20,
    1.00)</f>
        <v/>
      </c>
      <c r="T9731">
        <f>LET(
    payment_method,'Loan Tape (S&amp;P)'!P9731,
    occupancy,'Loan Tape (S&amp;P)'!N9731,
    maturity_date,'Loan Tape (S&amp;P)'!L9731,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32">
      <c r="J9732">
        <f>LET(
    lien,'Loan Tape (S&amp;P)'!Q9732,
    IF(lien="First",1.00,
        IF(lien="Second",1.50,
            1.70)))</f>
        <v/>
      </c>
      <c r="K9732">
        <f>LET(
    purpose,'Loan Tape (S&amp;P)'!R9732,
    IF(purpose="Purchase",1.00,
        IF(purpose="Remortgage",1.00,
            1.20)))</f>
        <v/>
      </c>
      <c r="L9732">
        <f>LET(
    arrears_months,'Loan Tape (S&amp;P)'!AN9732,
    IF(arrears_months=0,1.00,
    IF(arrears_months=1,3.00,
    IF(arrears_months=2,5.00,
    IF(arrears_months=3,8.00,
    IF(arrears_months=4,10.00,
    IF(arrears_months=5,12.00,15.00)))))))</f>
        <v/>
      </c>
      <c r="M9732">
        <f>LET(
    seasoning_years,DATEDIF('Loan Tape (S&amp;P)'!K9732,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32">
        <f>IF(AND('Loan Tape (S&amp;P)'!U9732="Yes",
        'Loan Tape (S&amp;P)'!T9732&lt;&gt;"Yes",
        DATEDIF('Loan Tape (S&amp;P)'!K9732, TODAY(), "M")&lt;18),
    1.10,
    1.00)</f>
        <v/>
      </c>
      <c r="O9732">
        <f>IF('Loan Tape (S&amp;P)'!T9732="Yes",
    1.35,
    1.00)</f>
        <v/>
      </c>
      <c r="P9732">
        <f>IF('Loan Tape (S&amp;P)'!S9732="Yes",
    1.15,
    1.00)</f>
        <v/>
      </c>
      <c r="Q9732">
        <f>IF('Loan Tape (S&amp;P)'!V9732="Yes",
    1.20,
    1.00)</f>
        <v/>
      </c>
      <c r="T9732">
        <f>LET(
    payment_method,'Loan Tape (S&amp;P)'!P9732,
    occupancy,'Loan Tape (S&amp;P)'!N9732,
    maturity_date,'Loan Tape (S&amp;P)'!L9732,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33">
      <c r="J9733">
        <f>LET(
    lien,'Loan Tape (S&amp;P)'!Q9733,
    IF(lien="First",1.00,
        IF(lien="Second",1.50,
            1.70)))</f>
        <v/>
      </c>
      <c r="K9733">
        <f>LET(
    purpose,'Loan Tape (S&amp;P)'!R9733,
    IF(purpose="Purchase",1.00,
        IF(purpose="Remortgage",1.00,
            1.20)))</f>
        <v/>
      </c>
      <c r="L9733">
        <f>LET(
    arrears_months,'Loan Tape (S&amp;P)'!AN9733,
    IF(arrears_months=0,1.00,
    IF(arrears_months=1,3.00,
    IF(arrears_months=2,5.00,
    IF(arrears_months=3,8.00,
    IF(arrears_months=4,10.00,
    IF(arrears_months=5,12.00,15.00)))))))</f>
        <v/>
      </c>
      <c r="M9733">
        <f>LET(
    seasoning_years,DATEDIF('Loan Tape (S&amp;P)'!K9733,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33">
        <f>IF(AND('Loan Tape (S&amp;P)'!U9733="Yes",
        'Loan Tape (S&amp;P)'!T9733&lt;&gt;"Yes",
        DATEDIF('Loan Tape (S&amp;P)'!K9733, TODAY(), "M")&lt;18),
    1.10,
    1.00)</f>
        <v/>
      </c>
      <c r="O9733">
        <f>IF('Loan Tape (S&amp;P)'!T9733="Yes",
    1.35,
    1.00)</f>
        <v/>
      </c>
      <c r="P9733">
        <f>IF('Loan Tape (S&amp;P)'!S9733="Yes",
    1.15,
    1.00)</f>
        <v/>
      </c>
      <c r="Q9733">
        <f>IF('Loan Tape (S&amp;P)'!V9733="Yes",
    1.20,
    1.00)</f>
        <v/>
      </c>
      <c r="T9733">
        <f>LET(
    payment_method,'Loan Tape (S&amp;P)'!P9733,
    occupancy,'Loan Tape (S&amp;P)'!N9733,
    maturity_date,'Loan Tape (S&amp;P)'!L9733,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34">
      <c r="J9734">
        <f>LET(
    lien,'Loan Tape (S&amp;P)'!Q9734,
    IF(lien="First",1.00,
        IF(lien="Second",1.50,
            1.70)))</f>
        <v/>
      </c>
      <c r="K9734">
        <f>LET(
    purpose,'Loan Tape (S&amp;P)'!R9734,
    IF(purpose="Purchase",1.00,
        IF(purpose="Remortgage",1.00,
            1.20)))</f>
        <v/>
      </c>
      <c r="L9734">
        <f>LET(
    arrears_months,'Loan Tape (S&amp;P)'!AN9734,
    IF(arrears_months=0,1.00,
    IF(arrears_months=1,3.00,
    IF(arrears_months=2,5.00,
    IF(arrears_months=3,8.00,
    IF(arrears_months=4,10.00,
    IF(arrears_months=5,12.00,15.00)))))))</f>
        <v/>
      </c>
      <c r="M9734">
        <f>LET(
    seasoning_years,DATEDIF('Loan Tape (S&amp;P)'!K9734,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34">
        <f>IF(AND('Loan Tape (S&amp;P)'!U9734="Yes",
        'Loan Tape (S&amp;P)'!T9734&lt;&gt;"Yes",
        DATEDIF('Loan Tape (S&amp;P)'!K9734, TODAY(), "M")&lt;18),
    1.10,
    1.00)</f>
        <v/>
      </c>
      <c r="O9734">
        <f>IF('Loan Tape (S&amp;P)'!T9734="Yes",
    1.35,
    1.00)</f>
        <v/>
      </c>
      <c r="P9734">
        <f>IF('Loan Tape (S&amp;P)'!S9734="Yes",
    1.15,
    1.00)</f>
        <v/>
      </c>
      <c r="Q9734">
        <f>IF('Loan Tape (S&amp;P)'!V9734="Yes",
    1.20,
    1.00)</f>
        <v/>
      </c>
      <c r="T9734">
        <f>LET(
    payment_method,'Loan Tape (S&amp;P)'!P9734,
    occupancy,'Loan Tape (S&amp;P)'!N9734,
    maturity_date,'Loan Tape (S&amp;P)'!L9734,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35">
      <c r="J9735">
        <f>LET(
    lien,'Loan Tape (S&amp;P)'!Q9735,
    IF(lien="First",1.00,
        IF(lien="Second",1.50,
            1.70)))</f>
        <v/>
      </c>
      <c r="K9735">
        <f>LET(
    purpose,'Loan Tape (S&amp;P)'!R9735,
    IF(purpose="Purchase",1.00,
        IF(purpose="Remortgage",1.00,
            1.20)))</f>
        <v/>
      </c>
      <c r="L9735">
        <f>LET(
    arrears_months,'Loan Tape (S&amp;P)'!AN9735,
    IF(arrears_months=0,1.00,
    IF(arrears_months=1,3.00,
    IF(arrears_months=2,5.00,
    IF(arrears_months=3,8.00,
    IF(arrears_months=4,10.00,
    IF(arrears_months=5,12.00,15.00)))))))</f>
        <v/>
      </c>
      <c r="M9735">
        <f>LET(
    seasoning_years,DATEDIF('Loan Tape (S&amp;P)'!K9735,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35">
        <f>IF(AND('Loan Tape (S&amp;P)'!U9735="Yes",
        'Loan Tape (S&amp;P)'!T9735&lt;&gt;"Yes",
        DATEDIF('Loan Tape (S&amp;P)'!K9735, TODAY(), "M")&lt;18),
    1.10,
    1.00)</f>
        <v/>
      </c>
      <c r="O9735">
        <f>IF('Loan Tape (S&amp;P)'!T9735="Yes",
    1.35,
    1.00)</f>
        <v/>
      </c>
      <c r="P9735">
        <f>IF('Loan Tape (S&amp;P)'!S9735="Yes",
    1.15,
    1.00)</f>
        <v/>
      </c>
      <c r="Q9735">
        <f>IF('Loan Tape (S&amp;P)'!V9735="Yes",
    1.20,
    1.00)</f>
        <v/>
      </c>
      <c r="T9735">
        <f>LET(
    payment_method,'Loan Tape (S&amp;P)'!P9735,
    occupancy,'Loan Tape (S&amp;P)'!N9735,
    maturity_date,'Loan Tape (S&amp;P)'!L9735,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36">
      <c r="J9736">
        <f>LET(
    lien,'Loan Tape (S&amp;P)'!Q9736,
    IF(lien="First",1.00,
        IF(lien="Second",1.50,
            1.70)))</f>
        <v/>
      </c>
      <c r="K9736">
        <f>LET(
    purpose,'Loan Tape (S&amp;P)'!R9736,
    IF(purpose="Purchase",1.00,
        IF(purpose="Remortgage",1.00,
            1.20)))</f>
        <v/>
      </c>
      <c r="L9736">
        <f>LET(
    arrears_months,'Loan Tape (S&amp;P)'!AN9736,
    IF(arrears_months=0,1.00,
    IF(arrears_months=1,3.00,
    IF(arrears_months=2,5.00,
    IF(arrears_months=3,8.00,
    IF(arrears_months=4,10.00,
    IF(arrears_months=5,12.00,15.00)))))))</f>
        <v/>
      </c>
      <c r="M9736">
        <f>LET(
    seasoning_years,DATEDIF('Loan Tape (S&amp;P)'!K9736,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36">
        <f>IF(AND('Loan Tape (S&amp;P)'!U9736="Yes",
        'Loan Tape (S&amp;P)'!T9736&lt;&gt;"Yes",
        DATEDIF('Loan Tape (S&amp;P)'!K9736, TODAY(), "M")&lt;18),
    1.10,
    1.00)</f>
        <v/>
      </c>
      <c r="O9736">
        <f>IF('Loan Tape (S&amp;P)'!T9736="Yes",
    1.35,
    1.00)</f>
        <v/>
      </c>
      <c r="P9736">
        <f>IF('Loan Tape (S&amp;P)'!S9736="Yes",
    1.15,
    1.00)</f>
        <v/>
      </c>
      <c r="Q9736">
        <f>IF('Loan Tape (S&amp;P)'!V9736="Yes",
    1.20,
    1.00)</f>
        <v/>
      </c>
      <c r="T9736">
        <f>LET(
    payment_method,'Loan Tape (S&amp;P)'!P9736,
    occupancy,'Loan Tape (S&amp;P)'!N9736,
    maturity_date,'Loan Tape (S&amp;P)'!L9736,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37">
      <c r="J9737">
        <f>LET(
    lien,'Loan Tape (S&amp;P)'!Q9737,
    IF(lien="First",1.00,
        IF(lien="Second",1.50,
            1.70)))</f>
        <v/>
      </c>
      <c r="K9737">
        <f>LET(
    purpose,'Loan Tape (S&amp;P)'!R9737,
    IF(purpose="Purchase",1.00,
        IF(purpose="Remortgage",1.00,
            1.20)))</f>
        <v/>
      </c>
      <c r="L9737">
        <f>LET(
    arrears_months,'Loan Tape (S&amp;P)'!AN9737,
    IF(arrears_months=0,1.00,
    IF(arrears_months=1,3.00,
    IF(arrears_months=2,5.00,
    IF(arrears_months=3,8.00,
    IF(arrears_months=4,10.00,
    IF(arrears_months=5,12.00,15.00)))))))</f>
        <v/>
      </c>
      <c r="M9737">
        <f>LET(
    seasoning_years,DATEDIF('Loan Tape (S&amp;P)'!K9737,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37">
        <f>IF(AND('Loan Tape (S&amp;P)'!U9737="Yes",
        'Loan Tape (S&amp;P)'!T9737&lt;&gt;"Yes",
        DATEDIF('Loan Tape (S&amp;P)'!K9737, TODAY(), "M")&lt;18),
    1.10,
    1.00)</f>
        <v/>
      </c>
      <c r="O9737">
        <f>IF('Loan Tape (S&amp;P)'!T9737="Yes",
    1.35,
    1.00)</f>
        <v/>
      </c>
      <c r="P9737">
        <f>IF('Loan Tape (S&amp;P)'!S9737="Yes",
    1.15,
    1.00)</f>
        <v/>
      </c>
      <c r="Q9737">
        <f>IF('Loan Tape (S&amp;P)'!V9737="Yes",
    1.20,
    1.00)</f>
        <v/>
      </c>
      <c r="T9737">
        <f>LET(
    payment_method,'Loan Tape (S&amp;P)'!P9737,
    occupancy,'Loan Tape (S&amp;P)'!N9737,
    maturity_date,'Loan Tape (S&amp;P)'!L9737,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38">
      <c r="J9738">
        <f>LET(
    lien,'Loan Tape (S&amp;P)'!Q9738,
    IF(lien="First",1.00,
        IF(lien="Second",1.50,
            1.70)))</f>
        <v/>
      </c>
      <c r="K9738">
        <f>LET(
    purpose,'Loan Tape (S&amp;P)'!R9738,
    IF(purpose="Purchase",1.00,
        IF(purpose="Remortgage",1.00,
            1.20)))</f>
        <v/>
      </c>
      <c r="L9738">
        <f>LET(
    arrears_months,'Loan Tape (S&amp;P)'!AN9738,
    IF(arrears_months=0,1.00,
    IF(arrears_months=1,3.00,
    IF(arrears_months=2,5.00,
    IF(arrears_months=3,8.00,
    IF(arrears_months=4,10.00,
    IF(arrears_months=5,12.00,15.00)))))))</f>
        <v/>
      </c>
      <c r="M9738">
        <f>LET(
    seasoning_years,DATEDIF('Loan Tape (S&amp;P)'!K9738,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38">
        <f>IF(AND('Loan Tape (S&amp;P)'!U9738="Yes",
        'Loan Tape (S&amp;P)'!T9738&lt;&gt;"Yes",
        DATEDIF('Loan Tape (S&amp;P)'!K9738, TODAY(), "M")&lt;18),
    1.10,
    1.00)</f>
        <v/>
      </c>
      <c r="O9738">
        <f>IF('Loan Tape (S&amp;P)'!T9738="Yes",
    1.35,
    1.00)</f>
        <v/>
      </c>
      <c r="P9738">
        <f>IF('Loan Tape (S&amp;P)'!S9738="Yes",
    1.15,
    1.00)</f>
        <v/>
      </c>
      <c r="Q9738">
        <f>IF('Loan Tape (S&amp;P)'!V9738="Yes",
    1.20,
    1.00)</f>
        <v/>
      </c>
      <c r="T9738">
        <f>LET(
    payment_method,'Loan Tape (S&amp;P)'!P9738,
    occupancy,'Loan Tape (S&amp;P)'!N9738,
    maturity_date,'Loan Tape (S&amp;P)'!L9738,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39">
      <c r="J9739">
        <f>LET(
    lien,'Loan Tape (S&amp;P)'!Q9739,
    IF(lien="First",1.00,
        IF(lien="Second",1.50,
            1.70)))</f>
        <v/>
      </c>
      <c r="K9739">
        <f>LET(
    purpose,'Loan Tape (S&amp;P)'!R9739,
    IF(purpose="Purchase",1.00,
        IF(purpose="Remortgage",1.00,
            1.20)))</f>
        <v/>
      </c>
      <c r="L9739">
        <f>LET(
    arrears_months,'Loan Tape (S&amp;P)'!AN9739,
    IF(arrears_months=0,1.00,
    IF(arrears_months=1,3.00,
    IF(arrears_months=2,5.00,
    IF(arrears_months=3,8.00,
    IF(arrears_months=4,10.00,
    IF(arrears_months=5,12.00,15.00)))))))</f>
        <v/>
      </c>
      <c r="M9739">
        <f>LET(
    seasoning_years,DATEDIF('Loan Tape (S&amp;P)'!K9739,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39">
        <f>IF(AND('Loan Tape (S&amp;P)'!U9739="Yes",
        'Loan Tape (S&amp;P)'!T9739&lt;&gt;"Yes",
        DATEDIF('Loan Tape (S&amp;P)'!K9739, TODAY(), "M")&lt;18),
    1.10,
    1.00)</f>
        <v/>
      </c>
      <c r="O9739">
        <f>IF('Loan Tape (S&amp;P)'!T9739="Yes",
    1.35,
    1.00)</f>
        <v/>
      </c>
      <c r="P9739">
        <f>IF('Loan Tape (S&amp;P)'!S9739="Yes",
    1.15,
    1.00)</f>
        <v/>
      </c>
      <c r="Q9739">
        <f>IF('Loan Tape (S&amp;P)'!V9739="Yes",
    1.20,
    1.00)</f>
        <v/>
      </c>
      <c r="T9739">
        <f>LET(
    payment_method,'Loan Tape (S&amp;P)'!P9739,
    occupancy,'Loan Tape (S&amp;P)'!N9739,
    maturity_date,'Loan Tape (S&amp;P)'!L9739,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40">
      <c r="J9740">
        <f>LET(
    lien,'Loan Tape (S&amp;P)'!Q9740,
    IF(lien="First",1.00,
        IF(lien="Second",1.50,
            1.70)))</f>
        <v/>
      </c>
      <c r="K9740">
        <f>LET(
    purpose,'Loan Tape (S&amp;P)'!R9740,
    IF(purpose="Purchase",1.00,
        IF(purpose="Remortgage",1.00,
            1.20)))</f>
        <v/>
      </c>
      <c r="L9740">
        <f>LET(
    arrears_months,'Loan Tape (S&amp;P)'!AN9740,
    IF(arrears_months=0,1.00,
    IF(arrears_months=1,3.00,
    IF(arrears_months=2,5.00,
    IF(arrears_months=3,8.00,
    IF(arrears_months=4,10.00,
    IF(arrears_months=5,12.00,15.00)))))))</f>
        <v/>
      </c>
      <c r="M9740">
        <f>LET(
    seasoning_years,DATEDIF('Loan Tape (S&amp;P)'!K9740,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40">
        <f>IF(AND('Loan Tape (S&amp;P)'!U9740="Yes",
        'Loan Tape (S&amp;P)'!T9740&lt;&gt;"Yes",
        DATEDIF('Loan Tape (S&amp;P)'!K9740, TODAY(), "M")&lt;18),
    1.10,
    1.00)</f>
        <v/>
      </c>
      <c r="O9740">
        <f>IF('Loan Tape (S&amp;P)'!T9740="Yes",
    1.35,
    1.00)</f>
        <v/>
      </c>
      <c r="P9740">
        <f>IF('Loan Tape (S&amp;P)'!S9740="Yes",
    1.15,
    1.00)</f>
        <v/>
      </c>
      <c r="Q9740">
        <f>IF('Loan Tape (S&amp;P)'!V9740="Yes",
    1.20,
    1.00)</f>
        <v/>
      </c>
      <c r="T9740">
        <f>LET(
    payment_method,'Loan Tape (S&amp;P)'!P9740,
    occupancy,'Loan Tape (S&amp;P)'!N9740,
    maturity_date,'Loan Tape (S&amp;P)'!L9740,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41">
      <c r="J9741">
        <f>LET(
    lien,'Loan Tape (S&amp;P)'!Q9741,
    IF(lien="First",1.00,
        IF(lien="Second",1.50,
            1.70)))</f>
        <v/>
      </c>
      <c r="K9741">
        <f>LET(
    purpose,'Loan Tape (S&amp;P)'!R9741,
    IF(purpose="Purchase",1.00,
        IF(purpose="Remortgage",1.00,
            1.20)))</f>
        <v/>
      </c>
      <c r="L9741">
        <f>LET(
    arrears_months,'Loan Tape (S&amp;P)'!AN9741,
    IF(arrears_months=0,1.00,
    IF(arrears_months=1,3.00,
    IF(arrears_months=2,5.00,
    IF(arrears_months=3,8.00,
    IF(arrears_months=4,10.00,
    IF(arrears_months=5,12.00,15.00)))))))</f>
        <v/>
      </c>
      <c r="M9741">
        <f>LET(
    seasoning_years,DATEDIF('Loan Tape (S&amp;P)'!K9741,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41">
        <f>IF(AND('Loan Tape (S&amp;P)'!U9741="Yes",
        'Loan Tape (S&amp;P)'!T9741&lt;&gt;"Yes",
        DATEDIF('Loan Tape (S&amp;P)'!K9741, TODAY(), "M")&lt;18),
    1.10,
    1.00)</f>
        <v/>
      </c>
      <c r="O9741">
        <f>IF('Loan Tape (S&amp;P)'!T9741="Yes",
    1.35,
    1.00)</f>
        <v/>
      </c>
      <c r="P9741">
        <f>IF('Loan Tape (S&amp;P)'!S9741="Yes",
    1.15,
    1.00)</f>
        <v/>
      </c>
      <c r="Q9741">
        <f>IF('Loan Tape (S&amp;P)'!V9741="Yes",
    1.20,
    1.00)</f>
        <v/>
      </c>
      <c r="T9741">
        <f>LET(
    payment_method,'Loan Tape (S&amp;P)'!P9741,
    occupancy,'Loan Tape (S&amp;P)'!N9741,
    maturity_date,'Loan Tape (S&amp;P)'!L9741,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42">
      <c r="J9742">
        <f>LET(
    lien,'Loan Tape (S&amp;P)'!Q9742,
    IF(lien="First",1.00,
        IF(lien="Second",1.50,
            1.70)))</f>
        <v/>
      </c>
      <c r="K9742">
        <f>LET(
    purpose,'Loan Tape (S&amp;P)'!R9742,
    IF(purpose="Purchase",1.00,
        IF(purpose="Remortgage",1.00,
            1.20)))</f>
        <v/>
      </c>
      <c r="L9742">
        <f>LET(
    arrears_months,'Loan Tape (S&amp;P)'!AN9742,
    IF(arrears_months=0,1.00,
    IF(arrears_months=1,3.00,
    IF(arrears_months=2,5.00,
    IF(arrears_months=3,8.00,
    IF(arrears_months=4,10.00,
    IF(arrears_months=5,12.00,15.00)))))))</f>
        <v/>
      </c>
      <c r="M9742">
        <f>LET(
    seasoning_years,DATEDIF('Loan Tape (S&amp;P)'!K9742,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42">
        <f>IF(AND('Loan Tape (S&amp;P)'!U9742="Yes",
        'Loan Tape (S&amp;P)'!T9742&lt;&gt;"Yes",
        DATEDIF('Loan Tape (S&amp;P)'!K9742, TODAY(), "M")&lt;18),
    1.10,
    1.00)</f>
        <v/>
      </c>
      <c r="O9742">
        <f>IF('Loan Tape (S&amp;P)'!T9742="Yes",
    1.35,
    1.00)</f>
        <v/>
      </c>
      <c r="P9742">
        <f>IF('Loan Tape (S&amp;P)'!S9742="Yes",
    1.15,
    1.00)</f>
        <v/>
      </c>
      <c r="Q9742">
        <f>IF('Loan Tape (S&amp;P)'!V9742="Yes",
    1.20,
    1.00)</f>
        <v/>
      </c>
      <c r="T9742">
        <f>LET(
    payment_method,'Loan Tape (S&amp;P)'!P9742,
    occupancy,'Loan Tape (S&amp;P)'!N9742,
    maturity_date,'Loan Tape (S&amp;P)'!L9742,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43">
      <c r="J9743">
        <f>LET(
    lien,'Loan Tape (S&amp;P)'!Q9743,
    IF(lien="First",1.00,
        IF(lien="Second",1.50,
            1.70)))</f>
        <v/>
      </c>
      <c r="K9743">
        <f>LET(
    purpose,'Loan Tape (S&amp;P)'!R9743,
    IF(purpose="Purchase",1.00,
        IF(purpose="Remortgage",1.00,
            1.20)))</f>
        <v/>
      </c>
      <c r="L9743">
        <f>LET(
    arrears_months,'Loan Tape (S&amp;P)'!AN9743,
    IF(arrears_months=0,1.00,
    IF(arrears_months=1,3.00,
    IF(arrears_months=2,5.00,
    IF(arrears_months=3,8.00,
    IF(arrears_months=4,10.00,
    IF(arrears_months=5,12.00,15.00)))))))</f>
        <v/>
      </c>
      <c r="M9743">
        <f>LET(
    seasoning_years,DATEDIF('Loan Tape (S&amp;P)'!K9743,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43">
        <f>IF(AND('Loan Tape (S&amp;P)'!U9743="Yes",
        'Loan Tape (S&amp;P)'!T9743&lt;&gt;"Yes",
        DATEDIF('Loan Tape (S&amp;P)'!K9743, TODAY(), "M")&lt;18),
    1.10,
    1.00)</f>
        <v/>
      </c>
      <c r="O9743">
        <f>IF('Loan Tape (S&amp;P)'!T9743="Yes",
    1.35,
    1.00)</f>
        <v/>
      </c>
      <c r="P9743">
        <f>IF('Loan Tape (S&amp;P)'!S9743="Yes",
    1.15,
    1.00)</f>
        <v/>
      </c>
      <c r="Q9743">
        <f>IF('Loan Tape (S&amp;P)'!V9743="Yes",
    1.20,
    1.00)</f>
        <v/>
      </c>
      <c r="T9743">
        <f>LET(
    payment_method,'Loan Tape (S&amp;P)'!P9743,
    occupancy,'Loan Tape (S&amp;P)'!N9743,
    maturity_date,'Loan Tape (S&amp;P)'!L9743,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44">
      <c r="J9744">
        <f>LET(
    lien,'Loan Tape (S&amp;P)'!Q9744,
    IF(lien="First",1.00,
        IF(lien="Second",1.50,
            1.70)))</f>
        <v/>
      </c>
      <c r="K9744">
        <f>LET(
    purpose,'Loan Tape (S&amp;P)'!R9744,
    IF(purpose="Purchase",1.00,
        IF(purpose="Remortgage",1.00,
            1.20)))</f>
        <v/>
      </c>
      <c r="L9744">
        <f>LET(
    arrears_months,'Loan Tape (S&amp;P)'!AN9744,
    IF(arrears_months=0,1.00,
    IF(arrears_months=1,3.00,
    IF(arrears_months=2,5.00,
    IF(arrears_months=3,8.00,
    IF(arrears_months=4,10.00,
    IF(arrears_months=5,12.00,15.00)))))))</f>
        <v/>
      </c>
      <c r="M9744">
        <f>LET(
    seasoning_years,DATEDIF('Loan Tape (S&amp;P)'!K9744,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44">
        <f>IF(AND('Loan Tape (S&amp;P)'!U9744="Yes",
        'Loan Tape (S&amp;P)'!T9744&lt;&gt;"Yes",
        DATEDIF('Loan Tape (S&amp;P)'!K9744, TODAY(), "M")&lt;18),
    1.10,
    1.00)</f>
        <v/>
      </c>
      <c r="O9744">
        <f>IF('Loan Tape (S&amp;P)'!T9744="Yes",
    1.35,
    1.00)</f>
        <v/>
      </c>
      <c r="P9744">
        <f>IF('Loan Tape (S&amp;P)'!S9744="Yes",
    1.15,
    1.00)</f>
        <v/>
      </c>
      <c r="Q9744">
        <f>IF('Loan Tape (S&amp;P)'!V9744="Yes",
    1.20,
    1.00)</f>
        <v/>
      </c>
      <c r="T9744">
        <f>LET(
    payment_method,'Loan Tape (S&amp;P)'!P9744,
    occupancy,'Loan Tape (S&amp;P)'!N9744,
    maturity_date,'Loan Tape (S&amp;P)'!L9744,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45">
      <c r="J9745">
        <f>LET(
    lien,'Loan Tape (S&amp;P)'!Q9745,
    IF(lien="First",1.00,
        IF(lien="Second",1.50,
            1.70)))</f>
        <v/>
      </c>
      <c r="K9745">
        <f>LET(
    purpose,'Loan Tape (S&amp;P)'!R9745,
    IF(purpose="Purchase",1.00,
        IF(purpose="Remortgage",1.00,
            1.20)))</f>
        <v/>
      </c>
      <c r="L9745">
        <f>LET(
    arrears_months,'Loan Tape (S&amp;P)'!AN9745,
    IF(arrears_months=0,1.00,
    IF(arrears_months=1,3.00,
    IF(arrears_months=2,5.00,
    IF(arrears_months=3,8.00,
    IF(arrears_months=4,10.00,
    IF(arrears_months=5,12.00,15.00)))))))</f>
        <v/>
      </c>
      <c r="M9745">
        <f>LET(
    seasoning_years,DATEDIF('Loan Tape (S&amp;P)'!K9745,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45">
        <f>IF(AND('Loan Tape (S&amp;P)'!U9745="Yes",
        'Loan Tape (S&amp;P)'!T9745&lt;&gt;"Yes",
        DATEDIF('Loan Tape (S&amp;P)'!K9745, TODAY(), "M")&lt;18),
    1.10,
    1.00)</f>
        <v/>
      </c>
      <c r="O9745">
        <f>IF('Loan Tape (S&amp;P)'!T9745="Yes",
    1.35,
    1.00)</f>
        <v/>
      </c>
      <c r="P9745">
        <f>IF('Loan Tape (S&amp;P)'!S9745="Yes",
    1.15,
    1.00)</f>
        <v/>
      </c>
      <c r="Q9745">
        <f>IF('Loan Tape (S&amp;P)'!V9745="Yes",
    1.20,
    1.00)</f>
        <v/>
      </c>
      <c r="T9745">
        <f>LET(
    payment_method,'Loan Tape (S&amp;P)'!P9745,
    occupancy,'Loan Tape (S&amp;P)'!N9745,
    maturity_date,'Loan Tape (S&amp;P)'!L9745,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46">
      <c r="J9746">
        <f>LET(
    lien,'Loan Tape (S&amp;P)'!Q9746,
    IF(lien="First",1.00,
        IF(lien="Second",1.50,
            1.70)))</f>
        <v/>
      </c>
      <c r="K9746">
        <f>LET(
    purpose,'Loan Tape (S&amp;P)'!R9746,
    IF(purpose="Purchase",1.00,
        IF(purpose="Remortgage",1.00,
            1.20)))</f>
        <v/>
      </c>
      <c r="L9746">
        <f>LET(
    arrears_months,'Loan Tape (S&amp;P)'!AN9746,
    IF(arrears_months=0,1.00,
    IF(arrears_months=1,3.00,
    IF(arrears_months=2,5.00,
    IF(arrears_months=3,8.00,
    IF(arrears_months=4,10.00,
    IF(arrears_months=5,12.00,15.00)))))))</f>
        <v/>
      </c>
      <c r="M9746">
        <f>LET(
    seasoning_years,DATEDIF('Loan Tape (S&amp;P)'!K9746,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46">
        <f>IF(AND('Loan Tape (S&amp;P)'!U9746="Yes",
        'Loan Tape (S&amp;P)'!T9746&lt;&gt;"Yes",
        DATEDIF('Loan Tape (S&amp;P)'!K9746, TODAY(), "M")&lt;18),
    1.10,
    1.00)</f>
        <v/>
      </c>
      <c r="O9746">
        <f>IF('Loan Tape (S&amp;P)'!T9746="Yes",
    1.35,
    1.00)</f>
        <v/>
      </c>
      <c r="P9746">
        <f>IF('Loan Tape (S&amp;P)'!S9746="Yes",
    1.15,
    1.00)</f>
        <v/>
      </c>
      <c r="Q9746">
        <f>IF('Loan Tape (S&amp;P)'!V9746="Yes",
    1.20,
    1.00)</f>
        <v/>
      </c>
      <c r="T9746">
        <f>LET(
    payment_method,'Loan Tape (S&amp;P)'!P9746,
    occupancy,'Loan Tape (S&amp;P)'!N9746,
    maturity_date,'Loan Tape (S&amp;P)'!L9746,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47">
      <c r="J9747">
        <f>LET(
    lien,'Loan Tape (S&amp;P)'!Q9747,
    IF(lien="First",1.00,
        IF(lien="Second",1.50,
            1.70)))</f>
        <v/>
      </c>
      <c r="K9747">
        <f>LET(
    purpose,'Loan Tape (S&amp;P)'!R9747,
    IF(purpose="Purchase",1.00,
        IF(purpose="Remortgage",1.00,
            1.20)))</f>
        <v/>
      </c>
      <c r="L9747">
        <f>LET(
    arrears_months,'Loan Tape (S&amp;P)'!AN9747,
    IF(arrears_months=0,1.00,
    IF(arrears_months=1,3.00,
    IF(arrears_months=2,5.00,
    IF(arrears_months=3,8.00,
    IF(arrears_months=4,10.00,
    IF(arrears_months=5,12.00,15.00)))))))</f>
        <v/>
      </c>
      <c r="M9747">
        <f>LET(
    seasoning_years,DATEDIF('Loan Tape (S&amp;P)'!K9747,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47">
        <f>IF(AND('Loan Tape (S&amp;P)'!U9747="Yes",
        'Loan Tape (S&amp;P)'!T9747&lt;&gt;"Yes",
        DATEDIF('Loan Tape (S&amp;P)'!K9747, TODAY(), "M")&lt;18),
    1.10,
    1.00)</f>
        <v/>
      </c>
      <c r="O9747">
        <f>IF('Loan Tape (S&amp;P)'!T9747="Yes",
    1.35,
    1.00)</f>
        <v/>
      </c>
      <c r="P9747">
        <f>IF('Loan Tape (S&amp;P)'!S9747="Yes",
    1.15,
    1.00)</f>
        <v/>
      </c>
      <c r="Q9747">
        <f>IF('Loan Tape (S&amp;P)'!V9747="Yes",
    1.20,
    1.00)</f>
        <v/>
      </c>
      <c r="T9747">
        <f>LET(
    payment_method,'Loan Tape (S&amp;P)'!P9747,
    occupancy,'Loan Tape (S&amp;P)'!N9747,
    maturity_date,'Loan Tape (S&amp;P)'!L9747,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48">
      <c r="J9748">
        <f>LET(
    lien,'Loan Tape (S&amp;P)'!Q9748,
    IF(lien="First",1.00,
        IF(lien="Second",1.50,
            1.70)))</f>
        <v/>
      </c>
      <c r="K9748">
        <f>LET(
    purpose,'Loan Tape (S&amp;P)'!R9748,
    IF(purpose="Purchase",1.00,
        IF(purpose="Remortgage",1.00,
            1.20)))</f>
        <v/>
      </c>
      <c r="L9748">
        <f>LET(
    arrears_months,'Loan Tape (S&amp;P)'!AN9748,
    IF(arrears_months=0,1.00,
    IF(arrears_months=1,3.00,
    IF(arrears_months=2,5.00,
    IF(arrears_months=3,8.00,
    IF(arrears_months=4,10.00,
    IF(arrears_months=5,12.00,15.00)))))))</f>
        <v/>
      </c>
      <c r="M9748">
        <f>LET(
    seasoning_years,DATEDIF('Loan Tape (S&amp;P)'!K9748,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48">
        <f>IF(AND('Loan Tape (S&amp;P)'!U9748="Yes",
        'Loan Tape (S&amp;P)'!T9748&lt;&gt;"Yes",
        DATEDIF('Loan Tape (S&amp;P)'!K9748, TODAY(), "M")&lt;18),
    1.10,
    1.00)</f>
        <v/>
      </c>
      <c r="O9748">
        <f>IF('Loan Tape (S&amp;P)'!T9748="Yes",
    1.35,
    1.00)</f>
        <v/>
      </c>
      <c r="P9748">
        <f>IF('Loan Tape (S&amp;P)'!S9748="Yes",
    1.15,
    1.00)</f>
        <v/>
      </c>
      <c r="Q9748">
        <f>IF('Loan Tape (S&amp;P)'!V9748="Yes",
    1.20,
    1.00)</f>
        <v/>
      </c>
      <c r="T9748">
        <f>LET(
    payment_method,'Loan Tape (S&amp;P)'!P9748,
    occupancy,'Loan Tape (S&amp;P)'!N9748,
    maturity_date,'Loan Tape (S&amp;P)'!L9748,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49">
      <c r="J9749">
        <f>LET(
    lien,'Loan Tape (S&amp;P)'!Q9749,
    IF(lien="First",1.00,
        IF(lien="Second",1.50,
            1.70)))</f>
        <v/>
      </c>
      <c r="K9749">
        <f>LET(
    purpose,'Loan Tape (S&amp;P)'!R9749,
    IF(purpose="Purchase",1.00,
        IF(purpose="Remortgage",1.00,
            1.20)))</f>
        <v/>
      </c>
      <c r="L9749">
        <f>LET(
    arrears_months,'Loan Tape (S&amp;P)'!AN9749,
    IF(arrears_months=0,1.00,
    IF(arrears_months=1,3.00,
    IF(arrears_months=2,5.00,
    IF(arrears_months=3,8.00,
    IF(arrears_months=4,10.00,
    IF(arrears_months=5,12.00,15.00)))))))</f>
        <v/>
      </c>
      <c r="M9749">
        <f>LET(
    seasoning_years,DATEDIF('Loan Tape (S&amp;P)'!K9749,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49">
        <f>IF(AND('Loan Tape (S&amp;P)'!U9749="Yes",
        'Loan Tape (S&amp;P)'!T9749&lt;&gt;"Yes",
        DATEDIF('Loan Tape (S&amp;P)'!K9749, TODAY(), "M")&lt;18),
    1.10,
    1.00)</f>
        <v/>
      </c>
      <c r="O9749">
        <f>IF('Loan Tape (S&amp;P)'!T9749="Yes",
    1.35,
    1.00)</f>
        <v/>
      </c>
      <c r="P9749">
        <f>IF('Loan Tape (S&amp;P)'!S9749="Yes",
    1.15,
    1.00)</f>
        <v/>
      </c>
      <c r="Q9749">
        <f>IF('Loan Tape (S&amp;P)'!V9749="Yes",
    1.20,
    1.00)</f>
        <v/>
      </c>
      <c r="T9749">
        <f>LET(
    payment_method,'Loan Tape (S&amp;P)'!P9749,
    occupancy,'Loan Tape (S&amp;P)'!N9749,
    maturity_date,'Loan Tape (S&amp;P)'!L9749,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50">
      <c r="J9750">
        <f>LET(
    lien,'Loan Tape (S&amp;P)'!Q9750,
    IF(lien="First",1.00,
        IF(lien="Second",1.50,
            1.70)))</f>
        <v/>
      </c>
      <c r="K9750">
        <f>LET(
    purpose,'Loan Tape (S&amp;P)'!R9750,
    IF(purpose="Purchase",1.00,
        IF(purpose="Remortgage",1.00,
            1.20)))</f>
        <v/>
      </c>
      <c r="L9750">
        <f>LET(
    arrears_months,'Loan Tape (S&amp;P)'!AN9750,
    IF(arrears_months=0,1.00,
    IF(arrears_months=1,3.00,
    IF(arrears_months=2,5.00,
    IF(arrears_months=3,8.00,
    IF(arrears_months=4,10.00,
    IF(arrears_months=5,12.00,15.00)))))))</f>
        <v/>
      </c>
      <c r="M9750">
        <f>LET(
    seasoning_years,DATEDIF('Loan Tape (S&amp;P)'!K9750,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50">
        <f>IF(AND('Loan Tape (S&amp;P)'!U9750="Yes",
        'Loan Tape (S&amp;P)'!T9750&lt;&gt;"Yes",
        DATEDIF('Loan Tape (S&amp;P)'!K9750, TODAY(), "M")&lt;18),
    1.10,
    1.00)</f>
        <v/>
      </c>
      <c r="O9750">
        <f>IF('Loan Tape (S&amp;P)'!T9750="Yes",
    1.35,
    1.00)</f>
        <v/>
      </c>
      <c r="P9750">
        <f>IF('Loan Tape (S&amp;P)'!S9750="Yes",
    1.15,
    1.00)</f>
        <v/>
      </c>
      <c r="Q9750">
        <f>IF('Loan Tape (S&amp;P)'!V9750="Yes",
    1.20,
    1.00)</f>
        <v/>
      </c>
      <c r="T9750">
        <f>LET(
    payment_method,'Loan Tape (S&amp;P)'!P9750,
    occupancy,'Loan Tape (S&amp;P)'!N9750,
    maturity_date,'Loan Tape (S&amp;P)'!L9750,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51">
      <c r="J9751">
        <f>LET(
    lien,'Loan Tape (S&amp;P)'!Q9751,
    IF(lien="First",1.00,
        IF(lien="Second",1.50,
            1.70)))</f>
        <v/>
      </c>
      <c r="K9751">
        <f>LET(
    purpose,'Loan Tape (S&amp;P)'!R9751,
    IF(purpose="Purchase",1.00,
        IF(purpose="Remortgage",1.00,
            1.20)))</f>
        <v/>
      </c>
      <c r="L9751">
        <f>LET(
    arrears_months,'Loan Tape (S&amp;P)'!AN9751,
    IF(arrears_months=0,1.00,
    IF(arrears_months=1,3.00,
    IF(arrears_months=2,5.00,
    IF(arrears_months=3,8.00,
    IF(arrears_months=4,10.00,
    IF(arrears_months=5,12.00,15.00)))))))</f>
        <v/>
      </c>
      <c r="M9751">
        <f>LET(
    seasoning_years,DATEDIF('Loan Tape (S&amp;P)'!K9751,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51">
        <f>IF(AND('Loan Tape (S&amp;P)'!U9751="Yes",
        'Loan Tape (S&amp;P)'!T9751&lt;&gt;"Yes",
        DATEDIF('Loan Tape (S&amp;P)'!K9751, TODAY(), "M")&lt;18),
    1.10,
    1.00)</f>
        <v/>
      </c>
      <c r="O9751">
        <f>IF('Loan Tape (S&amp;P)'!T9751="Yes",
    1.35,
    1.00)</f>
        <v/>
      </c>
      <c r="P9751">
        <f>IF('Loan Tape (S&amp;P)'!S9751="Yes",
    1.15,
    1.00)</f>
        <v/>
      </c>
      <c r="Q9751">
        <f>IF('Loan Tape (S&amp;P)'!V9751="Yes",
    1.20,
    1.00)</f>
        <v/>
      </c>
      <c r="T9751">
        <f>LET(
    payment_method,'Loan Tape (S&amp;P)'!P9751,
    occupancy,'Loan Tape (S&amp;P)'!N9751,
    maturity_date,'Loan Tape (S&amp;P)'!L9751,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52">
      <c r="J9752">
        <f>LET(
    lien,'Loan Tape (S&amp;P)'!Q9752,
    IF(lien="First",1.00,
        IF(lien="Second",1.50,
            1.70)))</f>
        <v/>
      </c>
      <c r="K9752">
        <f>LET(
    purpose,'Loan Tape (S&amp;P)'!R9752,
    IF(purpose="Purchase",1.00,
        IF(purpose="Remortgage",1.00,
            1.20)))</f>
        <v/>
      </c>
      <c r="L9752">
        <f>LET(
    arrears_months,'Loan Tape (S&amp;P)'!AN9752,
    IF(arrears_months=0,1.00,
    IF(arrears_months=1,3.00,
    IF(arrears_months=2,5.00,
    IF(arrears_months=3,8.00,
    IF(arrears_months=4,10.00,
    IF(arrears_months=5,12.00,15.00)))))))</f>
        <v/>
      </c>
      <c r="M9752">
        <f>LET(
    seasoning_years,DATEDIF('Loan Tape (S&amp;P)'!K9752,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52">
        <f>IF(AND('Loan Tape (S&amp;P)'!U9752="Yes",
        'Loan Tape (S&amp;P)'!T9752&lt;&gt;"Yes",
        DATEDIF('Loan Tape (S&amp;P)'!K9752, TODAY(), "M")&lt;18),
    1.10,
    1.00)</f>
        <v/>
      </c>
      <c r="O9752">
        <f>IF('Loan Tape (S&amp;P)'!T9752="Yes",
    1.35,
    1.00)</f>
        <v/>
      </c>
      <c r="P9752">
        <f>IF('Loan Tape (S&amp;P)'!S9752="Yes",
    1.15,
    1.00)</f>
        <v/>
      </c>
      <c r="Q9752">
        <f>IF('Loan Tape (S&amp;P)'!V9752="Yes",
    1.20,
    1.00)</f>
        <v/>
      </c>
      <c r="T9752">
        <f>LET(
    payment_method,'Loan Tape (S&amp;P)'!P9752,
    occupancy,'Loan Tape (S&amp;P)'!N9752,
    maturity_date,'Loan Tape (S&amp;P)'!L9752,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53">
      <c r="J9753">
        <f>LET(
    lien,'Loan Tape (S&amp;P)'!Q9753,
    IF(lien="First",1.00,
        IF(lien="Second",1.50,
            1.70)))</f>
        <v/>
      </c>
      <c r="K9753">
        <f>LET(
    purpose,'Loan Tape (S&amp;P)'!R9753,
    IF(purpose="Purchase",1.00,
        IF(purpose="Remortgage",1.00,
            1.20)))</f>
        <v/>
      </c>
      <c r="L9753">
        <f>LET(
    arrears_months,'Loan Tape (S&amp;P)'!AN9753,
    IF(arrears_months=0,1.00,
    IF(arrears_months=1,3.00,
    IF(arrears_months=2,5.00,
    IF(arrears_months=3,8.00,
    IF(arrears_months=4,10.00,
    IF(arrears_months=5,12.00,15.00)))))))</f>
        <v/>
      </c>
      <c r="M9753">
        <f>LET(
    seasoning_years,DATEDIF('Loan Tape (S&amp;P)'!K9753,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53">
        <f>IF(AND('Loan Tape (S&amp;P)'!U9753="Yes",
        'Loan Tape (S&amp;P)'!T9753&lt;&gt;"Yes",
        DATEDIF('Loan Tape (S&amp;P)'!K9753, TODAY(), "M")&lt;18),
    1.10,
    1.00)</f>
        <v/>
      </c>
      <c r="O9753">
        <f>IF('Loan Tape (S&amp;P)'!T9753="Yes",
    1.35,
    1.00)</f>
        <v/>
      </c>
      <c r="P9753">
        <f>IF('Loan Tape (S&amp;P)'!S9753="Yes",
    1.15,
    1.00)</f>
        <v/>
      </c>
      <c r="Q9753">
        <f>IF('Loan Tape (S&amp;P)'!V9753="Yes",
    1.20,
    1.00)</f>
        <v/>
      </c>
      <c r="T9753">
        <f>LET(
    payment_method,'Loan Tape (S&amp;P)'!P9753,
    occupancy,'Loan Tape (S&amp;P)'!N9753,
    maturity_date,'Loan Tape (S&amp;P)'!L9753,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54">
      <c r="J9754">
        <f>LET(
    lien,'Loan Tape (S&amp;P)'!Q9754,
    IF(lien="First",1.00,
        IF(lien="Second",1.50,
            1.70)))</f>
        <v/>
      </c>
      <c r="K9754">
        <f>LET(
    purpose,'Loan Tape (S&amp;P)'!R9754,
    IF(purpose="Purchase",1.00,
        IF(purpose="Remortgage",1.00,
            1.20)))</f>
        <v/>
      </c>
      <c r="L9754">
        <f>LET(
    arrears_months,'Loan Tape (S&amp;P)'!AN9754,
    IF(arrears_months=0,1.00,
    IF(arrears_months=1,3.00,
    IF(arrears_months=2,5.00,
    IF(arrears_months=3,8.00,
    IF(arrears_months=4,10.00,
    IF(arrears_months=5,12.00,15.00)))))))</f>
        <v/>
      </c>
      <c r="M9754">
        <f>LET(
    seasoning_years,DATEDIF('Loan Tape (S&amp;P)'!K9754,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54">
        <f>IF(AND('Loan Tape (S&amp;P)'!U9754="Yes",
        'Loan Tape (S&amp;P)'!T9754&lt;&gt;"Yes",
        DATEDIF('Loan Tape (S&amp;P)'!K9754, TODAY(), "M")&lt;18),
    1.10,
    1.00)</f>
        <v/>
      </c>
      <c r="O9754">
        <f>IF('Loan Tape (S&amp;P)'!T9754="Yes",
    1.35,
    1.00)</f>
        <v/>
      </c>
      <c r="P9754">
        <f>IF('Loan Tape (S&amp;P)'!S9754="Yes",
    1.15,
    1.00)</f>
        <v/>
      </c>
      <c r="Q9754">
        <f>IF('Loan Tape (S&amp;P)'!V9754="Yes",
    1.20,
    1.00)</f>
        <v/>
      </c>
      <c r="T9754">
        <f>LET(
    payment_method,'Loan Tape (S&amp;P)'!P9754,
    occupancy,'Loan Tape (S&amp;P)'!N9754,
    maturity_date,'Loan Tape (S&amp;P)'!L9754,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55">
      <c r="J9755">
        <f>LET(
    lien,'Loan Tape (S&amp;P)'!Q9755,
    IF(lien="First",1.00,
        IF(lien="Second",1.50,
            1.70)))</f>
        <v/>
      </c>
      <c r="K9755">
        <f>LET(
    purpose,'Loan Tape (S&amp;P)'!R9755,
    IF(purpose="Purchase",1.00,
        IF(purpose="Remortgage",1.00,
            1.20)))</f>
        <v/>
      </c>
      <c r="L9755">
        <f>LET(
    arrears_months,'Loan Tape (S&amp;P)'!AN9755,
    IF(arrears_months=0,1.00,
    IF(arrears_months=1,3.00,
    IF(arrears_months=2,5.00,
    IF(arrears_months=3,8.00,
    IF(arrears_months=4,10.00,
    IF(arrears_months=5,12.00,15.00)))))))</f>
        <v/>
      </c>
      <c r="M9755">
        <f>LET(
    seasoning_years,DATEDIF('Loan Tape (S&amp;P)'!K9755,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55">
        <f>IF(AND('Loan Tape (S&amp;P)'!U9755="Yes",
        'Loan Tape (S&amp;P)'!T9755&lt;&gt;"Yes",
        DATEDIF('Loan Tape (S&amp;P)'!K9755, TODAY(), "M")&lt;18),
    1.10,
    1.00)</f>
        <v/>
      </c>
      <c r="O9755">
        <f>IF('Loan Tape (S&amp;P)'!T9755="Yes",
    1.35,
    1.00)</f>
        <v/>
      </c>
      <c r="P9755">
        <f>IF('Loan Tape (S&amp;P)'!S9755="Yes",
    1.15,
    1.00)</f>
        <v/>
      </c>
      <c r="Q9755">
        <f>IF('Loan Tape (S&amp;P)'!V9755="Yes",
    1.20,
    1.00)</f>
        <v/>
      </c>
      <c r="T9755">
        <f>LET(
    payment_method,'Loan Tape (S&amp;P)'!P9755,
    occupancy,'Loan Tape (S&amp;P)'!N9755,
    maturity_date,'Loan Tape (S&amp;P)'!L9755,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56">
      <c r="J9756">
        <f>LET(
    lien,'Loan Tape (S&amp;P)'!Q9756,
    IF(lien="First",1.00,
        IF(lien="Second",1.50,
            1.70)))</f>
        <v/>
      </c>
      <c r="K9756">
        <f>LET(
    purpose,'Loan Tape (S&amp;P)'!R9756,
    IF(purpose="Purchase",1.00,
        IF(purpose="Remortgage",1.00,
            1.20)))</f>
        <v/>
      </c>
      <c r="L9756">
        <f>LET(
    arrears_months,'Loan Tape (S&amp;P)'!AN9756,
    IF(arrears_months=0,1.00,
    IF(arrears_months=1,3.00,
    IF(arrears_months=2,5.00,
    IF(arrears_months=3,8.00,
    IF(arrears_months=4,10.00,
    IF(arrears_months=5,12.00,15.00)))))))</f>
        <v/>
      </c>
      <c r="M9756">
        <f>LET(
    seasoning_years,DATEDIF('Loan Tape (S&amp;P)'!K9756,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56">
        <f>IF(AND('Loan Tape (S&amp;P)'!U9756="Yes",
        'Loan Tape (S&amp;P)'!T9756&lt;&gt;"Yes",
        DATEDIF('Loan Tape (S&amp;P)'!K9756, TODAY(), "M")&lt;18),
    1.10,
    1.00)</f>
        <v/>
      </c>
      <c r="O9756">
        <f>IF('Loan Tape (S&amp;P)'!T9756="Yes",
    1.35,
    1.00)</f>
        <v/>
      </c>
      <c r="P9756">
        <f>IF('Loan Tape (S&amp;P)'!S9756="Yes",
    1.15,
    1.00)</f>
        <v/>
      </c>
      <c r="Q9756">
        <f>IF('Loan Tape (S&amp;P)'!V9756="Yes",
    1.20,
    1.00)</f>
        <v/>
      </c>
      <c r="T9756">
        <f>LET(
    payment_method,'Loan Tape (S&amp;P)'!P9756,
    occupancy,'Loan Tape (S&amp;P)'!N9756,
    maturity_date,'Loan Tape (S&amp;P)'!L9756,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57">
      <c r="J9757">
        <f>LET(
    lien,'Loan Tape (S&amp;P)'!Q9757,
    IF(lien="First",1.00,
        IF(lien="Second",1.50,
            1.70)))</f>
        <v/>
      </c>
      <c r="K9757">
        <f>LET(
    purpose,'Loan Tape (S&amp;P)'!R9757,
    IF(purpose="Purchase",1.00,
        IF(purpose="Remortgage",1.00,
            1.20)))</f>
        <v/>
      </c>
      <c r="L9757">
        <f>LET(
    arrears_months,'Loan Tape (S&amp;P)'!AN9757,
    IF(arrears_months=0,1.00,
    IF(arrears_months=1,3.00,
    IF(arrears_months=2,5.00,
    IF(arrears_months=3,8.00,
    IF(arrears_months=4,10.00,
    IF(arrears_months=5,12.00,15.00)))))))</f>
        <v/>
      </c>
      <c r="M9757">
        <f>LET(
    seasoning_years,DATEDIF('Loan Tape (S&amp;P)'!K9757,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57">
        <f>IF(AND('Loan Tape (S&amp;P)'!U9757="Yes",
        'Loan Tape (S&amp;P)'!T9757&lt;&gt;"Yes",
        DATEDIF('Loan Tape (S&amp;P)'!K9757, TODAY(), "M")&lt;18),
    1.10,
    1.00)</f>
        <v/>
      </c>
      <c r="O9757">
        <f>IF('Loan Tape (S&amp;P)'!T9757="Yes",
    1.35,
    1.00)</f>
        <v/>
      </c>
      <c r="P9757">
        <f>IF('Loan Tape (S&amp;P)'!S9757="Yes",
    1.15,
    1.00)</f>
        <v/>
      </c>
      <c r="Q9757">
        <f>IF('Loan Tape (S&amp;P)'!V9757="Yes",
    1.20,
    1.00)</f>
        <v/>
      </c>
      <c r="T9757">
        <f>LET(
    payment_method,'Loan Tape (S&amp;P)'!P9757,
    occupancy,'Loan Tape (S&amp;P)'!N9757,
    maturity_date,'Loan Tape (S&amp;P)'!L9757,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58">
      <c r="J9758">
        <f>LET(
    lien,'Loan Tape (S&amp;P)'!Q9758,
    IF(lien="First",1.00,
        IF(lien="Second",1.50,
            1.70)))</f>
        <v/>
      </c>
      <c r="K9758">
        <f>LET(
    purpose,'Loan Tape (S&amp;P)'!R9758,
    IF(purpose="Purchase",1.00,
        IF(purpose="Remortgage",1.00,
            1.20)))</f>
        <v/>
      </c>
      <c r="L9758">
        <f>LET(
    arrears_months,'Loan Tape (S&amp;P)'!AN9758,
    IF(arrears_months=0,1.00,
    IF(arrears_months=1,3.00,
    IF(arrears_months=2,5.00,
    IF(arrears_months=3,8.00,
    IF(arrears_months=4,10.00,
    IF(arrears_months=5,12.00,15.00)))))))</f>
        <v/>
      </c>
      <c r="M9758">
        <f>LET(
    seasoning_years,DATEDIF('Loan Tape (S&amp;P)'!K9758,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58">
        <f>IF(AND('Loan Tape (S&amp;P)'!U9758="Yes",
        'Loan Tape (S&amp;P)'!T9758&lt;&gt;"Yes",
        DATEDIF('Loan Tape (S&amp;P)'!K9758, TODAY(), "M")&lt;18),
    1.10,
    1.00)</f>
        <v/>
      </c>
      <c r="O9758">
        <f>IF('Loan Tape (S&amp;P)'!T9758="Yes",
    1.35,
    1.00)</f>
        <v/>
      </c>
      <c r="P9758">
        <f>IF('Loan Tape (S&amp;P)'!S9758="Yes",
    1.15,
    1.00)</f>
        <v/>
      </c>
      <c r="Q9758">
        <f>IF('Loan Tape (S&amp;P)'!V9758="Yes",
    1.20,
    1.00)</f>
        <v/>
      </c>
      <c r="T9758">
        <f>LET(
    payment_method,'Loan Tape (S&amp;P)'!P9758,
    occupancy,'Loan Tape (S&amp;P)'!N9758,
    maturity_date,'Loan Tape (S&amp;P)'!L9758,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59">
      <c r="J9759">
        <f>LET(
    lien,'Loan Tape (S&amp;P)'!Q9759,
    IF(lien="First",1.00,
        IF(lien="Second",1.50,
            1.70)))</f>
        <v/>
      </c>
      <c r="K9759">
        <f>LET(
    purpose,'Loan Tape (S&amp;P)'!R9759,
    IF(purpose="Purchase",1.00,
        IF(purpose="Remortgage",1.00,
            1.20)))</f>
        <v/>
      </c>
      <c r="L9759">
        <f>LET(
    arrears_months,'Loan Tape (S&amp;P)'!AN9759,
    IF(arrears_months=0,1.00,
    IF(arrears_months=1,3.00,
    IF(arrears_months=2,5.00,
    IF(arrears_months=3,8.00,
    IF(arrears_months=4,10.00,
    IF(arrears_months=5,12.00,15.00)))))))</f>
        <v/>
      </c>
      <c r="M9759">
        <f>LET(
    seasoning_years,DATEDIF('Loan Tape (S&amp;P)'!K9759,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59">
        <f>IF(AND('Loan Tape (S&amp;P)'!U9759="Yes",
        'Loan Tape (S&amp;P)'!T9759&lt;&gt;"Yes",
        DATEDIF('Loan Tape (S&amp;P)'!K9759, TODAY(), "M")&lt;18),
    1.10,
    1.00)</f>
        <v/>
      </c>
      <c r="O9759">
        <f>IF('Loan Tape (S&amp;P)'!T9759="Yes",
    1.35,
    1.00)</f>
        <v/>
      </c>
      <c r="P9759">
        <f>IF('Loan Tape (S&amp;P)'!S9759="Yes",
    1.15,
    1.00)</f>
        <v/>
      </c>
      <c r="Q9759">
        <f>IF('Loan Tape (S&amp;P)'!V9759="Yes",
    1.20,
    1.00)</f>
        <v/>
      </c>
      <c r="T9759">
        <f>LET(
    payment_method,'Loan Tape (S&amp;P)'!P9759,
    occupancy,'Loan Tape (S&amp;P)'!N9759,
    maturity_date,'Loan Tape (S&amp;P)'!L9759,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60">
      <c r="J9760">
        <f>LET(
    lien,'Loan Tape (S&amp;P)'!Q9760,
    IF(lien="First",1.00,
        IF(lien="Second",1.50,
            1.70)))</f>
        <v/>
      </c>
      <c r="K9760">
        <f>LET(
    purpose,'Loan Tape (S&amp;P)'!R9760,
    IF(purpose="Purchase",1.00,
        IF(purpose="Remortgage",1.00,
            1.20)))</f>
        <v/>
      </c>
      <c r="L9760">
        <f>LET(
    arrears_months,'Loan Tape (S&amp;P)'!AN9760,
    IF(arrears_months=0,1.00,
    IF(arrears_months=1,3.00,
    IF(arrears_months=2,5.00,
    IF(arrears_months=3,8.00,
    IF(arrears_months=4,10.00,
    IF(arrears_months=5,12.00,15.00)))))))</f>
        <v/>
      </c>
      <c r="M9760">
        <f>LET(
    seasoning_years,DATEDIF('Loan Tape (S&amp;P)'!K9760,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60">
        <f>IF(AND('Loan Tape (S&amp;P)'!U9760="Yes",
        'Loan Tape (S&amp;P)'!T9760&lt;&gt;"Yes",
        DATEDIF('Loan Tape (S&amp;P)'!K9760, TODAY(), "M")&lt;18),
    1.10,
    1.00)</f>
        <v/>
      </c>
      <c r="O9760">
        <f>IF('Loan Tape (S&amp;P)'!T9760="Yes",
    1.35,
    1.00)</f>
        <v/>
      </c>
      <c r="P9760">
        <f>IF('Loan Tape (S&amp;P)'!S9760="Yes",
    1.15,
    1.00)</f>
        <v/>
      </c>
      <c r="Q9760">
        <f>IF('Loan Tape (S&amp;P)'!V9760="Yes",
    1.20,
    1.00)</f>
        <v/>
      </c>
      <c r="T9760">
        <f>LET(
    payment_method,'Loan Tape (S&amp;P)'!P9760,
    occupancy,'Loan Tape (S&amp;P)'!N9760,
    maturity_date,'Loan Tape (S&amp;P)'!L9760,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61">
      <c r="J9761">
        <f>LET(
    lien,'Loan Tape (S&amp;P)'!Q9761,
    IF(lien="First",1.00,
        IF(lien="Second",1.50,
            1.70)))</f>
        <v/>
      </c>
      <c r="K9761">
        <f>LET(
    purpose,'Loan Tape (S&amp;P)'!R9761,
    IF(purpose="Purchase",1.00,
        IF(purpose="Remortgage",1.00,
            1.20)))</f>
        <v/>
      </c>
      <c r="L9761">
        <f>LET(
    arrears_months,'Loan Tape (S&amp;P)'!AN9761,
    IF(arrears_months=0,1.00,
    IF(arrears_months=1,3.00,
    IF(arrears_months=2,5.00,
    IF(arrears_months=3,8.00,
    IF(arrears_months=4,10.00,
    IF(arrears_months=5,12.00,15.00)))))))</f>
        <v/>
      </c>
      <c r="M9761">
        <f>LET(
    seasoning_years,DATEDIF('Loan Tape (S&amp;P)'!K9761,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61">
        <f>IF(AND('Loan Tape (S&amp;P)'!U9761="Yes",
        'Loan Tape (S&amp;P)'!T9761&lt;&gt;"Yes",
        DATEDIF('Loan Tape (S&amp;P)'!K9761, TODAY(), "M")&lt;18),
    1.10,
    1.00)</f>
        <v/>
      </c>
      <c r="O9761">
        <f>IF('Loan Tape (S&amp;P)'!T9761="Yes",
    1.35,
    1.00)</f>
        <v/>
      </c>
      <c r="P9761">
        <f>IF('Loan Tape (S&amp;P)'!S9761="Yes",
    1.15,
    1.00)</f>
        <v/>
      </c>
      <c r="Q9761">
        <f>IF('Loan Tape (S&amp;P)'!V9761="Yes",
    1.20,
    1.00)</f>
        <v/>
      </c>
      <c r="T9761">
        <f>LET(
    payment_method,'Loan Tape (S&amp;P)'!P9761,
    occupancy,'Loan Tape (S&amp;P)'!N9761,
    maturity_date,'Loan Tape (S&amp;P)'!L9761,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62">
      <c r="J9762">
        <f>LET(
    lien,'Loan Tape (S&amp;P)'!Q9762,
    IF(lien="First",1.00,
        IF(lien="Second",1.50,
            1.70)))</f>
        <v/>
      </c>
      <c r="K9762">
        <f>LET(
    purpose,'Loan Tape (S&amp;P)'!R9762,
    IF(purpose="Purchase",1.00,
        IF(purpose="Remortgage",1.00,
            1.20)))</f>
        <v/>
      </c>
      <c r="L9762">
        <f>LET(
    arrears_months,'Loan Tape (S&amp;P)'!AN9762,
    IF(arrears_months=0,1.00,
    IF(arrears_months=1,3.00,
    IF(arrears_months=2,5.00,
    IF(arrears_months=3,8.00,
    IF(arrears_months=4,10.00,
    IF(arrears_months=5,12.00,15.00)))))))</f>
        <v/>
      </c>
      <c r="M9762">
        <f>LET(
    seasoning_years,DATEDIF('Loan Tape (S&amp;P)'!K9762,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62">
        <f>IF(AND('Loan Tape (S&amp;P)'!U9762="Yes",
        'Loan Tape (S&amp;P)'!T9762&lt;&gt;"Yes",
        DATEDIF('Loan Tape (S&amp;P)'!K9762, TODAY(), "M")&lt;18),
    1.10,
    1.00)</f>
        <v/>
      </c>
      <c r="O9762">
        <f>IF('Loan Tape (S&amp;P)'!T9762="Yes",
    1.35,
    1.00)</f>
        <v/>
      </c>
      <c r="P9762">
        <f>IF('Loan Tape (S&amp;P)'!S9762="Yes",
    1.15,
    1.00)</f>
        <v/>
      </c>
      <c r="Q9762">
        <f>IF('Loan Tape (S&amp;P)'!V9762="Yes",
    1.20,
    1.00)</f>
        <v/>
      </c>
      <c r="T9762">
        <f>LET(
    payment_method,'Loan Tape (S&amp;P)'!P9762,
    occupancy,'Loan Tape (S&amp;P)'!N9762,
    maturity_date,'Loan Tape (S&amp;P)'!L9762,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63">
      <c r="J9763">
        <f>LET(
    lien,'Loan Tape (S&amp;P)'!Q9763,
    IF(lien="First",1.00,
        IF(lien="Second",1.50,
            1.70)))</f>
        <v/>
      </c>
      <c r="K9763">
        <f>LET(
    purpose,'Loan Tape (S&amp;P)'!R9763,
    IF(purpose="Purchase",1.00,
        IF(purpose="Remortgage",1.00,
            1.20)))</f>
        <v/>
      </c>
      <c r="L9763">
        <f>LET(
    arrears_months,'Loan Tape (S&amp;P)'!AN9763,
    IF(arrears_months=0,1.00,
    IF(arrears_months=1,3.00,
    IF(arrears_months=2,5.00,
    IF(arrears_months=3,8.00,
    IF(arrears_months=4,10.00,
    IF(arrears_months=5,12.00,15.00)))))))</f>
        <v/>
      </c>
      <c r="M9763">
        <f>LET(
    seasoning_years,DATEDIF('Loan Tape (S&amp;P)'!K9763,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63">
        <f>IF(AND('Loan Tape (S&amp;P)'!U9763="Yes",
        'Loan Tape (S&amp;P)'!T9763&lt;&gt;"Yes",
        DATEDIF('Loan Tape (S&amp;P)'!K9763, TODAY(), "M")&lt;18),
    1.10,
    1.00)</f>
        <v/>
      </c>
      <c r="O9763">
        <f>IF('Loan Tape (S&amp;P)'!T9763="Yes",
    1.35,
    1.00)</f>
        <v/>
      </c>
      <c r="P9763">
        <f>IF('Loan Tape (S&amp;P)'!S9763="Yes",
    1.15,
    1.00)</f>
        <v/>
      </c>
      <c r="Q9763">
        <f>IF('Loan Tape (S&amp;P)'!V9763="Yes",
    1.20,
    1.00)</f>
        <v/>
      </c>
      <c r="T9763">
        <f>LET(
    payment_method,'Loan Tape (S&amp;P)'!P9763,
    occupancy,'Loan Tape (S&amp;P)'!N9763,
    maturity_date,'Loan Tape (S&amp;P)'!L9763,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64">
      <c r="J9764">
        <f>LET(
    lien,'Loan Tape (S&amp;P)'!Q9764,
    IF(lien="First",1.00,
        IF(lien="Second",1.50,
            1.70)))</f>
        <v/>
      </c>
      <c r="K9764">
        <f>LET(
    purpose,'Loan Tape (S&amp;P)'!R9764,
    IF(purpose="Purchase",1.00,
        IF(purpose="Remortgage",1.00,
            1.20)))</f>
        <v/>
      </c>
      <c r="L9764">
        <f>LET(
    arrears_months,'Loan Tape (S&amp;P)'!AN9764,
    IF(arrears_months=0,1.00,
    IF(arrears_months=1,3.00,
    IF(arrears_months=2,5.00,
    IF(arrears_months=3,8.00,
    IF(arrears_months=4,10.00,
    IF(arrears_months=5,12.00,15.00)))))))</f>
        <v/>
      </c>
      <c r="M9764">
        <f>LET(
    seasoning_years,DATEDIF('Loan Tape (S&amp;P)'!K9764,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64">
        <f>IF(AND('Loan Tape (S&amp;P)'!U9764="Yes",
        'Loan Tape (S&amp;P)'!T9764&lt;&gt;"Yes",
        DATEDIF('Loan Tape (S&amp;P)'!K9764, TODAY(), "M")&lt;18),
    1.10,
    1.00)</f>
        <v/>
      </c>
      <c r="O9764">
        <f>IF('Loan Tape (S&amp;P)'!T9764="Yes",
    1.35,
    1.00)</f>
        <v/>
      </c>
      <c r="P9764">
        <f>IF('Loan Tape (S&amp;P)'!S9764="Yes",
    1.15,
    1.00)</f>
        <v/>
      </c>
      <c r="Q9764">
        <f>IF('Loan Tape (S&amp;P)'!V9764="Yes",
    1.20,
    1.00)</f>
        <v/>
      </c>
      <c r="T9764">
        <f>LET(
    payment_method,'Loan Tape (S&amp;P)'!P9764,
    occupancy,'Loan Tape (S&amp;P)'!N9764,
    maturity_date,'Loan Tape (S&amp;P)'!L9764,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65">
      <c r="J9765">
        <f>LET(
    lien,'Loan Tape (S&amp;P)'!Q9765,
    IF(lien="First",1.00,
        IF(lien="Second",1.50,
            1.70)))</f>
        <v/>
      </c>
      <c r="K9765">
        <f>LET(
    purpose,'Loan Tape (S&amp;P)'!R9765,
    IF(purpose="Purchase",1.00,
        IF(purpose="Remortgage",1.00,
            1.20)))</f>
        <v/>
      </c>
      <c r="L9765">
        <f>LET(
    arrears_months,'Loan Tape (S&amp;P)'!AN9765,
    IF(arrears_months=0,1.00,
    IF(arrears_months=1,3.00,
    IF(arrears_months=2,5.00,
    IF(arrears_months=3,8.00,
    IF(arrears_months=4,10.00,
    IF(arrears_months=5,12.00,15.00)))))))</f>
        <v/>
      </c>
      <c r="M9765">
        <f>LET(
    seasoning_years,DATEDIF('Loan Tape (S&amp;P)'!K9765,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65">
        <f>IF(AND('Loan Tape (S&amp;P)'!U9765="Yes",
        'Loan Tape (S&amp;P)'!T9765&lt;&gt;"Yes",
        DATEDIF('Loan Tape (S&amp;P)'!K9765, TODAY(), "M")&lt;18),
    1.10,
    1.00)</f>
        <v/>
      </c>
      <c r="O9765">
        <f>IF('Loan Tape (S&amp;P)'!T9765="Yes",
    1.35,
    1.00)</f>
        <v/>
      </c>
      <c r="P9765">
        <f>IF('Loan Tape (S&amp;P)'!S9765="Yes",
    1.15,
    1.00)</f>
        <v/>
      </c>
      <c r="Q9765">
        <f>IF('Loan Tape (S&amp;P)'!V9765="Yes",
    1.20,
    1.00)</f>
        <v/>
      </c>
      <c r="T9765">
        <f>LET(
    payment_method,'Loan Tape (S&amp;P)'!P9765,
    occupancy,'Loan Tape (S&amp;P)'!N9765,
    maturity_date,'Loan Tape (S&amp;P)'!L9765,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66">
      <c r="J9766">
        <f>LET(
    lien,'Loan Tape (S&amp;P)'!Q9766,
    IF(lien="First",1.00,
        IF(lien="Second",1.50,
            1.70)))</f>
        <v/>
      </c>
      <c r="K9766">
        <f>LET(
    purpose,'Loan Tape (S&amp;P)'!R9766,
    IF(purpose="Purchase",1.00,
        IF(purpose="Remortgage",1.00,
            1.20)))</f>
        <v/>
      </c>
      <c r="L9766">
        <f>LET(
    arrears_months,'Loan Tape (S&amp;P)'!AN9766,
    IF(arrears_months=0,1.00,
    IF(arrears_months=1,3.00,
    IF(arrears_months=2,5.00,
    IF(arrears_months=3,8.00,
    IF(arrears_months=4,10.00,
    IF(arrears_months=5,12.00,15.00)))))))</f>
        <v/>
      </c>
      <c r="M9766">
        <f>LET(
    seasoning_years,DATEDIF('Loan Tape (S&amp;P)'!K9766,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66">
        <f>IF(AND('Loan Tape (S&amp;P)'!U9766="Yes",
        'Loan Tape (S&amp;P)'!T9766&lt;&gt;"Yes",
        DATEDIF('Loan Tape (S&amp;P)'!K9766, TODAY(), "M")&lt;18),
    1.10,
    1.00)</f>
        <v/>
      </c>
      <c r="O9766">
        <f>IF('Loan Tape (S&amp;P)'!T9766="Yes",
    1.35,
    1.00)</f>
        <v/>
      </c>
      <c r="P9766">
        <f>IF('Loan Tape (S&amp;P)'!S9766="Yes",
    1.15,
    1.00)</f>
        <v/>
      </c>
      <c r="Q9766">
        <f>IF('Loan Tape (S&amp;P)'!V9766="Yes",
    1.20,
    1.00)</f>
        <v/>
      </c>
      <c r="T9766">
        <f>LET(
    payment_method,'Loan Tape (S&amp;P)'!P9766,
    occupancy,'Loan Tape (S&amp;P)'!N9766,
    maturity_date,'Loan Tape (S&amp;P)'!L9766,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67">
      <c r="J9767">
        <f>LET(
    lien,'Loan Tape (S&amp;P)'!Q9767,
    IF(lien="First",1.00,
        IF(lien="Second",1.50,
            1.70)))</f>
        <v/>
      </c>
      <c r="K9767">
        <f>LET(
    purpose,'Loan Tape (S&amp;P)'!R9767,
    IF(purpose="Purchase",1.00,
        IF(purpose="Remortgage",1.00,
            1.20)))</f>
        <v/>
      </c>
      <c r="L9767">
        <f>LET(
    arrears_months,'Loan Tape (S&amp;P)'!AN9767,
    IF(arrears_months=0,1.00,
    IF(arrears_months=1,3.00,
    IF(arrears_months=2,5.00,
    IF(arrears_months=3,8.00,
    IF(arrears_months=4,10.00,
    IF(arrears_months=5,12.00,15.00)))))))</f>
        <v/>
      </c>
      <c r="M9767">
        <f>LET(
    seasoning_years,DATEDIF('Loan Tape (S&amp;P)'!K9767,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67">
        <f>IF(AND('Loan Tape (S&amp;P)'!U9767="Yes",
        'Loan Tape (S&amp;P)'!T9767&lt;&gt;"Yes",
        DATEDIF('Loan Tape (S&amp;P)'!K9767, TODAY(), "M")&lt;18),
    1.10,
    1.00)</f>
        <v/>
      </c>
      <c r="O9767">
        <f>IF('Loan Tape (S&amp;P)'!T9767="Yes",
    1.35,
    1.00)</f>
        <v/>
      </c>
      <c r="P9767">
        <f>IF('Loan Tape (S&amp;P)'!S9767="Yes",
    1.15,
    1.00)</f>
        <v/>
      </c>
      <c r="Q9767">
        <f>IF('Loan Tape (S&amp;P)'!V9767="Yes",
    1.20,
    1.00)</f>
        <v/>
      </c>
      <c r="T9767">
        <f>LET(
    payment_method,'Loan Tape (S&amp;P)'!P9767,
    occupancy,'Loan Tape (S&amp;P)'!N9767,
    maturity_date,'Loan Tape (S&amp;P)'!L9767,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68">
      <c r="J9768">
        <f>LET(
    lien,'Loan Tape (S&amp;P)'!Q9768,
    IF(lien="First",1.00,
        IF(lien="Second",1.50,
            1.70)))</f>
        <v/>
      </c>
      <c r="K9768">
        <f>LET(
    purpose,'Loan Tape (S&amp;P)'!R9768,
    IF(purpose="Purchase",1.00,
        IF(purpose="Remortgage",1.00,
            1.20)))</f>
        <v/>
      </c>
      <c r="L9768">
        <f>LET(
    arrears_months,'Loan Tape (S&amp;P)'!AN9768,
    IF(arrears_months=0,1.00,
    IF(arrears_months=1,3.00,
    IF(arrears_months=2,5.00,
    IF(arrears_months=3,8.00,
    IF(arrears_months=4,10.00,
    IF(arrears_months=5,12.00,15.00)))))))</f>
        <v/>
      </c>
      <c r="M9768">
        <f>LET(
    seasoning_years,DATEDIF('Loan Tape (S&amp;P)'!K9768,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68">
        <f>IF(AND('Loan Tape (S&amp;P)'!U9768="Yes",
        'Loan Tape (S&amp;P)'!T9768&lt;&gt;"Yes",
        DATEDIF('Loan Tape (S&amp;P)'!K9768, TODAY(), "M")&lt;18),
    1.10,
    1.00)</f>
        <v/>
      </c>
      <c r="O9768">
        <f>IF('Loan Tape (S&amp;P)'!T9768="Yes",
    1.35,
    1.00)</f>
        <v/>
      </c>
      <c r="P9768">
        <f>IF('Loan Tape (S&amp;P)'!S9768="Yes",
    1.15,
    1.00)</f>
        <v/>
      </c>
      <c r="Q9768">
        <f>IF('Loan Tape (S&amp;P)'!V9768="Yes",
    1.20,
    1.00)</f>
        <v/>
      </c>
      <c r="T9768">
        <f>LET(
    payment_method,'Loan Tape (S&amp;P)'!P9768,
    occupancy,'Loan Tape (S&amp;P)'!N9768,
    maturity_date,'Loan Tape (S&amp;P)'!L9768,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69">
      <c r="J9769">
        <f>LET(
    lien,'Loan Tape (S&amp;P)'!Q9769,
    IF(lien="First",1.00,
        IF(lien="Second",1.50,
            1.70)))</f>
        <v/>
      </c>
      <c r="K9769">
        <f>LET(
    purpose,'Loan Tape (S&amp;P)'!R9769,
    IF(purpose="Purchase",1.00,
        IF(purpose="Remortgage",1.00,
            1.20)))</f>
        <v/>
      </c>
      <c r="L9769">
        <f>LET(
    arrears_months,'Loan Tape (S&amp;P)'!AN9769,
    IF(arrears_months=0,1.00,
    IF(arrears_months=1,3.00,
    IF(arrears_months=2,5.00,
    IF(arrears_months=3,8.00,
    IF(arrears_months=4,10.00,
    IF(arrears_months=5,12.00,15.00)))))))</f>
        <v/>
      </c>
      <c r="M9769">
        <f>LET(
    seasoning_years,DATEDIF('Loan Tape (S&amp;P)'!K9769,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69">
        <f>IF(AND('Loan Tape (S&amp;P)'!U9769="Yes",
        'Loan Tape (S&amp;P)'!T9769&lt;&gt;"Yes",
        DATEDIF('Loan Tape (S&amp;P)'!K9769, TODAY(), "M")&lt;18),
    1.10,
    1.00)</f>
        <v/>
      </c>
      <c r="O9769">
        <f>IF('Loan Tape (S&amp;P)'!T9769="Yes",
    1.35,
    1.00)</f>
        <v/>
      </c>
      <c r="P9769">
        <f>IF('Loan Tape (S&amp;P)'!S9769="Yes",
    1.15,
    1.00)</f>
        <v/>
      </c>
      <c r="Q9769">
        <f>IF('Loan Tape (S&amp;P)'!V9769="Yes",
    1.20,
    1.00)</f>
        <v/>
      </c>
      <c r="T9769">
        <f>LET(
    payment_method,'Loan Tape (S&amp;P)'!P9769,
    occupancy,'Loan Tape (S&amp;P)'!N9769,
    maturity_date,'Loan Tape (S&amp;P)'!L9769,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70">
      <c r="J9770">
        <f>LET(
    lien,'Loan Tape (S&amp;P)'!Q9770,
    IF(lien="First",1.00,
        IF(lien="Second",1.50,
            1.70)))</f>
        <v/>
      </c>
      <c r="K9770">
        <f>LET(
    purpose,'Loan Tape (S&amp;P)'!R9770,
    IF(purpose="Purchase",1.00,
        IF(purpose="Remortgage",1.00,
            1.20)))</f>
        <v/>
      </c>
      <c r="L9770">
        <f>LET(
    arrears_months,'Loan Tape (S&amp;P)'!AN9770,
    IF(arrears_months=0,1.00,
    IF(arrears_months=1,3.00,
    IF(arrears_months=2,5.00,
    IF(arrears_months=3,8.00,
    IF(arrears_months=4,10.00,
    IF(arrears_months=5,12.00,15.00)))))))</f>
        <v/>
      </c>
      <c r="M9770">
        <f>LET(
    seasoning_years,DATEDIF('Loan Tape (S&amp;P)'!K9770,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70">
        <f>IF(AND('Loan Tape (S&amp;P)'!U9770="Yes",
        'Loan Tape (S&amp;P)'!T9770&lt;&gt;"Yes",
        DATEDIF('Loan Tape (S&amp;P)'!K9770, TODAY(), "M")&lt;18),
    1.10,
    1.00)</f>
        <v/>
      </c>
      <c r="O9770">
        <f>IF('Loan Tape (S&amp;P)'!T9770="Yes",
    1.35,
    1.00)</f>
        <v/>
      </c>
      <c r="P9770">
        <f>IF('Loan Tape (S&amp;P)'!S9770="Yes",
    1.15,
    1.00)</f>
        <v/>
      </c>
      <c r="Q9770">
        <f>IF('Loan Tape (S&amp;P)'!V9770="Yes",
    1.20,
    1.00)</f>
        <v/>
      </c>
      <c r="T9770">
        <f>LET(
    payment_method,'Loan Tape (S&amp;P)'!P9770,
    occupancy,'Loan Tape (S&amp;P)'!N9770,
    maturity_date,'Loan Tape (S&amp;P)'!L9770,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71">
      <c r="J9771">
        <f>LET(
    lien,'Loan Tape (S&amp;P)'!Q9771,
    IF(lien="First",1.00,
        IF(lien="Second",1.50,
            1.70)))</f>
        <v/>
      </c>
      <c r="K9771">
        <f>LET(
    purpose,'Loan Tape (S&amp;P)'!R9771,
    IF(purpose="Purchase",1.00,
        IF(purpose="Remortgage",1.00,
            1.20)))</f>
        <v/>
      </c>
      <c r="L9771">
        <f>LET(
    arrears_months,'Loan Tape (S&amp;P)'!AN9771,
    IF(arrears_months=0,1.00,
    IF(arrears_months=1,3.00,
    IF(arrears_months=2,5.00,
    IF(arrears_months=3,8.00,
    IF(arrears_months=4,10.00,
    IF(arrears_months=5,12.00,15.00)))))))</f>
        <v/>
      </c>
      <c r="M9771">
        <f>LET(
    seasoning_years,DATEDIF('Loan Tape (S&amp;P)'!K9771,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71">
        <f>IF(AND('Loan Tape (S&amp;P)'!U9771="Yes",
        'Loan Tape (S&amp;P)'!T9771&lt;&gt;"Yes",
        DATEDIF('Loan Tape (S&amp;P)'!K9771, TODAY(), "M")&lt;18),
    1.10,
    1.00)</f>
        <v/>
      </c>
      <c r="O9771">
        <f>IF('Loan Tape (S&amp;P)'!T9771="Yes",
    1.35,
    1.00)</f>
        <v/>
      </c>
      <c r="P9771">
        <f>IF('Loan Tape (S&amp;P)'!S9771="Yes",
    1.15,
    1.00)</f>
        <v/>
      </c>
      <c r="Q9771">
        <f>IF('Loan Tape (S&amp;P)'!V9771="Yes",
    1.20,
    1.00)</f>
        <v/>
      </c>
      <c r="T9771">
        <f>LET(
    payment_method,'Loan Tape (S&amp;P)'!P9771,
    occupancy,'Loan Tape (S&amp;P)'!N9771,
    maturity_date,'Loan Tape (S&amp;P)'!L9771,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72">
      <c r="J9772">
        <f>LET(
    lien,'Loan Tape (S&amp;P)'!Q9772,
    IF(lien="First",1.00,
        IF(lien="Second",1.50,
            1.70)))</f>
        <v/>
      </c>
      <c r="K9772">
        <f>LET(
    purpose,'Loan Tape (S&amp;P)'!R9772,
    IF(purpose="Purchase",1.00,
        IF(purpose="Remortgage",1.00,
            1.20)))</f>
        <v/>
      </c>
      <c r="L9772">
        <f>LET(
    arrears_months,'Loan Tape (S&amp;P)'!AN9772,
    IF(arrears_months=0,1.00,
    IF(arrears_months=1,3.00,
    IF(arrears_months=2,5.00,
    IF(arrears_months=3,8.00,
    IF(arrears_months=4,10.00,
    IF(arrears_months=5,12.00,15.00)))))))</f>
        <v/>
      </c>
      <c r="M9772">
        <f>LET(
    seasoning_years,DATEDIF('Loan Tape (S&amp;P)'!K9772,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72">
        <f>IF(AND('Loan Tape (S&amp;P)'!U9772="Yes",
        'Loan Tape (S&amp;P)'!T9772&lt;&gt;"Yes",
        DATEDIF('Loan Tape (S&amp;P)'!K9772, TODAY(), "M")&lt;18),
    1.10,
    1.00)</f>
        <v/>
      </c>
      <c r="O9772">
        <f>IF('Loan Tape (S&amp;P)'!T9772="Yes",
    1.35,
    1.00)</f>
        <v/>
      </c>
      <c r="P9772">
        <f>IF('Loan Tape (S&amp;P)'!S9772="Yes",
    1.15,
    1.00)</f>
        <v/>
      </c>
      <c r="Q9772">
        <f>IF('Loan Tape (S&amp;P)'!V9772="Yes",
    1.20,
    1.00)</f>
        <v/>
      </c>
      <c r="T9772">
        <f>LET(
    payment_method,'Loan Tape (S&amp;P)'!P9772,
    occupancy,'Loan Tape (S&amp;P)'!N9772,
    maturity_date,'Loan Tape (S&amp;P)'!L9772,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73">
      <c r="J9773">
        <f>LET(
    lien,'Loan Tape (S&amp;P)'!Q9773,
    IF(lien="First",1.00,
        IF(lien="Second",1.50,
            1.70)))</f>
        <v/>
      </c>
      <c r="K9773">
        <f>LET(
    purpose,'Loan Tape (S&amp;P)'!R9773,
    IF(purpose="Purchase",1.00,
        IF(purpose="Remortgage",1.00,
            1.20)))</f>
        <v/>
      </c>
      <c r="L9773">
        <f>LET(
    arrears_months,'Loan Tape (S&amp;P)'!AN9773,
    IF(arrears_months=0,1.00,
    IF(arrears_months=1,3.00,
    IF(arrears_months=2,5.00,
    IF(arrears_months=3,8.00,
    IF(arrears_months=4,10.00,
    IF(arrears_months=5,12.00,15.00)))))))</f>
        <v/>
      </c>
      <c r="M9773">
        <f>LET(
    seasoning_years,DATEDIF('Loan Tape (S&amp;P)'!K9773,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73">
        <f>IF(AND('Loan Tape (S&amp;P)'!U9773="Yes",
        'Loan Tape (S&amp;P)'!T9773&lt;&gt;"Yes",
        DATEDIF('Loan Tape (S&amp;P)'!K9773, TODAY(), "M")&lt;18),
    1.10,
    1.00)</f>
        <v/>
      </c>
      <c r="O9773">
        <f>IF('Loan Tape (S&amp;P)'!T9773="Yes",
    1.35,
    1.00)</f>
        <v/>
      </c>
      <c r="P9773">
        <f>IF('Loan Tape (S&amp;P)'!S9773="Yes",
    1.15,
    1.00)</f>
        <v/>
      </c>
      <c r="Q9773">
        <f>IF('Loan Tape (S&amp;P)'!V9773="Yes",
    1.20,
    1.00)</f>
        <v/>
      </c>
      <c r="T9773">
        <f>LET(
    payment_method,'Loan Tape (S&amp;P)'!P9773,
    occupancy,'Loan Tape (S&amp;P)'!N9773,
    maturity_date,'Loan Tape (S&amp;P)'!L9773,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74">
      <c r="J9774">
        <f>LET(
    lien,'Loan Tape (S&amp;P)'!Q9774,
    IF(lien="First",1.00,
        IF(lien="Second",1.50,
            1.70)))</f>
        <v/>
      </c>
      <c r="K9774">
        <f>LET(
    purpose,'Loan Tape (S&amp;P)'!R9774,
    IF(purpose="Purchase",1.00,
        IF(purpose="Remortgage",1.00,
            1.20)))</f>
        <v/>
      </c>
      <c r="L9774">
        <f>LET(
    arrears_months,'Loan Tape (S&amp;P)'!AN9774,
    IF(arrears_months=0,1.00,
    IF(arrears_months=1,3.00,
    IF(arrears_months=2,5.00,
    IF(arrears_months=3,8.00,
    IF(arrears_months=4,10.00,
    IF(arrears_months=5,12.00,15.00)))))))</f>
        <v/>
      </c>
      <c r="M9774">
        <f>LET(
    seasoning_years,DATEDIF('Loan Tape (S&amp;P)'!K9774,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74">
        <f>IF(AND('Loan Tape (S&amp;P)'!U9774="Yes",
        'Loan Tape (S&amp;P)'!T9774&lt;&gt;"Yes",
        DATEDIF('Loan Tape (S&amp;P)'!K9774, TODAY(), "M")&lt;18),
    1.10,
    1.00)</f>
        <v/>
      </c>
      <c r="O9774">
        <f>IF('Loan Tape (S&amp;P)'!T9774="Yes",
    1.35,
    1.00)</f>
        <v/>
      </c>
      <c r="P9774">
        <f>IF('Loan Tape (S&amp;P)'!S9774="Yes",
    1.15,
    1.00)</f>
        <v/>
      </c>
      <c r="Q9774">
        <f>IF('Loan Tape (S&amp;P)'!V9774="Yes",
    1.20,
    1.00)</f>
        <v/>
      </c>
      <c r="T9774">
        <f>LET(
    payment_method,'Loan Tape (S&amp;P)'!P9774,
    occupancy,'Loan Tape (S&amp;P)'!N9774,
    maturity_date,'Loan Tape (S&amp;P)'!L9774,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75">
      <c r="J9775">
        <f>LET(
    lien,'Loan Tape (S&amp;P)'!Q9775,
    IF(lien="First",1.00,
        IF(lien="Second",1.50,
            1.70)))</f>
        <v/>
      </c>
      <c r="K9775">
        <f>LET(
    purpose,'Loan Tape (S&amp;P)'!R9775,
    IF(purpose="Purchase",1.00,
        IF(purpose="Remortgage",1.00,
            1.20)))</f>
        <v/>
      </c>
      <c r="L9775">
        <f>LET(
    arrears_months,'Loan Tape (S&amp;P)'!AN9775,
    IF(arrears_months=0,1.00,
    IF(arrears_months=1,3.00,
    IF(arrears_months=2,5.00,
    IF(arrears_months=3,8.00,
    IF(arrears_months=4,10.00,
    IF(arrears_months=5,12.00,15.00)))))))</f>
        <v/>
      </c>
      <c r="M9775">
        <f>LET(
    seasoning_years,DATEDIF('Loan Tape (S&amp;P)'!K9775,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75">
        <f>IF(AND('Loan Tape (S&amp;P)'!U9775="Yes",
        'Loan Tape (S&amp;P)'!T9775&lt;&gt;"Yes",
        DATEDIF('Loan Tape (S&amp;P)'!K9775, TODAY(), "M")&lt;18),
    1.10,
    1.00)</f>
        <v/>
      </c>
      <c r="O9775">
        <f>IF('Loan Tape (S&amp;P)'!T9775="Yes",
    1.35,
    1.00)</f>
        <v/>
      </c>
      <c r="P9775">
        <f>IF('Loan Tape (S&amp;P)'!S9775="Yes",
    1.15,
    1.00)</f>
        <v/>
      </c>
      <c r="Q9775">
        <f>IF('Loan Tape (S&amp;P)'!V9775="Yes",
    1.20,
    1.00)</f>
        <v/>
      </c>
      <c r="T9775">
        <f>LET(
    payment_method,'Loan Tape (S&amp;P)'!P9775,
    occupancy,'Loan Tape (S&amp;P)'!N9775,
    maturity_date,'Loan Tape (S&amp;P)'!L9775,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76">
      <c r="J9776">
        <f>LET(
    lien,'Loan Tape (S&amp;P)'!Q9776,
    IF(lien="First",1.00,
        IF(lien="Second",1.50,
            1.70)))</f>
        <v/>
      </c>
      <c r="K9776">
        <f>LET(
    purpose,'Loan Tape (S&amp;P)'!R9776,
    IF(purpose="Purchase",1.00,
        IF(purpose="Remortgage",1.00,
            1.20)))</f>
        <v/>
      </c>
      <c r="L9776">
        <f>LET(
    arrears_months,'Loan Tape (S&amp;P)'!AN9776,
    IF(arrears_months=0,1.00,
    IF(arrears_months=1,3.00,
    IF(arrears_months=2,5.00,
    IF(arrears_months=3,8.00,
    IF(arrears_months=4,10.00,
    IF(arrears_months=5,12.00,15.00)))))))</f>
        <v/>
      </c>
      <c r="M9776">
        <f>LET(
    seasoning_years,DATEDIF('Loan Tape (S&amp;P)'!K9776,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76">
        <f>IF(AND('Loan Tape (S&amp;P)'!U9776="Yes",
        'Loan Tape (S&amp;P)'!T9776&lt;&gt;"Yes",
        DATEDIF('Loan Tape (S&amp;P)'!K9776, TODAY(), "M")&lt;18),
    1.10,
    1.00)</f>
        <v/>
      </c>
      <c r="O9776">
        <f>IF('Loan Tape (S&amp;P)'!T9776="Yes",
    1.35,
    1.00)</f>
        <v/>
      </c>
      <c r="P9776">
        <f>IF('Loan Tape (S&amp;P)'!S9776="Yes",
    1.15,
    1.00)</f>
        <v/>
      </c>
      <c r="Q9776">
        <f>IF('Loan Tape (S&amp;P)'!V9776="Yes",
    1.20,
    1.00)</f>
        <v/>
      </c>
      <c r="T9776">
        <f>LET(
    payment_method,'Loan Tape (S&amp;P)'!P9776,
    occupancy,'Loan Tape (S&amp;P)'!N9776,
    maturity_date,'Loan Tape (S&amp;P)'!L9776,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77">
      <c r="J9777">
        <f>LET(
    lien,'Loan Tape (S&amp;P)'!Q9777,
    IF(lien="First",1.00,
        IF(lien="Second",1.50,
            1.70)))</f>
        <v/>
      </c>
      <c r="K9777">
        <f>LET(
    purpose,'Loan Tape (S&amp;P)'!R9777,
    IF(purpose="Purchase",1.00,
        IF(purpose="Remortgage",1.00,
            1.20)))</f>
        <v/>
      </c>
      <c r="L9777">
        <f>LET(
    arrears_months,'Loan Tape (S&amp;P)'!AN9777,
    IF(arrears_months=0,1.00,
    IF(arrears_months=1,3.00,
    IF(arrears_months=2,5.00,
    IF(arrears_months=3,8.00,
    IF(arrears_months=4,10.00,
    IF(arrears_months=5,12.00,15.00)))))))</f>
        <v/>
      </c>
      <c r="M9777">
        <f>LET(
    seasoning_years,DATEDIF('Loan Tape (S&amp;P)'!K9777,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77">
        <f>IF(AND('Loan Tape (S&amp;P)'!U9777="Yes",
        'Loan Tape (S&amp;P)'!T9777&lt;&gt;"Yes",
        DATEDIF('Loan Tape (S&amp;P)'!K9777, TODAY(), "M")&lt;18),
    1.10,
    1.00)</f>
        <v/>
      </c>
      <c r="O9777">
        <f>IF('Loan Tape (S&amp;P)'!T9777="Yes",
    1.35,
    1.00)</f>
        <v/>
      </c>
      <c r="P9777">
        <f>IF('Loan Tape (S&amp;P)'!S9777="Yes",
    1.15,
    1.00)</f>
        <v/>
      </c>
      <c r="Q9777">
        <f>IF('Loan Tape (S&amp;P)'!V9777="Yes",
    1.20,
    1.00)</f>
        <v/>
      </c>
      <c r="T9777">
        <f>LET(
    payment_method,'Loan Tape (S&amp;P)'!P9777,
    occupancy,'Loan Tape (S&amp;P)'!N9777,
    maturity_date,'Loan Tape (S&amp;P)'!L9777,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78">
      <c r="J9778">
        <f>LET(
    lien,'Loan Tape (S&amp;P)'!Q9778,
    IF(lien="First",1.00,
        IF(lien="Second",1.50,
            1.70)))</f>
        <v/>
      </c>
      <c r="K9778">
        <f>LET(
    purpose,'Loan Tape (S&amp;P)'!R9778,
    IF(purpose="Purchase",1.00,
        IF(purpose="Remortgage",1.00,
            1.20)))</f>
        <v/>
      </c>
      <c r="L9778">
        <f>LET(
    arrears_months,'Loan Tape (S&amp;P)'!AN9778,
    IF(arrears_months=0,1.00,
    IF(arrears_months=1,3.00,
    IF(arrears_months=2,5.00,
    IF(arrears_months=3,8.00,
    IF(arrears_months=4,10.00,
    IF(arrears_months=5,12.00,15.00)))))))</f>
        <v/>
      </c>
      <c r="M9778">
        <f>LET(
    seasoning_years,DATEDIF('Loan Tape (S&amp;P)'!K9778,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78">
        <f>IF(AND('Loan Tape (S&amp;P)'!U9778="Yes",
        'Loan Tape (S&amp;P)'!T9778&lt;&gt;"Yes",
        DATEDIF('Loan Tape (S&amp;P)'!K9778, TODAY(), "M")&lt;18),
    1.10,
    1.00)</f>
        <v/>
      </c>
      <c r="O9778">
        <f>IF('Loan Tape (S&amp;P)'!T9778="Yes",
    1.35,
    1.00)</f>
        <v/>
      </c>
      <c r="P9778">
        <f>IF('Loan Tape (S&amp;P)'!S9778="Yes",
    1.15,
    1.00)</f>
        <v/>
      </c>
      <c r="Q9778">
        <f>IF('Loan Tape (S&amp;P)'!V9778="Yes",
    1.20,
    1.00)</f>
        <v/>
      </c>
      <c r="T9778">
        <f>LET(
    payment_method,'Loan Tape (S&amp;P)'!P9778,
    occupancy,'Loan Tape (S&amp;P)'!N9778,
    maturity_date,'Loan Tape (S&amp;P)'!L9778,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79">
      <c r="J9779">
        <f>LET(
    lien,'Loan Tape (S&amp;P)'!Q9779,
    IF(lien="First",1.00,
        IF(lien="Second",1.50,
            1.70)))</f>
        <v/>
      </c>
      <c r="K9779">
        <f>LET(
    purpose,'Loan Tape (S&amp;P)'!R9779,
    IF(purpose="Purchase",1.00,
        IF(purpose="Remortgage",1.00,
            1.20)))</f>
        <v/>
      </c>
      <c r="L9779">
        <f>LET(
    arrears_months,'Loan Tape (S&amp;P)'!AN9779,
    IF(arrears_months=0,1.00,
    IF(arrears_months=1,3.00,
    IF(arrears_months=2,5.00,
    IF(arrears_months=3,8.00,
    IF(arrears_months=4,10.00,
    IF(arrears_months=5,12.00,15.00)))))))</f>
        <v/>
      </c>
      <c r="M9779">
        <f>LET(
    seasoning_years,DATEDIF('Loan Tape (S&amp;P)'!K9779,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79">
        <f>IF(AND('Loan Tape (S&amp;P)'!U9779="Yes",
        'Loan Tape (S&amp;P)'!T9779&lt;&gt;"Yes",
        DATEDIF('Loan Tape (S&amp;P)'!K9779, TODAY(), "M")&lt;18),
    1.10,
    1.00)</f>
        <v/>
      </c>
      <c r="O9779">
        <f>IF('Loan Tape (S&amp;P)'!T9779="Yes",
    1.35,
    1.00)</f>
        <v/>
      </c>
      <c r="P9779">
        <f>IF('Loan Tape (S&amp;P)'!S9779="Yes",
    1.15,
    1.00)</f>
        <v/>
      </c>
      <c r="Q9779">
        <f>IF('Loan Tape (S&amp;P)'!V9779="Yes",
    1.20,
    1.00)</f>
        <v/>
      </c>
      <c r="T9779">
        <f>LET(
    payment_method,'Loan Tape (S&amp;P)'!P9779,
    occupancy,'Loan Tape (S&amp;P)'!N9779,
    maturity_date,'Loan Tape (S&amp;P)'!L9779,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80">
      <c r="J9780">
        <f>LET(
    lien,'Loan Tape (S&amp;P)'!Q9780,
    IF(lien="First",1.00,
        IF(lien="Second",1.50,
            1.70)))</f>
        <v/>
      </c>
      <c r="K9780">
        <f>LET(
    purpose,'Loan Tape (S&amp;P)'!R9780,
    IF(purpose="Purchase",1.00,
        IF(purpose="Remortgage",1.00,
            1.20)))</f>
        <v/>
      </c>
      <c r="L9780">
        <f>LET(
    arrears_months,'Loan Tape (S&amp;P)'!AN9780,
    IF(arrears_months=0,1.00,
    IF(arrears_months=1,3.00,
    IF(arrears_months=2,5.00,
    IF(arrears_months=3,8.00,
    IF(arrears_months=4,10.00,
    IF(arrears_months=5,12.00,15.00)))))))</f>
        <v/>
      </c>
      <c r="M9780">
        <f>LET(
    seasoning_years,DATEDIF('Loan Tape (S&amp;P)'!K9780,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80">
        <f>IF(AND('Loan Tape (S&amp;P)'!U9780="Yes",
        'Loan Tape (S&amp;P)'!T9780&lt;&gt;"Yes",
        DATEDIF('Loan Tape (S&amp;P)'!K9780, TODAY(), "M")&lt;18),
    1.10,
    1.00)</f>
        <v/>
      </c>
      <c r="O9780">
        <f>IF('Loan Tape (S&amp;P)'!T9780="Yes",
    1.35,
    1.00)</f>
        <v/>
      </c>
      <c r="P9780">
        <f>IF('Loan Tape (S&amp;P)'!S9780="Yes",
    1.15,
    1.00)</f>
        <v/>
      </c>
      <c r="Q9780">
        <f>IF('Loan Tape (S&amp;P)'!V9780="Yes",
    1.20,
    1.00)</f>
        <v/>
      </c>
      <c r="T9780">
        <f>LET(
    payment_method,'Loan Tape (S&amp;P)'!P9780,
    occupancy,'Loan Tape (S&amp;P)'!N9780,
    maturity_date,'Loan Tape (S&amp;P)'!L9780,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81">
      <c r="J9781">
        <f>LET(
    lien,'Loan Tape (S&amp;P)'!Q9781,
    IF(lien="First",1.00,
        IF(lien="Second",1.50,
            1.70)))</f>
        <v/>
      </c>
      <c r="K9781">
        <f>LET(
    purpose,'Loan Tape (S&amp;P)'!R9781,
    IF(purpose="Purchase",1.00,
        IF(purpose="Remortgage",1.00,
            1.20)))</f>
        <v/>
      </c>
      <c r="L9781">
        <f>LET(
    arrears_months,'Loan Tape (S&amp;P)'!AN9781,
    IF(arrears_months=0,1.00,
    IF(arrears_months=1,3.00,
    IF(arrears_months=2,5.00,
    IF(arrears_months=3,8.00,
    IF(arrears_months=4,10.00,
    IF(arrears_months=5,12.00,15.00)))))))</f>
        <v/>
      </c>
      <c r="M9781">
        <f>LET(
    seasoning_years,DATEDIF('Loan Tape (S&amp;P)'!K9781,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81">
        <f>IF(AND('Loan Tape (S&amp;P)'!U9781="Yes",
        'Loan Tape (S&amp;P)'!T9781&lt;&gt;"Yes",
        DATEDIF('Loan Tape (S&amp;P)'!K9781, TODAY(), "M")&lt;18),
    1.10,
    1.00)</f>
        <v/>
      </c>
      <c r="O9781">
        <f>IF('Loan Tape (S&amp;P)'!T9781="Yes",
    1.35,
    1.00)</f>
        <v/>
      </c>
      <c r="P9781">
        <f>IF('Loan Tape (S&amp;P)'!S9781="Yes",
    1.15,
    1.00)</f>
        <v/>
      </c>
      <c r="Q9781">
        <f>IF('Loan Tape (S&amp;P)'!V9781="Yes",
    1.20,
    1.00)</f>
        <v/>
      </c>
      <c r="T9781">
        <f>LET(
    payment_method,'Loan Tape (S&amp;P)'!P9781,
    occupancy,'Loan Tape (S&amp;P)'!N9781,
    maturity_date,'Loan Tape (S&amp;P)'!L9781,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82">
      <c r="J9782">
        <f>LET(
    lien,'Loan Tape (S&amp;P)'!Q9782,
    IF(lien="First",1.00,
        IF(lien="Second",1.50,
            1.70)))</f>
        <v/>
      </c>
      <c r="K9782">
        <f>LET(
    purpose,'Loan Tape (S&amp;P)'!R9782,
    IF(purpose="Purchase",1.00,
        IF(purpose="Remortgage",1.00,
            1.20)))</f>
        <v/>
      </c>
      <c r="L9782">
        <f>LET(
    arrears_months,'Loan Tape (S&amp;P)'!AN9782,
    IF(arrears_months=0,1.00,
    IF(arrears_months=1,3.00,
    IF(arrears_months=2,5.00,
    IF(arrears_months=3,8.00,
    IF(arrears_months=4,10.00,
    IF(arrears_months=5,12.00,15.00)))))))</f>
        <v/>
      </c>
      <c r="M9782">
        <f>LET(
    seasoning_years,DATEDIF('Loan Tape (S&amp;P)'!K9782,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82">
        <f>IF(AND('Loan Tape (S&amp;P)'!U9782="Yes",
        'Loan Tape (S&amp;P)'!T9782&lt;&gt;"Yes",
        DATEDIF('Loan Tape (S&amp;P)'!K9782, TODAY(), "M")&lt;18),
    1.10,
    1.00)</f>
        <v/>
      </c>
      <c r="O9782">
        <f>IF('Loan Tape (S&amp;P)'!T9782="Yes",
    1.35,
    1.00)</f>
        <v/>
      </c>
      <c r="P9782">
        <f>IF('Loan Tape (S&amp;P)'!S9782="Yes",
    1.15,
    1.00)</f>
        <v/>
      </c>
      <c r="Q9782">
        <f>IF('Loan Tape (S&amp;P)'!V9782="Yes",
    1.20,
    1.00)</f>
        <v/>
      </c>
      <c r="T9782">
        <f>LET(
    payment_method,'Loan Tape (S&amp;P)'!P9782,
    occupancy,'Loan Tape (S&amp;P)'!N9782,
    maturity_date,'Loan Tape (S&amp;P)'!L9782,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83">
      <c r="J9783">
        <f>LET(
    lien,'Loan Tape (S&amp;P)'!Q9783,
    IF(lien="First",1.00,
        IF(lien="Second",1.50,
            1.70)))</f>
        <v/>
      </c>
      <c r="K9783">
        <f>LET(
    purpose,'Loan Tape (S&amp;P)'!R9783,
    IF(purpose="Purchase",1.00,
        IF(purpose="Remortgage",1.00,
            1.20)))</f>
        <v/>
      </c>
      <c r="L9783">
        <f>LET(
    arrears_months,'Loan Tape (S&amp;P)'!AN9783,
    IF(arrears_months=0,1.00,
    IF(arrears_months=1,3.00,
    IF(arrears_months=2,5.00,
    IF(arrears_months=3,8.00,
    IF(arrears_months=4,10.00,
    IF(arrears_months=5,12.00,15.00)))))))</f>
        <v/>
      </c>
      <c r="M9783">
        <f>LET(
    seasoning_years,DATEDIF('Loan Tape (S&amp;P)'!K9783,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83">
        <f>IF(AND('Loan Tape (S&amp;P)'!U9783="Yes",
        'Loan Tape (S&amp;P)'!T9783&lt;&gt;"Yes",
        DATEDIF('Loan Tape (S&amp;P)'!K9783, TODAY(), "M")&lt;18),
    1.10,
    1.00)</f>
        <v/>
      </c>
      <c r="O9783">
        <f>IF('Loan Tape (S&amp;P)'!T9783="Yes",
    1.35,
    1.00)</f>
        <v/>
      </c>
      <c r="P9783">
        <f>IF('Loan Tape (S&amp;P)'!S9783="Yes",
    1.15,
    1.00)</f>
        <v/>
      </c>
      <c r="Q9783">
        <f>IF('Loan Tape (S&amp;P)'!V9783="Yes",
    1.20,
    1.00)</f>
        <v/>
      </c>
      <c r="T9783">
        <f>LET(
    payment_method,'Loan Tape (S&amp;P)'!P9783,
    occupancy,'Loan Tape (S&amp;P)'!N9783,
    maturity_date,'Loan Tape (S&amp;P)'!L9783,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84">
      <c r="J9784">
        <f>LET(
    lien,'Loan Tape (S&amp;P)'!Q9784,
    IF(lien="First",1.00,
        IF(lien="Second",1.50,
            1.70)))</f>
        <v/>
      </c>
      <c r="K9784">
        <f>LET(
    purpose,'Loan Tape (S&amp;P)'!R9784,
    IF(purpose="Purchase",1.00,
        IF(purpose="Remortgage",1.00,
            1.20)))</f>
        <v/>
      </c>
      <c r="L9784">
        <f>LET(
    arrears_months,'Loan Tape (S&amp;P)'!AN9784,
    IF(arrears_months=0,1.00,
    IF(arrears_months=1,3.00,
    IF(arrears_months=2,5.00,
    IF(arrears_months=3,8.00,
    IF(arrears_months=4,10.00,
    IF(arrears_months=5,12.00,15.00)))))))</f>
        <v/>
      </c>
      <c r="M9784">
        <f>LET(
    seasoning_years,DATEDIF('Loan Tape (S&amp;P)'!K9784,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84">
        <f>IF(AND('Loan Tape (S&amp;P)'!U9784="Yes",
        'Loan Tape (S&amp;P)'!T9784&lt;&gt;"Yes",
        DATEDIF('Loan Tape (S&amp;P)'!K9784, TODAY(), "M")&lt;18),
    1.10,
    1.00)</f>
        <v/>
      </c>
      <c r="O9784">
        <f>IF('Loan Tape (S&amp;P)'!T9784="Yes",
    1.35,
    1.00)</f>
        <v/>
      </c>
      <c r="P9784">
        <f>IF('Loan Tape (S&amp;P)'!S9784="Yes",
    1.15,
    1.00)</f>
        <v/>
      </c>
      <c r="Q9784">
        <f>IF('Loan Tape (S&amp;P)'!V9784="Yes",
    1.20,
    1.00)</f>
        <v/>
      </c>
      <c r="T9784">
        <f>LET(
    payment_method,'Loan Tape (S&amp;P)'!P9784,
    occupancy,'Loan Tape (S&amp;P)'!N9784,
    maturity_date,'Loan Tape (S&amp;P)'!L9784,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85">
      <c r="J9785">
        <f>LET(
    lien,'Loan Tape (S&amp;P)'!Q9785,
    IF(lien="First",1.00,
        IF(lien="Second",1.50,
            1.70)))</f>
        <v/>
      </c>
      <c r="K9785">
        <f>LET(
    purpose,'Loan Tape (S&amp;P)'!R9785,
    IF(purpose="Purchase",1.00,
        IF(purpose="Remortgage",1.00,
            1.20)))</f>
        <v/>
      </c>
      <c r="L9785">
        <f>LET(
    arrears_months,'Loan Tape (S&amp;P)'!AN9785,
    IF(arrears_months=0,1.00,
    IF(arrears_months=1,3.00,
    IF(arrears_months=2,5.00,
    IF(arrears_months=3,8.00,
    IF(arrears_months=4,10.00,
    IF(arrears_months=5,12.00,15.00)))))))</f>
        <v/>
      </c>
      <c r="M9785">
        <f>LET(
    seasoning_years,DATEDIF('Loan Tape (S&amp;P)'!K9785,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85">
        <f>IF(AND('Loan Tape (S&amp;P)'!U9785="Yes",
        'Loan Tape (S&amp;P)'!T9785&lt;&gt;"Yes",
        DATEDIF('Loan Tape (S&amp;P)'!K9785, TODAY(), "M")&lt;18),
    1.10,
    1.00)</f>
        <v/>
      </c>
      <c r="O9785">
        <f>IF('Loan Tape (S&amp;P)'!T9785="Yes",
    1.35,
    1.00)</f>
        <v/>
      </c>
      <c r="P9785">
        <f>IF('Loan Tape (S&amp;P)'!S9785="Yes",
    1.15,
    1.00)</f>
        <v/>
      </c>
      <c r="Q9785">
        <f>IF('Loan Tape (S&amp;P)'!V9785="Yes",
    1.20,
    1.00)</f>
        <v/>
      </c>
      <c r="T9785">
        <f>LET(
    payment_method,'Loan Tape (S&amp;P)'!P9785,
    occupancy,'Loan Tape (S&amp;P)'!N9785,
    maturity_date,'Loan Tape (S&amp;P)'!L9785,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86">
      <c r="J9786">
        <f>LET(
    lien,'Loan Tape (S&amp;P)'!Q9786,
    IF(lien="First",1.00,
        IF(lien="Second",1.50,
            1.70)))</f>
        <v/>
      </c>
      <c r="K9786">
        <f>LET(
    purpose,'Loan Tape (S&amp;P)'!R9786,
    IF(purpose="Purchase",1.00,
        IF(purpose="Remortgage",1.00,
            1.20)))</f>
        <v/>
      </c>
      <c r="L9786">
        <f>LET(
    arrears_months,'Loan Tape (S&amp;P)'!AN9786,
    IF(arrears_months=0,1.00,
    IF(arrears_months=1,3.00,
    IF(arrears_months=2,5.00,
    IF(arrears_months=3,8.00,
    IF(arrears_months=4,10.00,
    IF(arrears_months=5,12.00,15.00)))))))</f>
        <v/>
      </c>
      <c r="M9786">
        <f>LET(
    seasoning_years,DATEDIF('Loan Tape (S&amp;P)'!K9786,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86">
        <f>IF(AND('Loan Tape (S&amp;P)'!U9786="Yes",
        'Loan Tape (S&amp;P)'!T9786&lt;&gt;"Yes",
        DATEDIF('Loan Tape (S&amp;P)'!K9786, TODAY(), "M")&lt;18),
    1.10,
    1.00)</f>
        <v/>
      </c>
      <c r="O9786">
        <f>IF('Loan Tape (S&amp;P)'!T9786="Yes",
    1.35,
    1.00)</f>
        <v/>
      </c>
      <c r="P9786">
        <f>IF('Loan Tape (S&amp;P)'!S9786="Yes",
    1.15,
    1.00)</f>
        <v/>
      </c>
      <c r="Q9786">
        <f>IF('Loan Tape (S&amp;P)'!V9786="Yes",
    1.20,
    1.00)</f>
        <v/>
      </c>
      <c r="T9786">
        <f>LET(
    payment_method,'Loan Tape (S&amp;P)'!P9786,
    occupancy,'Loan Tape (S&amp;P)'!N9786,
    maturity_date,'Loan Tape (S&amp;P)'!L9786,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87">
      <c r="J9787">
        <f>LET(
    lien,'Loan Tape (S&amp;P)'!Q9787,
    IF(lien="First",1.00,
        IF(lien="Second",1.50,
            1.70)))</f>
        <v/>
      </c>
      <c r="K9787">
        <f>LET(
    purpose,'Loan Tape (S&amp;P)'!R9787,
    IF(purpose="Purchase",1.00,
        IF(purpose="Remortgage",1.00,
            1.20)))</f>
        <v/>
      </c>
      <c r="L9787">
        <f>LET(
    arrears_months,'Loan Tape (S&amp;P)'!AN9787,
    IF(arrears_months=0,1.00,
    IF(arrears_months=1,3.00,
    IF(arrears_months=2,5.00,
    IF(arrears_months=3,8.00,
    IF(arrears_months=4,10.00,
    IF(arrears_months=5,12.00,15.00)))))))</f>
        <v/>
      </c>
      <c r="M9787">
        <f>LET(
    seasoning_years,DATEDIF('Loan Tape (S&amp;P)'!K9787,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87">
        <f>IF(AND('Loan Tape (S&amp;P)'!U9787="Yes",
        'Loan Tape (S&amp;P)'!T9787&lt;&gt;"Yes",
        DATEDIF('Loan Tape (S&amp;P)'!K9787, TODAY(), "M")&lt;18),
    1.10,
    1.00)</f>
        <v/>
      </c>
      <c r="O9787">
        <f>IF('Loan Tape (S&amp;P)'!T9787="Yes",
    1.35,
    1.00)</f>
        <v/>
      </c>
      <c r="P9787">
        <f>IF('Loan Tape (S&amp;P)'!S9787="Yes",
    1.15,
    1.00)</f>
        <v/>
      </c>
      <c r="Q9787">
        <f>IF('Loan Tape (S&amp;P)'!V9787="Yes",
    1.20,
    1.00)</f>
        <v/>
      </c>
      <c r="T9787">
        <f>LET(
    payment_method,'Loan Tape (S&amp;P)'!P9787,
    occupancy,'Loan Tape (S&amp;P)'!N9787,
    maturity_date,'Loan Tape (S&amp;P)'!L9787,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88">
      <c r="J9788">
        <f>LET(
    lien,'Loan Tape (S&amp;P)'!Q9788,
    IF(lien="First",1.00,
        IF(lien="Second",1.50,
            1.70)))</f>
        <v/>
      </c>
      <c r="K9788">
        <f>LET(
    purpose,'Loan Tape (S&amp;P)'!R9788,
    IF(purpose="Purchase",1.00,
        IF(purpose="Remortgage",1.00,
            1.20)))</f>
        <v/>
      </c>
      <c r="L9788">
        <f>LET(
    arrears_months,'Loan Tape (S&amp;P)'!AN9788,
    IF(arrears_months=0,1.00,
    IF(arrears_months=1,3.00,
    IF(arrears_months=2,5.00,
    IF(arrears_months=3,8.00,
    IF(arrears_months=4,10.00,
    IF(arrears_months=5,12.00,15.00)))))))</f>
        <v/>
      </c>
      <c r="M9788">
        <f>LET(
    seasoning_years,DATEDIF('Loan Tape (S&amp;P)'!K9788,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88">
        <f>IF(AND('Loan Tape (S&amp;P)'!U9788="Yes",
        'Loan Tape (S&amp;P)'!T9788&lt;&gt;"Yes",
        DATEDIF('Loan Tape (S&amp;P)'!K9788, TODAY(), "M")&lt;18),
    1.10,
    1.00)</f>
        <v/>
      </c>
      <c r="O9788">
        <f>IF('Loan Tape (S&amp;P)'!T9788="Yes",
    1.35,
    1.00)</f>
        <v/>
      </c>
      <c r="P9788">
        <f>IF('Loan Tape (S&amp;P)'!S9788="Yes",
    1.15,
    1.00)</f>
        <v/>
      </c>
      <c r="Q9788">
        <f>IF('Loan Tape (S&amp;P)'!V9788="Yes",
    1.20,
    1.00)</f>
        <v/>
      </c>
      <c r="T9788">
        <f>LET(
    payment_method,'Loan Tape (S&amp;P)'!P9788,
    occupancy,'Loan Tape (S&amp;P)'!N9788,
    maturity_date,'Loan Tape (S&amp;P)'!L9788,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89">
      <c r="J9789">
        <f>LET(
    lien,'Loan Tape (S&amp;P)'!Q9789,
    IF(lien="First",1.00,
        IF(lien="Second",1.50,
            1.70)))</f>
        <v/>
      </c>
      <c r="K9789">
        <f>LET(
    purpose,'Loan Tape (S&amp;P)'!R9789,
    IF(purpose="Purchase",1.00,
        IF(purpose="Remortgage",1.00,
            1.20)))</f>
        <v/>
      </c>
      <c r="L9789">
        <f>LET(
    arrears_months,'Loan Tape (S&amp;P)'!AN9789,
    IF(arrears_months=0,1.00,
    IF(arrears_months=1,3.00,
    IF(arrears_months=2,5.00,
    IF(arrears_months=3,8.00,
    IF(arrears_months=4,10.00,
    IF(arrears_months=5,12.00,15.00)))))))</f>
        <v/>
      </c>
      <c r="M9789">
        <f>LET(
    seasoning_years,DATEDIF('Loan Tape (S&amp;P)'!K9789,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89">
        <f>IF(AND('Loan Tape (S&amp;P)'!U9789="Yes",
        'Loan Tape (S&amp;P)'!T9789&lt;&gt;"Yes",
        DATEDIF('Loan Tape (S&amp;P)'!K9789, TODAY(), "M")&lt;18),
    1.10,
    1.00)</f>
        <v/>
      </c>
      <c r="O9789">
        <f>IF('Loan Tape (S&amp;P)'!T9789="Yes",
    1.35,
    1.00)</f>
        <v/>
      </c>
      <c r="P9789">
        <f>IF('Loan Tape (S&amp;P)'!S9789="Yes",
    1.15,
    1.00)</f>
        <v/>
      </c>
      <c r="Q9789">
        <f>IF('Loan Tape (S&amp;P)'!V9789="Yes",
    1.20,
    1.00)</f>
        <v/>
      </c>
      <c r="T9789">
        <f>LET(
    payment_method,'Loan Tape (S&amp;P)'!P9789,
    occupancy,'Loan Tape (S&amp;P)'!N9789,
    maturity_date,'Loan Tape (S&amp;P)'!L9789,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90">
      <c r="J9790">
        <f>LET(
    lien,'Loan Tape (S&amp;P)'!Q9790,
    IF(lien="First",1.00,
        IF(lien="Second",1.50,
            1.70)))</f>
        <v/>
      </c>
      <c r="K9790">
        <f>LET(
    purpose,'Loan Tape (S&amp;P)'!R9790,
    IF(purpose="Purchase",1.00,
        IF(purpose="Remortgage",1.00,
            1.20)))</f>
        <v/>
      </c>
      <c r="L9790">
        <f>LET(
    arrears_months,'Loan Tape (S&amp;P)'!AN9790,
    IF(arrears_months=0,1.00,
    IF(arrears_months=1,3.00,
    IF(arrears_months=2,5.00,
    IF(arrears_months=3,8.00,
    IF(arrears_months=4,10.00,
    IF(arrears_months=5,12.00,15.00)))))))</f>
        <v/>
      </c>
      <c r="M9790">
        <f>LET(
    seasoning_years,DATEDIF('Loan Tape (S&amp;P)'!K9790,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90">
        <f>IF(AND('Loan Tape (S&amp;P)'!U9790="Yes",
        'Loan Tape (S&amp;P)'!T9790&lt;&gt;"Yes",
        DATEDIF('Loan Tape (S&amp;P)'!K9790, TODAY(), "M")&lt;18),
    1.10,
    1.00)</f>
        <v/>
      </c>
      <c r="O9790">
        <f>IF('Loan Tape (S&amp;P)'!T9790="Yes",
    1.35,
    1.00)</f>
        <v/>
      </c>
      <c r="P9790">
        <f>IF('Loan Tape (S&amp;P)'!S9790="Yes",
    1.15,
    1.00)</f>
        <v/>
      </c>
      <c r="Q9790">
        <f>IF('Loan Tape (S&amp;P)'!V9790="Yes",
    1.20,
    1.00)</f>
        <v/>
      </c>
      <c r="T9790">
        <f>LET(
    payment_method,'Loan Tape (S&amp;P)'!P9790,
    occupancy,'Loan Tape (S&amp;P)'!N9790,
    maturity_date,'Loan Tape (S&amp;P)'!L9790,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91">
      <c r="J9791">
        <f>LET(
    lien,'Loan Tape (S&amp;P)'!Q9791,
    IF(lien="First",1.00,
        IF(lien="Second",1.50,
            1.70)))</f>
        <v/>
      </c>
      <c r="K9791">
        <f>LET(
    purpose,'Loan Tape (S&amp;P)'!R9791,
    IF(purpose="Purchase",1.00,
        IF(purpose="Remortgage",1.00,
            1.20)))</f>
        <v/>
      </c>
      <c r="L9791">
        <f>LET(
    arrears_months,'Loan Tape (S&amp;P)'!AN9791,
    IF(arrears_months=0,1.00,
    IF(arrears_months=1,3.00,
    IF(arrears_months=2,5.00,
    IF(arrears_months=3,8.00,
    IF(arrears_months=4,10.00,
    IF(arrears_months=5,12.00,15.00)))))))</f>
        <v/>
      </c>
      <c r="M9791">
        <f>LET(
    seasoning_years,DATEDIF('Loan Tape (S&amp;P)'!K9791,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91">
        <f>IF(AND('Loan Tape (S&amp;P)'!U9791="Yes",
        'Loan Tape (S&amp;P)'!T9791&lt;&gt;"Yes",
        DATEDIF('Loan Tape (S&amp;P)'!K9791, TODAY(), "M")&lt;18),
    1.10,
    1.00)</f>
        <v/>
      </c>
      <c r="O9791">
        <f>IF('Loan Tape (S&amp;P)'!T9791="Yes",
    1.35,
    1.00)</f>
        <v/>
      </c>
      <c r="P9791">
        <f>IF('Loan Tape (S&amp;P)'!S9791="Yes",
    1.15,
    1.00)</f>
        <v/>
      </c>
      <c r="Q9791">
        <f>IF('Loan Tape (S&amp;P)'!V9791="Yes",
    1.20,
    1.00)</f>
        <v/>
      </c>
      <c r="T9791">
        <f>LET(
    payment_method,'Loan Tape (S&amp;P)'!P9791,
    occupancy,'Loan Tape (S&amp;P)'!N9791,
    maturity_date,'Loan Tape (S&amp;P)'!L9791,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92">
      <c r="J9792">
        <f>LET(
    lien,'Loan Tape (S&amp;P)'!Q9792,
    IF(lien="First",1.00,
        IF(lien="Second",1.50,
            1.70)))</f>
        <v/>
      </c>
      <c r="K9792">
        <f>LET(
    purpose,'Loan Tape (S&amp;P)'!R9792,
    IF(purpose="Purchase",1.00,
        IF(purpose="Remortgage",1.00,
            1.20)))</f>
        <v/>
      </c>
      <c r="L9792">
        <f>LET(
    arrears_months,'Loan Tape (S&amp;P)'!AN9792,
    IF(arrears_months=0,1.00,
    IF(arrears_months=1,3.00,
    IF(arrears_months=2,5.00,
    IF(arrears_months=3,8.00,
    IF(arrears_months=4,10.00,
    IF(arrears_months=5,12.00,15.00)))))))</f>
        <v/>
      </c>
      <c r="M9792">
        <f>LET(
    seasoning_years,DATEDIF('Loan Tape (S&amp;P)'!K9792,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92">
        <f>IF(AND('Loan Tape (S&amp;P)'!U9792="Yes",
        'Loan Tape (S&amp;P)'!T9792&lt;&gt;"Yes",
        DATEDIF('Loan Tape (S&amp;P)'!K9792, TODAY(), "M")&lt;18),
    1.10,
    1.00)</f>
        <v/>
      </c>
      <c r="O9792">
        <f>IF('Loan Tape (S&amp;P)'!T9792="Yes",
    1.35,
    1.00)</f>
        <v/>
      </c>
      <c r="P9792">
        <f>IF('Loan Tape (S&amp;P)'!S9792="Yes",
    1.15,
    1.00)</f>
        <v/>
      </c>
      <c r="Q9792">
        <f>IF('Loan Tape (S&amp;P)'!V9792="Yes",
    1.20,
    1.00)</f>
        <v/>
      </c>
      <c r="T9792">
        <f>LET(
    payment_method,'Loan Tape (S&amp;P)'!P9792,
    occupancy,'Loan Tape (S&amp;P)'!N9792,
    maturity_date,'Loan Tape (S&amp;P)'!L9792,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93">
      <c r="J9793">
        <f>LET(
    lien,'Loan Tape (S&amp;P)'!Q9793,
    IF(lien="First",1.00,
        IF(lien="Second",1.50,
            1.70)))</f>
        <v/>
      </c>
      <c r="K9793">
        <f>LET(
    purpose,'Loan Tape (S&amp;P)'!R9793,
    IF(purpose="Purchase",1.00,
        IF(purpose="Remortgage",1.00,
            1.20)))</f>
        <v/>
      </c>
      <c r="L9793">
        <f>LET(
    arrears_months,'Loan Tape (S&amp;P)'!AN9793,
    IF(arrears_months=0,1.00,
    IF(arrears_months=1,3.00,
    IF(arrears_months=2,5.00,
    IF(arrears_months=3,8.00,
    IF(arrears_months=4,10.00,
    IF(arrears_months=5,12.00,15.00)))))))</f>
        <v/>
      </c>
      <c r="M9793">
        <f>LET(
    seasoning_years,DATEDIF('Loan Tape (S&amp;P)'!K9793,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93">
        <f>IF(AND('Loan Tape (S&amp;P)'!U9793="Yes",
        'Loan Tape (S&amp;P)'!T9793&lt;&gt;"Yes",
        DATEDIF('Loan Tape (S&amp;P)'!K9793, TODAY(), "M")&lt;18),
    1.10,
    1.00)</f>
        <v/>
      </c>
      <c r="O9793">
        <f>IF('Loan Tape (S&amp;P)'!T9793="Yes",
    1.35,
    1.00)</f>
        <v/>
      </c>
      <c r="P9793">
        <f>IF('Loan Tape (S&amp;P)'!S9793="Yes",
    1.15,
    1.00)</f>
        <v/>
      </c>
      <c r="Q9793">
        <f>IF('Loan Tape (S&amp;P)'!V9793="Yes",
    1.20,
    1.00)</f>
        <v/>
      </c>
      <c r="T9793">
        <f>LET(
    payment_method,'Loan Tape (S&amp;P)'!P9793,
    occupancy,'Loan Tape (S&amp;P)'!N9793,
    maturity_date,'Loan Tape (S&amp;P)'!L9793,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94">
      <c r="J9794">
        <f>LET(
    lien,'Loan Tape (S&amp;P)'!Q9794,
    IF(lien="First",1.00,
        IF(lien="Second",1.50,
            1.70)))</f>
        <v/>
      </c>
      <c r="K9794">
        <f>LET(
    purpose,'Loan Tape (S&amp;P)'!R9794,
    IF(purpose="Purchase",1.00,
        IF(purpose="Remortgage",1.00,
            1.20)))</f>
        <v/>
      </c>
      <c r="L9794">
        <f>LET(
    arrears_months,'Loan Tape (S&amp;P)'!AN9794,
    IF(arrears_months=0,1.00,
    IF(arrears_months=1,3.00,
    IF(arrears_months=2,5.00,
    IF(arrears_months=3,8.00,
    IF(arrears_months=4,10.00,
    IF(arrears_months=5,12.00,15.00)))))))</f>
        <v/>
      </c>
      <c r="M9794">
        <f>LET(
    seasoning_years,DATEDIF('Loan Tape (S&amp;P)'!K9794,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94">
        <f>IF(AND('Loan Tape (S&amp;P)'!U9794="Yes",
        'Loan Tape (S&amp;P)'!T9794&lt;&gt;"Yes",
        DATEDIF('Loan Tape (S&amp;P)'!K9794, TODAY(), "M")&lt;18),
    1.10,
    1.00)</f>
        <v/>
      </c>
      <c r="O9794">
        <f>IF('Loan Tape (S&amp;P)'!T9794="Yes",
    1.35,
    1.00)</f>
        <v/>
      </c>
      <c r="P9794">
        <f>IF('Loan Tape (S&amp;P)'!S9794="Yes",
    1.15,
    1.00)</f>
        <v/>
      </c>
      <c r="Q9794">
        <f>IF('Loan Tape (S&amp;P)'!V9794="Yes",
    1.20,
    1.00)</f>
        <v/>
      </c>
      <c r="T9794">
        <f>LET(
    payment_method,'Loan Tape (S&amp;P)'!P9794,
    occupancy,'Loan Tape (S&amp;P)'!N9794,
    maturity_date,'Loan Tape (S&amp;P)'!L9794,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95">
      <c r="J9795">
        <f>LET(
    lien,'Loan Tape (S&amp;P)'!Q9795,
    IF(lien="First",1.00,
        IF(lien="Second",1.50,
            1.70)))</f>
        <v/>
      </c>
      <c r="K9795">
        <f>LET(
    purpose,'Loan Tape (S&amp;P)'!R9795,
    IF(purpose="Purchase",1.00,
        IF(purpose="Remortgage",1.00,
            1.20)))</f>
        <v/>
      </c>
      <c r="L9795">
        <f>LET(
    arrears_months,'Loan Tape (S&amp;P)'!AN9795,
    IF(arrears_months=0,1.00,
    IF(arrears_months=1,3.00,
    IF(arrears_months=2,5.00,
    IF(arrears_months=3,8.00,
    IF(arrears_months=4,10.00,
    IF(arrears_months=5,12.00,15.00)))))))</f>
        <v/>
      </c>
      <c r="M9795">
        <f>LET(
    seasoning_years,DATEDIF('Loan Tape (S&amp;P)'!K9795,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95">
        <f>IF(AND('Loan Tape (S&amp;P)'!U9795="Yes",
        'Loan Tape (S&amp;P)'!T9795&lt;&gt;"Yes",
        DATEDIF('Loan Tape (S&amp;P)'!K9795, TODAY(), "M")&lt;18),
    1.10,
    1.00)</f>
        <v/>
      </c>
      <c r="O9795">
        <f>IF('Loan Tape (S&amp;P)'!T9795="Yes",
    1.35,
    1.00)</f>
        <v/>
      </c>
      <c r="P9795">
        <f>IF('Loan Tape (S&amp;P)'!S9795="Yes",
    1.15,
    1.00)</f>
        <v/>
      </c>
      <c r="Q9795">
        <f>IF('Loan Tape (S&amp;P)'!V9795="Yes",
    1.20,
    1.00)</f>
        <v/>
      </c>
      <c r="T9795">
        <f>LET(
    payment_method,'Loan Tape (S&amp;P)'!P9795,
    occupancy,'Loan Tape (S&amp;P)'!N9795,
    maturity_date,'Loan Tape (S&amp;P)'!L9795,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96">
      <c r="J9796">
        <f>LET(
    lien,'Loan Tape (S&amp;P)'!Q9796,
    IF(lien="First",1.00,
        IF(lien="Second",1.50,
            1.70)))</f>
        <v/>
      </c>
      <c r="K9796">
        <f>LET(
    purpose,'Loan Tape (S&amp;P)'!R9796,
    IF(purpose="Purchase",1.00,
        IF(purpose="Remortgage",1.00,
            1.20)))</f>
        <v/>
      </c>
      <c r="L9796">
        <f>LET(
    arrears_months,'Loan Tape (S&amp;P)'!AN9796,
    IF(arrears_months=0,1.00,
    IF(arrears_months=1,3.00,
    IF(arrears_months=2,5.00,
    IF(arrears_months=3,8.00,
    IF(arrears_months=4,10.00,
    IF(arrears_months=5,12.00,15.00)))))))</f>
        <v/>
      </c>
      <c r="M9796">
        <f>LET(
    seasoning_years,DATEDIF('Loan Tape (S&amp;P)'!K9796,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96">
        <f>IF(AND('Loan Tape (S&amp;P)'!U9796="Yes",
        'Loan Tape (S&amp;P)'!T9796&lt;&gt;"Yes",
        DATEDIF('Loan Tape (S&amp;P)'!K9796, TODAY(), "M")&lt;18),
    1.10,
    1.00)</f>
        <v/>
      </c>
      <c r="O9796">
        <f>IF('Loan Tape (S&amp;P)'!T9796="Yes",
    1.35,
    1.00)</f>
        <v/>
      </c>
      <c r="P9796">
        <f>IF('Loan Tape (S&amp;P)'!S9796="Yes",
    1.15,
    1.00)</f>
        <v/>
      </c>
      <c r="Q9796">
        <f>IF('Loan Tape (S&amp;P)'!V9796="Yes",
    1.20,
    1.00)</f>
        <v/>
      </c>
      <c r="T9796">
        <f>LET(
    payment_method,'Loan Tape (S&amp;P)'!P9796,
    occupancy,'Loan Tape (S&amp;P)'!N9796,
    maturity_date,'Loan Tape (S&amp;P)'!L9796,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97">
      <c r="J9797">
        <f>LET(
    lien,'Loan Tape (S&amp;P)'!Q9797,
    IF(lien="First",1.00,
        IF(lien="Second",1.50,
            1.70)))</f>
        <v/>
      </c>
      <c r="K9797">
        <f>LET(
    purpose,'Loan Tape (S&amp;P)'!R9797,
    IF(purpose="Purchase",1.00,
        IF(purpose="Remortgage",1.00,
            1.20)))</f>
        <v/>
      </c>
      <c r="L9797">
        <f>LET(
    arrears_months,'Loan Tape (S&amp;P)'!AN9797,
    IF(arrears_months=0,1.00,
    IF(arrears_months=1,3.00,
    IF(arrears_months=2,5.00,
    IF(arrears_months=3,8.00,
    IF(arrears_months=4,10.00,
    IF(arrears_months=5,12.00,15.00)))))))</f>
        <v/>
      </c>
      <c r="M9797">
        <f>LET(
    seasoning_years,DATEDIF('Loan Tape (S&amp;P)'!K9797,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97">
        <f>IF(AND('Loan Tape (S&amp;P)'!U9797="Yes",
        'Loan Tape (S&amp;P)'!T9797&lt;&gt;"Yes",
        DATEDIF('Loan Tape (S&amp;P)'!K9797, TODAY(), "M")&lt;18),
    1.10,
    1.00)</f>
        <v/>
      </c>
      <c r="O9797">
        <f>IF('Loan Tape (S&amp;P)'!T9797="Yes",
    1.35,
    1.00)</f>
        <v/>
      </c>
      <c r="P9797">
        <f>IF('Loan Tape (S&amp;P)'!S9797="Yes",
    1.15,
    1.00)</f>
        <v/>
      </c>
      <c r="Q9797">
        <f>IF('Loan Tape (S&amp;P)'!V9797="Yes",
    1.20,
    1.00)</f>
        <v/>
      </c>
      <c r="T9797">
        <f>LET(
    payment_method,'Loan Tape (S&amp;P)'!P9797,
    occupancy,'Loan Tape (S&amp;P)'!N9797,
    maturity_date,'Loan Tape (S&amp;P)'!L9797,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98">
      <c r="J9798">
        <f>LET(
    lien,'Loan Tape (S&amp;P)'!Q9798,
    IF(lien="First",1.00,
        IF(lien="Second",1.50,
            1.70)))</f>
        <v/>
      </c>
      <c r="K9798">
        <f>LET(
    purpose,'Loan Tape (S&amp;P)'!R9798,
    IF(purpose="Purchase",1.00,
        IF(purpose="Remortgage",1.00,
            1.20)))</f>
        <v/>
      </c>
      <c r="L9798">
        <f>LET(
    arrears_months,'Loan Tape (S&amp;P)'!AN9798,
    IF(arrears_months=0,1.00,
    IF(arrears_months=1,3.00,
    IF(arrears_months=2,5.00,
    IF(arrears_months=3,8.00,
    IF(arrears_months=4,10.00,
    IF(arrears_months=5,12.00,15.00)))))))</f>
        <v/>
      </c>
      <c r="M9798">
        <f>LET(
    seasoning_years,DATEDIF('Loan Tape (S&amp;P)'!K9798,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98">
        <f>IF(AND('Loan Tape (S&amp;P)'!U9798="Yes",
        'Loan Tape (S&amp;P)'!T9798&lt;&gt;"Yes",
        DATEDIF('Loan Tape (S&amp;P)'!K9798, TODAY(), "M")&lt;18),
    1.10,
    1.00)</f>
        <v/>
      </c>
      <c r="O9798">
        <f>IF('Loan Tape (S&amp;P)'!T9798="Yes",
    1.35,
    1.00)</f>
        <v/>
      </c>
      <c r="P9798">
        <f>IF('Loan Tape (S&amp;P)'!S9798="Yes",
    1.15,
    1.00)</f>
        <v/>
      </c>
      <c r="Q9798">
        <f>IF('Loan Tape (S&amp;P)'!V9798="Yes",
    1.20,
    1.00)</f>
        <v/>
      </c>
      <c r="T9798">
        <f>LET(
    payment_method,'Loan Tape (S&amp;P)'!P9798,
    occupancy,'Loan Tape (S&amp;P)'!N9798,
    maturity_date,'Loan Tape (S&amp;P)'!L9798,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799">
      <c r="J9799">
        <f>LET(
    lien,'Loan Tape (S&amp;P)'!Q9799,
    IF(lien="First",1.00,
        IF(lien="Second",1.50,
            1.70)))</f>
        <v/>
      </c>
      <c r="K9799">
        <f>LET(
    purpose,'Loan Tape (S&amp;P)'!R9799,
    IF(purpose="Purchase",1.00,
        IF(purpose="Remortgage",1.00,
            1.20)))</f>
        <v/>
      </c>
      <c r="L9799">
        <f>LET(
    arrears_months,'Loan Tape (S&amp;P)'!AN9799,
    IF(arrears_months=0,1.00,
    IF(arrears_months=1,3.00,
    IF(arrears_months=2,5.00,
    IF(arrears_months=3,8.00,
    IF(arrears_months=4,10.00,
    IF(arrears_months=5,12.00,15.00)))))))</f>
        <v/>
      </c>
      <c r="M9799">
        <f>LET(
    seasoning_years,DATEDIF('Loan Tape (S&amp;P)'!K9799,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799">
        <f>IF(AND('Loan Tape (S&amp;P)'!U9799="Yes",
        'Loan Tape (S&amp;P)'!T9799&lt;&gt;"Yes",
        DATEDIF('Loan Tape (S&amp;P)'!K9799, TODAY(), "M")&lt;18),
    1.10,
    1.00)</f>
        <v/>
      </c>
      <c r="O9799">
        <f>IF('Loan Tape (S&amp;P)'!T9799="Yes",
    1.35,
    1.00)</f>
        <v/>
      </c>
      <c r="P9799">
        <f>IF('Loan Tape (S&amp;P)'!S9799="Yes",
    1.15,
    1.00)</f>
        <v/>
      </c>
      <c r="Q9799">
        <f>IF('Loan Tape (S&amp;P)'!V9799="Yes",
    1.20,
    1.00)</f>
        <v/>
      </c>
      <c r="T9799">
        <f>LET(
    payment_method,'Loan Tape (S&amp;P)'!P9799,
    occupancy,'Loan Tape (S&amp;P)'!N9799,
    maturity_date,'Loan Tape (S&amp;P)'!L9799,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00">
      <c r="J9800">
        <f>LET(
    lien,'Loan Tape (S&amp;P)'!Q9800,
    IF(lien="First",1.00,
        IF(lien="Second",1.50,
            1.70)))</f>
        <v/>
      </c>
      <c r="K9800">
        <f>LET(
    purpose,'Loan Tape (S&amp;P)'!R9800,
    IF(purpose="Purchase",1.00,
        IF(purpose="Remortgage",1.00,
            1.20)))</f>
        <v/>
      </c>
      <c r="L9800">
        <f>LET(
    arrears_months,'Loan Tape (S&amp;P)'!AN9800,
    IF(arrears_months=0,1.00,
    IF(arrears_months=1,3.00,
    IF(arrears_months=2,5.00,
    IF(arrears_months=3,8.00,
    IF(arrears_months=4,10.00,
    IF(arrears_months=5,12.00,15.00)))))))</f>
        <v/>
      </c>
      <c r="M9800">
        <f>LET(
    seasoning_years,DATEDIF('Loan Tape (S&amp;P)'!K9800,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00">
        <f>IF(AND('Loan Tape (S&amp;P)'!U9800="Yes",
        'Loan Tape (S&amp;P)'!T9800&lt;&gt;"Yes",
        DATEDIF('Loan Tape (S&amp;P)'!K9800, TODAY(), "M")&lt;18),
    1.10,
    1.00)</f>
        <v/>
      </c>
      <c r="O9800">
        <f>IF('Loan Tape (S&amp;P)'!T9800="Yes",
    1.35,
    1.00)</f>
        <v/>
      </c>
      <c r="P9800">
        <f>IF('Loan Tape (S&amp;P)'!S9800="Yes",
    1.15,
    1.00)</f>
        <v/>
      </c>
      <c r="Q9800">
        <f>IF('Loan Tape (S&amp;P)'!V9800="Yes",
    1.20,
    1.00)</f>
        <v/>
      </c>
      <c r="T9800">
        <f>LET(
    payment_method,'Loan Tape (S&amp;P)'!P9800,
    occupancy,'Loan Tape (S&amp;P)'!N9800,
    maturity_date,'Loan Tape (S&amp;P)'!L9800,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01">
      <c r="J9801">
        <f>LET(
    lien,'Loan Tape (S&amp;P)'!Q9801,
    IF(lien="First",1.00,
        IF(lien="Second",1.50,
            1.70)))</f>
        <v/>
      </c>
      <c r="K9801">
        <f>LET(
    purpose,'Loan Tape (S&amp;P)'!R9801,
    IF(purpose="Purchase",1.00,
        IF(purpose="Remortgage",1.00,
            1.20)))</f>
        <v/>
      </c>
      <c r="L9801">
        <f>LET(
    arrears_months,'Loan Tape (S&amp;P)'!AN9801,
    IF(arrears_months=0,1.00,
    IF(arrears_months=1,3.00,
    IF(arrears_months=2,5.00,
    IF(arrears_months=3,8.00,
    IF(arrears_months=4,10.00,
    IF(arrears_months=5,12.00,15.00)))))))</f>
        <v/>
      </c>
      <c r="M9801">
        <f>LET(
    seasoning_years,DATEDIF('Loan Tape (S&amp;P)'!K9801,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01">
        <f>IF(AND('Loan Tape (S&amp;P)'!U9801="Yes",
        'Loan Tape (S&amp;P)'!T9801&lt;&gt;"Yes",
        DATEDIF('Loan Tape (S&amp;P)'!K9801, TODAY(), "M")&lt;18),
    1.10,
    1.00)</f>
        <v/>
      </c>
      <c r="O9801">
        <f>IF('Loan Tape (S&amp;P)'!T9801="Yes",
    1.35,
    1.00)</f>
        <v/>
      </c>
      <c r="P9801">
        <f>IF('Loan Tape (S&amp;P)'!S9801="Yes",
    1.15,
    1.00)</f>
        <v/>
      </c>
      <c r="Q9801">
        <f>IF('Loan Tape (S&amp;P)'!V9801="Yes",
    1.20,
    1.00)</f>
        <v/>
      </c>
      <c r="T9801">
        <f>LET(
    payment_method,'Loan Tape (S&amp;P)'!P9801,
    occupancy,'Loan Tape (S&amp;P)'!N9801,
    maturity_date,'Loan Tape (S&amp;P)'!L9801,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02">
      <c r="J9802">
        <f>LET(
    lien,'Loan Tape (S&amp;P)'!Q9802,
    IF(lien="First",1.00,
        IF(lien="Second",1.50,
            1.70)))</f>
        <v/>
      </c>
      <c r="K9802">
        <f>LET(
    purpose,'Loan Tape (S&amp;P)'!R9802,
    IF(purpose="Purchase",1.00,
        IF(purpose="Remortgage",1.00,
            1.20)))</f>
        <v/>
      </c>
      <c r="L9802">
        <f>LET(
    arrears_months,'Loan Tape (S&amp;P)'!AN9802,
    IF(arrears_months=0,1.00,
    IF(arrears_months=1,3.00,
    IF(arrears_months=2,5.00,
    IF(arrears_months=3,8.00,
    IF(arrears_months=4,10.00,
    IF(arrears_months=5,12.00,15.00)))))))</f>
        <v/>
      </c>
      <c r="M9802">
        <f>LET(
    seasoning_years,DATEDIF('Loan Tape (S&amp;P)'!K9802,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02">
        <f>IF(AND('Loan Tape (S&amp;P)'!U9802="Yes",
        'Loan Tape (S&amp;P)'!T9802&lt;&gt;"Yes",
        DATEDIF('Loan Tape (S&amp;P)'!K9802, TODAY(), "M")&lt;18),
    1.10,
    1.00)</f>
        <v/>
      </c>
      <c r="O9802">
        <f>IF('Loan Tape (S&amp;P)'!T9802="Yes",
    1.35,
    1.00)</f>
        <v/>
      </c>
      <c r="P9802">
        <f>IF('Loan Tape (S&amp;P)'!S9802="Yes",
    1.15,
    1.00)</f>
        <v/>
      </c>
      <c r="Q9802">
        <f>IF('Loan Tape (S&amp;P)'!V9802="Yes",
    1.20,
    1.00)</f>
        <v/>
      </c>
      <c r="T9802">
        <f>LET(
    payment_method,'Loan Tape (S&amp;P)'!P9802,
    occupancy,'Loan Tape (S&amp;P)'!N9802,
    maturity_date,'Loan Tape (S&amp;P)'!L9802,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03">
      <c r="J9803">
        <f>LET(
    lien,'Loan Tape (S&amp;P)'!Q9803,
    IF(lien="First",1.00,
        IF(lien="Second",1.50,
            1.70)))</f>
        <v/>
      </c>
      <c r="K9803">
        <f>LET(
    purpose,'Loan Tape (S&amp;P)'!R9803,
    IF(purpose="Purchase",1.00,
        IF(purpose="Remortgage",1.00,
            1.20)))</f>
        <v/>
      </c>
      <c r="L9803">
        <f>LET(
    arrears_months,'Loan Tape (S&amp;P)'!AN9803,
    IF(arrears_months=0,1.00,
    IF(arrears_months=1,3.00,
    IF(arrears_months=2,5.00,
    IF(arrears_months=3,8.00,
    IF(arrears_months=4,10.00,
    IF(arrears_months=5,12.00,15.00)))))))</f>
        <v/>
      </c>
      <c r="M9803">
        <f>LET(
    seasoning_years,DATEDIF('Loan Tape (S&amp;P)'!K9803,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03">
        <f>IF(AND('Loan Tape (S&amp;P)'!U9803="Yes",
        'Loan Tape (S&amp;P)'!T9803&lt;&gt;"Yes",
        DATEDIF('Loan Tape (S&amp;P)'!K9803, TODAY(), "M")&lt;18),
    1.10,
    1.00)</f>
        <v/>
      </c>
      <c r="O9803">
        <f>IF('Loan Tape (S&amp;P)'!T9803="Yes",
    1.35,
    1.00)</f>
        <v/>
      </c>
      <c r="P9803">
        <f>IF('Loan Tape (S&amp;P)'!S9803="Yes",
    1.15,
    1.00)</f>
        <v/>
      </c>
      <c r="Q9803">
        <f>IF('Loan Tape (S&amp;P)'!V9803="Yes",
    1.20,
    1.00)</f>
        <v/>
      </c>
      <c r="T9803">
        <f>LET(
    payment_method,'Loan Tape (S&amp;P)'!P9803,
    occupancy,'Loan Tape (S&amp;P)'!N9803,
    maturity_date,'Loan Tape (S&amp;P)'!L9803,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04">
      <c r="J9804">
        <f>LET(
    lien,'Loan Tape (S&amp;P)'!Q9804,
    IF(lien="First",1.00,
        IF(lien="Second",1.50,
            1.70)))</f>
        <v/>
      </c>
      <c r="K9804">
        <f>LET(
    purpose,'Loan Tape (S&amp;P)'!R9804,
    IF(purpose="Purchase",1.00,
        IF(purpose="Remortgage",1.00,
            1.20)))</f>
        <v/>
      </c>
      <c r="L9804">
        <f>LET(
    arrears_months,'Loan Tape (S&amp;P)'!AN9804,
    IF(arrears_months=0,1.00,
    IF(arrears_months=1,3.00,
    IF(arrears_months=2,5.00,
    IF(arrears_months=3,8.00,
    IF(arrears_months=4,10.00,
    IF(arrears_months=5,12.00,15.00)))))))</f>
        <v/>
      </c>
      <c r="M9804">
        <f>LET(
    seasoning_years,DATEDIF('Loan Tape (S&amp;P)'!K9804,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04">
        <f>IF(AND('Loan Tape (S&amp;P)'!U9804="Yes",
        'Loan Tape (S&amp;P)'!T9804&lt;&gt;"Yes",
        DATEDIF('Loan Tape (S&amp;P)'!K9804, TODAY(), "M")&lt;18),
    1.10,
    1.00)</f>
        <v/>
      </c>
      <c r="O9804">
        <f>IF('Loan Tape (S&amp;P)'!T9804="Yes",
    1.35,
    1.00)</f>
        <v/>
      </c>
      <c r="P9804">
        <f>IF('Loan Tape (S&amp;P)'!S9804="Yes",
    1.15,
    1.00)</f>
        <v/>
      </c>
      <c r="Q9804">
        <f>IF('Loan Tape (S&amp;P)'!V9804="Yes",
    1.20,
    1.00)</f>
        <v/>
      </c>
      <c r="T9804">
        <f>LET(
    payment_method,'Loan Tape (S&amp;P)'!P9804,
    occupancy,'Loan Tape (S&amp;P)'!N9804,
    maturity_date,'Loan Tape (S&amp;P)'!L9804,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05">
      <c r="J9805">
        <f>LET(
    lien,'Loan Tape (S&amp;P)'!Q9805,
    IF(lien="First",1.00,
        IF(lien="Second",1.50,
            1.70)))</f>
        <v/>
      </c>
      <c r="K9805">
        <f>LET(
    purpose,'Loan Tape (S&amp;P)'!R9805,
    IF(purpose="Purchase",1.00,
        IF(purpose="Remortgage",1.00,
            1.20)))</f>
        <v/>
      </c>
      <c r="L9805">
        <f>LET(
    arrears_months,'Loan Tape (S&amp;P)'!AN9805,
    IF(arrears_months=0,1.00,
    IF(arrears_months=1,3.00,
    IF(arrears_months=2,5.00,
    IF(arrears_months=3,8.00,
    IF(arrears_months=4,10.00,
    IF(arrears_months=5,12.00,15.00)))))))</f>
        <v/>
      </c>
      <c r="M9805">
        <f>LET(
    seasoning_years,DATEDIF('Loan Tape (S&amp;P)'!K9805,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05">
        <f>IF(AND('Loan Tape (S&amp;P)'!U9805="Yes",
        'Loan Tape (S&amp;P)'!T9805&lt;&gt;"Yes",
        DATEDIF('Loan Tape (S&amp;P)'!K9805, TODAY(), "M")&lt;18),
    1.10,
    1.00)</f>
        <v/>
      </c>
      <c r="O9805">
        <f>IF('Loan Tape (S&amp;P)'!T9805="Yes",
    1.35,
    1.00)</f>
        <v/>
      </c>
      <c r="P9805">
        <f>IF('Loan Tape (S&amp;P)'!S9805="Yes",
    1.15,
    1.00)</f>
        <v/>
      </c>
      <c r="Q9805">
        <f>IF('Loan Tape (S&amp;P)'!V9805="Yes",
    1.20,
    1.00)</f>
        <v/>
      </c>
      <c r="T9805">
        <f>LET(
    payment_method,'Loan Tape (S&amp;P)'!P9805,
    occupancy,'Loan Tape (S&amp;P)'!N9805,
    maturity_date,'Loan Tape (S&amp;P)'!L9805,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06">
      <c r="J9806">
        <f>LET(
    lien,'Loan Tape (S&amp;P)'!Q9806,
    IF(lien="First",1.00,
        IF(lien="Second",1.50,
            1.70)))</f>
        <v/>
      </c>
      <c r="K9806">
        <f>LET(
    purpose,'Loan Tape (S&amp;P)'!R9806,
    IF(purpose="Purchase",1.00,
        IF(purpose="Remortgage",1.00,
            1.20)))</f>
        <v/>
      </c>
      <c r="L9806">
        <f>LET(
    arrears_months,'Loan Tape (S&amp;P)'!AN9806,
    IF(arrears_months=0,1.00,
    IF(arrears_months=1,3.00,
    IF(arrears_months=2,5.00,
    IF(arrears_months=3,8.00,
    IF(arrears_months=4,10.00,
    IF(arrears_months=5,12.00,15.00)))))))</f>
        <v/>
      </c>
      <c r="M9806">
        <f>LET(
    seasoning_years,DATEDIF('Loan Tape (S&amp;P)'!K9806,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06">
        <f>IF(AND('Loan Tape (S&amp;P)'!U9806="Yes",
        'Loan Tape (S&amp;P)'!T9806&lt;&gt;"Yes",
        DATEDIF('Loan Tape (S&amp;P)'!K9806, TODAY(), "M")&lt;18),
    1.10,
    1.00)</f>
        <v/>
      </c>
      <c r="O9806">
        <f>IF('Loan Tape (S&amp;P)'!T9806="Yes",
    1.35,
    1.00)</f>
        <v/>
      </c>
      <c r="P9806">
        <f>IF('Loan Tape (S&amp;P)'!S9806="Yes",
    1.15,
    1.00)</f>
        <v/>
      </c>
      <c r="Q9806">
        <f>IF('Loan Tape (S&amp;P)'!V9806="Yes",
    1.20,
    1.00)</f>
        <v/>
      </c>
      <c r="T9806">
        <f>LET(
    payment_method,'Loan Tape (S&amp;P)'!P9806,
    occupancy,'Loan Tape (S&amp;P)'!N9806,
    maturity_date,'Loan Tape (S&amp;P)'!L9806,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07">
      <c r="J9807">
        <f>LET(
    lien,'Loan Tape (S&amp;P)'!Q9807,
    IF(lien="First",1.00,
        IF(lien="Second",1.50,
            1.70)))</f>
        <v/>
      </c>
      <c r="K9807">
        <f>LET(
    purpose,'Loan Tape (S&amp;P)'!R9807,
    IF(purpose="Purchase",1.00,
        IF(purpose="Remortgage",1.00,
            1.20)))</f>
        <v/>
      </c>
      <c r="L9807">
        <f>LET(
    arrears_months,'Loan Tape (S&amp;P)'!AN9807,
    IF(arrears_months=0,1.00,
    IF(arrears_months=1,3.00,
    IF(arrears_months=2,5.00,
    IF(arrears_months=3,8.00,
    IF(arrears_months=4,10.00,
    IF(arrears_months=5,12.00,15.00)))))))</f>
        <v/>
      </c>
      <c r="M9807">
        <f>LET(
    seasoning_years,DATEDIF('Loan Tape (S&amp;P)'!K9807,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07">
        <f>IF(AND('Loan Tape (S&amp;P)'!U9807="Yes",
        'Loan Tape (S&amp;P)'!T9807&lt;&gt;"Yes",
        DATEDIF('Loan Tape (S&amp;P)'!K9807, TODAY(), "M")&lt;18),
    1.10,
    1.00)</f>
        <v/>
      </c>
      <c r="O9807">
        <f>IF('Loan Tape (S&amp;P)'!T9807="Yes",
    1.35,
    1.00)</f>
        <v/>
      </c>
      <c r="P9807">
        <f>IF('Loan Tape (S&amp;P)'!S9807="Yes",
    1.15,
    1.00)</f>
        <v/>
      </c>
      <c r="Q9807">
        <f>IF('Loan Tape (S&amp;P)'!V9807="Yes",
    1.20,
    1.00)</f>
        <v/>
      </c>
      <c r="T9807">
        <f>LET(
    payment_method,'Loan Tape (S&amp;P)'!P9807,
    occupancy,'Loan Tape (S&amp;P)'!N9807,
    maturity_date,'Loan Tape (S&amp;P)'!L9807,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08">
      <c r="J9808">
        <f>LET(
    lien,'Loan Tape (S&amp;P)'!Q9808,
    IF(lien="First",1.00,
        IF(lien="Second",1.50,
            1.70)))</f>
        <v/>
      </c>
      <c r="K9808">
        <f>LET(
    purpose,'Loan Tape (S&amp;P)'!R9808,
    IF(purpose="Purchase",1.00,
        IF(purpose="Remortgage",1.00,
            1.20)))</f>
        <v/>
      </c>
      <c r="L9808">
        <f>LET(
    arrears_months,'Loan Tape (S&amp;P)'!AN9808,
    IF(arrears_months=0,1.00,
    IF(arrears_months=1,3.00,
    IF(arrears_months=2,5.00,
    IF(arrears_months=3,8.00,
    IF(arrears_months=4,10.00,
    IF(arrears_months=5,12.00,15.00)))))))</f>
        <v/>
      </c>
      <c r="M9808">
        <f>LET(
    seasoning_years,DATEDIF('Loan Tape (S&amp;P)'!K9808,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08">
        <f>IF(AND('Loan Tape (S&amp;P)'!U9808="Yes",
        'Loan Tape (S&amp;P)'!T9808&lt;&gt;"Yes",
        DATEDIF('Loan Tape (S&amp;P)'!K9808, TODAY(), "M")&lt;18),
    1.10,
    1.00)</f>
        <v/>
      </c>
      <c r="O9808">
        <f>IF('Loan Tape (S&amp;P)'!T9808="Yes",
    1.35,
    1.00)</f>
        <v/>
      </c>
      <c r="P9808">
        <f>IF('Loan Tape (S&amp;P)'!S9808="Yes",
    1.15,
    1.00)</f>
        <v/>
      </c>
      <c r="Q9808">
        <f>IF('Loan Tape (S&amp;P)'!V9808="Yes",
    1.20,
    1.00)</f>
        <v/>
      </c>
      <c r="T9808">
        <f>LET(
    payment_method,'Loan Tape (S&amp;P)'!P9808,
    occupancy,'Loan Tape (S&amp;P)'!N9808,
    maturity_date,'Loan Tape (S&amp;P)'!L9808,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09">
      <c r="J9809">
        <f>LET(
    lien,'Loan Tape (S&amp;P)'!Q9809,
    IF(lien="First",1.00,
        IF(lien="Second",1.50,
            1.70)))</f>
        <v/>
      </c>
      <c r="K9809">
        <f>LET(
    purpose,'Loan Tape (S&amp;P)'!R9809,
    IF(purpose="Purchase",1.00,
        IF(purpose="Remortgage",1.00,
            1.20)))</f>
        <v/>
      </c>
      <c r="L9809">
        <f>LET(
    arrears_months,'Loan Tape (S&amp;P)'!AN9809,
    IF(arrears_months=0,1.00,
    IF(arrears_months=1,3.00,
    IF(arrears_months=2,5.00,
    IF(arrears_months=3,8.00,
    IF(arrears_months=4,10.00,
    IF(arrears_months=5,12.00,15.00)))))))</f>
        <v/>
      </c>
      <c r="M9809">
        <f>LET(
    seasoning_years,DATEDIF('Loan Tape (S&amp;P)'!K9809,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09">
        <f>IF(AND('Loan Tape (S&amp;P)'!U9809="Yes",
        'Loan Tape (S&amp;P)'!T9809&lt;&gt;"Yes",
        DATEDIF('Loan Tape (S&amp;P)'!K9809, TODAY(), "M")&lt;18),
    1.10,
    1.00)</f>
        <v/>
      </c>
      <c r="O9809">
        <f>IF('Loan Tape (S&amp;P)'!T9809="Yes",
    1.35,
    1.00)</f>
        <v/>
      </c>
      <c r="P9809">
        <f>IF('Loan Tape (S&amp;P)'!S9809="Yes",
    1.15,
    1.00)</f>
        <v/>
      </c>
      <c r="Q9809">
        <f>IF('Loan Tape (S&amp;P)'!V9809="Yes",
    1.20,
    1.00)</f>
        <v/>
      </c>
      <c r="T9809">
        <f>LET(
    payment_method,'Loan Tape (S&amp;P)'!P9809,
    occupancy,'Loan Tape (S&amp;P)'!N9809,
    maturity_date,'Loan Tape (S&amp;P)'!L9809,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10">
      <c r="J9810">
        <f>LET(
    lien,'Loan Tape (S&amp;P)'!Q9810,
    IF(lien="First",1.00,
        IF(lien="Second",1.50,
            1.70)))</f>
        <v/>
      </c>
      <c r="K9810">
        <f>LET(
    purpose,'Loan Tape (S&amp;P)'!R9810,
    IF(purpose="Purchase",1.00,
        IF(purpose="Remortgage",1.00,
            1.20)))</f>
        <v/>
      </c>
      <c r="L9810">
        <f>LET(
    arrears_months,'Loan Tape (S&amp;P)'!AN9810,
    IF(arrears_months=0,1.00,
    IF(arrears_months=1,3.00,
    IF(arrears_months=2,5.00,
    IF(arrears_months=3,8.00,
    IF(arrears_months=4,10.00,
    IF(arrears_months=5,12.00,15.00)))))))</f>
        <v/>
      </c>
      <c r="M9810">
        <f>LET(
    seasoning_years,DATEDIF('Loan Tape (S&amp;P)'!K9810,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10">
        <f>IF(AND('Loan Tape (S&amp;P)'!U9810="Yes",
        'Loan Tape (S&amp;P)'!T9810&lt;&gt;"Yes",
        DATEDIF('Loan Tape (S&amp;P)'!K9810, TODAY(), "M")&lt;18),
    1.10,
    1.00)</f>
        <v/>
      </c>
      <c r="O9810">
        <f>IF('Loan Tape (S&amp;P)'!T9810="Yes",
    1.35,
    1.00)</f>
        <v/>
      </c>
      <c r="P9810">
        <f>IF('Loan Tape (S&amp;P)'!S9810="Yes",
    1.15,
    1.00)</f>
        <v/>
      </c>
      <c r="Q9810">
        <f>IF('Loan Tape (S&amp;P)'!V9810="Yes",
    1.20,
    1.00)</f>
        <v/>
      </c>
      <c r="T9810">
        <f>LET(
    payment_method,'Loan Tape (S&amp;P)'!P9810,
    occupancy,'Loan Tape (S&amp;P)'!N9810,
    maturity_date,'Loan Tape (S&amp;P)'!L9810,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11">
      <c r="J9811">
        <f>LET(
    lien,'Loan Tape (S&amp;P)'!Q9811,
    IF(lien="First",1.00,
        IF(lien="Second",1.50,
            1.70)))</f>
        <v/>
      </c>
      <c r="K9811">
        <f>LET(
    purpose,'Loan Tape (S&amp;P)'!R9811,
    IF(purpose="Purchase",1.00,
        IF(purpose="Remortgage",1.00,
            1.20)))</f>
        <v/>
      </c>
      <c r="L9811">
        <f>LET(
    arrears_months,'Loan Tape (S&amp;P)'!AN9811,
    IF(arrears_months=0,1.00,
    IF(arrears_months=1,3.00,
    IF(arrears_months=2,5.00,
    IF(arrears_months=3,8.00,
    IF(arrears_months=4,10.00,
    IF(arrears_months=5,12.00,15.00)))))))</f>
        <v/>
      </c>
      <c r="M9811">
        <f>LET(
    seasoning_years,DATEDIF('Loan Tape (S&amp;P)'!K9811,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11">
        <f>IF(AND('Loan Tape (S&amp;P)'!U9811="Yes",
        'Loan Tape (S&amp;P)'!T9811&lt;&gt;"Yes",
        DATEDIF('Loan Tape (S&amp;P)'!K9811, TODAY(), "M")&lt;18),
    1.10,
    1.00)</f>
        <v/>
      </c>
      <c r="O9811">
        <f>IF('Loan Tape (S&amp;P)'!T9811="Yes",
    1.35,
    1.00)</f>
        <v/>
      </c>
      <c r="P9811">
        <f>IF('Loan Tape (S&amp;P)'!S9811="Yes",
    1.15,
    1.00)</f>
        <v/>
      </c>
      <c r="Q9811">
        <f>IF('Loan Tape (S&amp;P)'!V9811="Yes",
    1.20,
    1.00)</f>
        <v/>
      </c>
      <c r="T9811">
        <f>LET(
    payment_method,'Loan Tape (S&amp;P)'!P9811,
    occupancy,'Loan Tape (S&amp;P)'!N9811,
    maturity_date,'Loan Tape (S&amp;P)'!L9811,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12">
      <c r="J9812">
        <f>LET(
    lien,'Loan Tape (S&amp;P)'!Q9812,
    IF(lien="First",1.00,
        IF(lien="Second",1.50,
            1.70)))</f>
        <v/>
      </c>
      <c r="K9812">
        <f>LET(
    purpose,'Loan Tape (S&amp;P)'!R9812,
    IF(purpose="Purchase",1.00,
        IF(purpose="Remortgage",1.00,
            1.20)))</f>
        <v/>
      </c>
      <c r="L9812">
        <f>LET(
    arrears_months,'Loan Tape (S&amp;P)'!AN9812,
    IF(arrears_months=0,1.00,
    IF(arrears_months=1,3.00,
    IF(arrears_months=2,5.00,
    IF(arrears_months=3,8.00,
    IF(arrears_months=4,10.00,
    IF(arrears_months=5,12.00,15.00)))))))</f>
        <v/>
      </c>
      <c r="M9812">
        <f>LET(
    seasoning_years,DATEDIF('Loan Tape (S&amp;P)'!K9812,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12">
        <f>IF(AND('Loan Tape (S&amp;P)'!U9812="Yes",
        'Loan Tape (S&amp;P)'!T9812&lt;&gt;"Yes",
        DATEDIF('Loan Tape (S&amp;P)'!K9812, TODAY(), "M")&lt;18),
    1.10,
    1.00)</f>
        <v/>
      </c>
      <c r="O9812">
        <f>IF('Loan Tape (S&amp;P)'!T9812="Yes",
    1.35,
    1.00)</f>
        <v/>
      </c>
      <c r="P9812">
        <f>IF('Loan Tape (S&amp;P)'!S9812="Yes",
    1.15,
    1.00)</f>
        <v/>
      </c>
      <c r="Q9812">
        <f>IF('Loan Tape (S&amp;P)'!V9812="Yes",
    1.20,
    1.00)</f>
        <v/>
      </c>
      <c r="T9812">
        <f>LET(
    payment_method,'Loan Tape (S&amp;P)'!P9812,
    occupancy,'Loan Tape (S&amp;P)'!N9812,
    maturity_date,'Loan Tape (S&amp;P)'!L9812,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13">
      <c r="J9813">
        <f>LET(
    lien,'Loan Tape (S&amp;P)'!Q9813,
    IF(lien="First",1.00,
        IF(lien="Second",1.50,
            1.70)))</f>
        <v/>
      </c>
      <c r="K9813">
        <f>LET(
    purpose,'Loan Tape (S&amp;P)'!R9813,
    IF(purpose="Purchase",1.00,
        IF(purpose="Remortgage",1.00,
            1.20)))</f>
        <v/>
      </c>
      <c r="L9813">
        <f>LET(
    arrears_months,'Loan Tape (S&amp;P)'!AN9813,
    IF(arrears_months=0,1.00,
    IF(arrears_months=1,3.00,
    IF(arrears_months=2,5.00,
    IF(arrears_months=3,8.00,
    IF(arrears_months=4,10.00,
    IF(arrears_months=5,12.00,15.00)))))))</f>
        <v/>
      </c>
      <c r="M9813">
        <f>LET(
    seasoning_years,DATEDIF('Loan Tape (S&amp;P)'!K9813,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13">
        <f>IF(AND('Loan Tape (S&amp;P)'!U9813="Yes",
        'Loan Tape (S&amp;P)'!T9813&lt;&gt;"Yes",
        DATEDIF('Loan Tape (S&amp;P)'!K9813, TODAY(), "M")&lt;18),
    1.10,
    1.00)</f>
        <v/>
      </c>
      <c r="O9813">
        <f>IF('Loan Tape (S&amp;P)'!T9813="Yes",
    1.35,
    1.00)</f>
        <v/>
      </c>
      <c r="P9813">
        <f>IF('Loan Tape (S&amp;P)'!S9813="Yes",
    1.15,
    1.00)</f>
        <v/>
      </c>
      <c r="Q9813">
        <f>IF('Loan Tape (S&amp;P)'!V9813="Yes",
    1.20,
    1.00)</f>
        <v/>
      </c>
      <c r="T9813">
        <f>LET(
    payment_method,'Loan Tape (S&amp;P)'!P9813,
    occupancy,'Loan Tape (S&amp;P)'!N9813,
    maturity_date,'Loan Tape (S&amp;P)'!L9813,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14">
      <c r="J9814">
        <f>LET(
    lien,'Loan Tape (S&amp;P)'!Q9814,
    IF(lien="First",1.00,
        IF(lien="Second",1.50,
            1.70)))</f>
        <v/>
      </c>
      <c r="K9814">
        <f>LET(
    purpose,'Loan Tape (S&amp;P)'!R9814,
    IF(purpose="Purchase",1.00,
        IF(purpose="Remortgage",1.00,
            1.20)))</f>
        <v/>
      </c>
      <c r="L9814">
        <f>LET(
    arrears_months,'Loan Tape (S&amp;P)'!AN9814,
    IF(arrears_months=0,1.00,
    IF(arrears_months=1,3.00,
    IF(arrears_months=2,5.00,
    IF(arrears_months=3,8.00,
    IF(arrears_months=4,10.00,
    IF(arrears_months=5,12.00,15.00)))))))</f>
        <v/>
      </c>
      <c r="M9814">
        <f>LET(
    seasoning_years,DATEDIF('Loan Tape (S&amp;P)'!K9814,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14">
        <f>IF(AND('Loan Tape (S&amp;P)'!U9814="Yes",
        'Loan Tape (S&amp;P)'!T9814&lt;&gt;"Yes",
        DATEDIF('Loan Tape (S&amp;P)'!K9814, TODAY(), "M")&lt;18),
    1.10,
    1.00)</f>
        <v/>
      </c>
      <c r="O9814">
        <f>IF('Loan Tape (S&amp;P)'!T9814="Yes",
    1.35,
    1.00)</f>
        <v/>
      </c>
      <c r="P9814">
        <f>IF('Loan Tape (S&amp;P)'!S9814="Yes",
    1.15,
    1.00)</f>
        <v/>
      </c>
      <c r="Q9814">
        <f>IF('Loan Tape (S&amp;P)'!V9814="Yes",
    1.20,
    1.00)</f>
        <v/>
      </c>
      <c r="T9814">
        <f>LET(
    payment_method,'Loan Tape (S&amp;P)'!P9814,
    occupancy,'Loan Tape (S&amp;P)'!N9814,
    maturity_date,'Loan Tape (S&amp;P)'!L9814,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15">
      <c r="J9815">
        <f>LET(
    lien,'Loan Tape (S&amp;P)'!Q9815,
    IF(lien="First",1.00,
        IF(lien="Second",1.50,
            1.70)))</f>
        <v/>
      </c>
      <c r="K9815">
        <f>LET(
    purpose,'Loan Tape (S&amp;P)'!R9815,
    IF(purpose="Purchase",1.00,
        IF(purpose="Remortgage",1.00,
            1.20)))</f>
        <v/>
      </c>
      <c r="L9815">
        <f>LET(
    arrears_months,'Loan Tape (S&amp;P)'!AN9815,
    IF(arrears_months=0,1.00,
    IF(arrears_months=1,3.00,
    IF(arrears_months=2,5.00,
    IF(arrears_months=3,8.00,
    IF(arrears_months=4,10.00,
    IF(arrears_months=5,12.00,15.00)))))))</f>
        <v/>
      </c>
      <c r="M9815">
        <f>LET(
    seasoning_years,DATEDIF('Loan Tape (S&amp;P)'!K9815,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15">
        <f>IF(AND('Loan Tape (S&amp;P)'!U9815="Yes",
        'Loan Tape (S&amp;P)'!T9815&lt;&gt;"Yes",
        DATEDIF('Loan Tape (S&amp;P)'!K9815, TODAY(), "M")&lt;18),
    1.10,
    1.00)</f>
        <v/>
      </c>
      <c r="O9815">
        <f>IF('Loan Tape (S&amp;P)'!T9815="Yes",
    1.35,
    1.00)</f>
        <v/>
      </c>
      <c r="P9815">
        <f>IF('Loan Tape (S&amp;P)'!S9815="Yes",
    1.15,
    1.00)</f>
        <v/>
      </c>
      <c r="Q9815">
        <f>IF('Loan Tape (S&amp;P)'!V9815="Yes",
    1.20,
    1.00)</f>
        <v/>
      </c>
      <c r="T9815">
        <f>LET(
    payment_method,'Loan Tape (S&amp;P)'!P9815,
    occupancy,'Loan Tape (S&amp;P)'!N9815,
    maturity_date,'Loan Tape (S&amp;P)'!L9815,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16">
      <c r="J9816">
        <f>LET(
    lien,'Loan Tape (S&amp;P)'!Q9816,
    IF(lien="First",1.00,
        IF(lien="Second",1.50,
            1.70)))</f>
        <v/>
      </c>
      <c r="K9816">
        <f>LET(
    purpose,'Loan Tape (S&amp;P)'!R9816,
    IF(purpose="Purchase",1.00,
        IF(purpose="Remortgage",1.00,
            1.20)))</f>
        <v/>
      </c>
      <c r="L9816">
        <f>LET(
    arrears_months,'Loan Tape (S&amp;P)'!AN9816,
    IF(arrears_months=0,1.00,
    IF(arrears_months=1,3.00,
    IF(arrears_months=2,5.00,
    IF(arrears_months=3,8.00,
    IF(arrears_months=4,10.00,
    IF(arrears_months=5,12.00,15.00)))))))</f>
        <v/>
      </c>
      <c r="M9816">
        <f>LET(
    seasoning_years,DATEDIF('Loan Tape (S&amp;P)'!K9816,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16">
        <f>IF(AND('Loan Tape (S&amp;P)'!U9816="Yes",
        'Loan Tape (S&amp;P)'!T9816&lt;&gt;"Yes",
        DATEDIF('Loan Tape (S&amp;P)'!K9816, TODAY(), "M")&lt;18),
    1.10,
    1.00)</f>
        <v/>
      </c>
      <c r="O9816">
        <f>IF('Loan Tape (S&amp;P)'!T9816="Yes",
    1.35,
    1.00)</f>
        <v/>
      </c>
      <c r="P9816">
        <f>IF('Loan Tape (S&amp;P)'!S9816="Yes",
    1.15,
    1.00)</f>
        <v/>
      </c>
      <c r="Q9816">
        <f>IF('Loan Tape (S&amp;P)'!V9816="Yes",
    1.20,
    1.00)</f>
        <v/>
      </c>
      <c r="T9816">
        <f>LET(
    payment_method,'Loan Tape (S&amp;P)'!P9816,
    occupancy,'Loan Tape (S&amp;P)'!N9816,
    maturity_date,'Loan Tape (S&amp;P)'!L9816,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17">
      <c r="J9817">
        <f>LET(
    lien,'Loan Tape (S&amp;P)'!Q9817,
    IF(lien="First",1.00,
        IF(lien="Second",1.50,
            1.70)))</f>
        <v/>
      </c>
      <c r="K9817">
        <f>LET(
    purpose,'Loan Tape (S&amp;P)'!R9817,
    IF(purpose="Purchase",1.00,
        IF(purpose="Remortgage",1.00,
            1.20)))</f>
        <v/>
      </c>
      <c r="L9817">
        <f>LET(
    arrears_months,'Loan Tape (S&amp;P)'!AN9817,
    IF(arrears_months=0,1.00,
    IF(arrears_months=1,3.00,
    IF(arrears_months=2,5.00,
    IF(arrears_months=3,8.00,
    IF(arrears_months=4,10.00,
    IF(arrears_months=5,12.00,15.00)))))))</f>
        <v/>
      </c>
      <c r="M9817">
        <f>LET(
    seasoning_years,DATEDIF('Loan Tape (S&amp;P)'!K9817,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17">
        <f>IF(AND('Loan Tape (S&amp;P)'!U9817="Yes",
        'Loan Tape (S&amp;P)'!T9817&lt;&gt;"Yes",
        DATEDIF('Loan Tape (S&amp;P)'!K9817, TODAY(), "M")&lt;18),
    1.10,
    1.00)</f>
        <v/>
      </c>
      <c r="O9817">
        <f>IF('Loan Tape (S&amp;P)'!T9817="Yes",
    1.35,
    1.00)</f>
        <v/>
      </c>
      <c r="P9817">
        <f>IF('Loan Tape (S&amp;P)'!S9817="Yes",
    1.15,
    1.00)</f>
        <v/>
      </c>
      <c r="Q9817">
        <f>IF('Loan Tape (S&amp;P)'!V9817="Yes",
    1.20,
    1.00)</f>
        <v/>
      </c>
      <c r="T9817">
        <f>LET(
    payment_method,'Loan Tape (S&amp;P)'!P9817,
    occupancy,'Loan Tape (S&amp;P)'!N9817,
    maturity_date,'Loan Tape (S&amp;P)'!L9817,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18">
      <c r="J9818">
        <f>LET(
    lien,'Loan Tape (S&amp;P)'!Q9818,
    IF(lien="First",1.00,
        IF(lien="Second",1.50,
            1.70)))</f>
        <v/>
      </c>
      <c r="K9818">
        <f>LET(
    purpose,'Loan Tape (S&amp;P)'!R9818,
    IF(purpose="Purchase",1.00,
        IF(purpose="Remortgage",1.00,
            1.20)))</f>
        <v/>
      </c>
      <c r="L9818">
        <f>LET(
    arrears_months,'Loan Tape (S&amp;P)'!AN9818,
    IF(arrears_months=0,1.00,
    IF(arrears_months=1,3.00,
    IF(arrears_months=2,5.00,
    IF(arrears_months=3,8.00,
    IF(arrears_months=4,10.00,
    IF(arrears_months=5,12.00,15.00)))))))</f>
        <v/>
      </c>
      <c r="M9818">
        <f>LET(
    seasoning_years,DATEDIF('Loan Tape (S&amp;P)'!K9818,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18">
        <f>IF(AND('Loan Tape (S&amp;P)'!U9818="Yes",
        'Loan Tape (S&amp;P)'!T9818&lt;&gt;"Yes",
        DATEDIF('Loan Tape (S&amp;P)'!K9818, TODAY(), "M")&lt;18),
    1.10,
    1.00)</f>
        <v/>
      </c>
      <c r="O9818">
        <f>IF('Loan Tape (S&amp;P)'!T9818="Yes",
    1.35,
    1.00)</f>
        <v/>
      </c>
      <c r="P9818">
        <f>IF('Loan Tape (S&amp;P)'!S9818="Yes",
    1.15,
    1.00)</f>
        <v/>
      </c>
      <c r="Q9818">
        <f>IF('Loan Tape (S&amp;P)'!V9818="Yes",
    1.20,
    1.00)</f>
        <v/>
      </c>
      <c r="T9818">
        <f>LET(
    payment_method,'Loan Tape (S&amp;P)'!P9818,
    occupancy,'Loan Tape (S&amp;P)'!N9818,
    maturity_date,'Loan Tape (S&amp;P)'!L9818,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19">
      <c r="J9819">
        <f>LET(
    lien,'Loan Tape (S&amp;P)'!Q9819,
    IF(lien="First",1.00,
        IF(lien="Second",1.50,
            1.70)))</f>
        <v/>
      </c>
      <c r="K9819">
        <f>LET(
    purpose,'Loan Tape (S&amp;P)'!R9819,
    IF(purpose="Purchase",1.00,
        IF(purpose="Remortgage",1.00,
            1.20)))</f>
        <v/>
      </c>
      <c r="L9819">
        <f>LET(
    arrears_months,'Loan Tape (S&amp;P)'!AN9819,
    IF(arrears_months=0,1.00,
    IF(arrears_months=1,3.00,
    IF(arrears_months=2,5.00,
    IF(arrears_months=3,8.00,
    IF(arrears_months=4,10.00,
    IF(arrears_months=5,12.00,15.00)))))))</f>
        <v/>
      </c>
      <c r="M9819">
        <f>LET(
    seasoning_years,DATEDIF('Loan Tape (S&amp;P)'!K9819,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19">
        <f>IF(AND('Loan Tape (S&amp;P)'!U9819="Yes",
        'Loan Tape (S&amp;P)'!T9819&lt;&gt;"Yes",
        DATEDIF('Loan Tape (S&amp;P)'!K9819, TODAY(), "M")&lt;18),
    1.10,
    1.00)</f>
        <v/>
      </c>
      <c r="O9819">
        <f>IF('Loan Tape (S&amp;P)'!T9819="Yes",
    1.35,
    1.00)</f>
        <v/>
      </c>
      <c r="P9819">
        <f>IF('Loan Tape (S&amp;P)'!S9819="Yes",
    1.15,
    1.00)</f>
        <v/>
      </c>
      <c r="Q9819">
        <f>IF('Loan Tape (S&amp;P)'!V9819="Yes",
    1.20,
    1.00)</f>
        <v/>
      </c>
      <c r="T9819">
        <f>LET(
    payment_method,'Loan Tape (S&amp;P)'!P9819,
    occupancy,'Loan Tape (S&amp;P)'!N9819,
    maturity_date,'Loan Tape (S&amp;P)'!L9819,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20">
      <c r="J9820">
        <f>LET(
    lien,'Loan Tape (S&amp;P)'!Q9820,
    IF(lien="First",1.00,
        IF(lien="Second",1.50,
            1.70)))</f>
        <v/>
      </c>
      <c r="K9820">
        <f>LET(
    purpose,'Loan Tape (S&amp;P)'!R9820,
    IF(purpose="Purchase",1.00,
        IF(purpose="Remortgage",1.00,
            1.20)))</f>
        <v/>
      </c>
      <c r="L9820">
        <f>LET(
    arrears_months,'Loan Tape (S&amp;P)'!AN9820,
    IF(arrears_months=0,1.00,
    IF(arrears_months=1,3.00,
    IF(arrears_months=2,5.00,
    IF(arrears_months=3,8.00,
    IF(arrears_months=4,10.00,
    IF(arrears_months=5,12.00,15.00)))))))</f>
        <v/>
      </c>
      <c r="M9820">
        <f>LET(
    seasoning_years,DATEDIF('Loan Tape (S&amp;P)'!K9820,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20">
        <f>IF(AND('Loan Tape (S&amp;P)'!U9820="Yes",
        'Loan Tape (S&amp;P)'!T9820&lt;&gt;"Yes",
        DATEDIF('Loan Tape (S&amp;P)'!K9820, TODAY(), "M")&lt;18),
    1.10,
    1.00)</f>
        <v/>
      </c>
      <c r="O9820">
        <f>IF('Loan Tape (S&amp;P)'!T9820="Yes",
    1.35,
    1.00)</f>
        <v/>
      </c>
      <c r="P9820">
        <f>IF('Loan Tape (S&amp;P)'!S9820="Yes",
    1.15,
    1.00)</f>
        <v/>
      </c>
      <c r="Q9820">
        <f>IF('Loan Tape (S&amp;P)'!V9820="Yes",
    1.20,
    1.00)</f>
        <v/>
      </c>
      <c r="T9820">
        <f>LET(
    payment_method,'Loan Tape (S&amp;P)'!P9820,
    occupancy,'Loan Tape (S&amp;P)'!N9820,
    maturity_date,'Loan Tape (S&amp;P)'!L9820,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21">
      <c r="J9821">
        <f>LET(
    lien,'Loan Tape (S&amp;P)'!Q9821,
    IF(lien="First",1.00,
        IF(lien="Second",1.50,
            1.70)))</f>
        <v/>
      </c>
      <c r="K9821">
        <f>LET(
    purpose,'Loan Tape (S&amp;P)'!R9821,
    IF(purpose="Purchase",1.00,
        IF(purpose="Remortgage",1.00,
            1.20)))</f>
        <v/>
      </c>
      <c r="L9821">
        <f>LET(
    arrears_months,'Loan Tape (S&amp;P)'!AN9821,
    IF(arrears_months=0,1.00,
    IF(arrears_months=1,3.00,
    IF(arrears_months=2,5.00,
    IF(arrears_months=3,8.00,
    IF(arrears_months=4,10.00,
    IF(arrears_months=5,12.00,15.00)))))))</f>
        <v/>
      </c>
      <c r="M9821">
        <f>LET(
    seasoning_years,DATEDIF('Loan Tape (S&amp;P)'!K9821,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21">
        <f>IF(AND('Loan Tape (S&amp;P)'!U9821="Yes",
        'Loan Tape (S&amp;P)'!T9821&lt;&gt;"Yes",
        DATEDIF('Loan Tape (S&amp;P)'!K9821, TODAY(), "M")&lt;18),
    1.10,
    1.00)</f>
        <v/>
      </c>
      <c r="O9821">
        <f>IF('Loan Tape (S&amp;P)'!T9821="Yes",
    1.35,
    1.00)</f>
        <v/>
      </c>
      <c r="P9821">
        <f>IF('Loan Tape (S&amp;P)'!S9821="Yes",
    1.15,
    1.00)</f>
        <v/>
      </c>
      <c r="Q9821">
        <f>IF('Loan Tape (S&amp;P)'!V9821="Yes",
    1.20,
    1.00)</f>
        <v/>
      </c>
      <c r="T9821">
        <f>LET(
    payment_method,'Loan Tape (S&amp;P)'!P9821,
    occupancy,'Loan Tape (S&amp;P)'!N9821,
    maturity_date,'Loan Tape (S&amp;P)'!L9821,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22">
      <c r="J9822">
        <f>LET(
    lien,'Loan Tape (S&amp;P)'!Q9822,
    IF(lien="First",1.00,
        IF(lien="Second",1.50,
            1.70)))</f>
        <v/>
      </c>
      <c r="K9822">
        <f>LET(
    purpose,'Loan Tape (S&amp;P)'!R9822,
    IF(purpose="Purchase",1.00,
        IF(purpose="Remortgage",1.00,
            1.20)))</f>
        <v/>
      </c>
      <c r="L9822">
        <f>LET(
    arrears_months,'Loan Tape (S&amp;P)'!AN9822,
    IF(arrears_months=0,1.00,
    IF(arrears_months=1,3.00,
    IF(arrears_months=2,5.00,
    IF(arrears_months=3,8.00,
    IF(arrears_months=4,10.00,
    IF(arrears_months=5,12.00,15.00)))))))</f>
        <v/>
      </c>
      <c r="M9822">
        <f>LET(
    seasoning_years,DATEDIF('Loan Tape (S&amp;P)'!K9822,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22">
        <f>IF(AND('Loan Tape (S&amp;P)'!U9822="Yes",
        'Loan Tape (S&amp;P)'!T9822&lt;&gt;"Yes",
        DATEDIF('Loan Tape (S&amp;P)'!K9822, TODAY(), "M")&lt;18),
    1.10,
    1.00)</f>
        <v/>
      </c>
      <c r="O9822">
        <f>IF('Loan Tape (S&amp;P)'!T9822="Yes",
    1.35,
    1.00)</f>
        <v/>
      </c>
      <c r="P9822">
        <f>IF('Loan Tape (S&amp;P)'!S9822="Yes",
    1.15,
    1.00)</f>
        <v/>
      </c>
      <c r="Q9822">
        <f>IF('Loan Tape (S&amp;P)'!V9822="Yes",
    1.20,
    1.00)</f>
        <v/>
      </c>
      <c r="T9822">
        <f>LET(
    payment_method,'Loan Tape (S&amp;P)'!P9822,
    occupancy,'Loan Tape (S&amp;P)'!N9822,
    maturity_date,'Loan Tape (S&amp;P)'!L9822,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23">
      <c r="J9823">
        <f>LET(
    lien,'Loan Tape (S&amp;P)'!Q9823,
    IF(lien="First",1.00,
        IF(lien="Second",1.50,
            1.70)))</f>
        <v/>
      </c>
      <c r="K9823">
        <f>LET(
    purpose,'Loan Tape (S&amp;P)'!R9823,
    IF(purpose="Purchase",1.00,
        IF(purpose="Remortgage",1.00,
            1.20)))</f>
        <v/>
      </c>
      <c r="L9823">
        <f>LET(
    arrears_months,'Loan Tape (S&amp;P)'!AN9823,
    IF(arrears_months=0,1.00,
    IF(arrears_months=1,3.00,
    IF(arrears_months=2,5.00,
    IF(arrears_months=3,8.00,
    IF(arrears_months=4,10.00,
    IF(arrears_months=5,12.00,15.00)))))))</f>
        <v/>
      </c>
      <c r="M9823">
        <f>LET(
    seasoning_years,DATEDIF('Loan Tape (S&amp;P)'!K9823,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23">
        <f>IF(AND('Loan Tape (S&amp;P)'!U9823="Yes",
        'Loan Tape (S&amp;P)'!T9823&lt;&gt;"Yes",
        DATEDIF('Loan Tape (S&amp;P)'!K9823, TODAY(), "M")&lt;18),
    1.10,
    1.00)</f>
        <v/>
      </c>
      <c r="O9823">
        <f>IF('Loan Tape (S&amp;P)'!T9823="Yes",
    1.35,
    1.00)</f>
        <v/>
      </c>
      <c r="P9823">
        <f>IF('Loan Tape (S&amp;P)'!S9823="Yes",
    1.15,
    1.00)</f>
        <v/>
      </c>
      <c r="Q9823">
        <f>IF('Loan Tape (S&amp;P)'!V9823="Yes",
    1.20,
    1.00)</f>
        <v/>
      </c>
      <c r="T9823">
        <f>LET(
    payment_method,'Loan Tape (S&amp;P)'!P9823,
    occupancy,'Loan Tape (S&amp;P)'!N9823,
    maturity_date,'Loan Tape (S&amp;P)'!L9823,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24">
      <c r="J9824">
        <f>LET(
    lien,'Loan Tape (S&amp;P)'!Q9824,
    IF(lien="First",1.00,
        IF(lien="Second",1.50,
            1.70)))</f>
        <v/>
      </c>
      <c r="K9824">
        <f>LET(
    purpose,'Loan Tape (S&amp;P)'!R9824,
    IF(purpose="Purchase",1.00,
        IF(purpose="Remortgage",1.00,
            1.20)))</f>
        <v/>
      </c>
      <c r="L9824">
        <f>LET(
    arrears_months,'Loan Tape (S&amp;P)'!AN9824,
    IF(arrears_months=0,1.00,
    IF(arrears_months=1,3.00,
    IF(arrears_months=2,5.00,
    IF(arrears_months=3,8.00,
    IF(arrears_months=4,10.00,
    IF(arrears_months=5,12.00,15.00)))))))</f>
        <v/>
      </c>
      <c r="M9824">
        <f>LET(
    seasoning_years,DATEDIF('Loan Tape (S&amp;P)'!K9824,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24">
        <f>IF(AND('Loan Tape (S&amp;P)'!U9824="Yes",
        'Loan Tape (S&amp;P)'!T9824&lt;&gt;"Yes",
        DATEDIF('Loan Tape (S&amp;P)'!K9824, TODAY(), "M")&lt;18),
    1.10,
    1.00)</f>
        <v/>
      </c>
      <c r="O9824">
        <f>IF('Loan Tape (S&amp;P)'!T9824="Yes",
    1.35,
    1.00)</f>
        <v/>
      </c>
      <c r="P9824">
        <f>IF('Loan Tape (S&amp;P)'!S9824="Yes",
    1.15,
    1.00)</f>
        <v/>
      </c>
      <c r="Q9824">
        <f>IF('Loan Tape (S&amp;P)'!V9824="Yes",
    1.20,
    1.00)</f>
        <v/>
      </c>
      <c r="T9824">
        <f>LET(
    payment_method,'Loan Tape (S&amp;P)'!P9824,
    occupancy,'Loan Tape (S&amp;P)'!N9824,
    maturity_date,'Loan Tape (S&amp;P)'!L9824,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25">
      <c r="J9825">
        <f>LET(
    lien,'Loan Tape (S&amp;P)'!Q9825,
    IF(lien="First",1.00,
        IF(lien="Second",1.50,
            1.70)))</f>
        <v/>
      </c>
      <c r="K9825">
        <f>LET(
    purpose,'Loan Tape (S&amp;P)'!R9825,
    IF(purpose="Purchase",1.00,
        IF(purpose="Remortgage",1.00,
            1.20)))</f>
        <v/>
      </c>
      <c r="L9825">
        <f>LET(
    arrears_months,'Loan Tape (S&amp;P)'!AN9825,
    IF(arrears_months=0,1.00,
    IF(arrears_months=1,3.00,
    IF(arrears_months=2,5.00,
    IF(arrears_months=3,8.00,
    IF(arrears_months=4,10.00,
    IF(arrears_months=5,12.00,15.00)))))))</f>
        <v/>
      </c>
      <c r="M9825">
        <f>LET(
    seasoning_years,DATEDIF('Loan Tape (S&amp;P)'!K9825,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25">
        <f>IF(AND('Loan Tape (S&amp;P)'!U9825="Yes",
        'Loan Tape (S&amp;P)'!T9825&lt;&gt;"Yes",
        DATEDIF('Loan Tape (S&amp;P)'!K9825, TODAY(), "M")&lt;18),
    1.10,
    1.00)</f>
        <v/>
      </c>
      <c r="O9825">
        <f>IF('Loan Tape (S&amp;P)'!T9825="Yes",
    1.35,
    1.00)</f>
        <v/>
      </c>
      <c r="P9825">
        <f>IF('Loan Tape (S&amp;P)'!S9825="Yes",
    1.15,
    1.00)</f>
        <v/>
      </c>
      <c r="Q9825">
        <f>IF('Loan Tape (S&amp;P)'!V9825="Yes",
    1.20,
    1.00)</f>
        <v/>
      </c>
      <c r="T9825">
        <f>LET(
    payment_method,'Loan Tape (S&amp;P)'!P9825,
    occupancy,'Loan Tape (S&amp;P)'!N9825,
    maturity_date,'Loan Tape (S&amp;P)'!L9825,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26">
      <c r="J9826">
        <f>LET(
    lien,'Loan Tape (S&amp;P)'!Q9826,
    IF(lien="First",1.00,
        IF(lien="Second",1.50,
            1.70)))</f>
        <v/>
      </c>
      <c r="K9826">
        <f>LET(
    purpose,'Loan Tape (S&amp;P)'!R9826,
    IF(purpose="Purchase",1.00,
        IF(purpose="Remortgage",1.00,
            1.20)))</f>
        <v/>
      </c>
      <c r="L9826">
        <f>LET(
    arrears_months,'Loan Tape (S&amp;P)'!AN9826,
    IF(arrears_months=0,1.00,
    IF(arrears_months=1,3.00,
    IF(arrears_months=2,5.00,
    IF(arrears_months=3,8.00,
    IF(arrears_months=4,10.00,
    IF(arrears_months=5,12.00,15.00)))))))</f>
        <v/>
      </c>
      <c r="M9826">
        <f>LET(
    seasoning_years,DATEDIF('Loan Tape (S&amp;P)'!K9826,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26">
        <f>IF(AND('Loan Tape (S&amp;P)'!U9826="Yes",
        'Loan Tape (S&amp;P)'!T9826&lt;&gt;"Yes",
        DATEDIF('Loan Tape (S&amp;P)'!K9826, TODAY(), "M")&lt;18),
    1.10,
    1.00)</f>
        <v/>
      </c>
      <c r="O9826">
        <f>IF('Loan Tape (S&amp;P)'!T9826="Yes",
    1.35,
    1.00)</f>
        <v/>
      </c>
      <c r="P9826">
        <f>IF('Loan Tape (S&amp;P)'!S9826="Yes",
    1.15,
    1.00)</f>
        <v/>
      </c>
      <c r="Q9826">
        <f>IF('Loan Tape (S&amp;P)'!V9826="Yes",
    1.20,
    1.00)</f>
        <v/>
      </c>
      <c r="T9826">
        <f>LET(
    payment_method,'Loan Tape (S&amp;P)'!P9826,
    occupancy,'Loan Tape (S&amp;P)'!N9826,
    maturity_date,'Loan Tape (S&amp;P)'!L9826,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27">
      <c r="J9827">
        <f>LET(
    lien,'Loan Tape (S&amp;P)'!Q9827,
    IF(lien="First",1.00,
        IF(lien="Second",1.50,
            1.70)))</f>
        <v/>
      </c>
      <c r="K9827">
        <f>LET(
    purpose,'Loan Tape (S&amp;P)'!R9827,
    IF(purpose="Purchase",1.00,
        IF(purpose="Remortgage",1.00,
            1.20)))</f>
        <v/>
      </c>
      <c r="L9827">
        <f>LET(
    arrears_months,'Loan Tape (S&amp;P)'!AN9827,
    IF(arrears_months=0,1.00,
    IF(arrears_months=1,3.00,
    IF(arrears_months=2,5.00,
    IF(arrears_months=3,8.00,
    IF(arrears_months=4,10.00,
    IF(arrears_months=5,12.00,15.00)))))))</f>
        <v/>
      </c>
      <c r="M9827">
        <f>LET(
    seasoning_years,DATEDIF('Loan Tape (S&amp;P)'!K9827,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27">
        <f>IF(AND('Loan Tape (S&amp;P)'!U9827="Yes",
        'Loan Tape (S&amp;P)'!T9827&lt;&gt;"Yes",
        DATEDIF('Loan Tape (S&amp;P)'!K9827, TODAY(), "M")&lt;18),
    1.10,
    1.00)</f>
        <v/>
      </c>
      <c r="O9827">
        <f>IF('Loan Tape (S&amp;P)'!T9827="Yes",
    1.35,
    1.00)</f>
        <v/>
      </c>
      <c r="P9827">
        <f>IF('Loan Tape (S&amp;P)'!S9827="Yes",
    1.15,
    1.00)</f>
        <v/>
      </c>
      <c r="Q9827">
        <f>IF('Loan Tape (S&amp;P)'!V9827="Yes",
    1.20,
    1.00)</f>
        <v/>
      </c>
      <c r="T9827">
        <f>LET(
    payment_method,'Loan Tape (S&amp;P)'!P9827,
    occupancy,'Loan Tape (S&amp;P)'!N9827,
    maturity_date,'Loan Tape (S&amp;P)'!L9827,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28">
      <c r="J9828">
        <f>LET(
    lien,'Loan Tape (S&amp;P)'!Q9828,
    IF(lien="First",1.00,
        IF(lien="Second",1.50,
            1.70)))</f>
        <v/>
      </c>
      <c r="K9828">
        <f>LET(
    purpose,'Loan Tape (S&amp;P)'!R9828,
    IF(purpose="Purchase",1.00,
        IF(purpose="Remortgage",1.00,
            1.20)))</f>
        <v/>
      </c>
      <c r="L9828">
        <f>LET(
    arrears_months,'Loan Tape (S&amp;P)'!AN9828,
    IF(arrears_months=0,1.00,
    IF(arrears_months=1,3.00,
    IF(arrears_months=2,5.00,
    IF(arrears_months=3,8.00,
    IF(arrears_months=4,10.00,
    IF(arrears_months=5,12.00,15.00)))))))</f>
        <v/>
      </c>
      <c r="M9828">
        <f>LET(
    seasoning_years,DATEDIF('Loan Tape (S&amp;P)'!K9828,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28">
        <f>IF(AND('Loan Tape (S&amp;P)'!U9828="Yes",
        'Loan Tape (S&amp;P)'!T9828&lt;&gt;"Yes",
        DATEDIF('Loan Tape (S&amp;P)'!K9828, TODAY(), "M")&lt;18),
    1.10,
    1.00)</f>
        <v/>
      </c>
      <c r="O9828">
        <f>IF('Loan Tape (S&amp;P)'!T9828="Yes",
    1.35,
    1.00)</f>
        <v/>
      </c>
      <c r="P9828">
        <f>IF('Loan Tape (S&amp;P)'!S9828="Yes",
    1.15,
    1.00)</f>
        <v/>
      </c>
      <c r="Q9828">
        <f>IF('Loan Tape (S&amp;P)'!V9828="Yes",
    1.20,
    1.00)</f>
        <v/>
      </c>
      <c r="T9828">
        <f>LET(
    payment_method,'Loan Tape (S&amp;P)'!P9828,
    occupancy,'Loan Tape (S&amp;P)'!N9828,
    maturity_date,'Loan Tape (S&amp;P)'!L9828,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29">
      <c r="J9829">
        <f>LET(
    lien,'Loan Tape (S&amp;P)'!Q9829,
    IF(lien="First",1.00,
        IF(lien="Second",1.50,
            1.70)))</f>
        <v/>
      </c>
      <c r="K9829">
        <f>LET(
    purpose,'Loan Tape (S&amp;P)'!R9829,
    IF(purpose="Purchase",1.00,
        IF(purpose="Remortgage",1.00,
            1.20)))</f>
        <v/>
      </c>
      <c r="L9829">
        <f>LET(
    arrears_months,'Loan Tape (S&amp;P)'!AN9829,
    IF(arrears_months=0,1.00,
    IF(arrears_months=1,3.00,
    IF(arrears_months=2,5.00,
    IF(arrears_months=3,8.00,
    IF(arrears_months=4,10.00,
    IF(arrears_months=5,12.00,15.00)))))))</f>
        <v/>
      </c>
      <c r="M9829">
        <f>LET(
    seasoning_years,DATEDIF('Loan Tape (S&amp;P)'!K9829,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29">
        <f>IF(AND('Loan Tape (S&amp;P)'!U9829="Yes",
        'Loan Tape (S&amp;P)'!T9829&lt;&gt;"Yes",
        DATEDIF('Loan Tape (S&amp;P)'!K9829, TODAY(), "M")&lt;18),
    1.10,
    1.00)</f>
        <v/>
      </c>
      <c r="O9829">
        <f>IF('Loan Tape (S&amp;P)'!T9829="Yes",
    1.35,
    1.00)</f>
        <v/>
      </c>
      <c r="P9829">
        <f>IF('Loan Tape (S&amp;P)'!S9829="Yes",
    1.15,
    1.00)</f>
        <v/>
      </c>
      <c r="Q9829">
        <f>IF('Loan Tape (S&amp;P)'!V9829="Yes",
    1.20,
    1.00)</f>
        <v/>
      </c>
      <c r="T9829">
        <f>LET(
    payment_method,'Loan Tape (S&amp;P)'!P9829,
    occupancy,'Loan Tape (S&amp;P)'!N9829,
    maturity_date,'Loan Tape (S&amp;P)'!L9829,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30">
      <c r="J9830">
        <f>LET(
    lien,'Loan Tape (S&amp;P)'!Q9830,
    IF(lien="First",1.00,
        IF(lien="Second",1.50,
            1.70)))</f>
        <v/>
      </c>
      <c r="K9830">
        <f>LET(
    purpose,'Loan Tape (S&amp;P)'!R9830,
    IF(purpose="Purchase",1.00,
        IF(purpose="Remortgage",1.00,
            1.20)))</f>
        <v/>
      </c>
      <c r="L9830">
        <f>LET(
    arrears_months,'Loan Tape (S&amp;P)'!AN9830,
    IF(arrears_months=0,1.00,
    IF(arrears_months=1,3.00,
    IF(arrears_months=2,5.00,
    IF(arrears_months=3,8.00,
    IF(arrears_months=4,10.00,
    IF(arrears_months=5,12.00,15.00)))))))</f>
        <v/>
      </c>
      <c r="M9830">
        <f>LET(
    seasoning_years,DATEDIF('Loan Tape (S&amp;P)'!K9830,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30">
        <f>IF(AND('Loan Tape (S&amp;P)'!U9830="Yes",
        'Loan Tape (S&amp;P)'!T9830&lt;&gt;"Yes",
        DATEDIF('Loan Tape (S&amp;P)'!K9830, TODAY(), "M")&lt;18),
    1.10,
    1.00)</f>
        <v/>
      </c>
      <c r="O9830">
        <f>IF('Loan Tape (S&amp;P)'!T9830="Yes",
    1.35,
    1.00)</f>
        <v/>
      </c>
      <c r="P9830">
        <f>IF('Loan Tape (S&amp;P)'!S9830="Yes",
    1.15,
    1.00)</f>
        <v/>
      </c>
      <c r="Q9830">
        <f>IF('Loan Tape (S&amp;P)'!V9830="Yes",
    1.20,
    1.00)</f>
        <v/>
      </c>
      <c r="T9830">
        <f>LET(
    payment_method,'Loan Tape (S&amp;P)'!P9830,
    occupancy,'Loan Tape (S&amp;P)'!N9830,
    maturity_date,'Loan Tape (S&amp;P)'!L9830,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31">
      <c r="J9831">
        <f>LET(
    lien,'Loan Tape (S&amp;P)'!Q9831,
    IF(lien="First",1.00,
        IF(lien="Second",1.50,
            1.70)))</f>
        <v/>
      </c>
      <c r="K9831">
        <f>LET(
    purpose,'Loan Tape (S&amp;P)'!R9831,
    IF(purpose="Purchase",1.00,
        IF(purpose="Remortgage",1.00,
            1.20)))</f>
        <v/>
      </c>
      <c r="L9831">
        <f>LET(
    arrears_months,'Loan Tape (S&amp;P)'!AN9831,
    IF(arrears_months=0,1.00,
    IF(arrears_months=1,3.00,
    IF(arrears_months=2,5.00,
    IF(arrears_months=3,8.00,
    IF(arrears_months=4,10.00,
    IF(arrears_months=5,12.00,15.00)))))))</f>
        <v/>
      </c>
      <c r="M9831">
        <f>LET(
    seasoning_years,DATEDIF('Loan Tape (S&amp;P)'!K9831,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31">
        <f>IF(AND('Loan Tape (S&amp;P)'!U9831="Yes",
        'Loan Tape (S&amp;P)'!T9831&lt;&gt;"Yes",
        DATEDIF('Loan Tape (S&amp;P)'!K9831, TODAY(), "M")&lt;18),
    1.10,
    1.00)</f>
        <v/>
      </c>
      <c r="O9831">
        <f>IF('Loan Tape (S&amp;P)'!T9831="Yes",
    1.35,
    1.00)</f>
        <v/>
      </c>
      <c r="P9831">
        <f>IF('Loan Tape (S&amp;P)'!S9831="Yes",
    1.15,
    1.00)</f>
        <v/>
      </c>
      <c r="Q9831">
        <f>IF('Loan Tape (S&amp;P)'!V9831="Yes",
    1.20,
    1.00)</f>
        <v/>
      </c>
      <c r="T9831">
        <f>LET(
    payment_method,'Loan Tape (S&amp;P)'!P9831,
    occupancy,'Loan Tape (S&amp;P)'!N9831,
    maturity_date,'Loan Tape (S&amp;P)'!L9831,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32">
      <c r="J9832">
        <f>LET(
    lien,'Loan Tape (S&amp;P)'!Q9832,
    IF(lien="First",1.00,
        IF(lien="Second",1.50,
            1.70)))</f>
        <v/>
      </c>
      <c r="K9832">
        <f>LET(
    purpose,'Loan Tape (S&amp;P)'!R9832,
    IF(purpose="Purchase",1.00,
        IF(purpose="Remortgage",1.00,
            1.20)))</f>
        <v/>
      </c>
      <c r="L9832">
        <f>LET(
    arrears_months,'Loan Tape (S&amp;P)'!AN9832,
    IF(arrears_months=0,1.00,
    IF(arrears_months=1,3.00,
    IF(arrears_months=2,5.00,
    IF(arrears_months=3,8.00,
    IF(arrears_months=4,10.00,
    IF(arrears_months=5,12.00,15.00)))))))</f>
        <v/>
      </c>
      <c r="M9832">
        <f>LET(
    seasoning_years,DATEDIF('Loan Tape (S&amp;P)'!K9832,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32">
        <f>IF(AND('Loan Tape (S&amp;P)'!U9832="Yes",
        'Loan Tape (S&amp;P)'!T9832&lt;&gt;"Yes",
        DATEDIF('Loan Tape (S&amp;P)'!K9832, TODAY(), "M")&lt;18),
    1.10,
    1.00)</f>
        <v/>
      </c>
      <c r="O9832">
        <f>IF('Loan Tape (S&amp;P)'!T9832="Yes",
    1.35,
    1.00)</f>
        <v/>
      </c>
      <c r="P9832">
        <f>IF('Loan Tape (S&amp;P)'!S9832="Yes",
    1.15,
    1.00)</f>
        <v/>
      </c>
      <c r="Q9832">
        <f>IF('Loan Tape (S&amp;P)'!V9832="Yes",
    1.20,
    1.00)</f>
        <v/>
      </c>
      <c r="T9832">
        <f>LET(
    payment_method,'Loan Tape (S&amp;P)'!P9832,
    occupancy,'Loan Tape (S&amp;P)'!N9832,
    maturity_date,'Loan Tape (S&amp;P)'!L9832,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33">
      <c r="J9833">
        <f>LET(
    lien,'Loan Tape (S&amp;P)'!Q9833,
    IF(lien="First",1.00,
        IF(lien="Second",1.50,
            1.70)))</f>
        <v/>
      </c>
      <c r="K9833">
        <f>LET(
    purpose,'Loan Tape (S&amp;P)'!R9833,
    IF(purpose="Purchase",1.00,
        IF(purpose="Remortgage",1.00,
            1.20)))</f>
        <v/>
      </c>
      <c r="L9833">
        <f>LET(
    arrears_months,'Loan Tape (S&amp;P)'!AN9833,
    IF(arrears_months=0,1.00,
    IF(arrears_months=1,3.00,
    IF(arrears_months=2,5.00,
    IF(arrears_months=3,8.00,
    IF(arrears_months=4,10.00,
    IF(arrears_months=5,12.00,15.00)))))))</f>
        <v/>
      </c>
      <c r="M9833">
        <f>LET(
    seasoning_years,DATEDIF('Loan Tape (S&amp;P)'!K9833,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33">
        <f>IF(AND('Loan Tape (S&amp;P)'!U9833="Yes",
        'Loan Tape (S&amp;P)'!T9833&lt;&gt;"Yes",
        DATEDIF('Loan Tape (S&amp;P)'!K9833, TODAY(), "M")&lt;18),
    1.10,
    1.00)</f>
        <v/>
      </c>
      <c r="O9833">
        <f>IF('Loan Tape (S&amp;P)'!T9833="Yes",
    1.35,
    1.00)</f>
        <v/>
      </c>
      <c r="P9833">
        <f>IF('Loan Tape (S&amp;P)'!S9833="Yes",
    1.15,
    1.00)</f>
        <v/>
      </c>
      <c r="Q9833">
        <f>IF('Loan Tape (S&amp;P)'!V9833="Yes",
    1.20,
    1.00)</f>
        <v/>
      </c>
      <c r="T9833">
        <f>LET(
    payment_method,'Loan Tape (S&amp;P)'!P9833,
    occupancy,'Loan Tape (S&amp;P)'!N9833,
    maturity_date,'Loan Tape (S&amp;P)'!L9833,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34">
      <c r="J9834">
        <f>LET(
    lien,'Loan Tape (S&amp;P)'!Q9834,
    IF(lien="First",1.00,
        IF(lien="Second",1.50,
            1.70)))</f>
        <v/>
      </c>
      <c r="K9834">
        <f>LET(
    purpose,'Loan Tape (S&amp;P)'!R9834,
    IF(purpose="Purchase",1.00,
        IF(purpose="Remortgage",1.00,
            1.20)))</f>
        <v/>
      </c>
      <c r="L9834">
        <f>LET(
    arrears_months,'Loan Tape (S&amp;P)'!AN9834,
    IF(arrears_months=0,1.00,
    IF(arrears_months=1,3.00,
    IF(arrears_months=2,5.00,
    IF(arrears_months=3,8.00,
    IF(arrears_months=4,10.00,
    IF(arrears_months=5,12.00,15.00)))))))</f>
        <v/>
      </c>
      <c r="M9834">
        <f>LET(
    seasoning_years,DATEDIF('Loan Tape (S&amp;P)'!K9834,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34">
        <f>IF(AND('Loan Tape (S&amp;P)'!U9834="Yes",
        'Loan Tape (S&amp;P)'!T9834&lt;&gt;"Yes",
        DATEDIF('Loan Tape (S&amp;P)'!K9834, TODAY(), "M")&lt;18),
    1.10,
    1.00)</f>
        <v/>
      </c>
      <c r="O9834">
        <f>IF('Loan Tape (S&amp;P)'!T9834="Yes",
    1.35,
    1.00)</f>
        <v/>
      </c>
      <c r="P9834">
        <f>IF('Loan Tape (S&amp;P)'!S9834="Yes",
    1.15,
    1.00)</f>
        <v/>
      </c>
      <c r="Q9834">
        <f>IF('Loan Tape (S&amp;P)'!V9834="Yes",
    1.20,
    1.00)</f>
        <v/>
      </c>
      <c r="T9834">
        <f>LET(
    payment_method,'Loan Tape (S&amp;P)'!P9834,
    occupancy,'Loan Tape (S&amp;P)'!N9834,
    maturity_date,'Loan Tape (S&amp;P)'!L9834,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35">
      <c r="J9835">
        <f>LET(
    lien,'Loan Tape (S&amp;P)'!Q9835,
    IF(lien="First",1.00,
        IF(lien="Second",1.50,
            1.70)))</f>
        <v/>
      </c>
      <c r="K9835">
        <f>LET(
    purpose,'Loan Tape (S&amp;P)'!R9835,
    IF(purpose="Purchase",1.00,
        IF(purpose="Remortgage",1.00,
            1.20)))</f>
        <v/>
      </c>
      <c r="L9835">
        <f>LET(
    arrears_months,'Loan Tape (S&amp;P)'!AN9835,
    IF(arrears_months=0,1.00,
    IF(arrears_months=1,3.00,
    IF(arrears_months=2,5.00,
    IF(arrears_months=3,8.00,
    IF(arrears_months=4,10.00,
    IF(arrears_months=5,12.00,15.00)))))))</f>
        <v/>
      </c>
      <c r="M9835">
        <f>LET(
    seasoning_years,DATEDIF('Loan Tape (S&amp;P)'!K9835,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35">
        <f>IF(AND('Loan Tape (S&amp;P)'!U9835="Yes",
        'Loan Tape (S&amp;P)'!T9835&lt;&gt;"Yes",
        DATEDIF('Loan Tape (S&amp;P)'!K9835, TODAY(), "M")&lt;18),
    1.10,
    1.00)</f>
        <v/>
      </c>
      <c r="O9835">
        <f>IF('Loan Tape (S&amp;P)'!T9835="Yes",
    1.35,
    1.00)</f>
        <v/>
      </c>
      <c r="P9835">
        <f>IF('Loan Tape (S&amp;P)'!S9835="Yes",
    1.15,
    1.00)</f>
        <v/>
      </c>
      <c r="Q9835">
        <f>IF('Loan Tape (S&amp;P)'!V9835="Yes",
    1.20,
    1.00)</f>
        <v/>
      </c>
      <c r="T9835">
        <f>LET(
    payment_method,'Loan Tape (S&amp;P)'!P9835,
    occupancy,'Loan Tape (S&amp;P)'!N9835,
    maturity_date,'Loan Tape (S&amp;P)'!L9835,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36">
      <c r="J9836">
        <f>LET(
    lien,'Loan Tape (S&amp;P)'!Q9836,
    IF(lien="First",1.00,
        IF(lien="Second",1.50,
            1.70)))</f>
        <v/>
      </c>
      <c r="K9836">
        <f>LET(
    purpose,'Loan Tape (S&amp;P)'!R9836,
    IF(purpose="Purchase",1.00,
        IF(purpose="Remortgage",1.00,
            1.20)))</f>
        <v/>
      </c>
      <c r="L9836">
        <f>LET(
    arrears_months,'Loan Tape (S&amp;P)'!AN9836,
    IF(arrears_months=0,1.00,
    IF(arrears_months=1,3.00,
    IF(arrears_months=2,5.00,
    IF(arrears_months=3,8.00,
    IF(arrears_months=4,10.00,
    IF(arrears_months=5,12.00,15.00)))))))</f>
        <v/>
      </c>
      <c r="M9836">
        <f>LET(
    seasoning_years,DATEDIF('Loan Tape (S&amp;P)'!K9836,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36">
        <f>IF(AND('Loan Tape (S&amp;P)'!U9836="Yes",
        'Loan Tape (S&amp;P)'!T9836&lt;&gt;"Yes",
        DATEDIF('Loan Tape (S&amp;P)'!K9836, TODAY(), "M")&lt;18),
    1.10,
    1.00)</f>
        <v/>
      </c>
      <c r="O9836">
        <f>IF('Loan Tape (S&amp;P)'!T9836="Yes",
    1.35,
    1.00)</f>
        <v/>
      </c>
      <c r="P9836">
        <f>IF('Loan Tape (S&amp;P)'!S9836="Yes",
    1.15,
    1.00)</f>
        <v/>
      </c>
      <c r="Q9836">
        <f>IF('Loan Tape (S&amp;P)'!V9836="Yes",
    1.20,
    1.00)</f>
        <v/>
      </c>
      <c r="T9836">
        <f>LET(
    payment_method,'Loan Tape (S&amp;P)'!P9836,
    occupancy,'Loan Tape (S&amp;P)'!N9836,
    maturity_date,'Loan Tape (S&amp;P)'!L9836,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37">
      <c r="J9837">
        <f>LET(
    lien,'Loan Tape (S&amp;P)'!Q9837,
    IF(lien="First",1.00,
        IF(lien="Second",1.50,
            1.70)))</f>
        <v/>
      </c>
      <c r="K9837">
        <f>LET(
    purpose,'Loan Tape (S&amp;P)'!R9837,
    IF(purpose="Purchase",1.00,
        IF(purpose="Remortgage",1.00,
            1.20)))</f>
        <v/>
      </c>
      <c r="L9837">
        <f>LET(
    arrears_months,'Loan Tape (S&amp;P)'!AN9837,
    IF(arrears_months=0,1.00,
    IF(arrears_months=1,3.00,
    IF(arrears_months=2,5.00,
    IF(arrears_months=3,8.00,
    IF(arrears_months=4,10.00,
    IF(arrears_months=5,12.00,15.00)))))))</f>
        <v/>
      </c>
      <c r="M9837">
        <f>LET(
    seasoning_years,DATEDIF('Loan Tape (S&amp;P)'!K9837,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37">
        <f>IF(AND('Loan Tape (S&amp;P)'!U9837="Yes",
        'Loan Tape (S&amp;P)'!T9837&lt;&gt;"Yes",
        DATEDIF('Loan Tape (S&amp;P)'!K9837, TODAY(), "M")&lt;18),
    1.10,
    1.00)</f>
        <v/>
      </c>
      <c r="O9837">
        <f>IF('Loan Tape (S&amp;P)'!T9837="Yes",
    1.35,
    1.00)</f>
        <v/>
      </c>
      <c r="P9837">
        <f>IF('Loan Tape (S&amp;P)'!S9837="Yes",
    1.15,
    1.00)</f>
        <v/>
      </c>
      <c r="Q9837">
        <f>IF('Loan Tape (S&amp;P)'!V9837="Yes",
    1.20,
    1.00)</f>
        <v/>
      </c>
      <c r="T9837">
        <f>LET(
    payment_method,'Loan Tape (S&amp;P)'!P9837,
    occupancy,'Loan Tape (S&amp;P)'!N9837,
    maturity_date,'Loan Tape (S&amp;P)'!L9837,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38">
      <c r="J9838">
        <f>LET(
    lien,'Loan Tape (S&amp;P)'!Q9838,
    IF(lien="First",1.00,
        IF(lien="Second",1.50,
            1.70)))</f>
        <v/>
      </c>
      <c r="K9838">
        <f>LET(
    purpose,'Loan Tape (S&amp;P)'!R9838,
    IF(purpose="Purchase",1.00,
        IF(purpose="Remortgage",1.00,
            1.20)))</f>
        <v/>
      </c>
      <c r="L9838">
        <f>LET(
    arrears_months,'Loan Tape (S&amp;P)'!AN9838,
    IF(arrears_months=0,1.00,
    IF(arrears_months=1,3.00,
    IF(arrears_months=2,5.00,
    IF(arrears_months=3,8.00,
    IF(arrears_months=4,10.00,
    IF(arrears_months=5,12.00,15.00)))))))</f>
        <v/>
      </c>
      <c r="M9838">
        <f>LET(
    seasoning_years,DATEDIF('Loan Tape (S&amp;P)'!K9838,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38">
        <f>IF(AND('Loan Tape (S&amp;P)'!U9838="Yes",
        'Loan Tape (S&amp;P)'!T9838&lt;&gt;"Yes",
        DATEDIF('Loan Tape (S&amp;P)'!K9838, TODAY(), "M")&lt;18),
    1.10,
    1.00)</f>
        <v/>
      </c>
      <c r="O9838">
        <f>IF('Loan Tape (S&amp;P)'!T9838="Yes",
    1.35,
    1.00)</f>
        <v/>
      </c>
      <c r="P9838">
        <f>IF('Loan Tape (S&amp;P)'!S9838="Yes",
    1.15,
    1.00)</f>
        <v/>
      </c>
      <c r="Q9838">
        <f>IF('Loan Tape (S&amp;P)'!V9838="Yes",
    1.20,
    1.00)</f>
        <v/>
      </c>
      <c r="T9838">
        <f>LET(
    payment_method,'Loan Tape (S&amp;P)'!P9838,
    occupancy,'Loan Tape (S&amp;P)'!N9838,
    maturity_date,'Loan Tape (S&amp;P)'!L9838,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39">
      <c r="J9839">
        <f>LET(
    lien,'Loan Tape (S&amp;P)'!Q9839,
    IF(lien="First",1.00,
        IF(lien="Second",1.50,
            1.70)))</f>
        <v/>
      </c>
      <c r="K9839">
        <f>LET(
    purpose,'Loan Tape (S&amp;P)'!R9839,
    IF(purpose="Purchase",1.00,
        IF(purpose="Remortgage",1.00,
            1.20)))</f>
        <v/>
      </c>
      <c r="L9839">
        <f>LET(
    arrears_months,'Loan Tape (S&amp;P)'!AN9839,
    IF(arrears_months=0,1.00,
    IF(arrears_months=1,3.00,
    IF(arrears_months=2,5.00,
    IF(arrears_months=3,8.00,
    IF(arrears_months=4,10.00,
    IF(arrears_months=5,12.00,15.00)))))))</f>
        <v/>
      </c>
      <c r="M9839">
        <f>LET(
    seasoning_years,DATEDIF('Loan Tape (S&amp;P)'!K9839,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39">
        <f>IF(AND('Loan Tape (S&amp;P)'!U9839="Yes",
        'Loan Tape (S&amp;P)'!T9839&lt;&gt;"Yes",
        DATEDIF('Loan Tape (S&amp;P)'!K9839, TODAY(), "M")&lt;18),
    1.10,
    1.00)</f>
        <v/>
      </c>
      <c r="O9839">
        <f>IF('Loan Tape (S&amp;P)'!T9839="Yes",
    1.35,
    1.00)</f>
        <v/>
      </c>
      <c r="P9839">
        <f>IF('Loan Tape (S&amp;P)'!S9839="Yes",
    1.15,
    1.00)</f>
        <v/>
      </c>
      <c r="Q9839">
        <f>IF('Loan Tape (S&amp;P)'!V9839="Yes",
    1.20,
    1.00)</f>
        <v/>
      </c>
      <c r="T9839">
        <f>LET(
    payment_method,'Loan Tape (S&amp;P)'!P9839,
    occupancy,'Loan Tape (S&amp;P)'!N9839,
    maturity_date,'Loan Tape (S&amp;P)'!L9839,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40">
      <c r="J9840">
        <f>LET(
    lien,'Loan Tape (S&amp;P)'!Q9840,
    IF(lien="First",1.00,
        IF(lien="Second",1.50,
            1.70)))</f>
        <v/>
      </c>
      <c r="K9840">
        <f>LET(
    purpose,'Loan Tape (S&amp;P)'!R9840,
    IF(purpose="Purchase",1.00,
        IF(purpose="Remortgage",1.00,
            1.20)))</f>
        <v/>
      </c>
      <c r="L9840">
        <f>LET(
    arrears_months,'Loan Tape (S&amp;P)'!AN9840,
    IF(arrears_months=0,1.00,
    IF(arrears_months=1,3.00,
    IF(arrears_months=2,5.00,
    IF(arrears_months=3,8.00,
    IF(arrears_months=4,10.00,
    IF(arrears_months=5,12.00,15.00)))))))</f>
        <v/>
      </c>
      <c r="M9840">
        <f>LET(
    seasoning_years,DATEDIF('Loan Tape (S&amp;P)'!K9840,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40">
        <f>IF(AND('Loan Tape (S&amp;P)'!U9840="Yes",
        'Loan Tape (S&amp;P)'!T9840&lt;&gt;"Yes",
        DATEDIF('Loan Tape (S&amp;P)'!K9840, TODAY(), "M")&lt;18),
    1.10,
    1.00)</f>
        <v/>
      </c>
      <c r="O9840">
        <f>IF('Loan Tape (S&amp;P)'!T9840="Yes",
    1.35,
    1.00)</f>
        <v/>
      </c>
      <c r="P9840">
        <f>IF('Loan Tape (S&amp;P)'!S9840="Yes",
    1.15,
    1.00)</f>
        <v/>
      </c>
      <c r="Q9840">
        <f>IF('Loan Tape (S&amp;P)'!V9840="Yes",
    1.20,
    1.00)</f>
        <v/>
      </c>
      <c r="T9840">
        <f>LET(
    payment_method,'Loan Tape (S&amp;P)'!P9840,
    occupancy,'Loan Tape (S&amp;P)'!N9840,
    maturity_date,'Loan Tape (S&amp;P)'!L9840,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41">
      <c r="J9841">
        <f>LET(
    lien,'Loan Tape (S&amp;P)'!Q9841,
    IF(lien="First",1.00,
        IF(lien="Second",1.50,
            1.70)))</f>
        <v/>
      </c>
      <c r="K9841">
        <f>LET(
    purpose,'Loan Tape (S&amp;P)'!R9841,
    IF(purpose="Purchase",1.00,
        IF(purpose="Remortgage",1.00,
            1.20)))</f>
        <v/>
      </c>
      <c r="L9841">
        <f>LET(
    arrears_months,'Loan Tape (S&amp;P)'!AN9841,
    IF(arrears_months=0,1.00,
    IF(arrears_months=1,3.00,
    IF(arrears_months=2,5.00,
    IF(arrears_months=3,8.00,
    IF(arrears_months=4,10.00,
    IF(arrears_months=5,12.00,15.00)))))))</f>
        <v/>
      </c>
      <c r="M9841">
        <f>LET(
    seasoning_years,DATEDIF('Loan Tape (S&amp;P)'!K9841,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41">
        <f>IF(AND('Loan Tape (S&amp;P)'!U9841="Yes",
        'Loan Tape (S&amp;P)'!T9841&lt;&gt;"Yes",
        DATEDIF('Loan Tape (S&amp;P)'!K9841, TODAY(), "M")&lt;18),
    1.10,
    1.00)</f>
        <v/>
      </c>
      <c r="O9841">
        <f>IF('Loan Tape (S&amp;P)'!T9841="Yes",
    1.35,
    1.00)</f>
        <v/>
      </c>
      <c r="P9841">
        <f>IF('Loan Tape (S&amp;P)'!S9841="Yes",
    1.15,
    1.00)</f>
        <v/>
      </c>
      <c r="Q9841">
        <f>IF('Loan Tape (S&amp;P)'!V9841="Yes",
    1.20,
    1.00)</f>
        <v/>
      </c>
      <c r="T9841">
        <f>LET(
    payment_method,'Loan Tape (S&amp;P)'!P9841,
    occupancy,'Loan Tape (S&amp;P)'!N9841,
    maturity_date,'Loan Tape (S&amp;P)'!L9841,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42">
      <c r="J9842">
        <f>LET(
    lien,'Loan Tape (S&amp;P)'!Q9842,
    IF(lien="First",1.00,
        IF(lien="Second",1.50,
            1.70)))</f>
        <v/>
      </c>
      <c r="K9842">
        <f>LET(
    purpose,'Loan Tape (S&amp;P)'!R9842,
    IF(purpose="Purchase",1.00,
        IF(purpose="Remortgage",1.00,
            1.20)))</f>
        <v/>
      </c>
      <c r="L9842">
        <f>LET(
    arrears_months,'Loan Tape (S&amp;P)'!AN9842,
    IF(arrears_months=0,1.00,
    IF(arrears_months=1,3.00,
    IF(arrears_months=2,5.00,
    IF(arrears_months=3,8.00,
    IF(arrears_months=4,10.00,
    IF(arrears_months=5,12.00,15.00)))))))</f>
        <v/>
      </c>
      <c r="M9842">
        <f>LET(
    seasoning_years,DATEDIF('Loan Tape (S&amp;P)'!K9842,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42">
        <f>IF(AND('Loan Tape (S&amp;P)'!U9842="Yes",
        'Loan Tape (S&amp;P)'!T9842&lt;&gt;"Yes",
        DATEDIF('Loan Tape (S&amp;P)'!K9842, TODAY(), "M")&lt;18),
    1.10,
    1.00)</f>
        <v/>
      </c>
      <c r="O9842">
        <f>IF('Loan Tape (S&amp;P)'!T9842="Yes",
    1.35,
    1.00)</f>
        <v/>
      </c>
      <c r="P9842">
        <f>IF('Loan Tape (S&amp;P)'!S9842="Yes",
    1.15,
    1.00)</f>
        <v/>
      </c>
      <c r="Q9842">
        <f>IF('Loan Tape (S&amp;P)'!V9842="Yes",
    1.20,
    1.00)</f>
        <v/>
      </c>
      <c r="T9842">
        <f>LET(
    payment_method,'Loan Tape (S&amp;P)'!P9842,
    occupancy,'Loan Tape (S&amp;P)'!N9842,
    maturity_date,'Loan Tape (S&amp;P)'!L9842,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43">
      <c r="J9843">
        <f>LET(
    lien,'Loan Tape (S&amp;P)'!Q9843,
    IF(lien="First",1.00,
        IF(lien="Second",1.50,
            1.70)))</f>
        <v/>
      </c>
      <c r="K9843">
        <f>LET(
    purpose,'Loan Tape (S&amp;P)'!R9843,
    IF(purpose="Purchase",1.00,
        IF(purpose="Remortgage",1.00,
            1.20)))</f>
        <v/>
      </c>
      <c r="L9843">
        <f>LET(
    arrears_months,'Loan Tape (S&amp;P)'!AN9843,
    IF(arrears_months=0,1.00,
    IF(arrears_months=1,3.00,
    IF(arrears_months=2,5.00,
    IF(arrears_months=3,8.00,
    IF(arrears_months=4,10.00,
    IF(arrears_months=5,12.00,15.00)))))))</f>
        <v/>
      </c>
      <c r="M9843">
        <f>LET(
    seasoning_years,DATEDIF('Loan Tape (S&amp;P)'!K9843,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43">
        <f>IF(AND('Loan Tape (S&amp;P)'!U9843="Yes",
        'Loan Tape (S&amp;P)'!T9843&lt;&gt;"Yes",
        DATEDIF('Loan Tape (S&amp;P)'!K9843, TODAY(), "M")&lt;18),
    1.10,
    1.00)</f>
        <v/>
      </c>
      <c r="O9843">
        <f>IF('Loan Tape (S&amp;P)'!T9843="Yes",
    1.35,
    1.00)</f>
        <v/>
      </c>
      <c r="P9843">
        <f>IF('Loan Tape (S&amp;P)'!S9843="Yes",
    1.15,
    1.00)</f>
        <v/>
      </c>
      <c r="Q9843">
        <f>IF('Loan Tape (S&amp;P)'!V9843="Yes",
    1.20,
    1.00)</f>
        <v/>
      </c>
      <c r="T9843">
        <f>LET(
    payment_method,'Loan Tape (S&amp;P)'!P9843,
    occupancy,'Loan Tape (S&amp;P)'!N9843,
    maturity_date,'Loan Tape (S&amp;P)'!L9843,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44">
      <c r="J9844">
        <f>LET(
    lien,'Loan Tape (S&amp;P)'!Q9844,
    IF(lien="First",1.00,
        IF(lien="Second",1.50,
            1.70)))</f>
        <v/>
      </c>
      <c r="K9844">
        <f>LET(
    purpose,'Loan Tape (S&amp;P)'!R9844,
    IF(purpose="Purchase",1.00,
        IF(purpose="Remortgage",1.00,
            1.20)))</f>
        <v/>
      </c>
      <c r="L9844">
        <f>LET(
    arrears_months,'Loan Tape (S&amp;P)'!AN9844,
    IF(arrears_months=0,1.00,
    IF(arrears_months=1,3.00,
    IF(arrears_months=2,5.00,
    IF(arrears_months=3,8.00,
    IF(arrears_months=4,10.00,
    IF(arrears_months=5,12.00,15.00)))))))</f>
        <v/>
      </c>
      <c r="M9844">
        <f>LET(
    seasoning_years,DATEDIF('Loan Tape (S&amp;P)'!K9844,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44">
        <f>IF(AND('Loan Tape (S&amp;P)'!U9844="Yes",
        'Loan Tape (S&amp;P)'!T9844&lt;&gt;"Yes",
        DATEDIF('Loan Tape (S&amp;P)'!K9844, TODAY(), "M")&lt;18),
    1.10,
    1.00)</f>
        <v/>
      </c>
      <c r="O9844">
        <f>IF('Loan Tape (S&amp;P)'!T9844="Yes",
    1.35,
    1.00)</f>
        <v/>
      </c>
      <c r="P9844">
        <f>IF('Loan Tape (S&amp;P)'!S9844="Yes",
    1.15,
    1.00)</f>
        <v/>
      </c>
      <c r="Q9844">
        <f>IF('Loan Tape (S&amp;P)'!V9844="Yes",
    1.20,
    1.00)</f>
        <v/>
      </c>
      <c r="T9844">
        <f>LET(
    payment_method,'Loan Tape (S&amp;P)'!P9844,
    occupancy,'Loan Tape (S&amp;P)'!N9844,
    maturity_date,'Loan Tape (S&amp;P)'!L9844,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45">
      <c r="J9845">
        <f>LET(
    lien,'Loan Tape (S&amp;P)'!Q9845,
    IF(lien="First",1.00,
        IF(lien="Second",1.50,
            1.70)))</f>
        <v/>
      </c>
      <c r="K9845">
        <f>LET(
    purpose,'Loan Tape (S&amp;P)'!R9845,
    IF(purpose="Purchase",1.00,
        IF(purpose="Remortgage",1.00,
            1.20)))</f>
        <v/>
      </c>
      <c r="L9845">
        <f>LET(
    arrears_months,'Loan Tape (S&amp;P)'!AN9845,
    IF(arrears_months=0,1.00,
    IF(arrears_months=1,3.00,
    IF(arrears_months=2,5.00,
    IF(arrears_months=3,8.00,
    IF(arrears_months=4,10.00,
    IF(arrears_months=5,12.00,15.00)))))))</f>
        <v/>
      </c>
      <c r="M9845">
        <f>LET(
    seasoning_years,DATEDIF('Loan Tape (S&amp;P)'!K9845,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45">
        <f>IF(AND('Loan Tape (S&amp;P)'!U9845="Yes",
        'Loan Tape (S&amp;P)'!T9845&lt;&gt;"Yes",
        DATEDIF('Loan Tape (S&amp;P)'!K9845, TODAY(), "M")&lt;18),
    1.10,
    1.00)</f>
        <v/>
      </c>
      <c r="O9845">
        <f>IF('Loan Tape (S&amp;P)'!T9845="Yes",
    1.35,
    1.00)</f>
        <v/>
      </c>
      <c r="P9845">
        <f>IF('Loan Tape (S&amp;P)'!S9845="Yes",
    1.15,
    1.00)</f>
        <v/>
      </c>
      <c r="Q9845">
        <f>IF('Loan Tape (S&amp;P)'!V9845="Yes",
    1.20,
    1.00)</f>
        <v/>
      </c>
      <c r="T9845">
        <f>LET(
    payment_method,'Loan Tape (S&amp;P)'!P9845,
    occupancy,'Loan Tape (S&amp;P)'!N9845,
    maturity_date,'Loan Tape (S&amp;P)'!L9845,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46">
      <c r="J9846">
        <f>LET(
    lien,'Loan Tape (S&amp;P)'!Q9846,
    IF(lien="First",1.00,
        IF(lien="Second",1.50,
            1.70)))</f>
        <v/>
      </c>
      <c r="K9846">
        <f>LET(
    purpose,'Loan Tape (S&amp;P)'!R9846,
    IF(purpose="Purchase",1.00,
        IF(purpose="Remortgage",1.00,
            1.20)))</f>
        <v/>
      </c>
      <c r="L9846">
        <f>LET(
    arrears_months,'Loan Tape (S&amp;P)'!AN9846,
    IF(arrears_months=0,1.00,
    IF(arrears_months=1,3.00,
    IF(arrears_months=2,5.00,
    IF(arrears_months=3,8.00,
    IF(arrears_months=4,10.00,
    IF(arrears_months=5,12.00,15.00)))))))</f>
        <v/>
      </c>
      <c r="M9846">
        <f>LET(
    seasoning_years,DATEDIF('Loan Tape (S&amp;P)'!K9846,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46">
        <f>IF(AND('Loan Tape (S&amp;P)'!U9846="Yes",
        'Loan Tape (S&amp;P)'!T9846&lt;&gt;"Yes",
        DATEDIF('Loan Tape (S&amp;P)'!K9846, TODAY(), "M")&lt;18),
    1.10,
    1.00)</f>
        <v/>
      </c>
      <c r="O9846">
        <f>IF('Loan Tape (S&amp;P)'!T9846="Yes",
    1.35,
    1.00)</f>
        <v/>
      </c>
      <c r="P9846">
        <f>IF('Loan Tape (S&amp;P)'!S9846="Yes",
    1.15,
    1.00)</f>
        <v/>
      </c>
      <c r="Q9846">
        <f>IF('Loan Tape (S&amp;P)'!V9846="Yes",
    1.20,
    1.00)</f>
        <v/>
      </c>
      <c r="T9846">
        <f>LET(
    payment_method,'Loan Tape (S&amp;P)'!P9846,
    occupancy,'Loan Tape (S&amp;P)'!N9846,
    maturity_date,'Loan Tape (S&amp;P)'!L9846,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47">
      <c r="J9847">
        <f>LET(
    lien,'Loan Tape (S&amp;P)'!Q9847,
    IF(lien="First",1.00,
        IF(lien="Second",1.50,
            1.70)))</f>
        <v/>
      </c>
      <c r="K9847">
        <f>LET(
    purpose,'Loan Tape (S&amp;P)'!R9847,
    IF(purpose="Purchase",1.00,
        IF(purpose="Remortgage",1.00,
            1.20)))</f>
        <v/>
      </c>
      <c r="L9847">
        <f>LET(
    arrears_months,'Loan Tape (S&amp;P)'!AN9847,
    IF(arrears_months=0,1.00,
    IF(arrears_months=1,3.00,
    IF(arrears_months=2,5.00,
    IF(arrears_months=3,8.00,
    IF(arrears_months=4,10.00,
    IF(arrears_months=5,12.00,15.00)))))))</f>
        <v/>
      </c>
      <c r="M9847">
        <f>LET(
    seasoning_years,DATEDIF('Loan Tape (S&amp;P)'!K9847,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47">
        <f>IF(AND('Loan Tape (S&amp;P)'!U9847="Yes",
        'Loan Tape (S&amp;P)'!T9847&lt;&gt;"Yes",
        DATEDIF('Loan Tape (S&amp;P)'!K9847, TODAY(), "M")&lt;18),
    1.10,
    1.00)</f>
        <v/>
      </c>
      <c r="O9847">
        <f>IF('Loan Tape (S&amp;P)'!T9847="Yes",
    1.35,
    1.00)</f>
        <v/>
      </c>
      <c r="P9847">
        <f>IF('Loan Tape (S&amp;P)'!S9847="Yes",
    1.15,
    1.00)</f>
        <v/>
      </c>
      <c r="Q9847">
        <f>IF('Loan Tape (S&amp;P)'!V9847="Yes",
    1.20,
    1.00)</f>
        <v/>
      </c>
      <c r="T9847">
        <f>LET(
    payment_method,'Loan Tape (S&amp;P)'!P9847,
    occupancy,'Loan Tape (S&amp;P)'!N9847,
    maturity_date,'Loan Tape (S&amp;P)'!L9847,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48">
      <c r="J9848">
        <f>LET(
    lien,'Loan Tape (S&amp;P)'!Q9848,
    IF(lien="First",1.00,
        IF(lien="Second",1.50,
            1.70)))</f>
        <v/>
      </c>
      <c r="K9848">
        <f>LET(
    purpose,'Loan Tape (S&amp;P)'!R9848,
    IF(purpose="Purchase",1.00,
        IF(purpose="Remortgage",1.00,
            1.20)))</f>
        <v/>
      </c>
      <c r="L9848">
        <f>LET(
    arrears_months,'Loan Tape (S&amp;P)'!AN9848,
    IF(arrears_months=0,1.00,
    IF(arrears_months=1,3.00,
    IF(arrears_months=2,5.00,
    IF(arrears_months=3,8.00,
    IF(arrears_months=4,10.00,
    IF(arrears_months=5,12.00,15.00)))))))</f>
        <v/>
      </c>
      <c r="M9848">
        <f>LET(
    seasoning_years,DATEDIF('Loan Tape (S&amp;P)'!K9848,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48">
        <f>IF(AND('Loan Tape (S&amp;P)'!U9848="Yes",
        'Loan Tape (S&amp;P)'!T9848&lt;&gt;"Yes",
        DATEDIF('Loan Tape (S&amp;P)'!K9848, TODAY(), "M")&lt;18),
    1.10,
    1.00)</f>
        <v/>
      </c>
      <c r="O9848">
        <f>IF('Loan Tape (S&amp;P)'!T9848="Yes",
    1.35,
    1.00)</f>
        <v/>
      </c>
      <c r="P9848">
        <f>IF('Loan Tape (S&amp;P)'!S9848="Yes",
    1.15,
    1.00)</f>
        <v/>
      </c>
      <c r="Q9848">
        <f>IF('Loan Tape (S&amp;P)'!V9848="Yes",
    1.20,
    1.00)</f>
        <v/>
      </c>
      <c r="T9848">
        <f>LET(
    payment_method,'Loan Tape (S&amp;P)'!P9848,
    occupancy,'Loan Tape (S&amp;P)'!N9848,
    maturity_date,'Loan Tape (S&amp;P)'!L9848,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49">
      <c r="J9849">
        <f>LET(
    lien,'Loan Tape (S&amp;P)'!Q9849,
    IF(lien="First",1.00,
        IF(lien="Second",1.50,
            1.70)))</f>
        <v/>
      </c>
      <c r="K9849">
        <f>LET(
    purpose,'Loan Tape (S&amp;P)'!R9849,
    IF(purpose="Purchase",1.00,
        IF(purpose="Remortgage",1.00,
            1.20)))</f>
        <v/>
      </c>
      <c r="L9849">
        <f>LET(
    arrears_months,'Loan Tape (S&amp;P)'!AN9849,
    IF(arrears_months=0,1.00,
    IF(arrears_months=1,3.00,
    IF(arrears_months=2,5.00,
    IF(arrears_months=3,8.00,
    IF(arrears_months=4,10.00,
    IF(arrears_months=5,12.00,15.00)))))))</f>
        <v/>
      </c>
      <c r="M9849">
        <f>LET(
    seasoning_years,DATEDIF('Loan Tape (S&amp;P)'!K9849,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49">
        <f>IF(AND('Loan Tape (S&amp;P)'!U9849="Yes",
        'Loan Tape (S&amp;P)'!T9849&lt;&gt;"Yes",
        DATEDIF('Loan Tape (S&amp;P)'!K9849, TODAY(), "M")&lt;18),
    1.10,
    1.00)</f>
        <v/>
      </c>
      <c r="O9849">
        <f>IF('Loan Tape (S&amp;P)'!T9849="Yes",
    1.35,
    1.00)</f>
        <v/>
      </c>
      <c r="P9849">
        <f>IF('Loan Tape (S&amp;P)'!S9849="Yes",
    1.15,
    1.00)</f>
        <v/>
      </c>
      <c r="Q9849">
        <f>IF('Loan Tape (S&amp;P)'!V9849="Yes",
    1.20,
    1.00)</f>
        <v/>
      </c>
      <c r="T9849">
        <f>LET(
    payment_method,'Loan Tape (S&amp;P)'!P9849,
    occupancy,'Loan Tape (S&amp;P)'!N9849,
    maturity_date,'Loan Tape (S&amp;P)'!L9849,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50">
      <c r="J9850">
        <f>LET(
    lien,'Loan Tape (S&amp;P)'!Q9850,
    IF(lien="First",1.00,
        IF(lien="Second",1.50,
            1.70)))</f>
        <v/>
      </c>
      <c r="K9850">
        <f>LET(
    purpose,'Loan Tape (S&amp;P)'!R9850,
    IF(purpose="Purchase",1.00,
        IF(purpose="Remortgage",1.00,
            1.20)))</f>
        <v/>
      </c>
      <c r="L9850">
        <f>LET(
    arrears_months,'Loan Tape (S&amp;P)'!AN9850,
    IF(arrears_months=0,1.00,
    IF(arrears_months=1,3.00,
    IF(arrears_months=2,5.00,
    IF(arrears_months=3,8.00,
    IF(arrears_months=4,10.00,
    IF(arrears_months=5,12.00,15.00)))))))</f>
        <v/>
      </c>
      <c r="M9850">
        <f>LET(
    seasoning_years,DATEDIF('Loan Tape (S&amp;P)'!K9850,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50">
        <f>IF(AND('Loan Tape (S&amp;P)'!U9850="Yes",
        'Loan Tape (S&amp;P)'!T9850&lt;&gt;"Yes",
        DATEDIF('Loan Tape (S&amp;P)'!K9850, TODAY(), "M")&lt;18),
    1.10,
    1.00)</f>
        <v/>
      </c>
      <c r="O9850">
        <f>IF('Loan Tape (S&amp;P)'!T9850="Yes",
    1.35,
    1.00)</f>
        <v/>
      </c>
      <c r="P9850">
        <f>IF('Loan Tape (S&amp;P)'!S9850="Yes",
    1.15,
    1.00)</f>
        <v/>
      </c>
      <c r="Q9850">
        <f>IF('Loan Tape (S&amp;P)'!V9850="Yes",
    1.20,
    1.00)</f>
        <v/>
      </c>
      <c r="T9850">
        <f>LET(
    payment_method,'Loan Tape (S&amp;P)'!P9850,
    occupancy,'Loan Tape (S&amp;P)'!N9850,
    maturity_date,'Loan Tape (S&amp;P)'!L9850,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51">
      <c r="J9851">
        <f>LET(
    lien,'Loan Tape (S&amp;P)'!Q9851,
    IF(lien="First",1.00,
        IF(lien="Second",1.50,
            1.70)))</f>
        <v/>
      </c>
      <c r="K9851">
        <f>LET(
    purpose,'Loan Tape (S&amp;P)'!R9851,
    IF(purpose="Purchase",1.00,
        IF(purpose="Remortgage",1.00,
            1.20)))</f>
        <v/>
      </c>
      <c r="L9851">
        <f>LET(
    arrears_months,'Loan Tape (S&amp;P)'!AN9851,
    IF(arrears_months=0,1.00,
    IF(arrears_months=1,3.00,
    IF(arrears_months=2,5.00,
    IF(arrears_months=3,8.00,
    IF(arrears_months=4,10.00,
    IF(arrears_months=5,12.00,15.00)))))))</f>
        <v/>
      </c>
      <c r="M9851">
        <f>LET(
    seasoning_years,DATEDIF('Loan Tape (S&amp;P)'!K9851,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51">
        <f>IF(AND('Loan Tape (S&amp;P)'!U9851="Yes",
        'Loan Tape (S&amp;P)'!T9851&lt;&gt;"Yes",
        DATEDIF('Loan Tape (S&amp;P)'!K9851, TODAY(), "M")&lt;18),
    1.10,
    1.00)</f>
        <v/>
      </c>
      <c r="O9851">
        <f>IF('Loan Tape (S&amp;P)'!T9851="Yes",
    1.35,
    1.00)</f>
        <v/>
      </c>
      <c r="P9851">
        <f>IF('Loan Tape (S&amp;P)'!S9851="Yes",
    1.15,
    1.00)</f>
        <v/>
      </c>
      <c r="Q9851">
        <f>IF('Loan Tape (S&amp;P)'!V9851="Yes",
    1.20,
    1.00)</f>
        <v/>
      </c>
      <c r="T9851">
        <f>LET(
    payment_method,'Loan Tape (S&amp;P)'!P9851,
    occupancy,'Loan Tape (S&amp;P)'!N9851,
    maturity_date,'Loan Tape (S&amp;P)'!L9851,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52">
      <c r="J9852">
        <f>LET(
    lien,'Loan Tape (S&amp;P)'!Q9852,
    IF(lien="First",1.00,
        IF(lien="Second",1.50,
            1.70)))</f>
        <v/>
      </c>
      <c r="K9852">
        <f>LET(
    purpose,'Loan Tape (S&amp;P)'!R9852,
    IF(purpose="Purchase",1.00,
        IF(purpose="Remortgage",1.00,
            1.20)))</f>
        <v/>
      </c>
      <c r="L9852">
        <f>LET(
    arrears_months,'Loan Tape (S&amp;P)'!AN9852,
    IF(arrears_months=0,1.00,
    IF(arrears_months=1,3.00,
    IF(arrears_months=2,5.00,
    IF(arrears_months=3,8.00,
    IF(arrears_months=4,10.00,
    IF(arrears_months=5,12.00,15.00)))))))</f>
        <v/>
      </c>
      <c r="M9852">
        <f>LET(
    seasoning_years,DATEDIF('Loan Tape (S&amp;P)'!K9852,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52">
        <f>IF(AND('Loan Tape (S&amp;P)'!U9852="Yes",
        'Loan Tape (S&amp;P)'!T9852&lt;&gt;"Yes",
        DATEDIF('Loan Tape (S&amp;P)'!K9852, TODAY(), "M")&lt;18),
    1.10,
    1.00)</f>
        <v/>
      </c>
      <c r="O9852">
        <f>IF('Loan Tape (S&amp;P)'!T9852="Yes",
    1.35,
    1.00)</f>
        <v/>
      </c>
      <c r="P9852">
        <f>IF('Loan Tape (S&amp;P)'!S9852="Yes",
    1.15,
    1.00)</f>
        <v/>
      </c>
      <c r="Q9852">
        <f>IF('Loan Tape (S&amp;P)'!V9852="Yes",
    1.20,
    1.00)</f>
        <v/>
      </c>
      <c r="T9852">
        <f>LET(
    payment_method,'Loan Tape (S&amp;P)'!P9852,
    occupancy,'Loan Tape (S&amp;P)'!N9852,
    maturity_date,'Loan Tape (S&amp;P)'!L9852,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53">
      <c r="J9853">
        <f>LET(
    lien,'Loan Tape (S&amp;P)'!Q9853,
    IF(lien="First",1.00,
        IF(lien="Second",1.50,
            1.70)))</f>
        <v/>
      </c>
      <c r="K9853">
        <f>LET(
    purpose,'Loan Tape (S&amp;P)'!R9853,
    IF(purpose="Purchase",1.00,
        IF(purpose="Remortgage",1.00,
            1.20)))</f>
        <v/>
      </c>
      <c r="L9853">
        <f>LET(
    arrears_months,'Loan Tape (S&amp;P)'!AN9853,
    IF(arrears_months=0,1.00,
    IF(arrears_months=1,3.00,
    IF(arrears_months=2,5.00,
    IF(arrears_months=3,8.00,
    IF(arrears_months=4,10.00,
    IF(arrears_months=5,12.00,15.00)))))))</f>
        <v/>
      </c>
      <c r="M9853">
        <f>LET(
    seasoning_years,DATEDIF('Loan Tape (S&amp;P)'!K9853,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53">
        <f>IF(AND('Loan Tape (S&amp;P)'!U9853="Yes",
        'Loan Tape (S&amp;P)'!T9853&lt;&gt;"Yes",
        DATEDIF('Loan Tape (S&amp;P)'!K9853, TODAY(), "M")&lt;18),
    1.10,
    1.00)</f>
        <v/>
      </c>
      <c r="O9853">
        <f>IF('Loan Tape (S&amp;P)'!T9853="Yes",
    1.35,
    1.00)</f>
        <v/>
      </c>
      <c r="P9853">
        <f>IF('Loan Tape (S&amp;P)'!S9853="Yes",
    1.15,
    1.00)</f>
        <v/>
      </c>
      <c r="Q9853">
        <f>IF('Loan Tape (S&amp;P)'!V9853="Yes",
    1.20,
    1.00)</f>
        <v/>
      </c>
      <c r="T9853">
        <f>LET(
    payment_method,'Loan Tape (S&amp;P)'!P9853,
    occupancy,'Loan Tape (S&amp;P)'!N9853,
    maturity_date,'Loan Tape (S&amp;P)'!L9853,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54">
      <c r="J9854">
        <f>LET(
    lien,'Loan Tape (S&amp;P)'!Q9854,
    IF(lien="First",1.00,
        IF(lien="Second",1.50,
            1.70)))</f>
        <v/>
      </c>
      <c r="K9854">
        <f>LET(
    purpose,'Loan Tape (S&amp;P)'!R9854,
    IF(purpose="Purchase",1.00,
        IF(purpose="Remortgage",1.00,
            1.20)))</f>
        <v/>
      </c>
      <c r="L9854">
        <f>LET(
    arrears_months,'Loan Tape (S&amp;P)'!AN9854,
    IF(arrears_months=0,1.00,
    IF(arrears_months=1,3.00,
    IF(arrears_months=2,5.00,
    IF(arrears_months=3,8.00,
    IF(arrears_months=4,10.00,
    IF(arrears_months=5,12.00,15.00)))))))</f>
        <v/>
      </c>
      <c r="M9854">
        <f>LET(
    seasoning_years,DATEDIF('Loan Tape (S&amp;P)'!K9854,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54">
        <f>IF(AND('Loan Tape (S&amp;P)'!U9854="Yes",
        'Loan Tape (S&amp;P)'!T9854&lt;&gt;"Yes",
        DATEDIF('Loan Tape (S&amp;P)'!K9854, TODAY(), "M")&lt;18),
    1.10,
    1.00)</f>
        <v/>
      </c>
      <c r="O9854">
        <f>IF('Loan Tape (S&amp;P)'!T9854="Yes",
    1.35,
    1.00)</f>
        <v/>
      </c>
      <c r="P9854">
        <f>IF('Loan Tape (S&amp;P)'!S9854="Yes",
    1.15,
    1.00)</f>
        <v/>
      </c>
      <c r="Q9854">
        <f>IF('Loan Tape (S&amp;P)'!V9854="Yes",
    1.20,
    1.00)</f>
        <v/>
      </c>
      <c r="T9854">
        <f>LET(
    payment_method,'Loan Tape (S&amp;P)'!P9854,
    occupancy,'Loan Tape (S&amp;P)'!N9854,
    maturity_date,'Loan Tape (S&amp;P)'!L9854,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55">
      <c r="J9855">
        <f>LET(
    lien,'Loan Tape (S&amp;P)'!Q9855,
    IF(lien="First",1.00,
        IF(lien="Second",1.50,
            1.70)))</f>
        <v/>
      </c>
      <c r="K9855">
        <f>LET(
    purpose,'Loan Tape (S&amp;P)'!R9855,
    IF(purpose="Purchase",1.00,
        IF(purpose="Remortgage",1.00,
            1.20)))</f>
        <v/>
      </c>
      <c r="L9855">
        <f>LET(
    arrears_months,'Loan Tape (S&amp;P)'!AN9855,
    IF(arrears_months=0,1.00,
    IF(arrears_months=1,3.00,
    IF(arrears_months=2,5.00,
    IF(arrears_months=3,8.00,
    IF(arrears_months=4,10.00,
    IF(arrears_months=5,12.00,15.00)))))))</f>
        <v/>
      </c>
      <c r="M9855">
        <f>LET(
    seasoning_years,DATEDIF('Loan Tape (S&amp;P)'!K9855,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55">
        <f>IF(AND('Loan Tape (S&amp;P)'!U9855="Yes",
        'Loan Tape (S&amp;P)'!T9855&lt;&gt;"Yes",
        DATEDIF('Loan Tape (S&amp;P)'!K9855, TODAY(), "M")&lt;18),
    1.10,
    1.00)</f>
        <v/>
      </c>
      <c r="O9855">
        <f>IF('Loan Tape (S&amp;P)'!T9855="Yes",
    1.35,
    1.00)</f>
        <v/>
      </c>
      <c r="P9855">
        <f>IF('Loan Tape (S&amp;P)'!S9855="Yes",
    1.15,
    1.00)</f>
        <v/>
      </c>
      <c r="Q9855">
        <f>IF('Loan Tape (S&amp;P)'!V9855="Yes",
    1.20,
    1.00)</f>
        <v/>
      </c>
      <c r="T9855">
        <f>LET(
    payment_method,'Loan Tape (S&amp;P)'!P9855,
    occupancy,'Loan Tape (S&amp;P)'!N9855,
    maturity_date,'Loan Tape (S&amp;P)'!L9855,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56">
      <c r="J9856">
        <f>LET(
    lien,'Loan Tape (S&amp;P)'!Q9856,
    IF(lien="First",1.00,
        IF(lien="Second",1.50,
            1.70)))</f>
        <v/>
      </c>
      <c r="K9856">
        <f>LET(
    purpose,'Loan Tape (S&amp;P)'!R9856,
    IF(purpose="Purchase",1.00,
        IF(purpose="Remortgage",1.00,
            1.20)))</f>
        <v/>
      </c>
      <c r="L9856">
        <f>LET(
    arrears_months,'Loan Tape (S&amp;P)'!AN9856,
    IF(arrears_months=0,1.00,
    IF(arrears_months=1,3.00,
    IF(arrears_months=2,5.00,
    IF(arrears_months=3,8.00,
    IF(arrears_months=4,10.00,
    IF(arrears_months=5,12.00,15.00)))))))</f>
        <v/>
      </c>
      <c r="M9856">
        <f>LET(
    seasoning_years,DATEDIF('Loan Tape (S&amp;P)'!K9856,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56">
        <f>IF(AND('Loan Tape (S&amp;P)'!U9856="Yes",
        'Loan Tape (S&amp;P)'!T9856&lt;&gt;"Yes",
        DATEDIF('Loan Tape (S&amp;P)'!K9856, TODAY(), "M")&lt;18),
    1.10,
    1.00)</f>
        <v/>
      </c>
      <c r="O9856">
        <f>IF('Loan Tape (S&amp;P)'!T9856="Yes",
    1.35,
    1.00)</f>
        <v/>
      </c>
      <c r="P9856">
        <f>IF('Loan Tape (S&amp;P)'!S9856="Yes",
    1.15,
    1.00)</f>
        <v/>
      </c>
      <c r="Q9856">
        <f>IF('Loan Tape (S&amp;P)'!V9856="Yes",
    1.20,
    1.00)</f>
        <v/>
      </c>
      <c r="T9856">
        <f>LET(
    payment_method,'Loan Tape (S&amp;P)'!P9856,
    occupancy,'Loan Tape (S&amp;P)'!N9856,
    maturity_date,'Loan Tape (S&amp;P)'!L9856,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57">
      <c r="J9857">
        <f>LET(
    lien,'Loan Tape (S&amp;P)'!Q9857,
    IF(lien="First",1.00,
        IF(lien="Second",1.50,
            1.70)))</f>
        <v/>
      </c>
      <c r="K9857">
        <f>LET(
    purpose,'Loan Tape (S&amp;P)'!R9857,
    IF(purpose="Purchase",1.00,
        IF(purpose="Remortgage",1.00,
            1.20)))</f>
        <v/>
      </c>
      <c r="L9857">
        <f>LET(
    arrears_months,'Loan Tape (S&amp;P)'!AN9857,
    IF(arrears_months=0,1.00,
    IF(arrears_months=1,3.00,
    IF(arrears_months=2,5.00,
    IF(arrears_months=3,8.00,
    IF(arrears_months=4,10.00,
    IF(arrears_months=5,12.00,15.00)))))))</f>
        <v/>
      </c>
      <c r="M9857">
        <f>LET(
    seasoning_years,DATEDIF('Loan Tape (S&amp;P)'!K9857,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57">
        <f>IF(AND('Loan Tape (S&amp;P)'!U9857="Yes",
        'Loan Tape (S&amp;P)'!T9857&lt;&gt;"Yes",
        DATEDIF('Loan Tape (S&amp;P)'!K9857, TODAY(), "M")&lt;18),
    1.10,
    1.00)</f>
        <v/>
      </c>
      <c r="O9857">
        <f>IF('Loan Tape (S&amp;P)'!T9857="Yes",
    1.35,
    1.00)</f>
        <v/>
      </c>
      <c r="P9857">
        <f>IF('Loan Tape (S&amp;P)'!S9857="Yes",
    1.15,
    1.00)</f>
        <v/>
      </c>
      <c r="Q9857">
        <f>IF('Loan Tape (S&amp;P)'!V9857="Yes",
    1.20,
    1.00)</f>
        <v/>
      </c>
      <c r="T9857">
        <f>LET(
    payment_method,'Loan Tape (S&amp;P)'!P9857,
    occupancy,'Loan Tape (S&amp;P)'!N9857,
    maturity_date,'Loan Tape (S&amp;P)'!L9857,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58">
      <c r="J9858">
        <f>LET(
    lien,'Loan Tape (S&amp;P)'!Q9858,
    IF(lien="First",1.00,
        IF(lien="Second",1.50,
            1.70)))</f>
        <v/>
      </c>
      <c r="K9858">
        <f>LET(
    purpose,'Loan Tape (S&amp;P)'!R9858,
    IF(purpose="Purchase",1.00,
        IF(purpose="Remortgage",1.00,
            1.20)))</f>
        <v/>
      </c>
      <c r="L9858">
        <f>LET(
    arrears_months,'Loan Tape (S&amp;P)'!AN9858,
    IF(arrears_months=0,1.00,
    IF(arrears_months=1,3.00,
    IF(arrears_months=2,5.00,
    IF(arrears_months=3,8.00,
    IF(arrears_months=4,10.00,
    IF(arrears_months=5,12.00,15.00)))))))</f>
        <v/>
      </c>
      <c r="M9858">
        <f>LET(
    seasoning_years,DATEDIF('Loan Tape (S&amp;P)'!K9858,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58">
        <f>IF(AND('Loan Tape (S&amp;P)'!U9858="Yes",
        'Loan Tape (S&amp;P)'!T9858&lt;&gt;"Yes",
        DATEDIF('Loan Tape (S&amp;P)'!K9858, TODAY(), "M")&lt;18),
    1.10,
    1.00)</f>
        <v/>
      </c>
      <c r="O9858">
        <f>IF('Loan Tape (S&amp;P)'!T9858="Yes",
    1.35,
    1.00)</f>
        <v/>
      </c>
      <c r="P9858">
        <f>IF('Loan Tape (S&amp;P)'!S9858="Yes",
    1.15,
    1.00)</f>
        <v/>
      </c>
      <c r="Q9858">
        <f>IF('Loan Tape (S&amp;P)'!V9858="Yes",
    1.20,
    1.00)</f>
        <v/>
      </c>
      <c r="T9858">
        <f>LET(
    payment_method,'Loan Tape (S&amp;P)'!P9858,
    occupancy,'Loan Tape (S&amp;P)'!N9858,
    maturity_date,'Loan Tape (S&amp;P)'!L9858,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59">
      <c r="J9859">
        <f>LET(
    lien,'Loan Tape (S&amp;P)'!Q9859,
    IF(lien="First",1.00,
        IF(lien="Second",1.50,
            1.70)))</f>
        <v/>
      </c>
      <c r="K9859">
        <f>LET(
    purpose,'Loan Tape (S&amp;P)'!R9859,
    IF(purpose="Purchase",1.00,
        IF(purpose="Remortgage",1.00,
            1.20)))</f>
        <v/>
      </c>
      <c r="L9859">
        <f>LET(
    arrears_months,'Loan Tape (S&amp;P)'!AN9859,
    IF(arrears_months=0,1.00,
    IF(arrears_months=1,3.00,
    IF(arrears_months=2,5.00,
    IF(arrears_months=3,8.00,
    IF(arrears_months=4,10.00,
    IF(arrears_months=5,12.00,15.00)))))))</f>
        <v/>
      </c>
      <c r="M9859">
        <f>LET(
    seasoning_years,DATEDIF('Loan Tape (S&amp;P)'!K9859,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59">
        <f>IF(AND('Loan Tape (S&amp;P)'!U9859="Yes",
        'Loan Tape (S&amp;P)'!T9859&lt;&gt;"Yes",
        DATEDIF('Loan Tape (S&amp;P)'!K9859, TODAY(), "M")&lt;18),
    1.10,
    1.00)</f>
        <v/>
      </c>
      <c r="O9859">
        <f>IF('Loan Tape (S&amp;P)'!T9859="Yes",
    1.35,
    1.00)</f>
        <v/>
      </c>
      <c r="P9859">
        <f>IF('Loan Tape (S&amp;P)'!S9859="Yes",
    1.15,
    1.00)</f>
        <v/>
      </c>
      <c r="Q9859">
        <f>IF('Loan Tape (S&amp;P)'!V9859="Yes",
    1.20,
    1.00)</f>
        <v/>
      </c>
      <c r="T9859">
        <f>LET(
    payment_method,'Loan Tape (S&amp;P)'!P9859,
    occupancy,'Loan Tape (S&amp;P)'!N9859,
    maturity_date,'Loan Tape (S&amp;P)'!L9859,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60">
      <c r="J9860">
        <f>LET(
    lien,'Loan Tape (S&amp;P)'!Q9860,
    IF(lien="First",1.00,
        IF(lien="Second",1.50,
            1.70)))</f>
        <v/>
      </c>
      <c r="K9860">
        <f>LET(
    purpose,'Loan Tape (S&amp;P)'!R9860,
    IF(purpose="Purchase",1.00,
        IF(purpose="Remortgage",1.00,
            1.20)))</f>
        <v/>
      </c>
      <c r="L9860">
        <f>LET(
    arrears_months,'Loan Tape (S&amp;P)'!AN9860,
    IF(arrears_months=0,1.00,
    IF(arrears_months=1,3.00,
    IF(arrears_months=2,5.00,
    IF(arrears_months=3,8.00,
    IF(arrears_months=4,10.00,
    IF(arrears_months=5,12.00,15.00)))))))</f>
        <v/>
      </c>
      <c r="M9860">
        <f>LET(
    seasoning_years,DATEDIF('Loan Tape (S&amp;P)'!K9860,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60">
        <f>IF(AND('Loan Tape (S&amp;P)'!U9860="Yes",
        'Loan Tape (S&amp;P)'!T9860&lt;&gt;"Yes",
        DATEDIF('Loan Tape (S&amp;P)'!K9860, TODAY(), "M")&lt;18),
    1.10,
    1.00)</f>
        <v/>
      </c>
      <c r="O9860">
        <f>IF('Loan Tape (S&amp;P)'!T9860="Yes",
    1.35,
    1.00)</f>
        <v/>
      </c>
      <c r="P9860">
        <f>IF('Loan Tape (S&amp;P)'!S9860="Yes",
    1.15,
    1.00)</f>
        <v/>
      </c>
      <c r="Q9860">
        <f>IF('Loan Tape (S&amp;P)'!V9860="Yes",
    1.20,
    1.00)</f>
        <v/>
      </c>
      <c r="T9860">
        <f>LET(
    payment_method,'Loan Tape (S&amp;P)'!P9860,
    occupancy,'Loan Tape (S&amp;P)'!N9860,
    maturity_date,'Loan Tape (S&amp;P)'!L9860,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61">
      <c r="J9861">
        <f>LET(
    lien,'Loan Tape (S&amp;P)'!Q9861,
    IF(lien="First",1.00,
        IF(lien="Second",1.50,
            1.70)))</f>
        <v/>
      </c>
      <c r="K9861">
        <f>LET(
    purpose,'Loan Tape (S&amp;P)'!R9861,
    IF(purpose="Purchase",1.00,
        IF(purpose="Remortgage",1.00,
            1.20)))</f>
        <v/>
      </c>
      <c r="L9861">
        <f>LET(
    arrears_months,'Loan Tape (S&amp;P)'!AN9861,
    IF(arrears_months=0,1.00,
    IF(arrears_months=1,3.00,
    IF(arrears_months=2,5.00,
    IF(arrears_months=3,8.00,
    IF(arrears_months=4,10.00,
    IF(arrears_months=5,12.00,15.00)))))))</f>
        <v/>
      </c>
      <c r="M9861">
        <f>LET(
    seasoning_years,DATEDIF('Loan Tape (S&amp;P)'!K9861,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61">
        <f>IF(AND('Loan Tape (S&amp;P)'!U9861="Yes",
        'Loan Tape (S&amp;P)'!T9861&lt;&gt;"Yes",
        DATEDIF('Loan Tape (S&amp;P)'!K9861, TODAY(), "M")&lt;18),
    1.10,
    1.00)</f>
        <v/>
      </c>
      <c r="O9861">
        <f>IF('Loan Tape (S&amp;P)'!T9861="Yes",
    1.35,
    1.00)</f>
        <v/>
      </c>
      <c r="P9861">
        <f>IF('Loan Tape (S&amp;P)'!S9861="Yes",
    1.15,
    1.00)</f>
        <v/>
      </c>
      <c r="Q9861">
        <f>IF('Loan Tape (S&amp;P)'!V9861="Yes",
    1.20,
    1.00)</f>
        <v/>
      </c>
      <c r="T9861">
        <f>LET(
    payment_method,'Loan Tape (S&amp;P)'!P9861,
    occupancy,'Loan Tape (S&amp;P)'!N9861,
    maturity_date,'Loan Tape (S&amp;P)'!L9861,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62">
      <c r="J9862">
        <f>LET(
    lien,'Loan Tape (S&amp;P)'!Q9862,
    IF(lien="First",1.00,
        IF(lien="Second",1.50,
            1.70)))</f>
        <v/>
      </c>
      <c r="K9862">
        <f>LET(
    purpose,'Loan Tape (S&amp;P)'!R9862,
    IF(purpose="Purchase",1.00,
        IF(purpose="Remortgage",1.00,
            1.20)))</f>
        <v/>
      </c>
      <c r="L9862">
        <f>LET(
    arrears_months,'Loan Tape (S&amp;P)'!AN9862,
    IF(arrears_months=0,1.00,
    IF(arrears_months=1,3.00,
    IF(arrears_months=2,5.00,
    IF(arrears_months=3,8.00,
    IF(arrears_months=4,10.00,
    IF(arrears_months=5,12.00,15.00)))))))</f>
        <v/>
      </c>
      <c r="M9862">
        <f>LET(
    seasoning_years,DATEDIF('Loan Tape (S&amp;P)'!K9862,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62">
        <f>IF(AND('Loan Tape (S&amp;P)'!U9862="Yes",
        'Loan Tape (S&amp;P)'!T9862&lt;&gt;"Yes",
        DATEDIF('Loan Tape (S&amp;P)'!K9862, TODAY(), "M")&lt;18),
    1.10,
    1.00)</f>
        <v/>
      </c>
      <c r="O9862">
        <f>IF('Loan Tape (S&amp;P)'!T9862="Yes",
    1.35,
    1.00)</f>
        <v/>
      </c>
      <c r="P9862">
        <f>IF('Loan Tape (S&amp;P)'!S9862="Yes",
    1.15,
    1.00)</f>
        <v/>
      </c>
      <c r="Q9862">
        <f>IF('Loan Tape (S&amp;P)'!V9862="Yes",
    1.20,
    1.00)</f>
        <v/>
      </c>
      <c r="T9862">
        <f>LET(
    payment_method,'Loan Tape (S&amp;P)'!P9862,
    occupancy,'Loan Tape (S&amp;P)'!N9862,
    maturity_date,'Loan Tape (S&amp;P)'!L9862,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63">
      <c r="J9863">
        <f>LET(
    lien,'Loan Tape (S&amp;P)'!Q9863,
    IF(lien="First",1.00,
        IF(lien="Second",1.50,
            1.70)))</f>
        <v/>
      </c>
      <c r="K9863">
        <f>LET(
    purpose,'Loan Tape (S&amp;P)'!R9863,
    IF(purpose="Purchase",1.00,
        IF(purpose="Remortgage",1.00,
            1.20)))</f>
        <v/>
      </c>
      <c r="L9863">
        <f>LET(
    arrears_months,'Loan Tape (S&amp;P)'!AN9863,
    IF(arrears_months=0,1.00,
    IF(arrears_months=1,3.00,
    IF(arrears_months=2,5.00,
    IF(arrears_months=3,8.00,
    IF(arrears_months=4,10.00,
    IF(arrears_months=5,12.00,15.00)))))))</f>
        <v/>
      </c>
      <c r="M9863">
        <f>LET(
    seasoning_years,DATEDIF('Loan Tape (S&amp;P)'!K9863,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63">
        <f>IF(AND('Loan Tape (S&amp;P)'!U9863="Yes",
        'Loan Tape (S&amp;P)'!T9863&lt;&gt;"Yes",
        DATEDIF('Loan Tape (S&amp;P)'!K9863, TODAY(), "M")&lt;18),
    1.10,
    1.00)</f>
        <v/>
      </c>
      <c r="O9863">
        <f>IF('Loan Tape (S&amp;P)'!T9863="Yes",
    1.35,
    1.00)</f>
        <v/>
      </c>
      <c r="P9863">
        <f>IF('Loan Tape (S&amp;P)'!S9863="Yes",
    1.15,
    1.00)</f>
        <v/>
      </c>
      <c r="Q9863">
        <f>IF('Loan Tape (S&amp;P)'!V9863="Yes",
    1.20,
    1.00)</f>
        <v/>
      </c>
      <c r="T9863">
        <f>LET(
    payment_method,'Loan Tape (S&amp;P)'!P9863,
    occupancy,'Loan Tape (S&amp;P)'!N9863,
    maturity_date,'Loan Tape (S&amp;P)'!L9863,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64">
      <c r="J9864">
        <f>LET(
    lien,'Loan Tape (S&amp;P)'!Q9864,
    IF(lien="First",1.00,
        IF(lien="Second",1.50,
            1.70)))</f>
        <v/>
      </c>
      <c r="K9864">
        <f>LET(
    purpose,'Loan Tape (S&amp;P)'!R9864,
    IF(purpose="Purchase",1.00,
        IF(purpose="Remortgage",1.00,
            1.20)))</f>
        <v/>
      </c>
      <c r="L9864">
        <f>LET(
    arrears_months,'Loan Tape (S&amp;P)'!AN9864,
    IF(arrears_months=0,1.00,
    IF(arrears_months=1,3.00,
    IF(arrears_months=2,5.00,
    IF(arrears_months=3,8.00,
    IF(arrears_months=4,10.00,
    IF(arrears_months=5,12.00,15.00)))))))</f>
        <v/>
      </c>
      <c r="M9864">
        <f>LET(
    seasoning_years,DATEDIF('Loan Tape (S&amp;P)'!K9864,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64">
        <f>IF(AND('Loan Tape (S&amp;P)'!U9864="Yes",
        'Loan Tape (S&amp;P)'!T9864&lt;&gt;"Yes",
        DATEDIF('Loan Tape (S&amp;P)'!K9864, TODAY(), "M")&lt;18),
    1.10,
    1.00)</f>
        <v/>
      </c>
      <c r="O9864">
        <f>IF('Loan Tape (S&amp;P)'!T9864="Yes",
    1.35,
    1.00)</f>
        <v/>
      </c>
      <c r="P9864">
        <f>IF('Loan Tape (S&amp;P)'!S9864="Yes",
    1.15,
    1.00)</f>
        <v/>
      </c>
      <c r="Q9864">
        <f>IF('Loan Tape (S&amp;P)'!V9864="Yes",
    1.20,
    1.00)</f>
        <v/>
      </c>
      <c r="T9864">
        <f>LET(
    payment_method,'Loan Tape (S&amp;P)'!P9864,
    occupancy,'Loan Tape (S&amp;P)'!N9864,
    maturity_date,'Loan Tape (S&amp;P)'!L9864,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65">
      <c r="J9865">
        <f>LET(
    lien,'Loan Tape (S&amp;P)'!Q9865,
    IF(lien="First",1.00,
        IF(lien="Second",1.50,
            1.70)))</f>
        <v/>
      </c>
      <c r="K9865">
        <f>LET(
    purpose,'Loan Tape (S&amp;P)'!R9865,
    IF(purpose="Purchase",1.00,
        IF(purpose="Remortgage",1.00,
            1.20)))</f>
        <v/>
      </c>
      <c r="L9865">
        <f>LET(
    arrears_months,'Loan Tape (S&amp;P)'!AN9865,
    IF(arrears_months=0,1.00,
    IF(arrears_months=1,3.00,
    IF(arrears_months=2,5.00,
    IF(arrears_months=3,8.00,
    IF(arrears_months=4,10.00,
    IF(arrears_months=5,12.00,15.00)))))))</f>
        <v/>
      </c>
      <c r="M9865">
        <f>LET(
    seasoning_years,DATEDIF('Loan Tape (S&amp;P)'!K9865,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65">
        <f>IF(AND('Loan Tape (S&amp;P)'!U9865="Yes",
        'Loan Tape (S&amp;P)'!T9865&lt;&gt;"Yes",
        DATEDIF('Loan Tape (S&amp;P)'!K9865, TODAY(), "M")&lt;18),
    1.10,
    1.00)</f>
        <v/>
      </c>
      <c r="O9865">
        <f>IF('Loan Tape (S&amp;P)'!T9865="Yes",
    1.35,
    1.00)</f>
        <v/>
      </c>
      <c r="P9865">
        <f>IF('Loan Tape (S&amp;P)'!S9865="Yes",
    1.15,
    1.00)</f>
        <v/>
      </c>
      <c r="Q9865">
        <f>IF('Loan Tape (S&amp;P)'!V9865="Yes",
    1.20,
    1.00)</f>
        <v/>
      </c>
      <c r="T9865">
        <f>LET(
    payment_method,'Loan Tape (S&amp;P)'!P9865,
    occupancy,'Loan Tape (S&amp;P)'!N9865,
    maturity_date,'Loan Tape (S&amp;P)'!L9865,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66">
      <c r="J9866">
        <f>LET(
    lien,'Loan Tape (S&amp;P)'!Q9866,
    IF(lien="First",1.00,
        IF(lien="Second",1.50,
            1.70)))</f>
        <v/>
      </c>
      <c r="K9866">
        <f>LET(
    purpose,'Loan Tape (S&amp;P)'!R9866,
    IF(purpose="Purchase",1.00,
        IF(purpose="Remortgage",1.00,
            1.20)))</f>
        <v/>
      </c>
      <c r="L9866">
        <f>LET(
    arrears_months,'Loan Tape (S&amp;P)'!AN9866,
    IF(arrears_months=0,1.00,
    IF(arrears_months=1,3.00,
    IF(arrears_months=2,5.00,
    IF(arrears_months=3,8.00,
    IF(arrears_months=4,10.00,
    IF(arrears_months=5,12.00,15.00)))))))</f>
        <v/>
      </c>
      <c r="M9866">
        <f>LET(
    seasoning_years,DATEDIF('Loan Tape (S&amp;P)'!K9866,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66">
        <f>IF(AND('Loan Tape (S&amp;P)'!U9866="Yes",
        'Loan Tape (S&amp;P)'!T9866&lt;&gt;"Yes",
        DATEDIF('Loan Tape (S&amp;P)'!K9866, TODAY(), "M")&lt;18),
    1.10,
    1.00)</f>
        <v/>
      </c>
      <c r="O9866">
        <f>IF('Loan Tape (S&amp;P)'!T9866="Yes",
    1.35,
    1.00)</f>
        <v/>
      </c>
      <c r="P9866">
        <f>IF('Loan Tape (S&amp;P)'!S9866="Yes",
    1.15,
    1.00)</f>
        <v/>
      </c>
      <c r="Q9866">
        <f>IF('Loan Tape (S&amp;P)'!V9866="Yes",
    1.20,
    1.00)</f>
        <v/>
      </c>
      <c r="T9866">
        <f>LET(
    payment_method,'Loan Tape (S&amp;P)'!P9866,
    occupancy,'Loan Tape (S&amp;P)'!N9866,
    maturity_date,'Loan Tape (S&amp;P)'!L9866,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67">
      <c r="J9867">
        <f>LET(
    lien,'Loan Tape (S&amp;P)'!Q9867,
    IF(lien="First",1.00,
        IF(lien="Second",1.50,
            1.70)))</f>
        <v/>
      </c>
      <c r="K9867">
        <f>LET(
    purpose,'Loan Tape (S&amp;P)'!R9867,
    IF(purpose="Purchase",1.00,
        IF(purpose="Remortgage",1.00,
            1.20)))</f>
        <v/>
      </c>
      <c r="L9867">
        <f>LET(
    arrears_months,'Loan Tape (S&amp;P)'!AN9867,
    IF(arrears_months=0,1.00,
    IF(arrears_months=1,3.00,
    IF(arrears_months=2,5.00,
    IF(arrears_months=3,8.00,
    IF(arrears_months=4,10.00,
    IF(arrears_months=5,12.00,15.00)))))))</f>
        <v/>
      </c>
      <c r="M9867">
        <f>LET(
    seasoning_years,DATEDIF('Loan Tape (S&amp;P)'!K9867,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67">
        <f>IF(AND('Loan Tape (S&amp;P)'!U9867="Yes",
        'Loan Tape (S&amp;P)'!T9867&lt;&gt;"Yes",
        DATEDIF('Loan Tape (S&amp;P)'!K9867, TODAY(), "M")&lt;18),
    1.10,
    1.00)</f>
        <v/>
      </c>
      <c r="O9867">
        <f>IF('Loan Tape (S&amp;P)'!T9867="Yes",
    1.35,
    1.00)</f>
        <v/>
      </c>
      <c r="P9867">
        <f>IF('Loan Tape (S&amp;P)'!S9867="Yes",
    1.15,
    1.00)</f>
        <v/>
      </c>
      <c r="Q9867">
        <f>IF('Loan Tape (S&amp;P)'!V9867="Yes",
    1.20,
    1.00)</f>
        <v/>
      </c>
      <c r="T9867">
        <f>LET(
    payment_method,'Loan Tape (S&amp;P)'!P9867,
    occupancy,'Loan Tape (S&amp;P)'!N9867,
    maturity_date,'Loan Tape (S&amp;P)'!L9867,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68">
      <c r="J9868">
        <f>LET(
    lien,'Loan Tape (S&amp;P)'!Q9868,
    IF(lien="First",1.00,
        IF(lien="Second",1.50,
            1.70)))</f>
        <v/>
      </c>
      <c r="K9868">
        <f>LET(
    purpose,'Loan Tape (S&amp;P)'!R9868,
    IF(purpose="Purchase",1.00,
        IF(purpose="Remortgage",1.00,
            1.20)))</f>
        <v/>
      </c>
      <c r="L9868">
        <f>LET(
    arrears_months,'Loan Tape (S&amp;P)'!AN9868,
    IF(arrears_months=0,1.00,
    IF(arrears_months=1,3.00,
    IF(arrears_months=2,5.00,
    IF(arrears_months=3,8.00,
    IF(arrears_months=4,10.00,
    IF(arrears_months=5,12.00,15.00)))))))</f>
        <v/>
      </c>
      <c r="M9868">
        <f>LET(
    seasoning_years,DATEDIF('Loan Tape (S&amp;P)'!K9868,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68">
        <f>IF(AND('Loan Tape (S&amp;P)'!U9868="Yes",
        'Loan Tape (S&amp;P)'!T9868&lt;&gt;"Yes",
        DATEDIF('Loan Tape (S&amp;P)'!K9868, TODAY(), "M")&lt;18),
    1.10,
    1.00)</f>
        <v/>
      </c>
      <c r="O9868">
        <f>IF('Loan Tape (S&amp;P)'!T9868="Yes",
    1.35,
    1.00)</f>
        <v/>
      </c>
      <c r="P9868">
        <f>IF('Loan Tape (S&amp;P)'!S9868="Yes",
    1.15,
    1.00)</f>
        <v/>
      </c>
      <c r="Q9868">
        <f>IF('Loan Tape (S&amp;P)'!V9868="Yes",
    1.20,
    1.00)</f>
        <v/>
      </c>
      <c r="T9868">
        <f>LET(
    payment_method,'Loan Tape (S&amp;P)'!P9868,
    occupancy,'Loan Tape (S&amp;P)'!N9868,
    maturity_date,'Loan Tape (S&amp;P)'!L9868,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69">
      <c r="J9869">
        <f>LET(
    lien,'Loan Tape (S&amp;P)'!Q9869,
    IF(lien="First",1.00,
        IF(lien="Second",1.50,
            1.70)))</f>
        <v/>
      </c>
      <c r="K9869">
        <f>LET(
    purpose,'Loan Tape (S&amp;P)'!R9869,
    IF(purpose="Purchase",1.00,
        IF(purpose="Remortgage",1.00,
            1.20)))</f>
        <v/>
      </c>
      <c r="L9869">
        <f>LET(
    arrears_months,'Loan Tape (S&amp;P)'!AN9869,
    IF(arrears_months=0,1.00,
    IF(arrears_months=1,3.00,
    IF(arrears_months=2,5.00,
    IF(arrears_months=3,8.00,
    IF(arrears_months=4,10.00,
    IF(arrears_months=5,12.00,15.00)))))))</f>
        <v/>
      </c>
      <c r="M9869">
        <f>LET(
    seasoning_years,DATEDIF('Loan Tape (S&amp;P)'!K9869,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69">
        <f>IF(AND('Loan Tape (S&amp;P)'!U9869="Yes",
        'Loan Tape (S&amp;P)'!T9869&lt;&gt;"Yes",
        DATEDIF('Loan Tape (S&amp;P)'!K9869, TODAY(), "M")&lt;18),
    1.10,
    1.00)</f>
        <v/>
      </c>
      <c r="O9869">
        <f>IF('Loan Tape (S&amp;P)'!T9869="Yes",
    1.35,
    1.00)</f>
        <v/>
      </c>
      <c r="P9869">
        <f>IF('Loan Tape (S&amp;P)'!S9869="Yes",
    1.15,
    1.00)</f>
        <v/>
      </c>
      <c r="Q9869">
        <f>IF('Loan Tape (S&amp;P)'!V9869="Yes",
    1.20,
    1.00)</f>
        <v/>
      </c>
      <c r="T9869">
        <f>LET(
    payment_method,'Loan Tape (S&amp;P)'!P9869,
    occupancy,'Loan Tape (S&amp;P)'!N9869,
    maturity_date,'Loan Tape (S&amp;P)'!L9869,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70">
      <c r="J9870">
        <f>LET(
    lien,'Loan Tape (S&amp;P)'!Q9870,
    IF(lien="First",1.00,
        IF(lien="Second",1.50,
            1.70)))</f>
        <v/>
      </c>
      <c r="K9870">
        <f>LET(
    purpose,'Loan Tape (S&amp;P)'!R9870,
    IF(purpose="Purchase",1.00,
        IF(purpose="Remortgage",1.00,
            1.20)))</f>
        <v/>
      </c>
      <c r="L9870">
        <f>LET(
    arrears_months,'Loan Tape (S&amp;P)'!AN9870,
    IF(arrears_months=0,1.00,
    IF(arrears_months=1,3.00,
    IF(arrears_months=2,5.00,
    IF(arrears_months=3,8.00,
    IF(arrears_months=4,10.00,
    IF(arrears_months=5,12.00,15.00)))))))</f>
        <v/>
      </c>
      <c r="M9870">
        <f>LET(
    seasoning_years,DATEDIF('Loan Tape (S&amp;P)'!K9870,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70">
        <f>IF(AND('Loan Tape (S&amp;P)'!U9870="Yes",
        'Loan Tape (S&amp;P)'!T9870&lt;&gt;"Yes",
        DATEDIF('Loan Tape (S&amp;P)'!K9870, TODAY(), "M")&lt;18),
    1.10,
    1.00)</f>
        <v/>
      </c>
      <c r="O9870">
        <f>IF('Loan Tape (S&amp;P)'!T9870="Yes",
    1.35,
    1.00)</f>
        <v/>
      </c>
      <c r="P9870">
        <f>IF('Loan Tape (S&amp;P)'!S9870="Yes",
    1.15,
    1.00)</f>
        <v/>
      </c>
      <c r="Q9870">
        <f>IF('Loan Tape (S&amp;P)'!V9870="Yes",
    1.20,
    1.00)</f>
        <v/>
      </c>
      <c r="T9870">
        <f>LET(
    payment_method,'Loan Tape (S&amp;P)'!P9870,
    occupancy,'Loan Tape (S&amp;P)'!N9870,
    maturity_date,'Loan Tape (S&amp;P)'!L9870,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71">
      <c r="J9871">
        <f>LET(
    lien,'Loan Tape (S&amp;P)'!Q9871,
    IF(lien="First",1.00,
        IF(lien="Second",1.50,
            1.70)))</f>
        <v/>
      </c>
      <c r="K9871">
        <f>LET(
    purpose,'Loan Tape (S&amp;P)'!R9871,
    IF(purpose="Purchase",1.00,
        IF(purpose="Remortgage",1.00,
            1.20)))</f>
        <v/>
      </c>
      <c r="L9871">
        <f>LET(
    arrears_months,'Loan Tape (S&amp;P)'!AN9871,
    IF(arrears_months=0,1.00,
    IF(arrears_months=1,3.00,
    IF(arrears_months=2,5.00,
    IF(arrears_months=3,8.00,
    IF(arrears_months=4,10.00,
    IF(arrears_months=5,12.00,15.00)))))))</f>
        <v/>
      </c>
      <c r="M9871">
        <f>LET(
    seasoning_years,DATEDIF('Loan Tape (S&amp;P)'!K9871,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71">
        <f>IF(AND('Loan Tape (S&amp;P)'!U9871="Yes",
        'Loan Tape (S&amp;P)'!T9871&lt;&gt;"Yes",
        DATEDIF('Loan Tape (S&amp;P)'!K9871, TODAY(), "M")&lt;18),
    1.10,
    1.00)</f>
        <v/>
      </c>
      <c r="O9871">
        <f>IF('Loan Tape (S&amp;P)'!T9871="Yes",
    1.35,
    1.00)</f>
        <v/>
      </c>
      <c r="P9871">
        <f>IF('Loan Tape (S&amp;P)'!S9871="Yes",
    1.15,
    1.00)</f>
        <v/>
      </c>
      <c r="Q9871">
        <f>IF('Loan Tape (S&amp;P)'!V9871="Yes",
    1.20,
    1.00)</f>
        <v/>
      </c>
      <c r="T9871">
        <f>LET(
    payment_method,'Loan Tape (S&amp;P)'!P9871,
    occupancy,'Loan Tape (S&amp;P)'!N9871,
    maturity_date,'Loan Tape (S&amp;P)'!L9871,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72">
      <c r="J9872">
        <f>LET(
    lien,'Loan Tape (S&amp;P)'!Q9872,
    IF(lien="First",1.00,
        IF(lien="Second",1.50,
            1.70)))</f>
        <v/>
      </c>
      <c r="K9872">
        <f>LET(
    purpose,'Loan Tape (S&amp;P)'!R9872,
    IF(purpose="Purchase",1.00,
        IF(purpose="Remortgage",1.00,
            1.20)))</f>
        <v/>
      </c>
      <c r="L9872">
        <f>LET(
    arrears_months,'Loan Tape (S&amp;P)'!AN9872,
    IF(arrears_months=0,1.00,
    IF(arrears_months=1,3.00,
    IF(arrears_months=2,5.00,
    IF(arrears_months=3,8.00,
    IF(arrears_months=4,10.00,
    IF(arrears_months=5,12.00,15.00)))))))</f>
        <v/>
      </c>
      <c r="M9872">
        <f>LET(
    seasoning_years,DATEDIF('Loan Tape (S&amp;P)'!K9872,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72">
        <f>IF(AND('Loan Tape (S&amp;P)'!U9872="Yes",
        'Loan Tape (S&amp;P)'!T9872&lt;&gt;"Yes",
        DATEDIF('Loan Tape (S&amp;P)'!K9872, TODAY(), "M")&lt;18),
    1.10,
    1.00)</f>
        <v/>
      </c>
      <c r="O9872">
        <f>IF('Loan Tape (S&amp;P)'!T9872="Yes",
    1.35,
    1.00)</f>
        <v/>
      </c>
      <c r="P9872">
        <f>IF('Loan Tape (S&amp;P)'!S9872="Yes",
    1.15,
    1.00)</f>
        <v/>
      </c>
      <c r="Q9872">
        <f>IF('Loan Tape (S&amp;P)'!V9872="Yes",
    1.20,
    1.00)</f>
        <v/>
      </c>
      <c r="T9872">
        <f>LET(
    payment_method,'Loan Tape (S&amp;P)'!P9872,
    occupancy,'Loan Tape (S&amp;P)'!N9872,
    maturity_date,'Loan Tape (S&amp;P)'!L9872,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73">
      <c r="J9873">
        <f>LET(
    lien,'Loan Tape (S&amp;P)'!Q9873,
    IF(lien="First",1.00,
        IF(lien="Second",1.50,
            1.70)))</f>
        <v/>
      </c>
      <c r="K9873">
        <f>LET(
    purpose,'Loan Tape (S&amp;P)'!R9873,
    IF(purpose="Purchase",1.00,
        IF(purpose="Remortgage",1.00,
            1.20)))</f>
        <v/>
      </c>
      <c r="L9873">
        <f>LET(
    arrears_months,'Loan Tape (S&amp;P)'!AN9873,
    IF(arrears_months=0,1.00,
    IF(arrears_months=1,3.00,
    IF(arrears_months=2,5.00,
    IF(arrears_months=3,8.00,
    IF(arrears_months=4,10.00,
    IF(arrears_months=5,12.00,15.00)))))))</f>
        <v/>
      </c>
      <c r="M9873">
        <f>LET(
    seasoning_years,DATEDIF('Loan Tape (S&amp;P)'!K9873,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73">
        <f>IF(AND('Loan Tape (S&amp;P)'!U9873="Yes",
        'Loan Tape (S&amp;P)'!T9873&lt;&gt;"Yes",
        DATEDIF('Loan Tape (S&amp;P)'!K9873, TODAY(), "M")&lt;18),
    1.10,
    1.00)</f>
        <v/>
      </c>
      <c r="O9873">
        <f>IF('Loan Tape (S&amp;P)'!T9873="Yes",
    1.35,
    1.00)</f>
        <v/>
      </c>
      <c r="P9873">
        <f>IF('Loan Tape (S&amp;P)'!S9873="Yes",
    1.15,
    1.00)</f>
        <v/>
      </c>
      <c r="Q9873">
        <f>IF('Loan Tape (S&amp;P)'!V9873="Yes",
    1.20,
    1.00)</f>
        <v/>
      </c>
      <c r="T9873">
        <f>LET(
    payment_method,'Loan Tape (S&amp;P)'!P9873,
    occupancy,'Loan Tape (S&amp;P)'!N9873,
    maturity_date,'Loan Tape (S&amp;P)'!L9873,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74">
      <c r="J9874">
        <f>LET(
    lien,'Loan Tape (S&amp;P)'!Q9874,
    IF(lien="First",1.00,
        IF(lien="Second",1.50,
            1.70)))</f>
        <v/>
      </c>
      <c r="K9874">
        <f>LET(
    purpose,'Loan Tape (S&amp;P)'!R9874,
    IF(purpose="Purchase",1.00,
        IF(purpose="Remortgage",1.00,
            1.20)))</f>
        <v/>
      </c>
      <c r="L9874">
        <f>LET(
    arrears_months,'Loan Tape (S&amp;P)'!AN9874,
    IF(arrears_months=0,1.00,
    IF(arrears_months=1,3.00,
    IF(arrears_months=2,5.00,
    IF(arrears_months=3,8.00,
    IF(arrears_months=4,10.00,
    IF(arrears_months=5,12.00,15.00)))))))</f>
        <v/>
      </c>
      <c r="M9874">
        <f>LET(
    seasoning_years,DATEDIF('Loan Tape (S&amp;P)'!K9874,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74">
        <f>IF(AND('Loan Tape (S&amp;P)'!U9874="Yes",
        'Loan Tape (S&amp;P)'!T9874&lt;&gt;"Yes",
        DATEDIF('Loan Tape (S&amp;P)'!K9874, TODAY(), "M")&lt;18),
    1.10,
    1.00)</f>
        <v/>
      </c>
      <c r="O9874">
        <f>IF('Loan Tape (S&amp;P)'!T9874="Yes",
    1.35,
    1.00)</f>
        <v/>
      </c>
      <c r="P9874">
        <f>IF('Loan Tape (S&amp;P)'!S9874="Yes",
    1.15,
    1.00)</f>
        <v/>
      </c>
      <c r="Q9874">
        <f>IF('Loan Tape (S&amp;P)'!V9874="Yes",
    1.20,
    1.00)</f>
        <v/>
      </c>
      <c r="T9874">
        <f>LET(
    payment_method,'Loan Tape (S&amp;P)'!P9874,
    occupancy,'Loan Tape (S&amp;P)'!N9874,
    maturity_date,'Loan Tape (S&amp;P)'!L9874,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75">
      <c r="J9875">
        <f>LET(
    lien,'Loan Tape (S&amp;P)'!Q9875,
    IF(lien="First",1.00,
        IF(lien="Second",1.50,
            1.70)))</f>
        <v/>
      </c>
      <c r="K9875">
        <f>LET(
    purpose,'Loan Tape (S&amp;P)'!R9875,
    IF(purpose="Purchase",1.00,
        IF(purpose="Remortgage",1.00,
            1.20)))</f>
        <v/>
      </c>
      <c r="L9875">
        <f>LET(
    arrears_months,'Loan Tape (S&amp;P)'!AN9875,
    IF(arrears_months=0,1.00,
    IF(arrears_months=1,3.00,
    IF(arrears_months=2,5.00,
    IF(arrears_months=3,8.00,
    IF(arrears_months=4,10.00,
    IF(arrears_months=5,12.00,15.00)))))))</f>
        <v/>
      </c>
      <c r="M9875">
        <f>LET(
    seasoning_years,DATEDIF('Loan Tape (S&amp;P)'!K9875,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75">
        <f>IF(AND('Loan Tape (S&amp;P)'!U9875="Yes",
        'Loan Tape (S&amp;P)'!T9875&lt;&gt;"Yes",
        DATEDIF('Loan Tape (S&amp;P)'!K9875, TODAY(), "M")&lt;18),
    1.10,
    1.00)</f>
        <v/>
      </c>
      <c r="O9875">
        <f>IF('Loan Tape (S&amp;P)'!T9875="Yes",
    1.35,
    1.00)</f>
        <v/>
      </c>
      <c r="P9875">
        <f>IF('Loan Tape (S&amp;P)'!S9875="Yes",
    1.15,
    1.00)</f>
        <v/>
      </c>
      <c r="Q9875">
        <f>IF('Loan Tape (S&amp;P)'!V9875="Yes",
    1.20,
    1.00)</f>
        <v/>
      </c>
      <c r="T9875">
        <f>LET(
    payment_method,'Loan Tape (S&amp;P)'!P9875,
    occupancy,'Loan Tape (S&amp;P)'!N9875,
    maturity_date,'Loan Tape (S&amp;P)'!L9875,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76">
      <c r="J9876">
        <f>LET(
    lien,'Loan Tape (S&amp;P)'!Q9876,
    IF(lien="First",1.00,
        IF(lien="Second",1.50,
            1.70)))</f>
        <v/>
      </c>
      <c r="K9876">
        <f>LET(
    purpose,'Loan Tape (S&amp;P)'!R9876,
    IF(purpose="Purchase",1.00,
        IF(purpose="Remortgage",1.00,
            1.20)))</f>
        <v/>
      </c>
      <c r="L9876">
        <f>LET(
    arrears_months,'Loan Tape (S&amp;P)'!AN9876,
    IF(arrears_months=0,1.00,
    IF(arrears_months=1,3.00,
    IF(arrears_months=2,5.00,
    IF(arrears_months=3,8.00,
    IF(arrears_months=4,10.00,
    IF(arrears_months=5,12.00,15.00)))))))</f>
        <v/>
      </c>
      <c r="M9876">
        <f>LET(
    seasoning_years,DATEDIF('Loan Tape (S&amp;P)'!K9876,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76">
        <f>IF(AND('Loan Tape (S&amp;P)'!U9876="Yes",
        'Loan Tape (S&amp;P)'!T9876&lt;&gt;"Yes",
        DATEDIF('Loan Tape (S&amp;P)'!K9876, TODAY(), "M")&lt;18),
    1.10,
    1.00)</f>
        <v/>
      </c>
      <c r="O9876">
        <f>IF('Loan Tape (S&amp;P)'!T9876="Yes",
    1.35,
    1.00)</f>
        <v/>
      </c>
      <c r="P9876">
        <f>IF('Loan Tape (S&amp;P)'!S9876="Yes",
    1.15,
    1.00)</f>
        <v/>
      </c>
      <c r="Q9876">
        <f>IF('Loan Tape (S&amp;P)'!V9876="Yes",
    1.20,
    1.00)</f>
        <v/>
      </c>
      <c r="T9876">
        <f>LET(
    payment_method,'Loan Tape (S&amp;P)'!P9876,
    occupancy,'Loan Tape (S&amp;P)'!N9876,
    maturity_date,'Loan Tape (S&amp;P)'!L9876,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77">
      <c r="J9877">
        <f>LET(
    lien,'Loan Tape (S&amp;P)'!Q9877,
    IF(lien="First",1.00,
        IF(lien="Second",1.50,
            1.70)))</f>
        <v/>
      </c>
      <c r="K9877">
        <f>LET(
    purpose,'Loan Tape (S&amp;P)'!R9877,
    IF(purpose="Purchase",1.00,
        IF(purpose="Remortgage",1.00,
            1.20)))</f>
        <v/>
      </c>
      <c r="L9877">
        <f>LET(
    arrears_months,'Loan Tape (S&amp;P)'!AN9877,
    IF(arrears_months=0,1.00,
    IF(arrears_months=1,3.00,
    IF(arrears_months=2,5.00,
    IF(arrears_months=3,8.00,
    IF(arrears_months=4,10.00,
    IF(arrears_months=5,12.00,15.00)))))))</f>
        <v/>
      </c>
      <c r="M9877">
        <f>LET(
    seasoning_years,DATEDIF('Loan Tape (S&amp;P)'!K9877,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77">
        <f>IF(AND('Loan Tape (S&amp;P)'!U9877="Yes",
        'Loan Tape (S&amp;P)'!T9877&lt;&gt;"Yes",
        DATEDIF('Loan Tape (S&amp;P)'!K9877, TODAY(), "M")&lt;18),
    1.10,
    1.00)</f>
        <v/>
      </c>
      <c r="O9877">
        <f>IF('Loan Tape (S&amp;P)'!T9877="Yes",
    1.35,
    1.00)</f>
        <v/>
      </c>
      <c r="P9877">
        <f>IF('Loan Tape (S&amp;P)'!S9877="Yes",
    1.15,
    1.00)</f>
        <v/>
      </c>
      <c r="Q9877">
        <f>IF('Loan Tape (S&amp;P)'!V9877="Yes",
    1.20,
    1.00)</f>
        <v/>
      </c>
      <c r="T9877">
        <f>LET(
    payment_method,'Loan Tape (S&amp;P)'!P9877,
    occupancy,'Loan Tape (S&amp;P)'!N9877,
    maturity_date,'Loan Tape (S&amp;P)'!L9877,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78">
      <c r="J9878">
        <f>LET(
    lien,'Loan Tape (S&amp;P)'!Q9878,
    IF(lien="First",1.00,
        IF(lien="Second",1.50,
            1.70)))</f>
        <v/>
      </c>
      <c r="K9878">
        <f>LET(
    purpose,'Loan Tape (S&amp;P)'!R9878,
    IF(purpose="Purchase",1.00,
        IF(purpose="Remortgage",1.00,
            1.20)))</f>
        <v/>
      </c>
      <c r="L9878">
        <f>LET(
    arrears_months,'Loan Tape (S&amp;P)'!AN9878,
    IF(arrears_months=0,1.00,
    IF(arrears_months=1,3.00,
    IF(arrears_months=2,5.00,
    IF(arrears_months=3,8.00,
    IF(arrears_months=4,10.00,
    IF(arrears_months=5,12.00,15.00)))))))</f>
        <v/>
      </c>
      <c r="M9878">
        <f>LET(
    seasoning_years,DATEDIF('Loan Tape (S&amp;P)'!K9878,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78">
        <f>IF(AND('Loan Tape (S&amp;P)'!U9878="Yes",
        'Loan Tape (S&amp;P)'!T9878&lt;&gt;"Yes",
        DATEDIF('Loan Tape (S&amp;P)'!K9878, TODAY(), "M")&lt;18),
    1.10,
    1.00)</f>
        <v/>
      </c>
      <c r="O9878">
        <f>IF('Loan Tape (S&amp;P)'!T9878="Yes",
    1.35,
    1.00)</f>
        <v/>
      </c>
      <c r="P9878">
        <f>IF('Loan Tape (S&amp;P)'!S9878="Yes",
    1.15,
    1.00)</f>
        <v/>
      </c>
      <c r="Q9878">
        <f>IF('Loan Tape (S&amp;P)'!V9878="Yes",
    1.20,
    1.00)</f>
        <v/>
      </c>
      <c r="T9878">
        <f>LET(
    payment_method,'Loan Tape (S&amp;P)'!P9878,
    occupancy,'Loan Tape (S&amp;P)'!N9878,
    maturity_date,'Loan Tape (S&amp;P)'!L9878,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79">
      <c r="J9879">
        <f>LET(
    lien,'Loan Tape (S&amp;P)'!Q9879,
    IF(lien="First",1.00,
        IF(lien="Second",1.50,
            1.70)))</f>
        <v/>
      </c>
      <c r="K9879">
        <f>LET(
    purpose,'Loan Tape (S&amp;P)'!R9879,
    IF(purpose="Purchase",1.00,
        IF(purpose="Remortgage",1.00,
            1.20)))</f>
        <v/>
      </c>
      <c r="L9879">
        <f>LET(
    arrears_months,'Loan Tape (S&amp;P)'!AN9879,
    IF(arrears_months=0,1.00,
    IF(arrears_months=1,3.00,
    IF(arrears_months=2,5.00,
    IF(arrears_months=3,8.00,
    IF(arrears_months=4,10.00,
    IF(arrears_months=5,12.00,15.00)))))))</f>
        <v/>
      </c>
      <c r="M9879">
        <f>LET(
    seasoning_years,DATEDIF('Loan Tape (S&amp;P)'!K9879,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79">
        <f>IF(AND('Loan Tape (S&amp;P)'!U9879="Yes",
        'Loan Tape (S&amp;P)'!T9879&lt;&gt;"Yes",
        DATEDIF('Loan Tape (S&amp;P)'!K9879, TODAY(), "M")&lt;18),
    1.10,
    1.00)</f>
        <v/>
      </c>
      <c r="O9879">
        <f>IF('Loan Tape (S&amp;P)'!T9879="Yes",
    1.35,
    1.00)</f>
        <v/>
      </c>
      <c r="P9879">
        <f>IF('Loan Tape (S&amp;P)'!S9879="Yes",
    1.15,
    1.00)</f>
        <v/>
      </c>
      <c r="Q9879">
        <f>IF('Loan Tape (S&amp;P)'!V9879="Yes",
    1.20,
    1.00)</f>
        <v/>
      </c>
      <c r="T9879">
        <f>LET(
    payment_method,'Loan Tape (S&amp;P)'!P9879,
    occupancy,'Loan Tape (S&amp;P)'!N9879,
    maturity_date,'Loan Tape (S&amp;P)'!L9879,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80">
      <c r="J9880">
        <f>LET(
    lien,'Loan Tape (S&amp;P)'!Q9880,
    IF(lien="First",1.00,
        IF(lien="Second",1.50,
            1.70)))</f>
        <v/>
      </c>
      <c r="K9880">
        <f>LET(
    purpose,'Loan Tape (S&amp;P)'!R9880,
    IF(purpose="Purchase",1.00,
        IF(purpose="Remortgage",1.00,
            1.20)))</f>
        <v/>
      </c>
      <c r="L9880">
        <f>LET(
    arrears_months,'Loan Tape (S&amp;P)'!AN9880,
    IF(arrears_months=0,1.00,
    IF(arrears_months=1,3.00,
    IF(arrears_months=2,5.00,
    IF(arrears_months=3,8.00,
    IF(arrears_months=4,10.00,
    IF(arrears_months=5,12.00,15.00)))))))</f>
        <v/>
      </c>
      <c r="M9880">
        <f>LET(
    seasoning_years,DATEDIF('Loan Tape (S&amp;P)'!K9880,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80">
        <f>IF(AND('Loan Tape (S&amp;P)'!U9880="Yes",
        'Loan Tape (S&amp;P)'!T9880&lt;&gt;"Yes",
        DATEDIF('Loan Tape (S&amp;P)'!K9880, TODAY(), "M")&lt;18),
    1.10,
    1.00)</f>
        <v/>
      </c>
      <c r="O9880">
        <f>IF('Loan Tape (S&amp;P)'!T9880="Yes",
    1.35,
    1.00)</f>
        <v/>
      </c>
      <c r="P9880">
        <f>IF('Loan Tape (S&amp;P)'!S9880="Yes",
    1.15,
    1.00)</f>
        <v/>
      </c>
      <c r="Q9880">
        <f>IF('Loan Tape (S&amp;P)'!V9880="Yes",
    1.20,
    1.00)</f>
        <v/>
      </c>
      <c r="T9880">
        <f>LET(
    payment_method,'Loan Tape (S&amp;P)'!P9880,
    occupancy,'Loan Tape (S&amp;P)'!N9880,
    maturity_date,'Loan Tape (S&amp;P)'!L9880,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81">
      <c r="J9881">
        <f>LET(
    lien,'Loan Tape (S&amp;P)'!Q9881,
    IF(lien="First",1.00,
        IF(lien="Second",1.50,
            1.70)))</f>
        <v/>
      </c>
      <c r="K9881">
        <f>LET(
    purpose,'Loan Tape (S&amp;P)'!R9881,
    IF(purpose="Purchase",1.00,
        IF(purpose="Remortgage",1.00,
            1.20)))</f>
        <v/>
      </c>
      <c r="L9881">
        <f>LET(
    arrears_months,'Loan Tape (S&amp;P)'!AN9881,
    IF(arrears_months=0,1.00,
    IF(arrears_months=1,3.00,
    IF(arrears_months=2,5.00,
    IF(arrears_months=3,8.00,
    IF(arrears_months=4,10.00,
    IF(arrears_months=5,12.00,15.00)))))))</f>
        <v/>
      </c>
      <c r="M9881">
        <f>LET(
    seasoning_years,DATEDIF('Loan Tape (S&amp;P)'!K9881,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81">
        <f>IF(AND('Loan Tape (S&amp;P)'!U9881="Yes",
        'Loan Tape (S&amp;P)'!T9881&lt;&gt;"Yes",
        DATEDIF('Loan Tape (S&amp;P)'!K9881, TODAY(), "M")&lt;18),
    1.10,
    1.00)</f>
        <v/>
      </c>
      <c r="O9881">
        <f>IF('Loan Tape (S&amp;P)'!T9881="Yes",
    1.35,
    1.00)</f>
        <v/>
      </c>
      <c r="P9881">
        <f>IF('Loan Tape (S&amp;P)'!S9881="Yes",
    1.15,
    1.00)</f>
        <v/>
      </c>
      <c r="Q9881">
        <f>IF('Loan Tape (S&amp;P)'!V9881="Yes",
    1.20,
    1.00)</f>
        <v/>
      </c>
      <c r="T9881">
        <f>LET(
    payment_method,'Loan Tape (S&amp;P)'!P9881,
    occupancy,'Loan Tape (S&amp;P)'!N9881,
    maturity_date,'Loan Tape (S&amp;P)'!L9881,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82">
      <c r="J9882">
        <f>LET(
    lien,'Loan Tape (S&amp;P)'!Q9882,
    IF(lien="First",1.00,
        IF(lien="Second",1.50,
            1.70)))</f>
        <v/>
      </c>
      <c r="K9882">
        <f>LET(
    purpose,'Loan Tape (S&amp;P)'!R9882,
    IF(purpose="Purchase",1.00,
        IF(purpose="Remortgage",1.00,
            1.20)))</f>
        <v/>
      </c>
      <c r="L9882">
        <f>LET(
    arrears_months,'Loan Tape (S&amp;P)'!AN9882,
    IF(arrears_months=0,1.00,
    IF(arrears_months=1,3.00,
    IF(arrears_months=2,5.00,
    IF(arrears_months=3,8.00,
    IF(arrears_months=4,10.00,
    IF(arrears_months=5,12.00,15.00)))))))</f>
        <v/>
      </c>
      <c r="M9882">
        <f>LET(
    seasoning_years,DATEDIF('Loan Tape (S&amp;P)'!K9882,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82">
        <f>IF(AND('Loan Tape (S&amp;P)'!U9882="Yes",
        'Loan Tape (S&amp;P)'!T9882&lt;&gt;"Yes",
        DATEDIF('Loan Tape (S&amp;P)'!K9882, TODAY(), "M")&lt;18),
    1.10,
    1.00)</f>
        <v/>
      </c>
      <c r="O9882">
        <f>IF('Loan Tape (S&amp;P)'!T9882="Yes",
    1.35,
    1.00)</f>
        <v/>
      </c>
      <c r="P9882">
        <f>IF('Loan Tape (S&amp;P)'!S9882="Yes",
    1.15,
    1.00)</f>
        <v/>
      </c>
      <c r="Q9882">
        <f>IF('Loan Tape (S&amp;P)'!V9882="Yes",
    1.20,
    1.00)</f>
        <v/>
      </c>
      <c r="T9882">
        <f>LET(
    payment_method,'Loan Tape (S&amp;P)'!P9882,
    occupancy,'Loan Tape (S&amp;P)'!N9882,
    maturity_date,'Loan Tape (S&amp;P)'!L9882,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83">
      <c r="J9883">
        <f>LET(
    lien,'Loan Tape (S&amp;P)'!Q9883,
    IF(lien="First",1.00,
        IF(lien="Second",1.50,
            1.70)))</f>
        <v/>
      </c>
      <c r="K9883">
        <f>LET(
    purpose,'Loan Tape (S&amp;P)'!R9883,
    IF(purpose="Purchase",1.00,
        IF(purpose="Remortgage",1.00,
            1.20)))</f>
        <v/>
      </c>
      <c r="L9883">
        <f>LET(
    arrears_months,'Loan Tape (S&amp;P)'!AN9883,
    IF(arrears_months=0,1.00,
    IF(arrears_months=1,3.00,
    IF(arrears_months=2,5.00,
    IF(arrears_months=3,8.00,
    IF(arrears_months=4,10.00,
    IF(arrears_months=5,12.00,15.00)))))))</f>
        <v/>
      </c>
      <c r="M9883">
        <f>LET(
    seasoning_years,DATEDIF('Loan Tape (S&amp;P)'!K9883,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83">
        <f>IF(AND('Loan Tape (S&amp;P)'!U9883="Yes",
        'Loan Tape (S&amp;P)'!T9883&lt;&gt;"Yes",
        DATEDIF('Loan Tape (S&amp;P)'!K9883, TODAY(), "M")&lt;18),
    1.10,
    1.00)</f>
        <v/>
      </c>
      <c r="O9883">
        <f>IF('Loan Tape (S&amp;P)'!T9883="Yes",
    1.35,
    1.00)</f>
        <v/>
      </c>
      <c r="P9883">
        <f>IF('Loan Tape (S&amp;P)'!S9883="Yes",
    1.15,
    1.00)</f>
        <v/>
      </c>
      <c r="Q9883">
        <f>IF('Loan Tape (S&amp;P)'!V9883="Yes",
    1.20,
    1.00)</f>
        <v/>
      </c>
      <c r="T9883">
        <f>LET(
    payment_method,'Loan Tape (S&amp;P)'!P9883,
    occupancy,'Loan Tape (S&amp;P)'!N9883,
    maturity_date,'Loan Tape (S&amp;P)'!L9883,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84">
      <c r="J9884">
        <f>LET(
    lien,'Loan Tape (S&amp;P)'!Q9884,
    IF(lien="First",1.00,
        IF(lien="Second",1.50,
            1.70)))</f>
        <v/>
      </c>
      <c r="K9884">
        <f>LET(
    purpose,'Loan Tape (S&amp;P)'!R9884,
    IF(purpose="Purchase",1.00,
        IF(purpose="Remortgage",1.00,
            1.20)))</f>
        <v/>
      </c>
      <c r="L9884">
        <f>LET(
    arrears_months,'Loan Tape (S&amp;P)'!AN9884,
    IF(arrears_months=0,1.00,
    IF(arrears_months=1,3.00,
    IF(arrears_months=2,5.00,
    IF(arrears_months=3,8.00,
    IF(arrears_months=4,10.00,
    IF(arrears_months=5,12.00,15.00)))))))</f>
        <v/>
      </c>
      <c r="M9884">
        <f>LET(
    seasoning_years,DATEDIF('Loan Tape (S&amp;P)'!K9884,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84">
        <f>IF(AND('Loan Tape (S&amp;P)'!U9884="Yes",
        'Loan Tape (S&amp;P)'!T9884&lt;&gt;"Yes",
        DATEDIF('Loan Tape (S&amp;P)'!K9884, TODAY(), "M")&lt;18),
    1.10,
    1.00)</f>
        <v/>
      </c>
      <c r="O9884">
        <f>IF('Loan Tape (S&amp;P)'!T9884="Yes",
    1.35,
    1.00)</f>
        <v/>
      </c>
      <c r="P9884">
        <f>IF('Loan Tape (S&amp;P)'!S9884="Yes",
    1.15,
    1.00)</f>
        <v/>
      </c>
      <c r="Q9884">
        <f>IF('Loan Tape (S&amp;P)'!V9884="Yes",
    1.20,
    1.00)</f>
        <v/>
      </c>
      <c r="T9884">
        <f>LET(
    payment_method,'Loan Tape (S&amp;P)'!P9884,
    occupancy,'Loan Tape (S&amp;P)'!N9884,
    maturity_date,'Loan Tape (S&amp;P)'!L9884,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85">
      <c r="J9885">
        <f>LET(
    lien,'Loan Tape (S&amp;P)'!Q9885,
    IF(lien="First",1.00,
        IF(lien="Second",1.50,
            1.70)))</f>
        <v/>
      </c>
      <c r="K9885">
        <f>LET(
    purpose,'Loan Tape (S&amp;P)'!R9885,
    IF(purpose="Purchase",1.00,
        IF(purpose="Remortgage",1.00,
            1.20)))</f>
        <v/>
      </c>
      <c r="L9885">
        <f>LET(
    arrears_months,'Loan Tape (S&amp;P)'!AN9885,
    IF(arrears_months=0,1.00,
    IF(arrears_months=1,3.00,
    IF(arrears_months=2,5.00,
    IF(arrears_months=3,8.00,
    IF(arrears_months=4,10.00,
    IF(arrears_months=5,12.00,15.00)))))))</f>
        <v/>
      </c>
      <c r="M9885">
        <f>LET(
    seasoning_years,DATEDIF('Loan Tape (S&amp;P)'!K9885,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85">
        <f>IF(AND('Loan Tape (S&amp;P)'!U9885="Yes",
        'Loan Tape (S&amp;P)'!T9885&lt;&gt;"Yes",
        DATEDIF('Loan Tape (S&amp;P)'!K9885, TODAY(), "M")&lt;18),
    1.10,
    1.00)</f>
        <v/>
      </c>
      <c r="O9885">
        <f>IF('Loan Tape (S&amp;P)'!T9885="Yes",
    1.35,
    1.00)</f>
        <v/>
      </c>
      <c r="P9885">
        <f>IF('Loan Tape (S&amp;P)'!S9885="Yes",
    1.15,
    1.00)</f>
        <v/>
      </c>
      <c r="Q9885">
        <f>IF('Loan Tape (S&amp;P)'!V9885="Yes",
    1.20,
    1.00)</f>
        <v/>
      </c>
      <c r="T9885">
        <f>LET(
    payment_method,'Loan Tape (S&amp;P)'!P9885,
    occupancy,'Loan Tape (S&amp;P)'!N9885,
    maturity_date,'Loan Tape (S&amp;P)'!L9885,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86">
      <c r="J9886">
        <f>LET(
    lien,'Loan Tape (S&amp;P)'!Q9886,
    IF(lien="First",1.00,
        IF(lien="Second",1.50,
            1.70)))</f>
        <v/>
      </c>
      <c r="K9886">
        <f>LET(
    purpose,'Loan Tape (S&amp;P)'!R9886,
    IF(purpose="Purchase",1.00,
        IF(purpose="Remortgage",1.00,
            1.20)))</f>
        <v/>
      </c>
      <c r="L9886">
        <f>LET(
    arrears_months,'Loan Tape (S&amp;P)'!AN9886,
    IF(arrears_months=0,1.00,
    IF(arrears_months=1,3.00,
    IF(arrears_months=2,5.00,
    IF(arrears_months=3,8.00,
    IF(arrears_months=4,10.00,
    IF(arrears_months=5,12.00,15.00)))))))</f>
        <v/>
      </c>
      <c r="M9886">
        <f>LET(
    seasoning_years,DATEDIF('Loan Tape (S&amp;P)'!K9886,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86">
        <f>IF(AND('Loan Tape (S&amp;P)'!U9886="Yes",
        'Loan Tape (S&amp;P)'!T9886&lt;&gt;"Yes",
        DATEDIF('Loan Tape (S&amp;P)'!K9886, TODAY(), "M")&lt;18),
    1.10,
    1.00)</f>
        <v/>
      </c>
      <c r="O9886">
        <f>IF('Loan Tape (S&amp;P)'!T9886="Yes",
    1.35,
    1.00)</f>
        <v/>
      </c>
      <c r="P9886">
        <f>IF('Loan Tape (S&amp;P)'!S9886="Yes",
    1.15,
    1.00)</f>
        <v/>
      </c>
      <c r="Q9886">
        <f>IF('Loan Tape (S&amp;P)'!V9886="Yes",
    1.20,
    1.00)</f>
        <v/>
      </c>
      <c r="T9886">
        <f>LET(
    payment_method,'Loan Tape (S&amp;P)'!P9886,
    occupancy,'Loan Tape (S&amp;P)'!N9886,
    maturity_date,'Loan Tape (S&amp;P)'!L9886,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87">
      <c r="J9887">
        <f>LET(
    lien,'Loan Tape (S&amp;P)'!Q9887,
    IF(lien="First",1.00,
        IF(lien="Second",1.50,
            1.70)))</f>
        <v/>
      </c>
      <c r="K9887">
        <f>LET(
    purpose,'Loan Tape (S&amp;P)'!R9887,
    IF(purpose="Purchase",1.00,
        IF(purpose="Remortgage",1.00,
            1.20)))</f>
        <v/>
      </c>
      <c r="L9887">
        <f>LET(
    arrears_months,'Loan Tape (S&amp;P)'!AN9887,
    IF(arrears_months=0,1.00,
    IF(arrears_months=1,3.00,
    IF(arrears_months=2,5.00,
    IF(arrears_months=3,8.00,
    IF(arrears_months=4,10.00,
    IF(arrears_months=5,12.00,15.00)))))))</f>
        <v/>
      </c>
      <c r="M9887">
        <f>LET(
    seasoning_years,DATEDIF('Loan Tape (S&amp;P)'!K9887,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87">
        <f>IF(AND('Loan Tape (S&amp;P)'!U9887="Yes",
        'Loan Tape (S&amp;P)'!T9887&lt;&gt;"Yes",
        DATEDIF('Loan Tape (S&amp;P)'!K9887, TODAY(), "M")&lt;18),
    1.10,
    1.00)</f>
        <v/>
      </c>
      <c r="O9887">
        <f>IF('Loan Tape (S&amp;P)'!T9887="Yes",
    1.35,
    1.00)</f>
        <v/>
      </c>
      <c r="P9887">
        <f>IF('Loan Tape (S&amp;P)'!S9887="Yes",
    1.15,
    1.00)</f>
        <v/>
      </c>
      <c r="Q9887">
        <f>IF('Loan Tape (S&amp;P)'!V9887="Yes",
    1.20,
    1.00)</f>
        <v/>
      </c>
      <c r="T9887">
        <f>LET(
    payment_method,'Loan Tape (S&amp;P)'!P9887,
    occupancy,'Loan Tape (S&amp;P)'!N9887,
    maturity_date,'Loan Tape (S&amp;P)'!L9887,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88">
      <c r="J9888">
        <f>LET(
    lien,'Loan Tape (S&amp;P)'!Q9888,
    IF(lien="First",1.00,
        IF(lien="Second",1.50,
            1.70)))</f>
        <v/>
      </c>
      <c r="K9888">
        <f>LET(
    purpose,'Loan Tape (S&amp;P)'!R9888,
    IF(purpose="Purchase",1.00,
        IF(purpose="Remortgage",1.00,
            1.20)))</f>
        <v/>
      </c>
      <c r="L9888">
        <f>LET(
    arrears_months,'Loan Tape (S&amp;P)'!AN9888,
    IF(arrears_months=0,1.00,
    IF(arrears_months=1,3.00,
    IF(arrears_months=2,5.00,
    IF(arrears_months=3,8.00,
    IF(arrears_months=4,10.00,
    IF(arrears_months=5,12.00,15.00)))))))</f>
        <v/>
      </c>
      <c r="M9888">
        <f>LET(
    seasoning_years,DATEDIF('Loan Tape (S&amp;P)'!K9888,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88">
        <f>IF(AND('Loan Tape (S&amp;P)'!U9888="Yes",
        'Loan Tape (S&amp;P)'!T9888&lt;&gt;"Yes",
        DATEDIF('Loan Tape (S&amp;P)'!K9888, TODAY(), "M")&lt;18),
    1.10,
    1.00)</f>
        <v/>
      </c>
      <c r="O9888">
        <f>IF('Loan Tape (S&amp;P)'!T9888="Yes",
    1.35,
    1.00)</f>
        <v/>
      </c>
      <c r="P9888">
        <f>IF('Loan Tape (S&amp;P)'!S9888="Yes",
    1.15,
    1.00)</f>
        <v/>
      </c>
      <c r="Q9888">
        <f>IF('Loan Tape (S&amp;P)'!V9888="Yes",
    1.20,
    1.00)</f>
        <v/>
      </c>
      <c r="T9888">
        <f>LET(
    payment_method,'Loan Tape (S&amp;P)'!P9888,
    occupancy,'Loan Tape (S&amp;P)'!N9888,
    maturity_date,'Loan Tape (S&amp;P)'!L9888,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89">
      <c r="J9889">
        <f>LET(
    lien,'Loan Tape (S&amp;P)'!Q9889,
    IF(lien="First",1.00,
        IF(lien="Second",1.50,
            1.70)))</f>
        <v/>
      </c>
      <c r="K9889">
        <f>LET(
    purpose,'Loan Tape (S&amp;P)'!R9889,
    IF(purpose="Purchase",1.00,
        IF(purpose="Remortgage",1.00,
            1.20)))</f>
        <v/>
      </c>
      <c r="L9889">
        <f>LET(
    arrears_months,'Loan Tape (S&amp;P)'!AN9889,
    IF(arrears_months=0,1.00,
    IF(arrears_months=1,3.00,
    IF(arrears_months=2,5.00,
    IF(arrears_months=3,8.00,
    IF(arrears_months=4,10.00,
    IF(arrears_months=5,12.00,15.00)))))))</f>
        <v/>
      </c>
      <c r="M9889">
        <f>LET(
    seasoning_years,DATEDIF('Loan Tape (S&amp;P)'!K9889,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89">
        <f>IF(AND('Loan Tape (S&amp;P)'!U9889="Yes",
        'Loan Tape (S&amp;P)'!T9889&lt;&gt;"Yes",
        DATEDIF('Loan Tape (S&amp;P)'!K9889, TODAY(), "M")&lt;18),
    1.10,
    1.00)</f>
        <v/>
      </c>
      <c r="O9889">
        <f>IF('Loan Tape (S&amp;P)'!T9889="Yes",
    1.35,
    1.00)</f>
        <v/>
      </c>
      <c r="P9889">
        <f>IF('Loan Tape (S&amp;P)'!S9889="Yes",
    1.15,
    1.00)</f>
        <v/>
      </c>
      <c r="Q9889">
        <f>IF('Loan Tape (S&amp;P)'!V9889="Yes",
    1.20,
    1.00)</f>
        <v/>
      </c>
      <c r="T9889">
        <f>LET(
    payment_method,'Loan Tape (S&amp;P)'!P9889,
    occupancy,'Loan Tape (S&amp;P)'!N9889,
    maturity_date,'Loan Tape (S&amp;P)'!L9889,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90">
      <c r="J9890">
        <f>LET(
    lien,'Loan Tape (S&amp;P)'!Q9890,
    IF(lien="First",1.00,
        IF(lien="Second",1.50,
            1.70)))</f>
        <v/>
      </c>
      <c r="K9890">
        <f>LET(
    purpose,'Loan Tape (S&amp;P)'!R9890,
    IF(purpose="Purchase",1.00,
        IF(purpose="Remortgage",1.00,
            1.20)))</f>
        <v/>
      </c>
      <c r="L9890">
        <f>LET(
    arrears_months,'Loan Tape (S&amp;P)'!AN9890,
    IF(arrears_months=0,1.00,
    IF(arrears_months=1,3.00,
    IF(arrears_months=2,5.00,
    IF(arrears_months=3,8.00,
    IF(arrears_months=4,10.00,
    IF(arrears_months=5,12.00,15.00)))))))</f>
        <v/>
      </c>
      <c r="M9890">
        <f>LET(
    seasoning_years,DATEDIF('Loan Tape (S&amp;P)'!K9890,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90">
        <f>IF(AND('Loan Tape (S&amp;P)'!U9890="Yes",
        'Loan Tape (S&amp;P)'!T9890&lt;&gt;"Yes",
        DATEDIF('Loan Tape (S&amp;P)'!K9890, TODAY(), "M")&lt;18),
    1.10,
    1.00)</f>
        <v/>
      </c>
      <c r="O9890">
        <f>IF('Loan Tape (S&amp;P)'!T9890="Yes",
    1.35,
    1.00)</f>
        <v/>
      </c>
      <c r="P9890">
        <f>IF('Loan Tape (S&amp;P)'!S9890="Yes",
    1.15,
    1.00)</f>
        <v/>
      </c>
      <c r="Q9890">
        <f>IF('Loan Tape (S&amp;P)'!V9890="Yes",
    1.20,
    1.00)</f>
        <v/>
      </c>
      <c r="T9890">
        <f>LET(
    payment_method,'Loan Tape (S&amp;P)'!P9890,
    occupancy,'Loan Tape (S&amp;P)'!N9890,
    maturity_date,'Loan Tape (S&amp;P)'!L9890,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91">
      <c r="J9891">
        <f>LET(
    lien,'Loan Tape (S&amp;P)'!Q9891,
    IF(lien="First",1.00,
        IF(lien="Second",1.50,
            1.70)))</f>
        <v/>
      </c>
      <c r="K9891">
        <f>LET(
    purpose,'Loan Tape (S&amp;P)'!R9891,
    IF(purpose="Purchase",1.00,
        IF(purpose="Remortgage",1.00,
            1.20)))</f>
        <v/>
      </c>
      <c r="L9891">
        <f>LET(
    arrears_months,'Loan Tape (S&amp;P)'!AN9891,
    IF(arrears_months=0,1.00,
    IF(arrears_months=1,3.00,
    IF(arrears_months=2,5.00,
    IF(arrears_months=3,8.00,
    IF(arrears_months=4,10.00,
    IF(arrears_months=5,12.00,15.00)))))))</f>
        <v/>
      </c>
      <c r="M9891">
        <f>LET(
    seasoning_years,DATEDIF('Loan Tape (S&amp;P)'!K9891,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91">
        <f>IF(AND('Loan Tape (S&amp;P)'!U9891="Yes",
        'Loan Tape (S&amp;P)'!T9891&lt;&gt;"Yes",
        DATEDIF('Loan Tape (S&amp;P)'!K9891, TODAY(), "M")&lt;18),
    1.10,
    1.00)</f>
        <v/>
      </c>
      <c r="O9891">
        <f>IF('Loan Tape (S&amp;P)'!T9891="Yes",
    1.35,
    1.00)</f>
        <v/>
      </c>
      <c r="P9891">
        <f>IF('Loan Tape (S&amp;P)'!S9891="Yes",
    1.15,
    1.00)</f>
        <v/>
      </c>
      <c r="Q9891">
        <f>IF('Loan Tape (S&amp;P)'!V9891="Yes",
    1.20,
    1.00)</f>
        <v/>
      </c>
      <c r="T9891">
        <f>LET(
    payment_method,'Loan Tape (S&amp;P)'!P9891,
    occupancy,'Loan Tape (S&amp;P)'!N9891,
    maturity_date,'Loan Tape (S&amp;P)'!L9891,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92">
      <c r="J9892">
        <f>LET(
    lien,'Loan Tape (S&amp;P)'!Q9892,
    IF(lien="First",1.00,
        IF(lien="Second",1.50,
            1.70)))</f>
        <v/>
      </c>
      <c r="K9892">
        <f>LET(
    purpose,'Loan Tape (S&amp;P)'!R9892,
    IF(purpose="Purchase",1.00,
        IF(purpose="Remortgage",1.00,
            1.20)))</f>
        <v/>
      </c>
      <c r="L9892">
        <f>LET(
    arrears_months,'Loan Tape (S&amp;P)'!AN9892,
    IF(arrears_months=0,1.00,
    IF(arrears_months=1,3.00,
    IF(arrears_months=2,5.00,
    IF(arrears_months=3,8.00,
    IF(arrears_months=4,10.00,
    IF(arrears_months=5,12.00,15.00)))))))</f>
        <v/>
      </c>
      <c r="M9892">
        <f>LET(
    seasoning_years,DATEDIF('Loan Tape (S&amp;P)'!K9892,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92">
        <f>IF(AND('Loan Tape (S&amp;P)'!U9892="Yes",
        'Loan Tape (S&amp;P)'!T9892&lt;&gt;"Yes",
        DATEDIF('Loan Tape (S&amp;P)'!K9892, TODAY(), "M")&lt;18),
    1.10,
    1.00)</f>
        <v/>
      </c>
      <c r="O9892">
        <f>IF('Loan Tape (S&amp;P)'!T9892="Yes",
    1.35,
    1.00)</f>
        <v/>
      </c>
      <c r="P9892">
        <f>IF('Loan Tape (S&amp;P)'!S9892="Yes",
    1.15,
    1.00)</f>
        <v/>
      </c>
      <c r="Q9892">
        <f>IF('Loan Tape (S&amp;P)'!V9892="Yes",
    1.20,
    1.00)</f>
        <v/>
      </c>
      <c r="T9892">
        <f>LET(
    payment_method,'Loan Tape (S&amp;P)'!P9892,
    occupancy,'Loan Tape (S&amp;P)'!N9892,
    maturity_date,'Loan Tape (S&amp;P)'!L9892,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93">
      <c r="J9893">
        <f>LET(
    lien,'Loan Tape (S&amp;P)'!Q9893,
    IF(lien="First",1.00,
        IF(lien="Second",1.50,
            1.70)))</f>
        <v/>
      </c>
      <c r="K9893">
        <f>LET(
    purpose,'Loan Tape (S&amp;P)'!R9893,
    IF(purpose="Purchase",1.00,
        IF(purpose="Remortgage",1.00,
            1.20)))</f>
        <v/>
      </c>
      <c r="L9893">
        <f>LET(
    arrears_months,'Loan Tape (S&amp;P)'!AN9893,
    IF(arrears_months=0,1.00,
    IF(arrears_months=1,3.00,
    IF(arrears_months=2,5.00,
    IF(arrears_months=3,8.00,
    IF(arrears_months=4,10.00,
    IF(arrears_months=5,12.00,15.00)))))))</f>
        <v/>
      </c>
      <c r="M9893">
        <f>LET(
    seasoning_years,DATEDIF('Loan Tape (S&amp;P)'!K9893,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93">
        <f>IF(AND('Loan Tape (S&amp;P)'!U9893="Yes",
        'Loan Tape (S&amp;P)'!T9893&lt;&gt;"Yes",
        DATEDIF('Loan Tape (S&amp;P)'!K9893, TODAY(), "M")&lt;18),
    1.10,
    1.00)</f>
        <v/>
      </c>
      <c r="O9893">
        <f>IF('Loan Tape (S&amp;P)'!T9893="Yes",
    1.35,
    1.00)</f>
        <v/>
      </c>
      <c r="P9893">
        <f>IF('Loan Tape (S&amp;P)'!S9893="Yes",
    1.15,
    1.00)</f>
        <v/>
      </c>
      <c r="Q9893">
        <f>IF('Loan Tape (S&amp;P)'!V9893="Yes",
    1.20,
    1.00)</f>
        <v/>
      </c>
      <c r="T9893">
        <f>LET(
    payment_method,'Loan Tape (S&amp;P)'!P9893,
    occupancy,'Loan Tape (S&amp;P)'!N9893,
    maturity_date,'Loan Tape (S&amp;P)'!L9893,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94">
      <c r="J9894">
        <f>LET(
    lien,'Loan Tape (S&amp;P)'!Q9894,
    IF(lien="First",1.00,
        IF(lien="Second",1.50,
            1.70)))</f>
        <v/>
      </c>
      <c r="K9894">
        <f>LET(
    purpose,'Loan Tape (S&amp;P)'!R9894,
    IF(purpose="Purchase",1.00,
        IF(purpose="Remortgage",1.00,
            1.20)))</f>
        <v/>
      </c>
      <c r="L9894">
        <f>LET(
    arrears_months,'Loan Tape (S&amp;P)'!AN9894,
    IF(arrears_months=0,1.00,
    IF(arrears_months=1,3.00,
    IF(arrears_months=2,5.00,
    IF(arrears_months=3,8.00,
    IF(arrears_months=4,10.00,
    IF(arrears_months=5,12.00,15.00)))))))</f>
        <v/>
      </c>
      <c r="M9894">
        <f>LET(
    seasoning_years,DATEDIF('Loan Tape (S&amp;P)'!K9894,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94">
        <f>IF(AND('Loan Tape (S&amp;P)'!U9894="Yes",
        'Loan Tape (S&amp;P)'!T9894&lt;&gt;"Yes",
        DATEDIF('Loan Tape (S&amp;P)'!K9894, TODAY(), "M")&lt;18),
    1.10,
    1.00)</f>
        <v/>
      </c>
      <c r="O9894">
        <f>IF('Loan Tape (S&amp;P)'!T9894="Yes",
    1.35,
    1.00)</f>
        <v/>
      </c>
      <c r="P9894">
        <f>IF('Loan Tape (S&amp;P)'!S9894="Yes",
    1.15,
    1.00)</f>
        <v/>
      </c>
      <c r="Q9894">
        <f>IF('Loan Tape (S&amp;P)'!V9894="Yes",
    1.20,
    1.00)</f>
        <v/>
      </c>
      <c r="T9894">
        <f>LET(
    payment_method,'Loan Tape (S&amp;P)'!P9894,
    occupancy,'Loan Tape (S&amp;P)'!N9894,
    maturity_date,'Loan Tape (S&amp;P)'!L9894,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95">
      <c r="J9895">
        <f>LET(
    lien,'Loan Tape (S&amp;P)'!Q9895,
    IF(lien="First",1.00,
        IF(lien="Second",1.50,
            1.70)))</f>
        <v/>
      </c>
      <c r="K9895">
        <f>LET(
    purpose,'Loan Tape (S&amp;P)'!R9895,
    IF(purpose="Purchase",1.00,
        IF(purpose="Remortgage",1.00,
            1.20)))</f>
        <v/>
      </c>
      <c r="L9895">
        <f>LET(
    arrears_months,'Loan Tape (S&amp;P)'!AN9895,
    IF(arrears_months=0,1.00,
    IF(arrears_months=1,3.00,
    IF(arrears_months=2,5.00,
    IF(arrears_months=3,8.00,
    IF(arrears_months=4,10.00,
    IF(arrears_months=5,12.00,15.00)))))))</f>
        <v/>
      </c>
      <c r="M9895">
        <f>LET(
    seasoning_years,DATEDIF('Loan Tape (S&amp;P)'!K9895,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95">
        <f>IF(AND('Loan Tape (S&amp;P)'!U9895="Yes",
        'Loan Tape (S&amp;P)'!T9895&lt;&gt;"Yes",
        DATEDIF('Loan Tape (S&amp;P)'!K9895, TODAY(), "M")&lt;18),
    1.10,
    1.00)</f>
        <v/>
      </c>
      <c r="O9895">
        <f>IF('Loan Tape (S&amp;P)'!T9895="Yes",
    1.35,
    1.00)</f>
        <v/>
      </c>
      <c r="P9895">
        <f>IF('Loan Tape (S&amp;P)'!S9895="Yes",
    1.15,
    1.00)</f>
        <v/>
      </c>
      <c r="Q9895">
        <f>IF('Loan Tape (S&amp;P)'!V9895="Yes",
    1.20,
    1.00)</f>
        <v/>
      </c>
      <c r="T9895">
        <f>LET(
    payment_method,'Loan Tape (S&amp;P)'!P9895,
    occupancy,'Loan Tape (S&amp;P)'!N9895,
    maturity_date,'Loan Tape (S&amp;P)'!L9895,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96">
      <c r="J9896">
        <f>LET(
    lien,'Loan Tape (S&amp;P)'!Q9896,
    IF(lien="First",1.00,
        IF(lien="Second",1.50,
            1.70)))</f>
        <v/>
      </c>
      <c r="K9896">
        <f>LET(
    purpose,'Loan Tape (S&amp;P)'!R9896,
    IF(purpose="Purchase",1.00,
        IF(purpose="Remortgage",1.00,
            1.20)))</f>
        <v/>
      </c>
      <c r="L9896">
        <f>LET(
    arrears_months,'Loan Tape (S&amp;P)'!AN9896,
    IF(arrears_months=0,1.00,
    IF(arrears_months=1,3.00,
    IF(arrears_months=2,5.00,
    IF(arrears_months=3,8.00,
    IF(arrears_months=4,10.00,
    IF(arrears_months=5,12.00,15.00)))))))</f>
        <v/>
      </c>
      <c r="M9896">
        <f>LET(
    seasoning_years,DATEDIF('Loan Tape (S&amp;P)'!K9896,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96">
        <f>IF(AND('Loan Tape (S&amp;P)'!U9896="Yes",
        'Loan Tape (S&amp;P)'!T9896&lt;&gt;"Yes",
        DATEDIF('Loan Tape (S&amp;P)'!K9896, TODAY(), "M")&lt;18),
    1.10,
    1.00)</f>
        <v/>
      </c>
      <c r="O9896">
        <f>IF('Loan Tape (S&amp;P)'!T9896="Yes",
    1.35,
    1.00)</f>
        <v/>
      </c>
      <c r="P9896">
        <f>IF('Loan Tape (S&amp;P)'!S9896="Yes",
    1.15,
    1.00)</f>
        <v/>
      </c>
      <c r="Q9896">
        <f>IF('Loan Tape (S&amp;P)'!V9896="Yes",
    1.20,
    1.00)</f>
        <v/>
      </c>
      <c r="T9896">
        <f>LET(
    payment_method,'Loan Tape (S&amp;P)'!P9896,
    occupancy,'Loan Tape (S&amp;P)'!N9896,
    maturity_date,'Loan Tape (S&amp;P)'!L9896,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97">
      <c r="J9897">
        <f>LET(
    lien,'Loan Tape (S&amp;P)'!Q9897,
    IF(lien="First",1.00,
        IF(lien="Second",1.50,
            1.70)))</f>
        <v/>
      </c>
      <c r="K9897">
        <f>LET(
    purpose,'Loan Tape (S&amp;P)'!R9897,
    IF(purpose="Purchase",1.00,
        IF(purpose="Remortgage",1.00,
            1.20)))</f>
        <v/>
      </c>
      <c r="L9897">
        <f>LET(
    arrears_months,'Loan Tape (S&amp;P)'!AN9897,
    IF(arrears_months=0,1.00,
    IF(arrears_months=1,3.00,
    IF(arrears_months=2,5.00,
    IF(arrears_months=3,8.00,
    IF(arrears_months=4,10.00,
    IF(arrears_months=5,12.00,15.00)))))))</f>
        <v/>
      </c>
      <c r="M9897">
        <f>LET(
    seasoning_years,DATEDIF('Loan Tape (S&amp;P)'!K9897,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97">
        <f>IF(AND('Loan Tape (S&amp;P)'!U9897="Yes",
        'Loan Tape (S&amp;P)'!T9897&lt;&gt;"Yes",
        DATEDIF('Loan Tape (S&amp;P)'!K9897, TODAY(), "M")&lt;18),
    1.10,
    1.00)</f>
        <v/>
      </c>
      <c r="O9897">
        <f>IF('Loan Tape (S&amp;P)'!T9897="Yes",
    1.35,
    1.00)</f>
        <v/>
      </c>
      <c r="P9897">
        <f>IF('Loan Tape (S&amp;P)'!S9897="Yes",
    1.15,
    1.00)</f>
        <v/>
      </c>
      <c r="Q9897">
        <f>IF('Loan Tape (S&amp;P)'!V9897="Yes",
    1.20,
    1.00)</f>
        <v/>
      </c>
      <c r="T9897">
        <f>LET(
    payment_method,'Loan Tape (S&amp;P)'!P9897,
    occupancy,'Loan Tape (S&amp;P)'!N9897,
    maturity_date,'Loan Tape (S&amp;P)'!L9897,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98">
      <c r="J9898">
        <f>LET(
    lien,'Loan Tape (S&amp;P)'!Q9898,
    IF(lien="First",1.00,
        IF(lien="Second",1.50,
            1.70)))</f>
        <v/>
      </c>
      <c r="K9898">
        <f>LET(
    purpose,'Loan Tape (S&amp;P)'!R9898,
    IF(purpose="Purchase",1.00,
        IF(purpose="Remortgage",1.00,
            1.20)))</f>
        <v/>
      </c>
      <c r="L9898">
        <f>LET(
    arrears_months,'Loan Tape (S&amp;P)'!AN9898,
    IF(arrears_months=0,1.00,
    IF(arrears_months=1,3.00,
    IF(arrears_months=2,5.00,
    IF(arrears_months=3,8.00,
    IF(arrears_months=4,10.00,
    IF(arrears_months=5,12.00,15.00)))))))</f>
        <v/>
      </c>
      <c r="M9898">
        <f>LET(
    seasoning_years,DATEDIF('Loan Tape (S&amp;P)'!K9898,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98">
        <f>IF(AND('Loan Tape (S&amp;P)'!U9898="Yes",
        'Loan Tape (S&amp;P)'!T9898&lt;&gt;"Yes",
        DATEDIF('Loan Tape (S&amp;P)'!K9898, TODAY(), "M")&lt;18),
    1.10,
    1.00)</f>
        <v/>
      </c>
      <c r="O9898">
        <f>IF('Loan Tape (S&amp;P)'!T9898="Yes",
    1.35,
    1.00)</f>
        <v/>
      </c>
      <c r="P9898">
        <f>IF('Loan Tape (S&amp;P)'!S9898="Yes",
    1.15,
    1.00)</f>
        <v/>
      </c>
      <c r="Q9898">
        <f>IF('Loan Tape (S&amp;P)'!V9898="Yes",
    1.20,
    1.00)</f>
        <v/>
      </c>
      <c r="T9898">
        <f>LET(
    payment_method,'Loan Tape (S&amp;P)'!P9898,
    occupancy,'Loan Tape (S&amp;P)'!N9898,
    maturity_date,'Loan Tape (S&amp;P)'!L9898,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899">
      <c r="J9899">
        <f>LET(
    lien,'Loan Tape (S&amp;P)'!Q9899,
    IF(lien="First",1.00,
        IF(lien="Second",1.50,
            1.70)))</f>
        <v/>
      </c>
      <c r="K9899">
        <f>LET(
    purpose,'Loan Tape (S&amp;P)'!R9899,
    IF(purpose="Purchase",1.00,
        IF(purpose="Remortgage",1.00,
            1.20)))</f>
        <v/>
      </c>
      <c r="L9899">
        <f>LET(
    arrears_months,'Loan Tape (S&amp;P)'!AN9899,
    IF(arrears_months=0,1.00,
    IF(arrears_months=1,3.00,
    IF(arrears_months=2,5.00,
    IF(arrears_months=3,8.00,
    IF(arrears_months=4,10.00,
    IF(arrears_months=5,12.00,15.00)))))))</f>
        <v/>
      </c>
      <c r="M9899">
        <f>LET(
    seasoning_years,DATEDIF('Loan Tape (S&amp;P)'!K9899,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899">
        <f>IF(AND('Loan Tape (S&amp;P)'!U9899="Yes",
        'Loan Tape (S&amp;P)'!T9899&lt;&gt;"Yes",
        DATEDIF('Loan Tape (S&amp;P)'!K9899, TODAY(), "M")&lt;18),
    1.10,
    1.00)</f>
        <v/>
      </c>
      <c r="O9899">
        <f>IF('Loan Tape (S&amp;P)'!T9899="Yes",
    1.35,
    1.00)</f>
        <v/>
      </c>
      <c r="P9899">
        <f>IF('Loan Tape (S&amp;P)'!S9899="Yes",
    1.15,
    1.00)</f>
        <v/>
      </c>
      <c r="Q9899">
        <f>IF('Loan Tape (S&amp;P)'!V9899="Yes",
    1.20,
    1.00)</f>
        <v/>
      </c>
      <c r="T9899">
        <f>LET(
    payment_method,'Loan Tape (S&amp;P)'!P9899,
    occupancy,'Loan Tape (S&amp;P)'!N9899,
    maturity_date,'Loan Tape (S&amp;P)'!L9899,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00">
      <c r="J9900">
        <f>LET(
    lien,'Loan Tape (S&amp;P)'!Q9900,
    IF(lien="First",1.00,
        IF(lien="Second",1.50,
            1.70)))</f>
        <v/>
      </c>
      <c r="K9900">
        <f>LET(
    purpose,'Loan Tape (S&amp;P)'!R9900,
    IF(purpose="Purchase",1.00,
        IF(purpose="Remortgage",1.00,
            1.20)))</f>
        <v/>
      </c>
      <c r="L9900">
        <f>LET(
    arrears_months,'Loan Tape (S&amp;P)'!AN9900,
    IF(arrears_months=0,1.00,
    IF(arrears_months=1,3.00,
    IF(arrears_months=2,5.00,
    IF(arrears_months=3,8.00,
    IF(arrears_months=4,10.00,
    IF(arrears_months=5,12.00,15.00)))))))</f>
        <v/>
      </c>
      <c r="M9900">
        <f>LET(
    seasoning_years,DATEDIF('Loan Tape (S&amp;P)'!K9900,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00">
        <f>IF(AND('Loan Tape (S&amp;P)'!U9900="Yes",
        'Loan Tape (S&amp;P)'!T9900&lt;&gt;"Yes",
        DATEDIF('Loan Tape (S&amp;P)'!K9900, TODAY(), "M")&lt;18),
    1.10,
    1.00)</f>
        <v/>
      </c>
      <c r="O9900">
        <f>IF('Loan Tape (S&amp;P)'!T9900="Yes",
    1.35,
    1.00)</f>
        <v/>
      </c>
      <c r="P9900">
        <f>IF('Loan Tape (S&amp;P)'!S9900="Yes",
    1.15,
    1.00)</f>
        <v/>
      </c>
      <c r="Q9900">
        <f>IF('Loan Tape (S&amp;P)'!V9900="Yes",
    1.20,
    1.00)</f>
        <v/>
      </c>
      <c r="T9900">
        <f>LET(
    payment_method,'Loan Tape (S&amp;P)'!P9900,
    occupancy,'Loan Tape (S&amp;P)'!N9900,
    maturity_date,'Loan Tape (S&amp;P)'!L9900,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01">
      <c r="J9901">
        <f>LET(
    lien,'Loan Tape (S&amp;P)'!Q9901,
    IF(lien="First",1.00,
        IF(lien="Second",1.50,
            1.70)))</f>
        <v/>
      </c>
      <c r="K9901">
        <f>LET(
    purpose,'Loan Tape (S&amp;P)'!R9901,
    IF(purpose="Purchase",1.00,
        IF(purpose="Remortgage",1.00,
            1.20)))</f>
        <v/>
      </c>
      <c r="L9901">
        <f>LET(
    arrears_months,'Loan Tape (S&amp;P)'!AN9901,
    IF(arrears_months=0,1.00,
    IF(arrears_months=1,3.00,
    IF(arrears_months=2,5.00,
    IF(arrears_months=3,8.00,
    IF(arrears_months=4,10.00,
    IF(arrears_months=5,12.00,15.00)))))))</f>
        <v/>
      </c>
      <c r="M9901">
        <f>LET(
    seasoning_years,DATEDIF('Loan Tape (S&amp;P)'!K9901,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01">
        <f>IF(AND('Loan Tape (S&amp;P)'!U9901="Yes",
        'Loan Tape (S&amp;P)'!T9901&lt;&gt;"Yes",
        DATEDIF('Loan Tape (S&amp;P)'!K9901, TODAY(), "M")&lt;18),
    1.10,
    1.00)</f>
        <v/>
      </c>
      <c r="O9901">
        <f>IF('Loan Tape (S&amp;P)'!T9901="Yes",
    1.35,
    1.00)</f>
        <v/>
      </c>
      <c r="P9901">
        <f>IF('Loan Tape (S&amp;P)'!S9901="Yes",
    1.15,
    1.00)</f>
        <v/>
      </c>
      <c r="Q9901">
        <f>IF('Loan Tape (S&amp;P)'!V9901="Yes",
    1.20,
    1.00)</f>
        <v/>
      </c>
      <c r="T9901">
        <f>LET(
    payment_method,'Loan Tape (S&amp;P)'!P9901,
    occupancy,'Loan Tape (S&amp;P)'!N9901,
    maturity_date,'Loan Tape (S&amp;P)'!L9901,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02">
      <c r="J9902">
        <f>LET(
    lien,'Loan Tape (S&amp;P)'!Q9902,
    IF(lien="First",1.00,
        IF(lien="Second",1.50,
            1.70)))</f>
        <v/>
      </c>
      <c r="K9902">
        <f>LET(
    purpose,'Loan Tape (S&amp;P)'!R9902,
    IF(purpose="Purchase",1.00,
        IF(purpose="Remortgage",1.00,
            1.20)))</f>
        <v/>
      </c>
      <c r="L9902">
        <f>LET(
    arrears_months,'Loan Tape (S&amp;P)'!AN9902,
    IF(arrears_months=0,1.00,
    IF(arrears_months=1,3.00,
    IF(arrears_months=2,5.00,
    IF(arrears_months=3,8.00,
    IF(arrears_months=4,10.00,
    IF(arrears_months=5,12.00,15.00)))))))</f>
        <v/>
      </c>
      <c r="M9902">
        <f>LET(
    seasoning_years,DATEDIF('Loan Tape (S&amp;P)'!K9902,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02">
        <f>IF(AND('Loan Tape (S&amp;P)'!U9902="Yes",
        'Loan Tape (S&amp;P)'!T9902&lt;&gt;"Yes",
        DATEDIF('Loan Tape (S&amp;P)'!K9902, TODAY(), "M")&lt;18),
    1.10,
    1.00)</f>
        <v/>
      </c>
      <c r="O9902">
        <f>IF('Loan Tape (S&amp;P)'!T9902="Yes",
    1.35,
    1.00)</f>
        <v/>
      </c>
      <c r="P9902">
        <f>IF('Loan Tape (S&amp;P)'!S9902="Yes",
    1.15,
    1.00)</f>
        <v/>
      </c>
      <c r="Q9902">
        <f>IF('Loan Tape (S&amp;P)'!V9902="Yes",
    1.20,
    1.00)</f>
        <v/>
      </c>
      <c r="T9902">
        <f>LET(
    payment_method,'Loan Tape (S&amp;P)'!P9902,
    occupancy,'Loan Tape (S&amp;P)'!N9902,
    maturity_date,'Loan Tape (S&amp;P)'!L9902,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03">
      <c r="J9903">
        <f>LET(
    lien,'Loan Tape (S&amp;P)'!Q9903,
    IF(lien="First",1.00,
        IF(lien="Second",1.50,
            1.70)))</f>
        <v/>
      </c>
      <c r="K9903">
        <f>LET(
    purpose,'Loan Tape (S&amp;P)'!R9903,
    IF(purpose="Purchase",1.00,
        IF(purpose="Remortgage",1.00,
            1.20)))</f>
        <v/>
      </c>
      <c r="L9903">
        <f>LET(
    arrears_months,'Loan Tape (S&amp;P)'!AN9903,
    IF(arrears_months=0,1.00,
    IF(arrears_months=1,3.00,
    IF(arrears_months=2,5.00,
    IF(arrears_months=3,8.00,
    IF(arrears_months=4,10.00,
    IF(arrears_months=5,12.00,15.00)))))))</f>
        <v/>
      </c>
      <c r="M9903">
        <f>LET(
    seasoning_years,DATEDIF('Loan Tape (S&amp;P)'!K9903,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03">
        <f>IF(AND('Loan Tape (S&amp;P)'!U9903="Yes",
        'Loan Tape (S&amp;P)'!T9903&lt;&gt;"Yes",
        DATEDIF('Loan Tape (S&amp;P)'!K9903, TODAY(), "M")&lt;18),
    1.10,
    1.00)</f>
        <v/>
      </c>
      <c r="O9903">
        <f>IF('Loan Tape (S&amp;P)'!T9903="Yes",
    1.35,
    1.00)</f>
        <v/>
      </c>
      <c r="P9903">
        <f>IF('Loan Tape (S&amp;P)'!S9903="Yes",
    1.15,
    1.00)</f>
        <v/>
      </c>
      <c r="Q9903">
        <f>IF('Loan Tape (S&amp;P)'!V9903="Yes",
    1.20,
    1.00)</f>
        <v/>
      </c>
      <c r="T9903">
        <f>LET(
    payment_method,'Loan Tape (S&amp;P)'!P9903,
    occupancy,'Loan Tape (S&amp;P)'!N9903,
    maturity_date,'Loan Tape (S&amp;P)'!L9903,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04">
      <c r="J9904">
        <f>LET(
    lien,'Loan Tape (S&amp;P)'!Q9904,
    IF(lien="First",1.00,
        IF(lien="Second",1.50,
            1.70)))</f>
        <v/>
      </c>
      <c r="K9904">
        <f>LET(
    purpose,'Loan Tape (S&amp;P)'!R9904,
    IF(purpose="Purchase",1.00,
        IF(purpose="Remortgage",1.00,
            1.20)))</f>
        <v/>
      </c>
      <c r="L9904">
        <f>LET(
    arrears_months,'Loan Tape (S&amp;P)'!AN9904,
    IF(arrears_months=0,1.00,
    IF(arrears_months=1,3.00,
    IF(arrears_months=2,5.00,
    IF(arrears_months=3,8.00,
    IF(arrears_months=4,10.00,
    IF(arrears_months=5,12.00,15.00)))))))</f>
        <v/>
      </c>
      <c r="M9904">
        <f>LET(
    seasoning_years,DATEDIF('Loan Tape (S&amp;P)'!K9904,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04">
        <f>IF(AND('Loan Tape (S&amp;P)'!U9904="Yes",
        'Loan Tape (S&amp;P)'!T9904&lt;&gt;"Yes",
        DATEDIF('Loan Tape (S&amp;P)'!K9904, TODAY(), "M")&lt;18),
    1.10,
    1.00)</f>
        <v/>
      </c>
      <c r="O9904">
        <f>IF('Loan Tape (S&amp;P)'!T9904="Yes",
    1.35,
    1.00)</f>
        <v/>
      </c>
      <c r="P9904">
        <f>IF('Loan Tape (S&amp;P)'!S9904="Yes",
    1.15,
    1.00)</f>
        <v/>
      </c>
      <c r="Q9904">
        <f>IF('Loan Tape (S&amp;P)'!V9904="Yes",
    1.20,
    1.00)</f>
        <v/>
      </c>
      <c r="T9904">
        <f>LET(
    payment_method,'Loan Tape (S&amp;P)'!P9904,
    occupancy,'Loan Tape (S&amp;P)'!N9904,
    maturity_date,'Loan Tape (S&amp;P)'!L9904,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05">
      <c r="J9905">
        <f>LET(
    lien,'Loan Tape (S&amp;P)'!Q9905,
    IF(lien="First",1.00,
        IF(lien="Second",1.50,
            1.70)))</f>
        <v/>
      </c>
      <c r="K9905">
        <f>LET(
    purpose,'Loan Tape (S&amp;P)'!R9905,
    IF(purpose="Purchase",1.00,
        IF(purpose="Remortgage",1.00,
            1.20)))</f>
        <v/>
      </c>
      <c r="L9905">
        <f>LET(
    arrears_months,'Loan Tape (S&amp;P)'!AN9905,
    IF(arrears_months=0,1.00,
    IF(arrears_months=1,3.00,
    IF(arrears_months=2,5.00,
    IF(arrears_months=3,8.00,
    IF(arrears_months=4,10.00,
    IF(arrears_months=5,12.00,15.00)))))))</f>
        <v/>
      </c>
      <c r="M9905">
        <f>LET(
    seasoning_years,DATEDIF('Loan Tape (S&amp;P)'!K9905,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05">
        <f>IF(AND('Loan Tape (S&amp;P)'!U9905="Yes",
        'Loan Tape (S&amp;P)'!T9905&lt;&gt;"Yes",
        DATEDIF('Loan Tape (S&amp;P)'!K9905, TODAY(), "M")&lt;18),
    1.10,
    1.00)</f>
        <v/>
      </c>
      <c r="O9905">
        <f>IF('Loan Tape (S&amp;P)'!T9905="Yes",
    1.35,
    1.00)</f>
        <v/>
      </c>
      <c r="P9905">
        <f>IF('Loan Tape (S&amp;P)'!S9905="Yes",
    1.15,
    1.00)</f>
        <v/>
      </c>
      <c r="Q9905">
        <f>IF('Loan Tape (S&amp;P)'!V9905="Yes",
    1.20,
    1.00)</f>
        <v/>
      </c>
      <c r="T9905">
        <f>LET(
    payment_method,'Loan Tape (S&amp;P)'!P9905,
    occupancy,'Loan Tape (S&amp;P)'!N9905,
    maturity_date,'Loan Tape (S&amp;P)'!L9905,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06">
      <c r="J9906">
        <f>LET(
    lien,'Loan Tape (S&amp;P)'!Q9906,
    IF(lien="First",1.00,
        IF(lien="Second",1.50,
            1.70)))</f>
        <v/>
      </c>
      <c r="K9906">
        <f>LET(
    purpose,'Loan Tape (S&amp;P)'!R9906,
    IF(purpose="Purchase",1.00,
        IF(purpose="Remortgage",1.00,
            1.20)))</f>
        <v/>
      </c>
      <c r="L9906">
        <f>LET(
    arrears_months,'Loan Tape (S&amp;P)'!AN9906,
    IF(arrears_months=0,1.00,
    IF(arrears_months=1,3.00,
    IF(arrears_months=2,5.00,
    IF(arrears_months=3,8.00,
    IF(arrears_months=4,10.00,
    IF(arrears_months=5,12.00,15.00)))))))</f>
        <v/>
      </c>
      <c r="M9906">
        <f>LET(
    seasoning_years,DATEDIF('Loan Tape (S&amp;P)'!K9906,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06">
        <f>IF(AND('Loan Tape (S&amp;P)'!U9906="Yes",
        'Loan Tape (S&amp;P)'!T9906&lt;&gt;"Yes",
        DATEDIF('Loan Tape (S&amp;P)'!K9906, TODAY(), "M")&lt;18),
    1.10,
    1.00)</f>
        <v/>
      </c>
      <c r="O9906">
        <f>IF('Loan Tape (S&amp;P)'!T9906="Yes",
    1.35,
    1.00)</f>
        <v/>
      </c>
      <c r="P9906">
        <f>IF('Loan Tape (S&amp;P)'!S9906="Yes",
    1.15,
    1.00)</f>
        <v/>
      </c>
      <c r="Q9906">
        <f>IF('Loan Tape (S&amp;P)'!V9906="Yes",
    1.20,
    1.00)</f>
        <v/>
      </c>
      <c r="T9906">
        <f>LET(
    payment_method,'Loan Tape (S&amp;P)'!P9906,
    occupancy,'Loan Tape (S&amp;P)'!N9906,
    maturity_date,'Loan Tape (S&amp;P)'!L9906,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07">
      <c r="J9907">
        <f>LET(
    lien,'Loan Tape (S&amp;P)'!Q9907,
    IF(lien="First",1.00,
        IF(lien="Second",1.50,
            1.70)))</f>
        <v/>
      </c>
      <c r="K9907">
        <f>LET(
    purpose,'Loan Tape (S&amp;P)'!R9907,
    IF(purpose="Purchase",1.00,
        IF(purpose="Remortgage",1.00,
            1.20)))</f>
        <v/>
      </c>
      <c r="L9907">
        <f>LET(
    arrears_months,'Loan Tape (S&amp;P)'!AN9907,
    IF(arrears_months=0,1.00,
    IF(arrears_months=1,3.00,
    IF(arrears_months=2,5.00,
    IF(arrears_months=3,8.00,
    IF(arrears_months=4,10.00,
    IF(arrears_months=5,12.00,15.00)))))))</f>
        <v/>
      </c>
      <c r="M9907">
        <f>LET(
    seasoning_years,DATEDIF('Loan Tape (S&amp;P)'!K9907,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07">
        <f>IF(AND('Loan Tape (S&amp;P)'!U9907="Yes",
        'Loan Tape (S&amp;P)'!T9907&lt;&gt;"Yes",
        DATEDIF('Loan Tape (S&amp;P)'!K9907, TODAY(), "M")&lt;18),
    1.10,
    1.00)</f>
        <v/>
      </c>
      <c r="O9907">
        <f>IF('Loan Tape (S&amp;P)'!T9907="Yes",
    1.35,
    1.00)</f>
        <v/>
      </c>
      <c r="P9907">
        <f>IF('Loan Tape (S&amp;P)'!S9907="Yes",
    1.15,
    1.00)</f>
        <v/>
      </c>
      <c r="Q9907">
        <f>IF('Loan Tape (S&amp;P)'!V9907="Yes",
    1.20,
    1.00)</f>
        <v/>
      </c>
      <c r="T9907">
        <f>LET(
    payment_method,'Loan Tape (S&amp;P)'!P9907,
    occupancy,'Loan Tape (S&amp;P)'!N9907,
    maturity_date,'Loan Tape (S&amp;P)'!L9907,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08">
      <c r="J9908">
        <f>LET(
    lien,'Loan Tape (S&amp;P)'!Q9908,
    IF(lien="First",1.00,
        IF(lien="Second",1.50,
            1.70)))</f>
        <v/>
      </c>
      <c r="K9908">
        <f>LET(
    purpose,'Loan Tape (S&amp;P)'!R9908,
    IF(purpose="Purchase",1.00,
        IF(purpose="Remortgage",1.00,
            1.20)))</f>
        <v/>
      </c>
      <c r="L9908">
        <f>LET(
    arrears_months,'Loan Tape (S&amp;P)'!AN9908,
    IF(arrears_months=0,1.00,
    IF(arrears_months=1,3.00,
    IF(arrears_months=2,5.00,
    IF(arrears_months=3,8.00,
    IF(arrears_months=4,10.00,
    IF(arrears_months=5,12.00,15.00)))))))</f>
        <v/>
      </c>
      <c r="M9908">
        <f>LET(
    seasoning_years,DATEDIF('Loan Tape (S&amp;P)'!K9908,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08">
        <f>IF(AND('Loan Tape (S&amp;P)'!U9908="Yes",
        'Loan Tape (S&amp;P)'!T9908&lt;&gt;"Yes",
        DATEDIF('Loan Tape (S&amp;P)'!K9908, TODAY(), "M")&lt;18),
    1.10,
    1.00)</f>
        <v/>
      </c>
      <c r="O9908">
        <f>IF('Loan Tape (S&amp;P)'!T9908="Yes",
    1.35,
    1.00)</f>
        <v/>
      </c>
      <c r="P9908">
        <f>IF('Loan Tape (S&amp;P)'!S9908="Yes",
    1.15,
    1.00)</f>
        <v/>
      </c>
      <c r="Q9908">
        <f>IF('Loan Tape (S&amp;P)'!V9908="Yes",
    1.20,
    1.00)</f>
        <v/>
      </c>
      <c r="T9908">
        <f>LET(
    payment_method,'Loan Tape (S&amp;P)'!P9908,
    occupancy,'Loan Tape (S&amp;P)'!N9908,
    maturity_date,'Loan Tape (S&amp;P)'!L9908,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09">
      <c r="J9909">
        <f>LET(
    lien,'Loan Tape (S&amp;P)'!Q9909,
    IF(lien="First",1.00,
        IF(lien="Second",1.50,
            1.70)))</f>
        <v/>
      </c>
      <c r="K9909">
        <f>LET(
    purpose,'Loan Tape (S&amp;P)'!R9909,
    IF(purpose="Purchase",1.00,
        IF(purpose="Remortgage",1.00,
            1.20)))</f>
        <v/>
      </c>
      <c r="L9909">
        <f>LET(
    arrears_months,'Loan Tape (S&amp;P)'!AN9909,
    IF(arrears_months=0,1.00,
    IF(arrears_months=1,3.00,
    IF(arrears_months=2,5.00,
    IF(arrears_months=3,8.00,
    IF(arrears_months=4,10.00,
    IF(arrears_months=5,12.00,15.00)))))))</f>
        <v/>
      </c>
      <c r="M9909">
        <f>LET(
    seasoning_years,DATEDIF('Loan Tape (S&amp;P)'!K9909,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09">
        <f>IF(AND('Loan Tape (S&amp;P)'!U9909="Yes",
        'Loan Tape (S&amp;P)'!T9909&lt;&gt;"Yes",
        DATEDIF('Loan Tape (S&amp;P)'!K9909, TODAY(), "M")&lt;18),
    1.10,
    1.00)</f>
        <v/>
      </c>
      <c r="O9909">
        <f>IF('Loan Tape (S&amp;P)'!T9909="Yes",
    1.35,
    1.00)</f>
        <v/>
      </c>
      <c r="P9909">
        <f>IF('Loan Tape (S&amp;P)'!S9909="Yes",
    1.15,
    1.00)</f>
        <v/>
      </c>
      <c r="Q9909">
        <f>IF('Loan Tape (S&amp;P)'!V9909="Yes",
    1.20,
    1.00)</f>
        <v/>
      </c>
      <c r="T9909">
        <f>LET(
    payment_method,'Loan Tape (S&amp;P)'!P9909,
    occupancy,'Loan Tape (S&amp;P)'!N9909,
    maturity_date,'Loan Tape (S&amp;P)'!L9909,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10">
      <c r="J9910">
        <f>LET(
    lien,'Loan Tape (S&amp;P)'!Q9910,
    IF(lien="First",1.00,
        IF(lien="Second",1.50,
            1.70)))</f>
        <v/>
      </c>
      <c r="K9910">
        <f>LET(
    purpose,'Loan Tape (S&amp;P)'!R9910,
    IF(purpose="Purchase",1.00,
        IF(purpose="Remortgage",1.00,
            1.20)))</f>
        <v/>
      </c>
      <c r="L9910">
        <f>LET(
    arrears_months,'Loan Tape (S&amp;P)'!AN9910,
    IF(arrears_months=0,1.00,
    IF(arrears_months=1,3.00,
    IF(arrears_months=2,5.00,
    IF(arrears_months=3,8.00,
    IF(arrears_months=4,10.00,
    IF(arrears_months=5,12.00,15.00)))))))</f>
        <v/>
      </c>
      <c r="M9910">
        <f>LET(
    seasoning_years,DATEDIF('Loan Tape (S&amp;P)'!K9910,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10">
        <f>IF(AND('Loan Tape (S&amp;P)'!U9910="Yes",
        'Loan Tape (S&amp;P)'!T9910&lt;&gt;"Yes",
        DATEDIF('Loan Tape (S&amp;P)'!K9910, TODAY(), "M")&lt;18),
    1.10,
    1.00)</f>
        <v/>
      </c>
      <c r="O9910">
        <f>IF('Loan Tape (S&amp;P)'!T9910="Yes",
    1.35,
    1.00)</f>
        <v/>
      </c>
      <c r="P9910">
        <f>IF('Loan Tape (S&amp;P)'!S9910="Yes",
    1.15,
    1.00)</f>
        <v/>
      </c>
      <c r="Q9910">
        <f>IF('Loan Tape (S&amp;P)'!V9910="Yes",
    1.20,
    1.00)</f>
        <v/>
      </c>
      <c r="T9910">
        <f>LET(
    payment_method,'Loan Tape (S&amp;P)'!P9910,
    occupancy,'Loan Tape (S&amp;P)'!N9910,
    maturity_date,'Loan Tape (S&amp;P)'!L9910,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11">
      <c r="J9911">
        <f>LET(
    lien,'Loan Tape (S&amp;P)'!Q9911,
    IF(lien="First",1.00,
        IF(lien="Second",1.50,
            1.70)))</f>
        <v/>
      </c>
      <c r="K9911">
        <f>LET(
    purpose,'Loan Tape (S&amp;P)'!R9911,
    IF(purpose="Purchase",1.00,
        IF(purpose="Remortgage",1.00,
            1.20)))</f>
        <v/>
      </c>
      <c r="L9911">
        <f>LET(
    arrears_months,'Loan Tape (S&amp;P)'!AN9911,
    IF(arrears_months=0,1.00,
    IF(arrears_months=1,3.00,
    IF(arrears_months=2,5.00,
    IF(arrears_months=3,8.00,
    IF(arrears_months=4,10.00,
    IF(arrears_months=5,12.00,15.00)))))))</f>
        <v/>
      </c>
      <c r="M9911">
        <f>LET(
    seasoning_years,DATEDIF('Loan Tape (S&amp;P)'!K9911,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11">
        <f>IF(AND('Loan Tape (S&amp;P)'!U9911="Yes",
        'Loan Tape (S&amp;P)'!T9911&lt;&gt;"Yes",
        DATEDIF('Loan Tape (S&amp;P)'!K9911, TODAY(), "M")&lt;18),
    1.10,
    1.00)</f>
        <v/>
      </c>
      <c r="O9911">
        <f>IF('Loan Tape (S&amp;P)'!T9911="Yes",
    1.35,
    1.00)</f>
        <v/>
      </c>
      <c r="P9911">
        <f>IF('Loan Tape (S&amp;P)'!S9911="Yes",
    1.15,
    1.00)</f>
        <v/>
      </c>
      <c r="Q9911">
        <f>IF('Loan Tape (S&amp;P)'!V9911="Yes",
    1.20,
    1.00)</f>
        <v/>
      </c>
      <c r="T9911">
        <f>LET(
    payment_method,'Loan Tape (S&amp;P)'!P9911,
    occupancy,'Loan Tape (S&amp;P)'!N9911,
    maturity_date,'Loan Tape (S&amp;P)'!L9911,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12">
      <c r="J9912">
        <f>LET(
    lien,'Loan Tape (S&amp;P)'!Q9912,
    IF(lien="First",1.00,
        IF(lien="Second",1.50,
            1.70)))</f>
        <v/>
      </c>
      <c r="K9912">
        <f>LET(
    purpose,'Loan Tape (S&amp;P)'!R9912,
    IF(purpose="Purchase",1.00,
        IF(purpose="Remortgage",1.00,
            1.20)))</f>
        <v/>
      </c>
      <c r="L9912">
        <f>LET(
    arrears_months,'Loan Tape (S&amp;P)'!AN9912,
    IF(arrears_months=0,1.00,
    IF(arrears_months=1,3.00,
    IF(arrears_months=2,5.00,
    IF(arrears_months=3,8.00,
    IF(arrears_months=4,10.00,
    IF(arrears_months=5,12.00,15.00)))))))</f>
        <v/>
      </c>
      <c r="M9912">
        <f>LET(
    seasoning_years,DATEDIF('Loan Tape (S&amp;P)'!K9912,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12">
        <f>IF(AND('Loan Tape (S&amp;P)'!U9912="Yes",
        'Loan Tape (S&amp;P)'!T9912&lt;&gt;"Yes",
        DATEDIF('Loan Tape (S&amp;P)'!K9912, TODAY(), "M")&lt;18),
    1.10,
    1.00)</f>
        <v/>
      </c>
      <c r="O9912">
        <f>IF('Loan Tape (S&amp;P)'!T9912="Yes",
    1.35,
    1.00)</f>
        <v/>
      </c>
      <c r="P9912">
        <f>IF('Loan Tape (S&amp;P)'!S9912="Yes",
    1.15,
    1.00)</f>
        <v/>
      </c>
      <c r="Q9912">
        <f>IF('Loan Tape (S&amp;P)'!V9912="Yes",
    1.20,
    1.00)</f>
        <v/>
      </c>
      <c r="T9912">
        <f>LET(
    payment_method,'Loan Tape (S&amp;P)'!P9912,
    occupancy,'Loan Tape (S&amp;P)'!N9912,
    maturity_date,'Loan Tape (S&amp;P)'!L9912,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13">
      <c r="J9913">
        <f>LET(
    lien,'Loan Tape (S&amp;P)'!Q9913,
    IF(lien="First",1.00,
        IF(lien="Second",1.50,
            1.70)))</f>
        <v/>
      </c>
      <c r="K9913">
        <f>LET(
    purpose,'Loan Tape (S&amp;P)'!R9913,
    IF(purpose="Purchase",1.00,
        IF(purpose="Remortgage",1.00,
            1.20)))</f>
        <v/>
      </c>
      <c r="L9913">
        <f>LET(
    arrears_months,'Loan Tape (S&amp;P)'!AN9913,
    IF(arrears_months=0,1.00,
    IF(arrears_months=1,3.00,
    IF(arrears_months=2,5.00,
    IF(arrears_months=3,8.00,
    IF(arrears_months=4,10.00,
    IF(arrears_months=5,12.00,15.00)))))))</f>
        <v/>
      </c>
      <c r="M9913">
        <f>LET(
    seasoning_years,DATEDIF('Loan Tape (S&amp;P)'!K9913,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13">
        <f>IF(AND('Loan Tape (S&amp;P)'!U9913="Yes",
        'Loan Tape (S&amp;P)'!T9913&lt;&gt;"Yes",
        DATEDIF('Loan Tape (S&amp;P)'!K9913, TODAY(), "M")&lt;18),
    1.10,
    1.00)</f>
        <v/>
      </c>
      <c r="O9913">
        <f>IF('Loan Tape (S&amp;P)'!T9913="Yes",
    1.35,
    1.00)</f>
        <v/>
      </c>
      <c r="P9913">
        <f>IF('Loan Tape (S&amp;P)'!S9913="Yes",
    1.15,
    1.00)</f>
        <v/>
      </c>
      <c r="Q9913">
        <f>IF('Loan Tape (S&amp;P)'!V9913="Yes",
    1.20,
    1.00)</f>
        <v/>
      </c>
      <c r="T9913">
        <f>LET(
    payment_method,'Loan Tape (S&amp;P)'!P9913,
    occupancy,'Loan Tape (S&amp;P)'!N9913,
    maturity_date,'Loan Tape (S&amp;P)'!L9913,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14">
      <c r="J9914">
        <f>LET(
    lien,'Loan Tape (S&amp;P)'!Q9914,
    IF(lien="First",1.00,
        IF(lien="Second",1.50,
            1.70)))</f>
        <v/>
      </c>
      <c r="K9914">
        <f>LET(
    purpose,'Loan Tape (S&amp;P)'!R9914,
    IF(purpose="Purchase",1.00,
        IF(purpose="Remortgage",1.00,
            1.20)))</f>
        <v/>
      </c>
      <c r="L9914">
        <f>LET(
    arrears_months,'Loan Tape (S&amp;P)'!AN9914,
    IF(arrears_months=0,1.00,
    IF(arrears_months=1,3.00,
    IF(arrears_months=2,5.00,
    IF(arrears_months=3,8.00,
    IF(arrears_months=4,10.00,
    IF(arrears_months=5,12.00,15.00)))))))</f>
        <v/>
      </c>
      <c r="M9914">
        <f>LET(
    seasoning_years,DATEDIF('Loan Tape (S&amp;P)'!K9914,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14">
        <f>IF(AND('Loan Tape (S&amp;P)'!U9914="Yes",
        'Loan Tape (S&amp;P)'!T9914&lt;&gt;"Yes",
        DATEDIF('Loan Tape (S&amp;P)'!K9914, TODAY(), "M")&lt;18),
    1.10,
    1.00)</f>
        <v/>
      </c>
      <c r="O9914">
        <f>IF('Loan Tape (S&amp;P)'!T9914="Yes",
    1.35,
    1.00)</f>
        <v/>
      </c>
      <c r="P9914">
        <f>IF('Loan Tape (S&amp;P)'!S9914="Yes",
    1.15,
    1.00)</f>
        <v/>
      </c>
      <c r="Q9914">
        <f>IF('Loan Tape (S&amp;P)'!V9914="Yes",
    1.20,
    1.00)</f>
        <v/>
      </c>
      <c r="T9914">
        <f>LET(
    payment_method,'Loan Tape (S&amp;P)'!P9914,
    occupancy,'Loan Tape (S&amp;P)'!N9914,
    maturity_date,'Loan Tape (S&amp;P)'!L9914,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15">
      <c r="J9915">
        <f>LET(
    lien,'Loan Tape (S&amp;P)'!Q9915,
    IF(lien="First",1.00,
        IF(lien="Second",1.50,
            1.70)))</f>
        <v/>
      </c>
      <c r="K9915">
        <f>LET(
    purpose,'Loan Tape (S&amp;P)'!R9915,
    IF(purpose="Purchase",1.00,
        IF(purpose="Remortgage",1.00,
            1.20)))</f>
        <v/>
      </c>
      <c r="L9915">
        <f>LET(
    arrears_months,'Loan Tape (S&amp;P)'!AN9915,
    IF(arrears_months=0,1.00,
    IF(arrears_months=1,3.00,
    IF(arrears_months=2,5.00,
    IF(arrears_months=3,8.00,
    IF(arrears_months=4,10.00,
    IF(arrears_months=5,12.00,15.00)))))))</f>
        <v/>
      </c>
      <c r="M9915">
        <f>LET(
    seasoning_years,DATEDIF('Loan Tape (S&amp;P)'!K9915,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15">
        <f>IF(AND('Loan Tape (S&amp;P)'!U9915="Yes",
        'Loan Tape (S&amp;P)'!T9915&lt;&gt;"Yes",
        DATEDIF('Loan Tape (S&amp;P)'!K9915, TODAY(), "M")&lt;18),
    1.10,
    1.00)</f>
        <v/>
      </c>
      <c r="O9915">
        <f>IF('Loan Tape (S&amp;P)'!T9915="Yes",
    1.35,
    1.00)</f>
        <v/>
      </c>
      <c r="P9915">
        <f>IF('Loan Tape (S&amp;P)'!S9915="Yes",
    1.15,
    1.00)</f>
        <v/>
      </c>
      <c r="Q9915">
        <f>IF('Loan Tape (S&amp;P)'!V9915="Yes",
    1.20,
    1.00)</f>
        <v/>
      </c>
      <c r="T9915">
        <f>LET(
    payment_method,'Loan Tape (S&amp;P)'!P9915,
    occupancy,'Loan Tape (S&amp;P)'!N9915,
    maturity_date,'Loan Tape (S&amp;P)'!L9915,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16">
      <c r="J9916">
        <f>LET(
    lien,'Loan Tape (S&amp;P)'!Q9916,
    IF(lien="First",1.00,
        IF(lien="Second",1.50,
            1.70)))</f>
        <v/>
      </c>
      <c r="K9916">
        <f>LET(
    purpose,'Loan Tape (S&amp;P)'!R9916,
    IF(purpose="Purchase",1.00,
        IF(purpose="Remortgage",1.00,
            1.20)))</f>
        <v/>
      </c>
      <c r="L9916">
        <f>LET(
    arrears_months,'Loan Tape (S&amp;P)'!AN9916,
    IF(arrears_months=0,1.00,
    IF(arrears_months=1,3.00,
    IF(arrears_months=2,5.00,
    IF(arrears_months=3,8.00,
    IF(arrears_months=4,10.00,
    IF(arrears_months=5,12.00,15.00)))))))</f>
        <v/>
      </c>
      <c r="M9916">
        <f>LET(
    seasoning_years,DATEDIF('Loan Tape (S&amp;P)'!K9916,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16">
        <f>IF(AND('Loan Tape (S&amp;P)'!U9916="Yes",
        'Loan Tape (S&amp;P)'!T9916&lt;&gt;"Yes",
        DATEDIF('Loan Tape (S&amp;P)'!K9916, TODAY(), "M")&lt;18),
    1.10,
    1.00)</f>
        <v/>
      </c>
      <c r="O9916">
        <f>IF('Loan Tape (S&amp;P)'!T9916="Yes",
    1.35,
    1.00)</f>
        <v/>
      </c>
      <c r="P9916">
        <f>IF('Loan Tape (S&amp;P)'!S9916="Yes",
    1.15,
    1.00)</f>
        <v/>
      </c>
      <c r="Q9916">
        <f>IF('Loan Tape (S&amp;P)'!V9916="Yes",
    1.20,
    1.00)</f>
        <v/>
      </c>
      <c r="T9916">
        <f>LET(
    payment_method,'Loan Tape (S&amp;P)'!P9916,
    occupancy,'Loan Tape (S&amp;P)'!N9916,
    maturity_date,'Loan Tape (S&amp;P)'!L9916,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17">
      <c r="J9917">
        <f>LET(
    lien,'Loan Tape (S&amp;P)'!Q9917,
    IF(lien="First",1.00,
        IF(lien="Second",1.50,
            1.70)))</f>
        <v/>
      </c>
      <c r="K9917">
        <f>LET(
    purpose,'Loan Tape (S&amp;P)'!R9917,
    IF(purpose="Purchase",1.00,
        IF(purpose="Remortgage",1.00,
            1.20)))</f>
        <v/>
      </c>
      <c r="L9917">
        <f>LET(
    arrears_months,'Loan Tape (S&amp;P)'!AN9917,
    IF(arrears_months=0,1.00,
    IF(arrears_months=1,3.00,
    IF(arrears_months=2,5.00,
    IF(arrears_months=3,8.00,
    IF(arrears_months=4,10.00,
    IF(arrears_months=5,12.00,15.00)))))))</f>
        <v/>
      </c>
      <c r="M9917">
        <f>LET(
    seasoning_years,DATEDIF('Loan Tape (S&amp;P)'!K9917,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17">
        <f>IF(AND('Loan Tape (S&amp;P)'!U9917="Yes",
        'Loan Tape (S&amp;P)'!T9917&lt;&gt;"Yes",
        DATEDIF('Loan Tape (S&amp;P)'!K9917, TODAY(), "M")&lt;18),
    1.10,
    1.00)</f>
        <v/>
      </c>
      <c r="O9917">
        <f>IF('Loan Tape (S&amp;P)'!T9917="Yes",
    1.35,
    1.00)</f>
        <v/>
      </c>
      <c r="P9917">
        <f>IF('Loan Tape (S&amp;P)'!S9917="Yes",
    1.15,
    1.00)</f>
        <v/>
      </c>
      <c r="Q9917">
        <f>IF('Loan Tape (S&amp;P)'!V9917="Yes",
    1.20,
    1.00)</f>
        <v/>
      </c>
      <c r="T9917">
        <f>LET(
    payment_method,'Loan Tape (S&amp;P)'!P9917,
    occupancy,'Loan Tape (S&amp;P)'!N9917,
    maturity_date,'Loan Tape (S&amp;P)'!L9917,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18">
      <c r="J9918">
        <f>LET(
    lien,'Loan Tape (S&amp;P)'!Q9918,
    IF(lien="First",1.00,
        IF(lien="Second",1.50,
            1.70)))</f>
        <v/>
      </c>
      <c r="K9918">
        <f>LET(
    purpose,'Loan Tape (S&amp;P)'!R9918,
    IF(purpose="Purchase",1.00,
        IF(purpose="Remortgage",1.00,
            1.20)))</f>
        <v/>
      </c>
      <c r="L9918">
        <f>LET(
    arrears_months,'Loan Tape (S&amp;P)'!AN9918,
    IF(arrears_months=0,1.00,
    IF(arrears_months=1,3.00,
    IF(arrears_months=2,5.00,
    IF(arrears_months=3,8.00,
    IF(arrears_months=4,10.00,
    IF(arrears_months=5,12.00,15.00)))))))</f>
        <v/>
      </c>
      <c r="M9918">
        <f>LET(
    seasoning_years,DATEDIF('Loan Tape (S&amp;P)'!K9918,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18">
        <f>IF(AND('Loan Tape (S&amp;P)'!U9918="Yes",
        'Loan Tape (S&amp;P)'!T9918&lt;&gt;"Yes",
        DATEDIF('Loan Tape (S&amp;P)'!K9918, TODAY(), "M")&lt;18),
    1.10,
    1.00)</f>
        <v/>
      </c>
      <c r="O9918">
        <f>IF('Loan Tape (S&amp;P)'!T9918="Yes",
    1.35,
    1.00)</f>
        <v/>
      </c>
      <c r="P9918">
        <f>IF('Loan Tape (S&amp;P)'!S9918="Yes",
    1.15,
    1.00)</f>
        <v/>
      </c>
      <c r="Q9918">
        <f>IF('Loan Tape (S&amp;P)'!V9918="Yes",
    1.20,
    1.00)</f>
        <v/>
      </c>
      <c r="T9918">
        <f>LET(
    payment_method,'Loan Tape (S&amp;P)'!P9918,
    occupancy,'Loan Tape (S&amp;P)'!N9918,
    maturity_date,'Loan Tape (S&amp;P)'!L9918,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19">
      <c r="J9919">
        <f>LET(
    lien,'Loan Tape (S&amp;P)'!Q9919,
    IF(lien="First",1.00,
        IF(lien="Second",1.50,
            1.70)))</f>
        <v/>
      </c>
      <c r="K9919">
        <f>LET(
    purpose,'Loan Tape (S&amp;P)'!R9919,
    IF(purpose="Purchase",1.00,
        IF(purpose="Remortgage",1.00,
            1.20)))</f>
        <v/>
      </c>
      <c r="L9919">
        <f>LET(
    arrears_months,'Loan Tape (S&amp;P)'!AN9919,
    IF(arrears_months=0,1.00,
    IF(arrears_months=1,3.00,
    IF(arrears_months=2,5.00,
    IF(arrears_months=3,8.00,
    IF(arrears_months=4,10.00,
    IF(arrears_months=5,12.00,15.00)))))))</f>
        <v/>
      </c>
      <c r="M9919">
        <f>LET(
    seasoning_years,DATEDIF('Loan Tape (S&amp;P)'!K9919,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19">
        <f>IF(AND('Loan Tape (S&amp;P)'!U9919="Yes",
        'Loan Tape (S&amp;P)'!T9919&lt;&gt;"Yes",
        DATEDIF('Loan Tape (S&amp;P)'!K9919, TODAY(), "M")&lt;18),
    1.10,
    1.00)</f>
        <v/>
      </c>
      <c r="O9919">
        <f>IF('Loan Tape (S&amp;P)'!T9919="Yes",
    1.35,
    1.00)</f>
        <v/>
      </c>
      <c r="P9919">
        <f>IF('Loan Tape (S&amp;P)'!S9919="Yes",
    1.15,
    1.00)</f>
        <v/>
      </c>
      <c r="Q9919">
        <f>IF('Loan Tape (S&amp;P)'!V9919="Yes",
    1.20,
    1.00)</f>
        <v/>
      </c>
      <c r="T9919">
        <f>LET(
    payment_method,'Loan Tape (S&amp;P)'!P9919,
    occupancy,'Loan Tape (S&amp;P)'!N9919,
    maturity_date,'Loan Tape (S&amp;P)'!L9919,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20">
      <c r="J9920">
        <f>LET(
    lien,'Loan Tape (S&amp;P)'!Q9920,
    IF(lien="First",1.00,
        IF(lien="Second",1.50,
            1.70)))</f>
        <v/>
      </c>
      <c r="K9920">
        <f>LET(
    purpose,'Loan Tape (S&amp;P)'!R9920,
    IF(purpose="Purchase",1.00,
        IF(purpose="Remortgage",1.00,
            1.20)))</f>
        <v/>
      </c>
      <c r="L9920">
        <f>LET(
    arrears_months,'Loan Tape (S&amp;P)'!AN9920,
    IF(arrears_months=0,1.00,
    IF(arrears_months=1,3.00,
    IF(arrears_months=2,5.00,
    IF(arrears_months=3,8.00,
    IF(arrears_months=4,10.00,
    IF(arrears_months=5,12.00,15.00)))))))</f>
        <v/>
      </c>
      <c r="M9920">
        <f>LET(
    seasoning_years,DATEDIF('Loan Tape (S&amp;P)'!K9920,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20">
        <f>IF(AND('Loan Tape (S&amp;P)'!U9920="Yes",
        'Loan Tape (S&amp;P)'!T9920&lt;&gt;"Yes",
        DATEDIF('Loan Tape (S&amp;P)'!K9920, TODAY(), "M")&lt;18),
    1.10,
    1.00)</f>
        <v/>
      </c>
      <c r="O9920">
        <f>IF('Loan Tape (S&amp;P)'!T9920="Yes",
    1.35,
    1.00)</f>
        <v/>
      </c>
      <c r="P9920">
        <f>IF('Loan Tape (S&amp;P)'!S9920="Yes",
    1.15,
    1.00)</f>
        <v/>
      </c>
      <c r="Q9920">
        <f>IF('Loan Tape (S&amp;P)'!V9920="Yes",
    1.20,
    1.00)</f>
        <v/>
      </c>
      <c r="T9920">
        <f>LET(
    payment_method,'Loan Tape (S&amp;P)'!P9920,
    occupancy,'Loan Tape (S&amp;P)'!N9920,
    maturity_date,'Loan Tape (S&amp;P)'!L9920,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21">
      <c r="J9921">
        <f>LET(
    lien,'Loan Tape (S&amp;P)'!Q9921,
    IF(lien="First",1.00,
        IF(lien="Second",1.50,
            1.70)))</f>
        <v/>
      </c>
      <c r="K9921">
        <f>LET(
    purpose,'Loan Tape (S&amp;P)'!R9921,
    IF(purpose="Purchase",1.00,
        IF(purpose="Remortgage",1.00,
            1.20)))</f>
        <v/>
      </c>
      <c r="L9921">
        <f>LET(
    arrears_months,'Loan Tape (S&amp;P)'!AN9921,
    IF(arrears_months=0,1.00,
    IF(arrears_months=1,3.00,
    IF(arrears_months=2,5.00,
    IF(arrears_months=3,8.00,
    IF(arrears_months=4,10.00,
    IF(arrears_months=5,12.00,15.00)))))))</f>
        <v/>
      </c>
      <c r="M9921">
        <f>LET(
    seasoning_years,DATEDIF('Loan Tape (S&amp;P)'!K9921,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21">
        <f>IF(AND('Loan Tape (S&amp;P)'!U9921="Yes",
        'Loan Tape (S&amp;P)'!T9921&lt;&gt;"Yes",
        DATEDIF('Loan Tape (S&amp;P)'!K9921, TODAY(), "M")&lt;18),
    1.10,
    1.00)</f>
        <v/>
      </c>
      <c r="O9921">
        <f>IF('Loan Tape (S&amp;P)'!T9921="Yes",
    1.35,
    1.00)</f>
        <v/>
      </c>
      <c r="P9921">
        <f>IF('Loan Tape (S&amp;P)'!S9921="Yes",
    1.15,
    1.00)</f>
        <v/>
      </c>
      <c r="Q9921">
        <f>IF('Loan Tape (S&amp;P)'!V9921="Yes",
    1.20,
    1.00)</f>
        <v/>
      </c>
      <c r="T9921">
        <f>LET(
    payment_method,'Loan Tape (S&amp;P)'!P9921,
    occupancy,'Loan Tape (S&amp;P)'!N9921,
    maturity_date,'Loan Tape (S&amp;P)'!L9921,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22">
      <c r="J9922">
        <f>LET(
    lien,'Loan Tape (S&amp;P)'!Q9922,
    IF(lien="First",1.00,
        IF(lien="Second",1.50,
            1.70)))</f>
        <v/>
      </c>
      <c r="K9922">
        <f>LET(
    purpose,'Loan Tape (S&amp;P)'!R9922,
    IF(purpose="Purchase",1.00,
        IF(purpose="Remortgage",1.00,
            1.20)))</f>
        <v/>
      </c>
      <c r="L9922">
        <f>LET(
    arrears_months,'Loan Tape (S&amp;P)'!AN9922,
    IF(arrears_months=0,1.00,
    IF(arrears_months=1,3.00,
    IF(arrears_months=2,5.00,
    IF(arrears_months=3,8.00,
    IF(arrears_months=4,10.00,
    IF(arrears_months=5,12.00,15.00)))))))</f>
        <v/>
      </c>
      <c r="M9922">
        <f>LET(
    seasoning_years,DATEDIF('Loan Tape (S&amp;P)'!K9922,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22">
        <f>IF(AND('Loan Tape (S&amp;P)'!U9922="Yes",
        'Loan Tape (S&amp;P)'!T9922&lt;&gt;"Yes",
        DATEDIF('Loan Tape (S&amp;P)'!K9922, TODAY(), "M")&lt;18),
    1.10,
    1.00)</f>
        <v/>
      </c>
      <c r="O9922">
        <f>IF('Loan Tape (S&amp;P)'!T9922="Yes",
    1.35,
    1.00)</f>
        <v/>
      </c>
      <c r="P9922">
        <f>IF('Loan Tape (S&amp;P)'!S9922="Yes",
    1.15,
    1.00)</f>
        <v/>
      </c>
      <c r="Q9922">
        <f>IF('Loan Tape (S&amp;P)'!V9922="Yes",
    1.20,
    1.00)</f>
        <v/>
      </c>
      <c r="T9922">
        <f>LET(
    payment_method,'Loan Tape (S&amp;P)'!P9922,
    occupancy,'Loan Tape (S&amp;P)'!N9922,
    maturity_date,'Loan Tape (S&amp;P)'!L9922,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23">
      <c r="J9923">
        <f>LET(
    lien,'Loan Tape (S&amp;P)'!Q9923,
    IF(lien="First",1.00,
        IF(lien="Second",1.50,
            1.70)))</f>
        <v/>
      </c>
      <c r="K9923">
        <f>LET(
    purpose,'Loan Tape (S&amp;P)'!R9923,
    IF(purpose="Purchase",1.00,
        IF(purpose="Remortgage",1.00,
            1.20)))</f>
        <v/>
      </c>
      <c r="L9923">
        <f>LET(
    arrears_months,'Loan Tape (S&amp;P)'!AN9923,
    IF(arrears_months=0,1.00,
    IF(arrears_months=1,3.00,
    IF(arrears_months=2,5.00,
    IF(arrears_months=3,8.00,
    IF(arrears_months=4,10.00,
    IF(arrears_months=5,12.00,15.00)))))))</f>
        <v/>
      </c>
      <c r="M9923">
        <f>LET(
    seasoning_years,DATEDIF('Loan Tape (S&amp;P)'!K9923,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23">
        <f>IF(AND('Loan Tape (S&amp;P)'!U9923="Yes",
        'Loan Tape (S&amp;P)'!T9923&lt;&gt;"Yes",
        DATEDIF('Loan Tape (S&amp;P)'!K9923, TODAY(), "M")&lt;18),
    1.10,
    1.00)</f>
        <v/>
      </c>
      <c r="O9923">
        <f>IF('Loan Tape (S&amp;P)'!T9923="Yes",
    1.35,
    1.00)</f>
        <v/>
      </c>
      <c r="P9923">
        <f>IF('Loan Tape (S&amp;P)'!S9923="Yes",
    1.15,
    1.00)</f>
        <v/>
      </c>
      <c r="Q9923">
        <f>IF('Loan Tape (S&amp;P)'!V9923="Yes",
    1.20,
    1.00)</f>
        <v/>
      </c>
      <c r="T9923">
        <f>LET(
    payment_method,'Loan Tape (S&amp;P)'!P9923,
    occupancy,'Loan Tape (S&amp;P)'!N9923,
    maturity_date,'Loan Tape (S&amp;P)'!L9923,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24">
      <c r="J9924">
        <f>LET(
    lien,'Loan Tape (S&amp;P)'!Q9924,
    IF(lien="First",1.00,
        IF(lien="Second",1.50,
            1.70)))</f>
        <v/>
      </c>
      <c r="K9924">
        <f>LET(
    purpose,'Loan Tape (S&amp;P)'!R9924,
    IF(purpose="Purchase",1.00,
        IF(purpose="Remortgage",1.00,
            1.20)))</f>
        <v/>
      </c>
      <c r="L9924">
        <f>LET(
    arrears_months,'Loan Tape (S&amp;P)'!AN9924,
    IF(arrears_months=0,1.00,
    IF(arrears_months=1,3.00,
    IF(arrears_months=2,5.00,
    IF(arrears_months=3,8.00,
    IF(arrears_months=4,10.00,
    IF(arrears_months=5,12.00,15.00)))))))</f>
        <v/>
      </c>
      <c r="M9924">
        <f>LET(
    seasoning_years,DATEDIF('Loan Tape (S&amp;P)'!K9924,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24">
        <f>IF(AND('Loan Tape (S&amp;P)'!U9924="Yes",
        'Loan Tape (S&amp;P)'!T9924&lt;&gt;"Yes",
        DATEDIF('Loan Tape (S&amp;P)'!K9924, TODAY(), "M")&lt;18),
    1.10,
    1.00)</f>
        <v/>
      </c>
      <c r="O9924">
        <f>IF('Loan Tape (S&amp;P)'!T9924="Yes",
    1.35,
    1.00)</f>
        <v/>
      </c>
      <c r="P9924">
        <f>IF('Loan Tape (S&amp;P)'!S9924="Yes",
    1.15,
    1.00)</f>
        <v/>
      </c>
      <c r="Q9924">
        <f>IF('Loan Tape (S&amp;P)'!V9924="Yes",
    1.20,
    1.00)</f>
        <v/>
      </c>
      <c r="T9924">
        <f>LET(
    payment_method,'Loan Tape (S&amp;P)'!P9924,
    occupancy,'Loan Tape (S&amp;P)'!N9924,
    maturity_date,'Loan Tape (S&amp;P)'!L9924,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25">
      <c r="J9925">
        <f>LET(
    lien,'Loan Tape (S&amp;P)'!Q9925,
    IF(lien="First",1.00,
        IF(lien="Second",1.50,
            1.70)))</f>
        <v/>
      </c>
      <c r="K9925">
        <f>LET(
    purpose,'Loan Tape (S&amp;P)'!R9925,
    IF(purpose="Purchase",1.00,
        IF(purpose="Remortgage",1.00,
            1.20)))</f>
        <v/>
      </c>
      <c r="L9925">
        <f>LET(
    arrears_months,'Loan Tape (S&amp;P)'!AN9925,
    IF(arrears_months=0,1.00,
    IF(arrears_months=1,3.00,
    IF(arrears_months=2,5.00,
    IF(arrears_months=3,8.00,
    IF(arrears_months=4,10.00,
    IF(arrears_months=5,12.00,15.00)))))))</f>
        <v/>
      </c>
      <c r="M9925">
        <f>LET(
    seasoning_years,DATEDIF('Loan Tape (S&amp;P)'!K9925,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25">
        <f>IF(AND('Loan Tape (S&amp;P)'!U9925="Yes",
        'Loan Tape (S&amp;P)'!T9925&lt;&gt;"Yes",
        DATEDIF('Loan Tape (S&amp;P)'!K9925, TODAY(), "M")&lt;18),
    1.10,
    1.00)</f>
        <v/>
      </c>
      <c r="O9925">
        <f>IF('Loan Tape (S&amp;P)'!T9925="Yes",
    1.35,
    1.00)</f>
        <v/>
      </c>
      <c r="P9925">
        <f>IF('Loan Tape (S&amp;P)'!S9925="Yes",
    1.15,
    1.00)</f>
        <v/>
      </c>
      <c r="Q9925">
        <f>IF('Loan Tape (S&amp;P)'!V9925="Yes",
    1.20,
    1.00)</f>
        <v/>
      </c>
      <c r="T9925">
        <f>LET(
    payment_method,'Loan Tape (S&amp;P)'!P9925,
    occupancy,'Loan Tape (S&amp;P)'!N9925,
    maturity_date,'Loan Tape (S&amp;P)'!L9925,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26">
      <c r="J9926">
        <f>LET(
    lien,'Loan Tape (S&amp;P)'!Q9926,
    IF(lien="First",1.00,
        IF(lien="Second",1.50,
            1.70)))</f>
        <v/>
      </c>
      <c r="K9926">
        <f>LET(
    purpose,'Loan Tape (S&amp;P)'!R9926,
    IF(purpose="Purchase",1.00,
        IF(purpose="Remortgage",1.00,
            1.20)))</f>
        <v/>
      </c>
      <c r="L9926">
        <f>LET(
    arrears_months,'Loan Tape (S&amp;P)'!AN9926,
    IF(arrears_months=0,1.00,
    IF(arrears_months=1,3.00,
    IF(arrears_months=2,5.00,
    IF(arrears_months=3,8.00,
    IF(arrears_months=4,10.00,
    IF(arrears_months=5,12.00,15.00)))))))</f>
        <v/>
      </c>
      <c r="M9926">
        <f>LET(
    seasoning_years,DATEDIF('Loan Tape (S&amp;P)'!K9926,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26">
        <f>IF(AND('Loan Tape (S&amp;P)'!U9926="Yes",
        'Loan Tape (S&amp;P)'!T9926&lt;&gt;"Yes",
        DATEDIF('Loan Tape (S&amp;P)'!K9926, TODAY(), "M")&lt;18),
    1.10,
    1.00)</f>
        <v/>
      </c>
      <c r="O9926">
        <f>IF('Loan Tape (S&amp;P)'!T9926="Yes",
    1.35,
    1.00)</f>
        <v/>
      </c>
      <c r="P9926">
        <f>IF('Loan Tape (S&amp;P)'!S9926="Yes",
    1.15,
    1.00)</f>
        <v/>
      </c>
      <c r="Q9926">
        <f>IF('Loan Tape (S&amp;P)'!V9926="Yes",
    1.20,
    1.00)</f>
        <v/>
      </c>
      <c r="T9926">
        <f>LET(
    payment_method,'Loan Tape (S&amp;P)'!P9926,
    occupancy,'Loan Tape (S&amp;P)'!N9926,
    maturity_date,'Loan Tape (S&amp;P)'!L9926,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27">
      <c r="J9927">
        <f>LET(
    lien,'Loan Tape (S&amp;P)'!Q9927,
    IF(lien="First",1.00,
        IF(lien="Second",1.50,
            1.70)))</f>
        <v/>
      </c>
      <c r="K9927">
        <f>LET(
    purpose,'Loan Tape (S&amp;P)'!R9927,
    IF(purpose="Purchase",1.00,
        IF(purpose="Remortgage",1.00,
            1.20)))</f>
        <v/>
      </c>
      <c r="L9927">
        <f>LET(
    arrears_months,'Loan Tape (S&amp;P)'!AN9927,
    IF(arrears_months=0,1.00,
    IF(arrears_months=1,3.00,
    IF(arrears_months=2,5.00,
    IF(arrears_months=3,8.00,
    IF(arrears_months=4,10.00,
    IF(arrears_months=5,12.00,15.00)))))))</f>
        <v/>
      </c>
      <c r="M9927">
        <f>LET(
    seasoning_years,DATEDIF('Loan Tape (S&amp;P)'!K9927,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27">
        <f>IF(AND('Loan Tape (S&amp;P)'!U9927="Yes",
        'Loan Tape (S&amp;P)'!T9927&lt;&gt;"Yes",
        DATEDIF('Loan Tape (S&amp;P)'!K9927, TODAY(), "M")&lt;18),
    1.10,
    1.00)</f>
        <v/>
      </c>
      <c r="O9927">
        <f>IF('Loan Tape (S&amp;P)'!T9927="Yes",
    1.35,
    1.00)</f>
        <v/>
      </c>
      <c r="P9927">
        <f>IF('Loan Tape (S&amp;P)'!S9927="Yes",
    1.15,
    1.00)</f>
        <v/>
      </c>
      <c r="Q9927">
        <f>IF('Loan Tape (S&amp;P)'!V9927="Yes",
    1.20,
    1.00)</f>
        <v/>
      </c>
      <c r="T9927">
        <f>LET(
    payment_method,'Loan Tape (S&amp;P)'!P9927,
    occupancy,'Loan Tape (S&amp;P)'!N9927,
    maturity_date,'Loan Tape (S&amp;P)'!L9927,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28">
      <c r="J9928">
        <f>LET(
    lien,'Loan Tape (S&amp;P)'!Q9928,
    IF(lien="First",1.00,
        IF(lien="Second",1.50,
            1.70)))</f>
        <v/>
      </c>
      <c r="K9928">
        <f>LET(
    purpose,'Loan Tape (S&amp;P)'!R9928,
    IF(purpose="Purchase",1.00,
        IF(purpose="Remortgage",1.00,
            1.20)))</f>
        <v/>
      </c>
      <c r="L9928">
        <f>LET(
    arrears_months,'Loan Tape (S&amp;P)'!AN9928,
    IF(arrears_months=0,1.00,
    IF(arrears_months=1,3.00,
    IF(arrears_months=2,5.00,
    IF(arrears_months=3,8.00,
    IF(arrears_months=4,10.00,
    IF(arrears_months=5,12.00,15.00)))))))</f>
        <v/>
      </c>
      <c r="M9928">
        <f>LET(
    seasoning_years,DATEDIF('Loan Tape (S&amp;P)'!K9928,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28">
        <f>IF(AND('Loan Tape (S&amp;P)'!U9928="Yes",
        'Loan Tape (S&amp;P)'!T9928&lt;&gt;"Yes",
        DATEDIF('Loan Tape (S&amp;P)'!K9928, TODAY(), "M")&lt;18),
    1.10,
    1.00)</f>
        <v/>
      </c>
      <c r="O9928">
        <f>IF('Loan Tape (S&amp;P)'!T9928="Yes",
    1.35,
    1.00)</f>
        <v/>
      </c>
      <c r="P9928">
        <f>IF('Loan Tape (S&amp;P)'!S9928="Yes",
    1.15,
    1.00)</f>
        <v/>
      </c>
      <c r="Q9928">
        <f>IF('Loan Tape (S&amp;P)'!V9928="Yes",
    1.20,
    1.00)</f>
        <v/>
      </c>
      <c r="T9928">
        <f>LET(
    payment_method,'Loan Tape (S&amp;P)'!P9928,
    occupancy,'Loan Tape (S&amp;P)'!N9928,
    maturity_date,'Loan Tape (S&amp;P)'!L9928,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29">
      <c r="J9929">
        <f>LET(
    lien,'Loan Tape (S&amp;P)'!Q9929,
    IF(lien="First",1.00,
        IF(lien="Second",1.50,
            1.70)))</f>
        <v/>
      </c>
      <c r="K9929">
        <f>LET(
    purpose,'Loan Tape (S&amp;P)'!R9929,
    IF(purpose="Purchase",1.00,
        IF(purpose="Remortgage",1.00,
            1.20)))</f>
        <v/>
      </c>
      <c r="L9929">
        <f>LET(
    arrears_months,'Loan Tape (S&amp;P)'!AN9929,
    IF(arrears_months=0,1.00,
    IF(arrears_months=1,3.00,
    IF(arrears_months=2,5.00,
    IF(arrears_months=3,8.00,
    IF(arrears_months=4,10.00,
    IF(arrears_months=5,12.00,15.00)))))))</f>
        <v/>
      </c>
      <c r="M9929">
        <f>LET(
    seasoning_years,DATEDIF('Loan Tape (S&amp;P)'!K9929,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29">
        <f>IF(AND('Loan Tape (S&amp;P)'!U9929="Yes",
        'Loan Tape (S&amp;P)'!T9929&lt;&gt;"Yes",
        DATEDIF('Loan Tape (S&amp;P)'!K9929, TODAY(), "M")&lt;18),
    1.10,
    1.00)</f>
        <v/>
      </c>
      <c r="O9929">
        <f>IF('Loan Tape (S&amp;P)'!T9929="Yes",
    1.35,
    1.00)</f>
        <v/>
      </c>
      <c r="P9929">
        <f>IF('Loan Tape (S&amp;P)'!S9929="Yes",
    1.15,
    1.00)</f>
        <v/>
      </c>
      <c r="Q9929">
        <f>IF('Loan Tape (S&amp;P)'!V9929="Yes",
    1.20,
    1.00)</f>
        <v/>
      </c>
      <c r="T9929">
        <f>LET(
    payment_method,'Loan Tape (S&amp;P)'!P9929,
    occupancy,'Loan Tape (S&amp;P)'!N9929,
    maturity_date,'Loan Tape (S&amp;P)'!L9929,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30">
      <c r="J9930">
        <f>LET(
    lien,'Loan Tape (S&amp;P)'!Q9930,
    IF(lien="First",1.00,
        IF(lien="Second",1.50,
            1.70)))</f>
        <v/>
      </c>
      <c r="K9930">
        <f>LET(
    purpose,'Loan Tape (S&amp;P)'!R9930,
    IF(purpose="Purchase",1.00,
        IF(purpose="Remortgage",1.00,
            1.20)))</f>
        <v/>
      </c>
      <c r="L9930">
        <f>LET(
    arrears_months,'Loan Tape (S&amp;P)'!AN9930,
    IF(arrears_months=0,1.00,
    IF(arrears_months=1,3.00,
    IF(arrears_months=2,5.00,
    IF(arrears_months=3,8.00,
    IF(arrears_months=4,10.00,
    IF(arrears_months=5,12.00,15.00)))))))</f>
        <v/>
      </c>
      <c r="M9930">
        <f>LET(
    seasoning_years,DATEDIF('Loan Tape (S&amp;P)'!K9930,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30">
        <f>IF(AND('Loan Tape (S&amp;P)'!U9930="Yes",
        'Loan Tape (S&amp;P)'!T9930&lt;&gt;"Yes",
        DATEDIF('Loan Tape (S&amp;P)'!K9930, TODAY(), "M")&lt;18),
    1.10,
    1.00)</f>
        <v/>
      </c>
      <c r="O9930">
        <f>IF('Loan Tape (S&amp;P)'!T9930="Yes",
    1.35,
    1.00)</f>
        <v/>
      </c>
      <c r="P9930">
        <f>IF('Loan Tape (S&amp;P)'!S9930="Yes",
    1.15,
    1.00)</f>
        <v/>
      </c>
      <c r="Q9930">
        <f>IF('Loan Tape (S&amp;P)'!V9930="Yes",
    1.20,
    1.00)</f>
        <v/>
      </c>
      <c r="T9930">
        <f>LET(
    payment_method,'Loan Tape (S&amp;P)'!P9930,
    occupancy,'Loan Tape (S&amp;P)'!N9930,
    maturity_date,'Loan Tape (S&amp;P)'!L9930,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31">
      <c r="J9931">
        <f>LET(
    lien,'Loan Tape (S&amp;P)'!Q9931,
    IF(lien="First",1.00,
        IF(lien="Second",1.50,
            1.70)))</f>
        <v/>
      </c>
      <c r="K9931">
        <f>LET(
    purpose,'Loan Tape (S&amp;P)'!R9931,
    IF(purpose="Purchase",1.00,
        IF(purpose="Remortgage",1.00,
            1.20)))</f>
        <v/>
      </c>
      <c r="L9931">
        <f>LET(
    arrears_months,'Loan Tape (S&amp;P)'!AN9931,
    IF(arrears_months=0,1.00,
    IF(arrears_months=1,3.00,
    IF(arrears_months=2,5.00,
    IF(arrears_months=3,8.00,
    IF(arrears_months=4,10.00,
    IF(arrears_months=5,12.00,15.00)))))))</f>
        <v/>
      </c>
      <c r="M9931">
        <f>LET(
    seasoning_years,DATEDIF('Loan Tape (S&amp;P)'!K9931,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31">
        <f>IF(AND('Loan Tape (S&amp;P)'!U9931="Yes",
        'Loan Tape (S&amp;P)'!T9931&lt;&gt;"Yes",
        DATEDIF('Loan Tape (S&amp;P)'!K9931, TODAY(), "M")&lt;18),
    1.10,
    1.00)</f>
        <v/>
      </c>
      <c r="O9931">
        <f>IF('Loan Tape (S&amp;P)'!T9931="Yes",
    1.35,
    1.00)</f>
        <v/>
      </c>
      <c r="P9931">
        <f>IF('Loan Tape (S&amp;P)'!S9931="Yes",
    1.15,
    1.00)</f>
        <v/>
      </c>
      <c r="Q9931">
        <f>IF('Loan Tape (S&amp;P)'!V9931="Yes",
    1.20,
    1.00)</f>
        <v/>
      </c>
      <c r="T9931">
        <f>LET(
    payment_method,'Loan Tape (S&amp;P)'!P9931,
    occupancy,'Loan Tape (S&amp;P)'!N9931,
    maturity_date,'Loan Tape (S&amp;P)'!L9931,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32">
      <c r="J9932">
        <f>LET(
    lien,'Loan Tape (S&amp;P)'!Q9932,
    IF(lien="First",1.00,
        IF(lien="Second",1.50,
            1.70)))</f>
        <v/>
      </c>
      <c r="K9932">
        <f>LET(
    purpose,'Loan Tape (S&amp;P)'!R9932,
    IF(purpose="Purchase",1.00,
        IF(purpose="Remortgage",1.00,
            1.20)))</f>
        <v/>
      </c>
      <c r="L9932">
        <f>LET(
    arrears_months,'Loan Tape (S&amp;P)'!AN9932,
    IF(arrears_months=0,1.00,
    IF(arrears_months=1,3.00,
    IF(arrears_months=2,5.00,
    IF(arrears_months=3,8.00,
    IF(arrears_months=4,10.00,
    IF(arrears_months=5,12.00,15.00)))))))</f>
        <v/>
      </c>
      <c r="M9932">
        <f>LET(
    seasoning_years,DATEDIF('Loan Tape (S&amp;P)'!K9932,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32">
        <f>IF(AND('Loan Tape (S&amp;P)'!U9932="Yes",
        'Loan Tape (S&amp;P)'!T9932&lt;&gt;"Yes",
        DATEDIF('Loan Tape (S&amp;P)'!K9932, TODAY(), "M")&lt;18),
    1.10,
    1.00)</f>
        <v/>
      </c>
      <c r="O9932">
        <f>IF('Loan Tape (S&amp;P)'!T9932="Yes",
    1.35,
    1.00)</f>
        <v/>
      </c>
      <c r="P9932">
        <f>IF('Loan Tape (S&amp;P)'!S9932="Yes",
    1.15,
    1.00)</f>
        <v/>
      </c>
      <c r="Q9932">
        <f>IF('Loan Tape (S&amp;P)'!V9932="Yes",
    1.20,
    1.00)</f>
        <v/>
      </c>
      <c r="T9932">
        <f>LET(
    payment_method,'Loan Tape (S&amp;P)'!P9932,
    occupancy,'Loan Tape (S&amp;P)'!N9932,
    maturity_date,'Loan Tape (S&amp;P)'!L9932,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33">
      <c r="J9933">
        <f>LET(
    lien,'Loan Tape (S&amp;P)'!Q9933,
    IF(lien="First",1.00,
        IF(lien="Second",1.50,
            1.70)))</f>
        <v/>
      </c>
      <c r="K9933">
        <f>LET(
    purpose,'Loan Tape (S&amp;P)'!R9933,
    IF(purpose="Purchase",1.00,
        IF(purpose="Remortgage",1.00,
            1.20)))</f>
        <v/>
      </c>
      <c r="L9933">
        <f>LET(
    arrears_months,'Loan Tape (S&amp;P)'!AN9933,
    IF(arrears_months=0,1.00,
    IF(arrears_months=1,3.00,
    IF(arrears_months=2,5.00,
    IF(arrears_months=3,8.00,
    IF(arrears_months=4,10.00,
    IF(arrears_months=5,12.00,15.00)))))))</f>
        <v/>
      </c>
      <c r="M9933">
        <f>LET(
    seasoning_years,DATEDIF('Loan Tape (S&amp;P)'!K9933,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33">
        <f>IF(AND('Loan Tape (S&amp;P)'!U9933="Yes",
        'Loan Tape (S&amp;P)'!T9933&lt;&gt;"Yes",
        DATEDIF('Loan Tape (S&amp;P)'!K9933, TODAY(), "M")&lt;18),
    1.10,
    1.00)</f>
        <v/>
      </c>
      <c r="O9933">
        <f>IF('Loan Tape (S&amp;P)'!T9933="Yes",
    1.35,
    1.00)</f>
        <v/>
      </c>
      <c r="P9933">
        <f>IF('Loan Tape (S&amp;P)'!S9933="Yes",
    1.15,
    1.00)</f>
        <v/>
      </c>
      <c r="Q9933">
        <f>IF('Loan Tape (S&amp;P)'!V9933="Yes",
    1.20,
    1.00)</f>
        <v/>
      </c>
      <c r="T9933">
        <f>LET(
    payment_method,'Loan Tape (S&amp;P)'!P9933,
    occupancy,'Loan Tape (S&amp;P)'!N9933,
    maturity_date,'Loan Tape (S&amp;P)'!L9933,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34">
      <c r="J9934">
        <f>LET(
    lien,'Loan Tape (S&amp;P)'!Q9934,
    IF(lien="First",1.00,
        IF(lien="Second",1.50,
            1.70)))</f>
        <v/>
      </c>
      <c r="K9934">
        <f>LET(
    purpose,'Loan Tape (S&amp;P)'!R9934,
    IF(purpose="Purchase",1.00,
        IF(purpose="Remortgage",1.00,
            1.20)))</f>
        <v/>
      </c>
      <c r="L9934">
        <f>LET(
    arrears_months,'Loan Tape (S&amp;P)'!AN9934,
    IF(arrears_months=0,1.00,
    IF(arrears_months=1,3.00,
    IF(arrears_months=2,5.00,
    IF(arrears_months=3,8.00,
    IF(arrears_months=4,10.00,
    IF(arrears_months=5,12.00,15.00)))))))</f>
        <v/>
      </c>
      <c r="M9934">
        <f>LET(
    seasoning_years,DATEDIF('Loan Tape (S&amp;P)'!K9934,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34">
        <f>IF(AND('Loan Tape (S&amp;P)'!U9934="Yes",
        'Loan Tape (S&amp;P)'!T9934&lt;&gt;"Yes",
        DATEDIF('Loan Tape (S&amp;P)'!K9934, TODAY(), "M")&lt;18),
    1.10,
    1.00)</f>
        <v/>
      </c>
      <c r="O9934">
        <f>IF('Loan Tape (S&amp;P)'!T9934="Yes",
    1.35,
    1.00)</f>
        <v/>
      </c>
      <c r="P9934">
        <f>IF('Loan Tape (S&amp;P)'!S9934="Yes",
    1.15,
    1.00)</f>
        <v/>
      </c>
      <c r="Q9934">
        <f>IF('Loan Tape (S&amp;P)'!V9934="Yes",
    1.20,
    1.00)</f>
        <v/>
      </c>
      <c r="T9934">
        <f>LET(
    payment_method,'Loan Tape (S&amp;P)'!P9934,
    occupancy,'Loan Tape (S&amp;P)'!N9934,
    maturity_date,'Loan Tape (S&amp;P)'!L9934,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35">
      <c r="J9935">
        <f>LET(
    lien,'Loan Tape (S&amp;P)'!Q9935,
    IF(lien="First",1.00,
        IF(lien="Second",1.50,
            1.70)))</f>
        <v/>
      </c>
      <c r="K9935">
        <f>LET(
    purpose,'Loan Tape (S&amp;P)'!R9935,
    IF(purpose="Purchase",1.00,
        IF(purpose="Remortgage",1.00,
            1.20)))</f>
        <v/>
      </c>
      <c r="L9935">
        <f>LET(
    arrears_months,'Loan Tape (S&amp;P)'!AN9935,
    IF(arrears_months=0,1.00,
    IF(arrears_months=1,3.00,
    IF(arrears_months=2,5.00,
    IF(arrears_months=3,8.00,
    IF(arrears_months=4,10.00,
    IF(arrears_months=5,12.00,15.00)))))))</f>
        <v/>
      </c>
      <c r="M9935">
        <f>LET(
    seasoning_years,DATEDIF('Loan Tape (S&amp;P)'!K9935,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35">
        <f>IF(AND('Loan Tape (S&amp;P)'!U9935="Yes",
        'Loan Tape (S&amp;P)'!T9935&lt;&gt;"Yes",
        DATEDIF('Loan Tape (S&amp;P)'!K9935, TODAY(), "M")&lt;18),
    1.10,
    1.00)</f>
        <v/>
      </c>
      <c r="O9935">
        <f>IF('Loan Tape (S&amp;P)'!T9935="Yes",
    1.35,
    1.00)</f>
        <v/>
      </c>
      <c r="P9935">
        <f>IF('Loan Tape (S&amp;P)'!S9935="Yes",
    1.15,
    1.00)</f>
        <v/>
      </c>
      <c r="Q9935">
        <f>IF('Loan Tape (S&amp;P)'!V9935="Yes",
    1.20,
    1.00)</f>
        <v/>
      </c>
      <c r="T9935">
        <f>LET(
    payment_method,'Loan Tape (S&amp;P)'!P9935,
    occupancy,'Loan Tape (S&amp;P)'!N9935,
    maturity_date,'Loan Tape (S&amp;P)'!L9935,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36">
      <c r="J9936">
        <f>LET(
    lien,'Loan Tape (S&amp;P)'!Q9936,
    IF(lien="First",1.00,
        IF(lien="Second",1.50,
            1.70)))</f>
        <v/>
      </c>
      <c r="K9936">
        <f>LET(
    purpose,'Loan Tape (S&amp;P)'!R9936,
    IF(purpose="Purchase",1.00,
        IF(purpose="Remortgage",1.00,
            1.20)))</f>
        <v/>
      </c>
      <c r="L9936">
        <f>LET(
    arrears_months,'Loan Tape (S&amp;P)'!AN9936,
    IF(arrears_months=0,1.00,
    IF(arrears_months=1,3.00,
    IF(arrears_months=2,5.00,
    IF(arrears_months=3,8.00,
    IF(arrears_months=4,10.00,
    IF(arrears_months=5,12.00,15.00)))))))</f>
        <v/>
      </c>
      <c r="M9936">
        <f>LET(
    seasoning_years,DATEDIF('Loan Tape (S&amp;P)'!K9936,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36">
        <f>IF(AND('Loan Tape (S&amp;P)'!U9936="Yes",
        'Loan Tape (S&amp;P)'!T9936&lt;&gt;"Yes",
        DATEDIF('Loan Tape (S&amp;P)'!K9936, TODAY(), "M")&lt;18),
    1.10,
    1.00)</f>
        <v/>
      </c>
      <c r="O9936">
        <f>IF('Loan Tape (S&amp;P)'!T9936="Yes",
    1.35,
    1.00)</f>
        <v/>
      </c>
      <c r="P9936">
        <f>IF('Loan Tape (S&amp;P)'!S9936="Yes",
    1.15,
    1.00)</f>
        <v/>
      </c>
      <c r="Q9936">
        <f>IF('Loan Tape (S&amp;P)'!V9936="Yes",
    1.20,
    1.00)</f>
        <v/>
      </c>
      <c r="T9936">
        <f>LET(
    payment_method,'Loan Tape (S&amp;P)'!P9936,
    occupancy,'Loan Tape (S&amp;P)'!N9936,
    maturity_date,'Loan Tape (S&amp;P)'!L9936,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37">
      <c r="J9937">
        <f>LET(
    lien,'Loan Tape (S&amp;P)'!Q9937,
    IF(lien="First",1.00,
        IF(lien="Second",1.50,
            1.70)))</f>
        <v/>
      </c>
      <c r="K9937">
        <f>LET(
    purpose,'Loan Tape (S&amp;P)'!R9937,
    IF(purpose="Purchase",1.00,
        IF(purpose="Remortgage",1.00,
            1.20)))</f>
        <v/>
      </c>
      <c r="L9937">
        <f>LET(
    arrears_months,'Loan Tape (S&amp;P)'!AN9937,
    IF(arrears_months=0,1.00,
    IF(arrears_months=1,3.00,
    IF(arrears_months=2,5.00,
    IF(arrears_months=3,8.00,
    IF(arrears_months=4,10.00,
    IF(arrears_months=5,12.00,15.00)))))))</f>
        <v/>
      </c>
      <c r="M9937">
        <f>LET(
    seasoning_years,DATEDIF('Loan Tape (S&amp;P)'!K9937,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37">
        <f>IF(AND('Loan Tape (S&amp;P)'!U9937="Yes",
        'Loan Tape (S&amp;P)'!T9937&lt;&gt;"Yes",
        DATEDIF('Loan Tape (S&amp;P)'!K9937, TODAY(), "M")&lt;18),
    1.10,
    1.00)</f>
        <v/>
      </c>
      <c r="O9937">
        <f>IF('Loan Tape (S&amp;P)'!T9937="Yes",
    1.35,
    1.00)</f>
        <v/>
      </c>
      <c r="P9937">
        <f>IF('Loan Tape (S&amp;P)'!S9937="Yes",
    1.15,
    1.00)</f>
        <v/>
      </c>
      <c r="Q9937">
        <f>IF('Loan Tape (S&amp;P)'!V9937="Yes",
    1.20,
    1.00)</f>
        <v/>
      </c>
      <c r="T9937">
        <f>LET(
    payment_method,'Loan Tape (S&amp;P)'!P9937,
    occupancy,'Loan Tape (S&amp;P)'!N9937,
    maturity_date,'Loan Tape (S&amp;P)'!L9937,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38">
      <c r="J9938">
        <f>LET(
    lien,'Loan Tape (S&amp;P)'!Q9938,
    IF(lien="First",1.00,
        IF(lien="Second",1.50,
            1.70)))</f>
        <v/>
      </c>
      <c r="K9938">
        <f>LET(
    purpose,'Loan Tape (S&amp;P)'!R9938,
    IF(purpose="Purchase",1.00,
        IF(purpose="Remortgage",1.00,
            1.20)))</f>
        <v/>
      </c>
      <c r="L9938">
        <f>LET(
    arrears_months,'Loan Tape (S&amp;P)'!AN9938,
    IF(arrears_months=0,1.00,
    IF(arrears_months=1,3.00,
    IF(arrears_months=2,5.00,
    IF(arrears_months=3,8.00,
    IF(arrears_months=4,10.00,
    IF(arrears_months=5,12.00,15.00)))))))</f>
        <v/>
      </c>
      <c r="M9938">
        <f>LET(
    seasoning_years,DATEDIF('Loan Tape (S&amp;P)'!K9938,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38">
        <f>IF(AND('Loan Tape (S&amp;P)'!U9938="Yes",
        'Loan Tape (S&amp;P)'!T9938&lt;&gt;"Yes",
        DATEDIF('Loan Tape (S&amp;P)'!K9938, TODAY(), "M")&lt;18),
    1.10,
    1.00)</f>
        <v/>
      </c>
      <c r="O9938">
        <f>IF('Loan Tape (S&amp;P)'!T9938="Yes",
    1.35,
    1.00)</f>
        <v/>
      </c>
      <c r="P9938">
        <f>IF('Loan Tape (S&amp;P)'!S9938="Yes",
    1.15,
    1.00)</f>
        <v/>
      </c>
      <c r="Q9938">
        <f>IF('Loan Tape (S&amp;P)'!V9938="Yes",
    1.20,
    1.00)</f>
        <v/>
      </c>
      <c r="T9938">
        <f>LET(
    payment_method,'Loan Tape (S&amp;P)'!P9938,
    occupancy,'Loan Tape (S&amp;P)'!N9938,
    maturity_date,'Loan Tape (S&amp;P)'!L9938,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39">
      <c r="J9939">
        <f>LET(
    lien,'Loan Tape (S&amp;P)'!Q9939,
    IF(lien="First",1.00,
        IF(lien="Second",1.50,
            1.70)))</f>
        <v/>
      </c>
      <c r="K9939">
        <f>LET(
    purpose,'Loan Tape (S&amp;P)'!R9939,
    IF(purpose="Purchase",1.00,
        IF(purpose="Remortgage",1.00,
            1.20)))</f>
        <v/>
      </c>
      <c r="L9939">
        <f>LET(
    arrears_months,'Loan Tape (S&amp;P)'!AN9939,
    IF(arrears_months=0,1.00,
    IF(arrears_months=1,3.00,
    IF(arrears_months=2,5.00,
    IF(arrears_months=3,8.00,
    IF(arrears_months=4,10.00,
    IF(arrears_months=5,12.00,15.00)))))))</f>
        <v/>
      </c>
      <c r="M9939">
        <f>LET(
    seasoning_years,DATEDIF('Loan Tape (S&amp;P)'!K9939,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39">
        <f>IF(AND('Loan Tape (S&amp;P)'!U9939="Yes",
        'Loan Tape (S&amp;P)'!T9939&lt;&gt;"Yes",
        DATEDIF('Loan Tape (S&amp;P)'!K9939, TODAY(), "M")&lt;18),
    1.10,
    1.00)</f>
        <v/>
      </c>
      <c r="O9939">
        <f>IF('Loan Tape (S&amp;P)'!T9939="Yes",
    1.35,
    1.00)</f>
        <v/>
      </c>
      <c r="P9939">
        <f>IF('Loan Tape (S&amp;P)'!S9939="Yes",
    1.15,
    1.00)</f>
        <v/>
      </c>
      <c r="Q9939">
        <f>IF('Loan Tape (S&amp;P)'!V9939="Yes",
    1.20,
    1.00)</f>
        <v/>
      </c>
      <c r="T9939">
        <f>LET(
    payment_method,'Loan Tape (S&amp;P)'!P9939,
    occupancy,'Loan Tape (S&amp;P)'!N9939,
    maturity_date,'Loan Tape (S&amp;P)'!L9939,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40">
      <c r="J9940">
        <f>LET(
    lien,'Loan Tape (S&amp;P)'!Q9940,
    IF(lien="First",1.00,
        IF(lien="Second",1.50,
            1.70)))</f>
        <v/>
      </c>
      <c r="K9940">
        <f>LET(
    purpose,'Loan Tape (S&amp;P)'!R9940,
    IF(purpose="Purchase",1.00,
        IF(purpose="Remortgage",1.00,
            1.20)))</f>
        <v/>
      </c>
      <c r="L9940">
        <f>LET(
    arrears_months,'Loan Tape (S&amp;P)'!AN9940,
    IF(arrears_months=0,1.00,
    IF(arrears_months=1,3.00,
    IF(arrears_months=2,5.00,
    IF(arrears_months=3,8.00,
    IF(arrears_months=4,10.00,
    IF(arrears_months=5,12.00,15.00)))))))</f>
        <v/>
      </c>
      <c r="M9940">
        <f>LET(
    seasoning_years,DATEDIF('Loan Tape (S&amp;P)'!K9940,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40">
        <f>IF(AND('Loan Tape (S&amp;P)'!U9940="Yes",
        'Loan Tape (S&amp;P)'!T9940&lt;&gt;"Yes",
        DATEDIF('Loan Tape (S&amp;P)'!K9940, TODAY(), "M")&lt;18),
    1.10,
    1.00)</f>
        <v/>
      </c>
      <c r="O9940">
        <f>IF('Loan Tape (S&amp;P)'!T9940="Yes",
    1.35,
    1.00)</f>
        <v/>
      </c>
      <c r="P9940">
        <f>IF('Loan Tape (S&amp;P)'!S9940="Yes",
    1.15,
    1.00)</f>
        <v/>
      </c>
      <c r="Q9940">
        <f>IF('Loan Tape (S&amp;P)'!V9940="Yes",
    1.20,
    1.00)</f>
        <v/>
      </c>
      <c r="T9940">
        <f>LET(
    payment_method,'Loan Tape (S&amp;P)'!P9940,
    occupancy,'Loan Tape (S&amp;P)'!N9940,
    maturity_date,'Loan Tape (S&amp;P)'!L9940,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41">
      <c r="J9941">
        <f>LET(
    lien,'Loan Tape (S&amp;P)'!Q9941,
    IF(lien="First",1.00,
        IF(lien="Second",1.50,
            1.70)))</f>
        <v/>
      </c>
      <c r="K9941">
        <f>LET(
    purpose,'Loan Tape (S&amp;P)'!R9941,
    IF(purpose="Purchase",1.00,
        IF(purpose="Remortgage",1.00,
            1.20)))</f>
        <v/>
      </c>
      <c r="L9941">
        <f>LET(
    arrears_months,'Loan Tape (S&amp;P)'!AN9941,
    IF(arrears_months=0,1.00,
    IF(arrears_months=1,3.00,
    IF(arrears_months=2,5.00,
    IF(arrears_months=3,8.00,
    IF(arrears_months=4,10.00,
    IF(arrears_months=5,12.00,15.00)))))))</f>
        <v/>
      </c>
      <c r="M9941">
        <f>LET(
    seasoning_years,DATEDIF('Loan Tape (S&amp;P)'!K9941,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41">
        <f>IF(AND('Loan Tape (S&amp;P)'!U9941="Yes",
        'Loan Tape (S&amp;P)'!T9941&lt;&gt;"Yes",
        DATEDIF('Loan Tape (S&amp;P)'!K9941, TODAY(), "M")&lt;18),
    1.10,
    1.00)</f>
        <v/>
      </c>
      <c r="O9941">
        <f>IF('Loan Tape (S&amp;P)'!T9941="Yes",
    1.35,
    1.00)</f>
        <v/>
      </c>
      <c r="P9941">
        <f>IF('Loan Tape (S&amp;P)'!S9941="Yes",
    1.15,
    1.00)</f>
        <v/>
      </c>
      <c r="Q9941">
        <f>IF('Loan Tape (S&amp;P)'!V9941="Yes",
    1.20,
    1.00)</f>
        <v/>
      </c>
      <c r="T9941">
        <f>LET(
    payment_method,'Loan Tape (S&amp;P)'!P9941,
    occupancy,'Loan Tape (S&amp;P)'!N9941,
    maturity_date,'Loan Tape (S&amp;P)'!L9941,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42">
      <c r="J9942">
        <f>LET(
    lien,'Loan Tape (S&amp;P)'!Q9942,
    IF(lien="First",1.00,
        IF(lien="Second",1.50,
            1.70)))</f>
        <v/>
      </c>
      <c r="K9942">
        <f>LET(
    purpose,'Loan Tape (S&amp;P)'!R9942,
    IF(purpose="Purchase",1.00,
        IF(purpose="Remortgage",1.00,
            1.20)))</f>
        <v/>
      </c>
      <c r="L9942">
        <f>LET(
    arrears_months,'Loan Tape (S&amp;P)'!AN9942,
    IF(arrears_months=0,1.00,
    IF(arrears_months=1,3.00,
    IF(arrears_months=2,5.00,
    IF(arrears_months=3,8.00,
    IF(arrears_months=4,10.00,
    IF(arrears_months=5,12.00,15.00)))))))</f>
        <v/>
      </c>
      <c r="M9942">
        <f>LET(
    seasoning_years,DATEDIF('Loan Tape (S&amp;P)'!K9942,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42">
        <f>IF(AND('Loan Tape (S&amp;P)'!U9942="Yes",
        'Loan Tape (S&amp;P)'!T9942&lt;&gt;"Yes",
        DATEDIF('Loan Tape (S&amp;P)'!K9942, TODAY(), "M")&lt;18),
    1.10,
    1.00)</f>
        <v/>
      </c>
      <c r="O9942">
        <f>IF('Loan Tape (S&amp;P)'!T9942="Yes",
    1.35,
    1.00)</f>
        <v/>
      </c>
      <c r="P9942">
        <f>IF('Loan Tape (S&amp;P)'!S9942="Yes",
    1.15,
    1.00)</f>
        <v/>
      </c>
      <c r="Q9942">
        <f>IF('Loan Tape (S&amp;P)'!V9942="Yes",
    1.20,
    1.00)</f>
        <v/>
      </c>
      <c r="T9942">
        <f>LET(
    payment_method,'Loan Tape (S&amp;P)'!P9942,
    occupancy,'Loan Tape (S&amp;P)'!N9942,
    maturity_date,'Loan Tape (S&amp;P)'!L9942,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43">
      <c r="J9943">
        <f>LET(
    lien,'Loan Tape (S&amp;P)'!Q9943,
    IF(lien="First",1.00,
        IF(lien="Second",1.50,
            1.70)))</f>
        <v/>
      </c>
      <c r="K9943">
        <f>LET(
    purpose,'Loan Tape (S&amp;P)'!R9943,
    IF(purpose="Purchase",1.00,
        IF(purpose="Remortgage",1.00,
            1.20)))</f>
        <v/>
      </c>
      <c r="L9943">
        <f>LET(
    arrears_months,'Loan Tape (S&amp;P)'!AN9943,
    IF(arrears_months=0,1.00,
    IF(arrears_months=1,3.00,
    IF(arrears_months=2,5.00,
    IF(arrears_months=3,8.00,
    IF(arrears_months=4,10.00,
    IF(arrears_months=5,12.00,15.00)))))))</f>
        <v/>
      </c>
      <c r="M9943">
        <f>LET(
    seasoning_years,DATEDIF('Loan Tape (S&amp;P)'!K9943,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43">
        <f>IF(AND('Loan Tape (S&amp;P)'!U9943="Yes",
        'Loan Tape (S&amp;P)'!T9943&lt;&gt;"Yes",
        DATEDIF('Loan Tape (S&amp;P)'!K9943, TODAY(), "M")&lt;18),
    1.10,
    1.00)</f>
        <v/>
      </c>
      <c r="O9943">
        <f>IF('Loan Tape (S&amp;P)'!T9943="Yes",
    1.35,
    1.00)</f>
        <v/>
      </c>
      <c r="P9943">
        <f>IF('Loan Tape (S&amp;P)'!S9943="Yes",
    1.15,
    1.00)</f>
        <v/>
      </c>
      <c r="Q9943">
        <f>IF('Loan Tape (S&amp;P)'!V9943="Yes",
    1.20,
    1.00)</f>
        <v/>
      </c>
      <c r="T9943">
        <f>LET(
    payment_method,'Loan Tape (S&amp;P)'!P9943,
    occupancy,'Loan Tape (S&amp;P)'!N9943,
    maturity_date,'Loan Tape (S&amp;P)'!L9943,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44">
      <c r="J9944">
        <f>LET(
    lien,'Loan Tape (S&amp;P)'!Q9944,
    IF(lien="First",1.00,
        IF(lien="Second",1.50,
            1.70)))</f>
        <v/>
      </c>
      <c r="K9944">
        <f>LET(
    purpose,'Loan Tape (S&amp;P)'!R9944,
    IF(purpose="Purchase",1.00,
        IF(purpose="Remortgage",1.00,
            1.20)))</f>
        <v/>
      </c>
      <c r="L9944">
        <f>LET(
    arrears_months,'Loan Tape (S&amp;P)'!AN9944,
    IF(arrears_months=0,1.00,
    IF(arrears_months=1,3.00,
    IF(arrears_months=2,5.00,
    IF(arrears_months=3,8.00,
    IF(arrears_months=4,10.00,
    IF(arrears_months=5,12.00,15.00)))))))</f>
        <v/>
      </c>
      <c r="M9944">
        <f>LET(
    seasoning_years,DATEDIF('Loan Tape (S&amp;P)'!K9944,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44">
        <f>IF(AND('Loan Tape (S&amp;P)'!U9944="Yes",
        'Loan Tape (S&amp;P)'!T9944&lt;&gt;"Yes",
        DATEDIF('Loan Tape (S&amp;P)'!K9944, TODAY(), "M")&lt;18),
    1.10,
    1.00)</f>
        <v/>
      </c>
      <c r="O9944">
        <f>IF('Loan Tape (S&amp;P)'!T9944="Yes",
    1.35,
    1.00)</f>
        <v/>
      </c>
      <c r="P9944">
        <f>IF('Loan Tape (S&amp;P)'!S9944="Yes",
    1.15,
    1.00)</f>
        <v/>
      </c>
      <c r="Q9944">
        <f>IF('Loan Tape (S&amp;P)'!V9944="Yes",
    1.20,
    1.00)</f>
        <v/>
      </c>
      <c r="T9944">
        <f>LET(
    payment_method,'Loan Tape (S&amp;P)'!P9944,
    occupancy,'Loan Tape (S&amp;P)'!N9944,
    maturity_date,'Loan Tape (S&amp;P)'!L9944,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45">
      <c r="J9945">
        <f>LET(
    lien,'Loan Tape (S&amp;P)'!Q9945,
    IF(lien="First",1.00,
        IF(lien="Second",1.50,
            1.70)))</f>
        <v/>
      </c>
      <c r="K9945">
        <f>LET(
    purpose,'Loan Tape (S&amp;P)'!R9945,
    IF(purpose="Purchase",1.00,
        IF(purpose="Remortgage",1.00,
            1.20)))</f>
        <v/>
      </c>
      <c r="L9945">
        <f>LET(
    arrears_months,'Loan Tape (S&amp;P)'!AN9945,
    IF(arrears_months=0,1.00,
    IF(arrears_months=1,3.00,
    IF(arrears_months=2,5.00,
    IF(arrears_months=3,8.00,
    IF(arrears_months=4,10.00,
    IF(arrears_months=5,12.00,15.00)))))))</f>
        <v/>
      </c>
      <c r="M9945">
        <f>LET(
    seasoning_years,DATEDIF('Loan Tape (S&amp;P)'!K9945,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45">
        <f>IF(AND('Loan Tape (S&amp;P)'!U9945="Yes",
        'Loan Tape (S&amp;P)'!T9945&lt;&gt;"Yes",
        DATEDIF('Loan Tape (S&amp;P)'!K9945, TODAY(), "M")&lt;18),
    1.10,
    1.00)</f>
        <v/>
      </c>
      <c r="O9945">
        <f>IF('Loan Tape (S&amp;P)'!T9945="Yes",
    1.35,
    1.00)</f>
        <v/>
      </c>
      <c r="P9945">
        <f>IF('Loan Tape (S&amp;P)'!S9945="Yes",
    1.15,
    1.00)</f>
        <v/>
      </c>
      <c r="Q9945">
        <f>IF('Loan Tape (S&amp;P)'!V9945="Yes",
    1.20,
    1.00)</f>
        <v/>
      </c>
      <c r="T9945">
        <f>LET(
    payment_method,'Loan Tape (S&amp;P)'!P9945,
    occupancy,'Loan Tape (S&amp;P)'!N9945,
    maturity_date,'Loan Tape (S&amp;P)'!L9945,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46">
      <c r="J9946">
        <f>LET(
    lien,'Loan Tape (S&amp;P)'!Q9946,
    IF(lien="First",1.00,
        IF(lien="Second",1.50,
            1.70)))</f>
        <v/>
      </c>
      <c r="K9946">
        <f>LET(
    purpose,'Loan Tape (S&amp;P)'!R9946,
    IF(purpose="Purchase",1.00,
        IF(purpose="Remortgage",1.00,
            1.20)))</f>
        <v/>
      </c>
      <c r="L9946">
        <f>LET(
    arrears_months,'Loan Tape (S&amp;P)'!AN9946,
    IF(arrears_months=0,1.00,
    IF(arrears_months=1,3.00,
    IF(arrears_months=2,5.00,
    IF(arrears_months=3,8.00,
    IF(arrears_months=4,10.00,
    IF(arrears_months=5,12.00,15.00)))))))</f>
        <v/>
      </c>
      <c r="M9946">
        <f>LET(
    seasoning_years,DATEDIF('Loan Tape (S&amp;P)'!K9946,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46">
        <f>IF(AND('Loan Tape (S&amp;P)'!U9946="Yes",
        'Loan Tape (S&amp;P)'!T9946&lt;&gt;"Yes",
        DATEDIF('Loan Tape (S&amp;P)'!K9946, TODAY(), "M")&lt;18),
    1.10,
    1.00)</f>
        <v/>
      </c>
      <c r="O9946">
        <f>IF('Loan Tape (S&amp;P)'!T9946="Yes",
    1.35,
    1.00)</f>
        <v/>
      </c>
      <c r="P9946">
        <f>IF('Loan Tape (S&amp;P)'!S9946="Yes",
    1.15,
    1.00)</f>
        <v/>
      </c>
      <c r="Q9946">
        <f>IF('Loan Tape (S&amp;P)'!V9946="Yes",
    1.20,
    1.00)</f>
        <v/>
      </c>
      <c r="T9946">
        <f>LET(
    payment_method,'Loan Tape (S&amp;P)'!P9946,
    occupancy,'Loan Tape (S&amp;P)'!N9946,
    maturity_date,'Loan Tape (S&amp;P)'!L9946,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47">
      <c r="J9947">
        <f>LET(
    lien,'Loan Tape (S&amp;P)'!Q9947,
    IF(lien="First",1.00,
        IF(lien="Second",1.50,
            1.70)))</f>
        <v/>
      </c>
      <c r="K9947">
        <f>LET(
    purpose,'Loan Tape (S&amp;P)'!R9947,
    IF(purpose="Purchase",1.00,
        IF(purpose="Remortgage",1.00,
            1.20)))</f>
        <v/>
      </c>
      <c r="L9947">
        <f>LET(
    arrears_months,'Loan Tape (S&amp;P)'!AN9947,
    IF(arrears_months=0,1.00,
    IF(arrears_months=1,3.00,
    IF(arrears_months=2,5.00,
    IF(arrears_months=3,8.00,
    IF(arrears_months=4,10.00,
    IF(arrears_months=5,12.00,15.00)))))))</f>
        <v/>
      </c>
      <c r="M9947">
        <f>LET(
    seasoning_years,DATEDIF('Loan Tape (S&amp;P)'!K9947,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47">
        <f>IF(AND('Loan Tape (S&amp;P)'!U9947="Yes",
        'Loan Tape (S&amp;P)'!T9947&lt;&gt;"Yes",
        DATEDIF('Loan Tape (S&amp;P)'!K9947, TODAY(), "M")&lt;18),
    1.10,
    1.00)</f>
        <v/>
      </c>
      <c r="O9947">
        <f>IF('Loan Tape (S&amp;P)'!T9947="Yes",
    1.35,
    1.00)</f>
        <v/>
      </c>
      <c r="P9947">
        <f>IF('Loan Tape (S&amp;P)'!S9947="Yes",
    1.15,
    1.00)</f>
        <v/>
      </c>
      <c r="Q9947">
        <f>IF('Loan Tape (S&amp;P)'!V9947="Yes",
    1.20,
    1.00)</f>
        <v/>
      </c>
      <c r="T9947">
        <f>LET(
    payment_method,'Loan Tape (S&amp;P)'!P9947,
    occupancy,'Loan Tape (S&amp;P)'!N9947,
    maturity_date,'Loan Tape (S&amp;P)'!L9947,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48">
      <c r="J9948">
        <f>LET(
    lien,'Loan Tape (S&amp;P)'!Q9948,
    IF(lien="First",1.00,
        IF(lien="Second",1.50,
            1.70)))</f>
        <v/>
      </c>
      <c r="K9948">
        <f>LET(
    purpose,'Loan Tape (S&amp;P)'!R9948,
    IF(purpose="Purchase",1.00,
        IF(purpose="Remortgage",1.00,
            1.20)))</f>
        <v/>
      </c>
      <c r="L9948">
        <f>LET(
    arrears_months,'Loan Tape (S&amp;P)'!AN9948,
    IF(arrears_months=0,1.00,
    IF(arrears_months=1,3.00,
    IF(arrears_months=2,5.00,
    IF(arrears_months=3,8.00,
    IF(arrears_months=4,10.00,
    IF(arrears_months=5,12.00,15.00)))))))</f>
        <v/>
      </c>
      <c r="M9948">
        <f>LET(
    seasoning_years,DATEDIF('Loan Tape (S&amp;P)'!K9948,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48">
        <f>IF(AND('Loan Tape (S&amp;P)'!U9948="Yes",
        'Loan Tape (S&amp;P)'!T9948&lt;&gt;"Yes",
        DATEDIF('Loan Tape (S&amp;P)'!K9948, TODAY(), "M")&lt;18),
    1.10,
    1.00)</f>
        <v/>
      </c>
      <c r="O9948">
        <f>IF('Loan Tape (S&amp;P)'!T9948="Yes",
    1.35,
    1.00)</f>
        <v/>
      </c>
      <c r="P9948">
        <f>IF('Loan Tape (S&amp;P)'!S9948="Yes",
    1.15,
    1.00)</f>
        <v/>
      </c>
      <c r="Q9948">
        <f>IF('Loan Tape (S&amp;P)'!V9948="Yes",
    1.20,
    1.00)</f>
        <v/>
      </c>
      <c r="T9948">
        <f>LET(
    payment_method,'Loan Tape (S&amp;P)'!P9948,
    occupancy,'Loan Tape (S&amp;P)'!N9948,
    maturity_date,'Loan Tape (S&amp;P)'!L9948,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49">
      <c r="J9949">
        <f>LET(
    lien,'Loan Tape (S&amp;P)'!Q9949,
    IF(lien="First",1.00,
        IF(lien="Second",1.50,
            1.70)))</f>
        <v/>
      </c>
      <c r="K9949">
        <f>LET(
    purpose,'Loan Tape (S&amp;P)'!R9949,
    IF(purpose="Purchase",1.00,
        IF(purpose="Remortgage",1.00,
            1.20)))</f>
        <v/>
      </c>
      <c r="L9949">
        <f>LET(
    arrears_months,'Loan Tape (S&amp;P)'!AN9949,
    IF(arrears_months=0,1.00,
    IF(arrears_months=1,3.00,
    IF(arrears_months=2,5.00,
    IF(arrears_months=3,8.00,
    IF(arrears_months=4,10.00,
    IF(arrears_months=5,12.00,15.00)))))))</f>
        <v/>
      </c>
      <c r="M9949">
        <f>LET(
    seasoning_years,DATEDIF('Loan Tape (S&amp;P)'!K9949,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49">
        <f>IF(AND('Loan Tape (S&amp;P)'!U9949="Yes",
        'Loan Tape (S&amp;P)'!T9949&lt;&gt;"Yes",
        DATEDIF('Loan Tape (S&amp;P)'!K9949, TODAY(), "M")&lt;18),
    1.10,
    1.00)</f>
        <v/>
      </c>
      <c r="O9949">
        <f>IF('Loan Tape (S&amp;P)'!T9949="Yes",
    1.35,
    1.00)</f>
        <v/>
      </c>
      <c r="P9949">
        <f>IF('Loan Tape (S&amp;P)'!S9949="Yes",
    1.15,
    1.00)</f>
        <v/>
      </c>
      <c r="Q9949">
        <f>IF('Loan Tape (S&amp;P)'!V9949="Yes",
    1.20,
    1.00)</f>
        <v/>
      </c>
      <c r="T9949">
        <f>LET(
    payment_method,'Loan Tape (S&amp;P)'!P9949,
    occupancy,'Loan Tape (S&amp;P)'!N9949,
    maturity_date,'Loan Tape (S&amp;P)'!L9949,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50">
      <c r="J9950">
        <f>LET(
    lien,'Loan Tape (S&amp;P)'!Q9950,
    IF(lien="First",1.00,
        IF(lien="Second",1.50,
            1.70)))</f>
        <v/>
      </c>
      <c r="K9950">
        <f>LET(
    purpose,'Loan Tape (S&amp;P)'!R9950,
    IF(purpose="Purchase",1.00,
        IF(purpose="Remortgage",1.00,
            1.20)))</f>
        <v/>
      </c>
      <c r="L9950">
        <f>LET(
    arrears_months,'Loan Tape (S&amp;P)'!AN9950,
    IF(arrears_months=0,1.00,
    IF(arrears_months=1,3.00,
    IF(arrears_months=2,5.00,
    IF(arrears_months=3,8.00,
    IF(arrears_months=4,10.00,
    IF(arrears_months=5,12.00,15.00)))))))</f>
        <v/>
      </c>
      <c r="M9950">
        <f>LET(
    seasoning_years,DATEDIF('Loan Tape (S&amp;P)'!K9950,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50">
        <f>IF(AND('Loan Tape (S&amp;P)'!U9950="Yes",
        'Loan Tape (S&amp;P)'!T9950&lt;&gt;"Yes",
        DATEDIF('Loan Tape (S&amp;P)'!K9950, TODAY(), "M")&lt;18),
    1.10,
    1.00)</f>
        <v/>
      </c>
      <c r="O9950">
        <f>IF('Loan Tape (S&amp;P)'!T9950="Yes",
    1.35,
    1.00)</f>
        <v/>
      </c>
      <c r="P9950">
        <f>IF('Loan Tape (S&amp;P)'!S9950="Yes",
    1.15,
    1.00)</f>
        <v/>
      </c>
      <c r="Q9950">
        <f>IF('Loan Tape (S&amp;P)'!V9950="Yes",
    1.20,
    1.00)</f>
        <v/>
      </c>
      <c r="T9950">
        <f>LET(
    payment_method,'Loan Tape (S&amp;P)'!P9950,
    occupancy,'Loan Tape (S&amp;P)'!N9950,
    maturity_date,'Loan Tape (S&amp;P)'!L9950,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51">
      <c r="J9951">
        <f>LET(
    lien,'Loan Tape (S&amp;P)'!Q9951,
    IF(lien="First",1.00,
        IF(lien="Second",1.50,
            1.70)))</f>
        <v/>
      </c>
      <c r="K9951">
        <f>LET(
    purpose,'Loan Tape (S&amp;P)'!R9951,
    IF(purpose="Purchase",1.00,
        IF(purpose="Remortgage",1.00,
            1.20)))</f>
        <v/>
      </c>
      <c r="L9951">
        <f>LET(
    arrears_months,'Loan Tape (S&amp;P)'!AN9951,
    IF(arrears_months=0,1.00,
    IF(arrears_months=1,3.00,
    IF(arrears_months=2,5.00,
    IF(arrears_months=3,8.00,
    IF(arrears_months=4,10.00,
    IF(arrears_months=5,12.00,15.00)))))))</f>
        <v/>
      </c>
      <c r="M9951">
        <f>LET(
    seasoning_years,DATEDIF('Loan Tape (S&amp;P)'!K9951,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51">
        <f>IF(AND('Loan Tape (S&amp;P)'!U9951="Yes",
        'Loan Tape (S&amp;P)'!T9951&lt;&gt;"Yes",
        DATEDIF('Loan Tape (S&amp;P)'!K9951, TODAY(), "M")&lt;18),
    1.10,
    1.00)</f>
        <v/>
      </c>
      <c r="O9951">
        <f>IF('Loan Tape (S&amp;P)'!T9951="Yes",
    1.35,
    1.00)</f>
        <v/>
      </c>
      <c r="P9951">
        <f>IF('Loan Tape (S&amp;P)'!S9951="Yes",
    1.15,
    1.00)</f>
        <v/>
      </c>
      <c r="Q9951">
        <f>IF('Loan Tape (S&amp;P)'!V9951="Yes",
    1.20,
    1.00)</f>
        <v/>
      </c>
      <c r="T9951">
        <f>LET(
    payment_method,'Loan Tape (S&amp;P)'!P9951,
    occupancy,'Loan Tape (S&amp;P)'!N9951,
    maturity_date,'Loan Tape (S&amp;P)'!L9951,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52">
      <c r="J9952">
        <f>LET(
    lien,'Loan Tape (S&amp;P)'!Q9952,
    IF(lien="First",1.00,
        IF(lien="Second",1.50,
            1.70)))</f>
        <v/>
      </c>
      <c r="K9952">
        <f>LET(
    purpose,'Loan Tape (S&amp;P)'!R9952,
    IF(purpose="Purchase",1.00,
        IF(purpose="Remortgage",1.00,
            1.20)))</f>
        <v/>
      </c>
      <c r="L9952">
        <f>LET(
    arrears_months,'Loan Tape (S&amp;P)'!AN9952,
    IF(arrears_months=0,1.00,
    IF(arrears_months=1,3.00,
    IF(arrears_months=2,5.00,
    IF(arrears_months=3,8.00,
    IF(arrears_months=4,10.00,
    IF(arrears_months=5,12.00,15.00)))))))</f>
        <v/>
      </c>
      <c r="M9952">
        <f>LET(
    seasoning_years,DATEDIF('Loan Tape (S&amp;P)'!K9952,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52">
        <f>IF(AND('Loan Tape (S&amp;P)'!U9952="Yes",
        'Loan Tape (S&amp;P)'!T9952&lt;&gt;"Yes",
        DATEDIF('Loan Tape (S&amp;P)'!K9952, TODAY(), "M")&lt;18),
    1.10,
    1.00)</f>
        <v/>
      </c>
      <c r="O9952">
        <f>IF('Loan Tape (S&amp;P)'!T9952="Yes",
    1.35,
    1.00)</f>
        <v/>
      </c>
      <c r="P9952">
        <f>IF('Loan Tape (S&amp;P)'!S9952="Yes",
    1.15,
    1.00)</f>
        <v/>
      </c>
      <c r="Q9952">
        <f>IF('Loan Tape (S&amp;P)'!V9952="Yes",
    1.20,
    1.00)</f>
        <v/>
      </c>
      <c r="T9952">
        <f>LET(
    payment_method,'Loan Tape (S&amp;P)'!P9952,
    occupancy,'Loan Tape (S&amp;P)'!N9952,
    maturity_date,'Loan Tape (S&amp;P)'!L9952,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53">
      <c r="J9953">
        <f>LET(
    lien,'Loan Tape (S&amp;P)'!Q9953,
    IF(lien="First",1.00,
        IF(lien="Second",1.50,
            1.70)))</f>
        <v/>
      </c>
      <c r="K9953">
        <f>LET(
    purpose,'Loan Tape (S&amp;P)'!R9953,
    IF(purpose="Purchase",1.00,
        IF(purpose="Remortgage",1.00,
            1.20)))</f>
        <v/>
      </c>
      <c r="L9953">
        <f>LET(
    arrears_months,'Loan Tape (S&amp;P)'!AN9953,
    IF(arrears_months=0,1.00,
    IF(arrears_months=1,3.00,
    IF(arrears_months=2,5.00,
    IF(arrears_months=3,8.00,
    IF(arrears_months=4,10.00,
    IF(arrears_months=5,12.00,15.00)))))))</f>
        <v/>
      </c>
      <c r="M9953">
        <f>LET(
    seasoning_years,DATEDIF('Loan Tape (S&amp;P)'!K9953,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53">
        <f>IF(AND('Loan Tape (S&amp;P)'!U9953="Yes",
        'Loan Tape (S&amp;P)'!T9953&lt;&gt;"Yes",
        DATEDIF('Loan Tape (S&amp;P)'!K9953, TODAY(), "M")&lt;18),
    1.10,
    1.00)</f>
        <v/>
      </c>
      <c r="O9953">
        <f>IF('Loan Tape (S&amp;P)'!T9953="Yes",
    1.35,
    1.00)</f>
        <v/>
      </c>
      <c r="P9953">
        <f>IF('Loan Tape (S&amp;P)'!S9953="Yes",
    1.15,
    1.00)</f>
        <v/>
      </c>
      <c r="Q9953">
        <f>IF('Loan Tape (S&amp;P)'!V9953="Yes",
    1.20,
    1.00)</f>
        <v/>
      </c>
      <c r="T9953">
        <f>LET(
    payment_method,'Loan Tape (S&amp;P)'!P9953,
    occupancy,'Loan Tape (S&amp;P)'!N9953,
    maturity_date,'Loan Tape (S&amp;P)'!L9953,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54">
      <c r="J9954">
        <f>LET(
    lien,'Loan Tape (S&amp;P)'!Q9954,
    IF(lien="First",1.00,
        IF(lien="Second",1.50,
            1.70)))</f>
        <v/>
      </c>
      <c r="K9954">
        <f>LET(
    purpose,'Loan Tape (S&amp;P)'!R9954,
    IF(purpose="Purchase",1.00,
        IF(purpose="Remortgage",1.00,
            1.20)))</f>
        <v/>
      </c>
      <c r="L9954">
        <f>LET(
    arrears_months,'Loan Tape (S&amp;P)'!AN9954,
    IF(arrears_months=0,1.00,
    IF(arrears_months=1,3.00,
    IF(arrears_months=2,5.00,
    IF(arrears_months=3,8.00,
    IF(arrears_months=4,10.00,
    IF(arrears_months=5,12.00,15.00)))))))</f>
        <v/>
      </c>
      <c r="M9954">
        <f>LET(
    seasoning_years,DATEDIF('Loan Tape (S&amp;P)'!K9954,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54">
        <f>IF(AND('Loan Tape (S&amp;P)'!U9954="Yes",
        'Loan Tape (S&amp;P)'!T9954&lt;&gt;"Yes",
        DATEDIF('Loan Tape (S&amp;P)'!K9954, TODAY(), "M")&lt;18),
    1.10,
    1.00)</f>
        <v/>
      </c>
      <c r="O9954">
        <f>IF('Loan Tape (S&amp;P)'!T9954="Yes",
    1.35,
    1.00)</f>
        <v/>
      </c>
      <c r="P9954">
        <f>IF('Loan Tape (S&amp;P)'!S9954="Yes",
    1.15,
    1.00)</f>
        <v/>
      </c>
      <c r="Q9954">
        <f>IF('Loan Tape (S&amp;P)'!V9954="Yes",
    1.20,
    1.00)</f>
        <v/>
      </c>
      <c r="T9954">
        <f>LET(
    payment_method,'Loan Tape (S&amp;P)'!P9954,
    occupancy,'Loan Tape (S&amp;P)'!N9954,
    maturity_date,'Loan Tape (S&amp;P)'!L9954,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55">
      <c r="J9955">
        <f>LET(
    lien,'Loan Tape (S&amp;P)'!Q9955,
    IF(lien="First",1.00,
        IF(lien="Second",1.50,
            1.70)))</f>
        <v/>
      </c>
      <c r="K9955">
        <f>LET(
    purpose,'Loan Tape (S&amp;P)'!R9955,
    IF(purpose="Purchase",1.00,
        IF(purpose="Remortgage",1.00,
            1.20)))</f>
        <v/>
      </c>
      <c r="L9955">
        <f>LET(
    arrears_months,'Loan Tape (S&amp;P)'!AN9955,
    IF(arrears_months=0,1.00,
    IF(arrears_months=1,3.00,
    IF(arrears_months=2,5.00,
    IF(arrears_months=3,8.00,
    IF(arrears_months=4,10.00,
    IF(arrears_months=5,12.00,15.00)))))))</f>
        <v/>
      </c>
      <c r="M9955">
        <f>LET(
    seasoning_years,DATEDIF('Loan Tape (S&amp;P)'!K9955,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55">
        <f>IF(AND('Loan Tape (S&amp;P)'!U9955="Yes",
        'Loan Tape (S&amp;P)'!T9955&lt;&gt;"Yes",
        DATEDIF('Loan Tape (S&amp;P)'!K9955, TODAY(), "M")&lt;18),
    1.10,
    1.00)</f>
        <v/>
      </c>
      <c r="O9955">
        <f>IF('Loan Tape (S&amp;P)'!T9955="Yes",
    1.35,
    1.00)</f>
        <v/>
      </c>
      <c r="P9955">
        <f>IF('Loan Tape (S&amp;P)'!S9955="Yes",
    1.15,
    1.00)</f>
        <v/>
      </c>
      <c r="Q9955">
        <f>IF('Loan Tape (S&amp;P)'!V9955="Yes",
    1.20,
    1.00)</f>
        <v/>
      </c>
      <c r="T9955">
        <f>LET(
    payment_method,'Loan Tape (S&amp;P)'!P9955,
    occupancy,'Loan Tape (S&amp;P)'!N9955,
    maturity_date,'Loan Tape (S&amp;P)'!L9955,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56">
      <c r="J9956">
        <f>LET(
    lien,'Loan Tape (S&amp;P)'!Q9956,
    IF(lien="First",1.00,
        IF(lien="Second",1.50,
            1.70)))</f>
        <v/>
      </c>
      <c r="K9956">
        <f>LET(
    purpose,'Loan Tape (S&amp;P)'!R9956,
    IF(purpose="Purchase",1.00,
        IF(purpose="Remortgage",1.00,
            1.20)))</f>
        <v/>
      </c>
      <c r="L9956">
        <f>LET(
    arrears_months,'Loan Tape (S&amp;P)'!AN9956,
    IF(arrears_months=0,1.00,
    IF(arrears_months=1,3.00,
    IF(arrears_months=2,5.00,
    IF(arrears_months=3,8.00,
    IF(arrears_months=4,10.00,
    IF(arrears_months=5,12.00,15.00)))))))</f>
        <v/>
      </c>
      <c r="M9956">
        <f>LET(
    seasoning_years,DATEDIF('Loan Tape (S&amp;P)'!K9956,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56">
        <f>IF(AND('Loan Tape (S&amp;P)'!U9956="Yes",
        'Loan Tape (S&amp;P)'!T9956&lt;&gt;"Yes",
        DATEDIF('Loan Tape (S&amp;P)'!K9956, TODAY(), "M")&lt;18),
    1.10,
    1.00)</f>
        <v/>
      </c>
      <c r="O9956">
        <f>IF('Loan Tape (S&amp;P)'!T9956="Yes",
    1.35,
    1.00)</f>
        <v/>
      </c>
      <c r="P9956">
        <f>IF('Loan Tape (S&amp;P)'!S9956="Yes",
    1.15,
    1.00)</f>
        <v/>
      </c>
      <c r="Q9956">
        <f>IF('Loan Tape (S&amp;P)'!V9956="Yes",
    1.20,
    1.00)</f>
        <v/>
      </c>
      <c r="T9956">
        <f>LET(
    payment_method,'Loan Tape (S&amp;P)'!P9956,
    occupancy,'Loan Tape (S&amp;P)'!N9956,
    maturity_date,'Loan Tape (S&amp;P)'!L9956,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57">
      <c r="J9957">
        <f>LET(
    lien,'Loan Tape (S&amp;P)'!Q9957,
    IF(lien="First",1.00,
        IF(lien="Second",1.50,
            1.70)))</f>
        <v/>
      </c>
      <c r="K9957">
        <f>LET(
    purpose,'Loan Tape (S&amp;P)'!R9957,
    IF(purpose="Purchase",1.00,
        IF(purpose="Remortgage",1.00,
            1.20)))</f>
        <v/>
      </c>
      <c r="L9957">
        <f>LET(
    arrears_months,'Loan Tape (S&amp;P)'!AN9957,
    IF(arrears_months=0,1.00,
    IF(arrears_months=1,3.00,
    IF(arrears_months=2,5.00,
    IF(arrears_months=3,8.00,
    IF(arrears_months=4,10.00,
    IF(arrears_months=5,12.00,15.00)))))))</f>
        <v/>
      </c>
      <c r="M9957">
        <f>LET(
    seasoning_years,DATEDIF('Loan Tape (S&amp;P)'!K9957,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57">
        <f>IF(AND('Loan Tape (S&amp;P)'!U9957="Yes",
        'Loan Tape (S&amp;P)'!T9957&lt;&gt;"Yes",
        DATEDIF('Loan Tape (S&amp;P)'!K9957, TODAY(), "M")&lt;18),
    1.10,
    1.00)</f>
        <v/>
      </c>
      <c r="O9957">
        <f>IF('Loan Tape (S&amp;P)'!T9957="Yes",
    1.35,
    1.00)</f>
        <v/>
      </c>
      <c r="P9957">
        <f>IF('Loan Tape (S&amp;P)'!S9957="Yes",
    1.15,
    1.00)</f>
        <v/>
      </c>
      <c r="Q9957">
        <f>IF('Loan Tape (S&amp;P)'!V9957="Yes",
    1.20,
    1.00)</f>
        <v/>
      </c>
      <c r="T9957">
        <f>LET(
    payment_method,'Loan Tape (S&amp;P)'!P9957,
    occupancy,'Loan Tape (S&amp;P)'!N9957,
    maturity_date,'Loan Tape (S&amp;P)'!L9957,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58">
      <c r="J9958">
        <f>LET(
    lien,'Loan Tape (S&amp;P)'!Q9958,
    IF(lien="First",1.00,
        IF(lien="Second",1.50,
            1.70)))</f>
        <v/>
      </c>
      <c r="K9958">
        <f>LET(
    purpose,'Loan Tape (S&amp;P)'!R9958,
    IF(purpose="Purchase",1.00,
        IF(purpose="Remortgage",1.00,
            1.20)))</f>
        <v/>
      </c>
      <c r="L9958">
        <f>LET(
    arrears_months,'Loan Tape (S&amp;P)'!AN9958,
    IF(arrears_months=0,1.00,
    IF(arrears_months=1,3.00,
    IF(arrears_months=2,5.00,
    IF(arrears_months=3,8.00,
    IF(arrears_months=4,10.00,
    IF(arrears_months=5,12.00,15.00)))))))</f>
        <v/>
      </c>
      <c r="M9958">
        <f>LET(
    seasoning_years,DATEDIF('Loan Tape (S&amp;P)'!K9958,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58">
        <f>IF(AND('Loan Tape (S&amp;P)'!U9958="Yes",
        'Loan Tape (S&amp;P)'!T9958&lt;&gt;"Yes",
        DATEDIF('Loan Tape (S&amp;P)'!K9958, TODAY(), "M")&lt;18),
    1.10,
    1.00)</f>
        <v/>
      </c>
      <c r="O9958">
        <f>IF('Loan Tape (S&amp;P)'!T9958="Yes",
    1.35,
    1.00)</f>
        <v/>
      </c>
      <c r="P9958">
        <f>IF('Loan Tape (S&amp;P)'!S9958="Yes",
    1.15,
    1.00)</f>
        <v/>
      </c>
      <c r="Q9958">
        <f>IF('Loan Tape (S&amp;P)'!V9958="Yes",
    1.20,
    1.00)</f>
        <v/>
      </c>
      <c r="T9958">
        <f>LET(
    payment_method,'Loan Tape (S&amp;P)'!P9958,
    occupancy,'Loan Tape (S&amp;P)'!N9958,
    maturity_date,'Loan Tape (S&amp;P)'!L9958,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59">
      <c r="J9959">
        <f>LET(
    lien,'Loan Tape (S&amp;P)'!Q9959,
    IF(lien="First",1.00,
        IF(lien="Second",1.50,
            1.70)))</f>
        <v/>
      </c>
      <c r="K9959">
        <f>LET(
    purpose,'Loan Tape (S&amp;P)'!R9959,
    IF(purpose="Purchase",1.00,
        IF(purpose="Remortgage",1.00,
            1.20)))</f>
        <v/>
      </c>
      <c r="L9959">
        <f>LET(
    arrears_months,'Loan Tape (S&amp;P)'!AN9959,
    IF(arrears_months=0,1.00,
    IF(arrears_months=1,3.00,
    IF(arrears_months=2,5.00,
    IF(arrears_months=3,8.00,
    IF(arrears_months=4,10.00,
    IF(arrears_months=5,12.00,15.00)))))))</f>
        <v/>
      </c>
      <c r="M9959">
        <f>LET(
    seasoning_years,DATEDIF('Loan Tape (S&amp;P)'!K9959,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59">
        <f>IF(AND('Loan Tape (S&amp;P)'!U9959="Yes",
        'Loan Tape (S&amp;P)'!T9959&lt;&gt;"Yes",
        DATEDIF('Loan Tape (S&amp;P)'!K9959, TODAY(), "M")&lt;18),
    1.10,
    1.00)</f>
        <v/>
      </c>
      <c r="O9959">
        <f>IF('Loan Tape (S&amp;P)'!T9959="Yes",
    1.35,
    1.00)</f>
        <v/>
      </c>
      <c r="P9959">
        <f>IF('Loan Tape (S&amp;P)'!S9959="Yes",
    1.15,
    1.00)</f>
        <v/>
      </c>
      <c r="Q9959">
        <f>IF('Loan Tape (S&amp;P)'!V9959="Yes",
    1.20,
    1.00)</f>
        <v/>
      </c>
      <c r="T9959">
        <f>LET(
    payment_method,'Loan Tape (S&amp;P)'!P9959,
    occupancy,'Loan Tape (S&amp;P)'!N9959,
    maturity_date,'Loan Tape (S&amp;P)'!L9959,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60">
      <c r="J9960">
        <f>LET(
    lien,'Loan Tape (S&amp;P)'!Q9960,
    IF(lien="First",1.00,
        IF(lien="Second",1.50,
            1.70)))</f>
        <v/>
      </c>
      <c r="K9960">
        <f>LET(
    purpose,'Loan Tape (S&amp;P)'!R9960,
    IF(purpose="Purchase",1.00,
        IF(purpose="Remortgage",1.00,
            1.20)))</f>
        <v/>
      </c>
      <c r="L9960">
        <f>LET(
    arrears_months,'Loan Tape (S&amp;P)'!AN9960,
    IF(arrears_months=0,1.00,
    IF(arrears_months=1,3.00,
    IF(arrears_months=2,5.00,
    IF(arrears_months=3,8.00,
    IF(arrears_months=4,10.00,
    IF(arrears_months=5,12.00,15.00)))))))</f>
        <v/>
      </c>
      <c r="M9960">
        <f>LET(
    seasoning_years,DATEDIF('Loan Tape (S&amp;P)'!K9960,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60">
        <f>IF(AND('Loan Tape (S&amp;P)'!U9960="Yes",
        'Loan Tape (S&amp;P)'!T9960&lt;&gt;"Yes",
        DATEDIF('Loan Tape (S&amp;P)'!K9960, TODAY(), "M")&lt;18),
    1.10,
    1.00)</f>
        <v/>
      </c>
      <c r="O9960">
        <f>IF('Loan Tape (S&amp;P)'!T9960="Yes",
    1.35,
    1.00)</f>
        <v/>
      </c>
      <c r="P9960">
        <f>IF('Loan Tape (S&amp;P)'!S9960="Yes",
    1.15,
    1.00)</f>
        <v/>
      </c>
      <c r="Q9960">
        <f>IF('Loan Tape (S&amp;P)'!V9960="Yes",
    1.20,
    1.00)</f>
        <v/>
      </c>
      <c r="T9960">
        <f>LET(
    payment_method,'Loan Tape (S&amp;P)'!P9960,
    occupancy,'Loan Tape (S&amp;P)'!N9960,
    maturity_date,'Loan Tape (S&amp;P)'!L9960,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61">
      <c r="J9961">
        <f>LET(
    lien,'Loan Tape (S&amp;P)'!Q9961,
    IF(lien="First",1.00,
        IF(lien="Second",1.50,
            1.70)))</f>
        <v/>
      </c>
      <c r="K9961">
        <f>LET(
    purpose,'Loan Tape (S&amp;P)'!R9961,
    IF(purpose="Purchase",1.00,
        IF(purpose="Remortgage",1.00,
            1.20)))</f>
        <v/>
      </c>
      <c r="L9961">
        <f>LET(
    arrears_months,'Loan Tape (S&amp;P)'!AN9961,
    IF(arrears_months=0,1.00,
    IF(arrears_months=1,3.00,
    IF(arrears_months=2,5.00,
    IF(arrears_months=3,8.00,
    IF(arrears_months=4,10.00,
    IF(arrears_months=5,12.00,15.00)))))))</f>
        <v/>
      </c>
      <c r="M9961">
        <f>LET(
    seasoning_years,DATEDIF('Loan Tape (S&amp;P)'!K9961,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61">
        <f>IF(AND('Loan Tape (S&amp;P)'!U9961="Yes",
        'Loan Tape (S&amp;P)'!T9961&lt;&gt;"Yes",
        DATEDIF('Loan Tape (S&amp;P)'!K9961, TODAY(), "M")&lt;18),
    1.10,
    1.00)</f>
        <v/>
      </c>
      <c r="O9961">
        <f>IF('Loan Tape (S&amp;P)'!T9961="Yes",
    1.35,
    1.00)</f>
        <v/>
      </c>
      <c r="P9961">
        <f>IF('Loan Tape (S&amp;P)'!S9961="Yes",
    1.15,
    1.00)</f>
        <v/>
      </c>
      <c r="Q9961">
        <f>IF('Loan Tape (S&amp;P)'!V9961="Yes",
    1.20,
    1.00)</f>
        <v/>
      </c>
      <c r="T9961">
        <f>LET(
    payment_method,'Loan Tape (S&amp;P)'!P9961,
    occupancy,'Loan Tape (S&amp;P)'!N9961,
    maturity_date,'Loan Tape (S&amp;P)'!L9961,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62">
      <c r="J9962">
        <f>LET(
    lien,'Loan Tape (S&amp;P)'!Q9962,
    IF(lien="First",1.00,
        IF(lien="Second",1.50,
            1.70)))</f>
        <v/>
      </c>
      <c r="K9962">
        <f>LET(
    purpose,'Loan Tape (S&amp;P)'!R9962,
    IF(purpose="Purchase",1.00,
        IF(purpose="Remortgage",1.00,
            1.20)))</f>
        <v/>
      </c>
      <c r="L9962">
        <f>LET(
    arrears_months,'Loan Tape (S&amp;P)'!AN9962,
    IF(arrears_months=0,1.00,
    IF(arrears_months=1,3.00,
    IF(arrears_months=2,5.00,
    IF(arrears_months=3,8.00,
    IF(arrears_months=4,10.00,
    IF(arrears_months=5,12.00,15.00)))))))</f>
        <v/>
      </c>
      <c r="M9962">
        <f>LET(
    seasoning_years,DATEDIF('Loan Tape (S&amp;P)'!K9962,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62">
        <f>IF(AND('Loan Tape (S&amp;P)'!U9962="Yes",
        'Loan Tape (S&amp;P)'!T9962&lt;&gt;"Yes",
        DATEDIF('Loan Tape (S&amp;P)'!K9962, TODAY(), "M")&lt;18),
    1.10,
    1.00)</f>
        <v/>
      </c>
      <c r="O9962">
        <f>IF('Loan Tape (S&amp;P)'!T9962="Yes",
    1.35,
    1.00)</f>
        <v/>
      </c>
      <c r="P9962">
        <f>IF('Loan Tape (S&amp;P)'!S9962="Yes",
    1.15,
    1.00)</f>
        <v/>
      </c>
      <c r="Q9962">
        <f>IF('Loan Tape (S&amp;P)'!V9962="Yes",
    1.20,
    1.00)</f>
        <v/>
      </c>
      <c r="T9962">
        <f>LET(
    payment_method,'Loan Tape (S&amp;P)'!P9962,
    occupancy,'Loan Tape (S&amp;P)'!N9962,
    maturity_date,'Loan Tape (S&amp;P)'!L9962,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63">
      <c r="J9963">
        <f>LET(
    lien,'Loan Tape (S&amp;P)'!Q9963,
    IF(lien="First",1.00,
        IF(lien="Second",1.50,
            1.70)))</f>
        <v/>
      </c>
      <c r="K9963">
        <f>LET(
    purpose,'Loan Tape (S&amp;P)'!R9963,
    IF(purpose="Purchase",1.00,
        IF(purpose="Remortgage",1.00,
            1.20)))</f>
        <v/>
      </c>
      <c r="L9963">
        <f>LET(
    arrears_months,'Loan Tape (S&amp;P)'!AN9963,
    IF(arrears_months=0,1.00,
    IF(arrears_months=1,3.00,
    IF(arrears_months=2,5.00,
    IF(arrears_months=3,8.00,
    IF(arrears_months=4,10.00,
    IF(arrears_months=5,12.00,15.00)))))))</f>
        <v/>
      </c>
      <c r="M9963">
        <f>LET(
    seasoning_years,DATEDIF('Loan Tape (S&amp;P)'!K9963,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63">
        <f>IF(AND('Loan Tape (S&amp;P)'!U9963="Yes",
        'Loan Tape (S&amp;P)'!T9963&lt;&gt;"Yes",
        DATEDIF('Loan Tape (S&amp;P)'!K9963, TODAY(), "M")&lt;18),
    1.10,
    1.00)</f>
        <v/>
      </c>
      <c r="O9963">
        <f>IF('Loan Tape (S&amp;P)'!T9963="Yes",
    1.35,
    1.00)</f>
        <v/>
      </c>
      <c r="P9963">
        <f>IF('Loan Tape (S&amp;P)'!S9963="Yes",
    1.15,
    1.00)</f>
        <v/>
      </c>
      <c r="Q9963">
        <f>IF('Loan Tape (S&amp;P)'!V9963="Yes",
    1.20,
    1.00)</f>
        <v/>
      </c>
      <c r="T9963">
        <f>LET(
    payment_method,'Loan Tape (S&amp;P)'!P9963,
    occupancy,'Loan Tape (S&amp;P)'!N9963,
    maturity_date,'Loan Tape (S&amp;P)'!L9963,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64">
      <c r="J9964">
        <f>LET(
    lien,'Loan Tape (S&amp;P)'!Q9964,
    IF(lien="First",1.00,
        IF(lien="Second",1.50,
            1.70)))</f>
        <v/>
      </c>
      <c r="K9964">
        <f>LET(
    purpose,'Loan Tape (S&amp;P)'!R9964,
    IF(purpose="Purchase",1.00,
        IF(purpose="Remortgage",1.00,
            1.20)))</f>
        <v/>
      </c>
      <c r="L9964">
        <f>LET(
    arrears_months,'Loan Tape (S&amp;P)'!AN9964,
    IF(arrears_months=0,1.00,
    IF(arrears_months=1,3.00,
    IF(arrears_months=2,5.00,
    IF(arrears_months=3,8.00,
    IF(arrears_months=4,10.00,
    IF(arrears_months=5,12.00,15.00)))))))</f>
        <v/>
      </c>
      <c r="M9964">
        <f>LET(
    seasoning_years,DATEDIF('Loan Tape (S&amp;P)'!K9964,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64">
        <f>IF(AND('Loan Tape (S&amp;P)'!U9964="Yes",
        'Loan Tape (S&amp;P)'!T9964&lt;&gt;"Yes",
        DATEDIF('Loan Tape (S&amp;P)'!K9964, TODAY(), "M")&lt;18),
    1.10,
    1.00)</f>
        <v/>
      </c>
      <c r="O9964">
        <f>IF('Loan Tape (S&amp;P)'!T9964="Yes",
    1.35,
    1.00)</f>
        <v/>
      </c>
      <c r="P9964">
        <f>IF('Loan Tape (S&amp;P)'!S9964="Yes",
    1.15,
    1.00)</f>
        <v/>
      </c>
      <c r="Q9964">
        <f>IF('Loan Tape (S&amp;P)'!V9964="Yes",
    1.20,
    1.00)</f>
        <v/>
      </c>
      <c r="T9964">
        <f>LET(
    payment_method,'Loan Tape (S&amp;P)'!P9964,
    occupancy,'Loan Tape (S&amp;P)'!N9964,
    maturity_date,'Loan Tape (S&amp;P)'!L9964,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65">
      <c r="J9965">
        <f>LET(
    lien,'Loan Tape (S&amp;P)'!Q9965,
    IF(lien="First",1.00,
        IF(lien="Second",1.50,
            1.70)))</f>
        <v/>
      </c>
      <c r="K9965">
        <f>LET(
    purpose,'Loan Tape (S&amp;P)'!R9965,
    IF(purpose="Purchase",1.00,
        IF(purpose="Remortgage",1.00,
            1.20)))</f>
        <v/>
      </c>
      <c r="L9965">
        <f>LET(
    arrears_months,'Loan Tape (S&amp;P)'!AN9965,
    IF(arrears_months=0,1.00,
    IF(arrears_months=1,3.00,
    IF(arrears_months=2,5.00,
    IF(arrears_months=3,8.00,
    IF(arrears_months=4,10.00,
    IF(arrears_months=5,12.00,15.00)))))))</f>
        <v/>
      </c>
      <c r="M9965">
        <f>LET(
    seasoning_years,DATEDIF('Loan Tape (S&amp;P)'!K9965,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65">
        <f>IF(AND('Loan Tape (S&amp;P)'!U9965="Yes",
        'Loan Tape (S&amp;P)'!T9965&lt;&gt;"Yes",
        DATEDIF('Loan Tape (S&amp;P)'!K9965, TODAY(), "M")&lt;18),
    1.10,
    1.00)</f>
        <v/>
      </c>
      <c r="O9965">
        <f>IF('Loan Tape (S&amp;P)'!T9965="Yes",
    1.35,
    1.00)</f>
        <v/>
      </c>
      <c r="P9965">
        <f>IF('Loan Tape (S&amp;P)'!S9965="Yes",
    1.15,
    1.00)</f>
        <v/>
      </c>
      <c r="Q9965">
        <f>IF('Loan Tape (S&amp;P)'!V9965="Yes",
    1.20,
    1.00)</f>
        <v/>
      </c>
      <c r="T9965">
        <f>LET(
    payment_method,'Loan Tape (S&amp;P)'!P9965,
    occupancy,'Loan Tape (S&amp;P)'!N9965,
    maturity_date,'Loan Tape (S&amp;P)'!L9965,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66">
      <c r="J9966">
        <f>LET(
    lien,'Loan Tape (S&amp;P)'!Q9966,
    IF(lien="First",1.00,
        IF(lien="Second",1.50,
            1.70)))</f>
        <v/>
      </c>
      <c r="K9966">
        <f>LET(
    purpose,'Loan Tape (S&amp;P)'!R9966,
    IF(purpose="Purchase",1.00,
        IF(purpose="Remortgage",1.00,
            1.20)))</f>
        <v/>
      </c>
      <c r="L9966">
        <f>LET(
    arrears_months,'Loan Tape (S&amp;P)'!AN9966,
    IF(arrears_months=0,1.00,
    IF(arrears_months=1,3.00,
    IF(arrears_months=2,5.00,
    IF(arrears_months=3,8.00,
    IF(arrears_months=4,10.00,
    IF(arrears_months=5,12.00,15.00)))))))</f>
        <v/>
      </c>
      <c r="M9966">
        <f>LET(
    seasoning_years,DATEDIF('Loan Tape (S&amp;P)'!K9966,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66">
        <f>IF(AND('Loan Tape (S&amp;P)'!U9966="Yes",
        'Loan Tape (S&amp;P)'!T9966&lt;&gt;"Yes",
        DATEDIF('Loan Tape (S&amp;P)'!K9966, TODAY(), "M")&lt;18),
    1.10,
    1.00)</f>
        <v/>
      </c>
      <c r="O9966">
        <f>IF('Loan Tape (S&amp;P)'!T9966="Yes",
    1.35,
    1.00)</f>
        <v/>
      </c>
      <c r="P9966">
        <f>IF('Loan Tape (S&amp;P)'!S9966="Yes",
    1.15,
    1.00)</f>
        <v/>
      </c>
      <c r="Q9966">
        <f>IF('Loan Tape (S&amp;P)'!V9966="Yes",
    1.20,
    1.00)</f>
        <v/>
      </c>
      <c r="T9966">
        <f>LET(
    payment_method,'Loan Tape (S&amp;P)'!P9966,
    occupancy,'Loan Tape (S&amp;P)'!N9966,
    maturity_date,'Loan Tape (S&amp;P)'!L9966,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67">
      <c r="J9967">
        <f>LET(
    lien,'Loan Tape (S&amp;P)'!Q9967,
    IF(lien="First",1.00,
        IF(lien="Second",1.50,
            1.70)))</f>
        <v/>
      </c>
      <c r="K9967">
        <f>LET(
    purpose,'Loan Tape (S&amp;P)'!R9967,
    IF(purpose="Purchase",1.00,
        IF(purpose="Remortgage",1.00,
            1.20)))</f>
        <v/>
      </c>
      <c r="L9967">
        <f>LET(
    arrears_months,'Loan Tape (S&amp;P)'!AN9967,
    IF(arrears_months=0,1.00,
    IF(arrears_months=1,3.00,
    IF(arrears_months=2,5.00,
    IF(arrears_months=3,8.00,
    IF(arrears_months=4,10.00,
    IF(arrears_months=5,12.00,15.00)))))))</f>
        <v/>
      </c>
      <c r="M9967">
        <f>LET(
    seasoning_years,DATEDIF('Loan Tape (S&amp;P)'!K9967,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67">
        <f>IF(AND('Loan Tape (S&amp;P)'!U9967="Yes",
        'Loan Tape (S&amp;P)'!T9967&lt;&gt;"Yes",
        DATEDIF('Loan Tape (S&amp;P)'!K9967, TODAY(), "M")&lt;18),
    1.10,
    1.00)</f>
        <v/>
      </c>
      <c r="O9967">
        <f>IF('Loan Tape (S&amp;P)'!T9967="Yes",
    1.35,
    1.00)</f>
        <v/>
      </c>
      <c r="P9967">
        <f>IF('Loan Tape (S&amp;P)'!S9967="Yes",
    1.15,
    1.00)</f>
        <v/>
      </c>
      <c r="Q9967">
        <f>IF('Loan Tape (S&amp;P)'!V9967="Yes",
    1.20,
    1.00)</f>
        <v/>
      </c>
      <c r="T9967">
        <f>LET(
    payment_method,'Loan Tape (S&amp;P)'!P9967,
    occupancy,'Loan Tape (S&amp;P)'!N9967,
    maturity_date,'Loan Tape (S&amp;P)'!L9967,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68">
      <c r="J9968">
        <f>LET(
    lien,'Loan Tape (S&amp;P)'!Q9968,
    IF(lien="First",1.00,
        IF(lien="Second",1.50,
            1.70)))</f>
        <v/>
      </c>
      <c r="K9968">
        <f>LET(
    purpose,'Loan Tape (S&amp;P)'!R9968,
    IF(purpose="Purchase",1.00,
        IF(purpose="Remortgage",1.00,
            1.20)))</f>
        <v/>
      </c>
      <c r="L9968">
        <f>LET(
    arrears_months,'Loan Tape (S&amp;P)'!AN9968,
    IF(arrears_months=0,1.00,
    IF(arrears_months=1,3.00,
    IF(arrears_months=2,5.00,
    IF(arrears_months=3,8.00,
    IF(arrears_months=4,10.00,
    IF(arrears_months=5,12.00,15.00)))))))</f>
        <v/>
      </c>
      <c r="M9968">
        <f>LET(
    seasoning_years,DATEDIF('Loan Tape (S&amp;P)'!K9968,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68">
        <f>IF(AND('Loan Tape (S&amp;P)'!U9968="Yes",
        'Loan Tape (S&amp;P)'!T9968&lt;&gt;"Yes",
        DATEDIF('Loan Tape (S&amp;P)'!K9968, TODAY(), "M")&lt;18),
    1.10,
    1.00)</f>
        <v/>
      </c>
      <c r="O9968">
        <f>IF('Loan Tape (S&amp;P)'!T9968="Yes",
    1.35,
    1.00)</f>
        <v/>
      </c>
      <c r="P9968">
        <f>IF('Loan Tape (S&amp;P)'!S9968="Yes",
    1.15,
    1.00)</f>
        <v/>
      </c>
      <c r="Q9968">
        <f>IF('Loan Tape (S&amp;P)'!V9968="Yes",
    1.20,
    1.00)</f>
        <v/>
      </c>
      <c r="T9968">
        <f>LET(
    payment_method,'Loan Tape (S&amp;P)'!P9968,
    occupancy,'Loan Tape (S&amp;P)'!N9968,
    maturity_date,'Loan Tape (S&amp;P)'!L9968,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69">
      <c r="J9969">
        <f>LET(
    lien,'Loan Tape (S&amp;P)'!Q9969,
    IF(lien="First",1.00,
        IF(lien="Second",1.50,
            1.70)))</f>
        <v/>
      </c>
      <c r="K9969">
        <f>LET(
    purpose,'Loan Tape (S&amp;P)'!R9969,
    IF(purpose="Purchase",1.00,
        IF(purpose="Remortgage",1.00,
            1.20)))</f>
        <v/>
      </c>
      <c r="L9969">
        <f>LET(
    arrears_months,'Loan Tape (S&amp;P)'!AN9969,
    IF(arrears_months=0,1.00,
    IF(arrears_months=1,3.00,
    IF(arrears_months=2,5.00,
    IF(arrears_months=3,8.00,
    IF(arrears_months=4,10.00,
    IF(arrears_months=5,12.00,15.00)))))))</f>
        <v/>
      </c>
      <c r="M9969">
        <f>LET(
    seasoning_years,DATEDIF('Loan Tape (S&amp;P)'!K9969,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69">
        <f>IF(AND('Loan Tape (S&amp;P)'!U9969="Yes",
        'Loan Tape (S&amp;P)'!T9969&lt;&gt;"Yes",
        DATEDIF('Loan Tape (S&amp;P)'!K9969, TODAY(), "M")&lt;18),
    1.10,
    1.00)</f>
        <v/>
      </c>
      <c r="O9969">
        <f>IF('Loan Tape (S&amp;P)'!T9969="Yes",
    1.35,
    1.00)</f>
        <v/>
      </c>
      <c r="P9969">
        <f>IF('Loan Tape (S&amp;P)'!S9969="Yes",
    1.15,
    1.00)</f>
        <v/>
      </c>
      <c r="Q9969">
        <f>IF('Loan Tape (S&amp;P)'!V9969="Yes",
    1.20,
    1.00)</f>
        <v/>
      </c>
      <c r="T9969">
        <f>LET(
    payment_method,'Loan Tape (S&amp;P)'!P9969,
    occupancy,'Loan Tape (S&amp;P)'!N9969,
    maturity_date,'Loan Tape (S&amp;P)'!L9969,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70">
      <c r="J9970">
        <f>LET(
    lien,'Loan Tape (S&amp;P)'!Q9970,
    IF(lien="First",1.00,
        IF(lien="Second",1.50,
            1.70)))</f>
        <v/>
      </c>
      <c r="K9970">
        <f>LET(
    purpose,'Loan Tape (S&amp;P)'!R9970,
    IF(purpose="Purchase",1.00,
        IF(purpose="Remortgage",1.00,
            1.20)))</f>
        <v/>
      </c>
      <c r="L9970">
        <f>LET(
    arrears_months,'Loan Tape (S&amp;P)'!AN9970,
    IF(arrears_months=0,1.00,
    IF(arrears_months=1,3.00,
    IF(arrears_months=2,5.00,
    IF(arrears_months=3,8.00,
    IF(arrears_months=4,10.00,
    IF(arrears_months=5,12.00,15.00)))))))</f>
        <v/>
      </c>
      <c r="M9970">
        <f>LET(
    seasoning_years,DATEDIF('Loan Tape (S&amp;P)'!K9970,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70">
        <f>IF(AND('Loan Tape (S&amp;P)'!U9970="Yes",
        'Loan Tape (S&amp;P)'!T9970&lt;&gt;"Yes",
        DATEDIF('Loan Tape (S&amp;P)'!K9970, TODAY(), "M")&lt;18),
    1.10,
    1.00)</f>
        <v/>
      </c>
      <c r="O9970">
        <f>IF('Loan Tape (S&amp;P)'!T9970="Yes",
    1.35,
    1.00)</f>
        <v/>
      </c>
      <c r="P9970">
        <f>IF('Loan Tape (S&amp;P)'!S9970="Yes",
    1.15,
    1.00)</f>
        <v/>
      </c>
      <c r="Q9970">
        <f>IF('Loan Tape (S&amp;P)'!V9970="Yes",
    1.20,
    1.00)</f>
        <v/>
      </c>
      <c r="T9970">
        <f>LET(
    payment_method,'Loan Tape (S&amp;P)'!P9970,
    occupancy,'Loan Tape (S&amp;P)'!N9970,
    maturity_date,'Loan Tape (S&amp;P)'!L9970,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71">
      <c r="J9971">
        <f>LET(
    lien,'Loan Tape (S&amp;P)'!Q9971,
    IF(lien="First",1.00,
        IF(lien="Second",1.50,
            1.70)))</f>
        <v/>
      </c>
      <c r="K9971">
        <f>LET(
    purpose,'Loan Tape (S&amp;P)'!R9971,
    IF(purpose="Purchase",1.00,
        IF(purpose="Remortgage",1.00,
            1.20)))</f>
        <v/>
      </c>
      <c r="L9971">
        <f>LET(
    arrears_months,'Loan Tape (S&amp;P)'!AN9971,
    IF(arrears_months=0,1.00,
    IF(arrears_months=1,3.00,
    IF(arrears_months=2,5.00,
    IF(arrears_months=3,8.00,
    IF(arrears_months=4,10.00,
    IF(arrears_months=5,12.00,15.00)))))))</f>
        <v/>
      </c>
      <c r="M9971">
        <f>LET(
    seasoning_years,DATEDIF('Loan Tape (S&amp;P)'!K9971,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71">
        <f>IF(AND('Loan Tape (S&amp;P)'!U9971="Yes",
        'Loan Tape (S&amp;P)'!T9971&lt;&gt;"Yes",
        DATEDIF('Loan Tape (S&amp;P)'!K9971, TODAY(), "M")&lt;18),
    1.10,
    1.00)</f>
        <v/>
      </c>
      <c r="O9971">
        <f>IF('Loan Tape (S&amp;P)'!T9971="Yes",
    1.35,
    1.00)</f>
        <v/>
      </c>
      <c r="P9971">
        <f>IF('Loan Tape (S&amp;P)'!S9971="Yes",
    1.15,
    1.00)</f>
        <v/>
      </c>
      <c r="Q9971">
        <f>IF('Loan Tape (S&amp;P)'!V9971="Yes",
    1.20,
    1.00)</f>
        <v/>
      </c>
      <c r="T9971">
        <f>LET(
    payment_method,'Loan Tape (S&amp;P)'!P9971,
    occupancy,'Loan Tape (S&amp;P)'!N9971,
    maturity_date,'Loan Tape (S&amp;P)'!L9971,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72">
      <c r="J9972">
        <f>LET(
    lien,'Loan Tape (S&amp;P)'!Q9972,
    IF(lien="First",1.00,
        IF(lien="Second",1.50,
            1.70)))</f>
        <v/>
      </c>
      <c r="K9972">
        <f>LET(
    purpose,'Loan Tape (S&amp;P)'!R9972,
    IF(purpose="Purchase",1.00,
        IF(purpose="Remortgage",1.00,
            1.20)))</f>
        <v/>
      </c>
      <c r="L9972">
        <f>LET(
    arrears_months,'Loan Tape (S&amp;P)'!AN9972,
    IF(arrears_months=0,1.00,
    IF(arrears_months=1,3.00,
    IF(arrears_months=2,5.00,
    IF(arrears_months=3,8.00,
    IF(arrears_months=4,10.00,
    IF(arrears_months=5,12.00,15.00)))))))</f>
        <v/>
      </c>
      <c r="M9972">
        <f>LET(
    seasoning_years,DATEDIF('Loan Tape (S&amp;P)'!K9972,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72">
        <f>IF(AND('Loan Tape (S&amp;P)'!U9972="Yes",
        'Loan Tape (S&amp;P)'!T9972&lt;&gt;"Yes",
        DATEDIF('Loan Tape (S&amp;P)'!K9972, TODAY(), "M")&lt;18),
    1.10,
    1.00)</f>
        <v/>
      </c>
      <c r="O9972">
        <f>IF('Loan Tape (S&amp;P)'!T9972="Yes",
    1.35,
    1.00)</f>
        <v/>
      </c>
      <c r="P9972">
        <f>IF('Loan Tape (S&amp;P)'!S9972="Yes",
    1.15,
    1.00)</f>
        <v/>
      </c>
      <c r="Q9972">
        <f>IF('Loan Tape (S&amp;P)'!V9972="Yes",
    1.20,
    1.00)</f>
        <v/>
      </c>
      <c r="T9972">
        <f>LET(
    payment_method,'Loan Tape (S&amp;P)'!P9972,
    occupancy,'Loan Tape (S&amp;P)'!N9972,
    maturity_date,'Loan Tape (S&amp;P)'!L9972,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73">
      <c r="J9973">
        <f>LET(
    lien,'Loan Tape (S&amp;P)'!Q9973,
    IF(lien="First",1.00,
        IF(lien="Second",1.50,
            1.70)))</f>
        <v/>
      </c>
      <c r="K9973">
        <f>LET(
    purpose,'Loan Tape (S&amp;P)'!R9973,
    IF(purpose="Purchase",1.00,
        IF(purpose="Remortgage",1.00,
            1.20)))</f>
        <v/>
      </c>
      <c r="L9973">
        <f>LET(
    arrears_months,'Loan Tape (S&amp;P)'!AN9973,
    IF(arrears_months=0,1.00,
    IF(arrears_months=1,3.00,
    IF(arrears_months=2,5.00,
    IF(arrears_months=3,8.00,
    IF(arrears_months=4,10.00,
    IF(arrears_months=5,12.00,15.00)))))))</f>
        <v/>
      </c>
      <c r="M9973">
        <f>LET(
    seasoning_years,DATEDIF('Loan Tape (S&amp;P)'!K9973,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73">
        <f>IF(AND('Loan Tape (S&amp;P)'!U9973="Yes",
        'Loan Tape (S&amp;P)'!T9973&lt;&gt;"Yes",
        DATEDIF('Loan Tape (S&amp;P)'!K9973, TODAY(), "M")&lt;18),
    1.10,
    1.00)</f>
        <v/>
      </c>
      <c r="O9973">
        <f>IF('Loan Tape (S&amp;P)'!T9973="Yes",
    1.35,
    1.00)</f>
        <v/>
      </c>
      <c r="P9973">
        <f>IF('Loan Tape (S&amp;P)'!S9973="Yes",
    1.15,
    1.00)</f>
        <v/>
      </c>
      <c r="Q9973">
        <f>IF('Loan Tape (S&amp;P)'!V9973="Yes",
    1.20,
    1.00)</f>
        <v/>
      </c>
      <c r="T9973">
        <f>LET(
    payment_method,'Loan Tape (S&amp;P)'!P9973,
    occupancy,'Loan Tape (S&amp;P)'!N9973,
    maturity_date,'Loan Tape (S&amp;P)'!L9973,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74">
      <c r="J9974">
        <f>LET(
    lien,'Loan Tape (S&amp;P)'!Q9974,
    IF(lien="First",1.00,
        IF(lien="Second",1.50,
            1.70)))</f>
        <v/>
      </c>
      <c r="K9974">
        <f>LET(
    purpose,'Loan Tape (S&amp;P)'!R9974,
    IF(purpose="Purchase",1.00,
        IF(purpose="Remortgage",1.00,
            1.20)))</f>
        <v/>
      </c>
      <c r="L9974">
        <f>LET(
    arrears_months,'Loan Tape (S&amp;P)'!AN9974,
    IF(arrears_months=0,1.00,
    IF(arrears_months=1,3.00,
    IF(arrears_months=2,5.00,
    IF(arrears_months=3,8.00,
    IF(arrears_months=4,10.00,
    IF(arrears_months=5,12.00,15.00)))))))</f>
        <v/>
      </c>
      <c r="M9974">
        <f>LET(
    seasoning_years,DATEDIF('Loan Tape (S&amp;P)'!K9974,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74">
        <f>IF(AND('Loan Tape (S&amp;P)'!U9974="Yes",
        'Loan Tape (S&amp;P)'!T9974&lt;&gt;"Yes",
        DATEDIF('Loan Tape (S&amp;P)'!K9974, TODAY(), "M")&lt;18),
    1.10,
    1.00)</f>
        <v/>
      </c>
      <c r="O9974">
        <f>IF('Loan Tape (S&amp;P)'!T9974="Yes",
    1.35,
    1.00)</f>
        <v/>
      </c>
      <c r="P9974">
        <f>IF('Loan Tape (S&amp;P)'!S9974="Yes",
    1.15,
    1.00)</f>
        <v/>
      </c>
      <c r="Q9974">
        <f>IF('Loan Tape (S&amp;P)'!V9974="Yes",
    1.20,
    1.00)</f>
        <v/>
      </c>
      <c r="T9974">
        <f>LET(
    payment_method,'Loan Tape (S&amp;P)'!P9974,
    occupancy,'Loan Tape (S&amp;P)'!N9974,
    maturity_date,'Loan Tape (S&amp;P)'!L9974,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75">
      <c r="J9975">
        <f>LET(
    lien,'Loan Tape (S&amp;P)'!Q9975,
    IF(lien="First",1.00,
        IF(lien="Second",1.50,
            1.70)))</f>
        <v/>
      </c>
      <c r="K9975">
        <f>LET(
    purpose,'Loan Tape (S&amp;P)'!R9975,
    IF(purpose="Purchase",1.00,
        IF(purpose="Remortgage",1.00,
            1.20)))</f>
        <v/>
      </c>
      <c r="L9975">
        <f>LET(
    arrears_months,'Loan Tape (S&amp;P)'!AN9975,
    IF(arrears_months=0,1.00,
    IF(arrears_months=1,3.00,
    IF(arrears_months=2,5.00,
    IF(arrears_months=3,8.00,
    IF(arrears_months=4,10.00,
    IF(arrears_months=5,12.00,15.00)))))))</f>
        <v/>
      </c>
      <c r="M9975">
        <f>LET(
    seasoning_years,DATEDIF('Loan Tape (S&amp;P)'!K9975,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75">
        <f>IF(AND('Loan Tape (S&amp;P)'!U9975="Yes",
        'Loan Tape (S&amp;P)'!T9975&lt;&gt;"Yes",
        DATEDIF('Loan Tape (S&amp;P)'!K9975, TODAY(), "M")&lt;18),
    1.10,
    1.00)</f>
        <v/>
      </c>
      <c r="O9975">
        <f>IF('Loan Tape (S&amp;P)'!T9975="Yes",
    1.35,
    1.00)</f>
        <v/>
      </c>
      <c r="P9975">
        <f>IF('Loan Tape (S&amp;P)'!S9975="Yes",
    1.15,
    1.00)</f>
        <v/>
      </c>
      <c r="Q9975">
        <f>IF('Loan Tape (S&amp;P)'!V9975="Yes",
    1.20,
    1.00)</f>
        <v/>
      </c>
      <c r="T9975">
        <f>LET(
    payment_method,'Loan Tape (S&amp;P)'!P9975,
    occupancy,'Loan Tape (S&amp;P)'!N9975,
    maturity_date,'Loan Tape (S&amp;P)'!L9975,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76">
      <c r="J9976">
        <f>LET(
    lien,'Loan Tape (S&amp;P)'!Q9976,
    IF(lien="First",1.00,
        IF(lien="Second",1.50,
            1.70)))</f>
        <v/>
      </c>
      <c r="K9976">
        <f>LET(
    purpose,'Loan Tape (S&amp;P)'!R9976,
    IF(purpose="Purchase",1.00,
        IF(purpose="Remortgage",1.00,
            1.20)))</f>
        <v/>
      </c>
      <c r="L9976">
        <f>LET(
    arrears_months,'Loan Tape (S&amp;P)'!AN9976,
    IF(arrears_months=0,1.00,
    IF(arrears_months=1,3.00,
    IF(arrears_months=2,5.00,
    IF(arrears_months=3,8.00,
    IF(arrears_months=4,10.00,
    IF(arrears_months=5,12.00,15.00)))))))</f>
        <v/>
      </c>
      <c r="M9976">
        <f>LET(
    seasoning_years,DATEDIF('Loan Tape (S&amp;P)'!K9976,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76">
        <f>IF(AND('Loan Tape (S&amp;P)'!U9976="Yes",
        'Loan Tape (S&amp;P)'!T9976&lt;&gt;"Yes",
        DATEDIF('Loan Tape (S&amp;P)'!K9976, TODAY(), "M")&lt;18),
    1.10,
    1.00)</f>
        <v/>
      </c>
      <c r="O9976">
        <f>IF('Loan Tape (S&amp;P)'!T9976="Yes",
    1.35,
    1.00)</f>
        <v/>
      </c>
      <c r="P9976">
        <f>IF('Loan Tape (S&amp;P)'!S9976="Yes",
    1.15,
    1.00)</f>
        <v/>
      </c>
      <c r="Q9976">
        <f>IF('Loan Tape (S&amp;P)'!V9976="Yes",
    1.20,
    1.00)</f>
        <v/>
      </c>
      <c r="T9976">
        <f>LET(
    payment_method,'Loan Tape (S&amp;P)'!P9976,
    occupancy,'Loan Tape (S&amp;P)'!N9976,
    maturity_date,'Loan Tape (S&amp;P)'!L9976,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77">
      <c r="J9977">
        <f>LET(
    lien,'Loan Tape (S&amp;P)'!Q9977,
    IF(lien="First",1.00,
        IF(lien="Second",1.50,
            1.70)))</f>
        <v/>
      </c>
      <c r="K9977">
        <f>LET(
    purpose,'Loan Tape (S&amp;P)'!R9977,
    IF(purpose="Purchase",1.00,
        IF(purpose="Remortgage",1.00,
            1.20)))</f>
        <v/>
      </c>
      <c r="L9977">
        <f>LET(
    arrears_months,'Loan Tape (S&amp;P)'!AN9977,
    IF(arrears_months=0,1.00,
    IF(arrears_months=1,3.00,
    IF(arrears_months=2,5.00,
    IF(arrears_months=3,8.00,
    IF(arrears_months=4,10.00,
    IF(arrears_months=5,12.00,15.00)))))))</f>
        <v/>
      </c>
      <c r="M9977">
        <f>LET(
    seasoning_years,DATEDIF('Loan Tape (S&amp;P)'!K9977,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77">
        <f>IF(AND('Loan Tape (S&amp;P)'!U9977="Yes",
        'Loan Tape (S&amp;P)'!T9977&lt;&gt;"Yes",
        DATEDIF('Loan Tape (S&amp;P)'!K9977, TODAY(), "M")&lt;18),
    1.10,
    1.00)</f>
        <v/>
      </c>
      <c r="O9977">
        <f>IF('Loan Tape (S&amp;P)'!T9977="Yes",
    1.35,
    1.00)</f>
        <v/>
      </c>
      <c r="P9977">
        <f>IF('Loan Tape (S&amp;P)'!S9977="Yes",
    1.15,
    1.00)</f>
        <v/>
      </c>
      <c r="Q9977">
        <f>IF('Loan Tape (S&amp;P)'!V9977="Yes",
    1.20,
    1.00)</f>
        <v/>
      </c>
      <c r="T9977">
        <f>LET(
    payment_method,'Loan Tape (S&amp;P)'!P9977,
    occupancy,'Loan Tape (S&amp;P)'!N9977,
    maturity_date,'Loan Tape (S&amp;P)'!L9977,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78">
      <c r="J9978">
        <f>LET(
    lien,'Loan Tape (S&amp;P)'!Q9978,
    IF(lien="First",1.00,
        IF(lien="Second",1.50,
            1.70)))</f>
        <v/>
      </c>
      <c r="K9978">
        <f>LET(
    purpose,'Loan Tape (S&amp;P)'!R9978,
    IF(purpose="Purchase",1.00,
        IF(purpose="Remortgage",1.00,
            1.20)))</f>
        <v/>
      </c>
      <c r="L9978">
        <f>LET(
    arrears_months,'Loan Tape (S&amp;P)'!AN9978,
    IF(arrears_months=0,1.00,
    IF(arrears_months=1,3.00,
    IF(arrears_months=2,5.00,
    IF(arrears_months=3,8.00,
    IF(arrears_months=4,10.00,
    IF(arrears_months=5,12.00,15.00)))))))</f>
        <v/>
      </c>
      <c r="M9978">
        <f>LET(
    seasoning_years,DATEDIF('Loan Tape (S&amp;P)'!K9978,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78">
        <f>IF(AND('Loan Tape (S&amp;P)'!U9978="Yes",
        'Loan Tape (S&amp;P)'!T9978&lt;&gt;"Yes",
        DATEDIF('Loan Tape (S&amp;P)'!K9978, TODAY(), "M")&lt;18),
    1.10,
    1.00)</f>
        <v/>
      </c>
      <c r="O9978">
        <f>IF('Loan Tape (S&amp;P)'!T9978="Yes",
    1.35,
    1.00)</f>
        <v/>
      </c>
      <c r="P9978">
        <f>IF('Loan Tape (S&amp;P)'!S9978="Yes",
    1.15,
    1.00)</f>
        <v/>
      </c>
      <c r="Q9978">
        <f>IF('Loan Tape (S&amp;P)'!V9978="Yes",
    1.20,
    1.00)</f>
        <v/>
      </c>
      <c r="T9978">
        <f>LET(
    payment_method,'Loan Tape (S&amp;P)'!P9978,
    occupancy,'Loan Tape (S&amp;P)'!N9978,
    maturity_date,'Loan Tape (S&amp;P)'!L9978,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79">
      <c r="J9979">
        <f>LET(
    lien,'Loan Tape (S&amp;P)'!Q9979,
    IF(lien="First",1.00,
        IF(lien="Second",1.50,
            1.70)))</f>
        <v/>
      </c>
      <c r="K9979">
        <f>LET(
    purpose,'Loan Tape (S&amp;P)'!R9979,
    IF(purpose="Purchase",1.00,
        IF(purpose="Remortgage",1.00,
            1.20)))</f>
        <v/>
      </c>
      <c r="L9979">
        <f>LET(
    arrears_months,'Loan Tape (S&amp;P)'!AN9979,
    IF(arrears_months=0,1.00,
    IF(arrears_months=1,3.00,
    IF(arrears_months=2,5.00,
    IF(arrears_months=3,8.00,
    IF(arrears_months=4,10.00,
    IF(arrears_months=5,12.00,15.00)))))))</f>
        <v/>
      </c>
      <c r="M9979">
        <f>LET(
    seasoning_years,DATEDIF('Loan Tape (S&amp;P)'!K9979,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79">
        <f>IF(AND('Loan Tape (S&amp;P)'!U9979="Yes",
        'Loan Tape (S&amp;P)'!T9979&lt;&gt;"Yes",
        DATEDIF('Loan Tape (S&amp;P)'!K9979, TODAY(), "M")&lt;18),
    1.10,
    1.00)</f>
        <v/>
      </c>
      <c r="O9979">
        <f>IF('Loan Tape (S&amp;P)'!T9979="Yes",
    1.35,
    1.00)</f>
        <v/>
      </c>
      <c r="P9979">
        <f>IF('Loan Tape (S&amp;P)'!S9979="Yes",
    1.15,
    1.00)</f>
        <v/>
      </c>
      <c r="Q9979">
        <f>IF('Loan Tape (S&amp;P)'!V9979="Yes",
    1.20,
    1.00)</f>
        <v/>
      </c>
      <c r="T9979">
        <f>LET(
    payment_method,'Loan Tape (S&amp;P)'!P9979,
    occupancy,'Loan Tape (S&amp;P)'!N9979,
    maturity_date,'Loan Tape (S&amp;P)'!L9979,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80">
      <c r="J9980">
        <f>LET(
    lien,'Loan Tape (S&amp;P)'!Q9980,
    IF(lien="First",1.00,
        IF(lien="Second",1.50,
            1.70)))</f>
        <v/>
      </c>
      <c r="K9980">
        <f>LET(
    purpose,'Loan Tape (S&amp;P)'!R9980,
    IF(purpose="Purchase",1.00,
        IF(purpose="Remortgage",1.00,
            1.20)))</f>
        <v/>
      </c>
      <c r="L9980">
        <f>LET(
    arrears_months,'Loan Tape (S&amp;P)'!AN9980,
    IF(arrears_months=0,1.00,
    IF(arrears_months=1,3.00,
    IF(arrears_months=2,5.00,
    IF(arrears_months=3,8.00,
    IF(arrears_months=4,10.00,
    IF(arrears_months=5,12.00,15.00)))))))</f>
        <v/>
      </c>
      <c r="M9980">
        <f>LET(
    seasoning_years,DATEDIF('Loan Tape (S&amp;P)'!K9980,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80">
        <f>IF(AND('Loan Tape (S&amp;P)'!U9980="Yes",
        'Loan Tape (S&amp;P)'!T9980&lt;&gt;"Yes",
        DATEDIF('Loan Tape (S&amp;P)'!K9980, TODAY(), "M")&lt;18),
    1.10,
    1.00)</f>
        <v/>
      </c>
      <c r="O9980">
        <f>IF('Loan Tape (S&amp;P)'!T9980="Yes",
    1.35,
    1.00)</f>
        <v/>
      </c>
      <c r="P9980">
        <f>IF('Loan Tape (S&amp;P)'!S9980="Yes",
    1.15,
    1.00)</f>
        <v/>
      </c>
      <c r="Q9980">
        <f>IF('Loan Tape (S&amp;P)'!V9980="Yes",
    1.20,
    1.00)</f>
        <v/>
      </c>
      <c r="T9980">
        <f>LET(
    payment_method,'Loan Tape (S&amp;P)'!P9980,
    occupancy,'Loan Tape (S&amp;P)'!N9980,
    maturity_date,'Loan Tape (S&amp;P)'!L9980,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81">
      <c r="J9981">
        <f>LET(
    lien,'Loan Tape (S&amp;P)'!Q9981,
    IF(lien="First",1.00,
        IF(lien="Second",1.50,
            1.70)))</f>
        <v/>
      </c>
      <c r="K9981">
        <f>LET(
    purpose,'Loan Tape (S&amp;P)'!R9981,
    IF(purpose="Purchase",1.00,
        IF(purpose="Remortgage",1.00,
            1.20)))</f>
        <v/>
      </c>
      <c r="L9981">
        <f>LET(
    arrears_months,'Loan Tape (S&amp;P)'!AN9981,
    IF(arrears_months=0,1.00,
    IF(arrears_months=1,3.00,
    IF(arrears_months=2,5.00,
    IF(arrears_months=3,8.00,
    IF(arrears_months=4,10.00,
    IF(arrears_months=5,12.00,15.00)))))))</f>
        <v/>
      </c>
      <c r="M9981">
        <f>LET(
    seasoning_years,DATEDIF('Loan Tape (S&amp;P)'!K9981,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81">
        <f>IF(AND('Loan Tape (S&amp;P)'!U9981="Yes",
        'Loan Tape (S&amp;P)'!T9981&lt;&gt;"Yes",
        DATEDIF('Loan Tape (S&amp;P)'!K9981, TODAY(), "M")&lt;18),
    1.10,
    1.00)</f>
        <v/>
      </c>
      <c r="O9981">
        <f>IF('Loan Tape (S&amp;P)'!T9981="Yes",
    1.35,
    1.00)</f>
        <v/>
      </c>
      <c r="P9981">
        <f>IF('Loan Tape (S&amp;P)'!S9981="Yes",
    1.15,
    1.00)</f>
        <v/>
      </c>
      <c r="Q9981">
        <f>IF('Loan Tape (S&amp;P)'!V9981="Yes",
    1.20,
    1.00)</f>
        <v/>
      </c>
      <c r="T9981">
        <f>LET(
    payment_method,'Loan Tape (S&amp;P)'!P9981,
    occupancy,'Loan Tape (S&amp;P)'!N9981,
    maturity_date,'Loan Tape (S&amp;P)'!L9981,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82">
      <c r="J9982">
        <f>LET(
    lien,'Loan Tape (S&amp;P)'!Q9982,
    IF(lien="First",1.00,
        IF(lien="Second",1.50,
            1.70)))</f>
        <v/>
      </c>
      <c r="K9982">
        <f>LET(
    purpose,'Loan Tape (S&amp;P)'!R9982,
    IF(purpose="Purchase",1.00,
        IF(purpose="Remortgage",1.00,
            1.20)))</f>
        <v/>
      </c>
      <c r="L9982">
        <f>LET(
    arrears_months,'Loan Tape (S&amp;P)'!AN9982,
    IF(arrears_months=0,1.00,
    IF(arrears_months=1,3.00,
    IF(arrears_months=2,5.00,
    IF(arrears_months=3,8.00,
    IF(arrears_months=4,10.00,
    IF(arrears_months=5,12.00,15.00)))))))</f>
        <v/>
      </c>
      <c r="M9982">
        <f>LET(
    seasoning_years,DATEDIF('Loan Tape (S&amp;P)'!K9982,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82">
        <f>IF(AND('Loan Tape (S&amp;P)'!U9982="Yes",
        'Loan Tape (S&amp;P)'!T9982&lt;&gt;"Yes",
        DATEDIF('Loan Tape (S&amp;P)'!K9982, TODAY(), "M")&lt;18),
    1.10,
    1.00)</f>
        <v/>
      </c>
      <c r="O9982">
        <f>IF('Loan Tape (S&amp;P)'!T9982="Yes",
    1.35,
    1.00)</f>
        <v/>
      </c>
      <c r="P9982">
        <f>IF('Loan Tape (S&amp;P)'!S9982="Yes",
    1.15,
    1.00)</f>
        <v/>
      </c>
      <c r="Q9982">
        <f>IF('Loan Tape (S&amp;P)'!V9982="Yes",
    1.20,
    1.00)</f>
        <v/>
      </c>
      <c r="T9982">
        <f>LET(
    payment_method,'Loan Tape (S&amp;P)'!P9982,
    occupancy,'Loan Tape (S&amp;P)'!N9982,
    maturity_date,'Loan Tape (S&amp;P)'!L9982,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83">
      <c r="J9983">
        <f>LET(
    lien,'Loan Tape (S&amp;P)'!Q9983,
    IF(lien="First",1.00,
        IF(lien="Second",1.50,
            1.70)))</f>
        <v/>
      </c>
      <c r="K9983">
        <f>LET(
    purpose,'Loan Tape (S&amp;P)'!R9983,
    IF(purpose="Purchase",1.00,
        IF(purpose="Remortgage",1.00,
            1.20)))</f>
        <v/>
      </c>
      <c r="L9983">
        <f>LET(
    arrears_months,'Loan Tape (S&amp;P)'!AN9983,
    IF(arrears_months=0,1.00,
    IF(arrears_months=1,3.00,
    IF(arrears_months=2,5.00,
    IF(arrears_months=3,8.00,
    IF(arrears_months=4,10.00,
    IF(arrears_months=5,12.00,15.00)))))))</f>
        <v/>
      </c>
      <c r="M9983">
        <f>LET(
    seasoning_years,DATEDIF('Loan Tape (S&amp;P)'!K9983,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83">
        <f>IF(AND('Loan Tape (S&amp;P)'!U9983="Yes",
        'Loan Tape (S&amp;P)'!T9983&lt;&gt;"Yes",
        DATEDIF('Loan Tape (S&amp;P)'!K9983, TODAY(), "M")&lt;18),
    1.10,
    1.00)</f>
        <v/>
      </c>
      <c r="O9983">
        <f>IF('Loan Tape (S&amp;P)'!T9983="Yes",
    1.35,
    1.00)</f>
        <v/>
      </c>
      <c r="P9983">
        <f>IF('Loan Tape (S&amp;P)'!S9983="Yes",
    1.15,
    1.00)</f>
        <v/>
      </c>
      <c r="Q9983">
        <f>IF('Loan Tape (S&amp;P)'!V9983="Yes",
    1.20,
    1.00)</f>
        <v/>
      </c>
      <c r="T9983">
        <f>LET(
    payment_method,'Loan Tape (S&amp;P)'!P9983,
    occupancy,'Loan Tape (S&amp;P)'!N9983,
    maturity_date,'Loan Tape (S&amp;P)'!L9983,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84">
      <c r="J9984">
        <f>LET(
    lien,'Loan Tape (S&amp;P)'!Q9984,
    IF(lien="First",1.00,
        IF(lien="Second",1.50,
            1.70)))</f>
        <v/>
      </c>
      <c r="K9984">
        <f>LET(
    purpose,'Loan Tape (S&amp;P)'!R9984,
    IF(purpose="Purchase",1.00,
        IF(purpose="Remortgage",1.00,
            1.20)))</f>
        <v/>
      </c>
      <c r="L9984">
        <f>LET(
    arrears_months,'Loan Tape (S&amp;P)'!AN9984,
    IF(arrears_months=0,1.00,
    IF(arrears_months=1,3.00,
    IF(arrears_months=2,5.00,
    IF(arrears_months=3,8.00,
    IF(arrears_months=4,10.00,
    IF(arrears_months=5,12.00,15.00)))))))</f>
        <v/>
      </c>
      <c r="M9984">
        <f>LET(
    seasoning_years,DATEDIF('Loan Tape (S&amp;P)'!K9984,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84">
        <f>IF(AND('Loan Tape (S&amp;P)'!U9984="Yes",
        'Loan Tape (S&amp;P)'!T9984&lt;&gt;"Yes",
        DATEDIF('Loan Tape (S&amp;P)'!K9984, TODAY(), "M")&lt;18),
    1.10,
    1.00)</f>
        <v/>
      </c>
      <c r="O9984">
        <f>IF('Loan Tape (S&amp;P)'!T9984="Yes",
    1.35,
    1.00)</f>
        <v/>
      </c>
      <c r="P9984">
        <f>IF('Loan Tape (S&amp;P)'!S9984="Yes",
    1.15,
    1.00)</f>
        <v/>
      </c>
      <c r="Q9984">
        <f>IF('Loan Tape (S&amp;P)'!V9984="Yes",
    1.20,
    1.00)</f>
        <v/>
      </c>
      <c r="T9984">
        <f>LET(
    payment_method,'Loan Tape (S&amp;P)'!P9984,
    occupancy,'Loan Tape (S&amp;P)'!N9984,
    maturity_date,'Loan Tape (S&amp;P)'!L9984,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85">
      <c r="J9985">
        <f>LET(
    lien,'Loan Tape (S&amp;P)'!Q9985,
    IF(lien="First",1.00,
        IF(lien="Second",1.50,
            1.70)))</f>
        <v/>
      </c>
      <c r="K9985">
        <f>LET(
    purpose,'Loan Tape (S&amp;P)'!R9985,
    IF(purpose="Purchase",1.00,
        IF(purpose="Remortgage",1.00,
            1.20)))</f>
        <v/>
      </c>
      <c r="L9985">
        <f>LET(
    arrears_months,'Loan Tape (S&amp;P)'!AN9985,
    IF(arrears_months=0,1.00,
    IF(arrears_months=1,3.00,
    IF(arrears_months=2,5.00,
    IF(arrears_months=3,8.00,
    IF(arrears_months=4,10.00,
    IF(arrears_months=5,12.00,15.00)))))))</f>
        <v/>
      </c>
      <c r="M9985">
        <f>LET(
    seasoning_years,DATEDIF('Loan Tape (S&amp;P)'!K9985,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85">
        <f>IF(AND('Loan Tape (S&amp;P)'!U9985="Yes",
        'Loan Tape (S&amp;P)'!T9985&lt;&gt;"Yes",
        DATEDIF('Loan Tape (S&amp;P)'!K9985, TODAY(), "M")&lt;18),
    1.10,
    1.00)</f>
        <v/>
      </c>
      <c r="O9985">
        <f>IF('Loan Tape (S&amp;P)'!T9985="Yes",
    1.35,
    1.00)</f>
        <v/>
      </c>
      <c r="P9985">
        <f>IF('Loan Tape (S&amp;P)'!S9985="Yes",
    1.15,
    1.00)</f>
        <v/>
      </c>
      <c r="Q9985">
        <f>IF('Loan Tape (S&amp;P)'!V9985="Yes",
    1.20,
    1.00)</f>
        <v/>
      </c>
      <c r="T9985">
        <f>LET(
    payment_method,'Loan Tape (S&amp;P)'!P9985,
    occupancy,'Loan Tape (S&amp;P)'!N9985,
    maturity_date,'Loan Tape (S&amp;P)'!L9985,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86">
      <c r="J9986">
        <f>LET(
    lien,'Loan Tape (S&amp;P)'!Q9986,
    IF(lien="First",1.00,
        IF(lien="Second",1.50,
            1.70)))</f>
        <v/>
      </c>
      <c r="K9986">
        <f>LET(
    purpose,'Loan Tape (S&amp;P)'!R9986,
    IF(purpose="Purchase",1.00,
        IF(purpose="Remortgage",1.00,
            1.20)))</f>
        <v/>
      </c>
      <c r="L9986">
        <f>LET(
    arrears_months,'Loan Tape (S&amp;P)'!AN9986,
    IF(arrears_months=0,1.00,
    IF(arrears_months=1,3.00,
    IF(arrears_months=2,5.00,
    IF(arrears_months=3,8.00,
    IF(arrears_months=4,10.00,
    IF(arrears_months=5,12.00,15.00)))))))</f>
        <v/>
      </c>
      <c r="M9986">
        <f>LET(
    seasoning_years,DATEDIF('Loan Tape (S&amp;P)'!K9986,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86">
        <f>IF(AND('Loan Tape (S&amp;P)'!U9986="Yes",
        'Loan Tape (S&amp;P)'!T9986&lt;&gt;"Yes",
        DATEDIF('Loan Tape (S&amp;P)'!K9986, TODAY(), "M")&lt;18),
    1.10,
    1.00)</f>
        <v/>
      </c>
      <c r="O9986">
        <f>IF('Loan Tape (S&amp;P)'!T9986="Yes",
    1.35,
    1.00)</f>
        <v/>
      </c>
      <c r="P9986">
        <f>IF('Loan Tape (S&amp;P)'!S9986="Yes",
    1.15,
    1.00)</f>
        <v/>
      </c>
      <c r="Q9986">
        <f>IF('Loan Tape (S&amp;P)'!V9986="Yes",
    1.20,
    1.00)</f>
        <v/>
      </c>
      <c r="T9986">
        <f>LET(
    payment_method,'Loan Tape (S&amp;P)'!P9986,
    occupancy,'Loan Tape (S&amp;P)'!N9986,
    maturity_date,'Loan Tape (S&amp;P)'!L9986,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87">
      <c r="J9987">
        <f>LET(
    lien,'Loan Tape (S&amp;P)'!Q9987,
    IF(lien="First",1.00,
        IF(lien="Second",1.50,
            1.70)))</f>
        <v/>
      </c>
      <c r="K9987">
        <f>LET(
    purpose,'Loan Tape (S&amp;P)'!R9987,
    IF(purpose="Purchase",1.00,
        IF(purpose="Remortgage",1.00,
            1.20)))</f>
        <v/>
      </c>
      <c r="L9987">
        <f>LET(
    arrears_months,'Loan Tape (S&amp;P)'!AN9987,
    IF(arrears_months=0,1.00,
    IF(arrears_months=1,3.00,
    IF(arrears_months=2,5.00,
    IF(arrears_months=3,8.00,
    IF(arrears_months=4,10.00,
    IF(arrears_months=5,12.00,15.00)))))))</f>
        <v/>
      </c>
      <c r="M9987">
        <f>LET(
    seasoning_years,DATEDIF('Loan Tape (S&amp;P)'!K9987,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87">
        <f>IF(AND('Loan Tape (S&amp;P)'!U9987="Yes",
        'Loan Tape (S&amp;P)'!T9987&lt;&gt;"Yes",
        DATEDIF('Loan Tape (S&amp;P)'!K9987, TODAY(), "M")&lt;18),
    1.10,
    1.00)</f>
        <v/>
      </c>
      <c r="O9987">
        <f>IF('Loan Tape (S&amp;P)'!T9987="Yes",
    1.35,
    1.00)</f>
        <v/>
      </c>
      <c r="P9987">
        <f>IF('Loan Tape (S&amp;P)'!S9987="Yes",
    1.15,
    1.00)</f>
        <v/>
      </c>
      <c r="Q9987">
        <f>IF('Loan Tape (S&amp;P)'!V9987="Yes",
    1.20,
    1.00)</f>
        <v/>
      </c>
      <c r="T9987">
        <f>LET(
    payment_method,'Loan Tape (S&amp;P)'!P9987,
    occupancy,'Loan Tape (S&amp;P)'!N9987,
    maturity_date,'Loan Tape (S&amp;P)'!L9987,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88">
      <c r="J9988">
        <f>LET(
    lien,'Loan Tape (S&amp;P)'!Q9988,
    IF(lien="First",1.00,
        IF(lien="Second",1.50,
            1.70)))</f>
        <v/>
      </c>
      <c r="K9988">
        <f>LET(
    purpose,'Loan Tape (S&amp;P)'!R9988,
    IF(purpose="Purchase",1.00,
        IF(purpose="Remortgage",1.00,
            1.20)))</f>
        <v/>
      </c>
      <c r="L9988">
        <f>LET(
    arrears_months,'Loan Tape (S&amp;P)'!AN9988,
    IF(arrears_months=0,1.00,
    IF(arrears_months=1,3.00,
    IF(arrears_months=2,5.00,
    IF(arrears_months=3,8.00,
    IF(arrears_months=4,10.00,
    IF(arrears_months=5,12.00,15.00)))))))</f>
        <v/>
      </c>
      <c r="M9988">
        <f>LET(
    seasoning_years,DATEDIF('Loan Tape (S&amp;P)'!K9988,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88">
        <f>IF(AND('Loan Tape (S&amp;P)'!U9988="Yes",
        'Loan Tape (S&amp;P)'!T9988&lt;&gt;"Yes",
        DATEDIF('Loan Tape (S&amp;P)'!K9988, TODAY(), "M")&lt;18),
    1.10,
    1.00)</f>
        <v/>
      </c>
      <c r="O9988">
        <f>IF('Loan Tape (S&amp;P)'!T9988="Yes",
    1.35,
    1.00)</f>
        <v/>
      </c>
      <c r="P9988">
        <f>IF('Loan Tape (S&amp;P)'!S9988="Yes",
    1.15,
    1.00)</f>
        <v/>
      </c>
      <c r="Q9988">
        <f>IF('Loan Tape (S&amp;P)'!V9988="Yes",
    1.20,
    1.00)</f>
        <v/>
      </c>
      <c r="T9988">
        <f>LET(
    payment_method,'Loan Tape (S&amp;P)'!P9988,
    occupancy,'Loan Tape (S&amp;P)'!N9988,
    maturity_date,'Loan Tape (S&amp;P)'!L9988,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89">
      <c r="J9989">
        <f>LET(
    lien,'Loan Tape (S&amp;P)'!Q9989,
    IF(lien="First",1.00,
        IF(lien="Second",1.50,
            1.70)))</f>
        <v/>
      </c>
      <c r="K9989">
        <f>LET(
    purpose,'Loan Tape (S&amp;P)'!R9989,
    IF(purpose="Purchase",1.00,
        IF(purpose="Remortgage",1.00,
            1.20)))</f>
        <v/>
      </c>
      <c r="L9989">
        <f>LET(
    arrears_months,'Loan Tape (S&amp;P)'!AN9989,
    IF(arrears_months=0,1.00,
    IF(arrears_months=1,3.00,
    IF(arrears_months=2,5.00,
    IF(arrears_months=3,8.00,
    IF(arrears_months=4,10.00,
    IF(arrears_months=5,12.00,15.00)))))))</f>
        <v/>
      </c>
      <c r="M9989">
        <f>LET(
    seasoning_years,DATEDIF('Loan Tape (S&amp;P)'!K9989,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89">
        <f>IF(AND('Loan Tape (S&amp;P)'!U9989="Yes",
        'Loan Tape (S&amp;P)'!T9989&lt;&gt;"Yes",
        DATEDIF('Loan Tape (S&amp;P)'!K9989, TODAY(), "M")&lt;18),
    1.10,
    1.00)</f>
        <v/>
      </c>
      <c r="O9989">
        <f>IF('Loan Tape (S&amp;P)'!T9989="Yes",
    1.35,
    1.00)</f>
        <v/>
      </c>
      <c r="P9989">
        <f>IF('Loan Tape (S&amp;P)'!S9989="Yes",
    1.15,
    1.00)</f>
        <v/>
      </c>
      <c r="Q9989">
        <f>IF('Loan Tape (S&amp;P)'!V9989="Yes",
    1.20,
    1.00)</f>
        <v/>
      </c>
      <c r="T9989">
        <f>LET(
    payment_method,'Loan Tape (S&amp;P)'!P9989,
    occupancy,'Loan Tape (S&amp;P)'!N9989,
    maturity_date,'Loan Tape (S&amp;P)'!L9989,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90">
      <c r="J9990">
        <f>LET(
    lien,'Loan Tape (S&amp;P)'!Q9990,
    IF(lien="First",1.00,
        IF(lien="Second",1.50,
            1.70)))</f>
        <v/>
      </c>
      <c r="K9990">
        <f>LET(
    purpose,'Loan Tape (S&amp;P)'!R9990,
    IF(purpose="Purchase",1.00,
        IF(purpose="Remortgage",1.00,
            1.20)))</f>
        <v/>
      </c>
      <c r="L9990">
        <f>LET(
    arrears_months,'Loan Tape (S&amp;P)'!AN9990,
    IF(arrears_months=0,1.00,
    IF(arrears_months=1,3.00,
    IF(arrears_months=2,5.00,
    IF(arrears_months=3,8.00,
    IF(arrears_months=4,10.00,
    IF(arrears_months=5,12.00,15.00)))))))</f>
        <v/>
      </c>
      <c r="M9990">
        <f>LET(
    seasoning_years,DATEDIF('Loan Tape (S&amp;P)'!K9990,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90">
        <f>IF(AND('Loan Tape (S&amp;P)'!U9990="Yes",
        'Loan Tape (S&amp;P)'!T9990&lt;&gt;"Yes",
        DATEDIF('Loan Tape (S&amp;P)'!K9990, TODAY(), "M")&lt;18),
    1.10,
    1.00)</f>
        <v/>
      </c>
      <c r="O9990">
        <f>IF('Loan Tape (S&amp;P)'!T9990="Yes",
    1.35,
    1.00)</f>
        <v/>
      </c>
      <c r="P9990">
        <f>IF('Loan Tape (S&amp;P)'!S9990="Yes",
    1.15,
    1.00)</f>
        <v/>
      </c>
      <c r="Q9990">
        <f>IF('Loan Tape (S&amp;P)'!V9990="Yes",
    1.20,
    1.00)</f>
        <v/>
      </c>
      <c r="T9990">
        <f>LET(
    payment_method,'Loan Tape (S&amp;P)'!P9990,
    occupancy,'Loan Tape (S&amp;P)'!N9990,
    maturity_date,'Loan Tape (S&amp;P)'!L9990,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91">
      <c r="J9991">
        <f>LET(
    lien,'Loan Tape (S&amp;P)'!Q9991,
    IF(lien="First",1.00,
        IF(lien="Second",1.50,
            1.70)))</f>
        <v/>
      </c>
      <c r="K9991">
        <f>LET(
    purpose,'Loan Tape (S&amp;P)'!R9991,
    IF(purpose="Purchase",1.00,
        IF(purpose="Remortgage",1.00,
            1.20)))</f>
        <v/>
      </c>
      <c r="L9991">
        <f>LET(
    arrears_months,'Loan Tape (S&amp;P)'!AN9991,
    IF(arrears_months=0,1.00,
    IF(arrears_months=1,3.00,
    IF(arrears_months=2,5.00,
    IF(arrears_months=3,8.00,
    IF(arrears_months=4,10.00,
    IF(arrears_months=5,12.00,15.00)))))))</f>
        <v/>
      </c>
      <c r="M9991">
        <f>LET(
    seasoning_years,DATEDIF('Loan Tape (S&amp;P)'!K9991,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91">
        <f>IF(AND('Loan Tape (S&amp;P)'!U9991="Yes",
        'Loan Tape (S&amp;P)'!T9991&lt;&gt;"Yes",
        DATEDIF('Loan Tape (S&amp;P)'!K9991, TODAY(), "M")&lt;18),
    1.10,
    1.00)</f>
        <v/>
      </c>
      <c r="O9991">
        <f>IF('Loan Tape (S&amp;P)'!T9991="Yes",
    1.35,
    1.00)</f>
        <v/>
      </c>
      <c r="P9991">
        <f>IF('Loan Tape (S&amp;P)'!S9991="Yes",
    1.15,
    1.00)</f>
        <v/>
      </c>
      <c r="Q9991">
        <f>IF('Loan Tape (S&amp;P)'!V9991="Yes",
    1.20,
    1.00)</f>
        <v/>
      </c>
      <c r="T9991">
        <f>LET(
    payment_method,'Loan Tape (S&amp;P)'!P9991,
    occupancy,'Loan Tape (S&amp;P)'!N9991,
    maturity_date,'Loan Tape (S&amp;P)'!L9991,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92">
      <c r="J9992">
        <f>LET(
    lien,'Loan Tape (S&amp;P)'!Q9992,
    IF(lien="First",1.00,
        IF(lien="Second",1.50,
            1.70)))</f>
        <v/>
      </c>
      <c r="K9992">
        <f>LET(
    purpose,'Loan Tape (S&amp;P)'!R9992,
    IF(purpose="Purchase",1.00,
        IF(purpose="Remortgage",1.00,
            1.20)))</f>
        <v/>
      </c>
      <c r="L9992">
        <f>LET(
    arrears_months,'Loan Tape (S&amp;P)'!AN9992,
    IF(arrears_months=0,1.00,
    IF(arrears_months=1,3.00,
    IF(arrears_months=2,5.00,
    IF(arrears_months=3,8.00,
    IF(arrears_months=4,10.00,
    IF(arrears_months=5,12.00,15.00)))))))</f>
        <v/>
      </c>
      <c r="M9992">
        <f>LET(
    seasoning_years,DATEDIF('Loan Tape (S&amp;P)'!K9992,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92">
        <f>IF(AND('Loan Tape (S&amp;P)'!U9992="Yes",
        'Loan Tape (S&amp;P)'!T9992&lt;&gt;"Yes",
        DATEDIF('Loan Tape (S&amp;P)'!K9992, TODAY(), "M")&lt;18),
    1.10,
    1.00)</f>
        <v/>
      </c>
      <c r="O9992">
        <f>IF('Loan Tape (S&amp;P)'!T9992="Yes",
    1.35,
    1.00)</f>
        <v/>
      </c>
      <c r="P9992">
        <f>IF('Loan Tape (S&amp;P)'!S9992="Yes",
    1.15,
    1.00)</f>
        <v/>
      </c>
      <c r="Q9992">
        <f>IF('Loan Tape (S&amp;P)'!V9992="Yes",
    1.20,
    1.00)</f>
        <v/>
      </c>
      <c r="T9992">
        <f>LET(
    payment_method,'Loan Tape (S&amp;P)'!P9992,
    occupancy,'Loan Tape (S&amp;P)'!N9992,
    maturity_date,'Loan Tape (S&amp;P)'!L9992,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93">
      <c r="J9993">
        <f>LET(
    lien,'Loan Tape (S&amp;P)'!Q9993,
    IF(lien="First",1.00,
        IF(lien="Second",1.50,
            1.70)))</f>
        <v/>
      </c>
      <c r="K9993">
        <f>LET(
    purpose,'Loan Tape (S&amp;P)'!R9993,
    IF(purpose="Purchase",1.00,
        IF(purpose="Remortgage",1.00,
            1.20)))</f>
        <v/>
      </c>
      <c r="L9993">
        <f>LET(
    arrears_months,'Loan Tape (S&amp;P)'!AN9993,
    IF(arrears_months=0,1.00,
    IF(arrears_months=1,3.00,
    IF(arrears_months=2,5.00,
    IF(arrears_months=3,8.00,
    IF(arrears_months=4,10.00,
    IF(arrears_months=5,12.00,15.00)))))))</f>
        <v/>
      </c>
      <c r="M9993">
        <f>LET(
    seasoning_years,DATEDIF('Loan Tape (S&amp;P)'!K9993,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93">
        <f>IF(AND('Loan Tape (S&amp;P)'!U9993="Yes",
        'Loan Tape (S&amp;P)'!T9993&lt;&gt;"Yes",
        DATEDIF('Loan Tape (S&amp;P)'!K9993, TODAY(), "M")&lt;18),
    1.10,
    1.00)</f>
        <v/>
      </c>
      <c r="O9993">
        <f>IF('Loan Tape (S&amp;P)'!T9993="Yes",
    1.35,
    1.00)</f>
        <v/>
      </c>
      <c r="P9993">
        <f>IF('Loan Tape (S&amp;P)'!S9993="Yes",
    1.15,
    1.00)</f>
        <v/>
      </c>
      <c r="Q9993">
        <f>IF('Loan Tape (S&amp;P)'!V9993="Yes",
    1.20,
    1.00)</f>
        <v/>
      </c>
      <c r="T9993">
        <f>LET(
    payment_method,'Loan Tape (S&amp;P)'!P9993,
    occupancy,'Loan Tape (S&amp;P)'!N9993,
    maturity_date,'Loan Tape (S&amp;P)'!L9993,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94">
      <c r="J9994">
        <f>LET(
    lien,'Loan Tape (S&amp;P)'!Q9994,
    IF(lien="First",1.00,
        IF(lien="Second",1.50,
            1.70)))</f>
        <v/>
      </c>
      <c r="K9994">
        <f>LET(
    purpose,'Loan Tape (S&amp;P)'!R9994,
    IF(purpose="Purchase",1.00,
        IF(purpose="Remortgage",1.00,
            1.20)))</f>
        <v/>
      </c>
      <c r="L9994">
        <f>LET(
    arrears_months,'Loan Tape (S&amp;P)'!AN9994,
    IF(arrears_months=0,1.00,
    IF(arrears_months=1,3.00,
    IF(arrears_months=2,5.00,
    IF(arrears_months=3,8.00,
    IF(arrears_months=4,10.00,
    IF(arrears_months=5,12.00,15.00)))))))</f>
        <v/>
      </c>
      <c r="M9994">
        <f>LET(
    seasoning_years,DATEDIF('Loan Tape (S&amp;P)'!K9994,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94">
        <f>IF(AND('Loan Tape (S&amp;P)'!U9994="Yes",
        'Loan Tape (S&amp;P)'!T9994&lt;&gt;"Yes",
        DATEDIF('Loan Tape (S&amp;P)'!K9994, TODAY(), "M")&lt;18),
    1.10,
    1.00)</f>
        <v/>
      </c>
      <c r="O9994">
        <f>IF('Loan Tape (S&amp;P)'!T9994="Yes",
    1.35,
    1.00)</f>
        <v/>
      </c>
      <c r="P9994">
        <f>IF('Loan Tape (S&amp;P)'!S9994="Yes",
    1.15,
    1.00)</f>
        <v/>
      </c>
      <c r="Q9994">
        <f>IF('Loan Tape (S&amp;P)'!V9994="Yes",
    1.20,
    1.00)</f>
        <v/>
      </c>
      <c r="T9994">
        <f>LET(
    payment_method,'Loan Tape (S&amp;P)'!P9994,
    occupancy,'Loan Tape (S&amp;P)'!N9994,
    maturity_date,'Loan Tape (S&amp;P)'!L9994,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95">
      <c r="J9995">
        <f>LET(
    lien,'Loan Tape (S&amp;P)'!Q9995,
    IF(lien="First",1.00,
        IF(lien="Second",1.50,
            1.70)))</f>
        <v/>
      </c>
      <c r="K9995">
        <f>LET(
    purpose,'Loan Tape (S&amp;P)'!R9995,
    IF(purpose="Purchase",1.00,
        IF(purpose="Remortgage",1.00,
            1.20)))</f>
        <v/>
      </c>
      <c r="L9995">
        <f>LET(
    arrears_months,'Loan Tape (S&amp;P)'!AN9995,
    IF(arrears_months=0,1.00,
    IF(arrears_months=1,3.00,
    IF(arrears_months=2,5.00,
    IF(arrears_months=3,8.00,
    IF(arrears_months=4,10.00,
    IF(arrears_months=5,12.00,15.00)))))))</f>
        <v/>
      </c>
      <c r="M9995">
        <f>LET(
    seasoning_years,DATEDIF('Loan Tape (S&amp;P)'!K9995,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95">
        <f>IF(AND('Loan Tape (S&amp;P)'!U9995="Yes",
        'Loan Tape (S&amp;P)'!T9995&lt;&gt;"Yes",
        DATEDIF('Loan Tape (S&amp;P)'!K9995, TODAY(), "M")&lt;18),
    1.10,
    1.00)</f>
        <v/>
      </c>
      <c r="O9995">
        <f>IF('Loan Tape (S&amp;P)'!T9995="Yes",
    1.35,
    1.00)</f>
        <v/>
      </c>
      <c r="P9995">
        <f>IF('Loan Tape (S&amp;P)'!S9995="Yes",
    1.15,
    1.00)</f>
        <v/>
      </c>
      <c r="Q9995">
        <f>IF('Loan Tape (S&amp;P)'!V9995="Yes",
    1.20,
    1.00)</f>
        <v/>
      </c>
      <c r="T9995">
        <f>LET(
    payment_method,'Loan Tape (S&amp;P)'!P9995,
    occupancy,'Loan Tape (S&amp;P)'!N9995,
    maturity_date,'Loan Tape (S&amp;P)'!L9995,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96">
      <c r="J9996">
        <f>LET(
    lien,'Loan Tape (S&amp;P)'!Q9996,
    IF(lien="First",1.00,
        IF(lien="Second",1.50,
            1.70)))</f>
        <v/>
      </c>
      <c r="K9996">
        <f>LET(
    purpose,'Loan Tape (S&amp;P)'!R9996,
    IF(purpose="Purchase",1.00,
        IF(purpose="Remortgage",1.00,
            1.20)))</f>
        <v/>
      </c>
      <c r="L9996">
        <f>LET(
    arrears_months,'Loan Tape (S&amp;P)'!AN9996,
    IF(arrears_months=0,1.00,
    IF(arrears_months=1,3.00,
    IF(arrears_months=2,5.00,
    IF(arrears_months=3,8.00,
    IF(arrears_months=4,10.00,
    IF(arrears_months=5,12.00,15.00)))))))</f>
        <v/>
      </c>
      <c r="M9996">
        <f>LET(
    seasoning_years,DATEDIF('Loan Tape (S&amp;P)'!K9996,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96">
        <f>IF(AND('Loan Tape (S&amp;P)'!U9996="Yes",
        'Loan Tape (S&amp;P)'!T9996&lt;&gt;"Yes",
        DATEDIF('Loan Tape (S&amp;P)'!K9996, TODAY(), "M")&lt;18),
    1.10,
    1.00)</f>
        <v/>
      </c>
      <c r="O9996">
        <f>IF('Loan Tape (S&amp;P)'!T9996="Yes",
    1.35,
    1.00)</f>
        <v/>
      </c>
      <c r="P9996">
        <f>IF('Loan Tape (S&amp;P)'!S9996="Yes",
    1.15,
    1.00)</f>
        <v/>
      </c>
      <c r="Q9996">
        <f>IF('Loan Tape (S&amp;P)'!V9996="Yes",
    1.20,
    1.00)</f>
        <v/>
      </c>
      <c r="T9996">
        <f>LET(
    payment_method,'Loan Tape (S&amp;P)'!P9996,
    occupancy,'Loan Tape (S&amp;P)'!N9996,
    maturity_date,'Loan Tape (S&amp;P)'!L9996,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97">
      <c r="J9997">
        <f>LET(
    lien,'Loan Tape (S&amp;P)'!Q9997,
    IF(lien="First",1.00,
        IF(lien="Second",1.50,
            1.70)))</f>
        <v/>
      </c>
      <c r="K9997">
        <f>LET(
    purpose,'Loan Tape (S&amp;P)'!R9997,
    IF(purpose="Purchase",1.00,
        IF(purpose="Remortgage",1.00,
            1.20)))</f>
        <v/>
      </c>
      <c r="L9997">
        <f>LET(
    arrears_months,'Loan Tape (S&amp;P)'!AN9997,
    IF(arrears_months=0,1.00,
    IF(arrears_months=1,3.00,
    IF(arrears_months=2,5.00,
    IF(arrears_months=3,8.00,
    IF(arrears_months=4,10.00,
    IF(arrears_months=5,12.00,15.00)))))))</f>
        <v/>
      </c>
      <c r="M9997">
        <f>LET(
    seasoning_years,DATEDIF('Loan Tape (S&amp;P)'!K9997,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97">
        <f>IF(AND('Loan Tape (S&amp;P)'!U9997="Yes",
        'Loan Tape (S&amp;P)'!T9997&lt;&gt;"Yes",
        DATEDIF('Loan Tape (S&amp;P)'!K9997, TODAY(), "M")&lt;18),
    1.10,
    1.00)</f>
        <v/>
      </c>
      <c r="O9997">
        <f>IF('Loan Tape (S&amp;P)'!T9997="Yes",
    1.35,
    1.00)</f>
        <v/>
      </c>
      <c r="P9997">
        <f>IF('Loan Tape (S&amp;P)'!S9997="Yes",
    1.15,
    1.00)</f>
        <v/>
      </c>
      <c r="Q9997">
        <f>IF('Loan Tape (S&amp;P)'!V9997="Yes",
    1.20,
    1.00)</f>
        <v/>
      </c>
      <c r="T9997">
        <f>LET(
    payment_method,'Loan Tape (S&amp;P)'!P9997,
    occupancy,'Loan Tape (S&amp;P)'!N9997,
    maturity_date,'Loan Tape (S&amp;P)'!L9997,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98">
      <c r="J9998">
        <f>LET(
    lien,'Loan Tape (S&amp;P)'!Q9998,
    IF(lien="First",1.00,
        IF(lien="Second",1.50,
            1.70)))</f>
        <v/>
      </c>
      <c r="K9998">
        <f>LET(
    purpose,'Loan Tape (S&amp;P)'!R9998,
    IF(purpose="Purchase",1.00,
        IF(purpose="Remortgage",1.00,
            1.20)))</f>
        <v/>
      </c>
      <c r="L9998">
        <f>LET(
    arrears_months,'Loan Tape (S&amp;P)'!AN9998,
    IF(arrears_months=0,1.00,
    IF(arrears_months=1,3.00,
    IF(arrears_months=2,5.00,
    IF(arrears_months=3,8.00,
    IF(arrears_months=4,10.00,
    IF(arrears_months=5,12.00,15.00)))))))</f>
        <v/>
      </c>
      <c r="M9998">
        <f>LET(
    seasoning_years,DATEDIF('Loan Tape (S&amp;P)'!K9998,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98">
        <f>IF(AND('Loan Tape (S&amp;P)'!U9998="Yes",
        'Loan Tape (S&amp;P)'!T9998&lt;&gt;"Yes",
        DATEDIF('Loan Tape (S&amp;P)'!K9998, TODAY(), "M")&lt;18),
    1.10,
    1.00)</f>
        <v/>
      </c>
      <c r="O9998">
        <f>IF('Loan Tape (S&amp;P)'!T9998="Yes",
    1.35,
    1.00)</f>
        <v/>
      </c>
      <c r="P9998">
        <f>IF('Loan Tape (S&amp;P)'!S9998="Yes",
    1.15,
    1.00)</f>
        <v/>
      </c>
      <c r="Q9998">
        <f>IF('Loan Tape (S&amp;P)'!V9998="Yes",
    1.20,
    1.00)</f>
        <v/>
      </c>
      <c r="T9998">
        <f>LET(
    payment_method,'Loan Tape (S&amp;P)'!P9998,
    occupancy,'Loan Tape (S&amp;P)'!N9998,
    maturity_date,'Loan Tape (S&amp;P)'!L9998,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9999">
      <c r="J9999">
        <f>LET(
    lien,'Loan Tape (S&amp;P)'!Q9999,
    IF(lien="First",1.00,
        IF(lien="Second",1.50,
            1.70)))</f>
        <v/>
      </c>
      <c r="K9999">
        <f>LET(
    purpose,'Loan Tape (S&amp;P)'!R9999,
    IF(purpose="Purchase",1.00,
        IF(purpose="Remortgage",1.00,
            1.20)))</f>
        <v/>
      </c>
      <c r="L9999">
        <f>LET(
    arrears_months,'Loan Tape (S&amp;P)'!AN9999,
    IF(arrears_months=0,1.00,
    IF(arrears_months=1,3.00,
    IF(arrears_months=2,5.00,
    IF(arrears_months=3,8.00,
    IF(arrears_months=4,10.00,
    IF(arrears_months=5,12.00,15.00)))))))</f>
        <v/>
      </c>
      <c r="M9999">
        <f>LET(
    seasoning_years,DATEDIF('Loan Tape (S&amp;P)'!K9999,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9999">
        <f>IF(AND('Loan Tape (S&amp;P)'!U9999="Yes",
        'Loan Tape (S&amp;P)'!T9999&lt;&gt;"Yes",
        DATEDIF('Loan Tape (S&amp;P)'!K9999, TODAY(), "M")&lt;18),
    1.10,
    1.00)</f>
        <v/>
      </c>
      <c r="O9999">
        <f>IF('Loan Tape (S&amp;P)'!T9999="Yes",
    1.35,
    1.00)</f>
        <v/>
      </c>
      <c r="P9999">
        <f>IF('Loan Tape (S&amp;P)'!S9999="Yes",
    1.15,
    1.00)</f>
        <v/>
      </c>
      <c r="Q9999">
        <f>IF('Loan Tape (S&amp;P)'!V9999="Yes",
    1.20,
    1.00)</f>
        <v/>
      </c>
      <c r="T9999">
        <f>LET(
    payment_method,'Loan Tape (S&amp;P)'!P9999,
    occupancy,'Loan Tape (S&amp;P)'!N9999,
    maturity_date,'Loan Tape (S&amp;P)'!L9999,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  <row r="10000">
      <c r="J10000">
        <f>LET(
    lien,'Loan Tape (S&amp;P)'!Q10000,
    IF(lien="First",1.00,
        IF(lien="Second",1.50,
            1.70)))</f>
        <v/>
      </c>
      <c r="K10000">
        <f>LET(
    purpose,'Loan Tape (S&amp;P)'!R10000,
    IF(purpose="Purchase",1.00,
        IF(purpose="Remortgage",1.00,
            1.20)))</f>
        <v/>
      </c>
      <c r="L10000">
        <f>LET(
    arrears_months,'Loan Tape (S&amp;P)'!AN10000,
    IF(arrears_months=0,1.00,
    IF(arrears_months=1,3.00,
    IF(arrears_months=2,5.00,
    IF(arrears_months=3,8.00,
    IF(arrears_months=4,10.00,
    IF(arrears_months=5,12.00,15.00)))))))</f>
        <v/>
      </c>
      <c r="M10000">
        <f>LET(
    seasoning_years,DATEDIF('Loan Tape (S&amp;P)'!K10000, TODAY(), "Y"),
    IF(seasoning_years&lt;5,1.00,
    IF(seasoning_years=5,0.90,
    IF(seasoning_years=6,0.85,
    IF(seasoning_years=7,0.80,
    IF(seasoning_years=8,0.78,
    IF(seasoning_years=9,0.75,
    IF(seasoning_years=10,0.70,
    IF(seasoning_years=11,0.67,0.65)))))))))</f>
        <v/>
      </c>
      <c r="N10000">
        <f>IF(AND('Loan Tape (S&amp;P)'!U10000="Yes",
        'Loan Tape (S&amp;P)'!T10000&lt;&gt;"Yes",
        DATEDIF('Loan Tape (S&amp;P)'!K10000, TODAY(), "M")&lt;18),
    1.10,
    1.00)</f>
        <v/>
      </c>
      <c r="O10000">
        <f>IF('Loan Tape (S&amp;P)'!T10000="Yes",
    1.35,
    1.00)</f>
        <v/>
      </c>
      <c r="P10000">
        <f>IF('Loan Tape (S&amp;P)'!S10000="Yes",
    1.15,
    1.00)</f>
        <v/>
      </c>
      <c r="Q10000">
        <f>IF('Loan Tape (S&amp;P)'!V10000="Yes",
    1.20,
    1.00)</f>
        <v/>
      </c>
      <c r="T10000">
        <f>LET(
    payment_method,'Loan Tape (S&amp;P)'!P10000,
    occupancy,'Loan Tape (S&amp;P)'!N10000,
    maturity_date,'Loan Tape (S&amp;P)'!L10000,
    remaining_months,DATEDIF(TODAY(), maturity_date, "M"),
    remaining_years,remaining_months/12,
    is_btl,occupancy="Buy to Let",
    IF(OR(is_btl, payment_method&lt;&gt;"Interest Only"),1.00,
    IF(remaining_years&lt;5,1.30,
    IF(remaining_years&lt;10,1.40,
    IF(remaining_years&lt;15,1.50,
    IF(remaining_years&lt;25,1.50,1.60))))))</f>
        <v/>
      </c>
    </row>
  </sheetData>
  <mergeCells count="2">
    <mergeCell ref="A2:AZ2"/>
    <mergeCell ref="A1:AZ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LOSS SEVERITY CALCULATIONS - S&amp;P METHODOLOGY</t>
        </is>
      </c>
    </row>
    <row r="2">
      <c r="A2" s="11" t="inlineStr">
        <is>
          <t>WALS = [(1 - LTV × (1 - MVD - FSD)) + FC] × Adjustments (floored at 0%)</t>
        </is>
      </c>
    </row>
    <row r="4">
      <c r="A4" s="13" t="inlineStr">
        <is>
          <t>Loan ID</t>
        </is>
      </c>
      <c r="B4" s="13" t="inlineStr">
        <is>
          <t>Balance</t>
        </is>
      </c>
      <c r="C4" s="13" t="inlineStr">
        <is>
          <t>Property Value</t>
        </is>
      </c>
      <c r="D4" s="13" t="inlineStr">
        <is>
          <t>S&amp;P LTV %</t>
        </is>
      </c>
      <c r="E4" s="13" t="inlineStr">
        <is>
          <t>Base MVD %</t>
        </is>
      </c>
      <c r="F4" s="13" t="inlineStr">
        <is>
          <t>Property Type</t>
        </is>
      </c>
      <c r="G4" s="13" t="inlineStr">
        <is>
          <t>Prop Type Adj</t>
        </is>
      </c>
      <c r="H4" s="13" t="inlineStr">
        <is>
          <t>Region</t>
        </is>
      </c>
      <c r="I4" s="13" t="inlineStr">
        <is>
          <t>Regional Adj</t>
        </is>
      </c>
      <c r="J4" s="13" t="inlineStr">
        <is>
          <t>Adj MVD %</t>
        </is>
      </c>
      <c r="K4" s="13" t="inlineStr">
        <is>
          <t>FSD %</t>
        </is>
      </c>
      <c r="L4" s="13" t="inlineStr">
        <is>
          <t>Total Decline %</t>
        </is>
      </c>
      <c r="M4" s="13" t="inlineStr">
        <is>
          <t>Recovery %</t>
        </is>
      </c>
      <c r="N4" s="13" t="inlineStr">
        <is>
          <t>FC %</t>
        </is>
      </c>
      <c r="O4" s="13" t="inlineStr">
        <is>
          <t>Gross LS %</t>
        </is>
      </c>
      <c r="P4" s="13" t="inlineStr">
        <is>
          <t>Over/Under Val</t>
        </is>
      </c>
      <c r="Q4" s="13" t="inlineStr">
        <is>
          <t>Final LS %</t>
        </is>
      </c>
      <c r="R4" s="13" t="inlineStr">
        <is>
          <t>LS Amount £</t>
        </is>
      </c>
    </row>
    <row r="5">
      <c r="A5" s="17">
        <f>'Loan Tape (S&amp;P)'!A5</f>
        <v/>
      </c>
      <c r="B5" s="18">
        <f>'Loan Tape (S&amp;P)'!B5</f>
        <v/>
      </c>
      <c r="C5" s="18">
        <f>'Loan Tape (S&amp;P)'!D5</f>
        <v/>
      </c>
      <c r="D5" s="20">
        <f>'FF Calculations'!E5</f>
        <v/>
      </c>
      <c r="E5" s="20">
        <f>'Control Panel'!$B$19</f>
        <v/>
      </c>
      <c r="F5" s="17">
        <f>'Loan Tape (S&amp;P)'!I5</f>
        <v/>
      </c>
      <c r="G5" s="20">
        <f>IFERROR(VLOOKUP(F5,'LS Parameters'!$A$6:$B$10,2,FALSE),0.05)</f>
        <v/>
      </c>
      <c r="H5" s="17">
        <f>'Loan Tape (S&amp;P)'!J5</f>
        <v/>
      </c>
      <c r="I5" s="20">
        <f>IFERROR(VLOOKUP(H5,'LS Parameters'!$A$14:$B$25,2,FALSE),0)</f>
        <v/>
      </c>
      <c r="J5" s="20">
        <f>E5+G5+I5</f>
        <v/>
      </c>
      <c r="K5" s="20">
        <f>'Control Panel'!$B$20</f>
        <v/>
      </c>
      <c r="L5" s="20">
        <f>J5+K5</f>
        <v/>
      </c>
      <c r="M5" s="20">
        <f>1-(D5*L5)</f>
        <v/>
      </c>
      <c r="N5" s="20">
        <f>VLOOKUP('Control Panel'!$B$6,'Jurisdiction Parameters'!$A:$N,14,FALSE)</f>
        <v/>
      </c>
      <c r="O5" s="20">
        <f>IF(M5&gt;0,N5,1-M5+N5)</f>
        <v/>
      </c>
      <c r="P5" s="21">
        <f>LET(
    val_type,'Loan Tape (S&amp;P)'!AU5,
    IF(val_type="Full",1.00,
        IF(val_type="Desktop",1.05,
            IF(val_type="Drive-by",1.10,
                1.00)))
)</f>
        <v/>
      </c>
      <c r="Q5" s="32">
        <f>MAX(O5*P5,0)</f>
        <v/>
      </c>
      <c r="R5" s="43">
        <f>B5*Q5</f>
        <v/>
      </c>
    </row>
    <row r="6">
      <c r="A6" s="17">
        <f>'Loan Tape (S&amp;P)'!A6</f>
        <v/>
      </c>
      <c r="B6" s="18">
        <f>'Loan Tape (S&amp;P)'!B6</f>
        <v/>
      </c>
      <c r="C6" s="18">
        <f>'Loan Tape (S&amp;P)'!D6</f>
        <v/>
      </c>
      <c r="D6" s="20">
        <f>'FF Calculations'!E6</f>
        <v/>
      </c>
      <c r="E6" s="20">
        <f>'Control Panel'!$B$19</f>
        <v/>
      </c>
      <c r="F6" s="17">
        <f>'Loan Tape (S&amp;P)'!I6</f>
        <v/>
      </c>
      <c r="G6" s="20">
        <f>IFERROR(VLOOKUP(F6,'LS Parameters'!$A$6:$B$10,2,FALSE),0.05)</f>
        <v/>
      </c>
      <c r="H6" s="17">
        <f>'Loan Tape (S&amp;P)'!J6</f>
        <v/>
      </c>
      <c r="I6" s="20">
        <f>IFERROR(VLOOKUP(H6,'LS Parameters'!$A$14:$B$25,2,FALSE),0)</f>
        <v/>
      </c>
      <c r="J6" s="20">
        <f>E6+G6+I6</f>
        <v/>
      </c>
      <c r="K6" s="20">
        <f>'Control Panel'!$B$20</f>
        <v/>
      </c>
      <c r="L6" s="20">
        <f>J6+K6</f>
        <v/>
      </c>
      <c r="M6" s="20">
        <f>1-(D6*L6)</f>
        <v/>
      </c>
      <c r="N6" s="20">
        <f>VLOOKUP('Control Panel'!$B$6,'Jurisdiction Parameters'!$A:$N,14,FALSE)</f>
        <v/>
      </c>
      <c r="O6" s="20">
        <f>IF(M6&gt;0,N6,1-M6+N6)</f>
        <v/>
      </c>
      <c r="P6" s="21">
        <f>LET(
    val_type,'Loan Tape (S&amp;P)'!AU6,
    IF(val_type="Full",1.00,
        IF(val_type="Desktop",1.06,
            IF(val_type="Drive-by",1.10,
                1.00)))
)</f>
        <v/>
      </c>
      <c r="Q6" s="32">
        <f>MAX(O6*P6,0)</f>
        <v/>
      </c>
      <c r="R6" s="43">
        <f>B6*Q6</f>
        <v/>
      </c>
    </row>
    <row r="7">
      <c r="A7" s="17">
        <f>'Loan Tape (S&amp;P)'!A7</f>
        <v/>
      </c>
      <c r="B7" s="18">
        <f>'Loan Tape (S&amp;P)'!B7</f>
        <v/>
      </c>
      <c r="C7" s="18">
        <f>'Loan Tape (S&amp;P)'!D7</f>
        <v/>
      </c>
      <c r="D7" s="20">
        <f>'FF Calculations'!E7</f>
        <v/>
      </c>
      <c r="E7" s="20">
        <f>'Control Panel'!$B$19</f>
        <v/>
      </c>
      <c r="F7" s="17">
        <f>'Loan Tape (S&amp;P)'!I7</f>
        <v/>
      </c>
      <c r="G7" s="20">
        <f>IFERROR(VLOOKUP(F7,'LS Parameters'!$A$6:$B$10,2,FALSE),0.05)</f>
        <v/>
      </c>
      <c r="H7" s="17">
        <f>'Loan Tape (S&amp;P)'!J7</f>
        <v/>
      </c>
      <c r="I7" s="20">
        <f>IFERROR(VLOOKUP(H7,'LS Parameters'!$A$14:$B$25,2,FALSE),0)</f>
        <v/>
      </c>
      <c r="J7" s="20">
        <f>E7+G7+I7</f>
        <v/>
      </c>
      <c r="K7" s="20">
        <f>'Control Panel'!$B$20</f>
        <v/>
      </c>
      <c r="L7" s="20">
        <f>J7+K7</f>
        <v/>
      </c>
      <c r="M7" s="20">
        <f>1-(D7*L7)</f>
        <v/>
      </c>
      <c r="N7" s="20">
        <f>VLOOKUP('Control Panel'!$B$6,'Jurisdiction Parameters'!$A:$N,14,FALSE)</f>
        <v/>
      </c>
      <c r="O7" s="20">
        <f>IF(M7&gt;0,N7,1-M7+N7)</f>
        <v/>
      </c>
      <c r="P7" s="21">
        <f>LET(
    val_type,'Loan Tape (S&amp;P)'!AU7,
    IF(val_type="Full",1.00,
        IF(val_type="Desktop",1.07,
            IF(val_type="Drive-by",1.10,
                1.00)))
)</f>
        <v/>
      </c>
      <c r="Q7" s="32">
        <f>MAX(O7*P7,0)</f>
        <v/>
      </c>
      <c r="R7" s="43">
        <f>B7*Q7</f>
        <v/>
      </c>
    </row>
    <row r="8">
      <c r="A8" s="17">
        <f>'Loan Tape (S&amp;P)'!A8</f>
        <v/>
      </c>
      <c r="B8" s="18">
        <f>'Loan Tape (S&amp;P)'!B8</f>
        <v/>
      </c>
      <c r="C8" s="18">
        <f>'Loan Tape (S&amp;P)'!D8</f>
        <v/>
      </c>
      <c r="D8" s="20">
        <f>'FF Calculations'!E8</f>
        <v/>
      </c>
      <c r="E8" s="20">
        <f>'Control Panel'!$B$19</f>
        <v/>
      </c>
      <c r="F8" s="17">
        <f>'Loan Tape (S&amp;P)'!I8</f>
        <v/>
      </c>
      <c r="G8" s="20">
        <f>IFERROR(VLOOKUP(F8,'LS Parameters'!$A$6:$B$10,2,FALSE),0.05)</f>
        <v/>
      </c>
      <c r="H8" s="17">
        <f>'Loan Tape (S&amp;P)'!J8</f>
        <v/>
      </c>
      <c r="I8" s="20">
        <f>IFERROR(VLOOKUP(H8,'LS Parameters'!$A$14:$B$25,2,FALSE),0)</f>
        <v/>
      </c>
      <c r="J8" s="20">
        <f>E8+G8+I8</f>
        <v/>
      </c>
      <c r="K8" s="20">
        <f>'Control Panel'!$B$20</f>
        <v/>
      </c>
      <c r="L8" s="20">
        <f>J8+K8</f>
        <v/>
      </c>
      <c r="M8" s="20">
        <f>1-(D8*L8)</f>
        <v/>
      </c>
      <c r="N8" s="20">
        <f>VLOOKUP('Control Panel'!$B$6,'Jurisdiction Parameters'!$A:$N,14,FALSE)</f>
        <v/>
      </c>
      <c r="O8" s="20">
        <f>IF(M8&gt;0,N8,1-M8+N8)</f>
        <v/>
      </c>
      <c r="P8" s="21">
        <f>LET(
    val_type,'Loan Tape (S&amp;P)'!AU8,
    IF(val_type="Full",1.00,
        IF(val_type="Desktop",1.08,
            IF(val_type="Drive-by",1.10,
                1.00)))
)</f>
        <v/>
      </c>
      <c r="Q8" s="32">
        <f>MAX(O8*P8,0)</f>
        <v/>
      </c>
      <c r="R8" s="43">
        <f>B8*Q8</f>
        <v/>
      </c>
    </row>
    <row r="9">
      <c r="A9" s="17">
        <f>'Loan Tape (S&amp;P)'!A9</f>
        <v/>
      </c>
      <c r="B9" s="18">
        <f>'Loan Tape (S&amp;P)'!B9</f>
        <v/>
      </c>
      <c r="C9" s="18">
        <f>'Loan Tape (S&amp;P)'!D9</f>
        <v/>
      </c>
      <c r="D9" s="20">
        <f>'FF Calculations'!E9</f>
        <v/>
      </c>
      <c r="E9" s="20">
        <f>'Control Panel'!$B$19</f>
        <v/>
      </c>
      <c r="F9" s="17">
        <f>'Loan Tape (S&amp;P)'!I9</f>
        <v/>
      </c>
      <c r="G9" s="20">
        <f>IFERROR(VLOOKUP(F9,'LS Parameters'!$A$6:$B$10,2,FALSE),0.05)</f>
        <v/>
      </c>
      <c r="H9" s="17">
        <f>'Loan Tape (S&amp;P)'!J9</f>
        <v/>
      </c>
      <c r="I9" s="20">
        <f>IFERROR(VLOOKUP(H9,'LS Parameters'!$A$14:$B$25,2,FALSE),0)</f>
        <v/>
      </c>
      <c r="J9" s="20">
        <f>E9+G9+I9</f>
        <v/>
      </c>
      <c r="K9" s="20">
        <f>'Control Panel'!$B$20</f>
        <v/>
      </c>
      <c r="L9" s="20">
        <f>J9+K9</f>
        <v/>
      </c>
      <c r="M9" s="20">
        <f>1-(D9*L9)</f>
        <v/>
      </c>
      <c r="N9" s="20">
        <f>VLOOKUP('Control Panel'!$B$6,'Jurisdiction Parameters'!$A:$N,14,FALSE)</f>
        <v/>
      </c>
      <c r="O9" s="20">
        <f>IF(M9&gt;0,N9,1-M9+N9)</f>
        <v/>
      </c>
      <c r="P9" s="21">
        <f>LET(
    val_type,'Loan Tape (S&amp;P)'!AU9,
    IF(val_type="Full",1.00,
        IF(val_type="Desktop",1.09,
            IF(val_type="Drive-by",1.10,
                1.00)))
)</f>
        <v/>
      </c>
      <c r="Q9" s="32">
        <f>MAX(O9*P9,0)</f>
        <v/>
      </c>
      <c r="R9" s="43">
        <f>B9*Q9</f>
        <v/>
      </c>
    </row>
    <row r="10">
      <c r="A10" s="17">
        <f>'Loan Tape (S&amp;P)'!A10</f>
        <v/>
      </c>
      <c r="B10" s="18">
        <f>'Loan Tape (S&amp;P)'!B10</f>
        <v/>
      </c>
      <c r="C10" s="18">
        <f>'Loan Tape (S&amp;P)'!D10</f>
        <v/>
      </c>
      <c r="D10" s="20">
        <f>'FF Calculations'!E10</f>
        <v/>
      </c>
      <c r="E10" s="20">
        <f>'Control Panel'!$B$19</f>
        <v/>
      </c>
      <c r="F10" s="17">
        <f>'Loan Tape (S&amp;P)'!I10</f>
        <v/>
      </c>
      <c r="G10" s="20">
        <f>IFERROR(VLOOKUP(F10,'LS Parameters'!$A$6:$B$10,2,FALSE),0.05)</f>
        <v/>
      </c>
      <c r="H10" s="17">
        <f>'Loan Tape (S&amp;P)'!J10</f>
        <v/>
      </c>
      <c r="I10" s="20">
        <f>IFERROR(VLOOKUP(H10,'LS Parameters'!$A$14:$B$25,2,FALSE),0)</f>
        <v/>
      </c>
      <c r="J10" s="20">
        <f>E10+G10+I10</f>
        <v/>
      </c>
      <c r="K10" s="20">
        <f>'Control Panel'!$B$20</f>
        <v/>
      </c>
      <c r="L10" s="20">
        <f>J10+K10</f>
        <v/>
      </c>
      <c r="M10" s="20">
        <f>1-(D10*L10)</f>
        <v/>
      </c>
      <c r="N10" s="20">
        <f>VLOOKUP('Control Panel'!$B$6,'Jurisdiction Parameters'!$A:$N,14,FALSE)</f>
        <v/>
      </c>
      <c r="O10" s="20">
        <f>IF(M10&gt;0,N10,1-M10+N10)</f>
        <v/>
      </c>
      <c r="P10" s="21">
        <f>LET(
    val_type,'Loan Tape (S&amp;P)'!AU10,
    IF(val_type="Full",1.00,
        IF(val_type="Desktop",1.010,
            IF(val_type="Drive-by",1.10,
                1.00)))
)</f>
        <v/>
      </c>
      <c r="Q10" s="32">
        <f>MAX(O10*P10,0)</f>
        <v/>
      </c>
      <c r="R10" s="43">
        <f>B10*Q10</f>
        <v/>
      </c>
    </row>
    <row r="11">
      <c r="A11" s="17">
        <f>'Loan Tape (S&amp;P)'!A11</f>
        <v/>
      </c>
      <c r="B11" s="18">
        <f>'Loan Tape (S&amp;P)'!B11</f>
        <v/>
      </c>
      <c r="C11" s="18">
        <f>'Loan Tape (S&amp;P)'!D11</f>
        <v/>
      </c>
      <c r="D11" s="20">
        <f>'FF Calculations'!E11</f>
        <v/>
      </c>
      <c r="E11" s="20">
        <f>'Control Panel'!$B$19</f>
        <v/>
      </c>
      <c r="F11" s="17">
        <f>'Loan Tape (S&amp;P)'!I11</f>
        <v/>
      </c>
      <c r="G11" s="20">
        <f>IFERROR(VLOOKUP(F11,'LS Parameters'!$A$6:$B$10,2,FALSE),0.05)</f>
        <v/>
      </c>
      <c r="H11" s="17">
        <f>'Loan Tape (S&amp;P)'!J11</f>
        <v/>
      </c>
      <c r="I11" s="20">
        <f>IFERROR(VLOOKUP(H11,'LS Parameters'!$A$14:$B$25,2,FALSE),0)</f>
        <v/>
      </c>
      <c r="J11" s="20">
        <f>E11+G11+I11</f>
        <v/>
      </c>
      <c r="K11" s="20">
        <f>'Control Panel'!$B$20</f>
        <v/>
      </c>
      <c r="L11" s="20">
        <f>J11+K11</f>
        <v/>
      </c>
      <c r="M11" s="20">
        <f>1-(D11*L11)</f>
        <v/>
      </c>
      <c r="N11" s="20">
        <f>VLOOKUP('Control Panel'!$B$6,'Jurisdiction Parameters'!$A:$N,14,FALSE)</f>
        <v/>
      </c>
      <c r="O11" s="20">
        <f>IF(M11&gt;0,N11,1-M11+N11)</f>
        <v/>
      </c>
      <c r="P11" s="21">
        <f>LET(
    val_type,'Loan Tape (S&amp;P)'!AU11,
    IF(val_type="Full",1.00,
        IF(val_type="Desktop",1.011,
            IF(val_type="Drive-by",1.10,
                1.00)))
)</f>
        <v/>
      </c>
      <c r="Q11" s="32">
        <f>MAX(O11*P11,0)</f>
        <v/>
      </c>
      <c r="R11" s="43">
        <f>B11*Q11</f>
        <v/>
      </c>
    </row>
    <row r="12">
      <c r="A12" s="17">
        <f>'Loan Tape (S&amp;P)'!A12</f>
        <v/>
      </c>
      <c r="B12" s="18">
        <f>'Loan Tape (S&amp;P)'!B12</f>
        <v/>
      </c>
      <c r="C12" s="18">
        <f>'Loan Tape (S&amp;P)'!D12</f>
        <v/>
      </c>
      <c r="D12" s="20">
        <f>'FF Calculations'!E12</f>
        <v/>
      </c>
      <c r="E12" s="20">
        <f>'Control Panel'!$B$19</f>
        <v/>
      </c>
      <c r="F12" s="17">
        <f>'Loan Tape (S&amp;P)'!I12</f>
        <v/>
      </c>
      <c r="G12" s="20">
        <f>IFERROR(VLOOKUP(F12,'LS Parameters'!$A$6:$B$10,2,FALSE),0.05)</f>
        <v/>
      </c>
      <c r="H12" s="17">
        <f>'Loan Tape (S&amp;P)'!J12</f>
        <v/>
      </c>
      <c r="I12" s="20">
        <f>IFERROR(VLOOKUP(H12,'LS Parameters'!$A$14:$B$25,2,FALSE),0)</f>
        <v/>
      </c>
      <c r="J12" s="20">
        <f>E12+G12+I12</f>
        <v/>
      </c>
      <c r="K12" s="20">
        <f>'Control Panel'!$B$20</f>
        <v/>
      </c>
      <c r="L12" s="20">
        <f>J12+K12</f>
        <v/>
      </c>
      <c r="M12" s="20">
        <f>1-(D12*L12)</f>
        <v/>
      </c>
      <c r="N12" s="20">
        <f>VLOOKUP('Control Panel'!$B$6,'Jurisdiction Parameters'!$A:$N,14,FALSE)</f>
        <v/>
      </c>
      <c r="O12" s="20">
        <f>IF(M12&gt;0,N12,1-M12+N12)</f>
        <v/>
      </c>
      <c r="P12" s="21">
        <f>LET(
    val_type,'Loan Tape (S&amp;P)'!AU12,
    IF(val_type="Full",1.00,
        IF(val_type="Desktop",1.012,
            IF(val_type="Drive-by",1.10,
                1.00)))
)</f>
        <v/>
      </c>
      <c r="Q12" s="32">
        <f>MAX(O12*P12,0)</f>
        <v/>
      </c>
      <c r="R12" s="43">
        <f>B12*Q12</f>
        <v/>
      </c>
    </row>
    <row r="13">
      <c r="A13" s="17">
        <f>'Loan Tape (S&amp;P)'!A13</f>
        <v/>
      </c>
      <c r="B13" s="18">
        <f>'Loan Tape (S&amp;P)'!B13</f>
        <v/>
      </c>
      <c r="C13" s="18">
        <f>'Loan Tape (S&amp;P)'!D13</f>
        <v/>
      </c>
      <c r="D13" s="20">
        <f>'FF Calculations'!E13</f>
        <v/>
      </c>
      <c r="E13" s="20">
        <f>'Control Panel'!$B$19</f>
        <v/>
      </c>
      <c r="F13" s="17">
        <f>'Loan Tape (S&amp;P)'!I13</f>
        <v/>
      </c>
      <c r="G13" s="20">
        <f>IFERROR(VLOOKUP(F13,'LS Parameters'!$A$6:$B$10,2,FALSE),0.05)</f>
        <v/>
      </c>
      <c r="H13" s="17">
        <f>'Loan Tape (S&amp;P)'!J13</f>
        <v/>
      </c>
      <c r="I13" s="20">
        <f>IFERROR(VLOOKUP(H13,'LS Parameters'!$A$14:$B$25,2,FALSE),0)</f>
        <v/>
      </c>
      <c r="J13" s="20">
        <f>E13+G13+I13</f>
        <v/>
      </c>
      <c r="K13" s="20">
        <f>'Control Panel'!$B$20</f>
        <v/>
      </c>
      <c r="L13" s="20">
        <f>J13+K13</f>
        <v/>
      </c>
      <c r="M13" s="20">
        <f>1-(D13*L13)</f>
        <v/>
      </c>
      <c r="N13" s="20">
        <f>VLOOKUP('Control Panel'!$B$6,'Jurisdiction Parameters'!$A:$N,14,FALSE)</f>
        <v/>
      </c>
      <c r="O13" s="20">
        <f>IF(M13&gt;0,N13,1-M13+N13)</f>
        <v/>
      </c>
      <c r="P13" s="21">
        <f>LET(
    val_type,'Loan Tape (S&amp;P)'!AU13,
    IF(val_type="Full",1.00,
        IF(val_type="Desktop",1.013,
            IF(val_type="Drive-by",1.10,
                1.00)))
)</f>
        <v/>
      </c>
      <c r="Q13" s="32">
        <f>MAX(O13*P13,0)</f>
        <v/>
      </c>
      <c r="R13" s="43">
        <f>B13*Q13</f>
        <v/>
      </c>
    </row>
    <row r="14">
      <c r="A14" s="17">
        <f>'Loan Tape (S&amp;P)'!A14</f>
        <v/>
      </c>
      <c r="B14" s="18">
        <f>'Loan Tape (S&amp;P)'!B14</f>
        <v/>
      </c>
      <c r="C14" s="18">
        <f>'Loan Tape (S&amp;P)'!D14</f>
        <v/>
      </c>
      <c r="D14" s="20">
        <f>'FF Calculations'!E14</f>
        <v/>
      </c>
      <c r="E14" s="20">
        <f>'Control Panel'!$B$19</f>
        <v/>
      </c>
      <c r="F14" s="17">
        <f>'Loan Tape (S&amp;P)'!I14</f>
        <v/>
      </c>
      <c r="G14" s="20">
        <f>IFERROR(VLOOKUP(F14,'LS Parameters'!$A$6:$B$10,2,FALSE),0.05)</f>
        <v/>
      </c>
      <c r="H14" s="17">
        <f>'Loan Tape (S&amp;P)'!J14</f>
        <v/>
      </c>
      <c r="I14" s="20">
        <f>IFERROR(VLOOKUP(H14,'LS Parameters'!$A$14:$B$25,2,FALSE),0)</f>
        <v/>
      </c>
      <c r="J14" s="20">
        <f>E14+G14+I14</f>
        <v/>
      </c>
      <c r="K14" s="20">
        <f>'Control Panel'!$B$20</f>
        <v/>
      </c>
      <c r="L14" s="20">
        <f>J14+K14</f>
        <v/>
      </c>
      <c r="M14" s="20">
        <f>1-(D14*L14)</f>
        <v/>
      </c>
      <c r="N14" s="20">
        <f>VLOOKUP('Control Panel'!$B$6,'Jurisdiction Parameters'!$A:$N,14,FALSE)</f>
        <v/>
      </c>
      <c r="O14" s="20">
        <f>IF(M14&gt;0,N14,1-M14+N14)</f>
        <v/>
      </c>
      <c r="P14" s="21">
        <f>LET(
    val_type,'Loan Tape (S&amp;P)'!AU14,
    IF(val_type="Full",1.00,
        IF(val_type="Desktop",1.014,
            IF(val_type="Drive-by",1.10,
                1.00)))
)</f>
        <v/>
      </c>
      <c r="Q14" s="32">
        <f>MAX(O14*P14,0)</f>
        <v/>
      </c>
      <c r="R14" s="43">
        <f>B14*Q14</f>
        <v/>
      </c>
    </row>
    <row r="15">
      <c r="A15" s="17">
        <f>'Loan Tape (S&amp;P)'!A15</f>
        <v/>
      </c>
      <c r="B15" s="18">
        <f>'Loan Tape (S&amp;P)'!B15</f>
        <v/>
      </c>
      <c r="C15" s="18">
        <f>'Loan Tape (S&amp;P)'!D15</f>
        <v/>
      </c>
      <c r="D15" s="20">
        <f>'FF Calculations'!E15</f>
        <v/>
      </c>
      <c r="E15" s="20">
        <f>'Control Panel'!$B$19</f>
        <v/>
      </c>
      <c r="F15" s="17">
        <f>'Loan Tape (S&amp;P)'!I15</f>
        <v/>
      </c>
      <c r="G15" s="20">
        <f>IFERROR(VLOOKUP(F15,'LS Parameters'!$A$6:$B$10,2,FALSE),0.05)</f>
        <v/>
      </c>
      <c r="H15" s="17">
        <f>'Loan Tape (S&amp;P)'!J15</f>
        <v/>
      </c>
      <c r="I15" s="20">
        <f>IFERROR(VLOOKUP(H15,'LS Parameters'!$A$14:$B$25,2,FALSE),0)</f>
        <v/>
      </c>
      <c r="J15" s="20">
        <f>E15+G15+I15</f>
        <v/>
      </c>
      <c r="K15" s="20">
        <f>'Control Panel'!$B$20</f>
        <v/>
      </c>
      <c r="L15" s="20">
        <f>J15+K15</f>
        <v/>
      </c>
      <c r="M15" s="20">
        <f>1-(D15*L15)</f>
        <v/>
      </c>
      <c r="N15" s="20">
        <f>VLOOKUP('Control Panel'!$B$6,'Jurisdiction Parameters'!$A:$N,14,FALSE)</f>
        <v/>
      </c>
      <c r="O15" s="20">
        <f>IF(M15&gt;0,N15,1-M15+N15)</f>
        <v/>
      </c>
      <c r="P15" s="21">
        <f>LET(
    val_type,'Loan Tape (S&amp;P)'!AU15,
    IF(val_type="Full",1.00,
        IF(val_type="Desktop",1.015,
            IF(val_type="Drive-by",1.10,
                1.00)))
)</f>
        <v/>
      </c>
      <c r="Q15" s="32">
        <f>MAX(O15*P15,0)</f>
        <v/>
      </c>
      <c r="R15" s="43">
        <f>B15*Q15</f>
        <v/>
      </c>
    </row>
    <row r="16">
      <c r="A16" s="17">
        <f>'Loan Tape (S&amp;P)'!A16</f>
        <v/>
      </c>
      <c r="B16" s="18">
        <f>'Loan Tape (S&amp;P)'!B16</f>
        <v/>
      </c>
      <c r="C16" s="18">
        <f>'Loan Tape (S&amp;P)'!D16</f>
        <v/>
      </c>
      <c r="D16" s="20">
        <f>'FF Calculations'!E16</f>
        <v/>
      </c>
      <c r="E16" s="20">
        <f>'Control Panel'!$B$19</f>
        <v/>
      </c>
      <c r="F16" s="17">
        <f>'Loan Tape (S&amp;P)'!I16</f>
        <v/>
      </c>
      <c r="G16" s="20">
        <f>IFERROR(VLOOKUP(F16,'LS Parameters'!$A$6:$B$10,2,FALSE),0.05)</f>
        <v/>
      </c>
      <c r="H16" s="17">
        <f>'Loan Tape (S&amp;P)'!J16</f>
        <v/>
      </c>
      <c r="I16" s="20">
        <f>IFERROR(VLOOKUP(H16,'LS Parameters'!$A$14:$B$25,2,FALSE),0)</f>
        <v/>
      </c>
      <c r="J16" s="20">
        <f>E16+G16+I16</f>
        <v/>
      </c>
      <c r="K16" s="20">
        <f>'Control Panel'!$B$20</f>
        <v/>
      </c>
      <c r="L16" s="20">
        <f>J16+K16</f>
        <v/>
      </c>
      <c r="M16" s="20">
        <f>1-(D16*L16)</f>
        <v/>
      </c>
      <c r="N16" s="20">
        <f>VLOOKUP('Control Panel'!$B$6,'Jurisdiction Parameters'!$A:$N,14,FALSE)</f>
        <v/>
      </c>
      <c r="O16" s="20">
        <f>IF(M16&gt;0,N16,1-M16+N16)</f>
        <v/>
      </c>
      <c r="P16" s="21">
        <f>LET(
    val_type,'Loan Tape (S&amp;P)'!AU16,
    IF(val_type="Full",1.00,
        IF(val_type="Desktop",1.016,
            IF(val_type="Drive-by",1.10,
                1.00)))
)</f>
        <v/>
      </c>
      <c r="Q16" s="32">
        <f>MAX(O16*P16,0)</f>
        <v/>
      </c>
      <c r="R16" s="43">
        <f>B16*Q16</f>
        <v/>
      </c>
    </row>
    <row r="17">
      <c r="A17" s="17">
        <f>'Loan Tape (S&amp;P)'!A17</f>
        <v/>
      </c>
      <c r="B17" s="18">
        <f>'Loan Tape (S&amp;P)'!B17</f>
        <v/>
      </c>
      <c r="C17" s="18">
        <f>'Loan Tape (S&amp;P)'!D17</f>
        <v/>
      </c>
      <c r="D17" s="20">
        <f>'FF Calculations'!E17</f>
        <v/>
      </c>
      <c r="E17" s="20">
        <f>'Control Panel'!$B$19</f>
        <v/>
      </c>
      <c r="F17" s="17">
        <f>'Loan Tape (S&amp;P)'!I17</f>
        <v/>
      </c>
      <c r="G17" s="20">
        <f>IFERROR(VLOOKUP(F17,'LS Parameters'!$A$6:$B$10,2,FALSE),0.05)</f>
        <v/>
      </c>
      <c r="H17" s="17">
        <f>'Loan Tape (S&amp;P)'!J17</f>
        <v/>
      </c>
      <c r="I17" s="20">
        <f>IFERROR(VLOOKUP(H17,'LS Parameters'!$A$14:$B$25,2,FALSE),0)</f>
        <v/>
      </c>
      <c r="J17" s="20">
        <f>E17+G17+I17</f>
        <v/>
      </c>
      <c r="K17" s="20">
        <f>'Control Panel'!$B$20</f>
        <v/>
      </c>
      <c r="L17" s="20">
        <f>J17+K17</f>
        <v/>
      </c>
      <c r="M17" s="20">
        <f>1-(D17*L17)</f>
        <v/>
      </c>
      <c r="N17" s="20">
        <f>VLOOKUP('Control Panel'!$B$6,'Jurisdiction Parameters'!$A:$N,14,FALSE)</f>
        <v/>
      </c>
      <c r="O17" s="20">
        <f>IF(M17&gt;0,N17,1-M17+N17)</f>
        <v/>
      </c>
      <c r="P17" s="21">
        <f>LET(
    val_type,'Loan Tape (S&amp;P)'!AU17,
    IF(val_type="Full",1.00,
        IF(val_type="Desktop",1.017,
            IF(val_type="Drive-by",1.10,
                1.00)))
)</f>
        <v/>
      </c>
      <c r="Q17" s="32">
        <f>MAX(O17*P17,0)</f>
        <v/>
      </c>
      <c r="R17" s="43">
        <f>B17*Q17</f>
        <v/>
      </c>
    </row>
    <row r="18">
      <c r="A18" s="17">
        <f>'Loan Tape (S&amp;P)'!A18</f>
        <v/>
      </c>
      <c r="B18" s="18">
        <f>'Loan Tape (S&amp;P)'!B18</f>
        <v/>
      </c>
      <c r="C18" s="18">
        <f>'Loan Tape (S&amp;P)'!D18</f>
        <v/>
      </c>
      <c r="D18" s="20">
        <f>'FF Calculations'!E18</f>
        <v/>
      </c>
      <c r="E18" s="20">
        <f>'Control Panel'!$B$19</f>
        <v/>
      </c>
      <c r="F18" s="17">
        <f>'Loan Tape (S&amp;P)'!I18</f>
        <v/>
      </c>
      <c r="G18" s="20">
        <f>IFERROR(VLOOKUP(F18,'LS Parameters'!$A$6:$B$10,2,FALSE),0.05)</f>
        <v/>
      </c>
      <c r="H18" s="17">
        <f>'Loan Tape (S&amp;P)'!J18</f>
        <v/>
      </c>
      <c r="I18" s="20">
        <f>IFERROR(VLOOKUP(H18,'LS Parameters'!$A$14:$B$25,2,FALSE),0)</f>
        <v/>
      </c>
      <c r="J18" s="20">
        <f>E18+G18+I18</f>
        <v/>
      </c>
      <c r="K18" s="20">
        <f>'Control Panel'!$B$20</f>
        <v/>
      </c>
      <c r="L18" s="20">
        <f>J18+K18</f>
        <v/>
      </c>
      <c r="M18" s="20">
        <f>1-(D18*L18)</f>
        <v/>
      </c>
      <c r="N18" s="20">
        <f>VLOOKUP('Control Panel'!$B$6,'Jurisdiction Parameters'!$A:$N,14,FALSE)</f>
        <v/>
      </c>
      <c r="O18" s="20">
        <f>IF(M18&gt;0,N18,1-M18+N18)</f>
        <v/>
      </c>
      <c r="P18" s="21">
        <f>LET(
    val_type,'Loan Tape (S&amp;P)'!AU18,
    IF(val_type="Full",1.00,
        IF(val_type="Desktop",1.018,
            IF(val_type="Drive-by",1.10,
                1.00)))
)</f>
        <v/>
      </c>
      <c r="Q18" s="32">
        <f>MAX(O18*P18,0)</f>
        <v/>
      </c>
      <c r="R18" s="43">
        <f>B18*Q18</f>
        <v/>
      </c>
    </row>
    <row r="19">
      <c r="A19" s="17">
        <f>'Loan Tape (S&amp;P)'!A19</f>
        <v/>
      </c>
      <c r="B19" s="18">
        <f>'Loan Tape (S&amp;P)'!B19</f>
        <v/>
      </c>
      <c r="C19" s="18">
        <f>'Loan Tape (S&amp;P)'!D19</f>
        <v/>
      </c>
      <c r="D19" s="20">
        <f>'FF Calculations'!E19</f>
        <v/>
      </c>
      <c r="E19" s="20">
        <f>'Control Panel'!$B$19</f>
        <v/>
      </c>
      <c r="F19" s="17">
        <f>'Loan Tape (S&amp;P)'!I19</f>
        <v/>
      </c>
      <c r="G19" s="20">
        <f>IFERROR(VLOOKUP(F19,'LS Parameters'!$A$6:$B$10,2,FALSE),0.05)</f>
        <v/>
      </c>
      <c r="H19" s="17">
        <f>'Loan Tape (S&amp;P)'!J19</f>
        <v/>
      </c>
      <c r="I19" s="20">
        <f>IFERROR(VLOOKUP(H19,'LS Parameters'!$A$14:$B$25,2,FALSE),0)</f>
        <v/>
      </c>
      <c r="J19" s="20">
        <f>E19+G19+I19</f>
        <v/>
      </c>
      <c r="K19" s="20">
        <f>'Control Panel'!$B$20</f>
        <v/>
      </c>
      <c r="L19" s="20">
        <f>J19+K19</f>
        <v/>
      </c>
      <c r="M19" s="20">
        <f>1-(D19*L19)</f>
        <v/>
      </c>
      <c r="N19" s="20">
        <f>VLOOKUP('Control Panel'!$B$6,'Jurisdiction Parameters'!$A:$N,14,FALSE)</f>
        <v/>
      </c>
      <c r="O19" s="20">
        <f>IF(M19&gt;0,N19,1-M19+N19)</f>
        <v/>
      </c>
      <c r="P19" s="21">
        <f>LET(
    val_type,'Loan Tape (S&amp;P)'!AU19,
    IF(val_type="Full",1.00,
        IF(val_type="Desktop",1.019,
            IF(val_type="Drive-by",1.10,
                1.00)))
)</f>
        <v/>
      </c>
      <c r="Q19" s="32">
        <f>MAX(O19*P19,0)</f>
        <v/>
      </c>
      <c r="R19" s="43">
        <f>B19*Q19</f>
        <v/>
      </c>
    </row>
    <row r="20">
      <c r="A20" s="17">
        <f>'Loan Tape (S&amp;P)'!A20</f>
        <v/>
      </c>
      <c r="B20" s="18">
        <f>'Loan Tape (S&amp;P)'!B20</f>
        <v/>
      </c>
      <c r="C20" s="18">
        <f>'Loan Tape (S&amp;P)'!D20</f>
        <v/>
      </c>
      <c r="D20" s="20">
        <f>'FF Calculations'!E20</f>
        <v/>
      </c>
      <c r="E20" s="20">
        <f>'Control Panel'!$B$19</f>
        <v/>
      </c>
      <c r="F20" s="17">
        <f>'Loan Tape (S&amp;P)'!I20</f>
        <v/>
      </c>
      <c r="G20" s="20">
        <f>IFERROR(VLOOKUP(F20,'LS Parameters'!$A$6:$B$10,2,FALSE),0.05)</f>
        <v/>
      </c>
      <c r="H20" s="17">
        <f>'Loan Tape (S&amp;P)'!J20</f>
        <v/>
      </c>
      <c r="I20" s="20">
        <f>IFERROR(VLOOKUP(H20,'LS Parameters'!$A$14:$B$25,2,FALSE),0)</f>
        <v/>
      </c>
      <c r="J20" s="20">
        <f>E20+G20+I20</f>
        <v/>
      </c>
      <c r="K20" s="20">
        <f>'Control Panel'!$B$20</f>
        <v/>
      </c>
      <c r="L20" s="20">
        <f>J20+K20</f>
        <v/>
      </c>
      <c r="M20" s="20">
        <f>1-(D20*L20)</f>
        <v/>
      </c>
      <c r="N20" s="20">
        <f>VLOOKUP('Control Panel'!$B$6,'Jurisdiction Parameters'!$A:$N,14,FALSE)</f>
        <v/>
      </c>
      <c r="O20" s="20">
        <f>IF(M20&gt;0,N20,1-M20+N20)</f>
        <v/>
      </c>
      <c r="P20" s="21">
        <f>LET(
    val_type,'Loan Tape (S&amp;P)'!AU20,
    IF(val_type="Full",1.00,
        IF(val_type="Desktop",1.020,
            IF(val_type="Drive-by",1.10,
                1.00)))
)</f>
        <v/>
      </c>
      <c r="Q20" s="32">
        <f>MAX(O20*P20,0)</f>
        <v/>
      </c>
      <c r="R20" s="43">
        <f>B20*Q20</f>
        <v/>
      </c>
    </row>
    <row r="21">
      <c r="A21" s="17">
        <f>'Loan Tape (S&amp;P)'!A21</f>
        <v/>
      </c>
      <c r="B21" s="18">
        <f>'Loan Tape (S&amp;P)'!B21</f>
        <v/>
      </c>
      <c r="C21" s="18">
        <f>'Loan Tape (S&amp;P)'!D21</f>
        <v/>
      </c>
      <c r="D21" s="20">
        <f>'FF Calculations'!E21</f>
        <v/>
      </c>
      <c r="E21" s="20">
        <f>'Control Panel'!$B$19</f>
        <v/>
      </c>
      <c r="F21" s="17">
        <f>'Loan Tape (S&amp;P)'!I21</f>
        <v/>
      </c>
      <c r="G21" s="20">
        <f>IFERROR(VLOOKUP(F21,'LS Parameters'!$A$6:$B$10,2,FALSE),0.05)</f>
        <v/>
      </c>
      <c r="H21" s="17">
        <f>'Loan Tape (S&amp;P)'!J21</f>
        <v/>
      </c>
      <c r="I21" s="20">
        <f>IFERROR(VLOOKUP(H21,'LS Parameters'!$A$14:$B$25,2,FALSE),0)</f>
        <v/>
      </c>
      <c r="J21" s="20">
        <f>E21+G21+I21</f>
        <v/>
      </c>
      <c r="K21" s="20">
        <f>'Control Panel'!$B$20</f>
        <v/>
      </c>
      <c r="L21" s="20">
        <f>J21+K21</f>
        <v/>
      </c>
      <c r="M21" s="20">
        <f>1-(D21*L21)</f>
        <v/>
      </c>
      <c r="N21" s="20">
        <f>VLOOKUP('Control Panel'!$B$6,'Jurisdiction Parameters'!$A:$N,14,FALSE)</f>
        <v/>
      </c>
      <c r="O21" s="20">
        <f>IF(M21&gt;0,N21,1-M21+N21)</f>
        <v/>
      </c>
      <c r="P21" s="21">
        <f>LET(
    val_type,'Loan Tape (S&amp;P)'!AU21,
    IF(val_type="Full",1.00,
        IF(val_type="Desktop",1.021,
            IF(val_type="Drive-by",1.10,
                1.00)))
)</f>
        <v/>
      </c>
      <c r="Q21" s="32">
        <f>MAX(O21*P21,0)</f>
        <v/>
      </c>
      <c r="R21" s="43">
        <f>B21*Q21</f>
        <v/>
      </c>
    </row>
    <row r="22">
      <c r="A22" s="17">
        <f>'Loan Tape (S&amp;P)'!A22</f>
        <v/>
      </c>
      <c r="B22" s="18">
        <f>'Loan Tape (S&amp;P)'!B22</f>
        <v/>
      </c>
      <c r="C22" s="18">
        <f>'Loan Tape (S&amp;P)'!D22</f>
        <v/>
      </c>
      <c r="D22" s="20">
        <f>'FF Calculations'!E22</f>
        <v/>
      </c>
      <c r="E22" s="20">
        <f>'Control Panel'!$B$19</f>
        <v/>
      </c>
      <c r="F22" s="17">
        <f>'Loan Tape (S&amp;P)'!I22</f>
        <v/>
      </c>
      <c r="G22" s="20">
        <f>IFERROR(VLOOKUP(F22,'LS Parameters'!$A$6:$B$10,2,FALSE),0.05)</f>
        <v/>
      </c>
      <c r="H22" s="17">
        <f>'Loan Tape (S&amp;P)'!J22</f>
        <v/>
      </c>
      <c r="I22" s="20">
        <f>IFERROR(VLOOKUP(H22,'LS Parameters'!$A$14:$B$25,2,FALSE),0)</f>
        <v/>
      </c>
      <c r="J22" s="20">
        <f>E22+G22+I22</f>
        <v/>
      </c>
      <c r="K22" s="20">
        <f>'Control Panel'!$B$20</f>
        <v/>
      </c>
      <c r="L22" s="20">
        <f>J22+K22</f>
        <v/>
      </c>
      <c r="M22" s="20">
        <f>1-(D22*L22)</f>
        <v/>
      </c>
      <c r="N22" s="20">
        <f>VLOOKUP('Control Panel'!$B$6,'Jurisdiction Parameters'!$A:$N,14,FALSE)</f>
        <v/>
      </c>
      <c r="O22" s="20">
        <f>IF(M22&gt;0,N22,1-M22+N22)</f>
        <v/>
      </c>
      <c r="P22" s="21">
        <f>LET(
    val_type,'Loan Tape (S&amp;P)'!AU22,
    IF(val_type="Full",1.00,
        IF(val_type="Desktop",1.022,
            IF(val_type="Drive-by",1.10,
                1.00)))
)</f>
        <v/>
      </c>
      <c r="Q22" s="32">
        <f>MAX(O22*P22,0)</f>
        <v/>
      </c>
      <c r="R22" s="43">
        <f>B22*Q22</f>
        <v/>
      </c>
    </row>
    <row r="23">
      <c r="A23" s="17">
        <f>'Loan Tape (S&amp;P)'!A23</f>
        <v/>
      </c>
      <c r="B23" s="18">
        <f>'Loan Tape (S&amp;P)'!B23</f>
        <v/>
      </c>
      <c r="C23" s="18">
        <f>'Loan Tape (S&amp;P)'!D23</f>
        <v/>
      </c>
      <c r="D23" s="20">
        <f>'FF Calculations'!E23</f>
        <v/>
      </c>
      <c r="E23" s="20">
        <f>'Control Panel'!$B$19</f>
        <v/>
      </c>
      <c r="F23" s="17">
        <f>'Loan Tape (S&amp;P)'!I23</f>
        <v/>
      </c>
      <c r="G23" s="20">
        <f>IFERROR(VLOOKUP(F23,'LS Parameters'!$A$6:$B$10,2,FALSE),0.05)</f>
        <v/>
      </c>
      <c r="H23" s="17">
        <f>'Loan Tape (S&amp;P)'!J23</f>
        <v/>
      </c>
      <c r="I23" s="20">
        <f>IFERROR(VLOOKUP(H23,'LS Parameters'!$A$14:$B$25,2,FALSE),0)</f>
        <v/>
      </c>
      <c r="J23" s="20">
        <f>E23+G23+I23</f>
        <v/>
      </c>
      <c r="K23" s="20">
        <f>'Control Panel'!$B$20</f>
        <v/>
      </c>
      <c r="L23" s="20">
        <f>J23+K23</f>
        <v/>
      </c>
      <c r="M23" s="20">
        <f>1-(D23*L23)</f>
        <v/>
      </c>
      <c r="N23" s="20">
        <f>VLOOKUP('Control Panel'!$B$6,'Jurisdiction Parameters'!$A:$N,14,FALSE)</f>
        <v/>
      </c>
      <c r="O23" s="20">
        <f>IF(M23&gt;0,N23,1-M23+N23)</f>
        <v/>
      </c>
      <c r="P23" s="21">
        <f>LET(
    val_type,'Loan Tape (S&amp;P)'!AU23,
    IF(val_type="Full",1.00,
        IF(val_type="Desktop",1.023,
            IF(val_type="Drive-by",1.10,
                1.00)))
)</f>
        <v/>
      </c>
      <c r="Q23" s="32">
        <f>MAX(O23*P23,0)</f>
        <v/>
      </c>
      <c r="R23" s="43">
        <f>B23*Q23</f>
        <v/>
      </c>
    </row>
    <row r="24">
      <c r="A24" s="17">
        <f>'Loan Tape (S&amp;P)'!A24</f>
        <v/>
      </c>
      <c r="B24" s="18">
        <f>'Loan Tape (S&amp;P)'!B24</f>
        <v/>
      </c>
      <c r="C24" s="18">
        <f>'Loan Tape (S&amp;P)'!D24</f>
        <v/>
      </c>
      <c r="D24" s="20">
        <f>'FF Calculations'!E24</f>
        <v/>
      </c>
      <c r="E24" s="20">
        <f>'Control Panel'!$B$19</f>
        <v/>
      </c>
      <c r="F24" s="17">
        <f>'Loan Tape (S&amp;P)'!I24</f>
        <v/>
      </c>
      <c r="G24" s="20">
        <f>IFERROR(VLOOKUP(F24,'LS Parameters'!$A$6:$B$10,2,FALSE),0.05)</f>
        <v/>
      </c>
      <c r="H24" s="17">
        <f>'Loan Tape (S&amp;P)'!J24</f>
        <v/>
      </c>
      <c r="I24" s="20">
        <f>IFERROR(VLOOKUP(H24,'LS Parameters'!$A$14:$B$25,2,FALSE),0)</f>
        <v/>
      </c>
      <c r="J24" s="20">
        <f>E24+G24+I24</f>
        <v/>
      </c>
      <c r="K24" s="20">
        <f>'Control Panel'!$B$20</f>
        <v/>
      </c>
      <c r="L24" s="20">
        <f>J24+K24</f>
        <v/>
      </c>
      <c r="M24" s="20">
        <f>1-(D24*L24)</f>
        <v/>
      </c>
      <c r="N24" s="20">
        <f>VLOOKUP('Control Panel'!$B$6,'Jurisdiction Parameters'!$A:$N,14,FALSE)</f>
        <v/>
      </c>
      <c r="O24" s="20">
        <f>IF(M24&gt;0,N24,1-M24+N24)</f>
        <v/>
      </c>
      <c r="P24" s="21">
        <f>LET(
    val_type,'Loan Tape (S&amp;P)'!AU24,
    IF(val_type="Full",1.00,
        IF(val_type="Desktop",1.024,
            IF(val_type="Drive-by",1.10,
                1.00)))
)</f>
        <v/>
      </c>
      <c r="Q24" s="32">
        <f>MAX(O24*P24,0)</f>
        <v/>
      </c>
      <c r="R24" s="43">
        <f>B24*Q24</f>
        <v/>
      </c>
    </row>
    <row r="25">
      <c r="A25" s="17">
        <f>'Loan Tape (S&amp;P)'!A25</f>
        <v/>
      </c>
      <c r="B25" s="18">
        <f>'Loan Tape (S&amp;P)'!B25</f>
        <v/>
      </c>
      <c r="C25" s="18">
        <f>'Loan Tape (S&amp;P)'!D25</f>
        <v/>
      </c>
      <c r="D25" s="20">
        <f>'FF Calculations'!E25</f>
        <v/>
      </c>
      <c r="E25" s="20">
        <f>'Control Panel'!$B$19</f>
        <v/>
      </c>
      <c r="F25" s="17">
        <f>'Loan Tape (S&amp;P)'!I25</f>
        <v/>
      </c>
      <c r="G25" s="20">
        <f>IFERROR(VLOOKUP(F25,'LS Parameters'!$A$6:$B$10,2,FALSE),0.05)</f>
        <v/>
      </c>
      <c r="H25" s="17">
        <f>'Loan Tape (S&amp;P)'!J25</f>
        <v/>
      </c>
      <c r="I25" s="20">
        <f>IFERROR(VLOOKUP(H25,'LS Parameters'!$A$14:$B$25,2,FALSE),0)</f>
        <v/>
      </c>
      <c r="J25" s="20">
        <f>E25+G25+I25</f>
        <v/>
      </c>
      <c r="K25" s="20">
        <f>'Control Panel'!$B$20</f>
        <v/>
      </c>
      <c r="L25" s="20">
        <f>J25+K25</f>
        <v/>
      </c>
      <c r="M25" s="20">
        <f>1-(D25*L25)</f>
        <v/>
      </c>
      <c r="N25" s="20">
        <f>VLOOKUP('Control Panel'!$B$6,'Jurisdiction Parameters'!$A:$N,14,FALSE)</f>
        <v/>
      </c>
      <c r="O25" s="20">
        <f>IF(M25&gt;0,N25,1-M25+N25)</f>
        <v/>
      </c>
      <c r="P25" s="21">
        <f>LET(
    val_type,'Loan Tape (S&amp;P)'!AU25,
    IF(val_type="Full",1.00,
        IF(val_type="Desktop",1.025,
            IF(val_type="Drive-by",1.10,
                1.00)))
)</f>
        <v/>
      </c>
      <c r="Q25" s="32">
        <f>MAX(O25*P25,0)</f>
        <v/>
      </c>
      <c r="R25" s="43">
        <f>B25*Q25</f>
        <v/>
      </c>
    </row>
    <row r="26">
      <c r="A26" s="17">
        <f>'Loan Tape (S&amp;P)'!A26</f>
        <v/>
      </c>
      <c r="B26" s="18">
        <f>'Loan Tape (S&amp;P)'!B26</f>
        <v/>
      </c>
      <c r="C26" s="18">
        <f>'Loan Tape (S&amp;P)'!D26</f>
        <v/>
      </c>
      <c r="D26" s="20">
        <f>'FF Calculations'!E26</f>
        <v/>
      </c>
      <c r="E26" s="20">
        <f>'Control Panel'!$B$19</f>
        <v/>
      </c>
      <c r="F26" s="17">
        <f>'Loan Tape (S&amp;P)'!I26</f>
        <v/>
      </c>
      <c r="G26" s="20">
        <f>IFERROR(VLOOKUP(F26,'LS Parameters'!$A$6:$B$10,2,FALSE),0.05)</f>
        <v/>
      </c>
      <c r="H26" s="17">
        <f>'Loan Tape (S&amp;P)'!J26</f>
        <v/>
      </c>
      <c r="I26" s="20">
        <f>IFERROR(VLOOKUP(H26,'LS Parameters'!$A$14:$B$25,2,FALSE),0)</f>
        <v/>
      </c>
      <c r="J26" s="20">
        <f>E26+G26+I26</f>
        <v/>
      </c>
      <c r="K26" s="20">
        <f>'Control Panel'!$B$20</f>
        <v/>
      </c>
      <c r="L26" s="20">
        <f>J26+K26</f>
        <v/>
      </c>
      <c r="M26" s="20">
        <f>1-(D26*L26)</f>
        <v/>
      </c>
      <c r="N26" s="20">
        <f>VLOOKUP('Control Panel'!$B$6,'Jurisdiction Parameters'!$A:$N,14,FALSE)</f>
        <v/>
      </c>
      <c r="O26" s="20">
        <f>IF(M26&gt;0,N26,1-M26+N26)</f>
        <v/>
      </c>
      <c r="P26" s="21">
        <f>LET(
    val_type,'Loan Tape (S&amp;P)'!AU26,
    IF(val_type="Full",1.00,
        IF(val_type="Desktop",1.026,
            IF(val_type="Drive-by",1.10,
                1.00)))
)</f>
        <v/>
      </c>
      <c r="Q26" s="32">
        <f>MAX(O26*P26,0)</f>
        <v/>
      </c>
      <c r="R26" s="43">
        <f>B26*Q26</f>
        <v/>
      </c>
    </row>
    <row r="27">
      <c r="A27" s="17">
        <f>'Loan Tape (S&amp;P)'!A27</f>
        <v/>
      </c>
      <c r="B27" s="18">
        <f>'Loan Tape (S&amp;P)'!B27</f>
        <v/>
      </c>
      <c r="C27" s="18">
        <f>'Loan Tape (S&amp;P)'!D27</f>
        <v/>
      </c>
      <c r="D27" s="20">
        <f>'FF Calculations'!E27</f>
        <v/>
      </c>
      <c r="E27" s="20">
        <f>'Control Panel'!$B$19</f>
        <v/>
      </c>
      <c r="F27" s="17">
        <f>'Loan Tape (S&amp;P)'!I27</f>
        <v/>
      </c>
      <c r="G27" s="20">
        <f>IFERROR(VLOOKUP(F27,'LS Parameters'!$A$6:$B$10,2,FALSE),0.05)</f>
        <v/>
      </c>
      <c r="H27" s="17">
        <f>'Loan Tape (S&amp;P)'!J27</f>
        <v/>
      </c>
      <c r="I27" s="20">
        <f>IFERROR(VLOOKUP(H27,'LS Parameters'!$A$14:$B$25,2,FALSE),0)</f>
        <v/>
      </c>
      <c r="J27" s="20">
        <f>E27+G27+I27</f>
        <v/>
      </c>
      <c r="K27" s="20">
        <f>'Control Panel'!$B$20</f>
        <v/>
      </c>
      <c r="L27" s="20">
        <f>J27+K27</f>
        <v/>
      </c>
      <c r="M27" s="20">
        <f>1-(D27*L27)</f>
        <v/>
      </c>
      <c r="N27" s="20">
        <f>VLOOKUP('Control Panel'!$B$6,'Jurisdiction Parameters'!$A:$N,14,FALSE)</f>
        <v/>
      </c>
      <c r="O27" s="20">
        <f>IF(M27&gt;0,N27,1-M27+N27)</f>
        <v/>
      </c>
      <c r="P27" s="21">
        <f>LET(
    val_type,'Loan Tape (S&amp;P)'!AU27,
    IF(val_type="Full",1.00,
        IF(val_type="Desktop",1.027,
            IF(val_type="Drive-by",1.10,
                1.00)))
)</f>
        <v/>
      </c>
      <c r="Q27" s="32">
        <f>MAX(O27*P27,0)</f>
        <v/>
      </c>
      <c r="R27" s="43">
        <f>B27*Q27</f>
        <v/>
      </c>
    </row>
    <row r="28">
      <c r="A28" s="17">
        <f>'Loan Tape (S&amp;P)'!A28</f>
        <v/>
      </c>
      <c r="B28" s="18">
        <f>'Loan Tape (S&amp;P)'!B28</f>
        <v/>
      </c>
      <c r="C28" s="18">
        <f>'Loan Tape (S&amp;P)'!D28</f>
        <v/>
      </c>
      <c r="D28" s="20">
        <f>'FF Calculations'!E28</f>
        <v/>
      </c>
      <c r="E28" s="20">
        <f>'Control Panel'!$B$19</f>
        <v/>
      </c>
      <c r="F28" s="17">
        <f>'Loan Tape (S&amp;P)'!I28</f>
        <v/>
      </c>
      <c r="G28" s="20">
        <f>IFERROR(VLOOKUP(F28,'LS Parameters'!$A$6:$B$10,2,FALSE),0.05)</f>
        <v/>
      </c>
      <c r="H28" s="17">
        <f>'Loan Tape (S&amp;P)'!J28</f>
        <v/>
      </c>
      <c r="I28" s="20">
        <f>IFERROR(VLOOKUP(H28,'LS Parameters'!$A$14:$B$25,2,FALSE),0)</f>
        <v/>
      </c>
      <c r="J28" s="20">
        <f>E28+G28+I28</f>
        <v/>
      </c>
      <c r="K28" s="20">
        <f>'Control Panel'!$B$20</f>
        <v/>
      </c>
      <c r="L28" s="20">
        <f>J28+K28</f>
        <v/>
      </c>
      <c r="M28" s="20">
        <f>1-(D28*L28)</f>
        <v/>
      </c>
      <c r="N28" s="20">
        <f>VLOOKUP('Control Panel'!$B$6,'Jurisdiction Parameters'!$A:$N,14,FALSE)</f>
        <v/>
      </c>
      <c r="O28" s="20">
        <f>IF(M28&gt;0,N28,1-M28+N28)</f>
        <v/>
      </c>
      <c r="P28" s="21">
        <f>LET(
    val_type,'Loan Tape (S&amp;P)'!AU28,
    IF(val_type="Full",1.00,
        IF(val_type="Desktop",1.028,
            IF(val_type="Drive-by",1.10,
                1.00)))
)</f>
        <v/>
      </c>
      <c r="Q28" s="32">
        <f>MAX(O28*P28,0)</f>
        <v/>
      </c>
      <c r="R28" s="43">
        <f>B28*Q28</f>
        <v/>
      </c>
    </row>
    <row r="29">
      <c r="A29" s="17">
        <f>'Loan Tape (S&amp;P)'!A29</f>
        <v/>
      </c>
      <c r="B29" s="18">
        <f>'Loan Tape (S&amp;P)'!B29</f>
        <v/>
      </c>
      <c r="C29" s="18">
        <f>'Loan Tape (S&amp;P)'!D29</f>
        <v/>
      </c>
      <c r="D29" s="20">
        <f>'FF Calculations'!E29</f>
        <v/>
      </c>
      <c r="E29" s="20">
        <f>'Control Panel'!$B$19</f>
        <v/>
      </c>
      <c r="F29" s="17">
        <f>'Loan Tape (S&amp;P)'!I29</f>
        <v/>
      </c>
      <c r="G29" s="20">
        <f>IFERROR(VLOOKUP(F29,'LS Parameters'!$A$6:$B$10,2,FALSE),0.05)</f>
        <v/>
      </c>
      <c r="H29" s="17">
        <f>'Loan Tape (S&amp;P)'!J29</f>
        <v/>
      </c>
      <c r="I29" s="20">
        <f>IFERROR(VLOOKUP(H29,'LS Parameters'!$A$14:$B$25,2,FALSE),0)</f>
        <v/>
      </c>
      <c r="J29" s="20">
        <f>E29+G29+I29</f>
        <v/>
      </c>
      <c r="K29" s="20">
        <f>'Control Panel'!$B$20</f>
        <v/>
      </c>
      <c r="L29" s="20">
        <f>J29+K29</f>
        <v/>
      </c>
      <c r="M29" s="20">
        <f>1-(D29*L29)</f>
        <v/>
      </c>
      <c r="N29" s="20">
        <f>VLOOKUP('Control Panel'!$B$6,'Jurisdiction Parameters'!$A:$N,14,FALSE)</f>
        <v/>
      </c>
      <c r="O29" s="20">
        <f>IF(M29&gt;0,N29,1-M29+N29)</f>
        <v/>
      </c>
      <c r="P29" s="21">
        <f>LET(
    val_type,'Loan Tape (S&amp;P)'!AU29,
    IF(val_type="Full",1.00,
        IF(val_type="Desktop",1.029,
            IF(val_type="Drive-by",1.10,
                1.00)))
)</f>
        <v/>
      </c>
      <c r="Q29" s="32">
        <f>MAX(O29*P29,0)</f>
        <v/>
      </c>
      <c r="R29" s="43">
        <f>B29*Q29</f>
        <v/>
      </c>
    </row>
    <row r="30">
      <c r="A30" s="17">
        <f>'Loan Tape (S&amp;P)'!A30</f>
        <v/>
      </c>
      <c r="B30" s="18">
        <f>'Loan Tape (S&amp;P)'!B30</f>
        <v/>
      </c>
      <c r="C30" s="18">
        <f>'Loan Tape (S&amp;P)'!D30</f>
        <v/>
      </c>
      <c r="D30" s="20">
        <f>'FF Calculations'!E30</f>
        <v/>
      </c>
      <c r="E30" s="20">
        <f>'Control Panel'!$B$19</f>
        <v/>
      </c>
      <c r="F30" s="17">
        <f>'Loan Tape (S&amp;P)'!I30</f>
        <v/>
      </c>
      <c r="G30" s="20">
        <f>IFERROR(VLOOKUP(F30,'LS Parameters'!$A$6:$B$10,2,FALSE),0.05)</f>
        <v/>
      </c>
      <c r="H30" s="17">
        <f>'Loan Tape (S&amp;P)'!J30</f>
        <v/>
      </c>
      <c r="I30" s="20">
        <f>IFERROR(VLOOKUP(H30,'LS Parameters'!$A$14:$B$25,2,FALSE),0)</f>
        <v/>
      </c>
      <c r="J30" s="20">
        <f>E30+G30+I30</f>
        <v/>
      </c>
      <c r="K30" s="20">
        <f>'Control Panel'!$B$20</f>
        <v/>
      </c>
      <c r="L30" s="20">
        <f>J30+K30</f>
        <v/>
      </c>
      <c r="M30" s="20">
        <f>1-(D30*L30)</f>
        <v/>
      </c>
      <c r="N30" s="20">
        <f>VLOOKUP('Control Panel'!$B$6,'Jurisdiction Parameters'!$A:$N,14,FALSE)</f>
        <v/>
      </c>
      <c r="O30" s="20">
        <f>IF(M30&gt;0,N30,1-M30+N30)</f>
        <v/>
      </c>
      <c r="P30" s="21">
        <f>LET(
    val_type,'Loan Tape (S&amp;P)'!AU30,
    IF(val_type="Full",1.00,
        IF(val_type="Desktop",1.030,
            IF(val_type="Drive-by",1.10,
                1.00)))
)</f>
        <v/>
      </c>
      <c r="Q30" s="32">
        <f>MAX(O30*P30,0)</f>
        <v/>
      </c>
      <c r="R30" s="43">
        <f>B30*Q30</f>
        <v/>
      </c>
    </row>
    <row r="31">
      <c r="A31" s="17">
        <f>'Loan Tape (S&amp;P)'!A31</f>
        <v/>
      </c>
      <c r="B31" s="18">
        <f>'Loan Tape (S&amp;P)'!B31</f>
        <v/>
      </c>
      <c r="C31" s="18">
        <f>'Loan Tape (S&amp;P)'!D31</f>
        <v/>
      </c>
      <c r="D31" s="20">
        <f>'FF Calculations'!E31</f>
        <v/>
      </c>
      <c r="E31" s="20">
        <f>'Control Panel'!$B$19</f>
        <v/>
      </c>
      <c r="F31" s="17">
        <f>'Loan Tape (S&amp;P)'!I31</f>
        <v/>
      </c>
      <c r="G31" s="20">
        <f>IFERROR(VLOOKUP(F31,'LS Parameters'!$A$6:$B$10,2,FALSE),0.05)</f>
        <v/>
      </c>
      <c r="H31" s="17">
        <f>'Loan Tape (S&amp;P)'!J31</f>
        <v/>
      </c>
      <c r="I31" s="20">
        <f>IFERROR(VLOOKUP(H31,'LS Parameters'!$A$14:$B$25,2,FALSE),0)</f>
        <v/>
      </c>
      <c r="J31" s="20">
        <f>E31+G31+I31</f>
        <v/>
      </c>
      <c r="K31" s="20">
        <f>'Control Panel'!$B$20</f>
        <v/>
      </c>
      <c r="L31" s="20">
        <f>J31+K31</f>
        <v/>
      </c>
      <c r="M31" s="20">
        <f>1-(D31*L31)</f>
        <v/>
      </c>
      <c r="N31" s="20">
        <f>VLOOKUP('Control Panel'!$B$6,'Jurisdiction Parameters'!$A:$N,14,FALSE)</f>
        <v/>
      </c>
      <c r="O31" s="20">
        <f>IF(M31&gt;0,N31,1-M31+N31)</f>
        <v/>
      </c>
      <c r="P31" s="21">
        <f>LET(
    val_type,'Loan Tape (S&amp;P)'!AU31,
    IF(val_type="Full",1.00,
        IF(val_type="Desktop",1.031,
            IF(val_type="Drive-by",1.10,
                1.00)))
)</f>
        <v/>
      </c>
      <c r="Q31" s="32">
        <f>MAX(O31*P31,0)</f>
        <v/>
      </c>
      <c r="R31" s="43">
        <f>B31*Q31</f>
        <v/>
      </c>
    </row>
    <row r="32">
      <c r="A32" s="17">
        <f>'Loan Tape (S&amp;P)'!A32</f>
        <v/>
      </c>
      <c r="B32" s="18">
        <f>'Loan Tape (S&amp;P)'!B32</f>
        <v/>
      </c>
      <c r="C32" s="18">
        <f>'Loan Tape (S&amp;P)'!D32</f>
        <v/>
      </c>
      <c r="D32" s="20">
        <f>'FF Calculations'!E32</f>
        <v/>
      </c>
      <c r="E32" s="20">
        <f>'Control Panel'!$B$19</f>
        <v/>
      </c>
      <c r="F32" s="17">
        <f>'Loan Tape (S&amp;P)'!I32</f>
        <v/>
      </c>
      <c r="G32" s="20">
        <f>IFERROR(VLOOKUP(F32,'LS Parameters'!$A$6:$B$10,2,FALSE),0.05)</f>
        <v/>
      </c>
      <c r="H32" s="17">
        <f>'Loan Tape (S&amp;P)'!J32</f>
        <v/>
      </c>
      <c r="I32" s="20">
        <f>IFERROR(VLOOKUP(H32,'LS Parameters'!$A$14:$B$25,2,FALSE),0)</f>
        <v/>
      </c>
      <c r="J32" s="20">
        <f>E32+G32+I32</f>
        <v/>
      </c>
      <c r="K32" s="20">
        <f>'Control Panel'!$B$20</f>
        <v/>
      </c>
      <c r="L32" s="20">
        <f>J32+K32</f>
        <v/>
      </c>
      <c r="M32" s="20">
        <f>1-(D32*L32)</f>
        <v/>
      </c>
      <c r="N32" s="20">
        <f>VLOOKUP('Control Panel'!$B$6,'Jurisdiction Parameters'!$A:$N,14,FALSE)</f>
        <v/>
      </c>
      <c r="O32" s="20">
        <f>IF(M32&gt;0,N32,1-M32+N32)</f>
        <v/>
      </c>
      <c r="P32" s="21">
        <f>LET(
    val_type,'Loan Tape (S&amp;P)'!AU32,
    IF(val_type="Full",1.00,
        IF(val_type="Desktop",1.032,
            IF(val_type="Drive-by",1.10,
                1.00)))
)</f>
        <v/>
      </c>
      <c r="Q32" s="32">
        <f>MAX(O32*P32,0)</f>
        <v/>
      </c>
      <c r="R32" s="43">
        <f>B32*Q32</f>
        <v/>
      </c>
    </row>
    <row r="33">
      <c r="A33" s="17">
        <f>'Loan Tape (S&amp;P)'!A33</f>
        <v/>
      </c>
      <c r="B33" s="18">
        <f>'Loan Tape (S&amp;P)'!B33</f>
        <v/>
      </c>
      <c r="C33" s="18">
        <f>'Loan Tape (S&amp;P)'!D33</f>
        <v/>
      </c>
      <c r="D33" s="20">
        <f>'FF Calculations'!E33</f>
        <v/>
      </c>
      <c r="E33" s="20">
        <f>'Control Panel'!$B$19</f>
        <v/>
      </c>
      <c r="F33" s="17">
        <f>'Loan Tape (S&amp;P)'!I33</f>
        <v/>
      </c>
      <c r="G33" s="20">
        <f>IFERROR(VLOOKUP(F33,'LS Parameters'!$A$6:$B$10,2,FALSE),0.05)</f>
        <v/>
      </c>
      <c r="H33" s="17">
        <f>'Loan Tape (S&amp;P)'!J33</f>
        <v/>
      </c>
      <c r="I33" s="20">
        <f>IFERROR(VLOOKUP(H33,'LS Parameters'!$A$14:$B$25,2,FALSE),0)</f>
        <v/>
      </c>
      <c r="J33" s="20">
        <f>E33+G33+I33</f>
        <v/>
      </c>
      <c r="K33" s="20">
        <f>'Control Panel'!$B$20</f>
        <v/>
      </c>
      <c r="L33" s="20">
        <f>J33+K33</f>
        <v/>
      </c>
      <c r="M33" s="20">
        <f>1-(D33*L33)</f>
        <v/>
      </c>
      <c r="N33" s="20">
        <f>VLOOKUP('Control Panel'!$B$6,'Jurisdiction Parameters'!$A:$N,14,FALSE)</f>
        <v/>
      </c>
      <c r="O33" s="20">
        <f>IF(M33&gt;0,N33,1-M33+N33)</f>
        <v/>
      </c>
      <c r="P33" s="21">
        <f>LET(
    val_type,'Loan Tape (S&amp;P)'!AU33,
    IF(val_type="Full",1.00,
        IF(val_type="Desktop",1.033,
            IF(val_type="Drive-by",1.10,
                1.00)))
)</f>
        <v/>
      </c>
      <c r="Q33" s="32">
        <f>MAX(O33*P33,0)</f>
        <v/>
      </c>
      <c r="R33" s="43">
        <f>B33*Q33</f>
        <v/>
      </c>
    </row>
    <row r="34">
      <c r="A34" s="17">
        <f>'Loan Tape (S&amp;P)'!A34</f>
        <v/>
      </c>
      <c r="B34" s="18">
        <f>'Loan Tape (S&amp;P)'!B34</f>
        <v/>
      </c>
      <c r="C34" s="18">
        <f>'Loan Tape (S&amp;P)'!D34</f>
        <v/>
      </c>
      <c r="D34" s="20">
        <f>'FF Calculations'!E34</f>
        <v/>
      </c>
      <c r="E34" s="20">
        <f>'Control Panel'!$B$19</f>
        <v/>
      </c>
      <c r="F34" s="17">
        <f>'Loan Tape (S&amp;P)'!I34</f>
        <v/>
      </c>
      <c r="G34" s="20">
        <f>IFERROR(VLOOKUP(F34,'LS Parameters'!$A$6:$B$10,2,FALSE),0.05)</f>
        <v/>
      </c>
      <c r="H34" s="17">
        <f>'Loan Tape (S&amp;P)'!J34</f>
        <v/>
      </c>
      <c r="I34" s="20">
        <f>IFERROR(VLOOKUP(H34,'LS Parameters'!$A$14:$B$25,2,FALSE),0)</f>
        <v/>
      </c>
      <c r="J34" s="20">
        <f>E34+G34+I34</f>
        <v/>
      </c>
      <c r="K34" s="20">
        <f>'Control Panel'!$B$20</f>
        <v/>
      </c>
      <c r="L34" s="20">
        <f>J34+K34</f>
        <v/>
      </c>
      <c r="M34" s="20">
        <f>1-(D34*L34)</f>
        <v/>
      </c>
      <c r="N34" s="20">
        <f>VLOOKUP('Control Panel'!$B$6,'Jurisdiction Parameters'!$A:$N,14,FALSE)</f>
        <v/>
      </c>
      <c r="O34" s="20">
        <f>IF(M34&gt;0,N34,1-M34+N34)</f>
        <v/>
      </c>
      <c r="P34" s="21">
        <f>LET(
    val_type,'Loan Tape (S&amp;P)'!AU34,
    IF(val_type="Full",1.00,
        IF(val_type="Desktop",1.034,
            IF(val_type="Drive-by",1.10,
                1.00)))
)</f>
        <v/>
      </c>
      <c r="Q34" s="32">
        <f>MAX(O34*P34,0)</f>
        <v/>
      </c>
      <c r="R34" s="43">
        <f>B34*Q34</f>
        <v/>
      </c>
    </row>
    <row r="35">
      <c r="A35" s="17">
        <f>'Loan Tape (S&amp;P)'!A35</f>
        <v/>
      </c>
      <c r="B35" s="18">
        <f>'Loan Tape (S&amp;P)'!B35</f>
        <v/>
      </c>
      <c r="C35" s="18">
        <f>'Loan Tape (S&amp;P)'!D35</f>
        <v/>
      </c>
      <c r="D35" s="20">
        <f>'FF Calculations'!E35</f>
        <v/>
      </c>
      <c r="E35" s="20">
        <f>'Control Panel'!$B$19</f>
        <v/>
      </c>
      <c r="F35" s="17">
        <f>'Loan Tape (S&amp;P)'!I35</f>
        <v/>
      </c>
      <c r="G35" s="20">
        <f>IFERROR(VLOOKUP(F35,'LS Parameters'!$A$6:$B$10,2,FALSE),0.05)</f>
        <v/>
      </c>
      <c r="H35" s="17">
        <f>'Loan Tape (S&amp;P)'!J35</f>
        <v/>
      </c>
      <c r="I35" s="20">
        <f>IFERROR(VLOOKUP(H35,'LS Parameters'!$A$14:$B$25,2,FALSE),0)</f>
        <v/>
      </c>
      <c r="J35" s="20">
        <f>E35+G35+I35</f>
        <v/>
      </c>
      <c r="K35" s="20">
        <f>'Control Panel'!$B$20</f>
        <v/>
      </c>
      <c r="L35" s="20">
        <f>J35+K35</f>
        <v/>
      </c>
      <c r="M35" s="20">
        <f>1-(D35*L35)</f>
        <v/>
      </c>
      <c r="N35" s="20">
        <f>VLOOKUP('Control Panel'!$B$6,'Jurisdiction Parameters'!$A:$N,14,FALSE)</f>
        <v/>
      </c>
      <c r="O35" s="20">
        <f>IF(M35&gt;0,N35,1-M35+N35)</f>
        <v/>
      </c>
      <c r="P35" s="21">
        <f>LET(
    val_type,'Loan Tape (S&amp;P)'!AU35,
    IF(val_type="Full",1.00,
        IF(val_type="Desktop",1.035,
            IF(val_type="Drive-by",1.10,
                1.00)))
)</f>
        <v/>
      </c>
      <c r="Q35" s="32">
        <f>MAX(O35*P35,0)</f>
        <v/>
      </c>
      <c r="R35" s="43">
        <f>B35*Q35</f>
        <v/>
      </c>
    </row>
    <row r="36">
      <c r="A36" s="17">
        <f>'Loan Tape (S&amp;P)'!A36</f>
        <v/>
      </c>
      <c r="B36" s="18">
        <f>'Loan Tape (S&amp;P)'!B36</f>
        <v/>
      </c>
      <c r="C36" s="18">
        <f>'Loan Tape (S&amp;P)'!D36</f>
        <v/>
      </c>
      <c r="D36" s="20">
        <f>'FF Calculations'!E36</f>
        <v/>
      </c>
      <c r="E36" s="20">
        <f>'Control Panel'!$B$19</f>
        <v/>
      </c>
      <c r="F36" s="17">
        <f>'Loan Tape (S&amp;P)'!I36</f>
        <v/>
      </c>
      <c r="G36" s="20">
        <f>IFERROR(VLOOKUP(F36,'LS Parameters'!$A$6:$B$10,2,FALSE),0.05)</f>
        <v/>
      </c>
      <c r="H36" s="17">
        <f>'Loan Tape (S&amp;P)'!J36</f>
        <v/>
      </c>
      <c r="I36" s="20">
        <f>IFERROR(VLOOKUP(H36,'LS Parameters'!$A$14:$B$25,2,FALSE),0)</f>
        <v/>
      </c>
      <c r="J36" s="20">
        <f>E36+G36+I36</f>
        <v/>
      </c>
      <c r="K36" s="20">
        <f>'Control Panel'!$B$20</f>
        <v/>
      </c>
      <c r="L36" s="20">
        <f>J36+K36</f>
        <v/>
      </c>
      <c r="M36" s="20">
        <f>1-(D36*L36)</f>
        <v/>
      </c>
      <c r="N36" s="20">
        <f>VLOOKUP('Control Panel'!$B$6,'Jurisdiction Parameters'!$A:$N,14,FALSE)</f>
        <v/>
      </c>
      <c r="O36" s="20">
        <f>IF(M36&gt;0,N36,1-M36+N36)</f>
        <v/>
      </c>
      <c r="P36" s="21">
        <f>LET(
    val_type,'Loan Tape (S&amp;P)'!AU36,
    IF(val_type="Full",1.00,
        IF(val_type="Desktop",1.036,
            IF(val_type="Drive-by",1.10,
                1.00)))
)</f>
        <v/>
      </c>
      <c r="Q36" s="32">
        <f>MAX(O36*P36,0)</f>
        <v/>
      </c>
      <c r="R36" s="43">
        <f>B36*Q36</f>
        <v/>
      </c>
    </row>
    <row r="37">
      <c r="A37" s="17">
        <f>'Loan Tape (S&amp;P)'!A37</f>
        <v/>
      </c>
      <c r="B37" s="18">
        <f>'Loan Tape (S&amp;P)'!B37</f>
        <v/>
      </c>
      <c r="C37" s="18">
        <f>'Loan Tape (S&amp;P)'!D37</f>
        <v/>
      </c>
      <c r="D37" s="20">
        <f>'FF Calculations'!E37</f>
        <v/>
      </c>
      <c r="E37" s="20">
        <f>'Control Panel'!$B$19</f>
        <v/>
      </c>
      <c r="F37" s="17">
        <f>'Loan Tape (S&amp;P)'!I37</f>
        <v/>
      </c>
      <c r="G37" s="20">
        <f>IFERROR(VLOOKUP(F37,'LS Parameters'!$A$6:$B$10,2,FALSE),0.05)</f>
        <v/>
      </c>
      <c r="H37" s="17">
        <f>'Loan Tape (S&amp;P)'!J37</f>
        <v/>
      </c>
      <c r="I37" s="20">
        <f>IFERROR(VLOOKUP(H37,'LS Parameters'!$A$14:$B$25,2,FALSE),0)</f>
        <v/>
      </c>
      <c r="J37" s="20">
        <f>E37+G37+I37</f>
        <v/>
      </c>
      <c r="K37" s="20">
        <f>'Control Panel'!$B$20</f>
        <v/>
      </c>
      <c r="L37" s="20">
        <f>J37+K37</f>
        <v/>
      </c>
      <c r="M37" s="20">
        <f>1-(D37*L37)</f>
        <v/>
      </c>
      <c r="N37" s="20">
        <f>VLOOKUP('Control Panel'!$B$6,'Jurisdiction Parameters'!$A:$N,14,FALSE)</f>
        <v/>
      </c>
      <c r="O37" s="20">
        <f>IF(M37&gt;0,N37,1-M37+N37)</f>
        <v/>
      </c>
      <c r="P37" s="21">
        <f>LET(
    val_type,'Loan Tape (S&amp;P)'!AU37,
    IF(val_type="Full",1.00,
        IF(val_type="Desktop",1.037,
            IF(val_type="Drive-by",1.10,
                1.00)))
)</f>
        <v/>
      </c>
      <c r="Q37" s="32">
        <f>MAX(O37*P37,0)</f>
        <v/>
      </c>
      <c r="R37" s="43">
        <f>B37*Q37</f>
        <v/>
      </c>
    </row>
    <row r="38">
      <c r="A38" s="17">
        <f>'Loan Tape (S&amp;P)'!A38</f>
        <v/>
      </c>
      <c r="B38" s="18">
        <f>'Loan Tape (S&amp;P)'!B38</f>
        <v/>
      </c>
      <c r="C38" s="18">
        <f>'Loan Tape (S&amp;P)'!D38</f>
        <v/>
      </c>
      <c r="D38" s="20">
        <f>'FF Calculations'!E38</f>
        <v/>
      </c>
      <c r="E38" s="20">
        <f>'Control Panel'!$B$19</f>
        <v/>
      </c>
      <c r="F38" s="17">
        <f>'Loan Tape (S&amp;P)'!I38</f>
        <v/>
      </c>
      <c r="G38" s="20">
        <f>IFERROR(VLOOKUP(F38,'LS Parameters'!$A$6:$B$10,2,FALSE),0.05)</f>
        <v/>
      </c>
      <c r="H38" s="17">
        <f>'Loan Tape (S&amp;P)'!J38</f>
        <v/>
      </c>
      <c r="I38" s="20">
        <f>IFERROR(VLOOKUP(H38,'LS Parameters'!$A$14:$B$25,2,FALSE),0)</f>
        <v/>
      </c>
      <c r="J38" s="20">
        <f>E38+G38+I38</f>
        <v/>
      </c>
      <c r="K38" s="20">
        <f>'Control Panel'!$B$20</f>
        <v/>
      </c>
      <c r="L38" s="20">
        <f>J38+K38</f>
        <v/>
      </c>
      <c r="M38" s="20">
        <f>1-(D38*L38)</f>
        <v/>
      </c>
      <c r="N38" s="20">
        <f>VLOOKUP('Control Panel'!$B$6,'Jurisdiction Parameters'!$A:$N,14,FALSE)</f>
        <v/>
      </c>
      <c r="O38" s="20">
        <f>IF(M38&gt;0,N38,1-M38+N38)</f>
        <v/>
      </c>
      <c r="P38" s="21">
        <f>LET(
    val_type,'Loan Tape (S&amp;P)'!AU38,
    IF(val_type="Full",1.00,
        IF(val_type="Desktop",1.038,
            IF(val_type="Drive-by",1.10,
                1.00)))
)</f>
        <v/>
      </c>
      <c r="Q38" s="32">
        <f>MAX(O38*P38,0)</f>
        <v/>
      </c>
      <c r="R38" s="43">
        <f>B38*Q38</f>
        <v/>
      </c>
    </row>
    <row r="39">
      <c r="A39" s="17">
        <f>'Loan Tape (S&amp;P)'!A39</f>
        <v/>
      </c>
      <c r="B39" s="18">
        <f>'Loan Tape (S&amp;P)'!B39</f>
        <v/>
      </c>
      <c r="C39" s="18">
        <f>'Loan Tape (S&amp;P)'!D39</f>
        <v/>
      </c>
      <c r="D39" s="20">
        <f>'FF Calculations'!E39</f>
        <v/>
      </c>
      <c r="E39" s="20">
        <f>'Control Panel'!$B$19</f>
        <v/>
      </c>
      <c r="F39" s="17">
        <f>'Loan Tape (S&amp;P)'!I39</f>
        <v/>
      </c>
      <c r="G39" s="20">
        <f>IFERROR(VLOOKUP(F39,'LS Parameters'!$A$6:$B$10,2,FALSE),0.05)</f>
        <v/>
      </c>
      <c r="H39" s="17">
        <f>'Loan Tape (S&amp;P)'!J39</f>
        <v/>
      </c>
      <c r="I39" s="20">
        <f>IFERROR(VLOOKUP(H39,'LS Parameters'!$A$14:$B$25,2,FALSE),0)</f>
        <v/>
      </c>
      <c r="J39" s="20">
        <f>E39+G39+I39</f>
        <v/>
      </c>
      <c r="K39" s="20">
        <f>'Control Panel'!$B$20</f>
        <v/>
      </c>
      <c r="L39" s="20">
        <f>J39+K39</f>
        <v/>
      </c>
      <c r="M39" s="20">
        <f>1-(D39*L39)</f>
        <v/>
      </c>
      <c r="N39" s="20">
        <f>VLOOKUP('Control Panel'!$B$6,'Jurisdiction Parameters'!$A:$N,14,FALSE)</f>
        <v/>
      </c>
      <c r="O39" s="20">
        <f>IF(M39&gt;0,N39,1-M39+N39)</f>
        <v/>
      </c>
      <c r="P39" s="21">
        <f>LET(
    val_type,'Loan Tape (S&amp;P)'!AU39,
    IF(val_type="Full",1.00,
        IF(val_type="Desktop",1.039,
            IF(val_type="Drive-by",1.10,
                1.00)))
)</f>
        <v/>
      </c>
      <c r="Q39" s="32">
        <f>MAX(O39*P39,0)</f>
        <v/>
      </c>
      <c r="R39" s="43">
        <f>B39*Q39</f>
        <v/>
      </c>
    </row>
    <row r="40">
      <c r="A40" s="17">
        <f>'Loan Tape (S&amp;P)'!A40</f>
        <v/>
      </c>
      <c r="B40" s="18">
        <f>'Loan Tape (S&amp;P)'!B40</f>
        <v/>
      </c>
      <c r="C40" s="18">
        <f>'Loan Tape (S&amp;P)'!D40</f>
        <v/>
      </c>
      <c r="D40" s="20">
        <f>'FF Calculations'!E40</f>
        <v/>
      </c>
      <c r="E40" s="20">
        <f>'Control Panel'!$B$19</f>
        <v/>
      </c>
      <c r="F40" s="17">
        <f>'Loan Tape (S&amp;P)'!I40</f>
        <v/>
      </c>
      <c r="G40" s="20">
        <f>IFERROR(VLOOKUP(F40,'LS Parameters'!$A$6:$B$10,2,FALSE),0.05)</f>
        <v/>
      </c>
      <c r="H40" s="17">
        <f>'Loan Tape (S&amp;P)'!J40</f>
        <v/>
      </c>
      <c r="I40" s="20">
        <f>IFERROR(VLOOKUP(H40,'LS Parameters'!$A$14:$B$25,2,FALSE),0)</f>
        <v/>
      </c>
      <c r="J40" s="20">
        <f>E40+G40+I40</f>
        <v/>
      </c>
      <c r="K40" s="20">
        <f>'Control Panel'!$B$20</f>
        <v/>
      </c>
      <c r="L40" s="20">
        <f>J40+K40</f>
        <v/>
      </c>
      <c r="M40" s="20">
        <f>1-(D40*L40)</f>
        <v/>
      </c>
      <c r="N40" s="20">
        <f>VLOOKUP('Control Panel'!$B$6,'Jurisdiction Parameters'!$A:$N,14,FALSE)</f>
        <v/>
      </c>
      <c r="O40" s="20">
        <f>IF(M40&gt;0,N40,1-M40+N40)</f>
        <v/>
      </c>
      <c r="P40" s="21">
        <f>LET(
    val_type,'Loan Tape (S&amp;P)'!AU40,
    IF(val_type="Full",1.00,
        IF(val_type="Desktop",1.040,
            IF(val_type="Drive-by",1.10,
                1.00)))
)</f>
        <v/>
      </c>
      <c r="Q40" s="32">
        <f>MAX(O40*P40,0)</f>
        <v/>
      </c>
      <c r="R40" s="43">
        <f>B40*Q40</f>
        <v/>
      </c>
    </row>
    <row r="41">
      <c r="A41" s="17">
        <f>'Loan Tape (S&amp;P)'!A41</f>
        <v/>
      </c>
      <c r="B41" s="18">
        <f>'Loan Tape (S&amp;P)'!B41</f>
        <v/>
      </c>
      <c r="C41" s="18">
        <f>'Loan Tape (S&amp;P)'!D41</f>
        <v/>
      </c>
      <c r="D41" s="20">
        <f>'FF Calculations'!E41</f>
        <v/>
      </c>
      <c r="E41" s="20">
        <f>'Control Panel'!$B$19</f>
        <v/>
      </c>
      <c r="F41" s="17">
        <f>'Loan Tape (S&amp;P)'!I41</f>
        <v/>
      </c>
      <c r="G41" s="20">
        <f>IFERROR(VLOOKUP(F41,'LS Parameters'!$A$6:$B$10,2,FALSE),0.05)</f>
        <v/>
      </c>
      <c r="H41" s="17">
        <f>'Loan Tape (S&amp;P)'!J41</f>
        <v/>
      </c>
      <c r="I41" s="20">
        <f>IFERROR(VLOOKUP(H41,'LS Parameters'!$A$14:$B$25,2,FALSE),0)</f>
        <v/>
      </c>
      <c r="J41" s="20">
        <f>E41+G41+I41</f>
        <v/>
      </c>
      <c r="K41" s="20">
        <f>'Control Panel'!$B$20</f>
        <v/>
      </c>
      <c r="L41" s="20">
        <f>J41+K41</f>
        <v/>
      </c>
      <c r="M41" s="20">
        <f>1-(D41*L41)</f>
        <v/>
      </c>
      <c r="N41" s="20">
        <f>VLOOKUP('Control Panel'!$B$6,'Jurisdiction Parameters'!$A:$N,14,FALSE)</f>
        <v/>
      </c>
      <c r="O41" s="20">
        <f>IF(M41&gt;0,N41,1-M41+N41)</f>
        <v/>
      </c>
      <c r="P41" s="21">
        <f>LET(
    val_type,'Loan Tape (S&amp;P)'!AU41,
    IF(val_type="Full",1.00,
        IF(val_type="Desktop",1.041,
            IF(val_type="Drive-by",1.10,
                1.00)))
)</f>
        <v/>
      </c>
      <c r="Q41" s="32">
        <f>MAX(O41*P41,0)</f>
        <v/>
      </c>
      <c r="R41" s="43">
        <f>B41*Q41</f>
        <v/>
      </c>
    </row>
    <row r="42">
      <c r="A42" s="17">
        <f>'Loan Tape (S&amp;P)'!A42</f>
        <v/>
      </c>
      <c r="B42" s="18">
        <f>'Loan Tape (S&amp;P)'!B42</f>
        <v/>
      </c>
      <c r="C42" s="18">
        <f>'Loan Tape (S&amp;P)'!D42</f>
        <v/>
      </c>
      <c r="D42" s="20">
        <f>'FF Calculations'!E42</f>
        <v/>
      </c>
      <c r="E42" s="20">
        <f>'Control Panel'!$B$19</f>
        <v/>
      </c>
      <c r="F42" s="17">
        <f>'Loan Tape (S&amp;P)'!I42</f>
        <v/>
      </c>
      <c r="G42" s="20">
        <f>IFERROR(VLOOKUP(F42,'LS Parameters'!$A$6:$B$10,2,FALSE),0.05)</f>
        <v/>
      </c>
      <c r="H42" s="17">
        <f>'Loan Tape (S&amp;P)'!J42</f>
        <v/>
      </c>
      <c r="I42" s="20">
        <f>IFERROR(VLOOKUP(H42,'LS Parameters'!$A$14:$B$25,2,FALSE),0)</f>
        <v/>
      </c>
      <c r="J42" s="20">
        <f>E42+G42+I42</f>
        <v/>
      </c>
      <c r="K42" s="20">
        <f>'Control Panel'!$B$20</f>
        <v/>
      </c>
      <c r="L42" s="20">
        <f>J42+K42</f>
        <v/>
      </c>
      <c r="M42" s="20">
        <f>1-(D42*L42)</f>
        <v/>
      </c>
      <c r="N42" s="20">
        <f>VLOOKUP('Control Panel'!$B$6,'Jurisdiction Parameters'!$A:$N,14,FALSE)</f>
        <v/>
      </c>
      <c r="O42" s="20">
        <f>IF(M42&gt;0,N42,1-M42+N42)</f>
        <v/>
      </c>
      <c r="P42" s="21">
        <f>LET(
    val_type,'Loan Tape (S&amp;P)'!AU42,
    IF(val_type="Full",1.00,
        IF(val_type="Desktop",1.042,
            IF(val_type="Drive-by",1.10,
                1.00)))
)</f>
        <v/>
      </c>
      <c r="Q42" s="32">
        <f>MAX(O42*P42,0)</f>
        <v/>
      </c>
      <c r="R42" s="43">
        <f>B42*Q42</f>
        <v/>
      </c>
    </row>
    <row r="43">
      <c r="A43" s="17">
        <f>'Loan Tape (S&amp;P)'!A43</f>
        <v/>
      </c>
      <c r="B43" s="18">
        <f>'Loan Tape (S&amp;P)'!B43</f>
        <v/>
      </c>
      <c r="C43" s="18">
        <f>'Loan Tape (S&amp;P)'!D43</f>
        <v/>
      </c>
      <c r="D43" s="20">
        <f>'FF Calculations'!E43</f>
        <v/>
      </c>
      <c r="E43" s="20">
        <f>'Control Panel'!$B$19</f>
        <v/>
      </c>
      <c r="F43" s="17">
        <f>'Loan Tape (S&amp;P)'!I43</f>
        <v/>
      </c>
      <c r="G43" s="20">
        <f>IFERROR(VLOOKUP(F43,'LS Parameters'!$A$6:$B$10,2,FALSE),0.05)</f>
        <v/>
      </c>
      <c r="H43" s="17">
        <f>'Loan Tape (S&amp;P)'!J43</f>
        <v/>
      </c>
      <c r="I43" s="20">
        <f>IFERROR(VLOOKUP(H43,'LS Parameters'!$A$14:$B$25,2,FALSE),0)</f>
        <v/>
      </c>
      <c r="J43" s="20">
        <f>E43+G43+I43</f>
        <v/>
      </c>
      <c r="K43" s="20">
        <f>'Control Panel'!$B$20</f>
        <v/>
      </c>
      <c r="L43" s="20">
        <f>J43+K43</f>
        <v/>
      </c>
      <c r="M43" s="20">
        <f>1-(D43*L43)</f>
        <v/>
      </c>
      <c r="N43" s="20">
        <f>VLOOKUP('Control Panel'!$B$6,'Jurisdiction Parameters'!$A:$N,14,FALSE)</f>
        <v/>
      </c>
      <c r="O43" s="20">
        <f>IF(M43&gt;0,N43,1-M43+N43)</f>
        <v/>
      </c>
      <c r="P43" s="21">
        <f>LET(
    val_type,'Loan Tape (S&amp;P)'!AU43,
    IF(val_type="Full",1.00,
        IF(val_type="Desktop",1.043,
            IF(val_type="Drive-by",1.10,
                1.00)))
)</f>
        <v/>
      </c>
      <c r="Q43" s="32">
        <f>MAX(O43*P43,0)</f>
        <v/>
      </c>
      <c r="R43" s="43">
        <f>B43*Q43</f>
        <v/>
      </c>
    </row>
    <row r="44">
      <c r="A44" s="17">
        <f>'Loan Tape (S&amp;P)'!A44</f>
        <v/>
      </c>
      <c r="B44" s="18">
        <f>'Loan Tape (S&amp;P)'!B44</f>
        <v/>
      </c>
      <c r="C44" s="18">
        <f>'Loan Tape (S&amp;P)'!D44</f>
        <v/>
      </c>
      <c r="D44" s="20">
        <f>'FF Calculations'!E44</f>
        <v/>
      </c>
      <c r="E44" s="20">
        <f>'Control Panel'!$B$19</f>
        <v/>
      </c>
      <c r="F44" s="17">
        <f>'Loan Tape (S&amp;P)'!I44</f>
        <v/>
      </c>
      <c r="G44" s="20">
        <f>IFERROR(VLOOKUP(F44,'LS Parameters'!$A$6:$B$10,2,FALSE),0.05)</f>
        <v/>
      </c>
      <c r="H44" s="17">
        <f>'Loan Tape (S&amp;P)'!J44</f>
        <v/>
      </c>
      <c r="I44" s="20">
        <f>IFERROR(VLOOKUP(H44,'LS Parameters'!$A$14:$B$25,2,FALSE),0)</f>
        <v/>
      </c>
      <c r="J44" s="20">
        <f>E44+G44+I44</f>
        <v/>
      </c>
      <c r="K44" s="20">
        <f>'Control Panel'!$B$20</f>
        <v/>
      </c>
      <c r="L44" s="20">
        <f>J44+K44</f>
        <v/>
      </c>
      <c r="M44" s="20">
        <f>1-(D44*L44)</f>
        <v/>
      </c>
      <c r="N44" s="20">
        <f>VLOOKUP('Control Panel'!$B$6,'Jurisdiction Parameters'!$A:$N,14,FALSE)</f>
        <v/>
      </c>
      <c r="O44" s="20">
        <f>IF(M44&gt;0,N44,1-M44+N44)</f>
        <v/>
      </c>
      <c r="P44" s="21">
        <f>LET(
    val_type,'Loan Tape (S&amp;P)'!AU44,
    IF(val_type="Full",1.00,
        IF(val_type="Desktop",1.044,
            IF(val_type="Drive-by",1.10,
                1.00)))
)</f>
        <v/>
      </c>
      <c r="Q44" s="32">
        <f>MAX(O44*P44,0)</f>
        <v/>
      </c>
      <c r="R44" s="43">
        <f>B44*Q44</f>
        <v/>
      </c>
    </row>
    <row r="45">
      <c r="A45" s="17">
        <f>'Loan Tape (S&amp;P)'!A45</f>
        <v/>
      </c>
      <c r="B45" s="18">
        <f>'Loan Tape (S&amp;P)'!B45</f>
        <v/>
      </c>
      <c r="C45" s="18">
        <f>'Loan Tape (S&amp;P)'!D45</f>
        <v/>
      </c>
      <c r="D45" s="20">
        <f>'FF Calculations'!E45</f>
        <v/>
      </c>
      <c r="E45" s="20">
        <f>'Control Panel'!$B$19</f>
        <v/>
      </c>
      <c r="F45" s="17">
        <f>'Loan Tape (S&amp;P)'!I45</f>
        <v/>
      </c>
      <c r="G45" s="20">
        <f>IFERROR(VLOOKUP(F45,'LS Parameters'!$A$6:$B$10,2,FALSE),0.05)</f>
        <v/>
      </c>
      <c r="H45" s="17">
        <f>'Loan Tape (S&amp;P)'!J45</f>
        <v/>
      </c>
      <c r="I45" s="20">
        <f>IFERROR(VLOOKUP(H45,'LS Parameters'!$A$14:$B$25,2,FALSE),0)</f>
        <v/>
      </c>
      <c r="J45" s="20">
        <f>E45+G45+I45</f>
        <v/>
      </c>
      <c r="K45" s="20">
        <f>'Control Panel'!$B$20</f>
        <v/>
      </c>
      <c r="L45" s="20">
        <f>J45+K45</f>
        <v/>
      </c>
      <c r="M45" s="20">
        <f>1-(D45*L45)</f>
        <v/>
      </c>
      <c r="N45" s="20">
        <f>VLOOKUP('Control Panel'!$B$6,'Jurisdiction Parameters'!$A:$N,14,FALSE)</f>
        <v/>
      </c>
      <c r="O45" s="20">
        <f>IF(M45&gt;0,N45,1-M45+N45)</f>
        <v/>
      </c>
      <c r="P45" s="21">
        <f>LET(
    val_type,'Loan Tape (S&amp;P)'!AU45,
    IF(val_type="Full",1.00,
        IF(val_type="Desktop",1.045,
            IF(val_type="Drive-by",1.10,
                1.00)))
)</f>
        <v/>
      </c>
      <c r="Q45" s="32">
        <f>MAX(O45*P45,0)</f>
        <v/>
      </c>
      <c r="R45" s="43">
        <f>B45*Q45</f>
        <v/>
      </c>
    </row>
    <row r="46">
      <c r="A46" s="17">
        <f>'Loan Tape (S&amp;P)'!A46</f>
        <v/>
      </c>
      <c r="B46" s="18">
        <f>'Loan Tape (S&amp;P)'!B46</f>
        <v/>
      </c>
      <c r="C46" s="18">
        <f>'Loan Tape (S&amp;P)'!D46</f>
        <v/>
      </c>
      <c r="D46" s="20">
        <f>'FF Calculations'!E46</f>
        <v/>
      </c>
      <c r="E46" s="20">
        <f>'Control Panel'!$B$19</f>
        <v/>
      </c>
      <c r="F46" s="17">
        <f>'Loan Tape (S&amp;P)'!I46</f>
        <v/>
      </c>
      <c r="G46" s="20">
        <f>IFERROR(VLOOKUP(F46,'LS Parameters'!$A$6:$B$10,2,FALSE),0.05)</f>
        <v/>
      </c>
      <c r="H46" s="17">
        <f>'Loan Tape (S&amp;P)'!J46</f>
        <v/>
      </c>
      <c r="I46" s="20">
        <f>IFERROR(VLOOKUP(H46,'LS Parameters'!$A$14:$B$25,2,FALSE),0)</f>
        <v/>
      </c>
      <c r="J46" s="20">
        <f>E46+G46+I46</f>
        <v/>
      </c>
      <c r="K46" s="20">
        <f>'Control Panel'!$B$20</f>
        <v/>
      </c>
      <c r="L46" s="20">
        <f>J46+K46</f>
        <v/>
      </c>
      <c r="M46" s="20">
        <f>1-(D46*L46)</f>
        <v/>
      </c>
      <c r="N46" s="20">
        <f>VLOOKUP('Control Panel'!$B$6,'Jurisdiction Parameters'!$A:$N,14,FALSE)</f>
        <v/>
      </c>
      <c r="O46" s="20">
        <f>IF(M46&gt;0,N46,1-M46+N46)</f>
        <v/>
      </c>
      <c r="P46" s="21">
        <f>LET(
    val_type,'Loan Tape (S&amp;P)'!AU46,
    IF(val_type="Full",1.00,
        IF(val_type="Desktop",1.046,
            IF(val_type="Drive-by",1.10,
                1.00)))
)</f>
        <v/>
      </c>
      <c r="Q46" s="32">
        <f>MAX(O46*P46,0)</f>
        <v/>
      </c>
      <c r="R46" s="43">
        <f>B46*Q46</f>
        <v/>
      </c>
    </row>
    <row r="47">
      <c r="A47" s="17">
        <f>'Loan Tape (S&amp;P)'!A47</f>
        <v/>
      </c>
      <c r="B47" s="18">
        <f>'Loan Tape (S&amp;P)'!B47</f>
        <v/>
      </c>
      <c r="C47" s="18">
        <f>'Loan Tape (S&amp;P)'!D47</f>
        <v/>
      </c>
      <c r="D47" s="20">
        <f>'FF Calculations'!E47</f>
        <v/>
      </c>
      <c r="E47" s="20">
        <f>'Control Panel'!$B$19</f>
        <v/>
      </c>
      <c r="F47" s="17">
        <f>'Loan Tape (S&amp;P)'!I47</f>
        <v/>
      </c>
      <c r="G47" s="20">
        <f>IFERROR(VLOOKUP(F47,'LS Parameters'!$A$6:$B$10,2,FALSE),0.05)</f>
        <v/>
      </c>
      <c r="H47" s="17">
        <f>'Loan Tape (S&amp;P)'!J47</f>
        <v/>
      </c>
      <c r="I47" s="20">
        <f>IFERROR(VLOOKUP(H47,'LS Parameters'!$A$14:$B$25,2,FALSE),0)</f>
        <v/>
      </c>
      <c r="J47" s="20">
        <f>E47+G47+I47</f>
        <v/>
      </c>
      <c r="K47" s="20">
        <f>'Control Panel'!$B$20</f>
        <v/>
      </c>
      <c r="L47" s="20">
        <f>J47+K47</f>
        <v/>
      </c>
      <c r="M47" s="20">
        <f>1-(D47*L47)</f>
        <v/>
      </c>
      <c r="N47" s="20">
        <f>VLOOKUP('Control Panel'!$B$6,'Jurisdiction Parameters'!$A:$N,14,FALSE)</f>
        <v/>
      </c>
      <c r="O47" s="20">
        <f>IF(M47&gt;0,N47,1-M47+N47)</f>
        <v/>
      </c>
      <c r="P47" s="21">
        <f>LET(
    val_type,'Loan Tape (S&amp;P)'!AU47,
    IF(val_type="Full",1.00,
        IF(val_type="Desktop",1.047,
            IF(val_type="Drive-by",1.10,
                1.00)))
)</f>
        <v/>
      </c>
      <c r="Q47" s="32">
        <f>MAX(O47*P47,0)</f>
        <v/>
      </c>
      <c r="R47" s="43">
        <f>B47*Q47</f>
        <v/>
      </c>
    </row>
    <row r="48">
      <c r="A48" s="17">
        <f>'Loan Tape (S&amp;P)'!A48</f>
        <v/>
      </c>
      <c r="B48" s="18">
        <f>'Loan Tape (S&amp;P)'!B48</f>
        <v/>
      </c>
      <c r="C48" s="18">
        <f>'Loan Tape (S&amp;P)'!D48</f>
        <v/>
      </c>
      <c r="D48" s="20">
        <f>'FF Calculations'!E48</f>
        <v/>
      </c>
      <c r="E48" s="20">
        <f>'Control Panel'!$B$19</f>
        <v/>
      </c>
      <c r="F48" s="17">
        <f>'Loan Tape (S&amp;P)'!I48</f>
        <v/>
      </c>
      <c r="G48" s="20">
        <f>IFERROR(VLOOKUP(F48,'LS Parameters'!$A$6:$B$10,2,FALSE),0.05)</f>
        <v/>
      </c>
      <c r="H48" s="17">
        <f>'Loan Tape (S&amp;P)'!J48</f>
        <v/>
      </c>
      <c r="I48" s="20">
        <f>IFERROR(VLOOKUP(H48,'LS Parameters'!$A$14:$B$25,2,FALSE),0)</f>
        <v/>
      </c>
      <c r="J48" s="20">
        <f>E48+G48+I48</f>
        <v/>
      </c>
      <c r="K48" s="20">
        <f>'Control Panel'!$B$20</f>
        <v/>
      </c>
      <c r="L48" s="20">
        <f>J48+K48</f>
        <v/>
      </c>
      <c r="M48" s="20">
        <f>1-(D48*L48)</f>
        <v/>
      </c>
      <c r="N48" s="20">
        <f>VLOOKUP('Control Panel'!$B$6,'Jurisdiction Parameters'!$A:$N,14,FALSE)</f>
        <v/>
      </c>
      <c r="O48" s="20">
        <f>IF(M48&gt;0,N48,1-M48+N48)</f>
        <v/>
      </c>
      <c r="P48" s="21">
        <f>LET(
    val_type,'Loan Tape (S&amp;P)'!AU48,
    IF(val_type="Full",1.00,
        IF(val_type="Desktop",1.048,
            IF(val_type="Drive-by",1.10,
                1.00)))
)</f>
        <v/>
      </c>
      <c r="Q48" s="32">
        <f>MAX(O48*P48,0)</f>
        <v/>
      </c>
      <c r="R48" s="43">
        <f>B48*Q48</f>
        <v/>
      </c>
    </row>
    <row r="49">
      <c r="A49" s="17">
        <f>'Loan Tape (S&amp;P)'!A49</f>
        <v/>
      </c>
      <c r="B49" s="18">
        <f>'Loan Tape (S&amp;P)'!B49</f>
        <v/>
      </c>
      <c r="C49" s="18">
        <f>'Loan Tape (S&amp;P)'!D49</f>
        <v/>
      </c>
      <c r="D49" s="20">
        <f>'FF Calculations'!E49</f>
        <v/>
      </c>
      <c r="E49" s="20">
        <f>'Control Panel'!$B$19</f>
        <v/>
      </c>
      <c r="F49" s="17">
        <f>'Loan Tape (S&amp;P)'!I49</f>
        <v/>
      </c>
      <c r="G49" s="20">
        <f>IFERROR(VLOOKUP(F49,'LS Parameters'!$A$6:$B$10,2,FALSE),0.05)</f>
        <v/>
      </c>
      <c r="H49" s="17">
        <f>'Loan Tape (S&amp;P)'!J49</f>
        <v/>
      </c>
      <c r="I49" s="20">
        <f>IFERROR(VLOOKUP(H49,'LS Parameters'!$A$14:$B$25,2,FALSE),0)</f>
        <v/>
      </c>
      <c r="J49" s="20">
        <f>E49+G49+I49</f>
        <v/>
      </c>
      <c r="K49" s="20">
        <f>'Control Panel'!$B$20</f>
        <v/>
      </c>
      <c r="L49" s="20">
        <f>J49+K49</f>
        <v/>
      </c>
      <c r="M49" s="20">
        <f>1-(D49*L49)</f>
        <v/>
      </c>
      <c r="N49" s="20">
        <f>VLOOKUP('Control Panel'!$B$6,'Jurisdiction Parameters'!$A:$N,14,FALSE)</f>
        <v/>
      </c>
      <c r="O49" s="20">
        <f>IF(M49&gt;0,N49,1-M49+N49)</f>
        <v/>
      </c>
      <c r="P49" s="21">
        <f>LET(
    val_type,'Loan Tape (S&amp;P)'!AU49,
    IF(val_type="Full",1.00,
        IF(val_type="Desktop",1.049,
            IF(val_type="Drive-by",1.10,
                1.00)))
)</f>
        <v/>
      </c>
      <c r="Q49" s="32">
        <f>MAX(O49*P49,0)</f>
        <v/>
      </c>
      <c r="R49" s="43">
        <f>B49*Q49</f>
        <v/>
      </c>
    </row>
    <row r="50">
      <c r="A50" s="17">
        <f>'Loan Tape (S&amp;P)'!A50</f>
        <v/>
      </c>
      <c r="B50" s="18">
        <f>'Loan Tape (S&amp;P)'!B50</f>
        <v/>
      </c>
      <c r="C50" s="18">
        <f>'Loan Tape (S&amp;P)'!D50</f>
        <v/>
      </c>
      <c r="D50" s="20">
        <f>'FF Calculations'!E50</f>
        <v/>
      </c>
      <c r="E50" s="20">
        <f>'Control Panel'!$B$19</f>
        <v/>
      </c>
      <c r="F50" s="17">
        <f>'Loan Tape (S&amp;P)'!I50</f>
        <v/>
      </c>
      <c r="G50" s="20">
        <f>IFERROR(VLOOKUP(F50,'LS Parameters'!$A$6:$B$10,2,FALSE),0.05)</f>
        <v/>
      </c>
      <c r="H50" s="17">
        <f>'Loan Tape (S&amp;P)'!J50</f>
        <v/>
      </c>
      <c r="I50" s="20">
        <f>IFERROR(VLOOKUP(H50,'LS Parameters'!$A$14:$B$25,2,FALSE),0)</f>
        <v/>
      </c>
      <c r="J50" s="20">
        <f>E50+G50+I50</f>
        <v/>
      </c>
      <c r="K50" s="20">
        <f>'Control Panel'!$B$20</f>
        <v/>
      </c>
      <c r="L50" s="20">
        <f>J50+K50</f>
        <v/>
      </c>
      <c r="M50" s="20">
        <f>1-(D50*L50)</f>
        <v/>
      </c>
      <c r="N50" s="20">
        <f>VLOOKUP('Control Panel'!$B$6,'Jurisdiction Parameters'!$A:$N,14,FALSE)</f>
        <v/>
      </c>
      <c r="O50" s="20">
        <f>IF(M50&gt;0,N50,1-M50+N50)</f>
        <v/>
      </c>
      <c r="P50" s="21">
        <f>LET(
    val_type,'Loan Tape (S&amp;P)'!AU50,
    IF(val_type="Full",1.00,
        IF(val_type="Desktop",1.050,
            IF(val_type="Drive-by",1.10,
                1.00)))
)</f>
        <v/>
      </c>
      <c r="Q50" s="32">
        <f>MAX(O50*P50,0)</f>
        <v/>
      </c>
      <c r="R50" s="43">
        <f>B50*Q50</f>
        <v/>
      </c>
    </row>
    <row r="51">
      <c r="A51" s="17">
        <f>'Loan Tape (S&amp;P)'!A51</f>
        <v/>
      </c>
      <c r="B51" s="18">
        <f>'Loan Tape (S&amp;P)'!B51</f>
        <v/>
      </c>
      <c r="C51" s="18">
        <f>'Loan Tape (S&amp;P)'!D51</f>
        <v/>
      </c>
      <c r="D51" s="20">
        <f>'FF Calculations'!E51</f>
        <v/>
      </c>
      <c r="E51" s="20">
        <f>'Control Panel'!$B$19</f>
        <v/>
      </c>
      <c r="F51" s="17">
        <f>'Loan Tape (S&amp;P)'!I51</f>
        <v/>
      </c>
      <c r="G51" s="20">
        <f>IFERROR(VLOOKUP(F51,'LS Parameters'!$A$6:$B$10,2,FALSE),0.05)</f>
        <v/>
      </c>
      <c r="H51" s="17">
        <f>'Loan Tape (S&amp;P)'!J51</f>
        <v/>
      </c>
      <c r="I51" s="20">
        <f>IFERROR(VLOOKUP(H51,'LS Parameters'!$A$14:$B$25,2,FALSE),0)</f>
        <v/>
      </c>
      <c r="J51" s="20">
        <f>E51+G51+I51</f>
        <v/>
      </c>
      <c r="K51" s="20">
        <f>'Control Panel'!$B$20</f>
        <v/>
      </c>
      <c r="L51" s="20">
        <f>J51+K51</f>
        <v/>
      </c>
      <c r="M51" s="20">
        <f>1-(D51*L51)</f>
        <v/>
      </c>
      <c r="N51" s="20">
        <f>VLOOKUP('Control Panel'!$B$6,'Jurisdiction Parameters'!$A:$N,14,FALSE)</f>
        <v/>
      </c>
      <c r="O51" s="20">
        <f>IF(M51&gt;0,N51,1-M51+N51)</f>
        <v/>
      </c>
      <c r="P51" s="21">
        <f>LET(
    val_type,'Loan Tape (S&amp;P)'!AU51,
    IF(val_type="Full",1.00,
        IF(val_type="Desktop",1.051,
            IF(val_type="Drive-by",1.10,
                1.00)))
)</f>
        <v/>
      </c>
      <c r="Q51" s="32">
        <f>MAX(O51*P51,0)</f>
        <v/>
      </c>
      <c r="R51" s="43">
        <f>B51*Q51</f>
        <v/>
      </c>
    </row>
    <row r="52">
      <c r="A52" s="17">
        <f>'Loan Tape (S&amp;P)'!A52</f>
        <v/>
      </c>
      <c r="B52" s="18">
        <f>'Loan Tape (S&amp;P)'!B52</f>
        <v/>
      </c>
      <c r="C52" s="18">
        <f>'Loan Tape (S&amp;P)'!D52</f>
        <v/>
      </c>
      <c r="D52" s="20">
        <f>'FF Calculations'!E52</f>
        <v/>
      </c>
      <c r="E52" s="20">
        <f>'Control Panel'!$B$19</f>
        <v/>
      </c>
      <c r="F52" s="17">
        <f>'Loan Tape (S&amp;P)'!I52</f>
        <v/>
      </c>
      <c r="G52" s="20">
        <f>IFERROR(VLOOKUP(F52,'LS Parameters'!$A$6:$B$10,2,FALSE),0.05)</f>
        <v/>
      </c>
      <c r="H52" s="17">
        <f>'Loan Tape (S&amp;P)'!J52</f>
        <v/>
      </c>
      <c r="I52" s="20">
        <f>IFERROR(VLOOKUP(H52,'LS Parameters'!$A$14:$B$25,2,FALSE),0)</f>
        <v/>
      </c>
      <c r="J52" s="20">
        <f>E52+G52+I52</f>
        <v/>
      </c>
      <c r="K52" s="20">
        <f>'Control Panel'!$B$20</f>
        <v/>
      </c>
      <c r="L52" s="20">
        <f>J52+K52</f>
        <v/>
      </c>
      <c r="M52" s="20">
        <f>1-(D52*L52)</f>
        <v/>
      </c>
      <c r="N52" s="20">
        <f>VLOOKUP('Control Panel'!$B$6,'Jurisdiction Parameters'!$A:$N,14,FALSE)</f>
        <v/>
      </c>
      <c r="O52" s="20">
        <f>IF(M52&gt;0,N52,1-M52+N52)</f>
        <v/>
      </c>
      <c r="P52" s="21">
        <f>LET(
    val_type,'Loan Tape (S&amp;P)'!AU52,
    IF(val_type="Full",1.00,
        IF(val_type="Desktop",1.052,
            IF(val_type="Drive-by",1.10,
                1.00)))
)</f>
        <v/>
      </c>
      <c r="Q52" s="32">
        <f>MAX(O52*P52,0)</f>
        <v/>
      </c>
      <c r="R52" s="43">
        <f>B52*Q52</f>
        <v/>
      </c>
    </row>
    <row r="53">
      <c r="A53" s="17">
        <f>'Loan Tape (S&amp;P)'!A53</f>
        <v/>
      </c>
      <c r="B53" s="18">
        <f>'Loan Tape (S&amp;P)'!B53</f>
        <v/>
      </c>
      <c r="C53" s="18">
        <f>'Loan Tape (S&amp;P)'!D53</f>
        <v/>
      </c>
      <c r="D53" s="20">
        <f>'FF Calculations'!E53</f>
        <v/>
      </c>
      <c r="E53" s="20">
        <f>'Control Panel'!$B$19</f>
        <v/>
      </c>
      <c r="F53" s="17">
        <f>'Loan Tape (S&amp;P)'!I53</f>
        <v/>
      </c>
      <c r="G53" s="20">
        <f>IFERROR(VLOOKUP(F53,'LS Parameters'!$A$6:$B$10,2,FALSE),0.05)</f>
        <v/>
      </c>
      <c r="H53" s="17">
        <f>'Loan Tape (S&amp;P)'!J53</f>
        <v/>
      </c>
      <c r="I53" s="20">
        <f>IFERROR(VLOOKUP(H53,'LS Parameters'!$A$14:$B$25,2,FALSE),0)</f>
        <v/>
      </c>
      <c r="J53" s="20">
        <f>E53+G53+I53</f>
        <v/>
      </c>
      <c r="K53" s="20">
        <f>'Control Panel'!$B$20</f>
        <v/>
      </c>
      <c r="L53" s="20">
        <f>J53+K53</f>
        <v/>
      </c>
      <c r="M53" s="20">
        <f>1-(D53*L53)</f>
        <v/>
      </c>
      <c r="N53" s="20">
        <f>VLOOKUP('Control Panel'!$B$6,'Jurisdiction Parameters'!$A:$N,14,FALSE)</f>
        <v/>
      </c>
      <c r="O53" s="20">
        <f>IF(M53&gt;0,N53,1-M53+N53)</f>
        <v/>
      </c>
      <c r="P53" s="21">
        <f>LET(
    val_type,'Loan Tape (S&amp;P)'!AU53,
    IF(val_type="Full",1.00,
        IF(val_type="Desktop",1.053,
            IF(val_type="Drive-by",1.10,
                1.00)))
)</f>
        <v/>
      </c>
      <c r="Q53" s="32">
        <f>MAX(O53*P53,0)</f>
        <v/>
      </c>
      <c r="R53" s="43">
        <f>B53*Q53</f>
        <v/>
      </c>
    </row>
    <row r="54">
      <c r="A54" s="17">
        <f>'Loan Tape (S&amp;P)'!A54</f>
        <v/>
      </c>
      <c r="B54" s="18">
        <f>'Loan Tape (S&amp;P)'!B54</f>
        <v/>
      </c>
      <c r="C54" s="18">
        <f>'Loan Tape (S&amp;P)'!D54</f>
        <v/>
      </c>
      <c r="D54" s="20">
        <f>'FF Calculations'!E54</f>
        <v/>
      </c>
      <c r="E54" s="20">
        <f>'Control Panel'!$B$19</f>
        <v/>
      </c>
      <c r="F54" s="17">
        <f>'Loan Tape (S&amp;P)'!I54</f>
        <v/>
      </c>
      <c r="G54" s="20">
        <f>IFERROR(VLOOKUP(F54,'LS Parameters'!$A$6:$B$10,2,FALSE),0.05)</f>
        <v/>
      </c>
      <c r="H54" s="17">
        <f>'Loan Tape (S&amp;P)'!J54</f>
        <v/>
      </c>
      <c r="I54" s="20">
        <f>IFERROR(VLOOKUP(H54,'LS Parameters'!$A$14:$B$25,2,FALSE),0)</f>
        <v/>
      </c>
      <c r="J54" s="20">
        <f>E54+G54+I54</f>
        <v/>
      </c>
      <c r="K54" s="20">
        <f>'Control Panel'!$B$20</f>
        <v/>
      </c>
      <c r="L54" s="20">
        <f>J54+K54</f>
        <v/>
      </c>
      <c r="M54" s="20">
        <f>1-(D54*L54)</f>
        <v/>
      </c>
      <c r="N54" s="20">
        <f>VLOOKUP('Control Panel'!$B$6,'Jurisdiction Parameters'!$A:$N,14,FALSE)</f>
        <v/>
      </c>
      <c r="O54" s="20">
        <f>IF(M54&gt;0,N54,1-M54+N54)</f>
        <v/>
      </c>
      <c r="P54" s="21">
        <f>LET(
    val_type,'Loan Tape (S&amp;P)'!AU54,
    IF(val_type="Full",1.00,
        IF(val_type="Desktop",1.054,
            IF(val_type="Drive-by",1.10,
                1.00)))
)</f>
        <v/>
      </c>
      <c r="Q54" s="32">
        <f>MAX(O54*P54,0)</f>
        <v/>
      </c>
      <c r="R54" s="43">
        <f>B54*Q54</f>
        <v/>
      </c>
    </row>
    <row r="55">
      <c r="A55" s="17">
        <f>'Loan Tape (S&amp;P)'!A55</f>
        <v/>
      </c>
      <c r="B55" s="18">
        <f>'Loan Tape (S&amp;P)'!B55</f>
        <v/>
      </c>
      <c r="C55" s="18">
        <f>'Loan Tape (S&amp;P)'!D55</f>
        <v/>
      </c>
      <c r="D55" s="20">
        <f>'FF Calculations'!E55</f>
        <v/>
      </c>
      <c r="E55" s="20">
        <f>'Control Panel'!$B$19</f>
        <v/>
      </c>
      <c r="F55" s="17">
        <f>'Loan Tape (S&amp;P)'!I55</f>
        <v/>
      </c>
      <c r="G55" s="20">
        <f>IFERROR(VLOOKUP(F55,'LS Parameters'!$A$6:$B$10,2,FALSE),0.05)</f>
        <v/>
      </c>
      <c r="H55" s="17">
        <f>'Loan Tape (S&amp;P)'!J55</f>
        <v/>
      </c>
      <c r="I55" s="20">
        <f>IFERROR(VLOOKUP(H55,'LS Parameters'!$A$14:$B$25,2,FALSE),0)</f>
        <v/>
      </c>
      <c r="J55" s="20">
        <f>E55+G55+I55</f>
        <v/>
      </c>
      <c r="K55" s="20">
        <f>'Control Panel'!$B$20</f>
        <v/>
      </c>
      <c r="L55" s="20">
        <f>J55+K55</f>
        <v/>
      </c>
      <c r="M55" s="20">
        <f>1-(D55*L55)</f>
        <v/>
      </c>
      <c r="N55" s="20">
        <f>VLOOKUP('Control Panel'!$B$6,'Jurisdiction Parameters'!$A:$N,14,FALSE)</f>
        <v/>
      </c>
      <c r="O55" s="20">
        <f>IF(M55&gt;0,N55,1-M55+N55)</f>
        <v/>
      </c>
      <c r="P55" s="21">
        <f>LET(
    val_type,'Loan Tape (S&amp;P)'!AU55,
    IF(val_type="Full",1.00,
        IF(val_type="Desktop",1.055,
            IF(val_type="Drive-by",1.10,
                1.00)))
)</f>
        <v/>
      </c>
      <c r="Q55" s="32">
        <f>MAX(O55*P55,0)</f>
        <v/>
      </c>
      <c r="R55" s="43">
        <f>B55*Q55</f>
        <v/>
      </c>
    </row>
    <row r="56">
      <c r="A56" s="17">
        <f>'Loan Tape (S&amp;P)'!A56</f>
        <v/>
      </c>
      <c r="B56" s="18">
        <f>'Loan Tape (S&amp;P)'!B56</f>
        <v/>
      </c>
      <c r="C56" s="18">
        <f>'Loan Tape (S&amp;P)'!D56</f>
        <v/>
      </c>
      <c r="D56" s="20">
        <f>'FF Calculations'!E56</f>
        <v/>
      </c>
      <c r="E56" s="20">
        <f>'Control Panel'!$B$19</f>
        <v/>
      </c>
      <c r="F56" s="17">
        <f>'Loan Tape (S&amp;P)'!I56</f>
        <v/>
      </c>
      <c r="G56" s="20">
        <f>IFERROR(VLOOKUP(F56,'LS Parameters'!$A$6:$B$10,2,FALSE),0.05)</f>
        <v/>
      </c>
      <c r="H56" s="17">
        <f>'Loan Tape (S&amp;P)'!J56</f>
        <v/>
      </c>
      <c r="I56" s="20">
        <f>IFERROR(VLOOKUP(H56,'LS Parameters'!$A$14:$B$25,2,FALSE),0)</f>
        <v/>
      </c>
      <c r="J56" s="20">
        <f>E56+G56+I56</f>
        <v/>
      </c>
      <c r="K56" s="20">
        <f>'Control Panel'!$B$20</f>
        <v/>
      </c>
      <c r="L56" s="20">
        <f>J56+K56</f>
        <v/>
      </c>
      <c r="M56" s="20">
        <f>1-(D56*L56)</f>
        <v/>
      </c>
      <c r="N56" s="20">
        <f>VLOOKUP('Control Panel'!$B$6,'Jurisdiction Parameters'!$A:$N,14,FALSE)</f>
        <v/>
      </c>
      <c r="O56" s="20">
        <f>IF(M56&gt;0,N56,1-M56+N56)</f>
        <v/>
      </c>
      <c r="P56" s="21">
        <f>LET(
    val_type,'Loan Tape (S&amp;P)'!AU56,
    IF(val_type="Full",1.00,
        IF(val_type="Desktop",1.056,
            IF(val_type="Drive-by",1.10,
                1.00)))
)</f>
        <v/>
      </c>
      <c r="Q56" s="32">
        <f>MAX(O56*P56,0)</f>
        <v/>
      </c>
      <c r="R56" s="43">
        <f>B56*Q56</f>
        <v/>
      </c>
    </row>
    <row r="57">
      <c r="A57" s="17">
        <f>'Loan Tape (S&amp;P)'!A57</f>
        <v/>
      </c>
      <c r="B57" s="18">
        <f>'Loan Tape (S&amp;P)'!B57</f>
        <v/>
      </c>
      <c r="C57" s="18">
        <f>'Loan Tape (S&amp;P)'!D57</f>
        <v/>
      </c>
      <c r="D57" s="20">
        <f>'FF Calculations'!E57</f>
        <v/>
      </c>
      <c r="E57" s="20">
        <f>'Control Panel'!$B$19</f>
        <v/>
      </c>
      <c r="F57" s="17">
        <f>'Loan Tape (S&amp;P)'!I57</f>
        <v/>
      </c>
      <c r="G57" s="20">
        <f>IFERROR(VLOOKUP(F57,'LS Parameters'!$A$6:$B$10,2,FALSE),0.05)</f>
        <v/>
      </c>
      <c r="H57" s="17">
        <f>'Loan Tape (S&amp;P)'!J57</f>
        <v/>
      </c>
      <c r="I57" s="20">
        <f>IFERROR(VLOOKUP(H57,'LS Parameters'!$A$14:$B$25,2,FALSE),0)</f>
        <v/>
      </c>
      <c r="J57" s="20">
        <f>E57+G57+I57</f>
        <v/>
      </c>
      <c r="K57" s="20">
        <f>'Control Panel'!$B$20</f>
        <v/>
      </c>
      <c r="L57" s="20">
        <f>J57+K57</f>
        <v/>
      </c>
      <c r="M57" s="20">
        <f>1-(D57*L57)</f>
        <v/>
      </c>
      <c r="N57" s="20">
        <f>VLOOKUP('Control Panel'!$B$6,'Jurisdiction Parameters'!$A:$N,14,FALSE)</f>
        <v/>
      </c>
      <c r="O57" s="20">
        <f>IF(M57&gt;0,N57,1-M57+N57)</f>
        <v/>
      </c>
      <c r="P57" s="21">
        <f>LET(
    val_type,'Loan Tape (S&amp;P)'!AU57,
    IF(val_type="Full",1.00,
        IF(val_type="Desktop",1.057,
            IF(val_type="Drive-by",1.10,
                1.00)))
)</f>
        <v/>
      </c>
      <c r="Q57" s="32">
        <f>MAX(O57*P57,0)</f>
        <v/>
      </c>
      <c r="R57" s="43">
        <f>B57*Q57</f>
        <v/>
      </c>
    </row>
    <row r="58">
      <c r="A58" s="17">
        <f>'Loan Tape (S&amp;P)'!A58</f>
        <v/>
      </c>
      <c r="B58" s="18">
        <f>'Loan Tape (S&amp;P)'!B58</f>
        <v/>
      </c>
      <c r="C58" s="18">
        <f>'Loan Tape (S&amp;P)'!D58</f>
        <v/>
      </c>
      <c r="D58" s="20">
        <f>'FF Calculations'!E58</f>
        <v/>
      </c>
      <c r="E58" s="20">
        <f>'Control Panel'!$B$19</f>
        <v/>
      </c>
      <c r="F58" s="17">
        <f>'Loan Tape (S&amp;P)'!I58</f>
        <v/>
      </c>
      <c r="G58" s="20">
        <f>IFERROR(VLOOKUP(F58,'LS Parameters'!$A$6:$B$10,2,FALSE),0.05)</f>
        <v/>
      </c>
      <c r="H58" s="17">
        <f>'Loan Tape (S&amp;P)'!J58</f>
        <v/>
      </c>
      <c r="I58" s="20">
        <f>IFERROR(VLOOKUP(H58,'LS Parameters'!$A$14:$B$25,2,FALSE),0)</f>
        <v/>
      </c>
      <c r="J58" s="20">
        <f>E58+G58+I58</f>
        <v/>
      </c>
      <c r="K58" s="20">
        <f>'Control Panel'!$B$20</f>
        <v/>
      </c>
      <c r="L58" s="20">
        <f>J58+K58</f>
        <v/>
      </c>
      <c r="M58" s="20">
        <f>1-(D58*L58)</f>
        <v/>
      </c>
      <c r="N58" s="20">
        <f>VLOOKUP('Control Panel'!$B$6,'Jurisdiction Parameters'!$A:$N,14,FALSE)</f>
        <v/>
      </c>
      <c r="O58" s="20">
        <f>IF(M58&gt;0,N58,1-M58+N58)</f>
        <v/>
      </c>
      <c r="P58" s="21">
        <f>LET(
    val_type,'Loan Tape (S&amp;P)'!AU58,
    IF(val_type="Full",1.00,
        IF(val_type="Desktop",1.058,
            IF(val_type="Drive-by",1.10,
                1.00)))
)</f>
        <v/>
      </c>
      <c r="Q58" s="32">
        <f>MAX(O58*P58,0)</f>
        <v/>
      </c>
      <c r="R58" s="43">
        <f>B58*Q58</f>
        <v/>
      </c>
    </row>
    <row r="59">
      <c r="A59" s="17">
        <f>'Loan Tape (S&amp;P)'!A59</f>
        <v/>
      </c>
      <c r="B59" s="18">
        <f>'Loan Tape (S&amp;P)'!B59</f>
        <v/>
      </c>
      <c r="C59" s="18">
        <f>'Loan Tape (S&amp;P)'!D59</f>
        <v/>
      </c>
      <c r="D59" s="20">
        <f>'FF Calculations'!E59</f>
        <v/>
      </c>
      <c r="E59" s="20">
        <f>'Control Panel'!$B$19</f>
        <v/>
      </c>
      <c r="F59" s="17">
        <f>'Loan Tape (S&amp;P)'!I59</f>
        <v/>
      </c>
      <c r="G59" s="20">
        <f>IFERROR(VLOOKUP(F59,'LS Parameters'!$A$6:$B$10,2,FALSE),0.05)</f>
        <v/>
      </c>
      <c r="H59" s="17">
        <f>'Loan Tape (S&amp;P)'!J59</f>
        <v/>
      </c>
      <c r="I59" s="20">
        <f>IFERROR(VLOOKUP(H59,'LS Parameters'!$A$14:$B$25,2,FALSE),0)</f>
        <v/>
      </c>
      <c r="J59" s="20">
        <f>E59+G59+I59</f>
        <v/>
      </c>
      <c r="K59" s="20">
        <f>'Control Panel'!$B$20</f>
        <v/>
      </c>
      <c r="L59" s="20">
        <f>J59+K59</f>
        <v/>
      </c>
      <c r="M59" s="20">
        <f>1-(D59*L59)</f>
        <v/>
      </c>
      <c r="N59" s="20">
        <f>VLOOKUP('Control Panel'!$B$6,'Jurisdiction Parameters'!$A:$N,14,FALSE)</f>
        <v/>
      </c>
      <c r="O59" s="20">
        <f>IF(M59&gt;0,N59,1-M59+N59)</f>
        <v/>
      </c>
      <c r="P59" s="21">
        <f>LET(
    val_type,'Loan Tape (S&amp;P)'!AU59,
    IF(val_type="Full",1.00,
        IF(val_type="Desktop",1.059,
            IF(val_type="Drive-by",1.10,
                1.00)))
)</f>
        <v/>
      </c>
      <c r="Q59" s="32">
        <f>MAX(O59*P59,0)</f>
        <v/>
      </c>
      <c r="R59" s="43">
        <f>B59*Q59</f>
        <v/>
      </c>
    </row>
    <row r="60">
      <c r="A60" s="17">
        <f>'Loan Tape (S&amp;P)'!A60</f>
        <v/>
      </c>
      <c r="B60" s="18">
        <f>'Loan Tape (S&amp;P)'!B60</f>
        <v/>
      </c>
      <c r="C60" s="18">
        <f>'Loan Tape (S&amp;P)'!D60</f>
        <v/>
      </c>
      <c r="D60" s="20">
        <f>'FF Calculations'!E60</f>
        <v/>
      </c>
      <c r="E60" s="20">
        <f>'Control Panel'!$B$19</f>
        <v/>
      </c>
      <c r="F60" s="17">
        <f>'Loan Tape (S&amp;P)'!I60</f>
        <v/>
      </c>
      <c r="G60" s="20">
        <f>IFERROR(VLOOKUP(F60,'LS Parameters'!$A$6:$B$10,2,FALSE),0.05)</f>
        <v/>
      </c>
      <c r="H60" s="17">
        <f>'Loan Tape (S&amp;P)'!J60</f>
        <v/>
      </c>
      <c r="I60" s="20">
        <f>IFERROR(VLOOKUP(H60,'LS Parameters'!$A$14:$B$25,2,FALSE),0)</f>
        <v/>
      </c>
      <c r="J60" s="20">
        <f>E60+G60+I60</f>
        <v/>
      </c>
      <c r="K60" s="20">
        <f>'Control Panel'!$B$20</f>
        <v/>
      </c>
      <c r="L60" s="20">
        <f>J60+K60</f>
        <v/>
      </c>
      <c r="M60" s="20">
        <f>1-(D60*L60)</f>
        <v/>
      </c>
      <c r="N60" s="20">
        <f>VLOOKUP('Control Panel'!$B$6,'Jurisdiction Parameters'!$A:$N,14,FALSE)</f>
        <v/>
      </c>
      <c r="O60" s="20">
        <f>IF(M60&gt;0,N60,1-M60+N60)</f>
        <v/>
      </c>
      <c r="P60" s="21">
        <f>LET(
    val_type,'Loan Tape (S&amp;P)'!AU60,
    IF(val_type="Full",1.00,
        IF(val_type="Desktop",1.060,
            IF(val_type="Drive-by",1.10,
                1.00)))
)</f>
        <v/>
      </c>
      <c r="Q60" s="32">
        <f>MAX(O60*P60,0)</f>
        <v/>
      </c>
      <c r="R60" s="43">
        <f>B60*Q60</f>
        <v/>
      </c>
    </row>
    <row r="61">
      <c r="A61" s="17">
        <f>'Loan Tape (S&amp;P)'!A61</f>
        <v/>
      </c>
      <c r="B61" s="18">
        <f>'Loan Tape (S&amp;P)'!B61</f>
        <v/>
      </c>
      <c r="C61" s="18">
        <f>'Loan Tape (S&amp;P)'!D61</f>
        <v/>
      </c>
      <c r="D61" s="20">
        <f>'FF Calculations'!E61</f>
        <v/>
      </c>
      <c r="E61" s="20">
        <f>'Control Panel'!$B$19</f>
        <v/>
      </c>
      <c r="F61" s="17">
        <f>'Loan Tape (S&amp;P)'!I61</f>
        <v/>
      </c>
      <c r="G61" s="20">
        <f>IFERROR(VLOOKUP(F61,'LS Parameters'!$A$6:$B$10,2,FALSE),0.05)</f>
        <v/>
      </c>
      <c r="H61" s="17">
        <f>'Loan Tape (S&amp;P)'!J61</f>
        <v/>
      </c>
      <c r="I61" s="20">
        <f>IFERROR(VLOOKUP(H61,'LS Parameters'!$A$14:$B$25,2,FALSE),0)</f>
        <v/>
      </c>
      <c r="J61" s="20">
        <f>E61+G61+I61</f>
        <v/>
      </c>
      <c r="K61" s="20">
        <f>'Control Panel'!$B$20</f>
        <v/>
      </c>
      <c r="L61" s="20">
        <f>J61+K61</f>
        <v/>
      </c>
      <c r="M61" s="20">
        <f>1-(D61*L61)</f>
        <v/>
      </c>
      <c r="N61" s="20">
        <f>VLOOKUP('Control Panel'!$B$6,'Jurisdiction Parameters'!$A:$N,14,FALSE)</f>
        <v/>
      </c>
      <c r="O61" s="20">
        <f>IF(M61&gt;0,N61,1-M61+N61)</f>
        <v/>
      </c>
      <c r="P61" s="21">
        <f>LET(
    val_type,'Loan Tape (S&amp;P)'!AU61,
    IF(val_type="Full",1.00,
        IF(val_type="Desktop",1.061,
            IF(val_type="Drive-by",1.10,
                1.00)))
)</f>
        <v/>
      </c>
      <c r="Q61" s="32">
        <f>MAX(O61*P61,0)</f>
        <v/>
      </c>
      <c r="R61" s="43">
        <f>B61*Q61</f>
        <v/>
      </c>
    </row>
    <row r="62">
      <c r="A62" s="17">
        <f>'Loan Tape (S&amp;P)'!A62</f>
        <v/>
      </c>
      <c r="B62" s="18">
        <f>'Loan Tape (S&amp;P)'!B62</f>
        <v/>
      </c>
      <c r="C62" s="18">
        <f>'Loan Tape (S&amp;P)'!D62</f>
        <v/>
      </c>
      <c r="D62" s="20">
        <f>'FF Calculations'!E62</f>
        <v/>
      </c>
      <c r="E62" s="20">
        <f>'Control Panel'!$B$19</f>
        <v/>
      </c>
      <c r="F62" s="17">
        <f>'Loan Tape (S&amp;P)'!I62</f>
        <v/>
      </c>
      <c r="G62" s="20">
        <f>IFERROR(VLOOKUP(F62,'LS Parameters'!$A$6:$B$10,2,FALSE),0.05)</f>
        <v/>
      </c>
      <c r="H62" s="17">
        <f>'Loan Tape (S&amp;P)'!J62</f>
        <v/>
      </c>
      <c r="I62" s="20">
        <f>IFERROR(VLOOKUP(H62,'LS Parameters'!$A$14:$B$25,2,FALSE),0)</f>
        <v/>
      </c>
      <c r="J62" s="20">
        <f>E62+G62+I62</f>
        <v/>
      </c>
      <c r="K62" s="20">
        <f>'Control Panel'!$B$20</f>
        <v/>
      </c>
      <c r="L62" s="20">
        <f>J62+K62</f>
        <v/>
      </c>
      <c r="M62" s="20">
        <f>1-(D62*L62)</f>
        <v/>
      </c>
      <c r="N62" s="20">
        <f>VLOOKUP('Control Panel'!$B$6,'Jurisdiction Parameters'!$A:$N,14,FALSE)</f>
        <v/>
      </c>
      <c r="O62" s="20">
        <f>IF(M62&gt;0,N62,1-M62+N62)</f>
        <v/>
      </c>
      <c r="P62" s="21">
        <f>LET(
    val_type,'Loan Tape (S&amp;P)'!AU62,
    IF(val_type="Full",1.00,
        IF(val_type="Desktop",1.062,
            IF(val_type="Drive-by",1.10,
                1.00)))
)</f>
        <v/>
      </c>
      <c r="Q62" s="32">
        <f>MAX(O62*P62,0)</f>
        <v/>
      </c>
      <c r="R62" s="43">
        <f>B62*Q62</f>
        <v/>
      </c>
    </row>
    <row r="63">
      <c r="A63" s="17">
        <f>'Loan Tape (S&amp;P)'!A63</f>
        <v/>
      </c>
      <c r="B63" s="18">
        <f>'Loan Tape (S&amp;P)'!B63</f>
        <v/>
      </c>
      <c r="C63" s="18">
        <f>'Loan Tape (S&amp;P)'!D63</f>
        <v/>
      </c>
      <c r="D63" s="20">
        <f>'FF Calculations'!E63</f>
        <v/>
      </c>
      <c r="E63" s="20">
        <f>'Control Panel'!$B$19</f>
        <v/>
      </c>
      <c r="F63" s="17">
        <f>'Loan Tape (S&amp;P)'!I63</f>
        <v/>
      </c>
      <c r="G63" s="20">
        <f>IFERROR(VLOOKUP(F63,'LS Parameters'!$A$6:$B$10,2,FALSE),0.05)</f>
        <v/>
      </c>
      <c r="H63" s="17">
        <f>'Loan Tape (S&amp;P)'!J63</f>
        <v/>
      </c>
      <c r="I63" s="20">
        <f>IFERROR(VLOOKUP(H63,'LS Parameters'!$A$14:$B$25,2,FALSE),0)</f>
        <v/>
      </c>
      <c r="J63" s="20">
        <f>E63+G63+I63</f>
        <v/>
      </c>
      <c r="K63" s="20">
        <f>'Control Panel'!$B$20</f>
        <v/>
      </c>
      <c r="L63" s="20">
        <f>J63+K63</f>
        <v/>
      </c>
      <c r="M63" s="20">
        <f>1-(D63*L63)</f>
        <v/>
      </c>
      <c r="N63" s="20">
        <f>VLOOKUP('Control Panel'!$B$6,'Jurisdiction Parameters'!$A:$N,14,FALSE)</f>
        <v/>
      </c>
      <c r="O63" s="20">
        <f>IF(M63&gt;0,N63,1-M63+N63)</f>
        <v/>
      </c>
      <c r="P63" s="21">
        <f>LET(
    val_type,'Loan Tape (S&amp;P)'!AU63,
    IF(val_type="Full",1.00,
        IF(val_type="Desktop",1.063,
            IF(val_type="Drive-by",1.10,
                1.00)))
)</f>
        <v/>
      </c>
      <c r="Q63" s="32">
        <f>MAX(O63*P63,0)</f>
        <v/>
      </c>
      <c r="R63" s="43">
        <f>B63*Q63</f>
        <v/>
      </c>
    </row>
    <row r="64">
      <c r="A64" s="17">
        <f>'Loan Tape (S&amp;P)'!A64</f>
        <v/>
      </c>
      <c r="B64" s="18">
        <f>'Loan Tape (S&amp;P)'!B64</f>
        <v/>
      </c>
      <c r="C64" s="18">
        <f>'Loan Tape (S&amp;P)'!D64</f>
        <v/>
      </c>
      <c r="D64" s="20">
        <f>'FF Calculations'!E64</f>
        <v/>
      </c>
      <c r="E64" s="20">
        <f>'Control Panel'!$B$19</f>
        <v/>
      </c>
      <c r="F64" s="17">
        <f>'Loan Tape (S&amp;P)'!I64</f>
        <v/>
      </c>
      <c r="G64" s="20">
        <f>IFERROR(VLOOKUP(F64,'LS Parameters'!$A$6:$B$10,2,FALSE),0.05)</f>
        <v/>
      </c>
      <c r="H64" s="17">
        <f>'Loan Tape (S&amp;P)'!J64</f>
        <v/>
      </c>
      <c r="I64" s="20">
        <f>IFERROR(VLOOKUP(H64,'LS Parameters'!$A$14:$B$25,2,FALSE),0)</f>
        <v/>
      </c>
      <c r="J64" s="20">
        <f>E64+G64+I64</f>
        <v/>
      </c>
      <c r="K64" s="20">
        <f>'Control Panel'!$B$20</f>
        <v/>
      </c>
      <c r="L64" s="20">
        <f>J64+K64</f>
        <v/>
      </c>
      <c r="M64" s="20">
        <f>1-(D64*L64)</f>
        <v/>
      </c>
      <c r="N64" s="20">
        <f>VLOOKUP('Control Panel'!$B$6,'Jurisdiction Parameters'!$A:$N,14,FALSE)</f>
        <v/>
      </c>
      <c r="O64" s="20">
        <f>IF(M64&gt;0,N64,1-M64+N64)</f>
        <v/>
      </c>
      <c r="P64" s="21">
        <f>LET(
    val_type,'Loan Tape (S&amp;P)'!AU64,
    IF(val_type="Full",1.00,
        IF(val_type="Desktop",1.064,
            IF(val_type="Drive-by",1.10,
                1.00)))
)</f>
        <v/>
      </c>
      <c r="Q64" s="32">
        <f>MAX(O64*P64,0)</f>
        <v/>
      </c>
      <c r="R64" s="43">
        <f>B64*Q64</f>
        <v/>
      </c>
    </row>
    <row r="65">
      <c r="A65" s="17">
        <f>'Loan Tape (S&amp;P)'!A65</f>
        <v/>
      </c>
      <c r="B65" s="18">
        <f>'Loan Tape (S&amp;P)'!B65</f>
        <v/>
      </c>
      <c r="C65" s="18">
        <f>'Loan Tape (S&amp;P)'!D65</f>
        <v/>
      </c>
      <c r="D65" s="20">
        <f>'FF Calculations'!E65</f>
        <v/>
      </c>
      <c r="E65" s="20">
        <f>'Control Panel'!$B$19</f>
        <v/>
      </c>
      <c r="F65" s="17">
        <f>'Loan Tape (S&amp;P)'!I65</f>
        <v/>
      </c>
      <c r="G65" s="20">
        <f>IFERROR(VLOOKUP(F65,'LS Parameters'!$A$6:$B$10,2,FALSE),0.05)</f>
        <v/>
      </c>
      <c r="H65" s="17">
        <f>'Loan Tape (S&amp;P)'!J65</f>
        <v/>
      </c>
      <c r="I65" s="20">
        <f>IFERROR(VLOOKUP(H65,'LS Parameters'!$A$14:$B$25,2,FALSE),0)</f>
        <v/>
      </c>
      <c r="J65" s="20">
        <f>E65+G65+I65</f>
        <v/>
      </c>
      <c r="K65" s="20">
        <f>'Control Panel'!$B$20</f>
        <v/>
      </c>
      <c r="L65" s="20">
        <f>J65+K65</f>
        <v/>
      </c>
      <c r="M65" s="20">
        <f>1-(D65*L65)</f>
        <v/>
      </c>
      <c r="N65" s="20">
        <f>VLOOKUP('Control Panel'!$B$6,'Jurisdiction Parameters'!$A:$N,14,FALSE)</f>
        <v/>
      </c>
      <c r="O65" s="20">
        <f>IF(M65&gt;0,N65,1-M65+N65)</f>
        <v/>
      </c>
      <c r="P65" s="21">
        <f>LET(
    val_type,'Loan Tape (S&amp;P)'!AU65,
    IF(val_type="Full",1.00,
        IF(val_type="Desktop",1.065,
            IF(val_type="Drive-by",1.10,
                1.00)))
)</f>
        <v/>
      </c>
      <c r="Q65" s="32">
        <f>MAX(O65*P65,0)</f>
        <v/>
      </c>
      <c r="R65" s="43">
        <f>B65*Q65</f>
        <v/>
      </c>
    </row>
    <row r="66">
      <c r="A66" s="17">
        <f>'Loan Tape (S&amp;P)'!A66</f>
        <v/>
      </c>
      <c r="B66" s="18">
        <f>'Loan Tape (S&amp;P)'!B66</f>
        <v/>
      </c>
      <c r="C66" s="18">
        <f>'Loan Tape (S&amp;P)'!D66</f>
        <v/>
      </c>
      <c r="D66" s="20">
        <f>'FF Calculations'!E66</f>
        <v/>
      </c>
      <c r="E66" s="20">
        <f>'Control Panel'!$B$19</f>
        <v/>
      </c>
      <c r="F66" s="17">
        <f>'Loan Tape (S&amp;P)'!I66</f>
        <v/>
      </c>
      <c r="G66" s="20">
        <f>IFERROR(VLOOKUP(F66,'LS Parameters'!$A$6:$B$10,2,FALSE),0.05)</f>
        <v/>
      </c>
      <c r="H66" s="17">
        <f>'Loan Tape (S&amp;P)'!J66</f>
        <v/>
      </c>
      <c r="I66" s="20">
        <f>IFERROR(VLOOKUP(H66,'LS Parameters'!$A$14:$B$25,2,FALSE),0)</f>
        <v/>
      </c>
      <c r="J66" s="20">
        <f>E66+G66+I66</f>
        <v/>
      </c>
      <c r="K66" s="20">
        <f>'Control Panel'!$B$20</f>
        <v/>
      </c>
      <c r="L66" s="20">
        <f>J66+K66</f>
        <v/>
      </c>
      <c r="M66" s="20">
        <f>1-(D66*L66)</f>
        <v/>
      </c>
      <c r="N66" s="20">
        <f>VLOOKUP('Control Panel'!$B$6,'Jurisdiction Parameters'!$A:$N,14,FALSE)</f>
        <v/>
      </c>
      <c r="O66" s="20">
        <f>IF(M66&gt;0,N66,1-M66+N66)</f>
        <v/>
      </c>
      <c r="P66" s="21">
        <f>LET(
    val_type,'Loan Tape (S&amp;P)'!AU66,
    IF(val_type="Full",1.00,
        IF(val_type="Desktop",1.066,
            IF(val_type="Drive-by",1.10,
                1.00)))
)</f>
        <v/>
      </c>
      <c r="Q66" s="32">
        <f>MAX(O66*P66,0)</f>
        <v/>
      </c>
      <c r="R66" s="43">
        <f>B66*Q66</f>
        <v/>
      </c>
    </row>
    <row r="67">
      <c r="A67" s="17">
        <f>'Loan Tape (S&amp;P)'!A67</f>
        <v/>
      </c>
      <c r="B67" s="18">
        <f>'Loan Tape (S&amp;P)'!B67</f>
        <v/>
      </c>
      <c r="C67" s="18">
        <f>'Loan Tape (S&amp;P)'!D67</f>
        <v/>
      </c>
      <c r="D67" s="20">
        <f>'FF Calculations'!E67</f>
        <v/>
      </c>
      <c r="E67" s="20">
        <f>'Control Panel'!$B$19</f>
        <v/>
      </c>
      <c r="F67" s="17">
        <f>'Loan Tape (S&amp;P)'!I67</f>
        <v/>
      </c>
      <c r="G67" s="20">
        <f>IFERROR(VLOOKUP(F67,'LS Parameters'!$A$6:$B$10,2,FALSE),0.05)</f>
        <v/>
      </c>
      <c r="H67" s="17">
        <f>'Loan Tape (S&amp;P)'!J67</f>
        <v/>
      </c>
      <c r="I67" s="20">
        <f>IFERROR(VLOOKUP(H67,'LS Parameters'!$A$14:$B$25,2,FALSE),0)</f>
        <v/>
      </c>
      <c r="J67" s="20">
        <f>E67+G67+I67</f>
        <v/>
      </c>
      <c r="K67" s="20">
        <f>'Control Panel'!$B$20</f>
        <v/>
      </c>
      <c r="L67" s="20">
        <f>J67+K67</f>
        <v/>
      </c>
      <c r="M67" s="20">
        <f>1-(D67*L67)</f>
        <v/>
      </c>
      <c r="N67" s="20">
        <f>VLOOKUP('Control Panel'!$B$6,'Jurisdiction Parameters'!$A:$N,14,FALSE)</f>
        <v/>
      </c>
      <c r="O67" s="20">
        <f>IF(M67&gt;0,N67,1-M67+N67)</f>
        <v/>
      </c>
      <c r="P67" s="21">
        <f>LET(
    val_type,'Loan Tape (S&amp;P)'!AU67,
    IF(val_type="Full",1.00,
        IF(val_type="Desktop",1.067,
            IF(val_type="Drive-by",1.10,
                1.00)))
)</f>
        <v/>
      </c>
      <c r="Q67" s="32">
        <f>MAX(O67*P67,0)</f>
        <v/>
      </c>
      <c r="R67" s="43">
        <f>B67*Q67</f>
        <v/>
      </c>
    </row>
    <row r="68">
      <c r="A68" s="17">
        <f>'Loan Tape (S&amp;P)'!A68</f>
        <v/>
      </c>
      <c r="B68" s="18">
        <f>'Loan Tape (S&amp;P)'!B68</f>
        <v/>
      </c>
      <c r="C68" s="18">
        <f>'Loan Tape (S&amp;P)'!D68</f>
        <v/>
      </c>
      <c r="D68" s="20">
        <f>'FF Calculations'!E68</f>
        <v/>
      </c>
      <c r="E68" s="20">
        <f>'Control Panel'!$B$19</f>
        <v/>
      </c>
      <c r="F68" s="17">
        <f>'Loan Tape (S&amp;P)'!I68</f>
        <v/>
      </c>
      <c r="G68" s="20">
        <f>IFERROR(VLOOKUP(F68,'LS Parameters'!$A$6:$B$10,2,FALSE),0.05)</f>
        <v/>
      </c>
      <c r="H68" s="17">
        <f>'Loan Tape (S&amp;P)'!J68</f>
        <v/>
      </c>
      <c r="I68" s="20">
        <f>IFERROR(VLOOKUP(H68,'LS Parameters'!$A$14:$B$25,2,FALSE),0)</f>
        <v/>
      </c>
      <c r="J68" s="20">
        <f>E68+G68+I68</f>
        <v/>
      </c>
      <c r="K68" s="20">
        <f>'Control Panel'!$B$20</f>
        <v/>
      </c>
      <c r="L68" s="20">
        <f>J68+K68</f>
        <v/>
      </c>
      <c r="M68" s="20">
        <f>1-(D68*L68)</f>
        <v/>
      </c>
      <c r="N68" s="20">
        <f>VLOOKUP('Control Panel'!$B$6,'Jurisdiction Parameters'!$A:$N,14,FALSE)</f>
        <v/>
      </c>
      <c r="O68" s="20">
        <f>IF(M68&gt;0,N68,1-M68+N68)</f>
        <v/>
      </c>
      <c r="P68" s="21">
        <f>LET(
    val_type,'Loan Tape (S&amp;P)'!AU68,
    IF(val_type="Full",1.00,
        IF(val_type="Desktop",1.068,
            IF(val_type="Drive-by",1.10,
                1.00)))
)</f>
        <v/>
      </c>
      <c r="Q68" s="32">
        <f>MAX(O68*P68,0)</f>
        <v/>
      </c>
      <c r="R68" s="43">
        <f>B68*Q68</f>
        <v/>
      </c>
    </row>
    <row r="69">
      <c r="A69" s="17">
        <f>'Loan Tape (S&amp;P)'!A69</f>
        <v/>
      </c>
      <c r="B69" s="18">
        <f>'Loan Tape (S&amp;P)'!B69</f>
        <v/>
      </c>
      <c r="C69" s="18">
        <f>'Loan Tape (S&amp;P)'!D69</f>
        <v/>
      </c>
      <c r="D69" s="20">
        <f>'FF Calculations'!E69</f>
        <v/>
      </c>
      <c r="E69" s="20">
        <f>'Control Panel'!$B$19</f>
        <v/>
      </c>
      <c r="F69" s="17">
        <f>'Loan Tape (S&amp;P)'!I69</f>
        <v/>
      </c>
      <c r="G69" s="20">
        <f>IFERROR(VLOOKUP(F69,'LS Parameters'!$A$6:$B$10,2,FALSE),0.05)</f>
        <v/>
      </c>
      <c r="H69" s="17">
        <f>'Loan Tape (S&amp;P)'!J69</f>
        <v/>
      </c>
      <c r="I69" s="20">
        <f>IFERROR(VLOOKUP(H69,'LS Parameters'!$A$14:$B$25,2,FALSE),0)</f>
        <v/>
      </c>
      <c r="J69" s="20">
        <f>E69+G69+I69</f>
        <v/>
      </c>
      <c r="K69" s="20">
        <f>'Control Panel'!$B$20</f>
        <v/>
      </c>
      <c r="L69" s="20">
        <f>J69+K69</f>
        <v/>
      </c>
      <c r="M69" s="20">
        <f>1-(D69*L69)</f>
        <v/>
      </c>
      <c r="N69" s="20">
        <f>VLOOKUP('Control Panel'!$B$6,'Jurisdiction Parameters'!$A:$N,14,FALSE)</f>
        <v/>
      </c>
      <c r="O69" s="20">
        <f>IF(M69&gt;0,N69,1-M69+N69)</f>
        <v/>
      </c>
      <c r="P69" s="21">
        <f>LET(
    val_type,'Loan Tape (S&amp;P)'!AU69,
    IF(val_type="Full",1.00,
        IF(val_type="Desktop",1.069,
            IF(val_type="Drive-by",1.10,
                1.00)))
)</f>
        <v/>
      </c>
      <c r="Q69" s="32">
        <f>MAX(O69*P69,0)</f>
        <v/>
      </c>
      <c r="R69" s="43">
        <f>B69*Q69</f>
        <v/>
      </c>
    </row>
    <row r="70">
      <c r="A70" s="17">
        <f>'Loan Tape (S&amp;P)'!A70</f>
        <v/>
      </c>
      <c r="B70" s="18">
        <f>'Loan Tape (S&amp;P)'!B70</f>
        <v/>
      </c>
      <c r="C70" s="18">
        <f>'Loan Tape (S&amp;P)'!D70</f>
        <v/>
      </c>
      <c r="D70" s="20">
        <f>'FF Calculations'!E70</f>
        <v/>
      </c>
      <c r="E70" s="20">
        <f>'Control Panel'!$B$19</f>
        <v/>
      </c>
      <c r="F70" s="17">
        <f>'Loan Tape (S&amp;P)'!I70</f>
        <v/>
      </c>
      <c r="G70" s="20">
        <f>IFERROR(VLOOKUP(F70,'LS Parameters'!$A$6:$B$10,2,FALSE),0.05)</f>
        <v/>
      </c>
      <c r="H70" s="17">
        <f>'Loan Tape (S&amp;P)'!J70</f>
        <v/>
      </c>
      <c r="I70" s="20">
        <f>IFERROR(VLOOKUP(H70,'LS Parameters'!$A$14:$B$25,2,FALSE),0)</f>
        <v/>
      </c>
      <c r="J70" s="20">
        <f>E70+G70+I70</f>
        <v/>
      </c>
      <c r="K70" s="20">
        <f>'Control Panel'!$B$20</f>
        <v/>
      </c>
      <c r="L70" s="20">
        <f>J70+K70</f>
        <v/>
      </c>
      <c r="M70" s="20">
        <f>1-(D70*L70)</f>
        <v/>
      </c>
      <c r="N70" s="20">
        <f>VLOOKUP('Control Panel'!$B$6,'Jurisdiction Parameters'!$A:$N,14,FALSE)</f>
        <v/>
      </c>
      <c r="O70" s="20">
        <f>IF(M70&gt;0,N70,1-M70+N70)</f>
        <v/>
      </c>
      <c r="P70" s="21">
        <f>LET(
    val_type,'Loan Tape (S&amp;P)'!AU70,
    IF(val_type="Full",1.00,
        IF(val_type="Desktop",1.070,
            IF(val_type="Drive-by",1.10,
                1.00)))
)</f>
        <v/>
      </c>
      <c r="Q70" s="32">
        <f>MAX(O70*P70,0)</f>
        <v/>
      </c>
      <c r="R70" s="43">
        <f>B70*Q70</f>
        <v/>
      </c>
    </row>
    <row r="71">
      <c r="A71" s="17">
        <f>'Loan Tape (S&amp;P)'!A71</f>
        <v/>
      </c>
      <c r="B71" s="18">
        <f>'Loan Tape (S&amp;P)'!B71</f>
        <v/>
      </c>
      <c r="C71" s="18">
        <f>'Loan Tape (S&amp;P)'!D71</f>
        <v/>
      </c>
      <c r="D71" s="20">
        <f>'FF Calculations'!E71</f>
        <v/>
      </c>
      <c r="E71" s="20">
        <f>'Control Panel'!$B$19</f>
        <v/>
      </c>
      <c r="F71" s="17">
        <f>'Loan Tape (S&amp;P)'!I71</f>
        <v/>
      </c>
      <c r="G71" s="20">
        <f>IFERROR(VLOOKUP(F71,'LS Parameters'!$A$6:$B$10,2,FALSE),0.05)</f>
        <v/>
      </c>
      <c r="H71" s="17">
        <f>'Loan Tape (S&amp;P)'!J71</f>
        <v/>
      </c>
      <c r="I71" s="20">
        <f>IFERROR(VLOOKUP(H71,'LS Parameters'!$A$14:$B$25,2,FALSE),0)</f>
        <v/>
      </c>
      <c r="J71" s="20">
        <f>E71+G71+I71</f>
        <v/>
      </c>
      <c r="K71" s="20">
        <f>'Control Panel'!$B$20</f>
        <v/>
      </c>
      <c r="L71" s="20">
        <f>J71+K71</f>
        <v/>
      </c>
      <c r="M71" s="20">
        <f>1-(D71*L71)</f>
        <v/>
      </c>
      <c r="N71" s="20">
        <f>VLOOKUP('Control Panel'!$B$6,'Jurisdiction Parameters'!$A:$N,14,FALSE)</f>
        <v/>
      </c>
      <c r="O71" s="20">
        <f>IF(M71&gt;0,N71,1-M71+N71)</f>
        <v/>
      </c>
      <c r="P71" s="21">
        <f>LET(
    val_type,'Loan Tape (S&amp;P)'!AU71,
    IF(val_type="Full",1.00,
        IF(val_type="Desktop",1.071,
            IF(val_type="Drive-by",1.10,
                1.00)))
)</f>
        <v/>
      </c>
      <c r="Q71" s="32">
        <f>MAX(O71*P71,0)</f>
        <v/>
      </c>
      <c r="R71" s="43">
        <f>B71*Q71</f>
        <v/>
      </c>
    </row>
    <row r="72">
      <c r="A72" s="17">
        <f>'Loan Tape (S&amp;P)'!A72</f>
        <v/>
      </c>
      <c r="B72" s="18">
        <f>'Loan Tape (S&amp;P)'!B72</f>
        <v/>
      </c>
      <c r="C72" s="18">
        <f>'Loan Tape (S&amp;P)'!D72</f>
        <v/>
      </c>
      <c r="D72" s="20">
        <f>'FF Calculations'!E72</f>
        <v/>
      </c>
      <c r="E72" s="20">
        <f>'Control Panel'!$B$19</f>
        <v/>
      </c>
      <c r="F72" s="17">
        <f>'Loan Tape (S&amp;P)'!I72</f>
        <v/>
      </c>
      <c r="G72" s="20">
        <f>IFERROR(VLOOKUP(F72,'LS Parameters'!$A$6:$B$10,2,FALSE),0.05)</f>
        <v/>
      </c>
      <c r="H72" s="17">
        <f>'Loan Tape (S&amp;P)'!J72</f>
        <v/>
      </c>
      <c r="I72" s="20">
        <f>IFERROR(VLOOKUP(H72,'LS Parameters'!$A$14:$B$25,2,FALSE),0)</f>
        <v/>
      </c>
      <c r="J72" s="20">
        <f>E72+G72+I72</f>
        <v/>
      </c>
      <c r="K72" s="20">
        <f>'Control Panel'!$B$20</f>
        <v/>
      </c>
      <c r="L72" s="20">
        <f>J72+K72</f>
        <v/>
      </c>
      <c r="M72" s="20">
        <f>1-(D72*L72)</f>
        <v/>
      </c>
      <c r="N72" s="20">
        <f>VLOOKUP('Control Panel'!$B$6,'Jurisdiction Parameters'!$A:$N,14,FALSE)</f>
        <v/>
      </c>
      <c r="O72" s="20">
        <f>IF(M72&gt;0,N72,1-M72+N72)</f>
        <v/>
      </c>
      <c r="P72" s="21">
        <f>LET(
    val_type,'Loan Tape (S&amp;P)'!AU72,
    IF(val_type="Full",1.00,
        IF(val_type="Desktop",1.072,
            IF(val_type="Drive-by",1.10,
                1.00)))
)</f>
        <v/>
      </c>
      <c r="Q72" s="32">
        <f>MAX(O72*P72,0)</f>
        <v/>
      </c>
      <c r="R72" s="43">
        <f>B72*Q72</f>
        <v/>
      </c>
    </row>
    <row r="73">
      <c r="A73" s="17">
        <f>'Loan Tape (S&amp;P)'!A73</f>
        <v/>
      </c>
      <c r="B73" s="18">
        <f>'Loan Tape (S&amp;P)'!B73</f>
        <v/>
      </c>
      <c r="C73" s="18">
        <f>'Loan Tape (S&amp;P)'!D73</f>
        <v/>
      </c>
      <c r="D73" s="20">
        <f>'FF Calculations'!E73</f>
        <v/>
      </c>
      <c r="E73" s="20">
        <f>'Control Panel'!$B$19</f>
        <v/>
      </c>
      <c r="F73" s="17">
        <f>'Loan Tape (S&amp;P)'!I73</f>
        <v/>
      </c>
      <c r="G73" s="20">
        <f>IFERROR(VLOOKUP(F73,'LS Parameters'!$A$6:$B$10,2,FALSE),0.05)</f>
        <v/>
      </c>
      <c r="H73" s="17">
        <f>'Loan Tape (S&amp;P)'!J73</f>
        <v/>
      </c>
      <c r="I73" s="20">
        <f>IFERROR(VLOOKUP(H73,'LS Parameters'!$A$14:$B$25,2,FALSE),0)</f>
        <v/>
      </c>
      <c r="J73" s="20">
        <f>E73+G73+I73</f>
        <v/>
      </c>
      <c r="K73" s="20">
        <f>'Control Panel'!$B$20</f>
        <v/>
      </c>
      <c r="L73" s="20">
        <f>J73+K73</f>
        <v/>
      </c>
      <c r="M73" s="20">
        <f>1-(D73*L73)</f>
        <v/>
      </c>
      <c r="N73" s="20">
        <f>VLOOKUP('Control Panel'!$B$6,'Jurisdiction Parameters'!$A:$N,14,FALSE)</f>
        <v/>
      </c>
      <c r="O73" s="20">
        <f>IF(M73&gt;0,N73,1-M73+N73)</f>
        <v/>
      </c>
      <c r="P73" s="21">
        <f>LET(
    val_type,'Loan Tape (S&amp;P)'!AU73,
    IF(val_type="Full",1.00,
        IF(val_type="Desktop",1.073,
            IF(val_type="Drive-by",1.10,
                1.00)))
)</f>
        <v/>
      </c>
      <c r="Q73" s="32">
        <f>MAX(O73*P73,0)</f>
        <v/>
      </c>
      <c r="R73" s="43">
        <f>B73*Q73</f>
        <v/>
      </c>
    </row>
    <row r="74">
      <c r="A74" s="17">
        <f>'Loan Tape (S&amp;P)'!A74</f>
        <v/>
      </c>
      <c r="B74" s="18">
        <f>'Loan Tape (S&amp;P)'!B74</f>
        <v/>
      </c>
      <c r="C74" s="18">
        <f>'Loan Tape (S&amp;P)'!D74</f>
        <v/>
      </c>
      <c r="D74" s="20">
        <f>'FF Calculations'!E74</f>
        <v/>
      </c>
      <c r="E74" s="20">
        <f>'Control Panel'!$B$19</f>
        <v/>
      </c>
      <c r="F74" s="17">
        <f>'Loan Tape (S&amp;P)'!I74</f>
        <v/>
      </c>
      <c r="G74" s="20">
        <f>IFERROR(VLOOKUP(F74,'LS Parameters'!$A$6:$B$10,2,FALSE),0.05)</f>
        <v/>
      </c>
      <c r="H74" s="17">
        <f>'Loan Tape (S&amp;P)'!J74</f>
        <v/>
      </c>
      <c r="I74" s="20">
        <f>IFERROR(VLOOKUP(H74,'LS Parameters'!$A$14:$B$25,2,FALSE),0)</f>
        <v/>
      </c>
      <c r="J74" s="20">
        <f>E74+G74+I74</f>
        <v/>
      </c>
      <c r="K74" s="20">
        <f>'Control Panel'!$B$20</f>
        <v/>
      </c>
      <c r="L74" s="20">
        <f>J74+K74</f>
        <v/>
      </c>
      <c r="M74" s="20">
        <f>1-(D74*L74)</f>
        <v/>
      </c>
      <c r="N74" s="20">
        <f>VLOOKUP('Control Panel'!$B$6,'Jurisdiction Parameters'!$A:$N,14,FALSE)</f>
        <v/>
      </c>
      <c r="O74" s="20">
        <f>IF(M74&gt;0,N74,1-M74+N74)</f>
        <v/>
      </c>
      <c r="P74" s="21">
        <f>LET(
    val_type,'Loan Tape (S&amp;P)'!AU74,
    IF(val_type="Full",1.00,
        IF(val_type="Desktop",1.074,
            IF(val_type="Drive-by",1.10,
                1.00)))
)</f>
        <v/>
      </c>
      <c r="Q74" s="32">
        <f>MAX(O74*P74,0)</f>
        <v/>
      </c>
      <c r="R74" s="43">
        <f>B74*Q74</f>
        <v/>
      </c>
    </row>
    <row r="75">
      <c r="A75" s="17">
        <f>'Loan Tape (S&amp;P)'!A75</f>
        <v/>
      </c>
      <c r="B75" s="18">
        <f>'Loan Tape (S&amp;P)'!B75</f>
        <v/>
      </c>
      <c r="C75" s="18">
        <f>'Loan Tape (S&amp;P)'!D75</f>
        <v/>
      </c>
      <c r="D75" s="20">
        <f>'FF Calculations'!E75</f>
        <v/>
      </c>
      <c r="E75" s="20">
        <f>'Control Panel'!$B$19</f>
        <v/>
      </c>
      <c r="F75" s="17">
        <f>'Loan Tape (S&amp;P)'!I75</f>
        <v/>
      </c>
      <c r="G75" s="20">
        <f>IFERROR(VLOOKUP(F75,'LS Parameters'!$A$6:$B$10,2,FALSE),0.05)</f>
        <v/>
      </c>
      <c r="H75" s="17">
        <f>'Loan Tape (S&amp;P)'!J75</f>
        <v/>
      </c>
      <c r="I75" s="20">
        <f>IFERROR(VLOOKUP(H75,'LS Parameters'!$A$14:$B$25,2,FALSE),0)</f>
        <v/>
      </c>
      <c r="J75" s="20">
        <f>E75+G75+I75</f>
        <v/>
      </c>
      <c r="K75" s="20">
        <f>'Control Panel'!$B$20</f>
        <v/>
      </c>
      <c r="L75" s="20">
        <f>J75+K75</f>
        <v/>
      </c>
      <c r="M75" s="20">
        <f>1-(D75*L75)</f>
        <v/>
      </c>
      <c r="N75" s="20">
        <f>VLOOKUP('Control Panel'!$B$6,'Jurisdiction Parameters'!$A:$N,14,FALSE)</f>
        <v/>
      </c>
      <c r="O75" s="20">
        <f>IF(M75&gt;0,N75,1-M75+N75)</f>
        <v/>
      </c>
      <c r="P75" s="21">
        <f>LET(
    val_type,'Loan Tape (S&amp;P)'!AU75,
    IF(val_type="Full",1.00,
        IF(val_type="Desktop",1.075,
            IF(val_type="Drive-by",1.10,
                1.00)))
)</f>
        <v/>
      </c>
      <c r="Q75" s="32">
        <f>MAX(O75*P75,0)</f>
        <v/>
      </c>
      <c r="R75" s="43">
        <f>B75*Q75</f>
        <v/>
      </c>
    </row>
    <row r="76">
      <c r="A76" s="17">
        <f>'Loan Tape (S&amp;P)'!A76</f>
        <v/>
      </c>
      <c r="B76" s="18">
        <f>'Loan Tape (S&amp;P)'!B76</f>
        <v/>
      </c>
      <c r="C76" s="18">
        <f>'Loan Tape (S&amp;P)'!D76</f>
        <v/>
      </c>
      <c r="D76" s="20">
        <f>'FF Calculations'!E76</f>
        <v/>
      </c>
      <c r="E76" s="20">
        <f>'Control Panel'!$B$19</f>
        <v/>
      </c>
      <c r="F76" s="17">
        <f>'Loan Tape (S&amp;P)'!I76</f>
        <v/>
      </c>
      <c r="G76" s="20">
        <f>IFERROR(VLOOKUP(F76,'LS Parameters'!$A$6:$B$10,2,FALSE),0.05)</f>
        <v/>
      </c>
      <c r="H76" s="17">
        <f>'Loan Tape (S&amp;P)'!J76</f>
        <v/>
      </c>
      <c r="I76" s="20">
        <f>IFERROR(VLOOKUP(H76,'LS Parameters'!$A$14:$B$25,2,FALSE),0)</f>
        <v/>
      </c>
      <c r="J76" s="20">
        <f>E76+G76+I76</f>
        <v/>
      </c>
      <c r="K76" s="20">
        <f>'Control Panel'!$B$20</f>
        <v/>
      </c>
      <c r="L76" s="20">
        <f>J76+K76</f>
        <v/>
      </c>
      <c r="M76" s="20">
        <f>1-(D76*L76)</f>
        <v/>
      </c>
      <c r="N76" s="20">
        <f>VLOOKUP('Control Panel'!$B$6,'Jurisdiction Parameters'!$A:$N,14,FALSE)</f>
        <v/>
      </c>
      <c r="O76" s="20">
        <f>IF(M76&gt;0,N76,1-M76+N76)</f>
        <v/>
      </c>
      <c r="P76" s="21">
        <f>LET(
    val_type,'Loan Tape (S&amp;P)'!AU76,
    IF(val_type="Full",1.00,
        IF(val_type="Desktop",1.076,
            IF(val_type="Drive-by",1.10,
                1.00)))
)</f>
        <v/>
      </c>
      <c r="Q76" s="32">
        <f>MAX(O76*P76,0)</f>
        <v/>
      </c>
      <c r="R76" s="43">
        <f>B76*Q76</f>
        <v/>
      </c>
    </row>
    <row r="77">
      <c r="A77" s="17">
        <f>'Loan Tape (S&amp;P)'!A77</f>
        <v/>
      </c>
      <c r="B77" s="18">
        <f>'Loan Tape (S&amp;P)'!B77</f>
        <v/>
      </c>
      <c r="C77" s="18">
        <f>'Loan Tape (S&amp;P)'!D77</f>
        <v/>
      </c>
      <c r="D77" s="20">
        <f>'FF Calculations'!E77</f>
        <v/>
      </c>
      <c r="E77" s="20">
        <f>'Control Panel'!$B$19</f>
        <v/>
      </c>
      <c r="F77" s="17">
        <f>'Loan Tape (S&amp;P)'!I77</f>
        <v/>
      </c>
      <c r="G77" s="20">
        <f>IFERROR(VLOOKUP(F77,'LS Parameters'!$A$6:$B$10,2,FALSE),0.05)</f>
        <v/>
      </c>
      <c r="H77" s="17">
        <f>'Loan Tape (S&amp;P)'!J77</f>
        <v/>
      </c>
      <c r="I77" s="20">
        <f>IFERROR(VLOOKUP(H77,'LS Parameters'!$A$14:$B$25,2,FALSE),0)</f>
        <v/>
      </c>
      <c r="J77" s="20">
        <f>E77+G77+I77</f>
        <v/>
      </c>
      <c r="K77" s="20">
        <f>'Control Panel'!$B$20</f>
        <v/>
      </c>
      <c r="L77" s="20">
        <f>J77+K77</f>
        <v/>
      </c>
      <c r="M77" s="20">
        <f>1-(D77*L77)</f>
        <v/>
      </c>
      <c r="N77" s="20">
        <f>VLOOKUP('Control Panel'!$B$6,'Jurisdiction Parameters'!$A:$N,14,FALSE)</f>
        <v/>
      </c>
      <c r="O77" s="20">
        <f>IF(M77&gt;0,N77,1-M77+N77)</f>
        <v/>
      </c>
      <c r="P77" s="21">
        <f>LET(
    val_type,'Loan Tape (S&amp;P)'!AU77,
    IF(val_type="Full",1.00,
        IF(val_type="Desktop",1.077,
            IF(val_type="Drive-by",1.10,
                1.00)))
)</f>
        <v/>
      </c>
      <c r="Q77" s="32">
        <f>MAX(O77*P77,0)</f>
        <v/>
      </c>
      <c r="R77" s="43">
        <f>B77*Q77</f>
        <v/>
      </c>
    </row>
    <row r="78">
      <c r="A78" s="17">
        <f>'Loan Tape (S&amp;P)'!A78</f>
        <v/>
      </c>
      <c r="B78" s="18">
        <f>'Loan Tape (S&amp;P)'!B78</f>
        <v/>
      </c>
      <c r="C78" s="18">
        <f>'Loan Tape (S&amp;P)'!D78</f>
        <v/>
      </c>
      <c r="D78" s="20">
        <f>'FF Calculations'!E78</f>
        <v/>
      </c>
      <c r="E78" s="20">
        <f>'Control Panel'!$B$19</f>
        <v/>
      </c>
      <c r="F78" s="17">
        <f>'Loan Tape (S&amp;P)'!I78</f>
        <v/>
      </c>
      <c r="G78" s="20">
        <f>IFERROR(VLOOKUP(F78,'LS Parameters'!$A$6:$B$10,2,FALSE),0.05)</f>
        <v/>
      </c>
      <c r="H78" s="17">
        <f>'Loan Tape (S&amp;P)'!J78</f>
        <v/>
      </c>
      <c r="I78" s="20">
        <f>IFERROR(VLOOKUP(H78,'LS Parameters'!$A$14:$B$25,2,FALSE),0)</f>
        <v/>
      </c>
      <c r="J78" s="20">
        <f>E78+G78+I78</f>
        <v/>
      </c>
      <c r="K78" s="20">
        <f>'Control Panel'!$B$20</f>
        <v/>
      </c>
      <c r="L78" s="20">
        <f>J78+K78</f>
        <v/>
      </c>
      <c r="M78" s="20">
        <f>1-(D78*L78)</f>
        <v/>
      </c>
      <c r="N78" s="20">
        <f>VLOOKUP('Control Panel'!$B$6,'Jurisdiction Parameters'!$A:$N,14,FALSE)</f>
        <v/>
      </c>
      <c r="O78" s="20">
        <f>IF(M78&gt;0,N78,1-M78+N78)</f>
        <v/>
      </c>
      <c r="P78" s="21">
        <f>LET(
    val_type,'Loan Tape (S&amp;P)'!AU78,
    IF(val_type="Full",1.00,
        IF(val_type="Desktop",1.078,
            IF(val_type="Drive-by",1.10,
                1.00)))
)</f>
        <v/>
      </c>
      <c r="Q78" s="32">
        <f>MAX(O78*P78,0)</f>
        <v/>
      </c>
      <c r="R78" s="43">
        <f>B78*Q78</f>
        <v/>
      </c>
    </row>
    <row r="79">
      <c r="A79" s="17">
        <f>'Loan Tape (S&amp;P)'!A79</f>
        <v/>
      </c>
      <c r="B79" s="18">
        <f>'Loan Tape (S&amp;P)'!B79</f>
        <v/>
      </c>
      <c r="C79" s="18">
        <f>'Loan Tape (S&amp;P)'!D79</f>
        <v/>
      </c>
      <c r="D79" s="20">
        <f>'FF Calculations'!E79</f>
        <v/>
      </c>
      <c r="E79" s="20">
        <f>'Control Panel'!$B$19</f>
        <v/>
      </c>
      <c r="F79" s="17">
        <f>'Loan Tape (S&amp;P)'!I79</f>
        <v/>
      </c>
      <c r="G79" s="20">
        <f>IFERROR(VLOOKUP(F79,'LS Parameters'!$A$6:$B$10,2,FALSE),0.05)</f>
        <v/>
      </c>
      <c r="H79" s="17">
        <f>'Loan Tape (S&amp;P)'!J79</f>
        <v/>
      </c>
      <c r="I79" s="20">
        <f>IFERROR(VLOOKUP(H79,'LS Parameters'!$A$14:$B$25,2,FALSE),0)</f>
        <v/>
      </c>
      <c r="J79" s="20">
        <f>E79+G79+I79</f>
        <v/>
      </c>
      <c r="K79" s="20">
        <f>'Control Panel'!$B$20</f>
        <v/>
      </c>
      <c r="L79" s="20">
        <f>J79+K79</f>
        <v/>
      </c>
      <c r="M79" s="20">
        <f>1-(D79*L79)</f>
        <v/>
      </c>
      <c r="N79" s="20">
        <f>VLOOKUP('Control Panel'!$B$6,'Jurisdiction Parameters'!$A:$N,14,FALSE)</f>
        <v/>
      </c>
      <c r="O79" s="20">
        <f>IF(M79&gt;0,N79,1-M79+N79)</f>
        <v/>
      </c>
      <c r="P79" s="21">
        <f>LET(
    val_type,'Loan Tape (S&amp;P)'!AU79,
    IF(val_type="Full",1.00,
        IF(val_type="Desktop",1.079,
            IF(val_type="Drive-by",1.10,
                1.00)))
)</f>
        <v/>
      </c>
      <c r="Q79" s="32">
        <f>MAX(O79*P79,0)</f>
        <v/>
      </c>
      <c r="R79" s="43">
        <f>B79*Q79</f>
        <v/>
      </c>
    </row>
    <row r="80">
      <c r="A80" s="17">
        <f>'Loan Tape (S&amp;P)'!A80</f>
        <v/>
      </c>
      <c r="B80" s="18">
        <f>'Loan Tape (S&amp;P)'!B80</f>
        <v/>
      </c>
      <c r="C80" s="18">
        <f>'Loan Tape (S&amp;P)'!D80</f>
        <v/>
      </c>
      <c r="D80" s="20">
        <f>'FF Calculations'!E80</f>
        <v/>
      </c>
      <c r="E80" s="20">
        <f>'Control Panel'!$B$19</f>
        <v/>
      </c>
      <c r="F80" s="17">
        <f>'Loan Tape (S&amp;P)'!I80</f>
        <v/>
      </c>
      <c r="G80" s="20">
        <f>IFERROR(VLOOKUP(F80,'LS Parameters'!$A$6:$B$10,2,FALSE),0.05)</f>
        <v/>
      </c>
      <c r="H80" s="17">
        <f>'Loan Tape (S&amp;P)'!J80</f>
        <v/>
      </c>
      <c r="I80" s="20">
        <f>IFERROR(VLOOKUP(H80,'LS Parameters'!$A$14:$B$25,2,FALSE),0)</f>
        <v/>
      </c>
      <c r="J80" s="20">
        <f>E80+G80+I80</f>
        <v/>
      </c>
      <c r="K80" s="20">
        <f>'Control Panel'!$B$20</f>
        <v/>
      </c>
      <c r="L80" s="20">
        <f>J80+K80</f>
        <v/>
      </c>
      <c r="M80" s="20">
        <f>1-(D80*L80)</f>
        <v/>
      </c>
      <c r="N80" s="20">
        <f>VLOOKUP('Control Panel'!$B$6,'Jurisdiction Parameters'!$A:$N,14,FALSE)</f>
        <v/>
      </c>
      <c r="O80" s="20">
        <f>IF(M80&gt;0,N80,1-M80+N80)</f>
        <v/>
      </c>
      <c r="P80" s="21">
        <f>LET(
    val_type,'Loan Tape (S&amp;P)'!AU80,
    IF(val_type="Full",1.00,
        IF(val_type="Desktop",1.080,
            IF(val_type="Drive-by",1.10,
                1.00)))
)</f>
        <v/>
      </c>
      <c r="Q80" s="32">
        <f>MAX(O80*P80,0)</f>
        <v/>
      </c>
      <c r="R80" s="43">
        <f>B80*Q80</f>
        <v/>
      </c>
    </row>
    <row r="81">
      <c r="A81" s="17">
        <f>'Loan Tape (S&amp;P)'!A81</f>
        <v/>
      </c>
      <c r="B81" s="18">
        <f>'Loan Tape (S&amp;P)'!B81</f>
        <v/>
      </c>
      <c r="C81" s="18">
        <f>'Loan Tape (S&amp;P)'!D81</f>
        <v/>
      </c>
      <c r="D81" s="20">
        <f>'FF Calculations'!E81</f>
        <v/>
      </c>
      <c r="E81" s="20">
        <f>'Control Panel'!$B$19</f>
        <v/>
      </c>
      <c r="F81" s="17">
        <f>'Loan Tape (S&amp;P)'!I81</f>
        <v/>
      </c>
      <c r="G81" s="20">
        <f>IFERROR(VLOOKUP(F81,'LS Parameters'!$A$6:$B$10,2,FALSE),0.05)</f>
        <v/>
      </c>
      <c r="H81" s="17">
        <f>'Loan Tape (S&amp;P)'!J81</f>
        <v/>
      </c>
      <c r="I81" s="20">
        <f>IFERROR(VLOOKUP(H81,'LS Parameters'!$A$14:$B$25,2,FALSE),0)</f>
        <v/>
      </c>
      <c r="J81" s="20">
        <f>E81+G81+I81</f>
        <v/>
      </c>
      <c r="K81" s="20">
        <f>'Control Panel'!$B$20</f>
        <v/>
      </c>
      <c r="L81" s="20">
        <f>J81+K81</f>
        <v/>
      </c>
      <c r="M81" s="20">
        <f>1-(D81*L81)</f>
        <v/>
      </c>
      <c r="N81" s="20">
        <f>VLOOKUP('Control Panel'!$B$6,'Jurisdiction Parameters'!$A:$N,14,FALSE)</f>
        <v/>
      </c>
      <c r="O81" s="20">
        <f>IF(M81&gt;0,N81,1-M81+N81)</f>
        <v/>
      </c>
      <c r="P81" s="21">
        <f>LET(
    val_type,'Loan Tape (S&amp;P)'!AU81,
    IF(val_type="Full",1.00,
        IF(val_type="Desktop",1.081,
            IF(val_type="Drive-by",1.10,
                1.00)))
)</f>
        <v/>
      </c>
      <c r="Q81" s="32">
        <f>MAX(O81*P81,0)</f>
        <v/>
      </c>
      <c r="R81" s="43">
        <f>B81*Q81</f>
        <v/>
      </c>
    </row>
    <row r="82">
      <c r="A82" s="17">
        <f>'Loan Tape (S&amp;P)'!A82</f>
        <v/>
      </c>
      <c r="B82" s="18">
        <f>'Loan Tape (S&amp;P)'!B82</f>
        <v/>
      </c>
      <c r="C82" s="18">
        <f>'Loan Tape (S&amp;P)'!D82</f>
        <v/>
      </c>
      <c r="D82" s="20">
        <f>'FF Calculations'!E82</f>
        <v/>
      </c>
      <c r="E82" s="20">
        <f>'Control Panel'!$B$19</f>
        <v/>
      </c>
      <c r="F82" s="17">
        <f>'Loan Tape (S&amp;P)'!I82</f>
        <v/>
      </c>
      <c r="G82" s="20">
        <f>IFERROR(VLOOKUP(F82,'LS Parameters'!$A$6:$B$10,2,FALSE),0.05)</f>
        <v/>
      </c>
      <c r="H82" s="17">
        <f>'Loan Tape (S&amp;P)'!J82</f>
        <v/>
      </c>
      <c r="I82" s="20">
        <f>IFERROR(VLOOKUP(H82,'LS Parameters'!$A$14:$B$25,2,FALSE),0)</f>
        <v/>
      </c>
      <c r="J82" s="20">
        <f>E82+G82+I82</f>
        <v/>
      </c>
      <c r="K82" s="20">
        <f>'Control Panel'!$B$20</f>
        <v/>
      </c>
      <c r="L82" s="20">
        <f>J82+K82</f>
        <v/>
      </c>
      <c r="M82" s="20">
        <f>1-(D82*L82)</f>
        <v/>
      </c>
      <c r="N82" s="20">
        <f>VLOOKUP('Control Panel'!$B$6,'Jurisdiction Parameters'!$A:$N,14,FALSE)</f>
        <v/>
      </c>
      <c r="O82" s="20">
        <f>IF(M82&gt;0,N82,1-M82+N82)</f>
        <v/>
      </c>
      <c r="P82" s="21">
        <f>LET(
    val_type,'Loan Tape (S&amp;P)'!AU82,
    IF(val_type="Full",1.00,
        IF(val_type="Desktop",1.082,
            IF(val_type="Drive-by",1.10,
                1.00)))
)</f>
        <v/>
      </c>
      <c r="Q82" s="32">
        <f>MAX(O82*P82,0)</f>
        <v/>
      </c>
      <c r="R82" s="43">
        <f>B82*Q82</f>
        <v/>
      </c>
    </row>
    <row r="83">
      <c r="A83" s="17">
        <f>'Loan Tape (S&amp;P)'!A83</f>
        <v/>
      </c>
      <c r="B83" s="18">
        <f>'Loan Tape (S&amp;P)'!B83</f>
        <v/>
      </c>
      <c r="C83" s="18">
        <f>'Loan Tape (S&amp;P)'!D83</f>
        <v/>
      </c>
      <c r="D83" s="20">
        <f>'FF Calculations'!E83</f>
        <v/>
      </c>
      <c r="E83" s="20">
        <f>'Control Panel'!$B$19</f>
        <v/>
      </c>
      <c r="F83" s="17">
        <f>'Loan Tape (S&amp;P)'!I83</f>
        <v/>
      </c>
      <c r="G83" s="20">
        <f>IFERROR(VLOOKUP(F83,'LS Parameters'!$A$6:$B$10,2,FALSE),0.05)</f>
        <v/>
      </c>
      <c r="H83" s="17">
        <f>'Loan Tape (S&amp;P)'!J83</f>
        <v/>
      </c>
      <c r="I83" s="20">
        <f>IFERROR(VLOOKUP(H83,'LS Parameters'!$A$14:$B$25,2,FALSE),0)</f>
        <v/>
      </c>
      <c r="J83" s="20">
        <f>E83+G83+I83</f>
        <v/>
      </c>
      <c r="K83" s="20">
        <f>'Control Panel'!$B$20</f>
        <v/>
      </c>
      <c r="L83" s="20">
        <f>J83+K83</f>
        <v/>
      </c>
      <c r="M83" s="20">
        <f>1-(D83*L83)</f>
        <v/>
      </c>
      <c r="N83" s="20">
        <f>VLOOKUP('Control Panel'!$B$6,'Jurisdiction Parameters'!$A:$N,14,FALSE)</f>
        <v/>
      </c>
      <c r="O83" s="20">
        <f>IF(M83&gt;0,N83,1-M83+N83)</f>
        <v/>
      </c>
      <c r="P83" s="21">
        <f>LET(
    val_type,'Loan Tape (S&amp;P)'!AU83,
    IF(val_type="Full",1.00,
        IF(val_type="Desktop",1.083,
            IF(val_type="Drive-by",1.10,
                1.00)))
)</f>
        <v/>
      </c>
      <c r="Q83" s="32">
        <f>MAX(O83*P83,0)</f>
        <v/>
      </c>
      <c r="R83" s="43">
        <f>B83*Q83</f>
        <v/>
      </c>
    </row>
    <row r="84">
      <c r="A84" s="17">
        <f>'Loan Tape (S&amp;P)'!A84</f>
        <v/>
      </c>
      <c r="B84" s="18">
        <f>'Loan Tape (S&amp;P)'!B84</f>
        <v/>
      </c>
      <c r="C84" s="18">
        <f>'Loan Tape (S&amp;P)'!D84</f>
        <v/>
      </c>
      <c r="D84" s="20">
        <f>'FF Calculations'!E84</f>
        <v/>
      </c>
      <c r="E84" s="20">
        <f>'Control Panel'!$B$19</f>
        <v/>
      </c>
      <c r="F84" s="17">
        <f>'Loan Tape (S&amp;P)'!I84</f>
        <v/>
      </c>
      <c r="G84" s="20">
        <f>IFERROR(VLOOKUP(F84,'LS Parameters'!$A$6:$B$10,2,FALSE),0.05)</f>
        <v/>
      </c>
      <c r="H84" s="17">
        <f>'Loan Tape (S&amp;P)'!J84</f>
        <v/>
      </c>
      <c r="I84" s="20">
        <f>IFERROR(VLOOKUP(H84,'LS Parameters'!$A$14:$B$25,2,FALSE),0)</f>
        <v/>
      </c>
      <c r="J84" s="20">
        <f>E84+G84+I84</f>
        <v/>
      </c>
      <c r="K84" s="20">
        <f>'Control Panel'!$B$20</f>
        <v/>
      </c>
      <c r="L84" s="20">
        <f>J84+K84</f>
        <v/>
      </c>
      <c r="M84" s="20">
        <f>1-(D84*L84)</f>
        <v/>
      </c>
      <c r="N84" s="20">
        <f>VLOOKUP('Control Panel'!$B$6,'Jurisdiction Parameters'!$A:$N,14,FALSE)</f>
        <v/>
      </c>
      <c r="O84" s="20">
        <f>IF(M84&gt;0,N84,1-M84+N84)</f>
        <v/>
      </c>
      <c r="P84" s="21">
        <f>LET(
    val_type,'Loan Tape (S&amp;P)'!AU84,
    IF(val_type="Full",1.00,
        IF(val_type="Desktop",1.084,
            IF(val_type="Drive-by",1.10,
                1.00)))
)</f>
        <v/>
      </c>
      <c r="Q84" s="32">
        <f>MAX(O84*P84,0)</f>
        <v/>
      </c>
      <c r="R84" s="43">
        <f>B84*Q84</f>
        <v/>
      </c>
    </row>
    <row r="85">
      <c r="A85" s="17">
        <f>'Loan Tape (S&amp;P)'!A85</f>
        <v/>
      </c>
      <c r="B85" s="18">
        <f>'Loan Tape (S&amp;P)'!B85</f>
        <v/>
      </c>
      <c r="C85" s="18">
        <f>'Loan Tape (S&amp;P)'!D85</f>
        <v/>
      </c>
      <c r="D85" s="20">
        <f>'FF Calculations'!E85</f>
        <v/>
      </c>
      <c r="E85" s="20">
        <f>'Control Panel'!$B$19</f>
        <v/>
      </c>
      <c r="F85" s="17">
        <f>'Loan Tape (S&amp;P)'!I85</f>
        <v/>
      </c>
      <c r="G85" s="20">
        <f>IFERROR(VLOOKUP(F85,'LS Parameters'!$A$6:$B$10,2,FALSE),0.05)</f>
        <v/>
      </c>
      <c r="H85" s="17">
        <f>'Loan Tape (S&amp;P)'!J85</f>
        <v/>
      </c>
      <c r="I85" s="20">
        <f>IFERROR(VLOOKUP(H85,'LS Parameters'!$A$14:$B$25,2,FALSE),0)</f>
        <v/>
      </c>
      <c r="J85" s="20">
        <f>E85+G85+I85</f>
        <v/>
      </c>
      <c r="K85" s="20">
        <f>'Control Panel'!$B$20</f>
        <v/>
      </c>
      <c r="L85" s="20">
        <f>J85+K85</f>
        <v/>
      </c>
      <c r="M85" s="20">
        <f>1-(D85*L85)</f>
        <v/>
      </c>
      <c r="N85" s="20">
        <f>VLOOKUP('Control Panel'!$B$6,'Jurisdiction Parameters'!$A:$N,14,FALSE)</f>
        <v/>
      </c>
      <c r="O85" s="20">
        <f>IF(M85&gt;0,N85,1-M85+N85)</f>
        <v/>
      </c>
      <c r="P85" s="21">
        <f>LET(
    val_type,'Loan Tape (S&amp;P)'!AU85,
    IF(val_type="Full",1.00,
        IF(val_type="Desktop",1.085,
            IF(val_type="Drive-by",1.10,
                1.00)))
)</f>
        <v/>
      </c>
      <c r="Q85" s="32">
        <f>MAX(O85*P85,0)</f>
        <v/>
      </c>
      <c r="R85" s="43">
        <f>B85*Q85</f>
        <v/>
      </c>
    </row>
    <row r="86">
      <c r="A86" s="17">
        <f>'Loan Tape (S&amp;P)'!A86</f>
        <v/>
      </c>
      <c r="B86" s="18">
        <f>'Loan Tape (S&amp;P)'!B86</f>
        <v/>
      </c>
      <c r="C86" s="18">
        <f>'Loan Tape (S&amp;P)'!D86</f>
        <v/>
      </c>
      <c r="D86" s="20">
        <f>'FF Calculations'!E86</f>
        <v/>
      </c>
      <c r="E86" s="20">
        <f>'Control Panel'!$B$19</f>
        <v/>
      </c>
      <c r="F86" s="17">
        <f>'Loan Tape (S&amp;P)'!I86</f>
        <v/>
      </c>
      <c r="G86" s="20">
        <f>IFERROR(VLOOKUP(F86,'LS Parameters'!$A$6:$B$10,2,FALSE),0.05)</f>
        <v/>
      </c>
      <c r="H86" s="17">
        <f>'Loan Tape (S&amp;P)'!J86</f>
        <v/>
      </c>
      <c r="I86" s="20">
        <f>IFERROR(VLOOKUP(H86,'LS Parameters'!$A$14:$B$25,2,FALSE),0)</f>
        <v/>
      </c>
      <c r="J86" s="20">
        <f>E86+G86+I86</f>
        <v/>
      </c>
      <c r="K86" s="20">
        <f>'Control Panel'!$B$20</f>
        <v/>
      </c>
      <c r="L86" s="20">
        <f>J86+K86</f>
        <v/>
      </c>
      <c r="M86" s="20">
        <f>1-(D86*L86)</f>
        <v/>
      </c>
      <c r="N86" s="20">
        <f>VLOOKUP('Control Panel'!$B$6,'Jurisdiction Parameters'!$A:$N,14,FALSE)</f>
        <v/>
      </c>
      <c r="O86" s="20">
        <f>IF(M86&gt;0,N86,1-M86+N86)</f>
        <v/>
      </c>
      <c r="P86" s="21">
        <f>LET(
    val_type,'Loan Tape (S&amp;P)'!AU86,
    IF(val_type="Full",1.00,
        IF(val_type="Desktop",1.086,
            IF(val_type="Drive-by",1.10,
                1.00)))
)</f>
        <v/>
      </c>
      <c r="Q86" s="32">
        <f>MAX(O86*P86,0)</f>
        <v/>
      </c>
      <c r="R86" s="43">
        <f>B86*Q86</f>
        <v/>
      </c>
    </row>
    <row r="87">
      <c r="A87" s="17">
        <f>'Loan Tape (S&amp;P)'!A87</f>
        <v/>
      </c>
      <c r="B87" s="18">
        <f>'Loan Tape (S&amp;P)'!B87</f>
        <v/>
      </c>
      <c r="C87" s="18">
        <f>'Loan Tape (S&amp;P)'!D87</f>
        <v/>
      </c>
      <c r="D87" s="20">
        <f>'FF Calculations'!E87</f>
        <v/>
      </c>
      <c r="E87" s="20">
        <f>'Control Panel'!$B$19</f>
        <v/>
      </c>
      <c r="F87" s="17">
        <f>'Loan Tape (S&amp;P)'!I87</f>
        <v/>
      </c>
      <c r="G87" s="20">
        <f>IFERROR(VLOOKUP(F87,'LS Parameters'!$A$6:$B$10,2,FALSE),0.05)</f>
        <v/>
      </c>
      <c r="H87" s="17">
        <f>'Loan Tape (S&amp;P)'!J87</f>
        <v/>
      </c>
      <c r="I87" s="20">
        <f>IFERROR(VLOOKUP(H87,'LS Parameters'!$A$14:$B$25,2,FALSE),0)</f>
        <v/>
      </c>
      <c r="J87" s="20">
        <f>E87+G87+I87</f>
        <v/>
      </c>
      <c r="K87" s="20">
        <f>'Control Panel'!$B$20</f>
        <v/>
      </c>
      <c r="L87" s="20">
        <f>J87+K87</f>
        <v/>
      </c>
      <c r="M87" s="20">
        <f>1-(D87*L87)</f>
        <v/>
      </c>
      <c r="N87" s="20">
        <f>VLOOKUP('Control Panel'!$B$6,'Jurisdiction Parameters'!$A:$N,14,FALSE)</f>
        <v/>
      </c>
      <c r="O87" s="20">
        <f>IF(M87&gt;0,N87,1-M87+N87)</f>
        <v/>
      </c>
      <c r="P87" s="21">
        <f>LET(
    val_type,'Loan Tape (S&amp;P)'!AU87,
    IF(val_type="Full",1.00,
        IF(val_type="Desktop",1.087,
            IF(val_type="Drive-by",1.10,
                1.00)))
)</f>
        <v/>
      </c>
      <c r="Q87" s="32">
        <f>MAX(O87*P87,0)</f>
        <v/>
      </c>
      <c r="R87" s="43">
        <f>B87*Q87</f>
        <v/>
      </c>
    </row>
    <row r="88">
      <c r="A88" s="17">
        <f>'Loan Tape (S&amp;P)'!A88</f>
        <v/>
      </c>
      <c r="B88" s="18">
        <f>'Loan Tape (S&amp;P)'!B88</f>
        <v/>
      </c>
      <c r="C88" s="18">
        <f>'Loan Tape (S&amp;P)'!D88</f>
        <v/>
      </c>
      <c r="D88" s="20">
        <f>'FF Calculations'!E88</f>
        <v/>
      </c>
      <c r="E88" s="20">
        <f>'Control Panel'!$B$19</f>
        <v/>
      </c>
      <c r="F88" s="17">
        <f>'Loan Tape (S&amp;P)'!I88</f>
        <v/>
      </c>
      <c r="G88" s="20">
        <f>IFERROR(VLOOKUP(F88,'LS Parameters'!$A$6:$B$10,2,FALSE),0.05)</f>
        <v/>
      </c>
      <c r="H88" s="17">
        <f>'Loan Tape (S&amp;P)'!J88</f>
        <v/>
      </c>
      <c r="I88" s="20">
        <f>IFERROR(VLOOKUP(H88,'LS Parameters'!$A$14:$B$25,2,FALSE),0)</f>
        <v/>
      </c>
      <c r="J88" s="20">
        <f>E88+G88+I88</f>
        <v/>
      </c>
      <c r="K88" s="20">
        <f>'Control Panel'!$B$20</f>
        <v/>
      </c>
      <c r="L88" s="20">
        <f>J88+K88</f>
        <v/>
      </c>
      <c r="M88" s="20">
        <f>1-(D88*L88)</f>
        <v/>
      </c>
      <c r="N88" s="20">
        <f>VLOOKUP('Control Panel'!$B$6,'Jurisdiction Parameters'!$A:$N,14,FALSE)</f>
        <v/>
      </c>
      <c r="O88" s="20">
        <f>IF(M88&gt;0,N88,1-M88+N88)</f>
        <v/>
      </c>
      <c r="P88" s="21">
        <f>LET(
    val_type,'Loan Tape (S&amp;P)'!AU88,
    IF(val_type="Full",1.00,
        IF(val_type="Desktop",1.088,
            IF(val_type="Drive-by",1.10,
                1.00)))
)</f>
        <v/>
      </c>
      <c r="Q88" s="32">
        <f>MAX(O88*P88,0)</f>
        <v/>
      </c>
      <c r="R88" s="43">
        <f>B88*Q88</f>
        <v/>
      </c>
    </row>
    <row r="89">
      <c r="A89" s="17">
        <f>'Loan Tape (S&amp;P)'!A89</f>
        <v/>
      </c>
      <c r="B89" s="18">
        <f>'Loan Tape (S&amp;P)'!B89</f>
        <v/>
      </c>
      <c r="C89" s="18">
        <f>'Loan Tape (S&amp;P)'!D89</f>
        <v/>
      </c>
      <c r="D89" s="20">
        <f>'FF Calculations'!E89</f>
        <v/>
      </c>
      <c r="E89" s="20">
        <f>'Control Panel'!$B$19</f>
        <v/>
      </c>
      <c r="F89" s="17">
        <f>'Loan Tape (S&amp;P)'!I89</f>
        <v/>
      </c>
      <c r="G89" s="20">
        <f>IFERROR(VLOOKUP(F89,'LS Parameters'!$A$6:$B$10,2,FALSE),0.05)</f>
        <v/>
      </c>
      <c r="H89" s="17">
        <f>'Loan Tape (S&amp;P)'!J89</f>
        <v/>
      </c>
      <c r="I89" s="20">
        <f>IFERROR(VLOOKUP(H89,'LS Parameters'!$A$14:$B$25,2,FALSE),0)</f>
        <v/>
      </c>
      <c r="J89" s="20">
        <f>E89+G89+I89</f>
        <v/>
      </c>
      <c r="K89" s="20">
        <f>'Control Panel'!$B$20</f>
        <v/>
      </c>
      <c r="L89" s="20">
        <f>J89+K89</f>
        <v/>
      </c>
      <c r="M89" s="20">
        <f>1-(D89*L89)</f>
        <v/>
      </c>
      <c r="N89" s="20">
        <f>VLOOKUP('Control Panel'!$B$6,'Jurisdiction Parameters'!$A:$N,14,FALSE)</f>
        <v/>
      </c>
      <c r="O89" s="20">
        <f>IF(M89&gt;0,N89,1-M89+N89)</f>
        <v/>
      </c>
      <c r="P89" s="21">
        <f>LET(
    val_type,'Loan Tape (S&amp;P)'!AU89,
    IF(val_type="Full",1.00,
        IF(val_type="Desktop",1.089,
            IF(val_type="Drive-by",1.10,
                1.00)))
)</f>
        <v/>
      </c>
      <c r="Q89" s="32">
        <f>MAX(O89*P89,0)</f>
        <v/>
      </c>
      <c r="R89" s="43">
        <f>B89*Q89</f>
        <v/>
      </c>
    </row>
    <row r="90">
      <c r="A90" s="17">
        <f>'Loan Tape (S&amp;P)'!A90</f>
        <v/>
      </c>
      <c r="B90" s="18">
        <f>'Loan Tape (S&amp;P)'!B90</f>
        <v/>
      </c>
      <c r="C90" s="18">
        <f>'Loan Tape (S&amp;P)'!D90</f>
        <v/>
      </c>
      <c r="D90" s="20">
        <f>'FF Calculations'!E90</f>
        <v/>
      </c>
      <c r="E90" s="20">
        <f>'Control Panel'!$B$19</f>
        <v/>
      </c>
      <c r="F90" s="17">
        <f>'Loan Tape (S&amp;P)'!I90</f>
        <v/>
      </c>
      <c r="G90" s="20">
        <f>IFERROR(VLOOKUP(F90,'LS Parameters'!$A$6:$B$10,2,FALSE),0.05)</f>
        <v/>
      </c>
      <c r="H90" s="17">
        <f>'Loan Tape (S&amp;P)'!J90</f>
        <v/>
      </c>
      <c r="I90" s="20">
        <f>IFERROR(VLOOKUP(H90,'LS Parameters'!$A$14:$B$25,2,FALSE),0)</f>
        <v/>
      </c>
      <c r="J90" s="20">
        <f>E90+G90+I90</f>
        <v/>
      </c>
      <c r="K90" s="20">
        <f>'Control Panel'!$B$20</f>
        <v/>
      </c>
      <c r="L90" s="20">
        <f>J90+K90</f>
        <v/>
      </c>
      <c r="M90" s="20">
        <f>1-(D90*L90)</f>
        <v/>
      </c>
      <c r="N90" s="20">
        <f>VLOOKUP('Control Panel'!$B$6,'Jurisdiction Parameters'!$A:$N,14,FALSE)</f>
        <v/>
      </c>
      <c r="O90" s="20">
        <f>IF(M90&gt;0,N90,1-M90+N90)</f>
        <v/>
      </c>
      <c r="P90" s="21">
        <f>LET(
    val_type,'Loan Tape (S&amp;P)'!AU90,
    IF(val_type="Full",1.00,
        IF(val_type="Desktop",1.090,
            IF(val_type="Drive-by",1.10,
                1.00)))
)</f>
        <v/>
      </c>
      <c r="Q90" s="32">
        <f>MAX(O90*P90,0)</f>
        <v/>
      </c>
      <c r="R90" s="43">
        <f>B90*Q90</f>
        <v/>
      </c>
    </row>
    <row r="91">
      <c r="A91" s="17">
        <f>'Loan Tape (S&amp;P)'!A91</f>
        <v/>
      </c>
      <c r="B91" s="18">
        <f>'Loan Tape (S&amp;P)'!B91</f>
        <v/>
      </c>
      <c r="C91" s="18">
        <f>'Loan Tape (S&amp;P)'!D91</f>
        <v/>
      </c>
      <c r="D91" s="20">
        <f>'FF Calculations'!E91</f>
        <v/>
      </c>
      <c r="E91" s="20">
        <f>'Control Panel'!$B$19</f>
        <v/>
      </c>
      <c r="F91" s="17">
        <f>'Loan Tape (S&amp;P)'!I91</f>
        <v/>
      </c>
      <c r="G91" s="20">
        <f>IFERROR(VLOOKUP(F91,'LS Parameters'!$A$6:$B$10,2,FALSE),0.05)</f>
        <v/>
      </c>
      <c r="H91" s="17">
        <f>'Loan Tape (S&amp;P)'!J91</f>
        <v/>
      </c>
      <c r="I91" s="20">
        <f>IFERROR(VLOOKUP(H91,'LS Parameters'!$A$14:$B$25,2,FALSE),0)</f>
        <v/>
      </c>
      <c r="J91" s="20">
        <f>E91+G91+I91</f>
        <v/>
      </c>
      <c r="K91" s="20">
        <f>'Control Panel'!$B$20</f>
        <v/>
      </c>
      <c r="L91" s="20">
        <f>J91+K91</f>
        <v/>
      </c>
      <c r="M91" s="20">
        <f>1-(D91*L91)</f>
        <v/>
      </c>
      <c r="N91" s="20">
        <f>VLOOKUP('Control Panel'!$B$6,'Jurisdiction Parameters'!$A:$N,14,FALSE)</f>
        <v/>
      </c>
      <c r="O91" s="20">
        <f>IF(M91&gt;0,N91,1-M91+N91)</f>
        <v/>
      </c>
      <c r="P91" s="21">
        <f>LET(
    val_type,'Loan Tape (S&amp;P)'!AU91,
    IF(val_type="Full",1.00,
        IF(val_type="Desktop",1.091,
            IF(val_type="Drive-by",1.10,
                1.00)))
)</f>
        <v/>
      </c>
      <c r="Q91" s="32">
        <f>MAX(O91*P91,0)</f>
        <v/>
      </c>
      <c r="R91" s="43">
        <f>B91*Q91</f>
        <v/>
      </c>
    </row>
    <row r="92">
      <c r="A92" s="17">
        <f>'Loan Tape (S&amp;P)'!A92</f>
        <v/>
      </c>
      <c r="B92" s="18">
        <f>'Loan Tape (S&amp;P)'!B92</f>
        <v/>
      </c>
      <c r="C92" s="18">
        <f>'Loan Tape (S&amp;P)'!D92</f>
        <v/>
      </c>
      <c r="D92" s="20">
        <f>'FF Calculations'!E92</f>
        <v/>
      </c>
      <c r="E92" s="20">
        <f>'Control Panel'!$B$19</f>
        <v/>
      </c>
      <c r="F92" s="17">
        <f>'Loan Tape (S&amp;P)'!I92</f>
        <v/>
      </c>
      <c r="G92" s="20">
        <f>IFERROR(VLOOKUP(F92,'LS Parameters'!$A$6:$B$10,2,FALSE),0.05)</f>
        <v/>
      </c>
      <c r="H92" s="17">
        <f>'Loan Tape (S&amp;P)'!J92</f>
        <v/>
      </c>
      <c r="I92" s="20">
        <f>IFERROR(VLOOKUP(H92,'LS Parameters'!$A$14:$B$25,2,FALSE),0)</f>
        <v/>
      </c>
      <c r="J92" s="20">
        <f>E92+G92+I92</f>
        <v/>
      </c>
      <c r="K92" s="20">
        <f>'Control Panel'!$B$20</f>
        <v/>
      </c>
      <c r="L92" s="20">
        <f>J92+K92</f>
        <v/>
      </c>
      <c r="M92" s="20">
        <f>1-(D92*L92)</f>
        <v/>
      </c>
      <c r="N92" s="20">
        <f>VLOOKUP('Control Panel'!$B$6,'Jurisdiction Parameters'!$A:$N,14,FALSE)</f>
        <v/>
      </c>
      <c r="O92" s="20">
        <f>IF(M92&gt;0,N92,1-M92+N92)</f>
        <v/>
      </c>
      <c r="P92" s="21">
        <f>LET(
    val_type,'Loan Tape (S&amp;P)'!AU92,
    IF(val_type="Full",1.00,
        IF(val_type="Desktop",1.092,
            IF(val_type="Drive-by",1.10,
                1.00)))
)</f>
        <v/>
      </c>
      <c r="Q92" s="32">
        <f>MAX(O92*P92,0)</f>
        <v/>
      </c>
      <c r="R92" s="43">
        <f>B92*Q92</f>
        <v/>
      </c>
    </row>
    <row r="93">
      <c r="A93" s="17">
        <f>'Loan Tape (S&amp;P)'!A93</f>
        <v/>
      </c>
      <c r="B93" s="18">
        <f>'Loan Tape (S&amp;P)'!B93</f>
        <v/>
      </c>
      <c r="C93" s="18">
        <f>'Loan Tape (S&amp;P)'!D93</f>
        <v/>
      </c>
      <c r="D93" s="20">
        <f>'FF Calculations'!E93</f>
        <v/>
      </c>
      <c r="E93" s="20">
        <f>'Control Panel'!$B$19</f>
        <v/>
      </c>
      <c r="F93" s="17">
        <f>'Loan Tape (S&amp;P)'!I93</f>
        <v/>
      </c>
      <c r="G93" s="20">
        <f>IFERROR(VLOOKUP(F93,'LS Parameters'!$A$6:$B$10,2,FALSE),0.05)</f>
        <v/>
      </c>
      <c r="H93" s="17">
        <f>'Loan Tape (S&amp;P)'!J93</f>
        <v/>
      </c>
      <c r="I93" s="20">
        <f>IFERROR(VLOOKUP(H93,'LS Parameters'!$A$14:$B$25,2,FALSE),0)</f>
        <v/>
      </c>
      <c r="J93" s="20">
        <f>E93+G93+I93</f>
        <v/>
      </c>
      <c r="K93" s="20">
        <f>'Control Panel'!$B$20</f>
        <v/>
      </c>
      <c r="L93" s="20">
        <f>J93+K93</f>
        <v/>
      </c>
      <c r="M93" s="20">
        <f>1-(D93*L93)</f>
        <v/>
      </c>
      <c r="N93" s="20">
        <f>VLOOKUP('Control Panel'!$B$6,'Jurisdiction Parameters'!$A:$N,14,FALSE)</f>
        <v/>
      </c>
      <c r="O93" s="20">
        <f>IF(M93&gt;0,N93,1-M93+N93)</f>
        <v/>
      </c>
      <c r="P93" s="21">
        <f>LET(
    val_type,'Loan Tape (S&amp;P)'!AU93,
    IF(val_type="Full",1.00,
        IF(val_type="Desktop",1.093,
            IF(val_type="Drive-by",1.10,
                1.00)))
)</f>
        <v/>
      </c>
      <c r="Q93" s="32">
        <f>MAX(O93*P93,0)</f>
        <v/>
      </c>
      <c r="R93" s="43">
        <f>B93*Q93</f>
        <v/>
      </c>
    </row>
    <row r="94">
      <c r="A94" s="17">
        <f>'Loan Tape (S&amp;P)'!A94</f>
        <v/>
      </c>
      <c r="B94" s="18">
        <f>'Loan Tape (S&amp;P)'!B94</f>
        <v/>
      </c>
      <c r="C94" s="18">
        <f>'Loan Tape (S&amp;P)'!D94</f>
        <v/>
      </c>
      <c r="D94" s="20">
        <f>'FF Calculations'!E94</f>
        <v/>
      </c>
      <c r="E94" s="20">
        <f>'Control Panel'!$B$19</f>
        <v/>
      </c>
      <c r="F94" s="17">
        <f>'Loan Tape (S&amp;P)'!I94</f>
        <v/>
      </c>
      <c r="G94" s="20">
        <f>IFERROR(VLOOKUP(F94,'LS Parameters'!$A$6:$B$10,2,FALSE),0.05)</f>
        <v/>
      </c>
      <c r="H94" s="17">
        <f>'Loan Tape (S&amp;P)'!J94</f>
        <v/>
      </c>
      <c r="I94" s="20">
        <f>IFERROR(VLOOKUP(H94,'LS Parameters'!$A$14:$B$25,2,FALSE),0)</f>
        <v/>
      </c>
      <c r="J94" s="20">
        <f>E94+G94+I94</f>
        <v/>
      </c>
      <c r="K94" s="20">
        <f>'Control Panel'!$B$20</f>
        <v/>
      </c>
      <c r="L94" s="20">
        <f>J94+K94</f>
        <v/>
      </c>
      <c r="M94" s="20">
        <f>1-(D94*L94)</f>
        <v/>
      </c>
      <c r="N94" s="20">
        <f>VLOOKUP('Control Panel'!$B$6,'Jurisdiction Parameters'!$A:$N,14,FALSE)</f>
        <v/>
      </c>
      <c r="O94" s="20">
        <f>IF(M94&gt;0,N94,1-M94+N94)</f>
        <v/>
      </c>
      <c r="P94" s="21">
        <f>LET(
    val_type,'Loan Tape (S&amp;P)'!AU94,
    IF(val_type="Full",1.00,
        IF(val_type="Desktop",1.094,
            IF(val_type="Drive-by",1.10,
                1.00)))
)</f>
        <v/>
      </c>
      <c r="Q94" s="32">
        <f>MAX(O94*P94,0)</f>
        <v/>
      </c>
      <c r="R94" s="43">
        <f>B94*Q94</f>
        <v/>
      </c>
    </row>
    <row r="95">
      <c r="A95" s="17">
        <f>'Loan Tape (S&amp;P)'!A95</f>
        <v/>
      </c>
      <c r="B95" s="18">
        <f>'Loan Tape (S&amp;P)'!B95</f>
        <v/>
      </c>
      <c r="C95" s="18">
        <f>'Loan Tape (S&amp;P)'!D95</f>
        <v/>
      </c>
      <c r="D95" s="20">
        <f>'FF Calculations'!E95</f>
        <v/>
      </c>
      <c r="E95" s="20">
        <f>'Control Panel'!$B$19</f>
        <v/>
      </c>
      <c r="F95" s="17">
        <f>'Loan Tape (S&amp;P)'!I95</f>
        <v/>
      </c>
      <c r="G95" s="20">
        <f>IFERROR(VLOOKUP(F95,'LS Parameters'!$A$6:$B$10,2,FALSE),0.05)</f>
        <v/>
      </c>
      <c r="H95" s="17">
        <f>'Loan Tape (S&amp;P)'!J95</f>
        <v/>
      </c>
      <c r="I95" s="20">
        <f>IFERROR(VLOOKUP(H95,'LS Parameters'!$A$14:$B$25,2,FALSE),0)</f>
        <v/>
      </c>
      <c r="J95" s="20">
        <f>E95+G95+I95</f>
        <v/>
      </c>
      <c r="K95" s="20">
        <f>'Control Panel'!$B$20</f>
        <v/>
      </c>
      <c r="L95" s="20">
        <f>J95+K95</f>
        <v/>
      </c>
      <c r="M95" s="20">
        <f>1-(D95*L95)</f>
        <v/>
      </c>
      <c r="N95" s="20">
        <f>VLOOKUP('Control Panel'!$B$6,'Jurisdiction Parameters'!$A:$N,14,FALSE)</f>
        <v/>
      </c>
      <c r="O95" s="20">
        <f>IF(M95&gt;0,N95,1-M95+N95)</f>
        <v/>
      </c>
      <c r="P95" s="21">
        <f>LET(
    val_type,'Loan Tape (S&amp;P)'!AU95,
    IF(val_type="Full",1.00,
        IF(val_type="Desktop",1.095,
            IF(val_type="Drive-by",1.10,
                1.00)))
)</f>
        <v/>
      </c>
      <c r="Q95" s="32">
        <f>MAX(O95*P95,0)</f>
        <v/>
      </c>
      <c r="R95" s="43">
        <f>B95*Q95</f>
        <v/>
      </c>
    </row>
    <row r="96">
      <c r="A96" s="17">
        <f>'Loan Tape (S&amp;P)'!A96</f>
        <v/>
      </c>
      <c r="B96" s="18">
        <f>'Loan Tape (S&amp;P)'!B96</f>
        <v/>
      </c>
      <c r="C96" s="18">
        <f>'Loan Tape (S&amp;P)'!D96</f>
        <v/>
      </c>
      <c r="D96" s="20">
        <f>'FF Calculations'!E96</f>
        <v/>
      </c>
      <c r="E96" s="20">
        <f>'Control Panel'!$B$19</f>
        <v/>
      </c>
      <c r="F96" s="17">
        <f>'Loan Tape (S&amp;P)'!I96</f>
        <v/>
      </c>
      <c r="G96" s="20">
        <f>IFERROR(VLOOKUP(F96,'LS Parameters'!$A$6:$B$10,2,FALSE),0.05)</f>
        <v/>
      </c>
      <c r="H96" s="17">
        <f>'Loan Tape (S&amp;P)'!J96</f>
        <v/>
      </c>
      <c r="I96" s="20">
        <f>IFERROR(VLOOKUP(H96,'LS Parameters'!$A$14:$B$25,2,FALSE),0)</f>
        <v/>
      </c>
      <c r="J96" s="20">
        <f>E96+G96+I96</f>
        <v/>
      </c>
      <c r="K96" s="20">
        <f>'Control Panel'!$B$20</f>
        <v/>
      </c>
      <c r="L96" s="20">
        <f>J96+K96</f>
        <v/>
      </c>
      <c r="M96" s="20">
        <f>1-(D96*L96)</f>
        <v/>
      </c>
      <c r="N96" s="20">
        <f>VLOOKUP('Control Panel'!$B$6,'Jurisdiction Parameters'!$A:$N,14,FALSE)</f>
        <v/>
      </c>
      <c r="O96" s="20">
        <f>IF(M96&gt;0,N96,1-M96+N96)</f>
        <v/>
      </c>
      <c r="P96" s="21">
        <f>LET(
    val_type,'Loan Tape (S&amp;P)'!AU96,
    IF(val_type="Full",1.00,
        IF(val_type="Desktop",1.096,
            IF(val_type="Drive-by",1.10,
                1.00)))
)</f>
        <v/>
      </c>
      <c r="Q96" s="32">
        <f>MAX(O96*P96,0)</f>
        <v/>
      </c>
      <c r="R96" s="43">
        <f>B96*Q96</f>
        <v/>
      </c>
    </row>
    <row r="97">
      <c r="A97" s="17">
        <f>'Loan Tape (S&amp;P)'!A97</f>
        <v/>
      </c>
      <c r="B97" s="18">
        <f>'Loan Tape (S&amp;P)'!B97</f>
        <v/>
      </c>
      <c r="C97" s="18">
        <f>'Loan Tape (S&amp;P)'!D97</f>
        <v/>
      </c>
      <c r="D97" s="20">
        <f>'FF Calculations'!E97</f>
        <v/>
      </c>
      <c r="E97" s="20">
        <f>'Control Panel'!$B$19</f>
        <v/>
      </c>
      <c r="F97" s="17">
        <f>'Loan Tape (S&amp;P)'!I97</f>
        <v/>
      </c>
      <c r="G97" s="20">
        <f>IFERROR(VLOOKUP(F97,'LS Parameters'!$A$6:$B$10,2,FALSE),0.05)</f>
        <v/>
      </c>
      <c r="H97" s="17">
        <f>'Loan Tape (S&amp;P)'!J97</f>
        <v/>
      </c>
      <c r="I97" s="20">
        <f>IFERROR(VLOOKUP(H97,'LS Parameters'!$A$14:$B$25,2,FALSE),0)</f>
        <v/>
      </c>
      <c r="J97" s="20">
        <f>E97+G97+I97</f>
        <v/>
      </c>
      <c r="K97" s="20">
        <f>'Control Panel'!$B$20</f>
        <v/>
      </c>
      <c r="L97" s="20">
        <f>J97+K97</f>
        <v/>
      </c>
      <c r="M97" s="20">
        <f>1-(D97*L97)</f>
        <v/>
      </c>
      <c r="N97" s="20">
        <f>VLOOKUP('Control Panel'!$B$6,'Jurisdiction Parameters'!$A:$N,14,FALSE)</f>
        <v/>
      </c>
      <c r="O97" s="20">
        <f>IF(M97&gt;0,N97,1-M97+N97)</f>
        <v/>
      </c>
      <c r="P97" s="21">
        <f>LET(
    val_type,'Loan Tape (S&amp;P)'!AU97,
    IF(val_type="Full",1.00,
        IF(val_type="Desktop",1.097,
            IF(val_type="Drive-by",1.10,
                1.00)))
)</f>
        <v/>
      </c>
      <c r="Q97" s="32">
        <f>MAX(O97*P97,0)</f>
        <v/>
      </c>
      <c r="R97" s="43">
        <f>B97*Q97</f>
        <v/>
      </c>
    </row>
    <row r="98">
      <c r="A98" s="17">
        <f>'Loan Tape (S&amp;P)'!A98</f>
        <v/>
      </c>
      <c r="B98" s="18">
        <f>'Loan Tape (S&amp;P)'!B98</f>
        <v/>
      </c>
      <c r="C98" s="18">
        <f>'Loan Tape (S&amp;P)'!D98</f>
        <v/>
      </c>
      <c r="D98" s="20">
        <f>'FF Calculations'!E98</f>
        <v/>
      </c>
      <c r="E98" s="20">
        <f>'Control Panel'!$B$19</f>
        <v/>
      </c>
      <c r="F98" s="17">
        <f>'Loan Tape (S&amp;P)'!I98</f>
        <v/>
      </c>
      <c r="G98" s="20">
        <f>IFERROR(VLOOKUP(F98,'LS Parameters'!$A$6:$B$10,2,FALSE),0.05)</f>
        <v/>
      </c>
      <c r="H98" s="17">
        <f>'Loan Tape (S&amp;P)'!J98</f>
        <v/>
      </c>
      <c r="I98" s="20">
        <f>IFERROR(VLOOKUP(H98,'LS Parameters'!$A$14:$B$25,2,FALSE),0)</f>
        <v/>
      </c>
      <c r="J98" s="20">
        <f>E98+G98+I98</f>
        <v/>
      </c>
      <c r="K98" s="20">
        <f>'Control Panel'!$B$20</f>
        <v/>
      </c>
      <c r="L98" s="20">
        <f>J98+K98</f>
        <v/>
      </c>
      <c r="M98" s="20">
        <f>1-(D98*L98)</f>
        <v/>
      </c>
      <c r="N98" s="20">
        <f>VLOOKUP('Control Panel'!$B$6,'Jurisdiction Parameters'!$A:$N,14,FALSE)</f>
        <v/>
      </c>
      <c r="O98" s="20">
        <f>IF(M98&gt;0,N98,1-M98+N98)</f>
        <v/>
      </c>
      <c r="P98" s="21">
        <f>LET(
    val_type,'Loan Tape (S&amp;P)'!AU98,
    IF(val_type="Full",1.00,
        IF(val_type="Desktop",1.098,
            IF(val_type="Drive-by",1.10,
                1.00)))
)</f>
        <v/>
      </c>
      <c r="Q98" s="32">
        <f>MAX(O98*P98,0)</f>
        <v/>
      </c>
      <c r="R98" s="43">
        <f>B98*Q98</f>
        <v/>
      </c>
    </row>
    <row r="99">
      <c r="A99" s="17">
        <f>'Loan Tape (S&amp;P)'!A99</f>
        <v/>
      </c>
      <c r="B99" s="18">
        <f>'Loan Tape (S&amp;P)'!B99</f>
        <v/>
      </c>
      <c r="C99" s="18">
        <f>'Loan Tape (S&amp;P)'!D99</f>
        <v/>
      </c>
      <c r="D99" s="20">
        <f>'FF Calculations'!E99</f>
        <v/>
      </c>
      <c r="E99" s="20">
        <f>'Control Panel'!$B$19</f>
        <v/>
      </c>
      <c r="F99" s="17">
        <f>'Loan Tape (S&amp;P)'!I99</f>
        <v/>
      </c>
      <c r="G99" s="20">
        <f>IFERROR(VLOOKUP(F99,'LS Parameters'!$A$6:$B$10,2,FALSE),0.05)</f>
        <v/>
      </c>
      <c r="H99" s="17">
        <f>'Loan Tape (S&amp;P)'!J99</f>
        <v/>
      </c>
      <c r="I99" s="20">
        <f>IFERROR(VLOOKUP(H99,'LS Parameters'!$A$14:$B$25,2,FALSE),0)</f>
        <v/>
      </c>
      <c r="J99" s="20">
        <f>E99+G99+I99</f>
        <v/>
      </c>
      <c r="K99" s="20">
        <f>'Control Panel'!$B$20</f>
        <v/>
      </c>
      <c r="L99" s="20">
        <f>J99+K99</f>
        <v/>
      </c>
      <c r="M99" s="20">
        <f>1-(D99*L99)</f>
        <v/>
      </c>
      <c r="N99" s="20">
        <f>VLOOKUP('Control Panel'!$B$6,'Jurisdiction Parameters'!$A:$N,14,FALSE)</f>
        <v/>
      </c>
      <c r="O99" s="20">
        <f>IF(M99&gt;0,N99,1-M99+N99)</f>
        <v/>
      </c>
      <c r="P99" s="21">
        <f>LET(
    val_type,'Loan Tape (S&amp;P)'!AU99,
    IF(val_type="Full",1.00,
        IF(val_type="Desktop",1.099,
            IF(val_type="Drive-by",1.10,
                1.00)))
)</f>
        <v/>
      </c>
      <c r="Q99" s="32">
        <f>MAX(O99*P99,0)</f>
        <v/>
      </c>
      <c r="R99" s="43">
        <f>B99*Q99</f>
        <v/>
      </c>
    </row>
    <row r="100">
      <c r="A100" s="17">
        <f>'Loan Tape (S&amp;P)'!A100</f>
        <v/>
      </c>
      <c r="B100" s="18">
        <f>'Loan Tape (S&amp;P)'!B100</f>
        <v/>
      </c>
      <c r="C100" s="18">
        <f>'Loan Tape (S&amp;P)'!D100</f>
        <v/>
      </c>
      <c r="D100" s="20">
        <f>'FF Calculations'!E100</f>
        <v/>
      </c>
      <c r="E100" s="20">
        <f>'Control Panel'!$B$19</f>
        <v/>
      </c>
      <c r="F100" s="17">
        <f>'Loan Tape (S&amp;P)'!I100</f>
        <v/>
      </c>
      <c r="G100" s="20">
        <f>IFERROR(VLOOKUP(F100,'LS Parameters'!$A$6:$B$10,2,FALSE),0.05)</f>
        <v/>
      </c>
      <c r="H100" s="17">
        <f>'Loan Tape (S&amp;P)'!J100</f>
        <v/>
      </c>
      <c r="I100" s="20">
        <f>IFERROR(VLOOKUP(H100,'LS Parameters'!$A$14:$B$25,2,FALSE),0)</f>
        <v/>
      </c>
      <c r="J100" s="20">
        <f>E100+G100+I100</f>
        <v/>
      </c>
      <c r="K100" s="20">
        <f>'Control Panel'!$B$20</f>
        <v/>
      </c>
      <c r="L100" s="20">
        <f>J100+K100</f>
        <v/>
      </c>
      <c r="M100" s="20">
        <f>1-(D100*L100)</f>
        <v/>
      </c>
      <c r="N100" s="20">
        <f>VLOOKUP('Control Panel'!$B$6,'Jurisdiction Parameters'!$A:$N,14,FALSE)</f>
        <v/>
      </c>
      <c r="O100" s="20">
        <f>IF(M100&gt;0,N100,1-M100+N100)</f>
        <v/>
      </c>
      <c r="P100" s="21">
        <f>LET(
    val_type,'Loan Tape (S&amp;P)'!AU100,
    IF(val_type="Full",1.00,
        IF(val_type="Desktop",1.0100,
            IF(val_type="Drive-by",1.10,
                1.00)))
)</f>
        <v/>
      </c>
      <c r="Q100" s="32">
        <f>MAX(O100*P100,0)</f>
        <v/>
      </c>
      <c r="R100" s="43">
        <f>B100*Q100</f>
        <v/>
      </c>
    </row>
    <row r="101">
      <c r="A101" s="17">
        <f>'Loan Tape (S&amp;P)'!A101</f>
        <v/>
      </c>
      <c r="B101" s="18">
        <f>'Loan Tape (S&amp;P)'!B101</f>
        <v/>
      </c>
      <c r="C101" s="18">
        <f>'Loan Tape (S&amp;P)'!D101</f>
        <v/>
      </c>
      <c r="D101" s="20">
        <f>'FF Calculations'!E101</f>
        <v/>
      </c>
      <c r="E101" s="20">
        <f>'Control Panel'!$B$19</f>
        <v/>
      </c>
      <c r="F101" s="17">
        <f>'Loan Tape (S&amp;P)'!I101</f>
        <v/>
      </c>
      <c r="G101" s="20">
        <f>IFERROR(VLOOKUP(F101,'LS Parameters'!$A$6:$B$10,2,FALSE),0.05)</f>
        <v/>
      </c>
      <c r="H101" s="17">
        <f>'Loan Tape (S&amp;P)'!J101</f>
        <v/>
      </c>
      <c r="I101" s="20">
        <f>IFERROR(VLOOKUP(H101,'LS Parameters'!$A$14:$B$25,2,FALSE),0)</f>
        <v/>
      </c>
      <c r="J101" s="20">
        <f>E101+G101+I101</f>
        <v/>
      </c>
      <c r="K101" s="20">
        <f>'Control Panel'!$B$20</f>
        <v/>
      </c>
      <c r="L101" s="20">
        <f>J101+K101</f>
        <v/>
      </c>
      <c r="M101" s="20">
        <f>1-(D101*L101)</f>
        <v/>
      </c>
      <c r="N101" s="20">
        <f>VLOOKUP('Control Panel'!$B$6,'Jurisdiction Parameters'!$A:$N,14,FALSE)</f>
        <v/>
      </c>
      <c r="O101" s="20">
        <f>IF(M101&gt;0,N101,1-M101+N101)</f>
        <v/>
      </c>
      <c r="P101" s="21">
        <f>LET(
    val_type,'Loan Tape (S&amp;P)'!AU101,
    IF(val_type="Full",1.00,
        IF(val_type="Desktop",1.0101,
            IF(val_type="Drive-by",1.10,
                1.00)))
)</f>
        <v/>
      </c>
      <c r="Q101" s="32">
        <f>MAX(O101*P101,0)</f>
        <v/>
      </c>
      <c r="R101" s="43">
        <f>B101*Q101</f>
        <v/>
      </c>
    </row>
    <row r="102">
      <c r="A102" s="17">
        <f>'Loan Tape (S&amp;P)'!A102</f>
        <v/>
      </c>
      <c r="B102" s="18">
        <f>'Loan Tape (S&amp;P)'!B102</f>
        <v/>
      </c>
      <c r="C102" s="18">
        <f>'Loan Tape (S&amp;P)'!D102</f>
        <v/>
      </c>
      <c r="D102" s="20">
        <f>'FF Calculations'!E102</f>
        <v/>
      </c>
      <c r="E102" s="20">
        <f>'Control Panel'!$B$19</f>
        <v/>
      </c>
      <c r="F102" s="17">
        <f>'Loan Tape (S&amp;P)'!I102</f>
        <v/>
      </c>
      <c r="G102" s="20">
        <f>IFERROR(VLOOKUP(F102,'LS Parameters'!$A$6:$B$10,2,FALSE),0.05)</f>
        <v/>
      </c>
      <c r="H102" s="17">
        <f>'Loan Tape (S&amp;P)'!J102</f>
        <v/>
      </c>
      <c r="I102" s="20">
        <f>IFERROR(VLOOKUP(H102,'LS Parameters'!$A$14:$B$25,2,FALSE),0)</f>
        <v/>
      </c>
      <c r="J102" s="20">
        <f>E102+G102+I102</f>
        <v/>
      </c>
      <c r="K102" s="20">
        <f>'Control Panel'!$B$20</f>
        <v/>
      </c>
      <c r="L102" s="20">
        <f>J102+K102</f>
        <v/>
      </c>
      <c r="M102" s="20">
        <f>1-(D102*L102)</f>
        <v/>
      </c>
      <c r="N102" s="20">
        <f>VLOOKUP('Control Panel'!$B$6,'Jurisdiction Parameters'!$A:$N,14,FALSE)</f>
        <v/>
      </c>
      <c r="O102" s="20">
        <f>IF(M102&gt;0,N102,1-M102+N102)</f>
        <v/>
      </c>
      <c r="P102" s="21">
        <f>LET(
    val_type,'Loan Tape (S&amp;P)'!AU102,
    IF(val_type="Full",1.00,
        IF(val_type="Desktop",1.0102,
            IF(val_type="Drive-by",1.10,
                1.00)))
)</f>
        <v/>
      </c>
      <c r="Q102" s="32">
        <f>MAX(O102*P102,0)</f>
        <v/>
      </c>
      <c r="R102" s="43">
        <f>B102*Q102</f>
        <v/>
      </c>
    </row>
    <row r="103">
      <c r="A103" s="17">
        <f>'Loan Tape (S&amp;P)'!A103</f>
        <v/>
      </c>
      <c r="B103" s="18">
        <f>'Loan Tape (S&amp;P)'!B103</f>
        <v/>
      </c>
      <c r="C103" s="18">
        <f>'Loan Tape (S&amp;P)'!D103</f>
        <v/>
      </c>
      <c r="D103" s="20">
        <f>'FF Calculations'!E103</f>
        <v/>
      </c>
      <c r="E103" s="20">
        <f>'Control Panel'!$B$19</f>
        <v/>
      </c>
      <c r="F103" s="17">
        <f>'Loan Tape (S&amp;P)'!I103</f>
        <v/>
      </c>
      <c r="G103" s="20">
        <f>IFERROR(VLOOKUP(F103,'LS Parameters'!$A$6:$B$10,2,FALSE),0.05)</f>
        <v/>
      </c>
      <c r="H103" s="17">
        <f>'Loan Tape (S&amp;P)'!J103</f>
        <v/>
      </c>
      <c r="I103" s="20">
        <f>IFERROR(VLOOKUP(H103,'LS Parameters'!$A$14:$B$25,2,FALSE),0)</f>
        <v/>
      </c>
      <c r="J103" s="20">
        <f>E103+G103+I103</f>
        <v/>
      </c>
      <c r="K103" s="20">
        <f>'Control Panel'!$B$20</f>
        <v/>
      </c>
      <c r="L103" s="20">
        <f>J103+K103</f>
        <v/>
      </c>
      <c r="M103" s="20">
        <f>1-(D103*L103)</f>
        <v/>
      </c>
      <c r="N103" s="20">
        <f>VLOOKUP('Control Panel'!$B$6,'Jurisdiction Parameters'!$A:$N,14,FALSE)</f>
        <v/>
      </c>
      <c r="O103" s="20">
        <f>IF(M103&gt;0,N103,1-M103+N103)</f>
        <v/>
      </c>
      <c r="P103" s="21">
        <f>LET(
    val_type,'Loan Tape (S&amp;P)'!AU103,
    IF(val_type="Full",1.00,
        IF(val_type="Desktop",1.0103,
            IF(val_type="Drive-by",1.10,
                1.00)))
)</f>
        <v/>
      </c>
      <c r="Q103" s="32">
        <f>MAX(O103*P103,0)</f>
        <v/>
      </c>
      <c r="R103" s="43">
        <f>B103*Q103</f>
        <v/>
      </c>
    </row>
    <row r="104">
      <c r="A104" s="17">
        <f>'Loan Tape (S&amp;P)'!A104</f>
        <v/>
      </c>
      <c r="B104" s="18">
        <f>'Loan Tape (S&amp;P)'!B104</f>
        <v/>
      </c>
      <c r="C104" s="18">
        <f>'Loan Tape (S&amp;P)'!D104</f>
        <v/>
      </c>
      <c r="D104" s="20">
        <f>'FF Calculations'!E104</f>
        <v/>
      </c>
      <c r="E104" s="20">
        <f>'Control Panel'!$B$19</f>
        <v/>
      </c>
      <c r="F104" s="17">
        <f>'Loan Tape (S&amp;P)'!I104</f>
        <v/>
      </c>
      <c r="G104" s="20">
        <f>IFERROR(VLOOKUP(F104,'LS Parameters'!$A$6:$B$10,2,FALSE),0.05)</f>
        <v/>
      </c>
      <c r="H104" s="17">
        <f>'Loan Tape (S&amp;P)'!J104</f>
        <v/>
      </c>
      <c r="I104" s="20">
        <f>IFERROR(VLOOKUP(H104,'LS Parameters'!$A$14:$B$25,2,FALSE),0)</f>
        <v/>
      </c>
      <c r="J104" s="20">
        <f>E104+G104+I104</f>
        <v/>
      </c>
      <c r="K104" s="20">
        <f>'Control Panel'!$B$20</f>
        <v/>
      </c>
      <c r="L104" s="20">
        <f>J104+K104</f>
        <v/>
      </c>
      <c r="M104" s="20">
        <f>1-(D104*L104)</f>
        <v/>
      </c>
      <c r="N104" s="20">
        <f>VLOOKUP('Control Panel'!$B$6,'Jurisdiction Parameters'!$A:$N,14,FALSE)</f>
        <v/>
      </c>
      <c r="O104" s="20">
        <f>IF(M104&gt;0,N104,1-M104+N104)</f>
        <v/>
      </c>
      <c r="P104" s="21">
        <f>LET(
    val_type,'Loan Tape (S&amp;P)'!AU104,
    IF(val_type="Full",1.00,
        IF(val_type="Desktop",1.0104,
            IF(val_type="Drive-by",1.10,
                1.00)))
)</f>
        <v/>
      </c>
      <c r="Q104" s="32">
        <f>MAX(O104*P104,0)</f>
        <v/>
      </c>
      <c r="R104" s="43">
        <f>B104*Q104</f>
        <v/>
      </c>
    </row>
  </sheetData>
  <mergeCells count="2">
    <mergeCell ref="A2:R2"/>
    <mergeCell ref="A1: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5:C19"/>
  <sheetViews>
    <sheetView workbookViewId="0">
      <selection activeCell="A1" sqref="A1"/>
    </sheetView>
  </sheetViews>
  <sheetFormatPr baseColWidth="8" defaultRowHeight="15"/>
  <sheetData>
    <row r="15">
      <c r="A15" s="45" t="inlineStr">
        <is>
          <t>LOSS SEVERITY (WALS) METRICS</t>
        </is>
      </c>
    </row>
    <row r="17">
      <c r="A17" s="39" t="inlineStr">
        <is>
          <t>Pool WALS %</t>
        </is>
      </c>
      <c r="B17" s="46">
        <f>SUMPRODUCT('LS Calculations'!$B$5:$B$104,'LS Calculations'!$Q$5:$Q$104)/SUM('LS Calculations'!$B$5:$B$104)</f>
        <v/>
      </c>
      <c r="C17" s="39" t="inlineStr">
        <is>
          <t>Balance-weighted average loss severity</t>
        </is>
      </c>
    </row>
    <row r="18">
      <c r="A18" s="39" t="inlineStr">
        <is>
          <t>Expected Loss %</t>
        </is>
      </c>
      <c r="B18" s="46">
        <f>B11*B17</f>
        <v/>
      </c>
      <c r="C18" s="39" t="inlineStr">
        <is>
          <t>WAFF × WALS = Expected Loss</t>
        </is>
      </c>
    </row>
    <row r="19">
      <c r="A19" s="39" t="inlineStr">
        <is>
          <t>Expected Loss Amount</t>
        </is>
      </c>
      <c r="B19" s="47">
        <f>B18*B8</f>
        <v/>
      </c>
      <c r="C19" s="39" t="inlineStr">
        <is>
          <t>Expected loss in £</t>
        </is>
      </c>
    </row>
  </sheetData>
  <mergeCells count="1">
    <mergeCell ref="A15:C1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9" customWidth="1" min="4" max="4"/>
    <col width="11" customWidth="1" min="5" max="5"/>
    <col width="11" customWidth="1" min="6" max="6"/>
    <col width="7" customWidth="1" min="7" max="7"/>
    <col width="11" customWidth="1" min="8" max="8"/>
    <col width="7" customWidth="1" min="9" max="9"/>
  </cols>
  <sheetData>
    <row r="1" ht="30" customHeight="1">
      <c r="A1" s="70" t="inlineStr">
        <is>
          <t>WAFF ANALYTICS &amp; ADJUSTMENT DRIVER DASHBOARD</t>
        </is>
      </c>
    </row>
    <row r="3">
      <c r="A3" s="71" t="inlineStr">
        <is>
          <t>KEY POOL METRICS</t>
        </is>
      </c>
    </row>
    <row r="4">
      <c r="A4" s="54" t="inlineStr">
        <is>
          <t>Pool WAFF (%)</t>
        </is>
      </c>
      <c r="B4" s="72">
        <f>IFERROR('Pool Summary'!B5,0)</f>
        <v/>
      </c>
    </row>
    <row r="5">
      <c r="A5" s="54" t="inlineStr">
        <is>
          <t>Pool WALS (%)</t>
        </is>
      </c>
      <c r="B5" s="72">
        <f>IFERROR('Pool Summary'!B6,0)</f>
        <v/>
      </c>
    </row>
    <row r="6">
      <c r="A6" s="54" t="inlineStr">
        <is>
          <t>Expected Loss (%)</t>
        </is>
      </c>
      <c r="B6" s="72">
        <f>IFERROR('Pool Summary'!B7,0)</f>
        <v/>
      </c>
    </row>
    <row r="7">
      <c r="A7" s="54" t="inlineStr">
        <is>
          <t>Base FF (Wtd Avg)</t>
        </is>
      </c>
      <c r="B7" s="72">
        <f>IFERROR(SUMPRODUCT('FF Calculations'!F5:F104,'Loan Tape (S&amp;P)'!M5:M104)/SUM('Loan Tape (S&amp;P)'!M5:M104),0)</f>
        <v/>
      </c>
    </row>
    <row r="8">
      <c r="A8" s="54" t="inlineStr">
        <is>
          <t>Adjusted FF (Wtd Avg)</t>
        </is>
      </c>
      <c r="B8" s="72">
        <f>IFERROR(SUMPRODUCT('FF Calculations'!Z5:Z104,'Loan Tape (S&amp;P)'!M5:M104)/SUM('Loan Tape (S&amp;P)'!M5:M104),0)</f>
        <v/>
      </c>
    </row>
    <row r="9">
      <c r="A9" s="54" t="inlineStr">
        <is>
          <t>Overall FF Multiplier</t>
        </is>
      </c>
      <c r="B9" s="73">
        <f>IFERROR(B8/B7,0)</f>
        <v/>
      </c>
    </row>
    <row r="11">
      <c r="A11" s="71" t="inlineStr">
        <is>
          <t>ADJUSTMENT DRIVER ANALYSIS</t>
        </is>
      </c>
    </row>
    <row r="12">
      <c r="A12" s="74" t="inlineStr">
        <is>
          <t>Adjustment</t>
        </is>
      </c>
      <c r="B12" s="74" t="inlineStr">
        <is>
          <t>Wtd Avg</t>
        </is>
      </c>
      <c r="C12" s="74" t="inlineStr">
        <is>
          <t>Min</t>
        </is>
      </c>
      <c r="D12" s="74" t="inlineStr">
        <is>
          <t>Max</t>
        </is>
      </c>
      <c r="E12" s="74" t="inlineStr">
        <is>
          <t>Impact (%)</t>
        </is>
      </c>
      <c r="F12" s="74" t="inlineStr">
        <is>
          <t>% of Total</t>
        </is>
      </c>
      <c r="G12" s="74" t="inlineStr">
        <is>
          <t>Rank</t>
        </is>
      </c>
      <c r="H12" s="74" t="inlineStr">
        <is>
          <t>% Affected</t>
        </is>
      </c>
    </row>
    <row r="13">
      <c r="A13" t="inlineStr">
        <is>
          <t>LTV Multiplier</t>
        </is>
      </c>
      <c r="B13" s="75">
        <f>IFERROR(SUMPRODUCT('FF Calculations'!E5:E104,'Loan Tape (S&amp;P)'!M5:M104)/SUM('Loan Tape (S&amp;P)'!M5:M104),1)</f>
        <v/>
      </c>
      <c r="C13" s="75">
        <f>IFERROR(MIN('FF Calculations'!E5:E104),1)</f>
        <v/>
      </c>
      <c r="D13" s="75">
        <f>IFERROR(MAX('FF Calculations'!E5:E104),1)</f>
        <v/>
      </c>
      <c r="E13" s="61">
        <f>IFERROR((B13-1)*$B$7,0)</f>
        <v/>
      </c>
      <c r="F13" s="76">
        <f>IFERROR(E13/SUM($E$13:$E$32),0)</f>
        <v/>
      </c>
      <c r="G13">
        <f>IFERROR(RANK(E13,$E$13:$E$32,0),99)</f>
        <v/>
      </c>
      <c r="H13" s="76">
        <f>IFERROR(COUNTIF('FF Calculations'!E5:E104,"&gt;1")/COUNTA('FF Calculations'!E5:E104),0)</f>
        <v/>
      </c>
    </row>
    <row r="14">
      <c r="A14" t="inlineStr">
        <is>
          <t>Originator</t>
        </is>
      </c>
      <c r="B14" s="75">
        <f>IFERROR(SUMPRODUCT('FF Calculations'!G5:G104,'Loan Tape (S&amp;P)'!M5:M104)/SUM('Loan Tape (S&amp;P)'!M5:M104),1)</f>
        <v/>
      </c>
      <c r="C14" s="75">
        <f>IFERROR(MIN('FF Calculations'!G5:G104),1)</f>
        <v/>
      </c>
      <c r="D14" s="75">
        <f>IFERROR(MAX('FF Calculations'!G5:G104),1)</f>
        <v/>
      </c>
      <c r="E14" s="61">
        <f>IFERROR((B14-1)*$B$7,0)</f>
        <v/>
      </c>
      <c r="F14" s="76">
        <f>IFERROR(E14/SUM($E$13:$E$32),0)</f>
        <v/>
      </c>
      <c r="G14">
        <f>IFERROR(RANK(E14,$E$13:$E$32,0),99)</f>
        <v/>
      </c>
      <c r="H14" s="76">
        <f>IFERROR(COUNTIF('FF Calculations'!G5:G104,"&gt;1")/COUNTA('FF Calculations'!G5:G104),0)</f>
        <v/>
      </c>
    </row>
    <row r="15">
      <c r="A15" t="inlineStr">
        <is>
          <t>Income Multiple</t>
        </is>
      </c>
      <c r="B15" s="75">
        <f>IFERROR(SUMPRODUCT('FF Calculations'!H5:H104,'Loan Tape (S&amp;P)'!M5:M104)/SUM('Loan Tape (S&amp;P)'!M5:M104),1)</f>
        <v/>
      </c>
      <c r="C15" s="75">
        <f>IFERROR(MIN('FF Calculations'!H5:H104),1)</f>
        <v/>
      </c>
      <c r="D15" s="75">
        <f>IFERROR(MAX('FF Calculations'!H5:H104),1)</f>
        <v/>
      </c>
      <c r="E15" s="61">
        <f>IFERROR((B15-1)*$B$7,0)</f>
        <v/>
      </c>
      <c r="F15" s="76">
        <f>IFERROR(E15/SUM($E$13:$E$32),0)</f>
        <v/>
      </c>
      <c r="G15">
        <f>IFERROR(RANK(E15,$E$13:$E$32,0),99)</f>
        <v/>
      </c>
      <c r="H15" s="76">
        <f>IFERROR(COUNTIF('FF Calculations'!H5:H104,"&gt;1")/COUNTA('FF Calculations'!H5:H104),0)</f>
        <v/>
      </c>
    </row>
    <row r="16">
      <c r="A16" t="inlineStr">
        <is>
          <t>BTL/DSCR</t>
        </is>
      </c>
      <c r="B16" s="75">
        <f>IFERROR(SUMPRODUCT('FF Calculations'!I5:I104,'Loan Tape (S&amp;P)'!M5:M104)/SUM('Loan Tape (S&amp;P)'!M5:M104),1)</f>
        <v/>
      </c>
      <c r="C16" s="75">
        <f>IFERROR(MIN('FF Calculations'!I5:I104),1)</f>
        <v/>
      </c>
      <c r="D16" s="75">
        <f>IFERROR(MAX('FF Calculations'!I5:I104),1)</f>
        <v/>
      </c>
      <c r="E16" s="61">
        <f>IFERROR((B16-1)*$B$7,0)</f>
        <v/>
      </c>
      <c r="F16" s="76">
        <f>IFERROR(E16/SUM($E$13:$E$32),0)</f>
        <v/>
      </c>
      <c r="G16">
        <f>IFERROR(RANK(E16,$E$13:$E$32,0),99)</f>
        <v/>
      </c>
      <c r="H16" s="76">
        <f>IFERROR(COUNTIF('FF Calculations'!I5:I104,"&gt;1")/COUNTA('FF Calculations'!I5:I104),0)</f>
        <v/>
      </c>
    </row>
    <row r="17">
      <c r="A17" t="inlineStr">
        <is>
          <t>Lien Position</t>
        </is>
      </c>
      <c r="B17" s="75">
        <f>IFERROR(SUMPRODUCT('FF Calculations'!J5:J104,'Loan Tape (S&amp;P)'!M5:M104)/SUM('Loan Tape (S&amp;P)'!M5:M104),1)</f>
        <v/>
      </c>
      <c r="C17" s="75">
        <f>IFERROR(MIN('FF Calculations'!J5:J104),1)</f>
        <v/>
      </c>
      <c r="D17" s="75">
        <f>IFERROR(MAX('FF Calculations'!J5:J104),1)</f>
        <v/>
      </c>
      <c r="E17" s="61">
        <f>IFERROR((B17-1)*$B$7,0)</f>
        <v/>
      </c>
      <c r="F17" s="76">
        <f>IFERROR(E17/SUM($E$13:$E$32),0)</f>
        <v/>
      </c>
      <c r="G17">
        <f>IFERROR(RANK(E17,$E$13:$E$32,0),99)</f>
        <v/>
      </c>
      <c r="H17" s="76">
        <f>IFERROR(COUNTIF('FF Calculations'!J5:J104,"&gt;1")/COUNTA('FF Calculations'!J5:J104),0)</f>
        <v/>
      </c>
    </row>
    <row r="18">
      <c r="A18" t="inlineStr">
        <is>
          <t>Loan Purpose</t>
        </is>
      </c>
      <c r="B18" s="75">
        <f>IFERROR(SUMPRODUCT('FF Calculations'!K5:K104,'Loan Tape (S&amp;P)'!M5:M104)/SUM('Loan Tape (S&amp;P)'!M5:M104),1)</f>
        <v/>
      </c>
      <c r="C18" s="75">
        <f>IFERROR(MIN('FF Calculations'!K5:K104),1)</f>
        <v/>
      </c>
      <c r="D18" s="75">
        <f>IFERROR(MAX('FF Calculations'!K5:K104),1)</f>
        <v/>
      </c>
      <c r="E18" s="61">
        <f>IFERROR((B18-1)*$B$7,0)</f>
        <v/>
      </c>
      <c r="F18" s="76">
        <f>IFERROR(E18/SUM($E$13:$E$32),0)</f>
        <v/>
      </c>
      <c r="G18">
        <f>IFERROR(RANK(E18,$E$13:$E$32,0),99)</f>
        <v/>
      </c>
      <c r="H18" s="76">
        <f>IFERROR(COUNTIF('FF Calculations'!K5:K104,"&gt;1")/COUNTA('FF Calculations'!K5:K104),0)</f>
        <v/>
      </c>
    </row>
    <row r="19">
      <c r="A19" t="inlineStr">
        <is>
          <t>Arrears</t>
        </is>
      </c>
      <c r="B19" s="75">
        <f>IFERROR(SUMPRODUCT('FF Calculations'!L5:L104,'Loan Tape (S&amp;P)'!M5:M104)/SUM('Loan Tape (S&amp;P)'!M5:M104),1)</f>
        <v/>
      </c>
      <c r="C19" s="75">
        <f>IFERROR(MIN('FF Calculations'!L5:L104),1)</f>
        <v/>
      </c>
      <c r="D19" s="75">
        <f>IFERROR(MAX('FF Calculations'!L5:L104),1)</f>
        <v/>
      </c>
      <c r="E19" s="61">
        <f>IFERROR((B19-1)*$B$7,0)</f>
        <v/>
      </c>
      <c r="F19" s="76">
        <f>IFERROR(E19/SUM($E$13:$E$32),0)</f>
        <v/>
      </c>
      <c r="G19">
        <f>IFERROR(RANK(E19,$E$13:$E$32,0),99)</f>
        <v/>
      </c>
      <c r="H19" s="76">
        <f>IFERROR(COUNTIF('FF Calculations'!L5:L104,"&gt;1")/COUNTA('FF Calculations'!L5:L104),0)</f>
        <v/>
      </c>
    </row>
    <row r="20">
      <c r="A20" t="inlineStr">
        <is>
          <t>Seasoning</t>
        </is>
      </c>
      <c r="B20" s="75">
        <f>IFERROR(SUMPRODUCT('FF Calculations'!M5:M104,'Loan Tape (S&amp;P)'!M5:M104)/SUM('Loan Tape (S&amp;P)'!M5:M104),1)</f>
        <v/>
      </c>
      <c r="C20" s="75">
        <f>IFERROR(MIN('FF Calculations'!M5:M104),1)</f>
        <v/>
      </c>
      <c r="D20" s="75">
        <f>IFERROR(MAX('FF Calculations'!M5:M104),1)</f>
        <v/>
      </c>
      <c r="E20" s="61">
        <f>IFERROR((B20-1)*$B$7,0)</f>
        <v/>
      </c>
      <c r="F20" s="76">
        <f>IFERROR(E20/SUM($E$13:$E$32),0)</f>
        <v/>
      </c>
      <c r="G20">
        <f>IFERROR(RANK(E20,$E$13:$E$32,0),99)</f>
        <v/>
      </c>
      <c r="H20" s="76">
        <f>IFERROR(COUNTIF('FF Calculations'!M5:M104,"&gt;1")/COUNTA('FF Calculations'!M5:M104),0)</f>
        <v/>
      </c>
    </row>
    <row r="21">
      <c r="A21" t="inlineStr">
        <is>
          <t>First Time Buyer</t>
        </is>
      </c>
      <c r="B21" s="75">
        <f>IFERROR(SUMPRODUCT('FF Calculations'!N5:N104,'Loan Tape (S&amp;P)'!M5:M104)/SUM('Loan Tape (S&amp;P)'!M5:M104),1)</f>
        <v/>
      </c>
      <c r="C21" s="75">
        <f>IFERROR(MIN('FF Calculations'!N5:N104),1)</f>
        <v/>
      </c>
      <c r="D21" s="75">
        <f>IFERROR(MAX('FF Calculations'!N5:N104),1)</f>
        <v/>
      </c>
      <c r="E21" s="61">
        <f>IFERROR((B21-1)*$B$7,0)</f>
        <v/>
      </c>
      <c r="F21" s="76">
        <f>IFERROR(E21/SUM($E$13:$E$32),0)</f>
        <v/>
      </c>
      <c r="G21">
        <f>IFERROR(RANK(E21,$E$13:$E$32,0),99)</f>
        <v/>
      </c>
      <c r="H21" s="76">
        <f>IFERROR(COUNTIF('FF Calculations'!N5:N104,"&gt;1")/COUNTA('FF Calculations'!N5:N104),0)</f>
        <v/>
      </c>
    </row>
    <row r="22">
      <c r="A22" t="inlineStr">
        <is>
          <t>Help to Buy</t>
        </is>
      </c>
      <c r="B22" s="75">
        <f>IFERROR(SUMPRODUCT('FF Calculations'!O5:O104,'Loan Tape (S&amp;P)'!M5:M104)/SUM('Loan Tape (S&amp;P)'!M5:M104),1)</f>
        <v/>
      </c>
      <c r="C22" s="75">
        <f>IFERROR(MIN('FF Calculations'!O5:O104),1)</f>
        <v/>
      </c>
      <c r="D22" s="75">
        <f>IFERROR(MAX('FF Calculations'!O5:O104),1)</f>
        <v/>
      </c>
      <c r="E22" s="61">
        <f>IFERROR((B22-1)*$B$7,0)</f>
        <v/>
      </c>
      <c r="F22" s="76">
        <f>IFERROR(E22/SUM($E$13:$E$32),0)</f>
        <v/>
      </c>
      <c r="G22">
        <f>IFERROR(RANK(E22,$E$13:$E$32,0),99)</f>
        <v/>
      </c>
      <c r="H22" s="76">
        <f>IFERROR(COUNTIF('FF Calculations'!O5:O104,"&gt;1")/COUNTA('FF Calculations'!O5:O104),0)</f>
        <v/>
      </c>
    </row>
    <row r="23">
      <c r="A23" t="inlineStr">
        <is>
          <t>Shared Ownership</t>
        </is>
      </c>
      <c r="B23" s="75">
        <f>IFERROR(SUMPRODUCT('FF Calculations'!P5:P104,'Loan Tape (S&amp;P)'!M5:M104)/SUM('Loan Tape (S&amp;P)'!M5:M104),1)</f>
        <v/>
      </c>
      <c r="C23" s="75">
        <f>IFERROR(MIN('FF Calculations'!P5:P104),1)</f>
        <v/>
      </c>
      <c r="D23" s="75">
        <f>IFERROR(MAX('FF Calculations'!P5:P104),1)</f>
        <v/>
      </c>
      <c r="E23" s="61">
        <f>IFERROR((B23-1)*$B$7,0)</f>
        <v/>
      </c>
      <c r="F23" s="76">
        <f>IFERROR(E23/SUM($E$13:$E$32),0)</f>
        <v/>
      </c>
      <c r="G23">
        <f>IFERROR(RANK(E23,$E$13:$E$32,0),99)</f>
        <v/>
      </c>
      <c r="H23" s="76">
        <f>IFERROR(COUNTIF('FF Calculations'!P5:P104,"&gt;1")/COUNTA('FF Calculations'!P5:P104),0)</f>
        <v/>
      </c>
    </row>
    <row r="24">
      <c r="A24" t="inlineStr">
        <is>
          <t>Right to Buy</t>
        </is>
      </c>
      <c r="B24" s="75">
        <f>IFERROR(SUMPRODUCT('FF Calculations'!Q5:Q104,'Loan Tape (S&amp;P)'!M5:M104)/SUM('Loan Tape (S&amp;P)'!M5:M104),1)</f>
        <v/>
      </c>
      <c r="C24" s="75">
        <f>IFERROR(MIN('FF Calculations'!Q5:Q104),1)</f>
        <v/>
      </c>
      <c r="D24" s="75">
        <f>IFERROR(MAX('FF Calculations'!Q5:Q104),1)</f>
        <v/>
      </c>
      <c r="E24" s="61">
        <f>IFERROR((B24-1)*$B$7,0)</f>
        <v/>
      </c>
      <c r="F24" s="76">
        <f>IFERROR(E24/SUM($E$13:$E$32),0)</f>
        <v/>
      </c>
      <c r="G24">
        <f>IFERROR(RANK(E24,$E$13:$E$32,0),99)</f>
        <v/>
      </c>
      <c r="H24" s="76">
        <f>IFERROR(COUNTIF('FF Calculations'!Q5:Q104,"&gt;1")/COUNTA('FF Calculations'!Q5:Q104),0)</f>
        <v/>
      </c>
    </row>
    <row r="25">
      <c r="A25" t="inlineStr">
        <is>
          <t>Self-Certification</t>
        </is>
      </c>
      <c r="B25" s="75">
        <f>IFERROR(SUMPRODUCT('FF Calculations'!R5:R104,'Loan Tape (S&amp;P)'!M5:M104)/SUM('Loan Tape (S&amp;P)'!M5:M104),1)</f>
        <v/>
      </c>
      <c r="C25" s="75">
        <f>IFERROR(MIN('FF Calculations'!R5:R104),1)</f>
        <v/>
      </c>
      <c r="D25" s="75">
        <f>IFERROR(MAX('FF Calculations'!R5:R104),1)</f>
        <v/>
      </c>
      <c r="E25" s="61">
        <f>IFERROR((B25-1)*$B$7,0)</f>
        <v/>
      </c>
      <c r="F25" s="76">
        <f>IFERROR(E25/SUM($E$13:$E$32),0)</f>
        <v/>
      </c>
      <c r="G25">
        <f>IFERROR(RANK(E25,$E$13:$E$32,0),99)</f>
        <v/>
      </c>
      <c r="H25" s="76">
        <f>IFERROR(COUNTIF('FF Calculations'!R5:R104,"&gt;1")/COUNTA('FF Calculations'!R5:R104),0)</f>
        <v/>
      </c>
    </row>
    <row r="26">
      <c r="A26" t="inlineStr">
        <is>
          <t>Payment Shock</t>
        </is>
      </c>
      <c r="B26" s="75">
        <f>IFERROR(SUMPRODUCT('FF Calculations'!S5:S104,'Loan Tape (S&amp;P)'!M5:M104)/SUM('Loan Tape (S&amp;P)'!M5:M104),1)</f>
        <v/>
      </c>
      <c r="C26" s="75">
        <f>IFERROR(MIN('FF Calculations'!S5:S104),1)</f>
        <v/>
      </c>
      <c r="D26" s="75">
        <f>IFERROR(MAX('FF Calculations'!S5:S104),1)</f>
        <v/>
      </c>
      <c r="E26" s="61">
        <f>IFERROR((B26-1)*$B$7,0)</f>
        <v/>
      </c>
      <c r="F26" s="76">
        <f>IFERROR(E26/SUM($E$13:$E$32),0)</f>
        <v/>
      </c>
      <c r="G26">
        <f>IFERROR(RANK(E26,$E$13:$E$32,0),99)</f>
        <v/>
      </c>
      <c r="H26" s="76">
        <f>IFERROR(COUNTIF('FF Calculations'!S5:S104,"&gt;1")/COUNTA('FF Calculations'!S5:S104),0)</f>
        <v/>
      </c>
    </row>
    <row r="27">
      <c r="A27" t="inlineStr">
        <is>
          <t>Interest Only</t>
        </is>
      </c>
      <c r="B27" s="75">
        <f>IFERROR(SUMPRODUCT('FF Calculations'!T5:T104,'Loan Tape (S&amp;P)'!M5:M104)/SUM('Loan Tape (S&amp;P)'!M5:M104),1)</f>
        <v/>
      </c>
      <c r="C27" s="75">
        <f>IFERROR(MIN('FF Calculations'!T5:T104),1)</f>
        <v/>
      </c>
      <c r="D27" s="75">
        <f>IFERROR(MAX('FF Calculations'!T5:T104),1)</f>
        <v/>
      </c>
      <c r="E27" s="61">
        <f>IFERROR((B27-1)*$B$7,0)</f>
        <v/>
      </c>
      <c r="F27" s="76">
        <f>IFERROR(E27/SUM($E$13:$E$32),0)</f>
        <v/>
      </c>
      <c r="G27">
        <f>IFERROR(RANK(E27,$E$13:$E$32,0),99)</f>
        <v/>
      </c>
      <c r="H27" s="76">
        <f>IFERROR(COUNTIF('FF Calculations'!T5:T104,"&gt;1")/COUNTA('FF Calculations'!T5:T104),0)</f>
        <v/>
      </c>
    </row>
    <row r="28">
      <c r="A28" t="inlineStr">
        <is>
          <t>Self-Employed</t>
        </is>
      </c>
      <c r="B28" s="75">
        <f>IFERROR(SUMPRODUCT('FF Calculations'!U5:U104,'Loan Tape (S&amp;P)'!M5:M104)/SUM('Loan Tape (S&amp;P)'!M5:M104),1)</f>
        <v/>
      </c>
      <c r="C28" s="75">
        <f>IFERROR(MIN('FF Calculations'!U5:U104),1)</f>
        <v/>
      </c>
      <c r="D28" s="75">
        <f>IFERROR(MAX('FF Calculations'!U5:U104),1)</f>
        <v/>
      </c>
      <c r="E28" s="61">
        <f>IFERROR((B28-1)*$B$7,0)</f>
        <v/>
      </c>
      <c r="F28" s="76">
        <f>IFERROR(E28/SUM($E$13:$E$32),0)</f>
        <v/>
      </c>
      <c r="G28">
        <f>IFERROR(RANK(E28,$E$13:$E$32,0),99)</f>
        <v/>
      </c>
      <c r="H28" s="76">
        <f>IFERROR(COUNTIF('FF Calculations'!U5:U104,"&gt;1")/COUNTA('FF Calculations'!U5:U104),0)</f>
        <v/>
      </c>
    </row>
    <row r="29">
      <c r="A29" t="inlineStr">
        <is>
          <t>Commercial</t>
        </is>
      </c>
      <c r="B29" s="75">
        <f>IFERROR(SUMPRODUCT('FF Calculations'!V5:V104,'Loan Tape (S&amp;P)'!M5:M104)/SUM('Loan Tape (S&amp;P)'!M5:M104),1)</f>
        <v/>
      </c>
      <c r="C29" s="75">
        <f>IFERROR(MIN('FF Calculations'!V5:V104),1)</f>
        <v/>
      </c>
      <c r="D29" s="75">
        <f>IFERROR(MAX('FF Calculations'!V5:V104),1)</f>
        <v/>
      </c>
      <c r="E29" s="61">
        <f>IFERROR((B29-1)*$B$7,0)</f>
        <v/>
      </c>
      <c r="F29" s="76">
        <f>IFERROR(E29/SUM($E$13:$E$32),0)</f>
        <v/>
      </c>
      <c r="G29">
        <f>IFERROR(RANK(E29,$E$13:$E$32,0),99)</f>
        <v/>
      </c>
      <c r="H29" s="76">
        <f>IFERROR(COUNTIF('FF Calculations'!V5:V104,"&gt;1")/COUNTA('FF Calculations'!V5:V104),0)</f>
        <v/>
      </c>
    </row>
    <row r="30">
      <c r="A30" t="inlineStr">
        <is>
          <t>CCJ</t>
        </is>
      </c>
      <c r="B30" s="75">
        <f>IFERROR(SUMPRODUCT('FF Calculations'!W5:W104,'Loan Tape (S&amp;P)'!M5:M104)/SUM('Loan Tape (S&amp;P)'!M5:M104),1)</f>
        <v/>
      </c>
      <c r="C30" s="75">
        <f>IFERROR(MIN('FF Calculations'!W5:W104),1)</f>
        <v/>
      </c>
      <c r="D30" s="75">
        <f>IFERROR(MAX('FF Calculations'!W5:W104),1)</f>
        <v/>
      </c>
      <c r="E30" s="61">
        <f>IFERROR((B30-1)*$B$7,0)</f>
        <v/>
      </c>
      <c r="F30" s="76">
        <f>IFERROR(E30/SUM($E$13:$E$32),0)</f>
        <v/>
      </c>
      <c r="G30">
        <f>IFERROR(RANK(E30,$E$13:$E$32,0),99)</f>
        <v/>
      </c>
      <c r="H30" s="76">
        <f>IFERROR(COUNTIF('FF Calculations'!W5:W104,"&gt;1")/COUNTA('FF Calculations'!W5:W104),0)</f>
        <v/>
      </c>
    </row>
    <row r="31">
      <c r="A31" t="inlineStr">
        <is>
          <t>Bankruptcy/IVA</t>
        </is>
      </c>
      <c r="B31" s="75">
        <f>IFERROR(SUMPRODUCT('FF Calculations'!X5:X104,'Loan Tape (S&amp;P)'!M5:M104)/SUM('Loan Tape (S&amp;P)'!M5:M104),1)</f>
        <v/>
      </c>
      <c r="C31" s="75">
        <f>IFERROR(MIN('FF Calculations'!X5:X104),1)</f>
        <v/>
      </c>
      <c r="D31" s="75">
        <f>IFERROR(MAX('FF Calculations'!X5:X104),1)</f>
        <v/>
      </c>
      <c r="E31" s="61">
        <f>IFERROR((B31-1)*$B$7,0)</f>
        <v/>
      </c>
      <c r="F31" s="76">
        <f>IFERROR(E31/SUM($E$13:$E$32),0)</f>
        <v/>
      </c>
      <c r="G31">
        <f>IFERROR(RANK(E31,$E$13:$E$32,0),99)</f>
        <v/>
      </c>
      <c r="H31" s="76">
        <f>IFERROR(COUNTIF('FF Calculations'!X5:X104,"&gt;1")/COUNTA('FF Calculations'!X5:X104),0)</f>
        <v/>
      </c>
    </row>
    <row r="32">
      <c r="A32" t="inlineStr">
        <is>
          <t>Reperforming</t>
        </is>
      </c>
      <c r="B32" s="75">
        <f>IFERROR(SUMPRODUCT('FF Calculations'!Y5:Y104,'Loan Tape (S&amp;P)'!M5:M104)/SUM('Loan Tape (S&amp;P)'!M5:M104),1)</f>
        <v/>
      </c>
      <c r="C32" s="75">
        <f>IFERROR(MIN('FF Calculations'!Y5:Y104),1)</f>
        <v/>
      </c>
      <c r="D32" s="75">
        <f>IFERROR(MAX('FF Calculations'!Y5:Y104),1)</f>
        <v/>
      </c>
      <c r="E32" s="61">
        <f>IFERROR((B32-1)*$B$7,0)</f>
        <v/>
      </c>
      <c r="F32" s="76">
        <f>IFERROR(E32/SUM($E$13:$E$32),0)</f>
        <v/>
      </c>
      <c r="G32">
        <f>IFERROR(RANK(E32,$E$13:$E$32,0),99)</f>
        <v/>
      </c>
      <c r="H32" s="76">
        <f>IFERROR(COUNTIF('FF Calculations'!Y5:Y104,"&gt;1")/COUNTA('FF Calculations'!Y5:Y104),0)</f>
        <v/>
      </c>
    </row>
    <row r="35">
      <c r="A35" s="71" t="inlineStr">
        <is>
          <t>DEAL / POOL CUT COMPARISON</t>
        </is>
      </c>
    </row>
    <row r="36">
      <c r="A36" s="2" t="inlineStr">
        <is>
          <t>Paste values from other deals below</t>
        </is>
      </c>
    </row>
    <row r="37">
      <c r="A37" s="77" t="inlineStr">
        <is>
          <t>Metric</t>
        </is>
      </c>
      <c r="B37" s="77" t="inlineStr">
        <is>
          <t>Current</t>
        </is>
      </c>
      <c r="C37" s="77" t="inlineStr">
        <is>
          <t>Deal 2</t>
        </is>
      </c>
      <c r="D37" s="77" t="inlineStr">
        <is>
          <t>Deal 3</t>
        </is>
      </c>
      <c r="E37" s="77" t="inlineStr">
        <is>
          <t>Deal 4</t>
        </is>
      </c>
      <c r="F37" s="77" t="inlineStr">
        <is>
          <t>Δ vs D2</t>
        </is>
      </c>
      <c r="G37" s="77" t="inlineStr">
        <is>
          <t>Δ vs D3</t>
        </is>
      </c>
      <c r="H37" s="77" t="inlineStr">
        <is>
          <t>Δ vs D4</t>
        </is>
      </c>
      <c r="I37" s="77" t="inlineStr">
        <is>
          <t>Best</t>
        </is>
      </c>
    </row>
    <row r="38">
      <c r="A38" t="inlineStr">
        <is>
          <t>Pool WAFF</t>
        </is>
      </c>
      <c r="B38" s="61">
        <f>B4</f>
        <v/>
      </c>
      <c r="F38" s="78">
        <f>IFERROR(IF(C38="","",C38-B38),"")</f>
        <v/>
      </c>
      <c r="G38" s="78">
        <f>IFERROR(IF(D38="","",D38-B38),"")</f>
        <v/>
      </c>
      <c r="H38" s="78">
        <f>IFERROR(IF(E38="","",E38-B38),"")</f>
        <v/>
      </c>
      <c r="I38">
        <f>IFERROR(IF(COUNTBLANK(B38:E38)&gt;0,"",IF(B38=MIN($B38:$E38),"Curr",IF(C38=MIN($B38:$E38),"D2",IF(D38=MIN($B38:$E38),"D3","D4")))),"")</f>
        <v/>
      </c>
    </row>
    <row r="39">
      <c r="A39" t="inlineStr">
        <is>
          <t>Pool WALS</t>
        </is>
      </c>
      <c r="B39" s="61">
        <f>B5</f>
        <v/>
      </c>
      <c r="F39" s="78">
        <f>IFERROR(IF(C39="","",C39-B39),"")</f>
        <v/>
      </c>
      <c r="G39" s="78">
        <f>IFERROR(IF(D39="","",D39-B39),"")</f>
        <v/>
      </c>
      <c r="H39" s="78">
        <f>IFERROR(IF(E39="","",E39-B39),"")</f>
        <v/>
      </c>
      <c r="I39">
        <f>IFERROR(IF(COUNTBLANK(B39:E39)&gt;0,"",IF(B39=MIN($B39:$E39),"Curr",IF(C39=MIN($B39:$E39),"D2",IF(D39=MIN($B39:$E39),"D3","D4")))),"")</f>
        <v/>
      </c>
    </row>
    <row r="40">
      <c r="A40" t="inlineStr">
        <is>
          <t>Expected Loss</t>
        </is>
      </c>
      <c r="B40" s="61">
        <f>B6</f>
        <v/>
      </c>
      <c r="F40" s="78">
        <f>IFERROR(IF(C40="","",C40-B40),"")</f>
        <v/>
      </c>
      <c r="G40" s="78">
        <f>IFERROR(IF(D40="","",D40-B40),"")</f>
        <v/>
      </c>
      <c r="H40" s="78">
        <f>IFERROR(IF(E40="","",E40-B40),"")</f>
        <v/>
      </c>
      <c r="I40">
        <f>IFERROR(IF(COUNTBLANK(B40:E40)&gt;0,"",IF(B40=MIN($B40:$E40),"Curr",IF(C40=MIN($B40:$E40),"D2",IF(D40=MIN($B40:$E40),"D3","D4")))),"")</f>
        <v/>
      </c>
    </row>
    <row r="41">
      <c r="A41" t="inlineStr">
        <is>
          <t>FF Multiplier</t>
        </is>
      </c>
      <c r="B41" s="61">
        <f>B9</f>
        <v/>
      </c>
      <c r="F41" s="78">
        <f>IFERROR(IF(C41="","",C41-B41),"")</f>
        <v/>
      </c>
      <c r="G41" s="78">
        <f>IFERROR(IF(D41="","",D41-B41),"")</f>
        <v/>
      </c>
      <c r="H41" s="78">
        <f>IFERROR(IF(E41="","",E41-B41),"")</f>
        <v/>
      </c>
      <c r="I41">
        <f>IFERROR(IF(COUNTBLANK(B41:E41)&gt;0,"",IF(B41=MIN($B41:$E41),"Curr",IF(C41=MIN($B41:$E41),"D2",IF(D41=MIN($B41:$E41),"D3","D4")))),"")</f>
        <v/>
      </c>
    </row>
    <row r="42">
      <c r="A42" t="inlineStr">
        <is>
          <t>LTV Impact</t>
        </is>
      </c>
      <c r="B42" s="61">
        <f>E13</f>
        <v/>
      </c>
      <c r="F42" s="78">
        <f>IFERROR(IF(C42="","",C42-B42),"")</f>
        <v/>
      </c>
      <c r="G42" s="78">
        <f>IFERROR(IF(D42="","",D42-B42),"")</f>
        <v/>
      </c>
      <c r="H42" s="78">
        <f>IFERROR(IF(E42="","",E42-B42),"")</f>
        <v/>
      </c>
      <c r="I42">
        <f>IFERROR(IF(COUNTBLANK(B42:E42)&gt;0,"",IF(B42=MIN($B42:$E42),"Curr",IF(C42=MIN($B42:$E42),"D2",IF(D42=MIN($B42:$E42),"D3","D4")))),"")</f>
        <v/>
      </c>
    </row>
    <row r="43">
      <c r="A43" t="inlineStr">
        <is>
          <t>Seasoning Impact</t>
        </is>
      </c>
      <c r="B43" s="61">
        <f>E20</f>
        <v/>
      </c>
      <c r="F43" s="78">
        <f>IFERROR(IF(C43="","",C43-B43),"")</f>
        <v/>
      </c>
      <c r="G43" s="78">
        <f>IFERROR(IF(D43="","",D43-B43),"")</f>
        <v/>
      </c>
      <c r="H43" s="78">
        <f>IFERROR(IF(E43="","",E43-B43),"")</f>
        <v/>
      </c>
      <c r="I43">
        <f>IFERROR(IF(COUNTBLANK(B43:E43)&gt;0,"",IF(B43=MIN($B43:$E43),"Curr",IF(C43=MIN($B43:$E43),"D2",IF(D43=MIN($B43:$E43),"D3","D4")))),"")</f>
        <v/>
      </c>
    </row>
    <row r="44">
      <c r="A44" t="inlineStr">
        <is>
          <t>Product Features</t>
        </is>
      </c>
      <c r="B44" s="61">
        <f>SUM(E21:E25)</f>
        <v/>
      </c>
      <c r="F44" s="78">
        <f>IFERROR(IF(C44="","",C44-B44),"")</f>
        <v/>
      </c>
      <c r="G44" s="78">
        <f>IFERROR(IF(D44="","",D44-B44),"")</f>
        <v/>
      </c>
      <c r="H44" s="78">
        <f>IFERROR(IF(E44="","",E44-B44),"")</f>
        <v/>
      </c>
      <c r="I44">
        <f>IFERROR(IF(COUNTBLANK(B44:E44)&gt;0,"",IF(B44=MIN($B44:$E44),"Curr",IF(C44=MIN($B44:$E44),"D2",IF(D44=MIN($B44:$E44),"D3","D4")))),"")</f>
        <v/>
      </c>
    </row>
    <row r="47">
      <c r="A47" s="71" t="inlineStr">
        <is>
          <t>S&amp;P NIR COMPARISON</t>
        </is>
      </c>
    </row>
    <row r="48">
      <c r="A48" s="2" t="inlineStr">
        <is>
          <t>Paste S&amp;P NIR values to compare</t>
        </is>
      </c>
    </row>
    <row r="49">
      <c r="A49" s="79" t="inlineStr">
        <is>
          <t>Adjustment</t>
        </is>
      </c>
      <c r="B49" s="79" t="inlineStr">
        <is>
          <t>Our Model</t>
        </is>
      </c>
      <c r="C49" s="79" t="inlineStr">
        <is>
          <t>S&amp;P NIR</t>
        </is>
      </c>
      <c r="D49" s="79" t="inlineStr">
        <is>
          <t>Variance</t>
        </is>
      </c>
      <c r="E49" s="79" t="inlineStr">
        <is>
          <t>Var %</t>
        </is>
      </c>
      <c r="F49" s="79" t="inlineStr">
        <is>
          <t>±5%</t>
        </is>
      </c>
      <c r="G49" s="79" t="inlineStr">
        <is>
          <t>±10%</t>
        </is>
      </c>
      <c r="H49" s="79" t="inlineStr">
        <is>
          <t>Status</t>
        </is>
      </c>
    </row>
    <row r="50">
      <c r="A50" t="inlineStr">
        <is>
          <t>LTV Multiplier</t>
        </is>
      </c>
      <c r="B50" s="75">
        <f>B13</f>
        <v/>
      </c>
      <c r="D50" s="80">
        <f>IFERROR(IF(C50="","",B50-C50),"")</f>
        <v/>
      </c>
      <c r="E50" s="81">
        <f>IFERROR(IF(C50="","",D50/C50),"")</f>
        <v/>
      </c>
      <c r="F50" s="82">
        <f>IF(C50="","",IF(ABS(E50)&lt;=0.05,"✓","✗"))</f>
        <v/>
      </c>
      <c r="G50" s="82">
        <f>IF(C50="","",IF(ABS(E50)&lt;=0.10,"✓","✗"))</f>
        <v/>
      </c>
      <c r="H50">
        <f>IF(C50="","",IF(ABS(E50)&lt;0.05,"Target",IF(ABS(E50)&lt;0.10,"Close","Review")))</f>
        <v/>
      </c>
    </row>
    <row r="51">
      <c r="A51" t="inlineStr">
        <is>
          <t>Originator</t>
        </is>
      </c>
      <c r="B51" s="75">
        <f>B14</f>
        <v/>
      </c>
      <c r="D51" s="80">
        <f>IFERROR(IF(C51="","",B51-C51),"")</f>
        <v/>
      </c>
      <c r="E51" s="81">
        <f>IFERROR(IF(C51="","",D51/C51),"")</f>
        <v/>
      </c>
      <c r="F51" s="82">
        <f>IF(C51="","",IF(ABS(E51)&lt;=0.05,"✓","✗"))</f>
        <v/>
      </c>
      <c r="G51" s="82">
        <f>IF(C51="","",IF(ABS(E51)&lt;=0.10,"✓","✗"))</f>
        <v/>
      </c>
      <c r="H51">
        <f>IF(C51="","",IF(ABS(E51)&lt;0.05,"Target",IF(ABS(E51)&lt;0.10,"Close","Review")))</f>
        <v/>
      </c>
    </row>
    <row r="52">
      <c r="A52" t="inlineStr">
        <is>
          <t>Income Multiple</t>
        </is>
      </c>
      <c r="B52" s="75">
        <f>B15</f>
        <v/>
      </c>
      <c r="D52" s="80">
        <f>IFERROR(IF(C52="","",B52-C52),"")</f>
        <v/>
      </c>
      <c r="E52" s="81">
        <f>IFERROR(IF(C52="","",D52/C52),"")</f>
        <v/>
      </c>
      <c r="F52" s="82">
        <f>IF(C52="","",IF(ABS(E52)&lt;=0.05,"✓","✗"))</f>
        <v/>
      </c>
      <c r="G52" s="82">
        <f>IF(C52="","",IF(ABS(E52)&lt;=0.10,"✓","✗"))</f>
        <v/>
      </c>
      <c r="H52">
        <f>IF(C52="","",IF(ABS(E52)&lt;0.05,"Target",IF(ABS(E52)&lt;0.10,"Close","Review")))</f>
        <v/>
      </c>
    </row>
    <row r="53">
      <c r="A53" t="inlineStr">
        <is>
          <t>BTL/DSCR</t>
        </is>
      </c>
      <c r="B53" s="75">
        <f>B16</f>
        <v/>
      </c>
      <c r="D53" s="80">
        <f>IFERROR(IF(C53="","",B53-C53),"")</f>
        <v/>
      </c>
      <c r="E53" s="81">
        <f>IFERROR(IF(C53="","",D53/C53),"")</f>
        <v/>
      </c>
      <c r="F53" s="82">
        <f>IF(C53="","",IF(ABS(E53)&lt;=0.05,"✓","✗"))</f>
        <v/>
      </c>
      <c r="G53" s="82">
        <f>IF(C53="","",IF(ABS(E53)&lt;=0.10,"✓","✗"))</f>
        <v/>
      </c>
      <c r="H53">
        <f>IF(C53="","",IF(ABS(E53)&lt;0.05,"Target",IF(ABS(E53)&lt;0.10,"Close","Review")))</f>
        <v/>
      </c>
    </row>
    <row r="54">
      <c r="A54" t="inlineStr">
        <is>
          <t>Lien Position</t>
        </is>
      </c>
      <c r="B54" s="75">
        <f>B17</f>
        <v/>
      </c>
      <c r="D54" s="80">
        <f>IFERROR(IF(C54="","",B54-C54),"")</f>
        <v/>
      </c>
      <c r="E54" s="81">
        <f>IFERROR(IF(C54="","",D54/C54),"")</f>
        <v/>
      </c>
      <c r="F54" s="82">
        <f>IF(C54="","",IF(ABS(E54)&lt;=0.05,"✓","✗"))</f>
        <v/>
      </c>
      <c r="G54" s="82">
        <f>IF(C54="","",IF(ABS(E54)&lt;=0.10,"✓","✗"))</f>
        <v/>
      </c>
      <c r="H54">
        <f>IF(C54="","",IF(ABS(E54)&lt;0.05,"Target",IF(ABS(E54)&lt;0.10,"Close","Review")))</f>
        <v/>
      </c>
    </row>
    <row r="55">
      <c r="A55" t="inlineStr">
        <is>
          <t>Loan Purpose</t>
        </is>
      </c>
      <c r="B55" s="75">
        <f>B18</f>
        <v/>
      </c>
      <c r="D55" s="80">
        <f>IFERROR(IF(C55="","",B55-C55),"")</f>
        <v/>
      </c>
      <c r="E55" s="81">
        <f>IFERROR(IF(C55="","",D55/C55),"")</f>
        <v/>
      </c>
      <c r="F55" s="82">
        <f>IF(C55="","",IF(ABS(E55)&lt;=0.05,"✓","✗"))</f>
        <v/>
      </c>
      <c r="G55" s="82">
        <f>IF(C55="","",IF(ABS(E55)&lt;=0.10,"✓","✗"))</f>
        <v/>
      </c>
      <c r="H55">
        <f>IF(C55="","",IF(ABS(E55)&lt;0.05,"Target",IF(ABS(E55)&lt;0.10,"Close","Review")))</f>
        <v/>
      </c>
    </row>
    <row r="56">
      <c r="A56" t="inlineStr">
        <is>
          <t>Arrears</t>
        </is>
      </c>
      <c r="B56" s="75">
        <f>B19</f>
        <v/>
      </c>
      <c r="D56" s="80">
        <f>IFERROR(IF(C56="","",B56-C56),"")</f>
        <v/>
      </c>
      <c r="E56" s="81">
        <f>IFERROR(IF(C56="","",D56/C56),"")</f>
        <v/>
      </c>
      <c r="F56" s="82">
        <f>IF(C56="","",IF(ABS(E56)&lt;=0.05,"✓","✗"))</f>
        <v/>
      </c>
      <c r="G56" s="82">
        <f>IF(C56="","",IF(ABS(E56)&lt;=0.10,"✓","✗"))</f>
        <v/>
      </c>
      <c r="H56">
        <f>IF(C56="","",IF(ABS(E56)&lt;0.05,"Target",IF(ABS(E56)&lt;0.10,"Close","Review")))</f>
        <v/>
      </c>
    </row>
    <row r="57">
      <c r="A57" t="inlineStr">
        <is>
          <t>Seasoning</t>
        </is>
      </c>
      <c r="B57" s="75">
        <f>B20</f>
        <v/>
      </c>
      <c r="D57" s="80">
        <f>IFERROR(IF(C57="","",B57-C57),"")</f>
        <v/>
      </c>
      <c r="E57" s="81">
        <f>IFERROR(IF(C57="","",D57/C57),"")</f>
        <v/>
      </c>
      <c r="F57" s="82">
        <f>IF(C57="","",IF(ABS(E57)&lt;=0.05,"✓","✗"))</f>
        <v/>
      </c>
      <c r="G57" s="82">
        <f>IF(C57="","",IF(ABS(E57)&lt;=0.10,"✓","✗"))</f>
        <v/>
      </c>
      <c r="H57">
        <f>IF(C57="","",IF(ABS(E57)&lt;0.05,"Target",IF(ABS(E57)&lt;0.10,"Close","Review")))</f>
        <v/>
      </c>
    </row>
    <row r="58">
      <c r="A58" t="inlineStr">
        <is>
          <t>First Time Buyer</t>
        </is>
      </c>
      <c r="B58" s="75">
        <f>B21</f>
        <v/>
      </c>
      <c r="D58" s="80">
        <f>IFERROR(IF(C58="","",B58-C58),"")</f>
        <v/>
      </c>
      <c r="E58" s="81">
        <f>IFERROR(IF(C58="","",D58/C58),"")</f>
        <v/>
      </c>
      <c r="F58" s="82">
        <f>IF(C58="","",IF(ABS(E58)&lt;=0.05,"✓","✗"))</f>
        <v/>
      </c>
      <c r="G58" s="82">
        <f>IF(C58="","",IF(ABS(E58)&lt;=0.10,"✓","✗"))</f>
        <v/>
      </c>
      <c r="H58">
        <f>IF(C58="","",IF(ABS(E58)&lt;0.05,"Target",IF(ABS(E58)&lt;0.10,"Close","Review")))</f>
        <v/>
      </c>
    </row>
    <row r="59">
      <c r="A59" t="inlineStr">
        <is>
          <t>Help to Buy</t>
        </is>
      </c>
      <c r="B59" s="75">
        <f>B22</f>
        <v/>
      </c>
      <c r="D59" s="80">
        <f>IFERROR(IF(C59="","",B59-C59),"")</f>
        <v/>
      </c>
      <c r="E59" s="81">
        <f>IFERROR(IF(C59="","",D59/C59),"")</f>
        <v/>
      </c>
      <c r="F59" s="82">
        <f>IF(C59="","",IF(ABS(E59)&lt;=0.05,"✓","✗"))</f>
        <v/>
      </c>
      <c r="G59" s="82">
        <f>IF(C59="","",IF(ABS(E59)&lt;=0.10,"✓","✗"))</f>
        <v/>
      </c>
      <c r="H59">
        <f>IF(C59="","",IF(ABS(E59)&lt;0.05,"Target",IF(ABS(E59)&lt;0.10,"Close","Review")))</f>
        <v/>
      </c>
    </row>
  </sheetData>
  <mergeCells count="7">
    <mergeCell ref="A48:H48"/>
    <mergeCell ref="A1:M1"/>
    <mergeCell ref="A36:I36"/>
    <mergeCell ref="A3:C3"/>
    <mergeCell ref="A11:H11"/>
    <mergeCell ref="A47:H47"/>
    <mergeCell ref="A35:I3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2:G14"/>
  <sheetViews>
    <sheetView workbookViewId="0">
      <selection activeCell="A1" sqref="A1"/>
    </sheetView>
  </sheetViews>
  <sheetFormatPr baseColWidth="8" defaultRowHeight="15"/>
  <sheetData>
    <row r="12">
      <c r="A12" s="48" t="inlineStr">
        <is>
          <t>Expected Loss %</t>
        </is>
      </c>
      <c r="B12" s="32">
        <f>B10*B11</f>
        <v/>
      </c>
      <c r="C12" s="32">
        <f>C10*C11</f>
        <v/>
      </c>
      <c r="D12" s="32">
        <f>D10*D11</f>
        <v/>
      </c>
      <c r="E12" s="32">
        <f>E10*E11</f>
        <v/>
      </c>
      <c r="F12" s="32">
        <f>F10*F11</f>
        <v/>
      </c>
      <c r="G12" s="32">
        <f>G10*G11</f>
        <v/>
      </c>
    </row>
    <row r="14">
      <c r="A14" s="49" t="inlineStr">
        <is>
          <t>Required CE %</t>
        </is>
      </c>
      <c r="B14" s="42">
        <f>B12*B8</f>
        <v/>
      </c>
      <c r="C14" s="42">
        <f>C12*C8</f>
        <v/>
      </c>
      <c r="D14" s="42">
        <f>D12*D8</f>
        <v/>
      </c>
      <c r="E14" s="42">
        <f>E12*E8</f>
        <v/>
      </c>
      <c r="F14" s="42">
        <f>F12*F8</f>
        <v/>
      </c>
      <c r="G14" s="42">
        <f>G12*G8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3:C21"/>
  <sheetViews>
    <sheetView workbookViewId="0">
      <selection activeCell="A1" sqref="A1"/>
    </sheetView>
  </sheetViews>
  <sheetFormatPr baseColWidth="8" defaultRowHeight="15"/>
  <sheetData>
    <row r="3">
      <c r="A3" s="69" t="inlineStr">
        <is>
          <t>Version 4.0 - 15-Jan-2026</t>
        </is>
      </c>
    </row>
    <row r="4">
      <c r="A4" t="inlineStr">
        <is>
          <t>Updates:</t>
        </is>
      </c>
    </row>
    <row r="5">
      <c r="A5" t="inlineStr">
        <is>
          <t>• All FF adjustment formulas now reference FF Adj Parameters dynamically</t>
        </is>
      </c>
    </row>
    <row r="6">
      <c r="A6" t="inlineStr">
        <is>
          <t>• Updated all field codes to BoE convention (AR1, AR2, etc.)</t>
        </is>
      </c>
    </row>
    <row r="7">
      <c r="A7" t="inlineStr">
        <is>
          <t>• Fixed BoE Mapping sheet to eliminate sheet8.xml error</t>
        </is>
      </c>
    </row>
    <row r="8">
      <c r="A8" t="inlineStr">
        <is>
          <t>• Rebuilt FF Adj Parameters with proper lookup structure</t>
        </is>
      </c>
    </row>
    <row r="10">
      <c r="A10" s="69" t="inlineStr">
        <is>
          <t>Version 5.0 - 15-Jan-2026</t>
        </is>
      </c>
    </row>
    <row r="11">
      <c r="A11" t="inlineStr">
        <is>
          <t>✓ ZERO hardcoded values in entire model</t>
        </is>
      </c>
    </row>
    <row r="12">
      <c r="A12" t="inlineStr">
        <is>
          <t>✓ ALL BV codes → AR codes (132 replacements)</t>
        </is>
      </c>
    </row>
    <row r="13">
      <c r="A13" t="inlineStr">
        <is>
          <t>✓ Code conversion tables in FF Adj Parameters</t>
        </is>
      </c>
    </row>
    <row r="14">
      <c r="A14" t="inlineStr">
        <is>
          <t>✓ FF Parameters tab consolidated</t>
        </is>
      </c>
    </row>
    <row r="15">
      <c r="A15" t="inlineStr">
        <is>
          <t>✓ Comprehensive WAFF Analytics Dashboard</t>
        </is>
      </c>
    </row>
    <row r="16">
      <c r="A16" t="inlineStr">
        <is>
          <t>✓ 20 adjustment drivers with contribution analysis</t>
        </is>
      </c>
    </row>
    <row r="17">
      <c r="A17" t="inlineStr">
        <is>
          <t>✓ Deal comparison framework (4 deals)</t>
        </is>
      </c>
    </row>
    <row r="18">
      <c r="A18" t="inlineStr">
        <is>
          <t>✓ S&amp;P NIR comparison capability</t>
        </is>
      </c>
    </row>
    <row r="19">
      <c r="A19" t="inlineStr">
        <is>
          <t>✓ Visualization charts (Bar + Pie)</t>
        </is>
      </c>
    </row>
    <row r="21">
      <c r="A21" s="104" t="inlineStr">
        <is>
          <t>5.1</t>
        </is>
      </c>
      <c r="B21" s="66" t="inlineStr">
        <is>
          <t>16-Jan-2026</t>
        </is>
      </c>
      <c r="C21" s="105" t="inlineStr">
        <is>
          <t>CRITICAL UPDATE: Complete AR Code Migration
• All BV codes replaced with Bank of England AR codes (PRA110 template)
• 41 AR fields properly mapped (AR3, AR5, AR55, AR66, AR67, AR107, AR130, AR131, etc.)
• Added Base FF by Rating Level table (AAA to B-, 16 levels)
• Added special adjustments: Occupancy Unknown (1.70x), CCJ &gt;6 years (1.075x)
• Enhanced BoE Auto-Mapper with AR code recognition
• Updated VBA module: BoE_Auto_Mapper_v2.bas
• Created AR Data Dictionary sheet (175 total AR fields documented)
• Updated BoE Mapping sheet with AR code traceability
• Updated Loan Tape (BoE) headers with AR codes
• Enhanced FF Adj Parameters formatting and structure
• Full Bank of England PRA110 template compliance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LTV CURVE - UNITED KINGDOM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10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10" t="n">
        <v>0.2907</v>
      </c>
      <c r="C5" s="4" t="inlineStr">
        <is>
          <t>LTV_21</t>
        </is>
      </c>
      <c r="D5" s="4" t="n"/>
    </row>
    <row r="6">
      <c r="A6" s="7" t="n">
        <v>0.22</v>
      </c>
      <c r="B6" s="10" t="n">
        <v>0.2925</v>
      </c>
      <c r="C6" s="4" t="inlineStr">
        <is>
          <t>LTV_22</t>
        </is>
      </c>
      <c r="D6" s="4" t="n"/>
    </row>
    <row r="7">
      <c r="A7" s="7" t="n">
        <v>0.23</v>
      </c>
      <c r="B7" s="10" t="n">
        <v>0.2945</v>
      </c>
      <c r="C7" s="4" t="inlineStr">
        <is>
          <t>LTV_23</t>
        </is>
      </c>
      <c r="D7" s="4" t="n"/>
    </row>
    <row r="8">
      <c r="A8" s="7" t="n">
        <v>0.24</v>
      </c>
      <c r="B8" s="10" t="n">
        <v>0.2966</v>
      </c>
      <c r="C8" s="4" t="inlineStr">
        <is>
          <t>LTV_24</t>
        </is>
      </c>
      <c r="D8" s="4" t="n"/>
    </row>
    <row r="9">
      <c r="A9" s="7" t="n">
        <v>0.25</v>
      </c>
      <c r="B9" s="10" t="n">
        <v>0.2988</v>
      </c>
      <c r="C9" s="4" t="inlineStr">
        <is>
          <t>LTV_25</t>
        </is>
      </c>
      <c r="D9" s="4" t="n"/>
    </row>
    <row r="10">
      <c r="A10" s="7" t="n">
        <v>0.26</v>
      </c>
      <c r="B10" s="10" t="n">
        <v>0.3011</v>
      </c>
      <c r="C10" s="4" t="inlineStr">
        <is>
          <t>LTV_26</t>
        </is>
      </c>
      <c r="D10" s="4" t="n"/>
    </row>
    <row r="11">
      <c r="A11" s="7" t="n">
        <v>0.27</v>
      </c>
      <c r="B11" s="10" t="n">
        <v>0.3037</v>
      </c>
      <c r="C11" s="4" t="inlineStr">
        <is>
          <t>LTV_27</t>
        </is>
      </c>
      <c r="D11" s="4" t="n"/>
    </row>
    <row r="12">
      <c r="A12" s="7" t="n">
        <v>0.28</v>
      </c>
      <c r="B12" s="10" t="n">
        <v>0.3063</v>
      </c>
      <c r="C12" s="4" t="inlineStr">
        <is>
          <t>LTV_28</t>
        </is>
      </c>
      <c r="D12" s="4" t="n"/>
    </row>
    <row r="13">
      <c r="A13" s="7" t="n">
        <v>0.29</v>
      </c>
      <c r="B13" s="10" t="n">
        <v>0.3092</v>
      </c>
      <c r="C13" s="4" t="inlineStr">
        <is>
          <t>LTV_29</t>
        </is>
      </c>
      <c r="D13" s="4" t="n"/>
    </row>
    <row r="14">
      <c r="A14" s="7" t="n">
        <v>0.3</v>
      </c>
      <c r="B14" s="10" t="n">
        <v>0.3122</v>
      </c>
      <c r="C14" s="4" t="inlineStr">
        <is>
          <t>LTV_30</t>
        </is>
      </c>
      <c r="D14" s="4" t="n"/>
    </row>
    <row r="15">
      <c r="A15" s="7" t="n">
        <v>0.31</v>
      </c>
      <c r="B15" s="10" t="n">
        <v>0.3155</v>
      </c>
      <c r="C15" s="4" t="inlineStr">
        <is>
          <t>LTV_31</t>
        </is>
      </c>
      <c r="D15" s="4" t="n"/>
    </row>
    <row r="16">
      <c r="A16" s="7" t="n">
        <v>0.32</v>
      </c>
      <c r="B16" s="10" t="n">
        <v>0.3189</v>
      </c>
      <c r="C16" s="4" t="inlineStr">
        <is>
          <t>LTV_32</t>
        </is>
      </c>
      <c r="D16" s="4" t="n"/>
    </row>
    <row r="17">
      <c r="A17" s="7" t="n">
        <v>0.33</v>
      </c>
      <c r="B17" s="10" t="n">
        <v>0.3226</v>
      </c>
      <c r="C17" s="4" t="inlineStr">
        <is>
          <t>LTV_33</t>
        </is>
      </c>
      <c r="D17" s="4" t="n"/>
    </row>
    <row r="18">
      <c r="A18" s="7" t="n">
        <v>0.34</v>
      </c>
      <c r="B18" s="10" t="n">
        <v>0.3265</v>
      </c>
      <c r="C18" s="4" t="inlineStr">
        <is>
          <t>LTV_34</t>
        </is>
      </c>
      <c r="D18" s="4" t="n"/>
    </row>
    <row r="19">
      <c r="A19" s="7" t="n">
        <v>0.35</v>
      </c>
      <c r="B19" s="10" t="n">
        <v>0.3306</v>
      </c>
      <c r="C19" s="4" t="inlineStr">
        <is>
          <t>LTV_35</t>
        </is>
      </c>
      <c r="D19" s="4" t="n"/>
    </row>
    <row r="20">
      <c r="A20" s="7" t="n">
        <v>0.36</v>
      </c>
      <c r="B20" s="10" t="n">
        <v>0.335</v>
      </c>
      <c r="C20" s="4" t="inlineStr">
        <is>
          <t>LTV_36</t>
        </is>
      </c>
      <c r="D20" s="4" t="n"/>
    </row>
    <row r="21">
      <c r="A21" s="7" t="n">
        <v>0.37</v>
      </c>
      <c r="B21" s="10" t="n">
        <v>0.3398</v>
      </c>
      <c r="C21" s="4" t="inlineStr">
        <is>
          <t>LTV_37</t>
        </is>
      </c>
      <c r="D21" s="4" t="n"/>
    </row>
    <row r="22">
      <c r="A22" s="7" t="n">
        <v>0.38</v>
      </c>
      <c r="B22" s="10" t="n">
        <v>0.3448</v>
      </c>
      <c r="C22" s="4" t="inlineStr">
        <is>
          <t>LTV_38</t>
        </is>
      </c>
      <c r="D22" s="4" t="n"/>
    </row>
    <row r="23">
      <c r="A23" s="7" t="n">
        <v>0.39</v>
      </c>
      <c r="B23" s="10" t="n">
        <v>0.3501</v>
      </c>
      <c r="C23" s="4" t="inlineStr">
        <is>
          <t>LTV_39</t>
        </is>
      </c>
      <c r="D23" s="4" t="n"/>
    </row>
    <row r="24">
      <c r="A24" s="7" t="n">
        <v>0.4</v>
      </c>
      <c r="B24" s="10" t="n">
        <v>0.3558</v>
      </c>
      <c r="C24" s="4" t="inlineStr">
        <is>
          <t>LTV_40</t>
        </is>
      </c>
      <c r="D24" s="4" t="n"/>
    </row>
    <row r="25">
      <c r="A25" s="7" t="n">
        <v>0.41</v>
      </c>
      <c r="B25" s="10" t="n">
        <v>0.3618</v>
      </c>
      <c r="C25" s="4" t="inlineStr">
        <is>
          <t>LTV_41</t>
        </is>
      </c>
      <c r="D25" s="4" t="n"/>
    </row>
    <row r="26">
      <c r="A26" s="7" t="n">
        <v>0.42</v>
      </c>
      <c r="B26" s="10" t="n">
        <v>0.3683</v>
      </c>
      <c r="C26" s="4" t="inlineStr">
        <is>
          <t>LTV_42</t>
        </is>
      </c>
      <c r="D26" s="4" t="n"/>
    </row>
    <row r="27">
      <c r="A27" s="7" t="n">
        <v>0.43</v>
      </c>
      <c r="B27" s="10" t="n">
        <v>0.3751</v>
      </c>
      <c r="C27" s="4" t="inlineStr">
        <is>
          <t>LTV_43</t>
        </is>
      </c>
      <c r="D27" s="4" t="n"/>
    </row>
    <row r="28">
      <c r="A28" s="7" t="n">
        <v>0.44</v>
      </c>
      <c r="B28" s="10" t="n">
        <v>0.3824</v>
      </c>
      <c r="C28" s="4" t="inlineStr">
        <is>
          <t>LTV_44</t>
        </is>
      </c>
      <c r="D28" s="4" t="n"/>
    </row>
    <row r="29">
      <c r="A29" s="7" t="n">
        <v>0.45</v>
      </c>
      <c r="B29" s="10" t="n">
        <v>0.3902</v>
      </c>
      <c r="C29" s="4" t="inlineStr">
        <is>
          <t>LTV_45</t>
        </is>
      </c>
      <c r="D29" s="4" t="n"/>
    </row>
    <row r="30">
      <c r="A30" s="7" t="n">
        <v>0.46</v>
      </c>
      <c r="B30" s="10" t="n">
        <v>0.3984</v>
      </c>
      <c r="C30" s="4" t="inlineStr">
        <is>
          <t>LTV_46</t>
        </is>
      </c>
      <c r="D30" s="4" t="n"/>
    </row>
    <row r="31">
      <c r="A31" s="7" t="n">
        <v>0.47</v>
      </c>
      <c r="B31" s="10" t="n">
        <v>0.4072</v>
      </c>
      <c r="C31" s="4" t="inlineStr">
        <is>
          <t>LTV_47</t>
        </is>
      </c>
      <c r="D31" s="4" t="n"/>
    </row>
    <row r="32">
      <c r="A32" s="7" t="n">
        <v>0.48</v>
      </c>
      <c r="B32" s="10" t="n">
        <v>0.4166</v>
      </c>
      <c r="C32" s="4" t="inlineStr">
        <is>
          <t>LTV_48</t>
        </is>
      </c>
      <c r="D32" s="4" t="n"/>
    </row>
    <row r="33">
      <c r="A33" s="7" t="n">
        <v>0.49</v>
      </c>
      <c r="B33" s="10" t="n">
        <v>0.4266</v>
      </c>
      <c r="C33" s="4" t="inlineStr">
        <is>
          <t>LTV_49</t>
        </is>
      </c>
      <c r="D33" s="4" t="n"/>
    </row>
    <row r="34">
      <c r="A34" s="7" t="n">
        <v>0.5</v>
      </c>
      <c r="B34" s="10" t="n">
        <v>0.4372</v>
      </c>
      <c r="C34" s="4" t="inlineStr">
        <is>
          <t>LTV_50</t>
        </is>
      </c>
      <c r="D34" s="4" t="n"/>
    </row>
    <row r="35">
      <c r="A35" s="7" t="n">
        <v>0.51</v>
      </c>
      <c r="B35" s="10" t="n">
        <v>0.4485</v>
      </c>
      <c r="C35" s="4" t="inlineStr">
        <is>
          <t>LTV_51</t>
        </is>
      </c>
      <c r="D35" s="4" t="n"/>
    </row>
    <row r="36">
      <c r="A36" s="7" t="n">
        <v>0.52</v>
      </c>
      <c r="B36" s="10" t="n">
        <v>0.4605</v>
      </c>
      <c r="C36" s="4" t="inlineStr">
        <is>
          <t>LTV_52</t>
        </is>
      </c>
      <c r="D36" s="4" t="n"/>
    </row>
    <row r="37">
      <c r="A37" s="7" t="n">
        <v>0.53</v>
      </c>
      <c r="B37" s="10" t="n">
        <v>0.4734</v>
      </c>
      <c r="C37" s="4" t="inlineStr">
        <is>
          <t>LTV_53</t>
        </is>
      </c>
      <c r="D37" s="4" t="n"/>
    </row>
    <row r="38">
      <c r="A38" s="7" t="n">
        <v>0.54</v>
      </c>
      <c r="B38" s="10" t="n">
        <v>0.487</v>
      </c>
      <c r="C38" s="4" t="inlineStr">
        <is>
          <t>LTV_54</t>
        </is>
      </c>
      <c r="D38" s="4" t="n"/>
    </row>
    <row r="39">
      <c r="A39" s="7" t="n">
        <v>0.55</v>
      </c>
      <c r="B39" s="10" t="n">
        <v>0.5014999999999999</v>
      </c>
      <c r="C39" s="4" t="inlineStr">
        <is>
          <t>LTV_55</t>
        </is>
      </c>
      <c r="D39" s="4" t="n"/>
    </row>
    <row r="40">
      <c r="A40" s="7" t="n">
        <v>0.5600000000000001</v>
      </c>
      <c r="B40" s="10" t="n">
        <v>0.517</v>
      </c>
      <c r="C40" s="4" t="inlineStr">
        <is>
          <t>LTV_56</t>
        </is>
      </c>
      <c r="D40" s="4" t="n"/>
    </row>
    <row r="41">
      <c r="A41" s="7" t="n">
        <v>0.57</v>
      </c>
      <c r="B41" s="10" t="n">
        <v>0.5334</v>
      </c>
      <c r="C41" s="4" t="inlineStr">
        <is>
          <t>LTV_57</t>
        </is>
      </c>
      <c r="D41" s="4" t="n"/>
    </row>
    <row r="42">
      <c r="A42" s="7" t="n">
        <v>0.58</v>
      </c>
      <c r="B42" s="10" t="n">
        <v>0.5508999999999999</v>
      </c>
      <c r="C42" s="4" t="inlineStr">
        <is>
          <t>LTV_58</t>
        </is>
      </c>
      <c r="D42" s="4" t="n"/>
    </row>
    <row r="43">
      <c r="A43" s="7" t="n">
        <v>0.59</v>
      </c>
      <c r="B43" s="10" t="n">
        <v>0.5696</v>
      </c>
      <c r="C43" s="4" t="inlineStr">
        <is>
          <t>LTV_59</t>
        </is>
      </c>
      <c r="D43" s="4" t="n"/>
    </row>
    <row r="44">
      <c r="A44" s="7" t="n">
        <v>0.6</v>
      </c>
      <c r="B44" s="10" t="n">
        <v>0.5894</v>
      </c>
      <c r="C44" s="4" t="inlineStr">
        <is>
          <t>LTV_60</t>
        </is>
      </c>
      <c r="D44" s="4" t="n"/>
    </row>
    <row r="45">
      <c r="A45" s="7" t="n">
        <v>0.61</v>
      </c>
      <c r="B45" s="10" t="n">
        <v>0.6106</v>
      </c>
      <c r="C45" s="4" t="inlineStr">
        <is>
          <t>LTV_61</t>
        </is>
      </c>
      <c r="D45" s="4" t="n"/>
    </row>
    <row r="46">
      <c r="A46" s="7" t="n">
        <v>0.62</v>
      </c>
      <c r="B46" s="10" t="n">
        <v>0.6331</v>
      </c>
      <c r="C46" s="4" t="inlineStr">
        <is>
          <t>LTV_62</t>
        </is>
      </c>
      <c r="D46" s="4" t="n"/>
    </row>
    <row r="47">
      <c r="A47" s="7" t="n">
        <v>0.63</v>
      </c>
      <c r="B47" s="10" t="n">
        <v>0.657</v>
      </c>
      <c r="C47" s="4" t="inlineStr">
        <is>
          <t>LTV_63</t>
        </is>
      </c>
      <c r="D47" s="4" t="n"/>
    </row>
    <row r="48">
      <c r="A48" s="7" t="n">
        <v>0.64</v>
      </c>
      <c r="B48" s="10" t="n">
        <v>0.6825</v>
      </c>
      <c r="C48" s="4" t="inlineStr">
        <is>
          <t>LTV_64</t>
        </is>
      </c>
      <c r="D48" s="4" t="n"/>
    </row>
    <row r="49">
      <c r="A49" s="7" t="n">
        <v>0.65</v>
      </c>
      <c r="B49" s="10" t="n">
        <v>0.7096</v>
      </c>
      <c r="C49" s="4" t="inlineStr">
        <is>
          <t>LTV_65</t>
        </is>
      </c>
      <c r="D49" s="4" t="n"/>
    </row>
    <row r="50">
      <c r="A50" s="7" t="n">
        <v>0.66</v>
      </c>
      <c r="B50" s="10" t="n">
        <v>0.7385</v>
      </c>
      <c r="C50" s="4" t="inlineStr">
        <is>
          <t>LTV_66</t>
        </is>
      </c>
      <c r="D50" s="4" t="n"/>
    </row>
    <row r="51">
      <c r="A51" s="7" t="n">
        <v>0.67</v>
      </c>
      <c r="B51" s="10" t="n">
        <v>0.7693</v>
      </c>
      <c r="C51" s="4" t="inlineStr">
        <is>
          <t>LTV_67</t>
        </is>
      </c>
      <c r="D51" s="4" t="n"/>
    </row>
    <row r="52">
      <c r="A52" s="7" t="n">
        <v>0.68</v>
      </c>
      <c r="B52" s="10" t="n">
        <v>0.802</v>
      </c>
      <c r="C52" s="4" t="inlineStr">
        <is>
          <t>LTV_68</t>
        </is>
      </c>
      <c r="D52" s="4" t="n"/>
    </row>
    <row r="53">
      <c r="A53" s="7" t="n">
        <v>0.6899999999999999</v>
      </c>
      <c r="B53" s="10" t="n">
        <v>0.8368</v>
      </c>
      <c r="C53" s="4" t="inlineStr">
        <is>
          <t>LTV_69</t>
        </is>
      </c>
      <c r="D53" s="4" t="n"/>
    </row>
    <row r="54">
      <c r="A54" s="7" t="n">
        <v>0.7</v>
      </c>
      <c r="B54" s="10" t="n">
        <v>0.8739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10" t="n">
        <v>0.9134</v>
      </c>
      <c r="C55" s="4" t="inlineStr">
        <is>
          <t>LTV_71</t>
        </is>
      </c>
      <c r="D55" s="4" t="n"/>
    </row>
    <row r="56">
      <c r="A56" s="7" t="n">
        <v>0.72</v>
      </c>
      <c r="B56" s="10" t="n">
        <v>0.9553</v>
      </c>
      <c r="C56" s="4" t="inlineStr">
        <is>
          <t>LTV_72</t>
        </is>
      </c>
      <c r="D56" s="4" t="n"/>
    </row>
    <row r="57">
      <c r="A57" s="7" t="n">
        <v>0.73</v>
      </c>
      <c r="B57" s="10" t="n">
        <v>1</v>
      </c>
      <c r="C57" s="4" t="inlineStr">
        <is>
          <t>LTV_73</t>
        </is>
      </c>
      <c r="D57" s="4" t="n"/>
    </row>
    <row r="58">
      <c r="A58" s="7" t="n">
        <v>0.74</v>
      </c>
      <c r="B58" s="10" t="n">
        <v>1.0475</v>
      </c>
      <c r="C58" s="4" t="inlineStr">
        <is>
          <t>LTV_74</t>
        </is>
      </c>
      <c r="D58" s="4" t="n"/>
    </row>
    <row r="59">
      <c r="A59" s="7" t="n">
        <v>0.75</v>
      </c>
      <c r="B59" s="10" t="n">
        <v>1.098</v>
      </c>
      <c r="C59" s="4" t="inlineStr">
        <is>
          <t>LTV_75</t>
        </is>
      </c>
      <c r="D59" s="4" t="n"/>
    </row>
    <row r="60">
      <c r="A60" s="7" t="n">
        <v>0.76</v>
      </c>
      <c r="B60" s="10" t="n">
        <v>1.1518</v>
      </c>
      <c r="C60" s="4" t="inlineStr">
        <is>
          <t>LTV_76</t>
        </is>
      </c>
      <c r="D60" s="4" t="n"/>
    </row>
    <row r="61">
      <c r="A61" s="7" t="n">
        <v>0.77</v>
      </c>
      <c r="B61" s="10" t="n">
        <v>1.2089</v>
      </c>
      <c r="C61" s="4" t="inlineStr">
        <is>
          <t>LTV_77</t>
        </is>
      </c>
      <c r="D61" s="4" t="n"/>
    </row>
    <row r="62">
      <c r="A62" s="7" t="n">
        <v>0.78</v>
      </c>
      <c r="B62" s="10" t="n">
        <v>1.2696</v>
      </c>
      <c r="C62" s="4" t="inlineStr">
        <is>
          <t>LTV_78</t>
        </is>
      </c>
      <c r="D62" s="4" t="n"/>
    </row>
    <row r="63">
      <c r="A63" s="7" t="n">
        <v>0.79</v>
      </c>
      <c r="B63" s="10" t="n">
        <v>1.3341</v>
      </c>
      <c r="C63" s="4" t="inlineStr">
        <is>
          <t>LTV_79</t>
        </is>
      </c>
      <c r="D63" s="4" t="n"/>
    </row>
    <row r="64">
      <c r="A64" s="7" t="n">
        <v>0.8</v>
      </c>
      <c r="B64" s="10" t="n">
        <v>1.4025</v>
      </c>
      <c r="C64" s="4" t="inlineStr">
        <is>
          <t>LTV_80</t>
        </is>
      </c>
      <c r="D64" s="4" t="n"/>
    </row>
    <row r="65">
      <c r="A65" s="7" t="n">
        <v>0.8100000000000001</v>
      </c>
      <c r="B65" s="10" t="n">
        <v>1.4751</v>
      </c>
      <c r="C65" s="4" t="inlineStr">
        <is>
          <t>LTV_81</t>
        </is>
      </c>
      <c r="D65" s="4" t="n"/>
    </row>
    <row r="66">
      <c r="A66" s="7" t="n">
        <v>0.82</v>
      </c>
      <c r="B66" s="10" t="n">
        <v>1.552</v>
      </c>
      <c r="C66" s="4" t="inlineStr">
        <is>
          <t>LTV_82</t>
        </is>
      </c>
      <c r="D66" s="4" t="n"/>
    </row>
    <row r="67">
      <c r="A67" s="7" t="n">
        <v>0.83</v>
      </c>
      <c r="B67" s="10" t="n">
        <v>1.6334</v>
      </c>
      <c r="C67" s="4" t="inlineStr">
        <is>
          <t>LTV_83</t>
        </is>
      </c>
      <c r="D67" s="4" t="n"/>
    </row>
    <row r="68">
      <c r="A68" s="7" t="n">
        <v>0.84</v>
      </c>
      <c r="B68" s="10" t="n">
        <v>1.7194</v>
      </c>
      <c r="C68" s="4" t="inlineStr">
        <is>
          <t>LTV_84</t>
        </is>
      </c>
      <c r="D68" s="4" t="n"/>
    </row>
    <row r="69">
      <c r="A69" s="7" t="n">
        <v>0.85</v>
      </c>
      <c r="B69" s="10" t="n">
        <v>1.8102</v>
      </c>
      <c r="C69" s="4" t="inlineStr">
        <is>
          <t>LTV_85</t>
        </is>
      </c>
      <c r="D69" s="4" t="n"/>
    </row>
    <row r="70">
      <c r="A70" s="7" t="n">
        <v>0.86</v>
      </c>
      <c r="B70" s="10" t="n">
        <v>1.9058</v>
      </c>
      <c r="C70" s="4" t="inlineStr">
        <is>
          <t>LTV_86</t>
        </is>
      </c>
      <c r="D70" s="4" t="n"/>
    </row>
    <row r="71">
      <c r="A71" s="7" t="n">
        <v>0.87</v>
      </c>
      <c r="B71" s="10" t="n">
        <v>2.0061</v>
      </c>
      <c r="C71" s="4" t="inlineStr">
        <is>
          <t>LTV_87</t>
        </is>
      </c>
      <c r="D71" s="4" t="n"/>
    </row>
    <row r="72">
      <c r="A72" s="7" t="n">
        <v>0.88</v>
      </c>
      <c r="B72" s="10" t="n">
        <v>2.111</v>
      </c>
      <c r="C72" s="4" t="inlineStr">
        <is>
          <t>LTV_88</t>
        </is>
      </c>
      <c r="D72" s="4" t="n"/>
    </row>
    <row r="73">
      <c r="A73" s="7" t="n">
        <v>0.89</v>
      </c>
      <c r="B73" s="10" t="n">
        <v>2.2203</v>
      </c>
      <c r="C73" s="4" t="inlineStr">
        <is>
          <t>LTV_89</t>
        </is>
      </c>
      <c r="D73" s="4" t="n"/>
    </row>
    <row r="74">
      <c r="A74" s="7" t="n">
        <v>0.9</v>
      </c>
      <c r="B74" s="10" t="n">
        <v>2.3336</v>
      </c>
      <c r="C74" s="4" t="inlineStr">
        <is>
          <t>LTV_90</t>
        </is>
      </c>
      <c r="D74" s="4" t="n"/>
    </row>
    <row r="75">
      <c r="A75" s="7" t="n">
        <v>0.91</v>
      </c>
      <c r="B75" s="10" t="n">
        <v>2.4503</v>
      </c>
      <c r="C75" s="4" t="inlineStr">
        <is>
          <t>LTV_91</t>
        </is>
      </c>
      <c r="D75" s="4" t="n"/>
    </row>
    <row r="76">
      <c r="A76" s="7" t="n">
        <v>0.92</v>
      </c>
      <c r="B76" s="10" t="n">
        <v>2.5697</v>
      </c>
      <c r="C76" s="4" t="inlineStr">
        <is>
          <t>LTV_92</t>
        </is>
      </c>
      <c r="D76" s="4" t="n"/>
    </row>
    <row r="77">
      <c r="A77" s="7" t="n">
        <v>0.93</v>
      </c>
      <c r="B77" s="10" t="n">
        <v>2.6907</v>
      </c>
      <c r="C77" s="4" t="inlineStr">
        <is>
          <t>LTV_93</t>
        </is>
      </c>
      <c r="D77" s="4" t="n"/>
    </row>
    <row r="78">
      <c r="A78" s="7" t="n">
        <v>0.9399999999999999</v>
      </c>
      <c r="B78" s="10" t="n">
        <v>2.8121</v>
      </c>
      <c r="C78" s="4" t="inlineStr">
        <is>
          <t>LTV_94</t>
        </is>
      </c>
      <c r="D78" s="4" t="n"/>
    </row>
    <row r="79">
      <c r="A79" s="7" t="n">
        <v>0.95</v>
      </c>
      <c r="B79" s="10" t="n">
        <v>2.9326</v>
      </c>
      <c r="C79" s="4" t="inlineStr">
        <is>
          <t>LTV_95</t>
        </is>
      </c>
      <c r="D79" s="4" t="n"/>
    </row>
    <row r="80">
      <c r="A80" s="7" t="n">
        <v>0.96</v>
      </c>
      <c r="B80" s="10" t="n">
        <v>3.0506</v>
      </c>
      <c r="C80" s="4" t="inlineStr">
        <is>
          <t>LTV_96</t>
        </is>
      </c>
      <c r="D80" s="4" t="n"/>
    </row>
    <row r="81">
      <c r="A81" s="7" t="n">
        <v>0.97</v>
      </c>
      <c r="B81" s="10" t="n">
        <v>3.1645</v>
      </c>
      <c r="C81" s="4" t="inlineStr">
        <is>
          <t>LTV_97</t>
        </is>
      </c>
      <c r="D81" s="4" t="n"/>
    </row>
    <row r="82">
      <c r="A82" s="7" t="n">
        <v>0.98</v>
      </c>
      <c r="B82" s="10" t="n">
        <v>3.2728</v>
      </c>
      <c r="C82" s="4" t="inlineStr">
        <is>
          <t>LTV_98</t>
        </is>
      </c>
      <c r="D82" s="4" t="n"/>
    </row>
    <row r="83">
      <c r="A83" s="7" t="n">
        <v>0.99</v>
      </c>
      <c r="B83" s="10" t="n">
        <v>3.374</v>
      </c>
      <c r="C83" s="4" t="inlineStr">
        <is>
          <t>LTV_99</t>
        </is>
      </c>
      <c r="D83" s="4" t="n"/>
    </row>
    <row r="84">
      <c r="A84" s="7" t="n">
        <v>1</v>
      </c>
      <c r="B84" s="10" t="n">
        <v>3.4672</v>
      </c>
      <c r="C84" s="4" t="inlineStr">
        <is>
          <t>LTV_100</t>
        </is>
      </c>
      <c r="D84" s="4" t="n"/>
    </row>
    <row r="85">
      <c r="A85" s="7" t="n">
        <v>1.01</v>
      </c>
      <c r="B85" s="10" t="n">
        <v>3.5515</v>
      </c>
      <c r="C85" s="4" t="inlineStr">
        <is>
          <t>LTV_101</t>
        </is>
      </c>
      <c r="D85" s="4" t="n"/>
    </row>
    <row r="86">
      <c r="A86" s="7" t="n">
        <v>1.02</v>
      </c>
      <c r="B86" s="10" t="n">
        <v>3.6265</v>
      </c>
      <c r="C86" s="4" t="inlineStr">
        <is>
          <t>LTV_102</t>
        </is>
      </c>
      <c r="D86" s="4" t="n"/>
    </row>
    <row r="87">
      <c r="A87" s="7" t="n">
        <v>1.03</v>
      </c>
      <c r="B87" s="10" t="n">
        <v>3.6922</v>
      </c>
      <c r="C87" s="4" t="inlineStr">
        <is>
          <t>LTV_103</t>
        </is>
      </c>
      <c r="D87" s="4" t="n"/>
    </row>
    <row r="88">
      <c r="A88" s="7" t="n">
        <v>1.04</v>
      </c>
      <c r="B88" s="10" t="n">
        <v>3.749</v>
      </c>
      <c r="C88" s="4" t="inlineStr">
        <is>
          <t>LTV_104</t>
        </is>
      </c>
      <c r="D88" s="4" t="n"/>
    </row>
    <row r="89">
      <c r="A89" s="7" t="n">
        <v>1.05</v>
      </c>
      <c r="B89" s="10" t="n">
        <v>3.7974</v>
      </c>
      <c r="C89" s="4" t="inlineStr">
        <is>
          <t>LTV_105</t>
        </is>
      </c>
      <c r="D89" s="4" t="n"/>
    </row>
    <row r="90">
      <c r="A90" s="7" t="n">
        <v>1.06</v>
      </c>
      <c r="B90" s="10" t="n">
        <v>3.8382</v>
      </c>
      <c r="C90" s="4" t="inlineStr">
        <is>
          <t>LTV_106</t>
        </is>
      </c>
      <c r="D90" s="4" t="n"/>
    </row>
    <row r="91">
      <c r="A91" s="7" t="n">
        <v>1.07</v>
      </c>
      <c r="B91" s="10" t="n">
        <v>3.8722</v>
      </c>
      <c r="C91" s="4" t="inlineStr">
        <is>
          <t>LTV_107</t>
        </is>
      </c>
      <c r="D91" s="4" t="n"/>
    </row>
    <row r="92">
      <c r="A92" s="7" t="n">
        <v>1.08</v>
      </c>
      <c r="B92" s="10" t="n">
        <v>3.9004</v>
      </c>
      <c r="C92" s="4" t="inlineStr">
        <is>
          <t>LTV_108</t>
        </is>
      </c>
      <c r="D92" s="4" t="n"/>
    </row>
    <row r="93">
      <c r="A93" s="7" t="n">
        <v>1.09</v>
      </c>
      <c r="B93" s="10" t="n">
        <v>3.9235</v>
      </c>
      <c r="C93" s="4" t="inlineStr">
        <is>
          <t>LTV_109</t>
        </is>
      </c>
      <c r="D93" s="4" t="n"/>
    </row>
    <row r="94">
      <c r="A94" s="7" t="n">
        <v>1.1</v>
      </c>
      <c r="B94" s="10" t="n">
        <v>3.9424</v>
      </c>
      <c r="C94" s="4" t="inlineStr">
        <is>
          <t>LTV_110</t>
        </is>
      </c>
      <c r="D94" s="4" t="n"/>
    </row>
    <row r="95">
      <c r="A95" s="7" t="n">
        <v>1.11</v>
      </c>
      <c r="B95" s="10" t="n">
        <v>3.9577</v>
      </c>
      <c r="C95" s="4" t="inlineStr">
        <is>
          <t>LTV_111</t>
        </is>
      </c>
      <c r="D95" s="4" t="n"/>
    </row>
    <row r="96">
      <c r="A96" s="7" t="n">
        <v>1.12</v>
      </c>
      <c r="B96" s="10" t="n">
        <v>3.9701</v>
      </c>
      <c r="C96" s="4" t="inlineStr">
        <is>
          <t>LTV_112</t>
        </is>
      </c>
      <c r="D96" s="4" t="n"/>
    </row>
    <row r="97">
      <c r="A97" s="7" t="n">
        <v>1.13</v>
      </c>
      <c r="B97" s="10" t="n">
        <v>3.9801</v>
      </c>
      <c r="C97" s="4" t="inlineStr">
        <is>
          <t>LTV_113</t>
        </is>
      </c>
      <c r="D97" s="4" t="n"/>
    </row>
    <row r="98">
      <c r="A98" s="7" t="n">
        <v>1.14</v>
      </c>
      <c r="B98" s="10" t="n">
        <v>3.9882</v>
      </c>
      <c r="C98" s="4" t="inlineStr">
        <is>
          <t>LTV_114</t>
        </is>
      </c>
      <c r="D98" s="4" t="n"/>
    </row>
    <row r="99">
      <c r="A99" s="7" t="n">
        <v>1.15</v>
      </c>
      <c r="B99" s="10" t="n">
        <v>3.9946</v>
      </c>
      <c r="C99" s="4" t="inlineStr">
        <is>
          <t>LTV_115</t>
        </is>
      </c>
      <c r="D99" s="4" t="n"/>
    </row>
    <row r="100">
      <c r="A100" s="7" t="n">
        <v>1.16</v>
      </c>
      <c r="B100" s="10" t="n">
        <v>3.9997</v>
      </c>
      <c r="C100" s="4" t="inlineStr">
        <is>
          <t>LTV_116</t>
        </is>
      </c>
      <c r="D100" s="4" t="n"/>
    </row>
    <row r="101">
      <c r="A101" s="7" t="n">
        <v>1.17</v>
      </c>
      <c r="B101" s="10" t="n">
        <v>4.0039</v>
      </c>
      <c r="C101" s="4" t="inlineStr">
        <is>
          <t>LTV_117</t>
        </is>
      </c>
      <c r="D101" s="4" t="n"/>
    </row>
    <row r="102">
      <c r="A102" s="7" t="n">
        <v>1.18</v>
      </c>
      <c r="B102" s="10" t="n">
        <v>4.0071</v>
      </c>
      <c r="C102" s="4" t="inlineStr">
        <is>
          <t>LTV_118</t>
        </is>
      </c>
      <c r="D102" s="4" t="n"/>
    </row>
    <row r="103">
      <c r="A103" s="7" t="n">
        <v>1.19</v>
      </c>
      <c r="B103" s="10" t="n">
        <v>4.0098</v>
      </c>
      <c r="C103" s="4" t="inlineStr">
        <is>
          <t>LTV_119</t>
        </is>
      </c>
      <c r="D103" s="4" t="n"/>
    </row>
    <row r="104">
      <c r="A104" s="7" t="n">
        <v>1.2</v>
      </c>
      <c r="B104" s="10" t="n">
        <v>4.0118</v>
      </c>
      <c r="C104" s="4" t="inlineStr">
        <is>
          <t>LTV_120</t>
        </is>
      </c>
      <c r="D104" s="4" t="n"/>
    </row>
    <row r="105">
      <c r="A105" s="7" t="n">
        <v>1.21</v>
      </c>
      <c r="B105" s="10" t="n">
        <v>4.0135</v>
      </c>
      <c r="C105" s="4" t="inlineStr">
        <is>
          <t>LTV_121</t>
        </is>
      </c>
      <c r="D105" s="4" t="n"/>
    </row>
    <row r="106">
      <c r="A106" s="7" t="n">
        <v>1.22</v>
      </c>
      <c r="B106" s="10" t="n">
        <v>4.0148</v>
      </c>
      <c r="C106" s="4" t="inlineStr">
        <is>
          <t>LTV_122</t>
        </is>
      </c>
      <c r="D106" s="4" t="n"/>
    </row>
    <row r="107">
      <c r="A107" s="7" t="n">
        <v>1.23</v>
      </c>
      <c r="B107" s="10" t="n">
        <v>4.0159</v>
      </c>
      <c r="C107" s="4" t="inlineStr">
        <is>
          <t>LTV_123</t>
        </is>
      </c>
      <c r="D107" s="4" t="n"/>
    </row>
    <row r="108">
      <c r="A108" s="7" t="n">
        <v>1.24</v>
      </c>
      <c r="B108" s="10" t="n">
        <v>4.0167</v>
      </c>
      <c r="C108" s="4" t="inlineStr">
        <is>
          <t>LTV_124</t>
        </is>
      </c>
      <c r="D108" s="4" t="n"/>
    </row>
    <row r="109">
      <c r="A109" s="7" t="n">
        <v>1.25</v>
      </c>
      <c r="B109" s="10" t="n">
        <v>4.0174</v>
      </c>
      <c r="C109" s="4" t="inlineStr">
        <is>
          <t>LTV_125</t>
        </is>
      </c>
      <c r="D109" s="4" t="n"/>
    </row>
    <row r="110">
      <c r="A110" s="7" t="n">
        <v>1.26</v>
      </c>
      <c r="B110" s="10" t="n">
        <v>4.0179</v>
      </c>
      <c r="C110" s="4" t="inlineStr">
        <is>
          <t>LTV_126</t>
        </is>
      </c>
      <c r="D110" s="4" t="n"/>
    </row>
    <row r="111">
      <c r="A111" s="7" t="n">
        <v>1.27</v>
      </c>
      <c r="B111" s="10" t="n">
        <v>4.0183</v>
      </c>
      <c r="C111" s="4" t="inlineStr">
        <is>
          <t>LTV_127</t>
        </is>
      </c>
      <c r="D111" s="4" t="n"/>
    </row>
    <row r="112">
      <c r="A112" s="7" t="n">
        <v>1.28</v>
      </c>
      <c r="B112" s="10" t="n">
        <v>4.0187</v>
      </c>
      <c r="C112" s="4" t="inlineStr">
        <is>
          <t>LTV_128</t>
        </is>
      </c>
      <c r="D112" s="4" t="n"/>
    </row>
    <row r="113">
      <c r="A113" s="7" t="n">
        <v>1.29</v>
      </c>
      <c r="B113" s="10" t="n">
        <v>4.0189</v>
      </c>
      <c r="C113" s="4" t="inlineStr">
        <is>
          <t>LTV_129</t>
        </is>
      </c>
      <c r="D113" s="4" t="n"/>
    </row>
    <row r="114">
      <c r="A114" s="7" t="n">
        <v>1.3</v>
      </c>
      <c r="B114" s="10" t="n">
        <v>4.0192</v>
      </c>
      <c r="C114" s="4" t="inlineStr">
        <is>
          <t>LTV_130</t>
        </is>
      </c>
      <c r="D114" s="4" t="n"/>
    </row>
    <row r="115">
      <c r="A115" s="7" t="n">
        <v>1.31</v>
      </c>
      <c r="B115" s="10" t="n">
        <v>4.0193</v>
      </c>
      <c r="C115" s="4" t="inlineStr">
        <is>
          <t>LTV_131</t>
        </is>
      </c>
      <c r="D115" s="4" t="n"/>
    </row>
    <row r="116">
      <c r="A116" s="7" t="n">
        <v>1.32</v>
      </c>
      <c r="B116" s="10" t="n">
        <v>4.0195</v>
      </c>
      <c r="C116" s="4" t="inlineStr">
        <is>
          <t>LTV_132</t>
        </is>
      </c>
      <c r="D116" s="4" t="n"/>
    </row>
    <row r="117">
      <c r="A117" s="7" t="n">
        <v>1.33</v>
      </c>
      <c r="B117" s="10" t="n">
        <v>4.0196</v>
      </c>
      <c r="C117" s="4" t="inlineStr">
        <is>
          <t>LTV_133</t>
        </is>
      </c>
      <c r="D117" s="4" t="n"/>
    </row>
    <row r="118">
      <c r="A118" s="7" t="n">
        <v>1.34</v>
      </c>
      <c r="B118" s="10" t="n">
        <v>4.0196</v>
      </c>
      <c r="C118" s="4" t="inlineStr">
        <is>
          <t>LTV_134</t>
        </is>
      </c>
      <c r="D118" s="4" t="n"/>
    </row>
    <row r="119">
      <c r="A119" s="7" t="n">
        <v>1.35</v>
      </c>
      <c r="B119" s="10" t="n">
        <v>4.0197</v>
      </c>
      <c r="C119" s="4" t="inlineStr">
        <is>
          <t>LTV_135</t>
        </is>
      </c>
      <c r="D119" s="4" t="n"/>
    </row>
    <row r="120">
      <c r="A120" s="7" t="n">
        <v>1.36</v>
      </c>
      <c r="B120" s="10" t="n">
        <v>4.0198</v>
      </c>
      <c r="C120" s="4" t="inlineStr">
        <is>
          <t>LTV_136</t>
        </is>
      </c>
      <c r="D120" s="4" t="n"/>
    </row>
    <row r="121">
      <c r="A121" s="7" t="n">
        <v>1.37</v>
      </c>
      <c r="B121" s="10" t="n">
        <v>4.0198</v>
      </c>
      <c r="C121" s="4" t="inlineStr">
        <is>
          <t>LTV_137</t>
        </is>
      </c>
      <c r="D121" s="4" t="n"/>
    </row>
    <row r="122">
      <c r="A122" s="7" t="n">
        <v>1.38</v>
      </c>
      <c r="B122" s="10" t="n">
        <v>4.0198</v>
      </c>
      <c r="C122" s="4" t="inlineStr">
        <is>
          <t>LTV_138</t>
        </is>
      </c>
      <c r="D122" s="4" t="n"/>
    </row>
    <row r="123">
      <c r="A123" s="7" t="n">
        <v>1.39</v>
      </c>
      <c r="B123" s="10" t="n">
        <v>4.0199</v>
      </c>
      <c r="C123" s="4" t="inlineStr">
        <is>
          <t>LTV_139</t>
        </is>
      </c>
      <c r="D123" s="4" t="n"/>
    </row>
    <row r="124">
      <c r="A124" s="7" t="n">
        <v>1.4</v>
      </c>
      <c r="B124" s="10" t="n">
        <v>4.0199</v>
      </c>
      <c r="C124" s="4" t="inlineStr">
        <is>
          <t>LTV_140</t>
        </is>
      </c>
      <c r="D124" s="4" t="n"/>
    </row>
    <row r="125">
      <c r="A125" s="7" t="n">
        <v>1.41</v>
      </c>
      <c r="B125" s="10" t="n">
        <v>4.0199</v>
      </c>
      <c r="C125" s="4" t="inlineStr">
        <is>
          <t>LTV_141</t>
        </is>
      </c>
      <c r="D125" s="4" t="n"/>
    </row>
    <row r="126">
      <c r="A126" s="7" t="n">
        <v>1.42</v>
      </c>
      <c r="B126" s="10" t="n">
        <v>4.0199</v>
      </c>
      <c r="C126" s="4" t="inlineStr">
        <is>
          <t>LTV_142</t>
        </is>
      </c>
      <c r="D126" s="4" t="n"/>
    </row>
    <row r="127">
      <c r="A127" s="7" t="n">
        <v>1.43</v>
      </c>
      <c r="B127" s="10" t="n">
        <v>4.0199</v>
      </c>
      <c r="C127" s="4" t="inlineStr">
        <is>
          <t>LTV_143</t>
        </is>
      </c>
      <c r="D127" s="4" t="n"/>
    </row>
    <row r="128">
      <c r="A128" s="7" t="n">
        <v>1.44</v>
      </c>
      <c r="B128" s="10" t="n">
        <v>4.0199</v>
      </c>
      <c r="C128" s="4" t="inlineStr">
        <is>
          <t>LTV_144</t>
        </is>
      </c>
      <c r="D128" s="4" t="n"/>
    </row>
    <row r="129">
      <c r="A129" s="7" t="n">
        <v>1.45</v>
      </c>
      <c r="B129" s="10" t="n">
        <v>4.0199</v>
      </c>
      <c r="C129" s="4" t="inlineStr">
        <is>
          <t>LTV_145</t>
        </is>
      </c>
      <c r="D129" s="4" t="n"/>
    </row>
    <row r="130">
      <c r="A130" s="7" t="n">
        <v>1.46</v>
      </c>
      <c r="B130" s="10" t="n">
        <v>4.02</v>
      </c>
      <c r="C130" s="4" t="inlineStr">
        <is>
          <t>LTV_146</t>
        </is>
      </c>
      <c r="D130" s="4" t="n"/>
    </row>
    <row r="131">
      <c r="A131" s="7" t="n">
        <v>1.47</v>
      </c>
      <c r="B131" s="10" t="n">
        <v>4.02</v>
      </c>
      <c r="C131" s="4" t="inlineStr">
        <is>
          <t>LTV_147</t>
        </is>
      </c>
      <c r="D131" s="4" t="n"/>
    </row>
    <row r="132">
      <c r="A132" s="7" t="n">
        <v>1.48</v>
      </c>
      <c r="B132" s="10" t="n">
        <v>4.02</v>
      </c>
      <c r="C132" s="4" t="inlineStr">
        <is>
          <t>LTV_148</t>
        </is>
      </c>
      <c r="D132" s="4" t="n"/>
    </row>
    <row r="133">
      <c r="A133" s="7" t="n">
        <v>1.49</v>
      </c>
      <c r="B133" s="10" t="n">
        <v>4.02</v>
      </c>
      <c r="C133" s="4" t="inlineStr">
        <is>
          <t>LTV_149</t>
        </is>
      </c>
      <c r="D133" s="4" t="n"/>
    </row>
    <row r="134">
      <c r="A134" s="7" t="n">
        <v>1.5</v>
      </c>
      <c r="B134" s="10" t="n">
        <v>4.02</v>
      </c>
      <c r="C134" s="4" t="inlineStr">
        <is>
          <t>LTV_150</t>
        </is>
      </c>
      <c r="D134" s="4" t="inlineStr">
        <is>
          <t>Maximum LTV (cap at 4.02x)</t>
        </is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LTV CURVE - IRELAND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10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10" t="n">
        <v>0.2907</v>
      </c>
      <c r="C5" s="4" t="inlineStr">
        <is>
          <t>LTV_21</t>
        </is>
      </c>
      <c r="D5" s="4" t="n"/>
    </row>
    <row r="6">
      <c r="A6" s="7" t="n">
        <v>0.22</v>
      </c>
      <c r="B6" s="10" t="n">
        <v>0.32175</v>
      </c>
      <c r="C6" s="4" t="inlineStr">
        <is>
          <t>LTV_22</t>
        </is>
      </c>
      <c r="D6" s="4" t="n"/>
    </row>
    <row r="7">
      <c r="A7" s="7" t="n">
        <v>0.23</v>
      </c>
      <c r="B7" s="10" t="n">
        <v>0.32395</v>
      </c>
      <c r="C7" s="4" t="inlineStr">
        <is>
          <t>LTV_23</t>
        </is>
      </c>
      <c r="D7" s="4" t="n"/>
    </row>
    <row r="8">
      <c r="A8" s="7" t="n">
        <v>0.24</v>
      </c>
      <c r="B8" s="10" t="n">
        <v>0.32626</v>
      </c>
      <c r="C8" s="4" t="inlineStr">
        <is>
          <t>LTV_24</t>
        </is>
      </c>
      <c r="D8" s="4" t="n"/>
    </row>
    <row r="9">
      <c r="A9" s="7" t="n">
        <v>0.25</v>
      </c>
      <c r="B9" s="10" t="n">
        <v>0.32868</v>
      </c>
      <c r="C9" s="4" t="inlineStr">
        <is>
          <t>LTV_25</t>
        </is>
      </c>
      <c r="D9" s="4" t="n"/>
    </row>
    <row r="10">
      <c r="A10" s="7" t="n">
        <v>0.26</v>
      </c>
      <c r="B10" s="10" t="n">
        <v>0.33121</v>
      </c>
      <c r="C10" s="4" t="inlineStr">
        <is>
          <t>LTV_26</t>
        </is>
      </c>
      <c r="D10" s="4" t="n"/>
    </row>
    <row r="11">
      <c r="A11" s="7" t="n">
        <v>0.27</v>
      </c>
      <c r="B11" s="10" t="n">
        <v>0.33407</v>
      </c>
      <c r="C11" s="4" t="inlineStr">
        <is>
          <t>LTV_27</t>
        </is>
      </c>
      <c r="D11" s="4" t="n"/>
    </row>
    <row r="12">
      <c r="A12" s="7" t="n">
        <v>0.28</v>
      </c>
      <c r="B12" s="10" t="n">
        <v>0.3369300000000001</v>
      </c>
      <c r="C12" s="4" t="inlineStr">
        <is>
          <t>LTV_28</t>
        </is>
      </c>
      <c r="D12" s="4" t="n"/>
    </row>
    <row r="13">
      <c r="A13" s="7" t="n">
        <v>0.29</v>
      </c>
      <c r="B13" s="10" t="n">
        <v>0.34012</v>
      </c>
      <c r="C13" s="4" t="inlineStr">
        <is>
          <t>LTV_29</t>
        </is>
      </c>
      <c r="D13" s="4" t="n"/>
    </row>
    <row r="14">
      <c r="A14" s="7" t="n">
        <v>0.3</v>
      </c>
      <c r="B14" s="10" t="n">
        <v>0.34342</v>
      </c>
      <c r="C14" s="4" t="inlineStr">
        <is>
          <t>LTV_30</t>
        </is>
      </c>
      <c r="D14" s="4" t="n"/>
    </row>
    <row r="15">
      <c r="A15" s="7" t="n">
        <v>0.31</v>
      </c>
      <c r="B15" s="10" t="n">
        <v>0.34705</v>
      </c>
      <c r="C15" s="4" t="inlineStr">
        <is>
          <t>LTV_31</t>
        </is>
      </c>
      <c r="D15" s="4" t="n"/>
    </row>
    <row r="16">
      <c r="A16" s="7" t="n">
        <v>0.32</v>
      </c>
      <c r="B16" s="10" t="n">
        <v>0.35079</v>
      </c>
      <c r="C16" s="4" t="inlineStr">
        <is>
          <t>LTV_32</t>
        </is>
      </c>
      <c r="D16" s="4" t="n"/>
    </row>
    <row r="17">
      <c r="A17" s="7" t="n">
        <v>0.33</v>
      </c>
      <c r="B17" s="10" t="n">
        <v>0.35486</v>
      </c>
      <c r="C17" s="4" t="inlineStr">
        <is>
          <t>LTV_33</t>
        </is>
      </c>
      <c r="D17" s="4" t="n"/>
    </row>
    <row r="18">
      <c r="A18" s="7" t="n">
        <v>0.34</v>
      </c>
      <c r="B18" s="10" t="n">
        <v>0.35915</v>
      </c>
      <c r="C18" s="4" t="inlineStr">
        <is>
          <t>LTV_34</t>
        </is>
      </c>
      <c r="D18" s="4" t="n"/>
    </row>
    <row r="19">
      <c r="A19" s="7" t="n">
        <v>0.35</v>
      </c>
      <c r="B19" s="10" t="n">
        <v>0.36366</v>
      </c>
      <c r="C19" s="4" t="inlineStr">
        <is>
          <t>LTV_35</t>
        </is>
      </c>
      <c r="D19" s="4" t="n"/>
    </row>
    <row r="20">
      <c r="A20" s="7" t="n">
        <v>0.36</v>
      </c>
      <c r="B20" s="10" t="n">
        <v>0.3685</v>
      </c>
      <c r="C20" s="4" t="inlineStr">
        <is>
          <t>LTV_36</t>
        </is>
      </c>
      <c r="D20" s="4" t="n"/>
    </row>
    <row r="21">
      <c r="A21" s="7" t="n">
        <v>0.37</v>
      </c>
      <c r="B21" s="10" t="n">
        <v>0.37378</v>
      </c>
      <c r="C21" s="4" t="inlineStr">
        <is>
          <t>LTV_37</t>
        </is>
      </c>
      <c r="D21" s="4" t="n"/>
    </row>
    <row r="22">
      <c r="A22" s="7" t="n">
        <v>0.38</v>
      </c>
      <c r="B22" s="10" t="n">
        <v>0.37928</v>
      </c>
      <c r="C22" s="4" t="inlineStr">
        <is>
          <t>LTV_38</t>
        </is>
      </c>
      <c r="D22" s="4" t="n"/>
    </row>
    <row r="23">
      <c r="A23" s="7" t="n">
        <v>0.39</v>
      </c>
      <c r="B23" s="10" t="n">
        <v>0.3851100000000001</v>
      </c>
      <c r="C23" s="4" t="inlineStr">
        <is>
          <t>LTV_39</t>
        </is>
      </c>
      <c r="D23" s="4" t="n"/>
    </row>
    <row r="24">
      <c r="A24" s="7" t="n">
        <v>0.4</v>
      </c>
      <c r="B24" s="10" t="n">
        <v>0.3913800000000001</v>
      </c>
      <c r="C24" s="4" t="inlineStr">
        <is>
          <t>LTV_40</t>
        </is>
      </c>
      <c r="D24" s="4" t="n"/>
    </row>
    <row r="25">
      <c r="A25" s="7" t="n">
        <v>0.41</v>
      </c>
      <c r="B25" s="10" t="n">
        <v>0.3979800000000001</v>
      </c>
      <c r="C25" s="4" t="inlineStr">
        <is>
          <t>LTV_41</t>
        </is>
      </c>
      <c r="D25" s="4" t="n"/>
    </row>
    <row r="26">
      <c r="A26" s="7" t="n">
        <v>0.42</v>
      </c>
      <c r="B26" s="10" t="n">
        <v>0.40513</v>
      </c>
      <c r="C26" s="4" t="inlineStr">
        <is>
          <t>LTV_42</t>
        </is>
      </c>
      <c r="D26" s="4" t="n"/>
    </row>
    <row r="27">
      <c r="A27" s="7" t="n">
        <v>0.43</v>
      </c>
      <c r="B27" s="10" t="n">
        <v>0.41261</v>
      </c>
      <c r="C27" s="4" t="inlineStr">
        <is>
          <t>LTV_43</t>
        </is>
      </c>
      <c r="D27" s="4" t="n"/>
    </row>
    <row r="28">
      <c r="A28" s="7" t="n">
        <v>0.44</v>
      </c>
      <c r="B28" s="10" t="n">
        <v>0.4206400000000001</v>
      </c>
      <c r="C28" s="4" t="inlineStr">
        <is>
          <t>LTV_44</t>
        </is>
      </c>
      <c r="D28" s="4" t="n"/>
    </row>
    <row r="29">
      <c r="A29" s="7" t="n">
        <v>0.45</v>
      </c>
      <c r="B29" s="10" t="n">
        <v>0.42922</v>
      </c>
      <c r="C29" s="4" t="inlineStr">
        <is>
          <t>LTV_45</t>
        </is>
      </c>
      <c r="D29" s="4" t="n"/>
    </row>
    <row r="30">
      <c r="A30" s="7" t="n">
        <v>0.46</v>
      </c>
      <c r="B30" s="10" t="n">
        <v>0.43824</v>
      </c>
      <c r="C30" s="4" t="inlineStr">
        <is>
          <t>LTV_46</t>
        </is>
      </c>
      <c r="D30" s="4" t="n"/>
    </row>
    <row r="31">
      <c r="A31" s="7" t="n">
        <v>0.47</v>
      </c>
      <c r="B31" s="10" t="n">
        <v>0.44792</v>
      </c>
      <c r="C31" s="4" t="inlineStr">
        <is>
          <t>LTV_47</t>
        </is>
      </c>
      <c r="D31" s="4" t="n"/>
    </row>
    <row r="32">
      <c r="A32" s="7" t="n">
        <v>0.48</v>
      </c>
      <c r="B32" s="10" t="n">
        <v>0.4582600000000001</v>
      </c>
      <c r="C32" s="4" t="inlineStr">
        <is>
          <t>LTV_48</t>
        </is>
      </c>
      <c r="D32" s="4" t="n"/>
    </row>
    <row r="33">
      <c r="A33" s="7" t="n">
        <v>0.49</v>
      </c>
      <c r="B33" s="10" t="n">
        <v>0.46926</v>
      </c>
      <c r="C33" s="4" t="inlineStr">
        <is>
          <t>LTV_49</t>
        </is>
      </c>
      <c r="D33" s="4" t="n"/>
    </row>
    <row r="34">
      <c r="A34" s="7" t="n">
        <v>0.5</v>
      </c>
      <c r="B34" s="10" t="n">
        <v>0.48092</v>
      </c>
      <c r="C34" s="4" t="inlineStr">
        <is>
          <t>LTV_50</t>
        </is>
      </c>
      <c r="D34" s="4" t="n"/>
    </row>
    <row r="35">
      <c r="A35" s="7" t="n">
        <v>0.51</v>
      </c>
      <c r="B35" s="10" t="n">
        <v>0.4933500000000001</v>
      </c>
      <c r="C35" s="4" t="inlineStr">
        <is>
          <t>LTV_51</t>
        </is>
      </c>
      <c r="D35" s="4" t="n"/>
    </row>
    <row r="36">
      <c r="A36" s="7" t="n">
        <v>0.52</v>
      </c>
      <c r="B36" s="10" t="n">
        <v>0.5065500000000001</v>
      </c>
      <c r="C36" s="4" t="inlineStr">
        <is>
          <t>LTV_52</t>
        </is>
      </c>
      <c r="D36" s="4" t="n"/>
    </row>
    <row r="37">
      <c r="A37" s="7" t="n">
        <v>0.53</v>
      </c>
      <c r="B37" s="10" t="n">
        <v>0.52074</v>
      </c>
      <c r="C37" s="4" t="inlineStr">
        <is>
          <t>LTV_53</t>
        </is>
      </c>
      <c r="D37" s="4" t="n"/>
    </row>
    <row r="38">
      <c r="A38" s="7" t="n">
        <v>0.54</v>
      </c>
      <c r="B38" s="10" t="n">
        <v>0.5357000000000001</v>
      </c>
      <c r="C38" s="4" t="inlineStr">
        <is>
          <t>LTV_54</t>
        </is>
      </c>
      <c r="D38" s="4" t="n"/>
    </row>
    <row r="39">
      <c r="A39" s="7" t="n">
        <v>0.55</v>
      </c>
      <c r="B39" s="10" t="n">
        <v>0.55165</v>
      </c>
      <c r="C39" s="4" t="inlineStr">
        <is>
          <t>LTV_55</t>
        </is>
      </c>
      <c r="D39" s="4" t="n"/>
    </row>
    <row r="40">
      <c r="A40" s="7" t="n">
        <v>0.5600000000000001</v>
      </c>
      <c r="B40" s="10" t="n">
        <v>0.5687000000000001</v>
      </c>
      <c r="C40" s="4" t="inlineStr">
        <is>
          <t>LTV_56</t>
        </is>
      </c>
      <c r="D40" s="4" t="n"/>
    </row>
    <row r="41">
      <c r="A41" s="7" t="n">
        <v>0.57</v>
      </c>
      <c r="B41" s="10" t="n">
        <v>0.58674</v>
      </c>
      <c r="C41" s="4" t="inlineStr">
        <is>
          <t>LTV_57</t>
        </is>
      </c>
      <c r="D41" s="4" t="n"/>
    </row>
    <row r="42">
      <c r="A42" s="7" t="n">
        <v>0.58</v>
      </c>
      <c r="B42" s="10" t="n">
        <v>0.60599</v>
      </c>
      <c r="C42" s="4" t="inlineStr">
        <is>
          <t>LTV_58</t>
        </is>
      </c>
      <c r="D42" s="4" t="n"/>
    </row>
    <row r="43">
      <c r="A43" s="7" t="n">
        <v>0.59</v>
      </c>
      <c r="B43" s="10" t="n">
        <v>0.62656</v>
      </c>
      <c r="C43" s="4" t="inlineStr">
        <is>
          <t>LTV_59</t>
        </is>
      </c>
      <c r="D43" s="4" t="n"/>
    </row>
    <row r="44">
      <c r="A44" s="7" t="n">
        <v>0.6</v>
      </c>
      <c r="B44" s="10" t="n">
        <v>0.6483400000000001</v>
      </c>
      <c r="C44" s="4" t="inlineStr">
        <is>
          <t>LTV_60</t>
        </is>
      </c>
      <c r="D44" s="4" t="n"/>
    </row>
    <row r="45">
      <c r="A45" s="7" t="n">
        <v>0.61</v>
      </c>
      <c r="B45" s="10" t="n">
        <v>0.67166</v>
      </c>
      <c r="C45" s="4" t="inlineStr">
        <is>
          <t>LTV_61</t>
        </is>
      </c>
      <c r="D45" s="4" t="n"/>
    </row>
    <row r="46">
      <c r="A46" s="7" t="n">
        <v>0.62</v>
      </c>
      <c r="B46" s="10" t="n">
        <v>0.6964100000000001</v>
      </c>
      <c r="C46" s="4" t="inlineStr">
        <is>
          <t>LTV_62</t>
        </is>
      </c>
      <c r="D46" s="4" t="n"/>
    </row>
    <row r="47">
      <c r="A47" s="7" t="n">
        <v>0.63</v>
      </c>
      <c r="B47" s="10" t="n">
        <v>0.7227000000000001</v>
      </c>
      <c r="C47" s="4" t="inlineStr">
        <is>
          <t>LTV_63</t>
        </is>
      </c>
      <c r="D47" s="4" t="n"/>
    </row>
    <row r="48">
      <c r="A48" s="7" t="n">
        <v>0.64</v>
      </c>
      <c r="B48" s="10" t="n">
        <v>0.75075</v>
      </c>
      <c r="C48" s="4" t="inlineStr">
        <is>
          <t>LTV_64</t>
        </is>
      </c>
      <c r="D48" s="4" t="n"/>
    </row>
    <row r="49">
      <c r="A49" s="7" t="n">
        <v>0.65</v>
      </c>
      <c r="B49" s="10" t="n">
        <v>0.78056</v>
      </c>
      <c r="C49" s="4" t="inlineStr">
        <is>
          <t>LTV_65</t>
        </is>
      </c>
      <c r="D49" s="4" t="n"/>
    </row>
    <row r="50">
      <c r="A50" s="7" t="n">
        <v>0.66</v>
      </c>
      <c r="B50" s="10" t="n">
        <v>0.8123500000000001</v>
      </c>
      <c r="C50" s="4" t="inlineStr">
        <is>
          <t>LTV_66</t>
        </is>
      </c>
      <c r="D50" s="4" t="n"/>
    </row>
    <row r="51">
      <c r="A51" s="7" t="n">
        <v>0.67</v>
      </c>
      <c r="B51" s="10" t="n">
        <v>0.84623</v>
      </c>
      <c r="C51" s="4" t="inlineStr">
        <is>
          <t>LTV_67</t>
        </is>
      </c>
      <c r="D51" s="4" t="n"/>
    </row>
    <row r="52">
      <c r="A52" s="7" t="n">
        <v>0.68</v>
      </c>
      <c r="B52" s="10" t="n">
        <v>0.8822000000000001</v>
      </c>
      <c r="C52" s="4" t="inlineStr">
        <is>
          <t>LTV_68</t>
        </is>
      </c>
      <c r="D52" s="4" t="n"/>
    </row>
    <row r="53">
      <c r="A53" s="7" t="n">
        <v>0.6899999999999999</v>
      </c>
      <c r="B53" s="10" t="n">
        <v>0.9204800000000001</v>
      </c>
      <c r="C53" s="4" t="inlineStr">
        <is>
          <t>LTV_69</t>
        </is>
      </c>
      <c r="D53" s="4" t="n"/>
    </row>
    <row r="54">
      <c r="A54" s="7" t="n">
        <v>0.7</v>
      </c>
      <c r="B54" s="10" t="n">
        <v>0.9612900000000001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10" t="n">
        <v>1.00474</v>
      </c>
      <c r="C55" s="4" t="inlineStr">
        <is>
          <t>LTV_71</t>
        </is>
      </c>
      <c r="D55" s="4" t="n"/>
    </row>
    <row r="56">
      <c r="A56" s="7" t="n">
        <v>0.72</v>
      </c>
      <c r="B56" s="10" t="n">
        <v>1.05083</v>
      </c>
      <c r="C56" s="4" t="inlineStr">
        <is>
          <t>LTV_72</t>
        </is>
      </c>
      <c r="D56" s="4" t="n"/>
    </row>
    <row r="57">
      <c r="A57" s="7" t="n">
        <v>0.73</v>
      </c>
      <c r="B57" s="10" t="n">
        <v>1.1</v>
      </c>
      <c r="C57" s="4" t="inlineStr">
        <is>
          <t>LTV_73</t>
        </is>
      </c>
      <c r="D57" s="4" t="n"/>
    </row>
    <row r="58">
      <c r="A58" s="7" t="n">
        <v>0.74</v>
      </c>
      <c r="B58" s="10" t="n">
        <v>1.15225</v>
      </c>
      <c r="C58" s="4" t="inlineStr">
        <is>
          <t>LTV_74</t>
        </is>
      </c>
      <c r="D58" s="4" t="n"/>
    </row>
    <row r="59">
      <c r="A59" s="7" t="n">
        <v>0.75</v>
      </c>
      <c r="B59" s="10" t="n">
        <v>1.2078</v>
      </c>
      <c r="C59" s="4" t="inlineStr">
        <is>
          <t>LTV_75</t>
        </is>
      </c>
      <c r="D59" s="4" t="n"/>
    </row>
    <row r="60">
      <c r="A60" s="7" t="n">
        <v>0.76</v>
      </c>
      <c r="B60" s="10" t="n">
        <v>1.26698</v>
      </c>
      <c r="C60" s="4" t="inlineStr">
        <is>
          <t>LTV_76</t>
        </is>
      </c>
      <c r="D60" s="4" t="n"/>
    </row>
    <row r="61">
      <c r="A61" s="7" t="n">
        <v>0.77</v>
      </c>
      <c r="B61" s="10" t="n">
        <v>1.32979</v>
      </c>
      <c r="C61" s="4" t="inlineStr">
        <is>
          <t>LTV_77</t>
        </is>
      </c>
      <c r="D61" s="4" t="n"/>
    </row>
    <row r="62">
      <c r="A62" s="7" t="n">
        <v>0.78</v>
      </c>
      <c r="B62" s="10" t="n">
        <v>1.39656</v>
      </c>
      <c r="C62" s="4" t="inlineStr">
        <is>
          <t>LTV_78</t>
        </is>
      </c>
      <c r="D62" s="4" t="n"/>
    </row>
    <row r="63">
      <c r="A63" s="7" t="n">
        <v>0.79</v>
      </c>
      <c r="B63" s="10" t="n">
        <v>1.46751</v>
      </c>
      <c r="C63" s="4" t="inlineStr">
        <is>
          <t>LTV_79</t>
        </is>
      </c>
      <c r="D63" s="4" t="n"/>
    </row>
    <row r="64">
      <c r="A64" s="7" t="n">
        <v>0.8</v>
      </c>
      <c r="B64" s="10" t="n">
        <v>1.54275</v>
      </c>
      <c r="C64" s="4" t="inlineStr">
        <is>
          <t>LTV_80</t>
        </is>
      </c>
      <c r="D64" s="4" t="n"/>
    </row>
    <row r="65">
      <c r="A65" s="7" t="n">
        <v>0.8100000000000001</v>
      </c>
      <c r="B65" s="10" t="n">
        <v>1.62261</v>
      </c>
      <c r="C65" s="4" t="inlineStr">
        <is>
          <t>LTV_81</t>
        </is>
      </c>
      <c r="D65" s="4" t="n"/>
    </row>
    <row r="66">
      <c r="A66" s="7" t="n">
        <v>0.82</v>
      </c>
      <c r="B66" s="10" t="n">
        <v>1.7072</v>
      </c>
      <c r="C66" s="4" t="inlineStr">
        <is>
          <t>LTV_82</t>
        </is>
      </c>
      <c r="D66" s="4" t="n"/>
    </row>
    <row r="67">
      <c r="A67" s="7" t="n">
        <v>0.83</v>
      </c>
      <c r="B67" s="10" t="n">
        <v>1.79674</v>
      </c>
      <c r="C67" s="4" t="inlineStr">
        <is>
          <t>LTV_83</t>
        </is>
      </c>
      <c r="D67" s="4" t="n"/>
    </row>
    <row r="68">
      <c r="A68" s="7" t="n">
        <v>0.84</v>
      </c>
      <c r="B68" s="10" t="n">
        <v>1.89134</v>
      </c>
      <c r="C68" s="4" t="inlineStr">
        <is>
          <t>LTV_84</t>
        </is>
      </c>
      <c r="D68" s="4" t="n"/>
    </row>
    <row r="69">
      <c r="A69" s="7" t="n">
        <v>0.85</v>
      </c>
      <c r="B69" s="10" t="n">
        <v>1.99122</v>
      </c>
      <c r="C69" s="4" t="inlineStr">
        <is>
          <t>LTV_85</t>
        </is>
      </c>
      <c r="D69" s="4" t="n"/>
    </row>
    <row r="70">
      <c r="A70" s="7" t="n">
        <v>0.86</v>
      </c>
      <c r="B70" s="10" t="n">
        <v>2.09638</v>
      </c>
      <c r="C70" s="4" t="inlineStr">
        <is>
          <t>LTV_86</t>
        </is>
      </c>
      <c r="D70" s="4" t="n"/>
    </row>
    <row r="71">
      <c r="A71" s="7" t="n">
        <v>0.87</v>
      </c>
      <c r="B71" s="10" t="n">
        <v>2.20671</v>
      </c>
      <c r="C71" s="4" t="inlineStr">
        <is>
          <t>LTV_87</t>
        </is>
      </c>
      <c r="D71" s="4" t="n"/>
    </row>
    <row r="72">
      <c r="A72" s="7" t="n">
        <v>0.88</v>
      </c>
      <c r="B72" s="10" t="n">
        <v>2.3221</v>
      </c>
      <c r="C72" s="4" t="inlineStr">
        <is>
          <t>LTV_88</t>
        </is>
      </c>
      <c r="D72" s="4" t="n"/>
    </row>
    <row r="73">
      <c r="A73" s="7" t="n">
        <v>0.89</v>
      </c>
      <c r="B73" s="10" t="n">
        <v>2.44233</v>
      </c>
      <c r="C73" s="4" t="inlineStr">
        <is>
          <t>LTV_89</t>
        </is>
      </c>
      <c r="D73" s="4" t="n"/>
    </row>
    <row r="74">
      <c r="A74" s="7" t="n">
        <v>0.9</v>
      </c>
      <c r="B74" s="10" t="n">
        <v>2.56696</v>
      </c>
      <c r="C74" s="4" t="inlineStr">
        <is>
          <t>LTV_90</t>
        </is>
      </c>
      <c r="D74" s="4" t="n"/>
    </row>
    <row r="75">
      <c r="A75" s="7" t="n">
        <v>0.91</v>
      </c>
      <c r="B75" s="10" t="n">
        <v>2.69533</v>
      </c>
      <c r="C75" s="4" t="inlineStr">
        <is>
          <t>LTV_91</t>
        </is>
      </c>
      <c r="D75" s="4" t="n"/>
    </row>
    <row r="76">
      <c r="A76" s="7" t="n">
        <v>0.92</v>
      </c>
      <c r="B76" s="10" t="n">
        <v>2.82667</v>
      </c>
      <c r="C76" s="4" t="inlineStr">
        <is>
          <t>LTV_92</t>
        </is>
      </c>
      <c r="D76" s="4" t="n"/>
    </row>
    <row r="77">
      <c r="A77" s="7" t="n">
        <v>0.93</v>
      </c>
      <c r="B77" s="10" t="n">
        <v>2.95977</v>
      </c>
      <c r="C77" s="4" t="inlineStr">
        <is>
          <t>LTV_93</t>
        </is>
      </c>
      <c r="D77" s="4" t="n"/>
    </row>
    <row r="78">
      <c r="A78" s="7" t="n">
        <v>0.9399999999999999</v>
      </c>
      <c r="B78" s="10" t="n">
        <v>3.09331</v>
      </c>
      <c r="C78" s="4" t="inlineStr">
        <is>
          <t>LTV_94</t>
        </is>
      </c>
      <c r="D78" s="4" t="n"/>
    </row>
    <row r="79">
      <c r="A79" s="7" t="n">
        <v>0.95</v>
      </c>
      <c r="B79" s="10" t="n">
        <v>3.22586</v>
      </c>
      <c r="C79" s="4" t="inlineStr">
        <is>
          <t>LTV_95</t>
        </is>
      </c>
      <c r="D79" s="4" t="n"/>
    </row>
    <row r="80">
      <c r="A80" s="7" t="n">
        <v>0.96</v>
      </c>
      <c r="B80" s="10" t="n">
        <v>3.35566</v>
      </c>
      <c r="C80" s="4" t="inlineStr">
        <is>
          <t>LTV_96</t>
        </is>
      </c>
      <c r="D80" s="4" t="n"/>
    </row>
    <row r="81">
      <c r="A81" s="7" t="n">
        <v>0.97</v>
      </c>
      <c r="B81" s="10" t="n">
        <v>3.48095</v>
      </c>
      <c r="C81" s="4" t="inlineStr">
        <is>
          <t>LTV_97</t>
        </is>
      </c>
      <c r="D81" s="4" t="n"/>
    </row>
    <row r="82">
      <c r="A82" s="7" t="n">
        <v>0.98</v>
      </c>
      <c r="B82" s="10" t="n">
        <v>3.600080000000001</v>
      </c>
      <c r="C82" s="4" t="inlineStr">
        <is>
          <t>LTV_98</t>
        </is>
      </c>
      <c r="D82" s="4" t="n"/>
    </row>
    <row r="83">
      <c r="A83" s="7" t="n">
        <v>0.99</v>
      </c>
      <c r="B83" s="10" t="n">
        <v>3.7114</v>
      </c>
      <c r="C83" s="4" t="inlineStr">
        <is>
          <t>LTV_99</t>
        </is>
      </c>
      <c r="D83" s="4" t="n"/>
    </row>
    <row r="84">
      <c r="A84" s="7" t="n">
        <v>1</v>
      </c>
      <c r="B84" s="10" t="n">
        <v>3.81392</v>
      </c>
      <c r="C84" s="4" t="inlineStr">
        <is>
          <t>LTV_100</t>
        </is>
      </c>
      <c r="D84" s="4" t="n"/>
    </row>
    <row r="85">
      <c r="A85" s="7" t="n">
        <v>1.01</v>
      </c>
      <c r="B85" s="10" t="n">
        <v>3.90665</v>
      </c>
      <c r="C85" s="4" t="inlineStr">
        <is>
          <t>LTV_101</t>
        </is>
      </c>
      <c r="D85" s="4" t="n"/>
    </row>
    <row r="86">
      <c r="A86" s="7" t="n">
        <v>1.02</v>
      </c>
      <c r="B86" s="10" t="n">
        <v>3.98915</v>
      </c>
      <c r="C86" s="4" t="inlineStr">
        <is>
          <t>LTV_102</t>
        </is>
      </c>
      <c r="D86" s="4" t="n"/>
    </row>
    <row r="87">
      <c r="A87" s="7" t="n">
        <v>1.03</v>
      </c>
      <c r="B87" s="10" t="n">
        <v>4.061420000000001</v>
      </c>
      <c r="C87" s="4" t="inlineStr">
        <is>
          <t>LTV_103</t>
        </is>
      </c>
      <c r="D87" s="4" t="n"/>
    </row>
    <row r="88">
      <c r="A88" s="7" t="n">
        <v>1.04</v>
      </c>
      <c r="B88" s="10" t="n">
        <v>4.123900000000001</v>
      </c>
      <c r="C88" s="4" t="inlineStr">
        <is>
          <t>LTV_104</t>
        </is>
      </c>
      <c r="D88" s="4" t="n"/>
    </row>
    <row r="89">
      <c r="A89" s="7" t="n">
        <v>1.05</v>
      </c>
      <c r="B89" s="10" t="n">
        <v>4.177140000000001</v>
      </c>
      <c r="C89" s="4" t="inlineStr">
        <is>
          <t>LTV_105</t>
        </is>
      </c>
      <c r="D89" s="4" t="n"/>
    </row>
    <row r="90">
      <c r="A90" s="7" t="n">
        <v>1.06</v>
      </c>
      <c r="B90" s="10" t="n">
        <v>4.222020000000001</v>
      </c>
      <c r="C90" s="4" t="inlineStr">
        <is>
          <t>LTV_106</t>
        </is>
      </c>
      <c r="D90" s="4" t="n"/>
    </row>
    <row r="91">
      <c r="A91" s="7" t="n">
        <v>1.07</v>
      </c>
      <c r="B91" s="10" t="n">
        <v>4.25942</v>
      </c>
      <c r="C91" s="4" t="inlineStr">
        <is>
          <t>LTV_107</t>
        </is>
      </c>
      <c r="D91" s="4" t="n"/>
    </row>
    <row r="92">
      <c r="A92" s="7" t="n">
        <v>1.08</v>
      </c>
      <c r="B92" s="10" t="n">
        <v>4.29044</v>
      </c>
      <c r="C92" s="4" t="inlineStr">
        <is>
          <t>LTV_108</t>
        </is>
      </c>
      <c r="D92" s="4" t="n"/>
    </row>
    <row r="93">
      <c r="A93" s="7" t="n">
        <v>1.09</v>
      </c>
      <c r="B93" s="10" t="n">
        <v>4.31585</v>
      </c>
      <c r="C93" s="4" t="inlineStr">
        <is>
          <t>LTV_109</t>
        </is>
      </c>
      <c r="D93" s="4" t="n"/>
    </row>
    <row r="94">
      <c r="A94" s="7" t="n">
        <v>1.1</v>
      </c>
      <c r="B94" s="10" t="n">
        <v>4.33664</v>
      </c>
      <c r="C94" s="4" t="inlineStr">
        <is>
          <t>LTV_110</t>
        </is>
      </c>
      <c r="D94" s="4" t="n"/>
    </row>
    <row r="95">
      <c r="A95" s="7" t="n">
        <v>1.11</v>
      </c>
      <c r="B95" s="10" t="n">
        <v>4.353470000000001</v>
      </c>
      <c r="C95" s="4" t="inlineStr">
        <is>
          <t>LTV_111</t>
        </is>
      </c>
      <c r="D95" s="4" t="n"/>
    </row>
    <row r="96">
      <c r="A96" s="7" t="n">
        <v>1.12</v>
      </c>
      <c r="B96" s="10" t="n">
        <v>4.36711</v>
      </c>
      <c r="C96" s="4" t="inlineStr">
        <is>
          <t>LTV_112</t>
        </is>
      </c>
      <c r="D96" s="4" t="n"/>
    </row>
    <row r="97">
      <c r="A97" s="7" t="n">
        <v>1.13</v>
      </c>
      <c r="B97" s="10" t="n">
        <v>4.37811</v>
      </c>
      <c r="C97" s="4" t="inlineStr">
        <is>
          <t>LTV_113</t>
        </is>
      </c>
      <c r="D97" s="4" t="n"/>
    </row>
    <row r="98">
      <c r="A98" s="7" t="n">
        <v>1.14</v>
      </c>
      <c r="B98" s="10" t="n">
        <v>4.387020000000001</v>
      </c>
      <c r="C98" s="4" t="inlineStr">
        <is>
          <t>LTV_114</t>
        </is>
      </c>
      <c r="D98" s="4" t="n"/>
    </row>
    <row r="99">
      <c r="A99" s="7" t="n">
        <v>1.15</v>
      </c>
      <c r="B99" s="10" t="n">
        <v>4.394060000000001</v>
      </c>
      <c r="C99" s="4" t="inlineStr">
        <is>
          <t>LTV_115</t>
        </is>
      </c>
      <c r="D99" s="4" t="n"/>
    </row>
    <row r="100">
      <c r="A100" s="7" t="n">
        <v>1.16</v>
      </c>
      <c r="B100" s="10" t="n">
        <v>4.39967</v>
      </c>
      <c r="C100" s="4" t="inlineStr">
        <is>
          <t>LTV_116</t>
        </is>
      </c>
      <c r="D100" s="4" t="n"/>
    </row>
    <row r="101">
      <c r="A101" s="7" t="n">
        <v>1.17</v>
      </c>
      <c r="B101" s="10" t="n">
        <v>4.40429</v>
      </c>
      <c r="C101" s="4" t="inlineStr">
        <is>
          <t>LTV_117</t>
        </is>
      </c>
      <c r="D101" s="4" t="n"/>
    </row>
    <row r="102">
      <c r="A102" s="7" t="n">
        <v>1.18</v>
      </c>
      <c r="B102" s="10" t="n">
        <v>4.40781</v>
      </c>
      <c r="C102" s="4" t="inlineStr">
        <is>
          <t>LTV_118</t>
        </is>
      </c>
      <c r="D102" s="4" t="n"/>
    </row>
    <row r="103">
      <c r="A103" s="7" t="n">
        <v>1.19</v>
      </c>
      <c r="B103" s="10" t="n">
        <v>4.410780000000001</v>
      </c>
      <c r="C103" s="4" t="inlineStr">
        <is>
          <t>LTV_119</t>
        </is>
      </c>
      <c r="D103" s="4" t="n"/>
    </row>
    <row r="104">
      <c r="A104" s="7" t="n">
        <v>1.2</v>
      </c>
      <c r="B104" s="10" t="n">
        <v>4.41298</v>
      </c>
      <c r="C104" s="4" t="inlineStr">
        <is>
          <t>LTV_120</t>
        </is>
      </c>
      <c r="D104" s="4" t="n"/>
    </row>
    <row r="105">
      <c r="A105" s="7" t="n">
        <v>1.21</v>
      </c>
      <c r="B105" s="10" t="n">
        <v>4.41485</v>
      </c>
      <c r="C105" s="4" t="inlineStr">
        <is>
          <t>LTV_121</t>
        </is>
      </c>
      <c r="D105" s="4" t="n"/>
    </row>
    <row r="106">
      <c r="A106" s="7" t="n">
        <v>1.22</v>
      </c>
      <c r="B106" s="10" t="n">
        <v>4.41628</v>
      </c>
      <c r="C106" s="4" t="inlineStr">
        <is>
          <t>LTV_122</t>
        </is>
      </c>
      <c r="D106" s="4" t="n"/>
    </row>
    <row r="107">
      <c r="A107" s="7" t="n">
        <v>1.23</v>
      </c>
      <c r="B107" s="10" t="n">
        <v>4.417490000000001</v>
      </c>
      <c r="C107" s="4" t="inlineStr">
        <is>
          <t>LTV_123</t>
        </is>
      </c>
      <c r="D107" s="4" t="n"/>
    </row>
    <row r="108">
      <c r="A108" s="7" t="n">
        <v>1.24</v>
      </c>
      <c r="B108" s="10" t="n">
        <v>4.41837</v>
      </c>
      <c r="C108" s="4" t="inlineStr">
        <is>
          <t>LTV_124</t>
        </is>
      </c>
      <c r="D108" s="4" t="n"/>
    </row>
    <row r="109">
      <c r="A109" s="7" t="n">
        <v>1.25</v>
      </c>
      <c r="B109" s="10" t="n">
        <v>4.419140000000001</v>
      </c>
      <c r="C109" s="4" t="inlineStr">
        <is>
          <t>LTV_125</t>
        </is>
      </c>
      <c r="D109" s="4" t="n"/>
    </row>
    <row r="110">
      <c r="A110" s="7" t="n">
        <v>1.26</v>
      </c>
      <c r="B110" s="10" t="n">
        <v>4.41969</v>
      </c>
      <c r="C110" s="4" t="inlineStr">
        <is>
          <t>LTV_126</t>
        </is>
      </c>
      <c r="D110" s="4" t="n"/>
    </row>
    <row r="111">
      <c r="A111" s="7" t="n">
        <v>1.27</v>
      </c>
      <c r="B111" s="10" t="n">
        <v>4.42013</v>
      </c>
      <c r="C111" s="4" t="inlineStr">
        <is>
          <t>LTV_127</t>
        </is>
      </c>
      <c r="D111" s="4" t="n"/>
    </row>
    <row r="112">
      <c r="A112" s="7" t="n">
        <v>1.28</v>
      </c>
      <c r="B112" s="10" t="n">
        <v>4.420570000000001</v>
      </c>
      <c r="C112" s="4" t="inlineStr">
        <is>
          <t>LTV_128</t>
        </is>
      </c>
      <c r="D112" s="4" t="n"/>
    </row>
    <row r="113">
      <c r="A113" s="7" t="n">
        <v>1.29</v>
      </c>
      <c r="B113" s="10" t="n">
        <v>4.420790000000001</v>
      </c>
      <c r="C113" s="4" t="inlineStr">
        <is>
          <t>LTV_129</t>
        </is>
      </c>
      <c r="D113" s="4" t="n"/>
    </row>
    <row r="114">
      <c r="A114" s="7" t="n">
        <v>1.3</v>
      </c>
      <c r="B114" s="10" t="n">
        <v>4.42112</v>
      </c>
      <c r="C114" s="4" t="inlineStr">
        <is>
          <t>LTV_130</t>
        </is>
      </c>
      <c r="D114" s="4" t="n"/>
    </row>
    <row r="115">
      <c r="A115" s="7" t="n">
        <v>1.31</v>
      </c>
      <c r="B115" s="10" t="n">
        <v>4.42123</v>
      </c>
      <c r="C115" s="4" t="inlineStr">
        <is>
          <t>LTV_131</t>
        </is>
      </c>
      <c r="D115" s="4" t="n"/>
    </row>
    <row r="116">
      <c r="A116" s="7" t="n">
        <v>1.32</v>
      </c>
      <c r="B116" s="10" t="n">
        <v>4.42145</v>
      </c>
      <c r="C116" s="4" t="inlineStr">
        <is>
          <t>LTV_132</t>
        </is>
      </c>
      <c r="D116" s="4" t="n"/>
    </row>
    <row r="117">
      <c r="A117" s="7" t="n">
        <v>1.33</v>
      </c>
      <c r="B117" s="10" t="n">
        <v>4.42156</v>
      </c>
      <c r="C117" s="4" t="inlineStr">
        <is>
          <t>LTV_133</t>
        </is>
      </c>
      <c r="D117" s="4" t="n"/>
    </row>
    <row r="118">
      <c r="A118" s="7" t="n">
        <v>1.34</v>
      </c>
      <c r="B118" s="10" t="n">
        <v>4.42156</v>
      </c>
      <c r="C118" s="4" t="inlineStr">
        <is>
          <t>LTV_134</t>
        </is>
      </c>
      <c r="D118" s="4" t="n"/>
    </row>
    <row r="119">
      <c r="A119" s="7" t="n">
        <v>1.35</v>
      </c>
      <c r="B119" s="10" t="n">
        <v>4.421670000000001</v>
      </c>
      <c r="C119" s="4" t="inlineStr">
        <is>
          <t>LTV_135</t>
        </is>
      </c>
      <c r="D119" s="4" t="n"/>
    </row>
    <row r="120">
      <c r="A120" s="7" t="n">
        <v>1.36</v>
      </c>
      <c r="B120" s="10" t="n">
        <v>4.42178</v>
      </c>
      <c r="C120" s="4" t="inlineStr">
        <is>
          <t>LTV_136</t>
        </is>
      </c>
      <c r="D120" s="4" t="n"/>
    </row>
    <row r="121">
      <c r="A121" s="7" t="n">
        <v>1.37</v>
      </c>
      <c r="B121" s="10" t="n">
        <v>4.42178</v>
      </c>
      <c r="C121" s="4" t="inlineStr">
        <is>
          <t>LTV_137</t>
        </is>
      </c>
      <c r="D121" s="4" t="n"/>
    </row>
    <row r="122">
      <c r="A122" s="7" t="n">
        <v>1.38</v>
      </c>
      <c r="B122" s="10" t="n">
        <v>4.42178</v>
      </c>
      <c r="C122" s="4" t="inlineStr">
        <is>
          <t>LTV_138</t>
        </is>
      </c>
      <c r="D122" s="4" t="n"/>
    </row>
    <row r="123">
      <c r="A123" s="7" t="n">
        <v>1.39</v>
      </c>
      <c r="B123" s="10" t="n">
        <v>4.42189</v>
      </c>
      <c r="C123" s="4" t="inlineStr">
        <is>
          <t>LTV_139</t>
        </is>
      </c>
      <c r="D123" s="4" t="n"/>
    </row>
    <row r="124">
      <c r="A124" s="7" t="n">
        <v>1.4</v>
      </c>
      <c r="B124" s="10" t="n">
        <v>4.42189</v>
      </c>
      <c r="C124" s="4" t="inlineStr">
        <is>
          <t>LTV_140</t>
        </is>
      </c>
      <c r="D124" s="4" t="n"/>
    </row>
    <row r="125">
      <c r="A125" s="7" t="n">
        <v>1.41</v>
      </c>
      <c r="B125" s="10" t="n">
        <v>4.42189</v>
      </c>
      <c r="C125" s="4" t="inlineStr">
        <is>
          <t>LTV_141</t>
        </is>
      </c>
      <c r="D125" s="4" t="n"/>
    </row>
    <row r="126">
      <c r="A126" s="7" t="n">
        <v>1.42</v>
      </c>
      <c r="B126" s="10" t="n">
        <v>4.42189</v>
      </c>
      <c r="C126" s="4" t="inlineStr">
        <is>
          <t>LTV_142</t>
        </is>
      </c>
      <c r="D126" s="4" t="n"/>
    </row>
    <row r="127">
      <c r="A127" s="7" t="n">
        <v>1.43</v>
      </c>
      <c r="B127" s="10" t="n">
        <v>4.42189</v>
      </c>
      <c r="C127" s="4" t="inlineStr">
        <is>
          <t>LTV_143</t>
        </is>
      </c>
      <c r="D127" s="4" t="n"/>
    </row>
    <row r="128">
      <c r="A128" s="7" t="n">
        <v>1.44</v>
      </c>
      <c r="B128" s="10" t="n">
        <v>4.42189</v>
      </c>
      <c r="C128" s="4" t="inlineStr">
        <is>
          <t>LTV_144</t>
        </is>
      </c>
      <c r="D128" s="4" t="n"/>
    </row>
    <row r="129">
      <c r="A129" s="7" t="n">
        <v>1.45</v>
      </c>
      <c r="B129" s="10" t="n">
        <v>4.42189</v>
      </c>
      <c r="C129" s="4" t="inlineStr">
        <is>
          <t>LTV_145</t>
        </is>
      </c>
      <c r="D129" s="4" t="n"/>
    </row>
    <row r="130">
      <c r="A130" s="7" t="n">
        <v>1.46</v>
      </c>
      <c r="B130" s="10" t="n">
        <v>4.422</v>
      </c>
      <c r="C130" s="4" t="inlineStr">
        <is>
          <t>LTV_146</t>
        </is>
      </c>
      <c r="D130" s="4" t="n"/>
    </row>
    <row r="131">
      <c r="A131" s="7" t="n">
        <v>1.47</v>
      </c>
      <c r="B131" s="10" t="n">
        <v>4.422</v>
      </c>
      <c r="C131" s="4" t="inlineStr">
        <is>
          <t>LTV_147</t>
        </is>
      </c>
      <c r="D131" s="4" t="n"/>
    </row>
    <row r="132">
      <c r="A132" s="7" t="n">
        <v>1.48</v>
      </c>
      <c r="B132" s="10" t="n">
        <v>4.422</v>
      </c>
      <c r="C132" s="4" t="inlineStr">
        <is>
          <t>LTV_148</t>
        </is>
      </c>
      <c r="D132" s="4" t="n"/>
    </row>
    <row r="133">
      <c r="A133" s="7" t="n">
        <v>1.49</v>
      </c>
      <c r="B133" s="10" t="n">
        <v>4.422</v>
      </c>
      <c r="C133" s="4" t="inlineStr">
        <is>
          <t>LTV_149</t>
        </is>
      </c>
      <c r="D133" s="4" t="n"/>
    </row>
    <row r="134">
      <c r="A134" s="7" t="n">
        <v>1.5</v>
      </c>
      <c r="B134" s="10" t="n">
        <v>4.422</v>
      </c>
      <c r="C134" s="4" t="inlineStr">
        <is>
          <t>LTV_150</t>
        </is>
      </c>
      <c r="D134" s="4" t="inlineStr">
        <is>
          <t>Maximum LTV (cap at 4.02x)</t>
        </is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LTV CURVE - NETHERLANDS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10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10" t="n">
        <v>0.2907</v>
      </c>
      <c r="C5" s="4" t="inlineStr">
        <is>
          <t>LTV_21</t>
        </is>
      </c>
      <c r="D5" s="4" t="n"/>
    </row>
    <row r="6">
      <c r="A6" s="7" t="n">
        <v>0.22</v>
      </c>
      <c r="B6" s="10" t="n">
        <v>0.277875</v>
      </c>
      <c r="C6" s="4" t="inlineStr">
        <is>
          <t>LTV_22</t>
        </is>
      </c>
      <c r="D6" s="4" t="n"/>
    </row>
    <row r="7">
      <c r="A7" s="7" t="n">
        <v>0.23</v>
      </c>
      <c r="B7" s="10" t="n">
        <v>0.279775</v>
      </c>
      <c r="C7" s="4" t="inlineStr">
        <is>
          <t>LTV_23</t>
        </is>
      </c>
      <c r="D7" s="4" t="n"/>
    </row>
    <row r="8">
      <c r="A8" s="7" t="n">
        <v>0.24</v>
      </c>
      <c r="B8" s="10" t="n">
        <v>0.28177</v>
      </c>
      <c r="C8" s="4" t="inlineStr">
        <is>
          <t>LTV_24</t>
        </is>
      </c>
      <c r="D8" s="4" t="n"/>
    </row>
    <row r="9">
      <c r="A9" s="7" t="n">
        <v>0.25</v>
      </c>
      <c r="B9" s="10" t="n">
        <v>0.28386</v>
      </c>
      <c r="C9" s="4" t="inlineStr">
        <is>
          <t>LTV_25</t>
        </is>
      </c>
      <c r="D9" s="4" t="n"/>
    </row>
    <row r="10">
      <c r="A10" s="7" t="n">
        <v>0.26</v>
      </c>
      <c r="B10" s="10" t="n">
        <v>0.286045</v>
      </c>
      <c r="C10" s="4" t="inlineStr">
        <is>
          <t>LTV_26</t>
        </is>
      </c>
      <c r="D10" s="4" t="n"/>
    </row>
    <row r="11">
      <c r="A11" s="7" t="n">
        <v>0.27</v>
      </c>
      <c r="B11" s="10" t="n">
        <v>0.288515</v>
      </c>
      <c r="C11" s="4" t="inlineStr">
        <is>
          <t>LTV_27</t>
        </is>
      </c>
      <c r="D11" s="4" t="n"/>
    </row>
    <row r="12">
      <c r="A12" s="7" t="n">
        <v>0.28</v>
      </c>
      <c r="B12" s="10" t="n">
        <v>0.290985</v>
      </c>
      <c r="C12" s="4" t="inlineStr">
        <is>
          <t>LTV_28</t>
        </is>
      </c>
      <c r="D12" s="4" t="n"/>
    </row>
    <row r="13">
      <c r="A13" s="7" t="n">
        <v>0.29</v>
      </c>
      <c r="B13" s="10" t="n">
        <v>0.2937399999999999</v>
      </c>
      <c r="C13" s="4" t="inlineStr">
        <is>
          <t>LTV_29</t>
        </is>
      </c>
      <c r="D13" s="4" t="n"/>
    </row>
    <row r="14">
      <c r="A14" s="7" t="n">
        <v>0.3</v>
      </c>
      <c r="B14" s="10" t="n">
        <v>0.29659</v>
      </c>
      <c r="C14" s="4" t="inlineStr">
        <is>
          <t>LTV_30</t>
        </is>
      </c>
      <c r="D14" s="4" t="n"/>
    </row>
    <row r="15">
      <c r="A15" s="7" t="n">
        <v>0.31</v>
      </c>
      <c r="B15" s="10" t="n">
        <v>0.299725</v>
      </c>
      <c r="C15" s="4" t="inlineStr">
        <is>
          <t>LTV_31</t>
        </is>
      </c>
      <c r="D15" s="4" t="n"/>
    </row>
    <row r="16">
      <c r="A16" s="7" t="n">
        <v>0.32</v>
      </c>
      <c r="B16" s="10" t="n">
        <v>0.302955</v>
      </c>
      <c r="C16" s="4" t="inlineStr">
        <is>
          <t>LTV_32</t>
        </is>
      </c>
      <c r="D16" s="4" t="n"/>
    </row>
    <row r="17">
      <c r="A17" s="7" t="n">
        <v>0.33</v>
      </c>
      <c r="B17" s="10" t="n">
        <v>0.30647</v>
      </c>
      <c r="C17" s="4" t="inlineStr">
        <is>
          <t>LTV_33</t>
        </is>
      </c>
      <c r="D17" s="4" t="n"/>
    </row>
    <row r="18">
      <c r="A18" s="7" t="n">
        <v>0.34</v>
      </c>
      <c r="B18" s="10" t="n">
        <v>0.310175</v>
      </c>
      <c r="C18" s="4" t="inlineStr">
        <is>
          <t>LTV_34</t>
        </is>
      </c>
      <c r="D18" s="4" t="n"/>
    </row>
    <row r="19">
      <c r="A19" s="7" t="n">
        <v>0.35</v>
      </c>
      <c r="B19" s="10" t="n">
        <v>0.31407</v>
      </c>
      <c r="C19" s="4" t="inlineStr">
        <is>
          <t>LTV_35</t>
        </is>
      </c>
      <c r="D19" s="4" t="n"/>
    </row>
    <row r="20">
      <c r="A20" s="7" t="n">
        <v>0.36</v>
      </c>
      <c r="B20" s="10" t="n">
        <v>0.31825</v>
      </c>
      <c r="C20" s="4" t="inlineStr">
        <is>
          <t>LTV_36</t>
        </is>
      </c>
      <c r="D20" s="4" t="n"/>
    </row>
    <row r="21">
      <c r="A21" s="7" t="n">
        <v>0.37</v>
      </c>
      <c r="B21" s="10" t="n">
        <v>0.32281</v>
      </c>
      <c r="C21" s="4" t="inlineStr">
        <is>
          <t>LTV_37</t>
        </is>
      </c>
      <c r="D21" s="4" t="n"/>
    </row>
    <row r="22">
      <c r="A22" s="7" t="n">
        <v>0.38</v>
      </c>
      <c r="B22" s="10" t="n">
        <v>0.32756</v>
      </c>
      <c r="C22" s="4" t="inlineStr">
        <is>
          <t>LTV_38</t>
        </is>
      </c>
      <c r="D22" s="4" t="n"/>
    </row>
    <row r="23">
      <c r="A23" s="7" t="n">
        <v>0.39</v>
      </c>
      <c r="B23" s="10" t="n">
        <v>0.332595</v>
      </c>
      <c r="C23" s="4" t="inlineStr">
        <is>
          <t>LTV_39</t>
        </is>
      </c>
      <c r="D23" s="4" t="n"/>
    </row>
    <row r="24">
      <c r="A24" s="7" t="n">
        <v>0.4</v>
      </c>
      <c r="B24" s="10" t="n">
        <v>0.33801</v>
      </c>
      <c r="C24" s="4" t="inlineStr">
        <is>
          <t>LTV_40</t>
        </is>
      </c>
      <c r="D24" s="4" t="n"/>
    </row>
    <row r="25">
      <c r="A25" s="7" t="n">
        <v>0.41</v>
      </c>
      <c r="B25" s="10" t="n">
        <v>0.34371</v>
      </c>
      <c r="C25" s="4" t="inlineStr">
        <is>
          <t>LTV_41</t>
        </is>
      </c>
      <c r="D25" s="4" t="n"/>
    </row>
    <row r="26">
      <c r="A26" s="7" t="n">
        <v>0.42</v>
      </c>
      <c r="B26" s="10" t="n">
        <v>0.349885</v>
      </c>
      <c r="C26" s="4" t="inlineStr">
        <is>
          <t>LTV_42</t>
        </is>
      </c>
      <c r="D26" s="4" t="n"/>
    </row>
    <row r="27">
      <c r="A27" s="7" t="n">
        <v>0.43</v>
      </c>
      <c r="B27" s="10" t="n">
        <v>0.356345</v>
      </c>
      <c r="C27" s="4" t="inlineStr">
        <is>
          <t>LTV_43</t>
        </is>
      </c>
      <c r="D27" s="4" t="n"/>
    </row>
    <row r="28">
      <c r="A28" s="7" t="n">
        <v>0.44</v>
      </c>
      <c r="B28" s="10" t="n">
        <v>0.36328</v>
      </c>
      <c r="C28" s="4" t="inlineStr">
        <is>
          <t>LTV_44</t>
        </is>
      </c>
      <c r="D28" s="4" t="n"/>
    </row>
    <row r="29">
      <c r="A29" s="7" t="n">
        <v>0.45</v>
      </c>
      <c r="B29" s="10" t="n">
        <v>0.37069</v>
      </c>
      <c r="C29" s="4" t="inlineStr">
        <is>
          <t>LTV_45</t>
        </is>
      </c>
      <c r="D29" s="4" t="n"/>
    </row>
    <row r="30">
      <c r="A30" s="7" t="n">
        <v>0.46</v>
      </c>
      <c r="B30" s="10" t="n">
        <v>0.37848</v>
      </c>
      <c r="C30" s="4" t="inlineStr">
        <is>
          <t>LTV_46</t>
        </is>
      </c>
      <c r="D30" s="4" t="n"/>
    </row>
    <row r="31">
      <c r="A31" s="7" t="n">
        <v>0.47</v>
      </c>
      <c r="B31" s="10" t="n">
        <v>0.38684</v>
      </c>
      <c r="C31" s="4" t="inlineStr">
        <is>
          <t>LTV_47</t>
        </is>
      </c>
      <c r="D31" s="4" t="n"/>
    </row>
    <row r="32">
      <c r="A32" s="7" t="n">
        <v>0.48</v>
      </c>
      <c r="B32" s="10" t="n">
        <v>0.39577</v>
      </c>
      <c r="C32" s="4" t="inlineStr">
        <is>
          <t>LTV_48</t>
        </is>
      </c>
      <c r="D32" s="4" t="n"/>
    </row>
    <row r="33">
      <c r="A33" s="7" t="n">
        <v>0.49</v>
      </c>
      <c r="B33" s="10" t="n">
        <v>0.40527</v>
      </c>
      <c r="C33" s="4" t="inlineStr">
        <is>
          <t>LTV_49</t>
        </is>
      </c>
      <c r="D33" s="4" t="n"/>
    </row>
    <row r="34">
      <c r="A34" s="7" t="n">
        <v>0.5</v>
      </c>
      <c r="B34" s="10" t="n">
        <v>0.41534</v>
      </c>
      <c r="C34" s="4" t="inlineStr">
        <is>
          <t>LTV_50</t>
        </is>
      </c>
      <c r="D34" s="4" t="n"/>
    </row>
    <row r="35">
      <c r="A35" s="7" t="n">
        <v>0.51</v>
      </c>
      <c r="B35" s="10" t="n">
        <v>0.426075</v>
      </c>
      <c r="C35" s="4" t="inlineStr">
        <is>
          <t>LTV_51</t>
        </is>
      </c>
      <c r="D35" s="4" t="n"/>
    </row>
    <row r="36">
      <c r="A36" s="7" t="n">
        <v>0.52</v>
      </c>
      <c r="B36" s="10" t="n">
        <v>0.437475</v>
      </c>
      <c r="C36" s="4" t="inlineStr">
        <is>
          <t>LTV_52</t>
        </is>
      </c>
      <c r="D36" s="4" t="n"/>
    </row>
    <row r="37">
      <c r="A37" s="7" t="n">
        <v>0.53</v>
      </c>
      <c r="B37" s="10" t="n">
        <v>0.44973</v>
      </c>
      <c r="C37" s="4" t="inlineStr">
        <is>
          <t>LTV_53</t>
        </is>
      </c>
      <c r="D37" s="4" t="n"/>
    </row>
    <row r="38">
      <c r="A38" s="7" t="n">
        <v>0.54</v>
      </c>
      <c r="B38" s="10" t="n">
        <v>0.46265</v>
      </c>
      <c r="C38" s="4" t="inlineStr">
        <is>
          <t>LTV_54</t>
        </is>
      </c>
      <c r="D38" s="4" t="n"/>
    </row>
    <row r="39">
      <c r="A39" s="7" t="n">
        <v>0.55</v>
      </c>
      <c r="B39" s="10" t="n">
        <v>0.4764249999999999</v>
      </c>
      <c r="C39" s="4" t="inlineStr">
        <is>
          <t>LTV_55</t>
        </is>
      </c>
      <c r="D39" s="4" t="n"/>
    </row>
    <row r="40">
      <c r="A40" s="7" t="n">
        <v>0.5600000000000001</v>
      </c>
      <c r="B40" s="10" t="n">
        <v>0.49115</v>
      </c>
      <c r="C40" s="4" t="inlineStr">
        <is>
          <t>LTV_56</t>
        </is>
      </c>
      <c r="D40" s="4" t="n"/>
    </row>
    <row r="41">
      <c r="A41" s="7" t="n">
        <v>0.57</v>
      </c>
      <c r="B41" s="10" t="n">
        <v>0.50673</v>
      </c>
      <c r="C41" s="4" t="inlineStr">
        <is>
          <t>LTV_57</t>
        </is>
      </c>
      <c r="D41" s="4" t="n"/>
    </row>
    <row r="42">
      <c r="A42" s="7" t="n">
        <v>0.58</v>
      </c>
      <c r="B42" s="10" t="n">
        <v>0.5233549999999999</v>
      </c>
      <c r="C42" s="4" t="inlineStr">
        <is>
          <t>LTV_58</t>
        </is>
      </c>
      <c r="D42" s="4" t="n"/>
    </row>
    <row r="43">
      <c r="A43" s="7" t="n">
        <v>0.59</v>
      </c>
      <c r="B43" s="10" t="n">
        <v>0.5411199999999999</v>
      </c>
      <c r="C43" s="4" t="inlineStr">
        <is>
          <t>LTV_59</t>
        </is>
      </c>
      <c r="D43" s="4" t="n"/>
    </row>
    <row r="44">
      <c r="A44" s="7" t="n">
        <v>0.6</v>
      </c>
      <c r="B44" s="10" t="n">
        <v>0.55993</v>
      </c>
      <c r="C44" s="4" t="inlineStr">
        <is>
          <t>LTV_60</t>
        </is>
      </c>
      <c r="D44" s="4" t="n"/>
    </row>
    <row r="45">
      <c r="A45" s="7" t="n">
        <v>0.61</v>
      </c>
      <c r="B45" s="10" t="n">
        <v>0.58007</v>
      </c>
      <c r="C45" s="4" t="inlineStr">
        <is>
          <t>LTV_61</t>
        </is>
      </c>
      <c r="D45" s="4" t="n"/>
    </row>
    <row r="46">
      <c r="A46" s="7" t="n">
        <v>0.62</v>
      </c>
      <c r="B46" s="10" t="n">
        <v>0.601445</v>
      </c>
      <c r="C46" s="4" t="inlineStr">
        <is>
          <t>LTV_62</t>
        </is>
      </c>
      <c r="D46" s="4" t="n"/>
    </row>
    <row r="47">
      <c r="A47" s="7" t="n">
        <v>0.63</v>
      </c>
      <c r="B47" s="10" t="n">
        <v>0.62415</v>
      </c>
      <c r="C47" s="4" t="inlineStr">
        <is>
          <t>LTV_63</t>
        </is>
      </c>
      <c r="D47" s="4" t="n"/>
    </row>
    <row r="48">
      <c r="A48" s="7" t="n">
        <v>0.64</v>
      </c>
      <c r="B48" s="10" t="n">
        <v>0.6483749999999999</v>
      </c>
      <c r="C48" s="4" t="inlineStr">
        <is>
          <t>LTV_64</t>
        </is>
      </c>
      <c r="D48" s="4" t="n"/>
    </row>
    <row r="49">
      <c r="A49" s="7" t="n">
        <v>0.65</v>
      </c>
      <c r="B49" s="10" t="n">
        <v>0.6741199999999999</v>
      </c>
      <c r="C49" s="4" t="inlineStr">
        <is>
          <t>LTV_65</t>
        </is>
      </c>
      <c r="D49" s="4" t="n"/>
    </row>
    <row r="50">
      <c r="A50" s="7" t="n">
        <v>0.66</v>
      </c>
      <c r="B50" s="10" t="n">
        <v>0.7015750000000001</v>
      </c>
      <c r="C50" s="4" t="inlineStr">
        <is>
          <t>LTV_66</t>
        </is>
      </c>
      <c r="D50" s="4" t="n"/>
    </row>
    <row r="51">
      <c r="A51" s="7" t="n">
        <v>0.67</v>
      </c>
      <c r="B51" s="10" t="n">
        <v>0.7308349999999999</v>
      </c>
      <c r="C51" s="4" t="inlineStr">
        <is>
          <t>LTV_67</t>
        </is>
      </c>
      <c r="D51" s="4" t="n"/>
    </row>
    <row r="52">
      <c r="A52" s="7" t="n">
        <v>0.68</v>
      </c>
      <c r="B52" s="10" t="n">
        <v>0.7619</v>
      </c>
      <c r="C52" s="4" t="inlineStr">
        <is>
          <t>LTV_68</t>
        </is>
      </c>
      <c r="D52" s="4" t="n"/>
    </row>
    <row r="53">
      <c r="A53" s="7" t="n">
        <v>0.6899999999999999</v>
      </c>
      <c r="B53" s="10" t="n">
        <v>0.79496</v>
      </c>
      <c r="C53" s="4" t="inlineStr">
        <is>
          <t>LTV_69</t>
        </is>
      </c>
      <c r="D53" s="4" t="n"/>
    </row>
    <row r="54">
      <c r="A54" s="7" t="n">
        <v>0.7</v>
      </c>
      <c r="B54" s="10" t="n">
        <v>0.830205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10" t="n">
        <v>0.86773</v>
      </c>
      <c r="C55" s="4" t="inlineStr">
        <is>
          <t>LTV_71</t>
        </is>
      </c>
      <c r="D55" s="4" t="n"/>
    </row>
    <row r="56">
      <c r="A56" s="7" t="n">
        <v>0.72</v>
      </c>
      <c r="B56" s="10" t="n">
        <v>0.907535</v>
      </c>
      <c r="C56" s="4" t="inlineStr">
        <is>
          <t>LTV_72</t>
        </is>
      </c>
      <c r="D56" s="4" t="n"/>
    </row>
    <row r="57">
      <c r="A57" s="7" t="n">
        <v>0.73</v>
      </c>
      <c r="B57" s="10" t="n">
        <v>0.95</v>
      </c>
      <c r="C57" s="4" t="inlineStr">
        <is>
          <t>LTV_73</t>
        </is>
      </c>
      <c r="D57" s="4" t="n"/>
    </row>
    <row r="58">
      <c r="A58" s="7" t="n">
        <v>0.74</v>
      </c>
      <c r="B58" s="10" t="n">
        <v>0.995125</v>
      </c>
      <c r="C58" s="4" t="inlineStr">
        <is>
          <t>LTV_74</t>
        </is>
      </c>
      <c r="D58" s="4" t="n"/>
    </row>
    <row r="59">
      <c r="A59" s="7" t="n">
        <v>0.75</v>
      </c>
      <c r="B59" s="10" t="n">
        <v>1.0431</v>
      </c>
      <c r="C59" s="4" t="inlineStr">
        <is>
          <t>LTV_75</t>
        </is>
      </c>
      <c r="D59" s="4" t="n"/>
    </row>
    <row r="60">
      <c r="A60" s="7" t="n">
        <v>0.76</v>
      </c>
      <c r="B60" s="10" t="n">
        <v>1.09421</v>
      </c>
      <c r="C60" s="4" t="inlineStr">
        <is>
          <t>LTV_76</t>
        </is>
      </c>
      <c r="D60" s="4" t="n"/>
    </row>
    <row r="61">
      <c r="A61" s="7" t="n">
        <v>0.77</v>
      </c>
      <c r="B61" s="10" t="n">
        <v>1.148455</v>
      </c>
      <c r="C61" s="4" t="inlineStr">
        <is>
          <t>LTV_77</t>
        </is>
      </c>
      <c r="D61" s="4" t="n"/>
    </row>
    <row r="62">
      <c r="A62" s="7" t="n">
        <v>0.78</v>
      </c>
      <c r="B62" s="10" t="n">
        <v>1.20612</v>
      </c>
      <c r="C62" s="4" t="inlineStr">
        <is>
          <t>LTV_78</t>
        </is>
      </c>
      <c r="D62" s="4" t="n"/>
    </row>
    <row r="63">
      <c r="A63" s="7" t="n">
        <v>0.79</v>
      </c>
      <c r="B63" s="10" t="n">
        <v>1.267395</v>
      </c>
      <c r="C63" s="4" t="inlineStr">
        <is>
          <t>LTV_79</t>
        </is>
      </c>
      <c r="D63" s="4" t="n"/>
    </row>
    <row r="64">
      <c r="A64" s="7" t="n">
        <v>0.8</v>
      </c>
      <c r="B64" s="10" t="n">
        <v>1.332375</v>
      </c>
      <c r="C64" s="4" t="inlineStr">
        <is>
          <t>LTV_80</t>
        </is>
      </c>
      <c r="D64" s="4" t="n"/>
    </row>
    <row r="65">
      <c r="A65" s="7" t="n">
        <v>0.8100000000000001</v>
      </c>
      <c r="B65" s="10" t="n">
        <v>1.401345</v>
      </c>
      <c r="C65" s="4" t="inlineStr">
        <is>
          <t>LTV_81</t>
        </is>
      </c>
      <c r="D65" s="4" t="n"/>
    </row>
    <row r="66">
      <c r="A66" s="7" t="n">
        <v>0.82</v>
      </c>
      <c r="B66" s="10" t="n">
        <v>1.4744</v>
      </c>
      <c r="C66" s="4" t="inlineStr">
        <is>
          <t>LTV_82</t>
        </is>
      </c>
      <c r="D66" s="4" t="n"/>
    </row>
    <row r="67">
      <c r="A67" s="7" t="n">
        <v>0.83</v>
      </c>
      <c r="B67" s="10" t="n">
        <v>1.55173</v>
      </c>
      <c r="C67" s="4" t="inlineStr">
        <is>
          <t>LTV_83</t>
        </is>
      </c>
      <c r="D67" s="4" t="n"/>
    </row>
    <row r="68">
      <c r="A68" s="7" t="n">
        <v>0.84</v>
      </c>
      <c r="B68" s="10" t="n">
        <v>1.63343</v>
      </c>
      <c r="C68" s="4" t="inlineStr">
        <is>
          <t>LTV_84</t>
        </is>
      </c>
      <c r="D68" s="4" t="n"/>
    </row>
    <row r="69">
      <c r="A69" s="7" t="n">
        <v>0.85</v>
      </c>
      <c r="B69" s="10" t="n">
        <v>1.71969</v>
      </c>
      <c r="C69" s="4" t="inlineStr">
        <is>
          <t>LTV_85</t>
        </is>
      </c>
      <c r="D69" s="4" t="n"/>
    </row>
    <row r="70">
      <c r="A70" s="7" t="n">
        <v>0.86</v>
      </c>
      <c r="B70" s="10" t="n">
        <v>1.81051</v>
      </c>
      <c r="C70" s="4" t="inlineStr">
        <is>
          <t>LTV_86</t>
        </is>
      </c>
      <c r="D70" s="4" t="n"/>
    </row>
    <row r="71">
      <c r="A71" s="7" t="n">
        <v>0.87</v>
      </c>
      <c r="B71" s="10" t="n">
        <v>1.905795</v>
      </c>
      <c r="C71" s="4" t="inlineStr">
        <is>
          <t>LTV_87</t>
        </is>
      </c>
      <c r="D71" s="4" t="n"/>
    </row>
    <row r="72">
      <c r="A72" s="7" t="n">
        <v>0.88</v>
      </c>
      <c r="B72" s="10" t="n">
        <v>2.00545</v>
      </c>
      <c r="C72" s="4" t="inlineStr">
        <is>
          <t>LTV_88</t>
        </is>
      </c>
      <c r="D72" s="4" t="n"/>
    </row>
    <row r="73">
      <c r="A73" s="7" t="n">
        <v>0.89</v>
      </c>
      <c r="B73" s="10" t="n">
        <v>2.109285</v>
      </c>
      <c r="C73" s="4" t="inlineStr">
        <is>
          <t>LTV_89</t>
        </is>
      </c>
      <c r="D73" s="4" t="n"/>
    </row>
    <row r="74">
      <c r="A74" s="7" t="n">
        <v>0.9</v>
      </c>
      <c r="B74" s="10" t="n">
        <v>2.21692</v>
      </c>
      <c r="C74" s="4" t="inlineStr">
        <is>
          <t>LTV_90</t>
        </is>
      </c>
      <c r="D74" s="4" t="n"/>
    </row>
    <row r="75">
      <c r="A75" s="7" t="n">
        <v>0.91</v>
      </c>
      <c r="B75" s="10" t="n">
        <v>2.327785</v>
      </c>
      <c r="C75" s="4" t="inlineStr">
        <is>
          <t>LTV_91</t>
        </is>
      </c>
      <c r="D75" s="4" t="n"/>
    </row>
    <row r="76">
      <c r="A76" s="7" t="n">
        <v>0.92</v>
      </c>
      <c r="B76" s="10" t="n">
        <v>2.441215</v>
      </c>
      <c r="C76" s="4" t="inlineStr">
        <is>
          <t>LTV_92</t>
        </is>
      </c>
      <c r="D76" s="4" t="n"/>
    </row>
    <row r="77">
      <c r="A77" s="7" t="n">
        <v>0.93</v>
      </c>
      <c r="B77" s="10" t="n">
        <v>2.556165</v>
      </c>
      <c r="C77" s="4" t="inlineStr">
        <is>
          <t>LTV_93</t>
        </is>
      </c>
      <c r="D77" s="4" t="n"/>
    </row>
    <row r="78">
      <c r="A78" s="7" t="n">
        <v>0.9399999999999999</v>
      </c>
      <c r="B78" s="10" t="n">
        <v>2.671495</v>
      </c>
      <c r="C78" s="4" t="inlineStr">
        <is>
          <t>LTV_94</t>
        </is>
      </c>
      <c r="D78" s="4" t="n"/>
    </row>
    <row r="79">
      <c r="A79" s="7" t="n">
        <v>0.95</v>
      </c>
      <c r="B79" s="10" t="n">
        <v>2.78597</v>
      </c>
      <c r="C79" s="4" t="inlineStr">
        <is>
          <t>LTV_95</t>
        </is>
      </c>
      <c r="D79" s="4" t="n"/>
    </row>
    <row r="80">
      <c r="A80" s="7" t="n">
        <v>0.96</v>
      </c>
      <c r="B80" s="10" t="n">
        <v>2.89807</v>
      </c>
      <c r="C80" s="4" t="inlineStr">
        <is>
          <t>LTV_96</t>
        </is>
      </c>
      <c r="D80" s="4" t="n"/>
    </row>
    <row r="81">
      <c r="A81" s="7" t="n">
        <v>0.97</v>
      </c>
      <c r="B81" s="10" t="n">
        <v>3.006275</v>
      </c>
      <c r="C81" s="4" t="inlineStr">
        <is>
          <t>LTV_97</t>
        </is>
      </c>
      <c r="D81" s="4" t="n"/>
    </row>
    <row r="82">
      <c r="A82" s="7" t="n">
        <v>0.98</v>
      </c>
      <c r="B82" s="10" t="n">
        <v>3.10916</v>
      </c>
      <c r="C82" s="4" t="inlineStr">
        <is>
          <t>LTV_98</t>
        </is>
      </c>
      <c r="D82" s="4" t="n"/>
    </row>
    <row r="83">
      <c r="A83" s="7" t="n">
        <v>0.99</v>
      </c>
      <c r="B83" s="10" t="n">
        <v>3.2053</v>
      </c>
      <c r="C83" s="4" t="inlineStr">
        <is>
          <t>LTV_99</t>
        </is>
      </c>
      <c r="D83" s="4" t="n"/>
    </row>
    <row r="84">
      <c r="A84" s="7" t="n">
        <v>1</v>
      </c>
      <c r="B84" s="10" t="n">
        <v>3.29384</v>
      </c>
      <c r="C84" s="4" t="inlineStr">
        <is>
          <t>LTV_100</t>
        </is>
      </c>
      <c r="D84" s="4" t="n"/>
    </row>
    <row r="85">
      <c r="A85" s="7" t="n">
        <v>1.01</v>
      </c>
      <c r="B85" s="10" t="n">
        <v>3.373925</v>
      </c>
      <c r="C85" s="4" t="inlineStr">
        <is>
          <t>LTV_101</t>
        </is>
      </c>
      <c r="D85" s="4" t="n"/>
    </row>
    <row r="86">
      <c r="A86" s="7" t="n">
        <v>1.02</v>
      </c>
      <c r="B86" s="10" t="n">
        <v>3.445175</v>
      </c>
      <c r="C86" s="4" t="inlineStr">
        <is>
          <t>LTV_102</t>
        </is>
      </c>
      <c r="D86" s="4" t="n"/>
    </row>
    <row r="87">
      <c r="A87" s="7" t="n">
        <v>1.03</v>
      </c>
      <c r="B87" s="10" t="n">
        <v>3.50759</v>
      </c>
      <c r="C87" s="4" t="inlineStr">
        <is>
          <t>LTV_103</t>
        </is>
      </c>
      <c r="D87" s="4" t="n"/>
    </row>
    <row r="88">
      <c r="A88" s="7" t="n">
        <v>1.04</v>
      </c>
      <c r="B88" s="10" t="n">
        <v>3.56155</v>
      </c>
      <c r="C88" s="4" t="inlineStr">
        <is>
          <t>LTV_104</t>
        </is>
      </c>
      <c r="D88" s="4" t="n"/>
    </row>
    <row r="89">
      <c r="A89" s="7" t="n">
        <v>1.05</v>
      </c>
      <c r="B89" s="10" t="n">
        <v>3.60753</v>
      </c>
      <c r="C89" s="4" t="inlineStr">
        <is>
          <t>LTV_105</t>
        </is>
      </c>
      <c r="D89" s="4" t="n"/>
    </row>
    <row r="90">
      <c r="A90" s="7" t="n">
        <v>1.06</v>
      </c>
      <c r="B90" s="10" t="n">
        <v>3.64629</v>
      </c>
      <c r="C90" s="4" t="inlineStr">
        <is>
          <t>LTV_106</t>
        </is>
      </c>
      <c r="D90" s="4" t="n"/>
    </row>
    <row r="91">
      <c r="A91" s="7" t="n">
        <v>1.07</v>
      </c>
      <c r="B91" s="10" t="n">
        <v>3.67859</v>
      </c>
      <c r="C91" s="4" t="inlineStr">
        <is>
          <t>LTV_107</t>
        </is>
      </c>
      <c r="D91" s="4" t="n"/>
    </row>
    <row r="92">
      <c r="A92" s="7" t="n">
        <v>1.08</v>
      </c>
      <c r="B92" s="10" t="n">
        <v>3.70538</v>
      </c>
      <c r="C92" s="4" t="inlineStr">
        <is>
          <t>LTV_108</t>
        </is>
      </c>
      <c r="D92" s="4" t="n"/>
    </row>
    <row r="93">
      <c r="A93" s="7" t="n">
        <v>1.09</v>
      </c>
      <c r="B93" s="10" t="n">
        <v>3.727325</v>
      </c>
      <c r="C93" s="4" t="inlineStr">
        <is>
          <t>LTV_109</t>
        </is>
      </c>
      <c r="D93" s="4" t="n"/>
    </row>
    <row r="94">
      <c r="A94" s="7" t="n">
        <v>1.1</v>
      </c>
      <c r="B94" s="10" t="n">
        <v>3.74528</v>
      </c>
      <c r="C94" s="4" t="inlineStr">
        <is>
          <t>LTV_110</t>
        </is>
      </c>
      <c r="D94" s="4" t="n"/>
    </row>
    <row r="95">
      <c r="A95" s="7" t="n">
        <v>1.11</v>
      </c>
      <c r="B95" s="10" t="n">
        <v>3.759815</v>
      </c>
      <c r="C95" s="4" t="inlineStr">
        <is>
          <t>LTV_111</t>
        </is>
      </c>
      <c r="D95" s="4" t="n"/>
    </row>
    <row r="96">
      <c r="A96" s="7" t="n">
        <v>1.12</v>
      </c>
      <c r="B96" s="10" t="n">
        <v>3.771595</v>
      </c>
      <c r="C96" s="4" t="inlineStr">
        <is>
          <t>LTV_112</t>
        </is>
      </c>
      <c r="D96" s="4" t="n"/>
    </row>
    <row r="97">
      <c r="A97" s="7" t="n">
        <v>1.13</v>
      </c>
      <c r="B97" s="10" t="n">
        <v>3.781095</v>
      </c>
      <c r="C97" s="4" t="inlineStr">
        <is>
          <t>LTV_113</t>
        </is>
      </c>
      <c r="D97" s="4" t="n"/>
    </row>
    <row r="98">
      <c r="A98" s="7" t="n">
        <v>1.14</v>
      </c>
      <c r="B98" s="10" t="n">
        <v>3.78879</v>
      </c>
      <c r="C98" s="4" t="inlineStr">
        <is>
          <t>LTV_114</t>
        </is>
      </c>
      <c r="D98" s="4" t="n"/>
    </row>
    <row r="99">
      <c r="A99" s="7" t="n">
        <v>1.15</v>
      </c>
      <c r="B99" s="10" t="n">
        <v>3.79487</v>
      </c>
      <c r="C99" s="4" t="inlineStr">
        <is>
          <t>LTV_115</t>
        </is>
      </c>
      <c r="D99" s="4" t="n"/>
    </row>
    <row r="100">
      <c r="A100" s="7" t="n">
        <v>1.16</v>
      </c>
      <c r="B100" s="10" t="n">
        <v>3.799715</v>
      </c>
      <c r="C100" s="4" t="inlineStr">
        <is>
          <t>LTV_116</t>
        </is>
      </c>
      <c r="D100" s="4" t="n"/>
    </row>
    <row r="101">
      <c r="A101" s="7" t="n">
        <v>1.17</v>
      </c>
      <c r="B101" s="10" t="n">
        <v>3.803704999999999</v>
      </c>
      <c r="C101" s="4" t="inlineStr">
        <is>
          <t>LTV_117</t>
        </is>
      </c>
      <c r="D101" s="4" t="n"/>
    </row>
    <row r="102">
      <c r="A102" s="7" t="n">
        <v>1.18</v>
      </c>
      <c r="B102" s="10" t="n">
        <v>3.806745</v>
      </c>
      <c r="C102" s="4" t="inlineStr">
        <is>
          <t>LTV_118</t>
        </is>
      </c>
      <c r="D102" s="4" t="n"/>
    </row>
    <row r="103">
      <c r="A103" s="7" t="n">
        <v>1.19</v>
      </c>
      <c r="B103" s="10" t="n">
        <v>3.80931</v>
      </c>
      <c r="C103" s="4" t="inlineStr">
        <is>
          <t>LTV_119</t>
        </is>
      </c>
      <c r="D103" s="4" t="n"/>
    </row>
    <row r="104">
      <c r="A104" s="7" t="n">
        <v>1.2</v>
      </c>
      <c r="B104" s="10" t="n">
        <v>3.81121</v>
      </c>
      <c r="C104" s="4" t="inlineStr">
        <is>
          <t>LTV_120</t>
        </is>
      </c>
      <c r="D104" s="4" t="n"/>
    </row>
    <row r="105">
      <c r="A105" s="7" t="n">
        <v>1.21</v>
      </c>
      <c r="B105" s="10" t="n">
        <v>3.812824999999999</v>
      </c>
      <c r="C105" s="4" t="inlineStr">
        <is>
          <t>LTV_121</t>
        </is>
      </c>
      <c r="D105" s="4" t="n"/>
    </row>
    <row r="106">
      <c r="A106" s="7" t="n">
        <v>1.22</v>
      </c>
      <c r="B106" s="10" t="n">
        <v>3.81406</v>
      </c>
      <c r="C106" s="4" t="inlineStr">
        <is>
          <t>LTV_122</t>
        </is>
      </c>
      <c r="D106" s="4" t="n"/>
    </row>
    <row r="107">
      <c r="A107" s="7" t="n">
        <v>1.23</v>
      </c>
      <c r="B107" s="10" t="n">
        <v>3.815105</v>
      </c>
      <c r="C107" s="4" t="inlineStr">
        <is>
          <t>LTV_123</t>
        </is>
      </c>
      <c r="D107" s="4" t="n"/>
    </row>
    <row r="108">
      <c r="A108" s="7" t="n">
        <v>1.24</v>
      </c>
      <c r="B108" s="10" t="n">
        <v>3.815865</v>
      </c>
      <c r="C108" s="4" t="inlineStr">
        <is>
          <t>LTV_124</t>
        </is>
      </c>
      <c r="D108" s="4" t="n"/>
    </row>
    <row r="109">
      <c r="A109" s="7" t="n">
        <v>1.25</v>
      </c>
      <c r="B109" s="10" t="n">
        <v>3.81653</v>
      </c>
      <c r="C109" s="4" t="inlineStr">
        <is>
          <t>LTV_125</t>
        </is>
      </c>
      <c r="D109" s="4" t="n"/>
    </row>
    <row r="110">
      <c r="A110" s="7" t="n">
        <v>1.26</v>
      </c>
      <c r="B110" s="10" t="n">
        <v>3.817005</v>
      </c>
      <c r="C110" s="4" t="inlineStr">
        <is>
          <t>LTV_126</t>
        </is>
      </c>
      <c r="D110" s="4" t="n"/>
    </row>
    <row r="111">
      <c r="A111" s="7" t="n">
        <v>1.27</v>
      </c>
      <c r="B111" s="10" t="n">
        <v>3.817385</v>
      </c>
      <c r="C111" s="4" t="inlineStr">
        <is>
          <t>LTV_127</t>
        </is>
      </c>
      <c r="D111" s="4" t="n"/>
    </row>
    <row r="112">
      <c r="A112" s="7" t="n">
        <v>1.28</v>
      </c>
      <c r="B112" s="10" t="n">
        <v>3.817765</v>
      </c>
      <c r="C112" s="4" t="inlineStr">
        <is>
          <t>LTV_128</t>
        </is>
      </c>
      <c r="D112" s="4" t="n"/>
    </row>
    <row r="113">
      <c r="A113" s="7" t="n">
        <v>1.29</v>
      </c>
      <c r="B113" s="10" t="n">
        <v>3.817955</v>
      </c>
      <c r="C113" s="4" t="inlineStr">
        <is>
          <t>LTV_129</t>
        </is>
      </c>
      <c r="D113" s="4" t="n"/>
    </row>
    <row r="114">
      <c r="A114" s="7" t="n">
        <v>1.3</v>
      </c>
      <c r="B114" s="10" t="n">
        <v>3.818239999999999</v>
      </c>
      <c r="C114" s="4" t="inlineStr">
        <is>
          <t>LTV_130</t>
        </is>
      </c>
      <c r="D114" s="4" t="n"/>
    </row>
    <row r="115">
      <c r="A115" s="7" t="n">
        <v>1.31</v>
      </c>
      <c r="B115" s="10" t="n">
        <v>3.818335</v>
      </c>
      <c r="C115" s="4" t="inlineStr">
        <is>
          <t>LTV_131</t>
        </is>
      </c>
      <c r="D115" s="4" t="n"/>
    </row>
    <row r="116">
      <c r="A116" s="7" t="n">
        <v>1.32</v>
      </c>
      <c r="B116" s="10" t="n">
        <v>3.818525</v>
      </c>
      <c r="C116" s="4" t="inlineStr">
        <is>
          <t>LTV_132</t>
        </is>
      </c>
      <c r="D116" s="4" t="n"/>
    </row>
    <row r="117">
      <c r="A117" s="7" t="n">
        <v>1.33</v>
      </c>
      <c r="B117" s="10" t="n">
        <v>3.818619999999999</v>
      </c>
      <c r="C117" s="4" t="inlineStr">
        <is>
          <t>LTV_133</t>
        </is>
      </c>
      <c r="D117" s="4" t="n"/>
    </row>
    <row r="118">
      <c r="A118" s="7" t="n">
        <v>1.34</v>
      </c>
      <c r="B118" s="10" t="n">
        <v>3.818619999999999</v>
      </c>
      <c r="C118" s="4" t="inlineStr">
        <is>
          <t>LTV_134</t>
        </is>
      </c>
      <c r="D118" s="4" t="n"/>
    </row>
    <row r="119">
      <c r="A119" s="7" t="n">
        <v>1.35</v>
      </c>
      <c r="B119" s="10" t="n">
        <v>3.818715</v>
      </c>
      <c r="C119" s="4" t="inlineStr">
        <is>
          <t>LTV_135</t>
        </is>
      </c>
      <c r="D119" s="4" t="n"/>
    </row>
    <row r="120">
      <c r="A120" s="7" t="n">
        <v>1.36</v>
      </c>
      <c r="B120" s="10" t="n">
        <v>3.81881</v>
      </c>
      <c r="C120" s="4" t="inlineStr">
        <is>
          <t>LTV_136</t>
        </is>
      </c>
      <c r="D120" s="4" t="n"/>
    </row>
    <row r="121">
      <c r="A121" s="7" t="n">
        <v>1.37</v>
      </c>
      <c r="B121" s="10" t="n">
        <v>3.81881</v>
      </c>
      <c r="C121" s="4" t="inlineStr">
        <is>
          <t>LTV_137</t>
        </is>
      </c>
      <c r="D121" s="4" t="n"/>
    </row>
    <row r="122">
      <c r="A122" s="7" t="n">
        <v>1.38</v>
      </c>
      <c r="B122" s="10" t="n">
        <v>3.81881</v>
      </c>
      <c r="C122" s="4" t="inlineStr">
        <is>
          <t>LTV_138</t>
        </is>
      </c>
      <c r="D122" s="4" t="n"/>
    </row>
    <row r="123">
      <c r="A123" s="7" t="n">
        <v>1.39</v>
      </c>
      <c r="B123" s="10" t="n">
        <v>3.818905</v>
      </c>
      <c r="C123" s="4" t="inlineStr">
        <is>
          <t>LTV_139</t>
        </is>
      </c>
      <c r="D123" s="4" t="n"/>
    </row>
    <row r="124">
      <c r="A124" s="7" t="n">
        <v>1.4</v>
      </c>
      <c r="B124" s="10" t="n">
        <v>3.818905</v>
      </c>
      <c r="C124" s="4" t="inlineStr">
        <is>
          <t>LTV_140</t>
        </is>
      </c>
      <c r="D124" s="4" t="n"/>
    </row>
    <row r="125">
      <c r="A125" s="7" t="n">
        <v>1.41</v>
      </c>
      <c r="B125" s="10" t="n">
        <v>3.818905</v>
      </c>
      <c r="C125" s="4" t="inlineStr">
        <is>
          <t>LTV_141</t>
        </is>
      </c>
      <c r="D125" s="4" t="n"/>
    </row>
    <row r="126">
      <c r="A126" s="7" t="n">
        <v>1.42</v>
      </c>
      <c r="B126" s="10" t="n">
        <v>3.818905</v>
      </c>
      <c r="C126" s="4" t="inlineStr">
        <is>
          <t>LTV_142</t>
        </is>
      </c>
      <c r="D126" s="4" t="n"/>
    </row>
    <row r="127">
      <c r="A127" s="7" t="n">
        <v>1.43</v>
      </c>
      <c r="B127" s="10" t="n">
        <v>3.818905</v>
      </c>
      <c r="C127" s="4" t="inlineStr">
        <is>
          <t>LTV_143</t>
        </is>
      </c>
      <c r="D127" s="4" t="n"/>
    </row>
    <row r="128">
      <c r="A128" s="7" t="n">
        <v>1.44</v>
      </c>
      <c r="B128" s="10" t="n">
        <v>3.818905</v>
      </c>
      <c r="C128" s="4" t="inlineStr">
        <is>
          <t>LTV_144</t>
        </is>
      </c>
      <c r="D128" s="4" t="n"/>
    </row>
    <row r="129">
      <c r="A129" s="7" t="n">
        <v>1.45</v>
      </c>
      <c r="B129" s="10" t="n">
        <v>3.818905</v>
      </c>
      <c r="C129" s="4" t="inlineStr">
        <is>
          <t>LTV_145</t>
        </is>
      </c>
      <c r="D129" s="4" t="n"/>
    </row>
    <row r="130">
      <c r="A130" s="7" t="n">
        <v>1.46</v>
      </c>
      <c r="B130" s="10" t="n">
        <v>3.819</v>
      </c>
      <c r="C130" s="4" t="inlineStr">
        <is>
          <t>LTV_146</t>
        </is>
      </c>
      <c r="D130" s="4" t="n"/>
    </row>
    <row r="131">
      <c r="A131" s="7" t="n">
        <v>1.47</v>
      </c>
      <c r="B131" s="10" t="n">
        <v>3.819</v>
      </c>
      <c r="C131" s="4" t="inlineStr">
        <is>
          <t>LTV_147</t>
        </is>
      </c>
      <c r="D131" s="4" t="n"/>
    </row>
    <row r="132">
      <c r="A132" s="7" t="n">
        <v>1.48</v>
      </c>
      <c r="B132" s="10" t="n">
        <v>3.819</v>
      </c>
      <c r="C132" s="4" t="inlineStr">
        <is>
          <t>LTV_148</t>
        </is>
      </c>
      <c r="D132" s="4" t="n"/>
    </row>
    <row r="133">
      <c r="A133" s="7" t="n">
        <v>1.49</v>
      </c>
      <c r="B133" s="10" t="n">
        <v>3.819</v>
      </c>
      <c r="C133" s="4" t="inlineStr">
        <is>
          <t>LTV_149</t>
        </is>
      </c>
      <c r="D133" s="4" t="n"/>
    </row>
    <row r="134">
      <c r="A134" s="7" t="n">
        <v>1.5</v>
      </c>
      <c r="B134" s="10" t="n">
        <v>3.819</v>
      </c>
      <c r="C134" s="4" t="inlineStr">
        <is>
          <t>LTV_150</t>
        </is>
      </c>
      <c r="D134" s="4" t="inlineStr">
        <is>
          <t>Maximum LTV (cap at 4.02x)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2026-01-14T11:21:24Z</dcterms:created>
  <dcterms:modified xmlns:dcterms="http://purl.org/dc/terms/" xmlns:xsi="http://www.w3.org/2001/XMLSchema-instance" xsi:type="dcterms:W3CDTF">2026-01-19T14:33:42Z</dcterms:modified>
</cp:coreProperties>
</file>